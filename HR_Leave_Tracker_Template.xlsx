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Dashboard" sheetId="2" state="visible" r:id="rId4"/>
    <sheet name="Employee List" sheetId="3" state="visible" r:id="rId5"/>
    <sheet name="Attendance" sheetId="4" state="visible" r:id="rId6"/>
    <sheet name="Leave Record" sheetId="5" state="visible" r:id="rId7"/>
    <sheet name="Settings" sheetId="6" state="visible" r:id="rId8"/>
    <sheet name="Lists" sheetId="7" state="visible" r:id="rId9"/>
  </sheets>
  <definedNames>
    <definedName function="false" hidden="true" localSheetId="3" name="_xlnm._FilterDatabase" vbProcedure="false">Attendance!$A$5:$BD$2405</definedName>
    <definedName function="false" hidden="true" localSheetId="2" name="_xlnm._FilterDatabase" vbProcedure="false">'Employee List'!$A$5:$J$505</definedName>
    <definedName function="false" hidden="true" localSheetId="4" name="_xlnm._FilterDatabase" vbProcedure="false">'Leave Record'!$A$5:$AD$505</definedName>
    <definedName function="false" hidden="false" name="AsOf" vbProcedure="false">Settings!$C$6</definedName>
    <definedName function="false" hidden="false" name="CurFY" vbProcedure="false">Settings!$C$8</definedName>
    <definedName function="false" hidden="false" name="LvAsOf" vbProcedure="false">Settings!$C$9</definedName>
    <definedName function="false" hidden="false" name="LvYear" vbProcedure="false">Settings!$C$7</definedName>
    <definedName function="false" hidden="false" name="M_dept" vbProcedure="false">'Employee List'!$F$6:$F$505</definedName>
    <definedName function="false" hidden="false" name="M_doj" vbProcedure="false">'Employee List'!$I$6:$I$505</definedName>
    <definedName function="false" hidden="false" name="M_emp" vbProcedure="false">'Employee List'!$B$6:$B$505</definedName>
    <definedName function="false" hidden="false" name="M_exit" vbProcedure="false">'Employee List'!$J$6:$J$505</definedName>
    <definedName function="false" hidden="false" name="M_loc" vbProcedure="false">'Employee List'!$G$6:$G$505</definedName>
    <definedName function="false" hidden="false" name="M_name" vbProcedure="false">'Employee List'!$C$6:$C$505</definedName>
    <definedName function="false" hidden="false" name="M_pos" vbProcedure="false">'Employee List'!$E$6:$E$505</definedName>
    <definedName function="false" hidden="false" name="M_status" vbProcedure="false">'Employee List'!$D$6:$D$505</definedName>
    <definedName function="false" hidden="false" name="M_type" vbProcedure="false">'Employee List'!$H$6:$H$505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<sst xmlns="http://schemas.openxmlformats.org/spreadsheetml/2006/main" count="284" uniqueCount="239">
  <si>
    <t xml:space="preserve">LEAVE TRACKER TEMPLATE - START HERE</t>
  </si>
  <si>
    <t xml:space="preserve">Daily attendance codes become leave balances, payable days and a dashboard. Empty and ready to fill - no employee data inside.</t>
  </si>
  <si>
    <t xml:space="preserve">SHEETS</t>
  </si>
  <si>
    <t xml:space="preserve">Dashboard</t>
  </si>
  <si>
    <t xml:space="preserve">Leave pending and used (CL, SL, PL, Training), department and location tables, monthly attendance snapshot, month-wise table and the OVER-USED / LOW attention list. Only the month cell is typed.</t>
  </si>
  <si>
    <t xml:space="preserve">Employee List</t>
  </si>
  <si>
    <t xml:space="preserve">Your employees: code, name, designation, department, location, DOJ and exit date (500 rows ready).</t>
  </si>
  <si>
    <t xml:space="preserve">Attendance</t>
  </si>
  <si>
    <t xml:space="preserve">One row per employee per month with a code in each day cell. Gives payable days, late deduction and leave used.</t>
  </si>
  <si>
    <t xml:space="preserve">Leave Record</t>
  </si>
  <si>
    <t xml:space="preserve">Automatic CL, SL, PL and Training balances per employee. Only Carry Forward PL is typed.</t>
  </si>
  <si>
    <t xml:space="preserve">Settings</t>
  </si>
  <si>
    <t xml:space="preserve">Company name, leave year, leave policy numbers and the attendance code legend.</t>
  </si>
  <si>
    <t xml:space="preserve">Lists</t>
  </si>
  <si>
    <t xml:space="preserve">Dropdown options for Department, Location and Designation.</t>
  </si>
  <si>
    <t xml:space="preserve">HOW TO USE</t>
  </si>
  <si>
    <t xml:space="preserve">1. Settings</t>
  </si>
  <si>
    <t xml:space="preserve">Type your Company name. Check the leave policy numbers (CL / SL / PL, confirmation days, late-mark rule).</t>
  </si>
  <si>
    <t xml:space="preserve">2. Lists</t>
  </si>
  <si>
    <t xml:space="preserve">Replace the example Departments and Locations with your own.</t>
  </si>
  <si>
    <t xml:space="preserve">3. Employee List</t>
  </si>
  <si>
    <t xml:space="preserve">Add each employee once. Leave Record fills itself from here.</t>
  </si>
  <si>
    <t xml:space="preserve">4. Leave Record</t>
  </si>
  <si>
    <t xml:space="preserve">Enter Carry Forward PL (yellow column) for employees who bring PL from last year.</t>
  </si>
  <si>
    <t xml:space="preserve">5. Attendance</t>
  </si>
  <si>
    <t xml:space="preserve">Type Month (1st of month) + Emp Code in the next blank rows, then pick a code in each day cell. Tip: copy last month's Emp Code column and change the month. Grey cells = Sundays / days not in the month.</t>
  </si>
  <si>
    <t xml:space="preserve">Check leave</t>
  </si>
  <si>
    <t xml:space="preserve">Leave Record updates by itself. Dashboard &gt; Attention list shows OVER-USED / LOW employees.</t>
  </si>
  <si>
    <t xml:space="preserve">New leave year</t>
  </si>
  <si>
    <t xml:space="preserve">Leave year follows the date automatically (or type it in Settings). Enter carry-forward PL again. Keep old Attendance rows - only the leave year's months are counted.</t>
  </si>
  <si>
    <t xml:space="preserve">ATTENDANCE CODES</t>
  </si>
  <si>
    <t xml:space="preserve">P / A / HA / L</t>
  </si>
  <si>
    <t xml:space="preserve">Present / Absent / Half-day absent (0.5 payable) / Late (payable, counts toward late deduction).</t>
  </si>
  <si>
    <t xml:space="preserve">PL / CL / SL / CO</t>
  </si>
  <si>
    <t xml:space="preserve">Paid / Casual / Sick leave (1 day deducted from that balance) / Compensatory off.</t>
  </si>
  <si>
    <t xml:space="preserve">HPL / HCL</t>
  </si>
  <si>
    <t xml:space="preserve">Half-day paid / casual leave: 1 payable day, 0.5 deducted from the balance.</t>
  </si>
  <si>
    <t xml:space="preserve">WO / PH / TR</t>
  </si>
  <si>
    <t xml:space="preserve">Weekly off / Public holiday / Training day.</t>
  </si>
  <si>
    <t xml:space="preserve">COLOUR GUIDE</t>
  </si>
  <si>
    <t xml:space="preserve">Yellow cell, blue text</t>
  </si>
  <si>
    <t xml:space="preserve">Input cell - type here.</t>
  </si>
  <si>
    <t xml:space="preserve">Blue text, white cell</t>
  </si>
  <si>
    <t xml:space="preserve">Input column in Employee List / Attendance - type here.</t>
  </si>
  <si>
    <t xml:space="preserve">Blue-grey cell</t>
  </si>
  <si>
    <t xml:space="preserve">Calculated automatically - do not type over it.</t>
  </si>
  <si>
    <t xml:space="preserve">EXAMPLE ENTRY (format only - fictional values, do not copy into the sheets)</t>
  </si>
  <si>
    <t xml:space="preserve">Attendance row</t>
  </si>
  <si>
    <t xml:space="preserve">Month: 01-Oct-2026  |  Emp Code: EMP001  |  Day 1 to 31: P P P P P P WO P P P P P P WO ... (one code per day; PH on public holidays)</t>
  </si>
  <si>
    <t xml:space="preserve">LIMITS &amp; ASSUMPTIONS</t>
  </si>
  <si>
    <t xml:space="preserve">Capacity</t>
  </si>
  <si>
    <t xml:space="preserve">Employee List / Leave Record: 500 employees. Attendance: 2,400 employee-months.</t>
  </si>
  <si>
    <t xml:space="preserve">Defaults</t>
  </si>
  <si>
    <t xml:space="preserve">CL 7, SL 7, PL 18, 90-day confirmation, 3 free late marks, 0.5-day deduction come from your Leave Tracker template. Training days default to 0.</t>
  </si>
  <si>
    <t xml:space="preserve">Active Employees</t>
  </si>
  <si>
    <t xml:space="preserve">Exited Employees</t>
  </si>
  <si>
    <t xml:space="preserve">CL Pending (days)</t>
  </si>
  <si>
    <t xml:space="preserve">SL Pending (days)</t>
  </si>
  <si>
    <t xml:space="preserve">PL Pending (days)</t>
  </si>
  <si>
    <t xml:space="preserve">Total Leave Pending</t>
  </si>
  <si>
    <t xml:space="preserve">Eligible with PL nil</t>
  </si>
  <si>
    <t xml:space="preserve">Employees OVER-USED</t>
  </si>
  <si>
    <t xml:space="preserve">Employees LOW balance</t>
  </si>
  <si>
    <t xml:space="preserve">Not yet eligible</t>
  </si>
  <si>
    <t xml:space="preserve">CL Used (days)</t>
  </si>
  <si>
    <t xml:space="preserve">SL Used (days)</t>
  </si>
  <si>
    <t xml:space="preserve">PL Used (days)</t>
  </si>
  <si>
    <t xml:space="preserve">Training Used (days)</t>
  </si>
  <si>
    <t xml:space="preserve">DEPARTMENT-WISE LEAVE (active employees)</t>
  </si>
  <si>
    <t xml:space="preserve">LOCATION-WISE LEAVE (active employees)</t>
  </si>
  <si>
    <t xml:space="preserve">Department</t>
  </si>
  <si>
    <t xml:space="preserve">Active</t>
  </si>
  <si>
    <t xml:space="preserve">CL Pending</t>
  </si>
  <si>
    <t xml:space="preserve">SL Pending</t>
  </si>
  <si>
    <t xml:space="preserve">PL Pending</t>
  </si>
  <si>
    <t xml:space="preserve">Total Pending</t>
  </si>
  <si>
    <t xml:space="preserve">OVER-USED / LOW</t>
  </si>
  <si>
    <t xml:space="preserve">Location</t>
  </si>
  <si>
    <t xml:space="preserve">TOTAL</t>
  </si>
  <si>
    <t xml:space="preserve">ATTENDANCE SNAPSHOT</t>
  </si>
  <si>
    <t xml:space="preserve">Month (type 1st of month)</t>
  </si>
  <si>
    <t xml:space="preserve">Default = current month. Type a date to view another month.</t>
  </si>
  <si>
    <t xml:space="preserve">Employees marked</t>
  </si>
  <si>
    <t xml:space="preserve">Present days</t>
  </si>
  <si>
    <t xml:space="preserve">Absent days</t>
  </si>
  <si>
    <t xml:space="preserve">Late marks</t>
  </si>
  <si>
    <t xml:space="preserve">Leave days taken (CL+SL+PL)</t>
  </si>
  <si>
    <t xml:space="preserve">Net payable days</t>
  </si>
  <si>
    <t xml:space="preserve">Unmarked days</t>
  </si>
  <si>
    <t xml:space="preserve">ATTENTION LIST - employees OVER-USED or LOW on leave (first 10; filter Status Flag in Leave Record for all)</t>
  </si>
  <si>
    <t xml:space="preserve">Code</t>
  </si>
  <si>
    <t xml:space="preserve">Employee</t>
  </si>
  <si>
    <t xml:space="preserve">CL</t>
  </si>
  <si>
    <t xml:space="preserve">SL</t>
  </si>
  <si>
    <t xml:space="preserve">PL</t>
  </si>
  <si>
    <t xml:space="preserve">Training</t>
  </si>
  <si>
    <t xml:space="preserve">Status</t>
  </si>
  <si>
    <t xml:space="preserve">Month</t>
  </si>
  <si>
    <t xml:space="preserve">Leave days (CL+SL+PL)</t>
  </si>
  <si>
    <t xml:space="preserve">How to use: list each employee once (first blank row). Leave Record and Attendance read names from here. Type the Exit Date when someone leaves - Status turns to Exited. Employment Type is automatic (Permanent after the confirmation days in Settings, else Probation).</t>
  </si>
  <si>
    <t xml:space="preserve">Exited</t>
  </si>
  <si>
    <t xml:space="preserve">Total records</t>
  </si>
  <si>
    <t xml:space="preserve">EMPLOYEE DETAILS</t>
  </si>
  <si>
    <t xml:space="preserve">Sr No</t>
  </si>
  <si>
    <t xml:space="preserve">Emp Code</t>
  </si>
  <si>
    <t xml:space="preserve">Employee Name</t>
  </si>
  <si>
    <t xml:space="preserve">Designation</t>
  </si>
  <si>
    <t xml:space="preserve">Employment Type (auto)</t>
  </si>
  <si>
    <t xml:space="preserve">DOJ</t>
  </si>
  <si>
    <t xml:space="preserve">Exit Date</t>
  </si>
  <si>
    <t xml:space="preserve">How to use: one row per employee per month. Type the 1st of the month in Month (e.g. 01-Oct-2026) and the Emp Code - name, department and location fill themselves. Then pick a code in each day cell (see Settings for codes). Grey cells = Sundays / days not in the month.</t>
  </si>
  <si>
    <t xml:space="preserve">Tip: filter Month to work on one month at a time.</t>
  </si>
  <si>
    <t xml:space="preserve">PRESENT</t>
  </si>
  <si>
    <t xml:space="preserve">ABSENT</t>
  </si>
  <si>
    <t xml:space="preserve">HALF ABSENT</t>
  </si>
  <si>
    <t xml:space="preserve">LATE</t>
  </si>
  <si>
    <t xml:space="preserve">PAID LEAVE</t>
  </si>
  <si>
    <t xml:space="preserve">CASUAL LEAVE</t>
  </si>
  <si>
    <t xml:space="preserve">SICK LEAVE</t>
  </si>
  <si>
    <t xml:space="preserve">COMP OFF</t>
  </si>
  <si>
    <t xml:space="preserve">HALF P/L</t>
  </si>
  <si>
    <t xml:space="preserve">HALF C/L</t>
  </si>
  <si>
    <t xml:space="preserve">WEEKLY OFF</t>
  </si>
  <si>
    <t xml:space="preserve">PUBLIC HOLIDAY</t>
  </si>
  <si>
    <t xml:space="preserve">TRAINING DAYS</t>
  </si>
  <si>
    <t xml:space="preserve">TOTAL P/L</t>
  </si>
  <si>
    <t xml:space="preserve">TOTAL S/L</t>
  </si>
  <si>
    <t xml:space="preserve">TOTAL C/L</t>
  </si>
  <si>
    <t xml:space="preserve">GROSS PAYABLE DAYS</t>
  </si>
  <si>
    <t xml:space="preserve">LATE DEDUCTION (days)</t>
  </si>
  <si>
    <t xml:space="preserve">NET PAYABLE DAYS</t>
  </si>
  <si>
    <t xml:space="preserve">UNMARKED DAYS</t>
  </si>
  <si>
    <t xml:space="preserve">How to use: employees appear automatically from the Employee List sheet. Only the yellow column (Carry Forward PL) is typed. Used leave is picked up from the Attendance sheet. Filter Status to see OVER-USED / LOW employees.</t>
  </si>
  <si>
    <t xml:space="preserve">Employee Code</t>
  </si>
  <si>
    <t xml:space="preserve">Confirmation Date</t>
  </si>
  <si>
    <t xml:space="preserve">Eligible From</t>
  </si>
  <si>
    <t xml:space="preserve">Leave Year End</t>
  </si>
  <si>
    <t xml:space="preserve">Eligible Days</t>
  </si>
  <si>
    <t xml:space="preserve">CL Entitled</t>
  </si>
  <si>
    <t xml:space="preserve">SL Entitled</t>
  </si>
  <si>
    <t xml:space="preserve">Carry Forward PL (INPUT)</t>
  </si>
  <si>
    <t xml:space="preserve">PL Full Year</t>
  </si>
  <si>
    <t xml:space="preserve">PL Accrued To Date</t>
  </si>
  <si>
    <t xml:space="preserve">Training Days Allotted</t>
  </si>
  <si>
    <t xml:space="preserve">CL Used</t>
  </si>
  <si>
    <t xml:space="preserve">SL Used</t>
  </si>
  <si>
    <t xml:space="preserve">PL Used</t>
  </si>
  <si>
    <t xml:space="preserve">Training Used</t>
  </si>
  <si>
    <t xml:space="preserve">Training Pending</t>
  </si>
  <si>
    <t xml:space="preserve">Total Leave Pending (CL+SL+PL)</t>
  </si>
  <si>
    <t xml:space="preserve">PL Balance at Year End</t>
  </si>
  <si>
    <t xml:space="preserve">Pending Summary</t>
  </si>
  <si>
    <t xml:space="preserve">Status Flag</t>
  </si>
  <si>
    <t xml:space="preserve">Alert #</t>
  </si>
  <si>
    <t xml:space="preserve">Settings &amp; Legend</t>
  </si>
  <si>
    <t xml:space="preserve">Yellow cells with blue text are inputs - edit them and every sheet recalculates.</t>
  </si>
  <si>
    <t xml:space="preserve">Setting</t>
  </si>
  <si>
    <t xml:space="preserve">Value</t>
  </si>
  <si>
    <t xml:space="preserve">Note</t>
  </si>
  <si>
    <t xml:space="preserve">Company name</t>
  </si>
  <si>
    <t xml:space="preserve">Your Company Name</t>
  </si>
  <si>
    <t xml:space="preserve">Appears in the titles of every sheet.</t>
  </si>
  <si>
    <t xml:space="preserve">Report / As-of date</t>
  </si>
  <si>
    <t xml:space="preserve">Auto = today. Type a fixed date to freeze age / tenure / birthday calculations.</t>
  </si>
  <si>
    <t xml:space="preserve">Leave year</t>
  </si>
  <si>
    <t xml:space="preserve">Auto = year of the report date. Type a year (e.g. 2026) to fix it. Carry-forward PL is entered in Leave Record.</t>
  </si>
  <si>
    <t xml:space="preserve">Current financial year (auto)</t>
  </si>
  <si>
    <t xml:space="preserve">Apr-Mar. Used for joiners / exits this FY.</t>
  </si>
  <si>
    <t xml:space="preserve">Leave as-of date (auto)</t>
  </si>
  <si>
    <t xml:space="preserve">Report date capped at the leave-year end.</t>
  </si>
  <si>
    <t xml:space="preserve">CL (Casual Leave) per year</t>
  </si>
  <si>
    <t xml:space="preserve">Default from your Leave Tracker template.</t>
  </si>
  <si>
    <t xml:space="preserve">SL (Sick Leave) per year</t>
  </si>
  <si>
    <t xml:space="preserve">PL (Paid Leave) per year</t>
  </si>
  <si>
    <t xml:space="preserve">Accrued pro-rata: PL/365 per day from the eligibility date (rounded down to 0.5).</t>
  </si>
  <si>
    <t xml:space="preserve">Confirmation period (days after DOJ)</t>
  </si>
  <si>
    <t xml:space="preserve">Leave starts after confirmation (DOJ + this many days).</t>
  </si>
  <si>
    <t xml:space="preserve">Training days per year (per employee)</t>
  </si>
  <si>
    <t xml:space="preserve">ASSUMPTION: set to your training policy (0 = none).</t>
  </si>
  <si>
    <t xml:space="preserve">"LOW" alert when total pending (CL+SL+PL) is at or below</t>
  </si>
  <si>
    <t xml:space="preserve">Flags employees on the Dashboard attention list.</t>
  </si>
  <si>
    <t xml:space="preserve">Free late marks per month before deduction</t>
  </si>
  <si>
    <t xml:space="preserve">Deduction per extra late mark (days)</t>
  </si>
  <si>
    <t xml:space="preserve">Birthday / anniversary alert window (days)</t>
  </si>
  <si>
    <t xml:space="preserve">Dashboard counts birthdays and work anniversaries within this many days.</t>
  </si>
  <si>
    <t xml:space="preserve">Attendance codes (type or pick from the dropdown in the day cells of the Attendance sheet)</t>
  </si>
  <si>
    <t xml:space="preserve">Meaning</t>
  </si>
  <si>
    <t xml:space="preserve">Effect on payable days / leave balance</t>
  </si>
  <si>
    <t xml:space="preserve">P</t>
  </si>
  <si>
    <t xml:space="preserve">Present</t>
  </si>
  <si>
    <t xml:space="preserve">1 payable day</t>
  </si>
  <si>
    <t xml:space="preserve">A</t>
  </si>
  <si>
    <t xml:space="preserve">Absent</t>
  </si>
  <si>
    <t xml:space="preserve">Not paid</t>
  </si>
  <si>
    <t xml:space="preserve">HA</t>
  </si>
  <si>
    <t xml:space="preserve">Half-day absent</t>
  </si>
  <si>
    <t xml:space="preserve">0.5 payable day</t>
  </si>
  <si>
    <t xml:space="preserve">L</t>
  </si>
  <si>
    <t xml:space="preserve">Late</t>
  </si>
  <si>
    <t xml:space="preserve">1 payable day; counts toward late deduction</t>
  </si>
  <si>
    <t xml:space="preserve">Paid Leave</t>
  </si>
  <si>
    <t xml:space="preserve">1 payable day; 1 deducted from PL balance</t>
  </si>
  <si>
    <t xml:space="preserve">HPL</t>
  </si>
  <si>
    <t xml:space="preserve">Half-day Paid Leave</t>
  </si>
  <si>
    <t xml:space="preserve">1 payable day (0.5 leave + 0.5 worked); 0.5 deducted from PL balance</t>
  </si>
  <si>
    <t xml:space="preserve">Casual Leave</t>
  </si>
  <si>
    <t xml:space="preserve">1 payable day; 1 deducted from CL balance</t>
  </si>
  <si>
    <t xml:space="preserve">HCL</t>
  </si>
  <si>
    <t xml:space="preserve">Half-day Casual Leave</t>
  </si>
  <si>
    <t xml:space="preserve">1 payable day (0.5 leave + 0.5 worked); 0.5 deducted from CL balance</t>
  </si>
  <si>
    <t xml:space="preserve">Sick Leave</t>
  </si>
  <si>
    <t xml:space="preserve">1 payable day; 1 deducted from SL balance</t>
  </si>
  <si>
    <t xml:space="preserve">CO</t>
  </si>
  <si>
    <t xml:space="preserve">Compensatory Off</t>
  </si>
  <si>
    <t xml:space="preserve">WO</t>
  </si>
  <si>
    <t xml:space="preserve">Weekly Off</t>
  </si>
  <si>
    <t xml:space="preserve">PH</t>
  </si>
  <si>
    <t xml:space="preserve">Public Holiday</t>
  </si>
  <si>
    <t xml:space="preserve">TR</t>
  </si>
  <si>
    <t xml:space="preserve">Training Day</t>
  </si>
  <si>
    <t xml:space="preserve">1 payable day; counted against Training days balance</t>
  </si>
  <si>
    <t xml:space="preserve">Note: half-day codes (HA, HPL, HCL) are treated as shown above. If your payroll rule is different, edit the Gross Payable Days formula in Attendance column BA.</t>
  </si>
  <si>
    <t xml:space="preserve">Lists (dropdown options)</t>
  </si>
  <si>
    <t xml:space="preserve">Overwrite the example Departments, Locations and Designations with your own. Type new options under the last item of a list. Do not delete the header row.</t>
  </si>
  <si>
    <t xml:space="preserve">Admin</t>
  </si>
  <si>
    <t xml:space="preserve">Location 1</t>
  </si>
  <si>
    <t xml:space="preserve">Manager</t>
  </si>
  <si>
    <t xml:space="preserve">Accounts</t>
  </si>
  <si>
    <t xml:space="preserve">Location 2</t>
  </si>
  <si>
    <t xml:space="preserve">Executive</t>
  </si>
  <si>
    <t xml:space="preserve">HR</t>
  </si>
  <si>
    <t xml:space="preserve">Supervisor</t>
  </si>
  <si>
    <t xml:space="preserve">IT</t>
  </si>
  <si>
    <t xml:space="preserve">Operator</t>
  </si>
  <si>
    <t xml:space="preserve">Operations</t>
  </si>
  <si>
    <t xml:space="preserve">Assistant</t>
  </si>
  <si>
    <t xml:space="preserve">Production</t>
  </si>
  <si>
    <t xml:space="preserve">Sales</t>
  </si>
  <si>
    <t xml:space="preserve">Stores</t>
  </si>
</sst>
</file>

<file path=xl/styles.xml><?xml version="1.0" encoding="utf-8"?>
<styleSheet xmlns="http://schemas.openxmlformats.org/spreadsheetml/2006/main">
  <numFmts count="7">
    <numFmt numFmtId="164" formatCode="General"/>
    <numFmt numFmtId="165" formatCode="0"/>
    <numFmt numFmtId="166" formatCode="0.0"/>
    <numFmt numFmtId="167" formatCode="General"/>
    <numFmt numFmtId="168" formatCode="mmm\-yyyy"/>
    <numFmt numFmtId="169" formatCode="@"/>
    <numFmt numFmtId="170" formatCode="dd\-mmm\-yyyy"/>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b val="true"/>
      <sz val="9"/>
      <color rgb="FF595959"/>
      <name val="Arial"/>
      <family val="0"/>
      <charset val="1"/>
    </font>
    <font>
      <b val="true"/>
      <sz val="18"/>
      <color rgb="FF1F3864"/>
      <name val="Arial"/>
      <family val="0"/>
      <charset val="1"/>
    </font>
    <font>
      <b val="true"/>
      <sz val="10"/>
      <color rgb="FFFFFFFF"/>
      <name val="Arial"/>
      <family val="0"/>
      <charset val="1"/>
    </font>
    <font>
      <b val="true"/>
      <sz val="10"/>
      <color rgb="FF0000FF"/>
      <name val="Arial"/>
      <family val="0"/>
      <charset val="1"/>
    </font>
    <font>
      <sz val="9"/>
      <color rgb="FF0000FF"/>
      <name val="Arial"/>
      <family val="0"/>
      <charset val="1"/>
    </font>
  </fonts>
  <fills count="10">
    <fill>
      <patternFill patternType="none"/>
    </fill>
    <fill>
      <patternFill patternType="gray125"/>
    </fill>
    <fill>
      <patternFill patternType="solid">
        <fgColor rgb="FF2F5597"/>
        <bgColor rgb="FF1F3864"/>
      </patternFill>
    </fill>
    <fill>
      <patternFill patternType="solid">
        <fgColor rgb="FFF2F2F2"/>
        <bgColor rgb="FFEDEDED"/>
      </patternFill>
    </fill>
    <fill>
      <patternFill patternType="solid">
        <fgColor rgb="FFFFF2CC"/>
        <bgColor rgb="FFF2F2F2"/>
      </patternFill>
    </fill>
    <fill>
      <patternFill patternType="solid">
        <fgColor rgb="FFDDEBF7"/>
        <bgColor rgb="FFE7E6E6"/>
      </patternFill>
    </fill>
    <fill>
      <patternFill patternType="solid">
        <fgColor rgb="FFF7FBFF"/>
        <bgColor rgb="FFFFFFFF"/>
      </patternFill>
    </fill>
    <fill>
      <patternFill patternType="solid">
        <fgColor rgb="FF1F3864"/>
        <bgColor rgb="FF2F5597"/>
      </patternFill>
    </fill>
    <fill>
      <patternFill patternType="solid">
        <fgColor rgb="FF548235"/>
        <bgColor rgb="FF595959"/>
      </patternFill>
    </fill>
    <fill>
      <patternFill patternType="solid">
        <fgColor rgb="FFBF9000"/>
        <bgColor rgb="FFFF66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11" fillId="6" borderId="1" xfId="0" applyFont="true" applyBorder="true" applyAlignment="true" applyProtection="false">
      <alignment horizontal="center" vertical="center" textRotation="0" wrapText="true" indent="0" shrinkToFit="false"/>
      <protection locked="true" hidden="false"/>
    </xf>
    <xf numFmtId="166"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13"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7" fontId="7" fillId="5"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70"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70" fontId="8" fillId="5"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color rgb="FFC00000"/>
      </font>
      <fill>
        <patternFill>
          <bgColor rgb="FFF8CBAD"/>
        </patternFill>
      </fill>
    </dxf>
    <dxf>
      <font>
        <name val="Arial"/>
        <charset val="1"/>
        <family val="0"/>
        <b val="1"/>
        <color rgb="FF7F6000"/>
      </font>
      <fill>
        <patternFill>
          <bgColor rgb="FFFFE699"/>
        </patternFill>
      </fill>
    </dxf>
    <dxf>
      <fill>
        <patternFill patternType="solid">
          <fgColor rgb="FF1F3864"/>
          <bgColor rgb="FF000000"/>
        </patternFill>
      </fill>
    </dxf>
    <dxf>
      <fill>
        <patternFill patternType="solid">
          <fgColor rgb="FFDDEBF7"/>
          <bgColor rgb="FF000000"/>
        </patternFill>
      </fill>
    </dxf>
    <dxf>
      <fill>
        <patternFill patternType="solid">
          <fgColor rgb="FFFFFFFF"/>
          <bgColor rgb="FF000000"/>
        </patternFill>
      </fill>
    </dxf>
    <dxf>
      <fill>
        <patternFill patternType="solid">
          <bgColor rgb="FF000000"/>
        </patternFill>
      </fill>
    </dxf>
    <dxf>
      <fill>
        <patternFill patternType="solid">
          <fgColor rgb="FF0000FF"/>
          <bgColor rgb="FF000000"/>
        </patternFill>
      </fill>
    </dxf>
    <dxf>
      <font>
        <name val="Arial"/>
        <charset val="1"/>
        <family val="0"/>
        <i val="1"/>
        <color rgb="FF7F7F7F"/>
      </font>
      <fill>
        <patternFill>
          <bgColor rgb="FFE7E6E6"/>
        </patternFill>
      </fill>
    </dxf>
    <dxf>
      <fill>
        <patternFill>
          <bgColor rgb="FFFF7C80"/>
        </patternFill>
      </fill>
    </dxf>
    <dxf>
      <font>
        <name val="Arial"/>
        <charset val="1"/>
        <family val="0"/>
        <b val="1"/>
        <color rgb="FF375623"/>
      </font>
      <fill>
        <patternFill>
          <bgColor rgb="FFC6E0B4"/>
        </patternFill>
      </fill>
    </dxf>
    <dxf>
      <fill>
        <patternFill patternType="solid">
          <fgColor rgb="FF548235"/>
          <bgColor rgb="FF000000"/>
        </patternFill>
      </fill>
    </dxf>
    <dxf>
      <fill>
        <patternFill>
          <bgColor rgb="FF7F7F7F"/>
        </patternFill>
      </fill>
    </dxf>
    <dxf>
      <fill>
        <patternFill>
          <bgColor rgb="FFF8CBAD"/>
        </patternFill>
      </fill>
    </dxf>
    <dxf>
      <fill>
        <patternFill>
          <bgColor rgb="FFE2EFDA"/>
        </patternFill>
      </fill>
    </dxf>
    <dxf>
      <fill>
        <patternFill>
          <bgColor rgb="FFFFE699"/>
        </patternFill>
      </fill>
    </dxf>
    <dxf>
      <fill>
        <patternFill>
          <bgColor rgb="FFBDD7EE"/>
        </patternFill>
      </fill>
    </dxf>
    <dxf>
      <fill>
        <patternFill>
          <bgColor rgb="FFD9D9D9"/>
        </patternFill>
      </fill>
    </dxf>
    <dxf>
      <fill>
        <patternFill>
          <bgColor rgb="FFEDEDED"/>
        </patternFill>
      </fill>
    </dxf>
    <dxf>
      <fill>
        <patternFill patternType="solid">
          <fgColor rgb="FF2F5597"/>
          <bgColor rgb="FF000000"/>
        </patternFill>
      </fill>
    </dxf>
    <dxf>
      <fill>
        <patternFill patternType="solid">
          <fgColor rgb="FFBF9000"/>
          <bgColor rgb="FF000000"/>
        </patternFill>
      </fill>
    </dxf>
    <dxf>
      <fill>
        <patternFill patternType="solid">
          <fgColor rgb="FFFFF2CC"/>
          <bgColor rgb="FF000000"/>
        </patternFill>
      </fill>
    </dxf>
    <dxf>
      <font>
        <name val="Arial"/>
        <charset val="1"/>
        <family val="0"/>
        <b val="1"/>
        <color rgb="FF595959"/>
      </font>
      <fill>
        <patternFill>
          <bgColor rgb="FFD9D9D9"/>
        </patternFill>
      </fill>
    </dxf>
    <dxf>
      <font>
        <name val="Arial"/>
        <charset val="1"/>
        <family val="0"/>
        <b val="1"/>
        <color rgb="FF1F3864"/>
      </font>
      <fill>
        <patternFill>
          <bgColor rgb="FFDDEBF7"/>
        </patternFill>
      </fill>
    </dxf>
  </dxfs>
  <colors>
    <indexedColors>
      <rgbColor rgb="FF000000"/>
      <rgbColor rgb="FFFFFFFF"/>
      <rgbColor rgb="FFC00000"/>
      <rgbColor rgb="FF00FF00"/>
      <rgbColor rgb="FF0000FF"/>
      <rgbColor rgb="FFF7FBFF"/>
      <rgbColor rgb="FFFF00FF"/>
      <rgbColor rgb="FF00FFFF"/>
      <rgbColor rgb="FF800000"/>
      <rgbColor rgb="FF008000"/>
      <rgbColor rgb="FF000080"/>
      <rgbColor rgb="FF7F6000"/>
      <rgbColor rgb="FF800080"/>
      <rgbColor rgb="FF008080"/>
      <rgbColor rgb="FFBFBFBF"/>
      <rgbColor rgb="FF7F7F7F"/>
      <rgbColor rgb="FFEDEDED"/>
      <rgbColor rgb="FF993366"/>
      <rgbColor rgb="FFFFF2CC"/>
      <rgbColor rgb="FFDDEBF7"/>
      <rgbColor rgb="FF660066"/>
      <rgbColor rgb="FFFF7C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E699"/>
      <rgbColor rgb="FFC6E0B4"/>
      <rgbColor rgb="FFE7E6E6"/>
      <rgbColor rgb="FFD9D9D9"/>
      <rgbColor rgb="FFF8CBAD"/>
      <rgbColor rgb="FF3366FF"/>
      <rgbColor rgb="FF33CCCC"/>
      <rgbColor rgb="FF99CC00"/>
      <rgbColor rgb="FFFFCC00"/>
      <rgbColor rgb="FFBF9000"/>
      <rgbColor rgb="FFFF6600"/>
      <rgbColor rgb="FF595959"/>
      <rgbColor rgb="FF969696"/>
      <rgbColor rgb="FF1F3864"/>
      <rgbColor rgb="FF548235"/>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3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s>
  <sheetData>
    <row r="1" customFormat="false" ht="19.7" hidden="false" customHeight="false" outlineLevel="0" collapsed="false">
      <c r="B1" s="1" t="s">
        <v>0</v>
      </c>
      <c r="C1" s="1"/>
    </row>
    <row r="2" customFormat="false" ht="15" hidden="false" customHeight="false" outlineLevel="0" collapsed="false">
      <c r="B2" s="2" t="s">
        <v>1</v>
      </c>
      <c r="C2" s="2"/>
    </row>
    <row r="4" customFormat="false" ht="15" hidden="false" customHeight="false" outlineLevel="0" collapsed="false">
      <c r="B4" s="3" t="s">
        <v>2</v>
      </c>
      <c r="C4" s="3"/>
    </row>
    <row r="5" customFormat="false" ht="30" hidden="false" customHeight="true" outlineLevel="0" collapsed="false">
      <c r="B5" s="4" t="s">
        <v>3</v>
      </c>
      <c r="C5" s="5" t="s">
        <v>4</v>
      </c>
    </row>
    <row r="6" customFormat="false" ht="15" hidden="false" customHeight="true" outlineLevel="0" collapsed="false">
      <c r="B6" s="4" t="s">
        <v>5</v>
      </c>
      <c r="C6" s="5" t="s">
        <v>6</v>
      </c>
    </row>
    <row r="7" customFormat="false" ht="30" hidden="false" customHeight="true" outlineLevel="0" collapsed="false">
      <c r="B7" s="4" t="s">
        <v>7</v>
      </c>
      <c r="C7" s="5" t="s">
        <v>8</v>
      </c>
    </row>
    <row r="8" customFormat="false" ht="15" hidden="false" customHeight="true" outlineLevel="0" collapsed="false">
      <c r="B8" s="4" t="s">
        <v>9</v>
      </c>
      <c r="C8" s="5" t="s">
        <v>10</v>
      </c>
    </row>
    <row r="9" customFormat="false" ht="15" hidden="false" customHeight="true" outlineLevel="0" collapsed="false">
      <c r="B9" s="4" t="s">
        <v>11</v>
      </c>
      <c r="C9" s="5" t="s">
        <v>12</v>
      </c>
    </row>
    <row r="10" customFormat="false" ht="15" hidden="false" customHeight="true" outlineLevel="0" collapsed="false">
      <c r="B10" s="4" t="s">
        <v>13</v>
      </c>
      <c r="C10" s="5" t="s">
        <v>14</v>
      </c>
    </row>
    <row r="12" customFormat="false" ht="15" hidden="false" customHeight="false" outlineLevel="0" collapsed="false">
      <c r="B12" s="3" t="s">
        <v>15</v>
      </c>
      <c r="C12" s="3"/>
    </row>
    <row r="13" customFormat="false" ht="30" hidden="false" customHeight="true" outlineLevel="0" collapsed="false">
      <c r="B13" s="4" t="s">
        <v>16</v>
      </c>
      <c r="C13" s="5" t="s">
        <v>17</v>
      </c>
    </row>
    <row r="14" customFormat="false" ht="15" hidden="false" customHeight="true" outlineLevel="0" collapsed="false">
      <c r="B14" s="4" t="s">
        <v>18</v>
      </c>
      <c r="C14" s="5" t="s">
        <v>19</v>
      </c>
    </row>
    <row r="15" customFormat="false" ht="15" hidden="false" customHeight="true" outlineLevel="0" collapsed="false">
      <c r="B15" s="4" t="s">
        <v>20</v>
      </c>
      <c r="C15" s="5" t="s">
        <v>21</v>
      </c>
    </row>
    <row r="16" customFormat="false" ht="15" hidden="false" customHeight="true" outlineLevel="0" collapsed="false">
      <c r="B16" s="4" t="s">
        <v>22</v>
      </c>
      <c r="C16" s="5" t="s">
        <v>23</v>
      </c>
    </row>
    <row r="17" customFormat="false" ht="30" hidden="false" customHeight="true" outlineLevel="0" collapsed="false">
      <c r="B17" s="4" t="s">
        <v>24</v>
      </c>
      <c r="C17" s="5" t="s">
        <v>25</v>
      </c>
    </row>
    <row r="18" customFormat="false" ht="15" hidden="false" customHeight="true" outlineLevel="0" collapsed="false">
      <c r="B18" s="4" t="s">
        <v>26</v>
      </c>
      <c r="C18" s="5" t="s">
        <v>27</v>
      </c>
    </row>
    <row r="19" customFormat="false" ht="30" hidden="false" customHeight="true" outlineLevel="0" collapsed="false">
      <c r="B19" s="4" t="s">
        <v>28</v>
      </c>
      <c r="C19" s="5" t="s">
        <v>29</v>
      </c>
    </row>
    <row r="21" customFormat="false" ht="15" hidden="false" customHeight="false" outlineLevel="0" collapsed="false">
      <c r="B21" s="3" t="s">
        <v>30</v>
      </c>
      <c r="C21" s="3"/>
    </row>
    <row r="22" customFormat="false" ht="15" hidden="false" customHeight="true" outlineLevel="0" collapsed="false">
      <c r="B22" s="6" t="s">
        <v>31</v>
      </c>
      <c r="C22" s="5" t="s">
        <v>32</v>
      </c>
    </row>
    <row r="23" customFormat="false" ht="15" hidden="false" customHeight="true" outlineLevel="0" collapsed="false">
      <c r="B23" s="6" t="s">
        <v>33</v>
      </c>
      <c r="C23" s="5" t="s">
        <v>34</v>
      </c>
    </row>
    <row r="24" customFormat="false" ht="15" hidden="false" customHeight="true" outlineLevel="0" collapsed="false">
      <c r="B24" s="6" t="s">
        <v>35</v>
      </c>
      <c r="C24" s="5" t="s">
        <v>36</v>
      </c>
    </row>
    <row r="25" customFormat="false" ht="15" hidden="false" customHeight="true" outlineLevel="0" collapsed="false">
      <c r="B25" s="6" t="s">
        <v>37</v>
      </c>
      <c r="C25" s="5" t="s">
        <v>38</v>
      </c>
    </row>
    <row r="27" customFormat="false" ht="15" hidden="false" customHeight="false" outlineLevel="0" collapsed="false">
      <c r="B27" s="3" t="s">
        <v>39</v>
      </c>
      <c r="C27" s="3"/>
    </row>
    <row r="28" customFormat="false" ht="15" hidden="false" customHeight="false" outlineLevel="0" collapsed="false">
      <c r="B28" s="7" t="s">
        <v>40</v>
      </c>
      <c r="C28" s="8" t="s">
        <v>41</v>
      </c>
    </row>
    <row r="29" customFormat="false" ht="15" hidden="false" customHeight="false" outlineLevel="0" collapsed="false">
      <c r="B29" s="9" t="s">
        <v>42</v>
      </c>
      <c r="C29" s="8" t="s">
        <v>43</v>
      </c>
    </row>
    <row r="30" customFormat="false" ht="15" hidden="false" customHeight="false" outlineLevel="0" collapsed="false">
      <c r="B30" s="10" t="s">
        <v>44</v>
      </c>
      <c r="C30" s="8" t="s">
        <v>45</v>
      </c>
    </row>
    <row r="32" customFormat="false" ht="15" hidden="false" customHeight="false" outlineLevel="0" collapsed="false">
      <c r="B32" s="3" t="s">
        <v>46</v>
      </c>
      <c r="C32" s="3"/>
    </row>
    <row r="33" customFormat="false" ht="30" hidden="false" customHeight="true" outlineLevel="0" collapsed="false">
      <c r="B33" s="6" t="s">
        <v>47</v>
      </c>
      <c r="C33" s="5" t="s">
        <v>48</v>
      </c>
    </row>
    <row r="35" customFormat="false" ht="15" hidden="false" customHeight="false" outlineLevel="0" collapsed="false">
      <c r="B35" s="3" t="s">
        <v>49</v>
      </c>
      <c r="C35" s="3"/>
    </row>
    <row r="36" customFormat="false" ht="15" hidden="false" customHeight="true" outlineLevel="0" collapsed="false">
      <c r="B36" s="6" t="s">
        <v>50</v>
      </c>
      <c r="C36" s="5" t="s">
        <v>51</v>
      </c>
    </row>
    <row r="37" customFormat="false" ht="30" hidden="false" customHeight="true" outlineLevel="0" collapsed="false">
      <c r="B37" s="6" t="s">
        <v>52</v>
      </c>
      <c r="C37" s="5" t="s">
        <v>53</v>
      </c>
    </row>
  </sheetData>
  <mergeCells count="8">
    <mergeCell ref="B1:C1"/>
    <mergeCell ref="B2:C2"/>
    <mergeCell ref="B4:C4"/>
    <mergeCell ref="B12:C12"/>
    <mergeCell ref="B21:C21"/>
    <mergeCell ref="B27:C27"/>
    <mergeCell ref="B32:C32"/>
    <mergeCell ref="B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O6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15" min="3" style="0" width="13"/>
  </cols>
  <sheetData>
    <row r="1" customFormat="false" ht="19.7" hidden="false" customHeight="false" outlineLevel="0" collapsed="false">
      <c r="B1" s="1" t="str">
        <f aca="false">"LEAVE &amp; ATTENDANCE DASHBOARD - "&amp;Settings!$C$5</f>
        <v>LEAVE &amp; ATTENDANCE DASHBOARD - Your Company Name</v>
      </c>
      <c r="C1" s="1"/>
      <c r="D1" s="1"/>
      <c r="E1" s="1"/>
      <c r="F1" s="1"/>
      <c r="G1" s="1"/>
      <c r="H1" s="1"/>
      <c r="I1" s="1"/>
      <c r="J1" s="1"/>
      <c r="K1" s="1"/>
      <c r="L1" s="1"/>
      <c r="M1" s="1"/>
      <c r="N1" s="1"/>
      <c r="O1" s="1"/>
    </row>
    <row r="2" customFormat="false" ht="15" hidden="false" customHeight="false" outlineLevel="0" collapsed="false">
      <c r="B2" s="2" t="str">
        <f aca="false">"As of "&amp;TEXT(LvAsOf,"dd-mmm-yyyy")&amp;"   |   Leave year "&amp;LvYear&amp;"   |   All figures are live from Attendance and Leave Record"</f>
        <v>As of 27-Oct-2026   |   Leave year 2026   |   All figures are live from Attendance and Leave Record</v>
      </c>
      <c r="C2" s="2"/>
      <c r="D2" s="2"/>
      <c r="E2" s="2"/>
      <c r="F2" s="2"/>
      <c r="G2" s="2"/>
      <c r="H2" s="2"/>
      <c r="I2" s="2"/>
      <c r="J2" s="2"/>
      <c r="K2" s="2"/>
      <c r="L2" s="2"/>
      <c r="M2" s="2"/>
      <c r="N2" s="2"/>
      <c r="O2" s="2"/>
    </row>
    <row r="4" customFormat="false" ht="25.5" hidden="false" customHeight="true" outlineLevel="0" collapsed="false">
      <c r="B4" s="11" t="s">
        <v>54</v>
      </c>
      <c r="C4" s="11"/>
      <c r="D4" s="11" t="s">
        <v>55</v>
      </c>
      <c r="E4" s="11"/>
      <c r="F4" s="11" t="s">
        <v>56</v>
      </c>
      <c r="G4" s="11"/>
      <c r="H4" s="11" t="s">
        <v>57</v>
      </c>
      <c r="I4" s="11"/>
      <c r="J4" s="11" t="s">
        <v>58</v>
      </c>
      <c r="K4" s="11"/>
      <c r="L4" s="11" t="s">
        <v>59</v>
      </c>
      <c r="M4" s="11"/>
      <c r="N4" s="11" t="s">
        <v>60</v>
      </c>
      <c r="O4" s="11"/>
    </row>
    <row r="5" customFormat="false" ht="31.5" hidden="false" customHeight="true" outlineLevel="0" collapsed="false">
      <c r="B5" s="12" t="n">
        <f aca="false">COUNTIF(M_status,"Active")</f>
        <v>0</v>
      </c>
      <c r="C5" s="12"/>
      <c r="D5" s="12" t="n">
        <f aca="false">COUNTIF(M_status,"Exited")</f>
        <v>0</v>
      </c>
      <c r="E5" s="12"/>
      <c r="F5" s="13" t="n">
        <f aca="false">SUMIFS('Leave Record'!$V$6:$V$505,'Leave Record'!$F$6:$F$505,"Active")</f>
        <v>0</v>
      </c>
      <c r="G5" s="13"/>
      <c r="H5" s="13" t="n">
        <f aca="false">SUMIFS('Leave Record'!$W$6:$W$505,'Leave Record'!$F$6:$F$505,"Active")</f>
        <v>0</v>
      </c>
      <c r="I5" s="13"/>
      <c r="J5" s="13" t="n">
        <f aca="false">SUMIFS('Leave Record'!$X$6:$X$505,'Leave Record'!$F$6:$F$505,"Active")</f>
        <v>0</v>
      </c>
      <c r="K5" s="13"/>
      <c r="L5" s="13" t="n">
        <f aca="false">SUMIFS('Leave Record'!$Z$6:$Z$505,'Leave Record'!$F$6:$F$505,"Active")</f>
        <v>0</v>
      </c>
      <c r="M5" s="13"/>
      <c r="N5" s="12" t="n">
        <f aca="false">COUNTIFS('Leave Record'!$F$6:$F$505,"Active",'Leave Record'!$X$6:$X$505,"&lt;=0",'Leave Record'!$AC$6:$AC$505,"&lt;&gt;NOT ELIGIBLE")</f>
        <v>0</v>
      </c>
      <c r="O5" s="12"/>
    </row>
    <row r="7" customFormat="false" ht="25.5" hidden="false" customHeight="true" outlineLevel="0" collapsed="false">
      <c r="B7" s="11" t="s">
        <v>61</v>
      </c>
      <c r="C7" s="11"/>
      <c r="D7" s="11" t="s">
        <v>62</v>
      </c>
      <c r="E7" s="11"/>
      <c r="F7" s="11" t="s">
        <v>63</v>
      </c>
      <c r="G7" s="11"/>
      <c r="H7" s="11" t="s">
        <v>64</v>
      </c>
      <c r="I7" s="11"/>
      <c r="J7" s="11" t="s">
        <v>65</v>
      </c>
      <c r="K7" s="11"/>
      <c r="L7" s="11" t="s">
        <v>66</v>
      </c>
      <c r="M7" s="11"/>
      <c r="N7" s="11" t="s">
        <v>67</v>
      </c>
      <c r="O7" s="11"/>
    </row>
    <row r="8" customFormat="false" ht="31.5" hidden="false" customHeight="true" outlineLevel="0" collapsed="false">
      <c r="B8" s="12" t="n">
        <f aca="false">COUNTIF('Leave Record'!$AC$6:$AC$505,"OVER-USED")</f>
        <v>0</v>
      </c>
      <c r="C8" s="12"/>
      <c r="D8" s="12" t="n">
        <f aca="false">COUNTIF('Leave Record'!$AC$6:$AC$505,"LOW")</f>
        <v>0</v>
      </c>
      <c r="E8" s="12"/>
      <c r="F8" s="12" t="n">
        <f aca="false">COUNTIF('Leave Record'!$AC$6:$AC$505,"NOT ELIGIBLE")</f>
        <v>0</v>
      </c>
      <c r="G8" s="12"/>
      <c r="H8" s="13" t="n">
        <f aca="false">SUMIFS('Leave Record'!$R$6:$R$505,'Leave Record'!$F$6:$F$505,"Active")</f>
        <v>0</v>
      </c>
      <c r="I8" s="13"/>
      <c r="J8" s="13" t="n">
        <f aca="false">SUMIFS('Leave Record'!$S$6:$S$505,'Leave Record'!$F$6:$F$505,"Active")</f>
        <v>0</v>
      </c>
      <c r="K8" s="13"/>
      <c r="L8" s="13" t="n">
        <f aca="false">SUMIFS('Leave Record'!$T$6:$T$505,'Leave Record'!$F$6:$F$505,"Active")</f>
        <v>0</v>
      </c>
      <c r="M8" s="13"/>
      <c r="N8" s="13" t="n">
        <f aca="false">SUMIFS('Leave Record'!$U$6:$U$505,'Leave Record'!$F$6:$F$505,"Active")</f>
        <v>0</v>
      </c>
      <c r="O8" s="13"/>
    </row>
    <row r="10" customFormat="false" ht="15" hidden="false" customHeight="false" outlineLevel="0" collapsed="false">
      <c r="B10" s="3" t="s">
        <v>68</v>
      </c>
      <c r="C10" s="3"/>
      <c r="D10" s="3"/>
      <c r="E10" s="3"/>
      <c r="F10" s="3"/>
      <c r="G10" s="3"/>
      <c r="H10" s="3"/>
      <c r="J10" s="3" t="s">
        <v>69</v>
      </c>
      <c r="K10" s="3"/>
      <c r="L10" s="3"/>
      <c r="M10" s="3"/>
      <c r="N10" s="3"/>
      <c r="O10" s="3"/>
    </row>
    <row r="11" customFormat="false" ht="39.75" hidden="false" customHeight="true" outlineLevel="0" collapsed="false">
      <c r="B11" s="14" t="s">
        <v>70</v>
      </c>
      <c r="C11" s="14" t="s">
        <v>71</v>
      </c>
      <c r="D11" s="14" t="s">
        <v>72</v>
      </c>
      <c r="E11" s="14" t="s">
        <v>73</v>
      </c>
      <c r="F11" s="14" t="s">
        <v>74</v>
      </c>
      <c r="G11" s="14" t="s">
        <v>75</v>
      </c>
      <c r="H11" s="14" t="s">
        <v>76</v>
      </c>
      <c r="J11" s="14" t="s">
        <v>77</v>
      </c>
      <c r="K11" s="14" t="s">
        <v>71</v>
      </c>
      <c r="L11" s="14" t="s">
        <v>72</v>
      </c>
      <c r="M11" s="14" t="s">
        <v>73</v>
      </c>
      <c r="N11" s="14" t="s">
        <v>74</v>
      </c>
      <c r="O11" s="14" t="s">
        <v>75</v>
      </c>
    </row>
    <row r="12" customFormat="false" ht="15" hidden="false" customHeight="false" outlineLevel="0" collapsed="false">
      <c r="B12" s="8" t="str">
        <f aca="false">IF(Lists!A5="","",Lists!A5)</f>
        <v>Admin</v>
      </c>
      <c r="C12" s="15" t="n">
        <f aca="false">IF($B12="","",COUNTIFS('Leave Record'!$D$6:$D$505,$B12,'Leave Record'!$F$6:$F$505,"Active"))</f>
        <v>0</v>
      </c>
      <c r="D12" s="16" t="n">
        <f aca="false">IF($B12="","",SUMIFS('Leave Record'!$V$6:$V$505,'Leave Record'!$D$6:$D$505,$B12,'Leave Record'!$F$6:$F$505,"Active"))</f>
        <v>0</v>
      </c>
      <c r="E12" s="16" t="n">
        <f aca="false">IF($B12="","",SUMIFS('Leave Record'!$W$6:$W$505,'Leave Record'!$D$6:$D$505,$B12,'Leave Record'!$F$6:$F$505,"Active"))</f>
        <v>0</v>
      </c>
      <c r="F12" s="16" t="n">
        <f aca="false">IF($B12="","",SUMIFS('Leave Record'!$X$6:$X$505,'Leave Record'!$D$6:$D$505,$B12,'Leave Record'!$F$6:$F$505,"Active"))</f>
        <v>0</v>
      </c>
      <c r="G12" s="16" t="n">
        <f aca="false">IF($B12="","",SUMIFS('Leave Record'!$Z$6:$Z$505,'Leave Record'!$D$6:$D$505,$B12,'Leave Record'!$F$6:$F$505,"Active"))</f>
        <v>0</v>
      </c>
      <c r="H12" s="15" t="n">
        <f aca="false">IF($B12="","",COUNTIFS('Leave Record'!$D$6:$D$505,$B12,'Leave Record'!$AC$6:$AC$505,"OVER-USED")+COUNTIFS('Leave Record'!$D$6:$D$505,$B12,'Leave Record'!$AC$6:$AC$505,"LOW"))</f>
        <v>0</v>
      </c>
      <c r="J12" s="8" t="str">
        <f aca="false">IF(Lists!B5="","",Lists!B5)</f>
        <v>Location 1</v>
      </c>
      <c r="K12" s="15" t="n">
        <f aca="false">IF($J12="","",COUNTIFS('Leave Record'!$E$6:$E$505,$J12,'Leave Record'!$F$6:$F$505,"Active"))</f>
        <v>0</v>
      </c>
      <c r="L12" s="16" t="n">
        <f aca="false">IF($J12="","",SUMIFS('Leave Record'!$V$6:$V$505,'Leave Record'!$E$6:$E$505,$J12,'Leave Record'!$F$6:$F$505,"Active"))</f>
        <v>0</v>
      </c>
      <c r="M12" s="16" t="n">
        <f aca="false">IF($J12="","",SUMIFS('Leave Record'!$W$6:$W$505,'Leave Record'!$E$6:$E$505,$J12,'Leave Record'!$F$6:$F$505,"Active"))</f>
        <v>0</v>
      </c>
      <c r="N12" s="16" t="n">
        <f aca="false">IF($J12="","",SUMIFS('Leave Record'!$X$6:$X$505,'Leave Record'!$E$6:$E$505,$J12,'Leave Record'!$F$6:$F$505,"Active"))</f>
        <v>0</v>
      </c>
      <c r="O12" s="16" t="n">
        <f aca="false">IF($J12="","",SUMIFS('Leave Record'!$Z$6:$Z$505,'Leave Record'!$E$6:$E$505,$J12,'Leave Record'!$F$6:$F$505,"Active"))</f>
        <v>0</v>
      </c>
    </row>
    <row r="13" customFormat="false" ht="15" hidden="false" customHeight="false" outlineLevel="0" collapsed="false">
      <c r="B13" s="8" t="str">
        <f aca="false">IF(Lists!A6="","",Lists!A6)</f>
        <v>Accounts</v>
      </c>
      <c r="C13" s="15" t="n">
        <f aca="false">IF($B13="","",COUNTIFS('Leave Record'!$D$6:$D$505,$B13,'Leave Record'!$F$6:$F$505,"Active"))</f>
        <v>0</v>
      </c>
      <c r="D13" s="16" t="n">
        <f aca="false">IF($B13="","",SUMIFS('Leave Record'!$V$6:$V$505,'Leave Record'!$D$6:$D$505,$B13,'Leave Record'!$F$6:$F$505,"Active"))</f>
        <v>0</v>
      </c>
      <c r="E13" s="16" t="n">
        <f aca="false">IF($B13="","",SUMIFS('Leave Record'!$W$6:$W$505,'Leave Record'!$D$6:$D$505,$B13,'Leave Record'!$F$6:$F$505,"Active"))</f>
        <v>0</v>
      </c>
      <c r="F13" s="16" t="n">
        <f aca="false">IF($B13="","",SUMIFS('Leave Record'!$X$6:$X$505,'Leave Record'!$D$6:$D$505,$B13,'Leave Record'!$F$6:$F$505,"Active"))</f>
        <v>0</v>
      </c>
      <c r="G13" s="16" t="n">
        <f aca="false">IF($B13="","",SUMIFS('Leave Record'!$Z$6:$Z$505,'Leave Record'!$D$6:$D$505,$B13,'Leave Record'!$F$6:$F$505,"Active"))</f>
        <v>0</v>
      </c>
      <c r="H13" s="15" t="n">
        <f aca="false">IF($B13="","",COUNTIFS('Leave Record'!$D$6:$D$505,$B13,'Leave Record'!$AC$6:$AC$505,"OVER-USED")+COUNTIFS('Leave Record'!$D$6:$D$505,$B13,'Leave Record'!$AC$6:$AC$505,"LOW"))</f>
        <v>0</v>
      </c>
      <c r="J13" s="8" t="str">
        <f aca="false">IF(Lists!B6="","",Lists!B6)</f>
        <v>Location 2</v>
      </c>
      <c r="K13" s="15" t="n">
        <f aca="false">IF($J13="","",COUNTIFS('Leave Record'!$E$6:$E$505,$J13,'Leave Record'!$F$6:$F$505,"Active"))</f>
        <v>0</v>
      </c>
      <c r="L13" s="16" t="n">
        <f aca="false">IF($J13="","",SUMIFS('Leave Record'!$V$6:$V$505,'Leave Record'!$E$6:$E$505,$J13,'Leave Record'!$F$6:$F$505,"Active"))</f>
        <v>0</v>
      </c>
      <c r="M13" s="16" t="n">
        <f aca="false">IF($J13="","",SUMIFS('Leave Record'!$W$6:$W$505,'Leave Record'!$E$6:$E$505,$J13,'Leave Record'!$F$6:$F$505,"Active"))</f>
        <v>0</v>
      </c>
      <c r="N13" s="16" t="n">
        <f aca="false">IF($J13="","",SUMIFS('Leave Record'!$X$6:$X$505,'Leave Record'!$E$6:$E$505,$J13,'Leave Record'!$F$6:$F$505,"Active"))</f>
        <v>0</v>
      </c>
      <c r="O13" s="16" t="n">
        <f aca="false">IF($J13="","",SUMIFS('Leave Record'!$Z$6:$Z$505,'Leave Record'!$E$6:$E$505,$J13,'Leave Record'!$F$6:$F$505,"Active"))</f>
        <v>0</v>
      </c>
    </row>
    <row r="14" customFormat="false" ht="15" hidden="false" customHeight="false" outlineLevel="0" collapsed="false">
      <c r="B14" s="8" t="str">
        <f aca="false">IF(Lists!A7="","",Lists!A7)</f>
        <v>HR</v>
      </c>
      <c r="C14" s="15" t="n">
        <f aca="false">IF($B14="","",COUNTIFS('Leave Record'!$D$6:$D$505,$B14,'Leave Record'!$F$6:$F$505,"Active"))</f>
        <v>0</v>
      </c>
      <c r="D14" s="16" t="n">
        <f aca="false">IF($B14="","",SUMIFS('Leave Record'!$V$6:$V$505,'Leave Record'!$D$6:$D$505,$B14,'Leave Record'!$F$6:$F$505,"Active"))</f>
        <v>0</v>
      </c>
      <c r="E14" s="16" t="n">
        <f aca="false">IF($B14="","",SUMIFS('Leave Record'!$W$6:$W$505,'Leave Record'!$D$6:$D$505,$B14,'Leave Record'!$F$6:$F$505,"Active"))</f>
        <v>0</v>
      </c>
      <c r="F14" s="16" t="n">
        <f aca="false">IF($B14="","",SUMIFS('Leave Record'!$X$6:$X$505,'Leave Record'!$D$6:$D$505,$B14,'Leave Record'!$F$6:$F$505,"Active"))</f>
        <v>0</v>
      </c>
      <c r="G14" s="16" t="n">
        <f aca="false">IF($B14="","",SUMIFS('Leave Record'!$Z$6:$Z$505,'Leave Record'!$D$6:$D$505,$B14,'Leave Record'!$F$6:$F$505,"Active"))</f>
        <v>0</v>
      </c>
      <c r="H14" s="15" t="n">
        <f aca="false">IF($B14="","",COUNTIFS('Leave Record'!$D$6:$D$505,$B14,'Leave Record'!$AC$6:$AC$505,"OVER-USED")+COUNTIFS('Leave Record'!$D$6:$D$505,$B14,'Leave Record'!$AC$6:$AC$505,"LOW"))</f>
        <v>0</v>
      </c>
      <c r="J14" s="8" t="str">
        <f aca="false">IF(Lists!B7="","",Lists!B7)</f>
        <v/>
      </c>
      <c r="K14" s="15" t="str">
        <f aca="false">IF($J14="","",COUNTIFS('Leave Record'!$E$6:$E$505,$J14,'Leave Record'!$F$6:$F$505,"Active"))</f>
        <v/>
      </c>
      <c r="L14" s="16" t="str">
        <f aca="false">IF($J14="","",SUMIFS('Leave Record'!$V$6:$V$505,'Leave Record'!$E$6:$E$505,$J14,'Leave Record'!$F$6:$F$505,"Active"))</f>
        <v/>
      </c>
      <c r="M14" s="16" t="str">
        <f aca="false">IF($J14="","",SUMIFS('Leave Record'!$W$6:$W$505,'Leave Record'!$E$6:$E$505,$J14,'Leave Record'!$F$6:$F$505,"Active"))</f>
        <v/>
      </c>
      <c r="N14" s="16" t="str">
        <f aca="false">IF($J14="","",SUMIFS('Leave Record'!$X$6:$X$505,'Leave Record'!$E$6:$E$505,$J14,'Leave Record'!$F$6:$F$505,"Active"))</f>
        <v/>
      </c>
      <c r="O14" s="16" t="str">
        <f aca="false">IF($J14="","",SUMIFS('Leave Record'!$Z$6:$Z$505,'Leave Record'!$E$6:$E$505,$J14,'Leave Record'!$F$6:$F$505,"Active"))</f>
        <v/>
      </c>
    </row>
    <row r="15" customFormat="false" ht="15" hidden="false" customHeight="false" outlineLevel="0" collapsed="false">
      <c r="B15" s="8" t="str">
        <f aca="false">IF(Lists!A8="","",Lists!A8)</f>
        <v>IT</v>
      </c>
      <c r="C15" s="15" t="n">
        <f aca="false">IF($B15="","",COUNTIFS('Leave Record'!$D$6:$D$505,$B15,'Leave Record'!$F$6:$F$505,"Active"))</f>
        <v>0</v>
      </c>
      <c r="D15" s="16" t="n">
        <f aca="false">IF($B15="","",SUMIFS('Leave Record'!$V$6:$V$505,'Leave Record'!$D$6:$D$505,$B15,'Leave Record'!$F$6:$F$505,"Active"))</f>
        <v>0</v>
      </c>
      <c r="E15" s="16" t="n">
        <f aca="false">IF($B15="","",SUMIFS('Leave Record'!$W$6:$W$505,'Leave Record'!$D$6:$D$505,$B15,'Leave Record'!$F$6:$F$505,"Active"))</f>
        <v>0</v>
      </c>
      <c r="F15" s="16" t="n">
        <f aca="false">IF($B15="","",SUMIFS('Leave Record'!$X$6:$X$505,'Leave Record'!$D$6:$D$505,$B15,'Leave Record'!$F$6:$F$505,"Active"))</f>
        <v>0</v>
      </c>
      <c r="G15" s="16" t="n">
        <f aca="false">IF($B15="","",SUMIFS('Leave Record'!$Z$6:$Z$505,'Leave Record'!$D$6:$D$505,$B15,'Leave Record'!$F$6:$F$505,"Active"))</f>
        <v>0</v>
      </c>
      <c r="H15" s="15" t="n">
        <f aca="false">IF($B15="","",COUNTIFS('Leave Record'!$D$6:$D$505,$B15,'Leave Record'!$AC$6:$AC$505,"OVER-USED")+COUNTIFS('Leave Record'!$D$6:$D$505,$B15,'Leave Record'!$AC$6:$AC$505,"LOW"))</f>
        <v>0</v>
      </c>
      <c r="J15" s="8" t="str">
        <f aca="false">IF(Lists!B8="","",Lists!B8)</f>
        <v/>
      </c>
      <c r="K15" s="15" t="str">
        <f aca="false">IF($J15="","",COUNTIFS('Leave Record'!$E$6:$E$505,$J15,'Leave Record'!$F$6:$F$505,"Active"))</f>
        <v/>
      </c>
      <c r="L15" s="16" t="str">
        <f aca="false">IF($J15="","",SUMIFS('Leave Record'!$V$6:$V$505,'Leave Record'!$E$6:$E$505,$J15,'Leave Record'!$F$6:$F$505,"Active"))</f>
        <v/>
      </c>
      <c r="M15" s="16" t="str">
        <f aca="false">IF($J15="","",SUMIFS('Leave Record'!$W$6:$W$505,'Leave Record'!$E$6:$E$505,$J15,'Leave Record'!$F$6:$F$505,"Active"))</f>
        <v/>
      </c>
      <c r="N15" s="16" t="str">
        <f aca="false">IF($J15="","",SUMIFS('Leave Record'!$X$6:$X$505,'Leave Record'!$E$6:$E$505,$J15,'Leave Record'!$F$6:$F$505,"Active"))</f>
        <v/>
      </c>
      <c r="O15" s="16" t="str">
        <f aca="false">IF($J15="","",SUMIFS('Leave Record'!$Z$6:$Z$505,'Leave Record'!$E$6:$E$505,$J15,'Leave Record'!$F$6:$F$505,"Active"))</f>
        <v/>
      </c>
    </row>
    <row r="16" customFormat="false" ht="15" hidden="false" customHeight="false" outlineLevel="0" collapsed="false">
      <c r="B16" s="8" t="str">
        <f aca="false">IF(Lists!A9="","",Lists!A9)</f>
        <v>Operations</v>
      </c>
      <c r="C16" s="15" t="n">
        <f aca="false">IF($B16="","",COUNTIFS('Leave Record'!$D$6:$D$505,$B16,'Leave Record'!$F$6:$F$505,"Active"))</f>
        <v>0</v>
      </c>
      <c r="D16" s="16" t="n">
        <f aca="false">IF($B16="","",SUMIFS('Leave Record'!$V$6:$V$505,'Leave Record'!$D$6:$D$505,$B16,'Leave Record'!$F$6:$F$505,"Active"))</f>
        <v>0</v>
      </c>
      <c r="E16" s="16" t="n">
        <f aca="false">IF($B16="","",SUMIFS('Leave Record'!$W$6:$W$505,'Leave Record'!$D$6:$D$505,$B16,'Leave Record'!$F$6:$F$505,"Active"))</f>
        <v>0</v>
      </c>
      <c r="F16" s="16" t="n">
        <f aca="false">IF($B16="","",SUMIFS('Leave Record'!$X$6:$X$505,'Leave Record'!$D$6:$D$505,$B16,'Leave Record'!$F$6:$F$505,"Active"))</f>
        <v>0</v>
      </c>
      <c r="G16" s="16" t="n">
        <f aca="false">IF($B16="","",SUMIFS('Leave Record'!$Z$6:$Z$505,'Leave Record'!$D$6:$D$505,$B16,'Leave Record'!$F$6:$F$505,"Active"))</f>
        <v>0</v>
      </c>
      <c r="H16" s="15" t="n">
        <f aca="false">IF($B16="","",COUNTIFS('Leave Record'!$D$6:$D$505,$B16,'Leave Record'!$AC$6:$AC$505,"OVER-USED")+COUNTIFS('Leave Record'!$D$6:$D$505,$B16,'Leave Record'!$AC$6:$AC$505,"LOW"))</f>
        <v>0</v>
      </c>
      <c r="J16" s="8" t="str">
        <f aca="false">IF(Lists!B9="","",Lists!B9)</f>
        <v/>
      </c>
      <c r="K16" s="15" t="str">
        <f aca="false">IF($J16="","",COUNTIFS('Leave Record'!$E$6:$E$505,$J16,'Leave Record'!$F$6:$F$505,"Active"))</f>
        <v/>
      </c>
      <c r="L16" s="16" t="str">
        <f aca="false">IF($J16="","",SUMIFS('Leave Record'!$V$6:$V$505,'Leave Record'!$E$6:$E$505,$J16,'Leave Record'!$F$6:$F$505,"Active"))</f>
        <v/>
      </c>
      <c r="M16" s="16" t="str">
        <f aca="false">IF($J16="","",SUMIFS('Leave Record'!$W$6:$W$505,'Leave Record'!$E$6:$E$505,$J16,'Leave Record'!$F$6:$F$505,"Active"))</f>
        <v/>
      </c>
      <c r="N16" s="16" t="str">
        <f aca="false">IF($J16="","",SUMIFS('Leave Record'!$X$6:$X$505,'Leave Record'!$E$6:$E$505,$J16,'Leave Record'!$F$6:$F$505,"Active"))</f>
        <v/>
      </c>
      <c r="O16" s="16" t="str">
        <f aca="false">IF($J16="","",SUMIFS('Leave Record'!$Z$6:$Z$505,'Leave Record'!$E$6:$E$505,$J16,'Leave Record'!$F$6:$F$505,"Active"))</f>
        <v/>
      </c>
    </row>
    <row r="17" customFormat="false" ht="15" hidden="false" customHeight="false" outlineLevel="0" collapsed="false">
      <c r="B17" s="8" t="str">
        <f aca="false">IF(Lists!A10="","",Lists!A10)</f>
        <v>Production</v>
      </c>
      <c r="C17" s="15" t="n">
        <f aca="false">IF($B17="","",COUNTIFS('Leave Record'!$D$6:$D$505,$B17,'Leave Record'!$F$6:$F$505,"Active"))</f>
        <v>0</v>
      </c>
      <c r="D17" s="16" t="n">
        <f aca="false">IF($B17="","",SUMIFS('Leave Record'!$V$6:$V$505,'Leave Record'!$D$6:$D$505,$B17,'Leave Record'!$F$6:$F$505,"Active"))</f>
        <v>0</v>
      </c>
      <c r="E17" s="16" t="n">
        <f aca="false">IF($B17="","",SUMIFS('Leave Record'!$W$6:$W$505,'Leave Record'!$D$6:$D$505,$B17,'Leave Record'!$F$6:$F$505,"Active"))</f>
        <v>0</v>
      </c>
      <c r="F17" s="16" t="n">
        <f aca="false">IF($B17="","",SUMIFS('Leave Record'!$X$6:$X$505,'Leave Record'!$D$6:$D$505,$B17,'Leave Record'!$F$6:$F$505,"Active"))</f>
        <v>0</v>
      </c>
      <c r="G17" s="16" t="n">
        <f aca="false">IF($B17="","",SUMIFS('Leave Record'!$Z$6:$Z$505,'Leave Record'!$D$6:$D$505,$B17,'Leave Record'!$F$6:$F$505,"Active"))</f>
        <v>0</v>
      </c>
      <c r="H17" s="15" t="n">
        <f aca="false">IF($B17="","",COUNTIFS('Leave Record'!$D$6:$D$505,$B17,'Leave Record'!$AC$6:$AC$505,"OVER-USED")+COUNTIFS('Leave Record'!$D$6:$D$505,$B17,'Leave Record'!$AC$6:$AC$505,"LOW"))</f>
        <v>0</v>
      </c>
      <c r="J17" s="8" t="str">
        <f aca="false">IF(Lists!B10="","",Lists!B10)</f>
        <v/>
      </c>
      <c r="K17" s="15" t="str">
        <f aca="false">IF($J17="","",COUNTIFS('Leave Record'!$E$6:$E$505,$J17,'Leave Record'!$F$6:$F$505,"Active"))</f>
        <v/>
      </c>
      <c r="L17" s="16" t="str">
        <f aca="false">IF($J17="","",SUMIFS('Leave Record'!$V$6:$V$505,'Leave Record'!$E$6:$E$505,$J17,'Leave Record'!$F$6:$F$505,"Active"))</f>
        <v/>
      </c>
      <c r="M17" s="16" t="str">
        <f aca="false">IF($J17="","",SUMIFS('Leave Record'!$W$6:$W$505,'Leave Record'!$E$6:$E$505,$J17,'Leave Record'!$F$6:$F$505,"Active"))</f>
        <v/>
      </c>
      <c r="N17" s="16" t="str">
        <f aca="false">IF($J17="","",SUMIFS('Leave Record'!$X$6:$X$505,'Leave Record'!$E$6:$E$505,$J17,'Leave Record'!$F$6:$F$505,"Active"))</f>
        <v/>
      </c>
      <c r="O17" s="16" t="str">
        <f aca="false">IF($J17="","",SUMIFS('Leave Record'!$Z$6:$Z$505,'Leave Record'!$E$6:$E$505,$J17,'Leave Record'!$F$6:$F$505,"Active"))</f>
        <v/>
      </c>
    </row>
    <row r="18" customFormat="false" ht="15" hidden="false" customHeight="false" outlineLevel="0" collapsed="false">
      <c r="B18" s="8" t="str">
        <f aca="false">IF(Lists!A11="","",Lists!A11)</f>
        <v>Sales</v>
      </c>
      <c r="C18" s="15" t="n">
        <f aca="false">IF($B18="","",COUNTIFS('Leave Record'!$D$6:$D$505,$B18,'Leave Record'!$F$6:$F$505,"Active"))</f>
        <v>0</v>
      </c>
      <c r="D18" s="16" t="n">
        <f aca="false">IF($B18="","",SUMIFS('Leave Record'!$V$6:$V$505,'Leave Record'!$D$6:$D$505,$B18,'Leave Record'!$F$6:$F$505,"Active"))</f>
        <v>0</v>
      </c>
      <c r="E18" s="16" t="n">
        <f aca="false">IF($B18="","",SUMIFS('Leave Record'!$W$6:$W$505,'Leave Record'!$D$6:$D$505,$B18,'Leave Record'!$F$6:$F$505,"Active"))</f>
        <v>0</v>
      </c>
      <c r="F18" s="16" t="n">
        <f aca="false">IF($B18="","",SUMIFS('Leave Record'!$X$6:$X$505,'Leave Record'!$D$6:$D$505,$B18,'Leave Record'!$F$6:$F$505,"Active"))</f>
        <v>0</v>
      </c>
      <c r="G18" s="16" t="n">
        <f aca="false">IF($B18="","",SUMIFS('Leave Record'!$Z$6:$Z$505,'Leave Record'!$D$6:$D$505,$B18,'Leave Record'!$F$6:$F$505,"Active"))</f>
        <v>0</v>
      </c>
      <c r="H18" s="15" t="n">
        <f aca="false">IF($B18="","",COUNTIFS('Leave Record'!$D$6:$D$505,$B18,'Leave Record'!$AC$6:$AC$505,"OVER-USED")+COUNTIFS('Leave Record'!$D$6:$D$505,$B18,'Leave Record'!$AC$6:$AC$505,"LOW"))</f>
        <v>0</v>
      </c>
      <c r="J18" s="8" t="str">
        <f aca="false">IF(Lists!B11="","",Lists!B11)</f>
        <v/>
      </c>
      <c r="K18" s="15" t="str">
        <f aca="false">IF($J18="","",COUNTIFS('Leave Record'!$E$6:$E$505,$J18,'Leave Record'!$F$6:$F$505,"Active"))</f>
        <v/>
      </c>
      <c r="L18" s="16" t="str">
        <f aca="false">IF($J18="","",SUMIFS('Leave Record'!$V$6:$V$505,'Leave Record'!$E$6:$E$505,$J18,'Leave Record'!$F$6:$F$505,"Active"))</f>
        <v/>
      </c>
      <c r="M18" s="16" t="str">
        <f aca="false">IF($J18="","",SUMIFS('Leave Record'!$W$6:$W$505,'Leave Record'!$E$6:$E$505,$J18,'Leave Record'!$F$6:$F$505,"Active"))</f>
        <v/>
      </c>
      <c r="N18" s="16" t="str">
        <f aca="false">IF($J18="","",SUMIFS('Leave Record'!$X$6:$X$505,'Leave Record'!$E$6:$E$505,$J18,'Leave Record'!$F$6:$F$505,"Active"))</f>
        <v/>
      </c>
      <c r="O18" s="16" t="str">
        <f aca="false">IF($J18="","",SUMIFS('Leave Record'!$Z$6:$Z$505,'Leave Record'!$E$6:$E$505,$J18,'Leave Record'!$F$6:$F$505,"Active"))</f>
        <v/>
      </c>
    </row>
    <row r="19" customFormat="false" ht="15" hidden="false" customHeight="false" outlineLevel="0" collapsed="false">
      <c r="B19" s="8" t="str">
        <f aca="false">IF(Lists!A12="","",Lists!A12)</f>
        <v>Stores</v>
      </c>
      <c r="C19" s="15" t="n">
        <f aca="false">IF($B19="","",COUNTIFS('Leave Record'!$D$6:$D$505,$B19,'Leave Record'!$F$6:$F$505,"Active"))</f>
        <v>0</v>
      </c>
      <c r="D19" s="16" t="n">
        <f aca="false">IF($B19="","",SUMIFS('Leave Record'!$V$6:$V$505,'Leave Record'!$D$6:$D$505,$B19,'Leave Record'!$F$6:$F$505,"Active"))</f>
        <v>0</v>
      </c>
      <c r="E19" s="16" t="n">
        <f aca="false">IF($B19="","",SUMIFS('Leave Record'!$W$6:$W$505,'Leave Record'!$D$6:$D$505,$B19,'Leave Record'!$F$6:$F$505,"Active"))</f>
        <v>0</v>
      </c>
      <c r="F19" s="16" t="n">
        <f aca="false">IF($B19="","",SUMIFS('Leave Record'!$X$6:$X$505,'Leave Record'!$D$6:$D$505,$B19,'Leave Record'!$F$6:$F$505,"Active"))</f>
        <v>0</v>
      </c>
      <c r="G19" s="16" t="n">
        <f aca="false">IF($B19="","",SUMIFS('Leave Record'!$Z$6:$Z$505,'Leave Record'!$D$6:$D$505,$B19,'Leave Record'!$F$6:$F$505,"Active"))</f>
        <v>0</v>
      </c>
      <c r="H19" s="15" t="n">
        <f aca="false">IF($B19="","",COUNTIFS('Leave Record'!$D$6:$D$505,$B19,'Leave Record'!$AC$6:$AC$505,"OVER-USED")+COUNTIFS('Leave Record'!$D$6:$D$505,$B19,'Leave Record'!$AC$6:$AC$505,"LOW"))</f>
        <v>0</v>
      </c>
      <c r="J19" s="8" t="str">
        <f aca="false">IF(Lists!B12="","",Lists!B12)</f>
        <v/>
      </c>
      <c r="K19" s="15" t="str">
        <f aca="false">IF($J19="","",COUNTIFS('Leave Record'!$E$6:$E$505,$J19,'Leave Record'!$F$6:$F$505,"Active"))</f>
        <v/>
      </c>
      <c r="L19" s="16" t="str">
        <f aca="false">IF($J19="","",SUMIFS('Leave Record'!$V$6:$V$505,'Leave Record'!$E$6:$E$505,$J19,'Leave Record'!$F$6:$F$505,"Active"))</f>
        <v/>
      </c>
      <c r="M19" s="16" t="str">
        <f aca="false">IF($J19="","",SUMIFS('Leave Record'!$W$6:$W$505,'Leave Record'!$E$6:$E$505,$J19,'Leave Record'!$F$6:$F$505,"Active"))</f>
        <v/>
      </c>
      <c r="N19" s="16" t="str">
        <f aca="false">IF($J19="","",SUMIFS('Leave Record'!$X$6:$X$505,'Leave Record'!$E$6:$E$505,$J19,'Leave Record'!$F$6:$F$505,"Active"))</f>
        <v/>
      </c>
      <c r="O19" s="16" t="str">
        <f aca="false">IF($J19="","",SUMIFS('Leave Record'!$Z$6:$Z$505,'Leave Record'!$E$6:$E$505,$J19,'Leave Record'!$F$6:$F$505,"Active"))</f>
        <v/>
      </c>
    </row>
    <row r="20" customFormat="false" ht="15" hidden="false" customHeight="false" outlineLevel="0" collapsed="false">
      <c r="B20" s="8" t="str">
        <f aca="false">IF(Lists!A13="","",Lists!A13)</f>
        <v/>
      </c>
      <c r="C20" s="15" t="str">
        <f aca="false">IF($B20="","",COUNTIFS('Leave Record'!$D$6:$D$505,$B20,'Leave Record'!$F$6:$F$505,"Active"))</f>
        <v/>
      </c>
      <c r="D20" s="16" t="str">
        <f aca="false">IF($B20="","",SUMIFS('Leave Record'!$V$6:$V$505,'Leave Record'!$D$6:$D$505,$B20,'Leave Record'!$F$6:$F$505,"Active"))</f>
        <v/>
      </c>
      <c r="E20" s="16" t="str">
        <f aca="false">IF($B20="","",SUMIFS('Leave Record'!$W$6:$W$505,'Leave Record'!$D$6:$D$505,$B20,'Leave Record'!$F$6:$F$505,"Active"))</f>
        <v/>
      </c>
      <c r="F20" s="16" t="str">
        <f aca="false">IF($B20="","",SUMIFS('Leave Record'!$X$6:$X$505,'Leave Record'!$D$6:$D$505,$B20,'Leave Record'!$F$6:$F$505,"Active"))</f>
        <v/>
      </c>
      <c r="G20" s="16" t="str">
        <f aca="false">IF($B20="","",SUMIFS('Leave Record'!$Z$6:$Z$505,'Leave Record'!$D$6:$D$505,$B20,'Leave Record'!$F$6:$F$505,"Active"))</f>
        <v/>
      </c>
      <c r="H20" s="15" t="str">
        <f aca="false">IF($B20="","",COUNTIFS('Leave Record'!$D$6:$D$505,$B20,'Leave Record'!$AC$6:$AC$505,"OVER-USED")+COUNTIFS('Leave Record'!$D$6:$D$505,$B20,'Leave Record'!$AC$6:$AC$505,"LOW"))</f>
        <v/>
      </c>
      <c r="J20" s="8" t="str">
        <f aca="false">IF(Lists!B13="","",Lists!B13)</f>
        <v/>
      </c>
      <c r="K20" s="15" t="str">
        <f aca="false">IF($J20="","",COUNTIFS('Leave Record'!$E$6:$E$505,$J20,'Leave Record'!$F$6:$F$505,"Active"))</f>
        <v/>
      </c>
      <c r="L20" s="16" t="str">
        <f aca="false">IF($J20="","",SUMIFS('Leave Record'!$V$6:$V$505,'Leave Record'!$E$6:$E$505,$J20,'Leave Record'!$F$6:$F$505,"Active"))</f>
        <v/>
      </c>
      <c r="M20" s="16" t="str">
        <f aca="false">IF($J20="","",SUMIFS('Leave Record'!$W$6:$W$505,'Leave Record'!$E$6:$E$505,$J20,'Leave Record'!$F$6:$F$505,"Active"))</f>
        <v/>
      </c>
      <c r="N20" s="16" t="str">
        <f aca="false">IF($J20="","",SUMIFS('Leave Record'!$X$6:$X$505,'Leave Record'!$E$6:$E$505,$J20,'Leave Record'!$F$6:$F$505,"Active"))</f>
        <v/>
      </c>
      <c r="O20" s="16" t="str">
        <f aca="false">IF($J20="","",SUMIFS('Leave Record'!$Z$6:$Z$505,'Leave Record'!$E$6:$E$505,$J20,'Leave Record'!$F$6:$F$505,"Active"))</f>
        <v/>
      </c>
    </row>
    <row r="21" customFormat="false" ht="15" hidden="false" customHeight="false" outlineLevel="0" collapsed="false">
      <c r="B21" s="8" t="str">
        <f aca="false">IF(Lists!A14="","",Lists!A14)</f>
        <v/>
      </c>
      <c r="C21" s="15" t="str">
        <f aca="false">IF($B21="","",COUNTIFS('Leave Record'!$D$6:$D$505,$B21,'Leave Record'!$F$6:$F$505,"Active"))</f>
        <v/>
      </c>
      <c r="D21" s="16" t="str">
        <f aca="false">IF($B21="","",SUMIFS('Leave Record'!$V$6:$V$505,'Leave Record'!$D$6:$D$505,$B21,'Leave Record'!$F$6:$F$505,"Active"))</f>
        <v/>
      </c>
      <c r="E21" s="16" t="str">
        <f aca="false">IF($B21="","",SUMIFS('Leave Record'!$W$6:$W$505,'Leave Record'!$D$6:$D$505,$B21,'Leave Record'!$F$6:$F$505,"Active"))</f>
        <v/>
      </c>
      <c r="F21" s="16" t="str">
        <f aca="false">IF($B21="","",SUMIFS('Leave Record'!$X$6:$X$505,'Leave Record'!$D$6:$D$505,$B21,'Leave Record'!$F$6:$F$505,"Active"))</f>
        <v/>
      </c>
      <c r="G21" s="16" t="str">
        <f aca="false">IF($B21="","",SUMIFS('Leave Record'!$Z$6:$Z$505,'Leave Record'!$D$6:$D$505,$B21,'Leave Record'!$F$6:$F$505,"Active"))</f>
        <v/>
      </c>
      <c r="H21" s="15" t="str">
        <f aca="false">IF($B21="","",COUNTIFS('Leave Record'!$D$6:$D$505,$B21,'Leave Record'!$AC$6:$AC$505,"OVER-USED")+COUNTIFS('Leave Record'!$D$6:$D$505,$B21,'Leave Record'!$AC$6:$AC$505,"LOW"))</f>
        <v/>
      </c>
      <c r="J21" s="8" t="str">
        <f aca="false">IF(Lists!B14="","",Lists!B14)</f>
        <v/>
      </c>
      <c r="K21" s="15" t="str">
        <f aca="false">IF($J21="","",COUNTIFS('Leave Record'!$E$6:$E$505,$J21,'Leave Record'!$F$6:$F$505,"Active"))</f>
        <v/>
      </c>
      <c r="L21" s="16" t="str">
        <f aca="false">IF($J21="","",SUMIFS('Leave Record'!$V$6:$V$505,'Leave Record'!$E$6:$E$505,$J21,'Leave Record'!$F$6:$F$505,"Active"))</f>
        <v/>
      </c>
      <c r="M21" s="16" t="str">
        <f aca="false">IF($J21="","",SUMIFS('Leave Record'!$W$6:$W$505,'Leave Record'!$E$6:$E$505,$J21,'Leave Record'!$F$6:$F$505,"Active"))</f>
        <v/>
      </c>
      <c r="N21" s="16" t="str">
        <f aca="false">IF($J21="","",SUMIFS('Leave Record'!$X$6:$X$505,'Leave Record'!$E$6:$E$505,$J21,'Leave Record'!$F$6:$F$505,"Active"))</f>
        <v/>
      </c>
      <c r="O21" s="16" t="str">
        <f aca="false">IF($J21="","",SUMIFS('Leave Record'!$Z$6:$Z$505,'Leave Record'!$E$6:$E$505,$J21,'Leave Record'!$F$6:$F$505,"Active"))</f>
        <v/>
      </c>
    </row>
    <row r="22" customFormat="false" ht="15" hidden="false" customHeight="false" outlineLevel="0" collapsed="false">
      <c r="B22" s="8" t="str">
        <f aca="false">IF(Lists!A15="","",Lists!A15)</f>
        <v/>
      </c>
      <c r="C22" s="15" t="str">
        <f aca="false">IF($B22="","",COUNTIFS('Leave Record'!$D$6:$D$505,$B22,'Leave Record'!$F$6:$F$505,"Active"))</f>
        <v/>
      </c>
      <c r="D22" s="16" t="str">
        <f aca="false">IF($B22="","",SUMIFS('Leave Record'!$V$6:$V$505,'Leave Record'!$D$6:$D$505,$B22,'Leave Record'!$F$6:$F$505,"Active"))</f>
        <v/>
      </c>
      <c r="E22" s="16" t="str">
        <f aca="false">IF($B22="","",SUMIFS('Leave Record'!$W$6:$W$505,'Leave Record'!$D$6:$D$505,$B22,'Leave Record'!$F$6:$F$505,"Active"))</f>
        <v/>
      </c>
      <c r="F22" s="16" t="str">
        <f aca="false">IF($B22="","",SUMIFS('Leave Record'!$X$6:$X$505,'Leave Record'!$D$6:$D$505,$B22,'Leave Record'!$F$6:$F$505,"Active"))</f>
        <v/>
      </c>
      <c r="G22" s="16" t="str">
        <f aca="false">IF($B22="","",SUMIFS('Leave Record'!$Z$6:$Z$505,'Leave Record'!$D$6:$D$505,$B22,'Leave Record'!$F$6:$F$505,"Active"))</f>
        <v/>
      </c>
      <c r="H22" s="15" t="str">
        <f aca="false">IF($B22="","",COUNTIFS('Leave Record'!$D$6:$D$505,$B22,'Leave Record'!$AC$6:$AC$505,"OVER-USED")+COUNTIFS('Leave Record'!$D$6:$D$505,$B22,'Leave Record'!$AC$6:$AC$505,"LOW"))</f>
        <v/>
      </c>
      <c r="J22" s="17" t="s">
        <v>78</v>
      </c>
      <c r="K22" s="18" t="n">
        <f aca="false">SUM(K12:K21)</f>
        <v>0</v>
      </c>
      <c r="L22" s="19" t="n">
        <f aca="false">SUM(L12:L21)</f>
        <v>0</v>
      </c>
      <c r="M22" s="19" t="n">
        <f aca="false">SUM(M12:M21)</f>
        <v>0</v>
      </c>
      <c r="N22" s="19" t="n">
        <f aca="false">SUM(N12:N21)</f>
        <v>0</v>
      </c>
      <c r="O22" s="19" t="n">
        <f aca="false">SUM(O12:O21)</f>
        <v>0</v>
      </c>
    </row>
    <row r="23" customFormat="false" ht="15" hidden="false" customHeight="false" outlineLevel="0" collapsed="false">
      <c r="B23" s="8" t="str">
        <f aca="false">IF(Lists!A16="","",Lists!A16)</f>
        <v/>
      </c>
      <c r="C23" s="15" t="str">
        <f aca="false">IF($B23="","",COUNTIFS('Leave Record'!$D$6:$D$505,$B23,'Leave Record'!$F$6:$F$505,"Active"))</f>
        <v/>
      </c>
      <c r="D23" s="16" t="str">
        <f aca="false">IF($B23="","",SUMIFS('Leave Record'!$V$6:$V$505,'Leave Record'!$D$6:$D$505,$B23,'Leave Record'!$F$6:$F$505,"Active"))</f>
        <v/>
      </c>
      <c r="E23" s="16" t="str">
        <f aca="false">IF($B23="","",SUMIFS('Leave Record'!$W$6:$W$505,'Leave Record'!$D$6:$D$505,$B23,'Leave Record'!$F$6:$F$505,"Active"))</f>
        <v/>
      </c>
      <c r="F23" s="16" t="str">
        <f aca="false">IF($B23="","",SUMIFS('Leave Record'!$X$6:$X$505,'Leave Record'!$D$6:$D$505,$B23,'Leave Record'!$F$6:$F$505,"Active"))</f>
        <v/>
      </c>
      <c r="G23" s="16" t="str">
        <f aca="false">IF($B23="","",SUMIFS('Leave Record'!$Z$6:$Z$505,'Leave Record'!$D$6:$D$505,$B23,'Leave Record'!$F$6:$F$505,"Active"))</f>
        <v/>
      </c>
      <c r="H23" s="15" t="str">
        <f aca="false">IF($B23="","",COUNTIFS('Leave Record'!$D$6:$D$505,$B23,'Leave Record'!$AC$6:$AC$505,"OVER-USED")+COUNTIFS('Leave Record'!$D$6:$D$505,$B23,'Leave Record'!$AC$6:$AC$505,"LOW"))</f>
        <v/>
      </c>
      <c r="J23" s="20" t="str">
        <f aca="false">"Active employees with no / unlisted location: "&amp;(B5-K22)</f>
        <v>Active employees with no / unlisted location: 0</v>
      </c>
    </row>
    <row r="24" customFormat="false" ht="15" hidden="false" customHeight="false" outlineLevel="0" collapsed="false">
      <c r="B24" s="17" t="s">
        <v>78</v>
      </c>
      <c r="C24" s="18" t="n">
        <f aca="false">SUM(C12:C23)</f>
        <v>0</v>
      </c>
      <c r="D24" s="19" t="n">
        <f aca="false">SUM(D12:D23)</f>
        <v>0</v>
      </c>
      <c r="E24" s="19" t="n">
        <f aca="false">SUM(E12:E23)</f>
        <v>0</v>
      </c>
      <c r="F24" s="19" t="n">
        <f aca="false">SUM(F12:F23)</f>
        <v>0</v>
      </c>
      <c r="G24" s="19" t="n">
        <f aca="false">SUM(G12:G23)</f>
        <v>0</v>
      </c>
      <c r="H24" s="18" t="n">
        <f aca="false">SUM(H12:H23)</f>
        <v>0</v>
      </c>
    </row>
    <row r="25" customFormat="false" ht="15" hidden="false" customHeight="false" outlineLevel="0" collapsed="false">
      <c r="B25" s="20" t="str">
        <f aca="false">"Active employees with no / unlisted department: "&amp;(B5-C24)</f>
        <v>Active employees with no / unlisted department: 0</v>
      </c>
    </row>
    <row r="27" customFormat="false" ht="15" hidden="false" customHeight="false" outlineLevel="0" collapsed="false">
      <c r="B27" s="3" t="s">
        <v>79</v>
      </c>
      <c r="C27" s="3"/>
      <c r="D27" s="3"/>
      <c r="E27" s="3"/>
      <c r="F27" s="3"/>
      <c r="G27" s="3"/>
      <c r="H27" s="3"/>
      <c r="I27" s="3"/>
      <c r="J27" s="3"/>
      <c r="K27" s="3"/>
      <c r="L27" s="3"/>
      <c r="M27" s="3"/>
      <c r="N27" s="3"/>
      <c r="O27" s="3"/>
    </row>
    <row r="28" customFormat="false" ht="15" hidden="false" customHeight="false" outlineLevel="0" collapsed="false">
      <c r="B28" s="21" t="s">
        <v>80</v>
      </c>
      <c r="C28" s="22" t="n">
        <f aca="false">DATE(YEAR(LvAsOf),MONTH(LvAsOf),1)</f>
        <v>46296</v>
      </c>
      <c r="D28" s="20" t="s">
        <v>81</v>
      </c>
    </row>
    <row r="29" customFormat="false" ht="25.5" hidden="false" customHeight="true" outlineLevel="0" collapsed="false">
      <c r="B29" s="11" t="s">
        <v>82</v>
      </c>
      <c r="C29" s="11"/>
      <c r="D29" s="11" t="s">
        <v>83</v>
      </c>
      <c r="E29" s="11"/>
      <c r="F29" s="11" t="s">
        <v>84</v>
      </c>
      <c r="G29" s="11"/>
      <c r="H29" s="11" t="s">
        <v>85</v>
      </c>
      <c r="I29" s="11"/>
      <c r="J29" s="11" t="s">
        <v>86</v>
      </c>
      <c r="K29" s="11"/>
      <c r="L29" s="11" t="s">
        <v>87</v>
      </c>
      <c r="M29" s="11"/>
      <c r="N29" s="11" t="s">
        <v>88</v>
      </c>
      <c r="O29" s="11"/>
    </row>
    <row r="30" customFormat="false" ht="31.5" hidden="false" customHeight="true" outlineLevel="0" collapsed="false">
      <c r="B30" s="12" t="n">
        <f aca="false">COUNTIFS(Attendance!$A$6:$A$2405,"&gt;="&amp;$C$28,Attendance!$A$6:$A$2405,"&lt;="&amp;EOMONTH($C$28,0),Attendance!$B$6:$B$2405,"&lt;&gt;")</f>
        <v>0</v>
      </c>
      <c r="C30" s="12"/>
      <c r="D30" s="12" t="n">
        <f aca="false">SUMIFS(Attendance!$AK$6:$AK$2405,Attendance!$A$6:$A$2405,"&gt;="&amp;$C$28,Attendance!$A$6:$A$2405,"&lt;="&amp;EOMONTH($C$28,0))</f>
        <v>0</v>
      </c>
      <c r="E30" s="12"/>
      <c r="F30" s="12" t="n">
        <f aca="false">SUMIFS(Attendance!$AL$6:$AL$2405,Attendance!$A$6:$A$2405,"&gt;="&amp;$C$28,Attendance!$A$6:$A$2405,"&lt;="&amp;EOMONTH($C$28,0))</f>
        <v>0</v>
      </c>
      <c r="G30" s="12"/>
      <c r="H30" s="12" t="n">
        <f aca="false">SUMIFS(Attendance!$AN$6:$AN$2405,Attendance!$A$6:$A$2405,"&gt;="&amp;$C$28,Attendance!$A$6:$A$2405,"&lt;="&amp;EOMONTH($C$28,0))</f>
        <v>0</v>
      </c>
      <c r="I30" s="12"/>
      <c r="J30" s="13" t="n">
        <f aca="false">SUMIFS(Attendance!$AX$6:$AX$2405,Attendance!$A$6:$A$2405,"&gt;="&amp;$C$28,Attendance!$A$6:$A$2405,"&lt;="&amp;EOMONTH($C$28,0))+SUMIFS(Attendance!$AY$6:$AY$2405,Attendance!$A$6:$A$2405,"&gt;="&amp;$C$28,Attendance!$A$6:$A$2405,"&lt;="&amp;EOMONTH($C$28,0))+SUMIFS(Attendance!$AZ$6:$AZ$2405,Attendance!$A$6:$A$2405,"&gt;="&amp;$C$28,Attendance!$A$6:$A$2405,"&lt;="&amp;EOMONTH($C$28,0))</f>
        <v>0</v>
      </c>
      <c r="K30" s="13"/>
      <c r="L30" s="13" t="n">
        <f aca="false">SUMIFS(Attendance!$BC$6:$BC$2405,Attendance!$A$6:$A$2405,"&gt;="&amp;$C$28,Attendance!$A$6:$A$2405,"&lt;="&amp;EOMONTH($C$28,0))</f>
        <v>0</v>
      </c>
      <c r="M30" s="13"/>
      <c r="N30" s="12" t="n">
        <f aca="false">SUMIFS(Attendance!$BD$6:$BD$2405,Attendance!$A$6:$A$2405,"&gt;="&amp;$C$28,Attendance!$A$6:$A$2405,"&lt;="&amp;EOMONTH($C$28,0))</f>
        <v>0</v>
      </c>
      <c r="O30" s="12"/>
    </row>
    <row r="33" customFormat="false" ht="15" hidden="false" customHeight="false" outlineLevel="0" collapsed="false">
      <c r="B33" s="3" t="s">
        <v>89</v>
      </c>
      <c r="C33" s="3"/>
      <c r="D33" s="3"/>
      <c r="E33" s="3"/>
      <c r="F33" s="3"/>
      <c r="G33" s="3"/>
      <c r="H33" s="3"/>
      <c r="I33" s="3"/>
      <c r="J33" s="3"/>
      <c r="K33" s="3"/>
      <c r="L33" s="3"/>
      <c r="M33" s="3"/>
      <c r="N33" s="3"/>
      <c r="O33" s="3"/>
    </row>
    <row r="34" customFormat="false" ht="39.75" hidden="false" customHeight="true" outlineLevel="0" collapsed="false">
      <c r="B34" s="14" t="s">
        <v>90</v>
      </c>
      <c r="C34" s="14" t="s">
        <v>91</v>
      </c>
      <c r="D34" s="14"/>
      <c r="E34" s="14" t="s">
        <v>70</v>
      </c>
      <c r="F34" s="14" t="s">
        <v>92</v>
      </c>
      <c r="G34" s="14" t="s">
        <v>93</v>
      </c>
      <c r="H34" s="14" t="s">
        <v>94</v>
      </c>
      <c r="I34" s="14" t="s">
        <v>95</v>
      </c>
      <c r="J34" s="14" t="s">
        <v>75</v>
      </c>
      <c r="K34" s="14" t="s">
        <v>96</v>
      </c>
    </row>
    <row r="35" customFormat="false" ht="15" hidden="false" customHeight="false" outlineLevel="0" collapsed="false">
      <c r="B35" s="23" t="str">
        <f aca="false">IFERROR(INDEX('Leave Record'!$A$6:$A$505,MATCH(ROWS(B$35:B35),'Leave Record'!$AD$6:$AD$505,0)),"")</f>
        <v/>
      </c>
      <c r="C35" s="23" t="str">
        <f aca="false">IFERROR(INDEX('Leave Record'!$B$6:$B$505,MATCH(ROWS(B$35:B35),'Leave Record'!$AD$6:$AD$505,0)),"")</f>
        <v/>
      </c>
      <c r="D35" s="23"/>
      <c r="E35" s="23" t="str">
        <f aca="false">IFERROR(INDEX('Leave Record'!$D$6:$D$505,MATCH(ROWS(B$35:B35),'Leave Record'!$AD$6:$AD$505,0)),"")</f>
        <v/>
      </c>
      <c r="F35" s="16" t="str">
        <f aca="false">IFERROR(INDEX('Leave Record'!$V$6:$V$505,MATCH(ROWS(B$35:B35),'Leave Record'!$AD$6:$AD$505,0)),"")</f>
        <v/>
      </c>
      <c r="G35" s="16" t="str">
        <f aca="false">IFERROR(INDEX('Leave Record'!$W$6:$W$505,MATCH(ROWS(B$35:B35),'Leave Record'!$AD$6:$AD$505,0)),"")</f>
        <v/>
      </c>
      <c r="H35" s="16" t="str">
        <f aca="false">IFERROR(INDEX('Leave Record'!$X$6:$X$505,MATCH(ROWS(B$35:B35),'Leave Record'!$AD$6:$AD$505,0)),"")</f>
        <v/>
      </c>
      <c r="I35" s="16" t="str">
        <f aca="false">IFERROR(INDEX('Leave Record'!$Y$6:$Y$505,MATCH(ROWS(B$35:B35),'Leave Record'!$AD$6:$AD$505,0)),"")</f>
        <v/>
      </c>
      <c r="J35" s="16" t="str">
        <f aca="false">IFERROR(INDEX('Leave Record'!$Z$6:$Z$505,MATCH(ROWS(B$35:B35),'Leave Record'!$AD$6:$AD$505,0)),"")</f>
        <v/>
      </c>
      <c r="K35" s="24" t="str">
        <f aca="false">IFERROR(INDEX('Leave Record'!$AC$6:$AC$505,MATCH(ROWS(B$35:B35),'Leave Record'!$AD$6:$AD$505,0)),"")</f>
        <v/>
      </c>
    </row>
    <row r="36" customFormat="false" ht="15" hidden="false" customHeight="false" outlineLevel="0" collapsed="false">
      <c r="B36" s="23" t="str">
        <f aca="false">IFERROR(INDEX('Leave Record'!$A$6:$A$505,MATCH(ROWS(B$35:B36),'Leave Record'!$AD$6:$AD$505,0)),"")</f>
        <v/>
      </c>
      <c r="C36" s="23" t="str">
        <f aca="false">IFERROR(INDEX('Leave Record'!$B$6:$B$505,MATCH(ROWS(B$35:B36),'Leave Record'!$AD$6:$AD$505,0)),"")</f>
        <v/>
      </c>
      <c r="D36" s="23"/>
      <c r="E36" s="23" t="str">
        <f aca="false">IFERROR(INDEX('Leave Record'!$D$6:$D$505,MATCH(ROWS(B$35:B36),'Leave Record'!$AD$6:$AD$505,0)),"")</f>
        <v/>
      </c>
      <c r="F36" s="16" t="str">
        <f aca="false">IFERROR(INDEX('Leave Record'!$V$6:$V$505,MATCH(ROWS(B$35:B36),'Leave Record'!$AD$6:$AD$505,0)),"")</f>
        <v/>
      </c>
      <c r="G36" s="16" t="str">
        <f aca="false">IFERROR(INDEX('Leave Record'!$W$6:$W$505,MATCH(ROWS(B$35:B36),'Leave Record'!$AD$6:$AD$505,0)),"")</f>
        <v/>
      </c>
      <c r="H36" s="16" t="str">
        <f aca="false">IFERROR(INDEX('Leave Record'!$X$6:$X$505,MATCH(ROWS(B$35:B36),'Leave Record'!$AD$6:$AD$505,0)),"")</f>
        <v/>
      </c>
      <c r="I36" s="16" t="str">
        <f aca="false">IFERROR(INDEX('Leave Record'!$Y$6:$Y$505,MATCH(ROWS(B$35:B36),'Leave Record'!$AD$6:$AD$505,0)),"")</f>
        <v/>
      </c>
      <c r="J36" s="16" t="str">
        <f aca="false">IFERROR(INDEX('Leave Record'!$Z$6:$Z$505,MATCH(ROWS(B$35:B36),'Leave Record'!$AD$6:$AD$505,0)),"")</f>
        <v/>
      </c>
      <c r="K36" s="24" t="str">
        <f aca="false">IFERROR(INDEX('Leave Record'!$AC$6:$AC$505,MATCH(ROWS(B$35:B36),'Leave Record'!$AD$6:$AD$505,0)),"")</f>
        <v/>
      </c>
    </row>
    <row r="37" customFormat="false" ht="15" hidden="false" customHeight="false" outlineLevel="0" collapsed="false">
      <c r="B37" s="23" t="str">
        <f aca="false">IFERROR(INDEX('Leave Record'!$A$6:$A$505,MATCH(ROWS(B$35:B37),'Leave Record'!$AD$6:$AD$505,0)),"")</f>
        <v/>
      </c>
      <c r="C37" s="23" t="str">
        <f aca="false">IFERROR(INDEX('Leave Record'!$B$6:$B$505,MATCH(ROWS(B$35:B37),'Leave Record'!$AD$6:$AD$505,0)),"")</f>
        <v/>
      </c>
      <c r="D37" s="23"/>
      <c r="E37" s="23" t="str">
        <f aca="false">IFERROR(INDEX('Leave Record'!$D$6:$D$505,MATCH(ROWS(B$35:B37),'Leave Record'!$AD$6:$AD$505,0)),"")</f>
        <v/>
      </c>
      <c r="F37" s="16" t="str">
        <f aca="false">IFERROR(INDEX('Leave Record'!$V$6:$V$505,MATCH(ROWS(B$35:B37),'Leave Record'!$AD$6:$AD$505,0)),"")</f>
        <v/>
      </c>
      <c r="G37" s="16" t="str">
        <f aca="false">IFERROR(INDEX('Leave Record'!$W$6:$W$505,MATCH(ROWS(B$35:B37),'Leave Record'!$AD$6:$AD$505,0)),"")</f>
        <v/>
      </c>
      <c r="H37" s="16" t="str">
        <f aca="false">IFERROR(INDEX('Leave Record'!$X$6:$X$505,MATCH(ROWS(B$35:B37),'Leave Record'!$AD$6:$AD$505,0)),"")</f>
        <v/>
      </c>
      <c r="I37" s="16" t="str">
        <f aca="false">IFERROR(INDEX('Leave Record'!$Y$6:$Y$505,MATCH(ROWS(B$35:B37),'Leave Record'!$AD$6:$AD$505,0)),"")</f>
        <v/>
      </c>
      <c r="J37" s="16" t="str">
        <f aca="false">IFERROR(INDEX('Leave Record'!$Z$6:$Z$505,MATCH(ROWS(B$35:B37),'Leave Record'!$AD$6:$AD$505,0)),"")</f>
        <v/>
      </c>
      <c r="K37" s="24" t="str">
        <f aca="false">IFERROR(INDEX('Leave Record'!$AC$6:$AC$505,MATCH(ROWS(B$35:B37),'Leave Record'!$AD$6:$AD$505,0)),"")</f>
        <v/>
      </c>
    </row>
    <row r="38" customFormat="false" ht="15" hidden="false" customHeight="false" outlineLevel="0" collapsed="false">
      <c r="B38" s="23" t="str">
        <f aca="false">IFERROR(INDEX('Leave Record'!$A$6:$A$505,MATCH(ROWS(B$35:B38),'Leave Record'!$AD$6:$AD$505,0)),"")</f>
        <v/>
      </c>
      <c r="C38" s="23" t="str">
        <f aca="false">IFERROR(INDEX('Leave Record'!$B$6:$B$505,MATCH(ROWS(B$35:B38),'Leave Record'!$AD$6:$AD$505,0)),"")</f>
        <v/>
      </c>
      <c r="D38" s="23"/>
      <c r="E38" s="23" t="str">
        <f aca="false">IFERROR(INDEX('Leave Record'!$D$6:$D$505,MATCH(ROWS(B$35:B38),'Leave Record'!$AD$6:$AD$505,0)),"")</f>
        <v/>
      </c>
      <c r="F38" s="16" t="str">
        <f aca="false">IFERROR(INDEX('Leave Record'!$V$6:$V$505,MATCH(ROWS(B$35:B38),'Leave Record'!$AD$6:$AD$505,0)),"")</f>
        <v/>
      </c>
      <c r="G38" s="16" t="str">
        <f aca="false">IFERROR(INDEX('Leave Record'!$W$6:$W$505,MATCH(ROWS(B$35:B38),'Leave Record'!$AD$6:$AD$505,0)),"")</f>
        <v/>
      </c>
      <c r="H38" s="16" t="str">
        <f aca="false">IFERROR(INDEX('Leave Record'!$X$6:$X$505,MATCH(ROWS(B$35:B38),'Leave Record'!$AD$6:$AD$505,0)),"")</f>
        <v/>
      </c>
      <c r="I38" s="16" t="str">
        <f aca="false">IFERROR(INDEX('Leave Record'!$Y$6:$Y$505,MATCH(ROWS(B$35:B38),'Leave Record'!$AD$6:$AD$505,0)),"")</f>
        <v/>
      </c>
      <c r="J38" s="16" t="str">
        <f aca="false">IFERROR(INDEX('Leave Record'!$Z$6:$Z$505,MATCH(ROWS(B$35:B38),'Leave Record'!$AD$6:$AD$505,0)),"")</f>
        <v/>
      </c>
      <c r="K38" s="24" t="str">
        <f aca="false">IFERROR(INDEX('Leave Record'!$AC$6:$AC$505,MATCH(ROWS(B$35:B38),'Leave Record'!$AD$6:$AD$505,0)),"")</f>
        <v/>
      </c>
    </row>
    <row r="39" customFormat="false" ht="15" hidden="false" customHeight="false" outlineLevel="0" collapsed="false">
      <c r="B39" s="23" t="str">
        <f aca="false">IFERROR(INDEX('Leave Record'!$A$6:$A$505,MATCH(ROWS(B$35:B39),'Leave Record'!$AD$6:$AD$505,0)),"")</f>
        <v/>
      </c>
      <c r="C39" s="23" t="str">
        <f aca="false">IFERROR(INDEX('Leave Record'!$B$6:$B$505,MATCH(ROWS(B$35:B39),'Leave Record'!$AD$6:$AD$505,0)),"")</f>
        <v/>
      </c>
      <c r="D39" s="23"/>
      <c r="E39" s="23" t="str">
        <f aca="false">IFERROR(INDEX('Leave Record'!$D$6:$D$505,MATCH(ROWS(B$35:B39),'Leave Record'!$AD$6:$AD$505,0)),"")</f>
        <v/>
      </c>
      <c r="F39" s="16" t="str">
        <f aca="false">IFERROR(INDEX('Leave Record'!$V$6:$V$505,MATCH(ROWS(B$35:B39),'Leave Record'!$AD$6:$AD$505,0)),"")</f>
        <v/>
      </c>
      <c r="G39" s="16" t="str">
        <f aca="false">IFERROR(INDEX('Leave Record'!$W$6:$W$505,MATCH(ROWS(B$35:B39),'Leave Record'!$AD$6:$AD$505,0)),"")</f>
        <v/>
      </c>
      <c r="H39" s="16" t="str">
        <f aca="false">IFERROR(INDEX('Leave Record'!$X$6:$X$505,MATCH(ROWS(B$35:B39),'Leave Record'!$AD$6:$AD$505,0)),"")</f>
        <v/>
      </c>
      <c r="I39" s="16" t="str">
        <f aca="false">IFERROR(INDEX('Leave Record'!$Y$6:$Y$505,MATCH(ROWS(B$35:B39),'Leave Record'!$AD$6:$AD$505,0)),"")</f>
        <v/>
      </c>
      <c r="J39" s="16" t="str">
        <f aca="false">IFERROR(INDEX('Leave Record'!$Z$6:$Z$505,MATCH(ROWS(B$35:B39),'Leave Record'!$AD$6:$AD$505,0)),"")</f>
        <v/>
      </c>
      <c r="K39" s="24" t="str">
        <f aca="false">IFERROR(INDEX('Leave Record'!$AC$6:$AC$505,MATCH(ROWS(B$35:B39),'Leave Record'!$AD$6:$AD$505,0)),"")</f>
        <v/>
      </c>
    </row>
    <row r="40" customFormat="false" ht="15" hidden="false" customHeight="false" outlineLevel="0" collapsed="false">
      <c r="B40" s="23" t="str">
        <f aca="false">IFERROR(INDEX('Leave Record'!$A$6:$A$505,MATCH(ROWS(B$35:B40),'Leave Record'!$AD$6:$AD$505,0)),"")</f>
        <v/>
      </c>
      <c r="C40" s="23" t="str">
        <f aca="false">IFERROR(INDEX('Leave Record'!$B$6:$B$505,MATCH(ROWS(B$35:B40),'Leave Record'!$AD$6:$AD$505,0)),"")</f>
        <v/>
      </c>
      <c r="D40" s="23"/>
      <c r="E40" s="23" t="str">
        <f aca="false">IFERROR(INDEX('Leave Record'!$D$6:$D$505,MATCH(ROWS(B$35:B40),'Leave Record'!$AD$6:$AD$505,0)),"")</f>
        <v/>
      </c>
      <c r="F40" s="16" t="str">
        <f aca="false">IFERROR(INDEX('Leave Record'!$V$6:$V$505,MATCH(ROWS(B$35:B40),'Leave Record'!$AD$6:$AD$505,0)),"")</f>
        <v/>
      </c>
      <c r="G40" s="16" t="str">
        <f aca="false">IFERROR(INDEX('Leave Record'!$W$6:$W$505,MATCH(ROWS(B$35:B40),'Leave Record'!$AD$6:$AD$505,0)),"")</f>
        <v/>
      </c>
      <c r="H40" s="16" t="str">
        <f aca="false">IFERROR(INDEX('Leave Record'!$X$6:$X$505,MATCH(ROWS(B$35:B40),'Leave Record'!$AD$6:$AD$505,0)),"")</f>
        <v/>
      </c>
      <c r="I40" s="16" t="str">
        <f aca="false">IFERROR(INDEX('Leave Record'!$Y$6:$Y$505,MATCH(ROWS(B$35:B40),'Leave Record'!$AD$6:$AD$505,0)),"")</f>
        <v/>
      </c>
      <c r="J40" s="16" t="str">
        <f aca="false">IFERROR(INDEX('Leave Record'!$Z$6:$Z$505,MATCH(ROWS(B$35:B40),'Leave Record'!$AD$6:$AD$505,0)),"")</f>
        <v/>
      </c>
      <c r="K40" s="24" t="str">
        <f aca="false">IFERROR(INDEX('Leave Record'!$AC$6:$AC$505,MATCH(ROWS(B$35:B40),'Leave Record'!$AD$6:$AD$505,0)),"")</f>
        <v/>
      </c>
    </row>
    <row r="41" customFormat="false" ht="15" hidden="false" customHeight="false" outlineLevel="0" collapsed="false">
      <c r="B41" s="23" t="str">
        <f aca="false">IFERROR(INDEX('Leave Record'!$A$6:$A$505,MATCH(ROWS(B$35:B41),'Leave Record'!$AD$6:$AD$505,0)),"")</f>
        <v/>
      </c>
      <c r="C41" s="23" t="str">
        <f aca="false">IFERROR(INDEX('Leave Record'!$B$6:$B$505,MATCH(ROWS(B$35:B41),'Leave Record'!$AD$6:$AD$505,0)),"")</f>
        <v/>
      </c>
      <c r="D41" s="23"/>
      <c r="E41" s="23" t="str">
        <f aca="false">IFERROR(INDEX('Leave Record'!$D$6:$D$505,MATCH(ROWS(B$35:B41),'Leave Record'!$AD$6:$AD$505,0)),"")</f>
        <v/>
      </c>
      <c r="F41" s="16" t="str">
        <f aca="false">IFERROR(INDEX('Leave Record'!$V$6:$V$505,MATCH(ROWS(B$35:B41),'Leave Record'!$AD$6:$AD$505,0)),"")</f>
        <v/>
      </c>
      <c r="G41" s="16" t="str">
        <f aca="false">IFERROR(INDEX('Leave Record'!$W$6:$W$505,MATCH(ROWS(B$35:B41),'Leave Record'!$AD$6:$AD$505,0)),"")</f>
        <v/>
      </c>
      <c r="H41" s="16" t="str">
        <f aca="false">IFERROR(INDEX('Leave Record'!$X$6:$X$505,MATCH(ROWS(B$35:B41),'Leave Record'!$AD$6:$AD$505,0)),"")</f>
        <v/>
      </c>
      <c r="I41" s="16" t="str">
        <f aca="false">IFERROR(INDEX('Leave Record'!$Y$6:$Y$505,MATCH(ROWS(B$35:B41),'Leave Record'!$AD$6:$AD$505,0)),"")</f>
        <v/>
      </c>
      <c r="J41" s="16" t="str">
        <f aca="false">IFERROR(INDEX('Leave Record'!$Z$6:$Z$505,MATCH(ROWS(B$35:B41),'Leave Record'!$AD$6:$AD$505,0)),"")</f>
        <v/>
      </c>
      <c r="K41" s="24" t="str">
        <f aca="false">IFERROR(INDEX('Leave Record'!$AC$6:$AC$505,MATCH(ROWS(B$35:B41),'Leave Record'!$AD$6:$AD$505,0)),"")</f>
        <v/>
      </c>
    </row>
    <row r="42" customFormat="false" ht="15" hidden="false" customHeight="false" outlineLevel="0" collapsed="false">
      <c r="B42" s="23" t="str">
        <f aca="false">IFERROR(INDEX('Leave Record'!$A$6:$A$505,MATCH(ROWS(B$35:B42),'Leave Record'!$AD$6:$AD$505,0)),"")</f>
        <v/>
      </c>
      <c r="C42" s="23" t="str">
        <f aca="false">IFERROR(INDEX('Leave Record'!$B$6:$B$505,MATCH(ROWS(B$35:B42),'Leave Record'!$AD$6:$AD$505,0)),"")</f>
        <v/>
      </c>
      <c r="D42" s="23"/>
      <c r="E42" s="23" t="str">
        <f aca="false">IFERROR(INDEX('Leave Record'!$D$6:$D$505,MATCH(ROWS(B$35:B42),'Leave Record'!$AD$6:$AD$505,0)),"")</f>
        <v/>
      </c>
      <c r="F42" s="16" t="str">
        <f aca="false">IFERROR(INDEX('Leave Record'!$V$6:$V$505,MATCH(ROWS(B$35:B42),'Leave Record'!$AD$6:$AD$505,0)),"")</f>
        <v/>
      </c>
      <c r="G42" s="16" t="str">
        <f aca="false">IFERROR(INDEX('Leave Record'!$W$6:$W$505,MATCH(ROWS(B$35:B42),'Leave Record'!$AD$6:$AD$505,0)),"")</f>
        <v/>
      </c>
      <c r="H42" s="16" t="str">
        <f aca="false">IFERROR(INDEX('Leave Record'!$X$6:$X$505,MATCH(ROWS(B$35:B42),'Leave Record'!$AD$6:$AD$505,0)),"")</f>
        <v/>
      </c>
      <c r="I42" s="16" t="str">
        <f aca="false">IFERROR(INDEX('Leave Record'!$Y$6:$Y$505,MATCH(ROWS(B$35:B42),'Leave Record'!$AD$6:$AD$505,0)),"")</f>
        <v/>
      </c>
      <c r="J42" s="16" t="str">
        <f aca="false">IFERROR(INDEX('Leave Record'!$Z$6:$Z$505,MATCH(ROWS(B$35:B42),'Leave Record'!$AD$6:$AD$505,0)),"")</f>
        <v/>
      </c>
      <c r="K42" s="24" t="str">
        <f aca="false">IFERROR(INDEX('Leave Record'!$AC$6:$AC$505,MATCH(ROWS(B$35:B42),'Leave Record'!$AD$6:$AD$505,0)),"")</f>
        <v/>
      </c>
    </row>
    <row r="43" customFormat="false" ht="15" hidden="false" customHeight="false" outlineLevel="0" collapsed="false">
      <c r="B43" s="23" t="str">
        <f aca="false">IFERROR(INDEX('Leave Record'!$A$6:$A$505,MATCH(ROWS(B$35:B43),'Leave Record'!$AD$6:$AD$505,0)),"")</f>
        <v/>
      </c>
      <c r="C43" s="23" t="str">
        <f aca="false">IFERROR(INDEX('Leave Record'!$B$6:$B$505,MATCH(ROWS(B$35:B43),'Leave Record'!$AD$6:$AD$505,0)),"")</f>
        <v/>
      </c>
      <c r="D43" s="23"/>
      <c r="E43" s="23" t="str">
        <f aca="false">IFERROR(INDEX('Leave Record'!$D$6:$D$505,MATCH(ROWS(B$35:B43),'Leave Record'!$AD$6:$AD$505,0)),"")</f>
        <v/>
      </c>
      <c r="F43" s="16" t="str">
        <f aca="false">IFERROR(INDEX('Leave Record'!$V$6:$V$505,MATCH(ROWS(B$35:B43),'Leave Record'!$AD$6:$AD$505,0)),"")</f>
        <v/>
      </c>
      <c r="G43" s="16" t="str">
        <f aca="false">IFERROR(INDEX('Leave Record'!$W$6:$W$505,MATCH(ROWS(B$35:B43),'Leave Record'!$AD$6:$AD$505,0)),"")</f>
        <v/>
      </c>
      <c r="H43" s="16" t="str">
        <f aca="false">IFERROR(INDEX('Leave Record'!$X$6:$X$505,MATCH(ROWS(B$35:B43),'Leave Record'!$AD$6:$AD$505,0)),"")</f>
        <v/>
      </c>
      <c r="I43" s="16" t="str">
        <f aca="false">IFERROR(INDEX('Leave Record'!$Y$6:$Y$505,MATCH(ROWS(B$35:B43),'Leave Record'!$AD$6:$AD$505,0)),"")</f>
        <v/>
      </c>
      <c r="J43" s="16" t="str">
        <f aca="false">IFERROR(INDEX('Leave Record'!$Z$6:$Z$505,MATCH(ROWS(B$35:B43),'Leave Record'!$AD$6:$AD$505,0)),"")</f>
        <v/>
      </c>
      <c r="K43" s="24" t="str">
        <f aca="false">IFERROR(INDEX('Leave Record'!$AC$6:$AC$505,MATCH(ROWS(B$35:B43),'Leave Record'!$AD$6:$AD$505,0)),"")</f>
        <v/>
      </c>
    </row>
    <row r="44" customFormat="false" ht="15" hidden="false" customHeight="false" outlineLevel="0" collapsed="false">
      <c r="B44" s="23" t="str">
        <f aca="false">IFERROR(INDEX('Leave Record'!$A$6:$A$505,MATCH(ROWS(B$35:B44),'Leave Record'!$AD$6:$AD$505,0)),"")</f>
        <v/>
      </c>
      <c r="C44" s="23" t="str">
        <f aca="false">IFERROR(INDEX('Leave Record'!$B$6:$B$505,MATCH(ROWS(B$35:B44),'Leave Record'!$AD$6:$AD$505,0)),"")</f>
        <v/>
      </c>
      <c r="D44" s="23"/>
      <c r="E44" s="23" t="str">
        <f aca="false">IFERROR(INDEX('Leave Record'!$D$6:$D$505,MATCH(ROWS(B$35:B44),'Leave Record'!$AD$6:$AD$505,0)),"")</f>
        <v/>
      </c>
      <c r="F44" s="16" t="str">
        <f aca="false">IFERROR(INDEX('Leave Record'!$V$6:$V$505,MATCH(ROWS(B$35:B44),'Leave Record'!$AD$6:$AD$505,0)),"")</f>
        <v/>
      </c>
      <c r="G44" s="16" t="str">
        <f aca="false">IFERROR(INDEX('Leave Record'!$W$6:$W$505,MATCH(ROWS(B$35:B44),'Leave Record'!$AD$6:$AD$505,0)),"")</f>
        <v/>
      </c>
      <c r="H44" s="16" t="str">
        <f aca="false">IFERROR(INDEX('Leave Record'!$X$6:$X$505,MATCH(ROWS(B$35:B44),'Leave Record'!$AD$6:$AD$505,0)),"")</f>
        <v/>
      </c>
      <c r="I44" s="16" t="str">
        <f aca="false">IFERROR(INDEX('Leave Record'!$Y$6:$Y$505,MATCH(ROWS(B$35:B44),'Leave Record'!$AD$6:$AD$505,0)),"")</f>
        <v/>
      </c>
      <c r="J44" s="16" t="str">
        <f aca="false">IFERROR(INDEX('Leave Record'!$Z$6:$Z$505,MATCH(ROWS(B$35:B44),'Leave Record'!$AD$6:$AD$505,0)),"")</f>
        <v/>
      </c>
      <c r="K44" s="24" t="str">
        <f aca="false">IFERROR(INDEX('Leave Record'!$AC$6:$AC$505,MATCH(ROWS(B$35:B44),'Leave Record'!$AD$6:$AD$505,0)),"")</f>
        <v/>
      </c>
    </row>
    <row r="47" customFormat="false" ht="15" hidden="false" customHeight="false" outlineLevel="0" collapsed="false">
      <c r="B47" s="3" t="str">
        <f aca="false">"MONTH-WISE ATTENDANCE - leave year "&amp;LvYear</f>
        <v>MONTH-WISE ATTENDANCE - leave year 2026</v>
      </c>
      <c r="C47" s="3"/>
      <c r="D47" s="3"/>
      <c r="E47" s="3"/>
      <c r="F47" s="3"/>
      <c r="G47" s="3"/>
      <c r="H47" s="3"/>
      <c r="I47" s="3"/>
      <c r="J47" s="3"/>
      <c r="K47" s="3"/>
      <c r="L47" s="3"/>
      <c r="M47" s="3"/>
      <c r="N47" s="3"/>
      <c r="O47" s="3"/>
    </row>
    <row r="48" customFormat="false" ht="39.75" hidden="false" customHeight="true" outlineLevel="0" collapsed="false">
      <c r="B48" s="14" t="s">
        <v>97</v>
      </c>
      <c r="C48" s="14" t="s">
        <v>82</v>
      </c>
      <c r="D48" s="14" t="s">
        <v>83</v>
      </c>
      <c r="E48" s="14" t="s">
        <v>84</v>
      </c>
      <c r="F48" s="14" t="s">
        <v>85</v>
      </c>
      <c r="G48" s="14" t="s">
        <v>98</v>
      </c>
      <c r="H48" s="14" t="s">
        <v>87</v>
      </c>
    </row>
    <row r="49" customFormat="false" ht="15" hidden="false" customHeight="false" outlineLevel="0" collapsed="false">
      <c r="B49" s="25" t="n">
        <f aca="false">DATE(LvYear,1,1)</f>
        <v>46023</v>
      </c>
      <c r="C49" s="15" t="n">
        <f aca="false">COUNTIFS(Attendance!$A$6:$A$2405,"&gt;="&amp;$B49,Attendance!$A$6:$A$2405,"&lt;="&amp;EOMONTH($B49,0),Attendance!$B$6:$B$2405,"&lt;&gt;")</f>
        <v>0</v>
      </c>
      <c r="D49" s="15" t="n">
        <f aca="false">SUMIFS(Attendance!$AK$6:$AK$2405,Attendance!$A$6:$A$2405,"&gt;="&amp;$B49,Attendance!$A$6:$A$2405,"&lt;="&amp;EOMONTH($B49,0))</f>
        <v>0</v>
      </c>
      <c r="E49" s="15" t="n">
        <f aca="false">SUMIFS(Attendance!$AL$6:$AL$2405,Attendance!$A$6:$A$2405,"&gt;="&amp;$B49,Attendance!$A$6:$A$2405,"&lt;="&amp;EOMONTH($B49,0))</f>
        <v>0</v>
      </c>
      <c r="F49" s="15" t="n">
        <f aca="false">SUMIFS(Attendance!$AN$6:$AN$2405,Attendance!$A$6:$A$2405,"&gt;="&amp;$B49,Attendance!$A$6:$A$2405,"&lt;="&amp;EOMONTH($B49,0))</f>
        <v>0</v>
      </c>
      <c r="G49" s="16" t="n">
        <f aca="false">SUMIFS(Attendance!$AX$6:$AX$2405,Attendance!$A$6:$A$2405,"&gt;="&amp;$B49,Attendance!$A$6:$A$2405,"&lt;="&amp;EOMONTH($B49,0))+SUMIFS(Attendance!$AY$6:$AY$2405,Attendance!$A$6:$A$2405,"&gt;="&amp;$B49,Attendance!$A$6:$A$2405,"&lt;="&amp;EOMONTH($B49,0))+SUMIFS(Attendance!$AZ$6:$AZ$2405,Attendance!$A$6:$A$2405,"&gt;="&amp;$B49,Attendance!$A$6:$A$2405,"&lt;="&amp;EOMONTH($B49,0))</f>
        <v>0</v>
      </c>
      <c r="H49" s="16" t="n">
        <f aca="false">SUMIFS(Attendance!$BC$6:$BC$2405,Attendance!$A$6:$A$2405,"&gt;="&amp;$B49,Attendance!$A$6:$A$2405,"&lt;="&amp;EOMONTH($B49,0))</f>
        <v>0</v>
      </c>
    </row>
    <row r="50" customFormat="false" ht="15" hidden="false" customHeight="false" outlineLevel="0" collapsed="false">
      <c r="B50" s="25" t="n">
        <f aca="false">DATE(LvYear,2,1)</f>
        <v>46054</v>
      </c>
      <c r="C50" s="15" t="n">
        <f aca="false">COUNTIFS(Attendance!$A$6:$A$2405,"&gt;="&amp;$B50,Attendance!$A$6:$A$2405,"&lt;="&amp;EOMONTH($B50,0),Attendance!$B$6:$B$2405,"&lt;&gt;")</f>
        <v>0</v>
      </c>
      <c r="D50" s="15" t="n">
        <f aca="false">SUMIFS(Attendance!$AK$6:$AK$2405,Attendance!$A$6:$A$2405,"&gt;="&amp;$B50,Attendance!$A$6:$A$2405,"&lt;="&amp;EOMONTH($B50,0))</f>
        <v>0</v>
      </c>
      <c r="E50" s="15" t="n">
        <f aca="false">SUMIFS(Attendance!$AL$6:$AL$2405,Attendance!$A$6:$A$2405,"&gt;="&amp;$B50,Attendance!$A$6:$A$2405,"&lt;="&amp;EOMONTH($B50,0))</f>
        <v>0</v>
      </c>
      <c r="F50" s="15" t="n">
        <f aca="false">SUMIFS(Attendance!$AN$6:$AN$2405,Attendance!$A$6:$A$2405,"&gt;="&amp;$B50,Attendance!$A$6:$A$2405,"&lt;="&amp;EOMONTH($B50,0))</f>
        <v>0</v>
      </c>
      <c r="G50" s="16" t="n">
        <f aca="false">SUMIFS(Attendance!$AX$6:$AX$2405,Attendance!$A$6:$A$2405,"&gt;="&amp;$B50,Attendance!$A$6:$A$2405,"&lt;="&amp;EOMONTH($B50,0))+SUMIFS(Attendance!$AY$6:$AY$2405,Attendance!$A$6:$A$2405,"&gt;="&amp;$B50,Attendance!$A$6:$A$2405,"&lt;="&amp;EOMONTH($B50,0))+SUMIFS(Attendance!$AZ$6:$AZ$2405,Attendance!$A$6:$A$2405,"&gt;="&amp;$B50,Attendance!$A$6:$A$2405,"&lt;="&amp;EOMONTH($B50,0))</f>
        <v>0</v>
      </c>
      <c r="H50" s="16" t="n">
        <f aca="false">SUMIFS(Attendance!$BC$6:$BC$2405,Attendance!$A$6:$A$2405,"&gt;="&amp;$B50,Attendance!$A$6:$A$2405,"&lt;="&amp;EOMONTH($B50,0))</f>
        <v>0</v>
      </c>
    </row>
    <row r="51" customFormat="false" ht="15" hidden="false" customHeight="false" outlineLevel="0" collapsed="false">
      <c r="B51" s="25" t="n">
        <f aca="false">DATE(LvYear,3,1)</f>
        <v>46082</v>
      </c>
      <c r="C51" s="15" t="n">
        <f aca="false">COUNTIFS(Attendance!$A$6:$A$2405,"&gt;="&amp;$B51,Attendance!$A$6:$A$2405,"&lt;="&amp;EOMONTH($B51,0),Attendance!$B$6:$B$2405,"&lt;&gt;")</f>
        <v>0</v>
      </c>
      <c r="D51" s="15" t="n">
        <f aca="false">SUMIFS(Attendance!$AK$6:$AK$2405,Attendance!$A$6:$A$2405,"&gt;="&amp;$B51,Attendance!$A$6:$A$2405,"&lt;="&amp;EOMONTH($B51,0))</f>
        <v>0</v>
      </c>
      <c r="E51" s="15" t="n">
        <f aca="false">SUMIFS(Attendance!$AL$6:$AL$2405,Attendance!$A$6:$A$2405,"&gt;="&amp;$B51,Attendance!$A$6:$A$2405,"&lt;="&amp;EOMONTH($B51,0))</f>
        <v>0</v>
      </c>
      <c r="F51" s="15" t="n">
        <f aca="false">SUMIFS(Attendance!$AN$6:$AN$2405,Attendance!$A$6:$A$2405,"&gt;="&amp;$B51,Attendance!$A$6:$A$2405,"&lt;="&amp;EOMONTH($B51,0))</f>
        <v>0</v>
      </c>
      <c r="G51" s="16" t="n">
        <f aca="false">SUMIFS(Attendance!$AX$6:$AX$2405,Attendance!$A$6:$A$2405,"&gt;="&amp;$B51,Attendance!$A$6:$A$2405,"&lt;="&amp;EOMONTH($B51,0))+SUMIFS(Attendance!$AY$6:$AY$2405,Attendance!$A$6:$A$2405,"&gt;="&amp;$B51,Attendance!$A$6:$A$2405,"&lt;="&amp;EOMONTH($B51,0))+SUMIFS(Attendance!$AZ$6:$AZ$2405,Attendance!$A$6:$A$2405,"&gt;="&amp;$B51,Attendance!$A$6:$A$2405,"&lt;="&amp;EOMONTH($B51,0))</f>
        <v>0</v>
      </c>
      <c r="H51" s="16" t="n">
        <f aca="false">SUMIFS(Attendance!$BC$6:$BC$2405,Attendance!$A$6:$A$2405,"&gt;="&amp;$B51,Attendance!$A$6:$A$2405,"&lt;="&amp;EOMONTH($B51,0))</f>
        <v>0</v>
      </c>
    </row>
    <row r="52" customFormat="false" ht="15" hidden="false" customHeight="false" outlineLevel="0" collapsed="false">
      <c r="B52" s="25" t="n">
        <f aca="false">DATE(LvYear,4,1)</f>
        <v>46113</v>
      </c>
      <c r="C52" s="15" t="n">
        <f aca="false">COUNTIFS(Attendance!$A$6:$A$2405,"&gt;="&amp;$B52,Attendance!$A$6:$A$2405,"&lt;="&amp;EOMONTH($B52,0),Attendance!$B$6:$B$2405,"&lt;&gt;")</f>
        <v>0</v>
      </c>
      <c r="D52" s="15" t="n">
        <f aca="false">SUMIFS(Attendance!$AK$6:$AK$2405,Attendance!$A$6:$A$2405,"&gt;="&amp;$B52,Attendance!$A$6:$A$2405,"&lt;="&amp;EOMONTH($B52,0))</f>
        <v>0</v>
      </c>
      <c r="E52" s="15" t="n">
        <f aca="false">SUMIFS(Attendance!$AL$6:$AL$2405,Attendance!$A$6:$A$2405,"&gt;="&amp;$B52,Attendance!$A$6:$A$2405,"&lt;="&amp;EOMONTH($B52,0))</f>
        <v>0</v>
      </c>
      <c r="F52" s="15" t="n">
        <f aca="false">SUMIFS(Attendance!$AN$6:$AN$2405,Attendance!$A$6:$A$2405,"&gt;="&amp;$B52,Attendance!$A$6:$A$2405,"&lt;="&amp;EOMONTH($B52,0))</f>
        <v>0</v>
      </c>
      <c r="G52" s="16" t="n">
        <f aca="false">SUMIFS(Attendance!$AX$6:$AX$2405,Attendance!$A$6:$A$2405,"&gt;="&amp;$B52,Attendance!$A$6:$A$2405,"&lt;="&amp;EOMONTH($B52,0))+SUMIFS(Attendance!$AY$6:$AY$2405,Attendance!$A$6:$A$2405,"&gt;="&amp;$B52,Attendance!$A$6:$A$2405,"&lt;="&amp;EOMONTH($B52,0))+SUMIFS(Attendance!$AZ$6:$AZ$2405,Attendance!$A$6:$A$2405,"&gt;="&amp;$B52,Attendance!$A$6:$A$2405,"&lt;="&amp;EOMONTH($B52,0))</f>
        <v>0</v>
      </c>
      <c r="H52" s="16" t="n">
        <f aca="false">SUMIFS(Attendance!$BC$6:$BC$2405,Attendance!$A$6:$A$2405,"&gt;="&amp;$B52,Attendance!$A$6:$A$2405,"&lt;="&amp;EOMONTH($B52,0))</f>
        <v>0</v>
      </c>
    </row>
    <row r="53" customFormat="false" ht="15" hidden="false" customHeight="false" outlineLevel="0" collapsed="false">
      <c r="B53" s="25" t="n">
        <f aca="false">DATE(LvYear,5,1)</f>
        <v>46143</v>
      </c>
      <c r="C53" s="15" t="n">
        <f aca="false">COUNTIFS(Attendance!$A$6:$A$2405,"&gt;="&amp;$B53,Attendance!$A$6:$A$2405,"&lt;="&amp;EOMONTH($B53,0),Attendance!$B$6:$B$2405,"&lt;&gt;")</f>
        <v>0</v>
      </c>
      <c r="D53" s="15" t="n">
        <f aca="false">SUMIFS(Attendance!$AK$6:$AK$2405,Attendance!$A$6:$A$2405,"&gt;="&amp;$B53,Attendance!$A$6:$A$2405,"&lt;="&amp;EOMONTH($B53,0))</f>
        <v>0</v>
      </c>
      <c r="E53" s="15" t="n">
        <f aca="false">SUMIFS(Attendance!$AL$6:$AL$2405,Attendance!$A$6:$A$2405,"&gt;="&amp;$B53,Attendance!$A$6:$A$2405,"&lt;="&amp;EOMONTH($B53,0))</f>
        <v>0</v>
      </c>
      <c r="F53" s="15" t="n">
        <f aca="false">SUMIFS(Attendance!$AN$6:$AN$2405,Attendance!$A$6:$A$2405,"&gt;="&amp;$B53,Attendance!$A$6:$A$2405,"&lt;="&amp;EOMONTH($B53,0))</f>
        <v>0</v>
      </c>
      <c r="G53" s="16" t="n">
        <f aca="false">SUMIFS(Attendance!$AX$6:$AX$2405,Attendance!$A$6:$A$2405,"&gt;="&amp;$B53,Attendance!$A$6:$A$2405,"&lt;="&amp;EOMONTH($B53,0))+SUMIFS(Attendance!$AY$6:$AY$2405,Attendance!$A$6:$A$2405,"&gt;="&amp;$B53,Attendance!$A$6:$A$2405,"&lt;="&amp;EOMONTH($B53,0))+SUMIFS(Attendance!$AZ$6:$AZ$2405,Attendance!$A$6:$A$2405,"&gt;="&amp;$B53,Attendance!$A$6:$A$2405,"&lt;="&amp;EOMONTH($B53,0))</f>
        <v>0</v>
      </c>
      <c r="H53" s="16" t="n">
        <f aca="false">SUMIFS(Attendance!$BC$6:$BC$2405,Attendance!$A$6:$A$2405,"&gt;="&amp;$B53,Attendance!$A$6:$A$2405,"&lt;="&amp;EOMONTH($B53,0))</f>
        <v>0</v>
      </c>
    </row>
    <row r="54" customFormat="false" ht="15" hidden="false" customHeight="false" outlineLevel="0" collapsed="false">
      <c r="B54" s="25" t="n">
        <f aca="false">DATE(LvYear,6,1)</f>
        <v>46174</v>
      </c>
      <c r="C54" s="15" t="n">
        <f aca="false">COUNTIFS(Attendance!$A$6:$A$2405,"&gt;="&amp;$B54,Attendance!$A$6:$A$2405,"&lt;="&amp;EOMONTH($B54,0),Attendance!$B$6:$B$2405,"&lt;&gt;")</f>
        <v>0</v>
      </c>
      <c r="D54" s="15" t="n">
        <f aca="false">SUMIFS(Attendance!$AK$6:$AK$2405,Attendance!$A$6:$A$2405,"&gt;="&amp;$B54,Attendance!$A$6:$A$2405,"&lt;="&amp;EOMONTH($B54,0))</f>
        <v>0</v>
      </c>
      <c r="E54" s="15" t="n">
        <f aca="false">SUMIFS(Attendance!$AL$6:$AL$2405,Attendance!$A$6:$A$2405,"&gt;="&amp;$B54,Attendance!$A$6:$A$2405,"&lt;="&amp;EOMONTH($B54,0))</f>
        <v>0</v>
      </c>
      <c r="F54" s="15" t="n">
        <f aca="false">SUMIFS(Attendance!$AN$6:$AN$2405,Attendance!$A$6:$A$2405,"&gt;="&amp;$B54,Attendance!$A$6:$A$2405,"&lt;="&amp;EOMONTH($B54,0))</f>
        <v>0</v>
      </c>
      <c r="G54" s="16" t="n">
        <f aca="false">SUMIFS(Attendance!$AX$6:$AX$2405,Attendance!$A$6:$A$2405,"&gt;="&amp;$B54,Attendance!$A$6:$A$2405,"&lt;="&amp;EOMONTH($B54,0))+SUMIFS(Attendance!$AY$6:$AY$2405,Attendance!$A$6:$A$2405,"&gt;="&amp;$B54,Attendance!$A$6:$A$2405,"&lt;="&amp;EOMONTH($B54,0))+SUMIFS(Attendance!$AZ$6:$AZ$2405,Attendance!$A$6:$A$2405,"&gt;="&amp;$B54,Attendance!$A$6:$A$2405,"&lt;="&amp;EOMONTH($B54,0))</f>
        <v>0</v>
      </c>
      <c r="H54" s="16" t="n">
        <f aca="false">SUMIFS(Attendance!$BC$6:$BC$2405,Attendance!$A$6:$A$2405,"&gt;="&amp;$B54,Attendance!$A$6:$A$2405,"&lt;="&amp;EOMONTH($B54,0))</f>
        <v>0</v>
      </c>
    </row>
    <row r="55" customFormat="false" ht="15" hidden="false" customHeight="false" outlineLevel="0" collapsed="false">
      <c r="B55" s="25" t="n">
        <f aca="false">DATE(LvYear,7,1)</f>
        <v>46204</v>
      </c>
      <c r="C55" s="15" t="n">
        <f aca="false">COUNTIFS(Attendance!$A$6:$A$2405,"&gt;="&amp;$B55,Attendance!$A$6:$A$2405,"&lt;="&amp;EOMONTH($B55,0),Attendance!$B$6:$B$2405,"&lt;&gt;")</f>
        <v>0</v>
      </c>
      <c r="D55" s="15" t="n">
        <f aca="false">SUMIFS(Attendance!$AK$6:$AK$2405,Attendance!$A$6:$A$2405,"&gt;="&amp;$B55,Attendance!$A$6:$A$2405,"&lt;="&amp;EOMONTH($B55,0))</f>
        <v>0</v>
      </c>
      <c r="E55" s="15" t="n">
        <f aca="false">SUMIFS(Attendance!$AL$6:$AL$2405,Attendance!$A$6:$A$2405,"&gt;="&amp;$B55,Attendance!$A$6:$A$2405,"&lt;="&amp;EOMONTH($B55,0))</f>
        <v>0</v>
      </c>
      <c r="F55" s="15" t="n">
        <f aca="false">SUMIFS(Attendance!$AN$6:$AN$2405,Attendance!$A$6:$A$2405,"&gt;="&amp;$B55,Attendance!$A$6:$A$2405,"&lt;="&amp;EOMONTH($B55,0))</f>
        <v>0</v>
      </c>
      <c r="G55" s="16" t="n">
        <f aca="false">SUMIFS(Attendance!$AX$6:$AX$2405,Attendance!$A$6:$A$2405,"&gt;="&amp;$B55,Attendance!$A$6:$A$2405,"&lt;="&amp;EOMONTH($B55,0))+SUMIFS(Attendance!$AY$6:$AY$2405,Attendance!$A$6:$A$2405,"&gt;="&amp;$B55,Attendance!$A$6:$A$2405,"&lt;="&amp;EOMONTH($B55,0))+SUMIFS(Attendance!$AZ$6:$AZ$2405,Attendance!$A$6:$A$2405,"&gt;="&amp;$B55,Attendance!$A$6:$A$2405,"&lt;="&amp;EOMONTH($B55,0))</f>
        <v>0</v>
      </c>
      <c r="H55" s="16" t="n">
        <f aca="false">SUMIFS(Attendance!$BC$6:$BC$2405,Attendance!$A$6:$A$2405,"&gt;="&amp;$B55,Attendance!$A$6:$A$2405,"&lt;="&amp;EOMONTH($B55,0))</f>
        <v>0</v>
      </c>
    </row>
    <row r="56" customFormat="false" ht="15" hidden="false" customHeight="false" outlineLevel="0" collapsed="false">
      <c r="B56" s="25" t="n">
        <f aca="false">DATE(LvYear,8,1)</f>
        <v>46235</v>
      </c>
      <c r="C56" s="15" t="n">
        <f aca="false">COUNTIFS(Attendance!$A$6:$A$2405,"&gt;="&amp;$B56,Attendance!$A$6:$A$2405,"&lt;="&amp;EOMONTH($B56,0),Attendance!$B$6:$B$2405,"&lt;&gt;")</f>
        <v>0</v>
      </c>
      <c r="D56" s="15" t="n">
        <f aca="false">SUMIFS(Attendance!$AK$6:$AK$2405,Attendance!$A$6:$A$2405,"&gt;="&amp;$B56,Attendance!$A$6:$A$2405,"&lt;="&amp;EOMONTH($B56,0))</f>
        <v>0</v>
      </c>
      <c r="E56" s="15" t="n">
        <f aca="false">SUMIFS(Attendance!$AL$6:$AL$2405,Attendance!$A$6:$A$2405,"&gt;="&amp;$B56,Attendance!$A$6:$A$2405,"&lt;="&amp;EOMONTH($B56,0))</f>
        <v>0</v>
      </c>
      <c r="F56" s="15" t="n">
        <f aca="false">SUMIFS(Attendance!$AN$6:$AN$2405,Attendance!$A$6:$A$2405,"&gt;="&amp;$B56,Attendance!$A$6:$A$2405,"&lt;="&amp;EOMONTH($B56,0))</f>
        <v>0</v>
      </c>
      <c r="G56" s="16" t="n">
        <f aca="false">SUMIFS(Attendance!$AX$6:$AX$2405,Attendance!$A$6:$A$2405,"&gt;="&amp;$B56,Attendance!$A$6:$A$2405,"&lt;="&amp;EOMONTH($B56,0))+SUMIFS(Attendance!$AY$6:$AY$2405,Attendance!$A$6:$A$2405,"&gt;="&amp;$B56,Attendance!$A$6:$A$2405,"&lt;="&amp;EOMONTH($B56,0))+SUMIFS(Attendance!$AZ$6:$AZ$2405,Attendance!$A$6:$A$2405,"&gt;="&amp;$B56,Attendance!$A$6:$A$2405,"&lt;="&amp;EOMONTH($B56,0))</f>
        <v>0</v>
      </c>
      <c r="H56" s="16" t="n">
        <f aca="false">SUMIFS(Attendance!$BC$6:$BC$2405,Attendance!$A$6:$A$2405,"&gt;="&amp;$B56,Attendance!$A$6:$A$2405,"&lt;="&amp;EOMONTH($B56,0))</f>
        <v>0</v>
      </c>
    </row>
    <row r="57" customFormat="false" ht="15" hidden="false" customHeight="false" outlineLevel="0" collapsed="false">
      <c r="B57" s="25" t="n">
        <f aca="false">DATE(LvYear,9,1)</f>
        <v>46266</v>
      </c>
      <c r="C57" s="15" t="n">
        <f aca="false">COUNTIFS(Attendance!$A$6:$A$2405,"&gt;="&amp;$B57,Attendance!$A$6:$A$2405,"&lt;="&amp;EOMONTH($B57,0),Attendance!$B$6:$B$2405,"&lt;&gt;")</f>
        <v>0</v>
      </c>
      <c r="D57" s="15" t="n">
        <f aca="false">SUMIFS(Attendance!$AK$6:$AK$2405,Attendance!$A$6:$A$2405,"&gt;="&amp;$B57,Attendance!$A$6:$A$2405,"&lt;="&amp;EOMONTH($B57,0))</f>
        <v>0</v>
      </c>
      <c r="E57" s="15" t="n">
        <f aca="false">SUMIFS(Attendance!$AL$6:$AL$2405,Attendance!$A$6:$A$2405,"&gt;="&amp;$B57,Attendance!$A$6:$A$2405,"&lt;="&amp;EOMONTH($B57,0))</f>
        <v>0</v>
      </c>
      <c r="F57" s="15" t="n">
        <f aca="false">SUMIFS(Attendance!$AN$6:$AN$2405,Attendance!$A$6:$A$2405,"&gt;="&amp;$B57,Attendance!$A$6:$A$2405,"&lt;="&amp;EOMONTH($B57,0))</f>
        <v>0</v>
      </c>
      <c r="G57" s="16" t="n">
        <f aca="false">SUMIFS(Attendance!$AX$6:$AX$2405,Attendance!$A$6:$A$2405,"&gt;="&amp;$B57,Attendance!$A$6:$A$2405,"&lt;="&amp;EOMONTH($B57,0))+SUMIFS(Attendance!$AY$6:$AY$2405,Attendance!$A$6:$A$2405,"&gt;="&amp;$B57,Attendance!$A$6:$A$2405,"&lt;="&amp;EOMONTH($B57,0))+SUMIFS(Attendance!$AZ$6:$AZ$2405,Attendance!$A$6:$A$2405,"&gt;="&amp;$B57,Attendance!$A$6:$A$2405,"&lt;="&amp;EOMONTH($B57,0))</f>
        <v>0</v>
      </c>
      <c r="H57" s="16" t="n">
        <f aca="false">SUMIFS(Attendance!$BC$6:$BC$2405,Attendance!$A$6:$A$2405,"&gt;="&amp;$B57,Attendance!$A$6:$A$2405,"&lt;="&amp;EOMONTH($B57,0))</f>
        <v>0</v>
      </c>
    </row>
    <row r="58" customFormat="false" ht="15" hidden="false" customHeight="false" outlineLevel="0" collapsed="false">
      <c r="B58" s="25" t="n">
        <f aca="false">DATE(LvYear,10,1)</f>
        <v>46296</v>
      </c>
      <c r="C58" s="15" t="n">
        <f aca="false">COUNTIFS(Attendance!$A$6:$A$2405,"&gt;="&amp;$B58,Attendance!$A$6:$A$2405,"&lt;="&amp;EOMONTH($B58,0),Attendance!$B$6:$B$2405,"&lt;&gt;")</f>
        <v>0</v>
      </c>
      <c r="D58" s="15" t="n">
        <f aca="false">SUMIFS(Attendance!$AK$6:$AK$2405,Attendance!$A$6:$A$2405,"&gt;="&amp;$B58,Attendance!$A$6:$A$2405,"&lt;="&amp;EOMONTH($B58,0))</f>
        <v>0</v>
      </c>
      <c r="E58" s="15" t="n">
        <f aca="false">SUMIFS(Attendance!$AL$6:$AL$2405,Attendance!$A$6:$A$2405,"&gt;="&amp;$B58,Attendance!$A$6:$A$2405,"&lt;="&amp;EOMONTH($B58,0))</f>
        <v>0</v>
      </c>
      <c r="F58" s="15" t="n">
        <f aca="false">SUMIFS(Attendance!$AN$6:$AN$2405,Attendance!$A$6:$A$2405,"&gt;="&amp;$B58,Attendance!$A$6:$A$2405,"&lt;="&amp;EOMONTH($B58,0))</f>
        <v>0</v>
      </c>
      <c r="G58" s="16" t="n">
        <f aca="false">SUMIFS(Attendance!$AX$6:$AX$2405,Attendance!$A$6:$A$2405,"&gt;="&amp;$B58,Attendance!$A$6:$A$2405,"&lt;="&amp;EOMONTH($B58,0))+SUMIFS(Attendance!$AY$6:$AY$2405,Attendance!$A$6:$A$2405,"&gt;="&amp;$B58,Attendance!$A$6:$A$2405,"&lt;="&amp;EOMONTH($B58,0))+SUMIFS(Attendance!$AZ$6:$AZ$2405,Attendance!$A$6:$A$2405,"&gt;="&amp;$B58,Attendance!$A$6:$A$2405,"&lt;="&amp;EOMONTH($B58,0))</f>
        <v>0</v>
      </c>
      <c r="H58" s="16" t="n">
        <f aca="false">SUMIFS(Attendance!$BC$6:$BC$2405,Attendance!$A$6:$A$2405,"&gt;="&amp;$B58,Attendance!$A$6:$A$2405,"&lt;="&amp;EOMONTH($B58,0))</f>
        <v>0</v>
      </c>
    </row>
    <row r="59" customFormat="false" ht="15" hidden="false" customHeight="false" outlineLevel="0" collapsed="false">
      <c r="B59" s="25" t="n">
        <f aca="false">DATE(LvYear,11,1)</f>
        <v>46327</v>
      </c>
      <c r="C59" s="15" t="n">
        <f aca="false">COUNTIFS(Attendance!$A$6:$A$2405,"&gt;="&amp;$B59,Attendance!$A$6:$A$2405,"&lt;="&amp;EOMONTH($B59,0),Attendance!$B$6:$B$2405,"&lt;&gt;")</f>
        <v>0</v>
      </c>
      <c r="D59" s="15" t="n">
        <f aca="false">SUMIFS(Attendance!$AK$6:$AK$2405,Attendance!$A$6:$A$2405,"&gt;="&amp;$B59,Attendance!$A$6:$A$2405,"&lt;="&amp;EOMONTH($B59,0))</f>
        <v>0</v>
      </c>
      <c r="E59" s="15" t="n">
        <f aca="false">SUMIFS(Attendance!$AL$6:$AL$2405,Attendance!$A$6:$A$2405,"&gt;="&amp;$B59,Attendance!$A$6:$A$2405,"&lt;="&amp;EOMONTH($B59,0))</f>
        <v>0</v>
      </c>
      <c r="F59" s="15" t="n">
        <f aca="false">SUMIFS(Attendance!$AN$6:$AN$2405,Attendance!$A$6:$A$2405,"&gt;="&amp;$B59,Attendance!$A$6:$A$2405,"&lt;="&amp;EOMONTH($B59,0))</f>
        <v>0</v>
      </c>
      <c r="G59" s="16" t="n">
        <f aca="false">SUMIFS(Attendance!$AX$6:$AX$2405,Attendance!$A$6:$A$2405,"&gt;="&amp;$B59,Attendance!$A$6:$A$2405,"&lt;="&amp;EOMONTH($B59,0))+SUMIFS(Attendance!$AY$6:$AY$2405,Attendance!$A$6:$A$2405,"&gt;="&amp;$B59,Attendance!$A$6:$A$2405,"&lt;="&amp;EOMONTH($B59,0))+SUMIFS(Attendance!$AZ$6:$AZ$2405,Attendance!$A$6:$A$2405,"&gt;="&amp;$B59,Attendance!$A$6:$A$2405,"&lt;="&amp;EOMONTH($B59,0))</f>
        <v>0</v>
      </c>
      <c r="H59" s="16" t="n">
        <f aca="false">SUMIFS(Attendance!$BC$6:$BC$2405,Attendance!$A$6:$A$2405,"&gt;="&amp;$B59,Attendance!$A$6:$A$2405,"&lt;="&amp;EOMONTH($B59,0))</f>
        <v>0</v>
      </c>
    </row>
    <row r="60" customFormat="false" ht="15" hidden="false" customHeight="false" outlineLevel="0" collapsed="false">
      <c r="B60" s="25" t="n">
        <f aca="false">DATE(LvYear,12,1)</f>
        <v>46357</v>
      </c>
      <c r="C60" s="15" t="n">
        <f aca="false">COUNTIFS(Attendance!$A$6:$A$2405,"&gt;="&amp;$B60,Attendance!$A$6:$A$2405,"&lt;="&amp;EOMONTH($B60,0),Attendance!$B$6:$B$2405,"&lt;&gt;")</f>
        <v>0</v>
      </c>
      <c r="D60" s="15" t="n">
        <f aca="false">SUMIFS(Attendance!$AK$6:$AK$2405,Attendance!$A$6:$A$2405,"&gt;="&amp;$B60,Attendance!$A$6:$A$2405,"&lt;="&amp;EOMONTH($B60,0))</f>
        <v>0</v>
      </c>
      <c r="E60" s="15" t="n">
        <f aca="false">SUMIFS(Attendance!$AL$6:$AL$2405,Attendance!$A$6:$A$2405,"&gt;="&amp;$B60,Attendance!$A$6:$A$2405,"&lt;="&amp;EOMONTH($B60,0))</f>
        <v>0</v>
      </c>
      <c r="F60" s="15" t="n">
        <f aca="false">SUMIFS(Attendance!$AN$6:$AN$2405,Attendance!$A$6:$A$2405,"&gt;="&amp;$B60,Attendance!$A$6:$A$2405,"&lt;="&amp;EOMONTH($B60,0))</f>
        <v>0</v>
      </c>
      <c r="G60" s="16" t="n">
        <f aca="false">SUMIFS(Attendance!$AX$6:$AX$2405,Attendance!$A$6:$A$2405,"&gt;="&amp;$B60,Attendance!$A$6:$A$2405,"&lt;="&amp;EOMONTH($B60,0))+SUMIFS(Attendance!$AY$6:$AY$2405,Attendance!$A$6:$A$2405,"&gt;="&amp;$B60,Attendance!$A$6:$A$2405,"&lt;="&amp;EOMONTH($B60,0))+SUMIFS(Attendance!$AZ$6:$AZ$2405,Attendance!$A$6:$A$2405,"&gt;="&amp;$B60,Attendance!$A$6:$A$2405,"&lt;="&amp;EOMONTH($B60,0))</f>
        <v>0</v>
      </c>
      <c r="H60" s="16" t="n">
        <f aca="false">SUMIFS(Attendance!$BC$6:$BC$2405,Attendance!$A$6:$A$2405,"&gt;="&amp;$B60,Attendance!$A$6:$A$2405,"&lt;="&amp;EOMONTH($B60,0))</f>
        <v>0</v>
      </c>
    </row>
    <row r="61" customFormat="false" ht="15" hidden="false" customHeight="false" outlineLevel="0" collapsed="false">
      <c r="B61" s="17" t="s">
        <v>78</v>
      </c>
      <c r="C61" s="18" t="n">
        <f aca="false">SUM(C49:C60)</f>
        <v>0</v>
      </c>
      <c r="D61" s="18" t="n">
        <f aca="false">SUM(D49:D60)</f>
        <v>0</v>
      </c>
      <c r="E61" s="18" t="n">
        <f aca="false">SUM(E49:E60)</f>
        <v>0</v>
      </c>
      <c r="F61" s="18" t="n">
        <f aca="false">SUM(F49:F60)</f>
        <v>0</v>
      </c>
      <c r="G61" s="19" t="n">
        <f aca="false">SUM(G49:G60)</f>
        <v>0</v>
      </c>
      <c r="H61" s="19" t="n">
        <f aca="false">SUM(H49:H60)</f>
        <v>0</v>
      </c>
    </row>
  </sheetData>
  <mergeCells count="60">
    <mergeCell ref="B1:O1"/>
    <mergeCell ref="B2:O2"/>
    <mergeCell ref="B4:C4"/>
    <mergeCell ref="D4:E4"/>
    <mergeCell ref="F4:G4"/>
    <mergeCell ref="H4:I4"/>
    <mergeCell ref="J4:K4"/>
    <mergeCell ref="L4:M4"/>
    <mergeCell ref="N4:O4"/>
    <mergeCell ref="B5:C5"/>
    <mergeCell ref="D5:E5"/>
    <mergeCell ref="F5:G5"/>
    <mergeCell ref="H5:I5"/>
    <mergeCell ref="J5:K5"/>
    <mergeCell ref="L5:M5"/>
    <mergeCell ref="N5:O5"/>
    <mergeCell ref="B7:C7"/>
    <mergeCell ref="D7:E7"/>
    <mergeCell ref="F7:G7"/>
    <mergeCell ref="H7:I7"/>
    <mergeCell ref="J7:K7"/>
    <mergeCell ref="L7:M7"/>
    <mergeCell ref="N7:O7"/>
    <mergeCell ref="B8:C8"/>
    <mergeCell ref="D8:E8"/>
    <mergeCell ref="F8:G8"/>
    <mergeCell ref="H8:I8"/>
    <mergeCell ref="J8:K8"/>
    <mergeCell ref="L8:M8"/>
    <mergeCell ref="N8:O8"/>
    <mergeCell ref="B10:H10"/>
    <mergeCell ref="J10:O10"/>
    <mergeCell ref="B27:O27"/>
    <mergeCell ref="B29:C29"/>
    <mergeCell ref="D29:E29"/>
    <mergeCell ref="F29:G29"/>
    <mergeCell ref="H29:I29"/>
    <mergeCell ref="J29:K29"/>
    <mergeCell ref="L29:M29"/>
    <mergeCell ref="N29:O29"/>
    <mergeCell ref="B30:C30"/>
    <mergeCell ref="D30:E30"/>
    <mergeCell ref="F30:G30"/>
    <mergeCell ref="H30:I30"/>
    <mergeCell ref="J30:K30"/>
    <mergeCell ref="L30:M30"/>
    <mergeCell ref="N30:O30"/>
    <mergeCell ref="B33:O33"/>
    <mergeCell ref="C34:D34"/>
    <mergeCell ref="C35:D35"/>
    <mergeCell ref="C36:D36"/>
    <mergeCell ref="C37:D37"/>
    <mergeCell ref="C38:D38"/>
    <mergeCell ref="C39:D39"/>
    <mergeCell ref="C40:D40"/>
    <mergeCell ref="C41:D41"/>
    <mergeCell ref="C42:D42"/>
    <mergeCell ref="C43:D43"/>
    <mergeCell ref="C44:D44"/>
    <mergeCell ref="B47:O47"/>
  </mergeCells>
  <conditionalFormatting sqref="C12:C23">
    <cfRule type="dataBar" priority="2">
      <dataBar showValue="1" minLength="10" maxLength="90">
        <cfvo type="num" val="0"/>
        <cfvo type="max" val="0"/>
        <color rgb="FF5B9BD5"/>
      </dataBar>
      <extLst>
        <ext xmlns:x14="http://schemas.microsoft.com/office/spreadsheetml/2009/9/main" uri="{B025F937-C7B1-47D3-B67F-A62EFF666E3E}">
          <x14:id>{6EB01FC3-6A81-4486-B399-7775512536F2}</x14:id>
        </ext>
      </extLst>
    </cfRule>
  </conditionalFormatting>
  <conditionalFormatting sqref="K12:K21">
    <cfRule type="dataBar" priority="3">
      <dataBar showValue="1" minLength="10" maxLength="90">
        <cfvo type="num" val="0"/>
        <cfvo type="max" val="0"/>
        <color rgb="FF5B9BD5"/>
      </dataBar>
      <extLst>
        <ext xmlns:x14="http://schemas.microsoft.com/office/spreadsheetml/2009/9/main" uri="{B025F937-C7B1-47D3-B67F-A62EFF666E3E}">
          <x14:id>{51BA1A84-6468-4B1D-BCFF-23FA7BC45F59}</x14:id>
        </ext>
      </extLst>
    </cfRule>
  </conditionalFormatting>
  <conditionalFormatting sqref="K35:K44">
    <cfRule type="cellIs" priority="4" operator="equal" aboveAverage="0" equalAverage="0" bottom="0" percent="0" rank="0" text="" dxfId="0">
      <formula>"OVER-USED"</formula>
    </cfRule>
    <cfRule type="cellIs" priority="5" operator="equal" aboveAverage="0" equalAverage="0" bottom="0" percent="0" rank="0" text="" dxfId="1">
      <formula>"LOW"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EB01FC3-6A81-4486-B399-7775512536F2}">
            <x14:dataBar minLength="10" maxLength="90" axisPosition="none" gradient="true">
              <x14:cfvo type="num">
                <xm:f>0</xm:f>
              </x14:cfvo>
              <x14:cfvo type="max"/>
              <x14:negativeFillColor rgb="FF5B9BD5"/>
              <x14:axisColor rgb="FF000000"/>
            </x14:dataBar>
          </x14:cfRule>
          <xm:sqref>C12:C23</xm:sqref>
        </x14:conditionalFormatting>
        <x14:conditionalFormatting xmlns:xm="http://schemas.microsoft.com/office/excel/2006/main">
          <x14:cfRule type="dataBar" id="{51BA1A84-6468-4B1D-BCFF-23FA7BC45F59}">
            <x14:dataBar minLength="10" maxLength="90" axisPosition="none" gradient="true">
              <x14:cfvo type="num">
                <xm:f>0</xm:f>
              </x14:cfvo>
              <x14:cfvo type="max"/>
              <x14:negativeFillColor rgb="FF5B9BD5"/>
              <x14:axisColor rgb="FF000000"/>
            </x14:dataBar>
          </x14:cfRule>
          <xm:sqref>K12:K21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5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6"/>
    <col collapsed="false" customWidth="true" hidden="false" outlineLevel="0" max="4" min="4" style="0" width="10"/>
    <col collapsed="false" customWidth="true" hidden="false" outlineLevel="0" max="5" min="5" style="0" width="20"/>
    <col collapsed="false" customWidth="true" hidden="false" outlineLevel="0" max="6" min="6" style="0" width="18"/>
    <col collapsed="false" customWidth="true" hidden="false" outlineLevel="0" max="7" min="7" style="0" width="16"/>
    <col collapsed="false" customWidth="true" hidden="false" outlineLevel="0" max="8" min="8" style="0" width="14"/>
    <col collapsed="false" customWidth="true" hidden="false" outlineLevel="0" max="10" min="9" style="0" width="13"/>
  </cols>
  <sheetData>
    <row r="1" customFormat="false" ht="19.7" hidden="false" customHeight="false" outlineLevel="0" collapsed="false">
      <c r="A1" s="26" t="str">
        <f aca="false">"EMPLOYEE LIST - "&amp;Settings!$C$5</f>
        <v>EMPLOYEE LIST - Your Company Name</v>
      </c>
    </row>
    <row r="2" customFormat="false" ht="15" hidden="false" customHeight="false" outlineLevel="0" collapsed="false">
      <c r="A2" s="20" t="s">
        <v>99</v>
      </c>
    </row>
    <row r="3" customFormat="false" ht="15" hidden="false" customHeight="false" outlineLevel="0" collapsed="false">
      <c r="B3" s="21" t="s">
        <v>71</v>
      </c>
      <c r="C3" s="27" t="n">
        <f aca="false">COUNTIF(M_status,"Active")</f>
        <v>0</v>
      </c>
      <c r="D3" s="21" t="s">
        <v>100</v>
      </c>
      <c r="E3" s="27" t="n">
        <f aca="false">COUNTIF(M_status,"Exited")</f>
        <v>0</v>
      </c>
      <c r="F3" s="21" t="s">
        <v>101</v>
      </c>
      <c r="G3" s="27" t="n">
        <f aca="false">COUNTA(M_emp)</f>
        <v>0</v>
      </c>
    </row>
    <row r="4" customFormat="false" ht="15" hidden="false" customHeight="true" outlineLevel="0" collapsed="false">
      <c r="A4" s="28" t="s">
        <v>102</v>
      </c>
      <c r="B4" s="28"/>
      <c r="C4" s="28"/>
      <c r="D4" s="28"/>
      <c r="E4" s="28"/>
      <c r="F4" s="28"/>
      <c r="G4" s="28"/>
      <c r="H4" s="28"/>
      <c r="I4" s="28"/>
      <c r="J4" s="28"/>
    </row>
    <row r="5" customFormat="false" ht="31.5" hidden="false" customHeight="true" outlineLevel="0" collapsed="false">
      <c r="A5" s="14" t="s">
        <v>103</v>
      </c>
      <c r="B5" s="14" t="s">
        <v>104</v>
      </c>
      <c r="C5" s="14" t="s">
        <v>105</v>
      </c>
      <c r="D5" s="14" t="s">
        <v>96</v>
      </c>
      <c r="E5" s="14" t="s">
        <v>106</v>
      </c>
      <c r="F5" s="14" t="s">
        <v>70</v>
      </c>
      <c r="G5" s="14" t="s">
        <v>77</v>
      </c>
      <c r="H5" s="14" t="s">
        <v>107</v>
      </c>
      <c r="I5" s="14" t="s">
        <v>108</v>
      </c>
      <c r="J5" s="14" t="s">
        <v>109</v>
      </c>
    </row>
    <row r="6" customFormat="false" ht="15" hidden="false" customHeight="false" outlineLevel="0" collapsed="false">
      <c r="A6" s="10" t="str">
        <f aca="false">IF(B6="","",ROW()-5)</f>
        <v/>
      </c>
      <c r="B6" s="29"/>
      <c r="C6" s="9"/>
      <c r="D6" s="10" t="str">
        <f aca="false">IF(B6="","",IF(J6="","Active","Exited"))</f>
        <v/>
      </c>
      <c r="E6" s="9"/>
      <c r="F6" s="9"/>
      <c r="G6" s="9"/>
      <c r="H6" s="10" t="str">
        <f aca="false">IF(OR(B6="",I6=""),"",IF(IF(J6="",AsOf,J6)-I6&gt;=Settings!$C$13,"Permanent","Probation"))</f>
        <v/>
      </c>
      <c r="I6" s="30"/>
      <c r="J6" s="30"/>
    </row>
    <row r="7" customFormat="false" ht="15" hidden="false" customHeight="false" outlineLevel="0" collapsed="false">
      <c r="A7" s="10" t="str">
        <f aca="false">IF(B7="","",ROW()-5)</f>
        <v/>
      </c>
      <c r="B7" s="29"/>
      <c r="C7" s="9"/>
      <c r="D7" s="10" t="str">
        <f aca="false">IF(B7="","",IF(J7="","Active","Exited"))</f>
        <v/>
      </c>
      <c r="E7" s="9"/>
      <c r="F7" s="9"/>
      <c r="G7" s="9"/>
      <c r="H7" s="10" t="str">
        <f aca="false">IF(OR(B7="",I7=""),"",IF(IF(J7="",AsOf,J7)-I7&gt;=Settings!$C$13,"Permanent","Probation"))</f>
        <v/>
      </c>
      <c r="I7" s="30"/>
      <c r="J7" s="30"/>
    </row>
    <row r="8" customFormat="false" ht="15" hidden="false" customHeight="false" outlineLevel="0" collapsed="false">
      <c r="A8" s="10" t="str">
        <f aca="false">IF(B8="","",ROW()-5)</f>
        <v/>
      </c>
      <c r="B8" s="29"/>
      <c r="C8" s="9"/>
      <c r="D8" s="10" t="str">
        <f aca="false">IF(B8="","",IF(J8="","Active","Exited"))</f>
        <v/>
      </c>
      <c r="E8" s="9"/>
      <c r="F8" s="9"/>
      <c r="G8" s="9"/>
      <c r="H8" s="10" t="str">
        <f aca="false">IF(OR(B8="",I8=""),"",IF(IF(J8="",AsOf,J8)-I8&gt;=Settings!$C$13,"Permanent","Probation"))</f>
        <v/>
      </c>
      <c r="I8" s="30"/>
      <c r="J8" s="30"/>
    </row>
    <row r="9" customFormat="false" ht="15" hidden="false" customHeight="false" outlineLevel="0" collapsed="false">
      <c r="A9" s="10" t="str">
        <f aca="false">IF(B9="","",ROW()-5)</f>
        <v/>
      </c>
      <c r="B9" s="29"/>
      <c r="C9" s="9"/>
      <c r="D9" s="10" t="str">
        <f aca="false">IF(B9="","",IF(J9="","Active","Exited"))</f>
        <v/>
      </c>
      <c r="E9" s="9"/>
      <c r="F9" s="9"/>
      <c r="G9" s="9"/>
      <c r="H9" s="10" t="str">
        <f aca="false">IF(OR(B9="",I9=""),"",IF(IF(J9="",AsOf,J9)-I9&gt;=Settings!$C$13,"Permanent","Probation"))</f>
        <v/>
      </c>
      <c r="I9" s="30"/>
      <c r="J9" s="30"/>
    </row>
    <row r="10" customFormat="false" ht="15" hidden="false" customHeight="false" outlineLevel="0" collapsed="false">
      <c r="A10" s="10" t="str">
        <f aca="false">IF(B10="","",ROW()-5)</f>
        <v/>
      </c>
      <c r="B10" s="29"/>
      <c r="C10" s="9"/>
      <c r="D10" s="10" t="str">
        <f aca="false">IF(B10="","",IF(J10="","Active","Exited"))</f>
        <v/>
      </c>
      <c r="E10" s="9"/>
      <c r="F10" s="9"/>
      <c r="G10" s="9"/>
      <c r="H10" s="10" t="str">
        <f aca="false">IF(OR(B10="",I10=""),"",IF(IF(J10="",AsOf,J10)-I10&gt;=Settings!$C$13,"Permanent","Probation"))</f>
        <v/>
      </c>
      <c r="I10" s="30"/>
      <c r="J10" s="30"/>
    </row>
    <row r="11" customFormat="false" ht="15" hidden="false" customHeight="false" outlineLevel="0" collapsed="false">
      <c r="A11" s="10" t="str">
        <f aca="false">IF(B11="","",ROW()-5)</f>
        <v/>
      </c>
      <c r="B11" s="29"/>
      <c r="C11" s="9"/>
      <c r="D11" s="10" t="str">
        <f aca="false">IF(B11="","",IF(J11="","Active","Exited"))</f>
        <v/>
      </c>
      <c r="E11" s="9"/>
      <c r="F11" s="9"/>
      <c r="G11" s="9"/>
      <c r="H11" s="10" t="str">
        <f aca="false">IF(OR(B11="",I11=""),"",IF(IF(J11="",AsOf,J11)-I11&gt;=Settings!$C$13,"Permanent","Probation"))</f>
        <v/>
      </c>
      <c r="I11" s="30"/>
      <c r="J11" s="30"/>
    </row>
    <row r="12" customFormat="false" ht="15" hidden="false" customHeight="false" outlineLevel="0" collapsed="false">
      <c r="A12" s="10" t="str">
        <f aca="false">IF(B12="","",ROW()-5)</f>
        <v/>
      </c>
      <c r="B12" s="29"/>
      <c r="C12" s="9"/>
      <c r="D12" s="10" t="str">
        <f aca="false">IF(B12="","",IF(J12="","Active","Exited"))</f>
        <v/>
      </c>
      <c r="E12" s="9"/>
      <c r="F12" s="9"/>
      <c r="G12" s="9"/>
      <c r="H12" s="10" t="str">
        <f aca="false">IF(OR(B12="",I12=""),"",IF(IF(J12="",AsOf,J12)-I12&gt;=Settings!$C$13,"Permanent","Probation"))</f>
        <v/>
      </c>
      <c r="I12" s="30"/>
      <c r="J12" s="30"/>
    </row>
    <row r="13" customFormat="false" ht="15" hidden="false" customHeight="false" outlineLevel="0" collapsed="false">
      <c r="A13" s="10" t="str">
        <f aca="false">IF(B13="","",ROW()-5)</f>
        <v/>
      </c>
      <c r="B13" s="29"/>
      <c r="C13" s="9"/>
      <c r="D13" s="10" t="str">
        <f aca="false">IF(B13="","",IF(J13="","Active","Exited"))</f>
        <v/>
      </c>
      <c r="E13" s="9"/>
      <c r="F13" s="9"/>
      <c r="G13" s="9"/>
      <c r="H13" s="10" t="str">
        <f aca="false">IF(OR(B13="",I13=""),"",IF(IF(J13="",AsOf,J13)-I13&gt;=Settings!$C$13,"Permanent","Probation"))</f>
        <v/>
      </c>
      <c r="I13" s="30"/>
      <c r="J13" s="30"/>
    </row>
    <row r="14" customFormat="false" ht="15" hidden="false" customHeight="false" outlineLevel="0" collapsed="false">
      <c r="A14" s="10" t="str">
        <f aca="false">IF(B14="","",ROW()-5)</f>
        <v/>
      </c>
      <c r="B14" s="29"/>
      <c r="C14" s="9"/>
      <c r="D14" s="10" t="str">
        <f aca="false">IF(B14="","",IF(J14="","Active","Exited"))</f>
        <v/>
      </c>
      <c r="E14" s="9"/>
      <c r="F14" s="9"/>
      <c r="G14" s="9"/>
      <c r="H14" s="10" t="str">
        <f aca="false">IF(OR(B14="",I14=""),"",IF(IF(J14="",AsOf,J14)-I14&gt;=Settings!$C$13,"Permanent","Probation"))</f>
        <v/>
      </c>
      <c r="I14" s="30"/>
      <c r="J14" s="30"/>
    </row>
    <row r="15" customFormat="false" ht="15" hidden="false" customHeight="false" outlineLevel="0" collapsed="false">
      <c r="A15" s="10" t="str">
        <f aca="false">IF(B15="","",ROW()-5)</f>
        <v/>
      </c>
      <c r="B15" s="29"/>
      <c r="C15" s="9"/>
      <c r="D15" s="10" t="str">
        <f aca="false">IF(B15="","",IF(J15="","Active","Exited"))</f>
        <v/>
      </c>
      <c r="E15" s="9"/>
      <c r="F15" s="9"/>
      <c r="G15" s="9"/>
      <c r="H15" s="10" t="str">
        <f aca="false">IF(OR(B15="",I15=""),"",IF(IF(J15="",AsOf,J15)-I15&gt;=Settings!$C$13,"Permanent","Probation"))</f>
        <v/>
      </c>
      <c r="I15" s="30"/>
      <c r="J15" s="30"/>
    </row>
    <row r="16" customFormat="false" ht="15" hidden="false" customHeight="false" outlineLevel="0" collapsed="false">
      <c r="A16" s="10" t="str">
        <f aca="false">IF(B16="","",ROW()-5)</f>
        <v/>
      </c>
      <c r="B16" s="29"/>
      <c r="C16" s="9"/>
      <c r="D16" s="10" t="str">
        <f aca="false">IF(B16="","",IF(J16="","Active","Exited"))</f>
        <v/>
      </c>
      <c r="E16" s="9"/>
      <c r="F16" s="9"/>
      <c r="G16" s="9"/>
      <c r="H16" s="10" t="str">
        <f aca="false">IF(OR(B16="",I16=""),"",IF(IF(J16="",AsOf,J16)-I16&gt;=Settings!$C$13,"Permanent","Probation"))</f>
        <v/>
      </c>
      <c r="I16" s="30"/>
      <c r="J16" s="30"/>
    </row>
    <row r="17" customFormat="false" ht="15" hidden="false" customHeight="false" outlineLevel="0" collapsed="false">
      <c r="A17" s="10" t="str">
        <f aca="false">IF(B17="","",ROW()-5)</f>
        <v/>
      </c>
      <c r="B17" s="29"/>
      <c r="C17" s="9"/>
      <c r="D17" s="10" t="str">
        <f aca="false">IF(B17="","",IF(J17="","Active","Exited"))</f>
        <v/>
      </c>
      <c r="E17" s="9"/>
      <c r="F17" s="9"/>
      <c r="G17" s="9"/>
      <c r="H17" s="10" t="str">
        <f aca="false">IF(OR(B17="",I17=""),"",IF(IF(J17="",AsOf,J17)-I17&gt;=Settings!$C$13,"Permanent","Probation"))</f>
        <v/>
      </c>
      <c r="I17" s="30"/>
      <c r="J17" s="30"/>
    </row>
    <row r="18" customFormat="false" ht="15" hidden="false" customHeight="false" outlineLevel="0" collapsed="false">
      <c r="A18" s="10" t="str">
        <f aca="false">IF(B18="","",ROW()-5)</f>
        <v/>
      </c>
      <c r="B18" s="29"/>
      <c r="C18" s="9"/>
      <c r="D18" s="10" t="str">
        <f aca="false">IF(B18="","",IF(J18="","Active","Exited"))</f>
        <v/>
      </c>
      <c r="E18" s="9"/>
      <c r="F18" s="9"/>
      <c r="G18" s="9"/>
      <c r="H18" s="10" t="str">
        <f aca="false">IF(OR(B18="",I18=""),"",IF(IF(J18="",AsOf,J18)-I18&gt;=Settings!$C$13,"Permanent","Probation"))</f>
        <v/>
      </c>
      <c r="I18" s="30"/>
      <c r="J18" s="30"/>
    </row>
    <row r="19" customFormat="false" ht="15" hidden="false" customHeight="false" outlineLevel="0" collapsed="false">
      <c r="A19" s="10" t="str">
        <f aca="false">IF(B19="","",ROW()-5)</f>
        <v/>
      </c>
      <c r="B19" s="29"/>
      <c r="C19" s="9"/>
      <c r="D19" s="10" t="str">
        <f aca="false">IF(B19="","",IF(J19="","Active","Exited"))</f>
        <v/>
      </c>
      <c r="E19" s="9"/>
      <c r="F19" s="9"/>
      <c r="G19" s="9"/>
      <c r="H19" s="10" t="str">
        <f aca="false">IF(OR(B19="",I19=""),"",IF(IF(J19="",AsOf,J19)-I19&gt;=Settings!$C$13,"Permanent","Probation"))</f>
        <v/>
      </c>
      <c r="I19" s="30"/>
      <c r="J19" s="30"/>
    </row>
    <row r="20" customFormat="false" ht="15" hidden="false" customHeight="false" outlineLevel="0" collapsed="false">
      <c r="A20" s="10" t="str">
        <f aca="false">IF(B20="","",ROW()-5)</f>
        <v/>
      </c>
      <c r="B20" s="29"/>
      <c r="C20" s="9"/>
      <c r="D20" s="10" t="str">
        <f aca="false">IF(B20="","",IF(J20="","Active","Exited"))</f>
        <v/>
      </c>
      <c r="E20" s="9"/>
      <c r="F20" s="9"/>
      <c r="G20" s="9"/>
      <c r="H20" s="10" t="str">
        <f aca="false">IF(OR(B20="",I20=""),"",IF(IF(J20="",AsOf,J20)-I20&gt;=Settings!$C$13,"Permanent","Probation"))</f>
        <v/>
      </c>
      <c r="I20" s="30"/>
      <c r="J20" s="30"/>
    </row>
    <row r="21" customFormat="false" ht="15" hidden="false" customHeight="false" outlineLevel="0" collapsed="false">
      <c r="A21" s="10" t="str">
        <f aca="false">IF(B21="","",ROW()-5)</f>
        <v/>
      </c>
      <c r="B21" s="29"/>
      <c r="C21" s="9"/>
      <c r="D21" s="10" t="str">
        <f aca="false">IF(B21="","",IF(J21="","Active","Exited"))</f>
        <v/>
      </c>
      <c r="E21" s="9"/>
      <c r="F21" s="9"/>
      <c r="G21" s="9"/>
      <c r="H21" s="10" t="str">
        <f aca="false">IF(OR(B21="",I21=""),"",IF(IF(J21="",AsOf,J21)-I21&gt;=Settings!$C$13,"Permanent","Probation"))</f>
        <v/>
      </c>
      <c r="I21" s="30"/>
      <c r="J21" s="30"/>
    </row>
    <row r="22" customFormat="false" ht="15" hidden="false" customHeight="false" outlineLevel="0" collapsed="false">
      <c r="A22" s="10" t="str">
        <f aca="false">IF(B22="","",ROW()-5)</f>
        <v/>
      </c>
      <c r="B22" s="29"/>
      <c r="C22" s="9"/>
      <c r="D22" s="10" t="str">
        <f aca="false">IF(B22="","",IF(J22="","Active","Exited"))</f>
        <v/>
      </c>
      <c r="E22" s="9"/>
      <c r="F22" s="9"/>
      <c r="G22" s="9"/>
      <c r="H22" s="10" t="str">
        <f aca="false">IF(OR(B22="",I22=""),"",IF(IF(J22="",AsOf,J22)-I22&gt;=Settings!$C$13,"Permanent","Probation"))</f>
        <v/>
      </c>
      <c r="I22" s="30"/>
      <c r="J22" s="30"/>
    </row>
    <row r="23" customFormat="false" ht="15" hidden="false" customHeight="false" outlineLevel="0" collapsed="false">
      <c r="A23" s="10" t="str">
        <f aca="false">IF(B23="","",ROW()-5)</f>
        <v/>
      </c>
      <c r="B23" s="29"/>
      <c r="C23" s="9"/>
      <c r="D23" s="10" t="str">
        <f aca="false">IF(B23="","",IF(J23="","Active","Exited"))</f>
        <v/>
      </c>
      <c r="E23" s="9"/>
      <c r="F23" s="9"/>
      <c r="G23" s="9"/>
      <c r="H23" s="10" t="str">
        <f aca="false">IF(OR(B23="",I23=""),"",IF(IF(J23="",AsOf,J23)-I23&gt;=Settings!$C$13,"Permanent","Probation"))</f>
        <v/>
      </c>
      <c r="I23" s="30"/>
      <c r="J23" s="30"/>
    </row>
    <row r="24" customFormat="false" ht="15" hidden="false" customHeight="false" outlineLevel="0" collapsed="false">
      <c r="A24" s="10" t="str">
        <f aca="false">IF(B24="","",ROW()-5)</f>
        <v/>
      </c>
      <c r="B24" s="29"/>
      <c r="C24" s="9"/>
      <c r="D24" s="10" t="str">
        <f aca="false">IF(B24="","",IF(J24="","Active","Exited"))</f>
        <v/>
      </c>
      <c r="E24" s="9"/>
      <c r="F24" s="9"/>
      <c r="G24" s="9"/>
      <c r="H24" s="10" t="str">
        <f aca="false">IF(OR(B24="",I24=""),"",IF(IF(J24="",AsOf,J24)-I24&gt;=Settings!$C$13,"Permanent","Probation"))</f>
        <v/>
      </c>
      <c r="I24" s="30"/>
      <c r="J24" s="30"/>
    </row>
    <row r="25" customFormat="false" ht="15" hidden="false" customHeight="false" outlineLevel="0" collapsed="false">
      <c r="A25" s="10" t="str">
        <f aca="false">IF(B25="","",ROW()-5)</f>
        <v/>
      </c>
      <c r="B25" s="29"/>
      <c r="C25" s="9"/>
      <c r="D25" s="10" t="str">
        <f aca="false">IF(B25="","",IF(J25="","Active","Exited"))</f>
        <v/>
      </c>
      <c r="E25" s="9"/>
      <c r="F25" s="9"/>
      <c r="G25" s="9"/>
      <c r="H25" s="10" t="str">
        <f aca="false">IF(OR(B25="",I25=""),"",IF(IF(J25="",AsOf,J25)-I25&gt;=Settings!$C$13,"Permanent","Probation"))</f>
        <v/>
      </c>
      <c r="I25" s="30"/>
      <c r="J25" s="30"/>
    </row>
    <row r="26" customFormat="false" ht="15" hidden="false" customHeight="false" outlineLevel="0" collapsed="false">
      <c r="A26" s="10" t="str">
        <f aca="false">IF(B26="","",ROW()-5)</f>
        <v/>
      </c>
      <c r="B26" s="29"/>
      <c r="C26" s="9"/>
      <c r="D26" s="10" t="str">
        <f aca="false">IF(B26="","",IF(J26="","Active","Exited"))</f>
        <v/>
      </c>
      <c r="E26" s="9"/>
      <c r="F26" s="9"/>
      <c r="G26" s="9"/>
      <c r="H26" s="10" t="str">
        <f aca="false">IF(OR(B26="",I26=""),"",IF(IF(J26="",AsOf,J26)-I26&gt;=Settings!$C$13,"Permanent","Probation"))</f>
        <v/>
      </c>
      <c r="I26" s="30"/>
      <c r="J26" s="30"/>
    </row>
    <row r="27" customFormat="false" ht="15" hidden="false" customHeight="false" outlineLevel="0" collapsed="false">
      <c r="A27" s="10" t="str">
        <f aca="false">IF(B27="","",ROW()-5)</f>
        <v/>
      </c>
      <c r="B27" s="29"/>
      <c r="C27" s="9"/>
      <c r="D27" s="10" t="str">
        <f aca="false">IF(B27="","",IF(J27="","Active","Exited"))</f>
        <v/>
      </c>
      <c r="E27" s="9"/>
      <c r="F27" s="9"/>
      <c r="G27" s="9"/>
      <c r="H27" s="10" t="str">
        <f aca="false">IF(OR(B27="",I27=""),"",IF(IF(J27="",AsOf,J27)-I27&gt;=Settings!$C$13,"Permanent","Probation"))</f>
        <v/>
      </c>
      <c r="I27" s="30"/>
      <c r="J27" s="30"/>
    </row>
    <row r="28" customFormat="false" ht="15" hidden="false" customHeight="false" outlineLevel="0" collapsed="false">
      <c r="A28" s="10" t="str">
        <f aca="false">IF(B28="","",ROW()-5)</f>
        <v/>
      </c>
      <c r="B28" s="29"/>
      <c r="C28" s="9"/>
      <c r="D28" s="10" t="str">
        <f aca="false">IF(B28="","",IF(J28="","Active","Exited"))</f>
        <v/>
      </c>
      <c r="E28" s="9"/>
      <c r="F28" s="9"/>
      <c r="G28" s="9"/>
      <c r="H28" s="10" t="str">
        <f aca="false">IF(OR(B28="",I28=""),"",IF(IF(J28="",AsOf,J28)-I28&gt;=Settings!$C$13,"Permanent","Probation"))</f>
        <v/>
      </c>
      <c r="I28" s="30"/>
      <c r="J28" s="30"/>
    </row>
    <row r="29" customFormat="false" ht="15" hidden="false" customHeight="false" outlineLevel="0" collapsed="false">
      <c r="A29" s="10" t="str">
        <f aca="false">IF(B29="","",ROW()-5)</f>
        <v/>
      </c>
      <c r="B29" s="29"/>
      <c r="C29" s="9"/>
      <c r="D29" s="10" t="str">
        <f aca="false">IF(B29="","",IF(J29="","Active","Exited"))</f>
        <v/>
      </c>
      <c r="E29" s="9"/>
      <c r="F29" s="9"/>
      <c r="G29" s="9"/>
      <c r="H29" s="10" t="str">
        <f aca="false">IF(OR(B29="",I29=""),"",IF(IF(J29="",AsOf,J29)-I29&gt;=Settings!$C$13,"Permanent","Probation"))</f>
        <v/>
      </c>
      <c r="I29" s="30"/>
      <c r="J29" s="30"/>
    </row>
    <row r="30" customFormat="false" ht="15" hidden="false" customHeight="false" outlineLevel="0" collapsed="false">
      <c r="A30" s="10" t="str">
        <f aca="false">IF(B30="","",ROW()-5)</f>
        <v/>
      </c>
      <c r="B30" s="29"/>
      <c r="C30" s="9"/>
      <c r="D30" s="10" t="str">
        <f aca="false">IF(B30="","",IF(J30="","Active","Exited"))</f>
        <v/>
      </c>
      <c r="E30" s="9"/>
      <c r="F30" s="9"/>
      <c r="G30" s="9"/>
      <c r="H30" s="10" t="str">
        <f aca="false">IF(OR(B30="",I30=""),"",IF(IF(J30="",AsOf,J30)-I30&gt;=Settings!$C$13,"Permanent","Probation"))</f>
        <v/>
      </c>
      <c r="I30" s="30"/>
      <c r="J30" s="30"/>
    </row>
    <row r="31" customFormat="false" ht="15" hidden="false" customHeight="false" outlineLevel="0" collapsed="false">
      <c r="A31" s="10" t="str">
        <f aca="false">IF(B31="","",ROW()-5)</f>
        <v/>
      </c>
      <c r="B31" s="29"/>
      <c r="C31" s="9"/>
      <c r="D31" s="10" t="str">
        <f aca="false">IF(B31="","",IF(J31="","Active","Exited"))</f>
        <v/>
      </c>
      <c r="E31" s="9"/>
      <c r="F31" s="9"/>
      <c r="G31" s="9"/>
      <c r="H31" s="10" t="str">
        <f aca="false">IF(OR(B31="",I31=""),"",IF(IF(J31="",AsOf,J31)-I31&gt;=Settings!$C$13,"Permanent","Probation"))</f>
        <v/>
      </c>
      <c r="I31" s="30"/>
      <c r="J31" s="30"/>
    </row>
    <row r="32" customFormat="false" ht="15" hidden="false" customHeight="false" outlineLevel="0" collapsed="false">
      <c r="A32" s="10" t="str">
        <f aca="false">IF(B32="","",ROW()-5)</f>
        <v/>
      </c>
      <c r="B32" s="29"/>
      <c r="C32" s="9"/>
      <c r="D32" s="10" t="str">
        <f aca="false">IF(B32="","",IF(J32="","Active","Exited"))</f>
        <v/>
      </c>
      <c r="E32" s="9"/>
      <c r="F32" s="9"/>
      <c r="G32" s="9"/>
      <c r="H32" s="10" t="str">
        <f aca="false">IF(OR(B32="",I32=""),"",IF(IF(J32="",AsOf,J32)-I32&gt;=Settings!$C$13,"Permanent","Probation"))</f>
        <v/>
      </c>
      <c r="I32" s="30"/>
      <c r="J32" s="30"/>
    </row>
    <row r="33" customFormat="false" ht="15" hidden="false" customHeight="false" outlineLevel="0" collapsed="false">
      <c r="A33" s="10" t="str">
        <f aca="false">IF(B33="","",ROW()-5)</f>
        <v/>
      </c>
      <c r="B33" s="29"/>
      <c r="C33" s="9"/>
      <c r="D33" s="10" t="str">
        <f aca="false">IF(B33="","",IF(J33="","Active","Exited"))</f>
        <v/>
      </c>
      <c r="E33" s="9"/>
      <c r="F33" s="9"/>
      <c r="G33" s="9"/>
      <c r="H33" s="10" t="str">
        <f aca="false">IF(OR(B33="",I33=""),"",IF(IF(J33="",AsOf,J33)-I33&gt;=Settings!$C$13,"Permanent","Probation"))</f>
        <v/>
      </c>
      <c r="I33" s="30"/>
      <c r="J33" s="30"/>
    </row>
    <row r="34" customFormat="false" ht="15" hidden="false" customHeight="false" outlineLevel="0" collapsed="false">
      <c r="A34" s="10" t="str">
        <f aca="false">IF(B34="","",ROW()-5)</f>
        <v/>
      </c>
      <c r="B34" s="29"/>
      <c r="C34" s="9"/>
      <c r="D34" s="10" t="str">
        <f aca="false">IF(B34="","",IF(J34="","Active","Exited"))</f>
        <v/>
      </c>
      <c r="E34" s="9"/>
      <c r="F34" s="9"/>
      <c r="G34" s="9"/>
      <c r="H34" s="10" t="str">
        <f aca="false">IF(OR(B34="",I34=""),"",IF(IF(J34="",AsOf,J34)-I34&gt;=Settings!$C$13,"Permanent","Probation"))</f>
        <v/>
      </c>
      <c r="I34" s="30"/>
      <c r="J34" s="30"/>
    </row>
    <row r="35" customFormat="false" ht="15" hidden="false" customHeight="false" outlineLevel="0" collapsed="false">
      <c r="A35" s="10" t="str">
        <f aca="false">IF(B35="","",ROW()-5)</f>
        <v/>
      </c>
      <c r="B35" s="29"/>
      <c r="C35" s="9"/>
      <c r="D35" s="10" t="str">
        <f aca="false">IF(B35="","",IF(J35="","Active","Exited"))</f>
        <v/>
      </c>
      <c r="E35" s="9"/>
      <c r="F35" s="9"/>
      <c r="G35" s="9"/>
      <c r="H35" s="10" t="str">
        <f aca="false">IF(OR(B35="",I35=""),"",IF(IF(J35="",AsOf,J35)-I35&gt;=Settings!$C$13,"Permanent","Probation"))</f>
        <v/>
      </c>
      <c r="I35" s="30"/>
      <c r="J35" s="30"/>
    </row>
    <row r="36" customFormat="false" ht="15" hidden="false" customHeight="false" outlineLevel="0" collapsed="false">
      <c r="A36" s="10" t="str">
        <f aca="false">IF(B36="","",ROW()-5)</f>
        <v/>
      </c>
      <c r="B36" s="29"/>
      <c r="C36" s="9"/>
      <c r="D36" s="10" t="str">
        <f aca="false">IF(B36="","",IF(J36="","Active","Exited"))</f>
        <v/>
      </c>
      <c r="E36" s="9"/>
      <c r="F36" s="9"/>
      <c r="G36" s="9"/>
      <c r="H36" s="10" t="str">
        <f aca="false">IF(OR(B36="",I36=""),"",IF(IF(J36="",AsOf,J36)-I36&gt;=Settings!$C$13,"Permanent","Probation"))</f>
        <v/>
      </c>
      <c r="I36" s="30"/>
      <c r="J36" s="30"/>
    </row>
    <row r="37" customFormat="false" ht="15" hidden="false" customHeight="false" outlineLevel="0" collapsed="false">
      <c r="A37" s="10" t="str">
        <f aca="false">IF(B37="","",ROW()-5)</f>
        <v/>
      </c>
      <c r="B37" s="29"/>
      <c r="C37" s="9"/>
      <c r="D37" s="10" t="str">
        <f aca="false">IF(B37="","",IF(J37="","Active","Exited"))</f>
        <v/>
      </c>
      <c r="E37" s="9"/>
      <c r="F37" s="9"/>
      <c r="G37" s="9"/>
      <c r="H37" s="10" t="str">
        <f aca="false">IF(OR(B37="",I37=""),"",IF(IF(J37="",AsOf,J37)-I37&gt;=Settings!$C$13,"Permanent","Probation"))</f>
        <v/>
      </c>
      <c r="I37" s="30"/>
      <c r="J37" s="30"/>
    </row>
    <row r="38" customFormat="false" ht="15" hidden="false" customHeight="false" outlineLevel="0" collapsed="false">
      <c r="A38" s="10" t="str">
        <f aca="false">IF(B38="","",ROW()-5)</f>
        <v/>
      </c>
      <c r="B38" s="29"/>
      <c r="C38" s="9"/>
      <c r="D38" s="10" t="str">
        <f aca="false">IF(B38="","",IF(J38="","Active","Exited"))</f>
        <v/>
      </c>
      <c r="E38" s="9"/>
      <c r="F38" s="9"/>
      <c r="G38" s="9"/>
      <c r="H38" s="10" t="str">
        <f aca="false">IF(OR(B38="",I38=""),"",IF(IF(J38="",AsOf,J38)-I38&gt;=Settings!$C$13,"Permanent","Probation"))</f>
        <v/>
      </c>
      <c r="I38" s="30"/>
      <c r="J38" s="30"/>
    </row>
    <row r="39" customFormat="false" ht="15" hidden="false" customHeight="false" outlineLevel="0" collapsed="false">
      <c r="A39" s="10" t="str">
        <f aca="false">IF(B39="","",ROW()-5)</f>
        <v/>
      </c>
      <c r="B39" s="29"/>
      <c r="C39" s="9"/>
      <c r="D39" s="10" t="str">
        <f aca="false">IF(B39="","",IF(J39="","Active","Exited"))</f>
        <v/>
      </c>
      <c r="E39" s="9"/>
      <c r="F39" s="9"/>
      <c r="G39" s="9"/>
      <c r="H39" s="10" t="str">
        <f aca="false">IF(OR(B39="",I39=""),"",IF(IF(J39="",AsOf,J39)-I39&gt;=Settings!$C$13,"Permanent","Probation"))</f>
        <v/>
      </c>
      <c r="I39" s="30"/>
      <c r="J39" s="30"/>
    </row>
    <row r="40" customFormat="false" ht="15" hidden="false" customHeight="false" outlineLevel="0" collapsed="false">
      <c r="A40" s="10" t="str">
        <f aca="false">IF(B40="","",ROW()-5)</f>
        <v/>
      </c>
      <c r="B40" s="29"/>
      <c r="C40" s="9"/>
      <c r="D40" s="10" t="str">
        <f aca="false">IF(B40="","",IF(J40="","Active","Exited"))</f>
        <v/>
      </c>
      <c r="E40" s="9"/>
      <c r="F40" s="9"/>
      <c r="G40" s="9"/>
      <c r="H40" s="10" t="str">
        <f aca="false">IF(OR(B40="",I40=""),"",IF(IF(J40="",AsOf,J40)-I40&gt;=Settings!$C$13,"Permanent","Probation"))</f>
        <v/>
      </c>
      <c r="I40" s="30"/>
      <c r="J40" s="30"/>
    </row>
    <row r="41" customFormat="false" ht="15" hidden="false" customHeight="false" outlineLevel="0" collapsed="false">
      <c r="A41" s="10" t="str">
        <f aca="false">IF(B41="","",ROW()-5)</f>
        <v/>
      </c>
      <c r="B41" s="29"/>
      <c r="C41" s="9"/>
      <c r="D41" s="10" t="str">
        <f aca="false">IF(B41="","",IF(J41="","Active","Exited"))</f>
        <v/>
      </c>
      <c r="E41" s="9"/>
      <c r="F41" s="9"/>
      <c r="G41" s="9"/>
      <c r="H41" s="10" t="str">
        <f aca="false">IF(OR(B41="",I41=""),"",IF(IF(J41="",AsOf,J41)-I41&gt;=Settings!$C$13,"Permanent","Probation"))</f>
        <v/>
      </c>
      <c r="I41" s="30"/>
      <c r="J41" s="30"/>
    </row>
    <row r="42" customFormat="false" ht="15" hidden="false" customHeight="false" outlineLevel="0" collapsed="false">
      <c r="A42" s="10" t="str">
        <f aca="false">IF(B42="","",ROW()-5)</f>
        <v/>
      </c>
      <c r="B42" s="29"/>
      <c r="C42" s="9"/>
      <c r="D42" s="10" t="str">
        <f aca="false">IF(B42="","",IF(J42="","Active","Exited"))</f>
        <v/>
      </c>
      <c r="E42" s="9"/>
      <c r="F42" s="9"/>
      <c r="G42" s="9"/>
      <c r="H42" s="10" t="str">
        <f aca="false">IF(OR(B42="",I42=""),"",IF(IF(J42="",AsOf,J42)-I42&gt;=Settings!$C$13,"Permanent","Probation"))</f>
        <v/>
      </c>
      <c r="I42" s="30"/>
      <c r="J42" s="30"/>
    </row>
    <row r="43" customFormat="false" ht="15" hidden="false" customHeight="false" outlineLevel="0" collapsed="false">
      <c r="A43" s="10" t="str">
        <f aca="false">IF(B43="","",ROW()-5)</f>
        <v/>
      </c>
      <c r="B43" s="29"/>
      <c r="C43" s="9"/>
      <c r="D43" s="10" t="str">
        <f aca="false">IF(B43="","",IF(J43="","Active","Exited"))</f>
        <v/>
      </c>
      <c r="E43" s="9"/>
      <c r="F43" s="9"/>
      <c r="G43" s="9"/>
      <c r="H43" s="10" t="str">
        <f aca="false">IF(OR(B43="",I43=""),"",IF(IF(J43="",AsOf,J43)-I43&gt;=Settings!$C$13,"Permanent","Probation"))</f>
        <v/>
      </c>
      <c r="I43" s="30"/>
      <c r="J43" s="30"/>
    </row>
    <row r="44" customFormat="false" ht="15" hidden="false" customHeight="false" outlineLevel="0" collapsed="false">
      <c r="A44" s="10" t="str">
        <f aca="false">IF(B44="","",ROW()-5)</f>
        <v/>
      </c>
      <c r="B44" s="29"/>
      <c r="C44" s="9"/>
      <c r="D44" s="10" t="str">
        <f aca="false">IF(B44="","",IF(J44="","Active","Exited"))</f>
        <v/>
      </c>
      <c r="E44" s="9"/>
      <c r="F44" s="9"/>
      <c r="G44" s="9"/>
      <c r="H44" s="10" t="str">
        <f aca="false">IF(OR(B44="",I44=""),"",IF(IF(J44="",AsOf,J44)-I44&gt;=Settings!$C$13,"Permanent","Probation"))</f>
        <v/>
      </c>
      <c r="I44" s="30"/>
      <c r="J44" s="30"/>
    </row>
    <row r="45" customFormat="false" ht="15" hidden="false" customHeight="false" outlineLevel="0" collapsed="false">
      <c r="A45" s="10" t="str">
        <f aca="false">IF(B45="","",ROW()-5)</f>
        <v/>
      </c>
      <c r="B45" s="29"/>
      <c r="C45" s="9"/>
      <c r="D45" s="10" t="str">
        <f aca="false">IF(B45="","",IF(J45="","Active","Exited"))</f>
        <v/>
      </c>
      <c r="E45" s="9"/>
      <c r="F45" s="9"/>
      <c r="G45" s="9"/>
      <c r="H45" s="10" t="str">
        <f aca="false">IF(OR(B45="",I45=""),"",IF(IF(J45="",AsOf,J45)-I45&gt;=Settings!$C$13,"Permanent","Probation"))</f>
        <v/>
      </c>
      <c r="I45" s="30"/>
      <c r="J45" s="30"/>
    </row>
    <row r="46" customFormat="false" ht="15" hidden="false" customHeight="false" outlineLevel="0" collapsed="false">
      <c r="A46" s="10" t="str">
        <f aca="false">IF(B46="","",ROW()-5)</f>
        <v/>
      </c>
      <c r="B46" s="29"/>
      <c r="C46" s="9"/>
      <c r="D46" s="10" t="str">
        <f aca="false">IF(B46="","",IF(J46="","Active","Exited"))</f>
        <v/>
      </c>
      <c r="E46" s="9"/>
      <c r="F46" s="9"/>
      <c r="G46" s="9"/>
      <c r="H46" s="10" t="str">
        <f aca="false">IF(OR(B46="",I46=""),"",IF(IF(J46="",AsOf,J46)-I46&gt;=Settings!$C$13,"Permanent","Probation"))</f>
        <v/>
      </c>
      <c r="I46" s="30"/>
      <c r="J46" s="30"/>
    </row>
    <row r="47" customFormat="false" ht="15" hidden="false" customHeight="false" outlineLevel="0" collapsed="false">
      <c r="A47" s="10" t="str">
        <f aca="false">IF(B47="","",ROW()-5)</f>
        <v/>
      </c>
      <c r="B47" s="29"/>
      <c r="C47" s="9"/>
      <c r="D47" s="10" t="str">
        <f aca="false">IF(B47="","",IF(J47="","Active","Exited"))</f>
        <v/>
      </c>
      <c r="E47" s="9"/>
      <c r="F47" s="9"/>
      <c r="G47" s="9"/>
      <c r="H47" s="10" t="str">
        <f aca="false">IF(OR(B47="",I47=""),"",IF(IF(J47="",AsOf,J47)-I47&gt;=Settings!$C$13,"Permanent","Probation"))</f>
        <v/>
      </c>
      <c r="I47" s="30"/>
      <c r="J47" s="30"/>
    </row>
    <row r="48" customFormat="false" ht="15" hidden="false" customHeight="false" outlineLevel="0" collapsed="false">
      <c r="A48" s="10" t="str">
        <f aca="false">IF(B48="","",ROW()-5)</f>
        <v/>
      </c>
      <c r="B48" s="29"/>
      <c r="C48" s="9"/>
      <c r="D48" s="10" t="str">
        <f aca="false">IF(B48="","",IF(J48="","Active","Exited"))</f>
        <v/>
      </c>
      <c r="E48" s="9"/>
      <c r="F48" s="9"/>
      <c r="G48" s="9"/>
      <c r="H48" s="10" t="str">
        <f aca="false">IF(OR(B48="",I48=""),"",IF(IF(J48="",AsOf,J48)-I48&gt;=Settings!$C$13,"Permanent","Probation"))</f>
        <v/>
      </c>
      <c r="I48" s="30"/>
      <c r="J48" s="30"/>
    </row>
    <row r="49" customFormat="false" ht="15" hidden="false" customHeight="false" outlineLevel="0" collapsed="false">
      <c r="A49" s="10" t="str">
        <f aca="false">IF(B49="","",ROW()-5)</f>
        <v/>
      </c>
      <c r="B49" s="29"/>
      <c r="C49" s="9"/>
      <c r="D49" s="10" t="str">
        <f aca="false">IF(B49="","",IF(J49="","Active","Exited"))</f>
        <v/>
      </c>
      <c r="E49" s="9"/>
      <c r="F49" s="9"/>
      <c r="G49" s="9"/>
      <c r="H49" s="10" t="str">
        <f aca="false">IF(OR(B49="",I49=""),"",IF(IF(J49="",AsOf,J49)-I49&gt;=Settings!$C$13,"Permanent","Probation"))</f>
        <v/>
      </c>
      <c r="I49" s="30"/>
      <c r="J49" s="30"/>
    </row>
    <row r="50" customFormat="false" ht="15" hidden="false" customHeight="false" outlineLevel="0" collapsed="false">
      <c r="A50" s="10" t="str">
        <f aca="false">IF(B50="","",ROW()-5)</f>
        <v/>
      </c>
      <c r="B50" s="29"/>
      <c r="C50" s="9"/>
      <c r="D50" s="10" t="str">
        <f aca="false">IF(B50="","",IF(J50="","Active","Exited"))</f>
        <v/>
      </c>
      <c r="E50" s="9"/>
      <c r="F50" s="9"/>
      <c r="G50" s="9"/>
      <c r="H50" s="10" t="str">
        <f aca="false">IF(OR(B50="",I50=""),"",IF(IF(J50="",AsOf,J50)-I50&gt;=Settings!$C$13,"Permanent","Probation"))</f>
        <v/>
      </c>
      <c r="I50" s="30"/>
      <c r="J50" s="30"/>
    </row>
    <row r="51" customFormat="false" ht="15" hidden="false" customHeight="false" outlineLevel="0" collapsed="false">
      <c r="A51" s="10" t="str">
        <f aca="false">IF(B51="","",ROW()-5)</f>
        <v/>
      </c>
      <c r="B51" s="29"/>
      <c r="C51" s="9"/>
      <c r="D51" s="10" t="str">
        <f aca="false">IF(B51="","",IF(J51="","Active","Exited"))</f>
        <v/>
      </c>
      <c r="E51" s="9"/>
      <c r="F51" s="9"/>
      <c r="G51" s="9"/>
      <c r="H51" s="10" t="str">
        <f aca="false">IF(OR(B51="",I51=""),"",IF(IF(J51="",AsOf,J51)-I51&gt;=Settings!$C$13,"Permanent","Probation"))</f>
        <v/>
      </c>
      <c r="I51" s="30"/>
      <c r="J51" s="30"/>
    </row>
    <row r="52" customFormat="false" ht="15" hidden="false" customHeight="false" outlineLevel="0" collapsed="false">
      <c r="A52" s="10" t="str">
        <f aca="false">IF(B52="","",ROW()-5)</f>
        <v/>
      </c>
      <c r="B52" s="29"/>
      <c r="C52" s="9"/>
      <c r="D52" s="10" t="str">
        <f aca="false">IF(B52="","",IF(J52="","Active","Exited"))</f>
        <v/>
      </c>
      <c r="E52" s="9"/>
      <c r="F52" s="9"/>
      <c r="G52" s="9"/>
      <c r="H52" s="10" t="str">
        <f aca="false">IF(OR(B52="",I52=""),"",IF(IF(J52="",AsOf,J52)-I52&gt;=Settings!$C$13,"Permanent","Probation"))</f>
        <v/>
      </c>
      <c r="I52" s="30"/>
      <c r="J52" s="30"/>
    </row>
    <row r="53" customFormat="false" ht="15" hidden="false" customHeight="false" outlineLevel="0" collapsed="false">
      <c r="A53" s="10" t="str">
        <f aca="false">IF(B53="","",ROW()-5)</f>
        <v/>
      </c>
      <c r="B53" s="29"/>
      <c r="C53" s="9"/>
      <c r="D53" s="10" t="str">
        <f aca="false">IF(B53="","",IF(J53="","Active","Exited"))</f>
        <v/>
      </c>
      <c r="E53" s="9"/>
      <c r="F53" s="9"/>
      <c r="G53" s="9"/>
      <c r="H53" s="10" t="str">
        <f aca="false">IF(OR(B53="",I53=""),"",IF(IF(J53="",AsOf,J53)-I53&gt;=Settings!$C$13,"Permanent","Probation"))</f>
        <v/>
      </c>
      <c r="I53" s="30"/>
      <c r="J53" s="30"/>
    </row>
    <row r="54" customFormat="false" ht="15" hidden="false" customHeight="false" outlineLevel="0" collapsed="false">
      <c r="A54" s="10" t="str">
        <f aca="false">IF(B54="","",ROW()-5)</f>
        <v/>
      </c>
      <c r="B54" s="29"/>
      <c r="C54" s="9"/>
      <c r="D54" s="10" t="str">
        <f aca="false">IF(B54="","",IF(J54="","Active","Exited"))</f>
        <v/>
      </c>
      <c r="E54" s="9"/>
      <c r="F54" s="9"/>
      <c r="G54" s="9"/>
      <c r="H54" s="10" t="str">
        <f aca="false">IF(OR(B54="",I54=""),"",IF(IF(J54="",AsOf,J54)-I54&gt;=Settings!$C$13,"Permanent","Probation"))</f>
        <v/>
      </c>
      <c r="I54" s="30"/>
      <c r="J54" s="30"/>
    </row>
    <row r="55" customFormat="false" ht="15" hidden="false" customHeight="false" outlineLevel="0" collapsed="false">
      <c r="A55" s="10" t="str">
        <f aca="false">IF(B55="","",ROW()-5)</f>
        <v/>
      </c>
      <c r="B55" s="29"/>
      <c r="C55" s="9"/>
      <c r="D55" s="10" t="str">
        <f aca="false">IF(B55="","",IF(J55="","Active","Exited"))</f>
        <v/>
      </c>
      <c r="E55" s="9"/>
      <c r="F55" s="9"/>
      <c r="G55" s="9"/>
      <c r="H55" s="10" t="str">
        <f aca="false">IF(OR(B55="",I55=""),"",IF(IF(J55="",AsOf,J55)-I55&gt;=Settings!$C$13,"Permanent","Probation"))</f>
        <v/>
      </c>
      <c r="I55" s="30"/>
      <c r="J55" s="30"/>
    </row>
    <row r="56" customFormat="false" ht="15" hidden="false" customHeight="false" outlineLevel="0" collapsed="false">
      <c r="A56" s="10" t="str">
        <f aca="false">IF(B56="","",ROW()-5)</f>
        <v/>
      </c>
      <c r="B56" s="29"/>
      <c r="C56" s="9"/>
      <c r="D56" s="10" t="str">
        <f aca="false">IF(B56="","",IF(J56="","Active","Exited"))</f>
        <v/>
      </c>
      <c r="E56" s="9"/>
      <c r="F56" s="9"/>
      <c r="G56" s="9"/>
      <c r="H56" s="10" t="str">
        <f aca="false">IF(OR(B56="",I56=""),"",IF(IF(J56="",AsOf,J56)-I56&gt;=Settings!$C$13,"Permanent","Probation"))</f>
        <v/>
      </c>
      <c r="I56" s="30"/>
      <c r="J56" s="30"/>
    </row>
    <row r="57" customFormat="false" ht="15" hidden="false" customHeight="false" outlineLevel="0" collapsed="false">
      <c r="A57" s="10" t="str">
        <f aca="false">IF(B57="","",ROW()-5)</f>
        <v/>
      </c>
      <c r="B57" s="29"/>
      <c r="C57" s="9"/>
      <c r="D57" s="10" t="str">
        <f aca="false">IF(B57="","",IF(J57="","Active","Exited"))</f>
        <v/>
      </c>
      <c r="E57" s="9"/>
      <c r="F57" s="9"/>
      <c r="G57" s="9"/>
      <c r="H57" s="10" t="str">
        <f aca="false">IF(OR(B57="",I57=""),"",IF(IF(J57="",AsOf,J57)-I57&gt;=Settings!$C$13,"Permanent","Probation"))</f>
        <v/>
      </c>
      <c r="I57" s="30"/>
      <c r="J57" s="30"/>
    </row>
    <row r="58" customFormat="false" ht="15" hidden="false" customHeight="false" outlineLevel="0" collapsed="false">
      <c r="A58" s="10" t="str">
        <f aca="false">IF(B58="","",ROW()-5)</f>
        <v/>
      </c>
      <c r="B58" s="29"/>
      <c r="C58" s="9"/>
      <c r="D58" s="10" t="str">
        <f aca="false">IF(B58="","",IF(J58="","Active","Exited"))</f>
        <v/>
      </c>
      <c r="E58" s="9"/>
      <c r="F58" s="9"/>
      <c r="G58" s="9"/>
      <c r="H58" s="10" t="str">
        <f aca="false">IF(OR(B58="",I58=""),"",IF(IF(J58="",AsOf,J58)-I58&gt;=Settings!$C$13,"Permanent","Probation"))</f>
        <v/>
      </c>
      <c r="I58" s="30"/>
      <c r="J58" s="30"/>
    </row>
    <row r="59" customFormat="false" ht="15" hidden="false" customHeight="false" outlineLevel="0" collapsed="false">
      <c r="A59" s="10" t="str">
        <f aca="false">IF(B59="","",ROW()-5)</f>
        <v/>
      </c>
      <c r="B59" s="29"/>
      <c r="C59" s="9"/>
      <c r="D59" s="10" t="str">
        <f aca="false">IF(B59="","",IF(J59="","Active","Exited"))</f>
        <v/>
      </c>
      <c r="E59" s="9"/>
      <c r="F59" s="9"/>
      <c r="G59" s="9"/>
      <c r="H59" s="10" t="str">
        <f aca="false">IF(OR(B59="",I59=""),"",IF(IF(J59="",AsOf,J59)-I59&gt;=Settings!$C$13,"Permanent","Probation"))</f>
        <v/>
      </c>
      <c r="I59" s="30"/>
      <c r="J59" s="30"/>
    </row>
    <row r="60" customFormat="false" ht="15" hidden="false" customHeight="false" outlineLevel="0" collapsed="false">
      <c r="A60" s="10" t="str">
        <f aca="false">IF(B60="","",ROW()-5)</f>
        <v/>
      </c>
      <c r="B60" s="29"/>
      <c r="C60" s="9"/>
      <c r="D60" s="10" t="str">
        <f aca="false">IF(B60="","",IF(J60="","Active","Exited"))</f>
        <v/>
      </c>
      <c r="E60" s="9"/>
      <c r="F60" s="9"/>
      <c r="G60" s="9"/>
      <c r="H60" s="10" t="str">
        <f aca="false">IF(OR(B60="",I60=""),"",IF(IF(J60="",AsOf,J60)-I60&gt;=Settings!$C$13,"Permanent","Probation"))</f>
        <v/>
      </c>
      <c r="I60" s="30"/>
      <c r="J60" s="30"/>
    </row>
    <row r="61" customFormat="false" ht="15" hidden="false" customHeight="false" outlineLevel="0" collapsed="false">
      <c r="A61" s="10" t="str">
        <f aca="false">IF(B61="","",ROW()-5)</f>
        <v/>
      </c>
      <c r="B61" s="29"/>
      <c r="C61" s="9"/>
      <c r="D61" s="10" t="str">
        <f aca="false">IF(B61="","",IF(J61="","Active","Exited"))</f>
        <v/>
      </c>
      <c r="E61" s="9"/>
      <c r="F61" s="9"/>
      <c r="G61" s="9"/>
      <c r="H61" s="10" t="str">
        <f aca="false">IF(OR(B61="",I61=""),"",IF(IF(J61="",AsOf,J61)-I61&gt;=Settings!$C$13,"Permanent","Probation"))</f>
        <v/>
      </c>
      <c r="I61" s="30"/>
      <c r="J61" s="30"/>
    </row>
    <row r="62" customFormat="false" ht="15" hidden="false" customHeight="false" outlineLevel="0" collapsed="false">
      <c r="A62" s="10" t="str">
        <f aca="false">IF(B62="","",ROW()-5)</f>
        <v/>
      </c>
      <c r="B62" s="29"/>
      <c r="C62" s="9"/>
      <c r="D62" s="10" t="str">
        <f aca="false">IF(B62="","",IF(J62="","Active","Exited"))</f>
        <v/>
      </c>
      <c r="E62" s="9"/>
      <c r="F62" s="9"/>
      <c r="G62" s="9"/>
      <c r="H62" s="10" t="str">
        <f aca="false">IF(OR(B62="",I62=""),"",IF(IF(J62="",AsOf,J62)-I62&gt;=Settings!$C$13,"Permanent","Probation"))</f>
        <v/>
      </c>
      <c r="I62" s="30"/>
      <c r="J62" s="30"/>
    </row>
    <row r="63" customFormat="false" ht="15" hidden="false" customHeight="false" outlineLevel="0" collapsed="false">
      <c r="A63" s="10" t="str">
        <f aca="false">IF(B63="","",ROW()-5)</f>
        <v/>
      </c>
      <c r="B63" s="29"/>
      <c r="C63" s="9"/>
      <c r="D63" s="10" t="str">
        <f aca="false">IF(B63="","",IF(J63="","Active","Exited"))</f>
        <v/>
      </c>
      <c r="E63" s="9"/>
      <c r="F63" s="9"/>
      <c r="G63" s="9"/>
      <c r="H63" s="10" t="str">
        <f aca="false">IF(OR(B63="",I63=""),"",IF(IF(J63="",AsOf,J63)-I63&gt;=Settings!$C$13,"Permanent","Probation"))</f>
        <v/>
      </c>
      <c r="I63" s="30"/>
      <c r="J63" s="30"/>
    </row>
    <row r="64" customFormat="false" ht="15" hidden="false" customHeight="false" outlineLevel="0" collapsed="false">
      <c r="A64" s="10" t="str">
        <f aca="false">IF(B64="","",ROW()-5)</f>
        <v/>
      </c>
      <c r="B64" s="29"/>
      <c r="C64" s="9"/>
      <c r="D64" s="10" t="str">
        <f aca="false">IF(B64="","",IF(J64="","Active","Exited"))</f>
        <v/>
      </c>
      <c r="E64" s="9"/>
      <c r="F64" s="9"/>
      <c r="G64" s="9"/>
      <c r="H64" s="10" t="str">
        <f aca="false">IF(OR(B64="",I64=""),"",IF(IF(J64="",AsOf,J64)-I64&gt;=Settings!$C$13,"Permanent","Probation"))</f>
        <v/>
      </c>
      <c r="I64" s="30"/>
      <c r="J64" s="30"/>
    </row>
    <row r="65" customFormat="false" ht="15" hidden="false" customHeight="false" outlineLevel="0" collapsed="false">
      <c r="A65" s="10" t="str">
        <f aca="false">IF(B65="","",ROW()-5)</f>
        <v/>
      </c>
      <c r="B65" s="29"/>
      <c r="C65" s="9"/>
      <c r="D65" s="10" t="str">
        <f aca="false">IF(B65="","",IF(J65="","Active","Exited"))</f>
        <v/>
      </c>
      <c r="E65" s="9"/>
      <c r="F65" s="9"/>
      <c r="G65" s="9"/>
      <c r="H65" s="10" t="str">
        <f aca="false">IF(OR(B65="",I65=""),"",IF(IF(J65="",AsOf,J65)-I65&gt;=Settings!$C$13,"Permanent","Probation"))</f>
        <v/>
      </c>
      <c r="I65" s="30"/>
      <c r="J65" s="30"/>
    </row>
    <row r="66" customFormat="false" ht="15" hidden="false" customHeight="false" outlineLevel="0" collapsed="false">
      <c r="A66" s="10" t="str">
        <f aca="false">IF(B66="","",ROW()-5)</f>
        <v/>
      </c>
      <c r="B66" s="29"/>
      <c r="C66" s="9"/>
      <c r="D66" s="10" t="str">
        <f aca="false">IF(B66="","",IF(J66="","Active","Exited"))</f>
        <v/>
      </c>
      <c r="E66" s="9"/>
      <c r="F66" s="9"/>
      <c r="G66" s="9"/>
      <c r="H66" s="10" t="str">
        <f aca="false">IF(OR(B66="",I66=""),"",IF(IF(J66="",AsOf,J66)-I66&gt;=Settings!$C$13,"Permanent","Probation"))</f>
        <v/>
      </c>
      <c r="I66" s="30"/>
      <c r="J66" s="30"/>
    </row>
    <row r="67" customFormat="false" ht="15" hidden="false" customHeight="false" outlineLevel="0" collapsed="false">
      <c r="A67" s="10" t="str">
        <f aca="false">IF(B67="","",ROW()-5)</f>
        <v/>
      </c>
      <c r="B67" s="29"/>
      <c r="C67" s="9"/>
      <c r="D67" s="10" t="str">
        <f aca="false">IF(B67="","",IF(J67="","Active","Exited"))</f>
        <v/>
      </c>
      <c r="E67" s="9"/>
      <c r="F67" s="9"/>
      <c r="G67" s="9"/>
      <c r="H67" s="10" t="str">
        <f aca="false">IF(OR(B67="",I67=""),"",IF(IF(J67="",AsOf,J67)-I67&gt;=Settings!$C$13,"Permanent","Probation"))</f>
        <v/>
      </c>
      <c r="I67" s="30"/>
      <c r="J67" s="30"/>
    </row>
    <row r="68" customFormat="false" ht="15" hidden="false" customHeight="false" outlineLevel="0" collapsed="false">
      <c r="A68" s="10" t="str">
        <f aca="false">IF(B68="","",ROW()-5)</f>
        <v/>
      </c>
      <c r="B68" s="29"/>
      <c r="C68" s="9"/>
      <c r="D68" s="10" t="str">
        <f aca="false">IF(B68="","",IF(J68="","Active","Exited"))</f>
        <v/>
      </c>
      <c r="E68" s="9"/>
      <c r="F68" s="9"/>
      <c r="G68" s="9"/>
      <c r="H68" s="10" t="str">
        <f aca="false">IF(OR(B68="",I68=""),"",IF(IF(J68="",AsOf,J68)-I68&gt;=Settings!$C$13,"Permanent","Probation"))</f>
        <v/>
      </c>
      <c r="I68" s="30"/>
      <c r="J68" s="30"/>
    </row>
    <row r="69" customFormat="false" ht="15" hidden="false" customHeight="false" outlineLevel="0" collapsed="false">
      <c r="A69" s="10" t="str">
        <f aca="false">IF(B69="","",ROW()-5)</f>
        <v/>
      </c>
      <c r="B69" s="29"/>
      <c r="C69" s="9"/>
      <c r="D69" s="10" t="str">
        <f aca="false">IF(B69="","",IF(J69="","Active","Exited"))</f>
        <v/>
      </c>
      <c r="E69" s="9"/>
      <c r="F69" s="9"/>
      <c r="G69" s="9"/>
      <c r="H69" s="10" t="str">
        <f aca="false">IF(OR(B69="",I69=""),"",IF(IF(J69="",AsOf,J69)-I69&gt;=Settings!$C$13,"Permanent","Probation"))</f>
        <v/>
      </c>
      <c r="I69" s="30"/>
      <c r="J69" s="30"/>
    </row>
    <row r="70" customFormat="false" ht="15" hidden="false" customHeight="false" outlineLevel="0" collapsed="false">
      <c r="A70" s="10" t="str">
        <f aca="false">IF(B70="","",ROW()-5)</f>
        <v/>
      </c>
      <c r="B70" s="29"/>
      <c r="C70" s="9"/>
      <c r="D70" s="10" t="str">
        <f aca="false">IF(B70="","",IF(J70="","Active","Exited"))</f>
        <v/>
      </c>
      <c r="E70" s="9"/>
      <c r="F70" s="9"/>
      <c r="G70" s="9"/>
      <c r="H70" s="10" t="str">
        <f aca="false">IF(OR(B70="",I70=""),"",IF(IF(J70="",AsOf,J70)-I70&gt;=Settings!$C$13,"Permanent","Probation"))</f>
        <v/>
      </c>
      <c r="I70" s="30"/>
      <c r="J70" s="30"/>
    </row>
    <row r="71" customFormat="false" ht="15" hidden="false" customHeight="false" outlineLevel="0" collapsed="false">
      <c r="A71" s="10" t="str">
        <f aca="false">IF(B71="","",ROW()-5)</f>
        <v/>
      </c>
      <c r="B71" s="29"/>
      <c r="C71" s="9"/>
      <c r="D71" s="10" t="str">
        <f aca="false">IF(B71="","",IF(J71="","Active","Exited"))</f>
        <v/>
      </c>
      <c r="E71" s="9"/>
      <c r="F71" s="9"/>
      <c r="G71" s="9"/>
      <c r="H71" s="10" t="str">
        <f aca="false">IF(OR(B71="",I71=""),"",IF(IF(J71="",AsOf,J71)-I71&gt;=Settings!$C$13,"Permanent","Probation"))</f>
        <v/>
      </c>
      <c r="I71" s="30"/>
      <c r="J71" s="30"/>
    </row>
    <row r="72" customFormat="false" ht="15" hidden="false" customHeight="false" outlineLevel="0" collapsed="false">
      <c r="A72" s="10" t="str">
        <f aca="false">IF(B72="","",ROW()-5)</f>
        <v/>
      </c>
      <c r="B72" s="29"/>
      <c r="C72" s="9"/>
      <c r="D72" s="10" t="str">
        <f aca="false">IF(B72="","",IF(J72="","Active","Exited"))</f>
        <v/>
      </c>
      <c r="E72" s="9"/>
      <c r="F72" s="9"/>
      <c r="G72" s="9"/>
      <c r="H72" s="10" t="str">
        <f aca="false">IF(OR(B72="",I72=""),"",IF(IF(J72="",AsOf,J72)-I72&gt;=Settings!$C$13,"Permanent","Probation"))</f>
        <v/>
      </c>
      <c r="I72" s="30"/>
      <c r="J72" s="30"/>
    </row>
    <row r="73" customFormat="false" ht="15" hidden="false" customHeight="false" outlineLevel="0" collapsed="false">
      <c r="A73" s="10" t="str">
        <f aca="false">IF(B73="","",ROW()-5)</f>
        <v/>
      </c>
      <c r="B73" s="29"/>
      <c r="C73" s="9"/>
      <c r="D73" s="10" t="str">
        <f aca="false">IF(B73="","",IF(J73="","Active","Exited"))</f>
        <v/>
      </c>
      <c r="E73" s="9"/>
      <c r="F73" s="9"/>
      <c r="G73" s="9"/>
      <c r="H73" s="10" t="str">
        <f aca="false">IF(OR(B73="",I73=""),"",IF(IF(J73="",AsOf,J73)-I73&gt;=Settings!$C$13,"Permanent","Probation"))</f>
        <v/>
      </c>
      <c r="I73" s="30"/>
      <c r="J73" s="30"/>
    </row>
    <row r="74" customFormat="false" ht="15" hidden="false" customHeight="false" outlineLevel="0" collapsed="false">
      <c r="A74" s="10" t="str">
        <f aca="false">IF(B74="","",ROW()-5)</f>
        <v/>
      </c>
      <c r="B74" s="29"/>
      <c r="C74" s="9"/>
      <c r="D74" s="10" t="str">
        <f aca="false">IF(B74="","",IF(J74="","Active","Exited"))</f>
        <v/>
      </c>
      <c r="E74" s="9"/>
      <c r="F74" s="9"/>
      <c r="G74" s="9"/>
      <c r="H74" s="10" t="str">
        <f aca="false">IF(OR(B74="",I74=""),"",IF(IF(J74="",AsOf,J74)-I74&gt;=Settings!$C$13,"Permanent","Probation"))</f>
        <v/>
      </c>
      <c r="I74" s="30"/>
      <c r="J74" s="30"/>
    </row>
    <row r="75" customFormat="false" ht="15" hidden="false" customHeight="false" outlineLevel="0" collapsed="false">
      <c r="A75" s="10" t="str">
        <f aca="false">IF(B75="","",ROW()-5)</f>
        <v/>
      </c>
      <c r="B75" s="29"/>
      <c r="C75" s="9"/>
      <c r="D75" s="10" t="str">
        <f aca="false">IF(B75="","",IF(J75="","Active","Exited"))</f>
        <v/>
      </c>
      <c r="E75" s="9"/>
      <c r="F75" s="9"/>
      <c r="G75" s="9"/>
      <c r="H75" s="10" t="str">
        <f aca="false">IF(OR(B75="",I75=""),"",IF(IF(J75="",AsOf,J75)-I75&gt;=Settings!$C$13,"Permanent","Probation"))</f>
        <v/>
      </c>
      <c r="I75" s="30"/>
      <c r="J75" s="30"/>
    </row>
    <row r="76" customFormat="false" ht="15" hidden="false" customHeight="false" outlineLevel="0" collapsed="false">
      <c r="A76" s="10" t="str">
        <f aca="false">IF(B76="","",ROW()-5)</f>
        <v/>
      </c>
      <c r="B76" s="29"/>
      <c r="C76" s="9"/>
      <c r="D76" s="10" t="str">
        <f aca="false">IF(B76="","",IF(J76="","Active","Exited"))</f>
        <v/>
      </c>
      <c r="E76" s="9"/>
      <c r="F76" s="9"/>
      <c r="G76" s="9"/>
      <c r="H76" s="10" t="str">
        <f aca="false">IF(OR(B76="",I76=""),"",IF(IF(J76="",AsOf,J76)-I76&gt;=Settings!$C$13,"Permanent","Probation"))</f>
        <v/>
      </c>
      <c r="I76" s="30"/>
      <c r="J76" s="30"/>
    </row>
    <row r="77" customFormat="false" ht="15" hidden="false" customHeight="false" outlineLevel="0" collapsed="false">
      <c r="A77" s="10" t="str">
        <f aca="false">IF(B77="","",ROW()-5)</f>
        <v/>
      </c>
      <c r="B77" s="29"/>
      <c r="C77" s="9"/>
      <c r="D77" s="10" t="str">
        <f aca="false">IF(B77="","",IF(J77="","Active","Exited"))</f>
        <v/>
      </c>
      <c r="E77" s="9"/>
      <c r="F77" s="9"/>
      <c r="G77" s="9"/>
      <c r="H77" s="10" t="str">
        <f aca="false">IF(OR(B77="",I77=""),"",IF(IF(J77="",AsOf,J77)-I77&gt;=Settings!$C$13,"Permanent","Probation"))</f>
        <v/>
      </c>
      <c r="I77" s="30"/>
      <c r="J77" s="30"/>
    </row>
    <row r="78" customFormat="false" ht="15" hidden="false" customHeight="false" outlineLevel="0" collapsed="false">
      <c r="A78" s="10" t="str">
        <f aca="false">IF(B78="","",ROW()-5)</f>
        <v/>
      </c>
      <c r="B78" s="29"/>
      <c r="C78" s="9"/>
      <c r="D78" s="10" t="str">
        <f aca="false">IF(B78="","",IF(J78="","Active","Exited"))</f>
        <v/>
      </c>
      <c r="E78" s="9"/>
      <c r="F78" s="9"/>
      <c r="G78" s="9"/>
      <c r="H78" s="10" t="str">
        <f aca="false">IF(OR(B78="",I78=""),"",IF(IF(J78="",AsOf,J78)-I78&gt;=Settings!$C$13,"Permanent","Probation"))</f>
        <v/>
      </c>
      <c r="I78" s="30"/>
      <c r="J78" s="30"/>
    </row>
    <row r="79" customFormat="false" ht="15" hidden="false" customHeight="false" outlineLevel="0" collapsed="false">
      <c r="A79" s="10" t="str">
        <f aca="false">IF(B79="","",ROW()-5)</f>
        <v/>
      </c>
      <c r="B79" s="29"/>
      <c r="C79" s="9"/>
      <c r="D79" s="10" t="str">
        <f aca="false">IF(B79="","",IF(J79="","Active","Exited"))</f>
        <v/>
      </c>
      <c r="E79" s="9"/>
      <c r="F79" s="9"/>
      <c r="G79" s="9"/>
      <c r="H79" s="10" t="str">
        <f aca="false">IF(OR(B79="",I79=""),"",IF(IF(J79="",AsOf,J79)-I79&gt;=Settings!$C$13,"Permanent","Probation"))</f>
        <v/>
      </c>
      <c r="I79" s="30"/>
      <c r="J79" s="30"/>
    </row>
    <row r="80" customFormat="false" ht="15" hidden="false" customHeight="false" outlineLevel="0" collapsed="false">
      <c r="A80" s="10" t="str">
        <f aca="false">IF(B80="","",ROW()-5)</f>
        <v/>
      </c>
      <c r="B80" s="29"/>
      <c r="C80" s="9"/>
      <c r="D80" s="10" t="str">
        <f aca="false">IF(B80="","",IF(J80="","Active","Exited"))</f>
        <v/>
      </c>
      <c r="E80" s="9"/>
      <c r="F80" s="9"/>
      <c r="G80" s="9"/>
      <c r="H80" s="10" t="str">
        <f aca="false">IF(OR(B80="",I80=""),"",IF(IF(J80="",AsOf,J80)-I80&gt;=Settings!$C$13,"Permanent","Probation"))</f>
        <v/>
      </c>
      <c r="I80" s="30"/>
      <c r="J80" s="30"/>
    </row>
    <row r="81" customFormat="false" ht="15" hidden="false" customHeight="false" outlineLevel="0" collapsed="false">
      <c r="A81" s="10" t="str">
        <f aca="false">IF(B81="","",ROW()-5)</f>
        <v/>
      </c>
      <c r="B81" s="29"/>
      <c r="C81" s="9"/>
      <c r="D81" s="10" t="str">
        <f aca="false">IF(B81="","",IF(J81="","Active","Exited"))</f>
        <v/>
      </c>
      <c r="E81" s="9"/>
      <c r="F81" s="9"/>
      <c r="G81" s="9"/>
      <c r="H81" s="10" t="str">
        <f aca="false">IF(OR(B81="",I81=""),"",IF(IF(J81="",AsOf,J81)-I81&gt;=Settings!$C$13,"Permanent","Probation"))</f>
        <v/>
      </c>
      <c r="I81" s="30"/>
      <c r="J81" s="30"/>
    </row>
    <row r="82" customFormat="false" ht="15" hidden="false" customHeight="false" outlineLevel="0" collapsed="false">
      <c r="A82" s="10" t="str">
        <f aca="false">IF(B82="","",ROW()-5)</f>
        <v/>
      </c>
      <c r="B82" s="29"/>
      <c r="C82" s="9"/>
      <c r="D82" s="10" t="str">
        <f aca="false">IF(B82="","",IF(J82="","Active","Exited"))</f>
        <v/>
      </c>
      <c r="E82" s="9"/>
      <c r="F82" s="9"/>
      <c r="G82" s="9"/>
      <c r="H82" s="10" t="str">
        <f aca="false">IF(OR(B82="",I82=""),"",IF(IF(J82="",AsOf,J82)-I82&gt;=Settings!$C$13,"Permanent","Probation"))</f>
        <v/>
      </c>
      <c r="I82" s="30"/>
      <c r="J82" s="30"/>
    </row>
    <row r="83" customFormat="false" ht="15" hidden="false" customHeight="false" outlineLevel="0" collapsed="false">
      <c r="A83" s="10" t="str">
        <f aca="false">IF(B83="","",ROW()-5)</f>
        <v/>
      </c>
      <c r="B83" s="29"/>
      <c r="C83" s="9"/>
      <c r="D83" s="10" t="str">
        <f aca="false">IF(B83="","",IF(J83="","Active","Exited"))</f>
        <v/>
      </c>
      <c r="E83" s="9"/>
      <c r="F83" s="9"/>
      <c r="G83" s="9"/>
      <c r="H83" s="10" t="str">
        <f aca="false">IF(OR(B83="",I83=""),"",IF(IF(J83="",AsOf,J83)-I83&gt;=Settings!$C$13,"Permanent","Probation"))</f>
        <v/>
      </c>
      <c r="I83" s="30"/>
      <c r="J83" s="30"/>
    </row>
    <row r="84" customFormat="false" ht="15" hidden="false" customHeight="false" outlineLevel="0" collapsed="false">
      <c r="A84" s="10" t="str">
        <f aca="false">IF(B84="","",ROW()-5)</f>
        <v/>
      </c>
      <c r="B84" s="29"/>
      <c r="C84" s="9"/>
      <c r="D84" s="10" t="str">
        <f aca="false">IF(B84="","",IF(J84="","Active","Exited"))</f>
        <v/>
      </c>
      <c r="E84" s="9"/>
      <c r="F84" s="9"/>
      <c r="G84" s="9"/>
      <c r="H84" s="10" t="str">
        <f aca="false">IF(OR(B84="",I84=""),"",IF(IF(J84="",AsOf,J84)-I84&gt;=Settings!$C$13,"Permanent","Probation"))</f>
        <v/>
      </c>
      <c r="I84" s="30"/>
      <c r="J84" s="30"/>
    </row>
    <row r="85" customFormat="false" ht="15" hidden="false" customHeight="false" outlineLevel="0" collapsed="false">
      <c r="A85" s="10" t="str">
        <f aca="false">IF(B85="","",ROW()-5)</f>
        <v/>
      </c>
      <c r="B85" s="29"/>
      <c r="C85" s="9"/>
      <c r="D85" s="10" t="str">
        <f aca="false">IF(B85="","",IF(J85="","Active","Exited"))</f>
        <v/>
      </c>
      <c r="E85" s="9"/>
      <c r="F85" s="9"/>
      <c r="G85" s="9"/>
      <c r="H85" s="10" t="str">
        <f aca="false">IF(OR(B85="",I85=""),"",IF(IF(J85="",AsOf,J85)-I85&gt;=Settings!$C$13,"Permanent","Probation"))</f>
        <v/>
      </c>
      <c r="I85" s="30"/>
      <c r="J85" s="30"/>
    </row>
    <row r="86" customFormat="false" ht="15" hidden="false" customHeight="false" outlineLevel="0" collapsed="false">
      <c r="A86" s="10" t="str">
        <f aca="false">IF(B86="","",ROW()-5)</f>
        <v/>
      </c>
      <c r="B86" s="29"/>
      <c r="C86" s="9"/>
      <c r="D86" s="10" t="str">
        <f aca="false">IF(B86="","",IF(J86="","Active","Exited"))</f>
        <v/>
      </c>
      <c r="E86" s="9"/>
      <c r="F86" s="9"/>
      <c r="G86" s="9"/>
      <c r="H86" s="10" t="str">
        <f aca="false">IF(OR(B86="",I86=""),"",IF(IF(J86="",AsOf,J86)-I86&gt;=Settings!$C$13,"Permanent","Probation"))</f>
        <v/>
      </c>
      <c r="I86" s="30"/>
      <c r="J86" s="30"/>
    </row>
    <row r="87" customFormat="false" ht="15" hidden="false" customHeight="false" outlineLevel="0" collapsed="false">
      <c r="A87" s="10" t="str">
        <f aca="false">IF(B87="","",ROW()-5)</f>
        <v/>
      </c>
      <c r="B87" s="29"/>
      <c r="C87" s="9"/>
      <c r="D87" s="10" t="str">
        <f aca="false">IF(B87="","",IF(J87="","Active","Exited"))</f>
        <v/>
      </c>
      <c r="E87" s="9"/>
      <c r="F87" s="9"/>
      <c r="G87" s="9"/>
      <c r="H87" s="10" t="str">
        <f aca="false">IF(OR(B87="",I87=""),"",IF(IF(J87="",AsOf,J87)-I87&gt;=Settings!$C$13,"Permanent","Probation"))</f>
        <v/>
      </c>
      <c r="I87" s="30"/>
      <c r="J87" s="30"/>
    </row>
    <row r="88" customFormat="false" ht="15" hidden="false" customHeight="false" outlineLevel="0" collapsed="false">
      <c r="A88" s="10" t="str">
        <f aca="false">IF(B88="","",ROW()-5)</f>
        <v/>
      </c>
      <c r="B88" s="29"/>
      <c r="C88" s="9"/>
      <c r="D88" s="10" t="str">
        <f aca="false">IF(B88="","",IF(J88="","Active","Exited"))</f>
        <v/>
      </c>
      <c r="E88" s="9"/>
      <c r="F88" s="9"/>
      <c r="G88" s="9"/>
      <c r="H88" s="10" t="str">
        <f aca="false">IF(OR(B88="",I88=""),"",IF(IF(J88="",AsOf,J88)-I88&gt;=Settings!$C$13,"Permanent","Probation"))</f>
        <v/>
      </c>
      <c r="I88" s="30"/>
      <c r="J88" s="30"/>
    </row>
    <row r="89" customFormat="false" ht="15" hidden="false" customHeight="false" outlineLevel="0" collapsed="false">
      <c r="A89" s="10" t="str">
        <f aca="false">IF(B89="","",ROW()-5)</f>
        <v/>
      </c>
      <c r="B89" s="29"/>
      <c r="C89" s="9"/>
      <c r="D89" s="10" t="str">
        <f aca="false">IF(B89="","",IF(J89="","Active","Exited"))</f>
        <v/>
      </c>
      <c r="E89" s="9"/>
      <c r="F89" s="9"/>
      <c r="G89" s="9"/>
      <c r="H89" s="10" t="str">
        <f aca="false">IF(OR(B89="",I89=""),"",IF(IF(J89="",AsOf,J89)-I89&gt;=Settings!$C$13,"Permanent","Probation"))</f>
        <v/>
      </c>
      <c r="I89" s="30"/>
      <c r="J89" s="30"/>
    </row>
    <row r="90" customFormat="false" ht="15" hidden="false" customHeight="false" outlineLevel="0" collapsed="false">
      <c r="A90" s="10" t="str">
        <f aca="false">IF(B90="","",ROW()-5)</f>
        <v/>
      </c>
      <c r="B90" s="29"/>
      <c r="C90" s="9"/>
      <c r="D90" s="10" t="str">
        <f aca="false">IF(B90="","",IF(J90="","Active","Exited"))</f>
        <v/>
      </c>
      <c r="E90" s="9"/>
      <c r="F90" s="9"/>
      <c r="G90" s="9"/>
      <c r="H90" s="10" t="str">
        <f aca="false">IF(OR(B90="",I90=""),"",IF(IF(J90="",AsOf,J90)-I90&gt;=Settings!$C$13,"Permanent","Probation"))</f>
        <v/>
      </c>
      <c r="I90" s="30"/>
      <c r="J90" s="30"/>
    </row>
    <row r="91" customFormat="false" ht="15" hidden="false" customHeight="false" outlineLevel="0" collapsed="false">
      <c r="A91" s="10" t="str">
        <f aca="false">IF(B91="","",ROW()-5)</f>
        <v/>
      </c>
      <c r="B91" s="29"/>
      <c r="C91" s="9"/>
      <c r="D91" s="10" t="str">
        <f aca="false">IF(B91="","",IF(J91="","Active","Exited"))</f>
        <v/>
      </c>
      <c r="E91" s="9"/>
      <c r="F91" s="9"/>
      <c r="G91" s="9"/>
      <c r="H91" s="10" t="str">
        <f aca="false">IF(OR(B91="",I91=""),"",IF(IF(J91="",AsOf,J91)-I91&gt;=Settings!$C$13,"Permanent","Probation"))</f>
        <v/>
      </c>
      <c r="I91" s="30"/>
      <c r="J91" s="30"/>
    </row>
    <row r="92" customFormat="false" ht="15" hidden="false" customHeight="false" outlineLevel="0" collapsed="false">
      <c r="A92" s="10" t="str">
        <f aca="false">IF(B92="","",ROW()-5)</f>
        <v/>
      </c>
      <c r="B92" s="29"/>
      <c r="C92" s="9"/>
      <c r="D92" s="10" t="str">
        <f aca="false">IF(B92="","",IF(J92="","Active","Exited"))</f>
        <v/>
      </c>
      <c r="E92" s="9"/>
      <c r="F92" s="9"/>
      <c r="G92" s="9"/>
      <c r="H92" s="10" t="str">
        <f aca="false">IF(OR(B92="",I92=""),"",IF(IF(J92="",AsOf,J92)-I92&gt;=Settings!$C$13,"Permanent","Probation"))</f>
        <v/>
      </c>
      <c r="I92" s="30"/>
      <c r="J92" s="30"/>
    </row>
    <row r="93" customFormat="false" ht="15" hidden="false" customHeight="false" outlineLevel="0" collapsed="false">
      <c r="A93" s="10" t="str">
        <f aca="false">IF(B93="","",ROW()-5)</f>
        <v/>
      </c>
      <c r="B93" s="29"/>
      <c r="C93" s="9"/>
      <c r="D93" s="10" t="str">
        <f aca="false">IF(B93="","",IF(J93="","Active","Exited"))</f>
        <v/>
      </c>
      <c r="E93" s="9"/>
      <c r="F93" s="9"/>
      <c r="G93" s="9"/>
      <c r="H93" s="10" t="str">
        <f aca="false">IF(OR(B93="",I93=""),"",IF(IF(J93="",AsOf,J93)-I93&gt;=Settings!$C$13,"Permanent","Probation"))</f>
        <v/>
      </c>
      <c r="I93" s="30"/>
      <c r="J93" s="30"/>
    </row>
    <row r="94" customFormat="false" ht="15" hidden="false" customHeight="false" outlineLevel="0" collapsed="false">
      <c r="A94" s="10" t="str">
        <f aca="false">IF(B94="","",ROW()-5)</f>
        <v/>
      </c>
      <c r="B94" s="29"/>
      <c r="C94" s="9"/>
      <c r="D94" s="10" t="str">
        <f aca="false">IF(B94="","",IF(J94="","Active","Exited"))</f>
        <v/>
      </c>
      <c r="E94" s="9"/>
      <c r="F94" s="9"/>
      <c r="G94" s="9"/>
      <c r="H94" s="10" t="str">
        <f aca="false">IF(OR(B94="",I94=""),"",IF(IF(J94="",AsOf,J94)-I94&gt;=Settings!$C$13,"Permanent","Probation"))</f>
        <v/>
      </c>
      <c r="I94" s="30"/>
      <c r="J94" s="30"/>
    </row>
    <row r="95" customFormat="false" ht="15" hidden="false" customHeight="false" outlineLevel="0" collapsed="false">
      <c r="A95" s="10" t="str">
        <f aca="false">IF(B95="","",ROW()-5)</f>
        <v/>
      </c>
      <c r="B95" s="29"/>
      <c r="C95" s="9"/>
      <c r="D95" s="10" t="str">
        <f aca="false">IF(B95="","",IF(J95="","Active","Exited"))</f>
        <v/>
      </c>
      <c r="E95" s="9"/>
      <c r="F95" s="9"/>
      <c r="G95" s="9"/>
      <c r="H95" s="10" t="str">
        <f aca="false">IF(OR(B95="",I95=""),"",IF(IF(J95="",AsOf,J95)-I95&gt;=Settings!$C$13,"Permanent","Probation"))</f>
        <v/>
      </c>
      <c r="I95" s="30"/>
      <c r="J95" s="30"/>
    </row>
    <row r="96" customFormat="false" ht="15" hidden="false" customHeight="false" outlineLevel="0" collapsed="false">
      <c r="A96" s="10" t="str">
        <f aca="false">IF(B96="","",ROW()-5)</f>
        <v/>
      </c>
      <c r="B96" s="29"/>
      <c r="C96" s="9"/>
      <c r="D96" s="10" t="str">
        <f aca="false">IF(B96="","",IF(J96="","Active","Exited"))</f>
        <v/>
      </c>
      <c r="E96" s="9"/>
      <c r="F96" s="9"/>
      <c r="G96" s="9"/>
      <c r="H96" s="10" t="str">
        <f aca="false">IF(OR(B96="",I96=""),"",IF(IF(J96="",AsOf,J96)-I96&gt;=Settings!$C$13,"Permanent","Probation"))</f>
        <v/>
      </c>
      <c r="I96" s="30"/>
      <c r="J96" s="30"/>
    </row>
    <row r="97" customFormat="false" ht="15" hidden="false" customHeight="false" outlineLevel="0" collapsed="false">
      <c r="A97" s="10" t="str">
        <f aca="false">IF(B97="","",ROW()-5)</f>
        <v/>
      </c>
      <c r="B97" s="29"/>
      <c r="C97" s="9"/>
      <c r="D97" s="10" t="str">
        <f aca="false">IF(B97="","",IF(J97="","Active","Exited"))</f>
        <v/>
      </c>
      <c r="E97" s="9"/>
      <c r="F97" s="9"/>
      <c r="G97" s="9"/>
      <c r="H97" s="10" t="str">
        <f aca="false">IF(OR(B97="",I97=""),"",IF(IF(J97="",AsOf,J97)-I97&gt;=Settings!$C$13,"Permanent","Probation"))</f>
        <v/>
      </c>
      <c r="I97" s="30"/>
      <c r="J97" s="30"/>
    </row>
    <row r="98" customFormat="false" ht="15" hidden="false" customHeight="false" outlineLevel="0" collapsed="false">
      <c r="A98" s="10" t="str">
        <f aca="false">IF(B98="","",ROW()-5)</f>
        <v/>
      </c>
      <c r="B98" s="29"/>
      <c r="C98" s="9"/>
      <c r="D98" s="10" t="str">
        <f aca="false">IF(B98="","",IF(J98="","Active","Exited"))</f>
        <v/>
      </c>
      <c r="E98" s="9"/>
      <c r="F98" s="9"/>
      <c r="G98" s="9"/>
      <c r="H98" s="10" t="str">
        <f aca="false">IF(OR(B98="",I98=""),"",IF(IF(J98="",AsOf,J98)-I98&gt;=Settings!$C$13,"Permanent","Probation"))</f>
        <v/>
      </c>
      <c r="I98" s="30"/>
      <c r="J98" s="30"/>
    </row>
    <row r="99" customFormat="false" ht="15" hidden="false" customHeight="false" outlineLevel="0" collapsed="false">
      <c r="A99" s="10" t="str">
        <f aca="false">IF(B99="","",ROW()-5)</f>
        <v/>
      </c>
      <c r="B99" s="29"/>
      <c r="C99" s="9"/>
      <c r="D99" s="10" t="str">
        <f aca="false">IF(B99="","",IF(J99="","Active","Exited"))</f>
        <v/>
      </c>
      <c r="E99" s="9"/>
      <c r="F99" s="9"/>
      <c r="G99" s="9"/>
      <c r="H99" s="10" t="str">
        <f aca="false">IF(OR(B99="",I99=""),"",IF(IF(J99="",AsOf,J99)-I99&gt;=Settings!$C$13,"Permanent","Probation"))</f>
        <v/>
      </c>
      <c r="I99" s="30"/>
      <c r="J99" s="30"/>
    </row>
    <row r="100" customFormat="false" ht="15" hidden="false" customHeight="false" outlineLevel="0" collapsed="false">
      <c r="A100" s="10" t="str">
        <f aca="false">IF(B100="","",ROW()-5)</f>
        <v/>
      </c>
      <c r="B100" s="29"/>
      <c r="C100" s="9"/>
      <c r="D100" s="10" t="str">
        <f aca="false">IF(B100="","",IF(J100="","Active","Exited"))</f>
        <v/>
      </c>
      <c r="E100" s="9"/>
      <c r="F100" s="9"/>
      <c r="G100" s="9"/>
      <c r="H100" s="10" t="str">
        <f aca="false">IF(OR(B100="",I100=""),"",IF(IF(J100="",AsOf,J100)-I100&gt;=Settings!$C$13,"Permanent","Probation"))</f>
        <v/>
      </c>
      <c r="I100" s="30"/>
      <c r="J100" s="30"/>
    </row>
    <row r="101" customFormat="false" ht="15" hidden="false" customHeight="false" outlineLevel="0" collapsed="false">
      <c r="A101" s="10" t="str">
        <f aca="false">IF(B101="","",ROW()-5)</f>
        <v/>
      </c>
      <c r="B101" s="29"/>
      <c r="C101" s="9"/>
      <c r="D101" s="10" t="str">
        <f aca="false">IF(B101="","",IF(J101="","Active","Exited"))</f>
        <v/>
      </c>
      <c r="E101" s="9"/>
      <c r="F101" s="9"/>
      <c r="G101" s="9"/>
      <c r="H101" s="10" t="str">
        <f aca="false">IF(OR(B101="",I101=""),"",IF(IF(J101="",AsOf,J101)-I101&gt;=Settings!$C$13,"Permanent","Probation"))</f>
        <v/>
      </c>
      <c r="I101" s="30"/>
      <c r="J101" s="30"/>
    </row>
    <row r="102" customFormat="false" ht="15" hidden="false" customHeight="false" outlineLevel="0" collapsed="false">
      <c r="A102" s="10" t="str">
        <f aca="false">IF(B102="","",ROW()-5)</f>
        <v/>
      </c>
      <c r="B102" s="29"/>
      <c r="C102" s="9"/>
      <c r="D102" s="10" t="str">
        <f aca="false">IF(B102="","",IF(J102="","Active","Exited"))</f>
        <v/>
      </c>
      <c r="E102" s="9"/>
      <c r="F102" s="9"/>
      <c r="G102" s="9"/>
      <c r="H102" s="10" t="str">
        <f aca="false">IF(OR(B102="",I102=""),"",IF(IF(J102="",AsOf,J102)-I102&gt;=Settings!$C$13,"Permanent","Probation"))</f>
        <v/>
      </c>
      <c r="I102" s="30"/>
      <c r="J102" s="30"/>
    </row>
    <row r="103" customFormat="false" ht="15" hidden="false" customHeight="false" outlineLevel="0" collapsed="false">
      <c r="A103" s="10" t="str">
        <f aca="false">IF(B103="","",ROW()-5)</f>
        <v/>
      </c>
      <c r="B103" s="29"/>
      <c r="C103" s="9"/>
      <c r="D103" s="10" t="str">
        <f aca="false">IF(B103="","",IF(J103="","Active","Exited"))</f>
        <v/>
      </c>
      <c r="E103" s="9"/>
      <c r="F103" s="9"/>
      <c r="G103" s="9"/>
      <c r="H103" s="10" t="str">
        <f aca="false">IF(OR(B103="",I103=""),"",IF(IF(J103="",AsOf,J103)-I103&gt;=Settings!$C$13,"Permanent","Probation"))</f>
        <v/>
      </c>
      <c r="I103" s="30"/>
      <c r="J103" s="30"/>
    </row>
    <row r="104" customFormat="false" ht="15" hidden="false" customHeight="false" outlineLevel="0" collapsed="false">
      <c r="A104" s="10" t="str">
        <f aca="false">IF(B104="","",ROW()-5)</f>
        <v/>
      </c>
      <c r="B104" s="29"/>
      <c r="C104" s="9"/>
      <c r="D104" s="10" t="str">
        <f aca="false">IF(B104="","",IF(J104="","Active","Exited"))</f>
        <v/>
      </c>
      <c r="E104" s="9"/>
      <c r="F104" s="9"/>
      <c r="G104" s="9"/>
      <c r="H104" s="10" t="str">
        <f aca="false">IF(OR(B104="",I104=""),"",IF(IF(J104="",AsOf,J104)-I104&gt;=Settings!$C$13,"Permanent","Probation"))</f>
        <v/>
      </c>
      <c r="I104" s="30"/>
      <c r="J104" s="30"/>
    </row>
    <row r="105" customFormat="false" ht="15" hidden="false" customHeight="false" outlineLevel="0" collapsed="false">
      <c r="A105" s="10" t="str">
        <f aca="false">IF(B105="","",ROW()-5)</f>
        <v/>
      </c>
      <c r="B105" s="29"/>
      <c r="C105" s="9"/>
      <c r="D105" s="10" t="str">
        <f aca="false">IF(B105="","",IF(J105="","Active","Exited"))</f>
        <v/>
      </c>
      <c r="E105" s="9"/>
      <c r="F105" s="9"/>
      <c r="G105" s="9"/>
      <c r="H105" s="10" t="str">
        <f aca="false">IF(OR(B105="",I105=""),"",IF(IF(J105="",AsOf,J105)-I105&gt;=Settings!$C$13,"Permanent","Probation"))</f>
        <v/>
      </c>
      <c r="I105" s="30"/>
      <c r="J105" s="30"/>
    </row>
    <row r="106" customFormat="false" ht="15" hidden="false" customHeight="false" outlineLevel="0" collapsed="false">
      <c r="A106" s="10" t="str">
        <f aca="false">IF(B106="","",ROW()-5)</f>
        <v/>
      </c>
      <c r="B106" s="29"/>
      <c r="C106" s="9"/>
      <c r="D106" s="10" t="str">
        <f aca="false">IF(B106="","",IF(J106="","Active","Exited"))</f>
        <v/>
      </c>
      <c r="E106" s="9"/>
      <c r="F106" s="9"/>
      <c r="G106" s="9"/>
      <c r="H106" s="10" t="str">
        <f aca="false">IF(OR(B106="",I106=""),"",IF(IF(J106="",AsOf,J106)-I106&gt;=Settings!$C$13,"Permanent","Probation"))</f>
        <v/>
      </c>
      <c r="I106" s="30"/>
      <c r="J106" s="30"/>
    </row>
    <row r="107" customFormat="false" ht="15" hidden="false" customHeight="false" outlineLevel="0" collapsed="false">
      <c r="A107" s="10" t="str">
        <f aca="false">IF(B107="","",ROW()-5)</f>
        <v/>
      </c>
      <c r="B107" s="29"/>
      <c r="C107" s="9"/>
      <c r="D107" s="10" t="str">
        <f aca="false">IF(B107="","",IF(J107="","Active","Exited"))</f>
        <v/>
      </c>
      <c r="E107" s="9"/>
      <c r="F107" s="9"/>
      <c r="G107" s="9"/>
      <c r="H107" s="10" t="str">
        <f aca="false">IF(OR(B107="",I107=""),"",IF(IF(J107="",AsOf,J107)-I107&gt;=Settings!$C$13,"Permanent","Probation"))</f>
        <v/>
      </c>
      <c r="I107" s="30"/>
      <c r="J107" s="30"/>
    </row>
    <row r="108" customFormat="false" ht="15" hidden="false" customHeight="false" outlineLevel="0" collapsed="false">
      <c r="A108" s="10" t="str">
        <f aca="false">IF(B108="","",ROW()-5)</f>
        <v/>
      </c>
      <c r="B108" s="29"/>
      <c r="C108" s="9"/>
      <c r="D108" s="10" t="str">
        <f aca="false">IF(B108="","",IF(J108="","Active","Exited"))</f>
        <v/>
      </c>
      <c r="E108" s="9"/>
      <c r="F108" s="9"/>
      <c r="G108" s="9"/>
      <c r="H108" s="10" t="str">
        <f aca="false">IF(OR(B108="",I108=""),"",IF(IF(J108="",AsOf,J108)-I108&gt;=Settings!$C$13,"Permanent","Probation"))</f>
        <v/>
      </c>
      <c r="I108" s="30"/>
      <c r="J108" s="30"/>
    </row>
    <row r="109" customFormat="false" ht="15" hidden="false" customHeight="false" outlineLevel="0" collapsed="false">
      <c r="A109" s="10" t="str">
        <f aca="false">IF(B109="","",ROW()-5)</f>
        <v/>
      </c>
      <c r="B109" s="29"/>
      <c r="C109" s="9"/>
      <c r="D109" s="10" t="str">
        <f aca="false">IF(B109="","",IF(J109="","Active","Exited"))</f>
        <v/>
      </c>
      <c r="E109" s="9"/>
      <c r="F109" s="9"/>
      <c r="G109" s="9"/>
      <c r="H109" s="10" t="str">
        <f aca="false">IF(OR(B109="",I109=""),"",IF(IF(J109="",AsOf,J109)-I109&gt;=Settings!$C$13,"Permanent","Probation"))</f>
        <v/>
      </c>
      <c r="I109" s="30"/>
      <c r="J109" s="30"/>
    </row>
    <row r="110" customFormat="false" ht="15" hidden="false" customHeight="false" outlineLevel="0" collapsed="false">
      <c r="A110" s="10" t="str">
        <f aca="false">IF(B110="","",ROW()-5)</f>
        <v/>
      </c>
      <c r="B110" s="29"/>
      <c r="C110" s="9"/>
      <c r="D110" s="10" t="str">
        <f aca="false">IF(B110="","",IF(J110="","Active","Exited"))</f>
        <v/>
      </c>
      <c r="E110" s="9"/>
      <c r="F110" s="9"/>
      <c r="G110" s="9"/>
      <c r="H110" s="10" t="str">
        <f aca="false">IF(OR(B110="",I110=""),"",IF(IF(J110="",AsOf,J110)-I110&gt;=Settings!$C$13,"Permanent","Probation"))</f>
        <v/>
      </c>
      <c r="I110" s="30"/>
      <c r="J110" s="30"/>
    </row>
    <row r="111" customFormat="false" ht="15" hidden="false" customHeight="false" outlineLevel="0" collapsed="false">
      <c r="A111" s="10" t="str">
        <f aca="false">IF(B111="","",ROW()-5)</f>
        <v/>
      </c>
      <c r="B111" s="29"/>
      <c r="C111" s="9"/>
      <c r="D111" s="10" t="str">
        <f aca="false">IF(B111="","",IF(J111="","Active","Exited"))</f>
        <v/>
      </c>
      <c r="E111" s="9"/>
      <c r="F111" s="9"/>
      <c r="G111" s="9"/>
      <c r="H111" s="10" t="str">
        <f aca="false">IF(OR(B111="",I111=""),"",IF(IF(J111="",AsOf,J111)-I111&gt;=Settings!$C$13,"Permanent","Probation"))</f>
        <v/>
      </c>
      <c r="I111" s="30"/>
      <c r="J111" s="30"/>
    </row>
    <row r="112" customFormat="false" ht="15" hidden="false" customHeight="false" outlineLevel="0" collapsed="false">
      <c r="A112" s="10" t="str">
        <f aca="false">IF(B112="","",ROW()-5)</f>
        <v/>
      </c>
      <c r="B112" s="29"/>
      <c r="C112" s="9"/>
      <c r="D112" s="10" t="str">
        <f aca="false">IF(B112="","",IF(J112="","Active","Exited"))</f>
        <v/>
      </c>
      <c r="E112" s="9"/>
      <c r="F112" s="9"/>
      <c r="G112" s="9"/>
      <c r="H112" s="10" t="str">
        <f aca="false">IF(OR(B112="",I112=""),"",IF(IF(J112="",AsOf,J112)-I112&gt;=Settings!$C$13,"Permanent","Probation"))</f>
        <v/>
      </c>
      <c r="I112" s="30"/>
      <c r="J112" s="30"/>
    </row>
    <row r="113" customFormat="false" ht="15" hidden="false" customHeight="false" outlineLevel="0" collapsed="false">
      <c r="A113" s="10" t="str">
        <f aca="false">IF(B113="","",ROW()-5)</f>
        <v/>
      </c>
      <c r="B113" s="29"/>
      <c r="C113" s="9"/>
      <c r="D113" s="10" t="str">
        <f aca="false">IF(B113="","",IF(J113="","Active","Exited"))</f>
        <v/>
      </c>
      <c r="E113" s="9"/>
      <c r="F113" s="9"/>
      <c r="G113" s="9"/>
      <c r="H113" s="10" t="str">
        <f aca="false">IF(OR(B113="",I113=""),"",IF(IF(J113="",AsOf,J113)-I113&gt;=Settings!$C$13,"Permanent","Probation"))</f>
        <v/>
      </c>
      <c r="I113" s="30"/>
      <c r="J113" s="30"/>
    </row>
    <row r="114" customFormat="false" ht="15" hidden="false" customHeight="false" outlineLevel="0" collapsed="false">
      <c r="A114" s="10" t="str">
        <f aca="false">IF(B114="","",ROW()-5)</f>
        <v/>
      </c>
      <c r="B114" s="29"/>
      <c r="C114" s="9"/>
      <c r="D114" s="10" t="str">
        <f aca="false">IF(B114="","",IF(J114="","Active","Exited"))</f>
        <v/>
      </c>
      <c r="E114" s="9"/>
      <c r="F114" s="9"/>
      <c r="G114" s="9"/>
      <c r="H114" s="10" t="str">
        <f aca="false">IF(OR(B114="",I114=""),"",IF(IF(J114="",AsOf,J114)-I114&gt;=Settings!$C$13,"Permanent","Probation"))</f>
        <v/>
      </c>
      <c r="I114" s="30"/>
      <c r="J114" s="30"/>
    </row>
    <row r="115" customFormat="false" ht="15" hidden="false" customHeight="false" outlineLevel="0" collapsed="false">
      <c r="A115" s="10" t="str">
        <f aca="false">IF(B115="","",ROW()-5)</f>
        <v/>
      </c>
      <c r="B115" s="29"/>
      <c r="C115" s="9"/>
      <c r="D115" s="10" t="str">
        <f aca="false">IF(B115="","",IF(J115="","Active","Exited"))</f>
        <v/>
      </c>
      <c r="E115" s="9"/>
      <c r="F115" s="9"/>
      <c r="G115" s="9"/>
      <c r="H115" s="10" t="str">
        <f aca="false">IF(OR(B115="",I115=""),"",IF(IF(J115="",AsOf,J115)-I115&gt;=Settings!$C$13,"Permanent","Probation"))</f>
        <v/>
      </c>
      <c r="I115" s="30"/>
      <c r="J115" s="30"/>
    </row>
    <row r="116" customFormat="false" ht="15" hidden="false" customHeight="false" outlineLevel="0" collapsed="false">
      <c r="A116" s="10" t="str">
        <f aca="false">IF(B116="","",ROW()-5)</f>
        <v/>
      </c>
      <c r="B116" s="29"/>
      <c r="C116" s="9"/>
      <c r="D116" s="10" t="str">
        <f aca="false">IF(B116="","",IF(J116="","Active","Exited"))</f>
        <v/>
      </c>
      <c r="E116" s="9"/>
      <c r="F116" s="9"/>
      <c r="G116" s="9"/>
      <c r="H116" s="10" t="str">
        <f aca="false">IF(OR(B116="",I116=""),"",IF(IF(J116="",AsOf,J116)-I116&gt;=Settings!$C$13,"Permanent","Probation"))</f>
        <v/>
      </c>
      <c r="I116" s="30"/>
      <c r="J116" s="30"/>
    </row>
    <row r="117" customFormat="false" ht="15" hidden="false" customHeight="false" outlineLevel="0" collapsed="false">
      <c r="A117" s="10" t="str">
        <f aca="false">IF(B117="","",ROW()-5)</f>
        <v/>
      </c>
      <c r="B117" s="29"/>
      <c r="C117" s="9"/>
      <c r="D117" s="10" t="str">
        <f aca="false">IF(B117="","",IF(J117="","Active","Exited"))</f>
        <v/>
      </c>
      <c r="E117" s="9"/>
      <c r="F117" s="9"/>
      <c r="G117" s="9"/>
      <c r="H117" s="10" t="str">
        <f aca="false">IF(OR(B117="",I117=""),"",IF(IF(J117="",AsOf,J117)-I117&gt;=Settings!$C$13,"Permanent","Probation"))</f>
        <v/>
      </c>
      <c r="I117" s="30"/>
      <c r="J117" s="30"/>
    </row>
    <row r="118" customFormat="false" ht="15" hidden="false" customHeight="false" outlineLevel="0" collapsed="false">
      <c r="A118" s="10" t="str">
        <f aca="false">IF(B118="","",ROW()-5)</f>
        <v/>
      </c>
      <c r="B118" s="29"/>
      <c r="C118" s="9"/>
      <c r="D118" s="10" t="str">
        <f aca="false">IF(B118="","",IF(J118="","Active","Exited"))</f>
        <v/>
      </c>
      <c r="E118" s="9"/>
      <c r="F118" s="9"/>
      <c r="G118" s="9"/>
      <c r="H118" s="10" t="str">
        <f aca="false">IF(OR(B118="",I118=""),"",IF(IF(J118="",AsOf,J118)-I118&gt;=Settings!$C$13,"Permanent","Probation"))</f>
        <v/>
      </c>
      <c r="I118" s="30"/>
      <c r="J118" s="30"/>
    </row>
    <row r="119" customFormat="false" ht="15" hidden="false" customHeight="false" outlineLevel="0" collapsed="false">
      <c r="A119" s="10" t="str">
        <f aca="false">IF(B119="","",ROW()-5)</f>
        <v/>
      </c>
      <c r="B119" s="29"/>
      <c r="C119" s="9"/>
      <c r="D119" s="10" t="str">
        <f aca="false">IF(B119="","",IF(J119="","Active","Exited"))</f>
        <v/>
      </c>
      <c r="E119" s="9"/>
      <c r="F119" s="9"/>
      <c r="G119" s="9"/>
      <c r="H119" s="10" t="str">
        <f aca="false">IF(OR(B119="",I119=""),"",IF(IF(J119="",AsOf,J119)-I119&gt;=Settings!$C$13,"Permanent","Probation"))</f>
        <v/>
      </c>
      <c r="I119" s="30"/>
      <c r="J119" s="30"/>
    </row>
    <row r="120" customFormat="false" ht="15" hidden="false" customHeight="false" outlineLevel="0" collapsed="false">
      <c r="A120" s="10" t="str">
        <f aca="false">IF(B120="","",ROW()-5)</f>
        <v/>
      </c>
      <c r="B120" s="29"/>
      <c r="C120" s="9"/>
      <c r="D120" s="10" t="str">
        <f aca="false">IF(B120="","",IF(J120="","Active","Exited"))</f>
        <v/>
      </c>
      <c r="E120" s="9"/>
      <c r="F120" s="9"/>
      <c r="G120" s="9"/>
      <c r="H120" s="10" t="str">
        <f aca="false">IF(OR(B120="",I120=""),"",IF(IF(J120="",AsOf,J120)-I120&gt;=Settings!$C$13,"Permanent","Probation"))</f>
        <v/>
      </c>
      <c r="I120" s="30"/>
      <c r="J120" s="30"/>
    </row>
    <row r="121" customFormat="false" ht="15" hidden="false" customHeight="false" outlineLevel="0" collapsed="false">
      <c r="A121" s="10" t="str">
        <f aca="false">IF(B121="","",ROW()-5)</f>
        <v/>
      </c>
      <c r="B121" s="29"/>
      <c r="C121" s="9"/>
      <c r="D121" s="10" t="str">
        <f aca="false">IF(B121="","",IF(J121="","Active","Exited"))</f>
        <v/>
      </c>
      <c r="E121" s="9"/>
      <c r="F121" s="9"/>
      <c r="G121" s="9"/>
      <c r="H121" s="10" t="str">
        <f aca="false">IF(OR(B121="",I121=""),"",IF(IF(J121="",AsOf,J121)-I121&gt;=Settings!$C$13,"Permanent","Probation"))</f>
        <v/>
      </c>
      <c r="I121" s="30"/>
      <c r="J121" s="30"/>
    </row>
    <row r="122" customFormat="false" ht="15" hidden="false" customHeight="false" outlineLevel="0" collapsed="false">
      <c r="A122" s="10" t="str">
        <f aca="false">IF(B122="","",ROW()-5)</f>
        <v/>
      </c>
      <c r="B122" s="29"/>
      <c r="C122" s="9"/>
      <c r="D122" s="10" t="str">
        <f aca="false">IF(B122="","",IF(J122="","Active","Exited"))</f>
        <v/>
      </c>
      <c r="E122" s="9"/>
      <c r="F122" s="9"/>
      <c r="G122" s="9"/>
      <c r="H122" s="10" t="str">
        <f aca="false">IF(OR(B122="",I122=""),"",IF(IF(J122="",AsOf,J122)-I122&gt;=Settings!$C$13,"Permanent","Probation"))</f>
        <v/>
      </c>
      <c r="I122" s="30"/>
      <c r="J122" s="30"/>
    </row>
    <row r="123" customFormat="false" ht="15" hidden="false" customHeight="false" outlineLevel="0" collapsed="false">
      <c r="A123" s="10" t="str">
        <f aca="false">IF(B123="","",ROW()-5)</f>
        <v/>
      </c>
      <c r="B123" s="29"/>
      <c r="C123" s="9"/>
      <c r="D123" s="10" t="str">
        <f aca="false">IF(B123="","",IF(J123="","Active","Exited"))</f>
        <v/>
      </c>
      <c r="E123" s="9"/>
      <c r="F123" s="9"/>
      <c r="G123" s="9"/>
      <c r="H123" s="10" t="str">
        <f aca="false">IF(OR(B123="",I123=""),"",IF(IF(J123="",AsOf,J123)-I123&gt;=Settings!$C$13,"Permanent","Probation"))</f>
        <v/>
      </c>
      <c r="I123" s="30"/>
      <c r="J123" s="30"/>
    </row>
    <row r="124" customFormat="false" ht="15" hidden="false" customHeight="false" outlineLevel="0" collapsed="false">
      <c r="A124" s="10" t="str">
        <f aca="false">IF(B124="","",ROW()-5)</f>
        <v/>
      </c>
      <c r="B124" s="29"/>
      <c r="C124" s="9"/>
      <c r="D124" s="10" t="str">
        <f aca="false">IF(B124="","",IF(J124="","Active","Exited"))</f>
        <v/>
      </c>
      <c r="E124" s="9"/>
      <c r="F124" s="9"/>
      <c r="G124" s="9"/>
      <c r="H124" s="10" t="str">
        <f aca="false">IF(OR(B124="",I124=""),"",IF(IF(J124="",AsOf,J124)-I124&gt;=Settings!$C$13,"Permanent","Probation"))</f>
        <v/>
      </c>
      <c r="I124" s="30"/>
      <c r="J124" s="30"/>
    </row>
    <row r="125" customFormat="false" ht="15" hidden="false" customHeight="false" outlineLevel="0" collapsed="false">
      <c r="A125" s="10" t="str">
        <f aca="false">IF(B125="","",ROW()-5)</f>
        <v/>
      </c>
      <c r="B125" s="29"/>
      <c r="C125" s="9"/>
      <c r="D125" s="10" t="str">
        <f aca="false">IF(B125="","",IF(J125="","Active","Exited"))</f>
        <v/>
      </c>
      <c r="E125" s="9"/>
      <c r="F125" s="9"/>
      <c r="G125" s="9"/>
      <c r="H125" s="10" t="str">
        <f aca="false">IF(OR(B125="",I125=""),"",IF(IF(J125="",AsOf,J125)-I125&gt;=Settings!$C$13,"Permanent","Probation"))</f>
        <v/>
      </c>
      <c r="I125" s="30"/>
      <c r="J125" s="30"/>
    </row>
    <row r="126" customFormat="false" ht="15" hidden="false" customHeight="false" outlineLevel="0" collapsed="false">
      <c r="A126" s="10" t="str">
        <f aca="false">IF(B126="","",ROW()-5)</f>
        <v/>
      </c>
      <c r="B126" s="29"/>
      <c r="C126" s="9"/>
      <c r="D126" s="10" t="str">
        <f aca="false">IF(B126="","",IF(J126="","Active","Exited"))</f>
        <v/>
      </c>
      <c r="E126" s="9"/>
      <c r="F126" s="9"/>
      <c r="G126" s="9"/>
      <c r="H126" s="10" t="str">
        <f aca="false">IF(OR(B126="",I126=""),"",IF(IF(J126="",AsOf,J126)-I126&gt;=Settings!$C$13,"Permanent","Probation"))</f>
        <v/>
      </c>
      <c r="I126" s="30"/>
      <c r="J126" s="30"/>
    </row>
    <row r="127" customFormat="false" ht="15" hidden="false" customHeight="false" outlineLevel="0" collapsed="false">
      <c r="A127" s="10" t="str">
        <f aca="false">IF(B127="","",ROW()-5)</f>
        <v/>
      </c>
      <c r="B127" s="29"/>
      <c r="C127" s="9"/>
      <c r="D127" s="10" t="str">
        <f aca="false">IF(B127="","",IF(J127="","Active","Exited"))</f>
        <v/>
      </c>
      <c r="E127" s="9"/>
      <c r="F127" s="9"/>
      <c r="G127" s="9"/>
      <c r="H127" s="10" t="str">
        <f aca="false">IF(OR(B127="",I127=""),"",IF(IF(J127="",AsOf,J127)-I127&gt;=Settings!$C$13,"Permanent","Probation"))</f>
        <v/>
      </c>
      <c r="I127" s="30"/>
      <c r="J127" s="30"/>
    </row>
    <row r="128" customFormat="false" ht="15" hidden="false" customHeight="false" outlineLevel="0" collapsed="false">
      <c r="A128" s="10" t="str">
        <f aca="false">IF(B128="","",ROW()-5)</f>
        <v/>
      </c>
      <c r="B128" s="29"/>
      <c r="C128" s="9"/>
      <c r="D128" s="10" t="str">
        <f aca="false">IF(B128="","",IF(J128="","Active","Exited"))</f>
        <v/>
      </c>
      <c r="E128" s="9"/>
      <c r="F128" s="9"/>
      <c r="G128" s="9"/>
      <c r="H128" s="10" t="str">
        <f aca="false">IF(OR(B128="",I128=""),"",IF(IF(J128="",AsOf,J128)-I128&gt;=Settings!$C$13,"Permanent","Probation"))</f>
        <v/>
      </c>
      <c r="I128" s="30"/>
      <c r="J128" s="30"/>
    </row>
    <row r="129" customFormat="false" ht="15" hidden="false" customHeight="false" outlineLevel="0" collapsed="false">
      <c r="A129" s="10" t="str">
        <f aca="false">IF(B129="","",ROW()-5)</f>
        <v/>
      </c>
      <c r="B129" s="29"/>
      <c r="C129" s="9"/>
      <c r="D129" s="10" t="str">
        <f aca="false">IF(B129="","",IF(J129="","Active","Exited"))</f>
        <v/>
      </c>
      <c r="E129" s="9"/>
      <c r="F129" s="9"/>
      <c r="G129" s="9"/>
      <c r="H129" s="10" t="str">
        <f aca="false">IF(OR(B129="",I129=""),"",IF(IF(J129="",AsOf,J129)-I129&gt;=Settings!$C$13,"Permanent","Probation"))</f>
        <v/>
      </c>
      <c r="I129" s="30"/>
      <c r="J129" s="30"/>
    </row>
    <row r="130" customFormat="false" ht="15" hidden="false" customHeight="false" outlineLevel="0" collapsed="false">
      <c r="A130" s="10" t="str">
        <f aca="false">IF(B130="","",ROW()-5)</f>
        <v/>
      </c>
      <c r="B130" s="29"/>
      <c r="C130" s="9"/>
      <c r="D130" s="10" t="str">
        <f aca="false">IF(B130="","",IF(J130="","Active","Exited"))</f>
        <v/>
      </c>
      <c r="E130" s="9"/>
      <c r="F130" s="9"/>
      <c r="G130" s="9"/>
      <c r="H130" s="10" t="str">
        <f aca="false">IF(OR(B130="",I130=""),"",IF(IF(J130="",AsOf,J130)-I130&gt;=Settings!$C$13,"Permanent","Probation"))</f>
        <v/>
      </c>
      <c r="I130" s="30"/>
      <c r="J130" s="30"/>
    </row>
    <row r="131" customFormat="false" ht="15" hidden="false" customHeight="false" outlineLevel="0" collapsed="false">
      <c r="A131" s="10" t="str">
        <f aca="false">IF(B131="","",ROW()-5)</f>
        <v/>
      </c>
      <c r="B131" s="29"/>
      <c r="C131" s="9"/>
      <c r="D131" s="10" t="str">
        <f aca="false">IF(B131="","",IF(J131="","Active","Exited"))</f>
        <v/>
      </c>
      <c r="E131" s="9"/>
      <c r="F131" s="9"/>
      <c r="G131" s="9"/>
      <c r="H131" s="10" t="str">
        <f aca="false">IF(OR(B131="",I131=""),"",IF(IF(J131="",AsOf,J131)-I131&gt;=Settings!$C$13,"Permanent","Probation"))</f>
        <v/>
      </c>
      <c r="I131" s="30"/>
      <c r="J131" s="30"/>
    </row>
    <row r="132" customFormat="false" ht="15" hidden="false" customHeight="false" outlineLevel="0" collapsed="false">
      <c r="A132" s="10" t="str">
        <f aca="false">IF(B132="","",ROW()-5)</f>
        <v/>
      </c>
      <c r="B132" s="29"/>
      <c r="C132" s="9"/>
      <c r="D132" s="10" t="str">
        <f aca="false">IF(B132="","",IF(J132="","Active","Exited"))</f>
        <v/>
      </c>
      <c r="E132" s="9"/>
      <c r="F132" s="9"/>
      <c r="G132" s="9"/>
      <c r="H132" s="10" t="str">
        <f aca="false">IF(OR(B132="",I132=""),"",IF(IF(J132="",AsOf,J132)-I132&gt;=Settings!$C$13,"Permanent","Probation"))</f>
        <v/>
      </c>
      <c r="I132" s="30"/>
      <c r="J132" s="30"/>
    </row>
    <row r="133" customFormat="false" ht="15" hidden="false" customHeight="false" outlineLevel="0" collapsed="false">
      <c r="A133" s="10" t="str">
        <f aca="false">IF(B133="","",ROW()-5)</f>
        <v/>
      </c>
      <c r="B133" s="29"/>
      <c r="C133" s="9"/>
      <c r="D133" s="10" t="str">
        <f aca="false">IF(B133="","",IF(J133="","Active","Exited"))</f>
        <v/>
      </c>
      <c r="E133" s="9"/>
      <c r="F133" s="9"/>
      <c r="G133" s="9"/>
      <c r="H133" s="10" t="str">
        <f aca="false">IF(OR(B133="",I133=""),"",IF(IF(J133="",AsOf,J133)-I133&gt;=Settings!$C$13,"Permanent","Probation"))</f>
        <v/>
      </c>
      <c r="I133" s="30"/>
      <c r="J133" s="30"/>
    </row>
    <row r="134" customFormat="false" ht="15" hidden="false" customHeight="false" outlineLevel="0" collapsed="false">
      <c r="A134" s="10" t="str">
        <f aca="false">IF(B134="","",ROW()-5)</f>
        <v/>
      </c>
      <c r="B134" s="29"/>
      <c r="C134" s="9"/>
      <c r="D134" s="10" t="str">
        <f aca="false">IF(B134="","",IF(J134="","Active","Exited"))</f>
        <v/>
      </c>
      <c r="E134" s="9"/>
      <c r="F134" s="9"/>
      <c r="G134" s="9"/>
      <c r="H134" s="10" t="str">
        <f aca="false">IF(OR(B134="",I134=""),"",IF(IF(J134="",AsOf,J134)-I134&gt;=Settings!$C$13,"Permanent","Probation"))</f>
        <v/>
      </c>
      <c r="I134" s="30"/>
      <c r="J134" s="30"/>
    </row>
    <row r="135" customFormat="false" ht="15" hidden="false" customHeight="false" outlineLevel="0" collapsed="false">
      <c r="A135" s="10" t="str">
        <f aca="false">IF(B135="","",ROW()-5)</f>
        <v/>
      </c>
      <c r="B135" s="29"/>
      <c r="C135" s="9"/>
      <c r="D135" s="10" t="str">
        <f aca="false">IF(B135="","",IF(J135="","Active","Exited"))</f>
        <v/>
      </c>
      <c r="E135" s="9"/>
      <c r="F135" s="9"/>
      <c r="G135" s="9"/>
      <c r="H135" s="10" t="str">
        <f aca="false">IF(OR(B135="",I135=""),"",IF(IF(J135="",AsOf,J135)-I135&gt;=Settings!$C$13,"Permanent","Probation"))</f>
        <v/>
      </c>
      <c r="I135" s="30"/>
      <c r="J135" s="30"/>
    </row>
    <row r="136" customFormat="false" ht="15" hidden="false" customHeight="false" outlineLevel="0" collapsed="false">
      <c r="A136" s="10" t="str">
        <f aca="false">IF(B136="","",ROW()-5)</f>
        <v/>
      </c>
      <c r="B136" s="29"/>
      <c r="C136" s="9"/>
      <c r="D136" s="10" t="str">
        <f aca="false">IF(B136="","",IF(J136="","Active","Exited"))</f>
        <v/>
      </c>
      <c r="E136" s="9"/>
      <c r="F136" s="9"/>
      <c r="G136" s="9"/>
      <c r="H136" s="10" t="str">
        <f aca="false">IF(OR(B136="",I136=""),"",IF(IF(J136="",AsOf,J136)-I136&gt;=Settings!$C$13,"Permanent","Probation"))</f>
        <v/>
      </c>
      <c r="I136" s="30"/>
      <c r="J136" s="30"/>
    </row>
    <row r="137" customFormat="false" ht="15" hidden="false" customHeight="false" outlineLevel="0" collapsed="false">
      <c r="A137" s="10" t="str">
        <f aca="false">IF(B137="","",ROW()-5)</f>
        <v/>
      </c>
      <c r="B137" s="29"/>
      <c r="C137" s="9"/>
      <c r="D137" s="10" t="str">
        <f aca="false">IF(B137="","",IF(J137="","Active","Exited"))</f>
        <v/>
      </c>
      <c r="E137" s="9"/>
      <c r="F137" s="9"/>
      <c r="G137" s="9"/>
      <c r="H137" s="10" t="str">
        <f aca="false">IF(OR(B137="",I137=""),"",IF(IF(J137="",AsOf,J137)-I137&gt;=Settings!$C$13,"Permanent","Probation"))</f>
        <v/>
      </c>
      <c r="I137" s="30"/>
      <c r="J137" s="30"/>
    </row>
    <row r="138" customFormat="false" ht="15" hidden="false" customHeight="false" outlineLevel="0" collapsed="false">
      <c r="A138" s="10" t="str">
        <f aca="false">IF(B138="","",ROW()-5)</f>
        <v/>
      </c>
      <c r="B138" s="29"/>
      <c r="C138" s="9"/>
      <c r="D138" s="10" t="str">
        <f aca="false">IF(B138="","",IF(J138="","Active","Exited"))</f>
        <v/>
      </c>
      <c r="E138" s="9"/>
      <c r="F138" s="9"/>
      <c r="G138" s="9"/>
      <c r="H138" s="10" t="str">
        <f aca="false">IF(OR(B138="",I138=""),"",IF(IF(J138="",AsOf,J138)-I138&gt;=Settings!$C$13,"Permanent","Probation"))</f>
        <v/>
      </c>
      <c r="I138" s="30"/>
      <c r="J138" s="30"/>
    </row>
    <row r="139" customFormat="false" ht="15" hidden="false" customHeight="false" outlineLevel="0" collapsed="false">
      <c r="A139" s="10" t="str">
        <f aca="false">IF(B139="","",ROW()-5)</f>
        <v/>
      </c>
      <c r="B139" s="29"/>
      <c r="C139" s="9"/>
      <c r="D139" s="10" t="str">
        <f aca="false">IF(B139="","",IF(J139="","Active","Exited"))</f>
        <v/>
      </c>
      <c r="E139" s="9"/>
      <c r="F139" s="9"/>
      <c r="G139" s="9"/>
      <c r="H139" s="10" t="str">
        <f aca="false">IF(OR(B139="",I139=""),"",IF(IF(J139="",AsOf,J139)-I139&gt;=Settings!$C$13,"Permanent","Probation"))</f>
        <v/>
      </c>
      <c r="I139" s="30"/>
      <c r="J139" s="30"/>
    </row>
    <row r="140" customFormat="false" ht="15" hidden="false" customHeight="false" outlineLevel="0" collapsed="false">
      <c r="A140" s="10" t="str">
        <f aca="false">IF(B140="","",ROW()-5)</f>
        <v/>
      </c>
      <c r="B140" s="29"/>
      <c r="C140" s="9"/>
      <c r="D140" s="10" t="str">
        <f aca="false">IF(B140="","",IF(J140="","Active","Exited"))</f>
        <v/>
      </c>
      <c r="E140" s="9"/>
      <c r="F140" s="9"/>
      <c r="G140" s="9"/>
      <c r="H140" s="10" t="str">
        <f aca="false">IF(OR(B140="",I140=""),"",IF(IF(J140="",AsOf,J140)-I140&gt;=Settings!$C$13,"Permanent","Probation"))</f>
        <v/>
      </c>
      <c r="I140" s="30"/>
      <c r="J140" s="30"/>
    </row>
    <row r="141" customFormat="false" ht="15" hidden="false" customHeight="false" outlineLevel="0" collapsed="false">
      <c r="A141" s="10" t="str">
        <f aca="false">IF(B141="","",ROW()-5)</f>
        <v/>
      </c>
      <c r="B141" s="29"/>
      <c r="C141" s="9"/>
      <c r="D141" s="10" t="str">
        <f aca="false">IF(B141="","",IF(J141="","Active","Exited"))</f>
        <v/>
      </c>
      <c r="E141" s="9"/>
      <c r="F141" s="9"/>
      <c r="G141" s="9"/>
      <c r="H141" s="10" t="str">
        <f aca="false">IF(OR(B141="",I141=""),"",IF(IF(J141="",AsOf,J141)-I141&gt;=Settings!$C$13,"Permanent","Probation"))</f>
        <v/>
      </c>
      <c r="I141" s="30"/>
      <c r="J141" s="30"/>
    </row>
    <row r="142" customFormat="false" ht="15" hidden="false" customHeight="false" outlineLevel="0" collapsed="false">
      <c r="A142" s="10" t="str">
        <f aca="false">IF(B142="","",ROW()-5)</f>
        <v/>
      </c>
      <c r="B142" s="29"/>
      <c r="C142" s="9"/>
      <c r="D142" s="10" t="str">
        <f aca="false">IF(B142="","",IF(J142="","Active","Exited"))</f>
        <v/>
      </c>
      <c r="E142" s="9"/>
      <c r="F142" s="9"/>
      <c r="G142" s="9"/>
      <c r="H142" s="10" t="str">
        <f aca="false">IF(OR(B142="",I142=""),"",IF(IF(J142="",AsOf,J142)-I142&gt;=Settings!$C$13,"Permanent","Probation"))</f>
        <v/>
      </c>
      <c r="I142" s="30"/>
      <c r="J142" s="30"/>
    </row>
    <row r="143" customFormat="false" ht="15" hidden="false" customHeight="false" outlineLevel="0" collapsed="false">
      <c r="A143" s="10" t="str">
        <f aca="false">IF(B143="","",ROW()-5)</f>
        <v/>
      </c>
      <c r="B143" s="29"/>
      <c r="C143" s="9"/>
      <c r="D143" s="10" t="str">
        <f aca="false">IF(B143="","",IF(J143="","Active","Exited"))</f>
        <v/>
      </c>
      <c r="E143" s="9"/>
      <c r="F143" s="9"/>
      <c r="G143" s="9"/>
      <c r="H143" s="10" t="str">
        <f aca="false">IF(OR(B143="",I143=""),"",IF(IF(J143="",AsOf,J143)-I143&gt;=Settings!$C$13,"Permanent","Probation"))</f>
        <v/>
      </c>
      <c r="I143" s="30"/>
      <c r="J143" s="30"/>
    </row>
    <row r="144" customFormat="false" ht="15" hidden="false" customHeight="false" outlineLevel="0" collapsed="false">
      <c r="A144" s="10" t="str">
        <f aca="false">IF(B144="","",ROW()-5)</f>
        <v/>
      </c>
      <c r="B144" s="29"/>
      <c r="C144" s="9"/>
      <c r="D144" s="10" t="str">
        <f aca="false">IF(B144="","",IF(J144="","Active","Exited"))</f>
        <v/>
      </c>
      <c r="E144" s="9"/>
      <c r="F144" s="9"/>
      <c r="G144" s="9"/>
      <c r="H144" s="10" t="str">
        <f aca="false">IF(OR(B144="",I144=""),"",IF(IF(J144="",AsOf,J144)-I144&gt;=Settings!$C$13,"Permanent","Probation"))</f>
        <v/>
      </c>
      <c r="I144" s="30"/>
      <c r="J144" s="30"/>
    </row>
    <row r="145" customFormat="false" ht="15" hidden="false" customHeight="false" outlineLevel="0" collapsed="false">
      <c r="A145" s="10" t="str">
        <f aca="false">IF(B145="","",ROW()-5)</f>
        <v/>
      </c>
      <c r="B145" s="29"/>
      <c r="C145" s="9"/>
      <c r="D145" s="10" t="str">
        <f aca="false">IF(B145="","",IF(J145="","Active","Exited"))</f>
        <v/>
      </c>
      <c r="E145" s="9"/>
      <c r="F145" s="9"/>
      <c r="G145" s="9"/>
      <c r="H145" s="10" t="str">
        <f aca="false">IF(OR(B145="",I145=""),"",IF(IF(J145="",AsOf,J145)-I145&gt;=Settings!$C$13,"Permanent","Probation"))</f>
        <v/>
      </c>
      <c r="I145" s="30"/>
      <c r="J145" s="30"/>
    </row>
    <row r="146" customFormat="false" ht="15" hidden="false" customHeight="false" outlineLevel="0" collapsed="false">
      <c r="A146" s="10" t="str">
        <f aca="false">IF(B146="","",ROW()-5)</f>
        <v/>
      </c>
      <c r="B146" s="29"/>
      <c r="C146" s="9"/>
      <c r="D146" s="10" t="str">
        <f aca="false">IF(B146="","",IF(J146="","Active","Exited"))</f>
        <v/>
      </c>
      <c r="E146" s="9"/>
      <c r="F146" s="9"/>
      <c r="G146" s="9"/>
      <c r="H146" s="10" t="str">
        <f aca="false">IF(OR(B146="",I146=""),"",IF(IF(J146="",AsOf,J146)-I146&gt;=Settings!$C$13,"Permanent","Probation"))</f>
        <v/>
      </c>
      <c r="I146" s="30"/>
      <c r="J146" s="30"/>
    </row>
    <row r="147" customFormat="false" ht="15" hidden="false" customHeight="false" outlineLevel="0" collapsed="false">
      <c r="A147" s="10" t="str">
        <f aca="false">IF(B147="","",ROW()-5)</f>
        <v/>
      </c>
      <c r="B147" s="29"/>
      <c r="C147" s="9"/>
      <c r="D147" s="10" t="str">
        <f aca="false">IF(B147="","",IF(J147="","Active","Exited"))</f>
        <v/>
      </c>
      <c r="E147" s="9"/>
      <c r="F147" s="9"/>
      <c r="G147" s="9"/>
      <c r="H147" s="10" t="str">
        <f aca="false">IF(OR(B147="",I147=""),"",IF(IF(J147="",AsOf,J147)-I147&gt;=Settings!$C$13,"Permanent","Probation"))</f>
        <v/>
      </c>
      <c r="I147" s="30"/>
      <c r="J147" s="30"/>
    </row>
    <row r="148" customFormat="false" ht="15" hidden="false" customHeight="false" outlineLevel="0" collapsed="false">
      <c r="A148" s="10" t="str">
        <f aca="false">IF(B148="","",ROW()-5)</f>
        <v/>
      </c>
      <c r="B148" s="29"/>
      <c r="C148" s="9"/>
      <c r="D148" s="10" t="str">
        <f aca="false">IF(B148="","",IF(J148="","Active","Exited"))</f>
        <v/>
      </c>
      <c r="E148" s="9"/>
      <c r="F148" s="9"/>
      <c r="G148" s="9"/>
      <c r="H148" s="10" t="str">
        <f aca="false">IF(OR(B148="",I148=""),"",IF(IF(J148="",AsOf,J148)-I148&gt;=Settings!$C$13,"Permanent","Probation"))</f>
        <v/>
      </c>
      <c r="I148" s="30"/>
      <c r="J148" s="30"/>
    </row>
    <row r="149" customFormat="false" ht="15" hidden="false" customHeight="false" outlineLevel="0" collapsed="false">
      <c r="A149" s="10" t="str">
        <f aca="false">IF(B149="","",ROW()-5)</f>
        <v/>
      </c>
      <c r="B149" s="29"/>
      <c r="C149" s="9"/>
      <c r="D149" s="10" t="str">
        <f aca="false">IF(B149="","",IF(J149="","Active","Exited"))</f>
        <v/>
      </c>
      <c r="E149" s="9"/>
      <c r="F149" s="9"/>
      <c r="G149" s="9"/>
      <c r="H149" s="10" t="str">
        <f aca="false">IF(OR(B149="",I149=""),"",IF(IF(J149="",AsOf,J149)-I149&gt;=Settings!$C$13,"Permanent","Probation"))</f>
        <v/>
      </c>
      <c r="I149" s="30"/>
      <c r="J149" s="30"/>
    </row>
    <row r="150" customFormat="false" ht="15" hidden="false" customHeight="false" outlineLevel="0" collapsed="false">
      <c r="A150" s="10" t="str">
        <f aca="false">IF(B150="","",ROW()-5)</f>
        <v/>
      </c>
      <c r="B150" s="29"/>
      <c r="C150" s="9"/>
      <c r="D150" s="10" t="str">
        <f aca="false">IF(B150="","",IF(J150="","Active","Exited"))</f>
        <v/>
      </c>
      <c r="E150" s="9"/>
      <c r="F150" s="9"/>
      <c r="G150" s="9"/>
      <c r="H150" s="10" t="str">
        <f aca="false">IF(OR(B150="",I150=""),"",IF(IF(J150="",AsOf,J150)-I150&gt;=Settings!$C$13,"Permanent","Probation"))</f>
        <v/>
      </c>
      <c r="I150" s="30"/>
      <c r="J150" s="30"/>
    </row>
    <row r="151" customFormat="false" ht="15" hidden="false" customHeight="false" outlineLevel="0" collapsed="false">
      <c r="A151" s="10" t="str">
        <f aca="false">IF(B151="","",ROW()-5)</f>
        <v/>
      </c>
      <c r="B151" s="29"/>
      <c r="C151" s="9"/>
      <c r="D151" s="10" t="str">
        <f aca="false">IF(B151="","",IF(J151="","Active","Exited"))</f>
        <v/>
      </c>
      <c r="E151" s="9"/>
      <c r="F151" s="9"/>
      <c r="G151" s="9"/>
      <c r="H151" s="10" t="str">
        <f aca="false">IF(OR(B151="",I151=""),"",IF(IF(J151="",AsOf,J151)-I151&gt;=Settings!$C$13,"Permanent","Probation"))</f>
        <v/>
      </c>
      <c r="I151" s="30"/>
      <c r="J151" s="30"/>
    </row>
    <row r="152" customFormat="false" ht="15" hidden="false" customHeight="false" outlineLevel="0" collapsed="false">
      <c r="A152" s="10" t="str">
        <f aca="false">IF(B152="","",ROW()-5)</f>
        <v/>
      </c>
      <c r="B152" s="29"/>
      <c r="C152" s="9"/>
      <c r="D152" s="10" t="str">
        <f aca="false">IF(B152="","",IF(J152="","Active","Exited"))</f>
        <v/>
      </c>
      <c r="E152" s="9"/>
      <c r="F152" s="9"/>
      <c r="G152" s="9"/>
      <c r="H152" s="10" t="str">
        <f aca="false">IF(OR(B152="",I152=""),"",IF(IF(J152="",AsOf,J152)-I152&gt;=Settings!$C$13,"Permanent","Probation"))</f>
        <v/>
      </c>
      <c r="I152" s="30"/>
      <c r="J152" s="30"/>
    </row>
    <row r="153" customFormat="false" ht="15" hidden="false" customHeight="false" outlineLevel="0" collapsed="false">
      <c r="A153" s="10" t="str">
        <f aca="false">IF(B153="","",ROW()-5)</f>
        <v/>
      </c>
      <c r="B153" s="29"/>
      <c r="C153" s="9"/>
      <c r="D153" s="10" t="str">
        <f aca="false">IF(B153="","",IF(J153="","Active","Exited"))</f>
        <v/>
      </c>
      <c r="E153" s="9"/>
      <c r="F153" s="9"/>
      <c r="G153" s="9"/>
      <c r="H153" s="10" t="str">
        <f aca="false">IF(OR(B153="",I153=""),"",IF(IF(J153="",AsOf,J153)-I153&gt;=Settings!$C$13,"Permanent","Probation"))</f>
        <v/>
      </c>
      <c r="I153" s="30"/>
      <c r="J153" s="30"/>
    </row>
    <row r="154" customFormat="false" ht="15" hidden="false" customHeight="false" outlineLevel="0" collapsed="false">
      <c r="A154" s="10" t="str">
        <f aca="false">IF(B154="","",ROW()-5)</f>
        <v/>
      </c>
      <c r="B154" s="29"/>
      <c r="C154" s="9"/>
      <c r="D154" s="10" t="str">
        <f aca="false">IF(B154="","",IF(J154="","Active","Exited"))</f>
        <v/>
      </c>
      <c r="E154" s="9"/>
      <c r="F154" s="9"/>
      <c r="G154" s="9"/>
      <c r="H154" s="10" t="str">
        <f aca="false">IF(OR(B154="",I154=""),"",IF(IF(J154="",AsOf,J154)-I154&gt;=Settings!$C$13,"Permanent","Probation"))</f>
        <v/>
      </c>
      <c r="I154" s="30"/>
      <c r="J154" s="30"/>
    </row>
    <row r="155" customFormat="false" ht="15" hidden="false" customHeight="false" outlineLevel="0" collapsed="false">
      <c r="A155" s="10" t="str">
        <f aca="false">IF(B155="","",ROW()-5)</f>
        <v/>
      </c>
      <c r="B155" s="29"/>
      <c r="C155" s="9"/>
      <c r="D155" s="10" t="str">
        <f aca="false">IF(B155="","",IF(J155="","Active","Exited"))</f>
        <v/>
      </c>
      <c r="E155" s="9"/>
      <c r="F155" s="9"/>
      <c r="G155" s="9"/>
      <c r="H155" s="10" t="str">
        <f aca="false">IF(OR(B155="",I155=""),"",IF(IF(J155="",AsOf,J155)-I155&gt;=Settings!$C$13,"Permanent","Probation"))</f>
        <v/>
      </c>
      <c r="I155" s="30"/>
      <c r="J155" s="30"/>
    </row>
    <row r="156" customFormat="false" ht="15" hidden="false" customHeight="false" outlineLevel="0" collapsed="false">
      <c r="A156" s="10" t="str">
        <f aca="false">IF(B156="","",ROW()-5)</f>
        <v/>
      </c>
      <c r="B156" s="29"/>
      <c r="C156" s="9"/>
      <c r="D156" s="10" t="str">
        <f aca="false">IF(B156="","",IF(J156="","Active","Exited"))</f>
        <v/>
      </c>
      <c r="E156" s="9"/>
      <c r="F156" s="9"/>
      <c r="G156" s="9"/>
      <c r="H156" s="10" t="str">
        <f aca="false">IF(OR(B156="",I156=""),"",IF(IF(J156="",AsOf,J156)-I156&gt;=Settings!$C$13,"Permanent","Probation"))</f>
        <v/>
      </c>
      <c r="I156" s="30"/>
      <c r="J156" s="30"/>
    </row>
    <row r="157" customFormat="false" ht="15" hidden="false" customHeight="false" outlineLevel="0" collapsed="false">
      <c r="A157" s="10" t="str">
        <f aca="false">IF(B157="","",ROW()-5)</f>
        <v/>
      </c>
      <c r="B157" s="29"/>
      <c r="C157" s="9"/>
      <c r="D157" s="10" t="str">
        <f aca="false">IF(B157="","",IF(J157="","Active","Exited"))</f>
        <v/>
      </c>
      <c r="E157" s="9"/>
      <c r="F157" s="9"/>
      <c r="G157" s="9"/>
      <c r="H157" s="10" t="str">
        <f aca="false">IF(OR(B157="",I157=""),"",IF(IF(J157="",AsOf,J157)-I157&gt;=Settings!$C$13,"Permanent","Probation"))</f>
        <v/>
      </c>
      <c r="I157" s="30"/>
      <c r="J157" s="30"/>
    </row>
    <row r="158" customFormat="false" ht="15" hidden="false" customHeight="false" outlineLevel="0" collapsed="false">
      <c r="A158" s="10" t="str">
        <f aca="false">IF(B158="","",ROW()-5)</f>
        <v/>
      </c>
      <c r="B158" s="29"/>
      <c r="C158" s="9"/>
      <c r="D158" s="10" t="str">
        <f aca="false">IF(B158="","",IF(J158="","Active","Exited"))</f>
        <v/>
      </c>
      <c r="E158" s="9"/>
      <c r="F158" s="9"/>
      <c r="G158" s="9"/>
      <c r="H158" s="10" t="str">
        <f aca="false">IF(OR(B158="",I158=""),"",IF(IF(J158="",AsOf,J158)-I158&gt;=Settings!$C$13,"Permanent","Probation"))</f>
        <v/>
      </c>
      <c r="I158" s="30"/>
      <c r="J158" s="30"/>
    </row>
    <row r="159" customFormat="false" ht="15" hidden="false" customHeight="false" outlineLevel="0" collapsed="false">
      <c r="A159" s="10" t="str">
        <f aca="false">IF(B159="","",ROW()-5)</f>
        <v/>
      </c>
      <c r="B159" s="29"/>
      <c r="C159" s="9"/>
      <c r="D159" s="10" t="str">
        <f aca="false">IF(B159="","",IF(J159="","Active","Exited"))</f>
        <v/>
      </c>
      <c r="E159" s="9"/>
      <c r="F159" s="9"/>
      <c r="G159" s="9"/>
      <c r="H159" s="10" t="str">
        <f aca="false">IF(OR(B159="",I159=""),"",IF(IF(J159="",AsOf,J159)-I159&gt;=Settings!$C$13,"Permanent","Probation"))</f>
        <v/>
      </c>
      <c r="I159" s="30"/>
      <c r="J159" s="30"/>
    </row>
    <row r="160" customFormat="false" ht="15" hidden="false" customHeight="false" outlineLevel="0" collapsed="false">
      <c r="A160" s="10" t="str">
        <f aca="false">IF(B160="","",ROW()-5)</f>
        <v/>
      </c>
      <c r="B160" s="29"/>
      <c r="C160" s="9"/>
      <c r="D160" s="10" t="str">
        <f aca="false">IF(B160="","",IF(J160="","Active","Exited"))</f>
        <v/>
      </c>
      <c r="E160" s="9"/>
      <c r="F160" s="9"/>
      <c r="G160" s="9"/>
      <c r="H160" s="10" t="str">
        <f aca="false">IF(OR(B160="",I160=""),"",IF(IF(J160="",AsOf,J160)-I160&gt;=Settings!$C$13,"Permanent","Probation"))</f>
        <v/>
      </c>
      <c r="I160" s="30"/>
      <c r="J160" s="30"/>
    </row>
    <row r="161" customFormat="false" ht="15" hidden="false" customHeight="false" outlineLevel="0" collapsed="false">
      <c r="A161" s="10" t="str">
        <f aca="false">IF(B161="","",ROW()-5)</f>
        <v/>
      </c>
      <c r="B161" s="29"/>
      <c r="C161" s="9"/>
      <c r="D161" s="10" t="str">
        <f aca="false">IF(B161="","",IF(J161="","Active","Exited"))</f>
        <v/>
      </c>
      <c r="E161" s="9"/>
      <c r="F161" s="9"/>
      <c r="G161" s="9"/>
      <c r="H161" s="10" t="str">
        <f aca="false">IF(OR(B161="",I161=""),"",IF(IF(J161="",AsOf,J161)-I161&gt;=Settings!$C$13,"Permanent","Probation"))</f>
        <v/>
      </c>
      <c r="I161" s="30"/>
      <c r="J161" s="30"/>
    </row>
    <row r="162" customFormat="false" ht="15" hidden="false" customHeight="false" outlineLevel="0" collapsed="false">
      <c r="A162" s="10" t="str">
        <f aca="false">IF(B162="","",ROW()-5)</f>
        <v/>
      </c>
      <c r="B162" s="29"/>
      <c r="C162" s="9"/>
      <c r="D162" s="10" t="str">
        <f aca="false">IF(B162="","",IF(J162="","Active","Exited"))</f>
        <v/>
      </c>
      <c r="E162" s="9"/>
      <c r="F162" s="9"/>
      <c r="G162" s="9"/>
      <c r="H162" s="10" t="str">
        <f aca="false">IF(OR(B162="",I162=""),"",IF(IF(J162="",AsOf,J162)-I162&gt;=Settings!$C$13,"Permanent","Probation"))</f>
        <v/>
      </c>
      <c r="I162" s="30"/>
      <c r="J162" s="30"/>
    </row>
    <row r="163" customFormat="false" ht="15" hidden="false" customHeight="false" outlineLevel="0" collapsed="false">
      <c r="A163" s="10" t="str">
        <f aca="false">IF(B163="","",ROW()-5)</f>
        <v/>
      </c>
      <c r="B163" s="29"/>
      <c r="C163" s="9"/>
      <c r="D163" s="10" t="str">
        <f aca="false">IF(B163="","",IF(J163="","Active","Exited"))</f>
        <v/>
      </c>
      <c r="E163" s="9"/>
      <c r="F163" s="9"/>
      <c r="G163" s="9"/>
      <c r="H163" s="10" t="str">
        <f aca="false">IF(OR(B163="",I163=""),"",IF(IF(J163="",AsOf,J163)-I163&gt;=Settings!$C$13,"Permanent","Probation"))</f>
        <v/>
      </c>
      <c r="I163" s="30"/>
      <c r="J163" s="30"/>
    </row>
    <row r="164" customFormat="false" ht="15" hidden="false" customHeight="false" outlineLevel="0" collapsed="false">
      <c r="A164" s="10" t="str">
        <f aca="false">IF(B164="","",ROW()-5)</f>
        <v/>
      </c>
      <c r="B164" s="29"/>
      <c r="C164" s="9"/>
      <c r="D164" s="10" t="str">
        <f aca="false">IF(B164="","",IF(J164="","Active","Exited"))</f>
        <v/>
      </c>
      <c r="E164" s="9"/>
      <c r="F164" s="9"/>
      <c r="G164" s="9"/>
      <c r="H164" s="10" t="str">
        <f aca="false">IF(OR(B164="",I164=""),"",IF(IF(J164="",AsOf,J164)-I164&gt;=Settings!$C$13,"Permanent","Probation"))</f>
        <v/>
      </c>
      <c r="I164" s="30"/>
      <c r="J164" s="30"/>
    </row>
    <row r="165" customFormat="false" ht="15" hidden="false" customHeight="false" outlineLevel="0" collapsed="false">
      <c r="A165" s="10" t="str">
        <f aca="false">IF(B165="","",ROW()-5)</f>
        <v/>
      </c>
      <c r="B165" s="29"/>
      <c r="C165" s="9"/>
      <c r="D165" s="10" t="str">
        <f aca="false">IF(B165="","",IF(J165="","Active","Exited"))</f>
        <v/>
      </c>
      <c r="E165" s="9"/>
      <c r="F165" s="9"/>
      <c r="G165" s="9"/>
      <c r="H165" s="10" t="str">
        <f aca="false">IF(OR(B165="",I165=""),"",IF(IF(J165="",AsOf,J165)-I165&gt;=Settings!$C$13,"Permanent","Probation"))</f>
        <v/>
      </c>
      <c r="I165" s="30"/>
      <c r="J165" s="30"/>
    </row>
    <row r="166" customFormat="false" ht="15" hidden="false" customHeight="false" outlineLevel="0" collapsed="false">
      <c r="A166" s="10" t="str">
        <f aca="false">IF(B166="","",ROW()-5)</f>
        <v/>
      </c>
      <c r="B166" s="29"/>
      <c r="C166" s="9"/>
      <c r="D166" s="10" t="str">
        <f aca="false">IF(B166="","",IF(J166="","Active","Exited"))</f>
        <v/>
      </c>
      <c r="E166" s="9"/>
      <c r="F166" s="9"/>
      <c r="G166" s="9"/>
      <c r="H166" s="10" t="str">
        <f aca="false">IF(OR(B166="",I166=""),"",IF(IF(J166="",AsOf,J166)-I166&gt;=Settings!$C$13,"Permanent","Probation"))</f>
        <v/>
      </c>
      <c r="I166" s="30"/>
      <c r="J166" s="30"/>
    </row>
    <row r="167" customFormat="false" ht="15" hidden="false" customHeight="false" outlineLevel="0" collapsed="false">
      <c r="A167" s="10" t="str">
        <f aca="false">IF(B167="","",ROW()-5)</f>
        <v/>
      </c>
      <c r="B167" s="29"/>
      <c r="C167" s="9"/>
      <c r="D167" s="10" t="str">
        <f aca="false">IF(B167="","",IF(J167="","Active","Exited"))</f>
        <v/>
      </c>
      <c r="E167" s="9"/>
      <c r="F167" s="9"/>
      <c r="G167" s="9"/>
      <c r="H167" s="10" t="str">
        <f aca="false">IF(OR(B167="",I167=""),"",IF(IF(J167="",AsOf,J167)-I167&gt;=Settings!$C$13,"Permanent","Probation"))</f>
        <v/>
      </c>
      <c r="I167" s="30"/>
      <c r="J167" s="30"/>
    </row>
    <row r="168" customFormat="false" ht="15" hidden="false" customHeight="false" outlineLevel="0" collapsed="false">
      <c r="A168" s="10" t="str">
        <f aca="false">IF(B168="","",ROW()-5)</f>
        <v/>
      </c>
      <c r="B168" s="29"/>
      <c r="C168" s="9"/>
      <c r="D168" s="10" t="str">
        <f aca="false">IF(B168="","",IF(J168="","Active","Exited"))</f>
        <v/>
      </c>
      <c r="E168" s="9"/>
      <c r="F168" s="9"/>
      <c r="G168" s="9"/>
      <c r="H168" s="10" t="str">
        <f aca="false">IF(OR(B168="",I168=""),"",IF(IF(J168="",AsOf,J168)-I168&gt;=Settings!$C$13,"Permanent","Probation"))</f>
        <v/>
      </c>
      <c r="I168" s="30"/>
      <c r="J168" s="30"/>
    </row>
    <row r="169" customFormat="false" ht="15" hidden="false" customHeight="false" outlineLevel="0" collapsed="false">
      <c r="A169" s="10" t="str">
        <f aca="false">IF(B169="","",ROW()-5)</f>
        <v/>
      </c>
      <c r="B169" s="29"/>
      <c r="C169" s="9"/>
      <c r="D169" s="10" t="str">
        <f aca="false">IF(B169="","",IF(J169="","Active","Exited"))</f>
        <v/>
      </c>
      <c r="E169" s="9"/>
      <c r="F169" s="9"/>
      <c r="G169" s="9"/>
      <c r="H169" s="10" t="str">
        <f aca="false">IF(OR(B169="",I169=""),"",IF(IF(J169="",AsOf,J169)-I169&gt;=Settings!$C$13,"Permanent","Probation"))</f>
        <v/>
      </c>
      <c r="I169" s="30"/>
      <c r="J169" s="30"/>
    </row>
    <row r="170" customFormat="false" ht="15" hidden="false" customHeight="false" outlineLevel="0" collapsed="false">
      <c r="A170" s="10" t="str">
        <f aca="false">IF(B170="","",ROW()-5)</f>
        <v/>
      </c>
      <c r="B170" s="29"/>
      <c r="C170" s="9"/>
      <c r="D170" s="10" t="str">
        <f aca="false">IF(B170="","",IF(J170="","Active","Exited"))</f>
        <v/>
      </c>
      <c r="E170" s="9"/>
      <c r="F170" s="9"/>
      <c r="G170" s="9"/>
      <c r="H170" s="10" t="str">
        <f aca="false">IF(OR(B170="",I170=""),"",IF(IF(J170="",AsOf,J170)-I170&gt;=Settings!$C$13,"Permanent","Probation"))</f>
        <v/>
      </c>
      <c r="I170" s="30"/>
      <c r="J170" s="30"/>
    </row>
    <row r="171" customFormat="false" ht="15" hidden="false" customHeight="false" outlineLevel="0" collapsed="false">
      <c r="A171" s="10" t="str">
        <f aca="false">IF(B171="","",ROW()-5)</f>
        <v/>
      </c>
      <c r="B171" s="29"/>
      <c r="C171" s="9"/>
      <c r="D171" s="10" t="str">
        <f aca="false">IF(B171="","",IF(J171="","Active","Exited"))</f>
        <v/>
      </c>
      <c r="E171" s="9"/>
      <c r="F171" s="9"/>
      <c r="G171" s="9"/>
      <c r="H171" s="10" t="str">
        <f aca="false">IF(OR(B171="",I171=""),"",IF(IF(J171="",AsOf,J171)-I171&gt;=Settings!$C$13,"Permanent","Probation"))</f>
        <v/>
      </c>
      <c r="I171" s="30"/>
      <c r="J171" s="30"/>
    </row>
    <row r="172" customFormat="false" ht="15" hidden="false" customHeight="false" outlineLevel="0" collapsed="false">
      <c r="A172" s="10" t="str">
        <f aca="false">IF(B172="","",ROW()-5)</f>
        <v/>
      </c>
      <c r="B172" s="29"/>
      <c r="C172" s="9"/>
      <c r="D172" s="10" t="str">
        <f aca="false">IF(B172="","",IF(J172="","Active","Exited"))</f>
        <v/>
      </c>
      <c r="E172" s="9"/>
      <c r="F172" s="9"/>
      <c r="G172" s="9"/>
      <c r="H172" s="10" t="str">
        <f aca="false">IF(OR(B172="",I172=""),"",IF(IF(J172="",AsOf,J172)-I172&gt;=Settings!$C$13,"Permanent","Probation"))</f>
        <v/>
      </c>
      <c r="I172" s="30"/>
      <c r="J172" s="30"/>
    </row>
    <row r="173" customFormat="false" ht="15" hidden="false" customHeight="false" outlineLevel="0" collapsed="false">
      <c r="A173" s="10" t="str">
        <f aca="false">IF(B173="","",ROW()-5)</f>
        <v/>
      </c>
      <c r="B173" s="29"/>
      <c r="C173" s="9"/>
      <c r="D173" s="10" t="str">
        <f aca="false">IF(B173="","",IF(J173="","Active","Exited"))</f>
        <v/>
      </c>
      <c r="E173" s="9"/>
      <c r="F173" s="9"/>
      <c r="G173" s="9"/>
      <c r="H173" s="10" t="str">
        <f aca="false">IF(OR(B173="",I173=""),"",IF(IF(J173="",AsOf,J173)-I173&gt;=Settings!$C$13,"Permanent","Probation"))</f>
        <v/>
      </c>
      <c r="I173" s="30"/>
      <c r="J173" s="30"/>
    </row>
    <row r="174" customFormat="false" ht="15" hidden="false" customHeight="false" outlineLevel="0" collapsed="false">
      <c r="A174" s="10" t="str">
        <f aca="false">IF(B174="","",ROW()-5)</f>
        <v/>
      </c>
      <c r="B174" s="29"/>
      <c r="C174" s="9"/>
      <c r="D174" s="10" t="str">
        <f aca="false">IF(B174="","",IF(J174="","Active","Exited"))</f>
        <v/>
      </c>
      <c r="E174" s="9"/>
      <c r="F174" s="9"/>
      <c r="G174" s="9"/>
      <c r="H174" s="10" t="str">
        <f aca="false">IF(OR(B174="",I174=""),"",IF(IF(J174="",AsOf,J174)-I174&gt;=Settings!$C$13,"Permanent","Probation"))</f>
        <v/>
      </c>
      <c r="I174" s="30"/>
      <c r="J174" s="30"/>
    </row>
    <row r="175" customFormat="false" ht="15" hidden="false" customHeight="false" outlineLevel="0" collapsed="false">
      <c r="A175" s="10" t="str">
        <f aca="false">IF(B175="","",ROW()-5)</f>
        <v/>
      </c>
      <c r="B175" s="29"/>
      <c r="C175" s="9"/>
      <c r="D175" s="10" t="str">
        <f aca="false">IF(B175="","",IF(J175="","Active","Exited"))</f>
        <v/>
      </c>
      <c r="E175" s="9"/>
      <c r="F175" s="9"/>
      <c r="G175" s="9"/>
      <c r="H175" s="10" t="str">
        <f aca="false">IF(OR(B175="",I175=""),"",IF(IF(J175="",AsOf,J175)-I175&gt;=Settings!$C$13,"Permanent","Probation"))</f>
        <v/>
      </c>
      <c r="I175" s="30"/>
      <c r="J175" s="30"/>
    </row>
    <row r="176" customFormat="false" ht="15" hidden="false" customHeight="false" outlineLevel="0" collapsed="false">
      <c r="A176" s="10" t="str">
        <f aca="false">IF(B176="","",ROW()-5)</f>
        <v/>
      </c>
      <c r="B176" s="29"/>
      <c r="C176" s="9"/>
      <c r="D176" s="10" t="str">
        <f aca="false">IF(B176="","",IF(J176="","Active","Exited"))</f>
        <v/>
      </c>
      <c r="E176" s="9"/>
      <c r="F176" s="9"/>
      <c r="G176" s="9"/>
      <c r="H176" s="10" t="str">
        <f aca="false">IF(OR(B176="",I176=""),"",IF(IF(J176="",AsOf,J176)-I176&gt;=Settings!$C$13,"Permanent","Probation"))</f>
        <v/>
      </c>
      <c r="I176" s="30"/>
      <c r="J176" s="30"/>
    </row>
    <row r="177" customFormat="false" ht="15" hidden="false" customHeight="false" outlineLevel="0" collapsed="false">
      <c r="A177" s="10" t="str">
        <f aca="false">IF(B177="","",ROW()-5)</f>
        <v/>
      </c>
      <c r="B177" s="29"/>
      <c r="C177" s="9"/>
      <c r="D177" s="10" t="str">
        <f aca="false">IF(B177="","",IF(J177="","Active","Exited"))</f>
        <v/>
      </c>
      <c r="E177" s="9"/>
      <c r="F177" s="9"/>
      <c r="G177" s="9"/>
      <c r="H177" s="10" t="str">
        <f aca="false">IF(OR(B177="",I177=""),"",IF(IF(J177="",AsOf,J177)-I177&gt;=Settings!$C$13,"Permanent","Probation"))</f>
        <v/>
      </c>
      <c r="I177" s="30"/>
      <c r="J177" s="30"/>
    </row>
    <row r="178" customFormat="false" ht="15" hidden="false" customHeight="false" outlineLevel="0" collapsed="false">
      <c r="A178" s="10" t="str">
        <f aca="false">IF(B178="","",ROW()-5)</f>
        <v/>
      </c>
      <c r="B178" s="29"/>
      <c r="C178" s="9"/>
      <c r="D178" s="10" t="str">
        <f aca="false">IF(B178="","",IF(J178="","Active","Exited"))</f>
        <v/>
      </c>
      <c r="E178" s="9"/>
      <c r="F178" s="9"/>
      <c r="G178" s="9"/>
      <c r="H178" s="10" t="str">
        <f aca="false">IF(OR(B178="",I178=""),"",IF(IF(J178="",AsOf,J178)-I178&gt;=Settings!$C$13,"Permanent","Probation"))</f>
        <v/>
      </c>
      <c r="I178" s="30"/>
      <c r="J178" s="30"/>
    </row>
    <row r="179" customFormat="false" ht="15" hidden="false" customHeight="false" outlineLevel="0" collapsed="false">
      <c r="A179" s="10" t="str">
        <f aca="false">IF(B179="","",ROW()-5)</f>
        <v/>
      </c>
      <c r="B179" s="29"/>
      <c r="C179" s="9"/>
      <c r="D179" s="10" t="str">
        <f aca="false">IF(B179="","",IF(J179="","Active","Exited"))</f>
        <v/>
      </c>
      <c r="E179" s="9"/>
      <c r="F179" s="9"/>
      <c r="G179" s="9"/>
      <c r="H179" s="10" t="str">
        <f aca="false">IF(OR(B179="",I179=""),"",IF(IF(J179="",AsOf,J179)-I179&gt;=Settings!$C$13,"Permanent","Probation"))</f>
        <v/>
      </c>
      <c r="I179" s="30"/>
      <c r="J179" s="30"/>
    </row>
    <row r="180" customFormat="false" ht="15" hidden="false" customHeight="false" outlineLevel="0" collapsed="false">
      <c r="A180" s="10" t="str">
        <f aca="false">IF(B180="","",ROW()-5)</f>
        <v/>
      </c>
      <c r="B180" s="29"/>
      <c r="C180" s="9"/>
      <c r="D180" s="10" t="str">
        <f aca="false">IF(B180="","",IF(J180="","Active","Exited"))</f>
        <v/>
      </c>
      <c r="E180" s="9"/>
      <c r="F180" s="9"/>
      <c r="G180" s="9"/>
      <c r="H180" s="10" t="str">
        <f aca="false">IF(OR(B180="",I180=""),"",IF(IF(J180="",AsOf,J180)-I180&gt;=Settings!$C$13,"Permanent","Probation"))</f>
        <v/>
      </c>
      <c r="I180" s="30"/>
      <c r="J180" s="30"/>
    </row>
    <row r="181" customFormat="false" ht="15" hidden="false" customHeight="false" outlineLevel="0" collapsed="false">
      <c r="A181" s="10" t="str">
        <f aca="false">IF(B181="","",ROW()-5)</f>
        <v/>
      </c>
      <c r="B181" s="29"/>
      <c r="C181" s="9"/>
      <c r="D181" s="10" t="str">
        <f aca="false">IF(B181="","",IF(J181="","Active","Exited"))</f>
        <v/>
      </c>
      <c r="E181" s="9"/>
      <c r="F181" s="9"/>
      <c r="G181" s="9"/>
      <c r="H181" s="10" t="str">
        <f aca="false">IF(OR(B181="",I181=""),"",IF(IF(J181="",AsOf,J181)-I181&gt;=Settings!$C$13,"Permanent","Probation"))</f>
        <v/>
      </c>
      <c r="I181" s="30"/>
      <c r="J181" s="30"/>
    </row>
    <row r="182" customFormat="false" ht="15" hidden="false" customHeight="false" outlineLevel="0" collapsed="false">
      <c r="A182" s="10" t="str">
        <f aca="false">IF(B182="","",ROW()-5)</f>
        <v/>
      </c>
      <c r="B182" s="29"/>
      <c r="C182" s="9"/>
      <c r="D182" s="10" t="str">
        <f aca="false">IF(B182="","",IF(J182="","Active","Exited"))</f>
        <v/>
      </c>
      <c r="E182" s="9"/>
      <c r="F182" s="9"/>
      <c r="G182" s="9"/>
      <c r="H182" s="10" t="str">
        <f aca="false">IF(OR(B182="",I182=""),"",IF(IF(J182="",AsOf,J182)-I182&gt;=Settings!$C$13,"Permanent","Probation"))</f>
        <v/>
      </c>
      <c r="I182" s="30"/>
      <c r="J182" s="30"/>
    </row>
    <row r="183" customFormat="false" ht="15" hidden="false" customHeight="false" outlineLevel="0" collapsed="false">
      <c r="A183" s="10" t="str">
        <f aca="false">IF(B183="","",ROW()-5)</f>
        <v/>
      </c>
      <c r="B183" s="29"/>
      <c r="C183" s="9"/>
      <c r="D183" s="10" t="str">
        <f aca="false">IF(B183="","",IF(J183="","Active","Exited"))</f>
        <v/>
      </c>
      <c r="E183" s="9"/>
      <c r="F183" s="9"/>
      <c r="G183" s="9"/>
      <c r="H183" s="10" t="str">
        <f aca="false">IF(OR(B183="",I183=""),"",IF(IF(J183="",AsOf,J183)-I183&gt;=Settings!$C$13,"Permanent","Probation"))</f>
        <v/>
      </c>
      <c r="I183" s="30"/>
      <c r="J183" s="30"/>
    </row>
    <row r="184" customFormat="false" ht="15" hidden="false" customHeight="false" outlineLevel="0" collapsed="false">
      <c r="A184" s="10" t="str">
        <f aca="false">IF(B184="","",ROW()-5)</f>
        <v/>
      </c>
      <c r="B184" s="29"/>
      <c r="C184" s="9"/>
      <c r="D184" s="10" t="str">
        <f aca="false">IF(B184="","",IF(J184="","Active","Exited"))</f>
        <v/>
      </c>
      <c r="E184" s="9"/>
      <c r="F184" s="9"/>
      <c r="G184" s="9"/>
      <c r="H184" s="10" t="str">
        <f aca="false">IF(OR(B184="",I184=""),"",IF(IF(J184="",AsOf,J184)-I184&gt;=Settings!$C$13,"Permanent","Probation"))</f>
        <v/>
      </c>
      <c r="I184" s="30"/>
      <c r="J184" s="30"/>
    </row>
    <row r="185" customFormat="false" ht="15" hidden="false" customHeight="false" outlineLevel="0" collapsed="false">
      <c r="A185" s="10" t="str">
        <f aca="false">IF(B185="","",ROW()-5)</f>
        <v/>
      </c>
      <c r="B185" s="29"/>
      <c r="C185" s="9"/>
      <c r="D185" s="10" t="str">
        <f aca="false">IF(B185="","",IF(J185="","Active","Exited"))</f>
        <v/>
      </c>
      <c r="E185" s="9"/>
      <c r="F185" s="9"/>
      <c r="G185" s="9"/>
      <c r="H185" s="10" t="str">
        <f aca="false">IF(OR(B185="",I185=""),"",IF(IF(J185="",AsOf,J185)-I185&gt;=Settings!$C$13,"Permanent","Probation"))</f>
        <v/>
      </c>
      <c r="I185" s="30"/>
      <c r="J185" s="30"/>
    </row>
    <row r="186" customFormat="false" ht="15" hidden="false" customHeight="false" outlineLevel="0" collapsed="false">
      <c r="A186" s="10" t="str">
        <f aca="false">IF(B186="","",ROW()-5)</f>
        <v/>
      </c>
      <c r="B186" s="29"/>
      <c r="C186" s="9"/>
      <c r="D186" s="10" t="str">
        <f aca="false">IF(B186="","",IF(J186="","Active","Exited"))</f>
        <v/>
      </c>
      <c r="E186" s="9"/>
      <c r="F186" s="9"/>
      <c r="G186" s="9"/>
      <c r="H186" s="10" t="str">
        <f aca="false">IF(OR(B186="",I186=""),"",IF(IF(J186="",AsOf,J186)-I186&gt;=Settings!$C$13,"Permanent","Probation"))</f>
        <v/>
      </c>
      <c r="I186" s="30"/>
      <c r="J186" s="30"/>
    </row>
    <row r="187" customFormat="false" ht="15" hidden="false" customHeight="false" outlineLevel="0" collapsed="false">
      <c r="A187" s="10" t="str">
        <f aca="false">IF(B187="","",ROW()-5)</f>
        <v/>
      </c>
      <c r="B187" s="29"/>
      <c r="C187" s="9"/>
      <c r="D187" s="10" t="str">
        <f aca="false">IF(B187="","",IF(J187="","Active","Exited"))</f>
        <v/>
      </c>
      <c r="E187" s="9"/>
      <c r="F187" s="9"/>
      <c r="G187" s="9"/>
      <c r="H187" s="10" t="str">
        <f aca="false">IF(OR(B187="",I187=""),"",IF(IF(J187="",AsOf,J187)-I187&gt;=Settings!$C$13,"Permanent","Probation"))</f>
        <v/>
      </c>
      <c r="I187" s="30"/>
      <c r="J187" s="30"/>
    </row>
    <row r="188" customFormat="false" ht="15" hidden="false" customHeight="false" outlineLevel="0" collapsed="false">
      <c r="A188" s="10" t="str">
        <f aca="false">IF(B188="","",ROW()-5)</f>
        <v/>
      </c>
      <c r="B188" s="29"/>
      <c r="C188" s="9"/>
      <c r="D188" s="10" t="str">
        <f aca="false">IF(B188="","",IF(J188="","Active","Exited"))</f>
        <v/>
      </c>
      <c r="E188" s="9"/>
      <c r="F188" s="9"/>
      <c r="G188" s="9"/>
      <c r="H188" s="10" t="str">
        <f aca="false">IF(OR(B188="",I188=""),"",IF(IF(J188="",AsOf,J188)-I188&gt;=Settings!$C$13,"Permanent","Probation"))</f>
        <v/>
      </c>
      <c r="I188" s="30"/>
      <c r="J188" s="30"/>
    </row>
    <row r="189" customFormat="false" ht="15" hidden="false" customHeight="false" outlineLevel="0" collapsed="false">
      <c r="A189" s="10" t="str">
        <f aca="false">IF(B189="","",ROW()-5)</f>
        <v/>
      </c>
      <c r="B189" s="29"/>
      <c r="C189" s="9"/>
      <c r="D189" s="10" t="str">
        <f aca="false">IF(B189="","",IF(J189="","Active","Exited"))</f>
        <v/>
      </c>
      <c r="E189" s="9"/>
      <c r="F189" s="9"/>
      <c r="G189" s="9"/>
      <c r="H189" s="10" t="str">
        <f aca="false">IF(OR(B189="",I189=""),"",IF(IF(J189="",AsOf,J189)-I189&gt;=Settings!$C$13,"Permanent","Probation"))</f>
        <v/>
      </c>
      <c r="I189" s="30"/>
      <c r="J189" s="30"/>
    </row>
    <row r="190" customFormat="false" ht="15" hidden="false" customHeight="false" outlineLevel="0" collapsed="false">
      <c r="A190" s="10" t="str">
        <f aca="false">IF(B190="","",ROW()-5)</f>
        <v/>
      </c>
      <c r="B190" s="29"/>
      <c r="C190" s="9"/>
      <c r="D190" s="10" t="str">
        <f aca="false">IF(B190="","",IF(J190="","Active","Exited"))</f>
        <v/>
      </c>
      <c r="E190" s="9"/>
      <c r="F190" s="9"/>
      <c r="G190" s="9"/>
      <c r="H190" s="10" t="str">
        <f aca="false">IF(OR(B190="",I190=""),"",IF(IF(J190="",AsOf,J190)-I190&gt;=Settings!$C$13,"Permanent","Probation"))</f>
        <v/>
      </c>
      <c r="I190" s="30"/>
      <c r="J190" s="30"/>
    </row>
    <row r="191" customFormat="false" ht="15" hidden="false" customHeight="false" outlineLevel="0" collapsed="false">
      <c r="A191" s="10" t="str">
        <f aca="false">IF(B191="","",ROW()-5)</f>
        <v/>
      </c>
      <c r="B191" s="29"/>
      <c r="C191" s="9"/>
      <c r="D191" s="10" t="str">
        <f aca="false">IF(B191="","",IF(J191="","Active","Exited"))</f>
        <v/>
      </c>
      <c r="E191" s="9"/>
      <c r="F191" s="9"/>
      <c r="G191" s="9"/>
      <c r="H191" s="10" t="str">
        <f aca="false">IF(OR(B191="",I191=""),"",IF(IF(J191="",AsOf,J191)-I191&gt;=Settings!$C$13,"Permanent","Probation"))</f>
        <v/>
      </c>
      <c r="I191" s="30"/>
      <c r="J191" s="30"/>
    </row>
    <row r="192" customFormat="false" ht="15" hidden="false" customHeight="false" outlineLevel="0" collapsed="false">
      <c r="A192" s="10" t="str">
        <f aca="false">IF(B192="","",ROW()-5)</f>
        <v/>
      </c>
      <c r="B192" s="29"/>
      <c r="C192" s="9"/>
      <c r="D192" s="10" t="str">
        <f aca="false">IF(B192="","",IF(J192="","Active","Exited"))</f>
        <v/>
      </c>
      <c r="E192" s="9"/>
      <c r="F192" s="9"/>
      <c r="G192" s="9"/>
      <c r="H192" s="10" t="str">
        <f aca="false">IF(OR(B192="",I192=""),"",IF(IF(J192="",AsOf,J192)-I192&gt;=Settings!$C$13,"Permanent","Probation"))</f>
        <v/>
      </c>
      <c r="I192" s="30"/>
      <c r="J192" s="30"/>
    </row>
    <row r="193" customFormat="false" ht="15" hidden="false" customHeight="false" outlineLevel="0" collapsed="false">
      <c r="A193" s="10" t="str">
        <f aca="false">IF(B193="","",ROW()-5)</f>
        <v/>
      </c>
      <c r="B193" s="29"/>
      <c r="C193" s="9"/>
      <c r="D193" s="10" t="str">
        <f aca="false">IF(B193="","",IF(J193="","Active","Exited"))</f>
        <v/>
      </c>
      <c r="E193" s="9"/>
      <c r="F193" s="9"/>
      <c r="G193" s="9"/>
      <c r="H193" s="10" t="str">
        <f aca="false">IF(OR(B193="",I193=""),"",IF(IF(J193="",AsOf,J193)-I193&gt;=Settings!$C$13,"Permanent","Probation"))</f>
        <v/>
      </c>
      <c r="I193" s="30"/>
      <c r="J193" s="30"/>
    </row>
    <row r="194" customFormat="false" ht="15" hidden="false" customHeight="false" outlineLevel="0" collapsed="false">
      <c r="A194" s="10" t="str">
        <f aca="false">IF(B194="","",ROW()-5)</f>
        <v/>
      </c>
      <c r="B194" s="29"/>
      <c r="C194" s="9"/>
      <c r="D194" s="10" t="str">
        <f aca="false">IF(B194="","",IF(J194="","Active","Exited"))</f>
        <v/>
      </c>
      <c r="E194" s="9"/>
      <c r="F194" s="9"/>
      <c r="G194" s="9"/>
      <c r="H194" s="10" t="str">
        <f aca="false">IF(OR(B194="",I194=""),"",IF(IF(J194="",AsOf,J194)-I194&gt;=Settings!$C$13,"Permanent","Probation"))</f>
        <v/>
      </c>
      <c r="I194" s="30"/>
      <c r="J194" s="30"/>
    </row>
    <row r="195" customFormat="false" ht="15" hidden="false" customHeight="false" outlineLevel="0" collapsed="false">
      <c r="A195" s="10" t="str">
        <f aca="false">IF(B195="","",ROW()-5)</f>
        <v/>
      </c>
      <c r="B195" s="29"/>
      <c r="C195" s="9"/>
      <c r="D195" s="10" t="str">
        <f aca="false">IF(B195="","",IF(J195="","Active","Exited"))</f>
        <v/>
      </c>
      <c r="E195" s="9"/>
      <c r="F195" s="9"/>
      <c r="G195" s="9"/>
      <c r="H195" s="10" t="str">
        <f aca="false">IF(OR(B195="",I195=""),"",IF(IF(J195="",AsOf,J195)-I195&gt;=Settings!$C$13,"Permanent","Probation"))</f>
        <v/>
      </c>
      <c r="I195" s="30"/>
      <c r="J195" s="30"/>
    </row>
    <row r="196" customFormat="false" ht="15" hidden="false" customHeight="false" outlineLevel="0" collapsed="false">
      <c r="A196" s="10" t="str">
        <f aca="false">IF(B196="","",ROW()-5)</f>
        <v/>
      </c>
      <c r="B196" s="29"/>
      <c r="C196" s="9"/>
      <c r="D196" s="10" t="str">
        <f aca="false">IF(B196="","",IF(J196="","Active","Exited"))</f>
        <v/>
      </c>
      <c r="E196" s="9"/>
      <c r="F196" s="9"/>
      <c r="G196" s="9"/>
      <c r="H196" s="10" t="str">
        <f aca="false">IF(OR(B196="",I196=""),"",IF(IF(J196="",AsOf,J196)-I196&gt;=Settings!$C$13,"Permanent","Probation"))</f>
        <v/>
      </c>
      <c r="I196" s="30"/>
      <c r="J196" s="30"/>
    </row>
    <row r="197" customFormat="false" ht="15" hidden="false" customHeight="false" outlineLevel="0" collapsed="false">
      <c r="A197" s="10" t="str">
        <f aca="false">IF(B197="","",ROW()-5)</f>
        <v/>
      </c>
      <c r="B197" s="29"/>
      <c r="C197" s="9"/>
      <c r="D197" s="10" t="str">
        <f aca="false">IF(B197="","",IF(J197="","Active","Exited"))</f>
        <v/>
      </c>
      <c r="E197" s="9"/>
      <c r="F197" s="9"/>
      <c r="G197" s="9"/>
      <c r="H197" s="10" t="str">
        <f aca="false">IF(OR(B197="",I197=""),"",IF(IF(J197="",AsOf,J197)-I197&gt;=Settings!$C$13,"Permanent","Probation"))</f>
        <v/>
      </c>
      <c r="I197" s="30"/>
      <c r="J197" s="30"/>
    </row>
    <row r="198" customFormat="false" ht="15" hidden="false" customHeight="false" outlineLevel="0" collapsed="false">
      <c r="A198" s="10" t="str">
        <f aca="false">IF(B198="","",ROW()-5)</f>
        <v/>
      </c>
      <c r="B198" s="29"/>
      <c r="C198" s="9"/>
      <c r="D198" s="10" t="str">
        <f aca="false">IF(B198="","",IF(J198="","Active","Exited"))</f>
        <v/>
      </c>
      <c r="E198" s="9"/>
      <c r="F198" s="9"/>
      <c r="G198" s="9"/>
      <c r="H198" s="10" t="str">
        <f aca="false">IF(OR(B198="",I198=""),"",IF(IF(J198="",AsOf,J198)-I198&gt;=Settings!$C$13,"Permanent","Probation"))</f>
        <v/>
      </c>
      <c r="I198" s="30"/>
      <c r="J198" s="30"/>
    </row>
    <row r="199" customFormat="false" ht="15" hidden="false" customHeight="false" outlineLevel="0" collapsed="false">
      <c r="A199" s="10" t="str">
        <f aca="false">IF(B199="","",ROW()-5)</f>
        <v/>
      </c>
      <c r="B199" s="29"/>
      <c r="C199" s="9"/>
      <c r="D199" s="10" t="str">
        <f aca="false">IF(B199="","",IF(J199="","Active","Exited"))</f>
        <v/>
      </c>
      <c r="E199" s="9"/>
      <c r="F199" s="9"/>
      <c r="G199" s="9"/>
      <c r="H199" s="10" t="str">
        <f aca="false">IF(OR(B199="",I199=""),"",IF(IF(J199="",AsOf,J199)-I199&gt;=Settings!$C$13,"Permanent","Probation"))</f>
        <v/>
      </c>
      <c r="I199" s="30"/>
      <c r="J199" s="30"/>
    </row>
    <row r="200" customFormat="false" ht="15" hidden="false" customHeight="false" outlineLevel="0" collapsed="false">
      <c r="A200" s="10" t="str">
        <f aca="false">IF(B200="","",ROW()-5)</f>
        <v/>
      </c>
      <c r="B200" s="29"/>
      <c r="C200" s="9"/>
      <c r="D200" s="10" t="str">
        <f aca="false">IF(B200="","",IF(J200="","Active","Exited"))</f>
        <v/>
      </c>
      <c r="E200" s="9"/>
      <c r="F200" s="9"/>
      <c r="G200" s="9"/>
      <c r="H200" s="10" t="str">
        <f aca="false">IF(OR(B200="",I200=""),"",IF(IF(J200="",AsOf,J200)-I200&gt;=Settings!$C$13,"Permanent","Probation"))</f>
        <v/>
      </c>
      <c r="I200" s="30"/>
      <c r="J200" s="30"/>
    </row>
    <row r="201" customFormat="false" ht="15" hidden="false" customHeight="false" outlineLevel="0" collapsed="false">
      <c r="A201" s="10" t="str">
        <f aca="false">IF(B201="","",ROW()-5)</f>
        <v/>
      </c>
      <c r="B201" s="29"/>
      <c r="C201" s="9"/>
      <c r="D201" s="10" t="str">
        <f aca="false">IF(B201="","",IF(J201="","Active","Exited"))</f>
        <v/>
      </c>
      <c r="E201" s="9"/>
      <c r="F201" s="9"/>
      <c r="G201" s="9"/>
      <c r="H201" s="10" t="str">
        <f aca="false">IF(OR(B201="",I201=""),"",IF(IF(J201="",AsOf,J201)-I201&gt;=Settings!$C$13,"Permanent","Probation"))</f>
        <v/>
      </c>
      <c r="I201" s="30"/>
      <c r="J201" s="30"/>
    </row>
    <row r="202" customFormat="false" ht="15" hidden="false" customHeight="false" outlineLevel="0" collapsed="false">
      <c r="A202" s="10" t="str">
        <f aca="false">IF(B202="","",ROW()-5)</f>
        <v/>
      </c>
      <c r="B202" s="29"/>
      <c r="C202" s="9"/>
      <c r="D202" s="10" t="str">
        <f aca="false">IF(B202="","",IF(J202="","Active","Exited"))</f>
        <v/>
      </c>
      <c r="E202" s="9"/>
      <c r="F202" s="9"/>
      <c r="G202" s="9"/>
      <c r="H202" s="10" t="str">
        <f aca="false">IF(OR(B202="",I202=""),"",IF(IF(J202="",AsOf,J202)-I202&gt;=Settings!$C$13,"Permanent","Probation"))</f>
        <v/>
      </c>
      <c r="I202" s="30"/>
      <c r="J202" s="30"/>
    </row>
    <row r="203" customFormat="false" ht="15" hidden="false" customHeight="false" outlineLevel="0" collapsed="false">
      <c r="A203" s="10" t="str">
        <f aca="false">IF(B203="","",ROW()-5)</f>
        <v/>
      </c>
      <c r="B203" s="29"/>
      <c r="C203" s="9"/>
      <c r="D203" s="10" t="str">
        <f aca="false">IF(B203="","",IF(J203="","Active","Exited"))</f>
        <v/>
      </c>
      <c r="E203" s="9"/>
      <c r="F203" s="9"/>
      <c r="G203" s="9"/>
      <c r="H203" s="10" t="str">
        <f aca="false">IF(OR(B203="",I203=""),"",IF(IF(J203="",AsOf,J203)-I203&gt;=Settings!$C$13,"Permanent","Probation"))</f>
        <v/>
      </c>
      <c r="I203" s="30"/>
      <c r="J203" s="30"/>
    </row>
    <row r="204" customFormat="false" ht="15" hidden="false" customHeight="false" outlineLevel="0" collapsed="false">
      <c r="A204" s="10" t="str">
        <f aca="false">IF(B204="","",ROW()-5)</f>
        <v/>
      </c>
      <c r="B204" s="29"/>
      <c r="C204" s="9"/>
      <c r="D204" s="10" t="str">
        <f aca="false">IF(B204="","",IF(J204="","Active","Exited"))</f>
        <v/>
      </c>
      <c r="E204" s="9"/>
      <c r="F204" s="9"/>
      <c r="G204" s="9"/>
      <c r="H204" s="10" t="str">
        <f aca="false">IF(OR(B204="",I204=""),"",IF(IF(J204="",AsOf,J204)-I204&gt;=Settings!$C$13,"Permanent","Probation"))</f>
        <v/>
      </c>
      <c r="I204" s="30"/>
      <c r="J204" s="30"/>
    </row>
    <row r="205" customFormat="false" ht="15" hidden="false" customHeight="false" outlineLevel="0" collapsed="false">
      <c r="A205" s="10" t="str">
        <f aca="false">IF(B205="","",ROW()-5)</f>
        <v/>
      </c>
      <c r="B205" s="29"/>
      <c r="C205" s="9"/>
      <c r="D205" s="10" t="str">
        <f aca="false">IF(B205="","",IF(J205="","Active","Exited"))</f>
        <v/>
      </c>
      <c r="E205" s="9"/>
      <c r="F205" s="9"/>
      <c r="G205" s="9"/>
      <c r="H205" s="10" t="str">
        <f aca="false">IF(OR(B205="",I205=""),"",IF(IF(J205="",AsOf,J205)-I205&gt;=Settings!$C$13,"Permanent","Probation"))</f>
        <v/>
      </c>
      <c r="I205" s="30"/>
      <c r="J205" s="30"/>
    </row>
    <row r="206" customFormat="false" ht="15" hidden="false" customHeight="false" outlineLevel="0" collapsed="false">
      <c r="A206" s="10" t="str">
        <f aca="false">IF(B206="","",ROW()-5)</f>
        <v/>
      </c>
      <c r="B206" s="29"/>
      <c r="C206" s="9"/>
      <c r="D206" s="10" t="str">
        <f aca="false">IF(B206="","",IF(J206="","Active","Exited"))</f>
        <v/>
      </c>
      <c r="E206" s="9"/>
      <c r="F206" s="9"/>
      <c r="G206" s="9"/>
      <c r="H206" s="10" t="str">
        <f aca="false">IF(OR(B206="",I206=""),"",IF(IF(J206="",AsOf,J206)-I206&gt;=Settings!$C$13,"Permanent","Probation"))</f>
        <v/>
      </c>
      <c r="I206" s="30"/>
      <c r="J206" s="30"/>
    </row>
    <row r="207" customFormat="false" ht="15" hidden="false" customHeight="false" outlineLevel="0" collapsed="false">
      <c r="A207" s="10" t="str">
        <f aca="false">IF(B207="","",ROW()-5)</f>
        <v/>
      </c>
      <c r="B207" s="29"/>
      <c r="C207" s="9"/>
      <c r="D207" s="10" t="str">
        <f aca="false">IF(B207="","",IF(J207="","Active","Exited"))</f>
        <v/>
      </c>
      <c r="E207" s="9"/>
      <c r="F207" s="9"/>
      <c r="G207" s="9"/>
      <c r="H207" s="10" t="str">
        <f aca="false">IF(OR(B207="",I207=""),"",IF(IF(J207="",AsOf,J207)-I207&gt;=Settings!$C$13,"Permanent","Probation"))</f>
        <v/>
      </c>
      <c r="I207" s="30"/>
      <c r="J207" s="30"/>
    </row>
    <row r="208" customFormat="false" ht="15" hidden="false" customHeight="false" outlineLevel="0" collapsed="false">
      <c r="A208" s="10" t="str">
        <f aca="false">IF(B208="","",ROW()-5)</f>
        <v/>
      </c>
      <c r="B208" s="29"/>
      <c r="C208" s="9"/>
      <c r="D208" s="10" t="str">
        <f aca="false">IF(B208="","",IF(J208="","Active","Exited"))</f>
        <v/>
      </c>
      <c r="E208" s="9"/>
      <c r="F208" s="9"/>
      <c r="G208" s="9"/>
      <c r="H208" s="10" t="str">
        <f aca="false">IF(OR(B208="",I208=""),"",IF(IF(J208="",AsOf,J208)-I208&gt;=Settings!$C$13,"Permanent","Probation"))</f>
        <v/>
      </c>
      <c r="I208" s="30"/>
      <c r="J208" s="30"/>
    </row>
    <row r="209" customFormat="false" ht="15" hidden="false" customHeight="false" outlineLevel="0" collapsed="false">
      <c r="A209" s="10" t="str">
        <f aca="false">IF(B209="","",ROW()-5)</f>
        <v/>
      </c>
      <c r="B209" s="29"/>
      <c r="C209" s="9"/>
      <c r="D209" s="10" t="str">
        <f aca="false">IF(B209="","",IF(J209="","Active","Exited"))</f>
        <v/>
      </c>
      <c r="E209" s="9"/>
      <c r="F209" s="9"/>
      <c r="G209" s="9"/>
      <c r="H209" s="10" t="str">
        <f aca="false">IF(OR(B209="",I209=""),"",IF(IF(J209="",AsOf,J209)-I209&gt;=Settings!$C$13,"Permanent","Probation"))</f>
        <v/>
      </c>
      <c r="I209" s="30"/>
      <c r="J209" s="30"/>
    </row>
    <row r="210" customFormat="false" ht="15" hidden="false" customHeight="false" outlineLevel="0" collapsed="false">
      <c r="A210" s="10" t="str">
        <f aca="false">IF(B210="","",ROW()-5)</f>
        <v/>
      </c>
      <c r="B210" s="29"/>
      <c r="C210" s="9"/>
      <c r="D210" s="10" t="str">
        <f aca="false">IF(B210="","",IF(J210="","Active","Exited"))</f>
        <v/>
      </c>
      <c r="E210" s="9"/>
      <c r="F210" s="9"/>
      <c r="G210" s="9"/>
      <c r="H210" s="10" t="str">
        <f aca="false">IF(OR(B210="",I210=""),"",IF(IF(J210="",AsOf,J210)-I210&gt;=Settings!$C$13,"Permanent","Probation"))</f>
        <v/>
      </c>
      <c r="I210" s="30"/>
      <c r="J210" s="30"/>
    </row>
    <row r="211" customFormat="false" ht="15" hidden="false" customHeight="false" outlineLevel="0" collapsed="false">
      <c r="A211" s="10" t="str">
        <f aca="false">IF(B211="","",ROW()-5)</f>
        <v/>
      </c>
      <c r="B211" s="29"/>
      <c r="C211" s="9"/>
      <c r="D211" s="10" t="str">
        <f aca="false">IF(B211="","",IF(J211="","Active","Exited"))</f>
        <v/>
      </c>
      <c r="E211" s="9"/>
      <c r="F211" s="9"/>
      <c r="G211" s="9"/>
      <c r="H211" s="10" t="str">
        <f aca="false">IF(OR(B211="",I211=""),"",IF(IF(J211="",AsOf,J211)-I211&gt;=Settings!$C$13,"Permanent","Probation"))</f>
        <v/>
      </c>
      <c r="I211" s="30"/>
      <c r="J211" s="30"/>
    </row>
    <row r="212" customFormat="false" ht="15" hidden="false" customHeight="false" outlineLevel="0" collapsed="false">
      <c r="A212" s="10" t="str">
        <f aca="false">IF(B212="","",ROW()-5)</f>
        <v/>
      </c>
      <c r="B212" s="29"/>
      <c r="C212" s="9"/>
      <c r="D212" s="10" t="str">
        <f aca="false">IF(B212="","",IF(J212="","Active","Exited"))</f>
        <v/>
      </c>
      <c r="E212" s="9"/>
      <c r="F212" s="9"/>
      <c r="G212" s="9"/>
      <c r="H212" s="10" t="str">
        <f aca="false">IF(OR(B212="",I212=""),"",IF(IF(J212="",AsOf,J212)-I212&gt;=Settings!$C$13,"Permanent","Probation"))</f>
        <v/>
      </c>
      <c r="I212" s="30"/>
      <c r="J212" s="30"/>
    </row>
    <row r="213" customFormat="false" ht="15" hidden="false" customHeight="false" outlineLevel="0" collapsed="false">
      <c r="A213" s="10" t="str">
        <f aca="false">IF(B213="","",ROW()-5)</f>
        <v/>
      </c>
      <c r="B213" s="29"/>
      <c r="C213" s="9"/>
      <c r="D213" s="10" t="str">
        <f aca="false">IF(B213="","",IF(J213="","Active","Exited"))</f>
        <v/>
      </c>
      <c r="E213" s="9"/>
      <c r="F213" s="9"/>
      <c r="G213" s="9"/>
      <c r="H213" s="10" t="str">
        <f aca="false">IF(OR(B213="",I213=""),"",IF(IF(J213="",AsOf,J213)-I213&gt;=Settings!$C$13,"Permanent","Probation"))</f>
        <v/>
      </c>
      <c r="I213" s="30"/>
      <c r="J213" s="30"/>
    </row>
    <row r="214" customFormat="false" ht="15" hidden="false" customHeight="false" outlineLevel="0" collapsed="false">
      <c r="A214" s="10" t="str">
        <f aca="false">IF(B214="","",ROW()-5)</f>
        <v/>
      </c>
      <c r="B214" s="29"/>
      <c r="C214" s="9"/>
      <c r="D214" s="10" t="str">
        <f aca="false">IF(B214="","",IF(J214="","Active","Exited"))</f>
        <v/>
      </c>
      <c r="E214" s="9"/>
      <c r="F214" s="9"/>
      <c r="G214" s="9"/>
      <c r="H214" s="10" t="str">
        <f aca="false">IF(OR(B214="",I214=""),"",IF(IF(J214="",AsOf,J214)-I214&gt;=Settings!$C$13,"Permanent","Probation"))</f>
        <v/>
      </c>
      <c r="I214" s="30"/>
      <c r="J214" s="30"/>
    </row>
    <row r="215" customFormat="false" ht="15" hidden="false" customHeight="false" outlineLevel="0" collapsed="false">
      <c r="A215" s="10" t="str">
        <f aca="false">IF(B215="","",ROW()-5)</f>
        <v/>
      </c>
      <c r="B215" s="29"/>
      <c r="C215" s="9"/>
      <c r="D215" s="10" t="str">
        <f aca="false">IF(B215="","",IF(J215="","Active","Exited"))</f>
        <v/>
      </c>
      <c r="E215" s="9"/>
      <c r="F215" s="9"/>
      <c r="G215" s="9"/>
      <c r="H215" s="10" t="str">
        <f aca="false">IF(OR(B215="",I215=""),"",IF(IF(J215="",AsOf,J215)-I215&gt;=Settings!$C$13,"Permanent","Probation"))</f>
        <v/>
      </c>
      <c r="I215" s="30"/>
      <c r="J215" s="30"/>
    </row>
    <row r="216" customFormat="false" ht="15" hidden="false" customHeight="false" outlineLevel="0" collapsed="false">
      <c r="A216" s="10" t="str">
        <f aca="false">IF(B216="","",ROW()-5)</f>
        <v/>
      </c>
      <c r="B216" s="29"/>
      <c r="C216" s="9"/>
      <c r="D216" s="10" t="str">
        <f aca="false">IF(B216="","",IF(J216="","Active","Exited"))</f>
        <v/>
      </c>
      <c r="E216" s="9"/>
      <c r="F216" s="9"/>
      <c r="G216" s="9"/>
      <c r="H216" s="10" t="str">
        <f aca="false">IF(OR(B216="",I216=""),"",IF(IF(J216="",AsOf,J216)-I216&gt;=Settings!$C$13,"Permanent","Probation"))</f>
        <v/>
      </c>
      <c r="I216" s="30"/>
      <c r="J216" s="30"/>
    </row>
    <row r="217" customFormat="false" ht="15" hidden="false" customHeight="false" outlineLevel="0" collapsed="false">
      <c r="A217" s="10" t="str">
        <f aca="false">IF(B217="","",ROW()-5)</f>
        <v/>
      </c>
      <c r="B217" s="29"/>
      <c r="C217" s="9"/>
      <c r="D217" s="10" t="str">
        <f aca="false">IF(B217="","",IF(J217="","Active","Exited"))</f>
        <v/>
      </c>
      <c r="E217" s="9"/>
      <c r="F217" s="9"/>
      <c r="G217" s="9"/>
      <c r="H217" s="10" t="str">
        <f aca="false">IF(OR(B217="",I217=""),"",IF(IF(J217="",AsOf,J217)-I217&gt;=Settings!$C$13,"Permanent","Probation"))</f>
        <v/>
      </c>
      <c r="I217" s="30"/>
      <c r="J217" s="30"/>
    </row>
    <row r="218" customFormat="false" ht="15" hidden="false" customHeight="false" outlineLevel="0" collapsed="false">
      <c r="A218" s="10" t="str">
        <f aca="false">IF(B218="","",ROW()-5)</f>
        <v/>
      </c>
      <c r="B218" s="29"/>
      <c r="C218" s="9"/>
      <c r="D218" s="10" t="str">
        <f aca="false">IF(B218="","",IF(J218="","Active","Exited"))</f>
        <v/>
      </c>
      <c r="E218" s="9"/>
      <c r="F218" s="9"/>
      <c r="G218" s="9"/>
      <c r="H218" s="10" t="str">
        <f aca="false">IF(OR(B218="",I218=""),"",IF(IF(J218="",AsOf,J218)-I218&gt;=Settings!$C$13,"Permanent","Probation"))</f>
        <v/>
      </c>
      <c r="I218" s="30"/>
      <c r="J218" s="30"/>
    </row>
    <row r="219" customFormat="false" ht="15" hidden="false" customHeight="false" outlineLevel="0" collapsed="false">
      <c r="A219" s="10" t="str">
        <f aca="false">IF(B219="","",ROW()-5)</f>
        <v/>
      </c>
      <c r="B219" s="29"/>
      <c r="C219" s="9"/>
      <c r="D219" s="10" t="str">
        <f aca="false">IF(B219="","",IF(J219="","Active","Exited"))</f>
        <v/>
      </c>
      <c r="E219" s="9"/>
      <c r="F219" s="9"/>
      <c r="G219" s="9"/>
      <c r="H219" s="10" t="str">
        <f aca="false">IF(OR(B219="",I219=""),"",IF(IF(J219="",AsOf,J219)-I219&gt;=Settings!$C$13,"Permanent","Probation"))</f>
        <v/>
      </c>
      <c r="I219" s="30"/>
      <c r="J219" s="30"/>
    </row>
    <row r="220" customFormat="false" ht="15" hidden="false" customHeight="false" outlineLevel="0" collapsed="false">
      <c r="A220" s="10" t="str">
        <f aca="false">IF(B220="","",ROW()-5)</f>
        <v/>
      </c>
      <c r="B220" s="29"/>
      <c r="C220" s="9"/>
      <c r="D220" s="10" t="str">
        <f aca="false">IF(B220="","",IF(J220="","Active","Exited"))</f>
        <v/>
      </c>
      <c r="E220" s="9"/>
      <c r="F220" s="9"/>
      <c r="G220" s="9"/>
      <c r="H220" s="10" t="str">
        <f aca="false">IF(OR(B220="",I220=""),"",IF(IF(J220="",AsOf,J220)-I220&gt;=Settings!$C$13,"Permanent","Probation"))</f>
        <v/>
      </c>
      <c r="I220" s="30"/>
      <c r="J220" s="30"/>
    </row>
    <row r="221" customFormat="false" ht="15" hidden="false" customHeight="false" outlineLevel="0" collapsed="false">
      <c r="A221" s="10" t="str">
        <f aca="false">IF(B221="","",ROW()-5)</f>
        <v/>
      </c>
      <c r="B221" s="29"/>
      <c r="C221" s="9"/>
      <c r="D221" s="10" t="str">
        <f aca="false">IF(B221="","",IF(J221="","Active","Exited"))</f>
        <v/>
      </c>
      <c r="E221" s="9"/>
      <c r="F221" s="9"/>
      <c r="G221" s="9"/>
      <c r="H221" s="10" t="str">
        <f aca="false">IF(OR(B221="",I221=""),"",IF(IF(J221="",AsOf,J221)-I221&gt;=Settings!$C$13,"Permanent","Probation"))</f>
        <v/>
      </c>
      <c r="I221" s="30"/>
      <c r="J221" s="30"/>
    </row>
    <row r="222" customFormat="false" ht="15" hidden="false" customHeight="false" outlineLevel="0" collapsed="false">
      <c r="A222" s="10" t="str">
        <f aca="false">IF(B222="","",ROW()-5)</f>
        <v/>
      </c>
      <c r="B222" s="29"/>
      <c r="C222" s="9"/>
      <c r="D222" s="10" t="str">
        <f aca="false">IF(B222="","",IF(J222="","Active","Exited"))</f>
        <v/>
      </c>
      <c r="E222" s="9"/>
      <c r="F222" s="9"/>
      <c r="G222" s="9"/>
      <c r="H222" s="10" t="str">
        <f aca="false">IF(OR(B222="",I222=""),"",IF(IF(J222="",AsOf,J222)-I222&gt;=Settings!$C$13,"Permanent","Probation"))</f>
        <v/>
      </c>
      <c r="I222" s="30"/>
      <c r="J222" s="30"/>
    </row>
    <row r="223" customFormat="false" ht="15" hidden="false" customHeight="false" outlineLevel="0" collapsed="false">
      <c r="A223" s="10" t="str">
        <f aca="false">IF(B223="","",ROW()-5)</f>
        <v/>
      </c>
      <c r="B223" s="29"/>
      <c r="C223" s="9"/>
      <c r="D223" s="10" t="str">
        <f aca="false">IF(B223="","",IF(J223="","Active","Exited"))</f>
        <v/>
      </c>
      <c r="E223" s="9"/>
      <c r="F223" s="9"/>
      <c r="G223" s="9"/>
      <c r="H223" s="10" t="str">
        <f aca="false">IF(OR(B223="",I223=""),"",IF(IF(J223="",AsOf,J223)-I223&gt;=Settings!$C$13,"Permanent","Probation"))</f>
        <v/>
      </c>
      <c r="I223" s="30"/>
      <c r="J223" s="30"/>
    </row>
    <row r="224" customFormat="false" ht="15" hidden="false" customHeight="false" outlineLevel="0" collapsed="false">
      <c r="A224" s="10" t="str">
        <f aca="false">IF(B224="","",ROW()-5)</f>
        <v/>
      </c>
      <c r="B224" s="29"/>
      <c r="C224" s="9"/>
      <c r="D224" s="10" t="str">
        <f aca="false">IF(B224="","",IF(J224="","Active","Exited"))</f>
        <v/>
      </c>
      <c r="E224" s="9"/>
      <c r="F224" s="9"/>
      <c r="G224" s="9"/>
      <c r="H224" s="10" t="str">
        <f aca="false">IF(OR(B224="",I224=""),"",IF(IF(J224="",AsOf,J224)-I224&gt;=Settings!$C$13,"Permanent","Probation"))</f>
        <v/>
      </c>
      <c r="I224" s="30"/>
      <c r="J224" s="30"/>
    </row>
    <row r="225" customFormat="false" ht="15" hidden="false" customHeight="false" outlineLevel="0" collapsed="false">
      <c r="A225" s="10" t="str">
        <f aca="false">IF(B225="","",ROW()-5)</f>
        <v/>
      </c>
      <c r="B225" s="29"/>
      <c r="C225" s="9"/>
      <c r="D225" s="10" t="str">
        <f aca="false">IF(B225="","",IF(J225="","Active","Exited"))</f>
        <v/>
      </c>
      <c r="E225" s="9"/>
      <c r="F225" s="9"/>
      <c r="G225" s="9"/>
      <c r="H225" s="10" t="str">
        <f aca="false">IF(OR(B225="",I225=""),"",IF(IF(J225="",AsOf,J225)-I225&gt;=Settings!$C$13,"Permanent","Probation"))</f>
        <v/>
      </c>
      <c r="I225" s="30"/>
      <c r="J225" s="30"/>
    </row>
    <row r="226" customFormat="false" ht="15" hidden="false" customHeight="false" outlineLevel="0" collapsed="false">
      <c r="A226" s="10" t="str">
        <f aca="false">IF(B226="","",ROW()-5)</f>
        <v/>
      </c>
      <c r="B226" s="29"/>
      <c r="C226" s="9"/>
      <c r="D226" s="10" t="str">
        <f aca="false">IF(B226="","",IF(J226="","Active","Exited"))</f>
        <v/>
      </c>
      <c r="E226" s="9"/>
      <c r="F226" s="9"/>
      <c r="G226" s="9"/>
      <c r="H226" s="10" t="str">
        <f aca="false">IF(OR(B226="",I226=""),"",IF(IF(J226="",AsOf,J226)-I226&gt;=Settings!$C$13,"Permanent","Probation"))</f>
        <v/>
      </c>
      <c r="I226" s="30"/>
      <c r="J226" s="30"/>
    </row>
    <row r="227" customFormat="false" ht="15" hidden="false" customHeight="false" outlineLevel="0" collapsed="false">
      <c r="A227" s="10" t="str">
        <f aca="false">IF(B227="","",ROW()-5)</f>
        <v/>
      </c>
      <c r="B227" s="29"/>
      <c r="C227" s="9"/>
      <c r="D227" s="10" t="str">
        <f aca="false">IF(B227="","",IF(J227="","Active","Exited"))</f>
        <v/>
      </c>
      <c r="E227" s="9"/>
      <c r="F227" s="9"/>
      <c r="G227" s="9"/>
      <c r="H227" s="10" t="str">
        <f aca="false">IF(OR(B227="",I227=""),"",IF(IF(J227="",AsOf,J227)-I227&gt;=Settings!$C$13,"Permanent","Probation"))</f>
        <v/>
      </c>
      <c r="I227" s="30"/>
      <c r="J227" s="30"/>
    </row>
    <row r="228" customFormat="false" ht="15" hidden="false" customHeight="false" outlineLevel="0" collapsed="false">
      <c r="A228" s="10" t="str">
        <f aca="false">IF(B228="","",ROW()-5)</f>
        <v/>
      </c>
      <c r="B228" s="29"/>
      <c r="C228" s="9"/>
      <c r="D228" s="10" t="str">
        <f aca="false">IF(B228="","",IF(J228="","Active","Exited"))</f>
        <v/>
      </c>
      <c r="E228" s="9"/>
      <c r="F228" s="9"/>
      <c r="G228" s="9"/>
      <c r="H228" s="10" t="str">
        <f aca="false">IF(OR(B228="",I228=""),"",IF(IF(J228="",AsOf,J228)-I228&gt;=Settings!$C$13,"Permanent","Probation"))</f>
        <v/>
      </c>
      <c r="I228" s="30"/>
      <c r="J228" s="30"/>
    </row>
    <row r="229" customFormat="false" ht="15" hidden="false" customHeight="false" outlineLevel="0" collapsed="false">
      <c r="A229" s="10" t="str">
        <f aca="false">IF(B229="","",ROW()-5)</f>
        <v/>
      </c>
      <c r="B229" s="29"/>
      <c r="C229" s="9"/>
      <c r="D229" s="10" t="str">
        <f aca="false">IF(B229="","",IF(J229="","Active","Exited"))</f>
        <v/>
      </c>
      <c r="E229" s="9"/>
      <c r="F229" s="9"/>
      <c r="G229" s="9"/>
      <c r="H229" s="10" t="str">
        <f aca="false">IF(OR(B229="",I229=""),"",IF(IF(J229="",AsOf,J229)-I229&gt;=Settings!$C$13,"Permanent","Probation"))</f>
        <v/>
      </c>
      <c r="I229" s="30"/>
      <c r="J229" s="30"/>
    </row>
    <row r="230" customFormat="false" ht="15" hidden="false" customHeight="false" outlineLevel="0" collapsed="false">
      <c r="A230" s="10" t="str">
        <f aca="false">IF(B230="","",ROW()-5)</f>
        <v/>
      </c>
      <c r="B230" s="29"/>
      <c r="C230" s="9"/>
      <c r="D230" s="10" t="str">
        <f aca="false">IF(B230="","",IF(J230="","Active","Exited"))</f>
        <v/>
      </c>
      <c r="E230" s="9"/>
      <c r="F230" s="9"/>
      <c r="G230" s="9"/>
      <c r="H230" s="10" t="str">
        <f aca="false">IF(OR(B230="",I230=""),"",IF(IF(J230="",AsOf,J230)-I230&gt;=Settings!$C$13,"Permanent","Probation"))</f>
        <v/>
      </c>
      <c r="I230" s="30"/>
      <c r="J230" s="30"/>
    </row>
    <row r="231" customFormat="false" ht="15" hidden="false" customHeight="false" outlineLevel="0" collapsed="false">
      <c r="A231" s="10" t="str">
        <f aca="false">IF(B231="","",ROW()-5)</f>
        <v/>
      </c>
      <c r="B231" s="29"/>
      <c r="C231" s="9"/>
      <c r="D231" s="10" t="str">
        <f aca="false">IF(B231="","",IF(J231="","Active","Exited"))</f>
        <v/>
      </c>
      <c r="E231" s="9"/>
      <c r="F231" s="9"/>
      <c r="G231" s="9"/>
      <c r="H231" s="10" t="str">
        <f aca="false">IF(OR(B231="",I231=""),"",IF(IF(J231="",AsOf,J231)-I231&gt;=Settings!$C$13,"Permanent","Probation"))</f>
        <v/>
      </c>
      <c r="I231" s="30"/>
      <c r="J231" s="30"/>
    </row>
    <row r="232" customFormat="false" ht="15" hidden="false" customHeight="false" outlineLevel="0" collapsed="false">
      <c r="A232" s="10" t="str">
        <f aca="false">IF(B232="","",ROW()-5)</f>
        <v/>
      </c>
      <c r="B232" s="29"/>
      <c r="C232" s="9"/>
      <c r="D232" s="10" t="str">
        <f aca="false">IF(B232="","",IF(J232="","Active","Exited"))</f>
        <v/>
      </c>
      <c r="E232" s="9"/>
      <c r="F232" s="9"/>
      <c r="G232" s="9"/>
      <c r="H232" s="10" t="str">
        <f aca="false">IF(OR(B232="",I232=""),"",IF(IF(J232="",AsOf,J232)-I232&gt;=Settings!$C$13,"Permanent","Probation"))</f>
        <v/>
      </c>
      <c r="I232" s="30"/>
      <c r="J232" s="30"/>
    </row>
    <row r="233" customFormat="false" ht="15" hidden="false" customHeight="false" outlineLevel="0" collapsed="false">
      <c r="A233" s="10" t="str">
        <f aca="false">IF(B233="","",ROW()-5)</f>
        <v/>
      </c>
      <c r="B233" s="29"/>
      <c r="C233" s="9"/>
      <c r="D233" s="10" t="str">
        <f aca="false">IF(B233="","",IF(J233="","Active","Exited"))</f>
        <v/>
      </c>
      <c r="E233" s="9"/>
      <c r="F233" s="9"/>
      <c r="G233" s="9"/>
      <c r="H233" s="10" t="str">
        <f aca="false">IF(OR(B233="",I233=""),"",IF(IF(J233="",AsOf,J233)-I233&gt;=Settings!$C$13,"Permanent","Probation"))</f>
        <v/>
      </c>
      <c r="I233" s="30"/>
      <c r="J233" s="30"/>
    </row>
    <row r="234" customFormat="false" ht="15" hidden="false" customHeight="false" outlineLevel="0" collapsed="false">
      <c r="A234" s="10" t="str">
        <f aca="false">IF(B234="","",ROW()-5)</f>
        <v/>
      </c>
      <c r="B234" s="29"/>
      <c r="C234" s="9"/>
      <c r="D234" s="10" t="str">
        <f aca="false">IF(B234="","",IF(J234="","Active","Exited"))</f>
        <v/>
      </c>
      <c r="E234" s="9"/>
      <c r="F234" s="9"/>
      <c r="G234" s="9"/>
      <c r="H234" s="10" t="str">
        <f aca="false">IF(OR(B234="",I234=""),"",IF(IF(J234="",AsOf,J234)-I234&gt;=Settings!$C$13,"Permanent","Probation"))</f>
        <v/>
      </c>
      <c r="I234" s="30"/>
      <c r="J234" s="30"/>
    </row>
    <row r="235" customFormat="false" ht="15" hidden="false" customHeight="false" outlineLevel="0" collapsed="false">
      <c r="A235" s="10" t="str">
        <f aca="false">IF(B235="","",ROW()-5)</f>
        <v/>
      </c>
      <c r="B235" s="29"/>
      <c r="C235" s="9"/>
      <c r="D235" s="10" t="str">
        <f aca="false">IF(B235="","",IF(J235="","Active","Exited"))</f>
        <v/>
      </c>
      <c r="E235" s="9"/>
      <c r="F235" s="9"/>
      <c r="G235" s="9"/>
      <c r="H235" s="10" t="str">
        <f aca="false">IF(OR(B235="",I235=""),"",IF(IF(J235="",AsOf,J235)-I235&gt;=Settings!$C$13,"Permanent","Probation"))</f>
        <v/>
      </c>
      <c r="I235" s="30"/>
      <c r="J235" s="30"/>
    </row>
    <row r="236" customFormat="false" ht="15" hidden="false" customHeight="false" outlineLevel="0" collapsed="false">
      <c r="A236" s="10" t="str">
        <f aca="false">IF(B236="","",ROW()-5)</f>
        <v/>
      </c>
      <c r="B236" s="29"/>
      <c r="C236" s="9"/>
      <c r="D236" s="10" t="str">
        <f aca="false">IF(B236="","",IF(J236="","Active","Exited"))</f>
        <v/>
      </c>
      <c r="E236" s="9"/>
      <c r="F236" s="9"/>
      <c r="G236" s="9"/>
      <c r="H236" s="10" t="str">
        <f aca="false">IF(OR(B236="",I236=""),"",IF(IF(J236="",AsOf,J236)-I236&gt;=Settings!$C$13,"Permanent","Probation"))</f>
        <v/>
      </c>
      <c r="I236" s="30"/>
      <c r="J236" s="30"/>
    </row>
    <row r="237" customFormat="false" ht="15" hidden="false" customHeight="false" outlineLevel="0" collapsed="false">
      <c r="A237" s="10" t="str">
        <f aca="false">IF(B237="","",ROW()-5)</f>
        <v/>
      </c>
      <c r="B237" s="29"/>
      <c r="C237" s="9"/>
      <c r="D237" s="10" t="str">
        <f aca="false">IF(B237="","",IF(J237="","Active","Exited"))</f>
        <v/>
      </c>
      <c r="E237" s="9"/>
      <c r="F237" s="9"/>
      <c r="G237" s="9"/>
      <c r="H237" s="10" t="str">
        <f aca="false">IF(OR(B237="",I237=""),"",IF(IF(J237="",AsOf,J237)-I237&gt;=Settings!$C$13,"Permanent","Probation"))</f>
        <v/>
      </c>
      <c r="I237" s="30"/>
      <c r="J237" s="30"/>
    </row>
    <row r="238" customFormat="false" ht="15" hidden="false" customHeight="false" outlineLevel="0" collapsed="false">
      <c r="A238" s="10" t="str">
        <f aca="false">IF(B238="","",ROW()-5)</f>
        <v/>
      </c>
      <c r="B238" s="29"/>
      <c r="C238" s="9"/>
      <c r="D238" s="10" t="str">
        <f aca="false">IF(B238="","",IF(J238="","Active","Exited"))</f>
        <v/>
      </c>
      <c r="E238" s="9"/>
      <c r="F238" s="9"/>
      <c r="G238" s="9"/>
      <c r="H238" s="10" t="str">
        <f aca="false">IF(OR(B238="",I238=""),"",IF(IF(J238="",AsOf,J238)-I238&gt;=Settings!$C$13,"Permanent","Probation"))</f>
        <v/>
      </c>
      <c r="I238" s="30"/>
      <c r="J238" s="30"/>
    </row>
    <row r="239" customFormat="false" ht="15" hidden="false" customHeight="false" outlineLevel="0" collapsed="false">
      <c r="A239" s="10" t="str">
        <f aca="false">IF(B239="","",ROW()-5)</f>
        <v/>
      </c>
      <c r="B239" s="29"/>
      <c r="C239" s="9"/>
      <c r="D239" s="10" t="str">
        <f aca="false">IF(B239="","",IF(J239="","Active","Exited"))</f>
        <v/>
      </c>
      <c r="E239" s="9"/>
      <c r="F239" s="9"/>
      <c r="G239" s="9"/>
      <c r="H239" s="10" t="str">
        <f aca="false">IF(OR(B239="",I239=""),"",IF(IF(J239="",AsOf,J239)-I239&gt;=Settings!$C$13,"Permanent","Probation"))</f>
        <v/>
      </c>
      <c r="I239" s="30"/>
      <c r="J239" s="30"/>
    </row>
    <row r="240" customFormat="false" ht="15" hidden="false" customHeight="false" outlineLevel="0" collapsed="false">
      <c r="A240" s="10" t="str">
        <f aca="false">IF(B240="","",ROW()-5)</f>
        <v/>
      </c>
      <c r="B240" s="29"/>
      <c r="C240" s="9"/>
      <c r="D240" s="10" t="str">
        <f aca="false">IF(B240="","",IF(J240="","Active","Exited"))</f>
        <v/>
      </c>
      <c r="E240" s="9"/>
      <c r="F240" s="9"/>
      <c r="G240" s="9"/>
      <c r="H240" s="10" t="str">
        <f aca="false">IF(OR(B240="",I240=""),"",IF(IF(J240="",AsOf,J240)-I240&gt;=Settings!$C$13,"Permanent","Probation"))</f>
        <v/>
      </c>
      <c r="I240" s="30"/>
      <c r="J240" s="30"/>
    </row>
    <row r="241" customFormat="false" ht="15" hidden="false" customHeight="false" outlineLevel="0" collapsed="false">
      <c r="A241" s="10" t="str">
        <f aca="false">IF(B241="","",ROW()-5)</f>
        <v/>
      </c>
      <c r="B241" s="29"/>
      <c r="C241" s="9"/>
      <c r="D241" s="10" t="str">
        <f aca="false">IF(B241="","",IF(J241="","Active","Exited"))</f>
        <v/>
      </c>
      <c r="E241" s="9"/>
      <c r="F241" s="9"/>
      <c r="G241" s="9"/>
      <c r="H241" s="10" t="str">
        <f aca="false">IF(OR(B241="",I241=""),"",IF(IF(J241="",AsOf,J241)-I241&gt;=Settings!$C$13,"Permanent","Probation"))</f>
        <v/>
      </c>
      <c r="I241" s="30"/>
      <c r="J241" s="30"/>
    </row>
    <row r="242" customFormat="false" ht="15" hidden="false" customHeight="false" outlineLevel="0" collapsed="false">
      <c r="A242" s="10" t="str">
        <f aca="false">IF(B242="","",ROW()-5)</f>
        <v/>
      </c>
      <c r="B242" s="29"/>
      <c r="C242" s="9"/>
      <c r="D242" s="10" t="str">
        <f aca="false">IF(B242="","",IF(J242="","Active","Exited"))</f>
        <v/>
      </c>
      <c r="E242" s="9"/>
      <c r="F242" s="9"/>
      <c r="G242" s="9"/>
      <c r="H242" s="10" t="str">
        <f aca="false">IF(OR(B242="",I242=""),"",IF(IF(J242="",AsOf,J242)-I242&gt;=Settings!$C$13,"Permanent","Probation"))</f>
        <v/>
      </c>
      <c r="I242" s="30"/>
      <c r="J242" s="30"/>
    </row>
    <row r="243" customFormat="false" ht="15" hidden="false" customHeight="false" outlineLevel="0" collapsed="false">
      <c r="A243" s="10" t="str">
        <f aca="false">IF(B243="","",ROW()-5)</f>
        <v/>
      </c>
      <c r="B243" s="29"/>
      <c r="C243" s="9"/>
      <c r="D243" s="10" t="str">
        <f aca="false">IF(B243="","",IF(J243="","Active","Exited"))</f>
        <v/>
      </c>
      <c r="E243" s="9"/>
      <c r="F243" s="9"/>
      <c r="G243" s="9"/>
      <c r="H243" s="10" t="str">
        <f aca="false">IF(OR(B243="",I243=""),"",IF(IF(J243="",AsOf,J243)-I243&gt;=Settings!$C$13,"Permanent","Probation"))</f>
        <v/>
      </c>
      <c r="I243" s="30"/>
      <c r="J243" s="30"/>
    </row>
    <row r="244" customFormat="false" ht="15" hidden="false" customHeight="false" outlineLevel="0" collapsed="false">
      <c r="A244" s="10" t="str">
        <f aca="false">IF(B244="","",ROW()-5)</f>
        <v/>
      </c>
      <c r="B244" s="29"/>
      <c r="C244" s="9"/>
      <c r="D244" s="10" t="str">
        <f aca="false">IF(B244="","",IF(J244="","Active","Exited"))</f>
        <v/>
      </c>
      <c r="E244" s="9"/>
      <c r="F244" s="9"/>
      <c r="G244" s="9"/>
      <c r="H244" s="10" t="str">
        <f aca="false">IF(OR(B244="",I244=""),"",IF(IF(J244="",AsOf,J244)-I244&gt;=Settings!$C$13,"Permanent","Probation"))</f>
        <v/>
      </c>
      <c r="I244" s="30"/>
      <c r="J244" s="30"/>
    </row>
    <row r="245" customFormat="false" ht="15" hidden="false" customHeight="false" outlineLevel="0" collapsed="false">
      <c r="A245" s="10" t="str">
        <f aca="false">IF(B245="","",ROW()-5)</f>
        <v/>
      </c>
      <c r="B245" s="29"/>
      <c r="C245" s="9"/>
      <c r="D245" s="10" t="str">
        <f aca="false">IF(B245="","",IF(J245="","Active","Exited"))</f>
        <v/>
      </c>
      <c r="E245" s="9"/>
      <c r="F245" s="9"/>
      <c r="G245" s="9"/>
      <c r="H245" s="10" t="str">
        <f aca="false">IF(OR(B245="",I245=""),"",IF(IF(J245="",AsOf,J245)-I245&gt;=Settings!$C$13,"Permanent","Probation"))</f>
        <v/>
      </c>
      <c r="I245" s="30"/>
      <c r="J245" s="30"/>
    </row>
    <row r="246" customFormat="false" ht="15" hidden="false" customHeight="false" outlineLevel="0" collapsed="false">
      <c r="A246" s="10" t="str">
        <f aca="false">IF(B246="","",ROW()-5)</f>
        <v/>
      </c>
      <c r="B246" s="29"/>
      <c r="C246" s="9"/>
      <c r="D246" s="10" t="str">
        <f aca="false">IF(B246="","",IF(J246="","Active","Exited"))</f>
        <v/>
      </c>
      <c r="E246" s="9"/>
      <c r="F246" s="9"/>
      <c r="G246" s="9"/>
      <c r="H246" s="10" t="str">
        <f aca="false">IF(OR(B246="",I246=""),"",IF(IF(J246="",AsOf,J246)-I246&gt;=Settings!$C$13,"Permanent","Probation"))</f>
        <v/>
      </c>
      <c r="I246" s="30"/>
      <c r="J246" s="30"/>
    </row>
    <row r="247" customFormat="false" ht="15" hidden="false" customHeight="false" outlineLevel="0" collapsed="false">
      <c r="A247" s="10" t="str">
        <f aca="false">IF(B247="","",ROW()-5)</f>
        <v/>
      </c>
      <c r="B247" s="29"/>
      <c r="C247" s="9"/>
      <c r="D247" s="10" t="str">
        <f aca="false">IF(B247="","",IF(J247="","Active","Exited"))</f>
        <v/>
      </c>
      <c r="E247" s="9"/>
      <c r="F247" s="9"/>
      <c r="G247" s="9"/>
      <c r="H247" s="10" t="str">
        <f aca="false">IF(OR(B247="",I247=""),"",IF(IF(J247="",AsOf,J247)-I247&gt;=Settings!$C$13,"Permanent","Probation"))</f>
        <v/>
      </c>
      <c r="I247" s="30"/>
      <c r="J247" s="30"/>
    </row>
    <row r="248" customFormat="false" ht="15" hidden="false" customHeight="false" outlineLevel="0" collapsed="false">
      <c r="A248" s="10" t="str">
        <f aca="false">IF(B248="","",ROW()-5)</f>
        <v/>
      </c>
      <c r="B248" s="29"/>
      <c r="C248" s="9"/>
      <c r="D248" s="10" t="str">
        <f aca="false">IF(B248="","",IF(J248="","Active","Exited"))</f>
        <v/>
      </c>
      <c r="E248" s="9"/>
      <c r="F248" s="9"/>
      <c r="G248" s="9"/>
      <c r="H248" s="10" t="str">
        <f aca="false">IF(OR(B248="",I248=""),"",IF(IF(J248="",AsOf,J248)-I248&gt;=Settings!$C$13,"Permanent","Probation"))</f>
        <v/>
      </c>
      <c r="I248" s="30"/>
      <c r="J248" s="30"/>
    </row>
    <row r="249" customFormat="false" ht="15" hidden="false" customHeight="false" outlineLevel="0" collapsed="false">
      <c r="A249" s="10" t="str">
        <f aca="false">IF(B249="","",ROW()-5)</f>
        <v/>
      </c>
      <c r="B249" s="29"/>
      <c r="C249" s="9"/>
      <c r="D249" s="10" t="str">
        <f aca="false">IF(B249="","",IF(J249="","Active","Exited"))</f>
        <v/>
      </c>
      <c r="E249" s="9"/>
      <c r="F249" s="9"/>
      <c r="G249" s="9"/>
      <c r="H249" s="10" t="str">
        <f aca="false">IF(OR(B249="",I249=""),"",IF(IF(J249="",AsOf,J249)-I249&gt;=Settings!$C$13,"Permanent","Probation"))</f>
        <v/>
      </c>
      <c r="I249" s="30"/>
      <c r="J249" s="30"/>
    </row>
    <row r="250" customFormat="false" ht="15" hidden="false" customHeight="false" outlineLevel="0" collapsed="false">
      <c r="A250" s="10" t="str">
        <f aca="false">IF(B250="","",ROW()-5)</f>
        <v/>
      </c>
      <c r="B250" s="29"/>
      <c r="C250" s="9"/>
      <c r="D250" s="10" t="str">
        <f aca="false">IF(B250="","",IF(J250="","Active","Exited"))</f>
        <v/>
      </c>
      <c r="E250" s="9"/>
      <c r="F250" s="9"/>
      <c r="G250" s="9"/>
      <c r="H250" s="10" t="str">
        <f aca="false">IF(OR(B250="",I250=""),"",IF(IF(J250="",AsOf,J250)-I250&gt;=Settings!$C$13,"Permanent","Probation"))</f>
        <v/>
      </c>
      <c r="I250" s="30"/>
      <c r="J250" s="30"/>
    </row>
    <row r="251" customFormat="false" ht="15" hidden="false" customHeight="false" outlineLevel="0" collapsed="false">
      <c r="A251" s="10" t="str">
        <f aca="false">IF(B251="","",ROW()-5)</f>
        <v/>
      </c>
      <c r="B251" s="29"/>
      <c r="C251" s="9"/>
      <c r="D251" s="10" t="str">
        <f aca="false">IF(B251="","",IF(J251="","Active","Exited"))</f>
        <v/>
      </c>
      <c r="E251" s="9"/>
      <c r="F251" s="9"/>
      <c r="G251" s="9"/>
      <c r="H251" s="10" t="str">
        <f aca="false">IF(OR(B251="",I251=""),"",IF(IF(J251="",AsOf,J251)-I251&gt;=Settings!$C$13,"Permanent","Probation"))</f>
        <v/>
      </c>
      <c r="I251" s="30"/>
      <c r="J251" s="30"/>
    </row>
    <row r="252" customFormat="false" ht="15" hidden="false" customHeight="false" outlineLevel="0" collapsed="false">
      <c r="A252" s="10" t="str">
        <f aca="false">IF(B252="","",ROW()-5)</f>
        <v/>
      </c>
      <c r="B252" s="29"/>
      <c r="C252" s="9"/>
      <c r="D252" s="10" t="str">
        <f aca="false">IF(B252="","",IF(J252="","Active","Exited"))</f>
        <v/>
      </c>
      <c r="E252" s="9"/>
      <c r="F252" s="9"/>
      <c r="G252" s="9"/>
      <c r="H252" s="10" t="str">
        <f aca="false">IF(OR(B252="",I252=""),"",IF(IF(J252="",AsOf,J252)-I252&gt;=Settings!$C$13,"Permanent","Probation"))</f>
        <v/>
      </c>
      <c r="I252" s="30"/>
      <c r="J252" s="30"/>
    </row>
    <row r="253" customFormat="false" ht="15" hidden="false" customHeight="false" outlineLevel="0" collapsed="false">
      <c r="A253" s="10" t="str">
        <f aca="false">IF(B253="","",ROW()-5)</f>
        <v/>
      </c>
      <c r="B253" s="29"/>
      <c r="C253" s="9"/>
      <c r="D253" s="10" t="str">
        <f aca="false">IF(B253="","",IF(J253="","Active","Exited"))</f>
        <v/>
      </c>
      <c r="E253" s="9"/>
      <c r="F253" s="9"/>
      <c r="G253" s="9"/>
      <c r="H253" s="10" t="str">
        <f aca="false">IF(OR(B253="",I253=""),"",IF(IF(J253="",AsOf,J253)-I253&gt;=Settings!$C$13,"Permanent","Probation"))</f>
        <v/>
      </c>
      <c r="I253" s="30"/>
      <c r="J253" s="30"/>
    </row>
    <row r="254" customFormat="false" ht="15" hidden="false" customHeight="false" outlineLevel="0" collapsed="false">
      <c r="A254" s="10" t="str">
        <f aca="false">IF(B254="","",ROW()-5)</f>
        <v/>
      </c>
      <c r="B254" s="29"/>
      <c r="C254" s="9"/>
      <c r="D254" s="10" t="str">
        <f aca="false">IF(B254="","",IF(J254="","Active","Exited"))</f>
        <v/>
      </c>
      <c r="E254" s="9"/>
      <c r="F254" s="9"/>
      <c r="G254" s="9"/>
      <c r="H254" s="10" t="str">
        <f aca="false">IF(OR(B254="",I254=""),"",IF(IF(J254="",AsOf,J254)-I254&gt;=Settings!$C$13,"Permanent","Probation"))</f>
        <v/>
      </c>
      <c r="I254" s="30"/>
      <c r="J254" s="30"/>
    </row>
    <row r="255" customFormat="false" ht="15" hidden="false" customHeight="false" outlineLevel="0" collapsed="false">
      <c r="A255" s="10" t="str">
        <f aca="false">IF(B255="","",ROW()-5)</f>
        <v/>
      </c>
      <c r="B255" s="29"/>
      <c r="C255" s="9"/>
      <c r="D255" s="10" t="str">
        <f aca="false">IF(B255="","",IF(J255="","Active","Exited"))</f>
        <v/>
      </c>
      <c r="E255" s="9"/>
      <c r="F255" s="9"/>
      <c r="G255" s="9"/>
      <c r="H255" s="10" t="str">
        <f aca="false">IF(OR(B255="",I255=""),"",IF(IF(J255="",AsOf,J255)-I255&gt;=Settings!$C$13,"Permanent","Probation"))</f>
        <v/>
      </c>
      <c r="I255" s="30"/>
      <c r="J255" s="30"/>
    </row>
    <row r="256" customFormat="false" ht="15" hidden="false" customHeight="false" outlineLevel="0" collapsed="false">
      <c r="A256" s="10" t="str">
        <f aca="false">IF(B256="","",ROW()-5)</f>
        <v/>
      </c>
      <c r="B256" s="29"/>
      <c r="C256" s="9"/>
      <c r="D256" s="10" t="str">
        <f aca="false">IF(B256="","",IF(J256="","Active","Exited"))</f>
        <v/>
      </c>
      <c r="E256" s="9"/>
      <c r="F256" s="9"/>
      <c r="G256" s="9"/>
      <c r="H256" s="10" t="str">
        <f aca="false">IF(OR(B256="",I256=""),"",IF(IF(J256="",AsOf,J256)-I256&gt;=Settings!$C$13,"Permanent","Probation"))</f>
        <v/>
      </c>
      <c r="I256" s="30"/>
      <c r="J256" s="30"/>
    </row>
    <row r="257" customFormat="false" ht="15" hidden="false" customHeight="false" outlineLevel="0" collapsed="false">
      <c r="A257" s="10" t="str">
        <f aca="false">IF(B257="","",ROW()-5)</f>
        <v/>
      </c>
      <c r="B257" s="29"/>
      <c r="C257" s="9"/>
      <c r="D257" s="10" t="str">
        <f aca="false">IF(B257="","",IF(J257="","Active","Exited"))</f>
        <v/>
      </c>
      <c r="E257" s="9"/>
      <c r="F257" s="9"/>
      <c r="G257" s="9"/>
      <c r="H257" s="10" t="str">
        <f aca="false">IF(OR(B257="",I257=""),"",IF(IF(J257="",AsOf,J257)-I257&gt;=Settings!$C$13,"Permanent","Probation"))</f>
        <v/>
      </c>
      <c r="I257" s="30"/>
      <c r="J257" s="30"/>
    </row>
    <row r="258" customFormat="false" ht="15" hidden="false" customHeight="false" outlineLevel="0" collapsed="false">
      <c r="A258" s="10" t="str">
        <f aca="false">IF(B258="","",ROW()-5)</f>
        <v/>
      </c>
      <c r="B258" s="29"/>
      <c r="C258" s="9"/>
      <c r="D258" s="10" t="str">
        <f aca="false">IF(B258="","",IF(J258="","Active","Exited"))</f>
        <v/>
      </c>
      <c r="E258" s="9"/>
      <c r="F258" s="9"/>
      <c r="G258" s="9"/>
      <c r="H258" s="10" t="str">
        <f aca="false">IF(OR(B258="",I258=""),"",IF(IF(J258="",AsOf,J258)-I258&gt;=Settings!$C$13,"Permanent","Probation"))</f>
        <v/>
      </c>
      <c r="I258" s="30"/>
      <c r="J258" s="30"/>
    </row>
    <row r="259" customFormat="false" ht="15" hidden="false" customHeight="false" outlineLevel="0" collapsed="false">
      <c r="A259" s="10" t="str">
        <f aca="false">IF(B259="","",ROW()-5)</f>
        <v/>
      </c>
      <c r="B259" s="29"/>
      <c r="C259" s="9"/>
      <c r="D259" s="10" t="str">
        <f aca="false">IF(B259="","",IF(J259="","Active","Exited"))</f>
        <v/>
      </c>
      <c r="E259" s="9"/>
      <c r="F259" s="9"/>
      <c r="G259" s="9"/>
      <c r="H259" s="10" t="str">
        <f aca="false">IF(OR(B259="",I259=""),"",IF(IF(J259="",AsOf,J259)-I259&gt;=Settings!$C$13,"Permanent","Probation"))</f>
        <v/>
      </c>
      <c r="I259" s="30"/>
      <c r="J259" s="30"/>
    </row>
    <row r="260" customFormat="false" ht="15" hidden="false" customHeight="false" outlineLevel="0" collapsed="false">
      <c r="A260" s="10" t="str">
        <f aca="false">IF(B260="","",ROW()-5)</f>
        <v/>
      </c>
      <c r="B260" s="29"/>
      <c r="C260" s="9"/>
      <c r="D260" s="10" t="str">
        <f aca="false">IF(B260="","",IF(J260="","Active","Exited"))</f>
        <v/>
      </c>
      <c r="E260" s="9"/>
      <c r="F260" s="9"/>
      <c r="G260" s="9"/>
      <c r="H260" s="10" t="str">
        <f aca="false">IF(OR(B260="",I260=""),"",IF(IF(J260="",AsOf,J260)-I260&gt;=Settings!$C$13,"Permanent","Probation"))</f>
        <v/>
      </c>
      <c r="I260" s="30"/>
      <c r="J260" s="30"/>
    </row>
    <row r="261" customFormat="false" ht="15" hidden="false" customHeight="false" outlineLevel="0" collapsed="false">
      <c r="A261" s="10" t="str">
        <f aca="false">IF(B261="","",ROW()-5)</f>
        <v/>
      </c>
      <c r="B261" s="29"/>
      <c r="C261" s="9"/>
      <c r="D261" s="10" t="str">
        <f aca="false">IF(B261="","",IF(J261="","Active","Exited"))</f>
        <v/>
      </c>
      <c r="E261" s="9"/>
      <c r="F261" s="9"/>
      <c r="G261" s="9"/>
      <c r="H261" s="10" t="str">
        <f aca="false">IF(OR(B261="",I261=""),"",IF(IF(J261="",AsOf,J261)-I261&gt;=Settings!$C$13,"Permanent","Probation"))</f>
        <v/>
      </c>
      <c r="I261" s="30"/>
      <c r="J261" s="30"/>
    </row>
    <row r="262" customFormat="false" ht="15" hidden="false" customHeight="false" outlineLevel="0" collapsed="false">
      <c r="A262" s="10" t="str">
        <f aca="false">IF(B262="","",ROW()-5)</f>
        <v/>
      </c>
      <c r="B262" s="29"/>
      <c r="C262" s="9"/>
      <c r="D262" s="10" t="str">
        <f aca="false">IF(B262="","",IF(J262="","Active","Exited"))</f>
        <v/>
      </c>
      <c r="E262" s="9"/>
      <c r="F262" s="9"/>
      <c r="G262" s="9"/>
      <c r="H262" s="10" t="str">
        <f aca="false">IF(OR(B262="",I262=""),"",IF(IF(J262="",AsOf,J262)-I262&gt;=Settings!$C$13,"Permanent","Probation"))</f>
        <v/>
      </c>
      <c r="I262" s="30"/>
      <c r="J262" s="30"/>
    </row>
    <row r="263" customFormat="false" ht="15" hidden="false" customHeight="false" outlineLevel="0" collapsed="false">
      <c r="A263" s="10" t="str">
        <f aca="false">IF(B263="","",ROW()-5)</f>
        <v/>
      </c>
      <c r="B263" s="29"/>
      <c r="C263" s="9"/>
      <c r="D263" s="10" t="str">
        <f aca="false">IF(B263="","",IF(J263="","Active","Exited"))</f>
        <v/>
      </c>
      <c r="E263" s="9"/>
      <c r="F263" s="9"/>
      <c r="G263" s="9"/>
      <c r="H263" s="10" t="str">
        <f aca="false">IF(OR(B263="",I263=""),"",IF(IF(J263="",AsOf,J263)-I263&gt;=Settings!$C$13,"Permanent","Probation"))</f>
        <v/>
      </c>
      <c r="I263" s="30"/>
      <c r="J263" s="30"/>
    </row>
    <row r="264" customFormat="false" ht="15" hidden="false" customHeight="false" outlineLevel="0" collapsed="false">
      <c r="A264" s="10" t="str">
        <f aca="false">IF(B264="","",ROW()-5)</f>
        <v/>
      </c>
      <c r="B264" s="29"/>
      <c r="C264" s="9"/>
      <c r="D264" s="10" t="str">
        <f aca="false">IF(B264="","",IF(J264="","Active","Exited"))</f>
        <v/>
      </c>
      <c r="E264" s="9"/>
      <c r="F264" s="9"/>
      <c r="G264" s="9"/>
      <c r="H264" s="10" t="str">
        <f aca="false">IF(OR(B264="",I264=""),"",IF(IF(J264="",AsOf,J264)-I264&gt;=Settings!$C$13,"Permanent","Probation"))</f>
        <v/>
      </c>
      <c r="I264" s="30"/>
      <c r="J264" s="30"/>
    </row>
    <row r="265" customFormat="false" ht="15" hidden="false" customHeight="false" outlineLevel="0" collapsed="false">
      <c r="A265" s="10" t="str">
        <f aca="false">IF(B265="","",ROW()-5)</f>
        <v/>
      </c>
      <c r="B265" s="29"/>
      <c r="C265" s="9"/>
      <c r="D265" s="10" t="str">
        <f aca="false">IF(B265="","",IF(J265="","Active","Exited"))</f>
        <v/>
      </c>
      <c r="E265" s="9"/>
      <c r="F265" s="9"/>
      <c r="G265" s="9"/>
      <c r="H265" s="10" t="str">
        <f aca="false">IF(OR(B265="",I265=""),"",IF(IF(J265="",AsOf,J265)-I265&gt;=Settings!$C$13,"Permanent","Probation"))</f>
        <v/>
      </c>
      <c r="I265" s="30"/>
      <c r="J265" s="30"/>
    </row>
    <row r="266" customFormat="false" ht="15" hidden="false" customHeight="false" outlineLevel="0" collapsed="false">
      <c r="A266" s="10" t="str">
        <f aca="false">IF(B266="","",ROW()-5)</f>
        <v/>
      </c>
      <c r="B266" s="29"/>
      <c r="C266" s="9"/>
      <c r="D266" s="10" t="str">
        <f aca="false">IF(B266="","",IF(J266="","Active","Exited"))</f>
        <v/>
      </c>
      <c r="E266" s="9"/>
      <c r="F266" s="9"/>
      <c r="G266" s="9"/>
      <c r="H266" s="10" t="str">
        <f aca="false">IF(OR(B266="",I266=""),"",IF(IF(J266="",AsOf,J266)-I266&gt;=Settings!$C$13,"Permanent","Probation"))</f>
        <v/>
      </c>
      <c r="I266" s="30"/>
      <c r="J266" s="30"/>
    </row>
    <row r="267" customFormat="false" ht="15" hidden="false" customHeight="false" outlineLevel="0" collapsed="false">
      <c r="A267" s="10" t="str">
        <f aca="false">IF(B267="","",ROW()-5)</f>
        <v/>
      </c>
      <c r="B267" s="29"/>
      <c r="C267" s="9"/>
      <c r="D267" s="10" t="str">
        <f aca="false">IF(B267="","",IF(J267="","Active","Exited"))</f>
        <v/>
      </c>
      <c r="E267" s="9"/>
      <c r="F267" s="9"/>
      <c r="G267" s="9"/>
      <c r="H267" s="10" t="str">
        <f aca="false">IF(OR(B267="",I267=""),"",IF(IF(J267="",AsOf,J267)-I267&gt;=Settings!$C$13,"Permanent","Probation"))</f>
        <v/>
      </c>
      <c r="I267" s="30"/>
      <c r="J267" s="30"/>
    </row>
    <row r="268" customFormat="false" ht="15" hidden="false" customHeight="false" outlineLevel="0" collapsed="false">
      <c r="A268" s="10" t="str">
        <f aca="false">IF(B268="","",ROW()-5)</f>
        <v/>
      </c>
      <c r="B268" s="29"/>
      <c r="C268" s="9"/>
      <c r="D268" s="10" t="str">
        <f aca="false">IF(B268="","",IF(J268="","Active","Exited"))</f>
        <v/>
      </c>
      <c r="E268" s="9"/>
      <c r="F268" s="9"/>
      <c r="G268" s="9"/>
      <c r="H268" s="10" t="str">
        <f aca="false">IF(OR(B268="",I268=""),"",IF(IF(J268="",AsOf,J268)-I268&gt;=Settings!$C$13,"Permanent","Probation"))</f>
        <v/>
      </c>
      <c r="I268" s="30"/>
      <c r="J268" s="30"/>
    </row>
    <row r="269" customFormat="false" ht="15" hidden="false" customHeight="false" outlineLevel="0" collapsed="false">
      <c r="A269" s="10" t="str">
        <f aca="false">IF(B269="","",ROW()-5)</f>
        <v/>
      </c>
      <c r="B269" s="29"/>
      <c r="C269" s="9"/>
      <c r="D269" s="10" t="str">
        <f aca="false">IF(B269="","",IF(J269="","Active","Exited"))</f>
        <v/>
      </c>
      <c r="E269" s="9"/>
      <c r="F269" s="9"/>
      <c r="G269" s="9"/>
      <c r="H269" s="10" t="str">
        <f aca="false">IF(OR(B269="",I269=""),"",IF(IF(J269="",AsOf,J269)-I269&gt;=Settings!$C$13,"Permanent","Probation"))</f>
        <v/>
      </c>
      <c r="I269" s="30"/>
      <c r="J269" s="30"/>
    </row>
    <row r="270" customFormat="false" ht="15" hidden="false" customHeight="false" outlineLevel="0" collapsed="false">
      <c r="A270" s="10" t="str">
        <f aca="false">IF(B270="","",ROW()-5)</f>
        <v/>
      </c>
      <c r="B270" s="29"/>
      <c r="C270" s="9"/>
      <c r="D270" s="10" t="str">
        <f aca="false">IF(B270="","",IF(J270="","Active","Exited"))</f>
        <v/>
      </c>
      <c r="E270" s="9"/>
      <c r="F270" s="9"/>
      <c r="G270" s="9"/>
      <c r="H270" s="10" t="str">
        <f aca="false">IF(OR(B270="",I270=""),"",IF(IF(J270="",AsOf,J270)-I270&gt;=Settings!$C$13,"Permanent","Probation"))</f>
        <v/>
      </c>
      <c r="I270" s="30"/>
      <c r="J270" s="30"/>
    </row>
    <row r="271" customFormat="false" ht="15" hidden="false" customHeight="false" outlineLevel="0" collapsed="false">
      <c r="A271" s="10" t="str">
        <f aca="false">IF(B271="","",ROW()-5)</f>
        <v/>
      </c>
      <c r="B271" s="29"/>
      <c r="C271" s="9"/>
      <c r="D271" s="10" t="str">
        <f aca="false">IF(B271="","",IF(J271="","Active","Exited"))</f>
        <v/>
      </c>
      <c r="E271" s="9"/>
      <c r="F271" s="9"/>
      <c r="G271" s="9"/>
      <c r="H271" s="10" t="str">
        <f aca="false">IF(OR(B271="",I271=""),"",IF(IF(J271="",AsOf,J271)-I271&gt;=Settings!$C$13,"Permanent","Probation"))</f>
        <v/>
      </c>
      <c r="I271" s="30"/>
      <c r="J271" s="30"/>
    </row>
    <row r="272" customFormat="false" ht="15" hidden="false" customHeight="false" outlineLevel="0" collapsed="false">
      <c r="A272" s="10" t="str">
        <f aca="false">IF(B272="","",ROW()-5)</f>
        <v/>
      </c>
      <c r="B272" s="29"/>
      <c r="C272" s="9"/>
      <c r="D272" s="10" t="str">
        <f aca="false">IF(B272="","",IF(J272="","Active","Exited"))</f>
        <v/>
      </c>
      <c r="E272" s="9"/>
      <c r="F272" s="9"/>
      <c r="G272" s="9"/>
      <c r="H272" s="10" t="str">
        <f aca="false">IF(OR(B272="",I272=""),"",IF(IF(J272="",AsOf,J272)-I272&gt;=Settings!$C$13,"Permanent","Probation"))</f>
        <v/>
      </c>
      <c r="I272" s="30"/>
      <c r="J272" s="30"/>
    </row>
    <row r="273" customFormat="false" ht="15" hidden="false" customHeight="false" outlineLevel="0" collapsed="false">
      <c r="A273" s="10" t="str">
        <f aca="false">IF(B273="","",ROW()-5)</f>
        <v/>
      </c>
      <c r="B273" s="29"/>
      <c r="C273" s="9"/>
      <c r="D273" s="10" t="str">
        <f aca="false">IF(B273="","",IF(J273="","Active","Exited"))</f>
        <v/>
      </c>
      <c r="E273" s="9"/>
      <c r="F273" s="9"/>
      <c r="G273" s="9"/>
      <c r="H273" s="10" t="str">
        <f aca="false">IF(OR(B273="",I273=""),"",IF(IF(J273="",AsOf,J273)-I273&gt;=Settings!$C$13,"Permanent","Probation"))</f>
        <v/>
      </c>
      <c r="I273" s="30"/>
      <c r="J273" s="30"/>
    </row>
    <row r="274" customFormat="false" ht="15" hidden="false" customHeight="false" outlineLevel="0" collapsed="false">
      <c r="A274" s="10" t="str">
        <f aca="false">IF(B274="","",ROW()-5)</f>
        <v/>
      </c>
      <c r="B274" s="29"/>
      <c r="C274" s="9"/>
      <c r="D274" s="10" t="str">
        <f aca="false">IF(B274="","",IF(J274="","Active","Exited"))</f>
        <v/>
      </c>
      <c r="E274" s="9"/>
      <c r="F274" s="9"/>
      <c r="G274" s="9"/>
      <c r="H274" s="10" t="str">
        <f aca="false">IF(OR(B274="",I274=""),"",IF(IF(J274="",AsOf,J274)-I274&gt;=Settings!$C$13,"Permanent","Probation"))</f>
        <v/>
      </c>
      <c r="I274" s="30"/>
      <c r="J274" s="30"/>
    </row>
    <row r="275" customFormat="false" ht="15" hidden="false" customHeight="false" outlineLevel="0" collapsed="false">
      <c r="A275" s="10" t="str">
        <f aca="false">IF(B275="","",ROW()-5)</f>
        <v/>
      </c>
      <c r="B275" s="29"/>
      <c r="C275" s="9"/>
      <c r="D275" s="10" t="str">
        <f aca="false">IF(B275="","",IF(J275="","Active","Exited"))</f>
        <v/>
      </c>
      <c r="E275" s="9"/>
      <c r="F275" s="9"/>
      <c r="G275" s="9"/>
      <c r="H275" s="10" t="str">
        <f aca="false">IF(OR(B275="",I275=""),"",IF(IF(J275="",AsOf,J275)-I275&gt;=Settings!$C$13,"Permanent","Probation"))</f>
        <v/>
      </c>
      <c r="I275" s="30"/>
      <c r="J275" s="30"/>
    </row>
    <row r="276" customFormat="false" ht="15" hidden="false" customHeight="false" outlineLevel="0" collapsed="false">
      <c r="A276" s="10" t="str">
        <f aca="false">IF(B276="","",ROW()-5)</f>
        <v/>
      </c>
      <c r="B276" s="29"/>
      <c r="C276" s="9"/>
      <c r="D276" s="10" t="str">
        <f aca="false">IF(B276="","",IF(J276="","Active","Exited"))</f>
        <v/>
      </c>
      <c r="E276" s="9"/>
      <c r="F276" s="9"/>
      <c r="G276" s="9"/>
      <c r="H276" s="10" t="str">
        <f aca="false">IF(OR(B276="",I276=""),"",IF(IF(J276="",AsOf,J276)-I276&gt;=Settings!$C$13,"Permanent","Probation"))</f>
        <v/>
      </c>
      <c r="I276" s="30"/>
      <c r="J276" s="30"/>
    </row>
    <row r="277" customFormat="false" ht="15" hidden="false" customHeight="false" outlineLevel="0" collapsed="false">
      <c r="A277" s="10" t="str">
        <f aca="false">IF(B277="","",ROW()-5)</f>
        <v/>
      </c>
      <c r="B277" s="29"/>
      <c r="C277" s="9"/>
      <c r="D277" s="10" t="str">
        <f aca="false">IF(B277="","",IF(J277="","Active","Exited"))</f>
        <v/>
      </c>
      <c r="E277" s="9"/>
      <c r="F277" s="9"/>
      <c r="G277" s="9"/>
      <c r="H277" s="10" t="str">
        <f aca="false">IF(OR(B277="",I277=""),"",IF(IF(J277="",AsOf,J277)-I277&gt;=Settings!$C$13,"Permanent","Probation"))</f>
        <v/>
      </c>
      <c r="I277" s="30"/>
      <c r="J277" s="30"/>
    </row>
    <row r="278" customFormat="false" ht="15" hidden="false" customHeight="false" outlineLevel="0" collapsed="false">
      <c r="A278" s="10" t="str">
        <f aca="false">IF(B278="","",ROW()-5)</f>
        <v/>
      </c>
      <c r="B278" s="29"/>
      <c r="C278" s="9"/>
      <c r="D278" s="10" t="str">
        <f aca="false">IF(B278="","",IF(J278="","Active","Exited"))</f>
        <v/>
      </c>
      <c r="E278" s="9"/>
      <c r="F278" s="9"/>
      <c r="G278" s="9"/>
      <c r="H278" s="10" t="str">
        <f aca="false">IF(OR(B278="",I278=""),"",IF(IF(J278="",AsOf,J278)-I278&gt;=Settings!$C$13,"Permanent","Probation"))</f>
        <v/>
      </c>
      <c r="I278" s="30"/>
      <c r="J278" s="30"/>
    </row>
    <row r="279" customFormat="false" ht="15" hidden="false" customHeight="false" outlineLevel="0" collapsed="false">
      <c r="A279" s="10" t="str">
        <f aca="false">IF(B279="","",ROW()-5)</f>
        <v/>
      </c>
      <c r="B279" s="29"/>
      <c r="C279" s="9"/>
      <c r="D279" s="10" t="str">
        <f aca="false">IF(B279="","",IF(J279="","Active","Exited"))</f>
        <v/>
      </c>
      <c r="E279" s="9"/>
      <c r="F279" s="9"/>
      <c r="G279" s="9"/>
      <c r="H279" s="10" t="str">
        <f aca="false">IF(OR(B279="",I279=""),"",IF(IF(J279="",AsOf,J279)-I279&gt;=Settings!$C$13,"Permanent","Probation"))</f>
        <v/>
      </c>
      <c r="I279" s="30"/>
      <c r="J279" s="30"/>
    </row>
    <row r="280" customFormat="false" ht="15" hidden="false" customHeight="false" outlineLevel="0" collapsed="false">
      <c r="A280" s="10" t="str">
        <f aca="false">IF(B280="","",ROW()-5)</f>
        <v/>
      </c>
      <c r="B280" s="29"/>
      <c r="C280" s="9"/>
      <c r="D280" s="10" t="str">
        <f aca="false">IF(B280="","",IF(J280="","Active","Exited"))</f>
        <v/>
      </c>
      <c r="E280" s="9"/>
      <c r="F280" s="9"/>
      <c r="G280" s="9"/>
      <c r="H280" s="10" t="str">
        <f aca="false">IF(OR(B280="",I280=""),"",IF(IF(J280="",AsOf,J280)-I280&gt;=Settings!$C$13,"Permanent","Probation"))</f>
        <v/>
      </c>
      <c r="I280" s="30"/>
      <c r="J280" s="30"/>
    </row>
    <row r="281" customFormat="false" ht="15" hidden="false" customHeight="false" outlineLevel="0" collapsed="false">
      <c r="A281" s="10" t="str">
        <f aca="false">IF(B281="","",ROW()-5)</f>
        <v/>
      </c>
      <c r="B281" s="29"/>
      <c r="C281" s="9"/>
      <c r="D281" s="10" t="str">
        <f aca="false">IF(B281="","",IF(J281="","Active","Exited"))</f>
        <v/>
      </c>
      <c r="E281" s="9"/>
      <c r="F281" s="9"/>
      <c r="G281" s="9"/>
      <c r="H281" s="10" t="str">
        <f aca="false">IF(OR(B281="",I281=""),"",IF(IF(J281="",AsOf,J281)-I281&gt;=Settings!$C$13,"Permanent","Probation"))</f>
        <v/>
      </c>
      <c r="I281" s="30"/>
      <c r="J281" s="30"/>
    </row>
    <row r="282" customFormat="false" ht="15" hidden="false" customHeight="false" outlineLevel="0" collapsed="false">
      <c r="A282" s="10" t="str">
        <f aca="false">IF(B282="","",ROW()-5)</f>
        <v/>
      </c>
      <c r="B282" s="29"/>
      <c r="C282" s="9"/>
      <c r="D282" s="10" t="str">
        <f aca="false">IF(B282="","",IF(J282="","Active","Exited"))</f>
        <v/>
      </c>
      <c r="E282" s="9"/>
      <c r="F282" s="9"/>
      <c r="G282" s="9"/>
      <c r="H282" s="10" t="str">
        <f aca="false">IF(OR(B282="",I282=""),"",IF(IF(J282="",AsOf,J282)-I282&gt;=Settings!$C$13,"Permanent","Probation"))</f>
        <v/>
      </c>
      <c r="I282" s="30"/>
      <c r="J282" s="30"/>
    </row>
    <row r="283" customFormat="false" ht="15" hidden="false" customHeight="false" outlineLevel="0" collapsed="false">
      <c r="A283" s="10" t="str">
        <f aca="false">IF(B283="","",ROW()-5)</f>
        <v/>
      </c>
      <c r="B283" s="29"/>
      <c r="C283" s="9"/>
      <c r="D283" s="10" t="str">
        <f aca="false">IF(B283="","",IF(J283="","Active","Exited"))</f>
        <v/>
      </c>
      <c r="E283" s="9"/>
      <c r="F283" s="9"/>
      <c r="G283" s="9"/>
      <c r="H283" s="10" t="str">
        <f aca="false">IF(OR(B283="",I283=""),"",IF(IF(J283="",AsOf,J283)-I283&gt;=Settings!$C$13,"Permanent","Probation"))</f>
        <v/>
      </c>
      <c r="I283" s="30"/>
      <c r="J283" s="30"/>
    </row>
    <row r="284" customFormat="false" ht="15" hidden="false" customHeight="false" outlineLevel="0" collapsed="false">
      <c r="A284" s="10" t="str">
        <f aca="false">IF(B284="","",ROW()-5)</f>
        <v/>
      </c>
      <c r="B284" s="29"/>
      <c r="C284" s="9"/>
      <c r="D284" s="10" t="str">
        <f aca="false">IF(B284="","",IF(J284="","Active","Exited"))</f>
        <v/>
      </c>
      <c r="E284" s="9"/>
      <c r="F284" s="9"/>
      <c r="G284" s="9"/>
      <c r="H284" s="10" t="str">
        <f aca="false">IF(OR(B284="",I284=""),"",IF(IF(J284="",AsOf,J284)-I284&gt;=Settings!$C$13,"Permanent","Probation"))</f>
        <v/>
      </c>
      <c r="I284" s="30"/>
      <c r="J284" s="30"/>
    </row>
    <row r="285" customFormat="false" ht="15" hidden="false" customHeight="false" outlineLevel="0" collapsed="false">
      <c r="A285" s="10" t="str">
        <f aca="false">IF(B285="","",ROW()-5)</f>
        <v/>
      </c>
      <c r="B285" s="29"/>
      <c r="C285" s="9"/>
      <c r="D285" s="10" t="str">
        <f aca="false">IF(B285="","",IF(J285="","Active","Exited"))</f>
        <v/>
      </c>
      <c r="E285" s="9"/>
      <c r="F285" s="9"/>
      <c r="G285" s="9"/>
      <c r="H285" s="10" t="str">
        <f aca="false">IF(OR(B285="",I285=""),"",IF(IF(J285="",AsOf,J285)-I285&gt;=Settings!$C$13,"Permanent","Probation"))</f>
        <v/>
      </c>
      <c r="I285" s="30"/>
      <c r="J285" s="30"/>
    </row>
    <row r="286" customFormat="false" ht="15" hidden="false" customHeight="false" outlineLevel="0" collapsed="false">
      <c r="A286" s="10" t="str">
        <f aca="false">IF(B286="","",ROW()-5)</f>
        <v/>
      </c>
      <c r="B286" s="29"/>
      <c r="C286" s="9"/>
      <c r="D286" s="10" t="str">
        <f aca="false">IF(B286="","",IF(J286="","Active","Exited"))</f>
        <v/>
      </c>
      <c r="E286" s="9"/>
      <c r="F286" s="9"/>
      <c r="G286" s="9"/>
      <c r="H286" s="10" t="str">
        <f aca="false">IF(OR(B286="",I286=""),"",IF(IF(J286="",AsOf,J286)-I286&gt;=Settings!$C$13,"Permanent","Probation"))</f>
        <v/>
      </c>
      <c r="I286" s="30"/>
      <c r="J286" s="30"/>
    </row>
    <row r="287" customFormat="false" ht="15" hidden="false" customHeight="false" outlineLevel="0" collapsed="false">
      <c r="A287" s="10" t="str">
        <f aca="false">IF(B287="","",ROW()-5)</f>
        <v/>
      </c>
      <c r="B287" s="29"/>
      <c r="C287" s="9"/>
      <c r="D287" s="10" t="str">
        <f aca="false">IF(B287="","",IF(J287="","Active","Exited"))</f>
        <v/>
      </c>
      <c r="E287" s="9"/>
      <c r="F287" s="9"/>
      <c r="G287" s="9"/>
      <c r="H287" s="10" t="str">
        <f aca="false">IF(OR(B287="",I287=""),"",IF(IF(J287="",AsOf,J287)-I287&gt;=Settings!$C$13,"Permanent","Probation"))</f>
        <v/>
      </c>
      <c r="I287" s="30"/>
      <c r="J287" s="30"/>
    </row>
    <row r="288" customFormat="false" ht="15" hidden="false" customHeight="false" outlineLevel="0" collapsed="false">
      <c r="A288" s="10" t="str">
        <f aca="false">IF(B288="","",ROW()-5)</f>
        <v/>
      </c>
      <c r="B288" s="29"/>
      <c r="C288" s="9"/>
      <c r="D288" s="10" t="str">
        <f aca="false">IF(B288="","",IF(J288="","Active","Exited"))</f>
        <v/>
      </c>
      <c r="E288" s="9"/>
      <c r="F288" s="9"/>
      <c r="G288" s="9"/>
      <c r="H288" s="10" t="str">
        <f aca="false">IF(OR(B288="",I288=""),"",IF(IF(J288="",AsOf,J288)-I288&gt;=Settings!$C$13,"Permanent","Probation"))</f>
        <v/>
      </c>
      <c r="I288" s="30"/>
      <c r="J288" s="30"/>
    </row>
    <row r="289" customFormat="false" ht="15" hidden="false" customHeight="false" outlineLevel="0" collapsed="false">
      <c r="A289" s="10" t="str">
        <f aca="false">IF(B289="","",ROW()-5)</f>
        <v/>
      </c>
      <c r="B289" s="29"/>
      <c r="C289" s="9"/>
      <c r="D289" s="10" t="str">
        <f aca="false">IF(B289="","",IF(J289="","Active","Exited"))</f>
        <v/>
      </c>
      <c r="E289" s="9"/>
      <c r="F289" s="9"/>
      <c r="G289" s="9"/>
      <c r="H289" s="10" t="str">
        <f aca="false">IF(OR(B289="",I289=""),"",IF(IF(J289="",AsOf,J289)-I289&gt;=Settings!$C$13,"Permanent","Probation"))</f>
        <v/>
      </c>
      <c r="I289" s="30"/>
      <c r="J289" s="30"/>
    </row>
    <row r="290" customFormat="false" ht="15" hidden="false" customHeight="false" outlineLevel="0" collapsed="false">
      <c r="A290" s="10" t="str">
        <f aca="false">IF(B290="","",ROW()-5)</f>
        <v/>
      </c>
      <c r="B290" s="29"/>
      <c r="C290" s="9"/>
      <c r="D290" s="10" t="str">
        <f aca="false">IF(B290="","",IF(J290="","Active","Exited"))</f>
        <v/>
      </c>
      <c r="E290" s="9"/>
      <c r="F290" s="9"/>
      <c r="G290" s="9"/>
      <c r="H290" s="10" t="str">
        <f aca="false">IF(OR(B290="",I290=""),"",IF(IF(J290="",AsOf,J290)-I290&gt;=Settings!$C$13,"Permanent","Probation"))</f>
        <v/>
      </c>
      <c r="I290" s="30"/>
      <c r="J290" s="30"/>
    </row>
    <row r="291" customFormat="false" ht="15" hidden="false" customHeight="false" outlineLevel="0" collapsed="false">
      <c r="A291" s="10" t="str">
        <f aca="false">IF(B291="","",ROW()-5)</f>
        <v/>
      </c>
      <c r="B291" s="29"/>
      <c r="C291" s="9"/>
      <c r="D291" s="10" t="str">
        <f aca="false">IF(B291="","",IF(J291="","Active","Exited"))</f>
        <v/>
      </c>
      <c r="E291" s="9"/>
      <c r="F291" s="9"/>
      <c r="G291" s="9"/>
      <c r="H291" s="10" t="str">
        <f aca="false">IF(OR(B291="",I291=""),"",IF(IF(J291="",AsOf,J291)-I291&gt;=Settings!$C$13,"Permanent","Probation"))</f>
        <v/>
      </c>
      <c r="I291" s="30"/>
      <c r="J291" s="30"/>
    </row>
    <row r="292" customFormat="false" ht="15" hidden="false" customHeight="false" outlineLevel="0" collapsed="false">
      <c r="A292" s="10" t="str">
        <f aca="false">IF(B292="","",ROW()-5)</f>
        <v/>
      </c>
      <c r="B292" s="29"/>
      <c r="C292" s="9"/>
      <c r="D292" s="10" t="str">
        <f aca="false">IF(B292="","",IF(J292="","Active","Exited"))</f>
        <v/>
      </c>
      <c r="E292" s="9"/>
      <c r="F292" s="9"/>
      <c r="G292" s="9"/>
      <c r="H292" s="10" t="str">
        <f aca="false">IF(OR(B292="",I292=""),"",IF(IF(J292="",AsOf,J292)-I292&gt;=Settings!$C$13,"Permanent","Probation"))</f>
        <v/>
      </c>
      <c r="I292" s="30"/>
      <c r="J292" s="30"/>
    </row>
    <row r="293" customFormat="false" ht="15" hidden="false" customHeight="false" outlineLevel="0" collapsed="false">
      <c r="A293" s="10" t="str">
        <f aca="false">IF(B293="","",ROW()-5)</f>
        <v/>
      </c>
      <c r="B293" s="29"/>
      <c r="C293" s="9"/>
      <c r="D293" s="10" t="str">
        <f aca="false">IF(B293="","",IF(J293="","Active","Exited"))</f>
        <v/>
      </c>
      <c r="E293" s="9"/>
      <c r="F293" s="9"/>
      <c r="G293" s="9"/>
      <c r="H293" s="10" t="str">
        <f aca="false">IF(OR(B293="",I293=""),"",IF(IF(J293="",AsOf,J293)-I293&gt;=Settings!$C$13,"Permanent","Probation"))</f>
        <v/>
      </c>
      <c r="I293" s="30"/>
      <c r="J293" s="30"/>
    </row>
    <row r="294" customFormat="false" ht="15" hidden="false" customHeight="false" outlineLevel="0" collapsed="false">
      <c r="A294" s="10" t="str">
        <f aca="false">IF(B294="","",ROW()-5)</f>
        <v/>
      </c>
      <c r="B294" s="29"/>
      <c r="C294" s="9"/>
      <c r="D294" s="10" t="str">
        <f aca="false">IF(B294="","",IF(J294="","Active","Exited"))</f>
        <v/>
      </c>
      <c r="E294" s="9"/>
      <c r="F294" s="9"/>
      <c r="G294" s="9"/>
      <c r="H294" s="10" t="str">
        <f aca="false">IF(OR(B294="",I294=""),"",IF(IF(J294="",AsOf,J294)-I294&gt;=Settings!$C$13,"Permanent","Probation"))</f>
        <v/>
      </c>
      <c r="I294" s="30"/>
      <c r="J294" s="30"/>
    </row>
    <row r="295" customFormat="false" ht="15" hidden="false" customHeight="false" outlineLevel="0" collapsed="false">
      <c r="A295" s="10" t="str">
        <f aca="false">IF(B295="","",ROW()-5)</f>
        <v/>
      </c>
      <c r="B295" s="29"/>
      <c r="C295" s="9"/>
      <c r="D295" s="10" t="str">
        <f aca="false">IF(B295="","",IF(J295="","Active","Exited"))</f>
        <v/>
      </c>
      <c r="E295" s="9"/>
      <c r="F295" s="9"/>
      <c r="G295" s="9"/>
      <c r="H295" s="10" t="str">
        <f aca="false">IF(OR(B295="",I295=""),"",IF(IF(J295="",AsOf,J295)-I295&gt;=Settings!$C$13,"Permanent","Probation"))</f>
        <v/>
      </c>
      <c r="I295" s="30"/>
      <c r="J295" s="30"/>
    </row>
    <row r="296" customFormat="false" ht="15" hidden="false" customHeight="false" outlineLevel="0" collapsed="false">
      <c r="A296" s="10" t="str">
        <f aca="false">IF(B296="","",ROW()-5)</f>
        <v/>
      </c>
      <c r="B296" s="29"/>
      <c r="C296" s="9"/>
      <c r="D296" s="10" t="str">
        <f aca="false">IF(B296="","",IF(J296="","Active","Exited"))</f>
        <v/>
      </c>
      <c r="E296" s="9"/>
      <c r="F296" s="9"/>
      <c r="G296" s="9"/>
      <c r="H296" s="10" t="str">
        <f aca="false">IF(OR(B296="",I296=""),"",IF(IF(J296="",AsOf,J296)-I296&gt;=Settings!$C$13,"Permanent","Probation"))</f>
        <v/>
      </c>
      <c r="I296" s="30"/>
      <c r="J296" s="30"/>
    </row>
    <row r="297" customFormat="false" ht="15" hidden="false" customHeight="false" outlineLevel="0" collapsed="false">
      <c r="A297" s="10" t="str">
        <f aca="false">IF(B297="","",ROW()-5)</f>
        <v/>
      </c>
      <c r="B297" s="29"/>
      <c r="C297" s="9"/>
      <c r="D297" s="10" t="str">
        <f aca="false">IF(B297="","",IF(J297="","Active","Exited"))</f>
        <v/>
      </c>
      <c r="E297" s="9"/>
      <c r="F297" s="9"/>
      <c r="G297" s="9"/>
      <c r="H297" s="10" t="str">
        <f aca="false">IF(OR(B297="",I297=""),"",IF(IF(J297="",AsOf,J297)-I297&gt;=Settings!$C$13,"Permanent","Probation"))</f>
        <v/>
      </c>
      <c r="I297" s="30"/>
      <c r="J297" s="30"/>
    </row>
    <row r="298" customFormat="false" ht="15" hidden="false" customHeight="false" outlineLevel="0" collapsed="false">
      <c r="A298" s="10" t="str">
        <f aca="false">IF(B298="","",ROW()-5)</f>
        <v/>
      </c>
      <c r="B298" s="29"/>
      <c r="C298" s="9"/>
      <c r="D298" s="10" t="str">
        <f aca="false">IF(B298="","",IF(J298="","Active","Exited"))</f>
        <v/>
      </c>
      <c r="E298" s="9"/>
      <c r="F298" s="9"/>
      <c r="G298" s="9"/>
      <c r="H298" s="10" t="str">
        <f aca="false">IF(OR(B298="",I298=""),"",IF(IF(J298="",AsOf,J298)-I298&gt;=Settings!$C$13,"Permanent","Probation"))</f>
        <v/>
      </c>
      <c r="I298" s="30"/>
      <c r="J298" s="30"/>
    </row>
    <row r="299" customFormat="false" ht="15" hidden="false" customHeight="false" outlineLevel="0" collapsed="false">
      <c r="A299" s="10" t="str">
        <f aca="false">IF(B299="","",ROW()-5)</f>
        <v/>
      </c>
      <c r="B299" s="29"/>
      <c r="C299" s="9"/>
      <c r="D299" s="10" t="str">
        <f aca="false">IF(B299="","",IF(J299="","Active","Exited"))</f>
        <v/>
      </c>
      <c r="E299" s="9"/>
      <c r="F299" s="9"/>
      <c r="G299" s="9"/>
      <c r="H299" s="10" t="str">
        <f aca="false">IF(OR(B299="",I299=""),"",IF(IF(J299="",AsOf,J299)-I299&gt;=Settings!$C$13,"Permanent","Probation"))</f>
        <v/>
      </c>
      <c r="I299" s="30"/>
      <c r="J299" s="30"/>
    </row>
    <row r="300" customFormat="false" ht="15" hidden="false" customHeight="false" outlineLevel="0" collapsed="false">
      <c r="A300" s="10" t="str">
        <f aca="false">IF(B300="","",ROW()-5)</f>
        <v/>
      </c>
      <c r="B300" s="29"/>
      <c r="C300" s="9"/>
      <c r="D300" s="10" t="str">
        <f aca="false">IF(B300="","",IF(J300="","Active","Exited"))</f>
        <v/>
      </c>
      <c r="E300" s="9"/>
      <c r="F300" s="9"/>
      <c r="G300" s="9"/>
      <c r="H300" s="10" t="str">
        <f aca="false">IF(OR(B300="",I300=""),"",IF(IF(J300="",AsOf,J300)-I300&gt;=Settings!$C$13,"Permanent","Probation"))</f>
        <v/>
      </c>
      <c r="I300" s="30"/>
      <c r="J300" s="30"/>
    </row>
    <row r="301" customFormat="false" ht="15" hidden="false" customHeight="false" outlineLevel="0" collapsed="false">
      <c r="A301" s="10" t="str">
        <f aca="false">IF(B301="","",ROW()-5)</f>
        <v/>
      </c>
      <c r="B301" s="29"/>
      <c r="C301" s="9"/>
      <c r="D301" s="10" t="str">
        <f aca="false">IF(B301="","",IF(J301="","Active","Exited"))</f>
        <v/>
      </c>
      <c r="E301" s="9"/>
      <c r="F301" s="9"/>
      <c r="G301" s="9"/>
      <c r="H301" s="10" t="str">
        <f aca="false">IF(OR(B301="",I301=""),"",IF(IF(J301="",AsOf,J301)-I301&gt;=Settings!$C$13,"Permanent","Probation"))</f>
        <v/>
      </c>
      <c r="I301" s="30"/>
      <c r="J301" s="30"/>
    </row>
    <row r="302" customFormat="false" ht="15" hidden="false" customHeight="false" outlineLevel="0" collapsed="false">
      <c r="A302" s="10" t="str">
        <f aca="false">IF(B302="","",ROW()-5)</f>
        <v/>
      </c>
      <c r="B302" s="29"/>
      <c r="C302" s="9"/>
      <c r="D302" s="10" t="str">
        <f aca="false">IF(B302="","",IF(J302="","Active","Exited"))</f>
        <v/>
      </c>
      <c r="E302" s="9"/>
      <c r="F302" s="9"/>
      <c r="G302" s="9"/>
      <c r="H302" s="10" t="str">
        <f aca="false">IF(OR(B302="",I302=""),"",IF(IF(J302="",AsOf,J302)-I302&gt;=Settings!$C$13,"Permanent","Probation"))</f>
        <v/>
      </c>
      <c r="I302" s="30"/>
      <c r="J302" s="30"/>
    </row>
    <row r="303" customFormat="false" ht="15" hidden="false" customHeight="false" outlineLevel="0" collapsed="false">
      <c r="A303" s="10" t="str">
        <f aca="false">IF(B303="","",ROW()-5)</f>
        <v/>
      </c>
      <c r="B303" s="29"/>
      <c r="C303" s="9"/>
      <c r="D303" s="10" t="str">
        <f aca="false">IF(B303="","",IF(J303="","Active","Exited"))</f>
        <v/>
      </c>
      <c r="E303" s="9"/>
      <c r="F303" s="9"/>
      <c r="G303" s="9"/>
      <c r="H303" s="10" t="str">
        <f aca="false">IF(OR(B303="",I303=""),"",IF(IF(J303="",AsOf,J303)-I303&gt;=Settings!$C$13,"Permanent","Probation"))</f>
        <v/>
      </c>
      <c r="I303" s="30"/>
      <c r="J303" s="30"/>
    </row>
    <row r="304" customFormat="false" ht="15" hidden="false" customHeight="false" outlineLevel="0" collapsed="false">
      <c r="A304" s="10" t="str">
        <f aca="false">IF(B304="","",ROW()-5)</f>
        <v/>
      </c>
      <c r="B304" s="29"/>
      <c r="C304" s="9"/>
      <c r="D304" s="10" t="str">
        <f aca="false">IF(B304="","",IF(J304="","Active","Exited"))</f>
        <v/>
      </c>
      <c r="E304" s="9"/>
      <c r="F304" s="9"/>
      <c r="G304" s="9"/>
      <c r="H304" s="10" t="str">
        <f aca="false">IF(OR(B304="",I304=""),"",IF(IF(J304="",AsOf,J304)-I304&gt;=Settings!$C$13,"Permanent","Probation"))</f>
        <v/>
      </c>
      <c r="I304" s="30"/>
      <c r="J304" s="30"/>
    </row>
    <row r="305" customFormat="false" ht="15" hidden="false" customHeight="false" outlineLevel="0" collapsed="false">
      <c r="A305" s="10" t="str">
        <f aca="false">IF(B305="","",ROW()-5)</f>
        <v/>
      </c>
      <c r="B305" s="29"/>
      <c r="C305" s="9"/>
      <c r="D305" s="10" t="str">
        <f aca="false">IF(B305="","",IF(J305="","Active","Exited"))</f>
        <v/>
      </c>
      <c r="E305" s="9"/>
      <c r="F305" s="9"/>
      <c r="G305" s="9"/>
      <c r="H305" s="10" t="str">
        <f aca="false">IF(OR(B305="",I305=""),"",IF(IF(J305="",AsOf,J305)-I305&gt;=Settings!$C$13,"Permanent","Probation"))</f>
        <v/>
      </c>
      <c r="I305" s="30"/>
      <c r="J305" s="30"/>
    </row>
    <row r="306" customFormat="false" ht="15" hidden="false" customHeight="false" outlineLevel="0" collapsed="false">
      <c r="A306" s="10" t="str">
        <f aca="false">IF(B306="","",ROW()-5)</f>
        <v/>
      </c>
      <c r="B306" s="29"/>
      <c r="C306" s="9"/>
      <c r="D306" s="10" t="str">
        <f aca="false">IF(B306="","",IF(J306="","Active","Exited"))</f>
        <v/>
      </c>
      <c r="E306" s="9"/>
      <c r="F306" s="9"/>
      <c r="G306" s="9"/>
      <c r="H306" s="10" t="str">
        <f aca="false">IF(OR(B306="",I306=""),"",IF(IF(J306="",AsOf,J306)-I306&gt;=Settings!$C$13,"Permanent","Probation"))</f>
        <v/>
      </c>
      <c r="I306" s="30"/>
      <c r="J306" s="30"/>
    </row>
    <row r="307" customFormat="false" ht="15" hidden="false" customHeight="false" outlineLevel="0" collapsed="false">
      <c r="A307" s="10" t="str">
        <f aca="false">IF(B307="","",ROW()-5)</f>
        <v/>
      </c>
      <c r="B307" s="29"/>
      <c r="C307" s="9"/>
      <c r="D307" s="10" t="str">
        <f aca="false">IF(B307="","",IF(J307="","Active","Exited"))</f>
        <v/>
      </c>
      <c r="E307" s="9"/>
      <c r="F307" s="9"/>
      <c r="G307" s="9"/>
      <c r="H307" s="10" t="str">
        <f aca="false">IF(OR(B307="",I307=""),"",IF(IF(J307="",AsOf,J307)-I307&gt;=Settings!$C$13,"Permanent","Probation"))</f>
        <v/>
      </c>
      <c r="I307" s="30"/>
      <c r="J307" s="30"/>
    </row>
    <row r="308" customFormat="false" ht="15" hidden="false" customHeight="false" outlineLevel="0" collapsed="false">
      <c r="A308" s="10" t="str">
        <f aca="false">IF(B308="","",ROW()-5)</f>
        <v/>
      </c>
      <c r="B308" s="29"/>
      <c r="C308" s="9"/>
      <c r="D308" s="10" t="str">
        <f aca="false">IF(B308="","",IF(J308="","Active","Exited"))</f>
        <v/>
      </c>
      <c r="E308" s="9"/>
      <c r="F308" s="9"/>
      <c r="G308" s="9"/>
      <c r="H308" s="10" t="str">
        <f aca="false">IF(OR(B308="",I308=""),"",IF(IF(J308="",AsOf,J308)-I308&gt;=Settings!$C$13,"Permanent","Probation"))</f>
        <v/>
      </c>
      <c r="I308" s="30"/>
      <c r="J308" s="30"/>
    </row>
    <row r="309" customFormat="false" ht="15" hidden="false" customHeight="false" outlineLevel="0" collapsed="false">
      <c r="A309" s="10" t="str">
        <f aca="false">IF(B309="","",ROW()-5)</f>
        <v/>
      </c>
      <c r="B309" s="29"/>
      <c r="C309" s="9"/>
      <c r="D309" s="10" t="str">
        <f aca="false">IF(B309="","",IF(J309="","Active","Exited"))</f>
        <v/>
      </c>
      <c r="E309" s="9"/>
      <c r="F309" s="9"/>
      <c r="G309" s="9"/>
      <c r="H309" s="10" t="str">
        <f aca="false">IF(OR(B309="",I309=""),"",IF(IF(J309="",AsOf,J309)-I309&gt;=Settings!$C$13,"Permanent","Probation"))</f>
        <v/>
      </c>
      <c r="I309" s="30"/>
      <c r="J309" s="30"/>
    </row>
    <row r="310" customFormat="false" ht="15" hidden="false" customHeight="false" outlineLevel="0" collapsed="false">
      <c r="A310" s="10" t="str">
        <f aca="false">IF(B310="","",ROW()-5)</f>
        <v/>
      </c>
      <c r="B310" s="29"/>
      <c r="C310" s="9"/>
      <c r="D310" s="10" t="str">
        <f aca="false">IF(B310="","",IF(J310="","Active","Exited"))</f>
        <v/>
      </c>
      <c r="E310" s="9"/>
      <c r="F310" s="9"/>
      <c r="G310" s="9"/>
      <c r="H310" s="10" t="str">
        <f aca="false">IF(OR(B310="",I310=""),"",IF(IF(J310="",AsOf,J310)-I310&gt;=Settings!$C$13,"Permanent","Probation"))</f>
        <v/>
      </c>
      <c r="I310" s="30"/>
      <c r="J310" s="30"/>
    </row>
    <row r="311" customFormat="false" ht="15" hidden="false" customHeight="false" outlineLevel="0" collapsed="false">
      <c r="A311" s="10" t="str">
        <f aca="false">IF(B311="","",ROW()-5)</f>
        <v/>
      </c>
      <c r="B311" s="29"/>
      <c r="C311" s="9"/>
      <c r="D311" s="10" t="str">
        <f aca="false">IF(B311="","",IF(J311="","Active","Exited"))</f>
        <v/>
      </c>
      <c r="E311" s="9"/>
      <c r="F311" s="9"/>
      <c r="G311" s="9"/>
      <c r="H311" s="10" t="str">
        <f aca="false">IF(OR(B311="",I311=""),"",IF(IF(J311="",AsOf,J311)-I311&gt;=Settings!$C$13,"Permanent","Probation"))</f>
        <v/>
      </c>
      <c r="I311" s="30"/>
      <c r="J311" s="30"/>
    </row>
    <row r="312" customFormat="false" ht="15" hidden="false" customHeight="false" outlineLevel="0" collapsed="false">
      <c r="A312" s="10" t="str">
        <f aca="false">IF(B312="","",ROW()-5)</f>
        <v/>
      </c>
      <c r="B312" s="29"/>
      <c r="C312" s="9"/>
      <c r="D312" s="10" t="str">
        <f aca="false">IF(B312="","",IF(J312="","Active","Exited"))</f>
        <v/>
      </c>
      <c r="E312" s="9"/>
      <c r="F312" s="9"/>
      <c r="G312" s="9"/>
      <c r="H312" s="10" t="str">
        <f aca="false">IF(OR(B312="",I312=""),"",IF(IF(J312="",AsOf,J312)-I312&gt;=Settings!$C$13,"Permanent","Probation"))</f>
        <v/>
      </c>
      <c r="I312" s="30"/>
      <c r="J312" s="30"/>
    </row>
    <row r="313" customFormat="false" ht="15" hidden="false" customHeight="false" outlineLevel="0" collapsed="false">
      <c r="A313" s="10" t="str">
        <f aca="false">IF(B313="","",ROW()-5)</f>
        <v/>
      </c>
      <c r="B313" s="29"/>
      <c r="C313" s="9"/>
      <c r="D313" s="10" t="str">
        <f aca="false">IF(B313="","",IF(J313="","Active","Exited"))</f>
        <v/>
      </c>
      <c r="E313" s="9"/>
      <c r="F313" s="9"/>
      <c r="G313" s="9"/>
      <c r="H313" s="10" t="str">
        <f aca="false">IF(OR(B313="",I313=""),"",IF(IF(J313="",AsOf,J313)-I313&gt;=Settings!$C$13,"Permanent","Probation"))</f>
        <v/>
      </c>
      <c r="I313" s="30"/>
      <c r="J313" s="30"/>
    </row>
    <row r="314" customFormat="false" ht="15" hidden="false" customHeight="false" outlineLevel="0" collapsed="false">
      <c r="A314" s="10" t="str">
        <f aca="false">IF(B314="","",ROW()-5)</f>
        <v/>
      </c>
      <c r="B314" s="29"/>
      <c r="C314" s="9"/>
      <c r="D314" s="10" t="str">
        <f aca="false">IF(B314="","",IF(J314="","Active","Exited"))</f>
        <v/>
      </c>
      <c r="E314" s="9"/>
      <c r="F314" s="9"/>
      <c r="G314" s="9"/>
      <c r="H314" s="10" t="str">
        <f aca="false">IF(OR(B314="",I314=""),"",IF(IF(J314="",AsOf,J314)-I314&gt;=Settings!$C$13,"Permanent","Probation"))</f>
        <v/>
      </c>
      <c r="I314" s="30"/>
      <c r="J314" s="30"/>
    </row>
    <row r="315" customFormat="false" ht="15" hidden="false" customHeight="false" outlineLevel="0" collapsed="false">
      <c r="A315" s="10" t="str">
        <f aca="false">IF(B315="","",ROW()-5)</f>
        <v/>
      </c>
      <c r="B315" s="29"/>
      <c r="C315" s="9"/>
      <c r="D315" s="10" t="str">
        <f aca="false">IF(B315="","",IF(J315="","Active","Exited"))</f>
        <v/>
      </c>
      <c r="E315" s="9"/>
      <c r="F315" s="9"/>
      <c r="G315" s="9"/>
      <c r="H315" s="10" t="str">
        <f aca="false">IF(OR(B315="",I315=""),"",IF(IF(J315="",AsOf,J315)-I315&gt;=Settings!$C$13,"Permanent","Probation"))</f>
        <v/>
      </c>
      <c r="I315" s="30"/>
      <c r="J315" s="30"/>
    </row>
    <row r="316" customFormat="false" ht="15" hidden="false" customHeight="false" outlineLevel="0" collapsed="false">
      <c r="A316" s="10" t="str">
        <f aca="false">IF(B316="","",ROW()-5)</f>
        <v/>
      </c>
      <c r="B316" s="29"/>
      <c r="C316" s="9"/>
      <c r="D316" s="10" t="str">
        <f aca="false">IF(B316="","",IF(J316="","Active","Exited"))</f>
        <v/>
      </c>
      <c r="E316" s="9"/>
      <c r="F316" s="9"/>
      <c r="G316" s="9"/>
      <c r="H316" s="10" t="str">
        <f aca="false">IF(OR(B316="",I316=""),"",IF(IF(J316="",AsOf,J316)-I316&gt;=Settings!$C$13,"Permanent","Probation"))</f>
        <v/>
      </c>
      <c r="I316" s="30"/>
      <c r="J316" s="30"/>
    </row>
    <row r="317" customFormat="false" ht="15" hidden="false" customHeight="false" outlineLevel="0" collapsed="false">
      <c r="A317" s="10" t="str">
        <f aca="false">IF(B317="","",ROW()-5)</f>
        <v/>
      </c>
      <c r="B317" s="29"/>
      <c r="C317" s="9"/>
      <c r="D317" s="10" t="str">
        <f aca="false">IF(B317="","",IF(J317="","Active","Exited"))</f>
        <v/>
      </c>
      <c r="E317" s="9"/>
      <c r="F317" s="9"/>
      <c r="G317" s="9"/>
      <c r="H317" s="10" t="str">
        <f aca="false">IF(OR(B317="",I317=""),"",IF(IF(J317="",AsOf,J317)-I317&gt;=Settings!$C$13,"Permanent","Probation"))</f>
        <v/>
      </c>
      <c r="I317" s="30"/>
      <c r="J317" s="30"/>
    </row>
    <row r="318" customFormat="false" ht="15" hidden="false" customHeight="false" outlineLevel="0" collapsed="false">
      <c r="A318" s="10" t="str">
        <f aca="false">IF(B318="","",ROW()-5)</f>
        <v/>
      </c>
      <c r="B318" s="29"/>
      <c r="C318" s="9"/>
      <c r="D318" s="10" t="str">
        <f aca="false">IF(B318="","",IF(J318="","Active","Exited"))</f>
        <v/>
      </c>
      <c r="E318" s="9"/>
      <c r="F318" s="9"/>
      <c r="G318" s="9"/>
      <c r="H318" s="10" t="str">
        <f aca="false">IF(OR(B318="",I318=""),"",IF(IF(J318="",AsOf,J318)-I318&gt;=Settings!$C$13,"Permanent","Probation"))</f>
        <v/>
      </c>
      <c r="I318" s="30"/>
      <c r="J318" s="30"/>
    </row>
    <row r="319" customFormat="false" ht="15" hidden="false" customHeight="false" outlineLevel="0" collapsed="false">
      <c r="A319" s="10" t="str">
        <f aca="false">IF(B319="","",ROW()-5)</f>
        <v/>
      </c>
      <c r="B319" s="29"/>
      <c r="C319" s="9"/>
      <c r="D319" s="10" t="str">
        <f aca="false">IF(B319="","",IF(J319="","Active","Exited"))</f>
        <v/>
      </c>
      <c r="E319" s="9"/>
      <c r="F319" s="9"/>
      <c r="G319" s="9"/>
      <c r="H319" s="10" t="str">
        <f aca="false">IF(OR(B319="",I319=""),"",IF(IF(J319="",AsOf,J319)-I319&gt;=Settings!$C$13,"Permanent","Probation"))</f>
        <v/>
      </c>
      <c r="I319" s="30"/>
      <c r="J319" s="30"/>
    </row>
    <row r="320" customFormat="false" ht="15" hidden="false" customHeight="false" outlineLevel="0" collapsed="false">
      <c r="A320" s="10" t="str">
        <f aca="false">IF(B320="","",ROW()-5)</f>
        <v/>
      </c>
      <c r="B320" s="29"/>
      <c r="C320" s="9"/>
      <c r="D320" s="10" t="str">
        <f aca="false">IF(B320="","",IF(J320="","Active","Exited"))</f>
        <v/>
      </c>
      <c r="E320" s="9"/>
      <c r="F320" s="9"/>
      <c r="G320" s="9"/>
      <c r="H320" s="10" t="str">
        <f aca="false">IF(OR(B320="",I320=""),"",IF(IF(J320="",AsOf,J320)-I320&gt;=Settings!$C$13,"Permanent","Probation"))</f>
        <v/>
      </c>
      <c r="I320" s="30"/>
      <c r="J320" s="30"/>
    </row>
    <row r="321" customFormat="false" ht="15" hidden="false" customHeight="false" outlineLevel="0" collapsed="false">
      <c r="A321" s="10" t="str">
        <f aca="false">IF(B321="","",ROW()-5)</f>
        <v/>
      </c>
      <c r="B321" s="29"/>
      <c r="C321" s="9"/>
      <c r="D321" s="10" t="str">
        <f aca="false">IF(B321="","",IF(J321="","Active","Exited"))</f>
        <v/>
      </c>
      <c r="E321" s="9"/>
      <c r="F321" s="9"/>
      <c r="G321" s="9"/>
      <c r="H321" s="10" t="str">
        <f aca="false">IF(OR(B321="",I321=""),"",IF(IF(J321="",AsOf,J321)-I321&gt;=Settings!$C$13,"Permanent","Probation"))</f>
        <v/>
      </c>
      <c r="I321" s="30"/>
      <c r="J321" s="30"/>
    </row>
    <row r="322" customFormat="false" ht="15" hidden="false" customHeight="false" outlineLevel="0" collapsed="false">
      <c r="A322" s="10" t="str">
        <f aca="false">IF(B322="","",ROW()-5)</f>
        <v/>
      </c>
      <c r="B322" s="29"/>
      <c r="C322" s="9"/>
      <c r="D322" s="10" t="str">
        <f aca="false">IF(B322="","",IF(J322="","Active","Exited"))</f>
        <v/>
      </c>
      <c r="E322" s="9"/>
      <c r="F322" s="9"/>
      <c r="G322" s="9"/>
      <c r="H322" s="10" t="str">
        <f aca="false">IF(OR(B322="",I322=""),"",IF(IF(J322="",AsOf,J322)-I322&gt;=Settings!$C$13,"Permanent","Probation"))</f>
        <v/>
      </c>
      <c r="I322" s="30"/>
      <c r="J322" s="30"/>
    </row>
    <row r="323" customFormat="false" ht="15" hidden="false" customHeight="false" outlineLevel="0" collapsed="false">
      <c r="A323" s="10" t="str">
        <f aca="false">IF(B323="","",ROW()-5)</f>
        <v/>
      </c>
      <c r="B323" s="29"/>
      <c r="C323" s="9"/>
      <c r="D323" s="10" t="str">
        <f aca="false">IF(B323="","",IF(J323="","Active","Exited"))</f>
        <v/>
      </c>
      <c r="E323" s="9"/>
      <c r="F323" s="9"/>
      <c r="G323" s="9"/>
      <c r="H323" s="10" t="str">
        <f aca="false">IF(OR(B323="",I323=""),"",IF(IF(J323="",AsOf,J323)-I323&gt;=Settings!$C$13,"Permanent","Probation"))</f>
        <v/>
      </c>
      <c r="I323" s="30"/>
      <c r="J323" s="30"/>
    </row>
    <row r="324" customFormat="false" ht="15" hidden="false" customHeight="false" outlineLevel="0" collapsed="false">
      <c r="A324" s="10" t="str">
        <f aca="false">IF(B324="","",ROW()-5)</f>
        <v/>
      </c>
      <c r="B324" s="29"/>
      <c r="C324" s="9"/>
      <c r="D324" s="10" t="str">
        <f aca="false">IF(B324="","",IF(J324="","Active","Exited"))</f>
        <v/>
      </c>
      <c r="E324" s="9"/>
      <c r="F324" s="9"/>
      <c r="G324" s="9"/>
      <c r="H324" s="10" t="str">
        <f aca="false">IF(OR(B324="",I324=""),"",IF(IF(J324="",AsOf,J324)-I324&gt;=Settings!$C$13,"Permanent","Probation"))</f>
        <v/>
      </c>
      <c r="I324" s="30"/>
      <c r="J324" s="30"/>
    </row>
    <row r="325" customFormat="false" ht="15" hidden="false" customHeight="false" outlineLevel="0" collapsed="false">
      <c r="A325" s="10" t="str">
        <f aca="false">IF(B325="","",ROW()-5)</f>
        <v/>
      </c>
      <c r="B325" s="29"/>
      <c r="C325" s="9"/>
      <c r="D325" s="10" t="str">
        <f aca="false">IF(B325="","",IF(J325="","Active","Exited"))</f>
        <v/>
      </c>
      <c r="E325" s="9"/>
      <c r="F325" s="9"/>
      <c r="G325" s="9"/>
      <c r="H325" s="10" t="str">
        <f aca="false">IF(OR(B325="",I325=""),"",IF(IF(J325="",AsOf,J325)-I325&gt;=Settings!$C$13,"Permanent","Probation"))</f>
        <v/>
      </c>
      <c r="I325" s="30"/>
      <c r="J325" s="30"/>
    </row>
    <row r="326" customFormat="false" ht="15" hidden="false" customHeight="false" outlineLevel="0" collapsed="false">
      <c r="A326" s="10" t="str">
        <f aca="false">IF(B326="","",ROW()-5)</f>
        <v/>
      </c>
      <c r="B326" s="29"/>
      <c r="C326" s="9"/>
      <c r="D326" s="10" t="str">
        <f aca="false">IF(B326="","",IF(J326="","Active","Exited"))</f>
        <v/>
      </c>
      <c r="E326" s="9"/>
      <c r="F326" s="9"/>
      <c r="G326" s="9"/>
      <c r="H326" s="10" t="str">
        <f aca="false">IF(OR(B326="",I326=""),"",IF(IF(J326="",AsOf,J326)-I326&gt;=Settings!$C$13,"Permanent","Probation"))</f>
        <v/>
      </c>
      <c r="I326" s="30"/>
      <c r="J326" s="30"/>
    </row>
    <row r="327" customFormat="false" ht="15" hidden="false" customHeight="false" outlineLevel="0" collapsed="false">
      <c r="A327" s="10" t="str">
        <f aca="false">IF(B327="","",ROW()-5)</f>
        <v/>
      </c>
      <c r="B327" s="29"/>
      <c r="C327" s="9"/>
      <c r="D327" s="10" t="str">
        <f aca="false">IF(B327="","",IF(J327="","Active","Exited"))</f>
        <v/>
      </c>
      <c r="E327" s="9"/>
      <c r="F327" s="9"/>
      <c r="G327" s="9"/>
      <c r="H327" s="10" t="str">
        <f aca="false">IF(OR(B327="",I327=""),"",IF(IF(J327="",AsOf,J327)-I327&gt;=Settings!$C$13,"Permanent","Probation"))</f>
        <v/>
      </c>
      <c r="I327" s="30"/>
      <c r="J327" s="30"/>
    </row>
    <row r="328" customFormat="false" ht="15" hidden="false" customHeight="false" outlineLevel="0" collapsed="false">
      <c r="A328" s="10" t="str">
        <f aca="false">IF(B328="","",ROW()-5)</f>
        <v/>
      </c>
      <c r="B328" s="29"/>
      <c r="C328" s="9"/>
      <c r="D328" s="10" t="str">
        <f aca="false">IF(B328="","",IF(J328="","Active","Exited"))</f>
        <v/>
      </c>
      <c r="E328" s="9"/>
      <c r="F328" s="9"/>
      <c r="G328" s="9"/>
      <c r="H328" s="10" t="str">
        <f aca="false">IF(OR(B328="",I328=""),"",IF(IF(J328="",AsOf,J328)-I328&gt;=Settings!$C$13,"Permanent","Probation"))</f>
        <v/>
      </c>
      <c r="I328" s="30"/>
      <c r="J328" s="30"/>
    </row>
    <row r="329" customFormat="false" ht="15" hidden="false" customHeight="false" outlineLevel="0" collapsed="false">
      <c r="A329" s="10" t="str">
        <f aca="false">IF(B329="","",ROW()-5)</f>
        <v/>
      </c>
      <c r="B329" s="29"/>
      <c r="C329" s="9"/>
      <c r="D329" s="10" t="str">
        <f aca="false">IF(B329="","",IF(J329="","Active","Exited"))</f>
        <v/>
      </c>
      <c r="E329" s="9"/>
      <c r="F329" s="9"/>
      <c r="G329" s="9"/>
      <c r="H329" s="10" t="str">
        <f aca="false">IF(OR(B329="",I329=""),"",IF(IF(J329="",AsOf,J329)-I329&gt;=Settings!$C$13,"Permanent","Probation"))</f>
        <v/>
      </c>
      <c r="I329" s="30"/>
      <c r="J329" s="30"/>
    </row>
    <row r="330" customFormat="false" ht="15" hidden="false" customHeight="false" outlineLevel="0" collapsed="false">
      <c r="A330" s="10" t="str">
        <f aca="false">IF(B330="","",ROW()-5)</f>
        <v/>
      </c>
      <c r="B330" s="29"/>
      <c r="C330" s="9"/>
      <c r="D330" s="10" t="str">
        <f aca="false">IF(B330="","",IF(J330="","Active","Exited"))</f>
        <v/>
      </c>
      <c r="E330" s="9"/>
      <c r="F330" s="9"/>
      <c r="G330" s="9"/>
      <c r="H330" s="10" t="str">
        <f aca="false">IF(OR(B330="",I330=""),"",IF(IF(J330="",AsOf,J330)-I330&gt;=Settings!$C$13,"Permanent","Probation"))</f>
        <v/>
      </c>
      <c r="I330" s="30"/>
      <c r="J330" s="30"/>
    </row>
    <row r="331" customFormat="false" ht="15" hidden="false" customHeight="false" outlineLevel="0" collapsed="false">
      <c r="A331" s="10" t="str">
        <f aca="false">IF(B331="","",ROW()-5)</f>
        <v/>
      </c>
      <c r="B331" s="29"/>
      <c r="C331" s="9"/>
      <c r="D331" s="10" t="str">
        <f aca="false">IF(B331="","",IF(J331="","Active","Exited"))</f>
        <v/>
      </c>
      <c r="E331" s="9"/>
      <c r="F331" s="9"/>
      <c r="G331" s="9"/>
      <c r="H331" s="10" t="str">
        <f aca="false">IF(OR(B331="",I331=""),"",IF(IF(J331="",AsOf,J331)-I331&gt;=Settings!$C$13,"Permanent","Probation"))</f>
        <v/>
      </c>
      <c r="I331" s="30"/>
      <c r="J331" s="30"/>
    </row>
    <row r="332" customFormat="false" ht="15" hidden="false" customHeight="false" outlineLevel="0" collapsed="false">
      <c r="A332" s="10" t="str">
        <f aca="false">IF(B332="","",ROW()-5)</f>
        <v/>
      </c>
      <c r="B332" s="29"/>
      <c r="C332" s="9"/>
      <c r="D332" s="10" t="str">
        <f aca="false">IF(B332="","",IF(J332="","Active","Exited"))</f>
        <v/>
      </c>
      <c r="E332" s="9"/>
      <c r="F332" s="9"/>
      <c r="G332" s="9"/>
      <c r="H332" s="10" t="str">
        <f aca="false">IF(OR(B332="",I332=""),"",IF(IF(J332="",AsOf,J332)-I332&gt;=Settings!$C$13,"Permanent","Probation"))</f>
        <v/>
      </c>
      <c r="I332" s="30"/>
      <c r="J332" s="30"/>
    </row>
    <row r="333" customFormat="false" ht="15" hidden="false" customHeight="false" outlineLevel="0" collapsed="false">
      <c r="A333" s="10" t="str">
        <f aca="false">IF(B333="","",ROW()-5)</f>
        <v/>
      </c>
      <c r="B333" s="29"/>
      <c r="C333" s="9"/>
      <c r="D333" s="10" t="str">
        <f aca="false">IF(B333="","",IF(J333="","Active","Exited"))</f>
        <v/>
      </c>
      <c r="E333" s="9"/>
      <c r="F333" s="9"/>
      <c r="G333" s="9"/>
      <c r="H333" s="10" t="str">
        <f aca="false">IF(OR(B333="",I333=""),"",IF(IF(J333="",AsOf,J333)-I333&gt;=Settings!$C$13,"Permanent","Probation"))</f>
        <v/>
      </c>
      <c r="I333" s="30"/>
      <c r="J333" s="30"/>
    </row>
    <row r="334" customFormat="false" ht="15" hidden="false" customHeight="false" outlineLevel="0" collapsed="false">
      <c r="A334" s="10" t="str">
        <f aca="false">IF(B334="","",ROW()-5)</f>
        <v/>
      </c>
      <c r="B334" s="29"/>
      <c r="C334" s="9"/>
      <c r="D334" s="10" t="str">
        <f aca="false">IF(B334="","",IF(J334="","Active","Exited"))</f>
        <v/>
      </c>
      <c r="E334" s="9"/>
      <c r="F334" s="9"/>
      <c r="G334" s="9"/>
      <c r="H334" s="10" t="str">
        <f aca="false">IF(OR(B334="",I334=""),"",IF(IF(J334="",AsOf,J334)-I334&gt;=Settings!$C$13,"Permanent","Probation"))</f>
        <v/>
      </c>
      <c r="I334" s="30"/>
      <c r="J334" s="30"/>
    </row>
    <row r="335" customFormat="false" ht="15" hidden="false" customHeight="false" outlineLevel="0" collapsed="false">
      <c r="A335" s="10" t="str">
        <f aca="false">IF(B335="","",ROW()-5)</f>
        <v/>
      </c>
      <c r="B335" s="29"/>
      <c r="C335" s="9"/>
      <c r="D335" s="10" t="str">
        <f aca="false">IF(B335="","",IF(J335="","Active","Exited"))</f>
        <v/>
      </c>
      <c r="E335" s="9"/>
      <c r="F335" s="9"/>
      <c r="G335" s="9"/>
      <c r="H335" s="10" t="str">
        <f aca="false">IF(OR(B335="",I335=""),"",IF(IF(J335="",AsOf,J335)-I335&gt;=Settings!$C$13,"Permanent","Probation"))</f>
        <v/>
      </c>
      <c r="I335" s="30"/>
      <c r="J335" s="30"/>
    </row>
    <row r="336" customFormat="false" ht="15" hidden="false" customHeight="false" outlineLevel="0" collapsed="false">
      <c r="A336" s="10" t="str">
        <f aca="false">IF(B336="","",ROW()-5)</f>
        <v/>
      </c>
      <c r="B336" s="29"/>
      <c r="C336" s="9"/>
      <c r="D336" s="10" t="str">
        <f aca="false">IF(B336="","",IF(J336="","Active","Exited"))</f>
        <v/>
      </c>
      <c r="E336" s="9"/>
      <c r="F336" s="9"/>
      <c r="G336" s="9"/>
      <c r="H336" s="10" t="str">
        <f aca="false">IF(OR(B336="",I336=""),"",IF(IF(J336="",AsOf,J336)-I336&gt;=Settings!$C$13,"Permanent","Probation"))</f>
        <v/>
      </c>
      <c r="I336" s="30"/>
      <c r="J336" s="30"/>
    </row>
    <row r="337" customFormat="false" ht="15" hidden="false" customHeight="false" outlineLevel="0" collapsed="false">
      <c r="A337" s="10" t="str">
        <f aca="false">IF(B337="","",ROW()-5)</f>
        <v/>
      </c>
      <c r="B337" s="29"/>
      <c r="C337" s="9"/>
      <c r="D337" s="10" t="str">
        <f aca="false">IF(B337="","",IF(J337="","Active","Exited"))</f>
        <v/>
      </c>
      <c r="E337" s="9"/>
      <c r="F337" s="9"/>
      <c r="G337" s="9"/>
      <c r="H337" s="10" t="str">
        <f aca="false">IF(OR(B337="",I337=""),"",IF(IF(J337="",AsOf,J337)-I337&gt;=Settings!$C$13,"Permanent","Probation"))</f>
        <v/>
      </c>
      <c r="I337" s="30"/>
      <c r="J337" s="30"/>
    </row>
    <row r="338" customFormat="false" ht="15" hidden="false" customHeight="false" outlineLevel="0" collapsed="false">
      <c r="A338" s="10" t="str">
        <f aca="false">IF(B338="","",ROW()-5)</f>
        <v/>
      </c>
      <c r="B338" s="29"/>
      <c r="C338" s="9"/>
      <c r="D338" s="10" t="str">
        <f aca="false">IF(B338="","",IF(J338="","Active","Exited"))</f>
        <v/>
      </c>
      <c r="E338" s="9"/>
      <c r="F338" s="9"/>
      <c r="G338" s="9"/>
      <c r="H338" s="10" t="str">
        <f aca="false">IF(OR(B338="",I338=""),"",IF(IF(J338="",AsOf,J338)-I338&gt;=Settings!$C$13,"Permanent","Probation"))</f>
        <v/>
      </c>
      <c r="I338" s="30"/>
      <c r="J338" s="30"/>
    </row>
    <row r="339" customFormat="false" ht="15" hidden="false" customHeight="false" outlineLevel="0" collapsed="false">
      <c r="A339" s="10" t="str">
        <f aca="false">IF(B339="","",ROW()-5)</f>
        <v/>
      </c>
      <c r="B339" s="29"/>
      <c r="C339" s="9"/>
      <c r="D339" s="10" t="str">
        <f aca="false">IF(B339="","",IF(J339="","Active","Exited"))</f>
        <v/>
      </c>
      <c r="E339" s="9"/>
      <c r="F339" s="9"/>
      <c r="G339" s="9"/>
      <c r="H339" s="10" t="str">
        <f aca="false">IF(OR(B339="",I339=""),"",IF(IF(J339="",AsOf,J339)-I339&gt;=Settings!$C$13,"Permanent","Probation"))</f>
        <v/>
      </c>
      <c r="I339" s="30"/>
      <c r="J339" s="30"/>
    </row>
    <row r="340" customFormat="false" ht="15" hidden="false" customHeight="false" outlineLevel="0" collapsed="false">
      <c r="A340" s="10" t="str">
        <f aca="false">IF(B340="","",ROW()-5)</f>
        <v/>
      </c>
      <c r="B340" s="29"/>
      <c r="C340" s="9"/>
      <c r="D340" s="10" t="str">
        <f aca="false">IF(B340="","",IF(J340="","Active","Exited"))</f>
        <v/>
      </c>
      <c r="E340" s="9"/>
      <c r="F340" s="9"/>
      <c r="G340" s="9"/>
      <c r="H340" s="10" t="str">
        <f aca="false">IF(OR(B340="",I340=""),"",IF(IF(J340="",AsOf,J340)-I340&gt;=Settings!$C$13,"Permanent","Probation"))</f>
        <v/>
      </c>
      <c r="I340" s="30"/>
      <c r="J340" s="30"/>
    </row>
    <row r="341" customFormat="false" ht="15" hidden="false" customHeight="false" outlineLevel="0" collapsed="false">
      <c r="A341" s="10" t="str">
        <f aca="false">IF(B341="","",ROW()-5)</f>
        <v/>
      </c>
      <c r="B341" s="29"/>
      <c r="C341" s="9"/>
      <c r="D341" s="10" t="str">
        <f aca="false">IF(B341="","",IF(J341="","Active","Exited"))</f>
        <v/>
      </c>
      <c r="E341" s="9"/>
      <c r="F341" s="9"/>
      <c r="G341" s="9"/>
      <c r="H341" s="10" t="str">
        <f aca="false">IF(OR(B341="",I341=""),"",IF(IF(J341="",AsOf,J341)-I341&gt;=Settings!$C$13,"Permanent","Probation"))</f>
        <v/>
      </c>
      <c r="I341" s="30"/>
      <c r="J341" s="30"/>
    </row>
    <row r="342" customFormat="false" ht="15" hidden="false" customHeight="false" outlineLevel="0" collapsed="false">
      <c r="A342" s="10" t="str">
        <f aca="false">IF(B342="","",ROW()-5)</f>
        <v/>
      </c>
      <c r="B342" s="29"/>
      <c r="C342" s="9"/>
      <c r="D342" s="10" t="str">
        <f aca="false">IF(B342="","",IF(J342="","Active","Exited"))</f>
        <v/>
      </c>
      <c r="E342" s="9"/>
      <c r="F342" s="9"/>
      <c r="G342" s="9"/>
      <c r="H342" s="10" t="str">
        <f aca="false">IF(OR(B342="",I342=""),"",IF(IF(J342="",AsOf,J342)-I342&gt;=Settings!$C$13,"Permanent","Probation"))</f>
        <v/>
      </c>
      <c r="I342" s="30"/>
      <c r="J342" s="30"/>
    </row>
    <row r="343" customFormat="false" ht="15" hidden="false" customHeight="false" outlineLevel="0" collapsed="false">
      <c r="A343" s="10" t="str">
        <f aca="false">IF(B343="","",ROW()-5)</f>
        <v/>
      </c>
      <c r="B343" s="29"/>
      <c r="C343" s="9"/>
      <c r="D343" s="10" t="str">
        <f aca="false">IF(B343="","",IF(J343="","Active","Exited"))</f>
        <v/>
      </c>
      <c r="E343" s="9"/>
      <c r="F343" s="9"/>
      <c r="G343" s="9"/>
      <c r="H343" s="10" t="str">
        <f aca="false">IF(OR(B343="",I343=""),"",IF(IF(J343="",AsOf,J343)-I343&gt;=Settings!$C$13,"Permanent","Probation"))</f>
        <v/>
      </c>
      <c r="I343" s="30"/>
      <c r="J343" s="30"/>
    </row>
    <row r="344" customFormat="false" ht="15" hidden="false" customHeight="false" outlineLevel="0" collapsed="false">
      <c r="A344" s="10" t="str">
        <f aca="false">IF(B344="","",ROW()-5)</f>
        <v/>
      </c>
      <c r="B344" s="29"/>
      <c r="C344" s="9"/>
      <c r="D344" s="10" t="str">
        <f aca="false">IF(B344="","",IF(J344="","Active","Exited"))</f>
        <v/>
      </c>
      <c r="E344" s="9"/>
      <c r="F344" s="9"/>
      <c r="G344" s="9"/>
      <c r="H344" s="10" t="str">
        <f aca="false">IF(OR(B344="",I344=""),"",IF(IF(J344="",AsOf,J344)-I344&gt;=Settings!$C$13,"Permanent","Probation"))</f>
        <v/>
      </c>
      <c r="I344" s="30"/>
      <c r="J344" s="30"/>
    </row>
    <row r="345" customFormat="false" ht="15" hidden="false" customHeight="false" outlineLevel="0" collapsed="false">
      <c r="A345" s="10" t="str">
        <f aca="false">IF(B345="","",ROW()-5)</f>
        <v/>
      </c>
      <c r="B345" s="29"/>
      <c r="C345" s="9"/>
      <c r="D345" s="10" t="str">
        <f aca="false">IF(B345="","",IF(J345="","Active","Exited"))</f>
        <v/>
      </c>
      <c r="E345" s="9"/>
      <c r="F345" s="9"/>
      <c r="G345" s="9"/>
      <c r="H345" s="10" t="str">
        <f aca="false">IF(OR(B345="",I345=""),"",IF(IF(J345="",AsOf,J345)-I345&gt;=Settings!$C$13,"Permanent","Probation"))</f>
        <v/>
      </c>
      <c r="I345" s="30"/>
      <c r="J345" s="30"/>
    </row>
    <row r="346" customFormat="false" ht="15" hidden="false" customHeight="false" outlineLevel="0" collapsed="false">
      <c r="A346" s="10" t="str">
        <f aca="false">IF(B346="","",ROW()-5)</f>
        <v/>
      </c>
      <c r="B346" s="29"/>
      <c r="C346" s="9"/>
      <c r="D346" s="10" t="str">
        <f aca="false">IF(B346="","",IF(J346="","Active","Exited"))</f>
        <v/>
      </c>
      <c r="E346" s="9"/>
      <c r="F346" s="9"/>
      <c r="G346" s="9"/>
      <c r="H346" s="10" t="str">
        <f aca="false">IF(OR(B346="",I346=""),"",IF(IF(J346="",AsOf,J346)-I346&gt;=Settings!$C$13,"Permanent","Probation"))</f>
        <v/>
      </c>
      <c r="I346" s="30"/>
      <c r="J346" s="30"/>
    </row>
    <row r="347" customFormat="false" ht="15" hidden="false" customHeight="false" outlineLevel="0" collapsed="false">
      <c r="A347" s="10" t="str">
        <f aca="false">IF(B347="","",ROW()-5)</f>
        <v/>
      </c>
      <c r="B347" s="29"/>
      <c r="C347" s="9"/>
      <c r="D347" s="10" t="str">
        <f aca="false">IF(B347="","",IF(J347="","Active","Exited"))</f>
        <v/>
      </c>
      <c r="E347" s="9"/>
      <c r="F347" s="9"/>
      <c r="G347" s="9"/>
      <c r="H347" s="10" t="str">
        <f aca="false">IF(OR(B347="",I347=""),"",IF(IF(J347="",AsOf,J347)-I347&gt;=Settings!$C$13,"Permanent","Probation"))</f>
        <v/>
      </c>
      <c r="I347" s="30"/>
      <c r="J347" s="30"/>
    </row>
    <row r="348" customFormat="false" ht="15" hidden="false" customHeight="false" outlineLevel="0" collapsed="false">
      <c r="A348" s="10" t="str">
        <f aca="false">IF(B348="","",ROW()-5)</f>
        <v/>
      </c>
      <c r="B348" s="29"/>
      <c r="C348" s="9"/>
      <c r="D348" s="10" t="str">
        <f aca="false">IF(B348="","",IF(J348="","Active","Exited"))</f>
        <v/>
      </c>
      <c r="E348" s="9"/>
      <c r="F348" s="9"/>
      <c r="G348" s="9"/>
      <c r="H348" s="10" t="str">
        <f aca="false">IF(OR(B348="",I348=""),"",IF(IF(J348="",AsOf,J348)-I348&gt;=Settings!$C$13,"Permanent","Probation"))</f>
        <v/>
      </c>
      <c r="I348" s="30"/>
      <c r="J348" s="30"/>
    </row>
    <row r="349" customFormat="false" ht="15" hidden="false" customHeight="false" outlineLevel="0" collapsed="false">
      <c r="A349" s="10" t="str">
        <f aca="false">IF(B349="","",ROW()-5)</f>
        <v/>
      </c>
      <c r="B349" s="29"/>
      <c r="C349" s="9"/>
      <c r="D349" s="10" t="str">
        <f aca="false">IF(B349="","",IF(J349="","Active","Exited"))</f>
        <v/>
      </c>
      <c r="E349" s="9"/>
      <c r="F349" s="9"/>
      <c r="G349" s="9"/>
      <c r="H349" s="10" t="str">
        <f aca="false">IF(OR(B349="",I349=""),"",IF(IF(J349="",AsOf,J349)-I349&gt;=Settings!$C$13,"Permanent","Probation"))</f>
        <v/>
      </c>
      <c r="I349" s="30"/>
      <c r="J349" s="30"/>
    </row>
    <row r="350" customFormat="false" ht="15" hidden="false" customHeight="false" outlineLevel="0" collapsed="false">
      <c r="A350" s="10" t="str">
        <f aca="false">IF(B350="","",ROW()-5)</f>
        <v/>
      </c>
      <c r="B350" s="29"/>
      <c r="C350" s="9"/>
      <c r="D350" s="10" t="str">
        <f aca="false">IF(B350="","",IF(J350="","Active","Exited"))</f>
        <v/>
      </c>
      <c r="E350" s="9"/>
      <c r="F350" s="9"/>
      <c r="G350" s="9"/>
      <c r="H350" s="10" t="str">
        <f aca="false">IF(OR(B350="",I350=""),"",IF(IF(J350="",AsOf,J350)-I350&gt;=Settings!$C$13,"Permanent","Probation"))</f>
        <v/>
      </c>
      <c r="I350" s="30"/>
      <c r="J350" s="30"/>
    </row>
    <row r="351" customFormat="false" ht="15" hidden="false" customHeight="false" outlineLevel="0" collapsed="false">
      <c r="A351" s="10" t="str">
        <f aca="false">IF(B351="","",ROW()-5)</f>
        <v/>
      </c>
      <c r="B351" s="29"/>
      <c r="C351" s="9"/>
      <c r="D351" s="10" t="str">
        <f aca="false">IF(B351="","",IF(J351="","Active","Exited"))</f>
        <v/>
      </c>
      <c r="E351" s="9"/>
      <c r="F351" s="9"/>
      <c r="G351" s="9"/>
      <c r="H351" s="10" t="str">
        <f aca="false">IF(OR(B351="",I351=""),"",IF(IF(J351="",AsOf,J351)-I351&gt;=Settings!$C$13,"Permanent","Probation"))</f>
        <v/>
      </c>
      <c r="I351" s="30"/>
      <c r="J351" s="30"/>
    </row>
    <row r="352" customFormat="false" ht="15" hidden="false" customHeight="false" outlineLevel="0" collapsed="false">
      <c r="A352" s="10" t="str">
        <f aca="false">IF(B352="","",ROW()-5)</f>
        <v/>
      </c>
      <c r="B352" s="29"/>
      <c r="C352" s="9"/>
      <c r="D352" s="10" t="str">
        <f aca="false">IF(B352="","",IF(J352="","Active","Exited"))</f>
        <v/>
      </c>
      <c r="E352" s="9"/>
      <c r="F352" s="9"/>
      <c r="G352" s="9"/>
      <c r="H352" s="10" t="str">
        <f aca="false">IF(OR(B352="",I352=""),"",IF(IF(J352="",AsOf,J352)-I352&gt;=Settings!$C$13,"Permanent","Probation"))</f>
        <v/>
      </c>
      <c r="I352" s="30"/>
      <c r="J352" s="30"/>
    </row>
    <row r="353" customFormat="false" ht="15" hidden="false" customHeight="false" outlineLevel="0" collapsed="false">
      <c r="A353" s="10" t="str">
        <f aca="false">IF(B353="","",ROW()-5)</f>
        <v/>
      </c>
      <c r="B353" s="29"/>
      <c r="C353" s="9"/>
      <c r="D353" s="10" t="str">
        <f aca="false">IF(B353="","",IF(J353="","Active","Exited"))</f>
        <v/>
      </c>
      <c r="E353" s="9"/>
      <c r="F353" s="9"/>
      <c r="G353" s="9"/>
      <c r="H353" s="10" t="str">
        <f aca="false">IF(OR(B353="",I353=""),"",IF(IF(J353="",AsOf,J353)-I353&gt;=Settings!$C$13,"Permanent","Probation"))</f>
        <v/>
      </c>
      <c r="I353" s="30"/>
      <c r="J353" s="30"/>
    </row>
    <row r="354" customFormat="false" ht="15" hidden="false" customHeight="false" outlineLevel="0" collapsed="false">
      <c r="A354" s="10" t="str">
        <f aca="false">IF(B354="","",ROW()-5)</f>
        <v/>
      </c>
      <c r="B354" s="29"/>
      <c r="C354" s="9"/>
      <c r="D354" s="10" t="str">
        <f aca="false">IF(B354="","",IF(J354="","Active","Exited"))</f>
        <v/>
      </c>
      <c r="E354" s="9"/>
      <c r="F354" s="9"/>
      <c r="G354" s="9"/>
      <c r="H354" s="10" t="str">
        <f aca="false">IF(OR(B354="",I354=""),"",IF(IF(J354="",AsOf,J354)-I354&gt;=Settings!$C$13,"Permanent","Probation"))</f>
        <v/>
      </c>
      <c r="I354" s="30"/>
      <c r="J354" s="30"/>
    </row>
    <row r="355" customFormat="false" ht="15" hidden="false" customHeight="false" outlineLevel="0" collapsed="false">
      <c r="A355" s="10" t="str">
        <f aca="false">IF(B355="","",ROW()-5)</f>
        <v/>
      </c>
      <c r="B355" s="29"/>
      <c r="C355" s="9"/>
      <c r="D355" s="10" t="str">
        <f aca="false">IF(B355="","",IF(J355="","Active","Exited"))</f>
        <v/>
      </c>
      <c r="E355" s="9"/>
      <c r="F355" s="9"/>
      <c r="G355" s="9"/>
      <c r="H355" s="10" t="str">
        <f aca="false">IF(OR(B355="",I355=""),"",IF(IF(J355="",AsOf,J355)-I355&gt;=Settings!$C$13,"Permanent","Probation"))</f>
        <v/>
      </c>
      <c r="I355" s="30"/>
      <c r="J355" s="30"/>
    </row>
    <row r="356" customFormat="false" ht="15" hidden="false" customHeight="false" outlineLevel="0" collapsed="false">
      <c r="A356" s="10" t="str">
        <f aca="false">IF(B356="","",ROW()-5)</f>
        <v/>
      </c>
      <c r="B356" s="29"/>
      <c r="C356" s="9"/>
      <c r="D356" s="10" t="str">
        <f aca="false">IF(B356="","",IF(J356="","Active","Exited"))</f>
        <v/>
      </c>
      <c r="E356" s="9"/>
      <c r="F356" s="9"/>
      <c r="G356" s="9"/>
      <c r="H356" s="10" t="str">
        <f aca="false">IF(OR(B356="",I356=""),"",IF(IF(J356="",AsOf,J356)-I356&gt;=Settings!$C$13,"Permanent","Probation"))</f>
        <v/>
      </c>
      <c r="I356" s="30"/>
      <c r="J356" s="30"/>
    </row>
    <row r="357" customFormat="false" ht="15" hidden="false" customHeight="false" outlineLevel="0" collapsed="false">
      <c r="A357" s="10" t="str">
        <f aca="false">IF(B357="","",ROW()-5)</f>
        <v/>
      </c>
      <c r="B357" s="29"/>
      <c r="C357" s="9"/>
      <c r="D357" s="10" t="str">
        <f aca="false">IF(B357="","",IF(J357="","Active","Exited"))</f>
        <v/>
      </c>
      <c r="E357" s="9"/>
      <c r="F357" s="9"/>
      <c r="G357" s="9"/>
      <c r="H357" s="10" t="str">
        <f aca="false">IF(OR(B357="",I357=""),"",IF(IF(J357="",AsOf,J357)-I357&gt;=Settings!$C$13,"Permanent","Probation"))</f>
        <v/>
      </c>
      <c r="I357" s="30"/>
      <c r="J357" s="30"/>
    </row>
    <row r="358" customFormat="false" ht="15" hidden="false" customHeight="false" outlineLevel="0" collapsed="false">
      <c r="A358" s="10" t="str">
        <f aca="false">IF(B358="","",ROW()-5)</f>
        <v/>
      </c>
      <c r="B358" s="29"/>
      <c r="C358" s="9"/>
      <c r="D358" s="10" t="str">
        <f aca="false">IF(B358="","",IF(J358="","Active","Exited"))</f>
        <v/>
      </c>
      <c r="E358" s="9"/>
      <c r="F358" s="9"/>
      <c r="G358" s="9"/>
      <c r="H358" s="10" t="str">
        <f aca="false">IF(OR(B358="",I358=""),"",IF(IF(J358="",AsOf,J358)-I358&gt;=Settings!$C$13,"Permanent","Probation"))</f>
        <v/>
      </c>
      <c r="I358" s="30"/>
      <c r="J358" s="30"/>
    </row>
    <row r="359" customFormat="false" ht="15" hidden="false" customHeight="false" outlineLevel="0" collapsed="false">
      <c r="A359" s="10" t="str">
        <f aca="false">IF(B359="","",ROW()-5)</f>
        <v/>
      </c>
      <c r="B359" s="29"/>
      <c r="C359" s="9"/>
      <c r="D359" s="10" t="str">
        <f aca="false">IF(B359="","",IF(J359="","Active","Exited"))</f>
        <v/>
      </c>
      <c r="E359" s="9"/>
      <c r="F359" s="9"/>
      <c r="G359" s="9"/>
      <c r="H359" s="10" t="str">
        <f aca="false">IF(OR(B359="",I359=""),"",IF(IF(J359="",AsOf,J359)-I359&gt;=Settings!$C$13,"Permanent","Probation"))</f>
        <v/>
      </c>
      <c r="I359" s="30"/>
      <c r="J359" s="30"/>
    </row>
    <row r="360" customFormat="false" ht="15" hidden="false" customHeight="false" outlineLevel="0" collapsed="false">
      <c r="A360" s="10" t="str">
        <f aca="false">IF(B360="","",ROW()-5)</f>
        <v/>
      </c>
      <c r="B360" s="29"/>
      <c r="C360" s="9"/>
      <c r="D360" s="10" t="str">
        <f aca="false">IF(B360="","",IF(J360="","Active","Exited"))</f>
        <v/>
      </c>
      <c r="E360" s="9"/>
      <c r="F360" s="9"/>
      <c r="G360" s="9"/>
      <c r="H360" s="10" t="str">
        <f aca="false">IF(OR(B360="",I360=""),"",IF(IF(J360="",AsOf,J360)-I360&gt;=Settings!$C$13,"Permanent","Probation"))</f>
        <v/>
      </c>
      <c r="I360" s="30"/>
      <c r="J360" s="30"/>
    </row>
    <row r="361" customFormat="false" ht="15" hidden="false" customHeight="false" outlineLevel="0" collapsed="false">
      <c r="A361" s="10" t="str">
        <f aca="false">IF(B361="","",ROW()-5)</f>
        <v/>
      </c>
      <c r="B361" s="29"/>
      <c r="C361" s="9"/>
      <c r="D361" s="10" t="str">
        <f aca="false">IF(B361="","",IF(J361="","Active","Exited"))</f>
        <v/>
      </c>
      <c r="E361" s="9"/>
      <c r="F361" s="9"/>
      <c r="G361" s="9"/>
      <c r="H361" s="10" t="str">
        <f aca="false">IF(OR(B361="",I361=""),"",IF(IF(J361="",AsOf,J361)-I361&gt;=Settings!$C$13,"Permanent","Probation"))</f>
        <v/>
      </c>
      <c r="I361" s="30"/>
      <c r="J361" s="30"/>
    </row>
    <row r="362" customFormat="false" ht="15" hidden="false" customHeight="false" outlineLevel="0" collapsed="false">
      <c r="A362" s="10" t="str">
        <f aca="false">IF(B362="","",ROW()-5)</f>
        <v/>
      </c>
      <c r="B362" s="29"/>
      <c r="C362" s="9"/>
      <c r="D362" s="10" t="str">
        <f aca="false">IF(B362="","",IF(J362="","Active","Exited"))</f>
        <v/>
      </c>
      <c r="E362" s="9"/>
      <c r="F362" s="9"/>
      <c r="G362" s="9"/>
      <c r="H362" s="10" t="str">
        <f aca="false">IF(OR(B362="",I362=""),"",IF(IF(J362="",AsOf,J362)-I362&gt;=Settings!$C$13,"Permanent","Probation"))</f>
        <v/>
      </c>
      <c r="I362" s="30"/>
      <c r="J362" s="30"/>
    </row>
    <row r="363" customFormat="false" ht="15" hidden="false" customHeight="false" outlineLevel="0" collapsed="false">
      <c r="A363" s="10" t="str">
        <f aca="false">IF(B363="","",ROW()-5)</f>
        <v/>
      </c>
      <c r="B363" s="29"/>
      <c r="C363" s="9"/>
      <c r="D363" s="10" t="str">
        <f aca="false">IF(B363="","",IF(J363="","Active","Exited"))</f>
        <v/>
      </c>
      <c r="E363" s="9"/>
      <c r="F363" s="9"/>
      <c r="G363" s="9"/>
      <c r="H363" s="10" t="str">
        <f aca="false">IF(OR(B363="",I363=""),"",IF(IF(J363="",AsOf,J363)-I363&gt;=Settings!$C$13,"Permanent","Probation"))</f>
        <v/>
      </c>
      <c r="I363" s="30"/>
      <c r="J363" s="30"/>
    </row>
    <row r="364" customFormat="false" ht="15" hidden="false" customHeight="false" outlineLevel="0" collapsed="false">
      <c r="A364" s="10" t="str">
        <f aca="false">IF(B364="","",ROW()-5)</f>
        <v/>
      </c>
      <c r="B364" s="29"/>
      <c r="C364" s="9"/>
      <c r="D364" s="10" t="str">
        <f aca="false">IF(B364="","",IF(J364="","Active","Exited"))</f>
        <v/>
      </c>
      <c r="E364" s="9"/>
      <c r="F364" s="9"/>
      <c r="G364" s="9"/>
      <c r="H364" s="10" t="str">
        <f aca="false">IF(OR(B364="",I364=""),"",IF(IF(J364="",AsOf,J364)-I364&gt;=Settings!$C$13,"Permanent","Probation"))</f>
        <v/>
      </c>
      <c r="I364" s="30"/>
      <c r="J364" s="30"/>
    </row>
    <row r="365" customFormat="false" ht="15" hidden="false" customHeight="false" outlineLevel="0" collapsed="false">
      <c r="A365" s="10" t="str">
        <f aca="false">IF(B365="","",ROW()-5)</f>
        <v/>
      </c>
      <c r="B365" s="29"/>
      <c r="C365" s="9"/>
      <c r="D365" s="10" t="str">
        <f aca="false">IF(B365="","",IF(J365="","Active","Exited"))</f>
        <v/>
      </c>
      <c r="E365" s="9"/>
      <c r="F365" s="9"/>
      <c r="G365" s="9"/>
      <c r="H365" s="10" t="str">
        <f aca="false">IF(OR(B365="",I365=""),"",IF(IF(J365="",AsOf,J365)-I365&gt;=Settings!$C$13,"Permanent","Probation"))</f>
        <v/>
      </c>
      <c r="I365" s="30"/>
      <c r="J365" s="30"/>
    </row>
    <row r="366" customFormat="false" ht="15" hidden="false" customHeight="false" outlineLevel="0" collapsed="false">
      <c r="A366" s="10" t="str">
        <f aca="false">IF(B366="","",ROW()-5)</f>
        <v/>
      </c>
      <c r="B366" s="29"/>
      <c r="C366" s="9"/>
      <c r="D366" s="10" t="str">
        <f aca="false">IF(B366="","",IF(J366="","Active","Exited"))</f>
        <v/>
      </c>
      <c r="E366" s="9"/>
      <c r="F366" s="9"/>
      <c r="G366" s="9"/>
      <c r="H366" s="10" t="str">
        <f aca="false">IF(OR(B366="",I366=""),"",IF(IF(J366="",AsOf,J366)-I366&gt;=Settings!$C$13,"Permanent","Probation"))</f>
        <v/>
      </c>
      <c r="I366" s="30"/>
      <c r="J366" s="30"/>
    </row>
    <row r="367" customFormat="false" ht="15" hidden="false" customHeight="false" outlineLevel="0" collapsed="false">
      <c r="A367" s="10" t="str">
        <f aca="false">IF(B367="","",ROW()-5)</f>
        <v/>
      </c>
      <c r="B367" s="29"/>
      <c r="C367" s="9"/>
      <c r="D367" s="10" t="str">
        <f aca="false">IF(B367="","",IF(J367="","Active","Exited"))</f>
        <v/>
      </c>
      <c r="E367" s="9"/>
      <c r="F367" s="9"/>
      <c r="G367" s="9"/>
      <c r="H367" s="10" t="str">
        <f aca="false">IF(OR(B367="",I367=""),"",IF(IF(J367="",AsOf,J367)-I367&gt;=Settings!$C$13,"Permanent","Probation"))</f>
        <v/>
      </c>
      <c r="I367" s="30"/>
      <c r="J367" s="30"/>
    </row>
    <row r="368" customFormat="false" ht="15" hidden="false" customHeight="false" outlineLevel="0" collapsed="false">
      <c r="A368" s="10" t="str">
        <f aca="false">IF(B368="","",ROW()-5)</f>
        <v/>
      </c>
      <c r="B368" s="29"/>
      <c r="C368" s="9"/>
      <c r="D368" s="10" t="str">
        <f aca="false">IF(B368="","",IF(J368="","Active","Exited"))</f>
        <v/>
      </c>
      <c r="E368" s="9"/>
      <c r="F368" s="9"/>
      <c r="G368" s="9"/>
      <c r="H368" s="10" t="str">
        <f aca="false">IF(OR(B368="",I368=""),"",IF(IF(J368="",AsOf,J368)-I368&gt;=Settings!$C$13,"Permanent","Probation"))</f>
        <v/>
      </c>
      <c r="I368" s="30"/>
      <c r="J368" s="30"/>
    </row>
    <row r="369" customFormat="false" ht="15" hidden="false" customHeight="false" outlineLevel="0" collapsed="false">
      <c r="A369" s="10" t="str">
        <f aca="false">IF(B369="","",ROW()-5)</f>
        <v/>
      </c>
      <c r="B369" s="29"/>
      <c r="C369" s="9"/>
      <c r="D369" s="10" t="str">
        <f aca="false">IF(B369="","",IF(J369="","Active","Exited"))</f>
        <v/>
      </c>
      <c r="E369" s="9"/>
      <c r="F369" s="9"/>
      <c r="G369" s="9"/>
      <c r="H369" s="10" t="str">
        <f aca="false">IF(OR(B369="",I369=""),"",IF(IF(J369="",AsOf,J369)-I369&gt;=Settings!$C$13,"Permanent","Probation"))</f>
        <v/>
      </c>
      <c r="I369" s="30"/>
      <c r="J369" s="30"/>
    </row>
    <row r="370" customFormat="false" ht="15" hidden="false" customHeight="false" outlineLevel="0" collapsed="false">
      <c r="A370" s="10" t="str">
        <f aca="false">IF(B370="","",ROW()-5)</f>
        <v/>
      </c>
      <c r="B370" s="29"/>
      <c r="C370" s="9"/>
      <c r="D370" s="10" t="str">
        <f aca="false">IF(B370="","",IF(J370="","Active","Exited"))</f>
        <v/>
      </c>
      <c r="E370" s="9"/>
      <c r="F370" s="9"/>
      <c r="G370" s="9"/>
      <c r="H370" s="10" t="str">
        <f aca="false">IF(OR(B370="",I370=""),"",IF(IF(J370="",AsOf,J370)-I370&gt;=Settings!$C$13,"Permanent","Probation"))</f>
        <v/>
      </c>
      <c r="I370" s="30"/>
      <c r="J370" s="30"/>
    </row>
    <row r="371" customFormat="false" ht="15" hidden="false" customHeight="false" outlineLevel="0" collapsed="false">
      <c r="A371" s="10" t="str">
        <f aca="false">IF(B371="","",ROW()-5)</f>
        <v/>
      </c>
      <c r="B371" s="29"/>
      <c r="C371" s="9"/>
      <c r="D371" s="10" t="str">
        <f aca="false">IF(B371="","",IF(J371="","Active","Exited"))</f>
        <v/>
      </c>
      <c r="E371" s="9"/>
      <c r="F371" s="9"/>
      <c r="G371" s="9"/>
      <c r="H371" s="10" t="str">
        <f aca="false">IF(OR(B371="",I371=""),"",IF(IF(J371="",AsOf,J371)-I371&gt;=Settings!$C$13,"Permanent","Probation"))</f>
        <v/>
      </c>
      <c r="I371" s="30"/>
      <c r="J371" s="30"/>
    </row>
    <row r="372" customFormat="false" ht="15" hidden="false" customHeight="false" outlineLevel="0" collapsed="false">
      <c r="A372" s="10" t="str">
        <f aca="false">IF(B372="","",ROW()-5)</f>
        <v/>
      </c>
      <c r="B372" s="29"/>
      <c r="C372" s="9"/>
      <c r="D372" s="10" t="str">
        <f aca="false">IF(B372="","",IF(J372="","Active","Exited"))</f>
        <v/>
      </c>
      <c r="E372" s="9"/>
      <c r="F372" s="9"/>
      <c r="G372" s="9"/>
      <c r="H372" s="10" t="str">
        <f aca="false">IF(OR(B372="",I372=""),"",IF(IF(J372="",AsOf,J372)-I372&gt;=Settings!$C$13,"Permanent","Probation"))</f>
        <v/>
      </c>
      <c r="I372" s="30"/>
      <c r="J372" s="30"/>
    </row>
    <row r="373" customFormat="false" ht="15" hidden="false" customHeight="false" outlineLevel="0" collapsed="false">
      <c r="A373" s="10" t="str">
        <f aca="false">IF(B373="","",ROW()-5)</f>
        <v/>
      </c>
      <c r="B373" s="29"/>
      <c r="C373" s="9"/>
      <c r="D373" s="10" t="str">
        <f aca="false">IF(B373="","",IF(J373="","Active","Exited"))</f>
        <v/>
      </c>
      <c r="E373" s="9"/>
      <c r="F373" s="9"/>
      <c r="G373" s="9"/>
      <c r="H373" s="10" t="str">
        <f aca="false">IF(OR(B373="",I373=""),"",IF(IF(J373="",AsOf,J373)-I373&gt;=Settings!$C$13,"Permanent","Probation"))</f>
        <v/>
      </c>
      <c r="I373" s="30"/>
      <c r="J373" s="30"/>
    </row>
    <row r="374" customFormat="false" ht="15" hidden="false" customHeight="false" outlineLevel="0" collapsed="false">
      <c r="A374" s="10" t="str">
        <f aca="false">IF(B374="","",ROW()-5)</f>
        <v/>
      </c>
      <c r="B374" s="29"/>
      <c r="C374" s="9"/>
      <c r="D374" s="10" t="str">
        <f aca="false">IF(B374="","",IF(J374="","Active","Exited"))</f>
        <v/>
      </c>
      <c r="E374" s="9"/>
      <c r="F374" s="9"/>
      <c r="G374" s="9"/>
      <c r="H374" s="10" t="str">
        <f aca="false">IF(OR(B374="",I374=""),"",IF(IF(J374="",AsOf,J374)-I374&gt;=Settings!$C$13,"Permanent","Probation"))</f>
        <v/>
      </c>
      <c r="I374" s="30"/>
      <c r="J374" s="30"/>
    </row>
    <row r="375" customFormat="false" ht="15" hidden="false" customHeight="false" outlineLevel="0" collapsed="false">
      <c r="A375" s="10" t="str">
        <f aca="false">IF(B375="","",ROW()-5)</f>
        <v/>
      </c>
      <c r="B375" s="29"/>
      <c r="C375" s="9"/>
      <c r="D375" s="10" t="str">
        <f aca="false">IF(B375="","",IF(J375="","Active","Exited"))</f>
        <v/>
      </c>
      <c r="E375" s="9"/>
      <c r="F375" s="9"/>
      <c r="G375" s="9"/>
      <c r="H375" s="10" t="str">
        <f aca="false">IF(OR(B375="",I375=""),"",IF(IF(J375="",AsOf,J375)-I375&gt;=Settings!$C$13,"Permanent","Probation"))</f>
        <v/>
      </c>
      <c r="I375" s="30"/>
      <c r="J375" s="30"/>
    </row>
    <row r="376" customFormat="false" ht="15" hidden="false" customHeight="false" outlineLevel="0" collapsed="false">
      <c r="A376" s="10" t="str">
        <f aca="false">IF(B376="","",ROW()-5)</f>
        <v/>
      </c>
      <c r="B376" s="29"/>
      <c r="C376" s="9"/>
      <c r="D376" s="10" t="str">
        <f aca="false">IF(B376="","",IF(J376="","Active","Exited"))</f>
        <v/>
      </c>
      <c r="E376" s="9"/>
      <c r="F376" s="9"/>
      <c r="G376" s="9"/>
      <c r="H376" s="10" t="str">
        <f aca="false">IF(OR(B376="",I376=""),"",IF(IF(J376="",AsOf,J376)-I376&gt;=Settings!$C$13,"Permanent","Probation"))</f>
        <v/>
      </c>
      <c r="I376" s="30"/>
      <c r="J376" s="30"/>
    </row>
    <row r="377" customFormat="false" ht="15" hidden="false" customHeight="false" outlineLevel="0" collapsed="false">
      <c r="A377" s="10" t="str">
        <f aca="false">IF(B377="","",ROW()-5)</f>
        <v/>
      </c>
      <c r="B377" s="29"/>
      <c r="C377" s="9"/>
      <c r="D377" s="10" t="str">
        <f aca="false">IF(B377="","",IF(J377="","Active","Exited"))</f>
        <v/>
      </c>
      <c r="E377" s="9"/>
      <c r="F377" s="9"/>
      <c r="G377" s="9"/>
      <c r="H377" s="10" t="str">
        <f aca="false">IF(OR(B377="",I377=""),"",IF(IF(J377="",AsOf,J377)-I377&gt;=Settings!$C$13,"Permanent","Probation"))</f>
        <v/>
      </c>
      <c r="I377" s="30"/>
      <c r="J377" s="30"/>
    </row>
    <row r="378" customFormat="false" ht="15" hidden="false" customHeight="false" outlineLevel="0" collapsed="false">
      <c r="A378" s="10" t="str">
        <f aca="false">IF(B378="","",ROW()-5)</f>
        <v/>
      </c>
      <c r="B378" s="29"/>
      <c r="C378" s="9"/>
      <c r="D378" s="10" t="str">
        <f aca="false">IF(B378="","",IF(J378="","Active","Exited"))</f>
        <v/>
      </c>
      <c r="E378" s="9"/>
      <c r="F378" s="9"/>
      <c r="G378" s="9"/>
      <c r="H378" s="10" t="str">
        <f aca="false">IF(OR(B378="",I378=""),"",IF(IF(J378="",AsOf,J378)-I378&gt;=Settings!$C$13,"Permanent","Probation"))</f>
        <v/>
      </c>
      <c r="I378" s="30"/>
      <c r="J378" s="30"/>
    </row>
    <row r="379" customFormat="false" ht="15" hidden="false" customHeight="false" outlineLevel="0" collapsed="false">
      <c r="A379" s="10" t="str">
        <f aca="false">IF(B379="","",ROW()-5)</f>
        <v/>
      </c>
      <c r="B379" s="29"/>
      <c r="C379" s="9"/>
      <c r="D379" s="10" t="str">
        <f aca="false">IF(B379="","",IF(J379="","Active","Exited"))</f>
        <v/>
      </c>
      <c r="E379" s="9"/>
      <c r="F379" s="9"/>
      <c r="G379" s="9"/>
      <c r="H379" s="10" t="str">
        <f aca="false">IF(OR(B379="",I379=""),"",IF(IF(J379="",AsOf,J379)-I379&gt;=Settings!$C$13,"Permanent","Probation"))</f>
        <v/>
      </c>
      <c r="I379" s="30"/>
      <c r="J379" s="30"/>
    </row>
    <row r="380" customFormat="false" ht="15" hidden="false" customHeight="false" outlineLevel="0" collapsed="false">
      <c r="A380" s="10" t="str">
        <f aca="false">IF(B380="","",ROW()-5)</f>
        <v/>
      </c>
      <c r="B380" s="29"/>
      <c r="C380" s="9"/>
      <c r="D380" s="10" t="str">
        <f aca="false">IF(B380="","",IF(J380="","Active","Exited"))</f>
        <v/>
      </c>
      <c r="E380" s="9"/>
      <c r="F380" s="9"/>
      <c r="G380" s="9"/>
      <c r="H380" s="10" t="str">
        <f aca="false">IF(OR(B380="",I380=""),"",IF(IF(J380="",AsOf,J380)-I380&gt;=Settings!$C$13,"Permanent","Probation"))</f>
        <v/>
      </c>
      <c r="I380" s="30"/>
      <c r="J380" s="30"/>
    </row>
    <row r="381" customFormat="false" ht="15" hidden="false" customHeight="false" outlineLevel="0" collapsed="false">
      <c r="A381" s="10" t="str">
        <f aca="false">IF(B381="","",ROW()-5)</f>
        <v/>
      </c>
      <c r="B381" s="29"/>
      <c r="C381" s="9"/>
      <c r="D381" s="10" t="str">
        <f aca="false">IF(B381="","",IF(J381="","Active","Exited"))</f>
        <v/>
      </c>
      <c r="E381" s="9"/>
      <c r="F381" s="9"/>
      <c r="G381" s="9"/>
      <c r="H381" s="10" t="str">
        <f aca="false">IF(OR(B381="",I381=""),"",IF(IF(J381="",AsOf,J381)-I381&gt;=Settings!$C$13,"Permanent","Probation"))</f>
        <v/>
      </c>
      <c r="I381" s="30"/>
      <c r="J381" s="30"/>
    </row>
    <row r="382" customFormat="false" ht="15" hidden="false" customHeight="false" outlineLevel="0" collapsed="false">
      <c r="A382" s="10" t="str">
        <f aca="false">IF(B382="","",ROW()-5)</f>
        <v/>
      </c>
      <c r="B382" s="29"/>
      <c r="C382" s="9"/>
      <c r="D382" s="10" t="str">
        <f aca="false">IF(B382="","",IF(J382="","Active","Exited"))</f>
        <v/>
      </c>
      <c r="E382" s="9"/>
      <c r="F382" s="9"/>
      <c r="G382" s="9"/>
      <c r="H382" s="10" t="str">
        <f aca="false">IF(OR(B382="",I382=""),"",IF(IF(J382="",AsOf,J382)-I382&gt;=Settings!$C$13,"Permanent","Probation"))</f>
        <v/>
      </c>
      <c r="I382" s="30"/>
      <c r="J382" s="30"/>
    </row>
    <row r="383" customFormat="false" ht="15" hidden="false" customHeight="false" outlineLevel="0" collapsed="false">
      <c r="A383" s="10" t="str">
        <f aca="false">IF(B383="","",ROW()-5)</f>
        <v/>
      </c>
      <c r="B383" s="29"/>
      <c r="C383" s="9"/>
      <c r="D383" s="10" t="str">
        <f aca="false">IF(B383="","",IF(J383="","Active","Exited"))</f>
        <v/>
      </c>
      <c r="E383" s="9"/>
      <c r="F383" s="9"/>
      <c r="G383" s="9"/>
      <c r="H383" s="10" t="str">
        <f aca="false">IF(OR(B383="",I383=""),"",IF(IF(J383="",AsOf,J383)-I383&gt;=Settings!$C$13,"Permanent","Probation"))</f>
        <v/>
      </c>
      <c r="I383" s="30"/>
      <c r="J383" s="30"/>
    </row>
    <row r="384" customFormat="false" ht="15" hidden="false" customHeight="false" outlineLevel="0" collapsed="false">
      <c r="A384" s="10" t="str">
        <f aca="false">IF(B384="","",ROW()-5)</f>
        <v/>
      </c>
      <c r="B384" s="29"/>
      <c r="C384" s="9"/>
      <c r="D384" s="10" t="str">
        <f aca="false">IF(B384="","",IF(J384="","Active","Exited"))</f>
        <v/>
      </c>
      <c r="E384" s="9"/>
      <c r="F384" s="9"/>
      <c r="G384" s="9"/>
      <c r="H384" s="10" t="str">
        <f aca="false">IF(OR(B384="",I384=""),"",IF(IF(J384="",AsOf,J384)-I384&gt;=Settings!$C$13,"Permanent","Probation"))</f>
        <v/>
      </c>
      <c r="I384" s="30"/>
      <c r="J384" s="30"/>
    </row>
    <row r="385" customFormat="false" ht="15" hidden="false" customHeight="false" outlineLevel="0" collapsed="false">
      <c r="A385" s="10" t="str">
        <f aca="false">IF(B385="","",ROW()-5)</f>
        <v/>
      </c>
      <c r="B385" s="29"/>
      <c r="C385" s="9"/>
      <c r="D385" s="10" t="str">
        <f aca="false">IF(B385="","",IF(J385="","Active","Exited"))</f>
        <v/>
      </c>
      <c r="E385" s="9"/>
      <c r="F385" s="9"/>
      <c r="G385" s="9"/>
      <c r="H385" s="10" t="str">
        <f aca="false">IF(OR(B385="",I385=""),"",IF(IF(J385="",AsOf,J385)-I385&gt;=Settings!$C$13,"Permanent","Probation"))</f>
        <v/>
      </c>
      <c r="I385" s="30"/>
      <c r="J385" s="30"/>
    </row>
    <row r="386" customFormat="false" ht="15" hidden="false" customHeight="false" outlineLevel="0" collapsed="false">
      <c r="A386" s="10" t="str">
        <f aca="false">IF(B386="","",ROW()-5)</f>
        <v/>
      </c>
      <c r="B386" s="29"/>
      <c r="C386" s="9"/>
      <c r="D386" s="10" t="str">
        <f aca="false">IF(B386="","",IF(J386="","Active","Exited"))</f>
        <v/>
      </c>
      <c r="E386" s="9"/>
      <c r="F386" s="9"/>
      <c r="G386" s="9"/>
      <c r="H386" s="10" t="str">
        <f aca="false">IF(OR(B386="",I386=""),"",IF(IF(J386="",AsOf,J386)-I386&gt;=Settings!$C$13,"Permanent","Probation"))</f>
        <v/>
      </c>
      <c r="I386" s="30"/>
      <c r="J386" s="30"/>
    </row>
    <row r="387" customFormat="false" ht="15" hidden="false" customHeight="false" outlineLevel="0" collapsed="false">
      <c r="A387" s="10" t="str">
        <f aca="false">IF(B387="","",ROW()-5)</f>
        <v/>
      </c>
      <c r="B387" s="29"/>
      <c r="C387" s="9"/>
      <c r="D387" s="10" t="str">
        <f aca="false">IF(B387="","",IF(J387="","Active","Exited"))</f>
        <v/>
      </c>
      <c r="E387" s="9"/>
      <c r="F387" s="9"/>
      <c r="G387" s="9"/>
      <c r="H387" s="10" t="str">
        <f aca="false">IF(OR(B387="",I387=""),"",IF(IF(J387="",AsOf,J387)-I387&gt;=Settings!$C$13,"Permanent","Probation"))</f>
        <v/>
      </c>
      <c r="I387" s="30"/>
      <c r="J387" s="30"/>
    </row>
    <row r="388" customFormat="false" ht="15" hidden="false" customHeight="false" outlineLevel="0" collapsed="false">
      <c r="A388" s="10" t="str">
        <f aca="false">IF(B388="","",ROW()-5)</f>
        <v/>
      </c>
      <c r="B388" s="29"/>
      <c r="C388" s="9"/>
      <c r="D388" s="10" t="str">
        <f aca="false">IF(B388="","",IF(J388="","Active","Exited"))</f>
        <v/>
      </c>
      <c r="E388" s="9"/>
      <c r="F388" s="9"/>
      <c r="G388" s="9"/>
      <c r="H388" s="10" t="str">
        <f aca="false">IF(OR(B388="",I388=""),"",IF(IF(J388="",AsOf,J388)-I388&gt;=Settings!$C$13,"Permanent","Probation"))</f>
        <v/>
      </c>
      <c r="I388" s="30"/>
      <c r="J388" s="30"/>
    </row>
    <row r="389" customFormat="false" ht="15" hidden="false" customHeight="false" outlineLevel="0" collapsed="false">
      <c r="A389" s="10" t="str">
        <f aca="false">IF(B389="","",ROW()-5)</f>
        <v/>
      </c>
      <c r="B389" s="29"/>
      <c r="C389" s="9"/>
      <c r="D389" s="10" t="str">
        <f aca="false">IF(B389="","",IF(J389="","Active","Exited"))</f>
        <v/>
      </c>
      <c r="E389" s="9"/>
      <c r="F389" s="9"/>
      <c r="G389" s="9"/>
      <c r="H389" s="10" t="str">
        <f aca="false">IF(OR(B389="",I389=""),"",IF(IF(J389="",AsOf,J389)-I389&gt;=Settings!$C$13,"Permanent","Probation"))</f>
        <v/>
      </c>
      <c r="I389" s="30"/>
      <c r="J389" s="30"/>
    </row>
    <row r="390" customFormat="false" ht="15" hidden="false" customHeight="false" outlineLevel="0" collapsed="false">
      <c r="A390" s="10" t="str">
        <f aca="false">IF(B390="","",ROW()-5)</f>
        <v/>
      </c>
      <c r="B390" s="29"/>
      <c r="C390" s="9"/>
      <c r="D390" s="10" t="str">
        <f aca="false">IF(B390="","",IF(J390="","Active","Exited"))</f>
        <v/>
      </c>
      <c r="E390" s="9"/>
      <c r="F390" s="9"/>
      <c r="G390" s="9"/>
      <c r="H390" s="10" t="str">
        <f aca="false">IF(OR(B390="",I390=""),"",IF(IF(J390="",AsOf,J390)-I390&gt;=Settings!$C$13,"Permanent","Probation"))</f>
        <v/>
      </c>
      <c r="I390" s="30"/>
      <c r="J390" s="30"/>
    </row>
    <row r="391" customFormat="false" ht="15" hidden="false" customHeight="false" outlineLevel="0" collapsed="false">
      <c r="A391" s="10" t="str">
        <f aca="false">IF(B391="","",ROW()-5)</f>
        <v/>
      </c>
      <c r="B391" s="29"/>
      <c r="C391" s="9"/>
      <c r="D391" s="10" t="str">
        <f aca="false">IF(B391="","",IF(J391="","Active","Exited"))</f>
        <v/>
      </c>
      <c r="E391" s="9"/>
      <c r="F391" s="9"/>
      <c r="G391" s="9"/>
      <c r="H391" s="10" t="str">
        <f aca="false">IF(OR(B391="",I391=""),"",IF(IF(J391="",AsOf,J391)-I391&gt;=Settings!$C$13,"Permanent","Probation"))</f>
        <v/>
      </c>
      <c r="I391" s="30"/>
      <c r="J391" s="30"/>
    </row>
    <row r="392" customFormat="false" ht="15" hidden="false" customHeight="false" outlineLevel="0" collapsed="false">
      <c r="A392" s="10" t="str">
        <f aca="false">IF(B392="","",ROW()-5)</f>
        <v/>
      </c>
      <c r="B392" s="29"/>
      <c r="C392" s="9"/>
      <c r="D392" s="10" t="str">
        <f aca="false">IF(B392="","",IF(J392="","Active","Exited"))</f>
        <v/>
      </c>
      <c r="E392" s="9"/>
      <c r="F392" s="9"/>
      <c r="G392" s="9"/>
      <c r="H392" s="10" t="str">
        <f aca="false">IF(OR(B392="",I392=""),"",IF(IF(J392="",AsOf,J392)-I392&gt;=Settings!$C$13,"Permanent","Probation"))</f>
        <v/>
      </c>
      <c r="I392" s="30"/>
      <c r="J392" s="30"/>
    </row>
    <row r="393" customFormat="false" ht="15" hidden="false" customHeight="false" outlineLevel="0" collapsed="false">
      <c r="A393" s="10" t="str">
        <f aca="false">IF(B393="","",ROW()-5)</f>
        <v/>
      </c>
      <c r="B393" s="29"/>
      <c r="C393" s="9"/>
      <c r="D393" s="10" t="str">
        <f aca="false">IF(B393="","",IF(J393="","Active","Exited"))</f>
        <v/>
      </c>
      <c r="E393" s="9"/>
      <c r="F393" s="9"/>
      <c r="G393" s="9"/>
      <c r="H393" s="10" t="str">
        <f aca="false">IF(OR(B393="",I393=""),"",IF(IF(J393="",AsOf,J393)-I393&gt;=Settings!$C$13,"Permanent","Probation"))</f>
        <v/>
      </c>
      <c r="I393" s="30"/>
      <c r="J393" s="30"/>
    </row>
    <row r="394" customFormat="false" ht="15" hidden="false" customHeight="false" outlineLevel="0" collapsed="false">
      <c r="A394" s="10" t="str">
        <f aca="false">IF(B394="","",ROW()-5)</f>
        <v/>
      </c>
      <c r="B394" s="29"/>
      <c r="C394" s="9"/>
      <c r="D394" s="10" t="str">
        <f aca="false">IF(B394="","",IF(J394="","Active","Exited"))</f>
        <v/>
      </c>
      <c r="E394" s="9"/>
      <c r="F394" s="9"/>
      <c r="G394" s="9"/>
      <c r="H394" s="10" t="str">
        <f aca="false">IF(OR(B394="",I394=""),"",IF(IF(J394="",AsOf,J394)-I394&gt;=Settings!$C$13,"Permanent","Probation"))</f>
        <v/>
      </c>
      <c r="I394" s="30"/>
      <c r="J394" s="30"/>
    </row>
    <row r="395" customFormat="false" ht="15" hidden="false" customHeight="false" outlineLevel="0" collapsed="false">
      <c r="A395" s="10" t="str">
        <f aca="false">IF(B395="","",ROW()-5)</f>
        <v/>
      </c>
      <c r="B395" s="29"/>
      <c r="C395" s="9"/>
      <c r="D395" s="10" t="str">
        <f aca="false">IF(B395="","",IF(J395="","Active","Exited"))</f>
        <v/>
      </c>
      <c r="E395" s="9"/>
      <c r="F395" s="9"/>
      <c r="G395" s="9"/>
      <c r="H395" s="10" t="str">
        <f aca="false">IF(OR(B395="",I395=""),"",IF(IF(J395="",AsOf,J395)-I395&gt;=Settings!$C$13,"Permanent","Probation"))</f>
        <v/>
      </c>
      <c r="I395" s="30"/>
      <c r="J395" s="30"/>
    </row>
    <row r="396" customFormat="false" ht="15" hidden="false" customHeight="false" outlineLevel="0" collapsed="false">
      <c r="A396" s="10" t="str">
        <f aca="false">IF(B396="","",ROW()-5)</f>
        <v/>
      </c>
      <c r="B396" s="29"/>
      <c r="C396" s="9"/>
      <c r="D396" s="10" t="str">
        <f aca="false">IF(B396="","",IF(J396="","Active","Exited"))</f>
        <v/>
      </c>
      <c r="E396" s="9"/>
      <c r="F396" s="9"/>
      <c r="G396" s="9"/>
      <c r="H396" s="10" t="str">
        <f aca="false">IF(OR(B396="",I396=""),"",IF(IF(J396="",AsOf,J396)-I396&gt;=Settings!$C$13,"Permanent","Probation"))</f>
        <v/>
      </c>
      <c r="I396" s="30"/>
      <c r="J396" s="30"/>
    </row>
    <row r="397" customFormat="false" ht="15" hidden="false" customHeight="false" outlineLevel="0" collapsed="false">
      <c r="A397" s="10" t="str">
        <f aca="false">IF(B397="","",ROW()-5)</f>
        <v/>
      </c>
      <c r="B397" s="29"/>
      <c r="C397" s="9"/>
      <c r="D397" s="10" t="str">
        <f aca="false">IF(B397="","",IF(J397="","Active","Exited"))</f>
        <v/>
      </c>
      <c r="E397" s="9"/>
      <c r="F397" s="9"/>
      <c r="G397" s="9"/>
      <c r="H397" s="10" t="str">
        <f aca="false">IF(OR(B397="",I397=""),"",IF(IF(J397="",AsOf,J397)-I397&gt;=Settings!$C$13,"Permanent","Probation"))</f>
        <v/>
      </c>
      <c r="I397" s="30"/>
      <c r="J397" s="30"/>
    </row>
    <row r="398" customFormat="false" ht="15" hidden="false" customHeight="false" outlineLevel="0" collapsed="false">
      <c r="A398" s="10" t="str">
        <f aca="false">IF(B398="","",ROW()-5)</f>
        <v/>
      </c>
      <c r="B398" s="29"/>
      <c r="C398" s="9"/>
      <c r="D398" s="10" t="str">
        <f aca="false">IF(B398="","",IF(J398="","Active","Exited"))</f>
        <v/>
      </c>
      <c r="E398" s="9"/>
      <c r="F398" s="9"/>
      <c r="G398" s="9"/>
      <c r="H398" s="10" t="str">
        <f aca="false">IF(OR(B398="",I398=""),"",IF(IF(J398="",AsOf,J398)-I398&gt;=Settings!$C$13,"Permanent","Probation"))</f>
        <v/>
      </c>
      <c r="I398" s="30"/>
      <c r="J398" s="30"/>
    </row>
    <row r="399" customFormat="false" ht="15" hidden="false" customHeight="false" outlineLevel="0" collapsed="false">
      <c r="A399" s="10" t="str">
        <f aca="false">IF(B399="","",ROW()-5)</f>
        <v/>
      </c>
      <c r="B399" s="29"/>
      <c r="C399" s="9"/>
      <c r="D399" s="10" t="str">
        <f aca="false">IF(B399="","",IF(J399="","Active","Exited"))</f>
        <v/>
      </c>
      <c r="E399" s="9"/>
      <c r="F399" s="9"/>
      <c r="G399" s="9"/>
      <c r="H399" s="10" t="str">
        <f aca="false">IF(OR(B399="",I399=""),"",IF(IF(J399="",AsOf,J399)-I399&gt;=Settings!$C$13,"Permanent","Probation"))</f>
        <v/>
      </c>
      <c r="I399" s="30"/>
      <c r="J399" s="30"/>
    </row>
    <row r="400" customFormat="false" ht="15" hidden="false" customHeight="false" outlineLevel="0" collapsed="false">
      <c r="A400" s="10" t="str">
        <f aca="false">IF(B400="","",ROW()-5)</f>
        <v/>
      </c>
      <c r="B400" s="29"/>
      <c r="C400" s="9"/>
      <c r="D400" s="10" t="str">
        <f aca="false">IF(B400="","",IF(J400="","Active","Exited"))</f>
        <v/>
      </c>
      <c r="E400" s="9"/>
      <c r="F400" s="9"/>
      <c r="G400" s="9"/>
      <c r="H400" s="10" t="str">
        <f aca="false">IF(OR(B400="",I400=""),"",IF(IF(J400="",AsOf,J400)-I400&gt;=Settings!$C$13,"Permanent","Probation"))</f>
        <v/>
      </c>
      <c r="I400" s="30"/>
      <c r="J400" s="30"/>
    </row>
    <row r="401" customFormat="false" ht="15" hidden="false" customHeight="false" outlineLevel="0" collapsed="false">
      <c r="A401" s="10" t="str">
        <f aca="false">IF(B401="","",ROW()-5)</f>
        <v/>
      </c>
      <c r="B401" s="29"/>
      <c r="C401" s="9"/>
      <c r="D401" s="10" t="str">
        <f aca="false">IF(B401="","",IF(J401="","Active","Exited"))</f>
        <v/>
      </c>
      <c r="E401" s="9"/>
      <c r="F401" s="9"/>
      <c r="G401" s="9"/>
      <c r="H401" s="10" t="str">
        <f aca="false">IF(OR(B401="",I401=""),"",IF(IF(J401="",AsOf,J401)-I401&gt;=Settings!$C$13,"Permanent","Probation"))</f>
        <v/>
      </c>
      <c r="I401" s="30"/>
      <c r="J401" s="30"/>
    </row>
    <row r="402" customFormat="false" ht="15" hidden="false" customHeight="false" outlineLevel="0" collapsed="false">
      <c r="A402" s="10" t="str">
        <f aca="false">IF(B402="","",ROW()-5)</f>
        <v/>
      </c>
      <c r="B402" s="29"/>
      <c r="C402" s="9"/>
      <c r="D402" s="10" t="str">
        <f aca="false">IF(B402="","",IF(J402="","Active","Exited"))</f>
        <v/>
      </c>
      <c r="E402" s="9"/>
      <c r="F402" s="9"/>
      <c r="G402" s="9"/>
      <c r="H402" s="10" t="str">
        <f aca="false">IF(OR(B402="",I402=""),"",IF(IF(J402="",AsOf,J402)-I402&gt;=Settings!$C$13,"Permanent","Probation"))</f>
        <v/>
      </c>
      <c r="I402" s="30"/>
      <c r="J402" s="30"/>
    </row>
    <row r="403" customFormat="false" ht="15" hidden="false" customHeight="false" outlineLevel="0" collapsed="false">
      <c r="A403" s="10" t="str">
        <f aca="false">IF(B403="","",ROW()-5)</f>
        <v/>
      </c>
      <c r="B403" s="29"/>
      <c r="C403" s="9"/>
      <c r="D403" s="10" t="str">
        <f aca="false">IF(B403="","",IF(J403="","Active","Exited"))</f>
        <v/>
      </c>
      <c r="E403" s="9"/>
      <c r="F403" s="9"/>
      <c r="G403" s="9"/>
      <c r="H403" s="10" t="str">
        <f aca="false">IF(OR(B403="",I403=""),"",IF(IF(J403="",AsOf,J403)-I403&gt;=Settings!$C$13,"Permanent","Probation"))</f>
        <v/>
      </c>
      <c r="I403" s="30"/>
      <c r="J403" s="30"/>
    </row>
    <row r="404" customFormat="false" ht="15" hidden="false" customHeight="false" outlineLevel="0" collapsed="false">
      <c r="A404" s="10" t="str">
        <f aca="false">IF(B404="","",ROW()-5)</f>
        <v/>
      </c>
      <c r="B404" s="29"/>
      <c r="C404" s="9"/>
      <c r="D404" s="10" t="str">
        <f aca="false">IF(B404="","",IF(J404="","Active","Exited"))</f>
        <v/>
      </c>
      <c r="E404" s="9"/>
      <c r="F404" s="9"/>
      <c r="G404" s="9"/>
      <c r="H404" s="10" t="str">
        <f aca="false">IF(OR(B404="",I404=""),"",IF(IF(J404="",AsOf,J404)-I404&gt;=Settings!$C$13,"Permanent","Probation"))</f>
        <v/>
      </c>
      <c r="I404" s="30"/>
      <c r="J404" s="30"/>
    </row>
    <row r="405" customFormat="false" ht="15" hidden="false" customHeight="false" outlineLevel="0" collapsed="false">
      <c r="A405" s="10" t="str">
        <f aca="false">IF(B405="","",ROW()-5)</f>
        <v/>
      </c>
      <c r="B405" s="29"/>
      <c r="C405" s="9"/>
      <c r="D405" s="10" t="str">
        <f aca="false">IF(B405="","",IF(J405="","Active","Exited"))</f>
        <v/>
      </c>
      <c r="E405" s="9"/>
      <c r="F405" s="9"/>
      <c r="G405" s="9"/>
      <c r="H405" s="10" t="str">
        <f aca="false">IF(OR(B405="",I405=""),"",IF(IF(J405="",AsOf,J405)-I405&gt;=Settings!$C$13,"Permanent","Probation"))</f>
        <v/>
      </c>
      <c r="I405" s="30"/>
      <c r="J405" s="30"/>
    </row>
    <row r="406" customFormat="false" ht="15" hidden="false" customHeight="false" outlineLevel="0" collapsed="false">
      <c r="A406" s="10" t="str">
        <f aca="false">IF(B406="","",ROW()-5)</f>
        <v/>
      </c>
      <c r="B406" s="29"/>
      <c r="C406" s="9"/>
      <c r="D406" s="10" t="str">
        <f aca="false">IF(B406="","",IF(J406="","Active","Exited"))</f>
        <v/>
      </c>
      <c r="E406" s="9"/>
      <c r="F406" s="9"/>
      <c r="G406" s="9"/>
      <c r="H406" s="10" t="str">
        <f aca="false">IF(OR(B406="",I406=""),"",IF(IF(J406="",AsOf,J406)-I406&gt;=Settings!$C$13,"Permanent","Probation"))</f>
        <v/>
      </c>
      <c r="I406" s="30"/>
      <c r="J406" s="30"/>
    </row>
    <row r="407" customFormat="false" ht="15" hidden="false" customHeight="false" outlineLevel="0" collapsed="false">
      <c r="A407" s="10" t="str">
        <f aca="false">IF(B407="","",ROW()-5)</f>
        <v/>
      </c>
      <c r="B407" s="29"/>
      <c r="C407" s="9"/>
      <c r="D407" s="10" t="str">
        <f aca="false">IF(B407="","",IF(J407="","Active","Exited"))</f>
        <v/>
      </c>
      <c r="E407" s="9"/>
      <c r="F407" s="9"/>
      <c r="G407" s="9"/>
      <c r="H407" s="10" t="str">
        <f aca="false">IF(OR(B407="",I407=""),"",IF(IF(J407="",AsOf,J407)-I407&gt;=Settings!$C$13,"Permanent","Probation"))</f>
        <v/>
      </c>
      <c r="I407" s="30"/>
      <c r="J407" s="30"/>
    </row>
    <row r="408" customFormat="false" ht="15" hidden="false" customHeight="false" outlineLevel="0" collapsed="false">
      <c r="A408" s="10" t="str">
        <f aca="false">IF(B408="","",ROW()-5)</f>
        <v/>
      </c>
      <c r="B408" s="29"/>
      <c r="C408" s="9"/>
      <c r="D408" s="10" t="str">
        <f aca="false">IF(B408="","",IF(J408="","Active","Exited"))</f>
        <v/>
      </c>
      <c r="E408" s="9"/>
      <c r="F408" s="9"/>
      <c r="G408" s="9"/>
      <c r="H408" s="10" t="str">
        <f aca="false">IF(OR(B408="",I408=""),"",IF(IF(J408="",AsOf,J408)-I408&gt;=Settings!$C$13,"Permanent","Probation"))</f>
        <v/>
      </c>
      <c r="I408" s="30"/>
      <c r="J408" s="30"/>
    </row>
    <row r="409" customFormat="false" ht="15" hidden="false" customHeight="false" outlineLevel="0" collapsed="false">
      <c r="A409" s="10" t="str">
        <f aca="false">IF(B409="","",ROW()-5)</f>
        <v/>
      </c>
      <c r="B409" s="29"/>
      <c r="C409" s="9"/>
      <c r="D409" s="10" t="str">
        <f aca="false">IF(B409="","",IF(J409="","Active","Exited"))</f>
        <v/>
      </c>
      <c r="E409" s="9"/>
      <c r="F409" s="9"/>
      <c r="G409" s="9"/>
      <c r="H409" s="10" t="str">
        <f aca="false">IF(OR(B409="",I409=""),"",IF(IF(J409="",AsOf,J409)-I409&gt;=Settings!$C$13,"Permanent","Probation"))</f>
        <v/>
      </c>
      <c r="I409" s="30"/>
      <c r="J409" s="30"/>
    </row>
    <row r="410" customFormat="false" ht="15" hidden="false" customHeight="false" outlineLevel="0" collapsed="false">
      <c r="A410" s="10" t="str">
        <f aca="false">IF(B410="","",ROW()-5)</f>
        <v/>
      </c>
      <c r="B410" s="29"/>
      <c r="C410" s="9"/>
      <c r="D410" s="10" t="str">
        <f aca="false">IF(B410="","",IF(J410="","Active","Exited"))</f>
        <v/>
      </c>
      <c r="E410" s="9"/>
      <c r="F410" s="9"/>
      <c r="G410" s="9"/>
      <c r="H410" s="10" t="str">
        <f aca="false">IF(OR(B410="",I410=""),"",IF(IF(J410="",AsOf,J410)-I410&gt;=Settings!$C$13,"Permanent","Probation"))</f>
        <v/>
      </c>
      <c r="I410" s="30"/>
      <c r="J410" s="30"/>
    </row>
    <row r="411" customFormat="false" ht="15" hidden="false" customHeight="false" outlineLevel="0" collapsed="false">
      <c r="A411" s="10" t="str">
        <f aca="false">IF(B411="","",ROW()-5)</f>
        <v/>
      </c>
      <c r="B411" s="29"/>
      <c r="C411" s="9"/>
      <c r="D411" s="10" t="str">
        <f aca="false">IF(B411="","",IF(J411="","Active","Exited"))</f>
        <v/>
      </c>
      <c r="E411" s="9"/>
      <c r="F411" s="9"/>
      <c r="G411" s="9"/>
      <c r="H411" s="10" t="str">
        <f aca="false">IF(OR(B411="",I411=""),"",IF(IF(J411="",AsOf,J411)-I411&gt;=Settings!$C$13,"Permanent","Probation"))</f>
        <v/>
      </c>
      <c r="I411" s="30"/>
      <c r="J411" s="30"/>
    </row>
    <row r="412" customFormat="false" ht="15" hidden="false" customHeight="false" outlineLevel="0" collapsed="false">
      <c r="A412" s="10" t="str">
        <f aca="false">IF(B412="","",ROW()-5)</f>
        <v/>
      </c>
      <c r="B412" s="29"/>
      <c r="C412" s="9"/>
      <c r="D412" s="10" t="str">
        <f aca="false">IF(B412="","",IF(J412="","Active","Exited"))</f>
        <v/>
      </c>
      <c r="E412" s="9"/>
      <c r="F412" s="9"/>
      <c r="G412" s="9"/>
      <c r="H412" s="10" t="str">
        <f aca="false">IF(OR(B412="",I412=""),"",IF(IF(J412="",AsOf,J412)-I412&gt;=Settings!$C$13,"Permanent","Probation"))</f>
        <v/>
      </c>
      <c r="I412" s="30"/>
      <c r="J412" s="30"/>
    </row>
    <row r="413" customFormat="false" ht="15" hidden="false" customHeight="false" outlineLevel="0" collapsed="false">
      <c r="A413" s="10" t="str">
        <f aca="false">IF(B413="","",ROW()-5)</f>
        <v/>
      </c>
      <c r="B413" s="29"/>
      <c r="C413" s="9"/>
      <c r="D413" s="10" t="str">
        <f aca="false">IF(B413="","",IF(J413="","Active","Exited"))</f>
        <v/>
      </c>
      <c r="E413" s="9"/>
      <c r="F413" s="9"/>
      <c r="G413" s="9"/>
      <c r="H413" s="10" t="str">
        <f aca="false">IF(OR(B413="",I413=""),"",IF(IF(J413="",AsOf,J413)-I413&gt;=Settings!$C$13,"Permanent","Probation"))</f>
        <v/>
      </c>
      <c r="I413" s="30"/>
      <c r="J413" s="30"/>
    </row>
    <row r="414" customFormat="false" ht="15" hidden="false" customHeight="false" outlineLevel="0" collapsed="false">
      <c r="A414" s="10" t="str">
        <f aca="false">IF(B414="","",ROW()-5)</f>
        <v/>
      </c>
      <c r="B414" s="29"/>
      <c r="C414" s="9"/>
      <c r="D414" s="10" t="str">
        <f aca="false">IF(B414="","",IF(J414="","Active","Exited"))</f>
        <v/>
      </c>
      <c r="E414" s="9"/>
      <c r="F414" s="9"/>
      <c r="G414" s="9"/>
      <c r="H414" s="10" t="str">
        <f aca="false">IF(OR(B414="",I414=""),"",IF(IF(J414="",AsOf,J414)-I414&gt;=Settings!$C$13,"Permanent","Probation"))</f>
        <v/>
      </c>
      <c r="I414" s="30"/>
      <c r="J414" s="30"/>
    </row>
    <row r="415" customFormat="false" ht="15" hidden="false" customHeight="false" outlineLevel="0" collapsed="false">
      <c r="A415" s="10" t="str">
        <f aca="false">IF(B415="","",ROW()-5)</f>
        <v/>
      </c>
      <c r="B415" s="29"/>
      <c r="C415" s="9"/>
      <c r="D415" s="10" t="str">
        <f aca="false">IF(B415="","",IF(J415="","Active","Exited"))</f>
        <v/>
      </c>
      <c r="E415" s="9"/>
      <c r="F415" s="9"/>
      <c r="G415" s="9"/>
      <c r="H415" s="10" t="str">
        <f aca="false">IF(OR(B415="",I415=""),"",IF(IF(J415="",AsOf,J415)-I415&gt;=Settings!$C$13,"Permanent","Probation"))</f>
        <v/>
      </c>
      <c r="I415" s="30"/>
      <c r="J415" s="30"/>
    </row>
    <row r="416" customFormat="false" ht="15" hidden="false" customHeight="false" outlineLevel="0" collapsed="false">
      <c r="A416" s="10" t="str">
        <f aca="false">IF(B416="","",ROW()-5)</f>
        <v/>
      </c>
      <c r="B416" s="29"/>
      <c r="C416" s="9"/>
      <c r="D416" s="10" t="str">
        <f aca="false">IF(B416="","",IF(J416="","Active","Exited"))</f>
        <v/>
      </c>
      <c r="E416" s="9"/>
      <c r="F416" s="9"/>
      <c r="G416" s="9"/>
      <c r="H416" s="10" t="str">
        <f aca="false">IF(OR(B416="",I416=""),"",IF(IF(J416="",AsOf,J416)-I416&gt;=Settings!$C$13,"Permanent","Probation"))</f>
        <v/>
      </c>
      <c r="I416" s="30"/>
      <c r="J416" s="30"/>
    </row>
    <row r="417" customFormat="false" ht="15" hidden="false" customHeight="false" outlineLevel="0" collapsed="false">
      <c r="A417" s="10" t="str">
        <f aca="false">IF(B417="","",ROW()-5)</f>
        <v/>
      </c>
      <c r="B417" s="29"/>
      <c r="C417" s="9"/>
      <c r="D417" s="10" t="str">
        <f aca="false">IF(B417="","",IF(J417="","Active","Exited"))</f>
        <v/>
      </c>
      <c r="E417" s="9"/>
      <c r="F417" s="9"/>
      <c r="G417" s="9"/>
      <c r="H417" s="10" t="str">
        <f aca="false">IF(OR(B417="",I417=""),"",IF(IF(J417="",AsOf,J417)-I417&gt;=Settings!$C$13,"Permanent","Probation"))</f>
        <v/>
      </c>
      <c r="I417" s="30"/>
      <c r="J417" s="30"/>
    </row>
    <row r="418" customFormat="false" ht="15" hidden="false" customHeight="false" outlineLevel="0" collapsed="false">
      <c r="A418" s="10" t="str">
        <f aca="false">IF(B418="","",ROW()-5)</f>
        <v/>
      </c>
      <c r="B418" s="29"/>
      <c r="C418" s="9"/>
      <c r="D418" s="10" t="str">
        <f aca="false">IF(B418="","",IF(J418="","Active","Exited"))</f>
        <v/>
      </c>
      <c r="E418" s="9"/>
      <c r="F418" s="9"/>
      <c r="G418" s="9"/>
      <c r="H418" s="10" t="str">
        <f aca="false">IF(OR(B418="",I418=""),"",IF(IF(J418="",AsOf,J418)-I418&gt;=Settings!$C$13,"Permanent","Probation"))</f>
        <v/>
      </c>
      <c r="I418" s="30"/>
      <c r="J418" s="30"/>
    </row>
    <row r="419" customFormat="false" ht="15" hidden="false" customHeight="false" outlineLevel="0" collapsed="false">
      <c r="A419" s="10" t="str">
        <f aca="false">IF(B419="","",ROW()-5)</f>
        <v/>
      </c>
      <c r="B419" s="29"/>
      <c r="C419" s="9"/>
      <c r="D419" s="10" t="str">
        <f aca="false">IF(B419="","",IF(J419="","Active","Exited"))</f>
        <v/>
      </c>
      <c r="E419" s="9"/>
      <c r="F419" s="9"/>
      <c r="G419" s="9"/>
      <c r="H419" s="10" t="str">
        <f aca="false">IF(OR(B419="",I419=""),"",IF(IF(J419="",AsOf,J419)-I419&gt;=Settings!$C$13,"Permanent","Probation"))</f>
        <v/>
      </c>
      <c r="I419" s="30"/>
      <c r="J419" s="30"/>
    </row>
    <row r="420" customFormat="false" ht="15" hidden="false" customHeight="false" outlineLevel="0" collapsed="false">
      <c r="A420" s="10" t="str">
        <f aca="false">IF(B420="","",ROW()-5)</f>
        <v/>
      </c>
      <c r="B420" s="29"/>
      <c r="C420" s="9"/>
      <c r="D420" s="10" t="str">
        <f aca="false">IF(B420="","",IF(J420="","Active","Exited"))</f>
        <v/>
      </c>
      <c r="E420" s="9"/>
      <c r="F420" s="9"/>
      <c r="G420" s="9"/>
      <c r="H420" s="10" t="str">
        <f aca="false">IF(OR(B420="",I420=""),"",IF(IF(J420="",AsOf,J420)-I420&gt;=Settings!$C$13,"Permanent","Probation"))</f>
        <v/>
      </c>
      <c r="I420" s="30"/>
      <c r="J420" s="30"/>
    </row>
    <row r="421" customFormat="false" ht="15" hidden="false" customHeight="false" outlineLevel="0" collapsed="false">
      <c r="A421" s="10" t="str">
        <f aca="false">IF(B421="","",ROW()-5)</f>
        <v/>
      </c>
      <c r="B421" s="29"/>
      <c r="C421" s="9"/>
      <c r="D421" s="10" t="str">
        <f aca="false">IF(B421="","",IF(J421="","Active","Exited"))</f>
        <v/>
      </c>
      <c r="E421" s="9"/>
      <c r="F421" s="9"/>
      <c r="G421" s="9"/>
      <c r="H421" s="10" t="str">
        <f aca="false">IF(OR(B421="",I421=""),"",IF(IF(J421="",AsOf,J421)-I421&gt;=Settings!$C$13,"Permanent","Probation"))</f>
        <v/>
      </c>
      <c r="I421" s="30"/>
      <c r="J421" s="30"/>
    </row>
    <row r="422" customFormat="false" ht="15" hidden="false" customHeight="false" outlineLevel="0" collapsed="false">
      <c r="A422" s="10" t="str">
        <f aca="false">IF(B422="","",ROW()-5)</f>
        <v/>
      </c>
      <c r="B422" s="29"/>
      <c r="C422" s="9"/>
      <c r="D422" s="10" t="str">
        <f aca="false">IF(B422="","",IF(J422="","Active","Exited"))</f>
        <v/>
      </c>
      <c r="E422" s="9"/>
      <c r="F422" s="9"/>
      <c r="G422" s="9"/>
      <c r="H422" s="10" t="str">
        <f aca="false">IF(OR(B422="",I422=""),"",IF(IF(J422="",AsOf,J422)-I422&gt;=Settings!$C$13,"Permanent","Probation"))</f>
        <v/>
      </c>
      <c r="I422" s="30"/>
      <c r="J422" s="30"/>
    </row>
    <row r="423" customFormat="false" ht="15" hidden="false" customHeight="false" outlineLevel="0" collapsed="false">
      <c r="A423" s="10" t="str">
        <f aca="false">IF(B423="","",ROW()-5)</f>
        <v/>
      </c>
      <c r="B423" s="29"/>
      <c r="C423" s="9"/>
      <c r="D423" s="10" t="str">
        <f aca="false">IF(B423="","",IF(J423="","Active","Exited"))</f>
        <v/>
      </c>
      <c r="E423" s="9"/>
      <c r="F423" s="9"/>
      <c r="G423" s="9"/>
      <c r="H423" s="10" t="str">
        <f aca="false">IF(OR(B423="",I423=""),"",IF(IF(J423="",AsOf,J423)-I423&gt;=Settings!$C$13,"Permanent","Probation"))</f>
        <v/>
      </c>
      <c r="I423" s="30"/>
      <c r="J423" s="30"/>
    </row>
    <row r="424" customFormat="false" ht="15" hidden="false" customHeight="false" outlineLevel="0" collapsed="false">
      <c r="A424" s="10" t="str">
        <f aca="false">IF(B424="","",ROW()-5)</f>
        <v/>
      </c>
      <c r="B424" s="29"/>
      <c r="C424" s="9"/>
      <c r="D424" s="10" t="str">
        <f aca="false">IF(B424="","",IF(J424="","Active","Exited"))</f>
        <v/>
      </c>
      <c r="E424" s="9"/>
      <c r="F424" s="9"/>
      <c r="G424" s="9"/>
      <c r="H424" s="10" t="str">
        <f aca="false">IF(OR(B424="",I424=""),"",IF(IF(J424="",AsOf,J424)-I424&gt;=Settings!$C$13,"Permanent","Probation"))</f>
        <v/>
      </c>
      <c r="I424" s="30"/>
      <c r="J424" s="30"/>
    </row>
    <row r="425" customFormat="false" ht="15" hidden="false" customHeight="false" outlineLevel="0" collapsed="false">
      <c r="A425" s="10" t="str">
        <f aca="false">IF(B425="","",ROW()-5)</f>
        <v/>
      </c>
      <c r="B425" s="29"/>
      <c r="C425" s="9"/>
      <c r="D425" s="10" t="str">
        <f aca="false">IF(B425="","",IF(J425="","Active","Exited"))</f>
        <v/>
      </c>
      <c r="E425" s="9"/>
      <c r="F425" s="9"/>
      <c r="G425" s="9"/>
      <c r="H425" s="10" t="str">
        <f aca="false">IF(OR(B425="",I425=""),"",IF(IF(J425="",AsOf,J425)-I425&gt;=Settings!$C$13,"Permanent","Probation"))</f>
        <v/>
      </c>
      <c r="I425" s="30"/>
      <c r="J425" s="30"/>
    </row>
    <row r="426" customFormat="false" ht="15" hidden="false" customHeight="false" outlineLevel="0" collapsed="false">
      <c r="A426" s="10" t="str">
        <f aca="false">IF(B426="","",ROW()-5)</f>
        <v/>
      </c>
      <c r="B426" s="29"/>
      <c r="C426" s="9"/>
      <c r="D426" s="10" t="str">
        <f aca="false">IF(B426="","",IF(J426="","Active","Exited"))</f>
        <v/>
      </c>
      <c r="E426" s="9"/>
      <c r="F426" s="9"/>
      <c r="G426" s="9"/>
      <c r="H426" s="10" t="str">
        <f aca="false">IF(OR(B426="",I426=""),"",IF(IF(J426="",AsOf,J426)-I426&gt;=Settings!$C$13,"Permanent","Probation"))</f>
        <v/>
      </c>
      <c r="I426" s="30"/>
      <c r="J426" s="30"/>
    </row>
    <row r="427" customFormat="false" ht="15" hidden="false" customHeight="false" outlineLevel="0" collapsed="false">
      <c r="A427" s="10" t="str">
        <f aca="false">IF(B427="","",ROW()-5)</f>
        <v/>
      </c>
      <c r="B427" s="29"/>
      <c r="C427" s="9"/>
      <c r="D427" s="10" t="str">
        <f aca="false">IF(B427="","",IF(J427="","Active","Exited"))</f>
        <v/>
      </c>
      <c r="E427" s="9"/>
      <c r="F427" s="9"/>
      <c r="G427" s="9"/>
      <c r="H427" s="10" t="str">
        <f aca="false">IF(OR(B427="",I427=""),"",IF(IF(J427="",AsOf,J427)-I427&gt;=Settings!$C$13,"Permanent","Probation"))</f>
        <v/>
      </c>
      <c r="I427" s="30"/>
      <c r="J427" s="30"/>
    </row>
    <row r="428" customFormat="false" ht="15" hidden="false" customHeight="false" outlineLevel="0" collapsed="false">
      <c r="A428" s="10" t="str">
        <f aca="false">IF(B428="","",ROW()-5)</f>
        <v/>
      </c>
      <c r="B428" s="29"/>
      <c r="C428" s="9"/>
      <c r="D428" s="10" t="str">
        <f aca="false">IF(B428="","",IF(J428="","Active","Exited"))</f>
        <v/>
      </c>
      <c r="E428" s="9"/>
      <c r="F428" s="9"/>
      <c r="G428" s="9"/>
      <c r="H428" s="10" t="str">
        <f aca="false">IF(OR(B428="",I428=""),"",IF(IF(J428="",AsOf,J428)-I428&gt;=Settings!$C$13,"Permanent","Probation"))</f>
        <v/>
      </c>
      <c r="I428" s="30"/>
      <c r="J428" s="30"/>
    </row>
    <row r="429" customFormat="false" ht="15" hidden="false" customHeight="false" outlineLevel="0" collapsed="false">
      <c r="A429" s="10" t="str">
        <f aca="false">IF(B429="","",ROW()-5)</f>
        <v/>
      </c>
      <c r="B429" s="29"/>
      <c r="C429" s="9"/>
      <c r="D429" s="10" t="str">
        <f aca="false">IF(B429="","",IF(J429="","Active","Exited"))</f>
        <v/>
      </c>
      <c r="E429" s="9"/>
      <c r="F429" s="9"/>
      <c r="G429" s="9"/>
      <c r="H429" s="10" t="str">
        <f aca="false">IF(OR(B429="",I429=""),"",IF(IF(J429="",AsOf,J429)-I429&gt;=Settings!$C$13,"Permanent","Probation"))</f>
        <v/>
      </c>
      <c r="I429" s="30"/>
      <c r="J429" s="30"/>
    </row>
    <row r="430" customFormat="false" ht="15" hidden="false" customHeight="false" outlineLevel="0" collapsed="false">
      <c r="A430" s="10" t="str">
        <f aca="false">IF(B430="","",ROW()-5)</f>
        <v/>
      </c>
      <c r="B430" s="29"/>
      <c r="C430" s="9"/>
      <c r="D430" s="10" t="str">
        <f aca="false">IF(B430="","",IF(J430="","Active","Exited"))</f>
        <v/>
      </c>
      <c r="E430" s="9"/>
      <c r="F430" s="9"/>
      <c r="G430" s="9"/>
      <c r="H430" s="10" t="str">
        <f aca="false">IF(OR(B430="",I430=""),"",IF(IF(J430="",AsOf,J430)-I430&gt;=Settings!$C$13,"Permanent","Probation"))</f>
        <v/>
      </c>
      <c r="I430" s="30"/>
      <c r="J430" s="30"/>
    </row>
    <row r="431" customFormat="false" ht="15" hidden="false" customHeight="false" outlineLevel="0" collapsed="false">
      <c r="A431" s="10" t="str">
        <f aca="false">IF(B431="","",ROW()-5)</f>
        <v/>
      </c>
      <c r="B431" s="29"/>
      <c r="C431" s="9"/>
      <c r="D431" s="10" t="str">
        <f aca="false">IF(B431="","",IF(J431="","Active","Exited"))</f>
        <v/>
      </c>
      <c r="E431" s="9"/>
      <c r="F431" s="9"/>
      <c r="G431" s="9"/>
      <c r="H431" s="10" t="str">
        <f aca="false">IF(OR(B431="",I431=""),"",IF(IF(J431="",AsOf,J431)-I431&gt;=Settings!$C$13,"Permanent","Probation"))</f>
        <v/>
      </c>
      <c r="I431" s="30"/>
      <c r="J431" s="30"/>
    </row>
    <row r="432" customFormat="false" ht="15" hidden="false" customHeight="false" outlineLevel="0" collapsed="false">
      <c r="A432" s="10" t="str">
        <f aca="false">IF(B432="","",ROW()-5)</f>
        <v/>
      </c>
      <c r="B432" s="29"/>
      <c r="C432" s="9"/>
      <c r="D432" s="10" t="str">
        <f aca="false">IF(B432="","",IF(J432="","Active","Exited"))</f>
        <v/>
      </c>
      <c r="E432" s="9"/>
      <c r="F432" s="9"/>
      <c r="G432" s="9"/>
      <c r="H432" s="10" t="str">
        <f aca="false">IF(OR(B432="",I432=""),"",IF(IF(J432="",AsOf,J432)-I432&gt;=Settings!$C$13,"Permanent","Probation"))</f>
        <v/>
      </c>
      <c r="I432" s="30"/>
      <c r="J432" s="30"/>
    </row>
    <row r="433" customFormat="false" ht="15" hidden="false" customHeight="false" outlineLevel="0" collapsed="false">
      <c r="A433" s="10" t="str">
        <f aca="false">IF(B433="","",ROW()-5)</f>
        <v/>
      </c>
      <c r="B433" s="29"/>
      <c r="C433" s="9"/>
      <c r="D433" s="10" t="str">
        <f aca="false">IF(B433="","",IF(J433="","Active","Exited"))</f>
        <v/>
      </c>
      <c r="E433" s="9"/>
      <c r="F433" s="9"/>
      <c r="G433" s="9"/>
      <c r="H433" s="10" t="str">
        <f aca="false">IF(OR(B433="",I433=""),"",IF(IF(J433="",AsOf,J433)-I433&gt;=Settings!$C$13,"Permanent","Probation"))</f>
        <v/>
      </c>
      <c r="I433" s="30"/>
      <c r="J433" s="30"/>
    </row>
    <row r="434" customFormat="false" ht="15" hidden="false" customHeight="false" outlineLevel="0" collapsed="false">
      <c r="A434" s="10" t="str">
        <f aca="false">IF(B434="","",ROW()-5)</f>
        <v/>
      </c>
      <c r="B434" s="29"/>
      <c r="C434" s="9"/>
      <c r="D434" s="10" t="str">
        <f aca="false">IF(B434="","",IF(J434="","Active","Exited"))</f>
        <v/>
      </c>
      <c r="E434" s="9"/>
      <c r="F434" s="9"/>
      <c r="G434" s="9"/>
      <c r="H434" s="10" t="str">
        <f aca="false">IF(OR(B434="",I434=""),"",IF(IF(J434="",AsOf,J434)-I434&gt;=Settings!$C$13,"Permanent","Probation"))</f>
        <v/>
      </c>
      <c r="I434" s="30"/>
      <c r="J434" s="30"/>
    </row>
    <row r="435" customFormat="false" ht="15" hidden="false" customHeight="false" outlineLevel="0" collapsed="false">
      <c r="A435" s="10" t="str">
        <f aca="false">IF(B435="","",ROW()-5)</f>
        <v/>
      </c>
      <c r="B435" s="29"/>
      <c r="C435" s="9"/>
      <c r="D435" s="10" t="str">
        <f aca="false">IF(B435="","",IF(J435="","Active","Exited"))</f>
        <v/>
      </c>
      <c r="E435" s="9"/>
      <c r="F435" s="9"/>
      <c r="G435" s="9"/>
      <c r="H435" s="10" t="str">
        <f aca="false">IF(OR(B435="",I435=""),"",IF(IF(J435="",AsOf,J435)-I435&gt;=Settings!$C$13,"Permanent","Probation"))</f>
        <v/>
      </c>
      <c r="I435" s="30"/>
      <c r="J435" s="30"/>
    </row>
    <row r="436" customFormat="false" ht="15" hidden="false" customHeight="false" outlineLevel="0" collapsed="false">
      <c r="A436" s="10" t="str">
        <f aca="false">IF(B436="","",ROW()-5)</f>
        <v/>
      </c>
      <c r="B436" s="29"/>
      <c r="C436" s="9"/>
      <c r="D436" s="10" t="str">
        <f aca="false">IF(B436="","",IF(J436="","Active","Exited"))</f>
        <v/>
      </c>
      <c r="E436" s="9"/>
      <c r="F436" s="9"/>
      <c r="G436" s="9"/>
      <c r="H436" s="10" t="str">
        <f aca="false">IF(OR(B436="",I436=""),"",IF(IF(J436="",AsOf,J436)-I436&gt;=Settings!$C$13,"Permanent","Probation"))</f>
        <v/>
      </c>
      <c r="I436" s="30"/>
      <c r="J436" s="30"/>
    </row>
    <row r="437" customFormat="false" ht="15" hidden="false" customHeight="false" outlineLevel="0" collapsed="false">
      <c r="A437" s="10" t="str">
        <f aca="false">IF(B437="","",ROW()-5)</f>
        <v/>
      </c>
      <c r="B437" s="29"/>
      <c r="C437" s="9"/>
      <c r="D437" s="10" t="str">
        <f aca="false">IF(B437="","",IF(J437="","Active","Exited"))</f>
        <v/>
      </c>
      <c r="E437" s="9"/>
      <c r="F437" s="9"/>
      <c r="G437" s="9"/>
      <c r="H437" s="10" t="str">
        <f aca="false">IF(OR(B437="",I437=""),"",IF(IF(J437="",AsOf,J437)-I437&gt;=Settings!$C$13,"Permanent","Probation"))</f>
        <v/>
      </c>
      <c r="I437" s="30"/>
      <c r="J437" s="30"/>
    </row>
    <row r="438" customFormat="false" ht="15" hidden="false" customHeight="false" outlineLevel="0" collapsed="false">
      <c r="A438" s="10" t="str">
        <f aca="false">IF(B438="","",ROW()-5)</f>
        <v/>
      </c>
      <c r="B438" s="29"/>
      <c r="C438" s="9"/>
      <c r="D438" s="10" t="str">
        <f aca="false">IF(B438="","",IF(J438="","Active","Exited"))</f>
        <v/>
      </c>
      <c r="E438" s="9"/>
      <c r="F438" s="9"/>
      <c r="G438" s="9"/>
      <c r="H438" s="10" t="str">
        <f aca="false">IF(OR(B438="",I438=""),"",IF(IF(J438="",AsOf,J438)-I438&gt;=Settings!$C$13,"Permanent","Probation"))</f>
        <v/>
      </c>
      <c r="I438" s="30"/>
      <c r="J438" s="30"/>
    </row>
    <row r="439" customFormat="false" ht="15" hidden="false" customHeight="false" outlineLevel="0" collapsed="false">
      <c r="A439" s="10" t="str">
        <f aca="false">IF(B439="","",ROW()-5)</f>
        <v/>
      </c>
      <c r="B439" s="29"/>
      <c r="C439" s="9"/>
      <c r="D439" s="10" t="str">
        <f aca="false">IF(B439="","",IF(J439="","Active","Exited"))</f>
        <v/>
      </c>
      <c r="E439" s="9"/>
      <c r="F439" s="9"/>
      <c r="G439" s="9"/>
      <c r="H439" s="10" t="str">
        <f aca="false">IF(OR(B439="",I439=""),"",IF(IF(J439="",AsOf,J439)-I439&gt;=Settings!$C$13,"Permanent","Probation"))</f>
        <v/>
      </c>
      <c r="I439" s="30"/>
      <c r="J439" s="30"/>
    </row>
    <row r="440" customFormat="false" ht="15" hidden="false" customHeight="false" outlineLevel="0" collapsed="false">
      <c r="A440" s="10" t="str">
        <f aca="false">IF(B440="","",ROW()-5)</f>
        <v/>
      </c>
      <c r="B440" s="29"/>
      <c r="C440" s="9"/>
      <c r="D440" s="10" t="str">
        <f aca="false">IF(B440="","",IF(J440="","Active","Exited"))</f>
        <v/>
      </c>
      <c r="E440" s="9"/>
      <c r="F440" s="9"/>
      <c r="G440" s="9"/>
      <c r="H440" s="10" t="str">
        <f aca="false">IF(OR(B440="",I440=""),"",IF(IF(J440="",AsOf,J440)-I440&gt;=Settings!$C$13,"Permanent","Probation"))</f>
        <v/>
      </c>
      <c r="I440" s="30"/>
      <c r="J440" s="30"/>
    </row>
    <row r="441" customFormat="false" ht="15" hidden="false" customHeight="false" outlineLevel="0" collapsed="false">
      <c r="A441" s="10" t="str">
        <f aca="false">IF(B441="","",ROW()-5)</f>
        <v/>
      </c>
      <c r="B441" s="29"/>
      <c r="C441" s="9"/>
      <c r="D441" s="10" t="str">
        <f aca="false">IF(B441="","",IF(J441="","Active","Exited"))</f>
        <v/>
      </c>
      <c r="E441" s="9"/>
      <c r="F441" s="9"/>
      <c r="G441" s="9"/>
      <c r="H441" s="10" t="str">
        <f aca="false">IF(OR(B441="",I441=""),"",IF(IF(J441="",AsOf,J441)-I441&gt;=Settings!$C$13,"Permanent","Probation"))</f>
        <v/>
      </c>
      <c r="I441" s="30"/>
      <c r="J441" s="30"/>
    </row>
    <row r="442" customFormat="false" ht="15" hidden="false" customHeight="false" outlineLevel="0" collapsed="false">
      <c r="A442" s="10" t="str">
        <f aca="false">IF(B442="","",ROW()-5)</f>
        <v/>
      </c>
      <c r="B442" s="29"/>
      <c r="C442" s="9"/>
      <c r="D442" s="10" t="str">
        <f aca="false">IF(B442="","",IF(J442="","Active","Exited"))</f>
        <v/>
      </c>
      <c r="E442" s="9"/>
      <c r="F442" s="9"/>
      <c r="G442" s="9"/>
      <c r="H442" s="10" t="str">
        <f aca="false">IF(OR(B442="",I442=""),"",IF(IF(J442="",AsOf,J442)-I442&gt;=Settings!$C$13,"Permanent","Probation"))</f>
        <v/>
      </c>
      <c r="I442" s="30"/>
      <c r="J442" s="30"/>
    </row>
    <row r="443" customFormat="false" ht="15" hidden="false" customHeight="false" outlineLevel="0" collapsed="false">
      <c r="A443" s="10" t="str">
        <f aca="false">IF(B443="","",ROW()-5)</f>
        <v/>
      </c>
      <c r="B443" s="29"/>
      <c r="C443" s="9"/>
      <c r="D443" s="10" t="str">
        <f aca="false">IF(B443="","",IF(J443="","Active","Exited"))</f>
        <v/>
      </c>
      <c r="E443" s="9"/>
      <c r="F443" s="9"/>
      <c r="G443" s="9"/>
      <c r="H443" s="10" t="str">
        <f aca="false">IF(OR(B443="",I443=""),"",IF(IF(J443="",AsOf,J443)-I443&gt;=Settings!$C$13,"Permanent","Probation"))</f>
        <v/>
      </c>
      <c r="I443" s="30"/>
      <c r="J443" s="30"/>
    </row>
    <row r="444" customFormat="false" ht="15" hidden="false" customHeight="false" outlineLevel="0" collapsed="false">
      <c r="A444" s="10" t="str">
        <f aca="false">IF(B444="","",ROW()-5)</f>
        <v/>
      </c>
      <c r="B444" s="29"/>
      <c r="C444" s="9"/>
      <c r="D444" s="10" t="str">
        <f aca="false">IF(B444="","",IF(J444="","Active","Exited"))</f>
        <v/>
      </c>
      <c r="E444" s="9"/>
      <c r="F444" s="9"/>
      <c r="G444" s="9"/>
      <c r="H444" s="10" t="str">
        <f aca="false">IF(OR(B444="",I444=""),"",IF(IF(J444="",AsOf,J444)-I444&gt;=Settings!$C$13,"Permanent","Probation"))</f>
        <v/>
      </c>
      <c r="I444" s="30"/>
      <c r="J444" s="30"/>
    </row>
    <row r="445" customFormat="false" ht="15" hidden="false" customHeight="false" outlineLevel="0" collapsed="false">
      <c r="A445" s="10" t="str">
        <f aca="false">IF(B445="","",ROW()-5)</f>
        <v/>
      </c>
      <c r="B445" s="29"/>
      <c r="C445" s="9"/>
      <c r="D445" s="10" t="str">
        <f aca="false">IF(B445="","",IF(J445="","Active","Exited"))</f>
        <v/>
      </c>
      <c r="E445" s="9"/>
      <c r="F445" s="9"/>
      <c r="G445" s="9"/>
      <c r="H445" s="10" t="str">
        <f aca="false">IF(OR(B445="",I445=""),"",IF(IF(J445="",AsOf,J445)-I445&gt;=Settings!$C$13,"Permanent","Probation"))</f>
        <v/>
      </c>
      <c r="I445" s="30"/>
      <c r="J445" s="30"/>
    </row>
    <row r="446" customFormat="false" ht="15" hidden="false" customHeight="false" outlineLevel="0" collapsed="false">
      <c r="A446" s="10" t="str">
        <f aca="false">IF(B446="","",ROW()-5)</f>
        <v/>
      </c>
      <c r="B446" s="29"/>
      <c r="C446" s="9"/>
      <c r="D446" s="10" t="str">
        <f aca="false">IF(B446="","",IF(J446="","Active","Exited"))</f>
        <v/>
      </c>
      <c r="E446" s="9"/>
      <c r="F446" s="9"/>
      <c r="G446" s="9"/>
      <c r="H446" s="10" t="str">
        <f aca="false">IF(OR(B446="",I446=""),"",IF(IF(J446="",AsOf,J446)-I446&gt;=Settings!$C$13,"Permanent","Probation"))</f>
        <v/>
      </c>
      <c r="I446" s="30"/>
      <c r="J446" s="30"/>
    </row>
    <row r="447" customFormat="false" ht="15" hidden="false" customHeight="false" outlineLevel="0" collapsed="false">
      <c r="A447" s="10" t="str">
        <f aca="false">IF(B447="","",ROW()-5)</f>
        <v/>
      </c>
      <c r="B447" s="29"/>
      <c r="C447" s="9"/>
      <c r="D447" s="10" t="str">
        <f aca="false">IF(B447="","",IF(J447="","Active","Exited"))</f>
        <v/>
      </c>
      <c r="E447" s="9"/>
      <c r="F447" s="9"/>
      <c r="G447" s="9"/>
      <c r="H447" s="10" t="str">
        <f aca="false">IF(OR(B447="",I447=""),"",IF(IF(J447="",AsOf,J447)-I447&gt;=Settings!$C$13,"Permanent","Probation"))</f>
        <v/>
      </c>
      <c r="I447" s="30"/>
      <c r="J447" s="30"/>
    </row>
    <row r="448" customFormat="false" ht="15" hidden="false" customHeight="false" outlineLevel="0" collapsed="false">
      <c r="A448" s="10" t="str">
        <f aca="false">IF(B448="","",ROW()-5)</f>
        <v/>
      </c>
      <c r="B448" s="29"/>
      <c r="C448" s="9"/>
      <c r="D448" s="10" t="str">
        <f aca="false">IF(B448="","",IF(J448="","Active","Exited"))</f>
        <v/>
      </c>
      <c r="E448" s="9"/>
      <c r="F448" s="9"/>
      <c r="G448" s="9"/>
      <c r="H448" s="10" t="str">
        <f aca="false">IF(OR(B448="",I448=""),"",IF(IF(J448="",AsOf,J448)-I448&gt;=Settings!$C$13,"Permanent","Probation"))</f>
        <v/>
      </c>
      <c r="I448" s="30"/>
      <c r="J448" s="30"/>
    </row>
    <row r="449" customFormat="false" ht="15" hidden="false" customHeight="false" outlineLevel="0" collapsed="false">
      <c r="A449" s="10" t="str">
        <f aca="false">IF(B449="","",ROW()-5)</f>
        <v/>
      </c>
      <c r="B449" s="29"/>
      <c r="C449" s="9"/>
      <c r="D449" s="10" t="str">
        <f aca="false">IF(B449="","",IF(J449="","Active","Exited"))</f>
        <v/>
      </c>
      <c r="E449" s="9"/>
      <c r="F449" s="9"/>
      <c r="G449" s="9"/>
      <c r="H449" s="10" t="str">
        <f aca="false">IF(OR(B449="",I449=""),"",IF(IF(J449="",AsOf,J449)-I449&gt;=Settings!$C$13,"Permanent","Probation"))</f>
        <v/>
      </c>
      <c r="I449" s="30"/>
      <c r="J449" s="30"/>
    </row>
    <row r="450" customFormat="false" ht="15" hidden="false" customHeight="false" outlineLevel="0" collapsed="false">
      <c r="A450" s="10" t="str">
        <f aca="false">IF(B450="","",ROW()-5)</f>
        <v/>
      </c>
      <c r="B450" s="29"/>
      <c r="C450" s="9"/>
      <c r="D450" s="10" t="str">
        <f aca="false">IF(B450="","",IF(J450="","Active","Exited"))</f>
        <v/>
      </c>
      <c r="E450" s="9"/>
      <c r="F450" s="9"/>
      <c r="G450" s="9"/>
      <c r="H450" s="10" t="str">
        <f aca="false">IF(OR(B450="",I450=""),"",IF(IF(J450="",AsOf,J450)-I450&gt;=Settings!$C$13,"Permanent","Probation"))</f>
        <v/>
      </c>
      <c r="I450" s="30"/>
      <c r="J450" s="30"/>
    </row>
    <row r="451" customFormat="false" ht="15" hidden="false" customHeight="false" outlineLevel="0" collapsed="false">
      <c r="A451" s="10" t="str">
        <f aca="false">IF(B451="","",ROW()-5)</f>
        <v/>
      </c>
      <c r="B451" s="29"/>
      <c r="C451" s="9"/>
      <c r="D451" s="10" t="str">
        <f aca="false">IF(B451="","",IF(J451="","Active","Exited"))</f>
        <v/>
      </c>
      <c r="E451" s="9"/>
      <c r="F451" s="9"/>
      <c r="G451" s="9"/>
      <c r="H451" s="10" t="str">
        <f aca="false">IF(OR(B451="",I451=""),"",IF(IF(J451="",AsOf,J451)-I451&gt;=Settings!$C$13,"Permanent","Probation"))</f>
        <v/>
      </c>
      <c r="I451" s="30"/>
      <c r="J451" s="30"/>
    </row>
    <row r="452" customFormat="false" ht="15" hidden="false" customHeight="false" outlineLevel="0" collapsed="false">
      <c r="A452" s="10" t="str">
        <f aca="false">IF(B452="","",ROW()-5)</f>
        <v/>
      </c>
      <c r="B452" s="29"/>
      <c r="C452" s="9"/>
      <c r="D452" s="10" t="str">
        <f aca="false">IF(B452="","",IF(J452="","Active","Exited"))</f>
        <v/>
      </c>
      <c r="E452" s="9"/>
      <c r="F452" s="9"/>
      <c r="G452" s="9"/>
      <c r="H452" s="10" t="str">
        <f aca="false">IF(OR(B452="",I452=""),"",IF(IF(J452="",AsOf,J452)-I452&gt;=Settings!$C$13,"Permanent","Probation"))</f>
        <v/>
      </c>
      <c r="I452" s="30"/>
      <c r="J452" s="30"/>
    </row>
    <row r="453" customFormat="false" ht="15" hidden="false" customHeight="false" outlineLevel="0" collapsed="false">
      <c r="A453" s="10" t="str">
        <f aca="false">IF(B453="","",ROW()-5)</f>
        <v/>
      </c>
      <c r="B453" s="29"/>
      <c r="C453" s="9"/>
      <c r="D453" s="10" t="str">
        <f aca="false">IF(B453="","",IF(J453="","Active","Exited"))</f>
        <v/>
      </c>
      <c r="E453" s="9"/>
      <c r="F453" s="9"/>
      <c r="G453" s="9"/>
      <c r="H453" s="10" t="str">
        <f aca="false">IF(OR(B453="",I453=""),"",IF(IF(J453="",AsOf,J453)-I453&gt;=Settings!$C$13,"Permanent","Probation"))</f>
        <v/>
      </c>
      <c r="I453" s="30"/>
      <c r="J453" s="30"/>
    </row>
    <row r="454" customFormat="false" ht="15" hidden="false" customHeight="false" outlineLevel="0" collapsed="false">
      <c r="A454" s="10" t="str">
        <f aca="false">IF(B454="","",ROW()-5)</f>
        <v/>
      </c>
      <c r="B454" s="29"/>
      <c r="C454" s="9"/>
      <c r="D454" s="10" t="str">
        <f aca="false">IF(B454="","",IF(J454="","Active","Exited"))</f>
        <v/>
      </c>
      <c r="E454" s="9"/>
      <c r="F454" s="9"/>
      <c r="G454" s="9"/>
      <c r="H454" s="10" t="str">
        <f aca="false">IF(OR(B454="",I454=""),"",IF(IF(J454="",AsOf,J454)-I454&gt;=Settings!$C$13,"Permanent","Probation"))</f>
        <v/>
      </c>
      <c r="I454" s="30"/>
      <c r="J454" s="30"/>
    </row>
    <row r="455" customFormat="false" ht="15" hidden="false" customHeight="false" outlineLevel="0" collapsed="false">
      <c r="A455" s="10" t="str">
        <f aca="false">IF(B455="","",ROW()-5)</f>
        <v/>
      </c>
      <c r="B455" s="29"/>
      <c r="C455" s="9"/>
      <c r="D455" s="10" t="str">
        <f aca="false">IF(B455="","",IF(J455="","Active","Exited"))</f>
        <v/>
      </c>
      <c r="E455" s="9"/>
      <c r="F455" s="9"/>
      <c r="G455" s="9"/>
      <c r="H455" s="10" t="str">
        <f aca="false">IF(OR(B455="",I455=""),"",IF(IF(J455="",AsOf,J455)-I455&gt;=Settings!$C$13,"Permanent","Probation"))</f>
        <v/>
      </c>
      <c r="I455" s="30"/>
      <c r="J455" s="30"/>
    </row>
    <row r="456" customFormat="false" ht="15" hidden="false" customHeight="false" outlineLevel="0" collapsed="false">
      <c r="A456" s="10" t="str">
        <f aca="false">IF(B456="","",ROW()-5)</f>
        <v/>
      </c>
      <c r="B456" s="29"/>
      <c r="C456" s="9"/>
      <c r="D456" s="10" t="str">
        <f aca="false">IF(B456="","",IF(J456="","Active","Exited"))</f>
        <v/>
      </c>
      <c r="E456" s="9"/>
      <c r="F456" s="9"/>
      <c r="G456" s="9"/>
      <c r="H456" s="10" t="str">
        <f aca="false">IF(OR(B456="",I456=""),"",IF(IF(J456="",AsOf,J456)-I456&gt;=Settings!$C$13,"Permanent","Probation"))</f>
        <v/>
      </c>
      <c r="I456" s="30"/>
      <c r="J456" s="30"/>
    </row>
    <row r="457" customFormat="false" ht="15" hidden="false" customHeight="false" outlineLevel="0" collapsed="false">
      <c r="A457" s="10" t="str">
        <f aca="false">IF(B457="","",ROW()-5)</f>
        <v/>
      </c>
      <c r="B457" s="29"/>
      <c r="C457" s="9"/>
      <c r="D457" s="10" t="str">
        <f aca="false">IF(B457="","",IF(J457="","Active","Exited"))</f>
        <v/>
      </c>
      <c r="E457" s="9"/>
      <c r="F457" s="9"/>
      <c r="G457" s="9"/>
      <c r="H457" s="10" t="str">
        <f aca="false">IF(OR(B457="",I457=""),"",IF(IF(J457="",AsOf,J457)-I457&gt;=Settings!$C$13,"Permanent","Probation"))</f>
        <v/>
      </c>
      <c r="I457" s="30"/>
      <c r="J457" s="30"/>
    </row>
    <row r="458" customFormat="false" ht="15" hidden="false" customHeight="false" outlineLevel="0" collapsed="false">
      <c r="A458" s="10" t="str">
        <f aca="false">IF(B458="","",ROW()-5)</f>
        <v/>
      </c>
      <c r="B458" s="29"/>
      <c r="C458" s="9"/>
      <c r="D458" s="10" t="str">
        <f aca="false">IF(B458="","",IF(J458="","Active","Exited"))</f>
        <v/>
      </c>
      <c r="E458" s="9"/>
      <c r="F458" s="9"/>
      <c r="G458" s="9"/>
      <c r="H458" s="10" t="str">
        <f aca="false">IF(OR(B458="",I458=""),"",IF(IF(J458="",AsOf,J458)-I458&gt;=Settings!$C$13,"Permanent","Probation"))</f>
        <v/>
      </c>
      <c r="I458" s="30"/>
      <c r="J458" s="30"/>
    </row>
    <row r="459" customFormat="false" ht="15" hidden="false" customHeight="false" outlineLevel="0" collapsed="false">
      <c r="A459" s="10" t="str">
        <f aca="false">IF(B459="","",ROW()-5)</f>
        <v/>
      </c>
      <c r="B459" s="29"/>
      <c r="C459" s="9"/>
      <c r="D459" s="10" t="str">
        <f aca="false">IF(B459="","",IF(J459="","Active","Exited"))</f>
        <v/>
      </c>
      <c r="E459" s="9"/>
      <c r="F459" s="9"/>
      <c r="G459" s="9"/>
      <c r="H459" s="10" t="str">
        <f aca="false">IF(OR(B459="",I459=""),"",IF(IF(J459="",AsOf,J459)-I459&gt;=Settings!$C$13,"Permanent","Probation"))</f>
        <v/>
      </c>
      <c r="I459" s="30"/>
      <c r="J459" s="30"/>
    </row>
    <row r="460" customFormat="false" ht="15" hidden="false" customHeight="false" outlineLevel="0" collapsed="false">
      <c r="A460" s="10" t="str">
        <f aca="false">IF(B460="","",ROW()-5)</f>
        <v/>
      </c>
      <c r="B460" s="29"/>
      <c r="C460" s="9"/>
      <c r="D460" s="10" t="str">
        <f aca="false">IF(B460="","",IF(J460="","Active","Exited"))</f>
        <v/>
      </c>
      <c r="E460" s="9"/>
      <c r="F460" s="9"/>
      <c r="G460" s="9"/>
      <c r="H460" s="10" t="str">
        <f aca="false">IF(OR(B460="",I460=""),"",IF(IF(J460="",AsOf,J460)-I460&gt;=Settings!$C$13,"Permanent","Probation"))</f>
        <v/>
      </c>
      <c r="I460" s="30"/>
      <c r="J460" s="30"/>
    </row>
    <row r="461" customFormat="false" ht="15" hidden="false" customHeight="false" outlineLevel="0" collapsed="false">
      <c r="A461" s="10" t="str">
        <f aca="false">IF(B461="","",ROW()-5)</f>
        <v/>
      </c>
      <c r="B461" s="29"/>
      <c r="C461" s="9"/>
      <c r="D461" s="10" t="str">
        <f aca="false">IF(B461="","",IF(J461="","Active","Exited"))</f>
        <v/>
      </c>
      <c r="E461" s="9"/>
      <c r="F461" s="9"/>
      <c r="G461" s="9"/>
      <c r="H461" s="10" t="str">
        <f aca="false">IF(OR(B461="",I461=""),"",IF(IF(J461="",AsOf,J461)-I461&gt;=Settings!$C$13,"Permanent","Probation"))</f>
        <v/>
      </c>
      <c r="I461" s="30"/>
      <c r="J461" s="30"/>
    </row>
    <row r="462" customFormat="false" ht="15" hidden="false" customHeight="false" outlineLevel="0" collapsed="false">
      <c r="A462" s="10" t="str">
        <f aca="false">IF(B462="","",ROW()-5)</f>
        <v/>
      </c>
      <c r="B462" s="29"/>
      <c r="C462" s="9"/>
      <c r="D462" s="10" t="str">
        <f aca="false">IF(B462="","",IF(J462="","Active","Exited"))</f>
        <v/>
      </c>
      <c r="E462" s="9"/>
      <c r="F462" s="9"/>
      <c r="G462" s="9"/>
      <c r="H462" s="10" t="str">
        <f aca="false">IF(OR(B462="",I462=""),"",IF(IF(J462="",AsOf,J462)-I462&gt;=Settings!$C$13,"Permanent","Probation"))</f>
        <v/>
      </c>
      <c r="I462" s="30"/>
      <c r="J462" s="30"/>
    </row>
    <row r="463" customFormat="false" ht="15" hidden="false" customHeight="false" outlineLevel="0" collapsed="false">
      <c r="A463" s="10" t="str">
        <f aca="false">IF(B463="","",ROW()-5)</f>
        <v/>
      </c>
      <c r="B463" s="29"/>
      <c r="C463" s="9"/>
      <c r="D463" s="10" t="str">
        <f aca="false">IF(B463="","",IF(J463="","Active","Exited"))</f>
        <v/>
      </c>
      <c r="E463" s="9"/>
      <c r="F463" s="9"/>
      <c r="G463" s="9"/>
      <c r="H463" s="10" t="str">
        <f aca="false">IF(OR(B463="",I463=""),"",IF(IF(J463="",AsOf,J463)-I463&gt;=Settings!$C$13,"Permanent","Probation"))</f>
        <v/>
      </c>
      <c r="I463" s="30"/>
      <c r="J463" s="30"/>
    </row>
    <row r="464" customFormat="false" ht="15" hidden="false" customHeight="false" outlineLevel="0" collapsed="false">
      <c r="A464" s="10" t="str">
        <f aca="false">IF(B464="","",ROW()-5)</f>
        <v/>
      </c>
      <c r="B464" s="29"/>
      <c r="C464" s="9"/>
      <c r="D464" s="10" t="str">
        <f aca="false">IF(B464="","",IF(J464="","Active","Exited"))</f>
        <v/>
      </c>
      <c r="E464" s="9"/>
      <c r="F464" s="9"/>
      <c r="G464" s="9"/>
      <c r="H464" s="10" t="str">
        <f aca="false">IF(OR(B464="",I464=""),"",IF(IF(J464="",AsOf,J464)-I464&gt;=Settings!$C$13,"Permanent","Probation"))</f>
        <v/>
      </c>
      <c r="I464" s="30"/>
      <c r="J464" s="30"/>
    </row>
    <row r="465" customFormat="false" ht="15" hidden="false" customHeight="false" outlineLevel="0" collapsed="false">
      <c r="A465" s="10" t="str">
        <f aca="false">IF(B465="","",ROW()-5)</f>
        <v/>
      </c>
      <c r="B465" s="29"/>
      <c r="C465" s="9"/>
      <c r="D465" s="10" t="str">
        <f aca="false">IF(B465="","",IF(J465="","Active","Exited"))</f>
        <v/>
      </c>
      <c r="E465" s="9"/>
      <c r="F465" s="9"/>
      <c r="G465" s="9"/>
      <c r="H465" s="10" t="str">
        <f aca="false">IF(OR(B465="",I465=""),"",IF(IF(J465="",AsOf,J465)-I465&gt;=Settings!$C$13,"Permanent","Probation"))</f>
        <v/>
      </c>
      <c r="I465" s="30"/>
      <c r="J465" s="30"/>
    </row>
    <row r="466" customFormat="false" ht="15" hidden="false" customHeight="false" outlineLevel="0" collapsed="false">
      <c r="A466" s="10" t="str">
        <f aca="false">IF(B466="","",ROW()-5)</f>
        <v/>
      </c>
      <c r="B466" s="29"/>
      <c r="C466" s="9"/>
      <c r="D466" s="10" t="str">
        <f aca="false">IF(B466="","",IF(J466="","Active","Exited"))</f>
        <v/>
      </c>
      <c r="E466" s="9"/>
      <c r="F466" s="9"/>
      <c r="G466" s="9"/>
      <c r="H466" s="10" t="str">
        <f aca="false">IF(OR(B466="",I466=""),"",IF(IF(J466="",AsOf,J466)-I466&gt;=Settings!$C$13,"Permanent","Probation"))</f>
        <v/>
      </c>
      <c r="I466" s="30"/>
      <c r="J466" s="30"/>
    </row>
    <row r="467" customFormat="false" ht="15" hidden="false" customHeight="false" outlineLevel="0" collapsed="false">
      <c r="A467" s="10" t="str">
        <f aca="false">IF(B467="","",ROW()-5)</f>
        <v/>
      </c>
      <c r="B467" s="29"/>
      <c r="C467" s="9"/>
      <c r="D467" s="10" t="str">
        <f aca="false">IF(B467="","",IF(J467="","Active","Exited"))</f>
        <v/>
      </c>
      <c r="E467" s="9"/>
      <c r="F467" s="9"/>
      <c r="G467" s="9"/>
      <c r="H467" s="10" t="str">
        <f aca="false">IF(OR(B467="",I467=""),"",IF(IF(J467="",AsOf,J467)-I467&gt;=Settings!$C$13,"Permanent","Probation"))</f>
        <v/>
      </c>
      <c r="I467" s="30"/>
      <c r="J467" s="30"/>
    </row>
    <row r="468" customFormat="false" ht="15" hidden="false" customHeight="false" outlineLevel="0" collapsed="false">
      <c r="A468" s="10" t="str">
        <f aca="false">IF(B468="","",ROW()-5)</f>
        <v/>
      </c>
      <c r="B468" s="29"/>
      <c r="C468" s="9"/>
      <c r="D468" s="10" t="str">
        <f aca="false">IF(B468="","",IF(J468="","Active","Exited"))</f>
        <v/>
      </c>
      <c r="E468" s="9"/>
      <c r="F468" s="9"/>
      <c r="G468" s="9"/>
      <c r="H468" s="10" t="str">
        <f aca="false">IF(OR(B468="",I468=""),"",IF(IF(J468="",AsOf,J468)-I468&gt;=Settings!$C$13,"Permanent","Probation"))</f>
        <v/>
      </c>
      <c r="I468" s="30"/>
      <c r="J468" s="30"/>
    </row>
    <row r="469" customFormat="false" ht="15" hidden="false" customHeight="false" outlineLevel="0" collapsed="false">
      <c r="A469" s="10" t="str">
        <f aca="false">IF(B469="","",ROW()-5)</f>
        <v/>
      </c>
      <c r="B469" s="29"/>
      <c r="C469" s="9"/>
      <c r="D469" s="10" t="str">
        <f aca="false">IF(B469="","",IF(J469="","Active","Exited"))</f>
        <v/>
      </c>
      <c r="E469" s="9"/>
      <c r="F469" s="9"/>
      <c r="G469" s="9"/>
      <c r="H469" s="10" t="str">
        <f aca="false">IF(OR(B469="",I469=""),"",IF(IF(J469="",AsOf,J469)-I469&gt;=Settings!$C$13,"Permanent","Probation"))</f>
        <v/>
      </c>
      <c r="I469" s="30"/>
      <c r="J469" s="30"/>
    </row>
    <row r="470" customFormat="false" ht="15" hidden="false" customHeight="false" outlineLevel="0" collapsed="false">
      <c r="A470" s="10" t="str">
        <f aca="false">IF(B470="","",ROW()-5)</f>
        <v/>
      </c>
      <c r="B470" s="29"/>
      <c r="C470" s="9"/>
      <c r="D470" s="10" t="str">
        <f aca="false">IF(B470="","",IF(J470="","Active","Exited"))</f>
        <v/>
      </c>
      <c r="E470" s="9"/>
      <c r="F470" s="9"/>
      <c r="G470" s="9"/>
      <c r="H470" s="10" t="str">
        <f aca="false">IF(OR(B470="",I470=""),"",IF(IF(J470="",AsOf,J470)-I470&gt;=Settings!$C$13,"Permanent","Probation"))</f>
        <v/>
      </c>
      <c r="I470" s="30"/>
      <c r="J470" s="30"/>
    </row>
    <row r="471" customFormat="false" ht="15" hidden="false" customHeight="false" outlineLevel="0" collapsed="false">
      <c r="A471" s="10" t="str">
        <f aca="false">IF(B471="","",ROW()-5)</f>
        <v/>
      </c>
      <c r="B471" s="29"/>
      <c r="C471" s="9"/>
      <c r="D471" s="10" t="str">
        <f aca="false">IF(B471="","",IF(J471="","Active","Exited"))</f>
        <v/>
      </c>
      <c r="E471" s="9"/>
      <c r="F471" s="9"/>
      <c r="G471" s="9"/>
      <c r="H471" s="10" t="str">
        <f aca="false">IF(OR(B471="",I471=""),"",IF(IF(J471="",AsOf,J471)-I471&gt;=Settings!$C$13,"Permanent","Probation"))</f>
        <v/>
      </c>
      <c r="I471" s="30"/>
      <c r="J471" s="30"/>
    </row>
    <row r="472" customFormat="false" ht="15" hidden="false" customHeight="false" outlineLevel="0" collapsed="false">
      <c r="A472" s="10" t="str">
        <f aca="false">IF(B472="","",ROW()-5)</f>
        <v/>
      </c>
      <c r="B472" s="29"/>
      <c r="C472" s="9"/>
      <c r="D472" s="10" t="str">
        <f aca="false">IF(B472="","",IF(J472="","Active","Exited"))</f>
        <v/>
      </c>
      <c r="E472" s="9"/>
      <c r="F472" s="9"/>
      <c r="G472" s="9"/>
      <c r="H472" s="10" t="str">
        <f aca="false">IF(OR(B472="",I472=""),"",IF(IF(J472="",AsOf,J472)-I472&gt;=Settings!$C$13,"Permanent","Probation"))</f>
        <v/>
      </c>
      <c r="I472" s="30"/>
      <c r="J472" s="30"/>
    </row>
    <row r="473" customFormat="false" ht="15" hidden="false" customHeight="false" outlineLevel="0" collapsed="false">
      <c r="A473" s="10" t="str">
        <f aca="false">IF(B473="","",ROW()-5)</f>
        <v/>
      </c>
      <c r="B473" s="29"/>
      <c r="C473" s="9"/>
      <c r="D473" s="10" t="str">
        <f aca="false">IF(B473="","",IF(J473="","Active","Exited"))</f>
        <v/>
      </c>
      <c r="E473" s="9"/>
      <c r="F473" s="9"/>
      <c r="G473" s="9"/>
      <c r="H473" s="10" t="str">
        <f aca="false">IF(OR(B473="",I473=""),"",IF(IF(J473="",AsOf,J473)-I473&gt;=Settings!$C$13,"Permanent","Probation"))</f>
        <v/>
      </c>
      <c r="I473" s="30"/>
      <c r="J473" s="30"/>
    </row>
    <row r="474" customFormat="false" ht="15" hidden="false" customHeight="false" outlineLevel="0" collapsed="false">
      <c r="A474" s="10" t="str">
        <f aca="false">IF(B474="","",ROW()-5)</f>
        <v/>
      </c>
      <c r="B474" s="29"/>
      <c r="C474" s="9"/>
      <c r="D474" s="10" t="str">
        <f aca="false">IF(B474="","",IF(J474="","Active","Exited"))</f>
        <v/>
      </c>
      <c r="E474" s="9"/>
      <c r="F474" s="9"/>
      <c r="G474" s="9"/>
      <c r="H474" s="10" t="str">
        <f aca="false">IF(OR(B474="",I474=""),"",IF(IF(J474="",AsOf,J474)-I474&gt;=Settings!$C$13,"Permanent","Probation"))</f>
        <v/>
      </c>
      <c r="I474" s="30"/>
      <c r="J474" s="30"/>
    </row>
    <row r="475" customFormat="false" ht="15" hidden="false" customHeight="false" outlineLevel="0" collapsed="false">
      <c r="A475" s="10" t="str">
        <f aca="false">IF(B475="","",ROW()-5)</f>
        <v/>
      </c>
      <c r="B475" s="29"/>
      <c r="C475" s="9"/>
      <c r="D475" s="10" t="str">
        <f aca="false">IF(B475="","",IF(J475="","Active","Exited"))</f>
        <v/>
      </c>
      <c r="E475" s="9"/>
      <c r="F475" s="9"/>
      <c r="G475" s="9"/>
      <c r="H475" s="10" t="str">
        <f aca="false">IF(OR(B475="",I475=""),"",IF(IF(J475="",AsOf,J475)-I475&gt;=Settings!$C$13,"Permanent","Probation"))</f>
        <v/>
      </c>
      <c r="I475" s="30"/>
      <c r="J475" s="30"/>
    </row>
    <row r="476" customFormat="false" ht="15" hidden="false" customHeight="false" outlineLevel="0" collapsed="false">
      <c r="A476" s="10" t="str">
        <f aca="false">IF(B476="","",ROW()-5)</f>
        <v/>
      </c>
      <c r="B476" s="29"/>
      <c r="C476" s="9"/>
      <c r="D476" s="10" t="str">
        <f aca="false">IF(B476="","",IF(J476="","Active","Exited"))</f>
        <v/>
      </c>
      <c r="E476" s="9"/>
      <c r="F476" s="9"/>
      <c r="G476" s="9"/>
      <c r="H476" s="10" t="str">
        <f aca="false">IF(OR(B476="",I476=""),"",IF(IF(J476="",AsOf,J476)-I476&gt;=Settings!$C$13,"Permanent","Probation"))</f>
        <v/>
      </c>
      <c r="I476" s="30"/>
      <c r="J476" s="30"/>
    </row>
    <row r="477" customFormat="false" ht="15" hidden="false" customHeight="false" outlineLevel="0" collapsed="false">
      <c r="A477" s="10" t="str">
        <f aca="false">IF(B477="","",ROW()-5)</f>
        <v/>
      </c>
      <c r="B477" s="29"/>
      <c r="C477" s="9"/>
      <c r="D477" s="10" t="str">
        <f aca="false">IF(B477="","",IF(J477="","Active","Exited"))</f>
        <v/>
      </c>
      <c r="E477" s="9"/>
      <c r="F477" s="9"/>
      <c r="G477" s="9"/>
      <c r="H477" s="10" t="str">
        <f aca="false">IF(OR(B477="",I477=""),"",IF(IF(J477="",AsOf,J477)-I477&gt;=Settings!$C$13,"Permanent","Probation"))</f>
        <v/>
      </c>
      <c r="I477" s="30"/>
      <c r="J477" s="30"/>
    </row>
    <row r="478" customFormat="false" ht="15" hidden="false" customHeight="false" outlineLevel="0" collapsed="false">
      <c r="A478" s="10" t="str">
        <f aca="false">IF(B478="","",ROW()-5)</f>
        <v/>
      </c>
      <c r="B478" s="29"/>
      <c r="C478" s="9"/>
      <c r="D478" s="10" t="str">
        <f aca="false">IF(B478="","",IF(J478="","Active","Exited"))</f>
        <v/>
      </c>
      <c r="E478" s="9"/>
      <c r="F478" s="9"/>
      <c r="G478" s="9"/>
      <c r="H478" s="10" t="str">
        <f aca="false">IF(OR(B478="",I478=""),"",IF(IF(J478="",AsOf,J478)-I478&gt;=Settings!$C$13,"Permanent","Probation"))</f>
        <v/>
      </c>
      <c r="I478" s="30"/>
      <c r="J478" s="30"/>
    </row>
    <row r="479" customFormat="false" ht="15" hidden="false" customHeight="false" outlineLevel="0" collapsed="false">
      <c r="A479" s="10" t="str">
        <f aca="false">IF(B479="","",ROW()-5)</f>
        <v/>
      </c>
      <c r="B479" s="29"/>
      <c r="C479" s="9"/>
      <c r="D479" s="10" t="str">
        <f aca="false">IF(B479="","",IF(J479="","Active","Exited"))</f>
        <v/>
      </c>
      <c r="E479" s="9"/>
      <c r="F479" s="9"/>
      <c r="G479" s="9"/>
      <c r="H479" s="10" t="str">
        <f aca="false">IF(OR(B479="",I479=""),"",IF(IF(J479="",AsOf,J479)-I479&gt;=Settings!$C$13,"Permanent","Probation"))</f>
        <v/>
      </c>
      <c r="I479" s="30"/>
      <c r="J479" s="30"/>
    </row>
    <row r="480" customFormat="false" ht="15" hidden="false" customHeight="false" outlineLevel="0" collapsed="false">
      <c r="A480" s="10" t="str">
        <f aca="false">IF(B480="","",ROW()-5)</f>
        <v/>
      </c>
      <c r="B480" s="29"/>
      <c r="C480" s="9"/>
      <c r="D480" s="10" t="str">
        <f aca="false">IF(B480="","",IF(J480="","Active","Exited"))</f>
        <v/>
      </c>
      <c r="E480" s="9"/>
      <c r="F480" s="9"/>
      <c r="G480" s="9"/>
      <c r="H480" s="10" t="str">
        <f aca="false">IF(OR(B480="",I480=""),"",IF(IF(J480="",AsOf,J480)-I480&gt;=Settings!$C$13,"Permanent","Probation"))</f>
        <v/>
      </c>
      <c r="I480" s="30"/>
      <c r="J480" s="30"/>
    </row>
    <row r="481" customFormat="false" ht="15" hidden="false" customHeight="false" outlineLevel="0" collapsed="false">
      <c r="A481" s="10" t="str">
        <f aca="false">IF(B481="","",ROW()-5)</f>
        <v/>
      </c>
      <c r="B481" s="29"/>
      <c r="C481" s="9"/>
      <c r="D481" s="10" t="str">
        <f aca="false">IF(B481="","",IF(J481="","Active","Exited"))</f>
        <v/>
      </c>
      <c r="E481" s="9"/>
      <c r="F481" s="9"/>
      <c r="G481" s="9"/>
      <c r="H481" s="10" t="str">
        <f aca="false">IF(OR(B481="",I481=""),"",IF(IF(J481="",AsOf,J481)-I481&gt;=Settings!$C$13,"Permanent","Probation"))</f>
        <v/>
      </c>
      <c r="I481" s="30"/>
      <c r="J481" s="30"/>
    </row>
    <row r="482" customFormat="false" ht="15" hidden="false" customHeight="false" outlineLevel="0" collapsed="false">
      <c r="A482" s="10" t="str">
        <f aca="false">IF(B482="","",ROW()-5)</f>
        <v/>
      </c>
      <c r="B482" s="29"/>
      <c r="C482" s="9"/>
      <c r="D482" s="10" t="str">
        <f aca="false">IF(B482="","",IF(J482="","Active","Exited"))</f>
        <v/>
      </c>
      <c r="E482" s="9"/>
      <c r="F482" s="9"/>
      <c r="G482" s="9"/>
      <c r="H482" s="10" t="str">
        <f aca="false">IF(OR(B482="",I482=""),"",IF(IF(J482="",AsOf,J482)-I482&gt;=Settings!$C$13,"Permanent","Probation"))</f>
        <v/>
      </c>
      <c r="I482" s="30"/>
      <c r="J482" s="30"/>
    </row>
    <row r="483" customFormat="false" ht="15" hidden="false" customHeight="false" outlineLevel="0" collapsed="false">
      <c r="A483" s="10" t="str">
        <f aca="false">IF(B483="","",ROW()-5)</f>
        <v/>
      </c>
      <c r="B483" s="29"/>
      <c r="C483" s="9"/>
      <c r="D483" s="10" t="str">
        <f aca="false">IF(B483="","",IF(J483="","Active","Exited"))</f>
        <v/>
      </c>
      <c r="E483" s="9"/>
      <c r="F483" s="9"/>
      <c r="G483" s="9"/>
      <c r="H483" s="10" t="str">
        <f aca="false">IF(OR(B483="",I483=""),"",IF(IF(J483="",AsOf,J483)-I483&gt;=Settings!$C$13,"Permanent","Probation"))</f>
        <v/>
      </c>
      <c r="I483" s="30"/>
      <c r="J483" s="30"/>
    </row>
    <row r="484" customFormat="false" ht="15" hidden="false" customHeight="false" outlineLevel="0" collapsed="false">
      <c r="A484" s="10" t="str">
        <f aca="false">IF(B484="","",ROW()-5)</f>
        <v/>
      </c>
      <c r="B484" s="29"/>
      <c r="C484" s="9"/>
      <c r="D484" s="10" t="str">
        <f aca="false">IF(B484="","",IF(J484="","Active","Exited"))</f>
        <v/>
      </c>
      <c r="E484" s="9"/>
      <c r="F484" s="9"/>
      <c r="G484" s="9"/>
      <c r="H484" s="10" t="str">
        <f aca="false">IF(OR(B484="",I484=""),"",IF(IF(J484="",AsOf,J484)-I484&gt;=Settings!$C$13,"Permanent","Probation"))</f>
        <v/>
      </c>
      <c r="I484" s="30"/>
      <c r="J484" s="30"/>
    </row>
    <row r="485" customFormat="false" ht="15" hidden="false" customHeight="false" outlineLevel="0" collapsed="false">
      <c r="A485" s="10" t="str">
        <f aca="false">IF(B485="","",ROW()-5)</f>
        <v/>
      </c>
      <c r="B485" s="29"/>
      <c r="C485" s="9"/>
      <c r="D485" s="10" t="str">
        <f aca="false">IF(B485="","",IF(J485="","Active","Exited"))</f>
        <v/>
      </c>
      <c r="E485" s="9"/>
      <c r="F485" s="9"/>
      <c r="G485" s="9"/>
      <c r="H485" s="10" t="str">
        <f aca="false">IF(OR(B485="",I485=""),"",IF(IF(J485="",AsOf,J485)-I485&gt;=Settings!$C$13,"Permanent","Probation"))</f>
        <v/>
      </c>
      <c r="I485" s="30"/>
      <c r="J485" s="30"/>
    </row>
    <row r="486" customFormat="false" ht="15" hidden="false" customHeight="false" outlineLevel="0" collapsed="false">
      <c r="A486" s="10" t="str">
        <f aca="false">IF(B486="","",ROW()-5)</f>
        <v/>
      </c>
      <c r="B486" s="29"/>
      <c r="C486" s="9"/>
      <c r="D486" s="10" t="str">
        <f aca="false">IF(B486="","",IF(J486="","Active","Exited"))</f>
        <v/>
      </c>
      <c r="E486" s="9"/>
      <c r="F486" s="9"/>
      <c r="G486" s="9"/>
      <c r="H486" s="10" t="str">
        <f aca="false">IF(OR(B486="",I486=""),"",IF(IF(J486="",AsOf,J486)-I486&gt;=Settings!$C$13,"Permanent","Probation"))</f>
        <v/>
      </c>
      <c r="I486" s="30"/>
      <c r="J486" s="30"/>
    </row>
    <row r="487" customFormat="false" ht="15" hidden="false" customHeight="false" outlineLevel="0" collapsed="false">
      <c r="A487" s="10" t="str">
        <f aca="false">IF(B487="","",ROW()-5)</f>
        <v/>
      </c>
      <c r="B487" s="29"/>
      <c r="C487" s="9"/>
      <c r="D487" s="10" t="str">
        <f aca="false">IF(B487="","",IF(J487="","Active","Exited"))</f>
        <v/>
      </c>
      <c r="E487" s="9"/>
      <c r="F487" s="9"/>
      <c r="G487" s="9"/>
      <c r="H487" s="10" t="str">
        <f aca="false">IF(OR(B487="",I487=""),"",IF(IF(J487="",AsOf,J487)-I487&gt;=Settings!$C$13,"Permanent","Probation"))</f>
        <v/>
      </c>
      <c r="I487" s="30"/>
      <c r="J487" s="30"/>
    </row>
    <row r="488" customFormat="false" ht="15" hidden="false" customHeight="false" outlineLevel="0" collapsed="false">
      <c r="A488" s="10" t="str">
        <f aca="false">IF(B488="","",ROW()-5)</f>
        <v/>
      </c>
      <c r="B488" s="29"/>
      <c r="C488" s="9"/>
      <c r="D488" s="10" t="str">
        <f aca="false">IF(B488="","",IF(J488="","Active","Exited"))</f>
        <v/>
      </c>
      <c r="E488" s="9"/>
      <c r="F488" s="9"/>
      <c r="G488" s="9"/>
      <c r="H488" s="10" t="str">
        <f aca="false">IF(OR(B488="",I488=""),"",IF(IF(J488="",AsOf,J488)-I488&gt;=Settings!$C$13,"Permanent","Probation"))</f>
        <v/>
      </c>
      <c r="I488" s="30"/>
      <c r="J488" s="30"/>
    </row>
    <row r="489" customFormat="false" ht="15" hidden="false" customHeight="false" outlineLevel="0" collapsed="false">
      <c r="A489" s="10" t="str">
        <f aca="false">IF(B489="","",ROW()-5)</f>
        <v/>
      </c>
      <c r="B489" s="29"/>
      <c r="C489" s="9"/>
      <c r="D489" s="10" t="str">
        <f aca="false">IF(B489="","",IF(J489="","Active","Exited"))</f>
        <v/>
      </c>
      <c r="E489" s="9"/>
      <c r="F489" s="9"/>
      <c r="G489" s="9"/>
      <c r="H489" s="10" t="str">
        <f aca="false">IF(OR(B489="",I489=""),"",IF(IF(J489="",AsOf,J489)-I489&gt;=Settings!$C$13,"Permanent","Probation"))</f>
        <v/>
      </c>
      <c r="I489" s="30"/>
      <c r="J489" s="30"/>
    </row>
    <row r="490" customFormat="false" ht="15" hidden="false" customHeight="false" outlineLevel="0" collapsed="false">
      <c r="A490" s="10" t="str">
        <f aca="false">IF(B490="","",ROW()-5)</f>
        <v/>
      </c>
      <c r="B490" s="29"/>
      <c r="C490" s="9"/>
      <c r="D490" s="10" t="str">
        <f aca="false">IF(B490="","",IF(J490="","Active","Exited"))</f>
        <v/>
      </c>
      <c r="E490" s="9"/>
      <c r="F490" s="9"/>
      <c r="G490" s="9"/>
      <c r="H490" s="10" t="str">
        <f aca="false">IF(OR(B490="",I490=""),"",IF(IF(J490="",AsOf,J490)-I490&gt;=Settings!$C$13,"Permanent","Probation"))</f>
        <v/>
      </c>
      <c r="I490" s="30"/>
      <c r="J490" s="30"/>
    </row>
    <row r="491" customFormat="false" ht="15" hidden="false" customHeight="false" outlineLevel="0" collapsed="false">
      <c r="A491" s="10" t="str">
        <f aca="false">IF(B491="","",ROW()-5)</f>
        <v/>
      </c>
      <c r="B491" s="29"/>
      <c r="C491" s="9"/>
      <c r="D491" s="10" t="str">
        <f aca="false">IF(B491="","",IF(J491="","Active","Exited"))</f>
        <v/>
      </c>
      <c r="E491" s="9"/>
      <c r="F491" s="9"/>
      <c r="G491" s="9"/>
      <c r="H491" s="10" t="str">
        <f aca="false">IF(OR(B491="",I491=""),"",IF(IF(J491="",AsOf,J491)-I491&gt;=Settings!$C$13,"Permanent","Probation"))</f>
        <v/>
      </c>
      <c r="I491" s="30"/>
      <c r="J491" s="30"/>
    </row>
    <row r="492" customFormat="false" ht="15" hidden="false" customHeight="false" outlineLevel="0" collapsed="false">
      <c r="A492" s="10" t="str">
        <f aca="false">IF(B492="","",ROW()-5)</f>
        <v/>
      </c>
      <c r="B492" s="29"/>
      <c r="C492" s="9"/>
      <c r="D492" s="10" t="str">
        <f aca="false">IF(B492="","",IF(J492="","Active","Exited"))</f>
        <v/>
      </c>
      <c r="E492" s="9"/>
      <c r="F492" s="9"/>
      <c r="G492" s="9"/>
      <c r="H492" s="10" t="str">
        <f aca="false">IF(OR(B492="",I492=""),"",IF(IF(J492="",AsOf,J492)-I492&gt;=Settings!$C$13,"Permanent","Probation"))</f>
        <v/>
      </c>
      <c r="I492" s="30"/>
      <c r="J492" s="30"/>
    </row>
    <row r="493" customFormat="false" ht="15" hidden="false" customHeight="false" outlineLevel="0" collapsed="false">
      <c r="A493" s="10" t="str">
        <f aca="false">IF(B493="","",ROW()-5)</f>
        <v/>
      </c>
      <c r="B493" s="29"/>
      <c r="C493" s="9"/>
      <c r="D493" s="10" t="str">
        <f aca="false">IF(B493="","",IF(J493="","Active","Exited"))</f>
        <v/>
      </c>
      <c r="E493" s="9"/>
      <c r="F493" s="9"/>
      <c r="G493" s="9"/>
      <c r="H493" s="10" t="str">
        <f aca="false">IF(OR(B493="",I493=""),"",IF(IF(J493="",AsOf,J493)-I493&gt;=Settings!$C$13,"Permanent","Probation"))</f>
        <v/>
      </c>
      <c r="I493" s="30"/>
      <c r="J493" s="30"/>
    </row>
    <row r="494" customFormat="false" ht="15" hidden="false" customHeight="false" outlineLevel="0" collapsed="false">
      <c r="A494" s="10" t="str">
        <f aca="false">IF(B494="","",ROW()-5)</f>
        <v/>
      </c>
      <c r="B494" s="29"/>
      <c r="C494" s="9"/>
      <c r="D494" s="10" t="str">
        <f aca="false">IF(B494="","",IF(J494="","Active","Exited"))</f>
        <v/>
      </c>
      <c r="E494" s="9"/>
      <c r="F494" s="9"/>
      <c r="G494" s="9"/>
      <c r="H494" s="10" t="str">
        <f aca="false">IF(OR(B494="",I494=""),"",IF(IF(J494="",AsOf,J494)-I494&gt;=Settings!$C$13,"Permanent","Probation"))</f>
        <v/>
      </c>
      <c r="I494" s="30"/>
      <c r="J494" s="30"/>
    </row>
    <row r="495" customFormat="false" ht="15" hidden="false" customHeight="false" outlineLevel="0" collapsed="false">
      <c r="A495" s="10" t="str">
        <f aca="false">IF(B495="","",ROW()-5)</f>
        <v/>
      </c>
      <c r="B495" s="29"/>
      <c r="C495" s="9"/>
      <c r="D495" s="10" t="str">
        <f aca="false">IF(B495="","",IF(J495="","Active","Exited"))</f>
        <v/>
      </c>
      <c r="E495" s="9"/>
      <c r="F495" s="9"/>
      <c r="G495" s="9"/>
      <c r="H495" s="10" t="str">
        <f aca="false">IF(OR(B495="",I495=""),"",IF(IF(J495="",AsOf,J495)-I495&gt;=Settings!$C$13,"Permanent","Probation"))</f>
        <v/>
      </c>
      <c r="I495" s="30"/>
      <c r="J495" s="30"/>
    </row>
    <row r="496" customFormat="false" ht="15" hidden="false" customHeight="false" outlineLevel="0" collapsed="false">
      <c r="A496" s="10" t="str">
        <f aca="false">IF(B496="","",ROW()-5)</f>
        <v/>
      </c>
      <c r="B496" s="29"/>
      <c r="C496" s="9"/>
      <c r="D496" s="10" t="str">
        <f aca="false">IF(B496="","",IF(J496="","Active","Exited"))</f>
        <v/>
      </c>
      <c r="E496" s="9"/>
      <c r="F496" s="9"/>
      <c r="G496" s="9"/>
      <c r="H496" s="10" t="str">
        <f aca="false">IF(OR(B496="",I496=""),"",IF(IF(J496="",AsOf,J496)-I496&gt;=Settings!$C$13,"Permanent","Probation"))</f>
        <v/>
      </c>
      <c r="I496" s="30"/>
      <c r="J496" s="30"/>
    </row>
    <row r="497" customFormat="false" ht="15" hidden="false" customHeight="false" outlineLevel="0" collapsed="false">
      <c r="A497" s="10" t="str">
        <f aca="false">IF(B497="","",ROW()-5)</f>
        <v/>
      </c>
      <c r="B497" s="29"/>
      <c r="C497" s="9"/>
      <c r="D497" s="10" t="str">
        <f aca="false">IF(B497="","",IF(J497="","Active","Exited"))</f>
        <v/>
      </c>
      <c r="E497" s="9"/>
      <c r="F497" s="9"/>
      <c r="G497" s="9"/>
      <c r="H497" s="10" t="str">
        <f aca="false">IF(OR(B497="",I497=""),"",IF(IF(J497="",AsOf,J497)-I497&gt;=Settings!$C$13,"Permanent","Probation"))</f>
        <v/>
      </c>
      <c r="I497" s="30"/>
      <c r="J497" s="30"/>
    </row>
    <row r="498" customFormat="false" ht="15" hidden="false" customHeight="false" outlineLevel="0" collapsed="false">
      <c r="A498" s="10" t="str">
        <f aca="false">IF(B498="","",ROW()-5)</f>
        <v/>
      </c>
      <c r="B498" s="29"/>
      <c r="C498" s="9"/>
      <c r="D498" s="10" t="str">
        <f aca="false">IF(B498="","",IF(J498="","Active","Exited"))</f>
        <v/>
      </c>
      <c r="E498" s="9"/>
      <c r="F498" s="9"/>
      <c r="G498" s="9"/>
      <c r="H498" s="10" t="str">
        <f aca="false">IF(OR(B498="",I498=""),"",IF(IF(J498="",AsOf,J498)-I498&gt;=Settings!$C$13,"Permanent","Probation"))</f>
        <v/>
      </c>
      <c r="I498" s="30"/>
      <c r="J498" s="30"/>
    </row>
    <row r="499" customFormat="false" ht="15" hidden="false" customHeight="false" outlineLevel="0" collapsed="false">
      <c r="A499" s="10" t="str">
        <f aca="false">IF(B499="","",ROW()-5)</f>
        <v/>
      </c>
      <c r="B499" s="29"/>
      <c r="C499" s="9"/>
      <c r="D499" s="10" t="str">
        <f aca="false">IF(B499="","",IF(J499="","Active","Exited"))</f>
        <v/>
      </c>
      <c r="E499" s="9"/>
      <c r="F499" s="9"/>
      <c r="G499" s="9"/>
      <c r="H499" s="10" t="str">
        <f aca="false">IF(OR(B499="",I499=""),"",IF(IF(J499="",AsOf,J499)-I499&gt;=Settings!$C$13,"Permanent","Probation"))</f>
        <v/>
      </c>
      <c r="I499" s="30"/>
      <c r="J499" s="30"/>
    </row>
    <row r="500" customFormat="false" ht="15" hidden="false" customHeight="false" outlineLevel="0" collapsed="false">
      <c r="A500" s="10" t="str">
        <f aca="false">IF(B500="","",ROW()-5)</f>
        <v/>
      </c>
      <c r="B500" s="29"/>
      <c r="C500" s="9"/>
      <c r="D500" s="10" t="str">
        <f aca="false">IF(B500="","",IF(J500="","Active","Exited"))</f>
        <v/>
      </c>
      <c r="E500" s="9"/>
      <c r="F500" s="9"/>
      <c r="G500" s="9"/>
      <c r="H500" s="10" t="str">
        <f aca="false">IF(OR(B500="",I500=""),"",IF(IF(J500="",AsOf,J500)-I500&gt;=Settings!$C$13,"Permanent","Probation"))</f>
        <v/>
      </c>
      <c r="I500" s="30"/>
      <c r="J500" s="30"/>
    </row>
    <row r="501" customFormat="false" ht="15" hidden="false" customHeight="false" outlineLevel="0" collapsed="false">
      <c r="A501" s="10" t="str">
        <f aca="false">IF(B501="","",ROW()-5)</f>
        <v/>
      </c>
      <c r="B501" s="29"/>
      <c r="C501" s="9"/>
      <c r="D501" s="10" t="str">
        <f aca="false">IF(B501="","",IF(J501="","Active","Exited"))</f>
        <v/>
      </c>
      <c r="E501" s="9"/>
      <c r="F501" s="9"/>
      <c r="G501" s="9"/>
      <c r="H501" s="10" t="str">
        <f aca="false">IF(OR(B501="",I501=""),"",IF(IF(J501="",AsOf,J501)-I501&gt;=Settings!$C$13,"Permanent","Probation"))</f>
        <v/>
      </c>
      <c r="I501" s="30"/>
      <c r="J501" s="30"/>
    </row>
    <row r="502" customFormat="false" ht="15" hidden="false" customHeight="false" outlineLevel="0" collapsed="false">
      <c r="A502" s="10" t="str">
        <f aca="false">IF(B502="","",ROW()-5)</f>
        <v/>
      </c>
      <c r="B502" s="29"/>
      <c r="C502" s="9"/>
      <c r="D502" s="10" t="str">
        <f aca="false">IF(B502="","",IF(J502="","Active","Exited"))</f>
        <v/>
      </c>
      <c r="E502" s="9"/>
      <c r="F502" s="9"/>
      <c r="G502" s="9"/>
      <c r="H502" s="10" t="str">
        <f aca="false">IF(OR(B502="",I502=""),"",IF(IF(J502="",AsOf,J502)-I502&gt;=Settings!$C$13,"Permanent","Probation"))</f>
        <v/>
      </c>
      <c r="I502" s="30"/>
      <c r="J502" s="30"/>
    </row>
    <row r="503" customFormat="false" ht="15" hidden="false" customHeight="false" outlineLevel="0" collapsed="false">
      <c r="A503" s="10" t="str">
        <f aca="false">IF(B503="","",ROW()-5)</f>
        <v/>
      </c>
      <c r="B503" s="29"/>
      <c r="C503" s="9"/>
      <c r="D503" s="10" t="str">
        <f aca="false">IF(B503="","",IF(J503="","Active","Exited"))</f>
        <v/>
      </c>
      <c r="E503" s="9"/>
      <c r="F503" s="9"/>
      <c r="G503" s="9"/>
      <c r="H503" s="10" t="str">
        <f aca="false">IF(OR(B503="",I503=""),"",IF(IF(J503="",AsOf,J503)-I503&gt;=Settings!$C$13,"Permanent","Probation"))</f>
        <v/>
      </c>
      <c r="I503" s="30"/>
      <c r="J503" s="30"/>
    </row>
    <row r="504" customFormat="false" ht="15" hidden="false" customHeight="false" outlineLevel="0" collapsed="false">
      <c r="A504" s="10" t="str">
        <f aca="false">IF(B504="","",ROW()-5)</f>
        <v/>
      </c>
      <c r="B504" s="29"/>
      <c r="C504" s="9"/>
      <c r="D504" s="10" t="str">
        <f aca="false">IF(B504="","",IF(J504="","Active","Exited"))</f>
        <v/>
      </c>
      <c r="E504" s="9"/>
      <c r="F504" s="9"/>
      <c r="G504" s="9"/>
      <c r="H504" s="10" t="str">
        <f aca="false">IF(OR(B504="",I504=""),"",IF(IF(J504="",AsOf,J504)-I504&gt;=Settings!$C$13,"Permanent","Probation"))</f>
        <v/>
      </c>
      <c r="I504" s="30"/>
      <c r="J504" s="30"/>
    </row>
    <row r="505" customFormat="false" ht="15" hidden="false" customHeight="false" outlineLevel="0" collapsed="false">
      <c r="A505" s="10" t="str">
        <f aca="false">IF(B505="","",ROW()-5)</f>
        <v/>
      </c>
      <c r="B505" s="29"/>
      <c r="C505" s="9"/>
      <c r="D505" s="10" t="str">
        <f aca="false">IF(B505="","",IF(J505="","Active","Exited"))</f>
        <v/>
      </c>
      <c r="E505" s="9"/>
      <c r="F505" s="9"/>
      <c r="G505" s="9"/>
      <c r="H505" s="10" t="str">
        <f aca="false">IF(OR(B505="",I505=""),"",IF(IF(J505="",AsOf,J505)-I505&gt;=Settings!$C$13,"Permanent","Probation"))</f>
        <v/>
      </c>
      <c r="I505" s="30"/>
      <c r="J505" s="30"/>
    </row>
  </sheetData>
  <autoFilter ref="A5:J505"/>
  <mergeCells count="1">
    <mergeCell ref="A4:J4"/>
  </mergeCells>
  <conditionalFormatting sqref="A6:J505">
    <cfRule type="expression" priority="2" aboveAverage="0" equalAverage="0" bottom="0" percent="0" rank="0" text="" dxfId="7">
      <formula>$D6="Exited"</formula>
    </cfRule>
  </conditionalFormatting>
  <conditionalFormatting sqref="B6:B505">
    <cfRule type="expression" priority="3" aboveAverage="0" equalAverage="0" bottom="0" percent="0" rank="0" text="" dxfId="8">
      <formula>AND(B6&lt;&gt;"",COUNTIF($B$6:$B$505,B6)&gt;1)</formula>
    </cfRule>
  </conditionalFormatting>
  <conditionalFormatting sqref="D6:D505">
    <cfRule type="expression" priority="4" aboveAverage="0" equalAverage="0" bottom="0" percent="0" rank="0" text="" dxfId="9">
      <formula>$D6="Active"</formula>
    </cfRule>
  </conditionalFormatting>
  <dataValidations count="4">
    <dataValidation allowBlank="true" errorStyle="stop" operator="between" showDropDown="false" showErrorMessage="false" showInputMessage="false" sqref="E6:E505" type="list">
      <formula1>Lists!$C$5:$C$44</formula1>
      <formula2>0</formula2>
    </dataValidation>
    <dataValidation allowBlank="true" errorStyle="stop" operator="between" showDropDown="false" showErrorMessage="false" showInputMessage="false" sqref="F6:F505" type="list">
      <formula1>Lists!$A$5:$A$16</formula1>
      <formula2>0</formula2>
    </dataValidation>
    <dataValidation allowBlank="true" errorStyle="stop" operator="between" showDropDown="false" showErrorMessage="false" showInputMessage="false" sqref="G6:G505" type="list">
      <formula1>Lists!$B$5:$B$14</formula1>
      <formula2>0</formula2>
    </dataValidation>
    <dataValidation allowBlank="true" error="Enter a valid date, e.g. 15-Aug-2024" errorStyle="stop" errorTitle="Date needed" operator="greaterThan" showDropDown="false" showErrorMessage="true" showInputMessage="false" sqref="I6:J505" type="dat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D24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4"/>
    <col collapsed="false" customWidth="true" hidden="false" outlineLevel="0" max="4" min="4" style="0" width="16"/>
    <col collapsed="false" customWidth="true" hidden="false" outlineLevel="0" max="5" min="5" style="0" width="14"/>
    <col collapsed="false" customWidth="true" hidden="false" outlineLevel="0" max="36" min="6" style="0" width="5.51"/>
    <col collapsed="false" customWidth="true" hidden="false" outlineLevel="0" max="56" min="37" style="0" width="11"/>
  </cols>
  <sheetData>
    <row r="1" customFormat="false" ht="19.7" hidden="false" customHeight="false" outlineLevel="0" collapsed="false">
      <c r="A1" s="26" t="str">
        <f aca="false">"MONTHLY ATTENDANCE - "&amp;Settings!$C$5</f>
        <v>MONTHLY ATTENDANCE - Your Company Name</v>
      </c>
    </row>
    <row r="2" customFormat="false" ht="15" hidden="false" customHeight="false" outlineLevel="0" collapsed="false">
      <c r="A2" s="20" t="s">
        <v>110</v>
      </c>
    </row>
    <row r="3" customFormat="false" ht="15" hidden="false" customHeight="false" outlineLevel="0" collapsed="false">
      <c r="A3" s="20" t="s">
        <v>111</v>
      </c>
    </row>
    <row r="5" customFormat="false" ht="42" hidden="false" customHeight="true" outlineLevel="0" collapsed="false">
      <c r="A5" s="14" t="s">
        <v>97</v>
      </c>
      <c r="B5" s="14" t="s">
        <v>104</v>
      </c>
      <c r="C5" s="14" t="s">
        <v>105</v>
      </c>
      <c r="D5" s="14" t="s">
        <v>70</v>
      </c>
      <c r="E5" s="14" t="s">
        <v>77</v>
      </c>
      <c r="F5" s="14" t="n">
        <v>1</v>
      </c>
      <c r="G5" s="14" t="n">
        <v>2</v>
      </c>
      <c r="H5" s="14" t="n">
        <v>3</v>
      </c>
      <c r="I5" s="14" t="n">
        <v>4</v>
      </c>
      <c r="J5" s="14" t="n">
        <v>5</v>
      </c>
      <c r="K5" s="14" t="n">
        <v>6</v>
      </c>
      <c r="L5" s="14" t="n">
        <v>7</v>
      </c>
      <c r="M5" s="14" t="n">
        <v>8</v>
      </c>
      <c r="N5" s="14" t="n">
        <v>9</v>
      </c>
      <c r="O5" s="14" t="n">
        <v>10</v>
      </c>
      <c r="P5" s="14" t="n">
        <v>11</v>
      </c>
      <c r="Q5" s="14" t="n">
        <v>12</v>
      </c>
      <c r="R5" s="14" t="n">
        <v>13</v>
      </c>
      <c r="S5" s="14" t="n">
        <v>14</v>
      </c>
      <c r="T5" s="14" t="n">
        <v>15</v>
      </c>
      <c r="U5" s="14" t="n">
        <v>16</v>
      </c>
      <c r="V5" s="14" t="n">
        <v>17</v>
      </c>
      <c r="W5" s="14" t="n">
        <v>18</v>
      </c>
      <c r="X5" s="14" t="n">
        <v>19</v>
      </c>
      <c r="Y5" s="14" t="n">
        <v>20</v>
      </c>
      <c r="Z5" s="14" t="n">
        <v>21</v>
      </c>
      <c r="AA5" s="14" t="n">
        <v>22</v>
      </c>
      <c r="AB5" s="14" t="n">
        <v>23</v>
      </c>
      <c r="AC5" s="14" t="n">
        <v>24</v>
      </c>
      <c r="AD5" s="14" t="n">
        <v>25</v>
      </c>
      <c r="AE5" s="14" t="n">
        <v>26</v>
      </c>
      <c r="AF5" s="14" t="n">
        <v>27</v>
      </c>
      <c r="AG5" s="14" t="n">
        <v>28</v>
      </c>
      <c r="AH5" s="14" t="n">
        <v>29</v>
      </c>
      <c r="AI5" s="14" t="n">
        <v>30</v>
      </c>
      <c r="AJ5" s="14" t="n">
        <v>31</v>
      </c>
      <c r="AK5" s="31" t="s">
        <v>112</v>
      </c>
      <c r="AL5" s="31" t="s">
        <v>113</v>
      </c>
      <c r="AM5" s="31" t="s">
        <v>114</v>
      </c>
      <c r="AN5" s="31" t="s">
        <v>115</v>
      </c>
      <c r="AO5" s="31" t="s">
        <v>116</v>
      </c>
      <c r="AP5" s="31" t="s">
        <v>117</v>
      </c>
      <c r="AQ5" s="31" t="s">
        <v>118</v>
      </c>
      <c r="AR5" s="31" t="s">
        <v>119</v>
      </c>
      <c r="AS5" s="31" t="s">
        <v>120</v>
      </c>
      <c r="AT5" s="31" t="s">
        <v>121</v>
      </c>
      <c r="AU5" s="31" t="s">
        <v>122</v>
      </c>
      <c r="AV5" s="31" t="s">
        <v>123</v>
      </c>
      <c r="AW5" s="31" t="s">
        <v>124</v>
      </c>
      <c r="AX5" s="31" t="s">
        <v>125</v>
      </c>
      <c r="AY5" s="31" t="s">
        <v>126</v>
      </c>
      <c r="AZ5" s="31" t="s">
        <v>127</v>
      </c>
      <c r="BA5" s="31" t="s">
        <v>128</v>
      </c>
      <c r="BB5" s="31" t="s">
        <v>129</v>
      </c>
      <c r="BC5" s="31" t="s">
        <v>130</v>
      </c>
      <c r="BD5" s="31" t="s">
        <v>131</v>
      </c>
    </row>
    <row r="6" customFormat="false" ht="15" hidden="false" customHeight="false" outlineLevel="0" collapsed="false">
      <c r="A6" s="32"/>
      <c r="B6" s="29"/>
      <c r="C6" s="10" t="str">
        <f aca="false">IF($B6="","",IFERROR(INDEX(M_name,MATCH($B6,M_emp,0)),"Code not found"))</f>
        <v/>
      </c>
      <c r="D6" s="10" t="str">
        <f aca="false">IF($B6="","",IFERROR(INDEX(M_dept,MATCH($B6,M_emp,0)),""))</f>
        <v/>
      </c>
      <c r="E6" s="10" t="str">
        <f aca="false">IF($B6="","",IFERROR(INDEX(M_loc,MATCH($B6,M_emp,0)),""))</f>
        <v/>
      </c>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4" t="str">
        <f aca="false">IF($B6="","",COUNTIF($F6:$AJ6,"P"))</f>
        <v/>
      </c>
      <c r="AL6" s="34" t="str">
        <f aca="false">IF($B6="","",COUNTIF($F6:$AJ6,"A"))</f>
        <v/>
      </c>
      <c r="AM6" s="34" t="str">
        <f aca="false">IF($B6="","",COUNTIF($F6:$AJ6,"HA"))</f>
        <v/>
      </c>
      <c r="AN6" s="34" t="str">
        <f aca="false">IF($B6="","",COUNTIF($F6:$AJ6,"L"))</f>
        <v/>
      </c>
      <c r="AO6" s="34" t="str">
        <f aca="false">IF($B6="","",COUNTIF($F6:$AJ6,"PL"))</f>
        <v/>
      </c>
      <c r="AP6" s="34" t="str">
        <f aca="false">IF($B6="","",COUNTIF($F6:$AJ6,"CL"))</f>
        <v/>
      </c>
      <c r="AQ6" s="34" t="str">
        <f aca="false">IF($B6="","",COUNTIF($F6:$AJ6,"SL"))</f>
        <v/>
      </c>
      <c r="AR6" s="34" t="str">
        <f aca="false">IF($B6="","",COUNTIF($F6:$AJ6,"CO"))</f>
        <v/>
      </c>
      <c r="AS6" s="34" t="str">
        <f aca="false">IF($B6="","",COUNTIF($F6:$AJ6,"HPL"))</f>
        <v/>
      </c>
      <c r="AT6" s="34" t="str">
        <f aca="false">IF($B6="","",COUNTIF($F6:$AJ6,"HCL"))</f>
        <v/>
      </c>
      <c r="AU6" s="34" t="str">
        <f aca="false">IF($B6="","",COUNTIF($F6:$AJ6,"WO"))</f>
        <v/>
      </c>
      <c r="AV6" s="34" t="str">
        <f aca="false">IF($B6="","",COUNTIF($F6:$AJ6,"PH"))</f>
        <v/>
      </c>
      <c r="AW6" s="34" t="str">
        <f aca="false">IF($B6="","",COUNTIF($F6:$AJ6,"TR"))</f>
        <v/>
      </c>
      <c r="AX6" s="35" t="str">
        <f aca="false">IF($B6="","",AO6+AS6/2)</f>
        <v/>
      </c>
      <c r="AY6" s="35" t="str">
        <f aca="false">IF($B6="","",AQ6)</f>
        <v/>
      </c>
      <c r="AZ6" s="35" t="str">
        <f aca="false">IF($B6="","",AP6+AT6/2)</f>
        <v/>
      </c>
      <c r="BA6" s="35" t="str">
        <f aca="false">IF($B6="","",AK6+AN6+AM6/2+AO6+AP6+AQ6+AR6+AS6+AT6+AU6+AV6+AW6)</f>
        <v/>
      </c>
      <c r="BB6" s="35" t="str">
        <f aca="false">IF($B6="","",MAX(0,AN6-Settings!$C$16)*Settings!$C$17)</f>
        <v/>
      </c>
      <c r="BC6" s="35" t="str">
        <f aca="false">IF($B6="","",BA6-BB6)</f>
        <v/>
      </c>
      <c r="BD6" s="35" t="str">
        <f aca="false">IF(OR($B6="",$A6=""),"",DAY(EOMONTH($A6,0))-COUNTA($F6:$AJ6))</f>
        <v/>
      </c>
    </row>
    <row r="7" customFormat="false" ht="15" hidden="false" customHeight="false" outlineLevel="0" collapsed="false">
      <c r="A7" s="32"/>
      <c r="B7" s="29"/>
      <c r="C7" s="10" t="str">
        <f aca="false">IF($B7="","",IFERROR(INDEX(M_name,MATCH($B7,M_emp,0)),"Code not found"))</f>
        <v/>
      </c>
      <c r="D7" s="10" t="str">
        <f aca="false">IF($B7="","",IFERROR(INDEX(M_dept,MATCH($B7,M_emp,0)),""))</f>
        <v/>
      </c>
      <c r="E7" s="10" t="str">
        <f aca="false">IF($B7="","",IFERROR(INDEX(M_loc,MATCH($B7,M_emp,0)),""))</f>
        <v/>
      </c>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4" t="str">
        <f aca="false">IF($B7="","",COUNTIF($F7:$AJ7,"P"))</f>
        <v/>
      </c>
      <c r="AL7" s="34" t="str">
        <f aca="false">IF($B7="","",COUNTIF($F7:$AJ7,"A"))</f>
        <v/>
      </c>
      <c r="AM7" s="34" t="str">
        <f aca="false">IF($B7="","",COUNTIF($F7:$AJ7,"HA"))</f>
        <v/>
      </c>
      <c r="AN7" s="34" t="str">
        <f aca="false">IF($B7="","",COUNTIF($F7:$AJ7,"L"))</f>
        <v/>
      </c>
      <c r="AO7" s="34" t="str">
        <f aca="false">IF($B7="","",COUNTIF($F7:$AJ7,"PL"))</f>
        <v/>
      </c>
      <c r="AP7" s="34" t="str">
        <f aca="false">IF($B7="","",COUNTIF($F7:$AJ7,"CL"))</f>
        <v/>
      </c>
      <c r="AQ7" s="34" t="str">
        <f aca="false">IF($B7="","",COUNTIF($F7:$AJ7,"SL"))</f>
        <v/>
      </c>
      <c r="AR7" s="34" t="str">
        <f aca="false">IF($B7="","",COUNTIF($F7:$AJ7,"CO"))</f>
        <v/>
      </c>
      <c r="AS7" s="34" t="str">
        <f aca="false">IF($B7="","",COUNTIF($F7:$AJ7,"HPL"))</f>
        <v/>
      </c>
      <c r="AT7" s="34" t="str">
        <f aca="false">IF($B7="","",COUNTIF($F7:$AJ7,"HCL"))</f>
        <v/>
      </c>
      <c r="AU7" s="34" t="str">
        <f aca="false">IF($B7="","",COUNTIF($F7:$AJ7,"WO"))</f>
        <v/>
      </c>
      <c r="AV7" s="34" t="str">
        <f aca="false">IF($B7="","",COUNTIF($F7:$AJ7,"PH"))</f>
        <v/>
      </c>
      <c r="AW7" s="34" t="str">
        <f aca="false">IF($B7="","",COUNTIF($F7:$AJ7,"TR"))</f>
        <v/>
      </c>
      <c r="AX7" s="35" t="str">
        <f aca="false">IF($B7="","",AO7+AS7/2)</f>
        <v/>
      </c>
      <c r="AY7" s="35" t="str">
        <f aca="false">IF($B7="","",AQ7)</f>
        <v/>
      </c>
      <c r="AZ7" s="35" t="str">
        <f aca="false">IF($B7="","",AP7+AT7/2)</f>
        <v/>
      </c>
      <c r="BA7" s="35" t="str">
        <f aca="false">IF($B7="","",AK7+AN7+AM7/2+AO7+AP7+AQ7+AR7+AS7+AT7+AU7+AV7+AW7)</f>
        <v/>
      </c>
      <c r="BB7" s="35" t="str">
        <f aca="false">IF($B7="","",MAX(0,AN7-Settings!$C$16)*Settings!$C$17)</f>
        <v/>
      </c>
      <c r="BC7" s="35" t="str">
        <f aca="false">IF($B7="","",BA7-BB7)</f>
        <v/>
      </c>
      <c r="BD7" s="35" t="str">
        <f aca="false">IF(OR($B7="",$A7=""),"",DAY(EOMONTH($A7,0))-COUNTA($F7:$AJ7))</f>
        <v/>
      </c>
    </row>
    <row r="8" customFormat="false" ht="15" hidden="false" customHeight="false" outlineLevel="0" collapsed="false">
      <c r="A8" s="32"/>
      <c r="B8" s="29"/>
      <c r="C8" s="10" t="str">
        <f aca="false">IF($B8="","",IFERROR(INDEX(M_name,MATCH($B8,M_emp,0)),"Code not found"))</f>
        <v/>
      </c>
      <c r="D8" s="10" t="str">
        <f aca="false">IF($B8="","",IFERROR(INDEX(M_dept,MATCH($B8,M_emp,0)),""))</f>
        <v/>
      </c>
      <c r="E8" s="10" t="str">
        <f aca="false">IF($B8="","",IFERROR(INDEX(M_loc,MATCH($B8,M_emp,0)),""))</f>
        <v/>
      </c>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4" t="str">
        <f aca="false">IF($B8="","",COUNTIF($F8:$AJ8,"P"))</f>
        <v/>
      </c>
      <c r="AL8" s="34" t="str">
        <f aca="false">IF($B8="","",COUNTIF($F8:$AJ8,"A"))</f>
        <v/>
      </c>
      <c r="AM8" s="34" t="str">
        <f aca="false">IF($B8="","",COUNTIF($F8:$AJ8,"HA"))</f>
        <v/>
      </c>
      <c r="AN8" s="34" t="str">
        <f aca="false">IF($B8="","",COUNTIF($F8:$AJ8,"L"))</f>
        <v/>
      </c>
      <c r="AO8" s="34" t="str">
        <f aca="false">IF($B8="","",COUNTIF($F8:$AJ8,"PL"))</f>
        <v/>
      </c>
      <c r="AP8" s="34" t="str">
        <f aca="false">IF($B8="","",COUNTIF($F8:$AJ8,"CL"))</f>
        <v/>
      </c>
      <c r="AQ8" s="34" t="str">
        <f aca="false">IF($B8="","",COUNTIF($F8:$AJ8,"SL"))</f>
        <v/>
      </c>
      <c r="AR8" s="34" t="str">
        <f aca="false">IF($B8="","",COUNTIF($F8:$AJ8,"CO"))</f>
        <v/>
      </c>
      <c r="AS8" s="34" t="str">
        <f aca="false">IF($B8="","",COUNTIF($F8:$AJ8,"HPL"))</f>
        <v/>
      </c>
      <c r="AT8" s="34" t="str">
        <f aca="false">IF($B8="","",COUNTIF($F8:$AJ8,"HCL"))</f>
        <v/>
      </c>
      <c r="AU8" s="34" t="str">
        <f aca="false">IF($B8="","",COUNTIF($F8:$AJ8,"WO"))</f>
        <v/>
      </c>
      <c r="AV8" s="34" t="str">
        <f aca="false">IF($B8="","",COUNTIF($F8:$AJ8,"PH"))</f>
        <v/>
      </c>
      <c r="AW8" s="34" t="str">
        <f aca="false">IF($B8="","",COUNTIF($F8:$AJ8,"TR"))</f>
        <v/>
      </c>
      <c r="AX8" s="35" t="str">
        <f aca="false">IF($B8="","",AO8+AS8/2)</f>
        <v/>
      </c>
      <c r="AY8" s="35" t="str">
        <f aca="false">IF($B8="","",AQ8)</f>
        <v/>
      </c>
      <c r="AZ8" s="35" t="str">
        <f aca="false">IF($B8="","",AP8+AT8/2)</f>
        <v/>
      </c>
      <c r="BA8" s="35" t="str">
        <f aca="false">IF($B8="","",AK8+AN8+AM8/2+AO8+AP8+AQ8+AR8+AS8+AT8+AU8+AV8+AW8)</f>
        <v/>
      </c>
      <c r="BB8" s="35" t="str">
        <f aca="false">IF($B8="","",MAX(0,AN8-Settings!$C$16)*Settings!$C$17)</f>
        <v/>
      </c>
      <c r="BC8" s="35" t="str">
        <f aca="false">IF($B8="","",BA8-BB8)</f>
        <v/>
      </c>
      <c r="BD8" s="35" t="str">
        <f aca="false">IF(OR($B8="",$A8=""),"",DAY(EOMONTH($A8,0))-COUNTA($F8:$AJ8))</f>
        <v/>
      </c>
    </row>
    <row r="9" customFormat="false" ht="15" hidden="false" customHeight="false" outlineLevel="0" collapsed="false">
      <c r="A9" s="32"/>
      <c r="B9" s="29"/>
      <c r="C9" s="10" t="str">
        <f aca="false">IF($B9="","",IFERROR(INDEX(M_name,MATCH($B9,M_emp,0)),"Code not found"))</f>
        <v/>
      </c>
      <c r="D9" s="10" t="str">
        <f aca="false">IF($B9="","",IFERROR(INDEX(M_dept,MATCH($B9,M_emp,0)),""))</f>
        <v/>
      </c>
      <c r="E9" s="10" t="str">
        <f aca="false">IF($B9="","",IFERROR(INDEX(M_loc,MATCH($B9,M_emp,0)),""))</f>
        <v/>
      </c>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4" t="str">
        <f aca="false">IF($B9="","",COUNTIF($F9:$AJ9,"P"))</f>
        <v/>
      </c>
      <c r="AL9" s="34" t="str">
        <f aca="false">IF($B9="","",COUNTIF($F9:$AJ9,"A"))</f>
        <v/>
      </c>
      <c r="AM9" s="34" t="str">
        <f aca="false">IF($B9="","",COUNTIF($F9:$AJ9,"HA"))</f>
        <v/>
      </c>
      <c r="AN9" s="34" t="str">
        <f aca="false">IF($B9="","",COUNTIF($F9:$AJ9,"L"))</f>
        <v/>
      </c>
      <c r="AO9" s="34" t="str">
        <f aca="false">IF($B9="","",COUNTIF($F9:$AJ9,"PL"))</f>
        <v/>
      </c>
      <c r="AP9" s="34" t="str">
        <f aca="false">IF($B9="","",COUNTIF($F9:$AJ9,"CL"))</f>
        <v/>
      </c>
      <c r="AQ9" s="34" t="str">
        <f aca="false">IF($B9="","",COUNTIF($F9:$AJ9,"SL"))</f>
        <v/>
      </c>
      <c r="AR9" s="34" t="str">
        <f aca="false">IF($B9="","",COUNTIF($F9:$AJ9,"CO"))</f>
        <v/>
      </c>
      <c r="AS9" s="34" t="str">
        <f aca="false">IF($B9="","",COUNTIF($F9:$AJ9,"HPL"))</f>
        <v/>
      </c>
      <c r="AT9" s="34" t="str">
        <f aca="false">IF($B9="","",COUNTIF($F9:$AJ9,"HCL"))</f>
        <v/>
      </c>
      <c r="AU9" s="34" t="str">
        <f aca="false">IF($B9="","",COUNTIF($F9:$AJ9,"WO"))</f>
        <v/>
      </c>
      <c r="AV9" s="34" t="str">
        <f aca="false">IF($B9="","",COUNTIF($F9:$AJ9,"PH"))</f>
        <v/>
      </c>
      <c r="AW9" s="34" t="str">
        <f aca="false">IF($B9="","",COUNTIF($F9:$AJ9,"TR"))</f>
        <v/>
      </c>
      <c r="AX9" s="35" t="str">
        <f aca="false">IF($B9="","",AO9+AS9/2)</f>
        <v/>
      </c>
      <c r="AY9" s="35" t="str">
        <f aca="false">IF($B9="","",AQ9)</f>
        <v/>
      </c>
      <c r="AZ9" s="35" t="str">
        <f aca="false">IF($B9="","",AP9+AT9/2)</f>
        <v/>
      </c>
      <c r="BA9" s="35" t="str">
        <f aca="false">IF($B9="","",AK9+AN9+AM9/2+AO9+AP9+AQ9+AR9+AS9+AT9+AU9+AV9+AW9)</f>
        <v/>
      </c>
      <c r="BB9" s="35" t="str">
        <f aca="false">IF($B9="","",MAX(0,AN9-Settings!$C$16)*Settings!$C$17)</f>
        <v/>
      </c>
      <c r="BC9" s="35" t="str">
        <f aca="false">IF($B9="","",BA9-BB9)</f>
        <v/>
      </c>
      <c r="BD9" s="35" t="str">
        <f aca="false">IF(OR($B9="",$A9=""),"",DAY(EOMONTH($A9,0))-COUNTA($F9:$AJ9))</f>
        <v/>
      </c>
    </row>
    <row r="10" customFormat="false" ht="15" hidden="false" customHeight="false" outlineLevel="0" collapsed="false">
      <c r="A10" s="32"/>
      <c r="B10" s="29"/>
      <c r="C10" s="10" t="str">
        <f aca="false">IF($B10="","",IFERROR(INDEX(M_name,MATCH($B10,M_emp,0)),"Code not found"))</f>
        <v/>
      </c>
      <c r="D10" s="10" t="str">
        <f aca="false">IF($B10="","",IFERROR(INDEX(M_dept,MATCH($B10,M_emp,0)),""))</f>
        <v/>
      </c>
      <c r="E10" s="10" t="str">
        <f aca="false">IF($B10="","",IFERROR(INDEX(M_loc,MATCH($B10,M_emp,0)),""))</f>
        <v/>
      </c>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4" t="str">
        <f aca="false">IF($B10="","",COUNTIF($F10:$AJ10,"P"))</f>
        <v/>
      </c>
      <c r="AL10" s="34" t="str">
        <f aca="false">IF($B10="","",COUNTIF($F10:$AJ10,"A"))</f>
        <v/>
      </c>
      <c r="AM10" s="34" t="str">
        <f aca="false">IF($B10="","",COUNTIF($F10:$AJ10,"HA"))</f>
        <v/>
      </c>
      <c r="AN10" s="34" t="str">
        <f aca="false">IF($B10="","",COUNTIF($F10:$AJ10,"L"))</f>
        <v/>
      </c>
      <c r="AO10" s="34" t="str">
        <f aca="false">IF($B10="","",COUNTIF($F10:$AJ10,"PL"))</f>
        <v/>
      </c>
      <c r="AP10" s="34" t="str">
        <f aca="false">IF($B10="","",COUNTIF($F10:$AJ10,"CL"))</f>
        <v/>
      </c>
      <c r="AQ10" s="34" t="str">
        <f aca="false">IF($B10="","",COUNTIF($F10:$AJ10,"SL"))</f>
        <v/>
      </c>
      <c r="AR10" s="34" t="str">
        <f aca="false">IF($B10="","",COUNTIF($F10:$AJ10,"CO"))</f>
        <v/>
      </c>
      <c r="AS10" s="34" t="str">
        <f aca="false">IF($B10="","",COUNTIF($F10:$AJ10,"HPL"))</f>
        <v/>
      </c>
      <c r="AT10" s="34" t="str">
        <f aca="false">IF($B10="","",COUNTIF($F10:$AJ10,"HCL"))</f>
        <v/>
      </c>
      <c r="AU10" s="34" t="str">
        <f aca="false">IF($B10="","",COUNTIF($F10:$AJ10,"WO"))</f>
        <v/>
      </c>
      <c r="AV10" s="34" t="str">
        <f aca="false">IF($B10="","",COUNTIF($F10:$AJ10,"PH"))</f>
        <v/>
      </c>
      <c r="AW10" s="34" t="str">
        <f aca="false">IF($B10="","",COUNTIF($F10:$AJ10,"TR"))</f>
        <v/>
      </c>
      <c r="AX10" s="35" t="str">
        <f aca="false">IF($B10="","",AO10+AS10/2)</f>
        <v/>
      </c>
      <c r="AY10" s="35" t="str">
        <f aca="false">IF($B10="","",AQ10)</f>
        <v/>
      </c>
      <c r="AZ10" s="35" t="str">
        <f aca="false">IF($B10="","",AP10+AT10/2)</f>
        <v/>
      </c>
      <c r="BA10" s="35" t="str">
        <f aca="false">IF($B10="","",AK10+AN10+AM10/2+AO10+AP10+AQ10+AR10+AS10+AT10+AU10+AV10+AW10)</f>
        <v/>
      </c>
      <c r="BB10" s="35" t="str">
        <f aca="false">IF($B10="","",MAX(0,AN10-Settings!$C$16)*Settings!$C$17)</f>
        <v/>
      </c>
      <c r="BC10" s="35" t="str">
        <f aca="false">IF($B10="","",BA10-BB10)</f>
        <v/>
      </c>
      <c r="BD10" s="35" t="str">
        <f aca="false">IF(OR($B10="",$A10=""),"",DAY(EOMONTH($A10,0))-COUNTA($F10:$AJ10))</f>
        <v/>
      </c>
    </row>
    <row r="11" customFormat="false" ht="15" hidden="false" customHeight="false" outlineLevel="0" collapsed="false">
      <c r="A11" s="32"/>
      <c r="B11" s="29"/>
      <c r="C11" s="10" t="str">
        <f aca="false">IF($B11="","",IFERROR(INDEX(M_name,MATCH($B11,M_emp,0)),"Code not found"))</f>
        <v/>
      </c>
      <c r="D11" s="10" t="str">
        <f aca="false">IF($B11="","",IFERROR(INDEX(M_dept,MATCH($B11,M_emp,0)),""))</f>
        <v/>
      </c>
      <c r="E11" s="10" t="str">
        <f aca="false">IF($B11="","",IFERROR(INDEX(M_loc,MATCH($B11,M_emp,0)),""))</f>
        <v/>
      </c>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4" t="str">
        <f aca="false">IF($B11="","",COUNTIF($F11:$AJ11,"P"))</f>
        <v/>
      </c>
      <c r="AL11" s="34" t="str">
        <f aca="false">IF($B11="","",COUNTIF($F11:$AJ11,"A"))</f>
        <v/>
      </c>
      <c r="AM11" s="34" t="str">
        <f aca="false">IF($B11="","",COUNTIF($F11:$AJ11,"HA"))</f>
        <v/>
      </c>
      <c r="AN11" s="34" t="str">
        <f aca="false">IF($B11="","",COUNTIF($F11:$AJ11,"L"))</f>
        <v/>
      </c>
      <c r="AO11" s="34" t="str">
        <f aca="false">IF($B11="","",COUNTIF($F11:$AJ11,"PL"))</f>
        <v/>
      </c>
      <c r="AP11" s="34" t="str">
        <f aca="false">IF($B11="","",COUNTIF($F11:$AJ11,"CL"))</f>
        <v/>
      </c>
      <c r="AQ11" s="34" t="str">
        <f aca="false">IF($B11="","",COUNTIF($F11:$AJ11,"SL"))</f>
        <v/>
      </c>
      <c r="AR11" s="34" t="str">
        <f aca="false">IF($B11="","",COUNTIF($F11:$AJ11,"CO"))</f>
        <v/>
      </c>
      <c r="AS11" s="34" t="str">
        <f aca="false">IF($B11="","",COUNTIF($F11:$AJ11,"HPL"))</f>
        <v/>
      </c>
      <c r="AT11" s="34" t="str">
        <f aca="false">IF($B11="","",COUNTIF($F11:$AJ11,"HCL"))</f>
        <v/>
      </c>
      <c r="AU11" s="34" t="str">
        <f aca="false">IF($B11="","",COUNTIF($F11:$AJ11,"WO"))</f>
        <v/>
      </c>
      <c r="AV11" s="34" t="str">
        <f aca="false">IF($B11="","",COUNTIF($F11:$AJ11,"PH"))</f>
        <v/>
      </c>
      <c r="AW11" s="34" t="str">
        <f aca="false">IF($B11="","",COUNTIF($F11:$AJ11,"TR"))</f>
        <v/>
      </c>
      <c r="AX11" s="35" t="str">
        <f aca="false">IF($B11="","",AO11+AS11/2)</f>
        <v/>
      </c>
      <c r="AY11" s="35" t="str">
        <f aca="false">IF($B11="","",AQ11)</f>
        <v/>
      </c>
      <c r="AZ11" s="35" t="str">
        <f aca="false">IF($B11="","",AP11+AT11/2)</f>
        <v/>
      </c>
      <c r="BA11" s="35" t="str">
        <f aca="false">IF($B11="","",AK11+AN11+AM11/2+AO11+AP11+AQ11+AR11+AS11+AT11+AU11+AV11+AW11)</f>
        <v/>
      </c>
      <c r="BB11" s="35" t="str">
        <f aca="false">IF($B11="","",MAX(0,AN11-Settings!$C$16)*Settings!$C$17)</f>
        <v/>
      </c>
      <c r="BC11" s="35" t="str">
        <f aca="false">IF($B11="","",BA11-BB11)</f>
        <v/>
      </c>
      <c r="BD11" s="35" t="str">
        <f aca="false">IF(OR($B11="",$A11=""),"",DAY(EOMONTH($A11,0))-COUNTA($F11:$AJ11))</f>
        <v/>
      </c>
    </row>
    <row r="12" customFormat="false" ht="15" hidden="false" customHeight="false" outlineLevel="0" collapsed="false">
      <c r="A12" s="32"/>
      <c r="B12" s="29"/>
      <c r="C12" s="10" t="str">
        <f aca="false">IF($B12="","",IFERROR(INDEX(M_name,MATCH($B12,M_emp,0)),"Code not found"))</f>
        <v/>
      </c>
      <c r="D12" s="10" t="str">
        <f aca="false">IF($B12="","",IFERROR(INDEX(M_dept,MATCH($B12,M_emp,0)),""))</f>
        <v/>
      </c>
      <c r="E12" s="10" t="str">
        <f aca="false">IF($B12="","",IFERROR(INDEX(M_loc,MATCH($B12,M_emp,0)),""))</f>
        <v/>
      </c>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4" t="str">
        <f aca="false">IF($B12="","",COUNTIF($F12:$AJ12,"P"))</f>
        <v/>
      </c>
      <c r="AL12" s="34" t="str">
        <f aca="false">IF($B12="","",COUNTIF($F12:$AJ12,"A"))</f>
        <v/>
      </c>
      <c r="AM12" s="34" t="str">
        <f aca="false">IF($B12="","",COUNTIF($F12:$AJ12,"HA"))</f>
        <v/>
      </c>
      <c r="AN12" s="34" t="str">
        <f aca="false">IF($B12="","",COUNTIF($F12:$AJ12,"L"))</f>
        <v/>
      </c>
      <c r="AO12" s="34" t="str">
        <f aca="false">IF($B12="","",COUNTIF($F12:$AJ12,"PL"))</f>
        <v/>
      </c>
      <c r="AP12" s="34" t="str">
        <f aca="false">IF($B12="","",COUNTIF($F12:$AJ12,"CL"))</f>
        <v/>
      </c>
      <c r="AQ12" s="34" t="str">
        <f aca="false">IF($B12="","",COUNTIF($F12:$AJ12,"SL"))</f>
        <v/>
      </c>
      <c r="AR12" s="34" t="str">
        <f aca="false">IF($B12="","",COUNTIF($F12:$AJ12,"CO"))</f>
        <v/>
      </c>
      <c r="AS12" s="34" t="str">
        <f aca="false">IF($B12="","",COUNTIF($F12:$AJ12,"HPL"))</f>
        <v/>
      </c>
      <c r="AT12" s="34" t="str">
        <f aca="false">IF($B12="","",COUNTIF($F12:$AJ12,"HCL"))</f>
        <v/>
      </c>
      <c r="AU12" s="34" t="str">
        <f aca="false">IF($B12="","",COUNTIF($F12:$AJ12,"WO"))</f>
        <v/>
      </c>
      <c r="AV12" s="34" t="str">
        <f aca="false">IF($B12="","",COUNTIF($F12:$AJ12,"PH"))</f>
        <v/>
      </c>
      <c r="AW12" s="34" t="str">
        <f aca="false">IF($B12="","",COUNTIF($F12:$AJ12,"TR"))</f>
        <v/>
      </c>
      <c r="AX12" s="35" t="str">
        <f aca="false">IF($B12="","",AO12+AS12/2)</f>
        <v/>
      </c>
      <c r="AY12" s="35" t="str">
        <f aca="false">IF($B12="","",AQ12)</f>
        <v/>
      </c>
      <c r="AZ12" s="35" t="str">
        <f aca="false">IF($B12="","",AP12+AT12/2)</f>
        <v/>
      </c>
      <c r="BA12" s="35" t="str">
        <f aca="false">IF($B12="","",AK12+AN12+AM12/2+AO12+AP12+AQ12+AR12+AS12+AT12+AU12+AV12+AW12)</f>
        <v/>
      </c>
      <c r="BB12" s="35" t="str">
        <f aca="false">IF($B12="","",MAX(0,AN12-Settings!$C$16)*Settings!$C$17)</f>
        <v/>
      </c>
      <c r="BC12" s="35" t="str">
        <f aca="false">IF($B12="","",BA12-BB12)</f>
        <v/>
      </c>
      <c r="BD12" s="35" t="str">
        <f aca="false">IF(OR($B12="",$A12=""),"",DAY(EOMONTH($A12,0))-COUNTA($F12:$AJ12))</f>
        <v/>
      </c>
    </row>
    <row r="13" customFormat="false" ht="15" hidden="false" customHeight="false" outlineLevel="0" collapsed="false">
      <c r="A13" s="32"/>
      <c r="B13" s="29"/>
      <c r="C13" s="10" t="str">
        <f aca="false">IF($B13="","",IFERROR(INDEX(M_name,MATCH($B13,M_emp,0)),"Code not found"))</f>
        <v/>
      </c>
      <c r="D13" s="10" t="str">
        <f aca="false">IF($B13="","",IFERROR(INDEX(M_dept,MATCH($B13,M_emp,0)),""))</f>
        <v/>
      </c>
      <c r="E13" s="10" t="str">
        <f aca="false">IF($B13="","",IFERROR(INDEX(M_loc,MATCH($B13,M_emp,0)),""))</f>
        <v/>
      </c>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4" t="str">
        <f aca="false">IF($B13="","",COUNTIF($F13:$AJ13,"P"))</f>
        <v/>
      </c>
      <c r="AL13" s="34" t="str">
        <f aca="false">IF($B13="","",COUNTIF($F13:$AJ13,"A"))</f>
        <v/>
      </c>
      <c r="AM13" s="34" t="str">
        <f aca="false">IF($B13="","",COUNTIF($F13:$AJ13,"HA"))</f>
        <v/>
      </c>
      <c r="AN13" s="34" t="str">
        <f aca="false">IF($B13="","",COUNTIF($F13:$AJ13,"L"))</f>
        <v/>
      </c>
      <c r="AO13" s="34" t="str">
        <f aca="false">IF($B13="","",COUNTIF($F13:$AJ13,"PL"))</f>
        <v/>
      </c>
      <c r="AP13" s="34" t="str">
        <f aca="false">IF($B13="","",COUNTIF($F13:$AJ13,"CL"))</f>
        <v/>
      </c>
      <c r="AQ13" s="34" t="str">
        <f aca="false">IF($B13="","",COUNTIF($F13:$AJ13,"SL"))</f>
        <v/>
      </c>
      <c r="AR13" s="34" t="str">
        <f aca="false">IF($B13="","",COUNTIF($F13:$AJ13,"CO"))</f>
        <v/>
      </c>
      <c r="AS13" s="34" t="str">
        <f aca="false">IF($B13="","",COUNTIF($F13:$AJ13,"HPL"))</f>
        <v/>
      </c>
      <c r="AT13" s="34" t="str">
        <f aca="false">IF($B13="","",COUNTIF($F13:$AJ13,"HCL"))</f>
        <v/>
      </c>
      <c r="AU13" s="34" t="str">
        <f aca="false">IF($B13="","",COUNTIF($F13:$AJ13,"WO"))</f>
        <v/>
      </c>
      <c r="AV13" s="34" t="str">
        <f aca="false">IF($B13="","",COUNTIF($F13:$AJ13,"PH"))</f>
        <v/>
      </c>
      <c r="AW13" s="34" t="str">
        <f aca="false">IF($B13="","",COUNTIF($F13:$AJ13,"TR"))</f>
        <v/>
      </c>
      <c r="AX13" s="35" t="str">
        <f aca="false">IF($B13="","",AO13+AS13/2)</f>
        <v/>
      </c>
      <c r="AY13" s="35" t="str">
        <f aca="false">IF($B13="","",AQ13)</f>
        <v/>
      </c>
      <c r="AZ13" s="35" t="str">
        <f aca="false">IF($B13="","",AP13+AT13/2)</f>
        <v/>
      </c>
      <c r="BA13" s="35" t="str">
        <f aca="false">IF($B13="","",AK13+AN13+AM13/2+AO13+AP13+AQ13+AR13+AS13+AT13+AU13+AV13+AW13)</f>
        <v/>
      </c>
      <c r="BB13" s="35" t="str">
        <f aca="false">IF($B13="","",MAX(0,AN13-Settings!$C$16)*Settings!$C$17)</f>
        <v/>
      </c>
      <c r="BC13" s="35" t="str">
        <f aca="false">IF($B13="","",BA13-BB13)</f>
        <v/>
      </c>
      <c r="BD13" s="35" t="str">
        <f aca="false">IF(OR($B13="",$A13=""),"",DAY(EOMONTH($A13,0))-COUNTA($F13:$AJ13))</f>
        <v/>
      </c>
    </row>
    <row r="14" customFormat="false" ht="15" hidden="false" customHeight="false" outlineLevel="0" collapsed="false">
      <c r="A14" s="32"/>
      <c r="B14" s="29"/>
      <c r="C14" s="10" t="str">
        <f aca="false">IF($B14="","",IFERROR(INDEX(M_name,MATCH($B14,M_emp,0)),"Code not found"))</f>
        <v/>
      </c>
      <c r="D14" s="10" t="str">
        <f aca="false">IF($B14="","",IFERROR(INDEX(M_dept,MATCH($B14,M_emp,0)),""))</f>
        <v/>
      </c>
      <c r="E14" s="10" t="str">
        <f aca="false">IF($B14="","",IFERROR(INDEX(M_loc,MATCH($B14,M_emp,0)),""))</f>
        <v/>
      </c>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4" t="str">
        <f aca="false">IF($B14="","",COUNTIF($F14:$AJ14,"P"))</f>
        <v/>
      </c>
      <c r="AL14" s="34" t="str">
        <f aca="false">IF($B14="","",COUNTIF($F14:$AJ14,"A"))</f>
        <v/>
      </c>
      <c r="AM14" s="34" t="str">
        <f aca="false">IF($B14="","",COUNTIF($F14:$AJ14,"HA"))</f>
        <v/>
      </c>
      <c r="AN14" s="34" t="str">
        <f aca="false">IF($B14="","",COUNTIF($F14:$AJ14,"L"))</f>
        <v/>
      </c>
      <c r="AO14" s="34" t="str">
        <f aca="false">IF($B14="","",COUNTIF($F14:$AJ14,"PL"))</f>
        <v/>
      </c>
      <c r="AP14" s="34" t="str">
        <f aca="false">IF($B14="","",COUNTIF($F14:$AJ14,"CL"))</f>
        <v/>
      </c>
      <c r="AQ14" s="34" t="str">
        <f aca="false">IF($B14="","",COUNTIF($F14:$AJ14,"SL"))</f>
        <v/>
      </c>
      <c r="AR14" s="34" t="str">
        <f aca="false">IF($B14="","",COUNTIF($F14:$AJ14,"CO"))</f>
        <v/>
      </c>
      <c r="AS14" s="34" t="str">
        <f aca="false">IF($B14="","",COUNTIF($F14:$AJ14,"HPL"))</f>
        <v/>
      </c>
      <c r="AT14" s="34" t="str">
        <f aca="false">IF($B14="","",COUNTIF($F14:$AJ14,"HCL"))</f>
        <v/>
      </c>
      <c r="AU14" s="34" t="str">
        <f aca="false">IF($B14="","",COUNTIF($F14:$AJ14,"WO"))</f>
        <v/>
      </c>
      <c r="AV14" s="34" t="str">
        <f aca="false">IF($B14="","",COUNTIF($F14:$AJ14,"PH"))</f>
        <v/>
      </c>
      <c r="AW14" s="34" t="str">
        <f aca="false">IF($B14="","",COUNTIF($F14:$AJ14,"TR"))</f>
        <v/>
      </c>
      <c r="AX14" s="35" t="str">
        <f aca="false">IF($B14="","",AO14+AS14/2)</f>
        <v/>
      </c>
      <c r="AY14" s="35" t="str">
        <f aca="false">IF($B14="","",AQ14)</f>
        <v/>
      </c>
      <c r="AZ14" s="35" t="str">
        <f aca="false">IF($B14="","",AP14+AT14/2)</f>
        <v/>
      </c>
      <c r="BA14" s="35" t="str">
        <f aca="false">IF($B14="","",AK14+AN14+AM14/2+AO14+AP14+AQ14+AR14+AS14+AT14+AU14+AV14+AW14)</f>
        <v/>
      </c>
      <c r="BB14" s="35" t="str">
        <f aca="false">IF($B14="","",MAX(0,AN14-Settings!$C$16)*Settings!$C$17)</f>
        <v/>
      </c>
      <c r="BC14" s="35" t="str">
        <f aca="false">IF($B14="","",BA14-BB14)</f>
        <v/>
      </c>
      <c r="BD14" s="35" t="str">
        <f aca="false">IF(OR($B14="",$A14=""),"",DAY(EOMONTH($A14,0))-COUNTA($F14:$AJ14))</f>
        <v/>
      </c>
    </row>
    <row r="15" customFormat="false" ht="15" hidden="false" customHeight="false" outlineLevel="0" collapsed="false">
      <c r="A15" s="32"/>
      <c r="B15" s="29"/>
      <c r="C15" s="10" t="str">
        <f aca="false">IF($B15="","",IFERROR(INDEX(M_name,MATCH($B15,M_emp,0)),"Code not found"))</f>
        <v/>
      </c>
      <c r="D15" s="10" t="str">
        <f aca="false">IF($B15="","",IFERROR(INDEX(M_dept,MATCH($B15,M_emp,0)),""))</f>
        <v/>
      </c>
      <c r="E15" s="10" t="str">
        <f aca="false">IF($B15="","",IFERROR(INDEX(M_loc,MATCH($B15,M_emp,0)),""))</f>
        <v/>
      </c>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4" t="str">
        <f aca="false">IF($B15="","",COUNTIF($F15:$AJ15,"P"))</f>
        <v/>
      </c>
      <c r="AL15" s="34" t="str">
        <f aca="false">IF($B15="","",COUNTIF($F15:$AJ15,"A"))</f>
        <v/>
      </c>
      <c r="AM15" s="34" t="str">
        <f aca="false">IF($B15="","",COUNTIF($F15:$AJ15,"HA"))</f>
        <v/>
      </c>
      <c r="AN15" s="34" t="str">
        <f aca="false">IF($B15="","",COUNTIF($F15:$AJ15,"L"))</f>
        <v/>
      </c>
      <c r="AO15" s="34" t="str">
        <f aca="false">IF($B15="","",COUNTIF($F15:$AJ15,"PL"))</f>
        <v/>
      </c>
      <c r="AP15" s="34" t="str">
        <f aca="false">IF($B15="","",COUNTIF($F15:$AJ15,"CL"))</f>
        <v/>
      </c>
      <c r="AQ15" s="34" t="str">
        <f aca="false">IF($B15="","",COUNTIF($F15:$AJ15,"SL"))</f>
        <v/>
      </c>
      <c r="AR15" s="34" t="str">
        <f aca="false">IF($B15="","",COUNTIF($F15:$AJ15,"CO"))</f>
        <v/>
      </c>
      <c r="AS15" s="34" t="str">
        <f aca="false">IF($B15="","",COUNTIF($F15:$AJ15,"HPL"))</f>
        <v/>
      </c>
      <c r="AT15" s="34" t="str">
        <f aca="false">IF($B15="","",COUNTIF($F15:$AJ15,"HCL"))</f>
        <v/>
      </c>
      <c r="AU15" s="34" t="str">
        <f aca="false">IF($B15="","",COUNTIF($F15:$AJ15,"WO"))</f>
        <v/>
      </c>
      <c r="AV15" s="34" t="str">
        <f aca="false">IF($B15="","",COUNTIF($F15:$AJ15,"PH"))</f>
        <v/>
      </c>
      <c r="AW15" s="34" t="str">
        <f aca="false">IF($B15="","",COUNTIF($F15:$AJ15,"TR"))</f>
        <v/>
      </c>
      <c r="AX15" s="35" t="str">
        <f aca="false">IF($B15="","",AO15+AS15/2)</f>
        <v/>
      </c>
      <c r="AY15" s="35" t="str">
        <f aca="false">IF($B15="","",AQ15)</f>
        <v/>
      </c>
      <c r="AZ15" s="35" t="str">
        <f aca="false">IF($B15="","",AP15+AT15/2)</f>
        <v/>
      </c>
      <c r="BA15" s="35" t="str">
        <f aca="false">IF($B15="","",AK15+AN15+AM15/2+AO15+AP15+AQ15+AR15+AS15+AT15+AU15+AV15+AW15)</f>
        <v/>
      </c>
      <c r="BB15" s="35" t="str">
        <f aca="false">IF($B15="","",MAX(0,AN15-Settings!$C$16)*Settings!$C$17)</f>
        <v/>
      </c>
      <c r="BC15" s="35" t="str">
        <f aca="false">IF($B15="","",BA15-BB15)</f>
        <v/>
      </c>
      <c r="BD15" s="35" t="str">
        <f aca="false">IF(OR($B15="",$A15=""),"",DAY(EOMONTH($A15,0))-COUNTA($F15:$AJ15))</f>
        <v/>
      </c>
    </row>
    <row r="16" customFormat="false" ht="15" hidden="false" customHeight="false" outlineLevel="0" collapsed="false">
      <c r="A16" s="32"/>
      <c r="B16" s="29"/>
      <c r="C16" s="10" t="str">
        <f aca="false">IF($B16="","",IFERROR(INDEX(M_name,MATCH($B16,M_emp,0)),"Code not found"))</f>
        <v/>
      </c>
      <c r="D16" s="10" t="str">
        <f aca="false">IF($B16="","",IFERROR(INDEX(M_dept,MATCH($B16,M_emp,0)),""))</f>
        <v/>
      </c>
      <c r="E16" s="10" t="str">
        <f aca="false">IF($B16="","",IFERROR(INDEX(M_loc,MATCH($B16,M_emp,0)),""))</f>
        <v/>
      </c>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4" t="str">
        <f aca="false">IF($B16="","",COUNTIF($F16:$AJ16,"P"))</f>
        <v/>
      </c>
      <c r="AL16" s="34" t="str">
        <f aca="false">IF($B16="","",COUNTIF($F16:$AJ16,"A"))</f>
        <v/>
      </c>
      <c r="AM16" s="34" t="str">
        <f aca="false">IF($B16="","",COUNTIF($F16:$AJ16,"HA"))</f>
        <v/>
      </c>
      <c r="AN16" s="34" t="str">
        <f aca="false">IF($B16="","",COUNTIF($F16:$AJ16,"L"))</f>
        <v/>
      </c>
      <c r="AO16" s="34" t="str">
        <f aca="false">IF($B16="","",COUNTIF($F16:$AJ16,"PL"))</f>
        <v/>
      </c>
      <c r="AP16" s="34" t="str">
        <f aca="false">IF($B16="","",COUNTIF($F16:$AJ16,"CL"))</f>
        <v/>
      </c>
      <c r="AQ16" s="34" t="str">
        <f aca="false">IF($B16="","",COUNTIF($F16:$AJ16,"SL"))</f>
        <v/>
      </c>
      <c r="AR16" s="34" t="str">
        <f aca="false">IF($B16="","",COUNTIF($F16:$AJ16,"CO"))</f>
        <v/>
      </c>
      <c r="AS16" s="34" t="str">
        <f aca="false">IF($B16="","",COUNTIF($F16:$AJ16,"HPL"))</f>
        <v/>
      </c>
      <c r="AT16" s="34" t="str">
        <f aca="false">IF($B16="","",COUNTIF($F16:$AJ16,"HCL"))</f>
        <v/>
      </c>
      <c r="AU16" s="34" t="str">
        <f aca="false">IF($B16="","",COUNTIF($F16:$AJ16,"WO"))</f>
        <v/>
      </c>
      <c r="AV16" s="34" t="str">
        <f aca="false">IF($B16="","",COUNTIF($F16:$AJ16,"PH"))</f>
        <v/>
      </c>
      <c r="AW16" s="34" t="str">
        <f aca="false">IF($B16="","",COUNTIF($F16:$AJ16,"TR"))</f>
        <v/>
      </c>
      <c r="AX16" s="35" t="str">
        <f aca="false">IF($B16="","",AO16+AS16/2)</f>
        <v/>
      </c>
      <c r="AY16" s="35" t="str">
        <f aca="false">IF($B16="","",AQ16)</f>
        <v/>
      </c>
      <c r="AZ16" s="35" t="str">
        <f aca="false">IF($B16="","",AP16+AT16/2)</f>
        <v/>
      </c>
      <c r="BA16" s="35" t="str">
        <f aca="false">IF($B16="","",AK16+AN16+AM16/2+AO16+AP16+AQ16+AR16+AS16+AT16+AU16+AV16+AW16)</f>
        <v/>
      </c>
      <c r="BB16" s="35" t="str">
        <f aca="false">IF($B16="","",MAX(0,AN16-Settings!$C$16)*Settings!$C$17)</f>
        <v/>
      </c>
      <c r="BC16" s="35" t="str">
        <f aca="false">IF($B16="","",BA16-BB16)</f>
        <v/>
      </c>
      <c r="BD16" s="35" t="str">
        <f aca="false">IF(OR($B16="",$A16=""),"",DAY(EOMONTH($A16,0))-COUNTA($F16:$AJ16))</f>
        <v/>
      </c>
    </row>
    <row r="17" customFormat="false" ht="15" hidden="false" customHeight="false" outlineLevel="0" collapsed="false">
      <c r="A17" s="32"/>
      <c r="B17" s="29"/>
      <c r="C17" s="10" t="str">
        <f aca="false">IF($B17="","",IFERROR(INDEX(M_name,MATCH($B17,M_emp,0)),"Code not found"))</f>
        <v/>
      </c>
      <c r="D17" s="10" t="str">
        <f aca="false">IF($B17="","",IFERROR(INDEX(M_dept,MATCH($B17,M_emp,0)),""))</f>
        <v/>
      </c>
      <c r="E17" s="10" t="str">
        <f aca="false">IF($B17="","",IFERROR(INDEX(M_loc,MATCH($B17,M_emp,0)),""))</f>
        <v/>
      </c>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4" t="str">
        <f aca="false">IF($B17="","",COUNTIF($F17:$AJ17,"P"))</f>
        <v/>
      </c>
      <c r="AL17" s="34" t="str">
        <f aca="false">IF($B17="","",COUNTIF($F17:$AJ17,"A"))</f>
        <v/>
      </c>
      <c r="AM17" s="34" t="str">
        <f aca="false">IF($B17="","",COUNTIF($F17:$AJ17,"HA"))</f>
        <v/>
      </c>
      <c r="AN17" s="34" t="str">
        <f aca="false">IF($B17="","",COUNTIF($F17:$AJ17,"L"))</f>
        <v/>
      </c>
      <c r="AO17" s="34" t="str">
        <f aca="false">IF($B17="","",COUNTIF($F17:$AJ17,"PL"))</f>
        <v/>
      </c>
      <c r="AP17" s="34" t="str">
        <f aca="false">IF($B17="","",COUNTIF($F17:$AJ17,"CL"))</f>
        <v/>
      </c>
      <c r="AQ17" s="34" t="str">
        <f aca="false">IF($B17="","",COUNTIF($F17:$AJ17,"SL"))</f>
        <v/>
      </c>
      <c r="AR17" s="34" t="str">
        <f aca="false">IF($B17="","",COUNTIF($F17:$AJ17,"CO"))</f>
        <v/>
      </c>
      <c r="AS17" s="34" t="str">
        <f aca="false">IF($B17="","",COUNTIF($F17:$AJ17,"HPL"))</f>
        <v/>
      </c>
      <c r="AT17" s="34" t="str">
        <f aca="false">IF($B17="","",COUNTIF($F17:$AJ17,"HCL"))</f>
        <v/>
      </c>
      <c r="AU17" s="34" t="str">
        <f aca="false">IF($B17="","",COUNTIF($F17:$AJ17,"WO"))</f>
        <v/>
      </c>
      <c r="AV17" s="34" t="str">
        <f aca="false">IF($B17="","",COUNTIF($F17:$AJ17,"PH"))</f>
        <v/>
      </c>
      <c r="AW17" s="34" t="str">
        <f aca="false">IF($B17="","",COUNTIF($F17:$AJ17,"TR"))</f>
        <v/>
      </c>
      <c r="AX17" s="35" t="str">
        <f aca="false">IF($B17="","",AO17+AS17/2)</f>
        <v/>
      </c>
      <c r="AY17" s="35" t="str">
        <f aca="false">IF($B17="","",AQ17)</f>
        <v/>
      </c>
      <c r="AZ17" s="35" t="str">
        <f aca="false">IF($B17="","",AP17+AT17/2)</f>
        <v/>
      </c>
      <c r="BA17" s="35" t="str">
        <f aca="false">IF($B17="","",AK17+AN17+AM17/2+AO17+AP17+AQ17+AR17+AS17+AT17+AU17+AV17+AW17)</f>
        <v/>
      </c>
      <c r="BB17" s="35" t="str">
        <f aca="false">IF($B17="","",MAX(0,AN17-Settings!$C$16)*Settings!$C$17)</f>
        <v/>
      </c>
      <c r="BC17" s="35" t="str">
        <f aca="false">IF($B17="","",BA17-BB17)</f>
        <v/>
      </c>
      <c r="BD17" s="35" t="str">
        <f aca="false">IF(OR($B17="",$A17=""),"",DAY(EOMONTH($A17,0))-COUNTA($F17:$AJ17))</f>
        <v/>
      </c>
    </row>
    <row r="18" customFormat="false" ht="15" hidden="false" customHeight="false" outlineLevel="0" collapsed="false">
      <c r="A18" s="32"/>
      <c r="B18" s="29"/>
      <c r="C18" s="10" t="str">
        <f aca="false">IF($B18="","",IFERROR(INDEX(M_name,MATCH($B18,M_emp,0)),"Code not found"))</f>
        <v/>
      </c>
      <c r="D18" s="10" t="str">
        <f aca="false">IF($B18="","",IFERROR(INDEX(M_dept,MATCH($B18,M_emp,0)),""))</f>
        <v/>
      </c>
      <c r="E18" s="10" t="str">
        <f aca="false">IF($B18="","",IFERROR(INDEX(M_loc,MATCH($B18,M_emp,0)),""))</f>
        <v/>
      </c>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4" t="str">
        <f aca="false">IF($B18="","",COUNTIF($F18:$AJ18,"P"))</f>
        <v/>
      </c>
      <c r="AL18" s="34" t="str">
        <f aca="false">IF($B18="","",COUNTIF($F18:$AJ18,"A"))</f>
        <v/>
      </c>
      <c r="AM18" s="34" t="str">
        <f aca="false">IF($B18="","",COUNTIF($F18:$AJ18,"HA"))</f>
        <v/>
      </c>
      <c r="AN18" s="34" t="str">
        <f aca="false">IF($B18="","",COUNTIF($F18:$AJ18,"L"))</f>
        <v/>
      </c>
      <c r="AO18" s="34" t="str">
        <f aca="false">IF($B18="","",COUNTIF($F18:$AJ18,"PL"))</f>
        <v/>
      </c>
      <c r="AP18" s="34" t="str">
        <f aca="false">IF($B18="","",COUNTIF($F18:$AJ18,"CL"))</f>
        <v/>
      </c>
      <c r="AQ18" s="34" t="str">
        <f aca="false">IF($B18="","",COUNTIF($F18:$AJ18,"SL"))</f>
        <v/>
      </c>
      <c r="AR18" s="34" t="str">
        <f aca="false">IF($B18="","",COUNTIF($F18:$AJ18,"CO"))</f>
        <v/>
      </c>
      <c r="AS18" s="34" t="str">
        <f aca="false">IF($B18="","",COUNTIF($F18:$AJ18,"HPL"))</f>
        <v/>
      </c>
      <c r="AT18" s="34" t="str">
        <f aca="false">IF($B18="","",COUNTIF($F18:$AJ18,"HCL"))</f>
        <v/>
      </c>
      <c r="AU18" s="34" t="str">
        <f aca="false">IF($B18="","",COUNTIF($F18:$AJ18,"WO"))</f>
        <v/>
      </c>
      <c r="AV18" s="34" t="str">
        <f aca="false">IF($B18="","",COUNTIF($F18:$AJ18,"PH"))</f>
        <v/>
      </c>
      <c r="AW18" s="34" t="str">
        <f aca="false">IF($B18="","",COUNTIF($F18:$AJ18,"TR"))</f>
        <v/>
      </c>
      <c r="AX18" s="35" t="str">
        <f aca="false">IF($B18="","",AO18+AS18/2)</f>
        <v/>
      </c>
      <c r="AY18" s="35" t="str">
        <f aca="false">IF($B18="","",AQ18)</f>
        <v/>
      </c>
      <c r="AZ18" s="35" t="str">
        <f aca="false">IF($B18="","",AP18+AT18/2)</f>
        <v/>
      </c>
      <c r="BA18" s="35" t="str">
        <f aca="false">IF($B18="","",AK18+AN18+AM18/2+AO18+AP18+AQ18+AR18+AS18+AT18+AU18+AV18+AW18)</f>
        <v/>
      </c>
      <c r="BB18" s="35" t="str">
        <f aca="false">IF($B18="","",MAX(0,AN18-Settings!$C$16)*Settings!$C$17)</f>
        <v/>
      </c>
      <c r="BC18" s="35" t="str">
        <f aca="false">IF($B18="","",BA18-BB18)</f>
        <v/>
      </c>
      <c r="BD18" s="35" t="str">
        <f aca="false">IF(OR($B18="",$A18=""),"",DAY(EOMONTH($A18,0))-COUNTA($F18:$AJ18))</f>
        <v/>
      </c>
    </row>
    <row r="19" customFormat="false" ht="15" hidden="false" customHeight="false" outlineLevel="0" collapsed="false">
      <c r="A19" s="32"/>
      <c r="B19" s="29"/>
      <c r="C19" s="10" t="str">
        <f aca="false">IF($B19="","",IFERROR(INDEX(M_name,MATCH($B19,M_emp,0)),"Code not found"))</f>
        <v/>
      </c>
      <c r="D19" s="10" t="str">
        <f aca="false">IF($B19="","",IFERROR(INDEX(M_dept,MATCH($B19,M_emp,0)),""))</f>
        <v/>
      </c>
      <c r="E19" s="10" t="str">
        <f aca="false">IF($B19="","",IFERROR(INDEX(M_loc,MATCH($B19,M_emp,0)),""))</f>
        <v/>
      </c>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4" t="str">
        <f aca="false">IF($B19="","",COUNTIF($F19:$AJ19,"P"))</f>
        <v/>
      </c>
      <c r="AL19" s="34" t="str">
        <f aca="false">IF($B19="","",COUNTIF($F19:$AJ19,"A"))</f>
        <v/>
      </c>
      <c r="AM19" s="34" t="str">
        <f aca="false">IF($B19="","",COUNTIF($F19:$AJ19,"HA"))</f>
        <v/>
      </c>
      <c r="AN19" s="34" t="str">
        <f aca="false">IF($B19="","",COUNTIF($F19:$AJ19,"L"))</f>
        <v/>
      </c>
      <c r="AO19" s="34" t="str">
        <f aca="false">IF($B19="","",COUNTIF($F19:$AJ19,"PL"))</f>
        <v/>
      </c>
      <c r="AP19" s="34" t="str">
        <f aca="false">IF($B19="","",COUNTIF($F19:$AJ19,"CL"))</f>
        <v/>
      </c>
      <c r="AQ19" s="34" t="str">
        <f aca="false">IF($B19="","",COUNTIF($F19:$AJ19,"SL"))</f>
        <v/>
      </c>
      <c r="AR19" s="34" t="str">
        <f aca="false">IF($B19="","",COUNTIF($F19:$AJ19,"CO"))</f>
        <v/>
      </c>
      <c r="AS19" s="34" t="str">
        <f aca="false">IF($B19="","",COUNTIF($F19:$AJ19,"HPL"))</f>
        <v/>
      </c>
      <c r="AT19" s="34" t="str">
        <f aca="false">IF($B19="","",COUNTIF($F19:$AJ19,"HCL"))</f>
        <v/>
      </c>
      <c r="AU19" s="34" t="str">
        <f aca="false">IF($B19="","",COUNTIF($F19:$AJ19,"WO"))</f>
        <v/>
      </c>
      <c r="AV19" s="34" t="str">
        <f aca="false">IF($B19="","",COUNTIF($F19:$AJ19,"PH"))</f>
        <v/>
      </c>
      <c r="AW19" s="34" t="str">
        <f aca="false">IF($B19="","",COUNTIF($F19:$AJ19,"TR"))</f>
        <v/>
      </c>
      <c r="AX19" s="35" t="str">
        <f aca="false">IF($B19="","",AO19+AS19/2)</f>
        <v/>
      </c>
      <c r="AY19" s="35" t="str">
        <f aca="false">IF($B19="","",AQ19)</f>
        <v/>
      </c>
      <c r="AZ19" s="35" t="str">
        <f aca="false">IF($B19="","",AP19+AT19/2)</f>
        <v/>
      </c>
      <c r="BA19" s="35" t="str">
        <f aca="false">IF($B19="","",AK19+AN19+AM19/2+AO19+AP19+AQ19+AR19+AS19+AT19+AU19+AV19+AW19)</f>
        <v/>
      </c>
      <c r="BB19" s="35" t="str">
        <f aca="false">IF($B19="","",MAX(0,AN19-Settings!$C$16)*Settings!$C$17)</f>
        <v/>
      </c>
      <c r="BC19" s="35" t="str">
        <f aca="false">IF($B19="","",BA19-BB19)</f>
        <v/>
      </c>
      <c r="BD19" s="35" t="str">
        <f aca="false">IF(OR($B19="",$A19=""),"",DAY(EOMONTH($A19,0))-COUNTA($F19:$AJ19))</f>
        <v/>
      </c>
    </row>
    <row r="20" customFormat="false" ht="15" hidden="false" customHeight="false" outlineLevel="0" collapsed="false">
      <c r="A20" s="32"/>
      <c r="B20" s="29"/>
      <c r="C20" s="10" t="str">
        <f aca="false">IF($B20="","",IFERROR(INDEX(M_name,MATCH($B20,M_emp,0)),"Code not found"))</f>
        <v/>
      </c>
      <c r="D20" s="10" t="str">
        <f aca="false">IF($B20="","",IFERROR(INDEX(M_dept,MATCH($B20,M_emp,0)),""))</f>
        <v/>
      </c>
      <c r="E20" s="10" t="str">
        <f aca="false">IF($B20="","",IFERROR(INDEX(M_loc,MATCH($B20,M_emp,0)),""))</f>
        <v/>
      </c>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4" t="str">
        <f aca="false">IF($B20="","",COUNTIF($F20:$AJ20,"P"))</f>
        <v/>
      </c>
      <c r="AL20" s="34" t="str">
        <f aca="false">IF($B20="","",COUNTIF($F20:$AJ20,"A"))</f>
        <v/>
      </c>
      <c r="AM20" s="34" t="str">
        <f aca="false">IF($B20="","",COUNTIF($F20:$AJ20,"HA"))</f>
        <v/>
      </c>
      <c r="AN20" s="34" t="str">
        <f aca="false">IF($B20="","",COUNTIF($F20:$AJ20,"L"))</f>
        <v/>
      </c>
      <c r="AO20" s="34" t="str">
        <f aca="false">IF($B20="","",COUNTIF($F20:$AJ20,"PL"))</f>
        <v/>
      </c>
      <c r="AP20" s="34" t="str">
        <f aca="false">IF($B20="","",COUNTIF($F20:$AJ20,"CL"))</f>
        <v/>
      </c>
      <c r="AQ20" s="34" t="str">
        <f aca="false">IF($B20="","",COUNTIF($F20:$AJ20,"SL"))</f>
        <v/>
      </c>
      <c r="AR20" s="34" t="str">
        <f aca="false">IF($B20="","",COUNTIF($F20:$AJ20,"CO"))</f>
        <v/>
      </c>
      <c r="AS20" s="34" t="str">
        <f aca="false">IF($B20="","",COUNTIF($F20:$AJ20,"HPL"))</f>
        <v/>
      </c>
      <c r="AT20" s="34" t="str">
        <f aca="false">IF($B20="","",COUNTIF($F20:$AJ20,"HCL"))</f>
        <v/>
      </c>
      <c r="AU20" s="34" t="str">
        <f aca="false">IF($B20="","",COUNTIF($F20:$AJ20,"WO"))</f>
        <v/>
      </c>
      <c r="AV20" s="34" t="str">
        <f aca="false">IF($B20="","",COUNTIF($F20:$AJ20,"PH"))</f>
        <v/>
      </c>
      <c r="AW20" s="34" t="str">
        <f aca="false">IF($B20="","",COUNTIF($F20:$AJ20,"TR"))</f>
        <v/>
      </c>
      <c r="AX20" s="35" t="str">
        <f aca="false">IF($B20="","",AO20+AS20/2)</f>
        <v/>
      </c>
      <c r="AY20" s="35" t="str">
        <f aca="false">IF($B20="","",AQ20)</f>
        <v/>
      </c>
      <c r="AZ20" s="35" t="str">
        <f aca="false">IF($B20="","",AP20+AT20/2)</f>
        <v/>
      </c>
      <c r="BA20" s="35" t="str">
        <f aca="false">IF($B20="","",AK20+AN20+AM20/2+AO20+AP20+AQ20+AR20+AS20+AT20+AU20+AV20+AW20)</f>
        <v/>
      </c>
      <c r="BB20" s="35" t="str">
        <f aca="false">IF($B20="","",MAX(0,AN20-Settings!$C$16)*Settings!$C$17)</f>
        <v/>
      </c>
      <c r="BC20" s="35" t="str">
        <f aca="false">IF($B20="","",BA20-BB20)</f>
        <v/>
      </c>
      <c r="BD20" s="35" t="str">
        <f aca="false">IF(OR($B20="",$A20=""),"",DAY(EOMONTH($A20,0))-COUNTA($F20:$AJ20))</f>
        <v/>
      </c>
    </row>
    <row r="21" customFormat="false" ht="15" hidden="false" customHeight="false" outlineLevel="0" collapsed="false">
      <c r="A21" s="32"/>
      <c r="B21" s="29"/>
      <c r="C21" s="10" t="str">
        <f aca="false">IF($B21="","",IFERROR(INDEX(M_name,MATCH($B21,M_emp,0)),"Code not found"))</f>
        <v/>
      </c>
      <c r="D21" s="10" t="str">
        <f aca="false">IF($B21="","",IFERROR(INDEX(M_dept,MATCH($B21,M_emp,0)),""))</f>
        <v/>
      </c>
      <c r="E21" s="10" t="str">
        <f aca="false">IF($B21="","",IFERROR(INDEX(M_loc,MATCH($B21,M_emp,0)),""))</f>
        <v/>
      </c>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4" t="str">
        <f aca="false">IF($B21="","",COUNTIF($F21:$AJ21,"P"))</f>
        <v/>
      </c>
      <c r="AL21" s="34" t="str">
        <f aca="false">IF($B21="","",COUNTIF($F21:$AJ21,"A"))</f>
        <v/>
      </c>
      <c r="AM21" s="34" t="str">
        <f aca="false">IF($B21="","",COUNTIF($F21:$AJ21,"HA"))</f>
        <v/>
      </c>
      <c r="AN21" s="34" t="str">
        <f aca="false">IF($B21="","",COUNTIF($F21:$AJ21,"L"))</f>
        <v/>
      </c>
      <c r="AO21" s="34" t="str">
        <f aca="false">IF($B21="","",COUNTIF($F21:$AJ21,"PL"))</f>
        <v/>
      </c>
      <c r="AP21" s="34" t="str">
        <f aca="false">IF($B21="","",COUNTIF($F21:$AJ21,"CL"))</f>
        <v/>
      </c>
      <c r="AQ21" s="34" t="str">
        <f aca="false">IF($B21="","",COUNTIF($F21:$AJ21,"SL"))</f>
        <v/>
      </c>
      <c r="AR21" s="34" t="str">
        <f aca="false">IF($B21="","",COUNTIF($F21:$AJ21,"CO"))</f>
        <v/>
      </c>
      <c r="AS21" s="34" t="str">
        <f aca="false">IF($B21="","",COUNTIF($F21:$AJ21,"HPL"))</f>
        <v/>
      </c>
      <c r="AT21" s="34" t="str">
        <f aca="false">IF($B21="","",COUNTIF($F21:$AJ21,"HCL"))</f>
        <v/>
      </c>
      <c r="AU21" s="34" t="str">
        <f aca="false">IF($B21="","",COUNTIF($F21:$AJ21,"WO"))</f>
        <v/>
      </c>
      <c r="AV21" s="34" t="str">
        <f aca="false">IF($B21="","",COUNTIF($F21:$AJ21,"PH"))</f>
        <v/>
      </c>
      <c r="AW21" s="34" t="str">
        <f aca="false">IF($B21="","",COUNTIF($F21:$AJ21,"TR"))</f>
        <v/>
      </c>
      <c r="AX21" s="35" t="str">
        <f aca="false">IF($B21="","",AO21+AS21/2)</f>
        <v/>
      </c>
      <c r="AY21" s="35" t="str">
        <f aca="false">IF($B21="","",AQ21)</f>
        <v/>
      </c>
      <c r="AZ21" s="35" t="str">
        <f aca="false">IF($B21="","",AP21+AT21/2)</f>
        <v/>
      </c>
      <c r="BA21" s="35" t="str">
        <f aca="false">IF($B21="","",AK21+AN21+AM21/2+AO21+AP21+AQ21+AR21+AS21+AT21+AU21+AV21+AW21)</f>
        <v/>
      </c>
      <c r="BB21" s="35" t="str">
        <f aca="false">IF($B21="","",MAX(0,AN21-Settings!$C$16)*Settings!$C$17)</f>
        <v/>
      </c>
      <c r="BC21" s="35" t="str">
        <f aca="false">IF($B21="","",BA21-BB21)</f>
        <v/>
      </c>
      <c r="BD21" s="35" t="str">
        <f aca="false">IF(OR($B21="",$A21=""),"",DAY(EOMONTH($A21,0))-COUNTA($F21:$AJ21))</f>
        <v/>
      </c>
    </row>
    <row r="22" customFormat="false" ht="15" hidden="false" customHeight="false" outlineLevel="0" collapsed="false">
      <c r="A22" s="32"/>
      <c r="B22" s="29"/>
      <c r="C22" s="10" t="str">
        <f aca="false">IF($B22="","",IFERROR(INDEX(M_name,MATCH($B22,M_emp,0)),"Code not found"))</f>
        <v/>
      </c>
      <c r="D22" s="10" t="str">
        <f aca="false">IF($B22="","",IFERROR(INDEX(M_dept,MATCH($B22,M_emp,0)),""))</f>
        <v/>
      </c>
      <c r="E22" s="10" t="str">
        <f aca="false">IF($B22="","",IFERROR(INDEX(M_loc,MATCH($B22,M_emp,0)),""))</f>
        <v/>
      </c>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4" t="str">
        <f aca="false">IF($B22="","",COUNTIF($F22:$AJ22,"P"))</f>
        <v/>
      </c>
      <c r="AL22" s="34" t="str">
        <f aca="false">IF($B22="","",COUNTIF($F22:$AJ22,"A"))</f>
        <v/>
      </c>
      <c r="AM22" s="34" t="str">
        <f aca="false">IF($B22="","",COUNTIF($F22:$AJ22,"HA"))</f>
        <v/>
      </c>
      <c r="AN22" s="34" t="str">
        <f aca="false">IF($B22="","",COUNTIF($F22:$AJ22,"L"))</f>
        <v/>
      </c>
      <c r="AO22" s="34" t="str">
        <f aca="false">IF($B22="","",COUNTIF($F22:$AJ22,"PL"))</f>
        <v/>
      </c>
      <c r="AP22" s="34" t="str">
        <f aca="false">IF($B22="","",COUNTIF($F22:$AJ22,"CL"))</f>
        <v/>
      </c>
      <c r="AQ22" s="34" t="str">
        <f aca="false">IF($B22="","",COUNTIF($F22:$AJ22,"SL"))</f>
        <v/>
      </c>
      <c r="AR22" s="34" t="str">
        <f aca="false">IF($B22="","",COUNTIF($F22:$AJ22,"CO"))</f>
        <v/>
      </c>
      <c r="AS22" s="34" t="str">
        <f aca="false">IF($B22="","",COUNTIF($F22:$AJ22,"HPL"))</f>
        <v/>
      </c>
      <c r="AT22" s="34" t="str">
        <f aca="false">IF($B22="","",COUNTIF($F22:$AJ22,"HCL"))</f>
        <v/>
      </c>
      <c r="AU22" s="34" t="str">
        <f aca="false">IF($B22="","",COUNTIF($F22:$AJ22,"WO"))</f>
        <v/>
      </c>
      <c r="AV22" s="34" t="str">
        <f aca="false">IF($B22="","",COUNTIF($F22:$AJ22,"PH"))</f>
        <v/>
      </c>
      <c r="AW22" s="34" t="str">
        <f aca="false">IF($B22="","",COUNTIF($F22:$AJ22,"TR"))</f>
        <v/>
      </c>
      <c r="AX22" s="35" t="str">
        <f aca="false">IF($B22="","",AO22+AS22/2)</f>
        <v/>
      </c>
      <c r="AY22" s="35" t="str">
        <f aca="false">IF($B22="","",AQ22)</f>
        <v/>
      </c>
      <c r="AZ22" s="35" t="str">
        <f aca="false">IF($B22="","",AP22+AT22/2)</f>
        <v/>
      </c>
      <c r="BA22" s="35" t="str">
        <f aca="false">IF($B22="","",AK22+AN22+AM22/2+AO22+AP22+AQ22+AR22+AS22+AT22+AU22+AV22+AW22)</f>
        <v/>
      </c>
      <c r="BB22" s="35" t="str">
        <f aca="false">IF($B22="","",MAX(0,AN22-Settings!$C$16)*Settings!$C$17)</f>
        <v/>
      </c>
      <c r="BC22" s="35" t="str">
        <f aca="false">IF($B22="","",BA22-BB22)</f>
        <v/>
      </c>
      <c r="BD22" s="35" t="str">
        <f aca="false">IF(OR($B22="",$A22=""),"",DAY(EOMONTH($A22,0))-COUNTA($F22:$AJ22))</f>
        <v/>
      </c>
    </row>
    <row r="23" customFormat="false" ht="15" hidden="false" customHeight="false" outlineLevel="0" collapsed="false">
      <c r="A23" s="32"/>
      <c r="B23" s="29"/>
      <c r="C23" s="10" t="str">
        <f aca="false">IF($B23="","",IFERROR(INDEX(M_name,MATCH($B23,M_emp,0)),"Code not found"))</f>
        <v/>
      </c>
      <c r="D23" s="10" t="str">
        <f aca="false">IF($B23="","",IFERROR(INDEX(M_dept,MATCH($B23,M_emp,0)),""))</f>
        <v/>
      </c>
      <c r="E23" s="10" t="str">
        <f aca="false">IF($B23="","",IFERROR(INDEX(M_loc,MATCH($B23,M_emp,0)),""))</f>
        <v/>
      </c>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4" t="str">
        <f aca="false">IF($B23="","",COUNTIF($F23:$AJ23,"P"))</f>
        <v/>
      </c>
      <c r="AL23" s="34" t="str">
        <f aca="false">IF($B23="","",COUNTIF($F23:$AJ23,"A"))</f>
        <v/>
      </c>
      <c r="AM23" s="34" t="str">
        <f aca="false">IF($B23="","",COUNTIF($F23:$AJ23,"HA"))</f>
        <v/>
      </c>
      <c r="AN23" s="34" t="str">
        <f aca="false">IF($B23="","",COUNTIF($F23:$AJ23,"L"))</f>
        <v/>
      </c>
      <c r="AO23" s="34" t="str">
        <f aca="false">IF($B23="","",COUNTIF($F23:$AJ23,"PL"))</f>
        <v/>
      </c>
      <c r="AP23" s="34" t="str">
        <f aca="false">IF($B23="","",COUNTIF($F23:$AJ23,"CL"))</f>
        <v/>
      </c>
      <c r="AQ23" s="34" t="str">
        <f aca="false">IF($B23="","",COUNTIF($F23:$AJ23,"SL"))</f>
        <v/>
      </c>
      <c r="AR23" s="34" t="str">
        <f aca="false">IF($B23="","",COUNTIF($F23:$AJ23,"CO"))</f>
        <v/>
      </c>
      <c r="AS23" s="34" t="str">
        <f aca="false">IF($B23="","",COUNTIF($F23:$AJ23,"HPL"))</f>
        <v/>
      </c>
      <c r="AT23" s="34" t="str">
        <f aca="false">IF($B23="","",COUNTIF($F23:$AJ23,"HCL"))</f>
        <v/>
      </c>
      <c r="AU23" s="34" t="str">
        <f aca="false">IF($B23="","",COUNTIF($F23:$AJ23,"WO"))</f>
        <v/>
      </c>
      <c r="AV23" s="34" t="str">
        <f aca="false">IF($B23="","",COUNTIF($F23:$AJ23,"PH"))</f>
        <v/>
      </c>
      <c r="AW23" s="34" t="str">
        <f aca="false">IF($B23="","",COUNTIF($F23:$AJ23,"TR"))</f>
        <v/>
      </c>
      <c r="AX23" s="35" t="str">
        <f aca="false">IF($B23="","",AO23+AS23/2)</f>
        <v/>
      </c>
      <c r="AY23" s="35" t="str">
        <f aca="false">IF($B23="","",AQ23)</f>
        <v/>
      </c>
      <c r="AZ23" s="35" t="str">
        <f aca="false">IF($B23="","",AP23+AT23/2)</f>
        <v/>
      </c>
      <c r="BA23" s="35" t="str">
        <f aca="false">IF($B23="","",AK23+AN23+AM23/2+AO23+AP23+AQ23+AR23+AS23+AT23+AU23+AV23+AW23)</f>
        <v/>
      </c>
      <c r="BB23" s="35" t="str">
        <f aca="false">IF($B23="","",MAX(0,AN23-Settings!$C$16)*Settings!$C$17)</f>
        <v/>
      </c>
      <c r="BC23" s="35" t="str">
        <f aca="false">IF($B23="","",BA23-BB23)</f>
        <v/>
      </c>
      <c r="BD23" s="35" t="str">
        <f aca="false">IF(OR($B23="",$A23=""),"",DAY(EOMONTH($A23,0))-COUNTA($F23:$AJ23))</f>
        <v/>
      </c>
    </row>
    <row r="24" customFormat="false" ht="15" hidden="false" customHeight="false" outlineLevel="0" collapsed="false">
      <c r="A24" s="32"/>
      <c r="B24" s="29"/>
      <c r="C24" s="10" t="str">
        <f aca="false">IF($B24="","",IFERROR(INDEX(M_name,MATCH($B24,M_emp,0)),"Code not found"))</f>
        <v/>
      </c>
      <c r="D24" s="10" t="str">
        <f aca="false">IF($B24="","",IFERROR(INDEX(M_dept,MATCH($B24,M_emp,0)),""))</f>
        <v/>
      </c>
      <c r="E24" s="10" t="str">
        <f aca="false">IF($B24="","",IFERROR(INDEX(M_loc,MATCH($B24,M_emp,0)),""))</f>
        <v/>
      </c>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4" t="str">
        <f aca="false">IF($B24="","",COUNTIF($F24:$AJ24,"P"))</f>
        <v/>
      </c>
      <c r="AL24" s="34" t="str">
        <f aca="false">IF($B24="","",COUNTIF($F24:$AJ24,"A"))</f>
        <v/>
      </c>
      <c r="AM24" s="34" t="str">
        <f aca="false">IF($B24="","",COUNTIF($F24:$AJ24,"HA"))</f>
        <v/>
      </c>
      <c r="AN24" s="34" t="str">
        <f aca="false">IF($B24="","",COUNTIF($F24:$AJ24,"L"))</f>
        <v/>
      </c>
      <c r="AO24" s="34" t="str">
        <f aca="false">IF($B24="","",COUNTIF($F24:$AJ24,"PL"))</f>
        <v/>
      </c>
      <c r="AP24" s="34" t="str">
        <f aca="false">IF($B24="","",COUNTIF($F24:$AJ24,"CL"))</f>
        <v/>
      </c>
      <c r="AQ24" s="34" t="str">
        <f aca="false">IF($B24="","",COUNTIF($F24:$AJ24,"SL"))</f>
        <v/>
      </c>
      <c r="AR24" s="34" t="str">
        <f aca="false">IF($B24="","",COUNTIF($F24:$AJ24,"CO"))</f>
        <v/>
      </c>
      <c r="AS24" s="34" t="str">
        <f aca="false">IF($B24="","",COUNTIF($F24:$AJ24,"HPL"))</f>
        <v/>
      </c>
      <c r="AT24" s="34" t="str">
        <f aca="false">IF($B24="","",COUNTIF($F24:$AJ24,"HCL"))</f>
        <v/>
      </c>
      <c r="AU24" s="34" t="str">
        <f aca="false">IF($B24="","",COUNTIF($F24:$AJ24,"WO"))</f>
        <v/>
      </c>
      <c r="AV24" s="34" t="str">
        <f aca="false">IF($B24="","",COUNTIF($F24:$AJ24,"PH"))</f>
        <v/>
      </c>
      <c r="AW24" s="34" t="str">
        <f aca="false">IF($B24="","",COUNTIF($F24:$AJ24,"TR"))</f>
        <v/>
      </c>
      <c r="AX24" s="35" t="str">
        <f aca="false">IF($B24="","",AO24+AS24/2)</f>
        <v/>
      </c>
      <c r="AY24" s="35" t="str">
        <f aca="false">IF($B24="","",AQ24)</f>
        <v/>
      </c>
      <c r="AZ24" s="35" t="str">
        <f aca="false">IF($B24="","",AP24+AT24/2)</f>
        <v/>
      </c>
      <c r="BA24" s="35" t="str">
        <f aca="false">IF($B24="","",AK24+AN24+AM24/2+AO24+AP24+AQ24+AR24+AS24+AT24+AU24+AV24+AW24)</f>
        <v/>
      </c>
      <c r="BB24" s="35" t="str">
        <f aca="false">IF($B24="","",MAX(0,AN24-Settings!$C$16)*Settings!$C$17)</f>
        <v/>
      </c>
      <c r="BC24" s="35" t="str">
        <f aca="false">IF($B24="","",BA24-BB24)</f>
        <v/>
      </c>
      <c r="BD24" s="35" t="str">
        <f aca="false">IF(OR($B24="",$A24=""),"",DAY(EOMONTH($A24,0))-COUNTA($F24:$AJ24))</f>
        <v/>
      </c>
    </row>
    <row r="25" customFormat="false" ht="15" hidden="false" customHeight="false" outlineLevel="0" collapsed="false">
      <c r="A25" s="32"/>
      <c r="B25" s="29"/>
      <c r="C25" s="10" t="str">
        <f aca="false">IF($B25="","",IFERROR(INDEX(M_name,MATCH($B25,M_emp,0)),"Code not found"))</f>
        <v/>
      </c>
      <c r="D25" s="10" t="str">
        <f aca="false">IF($B25="","",IFERROR(INDEX(M_dept,MATCH($B25,M_emp,0)),""))</f>
        <v/>
      </c>
      <c r="E25" s="10" t="str">
        <f aca="false">IF($B25="","",IFERROR(INDEX(M_loc,MATCH($B25,M_emp,0)),""))</f>
        <v/>
      </c>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4" t="str">
        <f aca="false">IF($B25="","",COUNTIF($F25:$AJ25,"P"))</f>
        <v/>
      </c>
      <c r="AL25" s="34" t="str">
        <f aca="false">IF($B25="","",COUNTIF($F25:$AJ25,"A"))</f>
        <v/>
      </c>
      <c r="AM25" s="34" t="str">
        <f aca="false">IF($B25="","",COUNTIF($F25:$AJ25,"HA"))</f>
        <v/>
      </c>
      <c r="AN25" s="34" t="str">
        <f aca="false">IF($B25="","",COUNTIF($F25:$AJ25,"L"))</f>
        <v/>
      </c>
      <c r="AO25" s="34" t="str">
        <f aca="false">IF($B25="","",COUNTIF($F25:$AJ25,"PL"))</f>
        <v/>
      </c>
      <c r="AP25" s="34" t="str">
        <f aca="false">IF($B25="","",COUNTIF($F25:$AJ25,"CL"))</f>
        <v/>
      </c>
      <c r="AQ25" s="34" t="str">
        <f aca="false">IF($B25="","",COUNTIF($F25:$AJ25,"SL"))</f>
        <v/>
      </c>
      <c r="AR25" s="34" t="str">
        <f aca="false">IF($B25="","",COUNTIF($F25:$AJ25,"CO"))</f>
        <v/>
      </c>
      <c r="AS25" s="34" t="str">
        <f aca="false">IF($B25="","",COUNTIF($F25:$AJ25,"HPL"))</f>
        <v/>
      </c>
      <c r="AT25" s="34" t="str">
        <f aca="false">IF($B25="","",COUNTIF($F25:$AJ25,"HCL"))</f>
        <v/>
      </c>
      <c r="AU25" s="34" t="str">
        <f aca="false">IF($B25="","",COUNTIF($F25:$AJ25,"WO"))</f>
        <v/>
      </c>
      <c r="AV25" s="34" t="str">
        <f aca="false">IF($B25="","",COUNTIF($F25:$AJ25,"PH"))</f>
        <v/>
      </c>
      <c r="AW25" s="34" t="str">
        <f aca="false">IF($B25="","",COUNTIF($F25:$AJ25,"TR"))</f>
        <v/>
      </c>
      <c r="AX25" s="35" t="str">
        <f aca="false">IF($B25="","",AO25+AS25/2)</f>
        <v/>
      </c>
      <c r="AY25" s="35" t="str">
        <f aca="false">IF($B25="","",AQ25)</f>
        <v/>
      </c>
      <c r="AZ25" s="35" t="str">
        <f aca="false">IF($B25="","",AP25+AT25/2)</f>
        <v/>
      </c>
      <c r="BA25" s="35" t="str">
        <f aca="false">IF($B25="","",AK25+AN25+AM25/2+AO25+AP25+AQ25+AR25+AS25+AT25+AU25+AV25+AW25)</f>
        <v/>
      </c>
      <c r="BB25" s="35" t="str">
        <f aca="false">IF($B25="","",MAX(0,AN25-Settings!$C$16)*Settings!$C$17)</f>
        <v/>
      </c>
      <c r="BC25" s="35" t="str">
        <f aca="false">IF($B25="","",BA25-BB25)</f>
        <v/>
      </c>
      <c r="BD25" s="35" t="str">
        <f aca="false">IF(OR($B25="",$A25=""),"",DAY(EOMONTH($A25,0))-COUNTA($F25:$AJ25))</f>
        <v/>
      </c>
    </row>
    <row r="26" customFormat="false" ht="15" hidden="false" customHeight="false" outlineLevel="0" collapsed="false">
      <c r="A26" s="32"/>
      <c r="B26" s="29"/>
      <c r="C26" s="10" t="str">
        <f aca="false">IF($B26="","",IFERROR(INDEX(M_name,MATCH($B26,M_emp,0)),"Code not found"))</f>
        <v/>
      </c>
      <c r="D26" s="10" t="str">
        <f aca="false">IF($B26="","",IFERROR(INDEX(M_dept,MATCH($B26,M_emp,0)),""))</f>
        <v/>
      </c>
      <c r="E26" s="10" t="str">
        <f aca="false">IF($B26="","",IFERROR(INDEX(M_loc,MATCH($B26,M_emp,0)),""))</f>
        <v/>
      </c>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4" t="str">
        <f aca="false">IF($B26="","",COUNTIF($F26:$AJ26,"P"))</f>
        <v/>
      </c>
      <c r="AL26" s="34" t="str">
        <f aca="false">IF($B26="","",COUNTIF($F26:$AJ26,"A"))</f>
        <v/>
      </c>
      <c r="AM26" s="34" t="str">
        <f aca="false">IF($B26="","",COUNTIF($F26:$AJ26,"HA"))</f>
        <v/>
      </c>
      <c r="AN26" s="34" t="str">
        <f aca="false">IF($B26="","",COUNTIF($F26:$AJ26,"L"))</f>
        <v/>
      </c>
      <c r="AO26" s="34" t="str">
        <f aca="false">IF($B26="","",COUNTIF($F26:$AJ26,"PL"))</f>
        <v/>
      </c>
      <c r="AP26" s="34" t="str">
        <f aca="false">IF($B26="","",COUNTIF($F26:$AJ26,"CL"))</f>
        <v/>
      </c>
      <c r="AQ26" s="34" t="str">
        <f aca="false">IF($B26="","",COUNTIF($F26:$AJ26,"SL"))</f>
        <v/>
      </c>
      <c r="AR26" s="34" t="str">
        <f aca="false">IF($B26="","",COUNTIF($F26:$AJ26,"CO"))</f>
        <v/>
      </c>
      <c r="AS26" s="34" t="str">
        <f aca="false">IF($B26="","",COUNTIF($F26:$AJ26,"HPL"))</f>
        <v/>
      </c>
      <c r="AT26" s="34" t="str">
        <f aca="false">IF($B26="","",COUNTIF($F26:$AJ26,"HCL"))</f>
        <v/>
      </c>
      <c r="AU26" s="34" t="str">
        <f aca="false">IF($B26="","",COUNTIF($F26:$AJ26,"WO"))</f>
        <v/>
      </c>
      <c r="AV26" s="34" t="str">
        <f aca="false">IF($B26="","",COUNTIF($F26:$AJ26,"PH"))</f>
        <v/>
      </c>
      <c r="AW26" s="34" t="str">
        <f aca="false">IF($B26="","",COUNTIF($F26:$AJ26,"TR"))</f>
        <v/>
      </c>
      <c r="AX26" s="35" t="str">
        <f aca="false">IF($B26="","",AO26+AS26/2)</f>
        <v/>
      </c>
      <c r="AY26" s="35" t="str">
        <f aca="false">IF($B26="","",AQ26)</f>
        <v/>
      </c>
      <c r="AZ26" s="35" t="str">
        <f aca="false">IF($B26="","",AP26+AT26/2)</f>
        <v/>
      </c>
      <c r="BA26" s="35" t="str">
        <f aca="false">IF($B26="","",AK26+AN26+AM26/2+AO26+AP26+AQ26+AR26+AS26+AT26+AU26+AV26+AW26)</f>
        <v/>
      </c>
      <c r="BB26" s="35" t="str">
        <f aca="false">IF($B26="","",MAX(0,AN26-Settings!$C$16)*Settings!$C$17)</f>
        <v/>
      </c>
      <c r="BC26" s="35" t="str">
        <f aca="false">IF($B26="","",BA26-BB26)</f>
        <v/>
      </c>
      <c r="BD26" s="35" t="str">
        <f aca="false">IF(OR($B26="",$A26=""),"",DAY(EOMONTH($A26,0))-COUNTA($F26:$AJ26))</f>
        <v/>
      </c>
    </row>
    <row r="27" customFormat="false" ht="15" hidden="false" customHeight="false" outlineLevel="0" collapsed="false">
      <c r="A27" s="32"/>
      <c r="B27" s="29"/>
      <c r="C27" s="10" t="str">
        <f aca="false">IF($B27="","",IFERROR(INDEX(M_name,MATCH($B27,M_emp,0)),"Code not found"))</f>
        <v/>
      </c>
      <c r="D27" s="10" t="str">
        <f aca="false">IF($B27="","",IFERROR(INDEX(M_dept,MATCH($B27,M_emp,0)),""))</f>
        <v/>
      </c>
      <c r="E27" s="10" t="str">
        <f aca="false">IF($B27="","",IFERROR(INDEX(M_loc,MATCH($B27,M_emp,0)),""))</f>
        <v/>
      </c>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4" t="str">
        <f aca="false">IF($B27="","",COUNTIF($F27:$AJ27,"P"))</f>
        <v/>
      </c>
      <c r="AL27" s="34" t="str">
        <f aca="false">IF($B27="","",COUNTIF($F27:$AJ27,"A"))</f>
        <v/>
      </c>
      <c r="AM27" s="34" t="str">
        <f aca="false">IF($B27="","",COUNTIF($F27:$AJ27,"HA"))</f>
        <v/>
      </c>
      <c r="AN27" s="34" t="str">
        <f aca="false">IF($B27="","",COUNTIF($F27:$AJ27,"L"))</f>
        <v/>
      </c>
      <c r="AO27" s="34" t="str">
        <f aca="false">IF($B27="","",COUNTIF($F27:$AJ27,"PL"))</f>
        <v/>
      </c>
      <c r="AP27" s="34" t="str">
        <f aca="false">IF($B27="","",COUNTIF($F27:$AJ27,"CL"))</f>
        <v/>
      </c>
      <c r="AQ27" s="34" t="str">
        <f aca="false">IF($B27="","",COUNTIF($F27:$AJ27,"SL"))</f>
        <v/>
      </c>
      <c r="AR27" s="34" t="str">
        <f aca="false">IF($B27="","",COUNTIF($F27:$AJ27,"CO"))</f>
        <v/>
      </c>
      <c r="AS27" s="34" t="str">
        <f aca="false">IF($B27="","",COUNTIF($F27:$AJ27,"HPL"))</f>
        <v/>
      </c>
      <c r="AT27" s="34" t="str">
        <f aca="false">IF($B27="","",COUNTIF($F27:$AJ27,"HCL"))</f>
        <v/>
      </c>
      <c r="AU27" s="34" t="str">
        <f aca="false">IF($B27="","",COUNTIF($F27:$AJ27,"WO"))</f>
        <v/>
      </c>
      <c r="AV27" s="34" t="str">
        <f aca="false">IF($B27="","",COUNTIF($F27:$AJ27,"PH"))</f>
        <v/>
      </c>
      <c r="AW27" s="34" t="str">
        <f aca="false">IF($B27="","",COUNTIF($F27:$AJ27,"TR"))</f>
        <v/>
      </c>
      <c r="AX27" s="35" t="str">
        <f aca="false">IF($B27="","",AO27+AS27/2)</f>
        <v/>
      </c>
      <c r="AY27" s="35" t="str">
        <f aca="false">IF($B27="","",AQ27)</f>
        <v/>
      </c>
      <c r="AZ27" s="35" t="str">
        <f aca="false">IF($B27="","",AP27+AT27/2)</f>
        <v/>
      </c>
      <c r="BA27" s="35" t="str">
        <f aca="false">IF($B27="","",AK27+AN27+AM27/2+AO27+AP27+AQ27+AR27+AS27+AT27+AU27+AV27+AW27)</f>
        <v/>
      </c>
      <c r="BB27" s="35" t="str">
        <f aca="false">IF($B27="","",MAX(0,AN27-Settings!$C$16)*Settings!$C$17)</f>
        <v/>
      </c>
      <c r="BC27" s="35" t="str">
        <f aca="false">IF($B27="","",BA27-BB27)</f>
        <v/>
      </c>
      <c r="BD27" s="35" t="str">
        <f aca="false">IF(OR($B27="",$A27=""),"",DAY(EOMONTH($A27,0))-COUNTA($F27:$AJ27))</f>
        <v/>
      </c>
    </row>
    <row r="28" customFormat="false" ht="15" hidden="false" customHeight="false" outlineLevel="0" collapsed="false">
      <c r="A28" s="32"/>
      <c r="B28" s="29"/>
      <c r="C28" s="10" t="str">
        <f aca="false">IF($B28="","",IFERROR(INDEX(M_name,MATCH($B28,M_emp,0)),"Code not found"))</f>
        <v/>
      </c>
      <c r="D28" s="10" t="str">
        <f aca="false">IF($B28="","",IFERROR(INDEX(M_dept,MATCH($B28,M_emp,0)),""))</f>
        <v/>
      </c>
      <c r="E28" s="10" t="str">
        <f aca="false">IF($B28="","",IFERROR(INDEX(M_loc,MATCH($B28,M_emp,0)),""))</f>
        <v/>
      </c>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4" t="str">
        <f aca="false">IF($B28="","",COUNTIF($F28:$AJ28,"P"))</f>
        <v/>
      </c>
      <c r="AL28" s="34" t="str">
        <f aca="false">IF($B28="","",COUNTIF($F28:$AJ28,"A"))</f>
        <v/>
      </c>
      <c r="AM28" s="34" t="str">
        <f aca="false">IF($B28="","",COUNTIF($F28:$AJ28,"HA"))</f>
        <v/>
      </c>
      <c r="AN28" s="34" t="str">
        <f aca="false">IF($B28="","",COUNTIF($F28:$AJ28,"L"))</f>
        <v/>
      </c>
      <c r="AO28" s="34" t="str">
        <f aca="false">IF($B28="","",COUNTIF($F28:$AJ28,"PL"))</f>
        <v/>
      </c>
      <c r="AP28" s="34" t="str">
        <f aca="false">IF($B28="","",COUNTIF($F28:$AJ28,"CL"))</f>
        <v/>
      </c>
      <c r="AQ28" s="34" t="str">
        <f aca="false">IF($B28="","",COUNTIF($F28:$AJ28,"SL"))</f>
        <v/>
      </c>
      <c r="AR28" s="34" t="str">
        <f aca="false">IF($B28="","",COUNTIF($F28:$AJ28,"CO"))</f>
        <v/>
      </c>
      <c r="AS28" s="34" t="str">
        <f aca="false">IF($B28="","",COUNTIF($F28:$AJ28,"HPL"))</f>
        <v/>
      </c>
      <c r="AT28" s="34" t="str">
        <f aca="false">IF($B28="","",COUNTIF($F28:$AJ28,"HCL"))</f>
        <v/>
      </c>
      <c r="AU28" s="34" t="str">
        <f aca="false">IF($B28="","",COUNTIF($F28:$AJ28,"WO"))</f>
        <v/>
      </c>
      <c r="AV28" s="34" t="str">
        <f aca="false">IF($B28="","",COUNTIF($F28:$AJ28,"PH"))</f>
        <v/>
      </c>
      <c r="AW28" s="34" t="str">
        <f aca="false">IF($B28="","",COUNTIF($F28:$AJ28,"TR"))</f>
        <v/>
      </c>
      <c r="AX28" s="35" t="str">
        <f aca="false">IF($B28="","",AO28+AS28/2)</f>
        <v/>
      </c>
      <c r="AY28" s="35" t="str">
        <f aca="false">IF($B28="","",AQ28)</f>
        <v/>
      </c>
      <c r="AZ28" s="35" t="str">
        <f aca="false">IF($B28="","",AP28+AT28/2)</f>
        <v/>
      </c>
      <c r="BA28" s="35" t="str">
        <f aca="false">IF($B28="","",AK28+AN28+AM28/2+AO28+AP28+AQ28+AR28+AS28+AT28+AU28+AV28+AW28)</f>
        <v/>
      </c>
      <c r="BB28" s="35" t="str">
        <f aca="false">IF($B28="","",MAX(0,AN28-Settings!$C$16)*Settings!$C$17)</f>
        <v/>
      </c>
      <c r="BC28" s="35" t="str">
        <f aca="false">IF($B28="","",BA28-BB28)</f>
        <v/>
      </c>
      <c r="BD28" s="35" t="str">
        <f aca="false">IF(OR($B28="",$A28=""),"",DAY(EOMONTH($A28,0))-COUNTA($F28:$AJ28))</f>
        <v/>
      </c>
    </row>
    <row r="29" customFormat="false" ht="15" hidden="false" customHeight="false" outlineLevel="0" collapsed="false">
      <c r="A29" s="32"/>
      <c r="B29" s="29"/>
      <c r="C29" s="10" t="str">
        <f aca="false">IF($B29="","",IFERROR(INDEX(M_name,MATCH($B29,M_emp,0)),"Code not found"))</f>
        <v/>
      </c>
      <c r="D29" s="10" t="str">
        <f aca="false">IF($B29="","",IFERROR(INDEX(M_dept,MATCH($B29,M_emp,0)),""))</f>
        <v/>
      </c>
      <c r="E29" s="10" t="str">
        <f aca="false">IF($B29="","",IFERROR(INDEX(M_loc,MATCH($B29,M_emp,0)),""))</f>
        <v/>
      </c>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4" t="str">
        <f aca="false">IF($B29="","",COUNTIF($F29:$AJ29,"P"))</f>
        <v/>
      </c>
      <c r="AL29" s="34" t="str">
        <f aca="false">IF($B29="","",COUNTIF($F29:$AJ29,"A"))</f>
        <v/>
      </c>
      <c r="AM29" s="34" t="str">
        <f aca="false">IF($B29="","",COUNTIF($F29:$AJ29,"HA"))</f>
        <v/>
      </c>
      <c r="AN29" s="34" t="str">
        <f aca="false">IF($B29="","",COUNTIF($F29:$AJ29,"L"))</f>
        <v/>
      </c>
      <c r="AO29" s="34" t="str">
        <f aca="false">IF($B29="","",COUNTIF($F29:$AJ29,"PL"))</f>
        <v/>
      </c>
      <c r="AP29" s="34" t="str">
        <f aca="false">IF($B29="","",COUNTIF($F29:$AJ29,"CL"))</f>
        <v/>
      </c>
      <c r="AQ29" s="34" t="str">
        <f aca="false">IF($B29="","",COUNTIF($F29:$AJ29,"SL"))</f>
        <v/>
      </c>
      <c r="AR29" s="34" t="str">
        <f aca="false">IF($B29="","",COUNTIF($F29:$AJ29,"CO"))</f>
        <v/>
      </c>
      <c r="AS29" s="34" t="str">
        <f aca="false">IF($B29="","",COUNTIF($F29:$AJ29,"HPL"))</f>
        <v/>
      </c>
      <c r="AT29" s="34" t="str">
        <f aca="false">IF($B29="","",COUNTIF($F29:$AJ29,"HCL"))</f>
        <v/>
      </c>
      <c r="AU29" s="34" t="str">
        <f aca="false">IF($B29="","",COUNTIF($F29:$AJ29,"WO"))</f>
        <v/>
      </c>
      <c r="AV29" s="34" t="str">
        <f aca="false">IF($B29="","",COUNTIF($F29:$AJ29,"PH"))</f>
        <v/>
      </c>
      <c r="AW29" s="34" t="str">
        <f aca="false">IF($B29="","",COUNTIF($F29:$AJ29,"TR"))</f>
        <v/>
      </c>
      <c r="AX29" s="35" t="str">
        <f aca="false">IF($B29="","",AO29+AS29/2)</f>
        <v/>
      </c>
      <c r="AY29" s="35" t="str">
        <f aca="false">IF($B29="","",AQ29)</f>
        <v/>
      </c>
      <c r="AZ29" s="35" t="str">
        <f aca="false">IF($B29="","",AP29+AT29/2)</f>
        <v/>
      </c>
      <c r="BA29" s="35" t="str">
        <f aca="false">IF($B29="","",AK29+AN29+AM29/2+AO29+AP29+AQ29+AR29+AS29+AT29+AU29+AV29+AW29)</f>
        <v/>
      </c>
      <c r="BB29" s="35" t="str">
        <f aca="false">IF($B29="","",MAX(0,AN29-Settings!$C$16)*Settings!$C$17)</f>
        <v/>
      </c>
      <c r="BC29" s="35" t="str">
        <f aca="false">IF($B29="","",BA29-BB29)</f>
        <v/>
      </c>
      <c r="BD29" s="35" t="str">
        <f aca="false">IF(OR($B29="",$A29=""),"",DAY(EOMONTH($A29,0))-COUNTA($F29:$AJ29))</f>
        <v/>
      </c>
    </row>
    <row r="30" customFormat="false" ht="15" hidden="false" customHeight="false" outlineLevel="0" collapsed="false">
      <c r="A30" s="32"/>
      <c r="B30" s="29"/>
      <c r="C30" s="10" t="str">
        <f aca="false">IF($B30="","",IFERROR(INDEX(M_name,MATCH($B30,M_emp,0)),"Code not found"))</f>
        <v/>
      </c>
      <c r="D30" s="10" t="str">
        <f aca="false">IF($B30="","",IFERROR(INDEX(M_dept,MATCH($B30,M_emp,0)),""))</f>
        <v/>
      </c>
      <c r="E30" s="10" t="str">
        <f aca="false">IF($B30="","",IFERROR(INDEX(M_loc,MATCH($B30,M_emp,0)),""))</f>
        <v/>
      </c>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4" t="str">
        <f aca="false">IF($B30="","",COUNTIF($F30:$AJ30,"P"))</f>
        <v/>
      </c>
      <c r="AL30" s="34" t="str">
        <f aca="false">IF($B30="","",COUNTIF($F30:$AJ30,"A"))</f>
        <v/>
      </c>
      <c r="AM30" s="34" t="str">
        <f aca="false">IF($B30="","",COUNTIF($F30:$AJ30,"HA"))</f>
        <v/>
      </c>
      <c r="AN30" s="34" t="str">
        <f aca="false">IF($B30="","",COUNTIF($F30:$AJ30,"L"))</f>
        <v/>
      </c>
      <c r="AO30" s="34" t="str">
        <f aca="false">IF($B30="","",COUNTIF($F30:$AJ30,"PL"))</f>
        <v/>
      </c>
      <c r="AP30" s="34" t="str">
        <f aca="false">IF($B30="","",COUNTIF($F30:$AJ30,"CL"))</f>
        <v/>
      </c>
      <c r="AQ30" s="34" t="str">
        <f aca="false">IF($B30="","",COUNTIF($F30:$AJ30,"SL"))</f>
        <v/>
      </c>
      <c r="AR30" s="34" t="str">
        <f aca="false">IF($B30="","",COUNTIF($F30:$AJ30,"CO"))</f>
        <v/>
      </c>
      <c r="AS30" s="34" t="str">
        <f aca="false">IF($B30="","",COUNTIF($F30:$AJ30,"HPL"))</f>
        <v/>
      </c>
      <c r="AT30" s="34" t="str">
        <f aca="false">IF($B30="","",COUNTIF($F30:$AJ30,"HCL"))</f>
        <v/>
      </c>
      <c r="AU30" s="34" t="str">
        <f aca="false">IF($B30="","",COUNTIF($F30:$AJ30,"WO"))</f>
        <v/>
      </c>
      <c r="AV30" s="34" t="str">
        <f aca="false">IF($B30="","",COUNTIF($F30:$AJ30,"PH"))</f>
        <v/>
      </c>
      <c r="AW30" s="34" t="str">
        <f aca="false">IF($B30="","",COUNTIF($F30:$AJ30,"TR"))</f>
        <v/>
      </c>
      <c r="AX30" s="35" t="str">
        <f aca="false">IF($B30="","",AO30+AS30/2)</f>
        <v/>
      </c>
      <c r="AY30" s="35" t="str">
        <f aca="false">IF($B30="","",AQ30)</f>
        <v/>
      </c>
      <c r="AZ30" s="35" t="str">
        <f aca="false">IF($B30="","",AP30+AT30/2)</f>
        <v/>
      </c>
      <c r="BA30" s="35" t="str">
        <f aca="false">IF($B30="","",AK30+AN30+AM30/2+AO30+AP30+AQ30+AR30+AS30+AT30+AU30+AV30+AW30)</f>
        <v/>
      </c>
      <c r="BB30" s="35" t="str">
        <f aca="false">IF($B30="","",MAX(0,AN30-Settings!$C$16)*Settings!$C$17)</f>
        <v/>
      </c>
      <c r="BC30" s="35" t="str">
        <f aca="false">IF($B30="","",BA30-BB30)</f>
        <v/>
      </c>
      <c r="BD30" s="35" t="str">
        <f aca="false">IF(OR($B30="",$A30=""),"",DAY(EOMONTH($A30,0))-COUNTA($F30:$AJ30))</f>
        <v/>
      </c>
    </row>
    <row r="31" customFormat="false" ht="15" hidden="false" customHeight="false" outlineLevel="0" collapsed="false">
      <c r="A31" s="32"/>
      <c r="B31" s="29"/>
      <c r="C31" s="10" t="str">
        <f aca="false">IF($B31="","",IFERROR(INDEX(M_name,MATCH($B31,M_emp,0)),"Code not found"))</f>
        <v/>
      </c>
      <c r="D31" s="10" t="str">
        <f aca="false">IF($B31="","",IFERROR(INDEX(M_dept,MATCH($B31,M_emp,0)),""))</f>
        <v/>
      </c>
      <c r="E31" s="10" t="str">
        <f aca="false">IF($B31="","",IFERROR(INDEX(M_loc,MATCH($B31,M_emp,0)),""))</f>
        <v/>
      </c>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4" t="str">
        <f aca="false">IF($B31="","",COUNTIF($F31:$AJ31,"P"))</f>
        <v/>
      </c>
      <c r="AL31" s="34" t="str">
        <f aca="false">IF($B31="","",COUNTIF($F31:$AJ31,"A"))</f>
        <v/>
      </c>
      <c r="AM31" s="34" t="str">
        <f aca="false">IF($B31="","",COUNTIF($F31:$AJ31,"HA"))</f>
        <v/>
      </c>
      <c r="AN31" s="34" t="str">
        <f aca="false">IF($B31="","",COUNTIF($F31:$AJ31,"L"))</f>
        <v/>
      </c>
      <c r="AO31" s="34" t="str">
        <f aca="false">IF($B31="","",COUNTIF($F31:$AJ31,"PL"))</f>
        <v/>
      </c>
      <c r="AP31" s="34" t="str">
        <f aca="false">IF($B31="","",COUNTIF($F31:$AJ31,"CL"))</f>
        <v/>
      </c>
      <c r="AQ31" s="34" t="str">
        <f aca="false">IF($B31="","",COUNTIF($F31:$AJ31,"SL"))</f>
        <v/>
      </c>
      <c r="AR31" s="34" t="str">
        <f aca="false">IF($B31="","",COUNTIF($F31:$AJ31,"CO"))</f>
        <v/>
      </c>
      <c r="AS31" s="34" t="str">
        <f aca="false">IF($B31="","",COUNTIF($F31:$AJ31,"HPL"))</f>
        <v/>
      </c>
      <c r="AT31" s="34" t="str">
        <f aca="false">IF($B31="","",COUNTIF($F31:$AJ31,"HCL"))</f>
        <v/>
      </c>
      <c r="AU31" s="34" t="str">
        <f aca="false">IF($B31="","",COUNTIF($F31:$AJ31,"WO"))</f>
        <v/>
      </c>
      <c r="AV31" s="34" t="str">
        <f aca="false">IF($B31="","",COUNTIF($F31:$AJ31,"PH"))</f>
        <v/>
      </c>
      <c r="AW31" s="34" t="str">
        <f aca="false">IF($B31="","",COUNTIF($F31:$AJ31,"TR"))</f>
        <v/>
      </c>
      <c r="AX31" s="35" t="str">
        <f aca="false">IF($B31="","",AO31+AS31/2)</f>
        <v/>
      </c>
      <c r="AY31" s="35" t="str">
        <f aca="false">IF($B31="","",AQ31)</f>
        <v/>
      </c>
      <c r="AZ31" s="35" t="str">
        <f aca="false">IF($B31="","",AP31+AT31/2)</f>
        <v/>
      </c>
      <c r="BA31" s="35" t="str">
        <f aca="false">IF($B31="","",AK31+AN31+AM31/2+AO31+AP31+AQ31+AR31+AS31+AT31+AU31+AV31+AW31)</f>
        <v/>
      </c>
      <c r="BB31" s="35" t="str">
        <f aca="false">IF($B31="","",MAX(0,AN31-Settings!$C$16)*Settings!$C$17)</f>
        <v/>
      </c>
      <c r="BC31" s="35" t="str">
        <f aca="false">IF($B31="","",BA31-BB31)</f>
        <v/>
      </c>
      <c r="BD31" s="35" t="str">
        <f aca="false">IF(OR($B31="",$A31=""),"",DAY(EOMONTH($A31,0))-COUNTA($F31:$AJ31))</f>
        <v/>
      </c>
    </row>
    <row r="32" customFormat="false" ht="15" hidden="false" customHeight="false" outlineLevel="0" collapsed="false">
      <c r="A32" s="32"/>
      <c r="B32" s="29"/>
      <c r="C32" s="10" t="str">
        <f aca="false">IF($B32="","",IFERROR(INDEX(M_name,MATCH($B32,M_emp,0)),"Code not found"))</f>
        <v/>
      </c>
      <c r="D32" s="10" t="str">
        <f aca="false">IF($B32="","",IFERROR(INDEX(M_dept,MATCH($B32,M_emp,0)),""))</f>
        <v/>
      </c>
      <c r="E32" s="10" t="str">
        <f aca="false">IF($B32="","",IFERROR(INDEX(M_loc,MATCH($B32,M_emp,0)),""))</f>
        <v/>
      </c>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4" t="str">
        <f aca="false">IF($B32="","",COUNTIF($F32:$AJ32,"P"))</f>
        <v/>
      </c>
      <c r="AL32" s="34" t="str">
        <f aca="false">IF($B32="","",COUNTIF($F32:$AJ32,"A"))</f>
        <v/>
      </c>
      <c r="AM32" s="34" t="str">
        <f aca="false">IF($B32="","",COUNTIF($F32:$AJ32,"HA"))</f>
        <v/>
      </c>
      <c r="AN32" s="34" t="str">
        <f aca="false">IF($B32="","",COUNTIF($F32:$AJ32,"L"))</f>
        <v/>
      </c>
      <c r="AO32" s="34" t="str">
        <f aca="false">IF($B32="","",COUNTIF($F32:$AJ32,"PL"))</f>
        <v/>
      </c>
      <c r="AP32" s="34" t="str">
        <f aca="false">IF($B32="","",COUNTIF($F32:$AJ32,"CL"))</f>
        <v/>
      </c>
      <c r="AQ32" s="34" t="str">
        <f aca="false">IF($B32="","",COUNTIF($F32:$AJ32,"SL"))</f>
        <v/>
      </c>
      <c r="AR32" s="34" t="str">
        <f aca="false">IF($B32="","",COUNTIF($F32:$AJ32,"CO"))</f>
        <v/>
      </c>
      <c r="AS32" s="34" t="str">
        <f aca="false">IF($B32="","",COUNTIF($F32:$AJ32,"HPL"))</f>
        <v/>
      </c>
      <c r="AT32" s="34" t="str">
        <f aca="false">IF($B32="","",COUNTIF($F32:$AJ32,"HCL"))</f>
        <v/>
      </c>
      <c r="AU32" s="34" t="str">
        <f aca="false">IF($B32="","",COUNTIF($F32:$AJ32,"WO"))</f>
        <v/>
      </c>
      <c r="AV32" s="34" t="str">
        <f aca="false">IF($B32="","",COUNTIF($F32:$AJ32,"PH"))</f>
        <v/>
      </c>
      <c r="AW32" s="34" t="str">
        <f aca="false">IF($B32="","",COUNTIF($F32:$AJ32,"TR"))</f>
        <v/>
      </c>
      <c r="AX32" s="35" t="str">
        <f aca="false">IF($B32="","",AO32+AS32/2)</f>
        <v/>
      </c>
      <c r="AY32" s="35" t="str">
        <f aca="false">IF($B32="","",AQ32)</f>
        <v/>
      </c>
      <c r="AZ32" s="35" t="str">
        <f aca="false">IF($B32="","",AP32+AT32/2)</f>
        <v/>
      </c>
      <c r="BA32" s="35" t="str">
        <f aca="false">IF($B32="","",AK32+AN32+AM32/2+AO32+AP32+AQ32+AR32+AS32+AT32+AU32+AV32+AW32)</f>
        <v/>
      </c>
      <c r="BB32" s="35" t="str">
        <f aca="false">IF($B32="","",MAX(0,AN32-Settings!$C$16)*Settings!$C$17)</f>
        <v/>
      </c>
      <c r="BC32" s="35" t="str">
        <f aca="false">IF($B32="","",BA32-BB32)</f>
        <v/>
      </c>
      <c r="BD32" s="35" t="str">
        <f aca="false">IF(OR($B32="",$A32=""),"",DAY(EOMONTH($A32,0))-COUNTA($F32:$AJ32))</f>
        <v/>
      </c>
    </row>
    <row r="33" customFormat="false" ht="15" hidden="false" customHeight="false" outlineLevel="0" collapsed="false">
      <c r="A33" s="32"/>
      <c r="B33" s="29"/>
      <c r="C33" s="10" t="str">
        <f aca="false">IF($B33="","",IFERROR(INDEX(M_name,MATCH($B33,M_emp,0)),"Code not found"))</f>
        <v/>
      </c>
      <c r="D33" s="10" t="str">
        <f aca="false">IF($B33="","",IFERROR(INDEX(M_dept,MATCH($B33,M_emp,0)),""))</f>
        <v/>
      </c>
      <c r="E33" s="10" t="str">
        <f aca="false">IF($B33="","",IFERROR(INDEX(M_loc,MATCH($B33,M_emp,0)),""))</f>
        <v/>
      </c>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4" t="str">
        <f aca="false">IF($B33="","",COUNTIF($F33:$AJ33,"P"))</f>
        <v/>
      </c>
      <c r="AL33" s="34" t="str">
        <f aca="false">IF($B33="","",COUNTIF($F33:$AJ33,"A"))</f>
        <v/>
      </c>
      <c r="AM33" s="34" t="str">
        <f aca="false">IF($B33="","",COUNTIF($F33:$AJ33,"HA"))</f>
        <v/>
      </c>
      <c r="AN33" s="34" t="str">
        <f aca="false">IF($B33="","",COUNTIF($F33:$AJ33,"L"))</f>
        <v/>
      </c>
      <c r="AO33" s="34" t="str">
        <f aca="false">IF($B33="","",COUNTIF($F33:$AJ33,"PL"))</f>
        <v/>
      </c>
      <c r="AP33" s="34" t="str">
        <f aca="false">IF($B33="","",COUNTIF($F33:$AJ33,"CL"))</f>
        <v/>
      </c>
      <c r="AQ33" s="34" t="str">
        <f aca="false">IF($B33="","",COUNTIF($F33:$AJ33,"SL"))</f>
        <v/>
      </c>
      <c r="AR33" s="34" t="str">
        <f aca="false">IF($B33="","",COUNTIF($F33:$AJ33,"CO"))</f>
        <v/>
      </c>
      <c r="AS33" s="34" t="str">
        <f aca="false">IF($B33="","",COUNTIF($F33:$AJ33,"HPL"))</f>
        <v/>
      </c>
      <c r="AT33" s="34" t="str">
        <f aca="false">IF($B33="","",COUNTIF($F33:$AJ33,"HCL"))</f>
        <v/>
      </c>
      <c r="AU33" s="34" t="str">
        <f aca="false">IF($B33="","",COUNTIF($F33:$AJ33,"WO"))</f>
        <v/>
      </c>
      <c r="AV33" s="34" t="str">
        <f aca="false">IF($B33="","",COUNTIF($F33:$AJ33,"PH"))</f>
        <v/>
      </c>
      <c r="AW33" s="34" t="str">
        <f aca="false">IF($B33="","",COUNTIF($F33:$AJ33,"TR"))</f>
        <v/>
      </c>
      <c r="AX33" s="35" t="str">
        <f aca="false">IF($B33="","",AO33+AS33/2)</f>
        <v/>
      </c>
      <c r="AY33" s="35" t="str">
        <f aca="false">IF($B33="","",AQ33)</f>
        <v/>
      </c>
      <c r="AZ33" s="35" t="str">
        <f aca="false">IF($B33="","",AP33+AT33/2)</f>
        <v/>
      </c>
      <c r="BA33" s="35" t="str">
        <f aca="false">IF($B33="","",AK33+AN33+AM33/2+AO33+AP33+AQ33+AR33+AS33+AT33+AU33+AV33+AW33)</f>
        <v/>
      </c>
      <c r="BB33" s="35" t="str">
        <f aca="false">IF($B33="","",MAX(0,AN33-Settings!$C$16)*Settings!$C$17)</f>
        <v/>
      </c>
      <c r="BC33" s="35" t="str">
        <f aca="false">IF($B33="","",BA33-BB33)</f>
        <v/>
      </c>
      <c r="BD33" s="35" t="str">
        <f aca="false">IF(OR($B33="",$A33=""),"",DAY(EOMONTH($A33,0))-COUNTA($F33:$AJ33))</f>
        <v/>
      </c>
    </row>
    <row r="34" customFormat="false" ht="15" hidden="false" customHeight="false" outlineLevel="0" collapsed="false">
      <c r="A34" s="32"/>
      <c r="B34" s="29"/>
      <c r="C34" s="10" t="str">
        <f aca="false">IF($B34="","",IFERROR(INDEX(M_name,MATCH($B34,M_emp,0)),"Code not found"))</f>
        <v/>
      </c>
      <c r="D34" s="10" t="str">
        <f aca="false">IF($B34="","",IFERROR(INDEX(M_dept,MATCH($B34,M_emp,0)),""))</f>
        <v/>
      </c>
      <c r="E34" s="10" t="str">
        <f aca="false">IF($B34="","",IFERROR(INDEX(M_loc,MATCH($B34,M_emp,0)),""))</f>
        <v/>
      </c>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4" t="str">
        <f aca="false">IF($B34="","",COUNTIF($F34:$AJ34,"P"))</f>
        <v/>
      </c>
      <c r="AL34" s="34" t="str">
        <f aca="false">IF($B34="","",COUNTIF($F34:$AJ34,"A"))</f>
        <v/>
      </c>
      <c r="AM34" s="34" t="str">
        <f aca="false">IF($B34="","",COUNTIF($F34:$AJ34,"HA"))</f>
        <v/>
      </c>
      <c r="AN34" s="34" t="str">
        <f aca="false">IF($B34="","",COUNTIF($F34:$AJ34,"L"))</f>
        <v/>
      </c>
      <c r="AO34" s="34" t="str">
        <f aca="false">IF($B34="","",COUNTIF($F34:$AJ34,"PL"))</f>
        <v/>
      </c>
      <c r="AP34" s="34" t="str">
        <f aca="false">IF($B34="","",COUNTIF($F34:$AJ34,"CL"))</f>
        <v/>
      </c>
      <c r="AQ34" s="34" t="str">
        <f aca="false">IF($B34="","",COUNTIF($F34:$AJ34,"SL"))</f>
        <v/>
      </c>
      <c r="AR34" s="34" t="str">
        <f aca="false">IF($B34="","",COUNTIF($F34:$AJ34,"CO"))</f>
        <v/>
      </c>
      <c r="AS34" s="34" t="str">
        <f aca="false">IF($B34="","",COUNTIF($F34:$AJ34,"HPL"))</f>
        <v/>
      </c>
      <c r="AT34" s="34" t="str">
        <f aca="false">IF($B34="","",COUNTIF($F34:$AJ34,"HCL"))</f>
        <v/>
      </c>
      <c r="AU34" s="34" t="str">
        <f aca="false">IF($B34="","",COUNTIF($F34:$AJ34,"WO"))</f>
        <v/>
      </c>
      <c r="AV34" s="34" t="str">
        <f aca="false">IF($B34="","",COUNTIF($F34:$AJ34,"PH"))</f>
        <v/>
      </c>
      <c r="AW34" s="34" t="str">
        <f aca="false">IF($B34="","",COUNTIF($F34:$AJ34,"TR"))</f>
        <v/>
      </c>
      <c r="AX34" s="35" t="str">
        <f aca="false">IF($B34="","",AO34+AS34/2)</f>
        <v/>
      </c>
      <c r="AY34" s="35" t="str">
        <f aca="false">IF($B34="","",AQ34)</f>
        <v/>
      </c>
      <c r="AZ34" s="35" t="str">
        <f aca="false">IF($B34="","",AP34+AT34/2)</f>
        <v/>
      </c>
      <c r="BA34" s="35" t="str">
        <f aca="false">IF($B34="","",AK34+AN34+AM34/2+AO34+AP34+AQ34+AR34+AS34+AT34+AU34+AV34+AW34)</f>
        <v/>
      </c>
      <c r="BB34" s="35" t="str">
        <f aca="false">IF($B34="","",MAX(0,AN34-Settings!$C$16)*Settings!$C$17)</f>
        <v/>
      </c>
      <c r="BC34" s="35" t="str">
        <f aca="false">IF($B34="","",BA34-BB34)</f>
        <v/>
      </c>
      <c r="BD34" s="35" t="str">
        <f aca="false">IF(OR($B34="",$A34=""),"",DAY(EOMONTH($A34,0))-COUNTA($F34:$AJ34))</f>
        <v/>
      </c>
    </row>
    <row r="35" customFormat="false" ht="15" hidden="false" customHeight="false" outlineLevel="0" collapsed="false">
      <c r="A35" s="32"/>
      <c r="B35" s="29"/>
      <c r="C35" s="10" t="str">
        <f aca="false">IF($B35="","",IFERROR(INDEX(M_name,MATCH($B35,M_emp,0)),"Code not found"))</f>
        <v/>
      </c>
      <c r="D35" s="10" t="str">
        <f aca="false">IF($B35="","",IFERROR(INDEX(M_dept,MATCH($B35,M_emp,0)),""))</f>
        <v/>
      </c>
      <c r="E35" s="10" t="str">
        <f aca="false">IF($B35="","",IFERROR(INDEX(M_loc,MATCH($B35,M_emp,0)),""))</f>
        <v/>
      </c>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4" t="str">
        <f aca="false">IF($B35="","",COUNTIF($F35:$AJ35,"P"))</f>
        <v/>
      </c>
      <c r="AL35" s="34" t="str">
        <f aca="false">IF($B35="","",COUNTIF($F35:$AJ35,"A"))</f>
        <v/>
      </c>
      <c r="AM35" s="34" t="str">
        <f aca="false">IF($B35="","",COUNTIF($F35:$AJ35,"HA"))</f>
        <v/>
      </c>
      <c r="AN35" s="34" t="str">
        <f aca="false">IF($B35="","",COUNTIF($F35:$AJ35,"L"))</f>
        <v/>
      </c>
      <c r="AO35" s="34" t="str">
        <f aca="false">IF($B35="","",COUNTIF($F35:$AJ35,"PL"))</f>
        <v/>
      </c>
      <c r="AP35" s="34" t="str">
        <f aca="false">IF($B35="","",COUNTIF($F35:$AJ35,"CL"))</f>
        <v/>
      </c>
      <c r="AQ35" s="34" t="str">
        <f aca="false">IF($B35="","",COUNTIF($F35:$AJ35,"SL"))</f>
        <v/>
      </c>
      <c r="AR35" s="34" t="str">
        <f aca="false">IF($B35="","",COUNTIF($F35:$AJ35,"CO"))</f>
        <v/>
      </c>
      <c r="AS35" s="34" t="str">
        <f aca="false">IF($B35="","",COUNTIF($F35:$AJ35,"HPL"))</f>
        <v/>
      </c>
      <c r="AT35" s="34" t="str">
        <f aca="false">IF($B35="","",COUNTIF($F35:$AJ35,"HCL"))</f>
        <v/>
      </c>
      <c r="AU35" s="34" t="str">
        <f aca="false">IF($B35="","",COUNTIF($F35:$AJ35,"WO"))</f>
        <v/>
      </c>
      <c r="AV35" s="34" t="str">
        <f aca="false">IF($B35="","",COUNTIF($F35:$AJ35,"PH"))</f>
        <v/>
      </c>
      <c r="AW35" s="34" t="str">
        <f aca="false">IF($B35="","",COUNTIF($F35:$AJ35,"TR"))</f>
        <v/>
      </c>
      <c r="AX35" s="35" t="str">
        <f aca="false">IF($B35="","",AO35+AS35/2)</f>
        <v/>
      </c>
      <c r="AY35" s="35" t="str">
        <f aca="false">IF($B35="","",AQ35)</f>
        <v/>
      </c>
      <c r="AZ35" s="35" t="str">
        <f aca="false">IF($B35="","",AP35+AT35/2)</f>
        <v/>
      </c>
      <c r="BA35" s="35" t="str">
        <f aca="false">IF($B35="","",AK35+AN35+AM35/2+AO35+AP35+AQ35+AR35+AS35+AT35+AU35+AV35+AW35)</f>
        <v/>
      </c>
      <c r="BB35" s="35" t="str">
        <f aca="false">IF($B35="","",MAX(0,AN35-Settings!$C$16)*Settings!$C$17)</f>
        <v/>
      </c>
      <c r="BC35" s="35" t="str">
        <f aca="false">IF($B35="","",BA35-BB35)</f>
        <v/>
      </c>
      <c r="BD35" s="35" t="str">
        <f aca="false">IF(OR($B35="",$A35=""),"",DAY(EOMONTH($A35,0))-COUNTA($F35:$AJ35))</f>
        <v/>
      </c>
    </row>
    <row r="36" customFormat="false" ht="15" hidden="false" customHeight="false" outlineLevel="0" collapsed="false">
      <c r="A36" s="32"/>
      <c r="B36" s="29"/>
      <c r="C36" s="10" t="str">
        <f aca="false">IF($B36="","",IFERROR(INDEX(M_name,MATCH($B36,M_emp,0)),"Code not found"))</f>
        <v/>
      </c>
      <c r="D36" s="10" t="str">
        <f aca="false">IF($B36="","",IFERROR(INDEX(M_dept,MATCH($B36,M_emp,0)),""))</f>
        <v/>
      </c>
      <c r="E36" s="10" t="str">
        <f aca="false">IF($B36="","",IFERROR(INDEX(M_loc,MATCH($B36,M_emp,0)),""))</f>
        <v/>
      </c>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4" t="str">
        <f aca="false">IF($B36="","",COUNTIF($F36:$AJ36,"P"))</f>
        <v/>
      </c>
      <c r="AL36" s="34" t="str">
        <f aca="false">IF($B36="","",COUNTIF($F36:$AJ36,"A"))</f>
        <v/>
      </c>
      <c r="AM36" s="34" t="str">
        <f aca="false">IF($B36="","",COUNTIF($F36:$AJ36,"HA"))</f>
        <v/>
      </c>
      <c r="AN36" s="34" t="str">
        <f aca="false">IF($B36="","",COUNTIF($F36:$AJ36,"L"))</f>
        <v/>
      </c>
      <c r="AO36" s="34" t="str">
        <f aca="false">IF($B36="","",COUNTIF($F36:$AJ36,"PL"))</f>
        <v/>
      </c>
      <c r="AP36" s="34" t="str">
        <f aca="false">IF($B36="","",COUNTIF($F36:$AJ36,"CL"))</f>
        <v/>
      </c>
      <c r="AQ36" s="34" t="str">
        <f aca="false">IF($B36="","",COUNTIF($F36:$AJ36,"SL"))</f>
        <v/>
      </c>
      <c r="AR36" s="34" t="str">
        <f aca="false">IF($B36="","",COUNTIF($F36:$AJ36,"CO"))</f>
        <v/>
      </c>
      <c r="AS36" s="34" t="str">
        <f aca="false">IF($B36="","",COUNTIF($F36:$AJ36,"HPL"))</f>
        <v/>
      </c>
      <c r="AT36" s="34" t="str">
        <f aca="false">IF($B36="","",COUNTIF($F36:$AJ36,"HCL"))</f>
        <v/>
      </c>
      <c r="AU36" s="34" t="str">
        <f aca="false">IF($B36="","",COUNTIF($F36:$AJ36,"WO"))</f>
        <v/>
      </c>
      <c r="AV36" s="34" t="str">
        <f aca="false">IF($B36="","",COUNTIF($F36:$AJ36,"PH"))</f>
        <v/>
      </c>
      <c r="AW36" s="34" t="str">
        <f aca="false">IF($B36="","",COUNTIF($F36:$AJ36,"TR"))</f>
        <v/>
      </c>
      <c r="AX36" s="35" t="str">
        <f aca="false">IF($B36="","",AO36+AS36/2)</f>
        <v/>
      </c>
      <c r="AY36" s="35" t="str">
        <f aca="false">IF($B36="","",AQ36)</f>
        <v/>
      </c>
      <c r="AZ36" s="35" t="str">
        <f aca="false">IF($B36="","",AP36+AT36/2)</f>
        <v/>
      </c>
      <c r="BA36" s="35" t="str">
        <f aca="false">IF($B36="","",AK36+AN36+AM36/2+AO36+AP36+AQ36+AR36+AS36+AT36+AU36+AV36+AW36)</f>
        <v/>
      </c>
      <c r="BB36" s="35" t="str">
        <f aca="false">IF($B36="","",MAX(0,AN36-Settings!$C$16)*Settings!$C$17)</f>
        <v/>
      </c>
      <c r="BC36" s="35" t="str">
        <f aca="false">IF($B36="","",BA36-BB36)</f>
        <v/>
      </c>
      <c r="BD36" s="35" t="str">
        <f aca="false">IF(OR($B36="",$A36=""),"",DAY(EOMONTH($A36,0))-COUNTA($F36:$AJ36))</f>
        <v/>
      </c>
    </row>
    <row r="37" customFormat="false" ht="15" hidden="false" customHeight="false" outlineLevel="0" collapsed="false">
      <c r="A37" s="32"/>
      <c r="B37" s="29"/>
      <c r="C37" s="10" t="str">
        <f aca="false">IF($B37="","",IFERROR(INDEX(M_name,MATCH($B37,M_emp,0)),"Code not found"))</f>
        <v/>
      </c>
      <c r="D37" s="10" t="str">
        <f aca="false">IF($B37="","",IFERROR(INDEX(M_dept,MATCH($B37,M_emp,0)),""))</f>
        <v/>
      </c>
      <c r="E37" s="10" t="str">
        <f aca="false">IF($B37="","",IFERROR(INDEX(M_loc,MATCH($B37,M_emp,0)),""))</f>
        <v/>
      </c>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4" t="str">
        <f aca="false">IF($B37="","",COUNTIF($F37:$AJ37,"P"))</f>
        <v/>
      </c>
      <c r="AL37" s="34" t="str">
        <f aca="false">IF($B37="","",COUNTIF($F37:$AJ37,"A"))</f>
        <v/>
      </c>
      <c r="AM37" s="34" t="str">
        <f aca="false">IF($B37="","",COUNTIF($F37:$AJ37,"HA"))</f>
        <v/>
      </c>
      <c r="AN37" s="34" t="str">
        <f aca="false">IF($B37="","",COUNTIF($F37:$AJ37,"L"))</f>
        <v/>
      </c>
      <c r="AO37" s="34" t="str">
        <f aca="false">IF($B37="","",COUNTIF($F37:$AJ37,"PL"))</f>
        <v/>
      </c>
      <c r="AP37" s="34" t="str">
        <f aca="false">IF($B37="","",COUNTIF($F37:$AJ37,"CL"))</f>
        <v/>
      </c>
      <c r="AQ37" s="34" t="str">
        <f aca="false">IF($B37="","",COUNTIF($F37:$AJ37,"SL"))</f>
        <v/>
      </c>
      <c r="AR37" s="34" t="str">
        <f aca="false">IF($B37="","",COUNTIF($F37:$AJ37,"CO"))</f>
        <v/>
      </c>
      <c r="AS37" s="34" t="str">
        <f aca="false">IF($B37="","",COUNTIF($F37:$AJ37,"HPL"))</f>
        <v/>
      </c>
      <c r="AT37" s="34" t="str">
        <f aca="false">IF($B37="","",COUNTIF($F37:$AJ37,"HCL"))</f>
        <v/>
      </c>
      <c r="AU37" s="34" t="str">
        <f aca="false">IF($B37="","",COUNTIF($F37:$AJ37,"WO"))</f>
        <v/>
      </c>
      <c r="AV37" s="34" t="str">
        <f aca="false">IF($B37="","",COUNTIF($F37:$AJ37,"PH"))</f>
        <v/>
      </c>
      <c r="AW37" s="34" t="str">
        <f aca="false">IF($B37="","",COUNTIF($F37:$AJ37,"TR"))</f>
        <v/>
      </c>
      <c r="AX37" s="35" t="str">
        <f aca="false">IF($B37="","",AO37+AS37/2)</f>
        <v/>
      </c>
      <c r="AY37" s="35" t="str">
        <f aca="false">IF($B37="","",AQ37)</f>
        <v/>
      </c>
      <c r="AZ37" s="35" t="str">
        <f aca="false">IF($B37="","",AP37+AT37/2)</f>
        <v/>
      </c>
      <c r="BA37" s="35" t="str">
        <f aca="false">IF($B37="","",AK37+AN37+AM37/2+AO37+AP37+AQ37+AR37+AS37+AT37+AU37+AV37+AW37)</f>
        <v/>
      </c>
      <c r="BB37" s="35" t="str">
        <f aca="false">IF($B37="","",MAX(0,AN37-Settings!$C$16)*Settings!$C$17)</f>
        <v/>
      </c>
      <c r="BC37" s="35" t="str">
        <f aca="false">IF($B37="","",BA37-BB37)</f>
        <v/>
      </c>
      <c r="BD37" s="35" t="str">
        <f aca="false">IF(OR($B37="",$A37=""),"",DAY(EOMONTH($A37,0))-COUNTA($F37:$AJ37))</f>
        <v/>
      </c>
    </row>
    <row r="38" customFormat="false" ht="15" hidden="false" customHeight="false" outlineLevel="0" collapsed="false">
      <c r="A38" s="32"/>
      <c r="B38" s="29"/>
      <c r="C38" s="10" t="str">
        <f aca="false">IF($B38="","",IFERROR(INDEX(M_name,MATCH($B38,M_emp,0)),"Code not found"))</f>
        <v/>
      </c>
      <c r="D38" s="10" t="str">
        <f aca="false">IF($B38="","",IFERROR(INDEX(M_dept,MATCH($B38,M_emp,0)),""))</f>
        <v/>
      </c>
      <c r="E38" s="10" t="str">
        <f aca="false">IF($B38="","",IFERROR(INDEX(M_loc,MATCH($B38,M_emp,0)),""))</f>
        <v/>
      </c>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4" t="str">
        <f aca="false">IF($B38="","",COUNTIF($F38:$AJ38,"P"))</f>
        <v/>
      </c>
      <c r="AL38" s="34" t="str">
        <f aca="false">IF($B38="","",COUNTIF($F38:$AJ38,"A"))</f>
        <v/>
      </c>
      <c r="AM38" s="34" t="str">
        <f aca="false">IF($B38="","",COUNTIF($F38:$AJ38,"HA"))</f>
        <v/>
      </c>
      <c r="AN38" s="34" t="str">
        <f aca="false">IF($B38="","",COUNTIF($F38:$AJ38,"L"))</f>
        <v/>
      </c>
      <c r="AO38" s="34" t="str">
        <f aca="false">IF($B38="","",COUNTIF($F38:$AJ38,"PL"))</f>
        <v/>
      </c>
      <c r="AP38" s="34" t="str">
        <f aca="false">IF($B38="","",COUNTIF($F38:$AJ38,"CL"))</f>
        <v/>
      </c>
      <c r="AQ38" s="34" t="str">
        <f aca="false">IF($B38="","",COUNTIF($F38:$AJ38,"SL"))</f>
        <v/>
      </c>
      <c r="AR38" s="34" t="str">
        <f aca="false">IF($B38="","",COUNTIF($F38:$AJ38,"CO"))</f>
        <v/>
      </c>
      <c r="AS38" s="34" t="str">
        <f aca="false">IF($B38="","",COUNTIF($F38:$AJ38,"HPL"))</f>
        <v/>
      </c>
      <c r="AT38" s="34" t="str">
        <f aca="false">IF($B38="","",COUNTIF($F38:$AJ38,"HCL"))</f>
        <v/>
      </c>
      <c r="AU38" s="34" t="str">
        <f aca="false">IF($B38="","",COUNTIF($F38:$AJ38,"WO"))</f>
        <v/>
      </c>
      <c r="AV38" s="34" t="str">
        <f aca="false">IF($B38="","",COUNTIF($F38:$AJ38,"PH"))</f>
        <v/>
      </c>
      <c r="AW38" s="34" t="str">
        <f aca="false">IF($B38="","",COUNTIF($F38:$AJ38,"TR"))</f>
        <v/>
      </c>
      <c r="AX38" s="35" t="str">
        <f aca="false">IF($B38="","",AO38+AS38/2)</f>
        <v/>
      </c>
      <c r="AY38" s="35" t="str">
        <f aca="false">IF($B38="","",AQ38)</f>
        <v/>
      </c>
      <c r="AZ38" s="35" t="str">
        <f aca="false">IF($B38="","",AP38+AT38/2)</f>
        <v/>
      </c>
      <c r="BA38" s="35" t="str">
        <f aca="false">IF($B38="","",AK38+AN38+AM38/2+AO38+AP38+AQ38+AR38+AS38+AT38+AU38+AV38+AW38)</f>
        <v/>
      </c>
      <c r="BB38" s="35" t="str">
        <f aca="false">IF($B38="","",MAX(0,AN38-Settings!$C$16)*Settings!$C$17)</f>
        <v/>
      </c>
      <c r="BC38" s="35" t="str">
        <f aca="false">IF($B38="","",BA38-BB38)</f>
        <v/>
      </c>
      <c r="BD38" s="35" t="str">
        <f aca="false">IF(OR($B38="",$A38=""),"",DAY(EOMONTH($A38,0))-COUNTA($F38:$AJ38))</f>
        <v/>
      </c>
    </row>
    <row r="39" customFormat="false" ht="15" hidden="false" customHeight="false" outlineLevel="0" collapsed="false">
      <c r="A39" s="32"/>
      <c r="B39" s="29"/>
      <c r="C39" s="10" t="str">
        <f aca="false">IF($B39="","",IFERROR(INDEX(M_name,MATCH($B39,M_emp,0)),"Code not found"))</f>
        <v/>
      </c>
      <c r="D39" s="10" t="str">
        <f aca="false">IF($B39="","",IFERROR(INDEX(M_dept,MATCH($B39,M_emp,0)),""))</f>
        <v/>
      </c>
      <c r="E39" s="10" t="str">
        <f aca="false">IF($B39="","",IFERROR(INDEX(M_loc,MATCH($B39,M_emp,0)),""))</f>
        <v/>
      </c>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4" t="str">
        <f aca="false">IF($B39="","",COUNTIF($F39:$AJ39,"P"))</f>
        <v/>
      </c>
      <c r="AL39" s="34" t="str">
        <f aca="false">IF($B39="","",COUNTIF($F39:$AJ39,"A"))</f>
        <v/>
      </c>
      <c r="AM39" s="34" t="str">
        <f aca="false">IF($B39="","",COUNTIF($F39:$AJ39,"HA"))</f>
        <v/>
      </c>
      <c r="AN39" s="34" t="str">
        <f aca="false">IF($B39="","",COUNTIF($F39:$AJ39,"L"))</f>
        <v/>
      </c>
      <c r="AO39" s="34" t="str">
        <f aca="false">IF($B39="","",COUNTIF($F39:$AJ39,"PL"))</f>
        <v/>
      </c>
      <c r="AP39" s="34" t="str">
        <f aca="false">IF($B39="","",COUNTIF($F39:$AJ39,"CL"))</f>
        <v/>
      </c>
      <c r="AQ39" s="34" t="str">
        <f aca="false">IF($B39="","",COUNTIF($F39:$AJ39,"SL"))</f>
        <v/>
      </c>
      <c r="AR39" s="34" t="str">
        <f aca="false">IF($B39="","",COUNTIF($F39:$AJ39,"CO"))</f>
        <v/>
      </c>
      <c r="AS39" s="34" t="str">
        <f aca="false">IF($B39="","",COUNTIF($F39:$AJ39,"HPL"))</f>
        <v/>
      </c>
      <c r="AT39" s="34" t="str">
        <f aca="false">IF($B39="","",COUNTIF($F39:$AJ39,"HCL"))</f>
        <v/>
      </c>
      <c r="AU39" s="34" t="str">
        <f aca="false">IF($B39="","",COUNTIF($F39:$AJ39,"WO"))</f>
        <v/>
      </c>
      <c r="AV39" s="34" t="str">
        <f aca="false">IF($B39="","",COUNTIF($F39:$AJ39,"PH"))</f>
        <v/>
      </c>
      <c r="AW39" s="34" t="str">
        <f aca="false">IF($B39="","",COUNTIF($F39:$AJ39,"TR"))</f>
        <v/>
      </c>
      <c r="AX39" s="35" t="str">
        <f aca="false">IF($B39="","",AO39+AS39/2)</f>
        <v/>
      </c>
      <c r="AY39" s="35" t="str">
        <f aca="false">IF($B39="","",AQ39)</f>
        <v/>
      </c>
      <c r="AZ39" s="35" t="str">
        <f aca="false">IF($B39="","",AP39+AT39/2)</f>
        <v/>
      </c>
      <c r="BA39" s="35" t="str">
        <f aca="false">IF($B39="","",AK39+AN39+AM39/2+AO39+AP39+AQ39+AR39+AS39+AT39+AU39+AV39+AW39)</f>
        <v/>
      </c>
      <c r="BB39" s="35" t="str">
        <f aca="false">IF($B39="","",MAX(0,AN39-Settings!$C$16)*Settings!$C$17)</f>
        <v/>
      </c>
      <c r="BC39" s="35" t="str">
        <f aca="false">IF($B39="","",BA39-BB39)</f>
        <v/>
      </c>
      <c r="BD39" s="35" t="str">
        <f aca="false">IF(OR($B39="",$A39=""),"",DAY(EOMONTH($A39,0))-COUNTA($F39:$AJ39))</f>
        <v/>
      </c>
    </row>
    <row r="40" customFormat="false" ht="15" hidden="false" customHeight="false" outlineLevel="0" collapsed="false">
      <c r="A40" s="32"/>
      <c r="B40" s="29"/>
      <c r="C40" s="10" t="str">
        <f aca="false">IF($B40="","",IFERROR(INDEX(M_name,MATCH($B40,M_emp,0)),"Code not found"))</f>
        <v/>
      </c>
      <c r="D40" s="10" t="str">
        <f aca="false">IF($B40="","",IFERROR(INDEX(M_dept,MATCH($B40,M_emp,0)),""))</f>
        <v/>
      </c>
      <c r="E40" s="10" t="str">
        <f aca="false">IF($B40="","",IFERROR(INDEX(M_loc,MATCH($B40,M_emp,0)),""))</f>
        <v/>
      </c>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4" t="str">
        <f aca="false">IF($B40="","",COUNTIF($F40:$AJ40,"P"))</f>
        <v/>
      </c>
      <c r="AL40" s="34" t="str">
        <f aca="false">IF($B40="","",COUNTIF($F40:$AJ40,"A"))</f>
        <v/>
      </c>
      <c r="AM40" s="34" t="str">
        <f aca="false">IF($B40="","",COUNTIF($F40:$AJ40,"HA"))</f>
        <v/>
      </c>
      <c r="AN40" s="34" t="str">
        <f aca="false">IF($B40="","",COUNTIF($F40:$AJ40,"L"))</f>
        <v/>
      </c>
      <c r="AO40" s="34" t="str">
        <f aca="false">IF($B40="","",COUNTIF($F40:$AJ40,"PL"))</f>
        <v/>
      </c>
      <c r="AP40" s="34" t="str">
        <f aca="false">IF($B40="","",COUNTIF($F40:$AJ40,"CL"))</f>
        <v/>
      </c>
      <c r="AQ40" s="34" t="str">
        <f aca="false">IF($B40="","",COUNTIF($F40:$AJ40,"SL"))</f>
        <v/>
      </c>
      <c r="AR40" s="34" t="str">
        <f aca="false">IF($B40="","",COUNTIF($F40:$AJ40,"CO"))</f>
        <v/>
      </c>
      <c r="AS40" s="34" t="str">
        <f aca="false">IF($B40="","",COUNTIF($F40:$AJ40,"HPL"))</f>
        <v/>
      </c>
      <c r="AT40" s="34" t="str">
        <f aca="false">IF($B40="","",COUNTIF($F40:$AJ40,"HCL"))</f>
        <v/>
      </c>
      <c r="AU40" s="34" t="str">
        <f aca="false">IF($B40="","",COUNTIF($F40:$AJ40,"WO"))</f>
        <v/>
      </c>
      <c r="AV40" s="34" t="str">
        <f aca="false">IF($B40="","",COUNTIF($F40:$AJ40,"PH"))</f>
        <v/>
      </c>
      <c r="AW40" s="34" t="str">
        <f aca="false">IF($B40="","",COUNTIF($F40:$AJ40,"TR"))</f>
        <v/>
      </c>
      <c r="AX40" s="35" t="str">
        <f aca="false">IF($B40="","",AO40+AS40/2)</f>
        <v/>
      </c>
      <c r="AY40" s="35" t="str">
        <f aca="false">IF($B40="","",AQ40)</f>
        <v/>
      </c>
      <c r="AZ40" s="35" t="str">
        <f aca="false">IF($B40="","",AP40+AT40/2)</f>
        <v/>
      </c>
      <c r="BA40" s="35" t="str">
        <f aca="false">IF($B40="","",AK40+AN40+AM40/2+AO40+AP40+AQ40+AR40+AS40+AT40+AU40+AV40+AW40)</f>
        <v/>
      </c>
      <c r="BB40" s="35" t="str">
        <f aca="false">IF($B40="","",MAX(0,AN40-Settings!$C$16)*Settings!$C$17)</f>
        <v/>
      </c>
      <c r="BC40" s="35" t="str">
        <f aca="false">IF($B40="","",BA40-BB40)</f>
        <v/>
      </c>
      <c r="BD40" s="35" t="str">
        <f aca="false">IF(OR($B40="",$A40=""),"",DAY(EOMONTH($A40,0))-COUNTA($F40:$AJ40))</f>
        <v/>
      </c>
    </row>
    <row r="41" customFormat="false" ht="15" hidden="false" customHeight="false" outlineLevel="0" collapsed="false">
      <c r="A41" s="32"/>
      <c r="B41" s="29"/>
      <c r="C41" s="10" t="str">
        <f aca="false">IF($B41="","",IFERROR(INDEX(M_name,MATCH($B41,M_emp,0)),"Code not found"))</f>
        <v/>
      </c>
      <c r="D41" s="10" t="str">
        <f aca="false">IF($B41="","",IFERROR(INDEX(M_dept,MATCH($B41,M_emp,0)),""))</f>
        <v/>
      </c>
      <c r="E41" s="10" t="str">
        <f aca="false">IF($B41="","",IFERROR(INDEX(M_loc,MATCH($B41,M_emp,0)),""))</f>
        <v/>
      </c>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4" t="str">
        <f aca="false">IF($B41="","",COUNTIF($F41:$AJ41,"P"))</f>
        <v/>
      </c>
      <c r="AL41" s="34" t="str">
        <f aca="false">IF($B41="","",COUNTIF($F41:$AJ41,"A"))</f>
        <v/>
      </c>
      <c r="AM41" s="34" t="str">
        <f aca="false">IF($B41="","",COUNTIF($F41:$AJ41,"HA"))</f>
        <v/>
      </c>
      <c r="AN41" s="34" t="str">
        <f aca="false">IF($B41="","",COUNTIF($F41:$AJ41,"L"))</f>
        <v/>
      </c>
      <c r="AO41" s="34" t="str">
        <f aca="false">IF($B41="","",COUNTIF($F41:$AJ41,"PL"))</f>
        <v/>
      </c>
      <c r="AP41" s="34" t="str">
        <f aca="false">IF($B41="","",COUNTIF($F41:$AJ41,"CL"))</f>
        <v/>
      </c>
      <c r="AQ41" s="34" t="str">
        <f aca="false">IF($B41="","",COUNTIF($F41:$AJ41,"SL"))</f>
        <v/>
      </c>
      <c r="AR41" s="34" t="str">
        <f aca="false">IF($B41="","",COUNTIF($F41:$AJ41,"CO"))</f>
        <v/>
      </c>
      <c r="AS41" s="34" t="str">
        <f aca="false">IF($B41="","",COUNTIF($F41:$AJ41,"HPL"))</f>
        <v/>
      </c>
      <c r="AT41" s="34" t="str">
        <f aca="false">IF($B41="","",COUNTIF($F41:$AJ41,"HCL"))</f>
        <v/>
      </c>
      <c r="AU41" s="34" t="str">
        <f aca="false">IF($B41="","",COUNTIF($F41:$AJ41,"WO"))</f>
        <v/>
      </c>
      <c r="AV41" s="34" t="str">
        <f aca="false">IF($B41="","",COUNTIF($F41:$AJ41,"PH"))</f>
        <v/>
      </c>
      <c r="AW41" s="34" t="str">
        <f aca="false">IF($B41="","",COUNTIF($F41:$AJ41,"TR"))</f>
        <v/>
      </c>
      <c r="AX41" s="35" t="str">
        <f aca="false">IF($B41="","",AO41+AS41/2)</f>
        <v/>
      </c>
      <c r="AY41" s="35" t="str">
        <f aca="false">IF($B41="","",AQ41)</f>
        <v/>
      </c>
      <c r="AZ41" s="35" t="str">
        <f aca="false">IF($B41="","",AP41+AT41/2)</f>
        <v/>
      </c>
      <c r="BA41" s="35" t="str">
        <f aca="false">IF($B41="","",AK41+AN41+AM41/2+AO41+AP41+AQ41+AR41+AS41+AT41+AU41+AV41+AW41)</f>
        <v/>
      </c>
      <c r="BB41" s="35" t="str">
        <f aca="false">IF($B41="","",MAX(0,AN41-Settings!$C$16)*Settings!$C$17)</f>
        <v/>
      </c>
      <c r="BC41" s="35" t="str">
        <f aca="false">IF($B41="","",BA41-BB41)</f>
        <v/>
      </c>
      <c r="BD41" s="35" t="str">
        <f aca="false">IF(OR($B41="",$A41=""),"",DAY(EOMONTH($A41,0))-COUNTA($F41:$AJ41))</f>
        <v/>
      </c>
    </row>
    <row r="42" customFormat="false" ht="15" hidden="false" customHeight="false" outlineLevel="0" collapsed="false">
      <c r="A42" s="32"/>
      <c r="B42" s="29"/>
      <c r="C42" s="10" t="str">
        <f aca="false">IF($B42="","",IFERROR(INDEX(M_name,MATCH($B42,M_emp,0)),"Code not found"))</f>
        <v/>
      </c>
      <c r="D42" s="10" t="str">
        <f aca="false">IF($B42="","",IFERROR(INDEX(M_dept,MATCH($B42,M_emp,0)),""))</f>
        <v/>
      </c>
      <c r="E42" s="10" t="str">
        <f aca="false">IF($B42="","",IFERROR(INDEX(M_loc,MATCH($B42,M_emp,0)),""))</f>
        <v/>
      </c>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4" t="str">
        <f aca="false">IF($B42="","",COUNTIF($F42:$AJ42,"P"))</f>
        <v/>
      </c>
      <c r="AL42" s="34" t="str">
        <f aca="false">IF($B42="","",COUNTIF($F42:$AJ42,"A"))</f>
        <v/>
      </c>
      <c r="AM42" s="34" t="str">
        <f aca="false">IF($B42="","",COUNTIF($F42:$AJ42,"HA"))</f>
        <v/>
      </c>
      <c r="AN42" s="34" t="str">
        <f aca="false">IF($B42="","",COUNTIF($F42:$AJ42,"L"))</f>
        <v/>
      </c>
      <c r="AO42" s="34" t="str">
        <f aca="false">IF($B42="","",COUNTIF($F42:$AJ42,"PL"))</f>
        <v/>
      </c>
      <c r="AP42" s="34" t="str">
        <f aca="false">IF($B42="","",COUNTIF($F42:$AJ42,"CL"))</f>
        <v/>
      </c>
      <c r="AQ42" s="34" t="str">
        <f aca="false">IF($B42="","",COUNTIF($F42:$AJ42,"SL"))</f>
        <v/>
      </c>
      <c r="AR42" s="34" t="str">
        <f aca="false">IF($B42="","",COUNTIF($F42:$AJ42,"CO"))</f>
        <v/>
      </c>
      <c r="AS42" s="34" t="str">
        <f aca="false">IF($B42="","",COUNTIF($F42:$AJ42,"HPL"))</f>
        <v/>
      </c>
      <c r="AT42" s="34" t="str">
        <f aca="false">IF($B42="","",COUNTIF($F42:$AJ42,"HCL"))</f>
        <v/>
      </c>
      <c r="AU42" s="34" t="str">
        <f aca="false">IF($B42="","",COUNTIF($F42:$AJ42,"WO"))</f>
        <v/>
      </c>
      <c r="AV42" s="34" t="str">
        <f aca="false">IF($B42="","",COUNTIF($F42:$AJ42,"PH"))</f>
        <v/>
      </c>
      <c r="AW42" s="34" t="str">
        <f aca="false">IF($B42="","",COUNTIF($F42:$AJ42,"TR"))</f>
        <v/>
      </c>
      <c r="AX42" s="35" t="str">
        <f aca="false">IF($B42="","",AO42+AS42/2)</f>
        <v/>
      </c>
      <c r="AY42" s="35" t="str">
        <f aca="false">IF($B42="","",AQ42)</f>
        <v/>
      </c>
      <c r="AZ42" s="35" t="str">
        <f aca="false">IF($B42="","",AP42+AT42/2)</f>
        <v/>
      </c>
      <c r="BA42" s="35" t="str">
        <f aca="false">IF($B42="","",AK42+AN42+AM42/2+AO42+AP42+AQ42+AR42+AS42+AT42+AU42+AV42+AW42)</f>
        <v/>
      </c>
      <c r="BB42" s="35" t="str">
        <f aca="false">IF($B42="","",MAX(0,AN42-Settings!$C$16)*Settings!$C$17)</f>
        <v/>
      </c>
      <c r="BC42" s="35" t="str">
        <f aca="false">IF($B42="","",BA42-BB42)</f>
        <v/>
      </c>
      <c r="BD42" s="35" t="str">
        <f aca="false">IF(OR($B42="",$A42=""),"",DAY(EOMONTH($A42,0))-COUNTA($F42:$AJ42))</f>
        <v/>
      </c>
    </row>
    <row r="43" customFormat="false" ht="15" hidden="false" customHeight="false" outlineLevel="0" collapsed="false">
      <c r="A43" s="32"/>
      <c r="B43" s="29"/>
      <c r="C43" s="10" t="str">
        <f aca="false">IF($B43="","",IFERROR(INDEX(M_name,MATCH($B43,M_emp,0)),"Code not found"))</f>
        <v/>
      </c>
      <c r="D43" s="10" t="str">
        <f aca="false">IF($B43="","",IFERROR(INDEX(M_dept,MATCH($B43,M_emp,0)),""))</f>
        <v/>
      </c>
      <c r="E43" s="10" t="str">
        <f aca="false">IF($B43="","",IFERROR(INDEX(M_loc,MATCH($B43,M_emp,0)),""))</f>
        <v/>
      </c>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4" t="str">
        <f aca="false">IF($B43="","",COUNTIF($F43:$AJ43,"P"))</f>
        <v/>
      </c>
      <c r="AL43" s="34" t="str">
        <f aca="false">IF($B43="","",COUNTIF($F43:$AJ43,"A"))</f>
        <v/>
      </c>
      <c r="AM43" s="34" t="str">
        <f aca="false">IF($B43="","",COUNTIF($F43:$AJ43,"HA"))</f>
        <v/>
      </c>
      <c r="AN43" s="34" t="str">
        <f aca="false">IF($B43="","",COUNTIF($F43:$AJ43,"L"))</f>
        <v/>
      </c>
      <c r="AO43" s="34" t="str">
        <f aca="false">IF($B43="","",COUNTIF($F43:$AJ43,"PL"))</f>
        <v/>
      </c>
      <c r="AP43" s="34" t="str">
        <f aca="false">IF($B43="","",COUNTIF($F43:$AJ43,"CL"))</f>
        <v/>
      </c>
      <c r="AQ43" s="34" t="str">
        <f aca="false">IF($B43="","",COUNTIF($F43:$AJ43,"SL"))</f>
        <v/>
      </c>
      <c r="AR43" s="34" t="str">
        <f aca="false">IF($B43="","",COUNTIF($F43:$AJ43,"CO"))</f>
        <v/>
      </c>
      <c r="AS43" s="34" t="str">
        <f aca="false">IF($B43="","",COUNTIF($F43:$AJ43,"HPL"))</f>
        <v/>
      </c>
      <c r="AT43" s="34" t="str">
        <f aca="false">IF($B43="","",COUNTIF($F43:$AJ43,"HCL"))</f>
        <v/>
      </c>
      <c r="AU43" s="34" t="str">
        <f aca="false">IF($B43="","",COUNTIF($F43:$AJ43,"WO"))</f>
        <v/>
      </c>
      <c r="AV43" s="34" t="str">
        <f aca="false">IF($B43="","",COUNTIF($F43:$AJ43,"PH"))</f>
        <v/>
      </c>
      <c r="AW43" s="34" t="str">
        <f aca="false">IF($B43="","",COUNTIF($F43:$AJ43,"TR"))</f>
        <v/>
      </c>
      <c r="AX43" s="35" t="str">
        <f aca="false">IF($B43="","",AO43+AS43/2)</f>
        <v/>
      </c>
      <c r="AY43" s="35" t="str">
        <f aca="false">IF($B43="","",AQ43)</f>
        <v/>
      </c>
      <c r="AZ43" s="35" t="str">
        <f aca="false">IF($B43="","",AP43+AT43/2)</f>
        <v/>
      </c>
      <c r="BA43" s="35" t="str">
        <f aca="false">IF($B43="","",AK43+AN43+AM43/2+AO43+AP43+AQ43+AR43+AS43+AT43+AU43+AV43+AW43)</f>
        <v/>
      </c>
      <c r="BB43" s="35" t="str">
        <f aca="false">IF($B43="","",MAX(0,AN43-Settings!$C$16)*Settings!$C$17)</f>
        <v/>
      </c>
      <c r="BC43" s="35" t="str">
        <f aca="false">IF($B43="","",BA43-BB43)</f>
        <v/>
      </c>
      <c r="BD43" s="35" t="str">
        <f aca="false">IF(OR($B43="",$A43=""),"",DAY(EOMONTH($A43,0))-COUNTA($F43:$AJ43))</f>
        <v/>
      </c>
    </row>
    <row r="44" customFormat="false" ht="15" hidden="false" customHeight="false" outlineLevel="0" collapsed="false">
      <c r="A44" s="32"/>
      <c r="B44" s="29"/>
      <c r="C44" s="10" t="str">
        <f aca="false">IF($B44="","",IFERROR(INDEX(M_name,MATCH($B44,M_emp,0)),"Code not found"))</f>
        <v/>
      </c>
      <c r="D44" s="10" t="str">
        <f aca="false">IF($B44="","",IFERROR(INDEX(M_dept,MATCH($B44,M_emp,0)),""))</f>
        <v/>
      </c>
      <c r="E44" s="10" t="str">
        <f aca="false">IF($B44="","",IFERROR(INDEX(M_loc,MATCH($B44,M_emp,0)),""))</f>
        <v/>
      </c>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4" t="str">
        <f aca="false">IF($B44="","",COUNTIF($F44:$AJ44,"P"))</f>
        <v/>
      </c>
      <c r="AL44" s="34" t="str">
        <f aca="false">IF($B44="","",COUNTIF($F44:$AJ44,"A"))</f>
        <v/>
      </c>
      <c r="AM44" s="34" t="str">
        <f aca="false">IF($B44="","",COUNTIF($F44:$AJ44,"HA"))</f>
        <v/>
      </c>
      <c r="AN44" s="34" t="str">
        <f aca="false">IF($B44="","",COUNTIF($F44:$AJ44,"L"))</f>
        <v/>
      </c>
      <c r="AO44" s="34" t="str">
        <f aca="false">IF($B44="","",COUNTIF($F44:$AJ44,"PL"))</f>
        <v/>
      </c>
      <c r="AP44" s="34" t="str">
        <f aca="false">IF($B44="","",COUNTIF($F44:$AJ44,"CL"))</f>
        <v/>
      </c>
      <c r="AQ44" s="34" t="str">
        <f aca="false">IF($B44="","",COUNTIF($F44:$AJ44,"SL"))</f>
        <v/>
      </c>
      <c r="AR44" s="34" t="str">
        <f aca="false">IF($B44="","",COUNTIF($F44:$AJ44,"CO"))</f>
        <v/>
      </c>
      <c r="AS44" s="34" t="str">
        <f aca="false">IF($B44="","",COUNTIF($F44:$AJ44,"HPL"))</f>
        <v/>
      </c>
      <c r="AT44" s="34" t="str">
        <f aca="false">IF($B44="","",COUNTIF($F44:$AJ44,"HCL"))</f>
        <v/>
      </c>
      <c r="AU44" s="34" t="str">
        <f aca="false">IF($B44="","",COUNTIF($F44:$AJ44,"WO"))</f>
        <v/>
      </c>
      <c r="AV44" s="34" t="str">
        <f aca="false">IF($B44="","",COUNTIF($F44:$AJ44,"PH"))</f>
        <v/>
      </c>
      <c r="AW44" s="34" t="str">
        <f aca="false">IF($B44="","",COUNTIF($F44:$AJ44,"TR"))</f>
        <v/>
      </c>
      <c r="AX44" s="35" t="str">
        <f aca="false">IF($B44="","",AO44+AS44/2)</f>
        <v/>
      </c>
      <c r="AY44" s="35" t="str">
        <f aca="false">IF($B44="","",AQ44)</f>
        <v/>
      </c>
      <c r="AZ44" s="35" t="str">
        <f aca="false">IF($B44="","",AP44+AT44/2)</f>
        <v/>
      </c>
      <c r="BA44" s="35" t="str">
        <f aca="false">IF($B44="","",AK44+AN44+AM44/2+AO44+AP44+AQ44+AR44+AS44+AT44+AU44+AV44+AW44)</f>
        <v/>
      </c>
      <c r="BB44" s="35" t="str">
        <f aca="false">IF($B44="","",MAX(0,AN44-Settings!$C$16)*Settings!$C$17)</f>
        <v/>
      </c>
      <c r="BC44" s="35" t="str">
        <f aca="false">IF($B44="","",BA44-BB44)</f>
        <v/>
      </c>
      <c r="BD44" s="35" t="str">
        <f aca="false">IF(OR($B44="",$A44=""),"",DAY(EOMONTH($A44,0))-COUNTA($F44:$AJ44))</f>
        <v/>
      </c>
    </row>
    <row r="45" customFormat="false" ht="15" hidden="false" customHeight="false" outlineLevel="0" collapsed="false">
      <c r="A45" s="32"/>
      <c r="B45" s="29"/>
      <c r="C45" s="10" t="str">
        <f aca="false">IF($B45="","",IFERROR(INDEX(M_name,MATCH($B45,M_emp,0)),"Code not found"))</f>
        <v/>
      </c>
      <c r="D45" s="10" t="str">
        <f aca="false">IF($B45="","",IFERROR(INDEX(M_dept,MATCH($B45,M_emp,0)),""))</f>
        <v/>
      </c>
      <c r="E45" s="10" t="str">
        <f aca="false">IF($B45="","",IFERROR(INDEX(M_loc,MATCH($B45,M_emp,0)),""))</f>
        <v/>
      </c>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4" t="str">
        <f aca="false">IF($B45="","",COUNTIF($F45:$AJ45,"P"))</f>
        <v/>
      </c>
      <c r="AL45" s="34" t="str">
        <f aca="false">IF($B45="","",COUNTIF($F45:$AJ45,"A"))</f>
        <v/>
      </c>
      <c r="AM45" s="34" t="str">
        <f aca="false">IF($B45="","",COUNTIF($F45:$AJ45,"HA"))</f>
        <v/>
      </c>
      <c r="AN45" s="34" t="str">
        <f aca="false">IF($B45="","",COUNTIF($F45:$AJ45,"L"))</f>
        <v/>
      </c>
      <c r="AO45" s="34" t="str">
        <f aca="false">IF($B45="","",COUNTIF($F45:$AJ45,"PL"))</f>
        <v/>
      </c>
      <c r="AP45" s="34" t="str">
        <f aca="false">IF($B45="","",COUNTIF($F45:$AJ45,"CL"))</f>
        <v/>
      </c>
      <c r="AQ45" s="34" t="str">
        <f aca="false">IF($B45="","",COUNTIF($F45:$AJ45,"SL"))</f>
        <v/>
      </c>
      <c r="AR45" s="34" t="str">
        <f aca="false">IF($B45="","",COUNTIF($F45:$AJ45,"CO"))</f>
        <v/>
      </c>
      <c r="AS45" s="34" t="str">
        <f aca="false">IF($B45="","",COUNTIF($F45:$AJ45,"HPL"))</f>
        <v/>
      </c>
      <c r="AT45" s="34" t="str">
        <f aca="false">IF($B45="","",COUNTIF($F45:$AJ45,"HCL"))</f>
        <v/>
      </c>
      <c r="AU45" s="34" t="str">
        <f aca="false">IF($B45="","",COUNTIF($F45:$AJ45,"WO"))</f>
        <v/>
      </c>
      <c r="AV45" s="34" t="str">
        <f aca="false">IF($B45="","",COUNTIF($F45:$AJ45,"PH"))</f>
        <v/>
      </c>
      <c r="AW45" s="34" t="str">
        <f aca="false">IF($B45="","",COUNTIF($F45:$AJ45,"TR"))</f>
        <v/>
      </c>
      <c r="AX45" s="35" t="str">
        <f aca="false">IF($B45="","",AO45+AS45/2)</f>
        <v/>
      </c>
      <c r="AY45" s="35" t="str">
        <f aca="false">IF($B45="","",AQ45)</f>
        <v/>
      </c>
      <c r="AZ45" s="35" t="str">
        <f aca="false">IF($B45="","",AP45+AT45/2)</f>
        <v/>
      </c>
      <c r="BA45" s="35" t="str">
        <f aca="false">IF($B45="","",AK45+AN45+AM45/2+AO45+AP45+AQ45+AR45+AS45+AT45+AU45+AV45+AW45)</f>
        <v/>
      </c>
      <c r="BB45" s="35" t="str">
        <f aca="false">IF($B45="","",MAX(0,AN45-Settings!$C$16)*Settings!$C$17)</f>
        <v/>
      </c>
      <c r="BC45" s="35" t="str">
        <f aca="false">IF($B45="","",BA45-BB45)</f>
        <v/>
      </c>
      <c r="BD45" s="35" t="str">
        <f aca="false">IF(OR($B45="",$A45=""),"",DAY(EOMONTH($A45,0))-COUNTA($F45:$AJ45))</f>
        <v/>
      </c>
    </row>
    <row r="46" customFormat="false" ht="15" hidden="false" customHeight="false" outlineLevel="0" collapsed="false">
      <c r="A46" s="32"/>
      <c r="B46" s="29"/>
      <c r="C46" s="10" t="str">
        <f aca="false">IF($B46="","",IFERROR(INDEX(M_name,MATCH($B46,M_emp,0)),"Code not found"))</f>
        <v/>
      </c>
      <c r="D46" s="10" t="str">
        <f aca="false">IF($B46="","",IFERROR(INDEX(M_dept,MATCH($B46,M_emp,0)),""))</f>
        <v/>
      </c>
      <c r="E46" s="10" t="str">
        <f aca="false">IF($B46="","",IFERROR(INDEX(M_loc,MATCH($B46,M_emp,0)),""))</f>
        <v/>
      </c>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4" t="str">
        <f aca="false">IF($B46="","",COUNTIF($F46:$AJ46,"P"))</f>
        <v/>
      </c>
      <c r="AL46" s="34" t="str">
        <f aca="false">IF($B46="","",COUNTIF($F46:$AJ46,"A"))</f>
        <v/>
      </c>
      <c r="AM46" s="34" t="str">
        <f aca="false">IF($B46="","",COUNTIF($F46:$AJ46,"HA"))</f>
        <v/>
      </c>
      <c r="AN46" s="34" t="str">
        <f aca="false">IF($B46="","",COUNTIF($F46:$AJ46,"L"))</f>
        <v/>
      </c>
      <c r="AO46" s="34" t="str">
        <f aca="false">IF($B46="","",COUNTIF($F46:$AJ46,"PL"))</f>
        <v/>
      </c>
      <c r="AP46" s="34" t="str">
        <f aca="false">IF($B46="","",COUNTIF($F46:$AJ46,"CL"))</f>
        <v/>
      </c>
      <c r="AQ46" s="34" t="str">
        <f aca="false">IF($B46="","",COUNTIF($F46:$AJ46,"SL"))</f>
        <v/>
      </c>
      <c r="AR46" s="34" t="str">
        <f aca="false">IF($B46="","",COUNTIF($F46:$AJ46,"CO"))</f>
        <v/>
      </c>
      <c r="AS46" s="34" t="str">
        <f aca="false">IF($B46="","",COUNTIF($F46:$AJ46,"HPL"))</f>
        <v/>
      </c>
      <c r="AT46" s="34" t="str">
        <f aca="false">IF($B46="","",COUNTIF($F46:$AJ46,"HCL"))</f>
        <v/>
      </c>
      <c r="AU46" s="34" t="str">
        <f aca="false">IF($B46="","",COUNTIF($F46:$AJ46,"WO"))</f>
        <v/>
      </c>
      <c r="AV46" s="34" t="str">
        <f aca="false">IF($B46="","",COUNTIF($F46:$AJ46,"PH"))</f>
        <v/>
      </c>
      <c r="AW46" s="34" t="str">
        <f aca="false">IF($B46="","",COUNTIF($F46:$AJ46,"TR"))</f>
        <v/>
      </c>
      <c r="AX46" s="35" t="str">
        <f aca="false">IF($B46="","",AO46+AS46/2)</f>
        <v/>
      </c>
      <c r="AY46" s="35" t="str">
        <f aca="false">IF($B46="","",AQ46)</f>
        <v/>
      </c>
      <c r="AZ46" s="35" t="str">
        <f aca="false">IF($B46="","",AP46+AT46/2)</f>
        <v/>
      </c>
      <c r="BA46" s="35" t="str">
        <f aca="false">IF($B46="","",AK46+AN46+AM46/2+AO46+AP46+AQ46+AR46+AS46+AT46+AU46+AV46+AW46)</f>
        <v/>
      </c>
      <c r="BB46" s="35" t="str">
        <f aca="false">IF($B46="","",MAX(0,AN46-Settings!$C$16)*Settings!$C$17)</f>
        <v/>
      </c>
      <c r="BC46" s="35" t="str">
        <f aca="false">IF($B46="","",BA46-BB46)</f>
        <v/>
      </c>
      <c r="BD46" s="35" t="str">
        <f aca="false">IF(OR($B46="",$A46=""),"",DAY(EOMONTH($A46,0))-COUNTA($F46:$AJ46))</f>
        <v/>
      </c>
    </row>
    <row r="47" customFormat="false" ht="15" hidden="false" customHeight="false" outlineLevel="0" collapsed="false">
      <c r="A47" s="32"/>
      <c r="B47" s="29"/>
      <c r="C47" s="10" t="str">
        <f aca="false">IF($B47="","",IFERROR(INDEX(M_name,MATCH($B47,M_emp,0)),"Code not found"))</f>
        <v/>
      </c>
      <c r="D47" s="10" t="str">
        <f aca="false">IF($B47="","",IFERROR(INDEX(M_dept,MATCH($B47,M_emp,0)),""))</f>
        <v/>
      </c>
      <c r="E47" s="10" t="str">
        <f aca="false">IF($B47="","",IFERROR(INDEX(M_loc,MATCH($B47,M_emp,0)),""))</f>
        <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4" t="str">
        <f aca="false">IF($B47="","",COUNTIF($F47:$AJ47,"P"))</f>
        <v/>
      </c>
      <c r="AL47" s="34" t="str">
        <f aca="false">IF($B47="","",COUNTIF($F47:$AJ47,"A"))</f>
        <v/>
      </c>
      <c r="AM47" s="34" t="str">
        <f aca="false">IF($B47="","",COUNTIF($F47:$AJ47,"HA"))</f>
        <v/>
      </c>
      <c r="AN47" s="34" t="str">
        <f aca="false">IF($B47="","",COUNTIF($F47:$AJ47,"L"))</f>
        <v/>
      </c>
      <c r="AO47" s="34" t="str">
        <f aca="false">IF($B47="","",COUNTIF($F47:$AJ47,"PL"))</f>
        <v/>
      </c>
      <c r="AP47" s="34" t="str">
        <f aca="false">IF($B47="","",COUNTIF($F47:$AJ47,"CL"))</f>
        <v/>
      </c>
      <c r="AQ47" s="34" t="str">
        <f aca="false">IF($B47="","",COUNTIF($F47:$AJ47,"SL"))</f>
        <v/>
      </c>
      <c r="AR47" s="34" t="str">
        <f aca="false">IF($B47="","",COUNTIF($F47:$AJ47,"CO"))</f>
        <v/>
      </c>
      <c r="AS47" s="34" t="str">
        <f aca="false">IF($B47="","",COUNTIF($F47:$AJ47,"HPL"))</f>
        <v/>
      </c>
      <c r="AT47" s="34" t="str">
        <f aca="false">IF($B47="","",COUNTIF($F47:$AJ47,"HCL"))</f>
        <v/>
      </c>
      <c r="AU47" s="34" t="str">
        <f aca="false">IF($B47="","",COUNTIF($F47:$AJ47,"WO"))</f>
        <v/>
      </c>
      <c r="AV47" s="34" t="str">
        <f aca="false">IF($B47="","",COUNTIF($F47:$AJ47,"PH"))</f>
        <v/>
      </c>
      <c r="AW47" s="34" t="str">
        <f aca="false">IF($B47="","",COUNTIF($F47:$AJ47,"TR"))</f>
        <v/>
      </c>
      <c r="AX47" s="35" t="str">
        <f aca="false">IF($B47="","",AO47+AS47/2)</f>
        <v/>
      </c>
      <c r="AY47" s="35" t="str">
        <f aca="false">IF($B47="","",AQ47)</f>
        <v/>
      </c>
      <c r="AZ47" s="35" t="str">
        <f aca="false">IF($B47="","",AP47+AT47/2)</f>
        <v/>
      </c>
      <c r="BA47" s="35" t="str">
        <f aca="false">IF($B47="","",AK47+AN47+AM47/2+AO47+AP47+AQ47+AR47+AS47+AT47+AU47+AV47+AW47)</f>
        <v/>
      </c>
      <c r="BB47" s="35" t="str">
        <f aca="false">IF($B47="","",MAX(0,AN47-Settings!$C$16)*Settings!$C$17)</f>
        <v/>
      </c>
      <c r="BC47" s="35" t="str">
        <f aca="false">IF($B47="","",BA47-BB47)</f>
        <v/>
      </c>
      <c r="BD47" s="35" t="str">
        <f aca="false">IF(OR($B47="",$A47=""),"",DAY(EOMONTH($A47,0))-COUNTA($F47:$AJ47))</f>
        <v/>
      </c>
    </row>
    <row r="48" customFormat="false" ht="15" hidden="false" customHeight="false" outlineLevel="0" collapsed="false">
      <c r="A48" s="32"/>
      <c r="B48" s="29"/>
      <c r="C48" s="10" t="str">
        <f aca="false">IF($B48="","",IFERROR(INDEX(M_name,MATCH($B48,M_emp,0)),"Code not found"))</f>
        <v/>
      </c>
      <c r="D48" s="10" t="str">
        <f aca="false">IF($B48="","",IFERROR(INDEX(M_dept,MATCH($B48,M_emp,0)),""))</f>
        <v/>
      </c>
      <c r="E48" s="10" t="str">
        <f aca="false">IF($B48="","",IFERROR(INDEX(M_loc,MATCH($B48,M_emp,0)),""))</f>
        <v/>
      </c>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4" t="str">
        <f aca="false">IF($B48="","",COUNTIF($F48:$AJ48,"P"))</f>
        <v/>
      </c>
      <c r="AL48" s="34" t="str">
        <f aca="false">IF($B48="","",COUNTIF($F48:$AJ48,"A"))</f>
        <v/>
      </c>
      <c r="AM48" s="34" t="str">
        <f aca="false">IF($B48="","",COUNTIF($F48:$AJ48,"HA"))</f>
        <v/>
      </c>
      <c r="AN48" s="34" t="str">
        <f aca="false">IF($B48="","",COUNTIF($F48:$AJ48,"L"))</f>
        <v/>
      </c>
      <c r="AO48" s="34" t="str">
        <f aca="false">IF($B48="","",COUNTIF($F48:$AJ48,"PL"))</f>
        <v/>
      </c>
      <c r="AP48" s="34" t="str">
        <f aca="false">IF($B48="","",COUNTIF($F48:$AJ48,"CL"))</f>
        <v/>
      </c>
      <c r="AQ48" s="34" t="str">
        <f aca="false">IF($B48="","",COUNTIF($F48:$AJ48,"SL"))</f>
        <v/>
      </c>
      <c r="AR48" s="34" t="str">
        <f aca="false">IF($B48="","",COUNTIF($F48:$AJ48,"CO"))</f>
        <v/>
      </c>
      <c r="AS48" s="34" t="str">
        <f aca="false">IF($B48="","",COUNTIF($F48:$AJ48,"HPL"))</f>
        <v/>
      </c>
      <c r="AT48" s="34" t="str">
        <f aca="false">IF($B48="","",COUNTIF($F48:$AJ48,"HCL"))</f>
        <v/>
      </c>
      <c r="AU48" s="34" t="str">
        <f aca="false">IF($B48="","",COUNTIF($F48:$AJ48,"WO"))</f>
        <v/>
      </c>
      <c r="AV48" s="34" t="str">
        <f aca="false">IF($B48="","",COUNTIF($F48:$AJ48,"PH"))</f>
        <v/>
      </c>
      <c r="AW48" s="34" t="str">
        <f aca="false">IF($B48="","",COUNTIF($F48:$AJ48,"TR"))</f>
        <v/>
      </c>
      <c r="AX48" s="35" t="str">
        <f aca="false">IF($B48="","",AO48+AS48/2)</f>
        <v/>
      </c>
      <c r="AY48" s="35" t="str">
        <f aca="false">IF($B48="","",AQ48)</f>
        <v/>
      </c>
      <c r="AZ48" s="35" t="str">
        <f aca="false">IF($B48="","",AP48+AT48/2)</f>
        <v/>
      </c>
      <c r="BA48" s="35" t="str">
        <f aca="false">IF($B48="","",AK48+AN48+AM48/2+AO48+AP48+AQ48+AR48+AS48+AT48+AU48+AV48+AW48)</f>
        <v/>
      </c>
      <c r="BB48" s="35" t="str">
        <f aca="false">IF($B48="","",MAX(0,AN48-Settings!$C$16)*Settings!$C$17)</f>
        <v/>
      </c>
      <c r="BC48" s="35" t="str">
        <f aca="false">IF($B48="","",BA48-BB48)</f>
        <v/>
      </c>
      <c r="BD48" s="35" t="str">
        <f aca="false">IF(OR($B48="",$A48=""),"",DAY(EOMONTH($A48,0))-COUNTA($F48:$AJ48))</f>
        <v/>
      </c>
    </row>
    <row r="49" customFormat="false" ht="15" hidden="false" customHeight="false" outlineLevel="0" collapsed="false">
      <c r="A49" s="32"/>
      <c r="B49" s="29"/>
      <c r="C49" s="10" t="str">
        <f aca="false">IF($B49="","",IFERROR(INDEX(M_name,MATCH($B49,M_emp,0)),"Code not found"))</f>
        <v/>
      </c>
      <c r="D49" s="10" t="str">
        <f aca="false">IF($B49="","",IFERROR(INDEX(M_dept,MATCH($B49,M_emp,0)),""))</f>
        <v/>
      </c>
      <c r="E49" s="10" t="str">
        <f aca="false">IF($B49="","",IFERROR(INDEX(M_loc,MATCH($B49,M_emp,0)),""))</f>
        <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4" t="str">
        <f aca="false">IF($B49="","",COUNTIF($F49:$AJ49,"P"))</f>
        <v/>
      </c>
      <c r="AL49" s="34" t="str">
        <f aca="false">IF($B49="","",COUNTIF($F49:$AJ49,"A"))</f>
        <v/>
      </c>
      <c r="AM49" s="34" t="str">
        <f aca="false">IF($B49="","",COUNTIF($F49:$AJ49,"HA"))</f>
        <v/>
      </c>
      <c r="AN49" s="34" t="str">
        <f aca="false">IF($B49="","",COUNTIF($F49:$AJ49,"L"))</f>
        <v/>
      </c>
      <c r="AO49" s="34" t="str">
        <f aca="false">IF($B49="","",COUNTIF($F49:$AJ49,"PL"))</f>
        <v/>
      </c>
      <c r="AP49" s="34" t="str">
        <f aca="false">IF($B49="","",COUNTIF($F49:$AJ49,"CL"))</f>
        <v/>
      </c>
      <c r="AQ49" s="34" t="str">
        <f aca="false">IF($B49="","",COUNTIF($F49:$AJ49,"SL"))</f>
        <v/>
      </c>
      <c r="AR49" s="34" t="str">
        <f aca="false">IF($B49="","",COUNTIF($F49:$AJ49,"CO"))</f>
        <v/>
      </c>
      <c r="AS49" s="34" t="str">
        <f aca="false">IF($B49="","",COUNTIF($F49:$AJ49,"HPL"))</f>
        <v/>
      </c>
      <c r="AT49" s="34" t="str">
        <f aca="false">IF($B49="","",COUNTIF($F49:$AJ49,"HCL"))</f>
        <v/>
      </c>
      <c r="AU49" s="34" t="str">
        <f aca="false">IF($B49="","",COUNTIF($F49:$AJ49,"WO"))</f>
        <v/>
      </c>
      <c r="AV49" s="34" t="str">
        <f aca="false">IF($B49="","",COUNTIF($F49:$AJ49,"PH"))</f>
        <v/>
      </c>
      <c r="AW49" s="34" t="str">
        <f aca="false">IF($B49="","",COUNTIF($F49:$AJ49,"TR"))</f>
        <v/>
      </c>
      <c r="AX49" s="35" t="str">
        <f aca="false">IF($B49="","",AO49+AS49/2)</f>
        <v/>
      </c>
      <c r="AY49" s="35" t="str">
        <f aca="false">IF($B49="","",AQ49)</f>
        <v/>
      </c>
      <c r="AZ49" s="35" t="str">
        <f aca="false">IF($B49="","",AP49+AT49/2)</f>
        <v/>
      </c>
      <c r="BA49" s="35" t="str">
        <f aca="false">IF($B49="","",AK49+AN49+AM49/2+AO49+AP49+AQ49+AR49+AS49+AT49+AU49+AV49+AW49)</f>
        <v/>
      </c>
      <c r="BB49" s="35" t="str">
        <f aca="false">IF($B49="","",MAX(0,AN49-Settings!$C$16)*Settings!$C$17)</f>
        <v/>
      </c>
      <c r="BC49" s="35" t="str">
        <f aca="false">IF($B49="","",BA49-BB49)</f>
        <v/>
      </c>
      <c r="BD49" s="35" t="str">
        <f aca="false">IF(OR($B49="",$A49=""),"",DAY(EOMONTH($A49,0))-COUNTA($F49:$AJ49))</f>
        <v/>
      </c>
    </row>
    <row r="50" customFormat="false" ht="15" hidden="false" customHeight="false" outlineLevel="0" collapsed="false">
      <c r="A50" s="32"/>
      <c r="B50" s="29"/>
      <c r="C50" s="10" t="str">
        <f aca="false">IF($B50="","",IFERROR(INDEX(M_name,MATCH($B50,M_emp,0)),"Code not found"))</f>
        <v/>
      </c>
      <c r="D50" s="10" t="str">
        <f aca="false">IF($B50="","",IFERROR(INDEX(M_dept,MATCH($B50,M_emp,0)),""))</f>
        <v/>
      </c>
      <c r="E50" s="10" t="str">
        <f aca="false">IF($B50="","",IFERROR(INDEX(M_loc,MATCH($B50,M_emp,0)),""))</f>
        <v/>
      </c>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4" t="str">
        <f aca="false">IF($B50="","",COUNTIF($F50:$AJ50,"P"))</f>
        <v/>
      </c>
      <c r="AL50" s="34" t="str">
        <f aca="false">IF($B50="","",COUNTIF($F50:$AJ50,"A"))</f>
        <v/>
      </c>
      <c r="AM50" s="34" t="str">
        <f aca="false">IF($B50="","",COUNTIF($F50:$AJ50,"HA"))</f>
        <v/>
      </c>
      <c r="AN50" s="34" t="str">
        <f aca="false">IF($B50="","",COUNTIF($F50:$AJ50,"L"))</f>
        <v/>
      </c>
      <c r="AO50" s="34" t="str">
        <f aca="false">IF($B50="","",COUNTIF($F50:$AJ50,"PL"))</f>
        <v/>
      </c>
      <c r="AP50" s="34" t="str">
        <f aca="false">IF($B50="","",COUNTIF($F50:$AJ50,"CL"))</f>
        <v/>
      </c>
      <c r="AQ50" s="34" t="str">
        <f aca="false">IF($B50="","",COUNTIF($F50:$AJ50,"SL"))</f>
        <v/>
      </c>
      <c r="AR50" s="34" t="str">
        <f aca="false">IF($B50="","",COUNTIF($F50:$AJ50,"CO"))</f>
        <v/>
      </c>
      <c r="AS50" s="34" t="str">
        <f aca="false">IF($B50="","",COUNTIF($F50:$AJ50,"HPL"))</f>
        <v/>
      </c>
      <c r="AT50" s="34" t="str">
        <f aca="false">IF($B50="","",COUNTIF($F50:$AJ50,"HCL"))</f>
        <v/>
      </c>
      <c r="AU50" s="34" t="str">
        <f aca="false">IF($B50="","",COUNTIF($F50:$AJ50,"WO"))</f>
        <v/>
      </c>
      <c r="AV50" s="34" t="str">
        <f aca="false">IF($B50="","",COUNTIF($F50:$AJ50,"PH"))</f>
        <v/>
      </c>
      <c r="AW50" s="34" t="str">
        <f aca="false">IF($B50="","",COUNTIF($F50:$AJ50,"TR"))</f>
        <v/>
      </c>
      <c r="AX50" s="35" t="str">
        <f aca="false">IF($B50="","",AO50+AS50/2)</f>
        <v/>
      </c>
      <c r="AY50" s="35" t="str">
        <f aca="false">IF($B50="","",AQ50)</f>
        <v/>
      </c>
      <c r="AZ50" s="35" t="str">
        <f aca="false">IF($B50="","",AP50+AT50/2)</f>
        <v/>
      </c>
      <c r="BA50" s="35" t="str">
        <f aca="false">IF($B50="","",AK50+AN50+AM50/2+AO50+AP50+AQ50+AR50+AS50+AT50+AU50+AV50+AW50)</f>
        <v/>
      </c>
      <c r="BB50" s="35" t="str">
        <f aca="false">IF($B50="","",MAX(0,AN50-Settings!$C$16)*Settings!$C$17)</f>
        <v/>
      </c>
      <c r="BC50" s="35" t="str">
        <f aca="false">IF($B50="","",BA50-BB50)</f>
        <v/>
      </c>
      <c r="BD50" s="35" t="str">
        <f aca="false">IF(OR($B50="",$A50=""),"",DAY(EOMONTH($A50,0))-COUNTA($F50:$AJ50))</f>
        <v/>
      </c>
    </row>
    <row r="51" customFormat="false" ht="15" hidden="false" customHeight="false" outlineLevel="0" collapsed="false">
      <c r="A51" s="32"/>
      <c r="B51" s="29"/>
      <c r="C51" s="10" t="str">
        <f aca="false">IF($B51="","",IFERROR(INDEX(M_name,MATCH($B51,M_emp,0)),"Code not found"))</f>
        <v/>
      </c>
      <c r="D51" s="10" t="str">
        <f aca="false">IF($B51="","",IFERROR(INDEX(M_dept,MATCH($B51,M_emp,0)),""))</f>
        <v/>
      </c>
      <c r="E51" s="10" t="str">
        <f aca="false">IF($B51="","",IFERROR(INDEX(M_loc,MATCH($B51,M_emp,0)),""))</f>
        <v/>
      </c>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4" t="str">
        <f aca="false">IF($B51="","",COUNTIF($F51:$AJ51,"P"))</f>
        <v/>
      </c>
      <c r="AL51" s="34" t="str">
        <f aca="false">IF($B51="","",COUNTIF($F51:$AJ51,"A"))</f>
        <v/>
      </c>
      <c r="AM51" s="34" t="str">
        <f aca="false">IF($B51="","",COUNTIF($F51:$AJ51,"HA"))</f>
        <v/>
      </c>
      <c r="AN51" s="34" t="str">
        <f aca="false">IF($B51="","",COUNTIF($F51:$AJ51,"L"))</f>
        <v/>
      </c>
      <c r="AO51" s="34" t="str">
        <f aca="false">IF($B51="","",COUNTIF($F51:$AJ51,"PL"))</f>
        <v/>
      </c>
      <c r="AP51" s="34" t="str">
        <f aca="false">IF($B51="","",COUNTIF($F51:$AJ51,"CL"))</f>
        <v/>
      </c>
      <c r="AQ51" s="34" t="str">
        <f aca="false">IF($B51="","",COUNTIF($F51:$AJ51,"SL"))</f>
        <v/>
      </c>
      <c r="AR51" s="34" t="str">
        <f aca="false">IF($B51="","",COUNTIF($F51:$AJ51,"CO"))</f>
        <v/>
      </c>
      <c r="AS51" s="34" t="str">
        <f aca="false">IF($B51="","",COUNTIF($F51:$AJ51,"HPL"))</f>
        <v/>
      </c>
      <c r="AT51" s="34" t="str">
        <f aca="false">IF($B51="","",COUNTIF($F51:$AJ51,"HCL"))</f>
        <v/>
      </c>
      <c r="AU51" s="34" t="str">
        <f aca="false">IF($B51="","",COUNTIF($F51:$AJ51,"WO"))</f>
        <v/>
      </c>
      <c r="AV51" s="34" t="str">
        <f aca="false">IF($B51="","",COUNTIF($F51:$AJ51,"PH"))</f>
        <v/>
      </c>
      <c r="AW51" s="34" t="str">
        <f aca="false">IF($B51="","",COUNTIF($F51:$AJ51,"TR"))</f>
        <v/>
      </c>
      <c r="AX51" s="35" t="str">
        <f aca="false">IF($B51="","",AO51+AS51/2)</f>
        <v/>
      </c>
      <c r="AY51" s="35" t="str">
        <f aca="false">IF($B51="","",AQ51)</f>
        <v/>
      </c>
      <c r="AZ51" s="35" t="str">
        <f aca="false">IF($B51="","",AP51+AT51/2)</f>
        <v/>
      </c>
      <c r="BA51" s="35" t="str">
        <f aca="false">IF($B51="","",AK51+AN51+AM51/2+AO51+AP51+AQ51+AR51+AS51+AT51+AU51+AV51+AW51)</f>
        <v/>
      </c>
      <c r="BB51" s="35" t="str">
        <f aca="false">IF($B51="","",MAX(0,AN51-Settings!$C$16)*Settings!$C$17)</f>
        <v/>
      </c>
      <c r="BC51" s="35" t="str">
        <f aca="false">IF($B51="","",BA51-BB51)</f>
        <v/>
      </c>
      <c r="BD51" s="35" t="str">
        <f aca="false">IF(OR($B51="",$A51=""),"",DAY(EOMONTH($A51,0))-COUNTA($F51:$AJ51))</f>
        <v/>
      </c>
    </row>
    <row r="52" customFormat="false" ht="15" hidden="false" customHeight="false" outlineLevel="0" collapsed="false">
      <c r="A52" s="32"/>
      <c r="B52" s="29"/>
      <c r="C52" s="10" t="str">
        <f aca="false">IF($B52="","",IFERROR(INDEX(M_name,MATCH($B52,M_emp,0)),"Code not found"))</f>
        <v/>
      </c>
      <c r="D52" s="10" t="str">
        <f aca="false">IF($B52="","",IFERROR(INDEX(M_dept,MATCH($B52,M_emp,0)),""))</f>
        <v/>
      </c>
      <c r="E52" s="10" t="str">
        <f aca="false">IF($B52="","",IFERROR(INDEX(M_loc,MATCH($B52,M_emp,0)),""))</f>
        <v/>
      </c>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4" t="str">
        <f aca="false">IF($B52="","",COUNTIF($F52:$AJ52,"P"))</f>
        <v/>
      </c>
      <c r="AL52" s="34" t="str">
        <f aca="false">IF($B52="","",COUNTIF($F52:$AJ52,"A"))</f>
        <v/>
      </c>
      <c r="AM52" s="34" t="str">
        <f aca="false">IF($B52="","",COUNTIF($F52:$AJ52,"HA"))</f>
        <v/>
      </c>
      <c r="AN52" s="34" t="str">
        <f aca="false">IF($B52="","",COUNTIF($F52:$AJ52,"L"))</f>
        <v/>
      </c>
      <c r="AO52" s="34" t="str">
        <f aca="false">IF($B52="","",COUNTIF($F52:$AJ52,"PL"))</f>
        <v/>
      </c>
      <c r="AP52" s="34" t="str">
        <f aca="false">IF($B52="","",COUNTIF($F52:$AJ52,"CL"))</f>
        <v/>
      </c>
      <c r="AQ52" s="34" t="str">
        <f aca="false">IF($B52="","",COUNTIF($F52:$AJ52,"SL"))</f>
        <v/>
      </c>
      <c r="AR52" s="34" t="str">
        <f aca="false">IF($B52="","",COUNTIF($F52:$AJ52,"CO"))</f>
        <v/>
      </c>
      <c r="AS52" s="34" t="str">
        <f aca="false">IF($B52="","",COUNTIF($F52:$AJ52,"HPL"))</f>
        <v/>
      </c>
      <c r="AT52" s="34" t="str">
        <f aca="false">IF($B52="","",COUNTIF($F52:$AJ52,"HCL"))</f>
        <v/>
      </c>
      <c r="AU52" s="34" t="str">
        <f aca="false">IF($B52="","",COUNTIF($F52:$AJ52,"WO"))</f>
        <v/>
      </c>
      <c r="AV52" s="34" t="str">
        <f aca="false">IF($B52="","",COUNTIF($F52:$AJ52,"PH"))</f>
        <v/>
      </c>
      <c r="AW52" s="34" t="str">
        <f aca="false">IF($B52="","",COUNTIF($F52:$AJ52,"TR"))</f>
        <v/>
      </c>
      <c r="AX52" s="35" t="str">
        <f aca="false">IF($B52="","",AO52+AS52/2)</f>
        <v/>
      </c>
      <c r="AY52" s="35" t="str">
        <f aca="false">IF($B52="","",AQ52)</f>
        <v/>
      </c>
      <c r="AZ52" s="35" t="str">
        <f aca="false">IF($B52="","",AP52+AT52/2)</f>
        <v/>
      </c>
      <c r="BA52" s="35" t="str">
        <f aca="false">IF($B52="","",AK52+AN52+AM52/2+AO52+AP52+AQ52+AR52+AS52+AT52+AU52+AV52+AW52)</f>
        <v/>
      </c>
      <c r="BB52" s="35" t="str">
        <f aca="false">IF($B52="","",MAX(0,AN52-Settings!$C$16)*Settings!$C$17)</f>
        <v/>
      </c>
      <c r="BC52" s="35" t="str">
        <f aca="false">IF($B52="","",BA52-BB52)</f>
        <v/>
      </c>
      <c r="BD52" s="35" t="str">
        <f aca="false">IF(OR($B52="",$A52=""),"",DAY(EOMONTH($A52,0))-COUNTA($F52:$AJ52))</f>
        <v/>
      </c>
    </row>
    <row r="53" customFormat="false" ht="15" hidden="false" customHeight="false" outlineLevel="0" collapsed="false">
      <c r="A53" s="32"/>
      <c r="B53" s="29"/>
      <c r="C53" s="10" t="str">
        <f aca="false">IF($B53="","",IFERROR(INDEX(M_name,MATCH($B53,M_emp,0)),"Code not found"))</f>
        <v/>
      </c>
      <c r="D53" s="10" t="str">
        <f aca="false">IF($B53="","",IFERROR(INDEX(M_dept,MATCH($B53,M_emp,0)),""))</f>
        <v/>
      </c>
      <c r="E53" s="10" t="str">
        <f aca="false">IF($B53="","",IFERROR(INDEX(M_loc,MATCH($B53,M_emp,0)),""))</f>
        <v/>
      </c>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4" t="str">
        <f aca="false">IF($B53="","",COUNTIF($F53:$AJ53,"P"))</f>
        <v/>
      </c>
      <c r="AL53" s="34" t="str">
        <f aca="false">IF($B53="","",COUNTIF($F53:$AJ53,"A"))</f>
        <v/>
      </c>
      <c r="AM53" s="34" t="str">
        <f aca="false">IF($B53="","",COUNTIF($F53:$AJ53,"HA"))</f>
        <v/>
      </c>
      <c r="AN53" s="34" t="str">
        <f aca="false">IF($B53="","",COUNTIF($F53:$AJ53,"L"))</f>
        <v/>
      </c>
      <c r="AO53" s="34" t="str">
        <f aca="false">IF($B53="","",COUNTIF($F53:$AJ53,"PL"))</f>
        <v/>
      </c>
      <c r="AP53" s="34" t="str">
        <f aca="false">IF($B53="","",COUNTIF($F53:$AJ53,"CL"))</f>
        <v/>
      </c>
      <c r="AQ53" s="34" t="str">
        <f aca="false">IF($B53="","",COUNTIF($F53:$AJ53,"SL"))</f>
        <v/>
      </c>
      <c r="AR53" s="34" t="str">
        <f aca="false">IF($B53="","",COUNTIF($F53:$AJ53,"CO"))</f>
        <v/>
      </c>
      <c r="AS53" s="34" t="str">
        <f aca="false">IF($B53="","",COUNTIF($F53:$AJ53,"HPL"))</f>
        <v/>
      </c>
      <c r="AT53" s="34" t="str">
        <f aca="false">IF($B53="","",COUNTIF($F53:$AJ53,"HCL"))</f>
        <v/>
      </c>
      <c r="AU53" s="34" t="str">
        <f aca="false">IF($B53="","",COUNTIF($F53:$AJ53,"WO"))</f>
        <v/>
      </c>
      <c r="AV53" s="34" t="str">
        <f aca="false">IF($B53="","",COUNTIF($F53:$AJ53,"PH"))</f>
        <v/>
      </c>
      <c r="AW53" s="34" t="str">
        <f aca="false">IF($B53="","",COUNTIF($F53:$AJ53,"TR"))</f>
        <v/>
      </c>
      <c r="AX53" s="35" t="str">
        <f aca="false">IF($B53="","",AO53+AS53/2)</f>
        <v/>
      </c>
      <c r="AY53" s="35" t="str">
        <f aca="false">IF($B53="","",AQ53)</f>
        <v/>
      </c>
      <c r="AZ53" s="35" t="str">
        <f aca="false">IF($B53="","",AP53+AT53/2)</f>
        <v/>
      </c>
      <c r="BA53" s="35" t="str">
        <f aca="false">IF($B53="","",AK53+AN53+AM53/2+AO53+AP53+AQ53+AR53+AS53+AT53+AU53+AV53+AW53)</f>
        <v/>
      </c>
      <c r="BB53" s="35" t="str">
        <f aca="false">IF($B53="","",MAX(0,AN53-Settings!$C$16)*Settings!$C$17)</f>
        <v/>
      </c>
      <c r="BC53" s="35" t="str">
        <f aca="false">IF($B53="","",BA53-BB53)</f>
        <v/>
      </c>
      <c r="BD53" s="35" t="str">
        <f aca="false">IF(OR($B53="",$A53=""),"",DAY(EOMONTH($A53,0))-COUNTA($F53:$AJ53))</f>
        <v/>
      </c>
    </row>
    <row r="54" customFormat="false" ht="15" hidden="false" customHeight="false" outlineLevel="0" collapsed="false">
      <c r="A54" s="32"/>
      <c r="B54" s="29"/>
      <c r="C54" s="10" t="str">
        <f aca="false">IF($B54="","",IFERROR(INDEX(M_name,MATCH($B54,M_emp,0)),"Code not found"))</f>
        <v/>
      </c>
      <c r="D54" s="10" t="str">
        <f aca="false">IF($B54="","",IFERROR(INDEX(M_dept,MATCH($B54,M_emp,0)),""))</f>
        <v/>
      </c>
      <c r="E54" s="10" t="str">
        <f aca="false">IF($B54="","",IFERROR(INDEX(M_loc,MATCH($B54,M_emp,0)),""))</f>
        <v/>
      </c>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4" t="str">
        <f aca="false">IF($B54="","",COUNTIF($F54:$AJ54,"P"))</f>
        <v/>
      </c>
      <c r="AL54" s="34" t="str">
        <f aca="false">IF($B54="","",COUNTIF($F54:$AJ54,"A"))</f>
        <v/>
      </c>
      <c r="AM54" s="34" t="str">
        <f aca="false">IF($B54="","",COUNTIF($F54:$AJ54,"HA"))</f>
        <v/>
      </c>
      <c r="AN54" s="34" t="str">
        <f aca="false">IF($B54="","",COUNTIF($F54:$AJ54,"L"))</f>
        <v/>
      </c>
      <c r="AO54" s="34" t="str">
        <f aca="false">IF($B54="","",COUNTIF($F54:$AJ54,"PL"))</f>
        <v/>
      </c>
      <c r="AP54" s="34" t="str">
        <f aca="false">IF($B54="","",COUNTIF($F54:$AJ54,"CL"))</f>
        <v/>
      </c>
      <c r="AQ54" s="34" t="str">
        <f aca="false">IF($B54="","",COUNTIF($F54:$AJ54,"SL"))</f>
        <v/>
      </c>
      <c r="AR54" s="34" t="str">
        <f aca="false">IF($B54="","",COUNTIF($F54:$AJ54,"CO"))</f>
        <v/>
      </c>
      <c r="AS54" s="34" t="str">
        <f aca="false">IF($B54="","",COUNTIF($F54:$AJ54,"HPL"))</f>
        <v/>
      </c>
      <c r="AT54" s="34" t="str">
        <f aca="false">IF($B54="","",COUNTIF($F54:$AJ54,"HCL"))</f>
        <v/>
      </c>
      <c r="AU54" s="34" t="str">
        <f aca="false">IF($B54="","",COUNTIF($F54:$AJ54,"WO"))</f>
        <v/>
      </c>
      <c r="AV54" s="34" t="str">
        <f aca="false">IF($B54="","",COUNTIF($F54:$AJ54,"PH"))</f>
        <v/>
      </c>
      <c r="AW54" s="34" t="str">
        <f aca="false">IF($B54="","",COUNTIF($F54:$AJ54,"TR"))</f>
        <v/>
      </c>
      <c r="AX54" s="35" t="str">
        <f aca="false">IF($B54="","",AO54+AS54/2)</f>
        <v/>
      </c>
      <c r="AY54" s="35" t="str">
        <f aca="false">IF($B54="","",AQ54)</f>
        <v/>
      </c>
      <c r="AZ54" s="35" t="str">
        <f aca="false">IF($B54="","",AP54+AT54/2)</f>
        <v/>
      </c>
      <c r="BA54" s="35" t="str">
        <f aca="false">IF($B54="","",AK54+AN54+AM54/2+AO54+AP54+AQ54+AR54+AS54+AT54+AU54+AV54+AW54)</f>
        <v/>
      </c>
      <c r="BB54" s="35" t="str">
        <f aca="false">IF($B54="","",MAX(0,AN54-Settings!$C$16)*Settings!$C$17)</f>
        <v/>
      </c>
      <c r="BC54" s="35" t="str">
        <f aca="false">IF($B54="","",BA54-BB54)</f>
        <v/>
      </c>
      <c r="BD54" s="35" t="str">
        <f aca="false">IF(OR($B54="",$A54=""),"",DAY(EOMONTH($A54,0))-COUNTA($F54:$AJ54))</f>
        <v/>
      </c>
    </row>
    <row r="55" customFormat="false" ht="15" hidden="false" customHeight="false" outlineLevel="0" collapsed="false">
      <c r="A55" s="32"/>
      <c r="B55" s="29"/>
      <c r="C55" s="10" t="str">
        <f aca="false">IF($B55="","",IFERROR(INDEX(M_name,MATCH($B55,M_emp,0)),"Code not found"))</f>
        <v/>
      </c>
      <c r="D55" s="10" t="str">
        <f aca="false">IF($B55="","",IFERROR(INDEX(M_dept,MATCH($B55,M_emp,0)),""))</f>
        <v/>
      </c>
      <c r="E55" s="10" t="str">
        <f aca="false">IF($B55="","",IFERROR(INDEX(M_loc,MATCH($B55,M_emp,0)),""))</f>
        <v/>
      </c>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4" t="str">
        <f aca="false">IF($B55="","",COUNTIF($F55:$AJ55,"P"))</f>
        <v/>
      </c>
      <c r="AL55" s="34" t="str">
        <f aca="false">IF($B55="","",COUNTIF($F55:$AJ55,"A"))</f>
        <v/>
      </c>
      <c r="AM55" s="34" t="str">
        <f aca="false">IF($B55="","",COUNTIF($F55:$AJ55,"HA"))</f>
        <v/>
      </c>
      <c r="AN55" s="34" t="str">
        <f aca="false">IF($B55="","",COUNTIF($F55:$AJ55,"L"))</f>
        <v/>
      </c>
      <c r="AO55" s="34" t="str">
        <f aca="false">IF($B55="","",COUNTIF($F55:$AJ55,"PL"))</f>
        <v/>
      </c>
      <c r="AP55" s="34" t="str">
        <f aca="false">IF($B55="","",COUNTIF($F55:$AJ55,"CL"))</f>
        <v/>
      </c>
      <c r="AQ55" s="34" t="str">
        <f aca="false">IF($B55="","",COUNTIF($F55:$AJ55,"SL"))</f>
        <v/>
      </c>
      <c r="AR55" s="34" t="str">
        <f aca="false">IF($B55="","",COUNTIF($F55:$AJ55,"CO"))</f>
        <v/>
      </c>
      <c r="AS55" s="34" t="str">
        <f aca="false">IF($B55="","",COUNTIF($F55:$AJ55,"HPL"))</f>
        <v/>
      </c>
      <c r="AT55" s="34" t="str">
        <f aca="false">IF($B55="","",COUNTIF($F55:$AJ55,"HCL"))</f>
        <v/>
      </c>
      <c r="AU55" s="34" t="str">
        <f aca="false">IF($B55="","",COUNTIF($F55:$AJ55,"WO"))</f>
        <v/>
      </c>
      <c r="AV55" s="34" t="str">
        <f aca="false">IF($B55="","",COUNTIF($F55:$AJ55,"PH"))</f>
        <v/>
      </c>
      <c r="AW55" s="34" t="str">
        <f aca="false">IF($B55="","",COUNTIF($F55:$AJ55,"TR"))</f>
        <v/>
      </c>
      <c r="AX55" s="35" t="str">
        <f aca="false">IF($B55="","",AO55+AS55/2)</f>
        <v/>
      </c>
      <c r="AY55" s="35" t="str">
        <f aca="false">IF($B55="","",AQ55)</f>
        <v/>
      </c>
      <c r="AZ55" s="35" t="str">
        <f aca="false">IF($B55="","",AP55+AT55/2)</f>
        <v/>
      </c>
      <c r="BA55" s="35" t="str">
        <f aca="false">IF($B55="","",AK55+AN55+AM55/2+AO55+AP55+AQ55+AR55+AS55+AT55+AU55+AV55+AW55)</f>
        <v/>
      </c>
      <c r="BB55" s="35" t="str">
        <f aca="false">IF($B55="","",MAX(0,AN55-Settings!$C$16)*Settings!$C$17)</f>
        <v/>
      </c>
      <c r="BC55" s="35" t="str">
        <f aca="false">IF($B55="","",BA55-BB55)</f>
        <v/>
      </c>
      <c r="BD55" s="35" t="str">
        <f aca="false">IF(OR($B55="",$A55=""),"",DAY(EOMONTH($A55,0))-COUNTA($F55:$AJ55))</f>
        <v/>
      </c>
    </row>
    <row r="56" customFormat="false" ht="15" hidden="false" customHeight="false" outlineLevel="0" collapsed="false">
      <c r="A56" s="32"/>
      <c r="B56" s="29"/>
      <c r="C56" s="10" t="str">
        <f aca="false">IF($B56="","",IFERROR(INDEX(M_name,MATCH($B56,M_emp,0)),"Code not found"))</f>
        <v/>
      </c>
      <c r="D56" s="10" t="str">
        <f aca="false">IF($B56="","",IFERROR(INDEX(M_dept,MATCH($B56,M_emp,0)),""))</f>
        <v/>
      </c>
      <c r="E56" s="10" t="str">
        <f aca="false">IF($B56="","",IFERROR(INDEX(M_loc,MATCH($B56,M_emp,0)),""))</f>
        <v/>
      </c>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4" t="str">
        <f aca="false">IF($B56="","",COUNTIF($F56:$AJ56,"P"))</f>
        <v/>
      </c>
      <c r="AL56" s="34" t="str">
        <f aca="false">IF($B56="","",COUNTIF($F56:$AJ56,"A"))</f>
        <v/>
      </c>
      <c r="AM56" s="34" t="str">
        <f aca="false">IF($B56="","",COUNTIF($F56:$AJ56,"HA"))</f>
        <v/>
      </c>
      <c r="AN56" s="34" t="str">
        <f aca="false">IF($B56="","",COUNTIF($F56:$AJ56,"L"))</f>
        <v/>
      </c>
      <c r="AO56" s="34" t="str">
        <f aca="false">IF($B56="","",COUNTIF($F56:$AJ56,"PL"))</f>
        <v/>
      </c>
      <c r="AP56" s="34" t="str">
        <f aca="false">IF($B56="","",COUNTIF($F56:$AJ56,"CL"))</f>
        <v/>
      </c>
      <c r="AQ56" s="34" t="str">
        <f aca="false">IF($B56="","",COUNTIF($F56:$AJ56,"SL"))</f>
        <v/>
      </c>
      <c r="AR56" s="34" t="str">
        <f aca="false">IF($B56="","",COUNTIF($F56:$AJ56,"CO"))</f>
        <v/>
      </c>
      <c r="AS56" s="34" t="str">
        <f aca="false">IF($B56="","",COUNTIF($F56:$AJ56,"HPL"))</f>
        <v/>
      </c>
      <c r="AT56" s="34" t="str">
        <f aca="false">IF($B56="","",COUNTIF($F56:$AJ56,"HCL"))</f>
        <v/>
      </c>
      <c r="AU56" s="34" t="str">
        <f aca="false">IF($B56="","",COUNTIF($F56:$AJ56,"WO"))</f>
        <v/>
      </c>
      <c r="AV56" s="34" t="str">
        <f aca="false">IF($B56="","",COUNTIF($F56:$AJ56,"PH"))</f>
        <v/>
      </c>
      <c r="AW56" s="34" t="str">
        <f aca="false">IF($B56="","",COUNTIF($F56:$AJ56,"TR"))</f>
        <v/>
      </c>
      <c r="AX56" s="35" t="str">
        <f aca="false">IF($B56="","",AO56+AS56/2)</f>
        <v/>
      </c>
      <c r="AY56" s="35" t="str">
        <f aca="false">IF($B56="","",AQ56)</f>
        <v/>
      </c>
      <c r="AZ56" s="35" t="str">
        <f aca="false">IF($B56="","",AP56+AT56/2)</f>
        <v/>
      </c>
      <c r="BA56" s="35" t="str">
        <f aca="false">IF($B56="","",AK56+AN56+AM56/2+AO56+AP56+AQ56+AR56+AS56+AT56+AU56+AV56+AW56)</f>
        <v/>
      </c>
      <c r="BB56" s="35" t="str">
        <f aca="false">IF($B56="","",MAX(0,AN56-Settings!$C$16)*Settings!$C$17)</f>
        <v/>
      </c>
      <c r="BC56" s="35" t="str">
        <f aca="false">IF($B56="","",BA56-BB56)</f>
        <v/>
      </c>
      <c r="BD56" s="35" t="str">
        <f aca="false">IF(OR($B56="",$A56=""),"",DAY(EOMONTH($A56,0))-COUNTA($F56:$AJ56))</f>
        <v/>
      </c>
    </row>
    <row r="57" customFormat="false" ht="15" hidden="false" customHeight="false" outlineLevel="0" collapsed="false">
      <c r="A57" s="32"/>
      <c r="B57" s="29"/>
      <c r="C57" s="10" t="str">
        <f aca="false">IF($B57="","",IFERROR(INDEX(M_name,MATCH($B57,M_emp,0)),"Code not found"))</f>
        <v/>
      </c>
      <c r="D57" s="10" t="str">
        <f aca="false">IF($B57="","",IFERROR(INDEX(M_dept,MATCH($B57,M_emp,0)),""))</f>
        <v/>
      </c>
      <c r="E57" s="10" t="str">
        <f aca="false">IF($B57="","",IFERROR(INDEX(M_loc,MATCH($B57,M_emp,0)),""))</f>
        <v/>
      </c>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4" t="str">
        <f aca="false">IF($B57="","",COUNTIF($F57:$AJ57,"P"))</f>
        <v/>
      </c>
      <c r="AL57" s="34" t="str">
        <f aca="false">IF($B57="","",COUNTIF($F57:$AJ57,"A"))</f>
        <v/>
      </c>
      <c r="AM57" s="34" t="str">
        <f aca="false">IF($B57="","",COUNTIF($F57:$AJ57,"HA"))</f>
        <v/>
      </c>
      <c r="AN57" s="34" t="str">
        <f aca="false">IF($B57="","",COUNTIF($F57:$AJ57,"L"))</f>
        <v/>
      </c>
      <c r="AO57" s="34" t="str">
        <f aca="false">IF($B57="","",COUNTIF($F57:$AJ57,"PL"))</f>
        <v/>
      </c>
      <c r="AP57" s="34" t="str">
        <f aca="false">IF($B57="","",COUNTIF($F57:$AJ57,"CL"))</f>
        <v/>
      </c>
      <c r="AQ57" s="34" t="str">
        <f aca="false">IF($B57="","",COUNTIF($F57:$AJ57,"SL"))</f>
        <v/>
      </c>
      <c r="AR57" s="34" t="str">
        <f aca="false">IF($B57="","",COUNTIF($F57:$AJ57,"CO"))</f>
        <v/>
      </c>
      <c r="AS57" s="34" t="str">
        <f aca="false">IF($B57="","",COUNTIF($F57:$AJ57,"HPL"))</f>
        <v/>
      </c>
      <c r="AT57" s="34" t="str">
        <f aca="false">IF($B57="","",COUNTIF($F57:$AJ57,"HCL"))</f>
        <v/>
      </c>
      <c r="AU57" s="34" t="str">
        <f aca="false">IF($B57="","",COUNTIF($F57:$AJ57,"WO"))</f>
        <v/>
      </c>
      <c r="AV57" s="34" t="str">
        <f aca="false">IF($B57="","",COUNTIF($F57:$AJ57,"PH"))</f>
        <v/>
      </c>
      <c r="AW57" s="34" t="str">
        <f aca="false">IF($B57="","",COUNTIF($F57:$AJ57,"TR"))</f>
        <v/>
      </c>
      <c r="AX57" s="35" t="str">
        <f aca="false">IF($B57="","",AO57+AS57/2)</f>
        <v/>
      </c>
      <c r="AY57" s="35" t="str">
        <f aca="false">IF($B57="","",AQ57)</f>
        <v/>
      </c>
      <c r="AZ57" s="35" t="str">
        <f aca="false">IF($B57="","",AP57+AT57/2)</f>
        <v/>
      </c>
      <c r="BA57" s="35" t="str">
        <f aca="false">IF($B57="","",AK57+AN57+AM57/2+AO57+AP57+AQ57+AR57+AS57+AT57+AU57+AV57+AW57)</f>
        <v/>
      </c>
      <c r="BB57" s="35" t="str">
        <f aca="false">IF($B57="","",MAX(0,AN57-Settings!$C$16)*Settings!$C$17)</f>
        <v/>
      </c>
      <c r="BC57" s="35" t="str">
        <f aca="false">IF($B57="","",BA57-BB57)</f>
        <v/>
      </c>
      <c r="BD57" s="35" t="str">
        <f aca="false">IF(OR($B57="",$A57=""),"",DAY(EOMONTH($A57,0))-COUNTA($F57:$AJ57))</f>
        <v/>
      </c>
    </row>
    <row r="58" customFormat="false" ht="15" hidden="false" customHeight="false" outlineLevel="0" collapsed="false">
      <c r="A58" s="32"/>
      <c r="B58" s="29"/>
      <c r="C58" s="10" t="str">
        <f aca="false">IF($B58="","",IFERROR(INDEX(M_name,MATCH($B58,M_emp,0)),"Code not found"))</f>
        <v/>
      </c>
      <c r="D58" s="10" t="str">
        <f aca="false">IF($B58="","",IFERROR(INDEX(M_dept,MATCH($B58,M_emp,0)),""))</f>
        <v/>
      </c>
      <c r="E58" s="10" t="str">
        <f aca="false">IF($B58="","",IFERROR(INDEX(M_loc,MATCH($B58,M_emp,0)),""))</f>
        <v/>
      </c>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4" t="str">
        <f aca="false">IF($B58="","",COUNTIF($F58:$AJ58,"P"))</f>
        <v/>
      </c>
      <c r="AL58" s="34" t="str">
        <f aca="false">IF($B58="","",COUNTIF($F58:$AJ58,"A"))</f>
        <v/>
      </c>
      <c r="AM58" s="34" t="str">
        <f aca="false">IF($B58="","",COUNTIF($F58:$AJ58,"HA"))</f>
        <v/>
      </c>
      <c r="AN58" s="34" t="str">
        <f aca="false">IF($B58="","",COUNTIF($F58:$AJ58,"L"))</f>
        <v/>
      </c>
      <c r="AO58" s="34" t="str">
        <f aca="false">IF($B58="","",COUNTIF($F58:$AJ58,"PL"))</f>
        <v/>
      </c>
      <c r="AP58" s="34" t="str">
        <f aca="false">IF($B58="","",COUNTIF($F58:$AJ58,"CL"))</f>
        <v/>
      </c>
      <c r="AQ58" s="34" t="str">
        <f aca="false">IF($B58="","",COUNTIF($F58:$AJ58,"SL"))</f>
        <v/>
      </c>
      <c r="AR58" s="34" t="str">
        <f aca="false">IF($B58="","",COUNTIF($F58:$AJ58,"CO"))</f>
        <v/>
      </c>
      <c r="AS58" s="34" t="str">
        <f aca="false">IF($B58="","",COUNTIF($F58:$AJ58,"HPL"))</f>
        <v/>
      </c>
      <c r="AT58" s="34" t="str">
        <f aca="false">IF($B58="","",COUNTIF($F58:$AJ58,"HCL"))</f>
        <v/>
      </c>
      <c r="AU58" s="34" t="str">
        <f aca="false">IF($B58="","",COUNTIF($F58:$AJ58,"WO"))</f>
        <v/>
      </c>
      <c r="AV58" s="34" t="str">
        <f aca="false">IF($B58="","",COUNTIF($F58:$AJ58,"PH"))</f>
        <v/>
      </c>
      <c r="AW58" s="34" t="str">
        <f aca="false">IF($B58="","",COUNTIF($F58:$AJ58,"TR"))</f>
        <v/>
      </c>
      <c r="AX58" s="35" t="str">
        <f aca="false">IF($B58="","",AO58+AS58/2)</f>
        <v/>
      </c>
      <c r="AY58" s="35" t="str">
        <f aca="false">IF($B58="","",AQ58)</f>
        <v/>
      </c>
      <c r="AZ58" s="35" t="str">
        <f aca="false">IF($B58="","",AP58+AT58/2)</f>
        <v/>
      </c>
      <c r="BA58" s="35" t="str">
        <f aca="false">IF($B58="","",AK58+AN58+AM58/2+AO58+AP58+AQ58+AR58+AS58+AT58+AU58+AV58+AW58)</f>
        <v/>
      </c>
      <c r="BB58" s="35" t="str">
        <f aca="false">IF($B58="","",MAX(0,AN58-Settings!$C$16)*Settings!$C$17)</f>
        <v/>
      </c>
      <c r="BC58" s="35" t="str">
        <f aca="false">IF($B58="","",BA58-BB58)</f>
        <v/>
      </c>
      <c r="BD58" s="35" t="str">
        <f aca="false">IF(OR($B58="",$A58=""),"",DAY(EOMONTH($A58,0))-COUNTA($F58:$AJ58))</f>
        <v/>
      </c>
    </row>
    <row r="59" customFormat="false" ht="15" hidden="false" customHeight="false" outlineLevel="0" collapsed="false">
      <c r="A59" s="32"/>
      <c r="B59" s="29"/>
      <c r="C59" s="10" t="str">
        <f aca="false">IF($B59="","",IFERROR(INDEX(M_name,MATCH($B59,M_emp,0)),"Code not found"))</f>
        <v/>
      </c>
      <c r="D59" s="10" t="str">
        <f aca="false">IF($B59="","",IFERROR(INDEX(M_dept,MATCH($B59,M_emp,0)),""))</f>
        <v/>
      </c>
      <c r="E59" s="10" t="str">
        <f aca="false">IF($B59="","",IFERROR(INDEX(M_loc,MATCH($B59,M_emp,0)),""))</f>
        <v/>
      </c>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4" t="str">
        <f aca="false">IF($B59="","",COUNTIF($F59:$AJ59,"P"))</f>
        <v/>
      </c>
      <c r="AL59" s="34" t="str">
        <f aca="false">IF($B59="","",COUNTIF($F59:$AJ59,"A"))</f>
        <v/>
      </c>
      <c r="AM59" s="34" t="str">
        <f aca="false">IF($B59="","",COUNTIF($F59:$AJ59,"HA"))</f>
        <v/>
      </c>
      <c r="AN59" s="34" t="str">
        <f aca="false">IF($B59="","",COUNTIF($F59:$AJ59,"L"))</f>
        <v/>
      </c>
      <c r="AO59" s="34" t="str">
        <f aca="false">IF($B59="","",COUNTIF($F59:$AJ59,"PL"))</f>
        <v/>
      </c>
      <c r="AP59" s="34" t="str">
        <f aca="false">IF($B59="","",COUNTIF($F59:$AJ59,"CL"))</f>
        <v/>
      </c>
      <c r="AQ59" s="34" t="str">
        <f aca="false">IF($B59="","",COUNTIF($F59:$AJ59,"SL"))</f>
        <v/>
      </c>
      <c r="AR59" s="34" t="str">
        <f aca="false">IF($B59="","",COUNTIF($F59:$AJ59,"CO"))</f>
        <v/>
      </c>
      <c r="AS59" s="34" t="str">
        <f aca="false">IF($B59="","",COUNTIF($F59:$AJ59,"HPL"))</f>
        <v/>
      </c>
      <c r="AT59" s="34" t="str">
        <f aca="false">IF($B59="","",COUNTIF($F59:$AJ59,"HCL"))</f>
        <v/>
      </c>
      <c r="AU59" s="34" t="str">
        <f aca="false">IF($B59="","",COUNTIF($F59:$AJ59,"WO"))</f>
        <v/>
      </c>
      <c r="AV59" s="34" t="str">
        <f aca="false">IF($B59="","",COUNTIF($F59:$AJ59,"PH"))</f>
        <v/>
      </c>
      <c r="AW59" s="34" t="str">
        <f aca="false">IF($B59="","",COUNTIF($F59:$AJ59,"TR"))</f>
        <v/>
      </c>
      <c r="AX59" s="35" t="str">
        <f aca="false">IF($B59="","",AO59+AS59/2)</f>
        <v/>
      </c>
      <c r="AY59" s="35" t="str">
        <f aca="false">IF($B59="","",AQ59)</f>
        <v/>
      </c>
      <c r="AZ59" s="35" t="str">
        <f aca="false">IF($B59="","",AP59+AT59/2)</f>
        <v/>
      </c>
      <c r="BA59" s="35" t="str">
        <f aca="false">IF($B59="","",AK59+AN59+AM59/2+AO59+AP59+AQ59+AR59+AS59+AT59+AU59+AV59+AW59)</f>
        <v/>
      </c>
      <c r="BB59" s="35" t="str">
        <f aca="false">IF($B59="","",MAX(0,AN59-Settings!$C$16)*Settings!$C$17)</f>
        <v/>
      </c>
      <c r="BC59" s="35" t="str">
        <f aca="false">IF($B59="","",BA59-BB59)</f>
        <v/>
      </c>
      <c r="BD59" s="35" t="str">
        <f aca="false">IF(OR($B59="",$A59=""),"",DAY(EOMONTH($A59,0))-COUNTA($F59:$AJ59))</f>
        <v/>
      </c>
    </row>
    <row r="60" customFormat="false" ht="15" hidden="false" customHeight="false" outlineLevel="0" collapsed="false">
      <c r="A60" s="32"/>
      <c r="B60" s="29"/>
      <c r="C60" s="10" t="str">
        <f aca="false">IF($B60="","",IFERROR(INDEX(M_name,MATCH($B60,M_emp,0)),"Code not found"))</f>
        <v/>
      </c>
      <c r="D60" s="10" t="str">
        <f aca="false">IF($B60="","",IFERROR(INDEX(M_dept,MATCH($B60,M_emp,0)),""))</f>
        <v/>
      </c>
      <c r="E60" s="10" t="str">
        <f aca="false">IF($B60="","",IFERROR(INDEX(M_loc,MATCH($B60,M_emp,0)),""))</f>
        <v/>
      </c>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4" t="str">
        <f aca="false">IF($B60="","",COUNTIF($F60:$AJ60,"P"))</f>
        <v/>
      </c>
      <c r="AL60" s="34" t="str">
        <f aca="false">IF($B60="","",COUNTIF($F60:$AJ60,"A"))</f>
        <v/>
      </c>
      <c r="AM60" s="34" t="str">
        <f aca="false">IF($B60="","",COUNTIF($F60:$AJ60,"HA"))</f>
        <v/>
      </c>
      <c r="AN60" s="34" t="str">
        <f aca="false">IF($B60="","",COUNTIF($F60:$AJ60,"L"))</f>
        <v/>
      </c>
      <c r="AO60" s="34" t="str">
        <f aca="false">IF($B60="","",COUNTIF($F60:$AJ60,"PL"))</f>
        <v/>
      </c>
      <c r="AP60" s="34" t="str">
        <f aca="false">IF($B60="","",COUNTIF($F60:$AJ60,"CL"))</f>
        <v/>
      </c>
      <c r="AQ60" s="34" t="str">
        <f aca="false">IF($B60="","",COUNTIF($F60:$AJ60,"SL"))</f>
        <v/>
      </c>
      <c r="AR60" s="34" t="str">
        <f aca="false">IF($B60="","",COUNTIF($F60:$AJ60,"CO"))</f>
        <v/>
      </c>
      <c r="AS60" s="34" t="str">
        <f aca="false">IF($B60="","",COUNTIF($F60:$AJ60,"HPL"))</f>
        <v/>
      </c>
      <c r="AT60" s="34" t="str">
        <f aca="false">IF($B60="","",COUNTIF($F60:$AJ60,"HCL"))</f>
        <v/>
      </c>
      <c r="AU60" s="34" t="str">
        <f aca="false">IF($B60="","",COUNTIF($F60:$AJ60,"WO"))</f>
        <v/>
      </c>
      <c r="AV60" s="34" t="str">
        <f aca="false">IF($B60="","",COUNTIF($F60:$AJ60,"PH"))</f>
        <v/>
      </c>
      <c r="AW60" s="34" t="str">
        <f aca="false">IF($B60="","",COUNTIF($F60:$AJ60,"TR"))</f>
        <v/>
      </c>
      <c r="AX60" s="35" t="str">
        <f aca="false">IF($B60="","",AO60+AS60/2)</f>
        <v/>
      </c>
      <c r="AY60" s="35" t="str">
        <f aca="false">IF($B60="","",AQ60)</f>
        <v/>
      </c>
      <c r="AZ60" s="35" t="str">
        <f aca="false">IF($B60="","",AP60+AT60/2)</f>
        <v/>
      </c>
      <c r="BA60" s="35" t="str">
        <f aca="false">IF($B60="","",AK60+AN60+AM60/2+AO60+AP60+AQ60+AR60+AS60+AT60+AU60+AV60+AW60)</f>
        <v/>
      </c>
      <c r="BB60" s="35" t="str">
        <f aca="false">IF($B60="","",MAX(0,AN60-Settings!$C$16)*Settings!$C$17)</f>
        <v/>
      </c>
      <c r="BC60" s="35" t="str">
        <f aca="false">IF($B60="","",BA60-BB60)</f>
        <v/>
      </c>
      <c r="BD60" s="35" t="str">
        <f aca="false">IF(OR($B60="",$A60=""),"",DAY(EOMONTH($A60,0))-COUNTA($F60:$AJ60))</f>
        <v/>
      </c>
    </row>
    <row r="61" customFormat="false" ht="15" hidden="false" customHeight="false" outlineLevel="0" collapsed="false">
      <c r="A61" s="32"/>
      <c r="B61" s="29"/>
      <c r="C61" s="10" t="str">
        <f aca="false">IF($B61="","",IFERROR(INDEX(M_name,MATCH($B61,M_emp,0)),"Code not found"))</f>
        <v/>
      </c>
      <c r="D61" s="10" t="str">
        <f aca="false">IF($B61="","",IFERROR(INDEX(M_dept,MATCH($B61,M_emp,0)),""))</f>
        <v/>
      </c>
      <c r="E61" s="10" t="str">
        <f aca="false">IF($B61="","",IFERROR(INDEX(M_loc,MATCH($B61,M_emp,0)),""))</f>
        <v/>
      </c>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4" t="str">
        <f aca="false">IF($B61="","",COUNTIF($F61:$AJ61,"P"))</f>
        <v/>
      </c>
      <c r="AL61" s="34" t="str">
        <f aca="false">IF($B61="","",COUNTIF($F61:$AJ61,"A"))</f>
        <v/>
      </c>
      <c r="AM61" s="34" t="str">
        <f aca="false">IF($B61="","",COUNTIF($F61:$AJ61,"HA"))</f>
        <v/>
      </c>
      <c r="AN61" s="34" t="str">
        <f aca="false">IF($B61="","",COUNTIF($F61:$AJ61,"L"))</f>
        <v/>
      </c>
      <c r="AO61" s="34" t="str">
        <f aca="false">IF($B61="","",COUNTIF($F61:$AJ61,"PL"))</f>
        <v/>
      </c>
      <c r="AP61" s="34" t="str">
        <f aca="false">IF($B61="","",COUNTIF($F61:$AJ61,"CL"))</f>
        <v/>
      </c>
      <c r="AQ61" s="34" t="str">
        <f aca="false">IF($B61="","",COUNTIF($F61:$AJ61,"SL"))</f>
        <v/>
      </c>
      <c r="AR61" s="34" t="str">
        <f aca="false">IF($B61="","",COUNTIF($F61:$AJ61,"CO"))</f>
        <v/>
      </c>
      <c r="AS61" s="34" t="str">
        <f aca="false">IF($B61="","",COUNTIF($F61:$AJ61,"HPL"))</f>
        <v/>
      </c>
      <c r="AT61" s="34" t="str">
        <f aca="false">IF($B61="","",COUNTIF($F61:$AJ61,"HCL"))</f>
        <v/>
      </c>
      <c r="AU61" s="34" t="str">
        <f aca="false">IF($B61="","",COUNTIF($F61:$AJ61,"WO"))</f>
        <v/>
      </c>
      <c r="AV61" s="34" t="str">
        <f aca="false">IF($B61="","",COUNTIF($F61:$AJ61,"PH"))</f>
        <v/>
      </c>
      <c r="AW61" s="34" t="str">
        <f aca="false">IF($B61="","",COUNTIF($F61:$AJ61,"TR"))</f>
        <v/>
      </c>
      <c r="AX61" s="35" t="str">
        <f aca="false">IF($B61="","",AO61+AS61/2)</f>
        <v/>
      </c>
      <c r="AY61" s="35" t="str">
        <f aca="false">IF($B61="","",AQ61)</f>
        <v/>
      </c>
      <c r="AZ61" s="35" t="str">
        <f aca="false">IF($B61="","",AP61+AT61/2)</f>
        <v/>
      </c>
      <c r="BA61" s="35" t="str">
        <f aca="false">IF($B61="","",AK61+AN61+AM61/2+AO61+AP61+AQ61+AR61+AS61+AT61+AU61+AV61+AW61)</f>
        <v/>
      </c>
      <c r="BB61" s="35" t="str">
        <f aca="false">IF($B61="","",MAX(0,AN61-Settings!$C$16)*Settings!$C$17)</f>
        <v/>
      </c>
      <c r="BC61" s="35" t="str">
        <f aca="false">IF($B61="","",BA61-BB61)</f>
        <v/>
      </c>
      <c r="BD61" s="35" t="str">
        <f aca="false">IF(OR($B61="",$A61=""),"",DAY(EOMONTH($A61,0))-COUNTA($F61:$AJ61))</f>
        <v/>
      </c>
    </row>
    <row r="62" customFormat="false" ht="15" hidden="false" customHeight="false" outlineLevel="0" collapsed="false">
      <c r="A62" s="32"/>
      <c r="B62" s="29"/>
      <c r="C62" s="10" t="str">
        <f aca="false">IF($B62="","",IFERROR(INDEX(M_name,MATCH($B62,M_emp,0)),"Code not found"))</f>
        <v/>
      </c>
      <c r="D62" s="10" t="str">
        <f aca="false">IF($B62="","",IFERROR(INDEX(M_dept,MATCH($B62,M_emp,0)),""))</f>
        <v/>
      </c>
      <c r="E62" s="10" t="str">
        <f aca="false">IF($B62="","",IFERROR(INDEX(M_loc,MATCH($B62,M_emp,0)),""))</f>
        <v/>
      </c>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4" t="str">
        <f aca="false">IF($B62="","",COUNTIF($F62:$AJ62,"P"))</f>
        <v/>
      </c>
      <c r="AL62" s="34" t="str">
        <f aca="false">IF($B62="","",COUNTIF($F62:$AJ62,"A"))</f>
        <v/>
      </c>
      <c r="AM62" s="34" t="str">
        <f aca="false">IF($B62="","",COUNTIF($F62:$AJ62,"HA"))</f>
        <v/>
      </c>
      <c r="AN62" s="34" t="str">
        <f aca="false">IF($B62="","",COUNTIF($F62:$AJ62,"L"))</f>
        <v/>
      </c>
      <c r="AO62" s="34" t="str">
        <f aca="false">IF($B62="","",COUNTIF($F62:$AJ62,"PL"))</f>
        <v/>
      </c>
      <c r="AP62" s="34" t="str">
        <f aca="false">IF($B62="","",COUNTIF($F62:$AJ62,"CL"))</f>
        <v/>
      </c>
      <c r="AQ62" s="34" t="str">
        <f aca="false">IF($B62="","",COUNTIF($F62:$AJ62,"SL"))</f>
        <v/>
      </c>
      <c r="AR62" s="34" t="str">
        <f aca="false">IF($B62="","",COUNTIF($F62:$AJ62,"CO"))</f>
        <v/>
      </c>
      <c r="AS62" s="34" t="str">
        <f aca="false">IF($B62="","",COUNTIF($F62:$AJ62,"HPL"))</f>
        <v/>
      </c>
      <c r="AT62" s="34" t="str">
        <f aca="false">IF($B62="","",COUNTIF($F62:$AJ62,"HCL"))</f>
        <v/>
      </c>
      <c r="AU62" s="34" t="str">
        <f aca="false">IF($B62="","",COUNTIF($F62:$AJ62,"WO"))</f>
        <v/>
      </c>
      <c r="AV62" s="34" t="str">
        <f aca="false">IF($B62="","",COUNTIF($F62:$AJ62,"PH"))</f>
        <v/>
      </c>
      <c r="AW62" s="34" t="str">
        <f aca="false">IF($B62="","",COUNTIF($F62:$AJ62,"TR"))</f>
        <v/>
      </c>
      <c r="AX62" s="35" t="str">
        <f aca="false">IF($B62="","",AO62+AS62/2)</f>
        <v/>
      </c>
      <c r="AY62" s="35" t="str">
        <f aca="false">IF($B62="","",AQ62)</f>
        <v/>
      </c>
      <c r="AZ62" s="35" t="str">
        <f aca="false">IF($B62="","",AP62+AT62/2)</f>
        <v/>
      </c>
      <c r="BA62" s="35" t="str">
        <f aca="false">IF($B62="","",AK62+AN62+AM62/2+AO62+AP62+AQ62+AR62+AS62+AT62+AU62+AV62+AW62)</f>
        <v/>
      </c>
      <c r="BB62" s="35" t="str">
        <f aca="false">IF($B62="","",MAX(0,AN62-Settings!$C$16)*Settings!$C$17)</f>
        <v/>
      </c>
      <c r="BC62" s="35" t="str">
        <f aca="false">IF($B62="","",BA62-BB62)</f>
        <v/>
      </c>
      <c r="BD62" s="35" t="str">
        <f aca="false">IF(OR($B62="",$A62=""),"",DAY(EOMONTH($A62,0))-COUNTA($F62:$AJ62))</f>
        <v/>
      </c>
    </row>
    <row r="63" customFormat="false" ht="15" hidden="false" customHeight="false" outlineLevel="0" collapsed="false">
      <c r="A63" s="32"/>
      <c r="B63" s="29"/>
      <c r="C63" s="10" t="str">
        <f aca="false">IF($B63="","",IFERROR(INDEX(M_name,MATCH($B63,M_emp,0)),"Code not found"))</f>
        <v/>
      </c>
      <c r="D63" s="10" t="str">
        <f aca="false">IF($B63="","",IFERROR(INDEX(M_dept,MATCH($B63,M_emp,0)),""))</f>
        <v/>
      </c>
      <c r="E63" s="10" t="str">
        <f aca="false">IF($B63="","",IFERROR(INDEX(M_loc,MATCH($B63,M_emp,0)),""))</f>
        <v/>
      </c>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4" t="str">
        <f aca="false">IF($B63="","",COUNTIF($F63:$AJ63,"P"))</f>
        <v/>
      </c>
      <c r="AL63" s="34" t="str">
        <f aca="false">IF($B63="","",COUNTIF($F63:$AJ63,"A"))</f>
        <v/>
      </c>
      <c r="AM63" s="34" t="str">
        <f aca="false">IF($B63="","",COUNTIF($F63:$AJ63,"HA"))</f>
        <v/>
      </c>
      <c r="AN63" s="34" t="str">
        <f aca="false">IF($B63="","",COUNTIF($F63:$AJ63,"L"))</f>
        <v/>
      </c>
      <c r="AO63" s="34" t="str">
        <f aca="false">IF($B63="","",COUNTIF($F63:$AJ63,"PL"))</f>
        <v/>
      </c>
      <c r="AP63" s="34" t="str">
        <f aca="false">IF($B63="","",COUNTIF($F63:$AJ63,"CL"))</f>
        <v/>
      </c>
      <c r="AQ63" s="34" t="str">
        <f aca="false">IF($B63="","",COUNTIF($F63:$AJ63,"SL"))</f>
        <v/>
      </c>
      <c r="AR63" s="34" t="str">
        <f aca="false">IF($B63="","",COUNTIF($F63:$AJ63,"CO"))</f>
        <v/>
      </c>
      <c r="AS63" s="34" t="str">
        <f aca="false">IF($B63="","",COUNTIF($F63:$AJ63,"HPL"))</f>
        <v/>
      </c>
      <c r="AT63" s="34" t="str">
        <f aca="false">IF($B63="","",COUNTIF($F63:$AJ63,"HCL"))</f>
        <v/>
      </c>
      <c r="AU63" s="34" t="str">
        <f aca="false">IF($B63="","",COUNTIF($F63:$AJ63,"WO"))</f>
        <v/>
      </c>
      <c r="AV63" s="34" t="str">
        <f aca="false">IF($B63="","",COUNTIF($F63:$AJ63,"PH"))</f>
        <v/>
      </c>
      <c r="AW63" s="34" t="str">
        <f aca="false">IF($B63="","",COUNTIF($F63:$AJ63,"TR"))</f>
        <v/>
      </c>
      <c r="AX63" s="35" t="str">
        <f aca="false">IF($B63="","",AO63+AS63/2)</f>
        <v/>
      </c>
      <c r="AY63" s="35" t="str">
        <f aca="false">IF($B63="","",AQ63)</f>
        <v/>
      </c>
      <c r="AZ63" s="35" t="str">
        <f aca="false">IF($B63="","",AP63+AT63/2)</f>
        <v/>
      </c>
      <c r="BA63" s="35" t="str">
        <f aca="false">IF($B63="","",AK63+AN63+AM63/2+AO63+AP63+AQ63+AR63+AS63+AT63+AU63+AV63+AW63)</f>
        <v/>
      </c>
      <c r="BB63" s="35" t="str">
        <f aca="false">IF($B63="","",MAX(0,AN63-Settings!$C$16)*Settings!$C$17)</f>
        <v/>
      </c>
      <c r="BC63" s="35" t="str">
        <f aca="false">IF($B63="","",BA63-BB63)</f>
        <v/>
      </c>
      <c r="BD63" s="35" t="str">
        <f aca="false">IF(OR($B63="",$A63=""),"",DAY(EOMONTH($A63,0))-COUNTA($F63:$AJ63))</f>
        <v/>
      </c>
    </row>
    <row r="64" customFormat="false" ht="15" hidden="false" customHeight="false" outlineLevel="0" collapsed="false">
      <c r="A64" s="32"/>
      <c r="B64" s="29"/>
      <c r="C64" s="10" t="str">
        <f aca="false">IF($B64="","",IFERROR(INDEX(M_name,MATCH($B64,M_emp,0)),"Code not found"))</f>
        <v/>
      </c>
      <c r="D64" s="10" t="str">
        <f aca="false">IF($B64="","",IFERROR(INDEX(M_dept,MATCH($B64,M_emp,0)),""))</f>
        <v/>
      </c>
      <c r="E64" s="10" t="str">
        <f aca="false">IF($B64="","",IFERROR(INDEX(M_loc,MATCH($B64,M_emp,0)),""))</f>
        <v/>
      </c>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4" t="str">
        <f aca="false">IF($B64="","",COUNTIF($F64:$AJ64,"P"))</f>
        <v/>
      </c>
      <c r="AL64" s="34" t="str">
        <f aca="false">IF($B64="","",COUNTIF($F64:$AJ64,"A"))</f>
        <v/>
      </c>
      <c r="AM64" s="34" t="str">
        <f aca="false">IF($B64="","",COUNTIF($F64:$AJ64,"HA"))</f>
        <v/>
      </c>
      <c r="AN64" s="34" t="str">
        <f aca="false">IF($B64="","",COUNTIF($F64:$AJ64,"L"))</f>
        <v/>
      </c>
      <c r="AO64" s="34" t="str">
        <f aca="false">IF($B64="","",COUNTIF($F64:$AJ64,"PL"))</f>
        <v/>
      </c>
      <c r="AP64" s="34" t="str">
        <f aca="false">IF($B64="","",COUNTIF($F64:$AJ64,"CL"))</f>
        <v/>
      </c>
      <c r="AQ64" s="34" t="str">
        <f aca="false">IF($B64="","",COUNTIF($F64:$AJ64,"SL"))</f>
        <v/>
      </c>
      <c r="AR64" s="34" t="str">
        <f aca="false">IF($B64="","",COUNTIF($F64:$AJ64,"CO"))</f>
        <v/>
      </c>
      <c r="AS64" s="34" t="str">
        <f aca="false">IF($B64="","",COUNTIF($F64:$AJ64,"HPL"))</f>
        <v/>
      </c>
      <c r="AT64" s="34" t="str">
        <f aca="false">IF($B64="","",COUNTIF($F64:$AJ64,"HCL"))</f>
        <v/>
      </c>
      <c r="AU64" s="34" t="str">
        <f aca="false">IF($B64="","",COUNTIF($F64:$AJ64,"WO"))</f>
        <v/>
      </c>
      <c r="AV64" s="34" t="str">
        <f aca="false">IF($B64="","",COUNTIF($F64:$AJ64,"PH"))</f>
        <v/>
      </c>
      <c r="AW64" s="34" t="str">
        <f aca="false">IF($B64="","",COUNTIF($F64:$AJ64,"TR"))</f>
        <v/>
      </c>
      <c r="AX64" s="35" t="str">
        <f aca="false">IF($B64="","",AO64+AS64/2)</f>
        <v/>
      </c>
      <c r="AY64" s="35" t="str">
        <f aca="false">IF($B64="","",AQ64)</f>
        <v/>
      </c>
      <c r="AZ64" s="35" t="str">
        <f aca="false">IF($B64="","",AP64+AT64/2)</f>
        <v/>
      </c>
      <c r="BA64" s="35" t="str">
        <f aca="false">IF($B64="","",AK64+AN64+AM64/2+AO64+AP64+AQ64+AR64+AS64+AT64+AU64+AV64+AW64)</f>
        <v/>
      </c>
      <c r="BB64" s="35" t="str">
        <f aca="false">IF($B64="","",MAX(0,AN64-Settings!$C$16)*Settings!$C$17)</f>
        <v/>
      </c>
      <c r="BC64" s="35" t="str">
        <f aca="false">IF($B64="","",BA64-BB64)</f>
        <v/>
      </c>
      <c r="BD64" s="35" t="str">
        <f aca="false">IF(OR($B64="",$A64=""),"",DAY(EOMONTH($A64,0))-COUNTA($F64:$AJ64))</f>
        <v/>
      </c>
    </row>
    <row r="65" customFormat="false" ht="15" hidden="false" customHeight="false" outlineLevel="0" collapsed="false">
      <c r="A65" s="32"/>
      <c r="B65" s="29"/>
      <c r="C65" s="10" t="str">
        <f aca="false">IF($B65="","",IFERROR(INDEX(M_name,MATCH($B65,M_emp,0)),"Code not found"))</f>
        <v/>
      </c>
      <c r="D65" s="10" t="str">
        <f aca="false">IF($B65="","",IFERROR(INDEX(M_dept,MATCH($B65,M_emp,0)),""))</f>
        <v/>
      </c>
      <c r="E65" s="10" t="str">
        <f aca="false">IF($B65="","",IFERROR(INDEX(M_loc,MATCH($B65,M_emp,0)),""))</f>
        <v/>
      </c>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4" t="str">
        <f aca="false">IF($B65="","",COUNTIF($F65:$AJ65,"P"))</f>
        <v/>
      </c>
      <c r="AL65" s="34" t="str">
        <f aca="false">IF($B65="","",COUNTIF($F65:$AJ65,"A"))</f>
        <v/>
      </c>
      <c r="AM65" s="34" t="str">
        <f aca="false">IF($B65="","",COUNTIF($F65:$AJ65,"HA"))</f>
        <v/>
      </c>
      <c r="AN65" s="34" t="str">
        <f aca="false">IF($B65="","",COUNTIF($F65:$AJ65,"L"))</f>
        <v/>
      </c>
      <c r="AO65" s="34" t="str">
        <f aca="false">IF($B65="","",COUNTIF($F65:$AJ65,"PL"))</f>
        <v/>
      </c>
      <c r="AP65" s="34" t="str">
        <f aca="false">IF($B65="","",COUNTIF($F65:$AJ65,"CL"))</f>
        <v/>
      </c>
      <c r="AQ65" s="34" t="str">
        <f aca="false">IF($B65="","",COUNTIF($F65:$AJ65,"SL"))</f>
        <v/>
      </c>
      <c r="AR65" s="34" t="str">
        <f aca="false">IF($B65="","",COUNTIF($F65:$AJ65,"CO"))</f>
        <v/>
      </c>
      <c r="AS65" s="34" t="str">
        <f aca="false">IF($B65="","",COUNTIF($F65:$AJ65,"HPL"))</f>
        <v/>
      </c>
      <c r="AT65" s="34" t="str">
        <f aca="false">IF($B65="","",COUNTIF($F65:$AJ65,"HCL"))</f>
        <v/>
      </c>
      <c r="AU65" s="34" t="str">
        <f aca="false">IF($B65="","",COUNTIF($F65:$AJ65,"WO"))</f>
        <v/>
      </c>
      <c r="AV65" s="34" t="str">
        <f aca="false">IF($B65="","",COUNTIF($F65:$AJ65,"PH"))</f>
        <v/>
      </c>
      <c r="AW65" s="34" t="str">
        <f aca="false">IF($B65="","",COUNTIF($F65:$AJ65,"TR"))</f>
        <v/>
      </c>
      <c r="AX65" s="35" t="str">
        <f aca="false">IF($B65="","",AO65+AS65/2)</f>
        <v/>
      </c>
      <c r="AY65" s="35" t="str">
        <f aca="false">IF($B65="","",AQ65)</f>
        <v/>
      </c>
      <c r="AZ65" s="35" t="str">
        <f aca="false">IF($B65="","",AP65+AT65/2)</f>
        <v/>
      </c>
      <c r="BA65" s="35" t="str">
        <f aca="false">IF($B65="","",AK65+AN65+AM65/2+AO65+AP65+AQ65+AR65+AS65+AT65+AU65+AV65+AW65)</f>
        <v/>
      </c>
      <c r="BB65" s="35" t="str">
        <f aca="false">IF($B65="","",MAX(0,AN65-Settings!$C$16)*Settings!$C$17)</f>
        <v/>
      </c>
      <c r="BC65" s="35" t="str">
        <f aca="false">IF($B65="","",BA65-BB65)</f>
        <v/>
      </c>
      <c r="BD65" s="35" t="str">
        <f aca="false">IF(OR($B65="",$A65=""),"",DAY(EOMONTH($A65,0))-COUNTA($F65:$AJ65))</f>
        <v/>
      </c>
    </row>
    <row r="66" customFormat="false" ht="15" hidden="false" customHeight="false" outlineLevel="0" collapsed="false">
      <c r="A66" s="32"/>
      <c r="B66" s="29"/>
      <c r="C66" s="10" t="str">
        <f aca="false">IF($B66="","",IFERROR(INDEX(M_name,MATCH($B66,M_emp,0)),"Code not found"))</f>
        <v/>
      </c>
      <c r="D66" s="10" t="str">
        <f aca="false">IF($B66="","",IFERROR(INDEX(M_dept,MATCH($B66,M_emp,0)),""))</f>
        <v/>
      </c>
      <c r="E66" s="10" t="str">
        <f aca="false">IF($B66="","",IFERROR(INDEX(M_loc,MATCH($B66,M_emp,0)),""))</f>
        <v/>
      </c>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4" t="str">
        <f aca="false">IF($B66="","",COUNTIF($F66:$AJ66,"P"))</f>
        <v/>
      </c>
      <c r="AL66" s="34" t="str">
        <f aca="false">IF($B66="","",COUNTIF($F66:$AJ66,"A"))</f>
        <v/>
      </c>
      <c r="AM66" s="34" t="str">
        <f aca="false">IF($B66="","",COUNTIF($F66:$AJ66,"HA"))</f>
        <v/>
      </c>
      <c r="AN66" s="34" t="str">
        <f aca="false">IF($B66="","",COUNTIF($F66:$AJ66,"L"))</f>
        <v/>
      </c>
      <c r="AO66" s="34" t="str">
        <f aca="false">IF($B66="","",COUNTIF($F66:$AJ66,"PL"))</f>
        <v/>
      </c>
      <c r="AP66" s="34" t="str">
        <f aca="false">IF($B66="","",COUNTIF($F66:$AJ66,"CL"))</f>
        <v/>
      </c>
      <c r="AQ66" s="34" t="str">
        <f aca="false">IF($B66="","",COUNTIF($F66:$AJ66,"SL"))</f>
        <v/>
      </c>
      <c r="AR66" s="34" t="str">
        <f aca="false">IF($B66="","",COUNTIF($F66:$AJ66,"CO"))</f>
        <v/>
      </c>
      <c r="AS66" s="34" t="str">
        <f aca="false">IF($B66="","",COUNTIF($F66:$AJ66,"HPL"))</f>
        <v/>
      </c>
      <c r="AT66" s="34" t="str">
        <f aca="false">IF($B66="","",COUNTIF($F66:$AJ66,"HCL"))</f>
        <v/>
      </c>
      <c r="AU66" s="34" t="str">
        <f aca="false">IF($B66="","",COUNTIF($F66:$AJ66,"WO"))</f>
        <v/>
      </c>
      <c r="AV66" s="34" t="str">
        <f aca="false">IF($B66="","",COUNTIF($F66:$AJ66,"PH"))</f>
        <v/>
      </c>
      <c r="AW66" s="34" t="str">
        <f aca="false">IF($B66="","",COUNTIF($F66:$AJ66,"TR"))</f>
        <v/>
      </c>
      <c r="AX66" s="35" t="str">
        <f aca="false">IF($B66="","",AO66+AS66/2)</f>
        <v/>
      </c>
      <c r="AY66" s="35" t="str">
        <f aca="false">IF($B66="","",AQ66)</f>
        <v/>
      </c>
      <c r="AZ66" s="35" t="str">
        <f aca="false">IF($B66="","",AP66+AT66/2)</f>
        <v/>
      </c>
      <c r="BA66" s="35" t="str">
        <f aca="false">IF($B66="","",AK66+AN66+AM66/2+AO66+AP66+AQ66+AR66+AS66+AT66+AU66+AV66+AW66)</f>
        <v/>
      </c>
      <c r="BB66" s="35" t="str">
        <f aca="false">IF($B66="","",MAX(0,AN66-Settings!$C$16)*Settings!$C$17)</f>
        <v/>
      </c>
      <c r="BC66" s="35" t="str">
        <f aca="false">IF($B66="","",BA66-BB66)</f>
        <v/>
      </c>
      <c r="BD66" s="35" t="str">
        <f aca="false">IF(OR($B66="",$A66=""),"",DAY(EOMONTH($A66,0))-COUNTA($F66:$AJ66))</f>
        <v/>
      </c>
    </row>
    <row r="67" customFormat="false" ht="15" hidden="false" customHeight="false" outlineLevel="0" collapsed="false">
      <c r="A67" s="32"/>
      <c r="B67" s="29"/>
      <c r="C67" s="10" t="str">
        <f aca="false">IF($B67="","",IFERROR(INDEX(M_name,MATCH($B67,M_emp,0)),"Code not found"))</f>
        <v/>
      </c>
      <c r="D67" s="10" t="str">
        <f aca="false">IF($B67="","",IFERROR(INDEX(M_dept,MATCH($B67,M_emp,0)),""))</f>
        <v/>
      </c>
      <c r="E67" s="10" t="str">
        <f aca="false">IF($B67="","",IFERROR(INDEX(M_loc,MATCH($B67,M_emp,0)),""))</f>
        <v/>
      </c>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4" t="str">
        <f aca="false">IF($B67="","",COUNTIF($F67:$AJ67,"P"))</f>
        <v/>
      </c>
      <c r="AL67" s="34" t="str">
        <f aca="false">IF($B67="","",COUNTIF($F67:$AJ67,"A"))</f>
        <v/>
      </c>
      <c r="AM67" s="34" t="str">
        <f aca="false">IF($B67="","",COUNTIF($F67:$AJ67,"HA"))</f>
        <v/>
      </c>
      <c r="AN67" s="34" t="str">
        <f aca="false">IF($B67="","",COUNTIF($F67:$AJ67,"L"))</f>
        <v/>
      </c>
      <c r="AO67" s="34" t="str">
        <f aca="false">IF($B67="","",COUNTIF($F67:$AJ67,"PL"))</f>
        <v/>
      </c>
      <c r="AP67" s="34" t="str">
        <f aca="false">IF($B67="","",COUNTIF($F67:$AJ67,"CL"))</f>
        <v/>
      </c>
      <c r="AQ67" s="34" t="str">
        <f aca="false">IF($B67="","",COUNTIF($F67:$AJ67,"SL"))</f>
        <v/>
      </c>
      <c r="AR67" s="34" t="str">
        <f aca="false">IF($B67="","",COUNTIF($F67:$AJ67,"CO"))</f>
        <v/>
      </c>
      <c r="AS67" s="34" t="str">
        <f aca="false">IF($B67="","",COUNTIF($F67:$AJ67,"HPL"))</f>
        <v/>
      </c>
      <c r="AT67" s="34" t="str">
        <f aca="false">IF($B67="","",COUNTIF($F67:$AJ67,"HCL"))</f>
        <v/>
      </c>
      <c r="AU67" s="34" t="str">
        <f aca="false">IF($B67="","",COUNTIF($F67:$AJ67,"WO"))</f>
        <v/>
      </c>
      <c r="AV67" s="34" t="str">
        <f aca="false">IF($B67="","",COUNTIF($F67:$AJ67,"PH"))</f>
        <v/>
      </c>
      <c r="AW67" s="34" t="str">
        <f aca="false">IF($B67="","",COUNTIF($F67:$AJ67,"TR"))</f>
        <v/>
      </c>
      <c r="AX67" s="35" t="str">
        <f aca="false">IF($B67="","",AO67+AS67/2)</f>
        <v/>
      </c>
      <c r="AY67" s="35" t="str">
        <f aca="false">IF($B67="","",AQ67)</f>
        <v/>
      </c>
      <c r="AZ67" s="35" t="str">
        <f aca="false">IF($B67="","",AP67+AT67/2)</f>
        <v/>
      </c>
      <c r="BA67" s="35" t="str">
        <f aca="false">IF($B67="","",AK67+AN67+AM67/2+AO67+AP67+AQ67+AR67+AS67+AT67+AU67+AV67+AW67)</f>
        <v/>
      </c>
      <c r="BB67" s="35" t="str">
        <f aca="false">IF($B67="","",MAX(0,AN67-Settings!$C$16)*Settings!$C$17)</f>
        <v/>
      </c>
      <c r="BC67" s="35" t="str">
        <f aca="false">IF($B67="","",BA67-BB67)</f>
        <v/>
      </c>
      <c r="BD67" s="35" t="str">
        <f aca="false">IF(OR($B67="",$A67=""),"",DAY(EOMONTH($A67,0))-COUNTA($F67:$AJ67))</f>
        <v/>
      </c>
    </row>
    <row r="68" customFormat="false" ht="15" hidden="false" customHeight="false" outlineLevel="0" collapsed="false">
      <c r="A68" s="32"/>
      <c r="B68" s="29"/>
      <c r="C68" s="10" t="str">
        <f aca="false">IF($B68="","",IFERROR(INDEX(M_name,MATCH($B68,M_emp,0)),"Code not found"))</f>
        <v/>
      </c>
      <c r="D68" s="10" t="str">
        <f aca="false">IF($B68="","",IFERROR(INDEX(M_dept,MATCH($B68,M_emp,0)),""))</f>
        <v/>
      </c>
      <c r="E68" s="10" t="str">
        <f aca="false">IF($B68="","",IFERROR(INDEX(M_loc,MATCH($B68,M_emp,0)),""))</f>
        <v/>
      </c>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4" t="str">
        <f aca="false">IF($B68="","",COUNTIF($F68:$AJ68,"P"))</f>
        <v/>
      </c>
      <c r="AL68" s="34" t="str">
        <f aca="false">IF($B68="","",COUNTIF($F68:$AJ68,"A"))</f>
        <v/>
      </c>
      <c r="AM68" s="34" t="str">
        <f aca="false">IF($B68="","",COUNTIF($F68:$AJ68,"HA"))</f>
        <v/>
      </c>
      <c r="AN68" s="34" t="str">
        <f aca="false">IF($B68="","",COUNTIF($F68:$AJ68,"L"))</f>
        <v/>
      </c>
      <c r="AO68" s="34" t="str">
        <f aca="false">IF($B68="","",COUNTIF($F68:$AJ68,"PL"))</f>
        <v/>
      </c>
      <c r="AP68" s="34" t="str">
        <f aca="false">IF($B68="","",COUNTIF($F68:$AJ68,"CL"))</f>
        <v/>
      </c>
      <c r="AQ68" s="34" t="str">
        <f aca="false">IF($B68="","",COUNTIF($F68:$AJ68,"SL"))</f>
        <v/>
      </c>
      <c r="AR68" s="34" t="str">
        <f aca="false">IF($B68="","",COUNTIF($F68:$AJ68,"CO"))</f>
        <v/>
      </c>
      <c r="AS68" s="34" t="str">
        <f aca="false">IF($B68="","",COUNTIF($F68:$AJ68,"HPL"))</f>
        <v/>
      </c>
      <c r="AT68" s="34" t="str">
        <f aca="false">IF($B68="","",COUNTIF($F68:$AJ68,"HCL"))</f>
        <v/>
      </c>
      <c r="AU68" s="34" t="str">
        <f aca="false">IF($B68="","",COUNTIF($F68:$AJ68,"WO"))</f>
        <v/>
      </c>
      <c r="AV68" s="34" t="str">
        <f aca="false">IF($B68="","",COUNTIF($F68:$AJ68,"PH"))</f>
        <v/>
      </c>
      <c r="AW68" s="34" t="str">
        <f aca="false">IF($B68="","",COUNTIF($F68:$AJ68,"TR"))</f>
        <v/>
      </c>
      <c r="AX68" s="35" t="str">
        <f aca="false">IF($B68="","",AO68+AS68/2)</f>
        <v/>
      </c>
      <c r="AY68" s="35" t="str">
        <f aca="false">IF($B68="","",AQ68)</f>
        <v/>
      </c>
      <c r="AZ68" s="35" t="str">
        <f aca="false">IF($B68="","",AP68+AT68/2)</f>
        <v/>
      </c>
      <c r="BA68" s="35" t="str">
        <f aca="false">IF($B68="","",AK68+AN68+AM68/2+AO68+AP68+AQ68+AR68+AS68+AT68+AU68+AV68+AW68)</f>
        <v/>
      </c>
      <c r="BB68" s="35" t="str">
        <f aca="false">IF($B68="","",MAX(0,AN68-Settings!$C$16)*Settings!$C$17)</f>
        <v/>
      </c>
      <c r="BC68" s="35" t="str">
        <f aca="false">IF($B68="","",BA68-BB68)</f>
        <v/>
      </c>
      <c r="BD68" s="35" t="str">
        <f aca="false">IF(OR($B68="",$A68=""),"",DAY(EOMONTH($A68,0))-COUNTA($F68:$AJ68))</f>
        <v/>
      </c>
    </row>
    <row r="69" customFormat="false" ht="15" hidden="false" customHeight="false" outlineLevel="0" collapsed="false">
      <c r="A69" s="32"/>
      <c r="B69" s="29"/>
      <c r="C69" s="10" t="str">
        <f aca="false">IF($B69="","",IFERROR(INDEX(M_name,MATCH($B69,M_emp,0)),"Code not found"))</f>
        <v/>
      </c>
      <c r="D69" s="10" t="str">
        <f aca="false">IF($B69="","",IFERROR(INDEX(M_dept,MATCH($B69,M_emp,0)),""))</f>
        <v/>
      </c>
      <c r="E69" s="10" t="str">
        <f aca="false">IF($B69="","",IFERROR(INDEX(M_loc,MATCH($B69,M_emp,0)),""))</f>
        <v/>
      </c>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4" t="str">
        <f aca="false">IF($B69="","",COUNTIF($F69:$AJ69,"P"))</f>
        <v/>
      </c>
      <c r="AL69" s="34" t="str">
        <f aca="false">IF($B69="","",COUNTIF($F69:$AJ69,"A"))</f>
        <v/>
      </c>
      <c r="AM69" s="34" t="str">
        <f aca="false">IF($B69="","",COUNTIF($F69:$AJ69,"HA"))</f>
        <v/>
      </c>
      <c r="AN69" s="34" t="str">
        <f aca="false">IF($B69="","",COUNTIF($F69:$AJ69,"L"))</f>
        <v/>
      </c>
      <c r="AO69" s="34" t="str">
        <f aca="false">IF($B69="","",COUNTIF($F69:$AJ69,"PL"))</f>
        <v/>
      </c>
      <c r="AP69" s="34" t="str">
        <f aca="false">IF($B69="","",COUNTIF($F69:$AJ69,"CL"))</f>
        <v/>
      </c>
      <c r="AQ69" s="34" t="str">
        <f aca="false">IF($B69="","",COUNTIF($F69:$AJ69,"SL"))</f>
        <v/>
      </c>
      <c r="AR69" s="34" t="str">
        <f aca="false">IF($B69="","",COUNTIF($F69:$AJ69,"CO"))</f>
        <v/>
      </c>
      <c r="AS69" s="34" t="str">
        <f aca="false">IF($B69="","",COUNTIF($F69:$AJ69,"HPL"))</f>
        <v/>
      </c>
      <c r="AT69" s="34" t="str">
        <f aca="false">IF($B69="","",COUNTIF($F69:$AJ69,"HCL"))</f>
        <v/>
      </c>
      <c r="AU69" s="34" t="str">
        <f aca="false">IF($B69="","",COUNTIF($F69:$AJ69,"WO"))</f>
        <v/>
      </c>
      <c r="AV69" s="34" t="str">
        <f aca="false">IF($B69="","",COUNTIF($F69:$AJ69,"PH"))</f>
        <v/>
      </c>
      <c r="AW69" s="34" t="str">
        <f aca="false">IF($B69="","",COUNTIF($F69:$AJ69,"TR"))</f>
        <v/>
      </c>
      <c r="AX69" s="35" t="str">
        <f aca="false">IF($B69="","",AO69+AS69/2)</f>
        <v/>
      </c>
      <c r="AY69" s="35" t="str">
        <f aca="false">IF($B69="","",AQ69)</f>
        <v/>
      </c>
      <c r="AZ69" s="35" t="str">
        <f aca="false">IF($B69="","",AP69+AT69/2)</f>
        <v/>
      </c>
      <c r="BA69" s="35" t="str">
        <f aca="false">IF($B69="","",AK69+AN69+AM69/2+AO69+AP69+AQ69+AR69+AS69+AT69+AU69+AV69+AW69)</f>
        <v/>
      </c>
      <c r="BB69" s="35" t="str">
        <f aca="false">IF($B69="","",MAX(0,AN69-Settings!$C$16)*Settings!$C$17)</f>
        <v/>
      </c>
      <c r="BC69" s="35" t="str">
        <f aca="false">IF($B69="","",BA69-BB69)</f>
        <v/>
      </c>
      <c r="BD69" s="35" t="str">
        <f aca="false">IF(OR($B69="",$A69=""),"",DAY(EOMONTH($A69,0))-COUNTA($F69:$AJ69))</f>
        <v/>
      </c>
    </row>
    <row r="70" customFormat="false" ht="15" hidden="false" customHeight="false" outlineLevel="0" collapsed="false">
      <c r="A70" s="32"/>
      <c r="B70" s="29"/>
      <c r="C70" s="10" t="str">
        <f aca="false">IF($B70="","",IFERROR(INDEX(M_name,MATCH($B70,M_emp,0)),"Code not found"))</f>
        <v/>
      </c>
      <c r="D70" s="10" t="str">
        <f aca="false">IF($B70="","",IFERROR(INDEX(M_dept,MATCH($B70,M_emp,0)),""))</f>
        <v/>
      </c>
      <c r="E70" s="10" t="str">
        <f aca="false">IF($B70="","",IFERROR(INDEX(M_loc,MATCH($B70,M_emp,0)),""))</f>
        <v/>
      </c>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4" t="str">
        <f aca="false">IF($B70="","",COUNTIF($F70:$AJ70,"P"))</f>
        <v/>
      </c>
      <c r="AL70" s="34" t="str">
        <f aca="false">IF($B70="","",COUNTIF($F70:$AJ70,"A"))</f>
        <v/>
      </c>
      <c r="AM70" s="34" t="str">
        <f aca="false">IF($B70="","",COUNTIF($F70:$AJ70,"HA"))</f>
        <v/>
      </c>
      <c r="AN70" s="34" t="str">
        <f aca="false">IF($B70="","",COUNTIF($F70:$AJ70,"L"))</f>
        <v/>
      </c>
      <c r="AO70" s="34" t="str">
        <f aca="false">IF($B70="","",COUNTIF($F70:$AJ70,"PL"))</f>
        <v/>
      </c>
      <c r="AP70" s="34" t="str">
        <f aca="false">IF($B70="","",COUNTIF($F70:$AJ70,"CL"))</f>
        <v/>
      </c>
      <c r="AQ70" s="34" t="str">
        <f aca="false">IF($B70="","",COUNTIF($F70:$AJ70,"SL"))</f>
        <v/>
      </c>
      <c r="AR70" s="34" t="str">
        <f aca="false">IF($B70="","",COUNTIF($F70:$AJ70,"CO"))</f>
        <v/>
      </c>
      <c r="AS70" s="34" t="str">
        <f aca="false">IF($B70="","",COUNTIF($F70:$AJ70,"HPL"))</f>
        <v/>
      </c>
      <c r="AT70" s="34" t="str">
        <f aca="false">IF($B70="","",COUNTIF($F70:$AJ70,"HCL"))</f>
        <v/>
      </c>
      <c r="AU70" s="34" t="str">
        <f aca="false">IF($B70="","",COUNTIF($F70:$AJ70,"WO"))</f>
        <v/>
      </c>
      <c r="AV70" s="34" t="str">
        <f aca="false">IF($B70="","",COUNTIF($F70:$AJ70,"PH"))</f>
        <v/>
      </c>
      <c r="AW70" s="34" t="str">
        <f aca="false">IF($B70="","",COUNTIF($F70:$AJ70,"TR"))</f>
        <v/>
      </c>
      <c r="AX70" s="35" t="str">
        <f aca="false">IF($B70="","",AO70+AS70/2)</f>
        <v/>
      </c>
      <c r="AY70" s="35" t="str">
        <f aca="false">IF($B70="","",AQ70)</f>
        <v/>
      </c>
      <c r="AZ70" s="35" t="str">
        <f aca="false">IF($B70="","",AP70+AT70/2)</f>
        <v/>
      </c>
      <c r="BA70" s="35" t="str">
        <f aca="false">IF($B70="","",AK70+AN70+AM70/2+AO70+AP70+AQ70+AR70+AS70+AT70+AU70+AV70+AW70)</f>
        <v/>
      </c>
      <c r="BB70" s="35" t="str">
        <f aca="false">IF($B70="","",MAX(0,AN70-Settings!$C$16)*Settings!$C$17)</f>
        <v/>
      </c>
      <c r="BC70" s="35" t="str">
        <f aca="false">IF($B70="","",BA70-BB70)</f>
        <v/>
      </c>
      <c r="BD70" s="35" t="str">
        <f aca="false">IF(OR($B70="",$A70=""),"",DAY(EOMONTH($A70,0))-COUNTA($F70:$AJ70))</f>
        <v/>
      </c>
    </row>
    <row r="71" customFormat="false" ht="15" hidden="false" customHeight="false" outlineLevel="0" collapsed="false">
      <c r="A71" s="32"/>
      <c r="B71" s="29"/>
      <c r="C71" s="10" t="str">
        <f aca="false">IF($B71="","",IFERROR(INDEX(M_name,MATCH($B71,M_emp,0)),"Code not found"))</f>
        <v/>
      </c>
      <c r="D71" s="10" t="str">
        <f aca="false">IF($B71="","",IFERROR(INDEX(M_dept,MATCH($B71,M_emp,0)),""))</f>
        <v/>
      </c>
      <c r="E71" s="10" t="str">
        <f aca="false">IF($B71="","",IFERROR(INDEX(M_loc,MATCH($B71,M_emp,0)),""))</f>
        <v/>
      </c>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4" t="str">
        <f aca="false">IF($B71="","",COUNTIF($F71:$AJ71,"P"))</f>
        <v/>
      </c>
      <c r="AL71" s="34" t="str">
        <f aca="false">IF($B71="","",COUNTIF($F71:$AJ71,"A"))</f>
        <v/>
      </c>
      <c r="AM71" s="34" t="str">
        <f aca="false">IF($B71="","",COUNTIF($F71:$AJ71,"HA"))</f>
        <v/>
      </c>
      <c r="AN71" s="34" t="str">
        <f aca="false">IF($B71="","",COUNTIF($F71:$AJ71,"L"))</f>
        <v/>
      </c>
      <c r="AO71" s="34" t="str">
        <f aca="false">IF($B71="","",COUNTIF($F71:$AJ71,"PL"))</f>
        <v/>
      </c>
      <c r="AP71" s="34" t="str">
        <f aca="false">IF($B71="","",COUNTIF($F71:$AJ71,"CL"))</f>
        <v/>
      </c>
      <c r="AQ71" s="34" t="str">
        <f aca="false">IF($B71="","",COUNTIF($F71:$AJ71,"SL"))</f>
        <v/>
      </c>
      <c r="AR71" s="34" t="str">
        <f aca="false">IF($B71="","",COUNTIF($F71:$AJ71,"CO"))</f>
        <v/>
      </c>
      <c r="AS71" s="34" t="str">
        <f aca="false">IF($B71="","",COUNTIF($F71:$AJ71,"HPL"))</f>
        <v/>
      </c>
      <c r="AT71" s="34" t="str">
        <f aca="false">IF($B71="","",COUNTIF($F71:$AJ71,"HCL"))</f>
        <v/>
      </c>
      <c r="AU71" s="34" t="str">
        <f aca="false">IF($B71="","",COUNTIF($F71:$AJ71,"WO"))</f>
        <v/>
      </c>
      <c r="AV71" s="34" t="str">
        <f aca="false">IF($B71="","",COUNTIF($F71:$AJ71,"PH"))</f>
        <v/>
      </c>
      <c r="AW71" s="34" t="str">
        <f aca="false">IF($B71="","",COUNTIF($F71:$AJ71,"TR"))</f>
        <v/>
      </c>
      <c r="AX71" s="35" t="str">
        <f aca="false">IF($B71="","",AO71+AS71/2)</f>
        <v/>
      </c>
      <c r="AY71" s="35" t="str">
        <f aca="false">IF($B71="","",AQ71)</f>
        <v/>
      </c>
      <c r="AZ71" s="35" t="str">
        <f aca="false">IF($B71="","",AP71+AT71/2)</f>
        <v/>
      </c>
      <c r="BA71" s="35" t="str">
        <f aca="false">IF($B71="","",AK71+AN71+AM71/2+AO71+AP71+AQ71+AR71+AS71+AT71+AU71+AV71+AW71)</f>
        <v/>
      </c>
      <c r="BB71" s="35" t="str">
        <f aca="false">IF($B71="","",MAX(0,AN71-Settings!$C$16)*Settings!$C$17)</f>
        <v/>
      </c>
      <c r="BC71" s="35" t="str">
        <f aca="false">IF($B71="","",BA71-BB71)</f>
        <v/>
      </c>
      <c r="BD71" s="35" t="str">
        <f aca="false">IF(OR($B71="",$A71=""),"",DAY(EOMONTH($A71,0))-COUNTA($F71:$AJ71))</f>
        <v/>
      </c>
    </row>
    <row r="72" customFormat="false" ht="15" hidden="false" customHeight="false" outlineLevel="0" collapsed="false">
      <c r="A72" s="32"/>
      <c r="B72" s="29"/>
      <c r="C72" s="10" t="str">
        <f aca="false">IF($B72="","",IFERROR(INDEX(M_name,MATCH($B72,M_emp,0)),"Code not found"))</f>
        <v/>
      </c>
      <c r="D72" s="10" t="str">
        <f aca="false">IF($B72="","",IFERROR(INDEX(M_dept,MATCH($B72,M_emp,0)),""))</f>
        <v/>
      </c>
      <c r="E72" s="10" t="str">
        <f aca="false">IF($B72="","",IFERROR(INDEX(M_loc,MATCH($B72,M_emp,0)),""))</f>
        <v/>
      </c>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4" t="str">
        <f aca="false">IF($B72="","",COUNTIF($F72:$AJ72,"P"))</f>
        <v/>
      </c>
      <c r="AL72" s="34" t="str">
        <f aca="false">IF($B72="","",COUNTIF($F72:$AJ72,"A"))</f>
        <v/>
      </c>
      <c r="AM72" s="34" t="str">
        <f aca="false">IF($B72="","",COUNTIF($F72:$AJ72,"HA"))</f>
        <v/>
      </c>
      <c r="AN72" s="34" t="str">
        <f aca="false">IF($B72="","",COUNTIF($F72:$AJ72,"L"))</f>
        <v/>
      </c>
      <c r="AO72" s="34" t="str">
        <f aca="false">IF($B72="","",COUNTIF($F72:$AJ72,"PL"))</f>
        <v/>
      </c>
      <c r="AP72" s="34" t="str">
        <f aca="false">IF($B72="","",COUNTIF($F72:$AJ72,"CL"))</f>
        <v/>
      </c>
      <c r="AQ72" s="34" t="str">
        <f aca="false">IF($B72="","",COUNTIF($F72:$AJ72,"SL"))</f>
        <v/>
      </c>
      <c r="AR72" s="34" t="str">
        <f aca="false">IF($B72="","",COUNTIF($F72:$AJ72,"CO"))</f>
        <v/>
      </c>
      <c r="AS72" s="34" t="str">
        <f aca="false">IF($B72="","",COUNTIF($F72:$AJ72,"HPL"))</f>
        <v/>
      </c>
      <c r="AT72" s="34" t="str">
        <f aca="false">IF($B72="","",COUNTIF($F72:$AJ72,"HCL"))</f>
        <v/>
      </c>
      <c r="AU72" s="34" t="str">
        <f aca="false">IF($B72="","",COUNTIF($F72:$AJ72,"WO"))</f>
        <v/>
      </c>
      <c r="AV72" s="34" t="str">
        <f aca="false">IF($B72="","",COUNTIF($F72:$AJ72,"PH"))</f>
        <v/>
      </c>
      <c r="AW72" s="34" t="str">
        <f aca="false">IF($B72="","",COUNTIF($F72:$AJ72,"TR"))</f>
        <v/>
      </c>
      <c r="AX72" s="35" t="str">
        <f aca="false">IF($B72="","",AO72+AS72/2)</f>
        <v/>
      </c>
      <c r="AY72" s="35" t="str">
        <f aca="false">IF($B72="","",AQ72)</f>
        <v/>
      </c>
      <c r="AZ72" s="35" t="str">
        <f aca="false">IF($B72="","",AP72+AT72/2)</f>
        <v/>
      </c>
      <c r="BA72" s="35" t="str">
        <f aca="false">IF($B72="","",AK72+AN72+AM72/2+AO72+AP72+AQ72+AR72+AS72+AT72+AU72+AV72+AW72)</f>
        <v/>
      </c>
      <c r="BB72" s="35" t="str">
        <f aca="false">IF($B72="","",MAX(0,AN72-Settings!$C$16)*Settings!$C$17)</f>
        <v/>
      </c>
      <c r="BC72" s="35" t="str">
        <f aca="false">IF($B72="","",BA72-BB72)</f>
        <v/>
      </c>
      <c r="BD72" s="35" t="str">
        <f aca="false">IF(OR($B72="",$A72=""),"",DAY(EOMONTH($A72,0))-COUNTA($F72:$AJ72))</f>
        <v/>
      </c>
    </row>
    <row r="73" customFormat="false" ht="15" hidden="false" customHeight="false" outlineLevel="0" collapsed="false">
      <c r="A73" s="32"/>
      <c r="B73" s="29"/>
      <c r="C73" s="10" t="str">
        <f aca="false">IF($B73="","",IFERROR(INDEX(M_name,MATCH($B73,M_emp,0)),"Code not found"))</f>
        <v/>
      </c>
      <c r="D73" s="10" t="str">
        <f aca="false">IF($B73="","",IFERROR(INDEX(M_dept,MATCH($B73,M_emp,0)),""))</f>
        <v/>
      </c>
      <c r="E73" s="10" t="str">
        <f aca="false">IF($B73="","",IFERROR(INDEX(M_loc,MATCH($B73,M_emp,0)),""))</f>
        <v/>
      </c>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4" t="str">
        <f aca="false">IF($B73="","",COUNTIF($F73:$AJ73,"P"))</f>
        <v/>
      </c>
      <c r="AL73" s="34" t="str">
        <f aca="false">IF($B73="","",COUNTIF($F73:$AJ73,"A"))</f>
        <v/>
      </c>
      <c r="AM73" s="34" t="str">
        <f aca="false">IF($B73="","",COUNTIF($F73:$AJ73,"HA"))</f>
        <v/>
      </c>
      <c r="AN73" s="34" t="str">
        <f aca="false">IF($B73="","",COUNTIF($F73:$AJ73,"L"))</f>
        <v/>
      </c>
      <c r="AO73" s="34" t="str">
        <f aca="false">IF($B73="","",COUNTIF($F73:$AJ73,"PL"))</f>
        <v/>
      </c>
      <c r="AP73" s="34" t="str">
        <f aca="false">IF($B73="","",COUNTIF($F73:$AJ73,"CL"))</f>
        <v/>
      </c>
      <c r="AQ73" s="34" t="str">
        <f aca="false">IF($B73="","",COUNTIF($F73:$AJ73,"SL"))</f>
        <v/>
      </c>
      <c r="AR73" s="34" t="str">
        <f aca="false">IF($B73="","",COUNTIF($F73:$AJ73,"CO"))</f>
        <v/>
      </c>
      <c r="AS73" s="34" t="str">
        <f aca="false">IF($B73="","",COUNTIF($F73:$AJ73,"HPL"))</f>
        <v/>
      </c>
      <c r="AT73" s="34" t="str">
        <f aca="false">IF($B73="","",COUNTIF($F73:$AJ73,"HCL"))</f>
        <v/>
      </c>
      <c r="AU73" s="34" t="str">
        <f aca="false">IF($B73="","",COUNTIF($F73:$AJ73,"WO"))</f>
        <v/>
      </c>
      <c r="AV73" s="34" t="str">
        <f aca="false">IF($B73="","",COUNTIF($F73:$AJ73,"PH"))</f>
        <v/>
      </c>
      <c r="AW73" s="34" t="str">
        <f aca="false">IF($B73="","",COUNTIF($F73:$AJ73,"TR"))</f>
        <v/>
      </c>
      <c r="AX73" s="35" t="str">
        <f aca="false">IF($B73="","",AO73+AS73/2)</f>
        <v/>
      </c>
      <c r="AY73" s="35" t="str">
        <f aca="false">IF($B73="","",AQ73)</f>
        <v/>
      </c>
      <c r="AZ73" s="35" t="str">
        <f aca="false">IF($B73="","",AP73+AT73/2)</f>
        <v/>
      </c>
      <c r="BA73" s="35" t="str">
        <f aca="false">IF($B73="","",AK73+AN73+AM73/2+AO73+AP73+AQ73+AR73+AS73+AT73+AU73+AV73+AW73)</f>
        <v/>
      </c>
      <c r="BB73" s="35" t="str">
        <f aca="false">IF($B73="","",MAX(0,AN73-Settings!$C$16)*Settings!$C$17)</f>
        <v/>
      </c>
      <c r="BC73" s="35" t="str">
        <f aca="false">IF($B73="","",BA73-BB73)</f>
        <v/>
      </c>
      <c r="BD73" s="35" t="str">
        <f aca="false">IF(OR($B73="",$A73=""),"",DAY(EOMONTH($A73,0))-COUNTA($F73:$AJ73))</f>
        <v/>
      </c>
    </row>
    <row r="74" customFormat="false" ht="15" hidden="false" customHeight="false" outlineLevel="0" collapsed="false">
      <c r="A74" s="32"/>
      <c r="B74" s="29"/>
      <c r="C74" s="10" t="str">
        <f aca="false">IF($B74="","",IFERROR(INDEX(M_name,MATCH($B74,M_emp,0)),"Code not found"))</f>
        <v/>
      </c>
      <c r="D74" s="10" t="str">
        <f aca="false">IF($B74="","",IFERROR(INDEX(M_dept,MATCH($B74,M_emp,0)),""))</f>
        <v/>
      </c>
      <c r="E74" s="10" t="str">
        <f aca="false">IF($B74="","",IFERROR(INDEX(M_loc,MATCH($B74,M_emp,0)),""))</f>
        <v/>
      </c>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4" t="str">
        <f aca="false">IF($B74="","",COUNTIF($F74:$AJ74,"P"))</f>
        <v/>
      </c>
      <c r="AL74" s="34" t="str">
        <f aca="false">IF($B74="","",COUNTIF($F74:$AJ74,"A"))</f>
        <v/>
      </c>
      <c r="AM74" s="34" t="str">
        <f aca="false">IF($B74="","",COUNTIF($F74:$AJ74,"HA"))</f>
        <v/>
      </c>
      <c r="AN74" s="34" t="str">
        <f aca="false">IF($B74="","",COUNTIF($F74:$AJ74,"L"))</f>
        <v/>
      </c>
      <c r="AO74" s="34" t="str">
        <f aca="false">IF($B74="","",COUNTIF($F74:$AJ74,"PL"))</f>
        <v/>
      </c>
      <c r="AP74" s="34" t="str">
        <f aca="false">IF($B74="","",COUNTIF($F74:$AJ74,"CL"))</f>
        <v/>
      </c>
      <c r="AQ74" s="34" t="str">
        <f aca="false">IF($B74="","",COUNTIF($F74:$AJ74,"SL"))</f>
        <v/>
      </c>
      <c r="AR74" s="34" t="str">
        <f aca="false">IF($B74="","",COUNTIF($F74:$AJ74,"CO"))</f>
        <v/>
      </c>
      <c r="AS74" s="34" t="str">
        <f aca="false">IF($B74="","",COUNTIF($F74:$AJ74,"HPL"))</f>
        <v/>
      </c>
      <c r="AT74" s="34" t="str">
        <f aca="false">IF($B74="","",COUNTIF($F74:$AJ74,"HCL"))</f>
        <v/>
      </c>
      <c r="AU74" s="34" t="str">
        <f aca="false">IF($B74="","",COUNTIF($F74:$AJ74,"WO"))</f>
        <v/>
      </c>
      <c r="AV74" s="34" t="str">
        <f aca="false">IF($B74="","",COUNTIF($F74:$AJ74,"PH"))</f>
        <v/>
      </c>
      <c r="AW74" s="34" t="str">
        <f aca="false">IF($B74="","",COUNTIF($F74:$AJ74,"TR"))</f>
        <v/>
      </c>
      <c r="AX74" s="35" t="str">
        <f aca="false">IF($B74="","",AO74+AS74/2)</f>
        <v/>
      </c>
      <c r="AY74" s="35" t="str">
        <f aca="false">IF($B74="","",AQ74)</f>
        <v/>
      </c>
      <c r="AZ74" s="35" t="str">
        <f aca="false">IF($B74="","",AP74+AT74/2)</f>
        <v/>
      </c>
      <c r="BA74" s="35" t="str">
        <f aca="false">IF($B74="","",AK74+AN74+AM74/2+AO74+AP74+AQ74+AR74+AS74+AT74+AU74+AV74+AW74)</f>
        <v/>
      </c>
      <c r="BB74" s="35" t="str">
        <f aca="false">IF($B74="","",MAX(0,AN74-Settings!$C$16)*Settings!$C$17)</f>
        <v/>
      </c>
      <c r="BC74" s="35" t="str">
        <f aca="false">IF($B74="","",BA74-BB74)</f>
        <v/>
      </c>
      <c r="BD74" s="35" t="str">
        <f aca="false">IF(OR($B74="",$A74=""),"",DAY(EOMONTH($A74,0))-COUNTA($F74:$AJ74))</f>
        <v/>
      </c>
    </row>
    <row r="75" customFormat="false" ht="15" hidden="false" customHeight="false" outlineLevel="0" collapsed="false">
      <c r="A75" s="32"/>
      <c r="B75" s="29"/>
      <c r="C75" s="10" t="str">
        <f aca="false">IF($B75="","",IFERROR(INDEX(M_name,MATCH($B75,M_emp,0)),"Code not found"))</f>
        <v/>
      </c>
      <c r="D75" s="10" t="str">
        <f aca="false">IF($B75="","",IFERROR(INDEX(M_dept,MATCH($B75,M_emp,0)),""))</f>
        <v/>
      </c>
      <c r="E75" s="10" t="str">
        <f aca="false">IF($B75="","",IFERROR(INDEX(M_loc,MATCH($B75,M_emp,0)),""))</f>
        <v/>
      </c>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4" t="str">
        <f aca="false">IF($B75="","",COUNTIF($F75:$AJ75,"P"))</f>
        <v/>
      </c>
      <c r="AL75" s="34" t="str">
        <f aca="false">IF($B75="","",COUNTIF($F75:$AJ75,"A"))</f>
        <v/>
      </c>
      <c r="AM75" s="34" t="str">
        <f aca="false">IF($B75="","",COUNTIF($F75:$AJ75,"HA"))</f>
        <v/>
      </c>
      <c r="AN75" s="34" t="str">
        <f aca="false">IF($B75="","",COUNTIF($F75:$AJ75,"L"))</f>
        <v/>
      </c>
      <c r="AO75" s="34" t="str">
        <f aca="false">IF($B75="","",COUNTIF($F75:$AJ75,"PL"))</f>
        <v/>
      </c>
      <c r="AP75" s="34" t="str">
        <f aca="false">IF($B75="","",COUNTIF($F75:$AJ75,"CL"))</f>
        <v/>
      </c>
      <c r="AQ75" s="34" t="str">
        <f aca="false">IF($B75="","",COUNTIF($F75:$AJ75,"SL"))</f>
        <v/>
      </c>
      <c r="AR75" s="34" t="str">
        <f aca="false">IF($B75="","",COUNTIF($F75:$AJ75,"CO"))</f>
        <v/>
      </c>
      <c r="AS75" s="34" t="str">
        <f aca="false">IF($B75="","",COUNTIF($F75:$AJ75,"HPL"))</f>
        <v/>
      </c>
      <c r="AT75" s="34" t="str">
        <f aca="false">IF($B75="","",COUNTIF($F75:$AJ75,"HCL"))</f>
        <v/>
      </c>
      <c r="AU75" s="34" t="str">
        <f aca="false">IF($B75="","",COUNTIF($F75:$AJ75,"WO"))</f>
        <v/>
      </c>
      <c r="AV75" s="34" t="str">
        <f aca="false">IF($B75="","",COUNTIF($F75:$AJ75,"PH"))</f>
        <v/>
      </c>
      <c r="AW75" s="34" t="str">
        <f aca="false">IF($B75="","",COUNTIF($F75:$AJ75,"TR"))</f>
        <v/>
      </c>
      <c r="AX75" s="35" t="str">
        <f aca="false">IF($B75="","",AO75+AS75/2)</f>
        <v/>
      </c>
      <c r="AY75" s="35" t="str">
        <f aca="false">IF($B75="","",AQ75)</f>
        <v/>
      </c>
      <c r="AZ75" s="35" t="str">
        <f aca="false">IF($B75="","",AP75+AT75/2)</f>
        <v/>
      </c>
      <c r="BA75" s="35" t="str">
        <f aca="false">IF($B75="","",AK75+AN75+AM75/2+AO75+AP75+AQ75+AR75+AS75+AT75+AU75+AV75+AW75)</f>
        <v/>
      </c>
      <c r="BB75" s="35" t="str">
        <f aca="false">IF($B75="","",MAX(0,AN75-Settings!$C$16)*Settings!$C$17)</f>
        <v/>
      </c>
      <c r="BC75" s="35" t="str">
        <f aca="false">IF($B75="","",BA75-BB75)</f>
        <v/>
      </c>
      <c r="BD75" s="35" t="str">
        <f aca="false">IF(OR($B75="",$A75=""),"",DAY(EOMONTH($A75,0))-COUNTA($F75:$AJ75))</f>
        <v/>
      </c>
    </row>
    <row r="76" customFormat="false" ht="15" hidden="false" customHeight="false" outlineLevel="0" collapsed="false">
      <c r="A76" s="32"/>
      <c r="B76" s="29"/>
      <c r="C76" s="10" t="str">
        <f aca="false">IF($B76="","",IFERROR(INDEX(M_name,MATCH($B76,M_emp,0)),"Code not found"))</f>
        <v/>
      </c>
      <c r="D76" s="10" t="str">
        <f aca="false">IF($B76="","",IFERROR(INDEX(M_dept,MATCH($B76,M_emp,0)),""))</f>
        <v/>
      </c>
      <c r="E76" s="10" t="str">
        <f aca="false">IF($B76="","",IFERROR(INDEX(M_loc,MATCH($B76,M_emp,0)),""))</f>
        <v/>
      </c>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4" t="str">
        <f aca="false">IF($B76="","",COUNTIF($F76:$AJ76,"P"))</f>
        <v/>
      </c>
      <c r="AL76" s="34" t="str">
        <f aca="false">IF($B76="","",COUNTIF($F76:$AJ76,"A"))</f>
        <v/>
      </c>
      <c r="AM76" s="34" t="str">
        <f aca="false">IF($B76="","",COUNTIF($F76:$AJ76,"HA"))</f>
        <v/>
      </c>
      <c r="AN76" s="34" t="str">
        <f aca="false">IF($B76="","",COUNTIF($F76:$AJ76,"L"))</f>
        <v/>
      </c>
      <c r="AO76" s="34" t="str">
        <f aca="false">IF($B76="","",COUNTIF($F76:$AJ76,"PL"))</f>
        <v/>
      </c>
      <c r="AP76" s="34" t="str">
        <f aca="false">IF($B76="","",COUNTIF($F76:$AJ76,"CL"))</f>
        <v/>
      </c>
      <c r="AQ76" s="34" t="str">
        <f aca="false">IF($B76="","",COUNTIF($F76:$AJ76,"SL"))</f>
        <v/>
      </c>
      <c r="AR76" s="34" t="str">
        <f aca="false">IF($B76="","",COUNTIF($F76:$AJ76,"CO"))</f>
        <v/>
      </c>
      <c r="AS76" s="34" t="str">
        <f aca="false">IF($B76="","",COUNTIF($F76:$AJ76,"HPL"))</f>
        <v/>
      </c>
      <c r="AT76" s="34" t="str">
        <f aca="false">IF($B76="","",COUNTIF($F76:$AJ76,"HCL"))</f>
        <v/>
      </c>
      <c r="AU76" s="34" t="str">
        <f aca="false">IF($B76="","",COUNTIF($F76:$AJ76,"WO"))</f>
        <v/>
      </c>
      <c r="AV76" s="34" t="str">
        <f aca="false">IF($B76="","",COUNTIF($F76:$AJ76,"PH"))</f>
        <v/>
      </c>
      <c r="AW76" s="34" t="str">
        <f aca="false">IF($B76="","",COUNTIF($F76:$AJ76,"TR"))</f>
        <v/>
      </c>
      <c r="AX76" s="35" t="str">
        <f aca="false">IF($B76="","",AO76+AS76/2)</f>
        <v/>
      </c>
      <c r="AY76" s="35" t="str">
        <f aca="false">IF($B76="","",AQ76)</f>
        <v/>
      </c>
      <c r="AZ76" s="35" t="str">
        <f aca="false">IF($B76="","",AP76+AT76/2)</f>
        <v/>
      </c>
      <c r="BA76" s="35" t="str">
        <f aca="false">IF($B76="","",AK76+AN76+AM76/2+AO76+AP76+AQ76+AR76+AS76+AT76+AU76+AV76+AW76)</f>
        <v/>
      </c>
      <c r="BB76" s="35" t="str">
        <f aca="false">IF($B76="","",MAX(0,AN76-Settings!$C$16)*Settings!$C$17)</f>
        <v/>
      </c>
      <c r="BC76" s="35" t="str">
        <f aca="false">IF($B76="","",BA76-BB76)</f>
        <v/>
      </c>
      <c r="BD76" s="35" t="str">
        <f aca="false">IF(OR($B76="",$A76=""),"",DAY(EOMONTH($A76,0))-COUNTA($F76:$AJ76))</f>
        <v/>
      </c>
    </row>
    <row r="77" customFormat="false" ht="15" hidden="false" customHeight="false" outlineLevel="0" collapsed="false">
      <c r="A77" s="32"/>
      <c r="B77" s="29"/>
      <c r="C77" s="10" t="str">
        <f aca="false">IF($B77="","",IFERROR(INDEX(M_name,MATCH($B77,M_emp,0)),"Code not found"))</f>
        <v/>
      </c>
      <c r="D77" s="10" t="str">
        <f aca="false">IF($B77="","",IFERROR(INDEX(M_dept,MATCH($B77,M_emp,0)),""))</f>
        <v/>
      </c>
      <c r="E77" s="10" t="str">
        <f aca="false">IF($B77="","",IFERROR(INDEX(M_loc,MATCH($B77,M_emp,0)),""))</f>
        <v/>
      </c>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4" t="str">
        <f aca="false">IF($B77="","",COUNTIF($F77:$AJ77,"P"))</f>
        <v/>
      </c>
      <c r="AL77" s="34" t="str">
        <f aca="false">IF($B77="","",COUNTIF($F77:$AJ77,"A"))</f>
        <v/>
      </c>
      <c r="AM77" s="34" t="str">
        <f aca="false">IF($B77="","",COUNTIF($F77:$AJ77,"HA"))</f>
        <v/>
      </c>
      <c r="AN77" s="34" t="str">
        <f aca="false">IF($B77="","",COUNTIF($F77:$AJ77,"L"))</f>
        <v/>
      </c>
      <c r="AO77" s="34" t="str">
        <f aca="false">IF($B77="","",COUNTIF($F77:$AJ77,"PL"))</f>
        <v/>
      </c>
      <c r="AP77" s="34" t="str">
        <f aca="false">IF($B77="","",COUNTIF($F77:$AJ77,"CL"))</f>
        <v/>
      </c>
      <c r="AQ77" s="34" t="str">
        <f aca="false">IF($B77="","",COUNTIF($F77:$AJ77,"SL"))</f>
        <v/>
      </c>
      <c r="AR77" s="34" t="str">
        <f aca="false">IF($B77="","",COUNTIF($F77:$AJ77,"CO"))</f>
        <v/>
      </c>
      <c r="AS77" s="34" t="str">
        <f aca="false">IF($B77="","",COUNTIF($F77:$AJ77,"HPL"))</f>
        <v/>
      </c>
      <c r="AT77" s="34" t="str">
        <f aca="false">IF($B77="","",COUNTIF($F77:$AJ77,"HCL"))</f>
        <v/>
      </c>
      <c r="AU77" s="34" t="str">
        <f aca="false">IF($B77="","",COUNTIF($F77:$AJ77,"WO"))</f>
        <v/>
      </c>
      <c r="AV77" s="34" t="str">
        <f aca="false">IF($B77="","",COUNTIF($F77:$AJ77,"PH"))</f>
        <v/>
      </c>
      <c r="AW77" s="34" t="str">
        <f aca="false">IF($B77="","",COUNTIF($F77:$AJ77,"TR"))</f>
        <v/>
      </c>
      <c r="AX77" s="35" t="str">
        <f aca="false">IF($B77="","",AO77+AS77/2)</f>
        <v/>
      </c>
      <c r="AY77" s="35" t="str">
        <f aca="false">IF($B77="","",AQ77)</f>
        <v/>
      </c>
      <c r="AZ77" s="35" t="str">
        <f aca="false">IF($B77="","",AP77+AT77/2)</f>
        <v/>
      </c>
      <c r="BA77" s="35" t="str">
        <f aca="false">IF($B77="","",AK77+AN77+AM77/2+AO77+AP77+AQ77+AR77+AS77+AT77+AU77+AV77+AW77)</f>
        <v/>
      </c>
      <c r="BB77" s="35" t="str">
        <f aca="false">IF($B77="","",MAX(0,AN77-Settings!$C$16)*Settings!$C$17)</f>
        <v/>
      </c>
      <c r="BC77" s="35" t="str">
        <f aca="false">IF($B77="","",BA77-BB77)</f>
        <v/>
      </c>
      <c r="BD77" s="35" t="str">
        <f aca="false">IF(OR($B77="",$A77=""),"",DAY(EOMONTH($A77,0))-COUNTA($F77:$AJ77))</f>
        <v/>
      </c>
    </row>
    <row r="78" customFormat="false" ht="15" hidden="false" customHeight="false" outlineLevel="0" collapsed="false">
      <c r="A78" s="32"/>
      <c r="B78" s="29"/>
      <c r="C78" s="10" t="str">
        <f aca="false">IF($B78="","",IFERROR(INDEX(M_name,MATCH($B78,M_emp,0)),"Code not found"))</f>
        <v/>
      </c>
      <c r="D78" s="10" t="str">
        <f aca="false">IF($B78="","",IFERROR(INDEX(M_dept,MATCH($B78,M_emp,0)),""))</f>
        <v/>
      </c>
      <c r="E78" s="10" t="str">
        <f aca="false">IF($B78="","",IFERROR(INDEX(M_loc,MATCH($B78,M_emp,0)),""))</f>
        <v/>
      </c>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4" t="str">
        <f aca="false">IF($B78="","",COUNTIF($F78:$AJ78,"P"))</f>
        <v/>
      </c>
      <c r="AL78" s="34" t="str">
        <f aca="false">IF($B78="","",COUNTIF($F78:$AJ78,"A"))</f>
        <v/>
      </c>
      <c r="AM78" s="34" t="str">
        <f aca="false">IF($B78="","",COUNTIF($F78:$AJ78,"HA"))</f>
        <v/>
      </c>
      <c r="AN78" s="34" t="str">
        <f aca="false">IF($B78="","",COUNTIF($F78:$AJ78,"L"))</f>
        <v/>
      </c>
      <c r="AO78" s="34" t="str">
        <f aca="false">IF($B78="","",COUNTIF($F78:$AJ78,"PL"))</f>
        <v/>
      </c>
      <c r="AP78" s="34" t="str">
        <f aca="false">IF($B78="","",COUNTIF($F78:$AJ78,"CL"))</f>
        <v/>
      </c>
      <c r="AQ78" s="34" t="str">
        <f aca="false">IF($B78="","",COUNTIF($F78:$AJ78,"SL"))</f>
        <v/>
      </c>
      <c r="AR78" s="34" t="str">
        <f aca="false">IF($B78="","",COUNTIF($F78:$AJ78,"CO"))</f>
        <v/>
      </c>
      <c r="AS78" s="34" t="str">
        <f aca="false">IF($B78="","",COUNTIF($F78:$AJ78,"HPL"))</f>
        <v/>
      </c>
      <c r="AT78" s="34" t="str">
        <f aca="false">IF($B78="","",COUNTIF($F78:$AJ78,"HCL"))</f>
        <v/>
      </c>
      <c r="AU78" s="34" t="str">
        <f aca="false">IF($B78="","",COUNTIF($F78:$AJ78,"WO"))</f>
        <v/>
      </c>
      <c r="AV78" s="34" t="str">
        <f aca="false">IF($B78="","",COUNTIF($F78:$AJ78,"PH"))</f>
        <v/>
      </c>
      <c r="AW78" s="34" t="str">
        <f aca="false">IF($B78="","",COUNTIF($F78:$AJ78,"TR"))</f>
        <v/>
      </c>
      <c r="AX78" s="35" t="str">
        <f aca="false">IF($B78="","",AO78+AS78/2)</f>
        <v/>
      </c>
      <c r="AY78" s="35" t="str">
        <f aca="false">IF($B78="","",AQ78)</f>
        <v/>
      </c>
      <c r="AZ78" s="35" t="str">
        <f aca="false">IF($B78="","",AP78+AT78/2)</f>
        <v/>
      </c>
      <c r="BA78" s="35" t="str">
        <f aca="false">IF($B78="","",AK78+AN78+AM78/2+AO78+AP78+AQ78+AR78+AS78+AT78+AU78+AV78+AW78)</f>
        <v/>
      </c>
      <c r="BB78" s="35" t="str">
        <f aca="false">IF($B78="","",MAX(0,AN78-Settings!$C$16)*Settings!$C$17)</f>
        <v/>
      </c>
      <c r="BC78" s="35" t="str">
        <f aca="false">IF($B78="","",BA78-BB78)</f>
        <v/>
      </c>
      <c r="BD78" s="35" t="str">
        <f aca="false">IF(OR($B78="",$A78=""),"",DAY(EOMONTH($A78,0))-COUNTA($F78:$AJ78))</f>
        <v/>
      </c>
    </row>
    <row r="79" customFormat="false" ht="15" hidden="false" customHeight="false" outlineLevel="0" collapsed="false">
      <c r="A79" s="32"/>
      <c r="B79" s="29"/>
      <c r="C79" s="10" t="str">
        <f aca="false">IF($B79="","",IFERROR(INDEX(M_name,MATCH($B79,M_emp,0)),"Code not found"))</f>
        <v/>
      </c>
      <c r="D79" s="10" t="str">
        <f aca="false">IF($B79="","",IFERROR(INDEX(M_dept,MATCH($B79,M_emp,0)),""))</f>
        <v/>
      </c>
      <c r="E79" s="10" t="str">
        <f aca="false">IF($B79="","",IFERROR(INDEX(M_loc,MATCH($B79,M_emp,0)),""))</f>
        <v/>
      </c>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4" t="str">
        <f aca="false">IF($B79="","",COUNTIF($F79:$AJ79,"P"))</f>
        <v/>
      </c>
      <c r="AL79" s="34" t="str">
        <f aca="false">IF($B79="","",COUNTIF($F79:$AJ79,"A"))</f>
        <v/>
      </c>
      <c r="AM79" s="34" t="str">
        <f aca="false">IF($B79="","",COUNTIF($F79:$AJ79,"HA"))</f>
        <v/>
      </c>
      <c r="AN79" s="34" t="str">
        <f aca="false">IF($B79="","",COUNTIF($F79:$AJ79,"L"))</f>
        <v/>
      </c>
      <c r="AO79" s="34" t="str">
        <f aca="false">IF($B79="","",COUNTIF($F79:$AJ79,"PL"))</f>
        <v/>
      </c>
      <c r="AP79" s="34" t="str">
        <f aca="false">IF($B79="","",COUNTIF($F79:$AJ79,"CL"))</f>
        <v/>
      </c>
      <c r="AQ79" s="34" t="str">
        <f aca="false">IF($B79="","",COUNTIF($F79:$AJ79,"SL"))</f>
        <v/>
      </c>
      <c r="AR79" s="34" t="str">
        <f aca="false">IF($B79="","",COUNTIF($F79:$AJ79,"CO"))</f>
        <v/>
      </c>
      <c r="AS79" s="34" t="str">
        <f aca="false">IF($B79="","",COUNTIF($F79:$AJ79,"HPL"))</f>
        <v/>
      </c>
      <c r="AT79" s="34" t="str">
        <f aca="false">IF($B79="","",COUNTIF($F79:$AJ79,"HCL"))</f>
        <v/>
      </c>
      <c r="AU79" s="34" t="str">
        <f aca="false">IF($B79="","",COUNTIF($F79:$AJ79,"WO"))</f>
        <v/>
      </c>
      <c r="AV79" s="34" t="str">
        <f aca="false">IF($B79="","",COUNTIF($F79:$AJ79,"PH"))</f>
        <v/>
      </c>
      <c r="AW79" s="34" t="str">
        <f aca="false">IF($B79="","",COUNTIF($F79:$AJ79,"TR"))</f>
        <v/>
      </c>
      <c r="AX79" s="35" t="str">
        <f aca="false">IF($B79="","",AO79+AS79/2)</f>
        <v/>
      </c>
      <c r="AY79" s="35" t="str">
        <f aca="false">IF($B79="","",AQ79)</f>
        <v/>
      </c>
      <c r="AZ79" s="35" t="str">
        <f aca="false">IF($B79="","",AP79+AT79/2)</f>
        <v/>
      </c>
      <c r="BA79" s="35" t="str">
        <f aca="false">IF($B79="","",AK79+AN79+AM79/2+AO79+AP79+AQ79+AR79+AS79+AT79+AU79+AV79+AW79)</f>
        <v/>
      </c>
      <c r="BB79" s="35" t="str">
        <f aca="false">IF($B79="","",MAX(0,AN79-Settings!$C$16)*Settings!$C$17)</f>
        <v/>
      </c>
      <c r="BC79" s="35" t="str">
        <f aca="false">IF($B79="","",BA79-BB79)</f>
        <v/>
      </c>
      <c r="BD79" s="35" t="str">
        <f aca="false">IF(OR($B79="",$A79=""),"",DAY(EOMONTH($A79,0))-COUNTA($F79:$AJ79))</f>
        <v/>
      </c>
    </row>
    <row r="80" customFormat="false" ht="15" hidden="false" customHeight="false" outlineLevel="0" collapsed="false">
      <c r="A80" s="32"/>
      <c r="B80" s="29"/>
      <c r="C80" s="10" t="str">
        <f aca="false">IF($B80="","",IFERROR(INDEX(M_name,MATCH($B80,M_emp,0)),"Code not found"))</f>
        <v/>
      </c>
      <c r="D80" s="10" t="str">
        <f aca="false">IF($B80="","",IFERROR(INDEX(M_dept,MATCH($B80,M_emp,0)),""))</f>
        <v/>
      </c>
      <c r="E80" s="10" t="str">
        <f aca="false">IF($B80="","",IFERROR(INDEX(M_loc,MATCH($B80,M_emp,0)),""))</f>
        <v/>
      </c>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4" t="str">
        <f aca="false">IF($B80="","",COUNTIF($F80:$AJ80,"P"))</f>
        <v/>
      </c>
      <c r="AL80" s="34" t="str">
        <f aca="false">IF($B80="","",COUNTIF($F80:$AJ80,"A"))</f>
        <v/>
      </c>
      <c r="AM80" s="34" t="str">
        <f aca="false">IF($B80="","",COUNTIF($F80:$AJ80,"HA"))</f>
        <v/>
      </c>
      <c r="AN80" s="34" t="str">
        <f aca="false">IF($B80="","",COUNTIF($F80:$AJ80,"L"))</f>
        <v/>
      </c>
      <c r="AO80" s="34" t="str">
        <f aca="false">IF($B80="","",COUNTIF($F80:$AJ80,"PL"))</f>
        <v/>
      </c>
      <c r="AP80" s="34" t="str">
        <f aca="false">IF($B80="","",COUNTIF($F80:$AJ80,"CL"))</f>
        <v/>
      </c>
      <c r="AQ80" s="34" t="str">
        <f aca="false">IF($B80="","",COUNTIF($F80:$AJ80,"SL"))</f>
        <v/>
      </c>
      <c r="AR80" s="34" t="str">
        <f aca="false">IF($B80="","",COUNTIF($F80:$AJ80,"CO"))</f>
        <v/>
      </c>
      <c r="AS80" s="34" t="str">
        <f aca="false">IF($B80="","",COUNTIF($F80:$AJ80,"HPL"))</f>
        <v/>
      </c>
      <c r="AT80" s="34" t="str">
        <f aca="false">IF($B80="","",COUNTIF($F80:$AJ80,"HCL"))</f>
        <v/>
      </c>
      <c r="AU80" s="34" t="str">
        <f aca="false">IF($B80="","",COUNTIF($F80:$AJ80,"WO"))</f>
        <v/>
      </c>
      <c r="AV80" s="34" t="str">
        <f aca="false">IF($B80="","",COUNTIF($F80:$AJ80,"PH"))</f>
        <v/>
      </c>
      <c r="AW80" s="34" t="str">
        <f aca="false">IF($B80="","",COUNTIF($F80:$AJ80,"TR"))</f>
        <v/>
      </c>
      <c r="AX80" s="35" t="str">
        <f aca="false">IF($B80="","",AO80+AS80/2)</f>
        <v/>
      </c>
      <c r="AY80" s="35" t="str">
        <f aca="false">IF($B80="","",AQ80)</f>
        <v/>
      </c>
      <c r="AZ80" s="35" t="str">
        <f aca="false">IF($B80="","",AP80+AT80/2)</f>
        <v/>
      </c>
      <c r="BA80" s="35" t="str">
        <f aca="false">IF($B80="","",AK80+AN80+AM80/2+AO80+AP80+AQ80+AR80+AS80+AT80+AU80+AV80+AW80)</f>
        <v/>
      </c>
      <c r="BB80" s="35" t="str">
        <f aca="false">IF($B80="","",MAX(0,AN80-Settings!$C$16)*Settings!$C$17)</f>
        <v/>
      </c>
      <c r="BC80" s="35" t="str">
        <f aca="false">IF($B80="","",BA80-BB80)</f>
        <v/>
      </c>
      <c r="BD80" s="35" t="str">
        <f aca="false">IF(OR($B80="",$A80=""),"",DAY(EOMONTH($A80,0))-COUNTA($F80:$AJ80))</f>
        <v/>
      </c>
    </row>
    <row r="81" customFormat="false" ht="15" hidden="false" customHeight="false" outlineLevel="0" collapsed="false">
      <c r="A81" s="32"/>
      <c r="B81" s="29"/>
      <c r="C81" s="10" t="str">
        <f aca="false">IF($B81="","",IFERROR(INDEX(M_name,MATCH($B81,M_emp,0)),"Code not found"))</f>
        <v/>
      </c>
      <c r="D81" s="10" t="str">
        <f aca="false">IF($B81="","",IFERROR(INDEX(M_dept,MATCH($B81,M_emp,0)),""))</f>
        <v/>
      </c>
      <c r="E81" s="10" t="str">
        <f aca="false">IF($B81="","",IFERROR(INDEX(M_loc,MATCH($B81,M_emp,0)),""))</f>
        <v/>
      </c>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4" t="str">
        <f aca="false">IF($B81="","",COUNTIF($F81:$AJ81,"P"))</f>
        <v/>
      </c>
      <c r="AL81" s="34" t="str">
        <f aca="false">IF($B81="","",COUNTIF($F81:$AJ81,"A"))</f>
        <v/>
      </c>
      <c r="AM81" s="34" t="str">
        <f aca="false">IF($B81="","",COUNTIF($F81:$AJ81,"HA"))</f>
        <v/>
      </c>
      <c r="AN81" s="34" t="str">
        <f aca="false">IF($B81="","",COUNTIF($F81:$AJ81,"L"))</f>
        <v/>
      </c>
      <c r="AO81" s="34" t="str">
        <f aca="false">IF($B81="","",COUNTIF($F81:$AJ81,"PL"))</f>
        <v/>
      </c>
      <c r="AP81" s="34" t="str">
        <f aca="false">IF($B81="","",COUNTIF($F81:$AJ81,"CL"))</f>
        <v/>
      </c>
      <c r="AQ81" s="34" t="str">
        <f aca="false">IF($B81="","",COUNTIF($F81:$AJ81,"SL"))</f>
        <v/>
      </c>
      <c r="AR81" s="34" t="str">
        <f aca="false">IF($B81="","",COUNTIF($F81:$AJ81,"CO"))</f>
        <v/>
      </c>
      <c r="AS81" s="34" t="str">
        <f aca="false">IF($B81="","",COUNTIF($F81:$AJ81,"HPL"))</f>
        <v/>
      </c>
      <c r="AT81" s="34" t="str">
        <f aca="false">IF($B81="","",COUNTIF($F81:$AJ81,"HCL"))</f>
        <v/>
      </c>
      <c r="AU81" s="34" t="str">
        <f aca="false">IF($B81="","",COUNTIF($F81:$AJ81,"WO"))</f>
        <v/>
      </c>
      <c r="AV81" s="34" t="str">
        <f aca="false">IF($B81="","",COUNTIF($F81:$AJ81,"PH"))</f>
        <v/>
      </c>
      <c r="AW81" s="34" t="str">
        <f aca="false">IF($B81="","",COUNTIF($F81:$AJ81,"TR"))</f>
        <v/>
      </c>
      <c r="AX81" s="35" t="str">
        <f aca="false">IF($B81="","",AO81+AS81/2)</f>
        <v/>
      </c>
      <c r="AY81" s="35" t="str">
        <f aca="false">IF($B81="","",AQ81)</f>
        <v/>
      </c>
      <c r="AZ81" s="35" t="str">
        <f aca="false">IF($B81="","",AP81+AT81/2)</f>
        <v/>
      </c>
      <c r="BA81" s="35" t="str">
        <f aca="false">IF($B81="","",AK81+AN81+AM81/2+AO81+AP81+AQ81+AR81+AS81+AT81+AU81+AV81+AW81)</f>
        <v/>
      </c>
      <c r="BB81" s="35" t="str">
        <f aca="false">IF($B81="","",MAX(0,AN81-Settings!$C$16)*Settings!$C$17)</f>
        <v/>
      </c>
      <c r="BC81" s="35" t="str">
        <f aca="false">IF($B81="","",BA81-BB81)</f>
        <v/>
      </c>
      <c r="BD81" s="35" t="str">
        <f aca="false">IF(OR($B81="",$A81=""),"",DAY(EOMONTH($A81,0))-COUNTA($F81:$AJ81))</f>
        <v/>
      </c>
    </row>
    <row r="82" customFormat="false" ht="15" hidden="false" customHeight="false" outlineLevel="0" collapsed="false">
      <c r="A82" s="32"/>
      <c r="B82" s="29"/>
      <c r="C82" s="10" t="str">
        <f aca="false">IF($B82="","",IFERROR(INDEX(M_name,MATCH($B82,M_emp,0)),"Code not found"))</f>
        <v/>
      </c>
      <c r="D82" s="10" t="str">
        <f aca="false">IF($B82="","",IFERROR(INDEX(M_dept,MATCH($B82,M_emp,0)),""))</f>
        <v/>
      </c>
      <c r="E82" s="10" t="str">
        <f aca="false">IF($B82="","",IFERROR(INDEX(M_loc,MATCH($B82,M_emp,0)),""))</f>
        <v/>
      </c>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4" t="str">
        <f aca="false">IF($B82="","",COUNTIF($F82:$AJ82,"P"))</f>
        <v/>
      </c>
      <c r="AL82" s="34" t="str">
        <f aca="false">IF($B82="","",COUNTIF($F82:$AJ82,"A"))</f>
        <v/>
      </c>
      <c r="AM82" s="34" t="str">
        <f aca="false">IF($B82="","",COUNTIF($F82:$AJ82,"HA"))</f>
        <v/>
      </c>
      <c r="AN82" s="34" t="str">
        <f aca="false">IF($B82="","",COUNTIF($F82:$AJ82,"L"))</f>
        <v/>
      </c>
      <c r="AO82" s="34" t="str">
        <f aca="false">IF($B82="","",COUNTIF($F82:$AJ82,"PL"))</f>
        <v/>
      </c>
      <c r="AP82" s="34" t="str">
        <f aca="false">IF($B82="","",COUNTIF($F82:$AJ82,"CL"))</f>
        <v/>
      </c>
      <c r="AQ82" s="34" t="str">
        <f aca="false">IF($B82="","",COUNTIF($F82:$AJ82,"SL"))</f>
        <v/>
      </c>
      <c r="AR82" s="34" t="str">
        <f aca="false">IF($B82="","",COUNTIF($F82:$AJ82,"CO"))</f>
        <v/>
      </c>
      <c r="AS82" s="34" t="str">
        <f aca="false">IF($B82="","",COUNTIF($F82:$AJ82,"HPL"))</f>
        <v/>
      </c>
      <c r="AT82" s="34" t="str">
        <f aca="false">IF($B82="","",COUNTIF($F82:$AJ82,"HCL"))</f>
        <v/>
      </c>
      <c r="AU82" s="34" t="str">
        <f aca="false">IF($B82="","",COUNTIF($F82:$AJ82,"WO"))</f>
        <v/>
      </c>
      <c r="AV82" s="34" t="str">
        <f aca="false">IF($B82="","",COUNTIF($F82:$AJ82,"PH"))</f>
        <v/>
      </c>
      <c r="AW82" s="34" t="str">
        <f aca="false">IF($B82="","",COUNTIF($F82:$AJ82,"TR"))</f>
        <v/>
      </c>
      <c r="AX82" s="35" t="str">
        <f aca="false">IF($B82="","",AO82+AS82/2)</f>
        <v/>
      </c>
      <c r="AY82" s="35" t="str">
        <f aca="false">IF($B82="","",AQ82)</f>
        <v/>
      </c>
      <c r="AZ82" s="35" t="str">
        <f aca="false">IF($B82="","",AP82+AT82/2)</f>
        <v/>
      </c>
      <c r="BA82" s="35" t="str">
        <f aca="false">IF($B82="","",AK82+AN82+AM82/2+AO82+AP82+AQ82+AR82+AS82+AT82+AU82+AV82+AW82)</f>
        <v/>
      </c>
      <c r="BB82" s="35" t="str">
        <f aca="false">IF($B82="","",MAX(0,AN82-Settings!$C$16)*Settings!$C$17)</f>
        <v/>
      </c>
      <c r="BC82" s="35" t="str">
        <f aca="false">IF($B82="","",BA82-BB82)</f>
        <v/>
      </c>
      <c r="BD82" s="35" t="str">
        <f aca="false">IF(OR($B82="",$A82=""),"",DAY(EOMONTH($A82,0))-COUNTA($F82:$AJ82))</f>
        <v/>
      </c>
    </row>
    <row r="83" customFormat="false" ht="15" hidden="false" customHeight="false" outlineLevel="0" collapsed="false">
      <c r="A83" s="32"/>
      <c r="B83" s="29"/>
      <c r="C83" s="10" t="str">
        <f aca="false">IF($B83="","",IFERROR(INDEX(M_name,MATCH($B83,M_emp,0)),"Code not found"))</f>
        <v/>
      </c>
      <c r="D83" s="10" t="str">
        <f aca="false">IF($B83="","",IFERROR(INDEX(M_dept,MATCH($B83,M_emp,0)),""))</f>
        <v/>
      </c>
      <c r="E83" s="10" t="str">
        <f aca="false">IF($B83="","",IFERROR(INDEX(M_loc,MATCH($B83,M_emp,0)),""))</f>
        <v/>
      </c>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4" t="str">
        <f aca="false">IF($B83="","",COUNTIF($F83:$AJ83,"P"))</f>
        <v/>
      </c>
      <c r="AL83" s="34" t="str">
        <f aca="false">IF($B83="","",COUNTIF($F83:$AJ83,"A"))</f>
        <v/>
      </c>
      <c r="AM83" s="34" t="str">
        <f aca="false">IF($B83="","",COUNTIF($F83:$AJ83,"HA"))</f>
        <v/>
      </c>
      <c r="AN83" s="34" t="str">
        <f aca="false">IF($B83="","",COUNTIF($F83:$AJ83,"L"))</f>
        <v/>
      </c>
      <c r="AO83" s="34" t="str">
        <f aca="false">IF($B83="","",COUNTIF($F83:$AJ83,"PL"))</f>
        <v/>
      </c>
      <c r="AP83" s="34" t="str">
        <f aca="false">IF($B83="","",COUNTIF($F83:$AJ83,"CL"))</f>
        <v/>
      </c>
      <c r="AQ83" s="34" t="str">
        <f aca="false">IF($B83="","",COUNTIF($F83:$AJ83,"SL"))</f>
        <v/>
      </c>
      <c r="AR83" s="34" t="str">
        <f aca="false">IF($B83="","",COUNTIF($F83:$AJ83,"CO"))</f>
        <v/>
      </c>
      <c r="AS83" s="34" t="str">
        <f aca="false">IF($B83="","",COUNTIF($F83:$AJ83,"HPL"))</f>
        <v/>
      </c>
      <c r="AT83" s="34" t="str">
        <f aca="false">IF($B83="","",COUNTIF($F83:$AJ83,"HCL"))</f>
        <v/>
      </c>
      <c r="AU83" s="34" t="str">
        <f aca="false">IF($B83="","",COUNTIF($F83:$AJ83,"WO"))</f>
        <v/>
      </c>
      <c r="AV83" s="34" t="str">
        <f aca="false">IF($B83="","",COUNTIF($F83:$AJ83,"PH"))</f>
        <v/>
      </c>
      <c r="AW83" s="34" t="str">
        <f aca="false">IF($B83="","",COUNTIF($F83:$AJ83,"TR"))</f>
        <v/>
      </c>
      <c r="AX83" s="35" t="str">
        <f aca="false">IF($B83="","",AO83+AS83/2)</f>
        <v/>
      </c>
      <c r="AY83" s="35" t="str">
        <f aca="false">IF($B83="","",AQ83)</f>
        <v/>
      </c>
      <c r="AZ83" s="35" t="str">
        <f aca="false">IF($B83="","",AP83+AT83/2)</f>
        <v/>
      </c>
      <c r="BA83" s="35" t="str">
        <f aca="false">IF($B83="","",AK83+AN83+AM83/2+AO83+AP83+AQ83+AR83+AS83+AT83+AU83+AV83+AW83)</f>
        <v/>
      </c>
      <c r="BB83" s="35" t="str">
        <f aca="false">IF($B83="","",MAX(0,AN83-Settings!$C$16)*Settings!$C$17)</f>
        <v/>
      </c>
      <c r="BC83" s="35" t="str">
        <f aca="false">IF($B83="","",BA83-BB83)</f>
        <v/>
      </c>
      <c r="BD83" s="35" t="str">
        <f aca="false">IF(OR($B83="",$A83=""),"",DAY(EOMONTH($A83,0))-COUNTA($F83:$AJ83))</f>
        <v/>
      </c>
    </row>
    <row r="84" customFormat="false" ht="15" hidden="false" customHeight="false" outlineLevel="0" collapsed="false">
      <c r="A84" s="32"/>
      <c r="B84" s="29"/>
      <c r="C84" s="10" t="str">
        <f aca="false">IF($B84="","",IFERROR(INDEX(M_name,MATCH($B84,M_emp,0)),"Code not found"))</f>
        <v/>
      </c>
      <c r="D84" s="10" t="str">
        <f aca="false">IF($B84="","",IFERROR(INDEX(M_dept,MATCH($B84,M_emp,0)),""))</f>
        <v/>
      </c>
      <c r="E84" s="10" t="str">
        <f aca="false">IF($B84="","",IFERROR(INDEX(M_loc,MATCH($B84,M_emp,0)),""))</f>
        <v/>
      </c>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4" t="str">
        <f aca="false">IF($B84="","",COUNTIF($F84:$AJ84,"P"))</f>
        <v/>
      </c>
      <c r="AL84" s="34" t="str">
        <f aca="false">IF($B84="","",COUNTIF($F84:$AJ84,"A"))</f>
        <v/>
      </c>
      <c r="AM84" s="34" t="str">
        <f aca="false">IF($B84="","",COUNTIF($F84:$AJ84,"HA"))</f>
        <v/>
      </c>
      <c r="AN84" s="34" t="str">
        <f aca="false">IF($B84="","",COUNTIF($F84:$AJ84,"L"))</f>
        <v/>
      </c>
      <c r="AO84" s="34" t="str">
        <f aca="false">IF($B84="","",COUNTIF($F84:$AJ84,"PL"))</f>
        <v/>
      </c>
      <c r="AP84" s="34" t="str">
        <f aca="false">IF($B84="","",COUNTIF($F84:$AJ84,"CL"))</f>
        <v/>
      </c>
      <c r="AQ84" s="34" t="str">
        <f aca="false">IF($B84="","",COUNTIF($F84:$AJ84,"SL"))</f>
        <v/>
      </c>
      <c r="AR84" s="34" t="str">
        <f aca="false">IF($B84="","",COUNTIF($F84:$AJ84,"CO"))</f>
        <v/>
      </c>
      <c r="AS84" s="34" t="str">
        <f aca="false">IF($B84="","",COUNTIF($F84:$AJ84,"HPL"))</f>
        <v/>
      </c>
      <c r="AT84" s="34" t="str">
        <f aca="false">IF($B84="","",COUNTIF($F84:$AJ84,"HCL"))</f>
        <v/>
      </c>
      <c r="AU84" s="34" t="str">
        <f aca="false">IF($B84="","",COUNTIF($F84:$AJ84,"WO"))</f>
        <v/>
      </c>
      <c r="AV84" s="34" t="str">
        <f aca="false">IF($B84="","",COUNTIF($F84:$AJ84,"PH"))</f>
        <v/>
      </c>
      <c r="AW84" s="34" t="str">
        <f aca="false">IF($B84="","",COUNTIF($F84:$AJ84,"TR"))</f>
        <v/>
      </c>
      <c r="AX84" s="35" t="str">
        <f aca="false">IF($B84="","",AO84+AS84/2)</f>
        <v/>
      </c>
      <c r="AY84" s="35" t="str">
        <f aca="false">IF($B84="","",AQ84)</f>
        <v/>
      </c>
      <c r="AZ84" s="35" t="str">
        <f aca="false">IF($B84="","",AP84+AT84/2)</f>
        <v/>
      </c>
      <c r="BA84" s="35" t="str">
        <f aca="false">IF($B84="","",AK84+AN84+AM84/2+AO84+AP84+AQ84+AR84+AS84+AT84+AU84+AV84+AW84)</f>
        <v/>
      </c>
      <c r="BB84" s="35" t="str">
        <f aca="false">IF($B84="","",MAX(0,AN84-Settings!$C$16)*Settings!$C$17)</f>
        <v/>
      </c>
      <c r="BC84" s="35" t="str">
        <f aca="false">IF($B84="","",BA84-BB84)</f>
        <v/>
      </c>
      <c r="BD84" s="35" t="str">
        <f aca="false">IF(OR($B84="",$A84=""),"",DAY(EOMONTH($A84,0))-COUNTA($F84:$AJ84))</f>
        <v/>
      </c>
    </row>
    <row r="85" customFormat="false" ht="15" hidden="false" customHeight="false" outlineLevel="0" collapsed="false">
      <c r="A85" s="32"/>
      <c r="B85" s="29"/>
      <c r="C85" s="10" t="str">
        <f aca="false">IF($B85="","",IFERROR(INDEX(M_name,MATCH($B85,M_emp,0)),"Code not found"))</f>
        <v/>
      </c>
      <c r="D85" s="10" t="str">
        <f aca="false">IF($B85="","",IFERROR(INDEX(M_dept,MATCH($B85,M_emp,0)),""))</f>
        <v/>
      </c>
      <c r="E85" s="10" t="str">
        <f aca="false">IF($B85="","",IFERROR(INDEX(M_loc,MATCH($B85,M_emp,0)),""))</f>
        <v/>
      </c>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4" t="str">
        <f aca="false">IF($B85="","",COUNTIF($F85:$AJ85,"P"))</f>
        <v/>
      </c>
      <c r="AL85" s="34" t="str">
        <f aca="false">IF($B85="","",COUNTIF($F85:$AJ85,"A"))</f>
        <v/>
      </c>
      <c r="AM85" s="34" t="str">
        <f aca="false">IF($B85="","",COUNTIF($F85:$AJ85,"HA"))</f>
        <v/>
      </c>
      <c r="AN85" s="34" t="str">
        <f aca="false">IF($B85="","",COUNTIF($F85:$AJ85,"L"))</f>
        <v/>
      </c>
      <c r="AO85" s="34" t="str">
        <f aca="false">IF($B85="","",COUNTIF($F85:$AJ85,"PL"))</f>
        <v/>
      </c>
      <c r="AP85" s="34" t="str">
        <f aca="false">IF($B85="","",COUNTIF($F85:$AJ85,"CL"))</f>
        <v/>
      </c>
      <c r="AQ85" s="34" t="str">
        <f aca="false">IF($B85="","",COUNTIF($F85:$AJ85,"SL"))</f>
        <v/>
      </c>
      <c r="AR85" s="34" t="str">
        <f aca="false">IF($B85="","",COUNTIF($F85:$AJ85,"CO"))</f>
        <v/>
      </c>
      <c r="AS85" s="34" t="str">
        <f aca="false">IF($B85="","",COUNTIF($F85:$AJ85,"HPL"))</f>
        <v/>
      </c>
      <c r="AT85" s="34" t="str">
        <f aca="false">IF($B85="","",COUNTIF($F85:$AJ85,"HCL"))</f>
        <v/>
      </c>
      <c r="AU85" s="34" t="str">
        <f aca="false">IF($B85="","",COUNTIF($F85:$AJ85,"WO"))</f>
        <v/>
      </c>
      <c r="AV85" s="34" t="str">
        <f aca="false">IF($B85="","",COUNTIF($F85:$AJ85,"PH"))</f>
        <v/>
      </c>
      <c r="AW85" s="34" t="str">
        <f aca="false">IF($B85="","",COUNTIF($F85:$AJ85,"TR"))</f>
        <v/>
      </c>
      <c r="AX85" s="35" t="str">
        <f aca="false">IF($B85="","",AO85+AS85/2)</f>
        <v/>
      </c>
      <c r="AY85" s="35" t="str">
        <f aca="false">IF($B85="","",AQ85)</f>
        <v/>
      </c>
      <c r="AZ85" s="35" t="str">
        <f aca="false">IF($B85="","",AP85+AT85/2)</f>
        <v/>
      </c>
      <c r="BA85" s="35" t="str">
        <f aca="false">IF($B85="","",AK85+AN85+AM85/2+AO85+AP85+AQ85+AR85+AS85+AT85+AU85+AV85+AW85)</f>
        <v/>
      </c>
      <c r="BB85" s="35" t="str">
        <f aca="false">IF($B85="","",MAX(0,AN85-Settings!$C$16)*Settings!$C$17)</f>
        <v/>
      </c>
      <c r="BC85" s="35" t="str">
        <f aca="false">IF($B85="","",BA85-BB85)</f>
        <v/>
      </c>
      <c r="BD85" s="35" t="str">
        <f aca="false">IF(OR($B85="",$A85=""),"",DAY(EOMONTH($A85,0))-COUNTA($F85:$AJ85))</f>
        <v/>
      </c>
    </row>
    <row r="86" customFormat="false" ht="15" hidden="false" customHeight="false" outlineLevel="0" collapsed="false">
      <c r="A86" s="32"/>
      <c r="B86" s="29"/>
      <c r="C86" s="10" t="str">
        <f aca="false">IF($B86="","",IFERROR(INDEX(M_name,MATCH($B86,M_emp,0)),"Code not found"))</f>
        <v/>
      </c>
      <c r="D86" s="10" t="str">
        <f aca="false">IF($B86="","",IFERROR(INDEX(M_dept,MATCH($B86,M_emp,0)),""))</f>
        <v/>
      </c>
      <c r="E86" s="10" t="str">
        <f aca="false">IF($B86="","",IFERROR(INDEX(M_loc,MATCH($B86,M_emp,0)),""))</f>
        <v/>
      </c>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4" t="str">
        <f aca="false">IF($B86="","",COUNTIF($F86:$AJ86,"P"))</f>
        <v/>
      </c>
      <c r="AL86" s="34" t="str">
        <f aca="false">IF($B86="","",COUNTIF($F86:$AJ86,"A"))</f>
        <v/>
      </c>
      <c r="AM86" s="34" t="str">
        <f aca="false">IF($B86="","",COUNTIF($F86:$AJ86,"HA"))</f>
        <v/>
      </c>
      <c r="AN86" s="34" t="str">
        <f aca="false">IF($B86="","",COUNTIF($F86:$AJ86,"L"))</f>
        <v/>
      </c>
      <c r="AO86" s="34" t="str">
        <f aca="false">IF($B86="","",COUNTIF($F86:$AJ86,"PL"))</f>
        <v/>
      </c>
      <c r="AP86" s="34" t="str">
        <f aca="false">IF($B86="","",COUNTIF($F86:$AJ86,"CL"))</f>
        <v/>
      </c>
      <c r="AQ86" s="34" t="str">
        <f aca="false">IF($B86="","",COUNTIF($F86:$AJ86,"SL"))</f>
        <v/>
      </c>
      <c r="AR86" s="34" t="str">
        <f aca="false">IF($B86="","",COUNTIF($F86:$AJ86,"CO"))</f>
        <v/>
      </c>
      <c r="AS86" s="34" t="str">
        <f aca="false">IF($B86="","",COUNTIF($F86:$AJ86,"HPL"))</f>
        <v/>
      </c>
      <c r="AT86" s="34" t="str">
        <f aca="false">IF($B86="","",COUNTIF($F86:$AJ86,"HCL"))</f>
        <v/>
      </c>
      <c r="AU86" s="34" t="str">
        <f aca="false">IF($B86="","",COUNTIF($F86:$AJ86,"WO"))</f>
        <v/>
      </c>
      <c r="AV86" s="34" t="str">
        <f aca="false">IF($B86="","",COUNTIF($F86:$AJ86,"PH"))</f>
        <v/>
      </c>
      <c r="AW86" s="34" t="str">
        <f aca="false">IF($B86="","",COUNTIF($F86:$AJ86,"TR"))</f>
        <v/>
      </c>
      <c r="AX86" s="35" t="str">
        <f aca="false">IF($B86="","",AO86+AS86/2)</f>
        <v/>
      </c>
      <c r="AY86" s="35" t="str">
        <f aca="false">IF($B86="","",AQ86)</f>
        <v/>
      </c>
      <c r="AZ86" s="35" t="str">
        <f aca="false">IF($B86="","",AP86+AT86/2)</f>
        <v/>
      </c>
      <c r="BA86" s="35" t="str">
        <f aca="false">IF($B86="","",AK86+AN86+AM86/2+AO86+AP86+AQ86+AR86+AS86+AT86+AU86+AV86+AW86)</f>
        <v/>
      </c>
      <c r="BB86" s="35" t="str">
        <f aca="false">IF($B86="","",MAX(0,AN86-Settings!$C$16)*Settings!$C$17)</f>
        <v/>
      </c>
      <c r="BC86" s="35" t="str">
        <f aca="false">IF($B86="","",BA86-BB86)</f>
        <v/>
      </c>
      <c r="BD86" s="35" t="str">
        <f aca="false">IF(OR($B86="",$A86=""),"",DAY(EOMONTH($A86,0))-COUNTA($F86:$AJ86))</f>
        <v/>
      </c>
    </row>
    <row r="87" customFormat="false" ht="15" hidden="false" customHeight="false" outlineLevel="0" collapsed="false">
      <c r="A87" s="32"/>
      <c r="B87" s="29"/>
      <c r="C87" s="10" t="str">
        <f aca="false">IF($B87="","",IFERROR(INDEX(M_name,MATCH($B87,M_emp,0)),"Code not found"))</f>
        <v/>
      </c>
      <c r="D87" s="10" t="str">
        <f aca="false">IF($B87="","",IFERROR(INDEX(M_dept,MATCH($B87,M_emp,0)),""))</f>
        <v/>
      </c>
      <c r="E87" s="10" t="str">
        <f aca="false">IF($B87="","",IFERROR(INDEX(M_loc,MATCH($B87,M_emp,0)),""))</f>
        <v/>
      </c>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4" t="str">
        <f aca="false">IF($B87="","",COUNTIF($F87:$AJ87,"P"))</f>
        <v/>
      </c>
      <c r="AL87" s="34" t="str">
        <f aca="false">IF($B87="","",COUNTIF($F87:$AJ87,"A"))</f>
        <v/>
      </c>
      <c r="AM87" s="34" t="str">
        <f aca="false">IF($B87="","",COUNTIF($F87:$AJ87,"HA"))</f>
        <v/>
      </c>
      <c r="AN87" s="34" t="str">
        <f aca="false">IF($B87="","",COUNTIF($F87:$AJ87,"L"))</f>
        <v/>
      </c>
      <c r="AO87" s="34" t="str">
        <f aca="false">IF($B87="","",COUNTIF($F87:$AJ87,"PL"))</f>
        <v/>
      </c>
      <c r="AP87" s="34" t="str">
        <f aca="false">IF($B87="","",COUNTIF($F87:$AJ87,"CL"))</f>
        <v/>
      </c>
      <c r="AQ87" s="34" t="str">
        <f aca="false">IF($B87="","",COUNTIF($F87:$AJ87,"SL"))</f>
        <v/>
      </c>
      <c r="AR87" s="34" t="str">
        <f aca="false">IF($B87="","",COUNTIF($F87:$AJ87,"CO"))</f>
        <v/>
      </c>
      <c r="AS87" s="34" t="str">
        <f aca="false">IF($B87="","",COUNTIF($F87:$AJ87,"HPL"))</f>
        <v/>
      </c>
      <c r="AT87" s="34" t="str">
        <f aca="false">IF($B87="","",COUNTIF($F87:$AJ87,"HCL"))</f>
        <v/>
      </c>
      <c r="AU87" s="34" t="str">
        <f aca="false">IF($B87="","",COUNTIF($F87:$AJ87,"WO"))</f>
        <v/>
      </c>
      <c r="AV87" s="34" t="str">
        <f aca="false">IF($B87="","",COUNTIF($F87:$AJ87,"PH"))</f>
        <v/>
      </c>
      <c r="AW87" s="34" t="str">
        <f aca="false">IF($B87="","",COUNTIF($F87:$AJ87,"TR"))</f>
        <v/>
      </c>
      <c r="AX87" s="35" t="str">
        <f aca="false">IF($B87="","",AO87+AS87/2)</f>
        <v/>
      </c>
      <c r="AY87" s="35" t="str">
        <f aca="false">IF($B87="","",AQ87)</f>
        <v/>
      </c>
      <c r="AZ87" s="35" t="str">
        <f aca="false">IF($B87="","",AP87+AT87/2)</f>
        <v/>
      </c>
      <c r="BA87" s="35" t="str">
        <f aca="false">IF($B87="","",AK87+AN87+AM87/2+AO87+AP87+AQ87+AR87+AS87+AT87+AU87+AV87+AW87)</f>
        <v/>
      </c>
      <c r="BB87" s="35" t="str">
        <f aca="false">IF($B87="","",MAX(0,AN87-Settings!$C$16)*Settings!$C$17)</f>
        <v/>
      </c>
      <c r="BC87" s="35" t="str">
        <f aca="false">IF($B87="","",BA87-BB87)</f>
        <v/>
      </c>
      <c r="BD87" s="35" t="str">
        <f aca="false">IF(OR($B87="",$A87=""),"",DAY(EOMONTH($A87,0))-COUNTA($F87:$AJ87))</f>
        <v/>
      </c>
    </row>
    <row r="88" customFormat="false" ht="15" hidden="false" customHeight="false" outlineLevel="0" collapsed="false">
      <c r="A88" s="32"/>
      <c r="B88" s="29"/>
      <c r="C88" s="10" t="str">
        <f aca="false">IF($B88="","",IFERROR(INDEX(M_name,MATCH($B88,M_emp,0)),"Code not found"))</f>
        <v/>
      </c>
      <c r="D88" s="10" t="str">
        <f aca="false">IF($B88="","",IFERROR(INDEX(M_dept,MATCH($B88,M_emp,0)),""))</f>
        <v/>
      </c>
      <c r="E88" s="10" t="str">
        <f aca="false">IF($B88="","",IFERROR(INDEX(M_loc,MATCH($B88,M_emp,0)),""))</f>
        <v/>
      </c>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4" t="str">
        <f aca="false">IF($B88="","",COUNTIF($F88:$AJ88,"P"))</f>
        <v/>
      </c>
      <c r="AL88" s="34" t="str">
        <f aca="false">IF($B88="","",COUNTIF($F88:$AJ88,"A"))</f>
        <v/>
      </c>
      <c r="AM88" s="34" t="str">
        <f aca="false">IF($B88="","",COUNTIF($F88:$AJ88,"HA"))</f>
        <v/>
      </c>
      <c r="AN88" s="34" t="str">
        <f aca="false">IF($B88="","",COUNTIF($F88:$AJ88,"L"))</f>
        <v/>
      </c>
      <c r="AO88" s="34" t="str">
        <f aca="false">IF($B88="","",COUNTIF($F88:$AJ88,"PL"))</f>
        <v/>
      </c>
      <c r="AP88" s="34" t="str">
        <f aca="false">IF($B88="","",COUNTIF($F88:$AJ88,"CL"))</f>
        <v/>
      </c>
      <c r="AQ88" s="34" t="str">
        <f aca="false">IF($B88="","",COUNTIF($F88:$AJ88,"SL"))</f>
        <v/>
      </c>
      <c r="AR88" s="34" t="str">
        <f aca="false">IF($B88="","",COUNTIF($F88:$AJ88,"CO"))</f>
        <v/>
      </c>
      <c r="AS88" s="34" t="str">
        <f aca="false">IF($B88="","",COUNTIF($F88:$AJ88,"HPL"))</f>
        <v/>
      </c>
      <c r="AT88" s="34" t="str">
        <f aca="false">IF($B88="","",COUNTIF($F88:$AJ88,"HCL"))</f>
        <v/>
      </c>
      <c r="AU88" s="34" t="str">
        <f aca="false">IF($B88="","",COUNTIF($F88:$AJ88,"WO"))</f>
        <v/>
      </c>
      <c r="AV88" s="34" t="str">
        <f aca="false">IF($B88="","",COUNTIF($F88:$AJ88,"PH"))</f>
        <v/>
      </c>
      <c r="AW88" s="34" t="str">
        <f aca="false">IF($B88="","",COUNTIF($F88:$AJ88,"TR"))</f>
        <v/>
      </c>
      <c r="AX88" s="35" t="str">
        <f aca="false">IF($B88="","",AO88+AS88/2)</f>
        <v/>
      </c>
      <c r="AY88" s="35" t="str">
        <f aca="false">IF($B88="","",AQ88)</f>
        <v/>
      </c>
      <c r="AZ88" s="35" t="str">
        <f aca="false">IF($B88="","",AP88+AT88/2)</f>
        <v/>
      </c>
      <c r="BA88" s="35" t="str">
        <f aca="false">IF($B88="","",AK88+AN88+AM88/2+AO88+AP88+AQ88+AR88+AS88+AT88+AU88+AV88+AW88)</f>
        <v/>
      </c>
      <c r="BB88" s="35" t="str">
        <f aca="false">IF($B88="","",MAX(0,AN88-Settings!$C$16)*Settings!$C$17)</f>
        <v/>
      </c>
      <c r="BC88" s="35" t="str">
        <f aca="false">IF($B88="","",BA88-BB88)</f>
        <v/>
      </c>
      <c r="BD88" s="35" t="str">
        <f aca="false">IF(OR($B88="",$A88=""),"",DAY(EOMONTH($A88,0))-COUNTA($F88:$AJ88))</f>
        <v/>
      </c>
    </row>
    <row r="89" customFormat="false" ht="15" hidden="false" customHeight="false" outlineLevel="0" collapsed="false">
      <c r="A89" s="32"/>
      <c r="B89" s="29"/>
      <c r="C89" s="10" t="str">
        <f aca="false">IF($B89="","",IFERROR(INDEX(M_name,MATCH($B89,M_emp,0)),"Code not found"))</f>
        <v/>
      </c>
      <c r="D89" s="10" t="str">
        <f aca="false">IF($B89="","",IFERROR(INDEX(M_dept,MATCH($B89,M_emp,0)),""))</f>
        <v/>
      </c>
      <c r="E89" s="10" t="str">
        <f aca="false">IF($B89="","",IFERROR(INDEX(M_loc,MATCH($B89,M_emp,0)),""))</f>
        <v/>
      </c>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4" t="str">
        <f aca="false">IF($B89="","",COUNTIF($F89:$AJ89,"P"))</f>
        <v/>
      </c>
      <c r="AL89" s="34" t="str">
        <f aca="false">IF($B89="","",COUNTIF($F89:$AJ89,"A"))</f>
        <v/>
      </c>
      <c r="AM89" s="34" t="str">
        <f aca="false">IF($B89="","",COUNTIF($F89:$AJ89,"HA"))</f>
        <v/>
      </c>
      <c r="AN89" s="34" t="str">
        <f aca="false">IF($B89="","",COUNTIF($F89:$AJ89,"L"))</f>
        <v/>
      </c>
      <c r="AO89" s="34" t="str">
        <f aca="false">IF($B89="","",COUNTIF($F89:$AJ89,"PL"))</f>
        <v/>
      </c>
      <c r="AP89" s="34" t="str">
        <f aca="false">IF($B89="","",COUNTIF($F89:$AJ89,"CL"))</f>
        <v/>
      </c>
      <c r="AQ89" s="34" t="str">
        <f aca="false">IF($B89="","",COUNTIF($F89:$AJ89,"SL"))</f>
        <v/>
      </c>
      <c r="AR89" s="34" t="str">
        <f aca="false">IF($B89="","",COUNTIF($F89:$AJ89,"CO"))</f>
        <v/>
      </c>
      <c r="AS89" s="34" t="str">
        <f aca="false">IF($B89="","",COUNTIF($F89:$AJ89,"HPL"))</f>
        <v/>
      </c>
      <c r="AT89" s="34" t="str">
        <f aca="false">IF($B89="","",COUNTIF($F89:$AJ89,"HCL"))</f>
        <v/>
      </c>
      <c r="AU89" s="34" t="str">
        <f aca="false">IF($B89="","",COUNTIF($F89:$AJ89,"WO"))</f>
        <v/>
      </c>
      <c r="AV89" s="34" t="str">
        <f aca="false">IF($B89="","",COUNTIF($F89:$AJ89,"PH"))</f>
        <v/>
      </c>
      <c r="AW89" s="34" t="str">
        <f aca="false">IF($B89="","",COUNTIF($F89:$AJ89,"TR"))</f>
        <v/>
      </c>
      <c r="AX89" s="35" t="str">
        <f aca="false">IF($B89="","",AO89+AS89/2)</f>
        <v/>
      </c>
      <c r="AY89" s="35" t="str">
        <f aca="false">IF($B89="","",AQ89)</f>
        <v/>
      </c>
      <c r="AZ89" s="35" t="str">
        <f aca="false">IF($B89="","",AP89+AT89/2)</f>
        <v/>
      </c>
      <c r="BA89" s="35" t="str">
        <f aca="false">IF($B89="","",AK89+AN89+AM89/2+AO89+AP89+AQ89+AR89+AS89+AT89+AU89+AV89+AW89)</f>
        <v/>
      </c>
      <c r="BB89" s="35" t="str">
        <f aca="false">IF($B89="","",MAX(0,AN89-Settings!$C$16)*Settings!$C$17)</f>
        <v/>
      </c>
      <c r="BC89" s="35" t="str">
        <f aca="false">IF($B89="","",BA89-BB89)</f>
        <v/>
      </c>
      <c r="BD89" s="35" t="str">
        <f aca="false">IF(OR($B89="",$A89=""),"",DAY(EOMONTH($A89,0))-COUNTA($F89:$AJ89))</f>
        <v/>
      </c>
    </row>
    <row r="90" customFormat="false" ht="15" hidden="false" customHeight="false" outlineLevel="0" collapsed="false">
      <c r="A90" s="32"/>
      <c r="B90" s="29"/>
      <c r="C90" s="10" t="str">
        <f aca="false">IF($B90="","",IFERROR(INDEX(M_name,MATCH($B90,M_emp,0)),"Code not found"))</f>
        <v/>
      </c>
      <c r="D90" s="10" t="str">
        <f aca="false">IF($B90="","",IFERROR(INDEX(M_dept,MATCH($B90,M_emp,0)),""))</f>
        <v/>
      </c>
      <c r="E90" s="10" t="str">
        <f aca="false">IF($B90="","",IFERROR(INDEX(M_loc,MATCH($B90,M_emp,0)),""))</f>
        <v/>
      </c>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4" t="str">
        <f aca="false">IF($B90="","",COUNTIF($F90:$AJ90,"P"))</f>
        <v/>
      </c>
      <c r="AL90" s="34" t="str">
        <f aca="false">IF($B90="","",COUNTIF($F90:$AJ90,"A"))</f>
        <v/>
      </c>
      <c r="AM90" s="34" t="str">
        <f aca="false">IF($B90="","",COUNTIF($F90:$AJ90,"HA"))</f>
        <v/>
      </c>
      <c r="AN90" s="34" t="str">
        <f aca="false">IF($B90="","",COUNTIF($F90:$AJ90,"L"))</f>
        <v/>
      </c>
      <c r="AO90" s="34" t="str">
        <f aca="false">IF($B90="","",COUNTIF($F90:$AJ90,"PL"))</f>
        <v/>
      </c>
      <c r="AP90" s="34" t="str">
        <f aca="false">IF($B90="","",COUNTIF($F90:$AJ90,"CL"))</f>
        <v/>
      </c>
      <c r="AQ90" s="34" t="str">
        <f aca="false">IF($B90="","",COUNTIF($F90:$AJ90,"SL"))</f>
        <v/>
      </c>
      <c r="AR90" s="34" t="str">
        <f aca="false">IF($B90="","",COUNTIF($F90:$AJ90,"CO"))</f>
        <v/>
      </c>
      <c r="AS90" s="34" t="str">
        <f aca="false">IF($B90="","",COUNTIF($F90:$AJ90,"HPL"))</f>
        <v/>
      </c>
      <c r="AT90" s="34" t="str">
        <f aca="false">IF($B90="","",COUNTIF($F90:$AJ90,"HCL"))</f>
        <v/>
      </c>
      <c r="AU90" s="34" t="str">
        <f aca="false">IF($B90="","",COUNTIF($F90:$AJ90,"WO"))</f>
        <v/>
      </c>
      <c r="AV90" s="34" t="str">
        <f aca="false">IF($B90="","",COUNTIF($F90:$AJ90,"PH"))</f>
        <v/>
      </c>
      <c r="AW90" s="34" t="str">
        <f aca="false">IF($B90="","",COUNTIF($F90:$AJ90,"TR"))</f>
        <v/>
      </c>
      <c r="AX90" s="35" t="str">
        <f aca="false">IF($B90="","",AO90+AS90/2)</f>
        <v/>
      </c>
      <c r="AY90" s="35" t="str">
        <f aca="false">IF($B90="","",AQ90)</f>
        <v/>
      </c>
      <c r="AZ90" s="35" t="str">
        <f aca="false">IF($B90="","",AP90+AT90/2)</f>
        <v/>
      </c>
      <c r="BA90" s="35" t="str">
        <f aca="false">IF($B90="","",AK90+AN90+AM90/2+AO90+AP90+AQ90+AR90+AS90+AT90+AU90+AV90+AW90)</f>
        <v/>
      </c>
      <c r="BB90" s="35" t="str">
        <f aca="false">IF($B90="","",MAX(0,AN90-Settings!$C$16)*Settings!$C$17)</f>
        <v/>
      </c>
      <c r="BC90" s="35" t="str">
        <f aca="false">IF($B90="","",BA90-BB90)</f>
        <v/>
      </c>
      <c r="BD90" s="35" t="str">
        <f aca="false">IF(OR($B90="",$A90=""),"",DAY(EOMONTH($A90,0))-COUNTA($F90:$AJ90))</f>
        <v/>
      </c>
    </row>
    <row r="91" customFormat="false" ht="15" hidden="false" customHeight="false" outlineLevel="0" collapsed="false">
      <c r="A91" s="32"/>
      <c r="B91" s="29"/>
      <c r="C91" s="10" t="str">
        <f aca="false">IF($B91="","",IFERROR(INDEX(M_name,MATCH($B91,M_emp,0)),"Code not found"))</f>
        <v/>
      </c>
      <c r="D91" s="10" t="str">
        <f aca="false">IF($B91="","",IFERROR(INDEX(M_dept,MATCH($B91,M_emp,0)),""))</f>
        <v/>
      </c>
      <c r="E91" s="10" t="str">
        <f aca="false">IF($B91="","",IFERROR(INDEX(M_loc,MATCH($B91,M_emp,0)),""))</f>
        <v/>
      </c>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4" t="str">
        <f aca="false">IF($B91="","",COUNTIF($F91:$AJ91,"P"))</f>
        <v/>
      </c>
      <c r="AL91" s="34" t="str">
        <f aca="false">IF($B91="","",COUNTIF($F91:$AJ91,"A"))</f>
        <v/>
      </c>
      <c r="AM91" s="34" t="str">
        <f aca="false">IF($B91="","",COUNTIF($F91:$AJ91,"HA"))</f>
        <v/>
      </c>
      <c r="AN91" s="34" t="str">
        <f aca="false">IF($B91="","",COUNTIF($F91:$AJ91,"L"))</f>
        <v/>
      </c>
      <c r="AO91" s="34" t="str">
        <f aca="false">IF($B91="","",COUNTIF($F91:$AJ91,"PL"))</f>
        <v/>
      </c>
      <c r="AP91" s="34" t="str">
        <f aca="false">IF($B91="","",COUNTIF($F91:$AJ91,"CL"))</f>
        <v/>
      </c>
      <c r="AQ91" s="34" t="str">
        <f aca="false">IF($B91="","",COUNTIF($F91:$AJ91,"SL"))</f>
        <v/>
      </c>
      <c r="AR91" s="34" t="str">
        <f aca="false">IF($B91="","",COUNTIF($F91:$AJ91,"CO"))</f>
        <v/>
      </c>
      <c r="AS91" s="34" t="str">
        <f aca="false">IF($B91="","",COUNTIF($F91:$AJ91,"HPL"))</f>
        <v/>
      </c>
      <c r="AT91" s="34" t="str">
        <f aca="false">IF($B91="","",COUNTIF($F91:$AJ91,"HCL"))</f>
        <v/>
      </c>
      <c r="AU91" s="34" t="str">
        <f aca="false">IF($B91="","",COUNTIF($F91:$AJ91,"WO"))</f>
        <v/>
      </c>
      <c r="AV91" s="34" t="str">
        <f aca="false">IF($B91="","",COUNTIF($F91:$AJ91,"PH"))</f>
        <v/>
      </c>
      <c r="AW91" s="34" t="str">
        <f aca="false">IF($B91="","",COUNTIF($F91:$AJ91,"TR"))</f>
        <v/>
      </c>
      <c r="AX91" s="35" t="str">
        <f aca="false">IF($B91="","",AO91+AS91/2)</f>
        <v/>
      </c>
      <c r="AY91" s="35" t="str">
        <f aca="false">IF($B91="","",AQ91)</f>
        <v/>
      </c>
      <c r="AZ91" s="35" t="str">
        <f aca="false">IF($B91="","",AP91+AT91/2)</f>
        <v/>
      </c>
      <c r="BA91" s="35" t="str">
        <f aca="false">IF($B91="","",AK91+AN91+AM91/2+AO91+AP91+AQ91+AR91+AS91+AT91+AU91+AV91+AW91)</f>
        <v/>
      </c>
      <c r="BB91" s="35" t="str">
        <f aca="false">IF($B91="","",MAX(0,AN91-Settings!$C$16)*Settings!$C$17)</f>
        <v/>
      </c>
      <c r="BC91" s="35" t="str">
        <f aca="false">IF($B91="","",BA91-BB91)</f>
        <v/>
      </c>
      <c r="BD91" s="35" t="str">
        <f aca="false">IF(OR($B91="",$A91=""),"",DAY(EOMONTH($A91,0))-COUNTA($F91:$AJ91))</f>
        <v/>
      </c>
    </row>
    <row r="92" customFormat="false" ht="15" hidden="false" customHeight="false" outlineLevel="0" collapsed="false">
      <c r="A92" s="32"/>
      <c r="B92" s="29"/>
      <c r="C92" s="10" t="str">
        <f aca="false">IF($B92="","",IFERROR(INDEX(M_name,MATCH($B92,M_emp,0)),"Code not found"))</f>
        <v/>
      </c>
      <c r="D92" s="10" t="str">
        <f aca="false">IF($B92="","",IFERROR(INDEX(M_dept,MATCH($B92,M_emp,0)),""))</f>
        <v/>
      </c>
      <c r="E92" s="10" t="str">
        <f aca="false">IF($B92="","",IFERROR(INDEX(M_loc,MATCH($B92,M_emp,0)),""))</f>
        <v/>
      </c>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4" t="str">
        <f aca="false">IF($B92="","",COUNTIF($F92:$AJ92,"P"))</f>
        <v/>
      </c>
      <c r="AL92" s="34" t="str">
        <f aca="false">IF($B92="","",COUNTIF($F92:$AJ92,"A"))</f>
        <v/>
      </c>
      <c r="AM92" s="34" t="str">
        <f aca="false">IF($B92="","",COUNTIF($F92:$AJ92,"HA"))</f>
        <v/>
      </c>
      <c r="AN92" s="34" t="str">
        <f aca="false">IF($B92="","",COUNTIF($F92:$AJ92,"L"))</f>
        <v/>
      </c>
      <c r="AO92" s="34" t="str">
        <f aca="false">IF($B92="","",COUNTIF($F92:$AJ92,"PL"))</f>
        <v/>
      </c>
      <c r="AP92" s="34" t="str">
        <f aca="false">IF($B92="","",COUNTIF($F92:$AJ92,"CL"))</f>
        <v/>
      </c>
      <c r="AQ92" s="34" t="str">
        <f aca="false">IF($B92="","",COUNTIF($F92:$AJ92,"SL"))</f>
        <v/>
      </c>
      <c r="AR92" s="34" t="str">
        <f aca="false">IF($B92="","",COUNTIF($F92:$AJ92,"CO"))</f>
        <v/>
      </c>
      <c r="AS92" s="34" t="str">
        <f aca="false">IF($B92="","",COUNTIF($F92:$AJ92,"HPL"))</f>
        <v/>
      </c>
      <c r="AT92" s="34" t="str">
        <f aca="false">IF($B92="","",COUNTIF($F92:$AJ92,"HCL"))</f>
        <v/>
      </c>
      <c r="AU92" s="34" t="str">
        <f aca="false">IF($B92="","",COUNTIF($F92:$AJ92,"WO"))</f>
        <v/>
      </c>
      <c r="AV92" s="34" t="str">
        <f aca="false">IF($B92="","",COUNTIF($F92:$AJ92,"PH"))</f>
        <v/>
      </c>
      <c r="AW92" s="34" t="str">
        <f aca="false">IF($B92="","",COUNTIF($F92:$AJ92,"TR"))</f>
        <v/>
      </c>
      <c r="AX92" s="35" t="str">
        <f aca="false">IF($B92="","",AO92+AS92/2)</f>
        <v/>
      </c>
      <c r="AY92" s="35" t="str">
        <f aca="false">IF($B92="","",AQ92)</f>
        <v/>
      </c>
      <c r="AZ92" s="35" t="str">
        <f aca="false">IF($B92="","",AP92+AT92/2)</f>
        <v/>
      </c>
      <c r="BA92" s="35" t="str">
        <f aca="false">IF($B92="","",AK92+AN92+AM92/2+AO92+AP92+AQ92+AR92+AS92+AT92+AU92+AV92+AW92)</f>
        <v/>
      </c>
      <c r="BB92" s="35" t="str">
        <f aca="false">IF($B92="","",MAX(0,AN92-Settings!$C$16)*Settings!$C$17)</f>
        <v/>
      </c>
      <c r="BC92" s="35" t="str">
        <f aca="false">IF($B92="","",BA92-BB92)</f>
        <v/>
      </c>
      <c r="BD92" s="35" t="str">
        <f aca="false">IF(OR($B92="",$A92=""),"",DAY(EOMONTH($A92,0))-COUNTA($F92:$AJ92))</f>
        <v/>
      </c>
    </row>
    <row r="93" customFormat="false" ht="15" hidden="false" customHeight="false" outlineLevel="0" collapsed="false">
      <c r="A93" s="32"/>
      <c r="B93" s="29"/>
      <c r="C93" s="10" t="str">
        <f aca="false">IF($B93="","",IFERROR(INDEX(M_name,MATCH($B93,M_emp,0)),"Code not found"))</f>
        <v/>
      </c>
      <c r="D93" s="10" t="str">
        <f aca="false">IF($B93="","",IFERROR(INDEX(M_dept,MATCH($B93,M_emp,0)),""))</f>
        <v/>
      </c>
      <c r="E93" s="10" t="str">
        <f aca="false">IF($B93="","",IFERROR(INDEX(M_loc,MATCH($B93,M_emp,0)),""))</f>
        <v/>
      </c>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4" t="str">
        <f aca="false">IF($B93="","",COUNTIF($F93:$AJ93,"P"))</f>
        <v/>
      </c>
      <c r="AL93" s="34" t="str">
        <f aca="false">IF($B93="","",COUNTIF($F93:$AJ93,"A"))</f>
        <v/>
      </c>
      <c r="AM93" s="34" t="str">
        <f aca="false">IF($B93="","",COUNTIF($F93:$AJ93,"HA"))</f>
        <v/>
      </c>
      <c r="AN93" s="34" t="str">
        <f aca="false">IF($B93="","",COUNTIF($F93:$AJ93,"L"))</f>
        <v/>
      </c>
      <c r="AO93" s="34" t="str">
        <f aca="false">IF($B93="","",COUNTIF($F93:$AJ93,"PL"))</f>
        <v/>
      </c>
      <c r="AP93" s="34" t="str">
        <f aca="false">IF($B93="","",COUNTIF($F93:$AJ93,"CL"))</f>
        <v/>
      </c>
      <c r="AQ93" s="34" t="str">
        <f aca="false">IF($B93="","",COUNTIF($F93:$AJ93,"SL"))</f>
        <v/>
      </c>
      <c r="AR93" s="34" t="str">
        <f aca="false">IF($B93="","",COUNTIF($F93:$AJ93,"CO"))</f>
        <v/>
      </c>
      <c r="AS93" s="34" t="str">
        <f aca="false">IF($B93="","",COUNTIF($F93:$AJ93,"HPL"))</f>
        <v/>
      </c>
      <c r="AT93" s="34" t="str">
        <f aca="false">IF($B93="","",COUNTIF($F93:$AJ93,"HCL"))</f>
        <v/>
      </c>
      <c r="AU93" s="34" t="str">
        <f aca="false">IF($B93="","",COUNTIF($F93:$AJ93,"WO"))</f>
        <v/>
      </c>
      <c r="AV93" s="34" t="str">
        <f aca="false">IF($B93="","",COUNTIF($F93:$AJ93,"PH"))</f>
        <v/>
      </c>
      <c r="AW93" s="34" t="str">
        <f aca="false">IF($B93="","",COUNTIF($F93:$AJ93,"TR"))</f>
        <v/>
      </c>
      <c r="AX93" s="35" t="str">
        <f aca="false">IF($B93="","",AO93+AS93/2)</f>
        <v/>
      </c>
      <c r="AY93" s="35" t="str">
        <f aca="false">IF($B93="","",AQ93)</f>
        <v/>
      </c>
      <c r="AZ93" s="35" t="str">
        <f aca="false">IF($B93="","",AP93+AT93/2)</f>
        <v/>
      </c>
      <c r="BA93" s="35" t="str">
        <f aca="false">IF($B93="","",AK93+AN93+AM93/2+AO93+AP93+AQ93+AR93+AS93+AT93+AU93+AV93+AW93)</f>
        <v/>
      </c>
      <c r="BB93" s="35" t="str">
        <f aca="false">IF($B93="","",MAX(0,AN93-Settings!$C$16)*Settings!$C$17)</f>
        <v/>
      </c>
      <c r="BC93" s="35" t="str">
        <f aca="false">IF($B93="","",BA93-BB93)</f>
        <v/>
      </c>
      <c r="BD93" s="35" t="str">
        <f aca="false">IF(OR($B93="",$A93=""),"",DAY(EOMONTH($A93,0))-COUNTA($F93:$AJ93))</f>
        <v/>
      </c>
    </row>
    <row r="94" customFormat="false" ht="15" hidden="false" customHeight="false" outlineLevel="0" collapsed="false">
      <c r="A94" s="32"/>
      <c r="B94" s="29"/>
      <c r="C94" s="10" t="str">
        <f aca="false">IF($B94="","",IFERROR(INDEX(M_name,MATCH($B94,M_emp,0)),"Code not found"))</f>
        <v/>
      </c>
      <c r="D94" s="10" t="str">
        <f aca="false">IF($B94="","",IFERROR(INDEX(M_dept,MATCH($B94,M_emp,0)),""))</f>
        <v/>
      </c>
      <c r="E94" s="10" t="str">
        <f aca="false">IF($B94="","",IFERROR(INDEX(M_loc,MATCH($B94,M_emp,0)),""))</f>
        <v/>
      </c>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4" t="str">
        <f aca="false">IF($B94="","",COUNTIF($F94:$AJ94,"P"))</f>
        <v/>
      </c>
      <c r="AL94" s="34" t="str">
        <f aca="false">IF($B94="","",COUNTIF($F94:$AJ94,"A"))</f>
        <v/>
      </c>
      <c r="AM94" s="34" t="str">
        <f aca="false">IF($B94="","",COUNTIF($F94:$AJ94,"HA"))</f>
        <v/>
      </c>
      <c r="AN94" s="34" t="str">
        <f aca="false">IF($B94="","",COUNTIF($F94:$AJ94,"L"))</f>
        <v/>
      </c>
      <c r="AO94" s="34" t="str">
        <f aca="false">IF($B94="","",COUNTIF($F94:$AJ94,"PL"))</f>
        <v/>
      </c>
      <c r="AP94" s="34" t="str">
        <f aca="false">IF($B94="","",COUNTIF($F94:$AJ94,"CL"))</f>
        <v/>
      </c>
      <c r="AQ94" s="34" t="str">
        <f aca="false">IF($B94="","",COUNTIF($F94:$AJ94,"SL"))</f>
        <v/>
      </c>
      <c r="AR94" s="34" t="str">
        <f aca="false">IF($B94="","",COUNTIF($F94:$AJ94,"CO"))</f>
        <v/>
      </c>
      <c r="AS94" s="34" t="str">
        <f aca="false">IF($B94="","",COUNTIF($F94:$AJ94,"HPL"))</f>
        <v/>
      </c>
      <c r="AT94" s="34" t="str">
        <f aca="false">IF($B94="","",COUNTIF($F94:$AJ94,"HCL"))</f>
        <v/>
      </c>
      <c r="AU94" s="34" t="str">
        <f aca="false">IF($B94="","",COUNTIF($F94:$AJ94,"WO"))</f>
        <v/>
      </c>
      <c r="AV94" s="34" t="str">
        <f aca="false">IF($B94="","",COUNTIF($F94:$AJ94,"PH"))</f>
        <v/>
      </c>
      <c r="AW94" s="34" t="str">
        <f aca="false">IF($B94="","",COUNTIF($F94:$AJ94,"TR"))</f>
        <v/>
      </c>
      <c r="AX94" s="35" t="str">
        <f aca="false">IF($B94="","",AO94+AS94/2)</f>
        <v/>
      </c>
      <c r="AY94" s="35" t="str">
        <f aca="false">IF($B94="","",AQ94)</f>
        <v/>
      </c>
      <c r="AZ94" s="35" t="str">
        <f aca="false">IF($B94="","",AP94+AT94/2)</f>
        <v/>
      </c>
      <c r="BA94" s="35" t="str">
        <f aca="false">IF($B94="","",AK94+AN94+AM94/2+AO94+AP94+AQ94+AR94+AS94+AT94+AU94+AV94+AW94)</f>
        <v/>
      </c>
      <c r="BB94" s="35" t="str">
        <f aca="false">IF($B94="","",MAX(0,AN94-Settings!$C$16)*Settings!$C$17)</f>
        <v/>
      </c>
      <c r="BC94" s="35" t="str">
        <f aca="false">IF($B94="","",BA94-BB94)</f>
        <v/>
      </c>
      <c r="BD94" s="35" t="str">
        <f aca="false">IF(OR($B94="",$A94=""),"",DAY(EOMONTH($A94,0))-COUNTA($F94:$AJ94))</f>
        <v/>
      </c>
    </row>
    <row r="95" customFormat="false" ht="15" hidden="false" customHeight="false" outlineLevel="0" collapsed="false">
      <c r="A95" s="32"/>
      <c r="B95" s="29"/>
      <c r="C95" s="10" t="str">
        <f aca="false">IF($B95="","",IFERROR(INDEX(M_name,MATCH($B95,M_emp,0)),"Code not found"))</f>
        <v/>
      </c>
      <c r="D95" s="10" t="str">
        <f aca="false">IF($B95="","",IFERROR(INDEX(M_dept,MATCH($B95,M_emp,0)),""))</f>
        <v/>
      </c>
      <c r="E95" s="10" t="str">
        <f aca="false">IF($B95="","",IFERROR(INDEX(M_loc,MATCH($B95,M_emp,0)),""))</f>
        <v/>
      </c>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4" t="str">
        <f aca="false">IF($B95="","",COUNTIF($F95:$AJ95,"P"))</f>
        <v/>
      </c>
      <c r="AL95" s="34" t="str">
        <f aca="false">IF($B95="","",COUNTIF($F95:$AJ95,"A"))</f>
        <v/>
      </c>
      <c r="AM95" s="34" t="str">
        <f aca="false">IF($B95="","",COUNTIF($F95:$AJ95,"HA"))</f>
        <v/>
      </c>
      <c r="AN95" s="34" t="str">
        <f aca="false">IF($B95="","",COUNTIF($F95:$AJ95,"L"))</f>
        <v/>
      </c>
      <c r="AO95" s="34" t="str">
        <f aca="false">IF($B95="","",COUNTIF($F95:$AJ95,"PL"))</f>
        <v/>
      </c>
      <c r="AP95" s="34" t="str">
        <f aca="false">IF($B95="","",COUNTIF($F95:$AJ95,"CL"))</f>
        <v/>
      </c>
      <c r="AQ95" s="34" t="str">
        <f aca="false">IF($B95="","",COUNTIF($F95:$AJ95,"SL"))</f>
        <v/>
      </c>
      <c r="AR95" s="34" t="str">
        <f aca="false">IF($B95="","",COUNTIF($F95:$AJ95,"CO"))</f>
        <v/>
      </c>
      <c r="AS95" s="34" t="str">
        <f aca="false">IF($B95="","",COUNTIF($F95:$AJ95,"HPL"))</f>
        <v/>
      </c>
      <c r="AT95" s="34" t="str">
        <f aca="false">IF($B95="","",COUNTIF($F95:$AJ95,"HCL"))</f>
        <v/>
      </c>
      <c r="AU95" s="34" t="str">
        <f aca="false">IF($B95="","",COUNTIF($F95:$AJ95,"WO"))</f>
        <v/>
      </c>
      <c r="AV95" s="34" t="str">
        <f aca="false">IF($B95="","",COUNTIF($F95:$AJ95,"PH"))</f>
        <v/>
      </c>
      <c r="AW95" s="34" t="str">
        <f aca="false">IF($B95="","",COUNTIF($F95:$AJ95,"TR"))</f>
        <v/>
      </c>
      <c r="AX95" s="35" t="str">
        <f aca="false">IF($B95="","",AO95+AS95/2)</f>
        <v/>
      </c>
      <c r="AY95" s="35" t="str">
        <f aca="false">IF($B95="","",AQ95)</f>
        <v/>
      </c>
      <c r="AZ95" s="35" t="str">
        <f aca="false">IF($B95="","",AP95+AT95/2)</f>
        <v/>
      </c>
      <c r="BA95" s="35" t="str">
        <f aca="false">IF($B95="","",AK95+AN95+AM95/2+AO95+AP95+AQ95+AR95+AS95+AT95+AU95+AV95+AW95)</f>
        <v/>
      </c>
      <c r="BB95" s="35" t="str">
        <f aca="false">IF($B95="","",MAX(0,AN95-Settings!$C$16)*Settings!$C$17)</f>
        <v/>
      </c>
      <c r="BC95" s="35" t="str">
        <f aca="false">IF($B95="","",BA95-BB95)</f>
        <v/>
      </c>
      <c r="BD95" s="35" t="str">
        <f aca="false">IF(OR($B95="",$A95=""),"",DAY(EOMONTH($A95,0))-COUNTA($F95:$AJ95))</f>
        <v/>
      </c>
    </row>
    <row r="96" customFormat="false" ht="15" hidden="false" customHeight="false" outlineLevel="0" collapsed="false">
      <c r="A96" s="32"/>
      <c r="B96" s="29"/>
      <c r="C96" s="10" t="str">
        <f aca="false">IF($B96="","",IFERROR(INDEX(M_name,MATCH($B96,M_emp,0)),"Code not found"))</f>
        <v/>
      </c>
      <c r="D96" s="10" t="str">
        <f aca="false">IF($B96="","",IFERROR(INDEX(M_dept,MATCH($B96,M_emp,0)),""))</f>
        <v/>
      </c>
      <c r="E96" s="10" t="str">
        <f aca="false">IF($B96="","",IFERROR(INDEX(M_loc,MATCH($B96,M_emp,0)),""))</f>
        <v/>
      </c>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4" t="str">
        <f aca="false">IF($B96="","",COUNTIF($F96:$AJ96,"P"))</f>
        <v/>
      </c>
      <c r="AL96" s="34" t="str">
        <f aca="false">IF($B96="","",COUNTIF($F96:$AJ96,"A"))</f>
        <v/>
      </c>
      <c r="AM96" s="34" t="str">
        <f aca="false">IF($B96="","",COUNTIF($F96:$AJ96,"HA"))</f>
        <v/>
      </c>
      <c r="AN96" s="34" t="str">
        <f aca="false">IF($B96="","",COUNTIF($F96:$AJ96,"L"))</f>
        <v/>
      </c>
      <c r="AO96" s="34" t="str">
        <f aca="false">IF($B96="","",COUNTIF($F96:$AJ96,"PL"))</f>
        <v/>
      </c>
      <c r="AP96" s="34" t="str">
        <f aca="false">IF($B96="","",COUNTIF($F96:$AJ96,"CL"))</f>
        <v/>
      </c>
      <c r="AQ96" s="34" t="str">
        <f aca="false">IF($B96="","",COUNTIF($F96:$AJ96,"SL"))</f>
        <v/>
      </c>
      <c r="AR96" s="34" t="str">
        <f aca="false">IF($B96="","",COUNTIF($F96:$AJ96,"CO"))</f>
        <v/>
      </c>
      <c r="AS96" s="34" t="str">
        <f aca="false">IF($B96="","",COUNTIF($F96:$AJ96,"HPL"))</f>
        <v/>
      </c>
      <c r="AT96" s="34" t="str">
        <f aca="false">IF($B96="","",COUNTIF($F96:$AJ96,"HCL"))</f>
        <v/>
      </c>
      <c r="AU96" s="34" t="str">
        <f aca="false">IF($B96="","",COUNTIF($F96:$AJ96,"WO"))</f>
        <v/>
      </c>
      <c r="AV96" s="34" t="str">
        <f aca="false">IF($B96="","",COUNTIF($F96:$AJ96,"PH"))</f>
        <v/>
      </c>
      <c r="AW96" s="34" t="str">
        <f aca="false">IF($B96="","",COUNTIF($F96:$AJ96,"TR"))</f>
        <v/>
      </c>
      <c r="AX96" s="35" t="str">
        <f aca="false">IF($B96="","",AO96+AS96/2)</f>
        <v/>
      </c>
      <c r="AY96" s="35" t="str">
        <f aca="false">IF($B96="","",AQ96)</f>
        <v/>
      </c>
      <c r="AZ96" s="35" t="str">
        <f aca="false">IF($B96="","",AP96+AT96/2)</f>
        <v/>
      </c>
      <c r="BA96" s="35" t="str">
        <f aca="false">IF($B96="","",AK96+AN96+AM96/2+AO96+AP96+AQ96+AR96+AS96+AT96+AU96+AV96+AW96)</f>
        <v/>
      </c>
      <c r="BB96" s="35" t="str">
        <f aca="false">IF($B96="","",MAX(0,AN96-Settings!$C$16)*Settings!$C$17)</f>
        <v/>
      </c>
      <c r="BC96" s="35" t="str">
        <f aca="false">IF($B96="","",BA96-BB96)</f>
        <v/>
      </c>
      <c r="BD96" s="35" t="str">
        <f aca="false">IF(OR($B96="",$A96=""),"",DAY(EOMONTH($A96,0))-COUNTA($F96:$AJ96))</f>
        <v/>
      </c>
    </row>
    <row r="97" customFormat="false" ht="15" hidden="false" customHeight="false" outlineLevel="0" collapsed="false">
      <c r="A97" s="32"/>
      <c r="B97" s="29"/>
      <c r="C97" s="10" t="str">
        <f aca="false">IF($B97="","",IFERROR(INDEX(M_name,MATCH($B97,M_emp,0)),"Code not found"))</f>
        <v/>
      </c>
      <c r="D97" s="10" t="str">
        <f aca="false">IF($B97="","",IFERROR(INDEX(M_dept,MATCH($B97,M_emp,0)),""))</f>
        <v/>
      </c>
      <c r="E97" s="10" t="str">
        <f aca="false">IF($B97="","",IFERROR(INDEX(M_loc,MATCH($B97,M_emp,0)),""))</f>
        <v/>
      </c>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4" t="str">
        <f aca="false">IF($B97="","",COUNTIF($F97:$AJ97,"P"))</f>
        <v/>
      </c>
      <c r="AL97" s="34" t="str">
        <f aca="false">IF($B97="","",COUNTIF($F97:$AJ97,"A"))</f>
        <v/>
      </c>
      <c r="AM97" s="34" t="str">
        <f aca="false">IF($B97="","",COUNTIF($F97:$AJ97,"HA"))</f>
        <v/>
      </c>
      <c r="AN97" s="34" t="str">
        <f aca="false">IF($B97="","",COUNTIF($F97:$AJ97,"L"))</f>
        <v/>
      </c>
      <c r="AO97" s="34" t="str">
        <f aca="false">IF($B97="","",COUNTIF($F97:$AJ97,"PL"))</f>
        <v/>
      </c>
      <c r="AP97" s="34" t="str">
        <f aca="false">IF($B97="","",COUNTIF($F97:$AJ97,"CL"))</f>
        <v/>
      </c>
      <c r="AQ97" s="34" t="str">
        <f aca="false">IF($B97="","",COUNTIF($F97:$AJ97,"SL"))</f>
        <v/>
      </c>
      <c r="AR97" s="34" t="str">
        <f aca="false">IF($B97="","",COUNTIF($F97:$AJ97,"CO"))</f>
        <v/>
      </c>
      <c r="AS97" s="34" t="str">
        <f aca="false">IF($B97="","",COUNTIF($F97:$AJ97,"HPL"))</f>
        <v/>
      </c>
      <c r="AT97" s="34" t="str">
        <f aca="false">IF($B97="","",COUNTIF($F97:$AJ97,"HCL"))</f>
        <v/>
      </c>
      <c r="AU97" s="34" t="str">
        <f aca="false">IF($B97="","",COUNTIF($F97:$AJ97,"WO"))</f>
        <v/>
      </c>
      <c r="AV97" s="34" t="str">
        <f aca="false">IF($B97="","",COUNTIF($F97:$AJ97,"PH"))</f>
        <v/>
      </c>
      <c r="AW97" s="34" t="str">
        <f aca="false">IF($B97="","",COUNTIF($F97:$AJ97,"TR"))</f>
        <v/>
      </c>
      <c r="AX97" s="35" t="str">
        <f aca="false">IF($B97="","",AO97+AS97/2)</f>
        <v/>
      </c>
      <c r="AY97" s="35" t="str">
        <f aca="false">IF($B97="","",AQ97)</f>
        <v/>
      </c>
      <c r="AZ97" s="35" t="str">
        <f aca="false">IF($B97="","",AP97+AT97/2)</f>
        <v/>
      </c>
      <c r="BA97" s="35" t="str">
        <f aca="false">IF($B97="","",AK97+AN97+AM97/2+AO97+AP97+AQ97+AR97+AS97+AT97+AU97+AV97+AW97)</f>
        <v/>
      </c>
      <c r="BB97" s="35" t="str">
        <f aca="false">IF($B97="","",MAX(0,AN97-Settings!$C$16)*Settings!$C$17)</f>
        <v/>
      </c>
      <c r="BC97" s="35" t="str">
        <f aca="false">IF($B97="","",BA97-BB97)</f>
        <v/>
      </c>
      <c r="BD97" s="35" t="str">
        <f aca="false">IF(OR($B97="",$A97=""),"",DAY(EOMONTH($A97,0))-COUNTA($F97:$AJ97))</f>
        <v/>
      </c>
    </row>
    <row r="98" customFormat="false" ht="15" hidden="false" customHeight="false" outlineLevel="0" collapsed="false">
      <c r="A98" s="32"/>
      <c r="B98" s="29"/>
      <c r="C98" s="10" t="str">
        <f aca="false">IF($B98="","",IFERROR(INDEX(M_name,MATCH($B98,M_emp,0)),"Code not found"))</f>
        <v/>
      </c>
      <c r="D98" s="10" t="str">
        <f aca="false">IF($B98="","",IFERROR(INDEX(M_dept,MATCH($B98,M_emp,0)),""))</f>
        <v/>
      </c>
      <c r="E98" s="10" t="str">
        <f aca="false">IF($B98="","",IFERROR(INDEX(M_loc,MATCH($B98,M_emp,0)),""))</f>
        <v/>
      </c>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4" t="str">
        <f aca="false">IF($B98="","",COUNTIF($F98:$AJ98,"P"))</f>
        <v/>
      </c>
      <c r="AL98" s="34" t="str">
        <f aca="false">IF($B98="","",COUNTIF($F98:$AJ98,"A"))</f>
        <v/>
      </c>
      <c r="AM98" s="34" t="str">
        <f aca="false">IF($B98="","",COUNTIF($F98:$AJ98,"HA"))</f>
        <v/>
      </c>
      <c r="AN98" s="34" t="str">
        <f aca="false">IF($B98="","",COUNTIF($F98:$AJ98,"L"))</f>
        <v/>
      </c>
      <c r="AO98" s="34" t="str">
        <f aca="false">IF($B98="","",COUNTIF($F98:$AJ98,"PL"))</f>
        <v/>
      </c>
      <c r="AP98" s="34" t="str">
        <f aca="false">IF($B98="","",COUNTIF($F98:$AJ98,"CL"))</f>
        <v/>
      </c>
      <c r="AQ98" s="34" t="str">
        <f aca="false">IF($B98="","",COUNTIF($F98:$AJ98,"SL"))</f>
        <v/>
      </c>
      <c r="AR98" s="34" t="str">
        <f aca="false">IF($B98="","",COUNTIF($F98:$AJ98,"CO"))</f>
        <v/>
      </c>
      <c r="AS98" s="34" t="str">
        <f aca="false">IF($B98="","",COUNTIF($F98:$AJ98,"HPL"))</f>
        <v/>
      </c>
      <c r="AT98" s="34" t="str">
        <f aca="false">IF($B98="","",COUNTIF($F98:$AJ98,"HCL"))</f>
        <v/>
      </c>
      <c r="AU98" s="34" t="str">
        <f aca="false">IF($B98="","",COUNTIF($F98:$AJ98,"WO"))</f>
        <v/>
      </c>
      <c r="AV98" s="34" t="str">
        <f aca="false">IF($B98="","",COUNTIF($F98:$AJ98,"PH"))</f>
        <v/>
      </c>
      <c r="AW98" s="34" t="str">
        <f aca="false">IF($B98="","",COUNTIF($F98:$AJ98,"TR"))</f>
        <v/>
      </c>
      <c r="AX98" s="35" t="str">
        <f aca="false">IF($B98="","",AO98+AS98/2)</f>
        <v/>
      </c>
      <c r="AY98" s="35" t="str">
        <f aca="false">IF($B98="","",AQ98)</f>
        <v/>
      </c>
      <c r="AZ98" s="35" t="str">
        <f aca="false">IF($B98="","",AP98+AT98/2)</f>
        <v/>
      </c>
      <c r="BA98" s="35" t="str">
        <f aca="false">IF($B98="","",AK98+AN98+AM98/2+AO98+AP98+AQ98+AR98+AS98+AT98+AU98+AV98+AW98)</f>
        <v/>
      </c>
      <c r="BB98" s="35" t="str">
        <f aca="false">IF($B98="","",MAX(0,AN98-Settings!$C$16)*Settings!$C$17)</f>
        <v/>
      </c>
      <c r="BC98" s="35" t="str">
        <f aca="false">IF($B98="","",BA98-BB98)</f>
        <v/>
      </c>
      <c r="BD98" s="35" t="str">
        <f aca="false">IF(OR($B98="",$A98=""),"",DAY(EOMONTH($A98,0))-COUNTA($F98:$AJ98))</f>
        <v/>
      </c>
    </row>
    <row r="99" customFormat="false" ht="15" hidden="false" customHeight="false" outlineLevel="0" collapsed="false">
      <c r="A99" s="32"/>
      <c r="B99" s="29"/>
      <c r="C99" s="10" t="str">
        <f aca="false">IF($B99="","",IFERROR(INDEX(M_name,MATCH($B99,M_emp,0)),"Code not found"))</f>
        <v/>
      </c>
      <c r="D99" s="10" t="str">
        <f aca="false">IF($B99="","",IFERROR(INDEX(M_dept,MATCH($B99,M_emp,0)),""))</f>
        <v/>
      </c>
      <c r="E99" s="10" t="str">
        <f aca="false">IF($B99="","",IFERROR(INDEX(M_loc,MATCH($B99,M_emp,0)),""))</f>
        <v/>
      </c>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4" t="str">
        <f aca="false">IF($B99="","",COUNTIF($F99:$AJ99,"P"))</f>
        <v/>
      </c>
      <c r="AL99" s="34" t="str">
        <f aca="false">IF($B99="","",COUNTIF($F99:$AJ99,"A"))</f>
        <v/>
      </c>
      <c r="AM99" s="34" t="str">
        <f aca="false">IF($B99="","",COUNTIF($F99:$AJ99,"HA"))</f>
        <v/>
      </c>
      <c r="AN99" s="34" t="str">
        <f aca="false">IF($B99="","",COUNTIF($F99:$AJ99,"L"))</f>
        <v/>
      </c>
      <c r="AO99" s="34" t="str">
        <f aca="false">IF($B99="","",COUNTIF($F99:$AJ99,"PL"))</f>
        <v/>
      </c>
      <c r="AP99" s="34" t="str">
        <f aca="false">IF($B99="","",COUNTIF($F99:$AJ99,"CL"))</f>
        <v/>
      </c>
      <c r="AQ99" s="34" t="str">
        <f aca="false">IF($B99="","",COUNTIF($F99:$AJ99,"SL"))</f>
        <v/>
      </c>
      <c r="AR99" s="34" t="str">
        <f aca="false">IF($B99="","",COUNTIF($F99:$AJ99,"CO"))</f>
        <v/>
      </c>
      <c r="AS99" s="34" t="str">
        <f aca="false">IF($B99="","",COUNTIF($F99:$AJ99,"HPL"))</f>
        <v/>
      </c>
      <c r="AT99" s="34" t="str">
        <f aca="false">IF($B99="","",COUNTIF($F99:$AJ99,"HCL"))</f>
        <v/>
      </c>
      <c r="AU99" s="34" t="str">
        <f aca="false">IF($B99="","",COUNTIF($F99:$AJ99,"WO"))</f>
        <v/>
      </c>
      <c r="AV99" s="34" t="str">
        <f aca="false">IF($B99="","",COUNTIF($F99:$AJ99,"PH"))</f>
        <v/>
      </c>
      <c r="AW99" s="34" t="str">
        <f aca="false">IF($B99="","",COUNTIF($F99:$AJ99,"TR"))</f>
        <v/>
      </c>
      <c r="AX99" s="35" t="str">
        <f aca="false">IF($B99="","",AO99+AS99/2)</f>
        <v/>
      </c>
      <c r="AY99" s="35" t="str">
        <f aca="false">IF($B99="","",AQ99)</f>
        <v/>
      </c>
      <c r="AZ99" s="35" t="str">
        <f aca="false">IF($B99="","",AP99+AT99/2)</f>
        <v/>
      </c>
      <c r="BA99" s="35" t="str">
        <f aca="false">IF($B99="","",AK99+AN99+AM99/2+AO99+AP99+AQ99+AR99+AS99+AT99+AU99+AV99+AW99)</f>
        <v/>
      </c>
      <c r="BB99" s="35" t="str">
        <f aca="false">IF($B99="","",MAX(0,AN99-Settings!$C$16)*Settings!$C$17)</f>
        <v/>
      </c>
      <c r="BC99" s="35" t="str">
        <f aca="false">IF($B99="","",BA99-BB99)</f>
        <v/>
      </c>
      <c r="BD99" s="35" t="str">
        <f aca="false">IF(OR($B99="",$A99=""),"",DAY(EOMONTH($A99,0))-COUNTA($F99:$AJ99))</f>
        <v/>
      </c>
    </row>
    <row r="100" customFormat="false" ht="15" hidden="false" customHeight="false" outlineLevel="0" collapsed="false">
      <c r="A100" s="32"/>
      <c r="B100" s="29"/>
      <c r="C100" s="10" t="str">
        <f aca="false">IF($B100="","",IFERROR(INDEX(M_name,MATCH($B100,M_emp,0)),"Code not found"))</f>
        <v/>
      </c>
      <c r="D100" s="10" t="str">
        <f aca="false">IF($B100="","",IFERROR(INDEX(M_dept,MATCH($B100,M_emp,0)),""))</f>
        <v/>
      </c>
      <c r="E100" s="10" t="str">
        <f aca="false">IF($B100="","",IFERROR(INDEX(M_loc,MATCH($B100,M_emp,0)),""))</f>
        <v/>
      </c>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4" t="str">
        <f aca="false">IF($B100="","",COUNTIF($F100:$AJ100,"P"))</f>
        <v/>
      </c>
      <c r="AL100" s="34" t="str">
        <f aca="false">IF($B100="","",COUNTIF($F100:$AJ100,"A"))</f>
        <v/>
      </c>
      <c r="AM100" s="34" t="str">
        <f aca="false">IF($B100="","",COUNTIF($F100:$AJ100,"HA"))</f>
        <v/>
      </c>
      <c r="AN100" s="34" t="str">
        <f aca="false">IF($B100="","",COUNTIF($F100:$AJ100,"L"))</f>
        <v/>
      </c>
      <c r="AO100" s="34" t="str">
        <f aca="false">IF($B100="","",COUNTIF($F100:$AJ100,"PL"))</f>
        <v/>
      </c>
      <c r="AP100" s="34" t="str">
        <f aca="false">IF($B100="","",COUNTIF($F100:$AJ100,"CL"))</f>
        <v/>
      </c>
      <c r="AQ100" s="34" t="str">
        <f aca="false">IF($B100="","",COUNTIF($F100:$AJ100,"SL"))</f>
        <v/>
      </c>
      <c r="AR100" s="34" t="str">
        <f aca="false">IF($B100="","",COUNTIF($F100:$AJ100,"CO"))</f>
        <v/>
      </c>
      <c r="AS100" s="34" t="str">
        <f aca="false">IF($B100="","",COUNTIF($F100:$AJ100,"HPL"))</f>
        <v/>
      </c>
      <c r="AT100" s="34" t="str">
        <f aca="false">IF($B100="","",COUNTIF($F100:$AJ100,"HCL"))</f>
        <v/>
      </c>
      <c r="AU100" s="34" t="str">
        <f aca="false">IF($B100="","",COUNTIF($F100:$AJ100,"WO"))</f>
        <v/>
      </c>
      <c r="AV100" s="34" t="str">
        <f aca="false">IF($B100="","",COUNTIF($F100:$AJ100,"PH"))</f>
        <v/>
      </c>
      <c r="AW100" s="34" t="str">
        <f aca="false">IF($B100="","",COUNTIF($F100:$AJ100,"TR"))</f>
        <v/>
      </c>
      <c r="AX100" s="35" t="str">
        <f aca="false">IF($B100="","",AO100+AS100/2)</f>
        <v/>
      </c>
      <c r="AY100" s="35" t="str">
        <f aca="false">IF($B100="","",AQ100)</f>
        <v/>
      </c>
      <c r="AZ100" s="35" t="str">
        <f aca="false">IF($B100="","",AP100+AT100/2)</f>
        <v/>
      </c>
      <c r="BA100" s="35" t="str">
        <f aca="false">IF($B100="","",AK100+AN100+AM100/2+AO100+AP100+AQ100+AR100+AS100+AT100+AU100+AV100+AW100)</f>
        <v/>
      </c>
      <c r="BB100" s="35" t="str">
        <f aca="false">IF($B100="","",MAX(0,AN100-Settings!$C$16)*Settings!$C$17)</f>
        <v/>
      </c>
      <c r="BC100" s="35" t="str">
        <f aca="false">IF($B100="","",BA100-BB100)</f>
        <v/>
      </c>
      <c r="BD100" s="35" t="str">
        <f aca="false">IF(OR($B100="",$A100=""),"",DAY(EOMONTH($A100,0))-COUNTA($F100:$AJ100))</f>
        <v/>
      </c>
    </row>
    <row r="101" customFormat="false" ht="15" hidden="false" customHeight="false" outlineLevel="0" collapsed="false">
      <c r="A101" s="32"/>
      <c r="B101" s="29"/>
      <c r="C101" s="10" t="str">
        <f aca="false">IF($B101="","",IFERROR(INDEX(M_name,MATCH($B101,M_emp,0)),"Code not found"))</f>
        <v/>
      </c>
      <c r="D101" s="10" t="str">
        <f aca="false">IF($B101="","",IFERROR(INDEX(M_dept,MATCH($B101,M_emp,0)),""))</f>
        <v/>
      </c>
      <c r="E101" s="10" t="str">
        <f aca="false">IF($B101="","",IFERROR(INDEX(M_loc,MATCH($B101,M_emp,0)),""))</f>
        <v/>
      </c>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4" t="str">
        <f aca="false">IF($B101="","",COUNTIF($F101:$AJ101,"P"))</f>
        <v/>
      </c>
      <c r="AL101" s="34" t="str">
        <f aca="false">IF($B101="","",COUNTIF($F101:$AJ101,"A"))</f>
        <v/>
      </c>
      <c r="AM101" s="34" t="str">
        <f aca="false">IF($B101="","",COUNTIF($F101:$AJ101,"HA"))</f>
        <v/>
      </c>
      <c r="AN101" s="34" t="str">
        <f aca="false">IF($B101="","",COUNTIF($F101:$AJ101,"L"))</f>
        <v/>
      </c>
      <c r="AO101" s="34" t="str">
        <f aca="false">IF($B101="","",COUNTIF($F101:$AJ101,"PL"))</f>
        <v/>
      </c>
      <c r="AP101" s="34" t="str">
        <f aca="false">IF($B101="","",COUNTIF($F101:$AJ101,"CL"))</f>
        <v/>
      </c>
      <c r="AQ101" s="34" t="str">
        <f aca="false">IF($B101="","",COUNTIF($F101:$AJ101,"SL"))</f>
        <v/>
      </c>
      <c r="AR101" s="34" t="str">
        <f aca="false">IF($B101="","",COUNTIF($F101:$AJ101,"CO"))</f>
        <v/>
      </c>
      <c r="AS101" s="34" t="str">
        <f aca="false">IF($B101="","",COUNTIF($F101:$AJ101,"HPL"))</f>
        <v/>
      </c>
      <c r="AT101" s="34" t="str">
        <f aca="false">IF($B101="","",COUNTIF($F101:$AJ101,"HCL"))</f>
        <v/>
      </c>
      <c r="AU101" s="34" t="str">
        <f aca="false">IF($B101="","",COUNTIF($F101:$AJ101,"WO"))</f>
        <v/>
      </c>
      <c r="AV101" s="34" t="str">
        <f aca="false">IF($B101="","",COUNTIF($F101:$AJ101,"PH"))</f>
        <v/>
      </c>
      <c r="AW101" s="34" t="str">
        <f aca="false">IF($B101="","",COUNTIF($F101:$AJ101,"TR"))</f>
        <v/>
      </c>
      <c r="AX101" s="35" t="str">
        <f aca="false">IF($B101="","",AO101+AS101/2)</f>
        <v/>
      </c>
      <c r="AY101" s="35" t="str">
        <f aca="false">IF($B101="","",AQ101)</f>
        <v/>
      </c>
      <c r="AZ101" s="35" t="str">
        <f aca="false">IF($B101="","",AP101+AT101/2)</f>
        <v/>
      </c>
      <c r="BA101" s="35" t="str">
        <f aca="false">IF($B101="","",AK101+AN101+AM101/2+AO101+AP101+AQ101+AR101+AS101+AT101+AU101+AV101+AW101)</f>
        <v/>
      </c>
      <c r="BB101" s="35" t="str">
        <f aca="false">IF($B101="","",MAX(0,AN101-Settings!$C$16)*Settings!$C$17)</f>
        <v/>
      </c>
      <c r="BC101" s="35" t="str">
        <f aca="false">IF($B101="","",BA101-BB101)</f>
        <v/>
      </c>
      <c r="BD101" s="35" t="str">
        <f aca="false">IF(OR($B101="",$A101=""),"",DAY(EOMONTH($A101,0))-COUNTA($F101:$AJ101))</f>
        <v/>
      </c>
    </row>
    <row r="102" customFormat="false" ht="15" hidden="false" customHeight="false" outlineLevel="0" collapsed="false">
      <c r="A102" s="32"/>
      <c r="B102" s="29"/>
      <c r="C102" s="10" t="str">
        <f aca="false">IF($B102="","",IFERROR(INDEX(M_name,MATCH($B102,M_emp,0)),"Code not found"))</f>
        <v/>
      </c>
      <c r="D102" s="10" t="str">
        <f aca="false">IF($B102="","",IFERROR(INDEX(M_dept,MATCH($B102,M_emp,0)),""))</f>
        <v/>
      </c>
      <c r="E102" s="10" t="str">
        <f aca="false">IF($B102="","",IFERROR(INDEX(M_loc,MATCH($B102,M_emp,0)),""))</f>
        <v/>
      </c>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4" t="str">
        <f aca="false">IF($B102="","",COUNTIF($F102:$AJ102,"P"))</f>
        <v/>
      </c>
      <c r="AL102" s="34" t="str">
        <f aca="false">IF($B102="","",COUNTIF($F102:$AJ102,"A"))</f>
        <v/>
      </c>
      <c r="AM102" s="34" t="str">
        <f aca="false">IF($B102="","",COUNTIF($F102:$AJ102,"HA"))</f>
        <v/>
      </c>
      <c r="AN102" s="34" t="str">
        <f aca="false">IF($B102="","",COUNTIF($F102:$AJ102,"L"))</f>
        <v/>
      </c>
      <c r="AO102" s="34" t="str">
        <f aca="false">IF($B102="","",COUNTIF($F102:$AJ102,"PL"))</f>
        <v/>
      </c>
      <c r="AP102" s="34" t="str">
        <f aca="false">IF($B102="","",COUNTIF($F102:$AJ102,"CL"))</f>
        <v/>
      </c>
      <c r="AQ102" s="34" t="str">
        <f aca="false">IF($B102="","",COUNTIF($F102:$AJ102,"SL"))</f>
        <v/>
      </c>
      <c r="AR102" s="34" t="str">
        <f aca="false">IF($B102="","",COUNTIF($F102:$AJ102,"CO"))</f>
        <v/>
      </c>
      <c r="AS102" s="34" t="str">
        <f aca="false">IF($B102="","",COUNTIF($F102:$AJ102,"HPL"))</f>
        <v/>
      </c>
      <c r="AT102" s="34" t="str">
        <f aca="false">IF($B102="","",COUNTIF($F102:$AJ102,"HCL"))</f>
        <v/>
      </c>
      <c r="AU102" s="34" t="str">
        <f aca="false">IF($B102="","",COUNTIF($F102:$AJ102,"WO"))</f>
        <v/>
      </c>
      <c r="AV102" s="34" t="str">
        <f aca="false">IF($B102="","",COUNTIF($F102:$AJ102,"PH"))</f>
        <v/>
      </c>
      <c r="AW102" s="34" t="str">
        <f aca="false">IF($B102="","",COUNTIF($F102:$AJ102,"TR"))</f>
        <v/>
      </c>
      <c r="AX102" s="35" t="str">
        <f aca="false">IF($B102="","",AO102+AS102/2)</f>
        <v/>
      </c>
      <c r="AY102" s="35" t="str">
        <f aca="false">IF($B102="","",AQ102)</f>
        <v/>
      </c>
      <c r="AZ102" s="35" t="str">
        <f aca="false">IF($B102="","",AP102+AT102/2)</f>
        <v/>
      </c>
      <c r="BA102" s="35" t="str">
        <f aca="false">IF($B102="","",AK102+AN102+AM102/2+AO102+AP102+AQ102+AR102+AS102+AT102+AU102+AV102+AW102)</f>
        <v/>
      </c>
      <c r="BB102" s="35" t="str">
        <f aca="false">IF($B102="","",MAX(0,AN102-Settings!$C$16)*Settings!$C$17)</f>
        <v/>
      </c>
      <c r="BC102" s="35" t="str">
        <f aca="false">IF($B102="","",BA102-BB102)</f>
        <v/>
      </c>
      <c r="BD102" s="35" t="str">
        <f aca="false">IF(OR($B102="",$A102=""),"",DAY(EOMONTH($A102,0))-COUNTA($F102:$AJ102))</f>
        <v/>
      </c>
    </row>
    <row r="103" customFormat="false" ht="15" hidden="false" customHeight="false" outlineLevel="0" collapsed="false">
      <c r="A103" s="32"/>
      <c r="B103" s="29"/>
      <c r="C103" s="10" t="str">
        <f aca="false">IF($B103="","",IFERROR(INDEX(M_name,MATCH($B103,M_emp,0)),"Code not found"))</f>
        <v/>
      </c>
      <c r="D103" s="10" t="str">
        <f aca="false">IF($B103="","",IFERROR(INDEX(M_dept,MATCH($B103,M_emp,0)),""))</f>
        <v/>
      </c>
      <c r="E103" s="10" t="str">
        <f aca="false">IF($B103="","",IFERROR(INDEX(M_loc,MATCH($B103,M_emp,0)),""))</f>
        <v/>
      </c>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4" t="str">
        <f aca="false">IF($B103="","",COUNTIF($F103:$AJ103,"P"))</f>
        <v/>
      </c>
      <c r="AL103" s="34" t="str">
        <f aca="false">IF($B103="","",COUNTIF($F103:$AJ103,"A"))</f>
        <v/>
      </c>
      <c r="AM103" s="34" t="str">
        <f aca="false">IF($B103="","",COUNTIF($F103:$AJ103,"HA"))</f>
        <v/>
      </c>
      <c r="AN103" s="34" t="str">
        <f aca="false">IF($B103="","",COUNTIF($F103:$AJ103,"L"))</f>
        <v/>
      </c>
      <c r="AO103" s="34" t="str">
        <f aca="false">IF($B103="","",COUNTIF($F103:$AJ103,"PL"))</f>
        <v/>
      </c>
      <c r="AP103" s="34" t="str">
        <f aca="false">IF($B103="","",COUNTIF($F103:$AJ103,"CL"))</f>
        <v/>
      </c>
      <c r="AQ103" s="34" t="str">
        <f aca="false">IF($B103="","",COUNTIF($F103:$AJ103,"SL"))</f>
        <v/>
      </c>
      <c r="AR103" s="34" t="str">
        <f aca="false">IF($B103="","",COUNTIF($F103:$AJ103,"CO"))</f>
        <v/>
      </c>
      <c r="AS103" s="34" t="str">
        <f aca="false">IF($B103="","",COUNTIF($F103:$AJ103,"HPL"))</f>
        <v/>
      </c>
      <c r="AT103" s="34" t="str">
        <f aca="false">IF($B103="","",COUNTIF($F103:$AJ103,"HCL"))</f>
        <v/>
      </c>
      <c r="AU103" s="34" t="str">
        <f aca="false">IF($B103="","",COUNTIF($F103:$AJ103,"WO"))</f>
        <v/>
      </c>
      <c r="AV103" s="34" t="str">
        <f aca="false">IF($B103="","",COUNTIF($F103:$AJ103,"PH"))</f>
        <v/>
      </c>
      <c r="AW103" s="34" t="str">
        <f aca="false">IF($B103="","",COUNTIF($F103:$AJ103,"TR"))</f>
        <v/>
      </c>
      <c r="AX103" s="35" t="str">
        <f aca="false">IF($B103="","",AO103+AS103/2)</f>
        <v/>
      </c>
      <c r="AY103" s="35" t="str">
        <f aca="false">IF($B103="","",AQ103)</f>
        <v/>
      </c>
      <c r="AZ103" s="35" t="str">
        <f aca="false">IF($B103="","",AP103+AT103/2)</f>
        <v/>
      </c>
      <c r="BA103" s="35" t="str">
        <f aca="false">IF($B103="","",AK103+AN103+AM103/2+AO103+AP103+AQ103+AR103+AS103+AT103+AU103+AV103+AW103)</f>
        <v/>
      </c>
      <c r="BB103" s="35" t="str">
        <f aca="false">IF($B103="","",MAX(0,AN103-Settings!$C$16)*Settings!$C$17)</f>
        <v/>
      </c>
      <c r="BC103" s="35" t="str">
        <f aca="false">IF($B103="","",BA103-BB103)</f>
        <v/>
      </c>
      <c r="BD103" s="35" t="str">
        <f aca="false">IF(OR($B103="",$A103=""),"",DAY(EOMONTH($A103,0))-COUNTA($F103:$AJ103))</f>
        <v/>
      </c>
    </row>
    <row r="104" customFormat="false" ht="15" hidden="false" customHeight="false" outlineLevel="0" collapsed="false">
      <c r="A104" s="32"/>
      <c r="B104" s="29"/>
      <c r="C104" s="10" t="str">
        <f aca="false">IF($B104="","",IFERROR(INDEX(M_name,MATCH($B104,M_emp,0)),"Code not found"))</f>
        <v/>
      </c>
      <c r="D104" s="10" t="str">
        <f aca="false">IF($B104="","",IFERROR(INDEX(M_dept,MATCH($B104,M_emp,0)),""))</f>
        <v/>
      </c>
      <c r="E104" s="10" t="str">
        <f aca="false">IF($B104="","",IFERROR(INDEX(M_loc,MATCH($B104,M_emp,0)),""))</f>
        <v/>
      </c>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4" t="str">
        <f aca="false">IF($B104="","",COUNTIF($F104:$AJ104,"P"))</f>
        <v/>
      </c>
      <c r="AL104" s="34" t="str">
        <f aca="false">IF($B104="","",COUNTIF($F104:$AJ104,"A"))</f>
        <v/>
      </c>
      <c r="AM104" s="34" t="str">
        <f aca="false">IF($B104="","",COUNTIF($F104:$AJ104,"HA"))</f>
        <v/>
      </c>
      <c r="AN104" s="34" t="str">
        <f aca="false">IF($B104="","",COUNTIF($F104:$AJ104,"L"))</f>
        <v/>
      </c>
      <c r="AO104" s="34" t="str">
        <f aca="false">IF($B104="","",COUNTIF($F104:$AJ104,"PL"))</f>
        <v/>
      </c>
      <c r="AP104" s="34" t="str">
        <f aca="false">IF($B104="","",COUNTIF($F104:$AJ104,"CL"))</f>
        <v/>
      </c>
      <c r="AQ104" s="34" t="str">
        <f aca="false">IF($B104="","",COUNTIF($F104:$AJ104,"SL"))</f>
        <v/>
      </c>
      <c r="AR104" s="34" t="str">
        <f aca="false">IF($B104="","",COUNTIF($F104:$AJ104,"CO"))</f>
        <v/>
      </c>
      <c r="AS104" s="34" t="str">
        <f aca="false">IF($B104="","",COUNTIF($F104:$AJ104,"HPL"))</f>
        <v/>
      </c>
      <c r="AT104" s="34" t="str">
        <f aca="false">IF($B104="","",COUNTIF($F104:$AJ104,"HCL"))</f>
        <v/>
      </c>
      <c r="AU104" s="34" t="str">
        <f aca="false">IF($B104="","",COUNTIF($F104:$AJ104,"WO"))</f>
        <v/>
      </c>
      <c r="AV104" s="34" t="str">
        <f aca="false">IF($B104="","",COUNTIF($F104:$AJ104,"PH"))</f>
        <v/>
      </c>
      <c r="AW104" s="34" t="str">
        <f aca="false">IF($B104="","",COUNTIF($F104:$AJ104,"TR"))</f>
        <v/>
      </c>
      <c r="AX104" s="35" t="str">
        <f aca="false">IF($B104="","",AO104+AS104/2)</f>
        <v/>
      </c>
      <c r="AY104" s="35" t="str">
        <f aca="false">IF($B104="","",AQ104)</f>
        <v/>
      </c>
      <c r="AZ104" s="35" t="str">
        <f aca="false">IF($B104="","",AP104+AT104/2)</f>
        <v/>
      </c>
      <c r="BA104" s="35" t="str">
        <f aca="false">IF($B104="","",AK104+AN104+AM104/2+AO104+AP104+AQ104+AR104+AS104+AT104+AU104+AV104+AW104)</f>
        <v/>
      </c>
      <c r="BB104" s="35" t="str">
        <f aca="false">IF($B104="","",MAX(0,AN104-Settings!$C$16)*Settings!$C$17)</f>
        <v/>
      </c>
      <c r="BC104" s="35" t="str">
        <f aca="false">IF($B104="","",BA104-BB104)</f>
        <v/>
      </c>
      <c r="BD104" s="35" t="str">
        <f aca="false">IF(OR($B104="",$A104=""),"",DAY(EOMONTH($A104,0))-COUNTA($F104:$AJ104))</f>
        <v/>
      </c>
    </row>
    <row r="105" customFormat="false" ht="15" hidden="false" customHeight="false" outlineLevel="0" collapsed="false">
      <c r="A105" s="32"/>
      <c r="B105" s="29"/>
      <c r="C105" s="10" t="str">
        <f aca="false">IF($B105="","",IFERROR(INDEX(M_name,MATCH($B105,M_emp,0)),"Code not found"))</f>
        <v/>
      </c>
      <c r="D105" s="10" t="str">
        <f aca="false">IF($B105="","",IFERROR(INDEX(M_dept,MATCH($B105,M_emp,0)),""))</f>
        <v/>
      </c>
      <c r="E105" s="10" t="str">
        <f aca="false">IF($B105="","",IFERROR(INDEX(M_loc,MATCH($B105,M_emp,0)),""))</f>
        <v/>
      </c>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4" t="str">
        <f aca="false">IF($B105="","",COUNTIF($F105:$AJ105,"P"))</f>
        <v/>
      </c>
      <c r="AL105" s="34" t="str">
        <f aca="false">IF($B105="","",COUNTIF($F105:$AJ105,"A"))</f>
        <v/>
      </c>
      <c r="AM105" s="34" t="str">
        <f aca="false">IF($B105="","",COUNTIF($F105:$AJ105,"HA"))</f>
        <v/>
      </c>
      <c r="AN105" s="34" t="str">
        <f aca="false">IF($B105="","",COUNTIF($F105:$AJ105,"L"))</f>
        <v/>
      </c>
      <c r="AO105" s="34" t="str">
        <f aca="false">IF($B105="","",COUNTIF($F105:$AJ105,"PL"))</f>
        <v/>
      </c>
      <c r="AP105" s="34" t="str">
        <f aca="false">IF($B105="","",COUNTIF($F105:$AJ105,"CL"))</f>
        <v/>
      </c>
      <c r="AQ105" s="34" t="str">
        <f aca="false">IF($B105="","",COUNTIF($F105:$AJ105,"SL"))</f>
        <v/>
      </c>
      <c r="AR105" s="34" t="str">
        <f aca="false">IF($B105="","",COUNTIF($F105:$AJ105,"CO"))</f>
        <v/>
      </c>
      <c r="AS105" s="34" t="str">
        <f aca="false">IF($B105="","",COUNTIF($F105:$AJ105,"HPL"))</f>
        <v/>
      </c>
      <c r="AT105" s="34" t="str">
        <f aca="false">IF($B105="","",COUNTIF($F105:$AJ105,"HCL"))</f>
        <v/>
      </c>
      <c r="AU105" s="34" t="str">
        <f aca="false">IF($B105="","",COUNTIF($F105:$AJ105,"WO"))</f>
        <v/>
      </c>
      <c r="AV105" s="34" t="str">
        <f aca="false">IF($B105="","",COUNTIF($F105:$AJ105,"PH"))</f>
        <v/>
      </c>
      <c r="AW105" s="34" t="str">
        <f aca="false">IF($B105="","",COUNTIF($F105:$AJ105,"TR"))</f>
        <v/>
      </c>
      <c r="AX105" s="35" t="str">
        <f aca="false">IF($B105="","",AO105+AS105/2)</f>
        <v/>
      </c>
      <c r="AY105" s="35" t="str">
        <f aca="false">IF($B105="","",AQ105)</f>
        <v/>
      </c>
      <c r="AZ105" s="35" t="str">
        <f aca="false">IF($B105="","",AP105+AT105/2)</f>
        <v/>
      </c>
      <c r="BA105" s="35" t="str">
        <f aca="false">IF($B105="","",AK105+AN105+AM105/2+AO105+AP105+AQ105+AR105+AS105+AT105+AU105+AV105+AW105)</f>
        <v/>
      </c>
      <c r="BB105" s="35" t="str">
        <f aca="false">IF($B105="","",MAX(0,AN105-Settings!$C$16)*Settings!$C$17)</f>
        <v/>
      </c>
      <c r="BC105" s="35" t="str">
        <f aca="false">IF($B105="","",BA105-BB105)</f>
        <v/>
      </c>
      <c r="BD105" s="35" t="str">
        <f aca="false">IF(OR($B105="",$A105=""),"",DAY(EOMONTH($A105,0))-COUNTA($F105:$AJ105))</f>
        <v/>
      </c>
    </row>
    <row r="106" customFormat="false" ht="15" hidden="false" customHeight="false" outlineLevel="0" collapsed="false">
      <c r="A106" s="32"/>
      <c r="B106" s="29"/>
      <c r="C106" s="10" t="str">
        <f aca="false">IF($B106="","",IFERROR(INDEX(M_name,MATCH($B106,M_emp,0)),"Code not found"))</f>
        <v/>
      </c>
      <c r="D106" s="10" t="str">
        <f aca="false">IF($B106="","",IFERROR(INDEX(M_dept,MATCH($B106,M_emp,0)),""))</f>
        <v/>
      </c>
      <c r="E106" s="10" t="str">
        <f aca="false">IF($B106="","",IFERROR(INDEX(M_loc,MATCH($B106,M_emp,0)),""))</f>
        <v/>
      </c>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4" t="str">
        <f aca="false">IF($B106="","",COUNTIF($F106:$AJ106,"P"))</f>
        <v/>
      </c>
      <c r="AL106" s="34" t="str">
        <f aca="false">IF($B106="","",COUNTIF($F106:$AJ106,"A"))</f>
        <v/>
      </c>
      <c r="AM106" s="34" t="str">
        <f aca="false">IF($B106="","",COUNTIF($F106:$AJ106,"HA"))</f>
        <v/>
      </c>
      <c r="AN106" s="34" t="str">
        <f aca="false">IF($B106="","",COUNTIF($F106:$AJ106,"L"))</f>
        <v/>
      </c>
      <c r="AO106" s="34" t="str">
        <f aca="false">IF($B106="","",COUNTIF($F106:$AJ106,"PL"))</f>
        <v/>
      </c>
      <c r="AP106" s="34" t="str">
        <f aca="false">IF($B106="","",COUNTIF($F106:$AJ106,"CL"))</f>
        <v/>
      </c>
      <c r="AQ106" s="34" t="str">
        <f aca="false">IF($B106="","",COUNTIF($F106:$AJ106,"SL"))</f>
        <v/>
      </c>
      <c r="AR106" s="34" t="str">
        <f aca="false">IF($B106="","",COUNTIF($F106:$AJ106,"CO"))</f>
        <v/>
      </c>
      <c r="AS106" s="34" t="str">
        <f aca="false">IF($B106="","",COUNTIF($F106:$AJ106,"HPL"))</f>
        <v/>
      </c>
      <c r="AT106" s="34" t="str">
        <f aca="false">IF($B106="","",COUNTIF($F106:$AJ106,"HCL"))</f>
        <v/>
      </c>
      <c r="AU106" s="34" t="str">
        <f aca="false">IF($B106="","",COUNTIF($F106:$AJ106,"WO"))</f>
        <v/>
      </c>
      <c r="AV106" s="34" t="str">
        <f aca="false">IF($B106="","",COUNTIF($F106:$AJ106,"PH"))</f>
        <v/>
      </c>
      <c r="AW106" s="34" t="str">
        <f aca="false">IF($B106="","",COUNTIF($F106:$AJ106,"TR"))</f>
        <v/>
      </c>
      <c r="AX106" s="35" t="str">
        <f aca="false">IF($B106="","",AO106+AS106/2)</f>
        <v/>
      </c>
      <c r="AY106" s="35" t="str">
        <f aca="false">IF($B106="","",AQ106)</f>
        <v/>
      </c>
      <c r="AZ106" s="35" t="str">
        <f aca="false">IF($B106="","",AP106+AT106/2)</f>
        <v/>
      </c>
      <c r="BA106" s="35" t="str">
        <f aca="false">IF($B106="","",AK106+AN106+AM106/2+AO106+AP106+AQ106+AR106+AS106+AT106+AU106+AV106+AW106)</f>
        <v/>
      </c>
      <c r="BB106" s="35" t="str">
        <f aca="false">IF($B106="","",MAX(0,AN106-Settings!$C$16)*Settings!$C$17)</f>
        <v/>
      </c>
      <c r="BC106" s="35" t="str">
        <f aca="false">IF($B106="","",BA106-BB106)</f>
        <v/>
      </c>
      <c r="BD106" s="35" t="str">
        <f aca="false">IF(OR($B106="",$A106=""),"",DAY(EOMONTH($A106,0))-COUNTA($F106:$AJ106))</f>
        <v/>
      </c>
    </row>
    <row r="107" customFormat="false" ht="15" hidden="false" customHeight="false" outlineLevel="0" collapsed="false">
      <c r="A107" s="32"/>
      <c r="B107" s="29"/>
      <c r="C107" s="10" t="str">
        <f aca="false">IF($B107="","",IFERROR(INDEX(M_name,MATCH($B107,M_emp,0)),"Code not found"))</f>
        <v/>
      </c>
      <c r="D107" s="10" t="str">
        <f aca="false">IF($B107="","",IFERROR(INDEX(M_dept,MATCH($B107,M_emp,0)),""))</f>
        <v/>
      </c>
      <c r="E107" s="10" t="str">
        <f aca="false">IF($B107="","",IFERROR(INDEX(M_loc,MATCH($B107,M_emp,0)),""))</f>
        <v/>
      </c>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4" t="str">
        <f aca="false">IF($B107="","",COUNTIF($F107:$AJ107,"P"))</f>
        <v/>
      </c>
      <c r="AL107" s="34" t="str">
        <f aca="false">IF($B107="","",COUNTIF($F107:$AJ107,"A"))</f>
        <v/>
      </c>
      <c r="AM107" s="34" t="str">
        <f aca="false">IF($B107="","",COUNTIF($F107:$AJ107,"HA"))</f>
        <v/>
      </c>
      <c r="AN107" s="34" t="str">
        <f aca="false">IF($B107="","",COUNTIF($F107:$AJ107,"L"))</f>
        <v/>
      </c>
      <c r="AO107" s="34" t="str">
        <f aca="false">IF($B107="","",COUNTIF($F107:$AJ107,"PL"))</f>
        <v/>
      </c>
      <c r="AP107" s="34" t="str">
        <f aca="false">IF($B107="","",COUNTIF($F107:$AJ107,"CL"))</f>
        <v/>
      </c>
      <c r="AQ107" s="34" t="str">
        <f aca="false">IF($B107="","",COUNTIF($F107:$AJ107,"SL"))</f>
        <v/>
      </c>
      <c r="AR107" s="34" t="str">
        <f aca="false">IF($B107="","",COUNTIF($F107:$AJ107,"CO"))</f>
        <v/>
      </c>
      <c r="AS107" s="34" t="str">
        <f aca="false">IF($B107="","",COUNTIF($F107:$AJ107,"HPL"))</f>
        <v/>
      </c>
      <c r="AT107" s="34" t="str">
        <f aca="false">IF($B107="","",COUNTIF($F107:$AJ107,"HCL"))</f>
        <v/>
      </c>
      <c r="AU107" s="34" t="str">
        <f aca="false">IF($B107="","",COUNTIF($F107:$AJ107,"WO"))</f>
        <v/>
      </c>
      <c r="AV107" s="34" t="str">
        <f aca="false">IF($B107="","",COUNTIF($F107:$AJ107,"PH"))</f>
        <v/>
      </c>
      <c r="AW107" s="34" t="str">
        <f aca="false">IF($B107="","",COUNTIF($F107:$AJ107,"TR"))</f>
        <v/>
      </c>
      <c r="AX107" s="35" t="str">
        <f aca="false">IF($B107="","",AO107+AS107/2)</f>
        <v/>
      </c>
      <c r="AY107" s="35" t="str">
        <f aca="false">IF($B107="","",AQ107)</f>
        <v/>
      </c>
      <c r="AZ107" s="35" t="str">
        <f aca="false">IF($B107="","",AP107+AT107/2)</f>
        <v/>
      </c>
      <c r="BA107" s="35" t="str">
        <f aca="false">IF($B107="","",AK107+AN107+AM107/2+AO107+AP107+AQ107+AR107+AS107+AT107+AU107+AV107+AW107)</f>
        <v/>
      </c>
      <c r="BB107" s="35" t="str">
        <f aca="false">IF($B107="","",MAX(0,AN107-Settings!$C$16)*Settings!$C$17)</f>
        <v/>
      </c>
      <c r="BC107" s="35" t="str">
        <f aca="false">IF($B107="","",BA107-BB107)</f>
        <v/>
      </c>
      <c r="BD107" s="35" t="str">
        <f aca="false">IF(OR($B107="",$A107=""),"",DAY(EOMONTH($A107,0))-COUNTA($F107:$AJ107))</f>
        <v/>
      </c>
    </row>
    <row r="108" customFormat="false" ht="15" hidden="false" customHeight="false" outlineLevel="0" collapsed="false">
      <c r="A108" s="32"/>
      <c r="B108" s="29"/>
      <c r="C108" s="10" t="str">
        <f aca="false">IF($B108="","",IFERROR(INDEX(M_name,MATCH($B108,M_emp,0)),"Code not found"))</f>
        <v/>
      </c>
      <c r="D108" s="10" t="str">
        <f aca="false">IF($B108="","",IFERROR(INDEX(M_dept,MATCH($B108,M_emp,0)),""))</f>
        <v/>
      </c>
      <c r="E108" s="10" t="str">
        <f aca="false">IF($B108="","",IFERROR(INDEX(M_loc,MATCH($B108,M_emp,0)),""))</f>
        <v/>
      </c>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4" t="str">
        <f aca="false">IF($B108="","",COUNTIF($F108:$AJ108,"P"))</f>
        <v/>
      </c>
      <c r="AL108" s="34" t="str">
        <f aca="false">IF($B108="","",COUNTIF($F108:$AJ108,"A"))</f>
        <v/>
      </c>
      <c r="AM108" s="34" t="str">
        <f aca="false">IF($B108="","",COUNTIF($F108:$AJ108,"HA"))</f>
        <v/>
      </c>
      <c r="AN108" s="34" t="str">
        <f aca="false">IF($B108="","",COUNTIF($F108:$AJ108,"L"))</f>
        <v/>
      </c>
      <c r="AO108" s="34" t="str">
        <f aca="false">IF($B108="","",COUNTIF($F108:$AJ108,"PL"))</f>
        <v/>
      </c>
      <c r="AP108" s="34" t="str">
        <f aca="false">IF($B108="","",COUNTIF($F108:$AJ108,"CL"))</f>
        <v/>
      </c>
      <c r="AQ108" s="34" t="str">
        <f aca="false">IF($B108="","",COUNTIF($F108:$AJ108,"SL"))</f>
        <v/>
      </c>
      <c r="AR108" s="34" t="str">
        <f aca="false">IF($B108="","",COUNTIF($F108:$AJ108,"CO"))</f>
        <v/>
      </c>
      <c r="AS108" s="34" t="str">
        <f aca="false">IF($B108="","",COUNTIF($F108:$AJ108,"HPL"))</f>
        <v/>
      </c>
      <c r="AT108" s="34" t="str">
        <f aca="false">IF($B108="","",COUNTIF($F108:$AJ108,"HCL"))</f>
        <v/>
      </c>
      <c r="AU108" s="34" t="str">
        <f aca="false">IF($B108="","",COUNTIF($F108:$AJ108,"WO"))</f>
        <v/>
      </c>
      <c r="AV108" s="34" t="str">
        <f aca="false">IF($B108="","",COUNTIF($F108:$AJ108,"PH"))</f>
        <v/>
      </c>
      <c r="AW108" s="34" t="str">
        <f aca="false">IF($B108="","",COUNTIF($F108:$AJ108,"TR"))</f>
        <v/>
      </c>
      <c r="AX108" s="35" t="str">
        <f aca="false">IF($B108="","",AO108+AS108/2)</f>
        <v/>
      </c>
      <c r="AY108" s="35" t="str">
        <f aca="false">IF($B108="","",AQ108)</f>
        <v/>
      </c>
      <c r="AZ108" s="35" t="str">
        <f aca="false">IF($B108="","",AP108+AT108/2)</f>
        <v/>
      </c>
      <c r="BA108" s="35" t="str">
        <f aca="false">IF($B108="","",AK108+AN108+AM108/2+AO108+AP108+AQ108+AR108+AS108+AT108+AU108+AV108+AW108)</f>
        <v/>
      </c>
      <c r="BB108" s="35" t="str">
        <f aca="false">IF($B108="","",MAX(0,AN108-Settings!$C$16)*Settings!$C$17)</f>
        <v/>
      </c>
      <c r="BC108" s="35" t="str">
        <f aca="false">IF($B108="","",BA108-BB108)</f>
        <v/>
      </c>
      <c r="BD108" s="35" t="str">
        <f aca="false">IF(OR($B108="",$A108=""),"",DAY(EOMONTH($A108,0))-COUNTA($F108:$AJ108))</f>
        <v/>
      </c>
    </row>
    <row r="109" customFormat="false" ht="15" hidden="false" customHeight="false" outlineLevel="0" collapsed="false">
      <c r="A109" s="32"/>
      <c r="B109" s="29"/>
      <c r="C109" s="10" t="str">
        <f aca="false">IF($B109="","",IFERROR(INDEX(M_name,MATCH($B109,M_emp,0)),"Code not found"))</f>
        <v/>
      </c>
      <c r="D109" s="10" t="str">
        <f aca="false">IF($B109="","",IFERROR(INDEX(M_dept,MATCH($B109,M_emp,0)),""))</f>
        <v/>
      </c>
      <c r="E109" s="10" t="str">
        <f aca="false">IF($B109="","",IFERROR(INDEX(M_loc,MATCH($B109,M_emp,0)),""))</f>
        <v/>
      </c>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4" t="str">
        <f aca="false">IF($B109="","",COUNTIF($F109:$AJ109,"P"))</f>
        <v/>
      </c>
      <c r="AL109" s="34" t="str">
        <f aca="false">IF($B109="","",COUNTIF($F109:$AJ109,"A"))</f>
        <v/>
      </c>
      <c r="AM109" s="34" t="str">
        <f aca="false">IF($B109="","",COUNTIF($F109:$AJ109,"HA"))</f>
        <v/>
      </c>
      <c r="AN109" s="34" t="str">
        <f aca="false">IF($B109="","",COUNTIF($F109:$AJ109,"L"))</f>
        <v/>
      </c>
      <c r="AO109" s="34" t="str">
        <f aca="false">IF($B109="","",COUNTIF($F109:$AJ109,"PL"))</f>
        <v/>
      </c>
      <c r="AP109" s="34" t="str">
        <f aca="false">IF($B109="","",COUNTIF($F109:$AJ109,"CL"))</f>
        <v/>
      </c>
      <c r="AQ109" s="34" t="str">
        <f aca="false">IF($B109="","",COUNTIF($F109:$AJ109,"SL"))</f>
        <v/>
      </c>
      <c r="AR109" s="34" t="str">
        <f aca="false">IF($B109="","",COUNTIF($F109:$AJ109,"CO"))</f>
        <v/>
      </c>
      <c r="AS109" s="34" t="str">
        <f aca="false">IF($B109="","",COUNTIF($F109:$AJ109,"HPL"))</f>
        <v/>
      </c>
      <c r="AT109" s="34" t="str">
        <f aca="false">IF($B109="","",COUNTIF($F109:$AJ109,"HCL"))</f>
        <v/>
      </c>
      <c r="AU109" s="34" t="str">
        <f aca="false">IF($B109="","",COUNTIF($F109:$AJ109,"WO"))</f>
        <v/>
      </c>
      <c r="AV109" s="34" t="str">
        <f aca="false">IF($B109="","",COUNTIF($F109:$AJ109,"PH"))</f>
        <v/>
      </c>
      <c r="AW109" s="34" t="str">
        <f aca="false">IF($B109="","",COUNTIF($F109:$AJ109,"TR"))</f>
        <v/>
      </c>
      <c r="AX109" s="35" t="str">
        <f aca="false">IF($B109="","",AO109+AS109/2)</f>
        <v/>
      </c>
      <c r="AY109" s="35" t="str">
        <f aca="false">IF($B109="","",AQ109)</f>
        <v/>
      </c>
      <c r="AZ109" s="35" t="str">
        <f aca="false">IF($B109="","",AP109+AT109/2)</f>
        <v/>
      </c>
      <c r="BA109" s="35" t="str">
        <f aca="false">IF($B109="","",AK109+AN109+AM109/2+AO109+AP109+AQ109+AR109+AS109+AT109+AU109+AV109+AW109)</f>
        <v/>
      </c>
      <c r="BB109" s="35" t="str">
        <f aca="false">IF($B109="","",MAX(0,AN109-Settings!$C$16)*Settings!$C$17)</f>
        <v/>
      </c>
      <c r="BC109" s="35" t="str">
        <f aca="false">IF($B109="","",BA109-BB109)</f>
        <v/>
      </c>
      <c r="BD109" s="35" t="str">
        <f aca="false">IF(OR($B109="",$A109=""),"",DAY(EOMONTH($A109,0))-COUNTA($F109:$AJ109))</f>
        <v/>
      </c>
    </row>
    <row r="110" customFormat="false" ht="15" hidden="false" customHeight="false" outlineLevel="0" collapsed="false">
      <c r="A110" s="32"/>
      <c r="B110" s="29"/>
      <c r="C110" s="10" t="str">
        <f aca="false">IF($B110="","",IFERROR(INDEX(M_name,MATCH($B110,M_emp,0)),"Code not found"))</f>
        <v/>
      </c>
      <c r="D110" s="10" t="str">
        <f aca="false">IF($B110="","",IFERROR(INDEX(M_dept,MATCH($B110,M_emp,0)),""))</f>
        <v/>
      </c>
      <c r="E110" s="10" t="str">
        <f aca="false">IF($B110="","",IFERROR(INDEX(M_loc,MATCH($B110,M_emp,0)),""))</f>
        <v/>
      </c>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4" t="str">
        <f aca="false">IF($B110="","",COUNTIF($F110:$AJ110,"P"))</f>
        <v/>
      </c>
      <c r="AL110" s="34" t="str">
        <f aca="false">IF($B110="","",COUNTIF($F110:$AJ110,"A"))</f>
        <v/>
      </c>
      <c r="AM110" s="34" t="str">
        <f aca="false">IF($B110="","",COUNTIF($F110:$AJ110,"HA"))</f>
        <v/>
      </c>
      <c r="AN110" s="34" t="str">
        <f aca="false">IF($B110="","",COUNTIF($F110:$AJ110,"L"))</f>
        <v/>
      </c>
      <c r="AO110" s="34" t="str">
        <f aca="false">IF($B110="","",COUNTIF($F110:$AJ110,"PL"))</f>
        <v/>
      </c>
      <c r="AP110" s="34" t="str">
        <f aca="false">IF($B110="","",COUNTIF($F110:$AJ110,"CL"))</f>
        <v/>
      </c>
      <c r="AQ110" s="34" t="str">
        <f aca="false">IF($B110="","",COUNTIF($F110:$AJ110,"SL"))</f>
        <v/>
      </c>
      <c r="AR110" s="34" t="str">
        <f aca="false">IF($B110="","",COUNTIF($F110:$AJ110,"CO"))</f>
        <v/>
      </c>
      <c r="AS110" s="34" t="str">
        <f aca="false">IF($B110="","",COUNTIF($F110:$AJ110,"HPL"))</f>
        <v/>
      </c>
      <c r="AT110" s="34" t="str">
        <f aca="false">IF($B110="","",COUNTIF($F110:$AJ110,"HCL"))</f>
        <v/>
      </c>
      <c r="AU110" s="34" t="str">
        <f aca="false">IF($B110="","",COUNTIF($F110:$AJ110,"WO"))</f>
        <v/>
      </c>
      <c r="AV110" s="34" t="str">
        <f aca="false">IF($B110="","",COUNTIF($F110:$AJ110,"PH"))</f>
        <v/>
      </c>
      <c r="AW110" s="34" t="str">
        <f aca="false">IF($B110="","",COUNTIF($F110:$AJ110,"TR"))</f>
        <v/>
      </c>
      <c r="AX110" s="35" t="str">
        <f aca="false">IF($B110="","",AO110+AS110/2)</f>
        <v/>
      </c>
      <c r="AY110" s="35" t="str">
        <f aca="false">IF($B110="","",AQ110)</f>
        <v/>
      </c>
      <c r="AZ110" s="35" t="str">
        <f aca="false">IF($B110="","",AP110+AT110/2)</f>
        <v/>
      </c>
      <c r="BA110" s="35" t="str">
        <f aca="false">IF($B110="","",AK110+AN110+AM110/2+AO110+AP110+AQ110+AR110+AS110+AT110+AU110+AV110+AW110)</f>
        <v/>
      </c>
      <c r="BB110" s="35" t="str">
        <f aca="false">IF($B110="","",MAX(0,AN110-Settings!$C$16)*Settings!$C$17)</f>
        <v/>
      </c>
      <c r="BC110" s="35" t="str">
        <f aca="false">IF($B110="","",BA110-BB110)</f>
        <v/>
      </c>
      <c r="BD110" s="35" t="str">
        <f aca="false">IF(OR($B110="",$A110=""),"",DAY(EOMONTH($A110,0))-COUNTA($F110:$AJ110))</f>
        <v/>
      </c>
    </row>
    <row r="111" customFormat="false" ht="15" hidden="false" customHeight="false" outlineLevel="0" collapsed="false">
      <c r="A111" s="32"/>
      <c r="B111" s="29"/>
      <c r="C111" s="10" t="str">
        <f aca="false">IF($B111="","",IFERROR(INDEX(M_name,MATCH($B111,M_emp,0)),"Code not found"))</f>
        <v/>
      </c>
      <c r="D111" s="10" t="str">
        <f aca="false">IF($B111="","",IFERROR(INDEX(M_dept,MATCH($B111,M_emp,0)),""))</f>
        <v/>
      </c>
      <c r="E111" s="10" t="str">
        <f aca="false">IF($B111="","",IFERROR(INDEX(M_loc,MATCH($B111,M_emp,0)),""))</f>
        <v/>
      </c>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4" t="str">
        <f aca="false">IF($B111="","",COUNTIF($F111:$AJ111,"P"))</f>
        <v/>
      </c>
      <c r="AL111" s="34" t="str">
        <f aca="false">IF($B111="","",COUNTIF($F111:$AJ111,"A"))</f>
        <v/>
      </c>
      <c r="AM111" s="34" t="str">
        <f aca="false">IF($B111="","",COUNTIF($F111:$AJ111,"HA"))</f>
        <v/>
      </c>
      <c r="AN111" s="34" t="str">
        <f aca="false">IF($B111="","",COUNTIF($F111:$AJ111,"L"))</f>
        <v/>
      </c>
      <c r="AO111" s="34" t="str">
        <f aca="false">IF($B111="","",COUNTIF($F111:$AJ111,"PL"))</f>
        <v/>
      </c>
      <c r="AP111" s="34" t="str">
        <f aca="false">IF($B111="","",COUNTIF($F111:$AJ111,"CL"))</f>
        <v/>
      </c>
      <c r="AQ111" s="34" t="str">
        <f aca="false">IF($B111="","",COUNTIF($F111:$AJ111,"SL"))</f>
        <v/>
      </c>
      <c r="AR111" s="34" t="str">
        <f aca="false">IF($B111="","",COUNTIF($F111:$AJ111,"CO"))</f>
        <v/>
      </c>
      <c r="AS111" s="34" t="str">
        <f aca="false">IF($B111="","",COUNTIF($F111:$AJ111,"HPL"))</f>
        <v/>
      </c>
      <c r="AT111" s="34" t="str">
        <f aca="false">IF($B111="","",COUNTIF($F111:$AJ111,"HCL"))</f>
        <v/>
      </c>
      <c r="AU111" s="34" t="str">
        <f aca="false">IF($B111="","",COUNTIF($F111:$AJ111,"WO"))</f>
        <v/>
      </c>
      <c r="AV111" s="34" t="str">
        <f aca="false">IF($B111="","",COUNTIF($F111:$AJ111,"PH"))</f>
        <v/>
      </c>
      <c r="AW111" s="34" t="str">
        <f aca="false">IF($B111="","",COUNTIF($F111:$AJ111,"TR"))</f>
        <v/>
      </c>
      <c r="AX111" s="35" t="str">
        <f aca="false">IF($B111="","",AO111+AS111/2)</f>
        <v/>
      </c>
      <c r="AY111" s="35" t="str">
        <f aca="false">IF($B111="","",AQ111)</f>
        <v/>
      </c>
      <c r="AZ111" s="35" t="str">
        <f aca="false">IF($B111="","",AP111+AT111/2)</f>
        <v/>
      </c>
      <c r="BA111" s="35" t="str">
        <f aca="false">IF($B111="","",AK111+AN111+AM111/2+AO111+AP111+AQ111+AR111+AS111+AT111+AU111+AV111+AW111)</f>
        <v/>
      </c>
      <c r="BB111" s="35" t="str">
        <f aca="false">IF($B111="","",MAX(0,AN111-Settings!$C$16)*Settings!$C$17)</f>
        <v/>
      </c>
      <c r="BC111" s="35" t="str">
        <f aca="false">IF($B111="","",BA111-BB111)</f>
        <v/>
      </c>
      <c r="BD111" s="35" t="str">
        <f aca="false">IF(OR($B111="",$A111=""),"",DAY(EOMONTH($A111,0))-COUNTA($F111:$AJ111))</f>
        <v/>
      </c>
    </row>
    <row r="112" customFormat="false" ht="15" hidden="false" customHeight="false" outlineLevel="0" collapsed="false">
      <c r="A112" s="32"/>
      <c r="B112" s="29"/>
      <c r="C112" s="10" t="str">
        <f aca="false">IF($B112="","",IFERROR(INDEX(M_name,MATCH($B112,M_emp,0)),"Code not found"))</f>
        <v/>
      </c>
      <c r="D112" s="10" t="str">
        <f aca="false">IF($B112="","",IFERROR(INDEX(M_dept,MATCH($B112,M_emp,0)),""))</f>
        <v/>
      </c>
      <c r="E112" s="10" t="str">
        <f aca="false">IF($B112="","",IFERROR(INDEX(M_loc,MATCH($B112,M_emp,0)),""))</f>
        <v/>
      </c>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4" t="str">
        <f aca="false">IF($B112="","",COUNTIF($F112:$AJ112,"P"))</f>
        <v/>
      </c>
      <c r="AL112" s="34" t="str">
        <f aca="false">IF($B112="","",COUNTIF($F112:$AJ112,"A"))</f>
        <v/>
      </c>
      <c r="AM112" s="34" t="str">
        <f aca="false">IF($B112="","",COUNTIF($F112:$AJ112,"HA"))</f>
        <v/>
      </c>
      <c r="AN112" s="34" t="str">
        <f aca="false">IF($B112="","",COUNTIF($F112:$AJ112,"L"))</f>
        <v/>
      </c>
      <c r="AO112" s="34" t="str">
        <f aca="false">IF($B112="","",COUNTIF($F112:$AJ112,"PL"))</f>
        <v/>
      </c>
      <c r="AP112" s="34" t="str">
        <f aca="false">IF($B112="","",COUNTIF($F112:$AJ112,"CL"))</f>
        <v/>
      </c>
      <c r="AQ112" s="34" t="str">
        <f aca="false">IF($B112="","",COUNTIF($F112:$AJ112,"SL"))</f>
        <v/>
      </c>
      <c r="AR112" s="34" t="str">
        <f aca="false">IF($B112="","",COUNTIF($F112:$AJ112,"CO"))</f>
        <v/>
      </c>
      <c r="AS112" s="34" t="str">
        <f aca="false">IF($B112="","",COUNTIF($F112:$AJ112,"HPL"))</f>
        <v/>
      </c>
      <c r="AT112" s="34" t="str">
        <f aca="false">IF($B112="","",COUNTIF($F112:$AJ112,"HCL"))</f>
        <v/>
      </c>
      <c r="AU112" s="34" t="str">
        <f aca="false">IF($B112="","",COUNTIF($F112:$AJ112,"WO"))</f>
        <v/>
      </c>
      <c r="AV112" s="34" t="str">
        <f aca="false">IF($B112="","",COUNTIF($F112:$AJ112,"PH"))</f>
        <v/>
      </c>
      <c r="AW112" s="34" t="str">
        <f aca="false">IF($B112="","",COUNTIF($F112:$AJ112,"TR"))</f>
        <v/>
      </c>
      <c r="AX112" s="35" t="str">
        <f aca="false">IF($B112="","",AO112+AS112/2)</f>
        <v/>
      </c>
      <c r="AY112" s="35" t="str">
        <f aca="false">IF($B112="","",AQ112)</f>
        <v/>
      </c>
      <c r="AZ112" s="35" t="str">
        <f aca="false">IF($B112="","",AP112+AT112/2)</f>
        <v/>
      </c>
      <c r="BA112" s="35" t="str">
        <f aca="false">IF($B112="","",AK112+AN112+AM112/2+AO112+AP112+AQ112+AR112+AS112+AT112+AU112+AV112+AW112)</f>
        <v/>
      </c>
      <c r="BB112" s="35" t="str">
        <f aca="false">IF($B112="","",MAX(0,AN112-Settings!$C$16)*Settings!$C$17)</f>
        <v/>
      </c>
      <c r="BC112" s="35" t="str">
        <f aca="false">IF($B112="","",BA112-BB112)</f>
        <v/>
      </c>
      <c r="BD112" s="35" t="str">
        <f aca="false">IF(OR($B112="",$A112=""),"",DAY(EOMONTH($A112,0))-COUNTA($F112:$AJ112))</f>
        <v/>
      </c>
    </row>
    <row r="113" customFormat="false" ht="15" hidden="false" customHeight="false" outlineLevel="0" collapsed="false">
      <c r="A113" s="32"/>
      <c r="B113" s="29"/>
      <c r="C113" s="10" t="str">
        <f aca="false">IF($B113="","",IFERROR(INDEX(M_name,MATCH($B113,M_emp,0)),"Code not found"))</f>
        <v/>
      </c>
      <c r="D113" s="10" t="str">
        <f aca="false">IF($B113="","",IFERROR(INDEX(M_dept,MATCH($B113,M_emp,0)),""))</f>
        <v/>
      </c>
      <c r="E113" s="10" t="str">
        <f aca="false">IF($B113="","",IFERROR(INDEX(M_loc,MATCH($B113,M_emp,0)),""))</f>
        <v/>
      </c>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4" t="str">
        <f aca="false">IF($B113="","",COUNTIF($F113:$AJ113,"P"))</f>
        <v/>
      </c>
      <c r="AL113" s="34" t="str">
        <f aca="false">IF($B113="","",COUNTIF($F113:$AJ113,"A"))</f>
        <v/>
      </c>
      <c r="AM113" s="34" t="str">
        <f aca="false">IF($B113="","",COUNTIF($F113:$AJ113,"HA"))</f>
        <v/>
      </c>
      <c r="AN113" s="34" t="str">
        <f aca="false">IF($B113="","",COUNTIF($F113:$AJ113,"L"))</f>
        <v/>
      </c>
      <c r="AO113" s="34" t="str">
        <f aca="false">IF($B113="","",COUNTIF($F113:$AJ113,"PL"))</f>
        <v/>
      </c>
      <c r="AP113" s="34" t="str">
        <f aca="false">IF($B113="","",COUNTIF($F113:$AJ113,"CL"))</f>
        <v/>
      </c>
      <c r="AQ113" s="34" t="str">
        <f aca="false">IF($B113="","",COUNTIF($F113:$AJ113,"SL"))</f>
        <v/>
      </c>
      <c r="AR113" s="34" t="str">
        <f aca="false">IF($B113="","",COUNTIF($F113:$AJ113,"CO"))</f>
        <v/>
      </c>
      <c r="AS113" s="34" t="str">
        <f aca="false">IF($B113="","",COUNTIF($F113:$AJ113,"HPL"))</f>
        <v/>
      </c>
      <c r="AT113" s="34" t="str">
        <f aca="false">IF($B113="","",COUNTIF($F113:$AJ113,"HCL"))</f>
        <v/>
      </c>
      <c r="AU113" s="34" t="str">
        <f aca="false">IF($B113="","",COUNTIF($F113:$AJ113,"WO"))</f>
        <v/>
      </c>
      <c r="AV113" s="34" t="str">
        <f aca="false">IF($B113="","",COUNTIF($F113:$AJ113,"PH"))</f>
        <v/>
      </c>
      <c r="AW113" s="34" t="str">
        <f aca="false">IF($B113="","",COUNTIF($F113:$AJ113,"TR"))</f>
        <v/>
      </c>
      <c r="AX113" s="35" t="str">
        <f aca="false">IF($B113="","",AO113+AS113/2)</f>
        <v/>
      </c>
      <c r="AY113" s="35" t="str">
        <f aca="false">IF($B113="","",AQ113)</f>
        <v/>
      </c>
      <c r="AZ113" s="35" t="str">
        <f aca="false">IF($B113="","",AP113+AT113/2)</f>
        <v/>
      </c>
      <c r="BA113" s="35" t="str">
        <f aca="false">IF($B113="","",AK113+AN113+AM113/2+AO113+AP113+AQ113+AR113+AS113+AT113+AU113+AV113+AW113)</f>
        <v/>
      </c>
      <c r="BB113" s="35" t="str">
        <f aca="false">IF($B113="","",MAX(0,AN113-Settings!$C$16)*Settings!$C$17)</f>
        <v/>
      </c>
      <c r="BC113" s="35" t="str">
        <f aca="false">IF($B113="","",BA113-BB113)</f>
        <v/>
      </c>
      <c r="BD113" s="35" t="str">
        <f aca="false">IF(OR($B113="",$A113=""),"",DAY(EOMONTH($A113,0))-COUNTA($F113:$AJ113))</f>
        <v/>
      </c>
    </row>
    <row r="114" customFormat="false" ht="15" hidden="false" customHeight="false" outlineLevel="0" collapsed="false">
      <c r="A114" s="32"/>
      <c r="B114" s="29"/>
      <c r="C114" s="10" t="str">
        <f aca="false">IF($B114="","",IFERROR(INDEX(M_name,MATCH($B114,M_emp,0)),"Code not found"))</f>
        <v/>
      </c>
      <c r="D114" s="10" t="str">
        <f aca="false">IF($B114="","",IFERROR(INDEX(M_dept,MATCH($B114,M_emp,0)),""))</f>
        <v/>
      </c>
      <c r="E114" s="10" t="str">
        <f aca="false">IF($B114="","",IFERROR(INDEX(M_loc,MATCH($B114,M_emp,0)),""))</f>
        <v/>
      </c>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4" t="str">
        <f aca="false">IF($B114="","",COUNTIF($F114:$AJ114,"P"))</f>
        <v/>
      </c>
      <c r="AL114" s="34" t="str">
        <f aca="false">IF($B114="","",COUNTIF($F114:$AJ114,"A"))</f>
        <v/>
      </c>
      <c r="AM114" s="34" t="str">
        <f aca="false">IF($B114="","",COUNTIF($F114:$AJ114,"HA"))</f>
        <v/>
      </c>
      <c r="AN114" s="34" t="str">
        <f aca="false">IF($B114="","",COUNTIF($F114:$AJ114,"L"))</f>
        <v/>
      </c>
      <c r="AO114" s="34" t="str">
        <f aca="false">IF($B114="","",COUNTIF($F114:$AJ114,"PL"))</f>
        <v/>
      </c>
      <c r="AP114" s="34" t="str">
        <f aca="false">IF($B114="","",COUNTIF($F114:$AJ114,"CL"))</f>
        <v/>
      </c>
      <c r="AQ114" s="34" t="str">
        <f aca="false">IF($B114="","",COUNTIF($F114:$AJ114,"SL"))</f>
        <v/>
      </c>
      <c r="AR114" s="34" t="str">
        <f aca="false">IF($B114="","",COUNTIF($F114:$AJ114,"CO"))</f>
        <v/>
      </c>
      <c r="AS114" s="34" t="str">
        <f aca="false">IF($B114="","",COUNTIF($F114:$AJ114,"HPL"))</f>
        <v/>
      </c>
      <c r="AT114" s="34" t="str">
        <f aca="false">IF($B114="","",COUNTIF($F114:$AJ114,"HCL"))</f>
        <v/>
      </c>
      <c r="AU114" s="34" t="str">
        <f aca="false">IF($B114="","",COUNTIF($F114:$AJ114,"WO"))</f>
        <v/>
      </c>
      <c r="AV114" s="34" t="str">
        <f aca="false">IF($B114="","",COUNTIF($F114:$AJ114,"PH"))</f>
        <v/>
      </c>
      <c r="AW114" s="34" t="str">
        <f aca="false">IF($B114="","",COUNTIF($F114:$AJ114,"TR"))</f>
        <v/>
      </c>
      <c r="AX114" s="35" t="str">
        <f aca="false">IF($B114="","",AO114+AS114/2)</f>
        <v/>
      </c>
      <c r="AY114" s="35" t="str">
        <f aca="false">IF($B114="","",AQ114)</f>
        <v/>
      </c>
      <c r="AZ114" s="35" t="str">
        <f aca="false">IF($B114="","",AP114+AT114/2)</f>
        <v/>
      </c>
      <c r="BA114" s="35" t="str">
        <f aca="false">IF($B114="","",AK114+AN114+AM114/2+AO114+AP114+AQ114+AR114+AS114+AT114+AU114+AV114+AW114)</f>
        <v/>
      </c>
      <c r="BB114" s="35" t="str">
        <f aca="false">IF($B114="","",MAX(0,AN114-Settings!$C$16)*Settings!$C$17)</f>
        <v/>
      </c>
      <c r="BC114" s="35" t="str">
        <f aca="false">IF($B114="","",BA114-BB114)</f>
        <v/>
      </c>
      <c r="BD114" s="35" t="str">
        <f aca="false">IF(OR($B114="",$A114=""),"",DAY(EOMONTH($A114,0))-COUNTA($F114:$AJ114))</f>
        <v/>
      </c>
    </row>
    <row r="115" customFormat="false" ht="15" hidden="false" customHeight="false" outlineLevel="0" collapsed="false">
      <c r="A115" s="32"/>
      <c r="B115" s="29"/>
      <c r="C115" s="10" t="str">
        <f aca="false">IF($B115="","",IFERROR(INDEX(M_name,MATCH($B115,M_emp,0)),"Code not found"))</f>
        <v/>
      </c>
      <c r="D115" s="10" t="str">
        <f aca="false">IF($B115="","",IFERROR(INDEX(M_dept,MATCH($B115,M_emp,0)),""))</f>
        <v/>
      </c>
      <c r="E115" s="10" t="str">
        <f aca="false">IF($B115="","",IFERROR(INDEX(M_loc,MATCH($B115,M_emp,0)),""))</f>
        <v/>
      </c>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4" t="str">
        <f aca="false">IF($B115="","",COUNTIF($F115:$AJ115,"P"))</f>
        <v/>
      </c>
      <c r="AL115" s="34" t="str">
        <f aca="false">IF($B115="","",COUNTIF($F115:$AJ115,"A"))</f>
        <v/>
      </c>
      <c r="AM115" s="34" t="str">
        <f aca="false">IF($B115="","",COUNTIF($F115:$AJ115,"HA"))</f>
        <v/>
      </c>
      <c r="AN115" s="34" t="str">
        <f aca="false">IF($B115="","",COUNTIF($F115:$AJ115,"L"))</f>
        <v/>
      </c>
      <c r="AO115" s="34" t="str">
        <f aca="false">IF($B115="","",COUNTIF($F115:$AJ115,"PL"))</f>
        <v/>
      </c>
      <c r="AP115" s="34" t="str">
        <f aca="false">IF($B115="","",COUNTIF($F115:$AJ115,"CL"))</f>
        <v/>
      </c>
      <c r="AQ115" s="34" t="str">
        <f aca="false">IF($B115="","",COUNTIF($F115:$AJ115,"SL"))</f>
        <v/>
      </c>
      <c r="AR115" s="34" t="str">
        <f aca="false">IF($B115="","",COUNTIF($F115:$AJ115,"CO"))</f>
        <v/>
      </c>
      <c r="AS115" s="34" t="str">
        <f aca="false">IF($B115="","",COUNTIF($F115:$AJ115,"HPL"))</f>
        <v/>
      </c>
      <c r="AT115" s="34" t="str">
        <f aca="false">IF($B115="","",COUNTIF($F115:$AJ115,"HCL"))</f>
        <v/>
      </c>
      <c r="AU115" s="34" t="str">
        <f aca="false">IF($B115="","",COUNTIF($F115:$AJ115,"WO"))</f>
        <v/>
      </c>
      <c r="AV115" s="34" t="str">
        <f aca="false">IF($B115="","",COUNTIF($F115:$AJ115,"PH"))</f>
        <v/>
      </c>
      <c r="AW115" s="34" t="str">
        <f aca="false">IF($B115="","",COUNTIF($F115:$AJ115,"TR"))</f>
        <v/>
      </c>
      <c r="AX115" s="35" t="str">
        <f aca="false">IF($B115="","",AO115+AS115/2)</f>
        <v/>
      </c>
      <c r="AY115" s="35" t="str">
        <f aca="false">IF($B115="","",AQ115)</f>
        <v/>
      </c>
      <c r="AZ115" s="35" t="str">
        <f aca="false">IF($B115="","",AP115+AT115/2)</f>
        <v/>
      </c>
      <c r="BA115" s="35" t="str">
        <f aca="false">IF($B115="","",AK115+AN115+AM115/2+AO115+AP115+AQ115+AR115+AS115+AT115+AU115+AV115+AW115)</f>
        <v/>
      </c>
      <c r="BB115" s="35" t="str">
        <f aca="false">IF($B115="","",MAX(0,AN115-Settings!$C$16)*Settings!$C$17)</f>
        <v/>
      </c>
      <c r="BC115" s="35" t="str">
        <f aca="false">IF($B115="","",BA115-BB115)</f>
        <v/>
      </c>
      <c r="BD115" s="35" t="str">
        <f aca="false">IF(OR($B115="",$A115=""),"",DAY(EOMONTH($A115,0))-COUNTA($F115:$AJ115))</f>
        <v/>
      </c>
    </row>
    <row r="116" customFormat="false" ht="15" hidden="false" customHeight="false" outlineLevel="0" collapsed="false">
      <c r="A116" s="32"/>
      <c r="B116" s="29"/>
      <c r="C116" s="10" t="str">
        <f aca="false">IF($B116="","",IFERROR(INDEX(M_name,MATCH($B116,M_emp,0)),"Code not found"))</f>
        <v/>
      </c>
      <c r="D116" s="10" t="str">
        <f aca="false">IF($B116="","",IFERROR(INDEX(M_dept,MATCH($B116,M_emp,0)),""))</f>
        <v/>
      </c>
      <c r="E116" s="10" t="str">
        <f aca="false">IF($B116="","",IFERROR(INDEX(M_loc,MATCH($B116,M_emp,0)),""))</f>
        <v/>
      </c>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4" t="str">
        <f aca="false">IF($B116="","",COUNTIF($F116:$AJ116,"P"))</f>
        <v/>
      </c>
      <c r="AL116" s="34" t="str">
        <f aca="false">IF($B116="","",COUNTIF($F116:$AJ116,"A"))</f>
        <v/>
      </c>
      <c r="AM116" s="34" t="str">
        <f aca="false">IF($B116="","",COUNTIF($F116:$AJ116,"HA"))</f>
        <v/>
      </c>
      <c r="AN116" s="34" t="str">
        <f aca="false">IF($B116="","",COUNTIF($F116:$AJ116,"L"))</f>
        <v/>
      </c>
      <c r="AO116" s="34" t="str">
        <f aca="false">IF($B116="","",COUNTIF($F116:$AJ116,"PL"))</f>
        <v/>
      </c>
      <c r="AP116" s="34" t="str">
        <f aca="false">IF($B116="","",COUNTIF($F116:$AJ116,"CL"))</f>
        <v/>
      </c>
      <c r="AQ116" s="34" t="str">
        <f aca="false">IF($B116="","",COUNTIF($F116:$AJ116,"SL"))</f>
        <v/>
      </c>
      <c r="AR116" s="34" t="str">
        <f aca="false">IF($B116="","",COUNTIF($F116:$AJ116,"CO"))</f>
        <v/>
      </c>
      <c r="AS116" s="34" t="str">
        <f aca="false">IF($B116="","",COUNTIF($F116:$AJ116,"HPL"))</f>
        <v/>
      </c>
      <c r="AT116" s="34" t="str">
        <f aca="false">IF($B116="","",COUNTIF($F116:$AJ116,"HCL"))</f>
        <v/>
      </c>
      <c r="AU116" s="34" t="str">
        <f aca="false">IF($B116="","",COUNTIF($F116:$AJ116,"WO"))</f>
        <v/>
      </c>
      <c r="AV116" s="34" t="str">
        <f aca="false">IF($B116="","",COUNTIF($F116:$AJ116,"PH"))</f>
        <v/>
      </c>
      <c r="AW116" s="34" t="str">
        <f aca="false">IF($B116="","",COUNTIF($F116:$AJ116,"TR"))</f>
        <v/>
      </c>
      <c r="AX116" s="35" t="str">
        <f aca="false">IF($B116="","",AO116+AS116/2)</f>
        <v/>
      </c>
      <c r="AY116" s="35" t="str">
        <f aca="false">IF($B116="","",AQ116)</f>
        <v/>
      </c>
      <c r="AZ116" s="35" t="str">
        <f aca="false">IF($B116="","",AP116+AT116/2)</f>
        <v/>
      </c>
      <c r="BA116" s="35" t="str">
        <f aca="false">IF($B116="","",AK116+AN116+AM116/2+AO116+AP116+AQ116+AR116+AS116+AT116+AU116+AV116+AW116)</f>
        <v/>
      </c>
      <c r="BB116" s="35" t="str">
        <f aca="false">IF($B116="","",MAX(0,AN116-Settings!$C$16)*Settings!$C$17)</f>
        <v/>
      </c>
      <c r="BC116" s="35" t="str">
        <f aca="false">IF($B116="","",BA116-BB116)</f>
        <v/>
      </c>
      <c r="BD116" s="35" t="str">
        <f aca="false">IF(OR($B116="",$A116=""),"",DAY(EOMONTH($A116,0))-COUNTA($F116:$AJ116))</f>
        <v/>
      </c>
    </row>
    <row r="117" customFormat="false" ht="15" hidden="false" customHeight="false" outlineLevel="0" collapsed="false">
      <c r="A117" s="32"/>
      <c r="B117" s="29"/>
      <c r="C117" s="10" t="str">
        <f aca="false">IF($B117="","",IFERROR(INDEX(M_name,MATCH($B117,M_emp,0)),"Code not found"))</f>
        <v/>
      </c>
      <c r="D117" s="10" t="str">
        <f aca="false">IF($B117="","",IFERROR(INDEX(M_dept,MATCH($B117,M_emp,0)),""))</f>
        <v/>
      </c>
      <c r="E117" s="10" t="str">
        <f aca="false">IF($B117="","",IFERROR(INDEX(M_loc,MATCH($B117,M_emp,0)),""))</f>
        <v/>
      </c>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4" t="str">
        <f aca="false">IF($B117="","",COUNTIF($F117:$AJ117,"P"))</f>
        <v/>
      </c>
      <c r="AL117" s="34" t="str">
        <f aca="false">IF($B117="","",COUNTIF($F117:$AJ117,"A"))</f>
        <v/>
      </c>
      <c r="AM117" s="34" t="str">
        <f aca="false">IF($B117="","",COUNTIF($F117:$AJ117,"HA"))</f>
        <v/>
      </c>
      <c r="AN117" s="34" t="str">
        <f aca="false">IF($B117="","",COUNTIF($F117:$AJ117,"L"))</f>
        <v/>
      </c>
      <c r="AO117" s="34" t="str">
        <f aca="false">IF($B117="","",COUNTIF($F117:$AJ117,"PL"))</f>
        <v/>
      </c>
      <c r="AP117" s="34" t="str">
        <f aca="false">IF($B117="","",COUNTIF($F117:$AJ117,"CL"))</f>
        <v/>
      </c>
      <c r="AQ117" s="34" t="str">
        <f aca="false">IF($B117="","",COUNTIF($F117:$AJ117,"SL"))</f>
        <v/>
      </c>
      <c r="AR117" s="34" t="str">
        <f aca="false">IF($B117="","",COUNTIF($F117:$AJ117,"CO"))</f>
        <v/>
      </c>
      <c r="AS117" s="34" t="str">
        <f aca="false">IF($B117="","",COUNTIF($F117:$AJ117,"HPL"))</f>
        <v/>
      </c>
      <c r="AT117" s="34" t="str">
        <f aca="false">IF($B117="","",COUNTIF($F117:$AJ117,"HCL"))</f>
        <v/>
      </c>
      <c r="AU117" s="34" t="str">
        <f aca="false">IF($B117="","",COUNTIF($F117:$AJ117,"WO"))</f>
        <v/>
      </c>
      <c r="AV117" s="34" t="str">
        <f aca="false">IF($B117="","",COUNTIF($F117:$AJ117,"PH"))</f>
        <v/>
      </c>
      <c r="AW117" s="34" t="str">
        <f aca="false">IF($B117="","",COUNTIF($F117:$AJ117,"TR"))</f>
        <v/>
      </c>
      <c r="AX117" s="35" t="str">
        <f aca="false">IF($B117="","",AO117+AS117/2)</f>
        <v/>
      </c>
      <c r="AY117" s="35" t="str">
        <f aca="false">IF($B117="","",AQ117)</f>
        <v/>
      </c>
      <c r="AZ117" s="35" t="str">
        <f aca="false">IF($B117="","",AP117+AT117/2)</f>
        <v/>
      </c>
      <c r="BA117" s="35" t="str">
        <f aca="false">IF($B117="","",AK117+AN117+AM117/2+AO117+AP117+AQ117+AR117+AS117+AT117+AU117+AV117+AW117)</f>
        <v/>
      </c>
      <c r="BB117" s="35" t="str">
        <f aca="false">IF($B117="","",MAX(0,AN117-Settings!$C$16)*Settings!$C$17)</f>
        <v/>
      </c>
      <c r="BC117" s="35" t="str">
        <f aca="false">IF($B117="","",BA117-BB117)</f>
        <v/>
      </c>
      <c r="BD117" s="35" t="str">
        <f aca="false">IF(OR($B117="",$A117=""),"",DAY(EOMONTH($A117,0))-COUNTA($F117:$AJ117))</f>
        <v/>
      </c>
    </row>
    <row r="118" customFormat="false" ht="15" hidden="false" customHeight="false" outlineLevel="0" collapsed="false">
      <c r="A118" s="32"/>
      <c r="B118" s="29"/>
      <c r="C118" s="10" t="str">
        <f aca="false">IF($B118="","",IFERROR(INDEX(M_name,MATCH($B118,M_emp,0)),"Code not found"))</f>
        <v/>
      </c>
      <c r="D118" s="10" t="str">
        <f aca="false">IF($B118="","",IFERROR(INDEX(M_dept,MATCH($B118,M_emp,0)),""))</f>
        <v/>
      </c>
      <c r="E118" s="10" t="str">
        <f aca="false">IF($B118="","",IFERROR(INDEX(M_loc,MATCH($B118,M_emp,0)),""))</f>
        <v/>
      </c>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4" t="str">
        <f aca="false">IF($B118="","",COUNTIF($F118:$AJ118,"P"))</f>
        <v/>
      </c>
      <c r="AL118" s="34" t="str">
        <f aca="false">IF($B118="","",COUNTIF($F118:$AJ118,"A"))</f>
        <v/>
      </c>
      <c r="AM118" s="34" t="str">
        <f aca="false">IF($B118="","",COUNTIF($F118:$AJ118,"HA"))</f>
        <v/>
      </c>
      <c r="AN118" s="34" t="str">
        <f aca="false">IF($B118="","",COUNTIF($F118:$AJ118,"L"))</f>
        <v/>
      </c>
      <c r="AO118" s="34" t="str">
        <f aca="false">IF($B118="","",COUNTIF($F118:$AJ118,"PL"))</f>
        <v/>
      </c>
      <c r="AP118" s="34" t="str">
        <f aca="false">IF($B118="","",COUNTIF($F118:$AJ118,"CL"))</f>
        <v/>
      </c>
      <c r="AQ118" s="34" t="str">
        <f aca="false">IF($B118="","",COUNTIF($F118:$AJ118,"SL"))</f>
        <v/>
      </c>
      <c r="AR118" s="34" t="str">
        <f aca="false">IF($B118="","",COUNTIF($F118:$AJ118,"CO"))</f>
        <v/>
      </c>
      <c r="AS118" s="34" t="str">
        <f aca="false">IF($B118="","",COUNTIF($F118:$AJ118,"HPL"))</f>
        <v/>
      </c>
      <c r="AT118" s="34" t="str">
        <f aca="false">IF($B118="","",COUNTIF($F118:$AJ118,"HCL"))</f>
        <v/>
      </c>
      <c r="AU118" s="34" t="str">
        <f aca="false">IF($B118="","",COUNTIF($F118:$AJ118,"WO"))</f>
        <v/>
      </c>
      <c r="AV118" s="34" t="str">
        <f aca="false">IF($B118="","",COUNTIF($F118:$AJ118,"PH"))</f>
        <v/>
      </c>
      <c r="AW118" s="34" t="str">
        <f aca="false">IF($B118="","",COUNTIF($F118:$AJ118,"TR"))</f>
        <v/>
      </c>
      <c r="AX118" s="35" t="str">
        <f aca="false">IF($B118="","",AO118+AS118/2)</f>
        <v/>
      </c>
      <c r="AY118" s="35" t="str">
        <f aca="false">IF($B118="","",AQ118)</f>
        <v/>
      </c>
      <c r="AZ118" s="35" t="str">
        <f aca="false">IF($B118="","",AP118+AT118/2)</f>
        <v/>
      </c>
      <c r="BA118" s="35" t="str">
        <f aca="false">IF($B118="","",AK118+AN118+AM118/2+AO118+AP118+AQ118+AR118+AS118+AT118+AU118+AV118+AW118)</f>
        <v/>
      </c>
      <c r="BB118" s="35" t="str">
        <f aca="false">IF($B118="","",MAX(0,AN118-Settings!$C$16)*Settings!$C$17)</f>
        <v/>
      </c>
      <c r="BC118" s="35" t="str">
        <f aca="false">IF($B118="","",BA118-BB118)</f>
        <v/>
      </c>
      <c r="BD118" s="35" t="str">
        <f aca="false">IF(OR($B118="",$A118=""),"",DAY(EOMONTH($A118,0))-COUNTA($F118:$AJ118))</f>
        <v/>
      </c>
    </row>
    <row r="119" customFormat="false" ht="15" hidden="false" customHeight="false" outlineLevel="0" collapsed="false">
      <c r="A119" s="32"/>
      <c r="B119" s="29"/>
      <c r="C119" s="10" t="str">
        <f aca="false">IF($B119="","",IFERROR(INDEX(M_name,MATCH($B119,M_emp,0)),"Code not found"))</f>
        <v/>
      </c>
      <c r="D119" s="10" t="str">
        <f aca="false">IF($B119="","",IFERROR(INDEX(M_dept,MATCH($B119,M_emp,0)),""))</f>
        <v/>
      </c>
      <c r="E119" s="10" t="str">
        <f aca="false">IF($B119="","",IFERROR(INDEX(M_loc,MATCH($B119,M_emp,0)),""))</f>
        <v/>
      </c>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4" t="str">
        <f aca="false">IF($B119="","",COUNTIF($F119:$AJ119,"P"))</f>
        <v/>
      </c>
      <c r="AL119" s="34" t="str">
        <f aca="false">IF($B119="","",COUNTIF($F119:$AJ119,"A"))</f>
        <v/>
      </c>
      <c r="AM119" s="34" t="str">
        <f aca="false">IF($B119="","",COUNTIF($F119:$AJ119,"HA"))</f>
        <v/>
      </c>
      <c r="AN119" s="34" t="str">
        <f aca="false">IF($B119="","",COUNTIF($F119:$AJ119,"L"))</f>
        <v/>
      </c>
      <c r="AO119" s="34" t="str">
        <f aca="false">IF($B119="","",COUNTIF($F119:$AJ119,"PL"))</f>
        <v/>
      </c>
      <c r="AP119" s="34" t="str">
        <f aca="false">IF($B119="","",COUNTIF($F119:$AJ119,"CL"))</f>
        <v/>
      </c>
      <c r="AQ119" s="34" t="str">
        <f aca="false">IF($B119="","",COUNTIF($F119:$AJ119,"SL"))</f>
        <v/>
      </c>
      <c r="AR119" s="34" t="str">
        <f aca="false">IF($B119="","",COUNTIF($F119:$AJ119,"CO"))</f>
        <v/>
      </c>
      <c r="AS119" s="34" t="str">
        <f aca="false">IF($B119="","",COUNTIF($F119:$AJ119,"HPL"))</f>
        <v/>
      </c>
      <c r="AT119" s="34" t="str">
        <f aca="false">IF($B119="","",COUNTIF($F119:$AJ119,"HCL"))</f>
        <v/>
      </c>
      <c r="AU119" s="34" t="str">
        <f aca="false">IF($B119="","",COUNTIF($F119:$AJ119,"WO"))</f>
        <v/>
      </c>
      <c r="AV119" s="34" t="str">
        <f aca="false">IF($B119="","",COUNTIF($F119:$AJ119,"PH"))</f>
        <v/>
      </c>
      <c r="AW119" s="34" t="str">
        <f aca="false">IF($B119="","",COUNTIF($F119:$AJ119,"TR"))</f>
        <v/>
      </c>
      <c r="AX119" s="35" t="str">
        <f aca="false">IF($B119="","",AO119+AS119/2)</f>
        <v/>
      </c>
      <c r="AY119" s="35" t="str">
        <f aca="false">IF($B119="","",AQ119)</f>
        <v/>
      </c>
      <c r="AZ119" s="35" t="str">
        <f aca="false">IF($B119="","",AP119+AT119/2)</f>
        <v/>
      </c>
      <c r="BA119" s="35" t="str">
        <f aca="false">IF($B119="","",AK119+AN119+AM119/2+AO119+AP119+AQ119+AR119+AS119+AT119+AU119+AV119+AW119)</f>
        <v/>
      </c>
      <c r="BB119" s="35" t="str">
        <f aca="false">IF($B119="","",MAX(0,AN119-Settings!$C$16)*Settings!$C$17)</f>
        <v/>
      </c>
      <c r="BC119" s="35" t="str">
        <f aca="false">IF($B119="","",BA119-BB119)</f>
        <v/>
      </c>
      <c r="BD119" s="35" t="str">
        <f aca="false">IF(OR($B119="",$A119=""),"",DAY(EOMONTH($A119,0))-COUNTA($F119:$AJ119))</f>
        <v/>
      </c>
    </row>
    <row r="120" customFormat="false" ht="15" hidden="false" customHeight="false" outlineLevel="0" collapsed="false">
      <c r="A120" s="32"/>
      <c r="B120" s="29"/>
      <c r="C120" s="10" t="str">
        <f aca="false">IF($B120="","",IFERROR(INDEX(M_name,MATCH($B120,M_emp,0)),"Code not found"))</f>
        <v/>
      </c>
      <c r="D120" s="10" t="str">
        <f aca="false">IF($B120="","",IFERROR(INDEX(M_dept,MATCH($B120,M_emp,0)),""))</f>
        <v/>
      </c>
      <c r="E120" s="10" t="str">
        <f aca="false">IF($B120="","",IFERROR(INDEX(M_loc,MATCH($B120,M_emp,0)),""))</f>
        <v/>
      </c>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4" t="str">
        <f aca="false">IF($B120="","",COUNTIF($F120:$AJ120,"P"))</f>
        <v/>
      </c>
      <c r="AL120" s="34" t="str">
        <f aca="false">IF($B120="","",COUNTIF($F120:$AJ120,"A"))</f>
        <v/>
      </c>
      <c r="AM120" s="34" t="str">
        <f aca="false">IF($B120="","",COUNTIF($F120:$AJ120,"HA"))</f>
        <v/>
      </c>
      <c r="AN120" s="34" t="str">
        <f aca="false">IF($B120="","",COUNTIF($F120:$AJ120,"L"))</f>
        <v/>
      </c>
      <c r="AO120" s="34" t="str">
        <f aca="false">IF($B120="","",COUNTIF($F120:$AJ120,"PL"))</f>
        <v/>
      </c>
      <c r="AP120" s="34" t="str">
        <f aca="false">IF($B120="","",COUNTIF($F120:$AJ120,"CL"))</f>
        <v/>
      </c>
      <c r="AQ120" s="34" t="str">
        <f aca="false">IF($B120="","",COUNTIF($F120:$AJ120,"SL"))</f>
        <v/>
      </c>
      <c r="AR120" s="34" t="str">
        <f aca="false">IF($B120="","",COUNTIF($F120:$AJ120,"CO"))</f>
        <v/>
      </c>
      <c r="AS120" s="34" t="str">
        <f aca="false">IF($B120="","",COUNTIF($F120:$AJ120,"HPL"))</f>
        <v/>
      </c>
      <c r="AT120" s="34" t="str">
        <f aca="false">IF($B120="","",COUNTIF($F120:$AJ120,"HCL"))</f>
        <v/>
      </c>
      <c r="AU120" s="34" t="str">
        <f aca="false">IF($B120="","",COUNTIF($F120:$AJ120,"WO"))</f>
        <v/>
      </c>
      <c r="AV120" s="34" t="str">
        <f aca="false">IF($B120="","",COUNTIF($F120:$AJ120,"PH"))</f>
        <v/>
      </c>
      <c r="AW120" s="34" t="str">
        <f aca="false">IF($B120="","",COUNTIF($F120:$AJ120,"TR"))</f>
        <v/>
      </c>
      <c r="AX120" s="35" t="str">
        <f aca="false">IF($B120="","",AO120+AS120/2)</f>
        <v/>
      </c>
      <c r="AY120" s="35" t="str">
        <f aca="false">IF($B120="","",AQ120)</f>
        <v/>
      </c>
      <c r="AZ120" s="35" t="str">
        <f aca="false">IF($B120="","",AP120+AT120/2)</f>
        <v/>
      </c>
      <c r="BA120" s="35" t="str">
        <f aca="false">IF($B120="","",AK120+AN120+AM120/2+AO120+AP120+AQ120+AR120+AS120+AT120+AU120+AV120+AW120)</f>
        <v/>
      </c>
      <c r="BB120" s="35" t="str">
        <f aca="false">IF($B120="","",MAX(0,AN120-Settings!$C$16)*Settings!$C$17)</f>
        <v/>
      </c>
      <c r="BC120" s="35" t="str">
        <f aca="false">IF($B120="","",BA120-BB120)</f>
        <v/>
      </c>
      <c r="BD120" s="35" t="str">
        <f aca="false">IF(OR($B120="",$A120=""),"",DAY(EOMONTH($A120,0))-COUNTA($F120:$AJ120))</f>
        <v/>
      </c>
    </row>
    <row r="121" customFormat="false" ht="15" hidden="false" customHeight="false" outlineLevel="0" collapsed="false">
      <c r="A121" s="32"/>
      <c r="B121" s="29"/>
      <c r="C121" s="10" t="str">
        <f aca="false">IF($B121="","",IFERROR(INDEX(M_name,MATCH($B121,M_emp,0)),"Code not found"))</f>
        <v/>
      </c>
      <c r="D121" s="10" t="str">
        <f aca="false">IF($B121="","",IFERROR(INDEX(M_dept,MATCH($B121,M_emp,0)),""))</f>
        <v/>
      </c>
      <c r="E121" s="10" t="str">
        <f aca="false">IF($B121="","",IFERROR(INDEX(M_loc,MATCH($B121,M_emp,0)),""))</f>
        <v/>
      </c>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4" t="str">
        <f aca="false">IF($B121="","",COUNTIF($F121:$AJ121,"P"))</f>
        <v/>
      </c>
      <c r="AL121" s="34" t="str">
        <f aca="false">IF($B121="","",COUNTIF($F121:$AJ121,"A"))</f>
        <v/>
      </c>
      <c r="AM121" s="34" t="str">
        <f aca="false">IF($B121="","",COUNTIF($F121:$AJ121,"HA"))</f>
        <v/>
      </c>
      <c r="AN121" s="34" t="str">
        <f aca="false">IF($B121="","",COUNTIF($F121:$AJ121,"L"))</f>
        <v/>
      </c>
      <c r="AO121" s="34" t="str">
        <f aca="false">IF($B121="","",COUNTIF($F121:$AJ121,"PL"))</f>
        <v/>
      </c>
      <c r="AP121" s="34" t="str">
        <f aca="false">IF($B121="","",COUNTIF($F121:$AJ121,"CL"))</f>
        <v/>
      </c>
      <c r="AQ121" s="34" t="str">
        <f aca="false">IF($B121="","",COUNTIF($F121:$AJ121,"SL"))</f>
        <v/>
      </c>
      <c r="AR121" s="34" t="str">
        <f aca="false">IF($B121="","",COUNTIF($F121:$AJ121,"CO"))</f>
        <v/>
      </c>
      <c r="AS121" s="34" t="str">
        <f aca="false">IF($B121="","",COUNTIF($F121:$AJ121,"HPL"))</f>
        <v/>
      </c>
      <c r="AT121" s="34" t="str">
        <f aca="false">IF($B121="","",COUNTIF($F121:$AJ121,"HCL"))</f>
        <v/>
      </c>
      <c r="AU121" s="34" t="str">
        <f aca="false">IF($B121="","",COUNTIF($F121:$AJ121,"WO"))</f>
        <v/>
      </c>
      <c r="AV121" s="34" t="str">
        <f aca="false">IF($B121="","",COUNTIF($F121:$AJ121,"PH"))</f>
        <v/>
      </c>
      <c r="AW121" s="34" t="str">
        <f aca="false">IF($B121="","",COUNTIF($F121:$AJ121,"TR"))</f>
        <v/>
      </c>
      <c r="AX121" s="35" t="str">
        <f aca="false">IF($B121="","",AO121+AS121/2)</f>
        <v/>
      </c>
      <c r="AY121" s="35" t="str">
        <f aca="false">IF($B121="","",AQ121)</f>
        <v/>
      </c>
      <c r="AZ121" s="35" t="str">
        <f aca="false">IF($B121="","",AP121+AT121/2)</f>
        <v/>
      </c>
      <c r="BA121" s="35" t="str">
        <f aca="false">IF($B121="","",AK121+AN121+AM121/2+AO121+AP121+AQ121+AR121+AS121+AT121+AU121+AV121+AW121)</f>
        <v/>
      </c>
      <c r="BB121" s="35" t="str">
        <f aca="false">IF($B121="","",MAX(0,AN121-Settings!$C$16)*Settings!$C$17)</f>
        <v/>
      </c>
      <c r="BC121" s="35" t="str">
        <f aca="false">IF($B121="","",BA121-BB121)</f>
        <v/>
      </c>
      <c r="BD121" s="35" t="str">
        <f aca="false">IF(OR($B121="",$A121=""),"",DAY(EOMONTH($A121,0))-COUNTA($F121:$AJ121))</f>
        <v/>
      </c>
    </row>
    <row r="122" customFormat="false" ht="15" hidden="false" customHeight="false" outlineLevel="0" collapsed="false">
      <c r="A122" s="32"/>
      <c r="B122" s="29"/>
      <c r="C122" s="10" t="str">
        <f aca="false">IF($B122="","",IFERROR(INDEX(M_name,MATCH($B122,M_emp,0)),"Code not found"))</f>
        <v/>
      </c>
      <c r="D122" s="10" t="str">
        <f aca="false">IF($B122="","",IFERROR(INDEX(M_dept,MATCH($B122,M_emp,0)),""))</f>
        <v/>
      </c>
      <c r="E122" s="10" t="str">
        <f aca="false">IF($B122="","",IFERROR(INDEX(M_loc,MATCH($B122,M_emp,0)),""))</f>
        <v/>
      </c>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4" t="str">
        <f aca="false">IF($B122="","",COUNTIF($F122:$AJ122,"P"))</f>
        <v/>
      </c>
      <c r="AL122" s="34" t="str">
        <f aca="false">IF($B122="","",COUNTIF($F122:$AJ122,"A"))</f>
        <v/>
      </c>
      <c r="AM122" s="34" t="str">
        <f aca="false">IF($B122="","",COUNTIF($F122:$AJ122,"HA"))</f>
        <v/>
      </c>
      <c r="AN122" s="34" t="str">
        <f aca="false">IF($B122="","",COUNTIF($F122:$AJ122,"L"))</f>
        <v/>
      </c>
      <c r="AO122" s="34" t="str">
        <f aca="false">IF($B122="","",COUNTIF($F122:$AJ122,"PL"))</f>
        <v/>
      </c>
      <c r="AP122" s="34" t="str">
        <f aca="false">IF($B122="","",COUNTIF($F122:$AJ122,"CL"))</f>
        <v/>
      </c>
      <c r="AQ122" s="34" t="str">
        <f aca="false">IF($B122="","",COUNTIF($F122:$AJ122,"SL"))</f>
        <v/>
      </c>
      <c r="AR122" s="34" t="str">
        <f aca="false">IF($B122="","",COUNTIF($F122:$AJ122,"CO"))</f>
        <v/>
      </c>
      <c r="AS122" s="34" t="str">
        <f aca="false">IF($B122="","",COUNTIF($F122:$AJ122,"HPL"))</f>
        <v/>
      </c>
      <c r="AT122" s="34" t="str">
        <f aca="false">IF($B122="","",COUNTIF($F122:$AJ122,"HCL"))</f>
        <v/>
      </c>
      <c r="AU122" s="34" t="str">
        <f aca="false">IF($B122="","",COUNTIF($F122:$AJ122,"WO"))</f>
        <v/>
      </c>
      <c r="AV122" s="34" t="str">
        <f aca="false">IF($B122="","",COUNTIF($F122:$AJ122,"PH"))</f>
        <v/>
      </c>
      <c r="AW122" s="34" t="str">
        <f aca="false">IF($B122="","",COUNTIF($F122:$AJ122,"TR"))</f>
        <v/>
      </c>
      <c r="AX122" s="35" t="str">
        <f aca="false">IF($B122="","",AO122+AS122/2)</f>
        <v/>
      </c>
      <c r="AY122" s="35" t="str">
        <f aca="false">IF($B122="","",AQ122)</f>
        <v/>
      </c>
      <c r="AZ122" s="35" t="str">
        <f aca="false">IF($B122="","",AP122+AT122/2)</f>
        <v/>
      </c>
      <c r="BA122" s="35" t="str">
        <f aca="false">IF($B122="","",AK122+AN122+AM122/2+AO122+AP122+AQ122+AR122+AS122+AT122+AU122+AV122+AW122)</f>
        <v/>
      </c>
      <c r="BB122" s="35" t="str">
        <f aca="false">IF($B122="","",MAX(0,AN122-Settings!$C$16)*Settings!$C$17)</f>
        <v/>
      </c>
      <c r="BC122" s="35" t="str">
        <f aca="false">IF($B122="","",BA122-BB122)</f>
        <v/>
      </c>
      <c r="BD122" s="35" t="str">
        <f aca="false">IF(OR($B122="",$A122=""),"",DAY(EOMONTH($A122,0))-COUNTA($F122:$AJ122))</f>
        <v/>
      </c>
    </row>
    <row r="123" customFormat="false" ht="15" hidden="false" customHeight="false" outlineLevel="0" collapsed="false">
      <c r="A123" s="32"/>
      <c r="B123" s="29"/>
      <c r="C123" s="10" t="str">
        <f aca="false">IF($B123="","",IFERROR(INDEX(M_name,MATCH($B123,M_emp,0)),"Code not found"))</f>
        <v/>
      </c>
      <c r="D123" s="10" t="str">
        <f aca="false">IF($B123="","",IFERROR(INDEX(M_dept,MATCH($B123,M_emp,0)),""))</f>
        <v/>
      </c>
      <c r="E123" s="10" t="str">
        <f aca="false">IF($B123="","",IFERROR(INDEX(M_loc,MATCH($B123,M_emp,0)),""))</f>
        <v/>
      </c>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4" t="str">
        <f aca="false">IF($B123="","",COUNTIF($F123:$AJ123,"P"))</f>
        <v/>
      </c>
      <c r="AL123" s="34" t="str">
        <f aca="false">IF($B123="","",COUNTIF($F123:$AJ123,"A"))</f>
        <v/>
      </c>
      <c r="AM123" s="34" t="str">
        <f aca="false">IF($B123="","",COUNTIF($F123:$AJ123,"HA"))</f>
        <v/>
      </c>
      <c r="AN123" s="34" t="str">
        <f aca="false">IF($B123="","",COUNTIF($F123:$AJ123,"L"))</f>
        <v/>
      </c>
      <c r="AO123" s="34" t="str">
        <f aca="false">IF($B123="","",COUNTIF($F123:$AJ123,"PL"))</f>
        <v/>
      </c>
      <c r="AP123" s="34" t="str">
        <f aca="false">IF($B123="","",COUNTIF($F123:$AJ123,"CL"))</f>
        <v/>
      </c>
      <c r="AQ123" s="34" t="str">
        <f aca="false">IF($B123="","",COUNTIF($F123:$AJ123,"SL"))</f>
        <v/>
      </c>
      <c r="AR123" s="34" t="str">
        <f aca="false">IF($B123="","",COUNTIF($F123:$AJ123,"CO"))</f>
        <v/>
      </c>
      <c r="AS123" s="34" t="str">
        <f aca="false">IF($B123="","",COUNTIF($F123:$AJ123,"HPL"))</f>
        <v/>
      </c>
      <c r="AT123" s="34" t="str">
        <f aca="false">IF($B123="","",COUNTIF($F123:$AJ123,"HCL"))</f>
        <v/>
      </c>
      <c r="AU123" s="34" t="str">
        <f aca="false">IF($B123="","",COUNTIF($F123:$AJ123,"WO"))</f>
        <v/>
      </c>
      <c r="AV123" s="34" t="str">
        <f aca="false">IF($B123="","",COUNTIF($F123:$AJ123,"PH"))</f>
        <v/>
      </c>
      <c r="AW123" s="34" t="str">
        <f aca="false">IF($B123="","",COUNTIF($F123:$AJ123,"TR"))</f>
        <v/>
      </c>
      <c r="AX123" s="35" t="str">
        <f aca="false">IF($B123="","",AO123+AS123/2)</f>
        <v/>
      </c>
      <c r="AY123" s="35" t="str">
        <f aca="false">IF($B123="","",AQ123)</f>
        <v/>
      </c>
      <c r="AZ123" s="35" t="str">
        <f aca="false">IF($B123="","",AP123+AT123/2)</f>
        <v/>
      </c>
      <c r="BA123" s="35" t="str">
        <f aca="false">IF($B123="","",AK123+AN123+AM123/2+AO123+AP123+AQ123+AR123+AS123+AT123+AU123+AV123+AW123)</f>
        <v/>
      </c>
      <c r="BB123" s="35" t="str">
        <f aca="false">IF($B123="","",MAX(0,AN123-Settings!$C$16)*Settings!$C$17)</f>
        <v/>
      </c>
      <c r="BC123" s="35" t="str">
        <f aca="false">IF($B123="","",BA123-BB123)</f>
        <v/>
      </c>
      <c r="BD123" s="35" t="str">
        <f aca="false">IF(OR($B123="",$A123=""),"",DAY(EOMONTH($A123,0))-COUNTA($F123:$AJ123))</f>
        <v/>
      </c>
    </row>
    <row r="124" customFormat="false" ht="15" hidden="false" customHeight="false" outlineLevel="0" collapsed="false">
      <c r="A124" s="32"/>
      <c r="B124" s="29"/>
      <c r="C124" s="10" t="str">
        <f aca="false">IF($B124="","",IFERROR(INDEX(M_name,MATCH($B124,M_emp,0)),"Code not found"))</f>
        <v/>
      </c>
      <c r="D124" s="10" t="str">
        <f aca="false">IF($B124="","",IFERROR(INDEX(M_dept,MATCH($B124,M_emp,0)),""))</f>
        <v/>
      </c>
      <c r="E124" s="10" t="str">
        <f aca="false">IF($B124="","",IFERROR(INDEX(M_loc,MATCH($B124,M_emp,0)),""))</f>
        <v/>
      </c>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4" t="str">
        <f aca="false">IF($B124="","",COUNTIF($F124:$AJ124,"P"))</f>
        <v/>
      </c>
      <c r="AL124" s="34" t="str">
        <f aca="false">IF($B124="","",COUNTIF($F124:$AJ124,"A"))</f>
        <v/>
      </c>
      <c r="AM124" s="34" t="str">
        <f aca="false">IF($B124="","",COUNTIF($F124:$AJ124,"HA"))</f>
        <v/>
      </c>
      <c r="AN124" s="34" t="str">
        <f aca="false">IF($B124="","",COUNTIF($F124:$AJ124,"L"))</f>
        <v/>
      </c>
      <c r="AO124" s="34" t="str">
        <f aca="false">IF($B124="","",COUNTIF($F124:$AJ124,"PL"))</f>
        <v/>
      </c>
      <c r="AP124" s="34" t="str">
        <f aca="false">IF($B124="","",COUNTIF($F124:$AJ124,"CL"))</f>
        <v/>
      </c>
      <c r="AQ124" s="34" t="str">
        <f aca="false">IF($B124="","",COUNTIF($F124:$AJ124,"SL"))</f>
        <v/>
      </c>
      <c r="AR124" s="34" t="str">
        <f aca="false">IF($B124="","",COUNTIF($F124:$AJ124,"CO"))</f>
        <v/>
      </c>
      <c r="AS124" s="34" t="str">
        <f aca="false">IF($B124="","",COUNTIF($F124:$AJ124,"HPL"))</f>
        <v/>
      </c>
      <c r="AT124" s="34" t="str">
        <f aca="false">IF($B124="","",COUNTIF($F124:$AJ124,"HCL"))</f>
        <v/>
      </c>
      <c r="AU124" s="34" t="str">
        <f aca="false">IF($B124="","",COUNTIF($F124:$AJ124,"WO"))</f>
        <v/>
      </c>
      <c r="AV124" s="34" t="str">
        <f aca="false">IF($B124="","",COUNTIF($F124:$AJ124,"PH"))</f>
        <v/>
      </c>
      <c r="AW124" s="34" t="str">
        <f aca="false">IF($B124="","",COUNTIF($F124:$AJ124,"TR"))</f>
        <v/>
      </c>
      <c r="AX124" s="35" t="str">
        <f aca="false">IF($B124="","",AO124+AS124/2)</f>
        <v/>
      </c>
      <c r="AY124" s="35" t="str">
        <f aca="false">IF($B124="","",AQ124)</f>
        <v/>
      </c>
      <c r="AZ124" s="35" t="str">
        <f aca="false">IF($B124="","",AP124+AT124/2)</f>
        <v/>
      </c>
      <c r="BA124" s="35" t="str">
        <f aca="false">IF($B124="","",AK124+AN124+AM124/2+AO124+AP124+AQ124+AR124+AS124+AT124+AU124+AV124+AW124)</f>
        <v/>
      </c>
      <c r="BB124" s="35" t="str">
        <f aca="false">IF($B124="","",MAX(0,AN124-Settings!$C$16)*Settings!$C$17)</f>
        <v/>
      </c>
      <c r="BC124" s="35" t="str">
        <f aca="false">IF($B124="","",BA124-BB124)</f>
        <v/>
      </c>
      <c r="BD124" s="35" t="str">
        <f aca="false">IF(OR($B124="",$A124=""),"",DAY(EOMONTH($A124,0))-COUNTA($F124:$AJ124))</f>
        <v/>
      </c>
    </row>
    <row r="125" customFormat="false" ht="15" hidden="false" customHeight="false" outlineLevel="0" collapsed="false">
      <c r="A125" s="32"/>
      <c r="B125" s="29"/>
      <c r="C125" s="10" t="str">
        <f aca="false">IF($B125="","",IFERROR(INDEX(M_name,MATCH($B125,M_emp,0)),"Code not found"))</f>
        <v/>
      </c>
      <c r="D125" s="10" t="str">
        <f aca="false">IF($B125="","",IFERROR(INDEX(M_dept,MATCH($B125,M_emp,0)),""))</f>
        <v/>
      </c>
      <c r="E125" s="10" t="str">
        <f aca="false">IF($B125="","",IFERROR(INDEX(M_loc,MATCH($B125,M_emp,0)),""))</f>
        <v/>
      </c>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4" t="str">
        <f aca="false">IF($B125="","",COUNTIF($F125:$AJ125,"P"))</f>
        <v/>
      </c>
      <c r="AL125" s="34" t="str">
        <f aca="false">IF($B125="","",COUNTIF($F125:$AJ125,"A"))</f>
        <v/>
      </c>
      <c r="AM125" s="34" t="str">
        <f aca="false">IF($B125="","",COUNTIF($F125:$AJ125,"HA"))</f>
        <v/>
      </c>
      <c r="AN125" s="34" t="str">
        <f aca="false">IF($B125="","",COUNTIF($F125:$AJ125,"L"))</f>
        <v/>
      </c>
      <c r="AO125" s="34" t="str">
        <f aca="false">IF($B125="","",COUNTIF($F125:$AJ125,"PL"))</f>
        <v/>
      </c>
      <c r="AP125" s="34" t="str">
        <f aca="false">IF($B125="","",COUNTIF($F125:$AJ125,"CL"))</f>
        <v/>
      </c>
      <c r="AQ125" s="34" t="str">
        <f aca="false">IF($B125="","",COUNTIF($F125:$AJ125,"SL"))</f>
        <v/>
      </c>
      <c r="AR125" s="34" t="str">
        <f aca="false">IF($B125="","",COUNTIF($F125:$AJ125,"CO"))</f>
        <v/>
      </c>
      <c r="AS125" s="34" t="str">
        <f aca="false">IF($B125="","",COUNTIF($F125:$AJ125,"HPL"))</f>
        <v/>
      </c>
      <c r="AT125" s="34" t="str">
        <f aca="false">IF($B125="","",COUNTIF($F125:$AJ125,"HCL"))</f>
        <v/>
      </c>
      <c r="AU125" s="34" t="str">
        <f aca="false">IF($B125="","",COUNTIF($F125:$AJ125,"WO"))</f>
        <v/>
      </c>
      <c r="AV125" s="34" t="str">
        <f aca="false">IF($B125="","",COUNTIF($F125:$AJ125,"PH"))</f>
        <v/>
      </c>
      <c r="AW125" s="34" t="str">
        <f aca="false">IF($B125="","",COUNTIF($F125:$AJ125,"TR"))</f>
        <v/>
      </c>
      <c r="AX125" s="35" t="str">
        <f aca="false">IF($B125="","",AO125+AS125/2)</f>
        <v/>
      </c>
      <c r="AY125" s="35" t="str">
        <f aca="false">IF($B125="","",AQ125)</f>
        <v/>
      </c>
      <c r="AZ125" s="35" t="str">
        <f aca="false">IF($B125="","",AP125+AT125/2)</f>
        <v/>
      </c>
      <c r="BA125" s="35" t="str">
        <f aca="false">IF($B125="","",AK125+AN125+AM125/2+AO125+AP125+AQ125+AR125+AS125+AT125+AU125+AV125+AW125)</f>
        <v/>
      </c>
      <c r="BB125" s="35" t="str">
        <f aca="false">IF($B125="","",MAX(0,AN125-Settings!$C$16)*Settings!$C$17)</f>
        <v/>
      </c>
      <c r="BC125" s="35" t="str">
        <f aca="false">IF($B125="","",BA125-BB125)</f>
        <v/>
      </c>
      <c r="BD125" s="35" t="str">
        <f aca="false">IF(OR($B125="",$A125=""),"",DAY(EOMONTH($A125,0))-COUNTA($F125:$AJ125))</f>
        <v/>
      </c>
    </row>
    <row r="126" customFormat="false" ht="15" hidden="false" customHeight="false" outlineLevel="0" collapsed="false">
      <c r="A126" s="32"/>
      <c r="B126" s="29"/>
      <c r="C126" s="10" t="str">
        <f aca="false">IF($B126="","",IFERROR(INDEX(M_name,MATCH($B126,M_emp,0)),"Code not found"))</f>
        <v/>
      </c>
      <c r="D126" s="10" t="str">
        <f aca="false">IF($B126="","",IFERROR(INDEX(M_dept,MATCH($B126,M_emp,0)),""))</f>
        <v/>
      </c>
      <c r="E126" s="10" t="str">
        <f aca="false">IF($B126="","",IFERROR(INDEX(M_loc,MATCH($B126,M_emp,0)),""))</f>
        <v/>
      </c>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4" t="str">
        <f aca="false">IF($B126="","",COUNTIF($F126:$AJ126,"P"))</f>
        <v/>
      </c>
      <c r="AL126" s="34" t="str">
        <f aca="false">IF($B126="","",COUNTIF($F126:$AJ126,"A"))</f>
        <v/>
      </c>
      <c r="AM126" s="34" t="str">
        <f aca="false">IF($B126="","",COUNTIF($F126:$AJ126,"HA"))</f>
        <v/>
      </c>
      <c r="AN126" s="34" t="str">
        <f aca="false">IF($B126="","",COUNTIF($F126:$AJ126,"L"))</f>
        <v/>
      </c>
      <c r="AO126" s="34" t="str">
        <f aca="false">IF($B126="","",COUNTIF($F126:$AJ126,"PL"))</f>
        <v/>
      </c>
      <c r="AP126" s="34" t="str">
        <f aca="false">IF($B126="","",COUNTIF($F126:$AJ126,"CL"))</f>
        <v/>
      </c>
      <c r="AQ126" s="34" t="str">
        <f aca="false">IF($B126="","",COUNTIF($F126:$AJ126,"SL"))</f>
        <v/>
      </c>
      <c r="AR126" s="34" t="str">
        <f aca="false">IF($B126="","",COUNTIF($F126:$AJ126,"CO"))</f>
        <v/>
      </c>
      <c r="AS126" s="34" t="str">
        <f aca="false">IF($B126="","",COUNTIF($F126:$AJ126,"HPL"))</f>
        <v/>
      </c>
      <c r="AT126" s="34" t="str">
        <f aca="false">IF($B126="","",COUNTIF($F126:$AJ126,"HCL"))</f>
        <v/>
      </c>
      <c r="AU126" s="34" t="str">
        <f aca="false">IF($B126="","",COUNTIF($F126:$AJ126,"WO"))</f>
        <v/>
      </c>
      <c r="AV126" s="34" t="str">
        <f aca="false">IF($B126="","",COUNTIF($F126:$AJ126,"PH"))</f>
        <v/>
      </c>
      <c r="AW126" s="34" t="str">
        <f aca="false">IF($B126="","",COUNTIF($F126:$AJ126,"TR"))</f>
        <v/>
      </c>
      <c r="AX126" s="35" t="str">
        <f aca="false">IF($B126="","",AO126+AS126/2)</f>
        <v/>
      </c>
      <c r="AY126" s="35" t="str">
        <f aca="false">IF($B126="","",AQ126)</f>
        <v/>
      </c>
      <c r="AZ126" s="35" t="str">
        <f aca="false">IF($B126="","",AP126+AT126/2)</f>
        <v/>
      </c>
      <c r="BA126" s="35" t="str">
        <f aca="false">IF($B126="","",AK126+AN126+AM126/2+AO126+AP126+AQ126+AR126+AS126+AT126+AU126+AV126+AW126)</f>
        <v/>
      </c>
      <c r="BB126" s="35" t="str">
        <f aca="false">IF($B126="","",MAX(0,AN126-Settings!$C$16)*Settings!$C$17)</f>
        <v/>
      </c>
      <c r="BC126" s="35" t="str">
        <f aca="false">IF($B126="","",BA126-BB126)</f>
        <v/>
      </c>
      <c r="BD126" s="35" t="str">
        <f aca="false">IF(OR($B126="",$A126=""),"",DAY(EOMONTH($A126,0))-COUNTA($F126:$AJ126))</f>
        <v/>
      </c>
    </row>
    <row r="127" customFormat="false" ht="15" hidden="false" customHeight="false" outlineLevel="0" collapsed="false">
      <c r="A127" s="32"/>
      <c r="B127" s="29"/>
      <c r="C127" s="10" t="str">
        <f aca="false">IF($B127="","",IFERROR(INDEX(M_name,MATCH($B127,M_emp,0)),"Code not found"))</f>
        <v/>
      </c>
      <c r="D127" s="10" t="str">
        <f aca="false">IF($B127="","",IFERROR(INDEX(M_dept,MATCH($B127,M_emp,0)),""))</f>
        <v/>
      </c>
      <c r="E127" s="10" t="str">
        <f aca="false">IF($B127="","",IFERROR(INDEX(M_loc,MATCH($B127,M_emp,0)),""))</f>
        <v/>
      </c>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4" t="str">
        <f aca="false">IF($B127="","",COUNTIF($F127:$AJ127,"P"))</f>
        <v/>
      </c>
      <c r="AL127" s="34" t="str">
        <f aca="false">IF($B127="","",COUNTIF($F127:$AJ127,"A"))</f>
        <v/>
      </c>
      <c r="AM127" s="34" t="str">
        <f aca="false">IF($B127="","",COUNTIF($F127:$AJ127,"HA"))</f>
        <v/>
      </c>
      <c r="AN127" s="34" t="str">
        <f aca="false">IF($B127="","",COUNTIF($F127:$AJ127,"L"))</f>
        <v/>
      </c>
      <c r="AO127" s="34" t="str">
        <f aca="false">IF($B127="","",COUNTIF($F127:$AJ127,"PL"))</f>
        <v/>
      </c>
      <c r="AP127" s="34" t="str">
        <f aca="false">IF($B127="","",COUNTIF($F127:$AJ127,"CL"))</f>
        <v/>
      </c>
      <c r="AQ127" s="34" t="str">
        <f aca="false">IF($B127="","",COUNTIF($F127:$AJ127,"SL"))</f>
        <v/>
      </c>
      <c r="AR127" s="34" t="str">
        <f aca="false">IF($B127="","",COUNTIF($F127:$AJ127,"CO"))</f>
        <v/>
      </c>
      <c r="AS127" s="34" t="str">
        <f aca="false">IF($B127="","",COUNTIF($F127:$AJ127,"HPL"))</f>
        <v/>
      </c>
      <c r="AT127" s="34" t="str">
        <f aca="false">IF($B127="","",COUNTIF($F127:$AJ127,"HCL"))</f>
        <v/>
      </c>
      <c r="AU127" s="34" t="str">
        <f aca="false">IF($B127="","",COUNTIF($F127:$AJ127,"WO"))</f>
        <v/>
      </c>
      <c r="AV127" s="34" t="str">
        <f aca="false">IF($B127="","",COUNTIF($F127:$AJ127,"PH"))</f>
        <v/>
      </c>
      <c r="AW127" s="34" t="str">
        <f aca="false">IF($B127="","",COUNTIF($F127:$AJ127,"TR"))</f>
        <v/>
      </c>
      <c r="AX127" s="35" t="str">
        <f aca="false">IF($B127="","",AO127+AS127/2)</f>
        <v/>
      </c>
      <c r="AY127" s="35" t="str">
        <f aca="false">IF($B127="","",AQ127)</f>
        <v/>
      </c>
      <c r="AZ127" s="35" t="str">
        <f aca="false">IF($B127="","",AP127+AT127/2)</f>
        <v/>
      </c>
      <c r="BA127" s="35" t="str">
        <f aca="false">IF($B127="","",AK127+AN127+AM127/2+AO127+AP127+AQ127+AR127+AS127+AT127+AU127+AV127+AW127)</f>
        <v/>
      </c>
      <c r="BB127" s="35" t="str">
        <f aca="false">IF($B127="","",MAX(0,AN127-Settings!$C$16)*Settings!$C$17)</f>
        <v/>
      </c>
      <c r="BC127" s="35" t="str">
        <f aca="false">IF($B127="","",BA127-BB127)</f>
        <v/>
      </c>
      <c r="BD127" s="35" t="str">
        <f aca="false">IF(OR($B127="",$A127=""),"",DAY(EOMONTH($A127,0))-COUNTA($F127:$AJ127))</f>
        <v/>
      </c>
    </row>
    <row r="128" customFormat="false" ht="15" hidden="false" customHeight="false" outlineLevel="0" collapsed="false">
      <c r="A128" s="32"/>
      <c r="B128" s="29"/>
      <c r="C128" s="10" t="str">
        <f aca="false">IF($B128="","",IFERROR(INDEX(M_name,MATCH($B128,M_emp,0)),"Code not found"))</f>
        <v/>
      </c>
      <c r="D128" s="10" t="str">
        <f aca="false">IF($B128="","",IFERROR(INDEX(M_dept,MATCH($B128,M_emp,0)),""))</f>
        <v/>
      </c>
      <c r="E128" s="10" t="str">
        <f aca="false">IF($B128="","",IFERROR(INDEX(M_loc,MATCH($B128,M_emp,0)),""))</f>
        <v/>
      </c>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4" t="str">
        <f aca="false">IF($B128="","",COUNTIF($F128:$AJ128,"P"))</f>
        <v/>
      </c>
      <c r="AL128" s="34" t="str">
        <f aca="false">IF($B128="","",COUNTIF($F128:$AJ128,"A"))</f>
        <v/>
      </c>
      <c r="AM128" s="34" t="str">
        <f aca="false">IF($B128="","",COUNTIF($F128:$AJ128,"HA"))</f>
        <v/>
      </c>
      <c r="AN128" s="34" t="str">
        <f aca="false">IF($B128="","",COUNTIF($F128:$AJ128,"L"))</f>
        <v/>
      </c>
      <c r="AO128" s="34" t="str">
        <f aca="false">IF($B128="","",COUNTIF($F128:$AJ128,"PL"))</f>
        <v/>
      </c>
      <c r="AP128" s="34" t="str">
        <f aca="false">IF($B128="","",COUNTIF($F128:$AJ128,"CL"))</f>
        <v/>
      </c>
      <c r="AQ128" s="34" t="str">
        <f aca="false">IF($B128="","",COUNTIF($F128:$AJ128,"SL"))</f>
        <v/>
      </c>
      <c r="AR128" s="34" t="str">
        <f aca="false">IF($B128="","",COUNTIF($F128:$AJ128,"CO"))</f>
        <v/>
      </c>
      <c r="AS128" s="34" t="str">
        <f aca="false">IF($B128="","",COUNTIF($F128:$AJ128,"HPL"))</f>
        <v/>
      </c>
      <c r="AT128" s="34" t="str">
        <f aca="false">IF($B128="","",COUNTIF($F128:$AJ128,"HCL"))</f>
        <v/>
      </c>
      <c r="AU128" s="34" t="str">
        <f aca="false">IF($B128="","",COUNTIF($F128:$AJ128,"WO"))</f>
        <v/>
      </c>
      <c r="AV128" s="34" t="str">
        <f aca="false">IF($B128="","",COUNTIF($F128:$AJ128,"PH"))</f>
        <v/>
      </c>
      <c r="AW128" s="34" t="str">
        <f aca="false">IF($B128="","",COUNTIF($F128:$AJ128,"TR"))</f>
        <v/>
      </c>
      <c r="AX128" s="35" t="str">
        <f aca="false">IF($B128="","",AO128+AS128/2)</f>
        <v/>
      </c>
      <c r="AY128" s="35" t="str">
        <f aca="false">IF($B128="","",AQ128)</f>
        <v/>
      </c>
      <c r="AZ128" s="35" t="str">
        <f aca="false">IF($B128="","",AP128+AT128/2)</f>
        <v/>
      </c>
      <c r="BA128" s="35" t="str">
        <f aca="false">IF($B128="","",AK128+AN128+AM128/2+AO128+AP128+AQ128+AR128+AS128+AT128+AU128+AV128+AW128)</f>
        <v/>
      </c>
      <c r="BB128" s="35" t="str">
        <f aca="false">IF($B128="","",MAX(0,AN128-Settings!$C$16)*Settings!$C$17)</f>
        <v/>
      </c>
      <c r="BC128" s="35" t="str">
        <f aca="false">IF($B128="","",BA128-BB128)</f>
        <v/>
      </c>
      <c r="BD128" s="35" t="str">
        <f aca="false">IF(OR($B128="",$A128=""),"",DAY(EOMONTH($A128,0))-COUNTA($F128:$AJ128))</f>
        <v/>
      </c>
    </row>
    <row r="129" customFormat="false" ht="15" hidden="false" customHeight="false" outlineLevel="0" collapsed="false">
      <c r="A129" s="32"/>
      <c r="B129" s="29"/>
      <c r="C129" s="10" t="str">
        <f aca="false">IF($B129="","",IFERROR(INDEX(M_name,MATCH($B129,M_emp,0)),"Code not found"))</f>
        <v/>
      </c>
      <c r="D129" s="10" t="str">
        <f aca="false">IF($B129="","",IFERROR(INDEX(M_dept,MATCH($B129,M_emp,0)),""))</f>
        <v/>
      </c>
      <c r="E129" s="10" t="str">
        <f aca="false">IF($B129="","",IFERROR(INDEX(M_loc,MATCH($B129,M_emp,0)),""))</f>
        <v/>
      </c>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4" t="str">
        <f aca="false">IF($B129="","",COUNTIF($F129:$AJ129,"P"))</f>
        <v/>
      </c>
      <c r="AL129" s="34" t="str">
        <f aca="false">IF($B129="","",COUNTIF($F129:$AJ129,"A"))</f>
        <v/>
      </c>
      <c r="AM129" s="34" t="str">
        <f aca="false">IF($B129="","",COUNTIF($F129:$AJ129,"HA"))</f>
        <v/>
      </c>
      <c r="AN129" s="34" t="str">
        <f aca="false">IF($B129="","",COUNTIF($F129:$AJ129,"L"))</f>
        <v/>
      </c>
      <c r="AO129" s="34" t="str">
        <f aca="false">IF($B129="","",COUNTIF($F129:$AJ129,"PL"))</f>
        <v/>
      </c>
      <c r="AP129" s="34" t="str">
        <f aca="false">IF($B129="","",COUNTIF($F129:$AJ129,"CL"))</f>
        <v/>
      </c>
      <c r="AQ129" s="34" t="str">
        <f aca="false">IF($B129="","",COUNTIF($F129:$AJ129,"SL"))</f>
        <v/>
      </c>
      <c r="AR129" s="34" t="str">
        <f aca="false">IF($B129="","",COUNTIF($F129:$AJ129,"CO"))</f>
        <v/>
      </c>
      <c r="AS129" s="34" t="str">
        <f aca="false">IF($B129="","",COUNTIF($F129:$AJ129,"HPL"))</f>
        <v/>
      </c>
      <c r="AT129" s="34" t="str">
        <f aca="false">IF($B129="","",COUNTIF($F129:$AJ129,"HCL"))</f>
        <v/>
      </c>
      <c r="AU129" s="34" t="str">
        <f aca="false">IF($B129="","",COUNTIF($F129:$AJ129,"WO"))</f>
        <v/>
      </c>
      <c r="AV129" s="34" t="str">
        <f aca="false">IF($B129="","",COUNTIF($F129:$AJ129,"PH"))</f>
        <v/>
      </c>
      <c r="AW129" s="34" t="str">
        <f aca="false">IF($B129="","",COUNTIF($F129:$AJ129,"TR"))</f>
        <v/>
      </c>
      <c r="AX129" s="35" t="str">
        <f aca="false">IF($B129="","",AO129+AS129/2)</f>
        <v/>
      </c>
      <c r="AY129" s="35" t="str">
        <f aca="false">IF($B129="","",AQ129)</f>
        <v/>
      </c>
      <c r="AZ129" s="35" t="str">
        <f aca="false">IF($B129="","",AP129+AT129/2)</f>
        <v/>
      </c>
      <c r="BA129" s="35" t="str">
        <f aca="false">IF($B129="","",AK129+AN129+AM129/2+AO129+AP129+AQ129+AR129+AS129+AT129+AU129+AV129+AW129)</f>
        <v/>
      </c>
      <c r="BB129" s="35" t="str">
        <f aca="false">IF($B129="","",MAX(0,AN129-Settings!$C$16)*Settings!$C$17)</f>
        <v/>
      </c>
      <c r="BC129" s="35" t="str">
        <f aca="false">IF($B129="","",BA129-BB129)</f>
        <v/>
      </c>
      <c r="BD129" s="35" t="str">
        <f aca="false">IF(OR($B129="",$A129=""),"",DAY(EOMONTH($A129,0))-COUNTA($F129:$AJ129))</f>
        <v/>
      </c>
    </row>
    <row r="130" customFormat="false" ht="15" hidden="false" customHeight="false" outlineLevel="0" collapsed="false">
      <c r="A130" s="32"/>
      <c r="B130" s="29"/>
      <c r="C130" s="10" t="str">
        <f aca="false">IF($B130="","",IFERROR(INDEX(M_name,MATCH($B130,M_emp,0)),"Code not found"))</f>
        <v/>
      </c>
      <c r="D130" s="10" t="str">
        <f aca="false">IF($B130="","",IFERROR(INDEX(M_dept,MATCH($B130,M_emp,0)),""))</f>
        <v/>
      </c>
      <c r="E130" s="10" t="str">
        <f aca="false">IF($B130="","",IFERROR(INDEX(M_loc,MATCH($B130,M_emp,0)),""))</f>
        <v/>
      </c>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4" t="str">
        <f aca="false">IF($B130="","",COUNTIF($F130:$AJ130,"P"))</f>
        <v/>
      </c>
      <c r="AL130" s="34" t="str">
        <f aca="false">IF($B130="","",COUNTIF($F130:$AJ130,"A"))</f>
        <v/>
      </c>
      <c r="AM130" s="34" t="str">
        <f aca="false">IF($B130="","",COUNTIF($F130:$AJ130,"HA"))</f>
        <v/>
      </c>
      <c r="AN130" s="34" t="str">
        <f aca="false">IF($B130="","",COUNTIF($F130:$AJ130,"L"))</f>
        <v/>
      </c>
      <c r="AO130" s="34" t="str">
        <f aca="false">IF($B130="","",COUNTIF($F130:$AJ130,"PL"))</f>
        <v/>
      </c>
      <c r="AP130" s="34" t="str">
        <f aca="false">IF($B130="","",COUNTIF($F130:$AJ130,"CL"))</f>
        <v/>
      </c>
      <c r="AQ130" s="34" t="str">
        <f aca="false">IF($B130="","",COUNTIF($F130:$AJ130,"SL"))</f>
        <v/>
      </c>
      <c r="AR130" s="34" t="str">
        <f aca="false">IF($B130="","",COUNTIF($F130:$AJ130,"CO"))</f>
        <v/>
      </c>
      <c r="AS130" s="34" t="str">
        <f aca="false">IF($B130="","",COUNTIF($F130:$AJ130,"HPL"))</f>
        <v/>
      </c>
      <c r="AT130" s="34" t="str">
        <f aca="false">IF($B130="","",COUNTIF($F130:$AJ130,"HCL"))</f>
        <v/>
      </c>
      <c r="AU130" s="34" t="str">
        <f aca="false">IF($B130="","",COUNTIF($F130:$AJ130,"WO"))</f>
        <v/>
      </c>
      <c r="AV130" s="34" t="str">
        <f aca="false">IF($B130="","",COUNTIF($F130:$AJ130,"PH"))</f>
        <v/>
      </c>
      <c r="AW130" s="34" t="str">
        <f aca="false">IF($B130="","",COUNTIF($F130:$AJ130,"TR"))</f>
        <v/>
      </c>
      <c r="AX130" s="35" t="str">
        <f aca="false">IF($B130="","",AO130+AS130/2)</f>
        <v/>
      </c>
      <c r="AY130" s="35" t="str">
        <f aca="false">IF($B130="","",AQ130)</f>
        <v/>
      </c>
      <c r="AZ130" s="35" t="str">
        <f aca="false">IF($B130="","",AP130+AT130/2)</f>
        <v/>
      </c>
      <c r="BA130" s="35" t="str">
        <f aca="false">IF($B130="","",AK130+AN130+AM130/2+AO130+AP130+AQ130+AR130+AS130+AT130+AU130+AV130+AW130)</f>
        <v/>
      </c>
      <c r="BB130" s="35" t="str">
        <f aca="false">IF($B130="","",MAX(0,AN130-Settings!$C$16)*Settings!$C$17)</f>
        <v/>
      </c>
      <c r="BC130" s="35" t="str">
        <f aca="false">IF($B130="","",BA130-BB130)</f>
        <v/>
      </c>
      <c r="BD130" s="35" t="str">
        <f aca="false">IF(OR($B130="",$A130=""),"",DAY(EOMONTH($A130,0))-COUNTA($F130:$AJ130))</f>
        <v/>
      </c>
    </row>
    <row r="131" customFormat="false" ht="15" hidden="false" customHeight="false" outlineLevel="0" collapsed="false">
      <c r="A131" s="32"/>
      <c r="B131" s="29"/>
      <c r="C131" s="10" t="str">
        <f aca="false">IF($B131="","",IFERROR(INDEX(M_name,MATCH($B131,M_emp,0)),"Code not found"))</f>
        <v/>
      </c>
      <c r="D131" s="10" t="str">
        <f aca="false">IF($B131="","",IFERROR(INDEX(M_dept,MATCH($B131,M_emp,0)),""))</f>
        <v/>
      </c>
      <c r="E131" s="10" t="str">
        <f aca="false">IF($B131="","",IFERROR(INDEX(M_loc,MATCH($B131,M_emp,0)),""))</f>
        <v/>
      </c>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4" t="str">
        <f aca="false">IF($B131="","",COUNTIF($F131:$AJ131,"P"))</f>
        <v/>
      </c>
      <c r="AL131" s="34" t="str">
        <f aca="false">IF($B131="","",COUNTIF($F131:$AJ131,"A"))</f>
        <v/>
      </c>
      <c r="AM131" s="34" t="str">
        <f aca="false">IF($B131="","",COUNTIF($F131:$AJ131,"HA"))</f>
        <v/>
      </c>
      <c r="AN131" s="34" t="str">
        <f aca="false">IF($B131="","",COUNTIF($F131:$AJ131,"L"))</f>
        <v/>
      </c>
      <c r="AO131" s="34" t="str">
        <f aca="false">IF($B131="","",COUNTIF($F131:$AJ131,"PL"))</f>
        <v/>
      </c>
      <c r="AP131" s="34" t="str">
        <f aca="false">IF($B131="","",COUNTIF($F131:$AJ131,"CL"))</f>
        <v/>
      </c>
      <c r="AQ131" s="34" t="str">
        <f aca="false">IF($B131="","",COUNTIF($F131:$AJ131,"SL"))</f>
        <v/>
      </c>
      <c r="AR131" s="34" t="str">
        <f aca="false">IF($B131="","",COUNTIF($F131:$AJ131,"CO"))</f>
        <v/>
      </c>
      <c r="AS131" s="34" t="str">
        <f aca="false">IF($B131="","",COUNTIF($F131:$AJ131,"HPL"))</f>
        <v/>
      </c>
      <c r="AT131" s="34" t="str">
        <f aca="false">IF($B131="","",COUNTIF($F131:$AJ131,"HCL"))</f>
        <v/>
      </c>
      <c r="AU131" s="34" t="str">
        <f aca="false">IF($B131="","",COUNTIF($F131:$AJ131,"WO"))</f>
        <v/>
      </c>
      <c r="AV131" s="34" t="str">
        <f aca="false">IF($B131="","",COUNTIF($F131:$AJ131,"PH"))</f>
        <v/>
      </c>
      <c r="AW131" s="34" t="str">
        <f aca="false">IF($B131="","",COUNTIF($F131:$AJ131,"TR"))</f>
        <v/>
      </c>
      <c r="AX131" s="35" t="str">
        <f aca="false">IF($B131="","",AO131+AS131/2)</f>
        <v/>
      </c>
      <c r="AY131" s="35" t="str">
        <f aca="false">IF($B131="","",AQ131)</f>
        <v/>
      </c>
      <c r="AZ131" s="35" t="str">
        <f aca="false">IF($B131="","",AP131+AT131/2)</f>
        <v/>
      </c>
      <c r="BA131" s="35" t="str">
        <f aca="false">IF($B131="","",AK131+AN131+AM131/2+AO131+AP131+AQ131+AR131+AS131+AT131+AU131+AV131+AW131)</f>
        <v/>
      </c>
      <c r="BB131" s="35" t="str">
        <f aca="false">IF($B131="","",MAX(0,AN131-Settings!$C$16)*Settings!$C$17)</f>
        <v/>
      </c>
      <c r="BC131" s="35" t="str">
        <f aca="false">IF($B131="","",BA131-BB131)</f>
        <v/>
      </c>
      <c r="BD131" s="35" t="str">
        <f aca="false">IF(OR($B131="",$A131=""),"",DAY(EOMONTH($A131,0))-COUNTA($F131:$AJ131))</f>
        <v/>
      </c>
    </row>
    <row r="132" customFormat="false" ht="15" hidden="false" customHeight="false" outlineLevel="0" collapsed="false">
      <c r="A132" s="32"/>
      <c r="B132" s="29"/>
      <c r="C132" s="10" t="str">
        <f aca="false">IF($B132="","",IFERROR(INDEX(M_name,MATCH($B132,M_emp,0)),"Code not found"))</f>
        <v/>
      </c>
      <c r="D132" s="10" t="str">
        <f aca="false">IF($B132="","",IFERROR(INDEX(M_dept,MATCH($B132,M_emp,0)),""))</f>
        <v/>
      </c>
      <c r="E132" s="10" t="str">
        <f aca="false">IF($B132="","",IFERROR(INDEX(M_loc,MATCH($B132,M_emp,0)),""))</f>
        <v/>
      </c>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4" t="str">
        <f aca="false">IF($B132="","",COUNTIF($F132:$AJ132,"P"))</f>
        <v/>
      </c>
      <c r="AL132" s="34" t="str">
        <f aca="false">IF($B132="","",COUNTIF($F132:$AJ132,"A"))</f>
        <v/>
      </c>
      <c r="AM132" s="34" t="str">
        <f aca="false">IF($B132="","",COUNTIF($F132:$AJ132,"HA"))</f>
        <v/>
      </c>
      <c r="AN132" s="34" t="str">
        <f aca="false">IF($B132="","",COUNTIF($F132:$AJ132,"L"))</f>
        <v/>
      </c>
      <c r="AO132" s="34" t="str">
        <f aca="false">IF($B132="","",COUNTIF($F132:$AJ132,"PL"))</f>
        <v/>
      </c>
      <c r="AP132" s="34" t="str">
        <f aca="false">IF($B132="","",COUNTIF($F132:$AJ132,"CL"))</f>
        <v/>
      </c>
      <c r="AQ132" s="34" t="str">
        <f aca="false">IF($B132="","",COUNTIF($F132:$AJ132,"SL"))</f>
        <v/>
      </c>
      <c r="AR132" s="34" t="str">
        <f aca="false">IF($B132="","",COUNTIF($F132:$AJ132,"CO"))</f>
        <v/>
      </c>
      <c r="AS132" s="34" t="str">
        <f aca="false">IF($B132="","",COUNTIF($F132:$AJ132,"HPL"))</f>
        <v/>
      </c>
      <c r="AT132" s="34" t="str">
        <f aca="false">IF($B132="","",COUNTIF($F132:$AJ132,"HCL"))</f>
        <v/>
      </c>
      <c r="AU132" s="34" t="str">
        <f aca="false">IF($B132="","",COUNTIF($F132:$AJ132,"WO"))</f>
        <v/>
      </c>
      <c r="AV132" s="34" t="str">
        <f aca="false">IF($B132="","",COUNTIF($F132:$AJ132,"PH"))</f>
        <v/>
      </c>
      <c r="AW132" s="34" t="str">
        <f aca="false">IF($B132="","",COUNTIF($F132:$AJ132,"TR"))</f>
        <v/>
      </c>
      <c r="AX132" s="35" t="str">
        <f aca="false">IF($B132="","",AO132+AS132/2)</f>
        <v/>
      </c>
      <c r="AY132" s="35" t="str">
        <f aca="false">IF($B132="","",AQ132)</f>
        <v/>
      </c>
      <c r="AZ132" s="35" t="str">
        <f aca="false">IF($B132="","",AP132+AT132/2)</f>
        <v/>
      </c>
      <c r="BA132" s="35" t="str">
        <f aca="false">IF($B132="","",AK132+AN132+AM132/2+AO132+AP132+AQ132+AR132+AS132+AT132+AU132+AV132+AW132)</f>
        <v/>
      </c>
      <c r="BB132" s="35" t="str">
        <f aca="false">IF($B132="","",MAX(0,AN132-Settings!$C$16)*Settings!$C$17)</f>
        <v/>
      </c>
      <c r="BC132" s="35" t="str">
        <f aca="false">IF($B132="","",BA132-BB132)</f>
        <v/>
      </c>
      <c r="BD132" s="35" t="str">
        <f aca="false">IF(OR($B132="",$A132=""),"",DAY(EOMONTH($A132,0))-COUNTA($F132:$AJ132))</f>
        <v/>
      </c>
    </row>
    <row r="133" customFormat="false" ht="15" hidden="false" customHeight="false" outlineLevel="0" collapsed="false">
      <c r="A133" s="32"/>
      <c r="B133" s="29"/>
      <c r="C133" s="10" t="str">
        <f aca="false">IF($B133="","",IFERROR(INDEX(M_name,MATCH($B133,M_emp,0)),"Code not found"))</f>
        <v/>
      </c>
      <c r="D133" s="10" t="str">
        <f aca="false">IF($B133="","",IFERROR(INDEX(M_dept,MATCH($B133,M_emp,0)),""))</f>
        <v/>
      </c>
      <c r="E133" s="10" t="str">
        <f aca="false">IF($B133="","",IFERROR(INDEX(M_loc,MATCH($B133,M_emp,0)),""))</f>
        <v/>
      </c>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4" t="str">
        <f aca="false">IF($B133="","",COUNTIF($F133:$AJ133,"P"))</f>
        <v/>
      </c>
      <c r="AL133" s="34" t="str">
        <f aca="false">IF($B133="","",COUNTIF($F133:$AJ133,"A"))</f>
        <v/>
      </c>
      <c r="AM133" s="34" t="str">
        <f aca="false">IF($B133="","",COUNTIF($F133:$AJ133,"HA"))</f>
        <v/>
      </c>
      <c r="AN133" s="34" t="str">
        <f aca="false">IF($B133="","",COUNTIF($F133:$AJ133,"L"))</f>
        <v/>
      </c>
      <c r="AO133" s="34" t="str">
        <f aca="false">IF($B133="","",COUNTIF($F133:$AJ133,"PL"))</f>
        <v/>
      </c>
      <c r="AP133" s="34" t="str">
        <f aca="false">IF($B133="","",COUNTIF($F133:$AJ133,"CL"))</f>
        <v/>
      </c>
      <c r="AQ133" s="34" t="str">
        <f aca="false">IF($B133="","",COUNTIF($F133:$AJ133,"SL"))</f>
        <v/>
      </c>
      <c r="AR133" s="34" t="str">
        <f aca="false">IF($B133="","",COUNTIF($F133:$AJ133,"CO"))</f>
        <v/>
      </c>
      <c r="AS133" s="34" t="str">
        <f aca="false">IF($B133="","",COUNTIF($F133:$AJ133,"HPL"))</f>
        <v/>
      </c>
      <c r="AT133" s="34" t="str">
        <f aca="false">IF($B133="","",COUNTIF($F133:$AJ133,"HCL"))</f>
        <v/>
      </c>
      <c r="AU133" s="34" t="str">
        <f aca="false">IF($B133="","",COUNTIF($F133:$AJ133,"WO"))</f>
        <v/>
      </c>
      <c r="AV133" s="34" t="str">
        <f aca="false">IF($B133="","",COUNTIF($F133:$AJ133,"PH"))</f>
        <v/>
      </c>
      <c r="AW133" s="34" t="str">
        <f aca="false">IF($B133="","",COUNTIF($F133:$AJ133,"TR"))</f>
        <v/>
      </c>
      <c r="AX133" s="35" t="str">
        <f aca="false">IF($B133="","",AO133+AS133/2)</f>
        <v/>
      </c>
      <c r="AY133" s="35" t="str">
        <f aca="false">IF($B133="","",AQ133)</f>
        <v/>
      </c>
      <c r="AZ133" s="35" t="str">
        <f aca="false">IF($B133="","",AP133+AT133/2)</f>
        <v/>
      </c>
      <c r="BA133" s="35" t="str">
        <f aca="false">IF($B133="","",AK133+AN133+AM133/2+AO133+AP133+AQ133+AR133+AS133+AT133+AU133+AV133+AW133)</f>
        <v/>
      </c>
      <c r="BB133" s="35" t="str">
        <f aca="false">IF($B133="","",MAX(0,AN133-Settings!$C$16)*Settings!$C$17)</f>
        <v/>
      </c>
      <c r="BC133" s="35" t="str">
        <f aca="false">IF($B133="","",BA133-BB133)</f>
        <v/>
      </c>
      <c r="BD133" s="35" t="str">
        <f aca="false">IF(OR($B133="",$A133=""),"",DAY(EOMONTH($A133,0))-COUNTA($F133:$AJ133))</f>
        <v/>
      </c>
    </row>
    <row r="134" customFormat="false" ht="15" hidden="false" customHeight="false" outlineLevel="0" collapsed="false">
      <c r="A134" s="32"/>
      <c r="B134" s="29"/>
      <c r="C134" s="10" t="str">
        <f aca="false">IF($B134="","",IFERROR(INDEX(M_name,MATCH($B134,M_emp,0)),"Code not found"))</f>
        <v/>
      </c>
      <c r="D134" s="10" t="str">
        <f aca="false">IF($B134="","",IFERROR(INDEX(M_dept,MATCH($B134,M_emp,0)),""))</f>
        <v/>
      </c>
      <c r="E134" s="10" t="str">
        <f aca="false">IF($B134="","",IFERROR(INDEX(M_loc,MATCH($B134,M_emp,0)),""))</f>
        <v/>
      </c>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4" t="str">
        <f aca="false">IF($B134="","",COUNTIF($F134:$AJ134,"P"))</f>
        <v/>
      </c>
      <c r="AL134" s="34" t="str">
        <f aca="false">IF($B134="","",COUNTIF($F134:$AJ134,"A"))</f>
        <v/>
      </c>
      <c r="AM134" s="34" t="str">
        <f aca="false">IF($B134="","",COUNTIF($F134:$AJ134,"HA"))</f>
        <v/>
      </c>
      <c r="AN134" s="34" t="str">
        <f aca="false">IF($B134="","",COUNTIF($F134:$AJ134,"L"))</f>
        <v/>
      </c>
      <c r="AO134" s="34" t="str">
        <f aca="false">IF($B134="","",COUNTIF($F134:$AJ134,"PL"))</f>
        <v/>
      </c>
      <c r="AP134" s="34" t="str">
        <f aca="false">IF($B134="","",COUNTIF($F134:$AJ134,"CL"))</f>
        <v/>
      </c>
      <c r="AQ134" s="34" t="str">
        <f aca="false">IF($B134="","",COUNTIF($F134:$AJ134,"SL"))</f>
        <v/>
      </c>
      <c r="AR134" s="34" t="str">
        <f aca="false">IF($B134="","",COUNTIF($F134:$AJ134,"CO"))</f>
        <v/>
      </c>
      <c r="AS134" s="34" t="str">
        <f aca="false">IF($B134="","",COUNTIF($F134:$AJ134,"HPL"))</f>
        <v/>
      </c>
      <c r="AT134" s="34" t="str">
        <f aca="false">IF($B134="","",COUNTIF($F134:$AJ134,"HCL"))</f>
        <v/>
      </c>
      <c r="AU134" s="34" t="str">
        <f aca="false">IF($B134="","",COUNTIF($F134:$AJ134,"WO"))</f>
        <v/>
      </c>
      <c r="AV134" s="34" t="str">
        <f aca="false">IF($B134="","",COUNTIF($F134:$AJ134,"PH"))</f>
        <v/>
      </c>
      <c r="AW134" s="34" t="str">
        <f aca="false">IF($B134="","",COUNTIF($F134:$AJ134,"TR"))</f>
        <v/>
      </c>
      <c r="AX134" s="35" t="str">
        <f aca="false">IF($B134="","",AO134+AS134/2)</f>
        <v/>
      </c>
      <c r="AY134" s="35" t="str">
        <f aca="false">IF($B134="","",AQ134)</f>
        <v/>
      </c>
      <c r="AZ134" s="35" t="str">
        <f aca="false">IF($B134="","",AP134+AT134/2)</f>
        <v/>
      </c>
      <c r="BA134" s="35" t="str">
        <f aca="false">IF($B134="","",AK134+AN134+AM134/2+AO134+AP134+AQ134+AR134+AS134+AT134+AU134+AV134+AW134)</f>
        <v/>
      </c>
      <c r="BB134" s="35" t="str">
        <f aca="false">IF($B134="","",MAX(0,AN134-Settings!$C$16)*Settings!$C$17)</f>
        <v/>
      </c>
      <c r="BC134" s="35" t="str">
        <f aca="false">IF($B134="","",BA134-BB134)</f>
        <v/>
      </c>
      <c r="BD134" s="35" t="str">
        <f aca="false">IF(OR($B134="",$A134=""),"",DAY(EOMONTH($A134,0))-COUNTA($F134:$AJ134))</f>
        <v/>
      </c>
    </row>
    <row r="135" customFormat="false" ht="15" hidden="false" customHeight="false" outlineLevel="0" collapsed="false">
      <c r="A135" s="32"/>
      <c r="B135" s="29"/>
      <c r="C135" s="10" t="str">
        <f aca="false">IF($B135="","",IFERROR(INDEX(M_name,MATCH($B135,M_emp,0)),"Code not found"))</f>
        <v/>
      </c>
      <c r="D135" s="10" t="str">
        <f aca="false">IF($B135="","",IFERROR(INDEX(M_dept,MATCH($B135,M_emp,0)),""))</f>
        <v/>
      </c>
      <c r="E135" s="10" t="str">
        <f aca="false">IF($B135="","",IFERROR(INDEX(M_loc,MATCH($B135,M_emp,0)),""))</f>
        <v/>
      </c>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4" t="str">
        <f aca="false">IF($B135="","",COUNTIF($F135:$AJ135,"P"))</f>
        <v/>
      </c>
      <c r="AL135" s="34" t="str">
        <f aca="false">IF($B135="","",COUNTIF($F135:$AJ135,"A"))</f>
        <v/>
      </c>
      <c r="AM135" s="34" t="str">
        <f aca="false">IF($B135="","",COUNTIF($F135:$AJ135,"HA"))</f>
        <v/>
      </c>
      <c r="AN135" s="34" t="str">
        <f aca="false">IF($B135="","",COUNTIF($F135:$AJ135,"L"))</f>
        <v/>
      </c>
      <c r="AO135" s="34" t="str">
        <f aca="false">IF($B135="","",COUNTIF($F135:$AJ135,"PL"))</f>
        <v/>
      </c>
      <c r="AP135" s="34" t="str">
        <f aca="false">IF($B135="","",COUNTIF($F135:$AJ135,"CL"))</f>
        <v/>
      </c>
      <c r="AQ135" s="34" t="str">
        <f aca="false">IF($B135="","",COUNTIF($F135:$AJ135,"SL"))</f>
        <v/>
      </c>
      <c r="AR135" s="34" t="str">
        <f aca="false">IF($B135="","",COUNTIF($F135:$AJ135,"CO"))</f>
        <v/>
      </c>
      <c r="AS135" s="34" t="str">
        <f aca="false">IF($B135="","",COUNTIF($F135:$AJ135,"HPL"))</f>
        <v/>
      </c>
      <c r="AT135" s="34" t="str">
        <f aca="false">IF($B135="","",COUNTIF($F135:$AJ135,"HCL"))</f>
        <v/>
      </c>
      <c r="AU135" s="34" t="str">
        <f aca="false">IF($B135="","",COUNTIF($F135:$AJ135,"WO"))</f>
        <v/>
      </c>
      <c r="AV135" s="34" t="str">
        <f aca="false">IF($B135="","",COUNTIF($F135:$AJ135,"PH"))</f>
        <v/>
      </c>
      <c r="AW135" s="34" t="str">
        <f aca="false">IF($B135="","",COUNTIF($F135:$AJ135,"TR"))</f>
        <v/>
      </c>
      <c r="AX135" s="35" t="str">
        <f aca="false">IF($B135="","",AO135+AS135/2)</f>
        <v/>
      </c>
      <c r="AY135" s="35" t="str">
        <f aca="false">IF($B135="","",AQ135)</f>
        <v/>
      </c>
      <c r="AZ135" s="35" t="str">
        <f aca="false">IF($B135="","",AP135+AT135/2)</f>
        <v/>
      </c>
      <c r="BA135" s="35" t="str">
        <f aca="false">IF($B135="","",AK135+AN135+AM135/2+AO135+AP135+AQ135+AR135+AS135+AT135+AU135+AV135+AW135)</f>
        <v/>
      </c>
      <c r="BB135" s="35" t="str">
        <f aca="false">IF($B135="","",MAX(0,AN135-Settings!$C$16)*Settings!$C$17)</f>
        <v/>
      </c>
      <c r="BC135" s="35" t="str">
        <f aca="false">IF($B135="","",BA135-BB135)</f>
        <v/>
      </c>
      <c r="BD135" s="35" t="str">
        <f aca="false">IF(OR($B135="",$A135=""),"",DAY(EOMONTH($A135,0))-COUNTA($F135:$AJ135))</f>
        <v/>
      </c>
    </row>
    <row r="136" customFormat="false" ht="15" hidden="false" customHeight="false" outlineLevel="0" collapsed="false">
      <c r="A136" s="32"/>
      <c r="B136" s="29"/>
      <c r="C136" s="10" t="str">
        <f aca="false">IF($B136="","",IFERROR(INDEX(M_name,MATCH($B136,M_emp,0)),"Code not found"))</f>
        <v/>
      </c>
      <c r="D136" s="10" t="str">
        <f aca="false">IF($B136="","",IFERROR(INDEX(M_dept,MATCH($B136,M_emp,0)),""))</f>
        <v/>
      </c>
      <c r="E136" s="10" t="str">
        <f aca="false">IF($B136="","",IFERROR(INDEX(M_loc,MATCH($B136,M_emp,0)),""))</f>
        <v/>
      </c>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4" t="str">
        <f aca="false">IF($B136="","",COUNTIF($F136:$AJ136,"P"))</f>
        <v/>
      </c>
      <c r="AL136" s="34" t="str">
        <f aca="false">IF($B136="","",COUNTIF($F136:$AJ136,"A"))</f>
        <v/>
      </c>
      <c r="AM136" s="34" t="str">
        <f aca="false">IF($B136="","",COUNTIF($F136:$AJ136,"HA"))</f>
        <v/>
      </c>
      <c r="AN136" s="34" t="str">
        <f aca="false">IF($B136="","",COUNTIF($F136:$AJ136,"L"))</f>
        <v/>
      </c>
      <c r="AO136" s="34" t="str">
        <f aca="false">IF($B136="","",COUNTIF($F136:$AJ136,"PL"))</f>
        <v/>
      </c>
      <c r="AP136" s="34" t="str">
        <f aca="false">IF($B136="","",COUNTIF($F136:$AJ136,"CL"))</f>
        <v/>
      </c>
      <c r="AQ136" s="34" t="str">
        <f aca="false">IF($B136="","",COUNTIF($F136:$AJ136,"SL"))</f>
        <v/>
      </c>
      <c r="AR136" s="34" t="str">
        <f aca="false">IF($B136="","",COUNTIF($F136:$AJ136,"CO"))</f>
        <v/>
      </c>
      <c r="AS136" s="34" t="str">
        <f aca="false">IF($B136="","",COUNTIF($F136:$AJ136,"HPL"))</f>
        <v/>
      </c>
      <c r="AT136" s="34" t="str">
        <f aca="false">IF($B136="","",COUNTIF($F136:$AJ136,"HCL"))</f>
        <v/>
      </c>
      <c r="AU136" s="34" t="str">
        <f aca="false">IF($B136="","",COUNTIF($F136:$AJ136,"WO"))</f>
        <v/>
      </c>
      <c r="AV136" s="34" t="str">
        <f aca="false">IF($B136="","",COUNTIF($F136:$AJ136,"PH"))</f>
        <v/>
      </c>
      <c r="AW136" s="34" t="str">
        <f aca="false">IF($B136="","",COUNTIF($F136:$AJ136,"TR"))</f>
        <v/>
      </c>
      <c r="AX136" s="35" t="str">
        <f aca="false">IF($B136="","",AO136+AS136/2)</f>
        <v/>
      </c>
      <c r="AY136" s="35" t="str">
        <f aca="false">IF($B136="","",AQ136)</f>
        <v/>
      </c>
      <c r="AZ136" s="35" t="str">
        <f aca="false">IF($B136="","",AP136+AT136/2)</f>
        <v/>
      </c>
      <c r="BA136" s="35" t="str">
        <f aca="false">IF($B136="","",AK136+AN136+AM136/2+AO136+AP136+AQ136+AR136+AS136+AT136+AU136+AV136+AW136)</f>
        <v/>
      </c>
      <c r="BB136" s="35" t="str">
        <f aca="false">IF($B136="","",MAX(0,AN136-Settings!$C$16)*Settings!$C$17)</f>
        <v/>
      </c>
      <c r="BC136" s="35" t="str">
        <f aca="false">IF($B136="","",BA136-BB136)</f>
        <v/>
      </c>
      <c r="BD136" s="35" t="str">
        <f aca="false">IF(OR($B136="",$A136=""),"",DAY(EOMONTH($A136,0))-COUNTA($F136:$AJ136))</f>
        <v/>
      </c>
    </row>
    <row r="137" customFormat="false" ht="15" hidden="false" customHeight="false" outlineLevel="0" collapsed="false">
      <c r="A137" s="32"/>
      <c r="B137" s="29"/>
      <c r="C137" s="10" t="str">
        <f aca="false">IF($B137="","",IFERROR(INDEX(M_name,MATCH($B137,M_emp,0)),"Code not found"))</f>
        <v/>
      </c>
      <c r="D137" s="10" t="str">
        <f aca="false">IF($B137="","",IFERROR(INDEX(M_dept,MATCH($B137,M_emp,0)),""))</f>
        <v/>
      </c>
      <c r="E137" s="10" t="str">
        <f aca="false">IF($B137="","",IFERROR(INDEX(M_loc,MATCH($B137,M_emp,0)),""))</f>
        <v/>
      </c>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4" t="str">
        <f aca="false">IF($B137="","",COUNTIF($F137:$AJ137,"P"))</f>
        <v/>
      </c>
      <c r="AL137" s="34" t="str">
        <f aca="false">IF($B137="","",COUNTIF($F137:$AJ137,"A"))</f>
        <v/>
      </c>
      <c r="AM137" s="34" t="str">
        <f aca="false">IF($B137="","",COUNTIF($F137:$AJ137,"HA"))</f>
        <v/>
      </c>
      <c r="AN137" s="34" t="str">
        <f aca="false">IF($B137="","",COUNTIF($F137:$AJ137,"L"))</f>
        <v/>
      </c>
      <c r="AO137" s="34" t="str">
        <f aca="false">IF($B137="","",COUNTIF($F137:$AJ137,"PL"))</f>
        <v/>
      </c>
      <c r="AP137" s="34" t="str">
        <f aca="false">IF($B137="","",COUNTIF($F137:$AJ137,"CL"))</f>
        <v/>
      </c>
      <c r="AQ137" s="34" t="str">
        <f aca="false">IF($B137="","",COUNTIF($F137:$AJ137,"SL"))</f>
        <v/>
      </c>
      <c r="AR137" s="34" t="str">
        <f aca="false">IF($B137="","",COUNTIF($F137:$AJ137,"CO"))</f>
        <v/>
      </c>
      <c r="AS137" s="34" t="str">
        <f aca="false">IF($B137="","",COUNTIF($F137:$AJ137,"HPL"))</f>
        <v/>
      </c>
      <c r="AT137" s="34" t="str">
        <f aca="false">IF($B137="","",COUNTIF($F137:$AJ137,"HCL"))</f>
        <v/>
      </c>
      <c r="AU137" s="34" t="str">
        <f aca="false">IF($B137="","",COUNTIF($F137:$AJ137,"WO"))</f>
        <v/>
      </c>
      <c r="AV137" s="34" t="str">
        <f aca="false">IF($B137="","",COUNTIF($F137:$AJ137,"PH"))</f>
        <v/>
      </c>
      <c r="AW137" s="34" t="str">
        <f aca="false">IF($B137="","",COUNTIF($F137:$AJ137,"TR"))</f>
        <v/>
      </c>
      <c r="AX137" s="35" t="str">
        <f aca="false">IF($B137="","",AO137+AS137/2)</f>
        <v/>
      </c>
      <c r="AY137" s="35" t="str">
        <f aca="false">IF($B137="","",AQ137)</f>
        <v/>
      </c>
      <c r="AZ137" s="35" t="str">
        <f aca="false">IF($B137="","",AP137+AT137/2)</f>
        <v/>
      </c>
      <c r="BA137" s="35" t="str">
        <f aca="false">IF($B137="","",AK137+AN137+AM137/2+AO137+AP137+AQ137+AR137+AS137+AT137+AU137+AV137+AW137)</f>
        <v/>
      </c>
      <c r="BB137" s="35" t="str">
        <f aca="false">IF($B137="","",MAX(0,AN137-Settings!$C$16)*Settings!$C$17)</f>
        <v/>
      </c>
      <c r="BC137" s="35" t="str">
        <f aca="false">IF($B137="","",BA137-BB137)</f>
        <v/>
      </c>
      <c r="BD137" s="35" t="str">
        <f aca="false">IF(OR($B137="",$A137=""),"",DAY(EOMONTH($A137,0))-COUNTA($F137:$AJ137))</f>
        <v/>
      </c>
    </row>
    <row r="138" customFormat="false" ht="15" hidden="false" customHeight="false" outlineLevel="0" collapsed="false">
      <c r="A138" s="32"/>
      <c r="B138" s="29"/>
      <c r="C138" s="10" t="str">
        <f aca="false">IF($B138="","",IFERROR(INDEX(M_name,MATCH($B138,M_emp,0)),"Code not found"))</f>
        <v/>
      </c>
      <c r="D138" s="10" t="str">
        <f aca="false">IF($B138="","",IFERROR(INDEX(M_dept,MATCH($B138,M_emp,0)),""))</f>
        <v/>
      </c>
      <c r="E138" s="10" t="str">
        <f aca="false">IF($B138="","",IFERROR(INDEX(M_loc,MATCH($B138,M_emp,0)),""))</f>
        <v/>
      </c>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4" t="str">
        <f aca="false">IF($B138="","",COUNTIF($F138:$AJ138,"P"))</f>
        <v/>
      </c>
      <c r="AL138" s="34" t="str">
        <f aca="false">IF($B138="","",COUNTIF($F138:$AJ138,"A"))</f>
        <v/>
      </c>
      <c r="AM138" s="34" t="str">
        <f aca="false">IF($B138="","",COUNTIF($F138:$AJ138,"HA"))</f>
        <v/>
      </c>
      <c r="AN138" s="34" t="str">
        <f aca="false">IF($B138="","",COUNTIF($F138:$AJ138,"L"))</f>
        <v/>
      </c>
      <c r="AO138" s="34" t="str">
        <f aca="false">IF($B138="","",COUNTIF($F138:$AJ138,"PL"))</f>
        <v/>
      </c>
      <c r="AP138" s="34" t="str">
        <f aca="false">IF($B138="","",COUNTIF($F138:$AJ138,"CL"))</f>
        <v/>
      </c>
      <c r="AQ138" s="34" t="str">
        <f aca="false">IF($B138="","",COUNTIF($F138:$AJ138,"SL"))</f>
        <v/>
      </c>
      <c r="AR138" s="34" t="str">
        <f aca="false">IF($B138="","",COUNTIF($F138:$AJ138,"CO"))</f>
        <v/>
      </c>
      <c r="AS138" s="34" t="str">
        <f aca="false">IF($B138="","",COUNTIF($F138:$AJ138,"HPL"))</f>
        <v/>
      </c>
      <c r="AT138" s="34" t="str">
        <f aca="false">IF($B138="","",COUNTIF($F138:$AJ138,"HCL"))</f>
        <v/>
      </c>
      <c r="AU138" s="34" t="str">
        <f aca="false">IF($B138="","",COUNTIF($F138:$AJ138,"WO"))</f>
        <v/>
      </c>
      <c r="AV138" s="34" t="str">
        <f aca="false">IF($B138="","",COUNTIF($F138:$AJ138,"PH"))</f>
        <v/>
      </c>
      <c r="AW138" s="34" t="str">
        <f aca="false">IF($B138="","",COUNTIF($F138:$AJ138,"TR"))</f>
        <v/>
      </c>
      <c r="AX138" s="35" t="str">
        <f aca="false">IF($B138="","",AO138+AS138/2)</f>
        <v/>
      </c>
      <c r="AY138" s="35" t="str">
        <f aca="false">IF($B138="","",AQ138)</f>
        <v/>
      </c>
      <c r="AZ138" s="35" t="str">
        <f aca="false">IF($B138="","",AP138+AT138/2)</f>
        <v/>
      </c>
      <c r="BA138" s="35" t="str">
        <f aca="false">IF($B138="","",AK138+AN138+AM138/2+AO138+AP138+AQ138+AR138+AS138+AT138+AU138+AV138+AW138)</f>
        <v/>
      </c>
      <c r="BB138" s="35" t="str">
        <f aca="false">IF($B138="","",MAX(0,AN138-Settings!$C$16)*Settings!$C$17)</f>
        <v/>
      </c>
      <c r="BC138" s="35" t="str">
        <f aca="false">IF($B138="","",BA138-BB138)</f>
        <v/>
      </c>
      <c r="BD138" s="35" t="str">
        <f aca="false">IF(OR($B138="",$A138=""),"",DAY(EOMONTH($A138,0))-COUNTA($F138:$AJ138))</f>
        <v/>
      </c>
    </row>
    <row r="139" customFormat="false" ht="15" hidden="false" customHeight="false" outlineLevel="0" collapsed="false">
      <c r="A139" s="32"/>
      <c r="B139" s="29"/>
      <c r="C139" s="10" t="str">
        <f aca="false">IF($B139="","",IFERROR(INDEX(M_name,MATCH($B139,M_emp,0)),"Code not found"))</f>
        <v/>
      </c>
      <c r="D139" s="10" t="str">
        <f aca="false">IF($B139="","",IFERROR(INDEX(M_dept,MATCH($B139,M_emp,0)),""))</f>
        <v/>
      </c>
      <c r="E139" s="10" t="str">
        <f aca="false">IF($B139="","",IFERROR(INDEX(M_loc,MATCH($B139,M_emp,0)),""))</f>
        <v/>
      </c>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4" t="str">
        <f aca="false">IF($B139="","",COUNTIF($F139:$AJ139,"P"))</f>
        <v/>
      </c>
      <c r="AL139" s="34" t="str">
        <f aca="false">IF($B139="","",COUNTIF($F139:$AJ139,"A"))</f>
        <v/>
      </c>
      <c r="AM139" s="34" t="str">
        <f aca="false">IF($B139="","",COUNTIF($F139:$AJ139,"HA"))</f>
        <v/>
      </c>
      <c r="AN139" s="34" t="str">
        <f aca="false">IF($B139="","",COUNTIF($F139:$AJ139,"L"))</f>
        <v/>
      </c>
      <c r="AO139" s="34" t="str">
        <f aca="false">IF($B139="","",COUNTIF($F139:$AJ139,"PL"))</f>
        <v/>
      </c>
      <c r="AP139" s="34" t="str">
        <f aca="false">IF($B139="","",COUNTIF($F139:$AJ139,"CL"))</f>
        <v/>
      </c>
      <c r="AQ139" s="34" t="str">
        <f aca="false">IF($B139="","",COUNTIF($F139:$AJ139,"SL"))</f>
        <v/>
      </c>
      <c r="AR139" s="34" t="str">
        <f aca="false">IF($B139="","",COUNTIF($F139:$AJ139,"CO"))</f>
        <v/>
      </c>
      <c r="AS139" s="34" t="str">
        <f aca="false">IF($B139="","",COUNTIF($F139:$AJ139,"HPL"))</f>
        <v/>
      </c>
      <c r="AT139" s="34" t="str">
        <f aca="false">IF($B139="","",COUNTIF($F139:$AJ139,"HCL"))</f>
        <v/>
      </c>
      <c r="AU139" s="34" t="str">
        <f aca="false">IF($B139="","",COUNTIF($F139:$AJ139,"WO"))</f>
        <v/>
      </c>
      <c r="AV139" s="34" t="str">
        <f aca="false">IF($B139="","",COUNTIF($F139:$AJ139,"PH"))</f>
        <v/>
      </c>
      <c r="AW139" s="34" t="str">
        <f aca="false">IF($B139="","",COUNTIF($F139:$AJ139,"TR"))</f>
        <v/>
      </c>
      <c r="AX139" s="35" t="str">
        <f aca="false">IF($B139="","",AO139+AS139/2)</f>
        <v/>
      </c>
      <c r="AY139" s="35" t="str">
        <f aca="false">IF($B139="","",AQ139)</f>
        <v/>
      </c>
      <c r="AZ139" s="35" t="str">
        <f aca="false">IF($B139="","",AP139+AT139/2)</f>
        <v/>
      </c>
      <c r="BA139" s="35" t="str">
        <f aca="false">IF($B139="","",AK139+AN139+AM139/2+AO139+AP139+AQ139+AR139+AS139+AT139+AU139+AV139+AW139)</f>
        <v/>
      </c>
      <c r="BB139" s="35" t="str">
        <f aca="false">IF($B139="","",MAX(0,AN139-Settings!$C$16)*Settings!$C$17)</f>
        <v/>
      </c>
      <c r="BC139" s="35" t="str">
        <f aca="false">IF($B139="","",BA139-BB139)</f>
        <v/>
      </c>
      <c r="BD139" s="35" t="str">
        <f aca="false">IF(OR($B139="",$A139=""),"",DAY(EOMONTH($A139,0))-COUNTA($F139:$AJ139))</f>
        <v/>
      </c>
    </row>
    <row r="140" customFormat="false" ht="15" hidden="false" customHeight="false" outlineLevel="0" collapsed="false">
      <c r="A140" s="32"/>
      <c r="B140" s="29"/>
      <c r="C140" s="10" t="str">
        <f aca="false">IF($B140="","",IFERROR(INDEX(M_name,MATCH($B140,M_emp,0)),"Code not found"))</f>
        <v/>
      </c>
      <c r="D140" s="10" t="str">
        <f aca="false">IF($B140="","",IFERROR(INDEX(M_dept,MATCH($B140,M_emp,0)),""))</f>
        <v/>
      </c>
      <c r="E140" s="10" t="str">
        <f aca="false">IF($B140="","",IFERROR(INDEX(M_loc,MATCH($B140,M_emp,0)),""))</f>
        <v/>
      </c>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4" t="str">
        <f aca="false">IF($B140="","",COUNTIF($F140:$AJ140,"P"))</f>
        <v/>
      </c>
      <c r="AL140" s="34" t="str">
        <f aca="false">IF($B140="","",COUNTIF($F140:$AJ140,"A"))</f>
        <v/>
      </c>
      <c r="AM140" s="34" t="str">
        <f aca="false">IF($B140="","",COUNTIF($F140:$AJ140,"HA"))</f>
        <v/>
      </c>
      <c r="AN140" s="34" t="str">
        <f aca="false">IF($B140="","",COUNTIF($F140:$AJ140,"L"))</f>
        <v/>
      </c>
      <c r="AO140" s="34" t="str">
        <f aca="false">IF($B140="","",COUNTIF($F140:$AJ140,"PL"))</f>
        <v/>
      </c>
      <c r="AP140" s="34" t="str">
        <f aca="false">IF($B140="","",COUNTIF($F140:$AJ140,"CL"))</f>
        <v/>
      </c>
      <c r="AQ140" s="34" t="str">
        <f aca="false">IF($B140="","",COUNTIF($F140:$AJ140,"SL"))</f>
        <v/>
      </c>
      <c r="AR140" s="34" t="str">
        <f aca="false">IF($B140="","",COUNTIF($F140:$AJ140,"CO"))</f>
        <v/>
      </c>
      <c r="AS140" s="34" t="str">
        <f aca="false">IF($B140="","",COUNTIF($F140:$AJ140,"HPL"))</f>
        <v/>
      </c>
      <c r="AT140" s="34" t="str">
        <f aca="false">IF($B140="","",COUNTIF($F140:$AJ140,"HCL"))</f>
        <v/>
      </c>
      <c r="AU140" s="34" t="str">
        <f aca="false">IF($B140="","",COUNTIF($F140:$AJ140,"WO"))</f>
        <v/>
      </c>
      <c r="AV140" s="34" t="str">
        <f aca="false">IF($B140="","",COUNTIF($F140:$AJ140,"PH"))</f>
        <v/>
      </c>
      <c r="AW140" s="34" t="str">
        <f aca="false">IF($B140="","",COUNTIF($F140:$AJ140,"TR"))</f>
        <v/>
      </c>
      <c r="AX140" s="35" t="str">
        <f aca="false">IF($B140="","",AO140+AS140/2)</f>
        <v/>
      </c>
      <c r="AY140" s="35" t="str">
        <f aca="false">IF($B140="","",AQ140)</f>
        <v/>
      </c>
      <c r="AZ140" s="35" t="str">
        <f aca="false">IF($B140="","",AP140+AT140/2)</f>
        <v/>
      </c>
      <c r="BA140" s="35" t="str">
        <f aca="false">IF($B140="","",AK140+AN140+AM140/2+AO140+AP140+AQ140+AR140+AS140+AT140+AU140+AV140+AW140)</f>
        <v/>
      </c>
      <c r="BB140" s="35" t="str">
        <f aca="false">IF($B140="","",MAX(0,AN140-Settings!$C$16)*Settings!$C$17)</f>
        <v/>
      </c>
      <c r="BC140" s="35" t="str">
        <f aca="false">IF($B140="","",BA140-BB140)</f>
        <v/>
      </c>
      <c r="BD140" s="35" t="str">
        <f aca="false">IF(OR($B140="",$A140=""),"",DAY(EOMONTH($A140,0))-COUNTA($F140:$AJ140))</f>
        <v/>
      </c>
    </row>
    <row r="141" customFormat="false" ht="15" hidden="false" customHeight="false" outlineLevel="0" collapsed="false">
      <c r="A141" s="32"/>
      <c r="B141" s="29"/>
      <c r="C141" s="10" t="str">
        <f aca="false">IF($B141="","",IFERROR(INDEX(M_name,MATCH($B141,M_emp,0)),"Code not found"))</f>
        <v/>
      </c>
      <c r="D141" s="10" t="str">
        <f aca="false">IF($B141="","",IFERROR(INDEX(M_dept,MATCH($B141,M_emp,0)),""))</f>
        <v/>
      </c>
      <c r="E141" s="10" t="str">
        <f aca="false">IF($B141="","",IFERROR(INDEX(M_loc,MATCH($B141,M_emp,0)),""))</f>
        <v/>
      </c>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4" t="str">
        <f aca="false">IF($B141="","",COUNTIF($F141:$AJ141,"P"))</f>
        <v/>
      </c>
      <c r="AL141" s="34" t="str">
        <f aca="false">IF($B141="","",COUNTIF($F141:$AJ141,"A"))</f>
        <v/>
      </c>
      <c r="AM141" s="34" t="str">
        <f aca="false">IF($B141="","",COUNTIF($F141:$AJ141,"HA"))</f>
        <v/>
      </c>
      <c r="AN141" s="34" t="str">
        <f aca="false">IF($B141="","",COUNTIF($F141:$AJ141,"L"))</f>
        <v/>
      </c>
      <c r="AO141" s="34" t="str">
        <f aca="false">IF($B141="","",COUNTIF($F141:$AJ141,"PL"))</f>
        <v/>
      </c>
      <c r="AP141" s="34" t="str">
        <f aca="false">IF($B141="","",COUNTIF($F141:$AJ141,"CL"))</f>
        <v/>
      </c>
      <c r="AQ141" s="34" t="str">
        <f aca="false">IF($B141="","",COUNTIF($F141:$AJ141,"SL"))</f>
        <v/>
      </c>
      <c r="AR141" s="34" t="str">
        <f aca="false">IF($B141="","",COUNTIF($F141:$AJ141,"CO"))</f>
        <v/>
      </c>
      <c r="AS141" s="34" t="str">
        <f aca="false">IF($B141="","",COUNTIF($F141:$AJ141,"HPL"))</f>
        <v/>
      </c>
      <c r="AT141" s="34" t="str">
        <f aca="false">IF($B141="","",COUNTIF($F141:$AJ141,"HCL"))</f>
        <v/>
      </c>
      <c r="AU141" s="34" t="str">
        <f aca="false">IF($B141="","",COUNTIF($F141:$AJ141,"WO"))</f>
        <v/>
      </c>
      <c r="AV141" s="34" t="str">
        <f aca="false">IF($B141="","",COUNTIF($F141:$AJ141,"PH"))</f>
        <v/>
      </c>
      <c r="AW141" s="34" t="str">
        <f aca="false">IF($B141="","",COUNTIF($F141:$AJ141,"TR"))</f>
        <v/>
      </c>
      <c r="AX141" s="35" t="str">
        <f aca="false">IF($B141="","",AO141+AS141/2)</f>
        <v/>
      </c>
      <c r="AY141" s="35" t="str">
        <f aca="false">IF($B141="","",AQ141)</f>
        <v/>
      </c>
      <c r="AZ141" s="35" t="str">
        <f aca="false">IF($B141="","",AP141+AT141/2)</f>
        <v/>
      </c>
      <c r="BA141" s="35" t="str">
        <f aca="false">IF($B141="","",AK141+AN141+AM141/2+AO141+AP141+AQ141+AR141+AS141+AT141+AU141+AV141+AW141)</f>
        <v/>
      </c>
      <c r="BB141" s="35" t="str">
        <f aca="false">IF($B141="","",MAX(0,AN141-Settings!$C$16)*Settings!$C$17)</f>
        <v/>
      </c>
      <c r="BC141" s="35" t="str">
        <f aca="false">IF($B141="","",BA141-BB141)</f>
        <v/>
      </c>
      <c r="BD141" s="35" t="str">
        <f aca="false">IF(OR($B141="",$A141=""),"",DAY(EOMONTH($A141,0))-COUNTA($F141:$AJ141))</f>
        <v/>
      </c>
    </row>
    <row r="142" customFormat="false" ht="15" hidden="false" customHeight="false" outlineLevel="0" collapsed="false">
      <c r="A142" s="32"/>
      <c r="B142" s="29"/>
      <c r="C142" s="10" t="str">
        <f aca="false">IF($B142="","",IFERROR(INDEX(M_name,MATCH($B142,M_emp,0)),"Code not found"))</f>
        <v/>
      </c>
      <c r="D142" s="10" t="str">
        <f aca="false">IF($B142="","",IFERROR(INDEX(M_dept,MATCH($B142,M_emp,0)),""))</f>
        <v/>
      </c>
      <c r="E142" s="10" t="str">
        <f aca="false">IF($B142="","",IFERROR(INDEX(M_loc,MATCH($B142,M_emp,0)),""))</f>
        <v/>
      </c>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4" t="str">
        <f aca="false">IF($B142="","",COUNTIF($F142:$AJ142,"P"))</f>
        <v/>
      </c>
      <c r="AL142" s="34" t="str">
        <f aca="false">IF($B142="","",COUNTIF($F142:$AJ142,"A"))</f>
        <v/>
      </c>
      <c r="AM142" s="34" t="str">
        <f aca="false">IF($B142="","",COUNTIF($F142:$AJ142,"HA"))</f>
        <v/>
      </c>
      <c r="AN142" s="34" t="str">
        <f aca="false">IF($B142="","",COUNTIF($F142:$AJ142,"L"))</f>
        <v/>
      </c>
      <c r="AO142" s="34" t="str">
        <f aca="false">IF($B142="","",COUNTIF($F142:$AJ142,"PL"))</f>
        <v/>
      </c>
      <c r="AP142" s="34" t="str">
        <f aca="false">IF($B142="","",COUNTIF($F142:$AJ142,"CL"))</f>
        <v/>
      </c>
      <c r="AQ142" s="34" t="str">
        <f aca="false">IF($B142="","",COUNTIF($F142:$AJ142,"SL"))</f>
        <v/>
      </c>
      <c r="AR142" s="34" t="str">
        <f aca="false">IF($B142="","",COUNTIF($F142:$AJ142,"CO"))</f>
        <v/>
      </c>
      <c r="AS142" s="34" t="str">
        <f aca="false">IF($B142="","",COUNTIF($F142:$AJ142,"HPL"))</f>
        <v/>
      </c>
      <c r="AT142" s="34" t="str">
        <f aca="false">IF($B142="","",COUNTIF($F142:$AJ142,"HCL"))</f>
        <v/>
      </c>
      <c r="AU142" s="34" t="str">
        <f aca="false">IF($B142="","",COUNTIF($F142:$AJ142,"WO"))</f>
        <v/>
      </c>
      <c r="AV142" s="34" t="str">
        <f aca="false">IF($B142="","",COUNTIF($F142:$AJ142,"PH"))</f>
        <v/>
      </c>
      <c r="AW142" s="34" t="str">
        <f aca="false">IF($B142="","",COUNTIF($F142:$AJ142,"TR"))</f>
        <v/>
      </c>
      <c r="AX142" s="35" t="str">
        <f aca="false">IF($B142="","",AO142+AS142/2)</f>
        <v/>
      </c>
      <c r="AY142" s="35" t="str">
        <f aca="false">IF($B142="","",AQ142)</f>
        <v/>
      </c>
      <c r="AZ142" s="35" t="str">
        <f aca="false">IF($B142="","",AP142+AT142/2)</f>
        <v/>
      </c>
      <c r="BA142" s="35" t="str">
        <f aca="false">IF($B142="","",AK142+AN142+AM142/2+AO142+AP142+AQ142+AR142+AS142+AT142+AU142+AV142+AW142)</f>
        <v/>
      </c>
      <c r="BB142" s="35" t="str">
        <f aca="false">IF($B142="","",MAX(0,AN142-Settings!$C$16)*Settings!$C$17)</f>
        <v/>
      </c>
      <c r="BC142" s="35" t="str">
        <f aca="false">IF($B142="","",BA142-BB142)</f>
        <v/>
      </c>
      <c r="BD142" s="35" t="str">
        <f aca="false">IF(OR($B142="",$A142=""),"",DAY(EOMONTH($A142,0))-COUNTA($F142:$AJ142))</f>
        <v/>
      </c>
    </row>
    <row r="143" customFormat="false" ht="15" hidden="false" customHeight="false" outlineLevel="0" collapsed="false">
      <c r="A143" s="32"/>
      <c r="B143" s="29"/>
      <c r="C143" s="10" t="str">
        <f aca="false">IF($B143="","",IFERROR(INDEX(M_name,MATCH($B143,M_emp,0)),"Code not found"))</f>
        <v/>
      </c>
      <c r="D143" s="10" t="str">
        <f aca="false">IF($B143="","",IFERROR(INDEX(M_dept,MATCH($B143,M_emp,0)),""))</f>
        <v/>
      </c>
      <c r="E143" s="10" t="str">
        <f aca="false">IF($B143="","",IFERROR(INDEX(M_loc,MATCH($B143,M_emp,0)),""))</f>
        <v/>
      </c>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4" t="str">
        <f aca="false">IF($B143="","",COUNTIF($F143:$AJ143,"P"))</f>
        <v/>
      </c>
      <c r="AL143" s="34" t="str">
        <f aca="false">IF($B143="","",COUNTIF($F143:$AJ143,"A"))</f>
        <v/>
      </c>
      <c r="AM143" s="34" t="str">
        <f aca="false">IF($B143="","",COUNTIF($F143:$AJ143,"HA"))</f>
        <v/>
      </c>
      <c r="AN143" s="34" t="str">
        <f aca="false">IF($B143="","",COUNTIF($F143:$AJ143,"L"))</f>
        <v/>
      </c>
      <c r="AO143" s="34" t="str">
        <f aca="false">IF($B143="","",COUNTIF($F143:$AJ143,"PL"))</f>
        <v/>
      </c>
      <c r="AP143" s="34" t="str">
        <f aca="false">IF($B143="","",COUNTIF($F143:$AJ143,"CL"))</f>
        <v/>
      </c>
      <c r="AQ143" s="34" t="str">
        <f aca="false">IF($B143="","",COUNTIF($F143:$AJ143,"SL"))</f>
        <v/>
      </c>
      <c r="AR143" s="34" t="str">
        <f aca="false">IF($B143="","",COUNTIF($F143:$AJ143,"CO"))</f>
        <v/>
      </c>
      <c r="AS143" s="34" t="str">
        <f aca="false">IF($B143="","",COUNTIF($F143:$AJ143,"HPL"))</f>
        <v/>
      </c>
      <c r="AT143" s="34" t="str">
        <f aca="false">IF($B143="","",COUNTIF($F143:$AJ143,"HCL"))</f>
        <v/>
      </c>
      <c r="AU143" s="34" t="str">
        <f aca="false">IF($B143="","",COUNTIF($F143:$AJ143,"WO"))</f>
        <v/>
      </c>
      <c r="AV143" s="34" t="str">
        <f aca="false">IF($B143="","",COUNTIF($F143:$AJ143,"PH"))</f>
        <v/>
      </c>
      <c r="AW143" s="34" t="str">
        <f aca="false">IF($B143="","",COUNTIF($F143:$AJ143,"TR"))</f>
        <v/>
      </c>
      <c r="AX143" s="35" t="str">
        <f aca="false">IF($B143="","",AO143+AS143/2)</f>
        <v/>
      </c>
      <c r="AY143" s="35" t="str">
        <f aca="false">IF($B143="","",AQ143)</f>
        <v/>
      </c>
      <c r="AZ143" s="35" t="str">
        <f aca="false">IF($B143="","",AP143+AT143/2)</f>
        <v/>
      </c>
      <c r="BA143" s="35" t="str">
        <f aca="false">IF($B143="","",AK143+AN143+AM143/2+AO143+AP143+AQ143+AR143+AS143+AT143+AU143+AV143+AW143)</f>
        <v/>
      </c>
      <c r="BB143" s="35" t="str">
        <f aca="false">IF($B143="","",MAX(0,AN143-Settings!$C$16)*Settings!$C$17)</f>
        <v/>
      </c>
      <c r="BC143" s="35" t="str">
        <f aca="false">IF($B143="","",BA143-BB143)</f>
        <v/>
      </c>
      <c r="BD143" s="35" t="str">
        <f aca="false">IF(OR($B143="",$A143=""),"",DAY(EOMONTH($A143,0))-COUNTA($F143:$AJ143))</f>
        <v/>
      </c>
    </row>
    <row r="144" customFormat="false" ht="15" hidden="false" customHeight="false" outlineLevel="0" collapsed="false">
      <c r="A144" s="32"/>
      <c r="B144" s="29"/>
      <c r="C144" s="10" t="str">
        <f aca="false">IF($B144="","",IFERROR(INDEX(M_name,MATCH($B144,M_emp,0)),"Code not found"))</f>
        <v/>
      </c>
      <c r="D144" s="10" t="str">
        <f aca="false">IF($B144="","",IFERROR(INDEX(M_dept,MATCH($B144,M_emp,0)),""))</f>
        <v/>
      </c>
      <c r="E144" s="10" t="str">
        <f aca="false">IF($B144="","",IFERROR(INDEX(M_loc,MATCH($B144,M_emp,0)),""))</f>
        <v/>
      </c>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4" t="str">
        <f aca="false">IF($B144="","",COUNTIF($F144:$AJ144,"P"))</f>
        <v/>
      </c>
      <c r="AL144" s="34" t="str">
        <f aca="false">IF($B144="","",COUNTIF($F144:$AJ144,"A"))</f>
        <v/>
      </c>
      <c r="AM144" s="34" t="str">
        <f aca="false">IF($B144="","",COUNTIF($F144:$AJ144,"HA"))</f>
        <v/>
      </c>
      <c r="AN144" s="34" t="str">
        <f aca="false">IF($B144="","",COUNTIF($F144:$AJ144,"L"))</f>
        <v/>
      </c>
      <c r="AO144" s="34" t="str">
        <f aca="false">IF($B144="","",COUNTIF($F144:$AJ144,"PL"))</f>
        <v/>
      </c>
      <c r="AP144" s="34" t="str">
        <f aca="false">IF($B144="","",COUNTIF($F144:$AJ144,"CL"))</f>
        <v/>
      </c>
      <c r="AQ144" s="34" t="str">
        <f aca="false">IF($B144="","",COUNTIF($F144:$AJ144,"SL"))</f>
        <v/>
      </c>
      <c r="AR144" s="34" t="str">
        <f aca="false">IF($B144="","",COUNTIF($F144:$AJ144,"CO"))</f>
        <v/>
      </c>
      <c r="AS144" s="34" t="str">
        <f aca="false">IF($B144="","",COUNTIF($F144:$AJ144,"HPL"))</f>
        <v/>
      </c>
      <c r="AT144" s="34" t="str">
        <f aca="false">IF($B144="","",COUNTIF($F144:$AJ144,"HCL"))</f>
        <v/>
      </c>
      <c r="AU144" s="34" t="str">
        <f aca="false">IF($B144="","",COUNTIF($F144:$AJ144,"WO"))</f>
        <v/>
      </c>
      <c r="AV144" s="34" t="str">
        <f aca="false">IF($B144="","",COUNTIF($F144:$AJ144,"PH"))</f>
        <v/>
      </c>
      <c r="AW144" s="34" t="str">
        <f aca="false">IF($B144="","",COUNTIF($F144:$AJ144,"TR"))</f>
        <v/>
      </c>
      <c r="AX144" s="35" t="str">
        <f aca="false">IF($B144="","",AO144+AS144/2)</f>
        <v/>
      </c>
      <c r="AY144" s="35" t="str">
        <f aca="false">IF($B144="","",AQ144)</f>
        <v/>
      </c>
      <c r="AZ144" s="35" t="str">
        <f aca="false">IF($B144="","",AP144+AT144/2)</f>
        <v/>
      </c>
      <c r="BA144" s="35" t="str">
        <f aca="false">IF($B144="","",AK144+AN144+AM144/2+AO144+AP144+AQ144+AR144+AS144+AT144+AU144+AV144+AW144)</f>
        <v/>
      </c>
      <c r="BB144" s="35" t="str">
        <f aca="false">IF($B144="","",MAX(0,AN144-Settings!$C$16)*Settings!$C$17)</f>
        <v/>
      </c>
      <c r="BC144" s="35" t="str">
        <f aca="false">IF($B144="","",BA144-BB144)</f>
        <v/>
      </c>
      <c r="BD144" s="35" t="str">
        <f aca="false">IF(OR($B144="",$A144=""),"",DAY(EOMONTH($A144,0))-COUNTA($F144:$AJ144))</f>
        <v/>
      </c>
    </row>
    <row r="145" customFormat="false" ht="15" hidden="false" customHeight="false" outlineLevel="0" collapsed="false">
      <c r="A145" s="32"/>
      <c r="B145" s="29"/>
      <c r="C145" s="10" t="str">
        <f aca="false">IF($B145="","",IFERROR(INDEX(M_name,MATCH($B145,M_emp,0)),"Code not found"))</f>
        <v/>
      </c>
      <c r="D145" s="10" t="str">
        <f aca="false">IF($B145="","",IFERROR(INDEX(M_dept,MATCH($B145,M_emp,0)),""))</f>
        <v/>
      </c>
      <c r="E145" s="10" t="str">
        <f aca="false">IF($B145="","",IFERROR(INDEX(M_loc,MATCH($B145,M_emp,0)),""))</f>
        <v/>
      </c>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4" t="str">
        <f aca="false">IF($B145="","",COUNTIF($F145:$AJ145,"P"))</f>
        <v/>
      </c>
      <c r="AL145" s="34" t="str">
        <f aca="false">IF($B145="","",COUNTIF($F145:$AJ145,"A"))</f>
        <v/>
      </c>
      <c r="AM145" s="34" t="str">
        <f aca="false">IF($B145="","",COUNTIF($F145:$AJ145,"HA"))</f>
        <v/>
      </c>
      <c r="AN145" s="34" t="str">
        <f aca="false">IF($B145="","",COUNTIF($F145:$AJ145,"L"))</f>
        <v/>
      </c>
      <c r="AO145" s="34" t="str">
        <f aca="false">IF($B145="","",COUNTIF($F145:$AJ145,"PL"))</f>
        <v/>
      </c>
      <c r="AP145" s="34" t="str">
        <f aca="false">IF($B145="","",COUNTIF($F145:$AJ145,"CL"))</f>
        <v/>
      </c>
      <c r="AQ145" s="34" t="str">
        <f aca="false">IF($B145="","",COUNTIF($F145:$AJ145,"SL"))</f>
        <v/>
      </c>
      <c r="AR145" s="34" t="str">
        <f aca="false">IF($B145="","",COUNTIF($F145:$AJ145,"CO"))</f>
        <v/>
      </c>
      <c r="AS145" s="34" t="str">
        <f aca="false">IF($B145="","",COUNTIF($F145:$AJ145,"HPL"))</f>
        <v/>
      </c>
      <c r="AT145" s="34" t="str">
        <f aca="false">IF($B145="","",COUNTIF($F145:$AJ145,"HCL"))</f>
        <v/>
      </c>
      <c r="AU145" s="34" t="str">
        <f aca="false">IF($B145="","",COUNTIF($F145:$AJ145,"WO"))</f>
        <v/>
      </c>
      <c r="AV145" s="34" t="str">
        <f aca="false">IF($B145="","",COUNTIF($F145:$AJ145,"PH"))</f>
        <v/>
      </c>
      <c r="AW145" s="34" t="str">
        <f aca="false">IF($B145="","",COUNTIF($F145:$AJ145,"TR"))</f>
        <v/>
      </c>
      <c r="AX145" s="35" t="str">
        <f aca="false">IF($B145="","",AO145+AS145/2)</f>
        <v/>
      </c>
      <c r="AY145" s="35" t="str">
        <f aca="false">IF($B145="","",AQ145)</f>
        <v/>
      </c>
      <c r="AZ145" s="35" t="str">
        <f aca="false">IF($B145="","",AP145+AT145/2)</f>
        <v/>
      </c>
      <c r="BA145" s="35" t="str">
        <f aca="false">IF($B145="","",AK145+AN145+AM145/2+AO145+AP145+AQ145+AR145+AS145+AT145+AU145+AV145+AW145)</f>
        <v/>
      </c>
      <c r="BB145" s="35" t="str">
        <f aca="false">IF($B145="","",MAX(0,AN145-Settings!$C$16)*Settings!$C$17)</f>
        <v/>
      </c>
      <c r="BC145" s="35" t="str">
        <f aca="false">IF($B145="","",BA145-BB145)</f>
        <v/>
      </c>
      <c r="BD145" s="35" t="str">
        <f aca="false">IF(OR($B145="",$A145=""),"",DAY(EOMONTH($A145,0))-COUNTA($F145:$AJ145))</f>
        <v/>
      </c>
    </row>
    <row r="146" customFormat="false" ht="15" hidden="false" customHeight="false" outlineLevel="0" collapsed="false">
      <c r="A146" s="32"/>
      <c r="B146" s="29"/>
      <c r="C146" s="10" t="str">
        <f aca="false">IF($B146="","",IFERROR(INDEX(M_name,MATCH($B146,M_emp,0)),"Code not found"))</f>
        <v/>
      </c>
      <c r="D146" s="10" t="str">
        <f aca="false">IF($B146="","",IFERROR(INDEX(M_dept,MATCH($B146,M_emp,0)),""))</f>
        <v/>
      </c>
      <c r="E146" s="10" t="str">
        <f aca="false">IF($B146="","",IFERROR(INDEX(M_loc,MATCH($B146,M_emp,0)),""))</f>
        <v/>
      </c>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4" t="str">
        <f aca="false">IF($B146="","",COUNTIF($F146:$AJ146,"P"))</f>
        <v/>
      </c>
      <c r="AL146" s="34" t="str">
        <f aca="false">IF($B146="","",COUNTIF($F146:$AJ146,"A"))</f>
        <v/>
      </c>
      <c r="AM146" s="34" t="str">
        <f aca="false">IF($B146="","",COUNTIF($F146:$AJ146,"HA"))</f>
        <v/>
      </c>
      <c r="AN146" s="34" t="str">
        <f aca="false">IF($B146="","",COUNTIF($F146:$AJ146,"L"))</f>
        <v/>
      </c>
      <c r="AO146" s="34" t="str">
        <f aca="false">IF($B146="","",COUNTIF($F146:$AJ146,"PL"))</f>
        <v/>
      </c>
      <c r="AP146" s="34" t="str">
        <f aca="false">IF($B146="","",COUNTIF($F146:$AJ146,"CL"))</f>
        <v/>
      </c>
      <c r="AQ146" s="34" t="str">
        <f aca="false">IF($B146="","",COUNTIF($F146:$AJ146,"SL"))</f>
        <v/>
      </c>
      <c r="AR146" s="34" t="str">
        <f aca="false">IF($B146="","",COUNTIF($F146:$AJ146,"CO"))</f>
        <v/>
      </c>
      <c r="AS146" s="34" t="str">
        <f aca="false">IF($B146="","",COUNTIF($F146:$AJ146,"HPL"))</f>
        <v/>
      </c>
      <c r="AT146" s="34" t="str">
        <f aca="false">IF($B146="","",COUNTIF($F146:$AJ146,"HCL"))</f>
        <v/>
      </c>
      <c r="AU146" s="34" t="str">
        <f aca="false">IF($B146="","",COUNTIF($F146:$AJ146,"WO"))</f>
        <v/>
      </c>
      <c r="AV146" s="34" t="str">
        <f aca="false">IF($B146="","",COUNTIF($F146:$AJ146,"PH"))</f>
        <v/>
      </c>
      <c r="AW146" s="34" t="str">
        <f aca="false">IF($B146="","",COUNTIF($F146:$AJ146,"TR"))</f>
        <v/>
      </c>
      <c r="AX146" s="35" t="str">
        <f aca="false">IF($B146="","",AO146+AS146/2)</f>
        <v/>
      </c>
      <c r="AY146" s="35" t="str">
        <f aca="false">IF($B146="","",AQ146)</f>
        <v/>
      </c>
      <c r="AZ146" s="35" t="str">
        <f aca="false">IF($B146="","",AP146+AT146/2)</f>
        <v/>
      </c>
      <c r="BA146" s="35" t="str">
        <f aca="false">IF($B146="","",AK146+AN146+AM146/2+AO146+AP146+AQ146+AR146+AS146+AT146+AU146+AV146+AW146)</f>
        <v/>
      </c>
      <c r="BB146" s="35" t="str">
        <f aca="false">IF($B146="","",MAX(0,AN146-Settings!$C$16)*Settings!$C$17)</f>
        <v/>
      </c>
      <c r="BC146" s="35" t="str">
        <f aca="false">IF($B146="","",BA146-BB146)</f>
        <v/>
      </c>
      <c r="BD146" s="35" t="str">
        <f aca="false">IF(OR($B146="",$A146=""),"",DAY(EOMONTH($A146,0))-COUNTA($F146:$AJ146))</f>
        <v/>
      </c>
    </row>
    <row r="147" customFormat="false" ht="15" hidden="false" customHeight="false" outlineLevel="0" collapsed="false">
      <c r="A147" s="32"/>
      <c r="B147" s="29"/>
      <c r="C147" s="10" t="str">
        <f aca="false">IF($B147="","",IFERROR(INDEX(M_name,MATCH($B147,M_emp,0)),"Code not found"))</f>
        <v/>
      </c>
      <c r="D147" s="10" t="str">
        <f aca="false">IF($B147="","",IFERROR(INDEX(M_dept,MATCH($B147,M_emp,0)),""))</f>
        <v/>
      </c>
      <c r="E147" s="10" t="str">
        <f aca="false">IF($B147="","",IFERROR(INDEX(M_loc,MATCH($B147,M_emp,0)),""))</f>
        <v/>
      </c>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4" t="str">
        <f aca="false">IF($B147="","",COUNTIF($F147:$AJ147,"P"))</f>
        <v/>
      </c>
      <c r="AL147" s="34" t="str">
        <f aca="false">IF($B147="","",COUNTIF($F147:$AJ147,"A"))</f>
        <v/>
      </c>
      <c r="AM147" s="34" t="str">
        <f aca="false">IF($B147="","",COUNTIF($F147:$AJ147,"HA"))</f>
        <v/>
      </c>
      <c r="AN147" s="34" t="str">
        <f aca="false">IF($B147="","",COUNTIF($F147:$AJ147,"L"))</f>
        <v/>
      </c>
      <c r="AO147" s="34" t="str">
        <f aca="false">IF($B147="","",COUNTIF($F147:$AJ147,"PL"))</f>
        <v/>
      </c>
      <c r="AP147" s="34" t="str">
        <f aca="false">IF($B147="","",COUNTIF($F147:$AJ147,"CL"))</f>
        <v/>
      </c>
      <c r="AQ147" s="34" t="str">
        <f aca="false">IF($B147="","",COUNTIF($F147:$AJ147,"SL"))</f>
        <v/>
      </c>
      <c r="AR147" s="34" t="str">
        <f aca="false">IF($B147="","",COUNTIF($F147:$AJ147,"CO"))</f>
        <v/>
      </c>
      <c r="AS147" s="34" t="str">
        <f aca="false">IF($B147="","",COUNTIF($F147:$AJ147,"HPL"))</f>
        <v/>
      </c>
      <c r="AT147" s="34" t="str">
        <f aca="false">IF($B147="","",COUNTIF($F147:$AJ147,"HCL"))</f>
        <v/>
      </c>
      <c r="AU147" s="34" t="str">
        <f aca="false">IF($B147="","",COUNTIF($F147:$AJ147,"WO"))</f>
        <v/>
      </c>
      <c r="AV147" s="34" t="str">
        <f aca="false">IF($B147="","",COUNTIF($F147:$AJ147,"PH"))</f>
        <v/>
      </c>
      <c r="AW147" s="34" t="str">
        <f aca="false">IF($B147="","",COUNTIF($F147:$AJ147,"TR"))</f>
        <v/>
      </c>
      <c r="AX147" s="35" t="str">
        <f aca="false">IF($B147="","",AO147+AS147/2)</f>
        <v/>
      </c>
      <c r="AY147" s="35" t="str">
        <f aca="false">IF($B147="","",AQ147)</f>
        <v/>
      </c>
      <c r="AZ147" s="35" t="str">
        <f aca="false">IF($B147="","",AP147+AT147/2)</f>
        <v/>
      </c>
      <c r="BA147" s="35" t="str">
        <f aca="false">IF($B147="","",AK147+AN147+AM147/2+AO147+AP147+AQ147+AR147+AS147+AT147+AU147+AV147+AW147)</f>
        <v/>
      </c>
      <c r="BB147" s="35" t="str">
        <f aca="false">IF($B147="","",MAX(0,AN147-Settings!$C$16)*Settings!$C$17)</f>
        <v/>
      </c>
      <c r="BC147" s="35" t="str">
        <f aca="false">IF($B147="","",BA147-BB147)</f>
        <v/>
      </c>
      <c r="BD147" s="35" t="str">
        <f aca="false">IF(OR($B147="",$A147=""),"",DAY(EOMONTH($A147,0))-COUNTA($F147:$AJ147))</f>
        <v/>
      </c>
    </row>
    <row r="148" customFormat="false" ht="15" hidden="false" customHeight="false" outlineLevel="0" collapsed="false">
      <c r="A148" s="32"/>
      <c r="B148" s="29"/>
      <c r="C148" s="10" t="str">
        <f aca="false">IF($B148="","",IFERROR(INDEX(M_name,MATCH($B148,M_emp,0)),"Code not found"))</f>
        <v/>
      </c>
      <c r="D148" s="10" t="str">
        <f aca="false">IF($B148="","",IFERROR(INDEX(M_dept,MATCH($B148,M_emp,0)),""))</f>
        <v/>
      </c>
      <c r="E148" s="10" t="str">
        <f aca="false">IF($B148="","",IFERROR(INDEX(M_loc,MATCH($B148,M_emp,0)),""))</f>
        <v/>
      </c>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4" t="str">
        <f aca="false">IF($B148="","",COUNTIF($F148:$AJ148,"P"))</f>
        <v/>
      </c>
      <c r="AL148" s="34" t="str">
        <f aca="false">IF($B148="","",COUNTIF($F148:$AJ148,"A"))</f>
        <v/>
      </c>
      <c r="AM148" s="34" t="str">
        <f aca="false">IF($B148="","",COUNTIF($F148:$AJ148,"HA"))</f>
        <v/>
      </c>
      <c r="AN148" s="34" t="str">
        <f aca="false">IF($B148="","",COUNTIF($F148:$AJ148,"L"))</f>
        <v/>
      </c>
      <c r="AO148" s="34" t="str">
        <f aca="false">IF($B148="","",COUNTIF($F148:$AJ148,"PL"))</f>
        <v/>
      </c>
      <c r="AP148" s="34" t="str">
        <f aca="false">IF($B148="","",COUNTIF($F148:$AJ148,"CL"))</f>
        <v/>
      </c>
      <c r="AQ148" s="34" t="str">
        <f aca="false">IF($B148="","",COUNTIF($F148:$AJ148,"SL"))</f>
        <v/>
      </c>
      <c r="AR148" s="34" t="str">
        <f aca="false">IF($B148="","",COUNTIF($F148:$AJ148,"CO"))</f>
        <v/>
      </c>
      <c r="AS148" s="34" t="str">
        <f aca="false">IF($B148="","",COUNTIF($F148:$AJ148,"HPL"))</f>
        <v/>
      </c>
      <c r="AT148" s="34" t="str">
        <f aca="false">IF($B148="","",COUNTIF($F148:$AJ148,"HCL"))</f>
        <v/>
      </c>
      <c r="AU148" s="34" t="str">
        <f aca="false">IF($B148="","",COUNTIF($F148:$AJ148,"WO"))</f>
        <v/>
      </c>
      <c r="AV148" s="34" t="str">
        <f aca="false">IF($B148="","",COUNTIF($F148:$AJ148,"PH"))</f>
        <v/>
      </c>
      <c r="AW148" s="34" t="str">
        <f aca="false">IF($B148="","",COUNTIF($F148:$AJ148,"TR"))</f>
        <v/>
      </c>
      <c r="AX148" s="35" t="str">
        <f aca="false">IF($B148="","",AO148+AS148/2)</f>
        <v/>
      </c>
      <c r="AY148" s="35" t="str">
        <f aca="false">IF($B148="","",AQ148)</f>
        <v/>
      </c>
      <c r="AZ148" s="35" t="str">
        <f aca="false">IF($B148="","",AP148+AT148/2)</f>
        <v/>
      </c>
      <c r="BA148" s="35" t="str">
        <f aca="false">IF($B148="","",AK148+AN148+AM148/2+AO148+AP148+AQ148+AR148+AS148+AT148+AU148+AV148+AW148)</f>
        <v/>
      </c>
      <c r="BB148" s="35" t="str">
        <f aca="false">IF($B148="","",MAX(0,AN148-Settings!$C$16)*Settings!$C$17)</f>
        <v/>
      </c>
      <c r="BC148" s="35" t="str">
        <f aca="false">IF($B148="","",BA148-BB148)</f>
        <v/>
      </c>
      <c r="BD148" s="35" t="str">
        <f aca="false">IF(OR($B148="",$A148=""),"",DAY(EOMONTH($A148,0))-COUNTA($F148:$AJ148))</f>
        <v/>
      </c>
    </row>
    <row r="149" customFormat="false" ht="15" hidden="false" customHeight="false" outlineLevel="0" collapsed="false">
      <c r="A149" s="32"/>
      <c r="B149" s="29"/>
      <c r="C149" s="10" t="str">
        <f aca="false">IF($B149="","",IFERROR(INDEX(M_name,MATCH($B149,M_emp,0)),"Code not found"))</f>
        <v/>
      </c>
      <c r="D149" s="10" t="str">
        <f aca="false">IF($B149="","",IFERROR(INDEX(M_dept,MATCH($B149,M_emp,0)),""))</f>
        <v/>
      </c>
      <c r="E149" s="10" t="str">
        <f aca="false">IF($B149="","",IFERROR(INDEX(M_loc,MATCH($B149,M_emp,0)),""))</f>
        <v/>
      </c>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4" t="str">
        <f aca="false">IF($B149="","",COUNTIF($F149:$AJ149,"P"))</f>
        <v/>
      </c>
      <c r="AL149" s="34" t="str">
        <f aca="false">IF($B149="","",COUNTIF($F149:$AJ149,"A"))</f>
        <v/>
      </c>
      <c r="AM149" s="34" t="str">
        <f aca="false">IF($B149="","",COUNTIF($F149:$AJ149,"HA"))</f>
        <v/>
      </c>
      <c r="AN149" s="34" t="str">
        <f aca="false">IF($B149="","",COUNTIF($F149:$AJ149,"L"))</f>
        <v/>
      </c>
      <c r="AO149" s="34" t="str">
        <f aca="false">IF($B149="","",COUNTIF($F149:$AJ149,"PL"))</f>
        <v/>
      </c>
      <c r="AP149" s="34" t="str">
        <f aca="false">IF($B149="","",COUNTIF($F149:$AJ149,"CL"))</f>
        <v/>
      </c>
      <c r="AQ149" s="34" t="str">
        <f aca="false">IF($B149="","",COUNTIF($F149:$AJ149,"SL"))</f>
        <v/>
      </c>
      <c r="AR149" s="34" t="str">
        <f aca="false">IF($B149="","",COUNTIF($F149:$AJ149,"CO"))</f>
        <v/>
      </c>
      <c r="AS149" s="34" t="str">
        <f aca="false">IF($B149="","",COUNTIF($F149:$AJ149,"HPL"))</f>
        <v/>
      </c>
      <c r="AT149" s="34" t="str">
        <f aca="false">IF($B149="","",COUNTIF($F149:$AJ149,"HCL"))</f>
        <v/>
      </c>
      <c r="AU149" s="34" t="str">
        <f aca="false">IF($B149="","",COUNTIF($F149:$AJ149,"WO"))</f>
        <v/>
      </c>
      <c r="AV149" s="34" t="str">
        <f aca="false">IF($B149="","",COUNTIF($F149:$AJ149,"PH"))</f>
        <v/>
      </c>
      <c r="AW149" s="34" t="str">
        <f aca="false">IF($B149="","",COUNTIF($F149:$AJ149,"TR"))</f>
        <v/>
      </c>
      <c r="AX149" s="35" t="str">
        <f aca="false">IF($B149="","",AO149+AS149/2)</f>
        <v/>
      </c>
      <c r="AY149" s="35" t="str">
        <f aca="false">IF($B149="","",AQ149)</f>
        <v/>
      </c>
      <c r="AZ149" s="35" t="str">
        <f aca="false">IF($B149="","",AP149+AT149/2)</f>
        <v/>
      </c>
      <c r="BA149" s="35" t="str">
        <f aca="false">IF($B149="","",AK149+AN149+AM149/2+AO149+AP149+AQ149+AR149+AS149+AT149+AU149+AV149+AW149)</f>
        <v/>
      </c>
      <c r="BB149" s="35" t="str">
        <f aca="false">IF($B149="","",MAX(0,AN149-Settings!$C$16)*Settings!$C$17)</f>
        <v/>
      </c>
      <c r="BC149" s="35" t="str">
        <f aca="false">IF($B149="","",BA149-BB149)</f>
        <v/>
      </c>
      <c r="BD149" s="35" t="str">
        <f aca="false">IF(OR($B149="",$A149=""),"",DAY(EOMONTH($A149,0))-COUNTA($F149:$AJ149))</f>
        <v/>
      </c>
    </row>
    <row r="150" customFormat="false" ht="15" hidden="false" customHeight="false" outlineLevel="0" collapsed="false">
      <c r="A150" s="32"/>
      <c r="B150" s="29"/>
      <c r="C150" s="10" t="str">
        <f aca="false">IF($B150="","",IFERROR(INDEX(M_name,MATCH($B150,M_emp,0)),"Code not found"))</f>
        <v/>
      </c>
      <c r="D150" s="10" t="str">
        <f aca="false">IF($B150="","",IFERROR(INDEX(M_dept,MATCH($B150,M_emp,0)),""))</f>
        <v/>
      </c>
      <c r="E150" s="10" t="str">
        <f aca="false">IF($B150="","",IFERROR(INDEX(M_loc,MATCH($B150,M_emp,0)),""))</f>
        <v/>
      </c>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4" t="str">
        <f aca="false">IF($B150="","",COUNTIF($F150:$AJ150,"P"))</f>
        <v/>
      </c>
      <c r="AL150" s="34" t="str">
        <f aca="false">IF($B150="","",COUNTIF($F150:$AJ150,"A"))</f>
        <v/>
      </c>
      <c r="AM150" s="34" t="str">
        <f aca="false">IF($B150="","",COUNTIF($F150:$AJ150,"HA"))</f>
        <v/>
      </c>
      <c r="AN150" s="34" t="str">
        <f aca="false">IF($B150="","",COUNTIF($F150:$AJ150,"L"))</f>
        <v/>
      </c>
      <c r="AO150" s="34" t="str">
        <f aca="false">IF($B150="","",COUNTIF($F150:$AJ150,"PL"))</f>
        <v/>
      </c>
      <c r="AP150" s="34" t="str">
        <f aca="false">IF($B150="","",COUNTIF($F150:$AJ150,"CL"))</f>
        <v/>
      </c>
      <c r="AQ150" s="34" t="str">
        <f aca="false">IF($B150="","",COUNTIF($F150:$AJ150,"SL"))</f>
        <v/>
      </c>
      <c r="AR150" s="34" t="str">
        <f aca="false">IF($B150="","",COUNTIF($F150:$AJ150,"CO"))</f>
        <v/>
      </c>
      <c r="AS150" s="34" t="str">
        <f aca="false">IF($B150="","",COUNTIF($F150:$AJ150,"HPL"))</f>
        <v/>
      </c>
      <c r="AT150" s="34" t="str">
        <f aca="false">IF($B150="","",COUNTIF($F150:$AJ150,"HCL"))</f>
        <v/>
      </c>
      <c r="AU150" s="34" t="str">
        <f aca="false">IF($B150="","",COUNTIF($F150:$AJ150,"WO"))</f>
        <v/>
      </c>
      <c r="AV150" s="34" t="str">
        <f aca="false">IF($B150="","",COUNTIF($F150:$AJ150,"PH"))</f>
        <v/>
      </c>
      <c r="AW150" s="34" t="str">
        <f aca="false">IF($B150="","",COUNTIF($F150:$AJ150,"TR"))</f>
        <v/>
      </c>
      <c r="AX150" s="35" t="str">
        <f aca="false">IF($B150="","",AO150+AS150/2)</f>
        <v/>
      </c>
      <c r="AY150" s="35" t="str">
        <f aca="false">IF($B150="","",AQ150)</f>
        <v/>
      </c>
      <c r="AZ150" s="35" t="str">
        <f aca="false">IF($B150="","",AP150+AT150/2)</f>
        <v/>
      </c>
      <c r="BA150" s="35" t="str">
        <f aca="false">IF($B150="","",AK150+AN150+AM150/2+AO150+AP150+AQ150+AR150+AS150+AT150+AU150+AV150+AW150)</f>
        <v/>
      </c>
      <c r="BB150" s="35" t="str">
        <f aca="false">IF($B150="","",MAX(0,AN150-Settings!$C$16)*Settings!$C$17)</f>
        <v/>
      </c>
      <c r="BC150" s="35" t="str">
        <f aca="false">IF($B150="","",BA150-BB150)</f>
        <v/>
      </c>
      <c r="BD150" s="35" t="str">
        <f aca="false">IF(OR($B150="",$A150=""),"",DAY(EOMONTH($A150,0))-COUNTA($F150:$AJ150))</f>
        <v/>
      </c>
    </row>
    <row r="151" customFormat="false" ht="15" hidden="false" customHeight="false" outlineLevel="0" collapsed="false">
      <c r="A151" s="32"/>
      <c r="B151" s="29"/>
      <c r="C151" s="10" t="str">
        <f aca="false">IF($B151="","",IFERROR(INDEX(M_name,MATCH($B151,M_emp,0)),"Code not found"))</f>
        <v/>
      </c>
      <c r="D151" s="10" t="str">
        <f aca="false">IF($B151="","",IFERROR(INDEX(M_dept,MATCH($B151,M_emp,0)),""))</f>
        <v/>
      </c>
      <c r="E151" s="10" t="str">
        <f aca="false">IF($B151="","",IFERROR(INDEX(M_loc,MATCH($B151,M_emp,0)),""))</f>
        <v/>
      </c>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4" t="str">
        <f aca="false">IF($B151="","",COUNTIF($F151:$AJ151,"P"))</f>
        <v/>
      </c>
      <c r="AL151" s="34" t="str">
        <f aca="false">IF($B151="","",COUNTIF($F151:$AJ151,"A"))</f>
        <v/>
      </c>
      <c r="AM151" s="34" t="str">
        <f aca="false">IF($B151="","",COUNTIF($F151:$AJ151,"HA"))</f>
        <v/>
      </c>
      <c r="AN151" s="34" t="str">
        <f aca="false">IF($B151="","",COUNTIF($F151:$AJ151,"L"))</f>
        <v/>
      </c>
      <c r="AO151" s="34" t="str">
        <f aca="false">IF($B151="","",COUNTIF($F151:$AJ151,"PL"))</f>
        <v/>
      </c>
      <c r="AP151" s="34" t="str">
        <f aca="false">IF($B151="","",COUNTIF($F151:$AJ151,"CL"))</f>
        <v/>
      </c>
      <c r="AQ151" s="34" t="str">
        <f aca="false">IF($B151="","",COUNTIF($F151:$AJ151,"SL"))</f>
        <v/>
      </c>
      <c r="AR151" s="34" t="str">
        <f aca="false">IF($B151="","",COUNTIF($F151:$AJ151,"CO"))</f>
        <v/>
      </c>
      <c r="AS151" s="34" t="str">
        <f aca="false">IF($B151="","",COUNTIF($F151:$AJ151,"HPL"))</f>
        <v/>
      </c>
      <c r="AT151" s="34" t="str">
        <f aca="false">IF($B151="","",COUNTIF($F151:$AJ151,"HCL"))</f>
        <v/>
      </c>
      <c r="AU151" s="34" t="str">
        <f aca="false">IF($B151="","",COUNTIF($F151:$AJ151,"WO"))</f>
        <v/>
      </c>
      <c r="AV151" s="34" t="str">
        <f aca="false">IF($B151="","",COUNTIF($F151:$AJ151,"PH"))</f>
        <v/>
      </c>
      <c r="AW151" s="34" t="str">
        <f aca="false">IF($B151="","",COUNTIF($F151:$AJ151,"TR"))</f>
        <v/>
      </c>
      <c r="AX151" s="35" t="str">
        <f aca="false">IF($B151="","",AO151+AS151/2)</f>
        <v/>
      </c>
      <c r="AY151" s="35" t="str">
        <f aca="false">IF($B151="","",AQ151)</f>
        <v/>
      </c>
      <c r="AZ151" s="35" t="str">
        <f aca="false">IF($B151="","",AP151+AT151/2)</f>
        <v/>
      </c>
      <c r="BA151" s="35" t="str">
        <f aca="false">IF($B151="","",AK151+AN151+AM151/2+AO151+AP151+AQ151+AR151+AS151+AT151+AU151+AV151+AW151)</f>
        <v/>
      </c>
      <c r="BB151" s="35" t="str">
        <f aca="false">IF($B151="","",MAX(0,AN151-Settings!$C$16)*Settings!$C$17)</f>
        <v/>
      </c>
      <c r="BC151" s="35" t="str">
        <f aca="false">IF($B151="","",BA151-BB151)</f>
        <v/>
      </c>
      <c r="BD151" s="35" t="str">
        <f aca="false">IF(OR($B151="",$A151=""),"",DAY(EOMONTH($A151,0))-COUNTA($F151:$AJ151))</f>
        <v/>
      </c>
    </row>
    <row r="152" customFormat="false" ht="15" hidden="false" customHeight="false" outlineLevel="0" collapsed="false">
      <c r="A152" s="32"/>
      <c r="B152" s="29"/>
      <c r="C152" s="10" t="str">
        <f aca="false">IF($B152="","",IFERROR(INDEX(M_name,MATCH($B152,M_emp,0)),"Code not found"))</f>
        <v/>
      </c>
      <c r="D152" s="10" t="str">
        <f aca="false">IF($B152="","",IFERROR(INDEX(M_dept,MATCH($B152,M_emp,0)),""))</f>
        <v/>
      </c>
      <c r="E152" s="10" t="str">
        <f aca="false">IF($B152="","",IFERROR(INDEX(M_loc,MATCH($B152,M_emp,0)),""))</f>
        <v/>
      </c>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4" t="str">
        <f aca="false">IF($B152="","",COUNTIF($F152:$AJ152,"P"))</f>
        <v/>
      </c>
      <c r="AL152" s="34" t="str">
        <f aca="false">IF($B152="","",COUNTIF($F152:$AJ152,"A"))</f>
        <v/>
      </c>
      <c r="AM152" s="34" t="str">
        <f aca="false">IF($B152="","",COUNTIF($F152:$AJ152,"HA"))</f>
        <v/>
      </c>
      <c r="AN152" s="34" t="str">
        <f aca="false">IF($B152="","",COUNTIF($F152:$AJ152,"L"))</f>
        <v/>
      </c>
      <c r="AO152" s="34" t="str">
        <f aca="false">IF($B152="","",COUNTIF($F152:$AJ152,"PL"))</f>
        <v/>
      </c>
      <c r="AP152" s="34" t="str">
        <f aca="false">IF($B152="","",COUNTIF($F152:$AJ152,"CL"))</f>
        <v/>
      </c>
      <c r="AQ152" s="34" t="str">
        <f aca="false">IF($B152="","",COUNTIF($F152:$AJ152,"SL"))</f>
        <v/>
      </c>
      <c r="AR152" s="34" t="str">
        <f aca="false">IF($B152="","",COUNTIF($F152:$AJ152,"CO"))</f>
        <v/>
      </c>
      <c r="AS152" s="34" t="str">
        <f aca="false">IF($B152="","",COUNTIF($F152:$AJ152,"HPL"))</f>
        <v/>
      </c>
      <c r="AT152" s="34" t="str">
        <f aca="false">IF($B152="","",COUNTIF($F152:$AJ152,"HCL"))</f>
        <v/>
      </c>
      <c r="AU152" s="34" t="str">
        <f aca="false">IF($B152="","",COUNTIF($F152:$AJ152,"WO"))</f>
        <v/>
      </c>
      <c r="AV152" s="34" t="str">
        <f aca="false">IF($B152="","",COUNTIF($F152:$AJ152,"PH"))</f>
        <v/>
      </c>
      <c r="AW152" s="34" t="str">
        <f aca="false">IF($B152="","",COUNTIF($F152:$AJ152,"TR"))</f>
        <v/>
      </c>
      <c r="AX152" s="35" t="str">
        <f aca="false">IF($B152="","",AO152+AS152/2)</f>
        <v/>
      </c>
      <c r="AY152" s="35" t="str">
        <f aca="false">IF($B152="","",AQ152)</f>
        <v/>
      </c>
      <c r="AZ152" s="35" t="str">
        <f aca="false">IF($B152="","",AP152+AT152/2)</f>
        <v/>
      </c>
      <c r="BA152" s="35" t="str">
        <f aca="false">IF($B152="","",AK152+AN152+AM152/2+AO152+AP152+AQ152+AR152+AS152+AT152+AU152+AV152+AW152)</f>
        <v/>
      </c>
      <c r="BB152" s="35" t="str">
        <f aca="false">IF($B152="","",MAX(0,AN152-Settings!$C$16)*Settings!$C$17)</f>
        <v/>
      </c>
      <c r="BC152" s="35" t="str">
        <f aca="false">IF($B152="","",BA152-BB152)</f>
        <v/>
      </c>
      <c r="BD152" s="35" t="str">
        <f aca="false">IF(OR($B152="",$A152=""),"",DAY(EOMONTH($A152,0))-COUNTA($F152:$AJ152))</f>
        <v/>
      </c>
    </row>
    <row r="153" customFormat="false" ht="15" hidden="false" customHeight="false" outlineLevel="0" collapsed="false">
      <c r="A153" s="32"/>
      <c r="B153" s="29"/>
      <c r="C153" s="10" t="str">
        <f aca="false">IF($B153="","",IFERROR(INDEX(M_name,MATCH($B153,M_emp,0)),"Code not found"))</f>
        <v/>
      </c>
      <c r="D153" s="10" t="str">
        <f aca="false">IF($B153="","",IFERROR(INDEX(M_dept,MATCH($B153,M_emp,0)),""))</f>
        <v/>
      </c>
      <c r="E153" s="10" t="str">
        <f aca="false">IF($B153="","",IFERROR(INDEX(M_loc,MATCH($B153,M_emp,0)),""))</f>
        <v/>
      </c>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4" t="str">
        <f aca="false">IF($B153="","",COUNTIF($F153:$AJ153,"P"))</f>
        <v/>
      </c>
      <c r="AL153" s="34" t="str">
        <f aca="false">IF($B153="","",COUNTIF($F153:$AJ153,"A"))</f>
        <v/>
      </c>
      <c r="AM153" s="34" t="str">
        <f aca="false">IF($B153="","",COUNTIF($F153:$AJ153,"HA"))</f>
        <v/>
      </c>
      <c r="AN153" s="34" t="str">
        <f aca="false">IF($B153="","",COUNTIF($F153:$AJ153,"L"))</f>
        <v/>
      </c>
      <c r="AO153" s="34" t="str">
        <f aca="false">IF($B153="","",COUNTIF($F153:$AJ153,"PL"))</f>
        <v/>
      </c>
      <c r="AP153" s="34" t="str">
        <f aca="false">IF($B153="","",COUNTIF($F153:$AJ153,"CL"))</f>
        <v/>
      </c>
      <c r="AQ153" s="34" t="str">
        <f aca="false">IF($B153="","",COUNTIF($F153:$AJ153,"SL"))</f>
        <v/>
      </c>
      <c r="AR153" s="34" t="str">
        <f aca="false">IF($B153="","",COUNTIF($F153:$AJ153,"CO"))</f>
        <v/>
      </c>
      <c r="AS153" s="34" t="str">
        <f aca="false">IF($B153="","",COUNTIF($F153:$AJ153,"HPL"))</f>
        <v/>
      </c>
      <c r="AT153" s="34" t="str">
        <f aca="false">IF($B153="","",COUNTIF($F153:$AJ153,"HCL"))</f>
        <v/>
      </c>
      <c r="AU153" s="34" t="str">
        <f aca="false">IF($B153="","",COUNTIF($F153:$AJ153,"WO"))</f>
        <v/>
      </c>
      <c r="AV153" s="34" t="str">
        <f aca="false">IF($B153="","",COUNTIF($F153:$AJ153,"PH"))</f>
        <v/>
      </c>
      <c r="AW153" s="34" t="str">
        <f aca="false">IF($B153="","",COUNTIF($F153:$AJ153,"TR"))</f>
        <v/>
      </c>
      <c r="AX153" s="35" t="str">
        <f aca="false">IF($B153="","",AO153+AS153/2)</f>
        <v/>
      </c>
      <c r="AY153" s="35" t="str">
        <f aca="false">IF($B153="","",AQ153)</f>
        <v/>
      </c>
      <c r="AZ153" s="35" t="str">
        <f aca="false">IF($B153="","",AP153+AT153/2)</f>
        <v/>
      </c>
      <c r="BA153" s="35" t="str">
        <f aca="false">IF($B153="","",AK153+AN153+AM153/2+AO153+AP153+AQ153+AR153+AS153+AT153+AU153+AV153+AW153)</f>
        <v/>
      </c>
      <c r="BB153" s="35" t="str">
        <f aca="false">IF($B153="","",MAX(0,AN153-Settings!$C$16)*Settings!$C$17)</f>
        <v/>
      </c>
      <c r="BC153" s="35" t="str">
        <f aca="false">IF($B153="","",BA153-BB153)</f>
        <v/>
      </c>
      <c r="BD153" s="35" t="str">
        <f aca="false">IF(OR($B153="",$A153=""),"",DAY(EOMONTH($A153,0))-COUNTA($F153:$AJ153))</f>
        <v/>
      </c>
    </row>
    <row r="154" customFormat="false" ht="15" hidden="false" customHeight="false" outlineLevel="0" collapsed="false">
      <c r="A154" s="32"/>
      <c r="B154" s="29"/>
      <c r="C154" s="10" t="str">
        <f aca="false">IF($B154="","",IFERROR(INDEX(M_name,MATCH($B154,M_emp,0)),"Code not found"))</f>
        <v/>
      </c>
      <c r="D154" s="10" t="str">
        <f aca="false">IF($B154="","",IFERROR(INDEX(M_dept,MATCH($B154,M_emp,0)),""))</f>
        <v/>
      </c>
      <c r="E154" s="10" t="str">
        <f aca="false">IF($B154="","",IFERROR(INDEX(M_loc,MATCH($B154,M_emp,0)),""))</f>
        <v/>
      </c>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4" t="str">
        <f aca="false">IF($B154="","",COUNTIF($F154:$AJ154,"P"))</f>
        <v/>
      </c>
      <c r="AL154" s="34" t="str">
        <f aca="false">IF($B154="","",COUNTIF($F154:$AJ154,"A"))</f>
        <v/>
      </c>
      <c r="AM154" s="34" t="str">
        <f aca="false">IF($B154="","",COUNTIF($F154:$AJ154,"HA"))</f>
        <v/>
      </c>
      <c r="AN154" s="34" t="str">
        <f aca="false">IF($B154="","",COUNTIF($F154:$AJ154,"L"))</f>
        <v/>
      </c>
      <c r="AO154" s="34" t="str">
        <f aca="false">IF($B154="","",COUNTIF($F154:$AJ154,"PL"))</f>
        <v/>
      </c>
      <c r="AP154" s="34" t="str">
        <f aca="false">IF($B154="","",COUNTIF($F154:$AJ154,"CL"))</f>
        <v/>
      </c>
      <c r="AQ154" s="34" t="str">
        <f aca="false">IF($B154="","",COUNTIF($F154:$AJ154,"SL"))</f>
        <v/>
      </c>
      <c r="AR154" s="34" t="str">
        <f aca="false">IF($B154="","",COUNTIF($F154:$AJ154,"CO"))</f>
        <v/>
      </c>
      <c r="AS154" s="34" t="str">
        <f aca="false">IF($B154="","",COUNTIF($F154:$AJ154,"HPL"))</f>
        <v/>
      </c>
      <c r="AT154" s="34" t="str">
        <f aca="false">IF($B154="","",COUNTIF($F154:$AJ154,"HCL"))</f>
        <v/>
      </c>
      <c r="AU154" s="34" t="str">
        <f aca="false">IF($B154="","",COUNTIF($F154:$AJ154,"WO"))</f>
        <v/>
      </c>
      <c r="AV154" s="34" t="str">
        <f aca="false">IF($B154="","",COUNTIF($F154:$AJ154,"PH"))</f>
        <v/>
      </c>
      <c r="AW154" s="34" t="str">
        <f aca="false">IF($B154="","",COUNTIF($F154:$AJ154,"TR"))</f>
        <v/>
      </c>
      <c r="AX154" s="35" t="str">
        <f aca="false">IF($B154="","",AO154+AS154/2)</f>
        <v/>
      </c>
      <c r="AY154" s="35" t="str">
        <f aca="false">IF($B154="","",AQ154)</f>
        <v/>
      </c>
      <c r="AZ154" s="35" t="str">
        <f aca="false">IF($B154="","",AP154+AT154/2)</f>
        <v/>
      </c>
      <c r="BA154" s="35" t="str">
        <f aca="false">IF($B154="","",AK154+AN154+AM154/2+AO154+AP154+AQ154+AR154+AS154+AT154+AU154+AV154+AW154)</f>
        <v/>
      </c>
      <c r="BB154" s="35" t="str">
        <f aca="false">IF($B154="","",MAX(0,AN154-Settings!$C$16)*Settings!$C$17)</f>
        <v/>
      </c>
      <c r="BC154" s="35" t="str">
        <f aca="false">IF($B154="","",BA154-BB154)</f>
        <v/>
      </c>
      <c r="BD154" s="35" t="str">
        <f aca="false">IF(OR($B154="",$A154=""),"",DAY(EOMONTH($A154,0))-COUNTA($F154:$AJ154))</f>
        <v/>
      </c>
    </row>
    <row r="155" customFormat="false" ht="15" hidden="false" customHeight="false" outlineLevel="0" collapsed="false">
      <c r="A155" s="32"/>
      <c r="B155" s="29"/>
      <c r="C155" s="10" t="str">
        <f aca="false">IF($B155="","",IFERROR(INDEX(M_name,MATCH($B155,M_emp,0)),"Code not found"))</f>
        <v/>
      </c>
      <c r="D155" s="10" t="str">
        <f aca="false">IF($B155="","",IFERROR(INDEX(M_dept,MATCH($B155,M_emp,0)),""))</f>
        <v/>
      </c>
      <c r="E155" s="10" t="str">
        <f aca="false">IF($B155="","",IFERROR(INDEX(M_loc,MATCH($B155,M_emp,0)),""))</f>
        <v/>
      </c>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4" t="str">
        <f aca="false">IF($B155="","",COUNTIF($F155:$AJ155,"P"))</f>
        <v/>
      </c>
      <c r="AL155" s="34" t="str">
        <f aca="false">IF($B155="","",COUNTIF($F155:$AJ155,"A"))</f>
        <v/>
      </c>
      <c r="AM155" s="34" t="str">
        <f aca="false">IF($B155="","",COUNTIF($F155:$AJ155,"HA"))</f>
        <v/>
      </c>
      <c r="AN155" s="34" t="str">
        <f aca="false">IF($B155="","",COUNTIF($F155:$AJ155,"L"))</f>
        <v/>
      </c>
      <c r="AO155" s="34" t="str">
        <f aca="false">IF($B155="","",COUNTIF($F155:$AJ155,"PL"))</f>
        <v/>
      </c>
      <c r="AP155" s="34" t="str">
        <f aca="false">IF($B155="","",COUNTIF($F155:$AJ155,"CL"))</f>
        <v/>
      </c>
      <c r="AQ155" s="34" t="str">
        <f aca="false">IF($B155="","",COUNTIF($F155:$AJ155,"SL"))</f>
        <v/>
      </c>
      <c r="AR155" s="34" t="str">
        <f aca="false">IF($B155="","",COUNTIF($F155:$AJ155,"CO"))</f>
        <v/>
      </c>
      <c r="AS155" s="34" t="str">
        <f aca="false">IF($B155="","",COUNTIF($F155:$AJ155,"HPL"))</f>
        <v/>
      </c>
      <c r="AT155" s="34" t="str">
        <f aca="false">IF($B155="","",COUNTIF($F155:$AJ155,"HCL"))</f>
        <v/>
      </c>
      <c r="AU155" s="34" t="str">
        <f aca="false">IF($B155="","",COUNTIF($F155:$AJ155,"WO"))</f>
        <v/>
      </c>
      <c r="AV155" s="34" t="str">
        <f aca="false">IF($B155="","",COUNTIF($F155:$AJ155,"PH"))</f>
        <v/>
      </c>
      <c r="AW155" s="34" t="str">
        <f aca="false">IF($B155="","",COUNTIF($F155:$AJ155,"TR"))</f>
        <v/>
      </c>
      <c r="AX155" s="35" t="str">
        <f aca="false">IF($B155="","",AO155+AS155/2)</f>
        <v/>
      </c>
      <c r="AY155" s="35" t="str">
        <f aca="false">IF($B155="","",AQ155)</f>
        <v/>
      </c>
      <c r="AZ155" s="35" t="str">
        <f aca="false">IF($B155="","",AP155+AT155/2)</f>
        <v/>
      </c>
      <c r="BA155" s="35" t="str">
        <f aca="false">IF($B155="","",AK155+AN155+AM155/2+AO155+AP155+AQ155+AR155+AS155+AT155+AU155+AV155+AW155)</f>
        <v/>
      </c>
      <c r="BB155" s="35" t="str">
        <f aca="false">IF($B155="","",MAX(0,AN155-Settings!$C$16)*Settings!$C$17)</f>
        <v/>
      </c>
      <c r="BC155" s="35" t="str">
        <f aca="false">IF($B155="","",BA155-BB155)</f>
        <v/>
      </c>
      <c r="BD155" s="35" t="str">
        <f aca="false">IF(OR($B155="",$A155=""),"",DAY(EOMONTH($A155,0))-COUNTA($F155:$AJ155))</f>
        <v/>
      </c>
    </row>
    <row r="156" customFormat="false" ht="15" hidden="false" customHeight="false" outlineLevel="0" collapsed="false">
      <c r="A156" s="32"/>
      <c r="B156" s="29"/>
      <c r="C156" s="10" t="str">
        <f aca="false">IF($B156="","",IFERROR(INDEX(M_name,MATCH($B156,M_emp,0)),"Code not found"))</f>
        <v/>
      </c>
      <c r="D156" s="10" t="str">
        <f aca="false">IF($B156="","",IFERROR(INDEX(M_dept,MATCH($B156,M_emp,0)),""))</f>
        <v/>
      </c>
      <c r="E156" s="10" t="str">
        <f aca="false">IF($B156="","",IFERROR(INDEX(M_loc,MATCH($B156,M_emp,0)),""))</f>
        <v/>
      </c>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4" t="str">
        <f aca="false">IF($B156="","",COUNTIF($F156:$AJ156,"P"))</f>
        <v/>
      </c>
      <c r="AL156" s="34" t="str">
        <f aca="false">IF($B156="","",COUNTIF($F156:$AJ156,"A"))</f>
        <v/>
      </c>
      <c r="AM156" s="34" t="str">
        <f aca="false">IF($B156="","",COUNTIF($F156:$AJ156,"HA"))</f>
        <v/>
      </c>
      <c r="AN156" s="34" t="str">
        <f aca="false">IF($B156="","",COUNTIF($F156:$AJ156,"L"))</f>
        <v/>
      </c>
      <c r="AO156" s="34" t="str">
        <f aca="false">IF($B156="","",COUNTIF($F156:$AJ156,"PL"))</f>
        <v/>
      </c>
      <c r="AP156" s="34" t="str">
        <f aca="false">IF($B156="","",COUNTIF($F156:$AJ156,"CL"))</f>
        <v/>
      </c>
      <c r="AQ156" s="34" t="str">
        <f aca="false">IF($B156="","",COUNTIF($F156:$AJ156,"SL"))</f>
        <v/>
      </c>
      <c r="AR156" s="34" t="str">
        <f aca="false">IF($B156="","",COUNTIF($F156:$AJ156,"CO"))</f>
        <v/>
      </c>
      <c r="AS156" s="34" t="str">
        <f aca="false">IF($B156="","",COUNTIF($F156:$AJ156,"HPL"))</f>
        <v/>
      </c>
      <c r="AT156" s="34" t="str">
        <f aca="false">IF($B156="","",COUNTIF($F156:$AJ156,"HCL"))</f>
        <v/>
      </c>
      <c r="AU156" s="34" t="str">
        <f aca="false">IF($B156="","",COUNTIF($F156:$AJ156,"WO"))</f>
        <v/>
      </c>
      <c r="AV156" s="34" t="str">
        <f aca="false">IF($B156="","",COUNTIF($F156:$AJ156,"PH"))</f>
        <v/>
      </c>
      <c r="AW156" s="34" t="str">
        <f aca="false">IF($B156="","",COUNTIF($F156:$AJ156,"TR"))</f>
        <v/>
      </c>
      <c r="AX156" s="35" t="str">
        <f aca="false">IF($B156="","",AO156+AS156/2)</f>
        <v/>
      </c>
      <c r="AY156" s="35" t="str">
        <f aca="false">IF($B156="","",AQ156)</f>
        <v/>
      </c>
      <c r="AZ156" s="35" t="str">
        <f aca="false">IF($B156="","",AP156+AT156/2)</f>
        <v/>
      </c>
      <c r="BA156" s="35" t="str">
        <f aca="false">IF($B156="","",AK156+AN156+AM156/2+AO156+AP156+AQ156+AR156+AS156+AT156+AU156+AV156+AW156)</f>
        <v/>
      </c>
      <c r="BB156" s="35" t="str">
        <f aca="false">IF($B156="","",MAX(0,AN156-Settings!$C$16)*Settings!$C$17)</f>
        <v/>
      </c>
      <c r="BC156" s="35" t="str">
        <f aca="false">IF($B156="","",BA156-BB156)</f>
        <v/>
      </c>
      <c r="BD156" s="35" t="str">
        <f aca="false">IF(OR($B156="",$A156=""),"",DAY(EOMONTH($A156,0))-COUNTA($F156:$AJ156))</f>
        <v/>
      </c>
    </row>
    <row r="157" customFormat="false" ht="15" hidden="false" customHeight="false" outlineLevel="0" collapsed="false">
      <c r="A157" s="32"/>
      <c r="B157" s="29"/>
      <c r="C157" s="10" t="str">
        <f aca="false">IF($B157="","",IFERROR(INDEX(M_name,MATCH($B157,M_emp,0)),"Code not found"))</f>
        <v/>
      </c>
      <c r="D157" s="10" t="str">
        <f aca="false">IF($B157="","",IFERROR(INDEX(M_dept,MATCH($B157,M_emp,0)),""))</f>
        <v/>
      </c>
      <c r="E157" s="10" t="str">
        <f aca="false">IF($B157="","",IFERROR(INDEX(M_loc,MATCH($B157,M_emp,0)),""))</f>
        <v/>
      </c>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4" t="str">
        <f aca="false">IF($B157="","",COUNTIF($F157:$AJ157,"P"))</f>
        <v/>
      </c>
      <c r="AL157" s="34" t="str">
        <f aca="false">IF($B157="","",COUNTIF($F157:$AJ157,"A"))</f>
        <v/>
      </c>
      <c r="AM157" s="34" t="str">
        <f aca="false">IF($B157="","",COUNTIF($F157:$AJ157,"HA"))</f>
        <v/>
      </c>
      <c r="AN157" s="34" t="str">
        <f aca="false">IF($B157="","",COUNTIF($F157:$AJ157,"L"))</f>
        <v/>
      </c>
      <c r="AO157" s="34" t="str">
        <f aca="false">IF($B157="","",COUNTIF($F157:$AJ157,"PL"))</f>
        <v/>
      </c>
      <c r="AP157" s="34" t="str">
        <f aca="false">IF($B157="","",COUNTIF($F157:$AJ157,"CL"))</f>
        <v/>
      </c>
      <c r="AQ157" s="34" t="str">
        <f aca="false">IF($B157="","",COUNTIF($F157:$AJ157,"SL"))</f>
        <v/>
      </c>
      <c r="AR157" s="34" t="str">
        <f aca="false">IF($B157="","",COUNTIF($F157:$AJ157,"CO"))</f>
        <v/>
      </c>
      <c r="AS157" s="34" t="str">
        <f aca="false">IF($B157="","",COUNTIF($F157:$AJ157,"HPL"))</f>
        <v/>
      </c>
      <c r="AT157" s="34" t="str">
        <f aca="false">IF($B157="","",COUNTIF($F157:$AJ157,"HCL"))</f>
        <v/>
      </c>
      <c r="AU157" s="34" t="str">
        <f aca="false">IF($B157="","",COUNTIF($F157:$AJ157,"WO"))</f>
        <v/>
      </c>
      <c r="AV157" s="34" t="str">
        <f aca="false">IF($B157="","",COUNTIF($F157:$AJ157,"PH"))</f>
        <v/>
      </c>
      <c r="AW157" s="34" t="str">
        <f aca="false">IF($B157="","",COUNTIF($F157:$AJ157,"TR"))</f>
        <v/>
      </c>
      <c r="AX157" s="35" t="str">
        <f aca="false">IF($B157="","",AO157+AS157/2)</f>
        <v/>
      </c>
      <c r="AY157" s="35" t="str">
        <f aca="false">IF($B157="","",AQ157)</f>
        <v/>
      </c>
      <c r="AZ157" s="35" t="str">
        <f aca="false">IF($B157="","",AP157+AT157/2)</f>
        <v/>
      </c>
      <c r="BA157" s="35" t="str">
        <f aca="false">IF($B157="","",AK157+AN157+AM157/2+AO157+AP157+AQ157+AR157+AS157+AT157+AU157+AV157+AW157)</f>
        <v/>
      </c>
      <c r="BB157" s="35" t="str">
        <f aca="false">IF($B157="","",MAX(0,AN157-Settings!$C$16)*Settings!$C$17)</f>
        <v/>
      </c>
      <c r="BC157" s="35" t="str">
        <f aca="false">IF($B157="","",BA157-BB157)</f>
        <v/>
      </c>
      <c r="BD157" s="35" t="str">
        <f aca="false">IF(OR($B157="",$A157=""),"",DAY(EOMONTH($A157,0))-COUNTA($F157:$AJ157))</f>
        <v/>
      </c>
    </row>
    <row r="158" customFormat="false" ht="15" hidden="false" customHeight="false" outlineLevel="0" collapsed="false">
      <c r="A158" s="32"/>
      <c r="B158" s="29"/>
      <c r="C158" s="10" t="str">
        <f aca="false">IF($B158="","",IFERROR(INDEX(M_name,MATCH($B158,M_emp,0)),"Code not found"))</f>
        <v/>
      </c>
      <c r="D158" s="10" t="str">
        <f aca="false">IF($B158="","",IFERROR(INDEX(M_dept,MATCH($B158,M_emp,0)),""))</f>
        <v/>
      </c>
      <c r="E158" s="10" t="str">
        <f aca="false">IF($B158="","",IFERROR(INDEX(M_loc,MATCH($B158,M_emp,0)),""))</f>
        <v/>
      </c>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4" t="str">
        <f aca="false">IF($B158="","",COUNTIF($F158:$AJ158,"P"))</f>
        <v/>
      </c>
      <c r="AL158" s="34" t="str">
        <f aca="false">IF($B158="","",COUNTIF($F158:$AJ158,"A"))</f>
        <v/>
      </c>
      <c r="AM158" s="34" t="str">
        <f aca="false">IF($B158="","",COUNTIF($F158:$AJ158,"HA"))</f>
        <v/>
      </c>
      <c r="AN158" s="34" t="str">
        <f aca="false">IF($B158="","",COUNTIF($F158:$AJ158,"L"))</f>
        <v/>
      </c>
      <c r="AO158" s="34" t="str">
        <f aca="false">IF($B158="","",COUNTIF($F158:$AJ158,"PL"))</f>
        <v/>
      </c>
      <c r="AP158" s="34" t="str">
        <f aca="false">IF($B158="","",COUNTIF($F158:$AJ158,"CL"))</f>
        <v/>
      </c>
      <c r="AQ158" s="34" t="str">
        <f aca="false">IF($B158="","",COUNTIF($F158:$AJ158,"SL"))</f>
        <v/>
      </c>
      <c r="AR158" s="34" t="str">
        <f aca="false">IF($B158="","",COUNTIF($F158:$AJ158,"CO"))</f>
        <v/>
      </c>
      <c r="AS158" s="34" t="str">
        <f aca="false">IF($B158="","",COUNTIF($F158:$AJ158,"HPL"))</f>
        <v/>
      </c>
      <c r="AT158" s="34" t="str">
        <f aca="false">IF($B158="","",COUNTIF($F158:$AJ158,"HCL"))</f>
        <v/>
      </c>
      <c r="AU158" s="34" t="str">
        <f aca="false">IF($B158="","",COUNTIF($F158:$AJ158,"WO"))</f>
        <v/>
      </c>
      <c r="AV158" s="34" t="str">
        <f aca="false">IF($B158="","",COUNTIF($F158:$AJ158,"PH"))</f>
        <v/>
      </c>
      <c r="AW158" s="34" t="str">
        <f aca="false">IF($B158="","",COUNTIF($F158:$AJ158,"TR"))</f>
        <v/>
      </c>
      <c r="AX158" s="35" t="str">
        <f aca="false">IF($B158="","",AO158+AS158/2)</f>
        <v/>
      </c>
      <c r="AY158" s="35" t="str">
        <f aca="false">IF($B158="","",AQ158)</f>
        <v/>
      </c>
      <c r="AZ158" s="35" t="str">
        <f aca="false">IF($B158="","",AP158+AT158/2)</f>
        <v/>
      </c>
      <c r="BA158" s="35" t="str">
        <f aca="false">IF($B158="","",AK158+AN158+AM158/2+AO158+AP158+AQ158+AR158+AS158+AT158+AU158+AV158+AW158)</f>
        <v/>
      </c>
      <c r="BB158" s="35" t="str">
        <f aca="false">IF($B158="","",MAX(0,AN158-Settings!$C$16)*Settings!$C$17)</f>
        <v/>
      </c>
      <c r="BC158" s="35" t="str">
        <f aca="false">IF($B158="","",BA158-BB158)</f>
        <v/>
      </c>
      <c r="BD158" s="35" t="str">
        <f aca="false">IF(OR($B158="",$A158=""),"",DAY(EOMONTH($A158,0))-COUNTA($F158:$AJ158))</f>
        <v/>
      </c>
    </row>
    <row r="159" customFormat="false" ht="15" hidden="false" customHeight="false" outlineLevel="0" collapsed="false">
      <c r="A159" s="32"/>
      <c r="B159" s="29"/>
      <c r="C159" s="10" t="str">
        <f aca="false">IF($B159="","",IFERROR(INDEX(M_name,MATCH($B159,M_emp,0)),"Code not found"))</f>
        <v/>
      </c>
      <c r="D159" s="10" t="str">
        <f aca="false">IF($B159="","",IFERROR(INDEX(M_dept,MATCH($B159,M_emp,0)),""))</f>
        <v/>
      </c>
      <c r="E159" s="10" t="str">
        <f aca="false">IF($B159="","",IFERROR(INDEX(M_loc,MATCH($B159,M_emp,0)),""))</f>
        <v/>
      </c>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4" t="str">
        <f aca="false">IF($B159="","",COUNTIF($F159:$AJ159,"P"))</f>
        <v/>
      </c>
      <c r="AL159" s="34" t="str">
        <f aca="false">IF($B159="","",COUNTIF($F159:$AJ159,"A"))</f>
        <v/>
      </c>
      <c r="AM159" s="34" t="str">
        <f aca="false">IF($B159="","",COUNTIF($F159:$AJ159,"HA"))</f>
        <v/>
      </c>
      <c r="AN159" s="34" t="str">
        <f aca="false">IF($B159="","",COUNTIF($F159:$AJ159,"L"))</f>
        <v/>
      </c>
      <c r="AO159" s="34" t="str">
        <f aca="false">IF($B159="","",COUNTIF($F159:$AJ159,"PL"))</f>
        <v/>
      </c>
      <c r="AP159" s="34" t="str">
        <f aca="false">IF($B159="","",COUNTIF($F159:$AJ159,"CL"))</f>
        <v/>
      </c>
      <c r="AQ159" s="34" t="str">
        <f aca="false">IF($B159="","",COUNTIF($F159:$AJ159,"SL"))</f>
        <v/>
      </c>
      <c r="AR159" s="34" t="str">
        <f aca="false">IF($B159="","",COUNTIF($F159:$AJ159,"CO"))</f>
        <v/>
      </c>
      <c r="AS159" s="34" t="str">
        <f aca="false">IF($B159="","",COUNTIF($F159:$AJ159,"HPL"))</f>
        <v/>
      </c>
      <c r="AT159" s="34" t="str">
        <f aca="false">IF($B159="","",COUNTIF($F159:$AJ159,"HCL"))</f>
        <v/>
      </c>
      <c r="AU159" s="34" t="str">
        <f aca="false">IF($B159="","",COUNTIF($F159:$AJ159,"WO"))</f>
        <v/>
      </c>
      <c r="AV159" s="34" t="str">
        <f aca="false">IF($B159="","",COUNTIF($F159:$AJ159,"PH"))</f>
        <v/>
      </c>
      <c r="AW159" s="34" t="str">
        <f aca="false">IF($B159="","",COUNTIF($F159:$AJ159,"TR"))</f>
        <v/>
      </c>
      <c r="AX159" s="35" t="str">
        <f aca="false">IF($B159="","",AO159+AS159/2)</f>
        <v/>
      </c>
      <c r="AY159" s="35" t="str">
        <f aca="false">IF($B159="","",AQ159)</f>
        <v/>
      </c>
      <c r="AZ159" s="35" t="str">
        <f aca="false">IF($B159="","",AP159+AT159/2)</f>
        <v/>
      </c>
      <c r="BA159" s="35" t="str">
        <f aca="false">IF($B159="","",AK159+AN159+AM159/2+AO159+AP159+AQ159+AR159+AS159+AT159+AU159+AV159+AW159)</f>
        <v/>
      </c>
      <c r="BB159" s="35" t="str">
        <f aca="false">IF($B159="","",MAX(0,AN159-Settings!$C$16)*Settings!$C$17)</f>
        <v/>
      </c>
      <c r="BC159" s="35" t="str">
        <f aca="false">IF($B159="","",BA159-BB159)</f>
        <v/>
      </c>
      <c r="BD159" s="35" t="str">
        <f aca="false">IF(OR($B159="",$A159=""),"",DAY(EOMONTH($A159,0))-COUNTA($F159:$AJ159))</f>
        <v/>
      </c>
    </row>
    <row r="160" customFormat="false" ht="15" hidden="false" customHeight="false" outlineLevel="0" collapsed="false">
      <c r="A160" s="32"/>
      <c r="B160" s="29"/>
      <c r="C160" s="10" t="str">
        <f aca="false">IF($B160="","",IFERROR(INDEX(M_name,MATCH($B160,M_emp,0)),"Code not found"))</f>
        <v/>
      </c>
      <c r="D160" s="10" t="str">
        <f aca="false">IF($B160="","",IFERROR(INDEX(M_dept,MATCH($B160,M_emp,0)),""))</f>
        <v/>
      </c>
      <c r="E160" s="10" t="str">
        <f aca="false">IF($B160="","",IFERROR(INDEX(M_loc,MATCH($B160,M_emp,0)),""))</f>
        <v/>
      </c>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4" t="str">
        <f aca="false">IF($B160="","",COUNTIF($F160:$AJ160,"P"))</f>
        <v/>
      </c>
      <c r="AL160" s="34" t="str">
        <f aca="false">IF($B160="","",COUNTIF($F160:$AJ160,"A"))</f>
        <v/>
      </c>
      <c r="AM160" s="34" t="str">
        <f aca="false">IF($B160="","",COUNTIF($F160:$AJ160,"HA"))</f>
        <v/>
      </c>
      <c r="AN160" s="34" t="str">
        <f aca="false">IF($B160="","",COUNTIF($F160:$AJ160,"L"))</f>
        <v/>
      </c>
      <c r="AO160" s="34" t="str">
        <f aca="false">IF($B160="","",COUNTIF($F160:$AJ160,"PL"))</f>
        <v/>
      </c>
      <c r="AP160" s="34" t="str">
        <f aca="false">IF($B160="","",COUNTIF($F160:$AJ160,"CL"))</f>
        <v/>
      </c>
      <c r="AQ160" s="34" t="str">
        <f aca="false">IF($B160="","",COUNTIF($F160:$AJ160,"SL"))</f>
        <v/>
      </c>
      <c r="AR160" s="34" t="str">
        <f aca="false">IF($B160="","",COUNTIF($F160:$AJ160,"CO"))</f>
        <v/>
      </c>
      <c r="AS160" s="34" t="str">
        <f aca="false">IF($B160="","",COUNTIF($F160:$AJ160,"HPL"))</f>
        <v/>
      </c>
      <c r="AT160" s="34" t="str">
        <f aca="false">IF($B160="","",COUNTIF($F160:$AJ160,"HCL"))</f>
        <v/>
      </c>
      <c r="AU160" s="34" t="str">
        <f aca="false">IF($B160="","",COUNTIF($F160:$AJ160,"WO"))</f>
        <v/>
      </c>
      <c r="AV160" s="34" t="str">
        <f aca="false">IF($B160="","",COUNTIF($F160:$AJ160,"PH"))</f>
        <v/>
      </c>
      <c r="AW160" s="34" t="str">
        <f aca="false">IF($B160="","",COUNTIF($F160:$AJ160,"TR"))</f>
        <v/>
      </c>
      <c r="AX160" s="35" t="str">
        <f aca="false">IF($B160="","",AO160+AS160/2)</f>
        <v/>
      </c>
      <c r="AY160" s="35" t="str">
        <f aca="false">IF($B160="","",AQ160)</f>
        <v/>
      </c>
      <c r="AZ160" s="35" t="str">
        <f aca="false">IF($B160="","",AP160+AT160/2)</f>
        <v/>
      </c>
      <c r="BA160" s="35" t="str">
        <f aca="false">IF($B160="","",AK160+AN160+AM160/2+AO160+AP160+AQ160+AR160+AS160+AT160+AU160+AV160+AW160)</f>
        <v/>
      </c>
      <c r="BB160" s="35" t="str">
        <f aca="false">IF($B160="","",MAX(0,AN160-Settings!$C$16)*Settings!$C$17)</f>
        <v/>
      </c>
      <c r="BC160" s="35" t="str">
        <f aca="false">IF($B160="","",BA160-BB160)</f>
        <v/>
      </c>
      <c r="BD160" s="35" t="str">
        <f aca="false">IF(OR($B160="",$A160=""),"",DAY(EOMONTH($A160,0))-COUNTA($F160:$AJ160))</f>
        <v/>
      </c>
    </row>
    <row r="161" customFormat="false" ht="15" hidden="false" customHeight="false" outlineLevel="0" collapsed="false">
      <c r="A161" s="32"/>
      <c r="B161" s="29"/>
      <c r="C161" s="10" t="str">
        <f aca="false">IF($B161="","",IFERROR(INDEX(M_name,MATCH($B161,M_emp,0)),"Code not found"))</f>
        <v/>
      </c>
      <c r="D161" s="10" t="str">
        <f aca="false">IF($B161="","",IFERROR(INDEX(M_dept,MATCH($B161,M_emp,0)),""))</f>
        <v/>
      </c>
      <c r="E161" s="10" t="str">
        <f aca="false">IF($B161="","",IFERROR(INDEX(M_loc,MATCH($B161,M_emp,0)),""))</f>
        <v/>
      </c>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4" t="str">
        <f aca="false">IF($B161="","",COUNTIF($F161:$AJ161,"P"))</f>
        <v/>
      </c>
      <c r="AL161" s="34" t="str">
        <f aca="false">IF($B161="","",COUNTIF($F161:$AJ161,"A"))</f>
        <v/>
      </c>
      <c r="AM161" s="34" t="str">
        <f aca="false">IF($B161="","",COUNTIF($F161:$AJ161,"HA"))</f>
        <v/>
      </c>
      <c r="AN161" s="34" t="str">
        <f aca="false">IF($B161="","",COUNTIF($F161:$AJ161,"L"))</f>
        <v/>
      </c>
      <c r="AO161" s="34" t="str">
        <f aca="false">IF($B161="","",COUNTIF($F161:$AJ161,"PL"))</f>
        <v/>
      </c>
      <c r="AP161" s="34" t="str">
        <f aca="false">IF($B161="","",COUNTIF($F161:$AJ161,"CL"))</f>
        <v/>
      </c>
      <c r="AQ161" s="34" t="str">
        <f aca="false">IF($B161="","",COUNTIF($F161:$AJ161,"SL"))</f>
        <v/>
      </c>
      <c r="AR161" s="34" t="str">
        <f aca="false">IF($B161="","",COUNTIF($F161:$AJ161,"CO"))</f>
        <v/>
      </c>
      <c r="AS161" s="34" t="str">
        <f aca="false">IF($B161="","",COUNTIF($F161:$AJ161,"HPL"))</f>
        <v/>
      </c>
      <c r="AT161" s="34" t="str">
        <f aca="false">IF($B161="","",COUNTIF($F161:$AJ161,"HCL"))</f>
        <v/>
      </c>
      <c r="AU161" s="34" t="str">
        <f aca="false">IF($B161="","",COUNTIF($F161:$AJ161,"WO"))</f>
        <v/>
      </c>
      <c r="AV161" s="34" t="str">
        <f aca="false">IF($B161="","",COUNTIF($F161:$AJ161,"PH"))</f>
        <v/>
      </c>
      <c r="AW161" s="34" t="str">
        <f aca="false">IF($B161="","",COUNTIF($F161:$AJ161,"TR"))</f>
        <v/>
      </c>
      <c r="AX161" s="35" t="str">
        <f aca="false">IF($B161="","",AO161+AS161/2)</f>
        <v/>
      </c>
      <c r="AY161" s="35" t="str">
        <f aca="false">IF($B161="","",AQ161)</f>
        <v/>
      </c>
      <c r="AZ161" s="35" t="str">
        <f aca="false">IF($B161="","",AP161+AT161/2)</f>
        <v/>
      </c>
      <c r="BA161" s="35" t="str">
        <f aca="false">IF($B161="","",AK161+AN161+AM161/2+AO161+AP161+AQ161+AR161+AS161+AT161+AU161+AV161+AW161)</f>
        <v/>
      </c>
      <c r="BB161" s="35" t="str">
        <f aca="false">IF($B161="","",MAX(0,AN161-Settings!$C$16)*Settings!$C$17)</f>
        <v/>
      </c>
      <c r="BC161" s="35" t="str">
        <f aca="false">IF($B161="","",BA161-BB161)</f>
        <v/>
      </c>
      <c r="BD161" s="35" t="str">
        <f aca="false">IF(OR($B161="",$A161=""),"",DAY(EOMONTH($A161,0))-COUNTA($F161:$AJ161))</f>
        <v/>
      </c>
    </row>
    <row r="162" customFormat="false" ht="15" hidden="false" customHeight="false" outlineLevel="0" collapsed="false">
      <c r="A162" s="32"/>
      <c r="B162" s="29"/>
      <c r="C162" s="10" t="str">
        <f aca="false">IF($B162="","",IFERROR(INDEX(M_name,MATCH($B162,M_emp,0)),"Code not found"))</f>
        <v/>
      </c>
      <c r="D162" s="10" t="str">
        <f aca="false">IF($B162="","",IFERROR(INDEX(M_dept,MATCH($B162,M_emp,0)),""))</f>
        <v/>
      </c>
      <c r="E162" s="10" t="str">
        <f aca="false">IF($B162="","",IFERROR(INDEX(M_loc,MATCH($B162,M_emp,0)),""))</f>
        <v/>
      </c>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4" t="str">
        <f aca="false">IF($B162="","",COUNTIF($F162:$AJ162,"P"))</f>
        <v/>
      </c>
      <c r="AL162" s="34" t="str">
        <f aca="false">IF($B162="","",COUNTIF($F162:$AJ162,"A"))</f>
        <v/>
      </c>
      <c r="AM162" s="34" t="str">
        <f aca="false">IF($B162="","",COUNTIF($F162:$AJ162,"HA"))</f>
        <v/>
      </c>
      <c r="AN162" s="34" t="str">
        <f aca="false">IF($B162="","",COUNTIF($F162:$AJ162,"L"))</f>
        <v/>
      </c>
      <c r="AO162" s="34" t="str">
        <f aca="false">IF($B162="","",COUNTIF($F162:$AJ162,"PL"))</f>
        <v/>
      </c>
      <c r="AP162" s="34" t="str">
        <f aca="false">IF($B162="","",COUNTIF($F162:$AJ162,"CL"))</f>
        <v/>
      </c>
      <c r="AQ162" s="34" t="str">
        <f aca="false">IF($B162="","",COUNTIF($F162:$AJ162,"SL"))</f>
        <v/>
      </c>
      <c r="AR162" s="34" t="str">
        <f aca="false">IF($B162="","",COUNTIF($F162:$AJ162,"CO"))</f>
        <v/>
      </c>
      <c r="AS162" s="34" t="str">
        <f aca="false">IF($B162="","",COUNTIF($F162:$AJ162,"HPL"))</f>
        <v/>
      </c>
      <c r="AT162" s="34" t="str">
        <f aca="false">IF($B162="","",COUNTIF($F162:$AJ162,"HCL"))</f>
        <v/>
      </c>
      <c r="AU162" s="34" t="str">
        <f aca="false">IF($B162="","",COUNTIF($F162:$AJ162,"WO"))</f>
        <v/>
      </c>
      <c r="AV162" s="34" t="str">
        <f aca="false">IF($B162="","",COUNTIF($F162:$AJ162,"PH"))</f>
        <v/>
      </c>
      <c r="AW162" s="34" t="str">
        <f aca="false">IF($B162="","",COUNTIF($F162:$AJ162,"TR"))</f>
        <v/>
      </c>
      <c r="AX162" s="35" t="str">
        <f aca="false">IF($B162="","",AO162+AS162/2)</f>
        <v/>
      </c>
      <c r="AY162" s="35" t="str">
        <f aca="false">IF($B162="","",AQ162)</f>
        <v/>
      </c>
      <c r="AZ162" s="35" t="str">
        <f aca="false">IF($B162="","",AP162+AT162/2)</f>
        <v/>
      </c>
      <c r="BA162" s="35" t="str">
        <f aca="false">IF($B162="","",AK162+AN162+AM162/2+AO162+AP162+AQ162+AR162+AS162+AT162+AU162+AV162+AW162)</f>
        <v/>
      </c>
      <c r="BB162" s="35" t="str">
        <f aca="false">IF($B162="","",MAX(0,AN162-Settings!$C$16)*Settings!$C$17)</f>
        <v/>
      </c>
      <c r="BC162" s="35" t="str">
        <f aca="false">IF($B162="","",BA162-BB162)</f>
        <v/>
      </c>
      <c r="BD162" s="35" t="str">
        <f aca="false">IF(OR($B162="",$A162=""),"",DAY(EOMONTH($A162,0))-COUNTA($F162:$AJ162))</f>
        <v/>
      </c>
    </row>
    <row r="163" customFormat="false" ht="15" hidden="false" customHeight="false" outlineLevel="0" collapsed="false">
      <c r="A163" s="32"/>
      <c r="B163" s="29"/>
      <c r="C163" s="10" t="str">
        <f aca="false">IF($B163="","",IFERROR(INDEX(M_name,MATCH($B163,M_emp,0)),"Code not found"))</f>
        <v/>
      </c>
      <c r="D163" s="10" t="str">
        <f aca="false">IF($B163="","",IFERROR(INDEX(M_dept,MATCH($B163,M_emp,0)),""))</f>
        <v/>
      </c>
      <c r="E163" s="10" t="str">
        <f aca="false">IF($B163="","",IFERROR(INDEX(M_loc,MATCH($B163,M_emp,0)),""))</f>
        <v/>
      </c>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4" t="str">
        <f aca="false">IF($B163="","",COUNTIF($F163:$AJ163,"P"))</f>
        <v/>
      </c>
      <c r="AL163" s="34" t="str">
        <f aca="false">IF($B163="","",COUNTIF($F163:$AJ163,"A"))</f>
        <v/>
      </c>
      <c r="AM163" s="34" t="str">
        <f aca="false">IF($B163="","",COUNTIF($F163:$AJ163,"HA"))</f>
        <v/>
      </c>
      <c r="AN163" s="34" t="str">
        <f aca="false">IF($B163="","",COUNTIF($F163:$AJ163,"L"))</f>
        <v/>
      </c>
      <c r="AO163" s="34" t="str">
        <f aca="false">IF($B163="","",COUNTIF($F163:$AJ163,"PL"))</f>
        <v/>
      </c>
      <c r="AP163" s="34" t="str">
        <f aca="false">IF($B163="","",COUNTIF($F163:$AJ163,"CL"))</f>
        <v/>
      </c>
      <c r="AQ163" s="34" t="str">
        <f aca="false">IF($B163="","",COUNTIF($F163:$AJ163,"SL"))</f>
        <v/>
      </c>
      <c r="AR163" s="34" t="str">
        <f aca="false">IF($B163="","",COUNTIF($F163:$AJ163,"CO"))</f>
        <v/>
      </c>
      <c r="AS163" s="34" t="str">
        <f aca="false">IF($B163="","",COUNTIF($F163:$AJ163,"HPL"))</f>
        <v/>
      </c>
      <c r="AT163" s="34" t="str">
        <f aca="false">IF($B163="","",COUNTIF($F163:$AJ163,"HCL"))</f>
        <v/>
      </c>
      <c r="AU163" s="34" t="str">
        <f aca="false">IF($B163="","",COUNTIF($F163:$AJ163,"WO"))</f>
        <v/>
      </c>
      <c r="AV163" s="34" t="str">
        <f aca="false">IF($B163="","",COUNTIF($F163:$AJ163,"PH"))</f>
        <v/>
      </c>
      <c r="AW163" s="34" t="str">
        <f aca="false">IF($B163="","",COUNTIF($F163:$AJ163,"TR"))</f>
        <v/>
      </c>
      <c r="AX163" s="35" t="str">
        <f aca="false">IF($B163="","",AO163+AS163/2)</f>
        <v/>
      </c>
      <c r="AY163" s="35" t="str">
        <f aca="false">IF($B163="","",AQ163)</f>
        <v/>
      </c>
      <c r="AZ163" s="35" t="str">
        <f aca="false">IF($B163="","",AP163+AT163/2)</f>
        <v/>
      </c>
      <c r="BA163" s="35" t="str">
        <f aca="false">IF($B163="","",AK163+AN163+AM163/2+AO163+AP163+AQ163+AR163+AS163+AT163+AU163+AV163+AW163)</f>
        <v/>
      </c>
      <c r="BB163" s="35" t="str">
        <f aca="false">IF($B163="","",MAX(0,AN163-Settings!$C$16)*Settings!$C$17)</f>
        <v/>
      </c>
      <c r="BC163" s="35" t="str">
        <f aca="false">IF($B163="","",BA163-BB163)</f>
        <v/>
      </c>
      <c r="BD163" s="35" t="str">
        <f aca="false">IF(OR($B163="",$A163=""),"",DAY(EOMONTH($A163,0))-COUNTA($F163:$AJ163))</f>
        <v/>
      </c>
    </row>
    <row r="164" customFormat="false" ht="15" hidden="false" customHeight="false" outlineLevel="0" collapsed="false">
      <c r="A164" s="32"/>
      <c r="B164" s="29"/>
      <c r="C164" s="10" t="str">
        <f aca="false">IF($B164="","",IFERROR(INDEX(M_name,MATCH($B164,M_emp,0)),"Code not found"))</f>
        <v/>
      </c>
      <c r="D164" s="10" t="str">
        <f aca="false">IF($B164="","",IFERROR(INDEX(M_dept,MATCH($B164,M_emp,0)),""))</f>
        <v/>
      </c>
      <c r="E164" s="10" t="str">
        <f aca="false">IF($B164="","",IFERROR(INDEX(M_loc,MATCH($B164,M_emp,0)),""))</f>
        <v/>
      </c>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4" t="str">
        <f aca="false">IF($B164="","",COUNTIF($F164:$AJ164,"P"))</f>
        <v/>
      </c>
      <c r="AL164" s="34" t="str">
        <f aca="false">IF($B164="","",COUNTIF($F164:$AJ164,"A"))</f>
        <v/>
      </c>
      <c r="AM164" s="34" t="str">
        <f aca="false">IF($B164="","",COUNTIF($F164:$AJ164,"HA"))</f>
        <v/>
      </c>
      <c r="AN164" s="34" t="str">
        <f aca="false">IF($B164="","",COUNTIF($F164:$AJ164,"L"))</f>
        <v/>
      </c>
      <c r="AO164" s="34" t="str">
        <f aca="false">IF($B164="","",COUNTIF($F164:$AJ164,"PL"))</f>
        <v/>
      </c>
      <c r="AP164" s="34" t="str">
        <f aca="false">IF($B164="","",COUNTIF($F164:$AJ164,"CL"))</f>
        <v/>
      </c>
      <c r="AQ164" s="34" t="str">
        <f aca="false">IF($B164="","",COUNTIF($F164:$AJ164,"SL"))</f>
        <v/>
      </c>
      <c r="AR164" s="34" t="str">
        <f aca="false">IF($B164="","",COUNTIF($F164:$AJ164,"CO"))</f>
        <v/>
      </c>
      <c r="AS164" s="34" t="str">
        <f aca="false">IF($B164="","",COUNTIF($F164:$AJ164,"HPL"))</f>
        <v/>
      </c>
      <c r="AT164" s="34" t="str">
        <f aca="false">IF($B164="","",COUNTIF($F164:$AJ164,"HCL"))</f>
        <v/>
      </c>
      <c r="AU164" s="34" t="str">
        <f aca="false">IF($B164="","",COUNTIF($F164:$AJ164,"WO"))</f>
        <v/>
      </c>
      <c r="AV164" s="34" t="str">
        <f aca="false">IF($B164="","",COUNTIF($F164:$AJ164,"PH"))</f>
        <v/>
      </c>
      <c r="AW164" s="34" t="str">
        <f aca="false">IF($B164="","",COUNTIF($F164:$AJ164,"TR"))</f>
        <v/>
      </c>
      <c r="AX164" s="35" t="str">
        <f aca="false">IF($B164="","",AO164+AS164/2)</f>
        <v/>
      </c>
      <c r="AY164" s="35" t="str">
        <f aca="false">IF($B164="","",AQ164)</f>
        <v/>
      </c>
      <c r="AZ164" s="35" t="str">
        <f aca="false">IF($B164="","",AP164+AT164/2)</f>
        <v/>
      </c>
      <c r="BA164" s="35" t="str">
        <f aca="false">IF($B164="","",AK164+AN164+AM164/2+AO164+AP164+AQ164+AR164+AS164+AT164+AU164+AV164+AW164)</f>
        <v/>
      </c>
      <c r="BB164" s="35" t="str">
        <f aca="false">IF($B164="","",MAX(0,AN164-Settings!$C$16)*Settings!$C$17)</f>
        <v/>
      </c>
      <c r="BC164" s="35" t="str">
        <f aca="false">IF($B164="","",BA164-BB164)</f>
        <v/>
      </c>
      <c r="BD164" s="35" t="str">
        <f aca="false">IF(OR($B164="",$A164=""),"",DAY(EOMONTH($A164,0))-COUNTA($F164:$AJ164))</f>
        <v/>
      </c>
    </row>
    <row r="165" customFormat="false" ht="15" hidden="false" customHeight="false" outlineLevel="0" collapsed="false">
      <c r="A165" s="32"/>
      <c r="B165" s="29"/>
      <c r="C165" s="10" t="str">
        <f aca="false">IF($B165="","",IFERROR(INDEX(M_name,MATCH($B165,M_emp,0)),"Code not found"))</f>
        <v/>
      </c>
      <c r="D165" s="10" t="str">
        <f aca="false">IF($B165="","",IFERROR(INDEX(M_dept,MATCH($B165,M_emp,0)),""))</f>
        <v/>
      </c>
      <c r="E165" s="10" t="str">
        <f aca="false">IF($B165="","",IFERROR(INDEX(M_loc,MATCH($B165,M_emp,0)),""))</f>
        <v/>
      </c>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4" t="str">
        <f aca="false">IF($B165="","",COUNTIF($F165:$AJ165,"P"))</f>
        <v/>
      </c>
      <c r="AL165" s="34" t="str">
        <f aca="false">IF($B165="","",COUNTIF($F165:$AJ165,"A"))</f>
        <v/>
      </c>
      <c r="AM165" s="34" t="str">
        <f aca="false">IF($B165="","",COUNTIF($F165:$AJ165,"HA"))</f>
        <v/>
      </c>
      <c r="AN165" s="34" t="str">
        <f aca="false">IF($B165="","",COUNTIF($F165:$AJ165,"L"))</f>
        <v/>
      </c>
      <c r="AO165" s="34" t="str">
        <f aca="false">IF($B165="","",COUNTIF($F165:$AJ165,"PL"))</f>
        <v/>
      </c>
      <c r="AP165" s="34" t="str">
        <f aca="false">IF($B165="","",COUNTIF($F165:$AJ165,"CL"))</f>
        <v/>
      </c>
      <c r="AQ165" s="34" t="str">
        <f aca="false">IF($B165="","",COUNTIF($F165:$AJ165,"SL"))</f>
        <v/>
      </c>
      <c r="AR165" s="34" t="str">
        <f aca="false">IF($B165="","",COUNTIF($F165:$AJ165,"CO"))</f>
        <v/>
      </c>
      <c r="AS165" s="34" t="str">
        <f aca="false">IF($B165="","",COUNTIF($F165:$AJ165,"HPL"))</f>
        <v/>
      </c>
      <c r="AT165" s="34" t="str">
        <f aca="false">IF($B165="","",COUNTIF($F165:$AJ165,"HCL"))</f>
        <v/>
      </c>
      <c r="AU165" s="34" t="str">
        <f aca="false">IF($B165="","",COUNTIF($F165:$AJ165,"WO"))</f>
        <v/>
      </c>
      <c r="AV165" s="34" t="str">
        <f aca="false">IF($B165="","",COUNTIF($F165:$AJ165,"PH"))</f>
        <v/>
      </c>
      <c r="AW165" s="34" t="str">
        <f aca="false">IF($B165="","",COUNTIF($F165:$AJ165,"TR"))</f>
        <v/>
      </c>
      <c r="AX165" s="35" t="str">
        <f aca="false">IF($B165="","",AO165+AS165/2)</f>
        <v/>
      </c>
      <c r="AY165" s="35" t="str">
        <f aca="false">IF($B165="","",AQ165)</f>
        <v/>
      </c>
      <c r="AZ165" s="35" t="str">
        <f aca="false">IF($B165="","",AP165+AT165/2)</f>
        <v/>
      </c>
      <c r="BA165" s="35" t="str">
        <f aca="false">IF($B165="","",AK165+AN165+AM165/2+AO165+AP165+AQ165+AR165+AS165+AT165+AU165+AV165+AW165)</f>
        <v/>
      </c>
      <c r="BB165" s="35" t="str">
        <f aca="false">IF($B165="","",MAX(0,AN165-Settings!$C$16)*Settings!$C$17)</f>
        <v/>
      </c>
      <c r="BC165" s="35" t="str">
        <f aca="false">IF($B165="","",BA165-BB165)</f>
        <v/>
      </c>
      <c r="BD165" s="35" t="str">
        <f aca="false">IF(OR($B165="",$A165=""),"",DAY(EOMONTH($A165,0))-COUNTA($F165:$AJ165))</f>
        <v/>
      </c>
    </row>
    <row r="166" customFormat="false" ht="15" hidden="false" customHeight="false" outlineLevel="0" collapsed="false">
      <c r="A166" s="32"/>
      <c r="B166" s="29"/>
      <c r="C166" s="10" t="str">
        <f aca="false">IF($B166="","",IFERROR(INDEX(M_name,MATCH($B166,M_emp,0)),"Code not found"))</f>
        <v/>
      </c>
      <c r="D166" s="10" t="str">
        <f aca="false">IF($B166="","",IFERROR(INDEX(M_dept,MATCH($B166,M_emp,0)),""))</f>
        <v/>
      </c>
      <c r="E166" s="10" t="str">
        <f aca="false">IF($B166="","",IFERROR(INDEX(M_loc,MATCH($B166,M_emp,0)),""))</f>
        <v/>
      </c>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4" t="str">
        <f aca="false">IF($B166="","",COUNTIF($F166:$AJ166,"P"))</f>
        <v/>
      </c>
      <c r="AL166" s="34" t="str">
        <f aca="false">IF($B166="","",COUNTIF($F166:$AJ166,"A"))</f>
        <v/>
      </c>
      <c r="AM166" s="34" t="str">
        <f aca="false">IF($B166="","",COUNTIF($F166:$AJ166,"HA"))</f>
        <v/>
      </c>
      <c r="AN166" s="34" t="str">
        <f aca="false">IF($B166="","",COUNTIF($F166:$AJ166,"L"))</f>
        <v/>
      </c>
      <c r="AO166" s="34" t="str">
        <f aca="false">IF($B166="","",COUNTIF($F166:$AJ166,"PL"))</f>
        <v/>
      </c>
      <c r="AP166" s="34" t="str">
        <f aca="false">IF($B166="","",COUNTIF($F166:$AJ166,"CL"))</f>
        <v/>
      </c>
      <c r="AQ166" s="34" t="str">
        <f aca="false">IF($B166="","",COUNTIF($F166:$AJ166,"SL"))</f>
        <v/>
      </c>
      <c r="AR166" s="34" t="str">
        <f aca="false">IF($B166="","",COUNTIF($F166:$AJ166,"CO"))</f>
        <v/>
      </c>
      <c r="AS166" s="34" t="str">
        <f aca="false">IF($B166="","",COUNTIF($F166:$AJ166,"HPL"))</f>
        <v/>
      </c>
      <c r="AT166" s="34" t="str">
        <f aca="false">IF($B166="","",COUNTIF($F166:$AJ166,"HCL"))</f>
        <v/>
      </c>
      <c r="AU166" s="34" t="str">
        <f aca="false">IF($B166="","",COUNTIF($F166:$AJ166,"WO"))</f>
        <v/>
      </c>
      <c r="AV166" s="34" t="str">
        <f aca="false">IF($B166="","",COUNTIF($F166:$AJ166,"PH"))</f>
        <v/>
      </c>
      <c r="AW166" s="34" t="str">
        <f aca="false">IF($B166="","",COUNTIF($F166:$AJ166,"TR"))</f>
        <v/>
      </c>
      <c r="AX166" s="35" t="str">
        <f aca="false">IF($B166="","",AO166+AS166/2)</f>
        <v/>
      </c>
      <c r="AY166" s="35" t="str">
        <f aca="false">IF($B166="","",AQ166)</f>
        <v/>
      </c>
      <c r="AZ166" s="35" t="str">
        <f aca="false">IF($B166="","",AP166+AT166/2)</f>
        <v/>
      </c>
      <c r="BA166" s="35" t="str">
        <f aca="false">IF($B166="","",AK166+AN166+AM166/2+AO166+AP166+AQ166+AR166+AS166+AT166+AU166+AV166+AW166)</f>
        <v/>
      </c>
      <c r="BB166" s="35" t="str">
        <f aca="false">IF($B166="","",MAX(0,AN166-Settings!$C$16)*Settings!$C$17)</f>
        <v/>
      </c>
      <c r="BC166" s="35" t="str">
        <f aca="false">IF($B166="","",BA166-BB166)</f>
        <v/>
      </c>
      <c r="BD166" s="35" t="str">
        <f aca="false">IF(OR($B166="",$A166=""),"",DAY(EOMONTH($A166,0))-COUNTA($F166:$AJ166))</f>
        <v/>
      </c>
    </row>
    <row r="167" customFormat="false" ht="15" hidden="false" customHeight="false" outlineLevel="0" collapsed="false">
      <c r="A167" s="32"/>
      <c r="B167" s="29"/>
      <c r="C167" s="10" t="str">
        <f aca="false">IF($B167="","",IFERROR(INDEX(M_name,MATCH($B167,M_emp,0)),"Code not found"))</f>
        <v/>
      </c>
      <c r="D167" s="10" t="str">
        <f aca="false">IF($B167="","",IFERROR(INDEX(M_dept,MATCH($B167,M_emp,0)),""))</f>
        <v/>
      </c>
      <c r="E167" s="10" t="str">
        <f aca="false">IF($B167="","",IFERROR(INDEX(M_loc,MATCH($B167,M_emp,0)),""))</f>
        <v/>
      </c>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4" t="str">
        <f aca="false">IF($B167="","",COUNTIF($F167:$AJ167,"P"))</f>
        <v/>
      </c>
      <c r="AL167" s="34" t="str">
        <f aca="false">IF($B167="","",COUNTIF($F167:$AJ167,"A"))</f>
        <v/>
      </c>
      <c r="AM167" s="34" t="str">
        <f aca="false">IF($B167="","",COUNTIF($F167:$AJ167,"HA"))</f>
        <v/>
      </c>
      <c r="AN167" s="34" t="str">
        <f aca="false">IF($B167="","",COUNTIF($F167:$AJ167,"L"))</f>
        <v/>
      </c>
      <c r="AO167" s="34" t="str">
        <f aca="false">IF($B167="","",COUNTIF($F167:$AJ167,"PL"))</f>
        <v/>
      </c>
      <c r="AP167" s="34" t="str">
        <f aca="false">IF($B167="","",COUNTIF($F167:$AJ167,"CL"))</f>
        <v/>
      </c>
      <c r="AQ167" s="34" t="str">
        <f aca="false">IF($B167="","",COUNTIF($F167:$AJ167,"SL"))</f>
        <v/>
      </c>
      <c r="AR167" s="34" t="str">
        <f aca="false">IF($B167="","",COUNTIF($F167:$AJ167,"CO"))</f>
        <v/>
      </c>
      <c r="AS167" s="34" t="str">
        <f aca="false">IF($B167="","",COUNTIF($F167:$AJ167,"HPL"))</f>
        <v/>
      </c>
      <c r="AT167" s="34" t="str">
        <f aca="false">IF($B167="","",COUNTIF($F167:$AJ167,"HCL"))</f>
        <v/>
      </c>
      <c r="AU167" s="34" t="str">
        <f aca="false">IF($B167="","",COUNTIF($F167:$AJ167,"WO"))</f>
        <v/>
      </c>
      <c r="AV167" s="34" t="str">
        <f aca="false">IF($B167="","",COUNTIF($F167:$AJ167,"PH"))</f>
        <v/>
      </c>
      <c r="AW167" s="34" t="str">
        <f aca="false">IF($B167="","",COUNTIF($F167:$AJ167,"TR"))</f>
        <v/>
      </c>
      <c r="AX167" s="35" t="str">
        <f aca="false">IF($B167="","",AO167+AS167/2)</f>
        <v/>
      </c>
      <c r="AY167" s="35" t="str">
        <f aca="false">IF($B167="","",AQ167)</f>
        <v/>
      </c>
      <c r="AZ167" s="35" t="str">
        <f aca="false">IF($B167="","",AP167+AT167/2)</f>
        <v/>
      </c>
      <c r="BA167" s="35" t="str">
        <f aca="false">IF($B167="","",AK167+AN167+AM167/2+AO167+AP167+AQ167+AR167+AS167+AT167+AU167+AV167+AW167)</f>
        <v/>
      </c>
      <c r="BB167" s="35" t="str">
        <f aca="false">IF($B167="","",MAX(0,AN167-Settings!$C$16)*Settings!$C$17)</f>
        <v/>
      </c>
      <c r="BC167" s="35" t="str">
        <f aca="false">IF($B167="","",BA167-BB167)</f>
        <v/>
      </c>
      <c r="BD167" s="35" t="str">
        <f aca="false">IF(OR($B167="",$A167=""),"",DAY(EOMONTH($A167,0))-COUNTA($F167:$AJ167))</f>
        <v/>
      </c>
    </row>
    <row r="168" customFormat="false" ht="15" hidden="false" customHeight="false" outlineLevel="0" collapsed="false">
      <c r="A168" s="32"/>
      <c r="B168" s="29"/>
      <c r="C168" s="10" t="str">
        <f aca="false">IF($B168="","",IFERROR(INDEX(M_name,MATCH($B168,M_emp,0)),"Code not found"))</f>
        <v/>
      </c>
      <c r="D168" s="10" t="str">
        <f aca="false">IF($B168="","",IFERROR(INDEX(M_dept,MATCH($B168,M_emp,0)),""))</f>
        <v/>
      </c>
      <c r="E168" s="10" t="str">
        <f aca="false">IF($B168="","",IFERROR(INDEX(M_loc,MATCH($B168,M_emp,0)),""))</f>
        <v/>
      </c>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4" t="str">
        <f aca="false">IF($B168="","",COUNTIF($F168:$AJ168,"P"))</f>
        <v/>
      </c>
      <c r="AL168" s="34" t="str">
        <f aca="false">IF($B168="","",COUNTIF($F168:$AJ168,"A"))</f>
        <v/>
      </c>
      <c r="AM168" s="34" t="str">
        <f aca="false">IF($B168="","",COUNTIF($F168:$AJ168,"HA"))</f>
        <v/>
      </c>
      <c r="AN168" s="34" t="str">
        <f aca="false">IF($B168="","",COUNTIF($F168:$AJ168,"L"))</f>
        <v/>
      </c>
      <c r="AO168" s="34" t="str">
        <f aca="false">IF($B168="","",COUNTIF($F168:$AJ168,"PL"))</f>
        <v/>
      </c>
      <c r="AP168" s="34" t="str">
        <f aca="false">IF($B168="","",COUNTIF($F168:$AJ168,"CL"))</f>
        <v/>
      </c>
      <c r="AQ168" s="34" t="str">
        <f aca="false">IF($B168="","",COUNTIF($F168:$AJ168,"SL"))</f>
        <v/>
      </c>
      <c r="AR168" s="34" t="str">
        <f aca="false">IF($B168="","",COUNTIF($F168:$AJ168,"CO"))</f>
        <v/>
      </c>
      <c r="AS168" s="34" t="str">
        <f aca="false">IF($B168="","",COUNTIF($F168:$AJ168,"HPL"))</f>
        <v/>
      </c>
      <c r="AT168" s="34" t="str">
        <f aca="false">IF($B168="","",COUNTIF($F168:$AJ168,"HCL"))</f>
        <v/>
      </c>
      <c r="AU168" s="34" t="str">
        <f aca="false">IF($B168="","",COUNTIF($F168:$AJ168,"WO"))</f>
        <v/>
      </c>
      <c r="AV168" s="34" t="str">
        <f aca="false">IF($B168="","",COUNTIF($F168:$AJ168,"PH"))</f>
        <v/>
      </c>
      <c r="AW168" s="34" t="str">
        <f aca="false">IF($B168="","",COUNTIF($F168:$AJ168,"TR"))</f>
        <v/>
      </c>
      <c r="AX168" s="35" t="str">
        <f aca="false">IF($B168="","",AO168+AS168/2)</f>
        <v/>
      </c>
      <c r="AY168" s="35" t="str">
        <f aca="false">IF($B168="","",AQ168)</f>
        <v/>
      </c>
      <c r="AZ168" s="35" t="str">
        <f aca="false">IF($B168="","",AP168+AT168/2)</f>
        <v/>
      </c>
      <c r="BA168" s="35" t="str">
        <f aca="false">IF($B168="","",AK168+AN168+AM168/2+AO168+AP168+AQ168+AR168+AS168+AT168+AU168+AV168+AW168)</f>
        <v/>
      </c>
      <c r="BB168" s="35" t="str">
        <f aca="false">IF($B168="","",MAX(0,AN168-Settings!$C$16)*Settings!$C$17)</f>
        <v/>
      </c>
      <c r="BC168" s="35" t="str">
        <f aca="false">IF($B168="","",BA168-BB168)</f>
        <v/>
      </c>
      <c r="BD168" s="35" t="str">
        <f aca="false">IF(OR($B168="",$A168=""),"",DAY(EOMONTH($A168,0))-COUNTA($F168:$AJ168))</f>
        <v/>
      </c>
    </row>
    <row r="169" customFormat="false" ht="15" hidden="false" customHeight="false" outlineLevel="0" collapsed="false">
      <c r="A169" s="32"/>
      <c r="B169" s="29"/>
      <c r="C169" s="10" t="str">
        <f aca="false">IF($B169="","",IFERROR(INDEX(M_name,MATCH($B169,M_emp,0)),"Code not found"))</f>
        <v/>
      </c>
      <c r="D169" s="10" t="str">
        <f aca="false">IF($B169="","",IFERROR(INDEX(M_dept,MATCH($B169,M_emp,0)),""))</f>
        <v/>
      </c>
      <c r="E169" s="10" t="str">
        <f aca="false">IF($B169="","",IFERROR(INDEX(M_loc,MATCH($B169,M_emp,0)),""))</f>
        <v/>
      </c>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4" t="str">
        <f aca="false">IF($B169="","",COUNTIF($F169:$AJ169,"P"))</f>
        <v/>
      </c>
      <c r="AL169" s="34" t="str">
        <f aca="false">IF($B169="","",COUNTIF($F169:$AJ169,"A"))</f>
        <v/>
      </c>
      <c r="AM169" s="34" t="str">
        <f aca="false">IF($B169="","",COUNTIF($F169:$AJ169,"HA"))</f>
        <v/>
      </c>
      <c r="AN169" s="34" t="str">
        <f aca="false">IF($B169="","",COUNTIF($F169:$AJ169,"L"))</f>
        <v/>
      </c>
      <c r="AO169" s="34" t="str">
        <f aca="false">IF($B169="","",COUNTIF($F169:$AJ169,"PL"))</f>
        <v/>
      </c>
      <c r="AP169" s="34" t="str">
        <f aca="false">IF($B169="","",COUNTIF($F169:$AJ169,"CL"))</f>
        <v/>
      </c>
      <c r="AQ169" s="34" t="str">
        <f aca="false">IF($B169="","",COUNTIF($F169:$AJ169,"SL"))</f>
        <v/>
      </c>
      <c r="AR169" s="34" t="str">
        <f aca="false">IF($B169="","",COUNTIF($F169:$AJ169,"CO"))</f>
        <v/>
      </c>
      <c r="AS169" s="34" t="str">
        <f aca="false">IF($B169="","",COUNTIF($F169:$AJ169,"HPL"))</f>
        <v/>
      </c>
      <c r="AT169" s="34" t="str">
        <f aca="false">IF($B169="","",COUNTIF($F169:$AJ169,"HCL"))</f>
        <v/>
      </c>
      <c r="AU169" s="34" t="str">
        <f aca="false">IF($B169="","",COUNTIF($F169:$AJ169,"WO"))</f>
        <v/>
      </c>
      <c r="AV169" s="34" t="str">
        <f aca="false">IF($B169="","",COUNTIF($F169:$AJ169,"PH"))</f>
        <v/>
      </c>
      <c r="AW169" s="34" t="str">
        <f aca="false">IF($B169="","",COUNTIF($F169:$AJ169,"TR"))</f>
        <v/>
      </c>
      <c r="AX169" s="35" t="str">
        <f aca="false">IF($B169="","",AO169+AS169/2)</f>
        <v/>
      </c>
      <c r="AY169" s="35" t="str">
        <f aca="false">IF($B169="","",AQ169)</f>
        <v/>
      </c>
      <c r="AZ169" s="35" t="str">
        <f aca="false">IF($B169="","",AP169+AT169/2)</f>
        <v/>
      </c>
      <c r="BA169" s="35" t="str">
        <f aca="false">IF($B169="","",AK169+AN169+AM169/2+AO169+AP169+AQ169+AR169+AS169+AT169+AU169+AV169+AW169)</f>
        <v/>
      </c>
      <c r="BB169" s="35" t="str">
        <f aca="false">IF($B169="","",MAX(0,AN169-Settings!$C$16)*Settings!$C$17)</f>
        <v/>
      </c>
      <c r="BC169" s="35" t="str">
        <f aca="false">IF($B169="","",BA169-BB169)</f>
        <v/>
      </c>
      <c r="BD169" s="35" t="str">
        <f aca="false">IF(OR($B169="",$A169=""),"",DAY(EOMONTH($A169,0))-COUNTA($F169:$AJ169))</f>
        <v/>
      </c>
    </row>
    <row r="170" customFormat="false" ht="15" hidden="false" customHeight="false" outlineLevel="0" collapsed="false">
      <c r="A170" s="32"/>
      <c r="B170" s="29"/>
      <c r="C170" s="10" t="str">
        <f aca="false">IF($B170="","",IFERROR(INDEX(M_name,MATCH($B170,M_emp,0)),"Code not found"))</f>
        <v/>
      </c>
      <c r="D170" s="10" t="str">
        <f aca="false">IF($B170="","",IFERROR(INDEX(M_dept,MATCH($B170,M_emp,0)),""))</f>
        <v/>
      </c>
      <c r="E170" s="10" t="str">
        <f aca="false">IF($B170="","",IFERROR(INDEX(M_loc,MATCH($B170,M_emp,0)),""))</f>
        <v/>
      </c>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4" t="str">
        <f aca="false">IF($B170="","",COUNTIF($F170:$AJ170,"P"))</f>
        <v/>
      </c>
      <c r="AL170" s="34" t="str">
        <f aca="false">IF($B170="","",COUNTIF($F170:$AJ170,"A"))</f>
        <v/>
      </c>
      <c r="AM170" s="34" t="str">
        <f aca="false">IF($B170="","",COUNTIF($F170:$AJ170,"HA"))</f>
        <v/>
      </c>
      <c r="AN170" s="34" t="str">
        <f aca="false">IF($B170="","",COUNTIF($F170:$AJ170,"L"))</f>
        <v/>
      </c>
      <c r="AO170" s="34" t="str">
        <f aca="false">IF($B170="","",COUNTIF($F170:$AJ170,"PL"))</f>
        <v/>
      </c>
      <c r="AP170" s="34" t="str">
        <f aca="false">IF($B170="","",COUNTIF($F170:$AJ170,"CL"))</f>
        <v/>
      </c>
      <c r="AQ170" s="34" t="str">
        <f aca="false">IF($B170="","",COUNTIF($F170:$AJ170,"SL"))</f>
        <v/>
      </c>
      <c r="AR170" s="34" t="str">
        <f aca="false">IF($B170="","",COUNTIF($F170:$AJ170,"CO"))</f>
        <v/>
      </c>
      <c r="AS170" s="34" t="str">
        <f aca="false">IF($B170="","",COUNTIF($F170:$AJ170,"HPL"))</f>
        <v/>
      </c>
      <c r="AT170" s="34" t="str">
        <f aca="false">IF($B170="","",COUNTIF($F170:$AJ170,"HCL"))</f>
        <v/>
      </c>
      <c r="AU170" s="34" t="str">
        <f aca="false">IF($B170="","",COUNTIF($F170:$AJ170,"WO"))</f>
        <v/>
      </c>
      <c r="AV170" s="34" t="str">
        <f aca="false">IF($B170="","",COUNTIF($F170:$AJ170,"PH"))</f>
        <v/>
      </c>
      <c r="AW170" s="34" t="str">
        <f aca="false">IF($B170="","",COUNTIF($F170:$AJ170,"TR"))</f>
        <v/>
      </c>
      <c r="AX170" s="35" t="str">
        <f aca="false">IF($B170="","",AO170+AS170/2)</f>
        <v/>
      </c>
      <c r="AY170" s="35" t="str">
        <f aca="false">IF($B170="","",AQ170)</f>
        <v/>
      </c>
      <c r="AZ170" s="35" t="str">
        <f aca="false">IF($B170="","",AP170+AT170/2)</f>
        <v/>
      </c>
      <c r="BA170" s="35" t="str">
        <f aca="false">IF($B170="","",AK170+AN170+AM170/2+AO170+AP170+AQ170+AR170+AS170+AT170+AU170+AV170+AW170)</f>
        <v/>
      </c>
      <c r="BB170" s="35" t="str">
        <f aca="false">IF($B170="","",MAX(0,AN170-Settings!$C$16)*Settings!$C$17)</f>
        <v/>
      </c>
      <c r="BC170" s="35" t="str">
        <f aca="false">IF($B170="","",BA170-BB170)</f>
        <v/>
      </c>
      <c r="BD170" s="35" t="str">
        <f aca="false">IF(OR($B170="",$A170=""),"",DAY(EOMONTH($A170,0))-COUNTA($F170:$AJ170))</f>
        <v/>
      </c>
    </row>
    <row r="171" customFormat="false" ht="15" hidden="false" customHeight="false" outlineLevel="0" collapsed="false">
      <c r="A171" s="32"/>
      <c r="B171" s="29"/>
      <c r="C171" s="10" t="str">
        <f aca="false">IF($B171="","",IFERROR(INDEX(M_name,MATCH($B171,M_emp,0)),"Code not found"))</f>
        <v/>
      </c>
      <c r="D171" s="10" t="str">
        <f aca="false">IF($B171="","",IFERROR(INDEX(M_dept,MATCH($B171,M_emp,0)),""))</f>
        <v/>
      </c>
      <c r="E171" s="10" t="str">
        <f aca="false">IF($B171="","",IFERROR(INDEX(M_loc,MATCH($B171,M_emp,0)),""))</f>
        <v/>
      </c>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4" t="str">
        <f aca="false">IF($B171="","",COUNTIF($F171:$AJ171,"P"))</f>
        <v/>
      </c>
      <c r="AL171" s="34" t="str">
        <f aca="false">IF($B171="","",COUNTIF($F171:$AJ171,"A"))</f>
        <v/>
      </c>
      <c r="AM171" s="34" t="str">
        <f aca="false">IF($B171="","",COUNTIF($F171:$AJ171,"HA"))</f>
        <v/>
      </c>
      <c r="AN171" s="34" t="str">
        <f aca="false">IF($B171="","",COUNTIF($F171:$AJ171,"L"))</f>
        <v/>
      </c>
      <c r="AO171" s="34" t="str">
        <f aca="false">IF($B171="","",COUNTIF($F171:$AJ171,"PL"))</f>
        <v/>
      </c>
      <c r="AP171" s="34" t="str">
        <f aca="false">IF($B171="","",COUNTIF($F171:$AJ171,"CL"))</f>
        <v/>
      </c>
      <c r="AQ171" s="34" t="str">
        <f aca="false">IF($B171="","",COUNTIF($F171:$AJ171,"SL"))</f>
        <v/>
      </c>
      <c r="AR171" s="34" t="str">
        <f aca="false">IF($B171="","",COUNTIF($F171:$AJ171,"CO"))</f>
        <v/>
      </c>
      <c r="AS171" s="34" t="str">
        <f aca="false">IF($B171="","",COUNTIF($F171:$AJ171,"HPL"))</f>
        <v/>
      </c>
      <c r="AT171" s="34" t="str">
        <f aca="false">IF($B171="","",COUNTIF($F171:$AJ171,"HCL"))</f>
        <v/>
      </c>
      <c r="AU171" s="34" t="str">
        <f aca="false">IF($B171="","",COUNTIF($F171:$AJ171,"WO"))</f>
        <v/>
      </c>
      <c r="AV171" s="34" t="str">
        <f aca="false">IF($B171="","",COUNTIF($F171:$AJ171,"PH"))</f>
        <v/>
      </c>
      <c r="AW171" s="34" t="str">
        <f aca="false">IF($B171="","",COUNTIF($F171:$AJ171,"TR"))</f>
        <v/>
      </c>
      <c r="AX171" s="35" t="str">
        <f aca="false">IF($B171="","",AO171+AS171/2)</f>
        <v/>
      </c>
      <c r="AY171" s="35" t="str">
        <f aca="false">IF($B171="","",AQ171)</f>
        <v/>
      </c>
      <c r="AZ171" s="35" t="str">
        <f aca="false">IF($B171="","",AP171+AT171/2)</f>
        <v/>
      </c>
      <c r="BA171" s="35" t="str">
        <f aca="false">IF($B171="","",AK171+AN171+AM171/2+AO171+AP171+AQ171+AR171+AS171+AT171+AU171+AV171+AW171)</f>
        <v/>
      </c>
      <c r="BB171" s="35" t="str">
        <f aca="false">IF($B171="","",MAX(0,AN171-Settings!$C$16)*Settings!$C$17)</f>
        <v/>
      </c>
      <c r="BC171" s="35" t="str">
        <f aca="false">IF($B171="","",BA171-BB171)</f>
        <v/>
      </c>
      <c r="BD171" s="35" t="str">
        <f aca="false">IF(OR($B171="",$A171=""),"",DAY(EOMONTH($A171,0))-COUNTA($F171:$AJ171))</f>
        <v/>
      </c>
    </row>
    <row r="172" customFormat="false" ht="15" hidden="false" customHeight="false" outlineLevel="0" collapsed="false">
      <c r="A172" s="32"/>
      <c r="B172" s="29"/>
      <c r="C172" s="10" t="str">
        <f aca="false">IF($B172="","",IFERROR(INDEX(M_name,MATCH($B172,M_emp,0)),"Code not found"))</f>
        <v/>
      </c>
      <c r="D172" s="10" t="str">
        <f aca="false">IF($B172="","",IFERROR(INDEX(M_dept,MATCH($B172,M_emp,0)),""))</f>
        <v/>
      </c>
      <c r="E172" s="10" t="str">
        <f aca="false">IF($B172="","",IFERROR(INDEX(M_loc,MATCH($B172,M_emp,0)),""))</f>
        <v/>
      </c>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4" t="str">
        <f aca="false">IF($B172="","",COUNTIF($F172:$AJ172,"P"))</f>
        <v/>
      </c>
      <c r="AL172" s="34" t="str">
        <f aca="false">IF($B172="","",COUNTIF($F172:$AJ172,"A"))</f>
        <v/>
      </c>
      <c r="AM172" s="34" t="str">
        <f aca="false">IF($B172="","",COUNTIF($F172:$AJ172,"HA"))</f>
        <v/>
      </c>
      <c r="AN172" s="34" t="str">
        <f aca="false">IF($B172="","",COUNTIF($F172:$AJ172,"L"))</f>
        <v/>
      </c>
      <c r="AO172" s="34" t="str">
        <f aca="false">IF($B172="","",COUNTIF($F172:$AJ172,"PL"))</f>
        <v/>
      </c>
      <c r="AP172" s="34" t="str">
        <f aca="false">IF($B172="","",COUNTIF($F172:$AJ172,"CL"))</f>
        <v/>
      </c>
      <c r="AQ172" s="34" t="str">
        <f aca="false">IF($B172="","",COUNTIF($F172:$AJ172,"SL"))</f>
        <v/>
      </c>
      <c r="AR172" s="34" t="str">
        <f aca="false">IF($B172="","",COUNTIF($F172:$AJ172,"CO"))</f>
        <v/>
      </c>
      <c r="AS172" s="34" t="str">
        <f aca="false">IF($B172="","",COUNTIF($F172:$AJ172,"HPL"))</f>
        <v/>
      </c>
      <c r="AT172" s="34" t="str">
        <f aca="false">IF($B172="","",COUNTIF($F172:$AJ172,"HCL"))</f>
        <v/>
      </c>
      <c r="AU172" s="34" t="str">
        <f aca="false">IF($B172="","",COUNTIF($F172:$AJ172,"WO"))</f>
        <v/>
      </c>
      <c r="AV172" s="34" t="str">
        <f aca="false">IF($B172="","",COUNTIF($F172:$AJ172,"PH"))</f>
        <v/>
      </c>
      <c r="AW172" s="34" t="str">
        <f aca="false">IF($B172="","",COUNTIF($F172:$AJ172,"TR"))</f>
        <v/>
      </c>
      <c r="AX172" s="35" t="str">
        <f aca="false">IF($B172="","",AO172+AS172/2)</f>
        <v/>
      </c>
      <c r="AY172" s="35" t="str">
        <f aca="false">IF($B172="","",AQ172)</f>
        <v/>
      </c>
      <c r="AZ172" s="35" t="str">
        <f aca="false">IF($B172="","",AP172+AT172/2)</f>
        <v/>
      </c>
      <c r="BA172" s="35" t="str">
        <f aca="false">IF($B172="","",AK172+AN172+AM172/2+AO172+AP172+AQ172+AR172+AS172+AT172+AU172+AV172+AW172)</f>
        <v/>
      </c>
      <c r="BB172" s="35" t="str">
        <f aca="false">IF($B172="","",MAX(0,AN172-Settings!$C$16)*Settings!$C$17)</f>
        <v/>
      </c>
      <c r="BC172" s="35" t="str">
        <f aca="false">IF($B172="","",BA172-BB172)</f>
        <v/>
      </c>
      <c r="BD172" s="35" t="str">
        <f aca="false">IF(OR($B172="",$A172=""),"",DAY(EOMONTH($A172,0))-COUNTA($F172:$AJ172))</f>
        <v/>
      </c>
    </row>
    <row r="173" customFormat="false" ht="15" hidden="false" customHeight="false" outlineLevel="0" collapsed="false">
      <c r="A173" s="32"/>
      <c r="B173" s="29"/>
      <c r="C173" s="10" t="str">
        <f aca="false">IF($B173="","",IFERROR(INDEX(M_name,MATCH($B173,M_emp,0)),"Code not found"))</f>
        <v/>
      </c>
      <c r="D173" s="10" t="str">
        <f aca="false">IF($B173="","",IFERROR(INDEX(M_dept,MATCH($B173,M_emp,0)),""))</f>
        <v/>
      </c>
      <c r="E173" s="10" t="str">
        <f aca="false">IF($B173="","",IFERROR(INDEX(M_loc,MATCH($B173,M_emp,0)),""))</f>
        <v/>
      </c>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4" t="str">
        <f aca="false">IF($B173="","",COUNTIF($F173:$AJ173,"P"))</f>
        <v/>
      </c>
      <c r="AL173" s="34" t="str">
        <f aca="false">IF($B173="","",COUNTIF($F173:$AJ173,"A"))</f>
        <v/>
      </c>
      <c r="AM173" s="34" t="str">
        <f aca="false">IF($B173="","",COUNTIF($F173:$AJ173,"HA"))</f>
        <v/>
      </c>
      <c r="AN173" s="34" t="str">
        <f aca="false">IF($B173="","",COUNTIF($F173:$AJ173,"L"))</f>
        <v/>
      </c>
      <c r="AO173" s="34" t="str">
        <f aca="false">IF($B173="","",COUNTIF($F173:$AJ173,"PL"))</f>
        <v/>
      </c>
      <c r="AP173" s="34" t="str">
        <f aca="false">IF($B173="","",COUNTIF($F173:$AJ173,"CL"))</f>
        <v/>
      </c>
      <c r="AQ173" s="34" t="str">
        <f aca="false">IF($B173="","",COUNTIF($F173:$AJ173,"SL"))</f>
        <v/>
      </c>
      <c r="AR173" s="34" t="str">
        <f aca="false">IF($B173="","",COUNTIF($F173:$AJ173,"CO"))</f>
        <v/>
      </c>
      <c r="AS173" s="34" t="str">
        <f aca="false">IF($B173="","",COUNTIF($F173:$AJ173,"HPL"))</f>
        <v/>
      </c>
      <c r="AT173" s="34" t="str">
        <f aca="false">IF($B173="","",COUNTIF($F173:$AJ173,"HCL"))</f>
        <v/>
      </c>
      <c r="AU173" s="34" t="str">
        <f aca="false">IF($B173="","",COUNTIF($F173:$AJ173,"WO"))</f>
        <v/>
      </c>
      <c r="AV173" s="34" t="str">
        <f aca="false">IF($B173="","",COUNTIF($F173:$AJ173,"PH"))</f>
        <v/>
      </c>
      <c r="AW173" s="34" t="str">
        <f aca="false">IF($B173="","",COUNTIF($F173:$AJ173,"TR"))</f>
        <v/>
      </c>
      <c r="AX173" s="35" t="str">
        <f aca="false">IF($B173="","",AO173+AS173/2)</f>
        <v/>
      </c>
      <c r="AY173" s="35" t="str">
        <f aca="false">IF($B173="","",AQ173)</f>
        <v/>
      </c>
      <c r="AZ173" s="35" t="str">
        <f aca="false">IF($B173="","",AP173+AT173/2)</f>
        <v/>
      </c>
      <c r="BA173" s="35" t="str">
        <f aca="false">IF($B173="","",AK173+AN173+AM173/2+AO173+AP173+AQ173+AR173+AS173+AT173+AU173+AV173+AW173)</f>
        <v/>
      </c>
      <c r="BB173" s="35" t="str">
        <f aca="false">IF($B173="","",MAX(0,AN173-Settings!$C$16)*Settings!$C$17)</f>
        <v/>
      </c>
      <c r="BC173" s="35" t="str">
        <f aca="false">IF($B173="","",BA173-BB173)</f>
        <v/>
      </c>
      <c r="BD173" s="35" t="str">
        <f aca="false">IF(OR($B173="",$A173=""),"",DAY(EOMONTH($A173,0))-COUNTA($F173:$AJ173))</f>
        <v/>
      </c>
    </row>
    <row r="174" customFormat="false" ht="15" hidden="false" customHeight="false" outlineLevel="0" collapsed="false">
      <c r="A174" s="32"/>
      <c r="B174" s="29"/>
      <c r="C174" s="10" t="str">
        <f aca="false">IF($B174="","",IFERROR(INDEX(M_name,MATCH($B174,M_emp,0)),"Code not found"))</f>
        <v/>
      </c>
      <c r="D174" s="10" t="str">
        <f aca="false">IF($B174="","",IFERROR(INDEX(M_dept,MATCH($B174,M_emp,0)),""))</f>
        <v/>
      </c>
      <c r="E174" s="10" t="str">
        <f aca="false">IF($B174="","",IFERROR(INDEX(M_loc,MATCH($B174,M_emp,0)),""))</f>
        <v/>
      </c>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4" t="str">
        <f aca="false">IF($B174="","",COUNTIF($F174:$AJ174,"P"))</f>
        <v/>
      </c>
      <c r="AL174" s="34" t="str">
        <f aca="false">IF($B174="","",COUNTIF($F174:$AJ174,"A"))</f>
        <v/>
      </c>
      <c r="AM174" s="34" t="str">
        <f aca="false">IF($B174="","",COUNTIF($F174:$AJ174,"HA"))</f>
        <v/>
      </c>
      <c r="AN174" s="34" t="str">
        <f aca="false">IF($B174="","",COUNTIF($F174:$AJ174,"L"))</f>
        <v/>
      </c>
      <c r="AO174" s="34" t="str">
        <f aca="false">IF($B174="","",COUNTIF($F174:$AJ174,"PL"))</f>
        <v/>
      </c>
      <c r="AP174" s="34" t="str">
        <f aca="false">IF($B174="","",COUNTIF($F174:$AJ174,"CL"))</f>
        <v/>
      </c>
      <c r="AQ174" s="34" t="str">
        <f aca="false">IF($B174="","",COUNTIF($F174:$AJ174,"SL"))</f>
        <v/>
      </c>
      <c r="AR174" s="34" t="str">
        <f aca="false">IF($B174="","",COUNTIF($F174:$AJ174,"CO"))</f>
        <v/>
      </c>
      <c r="AS174" s="34" t="str">
        <f aca="false">IF($B174="","",COUNTIF($F174:$AJ174,"HPL"))</f>
        <v/>
      </c>
      <c r="AT174" s="34" t="str">
        <f aca="false">IF($B174="","",COUNTIF($F174:$AJ174,"HCL"))</f>
        <v/>
      </c>
      <c r="AU174" s="34" t="str">
        <f aca="false">IF($B174="","",COUNTIF($F174:$AJ174,"WO"))</f>
        <v/>
      </c>
      <c r="AV174" s="34" t="str">
        <f aca="false">IF($B174="","",COUNTIF($F174:$AJ174,"PH"))</f>
        <v/>
      </c>
      <c r="AW174" s="34" t="str">
        <f aca="false">IF($B174="","",COUNTIF($F174:$AJ174,"TR"))</f>
        <v/>
      </c>
      <c r="AX174" s="35" t="str">
        <f aca="false">IF($B174="","",AO174+AS174/2)</f>
        <v/>
      </c>
      <c r="AY174" s="35" t="str">
        <f aca="false">IF($B174="","",AQ174)</f>
        <v/>
      </c>
      <c r="AZ174" s="35" t="str">
        <f aca="false">IF($B174="","",AP174+AT174/2)</f>
        <v/>
      </c>
      <c r="BA174" s="35" t="str">
        <f aca="false">IF($B174="","",AK174+AN174+AM174/2+AO174+AP174+AQ174+AR174+AS174+AT174+AU174+AV174+AW174)</f>
        <v/>
      </c>
      <c r="BB174" s="35" t="str">
        <f aca="false">IF($B174="","",MAX(0,AN174-Settings!$C$16)*Settings!$C$17)</f>
        <v/>
      </c>
      <c r="BC174" s="35" t="str">
        <f aca="false">IF($B174="","",BA174-BB174)</f>
        <v/>
      </c>
      <c r="BD174" s="35" t="str">
        <f aca="false">IF(OR($B174="",$A174=""),"",DAY(EOMONTH($A174,0))-COUNTA($F174:$AJ174))</f>
        <v/>
      </c>
    </row>
    <row r="175" customFormat="false" ht="15" hidden="false" customHeight="false" outlineLevel="0" collapsed="false">
      <c r="A175" s="32"/>
      <c r="B175" s="29"/>
      <c r="C175" s="10" t="str">
        <f aca="false">IF($B175="","",IFERROR(INDEX(M_name,MATCH($B175,M_emp,0)),"Code not found"))</f>
        <v/>
      </c>
      <c r="D175" s="10" t="str">
        <f aca="false">IF($B175="","",IFERROR(INDEX(M_dept,MATCH($B175,M_emp,0)),""))</f>
        <v/>
      </c>
      <c r="E175" s="10" t="str">
        <f aca="false">IF($B175="","",IFERROR(INDEX(M_loc,MATCH($B175,M_emp,0)),""))</f>
        <v/>
      </c>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4" t="str">
        <f aca="false">IF($B175="","",COUNTIF($F175:$AJ175,"P"))</f>
        <v/>
      </c>
      <c r="AL175" s="34" t="str">
        <f aca="false">IF($B175="","",COUNTIF($F175:$AJ175,"A"))</f>
        <v/>
      </c>
      <c r="AM175" s="34" t="str">
        <f aca="false">IF($B175="","",COUNTIF($F175:$AJ175,"HA"))</f>
        <v/>
      </c>
      <c r="AN175" s="34" t="str">
        <f aca="false">IF($B175="","",COUNTIF($F175:$AJ175,"L"))</f>
        <v/>
      </c>
      <c r="AO175" s="34" t="str">
        <f aca="false">IF($B175="","",COUNTIF($F175:$AJ175,"PL"))</f>
        <v/>
      </c>
      <c r="AP175" s="34" t="str">
        <f aca="false">IF($B175="","",COUNTIF($F175:$AJ175,"CL"))</f>
        <v/>
      </c>
      <c r="AQ175" s="34" t="str">
        <f aca="false">IF($B175="","",COUNTIF($F175:$AJ175,"SL"))</f>
        <v/>
      </c>
      <c r="AR175" s="34" t="str">
        <f aca="false">IF($B175="","",COUNTIF($F175:$AJ175,"CO"))</f>
        <v/>
      </c>
      <c r="AS175" s="34" t="str">
        <f aca="false">IF($B175="","",COUNTIF($F175:$AJ175,"HPL"))</f>
        <v/>
      </c>
      <c r="AT175" s="34" t="str">
        <f aca="false">IF($B175="","",COUNTIF($F175:$AJ175,"HCL"))</f>
        <v/>
      </c>
      <c r="AU175" s="34" t="str">
        <f aca="false">IF($B175="","",COUNTIF($F175:$AJ175,"WO"))</f>
        <v/>
      </c>
      <c r="AV175" s="34" t="str">
        <f aca="false">IF($B175="","",COUNTIF($F175:$AJ175,"PH"))</f>
        <v/>
      </c>
      <c r="AW175" s="34" t="str">
        <f aca="false">IF($B175="","",COUNTIF($F175:$AJ175,"TR"))</f>
        <v/>
      </c>
      <c r="AX175" s="35" t="str">
        <f aca="false">IF($B175="","",AO175+AS175/2)</f>
        <v/>
      </c>
      <c r="AY175" s="35" t="str">
        <f aca="false">IF($B175="","",AQ175)</f>
        <v/>
      </c>
      <c r="AZ175" s="35" t="str">
        <f aca="false">IF($B175="","",AP175+AT175/2)</f>
        <v/>
      </c>
      <c r="BA175" s="35" t="str">
        <f aca="false">IF($B175="","",AK175+AN175+AM175/2+AO175+AP175+AQ175+AR175+AS175+AT175+AU175+AV175+AW175)</f>
        <v/>
      </c>
      <c r="BB175" s="35" t="str">
        <f aca="false">IF($B175="","",MAX(0,AN175-Settings!$C$16)*Settings!$C$17)</f>
        <v/>
      </c>
      <c r="BC175" s="35" t="str">
        <f aca="false">IF($B175="","",BA175-BB175)</f>
        <v/>
      </c>
      <c r="BD175" s="35" t="str">
        <f aca="false">IF(OR($B175="",$A175=""),"",DAY(EOMONTH($A175,0))-COUNTA($F175:$AJ175))</f>
        <v/>
      </c>
    </row>
    <row r="176" customFormat="false" ht="15" hidden="false" customHeight="false" outlineLevel="0" collapsed="false">
      <c r="A176" s="32"/>
      <c r="B176" s="29"/>
      <c r="C176" s="10" t="str">
        <f aca="false">IF($B176="","",IFERROR(INDEX(M_name,MATCH($B176,M_emp,0)),"Code not found"))</f>
        <v/>
      </c>
      <c r="D176" s="10" t="str">
        <f aca="false">IF($B176="","",IFERROR(INDEX(M_dept,MATCH($B176,M_emp,0)),""))</f>
        <v/>
      </c>
      <c r="E176" s="10" t="str">
        <f aca="false">IF($B176="","",IFERROR(INDEX(M_loc,MATCH($B176,M_emp,0)),""))</f>
        <v/>
      </c>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4" t="str">
        <f aca="false">IF($B176="","",COUNTIF($F176:$AJ176,"P"))</f>
        <v/>
      </c>
      <c r="AL176" s="34" t="str">
        <f aca="false">IF($B176="","",COUNTIF($F176:$AJ176,"A"))</f>
        <v/>
      </c>
      <c r="AM176" s="34" t="str">
        <f aca="false">IF($B176="","",COUNTIF($F176:$AJ176,"HA"))</f>
        <v/>
      </c>
      <c r="AN176" s="34" t="str">
        <f aca="false">IF($B176="","",COUNTIF($F176:$AJ176,"L"))</f>
        <v/>
      </c>
      <c r="AO176" s="34" t="str">
        <f aca="false">IF($B176="","",COUNTIF($F176:$AJ176,"PL"))</f>
        <v/>
      </c>
      <c r="AP176" s="34" t="str">
        <f aca="false">IF($B176="","",COUNTIF($F176:$AJ176,"CL"))</f>
        <v/>
      </c>
      <c r="AQ176" s="34" t="str">
        <f aca="false">IF($B176="","",COUNTIF($F176:$AJ176,"SL"))</f>
        <v/>
      </c>
      <c r="AR176" s="34" t="str">
        <f aca="false">IF($B176="","",COUNTIF($F176:$AJ176,"CO"))</f>
        <v/>
      </c>
      <c r="AS176" s="34" t="str">
        <f aca="false">IF($B176="","",COUNTIF($F176:$AJ176,"HPL"))</f>
        <v/>
      </c>
      <c r="AT176" s="34" t="str">
        <f aca="false">IF($B176="","",COUNTIF($F176:$AJ176,"HCL"))</f>
        <v/>
      </c>
      <c r="AU176" s="34" t="str">
        <f aca="false">IF($B176="","",COUNTIF($F176:$AJ176,"WO"))</f>
        <v/>
      </c>
      <c r="AV176" s="34" t="str">
        <f aca="false">IF($B176="","",COUNTIF($F176:$AJ176,"PH"))</f>
        <v/>
      </c>
      <c r="AW176" s="34" t="str">
        <f aca="false">IF($B176="","",COUNTIF($F176:$AJ176,"TR"))</f>
        <v/>
      </c>
      <c r="AX176" s="35" t="str">
        <f aca="false">IF($B176="","",AO176+AS176/2)</f>
        <v/>
      </c>
      <c r="AY176" s="35" t="str">
        <f aca="false">IF($B176="","",AQ176)</f>
        <v/>
      </c>
      <c r="AZ176" s="35" t="str">
        <f aca="false">IF($B176="","",AP176+AT176/2)</f>
        <v/>
      </c>
      <c r="BA176" s="35" t="str">
        <f aca="false">IF($B176="","",AK176+AN176+AM176/2+AO176+AP176+AQ176+AR176+AS176+AT176+AU176+AV176+AW176)</f>
        <v/>
      </c>
      <c r="BB176" s="35" t="str">
        <f aca="false">IF($B176="","",MAX(0,AN176-Settings!$C$16)*Settings!$C$17)</f>
        <v/>
      </c>
      <c r="BC176" s="35" t="str">
        <f aca="false">IF($B176="","",BA176-BB176)</f>
        <v/>
      </c>
      <c r="BD176" s="35" t="str">
        <f aca="false">IF(OR($B176="",$A176=""),"",DAY(EOMONTH($A176,0))-COUNTA($F176:$AJ176))</f>
        <v/>
      </c>
    </row>
    <row r="177" customFormat="false" ht="15" hidden="false" customHeight="false" outlineLevel="0" collapsed="false">
      <c r="A177" s="32"/>
      <c r="B177" s="29"/>
      <c r="C177" s="10" t="str">
        <f aca="false">IF($B177="","",IFERROR(INDEX(M_name,MATCH($B177,M_emp,0)),"Code not found"))</f>
        <v/>
      </c>
      <c r="D177" s="10" t="str">
        <f aca="false">IF($B177="","",IFERROR(INDEX(M_dept,MATCH($B177,M_emp,0)),""))</f>
        <v/>
      </c>
      <c r="E177" s="10" t="str">
        <f aca="false">IF($B177="","",IFERROR(INDEX(M_loc,MATCH($B177,M_emp,0)),""))</f>
        <v/>
      </c>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4" t="str">
        <f aca="false">IF($B177="","",COUNTIF($F177:$AJ177,"P"))</f>
        <v/>
      </c>
      <c r="AL177" s="34" t="str">
        <f aca="false">IF($B177="","",COUNTIF($F177:$AJ177,"A"))</f>
        <v/>
      </c>
      <c r="AM177" s="34" t="str">
        <f aca="false">IF($B177="","",COUNTIF($F177:$AJ177,"HA"))</f>
        <v/>
      </c>
      <c r="AN177" s="34" t="str">
        <f aca="false">IF($B177="","",COUNTIF($F177:$AJ177,"L"))</f>
        <v/>
      </c>
      <c r="AO177" s="34" t="str">
        <f aca="false">IF($B177="","",COUNTIF($F177:$AJ177,"PL"))</f>
        <v/>
      </c>
      <c r="AP177" s="34" t="str">
        <f aca="false">IF($B177="","",COUNTIF($F177:$AJ177,"CL"))</f>
        <v/>
      </c>
      <c r="AQ177" s="34" t="str">
        <f aca="false">IF($B177="","",COUNTIF($F177:$AJ177,"SL"))</f>
        <v/>
      </c>
      <c r="AR177" s="34" t="str">
        <f aca="false">IF($B177="","",COUNTIF($F177:$AJ177,"CO"))</f>
        <v/>
      </c>
      <c r="AS177" s="34" t="str">
        <f aca="false">IF($B177="","",COUNTIF($F177:$AJ177,"HPL"))</f>
        <v/>
      </c>
      <c r="AT177" s="34" t="str">
        <f aca="false">IF($B177="","",COUNTIF($F177:$AJ177,"HCL"))</f>
        <v/>
      </c>
      <c r="AU177" s="34" t="str">
        <f aca="false">IF($B177="","",COUNTIF($F177:$AJ177,"WO"))</f>
        <v/>
      </c>
      <c r="AV177" s="34" t="str">
        <f aca="false">IF($B177="","",COUNTIF($F177:$AJ177,"PH"))</f>
        <v/>
      </c>
      <c r="AW177" s="34" t="str">
        <f aca="false">IF($B177="","",COUNTIF($F177:$AJ177,"TR"))</f>
        <v/>
      </c>
      <c r="AX177" s="35" t="str">
        <f aca="false">IF($B177="","",AO177+AS177/2)</f>
        <v/>
      </c>
      <c r="AY177" s="35" t="str">
        <f aca="false">IF($B177="","",AQ177)</f>
        <v/>
      </c>
      <c r="AZ177" s="35" t="str">
        <f aca="false">IF($B177="","",AP177+AT177/2)</f>
        <v/>
      </c>
      <c r="BA177" s="35" t="str">
        <f aca="false">IF($B177="","",AK177+AN177+AM177/2+AO177+AP177+AQ177+AR177+AS177+AT177+AU177+AV177+AW177)</f>
        <v/>
      </c>
      <c r="BB177" s="35" t="str">
        <f aca="false">IF($B177="","",MAX(0,AN177-Settings!$C$16)*Settings!$C$17)</f>
        <v/>
      </c>
      <c r="BC177" s="35" t="str">
        <f aca="false">IF($B177="","",BA177-BB177)</f>
        <v/>
      </c>
      <c r="BD177" s="35" t="str">
        <f aca="false">IF(OR($B177="",$A177=""),"",DAY(EOMONTH($A177,0))-COUNTA($F177:$AJ177))</f>
        <v/>
      </c>
    </row>
    <row r="178" customFormat="false" ht="15" hidden="false" customHeight="false" outlineLevel="0" collapsed="false">
      <c r="A178" s="32"/>
      <c r="B178" s="29"/>
      <c r="C178" s="10" t="str">
        <f aca="false">IF($B178="","",IFERROR(INDEX(M_name,MATCH($B178,M_emp,0)),"Code not found"))</f>
        <v/>
      </c>
      <c r="D178" s="10" t="str">
        <f aca="false">IF($B178="","",IFERROR(INDEX(M_dept,MATCH($B178,M_emp,0)),""))</f>
        <v/>
      </c>
      <c r="E178" s="10" t="str">
        <f aca="false">IF($B178="","",IFERROR(INDEX(M_loc,MATCH($B178,M_emp,0)),""))</f>
        <v/>
      </c>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4" t="str">
        <f aca="false">IF($B178="","",COUNTIF($F178:$AJ178,"P"))</f>
        <v/>
      </c>
      <c r="AL178" s="34" t="str">
        <f aca="false">IF($B178="","",COUNTIF($F178:$AJ178,"A"))</f>
        <v/>
      </c>
      <c r="AM178" s="34" t="str">
        <f aca="false">IF($B178="","",COUNTIF($F178:$AJ178,"HA"))</f>
        <v/>
      </c>
      <c r="AN178" s="34" t="str">
        <f aca="false">IF($B178="","",COUNTIF($F178:$AJ178,"L"))</f>
        <v/>
      </c>
      <c r="AO178" s="34" t="str">
        <f aca="false">IF($B178="","",COUNTIF($F178:$AJ178,"PL"))</f>
        <v/>
      </c>
      <c r="AP178" s="34" t="str">
        <f aca="false">IF($B178="","",COUNTIF($F178:$AJ178,"CL"))</f>
        <v/>
      </c>
      <c r="AQ178" s="34" t="str">
        <f aca="false">IF($B178="","",COUNTIF($F178:$AJ178,"SL"))</f>
        <v/>
      </c>
      <c r="AR178" s="34" t="str">
        <f aca="false">IF($B178="","",COUNTIF($F178:$AJ178,"CO"))</f>
        <v/>
      </c>
      <c r="AS178" s="34" t="str">
        <f aca="false">IF($B178="","",COUNTIF($F178:$AJ178,"HPL"))</f>
        <v/>
      </c>
      <c r="AT178" s="34" t="str">
        <f aca="false">IF($B178="","",COUNTIF($F178:$AJ178,"HCL"))</f>
        <v/>
      </c>
      <c r="AU178" s="34" t="str">
        <f aca="false">IF($B178="","",COUNTIF($F178:$AJ178,"WO"))</f>
        <v/>
      </c>
      <c r="AV178" s="34" t="str">
        <f aca="false">IF($B178="","",COUNTIF($F178:$AJ178,"PH"))</f>
        <v/>
      </c>
      <c r="AW178" s="34" t="str">
        <f aca="false">IF($B178="","",COUNTIF($F178:$AJ178,"TR"))</f>
        <v/>
      </c>
      <c r="AX178" s="35" t="str">
        <f aca="false">IF($B178="","",AO178+AS178/2)</f>
        <v/>
      </c>
      <c r="AY178" s="35" t="str">
        <f aca="false">IF($B178="","",AQ178)</f>
        <v/>
      </c>
      <c r="AZ178" s="35" t="str">
        <f aca="false">IF($B178="","",AP178+AT178/2)</f>
        <v/>
      </c>
      <c r="BA178" s="35" t="str">
        <f aca="false">IF($B178="","",AK178+AN178+AM178/2+AO178+AP178+AQ178+AR178+AS178+AT178+AU178+AV178+AW178)</f>
        <v/>
      </c>
      <c r="BB178" s="35" t="str">
        <f aca="false">IF($B178="","",MAX(0,AN178-Settings!$C$16)*Settings!$C$17)</f>
        <v/>
      </c>
      <c r="BC178" s="35" t="str">
        <f aca="false">IF($B178="","",BA178-BB178)</f>
        <v/>
      </c>
      <c r="BD178" s="35" t="str">
        <f aca="false">IF(OR($B178="",$A178=""),"",DAY(EOMONTH($A178,0))-COUNTA($F178:$AJ178))</f>
        <v/>
      </c>
    </row>
    <row r="179" customFormat="false" ht="15" hidden="false" customHeight="false" outlineLevel="0" collapsed="false">
      <c r="A179" s="32"/>
      <c r="B179" s="29"/>
      <c r="C179" s="10" t="str">
        <f aca="false">IF($B179="","",IFERROR(INDEX(M_name,MATCH($B179,M_emp,0)),"Code not found"))</f>
        <v/>
      </c>
      <c r="D179" s="10" t="str">
        <f aca="false">IF($B179="","",IFERROR(INDEX(M_dept,MATCH($B179,M_emp,0)),""))</f>
        <v/>
      </c>
      <c r="E179" s="10" t="str">
        <f aca="false">IF($B179="","",IFERROR(INDEX(M_loc,MATCH($B179,M_emp,0)),""))</f>
        <v/>
      </c>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4" t="str">
        <f aca="false">IF($B179="","",COUNTIF($F179:$AJ179,"P"))</f>
        <v/>
      </c>
      <c r="AL179" s="34" t="str">
        <f aca="false">IF($B179="","",COUNTIF($F179:$AJ179,"A"))</f>
        <v/>
      </c>
      <c r="AM179" s="34" t="str">
        <f aca="false">IF($B179="","",COUNTIF($F179:$AJ179,"HA"))</f>
        <v/>
      </c>
      <c r="AN179" s="34" t="str">
        <f aca="false">IF($B179="","",COUNTIF($F179:$AJ179,"L"))</f>
        <v/>
      </c>
      <c r="AO179" s="34" t="str">
        <f aca="false">IF($B179="","",COUNTIF($F179:$AJ179,"PL"))</f>
        <v/>
      </c>
      <c r="AP179" s="34" t="str">
        <f aca="false">IF($B179="","",COUNTIF($F179:$AJ179,"CL"))</f>
        <v/>
      </c>
      <c r="AQ179" s="34" t="str">
        <f aca="false">IF($B179="","",COUNTIF($F179:$AJ179,"SL"))</f>
        <v/>
      </c>
      <c r="AR179" s="34" t="str">
        <f aca="false">IF($B179="","",COUNTIF($F179:$AJ179,"CO"))</f>
        <v/>
      </c>
      <c r="AS179" s="34" t="str">
        <f aca="false">IF($B179="","",COUNTIF($F179:$AJ179,"HPL"))</f>
        <v/>
      </c>
      <c r="AT179" s="34" t="str">
        <f aca="false">IF($B179="","",COUNTIF($F179:$AJ179,"HCL"))</f>
        <v/>
      </c>
      <c r="AU179" s="34" t="str">
        <f aca="false">IF($B179="","",COUNTIF($F179:$AJ179,"WO"))</f>
        <v/>
      </c>
      <c r="AV179" s="34" t="str">
        <f aca="false">IF($B179="","",COUNTIF($F179:$AJ179,"PH"))</f>
        <v/>
      </c>
      <c r="AW179" s="34" t="str">
        <f aca="false">IF($B179="","",COUNTIF($F179:$AJ179,"TR"))</f>
        <v/>
      </c>
      <c r="AX179" s="35" t="str">
        <f aca="false">IF($B179="","",AO179+AS179/2)</f>
        <v/>
      </c>
      <c r="AY179" s="35" t="str">
        <f aca="false">IF($B179="","",AQ179)</f>
        <v/>
      </c>
      <c r="AZ179" s="35" t="str">
        <f aca="false">IF($B179="","",AP179+AT179/2)</f>
        <v/>
      </c>
      <c r="BA179" s="35" t="str">
        <f aca="false">IF($B179="","",AK179+AN179+AM179/2+AO179+AP179+AQ179+AR179+AS179+AT179+AU179+AV179+AW179)</f>
        <v/>
      </c>
      <c r="BB179" s="35" t="str">
        <f aca="false">IF($B179="","",MAX(0,AN179-Settings!$C$16)*Settings!$C$17)</f>
        <v/>
      </c>
      <c r="BC179" s="35" t="str">
        <f aca="false">IF($B179="","",BA179-BB179)</f>
        <v/>
      </c>
      <c r="BD179" s="35" t="str">
        <f aca="false">IF(OR($B179="",$A179=""),"",DAY(EOMONTH($A179,0))-COUNTA($F179:$AJ179))</f>
        <v/>
      </c>
    </row>
    <row r="180" customFormat="false" ht="15" hidden="false" customHeight="false" outlineLevel="0" collapsed="false">
      <c r="A180" s="32"/>
      <c r="B180" s="29"/>
      <c r="C180" s="10" t="str">
        <f aca="false">IF($B180="","",IFERROR(INDEX(M_name,MATCH($B180,M_emp,0)),"Code not found"))</f>
        <v/>
      </c>
      <c r="D180" s="10" t="str">
        <f aca="false">IF($B180="","",IFERROR(INDEX(M_dept,MATCH($B180,M_emp,0)),""))</f>
        <v/>
      </c>
      <c r="E180" s="10" t="str">
        <f aca="false">IF($B180="","",IFERROR(INDEX(M_loc,MATCH($B180,M_emp,0)),""))</f>
        <v/>
      </c>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4" t="str">
        <f aca="false">IF($B180="","",COUNTIF($F180:$AJ180,"P"))</f>
        <v/>
      </c>
      <c r="AL180" s="34" t="str">
        <f aca="false">IF($B180="","",COUNTIF($F180:$AJ180,"A"))</f>
        <v/>
      </c>
      <c r="AM180" s="34" t="str">
        <f aca="false">IF($B180="","",COUNTIF($F180:$AJ180,"HA"))</f>
        <v/>
      </c>
      <c r="AN180" s="34" t="str">
        <f aca="false">IF($B180="","",COUNTIF($F180:$AJ180,"L"))</f>
        <v/>
      </c>
      <c r="AO180" s="34" t="str">
        <f aca="false">IF($B180="","",COUNTIF($F180:$AJ180,"PL"))</f>
        <v/>
      </c>
      <c r="AP180" s="34" t="str">
        <f aca="false">IF($B180="","",COUNTIF($F180:$AJ180,"CL"))</f>
        <v/>
      </c>
      <c r="AQ180" s="34" t="str">
        <f aca="false">IF($B180="","",COUNTIF($F180:$AJ180,"SL"))</f>
        <v/>
      </c>
      <c r="AR180" s="34" t="str">
        <f aca="false">IF($B180="","",COUNTIF($F180:$AJ180,"CO"))</f>
        <v/>
      </c>
      <c r="AS180" s="34" t="str">
        <f aca="false">IF($B180="","",COUNTIF($F180:$AJ180,"HPL"))</f>
        <v/>
      </c>
      <c r="AT180" s="34" t="str">
        <f aca="false">IF($B180="","",COUNTIF($F180:$AJ180,"HCL"))</f>
        <v/>
      </c>
      <c r="AU180" s="34" t="str">
        <f aca="false">IF($B180="","",COUNTIF($F180:$AJ180,"WO"))</f>
        <v/>
      </c>
      <c r="AV180" s="34" t="str">
        <f aca="false">IF($B180="","",COUNTIF($F180:$AJ180,"PH"))</f>
        <v/>
      </c>
      <c r="AW180" s="34" t="str">
        <f aca="false">IF($B180="","",COUNTIF($F180:$AJ180,"TR"))</f>
        <v/>
      </c>
      <c r="AX180" s="35" t="str">
        <f aca="false">IF($B180="","",AO180+AS180/2)</f>
        <v/>
      </c>
      <c r="AY180" s="35" t="str">
        <f aca="false">IF($B180="","",AQ180)</f>
        <v/>
      </c>
      <c r="AZ180" s="35" t="str">
        <f aca="false">IF($B180="","",AP180+AT180/2)</f>
        <v/>
      </c>
      <c r="BA180" s="35" t="str">
        <f aca="false">IF($B180="","",AK180+AN180+AM180/2+AO180+AP180+AQ180+AR180+AS180+AT180+AU180+AV180+AW180)</f>
        <v/>
      </c>
      <c r="BB180" s="35" t="str">
        <f aca="false">IF($B180="","",MAX(0,AN180-Settings!$C$16)*Settings!$C$17)</f>
        <v/>
      </c>
      <c r="BC180" s="35" t="str">
        <f aca="false">IF($B180="","",BA180-BB180)</f>
        <v/>
      </c>
      <c r="BD180" s="35" t="str">
        <f aca="false">IF(OR($B180="",$A180=""),"",DAY(EOMONTH($A180,0))-COUNTA($F180:$AJ180))</f>
        <v/>
      </c>
    </row>
    <row r="181" customFormat="false" ht="15" hidden="false" customHeight="false" outlineLevel="0" collapsed="false">
      <c r="A181" s="32"/>
      <c r="B181" s="29"/>
      <c r="C181" s="10" t="str">
        <f aca="false">IF($B181="","",IFERROR(INDEX(M_name,MATCH($B181,M_emp,0)),"Code not found"))</f>
        <v/>
      </c>
      <c r="D181" s="10" t="str">
        <f aca="false">IF($B181="","",IFERROR(INDEX(M_dept,MATCH($B181,M_emp,0)),""))</f>
        <v/>
      </c>
      <c r="E181" s="10" t="str">
        <f aca="false">IF($B181="","",IFERROR(INDEX(M_loc,MATCH($B181,M_emp,0)),""))</f>
        <v/>
      </c>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4" t="str">
        <f aca="false">IF($B181="","",COUNTIF($F181:$AJ181,"P"))</f>
        <v/>
      </c>
      <c r="AL181" s="34" t="str">
        <f aca="false">IF($B181="","",COUNTIF($F181:$AJ181,"A"))</f>
        <v/>
      </c>
      <c r="AM181" s="34" t="str">
        <f aca="false">IF($B181="","",COUNTIF($F181:$AJ181,"HA"))</f>
        <v/>
      </c>
      <c r="AN181" s="34" t="str">
        <f aca="false">IF($B181="","",COUNTIF($F181:$AJ181,"L"))</f>
        <v/>
      </c>
      <c r="AO181" s="34" t="str">
        <f aca="false">IF($B181="","",COUNTIF($F181:$AJ181,"PL"))</f>
        <v/>
      </c>
      <c r="AP181" s="34" t="str">
        <f aca="false">IF($B181="","",COUNTIF($F181:$AJ181,"CL"))</f>
        <v/>
      </c>
      <c r="AQ181" s="34" t="str">
        <f aca="false">IF($B181="","",COUNTIF($F181:$AJ181,"SL"))</f>
        <v/>
      </c>
      <c r="AR181" s="34" t="str">
        <f aca="false">IF($B181="","",COUNTIF($F181:$AJ181,"CO"))</f>
        <v/>
      </c>
      <c r="AS181" s="34" t="str">
        <f aca="false">IF($B181="","",COUNTIF($F181:$AJ181,"HPL"))</f>
        <v/>
      </c>
      <c r="AT181" s="34" t="str">
        <f aca="false">IF($B181="","",COUNTIF($F181:$AJ181,"HCL"))</f>
        <v/>
      </c>
      <c r="AU181" s="34" t="str">
        <f aca="false">IF($B181="","",COUNTIF($F181:$AJ181,"WO"))</f>
        <v/>
      </c>
      <c r="AV181" s="34" t="str">
        <f aca="false">IF($B181="","",COUNTIF($F181:$AJ181,"PH"))</f>
        <v/>
      </c>
      <c r="AW181" s="34" t="str">
        <f aca="false">IF($B181="","",COUNTIF($F181:$AJ181,"TR"))</f>
        <v/>
      </c>
      <c r="AX181" s="35" t="str">
        <f aca="false">IF($B181="","",AO181+AS181/2)</f>
        <v/>
      </c>
      <c r="AY181" s="35" t="str">
        <f aca="false">IF($B181="","",AQ181)</f>
        <v/>
      </c>
      <c r="AZ181" s="35" t="str">
        <f aca="false">IF($B181="","",AP181+AT181/2)</f>
        <v/>
      </c>
      <c r="BA181" s="35" t="str">
        <f aca="false">IF($B181="","",AK181+AN181+AM181/2+AO181+AP181+AQ181+AR181+AS181+AT181+AU181+AV181+AW181)</f>
        <v/>
      </c>
      <c r="BB181" s="35" t="str">
        <f aca="false">IF($B181="","",MAX(0,AN181-Settings!$C$16)*Settings!$C$17)</f>
        <v/>
      </c>
      <c r="BC181" s="35" t="str">
        <f aca="false">IF($B181="","",BA181-BB181)</f>
        <v/>
      </c>
      <c r="BD181" s="35" t="str">
        <f aca="false">IF(OR($B181="",$A181=""),"",DAY(EOMONTH($A181,0))-COUNTA($F181:$AJ181))</f>
        <v/>
      </c>
    </row>
    <row r="182" customFormat="false" ht="15" hidden="false" customHeight="false" outlineLevel="0" collapsed="false">
      <c r="A182" s="32"/>
      <c r="B182" s="29"/>
      <c r="C182" s="10" t="str">
        <f aca="false">IF($B182="","",IFERROR(INDEX(M_name,MATCH($B182,M_emp,0)),"Code not found"))</f>
        <v/>
      </c>
      <c r="D182" s="10" t="str">
        <f aca="false">IF($B182="","",IFERROR(INDEX(M_dept,MATCH($B182,M_emp,0)),""))</f>
        <v/>
      </c>
      <c r="E182" s="10" t="str">
        <f aca="false">IF($B182="","",IFERROR(INDEX(M_loc,MATCH($B182,M_emp,0)),""))</f>
        <v/>
      </c>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4" t="str">
        <f aca="false">IF($B182="","",COUNTIF($F182:$AJ182,"P"))</f>
        <v/>
      </c>
      <c r="AL182" s="34" t="str">
        <f aca="false">IF($B182="","",COUNTIF($F182:$AJ182,"A"))</f>
        <v/>
      </c>
      <c r="AM182" s="34" t="str">
        <f aca="false">IF($B182="","",COUNTIF($F182:$AJ182,"HA"))</f>
        <v/>
      </c>
      <c r="AN182" s="34" t="str">
        <f aca="false">IF($B182="","",COUNTIF($F182:$AJ182,"L"))</f>
        <v/>
      </c>
      <c r="AO182" s="34" t="str">
        <f aca="false">IF($B182="","",COUNTIF($F182:$AJ182,"PL"))</f>
        <v/>
      </c>
      <c r="AP182" s="34" t="str">
        <f aca="false">IF($B182="","",COUNTIF($F182:$AJ182,"CL"))</f>
        <v/>
      </c>
      <c r="AQ182" s="34" t="str">
        <f aca="false">IF($B182="","",COUNTIF($F182:$AJ182,"SL"))</f>
        <v/>
      </c>
      <c r="AR182" s="34" t="str">
        <f aca="false">IF($B182="","",COUNTIF($F182:$AJ182,"CO"))</f>
        <v/>
      </c>
      <c r="AS182" s="34" t="str">
        <f aca="false">IF($B182="","",COUNTIF($F182:$AJ182,"HPL"))</f>
        <v/>
      </c>
      <c r="AT182" s="34" t="str">
        <f aca="false">IF($B182="","",COUNTIF($F182:$AJ182,"HCL"))</f>
        <v/>
      </c>
      <c r="AU182" s="34" t="str">
        <f aca="false">IF($B182="","",COUNTIF($F182:$AJ182,"WO"))</f>
        <v/>
      </c>
      <c r="AV182" s="34" t="str">
        <f aca="false">IF($B182="","",COUNTIF($F182:$AJ182,"PH"))</f>
        <v/>
      </c>
      <c r="AW182" s="34" t="str">
        <f aca="false">IF($B182="","",COUNTIF($F182:$AJ182,"TR"))</f>
        <v/>
      </c>
      <c r="AX182" s="35" t="str">
        <f aca="false">IF($B182="","",AO182+AS182/2)</f>
        <v/>
      </c>
      <c r="AY182" s="35" t="str">
        <f aca="false">IF($B182="","",AQ182)</f>
        <v/>
      </c>
      <c r="AZ182" s="35" t="str">
        <f aca="false">IF($B182="","",AP182+AT182/2)</f>
        <v/>
      </c>
      <c r="BA182" s="35" t="str">
        <f aca="false">IF($B182="","",AK182+AN182+AM182/2+AO182+AP182+AQ182+AR182+AS182+AT182+AU182+AV182+AW182)</f>
        <v/>
      </c>
      <c r="BB182" s="35" t="str">
        <f aca="false">IF($B182="","",MAX(0,AN182-Settings!$C$16)*Settings!$C$17)</f>
        <v/>
      </c>
      <c r="BC182" s="35" t="str">
        <f aca="false">IF($B182="","",BA182-BB182)</f>
        <v/>
      </c>
      <c r="BD182" s="35" t="str">
        <f aca="false">IF(OR($B182="",$A182=""),"",DAY(EOMONTH($A182,0))-COUNTA($F182:$AJ182))</f>
        <v/>
      </c>
    </row>
    <row r="183" customFormat="false" ht="15" hidden="false" customHeight="false" outlineLevel="0" collapsed="false">
      <c r="A183" s="32"/>
      <c r="B183" s="29"/>
      <c r="C183" s="10" t="str">
        <f aca="false">IF($B183="","",IFERROR(INDEX(M_name,MATCH($B183,M_emp,0)),"Code not found"))</f>
        <v/>
      </c>
      <c r="D183" s="10" t="str">
        <f aca="false">IF($B183="","",IFERROR(INDEX(M_dept,MATCH($B183,M_emp,0)),""))</f>
        <v/>
      </c>
      <c r="E183" s="10" t="str">
        <f aca="false">IF($B183="","",IFERROR(INDEX(M_loc,MATCH($B183,M_emp,0)),""))</f>
        <v/>
      </c>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4" t="str">
        <f aca="false">IF($B183="","",COUNTIF($F183:$AJ183,"P"))</f>
        <v/>
      </c>
      <c r="AL183" s="34" t="str">
        <f aca="false">IF($B183="","",COUNTIF($F183:$AJ183,"A"))</f>
        <v/>
      </c>
      <c r="AM183" s="34" t="str">
        <f aca="false">IF($B183="","",COUNTIF($F183:$AJ183,"HA"))</f>
        <v/>
      </c>
      <c r="AN183" s="34" t="str">
        <f aca="false">IF($B183="","",COUNTIF($F183:$AJ183,"L"))</f>
        <v/>
      </c>
      <c r="AO183" s="34" t="str">
        <f aca="false">IF($B183="","",COUNTIF($F183:$AJ183,"PL"))</f>
        <v/>
      </c>
      <c r="AP183" s="34" t="str">
        <f aca="false">IF($B183="","",COUNTIF($F183:$AJ183,"CL"))</f>
        <v/>
      </c>
      <c r="AQ183" s="34" t="str">
        <f aca="false">IF($B183="","",COUNTIF($F183:$AJ183,"SL"))</f>
        <v/>
      </c>
      <c r="AR183" s="34" t="str">
        <f aca="false">IF($B183="","",COUNTIF($F183:$AJ183,"CO"))</f>
        <v/>
      </c>
      <c r="AS183" s="34" t="str">
        <f aca="false">IF($B183="","",COUNTIF($F183:$AJ183,"HPL"))</f>
        <v/>
      </c>
      <c r="AT183" s="34" t="str">
        <f aca="false">IF($B183="","",COUNTIF($F183:$AJ183,"HCL"))</f>
        <v/>
      </c>
      <c r="AU183" s="34" t="str">
        <f aca="false">IF($B183="","",COUNTIF($F183:$AJ183,"WO"))</f>
        <v/>
      </c>
      <c r="AV183" s="34" t="str">
        <f aca="false">IF($B183="","",COUNTIF($F183:$AJ183,"PH"))</f>
        <v/>
      </c>
      <c r="AW183" s="34" t="str">
        <f aca="false">IF($B183="","",COUNTIF($F183:$AJ183,"TR"))</f>
        <v/>
      </c>
      <c r="AX183" s="35" t="str">
        <f aca="false">IF($B183="","",AO183+AS183/2)</f>
        <v/>
      </c>
      <c r="AY183" s="35" t="str">
        <f aca="false">IF($B183="","",AQ183)</f>
        <v/>
      </c>
      <c r="AZ183" s="35" t="str">
        <f aca="false">IF($B183="","",AP183+AT183/2)</f>
        <v/>
      </c>
      <c r="BA183" s="35" t="str">
        <f aca="false">IF($B183="","",AK183+AN183+AM183/2+AO183+AP183+AQ183+AR183+AS183+AT183+AU183+AV183+AW183)</f>
        <v/>
      </c>
      <c r="BB183" s="35" t="str">
        <f aca="false">IF($B183="","",MAX(0,AN183-Settings!$C$16)*Settings!$C$17)</f>
        <v/>
      </c>
      <c r="BC183" s="35" t="str">
        <f aca="false">IF($B183="","",BA183-BB183)</f>
        <v/>
      </c>
      <c r="BD183" s="35" t="str">
        <f aca="false">IF(OR($B183="",$A183=""),"",DAY(EOMONTH($A183,0))-COUNTA($F183:$AJ183))</f>
        <v/>
      </c>
    </row>
    <row r="184" customFormat="false" ht="15" hidden="false" customHeight="false" outlineLevel="0" collapsed="false">
      <c r="A184" s="32"/>
      <c r="B184" s="29"/>
      <c r="C184" s="10" t="str">
        <f aca="false">IF($B184="","",IFERROR(INDEX(M_name,MATCH($B184,M_emp,0)),"Code not found"))</f>
        <v/>
      </c>
      <c r="D184" s="10" t="str">
        <f aca="false">IF($B184="","",IFERROR(INDEX(M_dept,MATCH($B184,M_emp,0)),""))</f>
        <v/>
      </c>
      <c r="E184" s="10" t="str">
        <f aca="false">IF($B184="","",IFERROR(INDEX(M_loc,MATCH($B184,M_emp,0)),""))</f>
        <v/>
      </c>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4" t="str">
        <f aca="false">IF($B184="","",COUNTIF($F184:$AJ184,"P"))</f>
        <v/>
      </c>
      <c r="AL184" s="34" t="str">
        <f aca="false">IF($B184="","",COUNTIF($F184:$AJ184,"A"))</f>
        <v/>
      </c>
      <c r="AM184" s="34" t="str">
        <f aca="false">IF($B184="","",COUNTIF($F184:$AJ184,"HA"))</f>
        <v/>
      </c>
      <c r="AN184" s="34" t="str">
        <f aca="false">IF($B184="","",COUNTIF($F184:$AJ184,"L"))</f>
        <v/>
      </c>
      <c r="AO184" s="34" t="str">
        <f aca="false">IF($B184="","",COUNTIF($F184:$AJ184,"PL"))</f>
        <v/>
      </c>
      <c r="AP184" s="34" t="str">
        <f aca="false">IF($B184="","",COUNTIF($F184:$AJ184,"CL"))</f>
        <v/>
      </c>
      <c r="AQ184" s="34" t="str">
        <f aca="false">IF($B184="","",COUNTIF($F184:$AJ184,"SL"))</f>
        <v/>
      </c>
      <c r="AR184" s="34" t="str">
        <f aca="false">IF($B184="","",COUNTIF($F184:$AJ184,"CO"))</f>
        <v/>
      </c>
      <c r="AS184" s="34" t="str">
        <f aca="false">IF($B184="","",COUNTIF($F184:$AJ184,"HPL"))</f>
        <v/>
      </c>
      <c r="AT184" s="34" t="str">
        <f aca="false">IF($B184="","",COUNTIF($F184:$AJ184,"HCL"))</f>
        <v/>
      </c>
      <c r="AU184" s="34" t="str">
        <f aca="false">IF($B184="","",COUNTIF($F184:$AJ184,"WO"))</f>
        <v/>
      </c>
      <c r="AV184" s="34" t="str">
        <f aca="false">IF($B184="","",COUNTIF($F184:$AJ184,"PH"))</f>
        <v/>
      </c>
      <c r="AW184" s="34" t="str">
        <f aca="false">IF($B184="","",COUNTIF($F184:$AJ184,"TR"))</f>
        <v/>
      </c>
      <c r="AX184" s="35" t="str">
        <f aca="false">IF($B184="","",AO184+AS184/2)</f>
        <v/>
      </c>
      <c r="AY184" s="35" t="str">
        <f aca="false">IF($B184="","",AQ184)</f>
        <v/>
      </c>
      <c r="AZ184" s="35" t="str">
        <f aca="false">IF($B184="","",AP184+AT184/2)</f>
        <v/>
      </c>
      <c r="BA184" s="35" t="str">
        <f aca="false">IF($B184="","",AK184+AN184+AM184/2+AO184+AP184+AQ184+AR184+AS184+AT184+AU184+AV184+AW184)</f>
        <v/>
      </c>
      <c r="BB184" s="35" t="str">
        <f aca="false">IF($B184="","",MAX(0,AN184-Settings!$C$16)*Settings!$C$17)</f>
        <v/>
      </c>
      <c r="BC184" s="35" t="str">
        <f aca="false">IF($B184="","",BA184-BB184)</f>
        <v/>
      </c>
      <c r="BD184" s="35" t="str">
        <f aca="false">IF(OR($B184="",$A184=""),"",DAY(EOMONTH($A184,0))-COUNTA($F184:$AJ184))</f>
        <v/>
      </c>
    </row>
    <row r="185" customFormat="false" ht="15" hidden="false" customHeight="false" outlineLevel="0" collapsed="false">
      <c r="A185" s="32"/>
      <c r="B185" s="29"/>
      <c r="C185" s="10" t="str">
        <f aca="false">IF($B185="","",IFERROR(INDEX(M_name,MATCH($B185,M_emp,0)),"Code not found"))</f>
        <v/>
      </c>
      <c r="D185" s="10" t="str">
        <f aca="false">IF($B185="","",IFERROR(INDEX(M_dept,MATCH($B185,M_emp,0)),""))</f>
        <v/>
      </c>
      <c r="E185" s="10" t="str">
        <f aca="false">IF($B185="","",IFERROR(INDEX(M_loc,MATCH($B185,M_emp,0)),""))</f>
        <v/>
      </c>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4" t="str">
        <f aca="false">IF($B185="","",COUNTIF($F185:$AJ185,"P"))</f>
        <v/>
      </c>
      <c r="AL185" s="34" t="str">
        <f aca="false">IF($B185="","",COUNTIF($F185:$AJ185,"A"))</f>
        <v/>
      </c>
      <c r="AM185" s="34" t="str">
        <f aca="false">IF($B185="","",COUNTIF($F185:$AJ185,"HA"))</f>
        <v/>
      </c>
      <c r="AN185" s="34" t="str">
        <f aca="false">IF($B185="","",COUNTIF($F185:$AJ185,"L"))</f>
        <v/>
      </c>
      <c r="AO185" s="34" t="str">
        <f aca="false">IF($B185="","",COUNTIF($F185:$AJ185,"PL"))</f>
        <v/>
      </c>
      <c r="AP185" s="34" t="str">
        <f aca="false">IF($B185="","",COUNTIF($F185:$AJ185,"CL"))</f>
        <v/>
      </c>
      <c r="AQ185" s="34" t="str">
        <f aca="false">IF($B185="","",COUNTIF($F185:$AJ185,"SL"))</f>
        <v/>
      </c>
      <c r="AR185" s="34" t="str">
        <f aca="false">IF($B185="","",COUNTIF($F185:$AJ185,"CO"))</f>
        <v/>
      </c>
      <c r="AS185" s="34" t="str">
        <f aca="false">IF($B185="","",COUNTIF($F185:$AJ185,"HPL"))</f>
        <v/>
      </c>
      <c r="AT185" s="34" t="str">
        <f aca="false">IF($B185="","",COUNTIF($F185:$AJ185,"HCL"))</f>
        <v/>
      </c>
      <c r="AU185" s="34" t="str">
        <f aca="false">IF($B185="","",COUNTIF($F185:$AJ185,"WO"))</f>
        <v/>
      </c>
      <c r="AV185" s="34" t="str">
        <f aca="false">IF($B185="","",COUNTIF($F185:$AJ185,"PH"))</f>
        <v/>
      </c>
      <c r="AW185" s="34" t="str">
        <f aca="false">IF($B185="","",COUNTIF($F185:$AJ185,"TR"))</f>
        <v/>
      </c>
      <c r="AX185" s="35" t="str">
        <f aca="false">IF($B185="","",AO185+AS185/2)</f>
        <v/>
      </c>
      <c r="AY185" s="35" t="str">
        <f aca="false">IF($B185="","",AQ185)</f>
        <v/>
      </c>
      <c r="AZ185" s="35" t="str">
        <f aca="false">IF($B185="","",AP185+AT185/2)</f>
        <v/>
      </c>
      <c r="BA185" s="35" t="str">
        <f aca="false">IF($B185="","",AK185+AN185+AM185/2+AO185+AP185+AQ185+AR185+AS185+AT185+AU185+AV185+AW185)</f>
        <v/>
      </c>
      <c r="BB185" s="35" t="str">
        <f aca="false">IF($B185="","",MAX(0,AN185-Settings!$C$16)*Settings!$C$17)</f>
        <v/>
      </c>
      <c r="BC185" s="35" t="str">
        <f aca="false">IF($B185="","",BA185-BB185)</f>
        <v/>
      </c>
      <c r="BD185" s="35" t="str">
        <f aca="false">IF(OR($B185="",$A185=""),"",DAY(EOMONTH($A185,0))-COUNTA($F185:$AJ185))</f>
        <v/>
      </c>
    </row>
    <row r="186" customFormat="false" ht="15" hidden="false" customHeight="false" outlineLevel="0" collapsed="false">
      <c r="A186" s="32"/>
      <c r="B186" s="29"/>
      <c r="C186" s="10" t="str">
        <f aca="false">IF($B186="","",IFERROR(INDEX(M_name,MATCH($B186,M_emp,0)),"Code not found"))</f>
        <v/>
      </c>
      <c r="D186" s="10" t="str">
        <f aca="false">IF($B186="","",IFERROR(INDEX(M_dept,MATCH($B186,M_emp,0)),""))</f>
        <v/>
      </c>
      <c r="E186" s="10" t="str">
        <f aca="false">IF($B186="","",IFERROR(INDEX(M_loc,MATCH($B186,M_emp,0)),""))</f>
        <v/>
      </c>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4" t="str">
        <f aca="false">IF($B186="","",COUNTIF($F186:$AJ186,"P"))</f>
        <v/>
      </c>
      <c r="AL186" s="34" t="str">
        <f aca="false">IF($B186="","",COUNTIF($F186:$AJ186,"A"))</f>
        <v/>
      </c>
      <c r="AM186" s="34" t="str">
        <f aca="false">IF($B186="","",COUNTIF($F186:$AJ186,"HA"))</f>
        <v/>
      </c>
      <c r="AN186" s="34" t="str">
        <f aca="false">IF($B186="","",COUNTIF($F186:$AJ186,"L"))</f>
        <v/>
      </c>
      <c r="AO186" s="34" t="str">
        <f aca="false">IF($B186="","",COUNTIF($F186:$AJ186,"PL"))</f>
        <v/>
      </c>
      <c r="AP186" s="34" t="str">
        <f aca="false">IF($B186="","",COUNTIF($F186:$AJ186,"CL"))</f>
        <v/>
      </c>
      <c r="AQ186" s="34" t="str">
        <f aca="false">IF($B186="","",COUNTIF($F186:$AJ186,"SL"))</f>
        <v/>
      </c>
      <c r="AR186" s="34" t="str">
        <f aca="false">IF($B186="","",COUNTIF($F186:$AJ186,"CO"))</f>
        <v/>
      </c>
      <c r="AS186" s="34" t="str">
        <f aca="false">IF($B186="","",COUNTIF($F186:$AJ186,"HPL"))</f>
        <v/>
      </c>
      <c r="AT186" s="34" t="str">
        <f aca="false">IF($B186="","",COUNTIF($F186:$AJ186,"HCL"))</f>
        <v/>
      </c>
      <c r="AU186" s="34" t="str">
        <f aca="false">IF($B186="","",COUNTIF($F186:$AJ186,"WO"))</f>
        <v/>
      </c>
      <c r="AV186" s="34" t="str">
        <f aca="false">IF($B186="","",COUNTIF($F186:$AJ186,"PH"))</f>
        <v/>
      </c>
      <c r="AW186" s="34" t="str">
        <f aca="false">IF($B186="","",COUNTIF($F186:$AJ186,"TR"))</f>
        <v/>
      </c>
      <c r="AX186" s="35" t="str">
        <f aca="false">IF($B186="","",AO186+AS186/2)</f>
        <v/>
      </c>
      <c r="AY186" s="35" t="str">
        <f aca="false">IF($B186="","",AQ186)</f>
        <v/>
      </c>
      <c r="AZ186" s="35" t="str">
        <f aca="false">IF($B186="","",AP186+AT186/2)</f>
        <v/>
      </c>
      <c r="BA186" s="35" t="str">
        <f aca="false">IF($B186="","",AK186+AN186+AM186/2+AO186+AP186+AQ186+AR186+AS186+AT186+AU186+AV186+AW186)</f>
        <v/>
      </c>
      <c r="BB186" s="35" t="str">
        <f aca="false">IF($B186="","",MAX(0,AN186-Settings!$C$16)*Settings!$C$17)</f>
        <v/>
      </c>
      <c r="BC186" s="35" t="str">
        <f aca="false">IF($B186="","",BA186-BB186)</f>
        <v/>
      </c>
      <c r="BD186" s="35" t="str">
        <f aca="false">IF(OR($B186="",$A186=""),"",DAY(EOMONTH($A186,0))-COUNTA($F186:$AJ186))</f>
        <v/>
      </c>
    </row>
    <row r="187" customFormat="false" ht="15" hidden="false" customHeight="false" outlineLevel="0" collapsed="false">
      <c r="A187" s="32"/>
      <c r="B187" s="29"/>
      <c r="C187" s="10" t="str">
        <f aca="false">IF($B187="","",IFERROR(INDEX(M_name,MATCH($B187,M_emp,0)),"Code not found"))</f>
        <v/>
      </c>
      <c r="D187" s="10" t="str">
        <f aca="false">IF($B187="","",IFERROR(INDEX(M_dept,MATCH($B187,M_emp,0)),""))</f>
        <v/>
      </c>
      <c r="E187" s="10" t="str">
        <f aca="false">IF($B187="","",IFERROR(INDEX(M_loc,MATCH($B187,M_emp,0)),""))</f>
        <v/>
      </c>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4" t="str">
        <f aca="false">IF($B187="","",COUNTIF($F187:$AJ187,"P"))</f>
        <v/>
      </c>
      <c r="AL187" s="34" t="str">
        <f aca="false">IF($B187="","",COUNTIF($F187:$AJ187,"A"))</f>
        <v/>
      </c>
      <c r="AM187" s="34" t="str">
        <f aca="false">IF($B187="","",COUNTIF($F187:$AJ187,"HA"))</f>
        <v/>
      </c>
      <c r="AN187" s="34" t="str">
        <f aca="false">IF($B187="","",COUNTIF($F187:$AJ187,"L"))</f>
        <v/>
      </c>
      <c r="AO187" s="34" t="str">
        <f aca="false">IF($B187="","",COUNTIF($F187:$AJ187,"PL"))</f>
        <v/>
      </c>
      <c r="AP187" s="34" t="str">
        <f aca="false">IF($B187="","",COUNTIF($F187:$AJ187,"CL"))</f>
        <v/>
      </c>
      <c r="AQ187" s="34" t="str">
        <f aca="false">IF($B187="","",COUNTIF($F187:$AJ187,"SL"))</f>
        <v/>
      </c>
      <c r="AR187" s="34" t="str">
        <f aca="false">IF($B187="","",COUNTIF($F187:$AJ187,"CO"))</f>
        <v/>
      </c>
      <c r="AS187" s="34" t="str">
        <f aca="false">IF($B187="","",COUNTIF($F187:$AJ187,"HPL"))</f>
        <v/>
      </c>
      <c r="AT187" s="34" t="str">
        <f aca="false">IF($B187="","",COUNTIF($F187:$AJ187,"HCL"))</f>
        <v/>
      </c>
      <c r="AU187" s="34" t="str">
        <f aca="false">IF($B187="","",COUNTIF($F187:$AJ187,"WO"))</f>
        <v/>
      </c>
      <c r="AV187" s="34" t="str">
        <f aca="false">IF($B187="","",COUNTIF($F187:$AJ187,"PH"))</f>
        <v/>
      </c>
      <c r="AW187" s="34" t="str">
        <f aca="false">IF($B187="","",COUNTIF($F187:$AJ187,"TR"))</f>
        <v/>
      </c>
      <c r="AX187" s="35" t="str">
        <f aca="false">IF($B187="","",AO187+AS187/2)</f>
        <v/>
      </c>
      <c r="AY187" s="35" t="str">
        <f aca="false">IF($B187="","",AQ187)</f>
        <v/>
      </c>
      <c r="AZ187" s="35" t="str">
        <f aca="false">IF($B187="","",AP187+AT187/2)</f>
        <v/>
      </c>
      <c r="BA187" s="35" t="str">
        <f aca="false">IF($B187="","",AK187+AN187+AM187/2+AO187+AP187+AQ187+AR187+AS187+AT187+AU187+AV187+AW187)</f>
        <v/>
      </c>
      <c r="BB187" s="35" t="str">
        <f aca="false">IF($B187="","",MAX(0,AN187-Settings!$C$16)*Settings!$C$17)</f>
        <v/>
      </c>
      <c r="BC187" s="35" t="str">
        <f aca="false">IF($B187="","",BA187-BB187)</f>
        <v/>
      </c>
      <c r="BD187" s="35" t="str">
        <f aca="false">IF(OR($B187="",$A187=""),"",DAY(EOMONTH($A187,0))-COUNTA($F187:$AJ187))</f>
        <v/>
      </c>
    </row>
    <row r="188" customFormat="false" ht="15" hidden="false" customHeight="false" outlineLevel="0" collapsed="false">
      <c r="A188" s="32"/>
      <c r="B188" s="29"/>
      <c r="C188" s="10" t="str">
        <f aca="false">IF($B188="","",IFERROR(INDEX(M_name,MATCH($B188,M_emp,0)),"Code not found"))</f>
        <v/>
      </c>
      <c r="D188" s="10" t="str">
        <f aca="false">IF($B188="","",IFERROR(INDEX(M_dept,MATCH($B188,M_emp,0)),""))</f>
        <v/>
      </c>
      <c r="E188" s="10" t="str">
        <f aca="false">IF($B188="","",IFERROR(INDEX(M_loc,MATCH($B188,M_emp,0)),""))</f>
        <v/>
      </c>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4" t="str">
        <f aca="false">IF($B188="","",COUNTIF($F188:$AJ188,"P"))</f>
        <v/>
      </c>
      <c r="AL188" s="34" t="str">
        <f aca="false">IF($B188="","",COUNTIF($F188:$AJ188,"A"))</f>
        <v/>
      </c>
      <c r="AM188" s="34" t="str">
        <f aca="false">IF($B188="","",COUNTIF($F188:$AJ188,"HA"))</f>
        <v/>
      </c>
      <c r="AN188" s="34" t="str">
        <f aca="false">IF($B188="","",COUNTIF($F188:$AJ188,"L"))</f>
        <v/>
      </c>
      <c r="AO188" s="34" t="str">
        <f aca="false">IF($B188="","",COUNTIF($F188:$AJ188,"PL"))</f>
        <v/>
      </c>
      <c r="AP188" s="34" t="str">
        <f aca="false">IF($B188="","",COUNTIF($F188:$AJ188,"CL"))</f>
        <v/>
      </c>
      <c r="AQ188" s="34" t="str">
        <f aca="false">IF($B188="","",COUNTIF($F188:$AJ188,"SL"))</f>
        <v/>
      </c>
      <c r="AR188" s="34" t="str">
        <f aca="false">IF($B188="","",COUNTIF($F188:$AJ188,"CO"))</f>
        <v/>
      </c>
      <c r="AS188" s="34" t="str">
        <f aca="false">IF($B188="","",COUNTIF($F188:$AJ188,"HPL"))</f>
        <v/>
      </c>
      <c r="AT188" s="34" t="str">
        <f aca="false">IF($B188="","",COUNTIF($F188:$AJ188,"HCL"))</f>
        <v/>
      </c>
      <c r="AU188" s="34" t="str">
        <f aca="false">IF($B188="","",COUNTIF($F188:$AJ188,"WO"))</f>
        <v/>
      </c>
      <c r="AV188" s="34" t="str">
        <f aca="false">IF($B188="","",COUNTIF($F188:$AJ188,"PH"))</f>
        <v/>
      </c>
      <c r="AW188" s="34" t="str">
        <f aca="false">IF($B188="","",COUNTIF($F188:$AJ188,"TR"))</f>
        <v/>
      </c>
      <c r="AX188" s="35" t="str">
        <f aca="false">IF($B188="","",AO188+AS188/2)</f>
        <v/>
      </c>
      <c r="AY188" s="35" t="str">
        <f aca="false">IF($B188="","",AQ188)</f>
        <v/>
      </c>
      <c r="AZ188" s="35" t="str">
        <f aca="false">IF($B188="","",AP188+AT188/2)</f>
        <v/>
      </c>
      <c r="BA188" s="35" t="str">
        <f aca="false">IF($B188="","",AK188+AN188+AM188/2+AO188+AP188+AQ188+AR188+AS188+AT188+AU188+AV188+AW188)</f>
        <v/>
      </c>
      <c r="BB188" s="35" t="str">
        <f aca="false">IF($B188="","",MAX(0,AN188-Settings!$C$16)*Settings!$C$17)</f>
        <v/>
      </c>
      <c r="BC188" s="35" t="str">
        <f aca="false">IF($B188="","",BA188-BB188)</f>
        <v/>
      </c>
      <c r="BD188" s="35" t="str">
        <f aca="false">IF(OR($B188="",$A188=""),"",DAY(EOMONTH($A188,0))-COUNTA($F188:$AJ188))</f>
        <v/>
      </c>
    </row>
    <row r="189" customFormat="false" ht="15" hidden="false" customHeight="false" outlineLevel="0" collapsed="false">
      <c r="A189" s="32"/>
      <c r="B189" s="29"/>
      <c r="C189" s="10" t="str">
        <f aca="false">IF($B189="","",IFERROR(INDEX(M_name,MATCH($B189,M_emp,0)),"Code not found"))</f>
        <v/>
      </c>
      <c r="D189" s="10" t="str">
        <f aca="false">IF($B189="","",IFERROR(INDEX(M_dept,MATCH($B189,M_emp,0)),""))</f>
        <v/>
      </c>
      <c r="E189" s="10" t="str">
        <f aca="false">IF($B189="","",IFERROR(INDEX(M_loc,MATCH($B189,M_emp,0)),""))</f>
        <v/>
      </c>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4" t="str">
        <f aca="false">IF($B189="","",COUNTIF($F189:$AJ189,"P"))</f>
        <v/>
      </c>
      <c r="AL189" s="34" t="str">
        <f aca="false">IF($B189="","",COUNTIF($F189:$AJ189,"A"))</f>
        <v/>
      </c>
      <c r="AM189" s="34" t="str">
        <f aca="false">IF($B189="","",COUNTIF($F189:$AJ189,"HA"))</f>
        <v/>
      </c>
      <c r="AN189" s="34" t="str">
        <f aca="false">IF($B189="","",COUNTIF($F189:$AJ189,"L"))</f>
        <v/>
      </c>
      <c r="AO189" s="34" t="str">
        <f aca="false">IF($B189="","",COUNTIF($F189:$AJ189,"PL"))</f>
        <v/>
      </c>
      <c r="AP189" s="34" t="str">
        <f aca="false">IF($B189="","",COUNTIF($F189:$AJ189,"CL"))</f>
        <v/>
      </c>
      <c r="AQ189" s="34" t="str">
        <f aca="false">IF($B189="","",COUNTIF($F189:$AJ189,"SL"))</f>
        <v/>
      </c>
      <c r="AR189" s="34" t="str">
        <f aca="false">IF($B189="","",COUNTIF($F189:$AJ189,"CO"))</f>
        <v/>
      </c>
      <c r="AS189" s="34" t="str">
        <f aca="false">IF($B189="","",COUNTIF($F189:$AJ189,"HPL"))</f>
        <v/>
      </c>
      <c r="AT189" s="34" t="str">
        <f aca="false">IF($B189="","",COUNTIF($F189:$AJ189,"HCL"))</f>
        <v/>
      </c>
      <c r="AU189" s="34" t="str">
        <f aca="false">IF($B189="","",COUNTIF($F189:$AJ189,"WO"))</f>
        <v/>
      </c>
      <c r="AV189" s="34" t="str">
        <f aca="false">IF($B189="","",COUNTIF($F189:$AJ189,"PH"))</f>
        <v/>
      </c>
      <c r="AW189" s="34" t="str">
        <f aca="false">IF($B189="","",COUNTIF($F189:$AJ189,"TR"))</f>
        <v/>
      </c>
      <c r="AX189" s="35" t="str">
        <f aca="false">IF($B189="","",AO189+AS189/2)</f>
        <v/>
      </c>
      <c r="AY189" s="35" t="str">
        <f aca="false">IF($B189="","",AQ189)</f>
        <v/>
      </c>
      <c r="AZ189" s="35" t="str">
        <f aca="false">IF($B189="","",AP189+AT189/2)</f>
        <v/>
      </c>
      <c r="BA189" s="35" t="str">
        <f aca="false">IF($B189="","",AK189+AN189+AM189/2+AO189+AP189+AQ189+AR189+AS189+AT189+AU189+AV189+AW189)</f>
        <v/>
      </c>
      <c r="BB189" s="35" t="str">
        <f aca="false">IF($B189="","",MAX(0,AN189-Settings!$C$16)*Settings!$C$17)</f>
        <v/>
      </c>
      <c r="BC189" s="35" t="str">
        <f aca="false">IF($B189="","",BA189-BB189)</f>
        <v/>
      </c>
      <c r="BD189" s="35" t="str">
        <f aca="false">IF(OR($B189="",$A189=""),"",DAY(EOMONTH($A189,0))-COUNTA($F189:$AJ189))</f>
        <v/>
      </c>
    </row>
    <row r="190" customFormat="false" ht="15" hidden="false" customHeight="false" outlineLevel="0" collapsed="false">
      <c r="A190" s="32"/>
      <c r="B190" s="29"/>
      <c r="C190" s="10" t="str">
        <f aca="false">IF($B190="","",IFERROR(INDEX(M_name,MATCH($B190,M_emp,0)),"Code not found"))</f>
        <v/>
      </c>
      <c r="D190" s="10" t="str">
        <f aca="false">IF($B190="","",IFERROR(INDEX(M_dept,MATCH($B190,M_emp,0)),""))</f>
        <v/>
      </c>
      <c r="E190" s="10" t="str">
        <f aca="false">IF($B190="","",IFERROR(INDEX(M_loc,MATCH($B190,M_emp,0)),""))</f>
        <v/>
      </c>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4" t="str">
        <f aca="false">IF($B190="","",COUNTIF($F190:$AJ190,"P"))</f>
        <v/>
      </c>
      <c r="AL190" s="34" t="str">
        <f aca="false">IF($B190="","",COUNTIF($F190:$AJ190,"A"))</f>
        <v/>
      </c>
      <c r="AM190" s="34" t="str">
        <f aca="false">IF($B190="","",COUNTIF($F190:$AJ190,"HA"))</f>
        <v/>
      </c>
      <c r="AN190" s="34" t="str">
        <f aca="false">IF($B190="","",COUNTIF($F190:$AJ190,"L"))</f>
        <v/>
      </c>
      <c r="AO190" s="34" t="str">
        <f aca="false">IF($B190="","",COUNTIF($F190:$AJ190,"PL"))</f>
        <v/>
      </c>
      <c r="AP190" s="34" t="str">
        <f aca="false">IF($B190="","",COUNTIF($F190:$AJ190,"CL"))</f>
        <v/>
      </c>
      <c r="AQ190" s="34" t="str">
        <f aca="false">IF($B190="","",COUNTIF($F190:$AJ190,"SL"))</f>
        <v/>
      </c>
      <c r="AR190" s="34" t="str">
        <f aca="false">IF($B190="","",COUNTIF($F190:$AJ190,"CO"))</f>
        <v/>
      </c>
      <c r="AS190" s="34" t="str">
        <f aca="false">IF($B190="","",COUNTIF($F190:$AJ190,"HPL"))</f>
        <v/>
      </c>
      <c r="AT190" s="34" t="str">
        <f aca="false">IF($B190="","",COUNTIF($F190:$AJ190,"HCL"))</f>
        <v/>
      </c>
      <c r="AU190" s="34" t="str">
        <f aca="false">IF($B190="","",COUNTIF($F190:$AJ190,"WO"))</f>
        <v/>
      </c>
      <c r="AV190" s="34" t="str">
        <f aca="false">IF($B190="","",COUNTIF($F190:$AJ190,"PH"))</f>
        <v/>
      </c>
      <c r="AW190" s="34" t="str">
        <f aca="false">IF($B190="","",COUNTIF($F190:$AJ190,"TR"))</f>
        <v/>
      </c>
      <c r="AX190" s="35" t="str">
        <f aca="false">IF($B190="","",AO190+AS190/2)</f>
        <v/>
      </c>
      <c r="AY190" s="35" t="str">
        <f aca="false">IF($B190="","",AQ190)</f>
        <v/>
      </c>
      <c r="AZ190" s="35" t="str">
        <f aca="false">IF($B190="","",AP190+AT190/2)</f>
        <v/>
      </c>
      <c r="BA190" s="35" t="str">
        <f aca="false">IF($B190="","",AK190+AN190+AM190/2+AO190+AP190+AQ190+AR190+AS190+AT190+AU190+AV190+AW190)</f>
        <v/>
      </c>
      <c r="BB190" s="35" t="str">
        <f aca="false">IF($B190="","",MAX(0,AN190-Settings!$C$16)*Settings!$C$17)</f>
        <v/>
      </c>
      <c r="BC190" s="35" t="str">
        <f aca="false">IF($B190="","",BA190-BB190)</f>
        <v/>
      </c>
      <c r="BD190" s="35" t="str">
        <f aca="false">IF(OR($B190="",$A190=""),"",DAY(EOMONTH($A190,0))-COUNTA($F190:$AJ190))</f>
        <v/>
      </c>
    </row>
    <row r="191" customFormat="false" ht="15" hidden="false" customHeight="false" outlineLevel="0" collapsed="false">
      <c r="A191" s="32"/>
      <c r="B191" s="29"/>
      <c r="C191" s="10" t="str">
        <f aca="false">IF($B191="","",IFERROR(INDEX(M_name,MATCH($B191,M_emp,0)),"Code not found"))</f>
        <v/>
      </c>
      <c r="D191" s="10" t="str">
        <f aca="false">IF($B191="","",IFERROR(INDEX(M_dept,MATCH($B191,M_emp,0)),""))</f>
        <v/>
      </c>
      <c r="E191" s="10" t="str">
        <f aca="false">IF($B191="","",IFERROR(INDEX(M_loc,MATCH($B191,M_emp,0)),""))</f>
        <v/>
      </c>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4" t="str">
        <f aca="false">IF($B191="","",COUNTIF($F191:$AJ191,"P"))</f>
        <v/>
      </c>
      <c r="AL191" s="34" t="str">
        <f aca="false">IF($B191="","",COUNTIF($F191:$AJ191,"A"))</f>
        <v/>
      </c>
      <c r="AM191" s="34" t="str">
        <f aca="false">IF($B191="","",COUNTIF($F191:$AJ191,"HA"))</f>
        <v/>
      </c>
      <c r="AN191" s="34" t="str">
        <f aca="false">IF($B191="","",COUNTIF($F191:$AJ191,"L"))</f>
        <v/>
      </c>
      <c r="AO191" s="34" t="str">
        <f aca="false">IF($B191="","",COUNTIF($F191:$AJ191,"PL"))</f>
        <v/>
      </c>
      <c r="AP191" s="34" t="str">
        <f aca="false">IF($B191="","",COUNTIF($F191:$AJ191,"CL"))</f>
        <v/>
      </c>
      <c r="AQ191" s="34" t="str">
        <f aca="false">IF($B191="","",COUNTIF($F191:$AJ191,"SL"))</f>
        <v/>
      </c>
      <c r="AR191" s="34" t="str">
        <f aca="false">IF($B191="","",COUNTIF($F191:$AJ191,"CO"))</f>
        <v/>
      </c>
      <c r="AS191" s="34" t="str">
        <f aca="false">IF($B191="","",COUNTIF($F191:$AJ191,"HPL"))</f>
        <v/>
      </c>
      <c r="AT191" s="34" t="str">
        <f aca="false">IF($B191="","",COUNTIF($F191:$AJ191,"HCL"))</f>
        <v/>
      </c>
      <c r="AU191" s="34" t="str">
        <f aca="false">IF($B191="","",COUNTIF($F191:$AJ191,"WO"))</f>
        <v/>
      </c>
      <c r="AV191" s="34" t="str">
        <f aca="false">IF($B191="","",COUNTIF($F191:$AJ191,"PH"))</f>
        <v/>
      </c>
      <c r="AW191" s="34" t="str">
        <f aca="false">IF($B191="","",COUNTIF($F191:$AJ191,"TR"))</f>
        <v/>
      </c>
      <c r="AX191" s="35" t="str">
        <f aca="false">IF($B191="","",AO191+AS191/2)</f>
        <v/>
      </c>
      <c r="AY191" s="35" t="str">
        <f aca="false">IF($B191="","",AQ191)</f>
        <v/>
      </c>
      <c r="AZ191" s="35" t="str">
        <f aca="false">IF($B191="","",AP191+AT191/2)</f>
        <v/>
      </c>
      <c r="BA191" s="35" t="str">
        <f aca="false">IF($B191="","",AK191+AN191+AM191/2+AO191+AP191+AQ191+AR191+AS191+AT191+AU191+AV191+AW191)</f>
        <v/>
      </c>
      <c r="BB191" s="35" t="str">
        <f aca="false">IF($B191="","",MAX(0,AN191-Settings!$C$16)*Settings!$C$17)</f>
        <v/>
      </c>
      <c r="BC191" s="35" t="str">
        <f aca="false">IF($B191="","",BA191-BB191)</f>
        <v/>
      </c>
      <c r="BD191" s="35" t="str">
        <f aca="false">IF(OR($B191="",$A191=""),"",DAY(EOMONTH($A191,0))-COUNTA($F191:$AJ191))</f>
        <v/>
      </c>
    </row>
    <row r="192" customFormat="false" ht="15" hidden="false" customHeight="false" outlineLevel="0" collapsed="false">
      <c r="A192" s="32"/>
      <c r="B192" s="29"/>
      <c r="C192" s="10" t="str">
        <f aca="false">IF($B192="","",IFERROR(INDEX(M_name,MATCH($B192,M_emp,0)),"Code not found"))</f>
        <v/>
      </c>
      <c r="D192" s="10" t="str">
        <f aca="false">IF($B192="","",IFERROR(INDEX(M_dept,MATCH($B192,M_emp,0)),""))</f>
        <v/>
      </c>
      <c r="E192" s="10" t="str">
        <f aca="false">IF($B192="","",IFERROR(INDEX(M_loc,MATCH($B192,M_emp,0)),""))</f>
        <v/>
      </c>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4" t="str">
        <f aca="false">IF($B192="","",COUNTIF($F192:$AJ192,"P"))</f>
        <v/>
      </c>
      <c r="AL192" s="34" t="str">
        <f aca="false">IF($B192="","",COUNTIF($F192:$AJ192,"A"))</f>
        <v/>
      </c>
      <c r="AM192" s="34" t="str">
        <f aca="false">IF($B192="","",COUNTIF($F192:$AJ192,"HA"))</f>
        <v/>
      </c>
      <c r="AN192" s="34" t="str">
        <f aca="false">IF($B192="","",COUNTIF($F192:$AJ192,"L"))</f>
        <v/>
      </c>
      <c r="AO192" s="34" t="str">
        <f aca="false">IF($B192="","",COUNTIF($F192:$AJ192,"PL"))</f>
        <v/>
      </c>
      <c r="AP192" s="34" t="str">
        <f aca="false">IF($B192="","",COUNTIF($F192:$AJ192,"CL"))</f>
        <v/>
      </c>
      <c r="AQ192" s="34" t="str">
        <f aca="false">IF($B192="","",COUNTIF($F192:$AJ192,"SL"))</f>
        <v/>
      </c>
      <c r="AR192" s="34" t="str">
        <f aca="false">IF($B192="","",COUNTIF($F192:$AJ192,"CO"))</f>
        <v/>
      </c>
      <c r="AS192" s="34" t="str">
        <f aca="false">IF($B192="","",COUNTIF($F192:$AJ192,"HPL"))</f>
        <v/>
      </c>
      <c r="AT192" s="34" t="str">
        <f aca="false">IF($B192="","",COUNTIF($F192:$AJ192,"HCL"))</f>
        <v/>
      </c>
      <c r="AU192" s="34" t="str">
        <f aca="false">IF($B192="","",COUNTIF($F192:$AJ192,"WO"))</f>
        <v/>
      </c>
      <c r="AV192" s="34" t="str">
        <f aca="false">IF($B192="","",COUNTIF($F192:$AJ192,"PH"))</f>
        <v/>
      </c>
      <c r="AW192" s="34" t="str">
        <f aca="false">IF($B192="","",COUNTIF($F192:$AJ192,"TR"))</f>
        <v/>
      </c>
      <c r="AX192" s="35" t="str">
        <f aca="false">IF($B192="","",AO192+AS192/2)</f>
        <v/>
      </c>
      <c r="AY192" s="35" t="str">
        <f aca="false">IF($B192="","",AQ192)</f>
        <v/>
      </c>
      <c r="AZ192" s="35" t="str">
        <f aca="false">IF($B192="","",AP192+AT192/2)</f>
        <v/>
      </c>
      <c r="BA192" s="35" t="str">
        <f aca="false">IF($B192="","",AK192+AN192+AM192/2+AO192+AP192+AQ192+AR192+AS192+AT192+AU192+AV192+AW192)</f>
        <v/>
      </c>
      <c r="BB192" s="35" t="str">
        <f aca="false">IF($B192="","",MAX(0,AN192-Settings!$C$16)*Settings!$C$17)</f>
        <v/>
      </c>
      <c r="BC192" s="35" t="str">
        <f aca="false">IF($B192="","",BA192-BB192)</f>
        <v/>
      </c>
      <c r="BD192" s="35" t="str">
        <f aca="false">IF(OR($B192="",$A192=""),"",DAY(EOMONTH($A192,0))-COUNTA($F192:$AJ192))</f>
        <v/>
      </c>
    </row>
    <row r="193" customFormat="false" ht="15" hidden="false" customHeight="false" outlineLevel="0" collapsed="false">
      <c r="A193" s="32"/>
      <c r="B193" s="29"/>
      <c r="C193" s="10" t="str">
        <f aca="false">IF($B193="","",IFERROR(INDEX(M_name,MATCH($B193,M_emp,0)),"Code not found"))</f>
        <v/>
      </c>
      <c r="D193" s="10" t="str">
        <f aca="false">IF($B193="","",IFERROR(INDEX(M_dept,MATCH($B193,M_emp,0)),""))</f>
        <v/>
      </c>
      <c r="E193" s="10" t="str">
        <f aca="false">IF($B193="","",IFERROR(INDEX(M_loc,MATCH($B193,M_emp,0)),""))</f>
        <v/>
      </c>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4" t="str">
        <f aca="false">IF($B193="","",COUNTIF($F193:$AJ193,"P"))</f>
        <v/>
      </c>
      <c r="AL193" s="34" t="str">
        <f aca="false">IF($B193="","",COUNTIF($F193:$AJ193,"A"))</f>
        <v/>
      </c>
      <c r="AM193" s="34" t="str">
        <f aca="false">IF($B193="","",COUNTIF($F193:$AJ193,"HA"))</f>
        <v/>
      </c>
      <c r="AN193" s="34" t="str">
        <f aca="false">IF($B193="","",COUNTIF($F193:$AJ193,"L"))</f>
        <v/>
      </c>
      <c r="AO193" s="34" t="str">
        <f aca="false">IF($B193="","",COUNTIF($F193:$AJ193,"PL"))</f>
        <v/>
      </c>
      <c r="AP193" s="34" t="str">
        <f aca="false">IF($B193="","",COUNTIF($F193:$AJ193,"CL"))</f>
        <v/>
      </c>
      <c r="AQ193" s="34" t="str">
        <f aca="false">IF($B193="","",COUNTIF($F193:$AJ193,"SL"))</f>
        <v/>
      </c>
      <c r="AR193" s="34" t="str">
        <f aca="false">IF($B193="","",COUNTIF($F193:$AJ193,"CO"))</f>
        <v/>
      </c>
      <c r="AS193" s="34" t="str">
        <f aca="false">IF($B193="","",COUNTIF($F193:$AJ193,"HPL"))</f>
        <v/>
      </c>
      <c r="AT193" s="34" t="str">
        <f aca="false">IF($B193="","",COUNTIF($F193:$AJ193,"HCL"))</f>
        <v/>
      </c>
      <c r="AU193" s="34" t="str">
        <f aca="false">IF($B193="","",COUNTIF($F193:$AJ193,"WO"))</f>
        <v/>
      </c>
      <c r="AV193" s="34" t="str">
        <f aca="false">IF($B193="","",COUNTIF($F193:$AJ193,"PH"))</f>
        <v/>
      </c>
      <c r="AW193" s="34" t="str">
        <f aca="false">IF($B193="","",COUNTIF($F193:$AJ193,"TR"))</f>
        <v/>
      </c>
      <c r="AX193" s="35" t="str">
        <f aca="false">IF($B193="","",AO193+AS193/2)</f>
        <v/>
      </c>
      <c r="AY193" s="35" t="str">
        <f aca="false">IF($B193="","",AQ193)</f>
        <v/>
      </c>
      <c r="AZ193" s="35" t="str">
        <f aca="false">IF($B193="","",AP193+AT193/2)</f>
        <v/>
      </c>
      <c r="BA193" s="35" t="str">
        <f aca="false">IF($B193="","",AK193+AN193+AM193/2+AO193+AP193+AQ193+AR193+AS193+AT193+AU193+AV193+AW193)</f>
        <v/>
      </c>
      <c r="BB193" s="35" t="str">
        <f aca="false">IF($B193="","",MAX(0,AN193-Settings!$C$16)*Settings!$C$17)</f>
        <v/>
      </c>
      <c r="BC193" s="35" t="str">
        <f aca="false">IF($B193="","",BA193-BB193)</f>
        <v/>
      </c>
      <c r="BD193" s="35" t="str">
        <f aca="false">IF(OR($B193="",$A193=""),"",DAY(EOMONTH($A193,0))-COUNTA($F193:$AJ193))</f>
        <v/>
      </c>
    </row>
    <row r="194" customFormat="false" ht="15" hidden="false" customHeight="false" outlineLevel="0" collapsed="false">
      <c r="A194" s="32"/>
      <c r="B194" s="29"/>
      <c r="C194" s="10" t="str">
        <f aca="false">IF($B194="","",IFERROR(INDEX(M_name,MATCH($B194,M_emp,0)),"Code not found"))</f>
        <v/>
      </c>
      <c r="D194" s="10" t="str">
        <f aca="false">IF($B194="","",IFERROR(INDEX(M_dept,MATCH($B194,M_emp,0)),""))</f>
        <v/>
      </c>
      <c r="E194" s="10" t="str">
        <f aca="false">IF($B194="","",IFERROR(INDEX(M_loc,MATCH($B194,M_emp,0)),""))</f>
        <v/>
      </c>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4" t="str">
        <f aca="false">IF($B194="","",COUNTIF($F194:$AJ194,"P"))</f>
        <v/>
      </c>
      <c r="AL194" s="34" t="str">
        <f aca="false">IF($B194="","",COUNTIF($F194:$AJ194,"A"))</f>
        <v/>
      </c>
      <c r="AM194" s="34" t="str">
        <f aca="false">IF($B194="","",COUNTIF($F194:$AJ194,"HA"))</f>
        <v/>
      </c>
      <c r="AN194" s="34" t="str">
        <f aca="false">IF($B194="","",COUNTIF($F194:$AJ194,"L"))</f>
        <v/>
      </c>
      <c r="AO194" s="34" t="str">
        <f aca="false">IF($B194="","",COUNTIF($F194:$AJ194,"PL"))</f>
        <v/>
      </c>
      <c r="AP194" s="34" t="str">
        <f aca="false">IF($B194="","",COUNTIF($F194:$AJ194,"CL"))</f>
        <v/>
      </c>
      <c r="AQ194" s="34" t="str">
        <f aca="false">IF($B194="","",COUNTIF($F194:$AJ194,"SL"))</f>
        <v/>
      </c>
      <c r="AR194" s="34" t="str">
        <f aca="false">IF($B194="","",COUNTIF($F194:$AJ194,"CO"))</f>
        <v/>
      </c>
      <c r="AS194" s="34" t="str">
        <f aca="false">IF($B194="","",COUNTIF($F194:$AJ194,"HPL"))</f>
        <v/>
      </c>
      <c r="AT194" s="34" t="str">
        <f aca="false">IF($B194="","",COUNTIF($F194:$AJ194,"HCL"))</f>
        <v/>
      </c>
      <c r="AU194" s="34" t="str">
        <f aca="false">IF($B194="","",COUNTIF($F194:$AJ194,"WO"))</f>
        <v/>
      </c>
      <c r="AV194" s="34" t="str">
        <f aca="false">IF($B194="","",COUNTIF($F194:$AJ194,"PH"))</f>
        <v/>
      </c>
      <c r="AW194" s="34" t="str">
        <f aca="false">IF($B194="","",COUNTIF($F194:$AJ194,"TR"))</f>
        <v/>
      </c>
      <c r="AX194" s="35" t="str">
        <f aca="false">IF($B194="","",AO194+AS194/2)</f>
        <v/>
      </c>
      <c r="AY194" s="35" t="str">
        <f aca="false">IF($B194="","",AQ194)</f>
        <v/>
      </c>
      <c r="AZ194" s="35" t="str">
        <f aca="false">IF($B194="","",AP194+AT194/2)</f>
        <v/>
      </c>
      <c r="BA194" s="35" t="str">
        <f aca="false">IF($B194="","",AK194+AN194+AM194/2+AO194+AP194+AQ194+AR194+AS194+AT194+AU194+AV194+AW194)</f>
        <v/>
      </c>
      <c r="BB194" s="35" t="str">
        <f aca="false">IF($B194="","",MAX(0,AN194-Settings!$C$16)*Settings!$C$17)</f>
        <v/>
      </c>
      <c r="BC194" s="35" t="str">
        <f aca="false">IF($B194="","",BA194-BB194)</f>
        <v/>
      </c>
      <c r="BD194" s="35" t="str">
        <f aca="false">IF(OR($B194="",$A194=""),"",DAY(EOMONTH($A194,0))-COUNTA($F194:$AJ194))</f>
        <v/>
      </c>
    </row>
    <row r="195" customFormat="false" ht="15" hidden="false" customHeight="false" outlineLevel="0" collapsed="false">
      <c r="A195" s="32"/>
      <c r="B195" s="29"/>
      <c r="C195" s="10" t="str">
        <f aca="false">IF($B195="","",IFERROR(INDEX(M_name,MATCH($B195,M_emp,0)),"Code not found"))</f>
        <v/>
      </c>
      <c r="D195" s="10" t="str">
        <f aca="false">IF($B195="","",IFERROR(INDEX(M_dept,MATCH($B195,M_emp,0)),""))</f>
        <v/>
      </c>
      <c r="E195" s="10" t="str">
        <f aca="false">IF($B195="","",IFERROR(INDEX(M_loc,MATCH($B195,M_emp,0)),""))</f>
        <v/>
      </c>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4" t="str">
        <f aca="false">IF($B195="","",COUNTIF($F195:$AJ195,"P"))</f>
        <v/>
      </c>
      <c r="AL195" s="34" t="str">
        <f aca="false">IF($B195="","",COUNTIF($F195:$AJ195,"A"))</f>
        <v/>
      </c>
      <c r="AM195" s="34" t="str">
        <f aca="false">IF($B195="","",COUNTIF($F195:$AJ195,"HA"))</f>
        <v/>
      </c>
      <c r="AN195" s="34" t="str">
        <f aca="false">IF($B195="","",COUNTIF($F195:$AJ195,"L"))</f>
        <v/>
      </c>
      <c r="AO195" s="34" t="str">
        <f aca="false">IF($B195="","",COUNTIF($F195:$AJ195,"PL"))</f>
        <v/>
      </c>
      <c r="AP195" s="34" t="str">
        <f aca="false">IF($B195="","",COUNTIF($F195:$AJ195,"CL"))</f>
        <v/>
      </c>
      <c r="AQ195" s="34" t="str">
        <f aca="false">IF($B195="","",COUNTIF($F195:$AJ195,"SL"))</f>
        <v/>
      </c>
      <c r="AR195" s="34" t="str">
        <f aca="false">IF($B195="","",COUNTIF($F195:$AJ195,"CO"))</f>
        <v/>
      </c>
      <c r="AS195" s="34" t="str">
        <f aca="false">IF($B195="","",COUNTIF($F195:$AJ195,"HPL"))</f>
        <v/>
      </c>
      <c r="AT195" s="34" t="str">
        <f aca="false">IF($B195="","",COUNTIF($F195:$AJ195,"HCL"))</f>
        <v/>
      </c>
      <c r="AU195" s="34" t="str">
        <f aca="false">IF($B195="","",COUNTIF($F195:$AJ195,"WO"))</f>
        <v/>
      </c>
      <c r="AV195" s="34" t="str">
        <f aca="false">IF($B195="","",COUNTIF($F195:$AJ195,"PH"))</f>
        <v/>
      </c>
      <c r="AW195" s="34" t="str">
        <f aca="false">IF($B195="","",COUNTIF($F195:$AJ195,"TR"))</f>
        <v/>
      </c>
      <c r="AX195" s="35" t="str">
        <f aca="false">IF($B195="","",AO195+AS195/2)</f>
        <v/>
      </c>
      <c r="AY195" s="35" t="str">
        <f aca="false">IF($B195="","",AQ195)</f>
        <v/>
      </c>
      <c r="AZ195" s="35" t="str">
        <f aca="false">IF($B195="","",AP195+AT195/2)</f>
        <v/>
      </c>
      <c r="BA195" s="35" t="str">
        <f aca="false">IF($B195="","",AK195+AN195+AM195/2+AO195+AP195+AQ195+AR195+AS195+AT195+AU195+AV195+AW195)</f>
        <v/>
      </c>
      <c r="BB195" s="35" t="str">
        <f aca="false">IF($B195="","",MAX(0,AN195-Settings!$C$16)*Settings!$C$17)</f>
        <v/>
      </c>
      <c r="BC195" s="35" t="str">
        <f aca="false">IF($B195="","",BA195-BB195)</f>
        <v/>
      </c>
      <c r="BD195" s="35" t="str">
        <f aca="false">IF(OR($B195="",$A195=""),"",DAY(EOMONTH($A195,0))-COUNTA($F195:$AJ195))</f>
        <v/>
      </c>
    </row>
    <row r="196" customFormat="false" ht="15" hidden="false" customHeight="false" outlineLevel="0" collapsed="false">
      <c r="A196" s="32"/>
      <c r="B196" s="29"/>
      <c r="C196" s="10" t="str">
        <f aca="false">IF($B196="","",IFERROR(INDEX(M_name,MATCH($B196,M_emp,0)),"Code not found"))</f>
        <v/>
      </c>
      <c r="D196" s="10" t="str">
        <f aca="false">IF($B196="","",IFERROR(INDEX(M_dept,MATCH($B196,M_emp,0)),""))</f>
        <v/>
      </c>
      <c r="E196" s="10" t="str">
        <f aca="false">IF($B196="","",IFERROR(INDEX(M_loc,MATCH($B196,M_emp,0)),""))</f>
        <v/>
      </c>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4" t="str">
        <f aca="false">IF($B196="","",COUNTIF($F196:$AJ196,"P"))</f>
        <v/>
      </c>
      <c r="AL196" s="34" t="str">
        <f aca="false">IF($B196="","",COUNTIF($F196:$AJ196,"A"))</f>
        <v/>
      </c>
      <c r="AM196" s="34" t="str">
        <f aca="false">IF($B196="","",COUNTIF($F196:$AJ196,"HA"))</f>
        <v/>
      </c>
      <c r="AN196" s="34" t="str">
        <f aca="false">IF($B196="","",COUNTIF($F196:$AJ196,"L"))</f>
        <v/>
      </c>
      <c r="AO196" s="34" t="str">
        <f aca="false">IF($B196="","",COUNTIF($F196:$AJ196,"PL"))</f>
        <v/>
      </c>
      <c r="AP196" s="34" t="str">
        <f aca="false">IF($B196="","",COUNTIF($F196:$AJ196,"CL"))</f>
        <v/>
      </c>
      <c r="AQ196" s="34" t="str">
        <f aca="false">IF($B196="","",COUNTIF($F196:$AJ196,"SL"))</f>
        <v/>
      </c>
      <c r="AR196" s="34" t="str">
        <f aca="false">IF($B196="","",COUNTIF($F196:$AJ196,"CO"))</f>
        <v/>
      </c>
      <c r="AS196" s="34" t="str">
        <f aca="false">IF($B196="","",COUNTIF($F196:$AJ196,"HPL"))</f>
        <v/>
      </c>
      <c r="AT196" s="34" t="str">
        <f aca="false">IF($B196="","",COUNTIF($F196:$AJ196,"HCL"))</f>
        <v/>
      </c>
      <c r="AU196" s="34" t="str">
        <f aca="false">IF($B196="","",COUNTIF($F196:$AJ196,"WO"))</f>
        <v/>
      </c>
      <c r="AV196" s="34" t="str">
        <f aca="false">IF($B196="","",COUNTIF($F196:$AJ196,"PH"))</f>
        <v/>
      </c>
      <c r="AW196" s="34" t="str">
        <f aca="false">IF($B196="","",COUNTIF($F196:$AJ196,"TR"))</f>
        <v/>
      </c>
      <c r="AX196" s="35" t="str">
        <f aca="false">IF($B196="","",AO196+AS196/2)</f>
        <v/>
      </c>
      <c r="AY196" s="35" t="str">
        <f aca="false">IF($B196="","",AQ196)</f>
        <v/>
      </c>
      <c r="AZ196" s="35" t="str">
        <f aca="false">IF($B196="","",AP196+AT196/2)</f>
        <v/>
      </c>
      <c r="BA196" s="35" t="str">
        <f aca="false">IF($B196="","",AK196+AN196+AM196/2+AO196+AP196+AQ196+AR196+AS196+AT196+AU196+AV196+AW196)</f>
        <v/>
      </c>
      <c r="BB196" s="35" t="str">
        <f aca="false">IF($B196="","",MAX(0,AN196-Settings!$C$16)*Settings!$C$17)</f>
        <v/>
      </c>
      <c r="BC196" s="35" t="str">
        <f aca="false">IF($B196="","",BA196-BB196)</f>
        <v/>
      </c>
      <c r="BD196" s="35" t="str">
        <f aca="false">IF(OR($B196="",$A196=""),"",DAY(EOMONTH($A196,0))-COUNTA($F196:$AJ196))</f>
        <v/>
      </c>
    </row>
    <row r="197" customFormat="false" ht="15" hidden="false" customHeight="false" outlineLevel="0" collapsed="false">
      <c r="A197" s="32"/>
      <c r="B197" s="29"/>
      <c r="C197" s="10" t="str">
        <f aca="false">IF($B197="","",IFERROR(INDEX(M_name,MATCH($B197,M_emp,0)),"Code not found"))</f>
        <v/>
      </c>
      <c r="D197" s="10" t="str">
        <f aca="false">IF($B197="","",IFERROR(INDEX(M_dept,MATCH($B197,M_emp,0)),""))</f>
        <v/>
      </c>
      <c r="E197" s="10" t="str">
        <f aca="false">IF($B197="","",IFERROR(INDEX(M_loc,MATCH($B197,M_emp,0)),""))</f>
        <v/>
      </c>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4" t="str">
        <f aca="false">IF($B197="","",COUNTIF($F197:$AJ197,"P"))</f>
        <v/>
      </c>
      <c r="AL197" s="34" t="str">
        <f aca="false">IF($B197="","",COUNTIF($F197:$AJ197,"A"))</f>
        <v/>
      </c>
      <c r="AM197" s="34" t="str">
        <f aca="false">IF($B197="","",COUNTIF($F197:$AJ197,"HA"))</f>
        <v/>
      </c>
      <c r="AN197" s="34" t="str">
        <f aca="false">IF($B197="","",COUNTIF($F197:$AJ197,"L"))</f>
        <v/>
      </c>
      <c r="AO197" s="34" t="str">
        <f aca="false">IF($B197="","",COUNTIF($F197:$AJ197,"PL"))</f>
        <v/>
      </c>
      <c r="AP197" s="34" t="str">
        <f aca="false">IF($B197="","",COUNTIF($F197:$AJ197,"CL"))</f>
        <v/>
      </c>
      <c r="AQ197" s="34" t="str">
        <f aca="false">IF($B197="","",COUNTIF($F197:$AJ197,"SL"))</f>
        <v/>
      </c>
      <c r="AR197" s="34" t="str">
        <f aca="false">IF($B197="","",COUNTIF($F197:$AJ197,"CO"))</f>
        <v/>
      </c>
      <c r="AS197" s="34" t="str">
        <f aca="false">IF($B197="","",COUNTIF($F197:$AJ197,"HPL"))</f>
        <v/>
      </c>
      <c r="AT197" s="34" t="str">
        <f aca="false">IF($B197="","",COUNTIF($F197:$AJ197,"HCL"))</f>
        <v/>
      </c>
      <c r="AU197" s="34" t="str">
        <f aca="false">IF($B197="","",COUNTIF($F197:$AJ197,"WO"))</f>
        <v/>
      </c>
      <c r="AV197" s="34" t="str">
        <f aca="false">IF($B197="","",COUNTIF($F197:$AJ197,"PH"))</f>
        <v/>
      </c>
      <c r="AW197" s="34" t="str">
        <f aca="false">IF($B197="","",COUNTIF($F197:$AJ197,"TR"))</f>
        <v/>
      </c>
      <c r="AX197" s="35" t="str">
        <f aca="false">IF($B197="","",AO197+AS197/2)</f>
        <v/>
      </c>
      <c r="AY197" s="35" t="str">
        <f aca="false">IF($B197="","",AQ197)</f>
        <v/>
      </c>
      <c r="AZ197" s="35" t="str">
        <f aca="false">IF($B197="","",AP197+AT197/2)</f>
        <v/>
      </c>
      <c r="BA197" s="35" t="str">
        <f aca="false">IF($B197="","",AK197+AN197+AM197/2+AO197+AP197+AQ197+AR197+AS197+AT197+AU197+AV197+AW197)</f>
        <v/>
      </c>
      <c r="BB197" s="35" t="str">
        <f aca="false">IF($B197="","",MAX(0,AN197-Settings!$C$16)*Settings!$C$17)</f>
        <v/>
      </c>
      <c r="BC197" s="35" t="str">
        <f aca="false">IF($B197="","",BA197-BB197)</f>
        <v/>
      </c>
      <c r="BD197" s="35" t="str">
        <f aca="false">IF(OR($B197="",$A197=""),"",DAY(EOMONTH($A197,0))-COUNTA($F197:$AJ197))</f>
        <v/>
      </c>
    </row>
    <row r="198" customFormat="false" ht="15" hidden="false" customHeight="false" outlineLevel="0" collapsed="false">
      <c r="A198" s="32"/>
      <c r="B198" s="29"/>
      <c r="C198" s="10" t="str">
        <f aca="false">IF($B198="","",IFERROR(INDEX(M_name,MATCH($B198,M_emp,0)),"Code not found"))</f>
        <v/>
      </c>
      <c r="D198" s="10" t="str">
        <f aca="false">IF($B198="","",IFERROR(INDEX(M_dept,MATCH($B198,M_emp,0)),""))</f>
        <v/>
      </c>
      <c r="E198" s="10" t="str">
        <f aca="false">IF($B198="","",IFERROR(INDEX(M_loc,MATCH($B198,M_emp,0)),""))</f>
        <v/>
      </c>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4" t="str">
        <f aca="false">IF($B198="","",COUNTIF($F198:$AJ198,"P"))</f>
        <v/>
      </c>
      <c r="AL198" s="34" t="str">
        <f aca="false">IF($B198="","",COUNTIF($F198:$AJ198,"A"))</f>
        <v/>
      </c>
      <c r="AM198" s="34" t="str">
        <f aca="false">IF($B198="","",COUNTIF($F198:$AJ198,"HA"))</f>
        <v/>
      </c>
      <c r="AN198" s="34" t="str">
        <f aca="false">IF($B198="","",COUNTIF($F198:$AJ198,"L"))</f>
        <v/>
      </c>
      <c r="AO198" s="34" t="str">
        <f aca="false">IF($B198="","",COUNTIF($F198:$AJ198,"PL"))</f>
        <v/>
      </c>
      <c r="AP198" s="34" t="str">
        <f aca="false">IF($B198="","",COUNTIF($F198:$AJ198,"CL"))</f>
        <v/>
      </c>
      <c r="AQ198" s="34" t="str">
        <f aca="false">IF($B198="","",COUNTIF($F198:$AJ198,"SL"))</f>
        <v/>
      </c>
      <c r="AR198" s="34" t="str">
        <f aca="false">IF($B198="","",COUNTIF($F198:$AJ198,"CO"))</f>
        <v/>
      </c>
      <c r="AS198" s="34" t="str">
        <f aca="false">IF($B198="","",COUNTIF($F198:$AJ198,"HPL"))</f>
        <v/>
      </c>
      <c r="AT198" s="34" t="str">
        <f aca="false">IF($B198="","",COUNTIF($F198:$AJ198,"HCL"))</f>
        <v/>
      </c>
      <c r="AU198" s="34" t="str">
        <f aca="false">IF($B198="","",COUNTIF($F198:$AJ198,"WO"))</f>
        <v/>
      </c>
      <c r="AV198" s="34" t="str">
        <f aca="false">IF($B198="","",COUNTIF($F198:$AJ198,"PH"))</f>
        <v/>
      </c>
      <c r="AW198" s="34" t="str">
        <f aca="false">IF($B198="","",COUNTIF($F198:$AJ198,"TR"))</f>
        <v/>
      </c>
      <c r="AX198" s="35" t="str">
        <f aca="false">IF($B198="","",AO198+AS198/2)</f>
        <v/>
      </c>
      <c r="AY198" s="35" t="str">
        <f aca="false">IF($B198="","",AQ198)</f>
        <v/>
      </c>
      <c r="AZ198" s="35" t="str">
        <f aca="false">IF($B198="","",AP198+AT198/2)</f>
        <v/>
      </c>
      <c r="BA198" s="35" t="str">
        <f aca="false">IF($B198="","",AK198+AN198+AM198/2+AO198+AP198+AQ198+AR198+AS198+AT198+AU198+AV198+AW198)</f>
        <v/>
      </c>
      <c r="BB198" s="35" t="str">
        <f aca="false">IF($B198="","",MAX(0,AN198-Settings!$C$16)*Settings!$C$17)</f>
        <v/>
      </c>
      <c r="BC198" s="35" t="str">
        <f aca="false">IF($B198="","",BA198-BB198)</f>
        <v/>
      </c>
      <c r="BD198" s="35" t="str">
        <f aca="false">IF(OR($B198="",$A198=""),"",DAY(EOMONTH($A198,0))-COUNTA($F198:$AJ198))</f>
        <v/>
      </c>
    </row>
    <row r="199" customFormat="false" ht="15" hidden="false" customHeight="false" outlineLevel="0" collapsed="false">
      <c r="A199" s="32"/>
      <c r="B199" s="29"/>
      <c r="C199" s="10" t="str">
        <f aca="false">IF($B199="","",IFERROR(INDEX(M_name,MATCH($B199,M_emp,0)),"Code not found"))</f>
        <v/>
      </c>
      <c r="D199" s="10" t="str">
        <f aca="false">IF($B199="","",IFERROR(INDEX(M_dept,MATCH($B199,M_emp,0)),""))</f>
        <v/>
      </c>
      <c r="E199" s="10" t="str">
        <f aca="false">IF($B199="","",IFERROR(INDEX(M_loc,MATCH($B199,M_emp,0)),""))</f>
        <v/>
      </c>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4" t="str">
        <f aca="false">IF($B199="","",COUNTIF($F199:$AJ199,"P"))</f>
        <v/>
      </c>
      <c r="AL199" s="34" t="str">
        <f aca="false">IF($B199="","",COUNTIF($F199:$AJ199,"A"))</f>
        <v/>
      </c>
      <c r="AM199" s="34" t="str">
        <f aca="false">IF($B199="","",COUNTIF($F199:$AJ199,"HA"))</f>
        <v/>
      </c>
      <c r="AN199" s="34" t="str">
        <f aca="false">IF($B199="","",COUNTIF($F199:$AJ199,"L"))</f>
        <v/>
      </c>
      <c r="AO199" s="34" t="str">
        <f aca="false">IF($B199="","",COUNTIF($F199:$AJ199,"PL"))</f>
        <v/>
      </c>
      <c r="AP199" s="34" t="str">
        <f aca="false">IF($B199="","",COUNTIF($F199:$AJ199,"CL"))</f>
        <v/>
      </c>
      <c r="AQ199" s="34" t="str">
        <f aca="false">IF($B199="","",COUNTIF($F199:$AJ199,"SL"))</f>
        <v/>
      </c>
      <c r="AR199" s="34" t="str">
        <f aca="false">IF($B199="","",COUNTIF($F199:$AJ199,"CO"))</f>
        <v/>
      </c>
      <c r="AS199" s="34" t="str">
        <f aca="false">IF($B199="","",COUNTIF($F199:$AJ199,"HPL"))</f>
        <v/>
      </c>
      <c r="AT199" s="34" t="str">
        <f aca="false">IF($B199="","",COUNTIF($F199:$AJ199,"HCL"))</f>
        <v/>
      </c>
      <c r="AU199" s="34" t="str">
        <f aca="false">IF($B199="","",COUNTIF($F199:$AJ199,"WO"))</f>
        <v/>
      </c>
      <c r="AV199" s="34" t="str">
        <f aca="false">IF($B199="","",COUNTIF($F199:$AJ199,"PH"))</f>
        <v/>
      </c>
      <c r="AW199" s="34" t="str">
        <f aca="false">IF($B199="","",COUNTIF($F199:$AJ199,"TR"))</f>
        <v/>
      </c>
      <c r="AX199" s="35" t="str">
        <f aca="false">IF($B199="","",AO199+AS199/2)</f>
        <v/>
      </c>
      <c r="AY199" s="35" t="str">
        <f aca="false">IF($B199="","",AQ199)</f>
        <v/>
      </c>
      <c r="AZ199" s="35" t="str">
        <f aca="false">IF($B199="","",AP199+AT199/2)</f>
        <v/>
      </c>
      <c r="BA199" s="35" t="str">
        <f aca="false">IF($B199="","",AK199+AN199+AM199/2+AO199+AP199+AQ199+AR199+AS199+AT199+AU199+AV199+AW199)</f>
        <v/>
      </c>
      <c r="BB199" s="35" t="str">
        <f aca="false">IF($B199="","",MAX(0,AN199-Settings!$C$16)*Settings!$C$17)</f>
        <v/>
      </c>
      <c r="BC199" s="35" t="str">
        <f aca="false">IF($B199="","",BA199-BB199)</f>
        <v/>
      </c>
      <c r="BD199" s="35" t="str">
        <f aca="false">IF(OR($B199="",$A199=""),"",DAY(EOMONTH($A199,0))-COUNTA($F199:$AJ199))</f>
        <v/>
      </c>
    </row>
    <row r="200" customFormat="false" ht="15" hidden="false" customHeight="false" outlineLevel="0" collapsed="false">
      <c r="A200" s="32"/>
      <c r="B200" s="29"/>
      <c r="C200" s="10" t="str">
        <f aca="false">IF($B200="","",IFERROR(INDEX(M_name,MATCH($B200,M_emp,0)),"Code not found"))</f>
        <v/>
      </c>
      <c r="D200" s="10" t="str">
        <f aca="false">IF($B200="","",IFERROR(INDEX(M_dept,MATCH($B200,M_emp,0)),""))</f>
        <v/>
      </c>
      <c r="E200" s="10" t="str">
        <f aca="false">IF($B200="","",IFERROR(INDEX(M_loc,MATCH($B200,M_emp,0)),""))</f>
        <v/>
      </c>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4" t="str">
        <f aca="false">IF($B200="","",COUNTIF($F200:$AJ200,"P"))</f>
        <v/>
      </c>
      <c r="AL200" s="34" t="str">
        <f aca="false">IF($B200="","",COUNTIF($F200:$AJ200,"A"))</f>
        <v/>
      </c>
      <c r="AM200" s="34" t="str">
        <f aca="false">IF($B200="","",COUNTIF($F200:$AJ200,"HA"))</f>
        <v/>
      </c>
      <c r="AN200" s="34" t="str">
        <f aca="false">IF($B200="","",COUNTIF($F200:$AJ200,"L"))</f>
        <v/>
      </c>
      <c r="AO200" s="34" t="str">
        <f aca="false">IF($B200="","",COUNTIF($F200:$AJ200,"PL"))</f>
        <v/>
      </c>
      <c r="AP200" s="34" t="str">
        <f aca="false">IF($B200="","",COUNTIF($F200:$AJ200,"CL"))</f>
        <v/>
      </c>
      <c r="AQ200" s="34" t="str">
        <f aca="false">IF($B200="","",COUNTIF($F200:$AJ200,"SL"))</f>
        <v/>
      </c>
      <c r="AR200" s="34" t="str">
        <f aca="false">IF($B200="","",COUNTIF($F200:$AJ200,"CO"))</f>
        <v/>
      </c>
      <c r="AS200" s="34" t="str">
        <f aca="false">IF($B200="","",COUNTIF($F200:$AJ200,"HPL"))</f>
        <v/>
      </c>
      <c r="AT200" s="34" t="str">
        <f aca="false">IF($B200="","",COUNTIF($F200:$AJ200,"HCL"))</f>
        <v/>
      </c>
      <c r="AU200" s="34" t="str">
        <f aca="false">IF($B200="","",COUNTIF($F200:$AJ200,"WO"))</f>
        <v/>
      </c>
      <c r="AV200" s="34" t="str">
        <f aca="false">IF($B200="","",COUNTIF($F200:$AJ200,"PH"))</f>
        <v/>
      </c>
      <c r="AW200" s="34" t="str">
        <f aca="false">IF($B200="","",COUNTIF($F200:$AJ200,"TR"))</f>
        <v/>
      </c>
      <c r="AX200" s="35" t="str">
        <f aca="false">IF($B200="","",AO200+AS200/2)</f>
        <v/>
      </c>
      <c r="AY200" s="35" t="str">
        <f aca="false">IF($B200="","",AQ200)</f>
        <v/>
      </c>
      <c r="AZ200" s="35" t="str">
        <f aca="false">IF($B200="","",AP200+AT200/2)</f>
        <v/>
      </c>
      <c r="BA200" s="35" t="str">
        <f aca="false">IF($B200="","",AK200+AN200+AM200/2+AO200+AP200+AQ200+AR200+AS200+AT200+AU200+AV200+AW200)</f>
        <v/>
      </c>
      <c r="BB200" s="35" t="str">
        <f aca="false">IF($B200="","",MAX(0,AN200-Settings!$C$16)*Settings!$C$17)</f>
        <v/>
      </c>
      <c r="BC200" s="35" t="str">
        <f aca="false">IF($B200="","",BA200-BB200)</f>
        <v/>
      </c>
      <c r="BD200" s="35" t="str">
        <f aca="false">IF(OR($B200="",$A200=""),"",DAY(EOMONTH($A200,0))-COUNTA($F200:$AJ200))</f>
        <v/>
      </c>
    </row>
    <row r="201" customFormat="false" ht="15" hidden="false" customHeight="false" outlineLevel="0" collapsed="false">
      <c r="A201" s="32"/>
      <c r="B201" s="29"/>
      <c r="C201" s="10" t="str">
        <f aca="false">IF($B201="","",IFERROR(INDEX(M_name,MATCH($B201,M_emp,0)),"Code not found"))</f>
        <v/>
      </c>
      <c r="D201" s="10" t="str">
        <f aca="false">IF($B201="","",IFERROR(INDEX(M_dept,MATCH($B201,M_emp,0)),""))</f>
        <v/>
      </c>
      <c r="E201" s="10" t="str">
        <f aca="false">IF($B201="","",IFERROR(INDEX(M_loc,MATCH($B201,M_emp,0)),""))</f>
        <v/>
      </c>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4" t="str">
        <f aca="false">IF($B201="","",COUNTIF($F201:$AJ201,"P"))</f>
        <v/>
      </c>
      <c r="AL201" s="34" t="str">
        <f aca="false">IF($B201="","",COUNTIF($F201:$AJ201,"A"))</f>
        <v/>
      </c>
      <c r="AM201" s="34" t="str">
        <f aca="false">IF($B201="","",COUNTIF($F201:$AJ201,"HA"))</f>
        <v/>
      </c>
      <c r="AN201" s="34" t="str">
        <f aca="false">IF($B201="","",COUNTIF($F201:$AJ201,"L"))</f>
        <v/>
      </c>
      <c r="AO201" s="34" t="str">
        <f aca="false">IF($B201="","",COUNTIF($F201:$AJ201,"PL"))</f>
        <v/>
      </c>
      <c r="AP201" s="34" t="str">
        <f aca="false">IF($B201="","",COUNTIF($F201:$AJ201,"CL"))</f>
        <v/>
      </c>
      <c r="AQ201" s="34" t="str">
        <f aca="false">IF($B201="","",COUNTIF($F201:$AJ201,"SL"))</f>
        <v/>
      </c>
      <c r="AR201" s="34" t="str">
        <f aca="false">IF($B201="","",COUNTIF($F201:$AJ201,"CO"))</f>
        <v/>
      </c>
      <c r="AS201" s="34" t="str">
        <f aca="false">IF($B201="","",COUNTIF($F201:$AJ201,"HPL"))</f>
        <v/>
      </c>
      <c r="AT201" s="34" t="str">
        <f aca="false">IF($B201="","",COUNTIF($F201:$AJ201,"HCL"))</f>
        <v/>
      </c>
      <c r="AU201" s="34" t="str">
        <f aca="false">IF($B201="","",COUNTIF($F201:$AJ201,"WO"))</f>
        <v/>
      </c>
      <c r="AV201" s="34" t="str">
        <f aca="false">IF($B201="","",COUNTIF($F201:$AJ201,"PH"))</f>
        <v/>
      </c>
      <c r="AW201" s="34" t="str">
        <f aca="false">IF($B201="","",COUNTIF($F201:$AJ201,"TR"))</f>
        <v/>
      </c>
      <c r="AX201" s="35" t="str">
        <f aca="false">IF($B201="","",AO201+AS201/2)</f>
        <v/>
      </c>
      <c r="AY201" s="35" t="str">
        <f aca="false">IF($B201="","",AQ201)</f>
        <v/>
      </c>
      <c r="AZ201" s="35" t="str">
        <f aca="false">IF($B201="","",AP201+AT201/2)</f>
        <v/>
      </c>
      <c r="BA201" s="35" t="str">
        <f aca="false">IF($B201="","",AK201+AN201+AM201/2+AO201+AP201+AQ201+AR201+AS201+AT201+AU201+AV201+AW201)</f>
        <v/>
      </c>
      <c r="BB201" s="35" t="str">
        <f aca="false">IF($B201="","",MAX(0,AN201-Settings!$C$16)*Settings!$C$17)</f>
        <v/>
      </c>
      <c r="BC201" s="35" t="str">
        <f aca="false">IF($B201="","",BA201-BB201)</f>
        <v/>
      </c>
      <c r="BD201" s="35" t="str">
        <f aca="false">IF(OR($B201="",$A201=""),"",DAY(EOMONTH($A201,0))-COUNTA($F201:$AJ201))</f>
        <v/>
      </c>
    </row>
    <row r="202" customFormat="false" ht="15" hidden="false" customHeight="false" outlineLevel="0" collapsed="false">
      <c r="A202" s="32"/>
      <c r="B202" s="29"/>
      <c r="C202" s="10" t="str">
        <f aca="false">IF($B202="","",IFERROR(INDEX(M_name,MATCH($B202,M_emp,0)),"Code not found"))</f>
        <v/>
      </c>
      <c r="D202" s="10" t="str">
        <f aca="false">IF($B202="","",IFERROR(INDEX(M_dept,MATCH($B202,M_emp,0)),""))</f>
        <v/>
      </c>
      <c r="E202" s="10" t="str">
        <f aca="false">IF($B202="","",IFERROR(INDEX(M_loc,MATCH($B202,M_emp,0)),""))</f>
        <v/>
      </c>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4" t="str">
        <f aca="false">IF($B202="","",COUNTIF($F202:$AJ202,"P"))</f>
        <v/>
      </c>
      <c r="AL202" s="34" t="str">
        <f aca="false">IF($B202="","",COUNTIF($F202:$AJ202,"A"))</f>
        <v/>
      </c>
      <c r="AM202" s="34" t="str">
        <f aca="false">IF($B202="","",COUNTIF($F202:$AJ202,"HA"))</f>
        <v/>
      </c>
      <c r="AN202" s="34" t="str">
        <f aca="false">IF($B202="","",COUNTIF($F202:$AJ202,"L"))</f>
        <v/>
      </c>
      <c r="AO202" s="34" t="str">
        <f aca="false">IF($B202="","",COUNTIF($F202:$AJ202,"PL"))</f>
        <v/>
      </c>
      <c r="AP202" s="34" t="str">
        <f aca="false">IF($B202="","",COUNTIF($F202:$AJ202,"CL"))</f>
        <v/>
      </c>
      <c r="AQ202" s="34" t="str">
        <f aca="false">IF($B202="","",COUNTIF($F202:$AJ202,"SL"))</f>
        <v/>
      </c>
      <c r="AR202" s="34" t="str">
        <f aca="false">IF($B202="","",COUNTIF($F202:$AJ202,"CO"))</f>
        <v/>
      </c>
      <c r="AS202" s="34" t="str">
        <f aca="false">IF($B202="","",COUNTIF($F202:$AJ202,"HPL"))</f>
        <v/>
      </c>
      <c r="AT202" s="34" t="str">
        <f aca="false">IF($B202="","",COUNTIF($F202:$AJ202,"HCL"))</f>
        <v/>
      </c>
      <c r="AU202" s="34" t="str">
        <f aca="false">IF($B202="","",COUNTIF($F202:$AJ202,"WO"))</f>
        <v/>
      </c>
      <c r="AV202" s="34" t="str">
        <f aca="false">IF($B202="","",COUNTIF($F202:$AJ202,"PH"))</f>
        <v/>
      </c>
      <c r="AW202" s="34" t="str">
        <f aca="false">IF($B202="","",COUNTIF($F202:$AJ202,"TR"))</f>
        <v/>
      </c>
      <c r="AX202" s="35" t="str">
        <f aca="false">IF($B202="","",AO202+AS202/2)</f>
        <v/>
      </c>
      <c r="AY202" s="35" t="str">
        <f aca="false">IF($B202="","",AQ202)</f>
        <v/>
      </c>
      <c r="AZ202" s="35" t="str">
        <f aca="false">IF($B202="","",AP202+AT202/2)</f>
        <v/>
      </c>
      <c r="BA202" s="35" t="str">
        <f aca="false">IF($B202="","",AK202+AN202+AM202/2+AO202+AP202+AQ202+AR202+AS202+AT202+AU202+AV202+AW202)</f>
        <v/>
      </c>
      <c r="BB202" s="35" t="str">
        <f aca="false">IF($B202="","",MAX(0,AN202-Settings!$C$16)*Settings!$C$17)</f>
        <v/>
      </c>
      <c r="BC202" s="35" t="str">
        <f aca="false">IF($B202="","",BA202-BB202)</f>
        <v/>
      </c>
      <c r="BD202" s="35" t="str">
        <f aca="false">IF(OR($B202="",$A202=""),"",DAY(EOMONTH($A202,0))-COUNTA($F202:$AJ202))</f>
        <v/>
      </c>
    </row>
    <row r="203" customFormat="false" ht="15" hidden="false" customHeight="false" outlineLevel="0" collapsed="false">
      <c r="A203" s="32"/>
      <c r="B203" s="29"/>
      <c r="C203" s="10" t="str">
        <f aca="false">IF($B203="","",IFERROR(INDEX(M_name,MATCH($B203,M_emp,0)),"Code not found"))</f>
        <v/>
      </c>
      <c r="D203" s="10" t="str">
        <f aca="false">IF($B203="","",IFERROR(INDEX(M_dept,MATCH($B203,M_emp,0)),""))</f>
        <v/>
      </c>
      <c r="E203" s="10" t="str">
        <f aca="false">IF($B203="","",IFERROR(INDEX(M_loc,MATCH($B203,M_emp,0)),""))</f>
        <v/>
      </c>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4" t="str">
        <f aca="false">IF($B203="","",COUNTIF($F203:$AJ203,"P"))</f>
        <v/>
      </c>
      <c r="AL203" s="34" t="str">
        <f aca="false">IF($B203="","",COUNTIF($F203:$AJ203,"A"))</f>
        <v/>
      </c>
      <c r="AM203" s="34" t="str">
        <f aca="false">IF($B203="","",COUNTIF($F203:$AJ203,"HA"))</f>
        <v/>
      </c>
      <c r="AN203" s="34" t="str">
        <f aca="false">IF($B203="","",COUNTIF($F203:$AJ203,"L"))</f>
        <v/>
      </c>
      <c r="AO203" s="34" t="str">
        <f aca="false">IF($B203="","",COUNTIF($F203:$AJ203,"PL"))</f>
        <v/>
      </c>
      <c r="AP203" s="34" t="str">
        <f aca="false">IF($B203="","",COUNTIF($F203:$AJ203,"CL"))</f>
        <v/>
      </c>
      <c r="AQ203" s="34" t="str">
        <f aca="false">IF($B203="","",COUNTIF($F203:$AJ203,"SL"))</f>
        <v/>
      </c>
      <c r="AR203" s="34" t="str">
        <f aca="false">IF($B203="","",COUNTIF($F203:$AJ203,"CO"))</f>
        <v/>
      </c>
      <c r="AS203" s="34" t="str">
        <f aca="false">IF($B203="","",COUNTIF($F203:$AJ203,"HPL"))</f>
        <v/>
      </c>
      <c r="AT203" s="34" t="str">
        <f aca="false">IF($B203="","",COUNTIF($F203:$AJ203,"HCL"))</f>
        <v/>
      </c>
      <c r="AU203" s="34" t="str">
        <f aca="false">IF($B203="","",COUNTIF($F203:$AJ203,"WO"))</f>
        <v/>
      </c>
      <c r="AV203" s="34" t="str">
        <f aca="false">IF($B203="","",COUNTIF($F203:$AJ203,"PH"))</f>
        <v/>
      </c>
      <c r="AW203" s="34" t="str">
        <f aca="false">IF($B203="","",COUNTIF($F203:$AJ203,"TR"))</f>
        <v/>
      </c>
      <c r="AX203" s="35" t="str">
        <f aca="false">IF($B203="","",AO203+AS203/2)</f>
        <v/>
      </c>
      <c r="AY203" s="35" t="str">
        <f aca="false">IF($B203="","",AQ203)</f>
        <v/>
      </c>
      <c r="AZ203" s="35" t="str">
        <f aca="false">IF($B203="","",AP203+AT203/2)</f>
        <v/>
      </c>
      <c r="BA203" s="35" t="str">
        <f aca="false">IF($B203="","",AK203+AN203+AM203/2+AO203+AP203+AQ203+AR203+AS203+AT203+AU203+AV203+AW203)</f>
        <v/>
      </c>
      <c r="BB203" s="35" t="str">
        <f aca="false">IF($B203="","",MAX(0,AN203-Settings!$C$16)*Settings!$C$17)</f>
        <v/>
      </c>
      <c r="BC203" s="35" t="str">
        <f aca="false">IF($B203="","",BA203-BB203)</f>
        <v/>
      </c>
      <c r="BD203" s="35" t="str">
        <f aca="false">IF(OR($B203="",$A203=""),"",DAY(EOMONTH($A203,0))-COUNTA($F203:$AJ203))</f>
        <v/>
      </c>
    </row>
    <row r="204" customFormat="false" ht="15" hidden="false" customHeight="false" outlineLevel="0" collapsed="false">
      <c r="A204" s="32"/>
      <c r="B204" s="29"/>
      <c r="C204" s="10" t="str">
        <f aca="false">IF($B204="","",IFERROR(INDEX(M_name,MATCH($B204,M_emp,0)),"Code not found"))</f>
        <v/>
      </c>
      <c r="D204" s="10" t="str">
        <f aca="false">IF($B204="","",IFERROR(INDEX(M_dept,MATCH($B204,M_emp,0)),""))</f>
        <v/>
      </c>
      <c r="E204" s="10" t="str">
        <f aca="false">IF($B204="","",IFERROR(INDEX(M_loc,MATCH($B204,M_emp,0)),""))</f>
        <v/>
      </c>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4" t="str">
        <f aca="false">IF($B204="","",COUNTIF($F204:$AJ204,"P"))</f>
        <v/>
      </c>
      <c r="AL204" s="34" t="str">
        <f aca="false">IF($B204="","",COUNTIF($F204:$AJ204,"A"))</f>
        <v/>
      </c>
      <c r="AM204" s="34" t="str">
        <f aca="false">IF($B204="","",COUNTIF($F204:$AJ204,"HA"))</f>
        <v/>
      </c>
      <c r="AN204" s="34" t="str">
        <f aca="false">IF($B204="","",COUNTIF($F204:$AJ204,"L"))</f>
        <v/>
      </c>
      <c r="AO204" s="34" t="str">
        <f aca="false">IF($B204="","",COUNTIF($F204:$AJ204,"PL"))</f>
        <v/>
      </c>
      <c r="AP204" s="34" t="str">
        <f aca="false">IF($B204="","",COUNTIF($F204:$AJ204,"CL"))</f>
        <v/>
      </c>
      <c r="AQ204" s="34" t="str">
        <f aca="false">IF($B204="","",COUNTIF($F204:$AJ204,"SL"))</f>
        <v/>
      </c>
      <c r="AR204" s="34" t="str">
        <f aca="false">IF($B204="","",COUNTIF($F204:$AJ204,"CO"))</f>
        <v/>
      </c>
      <c r="AS204" s="34" t="str">
        <f aca="false">IF($B204="","",COUNTIF($F204:$AJ204,"HPL"))</f>
        <v/>
      </c>
      <c r="AT204" s="34" t="str">
        <f aca="false">IF($B204="","",COUNTIF($F204:$AJ204,"HCL"))</f>
        <v/>
      </c>
      <c r="AU204" s="34" t="str">
        <f aca="false">IF($B204="","",COUNTIF($F204:$AJ204,"WO"))</f>
        <v/>
      </c>
      <c r="AV204" s="34" t="str">
        <f aca="false">IF($B204="","",COUNTIF($F204:$AJ204,"PH"))</f>
        <v/>
      </c>
      <c r="AW204" s="34" t="str">
        <f aca="false">IF($B204="","",COUNTIF($F204:$AJ204,"TR"))</f>
        <v/>
      </c>
      <c r="AX204" s="35" t="str">
        <f aca="false">IF($B204="","",AO204+AS204/2)</f>
        <v/>
      </c>
      <c r="AY204" s="35" t="str">
        <f aca="false">IF($B204="","",AQ204)</f>
        <v/>
      </c>
      <c r="AZ204" s="35" t="str">
        <f aca="false">IF($B204="","",AP204+AT204/2)</f>
        <v/>
      </c>
      <c r="BA204" s="35" t="str">
        <f aca="false">IF($B204="","",AK204+AN204+AM204/2+AO204+AP204+AQ204+AR204+AS204+AT204+AU204+AV204+AW204)</f>
        <v/>
      </c>
      <c r="BB204" s="35" t="str">
        <f aca="false">IF($B204="","",MAX(0,AN204-Settings!$C$16)*Settings!$C$17)</f>
        <v/>
      </c>
      <c r="BC204" s="35" t="str">
        <f aca="false">IF($B204="","",BA204-BB204)</f>
        <v/>
      </c>
      <c r="BD204" s="35" t="str">
        <f aca="false">IF(OR($B204="",$A204=""),"",DAY(EOMONTH($A204,0))-COUNTA($F204:$AJ204))</f>
        <v/>
      </c>
    </row>
    <row r="205" customFormat="false" ht="15" hidden="false" customHeight="false" outlineLevel="0" collapsed="false">
      <c r="A205" s="32"/>
      <c r="B205" s="29"/>
      <c r="C205" s="10" t="str">
        <f aca="false">IF($B205="","",IFERROR(INDEX(M_name,MATCH($B205,M_emp,0)),"Code not found"))</f>
        <v/>
      </c>
      <c r="D205" s="10" t="str">
        <f aca="false">IF($B205="","",IFERROR(INDEX(M_dept,MATCH($B205,M_emp,0)),""))</f>
        <v/>
      </c>
      <c r="E205" s="10" t="str">
        <f aca="false">IF($B205="","",IFERROR(INDEX(M_loc,MATCH($B205,M_emp,0)),""))</f>
        <v/>
      </c>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4" t="str">
        <f aca="false">IF($B205="","",COUNTIF($F205:$AJ205,"P"))</f>
        <v/>
      </c>
      <c r="AL205" s="34" t="str">
        <f aca="false">IF($B205="","",COUNTIF($F205:$AJ205,"A"))</f>
        <v/>
      </c>
      <c r="AM205" s="34" t="str">
        <f aca="false">IF($B205="","",COUNTIF($F205:$AJ205,"HA"))</f>
        <v/>
      </c>
      <c r="AN205" s="34" t="str">
        <f aca="false">IF($B205="","",COUNTIF($F205:$AJ205,"L"))</f>
        <v/>
      </c>
      <c r="AO205" s="34" t="str">
        <f aca="false">IF($B205="","",COUNTIF($F205:$AJ205,"PL"))</f>
        <v/>
      </c>
      <c r="AP205" s="34" t="str">
        <f aca="false">IF($B205="","",COUNTIF($F205:$AJ205,"CL"))</f>
        <v/>
      </c>
      <c r="AQ205" s="34" t="str">
        <f aca="false">IF($B205="","",COUNTIF($F205:$AJ205,"SL"))</f>
        <v/>
      </c>
      <c r="AR205" s="34" t="str">
        <f aca="false">IF($B205="","",COUNTIF($F205:$AJ205,"CO"))</f>
        <v/>
      </c>
      <c r="AS205" s="34" t="str">
        <f aca="false">IF($B205="","",COUNTIF($F205:$AJ205,"HPL"))</f>
        <v/>
      </c>
      <c r="AT205" s="34" t="str">
        <f aca="false">IF($B205="","",COUNTIF($F205:$AJ205,"HCL"))</f>
        <v/>
      </c>
      <c r="AU205" s="34" t="str">
        <f aca="false">IF($B205="","",COUNTIF($F205:$AJ205,"WO"))</f>
        <v/>
      </c>
      <c r="AV205" s="34" t="str">
        <f aca="false">IF($B205="","",COUNTIF($F205:$AJ205,"PH"))</f>
        <v/>
      </c>
      <c r="AW205" s="34" t="str">
        <f aca="false">IF($B205="","",COUNTIF($F205:$AJ205,"TR"))</f>
        <v/>
      </c>
      <c r="AX205" s="35" t="str">
        <f aca="false">IF($B205="","",AO205+AS205/2)</f>
        <v/>
      </c>
      <c r="AY205" s="35" t="str">
        <f aca="false">IF($B205="","",AQ205)</f>
        <v/>
      </c>
      <c r="AZ205" s="35" t="str">
        <f aca="false">IF($B205="","",AP205+AT205/2)</f>
        <v/>
      </c>
      <c r="BA205" s="35" t="str">
        <f aca="false">IF($B205="","",AK205+AN205+AM205/2+AO205+AP205+AQ205+AR205+AS205+AT205+AU205+AV205+AW205)</f>
        <v/>
      </c>
      <c r="BB205" s="35" t="str">
        <f aca="false">IF($B205="","",MAX(0,AN205-Settings!$C$16)*Settings!$C$17)</f>
        <v/>
      </c>
      <c r="BC205" s="35" t="str">
        <f aca="false">IF($B205="","",BA205-BB205)</f>
        <v/>
      </c>
      <c r="BD205" s="35" t="str">
        <f aca="false">IF(OR($B205="",$A205=""),"",DAY(EOMONTH($A205,0))-COUNTA($F205:$AJ205))</f>
        <v/>
      </c>
    </row>
    <row r="206" customFormat="false" ht="15" hidden="false" customHeight="false" outlineLevel="0" collapsed="false">
      <c r="A206" s="32"/>
      <c r="B206" s="29"/>
      <c r="C206" s="10" t="str">
        <f aca="false">IF($B206="","",IFERROR(INDEX(M_name,MATCH($B206,M_emp,0)),"Code not found"))</f>
        <v/>
      </c>
      <c r="D206" s="10" t="str">
        <f aca="false">IF($B206="","",IFERROR(INDEX(M_dept,MATCH($B206,M_emp,0)),""))</f>
        <v/>
      </c>
      <c r="E206" s="10" t="str">
        <f aca="false">IF($B206="","",IFERROR(INDEX(M_loc,MATCH($B206,M_emp,0)),""))</f>
        <v/>
      </c>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4" t="str">
        <f aca="false">IF($B206="","",COUNTIF($F206:$AJ206,"P"))</f>
        <v/>
      </c>
      <c r="AL206" s="34" t="str">
        <f aca="false">IF($B206="","",COUNTIF($F206:$AJ206,"A"))</f>
        <v/>
      </c>
      <c r="AM206" s="34" t="str">
        <f aca="false">IF($B206="","",COUNTIF($F206:$AJ206,"HA"))</f>
        <v/>
      </c>
      <c r="AN206" s="34" t="str">
        <f aca="false">IF($B206="","",COUNTIF($F206:$AJ206,"L"))</f>
        <v/>
      </c>
      <c r="AO206" s="34" t="str">
        <f aca="false">IF($B206="","",COUNTIF($F206:$AJ206,"PL"))</f>
        <v/>
      </c>
      <c r="AP206" s="34" t="str">
        <f aca="false">IF($B206="","",COUNTIF($F206:$AJ206,"CL"))</f>
        <v/>
      </c>
      <c r="AQ206" s="34" t="str">
        <f aca="false">IF($B206="","",COUNTIF($F206:$AJ206,"SL"))</f>
        <v/>
      </c>
      <c r="AR206" s="34" t="str">
        <f aca="false">IF($B206="","",COUNTIF($F206:$AJ206,"CO"))</f>
        <v/>
      </c>
      <c r="AS206" s="34" t="str">
        <f aca="false">IF($B206="","",COUNTIF($F206:$AJ206,"HPL"))</f>
        <v/>
      </c>
      <c r="AT206" s="34" t="str">
        <f aca="false">IF($B206="","",COUNTIF($F206:$AJ206,"HCL"))</f>
        <v/>
      </c>
      <c r="AU206" s="34" t="str">
        <f aca="false">IF($B206="","",COUNTIF($F206:$AJ206,"WO"))</f>
        <v/>
      </c>
      <c r="AV206" s="34" t="str">
        <f aca="false">IF($B206="","",COUNTIF($F206:$AJ206,"PH"))</f>
        <v/>
      </c>
      <c r="AW206" s="34" t="str">
        <f aca="false">IF($B206="","",COUNTIF($F206:$AJ206,"TR"))</f>
        <v/>
      </c>
      <c r="AX206" s="35" t="str">
        <f aca="false">IF($B206="","",AO206+AS206/2)</f>
        <v/>
      </c>
      <c r="AY206" s="35" t="str">
        <f aca="false">IF($B206="","",AQ206)</f>
        <v/>
      </c>
      <c r="AZ206" s="35" t="str">
        <f aca="false">IF($B206="","",AP206+AT206/2)</f>
        <v/>
      </c>
      <c r="BA206" s="35" t="str">
        <f aca="false">IF($B206="","",AK206+AN206+AM206/2+AO206+AP206+AQ206+AR206+AS206+AT206+AU206+AV206+AW206)</f>
        <v/>
      </c>
      <c r="BB206" s="35" t="str">
        <f aca="false">IF($B206="","",MAX(0,AN206-Settings!$C$16)*Settings!$C$17)</f>
        <v/>
      </c>
      <c r="BC206" s="35" t="str">
        <f aca="false">IF($B206="","",BA206-BB206)</f>
        <v/>
      </c>
      <c r="BD206" s="35" t="str">
        <f aca="false">IF(OR($B206="",$A206=""),"",DAY(EOMONTH($A206,0))-COUNTA($F206:$AJ206))</f>
        <v/>
      </c>
    </row>
    <row r="207" customFormat="false" ht="15" hidden="false" customHeight="false" outlineLevel="0" collapsed="false">
      <c r="A207" s="32"/>
      <c r="B207" s="29"/>
      <c r="C207" s="10" t="str">
        <f aca="false">IF($B207="","",IFERROR(INDEX(M_name,MATCH($B207,M_emp,0)),"Code not found"))</f>
        <v/>
      </c>
      <c r="D207" s="10" t="str">
        <f aca="false">IF($B207="","",IFERROR(INDEX(M_dept,MATCH($B207,M_emp,0)),""))</f>
        <v/>
      </c>
      <c r="E207" s="10" t="str">
        <f aca="false">IF($B207="","",IFERROR(INDEX(M_loc,MATCH($B207,M_emp,0)),""))</f>
        <v/>
      </c>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4" t="str">
        <f aca="false">IF($B207="","",COUNTIF($F207:$AJ207,"P"))</f>
        <v/>
      </c>
      <c r="AL207" s="34" t="str">
        <f aca="false">IF($B207="","",COUNTIF($F207:$AJ207,"A"))</f>
        <v/>
      </c>
      <c r="AM207" s="34" t="str">
        <f aca="false">IF($B207="","",COUNTIF($F207:$AJ207,"HA"))</f>
        <v/>
      </c>
      <c r="AN207" s="34" t="str">
        <f aca="false">IF($B207="","",COUNTIF($F207:$AJ207,"L"))</f>
        <v/>
      </c>
      <c r="AO207" s="34" t="str">
        <f aca="false">IF($B207="","",COUNTIF($F207:$AJ207,"PL"))</f>
        <v/>
      </c>
      <c r="AP207" s="34" t="str">
        <f aca="false">IF($B207="","",COUNTIF($F207:$AJ207,"CL"))</f>
        <v/>
      </c>
      <c r="AQ207" s="34" t="str">
        <f aca="false">IF($B207="","",COUNTIF($F207:$AJ207,"SL"))</f>
        <v/>
      </c>
      <c r="AR207" s="34" t="str">
        <f aca="false">IF($B207="","",COUNTIF($F207:$AJ207,"CO"))</f>
        <v/>
      </c>
      <c r="AS207" s="34" t="str">
        <f aca="false">IF($B207="","",COUNTIF($F207:$AJ207,"HPL"))</f>
        <v/>
      </c>
      <c r="AT207" s="34" t="str">
        <f aca="false">IF($B207="","",COUNTIF($F207:$AJ207,"HCL"))</f>
        <v/>
      </c>
      <c r="AU207" s="34" t="str">
        <f aca="false">IF($B207="","",COUNTIF($F207:$AJ207,"WO"))</f>
        <v/>
      </c>
      <c r="AV207" s="34" t="str">
        <f aca="false">IF($B207="","",COUNTIF($F207:$AJ207,"PH"))</f>
        <v/>
      </c>
      <c r="AW207" s="34" t="str">
        <f aca="false">IF($B207="","",COUNTIF($F207:$AJ207,"TR"))</f>
        <v/>
      </c>
      <c r="AX207" s="35" t="str">
        <f aca="false">IF($B207="","",AO207+AS207/2)</f>
        <v/>
      </c>
      <c r="AY207" s="35" t="str">
        <f aca="false">IF($B207="","",AQ207)</f>
        <v/>
      </c>
      <c r="AZ207" s="35" t="str">
        <f aca="false">IF($B207="","",AP207+AT207/2)</f>
        <v/>
      </c>
      <c r="BA207" s="35" t="str">
        <f aca="false">IF($B207="","",AK207+AN207+AM207/2+AO207+AP207+AQ207+AR207+AS207+AT207+AU207+AV207+AW207)</f>
        <v/>
      </c>
      <c r="BB207" s="35" t="str">
        <f aca="false">IF($B207="","",MAX(0,AN207-Settings!$C$16)*Settings!$C$17)</f>
        <v/>
      </c>
      <c r="BC207" s="35" t="str">
        <f aca="false">IF($B207="","",BA207-BB207)</f>
        <v/>
      </c>
      <c r="BD207" s="35" t="str">
        <f aca="false">IF(OR($B207="",$A207=""),"",DAY(EOMONTH($A207,0))-COUNTA($F207:$AJ207))</f>
        <v/>
      </c>
    </row>
    <row r="208" customFormat="false" ht="15" hidden="false" customHeight="false" outlineLevel="0" collapsed="false">
      <c r="A208" s="32"/>
      <c r="B208" s="29"/>
      <c r="C208" s="10" t="str">
        <f aca="false">IF($B208="","",IFERROR(INDEX(M_name,MATCH($B208,M_emp,0)),"Code not found"))</f>
        <v/>
      </c>
      <c r="D208" s="10" t="str">
        <f aca="false">IF($B208="","",IFERROR(INDEX(M_dept,MATCH($B208,M_emp,0)),""))</f>
        <v/>
      </c>
      <c r="E208" s="10" t="str">
        <f aca="false">IF($B208="","",IFERROR(INDEX(M_loc,MATCH($B208,M_emp,0)),""))</f>
        <v/>
      </c>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4" t="str">
        <f aca="false">IF($B208="","",COUNTIF($F208:$AJ208,"P"))</f>
        <v/>
      </c>
      <c r="AL208" s="34" t="str">
        <f aca="false">IF($B208="","",COUNTIF($F208:$AJ208,"A"))</f>
        <v/>
      </c>
      <c r="AM208" s="34" t="str">
        <f aca="false">IF($B208="","",COUNTIF($F208:$AJ208,"HA"))</f>
        <v/>
      </c>
      <c r="AN208" s="34" t="str">
        <f aca="false">IF($B208="","",COUNTIF($F208:$AJ208,"L"))</f>
        <v/>
      </c>
      <c r="AO208" s="34" t="str">
        <f aca="false">IF($B208="","",COUNTIF($F208:$AJ208,"PL"))</f>
        <v/>
      </c>
      <c r="AP208" s="34" t="str">
        <f aca="false">IF($B208="","",COUNTIF($F208:$AJ208,"CL"))</f>
        <v/>
      </c>
      <c r="AQ208" s="34" t="str">
        <f aca="false">IF($B208="","",COUNTIF($F208:$AJ208,"SL"))</f>
        <v/>
      </c>
      <c r="AR208" s="34" t="str">
        <f aca="false">IF($B208="","",COUNTIF($F208:$AJ208,"CO"))</f>
        <v/>
      </c>
      <c r="AS208" s="34" t="str">
        <f aca="false">IF($B208="","",COUNTIF($F208:$AJ208,"HPL"))</f>
        <v/>
      </c>
      <c r="AT208" s="34" t="str">
        <f aca="false">IF($B208="","",COUNTIF($F208:$AJ208,"HCL"))</f>
        <v/>
      </c>
      <c r="AU208" s="34" t="str">
        <f aca="false">IF($B208="","",COUNTIF($F208:$AJ208,"WO"))</f>
        <v/>
      </c>
      <c r="AV208" s="34" t="str">
        <f aca="false">IF($B208="","",COUNTIF($F208:$AJ208,"PH"))</f>
        <v/>
      </c>
      <c r="AW208" s="34" t="str">
        <f aca="false">IF($B208="","",COUNTIF($F208:$AJ208,"TR"))</f>
        <v/>
      </c>
      <c r="AX208" s="35" t="str">
        <f aca="false">IF($B208="","",AO208+AS208/2)</f>
        <v/>
      </c>
      <c r="AY208" s="35" t="str">
        <f aca="false">IF($B208="","",AQ208)</f>
        <v/>
      </c>
      <c r="AZ208" s="35" t="str">
        <f aca="false">IF($B208="","",AP208+AT208/2)</f>
        <v/>
      </c>
      <c r="BA208" s="35" t="str">
        <f aca="false">IF($B208="","",AK208+AN208+AM208/2+AO208+AP208+AQ208+AR208+AS208+AT208+AU208+AV208+AW208)</f>
        <v/>
      </c>
      <c r="BB208" s="35" t="str">
        <f aca="false">IF($B208="","",MAX(0,AN208-Settings!$C$16)*Settings!$C$17)</f>
        <v/>
      </c>
      <c r="BC208" s="35" t="str">
        <f aca="false">IF($B208="","",BA208-BB208)</f>
        <v/>
      </c>
      <c r="BD208" s="35" t="str">
        <f aca="false">IF(OR($B208="",$A208=""),"",DAY(EOMONTH($A208,0))-COUNTA($F208:$AJ208))</f>
        <v/>
      </c>
    </row>
    <row r="209" customFormat="false" ht="15" hidden="false" customHeight="false" outlineLevel="0" collapsed="false">
      <c r="A209" s="32"/>
      <c r="B209" s="29"/>
      <c r="C209" s="10" t="str">
        <f aca="false">IF($B209="","",IFERROR(INDEX(M_name,MATCH($B209,M_emp,0)),"Code not found"))</f>
        <v/>
      </c>
      <c r="D209" s="10" t="str">
        <f aca="false">IF($B209="","",IFERROR(INDEX(M_dept,MATCH($B209,M_emp,0)),""))</f>
        <v/>
      </c>
      <c r="E209" s="10" t="str">
        <f aca="false">IF($B209="","",IFERROR(INDEX(M_loc,MATCH($B209,M_emp,0)),""))</f>
        <v/>
      </c>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4" t="str">
        <f aca="false">IF($B209="","",COUNTIF($F209:$AJ209,"P"))</f>
        <v/>
      </c>
      <c r="AL209" s="34" t="str">
        <f aca="false">IF($B209="","",COUNTIF($F209:$AJ209,"A"))</f>
        <v/>
      </c>
      <c r="AM209" s="34" t="str">
        <f aca="false">IF($B209="","",COUNTIF($F209:$AJ209,"HA"))</f>
        <v/>
      </c>
      <c r="AN209" s="34" t="str">
        <f aca="false">IF($B209="","",COUNTIF($F209:$AJ209,"L"))</f>
        <v/>
      </c>
      <c r="AO209" s="34" t="str">
        <f aca="false">IF($B209="","",COUNTIF($F209:$AJ209,"PL"))</f>
        <v/>
      </c>
      <c r="AP209" s="34" t="str">
        <f aca="false">IF($B209="","",COUNTIF($F209:$AJ209,"CL"))</f>
        <v/>
      </c>
      <c r="AQ209" s="34" t="str">
        <f aca="false">IF($B209="","",COUNTIF($F209:$AJ209,"SL"))</f>
        <v/>
      </c>
      <c r="AR209" s="34" t="str">
        <f aca="false">IF($B209="","",COUNTIF($F209:$AJ209,"CO"))</f>
        <v/>
      </c>
      <c r="AS209" s="34" t="str">
        <f aca="false">IF($B209="","",COUNTIF($F209:$AJ209,"HPL"))</f>
        <v/>
      </c>
      <c r="AT209" s="34" t="str">
        <f aca="false">IF($B209="","",COUNTIF($F209:$AJ209,"HCL"))</f>
        <v/>
      </c>
      <c r="AU209" s="34" t="str">
        <f aca="false">IF($B209="","",COUNTIF($F209:$AJ209,"WO"))</f>
        <v/>
      </c>
      <c r="AV209" s="34" t="str">
        <f aca="false">IF($B209="","",COUNTIF($F209:$AJ209,"PH"))</f>
        <v/>
      </c>
      <c r="AW209" s="34" t="str">
        <f aca="false">IF($B209="","",COUNTIF($F209:$AJ209,"TR"))</f>
        <v/>
      </c>
      <c r="AX209" s="35" t="str">
        <f aca="false">IF($B209="","",AO209+AS209/2)</f>
        <v/>
      </c>
      <c r="AY209" s="35" t="str">
        <f aca="false">IF($B209="","",AQ209)</f>
        <v/>
      </c>
      <c r="AZ209" s="35" t="str">
        <f aca="false">IF($B209="","",AP209+AT209/2)</f>
        <v/>
      </c>
      <c r="BA209" s="35" t="str">
        <f aca="false">IF($B209="","",AK209+AN209+AM209/2+AO209+AP209+AQ209+AR209+AS209+AT209+AU209+AV209+AW209)</f>
        <v/>
      </c>
      <c r="BB209" s="35" t="str">
        <f aca="false">IF($B209="","",MAX(0,AN209-Settings!$C$16)*Settings!$C$17)</f>
        <v/>
      </c>
      <c r="BC209" s="35" t="str">
        <f aca="false">IF($B209="","",BA209-BB209)</f>
        <v/>
      </c>
      <c r="BD209" s="35" t="str">
        <f aca="false">IF(OR($B209="",$A209=""),"",DAY(EOMONTH($A209,0))-COUNTA($F209:$AJ209))</f>
        <v/>
      </c>
    </row>
    <row r="210" customFormat="false" ht="15" hidden="false" customHeight="false" outlineLevel="0" collapsed="false">
      <c r="A210" s="32"/>
      <c r="B210" s="29"/>
      <c r="C210" s="10" t="str">
        <f aca="false">IF($B210="","",IFERROR(INDEX(M_name,MATCH($B210,M_emp,0)),"Code not found"))</f>
        <v/>
      </c>
      <c r="D210" s="10" t="str">
        <f aca="false">IF($B210="","",IFERROR(INDEX(M_dept,MATCH($B210,M_emp,0)),""))</f>
        <v/>
      </c>
      <c r="E210" s="10" t="str">
        <f aca="false">IF($B210="","",IFERROR(INDEX(M_loc,MATCH($B210,M_emp,0)),""))</f>
        <v/>
      </c>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4" t="str">
        <f aca="false">IF($B210="","",COUNTIF($F210:$AJ210,"P"))</f>
        <v/>
      </c>
      <c r="AL210" s="34" t="str">
        <f aca="false">IF($B210="","",COUNTIF($F210:$AJ210,"A"))</f>
        <v/>
      </c>
      <c r="AM210" s="34" t="str">
        <f aca="false">IF($B210="","",COUNTIF($F210:$AJ210,"HA"))</f>
        <v/>
      </c>
      <c r="AN210" s="34" t="str">
        <f aca="false">IF($B210="","",COUNTIF($F210:$AJ210,"L"))</f>
        <v/>
      </c>
      <c r="AO210" s="34" t="str">
        <f aca="false">IF($B210="","",COUNTIF($F210:$AJ210,"PL"))</f>
        <v/>
      </c>
      <c r="AP210" s="34" t="str">
        <f aca="false">IF($B210="","",COUNTIF($F210:$AJ210,"CL"))</f>
        <v/>
      </c>
      <c r="AQ210" s="34" t="str">
        <f aca="false">IF($B210="","",COUNTIF($F210:$AJ210,"SL"))</f>
        <v/>
      </c>
      <c r="AR210" s="34" t="str">
        <f aca="false">IF($B210="","",COUNTIF($F210:$AJ210,"CO"))</f>
        <v/>
      </c>
      <c r="AS210" s="34" t="str">
        <f aca="false">IF($B210="","",COUNTIF($F210:$AJ210,"HPL"))</f>
        <v/>
      </c>
      <c r="AT210" s="34" t="str">
        <f aca="false">IF($B210="","",COUNTIF($F210:$AJ210,"HCL"))</f>
        <v/>
      </c>
      <c r="AU210" s="34" t="str">
        <f aca="false">IF($B210="","",COUNTIF($F210:$AJ210,"WO"))</f>
        <v/>
      </c>
      <c r="AV210" s="34" t="str">
        <f aca="false">IF($B210="","",COUNTIF($F210:$AJ210,"PH"))</f>
        <v/>
      </c>
      <c r="AW210" s="34" t="str">
        <f aca="false">IF($B210="","",COUNTIF($F210:$AJ210,"TR"))</f>
        <v/>
      </c>
      <c r="AX210" s="35" t="str">
        <f aca="false">IF($B210="","",AO210+AS210/2)</f>
        <v/>
      </c>
      <c r="AY210" s="35" t="str">
        <f aca="false">IF($B210="","",AQ210)</f>
        <v/>
      </c>
      <c r="AZ210" s="35" t="str">
        <f aca="false">IF($B210="","",AP210+AT210/2)</f>
        <v/>
      </c>
      <c r="BA210" s="35" t="str">
        <f aca="false">IF($B210="","",AK210+AN210+AM210/2+AO210+AP210+AQ210+AR210+AS210+AT210+AU210+AV210+AW210)</f>
        <v/>
      </c>
      <c r="BB210" s="35" t="str">
        <f aca="false">IF($B210="","",MAX(0,AN210-Settings!$C$16)*Settings!$C$17)</f>
        <v/>
      </c>
      <c r="BC210" s="35" t="str">
        <f aca="false">IF($B210="","",BA210-BB210)</f>
        <v/>
      </c>
      <c r="BD210" s="35" t="str">
        <f aca="false">IF(OR($B210="",$A210=""),"",DAY(EOMONTH($A210,0))-COUNTA($F210:$AJ210))</f>
        <v/>
      </c>
    </row>
    <row r="211" customFormat="false" ht="15" hidden="false" customHeight="false" outlineLevel="0" collapsed="false">
      <c r="A211" s="32"/>
      <c r="B211" s="29"/>
      <c r="C211" s="10" t="str">
        <f aca="false">IF($B211="","",IFERROR(INDEX(M_name,MATCH($B211,M_emp,0)),"Code not found"))</f>
        <v/>
      </c>
      <c r="D211" s="10" t="str">
        <f aca="false">IF($B211="","",IFERROR(INDEX(M_dept,MATCH($B211,M_emp,0)),""))</f>
        <v/>
      </c>
      <c r="E211" s="10" t="str">
        <f aca="false">IF($B211="","",IFERROR(INDEX(M_loc,MATCH($B211,M_emp,0)),""))</f>
        <v/>
      </c>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4" t="str">
        <f aca="false">IF($B211="","",COUNTIF($F211:$AJ211,"P"))</f>
        <v/>
      </c>
      <c r="AL211" s="34" t="str">
        <f aca="false">IF($B211="","",COUNTIF($F211:$AJ211,"A"))</f>
        <v/>
      </c>
      <c r="AM211" s="34" t="str">
        <f aca="false">IF($B211="","",COUNTIF($F211:$AJ211,"HA"))</f>
        <v/>
      </c>
      <c r="AN211" s="34" t="str">
        <f aca="false">IF($B211="","",COUNTIF($F211:$AJ211,"L"))</f>
        <v/>
      </c>
      <c r="AO211" s="34" t="str">
        <f aca="false">IF($B211="","",COUNTIF($F211:$AJ211,"PL"))</f>
        <v/>
      </c>
      <c r="AP211" s="34" t="str">
        <f aca="false">IF($B211="","",COUNTIF($F211:$AJ211,"CL"))</f>
        <v/>
      </c>
      <c r="AQ211" s="34" t="str">
        <f aca="false">IF($B211="","",COUNTIF($F211:$AJ211,"SL"))</f>
        <v/>
      </c>
      <c r="AR211" s="34" t="str">
        <f aca="false">IF($B211="","",COUNTIF($F211:$AJ211,"CO"))</f>
        <v/>
      </c>
      <c r="AS211" s="34" t="str">
        <f aca="false">IF($B211="","",COUNTIF($F211:$AJ211,"HPL"))</f>
        <v/>
      </c>
      <c r="AT211" s="34" t="str">
        <f aca="false">IF($B211="","",COUNTIF($F211:$AJ211,"HCL"))</f>
        <v/>
      </c>
      <c r="AU211" s="34" t="str">
        <f aca="false">IF($B211="","",COUNTIF($F211:$AJ211,"WO"))</f>
        <v/>
      </c>
      <c r="AV211" s="34" t="str">
        <f aca="false">IF($B211="","",COUNTIF($F211:$AJ211,"PH"))</f>
        <v/>
      </c>
      <c r="AW211" s="34" t="str">
        <f aca="false">IF($B211="","",COUNTIF($F211:$AJ211,"TR"))</f>
        <v/>
      </c>
      <c r="AX211" s="35" t="str">
        <f aca="false">IF($B211="","",AO211+AS211/2)</f>
        <v/>
      </c>
      <c r="AY211" s="35" t="str">
        <f aca="false">IF($B211="","",AQ211)</f>
        <v/>
      </c>
      <c r="AZ211" s="35" t="str">
        <f aca="false">IF($B211="","",AP211+AT211/2)</f>
        <v/>
      </c>
      <c r="BA211" s="35" t="str">
        <f aca="false">IF($B211="","",AK211+AN211+AM211/2+AO211+AP211+AQ211+AR211+AS211+AT211+AU211+AV211+AW211)</f>
        <v/>
      </c>
      <c r="BB211" s="35" t="str">
        <f aca="false">IF($B211="","",MAX(0,AN211-Settings!$C$16)*Settings!$C$17)</f>
        <v/>
      </c>
      <c r="BC211" s="35" t="str">
        <f aca="false">IF($B211="","",BA211-BB211)</f>
        <v/>
      </c>
      <c r="BD211" s="35" t="str">
        <f aca="false">IF(OR($B211="",$A211=""),"",DAY(EOMONTH($A211,0))-COUNTA($F211:$AJ211))</f>
        <v/>
      </c>
    </row>
    <row r="212" customFormat="false" ht="15" hidden="false" customHeight="false" outlineLevel="0" collapsed="false">
      <c r="A212" s="32"/>
      <c r="B212" s="29"/>
      <c r="C212" s="10" t="str">
        <f aca="false">IF($B212="","",IFERROR(INDEX(M_name,MATCH($B212,M_emp,0)),"Code not found"))</f>
        <v/>
      </c>
      <c r="D212" s="10" t="str">
        <f aca="false">IF($B212="","",IFERROR(INDEX(M_dept,MATCH($B212,M_emp,0)),""))</f>
        <v/>
      </c>
      <c r="E212" s="10" t="str">
        <f aca="false">IF($B212="","",IFERROR(INDEX(M_loc,MATCH($B212,M_emp,0)),""))</f>
        <v/>
      </c>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4" t="str">
        <f aca="false">IF($B212="","",COUNTIF($F212:$AJ212,"P"))</f>
        <v/>
      </c>
      <c r="AL212" s="34" t="str">
        <f aca="false">IF($B212="","",COUNTIF($F212:$AJ212,"A"))</f>
        <v/>
      </c>
      <c r="AM212" s="34" t="str">
        <f aca="false">IF($B212="","",COUNTIF($F212:$AJ212,"HA"))</f>
        <v/>
      </c>
      <c r="AN212" s="34" t="str">
        <f aca="false">IF($B212="","",COUNTIF($F212:$AJ212,"L"))</f>
        <v/>
      </c>
      <c r="AO212" s="34" t="str">
        <f aca="false">IF($B212="","",COUNTIF($F212:$AJ212,"PL"))</f>
        <v/>
      </c>
      <c r="AP212" s="34" t="str">
        <f aca="false">IF($B212="","",COUNTIF($F212:$AJ212,"CL"))</f>
        <v/>
      </c>
      <c r="AQ212" s="34" t="str">
        <f aca="false">IF($B212="","",COUNTIF($F212:$AJ212,"SL"))</f>
        <v/>
      </c>
      <c r="AR212" s="34" t="str">
        <f aca="false">IF($B212="","",COUNTIF($F212:$AJ212,"CO"))</f>
        <v/>
      </c>
      <c r="AS212" s="34" t="str">
        <f aca="false">IF($B212="","",COUNTIF($F212:$AJ212,"HPL"))</f>
        <v/>
      </c>
      <c r="AT212" s="34" t="str">
        <f aca="false">IF($B212="","",COUNTIF($F212:$AJ212,"HCL"))</f>
        <v/>
      </c>
      <c r="AU212" s="34" t="str">
        <f aca="false">IF($B212="","",COUNTIF($F212:$AJ212,"WO"))</f>
        <v/>
      </c>
      <c r="AV212" s="34" t="str">
        <f aca="false">IF($B212="","",COUNTIF($F212:$AJ212,"PH"))</f>
        <v/>
      </c>
      <c r="AW212" s="34" t="str">
        <f aca="false">IF($B212="","",COUNTIF($F212:$AJ212,"TR"))</f>
        <v/>
      </c>
      <c r="AX212" s="35" t="str">
        <f aca="false">IF($B212="","",AO212+AS212/2)</f>
        <v/>
      </c>
      <c r="AY212" s="35" t="str">
        <f aca="false">IF($B212="","",AQ212)</f>
        <v/>
      </c>
      <c r="AZ212" s="35" t="str">
        <f aca="false">IF($B212="","",AP212+AT212/2)</f>
        <v/>
      </c>
      <c r="BA212" s="35" t="str">
        <f aca="false">IF($B212="","",AK212+AN212+AM212/2+AO212+AP212+AQ212+AR212+AS212+AT212+AU212+AV212+AW212)</f>
        <v/>
      </c>
      <c r="BB212" s="35" t="str">
        <f aca="false">IF($B212="","",MAX(0,AN212-Settings!$C$16)*Settings!$C$17)</f>
        <v/>
      </c>
      <c r="BC212" s="35" t="str">
        <f aca="false">IF($B212="","",BA212-BB212)</f>
        <v/>
      </c>
      <c r="BD212" s="35" t="str">
        <f aca="false">IF(OR($B212="",$A212=""),"",DAY(EOMONTH($A212,0))-COUNTA($F212:$AJ212))</f>
        <v/>
      </c>
    </row>
    <row r="213" customFormat="false" ht="15" hidden="false" customHeight="false" outlineLevel="0" collapsed="false">
      <c r="A213" s="32"/>
      <c r="B213" s="29"/>
      <c r="C213" s="10" t="str">
        <f aca="false">IF($B213="","",IFERROR(INDEX(M_name,MATCH($B213,M_emp,0)),"Code not found"))</f>
        <v/>
      </c>
      <c r="D213" s="10" t="str">
        <f aca="false">IF($B213="","",IFERROR(INDEX(M_dept,MATCH($B213,M_emp,0)),""))</f>
        <v/>
      </c>
      <c r="E213" s="10" t="str">
        <f aca="false">IF($B213="","",IFERROR(INDEX(M_loc,MATCH($B213,M_emp,0)),""))</f>
        <v/>
      </c>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4" t="str">
        <f aca="false">IF($B213="","",COUNTIF($F213:$AJ213,"P"))</f>
        <v/>
      </c>
      <c r="AL213" s="34" t="str">
        <f aca="false">IF($B213="","",COUNTIF($F213:$AJ213,"A"))</f>
        <v/>
      </c>
      <c r="AM213" s="34" t="str">
        <f aca="false">IF($B213="","",COUNTIF($F213:$AJ213,"HA"))</f>
        <v/>
      </c>
      <c r="AN213" s="34" t="str">
        <f aca="false">IF($B213="","",COUNTIF($F213:$AJ213,"L"))</f>
        <v/>
      </c>
      <c r="AO213" s="34" t="str">
        <f aca="false">IF($B213="","",COUNTIF($F213:$AJ213,"PL"))</f>
        <v/>
      </c>
      <c r="AP213" s="34" t="str">
        <f aca="false">IF($B213="","",COUNTIF($F213:$AJ213,"CL"))</f>
        <v/>
      </c>
      <c r="AQ213" s="34" t="str">
        <f aca="false">IF($B213="","",COUNTIF($F213:$AJ213,"SL"))</f>
        <v/>
      </c>
      <c r="AR213" s="34" t="str">
        <f aca="false">IF($B213="","",COUNTIF($F213:$AJ213,"CO"))</f>
        <v/>
      </c>
      <c r="AS213" s="34" t="str">
        <f aca="false">IF($B213="","",COUNTIF($F213:$AJ213,"HPL"))</f>
        <v/>
      </c>
      <c r="AT213" s="34" t="str">
        <f aca="false">IF($B213="","",COUNTIF($F213:$AJ213,"HCL"))</f>
        <v/>
      </c>
      <c r="AU213" s="34" t="str">
        <f aca="false">IF($B213="","",COUNTIF($F213:$AJ213,"WO"))</f>
        <v/>
      </c>
      <c r="AV213" s="34" t="str">
        <f aca="false">IF($B213="","",COUNTIF($F213:$AJ213,"PH"))</f>
        <v/>
      </c>
      <c r="AW213" s="34" t="str">
        <f aca="false">IF($B213="","",COUNTIF($F213:$AJ213,"TR"))</f>
        <v/>
      </c>
      <c r="AX213" s="35" t="str">
        <f aca="false">IF($B213="","",AO213+AS213/2)</f>
        <v/>
      </c>
      <c r="AY213" s="35" t="str">
        <f aca="false">IF($B213="","",AQ213)</f>
        <v/>
      </c>
      <c r="AZ213" s="35" t="str">
        <f aca="false">IF($B213="","",AP213+AT213/2)</f>
        <v/>
      </c>
      <c r="BA213" s="35" t="str">
        <f aca="false">IF($B213="","",AK213+AN213+AM213/2+AO213+AP213+AQ213+AR213+AS213+AT213+AU213+AV213+AW213)</f>
        <v/>
      </c>
      <c r="BB213" s="35" t="str">
        <f aca="false">IF($B213="","",MAX(0,AN213-Settings!$C$16)*Settings!$C$17)</f>
        <v/>
      </c>
      <c r="BC213" s="35" t="str">
        <f aca="false">IF($B213="","",BA213-BB213)</f>
        <v/>
      </c>
      <c r="BD213" s="35" t="str">
        <f aca="false">IF(OR($B213="",$A213=""),"",DAY(EOMONTH($A213,0))-COUNTA($F213:$AJ213))</f>
        <v/>
      </c>
    </row>
    <row r="214" customFormat="false" ht="15" hidden="false" customHeight="false" outlineLevel="0" collapsed="false">
      <c r="A214" s="32"/>
      <c r="B214" s="29"/>
      <c r="C214" s="10" t="str">
        <f aca="false">IF($B214="","",IFERROR(INDEX(M_name,MATCH($B214,M_emp,0)),"Code not found"))</f>
        <v/>
      </c>
      <c r="D214" s="10" t="str">
        <f aca="false">IF($B214="","",IFERROR(INDEX(M_dept,MATCH($B214,M_emp,0)),""))</f>
        <v/>
      </c>
      <c r="E214" s="10" t="str">
        <f aca="false">IF($B214="","",IFERROR(INDEX(M_loc,MATCH($B214,M_emp,0)),""))</f>
        <v/>
      </c>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4" t="str">
        <f aca="false">IF($B214="","",COUNTIF($F214:$AJ214,"P"))</f>
        <v/>
      </c>
      <c r="AL214" s="34" t="str">
        <f aca="false">IF($B214="","",COUNTIF($F214:$AJ214,"A"))</f>
        <v/>
      </c>
      <c r="AM214" s="34" t="str">
        <f aca="false">IF($B214="","",COUNTIF($F214:$AJ214,"HA"))</f>
        <v/>
      </c>
      <c r="AN214" s="34" t="str">
        <f aca="false">IF($B214="","",COUNTIF($F214:$AJ214,"L"))</f>
        <v/>
      </c>
      <c r="AO214" s="34" t="str">
        <f aca="false">IF($B214="","",COUNTIF($F214:$AJ214,"PL"))</f>
        <v/>
      </c>
      <c r="AP214" s="34" t="str">
        <f aca="false">IF($B214="","",COUNTIF($F214:$AJ214,"CL"))</f>
        <v/>
      </c>
      <c r="AQ214" s="34" t="str">
        <f aca="false">IF($B214="","",COUNTIF($F214:$AJ214,"SL"))</f>
        <v/>
      </c>
      <c r="AR214" s="34" t="str">
        <f aca="false">IF($B214="","",COUNTIF($F214:$AJ214,"CO"))</f>
        <v/>
      </c>
      <c r="AS214" s="34" t="str">
        <f aca="false">IF($B214="","",COUNTIF($F214:$AJ214,"HPL"))</f>
        <v/>
      </c>
      <c r="AT214" s="34" t="str">
        <f aca="false">IF($B214="","",COUNTIF($F214:$AJ214,"HCL"))</f>
        <v/>
      </c>
      <c r="AU214" s="34" t="str">
        <f aca="false">IF($B214="","",COUNTIF($F214:$AJ214,"WO"))</f>
        <v/>
      </c>
      <c r="AV214" s="34" t="str">
        <f aca="false">IF($B214="","",COUNTIF($F214:$AJ214,"PH"))</f>
        <v/>
      </c>
      <c r="AW214" s="34" t="str">
        <f aca="false">IF($B214="","",COUNTIF($F214:$AJ214,"TR"))</f>
        <v/>
      </c>
      <c r="AX214" s="35" t="str">
        <f aca="false">IF($B214="","",AO214+AS214/2)</f>
        <v/>
      </c>
      <c r="AY214" s="35" t="str">
        <f aca="false">IF($B214="","",AQ214)</f>
        <v/>
      </c>
      <c r="AZ214" s="35" t="str">
        <f aca="false">IF($B214="","",AP214+AT214/2)</f>
        <v/>
      </c>
      <c r="BA214" s="35" t="str">
        <f aca="false">IF($B214="","",AK214+AN214+AM214/2+AO214+AP214+AQ214+AR214+AS214+AT214+AU214+AV214+AW214)</f>
        <v/>
      </c>
      <c r="BB214" s="35" t="str">
        <f aca="false">IF($B214="","",MAX(0,AN214-Settings!$C$16)*Settings!$C$17)</f>
        <v/>
      </c>
      <c r="BC214" s="35" t="str">
        <f aca="false">IF($B214="","",BA214-BB214)</f>
        <v/>
      </c>
      <c r="BD214" s="35" t="str">
        <f aca="false">IF(OR($B214="",$A214=""),"",DAY(EOMONTH($A214,0))-COUNTA($F214:$AJ214))</f>
        <v/>
      </c>
    </row>
    <row r="215" customFormat="false" ht="15" hidden="false" customHeight="false" outlineLevel="0" collapsed="false">
      <c r="A215" s="32"/>
      <c r="B215" s="29"/>
      <c r="C215" s="10" t="str">
        <f aca="false">IF($B215="","",IFERROR(INDEX(M_name,MATCH($B215,M_emp,0)),"Code not found"))</f>
        <v/>
      </c>
      <c r="D215" s="10" t="str">
        <f aca="false">IF($B215="","",IFERROR(INDEX(M_dept,MATCH($B215,M_emp,0)),""))</f>
        <v/>
      </c>
      <c r="E215" s="10" t="str">
        <f aca="false">IF($B215="","",IFERROR(INDEX(M_loc,MATCH($B215,M_emp,0)),""))</f>
        <v/>
      </c>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4" t="str">
        <f aca="false">IF($B215="","",COUNTIF($F215:$AJ215,"P"))</f>
        <v/>
      </c>
      <c r="AL215" s="34" t="str">
        <f aca="false">IF($B215="","",COUNTIF($F215:$AJ215,"A"))</f>
        <v/>
      </c>
      <c r="AM215" s="34" t="str">
        <f aca="false">IF($B215="","",COUNTIF($F215:$AJ215,"HA"))</f>
        <v/>
      </c>
      <c r="AN215" s="34" t="str">
        <f aca="false">IF($B215="","",COUNTIF($F215:$AJ215,"L"))</f>
        <v/>
      </c>
      <c r="AO215" s="34" t="str">
        <f aca="false">IF($B215="","",COUNTIF($F215:$AJ215,"PL"))</f>
        <v/>
      </c>
      <c r="AP215" s="34" t="str">
        <f aca="false">IF($B215="","",COUNTIF($F215:$AJ215,"CL"))</f>
        <v/>
      </c>
      <c r="AQ215" s="34" t="str">
        <f aca="false">IF($B215="","",COUNTIF($F215:$AJ215,"SL"))</f>
        <v/>
      </c>
      <c r="AR215" s="34" t="str">
        <f aca="false">IF($B215="","",COUNTIF($F215:$AJ215,"CO"))</f>
        <v/>
      </c>
      <c r="AS215" s="34" t="str">
        <f aca="false">IF($B215="","",COUNTIF($F215:$AJ215,"HPL"))</f>
        <v/>
      </c>
      <c r="AT215" s="34" t="str">
        <f aca="false">IF($B215="","",COUNTIF($F215:$AJ215,"HCL"))</f>
        <v/>
      </c>
      <c r="AU215" s="34" t="str">
        <f aca="false">IF($B215="","",COUNTIF($F215:$AJ215,"WO"))</f>
        <v/>
      </c>
      <c r="AV215" s="34" t="str">
        <f aca="false">IF($B215="","",COUNTIF($F215:$AJ215,"PH"))</f>
        <v/>
      </c>
      <c r="AW215" s="34" t="str">
        <f aca="false">IF($B215="","",COUNTIF($F215:$AJ215,"TR"))</f>
        <v/>
      </c>
      <c r="AX215" s="35" t="str">
        <f aca="false">IF($B215="","",AO215+AS215/2)</f>
        <v/>
      </c>
      <c r="AY215" s="35" t="str">
        <f aca="false">IF($B215="","",AQ215)</f>
        <v/>
      </c>
      <c r="AZ215" s="35" t="str">
        <f aca="false">IF($B215="","",AP215+AT215/2)</f>
        <v/>
      </c>
      <c r="BA215" s="35" t="str">
        <f aca="false">IF($B215="","",AK215+AN215+AM215/2+AO215+AP215+AQ215+AR215+AS215+AT215+AU215+AV215+AW215)</f>
        <v/>
      </c>
      <c r="BB215" s="35" t="str">
        <f aca="false">IF($B215="","",MAX(0,AN215-Settings!$C$16)*Settings!$C$17)</f>
        <v/>
      </c>
      <c r="BC215" s="35" t="str">
        <f aca="false">IF($B215="","",BA215-BB215)</f>
        <v/>
      </c>
      <c r="BD215" s="35" t="str">
        <f aca="false">IF(OR($B215="",$A215=""),"",DAY(EOMONTH($A215,0))-COUNTA($F215:$AJ215))</f>
        <v/>
      </c>
    </row>
    <row r="216" customFormat="false" ht="15" hidden="false" customHeight="false" outlineLevel="0" collapsed="false">
      <c r="A216" s="32"/>
      <c r="B216" s="29"/>
      <c r="C216" s="10" t="str">
        <f aca="false">IF($B216="","",IFERROR(INDEX(M_name,MATCH($B216,M_emp,0)),"Code not found"))</f>
        <v/>
      </c>
      <c r="D216" s="10" t="str">
        <f aca="false">IF($B216="","",IFERROR(INDEX(M_dept,MATCH($B216,M_emp,0)),""))</f>
        <v/>
      </c>
      <c r="E216" s="10" t="str">
        <f aca="false">IF($B216="","",IFERROR(INDEX(M_loc,MATCH($B216,M_emp,0)),""))</f>
        <v/>
      </c>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4" t="str">
        <f aca="false">IF($B216="","",COUNTIF($F216:$AJ216,"P"))</f>
        <v/>
      </c>
      <c r="AL216" s="34" t="str">
        <f aca="false">IF($B216="","",COUNTIF($F216:$AJ216,"A"))</f>
        <v/>
      </c>
      <c r="AM216" s="34" t="str">
        <f aca="false">IF($B216="","",COUNTIF($F216:$AJ216,"HA"))</f>
        <v/>
      </c>
      <c r="AN216" s="34" t="str">
        <f aca="false">IF($B216="","",COUNTIF($F216:$AJ216,"L"))</f>
        <v/>
      </c>
      <c r="AO216" s="34" t="str">
        <f aca="false">IF($B216="","",COUNTIF($F216:$AJ216,"PL"))</f>
        <v/>
      </c>
      <c r="AP216" s="34" t="str">
        <f aca="false">IF($B216="","",COUNTIF($F216:$AJ216,"CL"))</f>
        <v/>
      </c>
      <c r="AQ216" s="34" t="str">
        <f aca="false">IF($B216="","",COUNTIF($F216:$AJ216,"SL"))</f>
        <v/>
      </c>
      <c r="AR216" s="34" t="str">
        <f aca="false">IF($B216="","",COUNTIF($F216:$AJ216,"CO"))</f>
        <v/>
      </c>
      <c r="AS216" s="34" t="str">
        <f aca="false">IF($B216="","",COUNTIF($F216:$AJ216,"HPL"))</f>
        <v/>
      </c>
      <c r="AT216" s="34" t="str">
        <f aca="false">IF($B216="","",COUNTIF($F216:$AJ216,"HCL"))</f>
        <v/>
      </c>
      <c r="AU216" s="34" t="str">
        <f aca="false">IF($B216="","",COUNTIF($F216:$AJ216,"WO"))</f>
        <v/>
      </c>
      <c r="AV216" s="34" t="str">
        <f aca="false">IF($B216="","",COUNTIF($F216:$AJ216,"PH"))</f>
        <v/>
      </c>
      <c r="AW216" s="34" t="str">
        <f aca="false">IF($B216="","",COUNTIF($F216:$AJ216,"TR"))</f>
        <v/>
      </c>
      <c r="AX216" s="35" t="str">
        <f aca="false">IF($B216="","",AO216+AS216/2)</f>
        <v/>
      </c>
      <c r="AY216" s="35" t="str">
        <f aca="false">IF($B216="","",AQ216)</f>
        <v/>
      </c>
      <c r="AZ216" s="35" t="str">
        <f aca="false">IF($B216="","",AP216+AT216/2)</f>
        <v/>
      </c>
      <c r="BA216" s="35" t="str">
        <f aca="false">IF($B216="","",AK216+AN216+AM216/2+AO216+AP216+AQ216+AR216+AS216+AT216+AU216+AV216+AW216)</f>
        <v/>
      </c>
      <c r="BB216" s="35" t="str">
        <f aca="false">IF($B216="","",MAX(0,AN216-Settings!$C$16)*Settings!$C$17)</f>
        <v/>
      </c>
      <c r="BC216" s="35" t="str">
        <f aca="false">IF($B216="","",BA216-BB216)</f>
        <v/>
      </c>
      <c r="BD216" s="35" t="str">
        <f aca="false">IF(OR($B216="",$A216=""),"",DAY(EOMONTH($A216,0))-COUNTA($F216:$AJ216))</f>
        <v/>
      </c>
    </row>
    <row r="217" customFormat="false" ht="15" hidden="false" customHeight="false" outlineLevel="0" collapsed="false">
      <c r="A217" s="32"/>
      <c r="B217" s="29"/>
      <c r="C217" s="10" t="str">
        <f aca="false">IF($B217="","",IFERROR(INDEX(M_name,MATCH($B217,M_emp,0)),"Code not found"))</f>
        <v/>
      </c>
      <c r="D217" s="10" t="str">
        <f aca="false">IF($B217="","",IFERROR(INDEX(M_dept,MATCH($B217,M_emp,0)),""))</f>
        <v/>
      </c>
      <c r="E217" s="10" t="str">
        <f aca="false">IF($B217="","",IFERROR(INDEX(M_loc,MATCH($B217,M_emp,0)),""))</f>
        <v/>
      </c>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4" t="str">
        <f aca="false">IF($B217="","",COUNTIF($F217:$AJ217,"P"))</f>
        <v/>
      </c>
      <c r="AL217" s="34" t="str">
        <f aca="false">IF($B217="","",COUNTIF($F217:$AJ217,"A"))</f>
        <v/>
      </c>
      <c r="AM217" s="34" t="str">
        <f aca="false">IF($B217="","",COUNTIF($F217:$AJ217,"HA"))</f>
        <v/>
      </c>
      <c r="AN217" s="34" t="str">
        <f aca="false">IF($B217="","",COUNTIF($F217:$AJ217,"L"))</f>
        <v/>
      </c>
      <c r="AO217" s="34" t="str">
        <f aca="false">IF($B217="","",COUNTIF($F217:$AJ217,"PL"))</f>
        <v/>
      </c>
      <c r="AP217" s="34" t="str">
        <f aca="false">IF($B217="","",COUNTIF($F217:$AJ217,"CL"))</f>
        <v/>
      </c>
      <c r="AQ217" s="34" t="str">
        <f aca="false">IF($B217="","",COUNTIF($F217:$AJ217,"SL"))</f>
        <v/>
      </c>
      <c r="AR217" s="34" t="str">
        <f aca="false">IF($B217="","",COUNTIF($F217:$AJ217,"CO"))</f>
        <v/>
      </c>
      <c r="AS217" s="34" t="str">
        <f aca="false">IF($B217="","",COUNTIF($F217:$AJ217,"HPL"))</f>
        <v/>
      </c>
      <c r="AT217" s="34" t="str">
        <f aca="false">IF($B217="","",COUNTIF($F217:$AJ217,"HCL"))</f>
        <v/>
      </c>
      <c r="AU217" s="34" t="str">
        <f aca="false">IF($B217="","",COUNTIF($F217:$AJ217,"WO"))</f>
        <v/>
      </c>
      <c r="AV217" s="34" t="str">
        <f aca="false">IF($B217="","",COUNTIF($F217:$AJ217,"PH"))</f>
        <v/>
      </c>
      <c r="AW217" s="34" t="str">
        <f aca="false">IF($B217="","",COUNTIF($F217:$AJ217,"TR"))</f>
        <v/>
      </c>
      <c r="AX217" s="35" t="str">
        <f aca="false">IF($B217="","",AO217+AS217/2)</f>
        <v/>
      </c>
      <c r="AY217" s="35" t="str">
        <f aca="false">IF($B217="","",AQ217)</f>
        <v/>
      </c>
      <c r="AZ217" s="35" t="str">
        <f aca="false">IF($B217="","",AP217+AT217/2)</f>
        <v/>
      </c>
      <c r="BA217" s="35" t="str">
        <f aca="false">IF($B217="","",AK217+AN217+AM217/2+AO217+AP217+AQ217+AR217+AS217+AT217+AU217+AV217+AW217)</f>
        <v/>
      </c>
      <c r="BB217" s="35" t="str">
        <f aca="false">IF($B217="","",MAX(0,AN217-Settings!$C$16)*Settings!$C$17)</f>
        <v/>
      </c>
      <c r="BC217" s="35" t="str">
        <f aca="false">IF($B217="","",BA217-BB217)</f>
        <v/>
      </c>
      <c r="BD217" s="35" t="str">
        <f aca="false">IF(OR($B217="",$A217=""),"",DAY(EOMONTH($A217,0))-COUNTA($F217:$AJ217))</f>
        <v/>
      </c>
    </row>
    <row r="218" customFormat="false" ht="15" hidden="false" customHeight="false" outlineLevel="0" collapsed="false">
      <c r="A218" s="32"/>
      <c r="B218" s="29"/>
      <c r="C218" s="10" t="str">
        <f aca="false">IF($B218="","",IFERROR(INDEX(M_name,MATCH($B218,M_emp,0)),"Code not found"))</f>
        <v/>
      </c>
      <c r="D218" s="10" t="str">
        <f aca="false">IF($B218="","",IFERROR(INDEX(M_dept,MATCH($B218,M_emp,0)),""))</f>
        <v/>
      </c>
      <c r="E218" s="10" t="str">
        <f aca="false">IF($B218="","",IFERROR(INDEX(M_loc,MATCH($B218,M_emp,0)),""))</f>
        <v/>
      </c>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4" t="str">
        <f aca="false">IF($B218="","",COUNTIF($F218:$AJ218,"P"))</f>
        <v/>
      </c>
      <c r="AL218" s="34" t="str">
        <f aca="false">IF($B218="","",COUNTIF($F218:$AJ218,"A"))</f>
        <v/>
      </c>
      <c r="AM218" s="34" t="str">
        <f aca="false">IF($B218="","",COUNTIF($F218:$AJ218,"HA"))</f>
        <v/>
      </c>
      <c r="AN218" s="34" t="str">
        <f aca="false">IF($B218="","",COUNTIF($F218:$AJ218,"L"))</f>
        <v/>
      </c>
      <c r="AO218" s="34" t="str">
        <f aca="false">IF($B218="","",COUNTIF($F218:$AJ218,"PL"))</f>
        <v/>
      </c>
      <c r="AP218" s="34" t="str">
        <f aca="false">IF($B218="","",COUNTIF($F218:$AJ218,"CL"))</f>
        <v/>
      </c>
      <c r="AQ218" s="34" t="str">
        <f aca="false">IF($B218="","",COUNTIF($F218:$AJ218,"SL"))</f>
        <v/>
      </c>
      <c r="AR218" s="34" t="str">
        <f aca="false">IF($B218="","",COUNTIF($F218:$AJ218,"CO"))</f>
        <v/>
      </c>
      <c r="AS218" s="34" t="str">
        <f aca="false">IF($B218="","",COUNTIF($F218:$AJ218,"HPL"))</f>
        <v/>
      </c>
      <c r="AT218" s="34" t="str">
        <f aca="false">IF($B218="","",COUNTIF($F218:$AJ218,"HCL"))</f>
        <v/>
      </c>
      <c r="AU218" s="34" t="str">
        <f aca="false">IF($B218="","",COUNTIF($F218:$AJ218,"WO"))</f>
        <v/>
      </c>
      <c r="AV218" s="34" t="str">
        <f aca="false">IF($B218="","",COUNTIF($F218:$AJ218,"PH"))</f>
        <v/>
      </c>
      <c r="AW218" s="34" t="str">
        <f aca="false">IF($B218="","",COUNTIF($F218:$AJ218,"TR"))</f>
        <v/>
      </c>
      <c r="AX218" s="35" t="str">
        <f aca="false">IF($B218="","",AO218+AS218/2)</f>
        <v/>
      </c>
      <c r="AY218" s="35" t="str">
        <f aca="false">IF($B218="","",AQ218)</f>
        <v/>
      </c>
      <c r="AZ218" s="35" t="str">
        <f aca="false">IF($B218="","",AP218+AT218/2)</f>
        <v/>
      </c>
      <c r="BA218" s="35" t="str">
        <f aca="false">IF($B218="","",AK218+AN218+AM218/2+AO218+AP218+AQ218+AR218+AS218+AT218+AU218+AV218+AW218)</f>
        <v/>
      </c>
      <c r="BB218" s="35" t="str">
        <f aca="false">IF($B218="","",MAX(0,AN218-Settings!$C$16)*Settings!$C$17)</f>
        <v/>
      </c>
      <c r="BC218" s="35" t="str">
        <f aca="false">IF($B218="","",BA218-BB218)</f>
        <v/>
      </c>
      <c r="BD218" s="35" t="str">
        <f aca="false">IF(OR($B218="",$A218=""),"",DAY(EOMONTH($A218,0))-COUNTA($F218:$AJ218))</f>
        <v/>
      </c>
    </row>
    <row r="219" customFormat="false" ht="15" hidden="false" customHeight="false" outlineLevel="0" collapsed="false">
      <c r="A219" s="32"/>
      <c r="B219" s="29"/>
      <c r="C219" s="10" t="str">
        <f aca="false">IF($B219="","",IFERROR(INDEX(M_name,MATCH($B219,M_emp,0)),"Code not found"))</f>
        <v/>
      </c>
      <c r="D219" s="10" t="str">
        <f aca="false">IF($B219="","",IFERROR(INDEX(M_dept,MATCH($B219,M_emp,0)),""))</f>
        <v/>
      </c>
      <c r="E219" s="10" t="str">
        <f aca="false">IF($B219="","",IFERROR(INDEX(M_loc,MATCH($B219,M_emp,0)),""))</f>
        <v/>
      </c>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4" t="str">
        <f aca="false">IF($B219="","",COUNTIF($F219:$AJ219,"P"))</f>
        <v/>
      </c>
      <c r="AL219" s="34" t="str">
        <f aca="false">IF($B219="","",COUNTIF($F219:$AJ219,"A"))</f>
        <v/>
      </c>
      <c r="AM219" s="34" t="str">
        <f aca="false">IF($B219="","",COUNTIF($F219:$AJ219,"HA"))</f>
        <v/>
      </c>
      <c r="AN219" s="34" t="str">
        <f aca="false">IF($B219="","",COUNTIF($F219:$AJ219,"L"))</f>
        <v/>
      </c>
      <c r="AO219" s="34" t="str">
        <f aca="false">IF($B219="","",COUNTIF($F219:$AJ219,"PL"))</f>
        <v/>
      </c>
      <c r="AP219" s="34" t="str">
        <f aca="false">IF($B219="","",COUNTIF($F219:$AJ219,"CL"))</f>
        <v/>
      </c>
      <c r="AQ219" s="34" t="str">
        <f aca="false">IF($B219="","",COUNTIF($F219:$AJ219,"SL"))</f>
        <v/>
      </c>
      <c r="AR219" s="34" t="str">
        <f aca="false">IF($B219="","",COUNTIF($F219:$AJ219,"CO"))</f>
        <v/>
      </c>
      <c r="AS219" s="34" t="str">
        <f aca="false">IF($B219="","",COUNTIF($F219:$AJ219,"HPL"))</f>
        <v/>
      </c>
      <c r="AT219" s="34" t="str">
        <f aca="false">IF($B219="","",COUNTIF($F219:$AJ219,"HCL"))</f>
        <v/>
      </c>
      <c r="AU219" s="34" t="str">
        <f aca="false">IF($B219="","",COUNTIF($F219:$AJ219,"WO"))</f>
        <v/>
      </c>
      <c r="AV219" s="34" t="str">
        <f aca="false">IF($B219="","",COUNTIF($F219:$AJ219,"PH"))</f>
        <v/>
      </c>
      <c r="AW219" s="34" t="str">
        <f aca="false">IF($B219="","",COUNTIF($F219:$AJ219,"TR"))</f>
        <v/>
      </c>
      <c r="AX219" s="35" t="str">
        <f aca="false">IF($B219="","",AO219+AS219/2)</f>
        <v/>
      </c>
      <c r="AY219" s="35" t="str">
        <f aca="false">IF($B219="","",AQ219)</f>
        <v/>
      </c>
      <c r="AZ219" s="35" t="str">
        <f aca="false">IF($B219="","",AP219+AT219/2)</f>
        <v/>
      </c>
      <c r="BA219" s="35" t="str">
        <f aca="false">IF($B219="","",AK219+AN219+AM219/2+AO219+AP219+AQ219+AR219+AS219+AT219+AU219+AV219+AW219)</f>
        <v/>
      </c>
      <c r="BB219" s="35" t="str">
        <f aca="false">IF($B219="","",MAX(0,AN219-Settings!$C$16)*Settings!$C$17)</f>
        <v/>
      </c>
      <c r="BC219" s="35" t="str">
        <f aca="false">IF($B219="","",BA219-BB219)</f>
        <v/>
      </c>
      <c r="BD219" s="35" t="str">
        <f aca="false">IF(OR($B219="",$A219=""),"",DAY(EOMONTH($A219,0))-COUNTA($F219:$AJ219))</f>
        <v/>
      </c>
    </row>
    <row r="220" customFormat="false" ht="15" hidden="false" customHeight="false" outlineLevel="0" collapsed="false">
      <c r="A220" s="32"/>
      <c r="B220" s="29"/>
      <c r="C220" s="10" t="str">
        <f aca="false">IF($B220="","",IFERROR(INDEX(M_name,MATCH($B220,M_emp,0)),"Code not found"))</f>
        <v/>
      </c>
      <c r="D220" s="10" t="str">
        <f aca="false">IF($B220="","",IFERROR(INDEX(M_dept,MATCH($B220,M_emp,0)),""))</f>
        <v/>
      </c>
      <c r="E220" s="10" t="str">
        <f aca="false">IF($B220="","",IFERROR(INDEX(M_loc,MATCH($B220,M_emp,0)),""))</f>
        <v/>
      </c>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4" t="str">
        <f aca="false">IF($B220="","",COUNTIF($F220:$AJ220,"P"))</f>
        <v/>
      </c>
      <c r="AL220" s="34" t="str">
        <f aca="false">IF($B220="","",COUNTIF($F220:$AJ220,"A"))</f>
        <v/>
      </c>
      <c r="AM220" s="34" t="str">
        <f aca="false">IF($B220="","",COUNTIF($F220:$AJ220,"HA"))</f>
        <v/>
      </c>
      <c r="AN220" s="34" t="str">
        <f aca="false">IF($B220="","",COUNTIF($F220:$AJ220,"L"))</f>
        <v/>
      </c>
      <c r="AO220" s="34" t="str">
        <f aca="false">IF($B220="","",COUNTIF($F220:$AJ220,"PL"))</f>
        <v/>
      </c>
      <c r="AP220" s="34" t="str">
        <f aca="false">IF($B220="","",COUNTIF($F220:$AJ220,"CL"))</f>
        <v/>
      </c>
      <c r="AQ220" s="34" t="str">
        <f aca="false">IF($B220="","",COUNTIF($F220:$AJ220,"SL"))</f>
        <v/>
      </c>
      <c r="AR220" s="34" t="str">
        <f aca="false">IF($B220="","",COUNTIF($F220:$AJ220,"CO"))</f>
        <v/>
      </c>
      <c r="AS220" s="34" t="str">
        <f aca="false">IF($B220="","",COUNTIF($F220:$AJ220,"HPL"))</f>
        <v/>
      </c>
      <c r="AT220" s="34" t="str">
        <f aca="false">IF($B220="","",COUNTIF($F220:$AJ220,"HCL"))</f>
        <v/>
      </c>
      <c r="AU220" s="34" t="str">
        <f aca="false">IF($B220="","",COUNTIF($F220:$AJ220,"WO"))</f>
        <v/>
      </c>
      <c r="AV220" s="34" t="str">
        <f aca="false">IF($B220="","",COUNTIF($F220:$AJ220,"PH"))</f>
        <v/>
      </c>
      <c r="AW220" s="34" t="str">
        <f aca="false">IF($B220="","",COUNTIF($F220:$AJ220,"TR"))</f>
        <v/>
      </c>
      <c r="AX220" s="35" t="str">
        <f aca="false">IF($B220="","",AO220+AS220/2)</f>
        <v/>
      </c>
      <c r="AY220" s="35" t="str">
        <f aca="false">IF($B220="","",AQ220)</f>
        <v/>
      </c>
      <c r="AZ220" s="35" t="str">
        <f aca="false">IF($B220="","",AP220+AT220/2)</f>
        <v/>
      </c>
      <c r="BA220" s="35" t="str">
        <f aca="false">IF($B220="","",AK220+AN220+AM220/2+AO220+AP220+AQ220+AR220+AS220+AT220+AU220+AV220+AW220)</f>
        <v/>
      </c>
      <c r="BB220" s="35" t="str">
        <f aca="false">IF($B220="","",MAX(0,AN220-Settings!$C$16)*Settings!$C$17)</f>
        <v/>
      </c>
      <c r="BC220" s="35" t="str">
        <f aca="false">IF($B220="","",BA220-BB220)</f>
        <v/>
      </c>
      <c r="BD220" s="35" t="str">
        <f aca="false">IF(OR($B220="",$A220=""),"",DAY(EOMONTH($A220,0))-COUNTA($F220:$AJ220))</f>
        <v/>
      </c>
    </row>
    <row r="221" customFormat="false" ht="15" hidden="false" customHeight="false" outlineLevel="0" collapsed="false">
      <c r="A221" s="32"/>
      <c r="B221" s="29"/>
      <c r="C221" s="10" t="str">
        <f aca="false">IF($B221="","",IFERROR(INDEX(M_name,MATCH($B221,M_emp,0)),"Code not found"))</f>
        <v/>
      </c>
      <c r="D221" s="10" t="str">
        <f aca="false">IF($B221="","",IFERROR(INDEX(M_dept,MATCH($B221,M_emp,0)),""))</f>
        <v/>
      </c>
      <c r="E221" s="10" t="str">
        <f aca="false">IF($B221="","",IFERROR(INDEX(M_loc,MATCH($B221,M_emp,0)),""))</f>
        <v/>
      </c>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4" t="str">
        <f aca="false">IF($B221="","",COUNTIF($F221:$AJ221,"P"))</f>
        <v/>
      </c>
      <c r="AL221" s="34" t="str">
        <f aca="false">IF($B221="","",COUNTIF($F221:$AJ221,"A"))</f>
        <v/>
      </c>
      <c r="AM221" s="34" t="str">
        <f aca="false">IF($B221="","",COUNTIF($F221:$AJ221,"HA"))</f>
        <v/>
      </c>
      <c r="AN221" s="34" t="str">
        <f aca="false">IF($B221="","",COUNTIF($F221:$AJ221,"L"))</f>
        <v/>
      </c>
      <c r="AO221" s="34" t="str">
        <f aca="false">IF($B221="","",COUNTIF($F221:$AJ221,"PL"))</f>
        <v/>
      </c>
      <c r="AP221" s="34" t="str">
        <f aca="false">IF($B221="","",COUNTIF($F221:$AJ221,"CL"))</f>
        <v/>
      </c>
      <c r="AQ221" s="34" t="str">
        <f aca="false">IF($B221="","",COUNTIF($F221:$AJ221,"SL"))</f>
        <v/>
      </c>
      <c r="AR221" s="34" t="str">
        <f aca="false">IF($B221="","",COUNTIF($F221:$AJ221,"CO"))</f>
        <v/>
      </c>
      <c r="AS221" s="34" t="str">
        <f aca="false">IF($B221="","",COUNTIF($F221:$AJ221,"HPL"))</f>
        <v/>
      </c>
      <c r="AT221" s="34" t="str">
        <f aca="false">IF($B221="","",COUNTIF($F221:$AJ221,"HCL"))</f>
        <v/>
      </c>
      <c r="AU221" s="34" t="str">
        <f aca="false">IF($B221="","",COUNTIF($F221:$AJ221,"WO"))</f>
        <v/>
      </c>
      <c r="AV221" s="34" t="str">
        <f aca="false">IF($B221="","",COUNTIF($F221:$AJ221,"PH"))</f>
        <v/>
      </c>
      <c r="AW221" s="34" t="str">
        <f aca="false">IF($B221="","",COUNTIF($F221:$AJ221,"TR"))</f>
        <v/>
      </c>
      <c r="AX221" s="35" t="str">
        <f aca="false">IF($B221="","",AO221+AS221/2)</f>
        <v/>
      </c>
      <c r="AY221" s="35" t="str">
        <f aca="false">IF($B221="","",AQ221)</f>
        <v/>
      </c>
      <c r="AZ221" s="35" t="str">
        <f aca="false">IF($B221="","",AP221+AT221/2)</f>
        <v/>
      </c>
      <c r="BA221" s="35" t="str">
        <f aca="false">IF($B221="","",AK221+AN221+AM221/2+AO221+AP221+AQ221+AR221+AS221+AT221+AU221+AV221+AW221)</f>
        <v/>
      </c>
      <c r="BB221" s="35" t="str">
        <f aca="false">IF($B221="","",MAX(0,AN221-Settings!$C$16)*Settings!$C$17)</f>
        <v/>
      </c>
      <c r="BC221" s="35" t="str">
        <f aca="false">IF($B221="","",BA221-BB221)</f>
        <v/>
      </c>
      <c r="BD221" s="35" t="str">
        <f aca="false">IF(OR($B221="",$A221=""),"",DAY(EOMONTH($A221,0))-COUNTA($F221:$AJ221))</f>
        <v/>
      </c>
    </row>
    <row r="222" customFormat="false" ht="15" hidden="false" customHeight="false" outlineLevel="0" collapsed="false">
      <c r="A222" s="32"/>
      <c r="B222" s="29"/>
      <c r="C222" s="10" t="str">
        <f aca="false">IF($B222="","",IFERROR(INDEX(M_name,MATCH($B222,M_emp,0)),"Code not found"))</f>
        <v/>
      </c>
      <c r="D222" s="10" t="str">
        <f aca="false">IF($B222="","",IFERROR(INDEX(M_dept,MATCH($B222,M_emp,0)),""))</f>
        <v/>
      </c>
      <c r="E222" s="10" t="str">
        <f aca="false">IF($B222="","",IFERROR(INDEX(M_loc,MATCH($B222,M_emp,0)),""))</f>
        <v/>
      </c>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4" t="str">
        <f aca="false">IF($B222="","",COUNTIF($F222:$AJ222,"P"))</f>
        <v/>
      </c>
      <c r="AL222" s="34" t="str">
        <f aca="false">IF($B222="","",COUNTIF($F222:$AJ222,"A"))</f>
        <v/>
      </c>
      <c r="AM222" s="34" t="str">
        <f aca="false">IF($B222="","",COUNTIF($F222:$AJ222,"HA"))</f>
        <v/>
      </c>
      <c r="AN222" s="34" t="str">
        <f aca="false">IF($B222="","",COUNTIF($F222:$AJ222,"L"))</f>
        <v/>
      </c>
      <c r="AO222" s="34" t="str">
        <f aca="false">IF($B222="","",COUNTIF($F222:$AJ222,"PL"))</f>
        <v/>
      </c>
      <c r="AP222" s="34" t="str">
        <f aca="false">IF($B222="","",COUNTIF($F222:$AJ222,"CL"))</f>
        <v/>
      </c>
      <c r="AQ222" s="34" t="str">
        <f aca="false">IF($B222="","",COUNTIF($F222:$AJ222,"SL"))</f>
        <v/>
      </c>
      <c r="AR222" s="34" t="str">
        <f aca="false">IF($B222="","",COUNTIF($F222:$AJ222,"CO"))</f>
        <v/>
      </c>
      <c r="AS222" s="34" t="str">
        <f aca="false">IF($B222="","",COUNTIF($F222:$AJ222,"HPL"))</f>
        <v/>
      </c>
      <c r="AT222" s="34" t="str">
        <f aca="false">IF($B222="","",COUNTIF($F222:$AJ222,"HCL"))</f>
        <v/>
      </c>
      <c r="AU222" s="34" t="str">
        <f aca="false">IF($B222="","",COUNTIF($F222:$AJ222,"WO"))</f>
        <v/>
      </c>
      <c r="AV222" s="34" t="str">
        <f aca="false">IF($B222="","",COUNTIF($F222:$AJ222,"PH"))</f>
        <v/>
      </c>
      <c r="AW222" s="34" t="str">
        <f aca="false">IF($B222="","",COUNTIF($F222:$AJ222,"TR"))</f>
        <v/>
      </c>
      <c r="AX222" s="35" t="str">
        <f aca="false">IF($B222="","",AO222+AS222/2)</f>
        <v/>
      </c>
      <c r="AY222" s="35" t="str">
        <f aca="false">IF($B222="","",AQ222)</f>
        <v/>
      </c>
      <c r="AZ222" s="35" t="str">
        <f aca="false">IF($B222="","",AP222+AT222/2)</f>
        <v/>
      </c>
      <c r="BA222" s="35" t="str">
        <f aca="false">IF($B222="","",AK222+AN222+AM222/2+AO222+AP222+AQ222+AR222+AS222+AT222+AU222+AV222+AW222)</f>
        <v/>
      </c>
      <c r="BB222" s="35" t="str">
        <f aca="false">IF($B222="","",MAX(0,AN222-Settings!$C$16)*Settings!$C$17)</f>
        <v/>
      </c>
      <c r="BC222" s="35" t="str">
        <f aca="false">IF($B222="","",BA222-BB222)</f>
        <v/>
      </c>
      <c r="BD222" s="35" t="str">
        <f aca="false">IF(OR($B222="",$A222=""),"",DAY(EOMONTH($A222,0))-COUNTA($F222:$AJ222))</f>
        <v/>
      </c>
    </row>
    <row r="223" customFormat="false" ht="15" hidden="false" customHeight="false" outlineLevel="0" collapsed="false">
      <c r="A223" s="32"/>
      <c r="B223" s="29"/>
      <c r="C223" s="10" t="str">
        <f aca="false">IF($B223="","",IFERROR(INDEX(M_name,MATCH($B223,M_emp,0)),"Code not found"))</f>
        <v/>
      </c>
      <c r="D223" s="10" t="str">
        <f aca="false">IF($B223="","",IFERROR(INDEX(M_dept,MATCH($B223,M_emp,0)),""))</f>
        <v/>
      </c>
      <c r="E223" s="10" t="str">
        <f aca="false">IF($B223="","",IFERROR(INDEX(M_loc,MATCH($B223,M_emp,0)),""))</f>
        <v/>
      </c>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4" t="str">
        <f aca="false">IF($B223="","",COUNTIF($F223:$AJ223,"P"))</f>
        <v/>
      </c>
      <c r="AL223" s="34" t="str">
        <f aca="false">IF($B223="","",COUNTIF($F223:$AJ223,"A"))</f>
        <v/>
      </c>
      <c r="AM223" s="34" t="str">
        <f aca="false">IF($B223="","",COUNTIF($F223:$AJ223,"HA"))</f>
        <v/>
      </c>
      <c r="AN223" s="34" t="str">
        <f aca="false">IF($B223="","",COUNTIF($F223:$AJ223,"L"))</f>
        <v/>
      </c>
      <c r="AO223" s="34" t="str">
        <f aca="false">IF($B223="","",COUNTIF($F223:$AJ223,"PL"))</f>
        <v/>
      </c>
      <c r="AP223" s="34" t="str">
        <f aca="false">IF($B223="","",COUNTIF($F223:$AJ223,"CL"))</f>
        <v/>
      </c>
      <c r="AQ223" s="34" t="str">
        <f aca="false">IF($B223="","",COUNTIF($F223:$AJ223,"SL"))</f>
        <v/>
      </c>
      <c r="AR223" s="34" t="str">
        <f aca="false">IF($B223="","",COUNTIF($F223:$AJ223,"CO"))</f>
        <v/>
      </c>
      <c r="AS223" s="34" t="str">
        <f aca="false">IF($B223="","",COUNTIF($F223:$AJ223,"HPL"))</f>
        <v/>
      </c>
      <c r="AT223" s="34" t="str">
        <f aca="false">IF($B223="","",COUNTIF($F223:$AJ223,"HCL"))</f>
        <v/>
      </c>
      <c r="AU223" s="34" t="str">
        <f aca="false">IF($B223="","",COUNTIF($F223:$AJ223,"WO"))</f>
        <v/>
      </c>
      <c r="AV223" s="34" t="str">
        <f aca="false">IF($B223="","",COUNTIF($F223:$AJ223,"PH"))</f>
        <v/>
      </c>
      <c r="AW223" s="34" t="str">
        <f aca="false">IF($B223="","",COUNTIF($F223:$AJ223,"TR"))</f>
        <v/>
      </c>
      <c r="AX223" s="35" t="str">
        <f aca="false">IF($B223="","",AO223+AS223/2)</f>
        <v/>
      </c>
      <c r="AY223" s="35" t="str">
        <f aca="false">IF($B223="","",AQ223)</f>
        <v/>
      </c>
      <c r="AZ223" s="35" t="str">
        <f aca="false">IF($B223="","",AP223+AT223/2)</f>
        <v/>
      </c>
      <c r="BA223" s="35" t="str">
        <f aca="false">IF($B223="","",AK223+AN223+AM223/2+AO223+AP223+AQ223+AR223+AS223+AT223+AU223+AV223+AW223)</f>
        <v/>
      </c>
      <c r="BB223" s="35" t="str">
        <f aca="false">IF($B223="","",MAX(0,AN223-Settings!$C$16)*Settings!$C$17)</f>
        <v/>
      </c>
      <c r="BC223" s="35" t="str">
        <f aca="false">IF($B223="","",BA223-BB223)</f>
        <v/>
      </c>
      <c r="BD223" s="35" t="str">
        <f aca="false">IF(OR($B223="",$A223=""),"",DAY(EOMONTH($A223,0))-COUNTA($F223:$AJ223))</f>
        <v/>
      </c>
    </row>
    <row r="224" customFormat="false" ht="15" hidden="false" customHeight="false" outlineLevel="0" collapsed="false">
      <c r="A224" s="32"/>
      <c r="B224" s="29"/>
      <c r="C224" s="10" t="str">
        <f aca="false">IF($B224="","",IFERROR(INDEX(M_name,MATCH($B224,M_emp,0)),"Code not found"))</f>
        <v/>
      </c>
      <c r="D224" s="10" t="str">
        <f aca="false">IF($B224="","",IFERROR(INDEX(M_dept,MATCH($B224,M_emp,0)),""))</f>
        <v/>
      </c>
      <c r="E224" s="10" t="str">
        <f aca="false">IF($B224="","",IFERROR(INDEX(M_loc,MATCH($B224,M_emp,0)),""))</f>
        <v/>
      </c>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4" t="str">
        <f aca="false">IF($B224="","",COUNTIF($F224:$AJ224,"P"))</f>
        <v/>
      </c>
      <c r="AL224" s="34" t="str">
        <f aca="false">IF($B224="","",COUNTIF($F224:$AJ224,"A"))</f>
        <v/>
      </c>
      <c r="AM224" s="34" t="str">
        <f aca="false">IF($B224="","",COUNTIF($F224:$AJ224,"HA"))</f>
        <v/>
      </c>
      <c r="AN224" s="34" t="str">
        <f aca="false">IF($B224="","",COUNTIF($F224:$AJ224,"L"))</f>
        <v/>
      </c>
      <c r="AO224" s="34" t="str">
        <f aca="false">IF($B224="","",COUNTIF($F224:$AJ224,"PL"))</f>
        <v/>
      </c>
      <c r="AP224" s="34" t="str">
        <f aca="false">IF($B224="","",COUNTIF($F224:$AJ224,"CL"))</f>
        <v/>
      </c>
      <c r="AQ224" s="34" t="str">
        <f aca="false">IF($B224="","",COUNTIF($F224:$AJ224,"SL"))</f>
        <v/>
      </c>
      <c r="AR224" s="34" t="str">
        <f aca="false">IF($B224="","",COUNTIF($F224:$AJ224,"CO"))</f>
        <v/>
      </c>
      <c r="AS224" s="34" t="str">
        <f aca="false">IF($B224="","",COUNTIF($F224:$AJ224,"HPL"))</f>
        <v/>
      </c>
      <c r="AT224" s="34" t="str">
        <f aca="false">IF($B224="","",COUNTIF($F224:$AJ224,"HCL"))</f>
        <v/>
      </c>
      <c r="AU224" s="34" t="str">
        <f aca="false">IF($B224="","",COUNTIF($F224:$AJ224,"WO"))</f>
        <v/>
      </c>
      <c r="AV224" s="34" t="str">
        <f aca="false">IF($B224="","",COUNTIF($F224:$AJ224,"PH"))</f>
        <v/>
      </c>
      <c r="AW224" s="34" t="str">
        <f aca="false">IF($B224="","",COUNTIF($F224:$AJ224,"TR"))</f>
        <v/>
      </c>
      <c r="AX224" s="35" t="str">
        <f aca="false">IF($B224="","",AO224+AS224/2)</f>
        <v/>
      </c>
      <c r="AY224" s="35" t="str">
        <f aca="false">IF($B224="","",AQ224)</f>
        <v/>
      </c>
      <c r="AZ224" s="35" t="str">
        <f aca="false">IF($B224="","",AP224+AT224/2)</f>
        <v/>
      </c>
      <c r="BA224" s="35" t="str">
        <f aca="false">IF($B224="","",AK224+AN224+AM224/2+AO224+AP224+AQ224+AR224+AS224+AT224+AU224+AV224+AW224)</f>
        <v/>
      </c>
      <c r="BB224" s="35" t="str">
        <f aca="false">IF($B224="","",MAX(0,AN224-Settings!$C$16)*Settings!$C$17)</f>
        <v/>
      </c>
      <c r="BC224" s="35" t="str">
        <f aca="false">IF($B224="","",BA224-BB224)</f>
        <v/>
      </c>
      <c r="BD224" s="35" t="str">
        <f aca="false">IF(OR($B224="",$A224=""),"",DAY(EOMONTH($A224,0))-COUNTA($F224:$AJ224))</f>
        <v/>
      </c>
    </row>
    <row r="225" customFormat="false" ht="15" hidden="false" customHeight="false" outlineLevel="0" collapsed="false">
      <c r="A225" s="32"/>
      <c r="B225" s="29"/>
      <c r="C225" s="10" t="str">
        <f aca="false">IF($B225="","",IFERROR(INDEX(M_name,MATCH($B225,M_emp,0)),"Code not found"))</f>
        <v/>
      </c>
      <c r="D225" s="10" t="str">
        <f aca="false">IF($B225="","",IFERROR(INDEX(M_dept,MATCH($B225,M_emp,0)),""))</f>
        <v/>
      </c>
      <c r="E225" s="10" t="str">
        <f aca="false">IF($B225="","",IFERROR(INDEX(M_loc,MATCH($B225,M_emp,0)),""))</f>
        <v/>
      </c>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4" t="str">
        <f aca="false">IF($B225="","",COUNTIF($F225:$AJ225,"P"))</f>
        <v/>
      </c>
      <c r="AL225" s="34" t="str">
        <f aca="false">IF($B225="","",COUNTIF($F225:$AJ225,"A"))</f>
        <v/>
      </c>
      <c r="AM225" s="34" t="str">
        <f aca="false">IF($B225="","",COUNTIF($F225:$AJ225,"HA"))</f>
        <v/>
      </c>
      <c r="AN225" s="34" t="str">
        <f aca="false">IF($B225="","",COUNTIF($F225:$AJ225,"L"))</f>
        <v/>
      </c>
      <c r="AO225" s="34" t="str">
        <f aca="false">IF($B225="","",COUNTIF($F225:$AJ225,"PL"))</f>
        <v/>
      </c>
      <c r="AP225" s="34" t="str">
        <f aca="false">IF($B225="","",COUNTIF($F225:$AJ225,"CL"))</f>
        <v/>
      </c>
      <c r="AQ225" s="34" t="str">
        <f aca="false">IF($B225="","",COUNTIF($F225:$AJ225,"SL"))</f>
        <v/>
      </c>
      <c r="AR225" s="34" t="str">
        <f aca="false">IF($B225="","",COUNTIF($F225:$AJ225,"CO"))</f>
        <v/>
      </c>
      <c r="AS225" s="34" t="str">
        <f aca="false">IF($B225="","",COUNTIF($F225:$AJ225,"HPL"))</f>
        <v/>
      </c>
      <c r="AT225" s="34" t="str">
        <f aca="false">IF($B225="","",COUNTIF($F225:$AJ225,"HCL"))</f>
        <v/>
      </c>
      <c r="AU225" s="34" t="str">
        <f aca="false">IF($B225="","",COUNTIF($F225:$AJ225,"WO"))</f>
        <v/>
      </c>
      <c r="AV225" s="34" t="str">
        <f aca="false">IF($B225="","",COUNTIF($F225:$AJ225,"PH"))</f>
        <v/>
      </c>
      <c r="AW225" s="34" t="str">
        <f aca="false">IF($B225="","",COUNTIF($F225:$AJ225,"TR"))</f>
        <v/>
      </c>
      <c r="AX225" s="35" t="str">
        <f aca="false">IF($B225="","",AO225+AS225/2)</f>
        <v/>
      </c>
      <c r="AY225" s="35" t="str">
        <f aca="false">IF($B225="","",AQ225)</f>
        <v/>
      </c>
      <c r="AZ225" s="35" t="str">
        <f aca="false">IF($B225="","",AP225+AT225/2)</f>
        <v/>
      </c>
      <c r="BA225" s="35" t="str">
        <f aca="false">IF($B225="","",AK225+AN225+AM225/2+AO225+AP225+AQ225+AR225+AS225+AT225+AU225+AV225+AW225)</f>
        <v/>
      </c>
      <c r="BB225" s="35" t="str">
        <f aca="false">IF($B225="","",MAX(0,AN225-Settings!$C$16)*Settings!$C$17)</f>
        <v/>
      </c>
      <c r="BC225" s="35" t="str">
        <f aca="false">IF($B225="","",BA225-BB225)</f>
        <v/>
      </c>
      <c r="BD225" s="35" t="str">
        <f aca="false">IF(OR($B225="",$A225=""),"",DAY(EOMONTH($A225,0))-COUNTA($F225:$AJ225))</f>
        <v/>
      </c>
    </row>
    <row r="226" customFormat="false" ht="15" hidden="false" customHeight="false" outlineLevel="0" collapsed="false">
      <c r="A226" s="32"/>
      <c r="B226" s="29"/>
      <c r="C226" s="10" t="str">
        <f aca="false">IF($B226="","",IFERROR(INDEX(M_name,MATCH($B226,M_emp,0)),"Code not found"))</f>
        <v/>
      </c>
      <c r="D226" s="10" t="str">
        <f aca="false">IF($B226="","",IFERROR(INDEX(M_dept,MATCH($B226,M_emp,0)),""))</f>
        <v/>
      </c>
      <c r="E226" s="10" t="str">
        <f aca="false">IF($B226="","",IFERROR(INDEX(M_loc,MATCH($B226,M_emp,0)),""))</f>
        <v/>
      </c>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4" t="str">
        <f aca="false">IF($B226="","",COUNTIF($F226:$AJ226,"P"))</f>
        <v/>
      </c>
      <c r="AL226" s="34" t="str">
        <f aca="false">IF($B226="","",COUNTIF($F226:$AJ226,"A"))</f>
        <v/>
      </c>
      <c r="AM226" s="34" t="str">
        <f aca="false">IF($B226="","",COUNTIF($F226:$AJ226,"HA"))</f>
        <v/>
      </c>
      <c r="AN226" s="34" t="str">
        <f aca="false">IF($B226="","",COUNTIF($F226:$AJ226,"L"))</f>
        <v/>
      </c>
      <c r="AO226" s="34" t="str">
        <f aca="false">IF($B226="","",COUNTIF($F226:$AJ226,"PL"))</f>
        <v/>
      </c>
      <c r="AP226" s="34" t="str">
        <f aca="false">IF($B226="","",COUNTIF($F226:$AJ226,"CL"))</f>
        <v/>
      </c>
      <c r="AQ226" s="34" t="str">
        <f aca="false">IF($B226="","",COUNTIF($F226:$AJ226,"SL"))</f>
        <v/>
      </c>
      <c r="AR226" s="34" t="str">
        <f aca="false">IF($B226="","",COUNTIF($F226:$AJ226,"CO"))</f>
        <v/>
      </c>
      <c r="AS226" s="34" t="str">
        <f aca="false">IF($B226="","",COUNTIF($F226:$AJ226,"HPL"))</f>
        <v/>
      </c>
      <c r="AT226" s="34" t="str">
        <f aca="false">IF($B226="","",COUNTIF($F226:$AJ226,"HCL"))</f>
        <v/>
      </c>
      <c r="AU226" s="34" t="str">
        <f aca="false">IF($B226="","",COUNTIF($F226:$AJ226,"WO"))</f>
        <v/>
      </c>
      <c r="AV226" s="34" t="str">
        <f aca="false">IF($B226="","",COUNTIF($F226:$AJ226,"PH"))</f>
        <v/>
      </c>
      <c r="AW226" s="34" t="str">
        <f aca="false">IF($B226="","",COUNTIF($F226:$AJ226,"TR"))</f>
        <v/>
      </c>
      <c r="AX226" s="35" t="str">
        <f aca="false">IF($B226="","",AO226+AS226/2)</f>
        <v/>
      </c>
      <c r="AY226" s="35" t="str">
        <f aca="false">IF($B226="","",AQ226)</f>
        <v/>
      </c>
      <c r="AZ226" s="35" t="str">
        <f aca="false">IF($B226="","",AP226+AT226/2)</f>
        <v/>
      </c>
      <c r="BA226" s="35" t="str">
        <f aca="false">IF($B226="","",AK226+AN226+AM226/2+AO226+AP226+AQ226+AR226+AS226+AT226+AU226+AV226+AW226)</f>
        <v/>
      </c>
      <c r="BB226" s="35" t="str">
        <f aca="false">IF($B226="","",MAX(0,AN226-Settings!$C$16)*Settings!$C$17)</f>
        <v/>
      </c>
      <c r="BC226" s="35" t="str">
        <f aca="false">IF($B226="","",BA226-BB226)</f>
        <v/>
      </c>
      <c r="BD226" s="35" t="str">
        <f aca="false">IF(OR($B226="",$A226=""),"",DAY(EOMONTH($A226,0))-COUNTA($F226:$AJ226))</f>
        <v/>
      </c>
    </row>
    <row r="227" customFormat="false" ht="15" hidden="false" customHeight="false" outlineLevel="0" collapsed="false">
      <c r="A227" s="32"/>
      <c r="B227" s="29"/>
      <c r="C227" s="10" t="str">
        <f aca="false">IF($B227="","",IFERROR(INDEX(M_name,MATCH($B227,M_emp,0)),"Code not found"))</f>
        <v/>
      </c>
      <c r="D227" s="10" t="str">
        <f aca="false">IF($B227="","",IFERROR(INDEX(M_dept,MATCH($B227,M_emp,0)),""))</f>
        <v/>
      </c>
      <c r="E227" s="10" t="str">
        <f aca="false">IF($B227="","",IFERROR(INDEX(M_loc,MATCH($B227,M_emp,0)),""))</f>
        <v/>
      </c>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4" t="str">
        <f aca="false">IF($B227="","",COUNTIF($F227:$AJ227,"P"))</f>
        <v/>
      </c>
      <c r="AL227" s="34" t="str">
        <f aca="false">IF($B227="","",COUNTIF($F227:$AJ227,"A"))</f>
        <v/>
      </c>
      <c r="AM227" s="34" t="str">
        <f aca="false">IF($B227="","",COUNTIF($F227:$AJ227,"HA"))</f>
        <v/>
      </c>
      <c r="AN227" s="34" t="str">
        <f aca="false">IF($B227="","",COUNTIF($F227:$AJ227,"L"))</f>
        <v/>
      </c>
      <c r="AO227" s="34" t="str">
        <f aca="false">IF($B227="","",COUNTIF($F227:$AJ227,"PL"))</f>
        <v/>
      </c>
      <c r="AP227" s="34" t="str">
        <f aca="false">IF($B227="","",COUNTIF($F227:$AJ227,"CL"))</f>
        <v/>
      </c>
      <c r="AQ227" s="34" t="str">
        <f aca="false">IF($B227="","",COUNTIF($F227:$AJ227,"SL"))</f>
        <v/>
      </c>
      <c r="AR227" s="34" t="str">
        <f aca="false">IF($B227="","",COUNTIF($F227:$AJ227,"CO"))</f>
        <v/>
      </c>
      <c r="AS227" s="34" t="str">
        <f aca="false">IF($B227="","",COUNTIF($F227:$AJ227,"HPL"))</f>
        <v/>
      </c>
      <c r="AT227" s="34" t="str">
        <f aca="false">IF($B227="","",COUNTIF($F227:$AJ227,"HCL"))</f>
        <v/>
      </c>
      <c r="AU227" s="34" t="str">
        <f aca="false">IF($B227="","",COUNTIF($F227:$AJ227,"WO"))</f>
        <v/>
      </c>
      <c r="AV227" s="34" t="str">
        <f aca="false">IF($B227="","",COUNTIF($F227:$AJ227,"PH"))</f>
        <v/>
      </c>
      <c r="AW227" s="34" t="str">
        <f aca="false">IF($B227="","",COUNTIF($F227:$AJ227,"TR"))</f>
        <v/>
      </c>
      <c r="AX227" s="35" t="str">
        <f aca="false">IF($B227="","",AO227+AS227/2)</f>
        <v/>
      </c>
      <c r="AY227" s="35" t="str">
        <f aca="false">IF($B227="","",AQ227)</f>
        <v/>
      </c>
      <c r="AZ227" s="35" t="str">
        <f aca="false">IF($B227="","",AP227+AT227/2)</f>
        <v/>
      </c>
      <c r="BA227" s="35" t="str">
        <f aca="false">IF($B227="","",AK227+AN227+AM227/2+AO227+AP227+AQ227+AR227+AS227+AT227+AU227+AV227+AW227)</f>
        <v/>
      </c>
      <c r="BB227" s="35" t="str">
        <f aca="false">IF($B227="","",MAX(0,AN227-Settings!$C$16)*Settings!$C$17)</f>
        <v/>
      </c>
      <c r="BC227" s="35" t="str">
        <f aca="false">IF($B227="","",BA227-BB227)</f>
        <v/>
      </c>
      <c r="BD227" s="35" t="str">
        <f aca="false">IF(OR($B227="",$A227=""),"",DAY(EOMONTH($A227,0))-COUNTA($F227:$AJ227))</f>
        <v/>
      </c>
    </row>
    <row r="228" customFormat="false" ht="15" hidden="false" customHeight="false" outlineLevel="0" collapsed="false">
      <c r="A228" s="32"/>
      <c r="B228" s="29"/>
      <c r="C228" s="10" t="str">
        <f aca="false">IF($B228="","",IFERROR(INDEX(M_name,MATCH($B228,M_emp,0)),"Code not found"))</f>
        <v/>
      </c>
      <c r="D228" s="10" t="str">
        <f aca="false">IF($B228="","",IFERROR(INDEX(M_dept,MATCH($B228,M_emp,0)),""))</f>
        <v/>
      </c>
      <c r="E228" s="10" t="str">
        <f aca="false">IF($B228="","",IFERROR(INDEX(M_loc,MATCH($B228,M_emp,0)),""))</f>
        <v/>
      </c>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4" t="str">
        <f aca="false">IF($B228="","",COUNTIF($F228:$AJ228,"P"))</f>
        <v/>
      </c>
      <c r="AL228" s="34" t="str">
        <f aca="false">IF($B228="","",COUNTIF($F228:$AJ228,"A"))</f>
        <v/>
      </c>
      <c r="AM228" s="34" t="str">
        <f aca="false">IF($B228="","",COUNTIF($F228:$AJ228,"HA"))</f>
        <v/>
      </c>
      <c r="AN228" s="34" t="str">
        <f aca="false">IF($B228="","",COUNTIF($F228:$AJ228,"L"))</f>
        <v/>
      </c>
      <c r="AO228" s="34" t="str">
        <f aca="false">IF($B228="","",COUNTIF($F228:$AJ228,"PL"))</f>
        <v/>
      </c>
      <c r="AP228" s="34" t="str">
        <f aca="false">IF($B228="","",COUNTIF($F228:$AJ228,"CL"))</f>
        <v/>
      </c>
      <c r="AQ228" s="34" t="str">
        <f aca="false">IF($B228="","",COUNTIF($F228:$AJ228,"SL"))</f>
        <v/>
      </c>
      <c r="AR228" s="34" t="str">
        <f aca="false">IF($B228="","",COUNTIF($F228:$AJ228,"CO"))</f>
        <v/>
      </c>
      <c r="AS228" s="34" t="str">
        <f aca="false">IF($B228="","",COUNTIF($F228:$AJ228,"HPL"))</f>
        <v/>
      </c>
      <c r="AT228" s="34" t="str">
        <f aca="false">IF($B228="","",COUNTIF($F228:$AJ228,"HCL"))</f>
        <v/>
      </c>
      <c r="AU228" s="34" t="str">
        <f aca="false">IF($B228="","",COUNTIF($F228:$AJ228,"WO"))</f>
        <v/>
      </c>
      <c r="AV228" s="34" t="str">
        <f aca="false">IF($B228="","",COUNTIF($F228:$AJ228,"PH"))</f>
        <v/>
      </c>
      <c r="AW228" s="34" t="str">
        <f aca="false">IF($B228="","",COUNTIF($F228:$AJ228,"TR"))</f>
        <v/>
      </c>
      <c r="AX228" s="35" t="str">
        <f aca="false">IF($B228="","",AO228+AS228/2)</f>
        <v/>
      </c>
      <c r="AY228" s="35" t="str">
        <f aca="false">IF($B228="","",AQ228)</f>
        <v/>
      </c>
      <c r="AZ228" s="35" t="str">
        <f aca="false">IF($B228="","",AP228+AT228/2)</f>
        <v/>
      </c>
      <c r="BA228" s="35" t="str">
        <f aca="false">IF($B228="","",AK228+AN228+AM228/2+AO228+AP228+AQ228+AR228+AS228+AT228+AU228+AV228+AW228)</f>
        <v/>
      </c>
      <c r="BB228" s="35" t="str">
        <f aca="false">IF($B228="","",MAX(0,AN228-Settings!$C$16)*Settings!$C$17)</f>
        <v/>
      </c>
      <c r="BC228" s="35" t="str">
        <f aca="false">IF($B228="","",BA228-BB228)</f>
        <v/>
      </c>
      <c r="BD228" s="35" t="str">
        <f aca="false">IF(OR($B228="",$A228=""),"",DAY(EOMONTH($A228,0))-COUNTA($F228:$AJ228))</f>
        <v/>
      </c>
    </row>
    <row r="229" customFormat="false" ht="15" hidden="false" customHeight="false" outlineLevel="0" collapsed="false">
      <c r="A229" s="32"/>
      <c r="B229" s="29"/>
      <c r="C229" s="10" t="str">
        <f aca="false">IF($B229="","",IFERROR(INDEX(M_name,MATCH($B229,M_emp,0)),"Code not found"))</f>
        <v/>
      </c>
      <c r="D229" s="10" t="str">
        <f aca="false">IF($B229="","",IFERROR(INDEX(M_dept,MATCH($B229,M_emp,0)),""))</f>
        <v/>
      </c>
      <c r="E229" s="10" t="str">
        <f aca="false">IF($B229="","",IFERROR(INDEX(M_loc,MATCH($B229,M_emp,0)),""))</f>
        <v/>
      </c>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4" t="str">
        <f aca="false">IF($B229="","",COUNTIF($F229:$AJ229,"P"))</f>
        <v/>
      </c>
      <c r="AL229" s="34" t="str">
        <f aca="false">IF($B229="","",COUNTIF($F229:$AJ229,"A"))</f>
        <v/>
      </c>
      <c r="AM229" s="34" t="str">
        <f aca="false">IF($B229="","",COUNTIF($F229:$AJ229,"HA"))</f>
        <v/>
      </c>
      <c r="AN229" s="34" t="str">
        <f aca="false">IF($B229="","",COUNTIF($F229:$AJ229,"L"))</f>
        <v/>
      </c>
      <c r="AO229" s="34" t="str">
        <f aca="false">IF($B229="","",COUNTIF($F229:$AJ229,"PL"))</f>
        <v/>
      </c>
      <c r="AP229" s="34" t="str">
        <f aca="false">IF($B229="","",COUNTIF($F229:$AJ229,"CL"))</f>
        <v/>
      </c>
      <c r="AQ229" s="34" t="str">
        <f aca="false">IF($B229="","",COUNTIF($F229:$AJ229,"SL"))</f>
        <v/>
      </c>
      <c r="AR229" s="34" t="str">
        <f aca="false">IF($B229="","",COUNTIF($F229:$AJ229,"CO"))</f>
        <v/>
      </c>
      <c r="AS229" s="34" t="str">
        <f aca="false">IF($B229="","",COUNTIF($F229:$AJ229,"HPL"))</f>
        <v/>
      </c>
      <c r="AT229" s="34" t="str">
        <f aca="false">IF($B229="","",COUNTIF($F229:$AJ229,"HCL"))</f>
        <v/>
      </c>
      <c r="AU229" s="34" t="str">
        <f aca="false">IF($B229="","",COUNTIF($F229:$AJ229,"WO"))</f>
        <v/>
      </c>
      <c r="AV229" s="34" t="str">
        <f aca="false">IF($B229="","",COUNTIF($F229:$AJ229,"PH"))</f>
        <v/>
      </c>
      <c r="AW229" s="34" t="str">
        <f aca="false">IF($B229="","",COUNTIF($F229:$AJ229,"TR"))</f>
        <v/>
      </c>
      <c r="AX229" s="35" t="str">
        <f aca="false">IF($B229="","",AO229+AS229/2)</f>
        <v/>
      </c>
      <c r="AY229" s="35" t="str">
        <f aca="false">IF($B229="","",AQ229)</f>
        <v/>
      </c>
      <c r="AZ229" s="35" t="str">
        <f aca="false">IF($B229="","",AP229+AT229/2)</f>
        <v/>
      </c>
      <c r="BA229" s="35" t="str">
        <f aca="false">IF($B229="","",AK229+AN229+AM229/2+AO229+AP229+AQ229+AR229+AS229+AT229+AU229+AV229+AW229)</f>
        <v/>
      </c>
      <c r="BB229" s="35" t="str">
        <f aca="false">IF($B229="","",MAX(0,AN229-Settings!$C$16)*Settings!$C$17)</f>
        <v/>
      </c>
      <c r="BC229" s="35" t="str">
        <f aca="false">IF($B229="","",BA229-BB229)</f>
        <v/>
      </c>
      <c r="BD229" s="35" t="str">
        <f aca="false">IF(OR($B229="",$A229=""),"",DAY(EOMONTH($A229,0))-COUNTA($F229:$AJ229))</f>
        <v/>
      </c>
    </row>
    <row r="230" customFormat="false" ht="15" hidden="false" customHeight="false" outlineLevel="0" collapsed="false">
      <c r="A230" s="32"/>
      <c r="B230" s="29"/>
      <c r="C230" s="10" t="str">
        <f aca="false">IF($B230="","",IFERROR(INDEX(M_name,MATCH($B230,M_emp,0)),"Code not found"))</f>
        <v/>
      </c>
      <c r="D230" s="10" t="str">
        <f aca="false">IF($B230="","",IFERROR(INDEX(M_dept,MATCH($B230,M_emp,0)),""))</f>
        <v/>
      </c>
      <c r="E230" s="10" t="str">
        <f aca="false">IF($B230="","",IFERROR(INDEX(M_loc,MATCH($B230,M_emp,0)),""))</f>
        <v/>
      </c>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4" t="str">
        <f aca="false">IF($B230="","",COUNTIF($F230:$AJ230,"P"))</f>
        <v/>
      </c>
      <c r="AL230" s="34" t="str">
        <f aca="false">IF($B230="","",COUNTIF($F230:$AJ230,"A"))</f>
        <v/>
      </c>
      <c r="AM230" s="34" t="str">
        <f aca="false">IF($B230="","",COUNTIF($F230:$AJ230,"HA"))</f>
        <v/>
      </c>
      <c r="AN230" s="34" t="str">
        <f aca="false">IF($B230="","",COUNTIF($F230:$AJ230,"L"))</f>
        <v/>
      </c>
      <c r="AO230" s="34" t="str">
        <f aca="false">IF($B230="","",COUNTIF($F230:$AJ230,"PL"))</f>
        <v/>
      </c>
      <c r="AP230" s="34" t="str">
        <f aca="false">IF($B230="","",COUNTIF($F230:$AJ230,"CL"))</f>
        <v/>
      </c>
      <c r="AQ230" s="34" t="str">
        <f aca="false">IF($B230="","",COUNTIF($F230:$AJ230,"SL"))</f>
        <v/>
      </c>
      <c r="AR230" s="34" t="str">
        <f aca="false">IF($B230="","",COUNTIF($F230:$AJ230,"CO"))</f>
        <v/>
      </c>
      <c r="AS230" s="34" t="str">
        <f aca="false">IF($B230="","",COUNTIF($F230:$AJ230,"HPL"))</f>
        <v/>
      </c>
      <c r="AT230" s="34" t="str">
        <f aca="false">IF($B230="","",COUNTIF($F230:$AJ230,"HCL"))</f>
        <v/>
      </c>
      <c r="AU230" s="34" t="str">
        <f aca="false">IF($B230="","",COUNTIF($F230:$AJ230,"WO"))</f>
        <v/>
      </c>
      <c r="AV230" s="34" t="str">
        <f aca="false">IF($B230="","",COUNTIF($F230:$AJ230,"PH"))</f>
        <v/>
      </c>
      <c r="AW230" s="34" t="str">
        <f aca="false">IF($B230="","",COUNTIF($F230:$AJ230,"TR"))</f>
        <v/>
      </c>
      <c r="AX230" s="35" t="str">
        <f aca="false">IF($B230="","",AO230+AS230/2)</f>
        <v/>
      </c>
      <c r="AY230" s="35" t="str">
        <f aca="false">IF($B230="","",AQ230)</f>
        <v/>
      </c>
      <c r="AZ230" s="35" t="str">
        <f aca="false">IF($B230="","",AP230+AT230/2)</f>
        <v/>
      </c>
      <c r="BA230" s="35" t="str">
        <f aca="false">IF($B230="","",AK230+AN230+AM230/2+AO230+AP230+AQ230+AR230+AS230+AT230+AU230+AV230+AW230)</f>
        <v/>
      </c>
      <c r="BB230" s="35" t="str">
        <f aca="false">IF($B230="","",MAX(0,AN230-Settings!$C$16)*Settings!$C$17)</f>
        <v/>
      </c>
      <c r="BC230" s="35" t="str">
        <f aca="false">IF($B230="","",BA230-BB230)</f>
        <v/>
      </c>
      <c r="BD230" s="35" t="str">
        <f aca="false">IF(OR($B230="",$A230=""),"",DAY(EOMONTH($A230,0))-COUNTA($F230:$AJ230))</f>
        <v/>
      </c>
    </row>
    <row r="231" customFormat="false" ht="15" hidden="false" customHeight="false" outlineLevel="0" collapsed="false">
      <c r="A231" s="32"/>
      <c r="B231" s="29"/>
      <c r="C231" s="10" t="str">
        <f aca="false">IF($B231="","",IFERROR(INDEX(M_name,MATCH($B231,M_emp,0)),"Code not found"))</f>
        <v/>
      </c>
      <c r="D231" s="10" t="str">
        <f aca="false">IF($B231="","",IFERROR(INDEX(M_dept,MATCH($B231,M_emp,0)),""))</f>
        <v/>
      </c>
      <c r="E231" s="10" t="str">
        <f aca="false">IF($B231="","",IFERROR(INDEX(M_loc,MATCH($B231,M_emp,0)),""))</f>
        <v/>
      </c>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4" t="str">
        <f aca="false">IF($B231="","",COUNTIF($F231:$AJ231,"P"))</f>
        <v/>
      </c>
      <c r="AL231" s="34" t="str">
        <f aca="false">IF($B231="","",COUNTIF($F231:$AJ231,"A"))</f>
        <v/>
      </c>
      <c r="AM231" s="34" t="str">
        <f aca="false">IF($B231="","",COUNTIF($F231:$AJ231,"HA"))</f>
        <v/>
      </c>
      <c r="AN231" s="34" t="str">
        <f aca="false">IF($B231="","",COUNTIF($F231:$AJ231,"L"))</f>
        <v/>
      </c>
      <c r="AO231" s="34" t="str">
        <f aca="false">IF($B231="","",COUNTIF($F231:$AJ231,"PL"))</f>
        <v/>
      </c>
      <c r="AP231" s="34" t="str">
        <f aca="false">IF($B231="","",COUNTIF($F231:$AJ231,"CL"))</f>
        <v/>
      </c>
      <c r="AQ231" s="34" t="str">
        <f aca="false">IF($B231="","",COUNTIF($F231:$AJ231,"SL"))</f>
        <v/>
      </c>
      <c r="AR231" s="34" t="str">
        <f aca="false">IF($B231="","",COUNTIF($F231:$AJ231,"CO"))</f>
        <v/>
      </c>
      <c r="AS231" s="34" t="str">
        <f aca="false">IF($B231="","",COUNTIF($F231:$AJ231,"HPL"))</f>
        <v/>
      </c>
      <c r="AT231" s="34" t="str">
        <f aca="false">IF($B231="","",COUNTIF($F231:$AJ231,"HCL"))</f>
        <v/>
      </c>
      <c r="AU231" s="34" t="str">
        <f aca="false">IF($B231="","",COUNTIF($F231:$AJ231,"WO"))</f>
        <v/>
      </c>
      <c r="AV231" s="34" t="str">
        <f aca="false">IF($B231="","",COUNTIF($F231:$AJ231,"PH"))</f>
        <v/>
      </c>
      <c r="AW231" s="34" t="str">
        <f aca="false">IF($B231="","",COUNTIF($F231:$AJ231,"TR"))</f>
        <v/>
      </c>
      <c r="AX231" s="35" t="str">
        <f aca="false">IF($B231="","",AO231+AS231/2)</f>
        <v/>
      </c>
      <c r="AY231" s="35" t="str">
        <f aca="false">IF($B231="","",AQ231)</f>
        <v/>
      </c>
      <c r="AZ231" s="35" t="str">
        <f aca="false">IF($B231="","",AP231+AT231/2)</f>
        <v/>
      </c>
      <c r="BA231" s="35" t="str">
        <f aca="false">IF($B231="","",AK231+AN231+AM231/2+AO231+AP231+AQ231+AR231+AS231+AT231+AU231+AV231+AW231)</f>
        <v/>
      </c>
      <c r="BB231" s="35" t="str">
        <f aca="false">IF($B231="","",MAX(0,AN231-Settings!$C$16)*Settings!$C$17)</f>
        <v/>
      </c>
      <c r="BC231" s="35" t="str">
        <f aca="false">IF($B231="","",BA231-BB231)</f>
        <v/>
      </c>
      <c r="BD231" s="35" t="str">
        <f aca="false">IF(OR($B231="",$A231=""),"",DAY(EOMONTH($A231,0))-COUNTA($F231:$AJ231))</f>
        <v/>
      </c>
    </row>
    <row r="232" customFormat="false" ht="15" hidden="false" customHeight="false" outlineLevel="0" collapsed="false">
      <c r="A232" s="32"/>
      <c r="B232" s="29"/>
      <c r="C232" s="10" t="str">
        <f aca="false">IF($B232="","",IFERROR(INDEX(M_name,MATCH($B232,M_emp,0)),"Code not found"))</f>
        <v/>
      </c>
      <c r="D232" s="10" t="str">
        <f aca="false">IF($B232="","",IFERROR(INDEX(M_dept,MATCH($B232,M_emp,0)),""))</f>
        <v/>
      </c>
      <c r="E232" s="10" t="str">
        <f aca="false">IF($B232="","",IFERROR(INDEX(M_loc,MATCH($B232,M_emp,0)),""))</f>
        <v/>
      </c>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4" t="str">
        <f aca="false">IF($B232="","",COUNTIF($F232:$AJ232,"P"))</f>
        <v/>
      </c>
      <c r="AL232" s="34" t="str">
        <f aca="false">IF($B232="","",COUNTIF($F232:$AJ232,"A"))</f>
        <v/>
      </c>
      <c r="AM232" s="34" t="str">
        <f aca="false">IF($B232="","",COUNTIF($F232:$AJ232,"HA"))</f>
        <v/>
      </c>
      <c r="AN232" s="34" t="str">
        <f aca="false">IF($B232="","",COUNTIF($F232:$AJ232,"L"))</f>
        <v/>
      </c>
      <c r="AO232" s="34" t="str">
        <f aca="false">IF($B232="","",COUNTIF($F232:$AJ232,"PL"))</f>
        <v/>
      </c>
      <c r="AP232" s="34" t="str">
        <f aca="false">IF($B232="","",COUNTIF($F232:$AJ232,"CL"))</f>
        <v/>
      </c>
      <c r="AQ232" s="34" t="str">
        <f aca="false">IF($B232="","",COUNTIF($F232:$AJ232,"SL"))</f>
        <v/>
      </c>
      <c r="AR232" s="34" t="str">
        <f aca="false">IF($B232="","",COUNTIF($F232:$AJ232,"CO"))</f>
        <v/>
      </c>
      <c r="AS232" s="34" t="str">
        <f aca="false">IF($B232="","",COUNTIF($F232:$AJ232,"HPL"))</f>
        <v/>
      </c>
      <c r="AT232" s="34" t="str">
        <f aca="false">IF($B232="","",COUNTIF($F232:$AJ232,"HCL"))</f>
        <v/>
      </c>
      <c r="AU232" s="34" t="str">
        <f aca="false">IF($B232="","",COUNTIF($F232:$AJ232,"WO"))</f>
        <v/>
      </c>
      <c r="AV232" s="34" t="str">
        <f aca="false">IF($B232="","",COUNTIF($F232:$AJ232,"PH"))</f>
        <v/>
      </c>
      <c r="AW232" s="34" t="str">
        <f aca="false">IF($B232="","",COUNTIF($F232:$AJ232,"TR"))</f>
        <v/>
      </c>
      <c r="AX232" s="35" t="str">
        <f aca="false">IF($B232="","",AO232+AS232/2)</f>
        <v/>
      </c>
      <c r="AY232" s="35" t="str">
        <f aca="false">IF($B232="","",AQ232)</f>
        <v/>
      </c>
      <c r="AZ232" s="35" t="str">
        <f aca="false">IF($B232="","",AP232+AT232/2)</f>
        <v/>
      </c>
      <c r="BA232" s="35" t="str">
        <f aca="false">IF($B232="","",AK232+AN232+AM232/2+AO232+AP232+AQ232+AR232+AS232+AT232+AU232+AV232+AW232)</f>
        <v/>
      </c>
      <c r="BB232" s="35" t="str">
        <f aca="false">IF($B232="","",MAX(0,AN232-Settings!$C$16)*Settings!$C$17)</f>
        <v/>
      </c>
      <c r="BC232" s="35" t="str">
        <f aca="false">IF($B232="","",BA232-BB232)</f>
        <v/>
      </c>
      <c r="BD232" s="35" t="str">
        <f aca="false">IF(OR($B232="",$A232=""),"",DAY(EOMONTH($A232,0))-COUNTA($F232:$AJ232))</f>
        <v/>
      </c>
    </row>
    <row r="233" customFormat="false" ht="15" hidden="false" customHeight="false" outlineLevel="0" collapsed="false">
      <c r="A233" s="32"/>
      <c r="B233" s="29"/>
      <c r="C233" s="10" t="str">
        <f aca="false">IF($B233="","",IFERROR(INDEX(M_name,MATCH($B233,M_emp,0)),"Code not found"))</f>
        <v/>
      </c>
      <c r="D233" s="10" t="str">
        <f aca="false">IF($B233="","",IFERROR(INDEX(M_dept,MATCH($B233,M_emp,0)),""))</f>
        <v/>
      </c>
      <c r="E233" s="10" t="str">
        <f aca="false">IF($B233="","",IFERROR(INDEX(M_loc,MATCH($B233,M_emp,0)),""))</f>
        <v/>
      </c>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4" t="str">
        <f aca="false">IF($B233="","",COUNTIF($F233:$AJ233,"P"))</f>
        <v/>
      </c>
      <c r="AL233" s="34" t="str">
        <f aca="false">IF($B233="","",COUNTIF($F233:$AJ233,"A"))</f>
        <v/>
      </c>
      <c r="AM233" s="34" t="str">
        <f aca="false">IF($B233="","",COUNTIF($F233:$AJ233,"HA"))</f>
        <v/>
      </c>
      <c r="AN233" s="34" t="str">
        <f aca="false">IF($B233="","",COUNTIF($F233:$AJ233,"L"))</f>
        <v/>
      </c>
      <c r="AO233" s="34" t="str">
        <f aca="false">IF($B233="","",COUNTIF($F233:$AJ233,"PL"))</f>
        <v/>
      </c>
      <c r="AP233" s="34" t="str">
        <f aca="false">IF($B233="","",COUNTIF($F233:$AJ233,"CL"))</f>
        <v/>
      </c>
      <c r="AQ233" s="34" t="str">
        <f aca="false">IF($B233="","",COUNTIF($F233:$AJ233,"SL"))</f>
        <v/>
      </c>
      <c r="AR233" s="34" t="str">
        <f aca="false">IF($B233="","",COUNTIF($F233:$AJ233,"CO"))</f>
        <v/>
      </c>
      <c r="AS233" s="34" t="str">
        <f aca="false">IF($B233="","",COUNTIF($F233:$AJ233,"HPL"))</f>
        <v/>
      </c>
      <c r="AT233" s="34" t="str">
        <f aca="false">IF($B233="","",COUNTIF($F233:$AJ233,"HCL"))</f>
        <v/>
      </c>
      <c r="AU233" s="34" t="str">
        <f aca="false">IF($B233="","",COUNTIF($F233:$AJ233,"WO"))</f>
        <v/>
      </c>
      <c r="AV233" s="34" t="str">
        <f aca="false">IF($B233="","",COUNTIF($F233:$AJ233,"PH"))</f>
        <v/>
      </c>
      <c r="AW233" s="34" t="str">
        <f aca="false">IF($B233="","",COUNTIF($F233:$AJ233,"TR"))</f>
        <v/>
      </c>
      <c r="AX233" s="35" t="str">
        <f aca="false">IF($B233="","",AO233+AS233/2)</f>
        <v/>
      </c>
      <c r="AY233" s="35" t="str">
        <f aca="false">IF($B233="","",AQ233)</f>
        <v/>
      </c>
      <c r="AZ233" s="35" t="str">
        <f aca="false">IF($B233="","",AP233+AT233/2)</f>
        <v/>
      </c>
      <c r="BA233" s="35" t="str">
        <f aca="false">IF($B233="","",AK233+AN233+AM233/2+AO233+AP233+AQ233+AR233+AS233+AT233+AU233+AV233+AW233)</f>
        <v/>
      </c>
      <c r="BB233" s="35" t="str">
        <f aca="false">IF($B233="","",MAX(0,AN233-Settings!$C$16)*Settings!$C$17)</f>
        <v/>
      </c>
      <c r="BC233" s="35" t="str">
        <f aca="false">IF($B233="","",BA233-BB233)</f>
        <v/>
      </c>
      <c r="BD233" s="35" t="str">
        <f aca="false">IF(OR($B233="",$A233=""),"",DAY(EOMONTH($A233,0))-COUNTA($F233:$AJ233))</f>
        <v/>
      </c>
    </row>
    <row r="234" customFormat="false" ht="15" hidden="false" customHeight="false" outlineLevel="0" collapsed="false">
      <c r="A234" s="32"/>
      <c r="B234" s="29"/>
      <c r="C234" s="10" t="str">
        <f aca="false">IF($B234="","",IFERROR(INDEX(M_name,MATCH($B234,M_emp,0)),"Code not found"))</f>
        <v/>
      </c>
      <c r="D234" s="10" t="str">
        <f aca="false">IF($B234="","",IFERROR(INDEX(M_dept,MATCH($B234,M_emp,0)),""))</f>
        <v/>
      </c>
      <c r="E234" s="10" t="str">
        <f aca="false">IF($B234="","",IFERROR(INDEX(M_loc,MATCH($B234,M_emp,0)),""))</f>
        <v/>
      </c>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4" t="str">
        <f aca="false">IF($B234="","",COUNTIF($F234:$AJ234,"P"))</f>
        <v/>
      </c>
      <c r="AL234" s="34" t="str">
        <f aca="false">IF($B234="","",COUNTIF($F234:$AJ234,"A"))</f>
        <v/>
      </c>
      <c r="AM234" s="34" t="str">
        <f aca="false">IF($B234="","",COUNTIF($F234:$AJ234,"HA"))</f>
        <v/>
      </c>
      <c r="AN234" s="34" t="str">
        <f aca="false">IF($B234="","",COUNTIF($F234:$AJ234,"L"))</f>
        <v/>
      </c>
      <c r="AO234" s="34" t="str">
        <f aca="false">IF($B234="","",COUNTIF($F234:$AJ234,"PL"))</f>
        <v/>
      </c>
      <c r="AP234" s="34" t="str">
        <f aca="false">IF($B234="","",COUNTIF($F234:$AJ234,"CL"))</f>
        <v/>
      </c>
      <c r="AQ234" s="34" t="str">
        <f aca="false">IF($B234="","",COUNTIF($F234:$AJ234,"SL"))</f>
        <v/>
      </c>
      <c r="AR234" s="34" t="str">
        <f aca="false">IF($B234="","",COUNTIF($F234:$AJ234,"CO"))</f>
        <v/>
      </c>
      <c r="AS234" s="34" t="str">
        <f aca="false">IF($B234="","",COUNTIF($F234:$AJ234,"HPL"))</f>
        <v/>
      </c>
      <c r="AT234" s="34" t="str">
        <f aca="false">IF($B234="","",COUNTIF($F234:$AJ234,"HCL"))</f>
        <v/>
      </c>
      <c r="AU234" s="34" t="str">
        <f aca="false">IF($B234="","",COUNTIF($F234:$AJ234,"WO"))</f>
        <v/>
      </c>
      <c r="AV234" s="34" t="str">
        <f aca="false">IF($B234="","",COUNTIF($F234:$AJ234,"PH"))</f>
        <v/>
      </c>
      <c r="AW234" s="34" t="str">
        <f aca="false">IF($B234="","",COUNTIF($F234:$AJ234,"TR"))</f>
        <v/>
      </c>
      <c r="AX234" s="35" t="str">
        <f aca="false">IF($B234="","",AO234+AS234/2)</f>
        <v/>
      </c>
      <c r="AY234" s="35" t="str">
        <f aca="false">IF($B234="","",AQ234)</f>
        <v/>
      </c>
      <c r="AZ234" s="35" t="str">
        <f aca="false">IF($B234="","",AP234+AT234/2)</f>
        <v/>
      </c>
      <c r="BA234" s="35" t="str">
        <f aca="false">IF($B234="","",AK234+AN234+AM234/2+AO234+AP234+AQ234+AR234+AS234+AT234+AU234+AV234+AW234)</f>
        <v/>
      </c>
      <c r="BB234" s="35" t="str">
        <f aca="false">IF($B234="","",MAX(0,AN234-Settings!$C$16)*Settings!$C$17)</f>
        <v/>
      </c>
      <c r="BC234" s="35" t="str">
        <f aca="false">IF($B234="","",BA234-BB234)</f>
        <v/>
      </c>
      <c r="BD234" s="35" t="str">
        <f aca="false">IF(OR($B234="",$A234=""),"",DAY(EOMONTH($A234,0))-COUNTA($F234:$AJ234))</f>
        <v/>
      </c>
    </row>
    <row r="235" customFormat="false" ht="15" hidden="false" customHeight="false" outlineLevel="0" collapsed="false">
      <c r="A235" s="32"/>
      <c r="B235" s="29"/>
      <c r="C235" s="10" t="str">
        <f aca="false">IF($B235="","",IFERROR(INDEX(M_name,MATCH($B235,M_emp,0)),"Code not found"))</f>
        <v/>
      </c>
      <c r="D235" s="10" t="str">
        <f aca="false">IF($B235="","",IFERROR(INDEX(M_dept,MATCH($B235,M_emp,0)),""))</f>
        <v/>
      </c>
      <c r="E235" s="10" t="str">
        <f aca="false">IF($B235="","",IFERROR(INDEX(M_loc,MATCH($B235,M_emp,0)),""))</f>
        <v/>
      </c>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4" t="str">
        <f aca="false">IF($B235="","",COUNTIF($F235:$AJ235,"P"))</f>
        <v/>
      </c>
      <c r="AL235" s="34" t="str">
        <f aca="false">IF($B235="","",COUNTIF($F235:$AJ235,"A"))</f>
        <v/>
      </c>
      <c r="AM235" s="34" t="str">
        <f aca="false">IF($B235="","",COUNTIF($F235:$AJ235,"HA"))</f>
        <v/>
      </c>
      <c r="AN235" s="34" t="str">
        <f aca="false">IF($B235="","",COUNTIF($F235:$AJ235,"L"))</f>
        <v/>
      </c>
      <c r="AO235" s="34" t="str">
        <f aca="false">IF($B235="","",COUNTIF($F235:$AJ235,"PL"))</f>
        <v/>
      </c>
      <c r="AP235" s="34" t="str">
        <f aca="false">IF($B235="","",COUNTIF($F235:$AJ235,"CL"))</f>
        <v/>
      </c>
      <c r="AQ235" s="34" t="str">
        <f aca="false">IF($B235="","",COUNTIF($F235:$AJ235,"SL"))</f>
        <v/>
      </c>
      <c r="AR235" s="34" t="str">
        <f aca="false">IF($B235="","",COUNTIF($F235:$AJ235,"CO"))</f>
        <v/>
      </c>
      <c r="AS235" s="34" t="str">
        <f aca="false">IF($B235="","",COUNTIF($F235:$AJ235,"HPL"))</f>
        <v/>
      </c>
      <c r="AT235" s="34" t="str">
        <f aca="false">IF($B235="","",COUNTIF($F235:$AJ235,"HCL"))</f>
        <v/>
      </c>
      <c r="AU235" s="34" t="str">
        <f aca="false">IF($B235="","",COUNTIF($F235:$AJ235,"WO"))</f>
        <v/>
      </c>
      <c r="AV235" s="34" t="str">
        <f aca="false">IF($B235="","",COUNTIF($F235:$AJ235,"PH"))</f>
        <v/>
      </c>
      <c r="AW235" s="34" t="str">
        <f aca="false">IF($B235="","",COUNTIF($F235:$AJ235,"TR"))</f>
        <v/>
      </c>
      <c r="AX235" s="35" t="str">
        <f aca="false">IF($B235="","",AO235+AS235/2)</f>
        <v/>
      </c>
      <c r="AY235" s="35" t="str">
        <f aca="false">IF($B235="","",AQ235)</f>
        <v/>
      </c>
      <c r="AZ235" s="35" t="str">
        <f aca="false">IF($B235="","",AP235+AT235/2)</f>
        <v/>
      </c>
      <c r="BA235" s="35" t="str">
        <f aca="false">IF($B235="","",AK235+AN235+AM235/2+AO235+AP235+AQ235+AR235+AS235+AT235+AU235+AV235+AW235)</f>
        <v/>
      </c>
      <c r="BB235" s="35" t="str">
        <f aca="false">IF($B235="","",MAX(0,AN235-Settings!$C$16)*Settings!$C$17)</f>
        <v/>
      </c>
      <c r="BC235" s="35" t="str">
        <f aca="false">IF($B235="","",BA235-BB235)</f>
        <v/>
      </c>
      <c r="BD235" s="35" t="str">
        <f aca="false">IF(OR($B235="",$A235=""),"",DAY(EOMONTH($A235,0))-COUNTA($F235:$AJ235))</f>
        <v/>
      </c>
    </row>
    <row r="236" customFormat="false" ht="15" hidden="false" customHeight="false" outlineLevel="0" collapsed="false">
      <c r="A236" s="32"/>
      <c r="B236" s="29"/>
      <c r="C236" s="10" t="str">
        <f aca="false">IF($B236="","",IFERROR(INDEX(M_name,MATCH($B236,M_emp,0)),"Code not found"))</f>
        <v/>
      </c>
      <c r="D236" s="10" t="str">
        <f aca="false">IF($B236="","",IFERROR(INDEX(M_dept,MATCH($B236,M_emp,0)),""))</f>
        <v/>
      </c>
      <c r="E236" s="10" t="str">
        <f aca="false">IF($B236="","",IFERROR(INDEX(M_loc,MATCH($B236,M_emp,0)),""))</f>
        <v/>
      </c>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4" t="str">
        <f aca="false">IF($B236="","",COUNTIF($F236:$AJ236,"P"))</f>
        <v/>
      </c>
      <c r="AL236" s="34" t="str">
        <f aca="false">IF($B236="","",COUNTIF($F236:$AJ236,"A"))</f>
        <v/>
      </c>
      <c r="AM236" s="34" t="str">
        <f aca="false">IF($B236="","",COUNTIF($F236:$AJ236,"HA"))</f>
        <v/>
      </c>
      <c r="AN236" s="34" t="str">
        <f aca="false">IF($B236="","",COUNTIF($F236:$AJ236,"L"))</f>
        <v/>
      </c>
      <c r="AO236" s="34" t="str">
        <f aca="false">IF($B236="","",COUNTIF($F236:$AJ236,"PL"))</f>
        <v/>
      </c>
      <c r="AP236" s="34" t="str">
        <f aca="false">IF($B236="","",COUNTIF($F236:$AJ236,"CL"))</f>
        <v/>
      </c>
      <c r="AQ236" s="34" t="str">
        <f aca="false">IF($B236="","",COUNTIF($F236:$AJ236,"SL"))</f>
        <v/>
      </c>
      <c r="AR236" s="34" t="str">
        <f aca="false">IF($B236="","",COUNTIF($F236:$AJ236,"CO"))</f>
        <v/>
      </c>
      <c r="AS236" s="34" t="str">
        <f aca="false">IF($B236="","",COUNTIF($F236:$AJ236,"HPL"))</f>
        <v/>
      </c>
      <c r="AT236" s="34" t="str">
        <f aca="false">IF($B236="","",COUNTIF($F236:$AJ236,"HCL"))</f>
        <v/>
      </c>
      <c r="AU236" s="34" t="str">
        <f aca="false">IF($B236="","",COUNTIF($F236:$AJ236,"WO"))</f>
        <v/>
      </c>
      <c r="AV236" s="34" t="str">
        <f aca="false">IF($B236="","",COUNTIF($F236:$AJ236,"PH"))</f>
        <v/>
      </c>
      <c r="AW236" s="34" t="str">
        <f aca="false">IF($B236="","",COUNTIF($F236:$AJ236,"TR"))</f>
        <v/>
      </c>
      <c r="AX236" s="35" t="str">
        <f aca="false">IF($B236="","",AO236+AS236/2)</f>
        <v/>
      </c>
      <c r="AY236" s="35" t="str">
        <f aca="false">IF($B236="","",AQ236)</f>
        <v/>
      </c>
      <c r="AZ236" s="35" t="str">
        <f aca="false">IF($B236="","",AP236+AT236/2)</f>
        <v/>
      </c>
      <c r="BA236" s="35" t="str">
        <f aca="false">IF($B236="","",AK236+AN236+AM236/2+AO236+AP236+AQ236+AR236+AS236+AT236+AU236+AV236+AW236)</f>
        <v/>
      </c>
      <c r="BB236" s="35" t="str">
        <f aca="false">IF($B236="","",MAX(0,AN236-Settings!$C$16)*Settings!$C$17)</f>
        <v/>
      </c>
      <c r="BC236" s="35" t="str">
        <f aca="false">IF($B236="","",BA236-BB236)</f>
        <v/>
      </c>
      <c r="BD236" s="35" t="str">
        <f aca="false">IF(OR($B236="",$A236=""),"",DAY(EOMONTH($A236,0))-COUNTA($F236:$AJ236))</f>
        <v/>
      </c>
    </row>
    <row r="237" customFormat="false" ht="15" hidden="false" customHeight="false" outlineLevel="0" collapsed="false">
      <c r="A237" s="32"/>
      <c r="B237" s="29"/>
      <c r="C237" s="10" t="str">
        <f aca="false">IF($B237="","",IFERROR(INDEX(M_name,MATCH($B237,M_emp,0)),"Code not found"))</f>
        <v/>
      </c>
      <c r="D237" s="10" t="str">
        <f aca="false">IF($B237="","",IFERROR(INDEX(M_dept,MATCH($B237,M_emp,0)),""))</f>
        <v/>
      </c>
      <c r="E237" s="10" t="str">
        <f aca="false">IF($B237="","",IFERROR(INDEX(M_loc,MATCH($B237,M_emp,0)),""))</f>
        <v/>
      </c>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4" t="str">
        <f aca="false">IF($B237="","",COUNTIF($F237:$AJ237,"P"))</f>
        <v/>
      </c>
      <c r="AL237" s="34" t="str">
        <f aca="false">IF($B237="","",COUNTIF($F237:$AJ237,"A"))</f>
        <v/>
      </c>
      <c r="AM237" s="34" t="str">
        <f aca="false">IF($B237="","",COUNTIF($F237:$AJ237,"HA"))</f>
        <v/>
      </c>
      <c r="AN237" s="34" t="str">
        <f aca="false">IF($B237="","",COUNTIF($F237:$AJ237,"L"))</f>
        <v/>
      </c>
      <c r="AO237" s="34" t="str">
        <f aca="false">IF($B237="","",COUNTIF($F237:$AJ237,"PL"))</f>
        <v/>
      </c>
      <c r="AP237" s="34" t="str">
        <f aca="false">IF($B237="","",COUNTIF($F237:$AJ237,"CL"))</f>
        <v/>
      </c>
      <c r="AQ237" s="34" t="str">
        <f aca="false">IF($B237="","",COUNTIF($F237:$AJ237,"SL"))</f>
        <v/>
      </c>
      <c r="AR237" s="34" t="str">
        <f aca="false">IF($B237="","",COUNTIF($F237:$AJ237,"CO"))</f>
        <v/>
      </c>
      <c r="AS237" s="34" t="str">
        <f aca="false">IF($B237="","",COUNTIF($F237:$AJ237,"HPL"))</f>
        <v/>
      </c>
      <c r="AT237" s="34" t="str">
        <f aca="false">IF($B237="","",COUNTIF($F237:$AJ237,"HCL"))</f>
        <v/>
      </c>
      <c r="AU237" s="34" t="str">
        <f aca="false">IF($B237="","",COUNTIF($F237:$AJ237,"WO"))</f>
        <v/>
      </c>
      <c r="AV237" s="34" t="str">
        <f aca="false">IF($B237="","",COUNTIF($F237:$AJ237,"PH"))</f>
        <v/>
      </c>
      <c r="AW237" s="34" t="str">
        <f aca="false">IF($B237="","",COUNTIF($F237:$AJ237,"TR"))</f>
        <v/>
      </c>
      <c r="AX237" s="35" t="str">
        <f aca="false">IF($B237="","",AO237+AS237/2)</f>
        <v/>
      </c>
      <c r="AY237" s="35" t="str">
        <f aca="false">IF($B237="","",AQ237)</f>
        <v/>
      </c>
      <c r="AZ237" s="35" t="str">
        <f aca="false">IF($B237="","",AP237+AT237/2)</f>
        <v/>
      </c>
      <c r="BA237" s="35" t="str">
        <f aca="false">IF($B237="","",AK237+AN237+AM237/2+AO237+AP237+AQ237+AR237+AS237+AT237+AU237+AV237+AW237)</f>
        <v/>
      </c>
      <c r="BB237" s="35" t="str">
        <f aca="false">IF($B237="","",MAX(0,AN237-Settings!$C$16)*Settings!$C$17)</f>
        <v/>
      </c>
      <c r="BC237" s="35" t="str">
        <f aca="false">IF($B237="","",BA237-BB237)</f>
        <v/>
      </c>
      <c r="BD237" s="35" t="str">
        <f aca="false">IF(OR($B237="",$A237=""),"",DAY(EOMONTH($A237,0))-COUNTA($F237:$AJ237))</f>
        <v/>
      </c>
    </row>
    <row r="238" customFormat="false" ht="15" hidden="false" customHeight="false" outlineLevel="0" collapsed="false">
      <c r="A238" s="32"/>
      <c r="B238" s="29"/>
      <c r="C238" s="10" t="str">
        <f aca="false">IF($B238="","",IFERROR(INDEX(M_name,MATCH($B238,M_emp,0)),"Code not found"))</f>
        <v/>
      </c>
      <c r="D238" s="10" t="str">
        <f aca="false">IF($B238="","",IFERROR(INDEX(M_dept,MATCH($B238,M_emp,0)),""))</f>
        <v/>
      </c>
      <c r="E238" s="10" t="str">
        <f aca="false">IF($B238="","",IFERROR(INDEX(M_loc,MATCH($B238,M_emp,0)),""))</f>
        <v/>
      </c>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4" t="str">
        <f aca="false">IF($B238="","",COUNTIF($F238:$AJ238,"P"))</f>
        <v/>
      </c>
      <c r="AL238" s="34" t="str">
        <f aca="false">IF($B238="","",COUNTIF($F238:$AJ238,"A"))</f>
        <v/>
      </c>
      <c r="AM238" s="34" t="str">
        <f aca="false">IF($B238="","",COUNTIF($F238:$AJ238,"HA"))</f>
        <v/>
      </c>
      <c r="AN238" s="34" t="str">
        <f aca="false">IF($B238="","",COUNTIF($F238:$AJ238,"L"))</f>
        <v/>
      </c>
      <c r="AO238" s="34" t="str">
        <f aca="false">IF($B238="","",COUNTIF($F238:$AJ238,"PL"))</f>
        <v/>
      </c>
      <c r="AP238" s="34" t="str">
        <f aca="false">IF($B238="","",COUNTIF($F238:$AJ238,"CL"))</f>
        <v/>
      </c>
      <c r="AQ238" s="34" t="str">
        <f aca="false">IF($B238="","",COUNTIF($F238:$AJ238,"SL"))</f>
        <v/>
      </c>
      <c r="AR238" s="34" t="str">
        <f aca="false">IF($B238="","",COUNTIF($F238:$AJ238,"CO"))</f>
        <v/>
      </c>
      <c r="AS238" s="34" t="str">
        <f aca="false">IF($B238="","",COUNTIF($F238:$AJ238,"HPL"))</f>
        <v/>
      </c>
      <c r="AT238" s="34" t="str">
        <f aca="false">IF($B238="","",COUNTIF($F238:$AJ238,"HCL"))</f>
        <v/>
      </c>
      <c r="AU238" s="34" t="str">
        <f aca="false">IF($B238="","",COUNTIF($F238:$AJ238,"WO"))</f>
        <v/>
      </c>
      <c r="AV238" s="34" t="str">
        <f aca="false">IF($B238="","",COUNTIF($F238:$AJ238,"PH"))</f>
        <v/>
      </c>
      <c r="AW238" s="34" t="str">
        <f aca="false">IF($B238="","",COUNTIF($F238:$AJ238,"TR"))</f>
        <v/>
      </c>
      <c r="AX238" s="35" t="str">
        <f aca="false">IF($B238="","",AO238+AS238/2)</f>
        <v/>
      </c>
      <c r="AY238" s="35" t="str">
        <f aca="false">IF($B238="","",AQ238)</f>
        <v/>
      </c>
      <c r="AZ238" s="35" t="str">
        <f aca="false">IF($B238="","",AP238+AT238/2)</f>
        <v/>
      </c>
      <c r="BA238" s="35" t="str">
        <f aca="false">IF($B238="","",AK238+AN238+AM238/2+AO238+AP238+AQ238+AR238+AS238+AT238+AU238+AV238+AW238)</f>
        <v/>
      </c>
      <c r="BB238" s="35" t="str">
        <f aca="false">IF($B238="","",MAX(0,AN238-Settings!$C$16)*Settings!$C$17)</f>
        <v/>
      </c>
      <c r="BC238" s="35" t="str">
        <f aca="false">IF($B238="","",BA238-BB238)</f>
        <v/>
      </c>
      <c r="BD238" s="35" t="str">
        <f aca="false">IF(OR($B238="",$A238=""),"",DAY(EOMONTH($A238,0))-COUNTA($F238:$AJ238))</f>
        <v/>
      </c>
    </row>
    <row r="239" customFormat="false" ht="15" hidden="false" customHeight="false" outlineLevel="0" collapsed="false">
      <c r="A239" s="32"/>
      <c r="B239" s="29"/>
      <c r="C239" s="10" t="str">
        <f aca="false">IF($B239="","",IFERROR(INDEX(M_name,MATCH($B239,M_emp,0)),"Code not found"))</f>
        <v/>
      </c>
      <c r="D239" s="10" t="str">
        <f aca="false">IF($B239="","",IFERROR(INDEX(M_dept,MATCH($B239,M_emp,0)),""))</f>
        <v/>
      </c>
      <c r="E239" s="10" t="str">
        <f aca="false">IF($B239="","",IFERROR(INDEX(M_loc,MATCH($B239,M_emp,0)),""))</f>
        <v/>
      </c>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4" t="str">
        <f aca="false">IF($B239="","",COUNTIF($F239:$AJ239,"P"))</f>
        <v/>
      </c>
      <c r="AL239" s="34" t="str">
        <f aca="false">IF($B239="","",COUNTIF($F239:$AJ239,"A"))</f>
        <v/>
      </c>
      <c r="AM239" s="34" t="str">
        <f aca="false">IF($B239="","",COUNTIF($F239:$AJ239,"HA"))</f>
        <v/>
      </c>
      <c r="AN239" s="34" t="str">
        <f aca="false">IF($B239="","",COUNTIF($F239:$AJ239,"L"))</f>
        <v/>
      </c>
      <c r="AO239" s="34" t="str">
        <f aca="false">IF($B239="","",COUNTIF($F239:$AJ239,"PL"))</f>
        <v/>
      </c>
      <c r="AP239" s="34" t="str">
        <f aca="false">IF($B239="","",COUNTIF($F239:$AJ239,"CL"))</f>
        <v/>
      </c>
      <c r="AQ239" s="34" t="str">
        <f aca="false">IF($B239="","",COUNTIF($F239:$AJ239,"SL"))</f>
        <v/>
      </c>
      <c r="AR239" s="34" t="str">
        <f aca="false">IF($B239="","",COUNTIF($F239:$AJ239,"CO"))</f>
        <v/>
      </c>
      <c r="AS239" s="34" t="str">
        <f aca="false">IF($B239="","",COUNTIF($F239:$AJ239,"HPL"))</f>
        <v/>
      </c>
      <c r="AT239" s="34" t="str">
        <f aca="false">IF($B239="","",COUNTIF($F239:$AJ239,"HCL"))</f>
        <v/>
      </c>
      <c r="AU239" s="34" t="str">
        <f aca="false">IF($B239="","",COUNTIF($F239:$AJ239,"WO"))</f>
        <v/>
      </c>
      <c r="AV239" s="34" t="str">
        <f aca="false">IF($B239="","",COUNTIF($F239:$AJ239,"PH"))</f>
        <v/>
      </c>
      <c r="AW239" s="34" t="str">
        <f aca="false">IF($B239="","",COUNTIF($F239:$AJ239,"TR"))</f>
        <v/>
      </c>
      <c r="AX239" s="35" t="str">
        <f aca="false">IF($B239="","",AO239+AS239/2)</f>
        <v/>
      </c>
      <c r="AY239" s="35" t="str">
        <f aca="false">IF($B239="","",AQ239)</f>
        <v/>
      </c>
      <c r="AZ239" s="35" t="str">
        <f aca="false">IF($B239="","",AP239+AT239/2)</f>
        <v/>
      </c>
      <c r="BA239" s="35" t="str">
        <f aca="false">IF($B239="","",AK239+AN239+AM239/2+AO239+AP239+AQ239+AR239+AS239+AT239+AU239+AV239+AW239)</f>
        <v/>
      </c>
      <c r="BB239" s="35" t="str">
        <f aca="false">IF($B239="","",MAX(0,AN239-Settings!$C$16)*Settings!$C$17)</f>
        <v/>
      </c>
      <c r="BC239" s="35" t="str">
        <f aca="false">IF($B239="","",BA239-BB239)</f>
        <v/>
      </c>
      <c r="BD239" s="35" t="str">
        <f aca="false">IF(OR($B239="",$A239=""),"",DAY(EOMONTH($A239,0))-COUNTA($F239:$AJ239))</f>
        <v/>
      </c>
    </row>
    <row r="240" customFormat="false" ht="15" hidden="false" customHeight="false" outlineLevel="0" collapsed="false">
      <c r="A240" s="32"/>
      <c r="B240" s="29"/>
      <c r="C240" s="10" t="str">
        <f aca="false">IF($B240="","",IFERROR(INDEX(M_name,MATCH($B240,M_emp,0)),"Code not found"))</f>
        <v/>
      </c>
      <c r="D240" s="10" t="str">
        <f aca="false">IF($B240="","",IFERROR(INDEX(M_dept,MATCH($B240,M_emp,0)),""))</f>
        <v/>
      </c>
      <c r="E240" s="10" t="str">
        <f aca="false">IF($B240="","",IFERROR(INDEX(M_loc,MATCH($B240,M_emp,0)),""))</f>
        <v/>
      </c>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4" t="str">
        <f aca="false">IF($B240="","",COUNTIF($F240:$AJ240,"P"))</f>
        <v/>
      </c>
      <c r="AL240" s="34" t="str">
        <f aca="false">IF($B240="","",COUNTIF($F240:$AJ240,"A"))</f>
        <v/>
      </c>
      <c r="AM240" s="34" t="str">
        <f aca="false">IF($B240="","",COUNTIF($F240:$AJ240,"HA"))</f>
        <v/>
      </c>
      <c r="AN240" s="34" t="str">
        <f aca="false">IF($B240="","",COUNTIF($F240:$AJ240,"L"))</f>
        <v/>
      </c>
      <c r="AO240" s="34" t="str">
        <f aca="false">IF($B240="","",COUNTIF($F240:$AJ240,"PL"))</f>
        <v/>
      </c>
      <c r="AP240" s="34" t="str">
        <f aca="false">IF($B240="","",COUNTIF($F240:$AJ240,"CL"))</f>
        <v/>
      </c>
      <c r="AQ240" s="34" t="str">
        <f aca="false">IF($B240="","",COUNTIF($F240:$AJ240,"SL"))</f>
        <v/>
      </c>
      <c r="AR240" s="34" t="str">
        <f aca="false">IF($B240="","",COUNTIF($F240:$AJ240,"CO"))</f>
        <v/>
      </c>
      <c r="AS240" s="34" t="str">
        <f aca="false">IF($B240="","",COUNTIF($F240:$AJ240,"HPL"))</f>
        <v/>
      </c>
      <c r="AT240" s="34" t="str">
        <f aca="false">IF($B240="","",COUNTIF($F240:$AJ240,"HCL"))</f>
        <v/>
      </c>
      <c r="AU240" s="34" t="str">
        <f aca="false">IF($B240="","",COUNTIF($F240:$AJ240,"WO"))</f>
        <v/>
      </c>
      <c r="AV240" s="34" t="str">
        <f aca="false">IF($B240="","",COUNTIF($F240:$AJ240,"PH"))</f>
        <v/>
      </c>
      <c r="AW240" s="34" t="str">
        <f aca="false">IF($B240="","",COUNTIF($F240:$AJ240,"TR"))</f>
        <v/>
      </c>
      <c r="AX240" s="35" t="str">
        <f aca="false">IF($B240="","",AO240+AS240/2)</f>
        <v/>
      </c>
      <c r="AY240" s="35" t="str">
        <f aca="false">IF($B240="","",AQ240)</f>
        <v/>
      </c>
      <c r="AZ240" s="35" t="str">
        <f aca="false">IF($B240="","",AP240+AT240/2)</f>
        <v/>
      </c>
      <c r="BA240" s="35" t="str">
        <f aca="false">IF($B240="","",AK240+AN240+AM240/2+AO240+AP240+AQ240+AR240+AS240+AT240+AU240+AV240+AW240)</f>
        <v/>
      </c>
      <c r="BB240" s="35" t="str">
        <f aca="false">IF($B240="","",MAX(0,AN240-Settings!$C$16)*Settings!$C$17)</f>
        <v/>
      </c>
      <c r="BC240" s="35" t="str">
        <f aca="false">IF($B240="","",BA240-BB240)</f>
        <v/>
      </c>
      <c r="BD240" s="35" t="str">
        <f aca="false">IF(OR($B240="",$A240=""),"",DAY(EOMONTH($A240,0))-COUNTA($F240:$AJ240))</f>
        <v/>
      </c>
    </row>
    <row r="241" customFormat="false" ht="15" hidden="false" customHeight="false" outlineLevel="0" collapsed="false">
      <c r="A241" s="32"/>
      <c r="B241" s="29"/>
      <c r="C241" s="10" t="str">
        <f aca="false">IF($B241="","",IFERROR(INDEX(M_name,MATCH($B241,M_emp,0)),"Code not found"))</f>
        <v/>
      </c>
      <c r="D241" s="10" t="str">
        <f aca="false">IF($B241="","",IFERROR(INDEX(M_dept,MATCH($B241,M_emp,0)),""))</f>
        <v/>
      </c>
      <c r="E241" s="10" t="str">
        <f aca="false">IF($B241="","",IFERROR(INDEX(M_loc,MATCH($B241,M_emp,0)),""))</f>
        <v/>
      </c>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4" t="str">
        <f aca="false">IF($B241="","",COUNTIF($F241:$AJ241,"P"))</f>
        <v/>
      </c>
      <c r="AL241" s="34" t="str">
        <f aca="false">IF($B241="","",COUNTIF($F241:$AJ241,"A"))</f>
        <v/>
      </c>
      <c r="AM241" s="34" t="str">
        <f aca="false">IF($B241="","",COUNTIF($F241:$AJ241,"HA"))</f>
        <v/>
      </c>
      <c r="AN241" s="34" t="str">
        <f aca="false">IF($B241="","",COUNTIF($F241:$AJ241,"L"))</f>
        <v/>
      </c>
      <c r="AO241" s="34" t="str">
        <f aca="false">IF($B241="","",COUNTIF($F241:$AJ241,"PL"))</f>
        <v/>
      </c>
      <c r="AP241" s="34" t="str">
        <f aca="false">IF($B241="","",COUNTIF($F241:$AJ241,"CL"))</f>
        <v/>
      </c>
      <c r="AQ241" s="34" t="str">
        <f aca="false">IF($B241="","",COUNTIF($F241:$AJ241,"SL"))</f>
        <v/>
      </c>
      <c r="AR241" s="34" t="str">
        <f aca="false">IF($B241="","",COUNTIF($F241:$AJ241,"CO"))</f>
        <v/>
      </c>
      <c r="AS241" s="34" t="str">
        <f aca="false">IF($B241="","",COUNTIF($F241:$AJ241,"HPL"))</f>
        <v/>
      </c>
      <c r="AT241" s="34" t="str">
        <f aca="false">IF($B241="","",COUNTIF($F241:$AJ241,"HCL"))</f>
        <v/>
      </c>
      <c r="AU241" s="34" t="str">
        <f aca="false">IF($B241="","",COUNTIF($F241:$AJ241,"WO"))</f>
        <v/>
      </c>
      <c r="AV241" s="34" t="str">
        <f aca="false">IF($B241="","",COUNTIF($F241:$AJ241,"PH"))</f>
        <v/>
      </c>
      <c r="AW241" s="34" t="str">
        <f aca="false">IF($B241="","",COUNTIF($F241:$AJ241,"TR"))</f>
        <v/>
      </c>
      <c r="AX241" s="35" t="str">
        <f aca="false">IF($B241="","",AO241+AS241/2)</f>
        <v/>
      </c>
      <c r="AY241" s="35" t="str">
        <f aca="false">IF($B241="","",AQ241)</f>
        <v/>
      </c>
      <c r="AZ241" s="35" t="str">
        <f aca="false">IF($B241="","",AP241+AT241/2)</f>
        <v/>
      </c>
      <c r="BA241" s="35" t="str">
        <f aca="false">IF($B241="","",AK241+AN241+AM241/2+AO241+AP241+AQ241+AR241+AS241+AT241+AU241+AV241+AW241)</f>
        <v/>
      </c>
      <c r="BB241" s="35" t="str">
        <f aca="false">IF($B241="","",MAX(0,AN241-Settings!$C$16)*Settings!$C$17)</f>
        <v/>
      </c>
      <c r="BC241" s="35" t="str">
        <f aca="false">IF($B241="","",BA241-BB241)</f>
        <v/>
      </c>
      <c r="BD241" s="35" t="str">
        <f aca="false">IF(OR($B241="",$A241=""),"",DAY(EOMONTH($A241,0))-COUNTA($F241:$AJ241))</f>
        <v/>
      </c>
    </row>
    <row r="242" customFormat="false" ht="15" hidden="false" customHeight="false" outlineLevel="0" collapsed="false">
      <c r="A242" s="32"/>
      <c r="B242" s="29"/>
      <c r="C242" s="10" t="str">
        <f aca="false">IF($B242="","",IFERROR(INDEX(M_name,MATCH($B242,M_emp,0)),"Code not found"))</f>
        <v/>
      </c>
      <c r="D242" s="10" t="str">
        <f aca="false">IF($B242="","",IFERROR(INDEX(M_dept,MATCH($B242,M_emp,0)),""))</f>
        <v/>
      </c>
      <c r="E242" s="10" t="str">
        <f aca="false">IF($B242="","",IFERROR(INDEX(M_loc,MATCH($B242,M_emp,0)),""))</f>
        <v/>
      </c>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4" t="str">
        <f aca="false">IF($B242="","",COUNTIF($F242:$AJ242,"P"))</f>
        <v/>
      </c>
      <c r="AL242" s="34" t="str">
        <f aca="false">IF($B242="","",COUNTIF($F242:$AJ242,"A"))</f>
        <v/>
      </c>
      <c r="AM242" s="34" t="str">
        <f aca="false">IF($B242="","",COUNTIF($F242:$AJ242,"HA"))</f>
        <v/>
      </c>
      <c r="AN242" s="34" t="str">
        <f aca="false">IF($B242="","",COUNTIF($F242:$AJ242,"L"))</f>
        <v/>
      </c>
      <c r="AO242" s="34" t="str">
        <f aca="false">IF($B242="","",COUNTIF($F242:$AJ242,"PL"))</f>
        <v/>
      </c>
      <c r="AP242" s="34" t="str">
        <f aca="false">IF($B242="","",COUNTIF($F242:$AJ242,"CL"))</f>
        <v/>
      </c>
      <c r="AQ242" s="34" t="str">
        <f aca="false">IF($B242="","",COUNTIF($F242:$AJ242,"SL"))</f>
        <v/>
      </c>
      <c r="AR242" s="34" t="str">
        <f aca="false">IF($B242="","",COUNTIF($F242:$AJ242,"CO"))</f>
        <v/>
      </c>
      <c r="AS242" s="34" t="str">
        <f aca="false">IF($B242="","",COUNTIF($F242:$AJ242,"HPL"))</f>
        <v/>
      </c>
      <c r="AT242" s="34" t="str">
        <f aca="false">IF($B242="","",COUNTIF($F242:$AJ242,"HCL"))</f>
        <v/>
      </c>
      <c r="AU242" s="34" t="str">
        <f aca="false">IF($B242="","",COUNTIF($F242:$AJ242,"WO"))</f>
        <v/>
      </c>
      <c r="AV242" s="34" t="str">
        <f aca="false">IF($B242="","",COUNTIF($F242:$AJ242,"PH"))</f>
        <v/>
      </c>
      <c r="AW242" s="34" t="str">
        <f aca="false">IF($B242="","",COUNTIF($F242:$AJ242,"TR"))</f>
        <v/>
      </c>
      <c r="AX242" s="35" t="str">
        <f aca="false">IF($B242="","",AO242+AS242/2)</f>
        <v/>
      </c>
      <c r="AY242" s="35" t="str">
        <f aca="false">IF($B242="","",AQ242)</f>
        <v/>
      </c>
      <c r="AZ242" s="35" t="str">
        <f aca="false">IF($B242="","",AP242+AT242/2)</f>
        <v/>
      </c>
      <c r="BA242" s="35" t="str">
        <f aca="false">IF($B242="","",AK242+AN242+AM242/2+AO242+AP242+AQ242+AR242+AS242+AT242+AU242+AV242+AW242)</f>
        <v/>
      </c>
      <c r="BB242" s="35" t="str">
        <f aca="false">IF($B242="","",MAX(0,AN242-Settings!$C$16)*Settings!$C$17)</f>
        <v/>
      </c>
      <c r="BC242" s="35" t="str">
        <f aca="false">IF($B242="","",BA242-BB242)</f>
        <v/>
      </c>
      <c r="BD242" s="35" t="str">
        <f aca="false">IF(OR($B242="",$A242=""),"",DAY(EOMONTH($A242,0))-COUNTA($F242:$AJ242))</f>
        <v/>
      </c>
    </row>
    <row r="243" customFormat="false" ht="15" hidden="false" customHeight="false" outlineLevel="0" collapsed="false">
      <c r="A243" s="32"/>
      <c r="B243" s="29"/>
      <c r="C243" s="10" t="str">
        <f aca="false">IF($B243="","",IFERROR(INDEX(M_name,MATCH($B243,M_emp,0)),"Code not found"))</f>
        <v/>
      </c>
      <c r="D243" s="10" t="str">
        <f aca="false">IF($B243="","",IFERROR(INDEX(M_dept,MATCH($B243,M_emp,0)),""))</f>
        <v/>
      </c>
      <c r="E243" s="10" t="str">
        <f aca="false">IF($B243="","",IFERROR(INDEX(M_loc,MATCH($B243,M_emp,0)),""))</f>
        <v/>
      </c>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4" t="str">
        <f aca="false">IF($B243="","",COUNTIF($F243:$AJ243,"P"))</f>
        <v/>
      </c>
      <c r="AL243" s="34" t="str">
        <f aca="false">IF($B243="","",COUNTIF($F243:$AJ243,"A"))</f>
        <v/>
      </c>
      <c r="AM243" s="34" t="str">
        <f aca="false">IF($B243="","",COUNTIF($F243:$AJ243,"HA"))</f>
        <v/>
      </c>
      <c r="AN243" s="34" t="str">
        <f aca="false">IF($B243="","",COUNTIF($F243:$AJ243,"L"))</f>
        <v/>
      </c>
      <c r="AO243" s="34" t="str">
        <f aca="false">IF($B243="","",COUNTIF($F243:$AJ243,"PL"))</f>
        <v/>
      </c>
      <c r="AP243" s="34" t="str">
        <f aca="false">IF($B243="","",COUNTIF($F243:$AJ243,"CL"))</f>
        <v/>
      </c>
      <c r="AQ243" s="34" t="str">
        <f aca="false">IF($B243="","",COUNTIF($F243:$AJ243,"SL"))</f>
        <v/>
      </c>
      <c r="AR243" s="34" t="str">
        <f aca="false">IF($B243="","",COUNTIF($F243:$AJ243,"CO"))</f>
        <v/>
      </c>
      <c r="AS243" s="34" t="str">
        <f aca="false">IF($B243="","",COUNTIF($F243:$AJ243,"HPL"))</f>
        <v/>
      </c>
      <c r="AT243" s="34" t="str">
        <f aca="false">IF($B243="","",COUNTIF($F243:$AJ243,"HCL"))</f>
        <v/>
      </c>
      <c r="AU243" s="34" t="str">
        <f aca="false">IF($B243="","",COUNTIF($F243:$AJ243,"WO"))</f>
        <v/>
      </c>
      <c r="AV243" s="34" t="str">
        <f aca="false">IF($B243="","",COUNTIF($F243:$AJ243,"PH"))</f>
        <v/>
      </c>
      <c r="AW243" s="34" t="str">
        <f aca="false">IF($B243="","",COUNTIF($F243:$AJ243,"TR"))</f>
        <v/>
      </c>
      <c r="AX243" s="35" t="str">
        <f aca="false">IF($B243="","",AO243+AS243/2)</f>
        <v/>
      </c>
      <c r="AY243" s="35" t="str">
        <f aca="false">IF($B243="","",AQ243)</f>
        <v/>
      </c>
      <c r="AZ243" s="35" t="str">
        <f aca="false">IF($B243="","",AP243+AT243/2)</f>
        <v/>
      </c>
      <c r="BA243" s="35" t="str">
        <f aca="false">IF($B243="","",AK243+AN243+AM243/2+AO243+AP243+AQ243+AR243+AS243+AT243+AU243+AV243+AW243)</f>
        <v/>
      </c>
      <c r="BB243" s="35" t="str">
        <f aca="false">IF($B243="","",MAX(0,AN243-Settings!$C$16)*Settings!$C$17)</f>
        <v/>
      </c>
      <c r="BC243" s="35" t="str">
        <f aca="false">IF($B243="","",BA243-BB243)</f>
        <v/>
      </c>
      <c r="BD243" s="35" t="str">
        <f aca="false">IF(OR($B243="",$A243=""),"",DAY(EOMONTH($A243,0))-COUNTA($F243:$AJ243))</f>
        <v/>
      </c>
    </row>
    <row r="244" customFormat="false" ht="15" hidden="false" customHeight="false" outlineLevel="0" collapsed="false">
      <c r="A244" s="32"/>
      <c r="B244" s="29"/>
      <c r="C244" s="10" t="str">
        <f aca="false">IF($B244="","",IFERROR(INDEX(M_name,MATCH($B244,M_emp,0)),"Code not found"))</f>
        <v/>
      </c>
      <c r="D244" s="10" t="str">
        <f aca="false">IF($B244="","",IFERROR(INDEX(M_dept,MATCH($B244,M_emp,0)),""))</f>
        <v/>
      </c>
      <c r="E244" s="10" t="str">
        <f aca="false">IF($B244="","",IFERROR(INDEX(M_loc,MATCH($B244,M_emp,0)),""))</f>
        <v/>
      </c>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4" t="str">
        <f aca="false">IF($B244="","",COUNTIF($F244:$AJ244,"P"))</f>
        <v/>
      </c>
      <c r="AL244" s="34" t="str">
        <f aca="false">IF($B244="","",COUNTIF($F244:$AJ244,"A"))</f>
        <v/>
      </c>
      <c r="AM244" s="34" t="str">
        <f aca="false">IF($B244="","",COUNTIF($F244:$AJ244,"HA"))</f>
        <v/>
      </c>
      <c r="AN244" s="34" t="str">
        <f aca="false">IF($B244="","",COUNTIF($F244:$AJ244,"L"))</f>
        <v/>
      </c>
      <c r="AO244" s="34" t="str">
        <f aca="false">IF($B244="","",COUNTIF($F244:$AJ244,"PL"))</f>
        <v/>
      </c>
      <c r="AP244" s="34" t="str">
        <f aca="false">IF($B244="","",COUNTIF($F244:$AJ244,"CL"))</f>
        <v/>
      </c>
      <c r="AQ244" s="34" t="str">
        <f aca="false">IF($B244="","",COUNTIF($F244:$AJ244,"SL"))</f>
        <v/>
      </c>
      <c r="AR244" s="34" t="str">
        <f aca="false">IF($B244="","",COUNTIF($F244:$AJ244,"CO"))</f>
        <v/>
      </c>
      <c r="AS244" s="34" t="str">
        <f aca="false">IF($B244="","",COUNTIF($F244:$AJ244,"HPL"))</f>
        <v/>
      </c>
      <c r="AT244" s="34" t="str">
        <f aca="false">IF($B244="","",COUNTIF($F244:$AJ244,"HCL"))</f>
        <v/>
      </c>
      <c r="AU244" s="34" t="str">
        <f aca="false">IF($B244="","",COUNTIF($F244:$AJ244,"WO"))</f>
        <v/>
      </c>
      <c r="AV244" s="34" t="str">
        <f aca="false">IF($B244="","",COUNTIF($F244:$AJ244,"PH"))</f>
        <v/>
      </c>
      <c r="AW244" s="34" t="str">
        <f aca="false">IF($B244="","",COUNTIF($F244:$AJ244,"TR"))</f>
        <v/>
      </c>
      <c r="AX244" s="35" t="str">
        <f aca="false">IF($B244="","",AO244+AS244/2)</f>
        <v/>
      </c>
      <c r="AY244" s="35" t="str">
        <f aca="false">IF($B244="","",AQ244)</f>
        <v/>
      </c>
      <c r="AZ244" s="35" t="str">
        <f aca="false">IF($B244="","",AP244+AT244/2)</f>
        <v/>
      </c>
      <c r="BA244" s="35" t="str">
        <f aca="false">IF($B244="","",AK244+AN244+AM244/2+AO244+AP244+AQ244+AR244+AS244+AT244+AU244+AV244+AW244)</f>
        <v/>
      </c>
      <c r="BB244" s="35" t="str">
        <f aca="false">IF($B244="","",MAX(0,AN244-Settings!$C$16)*Settings!$C$17)</f>
        <v/>
      </c>
      <c r="BC244" s="35" t="str">
        <f aca="false">IF($B244="","",BA244-BB244)</f>
        <v/>
      </c>
      <c r="BD244" s="35" t="str">
        <f aca="false">IF(OR($B244="",$A244=""),"",DAY(EOMONTH($A244,0))-COUNTA($F244:$AJ244))</f>
        <v/>
      </c>
    </row>
    <row r="245" customFormat="false" ht="15" hidden="false" customHeight="false" outlineLevel="0" collapsed="false">
      <c r="A245" s="32"/>
      <c r="B245" s="29"/>
      <c r="C245" s="10" t="str">
        <f aca="false">IF($B245="","",IFERROR(INDEX(M_name,MATCH($B245,M_emp,0)),"Code not found"))</f>
        <v/>
      </c>
      <c r="D245" s="10" t="str">
        <f aca="false">IF($B245="","",IFERROR(INDEX(M_dept,MATCH($B245,M_emp,0)),""))</f>
        <v/>
      </c>
      <c r="E245" s="10" t="str">
        <f aca="false">IF($B245="","",IFERROR(INDEX(M_loc,MATCH($B245,M_emp,0)),""))</f>
        <v/>
      </c>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4" t="str">
        <f aca="false">IF($B245="","",COUNTIF($F245:$AJ245,"P"))</f>
        <v/>
      </c>
      <c r="AL245" s="34" t="str">
        <f aca="false">IF($B245="","",COUNTIF($F245:$AJ245,"A"))</f>
        <v/>
      </c>
      <c r="AM245" s="34" t="str">
        <f aca="false">IF($B245="","",COUNTIF($F245:$AJ245,"HA"))</f>
        <v/>
      </c>
      <c r="AN245" s="34" t="str">
        <f aca="false">IF($B245="","",COUNTIF($F245:$AJ245,"L"))</f>
        <v/>
      </c>
      <c r="AO245" s="34" t="str">
        <f aca="false">IF($B245="","",COUNTIF($F245:$AJ245,"PL"))</f>
        <v/>
      </c>
      <c r="AP245" s="34" t="str">
        <f aca="false">IF($B245="","",COUNTIF($F245:$AJ245,"CL"))</f>
        <v/>
      </c>
      <c r="AQ245" s="34" t="str">
        <f aca="false">IF($B245="","",COUNTIF($F245:$AJ245,"SL"))</f>
        <v/>
      </c>
      <c r="AR245" s="34" t="str">
        <f aca="false">IF($B245="","",COUNTIF($F245:$AJ245,"CO"))</f>
        <v/>
      </c>
      <c r="AS245" s="34" t="str">
        <f aca="false">IF($B245="","",COUNTIF($F245:$AJ245,"HPL"))</f>
        <v/>
      </c>
      <c r="AT245" s="34" t="str">
        <f aca="false">IF($B245="","",COUNTIF($F245:$AJ245,"HCL"))</f>
        <v/>
      </c>
      <c r="AU245" s="34" t="str">
        <f aca="false">IF($B245="","",COUNTIF($F245:$AJ245,"WO"))</f>
        <v/>
      </c>
      <c r="AV245" s="34" t="str">
        <f aca="false">IF($B245="","",COUNTIF($F245:$AJ245,"PH"))</f>
        <v/>
      </c>
      <c r="AW245" s="34" t="str">
        <f aca="false">IF($B245="","",COUNTIF($F245:$AJ245,"TR"))</f>
        <v/>
      </c>
      <c r="AX245" s="35" t="str">
        <f aca="false">IF($B245="","",AO245+AS245/2)</f>
        <v/>
      </c>
      <c r="AY245" s="35" t="str">
        <f aca="false">IF($B245="","",AQ245)</f>
        <v/>
      </c>
      <c r="AZ245" s="35" t="str">
        <f aca="false">IF($B245="","",AP245+AT245/2)</f>
        <v/>
      </c>
      <c r="BA245" s="35" t="str">
        <f aca="false">IF($B245="","",AK245+AN245+AM245/2+AO245+AP245+AQ245+AR245+AS245+AT245+AU245+AV245+AW245)</f>
        <v/>
      </c>
      <c r="BB245" s="35" t="str">
        <f aca="false">IF($B245="","",MAX(0,AN245-Settings!$C$16)*Settings!$C$17)</f>
        <v/>
      </c>
      <c r="BC245" s="35" t="str">
        <f aca="false">IF($B245="","",BA245-BB245)</f>
        <v/>
      </c>
      <c r="BD245" s="35" t="str">
        <f aca="false">IF(OR($B245="",$A245=""),"",DAY(EOMONTH($A245,0))-COUNTA($F245:$AJ245))</f>
        <v/>
      </c>
    </row>
    <row r="246" customFormat="false" ht="15" hidden="false" customHeight="false" outlineLevel="0" collapsed="false">
      <c r="A246" s="32"/>
      <c r="B246" s="29"/>
      <c r="C246" s="10" t="str">
        <f aca="false">IF($B246="","",IFERROR(INDEX(M_name,MATCH($B246,M_emp,0)),"Code not found"))</f>
        <v/>
      </c>
      <c r="D246" s="10" t="str">
        <f aca="false">IF($B246="","",IFERROR(INDEX(M_dept,MATCH($B246,M_emp,0)),""))</f>
        <v/>
      </c>
      <c r="E246" s="10" t="str">
        <f aca="false">IF($B246="","",IFERROR(INDEX(M_loc,MATCH($B246,M_emp,0)),""))</f>
        <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4" t="str">
        <f aca="false">IF($B246="","",COUNTIF($F246:$AJ246,"P"))</f>
        <v/>
      </c>
      <c r="AL246" s="34" t="str">
        <f aca="false">IF($B246="","",COUNTIF($F246:$AJ246,"A"))</f>
        <v/>
      </c>
      <c r="AM246" s="34" t="str">
        <f aca="false">IF($B246="","",COUNTIF($F246:$AJ246,"HA"))</f>
        <v/>
      </c>
      <c r="AN246" s="34" t="str">
        <f aca="false">IF($B246="","",COUNTIF($F246:$AJ246,"L"))</f>
        <v/>
      </c>
      <c r="AO246" s="34" t="str">
        <f aca="false">IF($B246="","",COUNTIF($F246:$AJ246,"PL"))</f>
        <v/>
      </c>
      <c r="AP246" s="34" t="str">
        <f aca="false">IF($B246="","",COUNTIF($F246:$AJ246,"CL"))</f>
        <v/>
      </c>
      <c r="AQ246" s="34" t="str">
        <f aca="false">IF($B246="","",COUNTIF($F246:$AJ246,"SL"))</f>
        <v/>
      </c>
      <c r="AR246" s="34" t="str">
        <f aca="false">IF($B246="","",COUNTIF($F246:$AJ246,"CO"))</f>
        <v/>
      </c>
      <c r="AS246" s="34" t="str">
        <f aca="false">IF($B246="","",COUNTIF($F246:$AJ246,"HPL"))</f>
        <v/>
      </c>
      <c r="AT246" s="34" t="str">
        <f aca="false">IF($B246="","",COUNTIF($F246:$AJ246,"HCL"))</f>
        <v/>
      </c>
      <c r="AU246" s="34" t="str">
        <f aca="false">IF($B246="","",COUNTIF($F246:$AJ246,"WO"))</f>
        <v/>
      </c>
      <c r="AV246" s="34" t="str">
        <f aca="false">IF($B246="","",COUNTIF($F246:$AJ246,"PH"))</f>
        <v/>
      </c>
      <c r="AW246" s="34" t="str">
        <f aca="false">IF($B246="","",COUNTIF($F246:$AJ246,"TR"))</f>
        <v/>
      </c>
      <c r="AX246" s="35" t="str">
        <f aca="false">IF($B246="","",AO246+AS246/2)</f>
        <v/>
      </c>
      <c r="AY246" s="35" t="str">
        <f aca="false">IF($B246="","",AQ246)</f>
        <v/>
      </c>
      <c r="AZ246" s="35" t="str">
        <f aca="false">IF($B246="","",AP246+AT246/2)</f>
        <v/>
      </c>
      <c r="BA246" s="35" t="str">
        <f aca="false">IF($B246="","",AK246+AN246+AM246/2+AO246+AP246+AQ246+AR246+AS246+AT246+AU246+AV246+AW246)</f>
        <v/>
      </c>
      <c r="BB246" s="35" t="str">
        <f aca="false">IF($B246="","",MAX(0,AN246-Settings!$C$16)*Settings!$C$17)</f>
        <v/>
      </c>
      <c r="BC246" s="35" t="str">
        <f aca="false">IF($B246="","",BA246-BB246)</f>
        <v/>
      </c>
      <c r="BD246" s="35" t="str">
        <f aca="false">IF(OR($B246="",$A246=""),"",DAY(EOMONTH($A246,0))-COUNTA($F246:$AJ246))</f>
        <v/>
      </c>
    </row>
    <row r="247" customFormat="false" ht="15" hidden="false" customHeight="false" outlineLevel="0" collapsed="false">
      <c r="A247" s="32"/>
      <c r="B247" s="29"/>
      <c r="C247" s="10" t="str">
        <f aca="false">IF($B247="","",IFERROR(INDEX(M_name,MATCH($B247,M_emp,0)),"Code not found"))</f>
        <v/>
      </c>
      <c r="D247" s="10" t="str">
        <f aca="false">IF($B247="","",IFERROR(INDEX(M_dept,MATCH($B247,M_emp,0)),""))</f>
        <v/>
      </c>
      <c r="E247" s="10" t="str">
        <f aca="false">IF($B247="","",IFERROR(INDEX(M_loc,MATCH($B247,M_emp,0)),""))</f>
        <v/>
      </c>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4" t="str">
        <f aca="false">IF($B247="","",COUNTIF($F247:$AJ247,"P"))</f>
        <v/>
      </c>
      <c r="AL247" s="34" t="str">
        <f aca="false">IF($B247="","",COUNTIF($F247:$AJ247,"A"))</f>
        <v/>
      </c>
      <c r="AM247" s="34" t="str">
        <f aca="false">IF($B247="","",COUNTIF($F247:$AJ247,"HA"))</f>
        <v/>
      </c>
      <c r="AN247" s="34" t="str">
        <f aca="false">IF($B247="","",COUNTIF($F247:$AJ247,"L"))</f>
        <v/>
      </c>
      <c r="AO247" s="34" t="str">
        <f aca="false">IF($B247="","",COUNTIF($F247:$AJ247,"PL"))</f>
        <v/>
      </c>
      <c r="AP247" s="34" t="str">
        <f aca="false">IF($B247="","",COUNTIF($F247:$AJ247,"CL"))</f>
        <v/>
      </c>
      <c r="AQ247" s="34" t="str">
        <f aca="false">IF($B247="","",COUNTIF($F247:$AJ247,"SL"))</f>
        <v/>
      </c>
      <c r="AR247" s="34" t="str">
        <f aca="false">IF($B247="","",COUNTIF($F247:$AJ247,"CO"))</f>
        <v/>
      </c>
      <c r="AS247" s="34" t="str">
        <f aca="false">IF($B247="","",COUNTIF($F247:$AJ247,"HPL"))</f>
        <v/>
      </c>
      <c r="AT247" s="34" t="str">
        <f aca="false">IF($B247="","",COUNTIF($F247:$AJ247,"HCL"))</f>
        <v/>
      </c>
      <c r="AU247" s="34" t="str">
        <f aca="false">IF($B247="","",COUNTIF($F247:$AJ247,"WO"))</f>
        <v/>
      </c>
      <c r="AV247" s="34" t="str">
        <f aca="false">IF($B247="","",COUNTIF($F247:$AJ247,"PH"))</f>
        <v/>
      </c>
      <c r="AW247" s="34" t="str">
        <f aca="false">IF($B247="","",COUNTIF($F247:$AJ247,"TR"))</f>
        <v/>
      </c>
      <c r="AX247" s="35" t="str">
        <f aca="false">IF($B247="","",AO247+AS247/2)</f>
        <v/>
      </c>
      <c r="AY247" s="35" t="str">
        <f aca="false">IF($B247="","",AQ247)</f>
        <v/>
      </c>
      <c r="AZ247" s="35" t="str">
        <f aca="false">IF($B247="","",AP247+AT247/2)</f>
        <v/>
      </c>
      <c r="BA247" s="35" t="str">
        <f aca="false">IF($B247="","",AK247+AN247+AM247/2+AO247+AP247+AQ247+AR247+AS247+AT247+AU247+AV247+AW247)</f>
        <v/>
      </c>
      <c r="BB247" s="35" t="str">
        <f aca="false">IF($B247="","",MAX(0,AN247-Settings!$C$16)*Settings!$C$17)</f>
        <v/>
      </c>
      <c r="BC247" s="35" t="str">
        <f aca="false">IF($B247="","",BA247-BB247)</f>
        <v/>
      </c>
      <c r="BD247" s="35" t="str">
        <f aca="false">IF(OR($B247="",$A247=""),"",DAY(EOMONTH($A247,0))-COUNTA($F247:$AJ247))</f>
        <v/>
      </c>
    </row>
    <row r="248" customFormat="false" ht="15" hidden="false" customHeight="false" outlineLevel="0" collapsed="false">
      <c r="A248" s="32"/>
      <c r="B248" s="29"/>
      <c r="C248" s="10" t="str">
        <f aca="false">IF($B248="","",IFERROR(INDEX(M_name,MATCH($B248,M_emp,0)),"Code not found"))</f>
        <v/>
      </c>
      <c r="D248" s="10" t="str">
        <f aca="false">IF($B248="","",IFERROR(INDEX(M_dept,MATCH($B248,M_emp,0)),""))</f>
        <v/>
      </c>
      <c r="E248" s="10" t="str">
        <f aca="false">IF($B248="","",IFERROR(INDEX(M_loc,MATCH($B248,M_emp,0)),""))</f>
        <v/>
      </c>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4" t="str">
        <f aca="false">IF($B248="","",COUNTIF($F248:$AJ248,"P"))</f>
        <v/>
      </c>
      <c r="AL248" s="34" t="str">
        <f aca="false">IF($B248="","",COUNTIF($F248:$AJ248,"A"))</f>
        <v/>
      </c>
      <c r="AM248" s="34" t="str">
        <f aca="false">IF($B248="","",COUNTIF($F248:$AJ248,"HA"))</f>
        <v/>
      </c>
      <c r="AN248" s="34" t="str">
        <f aca="false">IF($B248="","",COUNTIF($F248:$AJ248,"L"))</f>
        <v/>
      </c>
      <c r="AO248" s="34" t="str">
        <f aca="false">IF($B248="","",COUNTIF($F248:$AJ248,"PL"))</f>
        <v/>
      </c>
      <c r="AP248" s="34" t="str">
        <f aca="false">IF($B248="","",COUNTIF($F248:$AJ248,"CL"))</f>
        <v/>
      </c>
      <c r="AQ248" s="34" t="str">
        <f aca="false">IF($B248="","",COUNTIF($F248:$AJ248,"SL"))</f>
        <v/>
      </c>
      <c r="AR248" s="34" t="str">
        <f aca="false">IF($B248="","",COUNTIF($F248:$AJ248,"CO"))</f>
        <v/>
      </c>
      <c r="AS248" s="34" t="str">
        <f aca="false">IF($B248="","",COUNTIF($F248:$AJ248,"HPL"))</f>
        <v/>
      </c>
      <c r="AT248" s="34" t="str">
        <f aca="false">IF($B248="","",COUNTIF($F248:$AJ248,"HCL"))</f>
        <v/>
      </c>
      <c r="AU248" s="34" t="str">
        <f aca="false">IF($B248="","",COUNTIF($F248:$AJ248,"WO"))</f>
        <v/>
      </c>
      <c r="AV248" s="34" t="str">
        <f aca="false">IF($B248="","",COUNTIF($F248:$AJ248,"PH"))</f>
        <v/>
      </c>
      <c r="AW248" s="34" t="str">
        <f aca="false">IF($B248="","",COUNTIF($F248:$AJ248,"TR"))</f>
        <v/>
      </c>
      <c r="AX248" s="35" t="str">
        <f aca="false">IF($B248="","",AO248+AS248/2)</f>
        <v/>
      </c>
      <c r="AY248" s="35" t="str">
        <f aca="false">IF($B248="","",AQ248)</f>
        <v/>
      </c>
      <c r="AZ248" s="35" t="str">
        <f aca="false">IF($B248="","",AP248+AT248/2)</f>
        <v/>
      </c>
      <c r="BA248" s="35" t="str">
        <f aca="false">IF($B248="","",AK248+AN248+AM248/2+AO248+AP248+AQ248+AR248+AS248+AT248+AU248+AV248+AW248)</f>
        <v/>
      </c>
      <c r="BB248" s="35" t="str">
        <f aca="false">IF($B248="","",MAX(0,AN248-Settings!$C$16)*Settings!$C$17)</f>
        <v/>
      </c>
      <c r="BC248" s="35" t="str">
        <f aca="false">IF($B248="","",BA248-BB248)</f>
        <v/>
      </c>
      <c r="BD248" s="35" t="str">
        <f aca="false">IF(OR($B248="",$A248=""),"",DAY(EOMONTH($A248,0))-COUNTA($F248:$AJ248))</f>
        <v/>
      </c>
    </row>
    <row r="249" customFormat="false" ht="15" hidden="false" customHeight="false" outlineLevel="0" collapsed="false">
      <c r="A249" s="32"/>
      <c r="B249" s="29"/>
      <c r="C249" s="10" t="str">
        <f aca="false">IF($B249="","",IFERROR(INDEX(M_name,MATCH($B249,M_emp,0)),"Code not found"))</f>
        <v/>
      </c>
      <c r="D249" s="10" t="str">
        <f aca="false">IF($B249="","",IFERROR(INDEX(M_dept,MATCH($B249,M_emp,0)),""))</f>
        <v/>
      </c>
      <c r="E249" s="10" t="str">
        <f aca="false">IF($B249="","",IFERROR(INDEX(M_loc,MATCH($B249,M_emp,0)),""))</f>
        <v/>
      </c>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4" t="str">
        <f aca="false">IF($B249="","",COUNTIF($F249:$AJ249,"P"))</f>
        <v/>
      </c>
      <c r="AL249" s="34" t="str">
        <f aca="false">IF($B249="","",COUNTIF($F249:$AJ249,"A"))</f>
        <v/>
      </c>
      <c r="AM249" s="34" t="str">
        <f aca="false">IF($B249="","",COUNTIF($F249:$AJ249,"HA"))</f>
        <v/>
      </c>
      <c r="AN249" s="34" t="str">
        <f aca="false">IF($B249="","",COUNTIF($F249:$AJ249,"L"))</f>
        <v/>
      </c>
      <c r="AO249" s="34" t="str">
        <f aca="false">IF($B249="","",COUNTIF($F249:$AJ249,"PL"))</f>
        <v/>
      </c>
      <c r="AP249" s="34" t="str">
        <f aca="false">IF($B249="","",COUNTIF($F249:$AJ249,"CL"))</f>
        <v/>
      </c>
      <c r="AQ249" s="34" t="str">
        <f aca="false">IF($B249="","",COUNTIF($F249:$AJ249,"SL"))</f>
        <v/>
      </c>
      <c r="AR249" s="34" t="str">
        <f aca="false">IF($B249="","",COUNTIF($F249:$AJ249,"CO"))</f>
        <v/>
      </c>
      <c r="AS249" s="34" t="str">
        <f aca="false">IF($B249="","",COUNTIF($F249:$AJ249,"HPL"))</f>
        <v/>
      </c>
      <c r="AT249" s="34" t="str">
        <f aca="false">IF($B249="","",COUNTIF($F249:$AJ249,"HCL"))</f>
        <v/>
      </c>
      <c r="AU249" s="34" t="str">
        <f aca="false">IF($B249="","",COUNTIF($F249:$AJ249,"WO"))</f>
        <v/>
      </c>
      <c r="AV249" s="34" t="str">
        <f aca="false">IF($B249="","",COUNTIF($F249:$AJ249,"PH"))</f>
        <v/>
      </c>
      <c r="AW249" s="34" t="str">
        <f aca="false">IF($B249="","",COUNTIF($F249:$AJ249,"TR"))</f>
        <v/>
      </c>
      <c r="AX249" s="35" t="str">
        <f aca="false">IF($B249="","",AO249+AS249/2)</f>
        <v/>
      </c>
      <c r="AY249" s="35" t="str">
        <f aca="false">IF($B249="","",AQ249)</f>
        <v/>
      </c>
      <c r="AZ249" s="35" t="str">
        <f aca="false">IF($B249="","",AP249+AT249/2)</f>
        <v/>
      </c>
      <c r="BA249" s="35" t="str">
        <f aca="false">IF($B249="","",AK249+AN249+AM249/2+AO249+AP249+AQ249+AR249+AS249+AT249+AU249+AV249+AW249)</f>
        <v/>
      </c>
      <c r="BB249" s="35" t="str">
        <f aca="false">IF($B249="","",MAX(0,AN249-Settings!$C$16)*Settings!$C$17)</f>
        <v/>
      </c>
      <c r="BC249" s="35" t="str">
        <f aca="false">IF($B249="","",BA249-BB249)</f>
        <v/>
      </c>
      <c r="BD249" s="35" t="str">
        <f aca="false">IF(OR($B249="",$A249=""),"",DAY(EOMONTH($A249,0))-COUNTA($F249:$AJ249))</f>
        <v/>
      </c>
    </row>
    <row r="250" customFormat="false" ht="15" hidden="false" customHeight="false" outlineLevel="0" collapsed="false">
      <c r="A250" s="32"/>
      <c r="B250" s="29"/>
      <c r="C250" s="10" t="str">
        <f aca="false">IF($B250="","",IFERROR(INDEX(M_name,MATCH($B250,M_emp,0)),"Code not found"))</f>
        <v/>
      </c>
      <c r="D250" s="10" t="str">
        <f aca="false">IF($B250="","",IFERROR(INDEX(M_dept,MATCH($B250,M_emp,0)),""))</f>
        <v/>
      </c>
      <c r="E250" s="10" t="str">
        <f aca="false">IF($B250="","",IFERROR(INDEX(M_loc,MATCH($B250,M_emp,0)),""))</f>
        <v/>
      </c>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4" t="str">
        <f aca="false">IF($B250="","",COUNTIF($F250:$AJ250,"P"))</f>
        <v/>
      </c>
      <c r="AL250" s="34" t="str">
        <f aca="false">IF($B250="","",COUNTIF($F250:$AJ250,"A"))</f>
        <v/>
      </c>
      <c r="AM250" s="34" t="str">
        <f aca="false">IF($B250="","",COUNTIF($F250:$AJ250,"HA"))</f>
        <v/>
      </c>
      <c r="AN250" s="34" t="str">
        <f aca="false">IF($B250="","",COUNTIF($F250:$AJ250,"L"))</f>
        <v/>
      </c>
      <c r="AO250" s="34" t="str">
        <f aca="false">IF($B250="","",COUNTIF($F250:$AJ250,"PL"))</f>
        <v/>
      </c>
      <c r="AP250" s="34" t="str">
        <f aca="false">IF($B250="","",COUNTIF($F250:$AJ250,"CL"))</f>
        <v/>
      </c>
      <c r="AQ250" s="34" t="str">
        <f aca="false">IF($B250="","",COUNTIF($F250:$AJ250,"SL"))</f>
        <v/>
      </c>
      <c r="AR250" s="34" t="str">
        <f aca="false">IF($B250="","",COUNTIF($F250:$AJ250,"CO"))</f>
        <v/>
      </c>
      <c r="AS250" s="34" t="str">
        <f aca="false">IF($B250="","",COUNTIF($F250:$AJ250,"HPL"))</f>
        <v/>
      </c>
      <c r="AT250" s="34" t="str">
        <f aca="false">IF($B250="","",COUNTIF($F250:$AJ250,"HCL"))</f>
        <v/>
      </c>
      <c r="AU250" s="34" t="str">
        <f aca="false">IF($B250="","",COUNTIF($F250:$AJ250,"WO"))</f>
        <v/>
      </c>
      <c r="AV250" s="34" t="str">
        <f aca="false">IF($B250="","",COUNTIF($F250:$AJ250,"PH"))</f>
        <v/>
      </c>
      <c r="AW250" s="34" t="str">
        <f aca="false">IF($B250="","",COUNTIF($F250:$AJ250,"TR"))</f>
        <v/>
      </c>
      <c r="AX250" s="35" t="str">
        <f aca="false">IF($B250="","",AO250+AS250/2)</f>
        <v/>
      </c>
      <c r="AY250" s="35" t="str">
        <f aca="false">IF($B250="","",AQ250)</f>
        <v/>
      </c>
      <c r="AZ250" s="35" t="str">
        <f aca="false">IF($B250="","",AP250+AT250/2)</f>
        <v/>
      </c>
      <c r="BA250" s="35" t="str">
        <f aca="false">IF($B250="","",AK250+AN250+AM250/2+AO250+AP250+AQ250+AR250+AS250+AT250+AU250+AV250+AW250)</f>
        <v/>
      </c>
      <c r="BB250" s="35" t="str">
        <f aca="false">IF($B250="","",MAX(0,AN250-Settings!$C$16)*Settings!$C$17)</f>
        <v/>
      </c>
      <c r="BC250" s="35" t="str">
        <f aca="false">IF($B250="","",BA250-BB250)</f>
        <v/>
      </c>
      <c r="BD250" s="35" t="str">
        <f aca="false">IF(OR($B250="",$A250=""),"",DAY(EOMONTH($A250,0))-COUNTA($F250:$AJ250))</f>
        <v/>
      </c>
    </row>
    <row r="251" customFormat="false" ht="15" hidden="false" customHeight="false" outlineLevel="0" collapsed="false">
      <c r="A251" s="32"/>
      <c r="B251" s="29"/>
      <c r="C251" s="10" t="str">
        <f aca="false">IF($B251="","",IFERROR(INDEX(M_name,MATCH($B251,M_emp,0)),"Code not found"))</f>
        <v/>
      </c>
      <c r="D251" s="10" t="str">
        <f aca="false">IF($B251="","",IFERROR(INDEX(M_dept,MATCH($B251,M_emp,0)),""))</f>
        <v/>
      </c>
      <c r="E251" s="10" t="str">
        <f aca="false">IF($B251="","",IFERROR(INDEX(M_loc,MATCH($B251,M_emp,0)),""))</f>
        <v/>
      </c>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4" t="str">
        <f aca="false">IF($B251="","",COUNTIF($F251:$AJ251,"P"))</f>
        <v/>
      </c>
      <c r="AL251" s="34" t="str">
        <f aca="false">IF($B251="","",COUNTIF($F251:$AJ251,"A"))</f>
        <v/>
      </c>
      <c r="AM251" s="34" t="str">
        <f aca="false">IF($B251="","",COUNTIF($F251:$AJ251,"HA"))</f>
        <v/>
      </c>
      <c r="AN251" s="34" t="str">
        <f aca="false">IF($B251="","",COUNTIF($F251:$AJ251,"L"))</f>
        <v/>
      </c>
      <c r="AO251" s="34" t="str">
        <f aca="false">IF($B251="","",COUNTIF($F251:$AJ251,"PL"))</f>
        <v/>
      </c>
      <c r="AP251" s="34" t="str">
        <f aca="false">IF($B251="","",COUNTIF($F251:$AJ251,"CL"))</f>
        <v/>
      </c>
      <c r="AQ251" s="34" t="str">
        <f aca="false">IF($B251="","",COUNTIF($F251:$AJ251,"SL"))</f>
        <v/>
      </c>
      <c r="AR251" s="34" t="str">
        <f aca="false">IF($B251="","",COUNTIF($F251:$AJ251,"CO"))</f>
        <v/>
      </c>
      <c r="AS251" s="34" t="str">
        <f aca="false">IF($B251="","",COUNTIF($F251:$AJ251,"HPL"))</f>
        <v/>
      </c>
      <c r="AT251" s="34" t="str">
        <f aca="false">IF($B251="","",COUNTIF($F251:$AJ251,"HCL"))</f>
        <v/>
      </c>
      <c r="AU251" s="34" t="str">
        <f aca="false">IF($B251="","",COUNTIF($F251:$AJ251,"WO"))</f>
        <v/>
      </c>
      <c r="AV251" s="34" t="str">
        <f aca="false">IF($B251="","",COUNTIF($F251:$AJ251,"PH"))</f>
        <v/>
      </c>
      <c r="AW251" s="34" t="str">
        <f aca="false">IF($B251="","",COUNTIF($F251:$AJ251,"TR"))</f>
        <v/>
      </c>
      <c r="AX251" s="35" t="str">
        <f aca="false">IF($B251="","",AO251+AS251/2)</f>
        <v/>
      </c>
      <c r="AY251" s="35" t="str">
        <f aca="false">IF($B251="","",AQ251)</f>
        <v/>
      </c>
      <c r="AZ251" s="35" t="str">
        <f aca="false">IF($B251="","",AP251+AT251/2)</f>
        <v/>
      </c>
      <c r="BA251" s="35" t="str">
        <f aca="false">IF($B251="","",AK251+AN251+AM251/2+AO251+AP251+AQ251+AR251+AS251+AT251+AU251+AV251+AW251)</f>
        <v/>
      </c>
      <c r="BB251" s="35" t="str">
        <f aca="false">IF($B251="","",MAX(0,AN251-Settings!$C$16)*Settings!$C$17)</f>
        <v/>
      </c>
      <c r="BC251" s="35" t="str">
        <f aca="false">IF($B251="","",BA251-BB251)</f>
        <v/>
      </c>
      <c r="BD251" s="35" t="str">
        <f aca="false">IF(OR($B251="",$A251=""),"",DAY(EOMONTH($A251,0))-COUNTA($F251:$AJ251))</f>
        <v/>
      </c>
    </row>
    <row r="252" customFormat="false" ht="15" hidden="false" customHeight="false" outlineLevel="0" collapsed="false">
      <c r="A252" s="32"/>
      <c r="B252" s="29"/>
      <c r="C252" s="10" t="str">
        <f aca="false">IF($B252="","",IFERROR(INDEX(M_name,MATCH($B252,M_emp,0)),"Code not found"))</f>
        <v/>
      </c>
      <c r="D252" s="10" t="str">
        <f aca="false">IF($B252="","",IFERROR(INDEX(M_dept,MATCH($B252,M_emp,0)),""))</f>
        <v/>
      </c>
      <c r="E252" s="10" t="str">
        <f aca="false">IF($B252="","",IFERROR(INDEX(M_loc,MATCH($B252,M_emp,0)),""))</f>
        <v/>
      </c>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4" t="str">
        <f aca="false">IF($B252="","",COUNTIF($F252:$AJ252,"P"))</f>
        <v/>
      </c>
      <c r="AL252" s="34" t="str">
        <f aca="false">IF($B252="","",COUNTIF($F252:$AJ252,"A"))</f>
        <v/>
      </c>
      <c r="AM252" s="34" t="str">
        <f aca="false">IF($B252="","",COUNTIF($F252:$AJ252,"HA"))</f>
        <v/>
      </c>
      <c r="AN252" s="34" t="str">
        <f aca="false">IF($B252="","",COUNTIF($F252:$AJ252,"L"))</f>
        <v/>
      </c>
      <c r="AO252" s="34" t="str">
        <f aca="false">IF($B252="","",COUNTIF($F252:$AJ252,"PL"))</f>
        <v/>
      </c>
      <c r="AP252" s="34" t="str">
        <f aca="false">IF($B252="","",COUNTIF($F252:$AJ252,"CL"))</f>
        <v/>
      </c>
      <c r="AQ252" s="34" t="str">
        <f aca="false">IF($B252="","",COUNTIF($F252:$AJ252,"SL"))</f>
        <v/>
      </c>
      <c r="AR252" s="34" t="str">
        <f aca="false">IF($B252="","",COUNTIF($F252:$AJ252,"CO"))</f>
        <v/>
      </c>
      <c r="AS252" s="34" t="str">
        <f aca="false">IF($B252="","",COUNTIF($F252:$AJ252,"HPL"))</f>
        <v/>
      </c>
      <c r="AT252" s="34" t="str">
        <f aca="false">IF($B252="","",COUNTIF($F252:$AJ252,"HCL"))</f>
        <v/>
      </c>
      <c r="AU252" s="34" t="str">
        <f aca="false">IF($B252="","",COUNTIF($F252:$AJ252,"WO"))</f>
        <v/>
      </c>
      <c r="AV252" s="34" t="str">
        <f aca="false">IF($B252="","",COUNTIF($F252:$AJ252,"PH"))</f>
        <v/>
      </c>
      <c r="AW252" s="34" t="str">
        <f aca="false">IF($B252="","",COUNTIF($F252:$AJ252,"TR"))</f>
        <v/>
      </c>
      <c r="AX252" s="35" t="str">
        <f aca="false">IF($B252="","",AO252+AS252/2)</f>
        <v/>
      </c>
      <c r="AY252" s="35" t="str">
        <f aca="false">IF($B252="","",AQ252)</f>
        <v/>
      </c>
      <c r="AZ252" s="35" t="str">
        <f aca="false">IF($B252="","",AP252+AT252/2)</f>
        <v/>
      </c>
      <c r="BA252" s="35" t="str">
        <f aca="false">IF($B252="","",AK252+AN252+AM252/2+AO252+AP252+AQ252+AR252+AS252+AT252+AU252+AV252+AW252)</f>
        <v/>
      </c>
      <c r="BB252" s="35" t="str">
        <f aca="false">IF($B252="","",MAX(0,AN252-Settings!$C$16)*Settings!$C$17)</f>
        <v/>
      </c>
      <c r="BC252" s="35" t="str">
        <f aca="false">IF($B252="","",BA252-BB252)</f>
        <v/>
      </c>
      <c r="BD252" s="35" t="str">
        <f aca="false">IF(OR($B252="",$A252=""),"",DAY(EOMONTH($A252,0))-COUNTA($F252:$AJ252))</f>
        <v/>
      </c>
    </row>
    <row r="253" customFormat="false" ht="15" hidden="false" customHeight="false" outlineLevel="0" collapsed="false">
      <c r="A253" s="32"/>
      <c r="B253" s="29"/>
      <c r="C253" s="10" t="str">
        <f aca="false">IF($B253="","",IFERROR(INDEX(M_name,MATCH($B253,M_emp,0)),"Code not found"))</f>
        <v/>
      </c>
      <c r="D253" s="10" t="str">
        <f aca="false">IF($B253="","",IFERROR(INDEX(M_dept,MATCH($B253,M_emp,0)),""))</f>
        <v/>
      </c>
      <c r="E253" s="10" t="str">
        <f aca="false">IF($B253="","",IFERROR(INDEX(M_loc,MATCH($B253,M_emp,0)),""))</f>
        <v/>
      </c>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4" t="str">
        <f aca="false">IF($B253="","",COUNTIF($F253:$AJ253,"P"))</f>
        <v/>
      </c>
      <c r="AL253" s="34" t="str">
        <f aca="false">IF($B253="","",COUNTIF($F253:$AJ253,"A"))</f>
        <v/>
      </c>
      <c r="AM253" s="34" t="str">
        <f aca="false">IF($B253="","",COUNTIF($F253:$AJ253,"HA"))</f>
        <v/>
      </c>
      <c r="AN253" s="34" t="str">
        <f aca="false">IF($B253="","",COUNTIF($F253:$AJ253,"L"))</f>
        <v/>
      </c>
      <c r="AO253" s="34" t="str">
        <f aca="false">IF($B253="","",COUNTIF($F253:$AJ253,"PL"))</f>
        <v/>
      </c>
      <c r="AP253" s="34" t="str">
        <f aca="false">IF($B253="","",COUNTIF($F253:$AJ253,"CL"))</f>
        <v/>
      </c>
      <c r="AQ253" s="34" t="str">
        <f aca="false">IF($B253="","",COUNTIF($F253:$AJ253,"SL"))</f>
        <v/>
      </c>
      <c r="AR253" s="34" t="str">
        <f aca="false">IF($B253="","",COUNTIF($F253:$AJ253,"CO"))</f>
        <v/>
      </c>
      <c r="AS253" s="34" t="str">
        <f aca="false">IF($B253="","",COUNTIF($F253:$AJ253,"HPL"))</f>
        <v/>
      </c>
      <c r="AT253" s="34" t="str">
        <f aca="false">IF($B253="","",COUNTIF($F253:$AJ253,"HCL"))</f>
        <v/>
      </c>
      <c r="AU253" s="34" t="str">
        <f aca="false">IF($B253="","",COUNTIF($F253:$AJ253,"WO"))</f>
        <v/>
      </c>
      <c r="AV253" s="34" t="str">
        <f aca="false">IF($B253="","",COUNTIF($F253:$AJ253,"PH"))</f>
        <v/>
      </c>
      <c r="AW253" s="34" t="str">
        <f aca="false">IF($B253="","",COUNTIF($F253:$AJ253,"TR"))</f>
        <v/>
      </c>
      <c r="AX253" s="35" t="str">
        <f aca="false">IF($B253="","",AO253+AS253/2)</f>
        <v/>
      </c>
      <c r="AY253" s="35" t="str">
        <f aca="false">IF($B253="","",AQ253)</f>
        <v/>
      </c>
      <c r="AZ253" s="35" t="str">
        <f aca="false">IF($B253="","",AP253+AT253/2)</f>
        <v/>
      </c>
      <c r="BA253" s="35" t="str">
        <f aca="false">IF($B253="","",AK253+AN253+AM253/2+AO253+AP253+AQ253+AR253+AS253+AT253+AU253+AV253+AW253)</f>
        <v/>
      </c>
      <c r="BB253" s="35" t="str">
        <f aca="false">IF($B253="","",MAX(0,AN253-Settings!$C$16)*Settings!$C$17)</f>
        <v/>
      </c>
      <c r="BC253" s="35" t="str">
        <f aca="false">IF($B253="","",BA253-BB253)</f>
        <v/>
      </c>
      <c r="BD253" s="35" t="str">
        <f aca="false">IF(OR($B253="",$A253=""),"",DAY(EOMONTH($A253,0))-COUNTA($F253:$AJ253))</f>
        <v/>
      </c>
    </row>
    <row r="254" customFormat="false" ht="15" hidden="false" customHeight="false" outlineLevel="0" collapsed="false">
      <c r="A254" s="32"/>
      <c r="B254" s="29"/>
      <c r="C254" s="10" t="str">
        <f aca="false">IF($B254="","",IFERROR(INDEX(M_name,MATCH($B254,M_emp,0)),"Code not found"))</f>
        <v/>
      </c>
      <c r="D254" s="10" t="str">
        <f aca="false">IF($B254="","",IFERROR(INDEX(M_dept,MATCH($B254,M_emp,0)),""))</f>
        <v/>
      </c>
      <c r="E254" s="10" t="str">
        <f aca="false">IF($B254="","",IFERROR(INDEX(M_loc,MATCH($B254,M_emp,0)),""))</f>
        <v/>
      </c>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4" t="str">
        <f aca="false">IF($B254="","",COUNTIF($F254:$AJ254,"P"))</f>
        <v/>
      </c>
      <c r="AL254" s="34" t="str">
        <f aca="false">IF($B254="","",COUNTIF($F254:$AJ254,"A"))</f>
        <v/>
      </c>
      <c r="AM254" s="34" t="str">
        <f aca="false">IF($B254="","",COUNTIF($F254:$AJ254,"HA"))</f>
        <v/>
      </c>
      <c r="AN254" s="34" t="str">
        <f aca="false">IF($B254="","",COUNTIF($F254:$AJ254,"L"))</f>
        <v/>
      </c>
      <c r="AO254" s="34" t="str">
        <f aca="false">IF($B254="","",COUNTIF($F254:$AJ254,"PL"))</f>
        <v/>
      </c>
      <c r="AP254" s="34" t="str">
        <f aca="false">IF($B254="","",COUNTIF($F254:$AJ254,"CL"))</f>
        <v/>
      </c>
      <c r="AQ254" s="34" t="str">
        <f aca="false">IF($B254="","",COUNTIF($F254:$AJ254,"SL"))</f>
        <v/>
      </c>
      <c r="AR254" s="34" t="str">
        <f aca="false">IF($B254="","",COUNTIF($F254:$AJ254,"CO"))</f>
        <v/>
      </c>
      <c r="AS254" s="34" t="str">
        <f aca="false">IF($B254="","",COUNTIF($F254:$AJ254,"HPL"))</f>
        <v/>
      </c>
      <c r="AT254" s="34" t="str">
        <f aca="false">IF($B254="","",COUNTIF($F254:$AJ254,"HCL"))</f>
        <v/>
      </c>
      <c r="AU254" s="34" t="str">
        <f aca="false">IF($B254="","",COUNTIF($F254:$AJ254,"WO"))</f>
        <v/>
      </c>
      <c r="AV254" s="34" t="str">
        <f aca="false">IF($B254="","",COUNTIF($F254:$AJ254,"PH"))</f>
        <v/>
      </c>
      <c r="AW254" s="34" t="str">
        <f aca="false">IF($B254="","",COUNTIF($F254:$AJ254,"TR"))</f>
        <v/>
      </c>
      <c r="AX254" s="35" t="str">
        <f aca="false">IF($B254="","",AO254+AS254/2)</f>
        <v/>
      </c>
      <c r="AY254" s="35" t="str">
        <f aca="false">IF($B254="","",AQ254)</f>
        <v/>
      </c>
      <c r="AZ254" s="35" t="str">
        <f aca="false">IF($B254="","",AP254+AT254/2)</f>
        <v/>
      </c>
      <c r="BA254" s="35" t="str">
        <f aca="false">IF($B254="","",AK254+AN254+AM254/2+AO254+AP254+AQ254+AR254+AS254+AT254+AU254+AV254+AW254)</f>
        <v/>
      </c>
      <c r="BB254" s="35" t="str">
        <f aca="false">IF($B254="","",MAX(0,AN254-Settings!$C$16)*Settings!$C$17)</f>
        <v/>
      </c>
      <c r="BC254" s="35" t="str">
        <f aca="false">IF($B254="","",BA254-BB254)</f>
        <v/>
      </c>
      <c r="BD254" s="35" t="str">
        <f aca="false">IF(OR($B254="",$A254=""),"",DAY(EOMONTH($A254,0))-COUNTA($F254:$AJ254))</f>
        <v/>
      </c>
    </row>
    <row r="255" customFormat="false" ht="15" hidden="false" customHeight="false" outlineLevel="0" collapsed="false">
      <c r="A255" s="32"/>
      <c r="B255" s="29"/>
      <c r="C255" s="10" t="str">
        <f aca="false">IF($B255="","",IFERROR(INDEX(M_name,MATCH($B255,M_emp,0)),"Code not found"))</f>
        <v/>
      </c>
      <c r="D255" s="10" t="str">
        <f aca="false">IF($B255="","",IFERROR(INDEX(M_dept,MATCH($B255,M_emp,0)),""))</f>
        <v/>
      </c>
      <c r="E255" s="10" t="str">
        <f aca="false">IF($B255="","",IFERROR(INDEX(M_loc,MATCH($B255,M_emp,0)),""))</f>
        <v/>
      </c>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4" t="str">
        <f aca="false">IF($B255="","",COUNTIF($F255:$AJ255,"P"))</f>
        <v/>
      </c>
      <c r="AL255" s="34" t="str">
        <f aca="false">IF($B255="","",COUNTIF($F255:$AJ255,"A"))</f>
        <v/>
      </c>
      <c r="AM255" s="34" t="str">
        <f aca="false">IF($B255="","",COUNTIF($F255:$AJ255,"HA"))</f>
        <v/>
      </c>
      <c r="AN255" s="34" t="str">
        <f aca="false">IF($B255="","",COUNTIF($F255:$AJ255,"L"))</f>
        <v/>
      </c>
      <c r="AO255" s="34" t="str">
        <f aca="false">IF($B255="","",COUNTIF($F255:$AJ255,"PL"))</f>
        <v/>
      </c>
      <c r="AP255" s="34" t="str">
        <f aca="false">IF($B255="","",COUNTIF($F255:$AJ255,"CL"))</f>
        <v/>
      </c>
      <c r="AQ255" s="34" t="str">
        <f aca="false">IF($B255="","",COUNTIF($F255:$AJ255,"SL"))</f>
        <v/>
      </c>
      <c r="AR255" s="34" t="str">
        <f aca="false">IF($B255="","",COUNTIF($F255:$AJ255,"CO"))</f>
        <v/>
      </c>
      <c r="AS255" s="34" t="str">
        <f aca="false">IF($B255="","",COUNTIF($F255:$AJ255,"HPL"))</f>
        <v/>
      </c>
      <c r="AT255" s="34" t="str">
        <f aca="false">IF($B255="","",COUNTIF($F255:$AJ255,"HCL"))</f>
        <v/>
      </c>
      <c r="AU255" s="34" t="str">
        <f aca="false">IF($B255="","",COUNTIF($F255:$AJ255,"WO"))</f>
        <v/>
      </c>
      <c r="AV255" s="34" t="str">
        <f aca="false">IF($B255="","",COUNTIF($F255:$AJ255,"PH"))</f>
        <v/>
      </c>
      <c r="AW255" s="34" t="str">
        <f aca="false">IF($B255="","",COUNTIF($F255:$AJ255,"TR"))</f>
        <v/>
      </c>
      <c r="AX255" s="35" t="str">
        <f aca="false">IF($B255="","",AO255+AS255/2)</f>
        <v/>
      </c>
      <c r="AY255" s="35" t="str">
        <f aca="false">IF($B255="","",AQ255)</f>
        <v/>
      </c>
      <c r="AZ255" s="35" t="str">
        <f aca="false">IF($B255="","",AP255+AT255/2)</f>
        <v/>
      </c>
      <c r="BA255" s="35" t="str">
        <f aca="false">IF($B255="","",AK255+AN255+AM255/2+AO255+AP255+AQ255+AR255+AS255+AT255+AU255+AV255+AW255)</f>
        <v/>
      </c>
      <c r="BB255" s="35" t="str">
        <f aca="false">IF($B255="","",MAX(0,AN255-Settings!$C$16)*Settings!$C$17)</f>
        <v/>
      </c>
      <c r="BC255" s="35" t="str">
        <f aca="false">IF($B255="","",BA255-BB255)</f>
        <v/>
      </c>
      <c r="BD255" s="35" t="str">
        <f aca="false">IF(OR($B255="",$A255=""),"",DAY(EOMONTH($A255,0))-COUNTA($F255:$AJ255))</f>
        <v/>
      </c>
    </row>
    <row r="256" customFormat="false" ht="15" hidden="false" customHeight="false" outlineLevel="0" collapsed="false">
      <c r="A256" s="32"/>
      <c r="B256" s="29"/>
      <c r="C256" s="10" t="str">
        <f aca="false">IF($B256="","",IFERROR(INDEX(M_name,MATCH($B256,M_emp,0)),"Code not found"))</f>
        <v/>
      </c>
      <c r="D256" s="10" t="str">
        <f aca="false">IF($B256="","",IFERROR(INDEX(M_dept,MATCH($B256,M_emp,0)),""))</f>
        <v/>
      </c>
      <c r="E256" s="10" t="str">
        <f aca="false">IF($B256="","",IFERROR(INDEX(M_loc,MATCH($B256,M_emp,0)),""))</f>
        <v/>
      </c>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4" t="str">
        <f aca="false">IF($B256="","",COUNTIF($F256:$AJ256,"P"))</f>
        <v/>
      </c>
      <c r="AL256" s="34" t="str">
        <f aca="false">IF($B256="","",COUNTIF($F256:$AJ256,"A"))</f>
        <v/>
      </c>
      <c r="AM256" s="34" t="str">
        <f aca="false">IF($B256="","",COUNTIF($F256:$AJ256,"HA"))</f>
        <v/>
      </c>
      <c r="AN256" s="34" t="str">
        <f aca="false">IF($B256="","",COUNTIF($F256:$AJ256,"L"))</f>
        <v/>
      </c>
      <c r="AO256" s="34" t="str">
        <f aca="false">IF($B256="","",COUNTIF($F256:$AJ256,"PL"))</f>
        <v/>
      </c>
      <c r="AP256" s="34" t="str">
        <f aca="false">IF($B256="","",COUNTIF($F256:$AJ256,"CL"))</f>
        <v/>
      </c>
      <c r="AQ256" s="34" t="str">
        <f aca="false">IF($B256="","",COUNTIF($F256:$AJ256,"SL"))</f>
        <v/>
      </c>
      <c r="AR256" s="34" t="str">
        <f aca="false">IF($B256="","",COUNTIF($F256:$AJ256,"CO"))</f>
        <v/>
      </c>
      <c r="AS256" s="34" t="str">
        <f aca="false">IF($B256="","",COUNTIF($F256:$AJ256,"HPL"))</f>
        <v/>
      </c>
      <c r="AT256" s="34" t="str">
        <f aca="false">IF($B256="","",COUNTIF($F256:$AJ256,"HCL"))</f>
        <v/>
      </c>
      <c r="AU256" s="34" t="str">
        <f aca="false">IF($B256="","",COUNTIF($F256:$AJ256,"WO"))</f>
        <v/>
      </c>
      <c r="AV256" s="34" t="str">
        <f aca="false">IF($B256="","",COUNTIF($F256:$AJ256,"PH"))</f>
        <v/>
      </c>
      <c r="AW256" s="34" t="str">
        <f aca="false">IF($B256="","",COUNTIF($F256:$AJ256,"TR"))</f>
        <v/>
      </c>
      <c r="AX256" s="35" t="str">
        <f aca="false">IF($B256="","",AO256+AS256/2)</f>
        <v/>
      </c>
      <c r="AY256" s="35" t="str">
        <f aca="false">IF($B256="","",AQ256)</f>
        <v/>
      </c>
      <c r="AZ256" s="35" t="str">
        <f aca="false">IF($B256="","",AP256+AT256/2)</f>
        <v/>
      </c>
      <c r="BA256" s="35" t="str">
        <f aca="false">IF($B256="","",AK256+AN256+AM256/2+AO256+AP256+AQ256+AR256+AS256+AT256+AU256+AV256+AW256)</f>
        <v/>
      </c>
      <c r="BB256" s="35" t="str">
        <f aca="false">IF($B256="","",MAX(0,AN256-Settings!$C$16)*Settings!$C$17)</f>
        <v/>
      </c>
      <c r="BC256" s="35" t="str">
        <f aca="false">IF($B256="","",BA256-BB256)</f>
        <v/>
      </c>
      <c r="BD256" s="35" t="str">
        <f aca="false">IF(OR($B256="",$A256=""),"",DAY(EOMONTH($A256,0))-COUNTA($F256:$AJ256))</f>
        <v/>
      </c>
    </row>
    <row r="257" customFormat="false" ht="15" hidden="false" customHeight="false" outlineLevel="0" collapsed="false">
      <c r="A257" s="32"/>
      <c r="B257" s="29"/>
      <c r="C257" s="10" t="str">
        <f aca="false">IF($B257="","",IFERROR(INDEX(M_name,MATCH($B257,M_emp,0)),"Code not found"))</f>
        <v/>
      </c>
      <c r="D257" s="10" t="str">
        <f aca="false">IF($B257="","",IFERROR(INDEX(M_dept,MATCH($B257,M_emp,0)),""))</f>
        <v/>
      </c>
      <c r="E257" s="10" t="str">
        <f aca="false">IF($B257="","",IFERROR(INDEX(M_loc,MATCH($B257,M_emp,0)),""))</f>
        <v/>
      </c>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4" t="str">
        <f aca="false">IF($B257="","",COUNTIF($F257:$AJ257,"P"))</f>
        <v/>
      </c>
      <c r="AL257" s="34" t="str">
        <f aca="false">IF($B257="","",COUNTIF($F257:$AJ257,"A"))</f>
        <v/>
      </c>
      <c r="AM257" s="34" t="str">
        <f aca="false">IF($B257="","",COUNTIF($F257:$AJ257,"HA"))</f>
        <v/>
      </c>
      <c r="AN257" s="34" t="str">
        <f aca="false">IF($B257="","",COUNTIF($F257:$AJ257,"L"))</f>
        <v/>
      </c>
      <c r="AO257" s="34" t="str">
        <f aca="false">IF($B257="","",COUNTIF($F257:$AJ257,"PL"))</f>
        <v/>
      </c>
      <c r="AP257" s="34" t="str">
        <f aca="false">IF($B257="","",COUNTIF($F257:$AJ257,"CL"))</f>
        <v/>
      </c>
      <c r="AQ257" s="34" t="str">
        <f aca="false">IF($B257="","",COUNTIF($F257:$AJ257,"SL"))</f>
        <v/>
      </c>
      <c r="AR257" s="34" t="str">
        <f aca="false">IF($B257="","",COUNTIF($F257:$AJ257,"CO"))</f>
        <v/>
      </c>
      <c r="AS257" s="34" t="str">
        <f aca="false">IF($B257="","",COUNTIF($F257:$AJ257,"HPL"))</f>
        <v/>
      </c>
      <c r="AT257" s="34" t="str">
        <f aca="false">IF($B257="","",COUNTIF($F257:$AJ257,"HCL"))</f>
        <v/>
      </c>
      <c r="AU257" s="34" t="str">
        <f aca="false">IF($B257="","",COUNTIF($F257:$AJ257,"WO"))</f>
        <v/>
      </c>
      <c r="AV257" s="34" t="str">
        <f aca="false">IF($B257="","",COUNTIF($F257:$AJ257,"PH"))</f>
        <v/>
      </c>
      <c r="AW257" s="34" t="str">
        <f aca="false">IF($B257="","",COUNTIF($F257:$AJ257,"TR"))</f>
        <v/>
      </c>
      <c r="AX257" s="35" t="str">
        <f aca="false">IF($B257="","",AO257+AS257/2)</f>
        <v/>
      </c>
      <c r="AY257" s="35" t="str">
        <f aca="false">IF($B257="","",AQ257)</f>
        <v/>
      </c>
      <c r="AZ257" s="35" t="str">
        <f aca="false">IF($B257="","",AP257+AT257/2)</f>
        <v/>
      </c>
      <c r="BA257" s="35" t="str">
        <f aca="false">IF($B257="","",AK257+AN257+AM257/2+AO257+AP257+AQ257+AR257+AS257+AT257+AU257+AV257+AW257)</f>
        <v/>
      </c>
      <c r="BB257" s="35" t="str">
        <f aca="false">IF($B257="","",MAX(0,AN257-Settings!$C$16)*Settings!$C$17)</f>
        <v/>
      </c>
      <c r="BC257" s="35" t="str">
        <f aca="false">IF($B257="","",BA257-BB257)</f>
        <v/>
      </c>
      <c r="BD257" s="35" t="str">
        <f aca="false">IF(OR($B257="",$A257=""),"",DAY(EOMONTH($A257,0))-COUNTA($F257:$AJ257))</f>
        <v/>
      </c>
    </row>
    <row r="258" customFormat="false" ht="15" hidden="false" customHeight="false" outlineLevel="0" collapsed="false">
      <c r="A258" s="32"/>
      <c r="B258" s="29"/>
      <c r="C258" s="10" t="str">
        <f aca="false">IF($B258="","",IFERROR(INDEX(M_name,MATCH($B258,M_emp,0)),"Code not found"))</f>
        <v/>
      </c>
      <c r="D258" s="10" t="str">
        <f aca="false">IF($B258="","",IFERROR(INDEX(M_dept,MATCH($B258,M_emp,0)),""))</f>
        <v/>
      </c>
      <c r="E258" s="10" t="str">
        <f aca="false">IF($B258="","",IFERROR(INDEX(M_loc,MATCH($B258,M_emp,0)),""))</f>
        <v/>
      </c>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4" t="str">
        <f aca="false">IF($B258="","",COUNTIF($F258:$AJ258,"P"))</f>
        <v/>
      </c>
      <c r="AL258" s="34" t="str">
        <f aca="false">IF($B258="","",COUNTIF($F258:$AJ258,"A"))</f>
        <v/>
      </c>
      <c r="AM258" s="34" t="str">
        <f aca="false">IF($B258="","",COUNTIF($F258:$AJ258,"HA"))</f>
        <v/>
      </c>
      <c r="AN258" s="34" t="str">
        <f aca="false">IF($B258="","",COUNTIF($F258:$AJ258,"L"))</f>
        <v/>
      </c>
      <c r="AO258" s="34" t="str">
        <f aca="false">IF($B258="","",COUNTIF($F258:$AJ258,"PL"))</f>
        <v/>
      </c>
      <c r="AP258" s="34" t="str">
        <f aca="false">IF($B258="","",COUNTIF($F258:$AJ258,"CL"))</f>
        <v/>
      </c>
      <c r="AQ258" s="34" t="str">
        <f aca="false">IF($B258="","",COUNTIF($F258:$AJ258,"SL"))</f>
        <v/>
      </c>
      <c r="AR258" s="34" t="str">
        <f aca="false">IF($B258="","",COUNTIF($F258:$AJ258,"CO"))</f>
        <v/>
      </c>
      <c r="AS258" s="34" t="str">
        <f aca="false">IF($B258="","",COUNTIF($F258:$AJ258,"HPL"))</f>
        <v/>
      </c>
      <c r="AT258" s="34" t="str">
        <f aca="false">IF($B258="","",COUNTIF($F258:$AJ258,"HCL"))</f>
        <v/>
      </c>
      <c r="AU258" s="34" t="str">
        <f aca="false">IF($B258="","",COUNTIF($F258:$AJ258,"WO"))</f>
        <v/>
      </c>
      <c r="AV258" s="34" t="str">
        <f aca="false">IF($B258="","",COUNTIF($F258:$AJ258,"PH"))</f>
        <v/>
      </c>
      <c r="AW258" s="34" t="str">
        <f aca="false">IF($B258="","",COUNTIF($F258:$AJ258,"TR"))</f>
        <v/>
      </c>
      <c r="AX258" s="35" t="str">
        <f aca="false">IF($B258="","",AO258+AS258/2)</f>
        <v/>
      </c>
      <c r="AY258" s="35" t="str">
        <f aca="false">IF($B258="","",AQ258)</f>
        <v/>
      </c>
      <c r="AZ258" s="35" t="str">
        <f aca="false">IF($B258="","",AP258+AT258/2)</f>
        <v/>
      </c>
      <c r="BA258" s="35" t="str">
        <f aca="false">IF($B258="","",AK258+AN258+AM258/2+AO258+AP258+AQ258+AR258+AS258+AT258+AU258+AV258+AW258)</f>
        <v/>
      </c>
      <c r="BB258" s="35" t="str">
        <f aca="false">IF($B258="","",MAX(0,AN258-Settings!$C$16)*Settings!$C$17)</f>
        <v/>
      </c>
      <c r="BC258" s="35" t="str">
        <f aca="false">IF($B258="","",BA258-BB258)</f>
        <v/>
      </c>
      <c r="BD258" s="35" t="str">
        <f aca="false">IF(OR($B258="",$A258=""),"",DAY(EOMONTH($A258,0))-COUNTA($F258:$AJ258))</f>
        <v/>
      </c>
    </row>
    <row r="259" customFormat="false" ht="15" hidden="false" customHeight="false" outlineLevel="0" collapsed="false">
      <c r="A259" s="32"/>
      <c r="B259" s="29"/>
      <c r="C259" s="10" t="str">
        <f aca="false">IF($B259="","",IFERROR(INDEX(M_name,MATCH($B259,M_emp,0)),"Code not found"))</f>
        <v/>
      </c>
      <c r="D259" s="10" t="str">
        <f aca="false">IF($B259="","",IFERROR(INDEX(M_dept,MATCH($B259,M_emp,0)),""))</f>
        <v/>
      </c>
      <c r="E259" s="10" t="str">
        <f aca="false">IF($B259="","",IFERROR(INDEX(M_loc,MATCH($B259,M_emp,0)),""))</f>
        <v/>
      </c>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4" t="str">
        <f aca="false">IF($B259="","",COUNTIF($F259:$AJ259,"P"))</f>
        <v/>
      </c>
      <c r="AL259" s="34" t="str">
        <f aca="false">IF($B259="","",COUNTIF($F259:$AJ259,"A"))</f>
        <v/>
      </c>
      <c r="AM259" s="34" t="str">
        <f aca="false">IF($B259="","",COUNTIF($F259:$AJ259,"HA"))</f>
        <v/>
      </c>
      <c r="AN259" s="34" t="str">
        <f aca="false">IF($B259="","",COUNTIF($F259:$AJ259,"L"))</f>
        <v/>
      </c>
      <c r="AO259" s="34" t="str">
        <f aca="false">IF($B259="","",COUNTIF($F259:$AJ259,"PL"))</f>
        <v/>
      </c>
      <c r="AP259" s="34" t="str">
        <f aca="false">IF($B259="","",COUNTIF($F259:$AJ259,"CL"))</f>
        <v/>
      </c>
      <c r="AQ259" s="34" t="str">
        <f aca="false">IF($B259="","",COUNTIF($F259:$AJ259,"SL"))</f>
        <v/>
      </c>
      <c r="AR259" s="34" t="str">
        <f aca="false">IF($B259="","",COUNTIF($F259:$AJ259,"CO"))</f>
        <v/>
      </c>
      <c r="AS259" s="34" t="str">
        <f aca="false">IF($B259="","",COUNTIF($F259:$AJ259,"HPL"))</f>
        <v/>
      </c>
      <c r="AT259" s="34" t="str">
        <f aca="false">IF($B259="","",COUNTIF($F259:$AJ259,"HCL"))</f>
        <v/>
      </c>
      <c r="AU259" s="34" t="str">
        <f aca="false">IF($B259="","",COUNTIF($F259:$AJ259,"WO"))</f>
        <v/>
      </c>
      <c r="AV259" s="34" t="str">
        <f aca="false">IF($B259="","",COUNTIF($F259:$AJ259,"PH"))</f>
        <v/>
      </c>
      <c r="AW259" s="34" t="str">
        <f aca="false">IF($B259="","",COUNTIF($F259:$AJ259,"TR"))</f>
        <v/>
      </c>
      <c r="AX259" s="35" t="str">
        <f aca="false">IF($B259="","",AO259+AS259/2)</f>
        <v/>
      </c>
      <c r="AY259" s="35" t="str">
        <f aca="false">IF($B259="","",AQ259)</f>
        <v/>
      </c>
      <c r="AZ259" s="35" t="str">
        <f aca="false">IF($B259="","",AP259+AT259/2)</f>
        <v/>
      </c>
      <c r="BA259" s="35" t="str">
        <f aca="false">IF($B259="","",AK259+AN259+AM259/2+AO259+AP259+AQ259+AR259+AS259+AT259+AU259+AV259+AW259)</f>
        <v/>
      </c>
      <c r="BB259" s="35" t="str">
        <f aca="false">IF($B259="","",MAX(0,AN259-Settings!$C$16)*Settings!$C$17)</f>
        <v/>
      </c>
      <c r="BC259" s="35" t="str">
        <f aca="false">IF($B259="","",BA259-BB259)</f>
        <v/>
      </c>
      <c r="BD259" s="35" t="str">
        <f aca="false">IF(OR($B259="",$A259=""),"",DAY(EOMONTH($A259,0))-COUNTA($F259:$AJ259))</f>
        <v/>
      </c>
    </row>
    <row r="260" customFormat="false" ht="15" hidden="false" customHeight="false" outlineLevel="0" collapsed="false">
      <c r="A260" s="32"/>
      <c r="B260" s="29"/>
      <c r="C260" s="10" t="str">
        <f aca="false">IF($B260="","",IFERROR(INDEX(M_name,MATCH($B260,M_emp,0)),"Code not found"))</f>
        <v/>
      </c>
      <c r="D260" s="10" t="str">
        <f aca="false">IF($B260="","",IFERROR(INDEX(M_dept,MATCH($B260,M_emp,0)),""))</f>
        <v/>
      </c>
      <c r="E260" s="10" t="str">
        <f aca="false">IF($B260="","",IFERROR(INDEX(M_loc,MATCH($B260,M_emp,0)),""))</f>
        <v/>
      </c>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4" t="str">
        <f aca="false">IF($B260="","",COUNTIF($F260:$AJ260,"P"))</f>
        <v/>
      </c>
      <c r="AL260" s="34" t="str">
        <f aca="false">IF($B260="","",COUNTIF($F260:$AJ260,"A"))</f>
        <v/>
      </c>
      <c r="AM260" s="34" t="str">
        <f aca="false">IF($B260="","",COUNTIF($F260:$AJ260,"HA"))</f>
        <v/>
      </c>
      <c r="AN260" s="34" t="str">
        <f aca="false">IF($B260="","",COUNTIF($F260:$AJ260,"L"))</f>
        <v/>
      </c>
      <c r="AO260" s="34" t="str">
        <f aca="false">IF($B260="","",COUNTIF($F260:$AJ260,"PL"))</f>
        <v/>
      </c>
      <c r="AP260" s="34" t="str">
        <f aca="false">IF($B260="","",COUNTIF($F260:$AJ260,"CL"))</f>
        <v/>
      </c>
      <c r="AQ260" s="34" t="str">
        <f aca="false">IF($B260="","",COUNTIF($F260:$AJ260,"SL"))</f>
        <v/>
      </c>
      <c r="AR260" s="34" t="str">
        <f aca="false">IF($B260="","",COUNTIF($F260:$AJ260,"CO"))</f>
        <v/>
      </c>
      <c r="AS260" s="34" t="str">
        <f aca="false">IF($B260="","",COUNTIF($F260:$AJ260,"HPL"))</f>
        <v/>
      </c>
      <c r="AT260" s="34" t="str">
        <f aca="false">IF($B260="","",COUNTIF($F260:$AJ260,"HCL"))</f>
        <v/>
      </c>
      <c r="AU260" s="34" t="str">
        <f aca="false">IF($B260="","",COUNTIF($F260:$AJ260,"WO"))</f>
        <v/>
      </c>
      <c r="AV260" s="34" t="str">
        <f aca="false">IF($B260="","",COUNTIF($F260:$AJ260,"PH"))</f>
        <v/>
      </c>
      <c r="AW260" s="34" t="str">
        <f aca="false">IF($B260="","",COUNTIF($F260:$AJ260,"TR"))</f>
        <v/>
      </c>
      <c r="AX260" s="35" t="str">
        <f aca="false">IF($B260="","",AO260+AS260/2)</f>
        <v/>
      </c>
      <c r="AY260" s="35" t="str">
        <f aca="false">IF($B260="","",AQ260)</f>
        <v/>
      </c>
      <c r="AZ260" s="35" t="str">
        <f aca="false">IF($B260="","",AP260+AT260/2)</f>
        <v/>
      </c>
      <c r="BA260" s="35" t="str">
        <f aca="false">IF($B260="","",AK260+AN260+AM260/2+AO260+AP260+AQ260+AR260+AS260+AT260+AU260+AV260+AW260)</f>
        <v/>
      </c>
      <c r="BB260" s="35" t="str">
        <f aca="false">IF($B260="","",MAX(0,AN260-Settings!$C$16)*Settings!$C$17)</f>
        <v/>
      </c>
      <c r="BC260" s="35" t="str">
        <f aca="false">IF($B260="","",BA260-BB260)</f>
        <v/>
      </c>
      <c r="BD260" s="35" t="str">
        <f aca="false">IF(OR($B260="",$A260=""),"",DAY(EOMONTH($A260,0))-COUNTA($F260:$AJ260))</f>
        <v/>
      </c>
    </row>
    <row r="261" customFormat="false" ht="15" hidden="false" customHeight="false" outlineLevel="0" collapsed="false">
      <c r="A261" s="32"/>
      <c r="B261" s="29"/>
      <c r="C261" s="10" t="str">
        <f aca="false">IF($B261="","",IFERROR(INDEX(M_name,MATCH($B261,M_emp,0)),"Code not found"))</f>
        <v/>
      </c>
      <c r="D261" s="10" t="str">
        <f aca="false">IF($B261="","",IFERROR(INDEX(M_dept,MATCH($B261,M_emp,0)),""))</f>
        <v/>
      </c>
      <c r="E261" s="10" t="str">
        <f aca="false">IF($B261="","",IFERROR(INDEX(M_loc,MATCH($B261,M_emp,0)),""))</f>
        <v/>
      </c>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4" t="str">
        <f aca="false">IF($B261="","",COUNTIF($F261:$AJ261,"P"))</f>
        <v/>
      </c>
      <c r="AL261" s="34" t="str">
        <f aca="false">IF($B261="","",COUNTIF($F261:$AJ261,"A"))</f>
        <v/>
      </c>
      <c r="AM261" s="34" t="str">
        <f aca="false">IF($B261="","",COUNTIF($F261:$AJ261,"HA"))</f>
        <v/>
      </c>
      <c r="AN261" s="34" t="str">
        <f aca="false">IF($B261="","",COUNTIF($F261:$AJ261,"L"))</f>
        <v/>
      </c>
      <c r="AO261" s="34" t="str">
        <f aca="false">IF($B261="","",COUNTIF($F261:$AJ261,"PL"))</f>
        <v/>
      </c>
      <c r="AP261" s="34" t="str">
        <f aca="false">IF($B261="","",COUNTIF($F261:$AJ261,"CL"))</f>
        <v/>
      </c>
      <c r="AQ261" s="34" t="str">
        <f aca="false">IF($B261="","",COUNTIF($F261:$AJ261,"SL"))</f>
        <v/>
      </c>
      <c r="AR261" s="34" t="str">
        <f aca="false">IF($B261="","",COUNTIF($F261:$AJ261,"CO"))</f>
        <v/>
      </c>
      <c r="AS261" s="34" t="str">
        <f aca="false">IF($B261="","",COUNTIF($F261:$AJ261,"HPL"))</f>
        <v/>
      </c>
      <c r="AT261" s="34" t="str">
        <f aca="false">IF($B261="","",COUNTIF($F261:$AJ261,"HCL"))</f>
        <v/>
      </c>
      <c r="AU261" s="34" t="str">
        <f aca="false">IF($B261="","",COUNTIF($F261:$AJ261,"WO"))</f>
        <v/>
      </c>
      <c r="AV261" s="34" t="str">
        <f aca="false">IF($B261="","",COUNTIF($F261:$AJ261,"PH"))</f>
        <v/>
      </c>
      <c r="AW261" s="34" t="str">
        <f aca="false">IF($B261="","",COUNTIF($F261:$AJ261,"TR"))</f>
        <v/>
      </c>
      <c r="AX261" s="35" t="str">
        <f aca="false">IF($B261="","",AO261+AS261/2)</f>
        <v/>
      </c>
      <c r="AY261" s="35" t="str">
        <f aca="false">IF($B261="","",AQ261)</f>
        <v/>
      </c>
      <c r="AZ261" s="35" t="str">
        <f aca="false">IF($B261="","",AP261+AT261/2)</f>
        <v/>
      </c>
      <c r="BA261" s="35" t="str">
        <f aca="false">IF($B261="","",AK261+AN261+AM261/2+AO261+AP261+AQ261+AR261+AS261+AT261+AU261+AV261+AW261)</f>
        <v/>
      </c>
      <c r="BB261" s="35" t="str">
        <f aca="false">IF($B261="","",MAX(0,AN261-Settings!$C$16)*Settings!$C$17)</f>
        <v/>
      </c>
      <c r="BC261" s="35" t="str">
        <f aca="false">IF($B261="","",BA261-BB261)</f>
        <v/>
      </c>
      <c r="BD261" s="35" t="str">
        <f aca="false">IF(OR($B261="",$A261=""),"",DAY(EOMONTH($A261,0))-COUNTA($F261:$AJ261))</f>
        <v/>
      </c>
    </row>
    <row r="262" customFormat="false" ht="15" hidden="false" customHeight="false" outlineLevel="0" collapsed="false">
      <c r="A262" s="32"/>
      <c r="B262" s="29"/>
      <c r="C262" s="10" t="str">
        <f aca="false">IF($B262="","",IFERROR(INDEX(M_name,MATCH($B262,M_emp,0)),"Code not found"))</f>
        <v/>
      </c>
      <c r="D262" s="10" t="str">
        <f aca="false">IF($B262="","",IFERROR(INDEX(M_dept,MATCH($B262,M_emp,0)),""))</f>
        <v/>
      </c>
      <c r="E262" s="10" t="str">
        <f aca="false">IF($B262="","",IFERROR(INDEX(M_loc,MATCH($B262,M_emp,0)),""))</f>
        <v/>
      </c>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4" t="str">
        <f aca="false">IF($B262="","",COUNTIF($F262:$AJ262,"P"))</f>
        <v/>
      </c>
      <c r="AL262" s="34" t="str">
        <f aca="false">IF($B262="","",COUNTIF($F262:$AJ262,"A"))</f>
        <v/>
      </c>
      <c r="AM262" s="34" t="str">
        <f aca="false">IF($B262="","",COUNTIF($F262:$AJ262,"HA"))</f>
        <v/>
      </c>
      <c r="AN262" s="34" t="str">
        <f aca="false">IF($B262="","",COUNTIF($F262:$AJ262,"L"))</f>
        <v/>
      </c>
      <c r="AO262" s="34" t="str">
        <f aca="false">IF($B262="","",COUNTIF($F262:$AJ262,"PL"))</f>
        <v/>
      </c>
      <c r="AP262" s="34" t="str">
        <f aca="false">IF($B262="","",COUNTIF($F262:$AJ262,"CL"))</f>
        <v/>
      </c>
      <c r="AQ262" s="34" t="str">
        <f aca="false">IF($B262="","",COUNTIF($F262:$AJ262,"SL"))</f>
        <v/>
      </c>
      <c r="AR262" s="34" t="str">
        <f aca="false">IF($B262="","",COUNTIF($F262:$AJ262,"CO"))</f>
        <v/>
      </c>
      <c r="AS262" s="34" t="str">
        <f aca="false">IF($B262="","",COUNTIF($F262:$AJ262,"HPL"))</f>
        <v/>
      </c>
      <c r="AT262" s="34" t="str">
        <f aca="false">IF($B262="","",COUNTIF($F262:$AJ262,"HCL"))</f>
        <v/>
      </c>
      <c r="AU262" s="34" t="str">
        <f aca="false">IF($B262="","",COUNTIF($F262:$AJ262,"WO"))</f>
        <v/>
      </c>
      <c r="AV262" s="34" t="str">
        <f aca="false">IF($B262="","",COUNTIF($F262:$AJ262,"PH"))</f>
        <v/>
      </c>
      <c r="AW262" s="34" t="str">
        <f aca="false">IF($B262="","",COUNTIF($F262:$AJ262,"TR"))</f>
        <v/>
      </c>
      <c r="AX262" s="35" t="str">
        <f aca="false">IF($B262="","",AO262+AS262/2)</f>
        <v/>
      </c>
      <c r="AY262" s="35" t="str">
        <f aca="false">IF($B262="","",AQ262)</f>
        <v/>
      </c>
      <c r="AZ262" s="35" t="str">
        <f aca="false">IF($B262="","",AP262+AT262/2)</f>
        <v/>
      </c>
      <c r="BA262" s="35" t="str">
        <f aca="false">IF($B262="","",AK262+AN262+AM262/2+AO262+AP262+AQ262+AR262+AS262+AT262+AU262+AV262+AW262)</f>
        <v/>
      </c>
      <c r="BB262" s="35" t="str">
        <f aca="false">IF($B262="","",MAX(0,AN262-Settings!$C$16)*Settings!$C$17)</f>
        <v/>
      </c>
      <c r="BC262" s="35" t="str">
        <f aca="false">IF($B262="","",BA262-BB262)</f>
        <v/>
      </c>
      <c r="BD262" s="35" t="str">
        <f aca="false">IF(OR($B262="",$A262=""),"",DAY(EOMONTH($A262,0))-COUNTA($F262:$AJ262))</f>
        <v/>
      </c>
    </row>
    <row r="263" customFormat="false" ht="15" hidden="false" customHeight="false" outlineLevel="0" collapsed="false">
      <c r="A263" s="32"/>
      <c r="B263" s="29"/>
      <c r="C263" s="10" t="str">
        <f aca="false">IF($B263="","",IFERROR(INDEX(M_name,MATCH($B263,M_emp,0)),"Code not found"))</f>
        <v/>
      </c>
      <c r="D263" s="10" t="str">
        <f aca="false">IF($B263="","",IFERROR(INDEX(M_dept,MATCH($B263,M_emp,0)),""))</f>
        <v/>
      </c>
      <c r="E263" s="10" t="str">
        <f aca="false">IF($B263="","",IFERROR(INDEX(M_loc,MATCH($B263,M_emp,0)),""))</f>
        <v/>
      </c>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4" t="str">
        <f aca="false">IF($B263="","",COUNTIF($F263:$AJ263,"P"))</f>
        <v/>
      </c>
      <c r="AL263" s="34" t="str">
        <f aca="false">IF($B263="","",COUNTIF($F263:$AJ263,"A"))</f>
        <v/>
      </c>
      <c r="AM263" s="34" t="str">
        <f aca="false">IF($B263="","",COUNTIF($F263:$AJ263,"HA"))</f>
        <v/>
      </c>
      <c r="AN263" s="34" t="str">
        <f aca="false">IF($B263="","",COUNTIF($F263:$AJ263,"L"))</f>
        <v/>
      </c>
      <c r="AO263" s="34" t="str">
        <f aca="false">IF($B263="","",COUNTIF($F263:$AJ263,"PL"))</f>
        <v/>
      </c>
      <c r="AP263" s="34" t="str">
        <f aca="false">IF($B263="","",COUNTIF($F263:$AJ263,"CL"))</f>
        <v/>
      </c>
      <c r="AQ263" s="34" t="str">
        <f aca="false">IF($B263="","",COUNTIF($F263:$AJ263,"SL"))</f>
        <v/>
      </c>
      <c r="AR263" s="34" t="str">
        <f aca="false">IF($B263="","",COUNTIF($F263:$AJ263,"CO"))</f>
        <v/>
      </c>
      <c r="AS263" s="34" t="str">
        <f aca="false">IF($B263="","",COUNTIF($F263:$AJ263,"HPL"))</f>
        <v/>
      </c>
      <c r="AT263" s="34" t="str">
        <f aca="false">IF($B263="","",COUNTIF($F263:$AJ263,"HCL"))</f>
        <v/>
      </c>
      <c r="AU263" s="34" t="str">
        <f aca="false">IF($B263="","",COUNTIF($F263:$AJ263,"WO"))</f>
        <v/>
      </c>
      <c r="AV263" s="34" t="str">
        <f aca="false">IF($B263="","",COUNTIF($F263:$AJ263,"PH"))</f>
        <v/>
      </c>
      <c r="AW263" s="34" t="str">
        <f aca="false">IF($B263="","",COUNTIF($F263:$AJ263,"TR"))</f>
        <v/>
      </c>
      <c r="AX263" s="35" t="str">
        <f aca="false">IF($B263="","",AO263+AS263/2)</f>
        <v/>
      </c>
      <c r="AY263" s="35" t="str">
        <f aca="false">IF($B263="","",AQ263)</f>
        <v/>
      </c>
      <c r="AZ263" s="35" t="str">
        <f aca="false">IF($B263="","",AP263+AT263/2)</f>
        <v/>
      </c>
      <c r="BA263" s="35" t="str">
        <f aca="false">IF($B263="","",AK263+AN263+AM263/2+AO263+AP263+AQ263+AR263+AS263+AT263+AU263+AV263+AW263)</f>
        <v/>
      </c>
      <c r="BB263" s="35" t="str">
        <f aca="false">IF($B263="","",MAX(0,AN263-Settings!$C$16)*Settings!$C$17)</f>
        <v/>
      </c>
      <c r="BC263" s="35" t="str">
        <f aca="false">IF($B263="","",BA263-BB263)</f>
        <v/>
      </c>
      <c r="BD263" s="35" t="str">
        <f aca="false">IF(OR($B263="",$A263=""),"",DAY(EOMONTH($A263,0))-COUNTA($F263:$AJ263))</f>
        <v/>
      </c>
    </row>
    <row r="264" customFormat="false" ht="15" hidden="false" customHeight="false" outlineLevel="0" collapsed="false">
      <c r="A264" s="32"/>
      <c r="B264" s="29"/>
      <c r="C264" s="10" t="str">
        <f aca="false">IF($B264="","",IFERROR(INDEX(M_name,MATCH($B264,M_emp,0)),"Code not found"))</f>
        <v/>
      </c>
      <c r="D264" s="10" t="str">
        <f aca="false">IF($B264="","",IFERROR(INDEX(M_dept,MATCH($B264,M_emp,0)),""))</f>
        <v/>
      </c>
      <c r="E264" s="10" t="str">
        <f aca="false">IF($B264="","",IFERROR(INDEX(M_loc,MATCH($B264,M_emp,0)),""))</f>
        <v/>
      </c>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4" t="str">
        <f aca="false">IF($B264="","",COUNTIF($F264:$AJ264,"P"))</f>
        <v/>
      </c>
      <c r="AL264" s="34" t="str">
        <f aca="false">IF($B264="","",COUNTIF($F264:$AJ264,"A"))</f>
        <v/>
      </c>
      <c r="AM264" s="34" t="str">
        <f aca="false">IF($B264="","",COUNTIF($F264:$AJ264,"HA"))</f>
        <v/>
      </c>
      <c r="AN264" s="34" t="str">
        <f aca="false">IF($B264="","",COUNTIF($F264:$AJ264,"L"))</f>
        <v/>
      </c>
      <c r="AO264" s="34" t="str">
        <f aca="false">IF($B264="","",COUNTIF($F264:$AJ264,"PL"))</f>
        <v/>
      </c>
      <c r="AP264" s="34" t="str">
        <f aca="false">IF($B264="","",COUNTIF($F264:$AJ264,"CL"))</f>
        <v/>
      </c>
      <c r="AQ264" s="34" t="str">
        <f aca="false">IF($B264="","",COUNTIF($F264:$AJ264,"SL"))</f>
        <v/>
      </c>
      <c r="AR264" s="34" t="str">
        <f aca="false">IF($B264="","",COUNTIF($F264:$AJ264,"CO"))</f>
        <v/>
      </c>
      <c r="AS264" s="34" t="str">
        <f aca="false">IF($B264="","",COUNTIF($F264:$AJ264,"HPL"))</f>
        <v/>
      </c>
      <c r="AT264" s="34" t="str">
        <f aca="false">IF($B264="","",COUNTIF($F264:$AJ264,"HCL"))</f>
        <v/>
      </c>
      <c r="AU264" s="34" t="str">
        <f aca="false">IF($B264="","",COUNTIF($F264:$AJ264,"WO"))</f>
        <v/>
      </c>
      <c r="AV264" s="34" t="str">
        <f aca="false">IF($B264="","",COUNTIF($F264:$AJ264,"PH"))</f>
        <v/>
      </c>
      <c r="AW264" s="34" t="str">
        <f aca="false">IF($B264="","",COUNTIF($F264:$AJ264,"TR"))</f>
        <v/>
      </c>
      <c r="AX264" s="35" t="str">
        <f aca="false">IF($B264="","",AO264+AS264/2)</f>
        <v/>
      </c>
      <c r="AY264" s="35" t="str">
        <f aca="false">IF($B264="","",AQ264)</f>
        <v/>
      </c>
      <c r="AZ264" s="35" t="str">
        <f aca="false">IF($B264="","",AP264+AT264/2)</f>
        <v/>
      </c>
      <c r="BA264" s="35" t="str">
        <f aca="false">IF($B264="","",AK264+AN264+AM264/2+AO264+AP264+AQ264+AR264+AS264+AT264+AU264+AV264+AW264)</f>
        <v/>
      </c>
      <c r="BB264" s="35" t="str">
        <f aca="false">IF($B264="","",MAX(0,AN264-Settings!$C$16)*Settings!$C$17)</f>
        <v/>
      </c>
      <c r="BC264" s="35" t="str">
        <f aca="false">IF($B264="","",BA264-BB264)</f>
        <v/>
      </c>
      <c r="BD264" s="35" t="str">
        <f aca="false">IF(OR($B264="",$A264=""),"",DAY(EOMONTH($A264,0))-COUNTA($F264:$AJ264))</f>
        <v/>
      </c>
    </row>
    <row r="265" customFormat="false" ht="15" hidden="false" customHeight="false" outlineLevel="0" collapsed="false">
      <c r="A265" s="32"/>
      <c r="B265" s="29"/>
      <c r="C265" s="10" t="str">
        <f aca="false">IF($B265="","",IFERROR(INDEX(M_name,MATCH($B265,M_emp,0)),"Code not found"))</f>
        <v/>
      </c>
      <c r="D265" s="10" t="str">
        <f aca="false">IF($B265="","",IFERROR(INDEX(M_dept,MATCH($B265,M_emp,0)),""))</f>
        <v/>
      </c>
      <c r="E265" s="10" t="str">
        <f aca="false">IF($B265="","",IFERROR(INDEX(M_loc,MATCH($B265,M_emp,0)),""))</f>
        <v/>
      </c>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4" t="str">
        <f aca="false">IF($B265="","",COUNTIF($F265:$AJ265,"P"))</f>
        <v/>
      </c>
      <c r="AL265" s="34" t="str">
        <f aca="false">IF($B265="","",COUNTIF($F265:$AJ265,"A"))</f>
        <v/>
      </c>
      <c r="AM265" s="34" t="str">
        <f aca="false">IF($B265="","",COUNTIF($F265:$AJ265,"HA"))</f>
        <v/>
      </c>
      <c r="AN265" s="34" t="str">
        <f aca="false">IF($B265="","",COUNTIF($F265:$AJ265,"L"))</f>
        <v/>
      </c>
      <c r="AO265" s="34" t="str">
        <f aca="false">IF($B265="","",COUNTIF($F265:$AJ265,"PL"))</f>
        <v/>
      </c>
      <c r="AP265" s="34" t="str">
        <f aca="false">IF($B265="","",COUNTIF($F265:$AJ265,"CL"))</f>
        <v/>
      </c>
      <c r="AQ265" s="34" t="str">
        <f aca="false">IF($B265="","",COUNTIF($F265:$AJ265,"SL"))</f>
        <v/>
      </c>
      <c r="AR265" s="34" t="str">
        <f aca="false">IF($B265="","",COUNTIF($F265:$AJ265,"CO"))</f>
        <v/>
      </c>
      <c r="AS265" s="34" t="str">
        <f aca="false">IF($B265="","",COUNTIF($F265:$AJ265,"HPL"))</f>
        <v/>
      </c>
      <c r="AT265" s="34" t="str">
        <f aca="false">IF($B265="","",COUNTIF($F265:$AJ265,"HCL"))</f>
        <v/>
      </c>
      <c r="AU265" s="34" t="str">
        <f aca="false">IF($B265="","",COUNTIF($F265:$AJ265,"WO"))</f>
        <v/>
      </c>
      <c r="AV265" s="34" t="str">
        <f aca="false">IF($B265="","",COUNTIF($F265:$AJ265,"PH"))</f>
        <v/>
      </c>
      <c r="AW265" s="34" t="str">
        <f aca="false">IF($B265="","",COUNTIF($F265:$AJ265,"TR"))</f>
        <v/>
      </c>
      <c r="AX265" s="35" t="str">
        <f aca="false">IF($B265="","",AO265+AS265/2)</f>
        <v/>
      </c>
      <c r="AY265" s="35" t="str">
        <f aca="false">IF($B265="","",AQ265)</f>
        <v/>
      </c>
      <c r="AZ265" s="35" t="str">
        <f aca="false">IF($B265="","",AP265+AT265/2)</f>
        <v/>
      </c>
      <c r="BA265" s="35" t="str">
        <f aca="false">IF($B265="","",AK265+AN265+AM265/2+AO265+AP265+AQ265+AR265+AS265+AT265+AU265+AV265+AW265)</f>
        <v/>
      </c>
      <c r="BB265" s="35" t="str">
        <f aca="false">IF($B265="","",MAX(0,AN265-Settings!$C$16)*Settings!$C$17)</f>
        <v/>
      </c>
      <c r="BC265" s="35" t="str">
        <f aca="false">IF($B265="","",BA265-BB265)</f>
        <v/>
      </c>
      <c r="BD265" s="35" t="str">
        <f aca="false">IF(OR($B265="",$A265=""),"",DAY(EOMONTH($A265,0))-COUNTA($F265:$AJ265))</f>
        <v/>
      </c>
    </row>
    <row r="266" customFormat="false" ht="15" hidden="false" customHeight="false" outlineLevel="0" collapsed="false">
      <c r="A266" s="32"/>
      <c r="B266" s="29"/>
      <c r="C266" s="10" t="str">
        <f aca="false">IF($B266="","",IFERROR(INDEX(M_name,MATCH($B266,M_emp,0)),"Code not found"))</f>
        <v/>
      </c>
      <c r="D266" s="10" t="str">
        <f aca="false">IF($B266="","",IFERROR(INDEX(M_dept,MATCH($B266,M_emp,0)),""))</f>
        <v/>
      </c>
      <c r="E266" s="10" t="str">
        <f aca="false">IF($B266="","",IFERROR(INDEX(M_loc,MATCH($B266,M_emp,0)),""))</f>
        <v/>
      </c>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4" t="str">
        <f aca="false">IF($B266="","",COUNTIF($F266:$AJ266,"P"))</f>
        <v/>
      </c>
      <c r="AL266" s="34" t="str">
        <f aca="false">IF($B266="","",COUNTIF($F266:$AJ266,"A"))</f>
        <v/>
      </c>
      <c r="AM266" s="34" t="str">
        <f aca="false">IF($B266="","",COUNTIF($F266:$AJ266,"HA"))</f>
        <v/>
      </c>
      <c r="AN266" s="34" t="str">
        <f aca="false">IF($B266="","",COUNTIF($F266:$AJ266,"L"))</f>
        <v/>
      </c>
      <c r="AO266" s="34" t="str">
        <f aca="false">IF($B266="","",COUNTIF($F266:$AJ266,"PL"))</f>
        <v/>
      </c>
      <c r="AP266" s="34" t="str">
        <f aca="false">IF($B266="","",COUNTIF($F266:$AJ266,"CL"))</f>
        <v/>
      </c>
      <c r="AQ266" s="34" t="str">
        <f aca="false">IF($B266="","",COUNTIF($F266:$AJ266,"SL"))</f>
        <v/>
      </c>
      <c r="AR266" s="34" t="str">
        <f aca="false">IF($B266="","",COUNTIF($F266:$AJ266,"CO"))</f>
        <v/>
      </c>
      <c r="AS266" s="34" t="str">
        <f aca="false">IF($B266="","",COUNTIF($F266:$AJ266,"HPL"))</f>
        <v/>
      </c>
      <c r="AT266" s="34" t="str">
        <f aca="false">IF($B266="","",COUNTIF($F266:$AJ266,"HCL"))</f>
        <v/>
      </c>
      <c r="AU266" s="34" t="str">
        <f aca="false">IF($B266="","",COUNTIF($F266:$AJ266,"WO"))</f>
        <v/>
      </c>
      <c r="AV266" s="34" t="str">
        <f aca="false">IF($B266="","",COUNTIF($F266:$AJ266,"PH"))</f>
        <v/>
      </c>
      <c r="AW266" s="34" t="str">
        <f aca="false">IF($B266="","",COUNTIF($F266:$AJ266,"TR"))</f>
        <v/>
      </c>
      <c r="AX266" s="35" t="str">
        <f aca="false">IF($B266="","",AO266+AS266/2)</f>
        <v/>
      </c>
      <c r="AY266" s="35" t="str">
        <f aca="false">IF($B266="","",AQ266)</f>
        <v/>
      </c>
      <c r="AZ266" s="35" t="str">
        <f aca="false">IF($B266="","",AP266+AT266/2)</f>
        <v/>
      </c>
      <c r="BA266" s="35" t="str">
        <f aca="false">IF($B266="","",AK266+AN266+AM266/2+AO266+AP266+AQ266+AR266+AS266+AT266+AU266+AV266+AW266)</f>
        <v/>
      </c>
      <c r="BB266" s="35" t="str">
        <f aca="false">IF($B266="","",MAX(0,AN266-Settings!$C$16)*Settings!$C$17)</f>
        <v/>
      </c>
      <c r="BC266" s="35" t="str">
        <f aca="false">IF($B266="","",BA266-BB266)</f>
        <v/>
      </c>
      <c r="BD266" s="35" t="str">
        <f aca="false">IF(OR($B266="",$A266=""),"",DAY(EOMONTH($A266,0))-COUNTA($F266:$AJ266))</f>
        <v/>
      </c>
    </row>
    <row r="267" customFormat="false" ht="15" hidden="false" customHeight="false" outlineLevel="0" collapsed="false">
      <c r="A267" s="32"/>
      <c r="B267" s="29"/>
      <c r="C267" s="10" t="str">
        <f aca="false">IF($B267="","",IFERROR(INDEX(M_name,MATCH($B267,M_emp,0)),"Code not found"))</f>
        <v/>
      </c>
      <c r="D267" s="10" t="str">
        <f aca="false">IF($B267="","",IFERROR(INDEX(M_dept,MATCH($B267,M_emp,0)),""))</f>
        <v/>
      </c>
      <c r="E267" s="10" t="str">
        <f aca="false">IF($B267="","",IFERROR(INDEX(M_loc,MATCH($B267,M_emp,0)),""))</f>
        <v/>
      </c>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4" t="str">
        <f aca="false">IF($B267="","",COUNTIF($F267:$AJ267,"P"))</f>
        <v/>
      </c>
      <c r="AL267" s="34" t="str">
        <f aca="false">IF($B267="","",COUNTIF($F267:$AJ267,"A"))</f>
        <v/>
      </c>
      <c r="AM267" s="34" t="str">
        <f aca="false">IF($B267="","",COUNTIF($F267:$AJ267,"HA"))</f>
        <v/>
      </c>
      <c r="AN267" s="34" t="str">
        <f aca="false">IF($B267="","",COUNTIF($F267:$AJ267,"L"))</f>
        <v/>
      </c>
      <c r="AO267" s="34" t="str">
        <f aca="false">IF($B267="","",COUNTIF($F267:$AJ267,"PL"))</f>
        <v/>
      </c>
      <c r="AP267" s="34" t="str">
        <f aca="false">IF($B267="","",COUNTIF($F267:$AJ267,"CL"))</f>
        <v/>
      </c>
      <c r="AQ267" s="34" t="str">
        <f aca="false">IF($B267="","",COUNTIF($F267:$AJ267,"SL"))</f>
        <v/>
      </c>
      <c r="AR267" s="34" t="str">
        <f aca="false">IF($B267="","",COUNTIF($F267:$AJ267,"CO"))</f>
        <v/>
      </c>
      <c r="AS267" s="34" t="str">
        <f aca="false">IF($B267="","",COUNTIF($F267:$AJ267,"HPL"))</f>
        <v/>
      </c>
      <c r="AT267" s="34" t="str">
        <f aca="false">IF($B267="","",COUNTIF($F267:$AJ267,"HCL"))</f>
        <v/>
      </c>
      <c r="AU267" s="34" t="str">
        <f aca="false">IF($B267="","",COUNTIF($F267:$AJ267,"WO"))</f>
        <v/>
      </c>
      <c r="AV267" s="34" t="str">
        <f aca="false">IF($B267="","",COUNTIF($F267:$AJ267,"PH"))</f>
        <v/>
      </c>
      <c r="AW267" s="34" t="str">
        <f aca="false">IF($B267="","",COUNTIF($F267:$AJ267,"TR"))</f>
        <v/>
      </c>
      <c r="AX267" s="35" t="str">
        <f aca="false">IF($B267="","",AO267+AS267/2)</f>
        <v/>
      </c>
      <c r="AY267" s="35" t="str">
        <f aca="false">IF($B267="","",AQ267)</f>
        <v/>
      </c>
      <c r="AZ267" s="35" t="str">
        <f aca="false">IF($B267="","",AP267+AT267/2)</f>
        <v/>
      </c>
      <c r="BA267" s="35" t="str">
        <f aca="false">IF($B267="","",AK267+AN267+AM267/2+AO267+AP267+AQ267+AR267+AS267+AT267+AU267+AV267+AW267)</f>
        <v/>
      </c>
      <c r="BB267" s="35" t="str">
        <f aca="false">IF($B267="","",MAX(0,AN267-Settings!$C$16)*Settings!$C$17)</f>
        <v/>
      </c>
      <c r="BC267" s="35" t="str">
        <f aca="false">IF($B267="","",BA267-BB267)</f>
        <v/>
      </c>
      <c r="BD267" s="35" t="str">
        <f aca="false">IF(OR($B267="",$A267=""),"",DAY(EOMONTH($A267,0))-COUNTA($F267:$AJ267))</f>
        <v/>
      </c>
    </row>
    <row r="268" customFormat="false" ht="15" hidden="false" customHeight="false" outlineLevel="0" collapsed="false">
      <c r="A268" s="32"/>
      <c r="B268" s="29"/>
      <c r="C268" s="10" t="str">
        <f aca="false">IF($B268="","",IFERROR(INDEX(M_name,MATCH($B268,M_emp,0)),"Code not found"))</f>
        <v/>
      </c>
      <c r="D268" s="10" t="str">
        <f aca="false">IF($B268="","",IFERROR(INDEX(M_dept,MATCH($B268,M_emp,0)),""))</f>
        <v/>
      </c>
      <c r="E268" s="10" t="str">
        <f aca="false">IF($B268="","",IFERROR(INDEX(M_loc,MATCH($B268,M_emp,0)),""))</f>
        <v/>
      </c>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4" t="str">
        <f aca="false">IF($B268="","",COUNTIF($F268:$AJ268,"P"))</f>
        <v/>
      </c>
      <c r="AL268" s="34" t="str">
        <f aca="false">IF($B268="","",COUNTIF($F268:$AJ268,"A"))</f>
        <v/>
      </c>
      <c r="AM268" s="34" t="str">
        <f aca="false">IF($B268="","",COUNTIF($F268:$AJ268,"HA"))</f>
        <v/>
      </c>
      <c r="AN268" s="34" t="str">
        <f aca="false">IF($B268="","",COUNTIF($F268:$AJ268,"L"))</f>
        <v/>
      </c>
      <c r="AO268" s="34" t="str">
        <f aca="false">IF($B268="","",COUNTIF($F268:$AJ268,"PL"))</f>
        <v/>
      </c>
      <c r="AP268" s="34" t="str">
        <f aca="false">IF($B268="","",COUNTIF($F268:$AJ268,"CL"))</f>
        <v/>
      </c>
      <c r="AQ268" s="34" t="str">
        <f aca="false">IF($B268="","",COUNTIF($F268:$AJ268,"SL"))</f>
        <v/>
      </c>
      <c r="AR268" s="34" t="str">
        <f aca="false">IF($B268="","",COUNTIF($F268:$AJ268,"CO"))</f>
        <v/>
      </c>
      <c r="AS268" s="34" t="str">
        <f aca="false">IF($B268="","",COUNTIF($F268:$AJ268,"HPL"))</f>
        <v/>
      </c>
      <c r="AT268" s="34" t="str">
        <f aca="false">IF($B268="","",COUNTIF($F268:$AJ268,"HCL"))</f>
        <v/>
      </c>
      <c r="AU268" s="34" t="str">
        <f aca="false">IF($B268="","",COUNTIF($F268:$AJ268,"WO"))</f>
        <v/>
      </c>
      <c r="AV268" s="34" t="str">
        <f aca="false">IF($B268="","",COUNTIF($F268:$AJ268,"PH"))</f>
        <v/>
      </c>
      <c r="AW268" s="34" t="str">
        <f aca="false">IF($B268="","",COUNTIF($F268:$AJ268,"TR"))</f>
        <v/>
      </c>
      <c r="AX268" s="35" t="str">
        <f aca="false">IF($B268="","",AO268+AS268/2)</f>
        <v/>
      </c>
      <c r="AY268" s="35" t="str">
        <f aca="false">IF($B268="","",AQ268)</f>
        <v/>
      </c>
      <c r="AZ268" s="35" t="str">
        <f aca="false">IF($B268="","",AP268+AT268/2)</f>
        <v/>
      </c>
      <c r="BA268" s="35" t="str">
        <f aca="false">IF($B268="","",AK268+AN268+AM268/2+AO268+AP268+AQ268+AR268+AS268+AT268+AU268+AV268+AW268)</f>
        <v/>
      </c>
      <c r="BB268" s="35" t="str">
        <f aca="false">IF($B268="","",MAX(0,AN268-Settings!$C$16)*Settings!$C$17)</f>
        <v/>
      </c>
      <c r="BC268" s="35" t="str">
        <f aca="false">IF($B268="","",BA268-BB268)</f>
        <v/>
      </c>
      <c r="BD268" s="35" t="str">
        <f aca="false">IF(OR($B268="",$A268=""),"",DAY(EOMONTH($A268,0))-COUNTA($F268:$AJ268))</f>
        <v/>
      </c>
    </row>
    <row r="269" customFormat="false" ht="15" hidden="false" customHeight="false" outlineLevel="0" collapsed="false">
      <c r="A269" s="32"/>
      <c r="B269" s="29"/>
      <c r="C269" s="10" t="str">
        <f aca="false">IF($B269="","",IFERROR(INDEX(M_name,MATCH($B269,M_emp,0)),"Code not found"))</f>
        <v/>
      </c>
      <c r="D269" s="10" t="str">
        <f aca="false">IF($B269="","",IFERROR(INDEX(M_dept,MATCH($B269,M_emp,0)),""))</f>
        <v/>
      </c>
      <c r="E269" s="10" t="str">
        <f aca="false">IF($B269="","",IFERROR(INDEX(M_loc,MATCH($B269,M_emp,0)),""))</f>
        <v/>
      </c>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4" t="str">
        <f aca="false">IF($B269="","",COUNTIF($F269:$AJ269,"P"))</f>
        <v/>
      </c>
      <c r="AL269" s="34" t="str">
        <f aca="false">IF($B269="","",COUNTIF($F269:$AJ269,"A"))</f>
        <v/>
      </c>
      <c r="AM269" s="34" t="str">
        <f aca="false">IF($B269="","",COUNTIF($F269:$AJ269,"HA"))</f>
        <v/>
      </c>
      <c r="AN269" s="34" t="str">
        <f aca="false">IF($B269="","",COUNTIF($F269:$AJ269,"L"))</f>
        <v/>
      </c>
      <c r="AO269" s="34" t="str">
        <f aca="false">IF($B269="","",COUNTIF($F269:$AJ269,"PL"))</f>
        <v/>
      </c>
      <c r="AP269" s="34" t="str">
        <f aca="false">IF($B269="","",COUNTIF($F269:$AJ269,"CL"))</f>
        <v/>
      </c>
      <c r="AQ269" s="34" t="str">
        <f aca="false">IF($B269="","",COUNTIF($F269:$AJ269,"SL"))</f>
        <v/>
      </c>
      <c r="AR269" s="34" t="str">
        <f aca="false">IF($B269="","",COUNTIF($F269:$AJ269,"CO"))</f>
        <v/>
      </c>
      <c r="AS269" s="34" t="str">
        <f aca="false">IF($B269="","",COUNTIF($F269:$AJ269,"HPL"))</f>
        <v/>
      </c>
      <c r="AT269" s="34" t="str">
        <f aca="false">IF($B269="","",COUNTIF($F269:$AJ269,"HCL"))</f>
        <v/>
      </c>
      <c r="AU269" s="34" t="str">
        <f aca="false">IF($B269="","",COUNTIF($F269:$AJ269,"WO"))</f>
        <v/>
      </c>
      <c r="AV269" s="34" t="str">
        <f aca="false">IF($B269="","",COUNTIF($F269:$AJ269,"PH"))</f>
        <v/>
      </c>
      <c r="AW269" s="34" t="str">
        <f aca="false">IF($B269="","",COUNTIF($F269:$AJ269,"TR"))</f>
        <v/>
      </c>
      <c r="AX269" s="35" t="str">
        <f aca="false">IF($B269="","",AO269+AS269/2)</f>
        <v/>
      </c>
      <c r="AY269" s="35" t="str">
        <f aca="false">IF($B269="","",AQ269)</f>
        <v/>
      </c>
      <c r="AZ269" s="35" t="str">
        <f aca="false">IF($B269="","",AP269+AT269/2)</f>
        <v/>
      </c>
      <c r="BA269" s="35" t="str">
        <f aca="false">IF($B269="","",AK269+AN269+AM269/2+AO269+AP269+AQ269+AR269+AS269+AT269+AU269+AV269+AW269)</f>
        <v/>
      </c>
      <c r="BB269" s="35" t="str">
        <f aca="false">IF($B269="","",MAX(0,AN269-Settings!$C$16)*Settings!$C$17)</f>
        <v/>
      </c>
      <c r="BC269" s="35" t="str">
        <f aca="false">IF($B269="","",BA269-BB269)</f>
        <v/>
      </c>
      <c r="BD269" s="35" t="str">
        <f aca="false">IF(OR($B269="",$A269=""),"",DAY(EOMONTH($A269,0))-COUNTA($F269:$AJ269))</f>
        <v/>
      </c>
    </row>
    <row r="270" customFormat="false" ht="15" hidden="false" customHeight="false" outlineLevel="0" collapsed="false">
      <c r="A270" s="32"/>
      <c r="B270" s="29"/>
      <c r="C270" s="10" t="str">
        <f aca="false">IF($B270="","",IFERROR(INDEX(M_name,MATCH($B270,M_emp,0)),"Code not found"))</f>
        <v/>
      </c>
      <c r="D270" s="10" t="str">
        <f aca="false">IF($B270="","",IFERROR(INDEX(M_dept,MATCH($B270,M_emp,0)),""))</f>
        <v/>
      </c>
      <c r="E270" s="10" t="str">
        <f aca="false">IF($B270="","",IFERROR(INDEX(M_loc,MATCH($B270,M_emp,0)),""))</f>
        <v/>
      </c>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4" t="str">
        <f aca="false">IF($B270="","",COUNTIF($F270:$AJ270,"P"))</f>
        <v/>
      </c>
      <c r="AL270" s="34" t="str">
        <f aca="false">IF($B270="","",COUNTIF($F270:$AJ270,"A"))</f>
        <v/>
      </c>
      <c r="AM270" s="34" t="str">
        <f aca="false">IF($B270="","",COUNTIF($F270:$AJ270,"HA"))</f>
        <v/>
      </c>
      <c r="AN270" s="34" t="str">
        <f aca="false">IF($B270="","",COUNTIF($F270:$AJ270,"L"))</f>
        <v/>
      </c>
      <c r="AO270" s="34" t="str">
        <f aca="false">IF($B270="","",COUNTIF($F270:$AJ270,"PL"))</f>
        <v/>
      </c>
      <c r="AP270" s="34" t="str">
        <f aca="false">IF($B270="","",COUNTIF($F270:$AJ270,"CL"))</f>
        <v/>
      </c>
      <c r="AQ270" s="34" t="str">
        <f aca="false">IF($B270="","",COUNTIF($F270:$AJ270,"SL"))</f>
        <v/>
      </c>
      <c r="AR270" s="34" t="str">
        <f aca="false">IF($B270="","",COUNTIF($F270:$AJ270,"CO"))</f>
        <v/>
      </c>
      <c r="AS270" s="34" t="str">
        <f aca="false">IF($B270="","",COUNTIF($F270:$AJ270,"HPL"))</f>
        <v/>
      </c>
      <c r="AT270" s="34" t="str">
        <f aca="false">IF($B270="","",COUNTIF($F270:$AJ270,"HCL"))</f>
        <v/>
      </c>
      <c r="AU270" s="34" t="str">
        <f aca="false">IF($B270="","",COUNTIF($F270:$AJ270,"WO"))</f>
        <v/>
      </c>
      <c r="AV270" s="34" t="str">
        <f aca="false">IF($B270="","",COUNTIF($F270:$AJ270,"PH"))</f>
        <v/>
      </c>
      <c r="AW270" s="34" t="str">
        <f aca="false">IF($B270="","",COUNTIF($F270:$AJ270,"TR"))</f>
        <v/>
      </c>
      <c r="AX270" s="35" t="str">
        <f aca="false">IF($B270="","",AO270+AS270/2)</f>
        <v/>
      </c>
      <c r="AY270" s="35" t="str">
        <f aca="false">IF($B270="","",AQ270)</f>
        <v/>
      </c>
      <c r="AZ270" s="35" t="str">
        <f aca="false">IF($B270="","",AP270+AT270/2)</f>
        <v/>
      </c>
      <c r="BA270" s="35" t="str">
        <f aca="false">IF($B270="","",AK270+AN270+AM270/2+AO270+AP270+AQ270+AR270+AS270+AT270+AU270+AV270+AW270)</f>
        <v/>
      </c>
      <c r="BB270" s="35" t="str">
        <f aca="false">IF($B270="","",MAX(0,AN270-Settings!$C$16)*Settings!$C$17)</f>
        <v/>
      </c>
      <c r="BC270" s="35" t="str">
        <f aca="false">IF($B270="","",BA270-BB270)</f>
        <v/>
      </c>
      <c r="BD270" s="35" t="str">
        <f aca="false">IF(OR($B270="",$A270=""),"",DAY(EOMONTH($A270,0))-COUNTA($F270:$AJ270))</f>
        <v/>
      </c>
    </row>
    <row r="271" customFormat="false" ht="15" hidden="false" customHeight="false" outlineLevel="0" collapsed="false">
      <c r="A271" s="32"/>
      <c r="B271" s="29"/>
      <c r="C271" s="10" t="str">
        <f aca="false">IF($B271="","",IFERROR(INDEX(M_name,MATCH($B271,M_emp,0)),"Code not found"))</f>
        <v/>
      </c>
      <c r="D271" s="10" t="str">
        <f aca="false">IF($B271="","",IFERROR(INDEX(M_dept,MATCH($B271,M_emp,0)),""))</f>
        <v/>
      </c>
      <c r="E271" s="10" t="str">
        <f aca="false">IF($B271="","",IFERROR(INDEX(M_loc,MATCH($B271,M_emp,0)),""))</f>
        <v/>
      </c>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4" t="str">
        <f aca="false">IF($B271="","",COUNTIF($F271:$AJ271,"P"))</f>
        <v/>
      </c>
      <c r="AL271" s="34" t="str">
        <f aca="false">IF($B271="","",COUNTIF($F271:$AJ271,"A"))</f>
        <v/>
      </c>
      <c r="AM271" s="34" t="str">
        <f aca="false">IF($B271="","",COUNTIF($F271:$AJ271,"HA"))</f>
        <v/>
      </c>
      <c r="AN271" s="34" t="str">
        <f aca="false">IF($B271="","",COUNTIF($F271:$AJ271,"L"))</f>
        <v/>
      </c>
      <c r="AO271" s="34" t="str">
        <f aca="false">IF($B271="","",COUNTIF($F271:$AJ271,"PL"))</f>
        <v/>
      </c>
      <c r="AP271" s="34" t="str">
        <f aca="false">IF($B271="","",COUNTIF($F271:$AJ271,"CL"))</f>
        <v/>
      </c>
      <c r="AQ271" s="34" t="str">
        <f aca="false">IF($B271="","",COUNTIF($F271:$AJ271,"SL"))</f>
        <v/>
      </c>
      <c r="AR271" s="34" t="str">
        <f aca="false">IF($B271="","",COUNTIF($F271:$AJ271,"CO"))</f>
        <v/>
      </c>
      <c r="AS271" s="34" t="str">
        <f aca="false">IF($B271="","",COUNTIF($F271:$AJ271,"HPL"))</f>
        <v/>
      </c>
      <c r="AT271" s="34" t="str">
        <f aca="false">IF($B271="","",COUNTIF($F271:$AJ271,"HCL"))</f>
        <v/>
      </c>
      <c r="AU271" s="34" t="str">
        <f aca="false">IF($B271="","",COUNTIF($F271:$AJ271,"WO"))</f>
        <v/>
      </c>
      <c r="AV271" s="34" t="str">
        <f aca="false">IF($B271="","",COUNTIF($F271:$AJ271,"PH"))</f>
        <v/>
      </c>
      <c r="AW271" s="34" t="str">
        <f aca="false">IF($B271="","",COUNTIF($F271:$AJ271,"TR"))</f>
        <v/>
      </c>
      <c r="AX271" s="35" t="str">
        <f aca="false">IF($B271="","",AO271+AS271/2)</f>
        <v/>
      </c>
      <c r="AY271" s="35" t="str">
        <f aca="false">IF($B271="","",AQ271)</f>
        <v/>
      </c>
      <c r="AZ271" s="35" t="str">
        <f aca="false">IF($B271="","",AP271+AT271/2)</f>
        <v/>
      </c>
      <c r="BA271" s="35" t="str">
        <f aca="false">IF($B271="","",AK271+AN271+AM271/2+AO271+AP271+AQ271+AR271+AS271+AT271+AU271+AV271+AW271)</f>
        <v/>
      </c>
      <c r="BB271" s="35" t="str">
        <f aca="false">IF($B271="","",MAX(0,AN271-Settings!$C$16)*Settings!$C$17)</f>
        <v/>
      </c>
      <c r="BC271" s="35" t="str">
        <f aca="false">IF($B271="","",BA271-BB271)</f>
        <v/>
      </c>
      <c r="BD271" s="35" t="str">
        <f aca="false">IF(OR($B271="",$A271=""),"",DAY(EOMONTH($A271,0))-COUNTA($F271:$AJ271))</f>
        <v/>
      </c>
    </row>
    <row r="272" customFormat="false" ht="15" hidden="false" customHeight="false" outlineLevel="0" collapsed="false">
      <c r="A272" s="32"/>
      <c r="B272" s="29"/>
      <c r="C272" s="10" t="str">
        <f aca="false">IF($B272="","",IFERROR(INDEX(M_name,MATCH($B272,M_emp,0)),"Code not found"))</f>
        <v/>
      </c>
      <c r="D272" s="10" t="str">
        <f aca="false">IF($B272="","",IFERROR(INDEX(M_dept,MATCH($B272,M_emp,0)),""))</f>
        <v/>
      </c>
      <c r="E272" s="10" t="str">
        <f aca="false">IF($B272="","",IFERROR(INDEX(M_loc,MATCH($B272,M_emp,0)),""))</f>
        <v/>
      </c>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4" t="str">
        <f aca="false">IF($B272="","",COUNTIF($F272:$AJ272,"P"))</f>
        <v/>
      </c>
      <c r="AL272" s="34" t="str">
        <f aca="false">IF($B272="","",COUNTIF($F272:$AJ272,"A"))</f>
        <v/>
      </c>
      <c r="AM272" s="34" t="str">
        <f aca="false">IF($B272="","",COUNTIF($F272:$AJ272,"HA"))</f>
        <v/>
      </c>
      <c r="AN272" s="34" t="str">
        <f aca="false">IF($B272="","",COUNTIF($F272:$AJ272,"L"))</f>
        <v/>
      </c>
      <c r="AO272" s="34" t="str">
        <f aca="false">IF($B272="","",COUNTIF($F272:$AJ272,"PL"))</f>
        <v/>
      </c>
      <c r="AP272" s="34" t="str">
        <f aca="false">IF($B272="","",COUNTIF($F272:$AJ272,"CL"))</f>
        <v/>
      </c>
      <c r="AQ272" s="34" t="str">
        <f aca="false">IF($B272="","",COUNTIF($F272:$AJ272,"SL"))</f>
        <v/>
      </c>
      <c r="AR272" s="34" t="str">
        <f aca="false">IF($B272="","",COUNTIF($F272:$AJ272,"CO"))</f>
        <v/>
      </c>
      <c r="AS272" s="34" t="str">
        <f aca="false">IF($B272="","",COUNTIF($F272:$AJ272,"HPL"))</f>
        <v/>
      </c>
      <c r="AT272" s="34" t="str">
        <f aca="false">IF($B272="","",COUNTIF($F272:$AJ272,"HCL"))</f>
        <v/>
      </c>
      <c r="AU272" s="34" t="str">
        <f aca="false">IF($B272="","",COUNTIF($F272:$AJ272,"WO"))</f>
        <v/>
      </c>
      <c r="AV272" s="34" t="str">
        <f aca="false">IF($B272="","",COUNTIF($F272:$AJ272,"PH"))</f>
        <v/>
      </c>
      <c r="AW272" s="34" t="str">
        <f aca="false">IF($B272="","",COUNTIF($F272:$AJ272,"TR"))</f>
        <v/>
      </c>
      <c r="AX272" s="35" t="str">
        <f aca="false">IF($B272="","",AO272+AS272/2)</f>
        <v/>
      </c>
      <c r="AY272" s="35" t="str">
        <f aca="false">IF($B272="","",AQ272)</f>
        <v/>
      </c>
      <c r="AZ272" s="35" t="str">
        <f aca="false">IF($B272="","",AP272+AT272/2)</f>
        <v/>
      </c>
      <c r="BA272" s="35" t="str">
        <f aca="false">IF($B272="","",AK272+AN272+AM272/2+AO272+AP272+AQ272+AR272+AS272+AT272+AU272+AV272+AW272)</f>
        <v/>
      </c>
      <c r="BB272" s="35" t="str">
        <f aca="false">IF($B272="","",MAX(0,AN272-Settings!$C$16)*Settings!$C$17)</f>
        <v/>
      </c>
      <c r="BC272" s="35" t="str">
        <f aca="false">IF($B272="","",BA272-BB272)</f>
        <v/>
      </c>
      <c r="BD272" s="35" t="str">
        <f aca="false">IF(OR($B272="",$A272=""),"",DAY(EOMONTH($A272,0))-COUNTA($F272:$AJ272))</f>
        <v/>
      </c>
    </row>
    <row r="273" customFormat="false" ht="15" hidden="false" customHeight="false" outlineLevel="0" collapsed="false">
      <c r="A273" s="32"/>
      <c r="B273" s="29"/>
      <c r="C273" s="10" t="str">
        <f aca="false">IF($B273="","",IFERROR(INDEX(M_name,MATCH($B273,M_emp,0)),"Code not found"))</f>
        <v/>
      </c>
      <c r="D273" s="10" t="str">
        <f aca="false">IF($B273="","",IFERROR(INDEX(M_dept,MATCH($B273,M_emp,0)),""))</f>
        <v/>
      </c>
      <c r="E273" s="10" t="str">
        <f aca="false">IF($B273="","",IFERROR(INDEX(M_loc,MATCH($B273,M_emp,0)),""))</f>
        <v/>
      </c>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4" t="str">
        <f aca="false">IF($B273="","",COUNTIF($F273:$AJ273,"P"))</f>
        <v/>
      </c>
      <c r="AL273" s="34" t="str">
        <f aca="false">IF($B273="","",COUNTIF($F273:$AJ273,"A"))</f>
        <v/>
      </c>
      <c r="AM273" s="34" t="str">
        <f aca="false">IF($B273="","",COUNTIF($F273:$AJ273,"HA"))</f>
        <v/>
      </c>
      <c r="AN273" s="34" t="str">
        <f aca="false">IF($B273="","",COUNTIF($F273:$AJ273,"L"))</f>
        <v/>
      </c>
      <c r="AO273" s="34" t="str">
        <f aca="false">IF($B273="","",COUNTIF($F273:$AJ273,"PL"))</f>
        <v/>
      </c>
      <c r="AP273" s="34" t="str">
        <f aca="false">IF($B273="","",COUNTIF($F273:$AJ273,"CL"))</f>
        <v/>
      </c>
      <c r="AQ273" s="34" t="str">
        <f aca="false">IF($B273="","",COUNTIF($F273:$AJ273,"SL"))</f>
        <v/>
      </c>
      <c r="AR273" s="34" t="str">
        <f aca="false">IF($B273="","",COUNTIF($F273:$AJ273,"CO"))</f>
        <v/>
      </c>
      <c r="AS273" s="34" t="str">
        <f aca="false">IF($B273="","",COUNTIF($F273:$AJ273,"HPL"))</f>
        <v/>
      </c>
      <c r="AT273" s="34" t="str">
        <f aca="false">IF($B273="","",COUNTIF($F273:$AJ273,"HCL"))</f>
        <v/>
      </c>
      <c r="AU273" s="34" t="str">
        <f aca="false">IF($B273="","",COUNTIF($F273:$AJ273,"WO"))</f>
        <v/>
      </c>
      <c r="AV273" s="34" t="str">
        <f aca="false">IF($B273="","",COUNTIF($F273:$AJ273,"PH"))</f>
        <v/>
      </c>
      <c r="AW273" s="34" t="str">
        <f aca="false">IF($B273="","",COUNTIF($F273:$AJ273,"TR"))</f>
        <v/>
      </c>
      <c r="AX273" s="35" t="str">
        <f aca="false">IF($B273="","",AO273+AS273/2)</f>
        <v/>
      </c>
      <c r="AY273" s="35" t="str">
        <f aca="false">IF($B273="","",AQ273)</f>
        <v/>
      </c>
      <c r="AZ273" s="35" t="str">
        <f aca="false">IF($B273="","",AP273+AT273/2)</f>
        <v/>
      </c>
      <c r="BA273" s="35" t="str">
        <f aca="false">IF($B273="","",AK273+AN273+AM273/2+AO273+AP273+AQ273+AR273+AS273+AT273+AU273+AV273+AW273)</f>
        <v/>
      </c>
      <c r="BB273" s="35" t="str">
        <f aca="false">IF($B273="","",MAX(0,AN273-Settings!$C$16)*Settings!$C$17)</f>
        <v/>
      </c>
      <c r="BC273" s="35" t="str">
        <f aca="false">IF($B273="","",BA273-BB273)</f>
        <v/>
      </c>
      <c r="BD273" s="35" t="str">
        <f aca="false">IF(OR($B273="",$A273=""),"",DAY(EOMONTH($A273,0))-COUNTA($F273:$AJ273))</f>
        <v/>
      </c>
    </row>
    <row r="274" customFormat="false" ht="15" hidden="false" customHeight="false" outlineLevel="0" collapsed="false">
      <c r="A274" s="32"/>
      <c r="B274" s="29"/>
      <c r="C274" s="10" t="str">
        <f aca="false">IF($B274="","",IFERROR(INDEX(M_name,MATCH($B274,M_emp,0)),"Code not found"))</f>
        <v/>
      </c>
      <c r="D274" s="10" t="str">
        <f aca="false">IF($B274="","",IFERROR(INDEX(M_dept,MATCH($B274,M_emp,0)),""))</f>
        <v/>
      </c>
      <c r="E274" s="10" t="str">
        <f aca="false">IF($B274="","",IFERROR(INDEX(M_loc,MATCH($B274,M_emp,0)),""))</f>
        <v/>
      </c>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4" t="str">
        <f aca="false">IF($B274="","",COUNTIF($F274:$AJ274,"P"))</f>
        <v/>
      </c>
      <c r="AL274" s="34" t="str">
        <f aca="false">IF($B274="","",COUNTIF($F274:$AJ274,"A"))</f>
        <v/>
      </c>
      <c r="AM274" s="34" t="str">
        <f aca="false">IF($B274="","",COUNTIF($F274:$AJ274,"HA"))</f>
        <v/>
      </c>
      <c r="AN274" s="34" t="str">
        <f aca="false">IF($B274="","",COUNTIF($F274:$AJ274,"L"))</f>
        <v/>
      </c>
      <c r="AO274" s="34" t="str">
        <f aca="false">IF($B274="","",COUNTIF($F274:$AJ274,"PL"))</f>
        <v/>
      </c>
      <c r="AP274" s="34" t="str">
        <f aca="false">IF($B274="","",COUNTIF($F274:$AJ274,"CL"))</f>
        <v/>
      </c>
      <c r="AQ274" s="34" t="str">
        <f aca="false">IF($B274="","",COUNTIF($F274:$AJ274,"SL"))</f>
        <v/>
      </c>
      <c r="AR274" s="34" t="str">
        <f aca="false">IF($B274="","",COUNTIF($F274:$AJ274,"CO"))</f>
        <v/>
      </c>
      <c r="AS274" s="34" t="str">
        <f aca="false">IF($B274="","",COUNTIF($F274:$AJ274,"HPL"))</f>
        <v/>
      </c>
      <c r="AT274" s="34" t="str">
        <f aca="false">IF($B274="","",COUNTIF($F274:$AJ274,"HCL"))</f>
        <v/>
      </c>
      <c r="AU274" s="34" t="str">
        <f aca="false">IF($B274="","",COUNTIF($F274:$AJ274,"WO"))</f>
        <v/>
      </c>
      <c r="AV274" s="34" t="str">
        <f aca="false">IF($B274="","",COUNTIF($F274:$AJ274,"PH"))</f>
        <v/>
      </c>
      <c r="AW274" s="34" t="str">
        <f aca="false">IF($B274="","",COUNTIF($F274:$AJ274,"TR"))</f>
        <v/>
      </c>
      <c r="AX274" s="35" t="str">
        <f aca="false">IF($B274="","",AO274+AS274/2)</f>
        <v/>
      </c>
      <c r="AY274" s="35" t="str">
        <f aca="false">IF($B274="","",AQ274)</f>
        <v/>
      </c>
      <c r="AZ274" s="35" t="str">
        <f aca="false">IF($B274="","",AP274+AT274/2)</f>
        <v/>
      </c>
      <c r="BA274" s="35" t="str">
        <f aca="false">IF($B274="","",AK274+AN274+AM274/2+AO274+AP274+AQ274+AR274+AS274+AT274+AU274+AV274+AW274)</f>
        <v/>
      </c>
      <c r="BB274" s="35" t="str">
        <f aca="false">IF($B274="","",MAX(0,AN274-Settings!$C$16)*Settings!$C$17)</f>
        <v/>
      </c>
      <c r="BC274" s="35" t="str">
        <f aca="false">IF($B274="","",BA274-BB274)</f>
        <v/>
      </c>
      <c r="BD274" s="35" t="str">
        <f aca="false">IF(OR($B274="",$A274=""),"",DAY(EOMONTH($A274,0))-COUNTA($F274:$AJ274))</f>
        <v/>
      </c>
    </row>
    <row r="275" customFormat="false" ht="15" hidden="false" customHeight="false" outlineLevel="0" collapsed="false">
      <c r="A275" s="32"/>
      <c r="B275" s="29"/>
      <c r="C275" s="10" t="str">
        <f aca="false">IF($B275="","",IFERROR(INDEX(M_name,MATCH($B275,M_emp,0)),"Code not found"))</f>
        <v/>
      </c>
      <c r="D275" s="10" t="str">
        <f aca="false">IF($B275="","",IFERROR(INDEX(M_dept,MATCH($B275,M_emp,0)),""))</f>
        <v/>
      </c>
      <c r="E275" s="10" t="str">
        <f aca="false">IF($B275="","",IFERROR(INDEX(M_loc,MATCH($B275,M_emp,0)),""))</f>
        <v/>
      </c>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4" t="str">
        <f aca="false">IF($B275="","",COUNTIF($F275:$AJ275,"P"))</f>
        <v/>
      </c>
      <c r="AL275" s="34" t="str">
        <f aca="false">IF($B275="","",COUNTIF($F275:$AJ275,"A"))</f>
        <v/>
      </c>
      <c r="AM275" s="34" t="str">
        <f aca="false">IF($B275="","",COUNTIF($F275:$AJ275,"HA"))</f>
        <v/>
      </c>
      <c r="AN275" s="34" t="str">
        <f aca="false">IF($B275="","",COUNTIF($F275:$AJ275,"L"))</f>
        <v/>
      </c>
      <c r="AO275" s="34" t="str">
        <f aca="false">IF($B275="","",COUNTIF($F275:$AJ275,"PL"))</f>
        <v/>
      </c>
      <c r="AP275" s="34" t="str">
        <f aca="false">IF($B275="","",COUNTIF($F275:$AJ275,"CL"))</f>
        <v/>
      </c>
      <c r="AQ275" s="34" t="str">
        <f aca="false">IF($B275="","",COUNTIF($F275:$AJ275,"SL"))</f>
        <v/>
      </c>
      <c r="AR275" s="34" t="str">
        <f aca="false">IF($B275="","",COUNTIF($F275:$AJ275,"CO"))</f>
        <v/>
      </c>
      <c r="AS275" s="34" t="str">
        <f aca="false">IF($B275="","",COUNTIF($F275:$AJ275,"HPL"))</f>
        <v/>
      </c>
      <c r="AT275" s="34" t="str">
        <f aca="false">IF($B275="","",COUNTIF($F275:$AJ275,"HCL"))</f>
        <v/>
      </c>
      <c r="AU275" s="34" t="str">
        <f aca="false">IF($B275="","",COUNTIF($F275:$AJ275,"WO"))</f>
        <v/>
      </c>
      <c r="AV275" s="34" t="str">
        <f aca="false">IF($B275="","",COUNTIF($F275:$AJ275,"PH"))</f>
        <v/>
      </c>
      <c r="AW275" s="34" t="str">
        <f aca="false">IF($B275="","",COUNTIF($F275:$AJ275,"TR"))</f>
        <v/>
      </c>
      <c r="AX275" s="35" t="str">
        <f aca="false">IF($B275="","",AO275+AS275/2)</f>
        <v/>
      </c>
      <c r="AY275" s="35" t="str">
        <f aca="false">IF($B275="","",AQ275)</f>
        <v/>
      </c>
      <c r="AZ275" s="35" t="str">
        <f aca="false">IF($B275="","",AP275+AT275/2)</f>
        <v/>
      </c>
      <c r="BA275" s="35" t="str">
        <f aca="false">IF($B275="","",AK275+AN275+AM275/2+AO275+AP275+AQ275+AR275+AS275+AT275+AU275+AV275+AW275)</f>
        <v/>
      </c>
      <c r="BB275" s="35" t="str">
        <f aca="false">IF($B275="","",MAX(0,AN275-Settings!$C$16)*Settings!$C$17)</f>
        <v/>
      </c>
      <c r="BC275" s="35" t="str">
        <f aca="false">IF($B275="","",BA275-BB275)</f>
        <v/>
      </c>
      <c r="BD275" s="35" t="str">
        <f aca="false">IF(OR($B275="",$A275=""),"",DAY(EOMONTH($A275,0))-COUNTA($F275:$AJ275))</f>
        <v/>
      </c>
    </row>
    <row r="276" customFormat="false" ht="15" hidden="false" customHeight="false" outlineLevel="0" collapsed="false">
      <c r="A276" s="32"/>
      <c r="B276" s="29"/>
      <c r="C276" s="10" t="str">
        <f aca="false">IF($B276="","",IFERROR(INDEX(M_name,MATCH($B276,M_emp,0)),"Code not found"))</f>
        <v/>
      </c>
      <c r="D276" s="10" t="str">
        <f aca="false">IF($B276="","",IFERROR(INDEX(M_dept,MATCH($B276,M_emp,0)),""))</f>
        <v/>
      </c>
      <c r="E276" s="10" t="str">
        <f aca="false">IF($B276="","",IFERROR(INDEX(M_loc,MATCH($B276,M_emp,0)),""))</f>
        <v/>
      </c>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4" t="str">
        <f aca="false">IF($B276="","",COUNTIF($F276:$AJ276,"P"))</f>
        <v/>
      </c>
      <c r="AL276" s="34" t="str">
        <f aca="false">IF($B276="","",COUNTIF($F276:$AJ276,"A"))</f>
        <v/>
      </c>
      <c r="AM276" s="34" t="str">
        <f aca="false">IF($B276="","",COUNTIF($F276:$AJ276,"HA"))</f>
        <v/>
      </c>
      <c r="AN276" s="34" t="str">
        <f aca="false">IF($B276="","",COUNTIF($F276:$AJ276,"L"))</f>
        <v/>
      </c>
      <c r="AO276" s="34" t="str">
        <f aca="false">IF($B276="","",COUNTIF($F276:$AJ276,"PL"))</f>
        <v/>
      </c>
      <c r="AP276" s="34" t="str">
        <f aca="false">IF($B276="","",COUNTIF($F276:$AJ276,"CL"))</f>
        <v/>
      </c>
      <c r="AQ276" s="34" t="str">
        <f aca="false">IF($B276="","",COUNTIF($F276:$AJ276,"SL"))</f>
        <v/>
      </c>
      <c r="AR276" s="34" t="str">
        <f aca="false">IF($B276="","",COUNTIF($F276:$AJ276,"CO"))</f>
        <v/>
      </c>
      <c r="AS276" s="34" t="str">
        <f aca="false">IF($B276="","",COUNTIF($F276:$AJ276,"HPL"))</f>
        <v/>
      </c>
      <c r="AT276" s="34" t="str">
        <f aca="false">IF($B276="","",COUNTIF($F276:$AJ276,"HCL"))</f>
        <v/>
      </c>
      <c r="AU276" s="34" t="str">
        <f aca="false">IF($B276="","",COUNTIF($F276:$AJ276,"WO"))</f>
        <v/>
      </c>
      <c r="AV276" s="34" t="str">
        <f aca="false">IF($B276="","",COUNTIF($F276:$AJ276,"PH"))</f>
        <v/>
      </c>
      <c r="AW276" s="34" t="str">
        <f aca="false">IF($B276="","",COUNTIF($F276:$AJ276,"TR"))</f>
        <v/>
      </c>
      <c r="AX276" s="35" t="str">
        <f aca="false">IF($B276="","",AO276+AS276/2)</f>
        <v/>
      </c>
      <c r="AY276" s="35" t="str">
        <f aca="false">IF($B276="","",AQ276)</f>
        <v/>
      </c>
      <c r="AZ276" s="35" t="str">
        <f aca="false">IF($B276="","",AP276+AT276/2)</f>
        <v/>
      </c>
      <c r="BA276" s="35" t="str">
        <f aca="false">IF($B276="","",AK276+AN276+AM276/2+AO276+AP276+AQ276+AR276+AS276+AT276+AU276+AV276+AW276)</f>
        <v/>
      </c>
      <c r="BB276" s="35" t="str">
        <f aca="false">IF($B276="","",MAX(0,AN276-Settings!$C$16)*Settings!$C$17)</f>
        <v/>
      </c>
      <c r="BC276" s="35" t="str">
        <f aca="false">IF($B276="","",BA276-BB276)</f>
        <v/>
      </c>
      <c r="BD276" s="35" t="str">
        <f aca="false">IF(OR($B276="",$A276=""),"",DAY(EOMONTH($A276,0))-COUNTA($F276:$AJ276))</f>
        <v/>
      </c>
    </row>
    <row r="277" customFormat="false" ht="15" hidden="false" customHeight="false" outlineLevel="0" collapsed="false">
      <c r="A277" s="32"/>
      <c r="B277" s="29"/>
      <c r="C277" s="10" t="str">
        <f aca="false">IF($B277="","",IFERROR(INDEX(M_name,MATCH($B277,M_emp,0)),"Code not found"))</f>
        <v/>
      </c>
      <c r="D277" s="10" t="str">
        <f aca="false">IF($B277="","",IFERROR(INDEX(M_dept,MATCH($B277,M_emp,0)),""))</f>
        <v/>
      </c>
      <c r="E277" s="10" t="str">
        <f aca="false">IF($B277="","",IFERROR(INDEX(M_loc,MATCH($B277,M_emp,0)),""))</f>
        <v/>
      </c>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4" t="str">
        <f aca="false">IF($B277="","",COUNTIF($F277:$AJ277,"P"))</f>
        <v/>
      </c>
      <c r="AL277" s="34" t="str">
        <f aca="false">IF($B277="","",COUNTIF($F277:$AJ277,"A"))</f>
        <v/>
      </c>
      <c r="AM277" s="34" t="str">
        <f aca="false">IF($B277="","",COUNTIF($F277:$AJ277,"HA"))</f>
        <v/>
      </c>
      <c r="AN277" s="34" t="str">
        <f aca="false">IF($B277="","",COUNTIF($F277:$AJ277,"L"))</f>
        <v/>
      </c>
      <c r="AO277" s="34" t="str">
        <f aca="false">IF($B277="","",COUNTIF($F277:$AJ277,"PL"))</f>
        <v/>
      </c>
      <c r="AP277" s="34" t="str">
        <f aca="false">IF($B277="","",COUNTIF($F277:$AJ277,"CL"))</f>
        <v/>
      </c>
      <c r="AQ277" s="34" t="str">
        <f aca="false">IF($B277="","",COUNTIF($F277:$AJ277,"SL"))</f>
        <v/>
      </c>
      <c r="AR277" s="34" t="str">
        <f aca="false">IF($B277="","",COUNTIF($F277:$AJ277,"CO"))</f>
        <v/>
      </c>
      <c r="AS277" s="34" t="str">
        <f aca="false">IF($B277="","",COUNTIF($F277:$AJ277,"HPL"))</f>
        <v/>
      </c>
      <c r="AT277" s="34" t="str">
        <f aca="false">IF($B277="","",COUNTIF($F277:$AJ277,"HCL"))</f>
        <v/>
      </c>
      <c r="AU277" s="34" t="str">
        <f aca="false">IF($B277="","",COUNTIF($F277:$AJ277,"WO"))</f>
        <v/>
      </c>
      <c r="AV277" s="34" t="str">
        <f aca="false">IF($B277="","",COUNTIF($F277:$AJ277,"PH"))</f>
        <v/>
      </c>
      <c r="AW277" s="34" t="str">
        <f aca="false">IF($B277="","",COUNTIF($F277:$AJ277,"TR"))</f>
        <v/>
      </c>
      <c r="AX277" s="35" t="str">
        <f aca="false">IF($B277="","",AO277+AS277/2)</f>
        <v/>
      </c>
      <c r="AY277" s="35" t="str">
        <f aca="false">IF($B277="","",AQ277)</f>
        <v/>
      </c>
      <c r="AZ277" s="35" t="str">
        <f aca="false">IF($B277="","",AP277+AT277/2)</f>
        <v/>
      </c>
      <c r="BA277" s="35" t="str">
        <f aca="false">IF($B277="","",AK277+AN277+AM277/2+AO277+AP277+AQ277+AR277+AS277+AT277+AU277+AV277+AW277)</f>
        <v/>
      </c>
      <c r="BB277" s="35" t="str">
        <f aca="false">IF($B277="","",MAX(0,AN277-Settings!$C$16)*Settings!$C$17)</f>
        <v/>
      </c>
      <c r="BC277" s="35" t="str">
        <f aca="false">IF($B277="","",BA277-BB277)</f>
        <v/>
      </c>
      <c r="BD277" s="35" t="str">
        <f aca="false">IF(OR($B277="",$A277=""),"",DAY(EOMONTH($A277,0))-COUNTA($F277:$AJ277))</f>
        <v/>
      </c>
    </row>
    <row r="278" customFormat="false" ht="15" hidden="false" customHeight="false" outlineLevel="0" collapsed="false">
      <c r="A278" s="32"/>
      <c r="B278" s="29"/>
      <c r="C278" s="10" t="str">
        <f aca="false">IF($B278="","",IFERROR(INDEX(M_name,MATCH($B278,M_emp,0)),"Code not found"))</f>
        <v/>
      </c>
      <c r="D278" s="10" t="str">
        <f aca="false">IF($B278="","",IFERROR(INDEX(M_dept,MATCH($B278,M_emp,0)),""))</f>
        <v/>
      </c>
      <c r="E278" s="10" t="str">
        <f aca="false">IF($B278="","",IFERROR(INDEX(M_loc,MATCH($B278,M_emp,0)),""))</f>
        <v/>
      </c>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4" t="str">
        <f aca="false">IF($B278="","",COUNTIF($F278:$AJ278,"P"))</f>
        <v/>
      </c>
      <c r="AL278" s="34" t="str">
        <f aca="false">IF($B278="","",COUNTIF($F278:$AJ278,"A"))</f>
        <v/>
      </c>
      <c r="AM278" s="34" t="str">
        <f aca="false">IF($B278="","",COUNTIF($F278:$AJ278,"HA"))</f>
        <v/>
      </c>
      <c r="AN278" s="34" t="str">
        <f aca="false">IF($B278="","",COUNTIF($F278:$AJ278,"L"))</f>
        <v/>
      </c>
      <c r="AO278" s="34" t="str">
        <f aca="false">IF($B278="","",COUNTIF($F278:$AJ278,"PL"))</f>
        <v/>
      </c>
      <c r="AP278" s="34" t="str">
        <f aca="false">IF($B278="","",COUNTIF($F278:$AJ278,"CL"))</f>
        <v/>
      </c>
      <c r="AQ278" s="34" t="str">
        <f aca="false">IF($B278="","",COUNTIF($F278:$AJ278,"SL"))</f>
        <v/>
      </c>
      <c r="AR278" s="34" t="str">
        <f aca="false">IF($B278="","",COUNTIF($F278:$AJ278,"CO"))</f>
        <v/>
      </c>
      <c r="AS278" s="34" t="str">
        <f aca="false">IF($B278="","",COUNTIF($F278:$AJ278,"HPL"))</f>
        <v/>
      </c>
      <c r="AT278" s="34" t="str">
        <f aca="false">IF($B278="","",COUNTIF($F278:$AJ278,"HCL"))</f>
        <v/>
      </c>
      <c r="AU278" s="34" t="str">
        <f aca="false">IF($B278="","",COUNTIF($F278:$AJ278,"WO"))</f>
        <v/>
      </c>
      <c r="AV278" s="34" t="str">
        <f aca="false">IF($B278="","",COUNTIF($F278:$AJ278,"PH"))</f>
        <v/>
      </c>
      <c r="AW278" s="34" t="str">
        <f aca="false">IF($B278="","",COUNTIF($F278:$AJ278,"TR"))</f>
        <v/>
      </c>
      <c r="AX278" s="35" t="str">
        <f aca="false">IF($B278="","",AO278+AS278/2)</f>
        <v/>
      </c>
      <c r="AY278" s="35" t="str">
        <f aca="false">IF($B278="","",AQ278)</f>
        <v/>
      </c>
      <c r="AZ278" s="35" t="str">
        <f aca="false">IF($B278="","",AP278+AT278/2)</f>
        <v/>
      </c>
      <c r="BA278" s="35" t="str">
        <f aca="false">IF($B278="","",AK278+AN278+AM278/2+AO278+AP278+AQ278+AR278+AS278+AT278+AU278+AV278+AW278)</f>
        <v/>
      </c>
      <c r="BB278" s="35" t="str">
        <f aca="false">IF($B278="","",MAX(0,AN278-Settings!$C$16)*Settings!$C$17)</f>
        <v/>
      </c>
      <c r="BC278" s="35" t="str">
        <f aca="false">IF($B278="","",BA278-BB278)</f>
        <v/>
      </c>
      <c r="BD278" s="35" t="str">
        <f aca="false">IF(OR($B278="",$A278=""),"",DAY(EOMONTH($A278,0))-COUNTA($F278:$AJ278))</f>
        <v/>
      </c>
    </row>
    <row r="279" customFormat="false" ht="15" hidden="false" customHeight="false" outlineLevel="0" collapsed="false">
      <c r="A279" s="32"/>
      <c r="B279" s="29"/>
      <c r="C279" s="10" t="str">
        <f aca="false">IF($B279="","",IFERROR(INDEX(M_name,MATCH($B279,M_emp,0)),"Code not found"))</f>
        <v/>
      </c>
      <c r="D279" s="10" t="str">
        <f aca="false">IF($B279="","",IFERROR(INDEX(M_dept,MATCH($B279,M_emp,0)),""))</f>
        <v/>
      </c>
      <c r="E279" s="10" t="str">
        <f aca="false">IF($B279="","",IFERROR(INDEX(M_loc,MATCH($B279,M_emp,0)),""))</f>
        <v/>
      </c>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4" t="str">
        <f aca="false">IF($B279="","",COUNTIF($F279:$AJ279,"P"))</f>
        <v/>
      </c>
      <c r="AL279" s="34" t="str">
        <f aca="false">IF($B279="","",COUNTIF($F279:$AJ279,"A"))</f>
        <v/>
      </c>
      <c r="AM279" s="34" t="str">
        <f aca="false">IF($B279="","",COUNTIF($F279:$AJ279,"HA"))</f>
        <v/>
      </c>
      <c r="AN279" s="34" t="str">
        <f aca="false">IF($B279="","",COUNTIF($F279:$AJ279,"L"))</f>
        <v/>
      </c>
      <c r="AO279" s="34" t="str">
        <f aca="false">IF($B279="","",COUNTIF($F279:$AJ279,"PL"))</f>
        <v/>
      </c>
      <c r="AP279" s="34" t="str">
        <f aca="false">IF($B279="","",COUNTIF($F279:$AJ279,"CL"))</f>
        <v/>
      </c>
      <c r="AQ279" s="34" t="str">
        <f aca="false">IF($B279="","",COUNTIF($F279:$AJ279,"SL"))</f>
        <v/>
      </c>
      <c r="AR279" s="34" t="str">
        <f aca="false">IF($B279="","",COUNTIF($F279:$AJ279,"CO"))</f>
        <v/>
      </c>
      <c r="AS279" s="34" t="str">
        <f aca="false">IF($B279="","",COUNTIF($F279:$AJ279,"HPL"))</f>
        <v/>
      </c>
      <c r="AT279" s="34" t="str">
        <f aca="false">IF($B279="","",COUNTIF($F279:$AJ279,"HCL"))</f>
        <v/>
      </c>
      <c r="AU279" s="34" t="str">
        <f aca="false">IF($B279="","",COUNTIF($F279:$AJ279,"WO"))</f>
        <v/>
      </c>
      <c r="AV279" s="34" t="str">
        <f aca="false">IF($B279="","",COUNTIF($F279:$AJ279,"PH"))</f>
        <v/>
      </c>
      <c r="AW279" s="34" t="str">
        <f aca="false">IF($B279="","",COUNTIF($F279:$AJ279,"TR"))</f>
        <v/>
      </c>
      <c r="AX279" s="35" t="str">
        <f aca="false">IF($B279="","",AO279+AS279/2)</f>
        <v/>
      </c>
      <c r="AY279" s="35" t="str">
        <f aca="false">IF($B279="","",AQ279)</f>
        <v/>
      </c>
      <c r="AZ279" s="35" t="str">
        <f aca="false">IF($B279="","",AP279+AT279/2)</f>
        <v/>
      </c>
      <c r="BA279" s="35" t="str">
        <f aca="false">IF($B279="","",AK279+AN279+AM279/2+AO279+AP279+AQ279+AR279+AS279+AT279+AU279+AV279+AW279)</f>
        <v/>
      </c>
      <c r="BB279" s="35" t="str">
        <f aca="false">IF($B279="","",MAX(0,AN279-Settings!$C$16)*Settings!$C$17)</f>
        <v/>
      </c>
      <c r="BC279" s="35" t="str">
        <f aca="false">IF($B279="","",BA279-BB279)</f>
        <v/>
      </c>
      <c r="BD279" s="35" t="str">
        <f aca="false">IF(OR($B279="",$A279=""),"",DAY(EOMONTH($A279,0))-COUNTA($F279:$AJ279))</f>
        <v/>
      </c>
    </row>
    <row r="280" customFormat="false" ht="15" hidden="false" customHeight="false" outlineLevel="0" collapsed="false">
      <c r="A280" s="32"/>
      <c r="B280" s="29"/>
      <c r="C280" s="10" t="str">
        <f aca="false">IF($B280="","",IFERROR(INDEX(M_name,MATCH($B280,M_emp,0)),"Code not found"))</f>
        <v/>
      </c>
      <c r="D280" s="10" t="str">
        <f aca="false">IF($B280="","",IFERROR(INDEX(M_dept,MATCH($B280,M_emp,0)),""))</f>
        <v/>
      </c>
      <c r="E280" s="10" t="str">
        <f aca="false">IF($B280="","",IFERROR(INDEX(M_loc,MATCH($B280,M_emp,0)),""))</f>
        <v/>
      </c>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4" t="str">
        <f aca="false">IF($B280="","",COUNTIF($F280:$AJ280,"P"))</f>
        <v/>
      </c>
      <c r="AL280" s="34" t="str">
        <f aca="false">IF($B280="","",COUNTIF($F280:$AJ280,"A"))</f>
        <v/>
      </c>
      <c r="AM280" s="34" t="str">
        <f aca="false">IF($B280="","",COUNTIF($F280:$AJ280,"HA"))</f>
        <v/>
      </c>
      <c r="AN280" s="34" t="str">
        <f aca="false">IF($B280="","",COUNTIF($F280:$AJ280,"L"))</f>
        <v/>
      </c>
      <c r="AO280" s="34" t="str">
        <f aca="false">IF($B280="","",COUNTIF($F280:$AJ280,"PL"))</f>
        <v/>
      </c>
      <c r="AP280" s="34" t="str">
        <f aca="false">IF($B280="","",COUNTIF($F280:$AJ280,"CL"))</f>
        <v/>
      </c>
      <c r="AQ280" s="34" t="str">
        <f aca="false">IF($B280="","",COUNTIF($F280:$AJ280,"SL"))</f>
        <v/>
      </c>
      <c r="AR280" s="34" t="str">
        <f aca="false">IF($B280="","",COUNTIF($F280:$AJ280,"CO"))</f>
        <v/>
      </c>
      <c r="AS280" s="34" t="str">
        <f aca="false">IF($B280="","",COUNTIF($F280:$AJ280,"HPL"))</f>
        <v/>
      </c>
      <c r="AT280" s="34" t="str">
        <f aca="false">IF($B280="","",COUNTIF($F280:$AJ280,"HCL"))</f>
        <v/>
      </c>
      <c r="AU280" s="34" t="str">
        <f aca="false">IF($B280="","",COUNTIF($F280:$AJ280,"WO"))</f>
        <v/>
      </c>
      <c r="AV280" s="34" t="str">
        <f aca="false">IF($B280="","",COUNTIF($F280:$AJ280,"PH"))</f>
        <v/>
      </c>
      <c r="AW280" s="34" t="str">
        <f aca="false">IF($B280="","",COUNTIF($F280:$AJ280,"TR"))</f>
        <v/>
      </c>
      <c r="AX280" s="35" t="str">
        <f aca="false">IF($B280="","",AO280+AS280/2)</f>
        <v/>
      </c>
      <c r="AY280" s="35" t="str">
        <f aca="false">IF($B280="","",AQ280)</f>
        <v/>
      </c>
      <c r="AZ280" s="35" t="str">
        <f aca="false">IF($B280="","",AP280+AT280/2)</f>
        <v/>
      </c>
      <c r="BA280" s="35" t="str">
        <f aca="false">IF($B280="","",AK280+AN280+AM280/2+AO280+AP280+AQ280+AR280+AS280+AT280+AU280+AV280+AW280)</f>
        <v/>
      </c>
      <c r="BB280" s="35" t="str">
        <f aca="false">IF($B280="","",MAX(0,AN280-Settings!$C$16)*Settings!$C$17)</f>
        <v/>
      </c>
      <c r="BC280" s="35" t="str">
        <f aca="false">IF($B280="","",BA280-BB280)</f>
        <v/>
      </c>
      <c r="BD280" s="35" t="str">
        <f aca="false">IF(OR($B280="",$A280=""),"",DAY(EOMONTH($A280,0))-COUNTA($F280:$AJ280))</f>
        <v/>
      </c>
    </row>
    <row r="281" customFormat="false" ht="15" hidden="false" customHeight="false" outlineLevel="0" collapsed="false">
      <c r="A281" s="32"/>
      <c r="B281" s="29"/>
      <c r="C281" s="10" t="str">
        <f aca="false">IF($B281="","",IFERROR(INDEX(M_name,MATCH($B281,M_emp,0)),"Code not found"))</f>
        <v/>
      </c>
      <c r="D281" s="10" t="str">
        <f aca="false">IF($B281="","",IFERROR(INDEX(M_dept,MATCH($B281,M_emp,0)),""))</f>
        <v/>
      </c>
      <c r="E281" s="10" t="str">
        <f aca="false">IF($B281="","",IFERROR(INDEX(M_loc,MATCH($B281,M_emp,0)),""))</f>
        <v/>
      </c>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4" t="str">
        <f aca="false">IF($B281="","",COUNTIF($F281:$AJ281,"P"))</f>
        <v/>
      </c>
      <c r="AL281" s="34" t="str">
        <f aca="false">IF($B281="","",COUNTIF($F281:$AJ281,"A"))</f>
        <v/>
      </c>
      <c r="AM281" s="34" t="str">
        <f aca="false">IF($B281="","",COUNTIF($F281:$AJ281,"HA"))</f>
        <v/>
      </c>
      <c r="AN281" s="34" t="str">
        <f aca="false">IF($B281="","",COUNTIF($F281:$AJ281,"L"))</f>
        <v/>
      </c>
      <c r="AO281" s="34" t="str">
        <f aca="false">IF($B281="","",COUNTIF($F281:$AJ281,"PL"))</f>
        <v/>
      </c>
      <c r="AP281" s="34" t="str">
        <f aca="false">IF($B281="","",COUNTIF($F281:$AJ281,"CL"))</f>
        <v/>
      </c>
      <c r="AQ281" s="34" t="str">
        <f aca="false">IF($B281="","",COUNTIF($F281:$AJ281,"SL"))</f>
        <v/>
      </c>
      <c r="AR281" s="34" t="str">
        <f aca="false">IF($B281="","",COUNTIF($F281:$AJ281,"CO"))</f>
        <v/>
      </c>
      <c r="AS281" s="34" t="str">
        <f aca="false">IF($B281="","",COUNTIF($F281:$AJ281,"HPL"))</f>
        <v/>
      </c>
      <c r="AT281" s="34" t="str">
        <f aca="false">IF($B281="","",COUNTIF($F281:$AJ281,"HCL"))</f>
        <v/>
      </c>
      <c r="AU281" s="34" t="str">
        <f aca="false">IF($B281="","",COUNTIF($F281:$AJ281,"WO"))</f>
        <v/>
      </c>
      <c r="AV281" s="34" t="str">
        <f aca="false">IF($B281="","",COUNTIF($F281:$AJ281,"PH"))</f>
        <v/>
      </c>
      <c r="AW281" s="34" t="str">
        <f aca="false">IF($B281="","",COUNTIF($F281:$AJ281,"TR"))</f>
        <v/>
      </c>
      <c r="AX281" s="35" t="str">
        <f aca="false">IF($B281="","",AO281+AS281/2)</f>
        <v/>
      </c>
      <c r="AY281" s="35" t="str">
        <f aca="false">IF($B281="","",AQ281)</f>
        <v/>
      </c>
      <c r="AZ281" s="35" t="str">
        <f aca="false">IF($B281="","",AP281+AT281/2)</f>
        <v/>
      </c>
      <c r="BA281" s="35" t="str">
        <f aca="false">IF($B281="","",AK281+AN281+AM281/2+AO281+AP281+AQ281+AR281+AS281+AT281+AU281+AV281+AW281)</f>
        <v/>
      </c>
      <c r="BB281" s="35" t="str">
        <f aca="false">IF($B281="","",MAX(0,AN281-Settings!$C$16)*Settings!$C$17)</f>
        <v/>
      </c>
      <c r="BC281" s="35" t="str">
        <f aca="false">IF($B281="","",BA281-BB281)</f>
        <v/>
      </c>
      <c r="BD281" s="35" t="str">
        <f aca="false">IF(OR($B281="",$A281=""),"",DAY(EOMONTH($A281,0))-COUNTA($F281:$AJ281))</f>
        <v/>
      </c>
    </row>
    <row r="282" customFormat="false" ht="15" hidden="false" customHeight="false" outlineLevel="0" collapsed="false">
      <c r="A282" s="32"/>
      <c r="B282" s="29"/>
      <c r="C282" s="10" t="str">
        <f aca="false">IF($B282="","",IFERROR(INDEX(M_name,MATCH($B282,M_emp,0)),"Code not found"))</f>
        <v/>
      </c>
      <c r="D282" s="10" t="str">
        <f aca="false">IF($B282="","",IFERROR(INDEX(M_dept,MATCH($B282,M_emp,0)),""))</f>
        <v/>
      </c>
      <c r="E282" s="10" t="str">
        <f aca="false">IF($B282="","",IFERROR(INDEX(M_loc,MATCH($B282,M_emp,0)),""))</f>
        <v/>
      </c>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4" t="str">
        <f aca="false">IF($B282="","",COUNTIF($F282:$AJ282,"P"))</f>
        <v/>
      </c>
      <c r="AL282" s="34" t="str">
        <f aca="false">IF($B282="","",COUNTIF($F282:$AJ282,"A"))</f>
        <v/>
      </c>
      <c r="AM282" s="34" t="str">
        <f aca="false">IF($B282="","",COUNTIF($F282:$AJ282,"HA"))</f>
        <v/>
      </c>
      <c r="AN282" s="34" t="str">
        <f aca="false">IF($B282="","",COUNTIF($F282:$AJ282,"L"))</f>
        <v/>
      </c>
      <c r="AO282" s="34" t="str">
        <f aca="false">IF($B282="","",COUNTIF($F282:$AJ282,"PL"))</f>
        <v/>
      </c>
      <c r="AP282" s="34" t="str">
        <f aca="false">IF($B282="","",COUNTIF($F282:$AJ282,"CL"))</f>
        <v/>
      </c>
      <c r="AQ282" s="34" t="str">
        <f aca="false">IF($B282="","",COUNTIF($F282:$AJ282,"SL"))</f>
        <v/>
      </c>
      <c r="AR282" s="34" t="str">
        <f aca="false">IF($B282="","",COUNTIF($F282:$AJ282,"CO"))</f>
        <v/>
      </c>
      <c r="AS282" s="34" t="str">
        <f aca="false">IF($B282="","",COUNTIF($F282:$AJ282,"HPL"))</f>
        <v/>
      </c>
      <c r="AT282" s="34" t="str">
        <f aca="false">IF($B282="","",COUNTIF($F282:$AJ282,"HCL"))</f>
        <v/>
      </c>
      <c r="AU282" s="34" t="str">
        <f aca="false">IF($B282="","",COUNTIF($F282:$AJ282,"WO"))</f>
        <v/>
      </c>
      <c r="AV282" s="34" t="str">
        <f aca="false">IF($B282="","",COUNTIF($F282:$AJ282,"PH"))</f>
        <v/>
      </c>
      <c r="AW282" s="34" t="str">
        <f aca="false">IF($B282="","",COUNTIF($F282:$AJ282,"TR"))</f>
        <v/>
      </c>
      <c r="AX282" s="35" t="str">
        <f aca="false">IF($B282="","",AO282+AS282/2)</f>
        <v/>
      </c>
      <c r="AY282" s="35" t="str">
        <f aca="false">IF($B282="","",AQ282)</f>
        <v/>
      </c>
      <c r="AZ282" s="35" t="str">
        <f aca="false">IF($B282="","",AP282+AT282/2)</f>
        <v/>
      </c>
      <c r="BA282" s="35" t="str">
        <f aca="false">IF($B282="","",AK282+AN282+AM282/2+AO282+AP282+AQ282+AR282+AS282+AT282+AU282+AV282+AW282)</f>
        <v/>
      </c>
      <c r="BB282" s="35" t="str">
        <f aca="false">IF($B282="","",MAX(0,AN282-Settings!$C$16)*Settings!$C$17)</f>
        <v/>
      </c>
      <c r="BC282" s="35" t="str">
        <f aca="false">IF($B282="","",BA282-BB282)</f>
        <v/>
      </c>
      <c r="BD282" s="35" t="str">
        <f aca="false">IF(OR($B282="",$A282=""),"",DAY(EOMONTH($A282,0))-COUNTA($F282:$AJ282))</f>
        <v/>
      </c>
    </row>
    <row r="283" customFormat="false" ht="15" hidden="false" customHeight="false" outlineLevel="0" collapsed="false">
      <c r="A283" s="32"/>
      <c r="B283" s="29"/>
      <c r="C283" s="10" t="str">
        <f aca="false">IF($B283="","",IFERROR(INDEX(M_name,MATCH($B283,M_emp,0)),"Code not found"))</f>
        <v/>
      </c>
      <c r="D283" s="10" t="str">
        <f aca="false">IF($B283="","",IFERROR(INDEX(M_dept,MATCH($B283,M_emp,0)),""))</f>
        <v/>
      </c>
      <c r="E283" s="10" t="str">
        <f aca="false">IF($B283="","",IFERROR(INDEX(M_loc,MATCH($B283,M_emp,0)),""))</f>
        <v/>
      </c>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4" t="str">
        <f aca="false">IF($B283="","",COUNTIF($F283:$AJ283,"P"))</f>
        <v/>
      </c>
      <c r="AL283" s="34" t="str">
        <f aca="false">IF($B283="","",COUNTIF($F283:$AJ283,"A"))</f>
        <v/>
      </c>
      <c r="AM283" s="34" t="str">
        <f aca="false">IF($B283="","",COUNTIF($F283:$AJ283,"HA"))</f>
        <v/>
      </c>
      <c r="AN283" s="34" t="str">
        <f aca="false">IF($B283="","",COUNTIF($F283:$AJ283,"L"))</f>
        <v/>
      </c>
      <c r="AO283" s="34" t="str">
        <f aca="false">IF($B283="","",COUNTIF($F283:$AJ283,"PL"))</f>
        <v/>
      </c>
      <c r="AP283" s="34" t="str">
        <f aca="false">IF($B283="","",COUNTIF($F283:$AJ283,"CL"))</f>
        <v/>
      </c>
      <c r="AQ283" s="34" t="str">
        <f aca="false">IF($B283="","",COUNTIF($F283:$AJ283,"SL"))</f>
        <v/>
      </c>
      <c r="AR283" s="34" t="str">
        <f aca="false">IF($B283="","",COUNTIF($F283:$AJ283,"CO"))</f>
        <v/>
      </c>
      <c r="AS283" s="34" t="str">
        <f aca="false">IF($B283="","",COUNTIF($F283:$AJ283,"HPL"))</f>
        <v/>
      </c>
      <c r="AT283" s="34" t="str">
        <f aca="false">IF($B283="","",COUNTIF($F283:$AJ283,"HCL"))</f>
        <v/>
      </c>
      <c r="AU283" s="34" t="str">
        <f aca="false">IF($B283="","",COUNTIF($F283:$AJ283,"WO"))</f>
        <v/>
      </c>
      <c r="AV283" s="34" t="str">
        <f aca="false">IF($B283="","",COUNTIF($F283:$AJ283,"PH"))</f>
        <v/>
      </c>
      <c r="AW283" s="34" t="str">
        <f aca="false">IF($B283="","",COUNTIF($F283:$AJ283,"TR"))</f>
        <v/>
      </c>
      <c r="AX283" s="35" t="str">
        <f aca="false">IF($B283="","",AO283+AS283/2)</f>
        <v/>
      </c>
      <c r="AY283" s="35" t="str">
        <f aca="false">IF($B283="","",AQ283)</f>
        <v/>
      </c>
      <c r="AZ283" s="35" t="str">
        <f aca="false">IF($B283="","",AP283+AT283/2)</f>
        <v/>
      </c>
      <c r="BA283" s="35" t="str">
        <f aca="false">IF($B283="","",AK283+AN283+AM283/2+AO283+AP283+AQ283+AR283+AS283+AT283+AU283+AV283+AW283)</f>
        <v/>
      </c>
      <c r="BB283" s="35" t="str">
        <f aca="false">IF($B283="","",MAX(0,AN283-Settings!$C$16)*Settings!$C$17)</f>
        <v/>
      </c>
      <c r="BC283" s="35" t="str">
        <f aca="false">IF($B283="","",BA283-BB283)</f>
        <v/>
      </c>
      <c r="BD283" s="35" t="str">
        <f aca="false">IF(OR($B283="",$A283=""),"",DAY(EOMONTH($A283,0))-COUNTA($F283:$AJ283))</f>
        <v/>
      </c>
    </row>
    <row r="284" customFormat="false" ht="15" hidden="false" customHeight="false" outlineLevel="0" collapsed="false">
      <c r="A284" s="32"/>
      <c r="B284" s="29"/>
      <c r="C284" s="10" t="str">
        <f aca="false">IF($B284="","",IFERROR(INDEX(M_name,MATCH($B284,M_emp,0)),"Code not found"))</f>
        <v/>
      </c>
      <c r="D284" s="10" t="str">
        <f aca="false">IF($B284="","",IFERROR(INDEX(M_dept,MATCH($B284,M_emp,0)),""))</f>
        <v/>
      </c>
      <c r="E284" s="10" t="str">
        <f aca="false">IF($B284="","",IFERROR(INDEX(M_loc,MATCH($B284,M_emp,0)),""))</f>
        <v/>
      </c>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4" t="str">
        <f aca="false">IF($B284="","",COUNTIF($F284:$AJ284,"P"))</f>
        <v/>
      </c>
      <c r="AL284" s="34" t="str">
        <f aca="false">IF($B284="","",COUNTIF($F284:$AJ284,"A"))</f>
        <v/>
      </c>
      <c r="AM284" s="34" t="str">
        <f aca="false">IF($B284="","",COUNTIF($F284:$AJ284,"HA"))</f>
        <v/>
      </c>
      <c r="AN284" s="34" t="str">
        <f aca="false">IF($B284="","",COUNTIF($F284:$AJ284,"L"))</f>
        <v/>
      </c>
      <c r="AO284" s="34" t="str">
        <f aca="false">IF($B284="","",COUNTIF($F284:$AJ284,"PL"))</f>
        <v/>
      </c>
      <c r="AP284" s="34" t="str">
        <f aca="false">IF($B284="","",COUNTIF($F284:$AJ284,"CL"))</f>
        <v/>
      </c>
      <c r="AQ284" s="34" t="str">
        <f aca="false">IF($B284="","",COUNTIF($F284:$AJ284,"SL"))</f>
        <v/>
      </c>
      <c r="AR284" s="34" t="str">
        <f aca="false">IF($B284="","",COUNTIF($F284:$AJ284,"CO"))</f>
        <v/>
      </c>
      <c r="AS284" s="34" t="str">
        <f aca="false">IF($B284="","",COUNTIF($F284:$AJ284,"HPL"))</f>
        <v/>
      </c>
      <c r="AT284" s="34" t="str">
        <f aca="false">IF($B284="","",COUNTIF($F284:$AJ284,"HCL"))</f>
        <v/>
      </c>
      <c r="AU284" s="34" t="str">
        <f aca="false">IF($B284="","",COUNTIF($F284:$AJ284,"WO"))</f>
        <v/>
      </c>
      <c r="AV284" s="34" t="str">
        <f aca="false">IF($B284="","",COUNTIF($F284:$AJ284,"PH"))</f>
        <v/>
      </c>
      <c r="AW284" s="34" t="str">
        <f aca="false">IF($B284="","",COUNTIF($F284:$AJ284,"TR"))</f>
        <v/>
      </c>
      <c r="AX284" s="35" t="str">
        <f aca="false">IF($B284="","",AO284+AS284/2)</f>
        <v/>
      </c>
      <c r="AY284" s="35" t="str">
        <f aca="false">IF($B284="","",AQ284)</f>
        <v/>
      </c>
      <c r="AZ284" s="35" t="str">
        <f aca="false">IF($B284="","",AP284+AT284/2)</f>
        <v/>
      </c>
      <c r="BA284" s="35" t="str">
        <f aca="false">IF($B284="","",AK284+AN284+AM284/2+AO284+AP284+AQ284+AR284+AS284+AT284+AU284+AV284+AW284)</f>
        <v/>
      </c>
      <c r="BB284" s="35" t="str">
        <f aca="false">IF($B284="","",MAX(0,AN284-Settings!$C$16)*Settings!$C$17)</f>
        <v/>
      </c>
      <c r="BC284" s="35" t="str">
        <f aca="false">IF($B284="","",BA284-BB284)</f>
        <v/>
      </c>
      <c r="BD284" s="35" t="str">
        <f aca="false">IF(OR($B284="",$A284=""),"",DAY(EOMONTH($A284,0))-COUNTA($F284:$AJ284))</f>
        <v/>
      </c>
    </row>
    <row r="285" customFormat="false" ht="15" hidden="false" customHeight="false" outlineLevel="0" collapsed="false">
      <c r="A285" s="32"/>
      <c r="B285" s="29"/>
      <c r="C285" s="10" t="str">
        <f aca="false">IF($B285="","",IFERROR(INDEX(M_name,MATCH($B285,M_emp,0)),"Code not found"))</f>
        <v/>
      </c>
      <c r="D285" s="10" t="str">
        <f aca="false">IF($B285="","",IFERROR(INDEX(M_dept,MATCH($B285,M_emp,0)),""))</f>
        <v/>
      </c>
      <c r="E285" s="10" t="str">
        <f aca="false">IF($B285="","",IFERROR(INDEX(M_loc,MATCH($B285,M_emp,0)),""))</f>
        <v/>
      </c>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4" t="str">
        <f aca="false">IF($B285="","",COUNTIF($F285:$AJ285,"P"))</f>
        <v/>
      </c>
      <c r="AL285" s="34" t="str">
        <f aca="false">IF($B285="","",COUNTIF($F285:$AJ285,"A"))</f>
        <v/>
      </c>
      <c r="AM285" s="34" t="str">
        <f aca="false">IF($B285="","",COUNTIF($F285:$AJ285,"HA"))</f>
        <v/>
      </c>
      <c r="AN285" s="34" t="str">
        <f aca="false">IF($B285="","",COUNTIF($F285:$AJ285,"L"))</f>
        <v/>
      </c>
      <c r="AO285" s="34" t="str">
        <f aca="false">IF($B285="","",COUNTIF($F285:$AJ285,"PL"))</f>
        <v/>
      </c>
      <c r="AP285" s="34" t="str">
        <f aca="false">IF($B285="","",COUNTIF($F285:$AJ285,"CL"))</f>
        <v/>
      </c>
      <c r="AQ285" s="34" t="str">
        <f aca="false">IF($B285="","",COUNTIF($F285:$AJ285,"SL"))</f>
        <v/>
      </c>
      <c r="AR285" s="34" t="str">
        <f aca="false">IF($B285="","",COUNTIF($F285:$AJ285,"CO"))</f>
        <v/>
      </c>
      <c r="AS285" s="34" t="str">
        <f aca="false">IF($B285="","",COUNTIF($F285:$AJ285,"HPL"))</f>
        <v/>
      </c>
      <c r="AT285" s="34" t="str">
        <f aca="false">IF($B285="","",COUNTIF($F285:$AJ285,"HCL"))</f>
        <v/>
      </c>
      <c r="AU285" s="34" t="str">
        <f aca="false">IF($B285="","",COUNTIF($F285:$AJ285,"WO"))</f>
        <v/>
      </c>
      <c r="AV285" s="34" t="str">
        <f aca="false">IF($B285="","",COUNTIF($F285:$AJ285,"PH"))</f>
        <v/>
      </c>
      <c r="AW285" s="34" t="str">
        <f aca="false">IF($B285="","",COUNTIF($F285:$AJ285,"TR"))</f>
        <v/>
      </c>
      <c r="AX285" s="35" t="str">
        <f aca="false">IF($B285="","",AO285+AS285/2)</f>
        <v/>
      </c>
      <c r="AY285" s="35" t="str">
        <f aca="false">IF($B285="","",AQ285)</f>
        <v/>
      </c>
      <c r="AZ285" s="35" t="str">
        <f aca="false">IF($B285="","",AP285+AT285/2)</f>
        <v/>
      </c>
      <c r="BA285" s="35" t="str">
        <f aca="false">IF($B285="","",AK285+AN285+AM285/2+AO285+AP285+AQ285+AR285+AS285+AT285+AU285+AV285+AW285)</f>
        <v/>
      </c>
      <c r="BB285" s="35" t="str">
        <f aca="false">IF($B285="","",MAX(0,AN285-Settings!$C$16)*Settings!$C$17)</f>
        <v/>
      </c>
      <c r="BC285" s="35" t="str">
        <f aca="false">IF($B285="","",BA285-BB285)</f>
        <v/>
      </c>
      <c r="BD285" s="35" t="str">
        <f aca="false">IF(OR($B285="",$A285=""),"",DAY(EOMONTH($A285,0))-COUNTA($F285:$AJ285))</f>
        <v/>
      </c>
    </row>
    <row r="286" customFormat="false" ht="15" hidden="false" customHeight="false" outlineLevel="0" collapsed="false">
      <c r="A286" s="32"/>
      <c r="B286" s="29"/>
      <c r="C286" s="10" t="str">
        <f aca="false">IF($B286="","",IFERROR(INDEX(M_name,MATCH($B286,M_emp,0)),"Code not found"))</f>
        <v/>
      </c>
      <c r="D286" s="10" t="str">
        <f aca="false">IF($B286="","",IFERROR(INDEX(M_dept,MATCH($B286,M_emp,0)),""))</f>
        <v/>
      </c>
      <c r="E286" s="10" t="str">
        <f aca="false">IF($B286="","",IFERROR(INDEX(M_loc,MATCH($B286,M_emp,0)),""))</f>
        <v/>
      </c>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4" t="str">
        <f aca="false">IF($B286="","",COUNTIF($F286:$AJ286,"P"))</f>
        <v/>
      </c>
      <c r="AL286" s="34" t="str">
        <f aca="false">IF($B286="","",COUNTIF($F286:$AJ286,"A"))</f>
        <v/>
      </c>
      <c r="AM286" s="34" t="str">
        <f aca="false">IF($B286="","",COUNTIF($F286:$AJ286,"HA"))</f>
        <v/>
      </c>
      <c r="AN286" s="34" t="str">
        <f aca="false">IF($B286="","",COUNTIF($F286:$AJ286,"L"))</f>
        <v/>
      </c>
      <c r="AO286" s="34" t="str">
        <f aca="false">IF($B286="","",COUNTIF($F286:$AJ286,"PL"))</f>
        <v/>
      </c>
      <c r="AP286" s="34" t="str">
        <f aca="false">IF($B286="","",COUNTIF($F286:$AJ286,"CL"))</f>
        <v/>
      </c>
      <c r="AQ286" s="34" t="str">
        <f aca="false">IF($B286="","",COUNTIF($F286:$AJ286,"SL"))</f>
        <v/>
      </c>
      <c r="AR286" s="34" t="str">
        <f aca="false">IF($B286="","",COUNTIF($F286:$AJ286,"CO"))</f>
        <v/>
      </c>
      <c r="AS286" s="34" t="str">
        <f aca="false">IF($B286="","",COUNTIF($F286:$AJ286,"HPL"))</f>
        <v/>
      </c>
      <c r="AT286" s="34" t="str">
        <f aca="false">IF($B286="","",COUNTIF($F286:$AJ286,"HCL"))</f>
        <v/>
      </c>
      <c r="AU286" s="34" t="str">
        <f aca="false">IF($B286="","",COUNTIF($F286:$AJ286,"WO"))</f>
        <v/>
      </c>
      <c r="AV286" s="34" t="str">
        <f aca="false">IF($B286="","",COUNTIF($F286:$AJ286,"PH"))</f>
        <v/>
      </c>
      <c r="AW286" s="34" t="str">
        <f aca="false">IF($B286="","",COUNTIF($F286:$AJ286,"TR"))</f>
        <v/>
      </c>
      <c r="AX286" s="35" t="str">
        <f aca="false">IF($B286="","",AO286+AS286/2)</f>
        <v/>
      </c>
      <c r="AY286" s="35" t="str">
        <f aca="false">IF($B286="","",AQ286)</f>
        <v/>
      </c>
      <c r="AZ286" s="35" t="str">
        <f aca="false">IF($B286="","",AP286+AT286/2)</f>
        <v/>
      </c>
      <c r="BA286" s="35" t="str">
        <f aca="false">IF($B286="","",AK286+AN286+AM286/2+AO286+AP286+AQ286+AR286+AS286+AT286+AU286+AV286+AW286)</f>
        <v/>
      </c>
      <c r="BB286" s="35" t="str">
        <f aca="false">IF($B286="","",MAX(0,AN286-Settings!$C$16)*Settings!$C$17)</f>
        <v/>
      </c>
      <c r="BC286" s="35" t="str">
        <f aca="false">IF($B286="","",BA286-BB286)</f>
        <v/>
      </c>
      <c r="BD286" s="35" t="str">
        <f aca="false">IF(OR($B286="",$A286=""),"",DAY(EOMONTH($A286,0))-COUNTA($F286:$AJ286))</f>
        <v/>
      </c>
    </row>
    <row r="287" customFormat="false" ht="15" hidden="false" customHeight="false" outlineLevel="0" collapsed="false">
      <c r="A287" s="32"/>
      <c r="B287" s="29"/>
      <c r="C287" s="10" t="str">
        <f aca="false">IF($B287="","",IFERROR(INDEX(M_name,MATCH($B287,M_emp,0)),"Code not found"))</f>
        <v/>
      </c>
      <c r="D287" s="10" t="str">
        <f aca="false">IF($B287="","",IFERROR(INDEX(M_dept,MATCH($B287,M_emp,0)),""))</f>
        <v/>
      </c>
      <c r="E287" s="10" t="str">
        <f aca="false">IF($B287="","",IFERROR(INDEX(M_loc,MATCH($B287,M_emp,0)),""))</f>
        <v/>
      </c>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4" t="str">
        <f aca="false">IF($B287="","",COUNTIF($F287:$AJ287,"P"))</f>
        <v/>
      </c>
      <c r="AL287" s="34" t="str">
        <f aca="false">IF($B287="","",COUNTIF($F287:$AJ287,"A"))</f>
        <v/>
      </c>
      <c r="AM287" s="34" t="str">
        <f aca="false">IF($B287="","",COUNTIF($F287:$AJ287,"HA"))</f>
        <v/>
      </c>
      <c r="AN287" s="34" t="str">
        <f aca="false">IF($B287="","",COUNTIF($F287:$AJ287,"L"))</f>
        <v/>
      </c>
      <c r="AO287" s="34" t="str">
        <f aca="false">IF($B287="","",COUNTIF($F287:$AJ287,"PL"))</f>
        <v/>
      </c>
      <c r="AP287" s="34" t="str">
        <f aca="false">IF($B287="","",COUNTIF($F287:$AJ287,"CL"))</f>
        <v/>
      </c>
      <c r="AQ287" s="34" t="str">
        <f aca="false">IF($B287="","",COUNTIF($F287:$AJ287,"SL"))</f>
        <v/>
      </c>
      <c r="AR287" s="34" t="str">
        <f aca="false">IF($B287="","",COUNTIF($F287:$AJ287,"CO"))</f>
        <v/>
      </c>
      <c r="AS287" s="34" t="str">
        <f aca="false">IF($B287="","",COUNTIF($F287:$AJ287,"HPL"))</f>
        <v/>
      </c>
      <c r="AT287" s="34" t="str">
        <f aca="false">IF($B287="","",COUNTIF($F287:$AJ287,"HCL"))</f>
        <v/>
      </c>
      <c r="AU287" s="34" t="str">
        <f aca="false">IF($B287="","",COUNTIF($F287:$AJ287,"WO"))</f>
        <v/>
      </c>
      <c r="AV287" s="34" t="str">
        <f aca="false">IF($B287="","",COUNTIF($F287:$AJ287,"PH"))</f>
        <v/>
      </c>
      <c r="AW287" s="34" t="str">
        <f aca="false">IF($B287="","",COUNTIF($F287:$AJ287,"TR"))</f>
        <v/>
      </c>
      <c r="AX287" s="35" t="str">
        <f aca="false">IF($B287="","",AO287+AS287/2)</f>
        <v/>
      </c>
      <c r="AY287" s="35" t="str">
        <f aca="false">IF($B287="","",AQ287)</f>
        <v/>
      </c>
      <c r="AZ287" s="35" t="str">
        <f aca="false">IF($B287="","",AP287+AT287/2)</f>
        <v/>
      </c>
      <c r="BA287" s="35" t="str">
        <f aca="false">IF($B287="","",AK287+AN287+AM287/2+AO287+AP287+AQ287+AR287+AS287+AT287+AU287+AV287+AW287)</f>
        <v/>
      </c>
      <c r="BB287" s="35" t="str">
        <f aca="false">IF($B287="","",MAX(0,AN287-Settings!$C$16)*Settings!$C$17)</f>
        <v/>
      </c>
      <c r="BC287" s="35" t="str">
        <f aca="false">IF($B287="","",BA287-BB287)</f>
        <v/>
      </c>
      <c r="BD287" s="35" t="str">
        <f aca="false">IF(OR($B287="",$A287=""),"",DAY(EOMONTH($A287,0))-COUNTA($F287:$AJ287))</f>
        <v/>
      </c>
    </row>
    <row r="288" customFormat="false" ht="15" hidden="false" customHeight="false" outlineLevel="0" collapsed="false">
      <c r="A288" s="32"/>
      <c r="B288" s="29"/>
      <c r="C288" s="10" t="str">
        <f aca="false">IF($B288="","",IFERROR(INDEX(M_name,MATCH($B288,M_emp,0)),"Code not found"))</f>
        <v/>
      </c>
      <c r="D288" s="10" t="str">
        <f aca="false">IF($B288="","",IFERROR(INDEX(M_dept,MATCH($B288,M_emp,0)),""))</f>
        <v/>
      </c>
      <c r="E288" s="10" t="str">
        <f aca="false">IF($B288="","",IFERROR(INDEX(M_loc,MATCH($B288,M_emp,0)),""))</f>
        <v/>
      </c>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4" t="str">
        <f aca="false">IF($B288="","",COUNTIF($F288:$AJ288,"P"))</f>
        <v/>
      </c>
      <c r="AL288" s="34" t="str">
        <f aca="false">IF($B288="","",COUNTIF($F288:$AJ288,"A"))</f>
        <v/>
      </c>
      <c r="AM288" s="34" t="str">
        <f aca="false">IF($B288="","",COUNTIF($F288:$AJ288,"HA"))</f>
        <v/>
      </c>
      <c r="AN288" s="34" t="str">
        <f aca="false">IF($B288="","",COUNTIF($F288:$AJ288,"L"))</f>
        <v/>
      </c>
      <c r="AO288" s="34" t="str">
        <f aca="false">IF($B288="","",COUNTIF($F288:$AJ288,"PL"))</f>
        <v/>
      </c>
      <c r="AP288" s="34" t="str">
        <f aca="false">IF($B288="","",COUNTIF($F288:$AJ288,"CL"))</f>
        <v/>
      </c>
      <c r="AQ288" s="34" t="str">
        <f aca="false">IF($B288="","",COUNTIF($F288:$AJ288,"SL"))</f>
        <v/>
      </c>
      <c r="AR288" s="34" t="str">
        <f aca="false">IF($B288="","",COUNTIF($F288:$AJ288,"CO"))</f>
        <v/>
      </c>
      <c r="AS288" s="34" t="str">
        <f aca="false">IF($B288="","",COUNTIF($F288:$AJ288,"HPL"))</f>
        <v/>
      </c>
      <c r="AT288" s="34" t="str">
        <f aca="false">IF($B288="","",COUNTIF($F288:$AJ288,"HCL"))</f>
        <v/>
      </c>
      <c r="AU288" s="34" t="str">
        <f aca="false">IF($B288="","",COUNTIF($F288:$AJ288,"WO"))</f>
        <v/>
      </c>
      <c r="AV288" s="34" t="str">
        <f aca="false">IF($B288="","",COUNTIF($F288:$AJ288,"PH"))</f>
        <v/>
      </c>
      <c r="AW288" s="34" t="str">
        <f aca="false">IF($B288="","",COUNTIF($F288:$AJ288,"TR"))</f>
        <v/>
      </c>
      <c r="AX288" s="35" t="str">
        <f aca="false">IF($B288="","",AO288+AS288/2)</f>
        <v/>
      </c>
      <c r="AY288" s="35" t="str">
        <f aca="false">IF($B288="","",AQ288)</f>
        <v/>
      </c>
      <c r="AZ288" s="35" t="str">
        <f aca="false">IF($B288="","",AP288+AT288/2)</f>
        <v/>
      </c>
      <c r="BA288" s="35" t="str">
        <f aca="false">IF($B288="","",AK288+AN288+AM288/2+AO288+AP288+AQ288+AR288+AS288+AT288+AU288+AV288+AW288)</f>
        <v/>
      </c>
      <c r="BB288" s="35" t="str">
        <f aca="false">IF($B288="","",MAX(0,AN288-Settings!$C$16)*Settings!$C$17)</f>
        <v/>
      </c>
      <c r="BC288" s="35" t="str">
        <f aca="false">IF($B288="","",BA288-BB288)</f>
        <v/>
      </c>
      <c r="BD288" s="35" t="str">
        <f aca="false">IF(OR($B288="",$A288=""),"",DAY(EOMONTH($A288,0))-COUNTA($F288:$AJ288))</f>
        <v/>
      </c>
    </row>
    <row r="289" customFormat="false" ht="15" hidden="false" customHeight="false" outlineLevel="0" collapsed="false">
      <c r="A289" s="32"/>
      <c r="B289" s="29"/>
      <c r="C289" s="10" t="str">
        <f aca="false">IF($B289="","",IFERROR(INDEX(M_name,MATCH($B289,M_emp,0)),"Code not found"))</f>
        <v/>
      </c>
      <c r="D289" s="10" t="str">
        <f aca="false">IF($B289="","",IFERROR(INDEX(M_dept,MATCH($B289,M_emp,0)),""))</f>
        <v/>
      </c>
      <c r="E289" s="10" t="str">
        <f aca="false">IF($B289="","",IFERROR(INDEX(M_loc,MATCH($B289,M_emp,0)),""))</f>
        <v/>
      </c>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4" t="str">
        <f aca="false">IF($B289="","",COUNTIF($F289:$AJ289,"P"))</f>
        <v/>
      </c>
      <c r="AL289" s="34" t="str">
        <f aca="false">IF($B289="","",COUNTIF($F289:$AJ289,"A"))</f>
        <v/>
      </c>
      <c r="AM289" s="34" t="str">
        <f aca="false">IF($B289="","",COUNTIF($F289:$AJ289,"HA"))</f>
        <v/>
      </c>
      <c r="AN289" s="34" t="str">
        <f aca="false">IF($B289="","",COUNTIF($F289:$AJ289,"L"))</f>
        <v/>
      </c>
      <c r="AO289" s="34" t="str">
        <f aca="false">IF($B289="","",COUNTIF($F289:$AJ289,"PL"))</f>
        <v/>
      </c>
      <c r="AP289" s="34" t="str">
        <f aca="false">IF($B289="","",COUNTIF($F289:$AJ289,"CL"))</f>
        <v/>
      </c>
      <c r="AQ289" s="34" t="str">
        <f aca="false">IF($B289="","",COUNTIF($F289:$AJ289,"SL"))</f>
        <v/>
      </c>
      <c r="AR289" s="34" t="str">
        <f aca="false">IF($B289="","",COUNTIF($F289:$AJ289,"CO"))</f>
        <v/>
      </c>
      <c r="AS289" s="34" t="str">
        <f aca="false">IF($B289="","",COUNTIF($F289:$AJ289,"HPL"))</f>
        <v/>
      </c>
      <c r="AT289" s="34" t="str">
        <f aca="false">IF($B289="","",COUNTIF($F289:$AJ289,"HCL"))</f>
        <v/>
      </c>
      <c r="AU289" s="34" t="str">
        <f aca="false">IF($B289="","",COUNTIF($F289:$AJ289,"WO"))</f>
        <v/>
      </c>
      <c r="AV289" s="34" t="str">
        <f aca="false">IF($B289="","",COUNTIF($F289:$AJ289,"PH"))</f>
        <v/>
      </c>
      <c r="AW289" s="34" t="str">
        <f aca="false">IF($B289="","",COUNTIF($F289:$AJ289,"TR"))</f>
        <v/>
      </c>
      <c r="AX289" s="35" t="str">
        <f aca="false">IF($B289="","",AO289+AS289/2)</f>
        <v/>
      </c>
      <c r="AY289" s="35" t="str">
        <f aca="false">IF($B289="","",AQ289)</f>
        <v/>
      </c>
      <c r="AZ289" s="35" t="str">
        <f aca="false">IF($B289="","",AP289+AT289/2)</f>
        <v/>
      </c>
      <c r="BA289" s="35" t="str">
        <f aca="false">IF($B289="","",AK289+AN289+AM289/2+AO289+AP289+AQ289+AR289+AS289+AT289+AU289+AV289+AW289)</f>
        <v/>
      </c>
      <c r="BB289" s="35" t="str">
        <f aca="false">IF($B289="","",MAX(0,AN289-Settings!$C$16)*Settings!$C$17)</f>
        <v/>
      </c>
      <c r="BC289" s="35" t="str">
        <f aca="false">IF($B289="","",BA289-BB289)</f>
        <v/>
      </c>
      <c r="BD289" s="35" t="str">
        <f aca="false">IF(OR($B289="",$A289=""),"",DAY(EOMONTH($A289,0))-COUNTA($F289:$AJ289))</f>
        <v/>
      </c>
    </row>
    <row r="290" customFormat="false" ht="15" hidden="false" customHeight="false" outlineLevel="0" collapsed="false">
      <c r="A290" s="32"/>
      <c r="B290" s="29"/>
      <c r="C290" s="10" t="str">
        <f aca="false">IF($B290="","",IFERROR(INDEX(M_name,MATCH($B290,M_emp,0)),"Code not found"))</f>
        <v/>
      </c>
      <c r="D290" s="10" t="str">
        <f aca="false">IF($B290="","",IFERROR(INDEX(M_dept,MATCH($B290,M_emp,0)),""))</f>
        <v/>
      </c>
      <c r="E290" s="10" t="str">
        <f aca="false">IF($B290="","",IFERROR(INDEX(M_loc,MATCH($B290,M_emp,0)),""))</f>
        <v/>
      </c>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4" t="str">
        <f aca="false">IF($B290="","",COUNTIF($F290:$AJ290,"P"))</f>
        <v/>
      </c>
      <c r="AL290" s="34" t="str">
        <f aca="false">IF($B290="","",COUNTIF($F290:$AJ290,"A"))</f>
        <v/>
      </c>
      <c r="AM290" s="34" t="str">
        <f aca="false">IF($B290="","",COUNTIF($F290:$AJ290,"HA"))</f>
        <v/>
      </c>
      <c r="AN290" s="34" t="str">
        <f aca="false">IF($B290="","",COUNTIF($F290:$AJ290,"L"))</f>
        <v/>
      </c>
      <c r="AO290" s="34" t="str">
        <f aca="false">IF($B290="","",COUNTIF($F290:$AJ290,"PL"))</f>
        <v/>
      </c>
      <c r="AP290" s="34" t="str">
        <f aca="false">IF($B290="","",COUNTIF($F290:$AJ290,"CL"))</f>
        <v/>
      </c>
      <c r="AQ290" s="34" t="str">
        <f aca="false">IF($B290="","",COUNTIF($F290:$AJ290,"SL"))</f>
        <v/>
      </c>
      <c r="AR290" s="34" t="str">
        <f aca="false">IF($B290="","",COUNTIF($F290:$AJ290,"CO"))</f>
        <v/>
      </c>
      <c r="AS290" s="34" t="str">
        <f aca="false">IF($B290="","",COUNTIF($F290:$AJ290,"HPL"))</f>
        <v/>
      </c>
      <c r="AT290" s="34" t="str">
        <f aca="false">IF($B290="","",COUNTIF($F290:$AJ290,"HCL"))</f>
        <v/>
      </c>
      <c r="AU290" s="34" t="str">
        <f aca="false">IF($B290="","",COUNTIF($F290:$AJ290,"WO"))</f>
        <v/>
      </c>
      <c r="AV290" s="34" t="str">
        <f aca="false">IF($B290="","",COUNTIF($F290:$AJ290,"PH"))</f>
        <v/>
      </c>
      <c r="AW290" s="34" t="str">
        <f aca="false">IF($B290="","",COUNTIF($F290:$AJ290,"TR"))</f>
        <v/>
      </c>
      <c r="AX290" s="35" t="str">
        <f aca="false">IF($B290="","",AO290+AS290/2)</f>
        <v/>
      </c>
      <c r="AY290" s="35" t="str">
        <f aca="false">IF($B290="","",AQ290)</f>
        <v/>
      </c>
      <c r="AZ290" s="35" t="str">
        <f aca="false">IF($B290="","",AP290+AT290/2)</f>
        <v/>
      </c>
      <c r="BA290" s="35" t="str">
        <f aca="false">IF($B290="","",AK290+AN290+AM290/2+AO290+AP290+AQ290+AR290+AS290+AT290+AU290+AV290+AW290)</f>
        <v/>
      </c>
      <c r="BB290" s="35" t="str">
        <f aca="false">IF($B290="","",MAX(0,AN290-Settings!$C$16)*Settings!$C$17)</f>
        <v/>
      </c>
      <c r="BC290" s="35" t="str">
        <f aca="false">IF($B290="","",BA290-BB290)</f>
        <v/>
      </c>
      <c r="BD290" s="35" t="str">
        <f aca="false">IF(OR($B290="",$A290=""),"",DAY(EOMONTH($A290,0))-COUNTA($F290:$AJ290))</f>
        <v/>
      </c>
    </row>
    <row r="291" customFormat="false" ht="15" hidden="false" customHeight="false" outlineLevel="0" collapsed="false">
      <c r="A291" s="32"/>
      <c r="B291" s="29"/>
      <c r="C291" s="10" t="str">
        <f aca="false">IF($B291="","",IFERROR(INDEX(M_name,MATCH($B291,M_emp,0)),"Code not found"))</f>
        <v/>
      </c>
      <c r="D291" s="10" t="str">
        <f aca="false">IF($B291="","",IFERROR(INDEX(M_dept,MATCH($B291,M_emp,0)),""))</f>
        <v/>
      </c>
      <c r="E291" s="10" t="str">
        <f aca="false">IF($B291="","",IFERROR(INDEX(M_loc,MATCH($B291,M_emp,0)),""))</f>
        <v/>
      </c>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4" t="str">
        <f aca="false">IF($B291="","",COUNTIF($F291:$AJ291,"P"))</f>
        <v/>
      </c>
      <c r="AL291" s="34" t="str">
        <f aca="false">IF($B291="","",COUNTIF($F291:$AJ291,"A"))</f>
        <v/>
      </c>
      <c r="AM291" s="34" t="str">
        <f aca="false">IF($B291="","",COUNTIF($F291:$AJ291,"HA"))</f>
        <v/>
      </c>
      <c r="AN291" s="34" t="str">
        <f aca="false">IF($B291="","",COUNTIF($F291:$AJ291,"L"))</f>
        <v/>
      </c>
      <c r="AO291" s="34" t="str">
        <f aca="false">IF($B291="","",COUNTIF($F291:$AJ291,"PL"))</f>
        <v/>
      </c>
      <c r="AP291" s="34" t="str">
        <f aca="false">IF($B291="","",COUNTIF($F291:$AJ291,"CL"))</f>
        <v/>
      </c>
      <c r="AQ291" s="34" t="str">
        <f aca="false">IF($B291="","",COUNTIF($F291:$AJ291,"SL"))</f>
        <v/>
      </c>
      <c r="AR291" s="34" t="str">
        <f aca="false">IF($B291="","",COUNTIF($F291:$AJ291,"CO"))</f>
        <v/>
      </c>
      <c r="AS291" s="34" t="str">
        <f aca="false">IF($B291="","",COUNTIF($F291:$AJ291,"HPL"))</f>
        <v/>
      </c>
      <c r="AT291" s="34" t="str">
        <f aca="false">IF($B291="","",COUNTIF($F291:$AJ291,"HCL"))</f>
        <v/>
      </c>
      <c r="AU291" s="34" t="str">
        <f aca="false">IF($B291="","",COUNTIF($F291:$AJ291,"WO"))</f>
        <v/>
      </c>
      <c r="AV291" s="34" t="str">
        <f aca="false">IF($B291="","",COUNTIF($F291:$AJ291,"PH"))</f>
        <v/>
      </c>
      <c r="AW291" s="34" t="str">
        <f aca="false">IF($B291="","",COUNTIF($F291:$AJ291,"TR"))</f>
        <v/>
      </c>
      <c r="AX291" s="35" t="str">
        <f aca="false">IF($B291="","",AO291+AS291/2)</f>
        <v/>
      </c>
      <c r="AY291" s="35" t="str">
        <f aca="false">IF($B291="","",AQ291)</f>
        <v/>
      </c>
      <c r="AZ291" s="35" t="str">
        <f aca="false">IF($B291="","",AP291+AT291/2)</f>
        <v/>
      </c>
      <c r="BA291" s="35" t="str">
        <f aca="false">IF($B291="","",AK291+AN291+AM291/2+AO291+AP291+AQ291+AR291+AS291+AT291+AU291+AV291+AW291)</f>
        <v/>
      </c>
      <c r="BB291" s="35" t="str">
        <f aca="false">IF($B291="","",MAX(0,AN291-Settings!$C$16)*Settings!$C$17)</f>
        <v/>
      </c>
      <c r="BC291" s="35" t="str">
        <f aca="false">IF($B291="","",BA291-BB291)</f>
        <v/>
      </c>
      <c r="BD291" s="35" t="str">
        <f aca="false">IF(OR($B291="",$A291=""),"",DAY(EOMONTH($A291,0))-COUNTA($F291:$AJ291))</f>
        <v/>
      </c>
    </row>
    <row r="292" customFormat="false" ht="15" hidden="false" customHeight="false" outlineLevel="0" collapsed="false">
      <c r="A292" s="32"/>
      <c r="B292" s="29"/>
      <c r="C292" s="10" t="str">
        <f aca="false">IF($B292="","",IFERROR(INDEX(M_name,MATCH($B292,M_emp,0)),"Code not found"))</f>
        <v/>
      </c>
      <c r="D292" s="10" t="str">
        <f aca="false">IF($B292="","",IFERROR(INDEX(M_dept,MATCH($B292,M_emp,0)),""))</f>
        <v/>
      </c>
      <c r="E292" s="10" t="str">
        <f aca="false">IF($B292="","",IFERROR(INDEX(M_loc,MATCH($B292,M_emp,0)),""))</f>
        <v/>
      </c>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4" t="str">
        <f aca="false">IF($B292="","",COUNTIF($F292:$AJ292,"P"))</f>
        <v/>
      </c>
      <c r="AL292" s="34" t="str">
        <f aca="false">IF($B292="","",COUNTIF($F292:$AJ292,"A"))</f>
        <v/>
      </c>
      <c r="AM292" s="34" t="str">
        <f aca="false">IF($B292="","",COUNTIF($F292:$AJ292,"HA"))</f>
        <v/>
      </c>
      <c r="AN292" s="34" t="str">
        <f aca="false">IF($B292="","",COUNTIF($F292:$AJ292,"L"))</f>
        <v/>
      </c>
      <c r="AO292" s="34" t="str">
        <f aca="false">IF($B292="","",COUNTIF($F292:$AJ292,"PL"))</f>
        <v/>
      </c>
      <c r="AP292" s="34" t="str">
        <f aca="false">IF($B292="","",COUNTIF($F292:$AJ292,"CL"))</f>
        <v/>
      </c>
      <c r="AQ292" s="34" t="str">
        <f aca="false">IF($B292="","",COUNTIF($F292:$AJ292,"SL"))</f>
        <v/>
      </c>
      <c r="AR292" s="34" t="str">
        <f aca="false">IF($B292="","",COUNTIF($F292:$AJ292,"CO"))</f>
        <v/>
      </c>
      <c r="AS292" s="34" t="str">
        <f aca="false">IF($B292="","",COUNTIF($F292:$AJ292,"HPL"))</f>
        <v/>
      </c>
      <c r="AT292" s="34" t="str">
        <f aca="false">IF($B292="","",COUNTIF($F292:$AJ292,"HCL"))</f>
        <v/>
      </c>
      <c r="AU292" s="34" t="str">
        <f aca="false">IF($B292="","",COUNTIF($F292:$AJ292,"WO"))</f>
        <v/>
      </c>
      <c r="AV292" s="34" t="str">
        <f aca="false">IF($B292="","",COUNTIF($F292:$AJ292,"PH"))</f>
        <v/>
      </c>
      <c r="AW292" s="34" t="str">
        <f aca="false">IF($B292="","",COUNTIF($F292:$AJ292,"TR"))</f>
        <v/>
      </c>
      <c r="AX292" s="35" t="str">
        <f aca="false">IF($B292="","",AO292+AS292/2)</f>
        <v/>
      </c>
      <c r="AY292" s="35" t="str">
        <f aca="false">IF($B292="","",AQ292)</f>
        <v/>
      </c>
      <c r="AZ292" s="35" t="str">
        <f aca="false">IF($B292="","",AP292+AT292/2)</f>
        <v/>
      </c>
      <c r="BA292" s="35" t="str">
        <f aca="false">IF($B292="","",AK292+AN292+AM292/2+AO292+AP292+AQ292+AR292+AS292+AT292+AU292+AV292+AW292)</f>
        <v/>
      </c>
      <c r="BB292" s="35" t="str">
        <f aca="false">IF($B292="","",MAX(0,AN292-Settings!$C$16)*Settings!$C$17)</f>
        <v/>
      </c>
      <c r="BC292" s="35" t="str">
        <f aca="false">IF($B292="","",BA292-BB292)</f>
        <v/>
      </c>
      <c r="BD292" s="35" t="str">
        <f aca="false">IF(OR($B292="",$A292=""),"",DAY(EOMONTH($A292,0))-COUNTA($F292:$AJ292))</f>
        <v/>
      </c>
    </row>
    <row r="293" customFormat="false" ht="15" hidden="false" customHeight="false" outlineLevel="0" collapsed="false">
      <c r="A293" s="32"/>
      <c r="B293" s="29"/>
      <c r="C293" s="10" t="str">
        <f aca="false">IF($B293="","",IFERROR(INDEX(M_name,MATCH($B293,M_emp,0)),"Code not found"))</f>
        <v/>
      </c>
      <c r="D293" s="10" t="str">
        <f aca="false">IF($B293="","",IFERROR(INDEX(M_dept,MATCH($B293,M_emp,0)),""))</f>
        <v/>
      </c>
      <c r="E293" s="10" t="str">
        <f aca="false">IF($B293="","",IFERROR(INDEX(M_loc,MATCH($B293,M_emp,0)),""))</f>
        <v/>
      </c>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4" t="str">
        <f aca="false">IF($B293="","",COUNTIF($F293:$AJ293,"P"))</f>
        <v/>
      </c>
      <c r="AL293" s="34" t="str">
        <f aca="false">IF($B293="","",COUNTIF($F293:$AJ293,"A"))</f>
        <v/>
      </c>
      <c r="AM293" s="34" t="str">
        <f aca="false">IF($B293="","",COUNTIF($F293:$AJ293,"HA"))</f>
        <v/>
      </c>
      <c r="AN293" s="34" t="str">
        <f aca="false">IF($B293="","",COUNTIF($F293:$AJ293,"L"))</f>
        <v/>
      </c>
      <c r="AO293" s="34" t="str">
        <f aca="false">IF($B293="","",COUNTIF($F293:$AJ293,"PL"))</f>
        <v/>
      </c>
      <c r="AP293" s="34" t="str">
        <f aca="false">IF($B293="","",COUNTIF($F293:$AJ293,"CL"))</f>
        <v/>
      </c>
      <c r="AQ293" s="34" t="str">
        <f aca="false">IF($B293="","",COUNTIF($F293:$AJ293,"SL"))</f>
        <v/>
      </c>
      <c r="AR293" s="34" t="str">
        <f aca="false">IF($B293="","",COUNTIF($F293:$AJ293,"CO"))</f>
        <v/>
      </c>
      <c r="AS293" s="34" t="str">
        <f aca="false">IF($B293="","",COUNTIF($F293:$AJ293,"HPL"))</f>
        <v/>
      </c>
      <c r="AT293" s="34" t="str">
        <f aca="false">IF($B293="","",COUNTIF($F293:$AJ293,"HCL"))</f>
        <v/>
      </c>
      <c r="AU293" s="34" t="str">
        <f aca="false">IF($B293="","",COUNTIF($F293:$AJ293,"WO"))</f>
        <v/>
      </c>
      <c r="AV293" s="34" t="str">
        <f aca="false">IF($B293="","",COUNTIF($F293:$AJ293,"PH"))</f>
        <v/>
      </c>
      <c r="AW293" s="34" t="str">
        <f aca="false">IF($B293="","",COUNTIF($F293:$AJ293,"TR"))</f>
        <v/>
      </c>
      <c r="AX293" s="35" t="str">
        <f aca="false">IF($B293="","",AO293+AS293/2)</f>
        <v/>
      </c>
      <c r="AY293" s="35" t="str">
        <f aca="false">IF($B293="","",AQ293)</f>
        <v/>
      </c>
      <c r="AZ293" s="35" t="str">
        <f aca="false">IF($B293="","",AP293+AT293/2)</f>
        <v/>
      </c>
      <c r="BA293" s="35" t="str">
        <f aca="false">IF($B293="","",AK293+AN293+AM293/2+AO293+AP293+AQ293+AR293+AS293+AT293+AU293+AV293+AW293)</f>
        <v/>
      </c>
      <c r="BB293" s="35" t="str">
        <f aca="false">IF($B293="","",MAX(0,AN293-Settings!$C$16)*Settings!$C$17)</f>
        <v/>
      </c>
      <c r="BC293" s="35" t="str">
        <f aca="false">IF($B293="","",BA293-BB293)</f>
        <v/>
      </c>
      <c r="BD293" s="35" t="str">
        <f aca="false">IF(OR($B293="",$A293=""),"",DAY(EOMONTH($A293,0))-COUNTA($F293:$AJ293))</f>
        <v/>
      </c>
    </row>
    <row r="294" customFormat="false" ht="15" hidden="false" customHeight="false" outlineLevel="0" collapsed="false">
      <c r="A294" s="32"/>
      <c r="B294" s="29"/>
      <c r="C294" s="10" t="str">
        <f aca="false">IF($B294="","",IFERROR(INDEX(M_name,MATCH($B294,M_emp,0)),"Code not found"))</f>
        <v/>
      </c>
      <c r="D294" s="10" t="str">
        <f aca="false">IF($B294="","",IFERROR(INDEX(M_dept,MATCH($B294,M_emp,0)),""))</f>
        <v/>
      </c>
      <c r="E294" s="10" t="str">
        <f aca="false">IF($B294="","",IFERROR(INDEX(M_loc,MATCH($B294,M_emp,0)),""))</f>
        <v/>
      </c>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4" t="str">
        <f aca="false">IF($B294="","",COUNTIF($F294:$AJ294,"P"))</f>
        <v/>
      </c>
      <c r="AL294" s="34" t="str">
        <f aca="false">IF($B294="","",COUNTIF($F294:$AJ294,"A"))</f>
        <v/>
      </c>
      <c r="AM294" s="34" t="str">
        <f aca="false">IF($B294="","",COUNTIF($F294:$AJ294,"HA"))</f>
        <v/>
      </c>
      <c r="AN294" s="34" t="str">
        <f aca="false">IF($B294="","",COUNTIF($F294:$AJ294,"L"))</f>
        <v/>
      </c>
      <c r="AO294" s="34" t="str">
        <f aca="false">IF($B294="","",COUNTIF($F294:$AJ294,"PL"))</f>
        <v/>
      </c>
      <c r="AP294" s="34" t="str">
        <f aca="false">IF($B294="","",COUNTIF($F294:$AJ294,"CL"))</f>
        <v/>
      </c>
      <c r="AQ294" s="34" t="str">
        <f aca="false">IF($B294="","",COUNTIF($F294:$AJ294,"SL"))</f>
        <v/>
      </c>
      <c r="AR294" s="34" t="str">
        <f aca="false">IF($B294="","",COUNTIF($F294:$AJ294,"CO"))</f>
        <v/>
      </c>
      <c r="AS294" s="34" t="str">
        <f aca="false">IF($B294="","",COUNTIF($F294:$AJ294,"HPL"))</f>
        <v/>
      </c>
      <c r="AT294" s="34" t="str">
        <f aca="false">IF($B294="","",COUNTIF($F294:$AJ294,"HCL"))</f>
        <v/>
      </c>
      <c r="AU294" s="34" t="str">
        <f aca="false">IF($B294="","",COUNTIF($F294:$AJ294,"WO"))</f>
        <v/>
      </c>
      <c r="AV294" s="34" t="str">
        <f aca="false">IF($B294="","",COUNTIF($F294:$AJ294,"PH"))</f>
        <v/>
      </c>
      <c r="AW294" s="34" t="str">
        <f aca="false">IF($B294="","",COUNTIF($F294:$AJ294,"TR"))</f>
        <v/>
      </c>
      <c r="AX294" s="35" t="str">
        <f aca="false">IF($B294="","",AO294+AS294/2)</f>
        <v/>
      </c>
      <c r="AY294" s="35" t="str">
        <f aca="false">IF($B294="","",AQ294)</f>
        <v/>
      </c>
      <c r="AZ294" s="35" t="str">
        <f aca="false">IF($B294="","",AP294+AT294/2)</f>
        <v/>
      </c>
      <c r="BA294" s="35" t="str">
        <f aca="false">IF($B294="","",AK294+AN294+AM294/2+AO294+AP294+AQ294+AR294+AS294+AT294+AU294+AV294+AW294)</f>
        <v/>
      </c>
      <c r="BB294" s="35" t="str">
        <f aca="false">IF($B294="","",MAX(0,AN294-Settings!$C$16)*Settings!$C$17)</f>
        <v/>
      </c>
      <c r="BC294" s="35" t="str">
        <f aca="false">IF($B294="","",BA294-BB294)</f>
        <v/>
      </c>
      <c r="BD294" s="35" t="str">
        <f aca="false">IF(OR($B294="",$A294=""),"",DAY(EOMONTH($A294,0))-COUNTA($F294:$AJ294))</f>
        <v/>
      </c>
    </row>
    <row r="295" customFormat="false" ht="15" hidden="false" customHeight="false" outlineLevel="0" collapsed="false">
      <c r="A295" s="32"/>
      <c r="B295" s="29"/>
      <c r="C295" s="10" t="str">
        <f aca="false">IF($B295="","",IFERROR(INDEX(M_name,MATCH($B295,M_emp,0)),"Code not found"))</f>
        <v/>
      </c>
      <c r="D295" s="10" t="str">
        <f aca="false">IF($B295="","",IFERROR(INDEX(M_dept,MATCH($B295,M_emp,0)),""))</f>
        <v/>
      </c>
      <c r="E295" s="10" t="str">
        <f aca="false">IF($B295="","",IFERROR(INDEX(M_loc,MATCH($B295,M_emp,0)),""))</f>
        <v/>
      </c>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4" t="str">
        <f aca="false">IF($B295="","",COUNTIF($F295:$AJ295,"P"))</f>
        <v/>
      </c>
      <c r="AL295" s="34" t="str">
        <f aca="false">IF($B295="","",COUNTIF($F295:$AJ295,"A"))</f>
        <v/>
      </c>
      <c r="AM295" s="34" t="str">
        <f aca="false">IF($B295="","",COUNTIF($F295:$AJ295,"HA"))</f>
        <v/>
      </c>
      <c r="AN295" s="34" t="str">
        <f aca="false">IF($B295="","",COUNTIF($F295:$AJ295,"L"))</f>
        <v/>
      </c>
      <c r="AO295" s="34" t="str">
        <f aca="false">IF($B295="","",COUNTIF($F295:$AJ295,"PL"))</f>
        <v/>
      </c>
      <c r="AP295" s="34" t="str">
        <f aca="false">IF($B295="","",COUNTIF($F295:$AJ295,"CL"))</f>
        <v/>
      </c>
      <c r="AQ295" s="34" t="str">
        <f aca="false">IF($B295="","",COUNTIF($F295:$AJ295,"SL"))</f>
        <v/>
      </c>
      <c r="AR295" s="34" t="str">
        <f aca="false">IF($B295="","",COUNTIF($F295:$AJ295,"CO"))</f>
        <v/>
      </c>
      <c r="AS295" s="34" t="str">
        <f aca="false">IF($B295="","",COUNTIF($F295:$AJ295,"HPL"))</f>
        <v/>
      </c>
      <c r="AT295" s="34" t="str">
        <f aca="false">IF($B295="","",COUNTIF($F295:$AJ295,"HCL"))</f>
        <v/>
      </c>
      <c r="AU295" s="34" t="str">
        <f aca="false">IF($B295="","",COUNTIF($F295:$AJ295,"WO"))</f>
        <v/>
      </c>
      <c r="AV295" s="34" t="str">
        <f aca="false">IF($B295="","",COUNTIF($F295:$AJ295,"PH"))</f>
        <v/>
      </c>
      <c r="AW295" s="34" t="str">
        <f aca="false">IF($B295="","",COUNTIF($F295:$AJ295,"TR"))</f>
        <v/>
      </c>
      <c r="AX295" s="35" t="str">
        <f aca="false">IF($B295="","",AO295+AS295/2)</f>
        <v/>
      </c>
      <c r="AY295" s="35" t="str">
        <f aca="false">IF($B295="","",AQ295)</f>
        <v/>
      </c>
      <c r="AZ295" s="35" t="str">
        <f aca="false">IF($B295="","",AP295+AT295/2)</f>
        <v/>
      </c>
      <c r="BA295" s="35" t="str">
        <f aca="false">IF($B295="","",AK295+AN295+AM295/2+AO295+AP295+AQ295+AR295+AS295+AT295+AU295+AV295+AW295)</f>
        <v/>
      </c>
      <c r="BB295" s="35" t="str">
        <f aca="false">IF($B295="","",MAX(0,AN295-Settings!$C$16)*Settings!$C$17)</f>
        <v/>
      </c>
      <c r="BC295" s="35" t="str">
        <f aca="false">IF($B295="","",BA295-BB295)</f>
        <v/>
      </c>
      <c r="BD295" s="35" t="str">
        <f aca="false">IF(OR($B295="",$A295=""),"",DAY(EOMONTH($A295,0))-COUNTA($F295:$AJ295))</f>
        <v/>
      </c>
    </row>
    <row r="296" customFormat="false" ht="15" hidden="false" customHeight="false" outlineLevel="0" collapsed="false">
      <c r="A296" s="32"/>
      <c r="B296" s="29"/>
      <c r="C296" s="10" t="str">
        <f aca="false">IF($B296="","",IFERROR(INDEX(M_name,MATCH($B296,M_emp,0)),"Code not found"))</f>
        <v/>
      </c>
      <c r="D296" s="10" t="str">
        <f aca="false">IF($B296="","",IFERROR(INDEX(M_dept,MATCH($B296,M_emp,0)),""))</f>
        <v/>
      </c>
      <c r="E296" s="10" t="str">
        <f aca="false">IF($B296="","",IFERROR(INDEX(M_loc,MATCH($B296,M_emp,0)),""))</f>
        <v/>
      </c>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4" t="str">
        <f aca="false">IF($B296="","",COUNTIF($F296:$AJ296,"P"))</f>
        <v/>
      </c>
      <c r="AL296" s="34" t="str">
        <f aca="false">IF($B296="","",COUNTIF($F296:$AJ296,"A"))</f>
        <v/>
      </c>
      <c r="AM296" s="34" t="str">
        <f aca="false">IF($B296="","",COUNTIF($F296:$AJ296,"HA"))</f>
        <v/>
      </c>
      <c r="AN296" s="34" t="str">
        <f aca="false">IF($B296="","",COUNTIF($F296:$AJ296,"L"))</f>
        <v/>
      </c>
      <c r="AO296" s="34" t="str">
        <f aca="false">IF($B296="","",COUNTIF($F296:$AJ296,"PL"))</f>
        <v/>
      </c>
      <c r="AP296" s="34" t="str">
        <f aca="false">IF($B296="","",COUNTIF($F296:$AJ296,"CL"))</f>
        <v/>
      </c>
      <c r="AQ296" s="34" t="str">
        <f aca="false">IF($B296="","",COUNTIF($F296:$AJ296,"SL"))</f>
        <v/>
      </c>
      <c r="AR296" s="34" t="str">
        <f aca="false">IF($B296="","",COUNTIF($F296:$AJ296,"CO"))</f>
        <v/>
      </c>
      <c r="AS296" s="34" t="str">
        <f aca="false">IF($B296="","",COUNTIF($F296:$AJ296,"HPL"))</f>
        <v/>
      </c>
      <c r="AT296" s="34" t="str">
        <f aca="false">IF($B296="","",COUNTIF($F296:$AJ296,"HCL"))</f>
        <v/>
      </c>
      <c r="AU296" s="34" t="str">
        <f aca="false">IF($B296="","",COUNTIF($F296:$AJ296,"WO"))</f>
        <v/>
      </c>
      <c r="AV296" s="34" t="str">
        <f aca="false">IF($B296="","",COUNTIF($F296:$AJ296,"PH"))</f>
        <v/>
      </c>
      <c r="AW296" s="34" t="str">
        <f aca="false">IF($B296="","",COUNTIF($F296:$AJ296,"TR"))</f>
        <v/>
      </c>
      <c r="AX296" s="35" t="str">
        <f aca="false">IF($B296="","",AO296+AS296/2)</f>
        <v/>
      </c>
      <c r="AY296" s="35" t="str">
        <f aca="false">IF($B296="","",AQ296)</f>
        <v/>
      </c>
      <c r="AZ296" s="35" t="str">
        <f aca="false">IF($B296="","",AP296+AT296/2)</f>
        <v/>
      </c>
      <c r="BA296" s="35" t="str">
        <f aca="false">IF($B296="","",AK296+AN296+AM296/2+AO296+AP296+AQ296+AR296+AS296+AT296+AU296+AV296+AW296)</f>
        <v/>
      </c>
      <c r="BB296" s="35" t="str">
        <f aca="false">IF($B296="","",MAX(0,AN296-Settings!$C$16)*Settings!$C$17)</f>
        <v/>
      </c>
      <c r="BC296" s="35" t="str">
        <f aca="false">IF($B296="","",BA296-BB296)</f>
        <v/>
      </c>
      <c r="BD296" s="35" t="str">
        <f aca="false">IF(OR($B296="",$A296=""),"",DAY(EOMONTH($A296,0))-COUNTA($F296:$AJ296))</f>
        <v/>
      </c>
    </row>
    <row r="297" customFormat="false" ht="15" hidden="false" customHeight="false" outlineLevel="0" collapsed="false">
      <c r="A297" s="32"/>
      <c r="B297" s="29"/>
      <c r="C297" s="10" t="str">
        <f aca="false">IF($B297="","",IFERROR(INDEX(M_name,MATCH($B297,M_emp,0)),"Code not found"))</f>
        <v/>
      </c>
      <c r="D297" s="10" t="str">
        <f aca="false">IF($B297="","",IFERROR(INDEX(M_dept,MATCH($B297,M_emp,0)),""))</f>
        <v/>
      </c>
      <c r="E297" s="10" t="str">
        <f aca="false">IF($B297="","",IFERROR(INDEX(M_loc,MATCH($B297,M_emp,0)),""))</f>
        <v/>
      </c>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4" t="str">
        <f aca="false">IF($B297="","",COUNTIF($F297:$AJ297,"P"))</f>
        <v/>
      </c>
      <c r="AL297" s="34" t="str">
        <f aca="false">IF($B297="","",COUNTIF($F297:$AJ297,"A"))</f>
        <v/>
      </c>
      <c r="AM297" s="34" t="str">
        <f aca="false">IF($B297="","",COUNTIF($F297:$AJ297,"HA"))</f>
        <v/>
      </c>
      <c r="AN297" s="34" t="str">
        <f aca="false">IF($B297="","",COUNTIF($F297:$AJ297,"L"))</f>
        <v/>
      </c>
      <c r="AO297" s="34" t="str">
        <f aca="false">IF($B297="","",COUNTIF($F297:$AJ297,"PL"))</f>
        <v/>
      </c>
      <c r="AP297" s="34" t="str">
        <f aca="false">IF($B297="","",COUNTIF($F297:$AJ297,"CL"))</f>
        <v/>
      </c>
      <c r="AQ297" s="34" t="str">
        <f aca="false">IF($B297="","",COUNTIF($F297:$AJ297,"SL"))</f>
        <v/>
      </c>
      <c r="AR297" s="34" t="str">
        <f aca="false">IF($B297="","",COUNTIF($F297:$AJ297,"CO"))</f>
        <v/>
      </c>
      <c r="AS297" s="34" t="str">
        <f aca="false">IF($B297="","",COUNTIF($F297:$AJ297,"HPL"))</f>
        <v/>
      </c>
      <c r="AT297" s="34" t="str">
        <f aca="false">IF($B297="","",COUNTIF($F297:$AJ297,"HCL"))</f>
        <v/>
      </c>
      <c r="AU297" s="34" t="str">
        <f aca="false">IF($B297="","",COUNTIF($F297:$AJ297,"WO"))</f>
        <v/>
      </c>
      <c r="AV297" s="34" t="str">
        <f aca="false">IF($B297="","",COUNTIF($F297:$AJ297,"PH"))</f>
        <v/>
      </c>
      <c r="AW297" s="34" t="str">
        <f aca="false">IF($B297="","",COUNTIF($F297:$AJ297,"TR"))</f>
        <v/>
      </c>
      <c r="AX297" s="35" t="str">
        <f aca="false">IF($B297="","",AO297+AS297/2)</f>
        <v/>
      </c>
      <c r="AY297" s="35" t="str">
        <f aca="false">IF($B297="","",AQ297)</f>
        <v/>
      </c>
      <c r="AZ297" s="35" t="str">
        <f aca="false">IF($B297="","",AP297+AT297/2)</f>
        <v/>
      </c>
      <c r="BA297" s="35" t="str">
        <f aca="false">IF($B297="","",AK297+AN297+AM297/2+AO297+AP297+AQ297+AR297+AS297+AT297+AU297+AV297+AW297)</f>
        <v/>
      </c>
      <c r="BB297" s="35" t="str">
        <f aca="false">IF($B297="","",MAX(0,AN297-Settings!$C$16)*Settings!$C$17)</f>
        <v/>
      </c>
      <c r="BC297" s="35" t="str">
        <f aca="false">IF($B297="","",BA297-BB297)</f>
        <v/>
      </c>
      <c r="BD297" s="35" t="str">
        <f aca="false">IF(OR($B297="",$A297=""),"",DAY(EOMONTH($A297,0))-COUNTA($F297:$AJ297))</f>
        <v/>
      </c>
    </row>
    <row r="298" customFormat="false" ht="15" hidden="false" customHeight="false" outlineLevel="0" collapsed="false">
      <c r="A298" s="32"/>
      <c r="B298" s="29"/>
      <c r="C298" s="10" t="str">
        <f aca="false">IF($B298="","",IFERROR(INDEX(M_name,MATCH($B298,M_emp,0)),"Code not found"))</f>
        <v/>
      </c>
      <c r="D298" s="10" t="str">
        <f aca="false">IF($B298="","",IFERROR(INDEX(M_dept,MATCH($B298,M_emp,0)),""))</f>
        <v/>
      </c>
      <c r="E298" s="10" t="str">
        <f aca="false">IF($B298="","",IFERROR(INDEX(M_loc,MATCH($B298,M_emp,0)),""))</f>
        <v/>
      </c>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4" t="str">
        <f aca="false">IF($B298="","",COUNTIF($F298:$AJ298,"P"))</f>
        <v/>
      </c>
      <c r="AL298" s="34" t="str">
        <f aca="false">IF($B298="","",COUNTIF($F298:$AJ298,"A"))</f>
        <v/>
      </c>
      <c r="AM298" s="34" t="str">
        <f aca="false">IF($B298="","",COUNTIF($F298:$AJ298,"HA"))</f>
        <v/>
      </c>
      <c r="AN298" s="34" t="str">
        <f aca="false">IF($B298="","",COUNTIF($F298:$AJ298,"L"))</f>
        <v/>
      </c>
      <c r="AO298" s="34" t="str">
        <f aca="false">IF($B298="","",COUNTIF($F298:$AJ298,"PL"))</f>
        <v/>
      </c>
      <c r="AP298" s="34" t="str">
        <f aca="false">IF($B298="","",COUNTIF($F298:$AJ298,"CL"))</f>
        <v/>
      </c>
      <c r="AQ298" s="34" t="str">
        <f aca="false">IF($B298="","",COUNTIF($F298:$AJ298,"SL"))</f>
        <v/>
      </c>
      <c r="AR298" s="34" t="str">
        <f aca="false">IF($B298="","",COUNTIF($F298:$AJ298,"CO"))</f>
        <v/>
      </c>
      <c r="AS298" s="34" t="str">
        <f aca="false">IF($B298="","",COUNTIF($F298:$AJ298,"HPL"))</f>
        <v/>
      </c>
      <c r="AT298" s="34" t="str">
        <f aca="false">IF($B298="","",COUNTIF($F298:$AJ298,"HCL"))</f>
        <v/>
      </c>
      <c r="AU298" s="34" t="str">
        <f aca="false">IF($B298="","",COUNTIF($F298:$AJ298,"WO"))</f>
        <v/>
      </c>
      <c r="AV298" s="34" t="str">
        <f aca="false">IF($B298="","",COUNTIF($F298:$AJ298,"PH"))</f>
        <v/>
      </c>
      <c r="AW298" s="34" t="str">
        <f aca="false">IF($B298="","",COUNTIF($F298:$AJ298,"TR"))</f>
        <v/>
      </c>
      <c r="AX298" s="35" t="str">
        <f aca="false">IF($B298="","",AO298+AS298/2)</f>
        <v/>
      </c>
      <c r="AY298" s="35" t="str">
        <f aca="false">IF($B298="","",AQ298)</f>
        <v/>
      </c>
      <c r="AZ298" s="35" t="str">
        <f aca="false">IF($B298="","",AP298+AT298/2)</f>
        <v/>
      </c>
      <c r="BA298" s="35" t="str">
        <f aca="false">IF($B298="","",AK298+AN298+AM298/2+AO298+AP298+AQ298+AR298+AS298+AT298+AU298+AV298+AW298)</f>
        <v/>
      </c>
      <c r="BB298" s="35" t="str">
        <f aca="false">IF($B298="","",MAX(0,AN298-Settings!$C$16)*Settings!$C$17)</f>
        <v/>
      </c>
      <c r="BC298" s="35" t="str">
        <f aca="false">IF($B298="","",BA298-BB298)</f>
        <v/>
      </c>
      <c r="BD298" s="35" t="str">
        <f aca="false">IF(OR($B298="",$A298=""),"",DAY(EOMONTH($A298,0))-COUNTA($F298:$AJ298))</f>
        <v/>
      </c>
    </row>
    <row r="299" customFormat="false" ht="15" hidden="false" customHeight="false" outlineLevel="0" collapsed="false">
      <c r="A299" s="32"/>
      <c r="B299" s="29"/>
      <c r="C299" s="10" t="str">
        <f aca="false">IF($B299="","",IFERROR(INDEX(M_name,MATCH($B299,M_emp,0)),"Code not found"))</f>
        <v/>
      </c>
      <c r="D299" s="10" t="str">
        <f aca="false">IF($B299="","",IFERROR(INDEX(M_dept,MATCH($B299,M_emp,0)),""))</f>
        <v/>
      </c>
      <c r="E299" s="10" t="str">
        <f aca="false">IF($B299="","",IFERROR(INDEX(M_loc,MATCH($B299,M_emp,0)),""))</f>
        <v/>
      </c>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4" t="str">
        <f aca="false">IF($B299="","",COUNTIF($F299:$AJ299,"P"))</f>
        <v/>
      </c>
      <c r="AL299" s="34" t="str">
        <f aca="false">IF($B299="","",COUNTIF($F299:$AJ299,"A"))</f>
        <v/>
      </c>
      <c r="AM299" s="34" t="str">
        <f aca="false">IF($B299="","",COUNTIF($F299:$AJ299,"HA"))</f>
        <v/>
      </c>
      <c r="AN299" s="34" t="str">
        <f aca="false">IF($B299="","",COUNTIF($F299:$AJ299,"L"))</f>
        <v/>
      </c>
      <c r="AO299" s="34" t="str">
        <f aca="false">IF($B299="","",COUNTIF($F299:$AJ299,"PL"))</f>
        <v/>
      </c>
      <c r="AP299" s="34" t="str">
        <f aca="false">IF($B299="","",COUNTIF($F299:$AJ299,"CL"))</f>
        <v/>
      </c>
      <c r="AQ299" s="34" t="str">
        <f aca="false">IF($B299="","",COUNTIF($F299:$AJ299,"SL"))</f>
        <v/>
      </c>
      <c r="AR299" s="34" t="str">
        <f aca="false">IF($B299="","",COUNTIF($F299:$AJ299,"CO"))</f>
        <v/>
      </c>
      <c r="AS299" s="34" t="str">
        <f aca="false">IF($B299="","",COUNTIF($F299:$AJ299,"HPL"))</f>
        <v/>
      </c>
      <c r="AT299" s="34" t="str">
        <f aca="false">IF($B299="","",COUNTIF($F299:$AJ299,"HCL"))</f>
        <v/>
      </c>
      <c r="AU299" s="34" t="str">
        <f aca="false">IF($B299="","",COUNTIF($F299:$AJ299,"WO"))</f>
        <v/>
      </c>
      <c r="AV299" s="34" t="str">
        <f aca="false">IF($B299="","",COUNTIF($F299:$AJ299,"PH"))</f>
        <v/>
      </c>
      <c r="AW299" s="34" t="str">
        <f aca="false">IF($B299="","",COUNTIF($F299:$AJ299,"TR"))</f>
        <v/>
      </c>
      <c r="AX299" s="35" t="str">
        <f aca="false">IF($B299="","",AO299+AS299/2)</f>
        <v/>
      </c>
      <c r="AY299" s="35" t="str">
        <f aca="false">IF($B299="","",AQ299)</f>
        <v/>
      </c>
      <c r="AZ299" s="35" t="str">
        <f aca="false">IF($B299="","",AP299+AT299/2)</f>
        <v/>
      </c>
      <c r="BA299" s="35" t="str">
        <f aca="false">IF($B299="","",AK299+AN299+AM299/2+AO299+AP299+AQ299+AR299+AS299+AT299+AU299+AV299+AW299)</f>
        <v/>
      </c>
      <c r="BB299" s="35" t="str">
        <f aca="false">IF($B299="","",MAX(0,AN299-Settings!$C$16)*Settings!$C$17)</f>
        <v/>
      </c>
      <c r="BC299" s="35" t="str">
        <f aca="false">IF($B299="","",BA299-BB299)</f>
        <v/>
      </c>
      <c r="BD299" s="35" t="str">
        <f aca="false">IF(OR($B299="",$A299=""),"",DAY(EOMONTH($A299,0))-COUNTA($F299:$AJ299))</f>
        <v/>
      </c>
    </row>
    <row r="300" customFormat="false" ht="15" hidden="false" customHeight="false" outlineLevel="0" collapsed="false">
      <c r="A300" s="32"/>
      <c r="B300" s="29"/>
      <c r="C300" s="10" t="str">
        <f aca="false">IF($B300="","",IFERROR(INDEX(M_name,MATCH($B300,M_emp,0)),"Code not found"))</f>
        <v/>
      </c>
      <c r="D300" s="10" t="str">
        <f aca="false">IF($B300="","",IFERROR(INDEX(M_dept,MATCH($B300,M_emp,0)),""))</f>
        <v/>
      </c>
      <c r="E300" s="10" t="str">
        <f aca="false">IF($B300="","",IFERROR(INDEX(M_loc,MATCH($B300,M_emp,0)),""))</f>
        <v/>
      </c>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4" t="str">
        <f aca="false">IF($B300="","",COUNTIF($F300:$AJ300,"P"))</f>
        <v/>
      </c>
      <c r="AL300" s="34" t="str">
        <f aca="false">IF($B300="","",COUNTIF($F300:$AJ300,"A"))</f>
        <v/>
      </c>
      <c r="AM300" s="34" t="str">
        <f aca="false">IF($B300="","",COUNTIF($F300:$AJ300,"HA"))</f>
        <v/>
      </c>
      <c r="AN300" s="34" t="str">
        <f aca="false">IF($B300="","",COUNTIF($F300:$AJ300,"L"))</f>
        <v/>
      </c>
      <c r="AO300" s="34" t="str">
        <f aca="false">IF($B300="","",COUNTIF($F300:$AJ300,"PL"))</f>
        <v/>
      </c>
      <c r="AP300" s="34" t="str">
        <f aca="false">IF($B300="","",COUNTIF($F300:$AJ300,"CL"))</f>
        <v/>
      </c>
      <c r="AQ300" s="34" t="str">
        <f aca="false">IF($B300="","",COUNTIF($F300:$AJ300,"SL"))</f>
        <v/>
      </c>
      <c r="AR300" s="34" t="str">
        <f aca="false">IF($B300="","",COUNTIF($F300:$AJ300,"CO"))</f>
        <v/>
      </c>
      <c r="AS300" s="34" t="str">
        <f aca="false">IF($B300="","",COUNTIF($F300:$AJ300,"HPL"))</f>
        <v/>
      </c>
      <c r="AT300" s="34" t="str">
        <f aca="false">IF($B300="","",COUNTIF($F300:$AJ300,"HCL"))</f>
        <v/>
      </c>
      <c r="AU300" s="34" t="str">
        <f aca="false">IF($B300="","",COUNTIF($F300:$AJ300,"WO"))</f>
        <v/>
      </c>
      <c r="AV300" s="34" t="str">
        <f aca="false">IF($B300="","",COUNTIF($F300:$AJ300,"PH"))</f>
        <v/>
      </c>
      <c r="AW300" s="34" t="str">
        <f aca="false">IF($B300="","",COUNTIF($F300:$AJ300,"TR"))</f>
        <v/>
      </c>
      <c r="AX300" s="35" t="str">
        <f aca="false">IF($B300="","",AO300+AS300/2)</f>
        <v/>
      </c>
      <c r="AY300" s="35" t="str">
        <f aca="false">IF($B300="","",AQ300)</f>
        <v/>
      </c>
      <c r="AZ300" s="35" t="str">
        <f aca="false">IF($B300="","",AP300+AT300/2)</f>
        <v/>
      </c>
      <c r="BA300" s="35" t="str">
        <f aca="false">IF($B300="","",AK300+AN300+AM300/2+AO300+AP300+AQ300+AR300+AS300+AT300+AU300+AV300+AW300)</f>
        <v/>
      </c>
      <c r="BB300" s="35" t="str">
        <f aca="false">IF($B300="","",MAX(0,AN300-Settings!$C$16)*Settings!$C$17)</f>
        <v/>
      </c>
      <c r="BC300" s="35" t="str">
        <f aca="false">IF($B300="","",BA300-BB300)</f>
        <v/>
      </c>
      <c r="BD300" s="35" t="str">
        <f aca="false">IF(OR($B300="",$A300=""),"",DAY(EOMONTH($A300,0))-COUNTA($F300:$AJ300))</f>
        <v/>
      </c>
    </row>
    <row r="301" customFormat="false" ht="15" hidden="false" customHeight="false" outlineLevel="0" collapsed="false">
      <c r="A301" s="32"/>
      <c r="B301" s="29"/>
      <c r="C301" s="10" t="str">
        <f aca="false">IF($B301="","",IFERROR(INDEX(M_name,MATCH($B301,M_emp,0)),"Code not found"))</f>
        <v/>
      </c>
      <c r="D301" s="10" t="str">
        <f aca="false">IF($B301="","",IFERROR(INDEX(M_dept,MATCH($B301,M_emp,0)),""))</f>
        <v/>
      </c>
      <c r="E301" s="10" t="str">
        <f aca="false">IF($B301="","",IFERROR(INDEX(M_loc,MATCH($B301,M_emp,0)),""))</f>
        <v/>
      </c>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4" t="str">
        <f aca="false">IF($B301="","",COUNTIF($F301:$AJ301,"P"))</f>
        <v/>
      </c>
      <c r="AL301" s="34" t="str">
        <f aca="false">IF($B301="","",COUNTIF($F301:$AJ301,"A"))</f>
        <v/>
      </c>
      <c r="AM301" s="34" t="str">
        <f aca="false">IF($B301="","",COUNTIF($F301:$AJ301,"HA"))</f>
        <v/>
      </c>
      <c r="AN301" s="34" t="str">
        <f aca="false">IF($B301="","",COUNTIF($F301:$AJ301,"L"))</f>
        <v/>
      </c>
      <c r="AO301" s="34" t="str">
        <f aca="false">IF($B301="","",COUNTIF($F301:$AJ301,"PL"))</f>
        <v/>
      </c>
      <c r="AP301" s="34" t="str">
        <f aca="false">IF($B301="","",COUNTIF($F301:$AJ301,"CL"))</f>
        <v/>
      </c>
      <c r="AQ301" s="34" t="str">
        <f aca="false">IF($B301="","",COUNTIF($F301:$AJ301,"SL"))</f>
        <v/>
      </c>
      <c r="AR301" s="34" t="str">
        <f aca="false">IF($B301="","",COUNTIF($F301:$AJ301,"CO"))</f>
        <v/>
      </c>
      <c r="AS301" s="34" t="str">
        <f aca="false">IF($B301="","",COUNTIF($F301:$AJ301,"HPL"))</f>
        <v/>
      </c>
      <c r="AT301" s="34" t="str">
        <f aca="false">IF($B301="","",COUNTIF($F301:$AJ301,"HCL"))</f>
        <v/>
      </c>
      <c r="AU301" s="34" t="str">
        <f aca="false">IF($B301="","",COUNTIF($F301:$AJ301,"WO"))</f>
        <v/>
      </c>
      <c r="AV301" s="34" t="str">
        <f aca="false">IF($B301="","",COUNTIF($F301:$AJ301,"PH"))</f>
        <v/>
      </c>
      <c r="AW301" s="34" t="str">
        <f aca="false">IF($B301="","",COUNTIF($F301:$AJ301,"TR"))</f>
        <v/>
      </c>
      <c r="AX301" s="35" t="str">
        <f aca="false">IF($B301="","",AO301+AS301/2)</f>
        <v/>
      </c>
      <c r="AY301" s="35" t="str">
        <f aca="false">IF($B301="","",AQ301)</f>
        <v/>
      </c>
      <c r="AZ301" s="35" t="str">
        <f aca="false">IF($B301="","",AP301+AT301/2)</f>
        <v/>
      </c>
      <c r="BA301" s="35" t="str">
        <f aca="false">IF($B301="","",AK301+AN301+AM301/2+AO301+AP301+AQ301+AR301+AS301+AT301+AU301+AV301+AW301)</f>
        <v/>
      </c>
      <c r="BB301" s="35" t="str">
        <f aca="false">IF($B301="","",MAX(0,AN301-Settings!$C$16)*Settings!$C$17)</f>
        <v/>
      </c>
      <c r="BC301" s="35" t="str">
        <f aca="false">IF($B301="","",BA301-BB301)</f>
        <v/>
      </c>
      <c r="BD301" s="35" t="str">
        <f aca="false">IF(OR($B301="",$A301=""),"",DAY(EOMONTH($A301,0))-COUNTA($F301:$AJ301))</f>
        <v/>
      </c>
    </row>
    <row r="302" customFormat="false" ht="15" hidden="false" customHeight="false" outlineLevel="0" collapsed="false">
      <c r="A302" s="32"/>
      <c r="B302" s="29"/>
      <c r="C302" s="10" t="str">
        <f aca="false">IF($B302="","",IFERROR(INDEX(M_name,MATCH($B302,M_emp,0)),"Code not found"))</f>
        <v/>
      </c>
      <c r="D302" s="10" t="str">
        <f aca="false">IF($B302="","",IFERROR(INDEX(M_dept,MATCH($B302,M_emp,0)),""))</f>
        <v/>
      </c>
      <c r="E302" s="10" t="str">
        <f aca="false">IF($B302="","",IFERROR(INDEX(M_loc,MATCH($B302,M_emp,0)),""))</f>
        <v/>
      </c>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4" t="str">
        <f aca="false">IF($B302="","",COUNTIF($F302:$AJ302,"P"))</f>
        <v/>
      </c>
      <c r="AL302" s="34" t="str">
        <f aca="false">IF($B302="","",COUNTIF($F302:$AJ302,"A"))</f>
        <v/>
      </c>
      <c r="AM302" s="34" t="str">
        <f aca="false">IF($B302="","",COUNTIF($F302:$AJ302,"HA"))</f>
        <v/>
      </c>
      <c r="AN302" s="34" t="str">
        <f aca="false">IF($B302="","",COUNTIF($F302:$AJ302,"L"))</f>
        <v/>
      </c>
      <c r="AO302" s="34" t="str">
        <f aca="false">IF($B302="","",COUNTIF($F302:$AJ302,"PL"))</f>
        <v/>
      </c>
      <c r="AP302" s="34" t="str">
        <f aca="false">IF($B302="","",COUNTIF($F302:$AJ302,"CL"))</f>
        <v/>
      </c>
      <c r="AQ302" s="34" t="str">
        <f aca="false">IF($B302="","",COUNTIF($F302:$AJ302,"SL"))</f>
        <v/>
      </c>
      <c r="AR302" s="34" t="str">
        <f aca="false">IF($B302="","",COUNTIF($F302:$AJ302,"CO"))</f>
        <v/>
      </c>
      <c r="AS302" s="34" t="str">
        <f aca="false">IF($B302="","",COUNTIF($F302:$AJ302,"HPL"))</f>
        <v/>
      </c>
      <c r="AT302" s="34" t="str">
        <f aca="false">IF($B302="","",COUNTIF($F302:$AJ302,"HCL"))</f>
        <v/>
      </c>
      <c r="AU302" s="34" t="str">
        <f aca="false">IF($B302="","",COUNTIF($F302:$AJ302,"WO"))</f>
        <v/>
      </c>
      <c r="AV302" s="34" t="str">
        <f aca="false">IF($B302="","",COUNTIF($F302:$AJ302,"PH"))</f>
        <v/>
      </c>
      <c r="AW302" s="34" t="str">
        <f aca="false">IF($B302="","",COUNTIF($F302:$AJ302,"TR"))</f>
        <v/>
      </c>
      <c r="AX302" s="35" t="str">
        <f aca="false">IF($B302="","",AO302+AS302/2)</f>
        <v/>
      </c>
      <c r="AY302" s="35" t="str">
        <f aca="false">IF($B302="","",AQ302)</f>
        <v/>
      </c>
      <c r="AZ302" s="35" t="str">
        <f aca="false">IF($B302="","",AP302+AT302/2)</f>
        <v/>
      </c>
      <c r="BA302" s="35" t="str">
        <f aca="false">IF($B302="","",AK302+AN302+AM302/2+AO302+AP302+AQ302+AR302+AS302+AT302+AU302+AV302+AW302)</f>
        <v/>
      </c>
      <c r="BB302" s="35" t="str">
        <f aca="false">IF($B302="","",MAX(0,AN302-Settings!$C$16)*Settings!$C$17)</f>
        <v/>
      </c>
      <c r="BC302" s="35" t="str">
        <f aca="false">IF($B302="","",BA302-BB302)</f>
        <v/>
      </c>
      <c r="BD302" s="35" t="str">
        <f aca="false">IF(OR($B302="",$A302=""),"",DAY(EOMONTH($A302,0))-COUNTA($F302:$AJ302))</f>
        <v/>
      </c>
    </row>
    <row r="303" customFormat="false" ht="15" hidden="false" customHeight="false" outlineLevel="0" collapsed="false">
      <c r="A303" s="32"/>
      <c r="B303" s="29"/>
      <c r="C303" s="10" t="str">
        <f aca="false">IF($B303="","",IFERROR(INDEX(M_name,MATCH($B303,M_emp,0)),"Code not found"))</f>
        <v/>
      </c>
      <c r="D303" s="10" t="str">
        <f aca="false">IF($B303="","",IFERROR(INDEX(M_dept,MATCH($B303,M_emp,0)),""))</f>
        <v/>
      </c>
      <c r="E303" s="10" t="str">
        <f aca="false">IF($B303="","",IFERROR(INDEX(M_loc,MATCH($B303,M_emp,0)),""))</f>
        <v/>
      </c>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4" t="str">
        <f aca="false">IF($B303="","",COUNTIF($F303:$AJ303,"P"))</f>
        <v/>
      </c>
      <c r="AL303" s="34" t="str">
        <f aca="false">IF($B303="","",COUNTIF($F303:$AJ303,"A"))</f>
        <v/>
      </c>
      <c r="AM303" s="34" t="str">
        <f aca="false">IF($B303="","",COUNTIF($F303:$AJ303,"HA"))</f>
        <v/>
      </c>
      <c r="AN303" s="34" t="str">
        <f aca="false">IF($B303="","",COUNTIF($F303:$AJ303,"L"))</f>
        <v/>
      </c>
      <c r="AO303" s="34" t="str">
        <f aca="false">IF($B303="","",COUNTIF($F303:$AJ303,"PL"))</f>
        <v/>
      </c>
      <c r="AP303" s="34" t="str">
        <f aca="false">IF($B303="","",COUNTIF($F303:$AJ303,"CL"))</f>
        <v/>
      </c>
      <c r="AQ303" s="34" t="str">
        <f aca="false">IF($B303="","",COUNTIF($F303:$AJ303,"SL"))</f>
        <v/>
      </c>
      <c r="AR303" s="34" t="str">
        <f aca="false">IF($B303="","",COUNTIF($F303:$AJ303,"CO"))</f>
        <v/>
      </c>
      <c r="AS303" s="34" t="str">
        <f aca="false">IF($B303="","",COUNTIF($F303:$AJ303,"HPL"))</f>
        <v/>
      </c>
      <c r="AT303" s="34" t="str">
        <f aca="false">IF($B303="","",COUNTIF($F303:$AJ303,"HCL"))</f>
        <v/>
      </c>
      <c r="AU303" s="34" t="str">
        <f aca="false">IF($B303="","",COUNTIF($F303:$AJ303,"WO"))</f>
        <v/>
      </c>
      <c r="AV303" s="34" t="str">
        <f aca="false">IF($B303="","",COUNTIF($F303:$AJ303,"PH"))</f>
        <v/>
      </c>
      <c r="AW303" s="34" t="str">
        <f aca="false">IF($B303="","",COUNTIF($F303:$AJ303,"TR"))</f>
        <v/>
      </c>
      <c r="AX303" s="35" t="str">
        <f aca="false">IF($B303="","",AO303+AS303/2)</f>
        <v/>
      </c>
      <c r="AY303" s="35" t="str">
        <f aca="false">IF($B303="","",AQ303)</f>
        <v/>
      </c>
      <c r="AZ303" s="35" t="str">
        <f aca="false">IF($B303="","",AP303+AT303/2)</f>
        <v/>
      </c>
      <c r="BA303" s="35" t="str">
        <f aca="false">IF($B303="","",AK303+AN303+AM303/2+AO303+AP303+AQ303+AR303+AS303+AT303+AU303+AV303+AW303)</f>
        <v/>
      </c>
      <c r="BB303" s="35" t="str">
        <f aca="false">IF($B303="","",MAX(0,AN303-Settings!$C$16)*Settings!$C$17)</f>
        <v/>
      </c>
      <c r="BC303" s="35" t="str">
        <f aca="false">IF($B303="","",BA303-BB303)</f>
        <v/>
      </c>
      <c r="BD303" s="35" t="str">
        <f aca="false">IF(OR($B303="",$A303=""),"",DAY(EOMONTH($A303,0))-COUNTA($F303:$AJ303))</f>
        <v/>
      </c>
    </row>
    <row r="304" customFormat="false" ht="15" hidden="false" customHeight="false" outlineLevel="0" collapsed="false">
      <c r="A304" s="32"/>
      <c r="B304" s="29"/>
      <c r="C304" s="10" t="str">
        <f aca="false">IF($B304="","",IFERROR(INDEX(M_name,MATCH($B304,M_emp,0)),"Code not found"))</f>
        <v/>
      </c>
      <c r="D304" s="10" t="str">
        <f aca="false">IF($B304="","",IFERROR(INDEX(M_dept,MATCH($B304,M_emp,0)),""))</f>
        <v/>
      </c>
      <c r="E304" s="10" t="str">
        <f aca="false">IF($B304="","",IFERROR(INDEX(M_loc,MATCH($B304,M_emp,0)),""))</f>
        <v/>
      </c>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4" t="str">
        <f aca="false">IF($B304="","",COUNTIF($F304:$AJ304,"P"))</f>
        <v/>
      </c>
      <c r="AL304" s="34" t="str">
        <f aca="false">IF($B304="","",COUNTIF($F304:$AJ304,"A"))</f>
        <v/>
      </c>
      <c r="AM304" s="34" t="str">
        <f aca="false">IF($B304="","",COUNTIF($F304:$AJ304,"HA"))</f>
        <v/>
      </c>
      <c r="AN304" s="34" t="str">
        <f aca="false">IF($B304="","",COUNTIF($F304:$AJ304,"L"))</f>
        <v/>
      </c>
      <c r="AO304" s="34" t="str">
        <f aca="false">IF($B304="","",COUNTIF($F304:$AJ304,"PL"))</f>
        <v/>
      </c>
      <c r="AP304" s="34" t="str">
        <f aca="false">IF($B304="","",COUNTIF($F304:$AJ304,"CL"))</f>
        <v/>
      </c>
      <c r="AQ304" s="34" t="str">
        <f aca="false">IF($B304="","",COUNTIF($F304:$AJ304,"SL"))</f>
        <v/>
      </c>
      <c r="AR304" s="34" t="str">
        <f aca="false">IF($B304="","",COUNTIF($F304:$AJ304,"CO"))</f>
        <v/>
      </c>
      <c r="AS304" s="34" t="str">
        <f aca="false">IF($B304="","",COUNTIF($F304:$AJ304,"HPL"))</f>
        <v/>
      </c>
      <c r="AT304" s="34" t="str">
        <f aca="false">IF($B304="","",COUNTIF($F304:$AJ304,"HCL"))</f>
        <v/>
      </c>
      <c r="AU304" s="34" t="str">
        <f aca="false">IF($B304="","",COUNTIF($F304:$AJ304,"WO"))</f>
        <v/>
      </c>
      <c r="AV304" s="34" t="str">
        <f aca="false">IF($B304="","",COUNTIF($F304:$AJ304,"PH"))</f>
        <v/>
      </c>
      <c r="AW304" s="34" t="str">
        <f aca="false">IF($B304="","",COUNTIF($F304:$AJ304,"TR"))</f>
        <v/>
      </c>
      <c r="AX304" s="35" t="str">
        <f aca="false">IF($B304="","",AO304+AS304/2)</f>
        <v/>
      </c>
      <c r="AY304" s="35" t="str">
        <f aca="false">IF($B304="","",AQ304)</f>
        <v/>
      </c>
      <c r="AZ304" s="35" t="str">
        <f aca="false">IF($B304="","",AP304+AT304/2)</f>
        <v/>
      </c>
      <c r="BA304" s="35" t="str">
        <f aca="false">IF($B304="","",AK304+AN304+AM304/2+AO304+AP304+AQ304+AR304+AS304+AT304+AU304+AV304+AW304)</f>
        <v/>
      </c>
      <c r="BB304" s="35" t="str">
        <f aca="false">IF($B304="","",MAX(0,AN304-Settings!$C$16)*Settings!$C$17)</f>
        <v/>
      </c>
      <c r="BC304" s="35" t="str">
        <f aca="false">IF($B304="","",BA304-BB304)</f>
        <v/>
      </c>
      <c r="BD304" s="35" t="str">
        <f aca="false">IF(OR($B304="",$A304=""),"",DAY(EOMONTH($A304,0))-COUNTA($F304:$AJ304))</f>
        <v/>
      </c>
    </row>
    <row r="305" customFormat="false" ht="15" hidden="false" customHeight="false" outlineLevel="0" collapsed="false">
      <c r="A305" s="32"/>
      <c r="B305" s="29"/>
      <c r="C305" s="10" t="str">
        <f aca="false">IF($B305="","",IFERROR(INDEX(M_name,MATCH($B305,M_emp,0)),"Code not found"))</f>
        <v/>
      </c>
      <c r="D305" s="10" t="str">
        <f aca="false">IF($B305="","",IFERROR(INDEX(M_dept,MATCH($B305,M_emp,0)),""))</f>
        <v/>
      </c>
      <c r="E305" s="10" t="str">
        <f aca="false">IF($B305="","",IFERROR(INDEX(M_loc,MATCH($B305,M_emp,0)),""))</f>
        <v/>
      </c>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4" t="str">
        <f aca="false">IF($B305="","",COUNTIF($F305:$AJ305,"P"))</f>
        <v/>
      </c>
      <c r="AL305" s="34" t="str">
        <f aca="false">IF($B305="","",COUNTIF($F305:$AJ305,"A"))</f>
        <v/>
      </c>
      <c r="AM305" s="34" t="str">
        <f aca="false">IF($B305="","",COUNTIF($F305:$AJ305,"HA"))</f>
        <v/>
      </c>
      <c r="AN305" s="34" t="str">
        <f aca="false">IF($B305="","",COUNTIF($F305:$AJ305,"L"))</f>
        <v/>
      </c>
      <c r="AO305" s="34" t="str">
        <f aca="false">IF($B305="","",COUNTIF($F305:$AJ305,"PL"))</f>
        <v/>
      </c>
      <c r="AP305" s="34" t="str">
        <f aca="false">IF($B305="","",COUNTIF($F305:$AJ305,"CL"))</f>
        <v/>
      </c>
      <c r="AQ305" s="34" t="str">
        <f aca="false">IF($B305="","",COUNTIF($F305:$AJ305,"SL"))</f>
        <v/>
      </c>
      <c r="AR305" s="34" t="str">
        <f aca="false">IF($B305="","",COUNTIF($F305:$AJ305,"CO"))</f>
        <v/>
      </c>
      <c r="AS305" s="34" t="str">
        <f aca="false">IF($B305="","",COUNTIF($F305:$AJ305,"HPL"))</f>
        <v/>
      </c>
      <c r="AT305" s="34" t="str">
        <f aca="false">IF($B305="","",COUNTIF($F305:$AJ305,"HCL"))</f>
        <v/>
      </c>
      <c r="AU305" s="34" t="str">
        <f aca="false">IF($B305="","",COUNTIF($F305:$AJ305,"WO"))</f>
        <v/>
      </c>
      <c r="AV305" s="34" t="str">
        <f aca="false">IF($B305="","",COUNTIF($F305:$AJ305,"PH"))</f>
        <v/>
      </c>
      <c r="AW305" s="34" t="str">
        <f aca="false">IF($B305="","",COUNTIF($F305:$AJ305,"TR"))</f>
        <v/>
      </c>
      <c r="AX305" s="35" t="str">
        <f aca="false">IF($B305="","",AO305+AS305/2)</f>
        <v/>
      </c>
      <c r="AY305" s="35" t="str">
        <f aca="false">IF($B305="","",AQ305)</f>
        <v/>
      </c>
      <c r="AZ305" s="35" t="str">
        <f aca="false">IF($B305="","",AP305+AT305/2)</f>
        <v/>
      </c>
      <c r="BA305" s="35" t="str">
        <f aca="false">IF($B305="","",AK305+AN305+AM305/2+AO305+AP305+AQ305+AR305+AS305+AT305+AU305+AV305+AW305)</f>
        <v/>
      </c>
      <c r="BB305" s="35" t="str">
        <f aca="false">IF($B305="","",MAX(0,AN305-Settings!$C$16)*Settings!$C$17)</f>
        <v/>
      </c>
      <c r="BC305" s="35" t="str">
        <f aca="false">IF($B305="","",BA305-BB305)</f>
        <v/>
      </c>
      <c r="BD305" s="35" t="str">
        <f aca="false">IF(OR($B305="",$A305=""),"",DAY(EOMONTH($A305,0))-COUNTA($F305:$AJ305))</f>
        <v/>
      </c>
    </row>
    <row r="306" customFormat="false" ht="15" hidden="false" customHeight="false" outlineLevel="0" collapsed="false">
      <c r="A306" s="32"/>
      <c r="B306" s="29"/>
      <c r="C306" s="10" t="str">
        <f aca="false">IF($B306="","",IFERROR(INDEX(M_name,MATCH($B306,M_emp,0)),"Code not found"))</f>
        <v/>
      </c>
      <c r="D306" s="10" t="str">
        <f aca="false">IF($B306="","",IFERROR(INDEX(M_dept,MATCH($B306,M_emp,0)),""))</f>
        <v/>
      </c>
      <c r="E306" s="10" t="str">
        <f aca="false">IF($B306="","",IFERROR(INDEX(M_loc,MATCH($B306,M_emp,0)),""))</f>
        <v/>
      </c>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4" t="str">
        <f aca="false">IF($B306="","",COUNTIF($F306:$AJ306,"P"))</f>
        <v/>
      </c>
      <c r="AL306" s="34" t="str">
        <f aca="false">IF($B306="","",COUNTIF($F306:$AJ306,"A"))</f>
        <v/>
      </c>
      <c r="AM306" s="34" t="str">
        <f aca="false">IF($B306="","",COUNTIF($F306:$AJ306,"HA"))</f>
        <v/>
      </c>
      <c r="AN306" s="34" t="str">
        <f aca="false">IF($B306="","",COUNTIF($F306:$AJ306,"L"))</f>
        <v/>
      </c>
      <c r="AO306" s="34" t="str">
        <f aca="false">IF($B306="","",COUNTIF($F306:$AJ306,"PL"))</f>
        <v/>
      </c>
      <c r="AP306" s="34" t="str">
        <f aca="false">IF($B306="","",COUNTIF($F306:$AJ306,"CL"))</f>
        <v/>
      </c>
      <c r="AQ306" s="34" t="str">
        <f aca="false">IF($B306="","",COUNTIF($F306:$AJ306,"SL"))</f>
        <v/>
      </c>
      <c r="AR306" s="34" t="str">
        <f aca="false">IF($B306="","",COUNTIF($F306:$AJ306,"CO"))</f>
        <v/>
      </c>
      <c r="AS306" s="34" t="str">
        <f aca="false">IF($B306="","",COUNTIF($F306:$AJ306,"HPL"))</f>
        <v/>
      </c>
      <c r="AT306" s="34" t="str">
        <f aca="false">IF($B306="","",COUNTIF($F306:$AJ306,"HCL"))</f>
        <v/>
      </c>
      <c r="AU306" s="34" t="str">
        <f aca="false">IF($B306="","",COUNTIF($F306:$AJ306,"WO"))</f>
        <v/>
      </c>
      <c r="AV306" s="34" t="str">
        <f aca="false">IF($B306="","",COUNTIF($F306:$AJ306,"PH"))</f>
        <v/>
      </c>
      <c r="AW306" s="34" t="str">
        <f aca="false">IF($B306="","",COUNTIF($F306:$AJ306,"TR"))</f>
        <v/>
      </c>
      <c r="AX306" s="35" t="str">
        <f aca="false">IF($B306="","",AO306+AS306/2)</f>
        <v/>
      </c>
      <c r="AY306" s="35" t="str">
        <f aca="false">IF($B306="","",AQ306)</f>
        <v/>
      </c>
      <c r="AZ306" s="35" t="str">
        <f aca="false">IF($B306="","",AP306+AT306/2)</f>
        <v/>
      </c>
      <c r="BA306" s="35" t="str">
        <f aca="false">IF($B306="","",AK306+AN306+AM306/2+AO306+AP306+AQ306+AR306+AS306+AT306+AU306+AV306+AW306)</f>
        <v/>
      </c>
      <c r="BB306" s="35" t="str">
        <f aca="false">IF($B306="","",MAX(0,AN306-Settings!$C$16)*Settings!$C$17)</f>
        <v/>
      </c>
      <c r="BC306" s="35" t="str">
        <f aca="false">IF($B306="","",BA306-BB306)</f>
        <v/>
      </c>
      <c r="BD306" s="35" t="str">
        <f aca="false">IF(OR($B306="",$A306=""),"",DAY(EOMONTH($A306,0))-COUNTA($F306:$AJ306))</f>
        <v/>
      </c>
    </row>
    <row r="307" customFormat="false" ht="15" hidden="false" customHeight="false" outlineLevel="0" collapsed="false">
      <c r="A307" s="32"/>
      <c r="B307" s="29"/>
      <c r="C307" s="10" t="str">
        <f aca="false">IF($B307="","",IFERROR(INDEX(M_name,MATCH($B307,M_emp,0)),"Code not found"))</f>
        <v/>
      </c>
      <c r="D307" s="10" t="str">
        <f aca="false">IF($B307="","",IFERROR(INDEX(M_dept,MATCH($B307,M_emp,0)),""))</f>
        <v/>
      </c>
      <c r="E307" s="10" t="str">
        <f aca="false">IF($B307="","",IFERROR(INDEX(M_loc,MATCH($B307,M_emp,0)),""))</f>
        <v/>
      </c>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4" t="str">
        <f aca="false">IF($B307="","",COUNTIF($F307:$AJ307,"P"))</f>
        <v/>
      </c>
      <c r="AL307" s="34" t="str">
        <f aca="false">IF($B307="","",COUNTIF($F307:$AJ307,"A"))</f>
        <v/>
      </c>
      <c r="AM307" s="34" t="str">
        <f aca="false">IF($B307="","",COUNTIF($F307:$AJ307,"HA"))</f>
        <v/>
      </c>
      <c r="AN307" s="34" t="str">
        <f aca="false">IF($B307="","",COUNTIF($F307:$AJ307,"L"))</f>
        <v/>
      </c>
      <c r="AO307" s="34" t="str">
        <f aca="false">IF($B307="","",COUNTIF($F307:$AJ307,"PL"))</f>
        <v/>
      </c>
      <c r="AP307" s="34" t="str">
        <f aca="false">IF($B307="","",COUNTIF($F307:$AJ307,"CL"))</f>
        <v/>
      </c>
      <c r="AQ307" s="34" t="str">
        <f aca="false">IF($B307="","",COUNTIF($F307:$AJ307,"SL"))</f>
        <v/>
      </c>
      <c r="AR307" s="34" t="str">
        <f aca="false">IF($B307="","",COUNTIF($F307:$AJ307,"CO"))</f>
        <v/>
      </c>
      <c r="AS307" s="34" t="str">
        <f aca="false">IF($B307="","",COUNTIF($F307:$AJ307,"HPL"))</f>
        <v/>
      </c>
      <c r="AT307" s="34" t="str">
        <f aca="false">IF($B307="","",COUNTIF($F307:$AJ307,"HCL"))</f>
        <v/>
      </c>
      <c r="AU307" s="34" t="str">
        <f aca="false">IF($B307="","",COUNTIF($F307:$AJ307,"WO"))</f>
        <v/>
      </c>
      <c r="AV307" s="34" t="str">
        <f aca="false">IF($B307="","",COUNTIF($F307:$AJ307,"PH"))</f>
        <v/>
      </c>
      <c r="AW307" s="34" t="str">
        <f aca="false">IF($B307="","",COUNTIF($F307:$AJ307,"TR"))</f>
        <v/>
      </c>
      <c r="AX307" s="35" t="str">
        <f aca="false">IF($B307="","",AO307+AS307/2)</f>
        <v/>
      </c>
      <c r="AY307" s="35" t="str">
        <f aca="false">IF($B307="","",AQ307)</f>
        <v/>
      </c>
      <c r="AZ307" s="35" t="str">
        <f aca="false">IF($B307="","",AP307+AT307/2)</f>
        <v/>
      </c>
      <c r="BA307" s="35" t="str">
        <f aca="false">IF($B307="","",AK307+AN307+AM307/2+AO307+AP307+AQ307+AR307+AS307+AT307+AU307+AV307+AW307)</f>
        <v/>
      </c>
      <c r="BB307" s="35" t="str">
        <f aca="false">IF($B307="","",MAX(0,AN307-Settings!$C$16)*Settings!$C$17)</f>
        <v/>
      </c>
      <c r="BC307" s="35" t="str">
        <f aca="false">IF($B307="","",BA307-BB307)</f>
        <v/>
      </c>
      <c r="BD307" s="35" t="str">
        <f aca="false">IF(OR($B307="",$A307=""),"",DAY(EOMONTH($A307,0))-COUNTA($F307:$AJ307))</f>
        <v/>
      </c>
    </row>
    <row r="308" customFormat="false" ht="15" hidden="false" customHeight="false" outlineLevel="0" collapsed="false">
      <c r="A308" s="32"/>
      <c r="B308" s="29"/>
      <c r="C308" s="10" t="str">
        <f aca="false">IF($B308="","",IFERROR(INDEX(M_name,MATCH($B308,M_emp,0)),"Code not found"))</f>
        <v/>
      </c>
      <c r="D308" s="10" t="str">
        <f aca="false">IF($B308="","",IFERROR(INDEX(M_dept,MATCH($B308,M_emp,0)),""))</f>
        <v/>
      </c>
      <c r="E308" s="10" t="str">
        <f aca="false">IF($B308="","",IFERROR(INDEX(M_loc,MATCH($B308,M_emp,0)),""))</f>
        <v/>
      </c>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4" t="str">
        <f aca="false">IF($B308="","",COUNTIF($F308:$AJ308,"P"))</f>
        <v/>
      </c>
      <c r="AL308" s="34" t="str">
        <f aca="false">IF($B308="","",COUNTIF($F308:$AJ308,"A"))</f>
        <v/>
      </c>
      <c r="AM308" s="34" t="str">
        <f aca="false">IF($B308="","",COUNTIF($F308:$AJ308,"HA"))</f>
        <v/>
      </c>
      <c r="AN308" s="34" t="str">
        <f aca="false">IF($B308="","",COUNTIF($F308:$AJ308,"L"))</f>
        <v/>
      </c>
      <c r="AO308" s="34" t="str">
        <f aca="false">IF($B308="","",COUNTIF($F308:$AJ308,"PL"))</f>
        <v/>
      </c>
      <c r="AP308" s="34" t="str">
        <f aca="false">IF($B308="","",COUNTIF($F308:$AJ308,"CL"))</f>
        <v/>
      </c>
      <c r="AQ308" s="34" t="str">
        <f aca="false">IF($B308="","",COUNTIF($F308:$AJ308,"SL"))</f>
        <v/>
      </c>
      <c r="AR308" s="34" t="str">
        <f aca="false">IF($B308="","",COUNTIF($F308:$AJ308,"CO"))</f>
        <v/>
      </c>
      <c r="AS308" s="34" t="str">
        <f aca="false">IF($B308="","",COUNTIF($F308:$AJ308,"HPL"))</f>
        <v/>
      </c>
      <c r="AT308" s="34" t="str">
        <f aca="false">IF($B308="","",COUNTIF($F308:$AJ308,"HCL"))</f>
        <v/>
      </c>
      <c r="AU308" s="34" t="str">
        <f aca="false">IF($B308="","",COUNTIF($F308:$AJ308,"WO"))</f>
        <v/>
      </c>
      <c r="AV308" s="34" t="str">
        <f aca="false">IF($B308="","",COUNTIF($F308:$AJ308,"PH"))</f>
        <v/>
      </c>
      <c r="AW308" s="34" t="str">
        <f aca="false">IF($B308="","",COUNTIF($F308:$AJ308,"TR"))</f>
        <v/>
      </c>
      <c r="AX308" s="35" t="str">
        <f aca="false">IF($B308="","",AO308+AS308/2)</f>
        <v/>
      </c>
      <c r="AY308" s="35" t="str">
        <f aca="false">IF($B308="","",AQ308)</f>
        <v/>
      </c>
      <c r="AZ308" s="35" t="str">
        <f aca="false">IF($B308="","",AP308+AT308/2)</f>
        <v/>
      </c>
      <c r="BA308" s="35" t="str">
        <f aca="false">IF($B308="","",AK308+AN308+AM308/2+AO308+AP308+AQ308+AR308+AS308+AT308+AU308+AV308+AW308)</f>
        <v/>
      </c>
      <c r="BB308" s="35" t="str">
        <f aca="false">IF($B308="","",MAX(0,AN308-Settings!$C$16)*Settings!$C$17)</f>
        <v/>
      </c>
      <c r="BC308" s="35" t="str">
        <f aca="false">IF($B308="","",BA308-BB308)</f>
        <v/>
      </c>
      <c r="BD308" s="35" t="str">
        <f aca="false">IF(OR($B308="",$A308=""),"",DAY(EOMONTH($A308,0))-COUNTA($F308:$AJ308))</f>
        <v/>
      </c>
    </row>
    <row r="309" customFormat="false" ht="15" hidden="false" customHeight="false" outlineLevel="0" collapsed="false">
      <c r="A309" s="32"/>
      <c r="B309" s="29"/>
      <c r="C309" s="10" t="str">
        <f aca="false">IF($B309="","",IFERROR(INDEX(M_name,MATCH($B309,M_emp,0)),"Code not found"))</f>
        <v/>
      </c>
      <c r="D309" s="10" t="str">
        <f aca="false">IF($B309="","",IFERROR(INDEX(M_dept,MATCH($B309,M_emp,0)),""))</f>
        <v/>
      </c>
      <c r="E309" s="10" t="str">
        <f aca="false">IF($B309="","",IFERROR(INDEX(M_loc,MATCH($B309,M_emp,0)),""))</f>
        <v/>
      </c>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4" t="str">
        <f aca="false">IF($B309="","",COUNTIF($F309:$AJ309,"P"))</f>
        <v/>
      </c>
      <c r="AL309" s="34" t="str">
        <f aca="false">IF($B309="","",COUNTIF($F309:$AJ309,"A"))</f>
        <v/>
      </c>
      <c r="AM309" s="34" t="str">
        <f aca="false">IF($B309="","",COUNTIF($F309:$AJ309,"HA"))</f>
        <v/>
      </c>
      <c r="AN309" s="34" t="str">
        <f aca="false">IF($B309="","",COUNTIF($F309:$AJ309,"L"))</f>
        <v/>
      </c>
      <c r="AO309" s="34" t="str">
        <f aca="false">IF($B309="","",COUNTIF($F309:$AJ309,"PL"))</f>
        <v/>
      </c>
      <c r="AP309" s="34" t="str">
        <f aca="false">IF($B309="","",COUNTIF($F309:$AJ309,"CL"))</f>
        <v/>
      </c>
      <c r="AQ309" s="34" t="str">
        <f aca="false">IF($B309="","",COUNTIF($F309:$AJ309,"SL"))</f>
        <v/>
      </c>
      <c r="AR309" s="34" t="str">
        <f aca="false">IF($B309="","",COUNTIF($F309:$AJ309,"CO"))</f>
        <v/>
      </c>
      <c r="AS309" s="34" t="str">
        <f aca="false">IF($B309="","",COUNTIF($F309:$AJ309,"HPL"))</f>
        <v/>
      </c>
      <c r="AT309" s="34" t="str">
        <f aca="false">IF($B309="","",COUNTIF($F309:$AJ309,"HCL"))</f>
        <v/>
      </c>
      <c r="AU309" s="34" t="str">
        <f aca="false">IF($B309="","",COUNTIF($F309:$AJ309,"WO"))</f>
        <v/>
      </c>
      <c r="AV309" s="34" t="str">
        <f aca="false">IF($B309="","",COUNTIF($F309:$AJ309,"PH"))</f>
        <v/>
      </c>
      <c r="AW309" s="34" t="str">
        <f aca="false">IF($B309="","",COUNTIF($F309:$AJ309,"TR"))</f>
        <v/>
      </c>
      <c r="AX309" s="35" t="str">
        <f aca="false">IF($B309="","",AO309+AS309/2)</f>
        <v/>
      </c>
      <c r="AY309" s="35" t="str">
        <f aca="false">IF($B309="","",AQ309)</f>
        <v/>
      </c>
      <c r="AZ309" s="35" t="str">
        <f aca="false">IF($B309="","",AP309+AT309/2)</f>
        <v/>
      </c>
      <c r="BA309" s="35" t="str">
        <f aca="false">IF($B309="","",AK309+AN309+AM309/2+AO309+AP309+AQ309+AR309+AS309+AT309+AU309+AV309+AW309)</f>
        <v/>
      </c>
      <c r="BB309" s="35" t="str">
        <f aca="false">IF($B309="","",MAX(0,AN309-Settings!$C$16)*Settings!$C$17)</f>
        <v/>
      </c>
      <c r="BC309" s="35" t="str">
        <f aca="false">IF($B309="","",BA309-BB309)</f>
        <v/>
      </c>
      <c r="BD309" s="35" t="str">
        <f aca="false">IF(OR($B309="",$A309=""),"",DAY(EOMONTH($A309,0))-COUNTA($F309:$AJ309))</f>
        <v/>
      </c>
    </row>
    <row r="310" customFormat="false" ht="15" hidden="false" customHeight="false" outlineLevel="0" collapsed="false">
      <c r="A310" s="32"/>
      <c r="B310" s="29"/>
      <c r="C310" s="10" t="str">
        <f aca="false">IF($B310="","",IFERROR(INDEX(M_name,MATCH($B310,M_emp,0)),"Code not found"))</f>
        <v/>
      </c>
      <c r="D310" s="10" t="str">
        <f aca="false">IF($B310="","",IFERROR(INDEX(M_dept,MATCH($B310,M_emp,0)),""))</f>
        <v/>
      </c>
      <c r="E310" s="10" t="str">
        <f aca="false">IF($B310="","",IFERROR(INDEX(M_loc,MATCH($B310,M_emp,0)),""))</f>
        <v/>
      </c>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4" t="str">
        <f aca="false">IF($B310="","",COUNTIF($F310:$AJ310,"P"))</f>
        <v/>
      </c>
      <c r="AL310" s="34" t="str">
        <f aca="false">IF($B310="","",COUNTIF($F310:$AJ310,"A"))</f>
        <v/>
      </c>
      <c r="AM310" s="34" t="str">
        <f aca="false">IF($B310="","",COUNTIF($F310:$AJ310,"HA"))</f>
        <v/>
      </c>
      <c r="AN310" s="34" t="str">
        <f aca="false">IF($B310="","",COUNTIF($F310:$AJ310,"L"))</f>
        <v/>
      </c>
      <c r="AO310" s="34" t="str">
        <f aca="false">IF($B310="","",COUNTIF($F310:$AJ310,"PL"))</f>
        <v/>
      </c>
      <c r="AP310" s="34" t="str">
        <f aca="false">IF($B310="","",COUNTIF($F310:$AJ310,"CL"))</f>
        <v/>
      </c>
      <c r="AQ310" s="34" t="str">
        <f aca="false">IF($B310="","",COUNTIF($F310:$AJ310,"SL"))</f>
        <v/>
      </c>
      <c r="AR310" s="34" t="str">
        <f aca="false">IF($B310="","",COUNTIF($F310:$AJ310,"CO"))</f>
        <v/>
      </c>
      <c r="AS310" s="34" t="str">
        <f aca="false">IF($B310="","",COUNTIF($F310:$AJ310,"HPL"))</f>
        <v/>
      </c>
      <c r="AT310" s="34" t="str">
        <f aca="false">IF($B310="","",COUNTIF($F310:$AJ310,"HCL"))</f>
        <v/>
      </c>
      <c r="AU310" s="34" t="str">
        <f aca="false">IF($B310="","",COUNTIF($F310:$AJ310,"WO"))</f>
        <v/>
      </c>
      <c r="AV310" s="34" t="str">
        <f aca="false">IF($B310="","",COUNTIF($F310:$AJ310,"PH"))</f>
        <v/>
      </c>
      <c r="AW310" s="34" t="str">
        <f aca="false">IF($B310="","",COUNTIF($F310:$AJ310,"TR"))</f>
        <v/>
      </c>
      <c r="AX310" s="35" t="str">
        <f aca="false">IF($B310="","",AO310+AS310/2)</f>
        <v/>
      </c>
      <c r="AY310" s="35" t="str">
        <f aca="false">IF($B310="","",AQ310)</f>
        <v/>
      </c>
      <c r="AZ310" s="35" t="str">
        <f aca="false">IF($B310="","",AP310+AT310/2)</f>
        <v/>
      </c>
      <c r="BA310" s="35" t="str">
        <f aca="false">IF($B310="","",AK310+AN310+AM310/2+AO310+AP310+AQ310+AR310+AS310+AT310+AU310+AV310+AW310)</f>
        <v/>
      </c>
      <c r="BB310" s="35" t="str">
        <f aca="false">IF($B310="","",MAX(0,AN310-Settings!$C$16)*Settings!$C$17)</f>
        <v/>
      </c>
      <c r="BC310" s="35" t="str">
        <f aca="false">IF($B310="","",BA310-BB310)</f>
        <v/>
      </c>
      <c r="BD310" s="35" t="str">
        <f aca="false">IF(OR($B310="",$A310=""),"",DAY(EOMONTH($A310,0))-COUNTA($F310:$AJ310))</f>
        <v/>
      </c>
    </row>
    <row r="311" customFormat="false" ht="15" hidden="false" customHeight="false" outlineLevel="0" collapsed="false">
      <c r="A311" s="32"/>
      <c r="B311" s="29"/>
      <c r="C311" s="10" t="str">
        <f aca="false">IF($B311="","",IFERROR(INDEX(M_name,MATCH($B311,M_emp,0)),"Code not found"))</f>
        <v/>
      </c>
      <c r="D311" s="10" t="str">
        <f aca="false">IF($B311="","",IFERROR(INDEX(M_dept,MATCH($B311,M_emp,0)),""))</f>
        <v/>
      </c>
      <c r="E311" s="10" t="str">
        <f aca="false">IF($B311="","",IFERROR(INDEX(M_loc,MATCH($B311,M_emp,0)),""))</f>
        <v/>
      </c>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4" t="str">
        <f aca="false">IF($B311="","",COUNTIF($F311:$AJ311,"P"))</f>
        <v/>
      </c>
      <c r="AL311" s="34" t="str">
        <f aca="false">IF($B311="","",COUNTIF($F311:$AJ311,"A"))</f>
        <v/>
      </c>
      <c r="AM311" s="34" t="str">
        <f aca="false">IF($B311="","",COUNTIF($F311:$AJ311,"HA"))</f>
        <v/>
      </c>
      <c r="AN311" s="34" t="str">
        <f aca="false">IF($B311="","",COUNTIF($F311:$AJ311,"L"))</f>
        <v/>
      </c>
      <c r="AO311" s="34" t="str">
        <f aca="false">IF($B311="","",COUNTIF($F311:$AJ311,"PL"))</f>
        <v/>
      </c>
      <c r="AP311" s="34" t="str">
        <f aca="false">IF($B311="","",COUNTIF($F311:$AJ311,"CL"))</f>
        <v/>
      </c>
      <c r="AQ311" s="34" t="str">
        <f aca="false">IF($B311="","",COUNTIF($F311:$AJ311,"SL"))</f>
        <v/>
      </c>
      <c r="AR311" s="34" t="str">
        <f aca="false">IF($B311="","",COUNTIF($F311:$AJ311,"CO"))</f>
        <v/>
      </c>
      <c r="AS311" s="34" t="str">
        <f aca="false">IF($B311="","",COUNTIF($F311:$AJ311,"HPL"))</f>
        <v/>
      </c>
      <c r="AT311" s="34" t="str">
        <f aca="false">IF($B311="","",COUNTIF($F311:$AJ311,"HCL"))</f>
        <v/>
      </c>
      <c r="AU311" s="34" t="str">
        <f aca="false">IF($B311="","",COUNTIF($F311:$AJ311,"WO"))</f>
        <v/>
      </c>
      <c r="AV311" s="34" t="str">
        <f aca="false">IF($B311="","",COUNTIF($F311:$AJ311,"PH"))</f>
        <v/>
      </c>
      <c r="AW311" s="34" t="str">
        <f aca="false">IF($B311="","",COUNTIF($F311:$AJ311,"TR"))</f>
        <v/>
      </c>
      <c r="AX311" s="35" t="str">
        <f aca="false">IF($B311="","",AO311+AS311/2)</f>
        <v/>
      </c>
      <c r="AY311" s="35" t="str">
        <f aca="false">IF($B311="","",AQ311)</f>
        <v/>
      </c>
      <c r="AZ311" s="35" t="str">
        <f aca="false">IF($B311="","",AP311+AT311/2)</f>
        <v/>
      </c>
      <c r="BA311" s="35" t="str">
        <f aca="false">IF($B311="","",AK311+AN311+AM311/2+AO311+AP311+AQ311+AR311+AS311+AT311+AU311+AV311+AW311)</f>
        <v/>
      </c>
      <c r="BB311" s="35" t="str">
        <f aca="false">IF($B311="","",MAX(0,AN311-Settings!$C$16)*Settings!$C$17)</f>
        <v/>
      </c>
      <c r="BC311" s="35" t="str">
        <f aca="false">IF($B311="","",BA311-BB311)</f>
        <v/>
      </c>
      <c r="BD311" s="35" t="str">
        <f aca="false">IF(OR($B311="",$A311=""),"",DAY(EOMONTH($A311,0))-COUNTA($F311:$AJ311))</f>
        <v/>
      </c>
    </row>
    <row r="312" customFormat="false" ht="15" hidden="false" customHeight="false" outlineLevel="0" collapsed="false">
      <c r="A312" s="32"/>
      <c r="B312" s="29"/>
      <c r="C312" s="10" t="str">
        <f aca="false">IF($B312="","",IFERROR(INDEX(M_name,MATCH($B312,M_emp,0)),"Code not found"))</f>
        <v/>
      </c>
      <c r="D312" s="10" t="str">
        <f aca="false">IF($B312="","",IFERROR(INDEX(M_dept,MATCH($B312,M_emp,0)),""))</f>
        <v/>
      </c>
      <c r="E312" s="10" t="str">
        <f aca="false">IF($B312="","",IFERROR(INDEX(M_loc,MATCH($B312,M_emp,0)),""))</f>
        <v/>
      </c>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4" t="str">
        <f aca="false">IF($B312="","",COUNTIF($F312:$AJ312,"P"))</f>
        <v/>
      </c>
      <c r="AL312" s="34" t="str">
        <f aca="false">IF($B312="","",COUNTIF($F312:$AJ312,"A"))</f>
        <v/>
      </c>
      <c r="AM312" s="34" t="str">
        <f aca="false">IF($B312="","",COUNTIF($F312:$AJ312,"HA"))</f>
        <v/>
      </c>
      <c r="AN312" s="34" t="str">
        <f aca="false">IF($B312="","",COUNTIF($F312:$AJ312,"L"))</f>
        <v/>
      </c>
      <c r="AO312" s="34" t="str">
        <f aca="false">IF($B312="","",COUNTIF($F312:$AJ312,"PL"))</f>
        <v/>
      </c>
      <c r="AP312" s="34" t="str">
        <f aca="false">IF($B312="","",COUNTIF($F312:$AJ312,"CL"))</f>
        <v/>
      </c>
      <c r="AQ312" s="34" t="str">
        <f aca="false">IF($B312="","",COUNTIF($F312:$AJ312,"SL"))</f>
        <v/>
      </c>
      <c r="AR312" s="34" t="str">
        <f aca="false">IF($B312="","",COUNTIF($F312:$AJ312,"CO"))</f>
        <v/>
      </c>
      <c r="AS312" s="34" t="str">
        <f aca="false">IF($B312="","",COUNTIF($F312:$AJ312,"HPL"))</f>
        <v/>
      </c>
      <c r="AT312" s="34" t="str">
        <f aca="false">IF($B312="","",COUNTIF($F312:$AJ312,"HCL"))</f>
        <v/>
      </c>
      <c r="AU312" s="34" t="str">
        <f aca="false">IF($B312="","",COUNTIF($F312:$AJ312,"WO"))</f>
        <v/>
      </c>
      <c r="AV312" s="34" t="str">
        <f aca="false">IF($B312="","",COUNTIF($F312:$AJ312,"PH"))</f>
        <v/>
      </c>
      <c r="AW312" s="34" t="str">
        <f aca="false">IF($B312="","",COUNTIF($F312:$AJ312,"TR"))</f>
        <v/>
      </c>
      <c r="AX312" s="35" t="str">
        <f aca="false">IF($B312="","",AO312+AS312/2)</f>
        <v/>
      </c>
      <c r="AY312" s="35" t="str">
        <f aca="false">IF($B312="","",AQ312)</f>
        <v/>
      </c>
      <c r="AZ312" s="35" t="str">
        <f aca="false">IF($B312="","",AP312+AT312/2)</f>
        <v/>
      </c>
      <c r="BA312" s="35" t="str">
        <f aca="false">IF($B312="","",AK312+AN312+AM312/2+AO312+AP312+AQ312+AR312+AS312+AT312+AU312+AV312+AW312)</f>
        <v/>
      </c>
      <c r="BB312" s="35" t="str">
        <f aca="false">IF($B312="","",MAX(0,AN312-Settings!$C$16)*Settings!$C$17)</f>
        <v/>
      </c>
      <c r="BC312" s="35" t="str">
        <f aca="false">IF($B312="","",BA312-BB312)</f>
        <v/>
      </c>
      <c r="BD312" s="35" t="str">
        <f aca="false">IF(OR($B312="",$A312=""),"",DAY(EOMONTH($A312,0))-COUNTA($F312:$AJ312))</f>
        <v/>
      </c>
    </row>
    <row r="313" customFormat="false" ht="15" hidden="false" customHeight="false" outlineLevel="0" collapsed="false">
      <c r="A313" s="32"/>
      <c r="B313" s="29"/>
      <c r="C313" s="10" t="str">
        <f aca="false">IF($B313="","",IFERROR(INDEX(M_name,MATCH($B313,M_emp,0)),"Code not found"))</f>
        <v/>
      </c>
      <c r="D313" s="10" t="str">
        <f aca="false">IF($B313="","",IFERROR(INDEX(M_dept,MATCH($B313,M_emp,0)),""))</f>
        <v/>
      </c>
      <c r="E313" s="10" t="str">
        <f aca="false">IF($B313="","",IFERROR(INDEX(M_loc,MATCH($B313,M_emp,0)),""))</f>
        <v/>
      </c>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4" t="str">
        <f aca="false">IF($B313="","",COUNTIF($F313:$AJ313,"P"))</f>
        <v/>
      </c>
      <c r="AL313" s="34" t="str">
        <f aca="false">IF($B313="","",COUNTIF($F313:$AJ313,"A"))</f>
        <v/>
      </c>
      <c r="AM313" s="34" t="str">
        <f aca="false">IF($B313="","",COUNTIF($F313:$AJ313,"HA"))</f>
        <v/>
      </c>
      <c r="AN313" s="34" t="str">
        <f aca="false">IF($B313="","",COUNTIF($F313:$AJ313,"L"))</f>
        <v/>
      </c>
      <c r="AO313" s="34" t="str">
        <f aca="false">IF($B313="","",COUNTIF($F313:$AJ313,"PL"))</f>
        <v/>
      </c>
      <c r="AP313" s="34" t="str">
        <f aca="false">IF($B313="","",COUNTIF($F313:$AJ313,"CL"))</f>
        <v/>
      </c>
      <c r="AQ313" s="34" t="str">
        <f aca="false">IF($B313="","",COUNTIF($F313:$AJ313,"SL"))</f>
        <v/>
      </c>
      <c r="AR313" s="34" t="str">
        <f aca="false">IF($B313="","",COUNTIF($F313:$AJ313,"CO"))</f>
        <v/>
      </c>
      <c r="AS313" s="34" t="str">
        <f aca="false">IF($B313="","",COUNTIF($F313:$AJ313,"HPL"))</f>
        <v/>
      </c>
      <c r="AT313" s="34" t="str">
        <f aca="false">IF($B313="","",COUNTIF($F313:$AJ313,"HCL"))</f>
        <v/>
      </c>
      <c r="AU313" s="34" t="str">
        <f aca="false">IF($B313="","",COUNTIF($F313:$AJ313,"WO"))</f>
        <v/>
      </c>
      <c r="AV313" s="34" t="str">
        <f aca="false">IF($B313="","",COUNTIF($F313:$AJ313,"PH"))</f>
        <v/>
      </c>
      <c r="AW313" s="34" t="str">
        <f aca="false">IF($B313="","",COUNTIF($F313:$AJ313,"TR"))</f>
        <v/>
      </c>
      <c r="AX313" s="35" t="str">
        <f aca="false">IF($B313="","",AO313+AS313/2)</f>
        <v/>
      </c>
      <c r="AY313" s="35" t="str">
        <f aca="false">IF($B313="","",AQ313)</f>
        <v/>
      </c>
      <c r="AZ313" s="35" t="str">
        <f aca="false">IF($B313="","",AP313+AT313/2)</f>
        <v/>
      </c>
      <c r="BA313" s="35" t="str">
        <f aca="false">IF($B313="","",AK313+AN313+AM313/2+AO313+AP313+AQ313+AR313+AS313+AT313+AU313+AV313+AW313)</f>
        <v/>
      </c>
      <c r="BB313" s="35" t="str">
        <f aca="false">IF($B313="","",MAX(0,AN313-Settings!$C$16)*Settings!$C$17)</f>
        <v/>
      </c>
      <c r="BC313" s="35" t="str">
        <f aca="false">IF($B313="","",BA313-BB313)</f>
        <v/>
      </c>
      <c r="BD313" s="35" t="str">
        <f aca="false">IF(OR($B313="",$A313=""),"",DAY(EOMONTH($A313,0))-COUNTA($F313:$AJ313))</f>
        <v/>
      </c>
    </row>
    <row r="314" customFormat="false" ht="15" hidden="false" customHeight="false" outlineLevel="0" collapsed="false">
      <c r="A314" s="32"/>
      <c r="B314" s="29"/>
      <c r="C314" s="10" t="str">
        <f aca="false">IF($B314="","",IFERROR(INDEX(M_name,MATCH($B314,M_emp,0)),"Code not found"))</f>
        <v/>
      </c>
      <c r="D314" s="10" t="str">
        <f aca="false">IF($B314="","",IFERROR(INDEX(M_dept,MATCH($B314,M_emp,0)),""))</f>
        <v/>
      </c>
      <c r="E314" s="10" t="str">
        <f aca="false">IF($B314="","",IFERROR(INDEX(M_loc,MATCH($B314,M_emp,0)),""))</f>
        <v/>
      </c>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4" t="str">
        <f aca="false">IF($B314="","",COUNTIF($F314:$AJ314,"P"))</f>
        <v/>
      </c>
      <c r="AL314" s="34" t="str">
        <f aca="false">IF($B314="","",COUNTIF($F314:$AJ314,"A"))</f>
        <v/>
      </c>
      <c r="AM314" s="34" t="str">
        <f aca="false">IF($B314="","",COUNTIF($F314:$AJ314,"HA"))</f>
        <v/>
      </c>
      <c r="AN314" s="34" t="str">
        <f aca="false">IF($B314="","",COUNTIF($F314:$AJ314,"L"))</f>
        <v/>
      </c>
      <c r="AO314" s="34" t="str">
        <f aca="false">IF($B314="","",COUNTIF($F314:$AJ314,"PL"))</f>
        <v/>
      </c>
      <c r="AP314" s="34" t="str">
        <f aca="false">IF($B314="","",COUNTIF($F314:$AJ314,"CL"))</f>
        <v/>
      </c>
      <c r="AQ314" s="34" t="str">
        <f aca="false">IF($B314="","",COUNTIF($F314:$AJ314,"SL"))</f>
        <v/>
      </c>
      <c r="AR314" s="34" t="str">
        <f aca="false">IF($B314="","",COUNTIF($F314:$AJ314,"CO"))</f>
        <v/>
      </c>
      <c r="AS314" s="34" t="str">
        <f aca="false">IF($B314="","",COUNTIF($F314:$AJ314,"HPL"))</f>
        <v/>
      </c>
      <c r="AT314" s="34" t="str">
        <f aca="false">IF($B314="","",COUNTIF($F314:$AJ314,"HCL"))</f>
        <v/>
      </c>
      <c r="AU314" s="34" t="str">
        <f aca="false">IF($B314="","",COUNTIF($F314:$AJ314,"WO"))</f>
        <v/>
      </c>
      <c r="AV314" s="34" t="str">
        <f aca="false">IF($B314="","",COUNTIF($F314:$AJ314,"PH"))</f>
        <v/>
      </c>
      <c r="AW314" s="34" t="str">
        <f aca="false">IF($B314="","",COUNTIF($F314:$AJ314,"TR"))</f>
        <v/>
      </c>
      <c r="AX314" s="35" t="str">
        <f aca="false">IF($B314="","",AO314+AS314/2)</f>
        <v/>
      </c>
      <c r="AY314" s="35" t="str">
        <f aca="false">IF($B314="","",AQ314)</f>
        <v/>
      </c>
      <c r="AZ314" s="35" t="str">
        <f aca="false">IF($B314="","",AP314+AT314/2)</f>
        <v/>
      </c>
      <c r="BA314" s="35" t="str">
        <f aca="false">IF($B314="","",AK314+AN314+AM314/2+AO314+AP314+AQ314+AR314+AS314+AT314+AU314+AV314+AW314)</f>
        <v/>
      </c>
      <c r="BB314" s="35" t="str">
        <f aca="false">IF($B314="","",MAX(0,AN314-Settings!$C$16)*Settings!$C$17)</f>
        <v/>
      </c>
      <c r="BC314" s="35" t="str">
        <f aca="false">IF($B314="","",BA314-BB314)</f>
        <v/>
      </c>
      <c r="BD314" s="35" t="str">
        <f aca="false">IF(OR($B314="",$A314=""),"",DAY(EOMONTH($A314,0))-COUNTA($F314:$AJ314))</f>
        <v/>
      </c>
    </row>
    <row r="315" customFormat="false" ht="15" hidden="false" customHeight="false" outlineLevel="0" collapsed="false">
      <c r="A315" s="32"/>
      <c r="B315" s="29"/>
      <c r="C315" s="10" t="str">
        <f aca="false">IF($B315="","",IFERROR(INDEX(M_name,MATCH($B315,M_emp,0)),"Code not found"))</f>
        <v/>
      </c>
      <c r="D315" s="10" t="str">
        <f aca="false">IF($B315="","",IFERROR(INDEX(M_dept,MATCH($B315,M_emp,0)),""))</f>
        <v/>
      </c>
      <c r="E315" s="10" t="str">
        <f aca="false">IF($B315="","",IFERROR(INDEX(M_loc,MATCH($B315,M_emp,0)),""))</f>
        <v/>
      </c>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4" t="str">
        <f aca="false">IF($B315="","",COUNTIF($F315:$AJ315,"P"))</f>
        <v/>
      </c>
      <c r="AL315" s="34" t="str">
        <f aca="false">IF($B315="","",COUNTIF($F315:$AJ315,"A"))</f>
        <v/>
      </c>
      <c r="AM315" s="34" t="str">
        <f aca="false">IF($B315="","",COUNTIF($F315:$AJ315,"HA"))</f>
        <v/>
      </c>
      <c r="AN315" s="34" t="str">
        <f aca="false">IF($B315="","",COUNTIF($F315:$AJ315,"L"))</f>
        <v/>
      </c>
      <c r="AO315" s="34" t="str">
        <f aca="false">IF($B315="","",COUNTIF($F315:$AJ315,"PL"))</f>
        <v/>
      </c>
      <c r="AP315" s="34" t="str">
        <f aca="false">IF($B315="","",COUNTIF($F315:$AJ315,"CL"))</f>
        <v/>
      </c>
      <c r="AQ315" s="34" t="str">
        <f aca="false">IF($B315="","",COUNTIF($F315:$AJ315,"SL"))</f>
        <v/>
      </c>
      <c r="AR315" s="34" t="str">
        <f aca="false">IF($B315="","",COUNTIF($F315:$AJ315,"CO"))</f>
        <v/>
      </c>
      <c r="AS315" s="34" t="str">
        <f aca="false">IF($B315="","",COUNTIF($F315:$AJ315,"HPL"))</f>
        <v/>
      </c>
      <c r="AT315" s="34" t="str">
        <f aca="false">IF($B315="","",COUNTIF($F315:$AJ315,"HCL"))</f>
        <v/>
      </c>
      <c r="AU315" s="34" t="str">
        <f aca="false">IF($B315="","",COUNTIF($F315:$AJ315,"WO"))</f>
        <v/>
      </c>
      <c r="AV315" s="34" t="str">
        <f aca="false">IF($B315="","",COUNTIF($F315:$AJ315,"PH"))</f>
        <v/>
      </c>
      <c r="AW315" s="34" t="str">
        <f aca="false">IF($B315="","",COUNTIF($F315:$AJ315,"TR"))</f>
        <v/>
      </c>
      <c r="AX315" s="35" t="str">
        <f aca="false">IF($B315="","",AO315+AS315/2)</f>
        <v/>
      </c>
      <c r="AY315" s="35" t="str">
        <f aca="false">IF($B315="","",AQ315)</f>
        <v/>
      </c>
      <c r="AZ315" s="35" t="str">
        <f aca="false">IF($B315="","",AP315+AT315/2)</f>
        <v/>
      </c>
      <c r="BA315" s="35" t="str">
        <f aca="false">IF($B315="","",AK315+AN315+AM315/2+AO315+AP315+AQ315+AR315+AS315+AT315+AU315+AV315+AW315)</f>
        <v/>
      </c>
      <c r="BB315" s="35" t="str">
        <f aca="false">IF($B315="","",MAX(0,AN315-Settings!$C$16)*Settings!$C$17)</f>
        <v/>
      </c>
      <c r="BC315" s="35" t="str">
        <f aca="false">IF($B315="","",BA315-BB315)</f>
        <v/>
      </c>
      <c r="BD315" s="35" t="str">
        <f aca="false">IF(OR($B315="",$A315=""),"",DAY(EOMONTH($A315,0))-COUNTA($F315:$AJ315))</f>
        <v/>
      </c>
    </row>
    <row r="316" customFormat="false" ht="15" hidden="false" customHeight="false" outlineLevel="0" collapsed="false">
      <c r="A316" s="32"/>
      <c r="B316" s="29"/>
      <c r="C316" s="10" t="str">
        <f aca="false">IF($B316="","",IFERROR(INDEX(M_name,MATCH($B316,M_emp,0)),"Code not found"))</f>
        <v/>
      </c>
      <c r="D316" s="10" t="str">
        <f aca="false">IF($B316="","",IFERROR(INDEX(M_dept,MATCH($B316,M_emp,0)),""))</f>
        <v/>
      </c>
      <c r="E316" s="10" t="str">
        <f aca="false">IF($B316="","",IFERROR(INDEX(M_loc,MATCH($B316,M_emp,0)),""))</f>
        <v/>
      </c>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4" t="str">
        <f aca="false">IF($B316="","",COUNTIF($F316:$AJ316,"P"))</f>
        <v/>
      </c>
      <c r="AL316" s="34" t="str">
        <f aca="false">IF($B316="","",COUNTIF($F316:$AJ316,"A"))</f>
        <v/>
      </c>
      <c r="AM316" s="34" t="str">
        <f aca="false">IF($B316="","",COUNTIF($F316:$AJ316,"HA"))</f>
        <v/>
      </c>
      <c r="AN316" s="34" t="str">
        <f aca="false">IF($B316="","",COUNTIF($F316:$AJ316,"L"))</f>
        <v/>
      </c>
      <c r="AO316" s="34" t="str">
        <f aca="false">IF($B316="","",COUNTIF($F316:$AJ316,"PL"))</f>
        <v/>
      </c>
      <c r="AP316" s="34" t="str">
        <f aca="false">IF($B316="","",COUNTIF($F316:$AJ316,"CL"))</f>
        <v/>
      </c>
      <c r="AQ316" s="34" t="str">
        <f aca="false">IF($B316="","",COUNTIF($F316:$AJ316,"SL"))</f>
        <v/>
      </c>
      <c r="AR316" s="34" t="str">
        <f aca="false">IF($B316="","",COUNTIF($F316:$AJ316,"CO"))</f>
        <v/>
      </c>
      <c r="AS316" s="34" t="str">
        <f aca="false">IF($B316="","",COUNTIF($F316:$AJ316,"HPL"))</f>
        <v/>
      </c>
      <c r="AT316" s="34" t="str">
        <f aca="false">IF($B316="","",COUNTIF($F316:$AJ316,"HCL"))</f>
        <v/>
      </c>
      <c r="AU316" s="34" t="str">
        <f aca="false">IF($B316="","",COUNTIF($F316:$AJ316,"WO"))</f>
        <v/>
      </c>
      <c r="AV316" s="34" t="str">
        <f aca="false">IF($B316="","",COUNTIF($F316:$AJ316,"PH"))</f>
        <v/>
      </c>
      <c r="AW316" s="34" t="str">
        <f aca="false">IF($B316="","",COUNTIF($F316:$AJ316,"TR"))</f>
        <v/>
      </c>
      <c r="AX316" s="35" t="str">
        <f aca="false">IF($B316="","",AO316+AS316/2)</f>
        <v/>
      </c>
      <c r="AY316" s="35" t="str">
        <f aca="false">IF($B316="","",AQ316)</f>
        <v/>
      </c>
      <c r="AZ316" s="35" t="str">
        <f aca="false">IF($B316="","",AP316+AT316/2)</f>
        <v/>
      </c>
      <c r="BA316" s="35" t="str">
        <f aca="false">IF($B316="","",AK316+AN316+AM316/2+AO316+AP316+AQ316+AR316+AS316+AT316+AU316+AV316+AW316)</f>
        <v/>
      </c>
      <c r="BB316" s="35" t="str">
        <f aca="false">IF($B316="","",MAX(0,AN316-Settings!$C$16)*Settings!$C$17)</f>
        <v/>
      </c>
      <c r="BC316" s="35" t="str">
        <f aca="false">IF($B316="","",BA316-BB316)</f>
        <v/>
      </c>
      <c r="BD316" s="35" t="str">
        <f aca="false">IF(OR($B316="",$A316=""),"",DAY(EOMONTH($A316,0))-COUNTA($F316:$AJ316))</f>
        <v/>
      </c>
    </row>
    <row r="317" customFormat="false" ht="15" hidden="false" customHeight="false" outlineLevel="0" collapsed="false">
      <c r="A317" s="32"/>
      <c r="B317" s="29"/>
      <c r="C317" s="10" t="str">
        <f aca="false">IF($B317="","",IFERROR(INDEX(M_name,MATCH($B317,M_emp,0)),"Code not found"))</f>
        <v/>
      </c>
      <c r="D317" s="10" t="str">
        <f aca="false">IF($B317="","",IFERROR(INDEX(M_dept,MATCH($B317,M_emp,0)),""))</f>
        <v/>
      </c>
      <c r="E317" s="10" t="str">
        <f aca="false">IF($B317="","",IFERROR(INDEX(M_loc,MATCH($B317,M_emp,0)),""))</f>
        <v/>
      </c>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4" t="str">
        <f aca="false">IF($B317="","",COUNTIF($F317:$AJ317,"P"))</f>
        <v/>
      </c>
      <c r="AL317" s="34" t="str">
        <f aca="false">IF($B317="","",COUNTIF($F317:$AJ317,"A"))</f>
        <v/>
      </c>
      <c r="AM317" s="34" t="str">
        <f aca="false">IF($B317="","",COUNTIF($F317:$AJ317,"HA"))</f>
        <v/>
      </c>
      <c r="AN317" s="34" t="str">
        <f aca="false">IF($B317="","",COUNTIF($F317:$AJ317,"L"))</f>
        <v/>
      </c>
      <c r="AO317" s="34" t="str">
        <f aca="false">IF($B317="","",COUNTIF($F317:$AJ317,"PL"))</f>
        <v/>
      </c>
      <c r="AP317" s="34" t="str">
        <f aca="false">IF($B317="","",COUNTIF($F317:$AJ317,"CL"))</f>
        <v/>
      </c>
      <c r="AQ317" s="34" t="str">
        <f aca="false">IF($B317="","",COUNTIF($F317:$AJ317,"SL"))</f>
        <v/>
      </c>
      <c r="AR317" s="34" t="str">
        <f aca="false">IF($B317="","",COUNTIF($F317:$AJ317,"CO"))</f>
        <v/>
      </c>
      <c r="AS317" s="34" t="str">
        <f aca="false">IF($B317="","",COUNTIF($F317:$AJ317,"HPL"))</f>
        <v/>
      </c>
      <c r="AT317" s="34" t="str">
        <f aca="false">IF($B317="","",COUNTIF($F317:$AJ317,"HCL"))</f>
        <v/>
      </c>
      <c r="AU317" s="34" t="str">
        <f aca="false">IF($B317="","",COUNTIF($F317:$AJ317,"WO"))</f>
        <v/>
      </c>
      <c r="AV317" s="34" t="str">
        <f aca="false">IF($B317="","",COUNTIF($F317:$AJ317,"PH"))</f>
        <v/>
      </c>
      <c r="AW317" s="34" t="str">
        <f aca="false">IF($B317="","",COUNTIF($F317:$AJ317,"TR"))</f>
        <v/>
      </c>
      <c r="AX317" s="35" t="str">
        <f aca="false">IF($B317="","",AO317+AS317/2)</f>
        <v/>
      </c>
      <c r="AY317" s="35" t="str">
        <f aca="false">IF($B317="","",AQ317)</f>
        <v/>
      </c>
      <c r="AZ317" s="35" t="str">
        <f aca="false">IF($B317="","",AP317+AT317/2)</f>
        <v/>
      </c>
      <c r="BA317" s="35" t="str">
        <f aca="false">IF($B317="","",AK317+AN317+AM317/2+AO317+AP317+AQ317+AR317+AS317+AT317+AU317+AV317+AW317)</f>
        <v/>
      </c>
      <c r="BB317" s="35" t="str">
        <f aca="false">IF($B317="","",MAX(0,AN317-Settings!$C$16)*Settings!$C$17)</f>
        <v/>
      </c>
      <c r="BC317" s="35" t="str">
        <f aca="false">IF($B317="","",BA317-BB317)</f>
        <v/>
      </c>
      <c r="BD317" s="35" t="str">
        <f aca="false">IF(OR($B317="",$A317=""),"",DAY(EOMONTH($A317,0))-COUNTA($F317:$AJ317))</f>
        <v/>
      </c>
    </row>
    <row r="318" customFormat="false" ht="15" hidden="false" customHeight="false" outlineLevel="0" collapsed="false">
      <c r="A318" s="32"/>
      <c r="B318" s="29"/>
      <c r="C318" s="10" t="str">
        <f aca="false">IF($B318="","",IFERROR(INDEX(M_name,MATCH($B318,M_emp,0)),"Code not found"))</f>
        <v/>
      </c>
      <c r="D318" s="10" t="str">
        <f aca="false">IF($B318="","",IFERROR(INDEX(M_dept,MATCH($B318,M_emp,0)),""))</f>
        <v/>
      </c>
      <c r="E318" s="10" t="str">
        <f aca="false">IF($B318="","",IFERROR(INDEX(M_loc,MATCH($B318,M_emp,0)),""))</f>
        <v/>
      </c>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4" t="str">
        <f aca="false">IF($B318="","",COUNTIF($F318:$AJ318,"P"))</f>
        <v/>
      </c>
      <c r="AL318" s="34" t="str">
        <f aca="false">IF($B318="","",COUNTIF($F318:$AJ318,"A"))</f>
        <v/>
      </c>
      <c r="AM318" s="34" t="str">
        <f aca="false">IF($B318="","",COUNTIF($F318:$AJ318,"HA"))</f>
        <v/>
      </c>
      <c r="AN318" s="34" t="str">
        <f aca="false">IF($B318="","",COUNTIF($F318:$AJ318,"L"))</f>
        <v/>
      </c>
      <c r="AO318" s="34" t="str">
        <f aca="false">IF($B318="","",COUNTIF($F318:$AJ318,"PL"))</f>
        <v/>
      </c>
      <c r="AP318" s="34" t="str">
        <f aca="false">IF($B318="","",COUNTIF($F318:$AJ318,"CL"))</f>
        <v/>
      </c>
      <c r="AQ318" s="34" t="str">
        <f aca="false">IF($B318="","",COUNTIF($F318:$AJ318,"SL"))</f>
        <v/>
      </c>
      <c r="AR318" s="34" t="str">
        <f aca="false">IF($B318="","",COUNTIF($F318:$AJ318,"CO"))</f>
        <v/>
      </c>
      <c r="AS318" s="34" t="str">
        <f aca="false">IF($B318="","",COUNTIF($F318:$AJ318,"HPL"))</f>
        <v/>
      </c>
      <c r="AT318" s="34" t="str">
        <f aca="false">IF($B318="","",COUNTIF($F318:$AJ318,"HCL"))</f>
        <v/>
      </c>
      <c r="AU318" s="34" t="str">
        <f aca="false">IF($B318="","",COUNTIF($F318:$AJ318,"WO"))</f>
        <v/>
      </c>
      <c r="AV318" s="34" t="str">
        <f aca="false">IF($B318="","",COUNTIF($F318:$AJ318,"PH"))</f>
        <v/>
      </c>
      <c r="AW318" s="34" t="str">
        <f aca="false">IF($B318="","",COUNTIF($F318:$AJ318,"TR"))</f>
        <v/>
      </c>
      <c r="AX318" s="35" t="str">
        <f aca="false">IF($B318="","",AO318+AS318/2)</f>
        <v/>
      </c>
      <c r="AY318" s="35" t="str">
        <f aca="false">IF($B318="","",AQ318)</f>
        <v/>
      </c>
      <c r="AZ318" s="35" t="str">
        <f aca="false">IF($B318="","",AP318+AT318/2)</f>
        <v/>
      </c>
      <c r="BA318" s="35" t="str">
        <f aca="false">IF($B318="","",AK318+AN318+AM318/2+AO318+AP318+AQ318+AR318+AS318+AT318+AU318+AV318+AW318)</f>
        <v/>
      </c>
      <c r="BB318" s="35" t="str">
        <f aca="false">IF($B318="","",MAX(0,AN318-Settings!$C$16)*Settings!$C$17)</f>
        <v/>
      </c>
      <c r="BC318" s="35" t="str">
        <f aca="false">IF($B318="","",BA318-BB318)</f>
        <v/>
      </c>
      <c r="BD318" s="35" t="str">
        <f aca="false">IF(OR($B318="",$A318=""),"",DAY(EOMONTH($A318,0))-COUNTA($F318:$AJ318))</f>
        <v/>
      </c>
    </row>
    <row r="319" customFormat="false" ht="15" hidden="false" customHeight="false" outlineLevel="0" collapsed="false">
      <c r="A319" s="32"/>
      <c r="B319" s="29"/>
      <c r="C319" s="10" t="str">
        <f aca="false">IF($B319="","",IFERROR(INDEX(M_name,MATCH($B319,M_emp,0)),"Code not found"))</f>
        <v/>
      </c>
      <c r="D319" s="10" t="str">
        <f aca="false">IF($B319="","",IFERROR(INDEX(M_dept,MATCH($B319,M_emp,0)),""))</f>
        <v/>
      </c>
      <c r="E319" s="10" t="str">
        <f aca="false">IF($B319="","",IFERROR(INDEX(M_loc,MATCH($B319,M_emp,0)),""))</f>
        <v/>
      </c>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4" t="str">
        <f aca="false">IF($B319="","",COUNTIF($F319:$AJ319,"P"))</f>
        <v/>
      </c>
      <c r="AL319" s="34" t="str">
        <f aca="false">IF($B319="","",COUNTIF($F319:$AJ319,"A"))</f>
        <v/>
      </c>
      <c r="AM319" s="34" t="str">
        <f aca="false">IF($B319="","",COUNTIF($F319:$AJ319,"HA"))</f>
        <v/>
      </c>
      <c r="AN319" s="34" t="str">
        <f aca="false">IF($B319="","",COUNTIF($F319:$AJ319,"L"))</f>
        <v/>
      </c>
      <c r="AO319" s="34" t="str">
        <f aca="false">IF($B319="","",COUNTIF($F319:$AJ319,"PL"))</f>
        <v/>
      </c>
      <c r="AP319" s="34" t="str">
        <f aca="false">IF($B319="","",COUNTIF($F319:$AJ319,"CL"))</f>
        <v/>
      </c>
      <c r="AQ319" s="34" t="str">
        <f aca="false">IF($B319="","",COUNTIF($F319:$AJ319,"SL"))</f>
        <v/>
      </c>
      <c r="AR319" s="34" t="str">
        <f aca="false">IF($B319="","",COUNTIF($F319:$AJ319,"CO"))</f>
        <v/>
      </c>
      <c r="AS319" s="34" t="str">
        <f aca="false">IF($B319="","",COUNTIF($F319:$AJ319,"HPL"))</f>
        <v/>
      </c>
      <c r="AT319" s="34" t="str">
        <f aca="false">IF($B319="","",COUNTIF($F319:$AJ319,"HCL"))</f>
        <v/>
      </c>
      <c r="AU319" s="34" t="str">
        <f aca="false">IF($B319="","",COUNTIF($F319:$AJ319,"WO"))</f>
        <v/>
      </c>
      <c r="AV319" s="34" t="str">
        <f aca="false">IF($B319="","",COUNTIF($F319:$AJ319,"PH"))</f>
        <v/>
      </c>
      <c r="AW319" s="34" t="str">
        <f aca="false">IF($B319="","",COUNTIF($F319:$AJ319,"TR"))</f>
        <v/>
      </c>
      <c r="AX319" s="35" t="str">
        <f aca="false">IF($B319="","",AO319+AS319/2)</f>
        <v/>
      </c>
      <c r="AY319" s="35" t="str">
        <f aca="false">IF($B319="","",AQ319)</f>
        <v/>
      </c>
      <c r="AZ319" s="35" t="str">
        <f aca="false">IF($B319="","",AP319+AT319/2)</f>
        <v/>
      </c>
      <c r="BA319" s="35" t="str">
        <f aca="false">IF($B319="","",AK319+AN319+AM319/2+AO319+AP319+AQ319+AR319+AS319+AT319+AU319+AV319+AW319)</f>
        <v/>
      </c>
      <c r="BB319" s="35" t="str">
        <f aca="false">IF($B319="","",MAX(0,AN319-Settings!$C$16)*Settings!$C$17)</f>
        <v/>
      </c>
      <c r="BC319" s="35" t="str">
        <f aca="false">IF($B319="","",BA319-BB319)</f>
        <v/>
      </c>
      <c r="BD319" s="35" t="str">
        <f aca="false">IF(OR($B319="",$A319=""),"",DAY(EOMONTH($A319,0))-COUNTA($F319:$AJ319))</f>
        <v/>
      </c>
    </row>
    <row r="320" customFormat="false" ht="15" hidden="false" customHeight="false" outlineLevel="0" collapsed="false">
      <c r="A320" s="32"/>
      <c r="B320" s="29"/>
      <c r="C320" s="10" t="str">
        <f aca="false">IF($B320="","",IFERROR(INDEX(M_name,MATCH($B320,M_emp,0)),"Code not found"))</f>
        <v/>
      </c>
      <c r="D320" s="10" t="str">
        <f aca="false">IF($B320="","",IFERROR(INDEX(M_dept,MATCH($B320,M_emp,0)),""))</f>
        <v/>
      </c>
      <c r="E320" s="10" t="str">
        <f aca="false">IF($B320="","",IFERROR(INDEX(M_loc,MATCH($B320,M_emp,0)),""))</f>
        <v/>
      </c>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4" t="str">
        <f aca="false">IF($B320="","",COUNTIF($F320:$AJ320,"P"))</f>
        <v/>
      </c>
      <c r="AL320" s="34" t="str">
        <f aca="false">IF($B320="","",COUNTIF($F320:$AJ320,"A"))</f>
        <v/>
      </c>
      <c r="AM320" s="34" t="str">
        <f aca="false">IF($B320="","",COUNTIF($F320:$AJ320,"HA"))</f>
        <v/>
      </c>
      <c r="AN320" s="34" t="str">
        <f aca="false">IF($B320="","",COUNTIF($F320:$AJ320,"L"))</f>
        <v/>
      </c>
      <c r="AO320" s="34" t="str">
        <f aca="false">IF($B320="","",COUNTIF($F320:$AJ320,"PL"))</f>
        <v/>
      </c>
      <c r="AP320" s="34" t="str">
        <f aca="false">IF($B320="","",COUNTIF($F320:$AJ320,"CL"))</f>
        <v/>
      </c>
      <c r="AQ320" s="34" t="str">
        <f aca="false">IF($B320="","",COUNTIF($F320:$AJ320,"SL"))</f>
        <v/>
      </c>
      <c r="AR320" s="34" t="str">
        <f aca="false">IF($B320="","",COUNTIF($F320:$AJ320,"CO"))</f>
        <v/>
      </c>
      <c r="AS320" s="34" t="str">
        <f aca="false">IF($B320="","",COUNTIF($F320:$AJ320,"HPL"))</f>
        <v/>
      </c>
      <c r="AT320" s="34" t="str">
        <f aca="false">IF($B320="","",COUNTIF($F320:$AJ320,"HCL"))</f>
        <v/>
      </c>
      <c r="AU320" s="34" t="str">
        <f aca="false">IF($B320="","",COUNTIF($F320:$AJ320,"WO"))</f>
        <v/>
      </c>
      <c r="AV320" s="34" t="str">
        <f aca="false">IF($B320="","",COUNTIF($F320:$AJ320,"PH"))</f>
        <v/>
      </c>
      <c r="AW320" s="34" t="str">
        <f aca="false">IF($B320="","",COUNTIF($F320:$AJ320,"TR"))</f>
        <v/>
      </c>
      <c r="AX320" s="35" t="str">
        <f aca="false">IF($B320="","",AO320+AS320/2)</f>
        <v/>
      </c>
      <c r="AY320" s="35" t="str">
        <f aca="false">IF($B320="","",AQ320)</f>
        <v/>
      </c>
      <c r="AZ320" s="35" t="str">
        <f aca="false">IF($B320="","",AP320+AT320/2)</f>
        <v/>
      </c>
      <c r="BA320" s="35" t="str">
        <f aca="false">IF($B320="","",AK320+AN320+AM320/2+AO320+AP320+AQ320+AR320+AS320+AT320+AU320+AV320+AW320)</f>
        <v/>
      </c>
      <c r="BB320" s="35" t="str">
        <f aca="false">IF($B320="","",MAX(0,AN320-Settings!$C$16)*Settings!$C$17)</f>
        <v/>
      </c>
      <c r="BC320" s="35" t="str">
        <f aca="false">IF($B320="","",BA320-BB320)</f>
        <v/>
      </c>
      <c r="BD320" s="35" t="str">
        <f aca="false">IF(OR($B320="",$A320=""),"",DAY(EOMONTH($A320,0))-COUNTA($F320:$AJ320))</f>
        <v/>
      </c>
    </row>
    <row r="321" customFormat="false" ht="15" hidden="false" customHeight="false" outlineLevel="0" collapsed="false">
      <c r="A321" s="32"/>
      <c r="B321" s="29"/>
      <c r="C321" s="10" t="str">
        <f aca="false">IF($B321="","",IFERROR(INDEX(M_name,MATCH($B321,M_emp,0)),"Code not found"))</f>
        <v/>
      </c>
      <c r="D321" s="10" t="str">
        <f aca="false">IF($B321="","",IFERROR(INDEX(M_dept,MATCH($B321,M_emp,0)),""))</f>
        <v/>
      </c>
      <c r="E321" s="10" t="str">
        <f aca="false">IF($B321="","",IFERROR(INDEX(M_loc,MATCH($B321,M_emp,0)),""))</f>
        <v/>
      </c>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4" t="str">
        <f aca="false">IF($B321="","",COUNTIF($F321:$AJ321,"P"))</f>
        <v/>
      </c>
      <c r="AL321" s="34" t="str">
        <f aca="false">IF($B321="","",COUNTIF($F321:$AJ321,"A"))</f>
        <v/>
      </c>
      <c r="AM321" s="34" t="str">
        <f aca="false">IF($B321="","",COUNTIF($F321:$AJ321,"HA"))</f>
        <v/>
      </c>
      <c r="AN321" s="34" t="str">
        <f aca="false">IF($B321="","",COUNTIF($F321:$AJ321,"L"))</f>
        <v/>
      </c>
      <c r="AO321" s="34" t="str">
        <f aca="false">IF($B321="","",COUNTIF($F321:$AJ321,"PL"))</f>
        <v/>
      </c>
      <c r="AP321" s="34" t="str">
        <f aca="false">IF($B321="","",COUNTIF($F321:$AJ321,"CL"))</f>
        <v/>
      </c>
      <c r="AQ321" s="34" t="str">
        <f aca="false">IF($B321="","",COUNTIF($F321:$AJ321,"SL"))</f>
        <v/>
      </c>
      <c r="AR321" s="34" t="str">
        <f aca="false">IF($B321="","",COUNTIF($F321:$AJ321,"CO"))</f>
        <v/>
      </c>
      <c r="AS321" s="34" t="str">
        <f aca="false">IF($B321="","",COUNTIF($F321:$AJ321,"HPL"))</f>
        <v/>
      </c>
      <c r="AT321" s="34" t="str">
        <f aca="false">IF($B321="","",COUNTIF($F321:$AJ321,"HCL"))</f>
        <v/>
      </c>
      <c r="AU321" s="34" t="str">
        <f aca="false">IF($B321="","",COUNTIF($F321:$AJ321,"WO"))</f>
        <v/>
      </c>
      <c r="AV321" s="34" t="str">
        <f aca="false">IF($B321="","",COUNTIF($F321:$AJ321,"PH"))</f>
        <v/>
      </c>
      <c r="AW321" s="34" t="str">
        <f aca="false">IF($B321="","",COUNTIF($F321:$AJ321,"TR"))</f>
        <v/>
      </c>
      <c r="AX321" s="35" t="str">
        <f aca="false">IF($B321="","",AO321+AS321/2)</f>
        <v/>
      </c>
      <c r="AY321" s="35" t="str">
        <f aca="false">IF($B321="","",AQ321)</f>
        <v/>
      </c>
      <c r="AZ321" s="35" t="str">
        <f aca="false">IF($B321="","",AP321+AT321/2)</f>
        <v/>
      </c>
      <c r="BA321" s="35" t="str">
        <f aca="false">IF($B321="","",AK321+AN321+AM321/2+AO321+AP321+AQ321+AR321+AS321+AT321+AU321+AV321+AW321)</f>
        <v/>
      </c>
      <c r="BB321" s="35" t="str">
        <f aca="false">IF($B321="","",MAX(0,AN321-Settings!$C$16)*Settings!$C$17)</f>
        <v/>
      </c>
      <c r="BC321" s="35" t="str">
        <f aca="false">IF($B321="","",BA321-BB321)</f>
        <v/>
      </c>
      <c r="BD321" s="35" t="str">
        <f aca="false">IF(OR($B321="",$A321=""),"",DAY(EOMONTH($A321,0))-COUNTA($F321:$AJ321))</f>
        <v/>
      </c>
    </row>
    <row r="322" customFormat="false" ht="15" hidden="false" customHeight="false" outlineLevel="0" collapsed="false">
      <c r="A322" s="32"/>
      <c r="B322" s="29"/>
      <c r="C322" s="10" t="str">
        <f aca="false">IF($B322="","",IFERROR(INDEX(M_name,MATCH($B322,M_emp,0)),"Code not found"))</f>
        <v/>
      </c>
      <c r="D322" s="10" t="str">
        <f aca="false">IF($B322="","",IFERROR(INDEX(M_dept,MATCH($B322,M_emp,0)),""))</f>
        <v/>
      </c>
      <c r="E322" s="10" t="str">
        <f aca="false">IF($B322="","",IFERROR(INDEX(M_loc,MATCH($B322,M_emp,0)),""))</f>
        <v/>
      </c>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4" t="str">
        <f aca="false">IF($B322="","",COUNTIF($F322:$AJ322,"P"))</f>
        <v/>
      </c>
      <c r="AL322" s="34" t="str">
        <f aca="false">IF($B322="","",COUNTIF($F322:$AJ322,"A"))</f>
        <v/>
      </c>
      <c r="AM322" s="34" t="str">
        <f aca="false">IF($B322="","",COUNTIF($F322:$AJ322,"HA"))</f>
        <v/>
      </c>
      <c r="AN322" s="34" t="str">
        <f aca="false">IF($B322="","",COUNTIF($F322:$AJ322,"L"))</f>
        <v/>
      </c>
      <c r="AO322" s="34" t="str">
        <f aca="false">IF($B322="","",COUNTIF($F322:$AJ322,"PL"))</f>
        <v/>
      </c>
      <c r="AP322" s="34" t="str">
        <f aca="false">IF($B322="","",COUNTIF($F322:$AJ322,"CL"))</f>
        <v/>
      </c>
      <c r="AQ322" s="34" t="str">
        <f aca="false">IF($B322="","",COUNTIF($F322:$AJ322,"SL"))</f>
        <v/>
      </c>
      <c r="AR322" s="34" t="str">
        <f aca="false">IF($B322="","",COUNTIF($F322:$AJ322,"CO"))</f>
        <v/>
      </c>
      <c r="AS322" s="34" t="str">
        <f aca="false">IF($B322="","",COUNTIF($F322:$AJ322,"HPL"))</f>
        <v/>
      </c>
      <c r="AT322" s="34" t="str">
        <f aca="false">IF($B322="","",COUNTIF($F322:$AJ322,"HCL"))</f>
        <v/>
      </c>
      <c r="AU322" s="34" t="str">
        <f aca="false">IF($B322="","",COUNTIF($F322:$AJ322,"WO"))</f>
        <v/>
      </c>
      <c r="AV322" s="34" t="str">
        <f aca="false">IF($B322="","",COUNTIF($F322:$AJ322,"PH"))</f>
        <v/>
      </c>
      <c r="AW322" s="34" t="str">
        <f aca="false">IF($B322="","",COUNTIF($F322:$AJ322,"TR"))</f>
        <v/>
      </c>
      <c r="AX322" s="35" t="str">
        <f aca="false">IF($B322="","",AO322+AS322/2)</f>
        <v/>
      </c>
      <c r="AY322" s="35" t="str">
        <f aca="false">IF($B322="","",AQ322)</f>
        <v/>
      </c>
      <c r="AZ322" s="35" t="str">
        <f aca="false">IF($B322="","",AP322+AT322/2)</f>
        <v/>
      </c>
      <c r="BA322" s="35" t="str">
        <f aca="false">IF($B322="","",AK322+AN322+AM322/2+AO322+AP322+AQ322+AR322+AS322+AT322+AU322+AV322+AW322)</f>
        <v/>
      </c>
      <c r="BB322" s="35" t="str">
        <f aca="false">IF($B322="","",MAX(0,AN322-Settings!$C$16)*Settings!$C$17)</f>
        <v/>
      </c>
      <c r="BC322" s="35" t="str">
        <f aca="false">IF($B322="","",BA322-BB322)</f>
        <v/>
      </c>
      <c r="BD322" s="35" t="str">
        <f aca="false">IF(OR($B322="",$A322=""),"",DAY(EOMONTH($A322,0))-COUNTA($F322:$AJ322))</f>
        <v/>
      </c>
    </row>
    <row r="323" customFormat="false" ht="15" hidden="false" customHeight="false" outlineLevel="0" collapsed="false">
      <c r="A323" s="32"/>
      <c r="B323" s="29"/>
      <c r="C323" s="10" t="str">
        <f aca="false">IF($B323="","",IFERROR(INDEX(M_name,MATCH($B323,M_emp,0)),"Code not found"))</f>
        <v/>
      </c>
      <c r="D323" s="10" t="str">
        <f aca="false">IF($B323="","",IFERROR(INDEX(M_dept,MATCH($B323,M_emp,0)),""))</f>
        <v/>
      </c>
      <c r="E323" s="10" t="str">
        <f aca="false">IF($B323="","",IFERROR(INDEX(M_loc,MATCH($B323,M_emp,0)),""))</f>
        <v/>
      </c>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4" t="str">
        <f aca="false">IF($B323="","",COUNTIF($F323:$AJ323,"P"))</f>
        <v/>
      </c>
      <c r="AL323" s="34" t="str">
        <f aca="false">IF($B323="","",COUNTIF($F323:$AJ323,"A"))</f>
        <v/>
      </c>
      <c r="AM323" s="34" t="str">
        <f aca="false">IF($B323="","",COUNTIF($F323:$AJ323,"HA"))</f>
        <v/>
      </c>
      <c r="AN323" s="34" t="str">
        <f aca="false">IF($B323="","",COUNTIF($F323:$AJ323,"L"))</f>
        <v/>
      </c>
      <c r="AO323" s="34" t="str">
        <f aca="false">IF($B323="","",COUNTIF($F323:$AJ323,"PL"))</f>
        <v/>
      </c>
      <c r="AP323" s="34" t="str">
        <f aca="false">IF($B323="","",COUNTIF($F323:$AJ323,"CL"))</f>
        <v/>
      </c>
      <c r="AQ323" s="34" t="str">
        <f aca="false">IF($B323="","",COUNTIF($F323:$AJ323,"SL"))</f>
        <v/>
      </c>
      <c r="AR323" s="34" t="str">
        <f aca="false">IF($B323="","",COUNTIF($F323:$AJ323,"CO"))</f>
        <v/>
      </c>
      <c r="AS323" s="34" t="str">
        <f aca="false">IF($B323="","",COUNTIF($F323:$AJ323,"HPL"))</f>
        <v/>
      </c>
      <c r="AT323" s="34" t="str">
        <f aca="false">IF($B323="","",COUNTIF($F323:$AJ323,"HCL"))</f>
        <v/>
      </c>
      <c r="AU323" s="34" t="str">
        <f aca="false">IF($B323="","",COUNTIF($F323:$AJ323,"WO"))</f>
        <v/>
      </c>
      <c r="AV323" s="34" t="str">
        <f aca="false">IF($B323="","",COUNTIF($F323:$AJ323,"PH"))</f>
        <v/>
      </c>
      <c r="AW323" s="34" t="str">
        <f aca="false">IF($B323="","",COUNTIF($F323:$AJ323,"TR"))</f>
        <v/>
      </c>
      <c r="AX323" s="35" t="str">
        <f aca="false">IF($B323="","",AO323+AS323/2)</f>
        <v/>
      </c>
      <c r="AY323" s="35" t="str">
        <f aca="false">IF($B323="","",AQ323)</f>
        <v/>
      </c>
      <c r="AZ323" s="35" t="str">
        <f aca="false">IF($B323="","",AP323+AT323/2)</f>
        <v/>
      </c>
      <c r="BA323" s="35" t="str">
        <f aca="false">IF($B323="","",AK323+AN323+AM323/2+AO323+AP323+AQ323+AR323+AS323+AT323+AU323+AV323+AW323)</f>
        <v/>
      </c>
      <c r="BB323" s="35" t="str">
        <f aca="false">IF($B323="","",MAX(0,AN323-Settings!$C$16)*Settings!$C$17)</f>
        <v/>
      </c>
      <c r="BC323" s="35" t="str">
        <f aca="false">IF($B323="","",BA323-BB323)</f>
        <v/>
      </c>
      <c r="BD323" s="35" t="str">
        <f aca="false">IF(OR($B323="",$A323=""),"",DAY(EOMONTH($A323,0))-COUNTA($F323:$AJ323))</f>
        <v/>
      </c>
    </row>
    <row r="324" customFormat="false" ht="15" hidden="false" customHeight="false" outlineLevel="0" collapsed="false">
      <c r="A324" s="32"/>
      <c r="B324" s="29"/>
      <c r="C324" s="10" t="str">
        <f aca="false">IF($B324="","",IFERROR(INDEX(M_name,MATCH($B324,M_emp,0)),"Code not found"))</f>
        <v/>
      </c>
      <c r="D324" s="10" t="str">
        <f aca="false">IF($B324="","",IFERROR(INDEX(M_dept,MATCH($B324,M_emp,0)),""))</f>
        <v/>
      </c>
      <c r="E324" s="10" t="str">
        <f aca="false">IF($B324="","",IFERROR(INDEX(M_loc,MATCH($B324,M_emp,0)),""))</f>
        <v/>
      </c>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4" t="str">
        <f aca="false">IF($B324="","",COUNTIF($F324:$AJ324,"P"))</f>
        <v/>
      </c>
      <c r="AL324" s="34" t="str">
        <f aca="false">IF($B324="","",COUNTIF($F324:$AJ324,"A"))</f>
        <v/>
      </c>
      <c r="AM324" s="34" t="str">
        <f aca="false">IF($B324="","",COUNTIF($F324:$AJ324,"HA"))</f>
        <v/>
      </c>
      <c r="AN324" s="34" t="str">
        <f aca="false">IF($B324="","",COUNTIF($F324:$AJ324,"L"))</f>
        <v/>
      </c>
      <c r="AO324" s="34" t="str">
        <f aca="false">IF($B324="","",COUNTIF($F324:$AJ324,"PL"))</f>
        <v/>
      </c>
      <c r="AP324" s="34" t="str">
        <f aca="false">IF($B324="","",COUNTIF($F324:$AJ324,"CL"))</f>
        <v/>
      </c>
      <c r="AQ324" s="34" t="str">
        <f aca="false">IF($B324="","",COUNTIF($F324:$AJ324,"SL"))</f>
        <v/>
      </c>
      <c r="AR324" s="34" t="str">
        <f aca="false">IF($B324="","",COUNTIF($F324:$AJ324,"CO"))</f>
        <v/>
      </c>
      <c r="AS324" s="34" t="str">
        <f aca="false">IF($B324="","",COUNTIF($F324:$AJ324,"HPL"))</f>
        <v/>
      </c>
      <c r="AT324" s="34" t="str">
        <f aca="false">IF($B324="","",COUNTIF($F324:$AJ324,"HCL"))</f>
        <v/>
      </c>
      <c r="AU324" s="34" t="str">
        <f aca="false">IF($B324="","",COUNTIF($F324:$AJ324,"WO"))</f>
        <v/>
      </c>
      <c r="AV324" s="34" t="str">
        <f aca="false">IF($B324="","",COUNTIF($F324:$AJ324,"PH"))</f>
        <v/>
      </c>
      <c r="AW324" s="34" t="str">
        <f aca="false">IF($B324="","",COUNTIF($F324:$AJ324,"TR"))</f>
        <v/>
      </c>
      <c r="AX324" s="35" t="str">
        <f aca="false">IF($B324="","",AO324+AS324/2)</f>
        <v/>
      </c>
      <c r="AY324" s="35" t="str">
        <f aca="false">IF($B324="","",AQ324)</f>
        <v/>
      </c>
      <c r="AZ324" s="35" t="str">
        <f aca="false">IF($B324="","",AP324+AT324/2)</f>
        <v/>
      </c>
      <c r="BA324" s="35" t="str">
        <f aca="false">IF($B324="","",AK324+AN324+AM324/2+AO324+AP324+AQ324+AR324+AS324+AT324+AU324+AV324+AW324)</f>
        <v/>
      </c>
      <c r="BB324" s="35" t="str">
        <f aca="false">IF($B324="","",MAX(0,AN324-Settings!$C$16)*Settings!$C$17)</f>
        <v/>
      </c>
      <c r="BC324" s="35" t="str">
        <f aca="false">IF($B324="","",BA324-BB324)</f>
        <v/>
      </c>
      <c r="BD324" s="35" t="str">
        <f aca="false">IF(OR($B324="",$A324=""),"",DAY(EOMONTH($A324,0))-COUNTA($F324:$AJ324))</f>
        <v/>
      </c>
    </row>
    <row r="325" customFormat="false" ht="15" hidden="false" customHeight="false" outlineLevel="0" collapsed="false">
      <c r="A325" s="32"/>
      <c r="B325" s="29"/>
      <c r="C325" s="10" t="str">
        <f aca="false">IF($B325="","",IFERROR(INDEX(M_name,MATCH($B325,M_emp,0)),"Code not found"))</f>
        <v/>
      </c>
      <c r="D325" s="10" t="str">
        <f aca="false">IF($B325="","",IFERROR(INDEX(M_dept,MATCH($B325,M_emp,0)),""))</f>
        <v/>
      </c>
      <c r="E325" s="10" t="str">
        <f aca="false">IF($B325="","",IFERROR(INDEX(M_loc,MATCH($B325,M_emp,0)),""))</f>
        <v/>
      </c>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4" t="str">
        <f aca="false">IF($B325="","",COUNTIF($F325:$AJ325,"P"))</f>
        <v/>
      </c>
      <c r="AL325" s="34" t="str">
        <f aca="false">IF($B325="","",COUNTIF($F325:$AJ325,"A"))</f>
        <v/>
      </c>
      <c r="AM325" s="34" t="str">
        <f aca="false">IF($B325="","",COUNTIF($F325:$AJ325,"HA"))</f>
        <v/>
      </c>
      <c r="AN325" s="34" t="str">
        <f aca="false">IF($B325="","",COUNTIF($F325:$AJ325,"L"))</f>
        <v/>
      </c>
      <c r="AO325" s="34" t="str">
        <f aca="false">IF($B325="","",COUNTIF($F325:$AJ325,"PL"))</f>
        <v/>
      </c>
      <c r="AP325" s="34" t="str">
        <f aca="false">IF($B325="","",COUNTIF($F325:$AJ325,"CL"))</f>
        <v/>
      </c>
      <c r="AQ325" s="34" t="str">
        <f aca="false">IF($B325="","",COUNTIF($F325:$AJ325,"SL"))</f>
        <v/>
      </c>
      <c r="AR325" s="34" t="str">
        <f aca="false">IF($B325="","",COUNTIF($F325:$AJ325,"CO"))</f>
        <v/>
      </c>
      <c r="AS325" s="34" t="str">
        <f aca="false">IF($B325="","",COUNTIF($F325:$AJ325,"HPL"))</f>
        <v/>
      </c>
      <c r="AT325" s="34" t="str">
        <f aca="false">IF($B325="","",COUNTIF($F325:$AJ325,"HCL"))</f>
        <v/>
      </c>
      <c r="AU325" s="34" t="str">
        <f aca="false">IF($B325="","",COUNTIF($F325:$AJ325,"WO"))</f>
        <v/>
      </c>
      <c r="AV325" s="34" t="str">
        <f aca="false">IF($B325="","",COUNTIF($F325:$AJ325,"PH"))</f>
        <v/>
      </c>
      <c r="AW325" s="34" t="str">
        <f aca="false">IF($B325="","",COUNTIF($F325:$AJ325,"TR"))</f>
        <v/>
      </c>
      <c r="AX325" s="35" t="str">
        <f aca="false">IF($B325="","",AO325+AS325/2)</f>
        <v/>
      </c>
      <c r="AY325" s="35" t="str">
        <f aca="false">IF($B325="","",AQ325)</f>
        <v/>
      </c>
      <c r="AZ325" s="35" t="str">
        <f aca="false">IF($B325="","",AP325+AT325/2)</f>
        <v/>
      </c>
      <c r="BA325" s="35" t="str">
        <f aca="false">IF($B325="","",AK325+AN325+AM325/2+AO325+AP325+AQ325+AR325+AS325+AT325+AU325+AV325+AW325)</f>
        <v/>
      </c>
      <c r="BB325" s="35" t="str">
        <f aca="false">IF($B325="","",MAX(0,AN325-Settings!$C$16)*Settings!$C$17)</f>
        <v/>
      </c>
      <c r="BC325" s="35" t="str">
        <f aca="false">IF($B325="","",BA325-BB325)</f>
        <v/>
      </c>
      <c r="BD325" s="35" t="str">
        <f aca="false">IF(OR($B325="",$A325=""),"",DAY(EOMONTH($A325,0))-COUNTA($F325:$AJ325))</f>
        <v/>
      </c>
    </row>
    <row r="326" customFormat="false" ht="15" hidden="false" customHeight="false" outlineLevel="0" collapsed="false">
      <c r="A326" s="32"/>
      <c r="B326" s="29"/>
      <c r="C326" s="10" t="str">
        <f aca="false">IF($B326="","",IFERROR(INDEX(M_name,MATCH($B326,M_emp,0)),"Code not found"))</f>
        <v/>
      </c>
      <c r="D326" s="10" t="str">
        <f aca="false">IF($B326="","",IFERROR(INDEX(M_dept,MATCH($B326,M_emp,0)),""))</f>
        <v/>
      </c>
      <c r="E326" s="10" t="str">
        <f aca="false">IF($B326="","",IFERROR(INDEX(M_loc,MATCH($B326,M_emp,0)),""))</f>
        <v/>
      </c>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4" t="str">
        <f aca="false">IF($B326="","",COUNTIF($F326:$AJ326,"P"))</f>
        <v/>
      </c>
      <c r="AL326" s="34" t="str">
        <f aca="false">IF($B326="","",COUNTIF($F326:$AJ326,"A"))</f>
        <v/>
      </c>
      <c r="AM326" s="34" t="str">
        <f aca="false">IF($B326="","",COUNTIF($F326:$AJ326,"HA"))</f>
        <v/>
      </c>
      <c r="AN326" s="34" t="str">
        <f aca="false">IF($B326="","",COUNTIF($F326:$AJ326,"L"))</f>
        <v/>
      </c>
      <c r="AO326" s="34" t="str">
        <f aca="false">IF($B326="","",COUNTIF($F326:$AJ326,"PL"))</f>
        <v/>
      </c>
      <c r="AP326" s="34" t="str">
        <f aca="false">IF($B326="","",COUNTIF($F326:$AJ326,"CL"))</f>
        <v/>
      </c>
      <c r="AQ326" s="34" t="str">
        <f aca="false">IF($B326="","",COUNTIF($F326:$AJ326,"SL"))</f>
        <v/>
      </c>
      <c r="AR326" s="34" t="str">
        <f aca="false">IF($B326="","",COUNTIF($F326:$AJ326,"CO"))</f>
        <v/>
      </c>
      <c r="AS326" s="34" t="str">
        <f aca="false">IF($B326="","",COUNTIF($F326:$AJ326,"HPL"))</f>
        <v/>
      </c>
      <c r="AT326" s="34" t="str">
        <f aca="false">IF($B326="","",COUNTIF($F326:$AJ326,"HCL"))</f>
        <v/>
      </c>
      <c r="AU326" s="34" t="str">
        <f aca="false">IF($B326="","",COUNTIF($F326:$AJ326,"WO"))</f>
        <v/>
      </c>
      <c r="AV326" s="34" t="str">
        <f aca="false">IF($B326="","",COUNTIF($F326:$AJ326,"PH"))</f>
        <v/>
      </c>
      <c r="AW326" s="34" t="str">
        <f aca="false">IF($B326="","",COUNTIF($F326:$AJ326,"TR"))</f>
        <v/>
      </c>
      <c r="AX326" s="35" t="str">
        <f aca="false">IF($B326="","",AO326+AS326/2)</f>
        <v/>
      </c>
      <c r="AY326" s="35" t="str">
        <f aca="false">IF($B326="","",AQ326)</f>
        <v/>
      </c>
      <c r="AZ326" s="35" t="str">
        <f aca="false">IF($B326="","",AP326+AT326/2)</f>
        <v/>
      </c>
      <c r="BA326" s="35" t="str">
        <f aca="false">IF($B326="","",AK326+AN326+AM326/2+AO326+AP326+AQ326+AR326+AS326+AT326+AU326+AV326+AW326)</f>
        <v/>
      </c>
      <c r="BB326" s="35" t="str">
        <f aca="false">IF($B326="","",MAX(0,AN326-Settings!$C$16)*Settings!$C$17)</f>
        <v/>
      </c>
      <c r="BC326" s="35" t="str">
        <f aca="false">IF($B326="","",BA326-BB326)</f>
        <v/>
      </c>
      <c r="BD326" s="35" t="str">
        <f aca="false">IF(OR($B326="",$A326=""),"",DAY(EOMONTH($A326,0))-COUNTA($F326:$AJ326))</f>
        <v/>
      </c>
    </row>
    <row r="327" customFormat="false" ht="15" hidden="false" customHeight="false" outlineLevel="0" collapsed="false">
      <c r="A327" s="32"/>
      <c r="B327" s="29"/>
      <c r="C327" s="10" t="str">
        <f aca="false">IF($B327="","",IFERROR(INDEX(M_name,MATCH($B327,M_emp,0)),"Code not found"))</f>
        <v/>
      </c>
      <c r="D327" s="10" t="str">
        <f aca="false">IF($B327="","",IFERROR(INDEX(M_dept,MATCH($B327,M_emp,0)),""))</f>
        <v/>
      </c>
      <c r="E327" s="10" t="str">
        <f aca="false">IF($B327="","",IFERROR(INDEX(M_loc,MATCH($B327,M_emp,0)),""))</f>
        <v/>
      </c>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4" t="str">
        <f aca="false">IF($B327="","",COUNTIF($F327:$AJ327,"P"))</f>
        <v/>
      </c>
      <c r="AL327" s="34" t="str">
        <f aca="false">IF($B327="","",COUNTIF($F327:$AJ327,"A"))</f>
        <v/>
      </c>
      <c r="AM327" s="34" t="str">
        <f aca="false">IF($B327="","",COUNTIF($F327:$AJ327,"HA"))</f>
        <v/>
      </c>
      <c r="AN327" s="34" t="str">
        <f aca="false">IF($B327="","",COUNTIF($F327:$AJ327,"L"))</f>
        <v/>
      </c>
      <c r="AO327" s="34" t="str">
        <f aca="false">IF($B327="","",COUNTIF($F327:$AJ327,"PL"))</f>
        <v/>
      </c>
      <c r="AP327" s="34" t="str">
        <f aca="false">IF($B327="","",COUNTIF($F327:$AJ327,"CL"))</f>
        <v/>
      </c>
      <c r="AQ327" s="34" t="str">
        <f aca="false">IF($B327="","",COUNTIF($F327:$AJ327,"SL"))</f>
        <v/>
      </c>
      <c r="AR327" s="34" t="str">
        <f aca="false">IF($B327="","",COUNTIF($F327:$AJ327,"CO"))</f>
        <v/>
      </c>
      <c r="AS327" s="34" t="str">
        <f aca="false">IF($B327="","",COUNTIF($F327:$AJ327,"HPL"))</f>
        <v/>
      </c>
      <c r="AT327" s="34" t="str">
        <f aca="false">IF($B327="","",COUNTIF($F327:$AJ327,"HCL"))</f>
        <v/>
      </c>
      <c r="AU327" s="34" t="str">
        <f aca="false">IF($B327="","",COUNTIF($F327:$AJ327,"WO"))</f>
        <v/>
      </c>
      <c r="AV327" s="34" t="str">
        <f aca="false">IF($B327="","",COUNTIF($F327:$AJ327,"PH"))</f>
        <v/>
      </c>
      <c r="AW327" s="34" t="str">
        <f aca="false">IF($B327="","",COUNTIF($F327:$AJ327,"TR"))</f>
        <v/>
      </c>
      <c r="AX327" s="35" t="str">
        <f aca="false">IF($B327="","",AO327+AS327/2)</f>
        <v/>
      </c>
      <c r="AY327" s="35" t="str">
        <f aca="false">IF($B327="","",AQ327)</f>
        <v/>
      </c>
      <c r="AZ327" s="35" t="str">
        <f aca="false">IF($B327="","",AP327+AT327/2)</f>
        <v/>
      </c>
      <c r="BA327" s="35" t="str">
        <f aca="false">IF($B327="","",AK327+AN327+AM327/2+AO327+AP327+AQ327+AR327+AS327+AT327+AU327+AV327+AW327)</f>
        <v/>
      </c>
      <c r="BB327" s="35" t="str">
        <f aca="false">IF($B327="","",MAX(0,AN327-Settings!$C$16)*Settings!$C$17)</f>
        <v/>
      </c>
      <c r="BC327" s="35" t="str">
        <f aca="false">IF($B327="","",BA327-BB327)</f>
        <v/>
      </c>
      <c r="BD327" s="35" t="str">
        <f aca="false">IF(OR($B327="",$A327=""),"",DAY(EOMONTH($A327,0))-COUNTA($F327:$AJ327))</f>
        <v/>
      </c>
    </row>
    <row r="328" customFormat="false" ht="15" hidden="false" customHeight="false" outlineLevel="0" collapsed="false">
      <c r="A328" s="32"/>
      <c r="B328" s="29"/>
      <c r="C328" s="10" t="str">
        <f aca="false">IF($B328="","",IFERROR(INDEX(M_name,MATCH($B328,M_emp,0)),"Code not found"))</f>
        <v/>
      </c>
      <c r="D328" s="10" t="str">
        <f aca="false">IF($B328="","",IFERROR(INDEX(M_dept,MATCH($B328,M_emp,0)),""))</f>
        <v/>
      </c>
      <c r="E328" s="10" t="str">
        <f aca="false">IF($B328="","",IFERROR(INDEX(M_loc,MATCH($B328,M_emp,0)),""))</f>
        <v/>
      </c>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4" t="str">
        <f aca="false">IF($B328="","",COUNTIF($F328:$AJ328,"P"))</f>
        <v/>
      </c>
      <c r="AL328" s="34" t="str">
        <f aca="false">IF($B328="","",COUNTIF($F328:$AJ328,"A"))</f>
        <v/>
      </c>
      <c r="AM328" s="34" t="str">
        <f aca="false">IF($B328="","",COUNTIF($F328:$AJ328,"HA"))</f>
        <v/>
      </c>
      <c r="AN328" s="34" t="str">
        <f aca="false">IF($B328="","",COUNTIF($F328:$AJ328,"L"))</f>
        <v/>
      </c>
      <c r="AO328" s="34" t="str">
        <f aca="false">IF($B328="","",COUNTIF($F328:$AJ328,"PL"))</f>
        <v/>
      </c>
      <c r="AP328" s="34" t="str">
        <f aca="false">IF($B328="","",COUNTIF($F328:$AJ328,"CL"))</f>
        <v/>
      </c>
      <c r="AQ328" s="34" t="str">
        <f aca="false">IF($B328="","",COUNTIF($F328:$AJ328,"SL"))</f>
        <v/>
      </c>
      <c r="AR328" s="34" t="str">
        <f aca="false">IF($B328="","",COUNTIF($F328:$AJ328,"CO"))</f>
        <v/>
      </c>
      <c r="AS328" s="34" t="str">
        <f aca="false">IF($B328="","",COUNTIF($F328:$AJ328,"HPL"))</f>
        <v/>
      </c>
      <c r="AT328" s="34" t="str">
        <f aca="false">IF($B328="","",COUNTIF($F328:$AJ328,"HCL"))</f>
        <v/>
      </c>
      <c r="AU328" s="34" t="str">
        <f aca="false">IF($B328="","",COUNTIF($F328:$AJ328,"WO"))</f>
        <v/>
      </c>
      <c r="AV328" s="34" t="str">
        <f aca="false">IF($B328="","",COUNTIF($F328:$AJ328,"PH"))</f>
        <v/>
      </c>
      <c r="AW328" s="34" t="str">
        <f aca="false">IF($B328="","",COUNTIF($F328:$AJ328,"TR"))</f>
        <v/>
      </c>
      <c r="AX328" s="35" t="str">
        <f aca="false">IF($B328="","",AO328+AS328/2)</f>
        <v/>
      </c>
      <c r="AY328" s="35" t="str">
        <f aca="false">IF($B328="","",AQ328)</f>
        <v/>
      </c>
      <c r="AZ328" s="35" t="str">
        <f aca="false">IF($B328="","",AP328+AT328/2)</f>
        <v/>
      </c>
      <c r="BA328" s="35" t="str">
        <f aca="false">IF($B328="","",AK328+AN328+AM328/2+AO328+AP328+AQ328+AR328+AS328+AT328+AU328+AV328+AW328)</f>
        <v/>
      </c>
      <c r="BB328" s="35" t="str">
        <f aca="false">IF($B328="","",MAX(0,AN328-Settings!$C$16)*Settings!$C$17)</f>
        <v/>
      </c>
      <c r="BC328" s="35" t="str">
        <f aca="false">IF($B328="","",BA328-BB328)</f>
        <v/>
      </c>
      <c r="BD328" s="35" t="str">
        <f aca="false">IF(OR($B328="",$A328=""),"",DAY(EOMONTH($A328,0))-COUNTA($F328:$AJ328))</f>
        <v/>
      </c>
    </row>
    <row r="329" customFormat="false" ht="15" hidden="false" customHeight="false" outlineLevel="0" collapsed="false">
      <c r="A329" s="32"/>
      <c r="B329" s="29"/>
      <c r="C329" s="10" t="str">
        <f aca="false">IF($B329="","",IFERROR(INDEX(M_name,MATCH($B329,M_emp,0)),"Code not found"))</f>
        <v/>
      </c>
      <c r="D329" s="10" t="str">
        <f aca="false">IF($B329="","",IFERROR(INDEX(M_dept,MATCH($B329,M_emp,0)),""))</f>
        <v/>
      </c>
      <c r="E329" s="10" t="str">
        <f aca="false">IF($B329="","",IFERROR(INDEX(M_loc,MATCH($B329,M_emp,0)),""))</f>
        <v/>
      </c>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4" t="str">
        <f aca="false">IF($B329="","",COUNTIF($F329:$AJ329,"P"))</f>
        <v/>
      </c>
      <c r="AL329" s="34" t="str">
        <f aca="false">IF($B329="","",COUNTIF($F329:$AJ329,"A"))</f>
        <v/>
      </c>
      <c r="AM329" s="34" t="str">
        <f aca="false">IF($B329="","",COUNTIF($F329:$AJ329,"HA"))</f>
        <v/>
      </c>
      <c r="AN329" s="34" t="str">
        <f aca="false">IF($B329="","",COUNTIF($F329:$AJ329,"L"))</f>
        <v/>
      </c>
      <c r="AO329" s="34" t="str">
        <f aca="false">IF($B329="","",COUNTIF($F329:$AJ329,"PL"))</f>
        <v/>
      </c>
      <c r="AP329" s="34" t="str">
        <f aca="false">IF($B329="","",COUNTIF($F329:$AJ329,"CL"))</f>
        <v/>
      </c>
      <c r="AQ329" s="34" t="str">
        <f aca="false">IF($B329="","",COUNTIF($F329:$AJ329,"SL"))</f>
        <v/>
      </c>
      <c r="AR329" s="34" t="str">
        <f aca="false">IF($B329="","",COUNTIF($F329:$AJ329,"CO"))</f>
        <v/>
      </c>
      <c r="AS329" s="34" t="str">
        <f aca="false">IF($B329="","",COUNTIF($F329:$AJ329,"HPL"))</f>
        <v/>
      </c>
      <c r="AT329" s="34" t="str">
        <f aca="false">IF($B329="","",COUNTIF($F329:$AJ329,"HCL"))</f>
        <v/>
      </c>
      <c r="AU329" s="34" t="str">
        <f aca="false">IF($B329="","",COUNTIF($F329:$AJ329,"WO"))</f>
        <v/>
      </c>
      <c r="AV329" s="34" t="str">
        <f aca="false">IF($B329="","",COUNTIF($F329:$AJ329,"PH"))</f>
        <v/>
      </c>
      <c r="AW329" s="34" t="str">
        <f aca="false">IF($B329="","",COUNTIF($F329:$AJ329,"TR"))</f>
        <v/>
      </c>
      <c r="AX329" s="35" t="str">
        <f aca="false">IF($B329="","",AO329+AS329/2)</f>
        <v/>
      </c>
      <c r="AY329" s="35" t="str">
        <f aca="false">IF($B329="","",AQ329)</f>
        <v/>
      </c>
      <c r="AZ329" s="35" t="str">
        <f aca="false">IF($B329="","",AP329+AT329/2)</f>
        <v/>
      </c>
      <c r="BA329" s="35" t="str">
        <f aca="false">IF($B329="","",AK329+AN329+AM329/2+AO329+AP329+AQ329+AR329+AS329+AT329+AU329+AV329+AW329)</f>
        <v/>
      </c>
      <c r="BB329" s="35" t="str">
        <f aca="false">IF($B329="","",MAX(0,AN329-Settings!$C$16)*Settings!$C$17)</f>
        <v/>
      </c>
      <c r="BC329" s="35" t="str">
        <f aca="false">IF($B329="","",BA329-BB329)</f>
        <v/>
      </c>
      <c r="BD329" s="35" t="str">
        <f aca="false">IF(OR($B329="",$A329=""),"",DAY(EOMONTH($A329,0))-COUNTA($F329:$AJ329))</f>
        <v/>
      </c>
    </row>
    <row r="330" customFormat="false" ht="15" hidden="false" customHeight="false" outlineLevel="0" collapsed="false">
      <c r="A330" s="32"/>
      <c r="B330" s="29"/>
      <c r="C330" s="10" t="str">
        <f aca="false">IF($B330="","",IFERROR(INDEX(M_name,MATCH($B330,M_emp,0)),"Code not found"))</f>
        <v/>
      </c>
      <c r="D330" s="10" t="str">
        <f aca="false">IF($B330="","",IFERROR(INDEX(M_dept,MATCH($B330,M_emp,0)),""))</f>
        <v/>
      </c>
      <c r="E330" s="10" t="str">
        <f aca="false">IF($B330="","",IFERROR(INDEX(M_loc,MATCH($B330,M_emp,0)),""))</f>
        <v/>
      </c>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4" t="str">
        <f aca="false">IF($B330="","",COUNTIF($F330:$AJ330,"P"))</f>
        <v/>
      </c>
      <c r="AL330" s="34" t="str">
        <f aca="false">IF($B330="","",COUNTIF($F330:$AJ330,"A"))</f>
        <v/>
      </c>
      <c r="AM330" s="34" t="str">
        <f aca="false">IF($B330="","",COUNTIF($F330:$AJ330,"HA"))</f>
        <v/>
      </c>
      <c r="AN330" s="34" t="str">
        <f aca="false">IF($B330="","",COUNTIF($F330:$AJ330,"L"))</f>
        <v/>
      </c>
      <c r="AO330" s="34" t="str">
        <f aca="false">IF($B330="","",COUNTIF($F330:$AJ330,"PL"))</f>
        <v/>
      </c>
      <c r="AP330" s="34" t="str">
        <f aca="false">IF($B330="","",COUNTIF($F330:$AJ330,"CL"))</f>
        <v/>
      </c>
      <c r="AQ330" s="34" t="str">
        <f aca="false">IF($B330="","",COUNTIF($F330:$AJ330,"SL"))</f>
        <v/>
      </c>
      <c r="AR330" s="34" t="str">
        <f aca="false">IF($B330="","",COUNTIF($F330:$AJ330,"CO"))</f>
        <v/>
      </c>
      <c r="AS330" s="34" t="str">
        <f aca="false">IF($B330="","",COUNTIF($F330:$AJ330,"HPL"))</f>
        <v/>
      </c>
      <c r="AT330" s="34" t="str">
        <f aca="false">IF($B330="","",COUNTIF($F330:$AJ330,"HCL"))</f>
        <v/>
      </c>
      <c r="AU330" s="34" t="str">
        <f aca="false">IF($B330="","",COUNTIF($F330:$AJ330,"WO"))</f>
        <v/>
      </c>
      <c r="AV330" s="34" t="str">
        <f aca="false">IF($B330="","",COUNTIF($F330:$AJ330,"PH"))</f>
        <v/>
      </c>
      <c r="AW330" s="34" t="str">
        <f aca="false">IF($B330="","",COUNTIF($F330:$AJ330,"TR"))</f>
        <v/>
      </c>
      <c r="AX330" s="35" t="str">
        <f aca="false">IF($B330="","",AO330+AS330/2)</f>
        <v/>
      </c>
      <c r="AY330" s="35" t="str">
        <f aca="false">IF($B330="","",AQ330)</f>
        <v/>
      </c>
      <c r="AZ330" s="35" t="str">
        <f aca="false">IF($B330="","",AP330+AT330/2)</f>
        <v/>
      </c>
      <c r="BA330" s="35" t="str">
        <f aca="false">IF($B330="","",AK330+AN330+AM330/2+AO330+AP330+AQ330+AR330+AS330+AT330+AU330+AV330+AW330)</f>
        <v/>
      </c>
      <c r="BB330" s="35" t="str">
        <f aca="false">IF($B330="","",MAX(0,AN330-Settings!$C$16)*Settings!$C$17)</f>
        <v/>
      </c>
      <c r="BC330" s="35" t="str">
        <f aca="false">IF($B330="","",BA330-BB330)</f>
        <v/>
      </c>
      <c r="BD330" s="35" t="str">
        <f aca="false">IF(OR($B330="",$A330=""),"",DAY(EOMONTH($A330,0))-COUNTA($F330:$AJ330))</f>
        <v/>
      </c>
    </row>
    <row r="331" customFormat="false" ht="15" hidden="false" customHeight="false" outlineLevel="0" collapsed="false">
      <c r="A331" s="32"/>
      <c r="B331" s="29"/>
      <c r="C331" s="10" t="str">
        <f aca="false">IF($B331="","",IFERROR(INDEX(M_name,MATCH($B331,M_emp,0)),"Code not found"))</f>
        <v/>
      </c>
      <c r="D331" s="10" t="str">
        <f aca="false">IF($B331="","",IFERROR(INDEX(M_dept,MATCH($B331,M_emp,0)),""))</f>
        <v/>
      </c>
      <c r="E331" s="10" t="str">
        <f aca="false">IF($B331="","",IFERROR(INDEX(M_loc,MATCH($B331,M_emp,0)),""))</f>
        <v/>
      </c>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4" t="str">
        <f aca="false">IF($B331="","",COUNTIF($F331:$AJ331,"P"))</f>
        <v/>
      </c>
      <c r="AL331" s="34" t="str">
        <f aca="false">IF($B331="","",COUNTIF($F331:$AJ331,"A"))</f>
        <v/>
      </c>
      <c r="AM331" s="34" t="str">
        <f aca="false">IF($B331="","",COUNTIF($F331:$AJ331,"HA"))</f>
        <v/>
      </c>
      <c r="AN331" s="34" t="str">
        <f aca="false">IF($B331="","",COUNTIF($F331:$AJ331,"L"))</f>
        <v/>
      </c>
      <c r="AO331" s="34" t="str">
        <f aca="false">IF($B331="","",COUNTIF($F331:$AJ331,"PL"))</f>
        <v/>
      </c>
      <c r="AP331" s="34" t="str">
        <f aca="false">IF($B331="","",COUNTIF($F331:$AJ331,"CL"))</f>
        <v/>
      </c>
      <c r="AQ331" s="34" t="str">
        <f aca="false">IF($B331="","",COUNTIF($F331:$AJ331,"SL"))</f>
        <v/>
      </c>
      <c r="AR331" s="34" t="str">
        <f aca="false">IF($B331="","",COUNTIF($F331:$AJ331,"CO"))</f>
        <v/>
      </c>
      <c r="AS331" s="34" t="str">
        <f aca="false">IF($B331="","",COUNTIF($F331:$AJ331,"HPL"))</f>
        <v/>
      </c>
      <c r="AT331" s="34" t="str">
        <f aca="false">IF($B331="","",COUNTIF($F331:$AJ331,"HCL"))</f>
        <v/>
      </c>
      <c r="AU331" s="34" t="str">
        <f aca="false">IF($B331="","",COUNTIF($F331:$AJ331,"WO"))</f>
        <v/>
      </c>
      <c r="AV331" s="34" t="str">
        <f aca="false">IF($B331="","",COUNTIF($F331:$AJ331,"PH"))</f>
        <v/>
      </c>
      <c r="AW331" s="34" t="str">
        <f aca="false">IF($B331="","",COUNTIF($F331:$AJ331,"TR"))</f>
        <v/>
      </c>
      <c r="AX331" s="35" t="str">
        <f aca="false">IF($B331="","",AO331+AS331/2)</f>
        <v/>
      </c>
      <c r="AY331" s="35" t="str">
        <f aca="false">IF($B331="","",AQ331)</f>
        <v/>
      </c>
      <c r="AZ331" s="35" t="str">
        <f aca="false">IF($B331="","",AP331+AT331/2)</f>
        <v/>
      </c>
      <c r="BA331" s="35" t="str">
        <f aca="false">IF($B331="","",AK331+AN331+AM331/2+AO331+AP331+AQ331+AR331+AS331+AT331+AU331+AV331+AW331)</f>
        <v/>
      </c>
      <c r="BB331" s="35" t="str">
        <f aca="false">IF($B331="","",MAX(0,AN331-Settings!$C$16)*Settings!$C$17)</f>
        <v/>
      </c>
      <c r="BC331" s="35" t="str">
        <f aca="false">IF($B331="","",BA331-BB331)</f>
        <v/>
      </c>
      <c r="BD331" s="35" t="str">
        <f aca="false">IF(OR($B331="",$A331=""),"",DAY(EOMONTH($A331,0))-COUNTA($F331:$AJ331))</f>
        <v/>
      </c>
    </row>
    <row r="332" customFormat="false" ht="15" hidden="false" customHeight="false" outlineLevel="0" collapsed="false">
      <c r="A332" s="32"/>
      <c r="B332" s="29"/>
      <c r="C332" s="10" t="str">
        <f aca="false">IF($B332="","",IFERROR(INDEX(M_name,MATCH($B332,M_emp,0)),"Code not found"))</f>
        <v/>
      </c>
      <c r="D332" s="10" t="str">
        <f aca="false">IF($B332="","",IFERROR(INDEX(M_dept,MATCH($B332,M_emp,0)),""))</f>
        <v/>
      </c>
      <c r="E332" s="10" t="str">
        <f aca="false">IF($B332="","",IFERROR(INDEX(M_loc,MATCH($B332,M_emp,0)),""))</f>
        <v/>
      </c>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4" t="str">
        <f aca="false">IF($B332="","",COUNTIF($F332:$AJ332,"P"))</f>
        <v/>
      </c>
      <c r="AL332" s="34" t="str">
        <f aca="false">IF($B332="","",COUNTIF($F332:$AJ332,"A"))</f>
        <v/>
      </c>
      <c r="AM332" s="34" t="str">
        <f aca="false">IF($B332="","",COUNTIF($F332:$AJ332,"HA"))</f>
        <v/>
      </c>
      <c r="AN332" s="34" t="str">
        <f aca="false">IF($B332="","",COUNTIF($F332:$AJ332,"L"))</f>
        <v/>
      </c>
      <c r="AO332" s="34" t="str">
        <f aca="false">IF($B332="","",COUNTIF($F332:$AJ332,"PL"))</f>
        <v/>
      </c>
      <c r="AP332" s="34" t="str">
        <f aca="false">IF($B332="","",COUNTIF($F332:$AJ332,"CL"))</f>
        <v/>
      </c>
      <c r="AQ332" s="34" t="str">
        <f aca="false">IF($B332="","",COUNTIF($F332:$AJ332,"SL"))</f>
        <v/>
      </c>
      <c r="AR332" s="34" t="str">
        <f aca="false">IF($B332="","",COUNTIF($F332:$AJ332,"CO"))</f>
        <v/>
      </c>
      <c r="AS332" s="34" t="str">
        <f aca="false">IF($B332="","",COUNTIF($F332:$AJ332,"HPL"))</f>
        <v/>
      </c>
      <c r="AT332" s="34" t="str">
        <f aca="false">IF($B332="","",COUNTIF($F332:$AJ332,"HCL"))</f>
        <v/>
      </c>
      <c r="AU332" s="34" t="str">
        <f aca="false">IF($B332="","",COUNTIF($F332:$AJ332,"WO"))</f>
        <v/>
      </c>
      <c r="AV332" s="34" t="str">
        <f aca="false">IF($B332="","",COUNTIF($F332:$AJ332,"PH"))</f>
        <v/>
      </c>
      <c r="AW332" s="34" t="str">
        <f aca="false">IF($B332="","",COUNTIF($F332:$AJ332,"TR"))</f>
        <v/>
      </c>
      <c r="AX332" s="35" t="str">
        <f aca="false">IF($B332="","",AO332+AS332/2)</f>
        <v/>
      </c>
      <c r="AY332" s="35" t="str">
        <f aca="false">IF($B332="","",AQ332)</f>
        <v/>
      </c>
      <c r="AZ332" s="35" t="str">
        <f aca="false">IF($B332="","",AP332+AT332/2)</f>
        <v/>
      </c>
      <c r="BA332" s="35" t="str">
        <f aca="false">IF($B332="","",AK332+AN332+AM332/2+AO332+AP332+AQ332+AR332+AS332+AT332+AU332+AV332+AW332)</f>
        <v/>
      </c>
      <c r="BB332" s="35" t="str">
        <f aca="false">IF($B332="","",MAX(0,AN332-Settings!$C$16)*Settings!$C$17)</f>
        <v/>
      </c>
      <c r="BC332" s="35" t="str">
        <f aca="false">IF($B332="","",BA332-BB332)</f>
        <v/>
      </c>
      <c r="BD332" s="35" t="str">
        <f aca="false">IF(OR($B332="",$A332=""),"",DAY(EOMONTH($A332,0))-COUNTA($F332:$AJ332))</f>
        <v/>
      </c>
    </row>
    <row r="333" customFormat="false" ht="15" hidden="false" customHeight="false" outlineLevel="0" collapsed="false">
      <c r="A333" s="32"/>
      <c r="B333" s="29"/>
      <c r="C333" s="10" t="str">
        <f aca="false">IF($B333="","",IFERROR(INDEX(M_name,MATCH($B333,M_emp,0)),"Code not found"))</f>
        <v/>
      </c>
      <c r="D333" s="10" t="str">
        <f aca="false">IF($B333="","",IFERROR(INDEX(M_dept,MATCH($B333,M_emp,0)),""))</f>
        <v/>
      </c>
      <c r="E333" s="10" t="str">
        <f aca="false">IF($B333="","",IFERROR(INDEX(M_loc,MATCH($B333,M_emp,0)),""))</f>
        <v/>
      </c>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4" t="str">
        <f aca="false">IF($B333="","",COUNTIF($F333:$AJ333,"P"))</f>
        <v/>
      </c>
      <c r="AL333" s="34" t="str">
        <f aca="false">IF($B333="","",COUNTIF($F333:$AJ333,"A"))</f>
        <v/>
      </c>
      <c r="AM333" s="34" t="str">
        <f aca="false">IF($B333="","",COUNTIF($F333:$AJ333,"HA"))</f>
        <v/>
      </c>
      <c r="AN333" s="34" t="str">
        <f aca="false">IF($B333="","",COUNTIF($F333:$AJ333,"L"))</f>
        <v/>
      </c>
      <c r="AO333" s="34" t="str">
        <f aca="false">IF($B333="","",COUNTIF($F333:$AJ333,"PL"))</f>
        <v/>
      </c>
      <c r="AP333" s="34" t="str">
        <f aca="false">IF($B333="","",COUNTIF($F333:$AJ333,"CL"))</f>
        <v/>
      </c>
      <c r="AQ333" s="34" t="str">
        <f aca="false">IF($B333="","",COUNTIF($F333:$AJ333,"SL"))</f>
        <v/>
      </c>
      <c r="AR333" s="34" t="str">
        <f aca="false">IF($B333="","",COUNTIF($F333:$AJ333,"CO"))</f>
        <v/>
      </c>
      <c r="AS333" s="34" t="str">
        <f aca="false">IF($B333="","",COUNTIF($F333:$AJ333,"HPL"))</f>
        <v/>
      </c>
      <c r="AT333" s="34" t="str">
        <f aca="false">IF($B333="","",COUNTIF($F333:$AJ333,"HCL"))</f>
        <v/>
      </c>
      <c r="AU333" s="34" t="str">
        <f aca="false">IF($B333="","",COUNTIF($F333:$AJ333,"WO"))</f>
        <v/>
      </c>
      <c r="AV333" s="34" t="str">
        <f aca="false">IF($B333="","",COUNTIF($F333:$AJ333,"PH"))</f>
        <v/>
      </c>
      <c r="AW333" s="34" t="str">
        <f aca="false">IF($B333="","",COUNTIF($F333:$AJ333,"TR"))</f>
        <v/>
      </c>
      <c r="AX333" s="35" t="str">
        <f aca="false">IF($B333="","",AO333+AS333/2)</f>
        <v/>
      </c>
      <c r="AY333" s="35" t="str">
        <f aca="false">IF($B333="","",AQ333)</f>
        <v/>
      </c>
      <c r="AZ333" s="35" t="str">
        <f aca="false">IF($B333="","",AP333+AT333/2)</f>
        <v/>
      </c>
      <c r="BA333" s="35" t="str">
        <f aca="false">IF($B333="","",AK333+AN333+AM333/2+AO333+AP333+AQ333+AR333+AS333+AT333+AU333+AV333+AW333)</f>
        <v/>
      </c>
      <c r="BB333" s="35" t="str">
        <f aca="false">IF($B333="","",MAX(0,AN333-Settings!$C$16)*Settings!$C$17)</f>
        <v/>
      </c>
      <c r="BC333" s="35" t="str">
        <f aca="false">IF($B333="","",BA333-BB333)</f>
        <v/>
      </c>
      <c r="BD333" s="35" t="str">
        <f aca="false">IF(OR($B333="",$A333=""),"",DAY(EOMONTH($A333,0))-COUNTA($F333:$AJ333))</f>
        <v/>
      </c>
    </row>
    <row r="334" customFormat="false" ht="15" hidden="false" customHeight="false" outlineLevel="0" collapsed="false">
      <c r="A334" s="32"/>
      <c r="B334" s="29"/>
      <c r="C334" s="10" t="str">
        <f aca="false">IF($B334="","",IFERROR(INDEX(M_name,MATCH($B334,M_emp,0)),"Code not found"))</f>
        <v/>
      </c>
      <c r="D334" s="10" t="str">
        <f aca="false">IF($B334="","",IFERROR(INDEX(M_dept,MATCH($B334,M_emp,0)),""))</f>
        <v/>
      </c>
      <c r="E334" s="10" t="str">
        <f aca="false">IF($B334="","",IFERROR(INDEX(M_loc,MATCH($B334,M_emp,0)),""))</f>
        <v/>
      </c>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4" t="str">
        <f aca="false">IF($B334="","",COUNTIF($F334:$AJ334,"P"))</f>
        <v/>
      </c>
      <c r="AL334" s="34" t="str">
        <f aca="false">IF($B334="","",COUNTIF($F334:$AJ334,"A"))</f>
        <v/>
      </c>
      <c r="AM334" s="34" t="str">
        <f aca="false">IF($B334="","",COUNTIF($F334:$AJ334,"HA"))</f>
        <v/>
      </c>
      <c r="AN334" s="34" t="str">
        <f aca="false">IF($B334="","",COUNTIF($F334:$AJ334,"L"))</f>
        <v/>
      </c>
      <c r="AO334" s="34" t="str">
        <f aca="false">IF($B334="","",COUNTIF($F334:$AJ334,"PL"))</f>
        <v/>
      </c>
      <c r="AP334" s="34" t="str">
        <f aca="false">IF($B334="","",COUNTIF($F334:$AJ334,"CL"))</f>
        <v/>
      </c>
      <c r="AQ334" s="34" t="str">
        <f aca="false">IF($B334="","",COUNTIF($F334:$AJ334,"SL"))</f>
        <v/>
      </c>
      <c r="AR334" s="34" t="str">
        <f aca="false">IF($B334="","",COUNTIF($F334:$AJ334,"CO"))</f>
        <v/>
      </c>
      <c r="AS334" s="34" t="str">
        <f aca="false">IF($B334="","",COUNTIF($F334:$AJ334,"HPL"))</f>
        <v/>
      </c>
      <c r="AT334" s="34" t="str">
        <f aca="false">IF($B334="","",COUNTIF($F334:$AJ334,"HCL"))</f>
        <v/>
      </c>
      <c r="AU334" s="34" t="str">
        <f aca="false">IF($B334="","",COUNTIF($F334:$AJ334,"WO"))</f>
        <v/>
      </c>
      <c r="AV334" s="34" t="str">
        <f aca="false">IF($B334="","",COUNTIF($F334:$AJ334,"PH"))</f>
        <v/>
      </c>
      <c r="AW334" s="34" t="str">
        <f aca="false">IF($B334="","",COUNTIF($F334:$AJ334,"TR"))</f>
        <v/>
      </c>
      <c r="AX334" s="35" t="str">
        <f aca="false">IF($B334="","",AO334+AS334/2)</f>
        <v/>
      </c>
      <c r="AY334" s="35" t="str">
        <f aca="false">IF($B334="","",AQ334)</f>
        <v/>
      </c>
      <c r="AZ334" s="35" t="str">
        <f aca="false">IF($B334="","",AP334+AT334/2)</f>
        <v/>
      </c>
      <c r="BA334" s="35" t="str">
        <f aca="false">IF($B334="","",AK334+AN334+AM334/2+AO334+AP334+AQ334+AR334+AS334+AT334+AU334+AV334+AW334)</f>
        <v/>
      </c>
      <c r="BB334" s="35" t="str">
        <f aca="false">IF($B334="","",MAX(0,AN334-Settings!$C$16)*Settings!$C$17)</f>
        <v/>
      </c>
      <c r="BC334" s="35" t="str">
        <f aca="false">IF($B334="","",BA334-BB334)</f>
        <v/>
      </c>
      <c r="BD334" s="35" t="str">
        <f aca="false">IF(OR($B334="",$A334=""),"",DAY(EOMONTH($A334,0))-COUNTA($F334:$AJ334))</f>
        <v/>
      </c>
    </row>
    <row r="335" customFormat="false" ht="15" hidden="false" customHeight="false" outlineLevel="0" collapsed="false">
      <c r="A335" s="32"/>
      <c r="B335" s="29"/>
      <c r="C335" s="10" t="str">
        <f aca="false">IF($B335="","",IFERROR(INDEX(M_name,MATCH($B335,M_emp,0)),"Code not found"))</f>
        <v/>
      </c>
      <c r="D335" s="10" t="str">
        <f aca="false">IF($B335="","",IFERROR(INDEX(M_dept,MATCH($B335,M_emp,0)),""))</f>
        <v/>
      </c>
      <c r="E335" s="10" t="str">
        <f aca="false">IF($B335="","",IFERROR(INDEX(M_loc,MATCH($B335,M_emp,0)),""))</f>
        <v/>
      </c>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4" t="str">
        <f aca="false">IF($B335="","",COUNTIF($F335:$AJ335,"P"))</f>
        <v/>
      </c>
      <c r="AL335" s="34" t="str">
        <f aca="false">IF($B335="","",COUNTIF($F335:$AJ335,"A"))</f>
        <v/>
      </c>
      <c r="AM335" s="34" t="str">
        <f aca="false">IF($B335="","",COUNTIF($F335:$AJ335,"HA"))</f>
        <v/>
      </c>
      <c r="AN335" s="34" t="str">
        <f aca="false">IF($B335="","",COUNTIF($F335:$AJ335,"L"))</f>
        <v/>
      </c>
      <c r="AO335" s="34" t="str">
        <f aca="false">IF($B335="","",COUNTIF($F335:$AJ335,"PL"))</f>
        <v/>
      </c>
      <c r="AP335" s="34" t="str">
        <f aca="false">IF($B335="","",COUNTIF($F335:$AJ335,"CL"))</f>
        <v/>
      </c>
      <c r="AQ335" s="34" t="str">
        <f aca="false">IF($B335="","",COUNTIF($F335:$AJ335,"SL"))</f>
        <v/>
      </c>
      <c r="AR335" s="34" t="str">
        <f aca="false">IF($B335="","",COUNTIF($F335:$AJ335,"CO"))</f>
        <v/>
      </c>
      <c r="AS335" s="34" t="str">
        <f aca="false">IF($B335="","",COUNTIF($F335:$AJ335,"HPL"))</f>
        <v/>
      </c>
      <c r="AT335" s="34" t="str">
        <f aca="false">IF($B335="","",COUNTIF($F335:$AJ335,"HCL"))</f>
        <v/>
      </c>
      <c r="AU335" s="34" t="str">
        <f aca="false">IF($B335="","",COUNTIF($F335:$AJ335,"WO"))</f>
        <v/>
      </c>
      <c r="AV335" s="34" t="str">
        <f aca="false">IF($B335="","",COUNTIF($F335:$AJ335,"PH"))</f>
        <v/>
      </c>
      <c r="AW335" s="34" t="str">
        <f aca="false">IF($B335="","",COUNTIF($F335:$AJ335,"TR"))</f>
        <v/>
      </c>
      <c r="AX335" s="35" t="str">
        <f aca="false">IF($B335="","",AO335+AS335/2)</f>
        <v/>
      </c>
      <c r="AY335" s="35" t="str">
        <f aca="false">IF($B335="","",AQ335)</f>
        <v/>
      </c>
      <c r="AZ335" s="35" t="str">
        <f aca="false">IF($B335="","",AP335+AT335/2)</f>
        <v/>
      </c>
      <c r="BA335" s="35" t="str">
        <f aca="false">IF($B335="","",AK335+AN335+AM335/2+AO335+AP335+AQ335+AR335+AS335+AT335+AU335+AV335+AW335)</f>
        <v/>
      </c>
      <c r="BB335" s="35" t="str">
        <f aca="false">IF($B335="","",MAX(0,AN335-Settings!$C$16)*Settings!$C$17)</f>
        <v/>
      </c>
      <c r="BC335" s="35" t="str">
        <f aca="false">IF($B335="","",BA335-BB335)</f>
        <v/>
      </c>
      <c r="BD335" s="35" t="str">
        <f aca="false">IF(OR($B335="",$A335=""),"",DAY(EOMONTH($A335,0))-COUNTA($F335:$AJ335))</f>
        <v/>
      </c>
    </row>
    <row r="336" customFormat="false" ht="15" hidden="false" customHeight="false" outlineLevel="0" collapsed="false">
      <c r="A336" s="32"/>
      <c r="B336" s="29"/>
      <c r="C336" s="10" t="str">
        <f aca="false">IF($B336="","",IFERROR(INDEX(M_name,MATCH($B336,M_emp,0)),"Code not found"))</f>
        <v/>
      </c>
      <c r="D336" s="10" t="str">
        <f aca="false">IF($B336="","",IFERROR(INDEX(M_dept,MATCH($B336,M_emp,0)),""))</f>
        <v/>
      </c>
      <c r="E336" s="10" t="str">
        <f aca="false">IF($B336="","",IFERROR(INDEX(M_loc,MATCH($B336,M_emp,0)),""))</f>
        <v/>
      </c>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4" t="str">
        <f aca="false">IF($B336="","",COUNTIF($F336:$AJ336,"P"))</f>
        <v/>
      </c>
      <c r="AL336" s="34" t="str">
        <f aca="false">IF($B336="","",COUNTIF($F336:$AJ336,"A"))</f>
        <v/>
      </c>
      <c r="AM336" s="34" t="str">
        <f aca="false">IF($B336="","",COUNTIF($F336:$AJ336,"HA"))</f>
        <v/>
      </c>
      <c r="AN336" s="34" t="str">
        <f aca="false">IF($B336="","",COUNTIF($F336:$AJ336,"L"))</f>
        <v/>
      </c>
      <c r="AO336" s="34" t="str">
        <f aca="false">IF($B336="","",COUNTIF($F336:$AJ336,"PL"))</f>
        <v/>
      </c>
      <c r="AP336" s="34" t="str">
        <f aca="false">IF($B336="","",COUNTIF($F336:$AJ336,"CL"))</f>
        <v/>
      </c>
      <c r="AQ336" s="34" t="str">
        <f aca="false">IF($B336="","",COUNTIF($F336:$AJ336,"SL"))</f>
        <v/>
      </c>
      <c r="AR336" s="34" t="str">
        <f aca="false">IF($B336="","",COUNTIF($F336:$AJ336,"CO"))</f>
        <v/>
      </c>
      <c r="AS336" s="34" t="str">
        <f aca="false">IF($B336="","",COUNTIF($F336:$AJ336,"HPL"))</f>
        <v/>
      </c>
      <c r="AT336" s="34" t="str">
        <f aca="false">IF($B336="","",COUNTIF($F336:$AJ336,"HCL"))</f>
        <v/>
      </c>
      <c r="AU336" s="34" t="str">
        <f aca="false">IF($B336="","",COUNTIF($F336:$AJ336,"WO"))</f>
        <v/>
      </c>
      <c r="AV336" s="34" t="str">
        <f aca="false">IF($B336="","",COUNTIF($F336:$AJ336,"PH"))</f>
        <v/>
      </c>
      <c r="AW336" s="34" t="str">
        <f aca="false">IF($B336="","",COUNTIF($F336:$AJ336,"TR"))</f>
        <v/>
      </c>
      <c r="AX336" s="35" t="str">
        <f aca="false">IF($B336="","",AO336+AS336/2)</f>
        <v/>
      </c>
      <c r="AY336" s="35" t="str">
        <f aca="false">IF($B336="","",AQ336)</f>
        <v/>
      </c>
      <c r="AZ336" s="35" t="str">
        <f aca="false">IF($B336="","",AP336+AT336/2)</f>
        <v/>
      </c>
      <c r="BA336" s="35" t="str">
        <f aca="false">IF($B336="","",AK336+AN336+AM336/2+AO336+AP336+AQ336+AR336+AS336+AT336+AU336+AV336+AW336)</f>
        <v/>
      </c>
      <c r="BB336" s="35" t="str">
        <f aca="false">IF($B336="","",MAX(0,AN336-Settings!$C$16)*Settings!$C$17)</f>
        <v/>
      </c>
      <c r="BC336" s="35" t="str">
        <f aca="false">IF($B336="","",BA336-BB336)</f>
        <v/>
      </c>
      <c r="BD336" s="35" t="str">
        <f aca="false">IF(OR($B336="",$A336=""),"",DAY(EOMONTH($A336,0))-COUNTA($F336:$AJ336))</f>
        <v/>
      </c>
    </row>
    <row r="337" customFormat="false" ht="15" hidden="false" customHeight="false" outlineLevel="0" collapsed="false">
      <c r="A337" s="32"/>
      <c r="B337" s="29"/>
      <c r="C337" s="10" t="str">
        <f aca="false">IF($B337="","",IFERROR(INDEX(M_name,MATCH($B337,M_emp,0)),"Code not found"))</f>
        <v/>
      </c>
      <c r="D337" s="10" t="str">
        <f aca="false">IF($B337="","",IFERROR(INDEX(M_dept,MATCH($B337,M_emp,0)),""))</f>
        <v/>
      </c>
      <c r="E337" s="10" t="str">
        <f aca="false">IF($B337="","",IFERROR(INDEX(M_loc,MATCH($B337,M_emp,0)),""))</f>
        <v/>
      </c>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4" t="str">
        <f aca="false">IF($B337="","",COUNTIF($F337:$AJ337,"P"))</f>
        <v/>
      </c>
      <c r="AL337" s="34" t="str">
        <f aca="false">IF($B337="","",COUNTIF($F337:$AJ337,"A"))</f>
        <v/>
      </c>
      <c r="AM337" s="34" t="str">
        <f aca="false">IF($B337="","",COUNTIF($F337:$AJ337,"HA"))</f>
        <v/>
      </c>
      <c r="AN337" s="34" t="str">
        <f aca="false">IF($B337="","",COUNTIF($F337:$AJ337,"L"))</f>
        <v/>
      </c>
      <c r="AO337" s="34" t="str">
        <f aca="false">IF($B337="","",COUNTIF($F337:$AJ337,"PL"))</f>
        <v/>
      </c>
      <c r="AP337" s="34" t="str">
        <f aca="false">IF($B337="","",COUNTIF($F337:$AJ337,"CL"))</f>
        <v/>
      </c>
      <c r="AQ337" s="34" t="str">
        <f aca="false">IF($B337="","",COUNTIF($F337:$AJ337,"SL"))</f>
        <v/>
      </c>
      <c r="AR337" s="34" t="str">
        <f aca="false">IF($B337="","",COUNTIF($F337:$AJ337,"CO"))</f>
        <v/>
      </c>
      <c r="AS337" s="34" t="str">
        <f aca="false">IF($B337="","",COUNTIF($F337:$AJ337,"HPL"))</f>
        <v/>
      </c>
      <c r="AT337" s="34" t="str">
        <f aca="false">IF($B337="","",COUNTIF($F337:$AJ337,"HCL"))</f>
        <v/>
      </c>
      <c r="AU337" s="34" t="str">
        <f aca="false">IF($B337="","",COUNTIF($F337:$AJ337,"WO"))</f>
        <v/>
      </c>
      <c r="AV337" s="34" t="str">
        <f aca="false">IF($B337="","",COUNTIF($F337:$AJ337,"PH"))</f>
        <v/>
      </c>
      <c r="AW337" s="34" t="str">
        <f aca="false">IF($B337="","",COUNTIF($F337:$AJ337,"TR"))</f>
        <v/>
      </c>
      <c r="AX337" s="35" t="str">
        <f aca="false">IF($B337="","",AO337+AS337/2)</f>
        <v/>
      </c>
      <c r="AY337" s="35" t="str">
        <f aca="false">IF($B337="","",AQ337)</f>
        <v/>
      </c>
      <c r="AZ337" s="35" t="str">
        <f aca="false">IF($B337="","",AP337+AT337/2)</f>
        <v/>
      </c>
      <c r="BA337" s="35" t="str">
        <f aca="false">IF($B337="","",AK337+AN337+AM337/2+AO337+AP337+AQ337+AR337+AS337+AT337+AU337+AV337+AW337)</f>
        <v/>
      </c>
      <c r="BB337" s="35" t="str">
        <f aca="false">IF($B337="","",MAX(0,AN337-Settings!$C$16)*Settings!$C$17)</f>
        <v/>
      </c>
      <c r="BC337" s="35" t="str">
        <f aca="false">IF($B337="","",BA337-BB337)</f>
        <v/>
      </c>
      <c r="BD337" s="35" t="str">
        <f aca="false">IF(OR($B337="",$A337=""),"",DAY(EOMONTH($A337,0))-COUNTA($F337:$AJ337))</f>
        <v/>
      </c>
    </row>
    <row r="338" customFormat="false" ht="15" hidden="false" customHeight="false" outlineLevel="0" collapsed="false">
      <c r="A338" s="32"/>
      <c r="B338" s="29"/>
      <c r="C338" s="10" t="str">
        <f aca="false">IF($B338="","",IFERROR(INDEX(M_name,MATCH($B338,M_emp,0)),"Code not found"))</f>
        <v/>
      </c>
      <c r="D338" s="10" t="str">
        <f aca="false">IF($B338="","",IFERROR(INDEX(M_dept,MATCH($B338,M_emp,0)),""))</f>
        <v/>
      </c>
      <c r="E338" s="10" t="str">
        <f aca="false">IF($B338="","",IFERROR(INDEX(M_loc,MATCH($B338,M_emp,0)),""))</f>
        <v/>
      </c>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4" t="str">
        <f aca="false">IF($B338="","",COUNTIF($F338:$AJ338,"P"))</f>
        <v/>
      </c>
      <c r="AL338" s="34" t="str">
        <f aca="false">IF($B338="","",COUNTIF($F338:$AJ338,"A"))</f>
        <v/>
      </c>
      <c r="AM338" s="34" t="str">
        <f aca="false">IF($B338="","",COUNTIF($F338:$AJ338,"HA"))</f>
        <v/>
      </c>
      <c r="AN338" s="34" t="str">
        <f aca="false">IF($B338="","",COUNTIF($F338:$AJ338,"L"))</f>
        <v/>
      </c>
      <c r="AO338" s="34" t="str">
        <f aca="false">IF($B338="","",COUNTIF($F338:$AJ338,"PL"))</f>
        <v/>
      </c>
      <c r="AP338" s="34" t="str">
        <f aca="false">IF($B338="","",COUNTIF($F338:$AJ338,"CL"))</f>
        <v/>
      </c>
      <c r="AQ338" s="34" t="str">
        <f aca="false">IF($B338="","",COUNTIF($F338:$AJ338,"SL"))</f>
        <v/>
      </c>
      <c r="AR338" s="34" t="str">
        <f aca="false">IF($B338="","",COUNTIF($F338:$AJ338,"CO"))</f>
        <v/>
      </c>
      <c r="AS338" s="34" t="str">
        <f aca="false">IF($B338="","",COUNTIF($F338:$AJ338,"HPL"))</f>
        <v/>
      </c>
      <c r="AT338" s="34" t="str">
        <f aca="false">IF($B338="","",COUNTIF($F338:$AJ338,"HCL"))</f>
        <v/>
      </c>
      <c r="AU338" s="34" t="str">
        <f aca="false">IF($B338="","",COUNTIF($F338:$AJ338,"WO"))</f>
        <v/>
      </c>
      <c r="AV338" s="34" t="str">
        <f aca="false">IF($B338="","",COUNTIF($F338:$AJ338,"PH"))</f>
        <v/>
      </c>
      <c r="AW338" s="34" t="str">
        <f aca="false">IF($B338="","",COUNTIF($F338:$AJ338,"TR"))</f>
        <v/>
      </c>
      <c r="AX338" s="35" t="str">
        <f aca="false">IF($B338="","",AO338+AS338/2)</f>
        <v/>
      </c>
      <c r="AY338" s="35" t="str">
        <f aca="false">IF($B338="","",AQ338)</f>
        <v/>
      </c>
      <c r="AZ338" s="35" t="str">
        <f aca="false">IF($B338="","",AP338+AT338/2)</f>
        <v/>
      </c>
      <c r="BA338" s="35" t="str">
        <f aca="false">IF($B338="","",AK338+AN338+AM338/2+AO338+AP338+AQ338+AR338+AS338+AT338+AU338+AV338+AW338)</f>
        <v/>
      </c>
      <c r="BB338" s="35" t="str">
        <f aca="false">IF($B338="","",MAX(0,AN338-Settings!$C$16)*Settings!$C$17)</f>
        <v/>
      </c>
      <c r="BC338" s="35" t="str">
        <f aca="false">IF($B338="","",BA338-BB338)</f>
        <v/>
      </c>
      <c r="BD338" s="35" t="str">
        <f aca="false">IF(OR($B338="",$A338=""),"",DAY(EOMONTH($A338,0))-COUNTA($F338:$AJ338))</f>
        <v/>
      </c>
    </row>
    <row r="339" customFormat="false" ht="15" hidden="false" customHeight="false" outlineLevel="0" collapsed="false">
      <c r="A339" s="32"/>
      <c r="B339" s="29"/>
      <c r="C339" s="10" t="str">
        <f aca="false">IF($B339="","",IFERROR(INDEX(M_name,MATCH($B339,M_emp,0)),"Code not found"))</f>
        <v/>
      </c>
      <c r="D339" s="10" t="str">
        <f aca="false">IF($B339="","",IFERROR(INDEX(M_dept,MATCH($B339,M_emp,0)),""))</f>
        <v/>
      </c>
      <c r="E339" s="10" t="str">
        <f aca="false">IF($B339="","",IFERROR(INDEX(M_loc,MATCH($B339,M_emp,0)),""))</f>
        <v/>
      </c>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4" t="str">
        <f aca="false">IF($B339="","",COUNTIF($F339:$AJ339,"P"))</f>
        <v/>
      </c>
      <c r="AL339" s="34" t="str">
        <f aca="false">IF($B339="","",COUNTIF($F339:$AJ339,"A"))</f>
        <v/>
      </c>
      <c r="AM339" s="34" t="str">
        <f aca="false">IF($B339="","",COUNTIF($F339:$AJ339,"HA"))</f>
        <v/>
      </c>
      <c r="AN339" s="34" t="str">
        <f aca="false">IF($B339="","",COUNTIF($F339:$AJ339,"L"))</f>
        <v/>
      </c>
      <c r="AO339" s="34" t="str">
        <f aca="false">IF($B339="","",COUNTIF($F339:$AJ339,"PL"))</f>
        <v/>
      </c>
      <c r="AP339" s="34" t="str">
        <f aca="false">IF($B339="","",COUNTIF($F339:$AJ339,"CL"))</f>
        <v/>
      </c>
      <c r="AQ339" s="34" t="str">
        <f aca="false">IF($B339="","",COUNTIF($F339:$AJ339,"SL"))</f>
        <v/>
      </c>
      <c r="AR339" s="34" t="str">
        <f aca="false">IF($B339="","",COUNTIF($F339:$AJ339,"CO"))</f>
        <v/>
      </c>
      <c r="AS339" s="34" t="str">
        <f aca="false">IF($B339="","",COUNTIF($F339:$AJ339,"HPL"))</f>
        <v/>
      </c>
      <c r="AT339" s="34" t="str">
        <f aca="false">IF($B339="","",COUNTIF($F339:$AJ339,"HCL"))</f>
        <v/>
      </c>
      <c r="AU339" s="34" t="str">
        <f aca="false">IF($B339="","",COUNTIF($F339:$AJ339,"WO"))</f>
        <v/>
      </c>
      <c r="AV339" s="34" t="str">
        <f aca="false">IF($B339="","",COUNTIF($F339:$AJ339,"PH"))</f>
        <v/>
      </c>
      <c r="AW339" s="34" t="str">
        <f aca="false">IF($B339="","",COUNTIF($F339:$AJ339,"TR"))</f>
        <v/>
      </c>
      <c r="AX339" s="35" t="str">
        <f aca="false">IF($B339="","",AO339+AS339/2)</f>
        <v/>
      </c>
      <c r="AY339" s="35" t="str">
        <f aca="false">IF($B339="","",AQ339)</f>
        <v/>
      </c>
      <c r="AZ339" s="35" t="str">
        <f aca="false">IF($B339="","",AP339+AT339/2)</f>
        <v/>
      </c>
      <c r="BA339" s="35" t="str">
        <f aca="false">IF($B339="","",AK339+AN339+AM339/2+AO339+AP339+AQ339+AR339+AS339+AT339+AU339+AV339+AW339)</f>
        <v/>
      </c>
      <c r="BB339" s="35" t="str">
        <f aca="false">IF($B339="","",MAX(0,AN339-Settings!$C$16)*Settings!$C$17)</f>
        <v/>
      </c>
      <c r="BC339" s="35" t="str">
        <f aca="false">IF($B339="","",BA339-BB339)</f>
        <v/>
      </c>
      <c r="BD339" s="35" t="str">
        <f aca="false">IF(OR($B339="",$A339=""),"",DAY(EOMONTH($A339,0))-COUNTA($F339:$AJ339))</f>
        <v/>
      </c>
    </row>
    <row r="340" customFormat="false" ht="15" hidden="false" customHeight="false" outlineLevel="0" collapsed="false">
      <c r="A340" s="32"/>
      <c r="B340" s="29"/>
      <c r="C340" s="10" t="str">
        <f aca="false">IF($B340="","",IFERROR(INDEX(M_name,MATCH($B340,M_emp,0)),"Code not found"))</f>
        <v/>
      </c>
      <c r="D340" s="10" t="str">
        <f aca="false">IF($B340="","",IFERROR(INDEX(M_dept,MATCH($B340,M_emp,0)),""))</f>
        <v/>
      </c>
      <c r="E340" s="10" t="str">
        <f aca="false">IF($B340="","",IFERROR(INDEX(M_loc,MATCH($B340,M_emp,0)),""))</f>
        <v/>
      </c>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4" t="str">
        <f aca="false">IF($B340="","",COUNTIF($F340:$AJ340,"P"))</f>
        <v/>
      </c>
      <c r="AL340" s="34" t="str">
        <f aca="false">IF($B340="","",COUNTIF($F340:$AJ340,"A"))</f>
        <v/>
      </c>
      <c r="AM340" s="34" t="str">
        <f aca="false">IF($B340="","",COUNTIF($F340:$AJ340,"HA"))</f>
        <v/>
      </c>
      <c r="AN340" s="34" t="str">
        <f aca="false">IF($B340="","",COUNTIF($F340:$AJ340,"L"))</f>
        <v/>
      </c>
      <c r="AO340" s="34" t="str">
        <f aca="false">IF($B340="","",COUNTIF($F340:$AJ340,"PL"))</f>
        <v/>
      </c>
      <c r="AP340" s="34" t="str">
        <f aca="false">IF($B340="","",COUNTIF($F340:$AJ340,"CL"))</f>
        <v/>
      </c>
      <c r="AQ340" s="34" t="str">
        <f aca="false">IF($B340="","",COUNTIF($F340:$AJ340,"SL"))</f>
        <v/>
      </c>
      <c r="AR340" s="34" t="str">
        <f aca="false">IF($B340="","",COUNTIF($F340:$AJ340,"CO"))</f>
        <v/>
      </c>
      <c r="AS340" s="34" t="str">
        <f aca="false">IF($B340="","",COUNTIF($F340:$AJ340,"HPL"))</f>
        <v/>
      </c>
      <c r="AT340" s="34" t="str">
        <f aca="false">IF($B340="","",COUNTIF($F340:$AJ340,"HCL"))</f>
        <v/>
      </c>
      <c r="AU340" s="34" t="str">
        <f aca="false">IF($B340="","",COUNTIF($F340:$AJ340,"WO"))</f>
        <v/>
      </c>
      <c r="AV340" s="34" t="str">
        <f aca="false">IF($B340="","",COUNTIF($F340:$AJ340,"PH"))</f>
        <v/>
      </c>
      <c r="AW340" s="34" t="str">
        <f aca="false">IF($B340="","",COUNTIF($F340:$AJ340,"TR"))</f>
        <v/>
      </c>
      <c r="AX340" s="35" t="str">
        <f aca="false">IF($B340="","",AO340+AS340/2)</f>
        <v/>
      </c>
      <c r="AY340" s="35" t="str">
        <f aca="false">IF($B340="","",AQ340)</f>
        <v/>
      </c>
      <c r="AZ340" s="35" t="str">
        <f aca="false">IF($B340="","",AP340+AT340/2)</f>
        <v/>
      </c>
      <c r="BA340" s="35" t="str">
        <f aca="false">IF($B340="","",AK340+AN340+AM340/2+AO340+AP340+AQ340+AR340+AS340+AT340+AU340+AV340+AW340)</f>
        <v/>
      </c>
      <c r="BB340" s="35" t="str">
        <f aca="false">IF($B340="","",MAX(0,AN340-Settings!$C$16)*Settings!$C$17)</f>
        <v/>
      </c>
      <c r="BC340" s="35" t="str">
        <f aca="false">IF($B340="","",BA340-BB340)</f>
        <v/>
      </c>
      <c r="BD340" s="35" t="str">
        <f aca="false">IF(OR($B340="",$A340=""),"",DAY(EOMONTH($A340,0))-COUNTA($F340:$AJ340))</f>
        <v/>
      </c>
    </row>
    <row r="341" customFormat="false" ht="15" hidden="false" customHeight="false" outlineLevel="0" collapsed="false">
      <c r="A341" s="32"/>
      <c r="B341" s="29"/>
      <c r="C341" s="10" t="str">
        <f aca="false">IF($B341="","",IFERROR(INDEX(M_name,MATCH($B341,M_emp,0)),"Code not found"))</f>
        <v/>
      </c>
      <c r="D341" s="10" t="str">
        <f aca="false">IF($B341="","",IFERROR(INDEX(M_dept,MATCH($B341,M_emp,0)),""))</f>
        <v/>
      </c>
      <c r="E341" s="10" t="str">
        <f aca="false">IF($B341="","",IFERROR(INDEX(M_loc,MATCH($B341,M_emp,0)),""))</f>
        <v/>
      </c>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4" t="str">
        <f aca="false">IF($B341="","",COUNTIF($F341:$AJ341,"P"))</f>
        <v/>
      </c>
      <c r="AL341" s="34" t="str">
        <f aca="false">IF($B341="","",COUNTIF($F341:$AJ341,"A"))</f>
        <v/>
      </c>
      <c r="AM341" s="34" t="str">
        <f aca="false">IF($B341="","",COUNTIF($F341:$AJ341,"HA"))</f>
        <v/>
      </c>
      <c r="AN341" s="34" t="str">
        <f aca="false">IF($B341="","",COUNTIF($F341:$AJ341,"L"))</f>
        <v/>
      </c>
      <c r="AO341" s="34" t="str">
        <f aca="false">IF($B341="","",COUNTIF($F341:$AJ341,"PL"))</f>
        <v/>
      </c>
      <c r="AP341" s="34" t="str">
        <f aca="false">IF($B341="","",COUNTIF($F341:$AJ341,"CL"))</f>
        <v/>
      </c>
      <c r="AQ341" s="34" t="str">
        <f aca="false">IF($B341="","",COUNTIF($F341:$AJ341,"SL"))</f>
        <v/>
      </c>
      <c r="AR341" s="34" t="str">
        <f aca="false">IF($B341="","",COUNTIF($F341:$AJ341,"CO"))</f>
        <v/>
      </c>
      <c r="AS341" s="34" t="str">
        <f aca="false">IF($B341="","",COUNTIF($F341:$AJ341,"HPL"))</f>
        <v/>
      </c>
      <c r="AT341" s="34" t="str">
        <f aca="false">IF($B341="","",COUNTIF($F341:$AJ341,"HCL"))</f>
        <v/>
      </c>
      <c r="AU341" s="34" t="str">
        <f aca="false">IF($B341="","",COUNTIF($F341:$AJ341,"WO"))</f>
        <v/>
      </c>
      <c r="AV341" s="34" t="str">
        <f aca="false">IF($B341="","",COUNTIF($F341:$AJ341,"PH"))</f>
        <v/>
      </c>
      <c r="AW341" s="34" t="str">
        <f aca="false">IF($B341="","",COUNTIF($F341:$AJ341,"TR"))</f>
        <v/>
      </c>
      <c r="AX341" s="35" t="str">
        <f aca="false">IF($B341="","",AO341+AS341/2)</f>
        <v/>
      </c>
      <c r="AY341" s="35" t="str">
        <f aca="false">IF($B341="","",AQ341)</f>
        <v/>
      </c>
      <c r="AZ341" s="35" t="str">
        <f aca="false">IF($B341="","",AP341+AT341/2)</f>
        <v/>
      </c>
      <c r="BA341" s="35" t="str">
        <f aca="false">IF($B341="","",AK341+AN341+AM341/2+AO341+AP341+AQ341+AR341+AS341+AT341+AU341+AV341+AW341)</f>
        <v/>
      </c>
      <c r="BB341" s="35" t="str">
        <f aca="false">IF($B341="","",MAX(0,AN341-Settings!$C$16)*Settings!$C$17)</f>
        <v/>
      </c>
      <c r="BC341" s="35" t="str">
        <f aca="false">IF($B341="","",BA341-BB341)</f>
        <v/>
      </c>
      <c r="BD341" s="35" t="str">
        <f aca="false">IF(OR($B341="",$A341=""),"",DAY(EOMONTH($A341,0))-COUNTA($F341:$AJ341))</f>
        <v/>
      </c>
    </row>
    <row r="342" customFormat="false" ht="15" hidden="false" customHeight="false" outlineLevel="0" collapsed="false">
      <c r="A342" s="32"/>
      <c r="B342" s="29"/>
      <c r="C342" s="10" t="str">
        <f aca="false">IF($B342="","",IFERROR(INDEX(M_name,MATCH($B342,M_emp,0)),"Code not found"))</f>
        <v/>
      </c>
      <c r="D342" s="10" t="str">
        <f aca="false">IF($B342="","",IFERROR(INDEX(M_dept,MATCH($B342,M_emp,0)),""))</f>
        <v/>
      </c>
      <c r="E342" s="10" t="str">
        <f aca="false">IF($B342="","",IFERROR(INDEX(M_loc,MATCH($B342,M_emp,0)),""))</f>
        <v/>
      </c>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4" t="str">
        <f aca="false">IF($B342="","",COUNTIF($F342:$AJ342,"P"))</f>
        <v/>
      </c>
      <c r="AL342" s="34" t="str">
        <f aca="false">IF($B342="","",COUNTIF($F342:$AJ342,"A"))</f>
        <v/>
      </c>
      <c r="AM342" s="34" t="str">
        <f aca="false">IF($B342="","",COUNTIF($F342:$AJ342,"HA"))</f>
        <v/>
      </c>
      <c r="AN342" s="34" t="str">
        <f aca="false">IF($B342="","",COUNTIF($F342:$AJ342,"L"))</f>
        <v/>
      </c>
      <c r="AO342" s="34" t="str">
        <f aca="false">IF($B342="","",COUNTIF($F342:$AJ342,"PL"))</f>
        <v/>
      </c>
      <c r="AP342" s="34" t="str">
        <f aca="false">IF($B342="","",COUNTIF($F342:$AJ342,"CL"))</f>
        <v/>
      </c>
      <c r="AQ342" s="34" t="str">
        <f aca="false">IF($B342="","",COUNTIF($F342:$AJ342,"SL"))</f>
        <v/>
      </c>
      <c r="AR342" s="34" t="str">
        <f aca="false">IF($B342="","",COUNTIF($F342:$AJ342,"CO"))</f>
        <v/>
      </c>
      <c r="AS342" s="34" t="str">
        <f aca="false">IF($B342="","",COUNTIF($F342:$AJ342,"HPL"))</f>
        <v/>
      </c>
      <c r="AT342" s="34" t="str">
        <f aca="false">IF($B342="","",COUNTIF($F342:$AJ342,"HCL"))</f>
        <v/>
      </c>
      <c r="AU342" s="34" t="str">
        <f aca="false">IF($B342="","",COUNTIF($F342:$AJ342,"WO"))</f>
        <v/>
      </c>
      <c r="AV342" s="34" t="str">
        <f aca="false">IF($B342="","",COUNTIF($F342:$AJ342,"PH"))</f>
        <v/>
      </c>
      <c r="AW342" s="34" t="str">
        <f aca="false">IF($B342="","",COUNTIF($F342:$AJ342,"TR"))</f>
        <v/>
      </c>
      <c r="AX342" s="35" t="str">
        <f aca="false">IF($B342="","",AO342+AS342/2)</f>
        <v/>
      </c>
      <c r="AY342" s="35" t="str">
        <f aca="false">IF($B342="","",AQ342)</f>
        <v/>
      </c>
      <c r="AZ342" s="35" t="str">
        <f aca="false">IF($B342="","",AP342+AT342/2)</f>
        <v/>
      </c>
      <c r="BA342" s="35" t="str">
        <f aca="false">IF($B342="","",AK342+AN342+AM342/2+AO342+AP342+AQ342+AR342+AS342+AT342+AU342+AV342+AW342)</f>
        <v/>
      </c>
      <c r="BB342" s="35" t="str">
        <f aca="false">IF($B342="","",MAX(0,AN342-Settings!$C$16)*Settings!$C$17)</f>
        <v/>
      </c>
      <c r="BC342" s="35" t="str">
        <f aca="false">IF($B342="","",BA342-BB342)</f>
        <v/>
      </c>
      <c r="BD342" s="35" t="str">
        <f aca="false">IF(OR($B342="",$A342=""),"",DAY(EOMONTH($A342,0))-COUNTA($F342:$AJ342))</f>
        <v/>
      </c>
    </row>
    <row r="343" customFormat="false" ht="15" hidden="false" customHeight="false" outlineLevel="0" collapsed="false">
      <c r="A343" s="32"/>
      <c r="B343" s="29"/>
      <c r="C343" s="10" t="str">
        <f aca="false">IF($B343="","",IFERROR(INDEX(M_name,MATCH($B343,M_emp,0)),"Code not found"))</f>
        <v/>
      </c>
      <c r="D343" s="10" t="str">
        <f aca="false">IF($B343="","",IFERROR(INDEX(M_dept,MATCH($B343,M_emp,0)),""))</f>
        <v/>
      </c>
      <c r="E343" s="10" t="str">
        <f aca="false">IF($B343="","",IFERROR(INDEX(M_loc,MATCH($B343,M_emp,0)),""))</f>
        <v/>
      </c>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4" t="str">
        <f aca="false">IF($B343="","",COUNTIF($F343:$AJ343,"P"))</f>
        <v/>
      </c>
      <c r="AL343" s="34" t="str">
        <f aca="false">IF($B343="","",COUNTIF($F343:$AJ343,"A"))</f>
        <v/>
      </c>
      <c r="AM343" s="34" t="str">
        <f aca="false">IF($B343="","",COUNTIF($F343:$AJ343,"HA"))</f>
        <v/>
      </c>
      <c r="AN343" s="34" t="str">
        <f aca="false">IF($B343="","",COUNTIF($F343:$AJ343,"L"))</f>
        <v/>
      </c>
      <c r="AO343" s="34" t="str">
        <f aca="false">IF($B343="","",COUNTIF($F343:$AJ343,"PL"))</f>
        <v/>
      </c>
      <c r="AP343" s="34" t="str">
        <f aca="false">IF($B343="","",COUNTIF($F343:$AJ343,"CL"))</f>
        <v/>
      </c>
      <c r="AQ343" s="34" t="str">
        <f aca="false">IF($B343="","",COUNTIF($F343:$AJ343,"SL"))</f>
        <v/>
      </c>
      <c r="AR343" s="34" t="str">
        <f aca="false">IF($B343="","",COUNTIF($F343:$AJ343,"CO"))</f>
        <v/>
      </c>
      <c r="AS343" s="34" t="str">
        <f aca="false">IF($B343="","",COUNTIF($F343:$AJ343,"HPL"))</f>
        <v/>
      </c>
      <c r="AT343" s="34" t="str">
        <f aca="false">IF($B343="","",COUNTIF($F343:$AJ343,"HCL"))</f>
        <v/>
      </c>
      <c r="AU343" s="34" t="str">
        <f aca="false">IF($B343="","",COUNTIF($F343:$AJ343,"WO"))</f>
        <v/>
      </c>
      <c r="AV343" s="34" t="str">
        <f aca="false">IF($B343="","",COUNTIF($F343:$AJ343,"PH"))</f>
        <v/>
      </c>
      <c r="AW343" s="34" t="str">
        <f aca="false">IF($B343="","",COUNTIF($F343:$AJ343,"TR"))</f>
        <v/>
      </c>
      <c r="AX343" s="35" t="str">
        <f aca="false">IF($B343="","",AO343+AS343/2)</f>
        <v/>
      </c>
      <c r="AY343" s="35" t="str">
        <f aca="false">IF($B343="","",AQ343)</f>
        <v/>
      </c>
      <c r="AZ343" s="35" t="str">
        <f aca="false">IF($B343="","",AP343+AT343/2)</f>
        <v/>
      </c>
      <c r="BA343" s="35" t="str">
        <f aca="false">IF($B343="","",AK343+AN343+AM343/2+AO343+AP343+AQ343+AR343+AS343+AT343+AU343+AV343+AW343)</f>
        <v/>
      </c>
      <c r="BB343" s="35" t="str">
        <f aca="false">IF($B343="","",MAX(0,AN343-Settings!$C$16)*Settings!$C$17)</f>
        <v/>
      </c>
      <c r="BC343" s="35" t="str">
        <f aca="false">IF($B343="","",BA343-BB343)</f>
        <v/>
      </c>
      <c r="BD343" s="35" t="str">
        <f aca="false">IF(OR($B343="",$A343=""),"",DAY(EOMONTH($A343,0))-COUNTA($F343:$AJ343))</f>
        <v/>
      </c>
    </row>
    <row r="344" customFormat="false" ht="15" hidden="false" customHeight="false" outlineLevel="0" collapsed="false">
      <c r="A344" s="32"/>
      <c r="B344" s="29"/>
      <c r="C344" s="10" t="str">
        <f aca="false">IF($B344="","",IFERROR(INDEX(M_name,MATCH($B344,M_emp,0)),"Code not found"))</f>
        <v/>
      </c>
      <c r="D344" s="10" t="str">
        <f aca="false">IF($B344="","",IFERROR(INDEX(M_dept,MATCH($B344,M_emp,0)),""))</f>
        <v/>
      </c>
      <c r="E344" s="10" t="str">
        <f aca="false">IF($B344="","",IFERROR(INDEX(M_loc,MATCH($B344,M_emp,0)),""))</f>
        <v/>
      </c>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4" t="str">
        <f aca="false">IF($B344="","",COUNTIF($F344:$AJ344,"P"))</f>
        <v/>
      </c>
      <c r="AL344" s="34" t="str">
        <f aca="false">IF($B344="","",COUNTIF($F344:$AJ344,"A"))</f>
        <v/>
      </c>
      <c r="AM344" s="34" t="str">
        <f aca="false">IF($B344="","",COUNTIF($F344:$AJ344,"HA"))</f>
        <v/>
      </c>
      <c r="AN344" s="34" t="str">
        <f aca="false">IF($B344="","",COUNTIF($F344:$AJ344,"L"))</f>
        <v/>
      </c>
      <c r="AO344" s="34" t="str">
        <f aca="false">IF($B344="","",COUNTIF($F344:$AJ344,"PL"))</f>
        <v/>
      </c>
      <c r="AP344" s="34" t="str">
        <f aca="false">IF($B344="","",COUNTIF($F344:$AJ344,"CL"))</f>
        <v/>
      </c>
      <c r="AQ344" s="34" t="str">
        <f aca="false">IF($B344="","",COUNTIF($F344:$AJ344,"SL"))</f>
        <v/>
      </c>
      <c r="AR344" s="34" t="str">
        <f aca="false">IF($B344="","",COUNTIF($F344:$AJ344,"CO"))</f>
        <v/>
      </c>
      <c r="AS344" s="34" t="str">
        <f aca="false">IF($B344="","",COUNTIF($F344:$AJ344,"HPL"))</f>
        <v/>
      </c>
      <c r="AT344" s="34" t="str">
        <f aca="false">IF($B344="","",COUNTIF($F344:$AJ344,"HCL"))</f>
        <v/>
      </c>
      <c r="AU344" s="34" t="str">
        <f aca="false">IF($B344="","",COUNTIF($F344:$AJ344,"WO"))</f>
        <v/>
      </c>
      <c r="AV344" s="34" t="str">
        <f aca="false">IF($B344="","",COUNTIF($F344:$AJ344,"PH"))</f>
        <v/>
      </c>
      <c r="AW344" s="34" t="str">
        <f aca="false">IF($B344="","",COUNTIF($F344:$AJ344,"TR"))</f>
        <v/>
      </c>
      <c r="AX344" s="35" t="str">
        <f aca="false">IF($B344="","",AO344+AS344/2)</f>
        <v/>
      </c>
      <c r="AY344" s="35" t="str">
        <f aca="false">IF($B344="","",AQ344)</f>
        <v/>
      </c>
      <c r="AZ344" s="35" t="str">
        <f aca="false">IF($B344="","",AP344+AT344/2)</f>
        <v/>
      </c>
      <c r="BA344" s="35" t="str">
        <f aca="false">IF($B344="","",AK344+AN344+AM344/2+AO344+AP344+AQ344+AR344+AS344+AT344+AU344+AV344+AW344)</f>
        <v/>
      </c>
      <c r="BB344" s="35" t="str">
        <f aca="false">IF($B344="","",MAX(0,AN344-Settings!$C$16)*Settings!$C$17)</f>
        <v/>
      </c>
      <c r="BC344" s="35" t="str">
        <f aca="false">IF($B344="","",BA344-BB344)</f>
        <v/>
      </c>
      <c r="BD344" s="35" t="str">
        <f aca="false">IF(OR($B344="",$A344=""),"",DAY(EOMONTH($A344,0))-COUNTA($F344:$AJ344))</f>
        <v/>
      </c>
    </row>
    <row r="345" customFormat="false" ht="15" hidden="false" customHeight="false" outlineLevel="0" collapsed="false">
      <c r="A345" s="32"/>
      <c r="B345" s="29"/>
      <c r="C345" s="10" t="str">
        <f aca="false">IF($B345="","",IFERROR(INDEX(M_name,MATCH($B345,M_emp,0)),"Code not found"))</f>
        <v/>
      </c>
      <c r="D345" s="10" t="str">
        <f aca="false">IF($B345="","",IFERROR(INDEX(M_dept,MATCH($B345,M_emp,0)),""))</f>
        <v/>
      </c>
      <c r="E345" s="10" t="str">
        <f aca="false">IF($B345="","",IFERROR(INDEX(M_loc,MATCH($B345,M_emp,0)),""))</f>
        <v/>
      </c>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4" t="str">
        <f aca="false">IF($B345="","",COUNTIF($F345:$AJ345,"P"))</f>
        <v/>
      </c>
      <c r="AL345" s="34" t="str">
        <f aca="false">IF($B345="","",COUNTIF($F345:$AJ345,"A"))</f>
        <v/>
      </c>
      <c r="AM345" s="34" t="str">
        <f aca="false">IF($B345="","",COUNTIF($F345:$AJ345,"HA"))</f>
        <v/>
      </c>
      <c r="AN345" s="34" t="str">
        <f aca="false">IF($B345="","",COUNTIF($F345:$AJ345,"L"))</f>
        <v/>
      </c>
      <c r="AO345" s="34" t="str">
        <f aca="false">IF($B345="","",COUNTIF($F345:$AJ345,"PL"))</f>
        <v/>
      </c>
      <c r="AP345" s="34" t="str">
        <f aca="false">IF($B345="","",COUNTIF($F345:$AJ345,"CL"))</f>
        <v/>
      </c>
      <c r="AQ345" s="34" t="str">
        <f aca="false">IF($B345="","",COUNTIF($F345:$AJ345,"SL"))</f>
        <v/>
      </c>
      <c r="AR345" s="34" t="str">
        <f aca="false">IF($B345="","",COUNTIF($F345:$AJ345,"CO"))</f>
        <v/>
      </c>
      <c r="AS345" s="34" t="str">
        <f aca="false">IF($B345="","",COUNTIF($F345:$AJ345,"HPL"))</f>
        <v/>
      </c>
      <c r="AT345" s="34" t="str">
        <f aca="false">IF($B345="","",COUNTIF($F345:$AJ345,"HCL"))</f>
        <v/>
      </c>
      <c r="AU345" s="34" t="str">
        <f aca="false">IF($B345="","",COUNTIF($F345:$AJ345,"WO"))</f>
        <v/>
      </c>
      <c r="AV345" s="34" t="str">
        <f aca="false">IF($B345="","",COUNTIF($F345:$AJ345,"PH"))</f>
        <v/>
      </c>
      <c r="AW345" s="34" t="str">
        <f aca="false">IF($B345="","",COUNTIF($F345:$AJ345,"TR"))</f>
        <v/>
      </c>
      <c r="AX345" s="35" t="str">
        <f aca="false">IF($B345="","",AO345+AS345/2)</f>
        <v/>
      </c>
      <c r="AY345" s="35" t="str">
        <f aca="false">IF($B345="","",AQ345)</f>
        <v/>
      </c>
      <c r="AZ345" s="35" t="str">
        <f aca="false">IF($B345="","",AP345+AT345/2)</f>
        <v/>
      </c>
      <c r="BA345" s="35" t="str">
        <f aca="false">IF($B345="","",AK345+AN345+AM345/2+AO345+AP345+AQ345+AR345+AS345+AT345+AU345+AV345+AW345)</f>
        <v/>
      </c>
      <c r="BB345" s="35" t="str">
        <f aca="false">IF($B345="","",MAX(0,AN345-Settings!$C$16)*Settings!$C$17)</f>
        <v/>
      </c>
      <c r="BC345" s="35" t="str">
        <f aca="false">IF($B345="","",BA345-BB345)</f>
        <v/>
      </c>
      <c r="BD345" s="35" t="str">
        <f aca="false">IF(OR($B345="",$A345=""),"",DAY(EOMONTH($A345,0))-COUNTA($F345:$AJ345))</f>
        <v/>
      </c>
    </row>
    <row r="346" customFormat="false" ht="15" hidden="false" customHeight="false" outlineLevel="0" collapsed="false">
      <c r="A346" s="32"/>
      <c r="B346" s="29"/>
      <c r="C346" s="10" t="str">
        <f aca="false">IF($B346="","",IFERROR(INDEX(M_name,MATCH($B346,M_emp,0)),"Code not found"))</f>
        <v/>
      </c>
      <c r="D346" s="10" t="str">
        <f aca="false">IF($B346="","",IFERROR(INDEX(M_dept,MATCH($B346,M_emp,0)),""))</f>
        <v/>
      </c>
      <c r="E346" s="10" t="str">
        <f aca="false">IF($B346="","",IFERROR(INDEX(M_loc,MATCH($B346,M_emp,0)),""))</f>
        <v/>
      </c>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4" t="str">
        <f aca="false">IF($B346="","",COUNTIF($F346:$AJ346,"P"))</f>
        <v/>
      </c>
      <c r="AL346" s="34" t="str">
        <f aca="false">IF($B346="","",COUNTIF($F346:$AJ346,"A"))</f>
        <v/>
      </c>
      <c r="AM346" s="34" t="str">
        <f aca="false">IF($B346="","",COUNTIF($F346:$AJ346,"HA"))</f>
        <v/>
      </c>
      <c r="AN346" s="34" t="str">
        <f aca="false">IF($B346="","",COUNTIF($F346:$AJ346,"L"))</f>
        <v/>
      </c>
      <c r="AO346" s="34" t="str">
        <f aca="false">IF($B346="","",COUNTIF($F346:$AJ346,"PL"))</f>
        <v/>
      </c>
      <c r="AP346" s="34" t="str">
        <f aca="false">IF($B346="","",COUNTIF($F346:$AJ346,"CL"))</f>
        <v/>
      </c>
      <c r="AQ346" s="34" t="str">
        <f aca="false">IF($B346="","",COUNTIF($F346:$AJ346,"SL"))</f>
        <v/>
      </c>
      <c r="AR346" s="34" t="str">
        <f aca="false">IF($B346="","",COUNTIF($F346:$AJ346,"CO"))</f>
        <v/>
      </c>
      <c r="AS346" s="34" t="str">
        <f aca="false">IF($B346="","",COUNTIF($F346:$AJ346,"HPL"))</f>
        <v/>
      </c>
      <c r="AT346" s="34" t="str">
        <f aca="false">IF($B346="","",COUNTIF($F346:$AJ346,"HCL"))</f>
        <v/>
      </c>
      <c r="AU346" s="34" t="str">
        <f aca="false">IF($B346="","",COUNTIF($F346:$AJ346,"WO"))</f>
        <v/>
      </c>
      <c r="AV346" s="34" t="str">
        <f aca="false">IF($B346="","",COUNTIF($F346:$AJ346,"PH"))</f>
        <v/>
      </c>
      <c r="AW346" s="34" t="str">
        <f aca="false">IF($B346="","",COUNTIF($F346:$AJ346,"TR"))</f>
        <v/>
      </c>
      <c r="AX346" s="35" t="str">
        <f aca="false">IF($B346="","",AO346+AS346/2)</f>
        <v/>
      </c>
      <c r="AY346" s="35" t="str">
        <f aca="false">IF($B346="","",AQ346)</f>
        <v/>
      </c>
      <c r="AZ346" s="35" t="str">
        <f aca="false">IF($B346="","",AP346+AT346/2)</f>
        <v/>
      </c>
      <c r="BA346" s="35" t="str">
        <f aca="false">IF($B346="","",AK346+AN346+AM346/2+AO346+AP346+AQ346+AR346+AS346+AT346+AU346+AV346+AW346)</f>
        <v/>
      </c>
      <c r="BB346" s="35" t="str">
        <f aca="false">IF($B346="","",MAX(0,AN346-Settings!$C$16)*Settings!$C$17)</f>
        <v/>
      </c>
      <c r="BC346" s="35" t="str">
        <f aca="false">IF($B346="","",BA346-BB346)</f>
        <v/>
      </c>
      <c r="BD346" s="35" t="str">
        <f aca="false">IF(OR($B346="",$A346=""),"",DAY(EOMONTH($A346,0))-COUNTA($F346:$AJ346))</f>
        <v/>
      </c>
    </row>
    <row r="347" customFormat="false" ht="15" hidden="false" customHeight="false" outlineLevel="0" collapsed="false">
      <c r="A347" s="32"/>
      <c r="B347" s="29"/>
      <c r="C347" s="10" t="str">
        <f aca="false">IF($B347="","",IFERROR(INDEX(M_name,MATCH($B347,M_emp,0)),"Code not found"))</f>
        <v/>
      </c>
      <c r="D347" s="10" t="str">
        <f aca="false">IF($B347="","",IFERROR(INDEX(M_dept,MATCH($B347,M_emp,0)),""))</f>
        <v/>
      </c>
      <c r="E347" s="10" t="str">
        <f aca="false">IF($B347="","",IFERROR(INDEX(M_loc,MATCH($B347,M_emp,0)),""))</f>
        <v/>
      </c>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4" t="str">
        <f aca="false">IF($B347="","",COUNTIF($F347:$AJ347,"P"))</f>
        <v/>
      </c>
      <c r="AL347" s="34" t="str">
        <f aca="false">IF($B347="","",COUNTIF($F347:$AJ347,"A"))</f>
        <v/>
      </c>
      <c r="AM347" s="34" t="str">
        <f aca="false">IF($B347="","",COUNTIF($F347:$AJ347,"HA"))</f>
        <v/>
      </c>
      <c r="AN347" s="34" t="str">
        <f aca="false">IF($B347="","",COUNTIF($F347:$AJ347,"L"))</f>
        <v/>
      </c>
      <c r="AO347" s="34" t="str">
        <f aca="false">IF($B347="","",COUNTIF($F347:$AJ347,"PL"))</f>
        <v/>
      </c>
      <c r="AP347" s="34" t="str">
        <f aca="false">IF($B347="","",COUNTIF($F347:$AJ347,"CL"))</f>
        <v/>
      </c>
      <c r="AQ347" s="34" t="str">
        <f aca="false">IF($B347="","",COUNTIF($F347:$AJ347,"SL"))</f>
        <v/>
      </c>
      <c r="AR347" s="34" t="str">
        <f aca="false">IF($B347="","",COUNTIF($F347:$AJ347,"CO"))</f>
        <v/>
      </c>
      <c r="AS347" s="34" t="str">
        <f aca="false">IF($B347="","",COUNTIF($F347:$AJ347,"HPL"))</f>
        <v/>
      </c>
      <c r="AT347" s="34" t="str">
        <f aca="false">IF($B347="","",COUNTIF($F347:$AJ347,"HCL"))</f>
        <v/>
      </c>
      <c r="AU347" s="34" t="str">
        <f aca="false">IF($B347="","",COUNTIF($F347:$AJ347,"WO"))</f>
        <v/>
      </c>
      <c r="AV347" s="34" t="str">
        <f aca="false">IF($B347="","",COUNTIF($F347:$AJ347,"PH"))</f>
        <v/>
      </c>
      <c r="AW347" s="34" t="str">
        <f aca="false">IF($B347="","",COUNTIF($F347:$AJ347,"TR"))</f>
        <v/>
      </c>
      <c r="AX347" s="35" t="str">
        <f aca="false">IF($B347="","",AO347+AS347/2)</f>
        <v/>
      </c>
      <c r="AY347" s="35" t="str">
        <f aca="false">IF($B347="","",AQ347)</f>
        <v/>
      </c>
      <c r="AZ347" s="35" t="str">
        <f aca="false">IF($B347="","",AP347+AT347/2)</f>
        <v/>
      </c>
      <c r="BA347" s="35" t="str">
        <f aca="false">IF($B347="","",AK347+AN347+AM347/2+AO347+AP347+AQ347+AR347+AS347+AT347+AU347+AV347+AW347)</f>
        <v/>
      </c>
      <c r="BB347" s="35" t="str">
        <f aca="false">IF($B347="","",MAX(0,AN347-Settings!$C$16)*Settings!$C$17)</f>
        <v/>
      </c>
      <c r="BC347" s="35" t="str">
        <f aca="false">IF($B347="","",BA347-BB347)</f>
        <v/>
      </c>
      <c r="BD347" s="35" t="str">
        <f aca="false">IF(OR($B347="",$A347=""),"",DAY(EOMONTH($A347,0))-COUNTA($F347:$AJ347))</f>
        <v/>
      </c>
    </row>
    <row r="348" customFormat="false" ht="15" hidden="false" customHeight="false" outlineLevel="0" collapsed="false">
      <c r="A348" s="32"/>
      <c r="B348" s="29"/>
      <c r="C348" s="10" t="str">
        <f aca="false">IF($B348="","",IFERROR(INDEX(M_name,MATCH($B348,M_emp,0)),"Code not found"))</f>
        <v/>
      </c>
      <c r="D348" s="10" t="str">
        <f aca="false">IF($B348="","",IFERROR(INDEX(M_dept,MATCH($B348,M_emp,0)),""))</f>
        <v/>
      </c>
      <c r="E348" s="10" t="str">
        <f aca="false">IF($B348="","",IFERROR(INDEX(M_loc,MATCH($B348,M_emp,0)),""))</f>
        <v/>
      </c>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4" t="str">
        <f aca="false">IF($B348="","",COUNTIF($F348:$AJ348,"P"))</f>
        <v/>
      </c>
      <c r="AL348" s="34" t="str">
        <f aca="false">IF($B348="","",COUNTIF($F348:$AJ348,"A"))</f>
        <v/>
      </c>
      <c r="AM348" s="34" t="str">
        <f aca="false">IF($B348="","",COUNTIF($F348:$AJ348,"HA"))</f>
        <v/>
      </c>
      <c r="AN348" s="34" t="str">
        <f aca="false">IF($B348="","",COUNTIF($F348:$AJ348,"L"))</f>
        <v/>
      </c>
      <c r="AO348" s="34" t="str">
        <f aca="false">IF($B348="","",COUNTIF($F348:$AJ348,"PL"))</f>
        <v/>
      </c>
      <c r="AP348" s="34" t="str">
        <f aca="false">IF($B348="","",COUNTIF($F348:$AJ348,"CL"))</f>
        <v/>
      </c>
      <c r="AQ348" s="34" t="str">
        <f aca="false">IF($B348="","",COUNTIF($F348:$AJ348,"SL"))</f>
        <v/>
      </c>
      <c r="AR348" s="34" t="str">
        <f aca="false">IF($B348="","",COUNTIF($F348:$AJ348,"CO"))</f>
        <v/>
      </c>
      <c r="AS348" s="34" t="str">
        <f aca="false">IF($B348="","",COUNTIF($F348:$AJ348,"HPL"))</f>
        <v/>
      </c>
      <c r="AT348" s="34" t="str">
        <f aca="false">IF($B348="","",COUNTIF($F348:$AJ348,"HCL"))</f>
        <v/>
      </c>
      <c r="AU348" s="34" t="str">
        <f aca="false">IF($B348="","",COUNTIF($F348:$AJ348,"WO"))</f>
        <v/>
      </c>
      <c r="AV348" s="34" t="str">
        <f aca="false">IF($B348="","",COUNTIF($F348:$AJ348,"PH"))</f>
        <v/>
      </c>
      <c r="AW348" s="34" t="str">
        <f aca="false">IF($B348="","",COUNTIF($F348:$AJ348,"TR"))</f>
        <v/>
      </c>
      <c r="AX348" s="35" t="str">
        <f aca="false">IF($B348="","",AO348+AS348/2)</f>
        <v/>
      </c>
      <c r="AY348" s="35" t="str">
        <f aca="false">IF($B348="","",AQ348)</f>
        <v/>
      </c>
      <c r="AZ348" s="35" t="str">
        <f aca="false">IF($B348="","",AP348+AT348/2)</f>
        <v/>
      </c>
      <c r="BA348" s="35" t="str">
        <f aca="false">IF($B348="","",AK348+AN348+AM348/2+AO348+AP348+AQ348+AR348+AS348+AT348+AU348+AV348+AW348)</f>
        <v/>
      </c>
      <c r="BB348" s="35" t="str">
        <f aca="false">IF($B348="","",MAX(0,AN348-Settings!$C$16)*Settings!$C$17)</f>
        <v/>
      </c>
      <c r="BC348" s="35" t="str">
        <f aca="false">IF($B348="","",BA348-BB348)</f>
        <v/>
      </c>
      <c r="BD348" s="35" t="str">
        <f aca="false">IF(OR($B348="",$A348=""),"",DAY(EOMONTH($A348,0))-COUNTA($F348:$AJ348))</f>
        <v/>
      </c>
    </row>
    <row r="349" customFormat="false" ht="15" hidden="false" customHeight="false" outlineLevel="0" collapsed="false">
      <c r="A349" s="32"/>
      <c r="B349" s="29"/>
      <c r="C349" s="10" t="str">
        <f aca="false">IF($B349="","",IFERROR(INDEX(M_name,MATCH($B349,M_emp,0)),"Code not found"))</f>
        <v/>
      </c>
      <c r="D349" s="10" t="str">
        <f aca="false">IF($B349="","",IFERROR(INDEX(M_dept,MATCH($B349,M_emp,0)),""))</f>
        <v/>
      </c>
      <c r="E349" s="10" t="str">
        <f aca="false">IF($B349="","",IFERROR(INDEX(M_loc,MATCH($B349,M_emp,0)),""))</f>
        <v/>
      </c>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4" t="str">
        <f aca="false">IF($B349="","",COUNTIF($F349:$AJ349,"P"))</f>
        <v/>
      </c>
      <c r="AL349" s="34" t="str">
        <f aca="false">IF($B349="","",COUNTIF($F349:$AJ349,"A"))</f>
        <v/>
      </c>
      <c r="AM349" s="34" t="str">
        <f aca="false">IF($B349="","",COUNTIF($F349:$AJ349,"HA"))</f>
        <v/>
      </c>
      <c r="AN349" s="34" t="str">
        <f aca="false">IF($B349="","",COUNTIF($F349:$AJ349,"L"))</f>
        <v/>
      </c>
      <c r="AO349" s="34" t="str">
        <f aca="false">IF($B349="","",COUNTIF($F349:$AJ349,"PL"))</f>
        <v/>
      </c>
      <c r="AP349" s="34" t="str">
        <f aca="false">IF($B349="","",COUNTIF($F349:$AJ349,"CL"))</f>
        <v/>
      </c>
      <c r="AQ349" s="34" t="str">
        <f aca="false">IF($B349="","",COUNTIF($F349:$AJ349,"SL"))</f>
        <v/>
      </c>
      <c r="AR349" s="34" t="str">
        <f aca="false">IF($B349="","",COUNTIF($F349:$AJ349,"CO"))</f>
        <v/>
      </c>
      <c r="AS349" s="34" t="str">
        <f aca="false">IF($B349="","",COUNTIF($F349:$AJ349,"HPL"))</f>
        <v/>
      </c>
      <c r="AT349" s="34" t="str">
        <f aca="false">IF($B349="","",COUNTIF($F349:$AJ349,"HCL"))</f>
        <v/>
      </c>
      <c r="AU349" s="34" t="str">
        <f aca="false">IF($B349="","",COUNTIF($F349:$AJ349,"WO"))</f>
        <v/>
      </c>
      <c r="AV349" s="34" t="str">
        <f aca="false">IF($B349="","",COUNTIF($F349:$AJ349,"PH"))</f>
        <v/>
      </c>
      <c r="AW349" s="34" t="str">
        <f aca="false">IF($B349="","",COUNTIF($F349:$AJ349,"TR"))</f>
        <v/>
      </c>
      <c r="AX349" s="35" t="str">
        <f aca="false">IF($B349="","",AO349+AS349/2)</f>
        <v/>
      </c>
      <c r="AY349" s="35" t="str">
        <f aca="false">IF($B349="","",AQ349)</f>
        <v/>
      </c>
      <c r="AZ349" s="35" t="str">
        <f aca="false">IF($B349="","",AP349+AT349/2)</f>
        <v/>
      </c>
      <c r="BA349" s="35" t="str">
        <f aca="false">IF($B349="","",AK349+AN349+AM349/2+AO349+AP349+AQ349+AR349+AS349+AT349+AU349+AV349+AW349)</f>
        <v/>
      </c>
      <c r="BB349" s="35" t="str">
        <f aca="false">IF($B349="","",MAX(0,AN349-Settings!$C$16)*Settings!$C$17)</f>
        <v/>
      </c>
      <c r="BC349" s="35" t="str">
        <f aca="false">IF($B349="","",BA349-BB349)</f>
        <v/>
      </c>
      <c r="BD349" s="35" t="str">
        <f aca="false">IF(OR($B349="",$A349=""),"",DAY(EOMONTH($A349,0))-COUNTA($F349:$AJ349))</f>
        <v/>
      </c>
    </row>
    <row r="350" customFormat="false" ht="15" hidden="false" customHeight="false" outlineLevel="0" collapsed="false">
      <c r="A350" s="32"/>
      <c r="B350" s="29"/>
      <c r="C350" s="10" t="str">
        <f aca="false">IF($B350="","",IFERROR(INDEX(M_name,MATCH($B350,M_emp,0)),"Code not found"))</f>
        <v/>
      </c>
      <c r="D350" s="10" t="str">
        <f aca="false">IF($B350="","",IFERROR(INDEX(M_dept,MATCH($B350,M_emp,0)),""))</f>
        <v/>
      </c>
      <c r="E350" s="10" t="str">
        <f aca="false">IF($B350="","",IFERROR(INDEX(M_loc,MATCH($B350,M_emp,0)),""))</f>
        <v/>
      </c>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4" t="str">
        <f aca="false">IF($B350="","",COUNTIF($F350:$AJ350,"P"))</f>
        <v/>
      </c>
      <c r="AL350" s="34" t="str">
        <f aca="false">IF($B350="","",COUNTIF($F350:$AJ350,"A"))</f>
        <v/>
      </c>
      <c r="AM350" s="34" t="str">
        <f aca="false">IF($B350="","",COUNTIF($F350:$AJ350,"HA"))</f>
        <v/>
      </c>
      <c r="AN350" s="34" t="str">
        <f aca="false">IF($B350="","",COUNTIF($F350:$AJ350,"L"))</f>
        <v/>
      </c>
      <c r="AO350" s="34" t="str">
        <f aca="false">IF($B350="","",COUNTIF($F350:$AJ350,"PL"))</f>
        <v/>
      </c>
      <c r="AP350" s="34" t="str">
        <f aca="false">IF($B350="","",COUNTIF($F350:$AJ350,"CL"))</f>
        <v/>
      </c>
      <c r="AQ350" s="34" t="str">
        <f aca="false">IF($B350="","",COUNTIF($F350:$AJ350,"SL"))</f>
        <v/>
      </c>
      <c r="AR350" s="34" t="str">
        <f aca="false">IF($B350="","",COUNTIF($F350:$AJ350,"CO"))</f>
        <v/>
      </c>
      <c r="AS350" s="34" t="str">
        <f aca="false">IF($B350="","",COUNTIF($F350:$AJ350,"HPL"))</f>
        <v/>
      </c>
      <c r="AT350" s="34" t="str">
        <f aca="false">IF($B350="","",COUNTIF($F350:$AJ350,"HCL"))</f>
        <v/>
      </c>
      <c r="AU350" s="34" t="str">
        <f aca="false">IF($B350="","",COUNTIF($F350:$AJ350,"WO"))</f>
        <v/>
      </c>
      <c r="AV350" s="34" t="str">
        <f aca="false">IF($B350="","",COUNTIF($F350:$AJ350,"PH"))</f>
        <v/>
      </c>
      <c r="AW350" s="34" t="str">
        <f aca="false">IF($B350="","",COUNTIF($F350:$AJ350,"TR"))</f>
        <v/>
      </c>
      <c r="AX350" s="35" t="str">
        <f aca="false">IF($B350="","",AO350+AS350/2)</f>
        <v/>
      </c>
      <c r="AY350" s="35" t="str">
        <f aca="false">IF($B350="","",AQ350)</f>
        <v/>
      </c>
      <c r="AZ350" s="35" t="str">
        <f aca="false">IF($B350="","",AP350+AT350/2)</f>
        <v/>
      </c>
      <c r="BA350" s="35" t="str">
        <f aca="false">IF($B350="","",AK350+AN350+AM350/2+AO350+AP350+AQ350+AR350+AS350+AT350+AU350+AV350+AW350)</f>
        <v/>
      </c>
      <c r="BB350" s="35" t="str">
        <f aca="false">IF($B350="","",MAX(0,AN350-Settings!$C$16)*Settings!$C$17)</f>
        <v/>
      </c>
      <c r="BC350" s="35" t="str">
        <f aca="false">IF($B350="","",BA350-BB350)</f>
        <v/>
      </c>
      <c r="BD350" s="35" t="str">
        <f aca="false">IF(OR($B350="",$A350=""),"",DAY(EOMONTH($A350,0))-COUNTA($F350:$AJ350))</f>
        <v/>
      </c>
    </row>
    <row r="351" customFormat="false" ht="15" hidden="false" customHeight="false" outlineLevel="0" collapsed="false">
      <c r="A351" s="32"/>
      <c r="B351" s="29"/>
      <c r="C351" s="10" t="str">
        <f aca="false">IF($B351="","",IFERROR(INDEX(M_name,MATCH($B351,M_emp,0)),"Code not found"))</f>
        <v/>
      </c>
      <c r="D351" s="10" t="str">
        <f aca="false">IF($B351="","",IFERROR(INDEX(M_dept,MATCH($B351,M_emp,0)),""))</f>
        <v/>
      </c>
      <c r="E351" s="10" t="str">
        <f aca="false">IF($B351="","",IFERROR(INDEX(M_loc,MATCH($B351,M_emp,0)),""))</f>
        <v/>
      </c>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4" t="str">
        <f aca="false">IF($B351="","",COUNTIF($F351:$AJ351,"P"))</f>
        <v/>
      </c>
      <c r="AL351" s="34" t="str">
        <f aca="false">IF($B351="","",COUNTIF($F351:$AJ351,"A"))</f>
        <v/>
      </c>
      <c r="AM351" s="34" t="str">
        <f aca="false">IF($B351="","",COUNTIF($F351:$AJ351,"HA"))</f>
        <v/>
      </c>
      <c r="AN351" s="34" t="str">
        <f aca="false">IF($B351="","",COUNTIF($F351:$AJ351,"L"))</f>
        <v/>
      </c>
      <c r="AO351" s="34" t="str">
        <f aca="false">IF($B351="","",COUNTIF($F351:$AJ351,"PL"))</f>
        <v/>
      </c>
      <c r="AP351" s="34" t="str">
        <f aca="false">IF($B351="","",COUNTIF($F351:$AJ351,"CL"))</f>
        <v/>
      </c>
      <c r="AQ351" s="34" t="str">
        <f aca="false">IF($B351="","",COUNTIF($F351:$AJ351,"SL"))</f>
        <v/>
      </c>
      <c r="AR351" s="34" t="str">
        <f aca="false">IF($B351="","",COUNTIF($F351:$AJ351,"CO"))</f>
        <v/>
      </c>
      <c r="AS351" s="34" t="str">
        <f aca="false">IF($B351="","",COUNTIF($F351:$AJ351,"HPL"))</f>
        <v/>
      </c>
      <c r="AT351" s="34" t="str">
        <f aca="false">IF($B351="","",COUNTIF($F351:$AJ351,"HCL"))</f>
        <v/>
      </c>
      <c r="AU351" s="34" t="str">
        <f aca="false">IF($B351="","",COUNTIF($F351:$AJ351,"WO"))</f>
        <v/>
      </c>
      <c r="AV351" s="34" t="str">
        <f aca="false">IF($B351="","",COUNTIF($F351:$AJ351,"PH"))</f>
        <v/>
      </c>
      <c r="AW351" s="34" t="str">
        <f aca="false">IF($B351="","",COUNTIF($F351:$AJ351,"TR"))</f>
        <v/>
      </c>
      <c r="AX351" s="35" t="str">
        <f aca="false">IF($B351="","",AO351+AS351/2)</f>
        <v/>
      </c>
      <c r="AY351" s="35" t="str">
        <f aca="false">IF($B351="","",AQ351)</f>
        <v/>
      </c>
      <c r="AZ351" s="35" t="str">
        <f aca="false">IF($B351="","",AP351+AT351/2)</f>
        <v/>
      </c>
      <c r="BA351" s="35" t="str">
        <f aca="false">IF($B351="","",AK351+AN351+AM351/2+AO351+AP351+AQ351+AR351+AS351+AT351+AU351+AV351+AW351)</f>
        <v/>
      </c>
      <c r="BB351" s="35" t="str">
        <f aca="false">IF($B351="","",MAX(0,AN351-Settings!$C$16)*Settings!$C$17)</f>
        <v/>
      </c>
      <c r="BC351" s="35" t="str">
        <f aca="false">IF($B351="","",BA351-BB351)</f>
        <v/>
      </c>
      <c r="BD351" s="35" t="str">
        <f aca="false">IF(OR($B351="",$A351=""),"",DAY(EOMONTH($A351,0))-COUNTA($F351:$AJ351))</f>
        <v/>
      </c>
    </row>
    <row r="352" customFormat="false" ht="15" hidden="false" customHeight="false" outlineLevel="0" collapsed="false">
      <c r="A352" s="32"/>
      <c r="B352" s="29"/>
      <c r="C352" s="10" t="str">
        <f aca="false">IF($B352="","",IFERROR(INDEX(M_name,MATCH($B352,M_emp,0)),"Code not found"))</f>
        <v/>
      </c>
      <c r="D352" s="10" t="str">
        <f aca="false">IF($B352="","",IFERROR(INDEX(M_dept,MATCH($B352,M_emp,0)),""))</f>
        <v/>
      </c>
      <c r="E352" s="10" t="str">
        <f aca="false">IF($B352="","",IFERROR(INDEX(M_loc,MATCH($B352,M_emp,0)),""))</f>
        <v/>
      </c>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4" t="str">
        <f aca="false">IF($B352="","",COUNTIF($F352:$AJ352,"P"))</f>
        <v/>
      </c>
      <c r="AL352" s="34" t="str">
        <f aca="false">IF($B352="","",COUNTIF($F352:$AJ352,"A"))</f>
        <v/>
      </c>
      <c r="AM352" s="34" t="str">
        <f aca="false">IF($B352="","",COUNTIF($F352:$AJ352,"HA"))</f>
        <v/>
      </c>
      <c r="AN352" s="34" t="str">
        <f aca="false">IF($B352="","",COUNTIF($F352:$AJ352,"L"))</f>
        <v/>
      </c>
      <c r="AO352" s="34" t="str">
        <f aca="false">IF($B352="","",COUNTIF($F352:$AJ352,"PL"))</f>
        <v/>
      </c>
      <c r="AP352" s="34" t="str">
        <f aca="false">IF($B352="","",COUNTIF($F352:$AJ352,"CL"))</f>
        <v/>
      </c>
      <c r="AQ352" s="34" t="str">
        <f aca="false">IF($B352="","",COUNTIF($F352:$AJ352,"SL"))</f>
        <v/>
      </c>
      <c r="AR352" s="34" t="str">
        <f aca="false">IF($B352="","",COUNTIF($F352:$AJ352,"CO"))</f>
        <v/>
      </c>
      <c r="AS352" s="34" t="str">
        <f aca="false">IF($B352="","",COUNTIF($F352:$AJ352,"HPL"))</f>
        <v/>
      </c>
      <c r="AT352" s="34" t="str">
        <f aca="false">IF($B352="","",COUNTIF($F352:$AJ352,"HCL"))</f>
        <v/>
      </c>
      <c r="AU352" s="34" t="str">
        <f aca="false">IF($B352="","",COUNTIF($F352:$AJ352,"WO"))</f>
        <v/>
      </c>
      <c r="AV352" s="34" t="str">
        <f aca="false">IF($B352="","",COUNTIF($F352:$AJ352,"PH"))</f>
        <v/>
      </c>
      <c r="AW352" s="34" t="str">
        <f aca="false">IF($B352="","",COUNTIF($F352:$AJ352,"TR"))</f>
        <v/>
      </c>
      <c r="AX352" s="35" t="str">
        <f aca="false">IF($B352="","",AO352+AS352/2)</f>
        <v/>
      </c>
      <c r="AY352" s="35" t="str">
        <f aca="false">IF($B352="","",AQ352)</f>
        <v/>
      </c>
      <c r="AZ352" s="35" t="str">
        <f aca="false">IF($B352="","",AP352+AT352/2)</f>
        <v/>
      </c>
      <c r="BA352" s="35" t="str">
        <f aca="false">IF($B352="","",AK352+AN352+AM352/2+AO352+AP352+AQ352+AR352+AS352+AT352+AU352+AV352+AW352)</f>
        <v/>
      </c>
      <c r="BB352" s="35" t="str">
        <f aca="false">IF($B352="","",MAX(0,AN352-Settings!$C$16)*Settings!$C$17)</f>
        <v/>
      </c>
      <c r="BC352" s="35" t="str">
        <f aca="false">IF($B352="","",BA352-BB352)</f>
        <v/>
      </c>
      <c r="BD352" s="35" t="str">
        <f aca="false">IF(OR($B352="",$A352=""),"",DAY(EOMONTH($A352,0))-COUNTA($F352:$AJ352))</f>
        <v/>
      </c>
    </row>
    <row r="353" customFormat="false" ht="15" hidden="false" customHeight="false" outlineLevel="0" collapsed="false">
      <c r="A353" s="32"/>
      <c r="B353" s="29"/>
      <c r="C353" s="10" t="str">
        <f aca="false">IF($B353="","",IFERROR(INDEX(M_name,MATCH($B353,M_emp,0)),"Code not found"))</f>
        <v/>
      </c>
      <c r="D353" s="10" t="str">
        <f aca="false">IF($B353="","",IFERROR(INDEX(M_dept,MATCH($B353,M_emp,0)),""))</f>
        <v/>
      </c>
      <c r="E353" s="10" t="str">
        <f aca="false">IF($B353="","",IFERROR(INDEX(M_loc,MATCH($B353,M_emp,0)),""))</f>
        <v/>
      </c>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4" t="str">
        <f aca="false">IF($B353="","",COUNTIF($F353:$AJ353,"P"))</f>
        <v/>
      </c>
      <c r="AL353" s="34" t="str">
        <f aca="false">IF($B353="","",COUNTIF($F353:$AJ353,"A"))</f>
        <v/>
      </c>
      <c r="AM353" s="34" t="str">
        <f aca="false">IF($B353="","",COUNTIF($F353:$AJ353,"HA"))</f>
        <v/>
      </c>
      <c r="AN353" s="34" t="str">
        <f aca="false">IF($B353="","",COUNTIF($F353:$AJ353,"L"))</f>
        <v/>
      </c>
      <c r="AO353" s="34" t="str">
        <f aca="false">IF($B353="","",COUNTIF($F353:$AJ353,"PL"))</f>
        <v/>
      </c>
      <c r="AP353" s="34" t="str">
        <f aca="false">IF($B353="","",COUNTIF($F353:$AJ353,"CL"))</f>
        <v/>
      </c>
      <c r="AQ353" s="34" t="str">
        <f aca="false">IF($B353="","",COUNTIF($F353:$AJ353,"SL"))</f>
        <v/>
      </c>
      <c r="AR353" s="34" t="str">
        <f aca="false">IF($B353="","",COUNTIF($F353:$AJ353,"CO"))</f>
        <v/>
      </c>
      <c r="AS353" s="34" t="str">
        <f aca="false">IF($B353="","",COUNTIF($F353:$AJ353,"HPL"))</f>
        <v/>
      </c>
      <c r="AT353" s="34" t="str">
        <f aca="false">IF($B353="","",COUNTIF($F353:$AJ353,"HCL"))</f>
        <v/>
      </c>
      <c r="AU353" s="34" t="str">
        <f aca="false">IF($B353="","",COUNTIF($F353:$AJ353,"WO"))</f>
        <v/>
      </c>
      <c r="AV353" s="34" t="str">
        <f aca="false">IF($B353="","",COUNTIF($F353:$AJ353,"PH"))</f>
        <v/>
      </c>
      <c r="AW353" s="34" t="str">
        <f aca="false">IF($B353="","",COUNTIF($F353:$AJ353,"TR"))</f>
        <v/>
      </c>
      <c r="AX353" s="35" t="str">
        <f aca="false">IF($B353="","",AO353+AS353/2)</f>
        <v/>
      </c>
      <c r="AY353" s="35" t="str">
        <f aca="false">IF($B353="","",AQ353)</f>
        <v/>
      </c>
      <c r="AZ353" s="35" t="str">
        <f aca="false">IF($B353="","",AP353+AT353/2)</f>
        <v/>
      </c>
      <c r="BA353" s="35" t="str">
        <f aca="false">IF($B353="","",AK353+AN353+AM353/2+AO353+AP353+AQ353+AR353+AS353+AT353+AU353+AV353+AW353)</f>
        <v/>
      </c>
      <c r="BB353" s="35" t="str">
        <f aca="false">IF($B353="","",MAX(0,AN353-Settings!$C$16)*Settings!$C$17)</f>
        <v/>
      </c>
      <c r="BC353" s="35" t="str">
        <f aca="false">IF($B353="","",BA353-BB353)</f>
        <v/>
      </c>
      <c r="BD353" s="35" t="str">
        <f aca="false">IF(OR($B353="",$A353=""),"",DAY(EOMONTH($A353,0))-COUNTA($F353:$AJ353))</f>
        <v/>
      </c>
    </row>
    <row r="354" customFormat="false" ht="15" hidden="false" customHeight="false" outlineLevel="0" collapsed="false">
      <c r="A354" s="32"/>
      <c r="B354" s="29"/>
      <c r="C354" s="10" t="str">
        <f aca="false">IF($B354="","",IFERROR(INDEX(M_name,MATCH($B354,M_emp,0)),"Code not found"))</f>
        <v/>
      </c>
      <c r="D354" s="10" t="str">
        <f aca="false">IF($B354="","",IFERROR(INDEX(M_dept,MATCH($B354,M_emp,0)),""))</f>
        <v/>
      </c>
      <c r="E354" s="10" t="str">
        <f aca="false">IF($B354="","",IFERROR(INDEX(M_loc,MATCH($B354,M_emp,0)),""))</f>
        <v/>
      </c>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4" t="str">
        <f aca="false">IF($B354="","",COUNTIF($F354:$AJ354,"P"))</f>
        <v/>
      </c>
      <c r="AL354" s="34" t="str">
        <f aca="false">IF($B354="","",COUNTIF($F354:$AJ354,"A"))</f>
        <v/>
      </c>
      <c r="AM354" s="34" t="str">
        <f aca="false">IF($B354="","",COUNTIF($F354:$AJ354,"HA"))</f>
        <v/>
      </c>
      <c r="AN354" s="34" t="str">
        <f aca="false">IF($B354="","",COUNTIF($F354:$AJ354,"L"))</f>
        <v/>
      </c>
      <c r="AO354" s="34" t="str">
        <f aca="false">IF($B354="","",COUNTIF($F354:$AJ354,"PL"))</f>
        <v/>
      </c>
      <c r="AP354" s="34" t="str">
        <f aca="false">IF($B354="","",COUNTIF($F354:$AJ354,"CL"))</f>
        <v/>
      </c>
      <c r="AQ354" s="34" t="str">
        <f aca="false">IF($B354="","",COUNTIF($F354:$AJ354,"SL"))</f>
        <v/>
      </c>
      <c r="AR354" s="34" t="str">
        <f aca="false">IF($B354="","",COUNTIF($F354:$AJ354,"CO"))</f>
        <v/>
      </c>
      <c r="AS354" s="34" t="str">
        <f aca="false">IF($B354="","",COUNTIF($F354:$AJ354,"HPL"))</f>
        <v/>
      </c>
      <c r="AT354" s="34" t="str">
        <f aca="false">IF($B354="","",COUNTIF($F354:$AJ354,"HCL"))</f>
        <v/>
      </c>
      <c r="AU354" s="34" t="str">
        <f aca="false">IF($B354="","",COUNTIF($F354:$AJ354,"WO"))</f>
        <v/>
      </c>
      <c r="AV354" s="34" t="str">
        <f aca="false">IF($B354="","",COUNTIF($F354:$AJ354,"PH"))</f>
        <v/>
      </c>
      <c r="AW354" s="34" t="str">
        <f aca="false">IF($B354="","",COUNTIF($F354:$AJ354,"TR"))</f>
        <v/>
      </c>
      <c r="AX354" s="35" t="str">
        <f aca="false">IF($B354="","",AO354+AS354/2)</f>
        <v/>
      </c>
      <c r="AY354" s="35" t="str">
        <f aca="false">IF($B354="","",AQ354)</f>
        <v/>
      </c>
      <c r="AZ354" s="35" t="str">
        <f aca="false">IF($B354="","",AP354+AT354/2)</f>
        <v/>
      </c>
      <c r="BA354" s="35" t="str">
        <f aca="false">IF($B354="","",AK354+AN354+AM354/2+AO354+AP354+AQ354+AR354+AS354+AT354+AU354+AV354+AW354)</f>
        <v/>
      </c>
      <c r="BB354" s="35" t="str">
        <f aca="false">IF($B354="","",MAX(0,AN354-Settings!$C$16)*Settings!$C$17)</f>
        <v/>
      </c>
      <c r="BC354" s="35" t="str">
        <f aca="false">IF($B354="","",BA354-BB354)</f>
        <v/>
      </c>
      <c r="BD354" s="35" t="str">
        <f aca="false">IF(OR($B354="",$A354=""),"",DAY(EOMONTH($A354,0))-COUNTA($F354:$AJ354))</f>
        <v/>
      </c>
    </row>
    <row r="355" customFormat="false" ht="15" hidden="false" customHeight="false" outlineLevel="0" collapsed="false">
      <c r="A355" s="32"/>
      <c r="B355" s="29"/>
      <c r="C355" s="10" t="str">
        <f aca="false">IF($B355="","",IFERROR(INDEX(M_name,MATCH($B355,M_emp,0)),"Code not found"))</f>
        <v/>
      </c>
      <c r="D355" s="10" t="str">
        <f aca="false">IF($B355="","",IFERROR(INDEX(M_dept,MATCH($B355,M_emp,0)),""))</f>
        <v/>
      </c>
      <c r="E355" s="10" t="str">
        <f aca="false">IF($B355="","",IFERROR(INDEX(M_loc,MATCH($B355,M_emp,0)),""))</f>
        <v/>
      </c>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4" t="str">
        <f aca="false">IF($B355="","",COUNTIF($F355:$AJ355,"P"))</f>
        <v/>
      </c>
      <c r="AL355" s="34" t="str">
        <f aca="false">IF($B355="","",COUNTIF($F355:$AJ355,"A"))</f>
        <v/>
      </c>
      <c r="AM355" s="34" t="str">
        <f aca="false">IF($B355="","",COUNTIF($F355:$AJ355,"HA"))</f>
        <v/>
      </c>
      <c r="AN355" s="34" t="str">
        <f aca="false">IF($B355="","",COUNTIF($F355:$AJ355,"L"))</f>
        <v/>
      </c>
      <c r="AO355" s="34" t="str">
        <f aca="false">IF($B355="","",COUNTIF($F355:$AJ355,"PL"))</f>
        <v/>
      </c>
      <c r="AP355" s="34" t="str">
        <f aca="false">IF($B355="","",COUNTIF($F355:$AJ355,"CL"))</f>
        <v/>
      </c>
      <c r="AQ355" s="34" t="str">
        <f aca="false">IF($B355="","",COUNTIF($F355:$AJ355,"SL"))</f>
        <v/>
      </c>
      <c r="AR355" s="34" t="str">
        <f aca="false">IF($B355="","",COUNTIF($F355:$AJ355,"CO"))</f>
        <v/>
      </c>
      <c r="AS355" s="34" t="str">
        <f aca="false">IF($B355="","",COUNTIF($F355:$AJ355,"HPL"))</f>
        <v/>
      </c>
      <c r="AT355" s="34" t="str">
        <f aca="false">IF($B355="","",COUNTIF($F355:$AJ355,"HCL"))</f>
        <v/>
      </c>
      <c r="AU355" s="34" t="str">
        <f aca="false">IF($B355="","",COUNTIF($F355:$AJ355,"WO"))</f>
        <v/>
      </c>
      <c r="AV355" s="34" t="str">
        <f aca="false">IF($B355="","",COUNTIF($F355:$AJ355,"PH"))</f>
        <v/>
      </c>
      <c r="AW355" s="34" t="str">
        <f aca="false">IF($B355="","",COUNTIF($F355:$AJ355,"TR"))</f>
        <v/>
      </c>
      <c r="AX355" s="35" t="str">
        <f aca="false">IF($B355="","",AO355+AS355/2)</f>
        <v/>
      </c>
      <c r="AY355" s="35" t="str">
        <f aca="false">IF($B355="","",AQ355)</f>
        <v/>
      </c>
      <c r="AZ355" s="35" t="str">
        <f aca="false">IF($B355="","",AP355+AT355/2)</f>
        <v/>
      </c>
      <c r="BA355" s="35" t="str">
        <f aca="false">IF($B355="","",AK355+AN355+AM355/2+AO355+AP355+AQ355+AR355+AS355+AT355+AU355+AV355+AW355)</f>
        <v/>
      </c>
      <c r="BB355" s="35" t="str">
        <f aca="false">IF($B355="","",MAX(0,AN355-Settings!$C$16)*Settings!$C$17)</f>
        <v/>
      </c>
      <c r="BC355" s="35" t="str">
        <f aca="false">IF($B355="","",BA355-BB355)</f>
        <v/>
      </c>
      <c r="BD355" s="35" t="str">
        <f aca="false">IF(OR($B355="",$A355=""),"",DAY(EOMONTH($A355,0))-COUNTA($F355:$AJ355))</f>
        <v/>
      </c>
    </row>
    <row r="356" customFormat="false" ht="15" hidden="false" customHeight="false" outlineLevel="0" collapsed="false">
      <c r="A356" s="32"/>
      <c r="B356" s="29"/>
      <c r="C356" s="10" t="str">
        <f aca="false">IF($B356="","",IFERROR(INDEX(M_name,MATCH($B356,M_emp,0)),"Code not found"))</f>
        <v/>
      </c>
      <c r="D356" s="10" t="str">
        <f aca="false">IF($B356="","",IFERROR(INDEX(M_dept,MATCH($B356,M_emp,0)),""))</f>
        <v/>
      </c>
      <c r="E356" s="10" t="str">
        <f aca="false">IF($B356="","",IFERROR(INDEX(M_loc,MATCH($B356,M_emp,0)),""))</f>
        <v/>
      </c>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4" t="str">
        <f aca="false">IF($B356="","",COUNTIF($F356:$AJ356,"P"))</f>
        <v/>
      </c>
      <c r="AL356" s="34" t="str">
        <f aca="false">IF($B356="","",COUNTIF($F356:$AJ356,"A"))</f>
        <v/>
      </c>
      <c r="AM356" s="34" t="str">
        <f aca="false">IF($B356="","",COUNTIF($F356:$AJ356,"HA"))</f>
        <v/>
      </c>
      <c r="AN356" s="34" t="str">
        <f aca="false">IF($B356="","",COUNTIF($F356:$AJ356,"L"))</f>
        <v/>
      </c>
      <c r="AO356" s="34" t="str">
        <f aca="false">IF($B356="","",COUNTIF($F356:$AJ356,"PL"))</f>
        <v/>
      </c>
      <c r="AP356" s="34" t="str">
        <f aca="false">IF($B356="","",COUNTIF($F356:$AJ356,"CL"))</f>
        <v/>
      </c>
      <c r="AQ356" s="34" t="str">
        <f aca="false">IF($B356="","",COUNTIF($F356:$AJ356,"SL"))</f>
        <v/>
      </c>
      <c r="AR356" s="34" t="str">
        <f aca="false">IF($B356="","",COUNTIF($F356:$AJ356,"CO"))</f>
        <v/>
      </c>
      <c r="AS356" s="34" t="str">
        <f aca="false">IF($B356="","",COUNTIF($F356:$AJ356,"HPL"))</f>
        <v/>
      </c>
      <c r="AT356" s="34" t="str">
        <f aca="false">IF($B356="","",COUNTIF($F356:$AJ356,"HCL"))</f>
        <v/>
      </c>
      <c r="AU356" s="34" t="str">
        <f aca="false">IF($B356="","",COUNTIF($F356:$AJ356,"WO"))</f>
        <v/>
      </c>
      <c r="AV356" s="34" t="str">
        <f aca="false">IF($B356="","",COUNTIF($F356:$AJ356,"PH"))</f>
        <v/>
      </c>
      <c r="AW356" s="34" t="str">
        <f aca="false">IF($B356="","",COUNTIF($F356:$AJ356,"TR"))</f>
        <v/>
      </c>
      <c r="AX356" s="35" t="str">
        <f aca="false">IF($B356="","",AO356+AS356/2)</f>
        <v/>
      </c>
      <c r="AY356" s="35" t="str">
        <f aca="false">IF($B356="","",AQ356)</f>
        <v/>
      </c>
      <c r="AZ356" s="35" t="str">
        <f aca="false">IF($B356="","",AP356+AT356/2)</f>
        <v/>
      </c>
      <c r="BA356" s="35" t="str">
        <f aca="false">IF($B356="","",AK356+AN356+AM356/2+AO356+AP356+AQ356+AR356+AS356+AT356+AU356+AV356+AW356)</f>
        <v/>
      </c>
      <c r="BB356" s="35" t="str">
        <f aca="false">IF($B356="","",MAX(0,AN356-Settings!$C$16)*Settings!$C$17)</f>
        <v/>
      </c>
      <c r="BC356" s="35" t="str">
        <f aca="false">IF($B356="","",BA356-BB356)</f>
        <v/>
      </c>
      <c r="BD356" s="35" t="str">
        <f aca="false">IF(OR($B356="",$A356=""),"",DAY(EOMONTH($A356,0))-COUNTA($F356:$AJ356))</f>
        <v/>
      </c>
    </row>
    <row r="357" customFormat="false" ht="15" hidden="false" customHeight="false" outlineLevel="0" collapsed="false">
      <c r="A357" s="32"/>
      <c r="B357" s="29"/>
      <c r="C357" s="10" t="str">
        <f aca="false">IF($B357="","",IFERROR(INDEX(M_name,MATCH($B357,M_emp,0)),"Code not found"))</f>
        <v/>
      </c>
      <c r="D357" s="10" t="str">
        <f aca="false">IF($B357="","",IFERROR(INDEX(M_dept,MATCH($B357,M_emp,0)),""))</f>
        <v/>
      </c>
      <c r="E357" s="10" t="str">
        <f aca="false">IF($B357="","",IFERROR(INDEX(M_loc,MATCH($B357,M_emp,0)),""))</f>
        <v/>
      </c>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4" t="str">
        <f aca="false">IF($B357="","",COUNTIF($F357:$AJ357,"P"))</f>
        <v/>
      </c>
      <c r="AL357" s="34" t="str">
        <f aca="false">IF($B357="","",COUNTIF($F357:$AJ357,"A"))</f>
        <v/>
      </c>
      <c r="AM357" s="34" t="str">
        <f aca="false">IF($B357="","",COUNTIF($F357:$AJ357,"HA"))</f>
        <v/>
      </c>
      <c r="AN357" s="34" t="str">
        <f aca="false">IF($B357="","",COUNTIF($F357:$AJ357,"L"))</f>
        <v/>
      </c>
      <c r="AO357" s="34" t="str">
        <f aca="false">IF($B357="","",COUNTIF($F357:$AJ357,"PL"))</f>
        <v/>
      </c>
      <c r="AP357" s="34" t="str">
        <f aca="false">IF($B357="","",COUNTIF($F357:$AJ357,"CL"))</f>
        <v/>
      </c>
      <c r="AQ357" s="34" t="str">
        <f aca="false">IF($B357="","",COUNTIF($F357:$AJ357,"SL"))</f>
        <v/>
      </c>
      <c r="AR357" s="34" t="str">
        <f aca="false">IF($B357="","",COUNTIF($F357:$AJ357,"CO"))</f>
        <v/>
      </c>
      <c r="AS357" s="34" t="str">
        <f aca="false">IF($B357="","",COUNTIF($F357:$AJ357,"HPL"))</f>
        <v/>
      </c>
      <c r="AT357" s="34" t="str">
        <f aca="false">IF($B357="","",COUNTIF($F357:$AJ357,"HCL"))</f>
        <v/>
      </c>
      <c r="AU357" s="34" t="str">
        <f aca="false">IF($B357="","",COUNTIF($F357:$AJ357,"WO"))</f>
        <v/>
      </c>
      <c r="AV357" s="34" t="str">
        <f aca="false">IF($B357="","",COUNTIF($F357:$AJ357,"PH"))</f>
        <v/>
      </c>
      <c r="AW357" s="34" t="str">
        <f aca="false">IF($B357="","",COUNTIF($F357:$AJ357,"TR"))</f>
        <v/>
      </c>
      <c r="AX357" s="35" t="str">
        <f aca="false">IF($B357="","",AO357+AS357/2)</f>
        <v/>
      </c>
      <c r="AY357" s="35" t="str">
        <f aca="false">IF($B357="","",AQ357)</f>
        <v/>
      </c>
      <c r="AZ357" s="35" t="str">
        <f aca="false">IF($B357="","",AP357+AT357/2)</f>
        <v/>
      </c>
      <c r="BA357" s="35" t="str">
        <f aca="false">IF($B357="","",AK357+AN357+AM357/2+AO357+AP357+AQ357+AR357+AS357+AT357+AU357+AV357+AW357)</f>
        <v/>
      </c>
      <c r="BB357" s="35" t="str">
        <f aca="false">IF($B357="","",MAX(0,AN357-Settings!$C$16)*Settings!$C$17)</f>
        <v/>
      </c>
      <c r="BC357" s="35" t="str">
        <f aca="false">IF($B357="","",BA357-BB357)</f>
        <v/>
      </c>
      <c r="BD357" s="35" t="str">
        <f aca="false">IF(OR($B357="",$A357=""),"",DAY(EOMONTH($A357,0))-COUNTA($F357:$AJ357))</f>
        <v/>
      </c>
    </row>
    <row r="358" customFormat="false" ht="15" hidden="false" customHeight="false" outlineLevel="0" collapsed="false">
      <c r="A358" s="32"/>
      <c r="B358" s="29"/>
      <c r="C358" s="10" t="str">
        <f aca="false">IF($B358="","",IFERROR(INDEX(M_name,MATCH($B358,M_emp,0)),"Code not found"))</f>
        <v/>
      </c>
      <c r="D358" s="10" t="str">
        <f aca="false">IF($B358="","",IFERROR(INDEX(M_dept,MATCH($B358,M_emp,0)),""))</f>
        <v/>
      </c>
      <c r="E358" s="10" t="str">
        <f aca="false">IF($B358="","",IFERROR(INDEX(M_loc,MATCH($B358,M_emp,0)),""))</f>
        <v/>
      </c>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4" t="str">
        <f aca="false">IF($B358="","",COUNTIF($F358:$AJ358,"P"))</f>
        <v/>
      </c>
      <c r="AL358" s="34" t="str">
        <f aca="false">IF($B358="","",COUNTIF($F358:$AJ358,"A"))</f>
        <v/>
      </c>
      <c r="AM358" s="34" t="str">
        <f aca="false">IF($B358="","",COUNTIF($F358:$AJ358,"HA"))</f>
        <v/>
      </c>
      <c r="AN358" s="34" t="str">
        <f aca="false">IF($B358="","",COUNTIF($F358:$AJ358,"L"))</f>
        <v/>
      </c>
      <c r="AO358" s="34" t="str">
        <f aca="false">IF($B358="","",COUNTIF($F358:$AJ358,"PL"))</f>
        <v/>
      </c>
      <c r="AP358" s="34" t="str">
        <f aca="false">IF($B358="","",COUNTIF($F358:$AJ358,"CL"))</f>
        <v/>
      </c>
      <c r="AQ358" s="34" t="str">
        <f aca="false">IF($B358="","",COUNTIF($F358:$AJ358,"SL"))</f>
        <v/>
      </c>
      <c r="AR358" s="34" t="str">
        <f aca="false">IF($B358="","",COUNTIF($F358:$AJ358,"CO"))</f>
        <v/>
      </c>
      <c r="AS358" s="34" t="str">
        <f aca="false">IF($B358="","",COUNTIF($F358:$AJ358,"HPL"))</f>
        <v/>
      </c>
      <c r="AT358" s="34" t="str">
        <f aca="false">IF($B358="","",COUNTIF($F358:$AJ358,"HCL"))</f>
        <v/>
      </c>
      <c r="AU358" s="34" t="str">
        <f aca="false">IF($B358="","",COUNTIF($F358:$AJ358,"WO"))</f>
        <v/>
      </c>
      <c r="AV358" s="34" t="str">
        <f aca="false">IF($B358="","",COUNTIF($F358:$AJ358,"PH"))</f>
        <v/>
      </c>
      <c r="AW358" s="34" t="str">
        <f aca="false">IF($B358="","",COUNTIF($F358:$AJ358,"TR"))</f>
        <v/>
      </c>
      <c r="AX358" s="35" t="str">
        <f aca="false">IF($B358="","",AO358+AS358/2)</f>
        <v/>
      </c>
      <c r="AY358" s="35" t="str">
        <f aca="false">IF($B358="","",AQ358)</f>
        <v/>
      </c>
      <c r="AZ358" s="35" t="str">
        <f aca="false">IF($B358="","",AP358+AT358/2)</f>
        <v/>
      </c>
      <c r="BA358" s="35" t="str">
        <f aca="false">IF($B358="","",AK358+AN358+AM358/2+AO358+AP358+AQ358+AR358+AS358+AT358+AU358+AV358+AW358)</f>
        <v/>
      </c>
      <c r="BB358" s="35" t="str">
        <f aca="false">IF($B358="","",MAX(0,AN358-Settings!$C$16)*Settings!$C$17)</f>
        <v/>
      </c>
      <c r="BC358" s="35" t="str">
        <f aca="false">IF($B358="","",BA358-BB358)</f>
        <v/>
      </c>
      <c r="BD358" s="35" t="str">
        <f aca="false">IF(OR($B358="",$A358=""),"",DAY(EOMONTH($A358,0))-COUNTA($F358:$AJ358))</f>
        <v/>
      </c>
    </row>
    <row r="359" customFormat="false" ht="15" hidden="false" customHeight="false" outlineLevel="0" collapsed="false">
      <c r="A359" s="32"/>
      <c r="B359" s="29"/>
      <c r="C359" s="10" t="str">
        <f aca="false">IF($B359="","",IFERROR(INDEX(M_name,MATCH($B359,M_emp,0)),"Code not found"))</f>
        <v/>
      </c>
      <c r="D359" s="10" t="str">
        <f aca="false">IF($B359="","",IFERROR(INDEX(M_dept,MATCH($B359,M_emp,0)),""))</f>
        <v/>
      </c>
      <c r="E359" s="10" t="str">
        <f aca="false">IF($B359="","",IFERROR(INDEX(M_loc,MATCH($B359,M_emp,0)),""))</f>
        <v/>
      </c>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4" t="str">
        <f aca="false">IF($B359="","",COUNTIF($F359:$AJ359,"P"))</f>
        <v/>
      </c>
      <c r="AL359" s="34" t="str">
        <f aca="false">IF($B359="","",COUNTIF($F359:$AJ359,"A"))</f>
        <v/>
      </c>
      <c r="AM359" s="34" t="str">
        <f aca="false">IF($B359="","",COUNTIF($F359:$AJ359,"HA"))</f>
        <v/>
      </c>
      <c r="AN359" s="34" t="str">
        <f aca="false">IF($B359="","",COUNTIF($F359:$AJ359,"L"))</f>
        <v/>
      </c>
      <c r="AO359" s="34" t="str">
        <f aca="false">IF($B359="","",COUNTIF($F359:$AJ359,"PL"))</f>
        <v/>
      </c>
      <c r="AP359" s="34" t="str">
        <f aca="false">IF($B359="","",COUNTIF($F359:$AJ359,"CL"))</f>
        <v/>
      </c>
      <c r="AQ359" s="34" t="str">
        <f aca="false">IF($B359="","",COUNTIF($F359:$AJ359,"SL"))</f>
        <v/>
      </c>
      <c r="AR359" s="34" t="str">
        <f aca="false">IF($B359="","",COUNTIF($F359:$AJ359,"CO"))</f>
        <v/>
      </c>
      <c r="AS359" s="34" t="str">
        <f aca="false">IF($B359="","",COUNTIF($F359:$AJ359,"HPL"))</f>
        <v/>
      </c>
      <c r="AT359" s="34" t="str">
        <f aca="false">IF($B359="","",COUNTIF($F359:$AJ359,"HCL"))</f>
        <v/>
      </c>
      <c r="AU359" s="34" t="str">
        <f aca="false">IF($B359="","",COUNTIF($F359:$AJ359,"WO"))</f>
        <v/>
      </c>
      <c r="AV359" s="34" t="str">
        <f aca="false">IF($B359="","",COUNTIF($F359:$AJ359,"PH"))</f>
        <v/>
      </c>
      <c r="AW359" s="34" t="str">
        <f aca="false">IF($B359="","",COUNTIF($F359:$AJ359,"TR"))</f>
        <v/>
      </c>
      <c r="AX359" s="35" t="str">
        <f aca="false">IF($B359="","",AO359+AS359/2)</f>
        <v/>
      </c>
      <c r="AY359" s="35" t="str">
        <f aca="false">IF($B359="","",AQ359)</f>
        <v/>
      </c>
      <c r="AZ359" s="35" t="str">
        <f aca="false">IF($B359="","",AP359+AT359/2)</f>
        <v/>
      </c>
      <c r="BA359" s="35" t="str">
        <f aca="false">IF($B359="","",AK359+AN359+AM359/2+AO359+AP359+AQ359+AR359+AS359+AT359+AU359+AV359+AW359)</f>
        <v/>
      </c>
      <c r="BB359" s="35" t="str">
        <f aca="false">IF($B359="","",MAX(0,AN359-Settings!$C$16)*Settings!$C$17)</f>
        <v/>
      </c>
      <c r="BC359" s="35" t="str">
        <f aca="false">IF($B359="","",BA359-BB359)</f>
        <v/>
      </c>
      <c r="BD359" s="35" t="str">
        <f aca="false">IF(OR($B359="",$A359=""),"",DAY(EOMONTH($A359,0))-COUNTA($F359:$AJ359))</f>
        <v/>
      </c>
    </row>
    <row r="360" customFormat="false" ht="15" hidden="false" customHeight="false" outlineLevel="0" collapsed="false">
      <c r="A360" s="32"/>
      <c r="B360" s="29"/>
      <c r="C360" s="10" t="str">
        <f aca="false">IF($B360="","",IFERROR(INDEX(M_name,MATCH($B360,M_emp,0)),"Code not found"))</f>
        <v/>
      </c>
      <c r="D360" s="10" t="str">
        <f aca="false">IF($B360="","",IFERROR(INDEX(M_dept,MATCH($B360,M_emp,0)),""))</f>
        <v/>
      </c>
      <c r="E360" s="10" t="str">
        <f aca="false">IF($B360="","",IFERROR(INDEX(M_loc,MATCH($B360,M_emp,0)),""))</f>
        <v/>
      </c>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4" t="str">
        <f aca="false">IF($B360="","",COUNTIF($F360:$AJ360,"P"))</f>
        <v/>
      </c>
      <c r="AL360" s="34" t="str">
        <f aca="false">IF($B360="","",COUNTIF($F360:$AJ360,"A"))</f>
        <v/>
      </c>
      <c r="AM360" s="34" t="str">
        <f aca="false">IF($B360="","",COUNTIF($F360:$AJ360,"HA"))</f>
        <v/>
      </c>
      <c r="AN360" s="34" t="str">
        <f aca="false">IF($B360="","",COUNTIF($F360:$AJ360,"L"))</f>
        <v/>
      </c>
      <c r="AO360" s="34" t="str">
        <f aca="false">IF($B360="","",COUNTIF($F360:$AJ360,"PL"))</f>
        <v/>
      </c>
      <c r="AP360" s="34" t="str">
        <f aca="false">IF($B360="","",COUNTIF($F360:$AJ360,"CL"))</f>
        <v/>
      </c>
      <c r="AQ360" s="34" t="str">
        <f aca="false">IF($B360="","",COUNTIF($F360:$AJ360,"SL"))</f>
        <v/>
      </c>
      <c r="AR360" s="34" t="str">
        <f aca="false">IF($B360="","",COUNTIF($F360:$AJ360,"CO"))</f>
        <v/>
      </c>
      <c r="AS360" s="34" t="str">
        <f aca="false">IF($B360="","",COUNTIF($F360:$AJ360,"HPL"))</f>
        <v/>
      </c>
      <c r="AT360" s="34" t="str">
        <f aca="false">IF($B360="","",COUNTIF($F360:$AJ360,"HCL"))</f>
        <v/>
      </c>
      <c r="AU360" s="34" t="str">
        <f aca="false">IF($B360="","",COUNTIF($F360:$AJ360,"WO"))</f>
        <v/>
      </c>
      <c r="AV360" s="34" t="str">
        <f aca="false">IF($B360="","",COUNTIF($F360:$AJ360,"PH"))</f>
        <v/>
      </c>
      <c r="AW360" s="34" t="str">
        <f aca="false">IF($B360="","",COUNTIF($F360:$AJ360,"TR"))</f>
        <v/>
      </c>
      <c r="AX360" s="35" t="str">
        <f aca="false">IF($B360="","",AO360+AS360/2)</f>
        <v/>
      </c>
      <c r="AY360" s="35" t="str">
        <f aca="false">IF($B360="","",AQ360)</f>
        <v/>
      </c>
      <c r="AZ360" s="35" t="str">
        <f aca="false">IF($B360="","",AP360+AT360/2)</f>
        <v/>
      </c>
      <c r="BA360" s="35" t="str">
        <f aca="false">IF($B360="","",AK360+AN360+AM360/2+AO360+AP360+AQ360+AR360+AS360+AT360+AU360+AV360+AW360)</f>
        <v/>
      </c>
      <c r="BB360" s="35" t="str">
        <f aca="false">IF($B360="","",MAX(0,AN360-Settings!$C$16)*Settings!$C$17)</f>
        <v/>
      </c>
      <c r="BC360" s="35" t="str">
        <f aca="false">IF($B360="","",BA360-BB360)</f>
        <v/>
      </c>
      <c r="BD360" s="35" t="str">
        <f aca="false">IF(OR($B360="",$A360=""),"",DAY(EOMONTH($A360,0))-COUNTA($F360:$AJ360))</f>
        <v/>
      </c>
    </row>
    <row r="361" customFormat="false" ht="15" hidden="false" customHeight="false" outlineLevel="0" collapsed="false">
      <c r="A361" s="32"/>
      <c r="B361" s="29"/>
      <c r="C361" s="10" t="str">
        <f aca="false">IF($B361="","",IFERROR(INDEX(M_name,MATCH($B361,M_emp,0)),"Code not found"))</f>
        <v/>
      </c>
      <c r="D361" s="10" t="str">
        <f aca="false">IF($B361="","",IFERROR(INDEX(M_dept,MATCH($B361,M_emp,0)),""))</f>
        <v/>
      </c>
      <c r="E361" s="10" t="str">
        <f aca="false">IF($B361="","",IFERROR(INDEX(M_loc,MATCH($B361,M_emp,0)),""))</f>
        <v/>
      </c>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4" t="str">
        <f aca="false">IF($B361="","",COUNTIF($F361:$AJ361,"P"))</f>
        <v/>
      </c>
      <c r="AL361" s="34" t="str">
        <f aca="false">IF($B361="","",COUNTIF($F361:$AJ361,"A"))</f>
        <v/>
      </c>
      <c r="AM361" s="34" t="str">
        <f aca="false">IF($B361="","",COUNTIF($F361:$AJ361,"HA"))</f>
        <v/>
      </c>
      <c r="AN361" s="34" t="str">
        <f aca="false">IF($B361="","",COUNTIF($F361:$AJ361,"L"))</f>
        <v/>
      </c>
      <c r="AO361" s="34" t="str">
        <f aca="false">IF($B361="","",COUNTIF($F361:$AJ361,"PL"))</f>
        <v/>
      </c>
      <c r="AP361" s="34" t="str">
        <f aca="false">IF($B361="","",COUNTIF($F361:$AJ361,"CL"))</f>
        <v/>
      </c>
      <c r="AQ361" s="34" t="str">
        <f aca="false">IF($B361="","",COUNTIF($F361:$AJ361,"SL"))</f>
        <v/>
      </c>
      <c r="AR361" s="34" t="str">
        <f aca="false">IF($B361="","",COUNTIF($F361:$AJ361,"CO"))</f>
        <v/>
      </c>
      <c r="AS361" s="34" t="str">
        <f aca="false">IF($B361="","",COUNTIF($F361:$AJ361,"HPL"))</f>
        <v/>
      </c>
      <c r="AT361" s="34" t="str">
        <f aca="false">IF($B361="","",COUNTIF($F361:$AJ361,"HCL"))</f>
        <v/>
      </c>
      <c r="AU361" s="34" t="str">
        <f aca="false">IF($B361="","",COUNTIF($F361:$AJ361,"WO"))</f>
        <v/>
      </c>
      <c r="AV361" s="34" t="str">
        <f aca="false">IF($B361="","",COUNTIF($F361:$AJ361,"PH"))</f>
        <v/>
      </c>
      <c r="AW361" s="34" t="str">
        <f aca="false">IF($B361="","",COUNTIF($F361:$AJ361,"TR"))</f>
        <v/>
      </c>
      <c r="AX361" s="35" t="str">
        <f aca="false">IF($B361="","",AO361+AS361/2)</f>
        <v/>
      </c>
      <c r="AY361" s="35" t="str">
        <f aca="false">IF($B361="","",AQ361)</f>
        <v/>
      </c>
      <c r="AZ361" s="35" t="str">
        <f aca="false">IF($B361="","",AP361+AT361/2)</f>
        <v/>
      </c>
      <c r="BA361" s="35" t="str">
        <f aca="false">IF($B361="","",AK361+AN361+AM361/2+AO361+AP361+AQ361+AR361+AS361+AT361+AU361+AV361+AW361)</f>
        <v/>
      </c>
      <c r="BB361" s="35" t="str">
        <f aca="false">IF($B361="","",MAX(0,AN361-Settings!$C$16)*Settings!$C$17)</f>
        <v/>
      </c>
      <c r="BC361" s="35" t="str">
        <f aca="false">IF($B361="","",BA361-BB361)</f>
        <v/>
      </c>
      <c r="BD361" s="35" t="str">
        <f aca="false">IF(OR($B361="",$A361=""),"",DAY(EOMONTH($A361,0))-COUNTA($F361:$AJ361))</f>
        <v/>
      </c>
    </row>
    <row r="362" customFormat="false" ht="15" hidden="false" customHeight="false" outlineLevel="0" collapsed="false">
      <c r="A362" s="32"/>
      <c r="B362" s="29"/>
      <c r="C362" s="10" t="str">
        <f aca="false">IF($B362="","",IFERROR(INDEX(M_name,MATCH($B362,M_emp,0)),"Code not found"))</f>
        <v/>
      </c>
      <c r="D362" s="10" t="str">
        <f aca="false">IF($B362="","",IFERROR(INDEX(M_dept,MATCH($B362,M_emp,0)),""))</f>
        <v/>
      </c>
      <c r="E362" s="10" t="str">
        <f aca="false">IF($B362="","",IFERROR(INDEX(M_loc,MATCH($B362,M_emp,0)),""))</f>
        <v/>
      </c>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4" t="str">
        <f aca="false">IF($B362="","",COUNTIF($F362:$AJ362,"P"))</f>
        <v/>
      </c>
      <c r="AL362" s="34" t="str">
        <f aca="false">IF($B362="","",COUNTIF($F362:$AJ362,"A"))</f>
        <v/>
      </c>
      <c r="AM362" s="34" t="str">
        <f aca="false">IF($B362="","",COUNTIF($F362:$AJ362,"HA"))</f>
        <v/>
      </c>
      <c r="AN362" s="34" t="str">
        <f aca="false">IF($B362="","",COUNTIF($F362:$AJ362,"L"))</f>
        <v/>
      </c>
      <c r="AO362" s="34" t="str">
        <f aca="false">IF($B362="","",COUNTIF($F362:$AJ362,"PL"))</f>
        <v/>
      </c>
      <c r="AP362" s="34" t="str">
        <f aca="false">IF($B362="","",COUNTIF($F362:$AJ362,"CL"))</f>
        <v/>
      </c>
      <c r="AQ362" s="34" t="str">
        <f aca="false">IF($B362="","",COUNTIF($F362:$AJ362,"SL"))</f>
        <v/>
      </c>
      <c r="AR362" s="34" t="str">
        <f aca="false">IF($B362="","",COUNTIF($F362:$AJ362,"CO"))</f>
        <v/>
      </c>
      <c r="AS362" s="34" t="str">
        <f aca="false">IF($B362="","",COUNTIF($F362:$AJ362,"HPL"))</f>
        <v/>
      </c>
      <c r="AT362" s="34" t="str">
        <f aca="false">IF($B362="","",COUNTIF($F362:$AJ362,"HCL"))</f>
        <v/>
      </c>
      <c r="AU362" s="34" t="str">
        <f aca="false">IF($B362="","",COUNTIF($F362:$AJ362,"WO"))</f>
        <v/>
      </c>
      <c r="AV362" s="34" t="str">
        <f aca="false">IF($B362="","",COUNTIF($F362:$AJ362,"PH"))</f>
        <v/>
      </c>
      <c r="AW362" s="34" t="str">
        <f aca="false">IF($B362="","",COUNTIF($F362:$AJ362,"TR"))</f>
        <v/>
      </c>
      <c r="AX362" s="35" t="str">
        <f aca="false">IF($B362="","",AO362+AS362/2)</f>
        <v/>
      </c>
      <c r="AY362" s="35" t="str">
        <f aca="false">IF($B362="","",AQ362)</f>
        <v/>
      </c>
      <c r="AZ362" s="35" t="str">
        <f aca="false">IF($B362="","",AP362+AT362/2)</f>
        <v/>
      </c>
      <c r="BA362" s="35" t="str">
        <f aca="false">IF($B362="","",AK362+AN362+AM362/2+AO362+AP362+AQ362+AR362+AS362+AT362+AU362+AV362+AW362)</f>
        <v/>
      </c>
      <c r="BB362" s="35" t="str">
        <f aca="false">IF($B362="","",MAX(0,AN362-Settings!$C$16)*Settings!$C$17)</f>
        <v/>
      </c>
      <c r="BC362" s="35" t="str">
        <f aca="false">IF($B362="","",BA362-BB362)</f>
        <v/>
      </c>
      <c r="BD362" s="35" t="str">
        <f aca="false">IF(OR($B362="",$A362=""),"",DAY(EOMONTH($A362,0))-COUNTA($F362:$AJ362))</f>
        <v/>
      </c>
    </row>
    <row r="363" customFormat="false" ht="15" hidden="false" customHeight="false" outlineLevel="0" collapsed="false">
      <c r="A363" s="32"/>
      <c r="B363" s="29"/>
      <c r="C363" s="10" t="str">
        <f aca="false">IF($B363="","",IFERROR(INDEX(M_name,MATCH($B363,M_emp,0)),"Code not found"))</f>
        <v/>
      </c>
      <c r="D363" s="10" t="str">
        <f aca="false">IF($B363="","",IFERROR(INDEX(M_dept,MATCH($B363,M_emp,0)),""))</f>
        <v/>
      </c>
      <c r="E363" s="10" t="str">
        <f aca="false">IF($B363="","",IFERROR(INDEX(M_loc,MATCH($B363,M_emp,0)),""))</f>
        <v/>
      </c>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4" t="str">
        <f aca="false">IF($B363="","",COUNTIF($F363:$AJ363,"P"))</f>
        <v/>
      </c>
      <c r="AL363" s="34" t="str">
        <f aca="false">IF($B363="","",COUNTIF($F363:$AJ363,"A"))</f>
        <v/>
      </c>
      <c r="AM363" s="34" t="str">
        <f aca="false">IF($B363="","",COUNTIF($F363:$AJ363,"HA"))</f>
        <v/>
      </c>
      <c r="AN363" s="34" t="str">
        <f aca="false">IF($B363="","",COUNTIF($F363:$AJ363,"L"))</f>
        <v/>
      </c>
      <c r="AO363" s="34" t="str">
        <f aca="false">IF($B363="","",COUNTIF($F363:$AJ363,"PL"))</f>
        <v/>
      </c>
      <c r="AP363" s="34" t="str">
        <f aca="false">IF($B363="","",COUNTIF($F363:$AJ363,"CL"))</f>
        <v/>
      </c>
      <c r="AQ363" s="34" t="str">
        <f aca="false">IF($B363="","",COUNTIF($F363:$AJ363,"SL"))</f>
        <v/>
      </c>
      <c r="AR363" s="34" t="str">
        <f aca="false">IF($B363="","",COUNTIF($F363:$AJ363,"CO"))</f>
        <v/>
      </c>
      <c r="AS363" s="34" t="str">
        <f aca="false">IF($B363="","",COUNTIF($F363:$AJ363,"HPL"))</f>
        <v/>
      </c>
      <c r="AT363" s="34" t="str">
        <f aca="false">IF($B363="","",COUNTIF($F363:$AJ363,"HCL"))</f>
        <v/>
      </c>
      <c r="AU363" s="34" t="str">
        <f aca="false">IF($B363="","",COUNTIF($F363:$AJ363,"WO"))</f>
        <v/>
      </c>
      <c r="AV363" s="34" t="str">
        <f aca="false">IF($B363="","",COUNTIF($F363:$AJ363,"PH"))</f>
        <v/>
      </c>
      <c r="AW363" s="34" t="str">
        <f aca="false">IF($B363="","",COUNTIF($F363:$AJ363,"TR"))</f>
        <v/>
      </c>
      <c r="AX363" s="35" t="str">
        <f aca="false">IF($B363="","",AO363+AS363/2)</f>
        <v/>
      </c>
      <c r="AY363" s="35" t="str">
        <f aca="false">IF($B363="","",AQ363)</f>
        <v/>
      </c>
      <c r="AZ363" s="35" t="str">
        <f aca="false">IF($B363="","",AP363+AT363/2)</f>
        <v/>
      </c>
      <c r="BA363" s="35" t="str">
        <f aca="false">IF($B363="","",AK363+AN363+AM363/2+AO363+AP363+AQ363+AR363+AS363+AT363+AU363+AV363+AW363)</f>
        <v/>
      </c>
      <c r="BB363" s="35" t="str">
        <f aca="false">IF($B363="","",MAX(0,AN363-Settings!$C$16)*Settings!$C$17)</f>
        <v/>
      </c>
      <c r="BC363" s="35" t="str">
        <f aca="false">IF($B363="","",BA363-BB363)</f>
        <v/>
      </c>
      <c r="BD363" s="35" t="str">
        <f aca="false">IF(OR($B363="",$A363=""),"",DAY(EOMONTH($A363,0))-COUNTA($F363:$AJ363))</f>
        <v/>
      </c>
    </row>
    <row r="364" customFormat="false" ht="15" hidden="false" customHeight="false" outlineLevel="0" collapsed="false">
      <c r="A364" s="32"/>
      <c r="B364" s="29"/>
      <c r="C364" s="10" t="str">
        <f aca="false">IF($B364="","",IFERROR(INDEX(M_name,MATCH($B364,M_emp,0)),"Code not found"))</f>
        <v/>
      </c>
      <c r="D364" s="10" t="str">
        <f aca="false">IF($B364="","",IFERROR(INDEX(M_dept,MATCH($B364,M_emp,0)),""))</f>
        <v/>
      </c>
      <c r="E364" s="10" t="str">
        <f aca="false">IF($B364="","",IFERROR(INDEX(M_loc,MATCH($B364,M_emp,0)),""))</f>
        <v/>
      </c>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4" t="str">
        <f aca="false">IF($B364="","",COUNTIF($F364:$AJ364,"P"))</f>
        <v/>
      </c>
      <c r="AL364" s="34" t="str">
        <f aca="false">IF($B364="","",COUNTIF($F364:$AJ364,"A"))</f>
        <v/>
      </c>
      <c r="AM364" s="34" t="str">
        <f aca="false">IF($B364="","",COUNTIF($F364:$AJ364,"HA"))</f>
        <v/>
      </c>
      <c r="AN364" s="34" t="str">
        <f aca="false">IF($B364="","",COUNTIF($F364:$AJ364,"L"))</f>
        <v/>
      </c>
      <c r="AO364" s="34" t="str">
        <f aca="false">IF($B364="","",COUNTIF($F364:$AJ364,"PL"))</f>
        <v/>
      </c>
      <c r="AP364" s="34" t="str">
        <f aca="false">IF($B364="","",COUNTIF($F364:$AJ364,"CL"))</f>
        <v/>
      </c>
      <c r="AQ364" s="34" t="str">
        <f aca="false">IF($B364="","",COUNTIF($F364:$AJ364,"SL"))</f>
        <v/>
      </c>
      <c r="AR364" s="34" t="str">
        <f aca="false">IF($B364="","",COUNTIF($F364:$AJ364,"CO"))</f>
        <v/>
      </c>
      <c r="AS364" s="34" t="str">
        <f aca="false">IF($B364="","",COUNTIF($F364:$AJ364,"HPL"))</f>
        <v/>
      </c>
      <c r="AT364" s="34" t="str">
        <f aca="false">IF($B364="","",COUNTIF($F364:$AJ364,"HCL"))</f>
        <v/>
      </c>
      <c r="AU364" s="34" t="str">
        <f aca="false">IF($B364="","",COUNTIF($F364:$AJ364,"WO"))</f>
        <v/>
      </c>
      <c r="AV364" s="34" t="str">
        <f aca="false">IF($B364="","",COUNTIF($F364:$AJ364,"PH"))</f>
        <v/>
      </c>
      <c r="AW364" s="34" t="str">
        <f aca="false">IF($B364="","",COUNTIF($F364:$AJ364,"TR"))</f>
        <v/>
      </c>
      <c r="AX364" s="35" t="str">
        <f aca="false">IF($B364="","",AO364+AS364/2)</f>
        <v/>
      </c>
      <c r="AY364" s="35" t="str">
        <f aca="false">IF($B364="","",AQ364)</f>
        <v/>
      </c>
      <c r="AZ364" s="35" t="str">
        <f aca="false">IF($B364="","",AP364+AT364/2)</f>
        <v/>
      </c>
      <c r="BA364" s="35" t="str">
        <f aca="false">IF($B364="","",AK364+AN364+AM364/2+AO364+AP364+AQ364+AR364+AS364+AT364+AU364+AV364+AW364)</f>
        <v/>
      </c>
      <c r="BB364" s="35" t="str">
        <f aca="false">IF($B364="","",MAX(0,AN364-Settings!$C$16)*Settings!$C$17)</f>
        <v/>
      </c>
      <c r="BC364" s="35" t="str">
        <f aca="false">IF($B364="","",BA364-BB364)</f>
        <v/>
      </c>
      <c r="BD364" s="35" t="str">
        <f aca="false">IF(OR($B364="",$A364=""),"",DAY(EOMONTH($A364,0))-COUNTA($F364:$AJ364))</f>
        <v/>
      </c>
    </row>
    <row r="365" customFormat="false" ht="15" hidden="false" customHeight="false" outlineLevel="0" collapsed="false">
      <c r="A365" s="32"/>
      <c r="B365" s="29"/>
      <c r="C365" s="10" t="str">
        <f aca="false">IF($B365="","",IFERROR(INDEX(M_name,MATCH($B365,M_emp,0)),"Code not found"))</f>
        <v/>
      </c>
      <c r="D365" s="10" t="str">
        <f aca="false">IF($B365="","",IFERROR(INDEX(M_dept,MATCH($B365,M_emp,0)),""))</f>
        <v/>
      </c>
      <c r="E365" s="10" t="str">
        <f aca="false">IF($B365="","",IFERROR(INDEX(M_loc,MATCH($B365,M_emp,0)),""))</f>
        <v/>
      </c>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4" t="str">
        <f aca="false">IF($B365="","",COUNTIF($F365:$AJ365,"P"))</f>
        <v/>
      </c>
      <c r="AL365" s="34" t="str">
        <f aca="false">IF($B365="","",COUNTIF($F365:$AJ365,"A"))</f>
        <v/>
      </c>
      <c r="AM365" s="34" t="str">
        <f aca="false">IF($B365="","",COUNTIF($F365:$AJ365,"HA"))</f>
        <v/>
      </c>
      <c r="AN365" s="34" t="str">
        <f aca="false">IF($B365="","",COUNTIF($F365:$AJ365,"L"))</f>
        <v/>
      </c>
      <c r="AO365" s="34" t="str">
        <f aca="false">IF($B365="","",COUNTIF($F365:$AJ365,"PL"))</f>
        <v/>
      </c>
      <c r="AP365" s="34" t="str">
        <f aca="false">IF($B365="","",COUNTIF($F365:$AJ365,"CL"))</f>
        <v/>
      </c>
      <c r="AQ365" s="34" t="str">
        <f aca="false">IF($B365="","",COUNTIF($F365:$AJ365,"SL"))</f>
        <v/>
      </c>
      <c r="AR365" s="34" t="str">
        <f aca="false">IF($B365="","",COUNTIF($F365:$AJ365,"CO"))</f>
        <v/>
      </c>
      <c r="AS365" s="34" t="str">
        <f aca="false">IF($B365="","",COUNTIF($F365:$AJ365,"HPL"))</f>
        <v/>
      </c>
      <c r="AT365" s="34" t="str">
        <f aca="false">IF($B365="","",COUNTIF($F365:$AJ365,"HCL"))</f>
        <v/>
      </c>
      <c r="AU365" s="34" t="str">
        <f aca="false">IF($B365="","",COUNTIF($F365:$AJ365,"WO"))</f>
        <v/>
      </c>
      <c r="AV365" s="34" t="str">
        <f aca="false">IF($B365="","",COUNTIF($F365:$AJ365,"PH"))</f>
        <v/>
      </c>
      <c r="AW365" s="34" t="str">
        <f aca="false">IF($B365="","",COUNTIF($F365:$AJ365,"TR"))</f>
        <v/>
      </c>
      <c r="AX365" s="35" t="str">
        <f aca="false">IF($B365="","",AO365+AS365/2)</f>
        <v/>
      </c>
      <c r="AY365" s="35" t="str">
        <f aca="false">IF($B365="","",AQ365)</f>
        <v/>
      </c>
      <c r="AZ365" s="35" t="str">
        <f aca="false">IF($B365="","",AP365+AT365/2)</f>
        <v/>
      </c>
      <c r="BA365" s="35" t="str">
        <f aca="false">IF($B365="","",AK365+AN365+AM365/2+AO365+AP365+AQ365+AR365+AS365+AT365+AU365+AV365+AW365)</f>
        <v/>
      </c>
      <c r="BB365" s="35" t="str">
        <f aca="false">IF($B365="","",MAX(0,AN365-Settings!$C$16)*Settings!$C$17)</f>
        <v/>
      </c>
      <c r="BC365" s="35" t="str">
        <f aca="false">IF($B365="","",BA365-BB365)</f>
        <v/>
      </c>
      <c r="BD365" s="35" t="str">
        <f aca="false">IF(OR($B365="",$A365=""),"",DAY(EOMONTH($A365,0))-COUNTA($F365:$AJ365))</f>
        <v/>
      </c>
    </row>
    <row r="366" customFormat="false" ht="15" hidden="false" customHeight="false" outlineLevel="0" collapsed="false">
      <c r="A366" s="32"/>
      <c r="B366" s="29"/>
      <c r="C366" s="10" t="str">
        <f aca="false">IF($B366="","",IFERROR(INDEX(M_name,MATCH($B366,M_emp,0)),"Code not found"))</f>
        <v/>
      </c>
      <c r="D366" s="10" t="str">
        <f aca="false">IF($B366="","",IFERROR(INDEX(M_dept,MATCH($B366,M_emp,0)),""))</f>
        <v/>
      </c>
      <c r="E366" s="10" t="str">
        <f aca="false">IF($B366="","",IFERROR(INDEX(M_loc,MATCH($B366,M_emp,0)),""))</f>
        <v/>
      </c>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4" t="str">
        <f aca="false">IF($B366="","",COUNTIF($F366:$AJ366,"P"))</f>
        <v/>
      </c>
      <c r="AL366" s="34" t="str">
        <f aca="false">IF($B366="","",COUNTIF($F366:$AJ366,"A"))</f>
        <v/>
      </c>
      <c r="AM366" s="34" t="str">
        <f aca="false">IF($B366="","",COUNTIF($F366:$AJ366,"HA"))</f>
        <v/>
      </c>
      <c r="AN366" s="34" t="str">
        <f aca="false">IF($B366="","",COUNTIF($F366:$AJ366,"L"))</f>
        <v/>
      </c>
      <c r="AO366" s="34" t="str">
        <f aca="false">IF($B366="","",COUNTIF($F366:$AJ366,"PL"))</f>
        <v/>
      </c>
      <c r="AP366" s="34" t="str">
        <f aca="false">IF($B366="","",COUNTIF($F366:$AJ366,"CL"))</f>
        <v/>
      </c>
      <c r="AQ366" s="34" t="str">
        <f aca="false">IF($B366="","",COUNTIF($F366:$AJ366,"SL"))</f>
        <v/>
      </c>
      <c r="AR366" s="34" t="str">
        <f aca="false">IF($B366="","",COUNTIF($F366:$AJ366,"CO"))</f>
        <v/>
      </c>
      <c r="AS366" s="34" t="str">
        <f aca="false">IF($B366="","",COUNTIF($F366:$AJ366,"HPL"))</f>
        <v/>
      </c>
      <c r="AT366" s="34" t="str">
        <f aca="false">IF($B366="","",COUNTIF($F366:$AJ366,"HCL"))</f>
        <v/>
      </c>
      <c r="AU366" s="34" t="str">
        <f aca="false">IF($B366="","",COUNTIF($F366:$AJ366,"WO"))</f>
        <v/>
      </c>
      <c r="AV366" s="34" t="str">
        <f aca="false">IF($B366="","",COUNTIF($F366:$AJ366,"PH"))</f>
        <v/>
      </c>
      <c r="AW366" s="34" t="str">
        <f aca="false">IF($B366="","",COUNTIF($F366:$AJ366,"TR"))</f>
        <v/>
      </c>
      <c r="AX366" s="35" t="str">
        <f aca="false">IF($B366="","",AO366+AS366/2)</f>
        <v/>
      </c>
      <c r="AY366" s="35" t="str">
        <f aca="false">IF($B366="","",AQ366)</f>
        <v/>
      </c>
      <c r="AZ366" s="35" t="str">
        <f aca="false">IF($B366="","",AP366+AT366/2)</f>
        <v/>
      </c>
      <c r="BA366" s="35" t="str">
        <f aca="false">IF($B366="","",AK366+AN366+AM366/2+AO366+AP366+AQ366+AR366+AS366+AT366+AU366+AV366+AW366)</f>
        <v/>
      </c>
      <c r="BB366" s="35" t="str">
        <f aca="false">IF($B366="","",MAX(0,AN366-Settings!$C$16)*Settings!$C$17)</f>
        <v/>
      </c>
      <c r="BC366" s="35" t="str">
        <f aca="false">IF($B366="","",BA366-BB366)</f>
        <v/>
      </c>
      <c r="BD366" s="35" t="str">
        <f aca="false">IF(OR($B366="",$A366=""),"",DAY(EOMONTH($A366,0))-COUNTA($F366:$AJ366))</f>
        <v/>
      </c>
    </row>
    <row r="367" customFormat="false" ht="15" hidden="false" customHeight="false" outlineLevel="0" collapsed="false">
      <c r="A367" s="32"/>
      <c r="B367" s="29"/>
      <c r="C367" s="10" t="str">
        <f aca="false">IF($B367="","",IFERROR(INDEX(M_name,MATCH($B367,M_emp,0)),"Code not found"))</f>
        <v/>
      </c>
      <c r="D367" s="10" t="str">
        <f aca="false">IF($B367="","",IFERROR(INDEX(M_dept,MATCH($B367,M_emp,0)),""))</f>
        <v/>
      </c>
      <c r="E367" s="10" t="str">
        <f aca="false">IF($B367="","",IFERROR(INDEX(M_loc,MATCH($B367,M_emp,0)),""))</f>
        <v/>
      </c>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4" t="str">
        <f aca="false">IF($B367="","",COUNTIF($F367:$AJ367,"P"))</f>
        <v/>
      </c>
      <c r="AL367" s="34" t="str">
        <f aca="false">IF($B367="","",COUNTIF($F367:$AJ367,"A"))</f>
        <v/>
      </c>
      <c r="AM367" s="34" t="str">
        <f aca="false">IF($B367="","",COUNTIF($F367:$AJ367,"HA"))</f>
        <v/>
      </c>
      <c r="AN367" s="34" t="str">
        <f aca="false">IF($B367="","",COUNTIF($F367:$AJ367,"L"))</f>
        <v/>
      </c>
      <c r="AO367" s="34" t="str">
        <f aca="false">IF($B367="","",COUNTIF($F367:$AJ367,"PL"))</f>
        <v/>
      </c>
      <c r="AP367" s="34" t="str">
        <f aca="false">IF($B367="","",COUNTIF($F367:$AJ367,"CL"))</f>
        <v/>
      </c>
      <c r="AQ367" s="34" t="str">
        <f aca="false">IF($B367="","",COUNTIF($F367:$AJ367,"SL"))</f>
        <v/>
      </c>
      <c r="AR367" s="34" t="str">
        <f aca="false">IF($B367="","",COUNTIF($F367:$AJ367,"CO"))</f>
        <v/>
      </c>
      <c r="AS367" s="34" t="str">
        <f aca="false">IF($B367="","",COUNTIF($F367:$AJ367,"HPL"))</f>
        <v/>
      </c>
      <c r="AT367" s="34" t="str">
        <f aca="false">IF($B367="","",COUNTIF($F367:$AJ367,"HCL"))</f>
        <v/>
      </c>
      <c r="AU367" s="34" t="str">
        <f aca="false">IF($B367="","",COUNTIF($F367:$AJ367,"WO"))</f>
        <v/>
      </c>
      <c r="AV367" s="34" t="str">
        <f aca="false">IF($B367="","",COUNTIF($F367:$AJ367,"PH"))</f>
        <v/>
      </c>
      <c r="AW367" s="34" t="str">
        <f aca="false">IF($B367="","",COUNTIF($F367:$AJ367,"TR"))</f>
        <v/>
      </c>
      <c r="AX367" s="35" t="str">
        <f aca="false">IF($B367="","",AO367+AS367/2)</f>
        <v/>
      </c>
      <c r="AY367" s="35" t="str">
        <f aca="false">IF($B367="","",AQ367)</f>
        <v/>
      </c>
      <c r="AZ367" s="35" t="str">
        <f aca="false">IF($B367="","",AP367+AT367/2)</f>
        <v/>
      </c>
      <c r="BA367" s="35" t="str">
        <f aca="false">IF($B367="","",AK367+AN367+AM367/2+AO367+AP367+AQ367+AR367+AS367+AT367+AU367+AV367+AW367)</f>
        <v/>
      </c>
      <c r="BB367" s="35" t="str">
        <f aca="false">IF($B367="","",MAX(0,AN367-Settings!$C$16)*Settings!$C$17)</f>
        <v/>
      </c>
      <c r="BC367" s="35" t="str">
        <f aca="false">IF($B367="","",BA367-BB367)</f>
        <v/>
      </c>
      <c r="BD367" s="35" t="str">
        <f aca="false">IF(OR($B367="",$A367=""),"",DAY(EOMONTH($A367,0))-COUNTA($F367:$AJ367))</f>
        <v/>
      </c>
    </row>
    <row r="368" customFormat="false" ht="15" hidden="false" customHeight="false" outlineLevel="0" collapsed="false">
      <c r="A368" s="32"/>
      <c r="B368" s="29"/>
      <c r="C368" s="10" t="str">
        <f aca="false">IF($B368="","",IFERROR(INDEX(M_name,MATCH($B368,M_emp,0)),"Code not found"))</f>
        <v/>
      </c>
      <c r="D368" s="10" t="str">
        <f aca="false">IF($B368="","",IFERROR(INDEX(M_dept,MATCH($B368,M_emp,0)),""))</f>
        <v/>
      </c>
      <c r="E368" s="10" t="str">
        <f aca="false">IF($B368="","",IFERROR(INDEX(M_loc,MATCH($B368,M_emp,0)),""))</f>
        <v/>
      </c>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4" t="str">
        <f aca="false">IF($B368="","",COUNTIF($F368:$AJ368,"P"))</f>
        <v/>
      </c>
      <c r="AL368" s="34" t="str">
        <f aca="false">IF($B368="","",COUNTIF($F368:$AJ368,"A"))</f>
        <v/>
      </c>
      <c r="AM368" s="34" t="str">
        <f aca="false">IF($B368="","",COUNTIF($F368:$AJ368,"HA"))</f>
        <v/>
      </c>
      <c r="AN368" s="34" t="str">
        <f aca="false">IF($B368="","",COUNTIF($F368:$AJ368,"L"))</f>
        <v/>
      </c>
      <c r="AO368" s="34" t="str">
        <f aca="false">IF($B368="","",COUNTIF($F368:$AJ368,"PL"))</f>
        <v/>
      </c>
      <c r="AP368" s="34" t="str">
        <f aca="false">IF($B368="","",COUNTIF($F368:$AJ368,"CL"))</f>
        <v/>
      </c>
      <c r="AQ368" s="34" t="str">
        <f aca="false">IF($B368="","",COUNTIF($F368:$AJ368,"SL"))</f>
        <v/>
      </c>
      <c r="AR368" s="34" t="str">
        <f aca="false">IF($B368="","",COUNTIF($F368:$AJ368,"CO"))</f>
        <v/>
      </c>
      <c r="AS368" s="34" t="str">
        <f aca="false">IF($B368="","",COUNTIF($F368:$AJ368,"HPL"))</f>
        <v/>
      </c>
      <c r="AT368" s="34" t="str">
        <f aca="false">IF($B368="","",COUNTIF($F368:$AJ368,"HCL"))</f>
        <v/>
      </c>
      <c r="AU368" s="34" t="str">
        <f aca="false">IF($B368="","",COUNTIF($F368:$AJ368,"WO"))</f>
        <v/>
      </c>
      <c r="AV368" s="34" t="str">
        <f aca="false">IF($B368="","",COUNTIF($F368:$AJ368,"PH"))</f>
        <v/>
      </c>
      <c r="AW368" s="34" t="str">
        <f aca="false">IF($B368="","",COUNTIF($F368:$AJ368,"TR"))</f>
        <v/>
      </c>
      <c r="AX368" s="35" t="str">
        <f aca="false">IF($B368="","",AO368+AS368/2)</f>
        <v/>
      </c>
      <c r="AY368" s="35" t="str">
        <f aca="false">IF($B368="","",AQ368)</f>
        <v/>
      </c>
      <c r="AZ368" s="35" t="str">
        <f aca="false">IF($B368="","",AP368+AT368/2)</f>
        <v/>
      </c>
      <c r="BA368" s="35" t="str">
        <f aca="false">IF($B368="","",AK368+AN368+AM368/2+AO368+AP368+AQ368+AR368+AS368+AT368+AU368+AV368+AW368)</f>
        <v/>
      </c>
      <c r="BB368" s="35" t="str">
        <f aca="false">IF($B368="","",MAX(0,AN368-Settings!$C$16)*Settings!$C$17)</f>
        <v/>
      </c>
      <c r="BC368" s="35" t="str">
        <f aca="false">IF($B368="","",BA368-BB368)</f>
        <v/>
      </c>
      <c r="BD368" s="35" t="str">
        <f aca="false">IF(OR($B368="",$A368=""),"",DAY(EOMONTH($A368,0))-COUNTA($F368:$AJ368))</f>
        <v/>
      </c>
    </row>
    <row r="369" customFormat="false" ht="15" hidden="false" customHeight="false" outlineLevel="0" collapsed="false">
      <c r="A369" s="32"/>
      <c r="B369" s="29"/>
      <c r="C369" s="10" t="str">
        <f aca="false">IF($B369="","",IFERROR(INDEX(M_name,MATCH($B369,M_emp,0)),"Code not found"))</f>
        <v/>
      </c>
      <c r="D369" s="10" t="str">
        <f aca="false">IF($B369="","",IFERROR(INDEX(M_dept,MATCH($B369,M_emp,0)),""))</f>
        <v/>
      </c>
      <c r="E369" s="10" t="str">
        <f aca="false">IF($B369="","",IFERROR(INDEX(M_loc,MATCH($B369,M_emp,0)),""))</f>
        <v/>
      </c>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4" t="str">
        <f aca="false">IF($B369="","",COUNTIF($F369:$AJ369,"P"))</f>
        <v/>
      </c>
      <c r="AL369" s="34" t="str">
        <f aca="false">IF($B369="","",COUNTIF($F369:$AJ369,"A"))</f>
        <v/>
      </c>
      <c r="AM369" s="34" t="str">
        <f aca="false">IF($B369="","",COUNTIF($F369:$AJ369,"HA"))</f>
        <v/>
      </c>
      <c r="AN369" s="34" t="str">
        <f aca="false">IF($B369="","",COUNTIF($F369:$AJ369,"L"))</f>
        <v/>
      </c>
      <c r="AO369" s="34" t="str">
        <f aca="false">IF($B369="","",COUNTIF($F369:$AJ369,"PL"))</f>
        <v/>
      </c>
      <c r="AP369" s="34" t="str">
        <f aca="false">IF($B369="","",COUNTIF($F369:$AJ369,"CL"))</f>
        <v/>
      </c>
      <c r="AQ369" s="34" t="str">
        <f aca="false">IF($B369="","",COUNTIF($F369:$AJ369,"SL"))</f>
        <v/>
      </c>
      <c r="AR369" s="34" t="str">
        <f aca="false">IF($B369="","",COUNTIF($F369:$AJ369,"CO"))</f>
        <v/>
      </c>
      <c r="AS369" s="34" t="str">
        <f aca="false">IF($B369="","",COUNTIF($F369:$AJ369,"HPL"))</f>
        <v/>
      </c>
      <c r="AT369" s="34" t="str">
        <f aca="false">IF($B369="","",COUNTIF($F369:$AJ369,"HCL"))</f>
        <v/>
      </c>
      <c r="AU369" s="34" t="str">
        <f aca="false">IF($B369="","",COUNTIF($F369:$AJ369,"WO"))</f>
        <v/>
      </c>
      <c r="AV369" s="34" t="str">
        <f aca="false">IF($B369="","",COUNTIF($F369:$AJ369,"PH"))</f>
        <v/>
      </c>
      <c r="AW369" s="34" t="str">
        <f aca="false">IF($B369="","",COUNTIF($F369:$AJ369,"TR"))</f>
        <v/>
      </c>
      <c r="AX369" s="35" t="str">
        <f aca="false">IF($B369="","",AO369+AS369/2)</f>
        <v/>
      </c>
      <c r="AY369" s="35" t="str">
        <f aca="false">IF($B369="","",AQ369)</f>
        <v/>
      </c>
      <c r="AZ369" s="35" t="str">
        <f aca="false">IF($B369="","",AP369+AT369/2)</f>
        <v/>
      </c>
      <c r="BA369" s="35" t="str">
        <f aca="false">IF($B369="","",AK369+AN369+AM369/2+AO369+AP369+AQ369+AR369+AS369+AT369+AU369+AV369+AW369)</f>
        <v/>
      </c>
      <c r="BB369" s="35" t="str">
        <f aca="false">IF($B369="","",MAX(0,AN369-Settings!$C$16)*Settings!$C$17)</f>
        <v/>
      </c>
      <c r="BC369" s="35" t="str">
        <f aca="false">IF($B369="","",BA369-BB369)</f>
        <v/>
      </c>
      <c r="BD369" s="35" t="str">
        <f aca="false">IF(OR($B369="",$A369=""),"",DAY(EOMONTH($A369,0))-COUNTA($F369:$AJ369))</f>
        <v/>
      </c>
    </row>
    <row r="370" customFormat="false" ht="15" hidden="false" customHeight="false" outlineLevel="0" collapsed="false">
      <c r="A370" s="32"/>
      <c r="B370" s="29"/>
      <c r="C370" s="10" t="str">
        <f aca="false">IF($B370="","",IFERROR(INDEX(M_name,MATCH($B370,M_emp,0)),"Code not found"))</f>
        <v/>
      </c>
      <c r="D370" s="10" t="str">
        <f aca="false">IF($B370="","",IFERROR(INDEX(M_dept,MATCH($B370,M_emp,0)),""))</f>
        <v/>
      </c>
      <c r="E370" s="10" t="str">
        <f aca="false">IF($B370="","",IFERROR(INDEX(M_loc,MATCH($B370,M_emp,0)),""))</f>
        <v/>
      </c>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4" t="str">
        <f aca="false">IF($B370="","",COUNTIF($F370:$AJ370,"P"))</f>
        <v/>
      </c>
      <c r="AL370" s="34" t="str">
        <f aca="false">IF($B370="","",COUNTIF($F370:$AJ370,"A"))</f>
        <v/>
      </c>
      <c r="AM370" s="34" t="str">
        <f aca="false">IF($B370="","",COUNTIF($F370:$AJ370,"HA"))</f>
        <v/>
      </c>
      <c r="AN370" s="34" t="str">
        <f aca="false">IF($B370="","",COUNTIF($F370:$AJ370,"L"))</f>
        <v/>
      </c>
      <c r="AO370" s="34" t="str">
        <f aca="false">IF($B370="","",COUNTIF($F370:$AJ370,"PL"))</f>
        <v/>
      </c>
      <c r="AP370" s="34" t="str">
        <f aca="false">IF($B370="","",COUNTIF($F370:$AJ370,"CL"))</f>
        <v/>
      </c>
      <c r="AQ370" s="34" t="str">
        <f aca="false">IF($B370="","",COUNTIF($F370:$AJ370,"SL"))</f>
        <v/>
      </c>
      <c r="AR370" s="34" t="str">
        <f aca="false">IF($B370="","",COUNTIF($F370:$AJ370,"CO"))</f>
        <v/>
      </c>
      <c r="AS370" s="34" t="str">
        <f aca="false">IF($B370="","",COUNTIF($F370:$AJ370,"HPL"))</f>
        <v/>
      </c>
      <c r="AT370" s="34" t="str">
        <f aca="false">IF($B370="","",COUNTIF($F370:$AJ370,"HCL"))</f>
        <v/>
      </c>
      <c r="AU370" s="34" t="str">
        <f aca="false">IF($B370="","",COUNTIF($F370:$AJ370,"WO"))</f>
        <v/>
      </c>
      <c r="AV370" s="34" t="str">
        <f aca="false">IF($B370="","",COUNTIF($F370:$AJ370,"PH"))</f>
        <v/>
      </c>
      <c r="AW370" s="34" t="str">
        <f aca="false">IF($B370="","",COUNTIF($F370:$AJ370,"TR"))</f>
        <v/>
      </c>
      <c r="AX370" s="35" t="str">
        <f aca="false">IF($B370="","",AO370+AS370/2)</f>
        <v/>
      </c>
      <c r="AY370" s="35" t="str">
        <f aca="false">IF($B370="","",AQ370)</f>
        <v/>
      </c>
      <c r="AZ370" s="35" t="str">
        <f aca="false">IF($B370="","",AP370+AT370/2)</f>
        <v/>
      </c>
      <c r="BA370" s="35" t="str">
        <f aca="false">IF($B370="","",AK370+AN370+AM370/2+AO370+AP370+AQ370+AR370+AS370+AT370+AU370+AV370+AW370)</f>
        <v/>
      </c>
      <c r="BB370" s="35" t="str">
        <f aca="false">IF($B370="","",MAX(0,AN370-Settings!$C$16)*Settings!$C$17)</f>
        <v/>
      </c>
      <c r="BC370" s="35" t="str">
        <f aca="false">IF($B370="","",BA370-BB370)</f>
        <v/>
      </c>
      <c r="BD370" s="35" t="str">
        <f aca="false">IF(OR($B370="",$A370=""),"",DAY(EOMONTH($A370,0))-COUNTA($F370:$AJ370))</f>
        <v/>
      </c>
    </row>
    <row r="371" customFormat="false" ht="15" hidden="false" customHeight="false" outlineLevel="0" collapsed="false">
      <c r="A371" s="32"/>
      <c r="B371" s="29"/>
      <c r="C371" s="10" t="str">
        <f aca="false">IF($B371="","",IFERROR(INDEX(M_name,MATCH($B371,M_emp,0)),"Code not found"))</f>
        <v/>
      </c>
      <c r="D371" s="10" t="str">
        <f aca="false">IF($B371="","",IFERROR(INDEX(M_dept,MATCH($B371,M_emp,0)),""))</f>
        <v/>
      </c>
      <c r="E371" s="10" t="str">
        <f aca="false">IF($B371="","",IFERROR(INDEX(M_loc,MATCH($B371,M_emp,0)),""))</f>
        <v/>
      </c>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4" t="str">
        <f aca="false">IF($B371="","",COUNTIF($F371:$AJ371,"P"))</f>
        <v/>
      </c>
      <c r="AL371" s="34" t="str">
        <f aca="false">IF($B371="","",COUNTIF($F371:$AJ371,"A"))</f>
        <v/>
      </c>
      <c r="AM371" s="34" t="str">
        <f aca="false">IF($B371="","",COUNTIF($F371:$AJ371,"HA"))</f>
        <v/>
      </c>
      <c r="AN371" s="34" t="str">
        <f aca="false">IF($B371="","",COUNTIF($F371:$AJ371,"L"))</f>
        <v/>
      </c>
      <c r="AO371" s="34" t="str">
        <f aca="false">IF($B371="","",COUNTIF($F371:$AJ371,"PL"))</f>
        <v/>
      </c>
      <c r="AP371" s="34" t="str">
        <f aca="false">IF($B371="","",COUNTIF($F371:$AJ371,"CL"))</f>
        <v/>
      </c>
      <c r="AQ371" s="34" t="str">
        <f aca="false">IF($B371="","",COUNTIF($F371:$AJ371,"SL"))</f>
        <v/>
      </c>
      <c r="AR371" s="34" t="str">
        <f aca="false">IF($B371="","",COUNTIF($F371:$AJ371,"CO"))</f>
        <v/>
      </c>
      <c r="AS371" s="34" t="str">
        <f aca="false">IF($B371="","",COUNTIF($F371:$AJ371,"HPL"))</f>
        <v/>
      </c>
      <c r="AT371" s="34" t="str">
        <f aca="false">IF($B371="","",COUNTIF($F371:$AJ371,"HCL"))</f>
        <v/>
      </c>
      <c r="AU371" s="34" t="str">
        <f aca="false">IF($B371="","",COUNTIF($F371:$AJ371,"WO"))</f>
        <v/>
      </c>
      <c r="AV371" s="34" t="str">
        <f aca="false">IF($B371="","",COUNTIF($F371:$AJ371,"PH"))</f>
        <v/>
      </c>
      <c r="AW371" s="34" t="str">
        <f aca="false">IF($B371="","",COUNTIF($F371:$AJ371,"TR"))</f>
        <v/>
      </c>
      <c r="AX371" s="35" t="str">
        <f aca="false">IF($B371="","",AO371+AS371/2)</f>
        <v/>
      </c>
      <c r="AY371" s="35" t="str">
        <f aca="false">IF($B371="","",AQ371)</f>
        <v/>
      </c>
      <c r="AZ371" s="35" t="str">
        <f aca="false">IF($B371="","",AP371+AT371/2)</f>
        <v/>
      </c>
      <c r="BA371" s="35" t="str">
        <f aca="false">IF($B371="","",AK371+AN371+AM371/2+AO371+AP371+AQ371+AR371+AS371+AT371+AU371+AV371+AW371)</f>
        <v/>
      </c>
      <c r="BB371" s="35" t="str">
        <f aca="false">IF($B371="","",MAX(0,AN371-Settings!$C$16)*Settings!$C$17)</f>
        <v/>
      </c>
      <c r="BC371" s="35" t="str">
        <f aca="false">IF($B371="","",BA371-BB371)</f>
        <v/>
      </c>
      <c r="BD371" s="35" t="str">
        <f aca="false">IF(OR($B371="",$A371=""),"",DAY(EOMONTH($A371,0))-COUNTA($F371:$AJ371))</f>
        <v/>
      </c>
    </row>
    <row r="372" customFormat="false" ht="15" hidden="false" customHeight="false" outlineLevel="0" collapsed="false">
      <c r="A372" s="32"/>
      <c r="B372" s="29"/>
      <c r="C372" s="10" t="str">
        <f aca="false">IF($B372="","",IFERROR(INDEX(M_name,MATCH($B372,M_emp,0)),"Code not found"))</f>
        <v/>
      </c>
      <c r="D372" s="10" t="str">
        <f aca="false">IF($B372="","",IFERROR(INDEX(M_dept,MATCH($B372,M_emp,0)),""))</f>
        <v/>
      </c>
      <c r="E372" s="10" t="str">
        <f aca="false">IF($B372="","",IFERROR(INDEX(M_loc,MATCH($B372,M_emp,0)),""))</f>
        <v/>
      </c>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4" t="str">
        <f aca="false">IF($B372="","",COUNTIF($F372:$AJ372,"P"))</f>
        <v/>
      </c>
      <c r="AL372" s="34" t="str">
        <f aca="false">IF($B372="","",COUNTIF($F372:$AJ372,"A"))</f>
        <v/>
      </c>
      <c r="AM372" s="34" t="str">
        <f aca="false">IF($B372="","",COUNTIF($F372:$AJ372,"HA"))</f>
        <v/>
      </c>
      <c r="AN372" s="34" t="str">
        <f aca="false">IF($B372="","",COUNTIF($F372:$AJ372,"L"))</f>
        <v/>
      </c>
      <c r="AO372" s="34" t="str">
        <f aca="false">IF($B372="","",COUNTIF($F372:$AJ372,"PL"))</f>
        <v/>
      </c>
      <c r="AP372" s="34" t="str">
        <f aca="false">IF($B372="","",COUNTIF($F372:$AJ372,"CL"))</f>
        <v/>
      </c>
      <c r="AQ372" s="34" t="str">
        <f aca="false">IF($B372="","",COUNTIF($F372:$AJ372,"SL"))</f>
        <v/>
      </c>
      <c r="AR372" s="34" t="str">
        <f aca="false">IF($B372="","",COUNTIF($F372:$AJ372,"CO"))</f>
        <v/>
      </c>
      <c r="AS372" s="34" t="str">
        <f aca="false">IF($B372="","",COUNTIF($F372:$AJ372,"HPL"))</f>
        <v/>
      </c>
      <c r="AT372" s="34" t="str">
        <f aca="false">IF($B372="","",COUNTIF($F372:$AJ372,"HCL"))</f>
        <v/>
      </c>
      <c r="AU372" s="34" t="str">
        <f aca="false">IF($B372="","",COUNTIF($F372:$AJ372,"WO"))</f>
        <v/>
      </c>
      <c r="AV372" s="34" t="str">
        <f aca="false">IF($B372="","",COUNTIF($F372:$AJ372,"PH"))</f>
        <v/>
      </c>
      <c r="AW372" s="34" t="str">
        <f aca="false">IF($B372="","",COUNTIF($F372:$AJ372,"TR"))</f>
        <v/>
      </c>
      <c r="AX372" s="35" t="str">
        <f aca="false">IF($B372="","",AO372+AS372/2)</f>
        <v/>
      </c>
      <c r="AY372" s="35" t="str">
        <f aca="false">IF($B372="","",AQ372)</f>
        <v/>
      </c>
      <c r="AZ372" s="35" t="str">
        <f aca="false">IF($B372="","",AP372+AT372/2)</f>
        <v/>
      </c>
      <c r="BA372" s="35" t="str">
        <f aca="false">IF($B372="","",AK372+AN372+AM372/2+AO372+AP372+AQ372+AR372+AS372+AT372+AU372+AV372+AW372)</f>
        <v/>
      </c>
      <c r="BB372" s="35" t="str">
        <f aca="false">IF($B372="","",MAX(0,AN372-Settings!$C$16)*Settings!$C$17)</f>
        <v/>
      </c>
      <c r="BC372" s="35" t="str">
        <f aca="false">IF($B372="","",BA372-BB372)</f>
        <v/>
      </c>
      <c r="BD372" s="35" t="str">
        <f aca="false">IF(OR($B372="",$A372=""),"",DAY(EOMONTH($A372,0))-COUNTA($F372:$AJ372))</f>
        <v/>
      </c>
    </row>
    <row r="373" customFormat="false" ht="15" hidden="false" customHeight="false" outlineLevel="0" collapsed="false">
      <c r="A373" s="32"/>
      <c r="B373" s="29"/>
      <c r="C373" s="10" t="str">
        <f aca="false">IF($B373="","",IFERROR(INDEX(M_name,MATCH($B373,M_emp,0)),"Code not found"))</f>
        <v/>
      </c>
      <c r="D373" s="10" t="str">
        <f aca="false">IF($B373="","",IFERROR(INDEX(M_dept,MATCH($B373,M_emp,0)),""))</f>
        <v/>
      </c>
      <c r="E373" s="10" t="str">
        <f aca="false">IF($B373="","",IFERROR(INDEX(M_loc,MATCH($B373,M_emp,0)),""))</f>
        <v/>
      </c>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4" t="str">
        <f aca="false">IF($B373="","",COUNTIF($F373:$AJ373,"P"))</f>
        <v/>
      </c>
      <c r="AL373" s="34" t="str">
        <f aca="false">IF($B373="","",COUNTIF($F373:$AJ373,"A"))</f>
        <v/>
      </c>
      <c r="AM373" s="34" t="str">
        <f aca="false">IF($B373="","",COUNTIF($F373:$AJ373,"HA"))</f>
        <v/>
      </c>
      <c r="AN373" s="34" t="str">
        <f aca="false">IF($B373="","",COUNTIF($F373:$AJ373,"L"))</f>
        <v/>
      </c>
      <c r="AO373" s="34" t="str">
        <f aca="false">IF($B373="","",COUNTIF($F373:$AJ373,"PL"))</f>
        <v/>
      </c>
      <c r="AP373" s="34" t="str">
        <f aca="false">IF($B373="","",COUNTIF($F373:$AJ373,"CL"))</f>
        <v/>
      </c>
      <c r="AQ373" s="34" t="str">
        <f aca="false">IF($B373="","",COUNTIF($F373:$AJ373,"SL"))</f>
        <v/>
      </c>
      <c r="AR373" s="34" t="str">
        <f aca="false">IF($B373="","",COUNTIF($F373:$AJ373,"CO"))</f>
        <v/>
      </c>
      <c r="AS373" s="34" t="str">
        <f aca="false">IF($B373="","",COUNTIF($F373:$AJ373,"HPL"))</f>
        <v/>
      </c>
      <c r="AT373" s="34" t="str">
        <f aca="false">IF($B373="","",COUNTIF($F373:$AJ373,"HCL"))</f>
        <v/>
      </c>
      <c r="AU373" s="34" t="str">
        <f aca="false">IF($B373="","",COUNTIF($F373:$AJ373,"WO"))</f>
        <v/>
      </c>
      <c r="AV373" s="34" t="str">
        <f aca="false">IF($B373="","",COUNTIF($F373:$AJ373,"PH"))</f>
        <v/>
      </c>
      <c r="AW373" s="34" t="str">
        <f aca="false">IF($B373="","",COUNTIF($F373:$AJ373,"TR"))</f>
        <v/>
      </c>
      <c r="AX373" s="35" t="str">
        <f aca="false">IF($B373="","",AO373+AS373/2)</f>
        <v/>
      </c>
      <c r="AY373" s="35" t="str">
        <f aca="false">IF($B373="","",AQ373)</f>
        <v/>
      </c>
      <c r="AZ373" s="35" t="str">
        <f aca="false">IF($B373="","",AP373+AT373/2)</f>
        <v/>
      </c>
      <c r="BA373" s="35" t="str">
        <f aca="false">IF($B373="","",AK373+AN373+AM373/2+AO373+AP373+AQ373+AR373+AS373+AT373+AU373+AV373+AW373)</f>
        <v/>
      </c>
      <c r="BB373" s="35" t="str">
        <f aca="false">IF($B373="","",MAX(0,AN373-Settings!$C$16)*Settings!$C$17)</f>
        <v/>
      </c>
      <c r="BC373" s="35" t="str">
        <f aca="false">IF($B373="","",BA373-BB373)</f>
        <v/>
      </c>
      <c r="BD373" s="35" t="str">
        <f aca="false">IF(OR($B373="",$A373=""),"",DAY(EOMONTH($A373,0))-COUNTA($F373:$AJ373))</f>
        <v/>
      </c>
    </row>
    <row r="374" customFormat="false" ht="15" hidden="false" customHeight="false" outlineLevel="0" collapsed="false">
      <c r="A374" s="32"/>
      <c r="B374" s="29"/>
      <c r="C374" s="10" t="str">
        <f aca="false">IF($B374="","",IFERROR(INDEX(M_name,MATCH($B374,M_emp,0)),"Code not found"))</f>
        <v/>
      </c>
      <c r="D374" s="10" t="str">
        <f aca="false">IF($B374="","",IFERROR(INDEX(M_dept,MATCH($B374,M_emp,0)),""))</f>
        <v/>
      </c>
      <c r="E374" s="10" t="str">
        <f aca="false">IF($B374="","",IFERROR(INDEX(M_loc,MATCH($B374,M_emp,0)),""))</f>
        <v/>
      </c>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4" t="str">
        <f aca="false">IF($B374="","",COUNTIF($F374:$AJ374,"P"))</f>
        <v/>
      </c>
      <c r="AL374" s="34" t="str">
        <f aca="false">IF($B374="","",COUNTIF($F374:$AJ374,"A"))</f>
        <v/>
      </c>
      <c r="AM374" s="34" t="str">
        <f aca="false">IF($B374="","",COUNTIF($F374:$AJ374,"HA"))</f>
        <v/>
      </c>
      <c r="AN374" s="34" t="str">
        <f aca="false">IF($B374="","",COUNTIF($F374:$AJ374,"L"))</f>
        <v/>
      </c>
      <c r="AO374" s="34" t="str">
        <f aca="false">IF($B374="","",COUNTIF($F374:$AJ374,"PL"))</f>
        <v/>
      </c>
      <c r="AP374" s="34" t="str">
        <f aca="false">IF($B374="","",COUNTIF($F374:$AJ374,"CL"))</f>
        <v/>
      </c>
      <c r="AQ374" s="34" t="str">
        <f aca="false">IF($B374="","",COUNTIF($F374:$AJ374,"SL"))</f>
        <v/>
      </c>
      <c r="AR374" s="34" t="str">
        <f aca="false">IF($B374="","",COUNTIF($F374:$AJ374,"CO"))</f>
        <v/>
      </c>
      <c r="AS374" s="34" t="str">
        <f aca="false">IF($B374="","",COUNTIF($F374:$AJ374,"HPL"))</f>
        <v/>
      </c>
      <c r="AT374" s="34" t="str">
        <f aca="false">IF($B374="","",COUNTIF($F374:$AJ374,"HCL"))</f>
        <v/>
      </c>
      <c r="AU374" s="34" t="str">
        <f aca="false">IF($B374="","",COUNTIF($F374:$AJ374,"WO"))</f>
        <v/>
      </c>
      <c r="AV374" s="34" t="str">
        <f aca="false">IF($B374="","",COUNTIF($F374:$AJ374,"PH"))</f>
        <v/>
      </c>
      <c r="AW374" s="34" t="str">
        <f aca="false">IF($B374="","",COUNTIF($F374:$AJ374,"TR"))</f>
        <v/>
      </c>
      <c r="AX374" s="35" t="str">
        <f aca="false">IF($B374="","",AO374+AS374/2)</f>
        <v/>
      </c>
      <c r="AY374" s="35" t="str">
        <f aca="false">IF($B374="","",AQ374)</f>
        <v/>
      </c>
      <c r="AZ374" s="35" t="str">
        <f aca="false">IF($B374="","",AP374+AT374/2)</f>
        <v/>
      </c>
      <c r="BA374" s="35" t="str">
        <f aca="false">IF($B374="","",AK374+AN374+AM374/2+AO374+AP374+AQ374+AR374+AS374+AT374+AU374+AV374+AW374)</f>
        <v/>
      </c>
      <c r="BB374" s="35" t="str">
        <f aca="false">IF($B374="","",MAX(0,AN374-Settings!$C$16)*Settings!$C$17)</f>
        <v/>
      </c>
      <c r="BC374" s="35" t="str">
        <f aca="false">IF($B374="","",BA374-BB374)</f>
        <v/>
      </c>
      <c r="BD374" s="35" t="str">
        <f aca="false">IF(OR($B374="",$A374=""),"",DAY(EOMONTH($A374,0))-COUNTA($F374:$AJ374))</f>
        <v/>
      </c>
    </row>
    <row r="375" customFormat="false" ht="15" hidden="false" customHeight="false" outlineLevel="0" collapsed="false">
      <c r="A375" s="32"/>
      <c r="B375" s="29"/>
      <c r="C375" s="10" t="str">
        <f aca="false">IF($B375="","",IFERROR(INDEX(M_name,MATCH($B375,M_emp,0)),"Code not found"))</f>
        <v/>
      </c>
      <c r="D375" s="10" t="str">
        <f aca="false">IF($B375="","",IFERROR(INDEX(M_dept,MATCH($B375,M_emp,0)),""))</f>
        <v/>
      </c>
      <c r="E375" s="10" t="str">
        <f aca="false">IF($B375="","",IFERROR(INDEX(M_loc,MATCH($B375,M_emp,0)),""))</f>
        <v/>
      </c>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4" t="str">
        <f aca="false">IF($B375="","",COUNTIF($F375:$AJ375,"P"))</f>
        <v/>
      </c>
      <c r="AL375" s="34" t="str">
        <f aca="false">IF($B375="","",COUNTIF($F375:$AJ375,"A"))</f>
        <v/>
      </c>
      <c r="AM375" s="34" t="str">
        <f aca="false">IF($B375="","",COUNTIF($F375:$AJ375,"HA"))</f>
        <v/>
      </c>
      <c r="AN375" s="34" t="str">
        <f aca="false">IF($B375="","",COUNTIF($F375:$AJ375,"L"))</f>
        <v/>
      </c>
      <c r="AO375" s="34" t="str">
        <f aca="false">IF($B375="","",COUNTIF($F375:$AJ375,"PL"))</f>
        <v/>
      </c>
      <c r="AP375" s="34" t="str">
        <f aca="false">IF($B375="","",COUNTIF($F375:$AJ375,"CL"))</f>
        <v/>
      </c>
      <c r="AQ375" s="34" t="str">
        <f aca="false">IF($B375="","",COUNTIF($F375:$AJ375,"SL"))</f>
        <v/>
      </c>
      <c r="AR375" s="34" t="str">
        <f aca="false">IF($B375="","",COUNTIF($F375:$AJ375,"CO"))</f>
        <v/>
      </c>
      <c r="AS375" s="34" t="str">
        <f aca="false">IF($B375="","",COUNTIF($F375:$AJ375,"HPL"))</f>
        <v/>
      </c>
      <c r="AT375" s="34" t="str">
        <f aca="false">IF($B375="","",COUNTIF($F375:$AJ375,"HCL"))</f>
        <v/>
      </c>
      <c r="AU375" s="34" t="str">
        <f aca="false">IF($B375="","",COUNTIF($F375:$AJ375,"WO"))</f>
        <v/>
      </c>
      <c r="AV375" s="34" t="str">
        <f aca="false">IF($B375="","",COUNTIF($F375:$AJ375,"PH"))</f>
        <v/>
      </c>
      <c r="AW375" s="34" t="str">
        <f aca="false">IF($B375="","",COUNTIF($F375:$AJ375,"TR"))</f>
        <v/>
      </c>
      <c r="AX375" s="35" t="str">
        <f aca="false">IF($B375="","",AO375+AS375/2)</f>
        <v/>
      </c>
      <c r="AY375" s="35" t="str">
        <f aca="false">IF($B375="","",AQ375)</f>
        <v/>
      </c>
      <c r="AZ375" s="35" t="str">
        <f aca="false">IF($B375="","",AP375+AT375/2)</f>
        <v/>
      </c>
      <c r="BA375" s="35" t="str">
        <f aca="false">IF($B375="","",AK375+AN375+AM375/2+AO375+AP375+AQ375+AR375+AS375+AT375+AU375+AV375+AW375)</f>
        <v/>
      </c>
      <c r="BB375" s="35" t="str">
        <f aca="false">IF($B375="","",MAX(0,AN375-Settings!$C$16)*Settings!$C$17)</f>
        <v/>
      </c>
      <c r="BC375" s="35" t="str">
        <f aca="false">IF($B375="","",BA375-BB375)</f>
        <v/>
      </c>
      <c r="BD375" s="35" t="str">
        <f aca="false">IF(OR($B375="",$A375=""),"",DAY(EOMONTH($A375,0))-COUNTA($F375:$AJ375))</f>
        <v/>
      </c>
    </row>
    <row r="376" customFormat="false" ht="15" hidden="false" customHeight="false" outlineLevel="0" collapsed="false">
      <c r="A376" s="32"/>
      <c r="B376" s="29"/>
      <c r="C376" s="10" t="str">
        <f aca="false">IF($B376="","",IFERROR(INDEX(M_name,MATCH($B376,M_emp,0)),"Code not found"))</f>
        <v/>
      </c>
      <c r="D376" s="10" t="str">
        <f aca="false">IF($B376="","",IFERROR(INDEX(M_dept,MATCH($B376,M_emp,0)),""))</f>
        <v/>
      </c>
      <c r="E376" s="10" t="str">
        <f aca="false">IF($B376="","",IFERROR(INDEX(M_loc,MATCH($B376,M_emp,0)),""))</f>
        <v/>
      </c>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4" t="str">
        <f aca="false">IF($B376="","",COUNTIF($F376:$AJ376,"P"))</f>
        <v/>
      </c>
      <c r="AL376" s="34" t="str">
        <f aca="false">IF($B376="","",COUNTIF($F376:$AJ376,"A"))</f>
        <v/>
      </c>
      <c r="AM376" s="34" t="str">
        <f aca="false">IF($B376="","",COUNTIF($F376:$AJ376,"HA"))</f>
        <v/>
      </c>
      <c r="AN376" s="34" t="str">
        <f aca="false">IF($B376="","",COUNTIF($F376:$AJ376,"L"))</f>
        <v/>
      </c>
      <c r="AO376" s="34" t="str">
        <f aca="false">IF($B376="","",COUNTIF($F376:$AJ376,"PL"))</f>
        <v/>
      </c>
      <c r="AP376" s="34" t="str">
        <f aca="false">IF($B376="","",COUNTIF($F376:$AJ376,"CL"))</f>
        <v/>
      </c>
      <c r="AQ376" s="34" t="str">
        <f aca="false">IF($B376="","",COUNTIF($F376:$AJ376,"SL"))</f>
        <v/>
      </c>
      <c r="AR376" s="34" t="str">
        <f aca="false">IF($B376="","",COUNTIF($F376:$AJ376,"CO"))</f>
        <v/>
      </c>
      <c r="AS376" s="34" t="str">
        <f aca="false">IF($B376="","",COUNTIF($F376:$AJ376,"HPL"))</f>
        <v/>
      </c>
      <c r="AT376" s="34" t="str">
        <f aca="false">IF($B376="","",COUNTIF($F376:$AJ376,"HCL"))</f>
        <v/>
      </c>
      <c r="AU376" s="34" t="str">
        <f aca="false">IF($B376="","",COUNTIF($F376:$AJ376,"WO"))</f>
        <v/>
      </c>
      <c r="AV376" s="34" t="str">
        <f aca="false">IF($B376="","",COUNTIF($F376:$AJ376,"PH"))</f>
        <v/>
      </c>
      <c r="AW376" s="34" t="str">
        <f aca="false">IF($B376="","",COUNTIF($F376:$AJ376,"TR"))</f>
        <v/>
      </c>
      <c r="AX376" s="35" t="str">
        <f aca="false">IF($B376="","",AO376+AS376/2)</f>
        <v/>
      </c>
      <c r="AY376" s="35" t="str">
        <f aca="false">IF($B376="","",AQ376)</f>
        <v/>
      </c>
      <c r="AZ376" s="35" t="str">
        <f aca="false">IF($B376="","",AP376+AT376/2)</f>
        <v/>
      </c>
      <c r="BA376" s="35" t="str">
        <f aca="false">IF($B376="","",AK376+AN376+AM376/2+AO376+AP376+AQ376+AR376+AS376+AT376+AU376+AV376+AW376)</f>
        <v/>
      </c>
      <c r="BB376" s="35" t="str">
        <f aca="false">IF($B376="","",MAX(0,AN376-Settings!$C$16)*Settings!$C$17)</f>
        <v/>
      </c>
      <c r="BC376" s="35" t="str">
        <f aca="false">IF($B376="","",BA376-BB376)</f>
        <v/>
      </c>
      <c r="BD376" s="35" t="str">
        <f aca="false">IF(OR($B376="",$A376=""),"",DAY(EOMONTH($A376,0))-COUNTA($F376:$AJ376))</f>
        <v/>
      </c>
    </row>
    <row r="377" customFormat="false" ht="15" hidden="false" customHeight="false" outlineLevel="0" collapsed="false">
      <c r="A377" s="32"/>
      <c r="B377" s="29"/>
      <c r="C377" s="10" t="str">
        <f aca="false">IF($B377="","",IFERROR(INDEX(M_name,MATCH($B377,M_emp,0)),"Code not found"))</f>
        <v/>
      </c>
      <c r="D377" s="10" t="str">
        <f aca="false">IF($B377="","",IFERROR(INDEX(M_dept,MATCH($B377,M_emp,0)),""))</f>
        <v/>
      </c>
      <c r="E377" s="10" t="str">
        <f aca="false">IF($B377="","",IFERROR(INDEX(M_loc,MATCH($B377,M_emp,0)),""))</f>
        <v/>
      </c>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4" t="str">
        <f aca="false">IF($B377="","",COUNTIF($F377:$AJ377,"P"))</f>
        <v/>
      </c>
      <c r="AL377" s="34" t="str">
        <f aca="false">IF($B377="","",COUNTIF($F377:$AJ377,"A"))</f>
        <v/>
      </c>
      <c r="AM377" s="34" t="str">
        <f aca="false">IF($B377="","",COUNTIF($F377:$AJ377,"HA"))</f>
        <v/>
      </c>
      <c r="AN377" s="34" t="str">
        <f aca="false">IF($B377="","",COUNTIF($F377:$AJ377,"L"))</f>
        <v/>
      </c>
      <c r="AO377" s="34" t="str">
        <f aca="false">IF($B377="","",COUNTIF($F377:$AJ377,"PL"))</f>
        <v/>
      </c>
      <c r="AP377" s="34" t="str">
        <f aca="false">IF($B377="","",COUNTIF($F377:$AJ377,"CL"))</f>
        <v/>
      </c>
      <c r="AQ377" s="34" t="str">
        <f aca="false">IF($B377="","",COUNTIF($F377:$AJ377,"SL"))</f>
        <v/>
      </c>
      <c r="AR377" s="34" t="str">
        <f aca="false">IF($B377="","",COUNTIF($F377:$AJ377,"CO"))</f>
        <v/>
      </c>
      <c r="AS377" s="34" t="str">
        <f aca="false">IF($B377="","",COUNTIF($F377:$AJ377,"HPL"))</f>
        <v/>
      </c>
      <c r="AT377" s="34" t="str">
        <f aca="false">IF($B377="","",COUNTIF($F377:$AJ377,"HCL"))</f>
        <v/>
      </c>
      <c r="AU377" s="34" t="str">
        <f aca="false">IF($B377="","",COUNTIF($F377:$AJ377,"WO"))</f>
        <v/>
      </c>
      <c r="AV377" s="34" t="str">
        <f aca="false">IF($B377="","",COUNTIF($F377:$AJ377,"PH"))</f>
        <v/>
      </c>
      <c r="AW377" s="34" t="str">
        <f aca="false">IF($B377="","",COUNTIF($F377:$AJ377,"TR"))</f>
        <v/>
      </c>
      <c r="AX377" s="35" t="str">
        <f aca="false">IF($B377="","",AO377+AS377/2)</f>
        <v/>
      </c>
      <c r="AY377" s="35" t="str">
        <f aca="false">IF($B377="","",AQ377)</f>
        <v/>
      </c>
      <c r="AZ377" s="35" t="str">
        <f aca="false">IF($B377="","",AP377+AT377/2)</f>
        <v/>
      </c>
      <c r="BA377" s="35" t="str">
        <f aca="false">IF($B377="","",AK377+AN377+AM377/2+AO377+AP377+AQ377+AR377+AS377+AT377+AU377+AV377+AW377)</f>
        <v/>
      </c>
      <c r="BB377" s="35" t="str">
        <f aca="false">IF($B377="","",MAX(0,AN377-Settings!$C$16)*Settings!$C$17)</f>
        <v/>
      </c>
      <c r="BC377" s="35" t="str">
        <f aca="false">IF($B377="","",BA377-BB377)</f>
        <v/>
      </c>
      <c r="BD377" s="35" t="str">
        <f aca="false">IF(OR($B377="",$A377=""),"",DAY(EOMONTH($A377,0))-COUNTA($F377:$AJ377))</f>
        <v/>
      </c>
    </row>
    <row r="378" customFormat="false" ht="15" hidden="false" customHeight="false" outlineLevel="0" collapsed="false">
      <c r="A378" s="32"/>
      <c r="B378" s="29"/>
      <c r="C378" s="10" t="str">
        <f aca="false">IF($B378="","",IFERROR(INDEX(M_name,MATCH($B378,M_emp,0)),"Code not found"))</f>
        <v/>
      </c>
      <c r="D378" s="10" t="str">
        <f aca="false">IF($B378="","",IFERROR(INDEX(M_dept,MATCH($B378,M_emp,0)),""))</f>
        <v/>
      </c>
      <c r="E378" s="10" t="str">
        <f aca="false">IF($B378="","",IFERROR(INDEX(M_loc,MATCH($B378,M_emp,0)),""))</f>
        <v/>
      </c>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4" t="str">
        <f aca="false">IF($B378="","",COUNTIF($F378:$AJ378,"P"))</f>
        <v/>
      </c>
      <c r="AL378" s="34" t="str">
        <f aca="false">IF($B378="","",COUNTIF($F378:$AJ378,"A"))</f>
        <v/>
      </c>
      <c r="AM378" s="34" t="str">
        <f aca="false">IF($B378="","",COUNTIF($F378:$AJ378,"HA"))</f>
        <v/>
      </c>
      <c r="AN378" s="34" t="str">
        <f aca="false">IF($B378="","",COUNTIF($F378:$AJ378,"L"))</f>
        <v/>
      </c>
      <c r="AO378" s="34" t="str">
        <f aca="false">IF($B378="","",COUNTIF($F378:$AJ378,"PL"))</f>
        <v/>
      </c>
      <c r="AP378" s="34" t="str">
        <f aca="false">IF($B378="","",COUNTIF($F378:$AJ378,"CL"))</f>
        <v/>
      </c>
      <c r="AQ378" s="34" t="str">
        <f aca="false">IF($B378="","",COUNTIF($F378:$AJ378,"SL"))</f>
        <v/>
      </c>
      <c r="AR378" s="34" t="str">
        <f aca="false">IF($B378="","",COUNTIF($F378:$AJ378,"CO"))</f>
        <v/>
      </c>
      <c r="AS378" s="34" t="str">
        <f aca="false">IF($B378="","",COUNTIF($F378:$AJ378,"HPL"))</f>
        <v/>
      </c>
      <c r="AT378" s="34" t="str">
        <f aca="false">IF($B378="","",COUNTIF($F378:$AJ378,"HCL"))</f>
        <v/>
      </c>
      <c r="AU378" s="34" t="str">
        <f aca="false">IF($B378="","",COUNTIF($F378:$AJ378,"WO"))</f>
        <v/>
      </c>
      <c r="AV378" s="34" t="str">
        <f aca="false">IF($B378="","",COUNTIF($F378:$AJ378,"PH"))</f>
        <v/>
      </c>
      <c r="AW378" s="34" t="str">
        <f aca="false">IF($B378="","",COUNTIF($F378:$AJ378,"TR"))</f>
        <v/>
      </c>
      <c r="AX378" s="35" t="str">
        <f aca="false">IF($B378="","",AO378+AS378/2)</f>
        <v/>
      </c>
      <c r="AY378" s="35" t="str">
        <f aca="false">IF($B378="","",AQ378)</f>
        <v/>
      </c>
      <c r="AZ378" s="35" t="str">
        <f aca="false">IF($B378="","",AP378+AT378/2)</f>
        <v/>
      </c>
      <c r="BA378" s="35" t="str">
        <f aca="false">IF($B378="","",AK378+AN378+AM378/2+AO378+AP378+AQ378+AR378+AS378+AT378+AU378+AV378+AW378)</f>
        <v/>
      </c>
      <c r="BB378" s="35" t="str">
        <f aca="false">IF($B378="","",MAX(0,AN378-Settings!$C$16)*Settings!$C$17)</f>
        <v/>
      </c>
      <c r="BC378" s="35" t="str">
        <f aca="false">IF($B378="","",BA378-BB378)</f>
        <v/>
      </c>
      <c r="BD378" s="35" t="str">
        <f aca="false">IF(OR($B378="",$A378=""),"",DAY(EOMONTH($A378,0))-COUNTA($F378:$AJ378))</f>
        <v/>
      </c>
    </row>
    <row r="379" customFormat="false" ht="15" hidden="false" customHeight="false" outlineLevel="0" collapsed="false">
      <c r="A379" s="32"/>
      <c r="B379" s="29"/>
      <c r="C379" s="10" t="str">
        <f aca="false">IF($B379="","",IFERROR(INDEX(M_name,MATCH($B379,M_emp,0)),"Code not found"))</f>
        <v/>
      </c>
      <c r="D379" s="10" t="str">
        <f aca="false">IF($B379="","",IFERROR(INDEX(M_dept,MATCH($B379,M_emp,0)),""))</f>
        <v/>
      </c>
      <c r="E379" s="10" t="str">
        <f aca="false">IF($B379="","",IFERROR(INDEX(M_loc,MATCH($B379,M_emp,0)),""))</f>
        <v/>
      </c>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4" t="str">
        <f aca="false">IF($B379="","",COUNTIF($F379:$AJ379,"P"))</f>
        <v/>
      </c>
      <c r="AL379" s="34" t="str">
        <f aca="false">IF($B379="","",COUNTIF($F379:$AJ379,"A"))</f>
        <v/>
      </c>
      <c r="AM379" s="34" t="str">
        <f aca="false">IF($B379="","",COUNTIF($F379:$AJ379,"HA"))</f>
        <v/>
      </c>
      <c r="AN379" s="34" t="str">
        <f aca="false">IF($B379="","",COUNTIF($F379:$AJ379,"L"))</f>
        <v/>
      </c>
      <c r="AO379" s="34" t="str">
        <f aca="false">IF($B379="","",COUNTIF($F379:$AJ379,"PL"))</f>
        <v/>
      </c>
      <c r="AP379" s="34" t="str">
        <f aca="false">IF($B379="","",COUNTIF($F379:$AJ379,"CL"))</f>
        <v/>
      </c>
      <c r="AQ379" s="34" t="str">
        <f aca="false">IF($B379="","",COUNTIF($F379:$AJ379,"SL"))</f>
        <v/>
      </c>
      <c r="AR379" s="34" t="str">
        <f aca="false">IF($B379="","",COUNTIF($F379:$AJ379,"CO"))</f>
        <v/>
      </c>
      <c r="AS379" s="34" t="str">
        <f aca="false">IF($B379="","",COUNTIF($F379:$AJ379,"HPL"))</f>
        <v/>
      </c>
      <c r="AT379" s="34" t="str">
        <f aca="false">IF($B379="","",COUNTIF($F379:$AJ379,"HCL"))</f>
        <v/>
      </c>
      <c r="AU379" s="34" t="str">
        <f aca="false">IF($B379="","",COUNTIF($F379:$AJ379,"WO"))</f>
        <v/>
      </c>
      <c r="AV379" s="34" t="str">
        <f aca="false">IF($B379="","",COUNTIF($F379:$AJ379,"PH"))</f>
        <v/>
      </c>
      <c r="AW379" s="34" t="str">
        <f aca="false">IF($B379="","",COUNTIF($F379:$AJ379,"TR"))</f>
        <v/>
      </c>
      <c r="AX379" s="35" t="str">
        <f aca="false">IF($B379="","",AO379+AS379/2)</f>
        <v/>
      </c>
      <c r="AY379" s="35" t="str">
        <f aca="false">IF($B379="","",AQ379)</f>
        <v/>
      </c>
      <c r="AZ379" s="35" t="str">
        <f aca="false">IF($B379="","",AP379+AT379/2)</f>
        <v/>
      </c>
      <c r="BA379" s="35" t="str">
        <f aca="false">IF($B379="","",AK379+AN379+AM379/2+AO379+AP379+AQ379+AR379+AS379+AT379+AU379+AV379+AW379)</f>
        <v/>
      </c>
      <c r="BB379" s="35" t="str">
        <f aca="false">IF($B379="","",MAX(0,AN379-Settings!$C$16)*Settings!$C$17)</f>
        <v/>
      </c>
      <c r="BC379" s="35" t="str">
        <f aca="false">IF($B379="","",BA379-BB379)</f>
        <v/>
      </c>
      <c r="BD379" s="35" t="str">
        <f aca="false">IF(OR($B379="",$A379=""),"",DAY(EOMONTH($A379,0))-COUNTA($F379:$AJ379))</f>
        <v/>
      </c>
    </row>
    <row r="380" customFormat="false" ht="15" hidden="false" customHeight="false" outlineLevel="0" collapsed="false">
      <c r="A380" s="32"/>
      <c r="B380" s="29"/>
      <c r="C380" s="10" t="str">
        <f aca="false">IF($B380="","",IFERROR(INDEX(M_name,MATCH($B380,M_emp,0)),"Code not found"))</f>
        <v/>
      </c>
      <c r="D380" s="10" t="str">
        <f aca="false">IF($B380="","",IFERROR(INDEX(M_dept,MATCH($B380,M_emp,0)),""))</f>
        <v/>
      </c>
      <c r="E380" s="10" t="str">
        <f aca="false">IF($B380="","",IFERROR(INDEX(M_loc,MATCH($B380,M_emp,0)),""))</f>
        <v/>
      </c>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4" t="str">
        <f aca="false">IF($B380="","",COUNTIF($F380:$AJ380,"P"))</f>
        <v/>
      </c>
      <c r="AL380" s="34" t="str">
        <f aca="false">IF($B380="","",COUNTIF($F380:$AJ380,"A"))</f>
        <v/>
      </c>
      <c r="AM380" s="34" t="str">
        <f aca="false">IF($B380="","",COUNTIF($F380:$AJ380,"HA"))</f>
        <v/>
      </c>
      <c r="AN380" s="34" t="str">
        <f aca="false">IF($B380="","",COUNTIF($F380:$AJ380,"L"))</f>
        <v/>
      </c>
      <c r="AO380" s="34" t="str">
        <f aca="false">IF($B380="","",COUNTIF($F380:$AJ380,"PL"))</f>
        <v/>
      </c>
      <c r="AP380" s="34" t="str">
        <f aca="false">IF($B380="","",COUNTIF($F380:$AJ380,"CL"))</f>
        <v/>
      </c>
      <c r="AQ380" s="34" t="str">
        <f aca="false">IF($B380="","",COUNTIF($F380:$AJ380,"SL"))</f>
        <v/>
      </c>
      <c r="AR380" s="34" t="str">
        <f aca="false">IF($B380="","",COUNTIF($F380:$AJ380,"CO"))</f>
        <v/>
      </c>
      <c r="AS380" s="34" t="str">
        <f aca="false">IF($B380="","",COUNTIF($F380:$AJ380,"HPL"))</f>
        <v/>
      </c>
      <c r="AT380" s="34" t="str">
        <f aca="false">IF($B380="","",COUNTIF($F380:$AJ380,"HCL"))</f>
        <v/>
      </c>
      <c r="AU380" s="34" t="str">
        <f aca="false">IF($B380="","",COUNTIF($F380:$AJ380,"WO"))</f>
        <v/>
      </c>
      <c r="AV380" s="34" t="str">
        <f aca="false">IF($B380="","",COUNTIF($F380:$AJ380,"PH"))</f>
        <v/>
      </c>
      <c r="AW380" s="34" t="str">
        <f aca="false">IF($B380="","",COUNTIF($F380:$AJ380,"TR"))</f>
        <v/>
      </c>
      <c r="AX380" s="35" t="str">
        <f aca="false">IF($B380="","",AO380+AS380/2)</f>
        <v/>
      </c>
      <c r="AY380" s="35" t="str">
        <f aca="false">IF($B380="","",AQ380)</f>
        <v/>
      </c>
      <c r="AZ380" s="35" t="str">
        <f aca="false">IF($B380="","",AP380+AT380/2)</f>
        <v/>
      </c>
      <c r="BA380" s="35" t="str">
        <f aca="false">IF($B380="","",AK380+AN380+AM380/2+AO380+AP380+AQ380+AR380+AS380+AT380+AU380+AV380+AW380)</f>
        <v/>
      </c>
      <c r="BB380" s="35" t="str">
        <f aca="false">IF($B380="","",MAX(0,AN380-Settings!$C$16)*Settings!$C$17)</f>
        <v/>
      </c>
      <c r="BC380" s="35" t="str">
        <f aca="false">IF($B380="","",BA380-BB380)</f>
        <v/>
      </c>
      <c r="BD380" s="35" t="str">
        <f aca="false">IF(OR($B380="",$A380=""),"",DAY(EOMONTH($A380,0))-COUNTA($F380:$AJ380))</f>
        <v/>
      </c>
    </row>
    <row r="381" customFormat="false" ht="15" hidden="false" customHeight="false" outlineLevel="0" collapsed="false">
      <c r="A381" s="32"/>
      <c r="B381" s="29"/>
      <c r="C381" s="10" t="str">
        <f aca="false">IF($B381="","",IFERROR(INDEX(M_name,MATCH($B381,M_emp,0)),"Code not found"))</f>
        <v/>
      </c>
      <c r="D381" s="10" t="str">
        <f aca="false">IF($B381="","",IFERROR(INDEX(M_dept,MATCH($B381,M_emp,0)),""))</f>
        <v/>
      </c>
      <c r="E381" s="10" t="str">
        <f aca="false">IF($B381="","",IFERROR(INDEX(M_loc,MATCH($B381,M_emp,0)),""))</f>
        <v/>
      </c>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4" t="str">
        <f aca="false">IF($B381="","",COUNTIF($F381:$AJ381,"P"))</f>
        <v/>
      </c>
      <c r="AL381" s="34" t="str">
        <f aca="false">IF($B381="","",COUNTIF($F381:$AJ381,"A"))</f>
        <v/>
      </c>
      <c r="AM381" s="34" t="str">
        <f aca="false">IF($B381="","",COUNTIF($F381:$AJ381,"HA"))</f>
        <v/>
      </c>
      <c r="AN381" s="34" t="str">
        <f aca="false">IF($B381="","",COUNTIF($F381:$AJ381,"L"))</f>
        <v/>
      </c>
      <c r="AO381" s="34" t="str">
        <f aca="false">IF($B381="","",COUNTIF($F381:$AJ381,"PL"))</f>
        <v/>
      </c>
      <c r="AP381" s="34" t="str">
        <f aca="false">IF($B381="","",COUNTIF($F381:$AJ381,"CL"))</f>
        <v/>
      </c>
      <c r="AQ381" s="34" t="str">
        <f aca="false">IF($B381="","",COUNTIF($F381:$AJ381,"SL"))</f>
        <v/>
      </c>
      <c r="AR381" s="34" t="str">
        <f aca="false">IF($B381="","",COUNTIF($F381:$AJ381,"CO"))</f>
        <v/>
      </c>
      <c r="AS381" s="34" t="str">
        <f aca="false">IF($B381="","",COUNTIF($F381:$AJ381,"HPL"))</f>
        <v/>
      </c>
      <c r="AT381" s="34" t="str">
        <f aca="false">IF($B381="","",COUNTIF($F381:$AJ381,"HCL"))</f>
        <v/>
      </c>
      <c r="AU381" s="34" t="str">
        <f aca="false">IF($B381="","",COUNTIF($F381:$AJ381,"WO"))</f>
        <v/>
      </c>
      <c r="AV381" s="34" t="str">
        <f aca="false">IF($B381="","",COUNTIF($F381:$AJ381,"PH"))</f>
        <v/>
      </c>
      <c r="AW381" s="34" t="str">
        <f aca="false">IF($B381="","",COUNTIF($F381:$AJ381,"TR"))</f>
        <v/>
      </c>
      <c r="AX381" s="35" t="str">
        <f aca="false">IF($B381="","",AO381+AS381/2)</f>
        <v/>
      </c>
      <c r="AY381" s="35" t="str">
        <f aca="false">IF($B381="","",AQ381)</f>
        <v/>
      </c>
      <c r="AZ381" s="35" t="str">
        <f aca="false">IF($B381="","",AP381+AT381/2)</f>
        <v/>
      </c>
      <c r="BA381" s="35" t="str">
        <f aca="false">IF($B381="","",AK381+AN381+AM381/2+AO381+AP381+AQ381+AR381+AS381+AT381+AU381+AV381+AW381)</f>
        <v/>
      </c>
      <c r="BB381" s="35" t="str">
        <f aca="false">IF($B381="","",MAX(0,AN381-Settings!$C$16)*Settings!$C$17)</f>
        <v/>
      </c>
      <c r="BC381" s="35" t="str">
        <f aca="false">IF($B381="","",BA381-BB381)</f>
        <v/>
      </c>
      <c r="BD381" s="35" t="str">
        <f aca="false">IF(OR($B381="",$A381=""),"",DAY(EOMONTH($A381,0))-COUNTA($F381:$AJ381))</f>
        <v/>
      </c>
    </row>
    <row r="382" customFormat="false" ht="15" hidden="false" customHeight="false" outlineLevel="0" collapsed="false">
      <c r="A382" s="32"/>
      <c r="B382" s="29"/>
      <c r="C382" s="10" t="str">
        <f aca="false">IF($B382="","",IFERROR(INDEX(M_name,MATCH($B382,M_emp,0)),"Code not found"))</f>
        <v/>
      </c>
      <c r="D382" s="10" t="str">
        <f aca="false">IF($B382="","",IFERROR(INDEX(M_dept,MATCH($B382,M_emp,0)),""))</f>
        <v/>
      </c>
      <c r="E382" s="10" t="str">
        <f aca="false">IF($B382="","",IFERROR(INDEX(M_loc,MATCH($B382,M_emp,0)),""))</f>
        <v/>
      </c>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4" t="str">
        <f aca="false">IF($B382="","",COUNTIF($F382:$AJ382,"P"))</f>
        <v/>
      </c>
      <c r="AL382" s="34" t="str">
        <f aca="false">IF($B382="","",COUNTIF($F382:$AJ382,"A"))</f>
        <v/>
      </c>
      <c r="AM382" s="34" t="str">
        <f aca="false">IF($B382="","",COUNTIF($F382:$AJ382,"HA"))</f>
        <v/>
      </c>
      <c r="AN382" s="34" t="str">
        <f aca="false">IF($B382="","",COUNTIF($F382:$AJ382,"L"))</f>
        <v/>
      </c>
      <c r="AO382" s="34" t="str">
        <f aca="false">IF($B382="","",COUNTIF($F382:$AJ382,"PL"))</f>
        <v/>
      </c>
      <c r="AP382" s="34" t="str">
        <f aca="false">IF($B382="","",COUNTIF($F382:$AJ382,"CL"))</f>
        <v/>
      </c>
      <c r="AQ382" s="34" t="str">
        <f aca="false">IF($B382="","",COUNTIF($F382:$AJ382,"SL"))</f>
        <v/>
      </c>
      <c r="AR382" s="34" t="str">
        <f aca="false">IF($B382="","",COUNTIF($F382:$AJ382,"CO"))</f>
        <v/>
      </c>
      <c r="AS382" s="34" t="str">
        <f aca="false">IF($B382="","",COUNTIF($F382:$AJ382,"HPL"))</f>
        <v/>
      </c>
      <c r="AT382" s="34" t="str">
        <f aca="false">IF($B382="","",COUNTIF($F382:$AJ382,"HCL"))</f>
        <v/>
      </c>
      <c r="AU382" s="34" t="str">
        <f aca="false">IF($B382="","",COUNTIF($F382:$AJ382,"WO"))</f>
        <v/>
      </c>
      <c r="AV382" s="34" t="str">
        <f aca="false">IF($B382="","",COUNTIF($F382:$AJ382,"PH"))</f>
        <v/>
      </c>
      <c r="AW382" s="34" t="str">
        <f aca="false">IF($B382="","",COUNTIF($F382:$AJ382,"TR"))</f>
        <v/>
      </c>
      <c r="AX382" s="35" t="str">
        <f aca="false">IF($B382="","",AO382+AS382/2)</f>
        <v/>
      </c>
      <c r="AY382" s="35" t="str">
        <f aca="false">IF($B382="","",AQ382)</f>
        <v/>
      </c>
      <c r="AZ382" s="35" t="str">
        <f aca="false">IF($B382="","",AP382+AT382/2)</f>
        <v/>
      </c>
      <c r="BA382" s="35" t="str">
        <f aca="false">IF($B382="","",AK382+AN382+AM382/2+AO382+AP382+AQ382+AR382+AS382+AT382+AU382+AV382+AW382)</f>
        <v/>
      </c>
      <c r="BB382" s="35" t="str">
        <f aca="false">IF($B382="","",MAX(0,AN382-Settings!$C$16)*Settings!$C$17)</f>
        <v/>
      </c>
      <c r="BC382" s="35" t="str">
        <f aca="false">IF($B382="","",BA382-BB382)</f>
        <v/>
      </c>
      <c r="BD382" s="35" t="str">
        <f aca="false">IF(OR($B382="",$A382=""),"",DAY(EOMONTH($A382,0))-COUNTA($F382:$AJ382))</f>
        <v/>
      </c>
    </row>
    <row r="383" customFormat="false" ht="15" hidden="false" customHeight="false" outlineLevel="0" collapsed="false">
      <c r="A383" s="32"/>
      <c r="B383" s="29"/>
      <c r="C383" s="10" t="str">
        <f aca="false">IF($B383="","",IFERROR(INDEX(M_name,MATCH($B383,M_emp,0)),"Code not found"))</f>
        <v/>
      </c>
      <c r="D383" s="10" t="str">
        <f aca="false">IF($B383="","",IFERROR(INDEX(M_dept,MATCH($B383,M_emp,0)),""))</f>
        <v/>
      </c>
      <c r="E383" s="10" t="str">
        <f aca="false">IF($B383="","",IFERROR(INDEX(M_loc,MATCH($B383,M_emp,0)),""))</f>
        <v/>
      </c>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4" t="str">
        <f aca="false">IF($B383="","",COUNTIF($F383:$AJ383,"P"))</f>
        <v/>
      </c>
      <c r="AL383" s="34" t="str">
        <f aca="false">IF($B383="","",COUNTIF($F383:$AJ383,"A"))</f>
        <v/>
      </c>
      <c r="AM383" s="34" t="str">
        <f aca="false">IF($B383="","",COUNTIF($F383:$AJ383,"HA"))</f>
        <v/>
      </c>
      <c r="AN383" s="34" t="str">
        <f aca="false">IF($B383="","",COUNTIF($F383:$AJ383,"L"))</f>
        <v/>
      </c>
      <c r="AO383" s="34" t="str">
        <f aca="false">IF($B383="","",COUNTIF($F383:$AJ383,"PL"))</f>
        <v/>
      </c>
      <c r="AP383" s="34" t="str">
        <f aca="false">IF($B383="","",COUNTIF($F383:$AJ383,"CL"))</f>
        <v/>
      </c>
      <c r="AQ383" s="34" t="str">
        <f aca="false">IF($B383="","",COUNTIF($F383:$AJ383,"SL"))</f>
        <v/>
      </c>
      <c r="AR383" s="34" t="str">
        <f aca="false">IF($B383="","",COUNTIF($F383:$AJ383,"CO"))</f>
        <v/>
      </c>
      <c r="AS383" s="34" t="str">
        <f aca="false">IF($B383="","",COUNTIF($F383:$AJ383,"HPL"))</f>
        <v/>
      </c>
      <c r="AT383" s="34" t="str">
        <f aca="false">IF($B383="","",COUNTIF($F383:$AJ383,"HCL"))</f>
        <v/>
      </c>
      <c r="AU383" s="34" t="str">
        <f aca="false">IF($B383="","",COUNTIF($F383:$AJ383,"WO"))</f>
        <v/>
      </c>
      <c r="AV383" s="34" t="str">
        <f aca="false">IF($B383="","",COUNTIF($F383:$AJ383,"PH"))</f>
        <v/>
      </c>
      <c r="AW383" s="34" t="str">
        <f aca="false">IF($B383="","",COUNTIF($F383:$AJ383,"TR"))</f>
        <v/>
      </c>
      <c r="AX383" s="35" t="str">
        <f aca="false">IF($B383="","",AO383+AS383/2)</f>
        <v/>
      </c>
      <c r="AY383" s="35" t="str">
        <f aca="false">IF($B383="","",AQ383)</f>
        <v/>
      </c>
      <c r="AZ383" s="35" t="str">
        <f aca="false">IF($B383="","",AP383+AT383/2)</f>
        <v/>
      </c>
      <c r="BA383" s="35" t="str">
        <f aca="false">IF($B383="","",AK383+AN383+AM383/2+AO383+AP383+AQ383+AR383+AS383+AT383+AU383+AV383+AW383)</f>
        <v/>
      </c>
      <c r="BB383" s="35" t="str">
        <f aca="false">IF($B383="","",MAX(0,AN383-Settings!$C$16)*Settings!$C$17)</f>
        <v/>
      </c>
      <c r="BC383" s="35" t="str">
        <f aca="false">IF($B383="","",BA383-BB383)</f>
        <v/>
      </c>
      <c r="BD383" s="35" t="str">
        <f aca="false">IF(OR($B383="",$A383=""),"",DAY(EOMONTH($A383,0))-COUNTA($F383:$AJ383))</f>
        <v/>
      </c>
    </row>
    <row r="384" customFormat="false" ht="15" hidden="false" customHeight="false" outlineLevel="0" collapsed="false">
      <c r="A384" s="32"/>
      <c r="B384" s="29"/>
      <c r="C384" s="10" t="str">
        <f aca="false">IF($B384="","",IFERROR(INDEX(M_name,MATCH($B384,M_emp,0)),"Code not found"))</f>
        <v/>
      </c>
      <c r="D384" s="10" t="str">
        <f aca="false">IF($B384="","",IFERROR(INDEX(M_dept,MATCH($B384,M_emp,0)),""))</f>
        <v/>
      </c>
      <c r="E384" s="10" t="str">
        <f aca="false">IF($B384="","",IFERROR(INDEX(M_loc,MATCH($B384,M_emp,0)),""))</f>
        <v/>
      </c>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4" t="str">
        <f aca="false">IF($B384="","",COUNTIF($F384:$AJ384,"P"))</f>
        <v/>
      </c>
      <c r="AL384" s="34" t="str">
        <f aca="false">IF($B384="","",COUNTIF($F384:$AJ384,"A"))</f>
        <v/>
      </c>
      <c r="AM384" s="34" t="str">
        <f aca="false">IF($B384="","",COUNTIF($F384:$AJ384,"HA"))</f>
        <v/>
      </c>
      <c r="AN384" s="34" t="str">
        <f aca="false">IF($B384="","",COUNTIF($F384:$AJ384,"L"))</f>
        <v/>
      </c>
      <c r="AO384" s="34" t="str">
        <f aca="false">IF($B384="","",COUNTIF($F384:$AJ384,"PL"))</f>
        <v/>
      </c>
      <c r="AP384" s="34" t="str">
        <f aca="false">IF($B384="","",COUNTIF($F384:$AJ384,"CL"))</f>
        <v/>
      </c>
      <c r="AQ384" s="34" t="str">
        <f aca="false">IF($B384="","",COUNTIF($F384:$AJ384,"SL"))</f>
        <v/>
      </c>
      <c r="AR384" s="34" t="str">
        <f aca="false">IF($B384="","",COUNTIF($F384:$AJ384,"CO"))</f>
        <v/>
      </c>
      <c r="AS384" s="34" t="str">
        <f aca="false">IF($B384="","",COUNTIF($F384:$AJ384,"HPL"))</f>
        <v/>
      </c>
      <c r="AT384" s="34" t="str">
        <f aca="false">IF($B384="","",COUNTIF($F384:$AJ384,"HCL"))</f>
        <v/>
      </c>
      <c r="AU384" s="34" t="str">
        <f aca="false">IF($B384="","",COUNTIF($F384:$AJ384,"WO"))</f>
        <v/>
      </c>
      <c r="AV384" s="34" t="str">
        <f aca="false">IF($B384="","",COUNTIF($F384:$AJ384,"PH"))</f>
        <v/>
      </c>
      <c r="AW384" s="34" t="str">
        <f aca="false">IF($B384="","",COUNTIF($F384:$AJ384,"TR"))</f>
        <v/>
      </c>
      <c r="AX384" s="35" t="str">
        <f aca="false">IF($B384="","",AO384+AS384/2)</f>
        <v/>
      </c>
      <c r="AY384" s="35" t="str">
        <f aca="false">IF($B384="","",AQ384)</f>
        <v/>
      </c>
      <c r="AZ384" s="35" t="str">
        <f aca="false">IF($B384="","",AP384+AT384/2)</f>
        <v/>
      </c>
      <c r="BA384" s="35" t="str">
        <f aca="false">IF($B384="","",AK384+AN384+AM384/2+AO384+AP384+AQ384+AR384+AS384+AT384+AU384+AV384+AW384)</f>
        <v/>
      </c>
      <c r="BB384" s="35" t="str">
        <f aca="false">IF($B384="","",MAX(0,AN384-Settings!$C$16)*Settings!$C$17)</f>
        <v/>
      </c>
      <c r="BC384" s="35" t="str">
        <f aca="false">IF($B384="","",BA384-BB384)</f>
        <v/>
      </c>
      <c r="BD384" s="35" t="str">
        <f aca="false">IF(OR($B384="",$A384=""),"",DAY(EOMONTH($A384,0))-COUNTA($F384:$AJ384))</f>
        <v/>
      </c>
    </row>
    <row r="385" customFormat="false" ht="15" hidden="false" customHeight="false" outlineLevel="0" collapsed="false">
      <c r="A385" s="32"/>
      <c r="B385" s="29"/>
      <c r="C385" s="10" t="str">
        <f aca="false">IF($B385="","",IFERROR(INDEX(M_name,MATCH($B385,M_emp,0)),"Code not found"))</f>
        <v/>
      </c>
      <c r="D385" s="10" t="str">
        <f aca="false">IF($B385="","",IFERROR(INDEX(M_dept,MATCH($B385,M_emp,0)),""))</f>
        <v/>
      </c>
      <c r="E385" s="10" t="str">
        <f aca="false">IF($B385="","",IFERROR(INDEX(M_loc,MATCH($B385,M_emp,0)),""))</f>
        <v/>
      </c>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4" t="str">
        <f aca="false">IF($B385="","",COUNTIF($F385:$AJ385,"P"))</f>
        <v/>
      </c>
      <c r="AL385" s="34" t="str">
        <f aca="false">IF($B385="","",COUNTIF($F385:$AJ385,"A"))</f>
        <v/>
      </c>
      <c r="AM385" s="34" t="str">
        <f aca="false">IF($B385="","",COUNTIF($F385:$AJ385,"HA"))</f>
        <v/>
      </c>
      <c r="AN385" s="34" t="str">
        <f aca="false">IF($B385="","",COUNTIF($F385:$AJ385,"L"))</f>
        <v/>
      </c>
      <c r="AO385" s="34" t="str">
        <f aca="false">IF($B385="","",COUNTIF($F385:$AJ385,"PL"))</f>
        <v/>
      </c>
      <c r="AP385" s="34" t="str">
        <f aca="false">IF($B385="","",COUNTIF($F385:$AJ385,"CL"))</f>
        <v/>
      </c>
      <c r="AQ385" s="34" t="str">
        <f aca="false">IF($B385="","",COUNTIF($F385:$AJ385,"SL"))</f>
        <v/>
      </c>
      <c r="AR385" s="34" t="str">
        <f aca="false">IF($B385="","",COUNTIF($F385:$AJ385,"CO"))</f>
        <v/>
      </c>
      <c r="AS385" s="34" t="str">
        <f aca="false">IF($B385="","",COUNTIF($F385:$AJ385,"HPL"))</f>
        <v/>
      </c>
      <c r="AT385" s="34" t="str">
        <f aca="false">IF($B385="","",COUNTIF($F385:$AJ385,"HCL"))</f>
        <v/>
      </c>
      <c r="AU385" s="34" t="str">
        <f aca="false">IF($B385="","",COUNTIF($F385:$AJ385,"WO"))</f>
        <v/>
      </c>
      <c r="AV385" s="34" t="str">
        <f aca="false">IF($B385="","",COUNTIF($F385:$AJ385,"PH"))</f>
        <v/>
      </c>
      <c r="AW385" s="34" t="str">
        <f aca="false">IF($B385="","",COUNTIF($F385:$AJ385,"TR"))</f>
        <v/>
      </c>
      <c r="AX385" s="35" t="str">
        <f aca="false">IF($B385="","",AO385+AS385/2)</f>
        <v/>
      </c>
      <c r="AY385" s="35" t="str">
        <f aca="false">IF($B385="","",AQ385)</f>
        <v/>
      </c>
      <c r="AZ385" s="35" t="str">
        <f aca="false">IF($B385="","",AP385+AT385/2)</f>
        <v/>
      </c>
      <c r="BA385" s="35" t="str">
        <f aca="false">IF($B385="","",AK385+AN385+AM385/2+AO385+AP385+AQ385+AR385+AS385+AT385+AU385+AV385+AW385)</f>
        <v/>
      </c>
      <c r="BB385" s="35" t="str">
        <f aca="false">IF($B385="","",MAX(0,AN385-Settings!$C$16)*Settings!$C$17)</f>
        <v/>
      </c>
      <c r="BC385" s="35" t="str">
        <f aca="false">IF($B385="","",BA385-BB385)</f>
        <v/>
      </c>
      <c r="BD385" s="35" t="str">
        <f aca="false">IF(OR($B385="",$A385=""),"",DAY(EOMONTH($A385,0))-COUNTA($F385:$AJ385))</f>
        <v/>
      </c>
    </row>
    <row r="386" customFormat="false" ht="15" hidden="false" customHeight="false" outlineLevel="0" collapsed="false">
      <c r="A386" s="32"/>
      <c r="B386" s="29"/>
      <c r="C386" s="10" t="str">
        <f aca="false">IF($B386="","",IFERROR(INDEX(M_name,MATCH($B386,M_emp,0)),"Code not found"))</f>
        <v/>
      </c>
      <c r="D386" s="10" t="str">
        <f aca="false">IF($B386="","",IFERROR(INDEX(M_dept,MATCH($B386,M_emp,0)),""))</f>
        <v/>
      </c>
      <c r="E386" s="10" t="str">
        <f aca="false">IF($B386="","",IFERROR(INDEX(M_loc,MATCH($B386,M_emp,0)),""))</f>
        <v/>
      </c>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4" t="str">
        <f aca="false">IF($B386="","",COUNTIF($F386:$AJ386,"P"))</f>
        <v/>
      </c>
      <c r="AL386" s="34" t="str">
        <f aca="false">IF($B386="","",COUNTIF($F386:$AJ386,"A"))</f>
        <v/>
      </c>
      <c r="AM386" s="34" t="str">
        <f aca="false">IF($B386="","",COUNTIF($F386:$AJ386,"HA"))</f>
        <v/>
      </c>
      <c r="AN386" s="34" t="str">
        <f aca="false">IF($B386="","",COUNTIF($F386:$AJ386,"L"))</f>
        <v/>
      </c>
      <c r="AO386" s="34" t="str">
        <f aca="false">IF($B386="","",COUNTIF($F386:$AJ386,"PL"))</f>
        <v/>
      </c>
      <c r="AP386" s="34" t="str">
        <f aca="false">IF($B386="","",COUNTIF($F386:$AJ386,"CL"))</f>
        <v/>
      </c>
      <c r="AQ386" s="34" t="str">
        <f aca="false">IF($B386="","",COUNTIF($F386:$AJ386,"SL"))</f>
        <v/>
      </c>
      <c r="AR386" s="34" t="str">
        <f aca="false">IF($B386="","",COUNTIF($F386:$AJ386,"CO"))</f>
        <v/>
      </c>
      <c r="AS386" s="34" t="str">
        <f aca="false">IF($B386="","",COUNTIF($F386:$AJ386,"HPL"))</f>
        <v/>
      </c>
      <c r="AT386" s="34" t="str">
        <f aca="false">IF($B386="","",COUNTIF($F386:$AJ386,"HCL"))</f>
        <v/>
      </c>
      <c r="AU386" s="34" t="str">
        <f aca="false">IF($B386="","",COUNTIF($F386:$AJ386,"WO"))</f>
        <v/>
      </c>
      <c r="AV386" s="34" t="str">
        <f aca="false">IF($B386="","",COUNTIF($F386:$AJ386,"PH"))</f>
        <v/>
      </c>
      <c r="AW386" s="34" t="str">
        <f aca="false">IF($B386="","",COUNTIF($F386:$AJ386,"TR"))</f>
        <v/>
      </c>
      <c r="AX386" s="35" t="str">
        <f aca="false">IF($B386="","",AO386+AS386/2)</f>
        <v/>
      </c>
      <c r="AY386" s="35" t="str">
        <f aca="false">IF($B386="","",AQ386)</f>
        <v/>
      </c>
      <c r="AZ386" s="35" t="str">
        <f aca="false">IF($B386="","",AP386+AT386/2)</f>
        <v/>
      </c>
      <c r="BA386" s="35" t="str">
        <f aca="false">IF($B386="","",AK386+AN386+AM386/2+AO386+AP386+AQ386+AR386+AS386+AT386+AU386+AV386+AW386)</f>
        <v/>
      </c>
      <c r="BB386" s="35" t="str">
        <f aca="false">IF($B386="","",MAX(0,AN386-Settings!$C$16)*Settings!$C$17)</f>
        <v/>
      </c>
      <c r="BC386" s="35" t="str">
        <f aca="false">IF($B386="","",BA386-BB386)</f>
        <v/>
      </c>
      <c r="BD386" s="35" t="str">
        <f aca="false">IF(OR($B386="",$A386=""),"",DAY(EOMONTH($A386,0))-COUNTA($F386:$AJ386))</f>
        <v/>
      </c>
    </row>
    <row r="387" customFormat="false" ht="15" hidden="false" customHeight="false" outlineLevel="0" collapsed="false">
      <c r="A387" s="32"/>
      <c r="B387" s="29"/>
      <c r="C387" s="10" t="str">
        <f aca="false">IF($B387="","",IFERROR(INDEX(M_name,MATCH($B387,M_emp,0)),"Code not found"))</f>
        <v/>
      </c>
      <c r="D387" s="10" t="str">
        <f aca="false">IF($B387="","",IFERROR(INDEX(M_dept,MATCH($B387,M_emp,0)),""))</f>
        <v/>
      </c>
      <c r="E387" s="10" t="str">
        <f aca="false">IF($B387="","",IFERROR(INDEX(M_loc,MATCH($B387,M_emp,0)),""))</f>
        <v/>
      </c>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4" t="str">
        <f aca="false">IF($B387="","",COUNTIF($F387:$AJ387,"P"))</f>
        <v/>
      </c>
      <c r="AL387" s="34" t="str">
        <f aca="false">IF($B387="","",COUNTIF($F387:$AJ387,"A"))</f>
        <v/>
      </c>
      <c r="AM387" s="34" t="str">
        <f aca="false">IF($B387="","",COUNTIF($F387:$AJ387,"HA"))</f>
        <v/>
      </c>
      <c r="AN387" s="34" t="str">
        <f aca="false">IF($B387="","",COUNTIF($F387:$AJ387,"L"))</f>
        <v/>
      </c>
      <c r="AO387" s="34" t="str">
        <f aca="false">IF($B387="","",COUNTIF($F387:$AJ387,"PL"))</f>
        <v/>
      </c>
      <c r="AP387" s="34" t="str">
        <f aca="false">IF($B387="","",COUNTIF($F387:$AJ387,"CL"))</f>
        <v/>
      </c>
      <c r="AQ387" s="34" t="str">
        <f aca="false">IF($B387="","",COUNTIF($F387:$AJ387,"SL"))</f>
        <v/>
      </c>
      <c r="AR387" s="34" t="str">
        <f aca="false">IF($B387="","",COUNTIF($F387:$AJ387,"CO"))</f>
        <v/>
      </c>
      <c r="AS387" s="34" t="str">
        <f aca="false">IF($B387="","",COUNTIF($F387:$AJ387,"HPL"))</f>
        <v/>
      </c>
      <c r="AT387" s="34" t="str">
        <f aca="false">IF($B387="","",COUNTIF($F387:$AJ387,"HCL"))</f>
        <v/>
      </c>
      <c r="AU387" s="34" t="str">
        <f aca="false">IF($B387="","",COUNTIF($F387:$AJ387,"WO"))</f>
        <v/>
      </c>
      <c r="AV387" s="34" t="str">
        <f aca="false">IF($B387="","",COUNTIF($F387:$AJ387,"PH"))</f>
        <v/>
      </c>
      <c r="AW387" s="34" t="str">
        <f aca="false">IF($B387="","",COUNTIF($F387:$AJ387,"TR"))</f>
        <v/>
      </c>
      <c r="AX387" s="35" t="str">
        <f aca="false">IF($B387="","",AO387+AS387/2)</f>
        <v/>
      </c>
      <c r="AY387" s="35" t="str">
        <f aca="false">IF($B387="","",AQ387)</f>
        <v/>
      </c>
      <c r="AZ387" s="35" t="str">
        <f aca="false">IF($B387="","",AP387+AT387/2)</f>
        <v/>
      </c>
      <c r="BA387" s="35" t="str">
        <f aca="false">IF($B387="","",AK387+AN387+AM387/2+AO387+AP387+AQ387+AR387+AS387+AT387+AU387+AV387+AW387)</f>
        <v/>
      </c>
      <c r="BB387" s="35" t="str">
        <f aca="false">IF($B387="","",MAX(0,AN387-Settings!$C$16)*Settings!$C$17)</f>
        <v/>
      </c>
      <c r="BC387" s="35" t="str">
        <f aca="false">IF($B387="","",BA387-BB387)</f>
        <v/>
      </c>
      <c r="BD387" s="35" t="str">
        <f aca="false">IF(OR($B387="",$A387=""),"",DAY(EOMONTH($A387,0))-COUNTA($F387:$AJ387))</f>
        <v/>
      </c>
    </row>
    <row r="388" customFormat="false" ht="15" hidden="false" customHeight="false" outlineLevel="0" collapsed="false">
      <c r="A388" s="32"/>
      <c r="B388" s="29"/>
      <c r="C388" s="10" t="str">
        <f aca="false">IF($B388="","",IFERROR(INDEX(M_name,MATCH($B388,M_emp,0)),"Code not found"))</f>
        <v/>
      </c>
      <c r="D388" s="10" t="str">
        <f aca="false">IF($B388="","",IFERROR(INDEX(M_dept,MATCH($B388,M_emp,0)),""))</f>
        <v/>
      </c>
      <c r="E388" s="10" t="str">
        <f aca="false">IF($B388="","",IFERROR(INDEX(M_loc,MATCH($B388,M_emp,0)),""))</f>
        <v/>
      </c>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4" t="str">
        <f aca="false">IF($B388="","",COUNTIF($F388:$AJ388,"P"))</f>
        <v/>
      </c>
      <c r="AL388" s="34" t="str">
        <f aca="false">IF($B388="","",COUNTIF($F388:$AJ388,"A"))</f>
        <v/>
      </c>
      <c r="AM388" s="34" t="str">
        <f aca="false">IF($B388="","",COUNTIF($F388:$AJ388,"HA"))</f>
        <v/>
      </c>
      <c r="AN388" s="34" t="str">
        <f aca="false">IF($B388="","",COUNTIF($F388:$AJ388,"L"))</f>
        <v/>
      </c>
      <c r="AO388" s="34" t="str">
        <f aca="false">IF($B388="","",COUNTIF($F388:$AJ388,"PL"))</f>
        <v/>
      </c>
      <c r="AP388" s="34" t="str">
        <f aca="false">IF($B388="","",COUNTIF($F388:$AJ388,"CL"))</f>
        <v/>
      </c>
      <c r="AQ388" s="34" t="str">
        <f aca="false">IF($B388="","",COUNTIF($F388:$AJ388,"SL"))</f>
        <v/>
      </c>
      <c r="AR388" s="34" t="str">
        <f aca="false">IF($B388="","",COUNTIF($F388:$AJ388,"CO"))</f>
        <v/>
      </c>
      <c r="AS388" s="34" t="str">
        <f aca="false">IF($B388="","",COUNTIF($F388:$AJ388,"HPL"))</f>
        <v/>
      </c>
      <c r="AT388" s="34" t="str">
        <f aca="false">IF($B388="","",COUNTIF($F388:$AJ388,"HCL"))</f>
        <v/>
      </c>
      <c r="AU388" s="34" t="str">
        <f aca="false">IF($B388="","",COUNTIF($F388:$AJ388,"WO"))</f>
        <v/>
      </c>
      <c r="AV388" s="34" t="str">
        <f aca="false">IF($B388="","",COUNTIF($F388:$AJ388,"PH"))</f>
        <v/>
      </c>
      <c r="AW388" s="34" t="str">
        <f aca="false">IF($B388="","",COUNTIF($F388:$AJ388,"TR"))</f>
        <v/>
      </c>
      <c r="AX388" s="35" t="str">
        <f aca="false">IF($B388="","",AO388+AS388/2)</f>
        <v/>
      </c>
      <c r="AY388" s="35" t="str">
        <f aca="false">IF($B388="","",AQ388)</f>
        <v/>
      </c>
      <c r="AZ388" s="35" t="str">
        <f aca="false">IF($B388="","",AP388+AT388/2)</f>
        <v/>
      </c>
      <c r="BA388" s="35" t="str">
        <f aca="false">IF($B388="","",AK388+AN388+AM388/2+AO388+AP388+AQ388+AR388+AS388+AT388+AU388+AV388+AW388)</f>
        <v/>
      </c>
      <c r="BB388" s="35" t="str">
        <f aca="false">IF($B388="","",MAX(0,AN388-Settings!$C$16)*Settings!$C$17)</f>
        <v/>
      </c>
      <c r="BC388" s="35" t="str">
        <f aca="false">IF($B388="","",BA388-BB388)</f>
        <v/>
      </c>
      <c r="BD388" s="35" t="str">
        <f aca="false">IF(OR($B388="",$A388=""),"",DAY(EOMONTH($A388,0))-COUNTA($F388:$AJ388))</f>
        <v/>
      </c>
    </row>
    <row r="389" customFormat="false" ht="15" hidden="false" customHeight="false" outlineLevel="0" collapsed="false">
      <c r="A389" s="32"/>
      <c r="B389" s="29"/>
      <c r="C389" s="10" t="str">
        <f aca="false">IF($B389="","",IFERROR(INDEX(M_name,MATCH($B389,M_emp,0)),"Code not found"))</f>
        <v/>
      </c>
      <c r="D389" s="10" t="str">
        <f aca="false">IF($B389="","",IFERROR(INDEX(M_dept,MATCH($B389,M_emp,0)),""))</f>
        <v/>
      </c>
      <c r="E389" s="10" t="str">
        <f aca="false">IF($B389="","",IFERROR(INDEX(M_loc,MATCH($B389,M_emp,0)),""))</f>
        <v/>
      </c>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4" t="str">
        <f aca="false">IF($B389="","",COUNTIF($F389:$AJ389,"P"))</f>
        <v/>
      </c>
      <c r="AL389" s="34" t="str">
        <f aca="false">IF($B389="","",COUNTIF($F389:$AJ389,"A"))</f>
        <v/>
      </c>
      <c r="AM389" s="34" t="str">
        <f aca="false">IF($B389="","",COUNTIF($F389:$AJ389,"HA"))</f>
        <v/>
      </c>
      <c r="AN389" s="34" t="str">
        <f aca="false">IF($B389="","",COUNTIF($F389:$AJ389,"L"))</f>
        <v/>
      </c>
      <c r="AO389" s="34" t="str">
        <f aca="false">IF($B389="","",COUNTIF($F389:$AJ389,"PL"))</f>
        <v/>
      </c>
      <c r="AP389" s="34" t="str">
        <f aca="false">IF($B389="","",COUNTIF($F389:$AJ389,"CL"))</f>
        <v/>
      </c>
      <c r="AQ389" s="34" t="str">
        <f aca="false">IF($B389="","",COUNTIF($F389:$AJ389,"SL"))</f>
        <v/>
      </c>
      <c r="AR389" s="34" t="str">
        <f aca="false">IF($B389="","",COUNTIF($F389:$AJ389,"CO"))</f>
        <v/>
      </c>
      <c r="AS389" s="34" t="str">
        <f aca="false">IF($B389="","",COUNTIF($F389:$AJ389,"HPL"))</f>
        <v/>
      </c>
      <c r="AT389" s="34" t="str">
        <f aca="false">IF($B389="","",COUNTIF($F389:$AJ389,"HCL"))</f>
        <v/>
      </c>
      <c r="AU389" s="34" t="str">
        <f aca="false">IF($B389="","",COUNTIF($F389:$AJ389,"WO"))</f>
        <v/>
      </c>
      <c r="AV389" s="34" t="str">
        <f aca="false">IF($B389="","",COUNTIF($F389:$AJ389,"PH"))</f>
        <v/>
      </c>
      <c r="AW389" s="34" t="str">
        <f aca="false">IF($B389="","",COUNTIF($F389:$AJ389,"TR"))</f>
        <v/>
      </c>
      <c r="AX389" s="35" t="str">
        <f aca="false">IF($B389="","",AO389+AS389/2)</f>
        <v/>
      </c>
      <c r="AY389" s="35" t="str">
        <f aca="false">IF($B389="","",AQ389)</f>
        <v/>
      </c>
      <c r="AZ389" s="35" t="str">
        <f aca="false">IF($B389="","",AP389+AT389/2)</f>
        <v/>
      </c>
      <c r="BA389" s="35" t="str">
        <f aca="false">IF($B389="","",AK389+AN389+AM389/2+AO389+AP389+AQ389+AR389+AS389+AT389+AU389+AV389+AW389)</f>
        <v/>
      </c>
      <c r="BB389" s="35" t="str">
        <f aca="false">IF($B389="","",MAX(0,AN389-Settings!$C$16)*Settings!$C$17)</f>
        <v/>
      </c>
      <c r="BC389" s="35" t="str">
        <f aca="false">IF($B389="","",BA389-BB389)</f>
        <v/>
      </c>
      <c r="BD389" s="35" t="str">
        <f aca="false">IF(OR($B389="",$A389=""),"",DAY(EOMONTH($A389,0))-COUNTA($F389:$AJ389))</f>
        <v/>
      </c>
    </row>
    <row r="390" customFormat="false" ht="15" hidden="false" customHeight="false" outlineLevel="0" collapsed="false">
      <c r="A390" s="32"/>
      <c r="B390" s="29"/>
      <c r="C390" s="10" t="str">
        <f aca="false">IF($B390="","",IFERROR(INDEX(M_name,MATCH($B390,M_emp,0)),"Code not found"))</f>
        <v/>
      </c>
      <c r="D390" s="10" t="str">
        <f aca="false">IF($B390="","",IFERROR(INDEX(M_dept,MATCH($B390,M_emp,0)),""))</f>
        <v/>
      </c>
      <c r="E390" s="10" t="str">
        <f aca="false">IF($B390="","",IFERROR(INDEX(M_loc,MATCH($B390,M_emp,0)),""))</f>
        <v/>
      </c>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4" t="str">
        <f aca="false">IF($B390="","",COUNTIF($F390:$AJ390,"P"))</f>
        <v/>
      </c>
      <c r="AL390" s="34" t="str">
        <f aca="false">IF($B390="","",COUNTIF($F390:$AJ390,"A"))</f>
        <v/>
      </c>
      <c r="AM390" s="34" t="str">
        <f aca="false">IF($B390="","",COUNTIF($F390:$AJ390,"HA"))</f>
        <v/>
      </c>
      <c r="AN390" s="34" t="str">
        <f aca="false">IF($B390="","",COUNTIF($F390:$AJ390,"L"))</f>
        <v/>
      </c>
      <c r="AO390" s="34" t="str">
        <f aca="false">IF($B390="","",COUNTIF($F390:$AJ390,"PL"))</f>
        <v/>
      </c>
      <c r="AP390" s="34" t="str">
        <f aca="false">IF($B390="","",COUNTIF($F390:$AJ390,"CL"))</f>
        <v/>
      </c>
      <c r="AQ390" s="34" t="str">
        <f aca="false">IF($B390="","",COUNTIF($F390:$AJ390,"SL"))</f>
        <v/>
      </c>
      <c r="AR390" s="34" t="str">
        <f aca="false">IF($B390="","",COUNTIF($F390:$AJ390,"CO"))</f>
        <v/>
      </c>
      <c r="AS390" s="34" t="str">
        <f aca="false">IF($B390="","",COUNTIF($F390:$AJ390,"HPL"))</f>
        <v/>
      </c>
      <c r="AT390" s="34" t="str">
        <f aca="false">IF($B390="","",COUNTIF($F390:$AJ390,"HCL"))</f>
        <v/>
      </c>
      <c r="AU390" s="34" t="str">
        <f aca="false">IF($B390="","",COUNTIF($F390:$AJ390,"WO"))</f>
        <v/>
      </c>
      <c r="AV390" s="34" t="str">
        <f aca="false">IF($B390="","",COUNTIF($F390:$AJ390,"PH"))</f>
        <v/>
      </c>
      <c r="AW390" s="34" t="str">
        <f aca="false">IF($B390="","",COUNTIF($F390:$AJ390,"TR"))</f>
        <v/>
      </c>
      <c r="AX390" s="35" t="str">
        <f aca="false">IF($B390="","",AO390+AS390/2)</f>
        <v/>
      </c>
      <c r="AY390" s="35" t="str">
        <f aca="false">IF($B390="","",AQ390)</f>
        <v/>
      </c>
      <c r="AZ390" s="35" t="str">
        <f aca="false">IF($B390="","",AP390+AT390/2)</f>
        <v/>
      </c>
      <c r="BA390" s="35" t="str">
        <f aca="false">IF($B390="","",AK390+AN390+AM390/2+AO390+AP390+AQ390+AR390+AS390+AT390+AU390+AV390+AW390)</f>
        <v/>
      </c>
      <c r="BB390" s="35" t="str">
        <f aca="false">IF($B390="","",MAX(0,AN390-Settings!$C$16)*Settings!$C$17)</f>
        <v/>
      </c>
      <c r="BC390" s="35" t="str">
        <f aca="false">IF($B390="","",BA390-BB390)</f>
        <v/>
      </c>
      <c r="BD390" s="35" t="str">
        <f aca="false">IF(OR($B390="",$A390=""),"",DAY(EOMONTH($A390,0))-COUNTA($F390:$AJ390))</f>
        <v/>
      </c>
    </row>
    <row r="391" customFormat="false" ht="15" hidden="false" customHeight="false" outlineLevel="0" collapsed="false">
      <c r="A391" s="32"/>
      <c r="B391" s="29"/>
      <c r="C391" s="10" t="str">
        <f aca="false">IF($B391="","",IFERROR(INDEX(M_name,MATCH($B391,M_emp,0)),"Code not found"))</f>
        <v/>
      </c>
      <c r="D391" s="10" t="str">
        <f aca="false">IF($B391="","",IFERROR(INDEX(M_dept,MATCH($B391,M_emp,0)),""))</f>
        <v/>
      </c>
      <c r="E391" s="10" t="str">
        <f aca="false">IF($B391="","",IFERROR(INDEX(M_loc,MATCH($B391,M_emp,0)),""))</f>
        <v/>
      </c>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4" t="str">
        <f aca="false">IF($B391="","",COUNTIF($F391:$AJ391,"P"))</f>
        <v/>
      </c>
      <c r="AL391" s="34" t="str">
        <f aca="false">IF($B391="","",COUNTIF($F391:$AJ391,"A"))</f>
        <v/>
      </c>
      <c r="AM391" s="34" t="str">
        <f aca="false">IF($B391="","",COUNTIF($F391:$AJ391,"HA"))</f>
        <v/>
      </c>
      <c r="AN391" s="34" t="str">
        <f aca="false">IF($B391="","",COUNTIF($F391:$AJ391,"L"))</f>
        <v/>
      </c>
      <c r="AO391" s="34" t="str">
        <f aca="false">IF($B391="","",COUNTIF($F391:$AJ391,"PL"))</f>
        <v/>
      </c>
      <c r="AP391" s="34" t="str">
        <f aca="false">IF($B391="","",COUNTIF($F391:$AJ391,"CL"))</f>
        <v/>
      </c>
      <c r="AQ391" s="34" t="str">
        <f aca="false">IF($B391="","",COUNTIF($F391:$AJ391,"SL"))</f>
        <v/>
      </c>
      <c r="AR391" s="34" t="str">
        <f aca="false">IF($B391="","",COUNTIF($F391:$AJ391,"CO"))</f>
        <v/>
      </c>
      <c r="AS391" s="34" t="str">
        <f aca="false">IF($B391="","",COUNTIF($F391:$AJ391,"HPL"))</f>
        <v/>
      </c>
      <c r="AT391" s="34" t="str">
        <f aca="false">IF($B391="","",COUNTIF($F391:$AJ391,"HCL"))</f>
        <v/>
      </c>
      <c r="AU391" s="34" t="str">
        <f aca="false">IF($B391="","",COUNTIF($F391:$AJ391,"WO"))</f>
        <v/>
      </c>
      <c r="AV391" s="34" t="str">
        <f aca="false">IF($B391="","",COUNTIF($F391:$AJ391,"PH"))</f>
        <v/>
      </c>
      <c r="AW391" s="34" t="str">
        <f aca="false">IF($B391="","",COUNTIF($F391:$AJ391,"TR"))</f>
        <v/>
      </c>
      <c r="AX391" s="35" t="str">
        <f aca="false">IF($B391="","",AO391+AS391/2)</f>
        <v/>
      </c>
      <c r="AY391" s="35" t="str">
        <f aca="false">IF($B391="","",AQ391)</f>
        <v/>
      </c>
      <c r="AZ391" s="35" t="str">
        <f aca="false">IF($B391="","",AP391+AT391/2)</f>
        <v/>
      </c>
      <c r="BA391" s="35" t="str">
        <f aca="false">IF($B391="","",AK391+AN391+AM391/2+AO391+AP391+AQ391+AR391+AS391+AT391+AU391+AV391+AW391)</f>
        <v/>
      </c>
      <c r="BB391" s="35" t="str">
        <f aca="false">IF($B391="","",MAX(0,AN391-Settings!$C$16)*Settings!$C$17)</f>
        <v/>
      </c>
      <c r="BC391" s="35" t="str">
        <f aca="false">IF($B391="","",BA391-BB391)</f>
        <v/>
      </c>
      <c r="BD391" s="35" t="str">
        <f aca="false">IF(OR($B391="",$A391=""),"",DAY(EOMONTH($A391,0))-COUNTA($F391:$AJ391))</f>
        <v/>
      </c>
    </row>
    <row r="392" customFormat="false" ht="15" hidden="false" customHeight="false" outlineLevel="0" collapsed="false">
      <c r="A392" s="32"/>
      <c r="B392" s="29"/>
      <c r="C392" s="10" t="str">
        <f aca="false">IF($B392="","",IFERROR(INDEX(M_name,MATCH($B392,M_emp,0)),"Code not found"))</f>
        <v/>
      </c>
      <c r="D392" s="10" t="str">
        <f aca="false">IF($B392="","",IFERROR(INDEX(M_dept,MATCH($B392,M_emp,0)),""))</f>
        <v/>
      </c>
      <c r="E392" s="10" t="str">
        <f aca="false">IF($B392="","",IFERROR(INDEX(M_loc,MATCH($B392,M_emp,0)),""))</f>
        <v/>
      </c>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4" t="str">
        <f aca="false">IF($B392="","",COUNTIF($F392:$AJ392,"P"))</f>
        <v/>
      </c>
      <c r="AL392" s="34" t="str">
        <f aca="false">IF($B392="","",COUNTIF($F392:$AJ392,"A"))</f>
        <v/>
      </c>
      <c r="AM392" s="34" t="str">
        <f aca="false">IF($B392="","",COUNTIF($F392:$AJ392,"HA"))</f>
        <v/>
      </c>
      <c r="AN392" s="34" t="str">
        <f aca="false">IF($B392="","",COUNTIF($F392:$AJ392,"L"))</f>
        <v/>
      </c>
      <c r="AO392" s="34" t="str">
        <f aca="false">IF($B392="","",COUNTIF($F392:$AJ392,"PL"))</f>
        <v/>
      </c>
      <c r="AP392" s="34" t="str">
        <f aca="false">IF($B392="","",COUNTIF($F392:$AJ392,"CL"))</f>
        <v/>
      </c>
      <c r="AQ392" s="34" t="str">
        <f aca="false">IF($B392="","",COUNTIF($F392:$AJ392,"SL"))</f>
        <v/>
      </c>
      <c r="AR392" s="34" t="str">
        <f aca="false">IF($B392="","",COUNTIF($F392:$AJ392,"CO"))</f>
        <v/>
      </c>
      <c r="AS392" s="34" t="str">
        <f aca="false">IF($B392="","",COUNTIF($F392:$AJ392,"HPL"))</f>
        <v/>
      </c>
      <c r="AT392" s="34" t="str">
        <f aca="false">IF($B392="","",COUNTIF($F392:$AJ392,"HCL"))</f>
        <v/>
      </c>
      <c r="AU392" s="34" t="str">
        <f aca="false">IF($B392="","",COUNTIF($F392:$AJ392,"WO"))</f>
        <v/>
      </c>
      <c r="AV392" s="34" t="str">
        <f aca="false">IF($B392="","",COUNTIF($F392:$AJ392,"PH"))</f>
        <v/>
      </c>
      <c r="AW392" s="34" t="str">
        <f aca="false">IF($B392="","",COUNTIF($F392:$AJ392,"TR"))</f>
        <v/>
      </c>
      <c r="AX392" s="35" t="str">
        <f aca="false">IF($B392="","",AO392+AS392/2)</f>
        <v/>
      </c>
      <c r="AY392" s="35" t="str">
        <f aca="false">IF($B392="","",AQ392)</f>
        <v/>
      </c>
      <c r="AZ392" s="35" t="str">
        <f aca="false">IF($B392="","",AP392+AT392/2)</f>
        <v/>
      </c>
      <c r="BA392" s="35" t="str">
        <f aca="false">IF($B392="","",AK392+AN392+AM392/2+AO392+AP392+AQ392+AR392+AS392+AT392+AU392+AV392+AW392)</f>
        <v/>
      </c>
      <c r="BB392" s="35" t="str">
        <f aca="false">IF($B392="","",MAX(0,AN392-Settings!$C$16)*Settings!$C$17)</f>
        <v/>
      </c>
      <c r="BC392" s="35" t="str">
        <f aca="false">IF($B392="","",BA392-BB392)</f>
        <v/>
      </c>
      <c r="BD392" s="35" t="str">
        <f aca="false">IF(OR($B392="",$A392=""),"",DAY(EOMONTH($A392,0))-COUNTA($F392:$AJ392))</f>
        <v/>
      </c>
    </row>
    <row r="393" customFormat="false" ht="15" hidden="false" customHeight="false" outlineLevel="0" collapsed="false">
      <c r="A393" s="32"/>
      <c r="B393" s="29"/>
      <c r="C393" s="10" t="str">
        <f aca="false">IF($B393="","",IFERROR(INDEX(M_name,MATCH($B393,M_emp,0)),"Code not found"))</f>
        <v/>
      </c>
      <c r="D393" s="10" t="str">
        <f aca="false">IF($B393="","",IFERROR(INDEX(M_dept,MATCH($B393,M_emp,0)),""))</f>
        <v/>
      </c>
      <c r="E393" s="10" t="str">
        <f aca="false">IF($B393="","",IFERROR(INDEX(M_loc,MATCH($B393,M_emp,0)),""))</f>
        <v/>
      </c>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4" t="str">
        <f aca="false">IF($B393="","",COUNTIF($F393:$AJ393,"P"))</f>
        <v/>
      </c>
      <c r="AL393" s="34" t="str">
        <f aca="false">IF($B393="","",COUNTIF($F393:$AJ393,"A"))</f>
        <v/>
      </c>
      <c r="AM393" s="34" t="str">
        <f aca="false">IF($B393="","",COUNTIF($F393:$AJ393,"HA"))</f>
        <v/>
      </c>
      <c r="AN393" s="34" t="str">
        <f aca="false">IF($B393="","",COUNTIF($F393:$AJ393,"L"))</f>
        <v/>
      </c>
      <c r="AO393" s="34" t="str">
        <f aca="false">IF($B393="","",COUNTIF($F393:$AJ393,"PL"))</f>
        <v/>
      </c>
      <c r="AP393" s="34" t="str">
        <f aca="false">IF($B393="","",COUNTIF($F393:$AJ393,"CL"))</f>
        <v/>
      </c>
      <c r="AQ393" s="34" t="str">
        <f aca="false">IF($B393="","",COUNTIF($F393:$AJ393,"SL"))</f>
        <v/>
      </c>
      <c r="AR393" s="34" t="str">
        <f aca="false">IF($B393="","",COUNTIF($F393:$AJ393,"CO"))</f>
        <v/>
      </c>
      <c r="AS393" s="34" t="str">
        <f aca="false">IF($B393="","",COUNTIF($F393:$AJ393,"HPL"))</f>
        <v/>
      </c>
      <c r="AT393" s="34" t="str">
        <f aca="false">IF($B393="","",COUNTIF($F393:$AJ393,"HCL"))</f>
        <v/>
      </c>
      <c r="AU393" s="34" t="str">
        <f aca="false">IF($B393="","",COUNTIF($F393:$AJ393,"WO"))</f>
        <v/>
      </c>
      <c r="AV393" s="34" t="str">
        <f aca="false">IF($B393="","",COUNTIF($F393:$AJ393,"PH"))</f>
        <v/>
      </c>
      <c r="AW393" s="34" t="str">
        <f aca="false">IF($B393="","",COUNTIF($F393:$AJ393,"TR"))</f>
        <v/>
      </c>
      <c r="AX393" s="35" t="str">
        <f aca="false">IF($B393="","",AO393+AS393/2)</f>
        <v/>
      </c>
      <c r="AY393" s="35" t="str">
        <f aca="false">IF($B393="","",AQ393)</f>
        <v/>
      </c>
      <c r="AZ393" s="35" t="str">
        <f aca="false">IF($B393="","",AP393+AT393/2)</f>
        <v/>
      </c>
      <c r="BA393" s="35" t="str">
        <f aca="false">IF($B393="","",AK393+AN393+AM393/2+AO393+AP393+AQ393+AR393+AS393+AT393+AU393+AV393+AW393)</f>
        <v/>
      </c>
      <c r="BB393" s="35" t="str">
        <f aca="false">IF($B393="","",MAX(0,AN393-Settings!$C$16)*Settings!$C$17)</f>
        <v/>
      </c>
      <c r="BC393" s="35" t="str">
        <f aca="false">IF($B393="","",BA393-BB393)</f>
        <v/>
      </c>
      <c r="BD393" s="35" t="str">
        <f aca="false">IF(OR($B393="",$A393=""),"",DAY(EOMONTH($A393,0))-COUNTA($F393:$AJ393))</f>
        <v/>
      </c>
    </row>
    <row r="394" customFormat="false" ht="15" hidden="false" customHeight="false" outlineLevel="0" collapsed="false">
      <c r="A394" s="32"/>
      <c r="B394" s="29"/>
      <c r="C394" s="10" t="str">
        <f aca="false">IF($B394="","",IFERROR(INDEX(M_name,MATCH($B394,M_emp,0)),"Code not found"))</f>
        <v/>
      </c>
      <c r="D394" s="10" t="str">
        <f aca="false">IF($B394="","",IFERROR(INDEX(M_dept,MATCH($B394,M_emp,0)),""))</f>
        <v/>
      </c>
      <c r="E394" s="10" t="str">
        <f aca="false">IF($B394="","",IFERROR(INDEX(M_loc,MATCH($B394,M_emp,0)),""))</f>
        <v/>
      </c>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4" t="str">
        <f aca="false">IF($B394="","",COUNTIF($F394:$AJ394,"P"))</f>
        <v/>
      </c>
      <c r="AL394" s="34" t="str">
        <f aca="false">IF($B394="","",COUNTIF($F394:$AJ394,"A"))</f>
        <v/>
      </c>
      <c r="AM394" s="34" t="str">
        <f aca="false">IF($B394="","",COUNTIF($F394:$AJ394,"HA"))</f>
        <v/>
      </c>
      <c r="AN394" s="34" t="str">
        <f aca="false">IF($B394="","",COUNTIF($F394:$AJ394,"L"))</f>
        <v/>
      </c>
      <c r="AO394" s="34" t="str">
        <f aca="false">IF($B394="","",COUNTIF($F394:$AJ394,"PL"))</f>
        <v/>
      </c>
      <c r="AP394" s="34" t="str">
        <f aca="false">IF($B394="","",COUNTIF($F394:$AJ394,"CL"))</f>
        <v/>
      </c>
      <c r="AQ394" s="34" t="str">
        <f aca="false">IF($B394="","",COUNTIF($F394:$AJ394,"SL"))</f>
        <v/>
      </c>
      <c r="AR394" s="34" t="str">
        <f aca="false">IF($B394="","",COUNTIF($F394:$AJ394,"CO"))</f>
        <v/>
      </c>
      <c r="AS394" s="34" t="str">
        <f aca="false">IF($B394="","",COUNTIF($F394:$AJ394,"HPL"))</f>
        <v/>
      </c>
      <c r="AT394" s="34" t="str">
        <f aca="false">IF($B394="","",COUNTIF($F394:$AJ394,"HCL"))</f>
        <v/>
      </c>
      <c r="AU394" s="34" t="str">
        <f aca="false">IF($B394="","",COUNTIF($F394:$AJ394,"WO"))</f>
        <v/>
      </c>
      <c r="AV394" s="34" t="str">
        <f aca="false">IF($B394="","",COUNTIF($F394:$AJ394,"PH"))</f>
        <v/>
      </c>
      <c r="AW394" s="34" t="str">
        <f aca="false">IF($B394="","",COUNTIF($F394:$AJ394,"TR"))</f>
        <v/>
      </c>
      <c r="AX394" s="35" t="str">
        <f aca="false">IF($B394="","",AO394+AS394/2)</f>
        <v/>
      </c>
      <c r="AY394" s="35" t="str">
        <f aca="false">IF($B394="","",AQ394)</f>
        <v/>
      </c>
      <c r="AZ394" s="35" t="str">
        <f aca="false">IF($B394="","",AP394+AT394/2)</f>
        <v/>
      </c>
      <c r="BA394" s="35" t="str">
        <f aca="false">IF($B394="","",AK394+AN394+AM394/2+AO394+AP394+AQ394+AR394+AS394+AT394+AU394+AV394+AW394)</f>
        <v/>
      </c>
      <c r="BB394" s="35" t="str">
        <f aca="false">IF($B394="","",MAX(0,AN394-Settings!$C$16)*Settings!$C$17)</f>
        <v/>
      </c>
      <c r="BC394" s="35" t="str">
        <f aca="false">IF($B394="","",BA394-BB394)</f>
        <v/>
      </c>
      <c r="BD394" s="35" t="str">
        <f aca="false">IF(OR($B394="",$A394=""),"",DAY(EOMONTH($A394,0))-COUNTA($F394:$AJ394))</f>
        <v/>
      </c>
    </row>
    <row r="395" customFormat="false" ht="15" hidden="false" customHeight="false" outlineLevel="0" collapsed="false">
      <c r="A395" s="32"/>
      <c r="B395" s="29"/>
      <c r="C395" s="10" t="str">
        <f aca="false">IF($B395="","",IFERROR(INDEX(M_name,MATCH($B395,M_emp,0)),"Code not found"))</f>
        <v/>
      </c>
      <c r="D395" s="10" t="str">
        <f aca="false">IF($B395="","",IFERROR(INDEX(M_dept,MATCH($B395,M_emp,0)),""))</f>
        <v/>
      </c>
      <c r="E395" s="10" t="str">
        <f aca="false">IF($B395="","",IFERROR(INDEX(M_loc,MATCH($B395,M_emp,0)),""))</f>
        <v/>
      </c>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4" t="str">
        <f aca="false">IF($B395="","",COUNTIF($F395:$AJ395,"P"))</f>
        <v/>
      </c>
      <c r="AL395" s="34" t="str">
        <f aca="false">IF($B395="","",COUNTIF($F395:$AJ395,"A"))</f>
        <v/>
      </c>
      <c r="AM395" s="34" t="str">
        <f aca="false">IF($B395="","",COUNTIF($F395:$AJ395,"HA"))</f>
        <v/>
      </c>
      <c r="AN395" s="34" t="str">
        <f aca="false">IF($B395="","",COUNTIF($F395:$AJ395,"L"))</f>
        <v/>
      </c>
      <c r="AO395" s="34" t="str">
        <f aca="false">IF($B395="","",COUNTIF($F395:$AJ395,"PL"))</f>
        <v/>
      </c>
      <c r="AP395" s="34" t="str">
        <f aca="false">IF($B395="","",COUNTIF($F395:$AJ395,"CL"))</f>
        <v/>
      </c>
      <c r="AQ395" s="34" t="str">
        <f aca="false">IF($B395="","",COUNTIF($F395:$AJ395,"SL"))</f>
        <v/>
      </c>
      <c r="AR395" s="34" t="str">
        <f aca="false">IF($B395="","",COUNTIF($F395:$AJ395,"CO"))</f>
        <v/>
      </c>
      <c r="AS395" s="34" t="str">
        <f aca="false">IF($B395="","",COUNTIF($F395:$AJ395,"HPL"))</f>
        <v/>
      </c>
      <c r="AT395" s="34" t="str">
        <f aca="false">IF($B395="","",COUNTIF($F395:$AJ395,"HCL"))</f>
        <v/>
      </c>
      <c r="AU395" s="34" t="str">
        <f aca="false">IF($B395="","",COUNTIF($F395:$AJ395,"WO"))</f>
        <v/>
      </c>
      <c r="AV395" s="34" t="str">
        <f aca="false">IF($B395="","",COUNTIF($F395:$AJ395,"PH"))</f>
        <v/>
      </c>
      <c r="AW395" s="34" t="str">
        <f aca="false">IF($B395="","",COUNTIF($F395:$AJ395,"TR"))</f>
        <v/>
      </c>
      <c r="AX395" s="35" t="str">
        <f aca="false">IF($B395="","",AO395+AS395/2)</f>
        <v/>
      </c>
      <c r="AY395" s="35" t="str">
        <f aca="false">IF($B395="","",AQ395)</f>
        <v/>
      </c>
      <c r="AZ395" s="35" t="str">
        <f aca="false">IF($B395="","",AP395+AT395/2)</f>
        <v/>
      </c>
      <c r="BA395" s="35" t="str">
        <f aca="false">IF($B395="","",AK395+AN395+AM395/2+AO395+AP395+AQ395+AR395+AS395+AT395+AU395+AV395+AW395)</f>
        <v/>
      </c>
      <c r="BB395" s="35" t="str">
        <f aca="false">IF($B395="","",MAX(0,AN395-Settings!$C$16)*Settings!$C$17)</f>
        <v/>
      </c>
      <c r="BC395" s="35" t="str">
        <f aca="false">IF($B395="","",BA395-BB395)</f>
        <v/>
      </c>
      <c r="BD395" s="35" t="str">
        <f aca="false">IF(OR($B395="",$A395=""),"",DAY(EOMONTH($A395,0))-COUNTA($F395:$AJ395))</f>
        <v/>
      </c>
    </row>
    <row r="396" customFormat="false" ht="15" hidden="false" customHeight="false" outlineLevel="0" collapsed="false">
      <c r="A396" s="32"/>
      <c r="B396" s="29"/>
      <c r="C396" s="10" t="str">
        <f aca="false">IF($B396="","",IFERROR(INDEX(M_name,MATCH($B396,M_emp,0)),"Code not found"))</f>
        <v/>
      </c>
      <c r="D396" s="10" t="str">
        <f aca="false">IF($B396="","",IFERROR(INDEX(M_dept,MATCH($B396,M_emp,0)),""))</f>
        <v/>
      </c>
      <c r="E396" s="10" t="str">
        <f aca="false">IF($B396="","",IFERROR(INDEX(M_loc,MATCH($B396,M_emp,0)),""))</f>
        <v/>
      </c>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4" t="str">
        <f aca="false">IF($B396="","",COUNTIF($F396:$AJ396,"P"))</f>
        <v/>
      </c>
      <c r="AL396" s="34" t="str">
        <f aca="false">IF($B396="","",COUNTIF($F396:$AJ396,"A"))</f>
        <v/>
      </c>
      <c r="AM396" s="34" t="str">
        <f aca="false">IF($B396="","",COUNTIF($F396:$AJ396,"HA"))</f>
        <v/>
      </c>
      <c r="AN396" s="34" t="str">
        <f aca="false">IF($B396="","",COUNTIF($F396:$AJ396,"L"))</f>
        <v/>
      </c>
      <c r="AO396" s="34" t="str">
        <f aca="false">IF($B396="","",COUNTIF($F396:$AJ396,"PL"))</f>
        <v/>
      </c>
      <c r="AP396" s="34" t="str">
        <f aca="false">IF($B396="","",COUNTIF($F396:$AJ396,"CL"))</f>
        <v/>
      </c>
      <c r="AQ396" s="34" t="str">
        <f aca="false">IF($B396="","",COUNTIF($F396:$AJ396,"SL"))</f>
        <v/>
      </c>
      <c r="AR396" s="34" t="str">
        <f aca="false">IF($B396="","",COUNTIF($F396:$AJ396,"CO"))</f>
        <v/>
      </c>
      <c r="AS396" s="34" t="str">
        <f aca="false">IF($B396="","",COUNTIF($F396:$AJ396,"HPL"))</f>
        <v/>
      </c>
      <c r="AT396" s="34" t="str">
        <f aca="false">IF($B396="","",COUNTIF($F396:$AJ396,"HCL"))</f>
        <v/>
      </c>
      <c r="AU396" s="34" t="str">
        <f aca="false">IF($B396="","",COUNTIF($F396:$AJ396,"WO"))</f>
        <v/>
      </c>
      <c r="AV396" s="34" t="str">
        <f aca="false">IF($B396="","",COUNTIF($F396:$AJ396,"PH"))</f>
        <v/>
      </c>
      <c r="AW396" s="34" t="str">
        <f aca="false">IF($B396="","",COUNTIF($F396:$AJ396,"TR"))</f>
        <v/>
      </c>
      <c r="AX396" s="35" t="str">
        <f aca="false">IF($B396="","",AO396+AS396/2)</f>
        <v/>
      </c>
      <c r="AY396" s="35" t="str">
        <f aca="false">IF($B396="","",AQ396)</f>
        <v/>
      </c>
      <c r="AZ396" s="35" t="str">
        <f aca="false">IF($B396="","",AP396+AT396/2)</f>
        <v/>
      </c>
      <c r="BA396" s="35" t="str">
        <f aca="false">IF($B396="","",AK396+AN396+AM396/2+AO396+AP396+AQ396+AR396+AS396+AT396+AU396+AV396+AW396)</f>
        <v/>
      </c>
      <c r="BB396" s="35" t="str">
        <f aca="false">IF($B396="","",MAX(0,AN396-Settings!$C$16)*Settings!$C$17)</f>
        <v/>
      </c>
      <c r="BC396" s="35" t="str">
        <f aca="false">IF($B396="","",BA396-BB396)</f>
        <v/>
      </c>
      <c r="BD396" s="35" t="str">
        <f aca="false">IF(OR($B396="",$A396=""),"",DAY(EOMONTH($A396,0))-COUNTA($F396:$AJ396))</f>
        <v/>
      </c>
    </row>
    <row r="397" customFormat="false" ht="15" hidden="false" customHeight="false" outlineLevel="0" collapsed="false">
      <c r="A397" s="32"/>
      <c r="B397" s="29"/>
      <c r="C397" s="10" t="str">
        <f aca="false">IF($B397="","",IFERROR(INDEX(M_name,MATCH($B397,M_emp,0)),"Code not found"))</f>
        <v/>
      </c>
      <c r="D397" s="10" t="str">
        <f aca="false">IF($B397="","",IFERROR(INDEX(M_dept,MATCH($B397,M_emp,0)),""))</f>
        <v/>
      </c>
      <c r="E397" s="10" t="str">
        <f aca="false">IF($B397="","",IFERROR(INDEX(M_loc,MATCH($B397,M_emp,0)),""))</f>
        <v/>
      </c>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4" t="str">
        <f aca="false">IF($B397="","",COUNTIF($F397:$AJ397,"P"))</f>
        <v/>
      </c>
      <c r="AL397" s="34" t="str">
        <f aca="false">IF($B397="","",COUNTIF($F397:$AJ397,"A"))</f>
        <v/>
      </c>
      <c r="AM397" s="34" t="str">
        <f aca="false">IF($B397="","",COUNTIF($F397:$AJ397,"HA"))</f>
        <v/>
      </c>
      <c r="AN397" s="34" t="str">
        <f aca="false">IF($B397="","",COUNTIF($F397:$AJ397,"L"))</f>
        <v/>
      </c>
      <c r="AO397" s="34" t="str">
        <f aca="false">IF($B397="","",COUNTIF($F397:$AJ397,"PL"))</f>
        <v/>
      </c>
      <c r="AP397" s="34" t="str">
        <f aca="false">IF($B397="","",COUNTIF($F397:$AJ397,"CL"))</f>
        <v/>
      </c>
      <c r="AQ397" s="34" t="str">
        <f aca="false">IF($B397="","",COUNTIF($F397:$AJ397,"SL"))</f>
        <v/>
      </c>
      <c r="AR397" s="34" t="str">
        <f aca="false">IF($B397="","",COUNTIF($F397:$AJ397,"CO"))</f>
        <v/>
      </c>
      <c r="AS397" s="34" t="str">
        <f aca="false">IF($B397="","",COUNTIF($F397:$AJ397,"HPL"))</f>
        <v/>
      </c>
      <c r="AT397" s="34" t="str">
        <f aca="false">IF($B397="","",COUNTIF($F397:$AJ397,"HCL"))</f>
        <v/>
      </c>
      <c r="AU397" s="34" t="str">
        <f aca="false">IF($B397="","",COUNTIF($F397:$AJ397,"WO"))</f>
        <v/>
      </c>
      <c r="AV397" s="34" t="str">
        <f aca="false">IF($B397="","",COUNTIF($F397:$AJ397,"PH"))</f>
        <v/>
      </c>
      <c r="AW397" s="34" t="str">
        <f aca="false">IF($B397="","",COUNTIF($F397:$AJ397,"TR"))</f>
        <v/>
      </c>
      <c r="AX397" s="35" t="str">
        <f aca="false">IF($B397="","",AO397+AS397/2)</f>
        <v/>
      </c>
      <c r="AY397" s="35" t="str">
        <f aca="false">IF($B397="","",AQ397)</f>
        <v/>
      </c>
      <c r="AZ397" s="35" t="str">
        <f aca="false">IF($B397="","",AP397+AT397/2)</f>
        <v/>
      </c>
      <c r="BA397" s="35" t="str">
        <f aca="false">IF($B397="","",AK397+AN397+AM397/2+AO397+AP397+AQ397+AR397+AS397+AT397+AU397+AV397+AW397)</f>
        <v/>
      </c>
      <c r="BB397" s="35" t="str">
        <f aca="false">IF($B397="","",MAX(0,AN397-Settings!$C$16)*Settings!$C$17)</f>
        <v/>
      </c>
      <c r="BC397" s="35" t="str">
        <f aca="false">IF($B397="","",BA397-BB397)</f>
        <v/>
      </c>
      <c r="BD397" s="35" t="str">
        <f aca="false">IF(OR($B397="",$A397=""),"",DAY(EOMONTH($A397,0))-COUNTA($F397:$AJ397))</f>
        <v/>
      </c>
    </row>
    <row r="398" customFormat="false" ht="15" hidden="false" customHeight="false" outlineLevel="0" collapsed="false">
      <c r="A398" s="32"/>
      <c r="B398" s="29"/>
      <c r="C398" s="10" t="str">
        <f aca="false">IF($B398="","",IFERROR(INDEX(M_name,MATCH($B398,M_emp,0)),"Code not found"))</f>
        <v/>
      </c>
      <c r="D398" s="10" t="str">
        <f aca="false">IF($B398="","",IFERROR(INDEX(M_dept,MATCH($B398,M_emp,0)),""))</f>
        <v/>
      </c>
      <c r="E398" s="10" t="str">
        <f aca="false">IF($B398="","",IFERROR(INDEX(M_loc,MATCH($B398,M_emp,0)),""))</f>
        <v/>
      </c>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4" t="str">
        <f aca="false">IF($B398="","",COUNTIF($F398:$AJ398,"P"))</f>
        <v/>
      </c>
      <c r="AL398" s="34" t="str">
        <f aca="false">IF($B398="","",COUNTIF($F398:$AJ398,"A"))</f>
        <v/>
      </c>
      <c r="AM398" s="34" t="str">
        <f aca="false">IF($B398="","",COUNTIF($F398:$AJ398,"HA"))</f>
        <v/>
      </c>
      <c r="AN398" s="34" t="str">
        <f aca="false">IF($B398="","",COUNTIF($F398:$AJ398,"L"))</f>
        <v/>
      </c>
      <c r="AO398" s="34" t="str">
        <f aca="false">IF($B398="","",COUNTIF($F398:$AJ398,"PL"))</f>
        <v/>
      </c>
      <c r="AP398" s="34" t="str">
        <f aca="false">IF($B398="","",COUNTIF($F398:$AJ398,"CL"))</f>
        <v/>
      </c>
      <c r="AQ398" s="34" t="str">
        <f aca="false">IF($B398="","",COUNTIF($F398:$AJ398,"SL"))</f>
        <v/>
      </c>
      <c r="AR398" s="34" t="str">
        <f aca="false">IF($B398="","",COUNTIF($F398:$AJ398,"CO"))</f>
        <v/>
      </c>
      <c r="AS398" s="34" t="str">
        <f aca="false">IF($B398="","",COUNTIF($F398:$AJ398,"HPL"))</f>
        <v/>
      </c>
      <c r="AT398" s="34" t="str">
        <f aca="false">IF($B398="","",COUNTIF($F398:$AJ398,"HCL"))</f>
        <v/>
      </c>
      <c r="AU398" s="34" t="str">
        <f aca="false">IF($B398="","",COUNTIF($F398:$AJ398,"WO"))</f>
        <v/>
      </c>
      <c r="AV398" s="34" t="str">
        <f aca="false">IF($B398="","",COUNTIF($F398:$AJ398,"PH"))</f>
        <v/>
      </c>
      <c r="AW398" s="34" t="str">
        <f aca="false">IF($B398="","",COUNTIF($F398:$AJ398,"TR"))</f>
        <v/>
      </c>
      <c r="AX398" s="35" t="str">
        <f aca="false">IF($B398="","",AO398+AS398/2)</f>
        <v/>
      </c>
      <c r="AY398" s="35" t="str">
        <f aca="false">IF($B398="","",AQ398)</f>
        <v/>
      </c>
      <c r="AZ398" s="35" t="str">
        <f aca="false">IF($B398="","",AP398+AT398/2)</f>
        <v/>
      </c>
      <c r="BA398" s="35" t="str">
        <f aca="false">IF($B398="","",AK398+AN398+AM398/2+AO398+AP398+AQ398+AR398+AS398+AT398+AU398+AV398+AW398)</f>
        <v/>
      </c>
      <c r="BB398" s="35" t="str">
        <f aca="false">IF($B398="","",MAX(0,AN398-Settings!$C$16)*Settings!$C$17)</f>
        <v/>
      </c>
      <c r="BC398" s="35" t="str">
        <f aca="false">IF($B398="","",BA398-BB398)</f>
        <v/>
      </c>
      <c r="BD398" s="35" t="str">
        <f aca="false">IF(OR($B398="",$A398=""),"",DAY(EOMONTH($A398,0))-COUNTA($F398:$AJ398))</f>
        <v/>
      </c>
    </row>
    <row r="399" customFormat="false" ht="15" hidden="false" customHeight="false" outlineLevel="0" collapsed="false">
      <c r="A399" s="32"/>
      <c r="B399" s="29"/>
      <c r="C399" s="10" t="str">
        <f aca="false">IF($B399="","",IFERROR(INDEX(M_name,MATCH($B399,M_emp,0)),"Code not found"))</f>
        <v/>
      </c>
      <c r="D399" s="10" t="str">
        <f aca="false">IF($B399="","",IFERROR(INDEX(M_dept,MATCH($B399,M_emp,0)),""))</f>
        <v/>
      </c>
      <c r="E399" s="10" t="str">
        <f aca="false">IF($B399="","",IFERROR(INDEX(M_loc,MATCH($B399,M_emp,0)),""))</f>
        <v/>
      </c>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4" t="str">
        <f aca="false">IF($B399="","",COUNTIF($F399:$AJ399,"P"))</f>
        <v/>
      </c>
      <c r="AL399" s="34" t="str">
        <f aca="false">IF($B399="","",COUNTIF($F399:$AJ399,"A"))</f>
        <v/>
      </c>
      <c r="AM399" s="34" t="str">
        <f aca="false">IF($B399="","",COUNTIF($F399:$AJ399,"HA"))</f>
        <v/>
      </c>
      <c r="AN399" s="34" t="str">
        <f aca="false">IF($B399="","",COUNTIF($F399:$AJ399,"L"))</f>
        <v/>
      </c>
      <c r="AO399" s="34" t="str">
        <f aca="false">IF($B399="","",COUNTIF($F399:$AJ399,"PL"))</f>
        <v/>
      </c>
      <c r="AP399" s="34" t="str">
        <f aca="false">IF($B399="","",COUNTIF($F399:$AJ399,"CL"))</f>
        <v/>
      </c>
      <c r="AQ399" s="34" t="str">
        <f aca="false">IF($B399="","",COUNTIF($F399:$AJ399,"SL"))</f>
        <v/>
      </c>
      <c r="AR399" s="34" t="str">
        <f aca="false">IF($B399="","",COUNTIF($F399:$AJ399,"CO"))</f>
        <v/>
      </c>
      <c r="AS399" s="34" t="str">
        <f aca="false">IF($B399="","",COUNTIF($F399:$AJ399,"HPL"))</f>
        <v/>
      </c>
      <c r="AT399" s="34" t="str">
        <f aca="false">IF($B399="","",COUNTIF($F399:$AJ399,"HCL"))</f>
        <v/>
      </c>
      <c r="AU399" s="34" t="str">
        <f aca="false">IF($B399="","",COUNTIF($F399:$AJ399,"WO"))</f>
        <v/>
      </c>
      <c r="AV399" s="34" t="str">
        <f aca="false">IF($B399="","",COUNTIF($F399:$AJ399,"PH"))</f>
        <v/>
      </c>
      <c r="AW399" s="34" t="str">
        <f aca="false">IF($B399="","",COUNTIF($F399:$AJ399,"TR"))</f>
        <v/>
      </c>
      <c r="AX399" s="35" t="str">
        <f aca="false">IF($B399="","",AO399+AS399/2)</f>
        <v/>
      </c>
      <c r="AY399" s="35" t="str">
        <f aca="false">IF($B399="","",AQ399)</f>
        <v/>
      </c>
      <c r="AZ399" s="35" t="str">
        <f aca="false">IF($B399="","",AP399+AT399/2)</f>
        <v/>
      </c>
      <c r="BA399" s="35" t="str">
        <f aca="false">IF($B399="","",AK399+AN399+AM399/2+AO399+AP399+AQ399+AR399+AS399+AT399+AU399+AV399+AW399)</f>
        <v/>
      </c>
      <c r="BB399" s="35" t="str">
        <f aca="false">IF($B399="","",MAX(0,AN399-Settings!$C$16)*Settings!$C$17)</f>
        <v/>
      </c>
      <c r="BC399" s="35" t="str">
        <f aca="false">IF($B399="","",BA399-BB399)</f>
        <v/>
      </c>
      <c r="BD399" s="35" t="str">
        <f aca="false">IF(OR($B399="",$A399=""),"",DAY(EOMONTH($A399,0))-COUNTA($F399:$AJ399))</f>
        <v/>
      </c>
    </row>
    <row r="400" customFormat="false" ht="15" hidden="false" customHeight="false" outlineLevel="0" collapsed="false">
      <c r="A400" s="32"/>
      <c r="B400" s="29"/>
      <c r="C400" s="10" t="str">
        <f aca="false">IF($B400="","",IFERROR(INDEX(M_name,MATCH($B400,M_emp,0)),"Code not found"))</f>
        <v/>
      </c>
      <c r="D400" s="10" t="str">
        <f aca="false">IF($B400="","",IFERROR(INDEX(M_dept,MATCH($B400,M_emp,0)),""))</f>
        <v/>
      </c>
      <c r="E400" s="10" t="str">
        <f aca="false">IF($B400="","",IFERROR(INDEX(M_loc,MATCH($B400,M_emp,0)),""))</f>
        <v/>
      </c>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4" t="str">
        <f aca="false">IF($B400="","",COUNTIF($F400:$AJ400,"P"))</f>
        <v/>
      </c>
      <c r="AL400" s="34" t="str">
        <f aca="false">IF($B400="","",COUNTIF($F400:$AJ400,"A"))</f>
        <v/>
      </c>
      <c r="AM400" s="34" t="str">
        <f aca="false">IF($B400="","",COUNTIF($F400:$AJ400,"HA"))</f>
        <v/>
      </c>
      <c r="AN400" s="34" t="str">
        <f aca="false">IF($B400="","",COUNTIF($F400:$AJ400,"L"))</f>
        <v/>
      </c>
      <c r="AO400" s="34" t="str">
        <f aca="false">IF($B400="","",COUNTIF($F400:$AJ400,"PL"))</f>
        <v/>
      </c>
      <c r="AP400" s="34" t="str">
        <f aca="false">IF($B400="","",COUNTIF($F400:$AJ400,"CL"))</f>
        <v/>
      </c>
      <c r="AQ400" s="34" t="str">
        <f aca="false">IF($B400="","",COUNTIF($F400:$AJ400,"SL"))</f>
        <v/>
      </c>
      <c r="AR400" s="34" t="str">
        <f aca="false">IF($B400="","",COUNTIF($F400:$AJ400,"CO"))</f>
        <v/>
      </c>
      <c r="AS400" s="34" t="str">
        <f aca="false">IF($B400="","",COUNTIF($F400:$AJ400,"HPL"))</f>
        <v/>
      </c>
      <c r="AT400" s="34" t="str">
        <f aca="false">IF($B400="","",COUNTIF($F400:$AJ400,"HCL"))</f>
        <v/>
      </c>
      <c r="AU400" s="34" t="str">
        <f aca="false">IF($B400="","",COUNTIF($F400:$AJ400,"WO"))</f>
        <v/>
      </c>
      <c r="AV400" s="34" t="str">
        <f aca="false">IF($B400="","",COUNTIF($F400:$AJ400,"PH"))</f>
        <v/>
      </c>
      <c r="AW400" s="34" t="str">
        <f aca="false">IF($B400="","",COUNTIF($F400:$AJ400,"TR"))</f>
        <v/>
      </c>
      <c r="AX400" s="35" t="str">
        <f aca="false">IF($B400="","",AO400+AS400/2)</f>
        <v/>
      </c>
      <c r="AY400" s="35" t="str">
        <f aca="false">IF($B400="","",AQ400)</f>
        <v/>
      </c>
      <c r="AZ400" s="35" t="str">
        <f aca="false">IF($B400="","",AP400+AT400/2)</f>
        <v/>
      </c>
      <c r="BA400" s="35" t="str">
        <f aca="false">IF($B400="","",AK400+AN400+AM400/2+AO400+AP400+AQ400+AR400+AS400+AT400+AU400+AV400+AW400)</f>
        <v/>
      </c>
      <c r="BB400" s="35" t="str">
        <f aca="false">IF($B400="","",MAX(0,AN400-Settings!$C$16)*Settings!$C$17)</f>
        <v/>
      </c>
      <c r="BC400" s="35" t="str">
        <f aca="false">IF($B400="","",BA400-BB400)</f>
        <v/>
      </c>
      <c r="BD400" s="35" t="str">
        <f aca="false">IF(OR($B400="",$A400=""),"",DAY(EOMONTH($A400,0))-COUNTA($F400:$AJ400))</f>
        <v/>
      </c>
    </row>
    <row r="401" customFormat="false" ht="15" hidden="false" customHeight="false" outlineLevel="0" collapsed="false">
      <c r="A401" s="32"/>
      <c r="B401" s="29"/>
      <c r="C401" s="10" t="str">
        <f aca="false">IF($B401="","",IFERROR(INDEX(M_name,MATCH($B401,M_emp,0)),"Code not found"))</f>
        <v/>
      </c>
      <c r="D401" s="10" t="str">
        <f aca="false">IF($B401="","",IFERROR(INDEX(M_dept,MATCH($B401,M_emp,0)),""))</f>
        <v/>
      </c>
      <c r="E401" s="10" t="str">
        <f aca="false">IF($B401="","",IFERROR(INDEX(M_loc,MATCH($B401,M_emp,0)),""))</f>
        <v/>
      </c>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4" t="str">
        <f aca="false">IF($B401="","",COUNTIF($F401:$AJ401,"P"))</f>
        <v/>
      </c>
      <c r="AL401" s="34" t="str">
        <f aca="false">IF($B401="","",COUNTIF($F401:$AJ401,"A"))</f>
        <v/>
      </c>
      <c r="AM401" s="34" t="str">
        <f aca="false">IF($B401="","",COUNTIF($F401:$AJ401,"HA"))</f>
        <v/>
      </c>
      <c r="AN401" s="34" t="str">
        <f aca="false">IF($B401="","",COUNTIF($F401:$AJ401,"L"))</f>
        <v/>
      </c>
      <c r="AO401" s="34" t="str">
        <f aca="false">IF($B401="","",COUNTIF($F401:$AJ401,"PL"))</f>
        <v/>
      </c>
      <c r="AP401" s="34" t="str">
        <f aca="false">IF($B401="","",COUNTIF($F401:$AJ401,"CL"))</f>
        <v/>
      </c>
      <c r="AQ401" s="34" t="str">
        <f aca="false">IF($B401="","",COUNTIF($F401:$AJ401,"SL"))</f>
        <v/>
      </c>
      <c r="AR401" s="34" t="str">
        <f aca="false">IF($B401="","",COUNTIF($F401:$AJ401,"CO"))</f>
        <v/>
      </c>
      <c r="AS401" s="34" t="str">
        <f aca="false">IF($B401="","",COUNTIF($F401:$AJ401,"HPL"))</f>
        <v/>
      </c>
      <c r="AT401" s="34" t="str">
        <f aca="false">IF($B401="","",COUNTIF($F401:$AJ401,"HCL"))</f>
        <v/>
      </c>
      <c r="AU401" s="34" t="str">
        <f aca="false">IF($B401="","",COUNTIF($F401:$AJ401,"WO"))</f>
        <v/>
      </c>
      <c r="AV401" s="34" t="str">
        <f aca="false">IF($B401="","",COUNTIF($F401:$AJ401,"PH"))</f>
        <v/>
      </c>
      <c r="AW401" s="34" t="str">
        <f aca="false">IF($B401="","",COUNTIF($F401:$AJ401,"TR"))</f>
        <v/>
      </c>
      <c r="AX401" s="35" t="str">
        <f aca="false">IF($B401="","",AO401+AS401/2)</f>
        <v/>
      </c>
      <c r="AY401" s="35" t="str">
        <f aca="false">IF($B401="","",AQ401)</f>
        <v/>
      </c>
      <c r="AZ401" s="35" t="str">
        <f aca="false">IF($B401="","",AP401+AT401/2)</f>
        <v/>
      </c>
      <c r="BA401" s="35" t="str">
        <f aca="false">IF($B401="","",AK401+AN401+AM401/2+AO401+AP401+AQ401+AR401+AS401+AT401+AU401+AV401+AW401)</f>
        <v/>
      </c>
      <c r="BB401" s="35" t="str">
        <f aca="false">IF($B401="","",MAX(0,AN401-Settings!$C$16)*Settings!$C$17)</f>
        <v/>
      </c>
      <c r="BC401" s="35" t="str">
        <f aca="false">IF($B401="","",BA401-BB401)</f>
        <v/>
      </c>
      <c r="BD401" s="35" t="str">
        <f aca="false">IF(OR($B401="",$A401=""),"",DAY(EOMONTH($A401,0))-COUNTA($F401:$AJ401))</f>
        <v/>
      </c>
    </row>
    <row r="402" customFormat="false" ht="15" hidden="false" customHeight="false" outlineLevel="0" collapsed="false">
      <c r="A402" s="32"/>
      <c r="B402" s="29"/>
      <c r="C402" s="10" t="str">
        <f aca="false">IF($B402="","",IFERROR(INDEX(M_name,MATCH($B402,M_emp,0)),"Code not found"))</f>
        <v/>
      </c>
      <c r="D402" s="10" t="str">
        <f aca="false">IF($B402="","",IFERROR(INDEX(M_dept,MATCH($B402,M_emp,0)),""))</f>
        <v/>
      </c>
      <c r="E402" s="10" t="str">
        <f aca="false">IF($B402="","",IFERROR(INDEX(M_loc,MATCH($B402,M_emp,0)),""))</f>
        <v/>
      </c>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4" t="str">
        <f aca="false">IF($B402="","",COUNTIF($F402:$AJ402,"P"))</f>
        <v/>
      </c>
      <c r="AL402" s="34" t="str">
        <f aca="false">IF($B402="","",COUNTIF($F402:$AJ402,"A"))</f>
        <v/>
      </c>
      <c r="AM402" s="34" t="str">
        <f aca="false">IF($B402="","",COUNTIF($F402:$AJ402,"HA"))</f>
        <v/>
      </c>
      <c r="AN402" s="34" t="str">
        <f aca="false">IF($B402="","",COUNTIF($F402:$AJ402,"L"))</f>
        <v/>
      </c>
      <c r="AO402" s="34" t="str">
        <f aca="false">IF($B402="","",COUNTIF($F402:$AJ402,"PL"))</f>
        <v/>
      </c>
      <c r="AP402" s="34" t="str">
        <f aca="false">IF($B402="","",COUNTIF($F402:$AJ402,"CL"))</f>
        <v/>
      </c>
      <c r="AQ402" s="34" t="str">
        <f aca="false">IF($B402="","",COUNTIF($F402:$AJ402,"SL"))</f>
        <v/>
      </c>
      <c r="AR402" s="34" t="str">
        <f aca="false">IF($B402="","",COUNTIF($F402:$AJ402,"CO"))</f>
        <v/>
      </c>
      <c r="AS402" s="34" t="str">
        <f aca="false">IF($B402="","",COUNTIF($F402:$AJ402,"HPL"))</f>
        <v/>
      </c>
      <c r="AT402" s="34" t="str">
        <f aca="false">IF($B402="","",COUNTIF($F402:$AJ402,"HCL"))</f>
        <v/>
      </c>
      <c r="AU402" s="34" t="str">
        <f aca="false">IF($B402="","",COUNTIF($F402:$AJ402,"WO"))</f>
        <v/>
      </c>
      <c r="AV402" s="34" t="str">
        <f aca="false">IF($B402="","",COUNTIF($F402:$AJ402,"PH"))</f>
        <v/>
      </c>
      <c r="AW402" s="34" t="str">
        <f aca="false">IF($B402="","",COUNTIF($F402:$AJ402,"TR"))</f>
        <v/>
      </c>
      <c r="AX402" s="35" t="str">
        <f aca="false">IF($B402="","",AO402+AS402/2)</f>
        <v/>
      </c>
      <c r="AY402" s="35" t="str">
        <f aca="false">IF($B402="","",AQ402)</f>
        <v/>
      </c>
      <c r="AZ402" s="35" t="str">
        <f aca="false">IF($B402="","",AP402+AT402/2)</f>
        <v/>
      </c>
      <c r="BA402" s="35" t="str">
        <f aca="false">IF($B402="","",AK402+AN402+AM402/2+AO402+AP402+AQ402+AR402+AS402+AT402+AU402+AV402+AW402)</f>
        <v/>
      </c>
      <c r="BB402" s="35" t="str">
        <f aca="false">IF($B402="","",MAX(0,AN402-Settings!$C$16)*Settings!$C$17)</f>
        <v/>
      </c>
      <c r="BC402" s="35" t="str">
        <f aca="false">IF($B402="","",BA402-BB402)</f>
        <v/>
      </c>
      <c r="BD402" s="35" t="str">
        <f aca="false">IF(OR($B402="",$A402=""),"",DAY(EOMONTH($A402,0))-COUNTA($F402:$AJ402))</f>
        <v/>
      </c>
    </row>
    <row r="403" customFormat="false" ht="15" hidden="false" customHeight="false" outlineLevel="0" collapsed="false">
      <c r="A403" s="32"/>
      <c r="B403" s="29"/>
      <c r="C403" s="10" t="str">
        <f aca="false">IF($B403="","",IFERROR(INDEX(M_name,MATCH($B403,M_emp,0)),"Code not found"))</f>
        <v/>
      </c>
      <c r="D403" s="10" t="str">
        <f aca="false">IF($B403="","",IFERROR(INDEX(M_dept,MATCH($B403,M_emp,0)),""))</f>
        <v/>
      </c>
      <c r="E403" s="10" t="str">
        <f aca="false">IF($B403="","",IFERROR(INDEX(M_loc,MATCH($B403,M_emp,0)),""))</f>
        <v/>
      </c>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4" t="str">
        <f aca="false">IF($B403="","",COUNTIF($F403:$AJ403,"P"))</f>
        <v/>
      </c>
      <c r="AL403" s="34" t="str">
        <f aca="false">IF($B403="","",COUNTIF($F403:$AJ403,"A"))</f>
        <v/>
      </c>
      <c r="AM403" s="34" t="str">
        <f aca="false">IF($B403="","",COUNTIF($F403:$AJ403,"HA"))</f>
        <v/>
      </c>
      <c r="AN403" s="34" t="str">
        <f aca="false">IF($B403="","",COUNTIF($F403:$AJ403,"L"))</f>
        <v/>
      </c>
      <c r="AO403" s="34" t="str">
        <f aca="false">IF($B403="","",COUNTIF($F403:$AJ403,"PL"))</f>
        <v/>
      </c>
      <c r="AP403" s="34" t="str">
        <f aca="false">IF($B403="","",COUNTIF($F403:$AJ403,"CL"))</f>
        <v/>
      </c>
      <c r="AQ403" s="34" t="str">
        <f aca="false">IF($B403="","",COUNTIF($F403:$AJ403,"SL"))</f>
        <v/>
      </c>
      <c r="AR403" s="34" t="str">
        <f aca="false">IF($B403="","",COUNTIF($F403:$AJ403,"CO"))</f>
        <v/>
      </c>
      <c r="AS403" s="34" t="str">
        <f aca="false">IF($B403="","",COUNTIF($F403:$AJ403,"HPL"))</f>
        <v/>
      </c>
      <c r="AT403" s="34" t="str">
        <f aca="false">IF($B403="","",COUNTIF($F403:$AJ403,"HCL"))</f>
        <v/>
      </c>
      <c r="AU403" s="34" t="str">
        <f aca="false">IF($B403="","",COUNTIF($F403:$AJ403,"WO"))</f>
        <v/>
      </c>
      <c r="AV403" s="34" t="str">
        <f aca="false">IF($B403="","",COUNTIF($F403:$AJ403,"PH"))</f>
        <v/>
      </c>
      <c r="AW403" s="34" t="str">
        <f aca="false">IF($B403="","",COUNTIF($F403:$AJ403,"TR"))</f>
        <v/>
      </c>
      <c r="AX403" s="35" t="str">
        <f aca="false">IF($B403="","",AO403+AS403/2)</f>
        <v/>
      </c>
      <c r="AY403" s="35" t="str">
        <f aca="false">IF($B403="","",AQ403)</f>
        <v/>
      </c>
      <c r="AZ403" s="35" t="str">
        <f aca="false">IF($B403="","",AP403+AT403/2)</f>
        <v/>
      </c>
      <c r="BA403" s="35" t="str">
        <f aca="false">IF($B403="","",AK403+AN403+AM403/2+AO403+AP403+AQ403+AR403+AS403+AT403+AU403+AV403+AW403)</f>
        <v/>
      </c>
      <c r="BB403" s="35" t="str">
        <f aca="false">IF($B403="","",MAX(0,AN403-Settings!$C$16)*Settings!$C$17)</f>
        <v/>
      </c>
      <c r="BC403" s="35" t="str">
        <f aca="false">IF($B403="","",BA403-BB403)</f>
        <v/>
      </c>
      <c r="BD403" s="35" t="str">
        <f aca="false">IF(OR($B403="",$A403=""),"",DAY(EOMONTH($A403,0))-COUNTA($F403:$AJ403))</f>
        <v/>
      </c>
    </row>
    <row r="404" customFormat="false" ht="15" hidden="false" customHeight="false" outlineLevel="0" collapsed="false">
      <c r="A404" s="32"/>
      <c r="B404" s="29"/>
      <c r="C404" s="10" t="str">
        <f aca="false">IF($B404="","",IFERROR(INDEX(M_name,MATCH($B404,M_emp,0)),"Code not found"))</f>
        <v/>
      </c>
      <c r="D404" s="10" t="str">
        <f aca="false">IF($B404="","",IFERROR(INDEX(M_dept,MATCH($B404,M_emp,0)),""))</f>
        <v/>
      </c>
      <c r="E404" s="10" t="str">
        <f aca="false">IF($B404="","",IFERROR(INDEX(M_loc,MATCH($B404,M_emp,0)),""))</f>
        <v/>
      </c>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4" t="str">
        <f aca="false">IF($B404="","",COUNTIF($F404:$AJ404,"P"))</f>
        <v/>
      </c>
      <c r="AL404" s="34" t="str">
        <f aca="false">IF($B404="","",COUNTIF($F404:$AJ404,"A"))</f>
        <v/>
      </c>
      <c r="AM404" s="34" t="str">
        <f aca="false">IF($B404="","",COUNTIF($F404:$AJ404,"HA"))</f>
        <v/>
      </c>
      <c r="AN404" s="34" t="str">
        <f aca="false">IF($B404="","",COUNTIF($F404:$AJ404,"L"))</f>
        <v/>
      </c>
      <c r="AO404" s="34" t="str">
        <f aca="false">IF($B404="","",COUNTIF($F404:$AJ404,"PL"))</f>
        <v/>
      </c>
      <c r="AP404" s="34" t="str">
        <f aca="false">IF($B404="","",COUNTIF($F404:$AJ404,"CL"))</f>
        <v/>
      </c>
      <c r="AQ404" s="34" t="str">
        <f aca="false">IF($B404="","",COUNTIF($F404:$AJ404,"SL"))</f>
        <v/>
      </c>
      <c r="AR404" s="34" t="str">
        <f aca="false">IF($B404="","",COUNTIF($F404:$AJ404,"CO"))</f>
        <v/>
      </c>
      <c r="AS404" s="34" t="str">
        <f aca="false">IF($B404="","",COUNTIF($F404:$AJ404,"HPL"))</f>
        <v/>
      </c>
      <c r="AT404" s="34" t="str">
        <f aca="false">IF($B404="","",COUNTIF($F404:$AJ404,"HCL"))</f>
        <v/>
      </c>
      <c r="AU404" s="34" t="str">
        <f aca="false">IF($B404="","",COUNTIF($F404:$AJ404,"WO"))</f>
        <v/>
      </c>
      <c r="AV404" s="34" t="str">
        <f aca="false">IF($B404="","",COUNTIF($F404:$AJ404,"PH"))</f>
        <v/>
      </c>
      <c r="AW404" s="34" t="str">
        <f aca="false">IF($B404="","",COUNTIF($F404:$AJ404,"TR"))</f>
        <v/>
      </c>
      <c r="AX404" s="35" t="str">
        <f aca="false">IF($B404="","",AO404+AS404/2)</f>
        <v/>
      </c>
      <c r="AY404" s="35" t="str">
        <f aca="false">IF($B404="","",AQ404)</f>
        <v/>
      </c>
      <c r="AZ404" s="35" t="str">
        <f aca="false">IF($B404="","",AP404+AT404/2)</f>
        <v/>
      </c>
      <c r="BA404" s="35" t="str">
        <f aca="false">IF($B404="","",AK404+AN404+AM404/2+AO404+AP404+AQ404+AR404+AS404+AT404+AU404+AV404+AW404)</f>
        <v/>
      </c>
      <c r="BB404" s="35" t="str">
        <f aca="false">IF($B404="","",MAX(0,AN404-Settings!$C$16)*Settings!$C$17)</f>
        <v/>
      </c>
      <c r="BC404" s="35" t="str">
        <f aca="false">IF($B404="","",BA404-BB404)</f>
        <v/>
      </c>
      <c r="BD404" s="35" t="str">
        <f aca="false">IF(OR($B404="",$A404=""),"",DAY(EOMONTH($A404,0))-COUNTA($F404:$AJ404))</f>
        <v/>
      </c>
    </row>
    <row r="405" customFormat="false" ht="15" hidden="false" customHeight="false" outlineLevel="0" collapsed="false">
      <c r="A405" s="32"/>
      <c r="B405" s="29"/>
      <c r="C405" s="10" t="str">
        <f aca="false">IF($B405="","",IFERROR(INDEX(M_name,MATCH($B405,M_emp,0)),"Code not found"))</f>
        <v/>
      </c>
      <c r="D405" s="10" t="str">
        <f aca="false">IF($B405="","",IFERROR(INDEX(M_dept,MATCH($B405,M_emp,0)),""))</f>
        <v/>
      </c>
      <c r="E405" s="10" t="str">
        <f aca="false">IF($B405="","",IFERROR(INDEX(M_loc,MATCH($B405,M_emp,0)),""))</f>
        <v/>
      </c>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4" t="str">
        <f aca="false">IF($B405="","",COUNTIF($F405:$AJ405,"P"))</f>
        <v/>
      </c>
      <c r="AL405" s="34" t="str">
        <f aca="false">IF($B405="","",COUNTIF($F405:$AJ405,"A"))</f>
        <v/>
      </c>
      <c r="AM405" s="34" t="str">
        <f aca="false">IF($B405="","",COUNTIF($F405:$AJ405,"HA"))</f>
        <v/>
      </c>
      <c r="AN405" s="34" t="str">
        <f aca="false">IF($B405="","",COUNTIF($F405:$AJ405,"L"))</f>
        <v/>
      </c>
      <c r="AO405" s="34" t="str">
        <f aca="false">IF($B405="","",COUNTIF($F405:$AJ405,"PL"))</f>
        <v/>
      </c>
      <c r="AP405" s="34" t="str">
        <f aca="false">IF($B405="","",COUNTIF($F405:$AJ405,"CL"))</f>
        <v/>
      </c>
      <c r="AQ405" s="34" t="str">
        <f aca="false">IF($B405="","",COUNTIF($F405:$AJ405,"SL"))</f>
        <v/>
      </c>
      <c r="AR405" s="34" t="str">
        <f aca="false">IF($B405="","",COUNTIF($F405:$AJ405,"CO"))</f>
        <v/>
      </c>
      <c r="AS405" s="34" t="str">
        <f aca="false">IF($B405="","",COUNTIF($F405:$AJ405,"HPL"))</f>
        <v/>
      </c>
      <c r="AT405" s="34" t="str">
        <f aca="false">IF($B405="","",COUNTIF($F405:$AJ405,"HCL"))</f>
        <v/>
      </c>
      <c r="AU405" s="34" t="str">
        <f aca="false">IF($B405="","",COUNTIF($F405:$AJ405,"WO"))</f>
        <v/>
      </c>
      <c r="AV405" s="34" t="str">
        <f aca="false">IF($B405="","",COUNTIF($F405:$AJ405,"PH"))</f>
        <v/>
      </c>
      <c r="AW405" s="34" t="str">
        <f aca="false">IF($B405="","",COUNTIF($F405:$AJ405,"TR"))</f>
        <v/>
      </c>
      <c r="AX405" s="35" t="str">
        <f aca="false">IF($B405="","",AO405+AS405/2)</f>
        <v/>
      </c>
      <c r="AY405" s="35" t="str">
        <f aca="false">IF($B405="","",AQ405)</f>
        <v/>
      </c>
      <c r="AZ405" s="35" t="str">
        <f aca="false">IF($B405="","",AP405+AT405/2)</f>
        <v/>
      </c>
      <c r="BA405" s="35" t="str">
        <f aca="false">IF($B405="","",AK405+AN405+AM405/2+AO405+AP405+AQ405+AR405+AS405+AT405+AU405+AV405+AW405)</f>
        <v/>
      </c>
      <c r="BB405" s="35" t="str">
        <f aca="false">IF($B405="","",MAX(0,AN405-Settings!$C$16)*Settings!$C$17)</f>
        <v/>
      </c>
      <c r="BC405" s="35" t="str">
        <f aca="false">IF($B405="","",BA405-BB405)</f>
        <v/>
      </c>
      <c r="BD405" s="35" t="str">
        <f aca="false">IF(OR($B405="",$A405=""),"",DAY(EOMONTH($A405,0))-COUNTA($F405:$AJ405))</f>
        <v/>
      </c>
    </row>
    <row r="406" customFormat="false" ht="15" hidden="false" customHeight="false" outlineLevel="0" collapsed="false">
      <c r="A406" s="32"/>
      <c r="B406" s="29"/>
      <c r="C406" s="10" t="str">
        <f aca="false">IF($B406="","",IFERROR(INDEX(M_name,MATCH($B406,M_emp,0)),"Code not found"))</f>
        <v/>
      </c>
      <c r="D406" s="10" t="str">
        <f aca="false">IF($B406="","",IFERROR(INDEX(M_dept,MATCH($B406,M_emp,0)),""))</f>
        <v/>
      </c>
      <c r="E406" s="10" t="str">
        <f aca="false">IF($B406="","",IFERROR(INDEX(M_loc,MATCH($B406,M_emp,0)),""))</f>
        <v/>
      </c>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4" t="str">
        <f aca="false">IF($B406="","",COUNTIF($F406:$AJ406,"P"))</f>
        <v/>
      </c>
      <c r="AL406" s="34" t="str">
        <f aca="false">IF($B406="","",COUNTIF($F406:$AJ406,"A"))</f>
        <v/>
      </c>
      <c r="AM406" s="34" t="str">
        <f aca="false">IF($B406="","",COUNTIF($F406:$AJ406,"HA"))</f>
        <v/>
      </c>
      <c r="AN406" s="34" t="str">
        <f aca="false">IF($B406="","",COUNTIF($F406:$AJ406,"L"))</f>
        <v/>
      </c>
      <c r="AO406" s="34" t="str">
        <f aca="false">IF($B406="","",COUNTIF($F406:$AJ406,"PL"))</f>
        <v/>
      </c>
      <c r="AP406" s="34" t="str">
        <f aca="false">IF($B406="","",COUNTIF($F406:$AJ406,"CL"))</f>
        <v/>
      </c>
      <c r="AQ406" s="34" t="str">
        <f aca="false">IF($B406="","",COUNTIF($F406:$AJ406,"SL"))</f>
        <v/>
      </c>
      <c r="AR406" s="34" t="str">
        <f aca="false">IF($B406="","",COUNTIF($F406:$AJ406,"CO"))</f>
        <v/>
      </c>
      <c r="AS406" s="34" t="str">
        <f aca="false">IF($B406="","",COUNTIF($F406:$AJ406,"HPL"))</f>
        <v/>
      </c>
      <c r="AT406" s="34" t="str">
        <f aca="false">IF($B406="","",COUNTIF($F406:$AJ406,"HCL"))</f>
        <v/>
      </c>
      <c r="AU406" s="34" t="str">
        <f aca="false">IF($B406="","",COUNTIF($F406:$AJ406,"WO"))</f>
        <v/>
      </c>
      <c r="AV406" s="34" t="str">
        <f aca="false">IF($B406="","",COUNTIF($F406:$AJ406,"PH"))</f>
        <v/>
      </c>
      <c r="AW406" s="34" t="str">
        <f aca="false">IF($B406="","",COUNTIF($F406:$AJ406,"TR"))</f>
        <v/>
      </c>
      <c r="AX406" s="35" t="str">
        <f aca="false">IF($B406="","",AO406+AS406/2)</f>
        <v/>
      </c>
      <c r="AY406" s="35" t="str">
        <f aca="false">IF($B406="","",AQ406)</f>
        <v/>
      </c>
      <c r="AZ406" s="35" t="str">
        <f aca="false">IF($B406="","",AP406+AT406/2)</f>
        <v/>
      </c>
      <c r="BA406" s="35" t="str">
        <f aca="false">IF($B406="","",AK406+AN406+AM406/2+AO406+AP406+AQ406+AR406+AS406+AT406+AU406+AV406+AW406)</f>
        <v/>
      </c>
      <c r="BB406" s="35" t="str">
        <f aca="false">IF($B406="","",MAX(0,AN406-Settings!$C$16)*Settings!$C$17)</f>
        <v/>
      </c>
      <c r="BC406" s="35" t="str">
        <f aca="false">IF($B406="","",BA406-BB406)</f>
        <v/>
      </c>
      <c r="BD406" s="35" t="str">
        <f aca="false">IF(OR($B406="",$A406=""),"",DAY(EOMONTH($A406,0))-COUNTA($F406:$AJ406))</f>
        <v/>
      </c>
    </row>
    <row r="407" customFormat="false" ht="15" hidden="false" customHeight="false" outlineLevel="0" collapsed="false">
      <c r="A407" s="32"/>
      <c r="B407" s="29"/>
      <c r="C407" s="10" t="str">
        <f aca="false">IF($B407="","",IFERROR(INDEX(M_name,MATCH($B407,M_emp,0)),"Code not found"))</f>
        <v/>
      </c>
      <c r="D407" s="10" t="str">
        <f aca="false">IF($B407="","",IFERROR(INDEX(M_dept,MATCH($B407,M_emp,0)),""))</f>
        <v/>
      </c>
      <c r="E407" s="10" t="str">
        <f aca="false">IF($B407="","",IFERROR(INDEX(M_loc,MATCH($B407,M_emp,0)),""))</f>
        <v/>
      </c>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4" t="str">
        <f aca="false">IF($B407="","",COUNTIF($F407:$AJ407,"P"))</f>
        <v/>
      </c>
      <c r="AL407" s="34" t="str">
        <f aca="false">IF($B407="","",COUNTIF($F407:$AJ407,"A"))</f>
        <v/>
      </c>
      <c r="AM407" s="34" t="str">
        <f aca="false">IF($B407="","",COUNTIF($F407:$AJ407,"HA"))</f>
        <v/>
      </c>
      <c r="AN407" s="34" t="str">
        <f aca="false">IF($B407="","",COUNTIF($F407:$AJ407,"L"))</f>
        <v/>
      </c>
      <c r="AO407" s="34" t="str">
        <f aca="false">IF($B407="","",COUNTIF($F407:$AJ407,"PL"))</f>
        <v/>
      </c>
      <c r="AP407" s="34" t="str">
        <f aca="false">IF($B407="","",COUNTIF($F407:$AJ407,"CL"))</f>
        <v/>
      </c>
      <c r="AQ407" s="34" t="str">
        <f aca="false">IF($B407="","",COUNTIF($F407:$AJ407,"SL"))</f>
        <v/>
      </c>
      <c r="AR407" s="34" t="str">
        <f aca="false">IF($B407="","",COUNTIF($F407:$AJ407,"CO"))</f>
        <v/>
      </c>
      <c r="AS407" s="34" t="str">
        <f aca="false">IF($B407="","",COUNTIF($F407:$AJ407,"HPL"))</f>
        <v/>
      </c>
      <c r="AT407" s="34" t="str">
        <f aca="false">IF($B407="","",COUNTIF($F407:$AJ407,"HCL"))</f>
        <v/>
      </c>
      <c r="AU407" s="34" t="str">
        <f aca="false">IF($B407="","",COUNTIF($F407:$AJ407,"WO"))</f>
        <v/>
      </c>
      <c r="AV407" s="34" t="str">
        <f aca="false">IF($B407="","",COUNTIF($F407:$AJ407,"PH"))</f>
        <v/>
      </c>
      <c r="AW407" s="34" t="str">
        <f aca="false">IF($B407="","",COUNTIF($F407:$AJ407,"TR"))</f>
        <v/>
      </c>
      <c r="AX407" s="35" t="str">
        <f aca="false">IF($B407="","",AO407+AS407/2)</f>
        <v/>
      </c>
      <c r="AY407" s="35" t="str">
        <f aca="false">IF($B407="","",AQ407)</f>
        <v/>
      </c>
      <c r="AZ407" s="35" t="str">
        <f aca="false">IF($B407="","",AP407+AT407/2)</f>
        <v/>
      </c>
      <c r="BA407" s="35" t="str">
        <f aca="false">IF($B407="","",AK407+AN407+AM407/2+AO407+AP407+AQ407+AR407+AS407+AT407+AU407+AV407+AW407)</f>
        <v/>
      </c>
      <c r="BB407" s="35" t="str">
        <f aca="false">IF($B407="","",MAX(0,AN407-Settings!$C$16)*Settings!$C$17)</f>
        <v/>
      </c>
      <c r="BC407" s="35" t="str">
        <f aca="false">IF($B407="","",BA407-BB407)</f>
        <v/>
      </c>
      <c r="BD407" s="35" t="str">
        <f aca="false">IF(OR($B407="",$A407=""),"",DAY(EOMONTH($A407,0))-COUNTA($F407:$AJ407))</f>
        <v/>
      </c>
    </row>
    <row r="408" customFormat="false" ht="15" hidden="false" customHeight="false" outlineLevel="0" collapsed="false">
      <c r="A408" s="32"/>
      <c r="B408" s="29"/>
      <c r="C408" s="10" t="str">
        <f aca="false">IF($B408="","",IFERROR(INDEX(M_name,MATCH($B408,M_emp,0)),"Code not found"))</f>
        <v/>
      </c>
      <c r="D408" s="10" t="str">
        <f aca="false">IF($B408="","",IFERROR(INDEX(M_dept,MATCH($B408,M_emp,0)),""))</f>
        <v/>
      </c>
      <c r="E408" s="10" t="str">
        <f aca="false">IF($B408="","",IFERROR(INDEX(M_loc,MATCH($B408,M_emp,0)),""))</f>
        <v/>
      </c>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4" t="str">
        <f aca="false">IF($B408="","",COUNTIF($F408:$AJ408,"P"))</f>
        <v/>
      </c>
      <c r="AL408" s="34" t="str">
        <f aca="false">IF($B408="","",COUNTIF($F408:$AJ408,"A"))</f>
        <v/>
      </c>
      <c r="AM408" s="34" t="str">
        <f aca="false">IF($B408="","",COUNTIF($F408:$AJ408,"HA"))</f>
        <v/>
      </c>
      <c r="AN408" s="34" t="str">
        <f aca="false">IF($B408="","",COUNTIF($F408:$AJ408,"L"))</f>
        <v/>
      </c>
      <c r="AO408" s="34" t="str">
        <f aca="false">IF($B408="","",COUNTIF($F408:$AJ408,"PL"))</f>
        <v/>
      </c>
      <c r="AP408" s="34" t="str">
        <f aca="false">IF($B408="","",COUNTIF($F408:$AJ408,"CL"))</f>
        <v/>
      </c>
      <c r="AQ408" s="34" t="str">
        <f aca="false">IF($B408="","",COUNTIF($F408:$AJ408,"SL"))</f>
        <v/>
      </c>
      <c r="AR408" s="34" t="str">
        <f aca="false">IF($B408="","",COUNTIF($F408:$AJ408,"CO"))</f>
        <v/>
      </c>
      <c r="AS408" s="34" t="str">
        <f aca="false">IF($B408="","",COUNTIF($F408:$AJ408,"HPL"))</f>
        <v/>
      </c>
      <c r="AT408" s="34" t="str">
        <f aca="false">IF($B408="","",COUNTIF($F408:$AJ408,"HCL"))</f>
        <v/>
      </c>
      <c r="AU408" s="34" t="str">
        <f aca="false">IF($B408="","",COUNTIF($F408:$AJ408,"WO"))</f>
        <v/>
      </c>
      <c r="AV408" s="34" t="str">
        <f aca="false">IF($B408="","",COUNTIF($F408:$AJ408,"PH"))</f>
        <v/>
      </c>
      <c r="AW408" s="34" t="str">
        <f aca="false">IF($B408="","",COUNTIF($F408:$AJ408,"TR"))</f>
        <v/>
      </c>
      <c r="AX408" s="35" t="str">
        <f aca="false">IF($B408="","",AO408+AS408/2)</f>
        <v/>
      </c>
      <c r="AY408" s="35" t="str">
        <f aca="false">IF($B408="","",AQ408)</f>
        <v/>
      </c>
      <c r="AZ408" s="35" t="str">
        <f aca="false">IF($B408="","",AP408+AT408/2)</f>
        <v/>
      </c>
      <c r="BA408" s="35" t="str">
        <f aca="false">IF($B408="","",AK408+AN408+AM408/2+AO408+AP408+AQ408+AR408+AS408+AT408+AU408+AV408+AW408)</f>
        <v/>
      </c>
      <c r="BB408" s="35" t="str">
        <f aca="false">IF($B408="","",MAX(0,AN408-Settings!$C$16)*Settings!$C$17)</f>
        <v/>
      </c>
      <c r="BC408" s="35" t="str">
        <f aca="false">IF($B408="","",BA408-BB408)</f>
        <v/>
      </c>
      <c r="BD408" s="35" t="str">
        <f aca="false">IF(OR($B408="",$A408=""),"",DAY(EOMONTH($A408,0))-COUNTA($F408:$AJ408))</f>
        <v/>
      </c>
    </row>
    <row r="409" customFormat="false" ht="15" hidden="false" customHeight="false" outlineLevel="0" collapsed="false">
      <c r="A409" s="32"/>
      <c r="B409" s="29"/>
      <c r="C409" s="10" t="str">
        <f aca="false">IF($B409="","",IFERROR(INDEX(M_name,MATCH($B409,M_emp,0)),"Code not found"))</f>
        <v/>
      </c>
      <c r="D409" s="10" t="str">
        <f aca="false">IF($B409="","",IFERROR(INDEX(M_dept,MATCH($B409,M_emp,0)),""))</f>
        <v/>
      </c>
      <c r="E409" s="10" t="str">
        <f aca="false">IF($B409="","",IFERROR(INDEX(M_loc,MATCH($B409,M_emp,0)),""))</f>
        <v/>
      </c>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4" t="str">
        <f aca="false">IF($B409="","",COUNTIF($F409:$AJ409,"P"))</f>
        <v/>
      </c>
      <c r="AL409" s="34" t="str">
        <f aca="false">IF($B409="","",COUNTIF($F409:$AJ409,"A"))</f>
        <v/>
      </c>
      <c r="AM409" s="34" t="str">
        <f aca="false">IF($B409="","",COUNTIF($F409:$AJ409,"HA"))</f>
        <v/>
      </c>
      <c r="AN409" s="34" t="str">
        <f aca="false">IF($B409="","",COUNTIF($F409:$AJ409,"L"))</f>
        <v/>
      </c>
      <c r="AO409" s="34" t="str">
        <f aca="false">IF($B409="","",COUNTIF($F409:$AJ409,"PL"))</f>
        <v/>
      </c>
      <c r="AP409" s="34" t="str">
        <f aca="false">IF($B409="","",COUNTIF($F409:$AJ409,"CL"))</f>
        <v/>
      </c>
      <c r="AQ409" s="34" t="str">
        <f aca="false">IF($B409="","",COUNTIF($F409:$AJ409,"SL"))</f>
        <v/>
      </c>
      <c r="AR409" s="34" t="str">
        <f aca="false">IF($B409="","",COUNTIF($F409:$AJ409,"CO"))</f>
        <v/>
      </c>
      <c r="AS409" s="34" t="str">
        <f aca="false">IF($B409="","",COUNTIF($F409:$AJ409,"HPL"))</f>
        <v/>
      </c>
      <c r="AT409" s="34" t="str">
        <f aca="false">IF($B409="","",COUNTIF($F409:$AJ409,"HCL"))</f>
        <v/>
      </c>
      <c r="AU409" s="34" t="str">
        <f aca="false">IF($B409="","",COUNTIF($F409:$AJ409,"WO"))</f>
        <v/>
      </c>
      <c r="AV409" s="34" t="str">
        <f aca="false">IF($B409="","",COUNTIF($F409:$AJ409,"PH"))</f>
        <v/>
      </c>
      <c r="AW409" s="34" t="str">
        <f aca="false">IF($B409="","",COUNTIF($F409:$AJ409,"TR"))</f>
        <v/>
      </c>
      <c r="AX409" s="35" t="str">
        <f aca="false">IF($B409="","",AO409+AS409/2)</f>
        <v/>
      </c>
      <c r="AY409" s="35" t="str">
        <f aca="false">IF($B409="","",AQ409)</f>
        <v/>
      </c>
      <c r="AZ409" s="35" t="str">
        <f aca="false">IF($B409="","",AP409+AT409/2)</f>
        <v/>
      </c>
      <c r="BA409" s="35" t="str">
        <f aca="false">IF($B409="","",AK409+AN409+AM409/2+AO409+AP409+AQ409+AR409+AS409+AT409+AU409+AV409+AW409)</f>
        <v/>
      </c>
      <c r="BB409" s="35" t="str">
        <f aca="false">IF($B409="","",MAX(0,AN409-Settings!$C$16)*Settings!$C$17)</f>
        <v/>
      </c>
      <c r="BC409" s="35" t="str">
        <f aca="false">IF($B409="","",BA409-BB409)</f>
        <v/>
      </c>
      <c r="BD409" s="35" t="str">
        <f aca="false">IF(OR($B409="",$A409=""),"",DAY(EOMONTH($A409,0))-COUNTA($F409:$AJ409))</f>
        <v/>
      </c>
    </row>
    <row r="410" customFormat="false" ht="15" hidden="false" customHeight="false" outlineLevel="0" collapsed="false">
      <c r="A410" s="32"/>
      <c r="B410" s="29"/>
      <c r="C410" s="10" t="str">
        <f aca="false">IF($B410="","",IFERROR(INDEX(M_name,MATCH($B410,M_emp,0)),"Code not found"))</f>
        <v/>
      </c>
      <c r="D410" s="10" t="str">
        <f aca="false">IF($B410="","",IFERROR(INDEX(M_dept,MATCH($B410,M_emp,0)),""))</f>
        <v/>
      </c>
      <c r="E410" s="10" t="str">
        <f aca="false">IF($B410="","",IFERROR(INDEX(M_loc,MATCH($B410,M_emp,0)),""))</f>
        <v/>
      </c>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4" t="str">
        <f aca="false">IF($B410="","",COUNTIF($F410:$AJ410,"P"))</f>
        <v/>
      </c>
      <c r="AL410" s="34" t="str">
        <f aca="false">IF($B410="","",COUNTIF($F410:$AJ410,"A"))</f>
        <v/>
      </c>
      <c r="AM410" s="34" t="str">
        <f aca="false">IF($B410="","",COUNTIF($F410:$AJ410,"HA"))</f>
        <v/>
      </c>
      <c r="AN410" s="34" t="str">
        <f aca="false">IF($B410="","",COUNTIF($F410:$AJ410,"L"))</f>
        <v/>
      </c>
      <c r="AO410" s="34" t="str">
        <f aca="false">IF($B410="","",COUNTIF($F410:$AJ410,"PL"))</f>
        <v/>
      </c>
      <c r="AP410" s="34" t="str">
        <f aca="false">IF($B410="","",COUNTIF($F410:$AJ410,"CL"))</f>
        <v/>
      </c>
      <c r="AQ410" s="34" t="str">
        <f aca="false">IF($B410="","",COUNTIF($F410:$AJ410,"SL"))</f>
        <v/>
      </c>
      <c r="AR410" s="34" t="str">
        <f aca="false">IF($B410="","",COUNTIF($F410:$AJ410,"CO"))</f>
        <v/>
      </c>
      <c r="AS410" s="34" t="str">
        <f aca="false">IF($B410="","",COUNTIF($F410:$AJ410,"HPL"))</f>
        <v/>
      </c>
      <c r="AT410" s="34" t="str">
        <f aca="false">IF($B410="","",COUNTIF($F410:$AJ410,"HCL"))</f>
        <v/>
      </c>
      <c r="AU410" s="34" t="str">
        <f aca="false">IF($B410="","",COUNTIF($F410:$AJ410,"WO"))</f>
        <v/>
      </c>
      <c r="AV410" s="34" t="str">
        <f aca="false">IF($B410="","",COUNTIF($F410:$AJ410,"PH"))</f>
        <v/>
      </c>
      <c r="AW410" s="34" t="str">
        <f aca="false">IF($B410="","",COUNTIF($F410:$AJ410,"TR"))</f>
        <v/>
      </c>
      <c r="AX410" s="35" t="str">
        <f aca="false">IF($B410="","",AO410+AS410/2)</f>
        <v/>
      </c>
      <c r="AY410" s="35" t="str">
        <f aca="false">IF($B410="","",AQ410)</f>
        <v/>
      </c>
      <c r="AZ410" s="35" t="str">
        <f aca="false">IF($B410="","",AP410+AT410/2)</f>
        <v/>
      </c>
      <c r="BA410" s="35" t="str">
        <f aca="false">IF($B410="","",AK410+AN410+AM410/2+AO410+AP410+AQ410+AR410+AS410+AT410+AU410+AV410+AW410)</f>
        <v/>
      </c>
      <c r="BB410" s="35" t="str">
        <f aca="false">IF($B410="","",MAX(0,AN410-Settings!$C$16)*Settings!$C$17)</f>
        <v/>
      </c>
      <c r="BC410" s="35" t="str">
        <f aca="false">IF($B410="","",BA410-BB410)</f>
        <v/>
      </c>
      <c r="BD410" s="35" t="str">
        <f aca="false">IF(OR($B410="",$A410=""),"",DAY(EOMONTH($A410,0))-COUNTA($F410:$AJ410))</f>
        <v/>
      </c>
    </row>
    <row r="411" customFormat="false" ht="15" hidden="false" customHeight="false" outlineLevel="0" collapsed="false">
      <c r="A411" s="32"/>
      <c r="B411" s="29"/>
      <c r="C411" s="10" t="str">
        <f aca="false">IF($B411="","",IFERROR(INDEX(M_name,MATCH($B411,M_emp,0)),"Code not found"))</f>
        <v/>
      </c>
      <c r="D411" s="10" t="str">
        <f aca="false">IF($B411="","",IFERROR(INDEX(M_dept,MATCH($B411,M_emp,0)),""))</f>
        <v/>
      </c>
      <c r="E411" s="10" t="str">
        <f aca="false">IF($B411="","",IFERROR(INDEX(M_loc,MATCH($B411,M_emp,0)),""))</f>
        <v/>
      </c>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4" t="str">
        <f aca="false">IF($B411="","",COUNTIF($F411:$AJ411,"P"))</f>
        <v/>
      </c>
      <c r="AL411" s="34" t="str">
        <f aca="false">IF($B411="","",COUNTIF($F411:$AJ411,"A"))</f>
        <v/>
      </c>
      <c r="AM411" s="34" t="str">
        <f aca="false">IF($B411="","",COUNTIF($F411:$AJ411,"HA"))</f>
        <v/>
      </c>
      <c r="AN411" s="34" t="str">
        <f aca="false">IF($B411="","",COUNTIF($F411:$AJ411,"L"))</f>
        <v/>
      </c>
      <c r="AO411" s="34" t="str">
        <f aca="false">IF($B411="","",COUNTIF($F411:$AJ411,"PL"))</f>
        <v/>
      </c>
      <c r="AP411" s="34" t="str">
        <f aca="false">IF($B411="","",COUNTIF($F411:$AJ411,"CL"))</f>
        <v/>
      </c>
      <c r="AQ411" s="34" t="str">
        <f aca="false">IF($B411="","",COUNTIF($F411:$AJ411,"SL"))</f>
        <v/>
      </c>
      <c r="AR411" s="34" t="str">
        <f aca="false">IF($B411="","",COUNTIF($F411:$AJ411,"CO"))</f>
        <v/>
      </c>
      <c r="AS411" s="34" t="str">
        <f aca="false">IF($B411="","",COUNTIF($F411:$AJ411,"HPL"))</f>
        <v/>
      </c>
      <c r="AT411" s="34" t="str">
        <f aca="false">IF($B411="","",COUNTIF($F411:$AJ411,"HCL"))</f>
        <v/>
      </c>
      <c r="AU411" s="34" t="str">
        <f aca="false">IF($B411="","",COUNTIF($F411:$AJ411,"WO"))</f>
        <v/>
      </c>
      <c r="AV411" s="34" t="str">
        <f aca="false">IF($B411="","",COUNTIF($F411:$AJ411,"PH"))</f>
        <v/>
      </c>
      <c r="AW411" s="34" t="str">
        <f aca="false">IF($B411="","",COUNTIF($F411:$AJ411,"TR"))</f>
        <v/>
      </c>
      <c r="AX411" s="35" t="str">
        <f aca="false">IF($B411="","",AO411+AS411/2)</f>
        <v/>
      </c>
      <c r="AY411" s="35" t="str">
        <f aca="false">IF($B411="","",AQ411)</f>
        <v/>
      </c>
      <c r="AZ411" s="35" t="str">
        <f aca="false">IF($B411="","",AP411+AT411/2)</f>
        <v/>
      </c>
      <c r="BA411" s="35" t="str">
        <f aca="false">IF($B411="","",AK411+AN411+AM411/2+AO411+AP411+AQ411+AR411+AS411+AT411+AU411+AV411+AW411)</f>
        <v/>
      </c>
      <c r="BB411" s="35" t="str">
        <f aca="false">IF($B411="","",MAX(0,AN411-Settings!$C$16)*Settings!$C$17)</f>
        <v/>
      </c>
      <c r="BC411" s="35" t="str">
        <f aca="false">IF($B411="","",BA411-BB411)</f>
        <v/>
      </c>
      <c r="BD411" s="35" t="str">
        <f aca="false">IF(OR($B411="",$A411=""),"",DAY(EOMONTH($A411,0))-COUNTA($F411:$AJ411))</f>
        <v/>
      </c>
    </row>
    <row r="412" customFormat="false" ht="15" hidden="false" customHeight="false" outlineLevel="0" collapsed="false">
      <c r="A412" s="32"/>
      <c r="B412" s="29"/>
      <c r="C412" s="10" t="str">
        <f aca="false">IF($B412="","",IFERROR(INDEX(M_name,MATCH($B412,M_emp,0)),"Code not found"))</f>
        <v/>
      </c>
      <c r="D412" s="10" t="str">
        <f aca="false">IF($B412="","",IFERROR(INDEX(M_dept,MATCH($B412,M_emp,0)),""))</f>
        <v/>
      </c>
      <c r="E412" s="10" t="str">
        <f aca="false">IF($B412="","",IFERROR(INDEX(M_loc,MATCH($B412,M_emp,0)),""))</f>
        <v/>
      </c>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4" t="str">
        <f aca="false">IF($B412="","",COUNTIF($F412:$AJ412,"P"))</f>
        <v/>
      </c>
      <c r="AL412" s="34" t="str">
        <f aca="false">IF($B412="","",COUNTIF($F412:$AJ412,"A"))</f>
        <v/>
      </c>
      <c r="AM412" s="34" t="str">
        <f aca="false">IF($B412="","",COUNTIF($F412:$AJ412,"HA"))</f>
        <v/>
      </c>
      <c r="AN412" s="34" t="str">
        <f aca="false">IF($B412="","",COUNTIF($F412:$AJ412,"L"))</f>
        <v/>
      </c>
      <c r="AO412" s="34" t="str">
        <f aca="false">IF($B412="","",COUNTIF($F412:$AJ412,"PL"))</f>
        <v/>
      </c>
      <c r="AP412" s="34" t="str">
        <f aca="false">IF($B412="","",COUNTIF($F412:$AJ412,"CL"))</f>
        <v/>
      </c>
      <c r="AQ412" s="34" t="str">
        <f aca="false">IF($B412="","",COUNTIF($F412:$AJ412,"SL"))</f>
        <v/>
      </c>
      <c r="AR412" s="34" t="str">
        <f aca="false">IF($B412="","",COUNTIF($F412:$AJ412,"CO"))</f>
        <v/>
      </c>
      <c r="AS412" s="34" t="str">
        <f aca="false">IF($B412="","",COUNTIF($F412:$AJ412,"HPL"))</f>
        <v/>
      </c>
      <c r="AT412" s="34" t="str">
        <f aca="false">IF($B412="","",COUNTIF($F412:$AJ412,"HCL"))</f>
        <v/>
      </c>
      <c r="AU412" s="34" t="str">
        <f aca="false">IF($B412="","",COUNTIF($F412:$AJ412,"WO"))</f>
        <v/>
      </c>
      <c r="AV412" s="34" t="str">
        <f aca="false">IF($B412="","",COUNTIF($F412:$AJ412,"PH"))</f>
        <v/>
      </c>
      <c r="AW412" s="34" t="str">
        <f aca="false">IF($B412="","",COUNTIF($F412:$AJ412,"TR"))</f>
        <v/>
      </c>
      <c r="AX412" s="35" t="str">
        <f aca="false">IF($B412="","",AO412+AS412/2)</f>
        <v/>
      </c>
      <c r="AY412" s="35" t="str">
        <f aca="false">IF($B412="","",AQ412)</f>
        <v/>
      </c>
      <c r="AZ412" s="35" t="str">
        <f aca="false">IF($B412="","",AP412+AT412/2)</f>
        <v/>
      </c>
      <c r="BA412" s="35" t="str">
        <f aca="false">IF($B412="","",AK412+AN412+AM412/2+AO412+AP412+AQ412+AR412+AS412+AT412+AU412+AV412+AW412)</f>
        <v/>
      </c>
      <c r="BB412" s="35" t="str">
        <f aca="false">IF($B412="","",MAX(0,AN412-Settings!$C$16)*Settings!$C$17)</f>
        <v/>
      </c>
      <c r="BC412" s="35" t="str">
        <f aca="false">IF($B412="","",BA412-BB412)</f>
        <v/>
      </c>
      <c r="BD412" s="35" t="str">
        <f aca="false">IF(OR($B412="",$A412=""),"",DAY(EOMONTH($A412,0))-COUNTA($F412:$AJ412))</f>
        <v/>
      </c>
    </row>
    <row r="413" customFormat="false" ht="15" hidden="false" customHeight="false" outlineLevel="0" collapsed="false">
      <c r="A413" s="32"/>
      <c r="B413" s="29"/>
      <c r="C413" s="10" t="str">
        <f aca="false">IF($B413="","",IFERROR(INDEX(M_name,MATCH($B413,M_emp,0)),"Code not found"))</f>
        <v/>
      </c>
      <c r="D413" s="10" t="str">
        <f aca="false">IF($B413="","",IFERROR(INDEX(M_dept,MATCH($B413,M_emp,0)),""))</f>
        <v/>
      </c>
      <c r="E413" s="10" t="str">
        <f aca="false">IF($B413="","",IFERROR(INDEX(M_loc,MATCH($B413,M_emp,0)),""))</f>
        <v/>
      </c>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4" t="str">
        <f aca="false">IF($B413="","",COUNTIF($F413:$AJ413,"P"))</f>
        <v/>
      </c>
      <c r="AL413" s="34" t="str">
        <f aca="false">IF($B413="","",COUNTIF($F413:$AJ413,"A"))</f>
        <v/>
      </c>
      <c r="AM413" s="34" t="str">
        <f aca="false">IF($B413="","",COUNTIF($F413:$AJ413,"HA"))</f>
        <v/>
      </c>
      <c r="AN413" s="34" t="str">
        <f aca="false">IF($B413="","",COUNTIF($F413:$AJ413,"L"))</f>
        <v/>
      </c>
      <c r="AO413" s="34" t="str">
        <f aca="false">IF($B413="","",COUNTIF($F413:$AJ413,"PL"))</f>
        <v/>
      </c>
      <c r="AP413" s="34" t="str">
        <f aca="false">IF($B413="","",COUNTIF($F413:$AJ413,"CL"))</f>
        <v/>
      </c>
      <c r="AQ413" s="34" t="str">
        <f aca="false">IF($B413="","",COUNTIF($F413:$AJ413,"SL"))</f>
        <v/>
      </c>
      <c r="AR413" s="34" t="str">
        <f aca="false">IF($B413="","",COUNTIF($F413:$AJ413,"CO"))</f>
        <v/>
      </c>
      <c r="AS413" s="34" t="str">
        <f aca="false">IF($B413="","",COUNTIF($F413:$AJ413,"HPL"))</f>
        <v/>
      </c>
      <c r="AT413" s="34" t="str">
        <f aca="false">IF($B413="","",COUNTIF($F413:$AJ413,"HCL"))</f>
        <v/>
      </c>
      <c r="AU413" s="34" t="str">
        <f aca="false">IF($B413="","",COUNTIF($F413:$AJ413,"WO"))</f>
        <v/>
      </c>
      <c r="AV413" s="34" t="str">
        <f aca="false">IF($B413="","",COUNTIF($F413:$AJ413,"PH"))</f>
        <v/>
      </c>
      <c r="AW413" s="34" t="str">
        <f aca="false">IF($B413="","",COUNTIF($F413:$AJ413,"TR"))</f>
        <v/>
      </c>
      <c r="AX413" s="35" t="str">
        <f aca="false">IF($B413="","",AO413+AS413/2)</f>
        <v/>
      </c>
      <c r="AY413" s="35" t="str">
        <f aca="false">IF($B413="","",AQ413)</f>
        <v/>
      </c>
      <c r="AZ413" s="35" t="str">
        <f aca="false">IF($B413="","",AP413+AT413/2)</f>
        <v/>
      </c>
      <c r="BA413" s="35" t="str">
        <f aca="false">IF($B413="","",AK413+AN413+AM413/2+AO413+AP413+AQ413+AR413+AS413+AT413+AU413+AV413+AW413)</f>
        <v/>
      </c>
      <c r="BB413" s="35" t="str">
        <f aca="false">IF($B413="","",MAX(0,AN413-Settings!$C$16)*Settings!$C$17)</f>
        <v/>
      </c>
      <c r="BC413" s="35" t="str">
        <f aca="false">IF($B413="","",BA413-BB413)</f>
        <v/>
      </c>
      <c r="BD413" s="35" t="str">
        <f aca="false">IF(OR($B413="",$A413=""),"",DAY(EOMONTH($A413,0))-COUNTA($F413:$AJ413))</f>
        <v/>
      </c>
    </row>
    <row r="414" customFormat="false" ht="15" hidden="false" customHeight="false" outlineLevel="0" collapsed="false">
      <c r="A414" s="32"/>
      <c r="B414" s="29"/>
      <c r="C414" s="10" t="str">
        <f aca="false">IF($B414="","",IFERROR(INDEX(M_name,MATCH($B414,M_emp,0)),"Code not found"))</f>
        <v/>
      </c>
      <c r="D414" s="10" t="str">
        <f aca="false">IF($B414="","",IFERROR(INDEX(M_dept,MATCH($B414,M_emp,0)),""))</f>
        <v/>
      </c>
      <c r="E414" s="10" t="str">
        <f aca="false">IF($B414="","",IFERROR(INDEX(M_loc,MATCH($B414,M_emp,0)),""))</f>
        <v/>
      </c>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4" t="str">
        <f aca="false">IF($B414="","",COUNTIF($F414:$AJ414,"P"))</f>
        <v/>
      </c>
      <c r="AL414" s="34" t="str">
        <f aca="false">IF($B414="","",COUNTIF($F414:$AJ414,"A"))</f>
        <v/>
      </c>
      <c r="AM414" s="34" t="str">
        <f aca="false">IF($B414="","",COUNTIF($F414:$AJ414,"HA"))</f>
        <v/>
      </c>
      <c r="AN414" s="34" t="str">
        <f aca="false">IF($B414="","",COUNTIF($F414:$AJ414,"L"))</f>
        <v/>
      </c>
      <c r="AO414" s="34" t="str">
        <f aca="false">IF($B414="","",COUNTIF($F414:$AJ414,"PL"))</f>
        <v/>
      </c>
      <c r="AP414" s="34" t="str">
        <f aca="false">IF($B414="","",COUNTIF($F414:$AJ414,"CL"))</f>
        <v/>
      </c>
      <c r="AQ414" s="34" t="str">
        <f aca="false">IF($B414="","",COUNTIF($F414:$AJ414,"SL"))</f>
        <v/>
      </c>
      <c r="AR414" s="34" t="str">
        <f aca="false">IF($B414="","",COUNTIF($F414:$AJ414,"CO"))</f>
        <v/>
      </c>
      <c r="AS414" s="34" t="str">
        <f aca="false">IF($B414="","",COUNTIF($F414:$AJ414,"HPL"))</f>
        <v/>
      </c>
      <c r="AT414" s="34" t="str">
        <f aca="false">IF($B414="","",COUNTIF($F414:$AJ414,"HCL"))</f>
        <v/>
      </c>
      <c r="AU414" s="34" t="str">
        <f aca="false">IF($B414="","",COUNTIF($F414:$AJ414,"WO"))</f>
        <v/>
      </c>
      <c r="AV414" s="34" t="str">
        <f aca="false">IF($B414="","",COUNTIF($F414:$AJ414,"PH"))</f>
        <v/>
      </c>
      <c r="AW414" s="34" t="str">
        <f aca="false">IF($B414="","",COUNTIF($F414:$AJ414,"TR"))</f>
        <v/>
      </c>
      <c r="AX414" s="35" t="str">
        <f aca="false">IF($B414="","",AO414+AS414/2)</f>
        <v/>
      </c>
      <c r="AY414" s="35" t="str">
        <f aca="false">IF($B414="","",AQ414)</f>
        <v/>
      </c>
      <c r="AZ414" s="35" t="str">
        <f aca="false">IF($B414="","",AP414+AT414/2)</f>
        <v/>
      </c>
      <c r="BA414" s="35" t="str">
        <f aca="false">IF($B414="","",AK414+AN414+AM414/2+AO414+AP414+AQ414+AR414+AS414+AT414+AU414+AV414+AW414)</f>
        <v/>
      </c>
      <c r="BB414" s="35" t="str">
        <f aca="false">IF($B414="","",MAX(0,AN414-Settings!$C$16)*Settings!$C$17)</f>
        <v/>
      </c>
      <c r="BC414" s="35" t="str">
        <f aca="false">IF($B414="","",BA414-BB414)</f>
        <v/>
      </c>
      <c r="BD414" s="35" t="str">
        <f aca="false">IF(OR($B414="",$A414=""),"",DAY(EOMONTH($A414,0))-COUNTA($F414:$AJ414))</f>
        <v/>
      </c>
    </row>
    <row r="415" customFormat="false" ht="15" hidden="false" customHeight="false" outlineLevel="0" collapsed="false">
      <c r="A415" s="32"/>
      <c r="B415" s="29"/>
      <c r="C415" s="10" t="str">
        <f aca="false">IF($B415="","",IFERROR(INDEX(M_name,MATCH($B415,M_emp,0)),"Code not found"))</f>
        <v/>
      </c>
      <c r="D415" s="10" t="str">
        <f aca="false">IF($B415="","",IFERROR(INDEX(M_dept,MATCH($B415,M_emp,0)),""))</f>
        <v/>
      </c>
      <c r="E415" s="10" t="str">
        <f aca="false">IF($B415="","",IFERROR(INDEX(M_loc,MATCH($B415,M_emp,0)),""))</f>
        <v/>
      </c>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4" t="str">
        <f aca="false">IF($B415="","",COUNTIF($F415:$AJ415,"P"))</f>
        <v/>
      </c>
      <c r="AL415" s="34" t="str">
        <f aca="false">IF($B415="","",COUNTIF($F415:$AJ415,"A"))</f>
        <v/>
      </c>
      <c r="AM415" s="34" t="str">
        <f aca="false">IF($B415="","",COUNTIF($F415:$AJ415,"HA"))</f>
        <v/>
      </c>
      <c r="AN415" s="34" t="str">
        <f aca="false">IF($B415="","",COUNTIF($F415:$AJ415,"L"))</f>
        <v/>
      </c>
      <c r="AO415" s="34" t="str">
        <f aca="false">IF($B415="","",COUNTIF($F415:$AJ415,"PL"))</f>
        <v/>
      </c>
      <c r="AP415" s="34" t="str">
        <f aca="false">IF($B415="","",COUNTIF($F415:$AJ415,"CL"))</f>
        <v/>
      </c>
      <c r="AQ415" s="34" t="str">
        <f aca="false">IF($B415="","",COUNTIF($F415:$AJ415,"SL"))</f>
        <v/>
      </c>
      <c r="AR415" s="34" t="str">
        <f aca="false">IF($B415="","",COUNTIF($F415:$AJ415,"CO"))</f>
        <v/>
      </c>
      <c r="AS415" s="34" t="str">
        <f aca="false">IF($B415="","",COUNTIF($F415:$AJ415,"HPL"))</f>
        <v/>
      </c>
      <c r="AT415" s="34" t="str">
        <f aca="false">IF($B415="","",COUNTIF($F415:$AJ415,"HCL"))</f>
        <v/>
      </c>
      <c r="AU415" s="34" t="str">
        <f aca="false">IF($B415="","",COUNTIF($F415:$AJ415,"WO"))</f>
        <v/>
      </c>
      <c r="AV415" s="34" t="str">
        <f aca="false">IF($B415="","",COUNTIF($F415:$AJ415,"PH"))</f>
        <v/>
      </c>
      <c r="AW415" s="34" t="str">
        <f aca="false">IF($B415="","",COUNTIF($F415:$AJ415,"TR"))</f>
        <v/>
      </c>
      <c r="AX415" s="35" t="str">
        <f aca="false">IF($B415="","",AO415+AS415/2)</f>
        <v/>
      </c>
      <c r="AY415" s="35" t="str">
        <f aca="false">IF($B415="","",AQ415)</f>
        <v/>
      </c>
      <c r="AZ415" s="35" t="str">
        <f aca="false">IF($B415="","",AP415+AT415/2)</f>
        <v/>
      </c>
      <c r="BA415" s="35" t="str">
        <f aca="false">IF($B415="","",AK415+AN415+AM415/2+AO415+AP415+AQ415+AR415+AS415+AT415+AU415+AV415+AW415)</f>
        <v/>
      </c>
      <c r="BB415" s="35" t="str">
        <f aca="false">IF($B415="","",MAX(0,AN415-Settings!$C$16)*Settings!$C$17)</f>
        <v/>
      </c>
      <c r="BC415" s="35" t="str">
        <f aca="false">IF($B415="","",BA415-BB415)</f>
        <v/>
      </c>
      <c r="BD415" s="35" t="str">
        <f aca="false">IF(OR($B415="",$A415=""),"",DAY(EOMONTH($A415,0))-COUNTA($F415:$AJ415))</f>
        <v/>
      </c>
    </row>
    <row r="416" customFormat="false" ht="15" hidden="false" customHeight="false" outlineLevel="0" collapsed="false">
      <c r="A416" s="32"/>
      <c r="B416" s="29"/>
      <c r="C416" s="10" t="str">
        <f aca="false">IF($B416="","",IFERROR(INDEX(M_name,MATCH($B416,M_emp,0)),"Code not found"))</f>
        <v/>
      </c>
      <c r="D416" s="10" t="str">
        <f aca="false">IF($B416="","",IFERROR(INDEX(M_dept,MATCH($B416,M_emp,0)),""))</f>
        <v/>
      </c>
      <c r="E416" s="10" t="str">
        <f aca="false">IF($B416="","",IFERROR(INDEX(M_loc,MATCH($B416,M_emp,0)),""))</f>
        <v/>
      </c>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4" t="str">
        <f aca="false">IF($B416="","",COUNTIF($F416:$AJ416,"P"))</f>
        <v/>
      </c>
      <c r="AL416" s="34" t="str">
        <f aca="false">IF($B416="","",COUNTIF($F416:$AJ416,"A"))</f>
        <v/>
      </c>
      <c r="AM416" s="34" t="str">
        <f aca="false">IF($B416="","",COUNTIF($F416:$AJ416,"HA"))</f>
        <v/>
      </c>
      <c r="AN416" s="34" t="str">
        <f aca="false">IF($B416="","",COUNTIF($F416:$AJ416,"L"))</f>
        <v/>
      </c>
      <c r="AO416" s="34" t="str">
        <f aca="false">IF($B416="","",COUNTIF($F416:$AJ416,"PL"))</f>
        <v/>
      </c>
      <c r="AP416" s="34" t="str">
        <f aca="false">IF($B416="","",COUNTIF($F416:$AJ416,"CL"))</f>
        <v/>
      </c>
      <c r="AQ416" s="34" t="str">
        <f aca="false">IF($B416="","",COUNTIF($F416:$AJ416,"SL"))</f>
        <v/>
      </c>
      <c r="AR416" s="34" t="str">
        <f aca="false">IF($B416="","",COUNTIF($F416:$AJ416,"CO"))</f>
        <v/>
      </c>
      <c r="AS416" s="34" t="str">
        <f aca="false">IF($B416="","",COUNTIF($F416:$AJ416,"HPL"))</f>
        <v/>
      </c>
      <c r="AT416" s="34" t="str">
        <f aca="false">IF($B416="","",COUNTIF($F416:$AJ416,"HCL"))</f>
        <v/>
      </c>
      <c r="AU416" s="34" t="str">
        <f aca="false">IF($B416="","",COUNTIF($F416:$AJ416,"WO"))</f>
        <v/>
      </c>
      <c r="AV416" s="34" t="str">
        <f aca="false">IF($B416="","",COUNTIF($F416:$AJ416,"PH"))</f>
        <v/>
      </c>
      <c r="AW416" s="34" t="str">
        <f aca="false">IF($B416="","",COUNTIF($F416:$AJ416,"TR"))</f>
        <v/>
      </c>
      <c r="AX416" s="35" t="str">
        <f aca="false">IF($B416="","",AO416+AS416/2)</f>
        <v/>
      </c>
      <c r="AY416" s="35" t="str">
        <f aca="false">IF($B416="","",AQ416)</f>
        <v/>
      </c>
      <c r="AZ416" s="35" t="str">
        <f aca="false">IF($B416="","",AP416+AT416/2)</f>
        <v/>
      </c>
      <c r="BA416" s="35" t="str">
        <f aca="false">IF($B416="","",AK416+AN416+AM416/2+AO416+AP416+AQ416+AR416+AS416+AT416+AU416+AV416+AW416)</f>
        <v/>
      </c>
      <c r="BB416" s="35" t="str">
        <f aca="false">IF($B416="","",MAX(0,AN416-Settings!$C$16)*Settings!$C$17)</f>
        <v/>
      </c>
      <c r="BC416" s="35" t="str">
        <f aca="false">IF($B416="","",BA416-BB416)</f>
        <v/>
      </c>
      <c r="BD416" s="35" t="str">
        <f aca="false">IF(OR($B416="",$A416=""),"",DAY(EOMONTH($A416,0))-COUNTA($F416:$AJ416))</f>
        <v/>
      </c>
    </row>
    <row r="417" customFormat="false" ht="15" hidden="false" customHeight="false" outlineLevel="0" collapsed="false">
      <c r="A417" s="32"/>
      <c r="B417" s="29"/>
      <c r="C417" s="10" t="str">
        <f aca="false">IF($B417="","",IFERROR(INDEX(M_name,MATCH($B417,M_emp,0)),"Code not found"))</f>
        <v/>
      </c>
      <c r="D417" s="10" t="str">
        <f aca="false">IF($B417="","",IFERROR(INDEX(M_dept,MATCH($B417,M_emp,0)),""))</f>
        <v/>
      </c>
      <c r="E417" s="10" t="str">
        <f aca="false">IF($B417="","",IFERROR(INDEX(M_loc,MATCH($B417,M_emp,0)),""))</f>
        <v/>
      </c>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4" t="str">
        <f aca="false">IF($B417="","",COUNTIF($F417:$AJ417,"P"))</f>
        <v/>
      </c>
      <c r="AL417" s="34" t="str">
        <f aca="false">IF($B417="","",COUNTIF($F417:$AJ417,"A"))</f>
        <v/>
      </c>
      <c r="AM417" s="34" t="str">
        <f aca="false">IF($B417="","",COUNTIF($F417:$AJ417,"HA"))</f>
        <v/>
      </c>
      <c r="AN417" s="34" t="str">
        <f aca="false">IF($B417="","",COUNTIF($F417:$AJ417,"L"))</f>
        <v/>
      </c>
      <c r="AO417" s="34" t="str">
        <f aca="false">IF($B417="","",COUNTIF($F417:$AJ417,"PL"))</f>
        <v/>
      </c>
      <c r="AP417" s="34" t="str">
        <f aca="false">IF($B417="","",COUNTIF($F417:$AJ417,"CL"))</f>
        <v/>
      </c>
      <c r="AQ417" s="34" t="str">
        <f aca="false">IF($B417="","",COUNTIF($F417:$AJ417,"SL"))</f>
        <v/>
      </c>
      <c r="AR417" s="34" t="str">
        <f aca="false">IF($B417="","",COUNTIF($F417:$AJ417,"CO"))</f>
        <v/>
      </c>
      <c r="AS417" s="34" t="str">
        <f aca="false">IF($B417="","",COUNTIF($F417:$AJ417,"HPL"))</f>
        <v/>
      </c>
      <c r="AT417" s="34" t="str">
        <f aca="false">IF($B417="","",COUNTIF($F417:$AJ417,"HCL"))</f>
        <v/>
      </c>
      <c r="AU417" s="34" t="str">
        <f aca="false">IF($B417="","",COUNTIF($F417:$AJ417,"WO"))</f>
        <v/>
      </c>
      <c r="AV417" s="34" t="str">
        <f aca="false">IF($B417="","",COUNTIF($F417:$AJ417,"PH"))</f>
        <v/>
      </c>
      <c r="AW417" s="34" t="str">
        <f aca="false">IF($B417="","",COUNTIF($F417:$AJ417,"TR"))</f>
        <v/>
      </c>
      <c r="AX417" s="35" t="str">
        <f aca="false">IF($B417="","",AO417+AS417/2)</f>
        <v/>
      </c>
      <c r="AY417" s="35" t="str">
        <f aca="false">IF($B417="","",AQ417)</f>
        <v/>
      </c>
      <c r="AZ417" s="35" t="str">
        <f aca="false">IF($B417="","",AP417+AT417/2)</f>
        <v/>
      </c>
      <c r="BA417" s="35" t="str">
        <f aca="false">IF($B417="","",AK417+AN417+AM417/2+AO417+AP417+AQ417+AR417+AS417+AT417+AU417+AV417+AW417)</f>
        <v/>
      </c>
      <c r="BB417" s="35" t="str">
        <f aca="false">IF($B417="","",MAX(0,AN417-Settings!$C$16)*Settings!$C$17)</f>
        <v/>
      </c>
      <c r="BC417" s="35" t="str">
        <f aca="false">IF($B417="","",BA417-BB417)</f>
        <v/>
      </c>
      <c r="BD417" s="35" t="str">
        <f aca="false">IF(OR($B417="",$A417=""),"",DAY(EOMONTH($A417,0))-COUNTA($F417:$AJ417))</f>
        <v/>
      </c>
    </row>
    <row r="418" customFormat="false" ht="15" hidden="false" customHeight="false" outlineLevel="0" collapsed="false">
      <c r="A418" s="32"/>
      <c r="B418" s="29"/>
      <c r="C418" s="10" t="str">
        <f aca="false">IF($B418="","",IFERROR(INDEX(M_name,MATCH($B418,M_emp,0)),"Code not found"))</f>
        <v/>
      </c>
      <c r="D418" s="10" t="str">
        <f aca="false">IF($B418="","",IFERROR(INDEX(M_dept,MATCH($B418,M_emp,0)),""))</f>
        <v/>
      </c>
      <c r="E418" s="10" t="str">
        <f aca="false">IF($B418="","",IFERROR(INDEX(M_loc,MATCH($B418,M_emp,0)),""))</f>
        <v/>
      </c>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4" t="str">
        <f aca="false">IF($B418="","",COUNTIF($F418:$AJ418,"P"))</f>
        <v/>
      </c>
      <c r="AL418" s="34" t="str">
        <f aca="false">IF($B418="","",COUNTIF($F418:$AJ418,"A"))</f>
        <v/>
      </c>
      <c r="AM418" s="34" t="str">
        <f aca="false">IF($B418="","",COUNTIF($F418:$AJ418,"HA"))</f>
        <v/>
      </c>
      <c r="AN418" s="34" t="str">
        <f aca="false">IF($B418="","",COUNTIF($F418:$AJ418,"L"))</f>
        <v/>
      </c>
      <c r="AO418" s="34" t="str">
        <f aca="false">IF($B418="","",COUNTIF($F418:$AJ418,"PL"))</f>
        <v/>
      </c>
      <c r="AP418" s="34" t="str">
        <f aca="false">IF($B418="","",COUNTIF($F418:$AJ418,"CL"))</f>
        <v/>
      </c>
      <c r="AQ418" s="34" t="str">
        <f aca="false">IF($B418="","",COUNTIF($F418:$AJ418,"SL"))</f>
        <v/>
      </c>
      <c r="AR418" s="34" t="str">
        <f aca="false">IF($B418="","",COUNTIF($F418:$AJ418,"CO"))</f>
        <v/>
      </c>
      <c r="AS418" s="34" t="str">
        <f aca="false">IF($B418="","",COUNTIF($F418:$AJ418,"HPL"))</f>
        <v/>
      </c>
      <c r="AT418" s="34" t="str">
        <f aca="false">IF($B418="","",COUNTIF($F418:$AJ418,"HCL"))</f>
        <v/>
      </c>
      <c r="AU418" s="34" t="str">
        <f aca="false">IF($B418="","",COUNTIF($F418:$AJ418,"WO"))</f>
        <v/>
      </c>
      <c r="AV418" s="34" t="str">
        <f aca="false">IF($B418="","",COUNTIF($F418:$AJ418,"PH"))</f>
        <v/>
      </c>
      <c r="AW418" s="34" t="str">
        <f aca="false">IF($B418="","",COUNTIF($F418:$AJ418,"TR"))</f>
        <v/>
      </c>
      <c r="AX418" s="35" t="str">
        <f aca="false">IF($B418="","",AO418+AS418/2)</f>
        <v/>
      </c>
      <c r="AY418" s="35" t="str">
        <f aca="false">IF($B418="","",AQ418)</f>
        <v/>
      </c>
      <c r="AZ418" s="35" t="str">
        <f aca="false">IF($B418="","",AP418+AT418/2)</f>
        <v/>
      </c>
      <c r="BA418" s="35" t="str">
        <f aca="false">IF($B418="","",AK418+AN418+AM418/2+AO418+AP418+AQ418+AR418+AS418+AT418+AU418+AV418+AW418)</f>
        <v/>
      </c>
      <c r="BB418" s="35" t="str">
        <f aca="false">IF($B418="","",MAX(0,AN418-Settings!$C$16)*Settings!$C$17)</f>
        <v/>
      </c>
      <c r="BC418" s="35" t="str">
        <f aca="false">IF($B418="","",BA418-BB418)</f>
        <v/>
      </c>
      <c r="BD418" s="35" t="str">
        <f aca="false">IF(OR($B418="",$A418=""),"",DAY(EOMONTH($A418,0))-COUNTA($F418:$AJ418))</f>
        <v/>
      </c>
    </row>
    <row r="419" customFormat="false" ht="15" hidden="false" customHeight="false" outlineLevel="0" collapsed="false">
      <c r="A419" s="32"/>
      <c r="B419" s="29"/>
      <c r="C419" s="10" t="str">
        <f aca="false">IF($B419="","",IFERROR(INDEX(M_name,MATCH($B419,M_emp,0)),"Code not found"))</f>
        <v/>
      </c>
      <c r="D419" s="10" t="str">
        <f aca="false">IF($B419="","",IFERROR(INDEX(M_dept,MATCH($B419,M_emp,0)),""))</f>
        <v/>
      </c>
      <c r="E419" s="10" t="str">
        <f aca="false">IF($B419="","",IFERROR(INDEX(M_loc,MATCH($B419,M_emp,0)),""))</f>
        <v/>
      </c>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4" t="str">
        <f aca="false">IF($B419="","",COUNTIF($F419:$AJ419,"P"))</f>
        <v/>
      </c>
      <c r="AL419" s="34" t="str">
        <f aca="false">IF($B419="","",COUNTIF($F419:$AJ419,"A"))</f>
        <v/>
      </c>
      <c r="AM419" s="34" t="str">
        <f aca="false">IF($B419="","",COUNTIF($F419:$AJ419,"HA"))</f>
        <v/>
      </c>
      <c r="AN419" s="34" t="str">
        <f aca="false">IF($B419="","",COUNTIF($F419:$AJ419,"L"))</f>
        <v/>
      </c>
      <c r="AO419" s="34" t="str">
        <f aca="false">IF($B419="","",COUNTIF($F419:$AJ419,"PL"))</f>
        <v/>
      </c>
      <c r="AP419" s="34" t="str">
        <f aca="false">IF($B419="","",COUNTIF($F419:$AJ419,"CL"))</f>
        <v/>
      </c>
      <c r="AQ419" s="34" t="str">
        <f aca="false">IF($B419="","",COUNTIF($F419:$AJ419,"SL"))</f>
        <v/>
      </c>
      <c r="AR419" s="34" t="str">
        <f aca="false">IF($B419="","",COUNTIF($F419:$AJ419,"CO"))</f>
        <v/>
      </c>
      <c r="AS419" s="34" t="str">
        <f aca="false">IF($B419="","",COUNTIF($F419:$AJ419,"HPL"))</f>
        <v/>
      </c>
      <c r="AT419" s="34" t="str">
        <f aca="false">IF($B419="","",COUNTIF($F419:$AJ419,"HCL"))</f>
        <v/>
      </c>
      <c r="AU419" s="34" t="str">
        <f aca="false">IF($B419="","",COUNTIF($F419:$AJ419,"WO"))</f>
        <v/>
      </c>
      <c r="AV419" s="34" t="str">
        <f aca="false">IF($B419="","",COUNTIF($F419:$AJ419,"PH"))</f>
        <v/>
      </c>
      <c r="AW419" s="34" t="str">
        <f aca="false">IF($B419="","",COUNTIF($F419:$AJ419,"TR"))</f>
        <v/>
      </c>
      <c r="AX419" s="35" t="str">
        <f aca="false">IF($B419="","",AO419+AS419/2)</f>
        <v/>
      </c>
      <c r="AY419" s="35" t="str">
        <f aca="false">IF($B419="","",AQ419)</f>
        <v/>
      </c>
      <c r="AZ419" s="35" t="str">
        <f aca="false">IF($B419="","",AP419+AT419/2)</f>
        <v/>
      </c>
      <c r="BA419" s="35" t="str">
        <f aca="false">IF($B419="","",AK419+AN419+AM419/2+AO419+AP419+AQ419+AR419+AS419+AT419+AU419+AV419+AW419)</f>
        <v/>
      </c>
      <c r="BB419" s="35" t="str">
        <f aca="false">IF($B419="","",MAX(0,AN419-Settings!$C$16)*Settings!$C$17)</f>
        <v/>
      </c>
      <c r="BC419" s="35" t="str">
        <f aca="false">IF($B419="","",BA419-BB419)</f>
        <v/>
      </c>
      <c r="BD419" s="35" t="str">
        <f aca="false">IF(OR($B419="",$A419=""),"",DAY(EOMONTH($A419,0))-COUNTA($F419:$AJ419))</f>
        <v/>
      </c>
    </row>
    <row r="420" customFormat="false" ht="15" hidden="false" customHeight="false" outlineLevel="0" collapsed="false">
      <c r="A420" s="32"/>
      <c r="B420" s="29"/>
      <c r="C420" s="10" t="str">
        <f aca="false">IF($B420="","",IFERROR(INDEX(M_name,MATCH($B420,M_emp,0)),"Code not found"))</f>
        <v/>
      </c>
      <c r="D420" s="10" t="str">
        <f aca="false">IF($B420="","",IFERROR(INDEX(M_dept,MATCH($B420,M_emp,0)),""))</f>
        <v/>
      </c>
      <c r="E420" s="10" t="str">
        <f aca="false">IF($B420="","",IFERROR(INDEX(M_loc,MATCH($B420,M_emp,0)),""))</f>
        <v/>
      </c>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4" t="str">
        <f aca="false">IF($B420="","",COUNTIF($F420:$AJ420,"P"))</f>
        <v/>
      </c>
      <c r="AL420" s="34" t="str">
        <f aca="false">IF($B420="","",COUNTIF($F420:$AJ420,"A"))</f>
        <v/>
      </c>
      <c r="AM420" s="34" t="str">
        <f aca="false">IF($B420="","",COUNTIF($F420:$AJ420,"HA"))</f>
        <v/>
      </c>
      <c r="AN420" s="34" t="str">
        <f aca="false">IF($B420="","",COUNTIF($F420:$AJ420,"L"))</f>
        <v/>
      </c>
      <c r="AO420" s="34" t="str">
        <f aca="false">IF($B420="","",COUNTIF($F420:$AJ420,"PL"))</f>
        <v/>
      </c>
      <c r="AP420" s="34" t="str">
        <f aca="false">IF($B420="","",COUNTIF($F420:$AJ420,"CL"))</f>
        <v/>
      </c>
      <c r="AQ420" s="34" t="str">
        <f aca="false">IF($B420="","",COUNTIF($F420:$AJ420,"SL"))</f>
        <v/>
      </c>
      <c r="AR420" s="34" t="str">
        <f aca="false">IF($B420="","",COUNTIF($F420:$AJ420,"CO"))</f>
        <v/>
      </c>
      <c r="AS420" s="34" t="str">
        <f aca="false">IF($B420="","",COUNTIF($F420:$AJ420,"HPL"))</f>
        <v/>
      </c>
      <c r="AT420" s="34" t="str">
        <f aca="false">IF($B420="","",COUNTIF($F420:$AJ420,"HCL"))</f>
        <v/>
      </c>
      <c r="AU420" s="34" t="str">
        <f aca="false">IF($B420="","",COUNTIF($F420:$AJ420,"WO"))</f>
        <v/>
      </c>
      <c r="AV420" s="34" t="str">
        <f aca="false">IF($B420="","",COUNTIF($F420:$AJ420,"PH"))</f>
        <v/>
      </c>
      <c r="AW420" s="34" t="str">
        <f aca="false">IF($B420="","",COUNTIF($F420:$AJ420,"TR"))</f>
        <v/>
      </c>
      <c r="AX420" s="35" t="str">
        <f aca="false">IF($B420="","",AO420+AS420/2)</f>
        <v/>
      </c>
      <c r="AY420" s="35" t="str">
        <f aca="false">IF($B420="","",AQ420)</f>
        <v/>
      </c>
      <c r="AZ420" s="35" t="str">
        <f aca="false">IF($B420="","",AP420+AT420/2)</f>
        <v/>
      </c>
      <c r="BA420" s="35" t="str">
        <f aca="false">IF($B420="","",AK420+AN420+AM420/2+AO420+AP420+AQ420+AR420+AS420+AT420+AU420+AV420+AW420)</f>
        <v/>
      </c>
      <c r="BB420" s="35" t="str">
        <f aca="false">IF($B420="","",MAX(0,AN420-Settings!$C$16)*Settings!$C$17)</f>
        <v/>
      </c>
      <c r="BC420" s="35" t="str">
        <f aca="false">IF($B420="","",BA420-BB420)</f>
        <v/>
      </c>
      <c r="BD420" s="35" t="str">
        <f aca="false">IF(OR($B420="",$A420=""),"",DAY(EOMONTH($A420,0))-COUNTA($F420:$AJ420))</f>
        <v/>
      </c>
    </row>
    <row r="421" customFormat="false" ht="15" hidden="false" customHeight="false" outlineLevel="0" collapsed="false">
      <c r="A421" s="32"/>
      <c r="B421" s="29"/>
      <c r="C421" s="10" t="str">
        <f aca="false">IF($B421="","",IFERROR(INDEX(M_name,MATCH($B421,M_emp,0)),"Code not found"))</f>
        <v/>
      </c>
      <c r="D421" s="10" t="str">
        <f aca="false">IF($B421="","",IFERROR(INDEX(M_dept,MATCH($B421,M_emp,0)),""))</f>
        <v/>
      </c>
      <c r="E421" s="10" t="str">
        <f aca="false">IF($B421="","",IFERROR(INDEX(M_loc,MATCH($B421,M_emp,0)),""))</f>
        <v/>
      </c>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4" t="str">
        <f aca="false">IF($B421="","",COUNTIF($F421:$AJ421,"P"))</f>
        <v/>
      </c>
      <c r="AL421" s="34" t="str">
        <f aca="false">IF($B421="","",COUNTIF($F421:$AJ421,"A"))</f>
        <v/>
      </c>
      <c r="AM421" s="34" t="str">
        <f aca="false">IF($B421="","",COUNTIF($F421:$AJ421,"HA"))</f>
        <v/>
      </c>
      <c r="AN421" s="34" t="str">
        <f aca="false">IF($B421="","",COUNTIF($F421:$AJ421,"L"))</f>
        <v/>
      </c>
      <c r="AO421" s="34" t="str">
        <f aca="false">IF($B421="","",COUNTIF($F421:$AJ421,"PL"))</f>
        <v/>
      </c>
      <c r="AP421" s="34" t="str">
        <f aca="false">IF($B421="","",COUNTIF($F421:$AJ421,"CL"))</f>
        <v/>
      </c>
      <c r="AQ421" s="34" t="str">
        <f aca="false">IF($B421="","",COUNTIF($F421:$AJ421,"SL"))</f>
        <v/>
      </c>
      <c r="AR421" s="34" t="str">
        <f aca="false">IF($B421="","",COUNTIF($F421:$AJ421,"CO"))</f>
        <v/>
      </c>
      <c r="AS421" s="34" t="str">
        <f aca="false">IF($B421="","",COUNTIF($F421:$AJ421,"HPL"))</f>
        <v/>
      </c>
      <c r="AT421" s="34" t="str">
        <f aca="false">IF($B421="","",COUNTIF($F421:$AJ421,"HCL"))</f>
        <v/>
      </c>
      <c r="AU421" s="34" t="str">
        <f aca="false">IF($B421="","",COUNTIF($F421:$AJ421,"WO"))</f>
        <v/>
      </c>
      <c r="AV421" s="34" t="str">
        <f aca="false">IF($B421="","",COUNTIF($F421:$AJ421,"PH"))</f>
        <v/>
      </c>
      <c r="AW421" s="34" t="str">
        <f aca="false">IF($B421="","",COUNTIF($F421:$AJ421,"TR"))</f>
        <v/>
      </c>
      <c r="AX421" s="35" t="str">
        <f aca="false">IF($B421="","",AO421+AS421/2)</f>
        <v/>
      </c>
      <c r="AY421" s="35" t="str">
        <f aca="false">IF($B421="","",AQ421)</f>
        <v/>
      </c>
      <c r="AZ421" s="35" t="str">
        <f aca="false">IF($B421="","",AP421+AT421/2)</f>
        <v/>
      </c>
      <c r="BA421" s="35" t="str">
        <f aca="false">IF($B421="","",AK421+AN421+AM421/2+AO421+AP421+AQ421+AR421+AS421+AT421+AU421+AV421+AW421)</f>
        <v/>
      </c>
      <c r="BB421" s="35" t="str">
        <f aca="false">IF($B421="","",MAX(0,AN421-Settings!$C$16)*Settings!$C$17)</f>
        <v/>
      </c>
      <c r="BC421" s="35" t="str">
        <f aca="false">IF($B421="","",BA421-BB421)</f>
        <v/>
      </c>
      <c r="BD421" s="35" t="str">
        <f aca="false">IF(OR($B421="",$A421=""),"",DAY(EOMONTH($A421,0))-COUNTA($F421:$AJ421))</f>
        <v/>
      </c>
    </row>
    <row r="422" customFormat="false" ht="15" hidden="false" customHeight="false" outlineLevel="0" collapsed="false">
      <c r="A422" s="32"/>
      <c r="B422" s="29"/>
      <c r="C422" s="10" t="str">
        <f aca="false">IF($B422="","",IFERROR(INDEX(M_name,MATCH($B422,M_emp,0)),"Code not found"))</f>
        <v/>
      </c>
      <c r="D422" s="10" t="str">
        <f aca="false">IF($B422="","",IFERROR(INDEX(M_dept,MATCH($B422,M_emp,0)),""))</f>
        <v/>
      </c>
      <c r="E422" s="10" t="str">
        <f aca="false">IF($B422="","",IFERROR(INDEX(M_loc,MATCH($B422,M_emp,0)),""))</f>
        <v/>
      </c>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4" t="str">
        <f aca="false">IF($B422="","",COUNTIF($F422:$AJ422,"P"))</f>
        <v/>
      </c>
      <c r="AL422" s="34" t="str">
        <f aca="false">IF($B422="","",COUNTIF($F422:$AJ422,"A"))</f>
        <v/>
      </c>
      <c r="AM422" s="34" t="str">
        <f aca="false">IF($B422="","",COUNTIF($F422:$AJ422,"HA"))</f>
        <v/>
      </c>
      <c r="AN422" s="34" t="str">
        <f aca="false">IF($B422="","",COUNTIF($F422:$AJ422,"L"))</f>
        <v/>
      </c>
      <c r="AO422" s="34" t="str">
        <f aca="false">IF($B422="","",COUNTIF($F422:$AJ422,"PL"))</f>
        <v/>
      </c>
      <c r="AP422" s="34" t="str">
        <f aca="false">IF($B422="","",COUNTIF($F422:$AJ422,"CL"))</f>
        <v/>
      </c>
      <c r="AQ422" s="34" t="str">
        <f aca="false">IF($B422="","",COUNTIF($F422:$AJ422,"SL"))</f>
        <v/>
      </c>
      <c r="AR422" s="34" t="str">
        <f aca="false">IF($B422="","",COUNTIF($F422:$AJ422,"CO"))</f>
        <v/>
      </c>
      <c r="AS422" s="34" t="str">
        <f aca="false">IF($B422="","",COUNTIF($F422:$AJ422,"HPL"))</f>
        <v/>
      </c>
      <c r="AT422" s="34" t="str">
        <f aca="false">IF($B422="","",COUNTIF($F422:$AJ422,"HCL"))</f>
        <v/>
      </c>
      <c r="AU422" s="34" t="str">
        <f aca="false">IF($B422="","",COUNTIF($F422:$AJ422,"WO"))</f>
        <v/>
      </c>
      <c r="AV422" s="34" t="str">
        <f aca="false">IF($B422="","",COUNTIF($F422:$AJ422,"PH"))</f>
        <v/>
      </c>
      <c r="AW422" s="34" t="str">
        <f aca="false">IF($B422="","",COUNTIF($F422:$AJ422,"TR"))</f>
        <v/>
      </c>
      <c r="AX422" s="35" t="str">
        <f aca="false">IF($B422="","",AO422+AS422/2)</f>
        <v/>
      </c>
      <c r="AY422" s="35" t="str">
        <f aca="false">IF($B422="","",AQ422)</f>
        <v/>
      </c>
      <c r="AZ422" s="35" t="str">
        <f aca="false">IF($B422="","",AP422+AT422/2)</f>
        <v/>
      </c>
      <c r="BA422" s="35" t="str">
        <f aca="false">IF($B422="","",AK422+AN422+AM422/2+AO422+AP422+AQ422+AR422+AS422+AT422+AU422+AV422+AW422)</f>
        <v/>
      </c>
      <c r="BB422" s="35" t="str">
        <f aca="false">IF($B422="","",MAX(0,AN422-Settings!$C$16)*Settings!$C$17)</f>
        <v/>
      </c>
      <c r="BC422" s="35" t="str">
        <f aca="false">IF($B422="","",BA422-BB422)</f>
        <v/>
      </c>
      <c r="BD422" s="35" t="str">
        <f aca="false">IF(OR($B422="",$A422=""),"",DAY(EOMONTH($A422,0))-COUNTA($F422:$AJ422))</f>
        <v/>
      </c>
    </row>
    <row r="423" customFormat="false" ht="15" hidden="false" customHeight="false" outlineLevel="0" collapsed="false">
      <c r="A423" s="32"/>
      <c r="B423" s="29"/>
      <c r="C423" s="10" t="str">
        <f aca="false">IF($B423="","",IFERROR(INDEX(M_name,MATCH($B423,M_emp,0)),"Code not found"))</f>
        <v/>
      </c>
      <c r="D423" s="10" t="str">
        <f aca="false">IF($B423="","",IFERROR(INDEX(M_dept,MATCH($B423,M_emp,0)),""))</f>
        <v/>
      </c>
      <c r="E423" s="10" t="str">
        <f aca="false">IF($B423="","",IFERROR(INDEX(M_loc,MATCH($B423,M_emp,0)),""))</f>
        <v/>
      </c>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4" t="str">
        <f aca="false">IF($B423="","",COUNTIF($F423:$AJ423,"P"))</f>
        <v/>
      </c>
      <c r="AL423" s="34" t="str">
        <f aca="false">IF($B423="","",COUNTIF($F423:$AJ423,"A"))</f>
        <v/>
      </c>
      <c r="AM423" s="34" t="str">
        <f aca="false">IF($B423="","",COUNTIF($F423:$AJ423,"HA"))</f>
        <v/>
      </c>
      <c r="AN423" s="34" t="str">
        <f aca="false">IF($B423="","",COUNTIF($F423:$AJ423,"L"))</f>
        <v/>
      </c>
      <c r="AO423" s="34" t="str">
        <f aca="false">IF($B423="","",COUNTIF($F423:$AJ423,"PL"))</f>
        <v/>
      </c>
      <c r="AP423" s="34" t="str">
        <f aca="false">IF($B423="","",COUNTIF($F423:$AJ423,"CL"))</f>
        <v/>
      </c>
      <c r="AQ423" s="34" t="str">
        <f aca="false">IF($B423="","",COUNTIF($F423:$AJ423,"SL"))</f>
        <v/>
      </c>
      <c r="AR423" s="34" t="str">
        <f aca="false">IF($B423="","",COUNTIF($F423:$AJ423,"CO"))</f>
        <v/>
      </c>
      <c r="AS423" s="34" t="str">
        <f aca="false">IF($B423="","",COUNTIF($F423:$AJ423,"HPL"))</f>
        <v/>
      </c>
      <c r="AT423" s="34" t="str">
        <f aca="false">IF($B423="","",COUNTIF($F423:$AJ423,"HCL"))</f>
        <v/>
      </c>
      <c r="AU423" s="34" t="str">
        <f aca="false">IF($B423="","",COUNTIF($F423:$AJ423,"WO"))</f>
        <v/>
      </c>
      <c r="AV423" s="34" t="str">
        <f aca="false">IF($B423="","",COUNTIF($F423:$AJ423,"PH"))</f>
        <v/>
      </c>
      <c r="AW423" s="34" t="str">
        <f aca="false">IF($B423="","",COUNTIF($F423:$AJ423,"TR"))</f>
        <v/>
      </c>
      <c r="AX423" s="35" t="str">
        <f aca="false">IF($B423="","",AO423+AS423/2)</f>
        <v/>
      </c>
      <c r="AY423" s="35" t="str">
        <f aca="false">IF($B423="","",AQ423)</f>
        <v/>
      </c>
      <c r="AZ423" s="35" t="str">
        <f aca="false">IF($B423="","",AP423+AT423/2)</f>
        <v/>
      </c>
      <c r="BA423" s="35" t="str">
        <f aca="false">IF($B423="","",AK423+AN423+AM423/2+AO423+AP423+AQ423+AR423+AS423+AT423+AU423+AV423+AW423)</f>
        <v/>
      </c>
      <c r="BB423" s="35" t="str">
        <f aca="false">IF($B423="","",MAX(0,AN423-Settings!$C$16)*Settings!$C$17)</f>
        <v/>
      </c>
      <c r="BC423" s="35" t="str">
        <f aca="false">IF($B423="","",BA423-BB423)</f>
        <v/>
      </c>
      <c r="BD423" s="35" t="str">
        <f aca="false">IF(OR($B423="",$A423=""),"",DAY(EOMONTH($A423,0))-COUNTA($F423:$AJ423))</f>
        <v/>
      </c>
    </row>
    <row r="424" customFormat="false" ht="15" hidden="false" customHeight="false" outlineLevel="0" collapsed="false">
      <c r="A424" s="32"/>
      <c r="B424" s="29"/>
      <c r="C424" s="10" t="str">
        <f aca="false">IF($B424="","",IFERROR(INDEX(M_name,MATCH($B424,M_emp,0)),"Code not found"))</f>
        <v/>
      </c>
      <c r="D424" s="10" t="str">
        <f aca="false">IF($B424="","",IFERROR(INDEX(M_dept,MATCH($B424,M_emp,0)),""))</f>
        <v/>
      </c>
      <c r="E424" s="10" t="str">
        <f aca="false">IF($B424="","",IFERROR(INDEX(M_loc,MATCH($B424,M_emp,0)),""))</f>
        <v/>
      </c>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4" t="str">
        <f aca="false">IF($B424="","",COUNTIF($F424:$AJ424,"P"))</f>
        <v/>
      </c>
      <c r="AL424" s="34" t="str">
        <f aca="false">IF($B424="","",COUNTIF($F424:$AJ424,"A"))</f>
        <v/>
      </c>
      <c r="AM424" s="34" t="str">
        <f aca="false">IF($B424="","",COUNTIF($F424:$AJ424,"HA"))</f>
        <v/>
      </c>
      <c r="AN424" s="34" t="str">
        <f aca="false">IF($B424="","",COUNTIF($F424:$AJ424,"L"))</f>
        <v/>
      </c>
      <c r="AO424" s="34" t="str">
        <f aca="false">IF($B424="","",COUNTIF($F424:$AJ424,"PL"))</f>
        <v/>
      </c>
      <c r="AP424" s="34" t="str">
        <f aca="false">IF($B424="","",COUNTIF($F424:$AJ424,"CL"))</f>
        <v/>
      </c>
      <c r="AQ424" s="34" t="str">
        <f aca="false">IF($B424="","",COUNTIF($F424:$AJ424,"SL"))</f>
        <v/>
      </c>
      <c r="AR424" s="34" t="str">
        <f aca="false">IF($B424="","",COUNTIF($F424:$AJ424,"CO"))</f>
        <v/>
      </c>
      <c r="AS424" s="34" t="str">
        <f aca="false">IF($B424="","",COUNTIF($F424:$AJ424,"HPL"))</f>
        <v/>
      </c>
      <c r="AT424" s="34" t="str">
        <f aca="false">IF($B424="","",COUNTIF($F424:$AJ424,"HCL"))</f>
        <v/>
      </c>
      <c r="AU424" s="34" t="str">
        <f aca="false">IF($B424="","",COUNTIF($F424:$AJ424,"WO"))</f>
        <v/>
      </c>
      <c r="AV424" s="34" t="str">
        <f aca="false">IF($B424="","",COUNTIF($F424:$AJ424,"PH"))</f>
        <v/>
      </c>
      <c r="AW424" s="34" t="str">
        <f aca="false">IF($B424="","",COUNTIF($F424:$AJ424,"TR"))</f>
        <v/>
      </c>
      <c r="AX424" s="35" t="str">
        <f aca="false">IF($B424="","",AO424+AS424/2)</f>
        <v/>
      </c>
      <c r="AY424" s="35" t="str">
        <f aca="false">IF($B424="","",AQ424)</f>
        <v/>
      </c>
      <c r="AZ424" s="35" t="str">
        <f aca="false">IF($B424="","",AP424+AT424/2)</f>
        <v/>
      </c>
      <c r="BA424" s="35" t="str">
        <f aca="false">IF($B424="","",AK424+AN424+AM424/2+AO424+AP424+AQ424+AR424+AS424+AT424+AU424+AV424+AW424)</f>
        <v/>
      </c>
      <c r="BB424" s="35" t="str">
        <f aca="false">IF($B424="","",MAX(0,AN424-Settings!$C$16)*Settings!$C$17)</f>
        <v/>
      </c>
      <c r="BC424" s="35" t="str">
        <f aca="false">IF($B424="","",BA424-BB424)</f>
        <v/>
      </c>
      <c r="BD424" s="35" t="str">
        <f aca="false">IF(OR($B424="",$A424=""),"",DAY(EOMONTH($A424,0))-COUNTA($F424:$AJ424))</f>
        <v/>
      </c>
    </row>
    <row r="425" customFormat="false" ht="15" hidden="false" customHeight="false" outlineLevel="0" collapsed="false">
      <c r="A425" s="32"/>
      <c r="B425" s="29"/>
      <c r="C425" s="10" t="str">
        <f aca="false">IF($B425="","",IFERROR(INDEX(M_name,MATCH($B425,M_emp,0)),"Code not found"))</f>
        <v/>
      </c>
      <c r="D425" s="10" t="str">
        <f aca="false">IF($B425="","",IFERROR(INDEX(M_dept,MATCH($B425,M_emp,0)),""))</f>
        <v/>
      </c>
      <c r="E425" s="10" t="str">
        <f aca="false">IF($B425="","",IFERROR(INDEX(M_loc,MATCH($B425,M_emp,0)),""))</f>
        <v/>
      </c>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4" t="str">
        <f aca="false">IF($B425="","",COUNTIF($F425:$AJ425,"P"))</f>
        <v/>
      </c>
      <c r="AL425" s="34" t="str">
        <f aca="false">IF($B425="","",COUNTIF($F425:$AJ425,"A"))</f>
        <v/>
      </c>
      <c r="AM425" s="34" t="str">
        <f aca="false">IF($B425="","",COUNTIF($F425:$AJ425,"HA"))</f>
        <v/>
      </c>
      <c r="AN425" s="34" t="str">
        <f aca="false">IF($B425="","",COUNTIF($F425:$AJ425,"L"))</f>
        <v/>
      </c>
      <c r="AO425" s="34" t="str">
        <f aca="false">IF($B425="","",COUNTIF($F425:$AJ425,"PL"))</f>
        <v/>
      </c>
      <c r="AP425" s="34" t="str">
        <f aca="false">IF($B425="","",COUNTIF($F425:$AJ425,"CL"))</f>
        <v/>
      </c>
      <c r="AQ425" s="34" t="str">
        <f aca="false">IF($B425="","",COUNTIF($F425:$AJ425,"SL"))</f>
        <v/>
      </c>
      <c r="AR425" s="34" t="str">
        <f aca="false">IF($B425="","",COUNTIF($F425:$AJ425,"CO"))</f>
        <v/>
      </c>
      <c r="AS425" s="34" t="str">
        <f aca="false">IF($B425="","",COUNTIF($F425:$AJ425,"HPL"))</f>
        <v/>
      </c>
      <c r="AT425" s="34" t="str">
        <f aca="false">IF($B425="","",COUNTIF($F425:$AJ425,"HCL"))</f>
        <v/>
      </c>
      <c r="AU425" s="34" t="str">
        <f aca="false">IF($B425="","",COUNTIF($F425:$AJ425,"WO"))</f>
        <v/>
      </c>
      <c r="AV425" s="34" t="str">
        <f aca="false">IF($B425="","",COUNTIF($F425:$AJ425,"PH"))</f>
        <v/>
      </c>
      <c r="AW425" s="34" t="str">
        <f aca="false">IF($B425="","",COUNTIF($F425:$AJ425,"TR"))</f>
        <v/>
      </c>
      <c r="AX425" s="35" t="str">
        <f aca="false">IF($B425="","",AO425+AS425/2)</f>
        <v/>
      </c>
      <c r="AY425" s="35" t="str">
        <f aca="false">IF($B425="","",AQ425)</f>
        <v/>
      </c>
      <c r="AZ425" s="35" t="str">
        <f aca="false">IF($B425="","",AP425+AT425/2)</f>
        <v/>
      </c>
      <c r="BA425" s="35" t="str">
        <f aca="false">IF($B425="","",AK425+AN425+AM425/2+AO425+AP425+AQ425+AR425+AS425+AT425+AU425+AV425+AW425)</f>
        <v/>
      </c>
      <c r="BB425" s="35" t="str">
        <f aca="false">IF($B425="","",MAX(0,AN425-Settings!$C$16)*Settings!$C$17)</f>
        <v/>
      </c>
      <c r="BC425" s="35" t="str">
        <f aca="false">IF($B425="","",BA425-BB425)</f>
        <v/>
      </c>
      <c r="BD425" s="35" t="str">
        <f aca="false">IF(OR($B425="",$A425=""),"",DAY(EOMONTH($A425,0))-COUNTA($F425:$AJ425))</f>
        <v/>
      </c>
    </row>
    <row r="426" customFormat="false" ht="15" hidden="false" customHeight="false" outlineLevel="0" collapsed="false">
      <c r="A426" s="32"/>
      <c r="B426" s="29"/>
      <c r="C426" s="10" t="str">
        <f aca="false">IF($B426="","",IFERROR(INDEX(M_name,MATCH($B426,M_emp,0)),"Code not found"))</f>
        <v/>
      </c>
      <c r="D426" s="10" t="str">
        <f aca="false">IF($B426="","",IFERROR(INDEX(M_dept,MATCH($B426,M_emp,0)),""))</f>
        <v/>
      </c>
      <c r="E426" s="10" t="str">
        <f aca="false">IF($B426="","",IFERROR(INDEX(M_loc,MATCH($B426,M_emp,0)),""))</f>
        <v/>
      </c>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4" t="str">
        <f aca="false">IF($B426="","",COUNTIF($F426:$AJ426,"P"))</f>
        <v/>
      </c>
      <c r="AL426" s="34" t="str">
        <f aca="false">IF($B426="","",COUNTIF($F426:$AJ426,"A"))</f>
        <v/>
      </c>
      <c r="AM426" s="34" t="str">
        <f aca="false">IF($B426="","",COUNTIF($F426:$AJ426,"HA"))</f>
        <v/>
      </c>
      <c r="AN426" s="34" t="str">
        <f aca="false">IF($B426="","",COUNTIF($F426:$AJ426,"L"))</f>
        <v/>
      </c>
      <c r="AO426" s="34" t="str">
        <f aca="false">IF($B426="","",COUNTIF($F426:$AJ426,"PL"))</f>
        <v/>
      </c>
      <c r="AP426" s="34" t="str">
        <f aca="false">IF($B426="","",COUNTIF($F426:$AJ426,"CL"))</f>
        <v/>
      </c>
      <c r="AQ426" s="34" t="str">
        <f aca="false">IF($B426="","",COUNTIF($F426:$AJ426,"SL"))</f>
        <v/>
      </c>
      <c r="AR426" s="34" t="str">
        <f aca="false">IF($B426="","",COUNTIF($F426:$AJ426,"CO"))</f>
        <v/>
      </c>
      <c r="AS426" s="34" t="str">
        <f aca="false">IF($B426="","",COUNTIF($F426:$AJ426,"HPL"))</f>
        <v/>
      </c>
      <c r="AT426" s="34" t="str">
        <f aca="false">IF($B426="","",COUNTIF($F426:$AJ426,"HCL"))</f>
        <v/>
      </c>
      <c r="AU426" s="34" t="str">
        <f aca="false">IF($B426="","",COUNTIF($F426:$AJ426,"WO"))</f>
        <v/>
      </c>
      <c r="AV426" s="34" t="str">
        <f aca="false">IF($B426="","",COUNTIF($F426:$AJ426,"PH"))</f>
        <v/>
      </c>
      <c r="AW426" s="34" t="str">
        <f aca="false">IF($B426="","",COUNTIF($F426:$AJ426,"TR"))</f>
        <v/>
      </c>
      <c r="AX426" s="35" t="str">
        <f aca="false">IF($B426="","",AO426+AS426/2)</f>
        <v/>
      </c>
      <c r="AY426" s="35" t="str">
        <f aca="false">IF($B426="","",AQ426)</f>
        <v/>
      </c>
      <c r="AZ426" s="35" t="str">
        <f aca="false">IF($B426="","",AP426+AT426/2)</f>
        <v/>
      </c>
      <c r="BA426" s="35" t="str">
        <f aca="false">IF($B426="","",AK426+AN426+AM426/2+AO426+AP426+AQ426+AR426+AS426+AT426+AU426+AV426+AW426)</f>
        <v/>
      </c>
      <c r="BB426" s="35" t="str">
        <f aca="false">IF($B426="","",MAX(0,AN426-Settings!$C$16)*Settings!$C$17)</f>
        <v/>
      </c>
      <c r="BC426" s="35" t="str">
        <f aca="false">IF($B426="","",BA426-BB426)</f>
        <v/>
      </c>
      <c r="BD426" s="35" t="str">
        <f aca="false">IF(OR($B426="",$A426=""),"",DAY(EOMONTH($A426,0))-COUNTA($F426:$AJ426))</f>
        <v/>
      </c>
    </row>
    <row r="427" customFormat="false" ht="15" hidden="false" customHeight="false" outlineLevel="0" collapsed="false">
      <c r="A427" s="32"/>
      <c r="B427" s="29"/>
      <c r="C427" s="10" t="str">
        <f aca="false">IF($B427="","",IFERROR(INDEX(M_name,MATCH($B427,M_emp,0)),"Code not found"))</f>
        <v/>
      </c>
      <c r="D427" s="10" t="str">
        <f aca="false">IF($B427="","",IFERROR(INDEX(M_dept,MATCH($B427,M_emp,0)),""))</f>
        <v/>
      </c>
      <c r="E427" s="10" t="str">
        <f aca="false">IF($B427="","",IFERROR(INDEX(M_loc,MATCH($B427,M_emp,0)),""))</f>
        <v/>
      </c>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4" t="str">
        <f aca="false">IF($B427="","",COUNTIF($F427:$AJ427,"P"))</f>
        <v/>
      </c>
      <c r="AL427" s="34" t="str">
        <f aca="false">IF($B427="","",COUNTIF($F427:$AJ427,"A"))</f>
        <v/>
      </c>
      <c r="AM427" s="34" t="str">
        <f aca="false">IF($B427="","",COUNTIF($F427:$AJ427,"HA"))</f>
        <v/>
      </c>
      <c r="AN427" s="34" t="str">
        <f aca="false">IF($B427="","",COUNTIF($F427:$AJ427,"L"))</f>
        <v/>
      </c>
      <c r="AO427" s="34" t="str">
        <f aca="false">IF($B427="","",COUNTIF($F427:$AJ427,"PL"))</f>
        <v/>
      </c>
      <c r="AP427" s="34" t="str">
        <f aca="false">IF($B427="","",COUNTIF($F427:$AJ427,"CL"))</f>
        <v/>
      </c>
      <c r="AQ427" s="34" t="str">
        <f aca="false">IF($B427="","",COUNTIF($F427:$AJ427,"SL"))</f>
        <v/>
      </c>
      <c r="AR427" s="34" t="str">
        <f aca="false">IF($B427="","",COUNTIF($F427:$AJ427,"CO"))</f>
        <v/>
      </c>
      <c r="AS427" s="34" t="str">
        <f aca="false">IF($B427="","",COUNTIF($F427:$AJ427,"HPL"))</f>
        <v/>
      </c>
      <c r="AT427" s="34" t="str">
        <f aca="false">IF($B427="","",COUNTIF($F427:$AJ427,"HCL"))</f>
        <v/>
      </c>
      <c r="AU427" s="34" t="str">
        <f aca="false">IF($B427="","",COUNTIF($F427:$AJ427,"WO"))</f>
        <v/>
      </c>
      <c r="AV427" s="34" t="str">
        <f aca="false">IF($B427="","",COUNTIF($F427:$AJ427,"PH"))</f>
        <v/>
      </c>
      <c r="AW427" s="34" t="str">
        <f aca="false">IF($B427="","",COUNTIF($F427:$AJ427,"TR"))</f>
        <v/>
      </c>
      <c r="AX427" s="35" t="str">
        <f aca="false">IF($B427="","",AO427+AS427/2)</f>
        <v/>
      </c>
      <c r="AY427" s="35" t="str">
        <f aca="false">IF($B427="","",AQ427)</f>
        <v/>
      </c>
      <c r="AZ427" s="35" t="str">
        <f aca="false">IF($B427="","",AP427+AT427/2)</f>
        <v/>
      </c>
      <c r="BA427" s="35" t="str">
        <f aca="false">IF($B427="","",AK427+AN427+AM427/2+AO427+AP427+AQ427+AR427+AS427+AT427+AU427+AV427+AW427)</f>
        <v/>
      </c>
      <c r="BB427" s="35" t="str">
        <f aca="false">IF($B427="","",MAX(0,AN427-Settings!$C$16)*Settings!$C$17)</f>
        <v/>
      </c>
      <c r="BC427" s="35" t="str">
        <f aca="false">IF($B427="","",BA427-BB427)</f>
        <v/>
      </c>
      <c r="BD427" s="35" t="str">
        <f aca="false">IF(OR($B427="",$A427=""),"",DAY(EOMONTH($A427,0))-COUNTA($F427:$AJ427))</f>
        <v/>
      </c>
    </row>
    <row r="428" customFormat="false" ht="15" hidden="false" customHeight="false" outlineLevel="0" collapsed="false">
      <c r="A428" s="32"/>
      <c r="B428" s="29"/>
      <c r="C428" s="10" t="str">
        <f aca="false">IF($B428="","",IFERROR(INDEX(M_name,MATCH($B428,M_emp,0)),"Code not found"))</f>
        <v/>
      </c>
      <c r="D428" s="10" t="str">
        <f aca="false">IF($B428="","",IFERROR(INDEX(M_dept,MATCH($B428,M_emp,0)),""))</f>
        <v/>
      </c>
      <c r="E428" s="10" t="str">
        <f aca="false">IF($B428="","",IFERROR(INDEX(M_loc,MATCH($B428,M_emp,0)),""))</f>
        <v/>
      </c>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4" t="str">
        <f aca="false">IF($B428="","",COUNTIF($F428:$AJ428,"P"))</f>
        <v/>
      </c>
      <c r="AL428" s="34" t="str">
        <f aca="false">IF($B428="","",COUNTIF($F428:$AJ428,"A"))</f>
        <v/>
      </c>
      <c r="AM428" s="34" t="str">
        <f aca="false">IF($B428="","",COUNTIF($F428:$AJ428,"HA"))</f>
        <v/>
      </c>
      <c r="AN428" s="34" t="str">
        <f aca="false">IF($B428="","",COUNTIF($F428:$AJ428,"L"))</f>
        <v/>
      </c>
      <c r="AO428" s="34" t="str">
        <f aca="false">IF($B428="","",COUNTIF($F428:$AJ428,"PL"))</f>
        <v/>
      </c>
      <c r="AP428" s="34" t="str">
        <f aca="false">IF($B428="","",COUNTIF($F428:$AJ428,"CL"))</f>
        <v/>
      </c>
      <c r="AQ428" s="34" t="str">
        <f aca="false">IF($B428="","",COUNTIF($F428:$AJ428,"SL"))</f>
        <v/>
      </c>
      <c r="AR428" s="34" t="str">
        <f aca="false">IF($B428="","",COUNTIF($F428:$AJ428,"CO"))</f>
        <v/>
      </c>
      <c r="AS428" s="34" t="str">
        <f aca="false">IF($B428="","",COUNTIF($F428:$AJ428,"HPL"))</f>
        <v/>
      </c>
      <c r="AT428" s="34" t="str">
        <f aca="false">IF($B428="","",COUNTIF($F428:$AJ428,"HCL"))</f>
        <v/>
      </c>
      <c r="AU428" s="34" t="str">
        <f aca="false">IF($B428="","",COUNTIF($F428:$AJ428,"WO"))</f>
        <v/>
      </c>
      <c r="AV428" s="34" t="str">
        <f aca="false">IF($B428="","",COUNTIF($F428:$AJ428,"PH"))</f>
        <v/>
      </c>
      <c r="AW428" s="34" t="str">
        <f aca="false">IF($B428="","",COUNTIF($F428:$AJ428,"TR"))</f>
        <v/>
      </c>
      <c r="AX428" s="35" t="str">
        <f aca="false">IF($B428="","",AO428+AS428/2)</f>
        <v/>
      </c>
      <c r="AY428" s="35" t="str">
        <f aca="false">IF($B428="","",AQ428)</f>
        <v/>
      </c>
      <c r="AZ428" s="35" t="str">
        <f aca="false">IF($B428="","",AP428+AT428/2)</f>
        <v/>
      </c>
      <c r="BA428" s="35" t="str">
        <f aca="false">IF($B428="","",AK428+AN428+AM428/2+AO428+AP428+AQ428+AR428+AS428+AT428+AU428+AV428+AW428)</f>
        <v/>
      </c>
      <c r="BB428" s="35" t="str">
        <f aca="false">IF($B428="","",MAX(0,AN428-Settings!$C$16)*Settings!$C$17)</f>
        <v/>
      </c>
      <c r="BC428" s="35" t="str">
        <f aca="false">IF($B428="","",BA428-BB428)</f>
        <v/>
      </c>
      <c r="BD428" s="35" t="str">
        <f aca="false">IF(OR($B428="",$A428=""),"",DAY(EOMONTH($A428,0))-COUNTA($F428:$AJ428))</f>
        <v/>
      </c>
    </row>
    <row r="429" customFormat="false" ht="15" hidden="false" customHeight="false" outlineLevel="0" collapsed="false">
      <c r="A429" s="32"/>
      <c r="B429" s="29"/>
      <c r="C429" s="10" t="str">
        <f aca="false">IF($B429="","",IFERROR(INDEX(M_name,MATCH($B429,M_emp,0)),"Code not found"))</f>
        <v/>
      </c>
      <c r="D429" s="10" t="str">
        <f aca="false">IF($B429="","",IFERROR(INDEX(M_dept,MATCH($B429,M_emp,0)),""))</f>
        <v/>
      </c>
      <c r="E429" s="10" t="str">
        <f aca="false">IF($B429="","",IFERROR(INDEX(M_loc,MATCH($B429,M_emp,0)),""))</f>
        <v/>
      </c>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4" t="str">
        <f aca="false">IF($B429="","",COUNTIF($F429:$AJ429,"P"))</f>
        <v/>
      </c>
      <c r="AL429" s="34" t="str">
        <f aca="false">IF($B429="","",COUNTIF($F429:$AJ429,"A"))</f>
        <v/>
      </c>
      <c r="AM429" s="34" t="str">
        <f aca="false">IF($B429="","",COUNTIF($F429:$AJ429,"HA"))</f>
        <v/>
      </c>
      <c r="AN429" s="34" t="str">
        <f aca="false">IF($B429="","",COUNTIF($F429:$AJ429,"L"))</f>
        <v/>
      </c>
      <c r="AO429" s="34" t="str">
        <f aca="false">IF($B429="","",COUNTIF($F429:$AJ429,"PL"))</f>
        <v/>
      </c>
      <c r="AP429" s="34" t="str">
        <f aca="false">IF($B429="","",COUNTIF($F429:$AJ429,"CL"))</f>
        <v/>
      </c>
      <c r="AQ429" s="34" t="str">
        <f aca="false">IF($B429="","",COUNTIF($F429:$AJ429,"SL"))</f>
        <v/>
      </c>
      <c r="AR429" s="34" t="str">
        <f aca="false">IF($B429="","",COUNTIF($F429:$AJ429,"CO"))</f>
        <v/>
      </c>
      <c r="AS429" s="34" t="str">
        <f aca="false">IF($B429="","",COUNTIF($F429:$AJ429,"HPL"))</f>
        <v/>
      </c>
      <c r="AT429" s="34" t="str">
        <f aca="false">IF($B429="","",COUNTIF($F429:$AJ429,"HCL"))</f>
        <v/>
      </c>
      <c r="AU429" s="34" t="str">
        <f aca="false">IF($B429="","",COUNTIF($F429:$AJ429,"WO"))</f>
        <v/>
      </c>
      <c r="AV429" s="34" t="str">
        <f aca="false">IF($B429="","",COUNTIF($F429:$AJ429,"PH"))</f>
        <v/>
      </c>
      <c r="AW429" s="34" t="str">
        <f aca="false">IF($B429="","",COUNTIF($F429:$AJ429,"TR"))</f>
        <v/>
      </c>
      <c r="AX429" s="35" t="str">
        <f aca="false">IF($B429="","",AO429+AS429/2)</f>
        <v/>
      </c>
      <c r="AY429" s="35" t="str">
        <f aca="false">IF($B429="","",AQ429)</f>
        <v/>
      </c>
      <c r="AZ429" s="35" t="str">
        <f aca="false">IF($B429="","",AP429+AT429/2)</f>
        <v/>
      </c>
      <c r="BA429" s="35" t="str">
        <f aca="false">IF($B429="","",AK429+AN429+AM429/2+AO429+AP429+AQ429+AR429+AS429+AT429+AU429+AV429+AW429)</f>
        <v/>
      </c>
      <c r="BB429" s="35" t="str">
        <f aca="false">IF($B429="","",MAX(0,AN429-Settings!$C$16)*Settings!$C$17)</f>
        <v/>
      </c>
      <c r="BC429" s="35" t="str">
        <f aca="false">IF($B429="","",BA429-BB429)</f>
        <v/>
      </c>
      <c r="BD429" s="35" t="str">
        <f aca="false">IF(OR($B429="",$A429=""),"",DAY(EOMONTH($A429,0))-COUNTA($F429:$AJ429))</f>
        <v/>
      </c>
    </row>
    <row r="430" customFormat="false" ht="15" hidden="false" customHeight="false" outlineLevel="0" collapsed="false">
      <c r="A430" s="32"/>
      <c r="B430" s="29"/>
      <c r="C430" s="10" t="str">
        <f aca="false">IF($B430="","",IFERROR(INDEX(M_name,MATCH($B430,M_emp,0)),"Code not found"))</f>
        <v/>
      </c>
      <c r="D430" s="10" t="str">
        <f aca="false">IF($B430="","",IFERROR(INDEX(M_dept,MATCH($B430,M_emp,0)),""))</f>
        <v/>
      </c>
      <c r="E430" s="10" t="str">
        <f aca="false">IF($B430="","",IFERROR(INDEX(M_loc,MATCH($B430,M_emp,0)),""))</f>
        <v/>
      </c>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4" t="str">
        <f aca="false">IF($B430="","",COUNTIF($F430:$AJ430,"P"))</f>
        <v/>
      </c>
      <c r="AL430" s="34" t="str">
        <f aca="false">IF($B430="","",COUNTIF($F430:$AJ430,"A"))</f>
        <v/>
      </c>
      <c r="AM430" s="34" t="str">
        <f aca="false">IF($B430="","",COUNTIF($F430:$AJ430,"HA"))</f>
        <v/>
      </c>
      <c r="AN430" s="34" t="str">
        <f aca="false">IF($B430="","",COUNTIF($F430:$AJ430,"L"))</f>
        <v/>
      </c>
      <c r="AO430" s="34" t="str">
        <f aca="false">IF($B430="","",COUNTIF($F430:$AJ430,"PL"))</f>
        <v/>
      </c>
      <c r="AP430" s="34" t="str">
        <f aca="false">IF($B430="","",COUNTIF($F430:$AJ430,"CL"))</f>
        <v/>
      </c>
      <c r="AQ430" s="34" t="str">
        <f aca="false">IF($B430="","",COUNTIF($F430:$AJ430,"SL"))</f>
        <v/>
      </c>
      <c r="AR430" s="34" t="str">
        <f aca="false">IF($B430="","",COUNTIF($F430:$AJ430,"CO"))</f>
        <v/>
      </c>
      <c r="AS430" s="34" t="str">
        <f aca="false">IF($B430="","",COUNTIF($F430:$AJ430,"HPL"))</f>
        <v/>
      </c>
      <c r="AT430" s="34" t="str">
        <f aca="false">IF($B430="","",COUNTIF($F430:$AJ430,"HCL"))</f>
        <v/>
      </c>
      <c r="AU430" s="34" t="str">
        <f aca="false">IF($B430="","",COUNTIF($F430:$AJ430,"WO"))</f>
        <v/>
      </c>
      <c r="AV430" s="34" t="str">
        <f aca="false">IF($B430="","",COUNTIF($F430:$AJ430,"PH"))</f>
        <v/>
      </c>
      <c r="AW430" s="34" t="str">
        <f aca="false">IF($B430="","",COUNTIF($F430:$AJ430,"TR"))</f>
        <v/>
      </c>
      <c r="AX430" s="35" t="str">
        <f aca="false">IF($B430="","",AO430+AS430/2)</f>
        <v/>
      </c>
      <c r="AY430" s="35" t="str">
        <f aca="false">IF($B430="","",AQ430)</f>
        <v/>
      </c>
      <c r="AZ430" s="35" t="str">
        <f aca="false">IF($B430="","",AP430+AT430/2)</f>
        <v/>
      </c>
      <c r="BA430" s="35" t="str">
        <f aca="false">IF($B430="","",AK430+AN430+AM430/2+AO430+AP430+AQ430+AR430+AS430+AT430+AU430+AV430+AW430)</f>
        <v/>
      </c>
      <c r="BB430" s="35" t="str">
        <f aca="false">IF($B430="","",MAX(0,AN430-Settings!$C$16)*Settings!$C$17)</f>
        <v/>
      </c>
      <c r="BC430" s="35" t="str">
        <f aca="false">IF($B430="","",BA430-BB430)</f>
        <v/>
      </c>
      <c r="BD430" s="35" t="str">
        <f aca="false">IF(OR($B430="",$A430=""),"",DAY(EOMONTH($A430,0))-COUNTA($F430:$AJ430))</f>
        <v/>
      </c>
    </row>
    <row r="431" customFormat="false" ht="15" hidden="false" customHeight="false" outlineLevel="0" collapsed="false">
      <c r="A431" s="32"/>
      <c r="B431" s="29"/>
      <c r="C431" s="10" t="str">
        <f aca="false">IF($B431="","",IFERROR(INDEX(M_name,MATCH($B431,M_emp,0)),"Code not found"))</f>
        <v/>
      </c>
      <c r="D431" s="10" t="str">
        <f aca="false">IF($B431="","",IFERROR(INDEX(M_dept,MATCH($B431,M_emp,0)),""))</f>
        <v/>
      </c>
      <c r="E431" s="10" t="str">
        <f aca="false">IF($B431="","",IFERROR(INDEX(M_loc,MATCH($B431,M_emp,0)),""))</f>
        <v/>
      </c>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4" t="str">
        <f aca="false">IF($B431="","",COUNTIF($F431:$AJ431,"P"))</f>
        <v/>
      </c>
      <c r="AL431" s="34" t="str">
        <f aca="false">IF($B431="","",COUNTIF($F431:$AJ431,"A"))</f>
        <v/>
      </c>
      <c r="AM431" s="34" t="str">
        <f aca="false">IF($B431="","",COUNTIF($F431:$AJ431,"HA"))</f>
        <v/>
      </c>
      <c r="AN431" s="34" t="str">
        <f aca="false">IF($B431="","",COUNTIF($F431:$AJ431,"L"))</f>
        <v/>
      </c>
      <c r="AO431" s="34" t="str">
        <f aca="false">IF($B431="","",COUNTIF($F431:$AJ431,"PL"))</f>
        <v/>
      </c>
      <c r="AP431" s="34" t="str">
        <f aca="false">IF($B431="","",COUNTIF($F431:$AJ431,"CL"))</f>
        <v/>
      </c>
      <c r="AQ431" s="34" t="str">
        <f aca="false">IF($B431="","",COUNTIF($F431:$AJ431,"SL"))</f>
        <v/>
      </c>
      <c r="AR431" s="34" t="str">
        <f aca="false">IF($B431="","",COUNTIF($F431:$AJ431,"CO"))</f>
        <v/>
      </c>
      <c r="AS431" s="34" t="str">
        <f aca="false">IF($B431="","",COUNTIF($F431:$AJ431,"HPL"))</f>
        <v/>
      </c>
      <c r="AT431" s="34" t="str">
        <f aca="false">IF($B431="","",COUNTIF($F431:$AJ431,"HCL"))</f>
        <v/>
      </c>
      <c r="AU431" s="34" t="str">
        <f aca="false">IF($B431="","",COUNTIF($F431:$AJ431,"WO"))</f>
        <v/>
      </c>
      <c r="AV431" s="34" t="str">
        <f aca="false">IF($B431="","",COUNTIF($F431:$AJ431,"PH"))</f>
        <v/>
      </c>
      <c r="AW431" s="34" t="str">
        <f aca="false">IF($B431="","",COUNTIF($F431:$AJ431,"TR"))</f>
        <v/>
      </c>
      <c r="AX431" s="35" t="str">
        <f aca="false">IF($B431="","",AO431+AS431/2)</f>
        <v/>
      </c>
      <c r="AY431" s="35" t="str">
        <f aca="false">IF($B431="","",AQ431)</f>
        <v/>
      </c>
      <c r="AZ431" s="35" t="str">
        <f aca="false">IF($B431="","",AP431+AT431/2)</f>
        <v/>
      </c>
      <c r="BA431" s="35" t="str">
        <f aca="false">IF($B431="","",AK431+AN431+AM431/2+AO431+AP431+AQ431+AR431+AS431+AT431+AU431+AV431+AW431)</f>
        <v/>
      </c>
      <c r="BB431" s="35" t="str">
        <f aca="false">IF($B431="","",MAX(0,AN431-Settings!$C$16)*Settings!$C$17)</f>
        <v/>
      </c>
      <c r="BC431" s="35" t="str">
        <f aca="false">IF($B431="","",BA431-BB431)</f>
        <v/>
      </c>
      <c r="BD431" s="35" t="str">
        <f aca="false">IF(OR($B431="",$A431=""),"",DAY(EOMONTH($A431,0))-COUNTA($F431:$AJ431))</f>
        <v/>
      </c>
    </row>
    <row r="432" customFormat="false" ht="15" hidden="false" customHeight="false" outlineLevel="0" collapsed="false">
      <c r="A432" s="32"/>
      <c r="B432" s="29"/>
      <c r="C432" s="10" t="str">
        <f aca="false">IF($B432="","",IFERROR(INDEX(M_name,MATCH($B432,M_emp,0)),"Code not found"))</f>
        <v/>
      </c>
      <c r="D432" s="10" t="str">
        <f aca="false">IF($B432="","",IFERROR(INDEX(M_dept,MATCH($B432,M_emp,0)),""))</f>
        <v/>
      </c>
      <c r="E432" s="10" t="str">
        <f aca="false">IF($B432="","",IFERROR(INDEX(M_loc,MATCH($B432,M_emp,0)),""))</f>
        <v/>
      </c>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4" t="str">
        <f aca="false">IF($B432="","",COUNTIF($F432:$AJ432,"P"))</f>
        <v/>
      </c>
      <c r="AL432" s="34" t="str">
        <f aca="false">IF($B432="","",COUNTIF($F432:$AJ432,"A"))</f>
        <v/>
      </c>
      <c r="AM432" s="34" t="str">
        <f aca="false">IF($B432="","",COUNTIF($F432:$AJ432,"HA"))</f>
        <v/>
      </c>
      <c r="AN432" s="34" t="str">
        <f aca="false">IF($B432="","",COUNTIF($F432:$AJ432,"L"))</f>
        <v/>
      </c>
      <c r="AO432" s="34" t="str">
        <f aca="false">IF($B432="","",COUNTIF($F432:$AJ432,"PL"))</f>
        <v/>
      </c>
      <c r="AP432" s="34" t="str">
        <f aca="false">IF($B432="","",COUNTIF($F432:$AJ432,"CL"))</f>
        <v/>
      </c>
      <c r="AQ432" s="34" t="str">
        <f aca="false">IF($B432="","",COUNTIF($F432:$AJ432,"SL"))</f>
        <v/>
      </c>
      <c r="AR432" s="34" t="str">
        <f aca="false">IF($B432="","",COUNTIF($F432:$AJ432,"CO"))</f>
        <v/>
      </c>
      <c r="AS432" s="34" t="str">
        <f aca="false">IF($B432="","",COUNTIF($F432:$AJ432,"HPL"))</f>
        <v/>
      </c>
      <c r="AT432" s="34" t="str">
        <f aca="false">IF($B432="","",COUNTIF($F432:$AJ432,"HCL"))</f>
        <v/>
      </c>
      <c r="AU432" s="34" t="str">
        <f aca="false">IF($B432="","",COUNTIF($F432:$AJ432,"WO"))</f>
        <v/>
      </c>
      <c r="AV432" s="34" t="str">
        <f aca="false">IF($B432="","",COUNTIF($F432:$AJ432,"PH"))</f>
        <v/>
      </c>
      <c r="AW432" s="34" t="str">
        <f aca="false">IF($B432="","",COUNTIF($F432:$AJ432,"TR"))</f>
        <v/>
      </c>
      <c r="AX432" s="35" t="str">
        <f aca="false">IF($B432="","",AO432+AS432/2)</f>
        <v/>
      </c>
      <c r="AY432" s="35" t="str">
        <f aca="false">IF($B432="","",AQ432)</f>
        <v/>
      </c>
      <c r="AZ432" s="35" t="str">
        <f aca="false">IF($B432="","",AP432+AT432/2)</f>
        <v/>
      </c>
      <c r="BA432" s="35" t="str">
        <f aca="false">IF($B432="","",AK432+AN432+AM432/2+AO432+AP432+AQ432+AR432+AS432+AT432+AU432+AV432+AW432)</f>
        <v/>
      </c>
      <c r="BB432" s="35" t="str">
        <f aca="false">IF($B432="","",MAX(0,AN432-Settings!$C$16)*Settings!$C$17)</f>
        <v/>
      </c>
      <c r="BC432" s="35" t="str">
        <f aca="false">IF($B432="","",BA432-BB432)</f>
        <v/>
      </c>
      <c r="BD432" s="35" t="str">
        <f aca="false">IF(OR($B432="",$A432=""),"",DAY(EOMONTH($A432,0))-COUNTA($F432:$AJ432))</f>
        <v/>
      </c>
    </row>
    <row r="433" customFormat="false" ht="15" hidden="false" customHeight="false" outlineLevel="0" collapsed="false">
      <c r="A433" s="32"/>
      <c r="B433" s="29"/>
      <c r="C433" s="10" t="str">
        <f aca="false">IF($B433="","",IFERROR(INDEX(M_name,MATCH($B433,M_emp,0)),"Code not found"))</f>
        <v/>
      </c>
      <c r="D433" s="10" t="str">
        <f aca="false">IF($B433="","",IFERROR(INDEX(M_dept,MATCH($B433,M_emp,0)),""))</f>
        <v/>
      </c>
      <c r="E433" s="10" t="str">
        <f aca="false">IF($B433="","",IFERROR(INDEX(M_loc,MATCH($B433,M_emp,0)),""))</f>
        <v/>
      </c>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4" t="str">
        <f aca="false">IF($B433="","",COUNTIF($F433:$AJ433,"P"))</f>
        <v/>
      </c>
      <c r="AL433" s="34" t="str">
        <f aca="false">IF($B433="","",COUNTIF($F433:$AJ433,"A"))</f>
        <v/>
      </c>
      <c r="AM433" s="34" t="str">
        <f aca="false">IF($B433="","",COUNTIF($F433:$AJ433,"HA"))</f>
        <v/>
      </c>
      <c r="AN433" s="34" t="str">
        <f aca="false">IF($B433="","",COUNTIF($F433:$AJ433,"L"))</f>
        <v/>
      </c>
      <c r="AO433" s="34" t="str">
        <f aca="false">IF($B433="","",COUNTIF($F433:$AJ433,"PL"))</f>
        <v/>
      </c>
      <c r="AP433" s="34" t="str">
        <f aca="false">IF($B433="","",COUNTIF($F433:$AJ433,"CL"))</f>
        <v/>
      </c>
      <c r="AQ433" s="34" t="str">
        <f aca="false">IF($B433="","",COUNTIF($F433:$AJ433,"SL"))</f>
        <v/>
      </c>
      <c r="AR433" s="34" t="str">
        <f aca="false">IF($B433="","",COUNTIF($F433:$AJ433,"CO"))</f>
        <v/>
      </c>
      <c r="AS433" s="34" t="str">
        <f aca="false">IF($B433="","",COUNTIF($F433:$AJ433,"HPL"))</f>
        <v/>
      </c>
      <c r="AT433" s="34" t="str">
        <f aca="false">IF($B433="","",COUNTIF($F433:$AJ433,"HCL"))</f>
        <v/>
      </c>
      <c r="AU433" s="34" t="str">
        <f aca="false">IF($B433="","",COUNTIF($F433:$AJ433,"WO"))</f>
        <v/>
      </c>
      <c r="AV433" s="34" t="str">
        <f aca="false">IF($B433="","",COUNTIF($F433:$AJ433,"PH"))</f>
        <v/>
      </c>
      <c r="AW433" s="34" t="str">
        <f aca="false">IF($B433="","",COUNTIF($F433:$AJ433,"TR"))</f>
        <v/>
      </c>
      <c r="AX433" s="35" t="str">
        <f aca="false">IF($B433="","",AO433+AS433/2)</f>
        <v/>
      </c>
      <c r="AY433" s="35" t="str">
        <f aca="false">IF($B433="","",AQ433)</f>
        <v/>
      </c>
      <c r="AZ433" s="35" t="str">
        <f aca="false">IF($B433="","",AP433+AT433/2)</f>
        <v/>
      </c>
      <c r="BA433" s="35" t="str">
        <f aca="false">IF($B433="","",AK433+AN433+AM433/2+AO433+AP433+AQ433+AR433+AS433+AT433+AU433+AV433+AW433)</f>
        <v/>
      </c>
      <c r="BB433" s="35" t="str">
        <f aca="false">IF($B433="","",MAX(0,AN433-Settings!$C$16)*Settings!$C$17)</f>
        <v/>
      </c>
      <c r="BC433" s="35" t="str">
        <f aca="false">IF($B433="","",BA433-BB433)</f>
        <v/>
      </c>
      <c r="BD433" s="35" t="str">
        <f aca="false">IF(OR($B433="",$A433=""),"",DAY(EOMONTH($A433,0))-COUNTA($F433:$AJ433))</f>
        <v/>
      </c>
    </row>
    <row r="434" customFormat="false" ht="15" hidden="false" customHeight="false" outlineLevel="0" collapsed="false">
      <c r="A434" s="32"/>
      <c r="B434" s="29"/>
      <c r="C434" s="10" t="str">
        <f aca="false">IF($B434="","",IFERROR(INDEX(M_name,MATCH($B434,M_emp,0)),"Code not found"))</f>
        <v/>
      </c>
      <c r="D434" s="10" t="str">
        <f aca="false">IF($B434="","",IFERROR(INDEX(M_dept,MATCH($B434,M_emp,0)),""))</f>
        <v/>
      </c>
      <c r="E434" s="10" t="str">
        <f aca="false">IF($B434="","",IFERROR(INDEX(M_loc,MATCH($B434,M_emp,0)),""))</f>
        <v/>
      </c>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4" t="str">
        <f aca="false">IF($B434="","",COUNTIF($F434:$AJ434,"P"))</f>
        <v/>
      </c>
      <c r="AL434" s="34" t="str">
        <f aca="false">IF($B434="","",COUNTIF($F434:$AJ434,"A"))</f>
        <v/>
      </c>
      <c r="AM434" s="34" t="str">
        <f aca="false">IF($B434="","",COUNTIF($F434:$AJ434,"HA"))</f>
        <v/>
      </c>
      <c r="AN434" s="34" t="str">
        <f aca="false">IF($B434="","",COUNTIF($F434:$AJ434,"L"))</f>
        <v/>
      </c>
      <c r="AO434" s="34" t="str">
        <f aca="false">IF($B434="","",COUNTIF($F434:$AJ434,"PL"))</f>
        <v/>
      </c>
      <c r="AP434" s="34" t="str">
        <f aca="false">IF($B434="","",COUNTIF($F434:$AJ434,"CL"))</f>
        <v/>
      </c>
      <c r="AQ434" s="34" t="str">
        <f aca="false">IF($B434="","",COUNTIF($F434:$AJ434,"SL"))</f>
        <v/>
      </c>
      <c r="AR434" s="34" t="str">
        <f aca="false">IF($B434="","",COUNTIF($F434:$AJ434,"CO"))</f>
        <v/>
      </c>
      <c r="AS434" s="34" t="str">
        <f aca="false">IF($B434="","",COUNTIF($F434:$AJ434,"HPL"))</f>
        <v/>
      </c>
      <c r="AT434" s="34" t="str">
        <f aca="false">IF($B434="","",COUNTIF($F434:$AJ434,"HCL"))</f>
        <v/>
      </c>
      <c r="AU434" s="34" t="str">
        <f aca="false">IF($B434="","",COUNTIF($F434:$AJ434,"WO"))</f>
        <v/>
      </c>
      <c r="AV434" s="34" t="str">
        <f aca="false">IF($B434="","",COUNTIF($F434:$AJ434,"PH"))</f>
        <v/>
      </c>
      <c r="AW434" s="34" t="str">
        <f aca="false">IF($B434="","",COUNTIF($F434:$AJ434,"TR"))</f>
        <v/>
      </c>
      <c r="AX434" s="35" t="str">
        <f aca="false">IF($B434="","",AO434+AS434/2)</f>
        <v/>
      </c>
      <c r="AY434" s="35" t="str">
        <f aca="false">IF($B434="","",AQ434)</f>
        <v/>
      </c>
      <c r="AZ434" s="35" t="str">
        <f aca="false">IF($B434="","",AP434+AT434/2)</f>
        <v/>
      </c>
      <c r="BA434" s="35" t="str">
        <f aca="false">IF($B434="","",AK434+AN434+AM434/2+AO434+AP434+AQ434+AR434+AS434+AT434+AU434+AV434+AW434)</f>
        <v/>
      </c>
      <c r="BB434" s="35" t="str">
        <f aca="false">IF($B434="","",MAX(0,AN434-Settings!$C$16)*Settings!$C$17)</f>
        <v/>
      </c>
      <c r="BC434" s="35" t="str">
        <f aca="false">IF($B434="","",BA434-BB434)</f>
        <v/>
      </c>
      <c r="BD434" s="35" t="str">
        <f aca="false">IF(OR($B434="",$A434=""),"",DAY(EOMONTH($A434,0))-COUNTA($F434:$AJ434))</f>
        <v/>
      </c>
    </row>
    <row r="435" customFormat="false" ht="15" hidden="false" customHeight="false" outlineLevel="0" collapsed="false">
      <c r="A435" s="32"/>
      <c r="B435" s="29"/>
      <c r="C435" s="10" t="str">
        <f aca="false">IF($B435="","",IFERROR(INDEX(M_name,MATCH($B435,M_emp,0)),"Code not found"))</f>
        <v/>
      </c>
      <c r="D435" s="10" t="str">
        <f aca="false">IF($B435="","",IFERROR(INDEX(M_dept,MATCH($B435,M_emp,0)),""))</f>
        <v/>
      </c>
      <c r="E435" s="10" t="str">
        <f aca="false">IF($B435="","",IFERROR(INDEX(M_loc,MATCH($B435,M_emp,0)),""))</f>
        <v/>
      </c>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4" t="str">
        <f aca="false">IF($B435="","",COUNTIF($F435:$AJ435,"P"))</f>
        <v/>
      </c>
      <c r="AL435" s="34" t="str">
        <f aca="false">IF($B435="","",COUNTIF($F435:$AJ435,"A"))</f>
        <v/>
      </c>
      <c r="AM435" s="34" t="str">
        <f aca="false">IF($B435="","",COUNTIF($F435:$AJ435,"HA"))</f>
        <v/>
      </c>
      <c r="AN435" s="34" t="str">
        <f aca="false">IF($B435="","",COUNTIF($F435:$AJ435,"L"))</f>
        <v/>
      </c>
      <c r="AO435" s="34" t="str">
        <f aca="false">IF($B435="","",COUNTIF($F435:$AJ435,"PL"))</f>
        <v/>
      </c>
      <c r="AP435" s="34" t="str">
        <f aca="false">IF($B435="","",COUNTIF($F435:$AJ435,"CL"))</f>
        <v/>
      </c>
      <c r="AQ435" s="34" t="str">
        <f aca="false">IF($B435="","",COUNTIF($F435:$AJ435,"SL"))</f>
        <v/>
      </c>
      <c r="AR435" s="34" t="str">
        <f aca="false">IF($B435="","",COUNTIF($F435:$AJ435,"CO"))</f>
        <v/>
      </c>
      <c r="AS435" s="34" t="str">
        <f aca="false">IF($B435="","",COUNTIF($F435:$AJ435,"HPL"))</f>
        <v/>
      </c>
      <c r="AT435" s="34" t="str">
        <f aca="false">IF($B435="","",COUNTIF($F435:$AJ435,"HCL"))</f>
        <v/>
      </c>
      <c r="AU435" s="34" t="str">
        <f aca="false">IF($B435="","",COUNTIF($F435:$AJ435,"WO"))</f>
        <v/>
      </c>
      <c r="AV435" s="34" t="str">
        <f aca="false">IF($B435="","",COUNTIF($F435:$AJ435,"PH"))</f>
        <v/>
      </c>
      <c r="AW435" s="34" t="str">
        <f aca="false">IF($B435="","",COUNTIF($F435:$AJ435,"TR"))</f>
        <v/>
      </c>
      <c r="AX435" s="35" t="str">
        <f aca="false">IF($B435="","",AO435+AS435/2)</f>
        <v/>
      </c>
      <c r="AY435" s="35" t="str">
        <f aca="false">IF($B435="","",AQ435)</f>
        <v/>
      </c>
      <c r="AZ435" s="35" t="str">
        <f aca="false">IF($B435="","",AP435+AT435/2)</f>
        <v/>
      </c>
      <c r="BA435" s="35" t="str">
        <f aca="false">IF($B435="","",AK435+AN435+AM435/2+AO435+AP435+AQ435+AR435+AS435+AT435+AU435+AV435+AW435)</f>
        <v/>
      </c>
      <c r="BB435" s="35" t="str">
        <f aca="false">IF($B435="","",MAX(0,AN435-Settings!$C$16)*Settings!$C$17)</f>
        <v/>
      </c>
      <c r="BC435" s="35" t="str">
        <f aca="false">IF($B435="","",BA435-BB435)</f>
        <v/>
      </c>
      <c r="BD435" s="35" t="str">
        <f aca="false">IF(OR($B435="",$A435=""),"",DAY(EOMONTH($A435,0))-COUNTA($F435:$AJ435))</f>
        <v/>
      </c>
    </row>
    <row r="436" customFormat="false" ht="15" hidden="false" customHeight="false" outlineLevel="0" collapsed="false">
      <c r="A436" s="32"/>
      <c r="B436" s="29"/>
      <c r="C436" s="10" t="str">
        <f aca="false">IF($B436="","",IFERROR(INDEX(M_name,MATCH($B436,M_emp,0)),"Code not found"))</f>
        <v/>
      </c>
      <c r="D436" s="10" t="str">
        <f aca="false">IF($B436="","",IFERROR(INDEX(M_dept,MATCH($B436,M_emp,0)),""))</f>
        <v/>
      </c>
      <c r="E436" s="10" t="str">
        <f aca="false">IF($B436="","",IFERROR(INDEX(M_loc,MATCH($B436,M_emp,0)),""))</f>
        <v/>
      </c>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4" t="str">
        <f aca="false">IF($B436="","",COUNTIF($F436:$AJ436,"P"))</f>
        <v/>
      </c>
      <c r="AL436" s="34" t="str">
        <f aca="false">IF($B436="","",COUNTIF($F436:$AJ436,"A"))</f>
        <v/>
      </c>
      <c r="AM436" s="34" t="str">
        <f aca="false">IF($B436="","",COUNTIF($F436:$AJ436,"HA"))</f>
        <v/>
      </c>
      <c r="AN436" s="34" t="str">
        <f aca="false">IF($B436="","",COUNTIF($F436:$AJ436,"L"))</f>
        <v/>
      </c>
      <c r="AO436" s="34" t="str">
        <f aca="false">IF($B436="","",COUNTIF($F436:$AJ436,"PL"))</f>
        <v/>
      </c>
      <c r="AP436" s="34" t="str">
        <f aca="false">IF($B436="","",COUNTIF($F436:$AJ436,"CL"))</f>
        <v/>
      </c>
      <c r="AQ436" s="34" t="str">
        <f aca="false">IF($B436="","",COUNTIF($F436:$AJ436,"SL"))</f>
        <v/>
      </c>
      <c r="AR436" s="34" t="str">
        <f aca="false">IF($B436="","",COUNTIF($F436:$AJ436,"CO"))</f>
        <v/>
      </c>
      <c r="AS436" s="34" t="str">
        <f aca="false">IF($B436="","",COUNTIF($F436:$AJ436,"HPL"))</f>
        <v/>
      </c>
      <c r="AT436" s="34" t="str">
        <f aca="false">IF($B436="","",COUNTIF($F436:$AJ436,"HCL"))</f>
        <v/>
      </c>
      <c r="AU436" s="34" t="str">
        <f aca="false">IF($B436="","",COUNTIF($F436:$AJ436,"WO"))</f>
        <v/>
      </c>
      <c r="AV436" s="34" t="str">
        <f aca="false">IF($B436="","",COUNTIF($F436:$AJ436,"PH"))</f>
        <v/>
      </c>
      <c r="AW436" s="34" t="str">
        <f aca="false">IF($B436="","",COUNTIF($F436:$AJ436,"TR"))</f>
        <v/>
      </c>
      <c r="AX436" s="35" t="str">
        <f aca="false">IF($B436="","",AO436+AS436/2)</f>
        <v/>
      </c>
      <c r="AY436" s="35" t="str">
        <f aca="false">IF($B436="","",AQ436)</f>
        <v/>
      </c>
      <c r="AZ436" s="35" t="str">
        <f aca="false">IF($B436="","",AP436+AT436/2)</f>
        <v/>
      </c>
      <c r="BA436" s="35" t="str">
        <f aca="false">IF($B436="","",AK436+AN436+AM436/2+AO436+AP436+AQ436+AR436+AS436+AT436+AU436+AV436+AW436)</f>
        <v/>
      </c>
      <c r="BB436" s="35" t="str">
        <f aca="false">IF($B436="","",MAX(0,AN436-Settings!$C$16)*Settings!$C$17)</f>
        <v/>
      </c>
      <c r="BC436" s="35" t="str">
        <f aca="false">IF($B436="","",BA436-BB436)</f>
        <v/>
      </c>
      <c r="BD436" s="35" t="str">
        <f aca="false">IF(OR($B436="",$A436=""),"",DAY(EOMONTH($A436,0))-COUNTA($F436:$AJ436))</f>
        <v/>
      </c>
    </row>
    <row r="437" customFormat="false" ht="15" hidden="false" customHeight="false" outlineLevel="0" collapsed="false">
      <c r="A437" s="32"/>
      <c r="B437" s="29"/>
      <c r="C437" s="10" t="str">
        <f aca="false">IF($B437="","",IFERROR(INDEX(M_name,MATCH($B437,M_emp,0)),"Code not found"))</f>
        <v/>
      </c>
      <c r="D437" s="10" t="str">
        <f aca="false">IF($B437="","",IFERROR(INDEX(M_dept,MATCH($B437,M_emp,0)),""))</f>
        <v/>
      </c>
      <c r="E437" s="10" t="str">
        <f aca="false">IF($B437="","",IFERROR(INDEX(M_loc,MATCH($B437,M_emp,0)),""))</f>
        <v/>
      </c>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4" t="str">
        <f aca="false">IF($B437="","",COUNTIF($F437:$AJ437,"P"))</f>
        <v/>
      </c>
      <c r="AL437" s="34" t="str">
        <f aca="false">IF($B437="","",COUNTIF($F437:$AJ437,"A"))</f>
        <v/>
      </c>
      <c r="AM437" s="34" t="str">
        <f aca="false">IF($B437="","",COUNTIF($F437:$AJ437,"HA"))</f>
        <v/>
      </c>
      <c r="AN437" s="34" t="str">
        <f aca="false">IF($B437="","",COUNTIF($F437:$AJ437,"L"))</f>
        <v/>
      </c>
      <c r="AO437" s="34" t="str">
        <f aca="false">IF($B437="","",COUNTIF($F437:$AJ437,"PL"))</f>
        <v/>
      </c>
      <c r="AP437" s="34" t="str">
        <f aca="false">IF($B437="","",COUNTIF($F437:$AJ437,"CL"))</f>
        <v/>
      </c>
      <c r="AQ437" s="34" t="str">
        <f aca="false">IF($B437="","",COUNTIF($F437:$AJ437,"SL"))</f>
        <v/>
      </c>
      <c r="AR437" s="34" t="str">
        <f aca="false">IF($B437="","",COUNTIF($F437:$AJ437,"CO"))</f>
        <v/>
      </c>
      <c r="AS437" s="34" t="str">
        <f aca="false">IF($B437="","",COUNTIF($F437:$AJ437,"HPL"))</f>
        <v/>
      </c>
      <c r="AT437" s="34" t="str">
        <f aca="false">IF($B437="","",COUNTIF($F437:$AJ437,"HCL"))</f>
        <v/>
      </c>
      <c r="AU437" s="34" t="str">
        <f aca="false">IF($B437="","",COUNTIF($F437:$AJ437,"WO"))</f>
        <v/>
      </c>
      <c r="AV437" s="34" t="str">
        <f aca="false">IF($B437="","",COUNTIF($F437:$AJ437,"PH"))</f>
        <v/>
      </c>
      <c r="AW437" s="34" t="str">
        <f aca="false">IF($B437="","",COUNTIF($F437:$AJ437,"TR"))</f>
        <v/>
      </c>
      <c r="AX437" s="35" t="str">
        <f aca="false">IF($B437="","",AO437+AS437/2)</f>
        <v/>
      </c>
      <c r="AY437" s="35" t="str">
        <f aca="false">IF($B437="","",AQ437)</f>
        <v/>
      </c>
      <c r="AZ437" s="35" t="str">
        <f aca="false">IF($B437="","",AP437+AT437/2)</f>
        <v/>
      </c>
      <c r="BA437" s="35" t="str">
        <f aca="false">IF($B437="","",AK437+AN437+AM437/2+AO437+AP437+AQ437+AR437+AS437+AT437+AU437+AV437+AW437)</f>
        <v/>
      </c>
      <c r="BB437" s="35" t="str">
        <f aca="false">IF($B437="","",MAX(0,AN437-Settings!$C$16)*Settings!$C$17)</f>
        <v/>
      </c>
      <c r="BC437" s="35" t="str">
        <f aca="false">IF($B437="","",BA437-BB437)</f>
        <v/>
      </c>
      <c r="BD437" s="35" t="str">
        <f aca="false">IF(OR($B437="",$A437=""),"",DAY(EOMONTH($A437,0))-COUNTA($F437:$AJ437))</f>
        <v/>
      </c>
    </row>
    <row r="438" customFormat="false" ht="15" hidden="false" customHeight="false" outlineLevel="0" collapsed="false">
      <c r="A438" s="32"/>
      <c r="B438" s="29"/>
      <c r="C438" s="10" t="str">
        <f aca="false">IF($B438="","",IFERROR(INDEX(M_name,MATCH($B438,M_emp,0)),"Code not found"))</f>
        <v/>
      </c>
      <c r="D438" s="10" t="str">
        <f aca="false">IF($B438="","",IFERROR(INDEX(M_dept,MATCH($B438,M_emp,0)),""))</f>
        <v/>
      </c>
      <c r="E438" s="10" t="str">
        <f aca="false">IF($B438="","",IFERROR(INDEX(M_loc,MATCH($B438,M_emp,0)),""))</f>
        <v/>
      </c>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4" t="str">
        <f aca="false">IF($B438="","",COUNTIF($F438:$AJ438,"P"))</f>
        <v/>
      </c>
      <c r="AL438" s="34" t="str">
        <f aca="false">IF($B438="","",COUNTIF($F438:$AJ438,"A"))</f>
        <v/>
      </c>
      <c r="AM438" s="34" t="str">
        <f aca="false">IF($B438="","",COUNTIF($F438:$AJ438,"HA"))</f>
        <v/>
      </c>
      <c r="AN438" s="34" t="str">
        <f aca="false">IF($B438="","",COUNTIF($F438:$AJ438,"L"))</f>
        <v/>
      </c>
      <c r="AO438" s="34" t="str">
        <f aca="false">IF($B438="","",COUNTIF($F438:$AJ438,"PL"))</f>
        <v/>
      </c>
      <c r="AP438" s="34" t="str">
        <f aca="false">IF($B438="","",COUNTIF($F438:$AJ438,"CL"))</f>
        <v/>
      </c>
      <c r="AQ438" s="34" t="str">
        <f aca="false">IF($B438="","",COUNTIF($F438:$AJ438,"SL"))</f>
        <v/>
      </c>
      <c r="AR438" s="34" t="str">
        <f aca="false">IF($B438="","",COUNTIF($F438:$AJ438,"CO"))</f>
        <v/>
      </c>
      <c r="AS438" s="34" t="str">
        <f aca="false">IF($B438="","",COUNTIF($F438:$AJ438,"HPL"))</f>
        <v/>
      </c>
      <c r="AT438" s="34" t="str">
        <f aca="false">IF($B438="","",COUNTIF($F438:$AJ438,"HCL"))</f>
        <v/>
      </c>
      <c r="AU438" s="34" t="str">
        <f aca="false">IF($B438="","",COUNTIF($F438:$AJ438,"WO"))</f>
        <v/>
      </c>
      <c r="AV438" s="34" t="str">
        <f aca="false">IF($B438="","",COUNTIF($F438:$AJ438,"PH"))</f>
        <v/>
      </c>
      <c r="AW438" s="34" t="str">
        <f aca="false">IF($B438="","",COUNTIF($F438:$AJ438,"TR"))</f>
        <v/>
      </c>
      <c r="AX438" s="35" t="str">
        <f aca="false">IF($B438="","",AO438+AS438/2)</f>
        <v/>
      </c>
      <c r="AY438" s="35" t="str">
        <f aca="false">IF($B438="","",AQ438)</f>
        <v/>
      </c>
      <c r="AZ438" s="35" t="str">
        <f aca="false">IF($B438="","",AP438+AT438/2)</f>
        <v/>
      </c>
      <c r="BA438" s="35" t="str">
        <f aca="false">IF($B438="","",AK438+AN438+AM438/2+AO438+AP438+AQ438+AR438+AS438+AT438+AU438+AV438+AW438)</f>
        <v/>
      </c>
      <c r="BB438" s="35" t="str">
        <f aca="false">IF($B438="","",MAX(0,AN438-Settings!$C$16)*Settings!$C$17)</f>
        <v/>
      </c>
      <c r="BC438" s="35" t="str">
        <f aca="false">IF($B438="","",BA438-BB438)</f>
        <v/>
      </c>
      <c r="BD438" s="35" t="str">
        <f aca="false">IF(OR($B438="",$A438=""),"",DAY(EOMONTH($A438,0))-COUNTA($F438:$AJ438))</f>
        <v/>
      </c>
    </row>
    <row r="439" customFormat="false" ht="15" hidden="false" customHeight="false" outlineLevel="0" collapsed="false">
      <c r="A439" s="32"/>
      <c r="B439" s="29"/>
      <c r="C439" s="10" t="str">
        <f aca="false">IF($B439="","",IFERROR(INDEX(M_name,MATCH($B439,M_emp,0)),"Code not found"))</f>
        <v/>
      </c>
      <c r="D439" s="10" t="str">
        <f aca="false">IF($B439="","",IFERROR(INDEX(M_dept,MATCH($B439,M_emp,0)),""))</f>
        <v/>
      </c>
      <c r="E439" s="10" t="str">
        <f aca="false">IF($B439="","",IFERROR(INDEX(M_loc,MATCH($B439,M_emp,0)),""))</f>
        <v/>
      </c>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4" t="str">
        <f aca="false">IF($B439="","",COUNTIF($F439:$AJ439,"P"))</f>
        <v/>
      </c>
      <c r="AL439" s="34" t="str">
        <f aca="false">IF($B439="","",COUNTIF($F439:$AJ439,"A"))</f>
        <v/>
      </c>
      <c r="AM439" s="34" t="str">
        <f aca="false">IF($B439="","",COUNTIF($F439:$AJ439,"HA"))</f>
        <v/>
      </c>
      <c r="AN439" s="34" t="str">
        <f aca="false">IF($B439="","",COUNTIF($F439:$AJ439,"L"))</f>
        <v/>
      </c>
      <c r="AO439" s="34" t="str">
        <f aca="false">IF($B439="","",COUNTIF($F439:$AJ439,"PL"))</f>
        <v/>
      </c>
      <c r="AP439" s="34" t="str">
        <f aca="false">IF($B439="","",COUNTIF($F439:$AJ439,"CL"))</f>
        <v/>
      </c>
      <c r="AQ439" s="34" t="str">
        <f aca="false">IF($B439="","",COUNTIF($F439:$AJ439,"SL"))</f>
        <v/>
      </c>
      <c r="AR439" s="34" t="str">
        <f aca="false">IF($B439="","",COUNTIF($F439:$AJ439,"CO"))</f>
        <v/>
      </c>
      <c r="AS439" s="34" t="str">
        <f aca="false">IF($B439="","",COUNTIF($F439:$AJ439,"HPL"))</f>
        <v/>
      </c>
      <c r="AT439" s="34" t="str">
        <f aca="false">IF($B439="","",COUNTIF($F439:$AJ439,"HCL"))</f>
        <v/>
      </c>
      <c r="AU439" s="34" t="str">
        <f aca="false">IF($B439="","",COUNTIF($F439:$AJ439,"WO"))</f>
        <v/>
      </c>
      <c r="AV439" s="34" t="str">
        <f aca="false">IF($B439="","",COUNTIF($F439:$AJ439,"PH"))</f>
        <v/>
      </c>
      <c r="AW439" s="34" t="str">
        <f aca="false">IF($B439="","",COUNTIF($F439:$AJ439,"TR"))</f>
        <v/>
      </c>
      <c r="AX439" s="35" t="str">
        <f aca="false">IF($B439="","",AO439+AS439/2)</f>
        <v/>
      </c>
      <c r="AY439" s="35" t="str">
        <f aca="false">IF($B439="","",AQ439)</f>
        <v/>
      </c>
      <c r="AZ439" s="35" t="str">
        <f aca="false">IF($B439="","",AP439+AT439/2)</f>
        <v/>
      </c>
      <c r="BA439" s="35" t="str">
        <f aca="false">IF($B439="","",AK439+AN439+AM439/2+AO439+AP439+AQ439+AR439+AS439+AT439+AU439+AV439+AW439)</f>
        <v/>
      </c>
      <c r="BB439" s="35" t="str">
        <f aca="false">IF($B439="","",MAX(0,AN439-Settings!$C$16)*Settings!$C$17)</f>
        <v/>
      </c>
      <c r="BC439" s="35" t="str">
        <f aca="false">IF($B439="","",BA439-BB439)</f>
        <v/>
      </c>
      <c r="BD439" s="35" t="str">
        <f aca="false">IF(OR($B439="",$A439=""),"",DAY(EOMONTH($A439,0))-COUNTA($F439:$AJ439))</f>
        <v/>
      </c>
    </row>
    <row r="440" customFormat="false" ht="15" hidden="false" customHeight="false" outlineLevel="0" collapsed="false">
      <c r="A440" s="32"/>
      <c r="B440" s="29"/>
      <c r="C440" s="10" t="str">
        <f aca="false">IF($B440="","",IFERROR(INDEX(M_name,MATCH($B440,M_emp,0)),"Code not found"))</f>
        <v/>
      </c>
      <c r="D440" s="10" t="str">
        <f aca="false">IF($B440="","",IFERROR(INDEX(M_dept,MATCH($B440,M_emp,0)),""))</f>
        <v/>
      </c>
      <c r="E440" s="10" t="str">
        <f aca="false">IF($B440="","",IFERROR(INDEX(M_loc,MATCH($B440,M_emp,0)),""))</f>
        <v/>
      </c>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4" t="str">
        <f aca="false">IF($B440="","",COUNTIF($F440:$AJ440,"P"))</f>
        <v/>
      </c>
      <c r="AL440" s="34" t="str">
        <f aca="false">IF($B440="","",COUNTIF($F440:$AJ440,"A"))</f>
        <v/>
      </c>
      <c r="AM440" s="34" t="str">
        <f aca="false">IF($B440="","",COUNTIF($F440:$AJ440,"HA"))</f>
        <v/>
      </c>
      <c r="AN440" s="34" t="str">
        <f aca="false">IF($B440="","",COUNTIF($F440:$AJ440,"L"))</f>
        <v/>
      </c>
      <c r="AO440" s="34" t="str">
        <f aca="false">IF($B440="","",COUNTIF($F440:$AJ440,"PL"))</f>
        <v/>
      </c>
      <c r="AP440" s="34" t="str">
        <f aca="false">IF($B440="","",COUNTIF($F440:$AJ440,"CL"))</f>
        <v/>
      </c>
      <c r="AQ440" s="34" t="str">
        <f aca="false">IF($B440="","",COUNTIF($F440:$AJ440,"SL"))</f>
        <v/>
      </c>
      <c r="AR440" s="34" t="str">
        <f aca="false">IF($B440="","",COUNTIF($F440:$AJ440,"CO"))</f>
        <v/>
      </c>
      <c r="AS440" s="34" t="str">
        <f aca="false">IF($B440="","",COUNTIF($F440:$AJ440,"HPL"))</f>
        <v/>
      </c>
      <c r="AT440" s="34" t="str">
        <f aca="false">IF($B440="","",COUNTIF($F440:$AJ440,"HCL"))</f>
        <v/>
      </c>
      <c r="AU440" s="34" t="str">
        <f aca="false">IF($B440="","",COUNTIF($F440:$AJ440,"WO"))</f>
        <v/>
      </c>
      <c r="AV440" s="34" t="str">
        <f aca="false">IF($B440="","",COUNTIF($F440:$AJ440,"PH"))</f>
        <v/>
      </c>
      <c r="AW440" s="34" t="str">
        <f aca="false">IF($B440="","",COUNTIF($F440:$AJ440,"TR"))</f>
        <v/>
      </c>
      <c r="AX440" s="35" t="str">
        <f aca="false">IF($B440="","",AO440+AS440/2)</f>
        <v/>
      </c>
      <c r="AY440" s="35" t="str">
        <f aca="false">IF($B440="","",AQ440)</f>
        <v/>
      </c>
      <c r="AZ440" s="35" t="str">
        <f aca="false">IF($B440="","",AP440+AT440/2)</f>
        <v/>
      </c>
      <c r="BA440" s="35" t="str">
        <f aca="false">IF($B440="","",AK440+AN440+AM440/2+AO440+AP440+AQ440+AR440+AS440+AT440+AU440+AV440+AW440)</f>
        <v/>
      </c>
      <c r="BB440" s="35" t="str">
        <f aca="false">IF($B440="","",MAX(0,AN440-Settings!$C$16)*Settings!$C$17)</f>
        <v/>
      </c>
      <c r="BC440" s="35" t="str">
        <f aca="false">IF($B440="","",BA440-BB440)</f>
        <v/>
      </c>
      <c r="BD440" s="35" t="str">
        <f aca="false">IF(OR($B440="",$A440=""),"",DAY(EOMONTH($A440,0))-COUNTA($F440:$AJ440))</f>
        <v/>
      </c>
    </row>
    <row r="441" customFormat="false" ht="15" hidden="false" customHeight="false" outlineLevel="0" collapsed="false">
      <c r="A441" s="32"/>
      <c r="B441" s="29"/>
      <c r="C441" s="10" t="str">
        <f aca="false">IF($B441="","",IFERROR(INDEX(M_name,MATCH($B441,M_emp,0)),"Code not found"))</f>
        <v/>
      </c>
      <c r="D441" s="10" t="str">
        <f aca="false">IF($B441="","",IFERROR(INDEX(M_dept,MATCH($B441,M_emp,0)),""))</f>
        <v/>
      </c>
      <c r="E441" s="10" t="str">
        <f aca="false">IF($B441="","",IFERROR(INDEX(M_loc,MATCH($B441,M_emp,0)),""))</f>
        <v/>
      </c>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4" t="str">
        <f aca="false">IF($B441="","",COUNTIF($F441:$AJ441,"P"))</f>
        <v/>
      </c>
      <c r="AL441" s="34" t="str">
        <f aca="false">IF($B441="","",COUNTIF($F441:$AJ441,"A"))</f>
        <v/>
      </c>
      <c r="AM441" s="34" t="str">
        <f aca="false">IF($B441="","",COUNTIF($F441:$AJ441,"HA"))</f>
        <v/>
      </c>
      <c r="AN441" s="34" t="str">
        <f aca="false">IF($B441="","",COUNTIF($F441:$AJ441,"L"))</f>
        <v/>
      </c>
      <c r="AO441" s="34" t="str">
        <f aca="false">IF($B441="","",COUNTIF($F441:$AJ441,"PL"))</f>
        <v/>
      </c>
      <c r="AP441" s="34" t="str">
        <f aca="false">IF($B441="","",COUNTIF($F441:$AJ441,"CL"))</f>
        <v/>
      </c>
      <c r="AQ441" s="34" t="str">
        <f aca="false">IF($B441="","",COUNTIF($F441:$AJ441,"SL"))</f>
        <v/>
      </c>
      <c r="AR441" s="34" t="str">
        <f aca="false">IF($B441="","",COUNTIF($F441:$AJ441,"CO"))</f>
        <v/>
      </c>
      <c r="AS441" s="34" t="str">
        <f aca="false">IF($B441="","",COUNTIF($F441:$AJ441,"HPL"))</f>
        <v/>
      </c>
      <c r="AT441" s="34" t="str">
        <f aca="false">IF($B441="","",COUNTIF($F441:$AJ441,"HCL"))</f>
        <v/>
      </c>
      <c r="AU441" s="34" t="str">
        <f aca="false">IF($B441="","",COUNTIF($F441:$AJ441,"WO"))</f>
        <v/>
      </c>
      <c r="AV441" s="34" t="str">
        <f aca="false">IF($B441="","",COUNTIF($F441:$AJ441,"PH"))</f>
        <v/>
      </c>
      <c r="AW441" s="34" t="str">
        <f aca="false">IF($B441="","",COUNTIF($F441:$AJ441,"TR"))</f>
        <v/>
      </c>
      <c r="AX441" s="35" t="str">
        <f aca="false">IF($B441="","",AO441+AS441/2)</f>
        <v/>
      </c>
      <c r="AY441" s="35" t="str">
        <f aca="false">IF($B441="","",AQ441)</f>
        <v/>
      </c>
      <c r="AZ441" s="35" t="str">
        <f aca="false">IF($B441="","",AP441+AT441/2)</f>
        <v/>
      </c>
      <c r="BA441" s="35" t="str">
        <f aca="false">IF($B441="","",AK441+AN441+AM441/2+AO441+AP441+AQ441+AR441+AS441+AT441+AU441+AV441+AW441)</f>
        <v/>
      </c>
      <c r="BB441" s="35" t="str">
        <f aca="false">IF($B441="","",MAX(0,AN441-Settings!$C$16)*Settings!$C$17)</f>
        <v/>
      </c>
      <c r="BC441" s="35" t="str">
        <f aca="false">IF($B441="","",BA441-BB441)</f>
        <v/>
      </c>
      <c r="BD441" s="35" t="str">
        <f aca="false">IF(OR($B441="",$A441=""),"",DAY(EOMONTH($A441,0))-COUNTA($F441:$AJ441))</f>
        <v/>
      </c>
    </row>
    <row r="442" customFormat="false" ht="15" hidden="false" customHeight="false" outlineLevel="0" collapsed="false">
      <c r="A442" s="32"/>
      <c r="B442" s="29"/>
      <c r="C442" s="10" t="str">
        <f aca="false">IF($B442="","",IFERROR(INDEX(M_name,MATCH($B442,M_emp,0)),"Code not found"))</f>
        <v/>
      </c>
      <c r="D442" s="10" t="str">
        <f aca="false">IF($B442="","",IFERROR(INDEX(M_dept,MATCH($B442,M_emp,0)),""))</f>
        <v/>
      </c>
      <c r="E442" s="10" t="str">
        <f aca="false">IF($B442="","",IFERROR(INDEX(M_loc,MATCH($B442,M_emp,0)),""))</f>
        <v/>
      </c>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4" t="str">
        <f aca="false">IF($B442="","",COUNTIF($F442:$AJ442,"P"))</f>
        <v/>
      </c>
      <c r="AL442" s="34" t="str">
        <f aca="false">IF($B442="","",COUNTIF($F442:$AJ442,"A"))</f>
        <v/>
      </c>
      <c r="AM442" s="34" t="str">
        <f aca="false">IF($B442="","",COUNTIF($F442:$AJ442,"HA"))</f>
        <v/>
      </c>
      <c r="AN442" s="34" t="str">
        <f aca="false">IF($B442="","",COUNTIF($F442:$AJ442,"L"))</f>
        <v/>
      </c>
      <c r="AO442" s="34" t="str">
        <f aca="false">IF($B442="","",COUNTIF($F442:$AJ442,"PL"))</f>
        <v/>
      </c>
      <c r="AP442" s="34" t="str">
        <f aca="false">IF($B442="","",COUNTIF($F442:$AJ442,"CL"))</f>
        <v/>
      </c>
      <c r="AQ442" s="34" t="str">
        <f aca="false">IF($B442="","",COUNTIF($F442:$AJ442,"SL"))</f>
        <v/>
      </c>
      <c r="AR442" s="34" t="str">
        <f aca="false">IF($B442="","",COUNTIF($F442:$AJ442,"CO"))</f>
        <v/>
      </c>
      <c r="AS442" s="34" t="str">
        <f aca="false">IF($B442="","",COUNTIF($F442:$AJ442,"HPL"))</f>
        <v/>
      </c>
      <c r="AT442" s="34" t="str">
        <f aca="false">IF($B442="","",COUNTIF($F442:$AJ442,"HCL"))</f>
        <v/>
      </c>
      <c r="AU442" s="34" t="str">
        <f aca="false">IF($B442="","",COUNTIF($F442:$AJ442,"WO"))</f>
        <v/>
      </c>
      <c r="AV442" s="34" t="str">
        <f aca="false">IF($B442="","",COUNTIF($F442:$AJ442,"PH"))</f>
        <v/>
      </c>
      <c r="AW442" s="34" t="str">
        <f aca="false">IF($B442="","",COUNTIF($F442:$AJ442,"TR"))</f>
        <v/>
      </c>
      <c r="AX442" s="35" t="str">
        <f aca="false">IF($B442="","",AO442+AS442/2)</f>
        <v/>
      </c>
      <c r="AY442" s="35" t="str">
        <f aca="false">IF($B442="","",AQ442)</f>
        <v/>
      </c>
      <c r="AZ442" s="35" t="str">
        <f aca="false">IF($B442="","",AP442+AT442/2)</f>
        <v/>
      </c>
      <c r="BA442" s="35" t="str">
        <f aca="false">IF($B442="","",AK442+AN442+AM442/2+AO442+AP442+AQ442+AR442+AS442+AT442+AU442+AV442+AW442)</f>
        <v/>
      </c>
      <c r="BB442" s="35" t="str">
        <f aca="false">IF($B442="","",MAX(0,AN442-Settings!$C$16)*Settings!$C$17)</f>
        <v/>
      </c>
      <c r="BC442" s="35" t="str">
        <f aca="false">IF($B442="","",BA442-BB442)</f>
        <v/>
      </c>
      <c r="BD442" s="35" t="str">
        <f aca="false">IF(OR($B442="",$A442=""),"",DAY(EOMONTH($A442,0))-COUNTA($F442:$AJ442))</f>
        <v/>
      </c>
    </row>
    <row r="443" customFormat="false" ht="15" hidden="false" customHeight="false" outlineLevel="0" collapsed="false">
      <c r="A443" s="32"/>
      <c r="B443" s="29"/>
      <c r="C443" s="10" t="str">
        <f aca="false">IF($B443="","",IFERROR(INDEX(M_name,MATCH($B443,M_emp,0)),"Code not found"))</f>
        <v/>
      </c>
      <c r="D443" s="10" t="str">
        <f aca="false">IF($B443="","",IFERROR(INDEX(M_dept,MATCH($B443,M_emp,0)),""))</f>
        <v/>
      </c>
      <c r="E443" s="10" t="str">
        <f aca="false">IF($B443="","",IFERROR(INDEX(M_loc,MATCH($B443,M_emp,0)),""))</f>
        <v/>
      </c>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4" t="str">
        <f aca="false">IF($B443="","",COUNTIF($F443:$AJ443,"P"))</f>
        <v/>
      </c>
      <c r="AL443" s="34" t="str">
        <f aca="false">IF($B443="","",COUNTIF($F443:$AJ443,"A"))</f>
        <v/>
      </c>
      <c r="AM443" s="34" t="str">
        <f aca="false">IF($B443="","",COUNTIF($F443:$AJ443,"HA"))</f>
        <v/>
      </c>
      <c r="AN443" s="34" t="str">
        <f aca="false">IF($B443="","",COUNTIF($F443:$AJ443,"L"))</f>
        <v/>
      </c>
      <c r="AO443" s="34" t="str">
        <f aca="false">IF($B443="","",COUNTIF($F443:$AJ443,"PL"))</f>
        <v/>
      </c>
      <c r="AP443" s="34" t="str">
        <f aca="false">IF($B443="","",COUNTIF($F443:$AJ443,"CL"))</f>
        <v/>
      </c>
      <c r="AQ443" s="34" t="str">
        <f aca="false">IF($B443="","",COUNTIF($F443:$AJ443,"SL"))</f>
        <v/>
      </c>
      <c r="AR443" s="34" t="str">
        <f aca="false">IF($B443="","",COUNTIF($F443:$AJ443,"CO"))</f>
        <v/>
      </c>
      <c r="AS443" s="34" t="str">
        <f aca="false">IF($B443="","",COUNTIF($F443:$AJ443,"HPL"))</f>
        <v/>
      </c>
      <c r="AT443" s="34" t="str">
        <f aca="false">IF($B443="","",COUNTIF($F443:$AJ443,"HCL"))</f>
        <v/>
      </c>
      <c r="AU443" s="34" t="str">
        <f aca="false">IF($B443="","",COUNTIF($F443:$AJ443,"WO"))</f>
        <v/>
      </c>
      <c r="AV443" s="34" t="str">
        <f aca="false">IF($B443="","",COUNTIF($F443:$AJ443,"PH"))</f>
        <v/>
      </c>
      <c r="AW443" s="34" t="str">
        <f aca="false">IF($B443="","",COUNTIF($F443:$AJ443,"TR"))</f>
        <v/>
      </c>
      <c r="AX443" s="35" t="str">
        <f aca="false">IF($B443="","",AO443+AS443/2)</f>
        <v/>
      </c>
      <c r="AY443" s="35" t="str">
        <f aca="false">IF($B443="","",AQ443)</f>
        <v/>
      </c>
      <c r="AZ443" s="35" t="str">
        <f aca="false">IF($B443="","",AP443+AT443/2)</f>
        <v/>
      </c>
      <c r="BA443" s="35" t="str">
        <f aca="false">IF($B443="","",AK443+AN443+AM443/2+AO443+AP443+AQ443+AR443+AS443+AT443+AU443+AV443+AW443)</f>
        <v/>
      </c>
      <c r="BB443" s="35" t="str">
        <f aca="false">IF($B443="","",MAX(0,AN443-Settings!$C$16)*Settings!$C$17)</f>
        <v/>
      </c>
      <c r="BC443" s="35" t="str">
        <f aca="false">IF($B443="","",BA443-BB443)</f>
        <v/>
      </c>
      <c r="BD443" s="35" t="str">
        <f aca="false">IF(OR($B443="",$A443=""),"",DAY(EOMONTH($A443,0))-COUNTA($F443:$AJ443))</f>
        <v/>
      </c>
    </row>
    <row r="444" customFormat="false" ht="15" hidden="false" customHeight="false" outlineLevel="0" collapsed="false">
      <c r="A444" s="32"/>
      <c r="B444" s="29"/>
      <c r="C444" s="10" t="str">
        <f aca="false">IF($B444="","",IFERROR(INDEX(M_name,MATCH($B444,M_emp,0)),"Code not found"))</f>
        <v/>
      </c>
      <c r="D444" s="10" t="str">
        <f aca="false">IF($B444="","",IFERROR(INDEX(M_dept,MATCH($B444,M_emp,0)),""))</f>
        <v/>
      </c>
      <c r="E444" s="10" t="str">
        <f aca="false">IF($B444="","",IFERROR(INDEX(M_loc,MATCH($B444,M_emp,0)),""))</f>
        <v/>
      </c>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4" t="str">
        <f aca="false">IF($B444="","",COUNTIF($F444:$AJ444,"P"))</f>
        <v/>
      </c>
      <c r="AL444" s="34" t="str">
        <f aca="false">IF($B444="","",COUNTIF($F444:$AJ444,"A"))</f>
        <v/>
      </c>
      <c r="AM444" s="34" t="str">
        <f aca="false">IF($B444="","",COUNTIF($F444:$AJ444,"HA"))</f>
        <v/>
      </c>
      <c r="AN444" s="34" t="str">
        <f aca="false">IF($B444="","",COUNTIF($F444:$AJ444,"L"))</f>
        <v/>
      </c>
      <c r="AO444" s="34" t="str">
        <f aca="false">IF($B444="","",COUNTIF($F444:$AJ444,"PL"))</f>
        <v/>
      </c>
      <c r="AP444" s="34" t="str">
        <f aca="false">IF($B444="","",COUNTIF($F444:$AJ444,"CL"))</f>
        <v/>
      </c>
      <c r="AQ444" s="34" t="str">
        <f aca="false">IF($B444="","",COUNTIF($F444:$AJ444,"SL"))</f>
        <v/>
      </c>
      <c r="AR444" s="34" t="str">
        <f aca="false">IF($B444="","",COUNTIF($F444:$AJ444,"CO"))</f>
        <v/>
      </c>
      <c r="AS444" s="34" t="str">
        <f aca="false">IF($B444="","",COUNTIF($F444:$AJ444,"HPL"))</f>
        <v/>
      </c>
      <c r="AT444" s="34" t="str">
        <f aca="false">IF($B444="","",COUNTIF($F444:$AJ444,"HCL"))</f>
        <v/>
      </c>
      <c r="AU444" s="34" t="str">
        <f aca="false">IF($B444="","",COUNTIF($F444:$AJ444,"WO"))</f>
        <v/>
      </c>
      <c r="AV444" s="34" t="str">
        <f aca="false">IF($B444="","",COUNTIF($F444:$AJ444,"PH"))</f>
        <v/>
      </c>
      <c r="AW444" s="34" t="str">
        <f aca="false">IF($B444="","",COUNTIF($F444:$AJ444,"TR"))</f>
        <v/>
      </c>
      <c r="AX444" s="35" t="str">
        <f aca="false">IF($B444="","",AO444+AS444/2)</f>
        <v/>
      </c>
      <c r="AY444" s="35" t="str">
        <f aca="false">IF($B444="","",AQ444)</f>
        <v/>
      </c>
      <c r="AZ444" s="35" t="str">
        <f aca="false">IF($B444="","",AP444+AT444/2)</f>
        <v/>
      </c>
      <c r="BA444" s="35" t="str">
        <f aca="false">IF($B444="","",AK444+AN444+AM444/2+AO444+AP444+AQ444+AR444+AS444+AT444+AU444+AV444+AW444)</f>
        <v/>
      </c>
      <c r="BB444" s="35" t="str">
        <f aca="false">IF($B444="","",MAX(0,AN444-Settings!$C$16)*Settings!$C$17)</f>
        <v/>
      </c>
      <c r="BC444" s="35" t="str">
        <f aca="false">IF($B444="","",BA444-BB444)</f>
        <v/>
      </c>
      <c r="BD444" s="35" t="str">
        <f aca="false">IF(OR($B444="",$A444=""),"",DAY(EOMONTH($A444,0))-COUNTA($F444:$AJ444))</f>
        <v/>
      </c>
    </row>
    <row r="445" customFormat="false" ht="15" hidden="false" customHeight="false" outlineLevel="0" collapsed="false">
      <c r="A445" s="32"/>
      <c r="B445" s="29"/>
      <c r="C445" s="10" t="str">
        <f aca="false">IF($B445="","",IFERROR(INDEX(M_name,MATCH($B445,M_emp,0)),"Code not found"))</f>
        <v/>
      </c>
      <c r="D445" s="10" t="str">
        <f aca="false">IF($B445="","",IFERROR(INDEX(M_dept,MATCH($B445,M_emp,0)),""))</f>
        <v/>
      </c>
      <c r="E445" s="10" t="str">
        <f aca="false">IF($B445="","",IFERROR(INDEX(M_loc,MATCH($B445,M_emp,0)),""))</f>
        <v/>
      </c>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4" t="str">
        <f aca="false">IF($B445="","",COUNTIF($F445:$AJ445,"P"))</f>
        <v/>
      </c>
      <c r="AL445" s="34" t="str">
        <f aca="false">IF($B445="","",COUNTIF($F445:$AJ445,"A"))</f>
        <v/>
      </c>
      <c r="AM445" s="34" t="str">
        <f aca="false">IF($B445="","",COUNTIF($F445:$AJ445,"HA"))</f>
        <v/>
      </c>
      <c r="AN445" s="34" t="str">
        <f aca="false">IF($B445="","",COUNTIF($F445:$AJ445,"L"))</f>
        <v/>
      </c>
      <c r="AO445" s="34" t="str">
        <f aca="false">IF($B445="","",COUNTIF($F445:$AJ445,"PL"))</f>
        <v/>
      </c>
      <c r="AP445" s="34" t="str">
        <f aca="false">IF($B445="","",COUNTIF($F445:$AJ445,"CL"))</f>
        <v/>
      </c>
      <c r="AQ445" s="34" t="str">
        <f aca="false">IF($B445="","",COUNTIF($F445:$AJ445,"SL"))</f>
        <v/>
      </c>
      <c r="AR445" s="34" t="str">
        <f aca="false">IF($B445="","",COUNTIF($F445:$AJ445,"CO"))</f>
        <v/>
      </c>
      <c r="AS445" s="34" t="str">
        <f aca="false">IF($B445="","",COUNTIF($F445:$AJ445,"HPL"))</f>
        <v/>
      </c>
      <c r="AT445" s="34" t="str">
        <f aca="false">IF($B445="","",COUNTIF($F445:$AJ445,"HCL"))</f>
        <v/>
      </c>
      <c r="AU445" s="34" t="str">
        <f aca="false">IF($B445="","",COUNTIF($F445:$AJ445,"WO"))</f>
        <v/>
      </c>
      <c r="AV445" s="34" t="str">
        <f aca="false">IF($B445="","",COUNTIF($F445:$AJ445,"PH"))</f>
        <v/>
      </c>
      <c r="AW445" s="34" t="str">
        <f aca="false">IF($B445="","",COUNTIF($F445:$AJ445,"TR"))</f>
        <v/>
      </c>
      <c r="AX445" s="35" t="str">
        <f aca="false">IF($B445="","",AO445+AS445/2)</f>
        <v/>
      </c>
      <c r="AY445" s="35" t="str">
        <f aca="false">IF($B445="","",AQ445)</f>
        <v/>
      </c>
      <c r="AZ445" s="35" t="str">
        <f aca="false">IF($B445="","",AP445+AT445/2)</f>
        <v/>
      </c>
      <c r="BA445" s="35" t="str">
        <f aca="false">IF($B445="","",AK445+AN445+AM445/2+AO445+AP445+AQ445+AR445+AS445+AT445+AU445+AV445+AW445)</f>
        <v/>
      </c>
      <c r="BB445" s="35" t="str">
        <f aca="false">IF($B445="","",MAX(0,AN445-Settings!$C$16)*Settings!$C$17)</f>
        <v/>
      </c>
      <c r="BC445" s="35" t="str">
        <f aca="false">IF($B445="","",BA445-BB445)</f>
        <v/>
      </c>
      <c r="BD445" s="35" t="str">
        <f aca="false">IF(OR($B445="",$A445=""),"",DAY(EOMONTH($A445,0))-COUNTA($F445:$AJ445))</f>
        <v/>
      </c>
    </row>
    <row r="446" customFormat="false" ht="15" hidden="false" customHeight="false" outlineLevel="0" collapsed="false">
      <c r="A446" s="32"/>
      <c r="B446" s="29"/>
      <c r="C446" s="10" t="str">
        <f aca="false">IF($B446="","",IFERROR(INDEX(M_name,MATCH($B446,M_emp,0)),"Code not found"))</f>
        <v/>
      </c>
      <c r="D446" s="10" t="str">
        <f aca="false">IF($B446="","",IFERROR(INDEX(M_dept,MATCH($B446,M_emp,0)),""))</f>
        <v/>
      </c>
      <c r="E446" s="10" t="str">
        <f aca="false">IF($B446="","",IFERROR(INDEX(M_loc,MATCH($B446,M_emp,0)),""))</f>
        <v/>
      </c>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4" t="str">
        <f aca="false">IF($B446="","",COUNTIF($F446:$AJ446,"P"))</f>
        <v/>
      </c>
      <c r="AL446" s="34" t="str">
        <f aca="false">IF($B446="","",COUNTIF($F446:$AJ446,"A"))</f>
        <v/>
      </c>
      <c r="AM446" s="34" t="str">
        <f aca="false">IF($B446="","",COUNTIF($F446:$AJ446,"HA"))</f>
        <v/>
      </c>
      <c r="AN446" s="34" t="str">
        <f aca="false">IF($B446="","",COUNTIF($F446:$AJ446,"L"))</f>
        <v/>
      </c>
      <c r="AO446" s="34" t="str">
        <f aca="false">IF($B446="","",COUNTIF($F446:$AJ446,"PL"))</f>
        <v/>
      </c>
      <c r="AP446" s="34" t="str">
        <f aca="false">IF($B446="","",COUNTIF($F446:$AJ446,"CL"))</f>
        <v/>
      </c>
      <c r="AQ446" s="34" t="str">
        <f aca="false">IF($B446="","",COUNTIF($F446:$AJ446,"SL"))</f>
        <v/>
      </c>
      <c r="AR446" s="34" t="str">
        <f aca="false">IF($B446="","",COUNTIF($F446:$AJ446,"CO"))</f>
        <v/>
      </c>
      <c r="AS446" s="34" t="str">
        <f aca="false">IF($B446="","",COUNTIF($F446:$AJ446,"HPL"))</f>
        <v/>
      </c>
      <c r="AT446" s="34" t="str">
        <f aca="false">IF($B446="","",COUNTIF($F446:$AJ446,"HCL"))</f>
        <v/>
      </c>
      <c r="AU446" s="34" t="str">
        <f aca="false">IF($B446="","",COUNTIF($F446:$AJ446,"WO"))</f>
        <v/>
      </c>
      <c r="AV446" s="34" t="str">
        <f aca="false">IF($B446="","",COUNTIF($F446:$AJ446,"PH"))</f>
        <v/>
      </c>
      <c r="AW446" s="34" t="str">
        <f aca="false">IF($B446="","",COUNTIF($F446:$AJ446,"TR"))</f>
        <v/>
      </c>
      <c r="AX446" s="35" t="str">
        <f aca="false">IF($B446="","",AO446+AS446/2)</f>
        <v/>
      </c>
      <c r="AY446" s="35" t="str">
        <f aca="false">IF($B446="","",AQ446)</f>
        <v/>
      </c>
      <c r="AZ446" s="35" t="str">
        <f aca="false">IF($B446="","",AP446+AT446/2)</f>
        <v/>
      </c>
      <c r="BA446" s="35" t="str">
        <f aca="false">IF($B446="","",AK446+AN446+AM446/2+AO446+AP446+AQ446+AR446+AS446+AT446+AU446+AV446+AW446)</f>
        <v/>
      </c>
      <c r="BB446" s="35" t="str">
        <f aca="false">IF($B446="","",MAX(0,AN446-Settings!$C$16)*Settings!$C$17)</f>
        <v/>
      </c>
      <c r="BC446" s="35" t="str">
        <f aca="false">IF($B446="","",BA446-BB446)</f>
        <v/>
      </c>
      <c r="BD446" s="35" t="str">
        <f aca="false">IF(OR($B446="",$A446=""),"",DAY(EOMONTH($A446,0))-COUNTA($F446:$AJ446))</f>
        <v/>
      </c>
    </row>
    <row r="447" customFormat="false" ht="15" hidden="false" customHeight="false" outlineLevel="0" collapsed="false">
      <c r="A447" s="32"/>
      <c r="B447" s="29"/>
      <c r="C447" s="10" t="str">
        <f aca="false">IF($B447="","",IFERROR(INDEX(M_name,MATCH($B447,M_emp,0)),"Code not found"))</f>
        <v/>
      </c>
      <c r="D447" s="10" t="str">
        <f aca="false">IF($B447="","",IFERROR(INDEX(M_dept,MATCH($B447,M_emp,0)),""))</f>
        <v/>
      </c>
      <c r="E447" s="10" t="str">
        <f aca="false">IF($B447="","",IFERROR(INDEX(M_loc,MATCH($B447,M_emp,0)),""))</f>
        <v/>
      </c>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4" t="str">
        <f aca="false">IF($B447="","",COUNTIF($F447:$AJ447,"P"))</f>
        <v/>
      </c>
      <c r="AL447" s="34" t="str">
        <f aca="false">IF($B447="","",COUNTIF($F447:$AJ447,"A"))</f>
        <v/>
      </c>
      <c r="AM447" s="34" t="str">
        <f aca="false">IF($B447="","",COUNTIF($F447:$AJ447,"HA"))</f>
        <v/>
      </c>
      <c r="AN447" s="34" t="str">
        <f aca="false">IF($B447="","",COUNTIF($F447:$AJ447,"L"))</f>
        <v/>
      </c>
      <c r="AO447" s="34" t="str">
        <f aca="false">IF($B447="","",COUNTIF($F447:$AJ447,"PL"))</f>
        <v/>
      </c>
      <c r="AP447" s="34" t="str">
        <f aca="false">IF($B447="","",COUNTIF($F447:$AJ447,"CL"))</f>
        <v/>
      </c>
      <c r="AQ447" s="34" t="str">
        <f aca="false">IF($B447="","",COUNTIF($F447:$AJ447,"SL"))</f>
        <v/>
      </c>
      <c r="AR447" s="34" t="str">
        <f aca="false">IF($B447="","",COUNTIF($F447:$AJ447,"CO"))</f>
        <v/>
      </c>
      <c r="AS447" s="34" t="str">
        <f aca="false">IF($B447="","",COUNTIF($F447:$AJ447,"HPL"))</f>
        <v/>
      </c>
      <c r="AT447" s="34" t="str">
        <f aca="false">IF($B447="","",COUNTIF($F447:$AJ447,"HCL"))</f>
        <v/>
      </c>
      <c r="AU447" s="34" t="str">
        <f aca="false">IF($B447="","",COUNTIF($F447:$AJ447,"WO"))</f>
        <v/>
      </c>
      <c r="AV447" s="34" t="str">
        <f aca="false">IF($B447="","",COUNTIF($F447:$AJ447,"PH"))</f>
        <v/>
      </c>
      <c r="AW447" s="34" t="str">
        <f aca="false">IF($B447="","",COUNTIF($F447:$AJ447,"TR"))</f>
        <v/>
      </c>
      <c r="AX447" s="35" t="str">
        <f aca="false">IF($B447="","",AO447+AS447/2)</f>
        <v/>
      </c>
      <c r="AY447" s="35" t="str">
        <f aca="false">IF($B447="","",AQ447)</f>
        <v/>
      </c>
      <c r="AZ447" s="35" t="str">
        <f aca="false">IF($B447="","",AP447+AT447/2)</f>
        <v/>
      </c>
      <c r="BA447" s="35" t="str">
        <f aca="false">IF($B447="","",AK447+AN447+AM447/2+AO447+AP447+AQ447+AR447+AS447+AT447+AU447+AV447+AW447)</f>
        <v/>
      </c>
      <c r="BB447" s="35" t="str">
        <f aca="false">IF($B447="","",MAX(0,AN447-Settings!$C$16)*Settings!$C$17)</f>
        <v/>
      </c>
      <c r="BC447" s="35" t="str">
        <f aca="false">IF($B447="","",BA447-BB447)</f>
        <v/>
      </c>
      <c r="BD447" s="35" t="str">
        <f aca="false">IF(OR($B447="",$A447=""),"",DAY(EOMONTH($A447,0))-COUNTA($F447:$AJ447))</f>
        <v/>
      </c>
    </row>
    <row r="448" customFormat="false" ht="15" hidden="false" customHeight="false" outlineLevel="0" collapsed="false">
      <c r="A448" s="32"/>
      <c r="B448" s="29"/>
      <c r="C448" s="10" t="str">
        <f aca="false">IF($B448="","",IFERROR(INDEX(M_name,MATCH($B448,M_emp,0)),"Code not found"))</f>
        <v/>
      </c>
      <c r="D448" s="10" t="str">
        <f aca="false">IF($B448="","",IFERROR(INDEX(M_dept,MATCH($B448,M_emp,0)),""))</f>
        <v/>
      </c>
      <c r="E448" s="10" t="str">
        <f aca="false">IF($B448="","",IFERROR(INDEX(M_loc,MATCH($B448,M_emp,0)),""))</f>
        <v/>
      </c>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4" t="str">
        <f aca="false">IF($B448="","",COUNTIF($F448:$AJ448,"P"))</f>
        <v/>
      </c>
      <c r="AL448" s="34" t="str">
        <f aca="false">IF($B448="","",COUNTIF($F448:$AJ448,"A"))</f>
        <v/>
      </c>
      <c r="AM448" s="34" t="str">
        <f aca="false">IF($B448="","",COUNTIF($F448:$AJ448,"HA"))</f>
        <v/>
      </c>
      <c r="AN448" s="34" t="str">
        <f aca="false">IF($B448="","",COUNTIF($F448:$AJ448,"L"))</f>
        <v/>
      </c>
      <c r="AO448" s="34" t="str">
        <f aca="false">IF($B448="","",COUNTIF($F448:$AJ448,"PL"))</f>
        <v/>
      </c>
      <c r="AP448" s="34" t="str">
        <f aca="false">IF($B448="","",COUNTIF($F448:$AJ448,"CL"))</f>
        <v/>
      </c>
      <c r="AQ448" s="34" t="str">
        <f aca="false">IF($B448="","",COUNTIF($F448:$AJ448,"SL"))</f>
        <v/>
      </c>
      <c r="AR448" s="34" t="str">
        <f aca="false">IF($B448="","",COUNTIF($F448:$AJ448,"CO"))</f>
        <v/>
      </c>
      <c r="AS448" s="34" t="str">
        <f aca="false">IF($B448="","",COUNTIF($F448:$AJ448,"HPL"))</f>
        <v/>
      </c>
      <c r="AT448" s="34" t="str">
        <f aca="false">IF($B448="","",COUNTIF($F448:$AJ448,"HCL"))</f>
        <v/>
      </c>
      <c r="AU448" s="34" t="str">
        <f aca="false">IF($B448="","",COUNTIF($F448:$AJ448,"WO"))</f>
        <v/>
      </c>
      <c r="AV448" s="34" t="str">
        <f aca="false">IF($B448="","",COUNTIF($F448:$AJ448,"PH"))</f>
        <v/>
      </c>
      <c r="AW448" s="34" t="str">
        <f aca="false">IF($B448="","",COUNTIF($F448:$AJ448,"TR"))</f>
        <v/>
      </c>
      <c r="AX448" s="35" t="str">
        <f aca="false">IF($B448="","",AO448+AS448/2)</f>
        <v/>
      </c>
      <c r="AY448" s="35" t="str">
        <f aca="false">IF($B448="","",AQ448)</f>
        <v/>
      </c>
      <c r="AZ448" s="35" t="str">
        <f aca="false">IF($B448="","",AP448+AT448/2)</f>
        <v/>
      </c>
      <c r="BA448" s="35" t="str">
        <f aca="false">IF($B448="","",AK448+AN448+AM448/2+AO448+AP448+AQ448+AR448+AS448+AT448+AU448+AV448+AW448)</f>
        <v/>
      </c>
      <c r="BB448" s="35" t="str">
        <f aca="false">IF($B448="","",MAX(0,AN448-Settings!$C$16)*Settings!$C$17)</f>
        <v/>
      </c>
      <c r="BC448" s="35" t="str">
        <f aca="false">IF($B448="","",BA448-BB448)</f>
        <v/>
      </c>
      <c r="BD448" s="35" t="str">
        <f aca="false">IF(OR($B448="",$A448=""),"",DAY(EOMONTH($A448,0))-COUNTA($F448:$AJ448))</f>
        <v/>
      </c>
    </row>
    <row r="449" customFormat="false" ht="15" hidden="false" customHeight="false" outlineLevel="0" collapsed="false">
      <c r="A449" s="32"/>
      <c r="B449" s="29"/>
      <c r="C449" s="10" t="str">
        <f aca="false">IF($B449="","",IFERROR(INDEX(M_name,MATCH($B449,M_emp,0)),"Code not found"))</f>
        <v/>
      </c>
      <c r="D449" s="10" t="str">
        <f aca="false">IF($B449="","",IFERROR(INDEX(M_dept,MATCH($B449,M_emp,0)),""))</f>
        <v/>
      </c>
      <c r="E449" s="10" t="str">
        <f aca="false">IF($B449="","",IFERROR(INDEX(M_loc,MATCH($B449,M_emp,0)),""))</f>
        <v/>
      </c>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4" t="str">
        <f aca="false">IF($B449="","",COUNTIF($F449:$AJ449,"P"))</f>
        <v/>
      </c>
      <c r="AL449" s="34" t="str">
        <f aca="false">IF($B449="","",COUNTIF($F449:$AJ449,"A"))</f>
        <v/>
      </c>
      <c r="AM449" s="34" t="str">
        <f aca="false">IF($B449="","",COUNTIF($F449:$AJ449,"HA"))</f>
        <v/>
      </c>
      <c r="AN449" s="34" t="str">
        <f aca="false">IF($B449="","",COUNTIF($F449:$AJ449,"L"))</f>
        <v/>
      </c>
      <c r="AO449" s="34" t="str">
        <f aca="false">IF($B449="","",COUNTIF($F449:$AJ449,"PL"))</f>
        <v/>
      </c>
      <c r="AP449" s="34" t="str">
        <f aca="false">IF($B449="","",COUNTIF($F449:$AJ449,"CL"))</f>
        <v/>
      </c>
      <c r="AQ449" s="34" t="str">
        <f aca="false">IF($B449="","",COUNTIF($F449:$AJ449,"SL"))</f>
        <v/>
      </c>
      <c r="AR449" s="34" t="str">
        <f aca="false">IF($B449="","",COUNTIF($F449:$AJ449,"CO"))</f>
        <v/>
      </c>
      <c r="AS449" s="34" t="str">
        <f aca="false">IF($B449="","",COUNTIF($F449:$AJ449,"HPL"))</f>
        <v/>
      </c>
      <c r="AT449" s="34" t="str">
        <f aca="false">IF($B449="","",COUNTIF($F449:$AJ449,"HCL"))</f>
        <v/>
      </c>
      <c r="AU449" s="34" t="str">
        <f aca="false">IF($B449="","",COUNTIF($F449:$AJ449,"WO"))</f>
        <v/>
      </c>
      <c r="AV449" s="34" t="str">
        <f aca="false">IF($B449="","",COUNTIF($F449:$AJ449,"PH"))</f>
        <v/>
      </c>
      <c r="AW449" s="34" t="str">
        <f aca="false">IF($B449="","",COUNTIF($F449:$AJ449,"TR"))</f>
        <v/>
      </c>
      <c r="AX449" s="35" t="str">
        <f aca="false">IF($B449="","",AO449+AS449/2)</f>
        <v/>
      </c>
      <c r="AY449" s="35" t="str">
        <f aca="false">IF($B449="","",AQ449)</f>
        <v/>
      </c>
      <c r="AZ449" s="35" t="str">
        <f aca="false">IF($B449="","",AP449+AT449/2)</f>
        <v/>
      </c>
      <c r="BA449" s="35" t="str">
        <f aca="false">IF($B449="","",AK449+AN449+AM449/2+AO449+AP449+AQ449+AR449+AS449+AT449+AU449+AV449+AW449)</f>
        <v/>
      </c>
      <c r="BB449" s="35" t="str">
        <f aca="false">IF($B449="","",MAX(0,AN449-Settings!$C$16)*Settings!$C$17)</f>
        <v/>
      </c>
      <c r="BC449" s="35" t="str">
        <f aca="false">IF($B449="","",BA449-BB449)</f>
        <v/>
      </c>
      <c r="BD449" s="35" t="str">
        <f aca="false">IF(OR($B449="",$A449=""),"",DAY(EOMONTH($A449,0))-COUNTA($F449:$AJ449))</f>
        <v/>
      </c>
    </row>
    <row r="450" customFormat="false" ht="15" hidden="false" customHeight="false" outlineLevel="0" collapsed="false">
      <c r="A450" s="32"/>
      <c r="B450" s="29"/>
      <c r="C450" s="10" t="str">
        <f aca="false">IF($B450="","",IFERROR(INDEX(M_name,MATCH($B450,M_emp,0)),"Code not found"))</f>
        <v/>
      </c>
      <c r="D450" s="10" t="str">
        <f aca="false">IF($B450="","",IFERROR(INDEX(M_dept,MATCH($B450,M_emp,0)),""))</f>
        <v/>
      </c>
      <c r="E450" s="10" t="str">
        <f aca="false">IF($B450="","",IFERROR(INDEX(M_loc,MATCH($B450,M_emp,0)),""))</f>
        <v/>
      </c>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4" t="str">
        <f aca="false">IF($B450="","",COUNTIF($F450:$AJ450,"P"))</f>
        <v/>
      </c>
      <c r="AL450" s="34" t="str">
        <f aca="false">IF($B450="","",COUNTIF($F450:$AJ450,"A"))</f>
        <v/>
      </c>
      <c r="AM450" s="34" t="str">
        <f aca="false">IF($B450="","",COUNTIF($F450:$AJ450,"HA"))</f>
        <v/>
      </c>
      <c r="AN450" s="34" t="str">
        <f aca="false">IF($B450="","",COUNTIF($F450:$AJ450,"L"))</f>
        <v/>
      </c>
      <c r="AO450" s="34" t="str">
        <f aca="false">IF($B450="","",COUNTIF($F450:$AJ450,"PL"))</f>
        <v/>
      </c>
      <c r="AP450" s="34" t="str">
        <f aca="false">IF($B450="","",COUNTIF($F450:$AJ450,"CL"))</f>
        <v/>
      </c>
      <c r="AQ450" s="34" t="str">
        <f aca="false">IF($B450="","",COUNTIF($F450:$AJ450,"SL"))</f>
        <v/>
      </c>
      <c r="AR450" s="34" t="str">
        <f aca="false">IF($B450="","",COUNTIF($F450:$AJ450,"CO"))</f>
        <v/>
      </c>
      <c r="AS450" s="34" t="str">
        <f aca="false">IF($B450="","",COUNTIF($F450:$AJ450,"HPL"))</f>
        <v/>
      </c>
      <c r="AT450" s="34" t="str">
        <f aca="false">IF($B450="","",COUNTIF($F450:$AJ450,"HCL"))</f>
        <v/>
      </c>
      <c r="AU450" s="34" t="str">
        <f aca="false">IF($B450="","",COUNTIF($F450:$AJ450,"WO"))</f>
        <v/>
      </c>
      <c r="AV450" s="34" t="str">
        <f aca="false">IF($B450="","",COUNTIF($F450:$AJ450,"PH"))</f>
        <v/>
      </c>
      <c r="AW450" s="34" t="str">
        <f aca="false">IF($B450="","",COUNTIF($F450:$AJ450,"TR"))</f>
        <v/>
      </c>
      <c r="AX450" s="35" t="str">
        <f aca="false">IF($B450="","",AO450+AS450/2)</f>
        <v/>
      </c>
      <c r="AY450" s="35" t="str">
        <f aca="false">IF($B450="","",AQ450)</f>
        <v/>
      </c>
      <c r="AZ450" s="35" t="str">
        <f aca="false">IF($B450="","",AP450+AT450/2)</f>
        <v/>
      </c>
      <c r="BA450" s="35" t="str">
        <f aca="false">IF($B450="","",AK450+AN450+AM450/2+AO450+AP450+AQ450+AR450+AS450+AT450+AU450+AV450+AW450)</f>
        <v/>
      </c>
      <c r="BB450" s="35" t="str">
        <f aca="false">IF($B450="","",MAX(0,AN450-Settings!$C$16)*Settings!$C$17)</f>
        <v/>
      </c>
      <c r="BC450" s="35" t="str">
        <f aca="false">IF($B450="","",BA450-BB450)</f>
        <v/>
      </c>
      <c r="BD450" s="35" t="str">
        <f aca="false">IF(OR($B450="",$A450=""),"",DAY(EOMONTH($A450,0))-COUNTA($F450:$AJ450))</f>
        <v/>
      </c>
    </row>
    <row r="451" customFormat="false" ht="15" hidden="false" customHeight="false" outlineLevel="0" collapsed="false">
      <c r="A451" s="32"/>
      <c r="B451" s="29"/>
      <c r="C451" s="10" t="str">
        <f aca="false">IF($B451="","",IFERROR(INDEX(M_name,MATCH($B451,M_emp,0)),"Code not found"))</f>
        <v/>
      </c>
      <c r="D451" s="10" t="str">
        <f aca="false">IF($B451="","",IFERROR(INDEX(M_dept,MATCH($B451,M_emp,0)),""))</f>
        <v/>
      </c>
      <c r="E451" s="10" t="str">
        <f aca="false">IF($B451="","",IFERROR(INDEX(M_loc,MATCH($B451,M_emp,0)),""))</f>
        <v/>
      </c>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4" t="str">
        <f aca="false">IF($B451="","",COUNTIF($F451:$AJ451,"P"))</f>
        <v/>
      </c>
      <c r="AL451" s="34" t="str">
        <f aca="false">IF($B451="","",COUNTIF($F451:$AJ451,"A"))</f>
        <v/>
      </c>
      <c r="AM451" s="34" t="str">
        <f aca="false">IF($B451="","",COUNTIF($F451:$AJ451,"HA"))</f>
        <v/>
      </c>
      <c r="AN451" s="34" t="str">
        <f aca="false">IF($B451="","",COUNTIF($F451:$AJ451,"L"))</f>
        <v/>
      </c>
      <c r="AO451" s="34" t="str">
        <f aca="false">IF($B451="","",COUNTIF($F451:$AJ451,"PL"))</f>
        <v/>
      </c>
      <c r="AP451" s="34" t="str">
        <f aca="false">IF($B451="","",COUNTIF($F451:$AJ451,"CL"))</f>
        <v/>
      </c>
      <c r="AQ451" s="34" t="str">
        <f aca="false">IF($B451="","",COUNTIF($F451:$AJ451,"SL"))</f>
        <v/>
      </c>
      <c r="AR451" s="34" t="str">
        <f aca="false">IF($B451="","",COUNTIF($F451:$AJ451,"CO"))</f>
        <v/>
      </c>
      <c r="AS451" s="34" t="str">
        <f aca="false">IF($B451="","",COUNTIF($F451:$AJ451,"HPL"))</f>
        <v/>
      </c>
      <c r="AT451" s="34" t="str">
        <f aca="false">IF($B451="","",COUNTIF($F451:$AJ451,"HCL"))</f>
        <v/>
      </c>
      <c r="AU451" s="34" t="str">
        <f aca="false">IF($B451="","",COUNTIF($F451:$AJ451,"WO"))</f>
        <v/>
      </c>
      <c r="AV451" s="34" t="str">
        <f aca="false">IF($B451="","",COUNTIF($F451:$AJ451,"PH"))</f>
        <v/>
      </c>
      <c r="AW451" s="34" t="str">
        <f aca="false">IF($B451="","",COUNTIF($F451:$AJ451,"TR"))</f>
        <v/>
      </c>
      <c r="AX451" s="35" t="str">
        <f aca="false">IF($B451="","",AO451+AS451/2)</f>
        <v/>
      </c>
      <c r="AY451" s="35" t="str">
        <f aca="false">IF($B451="","",AQ451)</f>
        <v/>
      </c>
      <c r="AZ451" s="35" t="str">
        <f aca="false">IF($B451="","",AP451+AT451/2)</f>
        <v/>
      </c>
      <c r="BA451" s="35" t="str">
        <f aca="false">IF($B451="","",AK451+AN451+AM451/2+AO451+AP451+AQ451+AR451+AS451+AT451+AU451+AV451+AW451)</f>
        <v/>
      </c>
      <c r="BB451" s="35" t="str">
        <f aca="false">IF($B451="","",MAX(0,AN451-Settings!$C$16)*Settings!$C$17)</f>
        <v/>
      </c>
      <c r="BC451" s="35" t="str">
        <f aca="false">IF($B451="","",BA451-BB451)</f>
        <v/>
      </c>
      <c r="BD451" s="35" t="str">
        <f aca="false">IF(OR($B451="",$A451=""),"",DAY(EOMONTH($A451,0))-COUNTA($F451:$AJ451))</f>
        <v/>
      </c>
    </row>
    <row r="452" customFormat="false" ht="15" hidden="false" customHeight="false" outlineLevel="0" collapsed="false">
      <c r="A452" s="32"/>
      <c r="B452" s="29"/>
      <c r="C452" s="10" t="str">
        <f aca="false">IF($B452="","",IFERROR(INDEX(M_name,MATCH($B452,M_emp,0)),"Code not found"))</f>
        <v/>
      </c>
      <c r="D452" s="10" t="str">
        <f aca="false">IF($B452="","",IFERROR(INDEX(M_dept,MATCH($B452,M_emp,0)),""))</f>
        <v/>
      </c>
      <c r="E452" s="10" t="str">
        <f aca="false">IF($B452="","",IFERROR(INDEX(M_loc,MATCH($B452,M_emp,0)),""))</f>
        <v/>
      </c>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4" t="str">
        <f aca="false">IF($B452="","",COUNTIF($F452:$AJ452,"P"))</f>
        <v/>
      </c>
      <c r="AL452" s="34" t="str">
        <f aca="false">IF($B452="","",COUNTIF($F452:$AJ452,"A"))</f>
        <v/>
      </c>
      <c r="AM452" s="34" t="str">
        <f aca="false">IF($B452="","",COUNTIF($F452:$AJ452,"HA"))</f>
        <v/>
      </c>
      <c r="AN452" s="34" t="str">
        <f aca="false">IF($B452="","",COUNTIF($F452:$AJ452,"L"))</f>
        <v/>
      </c>
      <c r="AO452" s="34" t="str">
        <f aca="false">IF($B452="","",COUNTIF($F452:$AJ452,"PL"))</f>
        <v/>
      </c>
      <c r="AP452" s="34" t="str">
        <f aca="false">IF($B452="","",COUNTIF($F452:$AJ452,"CL"))</f>
        <v/>
      </c>
      <c r="AQ452" s="34" t="str">
        <f aca="false">IF($B452="","",COUNTIF($F452:$AJ452,"SL"))</f>
        <v/>
      </c>
      <c r="AR452" s="34" t="str">
        <f aca="false">IF($B452="","",COUNTIF($F452:$AJ452,"CO"))</f>
        <v/>
      </c>
      <c r="AS452" s="34" t="str">
        <f aca="false">IF($B452="","",COUNTIF($F452:$AJ452,"HPL"))</f>
        <v/>
      </c>
      <c r="AT452" s="34" t="str">
        <f aca="false">IF($B452="","",COUNTIF($F452:$AJ452,"HCL"))</f>
        <v/>
      </c>
      <c r="AU452" s="34" t="str">
        <f aca="false">IF($B452="","",COUNTIF($F452:$AJ452,"WO"))</f>
        <v/>
      </c>
      <c r="AV452" s="34" t="str">
        <f aca="false">IF($B452="","",COUNTIF($F452:$AJ452,"PH"))</f>
        <v/>
      </c>
      <c r="AW452" s="34" t="str">
        <f aca="false">IF($B452="","",COUNTIF($F452:$AJ452,"TR"))</f>
        <v/>
      </c>
      <c r="AX452" s="35" t="str">
        <f aca="false">IF($B452="","",AO452+AS452/2)</f>
        <v/>
      </c>
      <c r="AY452" s="35" t="str">
        <f aca="false">IF($B452="","",AQ452)</f>
        <v/>
      </c>
      <c r="AZ452" s="35" t="str">
        <f aca="false">IF($B452="","",AP452+AT452/2)</f>
        <v/>
      </c>
      <c r="BA452" s="35" t="str">
        <f aca="false">IF($B452="","",AK452+AN452+AM452/2+AO452+AP452+AQ452+AR452+AS452+AT452+AU452+AV452+AW452)</f>
        <v/>
      </c>
      <c r="BB452" s="35" t="str">
        <f aca="false">IF($B452="","",MAX(0,AN452-Settings!$C$16)*Settings!$C$17)</f>
        <v/>
      </c>
      <c r="BC452" s="35" t="str">
        <f aca="false">IF($B452="","",BA452-BB452)</f>
        <v/>
      </c>
      <c r="BD452" s="35" t="str">
        <f aca="false">IF(OR($B452="",$A452=""),"",DAY(EOMONTH($A452,0))-COUNTA($F452:$AJ452))</f>
        <v/>
      </c>
    </row>
    <row r="453" customFormat="false" ht="15" hidden="false" customHeight="false" outlineLevel="0" collapsed="false">
      <c r="A453" s="32"/>
      <c r="B453" s="29"/>
      <c r="C453" s="10" t="str">
        <f aca="false">IF($B453="","",IFERROR(INDEX(M_name,MATCH($B453,M_emp,0)),"Code not found"))</f>
        <v/>
      </c>
      <c r="D453" s="10" t="str">
        <f aca="false">IF($B453="","",IFERROR(INDEX(M_dept,MATCH($B453,M_emp,0)),""))</f>
        <v/>
      </c>
      <c r="E453" s="10" t="str">
        <f aca="false">IF($B453="","",IFERROR(INDEX(M_loc,MATCH($B453,M_emp,0)),""))</f>
        <v/>
      </c>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4" t="str">
        <f aca="false">IF($B453="","",COUNTIF($F453:$AJ453,"P"))</f>
        <v/>
      </c>
      <c r="AL453" s="34" t="str">
        <f aca="false">IF($B453="","",COUNTIF($F453:$AJ453,"A"))</f>
        <v/>
      </c>
      <c r="AM453" s="34" t="str">
        <f aca="false">IF($B453="","",COUNTIF($F453:$AJ453,"HA"))</f>
        <v/>
      </c>
      <c r="AN453" s="34" t="str">
        <f aca="false">IF($B453="","",COUNTIF($F453:$AJ453,"L"))</f>
        <v/>
      </c>
      <c r="AO453" s="34" t="str">
        <f aca="false">IF($B453="","",COUNTIF($F453:$AJ453,"PL"))</f>
        <v/>
      </c>
      <c r="AP453" s="34" t="str">
        <f aca="false">IF($B453="","",COUNTIF($F453:$AJ453,"CL"))</f>
        <v/>
      </c>
      <c r="AQ453" s="34" t="str">
        <f aca="false">IF($B453="","",COUNTIF($F453:$AJ453,"SL"))</f>
        <v/>
      </c>
      <c r="AR453" s="34" t="str">
        <f aca="false">IF($B453="","",COUNTIF($F453:$AJ453,"CO"))</f>
        <v/>
      </c>
      <c r="AS453" s="34" t="str">
        <f aca="false">IF($B453="","",COUNTIF($F453:$AJ453,"HPL"))</f>
        <v/>
      </c>
      <c r="AT453" s="34" t="str">
        <f aca="false">IF($B453="","",COUNTIF($F453:$AJ453,"HCL"))</f>
        <v/>
      </c>
      <c r="AU453" s="34" t="str">
        <f aca="false">IF($B453="","",COUNTIF($F453:$AJ453,"WO"))</f>
        <v/>
      </c>
      <c r="AV453" s="34" t="str">
        <f aca="false">IF($B453="","",COUNTIF($F453:$AJ453,"PH"))</f>
        <v/>
      </c>
      <c r="AW453" s="34" t="str">
        <f aca="false">IF($B453="","",COUNTIF($F453:$AJ453,"TR"))</f>
        <v/>
      </c>
      <c r="AX453" s="35" t="str">
        <f aca="false">IF($B453="","",AO453+AS453/2)</f>
        <v/>
      </c>
      <c r="AY453" s="35" t="str">
        <f aca="false">IF($B453="","",AQ453)</f>
        <v/>
      </c>
      <c r="AZ453" s="35" t="str">
        <f aca="false">IF($B453="","",AP453+AT453/2)</f>
        <v/>
      </c>
      <c r="BA453" s="35" t="str">
        <f aca="false">IF($B453="","",AK453+AN453+AM453/2+AO453+AP453+AQ453+AR453+AS453+AT453+AU453+AV453+AW453)</f>
        <v/>
      </c>
      <c r="BB453" s="35" t="str">
        <f aca="false">IF($B453="","",MAX(0,AN453-Settings!$C$16)*Settings!$C$17)</f>
        <v/>
      </c>
      <c r="BC453" s="35" t="str">
        <f aca="false">IF($B453="","",BA453-BB453)</f>
        <v/>
      </c>
      <c r="BD453" s="35" t="str">
        <f aca="false">IF(OR($B453="",$A453=""),"",DAY(EOMONTH($A453,0))-COUNTA($F453:$AJ453))</f>
        <v/>
      </c>
    </row>
    <row r="454" customFormat="false" ht="15" hidden="false" customHeight="false" outlineLevel="0" collapsed="false">
      <c r="A454" s="32"/>
      <c r="B454" s="29"/>
      <c r="C454" s="10" t="str">
        <f aca="false">IF($B454="","",IFERROR(INDEX(M_name,MATCH($B454,M_emp,0)),"Code not found"))</f>
        <v/>
      </c>
      <c r="D454" s="10" t="str">
        <f aca="false">IF($B454="","",IFERROR(INDEX(M_dept,MATCH($B454,M_emp,0)),""))</f>
        <v/>
      </c>
      <c r="E454" s="10" t="str">
        <f aca="false">IF($B454="","",IFERROR(INDEX(M_loc,MATCH($B454,M_emp,0)),""))</f>
        <v/>
      </c>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4" t="str">
        <f aca="false">IF($B454="","",COUNTIF($F454:$AJ454,"P"))</f>
        <v/>
      </c>
      <c r="AL454" s="34" t="str">
        <f aca="false">IF($B454="","",COUNTIF($F454:$AJ454,"A"))</f>
        <v/>
      </c>
      <c r="AM454" s="34" t="str">
        <f aca="false">IF($B454="","",COUNTIF($F454:$AJ454,"HA"))</f>
        <v/>
      </c>
      <c r="AN454" s="34" t="str">
        <f aca="false">IF($B454="","",COUNTIF($F454:$AJ454,"L"))</f>
        <v/>
      </c>
      <c r="AO454" s="34" t="str">
        <f aca="false">IF($B454="","",COUNTIF($F454:$AJ454,"PL"))</f>
        <v/>
      </c>
      <c r="AP454" s="34" t="str">
        <f aca="false">IF($B454="","",COUNTIF($F454:$AJ454,"CL"))</f>
        <v/>
      </c>
      <c r="AQ454" s="34" t="str">
        <f aca="false">IF($B454="","",COUNTIF($F454:$AJ454,"SL"))</f>
        <v/>
      </c>
      <c r="AR454" s="34" t="str">
        <f aca="false">IF($B454="","",COUNTIF($F454:$AJ454,"CO"))</f>
        <v/>
      </c>
      <c r="AS454" s="34" t="str">
        <f aca="false">IF($B454="","",COUNTIF($F454:$AJ454,"HPL"))</f>
        <v/>
      </c>
      <c r="AT454" s="34" t="str">
        <f aca="false">IF($B454="","",COUNTIF($F454:$AJ454,"HCL"))</f>
        <v/>
      </c>
      <c r="AU454" s="34" t="str">
        <f aca="false">IF($B454="","",COUNTIF($F454:$AJ454,"WO"))</f>
        <v/>
      </c>
      <c r="AV454" s="34" t="str">
        <f aca="false">IF($B454="","",COUNTIF($F454:$AJ454,"PH"))</f>
        <v/>
      </c>
      <c r="AW454" s="34" t="str">
        <f aca="false">IF($B454="","",COUNTIF($F454:$AJ454,"TR"))</f>
        <v/>
      </c>
      <c r="AX454" s="35" t="str">
        <f aca="false">IF($B454="","",AO454+AS454/2)</f>
        <v/>
      </c>
      <c r="AY454" s="35" t="str">
        <f aca="false">IF($B454="","",AQ454)</f>
        <v/>
      </c>
      <c r="AZ454" s="35" t="str">
        <f aca="false">IF($B454="","",AP454+AT454/2)</f>
        <v/>
      </c>
      <c r="BA454" s="35" t="str">
        <f aca="false">IF($B454="","",AK454+AN454+AM454/2+AO454+AP454+AQ454+AR454+AS454+AT454+AU454+AV454+AW454)</f>
        <v/>
      </c>
      <c r="BB454" s="35" t="str">
        <f aca="false">IF($B454="","",MAX(0,AN454-Settings!$C$16)*Settings!$C$17)</f>
        <v/>
      </c>
      <c r="BC454" s="35" t="str">
        <f aca="false">IF($B454="","",BA454-BB454)</f>
        <v/>
      </c>
      <c r="BD454" s="35" t="str">
        <f aca="false">IF(OR($B454="",$A454=""),"",DAY(EOMONTH($A454,0))-COUNTA($F454:$AJ454))</f>
        <v/>
      </c>
    </row>
    <row r="455" customFormat="false" ht="15" hidden="false" customHeight="false" outlineLevel="0" collapsed="false">
      <c r="A455" s="32"/>
      <c r="B455" s="29"/>
      <c r="C455" s="10" t="str">
        <f aca="false">IF($B455="","",IFERROR(INDEX(M_name,MATCH($B455,M_emp,0)),"Code not found"))</f>
        <v/>
      </c>
      <c r="D455" s="10" t="str">
        <f aca="false">IF($B455="","",IFERROR(INDEX(M_dept,MATCH($B455,M_emp,0)),""))</f>
        <v/>
      </c>
      <c r="E455" s="10" t="str">
        <f aca="false">IF($B455="","",IFERROR(INDEX(M_loc,MATCH($B455,M_emp,0)),""))</f>
        <v/>
      </c>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4" t="str">
        <f aca="false">IF($B455="","",COUNTIF($F455:$AJ455,"P"))</f>
        <v/>
      </c>
      <c r="AL455" s="34" t="str">
        <f aca="false">IF($B455="","",COUNTIF($F455:$AJ455,"A"))</f>
        <v/>
      </c>
      <c r="AM455" s="34" t="str">
        <f aca="false">IF($B455="","",COUNTIF($F455:$AJ455,"HA"))</f>
        <v/>
      </c>
      <c r="AN455" s="34" t="str">
        <f aca="false">IF($B455="","",COUNTIF($F455:$AJ455,"L"))</f>
        <v/>
      </c>
      <c r="AO455" s="34" t="str">
        <f aca="false">IF($B455="","",COUNTIF($F455:$AJ455,"PL"))</f>
        <v/>
      </c>
      <c r="AP455" s="34" t="str">
        <f aca="false">IF($B455="","",COUNTIF($F455:$AJ455,"CL"))</f>
        <v/>
      </c>
      <c r="AQ455" s="34" t="str">
        <f aca="false">IF($B455="","",COUNTIF($F455:$AJ455,"SL"))</f>
        <v/>
      </c>
      <c r="AR455" s="34" t="str">
        <f aca="false">IF($B455="","",COUNTIF($F455:$AJ455,"CO"))</f>
        <v/>
      </c>
      <c r="AS455" s="34" t="str">
        <f aca="false">IF($B455="","",COUNTIF($F455:$AJ455,"HPL"))</f>
        <v/>
      </c>
      <c r="AT455" s="34" t="str">
        <f aca="false">IF($B455="","",COUNTIF($F455:$AJ455,"HCL"))</f>
        <v/>
      </c>
      <c r="AU455" s="34" t="str">
        <f aca="false">IF($B455="","",COUNTIF($F455:$AJ455,"WO"))</f>
        <v/>
      </c>
      <c r="AV455" s="34" t="str">
        <f aca="false">IF($B455="","",COUNTIF($F455:$AJ455,"PH"))</f>
        <v/>
      </c>
      <c r="AW455" s="34" t="str">
        <f aca="false">IF($B455="","",COUNTIF($F455:$AJ455,"TR"))</f>
        <v/>
      </c>
      <c r="AX455" s="35" t="str">
        <f aca="false">IF($B455="","",AO455+AS455/2)</f>
        <v/>
      </c>
      <c r="AY455" s="35" t="str">
        <f aca="false">IF($B455="","",AQ455)</f>
        <v/>
      </c>
      <c r="AZ455" s="35" t="str">
        <f aca="false">IF($B455="","",AP455+AT455/2)</f>
        <v/>
      </c>
      <c r="BA455" s="35" t="str">
        <f aca="false">IF($B455="","",AK455+AN455+AM455/2+AO455+AP455+AQ455+AR455+AS455+AT455+AU455+AV455+AW455)</f>
        <v/>
      </c>
      <c r="BB455" s="35" t="str">
        <f aca="false">IF($B455="","",MAX(0,AN455-Settings!$C$16)*Settings!$C$17)</f>
        <v/>
      </c>
      <c r="BC455" s="35" t="str">
        <f aca="false">IF($B455="","",BA455-BB455)</f>
        <v/>
      </c>
      <c r="BD455" s="35" t="str">
        <f aca="false">IF(OR($B455="",$A455=""),"",DAY(EOMONTH($A455,0))-COUNTA($F455:$AJ455))</f>
        <v/>
      </c>
    </row>
    <row r="456" customFormat="false" ht="15" hidden="false" customHeight="false" outlineLevel="0" collapsed="false">
      <c r="A456" s="32"/>
      <c r="B456" s="29"/>
      <c r="C456" s="10" t="str">
        <f aca="false">IF($B456="","",IFERROR(INDEX(M_name,MATCH($B456,M_emp,0)),"Code not found"))</f>
        <v/>
      </c>
      <c r="D456" s="10" t="str">
        <f aca="false">IF($B456="","",IFERROR(INDEX(M_dept,MATCH($B456,M_emp,0)),""))</f>
        <v/>
      </c>
      <c r="E456" s="10" t="str">
        <f aca="false">IF($B456="","",IFERROR(INDEX(M_loc,MATCH($B456,M_emp,0)),""))</f>
        <v/>
      </c>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4" t="str">
        <f aca="false">IF($B456="","",COUNTIF($F456:$AJ456,"P"))</f>
        <v/>
      </c>
      <c r="AL456" s="34" t="str">
        <f aca="false">IF($B456="","",COUNTIF($F456:$AJ456,"A"))</f>
        <v/>
      </c>
      <c r="AM456" s="34" t="str">
        <f aca="false">IF($B456="","",COUNTIF($F456:$AJ456,"HA"))</f>
        <v/>
      </c>
      <c r="AN456" s="34" t="str">
        <f aca="false">IF($B456="","",COUNTIF($F456:$AJ456,"L"))</f>
        <v/>
      </c>
      <c r="AO456" s="34" t="str">
        <f aca="false">IF($B456="","",COUNTIF($F456:$AJ456,"PL"))</f>
        <v/>
      </c>
      <c r="AP456" s="34" t="str">
        <f aca="false">IF($B456="","",COUNTIF($F456:$AJ456,"CL"))</f>
        <v/>
      </c>
      <c r="AQ456" s="34" t="str">
        <f aca="false">IF($B456="","",COUNTIF($F456:$AJ456,"SL"))</f>
        <v/>
      </c>
      <c r="AR456" s="34" t="str">
        <f aca="false">IF($B456="","",COUNTIF($F456:$AJ456,"CO"))</f>
        <v/>
      </c>
      <c r="AS456" s="34" t="str">
        <f aca="false">IF($B456="","",COUNTIF($F456:$AJ456,"HPL"))</f>
        <v/>
      </c>
      <c r="AT456" s="34" t="str">
        <f aca="false">IF($B456="","",COUNTIF($F456:$AJ456,"HCL"))</f>
        <v/>
      </c>
      <c r="AU456" s="34" t="str">
        <f aca="false">IF($B456="","",COUNTIF($F456:$AJ456,"WO"))</f>
        <v/>
      </c>
      <c r="AV456" s="34" t="str">
        <f aca="false">IF($B456="","",COUNTIF($F456:$AJ456,"PH"))</f>
        <v/>
      </c>
      <c r="AW456" s="34" t="str">
        <f aca="false">IF($B456="","",COUNTIF($F456:$AJ456,"TR"))</f>
        <v/>
      </c>
      <c r="AX456" s="35" t="str">
        <f aca="false">IF($B456="","",AO456+AS456/2)</f>
        <v/>
      </c>
      <c r="AY456" s="35" t="str">
        <f aca="false">IF($B456="","",AQ456)</f>
        <v/>
      </c>
      <c r="AZ456" s="35" t="str">
        <f aca="false">IF($B456="","",AP456+AT456/2)</f>
        <v/>
      </c>
      <c r="BA456" s="35" t="str">
        <f aca="false">IF($B456="","",AK456+AN456+AM456/2+AO456+AP456+AQ456+AR456+AS456+AT456+AU456+AV456+AW456)</f>
        <v/>
      </c>
      <c r="BB456" s="35" t="str">
        <f aca="false">IF($B456="","",MAX(0,AN456-Settings!$C$16)*Settings!$C$17)</f>
        <v/>
      </c>
      <c r="BC456" s="35" t="str">
        <f aca="false">IF($B456="","",BA456-BB456)</f>
        <v/>
      </c>
      <c r="BD456" s="35" t="str">
        <f aca="false">IF(OR($B456="",$A456=""),"",DAY(EOMONTH($A456,0))-COUNTA($F456:$AJ456))</f>
        <v/>
      </c>
    </row>
    <row r="457" customFormat="false" ht="15" hidden="false" customHeight="false" outlineLevel="0" collapsed="false">
      <c r="A457" s="32"/>
      <c r="B457" s="29"/>
      <c r="C457" s="10" t="str">
        <f aca="false">IF($B457="","",IFERROR(INDEX(M_name,MATCH($B457,M_emp,0)),"Code not found"))</f>
        <v/>
      </c>
      <c r="D457" s="10" t="str">
        <f aca="false">IF($B457="","",IFERROR(INDEX(M_dept,MATCH($B457,M_emp,0)),""))</f>
        <v/>
      </c>
      <c r="E457" s="10" t="str">
        <f aca="false">IF($B457="","",IFERROR(INDEX(M_loc,MATCH($B457,M_emp,0)),""))</f>
        <v/>
      </c>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4" t="str">
        <f aca="false">IF($B457="","",COUNTIF($F457:$AJ457,"P"))</f>
        <v/>
      </c>
      <c r="AL457" s="34" t="str">
        <f aca="false">IF($B457="","",COUNTIF($F457:$AJ457,"A"))</f>
        <v/>
      </c>
      <c r="AM457" s="34" t="str">
        <f aca="false">IF($B457="","",COUNTIF($F457:$AJ457,"HA"))</f>
        <v/>
      </c>
      <c r="AN457" s="34" t="str">
        <f aca="false">IF($B457="","",COUNTIF($F457:$AJ457,"L"))</f>
        <v/>
      </c>
      <c r="AO457" s="34" t="str">
        <f aca="false">IF($B457="","",COUNTIF($F457:$AJ457,"PL"))</f>
        <v/>
      </c>
      <c r="AP457" s="34" t="str">
        <f aca="false">IF($B457="","",COUNTIF($F457:$AJ457,"CL"))</f>
        <v/>
      </c>
      <c r="AQ457" s="34" t="str">
        <f aca="false">IF($B457="","",COUNTIF($F457:$AJ457,"SL"))</f>
        <v/>
      </c>
      <c r="AR457" s="34" t="str">
        <f aca="false">IF($B457="","",COUNTIF($F457:$AJ457,"CO"))</f>
        <v/>
      </c>
      <c r="AS457" s="34" t="str">
        <f aca="false">IF($B457="","",COUNTIF($F457:$AJ457,"HPL"))</f>
        <v/>
      </c>
      <c r="AT457" s="34" t="str">
        <f aca="false">IF($B457="","",COUNTIF($F457:$AJ457,"HCL"))</f>
        <v/>
      </c>
      <c r="AU457" s="34" t="str">
        <f aca="false">IF($B457="","",COUNTIF($F457:$AJ457,"WO"))</f>
        <v/>
      </c>
      <c r="AV457" s="34" t="str">
        <f aca="false">IF($B457="","",COUNTIF($F457:$AJ457,"PH"))</f>
        <v/>
      </c>
      <c r="AW457" s="34" t="str">
        <f aca="false">IF($B457="","",COUNTIF($F457:$AJ457,"TR"))</f>
        <v/>
      </c>
      <c r="AX457" s="35" t="str">
        <f aca="false">IF($B457="","",AO457+AS457/2)</f>
        <v/>
      </c>
      <c r="AY457" s="35" t="str">
        <f aca="false">IF($B457="","",AQ457)</f>
        <v/>
      </c>
      <c r="AZ457" s="35" t="str">
        <f aca="false">IF($B457="","",AP457+AT457/2)</f>
        <v/>
      </c>
      <c r="BA457" s="35" t="str">
        <f aca="false">IF($B457="","",AK457+AN457+AM457/2+AO457+AP457+AQ457+AR457+AS457+AT457+AU457+AV457+AW457)</f>
        <v/>
      </c>
      <c r="BB457" s="35" t="str">
        <f aca="false">IF($B457="","",MAX(0,AN457-Settings!$C$16)*Settings!$C$17)</f>
        <v/>
      </c>
      <c r="BC457" s="35" t="str">
        <f aca="false">IF($B457="","",BA457-BB457)</f>
        <v/>
      </c>
      <c r="BD457" s="35" t="str">
        <f aca="false">IF(OR($B457="",$A457=""),"",DAY(EOMONTH($A457,0))-COUNTA($F457:$AJ457))</f>
        <v/>
      </c>
    </row>
    <row r="458" customFormat="false" ht="15" hidden="false" customHeight="false" outlineLevel="0" collapsed="false">
      <c r="A458" s="32"/>
      <c r="B458" s="29"/>
      <c r="C458" s="10" t="str">
        <f aca="false">IF($B458="","",IFERROR(INDEX(M_name,MATCH($B458,M_emp,0)),"Code not found"))</f>
        <v/>
      </c>
      <c r="D458" s="10" t="str">
        <f aca="false">IF($B458="","",IFERROR(INDEX(M_dept,MATCH($B458,M_emp,0)),""))</f>
        <v/>
      </c>
      <c r="E458" s="10" t="str">
        <f aca="false">IF($B458="","",IFERROR(INDEX(M_loc,MATCH($B458,M_emp,0)),""))</f>
        <v/>
      </c>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4" t="str">
        <f aca="false">IF($B458="","",COUNTIF($F458:$AJ458,"P"))</f>
        <v/>
      </c>
      <c r="AL458" s="34" t="str">
        <f aca="false">IF($B458="","",COUNTIF($F458:$AJ458,"A"))</f>
        <v/>
      </c>
      <c r="AM458" s="34" t="str">
        <f aca="false">IF($B458="","",COUNTIF($F458:$AJ458,"HA"))</f>
        <v/>
      </c>
      <c r="AN458" s="34" t="str">
        <f aca="false">IF($B458="","",COUNTIF($F458:$AJ458,"L"))</f>
        <v/>
      </c>
      <c r="AO458" s="34" t="str">
        <f aca="false">IF($B458="","",COUNTIF($F458:$AJ458,"PL"))</f>
        <v/>
      </c>
      <c r="AP458" s="34" t="str">
        <f aca="false">IF($B458="","",COUNTIF($F458:$AJ458,"CL"))</f>
        <v/>
      </c>
      <c r="AQ458" s="34" t="str">
        <f aca="false">IF($B458="","",COUNTIF($F458:$AJ458,"SL"))</f>
        <v/>
      </c>
      <c r="AR458" s="34" t="str">
        <f aca="false">IF($B458="","",COUNTIF($F458:$AJ458,"CO"))</f>
        <v/>
      </c>
      <c r="AS458" s="34" t="str">
        <f aca="false">IF($B458="","",COUNTIF($F458:$AJ458,"HPL"))</f>
        <v/>
      </c>
      <c r="AT458" s="34" t="str">
        <f aca="false">IF($B458="","",COUNTIF($F458:$AJ458,"HCL"))</f>
        <v/>
      </c>
      <c r="AU458" s="34" t="str">
        <f aca="false">IF($B458="","",COUNTIF($F458:$AJ458,"WO"))</f>
        <v/>
      </c>
      <c r="AV458" s="34" t="str">
        <f aca="false">IF($B458="","",COUNTIF($F458:$AJ458,"PH"))</f>
        <v/>
      </c>
      <c r="AW458" s="34" t="str">
        <f aca="false">IF($B458="","",COUNTIF($F458:$AJ458,"TR"))</f>
        <v/>
      </c>
      <c r="AX458" s="35" t="str">
        <f aca="false">IF($B458="","",AO458+AS458/2)</f>
        <v/>
      </c>
      <c r="AY458" s="35" t="str">
        <f aca="false">IF($B458="","",AQ458)</f>
        <v/>
      </c>
      <c r="AZ458" s="35" t="str">
        <f aca="false">IF($B458="","",AP458+AT458/2)</f>
        <v/>
      </c>
      <c r="BA458" s="35" t="str">
        <f aca="false">IF($B458="","",AK458+AN458+AM458/2+AO458+AP458+AQ458+AR458+AS458+AT458+AU458+AV458+AW458)</f>
        <v/>
      </c>
      <c r="BB458" s="35" t="str">
        <f aca="false">IF($B458="","",MAX(0,AN458-Settings!$C$16)*Settings!$C$17)</f>
        <v/>
      </c>
      <c r="BC458" s="35" t="str">
        <f aca="false">IF($B458="","",BA458-BB458)</f>
        <v/>
      </c>
      <c r="BD458" s="35" t="str">
        <f aca="false">IF(OR($B458="",$A458=""),"",DAY(EOMONTH($A458,0))-COUNTA($F458:$AJ458))</f>
        <v/>
      </c>
    </row>
    <row r="459" customFormat="false" ht="15" hidden="false" customHeight="false" outlineLevel="0" collapsed="false">
      <c r="A459" s="32"/>
      <c r="B459" s="29"/>
      <c r="C459" s="10" t="str">
        <f aca="false">IF($B459="","",IFERROR(INDEX(M_name,MATCH($B459,M_emp,0)),"Code not found"))</f>
        <v/>
      </c>
      <c r="D459" s="10" t="str">
        <f aca="false">IF($B459="","",IFERROR(INDEX(M_dept,MATCH($B459,M_emp,0)),""))</f>
        <v/>
      </c>
      <c r="E459" s="10" t="str">
        <f aca="false">IF($B459="","",IFERROR(INDEX(M_loc,MATCH($B459,M_emp,0)),""))</f>
        <v/>
      </c>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4" t="str">
        <f aca="false">IF($B459="","",COUNTIF($F459:$AJ459,"P"))</f>
        <v/>
      </c>
      <c r="AL459" s="34" t="str">
        <f aca="false">IF($B459="","",COUNTIF($F459:$AJ459,"A"))</f>
        <v/>
      </c>
      <c r="AM459" s="34" t="str">
        <f aca="false">IF($B459="","",COUNTIF($F459:$AJ459,"HA"))</f>
        <v/>
      </c>
      <c r="AN459" s="34" t="str">
        <f aca="false">IF($B459="","",COUNTIF($F459:$AJ459,"L"))</f>
        <v/>
      </c>
      <c r="AO459" s="34" t="str">
        <f aca="false">IF($B459="","",COUNTIF($F459:$AJ459,"PL"))</f>
        <v/>
      </c>
      <c r="AP459" s="34" t="str">
        <f aca="false">IF($B459="","",COUNTIF($F459:$AJ459,"CL"))</f>
        <v/>
      </c>
      <c r="AQ459" s="34" t="str">
        <f aca="false">IF($B459="","",COUNTIF($F459:$AJ459,"SL"))</f>
        <v/>
      </c>
      <c r="AR459" s="34" t="str">
        <f aca="false">IF($B459="","",COUNTIF($F459:$AJ459,"CO"))</f>
        <v/>
      </c>
      <c r="AS459" s="34" t="str">
        <f aca="false">IF($B459="","",COUNTIF($F459:$AJ459,"HPL"))</f>
        <v/>
      </c>
      <c r="AT459" s="34" t="str">
        <f aca="false">IF($B459="","",COUNTIF($F459:$AJ459,"HCL"))</f>
        <v/>
      </c>
      <c r="AU459" s="34" t="str">
        <f aca="false">IF($B459="","",COUNTIF($F459:$AJ459,"WO"))</f>
        <v/>
      </c>
      <c r="AV459" s="34" t="str">
        <f aca="false">IF($B459="","",COUNTIF($F459:$AJ459,"PH"))</f>
        <v/>
      </c>
      <c r="AW459" s="34" t="str">
        <f aca="false">IF($B459="","",COUNTIF($F459:$AJ459,"TR"))</f>
        <v/>
      </c>
      <c r="AX459" s="35" t="str">
        <f aca="false">IF($B459="","",AO459+AS459/2)</f>
        <v/>
      </c>
      <c r="AY459" s="35" t="str">
        <f aca="false">IF($B459="","",AQ459)</f>
        <v/>
      </c>
      <c r="AZ459" s="35" t="str">
        <f aca="false">IF($B459="","",AP459+AT459/2)</f>
        <v/>
      </c>
      <c r="BA459" s="35" t="str">
        <f aca="false">IF($B459="","",AK459+AN459+AM459/2+AO459+AP459+AQ459+AR459+AS459+AT459+AU459+AV459+AW459)</f>
        <v/>
      </c>
      <c r="BB459" s="35" t="str">
        <f aca="false">IF($B459="","",MAX(0,AN459-Settings!$C$16)*Settings!$C$17)</f>
        <v/>
      </c>
      <c r="BC459" s="35" t="str">
        <f aca="false">IF($B459="","",BA459-BB459)</f>
        <v/>
      </c>
      <c r="BD459" s="35" t="str">
        <f aca="false">IF(OR($B459="",$A459=""),"",DAY(EOMONTH($A459,0))-COUNTA($F459:$AJ459))</f>
        <v/>
      </c>
    </row>
    <row r="460" customFormat="false" ht="15" hidden="false" customHeight="false" outlineLevel="0" collapsed="false">
      <c r="A460" s="32"/>
      <c r="B460" s="29"/>
      <c r="C460" s="10" t="str">
        <f aca="false">IF($B460="","",IFERROR(INDEX(M_name,MATCH($B460,M_emp,0)),"Code not found"))</f>
        <v/>
      </c>
      <c r="D460" s="10" t="str">
        <f aca="false">IF($B460="","",IFERROR(INDEX(M_dept,MATCH($B460,M_emp,0)),""))</f>
        <v/>
      </c>
      <c r="E460" s="10" t="str">
        <f aca="false">IF($B460="","",IFERROR(INDEX(M_loc,MATCH($B460,M_emp,0)),""))</f>
        <v/>
      </c>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4" t="str">
        <f aca="false">IF($B460="","",COUNTIF($F460:$AJ460,"P"))</f>
        <v/>
      </c>
      <c r="AL460" s="34" t="str">
        <f aca="false">IF($B460="","",COUNTIF($F460:$AJ460,"A"))</f>
        <v/>
      </c>
      <c r="AM460" s="34" t="str">
        <f aca="false">IF($B460="","",COUNTIF($F460:$AJ460,"HA"))</f>
        <v/>
      </c>
      <c r="AN460" s="34" t="str">
        <f aca="false">IF($B460="","",COUNTIF($F460:$AJ460,"L"))</f>
        <v/>
      </c>
      <c r="AO460" s="34" t="str">
        <f aca="false">IF($B460="","",COUNTIF($F460:$AJ460,"PL"))</f>
        <v/>
      </c>
      <c r="AP460" s="34" t="str">
        <f aca="false">IF($B460="","",COUNTIF($F460:$AJ460,"CL"))</f>
        <v/>
      </c>
      <c r="AQ460" s="34" t="str">
        <f aca="false">IF($B460="","",COUNTIF($F460:$AJ460,"SL"))</f>
        <v/>
      </c>
      <c r="AR460" s="34" t="str">
        <f aca="false">IF($B460="","",COUNTIF($F460:$AJ460,"CO"))</f>
        <v/>
      </c>
      <c r="AS460" s="34" t="str">
        <f aca="false">IF($B460="","",COUNTIF($F460:$AJ460,"HPL"))</f>
        <v/>
      </c>
      <c r="AT460" s="34" t="str">
        <f aca="false">IF($B460="","",COUNTIF($F460:$AJ460,"HCL"))</f>
        <v/>
      </c>
      <c r="AU460" s="34" t="str">
        <f aca="false">IF($B460="","",COUNTIF($F460:$AJ460,"WO"))</f>
        <v/>
      </c>
      <c r="AV460" s="34" t="str">
        <f aca="false">IF($B460="","",COUNTIF($F460:$AJ460,"PH"))</f>
        <v/>
      </c>
      <c r="AW460" s="34" t="str">
        <f aca="false">IF($B460="","",COUNTIF($F460:$AJ460,"TR"))</f>
        <v/>
      </c>
      <c r="AX460" s="35" t="str">
        <f aca="false">IF($B460="","",AO460+AS460/2)</f>
        <v/>
      </c>
      <c r="AY460" s="35" t="str">
        <f aca="false">IF($B460="","",AQ460)</f>
        <v/>
      </c>
      <c r="AZ460" s="35" t="str">
        <f aca="false">IF($B460="","",AP460+AT460/2)</f>
        <v/>
      </c>
      <c r="BA460" s="35" t="str">
        <f aca="false">IF($B460="","",AK460+AN460+AM460/2+AO460+AP460+AQ460+AR460+AS460+AT460+AU460+AV460+AW460)</f>
        <v/>
      </c>
      <c r="BB460" s="35" t="str">
        <f aca="false">IF($B460="","",MAX(0,AN460-Settings!$C$16)*Settings!$C$17)</f>
        <v/>
      </c>
      <c r="BC460" s="35" t="str">
        <f aca="false">IF($B460="","",BA460-BB460)</f>
        <v/>
      </c>
      <c r="BD460" s="35" t="str">
        <f aca="false">IF(OR($B460="",$A460=""),"",DAY(EOMONTH($A460,0))-COUNTA($F460:$AJ460))</f>
        <v/>
      </c>
    </row>
    <row r="461" customFormat="false" ht="15" hidden="false" customHeight="false" outlineLevel="0" collapsed="false">
      <c r="A461" s="32"/>
      <c r="B461" s="29"/>
      <c r="C461" s="10" t="str">
        <f aca="false">IF($B461="","",IFERROR(INDEX(M_name,MATCH($B461,M_emp,0)),"Code not found"))</f>
        <v/>
      </c>
      <c r="D461" s="10" t="str">
        <f aca="false">IF($B461="","",IFERROR(INDEX(M_dept,MATCH($B461,M_emp,0)),""))</f>
        <v/>
      </c>
      <c r="E461" s="10" t="str">
        <f aca="false">IF($B461="","",IFERROR(INDEX(M_loc,MATCH($B461,M_emp,0)),""))</f>
        <v/>
      </c>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4" t="str">
        <f aca="false">IF($B461="","",COUNTIF($F461:$AJ461,"P"))</f>
        <v/>
      </c>
      <c r="AL461" s="34" t="str">
        <f aca="false">IF($B461="","",COUNTIF($F461:$AJ461,"A"))</f>
        <v/>
      </c>
      <c r="AM461" s="34" t="str">
        <f aca="false">IF($B461="","",COUNTIF($F461:$AJ461,"HA"))</f>
        <v/>
      </c>
      <c r="AN461" s="34" t="str">
        <f aca="false">IF($B461="","",COUNTIF($F461:$AJ461,"L"))</f>
        <v/>
      </c>
      <c r="AO461" s="34" t="str">
        <f aca="false">IF($B461="","",COUNTIF($F461:$AJ461,"PL"))</f>
        <v/>
      </c>
      <c r="AP461" s="34" t="str">
        <f aca="false">IF($B461="","",COUNTIF($F461:$AJ461,"CL"))</f>
        <v/>
      </c>
      <c r="AQ461" s="34" t="str">
        <f aca="false">IF($B461="","",COUNTIF($F461:$AJ461,"SL"))</f>
        <v/>
      </c>
      <c r="AR461" s="34" t="str">
        <f aca="false">IF($B461="","",COUNTIF($F461:$AJ461,"CO"))</f>
        <v/>
      </c>
      <c r="AS461" s="34" t="str">
        <f aca="false">IF($B461="","",COUNTIF($F461:$AJ461,"HPL"))</f>
        <v/>
      </c>
      <c r="AT461" s="34" t="str">
        <f aca="false">IF($B461="","",COUNTIF($F461:$AJ461,"HCL"))</f>
        <v/>
      </c>
      <c r="AU461" s="34" t="str">
        <f aca="false">IF($B461="","",COUNTIF($F461:$AJ461,"WO"))</f>
        <v/>
      </c>
      <c r="AV461" s="34" t="str">
        <f aca="false">IF($B461="","",COUNTIF($F461:$AJ461,"PH"))</f>
        <v/>
      </c>
      <c r="AW461" s="34" t="str">
        <f aca="false">IF($B461="","",COUNTIF($F461:$AJ461,"TR"))</f>
        <v/>
      </c>
      <c r="AX461" s="35" t="str">
        <f aca="false">IF($B461="","",AO461+AS461/2)</f>
        <v/>
      </c>
      <c r="AY461" s="35" t="str">
        <f aca="false">IF($B461="","",AQ461)</f>
        <v/>
      </c>
      <c r="AZ461" s="35" t="str">
        <f aca="false">IF($B461="","",AP461+AT461/2)</f>
        <v/>
      </c>
      <c r="BA461" s="35" t="str">
        <f aca="false">IF($B461="","",AK461+AN461+AM461/2+AO461+AP461+AQ461+AR461+AS461+AT461+AU461+AV461+AW461)</f>
        <v/>
      </c>
      <c r="BB461" s="35" t="str">
        <f aca="false">IF($B461="","",MAX(0,AN461-Settings!$C$16)*Settings!$C$17)</f>
        <v/>
      </c>
      <c r="BC461" s="35" t="str">
        <f aca="false">IF($B461="","",BA461-BB461)</f>
        <v/>
      </c>
      <c r="BD461" s="35" t="str">
        <f aca="false">IF(OR($B461="",$A461=""),"",DAY(EOMONTH($A461,0))-COUNTA($F461:$AJ461))</f>
        <v/>
      </c>
    </row>
    <row r="462" customFormat="false" ht="15" hidden="false" customHeight="false" outlineLevel="0" collapsed="false">
      <c r="A462" s="32"/>
      <c r="B462" s="29"/>
      <c r="C462" s="10" t="str">
        <f aca="false">IF($B462="","",IFERROR(INDEX(M_name,MATCH($B462,M_emp,0)),"Code not found"))</f>
        <v/>
      </c>
      <c r="D462" s="10" t="str">
        <f aca="false">IF($B462="","",IFERROR(INDEX(M_dept,MATCH($B462,M_emp,0)),""))</f>
        <v/>
      </c>
      <c r="E462" s="10" t="str">
        <f aca="false">IF($B462="","",IFERROR(INDEX(M_loc,MATCH($B462,M_emp,0)),""))</f>
        <v/>
      </c>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4" t="str">
        <f aca="false">IF($B462="","",COUNTIF($F462:$AJ462,"P"))</f>
        <v/>
      </c>
      <c r="AL462" s="34" t="str">
        <f aca="false">IF($B462="","",COUNTIF($F462:$AJ462,"A"))</f>
        <v/>
      </c>
      <c r="AM462" s="34" t="str">
        <f aca="false">IF($B462="","",COUNTIF($F462:$AJ462,"HA"))</f>
        <v/>
      </c>
      <c r="AN462" s="34" t="str">
        <f aca="false">IF($B462="","",COUNTIF($F462:$AJ462,"L"))</f>
        <v/>
      </c>
      <c r="AO462" s="34" t="str">
        <f aca="false">IF($B462="","",COUNTIF($F462:$AJ462,"PL"))</f>
        <v/>
      </c>
      <c r="AP462" s="34" t="str">
        <f aca="false">IF($B462="","",COUNTIF($F462:$AJ462,"CL"))</f>
        <v/>
      </c>
      <c r="AQ462" s="34" t="str">
        <f aca="false">IF($B462="","",COUNTIF($F462:$AJ462,"SL"))</f>
        <v/>
      </c>
      <c r="AR462" s="34" t="str">
        <f aca="false">IF($B462="","",COUNTIF($F462:$AJ462,"CO"))</f>
        <v/>
      </c>
      <c r="AS462" s="34" t="str">
        <f aca="false">IF($B462="","",COUNTIF($F462:$AJ462,"HPL"))</f>
        <v/>
      </c>
      <c r="AT462" s="34" t="str">
        <f aca="false">IF($B462="","",COUNTIF($F462:$AJ462,"HCL"))</f>
        <v/>
      </c>
      <c r="AU462" s="34" t="str">
        <f aca="false">IF($B462="","",COUNTIF($F462:$AJ462,"WO"))</f>
        <v/>
      </c>
      <c r="AV462" s="34" t="str">
        <f aca="false">IF($B462="","",COUNTIF($F462:$AJ462,"PH"))</f>
        <v/>
      </c>
      <c r="AW462" s="34" t="str">
        <f aca="false">IF($B462="","",COUNTIF($F462:$AJ462,"TR"))</f>
        <v/>
      </c>
      <c r="AX462" s="35" t="str">
        <f aca="false">IF($B462="","",AO462+AS462/2)</f>
        <v/>
      </c>
      <c r="AY462" s="35" t="str">
        <f aca="false">IF($B462="","",AQ462)</f>
        <v/>
      </c>
      <c r="AZ462" s="35" t="str">
        <f aca="false">IF($B462="","",AP462+AT462/2)</f>
        <v/>
      </c>
      <c r="BA462" s="35" t="str">
        <f aca="false">IF($B462="","",AK462+AN462+AM462/2+AO462+AP462+AQ462+AR462+AS462+AT462+AU462+AV462+AW462)</f>
        <v/>
      </c>
      <c r="BB462" s="35" t="str">
        <f aca="false">IF($B462="","",MAX(0,AN462-Settings!$C$16)*Settings!$C$17)</f>
        <v/>
      </c>
      <c r="BC462" s="35" t="str">
        <f aca="false">IF($B462="","",BA462-BB462)</f>
        <v/>
      </c>
      <c r="BD462" s="35" t="str">
        <f aca="false">IF(OR($B462="",$A462=""),"",DAY(EOMONTH($A462,0))-COUNTA($F462:$AJ462))</f>
        <v/>
      </c>
    </row>
    <row r="463" customFormat="false" ht="15" hidden="false" customHeight="false" outlineLevel="0" collapsed="false">
      <c r="A463" s="32"/>
      <c r="B463" s="29"/>
      <c r="C463" s="10" t="str">
        <f aca="false">IF($B463="","",IFERROR(INDEX(M_name,MATCH($B463,M_emp,0)),"Code not found"))</f>
        <v/>
      </c>
      <c r="D463" s="10" t="str">
        <f aca="false">IF($B463="","",IFERROR(INDEX(M_dept,MATCH($B463,M_emp,0)),""))</f>
        <v/>
      </c>
      <c r="E463" s="10" t="str">
        <f aca="false">IF($B463="","",IFERROR(INDEX(M_loc,MATCH($B463,M_emp,0)),""))</f>
        <v/>
      </c>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4" t="str">
        <f aca="false">IF($B463="","",COUNTIF($F463:$AJ463,"P"))</f>
        <v/>
      </c>
      <c r="AL463" s="34" t="str">
        <f aca="false">IF($B463="","",COUNTIF($F463:$AJ463,"A"))</f>
        <v/>
      </c>
      <c r="AM463" s="34" t="str">
        <f aca="false">IF($B463="","",COUNTIF($F463:$AJ463,"HA"))</f>
        <v/>
      </c>
      <c r="AN463" s="34" t="str">
        <f aca="false">IF($B463="","",COUNTIF($F463:$AJ463,"L"))</f>
        <v/>
      </c>
      <c r="AO463" s="34" t="str">
        <f aca="false">IF($B463="","",COUNTIF($F463:$AJ463,"PL"))</f>
        <v/>
      </c>
      <c r="AP463" s="34" t="str">
        <f aca="false">IF($B463="","",COUNTIF($F463:$AJ463,"CL"))</f>
        <v/>
      </c>
      <c r="AQ463" s="34" t="str">
        <f aca="false">IF($B463="","",COUNTIF($F463:$AJ463,"SL"))</f>
        <v/>
      </c>
      <c r="AR463" s="34" t="str">
        <f aca="false">IF($B463="","",COUNTIF($F463:$AJ463,"CO"))</f>
        <v/>
      </c>
      <c r="AS463" s="34" t="str">
        <f aca="false">IF($B463="","",COUNTIF($F463:$AJ463,"HPL"))</f>
        <v/>
      </c>
      <c r="AT463" s="34" t="str">
        <f aca="false">IF($B463="","",COUNTIF($F463:$AJ463,"HCL"))</f>
        <v/>
      </c>
      <c r="AU463" s="34" t="str">
        <f aca="false">IF($B463="","",COUNTIF($F463:$AJ463,"WO"))</f>
        <v/>
      </c>
      <c r="AV463" s="34" t="str">
        <f aca="false">IF($B463="","",COUNTIF($F463:$AJ463,"PH"))</f>
        <v/>
      </c>
      <c r="AW463" s="34" t="str">
        <f aca="false">IF($B463="","",COUNTIF($F463:$AJ463,"TR"))</f>
        <v/>
      </c>
      <c r="AX463" s="35" t="str">
        <f aca="false">IF($B463="","",AO463+AS463/2)</f>
        <v/>
      </c>
      <c r="AY463" s="35" t="str">
        <f aca="false">IF($B463="","",AQ463)</f>
        <v/>
      </c>
      <c r="AZ463" s="35" t="str">
        <f aca="false">IF($B463="","",AP463+AT463/2)</f>
        <v/>
      </c>
      <c r="BA463" s="35" t="str">
        <f aca="false">IF($B463="","",AK463+AN463+AM463/2+AO463+AP463+AQ463+AR463+AS463+AT463+AU463+AV463+AW463)</f>
        <v/>
      </c>
      <c r="BB463" s="35" t="str">
        <f aca="false">IF($B463="","",MAX(0,AN463-Settings!$C$16)*Settings!$C$17)</f>
        <v/>
      </c>
      <c r="BC463" s="35" t="str">
        <f aca="false">IF($B463="","",BA463-BB463)</f>
        <v/>
      </c>
      <c r="BD463" s="35" t="str">
        <f aca="false">IF(OR($B463="",$A463=""),"",DAY(EOMONTH($A463,0))-COUNTA($F463:$AJ463))</f>
        <v/>
      </c>
    </row>
    <row r="464" customFormat="false" ht="15" hidden="false" customHeight="false" outlineLevel="0" collapsed="false">
      <c r="A464" s="32"/>
      <c r="B464" s="29"/>
      <c r="C464" s="10" t="str">
        <f aca="false">IF($B464="","",IFERROR(INDEX(M_name,MATCH($B464,M_emp,0)),"Code not found"))</f>
        <v/>
      </c>
      <c r="D464" s="10" t="str">
        <f aca="false">IF($B464="","",IFERROR(INDEX(M_dept,MATCH($B464,M_emp,0)),""))</f>
        <v/>
      </c>
      <c r="E464" s="10" t="str">
        <f aca="false">IF($B464="","",IFERROR(INDEX(M_loc,MATCH($B464,M_emp,0)),""))</f>
        <v/>
      </c>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4" t="str">
        <f aca="false">IF($B464="","",COUNTIF($F464:$AJ464,"P"))</f>
        <v/>
      </c>
      <c r="AL464" s="34" t="str">
        <f aca="false">IF($B464="","",COUNTIF($F464:$AJ464,"A"))</f>
        <v/>
      </c>
      <c r="AM464" s="34" t="str">
        <f aca="false">IF($B464="","",COUNTIF($F464:$AJ464,"HA"))</f>
        <v/>
      </c>
      <c r="AN464" s="34" t="str">
        <f aca="false">IF($B464="","",COUNTIF($F464:$AJ464,"L"))</f>
        <v/>
      </c>
      <c r="AO464" s="34" t="str">
        <f aca="false">IF($B464="","",COUNTIF($F464:$AJ464,"PL"))</f>
        <v/>
      </c>
      <c r="AP464" s="34" t="str">
        <f aca="false">IF($B464="","",COUNTIF($F464:$AJ464,"CL"))</f>
        <v/>
      </c>
      <c r="AQ464" s="34" t="str">
        <f aca="false">IF($B464="","",COUNTIF($F464:$AJ464,"SL"))</f>
        <v/>
      </c>
      <c r="AR464" s="34" t="str">
        <f aca="false">IF($B464="","",COUNTIF($F464:$AJ464,"CO"))</f>
        <v/>
      </c>
      <c r="AS464" s="34" t="str">
        <f aca="false">IF($B464="","",COUNTIF($F464:$AJ464,"HPL"))</f>
        <v/>
      </c>
      <c r="AT464" s="34" t="str">
        <f aca="false">IF($B464="","",COUNTIF($F464:$AJ464,"HCL"))</f>
        <v/>
      </c>
      <c r="AU464" s="34" t="str">
        <f aca="false">IF($B464="","",COUNTIF($F464:$AJ464,"WO"))</f>
        <v/>
      </c>
      <c r="AV464" s="34" t="str">
        <f aca="false">IF($B464="","",COUNTIF($F464:$AJ464,"PH"))</f>
        <v/>
      </c>
      <c r="AW464" s="34" t="str">
        <f aca="false">IF($B464="","",COUNTIF($F464:$AJ464,"TR"))</f>
        <v/>
      </c>
      <c r="AX464" s="35" t="str">
        <f aca="false">IF($B464="","",AO464+AS464/2)</f>
        <v/>
      </c>
      <c r="AY464" s="35" t="str">
        <f aca="false">IF($B464="","",AQ464)</f>
        <v/>
      </c>
      <c r="AZ464" s="35" t="str">
        <f aca="false">IF($B464="","",AP464+AT464/2)</f>
        <v/>
      </c>
      <c r="BA464" s="35" t="str">
        <f aca="false">IF($B464="","",AK464+AN464+AM464/2+AO464+AP464+AQ464+AR464+AS464+AT464+AU464+AV464+AW464)</f>
        <v/>
      </c>
      <c r="BB464" s="35" t="str">
        <f aca="false">IF($B464="","",MAX(0,AN464-Settings!$C$16)*Settings!$C$17)</f>
        <v/>
      </c>
      <c r="BC464" s="35" t="str">
        <f aca="false">IF($B464="","",BA464-BB464)</f>
        <v/>
      </c>
      <c r="BD464" s="35" t="str">
        <f aca="false">IF(OR($B464="",$A464=""),"",DAY(EOMONTH($A464,0))-COUNTA($F464:$AJ464))</f>
        <v/>
      </c>
    </row>
    <row r="465" customFormat="false" ht="15" hidden="false" customHeight="false" outlineLevel="0" collapsed="false">
      <c r="A465" s="32"/>
      <c r="B465" s="29"/>
      <c r="C465" s="10" t="str">
        <f aca="false">IF($B465="","",IFERROR(INDEX(M_name,MATCH($B465,M_emp,0)),"Code not found"))</f>
        <v/>
      </c>
      <c r="D465" s="10" t="str">
        <f aca="false">IF($B465="","",IFERROR(INDEX(M_dept,MATCH($B465,M_emp,0)),""))</f>
        <v/>
      </c>
      <c r="E465" s="10" t="str">
        <f aca="false">IF($B465="","",IFERROR(INDEX(M_loc,MATCH($B465,M_emp,0)),""))</f>
        <v/>
      </c>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4" t="str">
        <f aca="false">IF($B465="","",COUNTIF($F465:$AJ465,"P"))</f>
        <v/>
      </c>
      <c r="AL465" s="34" t="str">
        <f aca="false">IF($B465="","",COUNTIF($F465:$AJ465,"A"))</f>
        <v/>
      </c>
      <c r="AM465" s="34" t="str">
        <f aca="false">IF($B465="","",COUNTIF($F465:$AJ465,"HA"))</f>
        <v/>
      </c>
      <c r="AN465" s="34" t="str">
        <f aca="false">IF($B465="","",COUNTIF($F465:$AJ465,"L"))</f>
        <v/>
      </c>
      <c r="AO465" s="34" t="str">
        <f aca="false">IF($B465="","",COUNTIF($F465:$AJ465,"PL"))</f>
        <v/>
      </c>
      <c r="AP465" s="34" t="str">
        <f aca="false">IF($B465="","",COUNTIF($F465:$AJ465,"CL"))</f>
        <v/>
      </c>
      <c r="AQ465" s="34" t="str">
        <f aca="false">IF($B465="","",COUNTIF($F465:$AJ465,"SL"))</f>
        <v/>
      </c>
      <c r="AR465" s="34" t="str">
        <f aca="false">IF($B465="","",COUNTIF($F465:$AJ465,"CO"))</f>
        <v/>
      </c>
      <c r="AS465" s="34" t="str">
        <f aca="false">IF($B465="","",COUNTIF($F465:$AJ465,"HPL"))</f>
        <v/>
      </c>
      <c r="AT465" s="34" t="str">
        <f aca="false">IF($B465="","",COUNTIF($F465:$AJ465,"HCL"))</f>
        <v/>
      </c>
      <c r="AU465" s="34" t="str">
        <f aca="false">IF($B465="","",COUNTIF($F465:$AJ465,"WO"))</f>
        <v/>
      </c>
      <c r="AV465" s="34" t="str">
        <f aca="false">IF($B465="","",COUNTIF($F465:$AJ465,"PH"))</f>
        <v/>
      </c>
      <c r="AW465" s="34" t="str">
        <f aca="false">IF($B465="","",COUNTIF($F465:$AJ465,"TR"))</f>
        <v/>
      </c>
      <c r="AX465" s="35" t="str">
        <f aca="false">IF($B465="","",AO465+AS465/2)</f>
        <v/>
      </c>
      <c r="AY465" s="35" t="str">
        <f aca="false">IF($B465="","",AQ465)</f>
        <v/>
      </c>
      <c r="AZ465" s="35" t="str">
        <f aca="false">IF($B465="","",AP465+AT465/2)</f>
        <v/>
      </c>
      <c r="BA465" s="35" t="str">
        <f aca="false">IF($B465="","",AK465+AN465+AM465/2+AO465+AP465+AQ465+AR465+AS465+AT465+AU465+AV465+AW465)</f>
        <v/>
      </c>
      <c r="BB465" s="35" t="str">
        <f aca="false">IF($B465="","",MAX(0,AN465-Settings!$C$16)*Settings!$C$17)</f>
        <v/>
      </c>
      <c r="BC465" s="35" t="str">
        <f aca="false">IF($B465="","",BA465-BB465)</f>
        <v/>
      </c>
      <c r="BD465" s="35" t="str">
        <f aca="false">IF(OR($B465="",$A465=""),"",DAY(EOMONTH($A465,0))-COUNTA($F465:$AJ465))</f>
        <v/>
      </c>
    </row>
    <row r="466" customFormat="false" ht="15" hidden="false" customHeight="false" outlineLevel="0" collapsed="false">
      <c r="A466" s="32"/>
      <c r="B466" s="29"/>
      <c r="C466" s="10" t="str">
        <f aca="false">IF($B466="","",IFERROR(INDEX(M_name,MATCH($B466,M_emp,0)),"Code not found"))</f>
        <v/>
      </c>
      <c r="D466" s="10" t="str">
        <f aca="false">IF($B466="","",IFERROR(INDEX(M_dept,MATCH($B466,M_emp,0)),""))</f>
        <v/>
      </c>
      <c r="E466" s="10" t="str">
        <f aca="false">IF($B466="","",IFERROR(INDEX(M_loc,MATCH($B466,M_emp,0)),""))</f>
        <v/>
      </c>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4" t="str">
        <f aca="false">IF($B466="","",COUNTIF($F466:$AJ466,"P"))</f>
        <v/>
      </c>
      <c r="AL466" s="34" t="str">
        <f aca="false">IF($B466="","",COUNTIF($F466:$AJ466,"A"))</f>
        <v/>
      </c>
      <c r="AM466" s="34" t="str">
        <f aca="false">IF($B466="","",COUNTIF($F466:$AJ466,"HA"))</f>
        <v/>
      </c>
      <c r="AN466" s="34" t="str">
        <f aca="false">IF($B466="","",COUNTIF($F466:$AJ466,"L"))</f>
        <v/>
      </c>
      <c r="AO466" s="34" t="str">
        <f aca="false">IF($B466="","",COUNTIF($F466:$AJ466,"PL"))</f>
        <v/>
      </c>
      <c r="AP466" s="34" t="str">
        <f aca="false">IF($B466="","",COUNTIF($F466:$AJ466,"CL"))</f>
        <v/>
      </c>
      <c r="AQ466" s="34" t="str">
        <f aca="false">IF($B466="","",COUNTIF($F466:$AJ466,"SL"))</f>
        <v/>
      </c>
      <c r="AR466" s="34" t="str">
        <f aca="false">IF($B466="","",COUNTIF($F466:$AJ466,"CO"))</f>
        <v/>
      </c>
      <c r="AS466" s="34" t="str">
        <f aca="false">IF($B466="","",COUNTIF($F466:$AJ466,"HPL"))</f>
        <v/>
      </c>
      <c r="AT466" s="34" t="str">
        <f aca="false">IF($B466="","",COUNTIF($F466:$AJ466,"HCL"))</f>
        <v/>
      </c>
      <c r="AU466" s="34" t="str">
        <f aca="false">IF($B466="","",COUNTIF($F466:$AJ466,"WO"))</f>
        <v/>
      </c>
      <c r="AV466" s="34" t="str">
        <f aca="false">IF($B466="","",COUNTIF($F466:$AJ466,"PH"))</f>
        <v/>
      </c>
      <c r="AW466" s="34" t="str">
        <f aca="false">IF($B466="","",COUNTIF($F466:$AJ466,"TR"))</f>
        <v/>
      </c>
      <c r="AX466" s="35" t="str">
        <f aca="false">IF($B466="","",AO466+AS466/2)</f>
        <v/>
      </c>
      <c r="AY466" s="35" t="str">
        <f aca="false">IF($B466="","",AQ466)</f>
        <v/>
      </c>
      <c r="AZ466" s="35" t="str">
        <f aca="false">IF($B466="","",AP466+AT466/2)</f>
        <v/>
      </c>
      <c r="BA466" s="35" t="str">
        <f aca="false">IF($B466="","",AK466+AN466+AM466/2+AO466+AP466+AQ466+AR466+AS466+AT466+AU466+AV466+AW466)</f>
        <v/>
      </c>
      <c r="BB466" s="35" t="str">
        <f aca="false">IF($B466="","",MAX(0,AN466-Settings!$C$16)*Settings!$C$17)</f>
        <v/>
      </c>
      <c r="BC466" s="35" t="str">
        <f aca="false">IF($B466="","",BA466-BB466)</f>
        <v/>
      </c>
      <c r="BD466" s="35" t="str">
        <f aca="false">IF(OR($B466="",$A466=""),"",DAY(EOMONTH($A466,0))-COUNTA($F466:$AJ466))</f>
        <v/>
      </c>
    </row>
    <row r="467" customFormat="false" ht="15" hidden="false" customHeight="false" outlineLevel="0" collapsed="false">
      <c r="A467" s="32"/>
      <c r="B467" s="29"/>
      <c r="C467" s="10" t="str">
        <f aca="false">IF($B467="","",IFERROR(INDEX(M_name,MATCH($B467,M_emp,0)),"Code not found"))</f>
        <v/>
      </c>
      <c r="D467" s="10" t="str">
        <f aca="false">IF($B467="","",IFERROR(INDEX(M_dept,MATCH($B467,M_emp,0)),""))</f>
        <v/>
      </c>
      <c r="E467" s="10" t="str">
        <f aca="false">IF($B467="","",IFERROR(INDEX(M_loc,MATCH($B467,M_emp,0)),""))</f>
        <v/>
      </c>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4" t="str">
        <f aca="false">IF($B467="","",COUNTIF($F467:$AJ467,"P"))</f>
        <v/>
      </c>
      <c r="AL467" s="34" t="str">
        <f aca="false">IF($B467="","",COUNTIF($F467:$AJ467,"A"))</f>
        <v/>
      </c>
      <c r="AM467" s="34" t="str">
        <f aca="false">IF($B467="","",COUNTIF($F467:$AJ467,"HA"))</f>
        <v/>
      </c>
      <c r="AN467" s="34" t="str">
        <f aca="false">IF($B467="","",COUNTIF($F467:$AJ467,"L"))</f>
        <v/>
      </c>
      <c r="AO467" s="34" t="str">
        <f aca="false">IF($B467="","",COUNTIF($F467:$AJ467,"PL"))</f>
        <v/>
      </c>
      <c r="AP467" s="34" t="str">
        <f aca="false">IF($B467="","",COUNTIF($F467:$AJ467,"CL"))</f>
        <v/>
      </c>
      <c r="AQ467" s="34" t="str">
        <f aca="false">IF($B467="","",COUNTIF($F467:$AJ467,"SL"))</f>
        <v/>
      </c>
      <c r="AR467" s="34" t="str">
        <f aca="false">IF($B467="","",COUNTIF($F467:$AJ467,"CO"))</f>
        <v/>
      </c>
      <c r="AS467" s="34" t="str">
        <f aca="false">IF($B467="","",COUNTIF($F467:$AJ467,"HPL"))</f>
        <v/>
      </c>
      <c r="AT467" s="34" t="str">
        <f aca="false">IF($B467="","",COUNTIF($F467:$AJ467,"HCL"))</f>
        <v/>
      </c>
      <c r="AU467" s="34" t="str">
        <f aca="false">IF($B467="","",COUNTIF($F467:$AJ467,"WO"))</f>
        <v/>
      </c>
      <c r="AV467" s="34" t="str">
        <f aca="false">IF($B467="","",COUNTIF($F467:$AJ467,"PH"))</f>
        <v/>
      </c>
      <c r="AW467" s="34" t="str">
        <f aca="false">IF($B467="","",COUNTIF($F467:$AJ467,"TR"))</f>
        <v/>
      </c>
      <c r="AX467" s="35" t="str">
        <f aca="false">IF($B467="","",AO467+AS467/2)</f>
        <v/>
      </c>
      <c r="AY467" s="35" t="str">
        <f aca="false">IF($B467="","",AQ467)</f>
        <v/>
      </c>
      <c r="AZ467" s="35" t="str">
        <f aca="false">IF($B467="","",AP467+AT467/2)</f>
        <v/>
      </c>
      <c r="BA467" s="35" t="str">
        <f aca="false">IF($B467="","",AK467+AN467+AM467/2+AO467+AP467+AQ467+AR467+AS467+AT467+AU467+AV467+AW467)</f>
        <v/>
      </c>
      <c r="BB467" s="35" t="str">
        <f aca="false">IF($B467="","",MAX(0,AN467-Settings!$C$16)*Settings!$C$17)</f>
        <v/>
      </c>
      <c r="BC467" s="35" t="str">
        <f aca="false">IF($B467="","",BA467-BB467)</f>
        <v/>
      </c>
      <c r="BD467" s="35" t="str">
        <f aca="false">IF(OR($B467="",$A467=""),"",DAY(EOMONTH($A467,0))-COUNTA($F467:$AJ467))</f>
        <v/>
      </c>
    </row>
    <row r="468" customFormat="false" ht="15" hidden="false" customHeight="false" outlineLevel="0" collapsed="false">
      <c r="A468" s="32"/>
      <c r="B468" s="29"/>
      <c r="C468" s="10" t="str">
        <f aca="false">IF($B468="","",IFERROR(INDEX(M_name,MATCH($B468,M_emp,0)),"Code not found"))</f>
        <v/>
      </c>
      <c r="D468" s="10" t="str">
        <f aca="false">IF($B468="","",IFERROR(INDEX(M_dept,MATCH($B468,M_emp,0)),""))</f>
        <v/>
      </c>
      <c r="E468" s="10" t="str">
        <f aca="false">IF($B468="","",IFERROR(INDEX(M_loc,MATCH($B468,M_emp,0)),""))</f>
        <v/>
      </c>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4" t="str">
        <f aca="false">IF($B468="","",COUNTIF($F468:$AJ468,"P"))</f>
        <v/>
      </c>
      <c r="AL468" s="34" t="str">
        <f aca="false">IF($B468="","",COUNTIF($F468:$AJ468,"A"))</f>
        <v/>
      </c>
      <c r="AM468" s="34" t="str">
        <f aca="false">IF($B468="","",COUNTIF($F468:$AJ468,"HA"))</f>
        <v/>
      </c>
      <c r="AN468" s="34" t="str">
        <f aca="false">IF($B468="","",COUNTIF($F468:$AJ468,"L"))</f>
        <v/>
      </c>
      <c r="AO468" s="34" t="str">
        <f aca="false">IF($B468="","",COUNTIF($F468:$AJ468,"PL"))</f>
        <v/>
      </c>
      <c r="AP468" s="34" t="str">
        <f aca="false">IF($B468="","",COUNTIF($F468:$AJ468,"CL"))</f>
        <v/>
      </c>
      <c r="AQ468" s="34" t="str">
        <f aca="false">IF($B468="","",COUNTIF($F468:$AJ468,"SL"))</f>
        <v/>
      </c>
      <c r="AR468" s="34" t="str">
        <f aca="false">IF($B468="","",COUNTIF($F468:$AJ468,"CO"))</f>
        <v/>
      </c>
      <c r="AS468" s="34" t="str">
        <f aca="false">IF($B468="","",COUNTIF($F468:$AJ468,"HPL"))</f>
        <v/>
      </c>
      <c r="AT468" s="34" t="str">
        <f aca="false">IF($B468="","",COUNTIF($F468:$AJ468,"HCL"))</f>
        <v/>
      </c>
      <c r="AU468" s="34" t="str">
        <f aca="false">IF($B468="","",COUNTIF($F468:$AJ468,"WO"))</f>
        <v/>
      </c>
      <c r="AV468" s="34" t="str">
        <f aca="false">IF($B468="","",COUNTIF($F468:$AJ468,"PH"))</f>
        <v/>
      </c>
      <c r="AW468" s="34" t="str">
        <f aca="false">IF($B468="","",COUNTIF($F468:$AJ468,"TR"))</f>
        <v/>
      </c>
      <c r="AX468" s="35" t="str">
        <f aca="false">IF($B468="","",AO468+AS468/2)</f>
        <v/>
      </c>
      <c r="AY468" s="35" t="str">
        <f aca="false">IF($B468="","",AQ468)</f>
        <v/>
      </c>
      <c r="AZ468" s="35" t="str">
        <f aca="false">IF($B468="","",AP468+AT468/2)</f>
        <v/>
      </c>
      <c r="BA468" s="35" t="str">
        <f aca="false">IF($B468="","",AK468+AN468+AM468/2+AO468+AP468+AQ468+AR468+AS468+AT468+AU468+AV468+AW468)</f>
        <v/>
      </c>
      <c r="BB468" s="35" t="str">
        <f aca="false">IF($B468="","",MAX(0,AN468-Settings!$C$16)*Settings!$C$17)</f>
        <v/>
      </c>
      <c r="BC468" s="35" t="str">
        <f aca="false">IF($B468="","",BA468-BB468)</f>
        <v/>
      </c>
      <c r="BD468" s="35" t="str">
        <f aca="false">IF(OR($B468="",$A468=""),"",DAY(EOMONTH($A468,0))-COUNTA($F468:$AJ468))</f>
        <v/>
      </c>
    </row>
    <row r="469" customFormat="false" ht="15" hidden="false" customHeight="false" outlineLevel="0" collapsed="false">
      <c r="A469" s="32"/>
      <c r="B469" s="29"/>
      <c r="C469" s="10" t="str">
        <f aca="false">IF($B469="","",IFERROR(INDEX(M_name,MATCH($B469,M_emp,0)),"Code not found"))</f>
        <v/>
      </c>
      <c r="D469" s="10" t="str">
        <f aca="false">IF($B469="","",IFERROR(INDEX(M_dept,MATCH($B469,M_emp,0)),""))</f>
        <v/>
      </c>
      <c r="E469" s="10" t="str">
        <f aca="false">IF($B469="","",IFERROR(INDEX(M_loc,MATCH($B469,M_emp,0)),""))</f>
        <v/>
      </c>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4" t="str">
        <f aca="false">IF($B469="","",COUNTIF($F469:$AJ469,"P"))</f>
        <v/>
      </c>
      <c r="AL469" s="34" t="str">
        <f aca="false">IF($B469="","",COUNTIF($F469:$AJ469,"A"))</f>
        <v/>
      </c>
      <c r="AM469" s="34" t="str">
        <f aca="false">IF($B469="","",COUNTIF($F469:$AJ469,"HA"))</f>
        <v/>
      </c>
      <c r="AN469" s="34" t="str">
        <f aca="false">IF($B469="","",COUNTIF($F469:$AJ469,"L"))</f>
        <v/>
      </c>
      <c r="AO469" s="34" t="str">
        <f aca="false">IF($B469="","",COUNTIF($F469:$AJ469,"PL"))</f>
        <v/>
      </c>
      <c r="AP469" s="34" t="str">
        <f aca="false">IF($B469="","",COUNTIF($F469:$AJ469,"CL"))</f>
        <v/>
      </c>
      <c r="AQ469" s="34" t="str">
        <f aca="false">IF($B469="","",COUNTIF($F469:$AJ469,"SL"))</f>
        <v/>
      </c>
      <c r="AR469" s="34" t="str">
        <f aca="false">IF($B469="","",COUNTIF($F469:$AJ469,"CO"))</f>
        <v/>
      </c>
      <c r="AS469" s="34" t="str">
        <f aca="false">IF($B469="","",COUNTIF($F469:$AJ469,"HPL"))</f>
        <v/>
      </c>
      <c r="AT469" s="34" t="str">
        <f aca="false">IF($B469="","",COUNTIF($F469:$AJ469,"HCL"))</f>
        <v/>
      </c>
      <c r="AU469" s="34" t="str">
        <f aca="false">IF($B469="","",COUNTIF($F469:$AJ469,"WO"))</f>
        <v/>
      </c>
      <c r="AV469" s="34" t="str">
        <f aca="false">IF($B469="","",COUNTIF($F469:$AJ469,"PH"))</f>
        <v/>
      </c>
      <c r="AW469" s="34" t="str">
        <f aca="false">IF($B469="","",COUNTIF($F469:$AJ469,"TR"))</f>
        <v/>
      </c>
      <c r="AX469" s="35" t="str">
        <f aca="false">IF($B469="","",AO469+AS469/2)</f>
        <v/>
      </c>
      <c r="AY469" s="35" t="str">
        <f aca="false">IF($B469="","",AQ469)</f>
        <v/>
      </c>
      <c r="AZ469" s="35" t="str">
        <f aca="false">IF($B469="","",AP469+AT469/2)</f>
        <v/>
      </c>
      <c r="BA469" s="35" t="str">
        <f aca="false">IF($B469="","",AK469+AN469+AM469/2+AO469+AP469+AQ469+AR469+AS469+AT469+AU469+AV469+AW469)</f>
        <v/>
      </c>
      <c r="BB469" s="35" t="str">
        <f aca="false">IF($B469="","",MAX(0,AN469-Settings!$C$16)*Settings!$C$17)</f>
        <v/>
      </c>
      <c r="BC469" s="35" t="str">
        <f aca="false">IF($B469="","",BA469-BB469)</f>
        <v/>
      </c>
      <c r="BD469" s="35" t="str">
        <f aca="false">IF(OR($B469="",$A469=""),"",DAY(EOMONTH($A469,0))-COUNTA($F469:$AJ469))</f>
        <v/>
      </c>
    </row>
    <row r="470" customFormat="false" ht="15" hidden="false" customHeight="false" outlineLevel="0" collapsed="false">
      <c r="A470" s="32"/>
      <c r="B470" s="29"/>
      <c r="C470" s="10" t="str">
        <f aca="false">IF($B470="","",IFERROR(INDEX(M_name,MATCH($B470,M_emp,0)),"Code not found"))</f>
        <v/>
      </c>
      <c r="D470" s="10" t="str">
        <f aca="false">IF($B470="","",IFERROR(INDEX(M_dept,MATCH($B470,M_emp,0)),""))</f>
        <v/>
      </c>
      <c r="E470" s="10" t="str">
        <f aca="false">IF($B470="","",IFERROR(INDEX(M_loc,MATCH($B470,M_emp,0)),""))</f>
        <v/>
      </c>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4" t="str">
        <f aca="false">IF($B470="","",COUNTIF($F470:$AJ470,"P"))</f>
        <v/>
      </c>
      <c r="AL470" s="34" t="str">
        <f aca="false">IF($B470="","",COUNTIF($F470:$AJ470,"A"))</f>
        <v/>
      </c>
      <c r="AM470" s="34" t="str">
        <f aca="false">IF($B470="","",COUNTIF($F470:$AJ470,"HA"))</f>
        <v/>
      </c>
      <c r="AN470" s="34" t="str">
        <f aca="false">IF($B470="","",COUNTIF($F470:$AJ470,"L"))</f>
        <v/>
      </c>
      <c r="AO470" s="34" t="str">
        <f aca="false">IF($B470="","",COUNTIF($F470:$AJ470,"PL"))</f>
        <v/>
      </c>
      <c r="AP470" s="34" t="str">
        <f aca="false">IF($B470="","",COUNTIF($F470:$AJ470,"CL"))</f>
        <v/>
      </c>
      <c r="AQ470" s="34" t="str">
        <f aca="false">IF($B470="","",COUNTIF($F470:$AJ470,"SL"))</f>
        <v/>
      </c>
      <c r="AR470" s="34" t="str">
        <f aca="false">IF($B470="","",COUNTIF($F470:$AJ470,"CO"))</f>
        <v/>
      </c>
      <c r="AS470" s="34" t="str">
        <f aca="false">IF($B470="","",COUNTIF($F470:$AJ470,"HPL"))</f>
        <v/>
      </c>
      <c r="AT470" s="34" t="str">
        <f aca="false">IF($B470="","",COUNTIF($F470:$AJ470,"HCL"))</f>
        <v/>
      </c>
      <c r="AU470" s="34" t="str">
        <f aca="false">IF($B470="","",COUNTIF($F470:$AJ470,"WO"))</f>
        <v/>
      </c>
      <c r="AV470" s="34" t="str">
        <f aca="false">IF($B470="","",COUNTIF($F470:$AJ470,"PH"))</f>
        <v/>
      </c>
      <c r="AW470" s="34" t="str">
        <f aca="false">IF($B470="","",COUNTIF($F470:$AJ470,"TR"))</f>
        <v/>
      </c>
      <c r="AX470" s="35" t="str">
        <f aca="false">IF($B470="","",AO470+AS470/2)</f>
        <v/>
      </c>
      <c r="AY470" s="35" t="str">
        <f aca="false">IF($B470="","",AQ470)</f>
        <v/>
      </c>
      <c r="AZ470" s="35" t="str">
        <f aca="false">IF($B470="","",AP470+AT470/2)</f>
        <v/>
      </c>
      <c r="BA470" s="35" t="str">
        <f aca="false">IF($B470="","",AK470+AN470+AM470/2+AO470+AP470+AQ470+AR470+AS470+AT470+AU470+AV470+AW470)</f>
        <v/>
      </c>
      <c r="BB470" s="35" t="str">
        <f aca="false">IF($B470="","",MAX(0,AN470-Settings!$C$16)*Settings!$C$17)</f>
        <v/>
      </c>
      <c r="BC470" s="35" t="str">
        <f aca="false">IF($B470="","",BA470-BB470)</f>
        <v/>
      </c>
      <c r="BD470" s="35" t="str">
        <f aca="false">IF(OR($B470="",$A470=""),"",DAY(EOMONTH($A470,0))-COUNTA($F470:$AJ470))</f>
        <v/>
      </c>
    </row>
    <row r="471" customFormat="false" ht="15" hidden="false" customHeight="false" outlineLevel="0" collapsed="false">
      <c r="A471" s="32"/>
      <c r="B471" s="29"/>
      <c r="C471" s="10" t="str">
        <f aca="false">IF($B471="","",IFERROR(INDEX(M_name,MATCH($B471,M_emp,0)),"Code not found"))</f>
        <v/>
      </c>
      <c r="D471" s="10" t="str">
        <f aca="false">IF($B471="","",IFERROR(INDEX(M_dept,MATCH($B471,M_emp,0)),""))</f>
        <v/>
      </c>
      <c r="E471" s="10" t="str">
        <f aca="false">IF($B471="","",IFERROR(INDEX(M_loc,MATCH($B471,M_emp,0)),""))</f>
        <v/>
      </c>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4" t="str">
        <f aca="false">IF($B471="","",COUNTIF($F471:$AJ471,"P"))</f>
        <v/>
      </c>
      <c r="AL471" s="34" t="str">
        <f aca="false">IF($B471="","",COUNTIF($F471:$AJ471,"A"))</f>
        <v/>
      </c>
      <c r="AM471" s="34" t="str">
        <f aca="false">IF($B471="","",COUNTIF($F471:$AJ471,"HA"))</f>
        <v/>
      </c>
      <c r="AN471" s="34" t="str">
        <f aca="false">IF($B471="","",COUNTIF($F471:$AJ471,"L"))</f>
        <v/>
      </c>
      <c r="AO471" s="34" t="str">
        <f aca="false">IF($B471="","",COUNTIF($F471:$AJ471,"PL"))</f>
        <v/>
      </c>
      <c r="AP471" s="34" t="str">
        <f aca="false">IF($B471="","",COUNTIF($F471:$AJ471,"CL"))</f>
        <v/>
      </c>
      <c r="AQ471" s="34" t="str">
        <f aca="false">IF($B471="","",COUNTIF($F471:$AJ471,"SL"))</f>
        <v/>
      </c>
      <c r="AR471" s="34" t="str">
        <f aca="false">IF($B471="","",COUNTIF($F471:$AJ471,"CO"))</f>
        <v/>
      </c>
      <c r="AS471" s="34" t="str">
        <f aca="false">IF($B471="","",COUNTIF($F471:$AJ471,"HPL"))</f>
        <v/>
      </c>
      <c r="AT471" s="34" t="str">
        <f aca="false">IF($B471="","",COUNTIF($F471:$AJ471,"HCL"))</f>
        <v/>
      </c>
      <c r="AU471" s="34" t="str">
        <f aca="false">IF($B471="","",COUNTIF($F471:$AJ471,"WO"))</f>
        <v/>
      </c>
      <c r="AV471" s="34" t="str">
        <f aca="false">IF($B471="","",COUNTIF($F471:$AJ471,"PH"))</f>
        <v/>
      </c>
      <c r="AW471" s="34" t="str">
        <f aca="false">IF($B471="","",COUNTIF($F471:$AJ471,"TR"))</f>
        <v/>
      </c>
      <c r="AX471" s="35" t="str">
        <f aca="false">IF($B471="","",AO471+AS471/2)</f>
        <v/>
      </c>
      <c r="AY471" s="35" t="str">
        <f aca="false">IF($B471="","",AQ471)</f>
        <v/>
      </c>
      <c r="AZ471" s="35" t="str">
        <f aca="false">IF($B471="","",AP471+AT471/2)</f>
        <v/>
      </c>
      <c r="BA471" s="35" t="str">
        <f aca="false">IF($B471="","",AK471+AN471+AM471/2+AO471+AP471+AQ471+AR471+AS471+AT471+AU471+AV471+AW471)</f>
        <v/>
      </c>
      <c r="BB471" s="35" t="str">
        <f aca="false">IF($B471="","",MAX(0,AN471-Settings!$C$16)*Settings!$C$17)</f>
        <v/>
      </c>
      <c r="BC471" s="35" t="str">
        <f aca="false">IF($B471="","",BA471-BB471)</f>
        <v/>
      </c>
      <c r="BD471" s="35" t="str">
        <f aca="false">IF(OR($B471="",$A471=""),"",DAY(EOMONTH($A471,0))-COUNTA($F471:$AJ471))</f>
        <v/>
      </c>
    </row>
    <row r="472" customFormat="false" ht="15" hidden="false" customHeight="false" outlineLevel="0" collapsed="false">
      <c r="A472" s="32"/>
      <c r="B472" s="29"/>
      <c r="C472" s="10" t="str">
        <f aca="false">IF($B472="","",IFERROR(INDEX(M_name,MATCH($B472,M_emp,0)),"Code not found"))</f>
        <v/>
      </c>
      <c r="D472" s="10" t="str">
        <f aca="false">IF($B472="","",IFERROR(INDEX(M_dept,MATCH($B472,M_emp,0)),""))</f>
        <v/>
      </c>
      <c r="E472" s="10" t="str">
        <f aca="false">IF($B472="","",IFERROR(INDEX(M_loc,MATCH($B472,M_emp,0)),""))</f>
        <v/>
      </c>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4" t="str">
        <f aca="false">IF($B472="","",COUNTIF($F472:$AJ472,"P"))</f>
        <v/>
      </c>
      <c r="AL472" s="34" t="str">
        <f aca="false">IF($B472="","",COUNTIF($F472:$AJ472,"A"))</f>
        <v/>
      </c>
      <c r="AM472" s="34" t="str">
        <f aca="false">IF($B472="","",COUNTIF($F472:$AJ472,"HA"))</f>
        <v/>
      </c>
      <c r="AN472" s="34" t="str">
        <f aca="false">IF($B472="","",COUNTIF($F472:$AJ472,"L"))</f>
        <v/>
      </c>
      <c r="AO472" s="34" t="str">
        <f aca="false">IF($B472="","",COUNTIF($F472:$AJ472,"PL"))</f>
        <v/>
      </c>
      <c r="AP472" s="34" t="str">
        <f aca="false">IF($B472="","",COUNTIF($F472:$AJ472,"CL"))</f>
        <v/>
      </c>
      <c r="AQ472" s="34" t="str">
        <f aca="false">IF($B472="","",COUNTIF($F472:$AJ472,"SL"))</f>
        <v/>
      </c>
      <c r="AR472" s="34" t="str">
        <f aca="false">IF($B472="","",COUNTIF($F472:$AJ472,"CO"))</f>
        <v/>
      </c>
      <c r="AS472" s="34" t="str">
        <f aca="false">IF($B472="","",COUNTIF($F472:$AJ472,"HPL"))</f>
        <v/>
      </c>
      <c r="AT472" s="34" t="str">
        <f aca="false">IF($B472="","",COUNTIF($F472:$AJ472,"HCL"))</f>
        <v/>
      </c>
      <c r="AU472" s="34" t="str">
        <f aca="false">IF($B472="","",COUNTIF($F472:$AJ472,"WO"))</f>
        <v/>
      </c>
      <c r="AV472" s="34" t="str">
        <f aca="false">IF($B472="","",COUNTIF($F472:$AJ472,"PH"))</f>
        <v/>
      </c>
      <c r="AW472" s="34" t="str">
        <f aca="false">IF($B472="","",COUNTIF($F472:$AJ472,"TR"))</f>
        <v/>
      </c>
      <c r="AX472" s="35" t="str">
        <f aca="false">IF($B472="","",AO472+AS472/2)</f>
        <v/>
      </c>
      <c r="AY472" s="35" t="str">
        <f aca="false">IF($B472="","",AQ472)</f>
        <v/>
      </c>
      <c r="AZ472" s="35" t="str">
        <f aca="false">IF($B472="","",AP472+AT472/2)</f>
        <v/>
      </c>
      <c r="BA472" s="35" t="str">
        <f aca="false">IF($B472="","",AK472+AN472+AM472/2+AO472+AP472+AQ472+AR472+AS472+AT472+AU472+AV472+AW472)</f>
        <v/>
      </c>
      <c r="BB472" s="35" t="str">
        <f aca="false">IF($B472="","",MAX(0,AN472-Settings!$C$16)*Settings!$C$17)</f>
        <v/>
      </c>
      <c r="BC472" s="35" t="str">
        <f aca="false">IF($B472="","",BA472-BB472)</f>
        <v/>
      </c>
      <c r="BD472" s="35" t="str">
        <f aca="false">IF(OR($B472="",$A472=""),"",DAY(EOMONTH($A472,0))-COUNTA($F472:$AJ472))</f>
        <v/>
      </c>
    </row>
    <row r="473" customFormat="false" ht="15" hidden="false" customHeight="false" outlineLevel="0" collapsed="false">
      <c r="A473" s="32"/>
      <c r="B473" s="29"/>
      <c r="C473" s="10" t="str">
        <f aca="false">IF($B473="","",IFERROR(INDEX(M_name,MATCH($B473,M_emp,0)),"Code not found"))</f>
        <v/>
      </c>
      <c r="D473" s="10" t="str">
        <f aca="false">IF($B473="","",IFERROR(INDEX(M_dept,MATCH($B473,M_emp,0)),""))</f>
        <v/>
      </c>
      <c r="E473" s="10" t="str">
        <f aca="false">IF($B473="","",IFERROR(INDEX(M_loc,MATCH($B473,M_emp,0)),""))</f>
        <v/>
      </c>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4" t="str">
        <f aca="false">IF($B473="","",COUNTIF($F473:$AJ473,"P"))</f>
        <v/>
      </c>
      <c r="AL473" s="34" t="str">
        <f aca="false">IF($B473="","",COUNTIF($F473:$AJ473,"A"))</f>
        <v/>
      </c>
      <c r="AM473" s="34" t="str">
        <f aca="false">IF($B473="","",COUNTIF($F473:$AJ473,"HA"))</f>
        <v/>
      </c>
      <c r="AN473" s="34" t="str">
        <f aca="false">IF($B473="","",COUNTIF($F473:$AJ473,"L"))</f>
        <v/>
      </c>
      <c r="AO473" s="34" t="str">
        <f aca="false">IF($B473="","",COUNTIF($F473:$AJ473,"PL"))</f>
        <v/>
      </c>
      <c r="AP473" s="34" t="str">
        <f aca="false">IF($B473="","",COUNTIF($F473:$AJ473,"CL"))</f>
        <v/>
      </c>
      <c r="AQ473" s="34" t="str">
        <f aca="false">IF($B473="","",COUNTIF($F473:$AJ473,"SL"))</f>
        <v/>
      </c>
      <c r="AR473" s="34" t="str">
        <f aca="false">IF($B473="","",COUNTIF($F473:$AJ473,"CO"))</f>
        <v/>
      </c>
      <c r="AS473" s="34" t="str">
        <f aca="false">IF($B473="","",COUNTIF($F473:$AJ473,"HPL"))</f>
        <v/>
      </c>
      <c r="AT473" s="34" t="str">
        <f aca="false">IF($B473="","",COUNTIF($F473:$AJ473,"HCL"))</f>
        <v/>
      </c>
      <c r="AU473" s="34" t="str">
        <f aca="false">IF($B473="","",COUNTIF($F473:$AJ473,"WO"))</f>
        <v/>
      </c>
      <c r="AV473" s="34" t="str">
        <f aca="false">IF($B473="","",COUNTIF($F473:$AJ473,"PH"))</f>
        <v/>
      </c>
      <c r="AW473" s="34" t="str">
        <f aca="false">IF($B473="","",COUNTIF($F473:$AJ473,"TR"))</f>
        <v/>
      </c>
      <c r="AX473" s="35" t="str">
        <f aca="false">IF($B473="","",AO473+AS473/2)</f>
        <v/>
      </c>
      <c r="AY473" s="35" t="str">
        <f aca="false">IF($B473="","",AQ473)</f>
        <v/>
      </c>
      <c r="AZ473" s="35" t="str">
        <f aca="false">IF($B473="","",AP473+AT473/2)</f>
        <v/>
      </c>
      <c r="BA473" s="35" t="str">
        <f aca="false">IF($B473="","",AK473+AN473+AM473/2+AO473+AP473+AQ473+AR473+AS473+AT473+AU473+AV473+AW473)</f>
        <v/>
      </c>
      <c r="BB473" s="35" t="str">
        <f aca="false">IF($B473="","",MAX(0,AN473-Settings!$C$16)*Settings!$C$17)</f>
        <v/>
      </c>
      <c r="BC473" s="35" t="str">
        <f aca="false">IF($B473="","",BA473-BB473)</f>
        <v/>
      </c>
      <c r="BD473" s="35" t="str">
        <f aca="false">IF(OR($B473="",$A473=""),"",DAY(EOMONTH($A473,0))-COUNTA($F473:$AJ473))</f>
        <v/>
      </c>
    </row>
    <row r="474" customFormat="false" ht="15" hidden="false" customHeight="false" outlineLevel="0" collapsed="false">
      <c r="A474" s="32"/>
      <c r="B474" s="29"/>
      <c r="C474" s="10" t="str">
        <f aca="false">IF($B474="","",IFERROR(INDEX(M_name,MATCH($B474,M_emp,0)),"Code not found"))</f>
        <v/>
      </c>
      <c r="D474" s="10" t="str">
        <f aca="false">IF($B474="","",IFERROR(INDEX(M_dept,MATCH($B474,M_emp,0)),""))</f>
        <v/>
      </c>
      <c r="E474" s="10" t="str">
        <f aca="false">IF($B474="","",IFERROR(INDEX(M_loc,MATCH($B474,M_emp,0)),""))</f>
        <v/>
      </c>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4" t="str">
        <f aca="false">IF($B474="","",COUNTIF($F474:$AJ474,"P"))</f>
        <v/>
      </c>
      <c r="AL474" s="34" t="str">
        <f aca="false">IF($B474="","",COUNTIF($F474:$AJ474,"A"))</f>
        <v/>
      </c>
      <c r="AM474" s="34" t="str">
        <f aca="false">IF($B474="","",COUNTIF($F474:$AJ474,"HA"))</f>
        <v/>
      </c>
      <c r="AN474" s="34" t="str">
        <f aca="false">IF($B474="","",COUNTIF($F474:$AJ474,"L"))</f>
        <v/>
      </c>
      <c r="AO474" s="34" t="str">
        <f aca="false">IF($B474="","",COUNTIF($F474:$AJ474,"PL"))</f>
        <v/>
      </c>
      <c r="AP474" s="34" t="str">
        <f aca="false">IF($B474="","",COUNTIF($F474:$AJ474,"CL"))</f>
        <v/>
      </c>
      <c r="AQ474" s="34" t="str">
        <f aca="false">IF($B474="","",COUNTIF($F474:$AJ474,"SL"))</f>
        <v/>
      </c>
      <c r="AR474" s="34" t="str">
        <f aca="false">IF($B474="","",COUNTIF($F474:$AJ474,"CO"))</f>
        <v/>
      </c>
      <c r="AS474" s="34" t="str">
        <f aca="false">IF($B474="","",COUNTIF($F474:$AJ474,"HPL"))</f>
        <v/>
      </c>
      <c r="AT474" s="34" t="str">
        <f aca="false">IF($B474="","",COUNTIF($F474:$AJ474,"HCL"))</f>
        <v/>
      </c>
      <c r="AU474" s="34" t="str">
        <f aca="false">IF($B474="","",COUNTIF($F474:$AJ474,"WO"))</f>
        <v/>
      </c>
      <c r="AV474" s="34" t="str">
        <f aca="false">IF($B474="","",COUNTIF($F474:$AJ474,"PH"))</f>
        <v/>
      </c>
      <c r="AW474" s="34" t="str">
        <f aca="false">IF($B474="","",COUNTIF($F474:$AJ474,"TR"))</f>
        <v/>
      </c>
      <c r="AX474" s="35" t="str">
        <f aca="false">IF($B474="","",AO474+AS474/2)</f>
        <v/>
      </c>
      <c r="AY474" s="35" t="str">
        <f aca="false">IF($B474="","",AQ474)</f>
        <v/>
      </c>
      <c r="AZ474" s="35" t="str">
        <f aca="false">IF($B474="","",AP474+AT474/2)</f>
        <v/>
      </c>
      <c r="BA474" s="35" t="str">
        <f aca="false">IF($B474="","",AK474+AN474+AM474/2+AO474+AP474+AQ474+AR474+AS474+AT474+AU474+AV474+AW474)</f>
        <v/>
      </c>
      <c r="BB474" s="35" t="str">
        <f aca="false">IF($B474="","",MAX(0,AN474-Settings!$C$16)*Settings!$C$17)</f>
        <v/>
      </c>
      <c r="BC474" s="35" t="str">
        <f aca="false">IF($B474="","",BA474-BB474)</f>
        <v/>
      </c>
      <c r="BD474" s="35" t="str">
        <f aca="false">IF(OR($B474="",$A474=""),"",DAY(EOMONTH($A474,0))-COUNTA($F474:$AJ474))</f>
        <v/>
      </c>
    </row>
    <row r="475" customFormat="false" ht="15" hidden="false" customHeight="false" outlineLevel="0" collapsed="false">
      <c r="A475" s="32"/>
      <c r="B475" s="29"/>
      <c r="C475" s="10" t="str">
        <f aca="false">IF($B475="","",IFERROR(INDEX(M_name,MATCH($B475,M_emp,0)),"Code not found"))</f>
        <v/>
      </c>
      <c r="D475" s="10" t="str">
        <f aca="false">IF($B475="","",IFERROR(INDEX(M_dept,MATCH($B475,M_emp,0)),""))</f>
        <v/>
      </c>
      <c r="E475" s="10" t="str">
        <f aca="false">IF($B475="","",IFERROR(INDEX(M_loc,MATCH($B475,M_emp,0)),""))</f>
        <v/>
      </c>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4" t="str">
        <f aca="false">IF($B475="","",COUNTIF($F475:$AJ475,"P"))</f>
        <v/>
      </c>
      <c r="AL475" s="34" t="str">
        <f aca="false">IF($B475="","",COUNTIF($F475:$AJ475,"A"))</f>
        <v/>
      </c>
      <c r="AM475" s="34" t="str">
        <f aca="false">IF($B475="","",COUNTIF($F475:$AJ475,"HA"))</f>
        <v/>
      </c>
      <c r="AN475" s="34" t="str">
        <f aca="false">IF($B475="","",COUNTIF($F475:$AJ475,"L"))</f>
        <v/>
      </c>
      <c r="AO475" s="34" t="str">
        <f aca="false">IF($B475="","",COUNTIF($F475:$AJ475,"PL"))</f>
        <v/>
      </c>
      <c r="AP475" s="34" t="str">
        <f aca="false">IF($B475="","",COUNTIF($F475:$AJ475,"CL"))</f>
        <v/>
      </c>
      <c r="AQ475" s="34" t="str">
        <f aca="false">IF($B475="","",COUNTIF($F475:$AJ475,"SL"))</f>
        <v/>
      </c>
      <c r="AR475" s="34" t="str">
        <f aca="false">IF($B475="","",COUNTIF($F475:$AJ475,"CO"))</f>
        <v/>
      </c>
      <c r="AS475" s="34" t="str">
        <f aca="false">IF($B475="","",COUNTIF($F475:$AJ475,"HPL"))</f>
        <v/>
      </c>
      <c r="AT475" s="34" t="str">
        <f aca="false">IF($B475="","",COUNTIF($F475:$AJ475,"HCL"))</f>
        <v/>
      </c>
      <c r="AU475" s="34" t="str">
        <f aca="false">IF($B475="","",COUNTIF($F475:$AJ475,"WO"))</f>
        <v/>
      </c>
      <c r="AV475" s="34" t="str">
        <f aca="false">IF($B475="","",COUNTIF($F475:$AJ475,"PH"))</f>
        <v/>
      </c>
      <c r="AW475" s="34" t="str">
        <f aca="false">IF($B475="","",COUNTIF($F475:$AJ475,"TR"))</f>
        <v/>
      </c>
      <c r="AX475" s="35" t="str">
        <f aca="false">IF($B475="","",AO475+AS475/2)</f>
        <v/>
      </c>
      <c r="AY475" s="35" t="str">
        <f aca="false">IF($B475="","",AQ475)</f>
        <v/>
      </c>
      <c r="AZ475" s="35" t="str">
        <f aca="false">IF($B475="","",AP475+AT475/2)</f>
        <v/>
      </c>
      <c r="BA475" s="35" t="str">
        <f aca="false">IF($B475="","",AK475+AN475+AM475/2+AO475+AP475+AQ475+AR475+AS475+AT475+AU475+AV475+AW475)</f>
        <v/>
      </c>
      <c r="BB475" s="35" t="str">
        <f aca="false">IF($B475="","",MAX(0,AN475-Settings!$C$16)*Settings!$C$17)</f>
        <v/>
      </c>
      <c r="BC475" s="35" t="str">
        <f aca="false">IF($B475="","",BA475-BB475)</f>
        <v/>
      </c>
      <c r="BD475" s="35" t="str">
        <f aca="false">IF(OR($B475="",$A475=""),"",DAY(EOMONTH($A475,0))-COUNTA($F475:$AJ475))</f>
        <v/>
      </c>
    </row>
    <row r="476" customFormat="false" ht="15" hidden="false" customHeight="false" outlineLevel="0" collapsed="false">
      <c r="A476" s="32"/>
      <c r="B476" s="29"/>
      <c r="C476" s="10" t="str">
        <f aca="false">IF($B476="","",IFERROR(INDEX(M_name,MATCH($B476,M_emp,0)),"Code not found"))</f>
        <v/>
      </c>
      <c r="D476" s="10" t="str">
        <f aca="false">IF($B476="","",IFERROR(INDEX(M_dept,MATCH($B476,M_emp,0)),""))</f>
        <v/>
      </c>
      <c r="E476" s="10" t="str">
        <f aca="false">IF($B476="","",IFERROR(INDEX(M_loc,MATCH($B476,M_emp,0)),""))</f>
        <v/>
      </c>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4" t="str">
        <f aca="false">IF($B476="","",COUNTIF($F476:$AJ476,"P"))</f>
        <v/>
      </c>
      <c r="AL476" s="34" t="str">
        <f aca="false">IF($B476="","",COUNTIF($F476:$AJ476,"A"))</f>
        <v/>
      </c>
      <c r="AM476" s="34" t="str">
        <f aca="false">IF($B476="","",COUNTIF($F476:$AJ476,"HA"))</f>
        <v/>
      </c>
      <c r="AN476" s="34" t="str">
        <f aca="false">IF($B476="","",COUNTIF($F476:$AJ476,"L"))</f>
        <v/>
      </c>
      <c r="AO476" s="34" t="str">
        <f aca="false">IF($B476="","",COUNTIF($F476:$AJ476,"PL"))</f>
        <v/>
      </c>
      <c r="AP476" s="34" t="str">
        <f aca="false">IF($B476="","",COUNTIF($F476:$AJ476,"CL"))</f>
        <v/>
      </c>
      <c r="AQ476" s="34" t="str">
        <f aca="false">IF($B476="","",COUNTIF($F476:$AJ476,"SL"))</f>
        <v/>
      </c>
      <c r="AR476" s="34" t="str">
        <f aca="false">IF($B476="","",COUNTIF($F476:$AJ476,"CO"))</f>
        <v/>
      </c>
      <c r="AS476" s="34" t="str">
        <f aca="false">IF($B476="","",COUNTIF($F476:$AJ476,"HPL"))</f>
        <v/>
      </c>
      <c r="AT476" s="34" t="str">
        <f aca="false">IF($B476="","",COUNTIF($F476:$AJ476,"HCL"))</f>
        <v/>
      </c>
      <c r="AU476" s="34" t="str">
        <f aca="false">IF($B476="","",COUNTIF($F476:$AJ476,"WO"))</f>
        <v/>
      </c>
      <c r="AV476" s="34" t="str">
        <f aca="false">IF($B476="","",COUNTIF($F476:$AJ476,"PH"))</f>
        <v/>
      </c>
      <c r="AW476" s="34" t="str">
        <f aca="false">IF($B476="","",COUNTIF($F476:$AJ476,"TR"))</f>
        <v/>
      </c>
      <c r="AX476" s="35" t="str">
        <f aca="false">IF($B476="","",AO476+AS476/2)</f>
        <v/>
      </c>
      <c r="AY476" s="35" t="str">
        <f aca="false">IF($B476="","",AQ476)</f>
        <v/>
      </c>
      <c r="AZ476" s="35" t="str">
        <f aca="false">IF($B476="","",AP476+AT476/2)</f>
        <v/>
      </c>
      <c r="BA476" s="35" t="str">
        <f aca="false">IF($B476="","",AK476+AN476+AM476/2+AO476+AP476+AQ476+AR476+AS476+AT476+AU476+AV476+AW476)</f>
        <v/>
      </c>
      <c r="BB476" s="35" t="str">
        <f aca="false">IF($B476="","",MAX(0,AN476-Settings!$C$16)*Settings!$C$17)</f>
        <v/>
      </c>
      <c r="BC476" s="35" t="str">
        <f aca="false">IF($B476="","",BA476-BB476)</f>
        <v/>
      </c>
      <c r="BD476" s="35" t="str">
        <f aca="false">IF(OR($B476="",$A476=""),"",DAY(EOMONTH($A476,0))-COUNTA($F476:$AJ476))</f>
        <v/>
      </c>
    </row>
    <row r="477" customFormat="false" ht="15" hidden="false" customHeight="false" outlineLevel="0" collapsed="false">
      <c r="A477" s="32"/>
      <c r="B477" s="29"/>
      <c r="C477" s="10" t="str">
        <f aca="false">IF($B477="","",IFERROR(INDEX(M_name,MATCH($B477,M_emp,0)),"Code not found"))</f>
        <v/>
      </c>
      <c r="D477" s="10" t="str">
        <f aca="false">IF($B477="","",IFERROR(INDEX(M_dept,MATCH($B477,M_emp,0)),""))</f>
        <v/>
      </c>
      <c r="E477" s="10" t="str">
        <f aca="false">IF($B477="","",IFERROR(INDEX(M_loc,MATCH($B477,M_emp,0)),""))</f>
        <v/>
      </c>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4" t="str">
        <f aca="false">IF($B477="","",COUNTIF($F477:$AJ477,"P"))</f>
        <v/>
      </c>
      <c r="AL477" s="34" t="str">
        <f aca="false">IF($B477="","",COUNTIF($F477:$AJ477,"A"))</f>
        <v/>
      </c>
      <c r="AM477" s="34" t="str">
        <f aca="false">IF($B477="","",COUNTIF($F477:$AJ477,"HA"))</f>
        <v/>
      </c>
      <c r="AN477" s="34" t="str">
        <f aca="false">IF($B477="","",COUNTIF($F477:$AJ477,"L"))</f>
        <v/>
      </c>
      <c r="AO477" s="34" t="str">
        <f aca="false">IF($B477="","",COUNTIF($F477:$AJ477,"PL"))</f>
        <v/>
      </c>
      <c r="AP477" s="34" t="str">
        <f aca="false">IF($B477="","",COUNTIF($F477:$AJ477,"CL"))</f>
        <v/>
      </c>
      <c r="AQ477" s="34" t="str">
        <f aca="false">IF($B477="","",COUNTIF($F477:$AJ477,"SL"))</f>
        <v/>
      </c>
      <c r="AR477" s="34" t="str">
        <f aca="false">IF($B477="","",COUNTIF($F477:$AJ477,"CO"))</f>
        <v/>
      </c>
      <c r="AS477" s="34" t="str">
        <f aca="false">IF($B477="","",COUNTIF($F477:$AJ477,"HPL"))</f>
        <v/>
      </c>
      <c r="AT477" s="34" t="str">
        <f aca="false">IF($B477="","",COUNTIF($F477:$AJ477,"HCL"))</f>
        <v/>
      </c>
      <c r="AU477" s="34" t="str">
        <f aca="false">IF($B477="","",COUNTIF($F477:$AJ477,"WO"))</f>
        <v/>
      </c>
      <c r="AV477" s="34" t="str">
        <f aca="false">IF($B477="","",COUNTIF($F477:$AJ477,"PH"))</f>
        <v/>
      </c>
      <c r="AW477" s="34" t="str">
        <f aca="false">IF($B477="","",COUNTIF($F477:$AJ477,"TR"))</f>
        <v/>
      </c>
      <c r="AX477" s="35" t="str">
        <f aca="false">IF($B477="","",AO477+AS477/2)</f>
        <v/>
      </c>
      <c r="AY477" s="35" t="str">
        <f aca="false">IF($B477="","",AQ477)</f>
        <v/>
      </c>
      <c r="AZ477" s="35" t="str">
        <f aca="false">IF($B477="","",AP477+AT477/2)</f>
        <v/>
      </c>
      <c r="BA477" s="35" t="str">
        <f aca="false">IF($B477="","",AK477+AN477+AM477/2+AO477+AP477+AQ477+AR477+AS477+AT477+AU477+AV477+AW477)</f>
        <v/>
      </c>
      <c r="BB477" s="35" t="str">
        <f aca="false">IF($B477="","",MAX(0,AN477-Settings!$C$16)*Settings!$C$17)</f>
        <v/>
      </c>
      <c r="BC477" s="35" t="str">
        <f aca="false">IF($B477="","",BA477-BB477)</f>
        <v/>
      </c>
      <c r="BD477" s="35" t="str">
        <f aca="false">IF(OR($B477="",$A477=""),"",DAY(EOMONTH($A477,0))-COUNTA($F477:$AJ477))</f>
        <v/>
      </c>
    </row>
    <row r="478" customFormat="false" ht="15" hidden="false" customHeight="false" outlineLevel="0" collapsed="false">
      <c r="A478" s="32"/>
      <c r="B478" s="29"/>
      <c r="C478" s="10" t="str">
        <f aca="false">IF($B478="","",IFERROR(INDEX(M_name,MATCH($B478,M_emp,0)),"Code not found"))</f>
        <v/>
      </c>
      <c r="D478" s="10" t="str">
        <f aca="false">IF($B478="","",IFERROR(INDEX(M_dept,MATCH($B478,M_emp,0)),""))</f>
        <v/>
      </c>
      <c r="E478" s="10" t="str">
        <f aca="false">IF($B478="","",IFERROR(INDEX(M_loc,MATCH($B478,M_emp,0)),""))</f>
        <v/>
      </c>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4" t="str">
        <f aca="false">IF($B478="","",COUNTIF($F478:$AJ478,"P"))</f>
        <v/>
      </c>
      <c r="AL478" s="34" t="str">
        <f aca="false">IF($B478="","",COUNTIF($F478:$AJ478,"A"))</f>
        <v/>
      </c>
      <c r="AM478" s="34" t="str">
        <f aca="false">IF($B478="","",COUNTIF($F478:$AJ478,"HA"))</f>
        <v/>
      </c>
      <c r="AN478" s="34" t="str">
        <f aca="false">IF($B478="","",COUNTIF($F478:$AJ478,"L"))</f>
        <v/>
      </c>
      <c r="AO478" s="34" t="str">
        <f aca="false">IF($B478="","",COUNTIF($F478:$AJ478,"PL"))</f>
        <v/>
      </c>
      <c r="AP478" s="34" t="str">
        <f aca="false">IF($B478="","",COUNTIF($F478:$AJ478,"CL"))</f>
        <v/>
      </c>
      <c r="AQ478" s="34" t="str">
        <f aca="false">IF($B478="","",COUNTIF($F478:$AJ478,"SL"))</f>
        <v/>
      </c>
      <c r="AR478" s="34" t="str">
        <f aca="false">IF($B478="","",COUNTIF($F478:$AJ478,"CO"))</f>
        <v/>
      </c>
      <c r="AS478" s="34" t="str">
        <f aca="false">IF($B478="","",COUNTIF($F478:$AJ478,"HPL"))</f>
        <v/>
      </c>
      <c r="AT478" s="34" t="str">
        <f aca="false">IF($B478="","",COUNTIF($F478:$AJ478,"HCL"))</f>
        <v/>
      </c>
      <c r="AU478" s="34" t="str">
        <f aca="false">IF($B478="","",COUNTIF($F478:$AJ478,"WO"))</f>
        <v/>
      </c>
      <c r="AV478" s="34" t="str">
        <f aca="false">IF($B478="","",COUNTIF($F478:$AJ478,"PH"))</f>
        <v/>
      </c>
      <c r="AW478" s="34" t="str">
        <f aca="false">IF($B478="","",COUNTIF($F478:$AJ478,"TR"))</f>
        <v/>
      </c>
      <c r="AX478" s="35" t="str">
        <f aca="false">IF($B478="","",AO478+AS478/2)</f>
        <v/>
      </c>
      <c r="AY478" s="35" t="str">
        <f aca="false">IF($B478="","",AQ478)</f>
        <v/>
      </c>
      <c r="AZ478" s="35" t="str">
        <f aca="false">IF($B478="","",AP478+AT478/2)</f>
        <v/>
      </c>
      <c r="BA478" s="35" t="str">
        <f aca="false">IF($B478="","",AK478+AN478+AM478/2+AO478+AP478+AQ478+AR478+AS478+AT478+AU478+AV478+AW478)</f>
        <v/>
      </c>
      <c r="BB478" s="35" t="str">
        <f aca="false">IF($B478="","",MAX(0,AN478-Settings!$C$16)*Settings!$C$17)</f>
        <v/>
      </c>
      <c r="BC478" s="35" t="str">
        <f aca="false">IF($B478="","",BA478-BB478)</f>
        <v/>
      </c>
      <c r="BD478" s="35" t="str">
        <f aca="false">IF(OR($B478="",$A478=""),"",DAY(EOMONTH($A478,0))-COUNTA($F478:$AJ478))</f>
        <v/>
      </c>
    </row>
    <row r="479" customFormat="false" ht="15" hidden="false" customHeight="false" outlineLevel="0" collapsed="false">
      <c r="A479" s="32"/>
      <c r="B479" s="29"/>
      <c r="C479" s="10" t="str">
        <f aca="false">IF($B479="","",IFERROR(INDEX(M_name,MATCH($B479,M_emp,0)),"Code not found"))</f>
        <v/>
      </c>
      <c r="D479" s="10" t="str">
        <f aca="false">IF($B479="","",IFERROR(INDEX(M_dept,MATCH($B479,M_emp,0)),""))</f>
        <v/>
      </c>
      <c r="E479" s="10" t="str">
        <f aca="false">IF($B479="","",IFERROR(INDEX(M_loc,MATCH($B479,M_emp,0)),""))</f>
        <v/>
      </c>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4" t="str">
        <f aca="false">IF($B479="","",COUNTIF($F479:$AJ479,"P"))</f>
        <v/>
      </c>
      <c r="AL479" s="34" t="str">
        <f aca="false">IF($B479="","",COUNTIF($F479:$AJ479,"A"))</f>
        <v/>
      </c>
      <c r="AM479" s="34" t="str">
        <f aca="false">IF($B479="","",COUNTIF($F479:$AJ479,"HA"))</f>
        <v/>
      </c>
      <c r="AN479" s="34" t="str">
        <f aca="false">IF($B479="","",COUNTIF($F479:$AJ479,"L"))</f>
        <v/>
      </c>
      <c r="AO479" s="34" t="str">
        <f aca="false">IF($B479="","",COUNTIF($F479:$AJ479,"PL"))</f>
        <v/>
      </c>
      <c r="AP479" s="34" t="str">
        <f aca="false">IF($B479="","",COUNTIF($F479:$AJ479,"CL"))</f>
        <v/>
      </c>
      <c r="AQ479" s="34" t="str">
        <f aca="false">IF($B479="","",COUNTIF($F479:$AJ479,"SL"))</f>
        <v/>
      </c>
      <c r="AR479" s="34" t="str">
        <f aca="false">IF($B479="","",COUNTIF($F479:$AJ479,"CO"))</f>
        <v/>
      </c>
      <c r="AS479" s="34" t="str">
        <f aca="false">IF($B479="","",COUNTIF($F479:$AJ479,"HPL"))</f>
        <v/>
      </c>
      <c r="AT479" s="34" t="str">
        <f aca="false">IF($B479="","",COUNTIF($F479:$AJ479,"HCL"))</f>
        <v/>
      </c>
      <c r="AU479" s="34" t="str">
        <f aca="false">IF($B479="","",COUNTIF($F479:$AJ479,"WO"))</f>
        <v/>
      </c>
      <c r="AV479" s="34" t="str">
        <f aca="false">IF($B479="","",COUNTIF($F479:$AJ479,"PH"))</f>
        <v/>
      </c>
      <c r="AW479" s="34" t="str">
        <f aca="false">IF($B479="","",COUNTIF($F479:$AJ479,"TR"))</f>
        <v/>
      </c>
      <c r="AX479" s="35" t="str">
        <f aca="false">IF($B479="","",AO479+AS479/2)</f>
        <v/>
      </c>
      <c r="AY479" s="35" t="str">
        <f aca="false">IF($B479="","",AQ479)</f>
        <v/>
      </c>
      <c r="AZ479" s="35" t="str">
        <f aca="false">IF($B479="","",AP479+AT479/2)</f>
        <v/>
      </c>
      <c r="BA479" s="35" t="str">
        <f aca="false">IF($B479="","",AK479+AN479+AM479/2+AO479+AP479+AQ479+AR479+AS479+AT479+AU479+AV479+AW479)</f>
        <v/>
      </c>
      <c r="BB479" s="35" t="str">
        <f aca="false">IF($B479="","",MAX(0,AN479-Settings!$C$16)*Settings!$C$17)</f>
        <v/>
      </c>
      <c r="BC479" s="35" t="str">
        <f aca="false">IF($B479="","",BA479-BB479)</f>
        <v/>
      </c>
      <c r="BD479" s="35" t="str">
        <f aca="false">IF(OR($B479="",$A479=""),"",DAY(EOMONTH($A479,0))-COUNTA($F479:$AJ479))</f>
        <v/>
      </c>
    </row>
    <row r="480" customFormat="false" ht="15" hidden="false" customHeight="false" outlineLevel="0" collapsed="false">
      <c r="A480" s="32"/>
      <c r="B480" s="29"/>
      <c r="C480" s="10" t="str">
        <f aca="false">IF($B480="","",IFERROR(INDEX(M_name,MATCH($B480,M_emp,0)),"Code not found"))</f>
        <v/>
      </c>
      <c r="D480" s="10" t="str">
        <f aca="false">IF($B480="","",IFERROR(INDEX(M_dept,MATCH($B480,M_emp,0)),""))</f>
        <v/>
      </c>
      <c r="E480" s="10" t="str">
        <f aca="false">IF($B480="","",IFERROR(INDEX(M_loc,MATCH($B480,M_emp,0)),""))</f>
        <v/>
      </c>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4" t="str">
        <f aca="false">IF($B480="","",COUNTIF($F480:$AJ480,"P"))</f>
        <v/>
      </c>
      <c r="AL480" s="34" t="str">
        <f aca="false">IF($B480="","",COUNTIF($F480:$AJ480,"A"))</f>
        <v/>
      </c>
      <c r="AM480" s="34" t="str">
        <f aca="false">IF($B480="","",COUNTIF($F480:$AJ480,"HA"))</f>
        <v/>
      </c>
      <c r="AN480" s="34" t="str">
        <f aca="false">IF($B480="","",COUNTIF($F480:$AJ480,"L"))</f>
        <v/>
      </c>
      <c r="AO480" s="34" t="str">
        <f aca="false">IF($B480="","",COUNTIF($F480:$AJ480,"PL"))</f>
        <v/>
      </c>
      <c r="AP480" s="34" t="str">
        <f aca="false">IF($B480="","",COUNTIF($F480:$AJ480,"CL"))</f>
        <v/>
      </c>
      <c r="AQ480" s="34" t="str">
        <f aca="false">IF($B480="","",COUNTIF($F480:$AJ480,"SL"))</f>
        <v/>
      </c>
      <c r="AR480" s="34" t="str">
        <f aca="false">IF($B480="","",COUNTIF($F480:$AJ480,"CO"))</f>
        <v/>
      </c>
      <c r="AS480" s="34" t="str">
        <f aca="false">IF($B480="","",COUNTIF($F480:$AJ480,"HPL"))</f>
        <v/>
      </c>
      <c r="AT480" s="34" t="str">
        <f aca="false">IF($B480="","",COUNTIF($F480:$AJ480,"HCL"))</f>
        <v/>
      </c>
      <c r="AU480" s="34" t="str">
        <f aca="false">IF($B480="","",COUNTIF($F480:$AJ480,"WO"))</f>
        <v/>
      </c>
      <c r="AV480" s="34" t="str">
        <f aca="false">IF($B480="","",COUNTIF($F480:$AJ480,"PH"))</f>
        <v/>
      </c>
      <c r="AW480" s="34" t="str">
        <f aca="false">IF($B480="","",COUNTIF($F480:$AJ480,"TR"))</f>
        <v/>
      </c>
      <c r="AX480" s="35" t="str">
        <f aca="false">IF($B480="","",AO480+AS480/2)</f>
        <v/>
      </c>
      <c r="AY480" s="35" t="str">
        <f aca="false">IF($B480="","",AQ480)</f>
        <v/>
      </c>
      <c r="AZ480" s="35" t="str">
        <f aca="false">IF($B480="","",AP480+AT480/2)</f>
        <v/>
      </c>
      <c r="BA480" s="35" t="str">
        <f aca="false">IF($B480="","",AK480+AN480+AM480/2+AO480+AP480+AQ480+AR480+AS480+AT480+AU480+AV480+AW480)</f>
        <v/>
      </c>
      <c r="BB480" s="35" t="str">
        <f aca="false">IF($B480="","",MAX(0,AN480-Settings!$C$16)*Settings!$C$17)</f>
        <v/>
      </c>
      <c r="BC480" s="35" t="str">
        <f aca="false">IF($B480="","",BA480-BB480)</f>
        <v/>
      </c>
      <c r="BD480" s="35" t="str">
        <f aca="false">IF(OR($B480="",$A480=""),"",DAY(EOMONTH($A480,0))-COUNTA($F480:$AJ480))</f>
        <v/>
      </c>
    </row>
    <row r="481" customFormat="false" ht="15" hidden="false" customHeight="false" outlineLevel="0" collapsed="false">
      <c r="A481" s="32"/>
      <c r="B481" s="29"/>
      <c r="C481" s="10" t="str">
        <f aca="false">IF($B481="","",IFERROR(INDEX(M_name,MATCH($B481,M_emp,0)),"Code not found"))</f>
        <v/>
      </c>
      <c r="D481" s="10" t="str">
        <f aca="false">IF($B481="","",IFERROR(INDEX(M_dept,MATCH($B481,M_emp,0)),""))</f>
        <v/>
      </c>
      <c r="E481" s="10" t="str">
        <f aca="false">IF($B481="","",IFERROR(INDEX(M_loc,MATCH($B481,M_emp,0)),""))</f>
        <v/>
      </c>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4" t="str">
        <f aca="false">IF($B481="","",COUNTIF($F481:$AJ481,"P"))</f>
        <v/>
      </c>
      <c r="AL481" s="34" t="str">
        <f aca="false">IF($B481="","",COUNTIF($F481:$AJ481,"A"))</f>
        <v/>
      </c>
      <c r="AM481" s="34" t="str">
        <f aca="false">IF($B481="","",COUNTIF($F481:$AJ481,"HA"))</f>
        <v/>
      </c>
      <c r="AN481" s="34" t="str">
        <f aca="false">IF($B481="","",COUNTIF($F481:$AJ481,"L"))</f>
        <v/>
      </c>
      <c r="AO481" s="34" t="str">
        <f aca="false">IF($B481="","",COUNTIF($F481:$AJ481,"PL"))</f>
        <v/>
      </c>
      <c r="AP481" s="34" t="str">
        <f aca="false">IF($B481="","",COUNTIF($F481:$AJ481,"CL"))</f>
        <v/>
      </c>
      <c r="AQ481" s="34" t="str">
        <f aca="false">IF($B481="","",COUNTIF($F481:$AJ481,"SL"))</f>
        <v/>
      </c>
      <c r="AR481" s="34" t="str">
        <f aca="false">IF($B481="","",COUNTIF($F481:$AJ481,"CO"))</f>
        <v/>
      </c>
      <c r="AS481" s="34" t="str">
        <f aca="false">IF($B481="","",COUNTIF($F481:$AJ481,"HPL"))</f>
        <v/>
      </c>
      <c r="AT481" s="34" t="str">
        <f aca="false">IF($B481="","",COUNTIF($F481:$AJ481,"HCL"))</f>
        <v/>
      </c>
      <c r="AU481" s="34" t="str">
        <f aca="false">IF($B481="","",COUNTIF($F481:$AJ481,"WO"))</f>
        <v/>
      </c>
      <c r="AV481" s="34" t="str">
        <f aca="false">IF($B481="","",COUNTIF($F481:$AJ481,"PH"))</f>
        <v/>
      </c>
      <c r="AW481" s="34" t="str">
        <f aca="false">IF($B481="","",COUNTIF($F481:$AJ481,"TR"))</f>
        <v/>
      </c>
      <c r="AX481" s="35" t="str">
        <f aca="false">IF($B481="","",AO481+AS481/2)</f>
        <v/>
      </c>
      <c r="AY481" s="35" t="str">
        <f aca="false">IF($B481="","",AQ481)</f>
        <v/>
      </c>
      <c r="AZ481" s="35" t="str">
        <f aca="false">IF($B481="","",AP481+AT481/2)</f>
        <v/>
      </c>
      <c r="BA481" s="35" t="str">
        <f aca="false">IF($B481="","",AK481+AN481+AM481/2+AO481+AP481+AQ481+AR481+AS481+AT481+AU481+AV481+AW481)</f>
        <v/>
      </c>
      <c r="BB481" s="35" t="str">
        <f aca="false">IF($B481="","",MAX(0,AN481-Settings!$C$16)*Settings!$C$17)</f>
        <v/>
      </c>
      <c r="BC481" s="35" t="str">
        <f aca="false">IF($B481="","",BA481-BB481)</f>
        <v/>
      </c>
      <c r="BD481" s="35" t="str">
        <f aca="false">IF(OR($B481="",$A481=""),"",DAY(EOMONTH($A481,0))-COUNTA($F481:$AJ481))</f>
        <v/>
      </c>
    </row>
    <row r="482" customFormat="false" ht="15" hidden="false" customHeight="false" outlineLevel="0" collapsed="false">
      <c r="A482" s="32"/>
      <c r="B482" s="29"/>
      <c r="C482" s="10" t="str">
        <f aca="false">IF($B482="","",IFERROR(INDEX(M_name,MATCH($B482,M_emp,0)),"Code not found"))</f>
        <v/>
      </c>
      <c r="D482" s="10" t="str">
        <f aca="false">IF($B482="","",IFERROR(INDEX(M_dept,MATCH($B482,M_emp,0)),""))</f>
        <v/>
      </c>
      <c r="E482" s="10" t="str">
        <f aca="false">IF($B482="","",IFERROR(INDEX(M_loc,MATCH($B482,M_emp,0)),""))</f>
        <v/>
      </c>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4" t="str">
        <f aca="false">IF($B482="","",COUNTIF($F482:$AJ482,"P"))</f>
        <v/>
      </c>
      <c r="AL482" s="34" t="str">
        <f aca="false">IF($B482="","",COUNTIF($F482:$AJ482,"A"))</f>
        <v/>
      </c>
      <c r="AM482" s="34" t="str">
        <f aca="false">IF($B482="","",COUNTIF($F482:$AJ482,"HA"))</f>
        <v/>
      </c>
      <c r="AN482" s="34" t="str">
        <f aca="false">IF($B482="","",COUNTIF($F482:$AJ482,"L"))</f>
        <v/>
      </c>
      <c r="AO482" s="34" t="str">
        <f aca="false">IF($B482="","",COUNTIF($F482:$AJ482,"PL"))</f>
        <v/>
      </c>
      <c r="AP482" s="34" t="str">
        <f aca="false">IF($B482="","",COUNTIF($F482:$AJ482,"CL"))</f>
        <v/>
      </c>
      <c r="AQ482" s="34" t="str">
        <f aca="false">IF($B482="","",COUNTIF($F482:$AJ482,"SL"))</f>
        <v/>
      </c>
      <c r="AR482" s="34" t="str">
        <f aca="false">IF($B482="","",COUNTIF($F482:$AJ482,"CO"))</f>
        <v/>
      </c>
      <c r="AS482" s="34" t="str">
        <f aca="false">IF($B482="","",COUNTIF($F482:$AJ482,"HPL"))</f>
        <v/>
      </c>
      <c r="AT482" s="34" t="str">
        <f aca="false">IF($B482="","",COUNTIF($F482:$AJ482,"HCL"))</f>
        <v/>
      </c>
      <c r="AU482" s="34" t="str">
        <f aca="false">IF($B482="","",COUNTIF($F482:$AJ482,"WO"))</f>
        <v/>
      </c>
      <c r="AV482" s="34" t="str">
        <f aca="false">IF($B482="","",COUNTIF($F482:$AJ482,"PH"))</f>
        <v/>
      </c>
      <c r="AW482" s="34" t="str">
        <f aca="false">IF($B482="","",COUNTIF($F482:$AJ482,"TR"))</f>
        <v/>
      </c>
      <c r="AX482" s="35" t="str">
        <f aca="false">IF($B482="","",AO482+AS482/2)</f>
        <v/>
      </c>
      <c r="AY482" s="35" t="str">
        <f aca="false">IF($B482="","",AQ482)</f>
        <v/>
      </c>
      <c r="AZ482" s="35" t="str">
        <f aca="false">IF($B482="","",AP482+AT482/2)</f>
        <v/>
      </c>
      <c r="BA482" s="35" t="str">
        <f aca="false">IF($B482="","",AK482+AN482+AM482/2+AO482+AP482+AQ482+AR482+AS482+AT482+AU482+AV482+AW482)</f>
        <v/>
      </c>
      <c r="BB482" s="35" t="str">
        <f aca="false">IF($B482="","",MAX(0,AN482-Settings!$C$16)*Settings!$C$17)</f>
        <v/>
      </c>
      <c r="BC482" s="35" t="str">
        <f aca="false">IF($B482="","",BA482-BB482)</f>
        <v/>
      </c>
      <c r="BD482" s="35" t="str">
        <f aca="false">IF(OR($B482="",$A482=""),"",DAY(EOMONTH($A482,0))-COUNTA($F482:$AJ482))</f>
        <v/>
      </c>
    </row>
    <row r="483" customFormat="false" ht="15" hidden="false" customHeight="false" outlineLevel="0" collapsed="false">
      <c r="A483" s="32"/>
      <c r="B483" s="29"/>
      <c r="C483" s="10" t="str">
        <f aca="false">IF($B483="","",IFERROR(INDEX(M_name,MATCH($B483,M_emp,0)),"Code not found"))</f>
        <v/>
      </c>
      <c r="D483" s="10" t="str">
        <f aca="false">IF($B483="","",IFERROR(INDEX(M_dept,MATCH($B483,M_emp,0)),""))</f>
        <v/>
      </c>
      <c r="E483" s="10" t="str">
        <f aca="false">IF($B483="","",IFERROR(INDEX(M_loc,MATCH($B483,M_emp,0)),""))</f>
        <v/>
      </c>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4" t="str">
        <f aca="false">IF($B483="","",COUNTIF($F483:$AJ483,"P"))</f>
        <v/>
      </c>
      <c r="AL483" s="34" t="str">
        <f aca="false">IF($B483="","",COUNTIF($F483:$AJ483,"A"))</f>
        <v/>
      </c>
      <c r="AM483" s="34" t="str">
        <f aca="false">IF($B483="","",COUNTIF($F483:$AJ483,"HA"))</f>
        <v/>
      </c>
      <c r="AN483" s="34" t="str">
        <f aca="false">IF($B483="","",COUNTIF($F483:$AJ483,"L"))</f>
        <v/>
      </c>
      <c r="AO483" s="34" t="str">
        <f aca="false">IF($B483="","",COUNTIF($F483:$AJ483,"PL"))</f>
        <v/>
      </c>
      <c r="AP483" s="34" t="str">
        <f aca="false">IF($B483="","",COUNTIF($F483:$AJ483,"CL"))</f>
        <v/>
      </c>
      <c r="AQ483" s="34" t="str">
        <f aca="false">IF($B483="","",COUNTIF($F483:$AJ483,"SL"))</f>
        <v/>
      </c>
      <c r="AR483" s="34" t="str">
        <f aca="false">IF($B483="","",COUNTIF($F483:$AJ483,"CO"))</f>
        <v/>
      </c>
      <c r="AS483" s="34" t="str">
        <f aca="false">IF($B483="","",COUNTIF($F483:$AJ483,"HPL"))</f>
        <v/>
      </c>
      <c r="AT483" s="34" t="str">
        <f aca="false">IF($B483="","",COUNTIF($F483:$AJ483,"HCL"))</f>
        <v/>
      </c>
      <c r="AU483" s="34" t="str">
        <f aca="false">IF($B483="","",COUNTIF($F483:$AJ483,"WO"))</f>
        <v/>
      </c>
      <c r="AV483" s="34" t="str">
        <f aca="false">IF($B483="","",COUNTIF($F483:$AJ483,"PH"))</f>
        <v/>
      </c>
      <c r="AW483" s="34" t="str">
        <f aca="false">IF($B483="","",COUNTIF($F483:$AJ483,"TR"))</f>
        <v/>
      </c>
      <c r="AX483" s="35" t="str">
        <f aca="false">IF($B483="","",AO483+AS483/2)</f>
        <v/>
      </c>
      <c r="AY483" s="35" t="str">
        <f aca="false">IF($B483="","",AQ483)</f>
        <v/>
      </c>
      <c r="AZ483" s="35" t="str">
        <f aca="false">IF($B483="","",AP483+AT483/2)</f>
        <v/>
      </c>
      <c r="BA483" s="35" t="str">
        <f aca="false">IF($B483="","",AK483+AN483+AM483/2+AO483+AP483+AQ483+AR483+AS483+AT483+AU483+AV483+AW483)</f>
        <v/>
      </c>
      <c r="BB483" s="35" t="str">
        <f aca="false">IF($B483="","",MAX(0,AN483-Settings!$C$16)*Settings!$C$17)</f>
        <v/>
      </c>
      <c r="BC483" s="35" t="str">
        <f aca="false">IF($B483="","",BA483-BB483)</f>
        <v/>
      </c>
      <c r="BD483" s="35" t="str">
        <f aca="false">IF(OR($B483="",$A483=""),"",DAY(EOMONTH($A483,0))-COUNTA($F483:$AJ483))</f>
        <v/>
      </c>
    </row>
    <row r="484" customFormat="false" ht="15" hidden="false" customHeight="false" outlineLevel="0" collapsed="false">
      <c r="A484" s="32"/>
      <c r="B484" s="29"/>
      <c r="C484" s="10" t="str">
        <f aca="false">IF($B484="","",IFERROR(INDEX(M_name,MATCH($B484,M_emp,0)),"Code not found"))</f>
        <v/>
      </c>
      <c r="D484" s="10" t="str">
        <f aca="false">IF($B484="","",IFERROR(INDEX(M_dept,MATCH($B484,M_emp,0)),""))</f>
        <v/>
      </c>
      <c r="E484" s="10" t="str">
        <f aca="false">IF($B484="","",IFERROR(INDEX(M_loc,MATCH($B484,M_emp,0)),""))</f>
        <v/>
      </c>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4" t="str">
        <f aca="false">IF($B484="","",COUNTIF($F484:$AJ484,"P"))</f>
        <v/>
      </c>
      <c r="AL484" s="34" t="str">
        <f aca="false">IF($B484="","",COUNTIF($F484:$AJ484,"A"))</f>
        <v/>
      </c>
      <c r="AM484" s="34" t="str">
        <f aca="false">IF($B484="","",COUNTIF($F484:$AJ484,"HA"))</f>
        <v/>
      </c>
      <c r="AN484" s="34" t="str">
        <f aca="false">IF($B484="","",COUNTIF($F484:$AJ484,"L"))</f>
        <v/>
      </c>
      <c r="AO484" s="34" t="str">
        <f aca="false">IF($B484="","",COUNTIF($F484:$AJ484,"PL"))</f>
        <v/>
      </c>
      <c r="AP484" s="34" t="str">
        <f aca="false">IF($B484="","",COUNTIF($F484:$AJ484,"CL"))</f>
        <v/>
      </c>
      <c r="AQ484" s="34" t="str">
        <f aca="false">IF($B484="","",COUNTIF($F484:$AJ484,"SL"))</f>
        <v/>
      </c>
      <c r="AR484" s="34" t="str">
        <f aca="false">IF($B484="","",COUNTIF($F484:$AJ484,"CO"))</f>
        <v/>
      </c>
      <c r="AS484" s="34" t="str">
        <f aca="false">IF($B484="","",COUNTIF($F484:$AJ484,"HPL"))</f>
        <v/>
      </c>
      <c r="AT484" s="34" t="str">
        <f aca="false">IF($B484="","",COUNTIF($F484:$AJ484,"HCL"))</f>
        <v/>
      </c>
      <c r="AU484" s="34" t="str">
        <f aca="false">IF($B484="","",COUNTIF($F484:$AJ484,"WO"))</f>
        <v/>
      </c>
      <c r="AV484" s="34" t="str">
        <f aca="false">IF($B484="","",COUNTIF($F484:$AJ484,"PH"))</f>
        <v/>
      </c>
      <c r="AW484" s="34" t="str">
        <f aca="false">IF($B484="","",COUNTIF($F484:$AJ484,"TR"))</f>
        <v/>
      </c>
      <c r="AX484" s="35" t="str">
        <f aca="false">IF($B484="","",AO484+AS484/2)</f>
        <v/>
      </c>
      <c r="AY484" s="35" t="str">
        <f aca="false">IF($B484="","",AQ484)</f>
        <v/>
      </c>
      <c r="AZ484" s="35" t="str">
        <f aca="false">IF($B484="","",AP484+AT484/2)</f>
        <v/>
      </c>
      <c r="BA484" s="35" t="str">
        <f aca="false">IF($B484="","",AK484+AN484+AM484/2+AO484+AP484+AQ484+AR484+AS484+AT484+AU484+AV484+AW484)</f>
        <v/>
      </c>
      <c r="BB484" s="35" t="str">
        <f aca="false">IF($B484="","",MAX(0,AN484-Settings!$C$16)*Settings!$C$17)</f>
        <v/>
      </c>
      <c r="BC484" s="35" t="str">
        <f aca="false">IF($B484="","",BA484-BB484)</f>
        <v/>
      </c>
      <c r="BD484" s="35" t="str">
        <f aca="false">IF(OR($B484="",$A484=""),"",DAY(EOMONTH($A484,0))-COUNTA($F484:$AJ484))</f>
        <v/>
      </c>
    </row>
    <row r="485" customFormat="false" ht="15" hidden="false" customHeight="false" outlineLevel="0" collapsed="false">
      <c r="A485" s="32"/>
      <c r="B485" s="29"/>
      <c r="C485" s="10" t="str">
        <f aca="false">IF($B485="","",IFERROR(INDEX(M_name,MATCH($B485,M_emp,0)),"Code not found"))</f>
        <v/>
      </c>
      <c r="D485" s="10" t="str">
        <f aca="false">IF($B485="","",IFERROR(INDEX(M_dept,MATCH($B485,M_emp,0)),""))</f>
        <v/>
      </c>
      <c r="E485" s="10" t="str">
        <f aca="false">IF($B485="","",IFERROR(INDEX(M_loc,MATCH($B485,M_emp,0)),""))</f>
        <v/>
      </c>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4" t="str">
        <f aca="false">IF($B485="","",COUNTIF($F485:$AJ485,"P"))</f>
        <v/>
      </c>
      <c r="AL485" s="34" t="str">
        <f aca="false">IF($B485="","",COUNTIF($F485:$AJ485,"A"))</f>
        <v/>
      </c>
      <c r="AM485" s="34" t="str">
        <f aca="false">IF($B485="","",COUNTIF($F485:$AJ485,"HA"))</f>
        <v/>
      </c>
      <c r="AN485" s="34" t="str">
        <f aca="false">IF($B485="","",COUNTIF($F485:$AJ485,"L"))</f>
        <v/>
      </c>
      <c r="AO485" s="34" t="str">
        <f aca="false">IF($B485="","",COUNTIF($F485:$AJ485,"PL"))</f>
        <v/>
      </c>
      <c r="AP485" s="34" t="str">
        <f aca="false">IF($B485="","",COUNTIF($F485:$AJ485,"CL"))</f>
        <v/>
      </c>
      <c r="AQ485" s="34" t="str">
        <f aca="false">IF($B485="","",COUNTIF($F485:$AJ485,"SL"))</f>
        <v/>
      </c>
      <c r="AR485" s="34" t="str">
        <f aca="false">IF($B485="","",COUNTIF($F485:$AJ485,"CO"))</f>
        <v/>
      </c>
      <c r="AS485" s="34" t="str">
        <f aca="false">IF($B485="","",COUNTIF($F485:$AJ485,"HPL"))</f>
        <v/>
      </c>
      <c r="AT485" s="34" t="str">
        <f aca="false">IF($B485="","",COUNTIF($F485:$AJ485,"HCL"))</f>
        <v/>
      </c>
      <c r="AU485" s="34" t="str">
        <f aca="false">IF($B485="","",COUNTIF($F485:$AJ485,"WO"))</f>
        <v/>
      </c>
      <c r="AV485" s="34" t="str">
        <f aca="false">IF($B485="","",COUNTIF($F485:$AJ485,"PH"))</f>
        <v/>
      </c>
      <c r="AW485" s="34" t="str">
        <f aca="false">IF($B485="","",COUNTIF($F485:$AJ485,"TR"))</f>
        <v/>
      </c>
      <c r="AX485" s="35" t="str">
        <f aca="false">IF($B485="","",AO485+AS485/2)</f>
        <v/>
      </c>
      <c r="AY485" s="35" t="str">
        <f aca="false">IF($B485="","",AQ485)</f>
        <v/>
      </c>
      <c r="AZ485" s="35" t="str">
        <f aca="false">IF($B485="","",AP485+AT485/2)</f>
        <v/>
      </c>
      <c r="BA485" s="35" t="str">
        <f aca="false">IF($B485="","",AK485+AN485+AM485/2+AO485+AP485+AQ485+AR485+AS485+AT485+AU485+AV485+AW485)</f>
        <v/>
      </c>
      <c r="BB485" s="35" t="str">
        <f aca="false">IF($B485="","",MAX(0,AN485-Settings!$C$16)*Settings!$C$17)</f>
        <v/>
      </c>
      <c r="BC485" s="35" t="str">
        <f aca="false">IF($B485="","",BA485-BB485)</f>
        <v/>
      </c>
      <c r="BD485" s="35" t="str">
        <f aca="false">IF(OR($B485="",$A485=""),"",DAY(EOMONTH($A485,0))-COUNTA($F485:$AJ485))</f>
        <v/>
      </c>
    </row>
    <row r="486" customFormat="false" ht="15" hidden="false" customHeight="false" outlineLevel="0" collapsed="false">
      <c r="A486" s="32"/>
      <c r="B486" s="29"/>
      <c r="C486" s="10" t="str">
        <f aca="false">IF($B486="","",IFERROR(INDEX(M_name,MATCH($B486,M_emp,0)),"Code not found"))</f>
        <v/>
      </c>
      <c r="D486" s="10" t="str">
        <f aca="false">IF($B486="","",IFERROR(INDEX(M_dept,MATCH($B486,M_emp,0)),""))</f>
        <v/>
      </c>
      <c r="E486" s="10" t="str">
        <f aca="false">IF($B486="","",IFERROR(INDEX(M_loc,MATCH($B486,M_emp,0)),""))</f>
        <v/>
      </c>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4" t="str">
        <f aca="false">IF($B486="","",COUNTIF($F486:$AJ486,"P"))</f>
        <v/>
      </c>
      <c r="AL486" s="34" t="str">
        <f aca="false">IF($B486="","",COUNTIF($F486:$AJ486,"A"))</f>
        <v/>
      </c>
      <c r="AM486" s="34" t="str">
        <f aca="false">IF($B486="","",COUNTIF($F486:$AJ486,"HA"))</f>
        <v/>
      </c>
      <c r="AN486" s="34" t="str">
        <f aca="false">IF($B486="","",COUNTIF($F486:$AJ486,"L"))</f>
        <v/>
      </c>
      <c r="AO486" s="34" t="str">
        <f aca="false">IF($B486="","",COUNTIF($F486:$AJ486,"PL"))</f>
        <v/>
      </c>
      <c r="AP486" s="34" t="str">
        <f aca="false">IF($B486="","",COUNTIF($F486:$AJ486,"CL"))</f>
        <v/>
      </c>
      <c r="AQ486" s="34" t="str">
        <f aca="false">IF($B486="","",COUNTIF($F486:$AJ486,"SL"))</f>
        <v/>
      </c>
      <c r="AR486" s="34" t="str">
        <f aca="false">IF($B486="","",COUNTIF($F486:$AJ486,"CO"))</f>
        <v/>
      </c>
      <c r="AS486" s="34" t="str">
        <f aca="false">IF($B486="","",COUNTIF($F486:$AJ486,"HPL"))</f>
        <v/>
      </c>
      <c r="AT486" s="34" t="str">
        <f aca="false">IF($B486="","",COUNTIF($F486:$AJ486,"HCL"))</f>
        <v/>
      </c>
      <c r="AU486" s="34" t="str">
        <f aca="false">IF($B486="","",COUNTIF($F486:$AJ486,"WO"))</f>
        <v/>
      </c>
      <c r="AV486" s="34" t="str">
        <f aca="false">IF($B486="","",COUNTIF($F486:$AJ486,"PH"))</f>
        <v/>
      </c>
      <c r="AW486" s="34" t="str">
        <f aca="false">IF($B486="","",COUNTIF($F486:$AJ486,"TR"))</f>
        <v/>
      </c>
      <c r="AX486" s="35" t="str">
        <f aca="false">IF($B486="","",AO486+AS486/2)</f>
        <v/>
      </c>
      <c r="AY486" s="35" t="str">
        <f aca="false">IF($B486="","",AQ486)</f>
        <v/>
      </c>
      <c r="AZ486" s="35" t="str">
        <f aca="false">IF($B486="","",AP486+AT486/2)</f>
        <v/>
      </c>
      <c r="BA486" s="35" t="str">
        <f aca="false">IF($B486="","",AK486+AN486+AM486/2+AO486+AP486+AQ486+AR486+AS486+AT486+AU486+AV486+AW486)</f>
        <v/>
      </c>
      <c r="BB486" s="35" t="str">
        <f aca="false">IF($B486="","",MAX(0,AN486-Settings!$C$16)*Settings!$C$17)</f>
        <v/>
      </c>
      <c r="BC486" s="35" t="str">
        <f aca="false">IF($B486="","",BA486-BB486)</f>
        <v/>
      </c>
      <c r="BD486" s="35" t="str">
        <f aca="false">IF(OR($B486="",$A486=""),"",DAY(EOMONTH($A486,0))-COUNTA($F486:$AJ486))</f>
        <v/>
      </c>
    </row>
    <row r="487" customFormat="false" ht="15" hidden="false" customHeight="false" outlineLevel="0" collapsed="false">
      <c r="A487" s="32"/>
      <c r="B487" s="29"/>
      <c r="C487" s="10" t="str">
        <f aca="false">IF($B487="","",IFERROR(INDEX(M_name,MATCH($B487,M_emp,0)),"Code not found"))</f>
        <v/>
      </c>
      <c r="D487" s="10" t="str">
        <f aca="false">IF($B487="","",IFERROR(INDEX(M_dept,MATCH($B487,M_emp,0)),""))</f>
        <v/>
      </c>
      <c r="E487" s="10" t="str">
        <f aca="false">IF($B487="","",IFERROR(INDEX(M_loc,MATCH($B487,M_emp,0)),""))</f>
        <v/>
      </c>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4" t="str">
        <f aca="false">IF($B487="","",COUNTIF($F487:$AJ487,"P"))</f>
        <v/>
      </c>
      <c r="AL487" s="34" t="str">
        <f aca="false">IF($B487="","",COUNTIF($F487:$AJ487,"A"))</f>
        <v/>
      </c>
      <c r="AM487" s="34" t="str">
        <f aca="false">IF($B487="","",COUNTIF($F487:$AJ487,"HA"))</f>
        <v/>
      </c>
      <c r="AN487" s="34" t="str">
        <f aca="false">IF($B487="","",COUNTIF($F487:$AJ487,"L"))</f>
        <v/>
      </c>
      <c r="AO487" s="34" t="str">
        <f aca="false">IF($B487="","",COUNTIF($F487:$AJ487,"PL"))</f>
        <v/>
      </c>
      <c r="AP487" s="34" t="str">
        <f aca="false">IF($B487="","",COUNTIF($F487:$AJ487,"CL"))</f>
        <v/>
      </c>
      <c r="AQ487" s="34" t="str">
        <f aca="false">IF($B487="","",COUNTIF($F487:$AJ487,"SL"))</f>
        <v/>
      </c>
      <c r="AR487" s="34" t="str">
        <f aca="false">IF($B487="","",COUNTIF($F487:$AJ487,"CO"))</f>
        <v/>
      </c>
      <c r="AS487" s="34" t="str">
        <f aca="false">IF($B487="","",COUNTIF($F487:$AJ487,"HPL"))</f>
        <v/>
      </c>
      <c r="AT487" s="34" t="str">
        <f aca="false">IF($B487="","",COUNTIF($F487:$AJ487,"HCL"))</f>
        <v/>
      </c>
      <c r="AU487" s="34" t="str">
        <f aca="false">IF($B487="","",COUNTIF($F487:$AJ487,"WO"))</f>
        <v/>
      </c>
      <c r="AV487" s="34" t="str">
        <f aca="false">IF($B487="","",COUNTIF($F487:$AJ487,"PH"))</f>
        <v/>
      </c>
      <c r="AW487" s="34" t="str">
        <f aca="false">IF($B487="","",COUNTIF($F487:$AJ487,"TR"))</f>
        <v/>
      </c>
      <c r="AX487" s="35" t="str">
        <f aca="false">IF($B487="","",AO487+AS487/2)</f>
        <v/>
      </c>
      <c r="AY487" s="35" t="str">
        <f aca="false">IF($B487="","",AQ487)</f>
        <v/>
      </c>
      <c r="AZ487" s="35" t="str">
        <f aca="false">IF($B487="","",AP487+AT487/2)</f>
        <v/>
      </c>
      <c r="BA487" s="35" t="str">
        <f aca="false">IF($B487="","",AK487+AN487+AM487/2+AO487+AP487+AQ487+AR487+AS487+AT487+AU487+AV487+AW487)</f>
        <v/>
      </c>
      <c r="BB487" s="35" t="str">
        <f aca="false">IF($B487="","",MAX(0,AN487-Settings!$C$16)*Settings!$C$17)</f>
        <v/>
      </c>
      <c r="BC487" s="35" t="str">
        <f aca="false">IF($B487="","",BA487-BB487)</f>
        <v/>
      </c>
      <c r="BD487" s="35" t="str">
        <f aca="false">IF(OR($B487="",$A487=""),"",DAY(EOMONTH($A487,0))-COUNTA($F487:$AJ487))</f>
        <v/>
      </c>
    </row>
    <row r="488" customFormat="false" ht="15" hidden="false" customHeight="false" outlineLevel="0" collapsed="false">
      <c r="A488" s="32"/>
      <c r="B488" s="29"/>
      <c r="C488" s="10" t="str">
        <f aca="false">IF($B488="","",IFERROR(INDEX(M_name,MATCH($B488,M_emp,0)),"Code not found"))</f>
        <v/>
      </c>
      <c r="D488" s="10" t="str">
        <f aca="false">IF($B488="","",IFERROR(INDEX(M_dept,MATCH($B488,M_emp,0)),""))</f>
        <v/>
      </c>
      <c r="E488" s="10" t="str">
        <f aca="false">IF($B488="","",IFERROR(INDEX(M_loc,MATCH($B488,M_emp,0)),""))</f>
        <v/>
      </c>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4" t="str">
        <f aca="false">IF($B488="","",COUNTIF($F488:$AJ488,"P"))</f>
        <v/>
      </c>
      <c r="AL488" s="34" t="str">
        <f aca="false">IF($B488="","",COUNTIF($F488:$AJ488,"A"))</f>
        <v/>
      </c>
      <c r="AM488" s="34" t="str">
        <f aca="false">IF($B488="","",COUNTIF($F488:$AJ488,"HA"))</f>
        <v/>
      </c>
      <c r="AN488" s="34" t="str">
        <f aca="false">IF($B488="","",COUNTIF($F488:$AJ488,"L"))</f>
        <v/>
      </c>
      <c r="AO488" s="34" t="str">
        <f aca="false">IF($B488="","",COUNTIF($F488:$AJ488,"PL"))</f>
        <v/>
      </c>
      <c r="AP488" s="34" t="str">
        <f aca="false">IF($B488="","",COUNTIF($F488:$AJ488,"CL"))</f>
        <v/>
      </c>
      <c r="AQ488" s="34" t="str">
        <f aca="false">IF($B488="","",COUNTIF($F488:$AJ488,"SL"))</f>
        <v/>
      </c>
      <c r="AR488" s="34" t="str">
        <f aca="false">IF($B488="","",COUNTIF($F488:$AJ488,"CO"))</f>
        <v/>
      </c>
      <c r="AS488" s="34" t="str">
        <f aca="false">IF($B488="","",COUNTIF($F488:$AJ488,"HPL"))</f>
        <v/>
      </c>
      <c r="AT488" s="34" t="str">
        <f aca="false">IF($B488="","",COUNTIF($F488:$AJ488,"HCL"))</f>
        <v/>
      </c>
      <c r="AU488" s="34" t="str">
        <f aca="false">IF($B488="","",COUNTIF($F488:$AJ488,"WO"))</f>
        <v/>
      </c>
      <c r="AV488" s="34" t="str">
        <f aca="false">IF($B488="","",COUNTIF($F488:$AJ488,"PH"))</f>
        <v/>
      </c>
      <c r="AW488" s="34" t="str">
        <f aca="false">IF($B488="","",COUNTIF($F488:$AJ488,"TR"))</f>
        <v/>
      </c>
      <c r="AX488" s="35" t="str">
        <f aca="false">IF($B488="","",AO488+AS488/2)</f>
        <v/>
      </c>
      <c r="AY488" s="35" t="str">
        <f aca="false">IF($B488="","",AQ488)</f>
        <v/>
      </c>
      <c r="AZ488" s="35" t="str">
        <f aca="false">IF($B488="","",AP488+AT488/2)</f>
        <v/>
      </c>
      <c r="BA488" s="35" t="str">
        <f aca="false">IF($B488="","",AK488+AN488+AM488/2+AO488+AP488+AQ488+AR488+AS488+AT488+AU488+AV488+AW488)</f>
        <v/>
      </c>
      <c r="BB488" s="35" t="str">
        <f aca="false">IF($B488="","",MAX(0,AN488-Settings!$C$16)*Settings!$C$17)</f>
        <v/>
      </c>
      <c r="BC488" s="35" t="str">
        <f aca="false">IF($B488="","",BA488-BB488)</f>
        <v/>
      </c>
      <c r="BD488" s="35" t="str">
        <f aca="false">IF(OR($B488="",$A488=""),"",DAY(EOMONTH($A488,0))-COUNTA($F488:$AJ488))</f>
        <v/>
      </c>
    </row>
    <row r="489" customFormat="false" ht="15" hidden="false" customHeight="false" outlineLevel="0" collapsed="false">
      <c r="A489" s="32"/>
      <c r="B489" s="29"/>
      <c r="C489" s="10" t="str">
        <f aca="false">IF($B489="","",IFERROR(INDEX(M_name,MATCH($B489,M_emp,0)),"Code not found"))</f>
        <v/>
      </c>
      <c r="D489" s="10" t="str">
        <f aca="false">IF($B489="","",IFERROR(INDEX(M_dept,MATCH($B489,M_emp,0)),""))</f>
        <v/>
      </c>
      <c r="E489" s="10" t="str">
        <f aca="false">IF($B489="","",IFERROR(INDEX(M_loc,MATCH($B489,M_emp,0)),""))</f>
        <v/>
      </c>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4" t="str">
        <f aca="false">IF($B489="","",COUNTIF($F489:$AJ489,"P"))</f>
        <v/>
      </c>
      <c r="AL489" s="34" t="str">
        <f aca="false">IF($B489="","",COUNTIF($F489:$AJ489,"A"))</f>
        <v/>
      </c>
      <c r="AM489" s="34" t="str">
        <f aca="false">IF($B489="","",COUNTIF($F489:$AJ489,"HA"))</f>
        <v/>
      </c>
      <c r="AN489" s="34" t="str">
        <f aca="false">IF($B489="","",COUNTIF($F489:$AJ489,"L"))</f>
        <v/>
      </c>
      <c r="AO489" s="34" t="str">
        <f aca="false">IF($B489="","",COUNTIF($F489:$AJ489,"PL"))</f>
        <v/>
      </c>
      <c r="AP489" s="34" t="str">
        <f aca="false">IF($B489="","",COUNTIF($F489:$AJ489,"CL"))</f>
        <v/>
      </c>
      <c r="AQ489" s="34" t="str">
        <f aca="false">IF($B489="","",COUNTIF($F489:$AJ489,"SL"))</f>
        <v/>
      </c>
      <c r="AR489" s="34" t="str">
        <f aca="false">IF($B489="","",COUNTIF($F489:$AJ489,"CO"))</f>
        <v/>
      </c>
      <c r="AS489" s="34" t="str">
        <f aca="false">IF($B489="","",COUNTIF($F489:$AJ489,"HPL"))</f>
        <v/>
      </c>
      <c r="AT489" s="34" t="str">
        <f aca="false">IF($B489="","",COUNTIF($F489:$AJ489,"HCL"))</f>
        <v/>
      </c>
      <c r="AU489" s="34" t="str">
        <f aca="false">IF($B489="","",COUNTIF($F489:$AJ489,"WO"))</f>
        <v/>
      </c>
      <c r="AV489" s="34" t="str">
        <f aca="false">IF($B489="","",COUNTIF($F489:$AJ489,"PH"))</f>
        <v/>
      </c>
      <c r="AW489" s="34" t="str">
        <f aca="false">IF($B489="","",COUNTIF($F489:$AJ489,"TR"))</f>
        <v/>
      </c>
      <c r="AX489" s="35" t="str">
        <f aca="false">IF($B489="","",AO489+AS489/2)</f>
        <v/>
      </c>
      <c r="AY489" s="35" t="str">
        <f aca="false">IF($B489="","",AQ489)</f>
        <v/>
      </c>
      <c r="AZ489" s="35" t="str">
        <f aca="false">IF($B489="","",AP489+AT489/2)</f>
        <v/>
      </c>
      <c r="BA489" s="35" t="str">
        <f aca="false">IF($B489="","",AK489+AN489+AM489/2+AO489+AP489+AQ489+AR489+AS489+AT489+AU489+AV489+AW489)</f>
        <v/>
      </c>
      <c r="BB489" s="35" t="str">
        <f aca="false">IF($B489="","",MAX(0,AN489-Settings!$C$16)*Settings!$C$17)</f>
        <v/>
      </c>
      <c r="BC489" s="35" t="str">
        <f aca="false">IF($B489="","",BA489-BB489)</f>
        <v/>
      </c>
      <c r="BD489" s="35" t="str">
        <f aca="false">IF(OR($B489="",$A489=""),"",DAY(EOMONTH($A489,0))-COUNTA($F489:$AJ489))</f>
        <v/>
      </c>
    </row>
    <row r="490" customFormat="false" ht="15" hidden="false" customHeight="false" outlineLevel="0" collapsed="false">
      <c r="A490" s="32"/>
      <c r="B490" s="29"/>
      <c r="C490" s="10" t="str">
        <f aca="false">IF($B490="","",IFERROR(INDEX(M_name,MATCH($B490,M_emp,0)),"Code not found"))</f>
        <v/>
      </c>
      <c r="D490" s="10" t="str">
        <f aca="false">IF($B490="","",IFERROR(INDEX(M_dept,MATCH($B490,M_emp,0)),""))</f>
        <v/>
      </c>
      <c r="E490" s="10" t="str">
        <f aca="false">IF($B490="","",IFERROR(INDEX(M_loc,MATCH($B490,M_emp,0)),""))</f>
        <v/>
      </c>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4" t="str">
        <f aca="false">IF($B490="","",COUNTIF($F490:$AJ490,"P"))</f>
        <v/>
      </c>
      <c r="AL490" s="34" t="str">
        <f aca="false">IF($B490="","",COUNTIF($F490:$AJ490,"A"))</f>
        <v/>
      </c>
      <c r="AM490" s="34" t="str">
        <f aca="false">IF($B490="","",COUNTIF($F490:$AJ490,"HA"))</f>
        <v/>
      </c>
      <c r="AN490" s="34" t="str">
        <f aca="false">IF($B490="","",COUNTIF($F490:$AJ490,"L"))</f>
        <v/>
      </c>
      <c r="AO490" s="34" t="str">
        <f aca="false">IF($B490="","",COUNTIF($F490:$AJ490,"PL"))</f>
        <v/>
      </c>
      <c r="AP490" s="34" t="str">
        <f aca="false">IF($B490="","",COUNTIF($F490:$AJ490,"CL"))</f>
        <v/>
      </c>
      <c r="AQ490" s="34" t="str">
        <f aca="false">IF($B490="","",COUNTIF($F490:$AJ490,"SL"))</f>
        <v/>
      </c>
      <c r="AR490" s="34" t="str">
        <f aca="false">IF($B490="","",COUNTIF($F490:$AJ490,"CO"))</f>
        <v/>
      </c>
      <c r="AS490" s="34" t="str">
        <f aca="false">IF($B490="","",COUNTIF($F490:$AJ490,"HPL"))</f>
        <v/>
      </c>
      <c r="AT490" s="34" t="str">
        <f aca="false">IF($B490="","",COUNTIF($F490:$AJ490,"HCL"))</f>
        <v/>
      </c>
      <c r="AU490" s="34" t="str">
        <f aca="false">IF($B490="","",COUNTIF($F490:$AJ490,"WO"))</f>
        <v/>
      </c>
      <c r="AV490" s="34" t="str">
        <f aca="false">IF($B490="","",COUNTIF($F490:$AJ490,"PH"))</f>
        <v/>
      </c>
      <c r="AW490" s="34" t="str">
        <f aca="false">IF($B490="","",COUNTIF($F490:$AJ490,"TR"))</f>
        <v/>
      </c>
      <c r="AX490" s="35" t="str">
        <f aca="false">IF($B490="","",AO490+AS490/2)</f>
        <v/>
      </c>
      <c r="AY490" s="35" t="str">
        <f aca="false">IF($B490="","",AQ490)</f>
        <v/>
      </c>
      <c r="AZ490" s="35" t="str">
        <f aca="false">IF($B490="","",AP490+AT490/2)</f>
        <v/>
      </c>
      <c r="BA490" s="35" t="str">
        <f aca="false">IF($B490="","",AK490+AN490+AM490/2+AO490+AP490+AQ490+AR490+AS490+AT490+AU490+AV490+AW490)</f>
        <v/>
      </c>
      <c r="BB490" s="35" t="str">
        <f aca="false">IF($B490="","",MAX(0,AN490-Settings!$C$16)*Settings!$C$17)</f>
        <v/>
      </c>
      <c r="BC490" s="35" t="str">
        <f aca="false">IF($B490="","",BA490-BB490)</f>
        <v/>
      </c>
      <c r="BD490" s="35" t="str">
        <f aca="false">IF(OR($B490="",$A490=""),"",DAY(EOMONTH($A490,0))-COUNTA($F490:$AJ490))</f>
        <v/>
      </c>
    </row>
    <row r="491" customFormat="false" ht="15" hidden="false" customHeight="false" outlineLevel="0" collapsed="false">
      <c r="A491" s="32"/>
      <c r="B491" s="29"/>
      <c r="C491" s="10" t="str">
        <f aca="false">IF($B491="","",IFERROR(INDEX(M_name,MATCH($B491,M_emp,0)),"Code not found"))</f>
        <v/>
      </c>
      <c r="D491" s="10" t="str">
        <f aca="false">IF($B491="","",IFERROR(INDEX(M_dept,MATCH($B491,M_emp,0)),""))</f>
        <v/>
      </c>
      <c r="E491" s="10" t="str">
        <f aca="false">IF($B491="","",IFERROR(INDEX(M_loc,MATCH($B491,M_emp,0)),""))</f>
        <v/>
      </c>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4" t="str">
        <f aca="false">IF($B491="","",COUNTIF($F491:$AJ491,"P"))</f>
        <v/>
      </c>
      <c r="AL491" s="34" t="str">
        <f aca="false">IF($B491="","",COUNTIF($F491:$AJ491,"A"))</f>
        <v/>
      </c>
      <c r="AM491" s="34" t="str">
        <f aca="false">IF($B491="","",COUNTIF($F491:$AJ491,"HA"))</f>
        <v/>
      </c>
      <c r="AN491" s="34" t="str">
        <f aca="false">IF($B491="","",COUNTIF($F491:$AJ491,"L"))</f>
        <v/>
      </c>
      <c r="AO491" s="34" t="str">
        <f aca="false">IF($B491="","",COUNTIF($F491:$AJ491,"PL"))</f>
        <v/>
      </c>
      <c r="AP491" s="34" t="str">
        <f aca="false">IF($B491="","",COUNTIF($F491:$AJ491,"CL"))</f>
        <v/>
      </c>
      <c r="AQ491" s="34" t="str">
        <f aca="false">IF($B491="","",COUNTIF($F491:$AJ491,"SL"))</f>
        <v/>
      </c>
      <c r="AR491" s="34" t="str">
        <f aca="false">IF($B491="","",COUNTIF($F491:$AJ491,"CO"))</f>
        <v/>
      </c>
      <c r="AS491" s="34" t="str">
        <f aca="false">IF($B491="","",COUNTIF($F491:$AJ491,"HPL"))</f>
        <v/>
      </c>
      <c r="AT491" s="34" t="str">
        <f aca="false">IF($B491="","",COUNTIF($F491:$AJ491,"HCL"))</f>
        <v/>
      </c>
      <c r="AU491" s="34" t="str">
        <f aca="false">IF($B491="","",COUNTIF($F491:$AJ491,"WO"))</f>
        <v/>
      </c>
      <c r="AV491" s="34" t="str">
        <f aca="false">IF($B491="","",COUNTIF($F491:$AJ491,"PH"))</f>
        <v/>
      </c>
      <c r="AW491" s="34" t="str">
        <f aca="false">IF($B491="","",COUNTIF($F491:$AJ491,"TR"))</f>
        <v/>
      </c>
      <c r="AX491" s="35" t="str">
        <f aca="false">IF($B491="","",AO491+AS491/2)</f>
        <v/>
      </c>
      <c r="AY491" s="35" t="str">
        <f aca="false">IF($B491="","",AQ491)</f>
        <v/>
      </c>
      <c r="AZ491" s="35" t="str">
        <f aca="false">IF($B491="","",AP491+AT491/2)</f>
        <v/>
      </c>
      <c r="BA491" s="35" t="str">
        <f aca="false">IF($B491="","",AK491+AN491+AM491/2+AO491+AP491+AQ491+AR491+AS491+AT491+AU491+AV491+AW491)</f>
        <v/>
      </c>
      <c r="BB491" s="35" t="str">
        <f aca="false">IF($B491="","",MAX(0,AN491-Settings!$C$16)*Settings!$C$17)</f>
        <v/>
      </c>
      <c r="BC491" s="35" t="str">
        <f aca="false">IF($B491="","",BA491-BB491)</f>
        <v/>
      </c>
      <c r="BD491" s="35" t="str">
        <f aca="false">IF(OR($B491="",$A491=""),"",DAY(EOMONTH($A491,0))-COUNTA($F491:$AJ491))</f>
        <v/>
      </c>
    </row>
    <row r="492" customFormat="false" ht="15" hidden="false" customHeight="false" outlineLevel="0" collapsed="false">
      <c r="A492" s="32"/>
      <c r="B492" s="29"/>
      <c r="C492" s="10" t="str">
        <f aca="false">IF($B492="","",IFERROR(INDEX(M_name,MATCH($B492,M_emp,0)),"Code not found"))</f>
        <v/>
      </c>
      <c r="D492" s="10" t="str">
        <f aca="false">IF($B492="","",IFERROR(INDEX(M_dept,MATCH($B492,M_emp,0)),""))</f>
        <v/>
      </c>
      <c r="E492" s="10" t="str">
        <f aca="false">IF($B492="","",IFERROR(INDEX(M_loc,MATCH($B492,M_emp,0)),""))</f>
        <v/>
      </c>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4" t="str">
        <f aca="false">IF($B492="","",COUNTIF($F492:$AJ492,"P"))</f>
        <v/>
      </c>
      <c r="AL492" s="34" t="str">
        <f aca="false">IF($B492="","",COUNTIF($F492:$AJ492,"A"))</f>
        <v/>
      </c>
      <c r="AM492" s="34" t="str">
        <f aca="false">IF($B492="","",COUNTIF($F492:$AJ492,"HA"))</f>
        <v/>
      </c>
      <c r="AN492" s="34" t="str">
        <f aca="false">IF($B492="","",COUNTIF($F492:$AJ492,"L"))</f>
        <v/>
      </c>
      <c r="AO492" s="34" t="str">
        <f aca="false">IF($B492="","",COUNTIF($F492:$AJ492,"PL"))</f>
        <v/>
      </c>
      <c r="AP492" s="34" t="str">
        <f aca="false">IF($B492="","",COUNTIF($F492:$AJ492,"CL"))</f>
        <v/>
      </c>
      <c r="AQ492" s="34" t="str">
        <f aca="false">IF($B492="","",COUNTIF($F492:$AJ492,"SL"))</f>
        <v/>
      </c>
      <c r="AR492" s="34" t="str">
        <f aca="false">IF($B492="","",COUNTIF($F492:$AJ492,"CO"))</f>
        <v/>
      </c>
      <c r="AS492" s="34" t="str">
        <f aca="false">IF($B492="","",COUNTIF($F492:$AJ492,"HPL"))</f>
        <v/>
      </c>
      <c r="AT492" s="34" t="str">
        <f aca="false">IF($B492="","",COUNTIF($F492:$AJ492,"HCL"))</f>
        <v/>
      </c>
      <c r="AU492" s="34" t="str">
        <f aca="false">IF($B492="","",COUNTIF($F492:$AJ492,"WO"))</f>
        <v/>
      </c>
      <c r="AV492" s="34" t="str">
        <f aca="false">IF($B492="","",COUNTIF($F492:$AJ492,"PH"))</f>
        <v/>
      </c>
      <c r="AW492" s="34" t="str">
        <f aca="false">IF($B492="","",COUNTIF($F492:$AJ492,"TR"))</f>
        <v/>
      </c>
      <c r="AX492" s="35" t="str">
        <f aca="false">IF($B492="","",AO492+AS492/2)</f>
        <v/>
      </c>
      <c r="AY492" s="35" t="str">
        <f aca="false">IF($B492="","",AQ492)</f>
        <v/>
      </c>
      <c r="AZ492" s="35" t="str">
        <f aca="false">IF($B492="","",AP492+AT492/2)</f>
        <v/>
      </c>
      <c r="BA492" s="35" t="str">
        <f aca="false">IF($B492="","",AK492+AN492+AM492/2+AO492+AP492+AQ492+AR492+AS492+AT492+AU492+AV492+AW492)</f>
        <v/>
      </c>
      <c r="BB492" s="35" t="str">
        <f aca="false">IF($B492="","",MAX(0,AN492-Settings!$C$16)*Settings!$C$17)</f>
        <v/>
      </c>
      <c r="BC492" s="35" t="str">
        <f aca="false">IF($B492="","",BA492-BB492)</f>
        <v/>
      </c>
      <c r="BD492" s="35" t="str">
        <f aca="false">IF(OR($B492="",$A492=""),"",DAY(EOMONTH($A492,0))-COUNTA($F492:$AJ492))</f>
        <v/>
      </c>
    </row>
    <row r="493" customFormat="false" ht="15" hidden="false" customHeight="false" outlineLevel="0" collapsed="false">
      <c r="A493" s="32"/>
      <c r="B493" s="29"/>
      <c r="C493" s="10" t="str">
        <f aca="false">IF($B493="","",IFERROR(INDEX(M_name,MATCH($B493,M_emp,0)),"Code not found"))</f>
        <v/>
      </c>
      <c r="D493" s="10" t="str">
        <f aca="false">IF($B493="","",IFERROR(INDEX(M_dept,MATCH($B493,M_emp,0)),""))</f>
        <v/>
      </c>
      <c r="E493" s="10" t="str">
        <f aca="false">IF($B493="","",IFERROR(INDEX(M_loc,MATCH($B493,M_emp,0)),""))</f>
        <v/>
      </c>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4" t="str">
        <f aca="false">IF($B493="","",COUNTIF($F493:$AJ493,"P"))</f>
        <v/>
      </c>
      <c r="AL493" s="34" t="str">
        <f aca="false">IF($B493="","",COUNTIF($F493:$AJ493,"A"))</f>
        <v/>
      </c>
      <c r="AM493" s="34" t="str">
        <f aca="false">IF($B493="","",COUNTIF($F493:$AJ493,"HA"))</f>
        <v/>
      </c>
      <c r="AN493" s="34" t="str">
        <f aca="false">IF($B493="","",COUNTIF($F493:$AJ493,"L"))</f>
        <v/>
      </c>
      <c r="AO493" s="34" t="str">
        <f aca="false">IF($B493="","",COUNTIF($F493:$AJ493,"PL"))</f>
        <v/>
      </c>
      <c r="AP493" s="34" t="str">
        <f aca="false">IF($B493="","",COUNTIF($F493:$AJ493,"CL"))</f>
        <v/>
      </c>
      <c r="AQ493" s="34" t="str">
        <f aca="false">IF($B493="","",COUNTIF($F493:$AJ493,"SL"))</f>
        <v/>
      </c>
      <c r="AR493" s="34" t="str">
        <f aca="false">IF($B493="","",COUNTIF($F493:$AJ493,"CO"))</f>
        <v/>
      </c>
      <c r="AS493" s="34" t="str">
        <f aca="false">IF($B493="","",COUNTIF($F493:$AJ493,"HPL"))</f>
        <v/>
      </c>
      <c r="AT493" s="34" t="str">
        <f aca="false">IF($B493="","",COUNTIF($F493:$AJ493,"HCL"))</f>
        <v/>
      </c>
      <c r="AU493" s="34" t="str">
        <f aca="false">IF($B493="","",COUNTIF($F493:$AJ493,"WO"))</f>
        <v/>
      </c>
      <c r="AV493" s="34" t="str">
        <f aca="false">IF($B493="","",COUNTIF($F493:$AJ493,"PH"))</f>
        <v/>
      </c>
      <c r="AW493" s="34" t="str">
        <f aca="false">IF($B493="","",COUNTIF($F493:$AJ493,"TR"))</f>
        <v/>
      </c>
      <c r="AX493" s="35" t="str">
        <f aca="false">IF($B493="","",AO493+AS493/2)</f>
        <v/>
      </c>
      <c r="AY493" s="35" t="str">
        <f aca="false">IF($B493="","",AQ493)</f>
        <v/>
      </c>
      <c r="AZ493" s="35" t="str">
        <f aca="false">IF($B493="","",AP493+AT493/2)</f>
        <v/>
      </c>
      <c r="BA493" s="35" t="str">
        <f aca="false">IF($B493="","",AK493+AN493+AM493/2+AO493+AP493+AQ493+AR493+AS493+AT493+AU493+AV493+AW493)</f>
        <v/>
      </c>
      <c r="BB493" s="35" t="str">
        <f aca="false">IF($B493="","",MAX(0,AN493-Settings!$C$16)*Settings!$C$17)</f>
        <v/>
      </c>
      <c r="BC493" s="35" t="str">
        <f aca="false">IF($B493="","",BA493-BB493)</f>
        <v/>
      </c>
      <c r="BD493" s="35" t="str">
        <f aca="false">IF(OR($B493="",$A493=""),"",DAY(EOMONTH($A493,0))-COUNTA($F493:$AJ493))</f>
        <v/>
      </c>
    </row>
    <row r="494" customFormat="false" ht="15" hidden="false" customHeight="false" outlineLevel="0" collapsed="false">
      <c r="A494" s="32"/>
      <c r="B494" s="29"/>
      <c r="C494" s="10" t="str">
        <f aca="false">IF($B494="","",IFERROR(INDEX(M_name,MATCH($B494,M_emp,0)),"Code not found"))</f>
        <v/>
      </c>
      <c r="D494" s="10" t="str">
        <f aca="false">IF($B494="","",IFERROR(INDEX(M_dept,MATCH($B494,M_emp,0)),""))</f>
        <v/>
      </c>
      <c r="E494" s="10" t="str">
        <f aca="false">IF($B494="","",IFERROR(INDEX(M_loc,MATCH($B494,M_emp,0)),""))</f>
        <v/>
      </c>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4" t="str">
        <f aca="false">IF($B494="","",COUNTIF($F494:$AJ494,"P"))</f>
        <v/>
      </c>
      <c r="AL494" s="34" t="str">
        <f aca="false">IF($B494="","",COUNTIF($F494:$AJ494,"A"))</f>
        <v/>
      </c>
      <c r="AM494" s="34" t="str">
        <f aca="false">IF($B494="","",COUNTIF($F494:$AJ494,"HA"))</f>
        <v/>
      </c>
      <c r="AN494" s="34" t="str">
        <f aca="false">IF($B494="","",COUNTIF($F494:$AJ494,"L"))</f>
        <v/>
      </c>
      <c r="AO494" s="34" t="str">
        <f aca="false">IF($B494="","",COUNTIF($F494:$AJ494,"PL"))</f>
        <v/>
      </c>
      <c r="AP494" s="34" t="str">
        <f aca="false">IF($B494="","",COUNTIF($F494:$AJ494,"CL"))</f>
        <v/>
      </c>
      <c r="AQ494" s="34" t="str">
        <f aca="false">IF($B494="","",COUNTIF($F494:$AJ494,"SL"))</f>
        <v/>
      </c>
      <c r="AR494" s="34" t="str">
        <f aca="false">IF($B494="","",COUNTIF($F494:$AJ494,"CO"))</f>
        <v/>
      </c>
      <c r="AS494" s="34" t="str">
        <f aca="false">IF($B494="","",COUNTIF($F494:$AJ494,"HPL"))</f>
        <v/>
      </c>
      <c r="AT494" s="34" t="str">
        <f aca="false">IF($B494="","",COUNTIF($F494:$AJ494,"HCL"))</f>
        <v/>
      </c>
      <c r="AU494" s="34" t="str">
        <f aca="false">IF($B494="","",COUNTIF($F494:$AJ494,"WO"))</f>
        <v/>
      </c>
      <c r="AV494" s="34" t="str">
        <f aca="false">IF($B494="","",COUNTIF($F494:$AJ494,"PH"))</f>
        <v/>
      </c>
      <c r="AW494" s="34" t="str">
        <f aca="false">IF($B494="","",COUNTIF($F494:$AJ494,"TR"))</f>
        <v/>
      </c>
      <c r="AX494" s="35" t="str">
        <f aca="false">IF($B494="","",AO494+AS494/2)</f>
        <v/>
      </c>
      <c r="AY494" s="35" t="str">
        <f aca="false">IF($B494="","",AQ494)</f>
        <v/>
      </c>
      <c r="AZ494" s="35" t="str">
        <f aca="false">IF($B494="","",AP494+AT494/2)</f>
        <v/>
      </c>
      <c r="BA494" s="35" t="str">
        <f aca="false">IF($B494="","",AK494+AN494+AM494/2+AO494+AP494+AQ494+AR494+AS494+AT494+AU494+AV494+AW494)</f>
        <v/>
      </c>
      <c r="BB494" s="35" t="str">
        <f aca="false">IF($B494="","",MAX(0,AN494-Settings!$C$16)*Settings!$C$17)</f>
        <v/>
      </c>
      <c r="BC494" s="35" t="str">
        <f aca="false">IF($B494="","",BA494-BB494)</f>
        <v/>
      </c>
      <c r="BD494" s="35" t="str">
        <f aca="false">IF(OR($B494="",$A494=""),"",DAY(EOMONTH($A494,0))-COUNTA($F494:$AJ494))</f>
        <v/>
      </c>
    </row>
    <row r="495" customFormat="false" ht="15" hidden="false" customHeight="false" outlineLevel="0" collapsed="false">
      <c r="A495" s="32"/>
      <c r="B495" s="29"/>
      <c r="C495" s="10" t="str">
        <f aca="false">IF($B495="","",IFERROR(INDEX(M_name,MATCH($B495,M_emp,0)),"Code not found"))</f>
        <v/>
      </c>
      <c r="D495" s="10" t="str">
        <f aca="false">IF($B495="","",IFERROR(INDEX(M_dept,MATCH($B495,M_emp,0)),""))</f>
        <v/>
      </c>
      <c r="E495" s="10" t="str">
        <f aca="false">IF($B495="","",IFERROR(INDEX(M_loc,MATCH($B495,M_emp,0)),""))</f>
        <v/>
      </c>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4" t="str">
        <f aca="false">IF($B495="","",COUNTIF($F495:$AJ495,"P"))</f>
        <v/>
      </c>
      <c r="AL495" s="34" t="str">
        <f aca="false">IF($B495="","",COUNTIF($F495:$AJ495,"A"))</f>
        <v/>
      </c>
      <c r="AM495" s="34" t="str">
        <f aca="false">IF($B495="","",COUNTIF($F495:$AJ495,"HA"))</f>
        <v/>
      </c>
      <c r="AN495" s="34" t="str">
        <f aca="false">IF($B495="","",COUNTIF($F495:$AJ495,"L"))</f>
        <v/>
      </c>
      <c r="AO495" s="34" t="str">
        <f aca="false">IF($B495="","",COUNTIF($F495:$AJ495,"PL"))</f>
        <v/>
      </c>
      <c r="AP495" s="34" t="str">
        <f aca="false">IF($B495="","",COUNTIF($F495:$AJ495,"CL"))</f>
        <v/>
      </c>
      <c r="AQ495" s="34" t="str">
        <f aca="false">IF($B495="","",COUNTIF($F495:$AJ495,"SL"))</f>
        <v/>
      </c>
      <c r="AR495" s="34" t="str">
        <f aca="false">IF($B495="","",COUNTIF($F495:$AJ495,"CO"))</f>
        <v/>
      </c>
      <c r="AS495" s="34" t="str">
        <f aca="false">IF($B495="","",COUNTIF($F495:$AJ495,"HPL"))</f>
        <v/>
      </c>
      <c r="AT495" s="34" t="str">
        <f aca="false">IF($B495="","",COUNTIF($F495:$AJ495,"HCL"))</f>
        <v/>
      </c>
      <c r="AU495" s="34" t="str">
        <f aca="false">IF($B495="","",COUNTIF($F495:$AJ495,"WO"))</f>
        <v/>
      </c>
      <c r="AV495" s="34" t="str">
        <f aca="false">IF($B495="","",COUNTIF($F495:$AJ495,"PH"))</f>
        <v/>
      </c>
      <c r="AW495" s="34" t="str">
        <f aca="false">IF($B495="","",COUNTIF($F495:$AJ495,"TR"))</f>
        <v/>
      </c>
      <c r="AX495" s="35" t="str">
        <f aca="false">IF($B495="","",AO495+AS495/2)</f>
        <v/>
      </c>
      <c r="AY495" s="35" t="str">
        <f aca="false">IF($B495="","",AQ495)</f>
        <v/>
      </c>
      <c r="AZ495" s="35" t="str">
        <f aca="false">IF($B495="","",AP495+AT495/2)</f>
        <v/>
      </c>
      <c r="BA495" s="35" t="str">
        <f aca="false">IF($B495="","",AK495+AN495+AM495/2+AO495+AP495+AQ495+AR495+AS495+AT495+AU495+AV495+AW495)</f>
        <v/>
      </c>
      <c r="BB495" s="35" t="str">
        <f aca="false">IF($B495="","",MAX(0,AN495-Settings!$C$16)*Settings!$C$17)</f>
        <v/>
      </c>
      <c r="BC495" s="35" t="str">
        <f aca="false">IF($B495="","",BA495-BB495)</f>
        <v/>
      </c>
      <c r="BD495" s="35" t="str">
        <f aca="false">IF(OR($B495="",$A495=""),"",DAY(EOMONTH($A495,0))-COUNTA($F495:$AJ495))</f>
        <v/>
      </c>
    </row>
    <row r="496" customFormat="false" ht="15" hidden="false" customHeight="false" outlineLevel="0" collapsed="false">
      <c r="A496" s="32"/>
      <c r="B496" s="29"/>
      <c r="C496" s="10" t="str">
        <f aca="false">IF($B496="","",IFERROR(INDEX(M_name,MATCH($B496,M_emp,0)),"Code not found"))</f>
        <v/>
      </c>
      <c r="D496" s="10" t="str">
        <f aca="false">IF($B496="","",IFERROR(INDEX(M_dept,MATCH($B496,M_emp,0)),""))</f>
        <v/>
      </c>
      <c r="E496" s="10" t="str">
        <f aca="false">IF($B496="","",IFERROR(INDEX(M_loc,MATCH($B496,M_emp,0)),""))</f>
        <v/>
      </c>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4" t="str">
        <f aca="false">IF($B496="","",COUNTIF($F496:$AJ496,"P"))</f>
        <v/>
      </c>
      <c r="AL496" s="34" t="str">
        <f aca="false">IF($B496="","",COUNTIF($F496:$AJ496,"A"))</f>
        <v/>
      </c>
      <c r="AM496" s="34" t="str">
        <f aca="false">IF($B496="","",COUNTIF($F496:$AJ496,"HA"))</f>
        <v/>
      </c>
      <c r="AN496" s="34" t="str">
        <f aca="false">IF($B496="","",COUNTIF($F496:$AJ496,"L"))</f>
        <v/>
      </c>
      <c r="AO496" s="34" t="str">
        <f aca="false">IF($B496="","",COUNTIF($F496:$AJ496,"PL"))</f>
        <v/>
      </c>
      <c r="AP496" s="34" t="str">
        <f aca="false">IF($B496="","",COUNTIF($F496:$AJ496,"CL"))</f>
        <v/>
      </c>
      <c r="AQ496" s="34" t="str">
        <f aca="false">IF($B496="","",COUNTIF($F496:$AJ496,"SL"))</f>
        <v/>
      </c>
      <c r="AR496" s="34" t="str">
        <f aca="false">IF($B496="","",COUNTIF($F496:$AJ496,"CO"))</f>
        <v/>
      </c>
      <c r="AS496" s="34" t="str">
        <f aca="false">IF($B496="","",COUNTIF($F496:$AJ496,"HPL"))</f>
        <v/>
      </c>
      <c r="AT496" s="34" t="str">
        <f aca="false">IF($B496="","",COUNTIF($F496:$AJ496,"HCL"))</f>
        <v/>
      </c>
      <c r="AU496" s="34" t="str">
        <f aca="false">IF($B496="","",COUNTIF($F496:$AJ496,"WO"))</f>
        <v/>
      </c>
      <c r="AV496" s="34" t="str">
        <f aca="false">IF($B496="","",COUNTIF($F496:$AJ496,"PH"))</f>
        <v/>
      </c>
      <c r="AW496" s="34" t="str">
        <f aca="false">IF($B496="","",COUNTIF($F496:$AJ496,"TR"))</f>
        <v/>
      </c>
      <c r="AX496" s="35" t="str">
        <f aca="false">IF($B496="","",AO496+AS496/2)</f>
        <v/>
      </c>
      <c r="AY496" s="35" t="str">
        <f aca="false">IF($B496="","",AQ496)</f>
        <v/>
      </c>
      <c r="AZ496" s="35" t="str">
        <f aca="false">IF($B496="","",AP496+AT496/2)</f>
        <v/>
      </c>
      <c r="BA496" s="35" t="str">
        <f aca="false">IF($B496="","",AK496+AN496+AM496/2+AO496+AP496+AQ496+AR496+AS496+AT496+AU496+AV496+AW496)</f>
        <v/>
      </c>
      <c r="BB496" s="35" t="str">
        <f aca="false">IF($B496="","",MAX(0,AN496-Settings!$C$16)*Settings!$C$17)</f>
        <v/>
      </c>
      <c r="BC496" s="35" t="str">
        <f aca="false">IF($B496="","",BA496-BB496)</f>
        <v/>
      </c>
      <c r="BD496" s="35" t="str">
        <f aca="false">IF(OR($B496="",$A496=""),"",DAY(EOMONTH($A496,0))-COUNTA($F496:$AJ496))</f>
        <v/>
      </c>
    </row>
    <row r="497" customFormat="false" ht="15" hidden="false" customHeight="false" outlineLevel="0" collapsed="false">
      <c r="A497" s="32"/>
      <c r="B497" s="29"/>
      <c r="C497" s="10" t="str">
        <f aca="false">IF($B497="","",IFERROR(INDEX(M_name,MATCH($B497,M_emp,0)),"Code not found"))</f>
        <v/>
      </c>
      <c r="D497" s="10" t="str">
        <f aca="false">IF($B497="","",IFERROR(INDEX(M_dept,MATCH($B497,M_emp,0)),""))</f>
        <v/>
      </c>
      <c r="E497" s="10" t="str">
        <f aca="false">IF($B497="","",IFERROR(INDEX(M_loc,MATCH($B497,M_emp,0)),""))</f>
        <v/>
      </c>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4" t="str">
        <f aca="false">IF($B497="","",COUNTIF($F497:$AJ497,"P"))</f>
        <v/>
      </c>
      <c r="AL497" s="34" t="str">
        <f aca="false">IF($B497="","",COUNTIF($F497:$AJ497,"A"))</f>
        <v/>
      </c>
      <c r="AM497" s="34" t="str">
        <f aca="false">IF($B497="","",COUNTIF($F497:$AJ497,"HA"))</f>
        <v/>
      </c>
      <c r="AN497" s="34" t="str">
        <f aca="false">IF($B497="","",COUNTIF($F497:$AJ497,"L"))</f>
        <v/>
      </c>
      <c r="AO497" s="34" t="str">
        <f aca="false">IF($B497="","",COUNTIF($F497:$AJ497,"PL"))</f>
        <v/>
      </c>
      <c r="AP497" s="34" t="str">
        <f aca="false">IF($B497="","",COUNTIF($F497:$AJ497,"CL"))</f>
        <v/>
      </c>
      <c r="AQ497" s="34" t="str">
        <f aca="false">IF($B497="","",COUNTIF($F497:$AJ497,"SL"))</f>
        <v/>
      </c>
      <c r="AR497" s="34" t="str">
        <f aca="false">IF($B497="","",COUNTIF($F497:$AJ497,"CO"))</f>
        <v/>
      </c>
      <c r="AS497" s="34" t="str">
        <f aca="false">IF($B497="","",COUNTIF($F497:$AJ497,"HPL"))</f>
        <v/>
      </c>
      <c r="AT497" s="34" t="str">
        <f aca="false">IF($B497="","",COUNTIF($F497:$AJ497,"HCL"))</f>
        <v/>
      </c>
      <c r="AU497" s="34" t="str">
        <f aca="false">IF($B497="","",COUNTIF($F497:$AJ497,"WO"))</f>
        <v/>
      </c>
      <c r="AV497" s="34" t="str">
        <f aca="false">IF($B497="","",COUNTIF($F497:$AJ497,"PH"))</f>
        <v/>
      </c>
      <c r="AW497" s="34" t="str">
        <f aca="false">IF($B497="","",COUNTIF($F497:$AJ497,"TR"))</f>
        <v/>
      </c>
      <c r="AX497" s="35" t="str">
        <f aca="false">IF($B497="","",AO497+AS497/2)</f>
        <v/>
      </c>
      <c r="AY497" s="35" t="str">
        <f aca="false">IF($B497="","",AQ497)</f>
        <v/>
      </c>
      <c r="AZ497" s="35" t="str">
        <f aca="false">IF($B497="","",AP497+AT497/2)</f>
        <v/>
      </c>
      <c r="BA497" s="35" t="str">
        <f aca="false">IF($B497="","",AK497+AN497+AM497/2+AO497+AP497+AQ497+AR497+AS497+AT497+AU497+AV497+AW497)</f>
        <v/>
      </c>
      <c r="BB497" s="35" t="str">
        <f aca="false">IF($B497="","",MAX(0,AN497-Settings!$C$16)*Settings!$C$17)</f>
        <v/>
      </c>
      <c r="BC497" s="35" t="str">
        <f aca="false">IF($B497="","",BA497-BB497)</f>
        <v/>
      </c>
      <c r="BD497" s="35" t="str">
        <f aca="false">IF(OR($B497="",$A497=""),"",DAY(EOMONTH($A497,0))-COUNTA($F497:$AJ497))</f>
        <v/>
      </c>
    </row>
    <row r="498" customFormat="false" ht="15" hidden="false" customHeight="false" outlineLevel="0" collapsed="false">
      <c r="A498" s="32"/>
      <c r="B498" s="29"/>
      <c r="C498" s="10" t="str">
        <f aca="false">IF($B498="","",IFERROR(INDEX(M_name,MATCH($B498,M_emp,0)),"Code not found"))</f>
        <v/>
      </c>
      <c r="D498" s="10" t="str">
        <f aca="false">IF($B498="","",IFERROR(INDEX(M_dept,MATCH($B498,M_emp,0)),""))</f>
        <v/>
      </c>
      <c r="E498" s="10" t="str">
        <f aca="false">IF($B498="","",IFERROR(INDEX(M_loc,MATCH($B498,M_emp,0)),""))</f>
        <v/>
      </c>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4" t="str">
        <f aca="false">IF($B498="","",COUNTIF($F498:$AJ498,"P"))</f>
        <v/>
      </c>
      <c r="AL498" s="34" t="str">
        <f aca="false">IF($B498="","",COUNTIF($F498:$AJ498,"A"))</f>
        <v/>
      </c>
      <c r="AM498" s="34" t="str">
        <f aca="false">IF($B498="","",COUNTIF($F498:$AJ498,"HA"))</f>
        <v/>
      </c>
      <c r="AN498" s="34" t="str">
        <f aca="false">IF($B498="","",COUNTIF($F498:$AJ498,"L"))</f>
        <v/>
      </c>
      <c r="AO498" s="34" t="str">
        <f aca="false">IF($B498="","",COUNTIF($F498:$AJ498,"PL"))</f>
        <v/>
      </c>
      <c r="AP498" s="34" t="str">
        <f aca="false">IF($B498="","",COUNTIF($F498:$AJ498,"CL"))</f>
        <v/>
      </c>
      <c r="AQ498" s="34" t="str">
        <f aca="false">IF($B498="","",COUNTIF($F498:$AJ498,"SL"))</f>
        <v/>
      </c>
      <c r="AR498" s="34" t="str">
        <f aca="false">IF($B498="","",COUNTIF($F498:$AJ498,"CO"))</f>
        <v/>
      </c>
      <c r="AS498" s="34" t="str">
        <f aca="false">IF($B498="","",COUNTIF($F498:$AJ498,"HPL"))</f>
        <v/>
      </c>
      <c r="AT498" s="34" t="str">
        <f aca="false">IF($B498="","",COUNTIF($F498:$AJ498,"HCL"))</f>
        <v/>
      </c>
      <c r="AU498" s="34" t="str">
        <f aca="false">IF($B498="","",COUNTIF($F498:$AJ498,"WO"))</f>
        <v/>
      </c>
      <c r="AV498" s="34" t="str">
        <f aca="false">IF($B498="","",COUNTIF($F498:$AJ498,"PH"))</f>
        <v/>
      </c>
      <c r="AW498" s="34" t="str">
        <f aca="false">IF($B498="","",COUNTIF($F498:$AJ498,"TR"))</f>
        <v/>
      </c>
      <c r="AX498" s="35" t="str">
        <f aca="false">IF($B498="","",AO498+AS498/2)</f>
        <v/>
      </c>
      <c r="AY498" s="35" t="str">
        <f aca="false">IF($B498="","",AQ498)</f>
        <v/>
      </c>
      <c r="AZ498" s="35" t="str">
        <f aca="false">IF($B498="","",AP498+AT498/2)</f>
        <v/>
      </c>
      <c r="BA498" s="35" t="str">
        <f aca="false">IF($B498="","",AK498+AN498+AM498/2+AO498+AP498+AQ498+AR498+AS498+AT498+AU498+AV498+AW498)</f>
        <v/>
      </c>
      <c r="BB498" s="35" t="str">
        <f aca="false">IF($B498="","",MAX(0,AN498-Settings!$C$16)*Settings!$C$17)</f>
        <v/>
      </c>
      <c r="BC498" s="35" t="str">
        <f aca="false">IF($B498="","",BA498-BB498)</f>
        <v/>
      </c>
      <c r="BD498" s="35" t="str">
        <f aca="false">IF(OR($B498="",$A498=""),"",DAY(EOMONTH($A498,0))-COUNTA($F498:$AJ498))</f>
        <v/>
      </c>
    </row>
    <row r="499" customFormat="false" ht="15" hidden="false" customHeight="false" outlineLevel="0" collapsed="false">
      <c r="A499" s="32"/>
      <c r="B499" s="29"/>
      <c r="C499" s="10" t="str">
        <f aca="false">IF($B499="","",IFERROR(INDEX(M_name,MATCH($B499,M_emp,0)),"Code not found"))</f>
        <v/>
      </c>
      <c r="D499" s="10" t="str">
        <f aca="false">IF($B499="","",IFERROR(INDEX(M_dept,MATCH($B499,M_emp,0)),""))</f>
        <v/>
      </c>
      <c r="E499" s="10" t="str">
        <f aca="false">IF($B499="","",IFERROR(INDEX(M_loc,MATCH($B499,M_emp,0)),""))</f>
        <v/>
      </c>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4" t="str">
        <f aca="false">IF($B499="","",COUNTIF($F499:$AJ499,"P"))</f>
        <v/>
      </c>
      <c r="AL499" s="34" t="str">
        <f aca="false">IF($B499="","",COUNTIF($F499:$AJ499,"A"))</f>
        <v/>
      </c>
      <c r="AM499" s="34" t="str">
        <f aca="false">IF($B499="","",COUNTIF($F499:$AJ499,"HA"))</f>
        <v/>
      </c>
      <c r="AN499" s="34" t="str">
        <f aca="false">IF($B499="","",COUNTIF($F499:$AJ499,"L"))</f>
        <v/>
      </c>
      <c r="AO499" s="34" t="str">
        <f aca="false">IF($B499="","",COUNTIF($F499:$AJ499,"PL"))</f>
        <v/>
      </c>
      <c r="AP499" s="34" t="str">
        <f aca="false">IF($B499="","",COUNTIF($F499:$AJ499,"CL"))</f>
        <v/>
      </c>
      <c r="AQ499" s="34" t="str">
        <f aca="false">IF($B499="","",COUNTIF($F499:$AJ499,"SL"))</f>
        <v/>
      </c>
      <c r="AR499" s="34" t="str">
        <f aca="false">IF($B499="","",COUNTIF($F499:$AJ499,"CO"))</f>
        <v/>
      </c>
      <c r="AS499" s="34" t="str">
        <f aca="false">IF($B499="","",COUNTIF($F499:$AJ499,"HPL"))</f>
        <v/>
      </c>
      <c r="AT499" s="34" t="str">
        <f aca="false">IF($B499="","",COUNTIF($F499:$AJ499,"HCL"))</f>
        <v/>
      </c>
      <c r="AU499" s="34" t="str">
        <f aca="false">IF($B499="","",COUNTIF($F499:$AJ499,"WO"))</f>
        <v/>
      </c>
      <c r="AV499" s="34" t="str">
        <f aca="false">IF($B499="","",COUNTIF($F499:$AJ499,"PH"))</f>
        <v/>
      </c>
      <c r="AW499" s="34" t="str">
        <f aca="false">IF($B499="","",COUNTIF($F499:$AJ499,"TR"))</f>
        <v/>
      </c>
      <c r="AX499" s="35" t="str">
        <f aca="false">IF($B499="","",AO499+AS499/2)</f>
        <v/>
      </c>
      <c r="AY499" s="35" t="str">
        <f aca="false">IF($B499="","",AQ499)</f>
        <v/>
      </c>
      <c r="AZ499" s="35" t="str">
        <f aca="false">IF($B499="","",AP499+AT499/2)</f>
        <v/>
      </c>
      <c r="BA499" s="35" t="str">
        <f aca="false">IF($B499="","",AK499+AN499+AM499/2+AO499+AP499+AQ499+AR499+AS499+AT499+AU499+AV499+AW499)</f>
        <v/>
      </c>
      <c r="BB499" s="35" t="str">
        <f aca="false">IF($B499="","",MAX(0,AN499-Settings!$C$16)*Settings!$C$17)</f>
        <v/>
      </c>
      <c r="BC499" s="35" t="str">
        <f aca="false">IF($B499="","",BA499-BB499)</f>
        <v/>
      </c>
      <c r="BD499" s="35" t="str">
        <f aca="false">IF(OR($B499="",$A499=""),"",DAY(EOMONTH($A499,0))-COUNTA($F499:$AJ499))</f>
        <v/>
      </c>
    </row>
    <row r="500" customFormat="false" ht="15" hidden="false" customHeight="false" outlineLevel="0" collapsed="false">
      <c r="A500" s="32"/>
      <c r="B500" s="29"/>
      <c r="C500" s="10" t="str">
        <f aca="false">IF($B500="","",IFERROR(INDEX(M_name,MATCH($B500,M_emp,0)),"Code not found"))</f>
        <v/>
      </c>
      <c r="D500" s="10" t="str">
        <f aca="false">IF($B500="","",IFERROR(INDEX(M_dept,MATCH($B500,M_emp,0)),""))</f>
        <v/>
      </c>
      <c r="E500" s="10" t="str">
        <f aca="false">IF($B500="","",IFERROR(INDEX(M_loc,MATCH($B500,M_emp,0)),""))</f>
        <v/>
      </c>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4" t="str">
        <f aca="false">IF($B500="","",COUNTIF($F500:$AJ500,"P"))</f>
        <v/>
      </c>
      <c r="AL500" s="34" t="str">
        <f aca="false">IF($B500="","",COUNTIF($F500:$AJ500,"A"))</f>
        <v/>
      </c>
      <c r="AM500" s="34" t="str">
        <f aca="false">IF($B500="","",COUNTIF($F500:$AJ500,"HA"))</f>
        <v/>
      </c>
      <c r="AN500" s="34" t="str">
        <f aca="false">IF($B500="","",COUNTIF($F500:$AJ500,"L"))</f>
        <v/>
      </c>
      <c r="AO500" s="34" t="str">
        <f aca="false">IF($B500="","",COUNTIF($F500:$AJ500,"PL"))</f>
        <v/>
      </c>
      <c r="AP500" s="34" t="str">
        <f aca="false">IF($B500="","",COUNTIF($F500:$AJ500,"CL"))</f>
        <v/>
      </c>
      <c r="AQ500" s="34" t="str">
        <f aca="false">IF($B500="","",COUNTIF($F500:$AJ500,"SL"))</f>
        <v/>
      </c>
      <c r="AR500" s="34" t="str">
        <f aca="false">IF($B500="","",COUNTIF($F500:$AJ500,"CO"))</f>
        <v/>
      </c>
      <c r="AS500" s="34" t="str">
        <f aca="false">IF($B500="","",COUNTIF($F500:$AJ500,"HPL"))</f>
        <v/>
      </c>
      <c r="AT500" s="34" t="str">
        <f aca="false">IF($B500="","",COUNTIF($F500:$AJ500,"HCL"))</f>
        <v/>
      </c>
      <c r="AU500" s="34" t="str">
        <f aca="false">IF($B500="","",COUNTIF($F500:$AJ500,"WO"))</f>
        <v/>
      </c>
      <c r="AV500" s="34" t="str">
        <f aca="false">IF($B500="","",COUNTIF($F500:$AJ500,"PH"))</f>
        <v/>
      </c>
      <c r="AW500" s="34" t="str">
        <f aca="false">IF($B500="","",COUNTIF($F500:$AJ500,"TR"))</f>
        <v/>
      </c>
      <c r="AX500" s="35" t="str">
        <f aca="false">IF($B500="","",AO500+AS500/2)</f>
        <v/>
      </c>
      <c r="AY500" s="35" t="str">
        <f aca="false">IF($B500="","",AQ500)</f>
        <v/>
      </c>
      <c r="AZ500" s="35" t="str">
        <f aca="false">IF($B500="","",AP500+AT500/2)</f>
        <v/>
      </c>
      <c r="BA500" s="35" t="str">
        <f aca="false">IF($B500="","",AK500+AN500+AM500/2+AO500+AP500+AQ500+AR500+AS500+AT500+AU500+AV500+AW500)</f>
        <v/>
      </c>
      <c r="BB500" s="35" t="str">
        <f aca="false">IF($B500="","",MAX(0,AN500-Settings!$C$16)*Settings!$C$17)</f>
        <v/>
      </c>
      <c r="BC500" s="35" t="str">
        <f aca="false">IF($B500="","",BA500-BB500)</f>
        <v/>
      </c>
      <c r="BD500" s="35" t="str">
        <f aca="false">IF(OR($B500="",$A500=""),"",DAY(EOMONTH($A500,0))-COUNTA($F500:$AJ500))</f>
        <v/>
      </c>
    </row>
    <row r="501" customFormat="false" ht="15" hidden="false" customHeight="false" outlineLevel="0" collapsed="false">
      <c r="A501" s="32"/>
      <c r="B501" s="29"/>
      <c r="C501" s="10" t="str">
        <f aca="false">IF($B501="","",IFERROR(INDEX(M_name,MATCH($B501,M_emp,0)),"Code not found"))</f>
        <v/>
      </c>
      <c r="D501" s="10" t="str">
        <f aca="false">IF($B501="","",IFERROR(INDEX(M_dept,MATCH($B501,M_emp,0)),""))</f>
        <v/>
      </c>
      <c r="E501" s="10" t="str">
        <f aca="false">IF($B501="","",IFERROR(INDEX(M_loc,MATCH($B501,M_emp,0)),""))</f>
        <v/>
      </c>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4" t="str">
        <f aca="false">IF($B501="","",COUNTIF($F501:$AJ501,"P"))</f>
        <v/>
      </c>
      <c r="AL501" s="34" t="str">
        <f aca="false">IF($B501="","",COUNTIF($F501:$AJ501,"A"))</f>
        <v/>
      </c>
      <c r="AM501" s="34" t="str">
        <f aca="false">IF($B501="","",COUNTIF($F501:$AJ501,"HA"))</f>
        <v/>
      </c>
      <c r="AN501" s="34" t="str">
        <f aca="false">IF($B501="","",COUNTIF($F501:$AJ501,"L"))</f>
        <v/>
      </c>
      <c r="AO501" s="34" t="str">
        <f aca="false">IF($B501="","",COUNTIF($F501:$AJ501,"PL"))</f>
        <v/>
      </c>
      <c r="AP501" s="34" t="str">
        <f aca="false">IF($B501="","",COUNTIF($F501:$AJ501,"CL"))</f>
        <v/>
      </c>
      <c r="AQ501" s="34" t="str">
        <f aca="false">IF($B501="","",COUNTIF($F501:$AJ501,"SL"))</f>
        <v/>
      </c>
      <c r="AR501" s="34" t="str">
        <f aca="false">IF($B501="","",COUNTIF($F501:$AJ501,"CO"))</f>
        <v/>
      </c>
      <c r="AS501" s="34" t="str">
        <f aca="false">IF($B501="","",COUNTIF($F501:$AJ501,"HPL"))</f>
        <v/>
      </c>
      <c r="AT501" s="34" t="str">
        <f aca="false">IF($B501="","",COUNTIF($F501:$AJ501,"HCL"))</f>
        <v/>
      </c>
      <c r="AU501" s="34" t="str">
        <f aca="false">IF($B501="","",COUNTIF($F501:$AJ501,"WO"))</f>
        <v/>
      </c>
      <c r="AV501" s="34" t="str">
        <f aca="false">IF($B501="","",COUNTIF($F501:$AJ501,"PH"))</f>
        <v/>
      </c>
      <c r="AW501" s="34" t="str">
        <f aca="false">IF($B501="","",COUNTIF($F501:$AJ501,"TR"))</f>
        <v/>
      </c>
      <c r="AX501" s="35" t="str">
        <f aca="false">IF($B501="","",AO501+AS501/2)</f>
        <v/>
      </c>
      <c r="AY501" s="35" t="str">
        <f aca="false">IF($B501="","",AQ501)</f>
        <v/>
      </c>
      <c r="AZ501" s="35" t="str">
        <f aca="false">IF($B501="","",AP501+AT501/2)</f>
        <v/>
      </c>
      <c r="BA501" s="35" t="str">
        <f aca="false">IF($B501="","",AK501+AN501+AM501/2+AO501+AP501+AQ501+AR501+AS501+AT501+AU501+AV501+AW501)</f>
        <v/>
      </c>
      <c r="BB501" s="35" t="str">
        <f aca="false">IF($B501="","",MAX(0,AN501-Settings!$C$16)*Settings!$C$17)</f>
        <v/>
      </c>
      <c r="BC501" s="35" t="str">
        <f aca="false">IF($B501="","",BA501-BB501)</f>
        <v/>
      </c>
      <c r="BD501" s="35" t="str">
        <f aca="false">IF(OR($B501="",$A501=""),"",DAY(EOMONTH($A501,0))-COUNTA($F501:$AJ501))</f>
        <v/>
      </c>
    </row>
    <row r="502" customFormat="false" ht="15" hidden="false" customHeight="false" outlineLevel="0" collapsed="false">
      <c r="A502" s="32"/>
      <c r="B502" s="29"/>
      <c r="C502" s="10" t="str">
        <f aca="false">IF($B502="","",IFERROR(INDEX(M_name,MATCH($B502,M_emp,0)),"Code not found"))</f>
        <v/>
      </c>
      <c r="D502" s="10" t="str">
        <f aca="false">IF($B502="","",IFERROR(INDEX(M_dept,MATCH($B502,M_emp,0)),""))</f>
        <v/>
      </c>
      <c r="E502" s="10" t="str">
        <f aca="false">IF($B502="","",IFERROR(INDEX(M_loc,MATCH($B502,M_emp,0)),""))</f>
        <v/>
      </c>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4" t="str">
        <f aca="false">IF($B502="","",COUNTIF($F502:$AJ502,"P"))</f>
        <v/>
      </c>
      <c r="AL502" s="34" t="str">
        <f aca="false">IF($B502="","",COUNTIF($F502:$AJ502,"A"))</f>
        <v/>
      </c>
      <c r="AM502" s="34" t="str">
        <f aca="false">IF($B502="","",COUNTIF($F502:$AJ502,"HA"))</f>
        <v/>
      </c>
      <c r="AN502" s="34" t="str">
        <f aca="false">IF($B502="","",COUNTIF($F502:$AJ502,"L"))</f>
        <v/>
      </c>
      <c r="AO502" s="34" t="str">
        <f aca="false">IF($B502="","",COUNTIF($F502:$AJ502,"PL"))</f>
        <v/>
      </c>
      <c r="AP502" s="34" t="str">
        <f aca="false">IF($B502="","",COUNTIF($F502:$AJ502,"CL"))</f>
        <v/>
      </c>
      <c r="AQ502" s="34" t="str">
        <f aca="false">IF($B502="","",COUNTIF($F502:$AJ502,"SL"))</f>
        <v/>
      </c>
      <c r="AR502" s="34" t="str">
        <f aca="false">IF($B502="","",COUNTIF($F502:$AJ502,"CO"))</f>
        <v/>
      </c>
      <c r="AS502" s="34" t="str">
        <f aca="false">IF($B502="","",COUNTIF($F502:$AJ502,"HPL"))</f>
        <v/>
      </c>
      <c r="AT502" s="34" t="str">
        <f aca="false">IF($B502="","",COUNTIF($F502:$AJ502,"HCL"))</f>
        <v/>
      </c>
      <c r="AU502" s="34" t="str">
        <f aca="false">IF($B502="","",COUNTIF($F502:$AJ502,"WO"))</f>
        <v/>
      </c>
      <c r="AV502" s="34" t="str">
        <f aca="false">IF($B502="","",COUNTIF($F502:$AJ502,"PH"))</f>
        <v/>
      </c>
      <c r="AW502" s="34" t="str">
        <f aca="false">IF($B502="","",COUNTIF($F502:$AJ502,"TR"))</f>
        <v/>
      </c>
      <c r="AX502" s="35" t="str">
        <f aca="false">IF($B502="","",AO502+AS502/2)</f>
        <v/>
      </c>
      <c r="AY502" s="35" t="str">
        <f aca="false">IF($B502="","",AQ502)</f>
        <v/>
      </c>
      <c r="AZ502" s="35" t="str">
        <f aca="false">IF($B502="","",AP502+AT502/2)</f>
        <v/>
      </c>
      <c r="BA502" s="35" t="str">
        <f aca="false">IF($B502="","",AK502+AN502+AM502/2+AO502+AP502+AQ502+AR502+AS502+AT502+AU502+AV502+AW502)</f>
        <v/>
      </c>
      <c r="BB502" s="35" t="str">
        <f aca="false">IF($B502="","",MAX(0,AN502-Settings!$C$16)*Settings!$C$17)</f>
        <v/>
      </c>
      <c r="BC502" s="35" t="str">
        <f aca="false">IF($B502="","",BA502-BB502)</f>
        <v/>
      </c>
      <c r="BD502" s="35" t="str">
        <f aca="false">IF(OR($B502="",$A502=""),"",DAY(EOMONTH($A502,0))-COUNTA($F502:$AJ502))</f>
        <v/>
      </c>
    </row>
    <row r="503" customFormat="false" ht="15" hidden="false" customHeight="false" outlineLevel="0" collapsed="false">
      <c r="A503" s="32"/>
      <c r="B503" s="29"/>
      <c r="C503" s="10" t="str">
        <f aca="false">IF($B503="","",IFERROR(INDEX(M_name,MATCH($B503,M_emp,0)),"Code not found"))</f>
        <v/>
      </c>
      <c r="D503" s="10" t="str">
        <f aca="false">IF($B503="","",IFERROR(INDEX(M_dept,MATCH($B503,M_emp,0)),""))</f>
        <v/>
      </c>
      <c r="E503" s="10" t="str">
        <f aca="false">IF($B503="","",IFERROR(INDEX(M_loc,MATCH($B503,M_emp,0)),""))</f>
        <v/>
      </c>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4" t="str">
        <f aca="false">IF($B503="","",COUNTIF($F503:$AJ503,"P"))</f>
        <v/>
      </c>
      <c r="AL503" s="34" t="str">
        <f aca="false">IF($B503="","",COUNTIF($F503:$AJ503,"A"))</f>
        <v/>
      </c>
      <c r="AM503" s="34" t="str">
        <f aca="false">IF($B503="","",COUNTIF($F503:$AJ503,"HA"))</f>
        <v/>
      </c>
      <c r="AN503" s="34" t="str">
        <f aca="false">IF($B503="","",COUNTIF($F503:$AJ503,"L"))</f>
        <v/>
      </c>
      <c r="AO503" s="34" t="str">
        <f aca="false">IF($B503="","",COUNTIF($F503:$AJ503,"PL"))</f>
        <v/>
      </c>
      <c r="AP503" s="34" t="str">
        <f aca="false">IF($B503="","",COUNTIF($F503:$AJ503,"CL"))</f>
        <v/>
      </c>
      <c r="AQ503" s="34" t="str">
        <f aca="false">IF($B503="","",COUNTIF($F503:$AJ503,"SL"))</f>
        <v/>
      </c>
      <c r="AR503" s="34" t="str">
        <f aca="false">IF($B503="","",COUNTIF($F503:$AJ503,"CO"))</f>
        <v/>
      </c>
      <c r="AS503" s="34" t="str">
        <f aca="false">IF($B503="","",COUNTIF($F503:$AJ503,"HPL"))</f>
        <v/>
      </c>
      <c r="AT503" s="34" t="str">
        <f aca="false">IF($B503="","",COUNTIF($F503:$AJ503,"HCL"))</f>
        <v/>
      </c>
      <c r="AU503" s="34" t="str">
        <f aca="false">IF($B503="","",COUNTIF($F503:$AJ503,"WO"))</f>
        <v/>
      </c>
      <c r="AV503" s="34" t="str">
        <f aca="false">IF($B503="","",COUNTIF($F503:$AJ503,"PH"))</f>
        <v/>
      </c>
      <c r="AW503" s="34" t="str">
        <f aca="false">IF($B503="","",COUNTIF($F503:$AJ503,"TR"))</f>
        <v/>
      </c>
      <c r="AX503" s="35" t="str">
        <f aca="false">IF($B503="","",AO503+AS503/2)</f>
        <v/>
      </c>
      <c r="AY503" s="35" t="str">
        <f aca="false">IF($B503="","",AQ503)</f>
        <v/>
      </c>
      <c r="AZ503" s="35" t="str">
        <f aca="false">IF($B503="","",AP503+AT503/2)</f>
        <v/>
      </c>
      <c r="BA503" s="35" t="str">
        <f aca="false">IF($B503="","",AK503+AN503+AM503/2+AO503+AP503+AQ503+AR503+AS503+AT503+AU503+AV503+AW503)</f>
        <v/>
      </c>
      <c r="BB503" s="35" t="str">
        <f aca="false">IF($B503="","",MAX(0,AN503-Settings!$C$16)*Settings!$C$17)</f>
        <v/>
      </c>
      <c r="BC503" s="35" t="str">
        <f aca="false">IF($B503="","",BA503-BB503)</f>
        <v/>
      </c>
      <c r="BD503" s="35" t="str">
        <f aca="false">IF(OR($B503="",$A503=""),"",DAY(EOMONTH($A503,0))-COUNTA($F503:$AJ503))</f>
        <v/>
      </c>
    </row>
    <row r="504" customFormat="false" ht="15" hidden="false" customHeight="false" outlineLevel="0" collapsed="false">
      <c r="A504" s="32"/>
      <c r="B504" s="29"/>
      <c r="C504" s="10" t="str">
        <f aca="false">IF($B504="","",IFERROR(INDEX(M_name,MATCH($B504,M_emp,0)),"Code not found"))</f>
        <v/>
      </c>
      <c r="D504" s="10" t="str">
        <f aca="false">IF($B504="","",IFERROR(INDEX(M_dept,MATCH($B504,M_emp,0)),""))</f>
        <v/>
      </c>
      <c r="E504" s="10" t="str">
        <f aca="false">IF($B504="","",IFERROR(INDEX(M_loc,MATCH($B504,M_emp,0)),""))</f>
        <v/>
      </c>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4" t="str">
        <f aca="false">IF($B504="","",COUNTIF($F504:$AJ504,"P"))</f>
        <v/>
      </c>
      <c r="AL504" s="34" t="str">
        <f aca="false">IF($B504="","",COUNTIF($F504:$AJ504,"A"))</f>
        <v/>
      </c>
      <c r="AM504" s="34" t="str">
        <f aca="false">IF($B504="","",COUNTIF($F504:$AJ504,"HA"))</f>
        <v/>
      </c>
      <c r="AN504" s="34" t="str">
        <f aca="false">IF($B504="","",COUNTIF($F504:$AJ504,"L"))</f>
        <v/>
      </c>
      <c r="AO504" s="34" t="str">
        <f aca="false">IF($B504="","",COUNTIF($F504:$AJ504,"PL"))</f>
        <v/>
      </c>
      <c r="AP504" s="34" t="str">
        <f aca="false">IF($B504="","",COUNTIF($F504:$AJ504,"CL"))</f>
        <v/>
      </c>
      <c r="AQ504" s="34" t="str">
        <f aca="false">IF($B504="","",COUNTIF($F504:$AJ504,"SL"))</f>
        <v/>
      </c>
      <c r="AR504" s="34" t="str">
        <f aca="false">IF($B504="","",COUNTIF($F504:$AJ504,"CO"))</f>
        <v/>
      </c>
      <c r="AS504" s="34" t="str">
        <f aca="false">IF($B504="","",COUNTIF($F504:$AJ504,"HPL"))</f>
        <v/>
      </c>
      <c r="AT504" s="34" t="str">
        <f aca="false">IF($B504="","",COUNTIF($F504:$AJ504,"HCL"))</f>
        <v/>
      </c>
      <c r="AU504" s="34" t="str">
        <f aca="false">IF($B504="","",COUNTIF($F504:$AJ504,"WO"))</f>
        <v/>
      </c>
      <c r="AV504" s="34" t="str">
        <f aca="false">IF($B504="","",COUNTIF($F504:$AJ504,"PH"))</f>
        <v/>
      </c>
      <c r="AW504" s="34" t="str">
        <f aca="false">IF($B504="","",COUNTIF($F504:$AJ504,"TR"))</f>
        <v/>
      </c>
      <c r="AX504" s="35" t="str">
        <f aca="false">IF($B504="","",AO504+AS504/2)</f>
        <v/>
      </c>
      <c r="AY504" s="35" t="str">
        <f aca="false">IF($B504="","",AQ504)</f>
        <v/>
      </c>
      <c r="AZ504" s="35" t="str">
        <f aca="false">IF($B504="","",AP504+AT504/2)</f>
        <v/>
      </c>
      <c r="BA504" s="35" t="str">
        <f aca="false">IF($B504="","",AK504+AN504+AM504/2+AO504+AP504+AQ504+AR504+AS504+AT504+AU504+AV504+AW504)</f>
        <v/>
      </c>
      <c r="BB504" s="35" t="str">
        <f aca="false">IF($B504="","",MAX(0,AN504-Settings!$C$16)*Settings!$C$17)</f>
        <v/>
      </c>
      <c r="BC504" s="35" t="str">
        <f aca="false">IF($B504="","",BA504-BB504)</f>
        <v/>
      </c>
      <c r="BD504" s="35" t="str">
        <f aca="false">IF(OR($B504="",$A504=""),"",DAY(EOMONTH($A504,0))-COUNTA($F504:$AJ504))</f>
        <v/>
      </c>
    </row>
    <row r="505" customFormat="false" ht="15" hidden="false" customHeight="false" outlineLevel="0" collapsed="false">
      <c r="A505" s="32"/>
      <c r="B505" s="29"/>
      <c r="C505" s="10" t="str">
        <f aca="false">IF($B505="","",IFERROR(INDEX(M_name,MATCH($B505,M_emp,0)),"Code not found"))</f>
        <v/>
      </c>
      <c r="D505" s="10" t="str">
        <f aca="false">IF($B505="","",IFERROR(INDEX(M_dept,MATCH($B505,M_emp,0)),""))</f>
        <v/>
      </c>
      <c r="E505" s="10" t="str">
        <f aca="false">IF($B505="","",IFERROR(INDEX(M_loc,MATCH($B505,M_emp,0)),""))</f>
        <v/>
      </c>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4" t="str">
        <f aca="false">IF($B505="","",COUNTIF($F505:$AJ505,"P"))</f>
        <v/>
      </c>
      <c r="AL505" s="34" t="str">
        <f aca="false">IF($B505="","",COUNTIF($F505:$AJ505,"A"))</f>
        <v/>
      </c>
      <c r="AM505" s="34" t="str">
        <f aca="false">IF($B505="","",COUNTIF($F505:$AJ505,"HA"))</f>
        <v/>
      </c>
      <c r="AN505" s="34" t="str">
        <f aca="false">IF($B505="","",COUNTIF($F505:$AJ505,"L"))</f>
        <v/>
      </c>
      <c r="AO505" s="34" t="str">
        <f aca="false">IF($B505="","",COUNTIF($F505:$AJ505,"PL"))</f>
        <v/>
      </c>
      <c r="AP505" s="34" t="str">
        <f aca="false">IF($B505="","",COUNTIF($F505:$AJ505,"CL"))</f>
        <v/>
      </c>
      <c r="AQ505" s="34" t="str">
        <f aca="false">IF($B505="","",COUNTIF($F505:$AJ505,"SL"))</f>
        <v/>
      </c>
      <c r="AR505" s="34" t="str">
        <f aca="false">IF($B505="","",COUNTIF($F505:$AJ505,"CO"))</f>
        <v/>
      </c>
      <c r="AS505" s="34" t="str">
        <f aca="false">IF($B505="","",COUNTIF($F505:$AJ505,"HPL"))</f>
        <v/>
      </c>
      <c r="AT505" s="34" t="str">
        <f aca="false">IF($B505="","",COUNTIF($F505:$AJ505,"HCL"))</f>
        <v/>
      </c>
      <c r="AU505" s="34" t="str">
        <f aca="false">IF($B505="","",COUNTIF($F505:$AJ505,"WO"))</f>
        <v/>
      </c>
      <c r="AV505" s="34" t="str">
        <f aca="false">IF($B505="","",COUNTIF($F505:$AJ505,"PH"))</f>
        <v/>
      </c>
      <c r="AW505" s="34" t="str">
        <f aca="false">IF($B505="","",COUNTIF($F505:$AJ505,"TR"))</f>
        <v/>
      </c>
      <c r="AX505" s="35" t="str">
        <f aca="false">IF($B505="","",AO505+AS505/2)</f>
        <v/>
      </c>
      <c r="AY505" s="35" t="str">
        <f aca="false">IF($B505="","",AQ505)</f>
        <v/>
      </c>
      <c r="AZ505" s="35" t="str">
        <f aca="false">IF($B505="","",AP505+AT505/2)</f>
        <v/>
      </c>
      <c r="BA505" s="35" t="str">
        <f aca="false">IF($B505="","",AK505+AN505+AM505/2+AO505+AP505+AQ505+AR505+AS505+AT505+AU505+AV505+AW505)</f>
        <v/>
      </c>
      <c r="BB505" s="35" t="str">
        <f aca="false">IF($B505="","",MAX(0,AN505-Settings!$C$16)*Settings!$C$17)</f>
        <v/>
      </c>
      <c r="BC505" s="35" t="str">
        <f aca="false">IF($B505="","",BA505-BB505)</f>
        <v/>
      </c>
      <c r="BD505" s="35" t="str">
        <f aca="false">IF(OR($B505="",$A505=""),"",DAY(EOMONTH($A505,0))-COUNTA($F505:$AJ505))</f>
        <v/>
      </c>
    </row>
    <row r="506" customFormat="false" ht="15" hidden="false" customHeight="false" outlineLevel="0" collapsed="false">
      <c r="A506" s="32"/>
      <c r="B506" s="29"/>
      <c r="C506" s="10" t="str">
        <f aca="false">IF($B506="","",IFERROR(INDEX(M_name,MATCH($B506,M_emp,0)),"Code not found"))</f>
        <v/>
      </c>
      <c r="D506" s="10" t="str">
        <f aca="false">IF($B506="","",IFERROR(INDEX(M_dept,MATCH($B506,M_emp,0)),""))</f>
        <v/>
      </c>
      <c r="E506" s="10" t="str">
        <f aca="false">IF($B506="","",IFERROR(INDEX(M_loc,MATCH($B506,M_emp,0)),""))</f>
        <v/>
      </c>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4" t="str">
        <f aca="false">IF($B506="","",COUNTIF($F506:$AJ506,"P"))</f>
        <v/>
      </c>
      <c r="AL506" s="34" t="str">
        <f aca="false">IF($B506="","",COUNTIF($F506:$AJ506,"A"))</f>
        <v/>
      </c>
      <c r="AM506" s="34" t="str">
        <f aca="false">IF($B506="","",COUNTIF($F506:$AJ506,"HA"))</f>
        <v/>
      </c>
      <c r="AN506" s="34" t="str">
        <f aca="false">IF($B506="","",COUNTIF($F506:$AJ506,"L"))</f>
        <v/>
      </c>
      <c r="AO506" s="34" t="str">
        <f aca="false">IF($B506="","",COUNTIF($F506:$AJ506,"PL"))</f>
        <v/>
      </c>
      <c r="AP506" s="34" t="str">
        <f aca="false">IF($B506="","",COUNTIF($F506:$AJ506,"CL"))</f>
        <v/>
      </c>
      <c r="AQ506" s="34" t="str">
        <f aca="false">IF($B506="","",COUNTIF($F506:$AJ506,"SL"))</f>
        <v/>
      </c>
      <c r="AR506" s="34" t="str">
        <f aca="false">IF($B506="","",COUNTIF($F506:$AJ506,"CO"))</f>
        <v/>
      </c>
      <c r="AS506" s="34" t="str">
        <f aca="false">IF($B506="","",COUNTIF($F506:$AJ506,"HPL"))</f>
        <v/>
      </c>
      <c r="AT506" s="34" t="str">
        <f aca="false">IF($B506="","",COUNTIF($F506:$AJ506,"HCL"))</f>
        <v/>
      </c>
      <c r="AU506" s="34" t="str">
        <f aca="false">IF($B506="","",COUNTIF($F506:$AJ506,"WO"))</f>
        <v/>
      </c>
      <c r="AV506" s="34" t="str">
        <f aca="false">IF($B506="","",COUNTIF($F506:$AJ506,"PH"))</f>
        <v/>
      </c>
      <c r="AW506" s="34" t="str">
        <f aca="false">IF($B506="","",COUNTIF($F506:$AJ506,"TR"))</f>
        <v/>
      </c>
      <c r="AX506" s="35" t="str">
        <f aca="false">IF($B506="","",AO506+AS506/2)</f>
        <v/>
      </c>
      <c r="AY506" s="35" t="str">
        <f aca="false">IF($B506="","",AQ506)</f>
        <v/>
      </c>
      <c r="AZ506" s="35" t="str">
        <f aca="false">IF($B506="","",AP506+AT506/2)</f>
        <v/>
      </c>
      <c r="BA506" s="35" t="str">
        <f aca="false">IF($B506="","",AK506+AN506+AM506/2+AO506+AP506+AQ506+AR506+AS506+AT506+AU506+AV506+AW506)</f>
        <v/>
      </c>
      <c r="BB506" s="35" t="str">
        <f aca="false">IF($B506="","",MAX(0,AN506-Settings!$C$16)*Settings!$C$17)</f>
        <v/>
      </c>
      <c r="BC506" s="35" t="str">
        <f aca="false">IF($B506="","",BA506-BB506)</f>
        <v/>
      </c>
      <c r="BD506" s="35" t="str">
        <f aca="false">IF(OR($B506="",$A506=""),"",DAY(EOMONTH($A506,0))-COUNTA($F506:$AJ506))</f>
        <v/>
      </c>
    </row>
    <row r="507" customFormat="false" ht="15" hidden="false" customHeight="false" outlineLevel="0" collapsed="false">
      <c r="A507" s="32"/>
      <c r="B507" s="29"/>
      <c r="C507" s="10" t="str">
        <f aca="false">IF($B507="","",IFERROR(INDEX(M_name,MATCH($B507,M_emp,0)),"Code not found"))</f>
        <v/>
      </c>
      <c r="D507" s="10" t="str">
        <f aca="false">IF($B507="","",IFERROR(INDEX(M_dept,MATCH($B507,M_emp,0)),""))</f>
        <v/>
      </c>
      <c r="E507" s="10" t="str">
        <f aca="false">IF($B507="","",IFERROR(INDEX(M_loc,MATCH($B507,M_emp,0)),""))</f>
        <v/>
      </c>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4" t="str">
        <f aca="false">IF($B507="","",COUNTIF($F507:$AJ507,"P"))</f>
        <v/>
      </c>
      <c r="AL507" s="34" t="str">
        <f aca="false">IF($B507="","",COUNTIF($F507:$AJ507,"A"))</f>
        <v/>
      </c>
      <c r="AM507" s="34" t="str">
        <f aca="false">IF($B507="","",COUNTIF($F507:$AJ507,"HA"))</f>
        <v/>
      </c>
      <c r="AN507" s="34" t="str">
        <f aca="false">IF($B507="","",COUNTIF($F507:$AJ507,"L"))</f>
        <v/>
      </c>
      <c r="AO507" s="34" t="str">
        <f aca="false">IF($B507="","",COUNTIF($F507:$AJ507,"PL"))</f>
        <v/>
      </c>
      <c r="AP507" s="34" t="str">
        <f aca="false">IF($B507="","",COUNTIF($F507:$AJ507,"CL"))</f>
        <v/>
      </c>
      <c r="AQ507" s="34" t="str">
        <f aca="false">IF($B507="","",COUNTIF($F507:$AJ507,"SL"))</f>
        <v/>
      </c>
      <c r="AR507" s="34" t="str">
        <f aca="false">IF($B507="","",COUNTIF($F507:$AJ507,"CO"))</f>
        <v/>
      </c>
      <c r="AS507" s="34" t="str">
        <f aca="false">IF($B507="","",COUNTIF($F507:$AJ507,"HPL"))</f>
        <v/>
      </c>
      <c r="AT507" s="34" t="str">
        <f aca="false">IF($B507="","",COUNTIF($F507:$AJ507,"HCL"))</f>
        <v/>
      </c>
      <c r="AU507" s="34" t="str">
        <f aca="false">IF($B507="","",COUNTIF($F507:$AJ507,"WO"))</f>
        <v/>
      </c>
      <c r="AV507" s="34" t="str">
        <f aca="false">IF($B507="","",COUNTIF($F507:$AJ507,"PH"))</f>
        <v/>
      </c>
      <c r="AW507" s="34" t="str">
        <f aca="false">IF($B507="","",COUNTIF($F507:$AJ507,"TR"))</f>
        <v/>
      </c>
      <c r="AX507" s="35" t="str">
        <f aca="false">IF($B507="","",AO507+AS507/2)</f>
        <v/>
      </c>
      <c r="AY507" s="35" t="str">
        <f aca="false">IF($B507="","",AQ507)</f>
        <v/>
      </c>
      <c r="AZ507" s="35" t="str">
        <f aca="false">IF($B507="","",AP507+AT507/2)</f>
        <v/>
      </c>
      <c r="BA507" s="35" t="str">
        <f aca="false">IF($B507="","",AK507+AN507+AM507/2+AO507+AP507+AQ507+AR507+AS507+AT507+AU507+AV507+AW507)</f>
        <v/>
      </c>
      <c r="BB507" s="35" t="str">
        <f aca="false">IF($B507="","",MAX(0,AN507-Settings!$C$16)*Settings!$C$17)</f>
        <v/>
      </c>
      <c r="BC507" s="35" t="str">
        <f aca="false">IF($B507="","",BA507-BB507)</f>
        <v/>
      </c>
      <c r="BD507" s="35" t="str">
        <f aca="false">IF(OR($B507="",$A507=""),"",DAY(EOMONTH($A507,0))-COUNTA($F507:$AJ507))</f>
        <v/>
      </c>
    </row>
    <row r="508" customFormat="false" ht="15" hidden="false" customHeight="false" outlineLevel="0" collapsed="false">
      <c r="A508" s="32"/>
      <c r="B508" s="29"/>
      <c r="C508" s="10" t="str">
        <f aca="false">IF($B508="","",IFERROR(INDEX(M_name,MATCH($B508,M_emp,0)),"Code not found"))</f>
        <v/>
      </c>
      <c r="D508" s="10" t="str">
        <f aca="false">IF($B508="","",IFERROR(INDEX(M_dept,MATCH($B508,M_emp,0)),""))</f>
        <v/>
      </c>
      <c r="E508" s="10" t="str">
        <f aca="false">IF($B508="","",IFERROR(INDEX(M_loc,MATCH($B508,M_emp,0)),""))</f>
        <v/>
      </c>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4" t="str">
        <f aca="false">IF($B508="","",COUNTIF($F508:$AJ508,"P"))</f>
        <v/>
      </c>
      <c r="AL508" s="34" t="str">
        <f aca="false">IF($B508="","",COUNTIF($F508:$AJ508,"A"))</f>
        <v/>
      </c>
      <c r="AM508" s="34" t="str">
        <f aca="false">IF($B508="","",COUNTIF($F508:$AJ508,"HA"))</f>
        <v/>
      </c>
      <c r="AN508" s="34" t="str">
        <f aca="false">IF($B508="","",COUNTIF($F508:$AJ508,"L"))</f>
        <v/>
      </c>
      <c r="AO508" s="34" t="str">
        <f aca="false">IF($B508="","",COUNTIF($F508:$AJ508,"PL"))</f>
        <v/>
      </c>
      <c r="AP508" s="34" t="str">
        <f aca="false">IF($B508="","",COUNTIF($F508:$AJ508,"CL"))</f>
        <v/>
      </c>
      <c r="AQ508" s="34" t="str">
        <f aca="false">IF($B508="","",COUNTIF($F508:$AJ508,"SL"))</f>
        <v/>
      </c>
      <c r="AR508" s="34" t="str">
        <f aca="false">IF($B508="","",COUNTIF($F508:$AJ508,"CO"))</f>
        <v/>
      </c>
      <c r="AS508" s="34" t="str">
        <f aca="false">IF($B508="","",COUNTIF($F508:$AJ508,"HPL"))</f>
        <v/>
      </c>
      <c r="AT508" s="34" t="str">
        <f aca="false">IF($B508="","",COUNTIF($F508:$AJ508,"HCL"))</f>
        <v/>
      </c>
      <c r="AU508" s="34" t="str">
        <f aca="false">IF($B508="","",COUNTIF($F508:$AJ508,"WO"))</f>
        <v/>
      </c>
      <c r="AV508" s="34" t="str">
        <f aca="false">IF($B508="","",COUNTIF($F508:$AJ508,"PH"))</f>
        <v/>
      </c>
      <c r="AW508" s="34" t="str">
        <f aca="false">IF($B508="","",COUNTIF($F508:$AJ508,"TR"))</f>
        <v/>
      </c>
      <c r="AX508" s="35" t="str">
        <f aca="false">IF($B508="","",AO508+AS508/2)</f>
        <v/>
      </c>
      <c r="AY508" s="35" t="str">
        <f aca="false">IF($B508="","",AQ508)</f>
        <v/>
      </c>
      <c r="AZ508" s="35" t="str">
        <f aca="false">IF($B508="","",AP508+AT508/2)</f>
        <v/>
      </c>
      <c r="BA508" s="35" t="str">
        <f aca="false">IF($B508="","",AK508+AN508+AM508/2+AO508+AP508+AQ508+AR508+AS508+AT508+AU508+AV508+AW508)</f>
        <v/>
      </c>
      <c r="BB508" s="35" t="str">
        <f aca="false">IF($B508="","",MAX(0,AN508-Settings!$C$16)*Settings!$C$17)</f>
        <v/>
      </c>
      <c r="BC508" s="35" t="str">
        <f aca="false">IF($B508="","",BA508-BB508)</f>
        <v/>
      </c>
      <c r="BD508" s="35" t="str">
        <f aca="false">IF(OR($B508="",$A508=""),"",DAY(EOMONTH($A508,0))-COUNTA($F508:$AJ508))</f>
        <v/>
      </c>
    </row>
    <row r="509" customFormat="false" ht="15" hidden="false" customHeight="false" outlineLevel="0" collapsed="false">
      <c r="A509" s="32"/>
      <c r="B509" s="29"/>
      <c r="C509" s="10" t="str">
        <f aca="false">IF($B509="","",IFERROR(INDEX(M_name,MATCH($B509,M_emp,0)),"Code not found"))</f>
        <v/>
      </c>
      <c r="D509" s="10" t="str">
        <f aca="false">IF($B509="","",IFERROR(INDEX(M_dept,MATCH($B509,M_emp,0)),""))</f>
        <v/>
      </c>
      <c r="E509" s="10" t="str">
        <f aca="false">IF($B509="","",IFERROR(INDEX(M_loc,MATCH($B509,M_emp,0)),""))</f>
        <v/>
      </c>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4" t="str">
        <f aca="false">IF($B509="","",COUNTIF($F509:$AJ509,"P"))</f>
        <v/>
      </c>
      <c r="AL509" s="34" t="str">
        <f aca="false">IF($B509="","",COUNTIF($F509:$AJ509,"A"))</f>
        <v/>
      </c>
      <c r="AM509" s="34" t="str">
        <f aca="false">IF($B509="","",COUNTIF($F509:$AJ509,"HA"))</f>
        <v/>
      </c>
      <c r="AN509" s="34" t="str">
        <f aca="false">IF($B509="","",COUNTIF($F509:$AJ509,"L"))</f>
        <v/>
      </c>
      <c r="AO509" s="34" t="str">
        <f aca="false">IF($B509="","",COUNTIF($F509:$AJ509,"PL"))</f>
        <v/>
      </c>
      <c r="AP509" s="34" t="str">
        <f aca="false">IF($B509="","",COUNTIF($F509:$AJ509,"CL"))</f>
        <v/>
      </c>
      <c r="AQ509" s="34" t="str">
        <f aca="false">IF($B509="","",COUNTIF($F509:$AJ509,"SL"))</f>
        <v/>
      </c>
      <c r="AR509" s="34" t="str">
        <f aca="false">IF($B509="","",COUNTIF($F509:$AJ509,"CO"))</f>
        <v/>
      </c>
      <c r="AS509" s="34" t="str">
        <f aca="false">IF($B509="","",COUNTIF($F509:$AJ509,"HPL"))</f>
        <v/>
      </c>
      <c r="AT509" s="34" t="str">
        <f aca="false">IF($B509="","",COUNTIF($F509:$AJ509,"HCL"))</f>
        <v/>
      </c>
      <c r="AU509" s="34" t="str">
        <f aca="false">IF($B509="","",COUNTIF($F509:$AJ509,"WO"))</f>
        <v/>
      </c>
      <c r="AV509" s="34" t="str">
        <f aca="false">IF($B509="","",COUNTIF($F509:$AJ509,"PH"))</f>
        <v/>
      </c>
      <c r="AW509" s="34" t="str">
        <f aca="false">IF($B509="","",COUNTIF($F509:$AJ509,"TR"))</f>
        <v/>
      </c>
      <c r="AX509" s="35" t="str">
        <f aca="false">IF($B509="","",AO509+AS509/2)</f>
        <v/>
      </c>
      <c r="AY509" s="35" t="str">
        <f aca="false">IF($B509="","",AQ509)</f>
        <v/>
      </c>
      <c r="AZ509" s="35" t="str">
        <f aca="false">IF($B509="","",AP509+AT509/2)</f>
        <v/>
      </c>
      <c r="BA509" s="35" t="str">
        <f aca="false">IF($B509="","",AK509+AN509+AM509/2+AO509+AP509+AQ509+AR509+AS509+AT509+AU509+AV509+AW509)</f>
        <v/>
      </c>
      <c r="BB509" s="35" t="str">
        <f aca="false">IF($B509="","",MAX(0,AN509-Settings!$C$16)*Settings!$C$17)</f>
        <v/>
      </c>
      <c r="BC509" s="35" t="str">
        <f aca="false">IF($B509="","",BA509-BB509)</f>
        <v/>
      </c>
      <c r="BD509" s="35" t="str">
        <f aca="false">IF(OR($B509="",$A509=""),"",DAY(EOMONTH($A509,0))-COUNTA($F509:$AJ509))</f>
        <v/>
      </c>
    </row>
    <row r="510" customFormat="false" ht="15" hidden="false" customHeight="false" outlineLevel="0" collapsed="false">
      <c r="A510" s="32"/>
      <c r="B510" s="29"/>
      <c r="C510" s="10" t="str">
        <f aca="false">IF($B510="","",IFERROR(INDEX(M_name,MATCH($B510,M_emp,0)),"Code not found"))</f>
        <v/>
      </c>
      <c r="D510" s="10" t="str">
        <f aca="false">IF($B510="","",IFERROR(INDEX(M_dept,MATCH($B510,M_emp,0)),""))</f>
        <v/>
      </c>
      <c r="E510" s="10" t="str">
        <f aca="false">IF($B510="","",IFERROR(INDEX(M_loc,MATCH($B510,M_emp,0)),""))</f>
        <v/>
      </c>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4" t="str">
        <f aca="false">IF($B510="","",COUNTIF($F510:$AJ510,"P"))</f>
        <v/>
      </c>
      <c r="AL510" s="34" t="str">
        <f aca="false">IF($B510="","",COUNTIF($F510:$AJ510,"A"))</f>
        <v/>
      </c>
      <c r="AM510" s="34" t="str">
        <f aca="false">IF($B510="","",COUNTIF($F510:$AJ510,"HA"))</f>
        <v/>
      </c>
      <c r="AN510" s="34" t="str">
        <f aca="false">IF($B510="","",COUNTIF($F510:$AJ510,"L"))</f>
        <v/>
      </c>
      <c r="AO510" s="34" t="str">
        <f aca="false">IF($B510="","",COUNTIF($F510:$AJ510,"PL"))</f>
        <v/>
      </c>
      <c r="AP510" s="34" t="str">
        <f aca="false">IF($B510="","",COUNTIF($F510:$AJ510,"CL"))</f>
        <v/>
      </c>
      <c r="AQ510" s="34" t="str">
        <f aca="false">IF($B510="","",COUNTIF($F510:$AJ510,"SL"))</f>
        <v/>
      </c>
      <c r="AR510" s="34" t="str">
        <f aca="false">IF($B510="","",COUNTIF($F510:$AJ510,"CO"))</f>
        <v/>
      </c>
      <c r="AS510" s="34" t="str">
        <f aca="false">IF($B510="","",COUNTIF($F510:$AJ510,"HPL"))</f>
        <v/>
      </c>
      <c r="AT510" s="34" t="str">
        <f aca="false">IF($B510="","",COUNTIF($F510:$AJ510,"HCL"))</f>
        <v/>
      </c>
      <c r="AU510" s="34" t="str">
        <f aca="false">IF($B510="","",COUNTIF($F510:$AJ510,"WO"))</f>
        <v/>
      </c>
      <c r="AV510" s="34" t="str">
        <f aca="false">IF($B510="","",COUNTIF($F510:$AJ510,"PH"))</f>
        <v/>
      </c>
      <c r="AW510" s="34" t="str">
        <f aca="false">IF($B510="","",COUNTIF($F510:$AJ510,"TR"))</f>
        <v/>
      </c>
      <c r="AX510" s="35" t="str">
        <f aca="false">IF($B510="","",AO510+AS510/2)</f>
        <v/>
      </c>
      <c r="AY510" s="35" t="str">
        <f aca="false">IF($B510="","",AQ510)</f>
        <v/>
      </c>
      <c r="AZ510" s="35" t="str">
        <f aca="false">IF($B510="","",AP510+AT510/2)</f>
        <v/>
      </c>
      <c r="BA510" s="35" t="str">
        <f aca="false">IF($B510="","",AK510+AN510+AM510/2+AO510+AP510+AQ510+AR510+AS510+AT510+AU510+AV510+AW510)</f>
        <v/>
      </c>
      <c r="BB510" s="35" t="str">
        <f aca="false">IF($B510="","",MAX(0,AN510-Settings!$C$16)*Settings!$C$17)</f>
        <v/>
      </c>
      <c r="BC510" s="35" t="str">
        <f aca="false">IF($B510="","",BA510-BB510)</f>
        <v/>
      </c>
      <c r="BD510" s="35" t="str">
        <f aca="false">IF(OR($B510="",$A510=""),"",DAY(EOMONTH($A510,0))-COUNTA($F510:$AJ510))</f>
        <v/>
      </c>
    </row>
    <row r="511" customFormat="false" ht="15" hidden="false" customHeight="false" outlineLevel="0" collapsed="false">
      <c r="A511" s="32"/>
      <c r="B511" s="29"/>
      <c r="C511" s="10" t="str">
        <f aca="false">IF($B511="","",IFERROR(INDEX(M_name,MATCH($B511,M_emp,0)),"Code not found"))</f>
        <v/>
      </c>
      <c r="D511" s="10" t="str">
        <f aca="false">IF($B511="","",IFERROR(INDEX(M_dept,MATCH($B511,M_emp,0)),""))</f>
        <v/>
      </c>
      <c r="E511" s="10" t="str">
        <f aca="false">IF($B511="","",IFERROR(INDEX(M_loc,MATCH($B511,M_emp,0)),""))</f>
        <v/>
      </c>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4" t="str">
        <f aca="false">IF($B511="","",COUNTIF($F511:$AJ511,"P"))</f>
        <v/>
      </c>
      <c r="AL511" s="34" t="str">
        <f aca="false">IF($B511="","",COUNTIF($F511:$AJ511,"A"))</f>
        <v/>
      </c>
      <c r="AM511" s="34" t="str">
        <f aca="false">IF($B511="","",COUNTIF($F511:$AJ511,"HA"))</f>
        <v/>
      </c>
      <c r="AN511" s="34" t="str">
        <f aca="false">IF($B511="","",COUNTIF($F511:$AJ511,"L"))</f>
        <v/>
      </c>
      <c r="AO511" s="34" t="str">
        <f aca="false">IF($B511="","",COUNTIF($F511:$AJ511,"PL"))</f>
        <v/>
      </c>
      <c r="AP511" s="34" t="str">
        <f aca="false">IF($B511="","",COUNTIF($F511:$AJ511,"CL"))</f>
        <v/>
      </c>
      <c r="AQ511" s="34" t="str">
        <f aca="false">IF($B511="","",COUNTIF($F511:$AJ511,"SL"))</f>
        <v/>
      </c>
      <c r="AR511" s="34" t="str">
        <f aca="false">IF($B511="","",COUNTIF($F511:$AJ511,"CO"))</f>
        <v/>
      </c>
      <c r="AS511" s="34" t="str">
        <f aca="false">IF($B511="","",COUNTIF($F511:$AJ511,"HPL"))</f>
        <v/>
      </c>
      <c r="AT511" s="34" t="str">
        <f aca="false">IF($B511="","",COUNTIF($F511:$AJ511,"HCL"))</f>
        <v/>
      </c>
      <c r="AU511" s="34" t="str">
        <f aca="false">IF($B511="","",COUNTIF($F511:$AJ511,"WO"))</f>
        <v/>
      </c>
      <c r="AV511" s="34" t="str">
        <f aca="false">IF($B511="","",COUNTIF($F511:$AJ511,"PH"))</f>
        <v/>
      </c>
      <c r="AW511" s="34" t="str">
        <f aca="false">IF($B511="","",COUNTIF($F511:$AJ511,"TR"))</f>
        <v/>
      </c>
      <c r="AX511" s="35" t="str">
        <f aca="false">IF($B511="","",AO511+AS511/2)</f>
        <v/>
      </c>
      <c r="AY511" s="35" t="str">
        <f aca="false">IF($B511="","",AQ511)</f>
        <v/>
      </c>
      <c r="AZ511" s="35" t="str">
        <f aca="false">IF($B511="","",AP511+AT511/2)</f>
        <v/>
      </c>
      <c r="BA511" s="35" t="str">
        <f aca="false">IF($B511="","",AK511+AN511+AM511/2+AO511+AP511+AQ511+AR511+AS511+AT511+AU511+AV511+AW511)</f>
        <v/>
      </c>
      <c r="BB511" s="35" t="str">
        <f aca="false">IF($B511="","",MAX(0,AN511-Settings!$C$16)*Settings!$C$17)</f>
        <v/>
      </c>
      <c r="BC511" s="35" t="str">
        <f aca="false">IF($B511="","",BA511-BB511)</f>
        <v/>
      </c>
      <c r="BD511" s="35" t="str">
        <f aca="false">IF(OR($B511="",$A511=""),"",DAY(EOMONTH($A511,0))-COUNTA($F511:$AJ511))</f>
        <v/>
      </c>
    </row>
    <row r="512" customFormat="false" ht="15" hidden="false" customHeight="false" outlineLevel="0" collapsed="false">
      <c r="A512" s="32"/>
      <c r="B512" s="29"/>
      <c r="C512" s="10" t="str">
        <f aca="false">IF($B512="","",IFERROR(INDEX(M_name,MATCH($B512,M_emp,0)),"Code not found"))</f>
        <v/>
      </c>
      <c r="D512" s="10" t="str">
        <f aca="false">IF($B512="","",IFERROR(INDEX(M_dept,MATCH($B512,M_emp,0)),""))</f>
        <v/>
      </c>
      <c r="E512" s="10" t="str">
        <f aca="false">IF($B512="","",IFERROR(INDEX(M_loc,MATCH($B512,M_emp,0)),""))</f>
        <v/>
      </c>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4" t="str">
        <f aca="false">IF($B512="","",COUNTIF($F512:$AJ512,"P"))</f>
        <v/>
      </c>
      <c r="AL512" s="34" t="str">
        <f aca="false">IF($B512="","",COUNTIF($F512:$AJ512,"A"))</f>
        <v/>
      </c>
      <c r="AM512" s="34" t="str">
        <f aca="false">IF($B512="","",COUNTIF($F512:$AJ512,"HA"))</f>
        <v/>
      </c>
      <c r="AN512" s="34" t="str">
        <f aca="false">IF($B512="","",COUNTIF($F512:$AJ512,"L"))</f>
        <v/>
      </c>
      <c r="AO512" s="34" t="str">
        <f aca="false">IF($B512="","",COUNTIF($F512:$AJ512,"PL"))</f>
        <v/>
      </c>
      <c r="AP512" s="34" t="str">
        <f aca="false">IF($B512="","",COUNTIF($F512:$AJ512,"CL"))</f>
        <v/>
      </c>
      <c r="AQ512" s="34" t="str">
        <f aca="false">IF($B512="","",COUNTIF($F512:$AJ512,"SL"))</f>
        <v/>
      </c>
      <c r="AR512" s="34" t="str">
        <f aca="false">IF($B512="","",COUNTIF($F512:$AJ512,"CO"))</f>
        <v/>
      </c>
      <c r="AS512" s="34" t="str">
        <f aca="false">IF($B512="","",COUNTIF($F512:$AJ512,"HPL"))</f>
        <v/>
      </c>
      <c r="AT512" s="34" t="str">
        <f aca="false">IF($B512="","",COUNTIF($F512:$AJ512,"HCL"))</f>
        <v/>
      </c>
      <c r="AU512" s="34" t="str">
        <f aca="false">IF($B512="","",COUNTIF($F512:$AJ512,"WO"))</f>
        <v/>
      </c>
      <c r="AV512" s="34" t="str">
        <f aca="false">IF($B512="","",COUNTIF($F512:$AJ512,"PH"))</f>
        <v/>
      </c>
      <c r="AW512" s="34" t="str">
        <f aca="false">IF($B512="","",COUNTIF($F512:$AJ512,"TR"))</f>
        <v/>
      </c>
      <c r="AX512" s="35" t="str">
        <f aca="false">IF($B512="","",AO512+AS512/2)</f>
        <v/>
      </c>
      <c r="AY512" s="35" t="str">
        <f aca="false">IF($B512="","",AQ512)</f>
        <v/>
      </c>
      <c r="AZ512" s="35" t="str">
        <f aca="false">IF($B512="","",AP512+AT512/2)</f>
        <v/>
      </c>
      <c r="BA512" s="35" t="str">
        <f aca="false">IF($B512="","",AK512+AN512+AM512/2+AO512+AP512+AQ512+AR512+AS512+AT512+AU512+AV512+AW512)</f>
        <v/>
      </c>
      <c r="BB512" s="35" t="str">
        <f aca="false">IF($B512="","",MAX(0,AN512-Settings!$C$16)*Settings!$C$17)</f>
        <v/>
      </c>
      <c r="BC512" s="35" t="str">
        <f aca="false">IF($B512="","",BA512-BB512)</f>
        <v/>
      </c>
      <c r="BD512" s="35" t="str">
        <f aca="false">IF(OR($B512="",$A512=""),"",DAY(EOMONTH($A512,0))-COUNTA($F512:$AJ512))</f>
        <v/>
      </c>
    </row>
    <row r="513" customFormat="false" ht="15" hidden="false" customHeight="false" outlineLevel="0" collapsed="false">
      <c r="A513" s="32"/>
      <c r="B513" s="29"/>
      <c r="C513" s="10" t="str">
        <f aca="false">IF($B513="","",IFERROR(INDEX(M_name,MATCH($B513,M_emp,0)),"Code not found"))</f>
        <v/>
      </c>
      <c r="D513" s="10" t="str">
        <f aca="false">IF($B513="","",IFERROR(INDEX(M_dept,MATCH($B513,M_emp,0)),""))</f>
        <v/>
      </c>
      <c r="E513" s="10" t="str">
        <f aca="false">IF($B513="","",IFERROR(INDEX(M_loc,MATCH($B513,M_emp,0)),""))</f>
        <v/>
      </c>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4" t="str">
        <f aca="false">IF($B513="","",COUNTIF($F513:$AJ513,"P"))</f>
        <v/>
      </c>
      <c r="AL513" s="34" t="str">
        <f aca="false">IF($B513="","",COUNTIF($F513:$AJ513,"A"))</f>
        <v/>
      </c>
      <c r="AM513" s="34" t="str">
        <f aca="false">IF($B513="","",COUNTIF($F513:$AJ513,"HA"))</f>
        <v/>
      </c>
      <c r="AN513" s="34" t="str">
        <f aca="false">IF($B513="","",COUNTIF($F513:$AJ513,"L"))</f>
        <v/>
      </c>
      <c r="AO513" s="34" t="str">
        <f aca="false">IF($B513="","",COUNTIF($F513:$AJ513,"PL"))</f>
        <v/>
      </c>
      <c r="AP513" s="34" t="str">
        <f aca="false">IF($B513="","",COUNTIF($F513:$AJ513,"CL"))</f>
        <v/>
      </c>
      <c r="AQ513" s="34" t="str">
        <f aca="false">IF($B513="","",COUNTIF($F513:$AJ513,"SL"))</f>
        <v/>
      </c>
      <c r="AR513" s="34" t="str">
        <f aca="false">IF($B513="","",COUNTIF($F513:$AJ513,"CO"))</f>
        <v/>
      </c>
      <c r="AS513" s="34" t="str">
        <f aca="false">IF($B513="","",COUNTIF($F513:$AJ513,"HPL"))</f>
        <v/>
      </c>
      <c r="AT513" s="34" t="str">
        <f aca="false">IF($B513="","",COUNTIF($F513:$AJ513,"HCL"))</f>
        <v/>
      </c>
      <c r="AU513" s="34" t="str">
        <f aca="false">IF($B513="","",COUNTIF($F513:$AJ513,"WO"))</f>
        <v/>
      </c>
      <c r="AV513" s="34" t="str">
        <f aca="false">IF($B513="","",COUNTIF($F513:$AJ513,"PH"))</f>
        <v/>
      </c>
      <c r="AW513" s="34" t="str">
        <f aca="false">IF($B513="","",COUNTIF($F513:$AJ513,"TR"))</f>
        <v/>
      </c>
      <c r="AX513" s="35" t="str">
        <f aca="false">IF($B513="","",AO513+AS513/2)</f>
        <v/>
      </c>
      <c r="AY513" s="35" t="str">
        <f aca="false">IF($B513="","",AQ513)</f>
        <v/>
      </c>
      <c r="AZ513" s="35" t="str">
        <f aca="false">IF($B513="","",AP513+AT513/2)</f>
        <v/>
      </c>
      <c r="BA513" s="35" t="str">
        <f aca="false">IF($B513="","",AK513+AN513+AM513/2+AO513+AP513+AQ513+AR513+AS513+AT513+AU513+AV513+AW513)</f>
        <v/>
      </c>
      <c r="BB513" s="35" t="str">
        <f aca="false">IF($B513="","",MAX(0,AN513-Settings!$C$16)*Settings!$C$17)</f>
        <v/>
      </c>
      <c r="BC513" s="35" t="str">
        <f aca="false">IF($B513="","",BA513-BB513)</f>
        <v/>
      </c>
      <c r="BD513" s="35" t="str">
        <f aca="false">IF(OR($B513="",$A513=""),"",DAY(EOMONTH($A513,0))-COUNTA($F513:$AJ513))</f>
        <v/>
      </c>
    </row>
    <row r="514" customFormat="false" ht="15" hidden="false" customHeight="false" outlineLevel="0" collapsed="false">
      <c r="A514" s="32"/>
      <c r="B514" s="29"/>
      <c r="C514" s="10" t="str">
        <f aca="false">IF($B514="","",IFERROR(INDEX(M_name,MATCH($B514,M_emp,0)),"Code not found"))</f>
        <v/>
      </c>
      <c r="D514" s="10" t="str">
        <f aca="false">IF($B514="","",IFERROR(INDEX(M_dept,MATCH($B514,M_emp,0)),""))</f>
        <v/>
      </c>
      <c r="E514" s="10" t="str">
        <f aca="false">IF($B514="","",IFERROR(INDEX(M_loc,MATCH($B514,M_emp,0)),""))</f>
        <v/>
      </c>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4" t="str">
        <f aca="false">IF($B514="","",COUNTIF($F514:$AJ514,"P"))</f>
        <v/>
      </c>
      <c r="AL514" s="34" t="str">
        <f aca="false">IF($B514="","",COUNTIF($F514:$AJ514,"A"))</f>
        <v/>
      </c>
      <c r="AM514" s="34" t="str">
        <f aca="false">IF($B514="","",COUNTIF($F514:$AJ514,"HA"))</f>
        <v/>
      </c>
      <c r="AN514" s="34" t="str">
        <f aca="false">IF($B514="","",COUNTIF($F514:$AJ514,"L"))</f>
        <v/>
      </c>
      <c r="AO514" s="34" t="str">
        <f aca="false">IF($B514="","",COUNTIF($F514:$AJ514,"PL"))</f>
        <v/>
      </c>
      <c r="AP514" s="34" t="str">
        <f aca="false">IF($B514="","",COUNTIF($F514:$AJ514,"CL"))</f>
        <v/>
      </c>
      <c r="AQ514" s="34" t="str">
        <f aca="false">IF($B514="","",COUNTIF($F514:$AJ514,"SL"))</f>
        <v/>
      </c>
      <c r="AR514" s="34" t="str">
        <f aca="false">IF($B514="","",COUNTIF($F514:$AJ514,"CO"))</f>
        <v/>
      </c>
      <c r="AS514" s="34" t="str">
        <f aca="false">IF($B514="","",COUNTIF($F514:$AJ514,"HPL"))</f>
        <v/>
      </c>
      <c r="AT514" s="34" t="str">
        <f aca="false">IF($B514="","",COUNTIF($F514:$AJ514,"HCL"))</f>
        <v/>
      </c>
      <c r="AU514" s="34" t="str">
        <f aca="false">IF($B514="","",COUNTIF($F514:$AJ514,"WO"))</f>
        <v/>
      </c>
      <c r="AV514" s="34" t="str">
        <f aca="false">IF($B514="","",COUNTIF($F514:$AJ514,"PH"))</f>
        <v/>
      </c>
      <c r="AW514" s="34" t="str">
        <f aca="false">IF($B514="","",COUNTIF($F514:$AJ514,"TR"))</f>
        <v/>
      </c>
      <c r="AX514" s="35" t="str">
        <f aca="false">IF($B514="","",AO514+AS514/2)</f>
        <v/>
      </c>
      <c r="AY514" s="35" t="str">
        <f aca="false">IF($B514="","",AQ514)</f>
        <v/>
      </c>
      <c r="AZ514" s="35" t="str">
        <f aca="false">IF($B514="","",AP514+AT514/2)</f>
        <v/>
      </c>
      <c r="BA514" s="35" t="str">
        <f aca="false">IF($B514="","",AK514+AN514+AM514/2+AO514+AP514+AQ514+AR514+AS514+AT514+AU514+AV514+AW514)</f>
        <v/>
      </c>
      <c r="BB514" s="35" t="str">
        <f aca="false">IF($B514="","",MAX(0,AN514-Settings!$C$16)*Settings!$C$17)</f>
        <v/>
      </c>
      <c r="BC514" s="35" t="str">
        <f aca="false">IF($B514="","",BA514-BB514)</f>
        <v/>
      </c>
      <c r="BD514" s="35" t="str">
        <f aca="false">IF(OR($B514="",$A514=""),"",DAY(EOMONTH($A514,0))-COUNTA($F514:$AJ514))</f>
        <v/>
      </c>
    </row>
    <row r="515" customFormat="false" ht="15" hidden="false" customHeight="false" outlineLevel="0" collapsed="false">
      <c r="A515" s="32"/>
      <c r="B515" s="29"/>
      <c r="C515" s="10" t="str">
        <f aca="false">IF($B515="","",IFERROR(INDEX(M_name,MATCH($B515,M_emp,0)),"Code not found"))</f>
        <v/>
      </c>
      <c r="D515" s="10" t="str">
        <f aca="false">IF($B515="","",IFERROR(INDEX(M_dept,MATCH($B515,M_emp,0)),""))</f>
        <v/>
      </c>
      <c r="E515" s="10" t="str">
        <f aca="false">IF($B515="","",IFERROR(INDEX(M_loc,MATCH($B515,M_emp,0)),""))</f>
        <v/>
      </c>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4" t="str">
        <f aca="false">IF($B515="","",COUNTIF($F515:$AJ515,"P"))</f>
        <v/>
      </c>
      <c r="AL515" s="34" t="str">
        <f aca="false">IF($B515="","",COUNTIF($F515:$AJ515,"A"))</f>
        <v/>
      </c>
      <c r="AM515" s="34" t="str">
        <f aca="false">IF($B515="","",COUNTIF($F515:$AJ515,"HA"))</f>
        <v/>
      </c>
      <c r="AN515" s="34" t="str">
        <f aca="false">IF($B515="","",COUNTIF($F515:$AJ515,"L"))</f>
        <v/>
      </c>
      <c r="AO515" s="34" t="str">
        <f aca="false">IF($B515="","",COUNTIF($F515:$AJ515,"PL"))</f>
        <v/>
      </c>
      <c r="AP515" s="34" t="str">
        <f aca="false">IF($B515="","",COUNTIF($F515:$AJ515,"CL"))</f>
        <v/>
      </c>
      <c r="AQ515" s="34" t="str">
        <f aca="false">IF($B515="","",COUNTIF($F515:$AJ515,"SL"))</f>
        <v/>
      </c>
      <c r="AR515" s="34" t="str">
        <f aca="false">IF($B515="","",COUNTIF($F515:$AJ515,"CO"))</f>
        <v/>
      </c>
      <c r="AS515" s="34" t="str">
        <f aca="false">IF($B515="","",COUNTIF($F515:$AJ515,"HPL"))</f>
        <v/>
      </c>
      <c r="AT515" s="34" t="str">
        <f aca="false">IF($B515="","",COUNTIF($F515:$AJ515,"HCL"))</f>
        <v/>
      </c>
      <c r="AU515" s="34" t="str">
        <f aca="false">IF($B515="","",COUNTIF($F515:$AJ515,"WO"))</f>
        <v/>
      </c>
      <c r="AV515" s="34" t="str">
        <f aca="false">IF($B515="","",COUNTIF($F515:$AJ515,"PH"))</f>
        <v/>
      </c>
      <c r="AW515" s="34" t="str">
        <f aca="false">IF($B515="","",COUNTIF($F515:$AJ515,"TR"))</f>
        <v/>
      </c>
      <c r="AX515" s="35" t="str">
        <f aca="false">IF($B515="","",AO515+AS515/2)</f>
        <v/>
      </c>
      <c r="AY515" s="35" t="str">
        <f aca="false">IF($B515="","",AQ515)</f>
        <v/>
      </c>
      <c r="AZ515" s="35" t="str">
        <f aca="false">IF($B515="","",AP515+AT515/2)</f>
        <v/>
      </c>
      <c r="BA515" s="35" t="str">
        <f aca="false">IF($B515="","",AK515+AN515+AM515/2+AO515+AP515+AQ515+AR515+AS515+AT515+AU515+AV515+AW515)</f>
        <v/>
      </c>
      <c r="BB515" s="35" t="str">
        <f aca="false">IF($B515="","",MAX(0,AN515-Settings!$C$16)*Settings!$C$17)</f>
        <v/>
      </c>
      <c r="BC515" s="35" t="str">
        <f aca="false">IF($B515="","",BA515-BB515)</f>
        <v/>
      </c>
      <c r="BD515" s="35" t="str">
        <f aca="false">IF(OR($B515="",$A515=""),"",DAY(EOMONTH($A515,0))-COUNTA($F515:$AJ515))</f>
        <v/>
      </c>
    </row>
    <row r="516" customFormat="false" ht="15" hidden="false" customHeight="false" outlineLevel="0" collapsed="false">
      <c r="A516" s="32"/>
      <c r="B516" s="29"/>
      <c r="C516" s="10" t="str">
        <f aca="false">IF($B516="","",IFERROR(INDEX(M_name,MATCH($B516,M_emp,0)),"Code not found"))</f>
        <v/>
      </c>
      <c r="D516" s="10" t="str">
        <f aca="false">IF($B516="","",IFERROR(INDEX(M_dept,MATCH($B516,M_emp,0)),""))</f>
        <v/>
      </c>
      <c r="E516" s="10" t="str">
        <f aca="false">IF($B516="","",IFERROR(INDEX(M_loc,MATCH($B516,M_emp,0)),""))</f>
        <v/>
      </c>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4" t="str">
        <f aca="false">IF($B516="","",COUNTIF($F516:$AJ516,"P"))</f>
        <v/>
      </c>
      <c r="AL516" s="34" t="str">
        <f aca="false">IF($B516="","",COUNTIF($F516:$AJ516,"A"))</f>
        <v/>
      </c>
      <c r="AM516" s="34" t="str">
        <f aca="false">IF($B516="","",COUNTIF($F516:$AJ516,"HA"))</f>
        <v/>
      </c>
      <c r="AN516" s="34" t="str">
        <f aca="false">IF($B516="","",COUNTIF($F516:$AJ516,"L"))</f>
        <v/>
      </c>
      <c r="AO516" s="34" t="str">
        <f aca="false">IF($B516="","",COUNTIF($F516:$AJ516,"PL"))</f>
        <v/>
      </c>
      <c r="AP516" s="34" t="str">
        <f aca="false">IF($B516="","",COUNTIF($F516:$AJ516,"CL"))</f>
        <v/>
      </c>
      <c r="AQ516" s="34" t="str">
        <f aca="false">IF($B516="","",COUNTIF($F516:$AJ516,"SL"))</f>
        <v/>
      </c>
      <c r="AR516" s="34" t="str">
        <f aca="false">IF($B516="","",COUNTIF($F516:$AJ516,"CO"))</f>
        <v/>
      </c>
      <c r="AS516" s="34" t="str">
        <f aca="false">IF($B516="","",COUNTIF($F516:$AJ516,"HPL"))</f>
        <v/>
      </c>
      <c r="AT516" s="34" t="str">
        <f aca="false">IF($B516="","",COUNTIF($F516:$AJ516,"HCL"))</f>
        <v/>
      </c>
      <c r="AU516" s="34" t="str">
        <f aca="false">IF($B516="","",COUNTIF($F516:$AJ516,"WO"))</f>
        <v/>
      </c>
      <c r="AV516" s="34" t="str">
        <f aca="false">IF($B516="","",COUNTIF($F516:$AJ516,"PH"))</f>
        <v/>
      </c>
      <c r="AW516" s="34" t="str">
        <f aca="false">IF($B516="","",COUNTIF($F516:$AJ516,"TR"))</f>
        <v/>
      </c>
      <c r="AX516" s="35" t="str">
        <f aca="false">IF($B516="","",AO516+AS516/2)</f>
        <v/>
      </c>
      <c r="AY516" s="35" t="str">
        <f aca="false">IF($B516="","",AQ516)</f>
        <v/>
      </c>
      <c r="AZ516" s="35" t="str">
        <f aca="false">IF($B516="","",AP516+AT516/2)</f>
        <v/>
      </c>
      <c r="BA516" s="35" t="str">
        <f aca="false">IF($B516="","",AK516+AN516+AM516/2+AO516+AP516+AQ516+AR516+AS516+AT516+AU516+AV516+AW516)</f>
        <v/>
      </c>
      <c r="BB516" s="35" t="str">
        <f aca="false">IF($B516="","",MAX(0,AN516-Settings!$C$16)*Settings!$C$17)</f>
        <v/>
      </c>
      <c r="BC516" s="35" t="str">
        <f aca="false">IF($B516="","",BA516-BB516)</f>
        <v/>
      </c>
      <c r="BD516" s="35" t="str">
        <f aca="false">IF(OR($B516="",$A516=""),"",DAY(EOMONTH($A516,0))-COUNTA($F516:$AJ516))</f>
        <v/>
      </c>
    </row>
    <row r="517" customFormat="false" ht="15" hidden="false" customHeight="false" outlineLevel="0" collapsed="false">
      <c r="A517" s="32"/>
      <c r="B517" s="29"/>
      <c r="C517" s="10" t="str">
        <f aca="false">IF($B517="","",IFERROR(INDEX(M_name,MATCH($B517,M_emp,0)),"Code not found"))</f>
        <v/>
      </c>
      <c r="D517" s="10" t="str">
        <f aca="false">IF($B517="","",IFERROR(INDEX(M_dept,MATCH($B517,M_emp,0)),""))</f>
        <v/>
      </c>
      <c r="E517" s="10" t="str">
        <f aca="false">IF($B517="","",IFERROR(INDEX(M_loc,MATCH($B517,M_emp,0)),""))</f>
        <v/>
      </c>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4" t="str">
        <f aca="false">IF($B517="","",COUNTIF($F517:$AJ517,"P"))</f>
        <v/>
      </c>
      <c r="AL517" s="34" t="str">
        <f aca="false">IF($B517="","",COUNTIF($F517:$AJ517,"A"))</f>
        <v/>
      </c>
      <c r="AM517" s="34" t="str">
        <f aca="false">IF($B517="","",COUNTIF($F517:$AJ517,"HA"))</f>
        <v/>
      </c>
      <c r="AN517" s="34" t="str">
        <f aca="false">IF($B517="","",COUNTIF($F517:$AJ517,"L"))</f>
        <v/>
      </c>
      <c r="AO517" s="34" t="str">
        <f aca="false">IF($B517="","",COUNTIF($F517:$AJ517,"PL"))</f>
        <v/>
      </c>
      <c r="AP517" s="34" t="str">
        <f aca="false">IF($B517="","",COUNTIF($F517:$AJ517,"CL"))</f>
        <v/>
      </c>
      <c r="AQ517" s="34" t="str">
        <f aca="false">IF($B517="","",COUNTIF($F517:$AJ517,"SL"))</f>
        <v/>
      </c>
      <c r="AR517" s="34" t="str">
        <f aca="false">IF($B517="","",COUNTIF($F517:$AJ517,"CO"))</f>
        <v/>
      </c>
      <c r="AS517" s="34" t="str">
        <f aca="false">IF($B517="","",COUNTIF($F517:$AJ517,"HPL"))</f>
        <v/>
      </c>
      <c r="AT517" s="34" t="str">
        <f aca="false">IF($B517="","",COUNTIF($F517:$AJ517,"HCL"))</f>
        <v/>
      </c>
      <c r="AU517" s="34" t="str">
        <f aca="false">IF($B517="","",COUNTIF($F517:$AJ517,"WO"))</f>
        <v/>
      </c>
      <c r="AV517" s="34" t="str">
        <f aca="false">IF($B517="","",COUNTIF($F517:$AJ517,"PH"))</f>
        <v/>
      </c>
      <c r="AW517" s="34" t="str">
        <f aca="false">IF($B517="","",COUNTIF($F517:$AJ517,"TR"))</f>
        <v/>
      </c>
      <c r="AX517" s="35" t="str">
        <f aca="false">IF($B517="","",AO517+AS517/2)</f>
        <v/>
      </c>
      <c r="AY517" s="35" t="str">
        <f aca="false">IF($B517="","",AQ517)</f>
        <v/>
      </c>
      <c r="AZ517" s="35" t="str">
        <f aca="false">IF($B517="","",AP517+AT517/2)</f>
        <v/>
      </c>
      <c r="BA517" s="35" t="str">
        <f aca="false">IF($B517="","",AK517+AN517+AM517/2+AO517+AP517+AQ517+AR517+AS517+AT517+AU517+AV517+AW517)</f>
        <v/>
      </c>
      <c r="BB517" s="35" t="str">
        <f aca="false">IF($B517="","",MAX(0,AN517-Settings!$C$16)*Settings!$C$17)</f>
        <v/>
      </c>
      <c r="BC517" s="35" t="str">
        <f aca="false">IF($B517="","",BA517-BB517)</f>
        <v/>
      </c>
      <c r="BD517" s="35" t="str">
        <f aca="false">IF(OR($B517="",$A517=""),"",DAY(EOMONTH($A517,0))-COUNTA($F517:$AJ517))</f>
        <v/>
      </c>
    </row>
    <row r="518" customFormat="false" ht="15" hidden="false" customHeight="false" outlineLevel="0" collapsed="false">
      <c r="A518" s="32"/>
      <c r="B518" s="29"/>
      <c r="C518" s="10" t="str">
        <f aca="false">IF($B518="","",IFERROR(INDEX(M_name,MATCH($B518,M_emp,0)),"Code not found"))</f>
        <v/>
      </c>
      <c r="D518" s="10" t="str">
        <f aca="false">IF($B518="","",IFERROR(INDEX(M_dept,MATCH($B518,M_emp,0)),""))</f>
        <v/>
      </c>
      <c r="E518" s="10" t="str">
        <f aca="false">IF($B518="","",IFERROR(INDEX(M_loc,MATCH($B518,M_emp,0)),""))</f>
        <v/>
      </c>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4" t="str">
        <f aca="false">IF($B518="","",COUNTIF($F518:$AJ518,"P"))</f>
        <v/>
      </c>
      <c r="AL518" s="34" t="str">
        <f aca="false">IF($B518="","",COUNTIF($F518:$AJ518,"A"))</f>
        <v/>
      </c>
      <c r="AM518" s="34" t="str">
        <f aca="false">IF($B518="","",COUNTIF($F518:$AJ518,"HA"))</f>
        <v/>
      </c>
      <c r="AN518" s="34" t="str">
        <f aca="false">IF($B518="","",COUNTIF($F518:$AJ518,"L"))</f>
        <v/>
      </c>
      <c r="AO518" s="34" t="str">
        <f aca="false">IF($B518="","",COUNTIF($F518:$AJ518,"PL"))</f>
        <v/>
      </c>
      <c r="AP518" s="34" t="str">
        <f aca="false">IF($B518="","",COUNTIF($F518:$AJ518,"CL"))</f>
        <v/>
      </c>
      <c r="AQ518" s="34" t="str">
        <f aca="false">IF($B518="","",COUNTIF($F518:$AJ518,"SL"))</f>
        <v/>
      </c>
      <c r="AR518" s="34" t="str">
        <f aca="false">IF($B518="","",COUNTIF($F518:$AJ518,"CO"))</f>
        <v/>
      </c>
      <c r="AS518" s="34" t="str">
        <f aca="false">IF($B518="","",COUNTIF($F518:$AJ518,"HPL"))</f>
        <v/>
      </c>
      <c r="AT518" s="34" t="str">
        <f aca="false">IF($B518="","",COUNTIF($F518:$AJ518,"HCL"))</f>
        <v/>
      </c>
      <c r="AU518" s="34" t="str">
        <f aca="false">IF($B518="","",COUNTIF($F518:$AJ518,"WO"))</f>
        <v/>
      </c>
      <c r="AV518" s="34" t="str">
        <f aca="false">IF($B518="","",COUNTIF($F518:$AJ518,"PH"))</f>
        <v/>
      </c>
      <c r="AW518" s="34" t="str">
        <f aca="false">IF($B518="","",COUNTIF($F518:$AJ518,"TR"))</f>
        <v/>
      </c>
      <c r="AX518" s="35" t="str">
        <f aca="false">IF($B518="","",AO518+AS518/2)</f>
        <v/>
      </c>
      <c r="AY518" s="35" t="str">
        <f aca="false">IF($B518="","",AQ518)</f>
        <v/>
      </c>
      <c r="AZ518" s="35" t="str">
        <f aca="false">IF($B518="","",AP518+AT518/2)</f>
        <v/>
      </c>
      <c r="BA518" s="35" t="str">
        <f aca="false">IF($B518="","",AK518+AN518+AM518/2+AO518+AP518+AQ518+AR518+AS518+AT518+AU518+AV518+AW518)</f>
        <v/>
      </c>
      <c r="BB518" s="35" t="str">
        <f aca="false">IF($B518="","",MAX(0,AN518-Settings!$C$16)*Settings!$C$17)</f>
        <v/>
      </c>
      <c r="BC518" s="35" t="str">
        <f aca="false">IF($B518="","",BA518-BB518)</f>
        <v/>
      </c>
      <c r="BD518" s="35" t="str">
        <f aca="false">IF(OR($B518="",$A518=""),"",DAY(EOMONTH($A518,0))-COUNTA($F518:$AJ518))</f>
        <v/>
      </c>
    </row>
    <row r="519" customFormat="false" ht="15" hidden="false" customHeight="false" outlineLevel="0" collapsed="false">
      <c r="A519" s="32"/>
      <c r="B519" s="29"/>
      <c r="C519" s="10" t="str">
        <f aca="false">IF($B519="","",IFERROR(INDEX(M_name,MATCH($B519,M_emp,0)),"Code not found"))</f>
        <v/>
      </c>
      <c r="D519" s="10" t="str">
        <f aca="false">IF($B519="","",IFERROR(INDEX(M_dept,MATCH($B519,M_emp,0)),""))</f>
        <v/>
      </c>
      <c r="E519" s="10" t="str">
        <f aca="false">IF($B519="","",IFERROR(INDEX(M_loc,MATCH($B519,M_emp,0)),""))</f>
        <v/>
      </c>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4" t="str">
        <f aca="false">IF($B519="","",COUNTIF($F519:$AJ519,"P"))</f>
        <v/>
      </c>
      <c r="AL519" s="34" t="str">
        <f aca="false">IF($B519="","",COUNTIF($F519:$AJ519,"A"))</f>
        <v/>
      </c>
      <c r="AM519" s="34" t="str">
        <f aca="false">IF($B519="","",COUNTIF($F519:$AJ519,"HA"))</f>
        <v/>
      </c>
      <c r="AN519" s="34" t="str">
        <f aca="false">IF($B519="","",COUNTIF($F519:$AJ519,"L"))</f>
        <v/>
      </c>
      <c r="AO519" s="34" t="str">
        <f aca="false">IF($B519="","",COUNTIF($F519:$AJ519,"PL"))</f>
        <v/>
      </c>
      <c r="AP519" s="34" t="str">
        <f aca="false">IF($B519="","",COUNTIF($F519:$AJ519,"CL"))</f>
        <v/>
      </c>
      <c r="AQ519" s="34" t="str">
        <f aca="false">IF($B519="","",COUNTIF($F519:$AJ519,"SL"))</f>
        <v/>
      </c>
      <c r="AR519" s="34" t="str">
        <f aca="false">IF($B519="","",COUNTIF($F519:$AJ519,"CO"))</f>
        <v/>
      </c>
      <c r="AS519" s="34" t="str">
        <f aca="false">IF($B519="","",COUNTIF($F519:$AJ519,"HPL"))</f>
        <v/>
      </c>
      <c r="AT519" s="34" t="str">
        <f aca="false">IF($B519="","",COUNTIF($F519:$AJ519,"HCL"))</f>
        <v/>
      </c>
      <c r="AU519" s="34" t="str">
        <f aca="false">IF($B519="","",COUNTIF($F519:$AJ519,"WO"))</f>
        <v/>
      </c>
      <c r="AV519" s="34" t="str">
        <f aca="false">IF($B519="","",COUNTIF($F519:$AJ519,"PH"))</f>
        <v/>
      </c>
      <c r="AW519" s="34" t="str">
        <f aca="false">IF($B519="","",COUNTIF($F519:$AJ519,"TR"))</f>
        <v/>
      </c>
      <c r="AX519" s="35" t="str">
        <f aca="false">IF($B519="","",AO519+AS519/2)</f>
        <v/>
      </c>
      <c r="AY519" s="35" t="str">
        <f aca="false">IF($B519="","",AQ519)</f>
        <v/>
      </c>
      <c r="AZ519" s="35" t="str">
        <f aca="false">IF($B519="","",AP519+AT519/2)</f>
        <v/>
      </c>
      <c r="BA519" s="35" t="str">
        <f aca="false">IF($B519="","",AK519+AN519+AM519/2+AO519+AP519+AQ519+AR519+AS519+AT519+AU519+AV519+AW519)</f>
        <v/>
      </c>
      <c r="BB519" s="35" t="str">
        <f aca="false">IF($B519="","",MAX(0,AN519-Settings!$C$16)*Settings!$C$17)</f>
        <v/>
      </c>
      <c r="BC519" s="35" t="str">
        <f aca="false">IF($B519="","",BA519-BB519)</f>
        <v/>
      </c>
      <c r="BD519" s="35" t="str">
        <f aca="false">IF(OR($B519="",$A519=""),"",DAY(EOMONTH($A519,0))-COUNTA($F519:$AJ519))</f>
        <v/>
      </c>
    </row>
    <row r="520" customFormat="false" ht="15" hidden="false" customHeight="false" outlineLevel="0" collapsed="false">
      <c r="A520" s="32"/>
      <c r="B520" s="29"/>
      <c r="C520" s="10" t="str">
        <f aca="false">IF($B520="","",IFERROR(INDEX(M_name,MATCH($B520,M_emp,0)),"Code not found"))</f>
        <v/>
      </c>
      <c r="D520" s="10" t="str">
        <f aca="false">IF($B520="","",IFERROR(INDEX(M_dept,MATCH($B520,M_emp,0)),""))</f>
        <v/>
      </c>
      <c r="E520" s="10" t="str">
        <f aca="false">IF($B520="","",IFERROR(INDEX(M_loc,MATCH($B520,M_emp,0)),""))</f>
        <v/>
      </c>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4" t="str">
        <f aca="false">IF($B520="","",COUNTIF($F520:$AJ520,"P"))</f>
        <v/>
      </c>
      <c r="AL520" s="34" t="str">
        <f aca="false">IF($B520="","",COUNTIF($F520:$AJ520,"A"))</f>
        <v/>
      </c>
      <c r="AM520" s="34" t="str">
        <f aca="false">IF($B520="","",COUNTIF($F520:$AJ520,"HA"))</f>
        <v/>
      </c>
      <c r="AN520" s="34" t="str">
        <f aca="false">IF($B520="","",COUNTIF($F520:$AJ520,"L"))</f>
        <v/>
      </c>
      <c r="AO520" s="34" t="str">
        <f aca="false">IF($B520="","",COUNTIF($F520:$AJ520,"PL"))</f>
        <v/>
      </c>
      <c r="AP520" s="34" t="str">
        <f aca="false">IF($B520="","",COUNTIF($F520:$AJ520,"CL"))</f>
        <v/>
      </c>
      <c r="AQ520" s="34" t="str">
        <f aca="false">IF($B520="","",COUNTIF($F520:$AJ520,"SL"))</f>
        <v/>
      </c>
      <c r="AR520" s="34" t="str">
        <f aca="false">IF($B520="","",COUNTIF($F520:$AJ520,"CO"))</f>
        <v/>
      </c>
      <c r="AS520" s="34" t="str">
        <f aca="false">IF($B520="","",COUNTIF($F520:$AJ520,"HPL"))</f>
        <v/>
      </c>
      <c r="AT520" s="34" t="str">
        <f aca="false">IF($B520="","",COUNTIF($F520:$AJ520,"HCL"))</f>
        <v/>
      </c>
      <c r="AU520" s="34" t="str">
        <f aca="false">IF($B520="","",COUNTIF($F520:$AJ520,"WO"))</f>
        <v/>
      </c>
      <c r="AV520" s="34" t="str">
        <f aca="false">IF($B520="","",COUNTIF($F520:$AJ520,"PH"))</f>
        <v/>
      </c>
      <c r="AW520" s="34" t="str">
        <f aca="false">IF($B520="","",COUNTIF($F520:$AJ520,"TR"))</f>
        <v/>
      </c>
      <c r="AX520" s="35" t="str">
        <f aca="false">IF($B520="","",AO520+AS520/2)</f>
        <v/>
      </c>
      <c r="AY520" s="35" t="str">
        <f aca="false">IF($B520="","",AQ520)</f>
        <v/>
      </c>
      <c r="AZ520" s="35" t="str">
        <f aca="false">IF($B520="","",AP520+AT520/2)</f>
        <v/>
      </c>
      <c r="BA520" s="35" t="str">
        <f aca="false">IF($B520="","",AK520+AN520+AM520/2+AO520+AP520+AQ520+AR520+AS520+AT520+AU520+AV520+AW520)</f>
        <v/>
      </c>
      <c r="BB520" s="35" t="str">
        <f aca="false">IF($B520="","",MAX(0,AN520-Settings!$C$16)*Settings!$C$17)</f>
        <v/>
      </c>
      <c r="BC520" s="35" t="str">
        <f aca="false">IF($B520="","",BA520-BB520)</f>
        <v/>
      </c>
      <c r="BD520" s="35" t="str">
        <f aca="false">IF(OR($B520="",$A520=""),"",DAY(EOMONTH($A520,0))-COUNTA($F520:$AJ520))</f>
        <v/>
      </c>
    </row>
    <row r="521" customFormat="false" ht="15" hidden="false" customHeight="false" outlineLevel="0" collapsed="false">
      <c r="A521" s="32"/>
      <c r="B521" s="29"/>
      <c r="C521" s="10" t="str">
        <f aca="false">IF($B521="","",IFERROR(INDEX(M_name,MATCH($B521,M_emp,0)),"Code not found"))</f>
        <v/>
      </c>
      <c r="D521" s="10" t="str">
        <f aca="false">IF($B521="","",IFERROR(INDEX(M_dept,MATCH($B521,M_emp,0)),""))</f>
        <v/>
      </c>
      <c r="E521" s="10" t="str">
        <f aca="false">IF($B521="","",IFERROR(INDEX(M_loc,MATCH($B521,M_emp,0)),""))</f>
        <v/>
      </c>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4" t="str">
        <f aca="false">IF($B521="","",COUNTIF($F521:$AJ521,"P"))</f>
        <v/>
      </c>
      <c r="AL521" s="34" t="str">
        <f aca="false">IF($B521="","",COUNTIF($F521:$AJ521,"A"))</f>
        <v/>
      </c>
      <c r="AM521" s="34" t="str">
        <f aca="false">IF($B521="","",COUNTIF($F521:$AJ521,"HA"))</f>
        <v/>
      </c>
      <c r="AN521" s="34" t="str">
        <f aca="false">IF($B521="","",COUNTIF($F521:$AJ521,"L"))</f>
        <v/>
      </c>
      <c r="AO521" s="34" t="str">
        <f aca="false">IF($B521="","",COUNTIF($F521:$AJ521,"PL"))</f>
        <v/>
      </c>
      <c r="AP521" s="34" t="str">
        <f aca="false">IF($B521="","",COUNTIF($F521:$AJ521,"CL"))</f>
        <v/>
      </c>
      <c r="AQ521" s="34" t="str">
        <f aca="false">IF($B521="","",COUNTIF($F521:$AJ521,"SL"))</f>
        <v/>
      </c>
      <c r="AR521" s="34" t="str">
        <f aca="false">IF($B521="","",COUNTIF($F521:$AJ521,"CO"))</f>
        <v/>
      </c>
      <c r="AS521" s="34" t="str">
        <f aca="false">IF($B521="","",COUNTIF($F521:$AJ521,"HPL"))</f>
        <v/>
      </c>
      <c r="AT521" s="34" t="str">
        <f aca="false">IF($B521="","",COUNTIF($F521:$AJ521,"HCL"))</f>
        <v/>
      </c>
      <c r="AU521" s="34" t="str">
        <f aca="false">IF($B521="","",COUNTIF($F521:$AJ521,"WO"))</f>
        <v/>
      </c>
      <c r="AV521" s="34" t="str">
        <f aca="false">IF($B521="","",COUNTIF($F521:$AJ521,"PH"))</f>
        <v/>
      </c>
      <c r="AW521" s="34" t="str">
        <f aca="false">IF($B521="","",COUNTIF($F521:$AJ521,"TR"))</f>
        <v/>
      </c>
      <c r="AX521" s="35" t="str">
        <f aca="false">IF($B521="","",AO521+AS521/2)</f>
        <v/>
      </c>
      <c r="AY521" s="35" t="str">
        <f aca="false">IF($B521="","",AQ521)</f>
        <v/>
      </c>
      <c r="AZ521" s="35" t="str">
        <f aca="false">IF($B521="","",AP521+AT521/2)</f>
        <v/>
      </c>
      <c r="BA521" s="35" t="str">
        <f aca="false">IF($B521="","",AK521+AN521+AM521/2+AO521+AP521+AQ521+AR521+AS521+AT521+AU521+AV521+AW521)</f>
        <v/>
      </c>
      <c r="BB521" s="35" t="str">
        <f aca="false">IF($B521="","",MAX(0,AN521-Settings!$C$16)*Settings!$C$17)</f>
        <v/>
      </c>
      <c r="BC521" s="35" t="str">
        <f aca="false">IF($B521="","",BA521-BB521)</f>
        <v/>
      </c>
      <c r="BD521" s="35" t="str">
        <f aca="false">IF(OR($B521="",$A521=""),"",DAY(EOMONTH($A521,0))-COUNTA($F521:$AJ521))</f>
        <v/>
      </c>
    </row>
    <row r="522" customFormat="false" ht="15" hidden="false" customHeight="false" outlineLevel="0" collapsed="false">
      <c r="A522" s="32"/>
      <c r="B522" s="29"/>
      <c r="C522" s="10" t="str">
        <f aca="false">IF($B522="","",IFERROR(INDEX(M_name,MATCH($B522,M_emp,0)),"Code not found"))</f>
        <v/>
      </c>
      <c r="D522" s="10" t="str">
        <f aca="false">IF($B522="","",IFERROR(INDEX(M_dept,MATCH($B522,M_emp,0)),""))</f>
        <v/>
      </c>
      <c r="E522" s="10" t="str">
        <f aca="false">IF($B522="","",IFERROR(INDEX(M_loc,MATCH($B522,M_emp,0)),""))</f>
        <v/>
      </c>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4" t="str">
        <f aca="false">IF($B522="","",COUNTIF($F522:$AJ522,"P"))</f>
        <v/>
      </c>
      <c r="AL522" s="34" t="str">
        <f aca="false">IF($B522="","",COUNTIF($F522:$AJ522,"A"))</f>
        <v/>
      </c>
      <c r="AM522" s="34" t="str">
        <f aca="false">IF($B522="","",COUNTIF($F522:$AJ522,"HA"))</f>
        <v/>
      </c>
      <c r="AN522" s="34" t="str">
        <f aca="false">IF($B522="","",COUNTIF($F522:$AJ522,"L"))</f>
        <v/>
      </c>
      <c r="AO522" s="34" t="str">
        <f aca="false">IF($B522="","",COUNTIF($F522:$AJ522,"PL"))</f>
        <v/>
      </c>
      <c r="AP522" s="34" t="str">
        <f aca="false">IF($B522="","",COUNTIF($F522:$AJ522,"CL"))</f>
        <v/>
      </c>
      <c r="AQ522" s="34" t="str">
        <f aca="false">IF($B522="","",COUNTIF($F522:$AJ522,"SL"))</f>
        <v/>
      </c>
      <c r="AR522" s="34" t="str">
        <f aca="false">IF($B522="","",COUNTIF($F522:$AJ522,"CO"))</f>
        <v/>
      </c>
      <c r="AS522" s="34" t="str">
        <f aca="false">IF($B522="","",COUNTIF($F522:$AJ522,"HPL"))</f>
        <v/>
      </c>
      <c r="AT522" s="34" t="str">
        <f aca="false">IF($B522="","",COUNTIF($F522:$AJ522,"HCL"))</f>
        <v/>
      </c>
      <c r="AU522" s="34" t="str">
        <f aca="false">IF($B522="","",COUNTIF($F522:$AJ522,"WO"))</f>
        <v/>
      </c>
      <c r="AV522" s="34" t="str">
        <f aca="false">IF($B522="","",COUNTIF($F522:$AJ522,"PH"))</f>
        <v/>
      </c>
      <c r="AW522" s="34" t="str">
        <f aca="false">IF($B522="","",COUNTIF($F522:$AJ522,"TR"))</f>
        <v/>
      </c>
      <c r="AX522" s="35" t="str">
        <f aca="false">IF($B522="","",AO522+AS522/2)</f>
        <v/>
      </c>
      <c r="AY522" s="35" t="str">
        <f aca="false">IF($B522="","",AQ522)</f>
        <v/>
      </c>
      <c r="AZ522" s="35" t="str">
        <f aca="false">IF($B522="","",AP522+AT522/2)</f>
        <v/>
      </c>
      <c r="BA522" s="35" t="str">
        <f aca="false">IF($B522="","",AK522+AN522+AM522/2+AO522+AP522+AQ522+AR522+AS522+AT522+AU522+AV522+AW522)</f>
        <v/>
      </c>
      <c r="BB522" s="35" t="str">
        <f aca="false">IF($B522="","",MAX(0,AN522-Settings!$C$16)*Settings!$C$17)</f>
        <v/>
      </c>
      <c r="BC522" s="35" t="str">
        <f aca="false">IF($B522="","",BA522-BB522)</f>
        <v/>
      </c>
      <c r="BD522" s="35" t="str">
        <f aca="false">IF(OR($B522="",$A522=""),"",DAY(EOMONTH($A522,0))-COUNTA($F522:$AJ522))</f>
        <v/>
      </c>
    </row>
    <row r="523" customFormat="false" ht="15" hidden="false" customHeight="false" outlineLevel="0" collapsed="false">
      <c r="A523" s="32"/>
      <c r="B523" s="29"/>
      <c r="C523" s="10" t="str">
        <f aca="false">IF($B523="","",IFERROR(INDEX(M_name,MATCH($B523,M_emp,0)),"Code not found"))</f>
        <v/>
      </c>
      <c r="D523" s="10" t="str">
        <f aca="false">IF($B523="","",IFERROR(INDEX(M_dept,MATCH($B523,M_emp,0)),""))</f>
        <v/>
      </c>
      <c r="E523" s="10" t="str">
        <f aca="false">IF($B523="","",IFERROR(INDEX(M_loc,MATCH($B523,M_emp,0)),""))</f>
        <v/>
      </c>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4" t="str">
        <f aca="false">IF($B523="","",COUNTIF($F523:$AJ523,"P"))</f>
        <v/>
      </c>
      <c r="AL523" s="34" t="str">
        <f aca="false">IF($B523="","",COUNTIF($F523:$AJ523,"A"))</f>
        <v/>
      </c>
      <c r="AM523" s="34" t="str">
        <f aca="false">IF($B523="","",COUNTIF($F523:$AJ523,"HA"))</f>
        <v/>
      </c>
      <c r="AN523" s="34" t="str">
        <f aca="false">IF($B523="","",COUNTIF($F523:$AJ523,"L"))</f>
        <v/>
      </c>
      <c r="AO523" s="34" t="str">
        <f aca="false">IF($B523="","",COUNTIF($F523:$AJ523,"PL"))</f>
        <v/>
      </c>
      <c r="AP523" s="34" t="str">
        <f aca="false">IF($B523="","",COUNTIF($F523:$AJ523,"CL"))</f>
        <v/>
      </c>
      <c r="AQ523" s="34" t="str">
        <f aca="false">IF($B523="","",COUNTIF($F523:$AJ523,"SL"))</f>
        <v/>
      </c>
      <c r="AR523" s="34" t="str">
        <f aca="false">IF($B523="","",COUNTIF($F523:$AJ523,"CO"))</f>
        <v/>
      </c>
      <c r="AS523" s="34" t="str">
        <f aca="false">IF($B523="","",COUNTIF($F523:$AJ523,"HPL"))</f>
        <v/>
      </c>
      <c r="AT523" s="34" t="str">
        <f aca="false">IF($B523="","",COUNTIF($F523:$AJ523,"HCL"))</f>
        <v/>
      </c>
      <c r="AU523" s="34" t="str">
        <f aca="false">IF($B523="","",COUNTIF($F523:$AJ523,"WO"))</f>
        <v/>
      </c>
      <c r="AV523" s="34" t="str">
        <f aca="false">IF($B523="","",COUNTIF($F523:$AJ523,"PH"))</f>
        <v/>
      </c>
      <c r="AW523" s="34" t="str">
        <f aca="false">IF($B523="","",COUNTIF($F523:$AJ523,"TR"))</f>
        <v/>
      </c>
      <c r="AX523" s="35" t="str">
        <f aca="false">IF($B523="","",AO523+AS523/2)</f>
        <v/>
      </c>
      <c r="AY523" s="35" t="str">
        <f aca="false">IF($B523="","",AQ523)</f>
        <v/>
      </c>
      <c r="AZ523" s="35" t="str">
        <f aca="false">IF($B523="","",AP523+AT523/2)</f>
        <v/>
      </c>
      <c r="BA523" s="35" t="str">
        <f aca="false">IF($B523="","",AK523+AN523+AM523/2+AO523+AP523+AQ523+AR523+AS523+AT523+AU523+AV523+AW523)</f>
        <v/>
      </c>
      <c r="BB523" s="35" t="str">
        <f aca="false">IF($B523="","",MAX(0,AN523-Settings!$C$16)*Settings!$C$17)</f>
        <v/>
      </c>
      <c r="BC523" s="35" t="str">
        <f aca="false">IF($B523="","",BA523-BB523)</f>
        <v/>
      </c>
      <c r="BD523" s="35" t="str">
        <f aca="false">IF(OR($B523="",$A523=""),"",DAY(EOMONTH($A523,0))-COUNTA($F523:$AJ523))</f>
        <v/>
      </c>
    </row>
    <row r="524" customFormat="false" ht="15" hidden="false" customHeight="false" outlineLevel="0" collapsed="false">
      <c r="A524" s="32"/>
      <c r="B524" s="29"/>
      <c r="C524" s="10" t="str">
        <f aca="false">IF($B524="","",IFERROR(INDEX(M_name,MATCH($B524,M_emp,0)),"Code not found"))</f>
        <v/>
      </c>
      <c r="D524" s="10" t="str">
        <f aca="false">IF($B524="","",IFERROR(INDEX(M_dept,MATCH($B524,M_emp,0)),""))</f>
        <v/>
      </c>
      <c r="E524" s="10" t="str">
        <f aca="false">IF($B524="","",IFERROR(INDEX(M_loc,MATCH($B524,M_emp,0)),""))</f>
        <v/>
      </c>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4" t="str">
        <f aca="false">IF($B524="","",COUNTIF($F524:$AJ524,"P"))</f>
        <v/>
      </c>
      <c r="AL524" s="34" t="str">
        <f aca="false">IF($B524="","",COUNTIF($F524:$AJ524,"A"))</f>
        <v/>
      </c>
      <c r="AM524" s="34" t="str">
        <f aca="false">IF($B524="","",COUNTIF($F524:$AJ524,"HA"))</f>
        <v/>
      </c>
      <c r="AN524" s="34" t="str">
        <f aca="false">IF($B524="","",COUNTIF($F524:$AJ524,"L"))</f>
        <v/>
      </c>
      <c r="AO524" s="34" t="str">
        <f aca="false">IF($B524="","",COUNTIF($F524:$AJ524,"PL"))</f>
        <v/>
      </c>
      <c r="AP524" s="34" t="str">
        <f aca="false">IF($B524="","",COUNTIF($F524:$AJ524,"CL"))</f>
        <v/>
      </c>
      <c r="AQ524" s="34" t="str">
        <f aca="false">IF($B524="","",COUNTIF($F524:$AJ524,"SL"))</f>
        <v/>
      </c>
      <c r="AR524" s="34" t="str">
        <f aca="false">IF($B524="","",COUNTIF($F524:$AJ524,"CO"))</f>
        <v/>
      </c>
      <c r="AS524" s="34" t="str">
        <f aca="false">IF($B524="","",COUNTIF($F524:$AJ524,"HPL"))</f>
        <v/>
      </c>
      <c r="AT524" s="34" t="str">
        <f aca="false">IF($B524="","",COUNTIF($F524:$AJ524,"HCL"))</f>
        <v/>
      </c>
      <c r="AU524" s="34" t="str">
        <f aca="false">IF($B524="","",COUNTIF($F524:$AJ524,"WO"))</f>
        <v/>
      </c>
      <c r="AV524" s="34" t="str">
        <f aca="false">IF($B524="","",COUNTIF($F524:$AJ524,"PH"))</f>
        <v/>
      </c>
      <c r="AW524" s="34" t="str">
        <f aca="false">IF($B524="","",COUNTIF($F524:$AJ524,"TR"))</f>
        <v/>
      </c>
      <c r="AX524" s="35" t="str">
        <f aca="false">IF($B524="","",AO524+AS524/2)</f>
        <v/>
      </c>
      <c r="AY524" s="35" t="str">
        <f aca="false">IF($B524="","",AQ524)</f>
        <v/>
      </c>
      <c r="AZ524" s="35" t="str">
        <f aca="false">IF($B524="","",AP524+AT524/2)</f>
        <v/>
      </c>
      <c r="BA524" s="35" t="str">
        <f aca="false">IF($B524="","",AK524+AN524+AM524/2+AO524+AP524+AQ524+AR524+AS524+AT524+AU524+AV524+AW524)</f>
        <v/>
      </c>
      <c r="BB524" s="35" t="str">
        <f aca="false">IF($B524="","",MAX(0,AN524-Settings!$C$16)*Settings!$C$17)</f>
        <v/>
      </c>
      <c r="BC524" s="35" t="str">
        <f aca="false">IF($B524="","",BA524-BB524)</f>
        <v/>
      </c>
      <c r="BD524" s="35" t="str">
        <f aca="false">IF(OR($B524="",$A524=""),"",DAY(EOMONTH($A524,0))-COUNTA($F524:$AJ524))</f>
        <v/>
      </c>
    </row>
    <row r="525" customFormat="false" ht="15" hidden="false" customHeight="false" outlineLevel="0" collapsed="false">
      <c r="A525" s="32"/>
      <c r="B525" s="29"/>
      <c r="C525" s="10" t="str">
        <f aca="false">IF($B525="","",IFERROR(INDEX(M_name,MATCH($B525,M_emp,0)),"Code not found"))</f>
        <v/>
      </c>
      <c r="D525" s="10" t="str">
        <f aca="false">IF($B525="","",IFERROR(INDEX(M_dept,MATCH($B525,M_emp,0)),""))</f>
        <v/>
      </c>
      <c r="E525" s="10" t="str">
        <f aca="false">IF($B525="","",IFERROR(INDEX(M_loc,MATCH($B525,M_emp,0)),""))</f>
        <v/>
      </c>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4" t="str">
        <f aca="false">IF($B525="","",COUNTIF($F525:$AJ525,"P"))</f>
        <v/>
      </c>
      <c r="AL525" s="34" t="str">
        <f aca="false">IF($B525="","",COUNTIF($F525:$AJ525,"A"))</f>
        <v/>
      </c>
      <c r="AM525" s="34" t="str">
        <f aca="false">IF($B525="","",COUNTIF($F525:$AJ525,"HA"))</f>
        <v/>
      </c>
      <c r="AN525" s="34" t="str">
        <f aca="false">IF($B525="","",COUNTIF($F525:$AJ525,"L"))</f>
        <v/>
      </c>
      <c r="AO525" s="34" t="str">
        <f aca="false">IF($B525="","",COUNTIF($F525:$AJ525,"PL"))</f>
        <v/>
      </c>
      <c r="AP525" s="34" t="str">
        <f aca="false">IF($B525="","",COUNTIF($F525:$AJ525,"CL"))</f>
        <v/>
      </c>
      <c r="AQ525" s="34" t="str">
        <f aca="false">IF($B525="","",COUNTIF($F525:$AJ525,"SL"))</f>
        <v/>
      </c>
      <c r="AR525" s="34" t="str">
        <f aca="false">IF($B525="","",COUNTIF($F525:$AJ525,"CO"))</f>
        <v/>
      </c>
      <c r="AS525" s="34" t="str">
        <f aca="false">IF($B525="","",COUNTIF($F525:$AJ525,"HPL"))</f>
        <v/>
      </c>
      <c r="AT525" s="34" t="str">
        <f aca="false">IF($B525="","",COUNTIF($F525:$AJ525,"HCL"))</f>
        <v/>
      </c>
      <c r="AU525" s="34" t="str">
        <f aca="false">IF($B525="","",COUNTIF($F525:$AJ525,"WO"))</f>
        <v/>
      </c>
      <c r="AV525" s="34" t="str">
        <f aca="false">IF($B525="","",COUNTIF($F525:$AJ525,"PH"))</f>
        <v/>
      </c>
      <c r="AW525" s="34" t="str">
        <f aca="false">IF($B525="","",COUNTIF($F525:$AJ525,"TR"))</f>
        <v/>
      </c>
      <c r="AX525" s="35" t="str">
        <f aca="false">IF($B525="","",AO525+AS525/2)</f>
        <v/>
      </c>
      <c r="AY525" s="35" t="str">
        <f aca="false">IF($B525="","",AQ525)</f>
        <v/>
      </c>
      <c r="AZ525" s="35" t="str">
        <f aca="false">IF($B525="","",AP525+AT525/2)</f>
        <v/>
      </c>
      <c r="BA525" s="35" t="str">
        <f aca="false">IF($B525="","",AK525+AN525+AM525/2+AO525+AP525+AQ525+AR525+AS525+AT525+AU525+AV525+AW525)</f>
        <v/>
      </c>
      <c r="BB525" s="35" t="str">
        <f aca="false">IF($B525="","",MAX(0,AN525-Settings!$C$16)*Settings!$C$17)</f>
        <v/>
      </c>
      <c r="BC525" s="35" t="str">
        <f aca="false">IF($B525="","",BA525-BB525)</f>
        <v/>
      </c>
      <c r="BD525" s="35" t="str">
        <f aca="false">IF(OR($B525="",$A525=""),"",DAY(EOMONTH($A525,0))-COUNTA($F525:$AJ525))</f>
        <v/>
      </c>
    </row>
    <row r="526" customFormat="false" ht="15" hidden="false" customHeight="false" outlineLevel="0" collapsed="false">
      <c r="A526" s="32"/>
      <c r="B526" s="29"/>
      <c r="C526" s="10" t="str">
        <f aca="false">IF($B526="","",IFERROR(INDEX(M_name,MATCH($B526,M_emp,0)),"Code not found"))</f>
        <v/>
      </c>
      <c r="D526" s="10" t="str">
        <f aca="false">IF($B526="","",IFERROR(INDEX(M_dept,MATCH($B526,M_emp,0)),""))</f>
        <v/>
      </c>
      <c r="E526" s="10" t="str">
        <f aca="false">IF($B526="","",IFERROR(INDEX(M_loc,MATCH($B526,M_emp,0)),""))</f>
        <v/>
      </c>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4" t="str">
        <f aca="false">IF($B526="","",COUNTIF($F526:$AJ526,"P"))</f>
        <v/>
      </c>
      <c r="AL526" s="34" t="str">
        <f aca="false">IF($B526="","",COUNTIF($F526:$AJ526,"A"))</f>
        <v/>
      </c>
      <c r="AM526" s="34" t="str">
        <f aca="false">IF($B526="","",COUNTIF($F526:$AJ526,"HA"))</f>
        <v/>
      </c>
      <c r="AN526" s="34" t="str">
        <f aca="false">IF($B526="","",COUNTIF($F526:$AJ526,"L"))</f>
        <v/>
      </c>
      <c r="AO526" s="34" t="str">
        <f aca="false">IF($B526="","",COUNTIF($F526:$AJ526,"PL"))</f>
        <v/>
      </c>
      <c r="AP526" s="34" t="str">
        <f aca="false">IF($B526="","",COUNTIF($F526:$AJ526,"CL"))</f>
        <v/>
      </c>
      <c r="AQ526" s="34" t="str">
        <f aca="false">IF($B526="","",COUNTIF($F526:$AJ526,"SL"))</f>
        <v/>
      </c>
      <c r="AR526" s="34" t="str">
        <f aca="false">IF($B526="","",COUNTIF($F526:$AJ526,"CO"))</f>
        <v/>
      </c>
      <c r="AS526" s="34" t="str">
        <f aca="false">IF($B526="","",COUNTIF($F526:$AJ526,"HPL"))</f>
        <v/>
      </c>
      <c r="AT526" s="34" t="str">
        <f aca="false">IF($B526="","",COUNTIF($F526:$AJ526,"HCL"))</f>
        <v/>
      </c>
      <c r="AU526" s="34" t="str">
        <f aca="false">IF($B526="","",COUNTIF($F526:$AJ526,"WO"))</f>
        <v/>
      </c>
      <c r="AV526" s="34" t="str">
        <f aca="false">IF($B526="","",COUNTIF($F526:$AJ526,"PH"))</f>
        <v/>
      </c>
      <c r="AW526" s="34" t="str">
        <f aca="false">IF($B526="","",COUNTIF($F526:$AJ526,"TR"))</f>
        <v/>
      </c>
      <c r="AX526" s="35" t="str">
        <f aca="false">IF($B526="","",AO526+AS526/2)</f>
        <v/>
      </c>
      <c r="AY526" s="35" t="str">
        <f aca="false">IF($B526="","",AQ526)</f>
        <v/>
      </c>
      <c r="AZ526" s="35" t="str">
        <f aca="false">IF($B526="","",AP526+AT526/2)</f>
        <v/>
      </c>
      <c r="BA526" s="35" t="str">
        <f aca="false">IF($B526="","",AK526+AN526+AM526/2+AO526+AP526+AQ526+AR526+AS526+AT526+AU526+AV526+AW526)</f>
        <v/>
      </c>
      <c r="BB526" s="35" t="str">
        <f aca="false">IF($B526="","",MAX(0,AN526-Settings!$C$16)*Settings!$C$17)</f>
        <v/>
      </c>
      <c r="BC526" s="35" t="str">
        <f aca="false">IF($B526="","",BA526-BB526)</f>
        <v/>
      </c>
      <c r="BD526" s="35" t="str">
        <f aca="false">IF(OR($B526="",$A526=""),"",DAY(EOMONTH($A526,0))-COUNTA($F526:$AJ526))</f>
        <v/>
      </c>
    </row>
    <row r="527" customFormat="false" ht="15" hidden="false" customHeight="false" outlineLevel="0" collapsed="false">
      <c r="A527" s="32"/>
      <c r="B527" s="29"/>
      <c r="C527" s="10" t="str">
        <f aca="false">IF($B527="","",IFERROR(INDEX(M_name,MATCH($B527,M_emp,0)),"Code not found"))</f>
        <v/>
      </c>
      <c r="D527" s="10" t="str">
        <f aca="false">IF($B527="","",IFERROR(INDEX(M_dept,MATCH($B527,M_emp,0)),""))</f>
        <v/>
      </c>
      <c r="E527" s="10" t="str">
        <f aca="false">IF($B527="","",IFERROR(INDEX(M_loc,MATCH($B527,M_emp,0)),""))</f>
        <v/>
      </c>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4" t="str">
        <f aca="false">IF($B527="","",COUNTIF($F527:$AJ527,"P"))</f>
        <v/>
      </c>
      <c r="AL527" s="34" t="str">
        <f aca="false">IF($B527="","",COUNTIF($F527:$AJ527,"A"))</f>
        <v/>
      </c>
      <c r="AM527" s="34" t="str">
        <f aca="false">IF($B527="","",COUNTIF($F527:$AJ527,"HA"))</f>
        <v/>
      </c>
      <c r="AN527" s="34" t="str">
        <f aca="false">IF($B527="","",COUNTIF($F527:$AJ527,"L"))</f>
        <v/>
      </c>
      <c r="AO527" s="34" t="str">
        <f aca="false">IF($B527="","",COUNTIF($F527:$AJ527,"PL"))</f>
        <v/>
      </c>
      <c r="AP527" s="34" t="str">
        <f aca="false">IF($B527="","",COUNTIF($F527:$AJ527,"CL"))</f>
        <v/>
      </c>
      <c r="AQ527" s="34" t="str">
        <f aca="false">IF($B527="","",COUNTIF($F527:$AJ527,"SL"))</f>
        <v/>
      </c>
      <c r="AR527" s="34" t="str">
        <f aca="false">IF($B527="","",COUNTIF($F527:$AJ527,"CO"))</f>
        <v/>
      </c>
      <c r="AS527" s="34" t="str">
        <f aca="false">IF($B527="","",COUNTIF($F527:$AJ527,"HPL"))</f>
        <v/>
      </c>
      <c r="AT527" s="34" t="str">
        <f aca="false">IF($B527="","",COUNTIF($F527:$AJ527,"HCL"))</f>
        <v/>
      </c>
      <c r="AU527" s="34" t="str">
        <f aca="false">IF($B527="","",COUNTIF($F527:$AJ527,"WO"))</f>
        <v/>
      </c>
      <c r="AV527" s="34" t="str">
        <f aca="false">IF($B527="","",COUNTIF($F527:$AJ527,"PH"))</f>
        <v/>
      </c>
      <c r="AW527" s="34" t="str">
        <f aca="false">IF($B527="","",COUNTIF($F527:$AJ527,"TR"))</f>
        <v/>
      </c>
      <c r="AX527" s="35" t="str">
        <f aca="false">IF($B527="","",AO527+AS527/2)</f>
        <v/>
      </c>
      <c r="AY527" s="35" t="str">
        <f aca="false">IF($B527="","",AQ527)</f>
        <v/>
      </c>
      <c r="AZ527" s="35" t="str">
        <f aca="false">IF($B527="","",AP527+AT527/2)</f>
        <v/>
      </c>
      <c r="BA527" s="35" t="str">
        <f aca="false">IF($B527="","",AK527+AN527+AM527/2+AO527+AP527+AQ527+AR527+AS527+AT527+AU527+AV527+AW527)</f>
        <v/>
      </c>
      <c r="BB527" s="35" t="str">
        <f aca="false">IF($B527="","",MAX(0,AN527-Settings!$C$16)*Settings!$C$17)</f>
        <v/>
      </c>
      <c r="BC527" s="35" t="str">
        <f aca="false">IF($B527="","",BA527-BB527)</f>
        <v/>
      </c>
      <c r="BD527" s="35" t="str">
        <f aca="false">IF(OR($B527="",$A527=""),"",DAY(EOMONTH($A527,0))-COUNTA($F527:$AJ527))</f>
        <v/>
      </c>
    </row>
    <row r="528" customFormat="false" ht="15" hidden="false" customHeight="false" outlineLevel="0" collapsed="false">
      <c r="A528" s="32"/>
      <c r="B528" s="29"/>
      <c r="C528" s="10" t="str">
        <f aca="false">IF($B528="","",IFERROR(INDEX(M_name,MATCH($B528,M_emp,0)),"Code not found"))</f>
        <v/>
      </c>
      <c r="D528" s="10" t="str">
        <f aca="false">IF($B528="","",IFERROR(INDEX(M_dept,MATCH($B528,M_emp,0)),""))</f>
        <v/>
      </c>
      <c r="E528" s="10" t="str">
        <f aca="false">IF($B528="","",IFERROR(INDEX(M_loc,MATCH($B528,M_emp,0)),""))</f>
        <v/>
      </c>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4" t="str">
        <f aca="false">IF($B528="","",COUNTIF($F528:$AJ528,"P"))</f>
        <v/>
      </c>
      <c r="AL528" s="34" t="str">
        <f aca="false">IF($B528="","",COUNTIF($F528:$AJ528,"A"))</f>
        <v/>
      </c>
      <c r="AM528" s="34" t="str">
        <f aca="false">IF($B528="","",COUNTIF($F528:$AJ528,"HA"))</f>
        <v/>
      </c>
      <c r="AN528" s="34" t="str">
        <f aca="false">IF($B528="","",COUNTIF($F528:$AJ528,"L"))</f>
        <v/>
      </c>
      <c r="AO528" s="34" t="str">
        <f aca="false">IF($B528="","",COUNTIF($F528:$AJ528,"PL"))</f>
        <v/>
      </c>
      <c r="AP528" s="34" t="str">
        <f aca="false">IF($B528="","",COUNTIF($F528:$AJ528,"CL"))</f>
        <v/>
      </c>
      <c r="AQ528" s="34" t="str">
        <f aca="false">IF($B528="","",COUNTIF($F528:$AJ528,"SL"))</f>
        <v/>
      </c>
      <c r="AR528" s="34" t="str">
        <f aca="false">IF($B528="","",COUNTIF($F528:$AJ528,"CO"))</f>
        <v/>
      </c>
      <c r="AS528" s="34" t="str">
        <f aca="false">IF($B528="","",COUNTIF($F528:$AJ528,"HPL"))</f>
        <v/>
      </c>
      <c r="AT528" s="34" t="str">
        <f aca="false">IF($B528="","",COUNTIF($F528:$AJ528,"HCL"))</f>
        <v/>
      </c>
      <c r="AU528" s="34" t="str">
        <f aca="false">IF($B528="","",COUNTIF($F528:$AJ528,"WO"))</f>
        <v/>
      </c>
      <c r="AV528" s="34" t="str">
        <f aca="false">IF($B528="","",COUNTIF($F528:$AJ528,"PH"))</f>
        <v/>
      </c>
      <c r="AW528" s="34" t="str">
        <f aca="false">IF($B528="","",COUNTIF($F528:$AJ528,"TR"))</f>
        <v/>
      </c>
      <c r="AX528" s="35" t="str">
        <f aca="false">IF($B528="","",AO528+AS528/2)</f>
        <v/>
      </c>
      <c r="AY528" s="35" t="str">
        <f aca="false">IF($B528="","",AQ528)</f>
        <v/>
      </c>
      <c r="AZ528" s="35" t="str">
        <f aca="false">IF($B528="","",AP528+AT528/2)</f>
        <v/>
      </c>
      <c r="BA528" s="35" t="str">
        <f aca="false">IF($B528="","",AK528+AN528+AM528/2+AO528+AP528+AQ528+AR528+AS528+AT528+AU528+AV528+AW528)</f>
        <v/>
      </c>
      <c r="BB528" s="35" t="str">
        <f aca="false">IF($B528="","",MAX(0,AN528-Settings!$C$16)*Settings!$C$17)</f>
        <v/>
      </c>
      <c r="BC528" s="35" t="str">
        <f aca="false">IF($B528="","",BA528-BB528)</f>
        <v/>
      </c>
      <c r="BD528" s="35" t="str">
        <f aca="false">IF(OR($B528="",$A528=""),"",DAY(EOMONTH($A528,0))-COUNTA($F528:$AJ528))</f>
        <v/>
      </c>
    </row>
    <row r="529" customFormat="false" ht="15" hidden="false" customHeight="false" outlineLevel="0" collapsed="false">
      <c r="A529" s="32"/>
      <c r="B529" s="29"/>
      <c r="C529" s="10" t="str">
        <f aca="false">IF($B529="","",IFERROR(INDEX(M_name,MATCH($B529,M_emp,0)),"Code not found"))</f>
        <v/>
      </c>
      <c r="D529" s="10" t="str">
        <f aca="false">IF($B529="","",IFERROR(INDEX(M_dept,MATCH($B529,M_emp,0)),""))</f>
        <v/>
      </c>
      <c r="E529" s="10" t="str">
        <f aca="false">IF($B529="","",IFERROR(INDEX(M_loc,MATCH($B529,M_emp,0)),""))</f>
        <v/>
      </c>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4" t="str">
        <f aca="false">IF($B529="","",COUNTIF($F529:$AJ529,"P"))</f>
        <v/>
      </c>
      <c r="AL529" s="34" t="str">
        <f aca="false">IF($B529="","",COUNTIF($F529:$AJ529,"A"))</f>
        <v/>
      </c>
      <c r="AM529" s="34" t="str">
        <f aca="false">IF($B529="","",COUNTIF($F529:$AJ529,"HA"))</f>
        <v/>
      </c>
      <c r="AN529" s="34" t="str">
        <f aca="false">IF($B529="","",COUNTIF($F529:$AJ529,"L"))</f>
        <v/>
      </c>
      <c r="AO529" s="34" t="str">
        <f aca="false">IF($B529="","",COUNTIF($F529:$AJ529,"PL"))</f>
        <v/>
      </c>
      <c r="AP529" s="34" t="str">
        <f aca="false">IF($B529="","",COUNTIF($F529:$AJ529,"CL"))</f>
        <v/>
      </c>
      <c r="AQ529" s="34" t="str">
        <f aca="false">IF($B529="","",COUNTIF($F529:$AJ529,"SL"))</f>
        <v/>
      </c>
      <c r="AR529" s="34" t="str">
        <f aca="false">IF($B529="","",COUNTIF($F529:$AJ529,"CO"))</f>
        <v/>
      </c>
      <c r="AS529" s="34" t="str">
        <f aca="false">IF($B529="","",COUNTIF($F529:$AJ529,"HPL"))</f>
        <v/>
      </c>
      <c r="AT529" s="34" t="str">
        <f aca="false">IF($B529="","",COUNTIF($F529:$AJ529,"HCL"))</f>
        <v/>
      </c>
      <c r="AU529" s="34" t="str">
        <f aca="false">IF($B529="","",COUNTIF($F529:$AJ529,"WO"))</f>
        <v/>
      </c>
      <c r="AV529" s="34" t="str">
        <f aca="false">IF($B529="","",COUNTIF($F529:$AJ529,"PH"))</f>
        <v/>
      </c>
      <c r="AW529" s="34" t="str">
        <f aca="false">IF($B529="","",COUNTIF($F529:$AJ529,"TR"))</f>
        <v/>
      </c>
      <c r="AX529" s="35" t="str">
        <f aca="false">IF($B529="","",AO529+AS529/2)</f>
        <v/>
      </c>
      <c r="AY529" s="35" t="str">
        <f aca="false">IF($B529="","",AQ529)</f>
        <v/>
      </c>
      <c r="AZ529" s="35" t="str">
        <f aca="false">IF($B529="","",AP529+AT529/2)</f>
        <v/>
      </c>
      <c r="BA529" s="35" t="str">
        <f aca="false">IF($B529="","",AK529+AN529+AM529/2+AO529+AP529+AQ529+AR529+AS529+AT529+AU529+AV529+AW529)</f>
        <v/>
      </c>
      <c r="BB529" s="35" t="str">
        <f aca="false">IF($B529="","",MAX(0,AN529-Settings!$C$16)*Settings!$C$17)</f>
        <v/>
      </c>
      <c r="BC529" s="35" t="str">
        <f aca="false">IF($B529="","",BA529-BB529)</f>
        <v/>
      </c>
      <c r="BD529" s="35" t="str">
        <f aca="false">IF(OR($B529="",$A529=""),"",DAY(EOMONTH($A529,0))-COUNTA($F529:$AJ529))</f>
        <v/>
      </c>
    </row>
    <row r="530" customFormat="false" ht="15" hidden="false" customHeight="false" outlineLevel="0" collapsed="false">
      <c r="A530" s="32"/>
      <c r="B530" s="29"/>
      <c r="C530" s="10" t="str">
        <f aca="false">IF($B530="","",IFERROR(INDEX(M_name,MATCH($B530,M_emp,0)),"Code not found"))</f>
        <v/>
      </c>
      <c r="D530" s="10" t="str">
        <f aca="false">IF($B530="","",IFERROR(INDEX(M_dept,MATCH($B530,M_emp,0)),""))</f>
        <v/>
      </c>
      <c r="E530" s="10" t="str">
        <f aca="false">IF($B530="","",IFERROR(INDEX(M_loc,MATCH($B530,M_emp,0)),""))</f>
        <v/>
      </c>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4" t="str">
        <f aca="false">IF($B530="","",COUNTIF($F530:$AJ530,"P"))</f>
        <v/>
      </c>
      <c r="AL530" s="34" t="str">
        <f aca="false">IF($B530="","",COUNTIF($F530:$AJ530,"A"))</f>
        <v/>
      </c>
      <c r="AM530" s="34" t="str">
        <f aca="false">IF($B530="","",COUNTIF($F530:$AJ530,"HA"))</f>
        <v/>
      </c>
      <c r="AN530" s="34" t="str">
        <f aca="false">IF($B530="","",COUNTIF($F530:$AJ530,"L"))</f>
        <v/>
      </c>
      <c r="AO530" s="34" t="str">
        <f aca="false">IF($B530="","",COUNTIF($F530:$AJ530,"PL"))</f>
        <v/>
      </c>
      <c r="AP530" s="34" t="str">
        <f aca="false">IF($B530="","",COUNTIF($F530:$AJ530,"CL"))</f>
        <v/>
      </c>
      <c r="AQ530" s="34" t="str">
        <f aca="false">IF($B530="","",COUNTIF($F530:$AJ530,"SL"))</f>
        <v/>
      </c>
      <c r="AR530" s="34" t="str">
        <f aca="false">IF($B530="","",COUNTIF($F530:$AJ530,"CO"))</f>
        <v/>
      </c>
      <c r="AS530" s="34" t="str">
        <f aca="false">IF($B530="","",COUNTIF($F530:$AJ530,"HPL"))</f>
        <v/>
      </c>
      <c r="AT530" s="34" t="str">
        <f aca="false">IF($B530="","",COUNTIF($F530:$AJ530,"HCL"))</f>
        <v/>
      </c>
      <c r="AU530" s="34" t="str">
        <f aca="false">IF($B530="","",COUNTIF($F530:$AJ530,"WO"))</f>
        <v/>
      </c>
      <c r="AV530" s="34" t="str">
        <f aca="false">IF($B530="","",COUNTIF($F530:$AJ530,"PH"))</f>
        <v/>
      </c>
      <c r="AW530" s="34" t="str">
        <f aca="false">IF($B530="","",COUNTIF($F530:$AJ530,"TR"))</f>
        <v/>
      </c>
      <c r="AX530" s="35" t="str">
        <f aca="false">IF($B530="","",AO530+AS530/2)</f>
        <v/>
      </c>
      <c r="AY530" s="35" t="str">
        <f aca="false">IF($B530="","",AQ530)</f>
        <v/>
      </c>
      <c r="AZ530" s="35" t="str">
        <f aca="false">IF($B530="","",AP530+AT530/2)</f>
        <v/>
      </c>
      <c r="BA530" s="35" t="str">
        <f aca="false">IF($B530="","",AK530+AN530+AM530/2+AO530+AP530+AQ530+AR530+AS530+AT530+AU530+AV530+AW530)</f>
        <v/>
      </c>
      <c r="BB530" s="35" t="str">
        <f aca="false">IF($B530="","",MAX(0,AN530-Settings!$C$16)*Settings!$C$17)</f>
        <v/>
      </c>
      <c r="BC530" s="35" t="str">
        <f aca="false">IF($B530="","",BA530-BB530)</f>
        <v/>
      </c>
      <c r="BD530" s="35" t="str">
        <f aca="false">IF(OR($B530="",$A530=""),"",DAY(EOMONTH($A530,0))-COUNTA($F530:$AJ530))</f>
        <v/>
      </c>
    </row>
    <row r="531" customFormat="false" ht="15" hidden="false" customHeight="false" outlineLevel="0" collapsed="false">
      <c r="A531" s="32"/>
      <c r="B531" s="29"/>
      <c r="C531" s="10" t="str">
        <f aca="false">IF($B531="","",IFERROR(INDEX(M_name,MATCH($B531,M_emp,0)),"Code not found"))</f>
        <v/>
      </c>
      <c r="D531" s="10" t="str">
        <f aca="false">IF($B531="","",IFERROR(INDEX(M_dept,MATCH($B531,M_emp,0)),""))</f>
        <v/>
      </c>
      <c r="E531" s="10" t="str">
        <f aca="false">IF($B531="","",IFERROR(INDEX(M_loc,MATCH($B531,M_emp,0)),""))</f>
        <v/>
      </c>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4" t="str">
        <f aca="false">IF($B531="","",COUNTIF($F531:$AJ531,"P"))</f>
        <v/>
      </c>
      <c r="AL531" s="34" t="str">
        <f aca="false">IF($B531="","",COUNTIF($F531:$AJ531,"A"))</f>
        <v/>
      </c>
      <c r="AM531" s="34" t="str">
        <f aca="false">IF($B531="","",COUNTIF($F531:$AJ531,"HA"))</f>
        <v/>
      </c>
      <c r="AN531" s="34" t="str">
        <f aca="false">IF($B531="","",COUNTIF($F531:$AJ531,"L"))</f>
        <v/>
      </c>
      <c r="AO531" s="34" t="str">
        <f aca="false">IF($B531="","",COUNTIF($F531:$AJ531,"PL"))</f>
        <v/>
      </c>
      <c r="AP531" s="34" t="str">
        <f aca="false">IF($B531="","",COUNTIF($F531:$AJ531,"CL"))</f>
        <v/>
      </c>
      <c r="AQ531" s="34" t="str">
        <f aca="false">IF($B531="","",COUNTIF($F531:$AJ531,"SL"))</f>
        <v/>
      </c>
      <c r="AR531" s="34" t="str">
        <f aca="false">IF($B531="","",COUNTIF($F531:$AJ531,"CO"))</f>
        <v/>
      </c>
      <c r="AS531" s="34" t="str">
        <f aca="false">IF($B531="","",COUNTIF($F531:$AJ531,"HPL"))</f>
        <v/>
      </c>
      <c r="AT531" s="34" t="str">
        <f aca="false">IF($B531="","",COUNTIF($F531:$AJ531,"HCL"))</f>
        <v/>
      </c>
      <c r="AU531" s="34" t="str">
        <f aca="false">IF($B531="","",COUNTIF($F531:$AJ531,"WO"))</f>
        <v/>
      </c>
      <c r="AV531" s="34" t="str">
        <f aca="false">IF($B531="","",COUNTIF($F531:$AJ531,"PH"))</f>
        <v/>
      </c>
      <c r="AW531" s="34" t="str">
        <f aca="false">IF($B531="","",COUNTIF($F531:$AJ531,"TR"))</f>
        <v/>
      </c>
      <c r="AX531" s="35" t="str">
        <f aca="false">IF($B531="","",AO531+AS531/2)</f>
        <v/>
      </c>
      <c r="AY531" s="35" t="str">
        <f aca="false">IF($B531="","",AQ531)</f>
        <v/>
      </c>
      <c r="AZ531" s="35" t="str">
        <f aca="false">IF($B531="","",AP531+AT531/2)</f>
        <v/>
      </c>
      <c r="BA531" s="35" t="str">
        <f aca="false">IF($B531="","",AK531+AN531+AM531/2+AO531+AP531+AQ531+AR531+AS531+AT531+AU531+AV531+AW531)</f>
        <v/>
      </c>
      <c r="BB531" s="35" t="str">
        <f aca="false">IF($B531="","",MAX(0,AN531-Settings!$C$16)*Settings!$C$17)</f>
        <v/>
      </c>
      <c r="BC531" s="35" t="str">
        <f aca="false">IF($B531="","",BA531-BB531)</f>
        <v/>
      </c>
      <c r="BD531" s="35" t="str">
        <f aca="false">IF(OR($B531="",$A531=""),"",DAY(EOMONTH($A531,0))-COUNTA($F531:$AJ531))</f>
        <v/>
      </c>
    </row>
    <row r="532" customFormat="false" ht="15" hidden="false" customHeight="false" outlineLevel="0" collapsed="false">
      <c r="A532" s="32"/>
      <c r="B532" s="29"/>
      <c r="C532" s="10" t="str">
        <f aca="false">IF($B532="","",IFERROR(INDEX(M_name,MATCH($B532,M_emp,0)),"Code not found"))</f>
        <v/>
      </c>
      <c r="D532" s="10" t="str">
        <f aca="false">IF($B532="","",IFERROR(INDEX(M_dept,MATCH($B532,M_emp,0)),""))</f>
        <v/>
      </c>
      <c r="E532" s="10" t="str">
        <f aca="false">IF($B532="","",IFERROR(INDEX(M_loc,MATCH($B532,M_emp,0)),""))</f>
        <v/>
      </c>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4" t="str">
        <f aca="false">IF($B532="","",COUNTIF($F532:$AJ532,"P"))</f>
        <v/>
      </c>
      <c r="AL532" s="34" t="str">
        <f aca="false">IF($B532="","",COUNTIF($F532:$AJ532,"A"))</f>
        <v/>
      </c>
      <c r="AM532" s="34" t="str">
        <f aca="false">IF($B532="","",COUNTIF($F532:$AJ532,"HA"))</f>
        <v/>
      </c>
      <c r="AN532" s="34" t="str">
        <f aca="false">IF($B532="","",COUNTIF($F532:$AJ532,"L"))</f>
        <v/>
      </c>
      <c r="AO532" s="34" t="str">
        <f aca="false">IF($B532="","",COUNTIF($F532:$AJ532,"PL"))</f>
        <v/>
      </c>
      <c r="AP532" s="34" t="str">
        <f aca="false">IF($B532="","",COUNTIF($F532:$AJ532,"CL"))</f>
        <v/>
      </c>
      <c r="AQ532" s="34" t="str">
        <f aca="false">IF($B532="","",COUNTIF($F532:$AJ532,"SL"))</f>
        <v/>
      </c>
      <c r="AR532" s="34" t="str">
        <f aca="false">IF($B532="","",COUNTIF($F532:$AJ532,"CO"))</f>
        <v/>
      </c>
      <c r="AS532" s="34" t="str">
        <f aca="false">IF($B532="","",COUNTIF($F532:$AJ532,"HPL"))</f>
        <v/>
      </c>
      <c r="AT532" s="34" t="str">
        <f aca="false">IF($B532="","",COUNTIF($F532:$AJ532,"HCL"))</f>
        <v/>
      </c>
      <c r="AU532" s="34" t="str">
        <f aca="false">IF($B532="","",COUNTIF($F532:$AJ532,"WO"))</f>
        <v/>
      </c>
      <c r="AV532" s="34" t="str">
        <f aca="false">IF($B532="","",COUNTIF($F532:$AJ532,"PH"))</f>
        <v/>
      </c>
      <c r="AW532" s="34" t="str">
        <f aca="false">IF($B532="","",COUNTIF($F532:$AJ532,"TR"))</f>
        <v/>
      </c>
      <c r="AX532" s="35" t="str">
        <f aca="false">IF($B532="","",AO532+AS532/2)</f>
        <v/>
      </c>
      <c r="AY532" s="35" t="str">
        <f aca="false">IF($B532="","",AQ532)</f>
        <v/>
      </c>
      <c r="AZ532" s="35" t="str">
        <f aca="false">IF($B532="","",AP532+AT532/2)</f>
        <v/>
      </c>
      <c r="BA532" s="35" t="str">
        <f aca="false">IF($B532="","",AK532+AN532+AM532/2+AO532+AP532+AQ532+AR532+AS532+AT532+AU532+AV532+AW532)</f>
        <v/>
      </c>
      <c r="BB532" s="35" t="str">
        <f aca="false">IF($B532="","",MAX(0,AN532-Settings!$C$16)*Settings!$C$17)</f>
        <v/>
      </c>
      <c r="BC532" s="35" t="str">
        <f aca="false">IF($B532="","",BA532-BB532)</f>
        <v/>
      </c>
      <c r="BD532" s="35" t="str">
        <f aca="false">IF(OR($B532="",$A532=""),"",DAY(EOMONTH($A532,0))-COUNTA($F532:$AJ532))</f>
        <v/>
      </c>
    </row>
    <row r="533" customFormat="false" ht="15" hidden="false" customHeight="false" outlineLevel="0" collapsed="false">
      <c r="A533" s="32"/>
      <c r="B533" s="29"/>
      <c r="C533" s="10" t="str">
        <f aca="false">IF($B533="","",IFERROR(INDEX(M_name,MATCH($B533,M_emp,0)),"Code not found"))</f>
        <v/>
      </c>
      <c r="D533" s="10" t="str">
        <f aca="false">IF($B533="","",IFERROR(INDEX(M_dept,MATCH($B533,M_emp,0)),""))</f>
        <v/>
      </c>
      <c r="E533" s="10" t="str">
        <f aca="false">IF($B533="","",IFERROR(INDEX(M_loc,MATCH($B533,M_emp,0)),""))</f>
        <v/>
      </c>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4" t="str">
        <f aca="false">IF($B533="","",COUNTIF($F533:$AJ533,"P"))</f>
        <v/>
      </c>
      <c r="AL533" s="34" t="str">
        <f aca="false">IF($B533="","",COUNTIF($F533:$AJ533,"A"))</f>
        <v/>
      </c>
      <c r="AM533" s="34" t="str">
        <f aca="false">IF($B533="","",COUNTIF($F533:$AJ533,"HA"))</f>
        <v/>
      </c>
      <c r="AN533" s="34" t="str">
        <f aca="false">IF($B533="","",COUNTIF($F533:$AJ533,"L"))</f>
        <v/>
      </c>
      <c r="AO533" s="34" t="str">
        <f aca="false">IF($B533="","",COUNTIF($F533:$AJ533,"PL"))</f>
        <v/>
      </c>
      <c r="AP533" s="34" t="str">
        <f aca="false">IF($B533="","",COUNTIF($F533:$AJ533,"CL"))</f>
        <v/>
      </c>
      <c r="AQ533" s="34" t="str">
        <f aca="false">IF($B533="","",COUNTIF($F533:$AJ533,"SL"))</f>
        <v/>
      </c>
      <c r="AR533" s="34" t="str">
        <f aca="false">IF($B533="","",COUNTIF($F533:$AJ533,"CO"))</f>
        <v/>
      </c>
      <c r="AS533" s="34" t="str">
        <f aca="false">IF($B533="","",COUNTIF($F533:$AJ533,"HPL"))</f>
        <v/>
      </c>
      <c r="AT533" s="34" t="str">
        <f aca="false">IF($B533="","",COUNTIF($F533:$AJ533,"HCL"))</f>
        <v/>
      </c>
      <c r="AU533" s="34" t="str">
        <f aca="false">IF($B533="","",COUNTIF($F533:$AJ533,"WO"))</f>
        <v/>
      </c>
      <c r="AV533" s="34" t="str">
        <f aca="false">IF($B533="","",COUNTIF($F533:$AJ533,"PH"))</f>
        <v/>
      </c>
      <c r="AW533" s="34" t="str">
        <f aca="false">IF($B533="","",COUNTIF($F533:$AJ533,"TR"))</f>
        <v/>
      </c>
      <c r="AX533" s="35" t="str">
        <f aca="false">IF($B533="","",AO533+AS533/2)</f>
        <v/>
      </c>
      <c r="AY533" s="35" t="str">
        <f aca="false">IF($B533="","",AQ533)</f>
        <v/>
      </c>
      <c r="AZ533" s="35" t="str">
        <f aca="false">IF($B533="","",AP533+AT533/2)</f>
        <v/>
      </c>
      <c r="BA533" s="35" t="str">
        <f aca="false">IF($B533="","",AK533+AN533+AM533/2+AO533+AP533+AQ533+AR533+AS533+AT533+AU533+AV533+AW533)</f>
        <v/>
      </c>
      <c r="BB533" s="35" t="str">
        <f aca="false">IF($B533="","",MAX(0,AN533-Settings!$C$16)*Settings!$C$17)</f>
        <v/>
      </c>
      <c r="BC533" s="35" t="str">
        <f aca="false">IF($B533="","",BA533-BB533)</f>
        <v/>
      </c>
      <c r="BD533" s="35" t="str">
        <f aca="false">IF(OR($B533="",$A533=""),"",DAY(EOMONTH($A533,0))-COUNTA($F533:$AJ533))</f>
        <v/>
      </c>
    </row>
    <row r="534" customFormat="false" ht="15" hidden="false" customHeight="false" outlineLevel="0" collapsed="false">
      <c r="A534" s="32"/>
      <c r="B534" s="29"/>
      <c r="C534" s="10" t="str">
        <f aca="false">IF($B534="","",IFERROR(INDEX(M_name,MATCH($B534,M_emp,0)),"Code not found"))</f>
        <v/>
      </c>
      <c r="D534" s="10" t="str">
        <f aca="false">IF($B534="","",IFERROR(INDEX(M_dept,MATCH($B534,M_emp,0)),""))</f>
        <v/>
      </c>
      <c r="E534" s="10" t="str">
        <f aca="false">IF($B534="","",IFERROR(INDEX(M_loc,MATCH($B534,M_emp,0)),""))</f>
        <v/>
      </c>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4" t="str">
        <f aca="false">IF($B534="","",COUNTIF($F534:$AJ534,"P"))</f>
        <v/>
      </c>
      <c r="AL534" s="34" t="str">
        <f aca="false">IF($B534="","",COUNTIF($F534:$AJ534,"A"))</f>
        <v/>
      </c>
      <c r="AM534" s="34" t="str">
        <f aca="false">IF($B534="","",COUNTIF($F534:$AJ534,"HA"))</f>
        <v/>
      </c>
      <c r="AN534" s="34" t="str">
        <f aca="false">IF($B534="","",COUNTIF($F534:$AJ534,"L"))</f>
        <v/>
      </c>
      <c r="AO534" s="34" t="str">
        <f aca="false">IF($B534="","",COUNTIF($F534:$AJ534,"PL"))</f>
        <v/>
      </c>
      <c r="AP534" s="34" t="str">
        <f aca="false">IF($B534="","",COUNTIF($F534:$AJ534,"CL"))</f>
        <v/>
      </c>
      <c r="AQ534" s="34" t="str">
        <f aca="false">IF($B534="","",COUNTIF($F534:$AJ534,"SL"))</f>
        <v/>
      </c>
      <c r="AR534" s="34" t="str">
        <f aca="false">IF($B534="","",COUNTIF($F534:$AJ534,"CO"))</f>
        <v/>
      </c>
      <c r="AS534" s="34" t="str">
        <f aca="false">IF($B534="","",COUNTIF($F534:$AJ534,"HPL"))</f>
        <v/>
      </c>
      <c r="AT534" s="34" t="str">
        <f aca="false">IF($B534="","",COUNTIF($F534:$AJ534,"HCL"))</f>
        <v/>
      </c>
      <c r="AU534" s="34" t="str">
        <f aca="false">IF($B534="","",COUNTIF($F534:$AJ534,"WO"))</f>
        <v/>
      </c>
      <c r="AV534" s="34" t="str">
        <f aca="false">IF($B534="","",COUNTIF($F534:$AJ534,"PH"))</f>
        <v/>
      </c>
      <c r="AW534" s="34" t="str">
        <f aca="false">IF($B534="","",COUNTIF($F534:$AJ534,"TR"))</f>
        <v/>
      </c>
      <c r="AX534" s="35" t="str">
        <f aca="false">IF($B534="","",AO534+AS534/2)</f>
        <v/>
      </c>
      <c r="AY534" s="35" t="str">
        <f aca="false">IF($B534="","",AQ534)</f>
        <v/>
      </c>
      <c r="AZ534" s="35" t="str">
        <f aca="false">IF($B534="","",AP534+AT534/2)</f>
        <v/>
      </c>
      <c r="BA534" s="35" t="str">
        <f aca="false">IF($B534="","",AK534+AN534+AM534/2+AO534+AP534+AQ534+AR534+AS534+AT534+AU534+AV534+AW534)</f>
        <v/>
      </c>
      <c r="BB534" s="35" t="str">
        <f aca="false">IF($B534="","",MAX(0,AN534-Settings!$C$16)*Settings!$C$17)</f>
        <v/>
      </c>
      <c r="BC534" s="35" t="str">
        <f aca="false">IF($B534="","",BA534-BB534)</f>
        <v/>
      </c>
      <c r="BD534" s="35" t="str">
        <f aca="false">IF(OR($B534="",$A534=""),"",DAY(EOMONTH($A534,0))-COUNTA($F534:$AJ534))</f>
        <v/>
      </c>
    </row>
    <row r="535" customFormat="false" ht="15" hidden="false" customHeight="false" outlineLevel="0" collapsed="false">
      <c r="A535" s="32"/>
      <c r="B535" s="29"/>
      <c r="C535" s="10" t="str">
        <f aca="false">IF($B535="","",IFERROR(INDEX(M_name,MATCH($B535,M_emp,0)),"Code not found"))</f>
        <v/>
      </c>
      <c r="D535" s="10" t="str">
        <f aca="false">IF($B535="","",IFERROR(INDEX(M_dept,MATCH($B535,M_emp,0)),""))</f>
        <v/>
      </c>
      <c r="E535" s="10" t="str">
        <f aca="false">IF($B535="","",IFERROR(INDEX(M_loc,MATCH($B535,M_emp,0)),""))</f>
        <v/>
      </c>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4" t="str">
        <f aca="false">IF($B535="","",COUNTIF($F535:$AJ535,"P"))</f>
        <v/>
      </c>
      <c r="AL535" s="34" t="str">
        <f aca="false">IF($B535="","",COUNTIF($F535:$AJ535,"A"))</f>
        <v/>
      </c>
      <c r="AM535" s="34" t="str">
        <f aca="false">IF($B535="","",COUNTIF($F535:$AJ535,"HA"))</f>
        <v/>
      </c>
      <c r="AN535" s="34" t="str">
        <f aca="false">IF($B535="","",COUNTIF($F535:$AJ535,"L"))</f>
        <v/>
      </c>
      <c r="AO535" s="34" t="str">
        <f aca="false">IF($B535="","",COUNTIF($F535:$AJ535,"PL"))</f>
        <v/>
      </c>
      <c r="AP535" s="34" t="str">
        <f aca="false">IF($B535="","",COUNTIF($F535:$AJ535,"CL"))</f>
        <v/>
      </c>
      <c r="AQ535" s="34" t="str">
        <f aca="false">IF($B535="","",COUNTIF($F535:$AJ535,"SL"))</f>
        <v/>
      </c>
      <c r="AR535" s="34" t="str">
        <f aca="false">IF($B535="","",COUNTIF($F535:$AJ535,"CO"))</f>
        <v/>
      </c>
      <c r="AS535" s="34" t="str">
        <f aca="false">IF($B535="","",COUNTIF($F535:$AJ535,"HPL"))</f>
        <v/>
      </c>
      <c r="AT535" s="34" t="str">
        <f aca="false">IF($B535="","",COUNTIF($F535:$AJ535,"HCL"))</f>
        <v/>
      </c>
      <c r="AU535" s="34" t="str">
        <f aca="false">IF($B535="","",COUNTIF($F535:$AJ535,"WO"))</f>
        <v/>
      </c>
      <c r="AV535" s="34" t="str">
        <f aca="false">IF($B535="","",COUNTIF($F535:$AJ535,"PH"))</f>
        <v/>
      </c>
      <c r="AW535" s="34" t="str">
        <f aca="false">IF($B535="","",COUNTIF($F535:$AJ535,"TR"))</f>
        <v/>
      </c>
      <c r="AX535" s="35" t="str">
        <f aca="false">IF($B535="","",AO535+AS535/2)</f>
        <v/>
      </c>
      <c r="AY535" s="35" t="str">
        <f aca="false">IF($B535="","",AQ535)</f>
        <v/>
      </c>
      <c r="AZ535" s="35" t="str">
        <f aca="false">IF($B535="","",AP535+AT535/2)</f>
        <v/>
      </c>
      <c r="BA535" s="35" t="str">
        <f aca="false">IF($B535="","",AK535+AN535+AM535/2+AO535+AP535+AQ535+AR535+AS535+AT535+AU535+AV535+AW535)</f>
        <v/>
      </c>
      <c r="BB535" s="35" t="str">
        <f aca="false">IF($B535="","",MAX(0,AN535-Settings!$C$16)*Settings!$C$17)</f>
        <v/>
      </c>
      <c r="BC535" s="35" t="str">
        <f aca="false">IF($B535="","",BA535-BB535)</f>
        <v/>
      </c>
      <c r="BD535" s="35" t="str">
        <f aca="false">IF(OR($B535="",$A535=""),"",DAY(EOMONTH($A535,0))-COUNTA($F535:$AJ535))</f>
        <v/>
      </c>
    </row>
    <row r="536" customFormat="false" ht="15" hidden="false" customHeight="false" outlineLevel="0" collapsed="false">
      <c r="A536" s="32"/>
      <c r="B536" s="29"/>
      <c r="C536" s="10" t="str">
        <f aca="false">IF($B536="","",IFERROR(INDEX(M_name,MATCH($B536,M_emp,0)),"Code not found"))</f>
        <v/>
      </c>
      <c r="D536" s="10" t="str">
        <f aca="false">IF($B536="","",IFERROR(INDEX(M_dept,MATCH($B536,M_emp,0)),""))</f>
        <v/>
      </c>
      <c r="E536" s="10" t="str">
        <f aca="false">IF($B536="","",IFERROR(INDEX(M_loc,MATCH($B536,M_emp,0)),""))</f>
        <v/>
      </c>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4" t="str">
        <f aca="false">IF($B536="","",COUNTIF($F536:$AJ536,"P"))</f>
        <v/>
      </c>
      <c r="AL536" s="34" t="str">
        <f aca="false">IF($B536="","",COUNTIF($F536:$AJ536,"A"))</f>
        <v/>
      </c>
      <c r="AM536" s="34" t="str">
        <f aca="false">IF($B536="","",COUNTIF($F536:$AJ536,"HA"))</f>
        <v/>
      </c>
      <c r="AN536" s="34" t="str">
        <f aca="false">IF($B536="","",COUNTIF($F536:$AJ536,"L"))</f>
        <v/>
      </c>
      <c r="AO536" s="34" t="str">
        <f aca="false">IF($B536="","",COUNTIF($F536:$AJ536,"PL"))</f>
        <v/>
      </c>
      <c r="AP536" s="34" t="str">
        <f aca="false">IF($B536="","",COUNTIF($F536:$AJ536,"CL"))</f>
        <v/>
      </c>
      <c r="AQ536" s="34" t="str">
        <f aca="false">IF($B536="","",COUNTIF($F536:$AJ536,"SL"))</f>
        <v/>
      </c>
      <c r="AR536" s="34" t="str">
        <f aca="false">IF($B536="","",COUNTIF($F536:$AJ536,"CO"))</f>
        <v/>
      </c>
      <c r="AS536" s="34" t="str">
        <f aca="false">IF($B536="","",COUNTIF($F536:$AJ536,"HPL"))</f>
        <v/>
      </c>
      <c r="AT536" s="34" t="str">
        <f aca="false">IF($B536="","",COUNTIF($F536:$AJ536,"HCL"))</f>
        <v/>
      </c>
      <c r="AU536" s="34" t="str">
        <f aca="false">IF($B536="","",COUNTIF($F536:$AJ536,"WO"))</f>
        <v/>
      </c>
      <c r="AV536" s="34" t="str">
        <f aca="false">IF($B536="","",COUNTIF($F536:$AJ536,"PH"))</f>
        <v/>
      </c>
      <c r="AW536" s="34" t="str">
        <f aca="false">IF($B536="","",COUNTIF($F536:$AJ536,"TR"))</f>
        <v/>
      </c>
      <c r="AX536" s="35" t="str">
        <f aca="false">IF($B536="","",AO536+AS536/2)</f>
        <v/>
      </c>
      <c r="AY536" s="35" t="str">
        <f aca="false">IF($B536="","",AQ536)</f>
        <v/>
      </c>
      <c r="AZ536" s="35" t="str">
        <f aca="false">IF($B536="","",AP536+AT536/2)</f>
        <v/>
      </c>
      <c r="BA536" s="35" t="str">
        <f aca="false">IF($B536="","",AK536+AN536+AM536/2+AO536+AP536+AQ536+AR536+AS536+AT536+AU536+AV536+AW536)</f>
        <v/>
      </c>
      <c r="BB536" s="35" t="str">
        <f aca="false">IF($B536="","",MAX(0,AN536-Settings!$C$16)*Settings!$C$17)</f>
        <v/>
      </c>
      <c r="BC536" s="35" t="str">
        <f aca="false">IF($B536="","",BA536-BB536)</f>
        <v/>
      </c>
      <c r="BD536" s="35" t="str">
        <f aca="false">IF(OR($B536="",$A536=""),"",DAY(EOMONTH($A536,0))-COUNTA($F536:$AJ536))</f>
        <v/>
      </c>
    </row>
    <row r="537" customFormat="false" ht="15" hidden="false" customHeight="false" outlineLevel="0" collapsed="false">
      <c r="A537" s="32"/>
      <c r="B537" s="29"/>
      <c r="C537" s="10" t="str">
        <f aca="false">IF($B537="","",IFERROR(INDEX(M_name,MATCH($B537,M_emp,0)),"Code not found"))</f>
        <v/>
      </c>
      <c r="D537" s="10" t="str">
        <f aca="false">IF($B537="","",IFERROR(INDEX(M_dept,MATCH($B537,M_emp,0)),""))</f>
        <v/>
      </c>
      <c r="E537" s="10" t="str">
        <f aca="false">IF($B537="","",IFERROR(INDEX(M_loc,MATCH($B537,M_emp,0)),""))</f>
        <v/>
      </c>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4" t="str">
        <f aca="false">IF($B537="","",COUNTIF($F537:$AJ537,"P"))</f>
        <v/>
      </c>
      <c r="AL537" s="34" t="str">
        <f aca="false">IF($B537="","",COUNTIF($F537:$AJ537,"A"))</f>
        <v/>
      </c>
      <c r="AM537" s="34" t="str">
        <f aca="false">IF($B537="","",COUNTIF($F537:$AJ537,"HA"))</f>
        <v/>
      </c>
      <c r="AN537" s="34" t="str">
        <f aca="false">IF($B537="","",COUNTIF($F537:$AJ537,"L"))</f>
        <v/>
      </c>
      <c r="AO537" s="34" t="str">
        <f aca="false">IF($B537="","",COUNTIF($F537:$AJ537,"PL"))</f>
        <v/>
      </c>
      <c r="AP537" s="34" t="str">
        <f aca="false">IF($B537="","",COUNTIF($F537:$AJ537,"CL"))</f>
        <v/>
      </c>
      <c r="AQ537" s="34" t="str">
        <f aca="false">IF($B537="","",COUNTIF($F537:$AJ537,"SL"))</f>
        <v/>
      </c>
      <c r="AR537" s="34" t="str">
        <f aca="false">IF($B537="","",COUNTIF($F537:$AJ537,"CO"))</f>
        <v/>
      </c>
      <c r="AS537" s="34" t="str">
        <f aca="false">IF($B537="","",COUNTIF($F537:$AJ537,"HPL"))</f>
        <v/>
      </c>
      <c r="AT537" s="34" t="str">
        <f aca="false">IF($B537="","",COUNTIF($F537:$AJ537,"HCL"))</f>
        <v/>
      </c>
      <c r="AU537" s="34" t="str">
        <f aca="false">IF($B537="","",COUNTIF($F537:$AJ537,"WO"))</f>
        <v/>
      </c>
      <c r="AV537" s="34" t="str">
        <f aca="false">IF($B537="","",COUNTIF($F537:$AJ537,"PH"))</f>
        <v/>
      </c>
      <c r="AW537" s="34" t="str">
        <f aca="false">IF($B537="","",COUNTIF($F537:$AJ537,"TR"))</f>
        <v/>
      </c>
      <c r="AX537" s="35" t="str">
        <f aca="false">IF($B537="","",AO537+AS537/2)</f>
        <v/>
      </c>
      <c r="AY537" s="35" t="str">
        <f aca="false">IF($B537="","",AQ537)</f>
        <v/>
      </c>
      <c r="AZ537" s="35" t="str">
        <f aca="false">IF($B537="","",AP537+AT537/2)</f>
        <v/>
      </c>
      <c r="BA537" s="35" t="str">
        <f aca="false">IF($B537="","",AK537+AN537+AM537/2+AO537+AP537+AQ537+AR537+AS537+AT537+AU537+AV537+AW537)</f>
        <v/>
      </c>
      <c r="BB537" s="35" t="str">
        <f aca="false">IF($B537="","",MAX(0,AN537-Settings!$C$16)*Settings!$C$17)</f>
        <v/>
      </c>
      <c r="BC537" s="35" t="str">
        <f aca="false">IF($B537="","",BA537-BB537)</f>
        <v/>
      </c>
      <c r="BD537" s="35" t="str">
        <f aca="false">IF(OR($B537="",$A537=""),"",DAY(EOMONTH($A537,0))-COUNTA($F537:$AJ537))</f>
        <v/>
      </c>
    </row>
    <row r="538" customFormat="false" ht="15" hidden="false" customHeight="false" outlineLevel="0" collapsed="false">
      <c r="A538" s="32"/>
      <c r="B538" s="29"/>
      <c r="C538" s="10" t="str">
        <f aca="false">IF($B538="","",IFERROR(INDEX(M_name,MATCH($B538,M_emp,0)),"Code not found"))</f>
        <v/>
      </c>
      <c r="D538" s="10" t="str">
        <f aca="false">IF($B538="","",IFERROR(INDEX(M_dept,MATCH($B538,M_emp,0)),""))</f>
        <v/>
      </c>
      <c r="E538" s="10" t="str">
        <f aca="false">IF($B538="","",IFERROR(INDEX(M_loc,MATCH($B538,M_emp,0)),""))</f>
        <v/>
      </c>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4" t="str">
        <f aca="false">IF($B538="","",COUNTIF($F538:$AJ538,"P"))</f>
        <v/>
      </c>
      <c r="AL538" s="34" t="str">
        <f aca="false">IF($B538="","",COUNTIF($F538:$AJ538,"A"))</f>
        <v/>
      </c>
      <c r="AM538" s="34" t="str">
        <f aca="false">IF($B538="","",COUNTIF($F538:$AJ538,"HA"))</f>
        <v/>
      </c>
      <c r="AN538" s="34" t="str">
        <f aca="false">IF($B538="","",COUNTIF($F538:$AJ538,"L"))</f>
        <v/>
      </c>
      <c r="AO538" s="34" t="str">
        <f aca="false">IF($B538="","",COUNTIF($F538:$AJ538,"PL"))</f>
        <v/>
      </c>
      <c r="AP538" s="34" t="str">
        <f aca="false">IF($B538="","",COUNTIF($F538:$AJ538,"CL"))</f>
        <v/>
      </c>
      <c r="AQ538" s="34" t="str">
        <f aca="false">IF($B538="","",COUNTIF($F538:$AJ538,"SL"))</f>
        <v/>
      </c>
      <c r="AR538" s="34" t="str">
        <f aca="false">IF($B538="","",COUNTIF($F538:$AJ538,"CO"))</f>
        <v/>
      </c>
      <c r="AS538" s="34" t="str">
        <f aca="false">IF($B538="","",COUNTIF($F538:$AJ538,"HPL"))</f>
        <v/>
      </c>
      <c r="AT538" s="34" t="str">
        <f aca="false">IF($B538="","",COUNTIF($F538:$AJ538,"HCL"))</f>
        <v/>
      </c>
      <c r="AU538" s="34" t="str">
        <f aca="false">IF($B538="","",COUNTIF($F538:$AJ538,"WO"))</f>
        <v/>
      </c>
      <c r="AV538" s="34" t="str">
        <f aca="false">IF($B538="","",COUNTIF($F538:$AJ538,"PH"))</f>
        <v/>
      </c>
      <c r="AW538" s="34" t="str">
        <f aca="false">IF($B538="","",COUNTIF($F538:$AJ538,"TR"))</f>
        <v/>
      </c>
      <c r="AX538" s="35" t="str">
        <f aca="false">IF($B538="","",AO538+AS538/2)</f>
        <v/>
      </c>
      <c r="AY538" s="35" t="str">
        <f aca="false">IF($B538="","",AQ538)</f>
        <v/>
      </c>
      <c r="AZ538" s="35" t="str">
        <f aca="false">IF($B538="","",AP538+AT538/2)</f>
        <v/>
      </c>
      <c r="BA538" s="35" t="str">
        <f aca="false">IF($B538="","",AK538+AN538+AM538/2+AO538+AP538+AQ538+AR538+AS538+AT538+AU538+AV538+AW538)</f>
        <v/>
      </c>
      <c r="BB538" s="35" t="str">
        <f aca="false">IF($B538="","",MAX(0,AN538-Settings!$C$16)*Settings!$C$17)</f>
        <v/>
      </c>
      <c r="BC538" s="35" t="str">
        <f aca="false">IF($B538="","",BA538-BB538)</f>
        <v/>
      </c>
      <c r="BD538" s="35" t="str">
        <f aca="false">IF(OR($B538="",$A538=""),"",DAY(EOMONTH($A538,0))-COUNTA($F538:$AJ538))</f>
        <v/>
      </c>
    </row>
    <row r="539" customFormat="false" ht="15" hidden="false" customHeight="false" outlineLevel="0" collapsed="false">
      <c r="A539" s="32"/>
      <c r="B539" s="29"/>
      <c r="C539" s="10" t="str">
        <f aca="false">IF($B539="","",IFERROR(INDEX(M_name,MATCH($B539,M_emp,0)),"Code not found"))</f>
        <v/>
      </c>
      <c r="D539" s="10" t="str">
        <f aca="false">IF($B539="","",IFERROR(INDEX(M_dept,MATCH($B539,M_emp,0)),""))</f>
        <v/>
      </c>
      <c r="E539" s="10" t="str">
        <f aca="false">IF($B539="","",IFERROR(INDEX(M_loc,MATCH($B539,M_emp,0)),""))</f>
        <v/>
      </c>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4" t="str">
        <f aca="false">IF($B539="","",COUNTIF($F539:$AJ539,"P"))</f>
        <v/>
      </c>
      <c r="AL539" s="34" t="str">
        <f aca="false">IF($B539="","",COUNTIF($F539:$AJ539,"A"))</f>
        <v/>
      </c>
      <c r="AM539" s="34" t="str">
        <f aca="false">IF($B539="","",COUNTIF($F539:$AJ539,"HA"))</f>
        <v/>
      </c>
      <c r="AN539" s="34" t="str">
        <f aca="false">IF($B539="","",COUNTIF($F539:$AJ539,"L"))</f>
        <v/>
      </c>
      <c r="AO539" s="34" t="str">
        <f aca="false">IF($B539="","",COUNTIF($F539:$AJ539,"PL"))</f>
        <v/>
      </c>
      <c r="AP539" s="34" t="str">
        <f aca="false">IF($B539="","",COUNTIF($F539:$AJ539,"CL"))</f>
        <v/>
      </c>
      <c r="AQ539" s="34" t="str">
        <f aca="false">IF($B539="","",COUNTIF($F539:$AJ539,"SL"))</f>
        <v/>
      </c>
      <c r="AR539" s="34" t="str">
        <f aca="false">IF($B539="","",COUNTIF($F539:$AJ539,"CO"))</f>
        <v/>
      </c>
      <c r="AS539" s="34" t="str">
        <f aca="false">IF($B539="","",COUNTIF($F539:$AJ539,"HPL"))</f>
        <v/>
      </c>
      <c r="AT539" s="34" t="str">
        <f aca="false">IF($B539="","",COUNTIF($F539:$AJ539,"HCL"))</f>
        <v/>
      </c>
      <c r="AU539" s="34" t="str">
        <f aca="false">IF($B539="","",COUNTIF($F539:$AJ539,"WO"))</f>
        <v/>
      </c>
      <c r="AV539" s="34" t="str">
        <f aca="false">IF($B539="","",COUNTIF($F539:$AJ539,"PH"))</f>
        <v/>
      </c>
      <c r="AW539" s="34" t="str">
        <f aca="false">IF($B539="","",COUNTIF($F539:$AJ539,"TR"))</f>
        <v/>
      </c>
      <c r="AX539" s="35" t="str">
        <f aca="false">IF($B539="","",AO539+AS539/2)</f>
        <v/>
      </c>
      <c r="AY539" s="35" t="str">
        <f aca="false">IF($B539="","",AQ539)</f>
        <v/>
      </c>
      <c r="AZ539" s="35" t="str">
        <f aca="false">IF($B539="","",AP539+AT539/2)</f>
        <v/>
      </c>
      <c r="BA539" s="35" t="str">
        <f aca="false">IF($B539="","",AK539+AN539+AM539/2+AO539+AP539+AQ539+AR539+AS539+AT539+AU539+AV539+AW539)</f>
        <v/>
      </c>
      <c r="BB539" s="35" t="str">
        <f aca="false">IF($B539="","",MAX(0,AN539-Settings!$C$16)*Settings!$C$17)</f>
        <v/>
      </c>
      <c r="BC539" s="35" t="str">
        <f aca="false">IF($B539="","",BA539-BB539)</f>
        <v/>
      </c>
      <c r="BD539" s="35" t="str">
        <f aca="false">IF(OR($B539="",$A539=""),"",DAY(EOMONTH($A539,0))-COUNTA($F539:$AJ539))</f>
        <v/>
      </c>
    </row>
    <row r="540" customFormat="false" ht="15" hidden="false" customHeight="false" outlineLevel="0" collapsed="false">
      <c r="A540" s="32"/>
      <c r="B540" s="29"/>
      <c r="C540" s="10" t="str">
        <f aca="false">IF($B540="","",IFERROR(INDEX(M_name,MATCH($B540,M_emp,0)),"Code not found"))</f>
        <v/>
      </c>
      <c r="D540" s="10" t="str">
        <f aca="false">IF($B540="","",IFERROR(INDEX(M_dept,MATCH($B540,M_emp,0)),""))</f>
        <v/>
      </c>
      <c r="E540" s="10" t="str">
        <f aca="false">IF($B540="","",IFERROR(INDEX(M_loc,MATCH($B540,M_emp,0)),""))</f>
        <v/>
      </c>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4" t="str">
        <f aca="false">IF($B540="","",COUNTIF($F540:$AJ540,"P"))</f>
        <v/>
      </c>
      <c r="AL540" s="34" t="str">
        <f aca="false">IF($B540="","",COUNTIF($F540:$AJ540,"A"))</f>
        <v/>
      </c>
      <c r="AM540" s="34" t="str">
        <f aca="false">IF($B540="","",COUNTIF($F540:$AJ540,"HA"))</f>
        <v/>
      </c>
      <c r="AN540" s="34" t="str">
        <f aca="false">IF($B540="","",COUNTIF($F540:$AJ540,"L"))</f>
        <v/>
      </c>
      <c r="AO540" s="34" t="str">
        <f aca="false">IF($B540="","",COUNTIF($F540:$AJ540,"PL"))</f>
        <v/>
      </c>
      <c r="AP540" s="34" t="str">
        <f aca="false">IF($B540="","",COUNTIF($F540:$AJ540,"CL"))</f>
        <v/>
      </c>
      <c r="AQ540" s="34" t="str">
        <f aca="false">IF($B540="","",COUNTIF($F540:$AJ540,"SL"))</f>
        <v/>
      </c>
      <c r="AR540" s="34" t="str">
        <f aca="false">IF($B540="","",COUNTIF($F540:$AJ540,"CO"))</f>
        <v/>
      </c>
      <c r="AS540" s="34" t="str">
        <f aca="false">IF($B540="","",COUNTIF($F540:$AJ540,"HPL"))</f>
        <v/>
      </c>
      <c r="AT540" s="34" t="str">
        <f aca="false">IF($B540="","",COUNTIF($F540:$AJ540,"HCL"))</f>
        <v/>
      </c>
      <c r="AU540" s="34" t="str">
        <f aca="false">IF($B540="","",COUNTIF($F540:$AJ540,"WO"))</f>
        <v/>
      </c>
      <c r="AV540" s="34" t="str">
        <f aca="false">IF($B540="","",COUNTIF($F540:$AJ540,"PH"))</f>
        <v/>
      </c>
      <c r="AW540" s="34" t="str">
        <f aca="false">IF($B540="","",COUNTIF($F540:$AJ540,"TR"))</f>
        <v/>
      </c>
      <c r="AX540" s="35" t="str">
        <f aca="false">IF($B540="","",AO540+AS540/2)</f>
        <v/>
      </c>
      <c r="AY540" s="35" t="str">
        <f aca="false">IF($B540="","",AQ540)</f>
        <v/>
      </c>
      <c r="AZ540" s="35" t="str">
        <f aca="false">IF($B540="","",AP540+AT540/2)</f>
        <v/>
      </c>
      <c r="BA540" s="35" t="str">
        <f aca="false">IF($B540="","",AK540+AN540+AM540/2+AO540+AP540+AQ540+AR540+AS540+AT540+AU540+AV540+AW540)</f>
        <v/>
      </c>
      <c r="BB540" s="35" t="str">
        <f aca="false">IF($B540="","",MAX(0,AN540-Settings!$C$16)*Settings!$C$17)</f>
        <v/>
      </c>
      <c r="BC540" s="35" t="str">
        <f aca="false">IF($B540="","",BA540-BB540)</f>
        <v/>
      </c>
      <c r="BD540" s="35" t="str">
        <f aca="false">IF(OR($B540="",$A540=""),"",DAY(EOMONTH($A540,0))-COUNTA($F540:$AJ540))</f>
        <v/>
      </c>
    </row>
    <row r="541" customFormat="false" ht="15" hidden="false" customHeight="false" outlineLevel="0" collapsed="false">
      <c r="A541" s="32"/>
      <c r="B541" s="29"/>
      <c r="C541" s="10" t="str">
        <f aca="false">IF($B541="","",IFERROR(INDEX(M_name,MATCH($B541,M_emp,0)),"Code not found"))</f>
        <v/>
      </c>
      <c r="D541" s="10" t="str">
        <f aca="false">IF($B541="","",IFERROR(INDEX(M_dept,MATCH($B541,M_emp,0)),""))</f>
        <v/>
      </c>
      <c r="E541" s="10" t="str">
        <f aca="false">IF($B541="","",IFERROR(INDEX(M_loc,MATCH($B541,M_emp,0)),""))</f>
        <v/>
      </c>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4" t="str">
        <f aca="false">IF($B541="","",COUNTIF($F541:$AJ541,"P"))</f>
        <v/>
      </c>
      <c r="AL541" s="34" t="str">
        <f aca="false">IF($B541="","",COUNTIF($F541:$AJ541,"A"))</f>
        <v/>
      </c>
      <c r="AM541" s="34" t="str">
        <f aca="false">IF($B541="","",COUNTIF($F541:$AJ541,"HA"))</f>
        <v/>
      </c>
      <c r="AN541" s="34" t="str">
        <f aca="false">IF($B541="","",COUNTIF($F541:$AJ541,"L"))</f>
        <v/>
      </c>
      <c r="AO541" s="34" t="str">
        <f aca="false">IF($B541="","",COUNTIF($F541:$AJ541,"PL"))</f>
        <v/>
      </c>
      <c r="AP541" s="34" t="str">
        <f aca="false">IF($B541="","",COUNTIF($F541:$AJ541,"CL"))</f>
        <v/>
      </c>
      <c r="AQ541" s="34" t="str">
        <f aca="false">IF($B541="","",COUNTIF($F541:$AJ541,"SL"))</f>
        <v/>
      </c>
      <c r="AR541" s="34" t="str">
        <f aca="false">IF($B541="","",COUNTIF($F541:$AJ541,"CO"))</f>
        <v/>
      </c>
      <c r="AS541" s="34" t="str">
        <f aca="false">IF($B541="","",COUNTIF($F541:$AJ541,"HPL"))</f>
        <v/>
      </c>
      <c r="AT541" s="34" t="str">
        <f aca="false">IF($B541="","",COUNTIF($F541:$AJ541,"HCL"))</f>
        <v/>
      </c>
      <c r="AU541" s="34" t="str">
        <f aca="false">IF($B541="","",COUNTIF($F541:$AJ541,"WO"))</f>
        <v/>
      </c>
      <c r="AV541" s="34" t="str">
        <f aca="false">IF($B541="","",COUNTIF($F541:$AJ541,"PH"))</f>
        <v/>
      </c>
      <c r="AW541" s="34" t="str">
        <f aca="false">IF($B541="","",COUNTIF($F541:$AJ541,"TR"))</f>
        <v/>
      </c>
      <c r="AX541" s="35" t="str">
        <f aca="false">IF($B541="","",AO541+AS541/2)</f>
        <v/>
      </c>
      <c r="AY541" s="35" t="str">
        <f aca="false">IF($B541="","",AQ541)</f>
        <v/>
      </c>
      <c r="AZ541" s="35" t="str">
        <f aca="false">IF($B541="","",AP541+AT541/2)</f>
        <v/>
      </c>
      <c r="BA541" s="35" t="str">
        <f aca="false">IF($B541="","",AK541+AN541+AM541/2+AO541+AP541+AQ541+AR541+AS541+AT541+AU541+AV541+AW541)</f>
        <v/>
      </c>
      <c r="BB541" s="35" t="str">
        <f aca="false">IF($B541="","",MAX(0,AN541-Settings!$C$16)*Settings!$C$17)</f>
        <v/>
      </c>
      <c r="BC541" s="35" t="str">
        <f aca="false">IF($B541="","",BA541-BB541)</f>
        <v/>
      </c>
      <c r="BD541" s="35" t="str">
        <f aca="false">IF(OR($B541="",$A541=""),"",DAY(EOMONTH($A541,0))-COUNTA($F541:$AJ541))</f>
        <v/>
      </c>
    </row>
    <row r="542" customFormat="false" ht="15" hidden="false" customHeight="false" outlineLevel="0" collapsed="false">
      <c r="A542" s="32"/>
      <c r="B542" s="29"/>
      <c r="C542" s="10" t="str">
        <f aca="false">IF($B542="","",IFERROR(INDEX(M_name,MATCH($B542,M_emp,0)),"Code not found"))</f>
        <v/>
      </c>
      <c r="D542" s="10" t="str">
        <f aca="false">IF($B542="","",IFERROR(INDEX(M_dept,MATCH($B542,M_emp,0)),""))</f>
        <v/>
      </c>
      <c r="E542" s="10" t="str">
        <f aca="false">IF($B542="","",IFERROR(INDEX(M_loc,MATCH($B542,M_emp,0)),""))</f>
        <v/>
      </c>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4" t="str">
        <f aca="false">IF($B542="","",COUNTIF($F542:$AJ542,"P"))</f>
        <v/>
      </c>
      <c r="AL542" s="34" t="str">
        <f aca="false">IF($B542="","",COUNTIF($F542:$AJ542,"A"))</f>
        <v/>
      </c>
      <c r="AM542" s="34" t="str">
        <f aca="false">IF($B542="","",COUNTIF($F542:$AJ542,"HA"))</f>
        <v/>
      </c>
      <c r="AN542" s="34" t="str">
        <f aca="false">IF($B542="","",COUNTIF($F542:$AJ542,"L"))</f>
        <v/>
      </c>
      <c r="AO542" s="34" t="str">
        <f aca="false">IF($B542="","",COUNTIF($F542:$AJ542,"PL"))</f>
        <v/>
      </c>
      <c r="AP542" s="34" t="str">
        <f aca="false">IF($B542="","",COUNTIF($F542:$AJ542,"CL"))</f>
        <v/>
      </c>
      <c r="AQ542" s="34" t="str">
        <f aca="false">IF($B542="","",COUNTIF($F542:$AJ542,"SL"))</f>
        <v/>
      </c>
      <c r="AR542" s="34" t="str">
        <f aca="false">IF($B542="","",COUNTIF($F542:$AJ542,"CO"))</f>
        <v/>
      </c>
      <c r="AS542" s="34" t="str">
        <f aca="false">IF($B542="","",COUNTIF($F542:$AJ542,"HPL"))</f>
        <v/>
      </c>
      <c r="AT542" s="34" t="str">
        <f aca="false">IF($B542="","",COUNTIF($F542:$AJ542,"HCL"))</f>
        <v/>
      </c>
      <c r="AU542" s="34" t="str">
        <f aca="false">IF($B542="","",COUNTIF($F542:$AJ542,"WO"))</f>
        <v/>
      </c>
      <c r="AV542" s="34" t="str">
        <f aca="false">IF($B542="","",COUNTIF($F542:$AJ542,"PH"))</f>
        <v/>
      </c>
      <c r="AW542" s="34" t="str">
        <f aca="false">IF($B542="","",COUNTIF($F542:$AJ542,"TR"))</f>
        <v/>
      </c>
      <c r="AX542" s="35" t="str">
        <f aca="false">IF($B542="","",AO542+AS542/2)</f>
        <v/>
      </c>
      <c r="AY542" s="35" t="str">
        <f aca="false">IF($B542="","",AQ542)</f>
        <v/>
      </c>
      <c r="AZ542" s="35" t="str">
        <f aca="false">IF($B542="","",AP542+AT542/2)</f>
        <v/>
      </c>
      <c r="BA542" s="35" t="str">
        <f aca="false">IF($B542="","",AK542+AN542+AM542/2+AO542+AP542+AQ542+AR542+AS542+AT542+AU542+AV542+AW542)</f>
        <v/>
      </c>
      <c r="BB542" s="35" t="str">
        <f aca="false">IF($B542="","",MAX(0,AN542-Settings!$C$16)*Settings!$C$17)</f>
        <v/>
      </c>
      <c r="BC542" s="35" t="str">
        <f aca="false">IF($B542="","",BA542-BB542)</f>
        <v/>
      </c>
      <c r="BD542" s="35" t="str">
        <f aca="false">IF(OR($B542="",$A542=""),"",DAY(EOMONTH($A542,0))-COUNTA($F542:$AJ542))</f>
        <v/>
      </c>
    </row>
    <row r="543" customFormat="false" ht="15" hidden="false" customHeight="false" outlineLevel="0" collapsed="false">
      <c r="A543" s="32"/>
      <c r="B543" s="29"/>
      <c r="C543" s="10" t="str">
        <f aca="false">IF($B543="","",IFERROR(INDEX(M_name,MATCH($B543,M_emp,0)),"Code not found"))</f>
        <v/>
      </c>
      <c r="D543" s="10" t="str">
        <f aca="false">IF($B543="","",IFERROR(INDEX(M_dept,MATCH($B543,M_emp,0)),""))</f>
        <v/>
      </c>
      <c r="E543" s="10" t="str">
        <f aca="false">IF($B543="","",IFERROR(INDEX(M_loc,MATCH($B543,M_emp,0)),""))</f>
        <v/>
      </c>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4" t="str">
        <f aca="false">IF($B543="","",COUNTIF($F543:$AJ543,"P"))</f>
        <v/>
      </c>
      <c r="AL543" s="34" t="str">
        <f aca="false">IF($B543="","",COUNTIF($F543:$AJ543,"A"))</f>
        <v/>
      </c>
      <c r="AM543" s="34" t="str">
        <f aca="false">IF($B543="","",COUNTIF($F543:$AJ543,"HA"))</f>
        <v/>
      </c>
      <c r="AN543" s="34" t="str">
        <f aca="false">IF($B543="","",COUNTIF($F543:$AJ543,"L"))</f>
        <v/>
      </c>
      <c r="AO543" s="34" t="str">
        <f aca="false">IF($B543="","",COUNTIF($F543:$AJ543,"PL"))</f>
        <v/>
      </c>
      <c r="AP543" s="34" t="str">
        <f aca="false">IF($B543="","",COUNTIF($F543:$AJ543,"CL"))</f>
        <v/>
      </c>
      <c r="AQ543" s="34" t="str">
        <f aca="false">IF($B543="","",COUNTIF($F543:$AJ543,"SL"))</f>
        <v/>
      </c>
      <c r="AR543" s="34" t="str">
        <f aca="false">IF($B543="","",COUNTIF($F543:$AJ543,"CO"))</f>
        <v/>
      </c>
      <c r="AS543" s="34" t="str">
        <f aca="false">IF($B543="","",COUNTIF($F543:$AJ543,"HPL"))</f>
        <v/>
      </c>
      <c r="AT543" s="34" t="str">
        <f aca="false">IF($B543="","",COUNTIF($F543:$AJ543,"HCL"))</f>
        <v/>
      </c>
      <c r="AU543" s="34" t="str">
        <f aca="false">IF($B543="","",COUNTIF($F543:$AJ543,"WO"))</f>
        <v/>
      </c>
      <c r="AV543" s="34" t="str">
        <f aca="false">IF($B543="","",COUNTIF($F543:$AJ543,"PH"))</f>
        <v/>
      </c>
      <c r="AW543" s="34" t="str">
        <f aca="false">IF($B543="","",COUNTIF($F543:$AJ543,"TR"))</f>
        <v/>
      </c>
      <c r="AX543" s="35" t="str">
        <f aca="false">IF($B543="","",AO543+AS543/2)</f>
        <v/>
      </c>
      <c r="AY543" s="35" t="str">
        <f aca="false">IF($B543="","",AQ543)</f>
        <v/>
      </c>
      <c r="AZ543" s="35" t="str">
        <f aca="false">IF($B543="","",AP543+AT543/2)</f>
        <v/>
      </c>
      <c r="BA543" s="35" t="str">
        <f aca="false">IF($B543="","",AK543+AN543+AM543/2+AO543+AP543+AQ543+AR543+AS543+AT543+AU543+AV543+AW543)</f>
        <v/>
      </c>
      <c r="BB543" s="35" t="str">
        <f aca="false">IF($B543="","",MAX(0,AN543-Settings!$C$16)*Settings!$C$17)</f>
        <v/>
      </c>
      <c r="BC543" s="35" t="str">
        <f aca="false">IF($B543="","",BA543-BB543)</f>
        <v/>
      </c>
      <c r="BD543" s="35" t="str">
        <f aca="false">IF(OR($B543="",$A543=""),"",DAY(EOMONTH($A543,0))-COUNTA($F543:$AJ543))</f>
        <v/>
      </c>
    </row>
    <row r="544" customFormat="false" ht="15" hidden="false" customHeight="false" outlineLevel="0" collapsed="false">
      <c r="A544" s="32"/>
      <c r="B544" s="29"/>
      <c r="C544" s="10" t="str">
        <f aca="false">IF($B544="","",IFERROR(INDEX(M_name,MATCH($B544,M_emp,0)),"Code not found"))</f>
        <v/>
      </c>
      <c r="D544" s="10" t="str">
        <f aca="false">IF($B544="","",IFERROR(INDEX(M_dept,MATCH($B544,M_emp,0)),""))</f>
        <v/>
      </c>
      <c r="E544" s="10" t="str">
        <f aca="false">IF($B544="","",IFERROR(INDEX(M_loc,MATCH($B544,M_emp,0)),""))</f>
        <v/>
      </c>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4" t="str">
        <f aca="false">IF($B544="","",COUNTIF($F544:$AJ544,"P"))</f>
        <v/>
      </c>
      <c r="AL544" s="34" t="str">
        <f aca="false">IF($B544="","",COUNTIF($F544:$AJ544,"A"))</f>
        <v/>
      </c>
      <c r="AM544" s="34" t="str">
        <f aca="false">IF($B544="","",COUNTIF($F544:$AJ544,"HA"))</f>
        <v/>
      </c>
      <c r="AN544" s="34" t="str">
        <f aca="false">IF($B544="","",COUNTIF($F544:$AJ544,"L"))</f>
        <v/>
      </c>
      <c r="AO544" s="34" t="str">
        <f aca="false">IF($B544="","",COUNTIF($F544:$AJ544,"PL"))</f>
        <v/>
      </c>
      <c r="AP544" s="34" t="str">
        <f aca="false">IF($B544="","",COUNTIF($F544:$AJ544,"CL"))</f>
        <v/>
      </c>
      <c r="AQ544" s="34" t="str">
        <f aca="false">IF($B544="","",COUNTIF($F544:$AJ544,"SL"))</f>
        <v/>
      </c>
      <c r="AR544" s="34" t="str">
        <f aca="false">IF($B544="","",COUNTIF($F544:$AJ544,"CO"))</f>
        <v/>
      </c>
      <c r="AS544" s="34" t="str">
        <f aca="false">IF($B544="","",COUNTIF($F544:$AJ544,"HPL"))</f>
        <v/>
      </c>
      <c r="AT544" s="34" t="str">
        <f aca="false">IF($B544="","",COUNTIF($F544:$AJ544,"HCL"))</f>
        <v/>
      </c>
      <c r="AU544" s="34" t="str">
        <f aca="false">IF($B544="","",COUNTIF($F544:$AJ544,"WO"))</f>
        <v/>
      </c>
      <c r="AV544" s="34" t="str">
        <f aca="false">IF($B544="","",COUNTIF($F544:$AJ544,"PH"))</f>
        <v/>
      </c>
      <c r="AW544" s="34" t="str">
        <f aca="false">IF($B544="","",COUNTIF($F544:$AJ544,"TR"))</f>
        <v/>
      </c>
      <c r="AX544" s="35" t="str">
        <f aca="false">IF($B544="","",AO544+AS544/2)</f>
        <v/>
      </c>
      <c r="AY544" s="35" t="str">
        <f aca="false">IF($B544="","",AQ544)</f>
        <v/>
      </c>
      <c r="AZ544" s="35" t="str">
        <f aca="false">IF($B544="","",AP544+AT544/2)</f>
        <v/>
      </c>
      <c r="BA544" s="35" t="str">
        <f aca="false">IF($B544="","",AK544+AN544+AM544/2+AO544+AP544+AQ544+AR544+AS544+AT544+AU544+AV544+AW544)</f>
        <v/>
      </c>
      <c r="BB544" s="35" t="str">
        <f aca="false">IF($B544="","",MAX(0,AN544-Settings!$C$16)*Settings!$C$17)</f>
        <v/>
      </c>
      <c r="BC544" s="35" t="str">
        <f aca="false">IF($B544="","",BA544-BB544)</f>
        <v/>
      </c>
      <c r="BD544" s="35" t="str">
        <f aca="false">IF(OR($B544="",$A544=""),"",DAY(EOMONTH($A544,0))-COUNTA($F544:$AJ544))</f>
        <v/>
      </c>
    </row>
    <row r="545" customFormat="false" ht="15" hidden="false" customHeight="false" outlineLevel="0" collapsed="false">
      <c r="A545" s="32"/>
      <c r="B545" s="29"/>
      <c r="C545" s="10" t="str">
        <f aca="false">IF($B545="","",IFERROR(INDEX(M_name,MATCH($B545,M_emp,0)),"Code not found"))</f>
        <v/>
      </c>
      <c r="D545" s="10" t="str">
        <f aca="false">IF($B545="","",IFERROR(INDEX(M_dept,MATCH($B545,M_emp,0)),""))</f>
        <v/>
      </c>
      <c r="E545" s="10" t="str">
        <f aca="false">IF($B545="","",IFERROR(INDEX(M_loc,MATCH($B545,M_emp,0)),""))</f>
        <v/>
      </c>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4" t="str">
        <f aca="false">IF($B545="","",COUNTIF($F545:$AJ545,"P"))</f>
        <v/>
      </c>
      <c r="AL545" s="34" t="str">
        <f aca="false">IF($B545="","",COUNTIF($F545:$AJ545,"A"))</f>
        <v/>
      </c>
      <c r="AM545" s="34" t="str">
        <f aca="false">IF($B545="","",COUNTIF($F545:$AJ545,"HA"))</f>
        <v/>
      </c>
      <c r="AN545" s="34" t="str">
        <f aca="false">IF($B545="","",COUNTIF($F545:$AJ545,"L"))</f>
        <v/>
      </c>
      <c r="AO545" s="34" t="str">
        <f aca="false">IF($B545="","",COUNTIF($F545:$AJ545,"PL"))</f>
        <v/>
      </c>
      <c r="AP545" s="34" t="str">
        <f aca="false">IF($B545="","",COUNTIF($F545:$AJ545,"CL"))</f>
        <v/>
      </c>
      <c r="AQ545" s="34" t="str">
        <f aca="false">IF($B545="","",COUNTIF($F545:$AJ545,"SL"))</f>
        <v/>
      </c>
      <c r="AR545" s="34" t="str">
        <f aca="false">IF($B545="","",COUNTIF($F545:$AJ545,"CO"))</f>
        <v/>
      </c>
      <c r="AS545" s="34" t="str">
        <f aca="false">IF($B545="","",COUNTIF($F545:$AJ545,"HPL"))</f>
        <v/>
      </c>
      <c r="AT545" s="34" t="str">
        <f aca="false">IF($B545="","",COUNTIF($F545:$AJ545,"HCL"))</f>
        <v/>
      </c>
      <c r="AU545" s="34" t="str">
        <f aca="false">IF($B545="","",COUNTIF($F545:$AJ545,"WO"))</f>
        <v/>
      </c>
      <c r="AV545" s="34" t="str">
        <f aca="false">IF($B545="","",COUNTIF($F545:$AJ545,"PH"))</f>
        <v/>
      </c>
      <c r="AW545" s="34" t="str">
        <f aca="false">IF($B545="","",COUNTIF($F545:$AJ545,"TR"))</f>
        <v/>
      </c>
      <c r="AX545" s="35" t="str">
        <f aca="false">IF($B545="","",AO545+AS545/2)</f>
        <v/>
      </c>
      <c r="AY545" s="35" t="str">
        <f aca="false">IF($B545="","",AQ545)</f>
        <v/>
      </c>
      <c r="AZ545" s="35" t="str">
        <f aca="false">IF($B545="","",AP545+AT545/2)</f>
        <v/>
      </c>
      <c r="BA545" s="35" t="str">
        <f aca="false">IF($B545="","",AK545+AN545+AM545/2+AO545+AP545+AQ545+AR545+AS545+AT545+AU545+AV545+AW545)</f>
        <v/>
      </c>
      <c r="BB545" s="35" t="str">
        <f aca="false">IF($B545="","",MAX(0,AN545-Settings!$C$16)*Settings!$C$17)</f>
        <v/>
      </c>
      <c r="BC545" s="35" t="str">
        <f aca="false">IF($B545="","",BA545-BB545)</f>
        <v/>
      </c>
      <c r="BD545" s="35" t="str">
        <f aca="false">IF(OR($B545="",$A545=""),"",DAY(EOMONTH($A545,0))-COUNTA($F545:$AJ545))</f>
        <v/>
      </c>
    </row>
    <row r="546" customFormat="false" ht="15" hidden="false" customHeight="false" outlineLevel="0" collapsed="false">
      <c r="A546" s="32"/>
      <c r="B546" s="29"/>
      <c r="C546" s="10" t="str">
        <f aca="false">IF($B546="","",IFERROR(INDEX(M_name,MATCH($B546,M_emp,0)),"Code not found"))</f>
        <v/>
      </c>
      <c r="D546" s="10" t="str">
        <f aca="false">IF($B546="","",IFERROR(INDEX(M_dept,MATCH($B546,M_emp,0)),""))</f>
        <v/>
      </c>
      <c r="E546" s="10" t="str">
        <f aca="false">IF($B546="","",IFERROR(INDEX(M_loc,MATCH($B546,M_emp,0)),""))</f>
        <v/>
      </c>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4" t="str">
        <f aca="false">IF($B546="","",COUNTIF($F546:$AJ546,"P"))</f>
        <v/>
      </c>
      <c r="AL546" s="34" t="str">
        <f aca="false">IF($B546="","",COUNTIF($F546:$AJ546,"A"))</f>
        <v/>
      </c>
      <c r="AM546" s="34" t="str">
        <f aca="false">IF($B546="","",COUNTIF($F546:$AJ546,"HA"))</f>
        <v/>
      </c>
      <c r="AN546" s="34" t="str">
        <f aca="false">IF($B546="","",COUNTIF($F546:$AJ546,"L"))</f>
        <v/>
      </c>
      <c r="AO546" s="34" t="str">
        <f aca="false">IF($B546="","",COUNTIF($F546:$AJ546,"PL"))</f>
        <v/>
      </c>
      <c r="AP546" s="34" t="str">
        <f aca="false">IF($B546="","",COUNTIF($F546:$AJ546,"CL"))</f>
        <v/>
      </c>
      <c r="AQ546" s="34" t="str">
        <f aca="false">IF($B546="","",COUNTIF($F546:$AJ546,"SL"))</f>
        <v/>
      </c>
      <c r="AR546" s="34" t="str">
        <f aca="false">IF($B546="","",COUNTIF($F546:$AJ546,"CO"))</f>
        <v/>
      </c>
      <c r="AS546" s="34" t="str">
        <f aca="false">IF($B546="","",COUNTIF($F546:$AJ546,"HPL"))</f>
        <v/>
      </c>
      <c r="AT546" s="34" t="str">
        <f aca="false">IF($B546="","",COUNTIF($F546:$AJ546,"HCL"))</f>
        <v/>
      </c>
      <c r="AU546" s="34" t="str">
        <f aca="false">IF($B546="","",COUNTIF($F546:$AJ546,"WO"))</f>
        <v/>
      </c>
      <c r="AV546" s="34" t="str">
        <f aca="false">IF($B546="","",COUNTIF($F546:$AJ546,"PH"))</f>
        <v/>
      </c>
      <c r="AW546" s="34" t="str">
        <f aca="false">IF($B546="","",COUNTIF($F546:$AJ546,"TR"))</f>
        <v/>
      </c>
      <c r="AX546" s="35" t="str">
        <f aca="false">IF($B546="","",AO546+AS546/2)</f>
        <v/>
      </c>
      <c r="AY546" s="35" t="str">
        <f aca="false">IF($B546="","",AQ546)</f>
        <v/>
      </c>
      <c r="AZ546" s="35" t="str">
        <f aca="false">IF($B546="","",AP546+AT546/2)</f>
        <v/>
      </c>
      <c r="BA546" s="35" t="str">
        <f aca="false">IF($B546="","",AK546+AN546+AM546/2+AO546+AP546+AQ546+AR546+AS546+AT546+AU546+AV546+AW546)</f>
        <v/>
      </c>
      <c r="BB546" s="35" t="str">
        <f aca="false">IF($B546="","",MAX(0,AN546-Settings!$C$16)*Settings!$C$17)</f>
        <v/>
      </c>
      <c r="BC546" s="35" t="str">
        <f aca="false">IF($B546="","",BA546-BB546)</f>
        <v/>
      </c>
      <c r="BD546" s="35" t="str">
        <f aca="false">IF(OR($B546="",$A546=""),"",DAY(EOMONTH($A546,0))-COUNTA($F546:$AJ546))</f>
        <v/>
      </c>
    </row>
    <row r="547" customFormat="false" ht="15" hidden="false" customHeight="false" outlineLevel="0" collapsed="false">
      <c r="A547" s="32"/>
      <c r="B547" s="29"/>
      <c r="C547" s="10" t="str">
        <f aca="false">IF($B547="","",IFERROR(INDEX(M_name,MATCH($B547,M_emp,0)),"Code not found"))</f>
        <v/>
      </c>
      <c r="D547" s="10" t="str">
        <f aca="false">IF($B547="","",IFERROR(INDEX(M_dept,MATCH($B547,M_emp,0)),""))</f>
        <v/>
      </c>
      <c r="E547" s="10" t="str">
        <f aca="false">IF($B547="","",IFERROR(INDEX(M_loc,MATCH($B547,M_emp,0)),""))</f>
        <v/>
      </c>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4" t="str">
        <f aca="false">IF($B547="","",COUNTIF($F547:$AJ547,"P"))</f>
        <v/>
      </c>
      <c r="AL547" s="34" t="str">
        <f aca="false">IF($B547="","",COUNTIF($F547:$AJ547,"A"))</f>
        <v/>
      </c>
      <c r="AM547" s="34" t="str">
        <f aca="false">IF($B547="","",COUNTIF($F547:$AJ547,"HA"))</f>
        <v/>
      </c>
      <c r="AN547" s="34" t="str">
        <f aca="false">IF($B547="","",COUNTIF($F547:$AJ547,"L"))</f>
        <v/>
      </c>
      <c r="AO547" s="34" t="str">
        <f aca="false">IF($B547="","",COUNTIF($F547:$AJ547,"PL"))</f>
        <v/>
      </c>
      <c r="AP547" s="34" t="str">
        <f aca="false">IF($B547="","",COUNTIF($F547:$AJ547,"CL"))</f>
        <v/>
      </c>
      <c r="AQ547" s="34" t="str">
        <f aca="false">IF($B547="","",COUNTIF($F547:$AJ547,"SL"))</f>
        <v/>
      </c>
      <c r="AR547" s="34" t="str">
        <f aca="false">IF($B547="","",COUNTIF($F547:$AJ547,"CO"))</f>
        <v/>
      </c>
      <c r="AS547" s="34" t="str">
        <f aca="false">IF($B547="","",COUNTIF($F547:$AJ547,"HPL"))</f>
        <v/>
      </c>
      <c r="AT547" s="34" t="str">
        <f aca="false">IF($B547="","",COUNTIF($F547:$AJ547,"HCL"))</f>
        <v/>
      </c>
      <c r="AU547" s="34" t="str">
        <f aca="false">IF($B547="","",COUNTIF($F547:$AJ547,"WO"))</f>
        <v/>
      </c>
      <c r="AV547" s="34" t="str">
        <f aca="false">IF($B547="","",COUNTIF($F547:$AJ547,"PH"))</f>
        <v/>
      </c>
      <c r="AW547" s="34" t="str">
        <f aca="false">IF($B547="","",COUNTIF($F547:$AJ547,"TR"))</f>
        <v/>
      </c>
      <c r="AX547" s="35" t="str">
        <f aca="false">IF($B547="","",AO547+AS547/2)</f>
        <v/>
      </c>
      <c r="AY547" s="35" t="str">
        <f aca="false">IF($B547="","",AQ547)</f>
        <v/>
      </c>
      <c r="AZ547" s="35" t="str">
        <f aca="false">IF($B547="","",AP547+AT547/2)</f>
        <v/>
      </c>
      <c r="BA547" s="35" t="str">
        <f aca="false">IF($B547="","",AK547+AN547+AM547/2+AO547+AP547+AQ547+AR547+AS547+AT547+AU547+AV547+AW547)</f>
        <v/>
      </c>
      <c r="BB547" s="35" t="str">
        <f aca="false">IF($B547="","",MAX(0,AN547-Settings!$C$16)*Settings!$C$17)</f>
        <v/>
      </c>
      <c r="BC547" s="35" t="str">
        <f aca="false">IF($B547="","",BA547-BB547)</f>
        <v/>
      </c>
      <c r="BD547" s="35" t="str">
        <f aca="false">IF(OR($B547="",$A547=""),"",DAY(EOMONTH($A547,0))-COUNTA($F547:$AJ547))</f>
        <v/>
      </c>
    </row>
    <row r="548" customFormat="false" ht="15" hidden="false" customHeight="false" outlineLevel="0" collapsed="false">
      <c r="A548" s="32"/>
      <c r="B548" s="29"/>
      <c r="C548" s="10" t="str">
        <f aca="false">IF($B548="","",IFERROR(INDEX(M_name,MATCH($B548,M_emp,0)),"Code not found"))</f>
        <v/>
      </c>
      <c r="D548" s="10" t="str">
        <f aca="false">IF($B548="","",IFERROR(INDEX(M_dept,MATCH($B548,M_emp,0)),""))</f>
        <v/>
      </c>
      <c r="E548" s="10" t="str">
        <f aca="false">IF($B548="","",IFERROR(INDEX(M_loc,MATCH($B548,M_emp,0)),""))</f>
        <v/>
      </c>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4" t="str">
        <f aca="false">IF($B548="","",COUNTIF($F548:$AJ548,"P"))</f>
        <v/>
      </c>
      <c r="AL548" s="34" t="str">
        <f aca="false">IF($B548="","",COUNTIF($F548:$AJ548,"A"))</f>
        <v/>
      </c>
      <c r="AM548" s="34" t="str">
        <f aca="false">IF($B548="","",COUNTIF($F548:$AJ548,"HA"))</f>
        <v/>
      </c>
      <c r="AN548" s="34" t="str">
        <f aca="false">IF($B548="","",COUNTIF($F548:$AJ548,"L"))</f>
        <v/>
      </c>
      <c r="AO548" s="34" t="str">
        <f aca="false">IF($B548="","",COUNTIF($F548:$AJ548,"PL"))</f>
        <v/>
      </c>
      <c r="AP548" s="34" t="str">
        <f aca="false">IF($B548="","",COUNTIF($F548:$AJ548,"CL"))</f>
        <v/>
      </c>
      <c r="AQ548" s="34" t="str">
        <f aca="false">IF($B548="","",COUNTIF($F548:$AJ548,"SL"))</f>
        <v/>
      </c>
      <c r="AR548" s="34" t="str">
        <f aca="false">IF($B548="","",COUNTIF($F548:$AJ548,"CO"))</f>
        <v/>
      </c>
      <c r="AS548" s="34" t="str">
        <f aca="false">IF($B548="","",COUNTIF($F548:$AJ548,"HPL"))</f>
        <v/>
      </c>
      <c r="AT548" s="34" t="str">
        <f aca="false">IF($B548="","",COUNTIF($F548:$AJ548,"HCL"))</f>
        <v/>
      </c>
      <c r="AU548" s="34" t="str">
        <f aca="false">IF($B548="","",COUNTIF($F548:$AJ548,"WO"))</f>
        <v/>
      </c>
      <c r="AV548" s="34" t="str">
        <f aca="false">IF($B548="","",COUNTIF($F548:$AJ548,"PH"))</f>
        <v/>
      </c>
      <c r="AW548" s="34" t="str">
        <f aca="false">IF($B548="","",COUNTIF($F548:$AJ548,"TR"))</f>
        <v/>
      </c>
      <c r="AX548" s="35" t="str">
        <f aca="false">IF($B548="","",AO548+AS548/2)</f>
        <v/>
      </c>
      <c r="AY548" s="35" t="str">
        <f aca="false">IF($B548="","",AQ548)</f>
        <v/>
      </c>
      <c r="AZ548" s="35" t="str">
        <f aca="false">IF($B548="","",AP548+AT548/2)</f>
        <v/>
      </c>
      <c r="BA548" s="35" t="str">
        <f aca="false">IF($B548="","",AK548+AN548+AM548/2+AO548+AP548+AQ548+AR548+AS548+AT548+AU548+AV548+AW548)</f>
        <v/>
      </c>
      <c r="BB548" s="35" t="str">
        <f aca="false">IF($B548="","",MAX(0,AN548-Settings!$C$16)*Settings!$C$17)</f>
        <v/>
      </c>
      <c r="BC548" s="35" t="str">
        <f aca="false">IF($B548="","",BA548-BB548)</f>
        <v/>
      </c>
      <c r="BD548" s="35" t="str">
        <f aca="false">IF(OR($B548="",$A548=""),"",DAY(EOMONTH($A548,0))-COUNTA($F548:$AJ548))</f>
        <v/>
      </c>
    </row>
    <row r="549" customFormat="false" ht="15" hidden="false" customHeight="false" outlineLevel="0" collapsed="false">
      <c r="A549" s="32"/>
      <c r="B549" s="29"/>
      <c r="C549" s="10" t="str">
        <f aca="false">IF($B549="","",IFERROR(INDEX(M_name,MATCH($B549,M_emp,0)),"Code not found"))</f>
        <v/>
      </c>
      <c r="D549" s="10" t="str">
        <f aca="false">IF($B549="","",IFERROR(INDEX(M_dept,MATCH($B549,M_emp,0)),""))</f>
        <v/>
      </c>
      <c r="E549" s="10" t="str">
        <f aca="false">IF($B549="","",IFERROR(INDEX(M_loc,MATCH($B549,M_emp,0)),""))</f>
        <v/>
      </c>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4" t="str">
        <f aca="false">IF($B549="","",COUNTIF($F549:$AJ549,"P"))</f>
        <v/>
      </c>
      <c r="AL549" s="34" t="str">
        <f aca="false">IF($B549="","",COUNTIF($F549:$AJ549,"A"))</f>
        <v/>
      </c>
      <c r="AM549" s="34" t="str">
        <f aca="false">IF($B549="","",COUNTIF($F549:$AJ549,"HA"))</f>
        <v/>
      </c>
      <c r="AN549" s="34" t="str">
        <f aca="false">IF($B549="","",COUNTIF($F549:$AJ549,"L"))</f>
        <v/>
      </c>
      <c r="AO549" s="34" t="str">
        <f aca="false">IF($B549="","",COUNTIF($F549:$AJ549,"PL"))</f>
        <v/>
      </c>
      <c r="AP549" s="34" t="str">
        <f aca="false">IF($B549="","",COUNTIF($F549:$AJ549,"CL"))</f>
        <v/>
      </c>
      <c r="AQ549" s="34" t="str">
        <f aca="false">IF($B549="","",COUNTIF($F549:$AJ549,"SL"))</f>
        <v/>
      </c>
      <c r="AR549" s="34" t="str">
        <f aca="false">IF($B549="","",COUNTIF($F549:$AJ549,"CO"))</f>
        <v/>
      </c>
      <c r="AS549" s="34" t="str">
        <f aca="false">IF($B549="","",COUNTIF($F549:$AJ549,"HPL"))</f>
        <v/>
      </c>
      <c r="AT549" s="34" t="str">
        <f aca="false">IF($B549="","",COUNTIF($F549:$AJ549,"HCL"))</f>
        <v/>
      </c>
      <c r="AU549" s="34" t="str">
        <f aca="false">IF($B549="","",COUNTIF($F549:$AJ549,"WO"))</f>
        <v/>
      </c>
      <c r="AV549" s="34" t="str">
        <f aca="false">IF($B549="","",COUNTIF($F549:$AJ549,"PH"))</f>
        <v/>
      </c>
      <c r="AW549" s="34" t="str">
        <f aca="false">IF($B549="","",COUNTIF($F549:$AJ549,"TR"))</f>
        <v/>
      </c>
      <c r="AX549" s="35" t="str">
        <f aca="false">IF($B549="","",AO549+AS549/2)</f>
        <v/>
      </c>
      <c r="AY549" s="35" t="str">
        <f aca="false">IF($B549="","",AQ549)</f>
        <v/>
      </c>
      <c r="AZ549" s="35" t="str">
        <f aca="false">IF($B549="","",AP549+AT549/2)</f>
        <v/>
      </c>
      <c r="BA549" s="35" t="str">
        <f aca="false">IF($B549="","",AK549+AN549+AM549/2+AO549+AP549+AQ549+AR549+AS549+AT549+AU549+AV549+AW549)</f>
        <v/>
      </c>
      <c r="BB549" s="35" t="str">
        <f aca="false">IF($B549="","",MAX(0,AN549-Settings!$C$16)*Settings!$C$17)</f>
        <v/>
      </c>
      <c r="BC549" s="35" t="str">
        <f aca="false">IF($B549="","",BA549-BB549)</f>
        <v/>
      </c>
      <c r="BD549" s="35" t="str">
        <f aca="false">IF(OR($B549="",$A549=""),"",DAY(EOMONTH($A549,0))-COUNTA($F549:$AJ549))</f>
        <v/>
      </c>
    </row>
    <row r="550" customFormat="false" ht="15" hidden="false" customHeight="false" outlineLevel="0" collapsed="false">
      <c r="A550" s="32"/>
      <c r="B550" s="29"/>
      <c r="C550" s="10" t="str">
        <f aca="false">IF($B550="","",IFERROR(INDEX(M_name,MATCH($B550,M_emp,0)),"Code not found"))</f>
        <v/>
      </c>
      <c r="D550" s="10" t="str">
        <f aca="false">IF($B550="","",IFERROR(INDEX(M_dept,MATCH($B550,M_emp,0)),""))</f>
        <v/>
      </c>
      <c r="E550" s="10" t="str">
        <f aca="false">IF($B550="","",IFERROR(INDEX(M_loc,MATCH($B550,M_emp,0)),""))</f>
        <v/>
      </c>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4" t="str">
        <f aca="false">IF($B550="","",COUNTIF($F550:$AJ550,"P"))</f>
        <v/>
      </c>
      <c r="AL550" s="34" t="str">
        <f aca="false">IF($B550="","",COUNTIF($F550:$AJ550,"A"))</f>
        <v/>
      </c>
      <c r="AM550" s="34" t="str">
        <f aca="false">IF($B550="","",COUNTIF($F550:$AJ550,"HA"))</f>
        <v/>
      </c>
      <c r="AN550" s="34" t="str">
        <f aca="false">IF($B550="","",COUNTIF($F550:$AJ550,"L"))</f>
        <v/>
      </c>
      <c r="AO550" s="34" t="str">
        <f aca="false">IF($B550="","",COUNTIF($F550:$AJ550,"PL"))</f>
        <v/>
      </c>
      <c r="AP550" s="34" t="str">
        <f aca="false">IF($B550="","",COUNTIF($F550:$AJ550,"CL"))</f>
        <v/>
      </c>
      <c r="AQ550" s="34" t="str">
        <f aca="false">IF($B550="","",COUNTIF($F550:$AJ550,"SL"))</f>
        <v/>
      </c>
      <c r="AR550" s="34" t="str">
        <f aca="false">IF($B550="","",COUNTIF($F550:$AJ550,"CO"))</f>
        <v/>
      </c>
      <c r="AS550" s="34" t="str">
        <f aca="false">IF($B550="","",COUNTIF($F550:$AJ550,"HPL"))</f>
        <v/>
      </c>
      <c r="AT550" s="34" t="str">
        <f aca="false">IF($B550="","",COUNTIF($F550:$AJ550,"HCL"))</f>
        <v/>
      </c>
      <c r="AU550" s="34" t="str">
        <f aca="false">IF($B550="","",COUNTIF($F550:$AJ550,"WO"))</f>
        <v/>
      </c>
      <c r="AV550" s="34" t="str">
        <f aca="false">IF($B550="","",COUNTIF($F550:$AJ550,"PH"))</f>
        <v/>
      </c>
      <c r="AW550" s="34" t="str">
        <f aca="false">IF($B550="","",COUNTIF($F550:$AJ550,"TR"))</f>
        <v/>
      </c>
      <c r="AX550" s="35" t="str">
        <f aca="false">IF($B550="","",AO550+AS550/2)</f>
        <v/>
      </c>
      <c r="AY550" s="35" t="str">
        <f aca="false">IF($B550="","",AQ550)</f>
        <v/>
      </c>
      <c r="AZ550" s="35" t="str">
        <f aca="false">IF($B550="","",AP550+AT550/2)</f>
        <v/>
      </c>
      <c r="BA550" s="35" t="str">
        <f aca="false">IF($B550="","",AK550+AN550+AM550/2+AO550+AP550+AQ550+AR550+AS550+AT550+AU550+AV550+AW550)</f>
        <v/>
      </c>
      <c r="BB550" s="35" t="str">
        <f aca="false">IF($B550="","",MAX(0,AN550-Settings!$C$16)*Settings!$C$17)</f>
        <v/>
      </c>
      <c r="BC550" s="35" t="str">
        <f aca="false">IF($B550="","",BA550-BB550)</f>
        <v/>
      </c>
      <c r="BD550" s="35" t="str">
        <f aca="false">IF(OR($B550="",$A550=""),"",DAY(EOMONTH($A550,0))-COUNTA($F550:$AJ550))</f>
        <v/>
      </c>
    </row>
    <row r="551" customFormat="false" ht="15" hidden="false" customHeight="false" outlineLevel="0" collapsed="false">
      <c r="A551" s="32"/>
      <c r="B551" s="29"/>
      <c r="C551" s="10" t="str">
        <f aca="false">IF($B551="","",IFERROR(INDEX(M_name,MATCH($B551,M_emp,0)),"Code not found"))</f>
        <v/>
      </c>
      <c r="D551" s="10" t="str">
        <f aca="false">IF($B551="","",IFERROR(INDEX(M_dept,MATCH($B551,M_emp,0)),""))</f>
        <v/>
      </c>
      <c r="E551" s="10" t="str">
        <f aca="false">IF($B551="","",IFERROR(INDEX(M_loc,MATCH($B551,M_emp,0)),""))</f>
        <v/>
      </c>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4" t="str">
        <f aca="false">IF($B551="","",COUNTIF($F551:$AJ551,"P"))</f>
        <v/>
      </c>
      <c r="AL551" s="34" t="str">
        <f aca="false">IF($B551="","",COUNTIF($F551:$AJ551,"A"))</f>
        <v/>
      </c>
      <c r="AM551" s="34" t="str">
        <f aca="false">IF($B551="","",COUNTIF($F551:$AJ551,"HA"))</f>
        <v/>
      </c>
      <c r="AN551" s="34" t="str">
        <f aca="false">IF($B551="","",COUNTIF($F551:$AJ551,"L"))</f>
        <v/>
      </c>
      <c r="AO551" s="34" t="str">
        <f aca="false">IF($B551="","",COUNTIF($F551:$AJ551,"PL"))</f>
        <v/>
      </c>
      <c r="AP551" s="34" t="str">
        <f aca="false">IF($B551="","",COUNTIF($F551:$AJ551,"CL"))</f>
        <v/>
      </c>
      <c r="AQ551" s="34" t="str">
        <f aca="false">IF($B551="","",COUNTIF($F551:$AJ551,"SL"))</f>
        <v/>
      </c>
      <c r="AR551" s="34" t="str">
        <f aca="false">IF($B551="","",COUNTIF($F551:$AJ551,"CO"))</f>
        <v/>
      </c>
      <c r="AS551" s="34" t="str">
        <f aca="false">IF($B551="","",COUNTIF($F551:$AJ551,"HPL"))</f>
        <v/>
      </c>
      <c r="AT551" s="34" t="str">
        <f aca="false">IF($B551="","",COUNTIF($F551:$AJ551,"HCL"))</f>
        <v/>
      </c>
      <c r="AU551" s="34" t="str">
        <f aca="false">IF($B551="","",COUNTIF($F551:$AJ551,"WO"))</f>
        <v/>
      </c>
      <c r="AV551" s="34" t="str">
        <f aca="false">IF($B551="","",COUNTIF($F551:$AJ551,"PH"))</f>
        <v/>
      </c>
      <c r="AW551" s="34" t="str">
        <f aca="false">IF($B551="","",COUNTIF($F551:$AJ551,"TR"))</f>
        <v/>
      </c>
      <c r="AX551" s="35" t="str">
        <f aca="false">IF($B551="","",AO551+AS551/2)</f>
        <v/>
      </c>
      <c r="AY551" s="35" t="str">
        <f aca="false">IF($B551="","",AQ551)</f>
        <v/>
      </c>
      <c r="AZ551" s="35" t="str">
        <f aca="false">IF($B551="","",AP551+AT551/2)</f>
        <v/>
      </c>
      <c r="BA551" s="35" t="str">
        <f aca="false">IF($B551="","",AK551+AN551+AM551/2+AO551+AP551+AQ551+AR551+AS551+AT551+AU551+AV551+AW551)</f>
        <v/>
      </c>
      <c r="BB551" s="35" t="str">
        <f aca="false">IF($B551="","",MAX(0,AN551-Settings!$C$16)*Settings!$C$17)</f>
        <v/>
      </c>
      <c r="BC551" s="35" t="str">
        <f aca="false">IF($B551="","",BA551-BB551)</f>
        <v/>
      </c>
      <c r="BD551" s="35" t="str">
        <f aca="false">IF(OR($B551="",$A551=""),"",DAY(EOMONTH($A551,0))-COUNTA($F551:$AJ551))</f>
        <v/>
      </c>
    </row>
    <row r="552" customFormat="false" ht="15" hidden="false" customHeight="false" outlineLevel="0" collapsed="false">
      <c r="A552" s="32"/>
      <c r="B552" s="29"/>
      <c r="C552" s="10" t="str">
        <f aca="false">IF($B552="","",IFERROR(INDEX(M_name,MATCH($B552,M_emp,0)),"Code not found"))</f>
        <v/>
      </c>
      <c r="D552" s="10" t="str">
        <f aca="false">IF($B552="","",IFERROR(INDEX(M_dept,MATCH($B552,M_emp,0)),""))</f>
        <v/>
      </c>
      <c r="E552" s="10" t="str">
        <f aca="false">IF($B552="","",IFERROR(INDEX(M_loc,MATCH($B552,M_emp,0)),""))</f>
        <v/>
      </c>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4" t="str">
        <f aca="false">IF($B552="","",COUNTIF($F552:$AJ552,"P"))</f>
        <v/>
      </c>
      <c r="AL552" s="34" t="str">
        <f aca="false">IF($B552="","",COUNTIF($F552:$AJ552,"A"))</f>
        <v/>
      </c>
      <c r="AM552" s="34" t="str">
        <f aca="false">IF($B552="","",COUNTIF($F552:$AJ552,"HA"))</f>
        <v/>
      </c>
      <c r="AN552" s="34" t="str">
        <f aca="false">IF($B552="","",COUNTIF($F552:$AJ552,"L"))</f>
        <v/>
      </c>
      <c r="AO552" s="34" t="str">
        <f aca="false">IF($B552="","",COUNTIF($F552:$AJ552,"PL"))</f>
        <v/>
      </c>
      <c r="AP552" s="34" t="str">
        <f aca="false">IF($B552="","",COUNTIF($F552:$AJ552,"CL"))</f>
        <v/>
      </c>
      <c r="AQ552" s="34" t="str">
        <f aca="false">IF($B552="","",COUNTIF($F552:$AJ552,"SL"))</f>
        <v/>
      </c>
      <c r="AR552" s="34" t="str">
        <f aca="false">IF($B552="","",COUNTIF($F552:$AJ552,"CO"))</f>
        <v/>
      </c>
      <c r="AS552" s="34" t="str">
        <f aca="false">IF($B552="","",COUNTIF($F552:$AJ552,"HPL"))</f>
        <v/>
      </c>
      <c r="AT552" s="34" t="str">
        <f aca="false">IF($B552="","",COUNTIF($F552:$AJ552,"HCL"))</f>
        <v/>
      </c>
      <c r="AU552" s="34" t="str">
        <f aca="false">IF($B552="","",COUNTIF($F552:$AJ552,"WO"))</f>
        <v/>
      </c>
      <c r="AV552" s="34" t="str">
        <f aca="false">IF($B552="","",COUNTIF($F552:$AJ552,"PH"))</f>
        <v/>
      </c>
      <c r="AW552" s="34" t="str">
        <f aca="false">IF($B552="","",COUNTIF($F552:$AJ552,"TR"))</f>
        <v/>
      </c>
      <c r="AX552" s="35" t="str">
        <f aca="false">IF($B552="","",AO552+AS552/2)</f>
        <v/>
      </c>
      <c r="AY552" s="35" t="str">
        <f aca="false">IF($B552="","",AQ552)</f>
        <v/>
      </c>
      <c r="AZ552" s="35" t="str">
        <f aca="false">IF($B552="","",AP552+AT552/2)</f>
        <v/>
      </c>
      <c r="BA552" s="35" t="str">
        <f aca="false">IF($B552="","",AK552+AN552+AM552/2+AO552+AP552+AQ552+AR552+AS552+AT552+AU552+AV552+AW552)</f>
        <v/>
      </c>
      <c r="BB552" s="35" t="str">
        <f aca="false">IF($B552="","",MAX(0,AN552-Settings!$C$16)*Settings!$C$17)</f>
        <v/>
      </c>
      <c r="BC552" s="35" t="str">
        <f aca="false">IF($B552="","",BA552-BB552)</f>
        <v/>
      </c>
      <c r="BD552" s="35" t="str">
        <f aca="false">IF(OR($B552="",$A552=""),"",DAY(EOMONTH($A552,0))-COUNTA($F552:$AJ552))</f>
        <v/>
      </c>
    </row>
    <row r="553" customFormat="false" ht="15" hidden="false" customHeight="false" outlineLevel="0" collapsed="false">
      <c r="A553" s="32"/>
      <c r="B553" s="29"/>
      <c r="C553" s="10" t="str">
        <f aca="false">IF($B553="","",IFERROR(INDEX(M_name,MATCH($B553,M_emp,0)),"Code not found"))</f>
        <v/>
      </c>
      <c r="D553" s="10" t="str">
        <f aca="false">IF($B553="","",IFERROR(INDEX(M_dept,MATCH($B553,M_emp,0)),""))</f>
        <v/>
      </c>
      <c r="E553" s="10" t="str">
        <f aca="false">IF($B553="","",IFERROR(INDEX(M_loc,MATCH($B553,M_emp,0)),""))</f>
        <v/>
      </c>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4" t="str">
        <f aca="false">IF($B553="","",COUNTIF($F553:$AJ553,"P"))</f>
        <v/>
      </c>
      <c r="AL553" s="34" t="str">
        <f aca="false">IF($B553="","",COUNTIF($F553:$AJ553,"A"))</f>
        <v/>
      </c>
      <c r="AM553" s="34" t="str">
        <f aca="false">IF($B553="","",COUNTIF($F553:$AJ553,"HA"))</f>
        <v/>
      </c>
      <c r="AN553" s="34" t="str">
        <f aca="false">IF($B553="","",COUNTIF($F553:$AJ553,"L"))</f>
        <v/>
      </c>
      <c r="AO553" s="34" t="str">
        <f aca="false">IF($B553="","",COUNTIF($F553:$AJ553,"PL"))</f>
        <v/>
      </c>
      <c r="AP553" s="34" t="str">
        <f aca="false">IF($B553="","",COUNTIF($F553:$AJ553,"CL"))</f>
        <v/>
      </c>
      <c r="AQ553" s="34" t="str">
        <f aca="false">IF($B553="","",COUNTIF($F553:$AJ553,"SL"))</f>
        <v/>
      </c>
      <c r="AR553" s="34" t="str">
        <f aca="false">IF($B553="","",COUNTIF($F553:$AJ553,"CO"))</f>
        <v/>
      </c>
      <c r="AS553" s="34" t="str">
        <f aca="false">IF($B553="","",COUNTIF($F553:$AJ553,"HPL"))</f>
        <v/>
      </c>
      <c r="AT553" s="34" t="str">
        <f aca="false">IF($B553="","",COUNTIF($F553:$AJ553,"HCL"))</f>
        <v/>
      </c>
      <c r="AU553" s="34" t="str">
        <f aca="false">IF($B553="","",COUNTIF($F553:$AJ553,"WO"))</f>
        <v/>
      </c>
      <c r="AV553" s="34" t="str">
        <f aca="false">IF($B553="","",COUNTIF($F553:$AJ553,"PH"))</f>
        <v/>
      </c>
      <c r="AW553" s="34" t="str">
        <f aca="false">IF($B553="","",COUNTIF($F553:$AJ553,"TR"))</f>
        <v/>
      </c>
      <c r="AX553" s="35" t="str">
        <f aca="false">IF($B553="","",AO553+AS553/2)</f>
        <v/>
      </c>
      <c r="AY553" s="35" t="str">
        <f aca="false">IF($B553="","",AQ553)</f>
        <v/>
      </c>
      <c r="AZ553" s="35" t="str">
        <f aca="false">IF($B553="","",AP553+AT553/2)</f>
        <v/>
      </c>
      <c r="BA553" s="35" t="str">
        <f aca="false">IF($B553="","",AK553+AN553+AM553/2+AO553+AP553+AQ553+AR553+AS553+AT553+AU553+AV553+AW553)</f>
        <v/>
      </c>
      <c r="BB553" s="35" t="str">
        <f aca="false">IF($B553="","",MAX(0,AN553-Settings!$C$16)*Settings!$C$17)</f>
        <v/>
      </c>
      <c r="BC553" s="35" t="str">
        <f aca="false">IF($B553="","",BA553-BB553)</f>
        <v/>
      </c>
      <c r="BD553" s="35" t="str">
        <f aca="false">IF(OR($B553="",$A553=""),"",DAY(EOMONTH($A553,0))-COUNTA($F553:$AJ553))</f>
        <v/>
      </c>
    </row>
    <row r="554" customFormat="false" ht="15" hidden="false" customHeight="false" outlineLevel="0" collapsed="false">
      <c r="A554" s="32"/>
      <c r="B554" s="29"/>
      <c r="C554" s="10" t="str">
        <f aca="false">IF($B554="","",IFERROR(INDEX(M_name,MATCH($B554,M_emp,0)),"Code not found"))</f>
        <v/>
      </c>
      <c r="D554" s="10" t="str">
        <f aca="false">IF($B554="","",IFERROR(INDEX(M_dept,MATCH($B554,M_emp,0)),""))</f>
        <v/>
      </c>
      <c r="E554" s="10" t="str">
        <f aca="false">IF($B554="","",IFERROR(INDEX(M_loc,MATCH($B554,M_emp,0)),""))</f>
        <v/>
      </c>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4" t="str">
        <f aca="false">IF($B554="","",COUNTIF($F554:$AJ554,"P"))</f>
        <v/>
      </c>
      <c r="AL554" s="34" t="str">
        <f aca="false">IF($B554="","",COUNTIF($F554:$AJ554,"A"))</f>
        <v/>
      </c>
      <c r="AM554" s="34" t="str">
        <f aca="false">IF($B554="","",COUNTIF($F554:$AJ554,"HA"))</f>
        <v/>
      </c>
      <c r="AN554" s="34" t="str">
        <f aca="false">IF($B554="","",COUNTIF($F554:$AJ554,"L"))</f>
        <v/>
      </c>
      <c r="AO554" s="34" t="str">
        <f aca="false">IF($B554="","",COUNTIF($F554:$AJ554,"PL"))</f>
        <v/>
      </c>
      <c r="AP554" s="34" t="str">
        <f aca="false">IF($B554="","",COUNTIF($F554:$AJ554,"CL"))</f>
        <v/>
      </c>
      <c r="AQ554" s="34" t="str">
        <f aca="false">IF($B554="","",COUNTIF($F554:$AJ554,"SL"))</f>
        <v/>
      </c>
      <c r="AR554" s="34" t="str">
        <f aca="false">IF($B554="","",COUNTIF($F554:$AJ554,"CO"))</f>
        <v/>
      </c>
      <c r="AS554" s="34" t="str">
        <f aca="false">IF($B554="","",COUNTIF($F554:$AJ554,"HPL"))</f>
        <v/>
      </c>
      <c r="AT554" s="34" t="str">
        <f aca="false">IF($B554="","",COUNTIF($F554:$AJ554,"HCL"))</f>
        <v/>
      </c>
      <c r="AU554" s="34" t="str">
        <f aca="false">IF($B554="","",COUNTIF($F554:$AJ554,"WO"))</f>
        <v/>
      </c>
      <c r="AV554" s="34" t="str">
        <f aca="false">IF($B554="","",COUNTIF($F554:$AJ554,"PH"))</f>
        <v/>
      </c>
      <c r="AW554" s="34" t="str">
        <f aca="false">IF($B554="","",COUNTIF($F554:$AJ554,"TR"))</f>
        <v/>
      </c>
      <c r="AX554" s="35" t="str">
        <f aca="false">IF($B554="","",AO554+AS554/2)</f>
        <v/>
      </c>
      <c r="AY554" s="35" t="str">
        <f aca="false">IF($B554="","",AQ554)</f>
        <v/>
      </c>
      <c r="AZ554" s="35" t="str">
        <f aca="false">IF($B554="","",AP554+AT554/2)</f>
        <v/>
      </c>
      <c r="BA554" s="35" t="str">
        <f aca="false">IF($B554="","",AK554+AN554+AM554/2+AO554+AP554+AQ554+AR554+AS554+AT554+AU554+AV554+AW554)</f>
        <v/>
      </c>
      <c r="BB554" s="35" t="str">
        <f aca="false">IF($B554="","",MAX(0,AN554-Settings!$C$16)*Settings!$C$17)</f>
        <v/>
      </c>
      <c r="BC554" s="35" t="str">
        <f aca="false">IF($B554="","",BA554-BB554)</f>
        <v/>
      </c>
      <c r="BD554" s="35" t="str">
        <f aca="false">IF(OR($B554="",$A554=""),"",DAY(EOMONTH($A554,0))-COUNTA($F554:$AJ554))</f>
        <v/>
      </c>
    </row>
    <row r="555" customFormat="false" ht="15" hidden="false" customHeight="false" outlineLevel="0" collapsed="false">
      <c r="A555" s="32"/>
      <c r="B555" s="29"/>
      <c r="C555" s="10" t="str">
        <f aca="false">IF($B555="","",IFERROR(INDEX(M_name,MATCH($B555,M_emp,0)),"Code not found"))</f>
        <v/>
      </c>
      <c r="D555" s="10" t="str">
        <f aca="false">IF($B555="","",IFERROR(INDEX(M_dept,MATCH($B555,M_emp,0)),""))</f>
        <v/>
      </c>
      <c r="E555" s="10" t="str">
        <f aca="false">IF($B555="","",IFERROR(INDEX(M_loc,MATCH($B555,M_emp,0)),""))</f>
        <v/>
      </c>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4" t="str">
        <f aca="false">IF($B555="","",COUNTIF($F555:$AJ555,"P"))</f>
        <v/>
      </c>
      <c r="AL555" s="34" t="str">
        <f aca="false">IF($B555="","",COUNTIF($F555:$AJ555,"A"))</f>
        <v/>
      </c>
      <c r="AM555" s="34" t="str">
        <f aca="false">IF($B555="","",COUNTIF($F555:$AJ555,"HA"))</f>
        <v/>
      </c>
      <c r="AN555" s="34" t="str">
        <f aca="false">IF($B555="","",COUNTIF($F555:$AJ555,"L"))</f>
        <v/>
      </c>
      <c r="AO555" s="34" t="str">
        <f aca="false">IF($B555="","",COUNTIF($F555:$AJ555,"PL"))</f>
        <v/>
      </c>
      <c r="AP555" s="34" t="str">
        <f aca="false">IF($B555="","",COUNTIF($F555:$AJ555,"CL"))</f>
        <v/>
      </c>
      <c r="AQ555" s="34" t="str">
        <f aca="false">IF($B555="","",COUNTIF($F555:$AJ555,"SL"))</f>
        <v/>
      </c>
      <c r="AR555" s="34" t="str">
        <f aca="false">IF($B555="","",COUNTIF($F555:$AJ555,"CO"))</f>
        <v/>
      </c>
      <c r="AS555" s="34" t="str">
        <f aca="false">IF($B555="","",COUNTIF($F555:$AJ555,"HPL"))</f>
        <v/>
      </c>
      <c r="AT555" s="34" t="str">
        <f aca="false">IF($B555="","",COUNTIF($F555:$AJ555,"HCL"))</f>
        <v/>
      </c>
      <c r="AU555" s="34" t="str">
        <f aca="false">IF($B555="","",COUNTIF($F555:$AJ555,"WO"))</f>
        <v/>
      </c>
      <c r="AV555" s="34" t="str">
        <f aca="false">IF($B555="","",COUNTIF($F555:$AJ555,"PH"))</f>
        <v/>
      </c>
      <c r="AW555" s="34" t="str">
        <f aca="false">IF($B555="","",COUNTIF($F555:$AJ555,"TR"))</f>
        <v/>
      </c>
      <c r="AX555" s="35" t="str">
        <f aca="false">IF($B555="","",AO555+AS555/2)</f>
        <v/>
      </c>
      <c r="AY555" s="35" t="str">
        <f aca="false">IF($B555="","",AQ555)</f>
        <v/>
      </c>
      <c r="AZ555" s="35" t="str">
        <f aca="false">IF($B555="","",AP555+AT555/2)</f>
        <v/>
      </c>
      <c r="BA555" s="35" t="str">
        <f aca="false">IF($B555="","",AK555+AN555+AM555/2+AO555+AP555+AQ555+AR555+AS555+AT555+AU555+AV555+AW555)</f>
        <v/>
      </c>
      <c r="BB555" s="35" t="str">
        <f aca="false">IF($B555="","",MAX(0,AN555-Settings!$C$16)*Settings!$C$17)</f>
        <v/>
      </c>
      <c r="BC555" s="35" t="str">
        <f aca="false">IF($B555="","",BA555-BB555)</f>
        <v/>
      </c>
      <c r="BD555" s="35" t="str">
        <f aca="false">IF(OR($B555="",$A555=""),"",DAY(EOMONTH($A555,0))-COUNTA($F555:$AJ555))</f>
        <v/>
      </c>
    </row>
    <row r="556" customFormat="false" ht="15" hidden="false" customHeight="false" outlineLevel="0" collapsed="false">
      <c r="A556" s="32"/>
      <c r="B556" s="29"/>
      <c r="C556" s="10" t="str">
        <f aca="false">IF($B556="","",IFERROR(INDEX(M_name,MATCH($B556,M_emp,0)),"Code not found"))</f>
        <v/>
      </c>
      <c r="D556" s="10" t="str">
        <f aca="false">IF($B556="","",IFERROR(INDEX(M_dept,MATCH($B556,M_emp,0)),""))</f>
        <v/>
      </c>
      <c r="E556" s="10" t="str">
        <f aca="false">IF($B556="","",IFERROR(INDEX(M_loc,MATCH($B556,M_emp,0)),""))</f>
        <v/>
      </c>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4" t="str">
        <f aca="false">IF($B556="","",COUNTIF($F556:$AJ556,"P"))</f>
        <v/>
      </c>
      <c r="AL556" s="34" t="str">
        <f aca="false">IF($B556="","",COUNTIF($F556:$AJ556,"A"))</f>
        <v/>
      </c>
      <c r="AM556" s="34" t="str">
        <f aca="false">IF($B556="","",COUNTIF($F556:$AJ556,"HA"))</f>
        <v/>
      </c>
      <c r="AN556" s="34" t="str">
        <f aca="false">IF($B556="","",COUNTIF($F556:$AJ556,"L"))</f>
        <v/>
      </c>
      <c r="AO556" s="34" t="str">
        <f aca="false">IF($B556="","",COUNTIF($F556:$AJ556,"PL"))</f>
        <v/>
      </c>
      <c r="AP556" s="34" t="str">
        <f aca="false">IF($B556="","",COUNTIF($F556:$AJ556,"CL"))</f>
        <v/>
      </c>
      <c r="AQ556" s="34" t="str">
        <f aca="false">IF($B556="","",COUNTIF($F556:$AJ556,"SL"))</f>
        <v/>
      </c>
      <c r="AR556" s="34" t="str">
        <f aca="false">IF($B556="","",COUNTIF($F556:$AJ556,"CO"))</f>
        <v/>
      </c>
      <c r="AS556" s="34" t="str">
        <f aca="false">IF($B556="","",COUNTIF($F556:$AJ556,"HPL"))</f>
        <v/>
      </c>
      <c r="AT556" s="34" t="str">
        <f aca="false">IF($B556="","",COUNTIF($F556:$AJ556,"HCL"))</f>
        <v/>
      </c>
      <c r="AU556" s="34" t="str">
        <f aca="false">IF($B556="","",COUNTIF($F556:$AJ556,"WO"))</f>
        <v/>
      </c>
      <c r="AV556" s="34" t="str">
        <f aca="false">IF($B556="","",COUNTIF($F556:$AJ556,"PH"))</f>
        <v/>
      </c>
      <c r="AW556" s="34" t="str">
        <f aca="false">IF($B556="","",COUNTIF($F556:$AJ556,"TR"))</f>
        <v/>
      </c>
      <c r="AX556" s="35" t="str">
        <f aca="false">IF($B556="","",AO556+AS556/2)</f>
        <v/>
      </c>
      <c r="AY556" s="35" t="str">
        <f aca="false">IF($B556="","",AQ556)</f>
        <v/>
      </c>
      <c r="AZ556" s="35" t="str">
        <f aca="false">IF($B556="","",AP556+AT556/2)</f>
        <v/>
      </c>
      <c r="BA556" s="35" t="str">
        <f aca="false">IF($B556="","",AK556+AN556+AM556/2+AO556+AP556+AQ556+AR556+AS556+AT556+AU556+AV556+AW556)</f>
        <v/>
      </c>
      <c r="BB556" s="35" t="str">
        <f aca="false">IF($B556="","",MAX(0,AN556-Settings!$C$16)*Settings!$C$17)</f>
        <v/>
      </c>
      <c r="BC556" s="35" t="str">
        <f aca="false">IF($B556="","",BA556-BB556)</f>
        <v/>
      </c>
      <c r="BD556" s="35" t="str">
        <f aca="false">IF(OR($B556="",$A556=""),"",DAY(EOMONTH($A556,0))-COUNTA($F556:$AJ556))</f>
        <v/>
      </c>
    </row>
    <row r="557" customFormat="false" ht="15" hidden="false" customHeight="false" outlineLevel="0" collapsed="false">
      <c r="A557" s="32"/>
      <c r="B557" s="29"/>
      <c r="C557" s="10" t="str">
        <f aca="false">IF($B557="","",IFERROR(INDEX(M_name,MATCH($B557,M_emp,0)),"Code not found"))</f>
        <v/>
      </c>
      <c r="D557" s="10" t="str">
        <f aca="false">IF($B557="","",IFERROR(INDEX(M_dept,MATCH($B557,M_emp,0)),""))</f>
        <v/>
      </c>
      <c r="E557" s="10" t="str">
        <f aca="false">IF($B557="","",IFERROR(INDEX(M_loc,MATCH($B557,M_emp,0)),""))</f>
        <v/>
      </c>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4" t="str">
        <f aca="false">IF($B557="","",COUNTIF($F557:$AJ557,"P"))</f>
        <v/>
      </c>
      <c r="AL557" s="34" t="str">
        <f aca="false">IF($B557="","",COUNTIF($F557:$AJ557,"A"))</f>
        <v/>
      </c>
      <c r="AM557" s="34" t="str">
        <f aca="false">IF($B557="","",COUNTIF($F557:$AJ557,"HA"))</f>
        <v/>
      </c>
      <c r="AN557" s="34" t="str">
        <f aca="false">IF($B557="","",COUNTIF($F557:$AJ557,"L"))</f>
        <v/>
      </c>
      <c r="AO557" s="34" t="str">
        <f aca="false">IF($B557="","",COUNTIF($F557:$AJ557,"PL"))</f>
        <v/>
      </c>
      <c r="AP557" s="34" t="str">
        <f aca="false">IF($B557="","",COUNTIF($F557:$AJ557,"CL"))</f>
        <v/>
      </c>
      <c r="AQ557" s="34" t="str">
        <f aca="false">IF($B557="","",COUNTIF($F557:$AJ557,"SL"))</f>
        <v/>
      </c>
      <c r="AR557" s="34" t="str">
        <f aca="false">IF($B557="","",COUNTIF($F557:$AJ557,"CO"))</f>
        <v/>
      </c>
      <c r="AS557" s="34" t="str">
        <f aca="false">IF($B557="","",COUNTIF($F557:$AJ557,"HPL"))</f>
        <v/>
      </c>
      <c r="AT557" s="34" t="str">
        <f aca="false">IF($B557="","",COUNTIF($F557:$AJ557,"HCL"))</f>
        <v/>
      </c>
      <c r="AU557" s="34" t="str">
        <f aca="false">IF($B557="","",COUNTIF($F557:$AJ557,"WO"))</f>
        <v/>
      </c>
      <c r="AV557" s="34" t="str">
        <f aca="false">IF($B557="","",COUNTIF($F557:$AJ557,"PH"))</f>
        <v/>
      </c>
      <c r="AW557" s="34" t="str">
        <f aca="false">IF($B557="","",COUNTIF($F557:$AJ557,"TR"))</f>
        <v/>
      </c>
      <c r="AX557" s="35" t="str">
        <f aca="false">IF($B557="","",AO557+AS557/2)</f>
        <v/>
      </c>
      <c r="AY557" s="35" t="str">
        <f aca="false">IF($B557="","",AQ557)</f>
        <v/>
      </c>
      <c r="AZ557" s="35" t="str">
        <f aca="false">IF($B557="","",AP557+AT557/2)</f>
        <v/>
      </c>
      <c r="BA557" s="35" t="str">
        <f aca="false">IF($B557="","",AK557+AN557+AM557/2+AO557+AP557+AQ557+AR557+AS557+AT557+AU557+AV557+AW557)</f>
        <v/>
      </c>
      <c r="BB557" s="35" t="str">
        <f aca="false">IF($B557="","",MAX(0,AN557-Settings!$C$16)*Settings!$C$17)</f>
        <v/>
      </c>
      <c r="BC557" s="35" t="str">
        <f aca="false">IF($B557="","",BA557-BB557)</f>
        <v/>
      </c>
      <c r="BD557" s="35" t="str">
        <f aca="false">IF(OR($B557="",$A557=""),"",DAY(EOMONTH($A557,0))-COUNTA($F557:$AJ557))</f>
        <v/>
      </c>
    </row>
    <row r="558" customFormat="false" ht="15" hidden="false" customHeight="false" outlineLevel="0" collapsed="false">
      <c r="A558" s="32"/>
      <c r="B558" s="29"/>
      <c r="C558" s="10" t="str">
        <f aca="false">IF($B558="","",IFERROR(INDEX(M_name,MATCH($B558,M_emp,0)),"Code not found"))</f>
        <v/>
      </c>
      <c r="D558" s="10" t="str">
        <f aca="false">IF($B558="","",IFERROR(INDEX(M_dept,MATCH($B558,M_emp,0)),""))</f>
        <v/>
      </c>
      <c r="E558" s="10" t="str">
        <f aca="false">IF($B558="","",IFERROR(INDEX(M_loc,MATCH($B558,M_emp,0)),""))</f>
        <v/>
      </c>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4" t="str">
        <f aca="false">IF($B558="","",COUNTIF($F558:$AJ558,"P"))</f>
        <v/>
      </c>
      <c r="AL558" s="34" t="str">
        <f aca="false">IF($B558="","",COUNTIF($F558:$AJ558,"A"))</f>
        <v/>
      </c>
      <c r="AM558" s="34" t="str">
        <f aca="false">IF($B558="","",COUNTIF($F558:$AJ558,"HA"))</f>
        <v/>
      </c>
      <c r="AN558" s="34" t="str">
        <f aca="false">IF($B558="","",COUNTIF($F558:$AJ558,"L"))</f>
        <v/>
      </c>
      <c r="AO558" s="34" t="str">
        <f aca="false">IF($B558="","",COUNTIF($F558:$AJ558,"PL"))</f>
        <v/>
      </c>
      <c r="AP558" s="34" t="str">
        <f aca="false">IF($B558="","",COUNTIF($F558:$AJ558,"CL"))</f>
        <v/>
      </c>
      <c r="AQ558" s="34" t="str">
        <f aca="false">IF($B558="","",COUNTIF($F558:$AJ558,"SL"))</f>
        <v/>
      </c>
      <c r="AR558" s="34" t="str">
        <f aca="false">IF($B558="","",COUNTIF($F558:$AJ558,"CO"))</f>
        <v/>
      </c>
      <c r="AS558" s="34" t="str">
        <f aca="false">IF($B558="","",COUNTIF($F558:$AJ558,"HPL"))</f>
        <v/>
      </c>
      <c r="AT558" s="34" t="str">
        <f aca="false">IF($B558="","",COUNTIF($F558:$AJ558,"HCL"))</f>
        <v/>
      </c>
      <c r="AU558" s="34" t="str">
        <f aca="false">IF($B558="","",COUNTIF($F558:$AJ558,"WO"))</f>
        <v/>
      </c>
      <c r="AV558" s="34" t="str">
        <f aca="false">IF($B558="","",COUNTIF($F558:$AJ558,"PH"))</f>
        <v/>
      </c>
      <c r="AW558" s="34" t="str">
        <f aca="false">IF($B558="","",COUNTIF($F558:$AJ558,"TR"))</f>
        <v/>
      </c>
      <c r="AX558" s="35" t="str">
        <f aca="false">IF($B558="","",AO558+AS558/2)</f>
        <v/>
      </c>
      <c r="AY558" s="35" t="str">
        <f aca="false">IF($B558="","",AQ558)</f>
        <v/>
      </c>
      <c r="AZ558" s="35" t="str">
        <f aca="false">IF($B558="","",AP558+AT558/2)</f>
        <v/>
      </c>
      <c r="BA558" s="35" t="str">
        <f aca="false">IF($B558="","",AK558+AN558+AM558/2+AO558+AP558+AQ558+AR558+AS558+AT558+AU558+AV558+AW558)</f>
        <v/>
      </c>
      <c r="BB558" s="35" t="str">
        <f aca="false">IF($B558="","",MAX(0,AN558-Settings!$C$16)*Settings!$C$17)</f>
        <v/>
      </c>
      <c r="BC558" s="35" t="str">
        <f aca="false">IF($B558="","",BA558-BB558)</f>
        <v/>
      </c>
      <c r="BD558" s="35" t="str">
        <f aca="false">IF(OR($B558="",$A558=""),"",DAY(EOMONTH($A558,0))-COUNTA($F558:$AJ558))</f>
        <v/>
      </c>
    </row>
    <row r="559" customFormat="false" ht="15" hidden="false" customHeight="false" outlineLevel="0" collapsed="false">
      <c r="A559" s="32"/>
      <c r="B559" s="29"/>
      <c r="C559" s="10" t="str">
        <f aca="false">IF($B559="","",IFERROR(INDEX(M_name,MATCH($B559,M_emp,0)),"Code not found"))</f>
        <v/>
      </c>
      <c r="D559" s="10" t="str">
        <f aca="false">IF($B559="","",IFERROR(INDEX(M_dept,MATCH($B559,M_emp,0)),""))</f>
        <v/>
      </c>
      <c r="E559" s="10" t="str">
        <f aca="false">IF($B559="","",IFERROR(INDEX(M_loc,MATCH($B559,M_emp,0)),""))</f>
        <v/>
      </c>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4" t="str">
        <f aca="false">IF($B559="","",COUNTIF($F559:$AJ559,"P"))</f>
        <v/>
      </c>
      <c r="AL559" s="34" t="str">
        <f aca="false">IF($B559="","",COUNTIF($F559:$AJ559,"A"))</f>
        <v/>
      </c>
      <c r="AM559" s="34" t="str">
        <f aca="false">IF($B559="","",COUNTIF($F559:$AJ559,"HA"))</f>
        <v/>
      </c>
      <c r="AN559" s="34" t="str">
        <f aca="false">IF($B559="","",COUNTIF($F559:$AJ559,"L"))</f>
        <v/>
      </c>
      <c r="AO559" s="34" t="str">
        <f aca="false">IF($B559="","",COUNTIF($F559:$AJ559,"PL"))</f>
        <v/>
      </c>
      <c r="AP559" s="34" t="str">
        <f aca="false">IF($B559="","",COUNTIF($F559:$AJ559,"CL"))</f>
        <v/>
      </c>
      <c r="AQ559" s="34" t="str">
        <f aca="false">IF($B559="","",COUNTIF($F559:$AJ559,"SL"))</f>
        <v/>
      </c>
      <c r="AR559" s="34" t="str">
        <f aca="false">IF($B559="","",COUNTIF($F559:$AJ559,"CO"))</f>
        <v/>
      </c>
      <c r="AS559" s="34" t="str">
        <f aca="false">IF($B559="","",COUNTIF($F559:$AJ559,"HPL"))</f>
        <v/>
      </c>
      <c r="AT559" s="34" t="str">
        <f aca="false">IF($B559="","",COUNTIF($F559:$AJ559,"HCL"))</f>
        <v/>
      </c>
      <c r="AU559" s="34" t="str">
        <f aca="false">IF($B559="","",COUNTIF($F559:$AJ559,"WO"))</f>
        <v/>
      </c>
      <c r="AV559" s="34" t="str">
        <f aca="false">IF($B559="","",COUNTIF($F559:$AJ559,"PH"))</f>
        <v/>
      </c>
      <c r="AW559" s="34" t="str">
        <f aca="false">IF($B559="","",COUNTIF($F559:$AJ559,"TR"))</f>
        <v/>
      </c>
      <c r="AX559" s="35" t="str">
        <f aca="false">IF($B559="","",AO559+AS559/2)</f>
        <v/>
      </c>
      <c r="AY559" s="35" t="str">
        <f aca="false">IF($B559="","",AQ559)</f>
        <v/>
      </c>
      <c r="AZ559" s="35" t="str">
        <f aca="false">IF($B559="","",AP559+AT559/2)</f>
        <v/>
      </c>
      <c r="BA559" s="35" t="str">
        <f aca="false">IF($B559="","",AK559+AN559+AM559/2+AO559+AP559+AQ559+AR559+AS559+AT559+AU559+AV559+AW559)</f>
        <v/>
      </c>
      <c r="BB559" s="35" t="str">
        <f aca="false">IF($B559="","",MAX(0,AN559-Settings!$C$16)*Settings!$C$17)</f>
        <v/>
      </c>
      <c r="BC559" s="35" t="str">
        <f aca="false">IF($B559="","",BA559-BB559)</f>
        <v/>
      </c>
      <c r="BD559" s="35" t="str">
        <f aca="false">IF(OR($B559="",$A559=""),"",DAY(EOMONTH($A559,0))-COUNTA($F559:$AJ559))</f>
        <v/>
      </c>
    </row>
    <row r="560" customFormat="false" ht="15" hidden="false" customHeight="false" outlineLevel="0" collapsed="false">
      <c r="A560" s="32"/>
      <c r="B560" s="29"/>
      <c r="C560" s="10" t="str">
        <f aca="false">IF($B560="","",IFERROR(INDEX(M_name,MATCH($B560,M_emp,0)),"Code not found"))</f>
        <v/>
      </c>
      <c r="D560" s="10" t="str">
        <f aca="false">IF($B560="","",IFERROR(INDEX(M_dept,MATCH($B560,M_emp,0)),""))</f>
        <v/>
      </c>
      <c r="E560" s="10" t="str">
        <f aca="false">IF($B560="","",IFERROR(INDEX(M_loc,MATCH($B560,M_emp,0)),""))</f>
        <v/>
      </c>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4" t="str">
        <f aca="false">IF($B560="","",COUNTIF($F560:$AJ560,"P"))</f>
        <v/>
      </c>
      <c r="AL560" s="34" t="str">
        <f aca="false">IF($B560="","",COUNTIF($F560:$AJ560,"A"))</f>
        <v/>
      </c>
      <c r="AM560" s="34" t="str">
        <f aca="false">IF($B560="","",COUNTIF($F560:$AJ560,"HA"))</f>
        <v/>
      </c>
      <c r="AN560" s="34" t="str">
        <f aca="false">IF($B560="","",COUNTIF($F560:$AJ560,"L"))</f>
        <v/>
      </c>
      <c r="AO560" s="34" t="str">
        <f aca="false">IF($B560="","",COUNTIF($F560:$AJ560,"PL"))</f>
        <v/>
      </c>
      <c r="AP560" s="34" t="str">
        <f aca="false">IF($B560="","",COUNTIF($F560:$AJ560,"CL"))</f>
        <v/>
      </c>
      <c r="AQ560" s="34" t="str">
        <f aca="false">IF($B560="","",COUNTIF($F560:$AJ560,"SL"))</f>
        <v/>
      </c>
      <c r="AR560" s="34" t="str">
        <f aca="false">IF($B560="","",COUNTIF($F560:$AJ560,"CO"))</f>
        <v/>
      </c>
      <c r="AS560" s="34" t="str">
        <f aca="false">IF($B560="","",COUNTIF($F560:$AJ560,"HPL"))</f>
        <v/>
      </c>
      <c r="AT560" s="34" t="str">
        <f aca="false">IF($B560="","",COUNTIF($F560:$AJ560,"HCL"))</f>
        <v/>
      </c>
      <c r="AU560" s="34" t="str">
        <f aca="false">IF($B560="","",COUNTIF($F560:$AJ560,"WO"))</f>
        <v/>
      </c>
      <c r="AV560" s="34" t="str">
        <f aca="false">IF($B560="","",COUNTIF($F560:$AJ560,"PH"))</f>
        <v/>
      </c>
      <c r="AW560" s="34" t="str">
        <f aca="false">IF($B560="","",COUNTIF($F560:$AJ560,"TR"))</f>
        <v/>
      </c>
      <c r="AX560" s="35" t="str">
        <f aca="false">IF($B560="","",AO560+AS560/2)</f>
        <v/>
      </c>
      <c r="AY560" s="35" t="str">
        <f aca="false">IF($B560="","",AQ560)</f>
        <v/>
      </c>
      <c r="AZ560" s="35" t="str">
        <f aca="false">IF($B560="","",AP560+AT560/2)</f>
        <v/>
      </c>
      <c r="BA560" s="35" t="str">
        <f aca="false">IF($B560="","",AK560+AN560+AM560/2+AO560+AP560+AQ560+AR560+AS560+AT560+AU560+AV560+AW560)</f>
        <v/>
      </c>
      <c r="BB560" s="35" t="str">
        <f aca="false">IF($B560="","",MAX(0,AN560-Settings!$C$16)*Settings!$C$17)</f>
        <v/>
      </c>
      <c r="BC560" s="35" t="str">
        <f aca="false">IF($B560="","",BA560-BB560)</f>
        <v/>
      </c>
      <c r="BD560" s="35" t="str">
        <f aca="false">IF(OR($B560="",$A560=""),"",DAY(EOMONTH($A560,0))-COUNTA($F560:$AJ560))</f>
        <v/>
      </c>
    </row>
    <row r="561" customFormat="false" ht="15" hidden="false" customHeight="false" outlineLevel="0" collapsed="false">
      <c r="A561" s="32"/>
      <c r="B561" s="29"/>
      <c r="C561" s="10" t="str">
        <f aca="false">IF($B561="","",IFERROR(INDEX(M_name,MATCH($B561,M_emp,0)),"Code not found"))</f>
        <v/>
      </c>
      <c r="D561" s="10" t="str">
        <f aca="false">IF($B561="","",IFERROR(INDEX(M_dept,MATCH($B561,M_emp,0)),""))</f>
        <v/>
      </c>
      <c r="E561" s="10" t="str">
        <f aca="false">IF($B561="","",IFERROR(INDEX(M_loc,MATCH($B561,M_emp,0)),""))</f>
        <v/>
      </c>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4" t="str">
        <f aca="false">IF($B561="","",COUNTIF($F561:$AJ561,"P"))</f>
        <v/>
      </c>
      <c r="AL561" s="34" t="str">
        <f aca="false">IF($B561="","",COUNTIF($F561:$AJ561,"A"))</f>
        <v/>
      </c>
      <c r="AM561" s="34" t="str">
        <f aca="false">IF($B561="","",COUNTIF($F561:$AJ561,"HA"))</f>
        <v/>
      </c>
      <c r="AN561" s="34" t="str">
        <f aca="false">IF($B561="","",COUNTIF($F561:$AJ561,"L"))</f>
        <v/>
      </c>
      <c r="AO561" s="34" t="str">
        <f aca="false">IF($B561="","",COUNTIF($F561:$AJ561,"PL"))</f>
        <v/>
      </c>
      <c r="AP561" s="34" t="str">
        <f aca="false">IF($B561="","",COUNTIF($F561:$AJ561,"CL"))</f>
        <v/>
      </c>
      <c r="AQ561" s="34" t="str">
        <f aca="false">IF($B561="","",COUNTIF($F561:$AJ561,"SL"))</f>
        <v/>
      </c>
      <c r="AR561" s="34" t="str">
        <f aca="false">IF($B561="","",COUNTIF($F561:$AJ561,"CO"))</f>
        <v/>
      </c>
      <c r="AS561" s="34" t="str">
        <f aca="false">IF($B561="","",COUNTIF($F561:$AJ561,"HPL"))</f>
        <v/>
      </c>
      <c r="AT561" s="34" t="str">
        <f aca="false">IF($B561="","",COUNTIF($F561:$AJ561,"HCL"))</f>
        <v/>
      </c>
      <c r="AU561" s="34" t="str">
        <f aca="false">IF($B561="","",COUNTIF($F561:$AJ561,"WO"))</f>
        <v/>
      </c>
      <c r="AV561" s="34" t="str">
        <f aca="false">IF($B561="","",COUNTIF($F561:$AJ561,"PH"))</f>
        <v/>
      </c>
      <c r="AW561" s="34" t="str">
        <f aca="false">IF($B561="","",COUNTIF($F561:$AJ561,"TR"))</f>
        <v/>
      </c>
      <c r="AX561" s="35" t="str">
        <f aca="false">IF($B561="","",AO561+AS561/2)</f>
        <v/>
      </c>
      <c r="AY561" s="35" t="str">
        <f aca="false">IF($B561="","",AQ561)</f>
        <v/>
      </c>
      <c r="AZ561" s="35" t="str">
        <f aca="false">IF($B561="","",AP561+AT561/2)</f>
        <v/>
      </c>
      <c r="BA561" s="35" t="str">
        <f aca="false">IF($B561="","",AK561+AN561+AM561/2+AO561+AP561+AQ561+AR561+AS561+AT561+AU561+AV561+AW561)</f>
        <v/>
      </c>
      <c r="BB561" s="35" t="str">
        <f aca="false">IF($B561="","",MAX(0,AN561-Settings!$C$16)*Settings!$C$17)</f>
        <v/>
      </c>
      <c r="BC561" s="35" t="str">
        <f aca="false">IF($B561="","",BA561-BB561)</f>
        <v/>
      </c>
      <c r="BD561" s="35" t="str">
        <f aca="false">IF(OR($B561="",$A561=""),"",DAY(EOMONTH($A561,0))-COUNTA($F561:$AJ561))</f>
        <v/>
      </c>
    </row>
    <row r="562" customFormat="false" ht="15" hidden="false" customHeight="false" outlineLevel="0" collapsed="false">
      <c r="A562" s="32"/>
      <c r="B562" s="29"/>
      <c r="C562" s="10" t="str">
        <f aca="false">IF($B562="","",IFERROR(INDEX(M_name,MATCH($B562,M_emp,0)),"Code not found"))</f>
        <v/>
      </c>
      <c r="D562" s="10" t="str">
        <f aca="false">IF($B562="","",IFERROR(INDEX(M_dept,MATCH($B562,M_emp,0)),""))</f>
        <v/>
      </c>
      <c r="E562" s="10" t="str">
        <f aca="false">IF($B562="","",IFERROR(INDEX(M_loc,MATCH($B562,M_emp,0)),""))</f>
        <v/>
      </c>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4" t="str">
        <f aca="false">IF($B562="","",COUNTIF($F562:$AJ562,"P"))</f>
        <v/>
      </c>
      <c r="AL562" s="34" t="str">
        <f aca="false">IF($B562="","",COUNTIF($F562:$AJ562,"A"))</f>
        <v/>
      </c>
      <c r="AM562" s="34" t="str">
        <f aca="false">IF($B562="","",COUNTIF($F562:$AJ562,"HA"))</f>
        <v/>
      </c>
      <c r="AN562" s="34" t="str">
        <f aca="false">IF($B562="","",COUNTIF($F562:$AJ562,"L"))</f>
        <v/>
      </c>
      <c r="AO562" s="34" t="str">
        <f aca="false">IF($B562="","",COUNTIF($F562:$AJ562,"PL"))</f>
        <v/>
      </c>
      <c r="AP562" s="34" t="str">
        <f aca="false">IF($B562="","",COUNTIF($F562:$AJ562,"CL"))</f>
        <v/>
      </c>
      <c r="AQ562" s="34" t="str">
        <f aca="false">IF($B562="","",COUNTIF($F562:$AJ562,"SL"))</f>
        <v/>
      </c>
      <c r="AR562" s="34" t="str">
        <f aca="false">IF($B562="","",COUNTIF($F562:$AJ562,"CO"))</f>
        <v/>
      </c>
      <c r="AS562" s="34" t="str">
        <f aca="false">IF($B562="","",COUNTIF($F562:$AJ562,"HPL"))</f>
        <v/>
      </c>
      <c r="AT562" s="34" t="str">
        <f aca="false">IF($B562="","",COUNTIF($F562:$AJ562,"HCL"))</f>
        <v/>
      </c>
      <c r="AU562" s="34" t="str">
        <f aca="false">IF($B562="","",COUNTIF($F562:$AJ562,"WO"))</f>
        <v/>
      </c>
      <c r="AV562" s="34" t="str">
        <f aca="false">IF($B562="","",COUNTIF($F562:$AJ562,"PH"))</f>
        <v/>
      </c>
      <c r="AW562" s="34" t="str">
        <f aca="false">IF($B562="","",COUNTIF($F562:$AJ562,"TR"))</f>
        <v/>
      </c>
      <c r="AX562" s="35" t="str">
        <f aca="false">IF($B562="","",AO562+AS562/2)</f>
        <v/>
      </c>
      <c r="AY562" s="35" t="str">
        <f aca="false">IF($B562="","",AQ562)</f>
        <v/>
      </c>
      <c r="AZ562" s="35" t="str">
        <f aca="false">IF($B562="","",AP562+AT562/2)</f>
        <v/>
      </c>
      <c r="BA562" s="35" t="str">
        <f aca="false">IF($B562="","",AK562+AN562+AM562/2+AO562+AP562+AQ562+AR562+AS562+AT562+AU562+AV562+AW562)</f>
        <v/>
      </c>
      <c r="BB562" s="35" t="str">
        <f aca="false">IF($B562="","",MAX(0,AN562-Settings!$C$16)*Settings!$C$17)</f>
        <v/>
      </c>
      <c r="BC562" s="35" t="str">
        <f aca="false">IF($B562="","",BA562-BB562)</f>
        <v/>
      </c>
      <c r="BD562" s="35" t="str">
        <f aca="false">IF(OR($B562="",$A562=""),"",DAY(EOMONTH($A562,0))-COUNTA($F562:$AJ562))</f>
        <v/>
      </c>
    </row>
    <row r="563" customFormat="false" ht="15" hidden="false" customHeight="false" outlineLevel="0" collapsed="false">
      <c r="A563" s="32"/>
      <c r="B563" s="29"/>
      <c r="C563" s="10" t="str">
        <f aca="false">IF($B563="","",IFERROR(INDEX(M_name,MATCH($B563,M_emp,0)),"Code not found"))</f>
        <v/>
      </c>
      <c r="D563" s="10" t="str">
        <f aca="false">IF($B563="","",IFERROR(INDEX(M_dept,MATCH($B563,M_emp,0)),""))</f>
        <v/>
      </c>
      <c r="E563" s="10" t="str">
        <f aca="false">IF($B563="","",IFERROR(INDEX(M_loc,MATCH($B563,M_emp,0)),""))</f>
        <v/>
      </c>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4" t="str">
        <f aca="false">IF($B563="","",COUNTIF($F563:$AJ563,"P"))</f>
        <v/>
      </c>
      <c r="AL563" s="34" t="str">
        <f aca="false">IF($B563="","",COUNTIF($F563:$AJ563,"A"))</f>
        <v/>
      </c>
      <c r="AM563" s="34" t="str">
        <f aca="false">IF($B563="","",COUNTIF($F563:$AJ563,"HA"))</f>
        <v/>
      </c>
      <c r="AN563" s="34" t="str">
        <f aca="false">IF($B563="","",COUNTIF($F563:$AJ563,"L"))</f>
        <v/>
      </c>
      <c r="AO563" s="34" t="str">
        <f aca="false">IF($B563="","",COUNTIF($F563:$AJ563,"PL"))</f>
        <v/>
      </c>
      <c r="AP563" s="34" t="str">
        <f aca="false">IF($B563="","",COUNTIF($F563:$AJ563,"CL"))</f>
        <v/>
      </c>
      <c r="AQ563" s="34" t="str">
        <f aca="false">IF($B563="","",COUNTIF($F563:$AJ563,"SL"))</f>
        <v/>
      </c>
      <c r="AR563" s="34" t="str">
        <f aca="false">IF($B563="","",COUNTIF($F563:$AJ563,"CO"))</f>
        <v/>
      </c>
      <c r="AS563" s="34" t="str">
        <f aca="false">IF($B563="","",COUNTIF($F563:$AJ563,"HPL"))</f>
        <v/>
      </c>
      <c r="AT563" s="34" t="str">
        <f aca="false">IF($B563="","",COUNTIF($F563:$AJ563,"HCL"))</f>
        <v/>
      </c>
      <c r="AU563" s="34" t="str">
        <f aca="false">IF($B563="","",COUNTIF($F563:$AJ563,"WO"))</f>
        <v/>
      </c>
      <c r="AV563" s="34" t="str">
        <f aca="false">IF($B563="","",COUNTIF($F563:$AJ563,"PH"))</f>
        <v/>
      </c>
      <c r="AW563" s="34" t="str">
        <f aca="false">IF($B563="","",COUNTIF($F563:$AJ563,"TR"))</f>
        <v/>
      </c>
      <c r="AX563" s="35" t="str">
        <f aca="false">IF($B563="","",AO563+AS563/2)</f>
        <v/>
      </c>
      <c r="AY563" s="35" t="str">
        <f aca="false">IF($B563="","",AQ563)</f>
        <v/>
      </c>
      <c r="AZ563" s="35" t="str">
        <f aca="false">IF($B563="","",AP563+AT563/2)</f>
        <v/>
      </c>
      <c r="BA563" s="35" t="str">
        <f aca="false">IF($B563="","",AK563+AN563+AM563/2+AO563+AP563+AQ563+AR563+AS563+AT563+AU563+AV563+AW563)</f>
        <v/>
      </c>
      <c r="BB563" s="35" t="str">
        <f aca="false">IF($B563="","",MAX(0,AN563-Settings!$C$16)*Settings!$C$17)</f>
        <v/>
      </c>
      <c r="BC563" s="35" t="str">
        <f aca="false">IF($B563="","",BA563-BB563)</f>
        <v/>
      </c>
      <c r="BD563" s="35" t="str">
        <f aca="false">IF(OR($B563="",$A563=""),"",DAY(EOMONTH($A563,0))-COUNTA($F563:$AJ563))</f>
        <v/>
      </c>
    </row>
    <row r="564" customFormat="false" ht="15" hidden="false" customHeight="false" outlineLevel="0" collapsed="false">
      <c r="A564" s="32"/>
      <c r="B564" s="29"/>
      <c r="C564" s="10" t="str">
        <f aca="false">IF($B564="","",IFERROR(INDEX(M_name,MATCH($B564,M_emp,0)),"Code not found"))</f>
        <v/>
      </c>
      <c r="D564" s="10" t="str">
        <f aca="false">IF($B564="","",IFERROR(INDEX(M_dept,MATCH($B564,M_emp,0)),""))</f>
        <v/>
      </c>
      <c r="E564" s="10" t="str">
        <f aca="false">IF($B564="","",IFERROR(INDEX(M_loc,MATCH($B564,M_emp,0)),""))</f>
        <v/>
      </c>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4" t="str">
        <f aca="false">IF($B564="","",COUNTIF($F564:$AJ564,"P"))</f>
        <v/>
      </c>
      <c r="AL564" s="34" t="str">
        <f aca="false">IF($B564="","",COUNTIF($F564:$AJ564,"A"))</f>
        <v/>
      </c>
      <c r="AM564" s="34" t="str">
        <f aca="false">IF($B564="","",COUNTIF($F564:$AJ564,"HA"))</f>
        <v/>
      </c>
      <c r="AN564" s="34" t="str">
        <f aca="false">IF($B564="","",COUNTIF($F564:$AJ564,"L"))</f>
        <v/>
      </c>
      <c r="AO564" s="34" t="str">
        <f aca="false">IF($B564="","",COUNTIF($F564:$AJ564,"PL"))</f>
        <v/>
      </c>
      <c r="AP564" s="34" t="str">
        <f aca="false">IF($B564="","",COUNTIF($F564:$AJ564,"CL"))</f>
        <v/>
      </c>
      <c r="AQ564" s="34" t="str">
        <f aca="false">IF($B564="","",COUNTIF($F564:$AJ564,"SL"))</f>
        <v/>
      </c>
      <c r="AR564" s="34" t="str">
        <f aca="false">IF($B564="","",COUNTIF($F564:$AJ564,"CO"))</f>
        <v/>
      </c>
      <c r="AS564" s="34" t="str">
        <f aca="false">IF($B564="","",COUNTIF($F564:$AJ564,"HPL"))</f>
        <v/>
      </c>
      <c r="AT564" s="34" t="str">
        <f aca="false">IF($B564="","",COUNTIF($F564:$AJ564,"HCL"))</f>
        <v/>
      </c>
      <c r="AU564" s="34" t="str">
        <f aca="false">IF($B564="","",COUNTIF($F564:$AJ564,"WO"))</f>
        <v/>
      </c>
      <c r="AV564" s="34" t="str">
        <f aca="false">IF($B564="","",COUNTIF($F564:$AJ564,"PH"))</f>
        <v/>
      </c>
      <c r="AW564" s="34" t="str">
        <f aca="false">IF($B564="","",COUNTIF($F564:$AJ564,"TR"))</f>
        <v/>
      </c>
      <c r="AX564" s="35" t="str">
        <f aca="false">IF($B564="","",AO564+AS564/2)</f>
        <v/>
      </c>
      <c r="AY564" s="35" t="str">
        <f aca="false">IF($B564="","",AQ564)</f>
        <v/>
      </c>
      <c r="AZ564" s="35" t="str">
        <f aca="false">IF($B564="","",AP564+AT564/2)</f>
        <v/>
      </c>
      <c r="BA564" s="35" t="str">
        <f aca="false">IF($B564="","",AK564+AN564+AM564/2+AO564+AP564+AQ564+AR564+AS564+AT564+AU564+AV564+AW564)</f>
        <v/>
      </c>
      <c r="BB564" s="35" t="str">
        <f aca="false">IF($B564="","",MAX(0,AN564-Settings!$C$16)*Settings!$C$17)</f>
        <v/>
      </c>
      <c r="BC564" s="35" t="str">
        <f aca="false">IF($B564="","",BA564-BB564)</f>
        <v/>
      </c>
      <c r="BD564" s="35" t="str">
        <f aca="false">IF(OR($B564="",$A564=""),"",DAY(EOMONTH($A564,0))-COUNTA($F564:$AJ564))</f>
        <v/>
      </c>
    </row>
    <row r="565" customFormat="false" ht="15" hidden="false" customHeight="false" outlineLevel="0" collapsed="false">
      <c r="A565" s="32"/>
      <c r="B565" s="29"/>
      <c r="C565" s="10" t="str">
        <f aca="false">IF($B565="","",IFERROR(INDEX(M_name,MATCH($B565,M_emp,0)),"Code not found"))</f>
        <v/>
      </c>
      <c r="D565" s="10" t="str">
        <f aca="false">IF($B565="","",IFERROR(INDEX(M_dept,MATCH($B565,M_emp,0)),""))</f>
        <v/>
      </c>
      <c r="E565" s="10" t="str">
        <f aca="false">IF($B565="","",IFERROR(INDEX(M_loc,MATCH($B565,M_emp,0)),""))</f>
        <v/>
      </c>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4" t="str">
        <f aca="false">IF($B565="","",COUNTIF($F565:$AJ565,"P"))</f>
        <v/>
      </c>
      <c r="AL565" s="34" t="str">
        <f aca="false">IF($B565="","",COUNTIF($F565:$AJ565,"A"))</f>
        <v/>
      </c>
      <c r="AM565" s="34" t="str">
        <f aca="false">IF($B565="","",COUNTIF($F565:$AJ565,"HA"))</f>
        <v/>
      </c>
      <c r="AN565" s="34" t="str">
        <f aca="false">IF($B565="","",COUNTIF($F565:$AJ565,"L"))</f>
        <v/>
      </c>
      <c r="AO565" s="34" t="str">
        <f aca="false">IF($B565="","",COUNTIF($F565:$AJ565,"PL"))</f>
        <v/>
      </c>
      <c r="AP565" s="34" t="str">
        <f aca="false">IF($B565="","",COUNTIF($F565:$AJ565,"CL"))</f>
        <v/>
      </c>
      <c r="AQ565" s="34" t="str">
        <f aca="false">IF($B565="","",COUNTIF($F565:$AJ565,"SL"))</f>
        <v/>
      </c>
      <c r="AR565" s="34" t="str">
        <f aca="false">IF($B565="","",COUNTIF($F565:$AJ565,"CO"))</f>
        <v/>
      </c>
      <c r="AS565" s="34" t="str">
        <f aca="false">IF($B565="","",COUNTIF($F565:$AJ565,"HPL"))</f>
        <v/>
      </c>
      <c r="AT565" s="34" t="str">
        <f aca="false">IF($B565="","",COUNTIF($F565:$AJ565,"HCL"))</f>
        <v/>
      </c>
      <c r="AU565" s="34" t="str">
        <f aca="false">IF($B565="","",COUNTIF($F565:$AJ565,"WO"))</f>
        <v/>
      </c>
      <c r="AV565" s="34" t="str">
        <f aca="false">IF($B565="","",COUNTIF($F565:$AJ565,"PH"))</f>
        <v/>
      </c>
      <c r="AW565" s="34" t="str">
        <f aca="false">IF($B565="","",COUNTIF($F565:$AJ565,"TR"))</f>
        <v/>
      </c>
      <c r="AX565" s="35" t="str">
        <f aca="false">IF($B565="","",AO565+AS565/2)</f>
        <v/>
      </c>
      <c r="AY565" s="35" t="str">
        <f aca="false">IF($B565="","",AQ565)</f>
        <v/>
      </c>
      <c r="AZ565" s="35" t="str">
        <f aca="false">IF($B565="","",AP565+AT565/2)</f>
        <v/>
      </c>
      <c r="BA565" s="35" t="str">
        <f aca="false">IF($B565="","",AK565+AN565+AM565/2+AO565+AP565+AQ565+AR565+AS565+AT565+AU565+AV565+AW565)</f>
        <v/>
      </c>
      <c r="BB565" s="35" t="str">
        <f aca="false">IF($B565="","",MAX(0,AN565-Settings!$C$16)*Settings!$C$17)</f>
        <v/>
      </c>
      <c r="BC565" s="35" t="str">
        <f aca="false">IF($B565="","",BA565-BB565)</f>
        <v/>
      </c>
      <c r="BD565" s="35" t="str">
        <f aca="false">IF(OR($B565="",$A565=""),"",DAY(EOMONTH($A565,0))-COUNTA($F565:$AJ565))</f>
        <v/>
      </c>
    </row>
    <row r="566" customFormat="false" ht="15" hidden="false" customHeight="false" outlineLevel="0" collapsed="false">
      <c r="A566" s="32"/>
      <c r="B566" s="29"/>
      <c r="C566" s="10" t="str">
        <f aca="false">IF($B566="","",IFERROR(INDEX(M_name,MATCH($B566,M_emp,0)),"Code not found"))</f>
        <v/>
      </c>
      <c r="D566" s="10" t="str">
        <f aca="false">IF($B566="","",IFERROR(INDEX(M_dept,MATCH($B566,M_emp,0)),""))</f>
        <v/>
      </c>
      <c r="E566" s="10" t="str">
        <f aca="false">IF($B566="","",IFERROR(INDEX(M_loc,MATCH($B566,M_emp,0)),""))</f>
        <v/>
      </c>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4" t="str">
        <f aca="false">IF($B566="","",COUNTIF($F566:$AJ566,"P"))</f>
        <v/>
      </c>
      <c r="AL566" s="34" t="str">
        <f aca="false">IF($B566="","",COUNTIF($F566:$AJ566,"A"))</f>
        <v/>
      </c>
      <c r="AM566" s="34" t="str">
        <f aca="false">IF($B566="","",COUNTIF($F566:$AJ566,"HA"))</f>
        <v/>
      </c>
      <c r="AN566" s="34" t="str">
        <f aca="false">IF($B566="","",COUNTIF($F566:$AJ566,"L"))</f>
        <v/>
      </c>
      <c r="AO566" s="34" t="str">
        <f aca="false">IF($B566="","",COUNTIF($F566:$AJ566,"PL"))</f>
        <v/>
      </c>
      <c r="AP566" s="34" t="str">
        <f aca="false">IF($B566="","",COUNTIF($F566:$AJ566,"CL"))</f>
        <v/>
      </c>
      <c r="AQ566" s="34" t="str">
        <f aca="false">IF($B566="","",COUNTIF($F566:$AJ566,"SL"))</f>
        <v/>
      </c>
      <c r="AR566" s="34" t="str">
        <f aca="false">IF($B566="","",COUNTIF($F566:$AJ566,"CO"))</f>
        <v/>
      </c>
      <c r="AS566" s="34" t="str">
        <f aca="false">IF($B566="","",COUNTIF($F566:$AJ566,"HPL"))</f>
        <v/>
      </c>
      <c r="AT566" s="34" t="str">
        <f aca="false">IF($B566="","",COUNTIF($F566:$AJ566,"HCL"))</f>
        <v/>
      </c>
      <c r="AU566" s="34" t="str">
        <f aca="false">IF($B566="","",COUNTIF($F566:$AJ566,"WO"))</f>
        <v/>
      </c>
      <c r="AV566" s="34" t="str">
        <f aca="false">IF($B566="","",COUNTIF($F566:$AJ566,"PH"))</f>
        <v/>
      </c>
      <c r="AW566" s="34" t="str">
        <f aca="false">IF($B566="","",COUNTIF($F566:$AJ566,"TR"))</f>
        <v/>
      </c>
      <c r="AX566" s="35" t="str">
        <f aca="false">IF($B566="","",AO566+AS566/2)</f>
        <v/>
      </c>
      <c r="AY566" s="35" t="str">
        <f aca="false">IF($B566="","",AQ566)</f>
        <v/>
      </c>
      <c r="AZ566" s="35" t="str">
        <f aca="false">IF($B566="","",AP566+AT566/2)</f>
        <v/>
      </c>
      <c r="BA566" s="35" t="str">
        <f aca="false">IF($B566="","",AK566+AN566+AM566/2+AO566+AP566+AQ566+AR566+AS566+AT566+AU566+AV566+AW566)</f>
        <v/>
      </c>
      <c r="BB566" s="35" t="str">
        <f aca="false">IF($B566="","",MAX(0,AN566-Settings!$C$16)*Settings!$C$17)</f>
        <v/>
      </c>
      <c r="BC566" s="35" t="str">
        <f aca="false">IF($B566="","",BA566-BB566)</f>
        <v/>
      </c>
      <c r="BD566" s="35" t="str">
        <f aca="false">IF(OR($B566="",$A566=""),"",DAY(EOMONTH($A566,0))-COUNTA($F566:$AJ566))</f>
        <v/>
      </c>
    </row>
    <row r="567" customFormat="false" ht="15" hidden="false" customHeight="false" outlineLevel="0" collapsed="false">
      <c r="A567" s="32"/>
      <c r="B567" s="29"/>
      <c r="C567" s="10" t="str">
        <f aca="false">IF($B567="","",IFERROR(INDEX(M_name,MATCH($B567,M_emp,0)),"Code not found"))</f>
        <v/>
      </c>
      <c r="D567" s="10" t="str">
        <f aca="false">IF($B567="","",IFERROR(INDEX(M_dept,MATCH($B567,M_emp,0)),""))</f>
        <v/>
      </c>
      <c r="E567" s="10" t="str">
        <f aca="false">IF($B567="","",IFERROR(INDEX(M_loc,MATCH($B567,M_emp,0)),""))</f>
        <v/>
      </c>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4" t="str">
        <f aca="false">IF($B567="","",COUNTIF($F567:$AJ567,"P"))</f>
        <v/>
      </c>
      <c r="AL567" s="34" t="str">
        <f aca="false">IF($B567="","",COUNTIF($F567:$AJ567,"A"))</f>
        <v/>
      </c>
      <c r="AM567" s="34" t="str">
        <f aca="false">IF($B567="","",COUNTIF($F567:$AJ567,"HA"))</f>
        <v/>
      </c>
      <c r="AN567" s="34" t="str">
        <f aca="false">IF($B567="","",COUNTIF($F567:$AJ567,"L"))</f>
        <v/>
      </c>
      <c r="AO567" s="34" t="str">
        <f aca="false">IF($B567="","",COUNTIF($F567:$AJ567,"PL"))</f>
        <v/>
      </c>
      <c r="AP567" s="34" t="str">
        <f aca="false">IF($B567="","",COUNTIF($F567:$AJ567,"CL"))</f>
        <v/>
      </c>
      <c r="AQ567" s="34" t="str">
        <f aca="false">IF($B567="","",COUNTIF($F567:$AJ567,"SL"))</f>
        <v/>
      </c>
      <c r="AR567" s="34" t="str">
        <f aca="false">IF($B567="","",COUNTIF($F567:$AJ567,"CO"))</f>
        <v/>
      </c>
      <c r="AS567" s="34" t="str">
        <f aca="false">IF($B567="","",COUNTIF($F567:$AJ567,"HPL"))</f>
        <v/>
      </c>
      <c r="AT567" s="34" t="str">
        <f aca="false">IF($B567="","",COUNTIF($F567:$AJ567,"HCL"))</f>
        <v/>
      </c>
      <c r="AU567" s="34" t="str">
        <f aca="false">IF($B567="","",COUNTIF($F567:$AJ567,"WO"))</f>
        <v/>
      </c>
      <c r="AV567" s="34" t="str">
        <f aca="false">IF($B567="","",COUNTIF($F567:$AJ567,"PH"))</f>
        <v/>
      </c>
      <c r="AW567" s="34" t="str">
        <f aca="false">IF($B567="","",COUNTIF($F567:$AJ567,"TR"))</f>
        <v/>
      </c>
      <c r="AX567" s="35" t="str">
        <f aca="false">IF($B567="","",AO567+AS567/2)</f>
        <v/>
      </c>
      <c r="AY567" s="35" t="str">
        <f aca="false">IF($B567="","",AQ567)</f>
        <v/>
      </c>
      <c r="AZ567" s="35" t="str">
        <f aca="false">IF($B567="","",AP567+AT567/2)</f>
        <v/>
      </c>
      <c r="BA567" s="35" t="str">
        <f aca="false">IF($B567="","",AK567+AN567+AM567/2+AO567+AP567+AQ567+AR567+AS567+AT567+AU567+AV567+AW567)</f>
        <v/>
      </c>
      <c r="BB567" s="35" t="str">
        <f aca="false">IF($B567="","",MAX(0,AN567-Settings!$C$16)*Settings!$C$17)</f>
        <v/>
      </c>
      <c r="BC567" s="35" t="str">
        <f aca="false">IF($B567="","",BA567-BB567)</f>
        <v/>
      </c>
      <c r="BD567" s="35" t="str">
        <f aca="false">IF(OR($B567="",$A567=""),"",DAY(EOMONTH($A567,0))-COUNTA($F567:$AJ567))</f>
        <v/>
      </c>
    </row>
    <row r="568" customFormat="false" ht="15" hidden="false" customHeight="false" outlineLevel="0" collapsed="false">
      <c r="A568" s="32"/>
      <c r="B568" s="29"/>
      <c r="C568" s="10" t="str">
        <f aca="false">IF($B568="","",IFERROR(INDEX(M_name,MATCH($B568,M_emp,0)),"Code not found"))</f>
        <v/>
      </c>
      <c r="D568" s="10" t="str">
        <f aca="false">IF($B568="","",IFERROR(INDEX(M_dept,MATCH($B568,M_emp,0)),""))</f>
        <v/>
      </c>
      <c r="E568" s="10" t="str">
        <f aca="false">IF($B568="","",IFERROR(INDEX(M_loc,MATCH($B568,M_emp,0)),""))</f>
        <v/>
      </c>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4" t="str">
        <f aca="false">IF($B568="","",COUNTIF($F568:$AJ568,"P"))</f>
        <v/>
      </c>
      <c r="AL568" s="34" t="str">
        <f aca="false">IF($B568="","",COUNTIF($F568:$AJ568,"A"))</f>
        <v/>
      </c>
      <c r="AM568" s="34" t="str">
        <f aca="false">IF($B568="","",COUNTIF($F568:$AJ568,"HA"))</f>
        <v/>
      </c>
      <c r="AN568" s="34" t="str">
        <f aca="false">IF($B568="","",COUNTIF($F568:$AJ568,"L"))</f>
        <v/>
      </c>
      <c r="AO568" s="34" t="str">
        <f aca="false">IF($B568="","",COUNTIF($F568:$AJ568,"PL"))</f>
        <v/>
      </c>
      <c r="AP568" s="34" t="str">
        <f aca="false">IF($B568="","",COUNTIF($F568:$AJ568,"CL"))</f>
        <v/>
      </c>
      <c r="AQ568" s="34" t="str">
        <f aca="false">IF($B568="","",COUNTIF($F568:$AJ568,"SL"))</f>
        <v/>
      </c>
      <c r="AR568" s="34" t="str">
        <f aca="false">IF($B568="","",COUNTIF($F568:$AJ568,"CO"))</f>
        <v/>
      </c>
      <c r="AS568" s="34" t="str">
        <f aca="false">IF($B568="","",COUNTIF($F568:$AJ568,"HPL"))</f>
        <v/>
      </c>
      <c r="AT568" s="34" t="str">
        <f aca="false">IF($B568="","",COUNTIF($F568:$AJ568,"HCL"))</f>
        <v/>
      </c>
      <c r="AU568" s="34" t="str">
        <f aca="false">IF($B568="","",COUNTIF($F568:$AJ568,"WO"))</f>
        <v/>
      </c>
      <c r="AV568" s="34" t="str">
        <f aca="false">IF($B568="","",COUNTIF($F568:$AJ568,"PH"))</f>
        <v/>
      </c>
      <c r="AW568" s="34" t="str">
        <f aca="false">IF($B568="","",COUNTIF($F568:$AJ568,"TR"))</f>
        <v/>
      </c>
      <c r="AX568" s="35" t="str">
        <f aca="false">IF($B568="","",AO568+AS568/2)</f>
        <v/>
      </c>
      <c r="AY568" s="35" t="str">
        <f aca="false">IF($B568="","",AQ568)</f>
        <v/>
      </c>
      <c r="AZ568" s="35" t="str">
        <f aca="false">IF($B568="","",AP568+AT568/2)</f>
        <v/>
      </c>
      <c r="BA568" s="35" t="str">
        <f aca="false">IF($B568="","",AK568+AN568+AM568/2+AO568+AP568+AQ568+AR568+AS568+AT568+AU568+AV568+AW568)</f>
        <v/>
      </c>
      <c r="BB568" s="35" t="str">
        <f aca="false">IF($B568="","",MAX(0,AN568-Settings!$C$16)*Settings!$C$17)</f>
        <v/>
      </c>
      <c r="BC568" s="35" t="str">
        <f aca="false">IF($B568="","",BA568-BB568)</f>
        <v/>
      </c>
      <c r="BD568" s="35" t="str">
        <f aca="false">IF(OR($B568="",$A568=""),"",DAY(EOMONTH($A568,0))-COUNTA($F568:$AJ568))</f>
        <v/>
      </c>
    </row>
    <row r="569" customFormat="false" ht="15" hidden="false" customHeight="false" outlineLevel="0" collapsed="false">
      <c r="A569" s="32"/>
      <c r="B569" s="29"/>
      <c r="C569" s="10" t="str">
        <f aca="false">IF($B569="","",IFERROR(INDEX(M_name,MATCH($B569,M_emp,0)),"Code not found"))</f>
        <v/>
      </c>
      <c r="D569" s="10" t="str">
        <f aca="false">IF($B569="","",IFERROR(INDEX(M_dept,MATCH($B569,M_emp,0)),""))</f>
        <v/>
      </c>
      <c r="E569" s="10" t="str">
        <f aca="false">IF($B569="","",IFERROR(INDEX(M_loc,MATCH($B569,M_emp,0)),""))</f>
        <v/>
      </c>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4" t="str">
        <f aca="false">IF($B569="","",COUNTIF($F569:$AJ569,"P"))</f>
        <v/>
      </c>
      <c r="AL569" s="34" t="str">
        <f aca="false">IF($B569="","",COUNTIF($F569:$AJ569,"A"))</f>
        <v/>
      </c>
      <c r="AM569" s="34" t="str">
        <f aca="false">IF($B569="","",COUNTIF($F569:$AJ569,"HA"))</f>
        <v/>
      </c>
      <c r="AN569" s="34" t="str">
        <f aca="false">IF($B569="","",COUNTIF($F569:$AJ569,"L"))</f>
        <v/>
      </c>
      <c r="AO569" s="34" t="str">
        <f aca="false">IF($B569="","",COUNTIF($F569:$AJ569,"PL"))</f>
        <v/>
      </c>
      <c r="AP569" s="34" t="str">
        <f aca="false">IF($B569="","",COUNTIF($F569:$AJ569,"CL"))</f>
        <v/>
      </c>
      <c r="AQ569" s="34" t="str">
        <f aca="false">IF($B569="","",COUNTIF($F569:$AJ569,"SL"))</f>
        <v/>
      </c>
      <c r="AR569" s="34" t="str">
        <f aca="false">IF($B569="","",COUNTIF($F569:$AJ569,"CO"))</f>
        <v/>
      </c>
      <c r="AS569" s="34" t="str">
        <f aca="false">IF($B569="","",COUNTIF($F569:$AJ569,"HPL"))</f>
        <v/>
      </c>
      <c r="AT569" s="34" t="str">
        <f aca="false">IF($B569="","",COUNTIF($F569:$AJ569,"HCL"))</f>
        <v/>
      </c>
      <c r="AU569" s="34" t="str">
        <f aca="false">IF($B569="","",COUNTIF($F569:$AJ569,"WO"))</f>
        <v/>
      </c>
      <c r="AV569" s="34" t="str">
        <f aca="false">IF($B569="","",COUNTIF($F569:$AJ569,"PH"))</f>
        <v/>
      </c>
      <c r="AW569" s="34" t="str">
        <f aca="false">IF($B569="","",COUNTIF($F569:$AJ569,"TR"))</f>
        <v/>
      </c>
      <c r="AX569" s="35" t="str">
        <f aca="false">IF($B569="","",AO569+AS569/2)</f>
        <v/>
      </c>
      <c r="AY569" s="35" t="str">
        <f aca="false">IF($B569="","",AQ569)</f>
        <v/>
      </c>
      <c r="AZ569" s="35" t="str">
        <f aca="false">IF($B569="","",AP569+AT569/2)</f>
        <v/>
      </c>
      <c r="BA569" s="35" t="str">
        <f aca="false">IF($B569="","",AK569+AN569+AM569/2+AO569+AP569+AQ569+AR569+AS569+AT569+AU569+AV569+AW569)</f>
        <v/>
      </c>
      <c r="BB569" s="35" t="str">
        <f aca="false">IF($B569="","",MAX(0,AN569-Settings!$C$16)*Settings!$C$17)</f>
        <v/>
      </c>
      <c r="BC569" s="35" t="str">
        <f aca="false">IF($B569="","",BA569-BB569)</f>
        <v/>
      </c>
      <c r="BD569" s="35" t="str">
        <f aca="false">IF(OR($B569="",$A569=""),"",DAY(EOMONTH($A569,0))-COUNTA($F569:$AJ569))</f>
        <v/>
      </c>
    </row>
    <row r="570" customFormat="false" ht="15" hidden="false" customHeight="false" outlineLevel="0" collapsed="false">
      <c r="A570" s="32"/>
      <c r="B570" s="29"/>
      <c r="C570" s="10" t="str">
        <f aca="false">IF($B570="","",IFERROR(INDEX(M_name,MATCH($B570,M_emp,0)),"Code not found"))</f>
        <v/>
      </c>
      <c r="D570" s="10" t="str">
        <f aca="false">IF($B570="","",IFERROR(INDEX(M_dept,MATCH($B570,M_emp,0)),""))</f>
        <v/>
      </c>
      <c r="E570" s="10" t="str">
        <f aca="false">IF($B570="","",IFERROR(INDEX(M_loc,MATCH($B570,M_emp,0)),""))</f>
        <v/>
      </c>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4" t="str">
        <f aca="false">IF($B570="","",COUNTIF($F570:$AJ570,"P"))</f>
        <v/>
      </c>
      <c r="AL570" s="34" t="str">
        <f aca="false">IF($B570="","",COUNTIF($F570:$AJ570,"A"))</f>
        <v/>
      </c>
      <c r="AM570" s="34" t="str">
        <f aca="false">IF($B570="","",COUNTIF($F570:$AJ570,"HA"))</f>
        <v/>
      </c>
      <c r="AN570" s="34" t="str">
        <f aca="false">IF($B570="","",COUNTIF($F570:$AJ570,"L"))</f>
        <v/>
      </c>
      <c r="AO570" s="34" t="str">
        <f aca="false">IF($B570="","",COUNTIF($F570:$AJ570,"PL"))</f>
        <v/>
      </c>
      <c r="AP570" s="34" t="str">
        <f aca="false">IF($B570="","",COUNTIF($F570:$AJ570,"CL"))</f>
        <v/>
      </c>
      <c r="AQ570" s="34" t="str">
        <f aca="false">IF($B570="","",COUNTIF($F570:$AJ570,"SL"))</f>
        <v/>
      </c>
      <c r="AR570" s="34" t="str">
        <f aca="false">IF($B570="","",COUNTIF($F570:$AJ570,"CO"))</f>
        <v/>
      </c>
      <c r="AS570" s="34" t="str">
        <f aca="false">IF($B570="","",COUNTIF($F570:$AJ570,"HPL"))</f>
        <v/>
      </c>
      <c r="AT570" s="34" t="str">
        <f aca="false">IF($B570="","",COUNTIF($F570:$AJ570,"HCL"))</f>
        <v/>
      </c>
      <c r="AU570" s="34" t="str">
        <f aca="false">IF($B570="","",COUNTIF($F570:$AJ570,"WO"))</f>
        <v/>
      </c>
      <c r="AV570" s="34" t="str">
        <f aca="false">IF($B570="","",COUNTIF($F570:$AJ570,"PH"))</f>
        <v/>
      </c>
      <c r="AW570" s="34" t="str">
        <f aca="false">IF($B570="","",COUNTIF($F570:$AJ570,"TR"))</f>
        <v/>
      </c>
      <c r="AX570" s="35" t="str">
        <f aca="false">IF($B570="","",AO570+AS570/2)</f>
        <v/>
      </c>
      <c r="AY570" s="35" t="str">
        <f aca="false">IF($B570="","",AQ570)</f>
        <v/>
      </c>
      <c r="AZ570" s="35" t="str">
        <f aca="false">IF($B570="","",AP570+AT570/2)</f>
        <v/>
      </c>
      <c r="BA570" s="35" t="str">
        <f aca="false">IF($B570="","",AK570+AN570+AM570/2+AO570+AP570+AQ570+AR570+AS570+AT570+AU570+AV570+AW570)</f>
        <v/>
      </c>
      <c r="BB570" s="35" t="str">
        <f aca="false">IF($B570="","",MAX(0,AN570-Settings!$C$16)*Settings!$C$17)</f>
        <v/>
      </c>
      <c r="BC570" s="35" t="str">
        <f aca="false">IF($B570="","",BA570-BB570)</f>
        <v/>
      </c>
      <c r="BD570" s="35" t="str">
        <f aca="false">IF(OR($B570="",$A570=""),"",DAY(EOMONTH($A570,0))-COUNTA($F570:$AJ570))</f>
        <v/>
      </c>
    </row>
    <row r="571" customFormat="false" ht="15" hidden="false" customHeight="false" outlineLevel="0" collapsed="false">
      <c r="A571" s="32"/>
      <c r="B571" s="29"/>
      <c r="C571" s="10" t="str">
        <f aca="false">IF($B571="","",IFERROR(INDEX(M_name,MATCH($B571,M_emp,0)),"Code not found"))</f>
        <v/>
      </c>
      <c r="D571" s="10" t="str">
        <f aca="false">IF($B571="","",IFERROR(INDEX(M_dept,MATCH($B571,M_emp,0)),""))</f>
        <v/>
      </c>
      <c r="E571" s="10" t="str">
        <f aca="false">IF($B571="","",IFERROR(INDEX(M_loc,MATCH($B571,M_emp,0)),""))</f>
        <v/>
      </c>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4" t="str">
        <f aca="false">IF($B571="","",COUNTIF($F571:$AJ571,"P"))</f>
        <v/>
      </c>
      <c r="AL571" s="34" t="str">
        <f aca="false">IF($B571="","",COUNTIF($F571:$AJ571,"A"))</f>
        <v/>
      </c>
      <c r="AM571" s="34" t="str">
        <f aca="false">IF($B571="","",COUNTIF($F571:$AJ571,"HA"))</f>
        <v/>
      </c>
      <c r="AN571" s="34" t="str">
        <f aca="false">IF($B571="","",COUNTIF($F571:$AJ571,"L"))</f>
        <v/>
      </c>
      <c r="AO571" s="34" t="str">
        <f aca="false">IF($B571="","",COUNTIF($F571:$AJ571,"PL"))</f>
        <v/>
      </c>
      <c r="AP571" s="34" t="str">
        <f aca="false">IF($B571="","",COUNTIF($F571:$AJ571,"CL"))</f>
        <v/>
      </c>
      <c r="AQ571" s="34" t="str">
        <f aca="false">IF($B571="","",COUNTIF($F571:$AJ571,"SL"))</f>
        <v/>
      </c>
      <c r="AR571" s="34" t="str">
        <f aca="false">IF($B571="","",COUNTIF($F571:$AJ571,"CO"))</f>
        <v/>
      </c>
      <c r="AS571" s="34" t="str">
        <f aca="false">IF($B571="","",COUNTIF($F571:$AJ571,"HPL"))</f>
        <v/>
      </c>
      <c r="AT571" s="34" t="str">
        <f aca="false">IF($B571="","",COUNTIF($F571:$AJ571,"HCL"))</f>
        <v/>
      </c>
      <c r="AU571" s="34" t="str">
        <f aca="false">IF($B571="","",COUNTIF($F571:$AJ571,"WO"))</f>
        <v/>
      </c>
      <c r="AV571" s="34" t="str">
        <f aca="false">IF($B571="","",COUNTIF($F571:$AJ571,"PH"))</f>
        <v/>
      </c>
      <c r="AW571" s="34" t="str">
        <f aca="false">IF($B571="","",COUNTIF($F571:$AJ571,"TR"))</f>
        <v/>
      </c>
      <c r="AX571" s="35" t="str">
        <f aca="false">IF($B571="","",AO571+AS571/2)</f>
        <v/>
      </c>
      <c r="AY571" s="35" t="str">
        <f aca="false">IF($B571="","",AQ571)</f>
        <v/>
      </c>
      <c r="AZ571" s="35" t="str">
        <f aca="false">IF($B571="","",AP571+AT571/2)</f>
        <v/>
      </c>
      <c r="BA571" s="35" t="str">
        <f aca="false">IF($B571="","",AK571+AN571+AM571/2+AO571+AP571+AQ571+AR571+AS571+AT571+AU571+AV571+AW571)</f>
        <v/>
      </c>
      <c r="BB571" s="35" t="str">
        <f aca="false">IF($B571="","",MAX(0,AN571-Settings!$C$16)*Settings!$C$17)</f>
        <v/>
      </c>
      <c r="BC571" s="35" t="str">
        <f aca="false">IF($B571="","",BA571-BB571)</f>
        <v/>
      </c>
      <c r="BD571" s="35" t="str">
        <f aca="false">IF(OR($B571="",$A571=""),"",DAY(EOMONTH($A571,0))-COUNTA($F571:$AJ571))</f>
        <v/>
      </c>
    </row>
    <row r="572" customFormat="false" ht="15" hidden="false" customHeight="false" outlineLevel="0" collapsed="false">
      <c r="A572" s="32"/>
      <c r="B572" s="29"/>
      <c r="C572" s="10" t="str">
        <f aca="false">IF($B572="","",IFERROR(INDEX(M_name,MATCH($B572,M_emp,0)),"Code not found"))</f>
        <v/>
      </c>
      <c r="D572" s="10" t="str">
        <f aca="false">IF($B572="","",IFERROR(INDEX(M_dept,MATCH($B572,M_emp,0)),""))</f>
        <v/>
      </c>
      <c r="E572" s="10" t="str">
        <f aca="false">IF($B572="","",IFERROR(INDEX(M_loc,MATCH($B572,M_emp,0)),""))</f>
        <v/>
      </c>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4" t="str">
        <f aca="false">IF($B572="","",COUNTIF($F572:$AJ572,"P"))</f>
        <v/>
      </c>
      <c r="AL572" s="34" t="str">
        <f aca="false">IF($B572="","",COUNTIF($F572:$AJ572,"A"))</f>
        <v/>
      </c>
      <c r="AM572" s="34" t="str">
        <f aca="false">IF($B572="","",COUNTIF($F572:$AJ572,"HA"))</f>
        <v/>
      </c>
      <c r="AN572" s="34" t="str">
        <f aca="false">IF($B572="","",COUNTIF($F572:$AJ572,"L"))</f>
        <v/>
      </c>
      <c r="AO572" s="34" t="str">
        <f aca="false">IF($B572="","",COUNTIF($F572:$AJ572,"PL"))</f>
        <v/>
      </c>
      <c r="AP572" s="34" t="str">
        <f aca="false">IF($B572="","",COUNTIF($F572:$AJ572,"CL"))</f>
        <v/>
      </c>
      <c r="AQ572" s="34" t="str">
        <f aca="false">IF($B572="","",COUNTIF($F572:$AJ572,"SL"))</f>
        <v/>
      </c>
      <c r="AR572" s="34" t="str">
        <f aca="false">IF($B572="","",COUNTIF($F572:$AJ572,"CO"))</f>
        <v/>
      </c>
      <c r="AS572" s="34" t="str">
        <f aca="false">IF($B572="","",COUNTIF($F572:$AJ572,"HPL"))</f>
        <v/>
      </c>
      <c r="AT572" s="34" t="str">
        <f aca="false">IF($B572="","",COUNTIF($F572:$AJ572,"HCL"))</f>
        <v/>
      </c>
      <c r="AU572" s="34" t="str">
        <f aca="false">IF($B572="","",COUNTIF($F572:$AJ572,"WO"))</f>
        <v/>
      </c>
      <c r="AV572" s="34" t="str">
        <f aca="false">IF($B572="","",COUNTIF($F572:$AJ572,"PH"))</f>
        <v/>
      </c>
      <c r="AW572" s="34" t="str">
        <f aca="false">IF($B572="","",COUNTIF($F572:$AJ572,"TR"))</f>
        <v/>
      </c>
      <c r="AX572" s="35" t="str">
        <f aca="false">IF($B572="","",AO572+AS572/2)</f>
        <v/>
      </c>
      <c r="AY572" s="35" t="str">
        <f aca="false">IF($B572="","",AQ572)</f>
        <v/>
      </c>
      <c r="AZ572" s="35" t="str">
        <f aca="false">IF($B572="","",AP572+AT572/2)</f>
        <v/>
      </c>
      <c r="BA572" s="35" t="str">
        <f aca="false">IF($B572="","",AK572+AN572+AM572/2+AO572+AP572+AQ572+AR572+AS572+AT572+AU572+AV572+AW572)</f>
        <v/>
      </c>
      <c r="BB572" s="35" t="str">
        <f aca="false">IF($B572="","",MAX(0,AN572-Settings!$C$16)*Settings!$C$17)</f>
        <v/>
      </c>
      <c r="BC572" s="35" t="str">
        <f aca="false">IF($B572="","",BA572-BB572)</f>
        <v/>
      </c>
      <c r="BD572" s="35" t="str">
        <f aca="false">IF(OR($B572="",$A572=""),"",DAY(EOMONTH($A572,0))-COUNTA($F572:$AJ572))</f>
        <v/>
      </c>
    </row>
    <row r="573" customFormat="false" ht="15" hidden="false" customHeight="false" outlineLevel="0" collapsed="false">
      <c r="A573" s="32"/>
      <c r="B573" s="29"/>
      <c r="C573" s="10" t="str">
        <f aca="false">IF($B573="","",IFERROR(INDEX(M_name,MATCH($B573,M_emp,0)),"Code not found"))</f>
        <v/>
      </c>
      <c r="D573" s="10" t="str">
        <f aca="false">IF($B573="","",IFERROR(INDEX(M_dept,MATCH($B573,M_emp,0)),""))</f>
        <v/>
      </c>
      <c r="E573" s="10" t="str">
        <f aca="false">IF($B573="","",IFERROR(INDEX(M_loc,MATCH($B573,M_emp,0)),""))</f>
        <v/>
      </c>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4" t="str">
        <f aca="false">IF($B573="","",COUNTIF($F573:$AJ573,"P"))</f>
        <v/>
      </c>
      <c r="AL573" s="34" t="str">
        <f aca="false">IF($B573="","",COUNTIF($F573:$AJ573,"A"))</f>
        <v/>
      </c>
      <c r="AM573" s="34" t="str">
        <f aca="false">IF($B573="","",COUNTIF($F573:$AJ573,"HA"))</f>
        <v/>
      </c>
      <c r="AN573" s="34" t="str">
        <f aca="false">IF($B573="","",COUNTIF($F573:$AJ573,"L"))</f>
        <v/>
      </c>
      <c r="AO573" s="34" t="str">
        <f aca="false">IF($B573="","",COUNTIF($F573:$AJ573,"PL"))</f>
        <v/>
      </c>
      <c r="AP573" s="34" t="str">
        <f aca="false">IF($B573="","",COUNTIF($F573:$AJ573,"CL"))</f>
        <v/>
      </c>
      <c r="AQ573" s="34" t="str">
        <f aca="false">IF($B573="","",COUNTIF($F573:$AJ573,"SL"))</f>
        <v/>
      </c>
      <c r="AR573" s="34" t="str">
        <f aca="false">IF($B573="","",COUNTIF($F573:$AJ573,"CO"))</f>
        <v/>
      </c>
      <c r="AS573" s="34" t="str">
        <f aca="false">IF($B573="","",COUNTIF($F573:$AJ573,"HPL"))</f>
        <v/>
      </c>
      <c r="AT573" s="34" t="str">
        <f aca="false">IF($B573="","",COUNTIF($F573:$AJ573,"HCL"))</f>
        <v/>
      </c>
      <c r="AU573" s="34" t="str">
        <f aca="false">IF($B573="","",COUNTIF($F573:$AJ573,"WO"))</f>
        <v/>
      </c>
      <c r="AV573" s="34" t="str">
        <f aca="false">IF($B573="","",COUNTIF($F573:$AJ573,"PH"))</f>
        <v/>
      </c>
      <c r="AW573" s="34" t="str">
        <f aca="false">IF($B573="","",COUNTIF($F573:$AJ573,"TR"))</f>
        <v/>
      </c>
      <c r="AX573" s="35" t="str">
        <f aca="false">IF($B573="","",AO573+AS573/2)</f>
        <v/>
      </c>
      <c r="AY573" s="35" t="str">
        <f aca="false">IF($B573="","",AQ573)</f>
        <v/>
      </c>
      <c r="AZ573" s="35" t="str">
        <f aca="false">IF($B573="","",AP573+AT573/2)</f>
        <v/>
      </c>
      <c r="BA573" s="35" t="str">
        <f aca="false">IF($B573="","",AK573+AN573+AM573/2+AO573+AP573+AQ573+AR573+AS573+AT573+AU573+AV573+AW573)</f>
        <v/>
      </c>
      <c r="BB573" s="35" t="str">
        <f aca="false">IF($B573="","",MAX(0,AN573-Settings!$C$16)*Settings!$C$17)</f>
        <v/>
      </c>
      <c r="BC573" s="35" t="str">
        <f aca="false">IF($B573="","",BA573-BB573)</f>
        <v/>
      </c>
      <c r="BD573" s="35" t="str">
        <f aca="false">IF(OR($B573="",$A573=""),"",DAY(EOMONTH($A573,0))-COUNTA($F573:$AJ573))</f>
        <v/>
      </c>
    </row>
    <row r="574" customFormat="false" ht="15" hidden="false" customHeight="false" outlineLevel="0" collapsed="false">
      <c r="A574" s="32"/>
      <c r="B574" s="29"/>
      <c r="C574" s="10" t="str">
        <f aca="false">IF($B574="","",IFERROR(INDEX(M_name,MATCH($B574,M_emp,0)),"Code not found"))</f>
        <v/>
      </c>
      <c r="D574" s="10" t="str">
        <f aca="false">IF($B574="","",IFERROR(INDEX(M_dept,MATCH($B574,M_emp,0)),""))</f>
        <v/>
      </c>
      <c r="E574" s="10" t="str">
        <f aca="false">IF($B574="","",IFERROR(INDEX(M_loc,MATCH($B574,M_emp,0)),""))</f>
        <v/>
      </c>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4" t="str">
        <f aca="false">IF($B574="","",COUNTIF($F574:$AJ574,"P"))</f>
        <v/>
      </c>
      <c r="AL574" s="34" t="str">
        <f aca="false">IF($B574="","",COUNTIF($F574:$AJ574,"A"))</f>
        <v/>
      </c>
      <c r="AM574" s="34" t="str">
        <f aca="false">IF($B574="","",COUNTIF($F574:$AJ574,"HA"))</f>
        <v/>
      </c>
      <c r="AN574" s="34" t="str">
        <f aca="false">IF($B574="","",COUNTIF($F574:$AJ574,"L"))</f>
        <v/>
      </c>
      <c r="AO574" s="34" t="str">
        <f aca="false">IF($B574="","",COUNTIF($F574:$AJ574,"PL"))</f>
        <v/>
      </c>
      <c r="AP574" s="34" t="str">
        <f aca="false">IF($B574="","",COUNTIF($F574:$AJ574,"CL"))</f>
        <v/>
      </c>
      <c r="AQ574" s="34" t="str">
        <f aca="false">IF($B574="","",COUNTIF($F574:$AJ574,"SL"))</f>
        <v/>
      </c>
      <c r="AR574" s="34" t="str">
        <f aca="false">IF($B574="","",COUNTIF($F574:$AJ574,"CO"))</f>
        <v/>
      </c>
      <c r="AS574" s="34" t="str">
        <f aca="false">IF($B574="","",COUNTIF($F574:$AJ574,"HPL"))</f>
        <v/>
      </c>
      <c r="AT574" s="34" t="str">
        <f aca="false">IF($B574="","",COUNTIF($F574:$AJ574,"HCL"))</f>
        <v/>
      </c>
      <c r="AU574" s="34" t="str">
        <f aca="false">IF($B574="","",COUNTIF($F574:$AJ574,"WO"))</f>
        <v/>
      </c>
      <c r="AV574" s="34" t="str">
        <f aca="false">IF($B574="","",COUNTIF($F574:$AJ574,"PH"))</f>
        <v/>
      </c>
      <c r="AW574" s="34" t="str">
        <f aca="false">IF($B574="","",COUNTIF($F574:$AJ574,"TR"))</f>
        <v/>
      </c>
      <c r="AX574" s="35" t="str">
        <f aca="false">IF($B574="","",AO574+AS574/2)</f>
        <v/>
      </c>
      <c r="AY574" s="35" t="str">
        <f aca="false">IF($B574="","",AQ574)</f>
        <v/>
      </c>
      <c r="AZ574" s="35" t="str">
        <f aca="false">IF($B574="","",AP574+AT574/2)</f>
        <v/>
      </c>
      <c r="BA574" s="35" t="str">
        <f aca="false">IF($B574="","",AK574+AN574+AM574/2+AO574+AP574+AQ574+AR574+AS574+AT574+AU574+AV574+AW574)</f>
        <v/>
      </c>
      <c r="BB574" s="35" t="str">
        <f aca="false">IF($B574="","",MAX(0,AN574-Settings!$C$16)*Settings!$C$17)</f>
        <v/>
      </c>
      <c r="BC574" s="35" t="str">
        <f aca="false">IF($B574="","",BA574-BB574)</f>
        <v/>
      </c>
      <c r="BD574" s="35" t="str">
        <f aca="false">IF(OR($B574="",$A574=""),"",DAY(EOMONTH($A574,0))-COUNTA($F574:$AJ574))</f>
        <v/>
      </c>
    </row>
    <row r="575" customFormat="false" ht="15" hidden="false" customHeight="false" outlineLevel="0" collapsed="false">
      <c r="A575" s="32"/>
      <c r="B575" s="29"/>
      <c r="C575" s="10" t="str">
        <f aca="false">IF($B575="","",IFERROR(INDEX(M_name,MATCH($B575,M_emp,0)),"Code not found"))</f>
        <v/>
      </c>
      <c r="D575" s="10" t="str">
        <f aca="false">IF($B575="","",IFERROR(INDEX(M_dept,MATCH($B575,M_emp,0)),""))</f>
        <v/>
      </c>
      <c r="E575" s="10" t="str">
        <f aca="false">IF($B575="","",IFERROR(INDEX(M_loc,MATCH($B575,M_emp,0)),""))</f>
        <v/>
      </c>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4" t="str">
        <f aca="false">IF($B575="","",COUNTIF($F575:$AJ575,"P"))</f>
        <v/>
      </c>
      <c r="AL575" s="34" t="str">
        <f aca="false">IF($B575="","",COUNTIF($F575:$AJ575,"A"))</f>
        <v/>
      </c>
      <c r="AM575" s="34" t="str">
        <f aca="false">IF($B575="","",COUNTIF($F575:$AJ575,"HA"))</f>
        <v/>
      </c>
      <c r="AN575" s="34" t="str">
        <f aca="false">IF($B575="","",COUNTIF($F575:$AJ575,"L"))</f>
        <v/>
      </c>
      <c r="AO575" s="34" t="str">
        <f aca="false">IF($B575="","",COUNTIF($F575:$AJ575,"PL"))</f>
        <v/>
      </c>
      <c r="AP575" s="34" t="str">
        <f aca="false">IF($B575="","",COUNTIF($F575:$AJ575,"CL"))</f>
        <v/>
      </c>
      <c r="AQ575" s="34" t="str">
        <f aca="false">IF($B575="","",COUNTIF($F575:$AJ575,"SL"))</f>
        <v/>
      </c>
      <c r="AR575" s="34" t="str">
        <f aca="false">IF($B575="","",COUNTIF($F575:$AJ575,"CO"))</f>
        <v/>
      </c>
      <c r="AS575" s="34" t="str">
        <f aca="false">IF($B575="","",COUNTIF($F575:$AJ575,"HPL"))</f>
        <v/>
      </c>
      <c r="AT575" s="34" t="str">
        <f aca="false">IF($B575="","",COUNTIF($F575:$AJ575,"HCL"))</f>
        <v/>
      </c>
      <c r="AU575" s="34" t="str">
        <f aca="false">IF($B575="","",COUNTIF($F575:$AJ575,"WO"))</f>
        <v/>
      </c>
      <c r="AV575" s="34" t="str">
        <f aca="false">IF($B575="","",COUNTIF($F575:$AJ575,"PH"))</f>
        <v/>
      </c>
      <c r="AW575" s="34" t="str">
        <f aca="false">IF($B575="","",COUNTIF($F575:$AJ575,"TR"))</f>
        <v/>
      </c>
      <c r="AX575" s="35" t="str">
        <f aca="false">IF($B575="","",AO575+AS575/2)</f>
        <v/>
      </c>
      <c r="AY575" s="35" t="str">
        <f aca="false">IF($B575="","",AQ575)</f>
        <v/>
      </c>
      <c r="AZ575" s="35" t="str">
        <f aca="false">IF($B575="","",AP575+AT575/2)</f>
        <v/>
      </c>
      <c r="BA575" s="35" t="str">
        <f aca="false">IF($B575="","",AK575+AN575+AM575/2+AO575+AP575+AQ575+AR575+AS575+AT575+AU575+AV575+AW575)</f>
        <v/>
      </c>
      <c r="BB575" s="35" t="str">
        <f aca="false">IF($B575="","",MAX(0,AN575-Settings!$C$16)*Settings!$C$17)</f>
        <v/>
      </c>
      <c r="BC575" s="35" t="str">
        <f aca="false">IF($B575="","",BA575-BB575)</f>
        <v/>
      </c>
      <c r="BD575" s="35" t="str">
        <f aca="false">IF(OR($B575="",$A575=""),"",DAY(EOMONTH($A575,0))-COUNTA($F575:$AJ575))</f>
        <v/>
      </c>
    </row>
    <row r="576" customFormat="false" ht="15" hidden="false" customHeight="false" outlineLevel="0" collapsed="false">
      <c r="A576" s="32"/>
      <c r="B576" s="29"/>
      <c r="C576" s="10" t="str">
        <f aca="false">IF($B576="","",IFERROR(INDEX(M_name,MATCH($B576,M_emp,0)),"Code not found"))</f>
        <v/>
      </c>
      <c r="D576" s="10" t="str">
        <f aca="false">IF($B576="","",IFERROR(INDEX(M_dept,MATCH($B576,M_emp,0)),""))</f>
        <v/>
      </c>
      <c r="E576" s="10" t="str">
        <f aca="false">IF($B576="","",IFERROR(INDEX(M_loc,MATCH($B576,M_emp,0)),""))</f>
        <v/>
      </c>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4" t="str">
        <f aca="false">IF($B576="","",COUNTIF($F576:$AJ576,"P"))</f>
        <v/>
      </c>
      <c r="AL576" s="34" t="str">
        <f aca="false">IF($B576="","",COUNTIF($F576:$AJ576,"A"))</f>
        <v/>
      </c>
      <c r="AM576" s="34" t="str">
        <f aca="false">IF($B576="","",COUNTIF($F576:$AJ576,"HA"))</f>
        <v/>
      </c>
      <c r="AN576" s="34" t="str">
        <f aca="false">IF($B576="","",COUNTIF($F576:$AJ576,"L"))</f>
        <v/>
      </c>
      <c r="AO576" s="34" t="str">
        <f aca="false">IF($B576="","",COUNTIF($F576:$AJ576,"PL"))</f>
        <v/>
      </c>
      <c r="AP576" s="34" t="str">
        <f aca="false">IF($B576="","",COUNTIF($F576:$AJ576,"CL"))</f>
        <v/>
      </c>
      <c r="AQ576" s="34" t="str">
        <f aca="false">IF($B576="","",COUNTIF($F576:$AJ576,"SL"))</f>
        <v/>
      </c>
      <c r="AR576" s="34" t="str">
        <f aca="false">IF($B576="","",COUNTIF($F576:$AJ576,"CO"))</f>
        <v/>
      </c>
      <c r="AS576" s="34" t="str">
        <f aca="false">IF($B576="","",COUNTIF($F576:$AJ576,"HPL"))</f>
        <v/>
      </c>
      <c r="AT576" s="34" t="str">
        <f aca="false">IF($B576="","",COUNTIF($F576:$AJ576,"HCL"))</f>
        <v/>
      </c>
      <c r="AU576" s="34" t="str">
        <f aca="false">IF($B576="","",COUNTIF($F576:$AJ576,"WO"))</f>
        <v/>
      </c>
      <c r="AV576" s="34" t="str">
        <f aca="false">IF($B576="","",COUNTIF($F576:$AJ576,"PH"))</f>
        <v/>
      </c>
      <c r="AW576" s="34" t="str">
        <f aca="false">IF($B576="","",COUNTIF($F576:$AJ576,"TR"))</f>
        <v/>
      </c>
      <c r="AX576" s="35" t="str">
        <f aca="false">IF($B576="","",AO576+AS576/2)</f>
        <v/>
      </c>
      <c r="AY576" s="35" t="str">
        <f aca="false">IF($B576="","",AQ576)</f>
        <v/>
      </c>
      <c r="AZ576" s="35" t="str">
        <f aca="false">IF($B576="","",AP576+AT576/2)</f>
        <v/>
      </c>
      <c r="BA576" s="35" t="str">
        <f aca="false">IF($B576="","",AK576+AN576+AM576/2+AO576+AP576+AQ576+AR576+AS576+AT576+AU576+AV576+AW576)</f>
        <v/>
      </c>
      <c r="BB576" s="35" t="str">
        <f aca="false">IF($B576="","",MAX(0,AN576-Settings!$C$16)*Settings!$C$17)</f>
        <v/>
      </c>
      <c r="BC576" s="35" t="str">
        <f aca="false">IF($B576="","",BA576-BB576)</f>
        <v/>
      </c>
      <c r="BD576" s="35" t="str">
        <f aca="false">IF(OR($B576="",$A576=""),"",DAY(EOMONTH($A576,0))-COUNTA($F576:$AJ576))</f>
        <v/>
      </c>
    </row>
    <row r="577" customFormat="false" ht="15" hidden="false" customHeight="false" outlineLevel="0" collapsed="false">
      <c r="A577" s="32"/>
      <c r="B577" s="29"/>
      <c r="C577" s="10" t="str">
        <f aca="false">IF($B577="","",IFERROR(INDEX(M_name,MATCH($B577,M_emp,0)),"Code not found"))</f>
        <v/>
      </c>
      <c r="D577" s="10" t="str">
        <f aca="false">IF($B577="","",IFERROR(INDEX(M_dept,MATCH($B577,M_emp,0)),""))</f>
        <v/>
      </c>
      <c r="E577" s="10" t="str">
        <f aca="false">IF($B577="","",IFERROR(INDEX(M_loc,MATCH($B577,M_emp,0)),""))</f>
        <v/>
      </c>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4" t="str">
        <f aca="false">IF($B577="","",COUNTIF($F577:$AJ577,"P"))</f>
        <v/>
      </c>
      <c r="AL577" s="34" t="str">
        <f aca="false">IF($B577="","",COUNTIF($F577:$AJ577,"A"))</f>
        <v/>
      </c>
      <c r="AM577" s="34" t="str">
        <f aca="false">IF($B577="","",COUNTIF($F577:$AJ577,"HA"))</f>
        <v/>
      </c>
      <c r="AN577" s="34" t="str">
        <f aca="false">IF($B577="","",COUNTIF($F577:$AJ577,"L"))</f>
        <v/>
      </c>
      <c r="AO577" s="34" t="str">
        <f aca="false">IF($B577="","",COUNTIF($F577:$AJ577,"PL"))</f>
        <v/>
      </c>
      <c r="AP577" s="34" t="str">
        <f aca="false">IF($B577="","",COUNTIF($F577:$AJ577,"CL"))</f>
        <v/>
      </c>
      <c r="AQ577" s="34" t="str">
        <f aca="false">IF($B577="","",COUNTIF($F577:$AJ577,"SL"))</f>
        <v/>
      </c>
      <c r="AR577" s="34" t="str">
        <f aca="false">IF($B577="","",COUNTIF($F577:$AJ577,"CO"))</f>
        <v/>
      </c>
      <c r="AS577" s="34" t="str">
        <f aca="false">IF($B577="","",COUNTIF($F577:$AJ577,"HPL"))</f>
        <v/>
      </c>
      <c r="AT577" s="34" t="str">
        <f aca="false">IF($B577="","",COUNTIF($F577:$AJ577,"HCL"))</f>
        <v/>
      </c>
      <c r="AU577" s="34" t="str">
        <f aca="false">IF($B577="","",COUNTIF($F577:$AJ577,"WO"))</f>
        <v/>
      </c>
      <c r="AV577" s="34" t="str">
        <f aca="false">IF($B577="","",COUNTIF($F577:$AJ577,"PH"))</f>
        <v/>
      </c>
      <c r="AW577" s="34" t="str">
        <f aca="false">IF($B577="","",COUNTIF($F577:$AJ577,"TR"))</f>
        <v/>
      </c>
      <c r="AX577" s="35" t="str">
        <f aca="false">IF($B577="","",AO577+AS577/2)</f>
        <v/>
      </c>
      <c r="AY577" s="35" t="str">
        <f aca="false">IF($B577="","",AQ577)</f>
        <v/>
      </c>
      <c r="AZ577" s="35" t="str">
        <f aca="false">IF($B577="","",AP577+AT577/2)</f>
        <v/>
      </c>
      <c r="BA577" s="35" t="str">
        <f aca="false">IF($B577="","",AK577+AN577+AM577/2+AO577+AP577+AQ577+AR577+AS577+AT577+AU577+AV577+AW577)</f>
        <v/>
      </c>
      <c r="BB577" s="35" t="str">
        <f aca="false">IF($B577="","",MAX(0,AN577-Settings!$C$16)*Settings!$C$17)</f>
        <v/>
      </c>
      <c r="BC577" s="35" t="str">
        <f aca="false">IF($B577="","",BA577-BB577)</f>
        <v/>
      </c>
      <c r="BD577" s="35" t="str">
        <f aca="false">IF(OR($B577="",$A577=""),"",DAY(EOMONTH($A577,0))-COUNTA($F577:$AJ577))</f>
        <v/>
      </c>
    </row>
    <row r="578" customFormat="false" ht="15" hidden="false" customHeight="false" outlineLevel="0" collapsed="false">
      <c r="A578" s="32"/>
      <c r="B578" s="29"/>
      <c r="C578" s="10" t="str">
        <f aca="false">IF($B578="","",IFERROR(INDEX(M_name,MATCH($B578,M_emp,0)),"Code not found"))</f>
        <v/>
      </c>
      <c r="D578" s="10" t="str">
        <f aca="false">IF($B578="","",IFERROR(INDEX(M_dept,MATCH($B578,M_emp,0)),""))</f>
        <v/>
      </c>
      <c r="E578" s="10" t="str">
        <f aca="false">IF($B578="","",IFERROR(INDEX(M_loc,MATCH($B578,M_emp,0)),""))</f>
        <v/>
      </c>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4" t="str">
        <f aca="false">IF($B578="","",COUNTIF($F578:$AJ578,"P"))</f>
        <v/>
      </c>
      <c r="AL578" s="34" t="str">
        <f aca="false">IF($B578="","",COUNTIF($F578:$AJ578,"A"))</f>
        <v/>
      </c>
      <c r="AM578" s="34" t="str">
        <f aca="false">IF($B578="","",COUNTIF($F578:$AJ578,"HA"))</f>
        <v/>
      </c>
      <c r="AN578" s="34" t="str">
        <f aca="false">IF($B578="","",COUNTIF($F578:$AJ578,"L"))</f>
        <v/>
      </c>
      <c r="AO578" s="34" t="str">
        <f aca="false">IF($B578="","",COUNTIF($F578:$AJ578,"PL"))</f>
        <v/>
      </c>
      <c r="AP578" s="34" t="str">
        <f aca="false">IF($B578="","",COUNTIF($F578:$AJ578,"CL"))</f>
        <v/>
      </c>
      <c r="AQ578" s="34" t="str">
        <f aca="false">IF($B578="","",COUNTIF($F578:$AJ578,"SL"))</f>
        <v/>
      </c>
      <c r="AR578" s="34" t="str">
        <f aca="false">IF($B578="","",COUNTIF($F578:$AJ578,"CO"))</f>
        <v/>
      </c>
      <c r="AS578" s="34" t="str">
        <f aca="false">IF($B578="","",COUNTIF($F578:$AJ578,"HPL"))</f>
        <v/>
      </c>
      <c r="AT578" s="34" t="str">
        <f aca="false">IF($B578="","",COUNTIF($F578:$AJ578,"HCL"))</f>
        <v/>
      </c>
      <c r="AU578" s="34" t="str">
        <f aca="false">IF($B578="","",COUNTIF($F578:$AJ578,"WO"))</f>
        <v/>
      </c>
      <c r="AV578" s="34" t="str">
        <f aca="false">IF($B578="","",COUNTIF($F578:$AJ578,"PH"))</f>
        <v/>
      </c>
      <c r="AW578" s="34" t="str">
        <f aca="false">IF($B578="","",COUNTIF($F578:$AJ578,"TR"))</f>
        <v/>
      </c>
      <c r="AX578" s="35" t="str">
        <f aca="false">IF($B578="","",AO578+AS578/2)</f>
        <v/>
      </c>
      <c r="AY578" s="35" t="str">
        <f aca="false">IF($B578="","",AQ578)</f>
        <v/>
      </c>
      <c r="AZ578" s="35" t="str">
        <f aca="false">IF($B578="","",AP578+AT578/2)</f>
        <v/>
      </c>
      <c r="BA578" s="35" t="str">
        <f aca="false">IF($B578="","",AK578+AN578+AM578/2+AO578+AP578+AQ578+AR578+AS578+AT578+AU578+AV578+AW578)</f>
        <v/>
      </c>
      <c r="BB578" s="35" t="str">
        <f aca="false">IF($B578="","",MAX(0,AN578-Settings!$C$16)*Settings!$C$17)</f>
        <v/>
      </c>
      <c r="BC578" s="35" t="str">
        <f aca="false">IF($B578="","",BA578-BB578)</f>
        <v/>
      </c>
      <c r="BD578" s="35" t="str">
        <f aca="false">IF(OR($B578="",$A578=""),"",DAY(EOMONTH($A578,0))-COUNTA($F578:$AJ578))</f>
        <v/>
      </c>
    </row>
    <row r="579" customFormat="false" ht="15" hidden="false" customHeight="false" outlineLevel="0" collapsed="false">
      <c r="A579" s="32"/>
      <c r="B579" s="29"/>
      <c r="C579" s="10" t="str">
        <f aca="false">IF($B579="","",IFERROR(INDEX(M_name,MATCH($B579,M_emp,0)),"Code not found"))</f>
        <v/>
      </c>
      <c r="D579" s="10" t="str">
        <f aca="false">IF($B579="","",IFERROR(INDEX(M_dept,MATCH($B579,M_emp,0)),""))</f>
        <v/>
      </c>
      <c r="E579" s="10" t="str">
        <f aca="false">IF($B579="","",IFERROR(INDEX(M_loc,MATCH($B579,M_emp,0)),""))</f>
        <v/>
      </c>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4" t="str">
        <f aca="false">IF($B579="","",COUNTIF($F579:$AJ579,"P"))</f>
        <v/>
      </c>
      <c r="AL579" s="34" t="str">
        <f aca="false">IF($B579="","",COUNTIF($F579:$AJ579,"A"))</f>
        <v/>
      </c>
      <c r="AM579" s="34" t="str">
        <f aca="false">IF($B579="","",COUNTIF($F579:$AJ579,"HA"))</f>
        <v/>
      </c>
      <c r="AN579" s="34" t="str">
        <f aca="false">IF($B579="","",COUNTIF($F579:$AJ579,"L"))</f>
        <v/>
      </c>
      <c r="AO579" s="34" t="str">
        <f aca="false">IF($B579="","",COUNTIF($F579:$AJ579,"PL"))</f>
        <v/>
      </c>
      <c r="AP579" s="34" t="str">
        <f aca="false">IF($B579="","",COUNTIF($F579:$AJ579,"CL"))</f>
        <v/>
      </c>
      <c r="AQ579" s="34" t="str">
        <f aca="false">IF($B579="","",COUNTIF($F579:$AJ579,"SL"))</f>
        <v/>
      </c>
      <c r="AR579" s="34" t="str">
        <f aca="false">IF($B579="","",COUNTIF($F579:$AJ579,"CO"))</f>
        <v/>
      </c>
      <c r="AS579" s="34" t="str">
        <f aca="false">IF($B579="","",COUNTIF($F579:$AJ579,"HPL"))</f>
        <v/>
      </c>
      <c r="AT579" s="34" t="str">
        <f aca="false">IF($B579="","",COUNTIF($F579:$AJ579,"HCL"))</f>
        <v/>
      </c>
      <c r="AU579" s="34" t="str">
        <f aca="false">IF($B579="","",COUNTIF($F579:$AJ579,"WO"))</f>
        <v/>
      </c>
      <c r="AV579" s="34" t="str">
        <f aca="false">IF($B579="","",COUNTIF($F579:$AJ579,"PH"))</f>
        <v/>
      </c>
      <c r="AW579" s="34" t="str">
        <f aca="false">IF($B579="","",COUNTIF($F579:$AJ579,"TR"))</f>
        <v/>
      </c>
      <c r="AX579" s="35" t="str">
        <f aca="false">IF($B579="","",AO579+AS579/2)</f>
        <v/>
      </c>
      <c r="AY579" s="35" t="str">
        <f aca="false">IF($B579="","",AQ579)</f>
        <v/>
      </c>
      <c r="AZ579" s="35" t="str">
        <f aca="false">IF($B579="","",AP579+AT579/2)</f>
        <v/>
      </c>
      <c r="BA579" s="35" t="str">
        <f aca="false">IF($B579="","",AK579+AN579+AM579/2+AO579+AP579+AQ579+AR579+AS579+AT579+AU579+AV579+AW579)</f>
        <v/>
      </c>
      <c r="BB579" s="35" t="str">
        <f aca="false">IF($B579="","",MAX(0,AN579-Settings!$C$16)*Settings!$C$17)</f>
        <v/>
      </c>
      <c r="BC579" s="35" t="str">
        <f aca="false">IF($B579="","",BA579-BB579)</f>
        <v/>
      </c>
      <c r="BD579" s="35" t="str">
        <f aca="false">IF(OR($B579="",$A579=""),"",DAY(EOMONTH($A579,0))-COUNTA($F579:$AJ579))</f>
        <v/>
      </c>
    </row>
    <row r="580" customFormat="false" ht="15" hidden="false" customHeight="false" outlineLevel="0" collapsed="false">
      <c r="A580" s="32"/>
      <c r="B580" s="29"/>
      <c r="C580" s="10" t="str">
        <f aca="false">IF($B580="","",IFERROR(INDEX(M_name,MATCH($B580,M_emp,0)),"Code not found"))</f>
        <v/>
      </c>
      <c r="D580" s="10" t="str">
        <f aca="false">IF($B580="","",IFERROR(INDEX(M_dept,MATCH($B580,M_emp,0)),""))</f>
        <v/>
      </c>
      <c r="E580" s="10" t="str">
        <f aca="false">IF($B580="","",IFERROR(INDEX(M_loc,MATCH($B580,M_emp,0)),""))</f>
        <v/>
      </c>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4" t="str">
        <f aca="false">IF($B580="","",COUNTIF($F580:$AJ580,"P"))</f>
        <v/>
      </c>
      <c r="AL580" s="34" t="str">
        <f aca="false">IF($B580="","",COUNTIF($F580:$AJ580,"A"))</f>
        <v/>
      </c>
      <c r="AM580" s="34" t="str">
        <f aca="false">IF($B580="","",COUNTIF($F580:$AJ580,"HA"))</f>
        <v/>
      </c>
      <c r="AN580" s="34" t="str">
        <f aca="false">IF($B580="","",COUNTIF($F580:$AJ580,"L"))</f>
        <v/>
      </c>
      <c r="AO580" s="34" t="str">
        <f aca="false">IF($B580="","",COUNTIF($F580:$AJ580,"PL"))</f>
        <v/>
      </c>
      <c r="AP580" s="34" t="str">
        <f aca="false">IF($B580="","",COUNTIF($F580:$AJ580,"CL"))</f>
        <v/>
      </c>
      <c r="AQ580" s="34" t="str">
        <f aca="false">IF($B580="","",COUNTIF($F580:$AJ580,"SL"))</f>
        <v/>
      </c>
      <c r="AR580" s="34" t="str">
        <f aca="false">IF($B580="","",COUNTIF($F580:$AJ580,"CO"))</f>
        <v/>
      </c>
      <c r="AS580" s="34" t="str">
        <f aca="false">IF($B580="","",COUNTIF($F580:$AJ580,"HPL"))</f>
        <v/>
      </c>
      <c r="AT580" s="34" t="str">
        <f aca="false">IF($B580="","",COUNTIF($F580:$AJ580,"HCL"))</f>
        <v/>
      </c>
      <c r="AU580" s="34" t="str">
        <f aca="false">IF($B580="","",COUNTIF($F580:$AJ580,"WO"))</f>
        <v/>
      </c>
      <c r="AV580" s="34" t="str">
        <f aca="false">IF($B580="","",COUNTIF($F580:$AJ580,"PH"))</f>
        <v/>
      </c>
      <c r="AW580" s="34" t="str">
        <f aca="false">IF($B580="","",COUNTIF($F580:$AJ580,"TR"))</f>
        <v/>
      </c>
      <c r="AX580" s="35" t="str">
        <f aca="false">IF($B580="","",AO580+AS580/2)</f>
        <v/>
      </c>
      <c r="AY580" s="35" t="str">
        <f aca="false">IF($B580="","",AQ580)</f>
        <v/>
      </c>
      <c r="AZ580" s="35" t="str">
        <f aca="false">IF($B580="","",AP580+AT580/2)</f>
        <v/>
      </c>
      <c r="BA580" s="35" t="str">
        <f aca="false">IF($B580="","",AK580+AN580+AM580/2+AO580+AP580+AQ580+AR580+AS580+AT580+AU580+AV580+AW580)</f>
        <v/>
      </c>
      <c r="BB580" s="35" t="str">
        <f aca="false">IF($B580="","",MAX(0,AN580-Settings!$C$16)*Settings!$C$17)</f>
        <v/>
      </c>
      <c r="BC580" s="35" t="str">
        <f aca="false">IF($B580="","",BA580-BB580)</f>
        <v/>
      </c>
      <c r="BD580" s="35" t="str">
        <f aca="false">IF(OR($B580="",$A580=""),"",DAY(EOMONTH($A580,0))-COUNTA($F580:$AJ580))</f>
        <v/>
      </c>
    </row>
    <row r="581" customFormat="false" ht="15" hidden="false" customHeight="false" outlineLevel="0" collapsed="false">
      <c r="A581" s="32"/>
      <c r="B581" s="29"/>
      <c r="C581" s="10" t="str">
        <f aca="false">IF($B581="","",IFERROR(INDEX(M_name,MATCH($B581,M_emp,0)),"Code not found"))</f>
        <v/>
      </c>
      <c r="D581" s="10" t="str">
        <f aca="false">IF($B581="","",IFERROR(INDEX(M_dept,MATCH($B581,M_emp,0)),""))</f>
        <v/>
      </c>
      <c r="E581" s="10" t="str">
        <f aca="false">IF($B581="","",IFERROR(INDEX(M_loc,MATCH($B581,M_emp,0)),""))</f>
        <v/>
      </c>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4" t="str">
        <f aca="false">IF($B581="","",COUNTIF($F581:$AJ581,"P"))</f>
        <v/>
      </c>
      <c r="AL581" s="34" t="str">
        <f aca="false">IF($B581="","",COUNTIF($F581:$AJ581,"A"))</f>
        <v/>
      </c>
      <c r="AM581" s="34" t="str">
        <f aca="false">IF($B581="","",COUNTIF($F581:$AJ581,"HA"))</f>
        <v/>
      </c>
      <c r="AN581" s="34" t="str">
        <f aca="false">IF($B581="","",COUNTIF($F581:$AJ581,"L"))</f>
        <v/>
      </c>
      <c r="AO581" s="34" t="str">
        <f aca="false">IF($B581="","",COUNTIF($F581:$AJ581,"PL"))</f>
        <v/>
      </c>
      <c r="AP581" s="34" t="str">
        <f aca="false">IF($B581="","",COUNTIF($F581:$AJ581,"CL"))</f>
        <v/>
      </c>
      <c r="AQ581" s="34" t="str">
        <f aca="false">IF($B581="","",COUNTIF($F581:$AJ581,"SL"))</f>
        <v/>
      </c>
      <c r="AR581" s="34" t="str">
        <f aca="false">IF($B581="","",COUNTIF($F581:$AJ581,"CO"))</f>
        <v/>
      </c>
      <c r="AS581" s="34" t="str">
        <f aca="false">IF($B581="","",COUNTIF($F581:$AJ581,"HPL"))</f>
        <v/>
      </c>
      <c r="AT581" s="34" t="str">
        <f aca="false">IF($B581="","",COUNTIF($F581:$AJ581,"HCL"))</f>
        <v/>
      </c>
      <c r="AU581" s="34" t="str">
        <f aca="false">IF($B581="","",COUNTIF($F581:$AJ581,"WO"))</f>
        <v/>
      </c>
      <c r="AV581" s="34" t="str">
        <f aca="false">IF($B581="","",COUNTIF($F581:$AJ581,"PH"))</f>
        <v/>
      </c>
      <c r="AW581" s="34" t="str">
        <f aca="false">IF($B581="","",COUNTIF($F581:$AJ581,"TR"))</f>
        <v/>
      </c>
      <c r="AX581" s="35" t="str">
        <f aca="false">IF($B581="","",AO581+AS581/2)</f>
        <v/>
      </c>
      <c r="AY581" s="35" t="str">
        <f aca="false">IF($B581="","",AQ581)</f>
        <v/>
      </c>
      <c r="AZ581" s="35" t="str">
        <f aca="false">IF($B581="","",AP581+AT581/2)</f>
        <v/>
      </c>
      <c r="BA581" s="35" t="str">
        <f aca="false">IF($B581="","",AK581+AN581+AM581/2+AO581+AP581+AQ581+AR581+AS581+AT581+AU581+AV581+AW581)</f>
        <v/>
      </c>
      <c r="BB581" s="35" t="str">
        <f aca="false">IF($B581="","",MAX(0,AN581-Settings!$C$16)*Settings!$C$17)</f>
        <v/>
      </c>
      <c r="BC581" s="35" t="str">
        <f aca="false">IF($B581="","",BA581-BB581)</f>
        <v/>
      </c>
      <c r="BD581" s="35" t="str">
        <f aca="false">IF(OR($B581="",$A581=""),"",DAY(EOMONTH($A581,0))-COUNTA($F581:$AJ581))</f>
        <v/>
      </c>
    </row>
    <row r="582" customFormat="false" ht="15" hidden="false" customHeight="false" outlineLevel="0" collapsed="false">
      <c r="A582" s="32"/>
      <c r="B582" s="29"/>
      <c r="C582" s="10" t="str">
        <f aca="false">IF($B582="","",IFERROR(INDEX(M_name,MATCH($B582,M_emp,0)),"Code not found"))</f>
        <v/>
      </c>
      <c r="D582" s="10" t="str">
        <f aca="false">IF($B582="","",IFERROR(INDEX(M_dept,MATCH($B582,M_emp,0)),""))</f>
        <v/>
      </c>
      <c r="E582" s="10" t="str">
        <f aca="false">IF($B582="","",IFERROR(INDEX(M_loc,MATCH($B582,M_emp,0)),""))</f>
        <v/>
      </c>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4" t="str">
        <f aca="false">IF($B582="","",COUNTIF($F582:$AJ582,"P"))</f>
        <v/>
      </c>
      <c r="AL582" s="34" t="str">
        <f aca="false">IF($B582="","",COUNTIF($F582:$AJ582,"A"))</f>
        <v/>
      </c>
      <c r="AM582" s="34" t="str">
        <f aca="false">IF($B582="","",COUNTIF($F582:$AJ582,"HA"))</f>
        <v/>
      </c>
      <c r="AN582" s="34" t="str">
        <f aca="false">IF($B582="","",COUNTIF($F582:$AJ582,"L"))</f>
        <v/>
      </c>
      <c r="AO582" s="34" t="str">
        <f aca="false">IF($B582="","",COUNTIF($F582:$AJ582,"PL"))</f>
        <v/>
      </c>
      <c r="AP582" s="34" t="str">
        <f aca="false">IF($B582="","",COUNTIF($F582:$AJ582,"CL"))</f>
        <v/>
      </c>
      <c r="AQ582" s="34" t="str">
        <f aca="false">IF($B582="","",COUNTIF($F582:$AJ582,"SL"))</f>
        <v/>
      </c>
      <c r="AR582" s="34" t="str">
        <f aca="false">IF($B582="","",COUNTIF($F582:$AJ582,"CO"))</f>
        <v/>
      </c>
      <c r="AS582" s="34" t="str">
        <f aca="false">IF($B582="","",COUNTIF($F582:$AJ582,"HPL"))</f>
        <v/>
      </c>
      <c r="AT582" s="34" t="str">
        <f aca="false">IF($B582="","",COUNTIF($F582:$AJ582,"HCL"))</f>
        <v/>
      </c>
      <c r="AU582" s="34" t="str">
        <f aca="false">IF($B582="","",COUNTIF($F582:$AJ582,"WO"))</f>
        <v/>
      </c>
      <c r="AV582" s="34" t="str">
        <f aca="false">IF($B582="","",COUNTIF($F582:$AJ582,"PH"))</f>
        <v/>
      </c>
      <c r="AW582" s="34" t="str">
        <f aca="false">IF($B582="","",COUNTIF($F582:$AJ582,"TR"))</f>
        <v/>
      </c>
      <c r="AX582" s="35" t="str">
        <f aca="false">IF($B582="","",AO582+AS582/2)</f>
        <v/>
      </c>
      <c r="AY582" s="35" t="str">
        <f aca="false">IF($B582="","",AQ582)</f>
        <v/>
      </c>
      <c r="AZ582" s="35" t="str">
        <f aca="false">IF($B582="","",AP582+AT582/2)</f>
        <v/>
      </c>
      <c r="BA582" s="35" t="str">
        <f aca="false">IF($B582="","",AK582+AN582+AM582/2+AO582+AP582+AQ582+AR582+AS582+AT582+AU582+AV582+AW582)</f>
        <v/>
      </c>
      <c r="BB582" s="35" t="str">
        <f aca="false">IF($B582="","",MAX(0,AN582-Settings!$C$16)*Settings!$C$17)</f>
        <v/>
      </c>
      <c r="BC582" s="35" t="str">
        <f aca="false">IF($B582="","",BA582-BB582)</f>
        <v/>
      </c>
      <c r="BD582" s="35" t="str">
        <f aca="false">IF(OR($B582="",$A582=""),"",DAY(EOMONTH($A582,0))-COUNTA($F582:$AJ582))</f>
        <v/>
      </c>
    </row>
    <row r="583" customFormat="false" ht="15" hidden="false" customHeight="false" outlineLevel="0" collapsed="false">
      <c r="A583" s="32"/>
      <c r="B583" s="29"/>
      <c r="C583" s="10" t="str">
        <f aca="false">IF($B583="","",IFERROR(INDEX(M_name,MATCH($B583,M_emp,0)),"Code not found"))</f>
        <v/>
      </c>
      <c r="D583" s="10" t="str">
        <f aca="false">IF($B583="","",IFERROR(INDEX(M_dept,MATCH($B583,M_emp,0)),""))</f>
        <v/>
      </c>
      <c r="E583" s="10" t="str">
        <f aca="false">IF($B583="","",IFERROR(INDEX(M_loc,MATCH($B583,M_emp,0)),""))</f>
        <v/>
      </c>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4" t="str">
        <f aca="false">IF($B583="","",COUNTIF($F583:$AJ583,"P"))</f>
        <v/>
      </c>
      <c r="AL583" s="34" t="str">
        <f aca="false">IF($B583="","",COUNTIF($F583:$AJ583,"A"))</f>
        <v/>
      </c>
      <c r="AM583" s="34" t="str">
        <f aca="false">IF($B583="","",COUNTIF($F583:$AJ583,"HA"))</f>
        <v/>
      </c>
      <c r="AN583" s="34" t="str">
        <f aca="false">IF($B583="","",COUNTIF($F583:$AJ583,"L"))</f>
        <v/>
      </c>
      <c r="AO583" s="34" t="str">
        <f aca="false">IF($B583="","",COUNTIF($F583:$AJ583,"PL"))</f>
        <v/>
      </c>
      <c r="AP583" s="34" t="str">
        <f aca="false">IF($B583="","",COUNTIF($F583:$AJ583,"CL"))</f>
        <v/>
      </c>
      <c r="AQ583" s="34" t="str">
        <f aca="false">IF($B583="","",COUNTIF($F583:$AJ583,"SL"))</f>
        <v/>
      </c>
      <c r="AR583" s="34" t="str">
        <f aca="false">IF($B583="","",COUNTIF($F583:$AJ583,"CO"))</f>
        <v/>
      </c>
      <c r="AS583" s="34" t="str">
        <f aca="false">IF($B583="","",COUNTIF($F583:$AJ583,"HPL"))</f>
        <v/>
      </c>
      <c r="AT583" s="34" t="str">
        <f aca="false">IF($B583="","",COUNTIF($F583:$AJ583,"HCL"))</f>
        <v/>
      </c>
      <c r="AU583" s="34" t="str">
        <f aca="false">IF($B583="","",COUNTIF($F583:$AJ583,"WO"))</f>
        <v/>
      </c>
      <c r="AV583" s="34" t="str">
        <f aca="false">IF($B583="","",COUNTIF($F583:$AJ583,"PH"))</f>
        <v/>
      </c>
      <c r="AW583" s="34" t="str">
        <f aca="false">IF($B583="","",COUNTIF($F583:$AJ583,"TR"))</f>
        <v/>
      </c>
      <c r="AX583" s="35" t="str">
        <f aca="false">IF($B583="","",AO583+AS583/2)</f>
        <v/>
      </c>
      <c r="AY583" s="35" t="str">
        <f aca="false">IF($B583="","",AQ583)</f>
        <v/>
      </c>
      <c r="AZ583" s="35" t="str">
        <f aca="false">IF($B583="","",AP583+AT583/2)</f>
        <v/>
      </c>
      <c r="BA583" s="35" t="str">
        <f aca="false">IF($B583="","",AK583+AN583+AM583/2+AO583+AP583+AQ583+AR583+AS583+AT583+AU583+AV583+AW583)</f>
        <v/>
      </c>
      <c r="BB583" s="35" t="str">
        <f aca="false">IF($B583="","",MAX(0,AN583-Settings!$C$16)*Settings!$C$17)</f>
        <v/>
      </c>
      <c r="BC583" s="35" t="str">
        <f aca="false">IF($B583="","",BA583-BB583)</f>
        <v/>
      </c>
      <c r="BD583" s="35" t="str">
        <f aca="false">IF(OR($B583="",$A583=""),"",DAY(EOMONTH($A583,0))-COUNTA($F583:$AJ583))</f>
        <v/>
      </c>
    </row>
    <row r="584" customFormat="false" ht="15" hidden="false" customHeight="false" outlineLevel="0" collapsed="false">
      <c r="A584" s="32"/>
      <c r="B584" s="29"/>
      <c r="C584" s="10" t="str">
        <f aca="false">IF($B584="","",IFERROR(INDEX(M_name,MATCH($B584,M_emp,0)),"Code not found"))</f>
        <v/>
      </c>
      <c r="D584" s="10" t="str">
        <f aca="false">IF($B584="","",IFERROR(INDEX(M_dept,MATCH($B584,M_emp,0)),""))</f>
        <v/>
      </c>
      <c r="E584" s="10" t="str">
        <f aca="false">IF($B584="","",IFERROR(INDEX(M_loc,MATCH($B584,M_emp,0)),""))</f>
        <v/>
      </c>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4" t="str">
        <f aca="false">IF($B584="","",COUNTIF($F584:$AJ584,"P"))</f>
        <v/>
      </c>
      <c r="AL584" s="34" t="str">
        <f aca="false">IF($B584="","",COUNTIF($F584:$AJ584,"A"))</f>
        <v/>
      </c>
      <c r="AM584" s="34" t="str">
        <f aca="false">IF($B584="","",COUNTIF($F584:$AJ584,"HA"))</f>
        <v/>
      </c>
      <c r="AN584" s="34" t="str">
        <f aca="false">IF($B584="","",COUNTIF($F584:$AJ584,"L"))</f>
        <v/>
      </c>
      <c r="AO584" s="34" t="str">
        <f aca="false">IF($B584="","",COUNTIF($F584:$AJ584,"PL"))</f>
        <v/>
      </c>
      <c r="AP584" s="34" t="str">
        <f aca="false">IF($B584="","",COUNTIF($F584:$AJ584,"CL"))</f>
        <v/>
      </c>
      <c r="AQ584" s="34" t="str">
        <f aca="false">IF($B584="","",COUNTIF($F584:$AJ584,"SL"))</f>
        <v/>
      </c>
      <c r="AR584" s="34" t="str">
        <f aca="false">IF($B584="","",COUNTIF($F584:$AJ584,"CO"))</f>
        <v/>
      </c>
      <c r="AS584" s="34" t="str">
        <f aca="false">IF($B584="","",COUNTIF($F584:$AJ584,"HPL"))</f>
        <v/>
      </c>
      <c r="AT584" s="34" t="str">
        <f aca="false">IF($B584="","",COUNTIF($F584:$AJ584,"HCL"))</f>
        <v/>
      </c>
      <c r="AU584" s="34" t="str">
        <f aca="false">IF($B584="","",COUNTIF($F584:$AJ584,"WO"))</f>
        <v/>
      </c>
      <c r="AV584" s="34" t="str">
        <f aca="false">IF($B584="","",COUNTIF($F584:$AJ584,"PH"))</f>
        <v/>
      </c>
      <c r="AW584" s="34" t="str">
        <f aca="false">IF($B584="","",COUNTIF($F584:$AJ584,"TR"))</f>
        <v/>
      </c>
      <c r="AX584" s="35" t="str">
        <f aca="false">IF($B584="","",AO584+AS584/2)</f>
        <v/>
      </c>
      <c r="AY584" s="35" t="str">
        <f aca="false">IF($B584="","",AQ584)</f>
        <v/>
      </c>
      <c r="AZ584" s="35" t="str">
        <f aca="false">IF($B584="","",AP584+AT584/2)</f>
        <v/>
      </c>
      <c r="BA584" s="35" t="str">
        <f aca="false">IF($B584="","",AK584+AN584+AM584/2+AO584+AP584+AQ584+AR584+AS584+AT584+AU584+AV584+AW584)</f>
        <v/>
      </c>
      <c r="BB584" s="35" t="str">
        <f aca="false">IF($B584="","",MAX(0,AN584-Settings!$C$16)*Settings!$C$17)</f>
        <v/>
      </c>
      <c r="BC584" s="35" t="str">
        <f aca="false">IF($B584="","",BA584-BB584)</f>
        <v/>
      </c>
      <c r="BD584" s="35" t="str">
        <f aca="false">IF(OR($B584="",$A584=""),"",DAY(EOMONTH($A584,0))-COUNTA($F584:$AJ584))</f>
        <v/>
      </c>
    </row>
    <row r="585" customFormat="false" ht="15" hidden="false" customHeight="false" outlineLevel="0" collapsed="false">
      <c r="A585" s="32"/>
      <c r="B585" s="29"/>
      <c r="C585" s="10" t="str">
        <f aca="false">IF($B585="","",IFERROR(INDEX(M_name,MATCH($B585,M_emp,0)),"Code not found"))</f>
        <v/>
      </c>
      <c r="D585" s="10" t="str">
        <f aca="false">IF($B585="","",IFERROR(INDEX(M_dept,MATCH($B585,M_emp,0)),""))</f>
        <v/>
      </c>
      <c r="E585" s="10" t="str">
        <f aca="false">IF($B585="","",IFERROR(INDEX(M_loc,MATCH($B585,M_emp,0)),""))</f>
        <v/>
      </c>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4" t="str">
        <f aca="false">IF($B585="","",COUNTIF($F585:$AJ585,"P"))</f>
        <v/>
      </c>
      <c r="AL585" s="34" t="str">
        <f aca="false">IF($B585="","",COUNTIF($F585:$AJ585,"A"))</f>
        <v/>
      </c>
      <c r="AM585" s="34" t="str">
        <f aca="false">IF($B585="","",COUNTIF($F585:$AJ585,"HA"))</f>
        <v/>
      </c>
      <c r="AN585" s="34" t="str">
        <f aca="false">IF($B585="","",COUNTIF($F585:$AJ585,"L"))</f>
        <v/>
      </c>
      <c r="AO585" s="34" t="str">
        <f aca="false">IF($B585="","",COUNTIF($F585:$AJ585,"PL"))</f>
        <v/>
      </c>
      <c r="AP585" s="34" t="str">
        <f aca="false">IF($B585="","",COUNTIF($F585:$AJ585,"CL"))</f>
        <v/>
      </c>
      <c r="AQ585" s="34" t="str">
        <f aca="false">IF($B585="","",COUNTIF($F585:$AJ585,"SL"))</f>
        <v/>
      </c>
      <c r="AR585" s="34" t="str">
        <f aca="false">IF($B585="","",COUNTIF($F585:$AJ585,"CO"))</f>
        <v/>
      </c>
      <c r="AS585" s="34" t="str">
        <f aca="false">IF($B585="","",COUNTIF($F585:$AJ585,"HPL"))</f>
        <v/>
      </c>
      <c r="AT585" s="34" t="str">
        <f aca="false">IF($B585="","",COUNTIF($F585:$AJ585,"HCL"))</f>
        <v/>
      </c>
      <c r="AU585" s="34" t="str">
        <f aca="false">IF($B585="","",COUNTIF($F585:$AJ585,"WO"))</f>
        <v/>
      </c>
      <c r="AV585" s="34" t="str">
        <f aca="false">IF($B585="","",COUNTIF($F585:$AJ585,"PH"))</f>
        <v/>
      </c>
      <c r="AW585" s="34" t="str">
        <f aca="false">IF($B585="","",COUNTIF($F585:$AJ585,"TR"))</f>
        <v/>
      </c>
      <c r="AX585" s="35" t="str">
        <f aca="false">IF($B585="","",AO585+AS585/2)</f>
        <v/>
      </c>
      <c r="AY585" s="35" t="str">
        <f aca="false">IF($B585="","",AQ585)</f>
        <v/>
      </c>
      <c r="AZ585" s="35" t="str">
        <f aca="false">IF($B585="","",AP585+AT585/2)</f>
        <v/>
      </c>
      <c r="BA585" s="35" t="str">
        <f aca="false">IF($B585="","",AK585+AN585+AM585/2+AO585+AP585+AQ585+AR585+AS585+AT585+AU585+AV585+AW585)</f>
        <v/>
      </c>
      <c r="BB585" s="35" t="str">
        <f aca="false">IF($B585="","",MAX(0,AN585-Settings!$C$16)*Settings!$C$17)</f>
        <v/>
      </c>
      <c r="BC585" s="35" t="str">
        <f aca="false">IF($B585="","",BA585-BB585)</f>
        <v/>
      </c>
      <c r="BD585" s="35" t="str">
        <f aca="false">IF(OR($B585="",$A585=""),"",DAY(EOMONTH($A585,0))-COUNTA($F585:$AJ585))</f>
        <v/>
      </c>
    </row>
    <row r="586" customFormat="false" ht="15" hidden="false" customHeight="false" outlineLevel="0" collapsed="false">
      <c r="A586" s="32"/>
      <c r="B586" s="29"/>
      <c r="C586" s="10" t="str">
        <f aca="false">IF($B586="","",IFERROR(INDEX(M_name,MATCH($B586,M_emp,0)),"Code not found"))</f>
        <v/>
      </c>
      <c r="D586" s="10" t="str">
        <f aca="false">IF($B586="","",IFERROR(INDEX(M_dept,MATCH($B586,M_emp,0)),""))</f>
        <v/>
      </c>
      <c r="E586" s="10" t="str">
        <f aca="false">IF($B586="","",IFERROR(INDEX(M_loc,MATCH($B586,M_emp,0)),""))</f>
        <v/>
      </c>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4" t="str">
        <f aca="false">IF($B586="","",COUNTIF($F586:$AJ586,"P"))</f>
        <v/>
      </c>
      <c r="AL586" s="34" t="str">
        <f aca="false">IF($B586="","",COUNTIF($F586:$AJ586,"A"))</f>
        <v/>
      </c>
      <c r="AM586" s="34" t="str">
        <f aca="false">IF($B586="","",COUNTIF($F586:$AJ586,"HA"))</f>
        <v/>
      </c>
      <c r="AN586" s="34" t="str">
        <f aca="false">IF($B586="","",COUNTIF($F586:$AJ586,"L"))</f>
        <v/>
      </c>
      <c r="AO586" s="34" t="str">
        <f aca="false">IF($B586="","",COUNTIF($F586:$AJ586,"PL"))</f>
        <v/>
      </c>
      <c r="AP586" s="34" t="str">
        <f aca="false">IF($B586="","",COUNTIF($F586:$AJ586,"CL"))</f>
        <v/>
      </c>
      <c r="AQ586" s="34" t="str">
        <f aca="false">IF($B586="","",COUNTIF($F586:$AJ586,"SL"))</f>
        <v/>
      </c>
      <c r="AR586" s="34" t="str">
        <f aca="false">IF($B586="","",COUNTIF($F586:$AJ586,"CO"))</f>
        <v/>
      </c>
      <c r="AS586" s="34" t="str">
        <f aca="false">IF($B586="","",COUNTIF($F586:$AJ586,"HPL"))</f>
        <v/>
      </c>
      <c r="AT586" s="34" t="str">
        <f aca="false">IF($B586="","",COUNTIF($F586:$AJ586,"HCL"))</f>
        <v/>
      </c>
      <c r="AU586" s="34" t="str">
        <f aca="false">IF($B586="","",COUNTIF($F586:$AJ586,"WO"))</f>
        <v/>
      </c>
      <c r="AV586" s="34" t="str">
        <f aca="false">IF($B586="","",COUNTIF($F586:$AJ586,"PH"))</f>
        <v/>
      </c>
      <c r="AW586" s="34" t="str">
        <f aca="false">IF($B586="","",COUNTIF($F586:$AJ586,"TR"))</f>
        <v/>
      </c>
      <c r="AX586" s="35" t="str">
        <f aca="false">IF($B586="","",AO586+AS586/2)</f>
        <v/>
      </c>
      <c r="AY586" s="35" t="str">
        <f aca="false">IF($B586="","",AQ586)</f>
        <v/>
      </c>
      <c r="AZ586" s="35" t="str">
        <f aca="false">IF($B586="","",AP586+AT586/2)</f>
        <v/>
      </c>
      <c r="BA586" s="35" t="str">
        <f aca="false">IF($B586="","",AK586+AN586+AM586/2+AO586+AP586+AQ586+AR586+AS586+AT586+AU586+AV586+AW586)</f>
        <v/>
      </c>
      <c r="BB586" s="35" t="str">
        <f aca="false">IF($B586="","",MAX(0,AN586-Settings!$C$16)*Settings!$C$17)</f>
        <v/>
      </c>
      <c r="BC586" s="35" t="str">
        <f aca="false">IF($B586="","",BA586-BB586)</f>
        <v/>
      </c>
      <c r="BD586" s="35" t="str">
        <f aca="false">IF(OR($B586="",$A586=""),"",DAY(EOMONTH($A586,0))-COUNTA($F586:$AJ586))</f>
        <v/>
      </c>
    </row>
    <row r="587" customFormat="false" ht="15" hidden="false" customHeight="false" outlineLevel="0" collapsed="false">
      <c r="A587" s="32"/>
      <c r="B587" s="29"/>
      <c r="C587" s="10" t="str">
        <f aca="false">IF($B587="","",IFERROR(INDEX(M_name,MATCH($B587,M_emp,0)),"Code not found"))</f>
        <v/>
      </c>
      <c r="D587" s="10" t="str">
        <f aca="false">IF($B587="","",IFERROR(INDEX(M_dept,MATCH($B587,M_emp,0)),""))</f>
        <v/>
      </c>
      <c r="E587" s="10" t="str">
        <f aca="false">IF($B587="","",IFERROR(INDEX(M_loc,MATCH($B587,M_emp,0)),""))</f>
        <v/>
      </c>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4" t="str">
        <f aca="false">IF($B587="","",COUNTIF($F587:$AJ587,"P"))</f>
        <v/>
      </c>
      <c r="AL587" s="34" t="str">
        <f aca="false">IF($B587="","",COUNTIF($F587:$AJ587,"A"))</f>
        <v/>
      </c>
      <c r="AM587" s="34" t="str">
        <f aca="false">IF($B587="","",COUNTIF($F587:$AJ587,"HA"))</f>
        <v/>
      </c>
      <c r="AN587" s="34" t="str">
        <f aca="false">IF($B587="","",COUNTIF($F587:$AJ587,"L"))</f>
        <v/>
      </c>
      <c r="AO587" s="34" t="str">
        <f aca="false">IF($B587="","",COUNTIF($F587:$AJ587,"PL"))</f>
        <v/>
      </c>
      <c r="AP587" s="34" t="str">
        <f aca="false">IF($B587="","",COUNTIF($F587:$AJ587,"CL"))</f>
        <v/>
      </c>
      <c r="AQ587" s="34" t="str">
        <f aca="false">IF($B587="","",COUNTIF($F587:$AJ587,"SL"))</f>
        <v/>
      </c>
      <c r="AR587" s="34" t="str">
        <f aca="false">IF($B587="","",COUNTIF($F587:$AJ587,"CO"))</f>
        <v/>
      </c>
      <c r="AS587" s="34" t="str">
        <f aca="false">IF($B587="","",COUNTIF($F587:$AJ587,"HPL"))</f>
        <v/>
      </c>
      <c r="AT587" s="34" t="str">
        <f aca="false">IF($B587="","",COUNTIF($F587:$AJ587,"HCL"))</f>
        <v/>
      </c>
      <c r="AU587" s="34" t="str">
        <f aca="false">IF($B587="","",COUNTIF($F587:$AJ587,"WO"))</f>
        <v/>
      </c>
      <c r="AV587" s="34" t="str">
        <f aca="false">IF($B587="","",COUNTIF($F587:$AJ587,"PH"))</f>
        <v/>
      </c>
      <c r="AW587" s="34" t="str">
        <f aca="false">IF($B587="","",COUNTIF($F587:$AJ587,"TR"))</f>
        <v/>
      </c>
      <c r="AX587" s="35" t="str">
        <f aca="false">IF($B587="","",AO587+AS587/2)</f>
        <v/>
      </c>
      <c r="AY587" s="35" t="str">
        <f aca="false">IF($B587="","",AQ587)</f>
        <v/>
      </c>
      <c r="AZ587" s="35" t="str">
        <f aca="false">IF($B587="","",AP587+AT587/2)</f>
        <v/>
      </c>
      <c r="BA587" s="35" t="str">
        <f aca="false">IF($B587="","",AK587+AN587+AM587/2+AO587+AP587+AQ587+AR587+AS587+AT587+AU587+AV587+AW587)</f>
        <v/>
      </c>
      <c r="BB587" s="35" t="str">
        <f aca="false">IF($B587="","",MAX(0,AN587-Settings!$C$16)*Settings!$C$17)</f>
        <v/>
      </c>
      <c r="BC587" s="35" t="str">
        <f aca="false">IF($B587="","",BA587-BB587)</f>
        <v/>
      </c>
      <c r="BD587" s="35" t="str">
        <f aca="false">IF(OR($B587="",$A587=""),"",DAY(EOMONTH($A587,0))-COUNTA($F587:$AJ587))</f>
        <v/>
      </c>
    </row>
    <row r="588" customFormat="false" ht="15" hidden="false" customHeight="false" outlineLevel="0" collapsed="false">
      <c r="A588" s="32"/>
      <c r="B588" s="29"/>
      <c r="C588" s="10" t="str">
        <f aca="false">IF($B588="","",IFERROR(INDEX(M_name,MATCH($B588,M_emp,0)),"Code not found"))</f>
        <v/>
      </c>
      <c r="D588" s="10" t="str">
        <f aca="false">IF($B588="","",IFERROR(INDEX(M_dept,MATCH($B588,M_emp,0)),""))</f>
        <v/>
      </c>
      <c r="E588" s="10" t="str">
        <f aca="false">IF($B588="","",IFERROR(INDEX(M_loc,MATCH($B588,M_emp,0)),""))</f>
        <v/>
      </c>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4" t="str">
        <f aca="false">IF($B588="","",COUNTIF($F588:$AJ588,"P"))</f>
        <v/>
      </c>
      <c r="AL588" s="34" t="str">
        <f aca="false">IF($B588="","",COUNTIF($F588:$AJ588,"A"))</f>
        <v/>
      </c>
      <c r="AM588" s="34" t="str">
        <f aca="false">IF($B588="","",COUNTIF($F588:$AJ588,"HA"))</f>
        <v/>
      </c>
      <c r="AN588" s="34" t="str">
        <f aca="false">IF($B588="","",COUNTIF($F588:$AJ588,"L"))</f>
        <v/>
      </c>
      <c r="AO588" s="34" t="str">
        <f aca="false">IF($B588="","",COUNTIF($F588:$AJ588,"PL"))</f>
        <v/>
      </c>
      <c r="AP588" s="34" t="str">
        <f aca="false">IF($B588="","",COUNTIF($F588:$AJ588,"CL"))</f>
        <v/>
      </c>
      <c r="AQ588" s="34" t="str">
        <f aca="false">IF($B588="","",COUNTIF($F588:$AJ588,"SL"))</f>
        <v/>
      </c>
      <c r="AR588" s="34" t="str">
        <f aca="false">IF($B588="","",COUNTIF($F588:$AJ588,"CO"))</f>
        <v/>
      </c>
      <c r="AS588" s="34" t="str">
        <f aca="false">IF($B588="","",COUNTIF($F588:$AJ588,"HPL"))</f>
        <v/>
      </c>
      <c r="AT588" s="34" t="str">
        <f aca="false">IF($B588="","",COUNTIF($F588:$AJ588,"HCL"))</f>
        <v/>
      </c>
      <c r="AU588" s="34" t="str">
        <f aca="false">IF($B588="","",COUNTIF($F588:$AJ588,"WO"))</f>
        <v/>
      </c>
      <c r="AV588" s="34" t="str">
        <f aca="false">IF($B588="","",COUNTIF($F588:$AJ588,"PH"))</f>
        <v/>
      </c>
      <c r="AW588" s="34" t="str">
        <f aca="false">IF($B588="","",COUNTIF($F588:$AJ588,"TR"))</f>
        <v/>
      </c>
      <c r="AX588" s="35" t="str">
        <f aca="false">IF($B588="","",AO588+AS588/2)</f>
        <v/>
      </c>
      <c r="AY588" s="35" t="str">
        <f aca="false">IF($B588="","",AQ588)</f>
        <v/>
      </c>
      <c r="AZ588" s="35" t="str">
        <f aca="false">IF($B588="","",AP588+AT588/2)</f>
        <v/>
      </c>
      <c r="BA588" s="35" t="str">
        <f aca="false">IF($B588="","",AK588+AN588+AM588/2+AO588+AP588+AQ588+AR588+AS588+AT588+AU588+AV588+AW588)</f>
        <v/>
      </c>
      <c r="BB588" s="35" t="str">
        <f aca="false">IF($B588="","",MAX(0,AN588-Settings!$C$16)*Settings!$C$17)</f>
        <v/>
      </c>
      <c r="BC588" s="35" t="str">
        <f aca="false">IF($B588="","",BA588-BB588)</f>
        <v/>
      </c>
      <c r="BD588" s="35" t="str">
        <f aca="false">IF(OR($B588="",$A588=""),"",DAY(EOMONTH($A588,0))-COUNTA($F588:$AJ588))</f>
        <v/>
      </c>
    </row>
    <row r="589" customFormat="false" ht="15" hidden="false" customHeight="false" outlineLevel="0" collapsed="false">
      <c r="A589" s="32"/>
      <c r="B589" s="29"/>
      <c r="C589" s="10" t="str">
        <f aca="false">IF($B589="","",IFERROR(INDEX(M_name,MATCH($B589,M_emp,0)),"Code not found"))</f>
        <v/>
      </c>
      <c r="D589" s="10" t="str">
        <f aca="false">IF($B589="","",IFERROR(INDEX(M_dept,MATCH($B589,M_emp,0)),""))</f>
        <v/>
      </c>
      <c r="E589" s="10" t="str">
        <f aca="false">IF($B589="","",IFERROR(INDEX(M_loc,MATCH($B589,M_emp,0)),""))</f>
        <v/>
      </c>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4" t="str">
        <f aca="false">IF($B589="","",COUNTIF($F589:$AJ589,"P"))</f>
        <v/>
      </c>
      <c r="AL589" s="34" t="str">
        <f aca="false">IF($B589="","",COUNTIF($F589:$AJ589,"A"))</f>
        <v/>
      </c>
      <c r="AM589" s="34" t="str">
        <f aca="false">IF($B589="","",COUNTIF($F589:$AJ589,"HA"))</f>
        <v/>
      </c>
      <c r="AN589" s="34" t="str">
        <f aca="false">IF($B589="","",COUNTIF($F589:$AJ589,"L"))</f>
        <v/>
      </c>
      <c r="AO589" s="34" t="str">
        <f aca="false">IF($B589="","",COUNTIF($F589:$AJ589,"PL"))</f>
        <v/>
      </c>
      <c r="AP589" s="34" t="str">
        <f aca="false">IF($B589="","",COUNTIF($F589:$AJ589,"CL"))</f>
        <v/>
      </c>
      <c r="AQ589" s="34" t="str">
        <f aca="false">IF($B589="","",COUNTIF($F589:$AJ589,"SL"))</f>
        <v/>
      </c>
      <c r="AR589" s="34" t="str">
        <f aca="false">IF($B589="","",COUNTIF($F589:$AJ589,"CO"))</f>
        <v/>
      </c>
      <c r="AS589" s="34" t="str">
        <f aca="false">IF($B589="","",COUNTIF($F589:$AJ589,"HPL"))</f>
        <v/>
      </c>
      <c r="AT589" s="34" t="str">
        <f aca="false">IF($B589="","",COUNTIF($F589:$AJ589,"HCL"))</f>
        <v/>
      </c>
      <c r="AU589" s="34" t="str">
        <f aca="false">IF($B589="","",COUNTIF($F589:$AJ589,"WO"))</f>
        <v/>
      </c>
      <c r="AV589" s="34" t="str">
        <f aca="false">IF($B589="","",COUNTIF($F589:$AJ589,"PH"))</f>
        <v/>
      </c>
      <c r="AW589" s="34" t="str">
        <f aca="false">IF($B589="","",COUNTIF($F589:$AJ589,"TR"))</f>
        <v/>
      </c>
      <c r="AX589" s="35" t="str">
        <f aca="false">IF($B589="","",AO589+AS589/2)</f>
        <v/>
      </c>
      <c r="AY589" s="35" t="str">
        <f aca="false">IF($B589="","",AQ589)</f>
        <v/>
      </c>
      <c r="AZ589" s="35" t="str">
        <f aca="false">IF($B589="","",AP589+AT589/2)</f>
        <v/>
      </c>
      <c r="BA589" s="35" t="str">
        <f aca="false">IF($B589="","",AK589+AN589+AM589/2+AO589+AP589+AQ589+AR589+AS589+AT589+AU589+AV589+AW589)</f>
        <v/>
      </c>
      <c r="BB589" s="35" t="str">
        <f aca="false">IF($B589="","",MAX(0,AN589-Settings!$C$16)*Settings!$C$17)</f>
        <v/>
      </c>
      <c r="BC589" s="35" t="str">
        <f aca="false">IF($B589="","",BA589-BB589)</f>
        <v/>
      </c>
      <c r="BD589" s="35" t="str">
        <f aca="false">IF(OR($B589="",$A589=""),"",DAY(EOMONTH($A589,0))-COUNTA($F589:$AJ589))</f>
        <v/>
      </c>
    </row>
    <row r="590" customFormat="false" ht="15" hidden="false" customHeight="false" outlineLevel="0" collapsed="false">
      <c r="A590" s="32"/>
      <c r="B590" s="29"/>
      <c r="C590" s="10" t="str">
        <f aca="false">IF($B590="","",IFERROR(INDEX(M_name,MATCH($B590,M_emp,0)),"Code not found"))</f>
        <v/>
      </c>
      <c r="D590" s="10" t="str">
        <f aca="false">IF($B590="","",IFERROR(INDEX(M_dept,MATCH($B590,M_emp,0)),""))</f>
        <v/>
      </c>
      <c r="E590" s="10" t="str">
        <f aca="false">IF($B590="","",IFERROR(INDEX(M_loc,MATCH($B590,M_emp,0)),""))</f>
        <v/>
      </c>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4" t="str">
        <f aca="false">IF($B590="","",COUNTIF($F590:$AJ590,"P"))</f>
        <v/>
      </c>
      <c r="AL590" s="34" t="str">
        <f aca="false">IF($B590="","",COUNTIF($F590:$AJ590,"A"))</f>
        <v/>
      </c>
      <c r="AM590" s="34" t="str">
        <f aca="false">IF($B590="","",COUNTIF($F590:$AJ590,"HA"))</f>
        <v/>
      </c>
      <c r="AN590" s="34" t="str">
        <f aca="false">IF($B590="","",COUNTIF($F590:$AJ590,"L"))</f>
        <v/>
      </c>
      <c r="AO590" s="34" t="str">
        <f aca="false">IF($B590="","",COUNTIF($F590:$AJ590,"PL"))</f>
        <v/>
      </c>
      <c r="AP590" s="34" t="str">
        <f aca="false">IF($B590="","",COUNTIF($F590:$AJ590,"CL"))</f>
        <v/>
      </c>
      <c r="AQ590" s="34" t="str">
        <f aca="false">IF($B590="","",COUNTIF($F590:$AJ590,"SL"))</f>
        <v/>
      </c>
      <c r="AR590" s="34" t="str">
        <f aca="false">IF($B590="","",COUNTIF($F590:$AJ590,"CO"))</f>
        <v/>
      </c>
      <c r="AS590" s="34" t="str">
        <f aca="false">IF($B590="","",COUNTIF($F590:$AJ590,"HPL"))</f>
        <v/>
      </c>
      <c r="AT590" s="34" t="str">
        <f aca="false">IF($B590="","",COUNTIF($F590:$AJ590,"HCL"))</f>
        <v/>
      </c>
      <c r="AU590" s="34" t="str">
        <f aca="false">IF($B590="","",COUNTIF($F590:$AJ590,"WO"))</f>
        <v/>
      </c>
      <c r="AV590" s="34" t="str">
        <f aca="false">IF($B590="","",COUNTIF($F590:$AJ590,"PH"))</f>
        <v/>
      </c>
      <c r="AW590" s="34" t="str">
        <f aca="false">IF($B590="","",COUNTIF($F590:$AJ590,"TR"))</f>
        <v/>
      </c>
      <c r="AX590" s="35" t="str">
        <f aca="false">IF($B590="","",AO590+AS590/2)</f>
        <v/>
      </c>
      <c r="AY590" s="35" t="str">
        <f aca="false">IF($B590="","",AQ590)</f>
        <v/>
      </c>
      <c r="AZ590" s="35" t="str">
        <f aca="false">IF($B590="","",AP590+AT590/2)</f>
        <v/>
      </c>
      <c r="BA590" s="35" t="str">
        <f aca="false">IF($B590="","",AK590+AN590+AM590/2+AO590+AP590+AQ590+AR590+AS590+AT590+AU590+AV590+AW590)</f>
        <v/>
      </c>
      <c r="BB590" s="35" t="str">
        <f aca="false">IF($B590="","",MAX(0,AN590-Settings!$C$16)*Settings!$C$17)</f>
        <v/>
      </c>
      <c r="BC590" s="35" t="str">
        <f aca="false">IF($B590="","",BA590-BB590)</f>
        <v/>
      </c>
      <c r="BD590" s="35" t="str">
        <f aca="false">IF(OR($B590="",$A590=""),"",DAY(EOMONTH($A590,0))-COUNTA($F590:$AJ590))</f>
        <v/>
      </c>
    </row>
    <row r="591" customFormat="false" ht="15" hidden="false" customHeight="false" outlineLevel="0" collapsed="false">
      <c r="A591" s="32"/>
      <c r="B591" s="29"/>
      <c r="C591" s="10" t="str">
        <f aca="false">IF($B591="","",IFERROR(INDEX(M_name,MATCH($B591,M_emp,0)),"Code not found"))</f>
        <v/>
      </c>
      <c r="D591" s="10" t="str">
        <f aca="false">IF($B591="","",IFERROR(INDEX(M_dept,MATCH($B591,M_emp,0)),""))</f>
        <v/>
      </c>
      <c r="E591" s="10" t="str">
        <f aca="false">IF($B591="","",IFERROR(INDEX(M_loc,MATCH($B591,M_emp,0)),""))</f>
        <v/>
      </c>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4" t="str">
        <f aca="false">IF($B591="","",COUNTIF($F591:$AJ591,"P"))</f>
        <v/>
      </c>
      <c r="AL591" s="34" t="str">
        <f aca="false">IF($B591="","",COUNTIF($F591:$AJ591,"A"))</f>
        <v/>
      </c>
      <c r="AM591" s="34" t="str">
        <f aca="false">IF($B591="","",COUNTIF($F591:$AJ591,"HA"))</f>
        <v/>
      </c>
      <c r="AN591" s="34" t="str">
        <f aca="false">IF($B591="","",COUNTIF($F591:$AJ591,"L"))</f>
        <v/>
      </c>
      <c r="AO591" s="34" t="str">
        <f aca="false">IF($B591="","",COUNTIF($F591:$AJ591,"PL"))</f>
        <v/>
      </c>
      <c r="AP591" s="34" t="str">
        <f aca="false">IF($B591="","",COUNTIF($F591:$AJ591,"CL"))</f>
        <v/>
      </c>
      <c r="AQ591" s="34" t="str">
        <f aca="false">IF($B591="","",COUNTIF($F591:$AJ591,"SL"))</f>
        <v/>
      </c>
      <c r="AR591" s="34" t="str">
        <f aca="false">IF($B591="","",COUNTIF($F591:$AJ591,"CO"))</f>
        <v/>
      </c>
      <c r="AS591" s="34" t="str">
        <f aca="false">IF($B591="","",COUNTIF($F591:$AJ591,"HPL"))</f>
        <v/>
      </c>
      <c r="AT591" s="34" t="str">
        <f aca="false">IF($B591="","",COUNTIF($F591:$AJ591,"HCL"))</f>
        <v/>
      </c>
      <c r="AU591" s="34" t="str">
        <f aca="false">IF($B591="","",COUNTIF($F591:$AJ591,"WO"))</f>
        <v/>
      </c>
      <c r="AV591" s="34" t="str">
        <f aca="false">IF($B591="","",COUNTIF($F591:$AJ591,"PH"))</f>
        <v/>
      </c>
      <c r="AW591" s="34" t="str">
        <f aca="false">IF($B591="","",COUNTIF($F591:$AJ591,"TR"))</f>
        <v/>
      </c>
      <c r="AX591" s="35" t="str">
        <f aca="false">IF($B591="","",AO591+AS591/2)</f>
        <v/>
      </c>
      <c r="AY591" s="35" t="str">
        <f aca="false">IF($B591="","",AQ591)</f>
        <v/>
      </c>
      <c r="AZ591" s="35" t="str">
        <f aca="false">IF($B591="","",AP591+AT591/2)</f>
        <v/>
      </c>
      <c r="BA591" s="35" t="str">
        <f aca="false">IF($B591="","",AK591+AN591+AM591/2+AO591+AP591+AQ591+AR591+AS591+AT591+AU591+AV591+AW591)</f>
        <v/>
      </c>
      <c r="BB591" s="35" t="str">
        <f aca="false">IF($B591="","",MAX(0,AN591-Settings!$C$16)*Settings!$C$17)</f>
        <v/>
      </c>
      <c r="BC591" s="35" t="str">
        <f aca="false">IF($B591="","",BA591-BB591)</f>
        <v/>
      </c>
      <c r="BD591" s="35" t="str">
        <f aca="false">IF(OR($B591="",$A591=""),"",DAY(EOMONTH($A591,0))-COUNTA($F591:$AJ591))</f>
        <v/>
      </c>
    </row>
    <row r="592" customFormat="false" ht="15" hidden="false" customHeight="false" outlineLevel="0" collapsed="false">
      <c r="A592" s="32"/>
      <c r="B592" s="29"/>
      <c r="C592" s="10" t="str">
        <f aca="false">IF($B592="","",IFERROR(INDEX(M_name,MATCH($B592,M_emp,0)),"Code not found"))</f>
        <v/>
      </c>
      <c r="D592" s="10" t="str">
        <f aca="false">IF($B592="","",IFERROR(INDEX(M_dept,MATCH($B592,M_emp,0)),""))</f>
        <v/>
      </c>
      <c r="E592" s="10" t="str">
        <f aca="false">IF($B592="","",IFERROR(INDEX(M_loc,MATCH($B592,M_emp,0)),""))</f>
        <v/>
      </c>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4" t="str">
        <f aca="false">IF($B592="","",COUNTIF($F592:$AJ592,"P"))</f>
        <v/>
      </c>
      <c r="AL592" s="34" t="str">
        <f aca="false">IF($B592="","",COUNTIF($F592:$AJ592,"A"))</f>
        <v/>
      </c>
      <c r="AM592" s="34" t="str">
        <f aca="false">IF($B592="","",COUNTIF($F592:$AJ592,"HA"))</f>
        <v/>
      </c>
      <c r="AN592" s="34" t="str">
        <f aca="false">IF($B592="","",COUNTIF($F592:$AJ592,"L"))</f>
        <v/>
      </c>
      <c r="AO592" s="34" t="str">
        <f aca="false">IF($B592="","",COUNTIF($F592:$AJ592,"PL"))</f>
        <v/>
      </c>
      <c r="AP592" s="34" t="str">
        <f aca="false">IF($B592="","",COUNTIF($F592:$AJ592,"CL"))</f>
        <v/>
      </c>
      <c r="AQ592" s="34" t="str">
        <f aca="false">IF($B592="","",COUNTIF($F592:$AJ592,"SL"))</f>
        <v/>
      </c>
      <c r="AR592" s="34" t="str">
        <f aca="false">IF($B592="","",COUNTIF($F592:$AJ592,"CO"))</f>
        <v/>
      </c>
      <c r="AS592" s="34" t="str">
        <f aca="false">IF($B592="","",COUNTIF($F592:$AJ592,"HPL"))</f>
        <v/>
      </c>
      <c r="AT592" s="34" t="str">
        <f aca="false">IF($B592="","",COUNTIF($F592:$AJ592,"HCL"))</f>
        <v/>
      </c>
      <c r="AU592" s="34" t="str">
        <f aca="false">IF($B592="","",COUNTIF($F592:$AJ592,"WO"))</f>
        <v/>
      </c>
      <c r="AV592" s="34" t="str">
        <f aca="false">IF($B592="","",COUNTIF($F592:$AJ592,"PH"))</f>
        <v/>
      </c>
      <c r="AW592" s="34" t="str">
        <f aca="false">IF($B592="","",COUNTIF($F592:$AJ592,"TR"))</f>
        <v/>
      </c>
      <c r="AX592" s="35" t="str">
        <f aca="false">IF($B592="","",AO592+AS592/2)</f>
        <v/>
      </c>
      <c r="AY592" s="35" t="str">
        <f aca="false">IF($B592="","",AQ592)</f>
        <v/>
      </c>
      <c r="AZ592" s="35" t="str">
        <f aca="false">IF($B592="","",AP592+AT592/2)</f>
        <v/>
      </c>
      <c r="BA592" s="35" t="str">
        <f aca="false">IF($B592="","",AK592+AN592+AM592/2+AO592+AP592+AQ592+AR592+AS592+AT592+AU592+AV592+AW592)</f>
        <v/>
      </c>
      <c r="BB592" s="35" t="str">
        <f aca="false">IF($B592="","",MAX(0,AN592-Settings!$C$16)*Settings!$C$17)</f>
        <v/>
      </c>
      <c r="BC592" s="35" t="str">
        <f aca="false">IF($B592="","",BA592-BB592)</f>
        <v/>
      </c>
      <c r="BD592" s="35" t="str">
        <f aca="false">IF(OR($B592="",$A592=""),"",DAY(EOMONTH($A592,0))-COUNTA($F592:$AJ592))</f>
        <v/>
      </c>
    </row>
    <row r="593" customFormat="false" ht="15" hidden="false" customHeight="false" outlineLevel="0" collapsed="false">
      <c r="A593" s="32"/>
      <c r="B593" s="29"/>
      <c r="C593" s="10" t="str">
        <f aca="false">IF($B593="","",IFERROR(INDEX(M_name,MATCH($B593,M_emp,0)),"Code not found"))</f>
        <v/>
      </c>
      <c r="D593" s="10" t="str">
        <f aca="false">IF($B593="","",IFERROR(INDEX(M_dept,MATCH($B593,M_emp,0)),""))</f>
        <v/>
      </c>
      <c r="E593" s="10" t="str">
        <f aca="false">IF($B593="","",IFERROR(INDEX(M_loc,MATCH($B593,M_emp,0)),""))</f>
        <v/>
      </c>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4" t="str">
        <f aca="false">IF($B593="","",COUNTIF($F593:$AJ593,"P"))</f>
        <v/>
      </c>
      <c r="AL593" s="34" t="str">
        <f aca="false">IF($B593="","",COUNTIF($F593:$AJ593,"A"))</f>
        <v/>
      </c>
      <c r="AM593" s="34" t="str">
        <f aca="false">IF($B593="","",COUNTIF($F593:$AJ593,"HA"))</f>
        <v/>
      </c>
      <c r="AN593" s="34" t="str">
        <f aca="false">IF($B593="","",COUNTIF($F593:$AJ593,"L"))</f>
        <v/>
      </c>
      <c r="AO593" s="34" t="str">
        <f aca="false">IF($B593="","",COUNTIF($F593:$AJ593,"PL"))</f>
        <v/>
      </c>
      <c r="AP593" s="34" t="str">
        <f aca="false">IF($B593="","",COUNTIF($F593:$AJ593,"CL"))</f>
        <v/>
      </c>
      <c r="AQ593" s="34" t="str">
        <f aca="false">IF($B593="","",COUNTIF($F593:$AJ593,"SL"))</f>
        <v/>
      </c>
      <c r="AR593" s="34" t="str">
        <f aca="false">IF($B593="","",COUNTIF($F593:$AJ593,"CO"))</f>
        <v/>
      </c>
      <c r="AS593" s="34" t="str">
        <f aca="false">IF($B593="","",COUNTIF($F593:$AJ593,"HPL"))</f>
        <v/>
      </c>
      <c r="AT593" s="34" t="str">
        <f aca="false">IF($B593="","",COUNTIF($F593:$AJ593,"HCL"))</f>
        <v/>
      </c>
      <c r="AU593" s="34" t="str">
        <f aca="false">IF($B593="","",COUNTIF($F593:$AJ593,"WO"))</f>
        <v/>
      </c>
      <c r="AV593" s="34" t="str">
        <f aca="false">IF($B593="","",COUNTIF($F593:$AJ593,"PH"))</f>
        <v/>
      </c>
      <c r="AW593" s="34" t="str">
        <f aca="false">IF($B593="","",COUNTIF($F593:$AJ593,"TR"))</f>
        <v/>
      </c>
      <c r="AX593" s="35" t="str">
        <f aca="false">IF($B593="","",AO593+AS593/2)</f>
        <v/>
      </c>
      <c r="AY593" s="35" t="str">
        <f aca="false">IF($B593="","",AQ593)</f>
        <v/>
      </c>
      <c r="AZ593" s="35" t="str">
        <f aca="false">IF($B593="","",AP593+AT593/2)</f>
        <v/>
      </c>
      <c r="BA593" s="35" t="str">
        <f aca="false">IF($B593="","",AK593+AN593+AM593/2+AO593+AP593+AQ593+AR593+AS593+AT593+AU593+AV593+AW593)</f>
        <v/>
      </c>
      <c r="BB593" s="35" t="str">
        <f aca="false">IF($B593="","",MAX(0,AN593-Settings!$C$16)*Settings!$C$17)</f>
        <v/>
      </c>
      <c r="BC593" s="35" t="str">
        <f aca="false">IF($B593="","",BA593-BB593)</f>
        <v/>
      </c>
      <c r="BD593" s="35" t="str">
        <f aca="false">IF(OR($B593="",$A593=""),"",DAY(EOMONTH($A593,0))-COUNTA($F593:$AJ593))</f>
        <v/>
      </c>
    </row>
    <row r="594" customFormat="false" ht="15" hidden="false" customHeight="false" outlineLevel="0" collapsed="false">
      <c r="A594" s="32"/>
      <c r="B594" s="29"/>
      <c r="C594" s="10" t="str">
        <f aca="false">IF($B594="","",IFERROR(INDEX(M_name,MATCH($B594,M_emp,0)),"Code not found"))</f>
        <v/>
      </c>
      <c r="D594" s="10" t="str">
        <f aca="false">IF($B594="","",IFERROR(INDEX(M_dept,MATCH($B594,M_emp,0)),""))</f>
        <v/>
      </c>
      <c r="E594" s="10" t="str">
        <f aca="false">IF($B594="","",IFERROR(INDEX(M_loc,MATCH($B594,M_emp,0)),""))</f>
        <v/>
      </c>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4" t="str">
        <f aca="false">IF($B594="","",COUNTIF($F594:$AJ594,"P"))</f>
        <v/>
      </c>
      <c r="AL594" s="34" t="str">
        <f aca="false">IF($B594="","",COUNTIF($F594:$AJ594,"A"))</f>
        <v/>
      </c>
      <c r="AM594" s="34" t="str">
        <f aca="false">IF($B594="","",COUNTIF($F594:$AJ594,"HA"))</f>
        <v/>
      </c>
      <c r="AN594" s="34" t="str">
        <f aca="false">IF($B594="","",COUNTIF($F594:$AJ594,"L"))</f>
        <v/>
      </c>
      <c r="AO594" s="34" t="str">
        <f aca="false">IF($B594="","",COUNTIF($F594:$AJ594,"PL"))</f>
        <v/>
      </c>
      <c r="AP594" s="34" t="str">
        <f aca="false">IF($B594="","",COUNTIF($F594:$AJ594,"CL"))</f>
        <v/>
      </c>
      <c r="AQ594" s="34" t="str">
        <f aca="false">IF($B594="","",COUNTIF($F594:$AJ594,"SL"))</f>
        <v/>
      </c>
      <c r="AR594" s="34" t="str">
        <f aca="false">IF($B594="","",COUNTIF($F594:$AJ594,"CO"))</f>
        <v/>
      </c>
      <c r="AS594" s="34" t="str">
        <f aca="false">IF($B594="","",COUNTIF($F594:$AJ594,"HPL"))</f>
        <v/>
      </c>
      <c r="AT594" s="34" t="str">
        <f aca="false">IF($B594="","",COUNTIF($F594:$AJ594,"HCL"))</f>
        <v/>
      </c>
      <c r="AU594" s="34" t="str">
        <f aca="false">IF($B594="","",COUNTIF($F594:$AJ594,"WO"))</f>
        <v/>
      </c>
      <c r="AV594" s="34" t="str">
        <f aca="false">IF($B594="","",COUNTIF($F594:$AJ594,"PH"))</f>
        <v/>
      </c>
      <c r="AW594" s="34" t="str">
        <f aca="false">IF($B594="","",COUNTIF($F594:$AJ594,"TR"))</f>
        <v/>
      </c>
      <c r="AX594" s="35" t="str">
        <f aca="false">IF($B594="","",AO594+AS594/2)</f>
        <v/>
      </c>
      <c r="AY594" s="35" t="str">
        <f aca="false">IF($B594="","",AQ594)</f>
        <v/>
      </c>
      <c r="AZ594" s="35" t="str">
        <f aca="false">IF($B594="","",AP594+AT594/2)</f>
        <v/>
      </c>
      <c r="BA594" s="35" t="str">
        <f aca="false">IF($B594="","",AK594+AN594+AM594/2+AO594+AP594+AQ594+AR594+AS594+AT594+AU594+AV594+AW594)</f>
        <v/>
      </c>
      <c r="BB594" s="35" t="str">
        <f aca="false">IF($B594="","",MAX(0,AN594-Settings!$C$16)*Settings!$C$17)</f>
        <v/>
      </c>
      <c r="BC594" s="35" t="str">
        <f aca="false">IF($B594="","",BA594-BB594)</f>
        <v/>
      </c>
      <c r="BD594" s="35" t="str">
        <f aca="false">IF(OR($B594="",$A594=""),"",DAY(EOMONTH($A594,0))-COUNTA($F594:$AJ594))</f>
        <v/>
      </c>
    </row>
    <row r="595" customFormat="false" ht="15" hidden="false" customHeight="false" outlineLevel="0" collapsed="false">
      <c r="A595" s="32"/>
      <c r="B595" s="29"/>
      <c r="C595" s="10" t="str">
        <f aca="false">IF($B595="","",IFERROR(INDEX(M_name,MATCH($B595,M_emp,0)),"Code not found"))</f>
        <v/>
      </c>
      <c r="D595" s="10" t="str">
        <f aca="false">IF($B595="","",IFERROR(INDEX(M_dept,MATCH($B595,M_emp,0)),""))</f>
        <v/>
      </c>
      <c r="E595" s="10" t="str">
        <f aca="false">IF($B595="","",IFERROR(INDEX(M_loc,MATCH($B595,M_emp,0)),""))</f>
        <v/>
      </c>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4" t="str">
        <f aca="false">IF($B595="","",COUNTIF($F595:$AJ595,"P"))</f>
        <v/>
      </c>
      <c r="AL595" s="34" t="str">
        <f aca="false">IF($B595="","",COUNTIF($F595:$AJ595,"A"))</f>
        <v/>
      </c>
      <c r="AM595" s="34" t="str">
        <f aca="false">IF($B595="","",COUNTIF($F595:$AJ595,"HA"))</f>
        <v/>
      </c>
      <c r="AN595" s="34" t="str">
        <f aca="false">IF($B595="","",COUNTIF($F595:$AJ595,"L"))</f>
        <v/>
      </c>
      <c r="AO595" s="34" t="str">
        <f aca="false">IF($B595="","",COUNTIF($F595:$AJ595,"PL"))</f>
        <v/>
      </c>
      <c r="AP595" s="34" t="str">
        <f aca="false">IF($B595="","",COUNTIF($F595:$AJ595,"CL"))</f>
        <v/>
      </c>
      <c r="AQ595" s="34" t="str">
        <f aca="false">IF($B595="","",COUNTIF($F595:$AJ595,"SL"))</f>
        <v/>
      </c>
      <c r="AR595" s="34" t="str">
        <f aca="false">IF($B595="","",COUNTIF($F595:$AJ595,"CO"))</f>
        <v/>
      </c>
      <c r="AS595" s="34" t="str">
        <f aca="false">IF($B595="","",COUNTIF($F595:$AJ595,"HPL"))</f>
        <v/>
      </c>
      <c r="AT595" s="34" t="str">
        <f aca="false">IF($B595="","",COUNTIF($F595:$AJ595,"HCL"))</f>
        <v/>
      </c>
      <c r="AU595" s="34" t="str">
        <f aca="false">IF($B595="","",COUNTIF($F595:$AJ595,"WO"))</f>
        <v/>
      </c>
      <c r="AV595" s="34" t="str">
        <f aca="false">IF($B595="","",COUNTIF($F595:$AJ595,"PH"))</f>
        <v/>
      </c>
      <c r="AW595" s="34" t="str">
        <f aca="false">IF($B595="","",COUNTIF($F595:$AJ595,"TR"))</f>
        <v/>
      </c>
      <c r="AX595" s="35" t="str">
        <f aca="false">IF($B595="","",AO595+AS595/2)</f>
        <v/>
      </c>
      <c r="AY595" s="35" t="str">
        <f aca="false">IF($B595="","",AQ595)</f>
        <v/>
      </c>
      <c r="AZ595" s="35" t="str">
        <f aca="false">IF($B595="","",AP595+AT595/2)</f>
        <v/>
      </c>
      <c r="BA595" s="35" t="str">
        <f aca="false">IF($B595="","",AK595+AN595+AM595/2+AO595+AP595+AQ595+AR595+AS595+AT595+AU595+AV595+AW595)</f>
        <v/>
      </c>
      <c r="BB595" s="35" t="str">
        <f aca="false">IF($B595="","",MAX(0,AN595-Settings!$C$16)*Settings!$C$17)</f>
        <v/>
      </c>
      <c r="BC595" s="35" t="str">
        <f aca="false">IF($B595="","",BA595-BB595)</f>
        <v/>
      </c>
      <c r="BD595" s="35" t="str">
        <f aca="false">IF(OR($B595="",$A595=""),"",DAY(EOMONTH($A595,0))-COUNTA($F595:$AJ595))</f>
        <v/>
      </c>
    </row>
    <row r="596" customFormat="false" ht="15" hidden="false" customHeight="false" outlineLevel="0" collapsed="false">
      <c r="A596" s="32"/>
      <c r="B596" s="29"/>
      <c r="C596" s="10" t="str">
        <f aca="false">IF($B596="","",IFERROR(INDEX(M_name,MATCH($B596,M_emp,0)),"Code not found"))</f>
        <v/>
      </c>
      <c r="D596" s="10" t="str">
        <f aca="false">IF($B596="","",IFERROR(INDEX(M_dept,MATCH($B596,M_emp,0)),""))</f>
        <v/>
      </c>
      <c r="E596" s="10" t="str">
        <f aca="false">IF($B596="","",IFERROR(INDEX(M_loc,MATCH($B596,M_emp,0)),""))</f>
        <v/>
      </c>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4" t="str">
        <f aca="false">IF($B596="","",COUNTIF($F596:$AJ596,"P"))</f>
        <v/>
      </c>
      <c r="AL596" s="34" t="str">
        <f aca="false">IF($B596="","",COUNTIF($F596:$AJ596,"A"))</f>
        <v/>
      </c>
      <c r="AM596" s="34" t="str">
        <f aca="false">IF($B596="","",COUNTIF($F596:$AJ596,"HA"))</f>
        <v/>
      </c>
      <c r="AN596" s="34" t="str">
        <f aca="false">IF($B596="","",COUNTIF($F596:$AJ596,"L"))</f>
        <v/>
      </c>
      <c r="AO596" s="34" t="str">
        <f aca="false">IF($B596="","",COUNTIF($F596:$AJ596,"PL"))</f>
        <v/>
      </c>
      <c r="AP596" s="34" t="str">
        <f aca="false">IF($B596="","",COUNTIF($F596:$AJ596,"CL"))</f>
        <v/>
      </c>
      <c r="AQ596" s="34" t="str">
        <f aca="false">IF($B596="","",COUNTIF($F596:$AJ596,"SL"))</f>
        <v/>
      </c>
      <c r="AR596" s="34" t="str">
        <f aca="false">IF($B596="","",COUNTIF($F596:$AJ596,"CO"))</f>
        <v/>
      </c>
      <c r="AS596" s="34" t="str">
        <f aca="false">IF($B596="","",COUNTIF($F596:$AJ596,"HPL"))</f>
        <v/>
      </c>
      <c r="AT596" s="34" t="str">
        <f aca="false">IF($B596="","",COUNTIF($F596:$AJ596,"HCL"))</f>
        <v/>
      </c>
      <c r="AU596" s="34" t="str">
        <f aca="false">IF($B596="","",COUNTIF($F596:$AJ596,"WO"))</f>
        <v/>
      </c>
      <c r="AV596" s="34" t="str">
        <f aca="false">IF($B596="","",COUNTIF($F596:$AJ596,"PH"))</f>
        <v/>
      </c>
      <c r="AW596" s="34" t="str">
        <f aca="false">IF($B596="","",COUNTIF($F596:$AJ596,"TR"))</f>
        <v/>
      </c>
      <c r="AX596" s="35" t="str">
        <f aca="false">IF($B596="","",AO596+AS596/2)</f>
        <v/>
      </c>
      <c r="AY596" s="35" t="str">
        <f aca="false">IF($B596="","",AQ596)</f>
        <v/>
      </c>
      <c r="AZ596" s="35" t="str">
        <f aca="false">IF($B596="","",AP596+AT596/2)</f>
        <v/>
      </c>
      <c r="BA596" s="35" t="str">
        <f aca="false">IF($B596="","",AK596+AN596+AM596/2+AO596+AP596+AQ596+AR596+AS596+AT596+AU596+AV596+AW596)</f>
        <v/>
      </c>
      <c r="BB596" s="35" t="str">
        <f aca="false">IF($B596="","",MAX(0,AN596-Settings!$C$16)*Settings!$C$17)</f>
        <v/>
      </c>
      <c r="BC596" s="35" t="str">
        <f aca="false">IF($B596="","",BA596-BB596)</f>
        <v/>
      </c>
      <c r="BD596" s="35" t="str">
        <f aca="false">IF(OR($B596="",$A596=""),"",DAY(EOMONTH($A596,0))-COUNTA($F596:$AJ596))</f>
        <v/>
      </c>
    </row>
    <row r="597" customFormat="false" ht="15" hidden="false" customHeight="false" outlineLevel="0" collapsed="false">
      <c r="A597" s="32"/>
      <c r="B597" s="29"/>
      <c r="C597" s="10" t="str">
        <f aca="false">IF($B597="","",IFERROR(INDEX(M_name,MATCH($B597,M_emp,0)),"Code not found"))</f>
        <v/>
      </c>
      <c r="D597" s="10" t="str">
        <f aca="false">IF($B597="","",IFERROR(INDEX(M_dept,MATCH($B597,M_emp,0)),""))</f>
        <v/>
      </c>
      <c r="E597" s="10" t="str">
        <f aca="false">IF($B597="","",IFERROR(INDEX(M_loc,MATCH($B597,M_emp,0)),""))</f>
        <v/>
      </c>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4" t="str">
        <f aca="false">IF($B597="","",COUNTIF($F597:$AJ597,"P"))</f>
        <v/>
      </c>
      <c r="AL597" s="34" t="str">
        <f aca="false">IF($B597="","",COUNTIF($F597:$AJ597,"A"))</f>
        <v/>
      </c>
      <c r="AM597" s="34" t="str">
        <f aca="false">IF($B597="","",COUNTIF($F597:$AJ597,"HA"))</f>
        <v/>
      </c>
      <c r="AN597" s="34" t="str">
        <f aca="false">IF($B597="","",COUNTIF($F597:$AJ597,"L"))</f>
        <v/>
      </c>
      <c r="AO597" s="34" t="str">
        <f aca="false">IF($B597="","",COUNTIF($F597:$AJ597,"PL"))</f>
        <v/>
      </c>
      <c r="AP597" s="34" t="str">
        <f aca="false">IF($B597="","",COUNTIF($F597:$AJ597,"CL"))</f>
        <v/>
      </c>
      <c r="AQ597" s="34" t="str">
        <f aca="false">IF($B597="","",COUNTIF($F597:$AJ597,"SL"))</f>
        <v/>
      </c>
      <c r="AR597" s="34" t="str">
        <f aca="false">IF($B597="","",COUNTIF($F597:$AJ597,"CO"))</f>
        <v/>
      </c>
      <c r="AS597" s="34" t="str">
        <f aca="false">IF($B597="","",COUNTIF($F597:$AJ597,"HPL"))</f>
        <v/>
      </c>
      <c r="AT597" s="34" t="str">
        <f aca="false">IF($B597="","",COUNTIF($F597:$AJ597,"HCL"))</f>
        <v/>
      </c>
      <c r="AU597" s="34" t="str">
        <f aca="false">IF($B597="","",COUNTIF($F597:$AJ597,"WO"))</f>
        <v/>
      </c>
      <c r="AV597" s="34" t="str">
        <f aca="false">IF($B597="","",COUNTIF($F597:$AJ597,"PH"))</f>
        <v/>
      </c>
      <c r="AW597" s="34" t="str">
        <f aca="false">IF($B597="","",COUNTIF($F597:$AJ597,"TR"))</f>
        <v/>
      </c>
      <c r="AX597" s="35" t="str">
        <f aca="false">IF($B597="","",AO597+AS597/2)</f>
        <v/>
      </c>
      <c r="AY597" s="35" t="str">
        <f aca="false">IF($B597="","",AQ597)</f>
        <v/>
      </c>
      <c r="AZ597" s="35" t="str">
        <f aca="false">IF($B597="","",AP597+AT597/2)</f>
        <v/>
      </c>
      <c r="BA597" s="35" t="str">
        <f aca="false">IF($B597="","",AK597+AN597+AM597/2+AO597+AP597+AQ597+AR597+AS597+AT597+AU597+AV597+AW597)</f>
        <v/>
      </c>
      <c r="BB597" s="35" t="str">
        <f aca="false">IF($B597="","",MAX(0,AN597-Settings!$C$16)*Settings!$C$17)</f>
        <v/>
      </c>
      <c r="BC597" s="35" t="str">
        <f aca="false">IF($B597="","",BA597-BB597)</f>
        <v/>
      </c>
      <c r="BD597" s="35" t="str">
        <f aca="false">IF(OR($B597="",$A597=""),"",DAY(EOMONTH($A597,0))-COUNTA($F597:$AJ597))</f>
        <v/>
      </c>
    </row>
    <row r="598" customFormat="false" ht="15" hidden="false" customHeight="false" outlineLevel="0" collapsed="false">
      <c r="A598" s="32"/>
      <c r="B598" s="29"/>
      <c r="C598" s="10" t="str">
        <f aca="false">IF($B598="","",IFERROR(INDEX(M_name,MATCH($B598,M_emp,0)),"Code not found"))</f>
        <v/>
      </c>
      <c r="D598" s="10" t="str">
        <f aca="false">IF($B598="","",IFERROR(INDEX(M_dept,MATCH($B598,M_emp,0)),""))</f>
        <v/>
      </c>
      <c r="E598" s="10" t="str">
        <f aca="false">IF($B598="","",IFERROR(INDEX(M_loc,MATCH($B598,M_emp,0)),""))</f>
        <v/>
      </c>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4" t="str">
        <f aca="false">IF($B598="","",COUNTIF($F598:$AJ598,"P"))</f>
        <v/>
      </c>
      <c r="AL598" s="34" t="str">
        <f aca="false">IF($B598="","",COUNTIF($F598:$AJ598,"A"))</f>
        <v/>
      </c>
      <c r="AM598" s="34" t="str">
        <f aca="false">IF($B598="","",COUNTIF($F598:$AJ598,"HA"))</f>
        <v/>
      </c>
      <c r="AN598" s="34" t="str">
        <f aca="false">IF($B598="","",COUNTIF($F598:$AJ598,"L"))</f>
        <v/>
      </c>
      <c r="AO598" s="34" t="str">
        <f aca="false">IF($B598="","",COUNTIF($F598:$AJ598,"PL"))</f>
        <v/>
      </c>
      <c r="AP598" s="34" t="str">
        <f aca="false">IF($B598="","",COUNTIF($F598:$AJ598,"CL"))</f>
        <v/>
      </c>
      <c r="AQ598" s="34" t="str">
        <f aca="false">IF($B598="","",COUNTIF($F598:$AJ598,"SL"))</f>
        <v/>
      </c>
      <c r="AR598" s="34" t="str">
        <f aca="false">IF($B598="","",COUNTIF($F598:$AJ598,"CO"))</f>
        <v/>
      </c>
      <c r="AS598" s="34" t="str">
        <f aca="false">IF($B598="","",COUNTIF($F598:$AJ598,"HPL"))</f>
        <v/>
      </c>
      <c r="AT598" s="34" t="str">
        <f aca="false">IF($B598="","",COUNTIF($F598:$AJ598,"HCL"))</f>
        <v/>
      </c>
      <c r="AU598" s="34" t="str">
        <f aca="false">IF($B598="","",COUNTIF($F598:$AJ598,"WO"))</f>
        <v/>
      </c>
      <c r="AV598" s="34" t="str">
        <f aca="false">IF($B598="","",COUNTIF($F598:$AJ598,"PH"))</f>
        <v/>
      </c>
      <c r="AW598" s="34" t="str">
        <f aca="false">IF($B598="","",COUNTIF($F598:$AJ598,"TR"))</f>
        <v/>
      </c>
      <c r="AX598" s="35" t="str">
        <f aca="false">IF($B598="","",AO598+AS598/2)</f>
        <v/>
      </c>
      <c r="AY598" s="35" t="str">
        <f aca="false">IF($B598="","",AQ598)</f>
        <v/>
      </c>
      <c r="AZ598" s="35" t="str">
        <f aca="false">IF($B598="","",AP598+AT598/2)</f>
        <v/>
      </c>
      <c r="BA598" s="35" t="str">
        <f aca="false">IF($B598="","",AK598+AN598+AM598/2+AO598+AP598+AQ598+AR598+AS598+AT598+AU598+AV598+AW598)</f>
        <v/>
      </c>
      <c r="BB598" s="35" t="str">
        <f aca="false">IF($B598="","",MAX(0,AN598-Settings!$C$16)*Settings!$C$17)</f>
        <v/>
      </c>
      <c r="BC598" s="35" t="str">
        <f aca="false">IF($B598="","",BA598-BB598)</f>
        <v/>
      </c>
      <c r="BD598" s="35" t="str">
        <f aca="false">IF(OR($B598="",$A598=""),"",DAY(EOMONTH($A598,0))-COUNTA($F598:$AJ598))</f>
        <v/>
      </c>
    </row>
    <row r="599" customFormat="false" ht="15" hidden="false" customHeight="false" outlineLevel="0" collapsed="false">
      <c r="A599" s="32"/>
      <c r="B599" s="29"/>
      <c r="C599" s="10" t="str">
        <f aca="false">IF($B599="","",IFERROR(INDEX(M_name,MATCH($B599,M_emp,0)),"Code not found"))</f>
        <v/>
      </c>
      <c r="D599" s="10" t="str">
        <f aca="false">IF($B599="","",IFERROR(INDEX(M_dept,MATCH($B599,M_emp,0)),""))</f>
        <v/>
      </c>
      <c r="E599" s="10" t="str">
        <f aca="false">IF($B599="","",IFERROR(INDEX(M_loc,MATCH($B599,M_emp,0)),""))</f>
        <v/>
      </c>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4" t="str">
        <f aca="false">IF($B599="","",COUNTIF($F599:$AJ599,"P"))</f>
        <v/>
      </c>
      <c r="AL599" s="34" t="str">
        <f aca="false">IF($B599="","",COUNTIF($F599:$AJ599,"A"))</f>
        <v/>
      </c>
      <c r="AM599" s="34" t="str">
        <f aca="false">IF($B599="","",COUNTIF($F599:$AJ599,"HA"))</f>
        <v/>
      </c>
      <c r="AN599" s="34" t="str">
        <f aca="false">IF($B599="","",COUNTIF($F599:$AJ599,"L"))</f>
        <v/>
      </c>
      <c r="AO599" s="34" t="str">
        <f aca="false">IF($B599="","",COUNTIF($F599:$AJ599,"PL"))</f>
        <v/>
      </c>
      <c r="AP599" s="34" t="str">
        <f aca="false">IF($B599="","",COUNTIF($F599:$AJ599,"CL"))</f>
        <v/>
      </c>
      <c r="AQ599" s="34" t="str">
        <f aca="false">IF($B599="","",COUNTIF($F599:$AJ599,"SL"))</f>
        <v/>
      </c>
      <c r="AR599" s="34" t="str">
        <f aca="false">IF($B599="","",COUNTIF($F599:$AJ599,"CO"))</f>
        <v/>
      </c>
      <c r="AS599" s="34" t="str">
        <f aca="false">IF($B599="","",COUNTIF($F599:$AJ599,"HPL"))</f>
        <v/>
      </c>
      <c r="AT599" s="34" t="str">
        <f aca="false">IF($B599="","",COUNTIF($F599:$AJ599,"HCL"))</f>
        <v/>
      </c>
      <c r="AU599" s="34" t="str">
        <f aca="false">IF($B599="","",COUNTIF($F599:$AJ599,"WO"))</f>
        <v/>
      </c>
      <c r="AV599" s="34" t="str">
        <f aca="false">IF($B599="","",COUNTIF($F599:$AJ599,"PH"))</f>
        <v/>
      </c>
      <c r="AW599" s="34" t="str">
        <f aca="false">IF($B599="","",COUNTIF($F599:$AJ599,"TR"))</f>
        <v/>
      </c>
      <c r="AX599" s="35" t="str">
        <f aca="false">IF($B599="","",AO599+AS599/2)</f>
        <v/>
      </c>
      <c r="AY599" s="35" t="str">
        <f aca="false">IF($B599="","",AQ599)</f>
        <v/>
      </c>
      <c r="AZ599" s="35" t="str">
        <f aca="false">IF($B599="","",AP599+AT599/2)</f>
        <v/>
      </c>
      <c r="BA599" s="35" t="str">
        <f aca="false">IF($B599="","",AK599+AN599+AM599/2+AO599+AP599+AQ599+AR599+AS599+AT599+AU599+AV599+AW599)</f>
        <v/>
      </c>
      <c r="BB599" s="35" t="str">
        <f aca="false">IF($B599="","",MAX(0,AN599-Settings!$C$16)*Settings!$C$17)</f>
        <v/>
      </c>
      <c r="BC599" s="35" t="str">
        <f aca="false">IF($B599="","",BA599-BB599)</f>
        <v/>
      </c>
      <c r="BD599" s="35" t="str">
        <f aca="false">IF(OR($B599="",$A599=""),"",DAY(EOMONTH($A599,0))-COUNTA($F599:$AJ599))</f>
        <v/>
      </c>
    </row>
    <row r="600" customFormat="false" ht="15" hidden="false" customHeight="false" outlineLevel="0" collapsed="false">
      <c r="A600" s="32"/>
      <c r="B600" s="29"/>
      <c r="C600" s="10" t="str">
        <f aca="false">IF($B600="","",IFERROR(INDEX(M_name,MATCH($B600,M_emp,0)),"Code not found"))</f>
        <v/>
      </c>
      <c r="D600" s="10" t="str">
        <f aca="false">IF($B600="","",IFERROR(INDEX(M_dept,MATCH($B600,M_emp,0)),""))</f>
        <v/>
      </c>
      <c r="E600" s="10" t="str">
        <f aca="false">IF($B600="","",IFERROR(INDEX(M_loc,MATCH($B600,M_emp,0)),""))</f>
        <v/>
      </c>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4" t="str">
        <f aca="false">IF($B600="","",COUNTIF($F600:$AJ600,"P"))</f>
        <v/>
      </c>
      <c r="AL600" s="34" t="str">
        <f aca="false">IF($B600="","",COUNTIF($F600:$AJ600,"A"))</f>
        <v/>
      </c>
      <c r="AM600" s="34" t="str">
        <f aca="false">IF($B600="","",COUNTIF($F600:$AJ600,"HA"))</f>
        <v/>
      </c>
      <c r="AN600" s="34" t="str">
        <f aca="false">IF($B600="","",COUNTIF($F600:$AJ600,"L"))</f>
        <v/>
      </c>
      <c r="AO600" s="34" t="str">
        <f aca="false">IF($B600="","",COUNTIF($F600:$AJ600,"PL"))</f>
        <v/>
      </c>
      <c r="AP600" s="34" t="str">
        <f aca="false">IF($B600="","",COUNTIF($F600:$AJ600,"CL"))</f>
        <v/>
      </c>
      <c r="AQ600" s="34" t="str">
        <f aca="false">IF($B600="","",COUNTIF($F600:$AJ600,"SL"))</f>
        <v/>
      </c>
      <c r="AR600" s="34" t="str">
        <f aca="false">IF($B600="","",COUNTIF($F600:$AJ600,"CO"))</f>
        <v/>
      </c>
      <c r="AS600" s="34" t="str">
        <f aca="false">IF($B600="","",COUNTIF($F600:$AJ600,"HPL"))</f>
        <v/>
      </c>
      <c r="AT600" s="34" t="str">
        <f aca="false">IF($B600="","",COUNTIF($F600:$AJ600,"HCL"))</f>
        <v/>
      </c>
      <c r="AU600" s="34" t="str">
        <f aca="false">IF($B600="","",COUNTIF($F600:$AJ600,"WO"))</f>
        <v/>
      </c>
      <c r="AV600" s="34" t="str">
        <f aca="false">IF($B600="","",COUNTIF($F600:$AJ600,"PH"))</f>
        <v/>
      </c>
      <c r="AW600" s="34" t="str">
        <f aca="false">IF($B600="","",COUNTIF($F600:$AJ600,"TR"))</f>
        <v/>
      </c>
      <c r="AX600" s="35" t="str">
        <f aca="false">IF($B600="","",AO600+AS600/2)</f>
        <v/>
      </c>
      <c r="AY600" s="35" t="str">
        <f aca="false">IF($B600="","",AQ600)</f>
        <v/>
      </c>
      <c r="AZ600" s="35" t="str">
        <f aca="false">IF($B600="","",AP600+AT600/2)</f>
        <v/>
      </c>
      <c r="BA600" s="35" t="str">
        <f aca="false">IF($B600="","",AK600+AN600+AM600/2+AO600+AP600+AQ600+AR600+AS600+AT600+AU600+AV600+AW600)</f>
        <v/>
      </c>
      <c r="BB600" s="35" t="str">
        <f aca="false">IF($B600="","",MAX(0,AN600-Settings!$C$16)*Settings!$C$17)</f>
        <v/>
      </c>
      <c r="BC600" s="35" t="str">
        <f aca="false">IF($B600="","",BA600-BB600)</f>
        <v/>
      </c>
      <c r="BD600" s="35" t="str">
        <f aca="false">IF(OR($B600="",$A600=""),"",DAY(EOMONTH($A600,0))-COUNTA($F600:$AJ600))</f>
        <v/>
      </c>
    </row>
    <row r="601" customFormat="false" ht="15" hidden="false" customHeight="false" outlineLevel="0" collapsed="false">
      <c r="A601" s="32"/>
      <c r="B601" s="29"/>
      <c r="C601" s="10" t="str">
        <f aca="false">IF($B601="","",IFERROR(INDEX(M_name,MATCH($B601,M_emp,0)),"Code not found"))</f>
        <v/>
      </c>
      <c r="D601" s="10" t="str">
        <f aca="false">IF($B601="","",IFERROR(INDEX(M_dept,MATCH($B601,M_emp,0)),""))</f>
        <v/>
      </c>
      <c r="E601" s="10" t="str">
        <f aca="false">IF($B601="","",IFERROR(INDEX(M_loc,MATCH($B601,M_emp,0)),""))</f>
        <v/>
      </c>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4" t="str">
        <f aca="false">IF($B601="","",COUNTIF($F601:$AJ601,"P"))</f>
        <v/>
      </c>
      <c r="AL601" s="34" t="str">
        <f aca="false">IF($B601="","",COUNTIF($F601:$AJ601,"A"))</f>
        <v/>
      </c>
      <c r="AM601" s="34" t="str">
        <f aca="false">IF($B601="","",COUNTIF($F601:$AJ601,"HA"))</f>
        <v/>
      </c>
      <c r="AN601" s="34" t="str">
        <f aca="false">IF($B601="","",COUNTIF($F601:$AJ601,"L"))</f>
        <v/>
      </c>
      <c r="AO601" s="34" t="str">
        <f aca="false">IF($B601="","",COUNTIF($F601:$AJ601,"PL"))</f>
        <v/>
      </c>
      <c r="AP601" s="34" t="str">
        <f aca="false">IF($B601="","",COUNTIF($F601:$AJ601,"CL"))</f>
        <v/>
      </c>
      <c r="AQ601" s="34" t="str">
        <f aca="false">IF($B601="","",COUNTIF($F601:$AJ601,"SL"))</f>
        <v/>
      </c>
      <c r="AR601" s="34" t="str">
        <f aca="false">IF($B601="","",COUNTIF($F601:$AJ601,"CO"))</f>
        <v/>
      </c>
      <c r="AS601" s="34" t="str">
        <f aca="false">IF($B601="","",COUNTIF($F601:$AJ601,"HPL"))</f>
        <v/>
      </c>
      <c r="AT601" s="34" t="str">
        <f aca="false">IF($B601="","",COUNTIF($F601:$AJ601,"HCL"))</f>
        <v/>
      </c>
      <c r="AU601" s="34" t="str">
        <f aca="false">IF($B601="","",COUNTIF($F601:$AJ601,"WO"))</f>
        <v/>
      </c>
      <c r="AV601" s="34" t="str">
        <f aca="false">IF($B601="","",COUNTIF($F601:$AJ601,"PH"))</f>
        <v/>
      </c>
      <c r="AW601" s="34" t="str">
        <f aca="false">IF($B601="","",COUNTIF($F601:$AJ601,"TR"))</f>
        <v/>
      </c>
      <c r="AX601" s="35" t="str">
        <f aca="false">IF($B601="","",AO601+AS601/2)</f>
        <v/>
      </c>
      <c r="AY601" s="35" t="str">
        <f aca="false">IF($B601="","",AQ601)</f>
        <v/>
      </c>
      <c r="AZ601" s="35" t="str">
        <f aca="false">IF($B601="","",AP601+AT601/2)</f>
        <v/>
      </c>
      <c r="BA601" s="35" t="str">
        <f aca="false">IF($B601="","",AK601+AN601+AM601/2+AO601+AP601+AQ601+AR601+AS601+AT601+AU601+AV601+AW601)</f>
        <v/>
      </c>
      <c r="BB601" s="35" t="str">
        <f aca="false">IF($B601="","",MAX(0,AN601-Settings!$C$16)*Settings!$C$17)</f>
        <v/>
      </c>
      <c r="BC601" s="35" t="str">
        <f aca="false">IF($B601="","",BA601-BB601)</f>
        <v/>
      </c>
      <c r="BD601" s="35" t="str">
        <f aca="false">IF(OR($B601="",$A601=""),"",DAY(EOMONTH($A601,0))-COUNTA($F601:$AJ601))</f>
        <v/>
      </c>
    </row>
    <row r="602" customFormat="false" ht="15" hidden="false" customHeight="false" outlineLevel="0" collapsed="false">
      <c r="A602" s="32"/>
      <c r="B602" s="29"/>
      <c r="C602" s="10" t="str">
        <f aca="false">IF($B602="","",IFERROR(INDEX(M_name,MATCH($B602,M_emp,0)),"Code not found"))</f>
        <v/>
      </c>
      <c r="D602" s="10" t="str">
        <f aca="false">IF($B602="","",IFERROR(INDEX(M_dept,MATCH($B602,M_emp,0)),""))</f>
        <v/>
      </c>
      <c r="E602" s="10" t="str">
        <f aca="false">IF($B602="","",IFERROR(INDEX(M_loc,MATCH($B602,M_emp,0)),""))</f>
        <v/>
      </c>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4" t="str">
        <f aca="false">IF($B602="","",COUNTIF($F602:$AJ602,"P"))</f>
        <v/>
      </c>
      <c r="AL602" s="34" t="str">
        <f aca="false">IF($B602="","",COUNTIF($F602:$AJ602,"A"))</f>
        <v/>
      </c>
      <c r="AM602" s="34" t="str">
        <f aca="false">IF($B602="","",COUNTIF($F602:$AJ602,"HA"))</f>
        <v/>
      </c>
      <c r="AN602" s="34" t="str">
        <f aca="false">IF($B602="","",COUNTIF($F602:$AJ602,"L"))</f>
        <v/>
      </c>
      <c r="AO602" s="34" t="str">
        <f aca="false">IF($B602="","",COUNTIF($F602:$AJ602,"PL"))</f>
        <v/>
      </c>
      <c r="AP602" s="34" t="str">
        <f aca="false">IF($B602="","",COUNTIF($F602:$AJ602,"CL"))</f>
        <v/>
      </c>
      <c r="AQ602" s="34" t="str">
        <f aca="false">IF($B602="","",COUNTIF($F602:$AJ602,"SL"))</f>
        <v/>
      </c>
      <c r="AR602" s="34" t="str">
        <f aca="false">IF($B602="","",COUNTIF($F602:$AJ602,"CO"))</f>
        <v/>
      </c>
      <c r="AS602" s="34" t="str">
        <f aca="false">IF($B602="","",COUNTIF($F602:$AJ602,"HPL"))</f>
        <v/>
      </c>
      <c r="AT602" s="34" t="str">
        <f aca="false">IF($B602="","",COUNTIF($F602:$AJ602,"HCL"))</f>
        <v/>
      </c>
      <c r="AU602" s="34" t="str">
        <f aca="false">IF($B602="","",COUNTIF($F602:$AJ602,"WO"))</f>
        <v/>
      </c>
      <c r="AV602" s="34" t="str">
        <f aca="false">IF($B602="","",COUNTIF($F602:$AJ602,"PH"))</f>
        <v/>
      </c>
      <c r="AW602" s="34" t="str">
        <f aca="false">IF($B602="","",COUNTIF($F602:$AJ602,"TR"))</f>
        <v/>
      </c>
      <c r="AX602" s="35" t="str">
        <f aca="false">IF($B602="","",AO602+AS602/2)</f>
        <v/>
      </c>
      <c r="AY602" s="35" t="str">
        <f aca="false">IF($B602="","",AQ602)</f>
        <v/>
      </c>
      <c r="AZ602" s="35" t="str">
        <f aca="false">IF($B602="","",AP602+AT602/2)</f>
        <v/>
      </c>
      <c r="BA602" s="35" t="str">
        <f aca="false">IF($B602="","",AK602+AN602+AM602/2+AO602+AP602+AQ602+AR602+AS602+AT602+AU602+AV602+AW602)</f>
        <v/>
      </c>
      <c r="BB602" s="35" t="str">
        <f aca="false">IF($B602="","",MAX(0,AN602-Settings!$C$16)*Settings!$C$17)</f>
        <v/>
      </c>
      <c r="BC602" s="35" t="str">
        <f aca="false">IF($B602="","",BA602-BB602)</f>
        <v/>
      </c>
      <c r="BD602" s="35" t="str">
        <f aca="false">IF(OR($B602="",$A602=""),"",DAY(EOMONTH($A602,0))-COUNTA($F602:$AJ602))</f>
        <v/>
      </c>
    </row>
    <row r="603" customFormat="false" ht="15" hidden="false" customHeight="false" outlineLevel="0" collapsed="false">
      <c r="A603" s="32"/>
      <c r="B603" s="29"/>
      <c r="C603" s="10" t="str">
        <f aca="false">IF($B603="","",IFERROR(INDEX(M_name,MATCH($B603,M_emp,0)),"Code not found"))</f>
        <v/>
      </c>
      <c r="D603" s="10" t="str">
        <f aca="false">IF($B603="","",IFERROR(INDEX(M_dept,MATCH($B603,M_emp,0)),""))</f>
        <v/>
      </c>
      <c r="E603" s="10" t="str">
        <f aca="false">IF($B603="","",IFERROR(INDEX(M_loc,MATCH($B603,M_emp,0)),""))</f>
        <v/>
      </c>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4" t="str">
        <f aca="false">IF($B603="","",COUNTIF($F603:$AJ603,"P"))</f>
        <v/>
      </c>
      <c r="AL603" s="34" t="str">
        <f aca="false">IF($B603="","",COUNTIF($F603:$AJ603,"A"))</f>
        <v/>
      </c>
      <c r="AM603" s="34" t="str">
        <f aca="false">IF($B603="","",COUNTIF($F603:$AJ603,"HA"))</f>
        <v/>
      </c>
      <c r="AN603" s="34" t="str">
        <f aca="false">IF($B603="","",COUNTIF($F603:$AJ603,"L"))</f>
        <v/>
      </c>
      <c r="AO603" s="34" t="str">
        <f aca="false">IF($B603="","",COUNTIF($F603:$AJ603,"PL"))</f>
        <v/>
      </c>
      <c r="AP603" s="34" t="str">
        <f aca="false">IF($B603="","",COUNTIF($F603:$AJ603,"CL"))</f>
        <v/>
      </c>
      <c r="AQ603" s="34" t="str">
        <f aca="false">IF($B603="","",COUNTIF($F603:$AJ603,"SL"))</f>
        <v/>
      </c>
      <c r="AR603" s="34" t="str">
        <f aca="false">IF($B603="","",COUNTIF($F603:$AJ603,"CO"))</f>
        <v/>
      </c>
      <c r="AS603" s="34" t="str">
        <f aca="false">IF($B603="","",COUNTIF($F603:$AJ603,"HPL"))</f>
        <v/>
      </c>
      <c r="AT603" s="34" t="str">
        <f aca="false">IF($B603="","",COUNTIF($F603:$AJ603,"HCL"))</f>
        <v/>
      </c>
      <c r="AU603" s="34" t="str">
        <f aca="false">IF($B603="","",COUNTIF($F603:$AJ603,"WO"))</f>
        <v/>
      </c>
      <c r="AV603" s="34" t="str">
        <f aca="false">IF($B603="","",COUNTIF($F603:$AJ603,"PH"))</f>
        <v/>
      </c>
      <c r="AW603" s="34" t="str">
        <f aca="false">IF($B603="","",COUNTIF($F603:$AJ603,"TR"))</f>
        <v/>
      </c>
      <c r="AX603" s="35" t="str">
        <f aca="false">IF($B603="","",AO603+AS603/2)</f>
        <v/>
      </c>
      <c r="AY603" s="35" t="str">
        <f aca="false">IF($B603="","",AQ603)</f>
        <v/>
      </c>
      <c r="AZ603" s="35" t="str">
        <f aca="false">IF($B603="","",AP603+AT603/2)</f>
        <v/>
      </c>
      <c r="BA603" s="35" t="str">
        <f aca="false">IF($B603="","",AK603+AN603+AM603/2+AO603+AP603+AQ603+AR603+AS603+AT603+AU603+AV603+AW603)</f>
        <v/>
      </c>
      <c r="BB603" s="35" t="str">
        <f aca="false">IF($B603="","",MAX(0,AN603-Settings!$C$16)*Settings!$C$17)</f>
        <v/>
      </c>
      <c r="BC603" s="35" t="str">
        <f aca="false">IF($B603="","",BA603-BB603)</f>
        <v/>
      </c>
      <c r="BD603" s="35" t="str">
        <f aca="false">IF(OR($B603="",$A603=""),"",DAY(EOMONTH($A603,0))-COUNTA($F603:$AJ603))</f>
        <v/>
      </c>
    </row>
    <row r="604" customFormat="false" ht="15" hidden="false" customHeight="false" outlineLevel="0" collapsed="false">
      <c r="A604" s="32"/>
      <c r="B604" s="29"/>
      <c r="C604" s="10" t="str">
        <f aca="false">IF($B604="","",IFERROR(INDEX(M_name,MATCH($B604,M_emp,0)),"Code not found"))</f>
        <v/>
      </c>
      <c r="D604" s="10" t="str">
        <f aca="false">IF($B604="","",IFERROR(INDEX(M_dept,MATCH($B604,M_emp,0)),""))</f>
        <v/>
      </c>
      <c r="E604" s="10" t="str">
        <f aca="false">IF($B604="","",IFERROR(INDEX(M_loc,MATCH($B604,M_emp,0)),""))</f>
        <v/>
      </c>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4" t="str">
        <f aca="false">IF($B604="","",COUNTIF($F604:$AJ604,"P"))</f>
        <v/>
      </c>
      <c r="AL604" s="34" t="str">
        <f aca="false">IF($B604="","",COUNTIF($F604:$AJ604,"A"))</f>
        <v/>
      </c>
      <c r="AM604" s="34" t="str">
        <f aca="false">IF($B604="","",COUNTIF($F604:$AJ604,"HA"))</f>
        <v/>
      </c>
      <c r="AN604" s="34" t="str">
        <f aca="false">IF($B604="","",COUNTIF($F604:$AJ604,"L"))</f>
        <v/>
      </c>
      <c r="AO604" s="34" t="str">
        <f aca="false">IF($B604="","",COUNTIF($F604:$AJ604,"PL"))</f>
        <v/>
      </c>
      <c r="AP604" s="34" t="str">
        <f aca="false">IF($B604="","",COUNTIF($F604:$AJ604,"CL"))</f>
        <v/>
      </c>
      <c r="AQ604" s="34" t="str">
        <f aca="false">IF($B604="","",COUNTIF($F604:$AJ604,"SL"))</f>
        <v/>
      </c>
      <c r="AR604" s="34" t="str">
        <f aca="false">IF($B604="","",COUNTIF($F604:$AJ604,"CO"))</f>
        <v/>
      </c>
      <c r="AS604" s="34" t="str">
        <f aca="false">IF($B604="","",COUNTIF($F604:$AJ604,"HPL"))</f>
        <v/>
      </c>
      <c r="AT604" s="34" t="str">
        <f aca="false">IF($B604="","",COUNTIF($F604:$AJ604,"HCL"))</f>
        <v/>
      </c>
      <c r="AU604" s="34" t="str">
        <f aca="false">IF($B604="","",COUNTIF($F604:$AJ604,"WO"))</f>
        <v/>
      </c>
      <c r="AV604" s="34" t="str">
        <f aca="false">IF($B604="","",COUNTIF($F604:$AJ604,"PH"))</f>
        <v/>
      </c>
      <c r="AW604" s="34" t="str">
        <f aca="false">IF($B604="","",COUNTIF($F604:$AJ604,"TR"))</f>
        <v/>
      </c>
      <c r="AX604" s="35" t="str">
        <f aca="false">IF($B604="","",AO604+AS604/2)</f>
        <v/>
      </c>
      <c r="AY604" s="35" t="str">
        <f aca="false">IF($B604="","",AQ604)</f>
        <v/>
      </c>
      <c r="AZ604" s="35" t="str">
        <f aca="false">IF($B604="","",AP604+AT604/2)</f>
        <v/>
      </c>
      <c r="BA604" s="35" t="str">
        <f aca="false">IF($B604="","",AK604+AN604+AM604/2+AO604+AP604+AQ604+AR604+AS604+AT604+AU604+AV604+AW604)</f>
        <v/>
      </c>
      <c r="BB604" s="35" t="str">
        <f aca="false">IF($B604="","",MAX(0,AN604-Settings!$C$16)*Settings!$C$17)</f>
        <v/>
      </c>
      <c r="BC604" s="35" t="str">
        <f aca="false">IF($B604="","",BA604-BB604)</f>
        <v/>
      </c>
      <c r="BD604" s="35" t="str">
        <f aca="false">IF(OR($B604="",$A604=""),"",DAY(EOMONTH($A604,0))-COUNTA($F604:$AJ604))</f>
        <v/>
      </c>
    </row>
    <row r="605" customFormat="false" ht="15" hidden="false" customHeight="false" outlineLevel="0" collapsed="false">
      <c r="A605" s="32"/>
      <c r="B605" s="29"/>
      <c r="C605" s="10" t="str">
        <f aca="false">IF($B605="","",IFERROR(INDEX(M_name,MATCH($B605,M_emp,0)),"Code not found"))</f>
        <v/>
      </c>
      <c r="D605" s="10" t="str">
        <f aca="false">IF($B605="","",IFERROR(INDEX(M_dept,MATCH($B605,M_emp,0)),""))</f>
        <v/>
      </c>
      <c r="E605" s="10" t="str">
        <f aca="false">IF($B605="","",IFERROR(INDEX(M_loc,MATCH($B605,M_emp,0)),""))</f>
        <v/>
      </c>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4" t="str">
        <f aca="false">IF($B605="","",COUNTIF($F605:$AJ605,"P"))</f>
        <v/>
      </c>
      <c r="AL605" s="34" t="str">
        <f aca="false">IF($B605="","",COUNTIF($F605:$AJ605,"A"))</f>
        <v/>
      </c>
      <c r="AM605" s="34" t="str">
        <f aca="false">IF($B605="","",COUNTIF($F605:$AJ605,"HA"))</f>
        <v/>
      </c>
      <c r="AN605" s="34" t="str">
        <f aca="false">IF($B605="","",COUNTIF($F605:$AJ605,"L"))</f>
        <v/>
      </c>
      <c r="AO605" s="34" t="str">
        <f aca="false">IF($B605="","",COUNTIF($F605:$AJ605,"PL"))</f>
        <v/>
      </c>
      <c r="AP605" s="34" t="str">
        <f aca="false">IF($B605="","",COUNTIF($F605:$AJ605,"CL"))</f>
        <v/>
      </c>
      <c r="AQ605" s="34" t="str">
        <f aca="false">IF($B605="","",COUNTIF($F605:$AJ605,"SL"))</f>
        <v/>
      </c>
      <c r="AR605" s="34" t="str">
        <f aca="false">IF($B605="","",COUNTIF($F605:$AJ605,"CO"))</f>
        <v/>
      </c>
      <c r="AS605" s="34" t="str">
        <f aca="false">IF($B605="","",COUNTIF($F605:$AJ605,"HPL"))</f>
        <v/>
      </c>
      <c r="AT605" s="34" t="str">
        <f aca="false">IF($B605="","",COUNTIF($F605:$AJ605,"HCL"))</f>
        <v/>
      </c>
      <c r="AU605" s="34" t="str">
        <f aca="false">IF($B605="","",COUNTIF($F605:$AJ605,"WO"))</f>
        <v/>
      </c>
      <c r="AV605" s="34" t="str">
        <f aca="false">IF($B605="","",COUNTIF($F605:$AJ605,"PH"))</f>
        <v/>
      </c>
      <c r="AW605" s="34" t="str">
        <f aca="false">IF($B605="","",COUNTIF($F605:$AJ605,"TR"))</f>
        <v/>
      </c>
      <c r="AX605" s="35" t="str">
        <f aca="false">IF($B605="","",AO605+AS605/2)</f>
        <v/>
      </c>
      <c r="AY605" s="35" t="str">
        <f aca="false">IF($B605="","",AQ605)</f>
        <v/>
      </c>
      <c r="AZ605" s="35" t="str">
        <f aca="false">IF($B605="","",AP605+AT605/2)</f>
        <v/>
      </c>
      <c r="BA605" s="35" t="str">
        <f aca="false">IF($B605="","",AK605+AN605+AM605/2+AO605+AP605+AQ605+AR605+AS605+AT605+AU605+AV605+AW605)</f>
        <v/>
      </c>
      <c r="BB605" s="35" t="str">
        <f aca="false">IF($B605="","",MAX(0,AN605-Settings!$C$16)*Settings!$C$17)</f>
        <v/>
      </c>
      <c r="BC605" s="35" t="str">
        <f aca="false">IF($B605="","",BA605-BB605)</f>
        <v/>
      </c>
      <c r="BD605" s="35" t="str">
        <f aca="false">IF(OR($B605="",$A605=""),"",DAY(EOMONTH($A605,0))-COUNTA($F605:$AJ605))</f>
        <v/>
      </c>
    </row>
    <row r="606" customFormat="false" ht="15" hidden="false" customHeight="false" outlineLevel="0" collapsed="false">
      <c r="A606" s="32"/>
      <c r="B606" s="29"/>
      <c r="C606" s="10" t="str">
        <f aca="false">IF($B606="","",IFERROR(INDEX(M_name,MATCH($B606,M_emp,0)),"Code not found"))</f>
        <v/>
      </c>
      <c r="D606" s="10" t="str">
        <f aca="false">IF($B606="","",IFERROR(INDEX(M_dept,MATCH($B606,M_emp,0)),""))</f>
        <v/>
      </c>
      <c r="E606" s="10" t="str">
        <f aca="false">IF($B606="","",IFERROR(INDEX(M_loc,MATCH($B606,M_emp,0)),""))</f>
        <v/>
      </c>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4" t="str">
        <f aca="false">IF($B606="","",COUNTIF($F606:$AJ606,"P"))</f>
        <v/>
      </c>
      <c r="AL606" s="34" t="str">
        <f aca="false">IF($B606="","",COUNTIF($F606:$AJ606,"A"))</f>
        <v/>
      </c>
      <c r="AM606" s="34" t="str">
        <f aca="false">IF($B606="","",COUNTIF($F606:$AJ606,"HA"))</f>
        <v/>
      </c>
      <c r="AN606" s="34" t="str">
        <f aca="false">IF($B606="","",COUNTIF($F606:$AJ606,"L"))</f>
        <v/>
      </c>
      <c r="AO606" s="34" t="str">
        <f aca="false">IF($B606="","",COUNTIF($F606:$AJ606,"PL"))</f>
        <v/>
      </c>
      <c r="AP606" s="34" t="str">
        <f aca="false">IF($B606="","",COUNTIF($F606:$AJ606,"CL"))</f>
        <v/>
      </c>
      <c r="AQ606" s="34" t="str">
        <f aca="false">IF($B606="","",COUNTIF($F606:$AJ606,"SL"))</f>
        <v/>
      </c>
      <c r="AR606" s="34" t="str">
        <f aca="false">IF($B606="","",COUNTIF($F606:$AJ606,"CO"))</f>
        <v/>
      </c>
      <c r="AS606" s="34" t="str">
        <f aca="false">IF($B606="","",COUNTIF($F606:$AJ606,"HPL"))</f>
        <v/>
      </c>
      <c r="AT606" s="34" t="str">
        <f aca="false">IF($B606="","",COUNTIF($F606:$AJ606,"HCL"))</f>
        <v/>
      </c>
      <c r="AU606" s="34" t="str">
        <f aca="false">IF($B606="","",COUNTIF($F606:$AJ606,"WO"))</f>
        <v/>
      </c>
      <c r="AV606" s="34" t="str">
        <f aca="false">IF($B606="","",COUNTIF($F606:$AJ606,"PH"))</f>
        <v/>
      </c>
      <c r="AW606" s="34" t="str">
        <f aca="false">IF($B606="","",COUNTIF($F606:$AJ606,"TR"))</f>
        <v/>
      </c>
      <c r="AX606" s="35" t="str">
        <f aca="false">IF($B606="","",AO606+AS606/2)</f>
        <v/>
      </c>
      <c r="AY606" s="35" t="str">
        <f aca="false">IF($B606="","",AQ606)</f>
        <v/>
      </c>
      <c r="AZ606" s="35" t="str">
        <f aca="false">IF($B606="","",AP606+AT606/2)</f>
        <v/>
      </c>
      <c r="BA606" s="35" t="str">
        <f aca="false">IF($B606="","",AK606+AN606+AM606/2+AO606+AP606+AQ606+AR606+AS606+AT606+AU606+AV606+AW606)</f>
        <v/>
      </c>
      <c r="BB606" s="35" t="str">
        <f aca="false">IF($B606="","",MAX(0,AN606-Settings!$C$16)*Settings!$C$17)</f>
        <v/>
      </c>
      <c r="BC606" s="35" t="str">
        <f aca="false">IF($B606="","",BA606-BB606)</f>
        <v/>
      </c>
      <c r="BD606" s="35" t="str">
        <f aca="false">IF(OR($B606="",$A606=""),"",DAY(EOMONTH($A606,0))-COUNTA($F606:$AJ606))</f>
        <v/>
      </c>
    </row>
    <row r="607" customFormat="false" ht="15" hidden="false" customHeight="false" outlineLevel="0" collapsed="false">
      <c r="A607" s="32"/>
      <c r="B607" s="29"/>
      <c r="C607" s="10" t="str">
        <f aca="false">IF($B607="","",IFERROR(INDEX(M_name,MATCH($B607,M_emp,0)),"Code not found"))</f>
        <v/>
      </c>
      <c r="D607" s="10" t="str">
        <f aca="false">IF($B607="","",IFERROR(INDEX(M_dept,MATCH($B607,M_emp,0)),""))</f>
        <v/>
      </c>
      <c r="E607" s="10" t="str">
        <f aca="false">IF($B607="","",IFERROR(INDEX(M_loc,MATCH($B607,M_emp,0)),""))</f>
        <v/>
      </c>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4" t="str">
        <f aca="false">IF($B607="","",COUNTIF($F607:$AJ607,"P"))</f>
        <v/>
      </c>
      <c r="AL607" s="34" t="str">
        <f aca="false">IF($B607="","",COUNTIF($F607:$AJ607,"A"))</f>
        <v/>
      </c>
      <c r="AM607" s="34" t="str">
        <f aca="false">IF($B607="","",COUNTIF($F607:$AJ607,"HA"))</f>
        <v/>
      </c>
      <c r="AN607" s="34" t="str">
        <f aca="false">IF($B607="","",COUNTIF($F607:$AJ607,"L"))</f>
        <v/>
      </c>
      <c r="AO607" s="34" t="str">
        <f aca="false">IF($B607="","",COUNTIF($F607:$AJ607,"PL"))</f>
        <v/>
      </c>
      <c r="AP607" s="34" t="str">
        <f aca="false">IF($B607="","",COUNTIF($F607:$AJ607,"CL"))</f>
        <v/>
      </c>
      <c r="AQ607" s="34" t="str">
        <f aca="false">IF($B607="","",COUNTIF($F607:$AJ607,"SL"))</f>
        <v/>
      </c>
      <c r="AR607" s="34" t="str">
        <f aca="false">IF($B607="","",COUNTIF($F607:$AJ607,"CO"))</f>
        <v/>
      </c>
      <c r="AS607" s="34" t="str">
        <f aca="false">IF($B607="","",COUNTIF($F607:$AJ607,"HPL"))</f>
        <v/>
      </c>
      <c r="AT607" s="34" t="str">
        <f aca="false">IF($B607="","",COUNTIF($F607:$AJ607,"HCL"))</f>
        <v/>
      </c>
      <c r="AU607" s="34" t="str">
        <f aca="false">IF($B607="","",COUNTIF($F607:$AJ607,"WO"))</f>
        <v/>
      </c>
      <c r="AV607" s="34" t="str">
        <f aca="false">IF($B607="","",COUNTIF($F607:$AJ607,"PH"))</f>
        <v/>
      </c>
      <c r="AW607" s="34" t="str">
        <f aca="false">IF($B607="","",COUNTIF($F607:$AJ607,"TR"))</f>
        <v/>
      </c>
      <c r="AX607" s="35" t="str">
        <f aca="false">IF($B607="","",AO607+AS607/2)</f>
        <v/>
      </c>
      <c r="AY607" s="35" t="str">
        <f aca="false">IF($B607="","",AQ607)</f>
        <v/>
      </c>
      <c r="AZ607" s="35" t="str">
        <f aca="false">IF($B607="","",AP607+AT607/2)</f>
        <v/>
      </c>
      <c r="BA607" s="35" t="str">
        <f aca="false">IF($B607="","",AK607+AN607+AM607/2+AO607+AP607+AQ607+AR607+AS607+AT607+AU607+AV607+AW607)</f>
        <v/>
      </c>
      <c r="BB607" s="35" t="str">
        <f aca="false">IF($B607="","",MAX(0,AN607-Settings!$C$16)*Settings!$C$17)</f>
        <v/>
      </c>
      <c r="BC607" s="35" t="str">
        <f aca="false">IF($B607="","",BA607-BB607)</f>
        <v/>
      </c>
      <c r="BD607" s="35" t="str">
        <f aca="false">IF(OR($B607="",$A607=""),"",DAY(EOMONTH($A607,0))-COUNTA($F607:$AJ607))</f>
        <v/>
      </c>
    </row>
    <row r="608" customFormat="false" ht="15" hidden="false" customHeight="false" outlineLevel="0" collapsed="false">
      <c r="A608" s="32"/>
      <c r="B608" s="29"/>
      <c r="C608" s="10" t="str">
        <f aca="false">IF($B608="","",IFERROR(INDEX(M_name,MATCH($B608,M_emp,0)),"Code not found"))</f>
        <v/>
      </c>
      <c r="D608" s="10" t="str">
        <f aca="false">IF($B608="","",IFERROR(INDEX(M_dept,MATCH($B608,M_emp,0)),""))</f>
        <v/>
      </c>
      <c r="E608" s="10" t="str">
        <f aca="false">IF($B608="","",IFERROR(INDEX(M_loc,MATCH($B608,M_emp,0)),""))</f>
        <v/>
      </c>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4" t="str">
        <f aca="false">IF($B608="","",COUNTIF($F608:$AJ608,"P"))</f>
        <v/>
      </c>
      <c r="AL608" s="34" t="str">
        <f aca="false">IF($B608="","",COUNTIF($F608:$AJ608,"A"))</f>
        <v/>
      </c>
      <c r="AM608" s="34" t="str">
        <f aca="false">IF($B608="","",COUNTIF($F608:$AJ608,"HA"))</f>
        <v/>
      </c>
      <c r="AN608" s="34" t="str">
        <f aca="false">IF($B608="","",COUNTIF($F608:$AJ608,"L"))</f>
        <v/>
      </c>
      <c r="AO608" s="34" t="str">
        <f aca="false">IF($B608="","",COUNTIF($F608:$AJ608,"PL"))</f>
        <v/>
      </c>
      <c r="AP608" s="34" t="str">
        <f aca="false">IF($B608="","",COUNTIF($F608:$AJ608,"CL"))</f>
        <v/>
      </c>
      <c r="AQ608" s="34" t="str">
        <f aca="false">IF($B608="","",COUNTIF($F608:$AJ608,"SL"))</f>
        <v/>
      </c>
      <c r="AR608" s="34" t="str">
        <f aca="false">IF($B608="","",COUNTIF($F608:$AJ608,"CO"))</f>
        <v/>
      </c>
      <c r="AS608" s="34" t="str">
        <f aca="false">IF($B608="","",COUNTIF($F608:$AJ608,"HPL"))</f>
        <v/>
      </c>
      <c r="AT608" s="34" t="str">
        <f aca="false">IF($B608="","",COUNTIF($F608:$AJ608,"HCL"))</f>
        <v/>
      </c>
      <c r="AU608" s="34" t="str">
        <f aca="false">IF($B608="","",COUNTIF($F608:$AJ608,"WO"))</f>
        <v/>
      </c>
      <c r="AV608" s="34" t="str">
        <f aca="false">IF($B608="","",COUNTIF($F608:$AJ608,"PH"))</f>
        <v/>
      </c>
      <c r="AW608" s="34" t="str">
        <f aca="false">IF($B608="","",COUNTIF($F608:$AJ608,"TR"))</f>
        <v/>
      </c>
      <c r="AX608" s="35" t="str">
        <f aca="false">IF($B608="","",AO608+AS608/2)</f>
        <v/>
      </c>
      <c r="AY608" s="35" t="str">
        <f aca="false">IF($B608="","",AQ608)</f>
        <v/>
      </c>
      <c r="AZ608" s="35" t="str">
        <f aca="false">IF($B608="","",AP608+AT608/2)</f>
        <v/>
      </c>
      <c r="BA608" s="35" t="str">
        <f aca="false">IF($B608="","",AK608+AN608+AM608/2+AO608+AP608+AQ608+AR608+AS608+AT608+AU608+AV608+AW608)</f>
        <v/>
      </c>
      <c r="BB608" s="35" t="str">
        <f aca="false">IF($B608="","",MAX(0,AN608-Settings!$C$16)*Settings!$C$17)</f>
        <v/>
      </c>
      <c r="BC608" s="35" t="str">
        <f aca="false">IF($B608="","",BA608-BB608)</f>
        <v/>
      </c>
      <c r="BD608" s="35" t="str">
        <f aca="false">IF(OR($B608="",$A608=""),"",DAY(EOMONTH($A608,0))-COUNTA($F608:$AJ608))</f>
        <v/>
      </c>
    </row>
    <row r="609" customFormat="false" ht="15" hidden="false" customHeight="false" outlineLevel="0" collapsed="false">
      <c r="A609" s="32"/>
      <c r="B609" s="29"/>
      <c r="C609" s="10" t="str">
        <f aca="false">IF($B609="","",IFERROR(INDEX(M_name,MATCH($B609,M_emp,0)),"Code not found"))</f>
        <v/>
      </c>
      <c r="D609" s="10" t="str">
        <f aca="false">IF($B609="","",IFERROR(INDEX(M_dept,MATCH($B609,M_emp,0)),""))</f>
        <v/>
      </c>
      <c r="E609" s="10" t="str">
        <f aca="false">IF($B609="","",IFERROR(INDEX(M_loc,MATCH($B609,M_emp,0)),""))</f>
        <v/>
      </c>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4" t="str">
        <f aca="false">IF($B609="","",COUNTIF($F609:$AJ609,"P"))</f>
        <v/>
      </c>
      <c r="AL609" s="34" t="str">
        <f aca="false">IF($B609="","",COUNTIF($F609:$AJ609,"A"))</f>
        <v/>
      </c>
      <c r="AM609" s="34" t="str">
        <f aca="false">IF($B609="","",COUNTIF($F609:$AJ609,"HA"))</f>
        <v/>
      </c>
      <c r="AN609" s="34" t="str">
        <f aca="false">IF($B609="","",COUNTIF($F609:$AJ609,"L"))</f>
        <v/>
      </c>
      <c r="AO609" s="34" t="str">
        <f aca="false">IF($B609="","",COUNTIF($F609:$AJ609,"PL"))</f>
        <v/>
      </c>
      <c r="AP609" s="34" t="str">
        <f aca="false">IF($B609="","",COUNTIF($F609:$AJ609,"CL"))</f>
        <v/>
      </c>
      <c r="AQ609" s="34" t="str">
        <f aca="false">IF($B609="","",COUNTIF($F609:$AJ609,"SL"))</f>
        <v/>
      </c>
      <c r="AR609" s="34" t="str">
        <f aca="false">IF($B609="","",COUNTIF($F609:$AJ609,"CO"))</f>
        <v/>
      </c>
      <c r="AS609" s="34" t="str">
        <f aca="false">IF($B609="","",COUNTIF($F609:$AJ609,"HPL"))</f>
        <v/>
      </c>
      <c r="AT609" s="34" t="str">
        <f aca="false">IF($B609="","",COUNTIF($F609:$AJ609,"HCL"))</f>
        <v/>
      </c>
      <c r="AU609" s="34" t="str">
        <f aca="false">IF($B609="","",COUNTIF($F609:$AJ609,"WO"))</f>
        <v/>
      </c>
      <c r="AV609" s="34" t="str">
        <f aca="false">IF($B609="","",COUNTIF($F609:$AJ609,"PH"))</f>
        <v/>
      </c>
      <c r="AW609" s="34" t="str">
        <f aca="false">IF($B609="","",COUNTIF($F609:$AJ609,"TR"))</f>
        <v/>
      </c>
      <c r="AX609" s="35" t="str">
        <f aca="false">IF($B609="","",AO609+AS609/2)</f>
        <v/>
      </c>
      <c r="AY609" s="35" t="str">
        <f aca="false">IF($B609="","",AQ609)</f>
        <v/>
      </c>
      <c r="AZ609" s="35" t="str">
        <f aca="false">IF($B609="","",AP609+AT609/2)</f>
        <v/>
      </c>
      <c r="BA609" s="35" t="str">
        <f aca="false">IF($B609="","",AK609+AN609+AM609/2+AO609+AP609+AQ609+AR609+AS609+AT609+AU609+AV609+AW609)</f>
        <v/>
      </c>
      <c r="BB609" s="35" t="str">
        <f aca="false">IF($B609="","",MAX(0,AN609-Settings!$C$16)*Settings!$C$17)</f>
        <v/>
      </c>
      <c r="BC609" s="35" t="str">
        <f aca="false">IF($B609="","",BA609-BB609)</f>
        <v/>
      </c>
      <c r="BD609" s="35" t="str">
        <f aca="false">IF(OR($B609="",$A609=""),"",DAY(EOMONTH($A609,0))-COUNTA($F609:$AJ609))</f>
        <v/>
      </c>
    </row>
    <row r="610" customFormat="false" ht="15" hidden="false" customHeight="false" outlineLevel="0" collapsed="false">
      <c r="A610" s="32"/>
      <c r="B610" s="29"/>
      <c r="C610" s="10" t="str">
        <f aca="false">IF($B610="","",IFERROR(INDEX(M_name,MATCH($B610,M_emp,0)),"Code not found"))</f>
        <v/>
      </c>
      <c r="D610" s="10" t="str">
        <f aca="false">IF($B610="","",IFERROR(INDEX(M_dept,MATCH($B610,M_emp,0)),""))</f>
        <v/>
      </c>
      <c r="E610" s="10" t="str">
        <f aca="false">IF($B610="","",IFERROR(INDEX(M_loc,MATCH($B610,M_emp,0)),""))</f>
        <v/>
      </c>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4" t="str">
        <f aca="false">IF($B610="","",COUNTIF($F610:$AJ610,"P"))</f>
        <v/>
      </c>
      <c r="AL610" s="34" t="str">
        <f aca="false">IF($B610="","",COUNTIF($F610:$AJ610,"A"))</f>
        <v/>
      </c>
      <c r="AM610" s="34" t="str">
        <f aca="false">IF($B610="","",COUNTIF($F610:$AJ610,"HA"))</f>
        <v/>
      </c>
      <c r="AN610" s="34" t="str">
        <f aca="false">IF($B610="","",COUNTIF($F610:$AJ610,"L"))</f>
        <v/>
      </c>
      <c r="AO610" s="34" t="str">
        <f aca="false">IF($B610="","",COUNTIF($F610:$AJ610,"PL"))</f>
        <v/>
      </c>
      <c r="AP610" s="34" t="str">
        <f aca="false">IF($B610="","",COUNTIF($F610:$AJ610,"CL"))</f>
        <v/>
      </c>
      <c r="AQ610" s="34" t="str">
        <f aca="false">IF($B610="","",COUNTIF($F610:$AJ610,"SL"))</f>
        <v/>
      </c>
      <c r="AR610" s="34" t="str">
        <f aca="false">IF($B610="","",COUNTIF($F610:$AJ610,"CO"))</f>
        <v/>
      </c>
      <c r="AS610" s="34" t="str">
        <f aca="false">IF($B610="","",COUNTIF($F610:$AJ610,"HPL"))</f>
        <v/>
      </c>
      <c r="AT610" s="34" t="str">
        <f aca="false">IF($B610="","",COUNTIF($F610:$AJ610,"HCL"))</f>
        <v/>
      </c>
      <c r="AU610" s="34" t="str">
        <f aca="false">IF($B610="","",COUNTIF($F610:$AJ610,"WO"))</f>
        <v/>
      </c>
      <c r="AV610" s="34" t="str">
        <f aca="false">IF($B610="","",COUNTIF($F610:$AJ610,"PH"))</f>
        <v/>
      </c>
      <c r="AW610" s="34" t="str">
        <f aca="false">IF($B610="","",COUNTIF($F610:$AJ610,"TR"))</f>
        <v/>
      </c>
      <c r="AX610" s="35" t="str">
        <f aca="false">IF($B610="","",AO610+AS610/2)</f>
        <v/>
      </c>
      <c r="AY610" s="35" t="str">
        <f aca="false">IF($B610="","",AQ610)</f>
        <v/>
      </c>
      <c r="AZ610" s="35" t="str">
        <f aca="false">IF($B610="","",AP610+AT610/2)</f>
        <v/>
      </c>
      <c r="BA610" s="35" t="str">
        <f aca="false">IF($B610="","",AK610+AN610+AM610/2+AO610+AP610+AQ610+AR610+AS610+AT610+AU610+AV610+AW610)</f>
        <v/>
      </c>
      <c r="BB610" s="35" t="str">
        <f aca="false">IF($B610="","",MAX(0,AN610-Settings!$C$16)*Settings!$C$17)</f>
        <v/>
      </c>
      <c r="BC610" s="35" t="str">
        <f aca="false">IF($B610="","",BA610-BB610)</f>
        <v/>
      </c>
      <c r="BD610" s="35" t="str">
        <f aca="false">IF(OR($B610="",$A610=""),"",DAY(EOMONTH($A610,0))-COUNTA($F610:$AJ610))</f>
        <v/>
      </c>
    </row>
    <row r="611" customFormat="false" ht="15" hidden="false" customHeight="false" outlineLevel="0" collapsed="false">
      <c r="A611" s="32"/>
      <c r="B611" s="29"/>
      <c r="C611" s="10" t="str">
        <f aca="false">IF($B611="","",IFERROR(INDEX(M_name,MATCH($B611,M_emp,0)),"Code not found"))</f>
        <v/>
      </c>
      <c r="D611" s="10" t="str">
        <f aca="false">IF($B611="","",IFERROR(INDEX(M_dept,MATCH($B611,M_emp,0)),""))</f>
        <v/>
      </c>
      <c r="E611" s="10" t="str">
        <f aca="false">IF($B611="","",IFERROR(INDEX(M_loc,MATCH($B611,M_emp,0)),""))</f>
        <v/>
      </c>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4" t="str">
        <f aca="false">IF($B611="","",COUNTIF($F611:$AJ611,"P"))</f>
        <v/>
      </c>
      <c r="AL611" s="34" t="str">
        <f aca="false">IF($B611="","",COUNTIF($F611:$AJ611,"A"))</f>
        <v/>
      </c>
      <c r="AM611" s="34" t="str">
        <f aca="false">IF($B611="","",COUNTIF($F611:$AJ611,"HA"))</f>
        <v/>
      </c>
      <c r="AN611" s="34" t="str">
        <f aca="false">IF($B611="","",COUNTIF($F611:$AJ611,"L"))</f>
        <v/>
      </c>
      <c r="AO611" s="34" t="str">
        <f aca="false">IF($B611="","",COUNTIF($F611:$AJ611,"PL"))</f>
        <v/>
      </c>
      <c r="AP611" s="34" t="str">
        <f aca="false">IF($B611="","",COUNTIF($F611:$AJ611,"CL"))</f>
        <v/>
      </c>
      <c r="AQ611" s="34" t="str">
        <f aca="false">IF($B611="","",COUNTIF($F611:$AJ611,"SL"))</f>
        <v/>
      </c>
      <c r="AR611" s="34" t="str">
        <f aca="false">IF($B611="","",COUNTIF($F611:$AJ611,"CO"))</f>
        <v/>
      </c>
      <c r="AS611" s="34" t="str">
        <f aca="false">IF($B611="","",COUNTIF($F611:$AJ611,"HPL"))</f>
        <v/>
      </c>
      <c r="AT611" s="34" t="str">
        <f aca="false">IF($B611="","",COUNTIF($F611:$AJ611,"HCL"))</f>
        <v/>
      </c>
      <c r="AU611" s="34" t="str">
        <f aca="false">IF($B611="","",COUNTIF($F611:$AJ611,"WO"))</f>
        <v/>
      </c>
      <c r="AV611" s="34" t="str">
        <f aca="false">IF($B611="","",COUNTIF($F611:$AJ611,"PH"))</f>
        <v/>
      </c>
      <c r="AW611" s="34" t="str">
        <f aca="false">IF($B611="","",COUNTIF($F611:$AJ611,"TR"))</f>
        <v/>
      </c>
      <c r="AX611" s="35" t="str">
        <f aca="false">IF($B611="","",AO611+AS611/2)</f>
        <v/>
      </c>
      <c r="AY611" s="35" t="str">
        <f aca="false">IF($B611="","",AQ611)</f>
        <v/>
      </c>
      <c r="AZ611" s="35" t="str">
        <f aca="false">IF($B611="","",AP611+AT611/2)</f>
        <v/>
      </c>
      <c r="BA611" s="35" t="str">
        <f aca="false">IF($B611="","",AK611+AN611+AM611/2+AO611+AP611+AQ611+AR611+AS611+AT611+AU611+AV611+AW611)</f>
        <v/>
      </c>
      <c r="BB611" s="35" t="str">
        <f aca="false">IF($B611="","",MAX(0,AN611-Settings!$C$16)*Settings!$C$17)</f>
        <v/>
      </c>
      <c r="BC611" s="35" t="str">
        <f aca="false">IF($B611="","",BA611-BB611)</f>
        <v/>
      </c>
      <c r="BD611" s="35" t="str">
        <f aca="false">IF(OR($B611="",$A611=""),"",DAY(EOMONTH($A611,0))-COUNTA($F611:$AJ611))</f>
        <v/>
      </c>
    </row>
    <row r="612" customFormat="false" ht="15" hidden="false" customHeight="false" outlineLevel="0" collapsed="false">
      <c r="A612" s="32"/>
      <c r="B612" s="29"/>
      <c r="C612" s="10" t="str">
        <f aca="false">IF($B612="","",IFERROR(INDEX(M_name,MATCH($B612,M_emp,0)),"Code not found"))</f>
        <v/>
      </c>
      <c r="D612" s="10" t="str">
        <f aca="false">IF($B612="","",IFERROR(INDEX(M_dept,MATCH($B612,M_emp,0)),""))</f>
        <v/>
      </c>
      <c r="E612" s="10" t="str">
        <f aca="false">IF($B612="","",IFERROR(INDEX(M_loc,MATCH($B612,M_emp,0)),""))</f>
        <v/>
      </c>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4" t="str">
        <f aca="false">IF($B612="","",COUNTIF($F612:$AJ612,"P"))</f>
        <v/>
      </c>
      <c r="AL612" s="34" t="str">
        <f aca="false">IF($B612="","",COUNTIF($F612:$AJ612,"A"))</f>
        <v/>
      </c>
      <c r="AM612" s="34" t="str">
        <f aca="false">IF($B612="","",COUNTIF($F612:$AJ612,"HA"))</f>
        <v/>
      </c>
      <c r="AN612" s="34" t="str">
        <f aca="false">IF($B612="","",COUNTIF($F612:$AJ612,"L"))</f>
        <v/>
      </c>
      <c r="AO612" s="34" t="str">
        <f aca="false">IF($B612="","",COUNTIF($F612:$AJ612,"PL"))</f>
        <v/>
      </c>
      <c r="AP612" s="34" t="str">
        <f aca="false">IF($B612="","",COUNTIF($F612:$AJ612,"CL"))</f>
        <v/>
      </c>
      <c r="AQ612" s="34" t="str">
        <f aca="false">IF($B612="","",COUNTIF($F612:$AJ612,"SL"))</f>
        <v/>
      </c>
      <c r="AR612" s="34" t="str">
        <f aca="false">IF($B612="","",COUNTIF($F612:$AJ612,"CO"))</f>
        <v/>
      </c>
      <c r="AS612" s="34" t="str">
        <f aca="false">IF($B612="","",COUNTIF($F612:$AJ612,"HPL"))</f>
        <v/>
      </c>
      <c r="AT612" s="34" t="str">
        <f aca="false">IF($B612="","",COUNTIF($F612:$AJ612,"HCL"))</f>
        <v/>
      </c>
      <c r="AU612" s="34" t="str">
        <f aca="false">IF($B612="","",COUNTIF($F612:$AJ612,"WO"))</f>
        <v/>
      </c>
      <c r="AV612" s="34" t="str">
        <f aca="false">IF($B612="","",COUNTIF($F612:$AJ612,"PH"))</f>
        <v/>
      </c>
      <c r="AW612" s="34" t="str">
        <f aca="false">IF($B612="","",COUNTIF($F612:$AJ612,"TR"))</f>
        <v/>
      </c>
      <c r="AX612" s="35" t="str">
        <f aca="false">IF($B612="","",AO612+AS612/2)</f>
        <v/>
      </c>
      <c r="AY612" s="35" t="str">
        <f aca="false">IF($B612="","",AQ612)</f>
        <v/>
      </c>
      <c r="AZ612" s="35" t="str">
        <f aca="false">IF($B612="","",AP612+AT612/2)</f>
        <v/>
      </c>
      <c r="BA612" s="35" t="str">
        <f aca="false">IF($B612="","",AK612+AN612+AM612/2+AO612+AP612+AQ612+AR612+AS612+AT612+AU612+AV612+AW612)</f>
        <v/>
      </c>
      <c r="BB612" s="35" t="str">
        <f aca="false">IF($B612="","",MAX(0,AN612-Settings!$C$16)*Settings!$C$17)</f>
        <v/>
      </c>
      <c r="BC612" s="35" t="str">
        <f aca="false">IF($B612="","",BA612-BB612)</f>
        <v/>
      </c>
      <c r="BD612" s="35" t="str">
        <f aca="false">IF(OR($B612="",$A612=""),"",DAY(EOMONTH($A612,0))-COUNTA($F612:$AJ612))</f>
        <v/>
      </c>
    </row>
    <row r="613" customFormat="false" ht="15" hidden="false" customHeight="false" outlineLevel="0" collapsed="false">
      <c r="A613" s="32"/>
      <c r="B613" s="29"/>
      <c r="C613" s="10" t="str">
        <f aca="false">IF($B613="","",IFERROR(INDEX(M_name,MATCH($B613,M_emp,0)),"Code not found"))</f>
        <v/>
      </c>
      <c r="D613" s="10" t="str">
        <f aca="false">IF($B613="","",IFERROR(INDEX(M_dept,MATCH($B613,M_emp,0)),""))</f>
        <v/>
      </c>
      <c r="E613" s="10" t="str">
        <f aca="false">IF($B613="","",IFERROR(INDEX(M_loc,MATCH($B613,M_emp,0)),""))</f>
        <v/>
      </c>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4" t="str">
        <f aca="false">IF($B613="","",COUNTIF($F613:$AJ613,"P"))</f>
        <v/>
      </c>
      <c r="AL613" s="34" t="str">
        <f aca="false">IF($B613="","",COUNTIF($F613:$AJ613,"A"))</f>
        <v/>
      </c>
      <c r="AM613" s="34" t="str">
        <f aca="false">IF($B613="","",COUNTIF($F613:$AJ613,"HA"))</f>
        <v/>
      </c>
      <c r="AN613" s="34" t="str">
        <f aca="false">IF($B613="","",COUNTIF($F613:$AJ613,"L"))</f>
        <v/>
      </c>
      <c r="AO613" s="34" t="str">
        <f aca="false">IF($B613="","",COUNTIF($F613:$AJ613,"PL"))</f>
        <v/>
      </c>
      <c r="AP613" s="34" t="str">
        <f aca="false">IF($B613="","",COUNTIF($F613:$AJ613,"CL"))</f>
        <v/>
      </c>
      <c r="AQ613" s="34" t="str">
        <f aca="false">IF($B613="","",COUNTIF($F613:$AJ613,"SL"))</f>
        <v/>
      </c>
      <c r="AR613" s="34" t="str">
        <f aca="false">IF($B613="","",COUNTIF($F613:$AJ613,"CO"))</f>
        <v/>
      </c>
      <c r="AS613" s="34" t="str">
        <f aca="false">IF($B613="","",COUNTIF($F613:$AJ613,"HPL"))</f>
        <v/>
      </c>
      <c r="AT613" s="34" t="str">
        <f aca="false">IF($B613="","",COUNTIF($F613:$AJ613,"HCL"))</f>
        <v/>
      </c>
      <c r="AU613" s="34" t="str">
        <f aca="false">IF($B613="","",COUNTIF($F613:$AJ613,"WO"))</f>
        <v/>
      </c>
      <c r="AV613" s="34" t="str">
        <f aca="false">IF($B613="","",COUNTIF($F613:$AJ613,"PH"))</f>
        <v/>
      </c>
      <c r="AW613" s="34" t="str">
        <f aca="false">IF($B613="","",COUNTIF($F613:$AJ613,"TR"))</f>
        <v/>
      </c>
      <c r="AX613" s="35" t="str">
        <f aca="false">IF($B613="","",AO613+AS613/2)</f>
        <v/>
      </c>
      <c r="AY613" s="35" t="str">
        <f aca="false">IF($B613="","",AQ613)</f>
        <v/>
      </c>
      <c r="AZ613" s="35" t="str">
        <f aca="false">IF($B613="","",AP613+AT613/2)</f>
        <v/>
      </c>
      <c r="BA613" s="35" t="str">
        <f aca="false">IF($B613="","",AK613+AN613+AM613/2+AO613+AP613+AQ613+AR613+AS613+AT613+AU613+AV613+AW613)</f>
        <v/>
      </c>
      <c r="BB613" s="35" t="str">
        <f aca="false">IF($B613="","",MAX(0,AN613-Settings!$C$16)*Settings!$C$17)</f>
        <v/>
      </c>
      <c r="BC613" s="35" t="str">
        <f aca="false">IF($B613="","",BA613-BB613)</f>
        <v/>
      </c>
      <c r="BD613" s="35" t="str">
        <f aca="false">IF(OR($B613="",$A613=""),"",DAY(EOMONTH($A613,0))-COUNTA($F613:$AJ613))</f>
        <v/>
      </c>
    </row>
    <row r="614" customFormat="false" ht="15" hidden="false" customHeight="false" outlineLevel="0" collapsed="false">
      <c r="A614" s="32"/>
      <c r="B614" s="29"/>
      <c r="C614" s="10" t="str">
        <f aca="false">IF($B614="","",IFERROR(INDEX(M_name,MATCH($B614,M_emp,0)),"Code not found"))</f>
        <v/>
      </c>
      <c r="D614" s="10" t="str">
        <f aca="false">IF($B614="","",IFERROR(INDEX(M_dept,MATCH($B614,M_emp,0)),""))</f>
        <v/>
      </c>
      <c r="E614" s="10" t="str">
        <f aca="false">IF($B614="","",IFERROR(INDEX(M_loc,MATCH($B614,M_emp,0)),""))</f>
        <v/>
      </c>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4" t="str">
        <f aca="false">IF($B614="","",COUNTIF($F614:$AJ614,"P"))</f>
        <v/>
      </c>
      <c r="AL614" s="34" t="str">
        <f aca="false">IF($B614="","",COUNTIF($F614:$AJ614,"A"))</f>
        <v/>
      </c>
      <c r="AM614" s="34" t="str">
        <f aca="false">IF($B614="","",COUNTIF($F614:$AJ614,"HA"))</f>
        <v/>
      </c>
      <c r="AN614" s="34" t="str">
        <f aca="false">IF($B614="","",COUNTIF($F614:$AJ614,"L"))</f>
        <v/>
      </c>
      <c r="AO614" s="34" t="str">
        <f aca="false">IF($B614="","",COUNTIF($F614:$AJ614,"PL"))</f>
        <v/>
      </c>
      <c r="AP614" s="34" t="str">
        <f aca="false">IF($B614="","",COUNTIF($F614:$AJ614,"CL"))</f>
        <v/>
      </c>
      <c r="AQ614" s="34" t="str">
        <f aca="false">IF($B614="","",COUNTIF($F614:$AJ614,"SL"))</f>
        <v/>
      </c>
      <c r="AR614" s="34" t="str">
        <f aca="false">IF($B614="","",COUNTIF($F614:$AJ614,"CO"))</f>
        <v/>
      </c>
      <c r="AS614" s="34" t="str">
        <f aca="false">IF($B614="","",COUNTIF($F614:$AJ614,"HPL"))</f>
        <v/>
      </c>
      <c r="AT614" s="34" t="str">
        <f aca="false">IF($B614="","",COUNTIF($F614:$AJ614,"HCL"))</f>
        <v/>
      </c>
      <c r="AU614" s="34" t="str">
        <f aca="false">IF($B614="","",COUNTIF($F614:$AJ614,"WO"))</f>
        <v/>
      </c>
      <c r="AV614" s="34" t="str">
        <f aca="false">IF($B614="","",COUNTIF($F614:$AJ614,"PH"))</f>
        <v/>
      </c>
      <c r="AW614" s="34" t="str">
        <f aca="false">IF($B614="","",COUNTIF($F614:$AJ614,"TR"))</f>
        <v/>
      </c>
      <c r="AX614" s="35" t="str">
        <f aca="false">IF($B614="","",AO614+AS614/2)</f>
        <v/>
      </c>
      <c r="AY614" s="35" t="str">
        <f aca="false">IF($B614="","",AQ614)</f>
        <v/>
      </c>
      <c r="AZ614" s="35" t="str">
        <f aca="false">IF($B614="","",AP614+AT614/2)</f>
        <v/>
      </c>
      <c r="BA614" s="35" t="str">
        <f aca="false">IF($B614="","",AK614+AN614+AM614/2+AO614+AP614+AQ614+AR614+AS614+AT614+AU614+AV614+AW614)</f>
        <v/>
      </c>
      <c r="BB614" s="35" t="str">
        <f aca="false">IF($B614="","",MAX(0,AN614-Settings!$C$16)*Settings!$C$17)</f>
        <v/>
      </c>
      <c r="BC614" s="35" t="str">
        <f aca="false">IF($B614="","",BA614-BB614)</f>
        <v/>
      </c>
      <c r="BD614" s="35" t="str">
        <f aca="false">IF(OR($B614="",$A614=""),"",DAY(EOMONTH($A614,0))-COUNTA($F614:$AJ614))</f>
        <v/>
      </c>
    </row>
    <row r="615" customFormat="false" ht="15" hidden="false" customHeight="false" outlineLevel="0" collapsed="false">
      <c r="A615" s="32"/>
      <c r="B615" s="29"/>
      <c r="C615" s="10" t="str">
        <f aca="false">IF($B615="","",IFERROR(INDEX(M_name,MATCH($B615,M_emp,0)),"Code not found"))</f>
        <v/>
      </c>
      <c r="D615" s="10" t="str">
        <f aca="false">IF($B615="","",IFERROR(INDEX(M_dept,MATCH($B615,M_emp,0)),""))</f>
        <v/>
      </c>
      <c r="E615" s="10" t="str">
        <f aca="false">IF($B615="","",IFERROR(INDEX(M_loc,MATCH($B615,M_emp,0)),""))</f>
        <v/>
      </c>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4" t="str">
        <f aca="false">IF($B615="","",COUNTIF($F615:$AJ615,"P"))</f>
        <v/>
      </c>
      <c r="AL615" s="34" t="str">
        <f aca="false">IF($B615="","",COUNTIF($F615:$AJ615,"A"))</f>
        <v/>
      </c>
      <c r="AM615" s="34" t="str">
        <f aca="false">IF($B615="","",COUNTIF($F615:$AJ615,"HA"))</f>
        <v/>
      </c>
      <c r="AN615" s="34" t="str">
        <f aca="false">IF($B615="","",COUNTIF($F615:$AJ615,"L"))</f>
        <v/>
      </c>
      <c r="AO615" s="34" t="str">
        <f aca="false">IF($B615="","",COUNTIF($F615:$AJ615,"PL"))</f>
        <v/>
      </c>
      <c r="AP615" s="34" t="str">
        <f aca="false">IF($B615="","",COUNTIF($F615:$AJ615,"CL"))</f>
        <v/>
      </c>
      <c r="AQ615" s="34" t="str">
        <f aca="false">IF($B615="","",COUNTIF($F615:$AJ615,"SL"))</f>
        <v/>
      </c>
      <c r="AR615" s="34" t="str">
        <f aca="false">IF($B615="","",COUNTIF($F615:$AJ615,"CO"))</f>
        <v/>
      </c>
      <c r="AS615" s="34" t="str">
        <f aca="false">IF($B615="","",COUNTIF($F615:$AJ615,"HPL"))</f>
        <v/>
      </c>
      <c r="AT615" s="34" t="str">
        <f aca="false">IF($B615="","",COUNTIF($F615:$AJ615,"HCL"))</f>
        <v/>
      </c>
      <c r="AU615" s="34" t="str">
        <f aca="false">IF($B615="","",COUNTIF($F615:$AJ615,"WO"))</f>
        <v/>
      </c>
      <c r="AV615" s="34" t="str">
        <f aca="false">IF($B615="","",COUNTIF($F615:$AJ615,"PH"))</f>
        <v/>
      </c>
      <c r="AW615" s="34" t="str">
        <f aca="false">IF($B615="","",COUNTIF($F615:$AJ615,"TR"))</f>
        <v/>
      </c>
      <c r="AX615" s="35" t="str">
        <f aca="false">IF($B615="","",AO615+AS615/2)</f>
        <v/>
      </c>
      <c r="AY615" s="35" t="str">
        <f aca="false">IF($B615="","",AQ615)</f>
        <v/>
      </c>
      <c r="AZ615" s="35" t="str">
        <f aca="false">IF($B615="","",AP615+AT615/2)</f>
        <v/>
      </c>
      <c r="BA615" s="35" t="str">
        <f aca="false">IF($B615="","",AK615+AN615+AM615/2+AO615+AP615+AQ615+AR615+AS615+AT615+AU615+AV615+AW615)</f>
        <v/>
      </c>
      <c r="BB615" s="35" t="str">
        <f aca="false">IF($B615="","",MAX(0,AN615-Settings!$C$16)*Settings!$C$17)</f>
        <v/>
      </c>
      <c r="BC615" s="35" t="str">
        <f aca="false">IF($B615="","",BA615-BB615)</f>
        <v/>
      </c>
      <c r="BD615" s="35" t="str">
        <f aca="false">IF(OR($B615="",$A615=""),"",DAY(EOMONTH($A615,0))-COUNTA($F615:$AJ615))</f>
        <v/>
      </c>
    </row>
    <row r="616" customFormat="false" ht="15" hidden="false" customHeight="false" outlineLevel="0" collapsed="false">
      <c r="A616" s="32"/>
      <c r="B616" s="29"/>
      <c r="C616" s="10" t="str">
        <f aca="false">IF($B616="","",IFERROR(INDEX(M_name,MATCH($B616,M_emp,0)),"Code not found"))</f>
        <v/>
      </c>
      <c r="D616" s="10" t="str">
        <f aca="false">IF($B616="","",IFERROR(INDEX(M_dept,MATCH($B616,M_emp,0)),""))</f>
        <v/>
      </c>
      <c r="E616" s="10" t="str">
        <f aca="false">IF($B616="","",IFERROR(INDEX(M_loc,MATCH($B616,M_emp,0)),""))</f>
        <v/>
      </c>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4" t="str">
        <f aca="false">IF($B616="","",COUNTIF($F616:$AJ616,"P"))</f>
        <v/>
      </c>
      <c r="AL616" s="34" t="str">
        <f aca="false">IF($B616="","",COUNTIF($F616:$AJ616,"A"))</f>
        <v/>
      </c>
      <c r="AM616" s="34" t="str">
        <f aca="false">IF($B616="","",COUNTIF($F616:$AJ616,"HA"))</f>
        <v/>
      </c>
      <c r="AN616" s="34" t="str">
        <f aca="false">IF($B616="","",COUNTIF($F616:$AJ616,"L"))</f>
        <v/>
      </c>
      <c r="AO616" s="34" t="str">
        <f aca="false">IF($B616="","",COUNTIF($F616:$AJ616,"PL"))</f>
        <v/>
      </c>
      <c r="AP616" s="34" t="str">
        <f aca="false">IF($B616="","",COUNTIF($F616:$AJ616,"CL"))</f>
        <v/>
      </c>
      <c r="AQ616" s="34" t="str">
        <f aca="false">IF($B616="","",COUNTIF($F616:$AJ616,"SL"))</f>
        <v/>
      </c>
      <c r="AR616" s="34" t="str">
        <f aca="false">IF($B616="","",COUNTIF($F616:$AJ616,"CO"))</f>
        <v/>
      </c>
      <c r="AS616" s="34" t="str">
        <f aca="false">IF($B616="","",COUNTIF($F616:$AJ616,"HPL"))</f>
        <v/>
      </c>
      <c r="AT616" s="34" t="str">
        <f aca="false">IF($B616="","",COUNTIF($F616:$AJ616,"HCL"))</f>
        <v/>
      </c>
      <c r="AU616" s="34" t="str">
        <f aca="false">IF($B616="","",COUNTIF($F616:$AJ616,"WO"))</f>
        <v/>
      </c>
      <c r="AV616" s="34" t="str">
        <f aca="false">IF($B616="","",COUNTIF($F616:$AJ616,"PH"))</f>
        <v/>
      </c>
      <c r="AW616" s="34" t="str">
        <f aca="false">IF($B616="","",COUNTIF($F616:$AJ616,"TR"))</f>
        <v/>
      </c>
      <c r="AX616" s="35" t="str">
        <f aca="false">IF($B616="","",AO616+AS616/2)</f>
        <v/>
      </c>
      <c r="AY616" s="35" t="str">
        <f aca="false">IF($B616="","",AQ616)</f>
        <v/>
      </c>
      <c r="AZ616" s="35" t="str">
        <f aca="false">IF($B616="","",AP616+AT616/2)</f>
        <v/>
      </c>
      <c r="BA616" s="35" t="str">
        <f aca="false">IF($B616="","",AK616+AN616+AM616/2+AO616+AP616+AQ616+AR616+AS616+AT616+AU616+AV616+AW616)</f>
        <v/>
      </c>
      <c r="BB616" s="35" t="str">
        <f aca="false">IF($B616="","",MAX(0,AN616-Settings!$C$16)*Settings!$C$17)</f>
        <v/>
      </c>
      <c r="BC616" s="35" t="str">
        <f aca="false">IF($B616="","",BA616-BB616)</f>
        <v/>
      </c>
      <c r="BD616" s="35" t="str">
        <f aca="false">IF(OR($B616="",$A616=""),"",DAY(EOMONTH($A616,0))-COUNTA($F616:$AJ616))</f>
        <v/>
      </c>
    </row>
    <row r="617" customFormat="false" ht="15" hidden="false" customHeight="false" outlineLevel="0" collapsed="false">
      <c r="A617" s="32"/>
      <c r="B617" s="29"/>
      <c r="C617" s="10" t="str">
        <f aca="false">IF($B617="","",IFERROR(INDEX(M_name,MATCH($B617,M_emp,0)),"Code not found"))</f>
        <v/>
      </c>
      <c r="D617" s="10" t="str">
        <f aca="false">IF($B617="","",IFERROR(INDEX(M_dept,MATCH($B617,M_emp,0)),""))</f>
        <v/>
      </c>
      <c r="E617" s="10" t="str">
        <f aca="false">IF($B617="","",IFERROR(INDEX(M_loc,MATCH($B617,M_emp,0)),""))</f>
        <v/>
      </c>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4" t="str">
        <f aca="false">IF($B617="","",COUNTIF($F617:$AJ617,"P"))</f>
        <v/>
      </c>
      <c r="AL617" s="34" t="str">
        <f aca="false">IF($B617="","",COUNTIF($F617:$AJ617,"A"))</f>
        <v/>
      </c>
      <c r="AM617" s="34" t="str">
        <f aca="false">IF($B617="","",COUNTIF($F617:$AJ617,"HA"))</f>
        <v/>
      </c>
      <c r="AN617" s="34" t="str">
        <f aca="false">IF($B617="","",COUNTIF($F617:$AJ617,"L"))</f>
        <v/>
      </c>
      <c r="AO617" s="34" t="str">
        <f aca="false">IF($B617="","",COUNTIF($F617:$AJ617,"PL"))</f>
        <v/>
      </c>
      <c r="AP617" s="34" t="str">
        <f aca="false">IF($B617="","",COUNTIF($F617:$AJ617,"CL"))</f>
        <v/>
      </c>
      <c r="AQ617" s="34" t="str">
        <f aca="false">IF($B617="","",COUNTIF($F617:$AJ617,"SL"))</f>
        <v/>
      </c>
      <c r="AR617" s="34" t="str">
        <f aca="false">IF($B617="","",COUNTIF($F617:$AJ617,"CO"))</f>
        <v/>
      </c>
      <c r="AS617" s="34" t="str">
        <f aca="false">IF($B617="","",COUNTIF($F617:$AJ617,"HPL"))</f>
        <v/>
      </c>
      <c r="AT617" s="34" t="str">
        <f aca="false">IF($B617="","",COUNTIF($F617:$AJ617,"HCL"))</f>
        <v/>
      </c>
      <c r="AU617" s="34" t="str">
        <f aca="false">IF($B617="","",COUNTIF($F617:$AJ617,"WO"))</f>
        <v/>
      </c>
      <c r="AV617" s="34" t="str">
        <f aca="false">IF($B617="","",COUNTIF($F617:$AJ617,"PH"))</f>
        <v/>
      </c>
      <c r="AW617" s="34" t="str">
        <f aca="false">IF($B617="","",COUNTIF($F617:$AJ617,"TR"))</f>
        <v/>
      </c>
      <c r="AX617" s="35" t="str">
        <f aca="false">IF($B617="","",AO617+AS617/2)</f>
        <v/>
      </c>
      <c r="AY617" s="35" t="str">
        <f aca="false">IF($B617="","",AQ617)</f>
        <v/>
      </c>
      <c r="AZ617" s="35" t="str">
        <f aca="false">IF($B617="","",AP617+AT617/2)</f>
        <v/>
      </c>
      <c r="BA617" s="35" t="str">
        <f aca="false">IF($B617="","",AK617+AN617+AM617/2+AO617+AP617+AQ617+AR617+AS617+AT617+AU617+AV617+AW617)</f>
        <v/>
      </c>
      <c r="BB617" s="35" t="str">
        <f aca="false">IF($B617="","",MAX(0,AN617-Settings!$C$16)*Settings!$C$17)</f>
        <v/>
      </c>
      <c r="BC617" s="35" t="str">
        <f aca="false">IF($B617="","",BA617-BB617)</f>
        <v/>
      </c>
      <c r="BD617" s="35" t="str">
        <f aca="false">IF(OR($B617="",$A617=""),"",DAY(EOMONTH($A617,0))-COUNTA($F617:$AJ617))</f>
        <v/>
      </c>
    </row>
    <row r="618" customFormat="false" ht="15" hidden="false" customHeight="false" outlineLevel="0" collapsed="false">
      <c r="A618" s="32"/>
      <c r="B618" s="29"/>
      <c r="C618" s="10" t="str">
        <f aca="false">IF($B618="","",IFERROR(INDEX(M_name,MATCH($B618,M_emp,0)),"Code not found"))</f>
        <v/>
      </c>
      <c r="D618" s="10" t="str">
        <f aca="false">IF($B618="","",IFERROR(INDEX(M_dept,MATCH($B618,M_emp,0)),""))</f>
        <v/>
      </c>
      <c r="E618" s="10" t="str">
        <f aca="false">IF($B618="","",IFERROR(INDEX(M_loc,MATCH($B618,M_emp,0)),""))</f>
        <v/>
      </c>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4" t="str">
        <f aca="false">IF($B618="","",COUNTIF($F618:$AJ618,"P"))</f>
        <v/>
      </c>
      <c r="AL618" s="34" t="str">
        <f aca="false">IF($B618="","",COUNTIF($F618:$AJ618,"A"))</f>
        <v/>
      </c>
      <c r="AM618" s="34" t="str">
        <f aca="false">IF($B618="","",COUNTIF($F618:$AJ618,"HA"))</f>
        <v/>
      </c>
      <c r="AN618" s="34" t="str">
        <f aca="false">IF($B618="","",COUNTIF($F618:$AJ618,"L"))</f>
        <v/>
      </c>
      <c r="AO618" s="34" t="str">
        <f aca="false">IF($B618="","",COUNTIF($F618:$AJ618,"PL"))</f>
        <v/>
      </c>
      <c r="AP618" s="34" t="str">
        <f aca="false">IF($B618="","",COUNTIF($F618:$AJ618,"CL"))</f>
        <v/>
      </c>
      <c r="AQ618" s="34" t="str">
        <f aca="false">IF($B618="","",COUNTIF($F618:$AJ618,"SL"))</f>
        <v/>
      </c>
      <c r="AR618" s="34" t="str">
        <f aca="false">IF($B618="","",COUNTIF($F618:$AJ618,"CO"))</f>
        <v/>
      </c>
      <c r="AS618" s="34" t="str">
        <f aca="false">IF($B618="","",COUNTIF($F618:$AJ618,"HPL"))</f>
        <v/>
      </c>
      <c r="AT618" s="34" t="str">
        <f aca="false">IF($B618="","",COUNTIF($F618:$AJ618,"HCL"))</f>
        <v/>
      </c>
      <c r="AU618" s="34" t="str">
        <f aca="false">IF($B618="","",COUNTIF($F618:$AJ618,"WO"))</f>
        <v/>
      </c>
      <c r="AV618" s="34" t="str">
        <f aca="false">IF($B618="","",COUNTIF($F618:$AJ618,"PH"))</f>
        <v/>
      </c>
      <c r="AW618" s="34" t="str">
        <f aca="false">IF($B618="","",COUNTIF($F618:$AJ618,"TR"))</f>
        <v/>
      </c>
      <c r="AX618" s="35" t="str">
        <f aca="false">IF($B618="","",AO618+AS618/2)</f>
        <v/>
      </c>
      <c r="AY618" s="35" t="str">
        <f aca="false">IF($B618="","",AQ618)</f>
        <v/>
      </c>
      <c r="AZ618" s="35" t="str">
        <f aca="false">IF($B618="","",AP618+AT618/2)</f>
        <v/>
      </c>
      <c r="BA618" s="35" t="str">
        <f aca="false">IF($B618="","",AK618+AN618+AM618/2+AO618+AP618+AQ618+AR618+AS618+AT618+AU618+AV618+AW618)</f>
        <v/>
      </c>
      <c r="BB618" s="35" t="str">
        <f aca="false">IF($B618="","",MAX(0,AN618-Settings!$C$16)*Settings!$C$17)</f>
        <v/>
      </c>
      <c r="BC618" s="35" t="str">
        <f aca="false">IF($B618="","",BA618-BB618)</f>
        <v/>
      </c>
      <c r="BD618" s="35" t="str">
        <f aca="false">IF(OR($B618="",$A618=""),"",DAY(EOMONTH($A618,0))-COUNTA($F618:$AJ618))</f>
        <v/>
      </c>
    </row>
    <row r="619" customFormat="false" ht="15" hidden="false" customHeight="false" outlineLevel="0" collapsed="false">
      <c r="A619" s="32"/>
      <c r="B619" s="29"/>
      <c r="C619" s="10" t="str">
        <f aca="false">IF($B619="","",IFERROR(INDEX(M_name,MATCH($B619,M_emp,0)),"Code not found"))</f>
        <v/>
      </c>
      <c r="D619" s="10" t="str">
        <f aca="false">IF($B619="","",IFERROR(INDEX(M_dept,MATCH($B619,M_emp,0)),""))</f>
        <v/>
      </c>
      <c r="E619" s="10" t="str">
        <f aca="false">IF($B619="","",IFERROR(INDEX(M_loc,MATCH($B619,M_emp,0)),""))</f>
        <v/>
      </c>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4" t="str">
        <f aca="false">IF($B619="","",COUNTIF($F619:$AJ619,"P"))</f>
        <v/>
      </c>
      <c r="AL619" s="34" t="str">
        <f aca="false">IF($B619="","",COUNTIF($F619:$AJ619,"A"))</f>
        <v/>
      </c>
      <c r="AM619" s="34" t="str">
        <f aca="false">IF($B619="","",COUNTIF($F619:$AJ619,"HA"))</f>
        <v/>
      </c>
      <c r="AN619" s="34" t="str">
        <f aca="false">IF($B619="","",COUNTIF($F619:$AJ619,"L"))</f>
        <v/>
      </c>
      <c r="AO619" s="34" t="str">
        <f aca="false">IF($B619="","",COUNTIF($F619:$AJ619,"PL"))</f>
        <v/>
      </c>
      <c r="AP619" s="34" t="str">
        <f aca="false">IF($B619="","",COUNTIF($F619:$AJ619,"CL"))</f>
        <v/>
      </c>
      <c r="AQ619" s="34" t="str">
        <f aca="false">IF($B619="","",COUNTIF($F619:$AJ619,"SL"))</f>
        <v/>
      </c>
      <c r="AR619" s="34" t="str">
        <f aca="false">IF($B619="","",COUNTIF($F619:$AJ619,"CO"))</f>
        <v/>
      </c>
      <c r="AS619" s="34" t="str">
        <f aca="false">IF($B619="","",COUNTIF($F619:$AJ619,"HPL"))</f>
        <v/>
      </c>
      <c r="AT619" s="34" t="str">
        <f aca="false">IF($B619="","",COUNTIF($F619:$AJ619,"HCL"))</f>
        <v/>
      </c>
      <c r="AU619" s="34" t="str">
        <f aca="false">IF($B619="","",COUNTIF($F619:$AJ619,"WO"))</f>
        <v/>
      </c>
      <c r="AV619" s="34" t="str">
        <f aca="false">IF($B619="","",COUNTIF($F619:$AJ619,"PH"))</f>
        <v/>
      </c>
      <c r="AW619" s="34" t="str">
        <f aca="false">IF($B619="","",COUNTIF($F619:$AJ619,"TR"))</f>
        <v/>
      </c>
      <c r="AX619" s="35" t="str">
        <f aca="false">IF($B619="","",AO619+AS619/2)</f>
        <v/>
      </c>
      <c r="AY619" s="35" t="str">
        <f aca="false">IF($B619="","",AQ619)</f>
        <v/>
      </c>
      <c r="AZ619" s="35" t="str">
        <f aca="false">IF($B619="","",AP619+AT619/2)</f>
        <v/>
      </c>
      <c r="BA619" s="35" t="str">
        <f aca="false">IF($B619="","",AK619+AN619+AM619/2+AO619+AP619+AQ619+AR619+AS619+AT619+AU619+AV619+AW619)</f>
        <v/>
      </c>
      <c r="BB619" s="35" t="str">
        <f aca="false">IF($B619="","",MAX(0,AN619-Settings!$C$16)*Settings!$C$17)</f>
        <v/>
      </c>
      <c r="BC619" s="35" t="str">
        <f aca="false">IF($B619="","",BA619-BB619)</f>
        <v/>
      </c>
      <c r="BD619" s="35" t="str">
        <f aca="false">IF(OR($B619="",$A619=""),"",DAY(EOMONTH($A619,0))-COUNTA($F619:$AJ619))</f>
        <v/>
      </c>
    </row>
    <row r="620" customFormat="false" ht="15" hidden="false" customHeight="false" outlineLevel="0" collapsed="false">
      <c r="A620" s="32"/>
      <c r="B620" s="29"/>
      <c r="C620" s="10" t="str">
        <f aca="false">IF($B620="","",IFERROR(INDEX(M_name,MATCH($B620,M_emp,0)),"Code not found"))</f>
        <v/>
      </c>
      <c r="D620" s="10" t="str">
        <f aca="false">IF($B620="","",IFERROR(INDEX(M_dept,MATCH($B620,M_emp,0)),""))</f>
        <v/>
      </c>
      <c r="E620" s="10" t="str">
        <f aca="false">IF($B620="","",IFERROR(INDEX(M_loc,MATCH($B620,M_emp,0)),""))</f>
        <v/>
      </c>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4" t="str">
        <f aca="false">IF($B620="","",COUNTIF($F620:$AJ620,"P"))</f>
        <v/>
      </c>
      <c r="AL620" s="34" t="str">
        <f aca="false">IF($B620="","",COUNTIF($F620:$AJ620,"A"))</f>
        <v/>
      </c>
      <c r="AM620" s="34" t="str">
        <f aca="false">IF($B620="","",COUNTIF($F620:$AJ620,"HA"))</f>
        <v/>
      </c>
      <c r="AN620" s="34" t="str">
        <f aca="false">IF($B620="","",COUNTIF($F620:$AJ620,"L"))</f>
        <v/>
      </c>
      <c r="AO620" s="34" t="str">
        <f aca="false">IF($B620="","",COUNTIF($F620:$AJ620,"PL"))</f>
        <v/>
      </c>
      <c r="AP620" s="34" t="str">
        <f aca="false">IF($B620="","",COUNTIF($F620:$AJ620,"CL"))</f>
        <v/>
      </c>
      <c r="AQ620" s="34" t="str">
        <f aca="false">IF($B620="","",COUNTIF($F620:$AJ620,"SL"))</f>
        <v/>
      </c>
      <c r="AR620" s="34" t="str">
        <f aca="false">IF($B620="","",COUNTIF($F620:$AJ620,"CO"))</f>
        <v/>
      </c>
      <c r="AS620" s="34" t="str">
        <f aca="false">IF($B620="","",COUNTIF($F620:$AJ620,"HPL"))</f>
        <v/>
      </c>
      <c r="AT620" s="34" t="str">
        <f aca="false">IF($B620="","",COUNTIF($F620:$AJ620,"HCL"))</f>
        <v/>
      </c>
      <c r="AU620" s="34" t="str">
        <f aca="false">IF($B620="","",COUNTIF($F620:$AJ620,"WO"))</f>
        <v/>
      </c>
      <c r="AV620" s="34" t="str">
        <f aca="false">IF($B620="","",COUNTIF($F620:$AJ620,"PH"))</f>
        <v/>
      </c>
      <c r="AW620" s="34" t="str">
        <f aca="false">IF($B620="","",COUNTIF($F620:$AJ620,"TR"))</f>
        <v/>
      </c>
      <c r="AX620" s="35" t="str">
        <f aca="false">IF($B620="","",AO620+AS620/2)</f>
        <v/>
      </c>
      <c r="AY620" s="35" t="str">
        <f aca="false">IF($B620="","",AQ620)</f>
        <v/>
      </c>
      <c r="AZ620" s="35" t="str">
        <f aca="false">IF($B620="","",AP620+AT620/2)</f>
        <v/>
      </c>
      <c r="BA620" s="35" t="str">
        <f aca="false">IF($B620="","",AK620+AN620+AM620/2+AO620+AP620+AQ620+AR620+AS620+AT620+AU620+AV620+AW620)</f>
        <v/>
      </c>
      <c r="BB620" s="35" t="str">
        <f aca="false">IF($B620="","",MAX(0,AN620-Settings!$C$16)*Settings!$C$17)</f>
        <v/>
      </c>
      <c r="BC620" s="35" t="str">
        <f aca="false">IF($B620="","",BA620-BB620)</f>
        <v/>
      </c>
      <c r="BD620" s="35" t="str">
        <f aca="false">IF(OR($B620="",$A620=""),"",DAY(EOMONTH($A620,0))-COUNTA($F620:$AJ620))</f>
        <v/>
      </c>
    </row>
    <row r="621" customFormat="false" ht="15" hidden="false" customHeight="false" outlineLevel="0" collapsed="false">
      <c r="A621" s="32"/>
      <c r="B621" s="29"/>
      <c r="C621" s="10" t="str">
        <f aca="false">IF($B621="","",IFERROR(INDEX(M_name,MATCH($B621,M_emp,0)),"Code not found"))</f>
        <v/>
      </c>
      <c r="D621" s="10" t="str">
        <f aca="false">IF($B621="","",IFERROR(INDEX(M_dept,MATCH($B621,M_emp,0)),""))</f>
        <v/>
      </c>
      <c r="E621" s="10" t="str">
        <f aca="false">IF($B621="","",IFERROR(INDEX(M_loc,MATCH($B621,M_emp,0)),""))</f>
        <v/>
      </c>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4" t="str">
        <f aca="false">IF($B621="","",COUNTIF($F621:$AJ621,"P"))</f>
        <v/>
      </c>
      <c r="AL621" s="34" t="str">
        <f aca="false">IF($B621="","",COUNTIF($F621:$AJ621,"A"))</f>
        <v/>
      </c>
      <c r="AM621" s="34" t="str">
        <f aca="false">IF($B621="","",COUNTIF($F621:$AJ621,"HA"))</f>
        <v/>
      </c>
      <c r="AN621" s="34" t="str">
        <f aca="false">IF($B621="","",COUNTIF($F621:$AJ621,"L"))</f>
        <v/>
      </c>
      <c r="AO621" s="34" t="str">
        <f aca="false">IF($B621="","",COUNTIF($F621:$AJ621,"PL"))</f>
        <v/>
      </c>
      <c r="AP621" s="34" t="str">
        <f aca="false">IF($B621="","",COUNTIF($F621:$AJ621,"CL"))</f>
        <v/>
      </c>
      <c r="AQ621" s="34" t="str">
        <f aca="false">IF($B621="","",COUNTIF($F621:$AJ621,"SL"))</f>
        <v/>
      </c>
      <c r="AR621" s="34" t="str">
        <f aca="false">IF($B621="","",COUNTIF($F621:$AJ621,"CO"))</f>
        <v/>
      </c>
      <c r="AS621" s="34" t="str">
        <f aca="false">IF($B621="","",COUNTIF($F621:$AJ621,"HPL"))</f>
        <v/>
      </c>
      <c r="AT621" s="34" t="str">
        <f aca="false">IF($B621="","",COUNTIF($F621:$AJ621,"HCL"))</f>
        <v/>
      </c>
      <c r="AU621" s="34" t="str">
        <f aca="false">IF($B621="","",COUNTIF($F621:$AJ621,"WO"))</f>
        <v/>
      </c>
      <c r="AV621" s="34" t="str">
        <f aca="false">IF($B621="","",COUNTIF($F621:$AJ621,"PH"))</f>
        <v/>
      </c>
      <c r="AW621" s="34" t="str">
        <f aca="false">IF($B621="","",COUNTIF($F621:$AJ621,"TR"))</f>
        <v/>
      </c>
      <c r="AX621" s="35" t="str">
        <f aca="false">IF($B621="","",AO621+AS621/2)</f>
        <v/>
      </c>
      <c r="AY621" s="35" t="str">
        <f aca="false">IF($B621="","",AQ621)</f>
        <v/>
      </c>
      <c r="AZ621" s="35" t="str">
        <f aca="false">IF($B621="","",AP621+AT621/2)</f>
        <v/>
      </c>
      <c r="BA621" s="35" t="str">
        <f aca="false">IF($B621="","",AK621+AN621+AM621/2+AO621+AP621+AQ621+AR621+AS621+AT621+AU621+AV621+AW621)</f>
        <v/>
      </c>
      <c r="BB621" s="35" t="str">
        <f aca="false">IF($B621="","",MAX(0,AN621-Settings!$C$16)*Settings!$C$17)</f>
        <v/>
      </c>
      <c r="BC621" s="35" t="str">
        <f aca="false">IF($B621="","",BA621-BB621)</f>
        <v/>
      </c>
      <c r="BD621" s="35" t="str">
        <f aca="false">IF(OR($B621="",$A621=""),"",DAY(EOMONTH($A621,0))-COUNTA($F621:$AJ621))</f>
        <v/>
      </c>
    </row>
    <row r="622" customFormat="false" ht="15" hidden="false" customHeight="false" outlineLevel="0" collapsed="false">
      <c r="A622" s="32"/>
      <c r="B622" s="29"/>
      <c r="C622" s="10" t="str">
        <f aca="false">IF($B622="","",IFERROR(INDEX(M_name,MATCH($B622,M_emp,0)),"Code not found"))</f>
        <v/>
      </c>
      <c r="D622" s="10" t="str">
        <f aca="false">IF($B622="","",IFERROR(INDEX(M_dept,MATCH($B622,M_emp,0)),""))</f>
        <v/>
      </c>
      <c r="E622" s="10" t="str">
        <f aca="false">IF($B622="","",IFERROR(INDEX(M_loc,MATCH($B622,M_emp,0)),""))</f>
        <v/>
      </c>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4" t="str">
        <f aca="false">IF($B622="","",COUNTIF($F622:$AJ622,"P"))</f>
        <v/>
      </c>
      <c r="AL622" s="34" t="str">
        <f aca="false">IF($B622="","",COUNTIF($F622:$AJ622,"A"))</f>
        <v/>
      </c>
      <c r="AM622" s="34" t="str">
        <f aca="false">IF($B622="","",COUNTIF($F622:$AJ622,"HA"))</f>
        <v/>
      </c>
      <c r="AN622" s="34" t="str">
        <f aca="false">IF($B622="","",COUNTIF($F622:$AJ622,"L"))</f>
        <v/>
      </c>
      <c r="AO622" s="34" t="str">
        <f aca="false">IF($B622="","",COUNTIF($F622:$AJ622,"PL"))</f>
        <v/>
      </c>
      <c r="AP622" s="34" t="str">
        <f aca="false">IF($B622="","",COUNTIF($F622:$AJ622,"CL"))</f>
        <v/>
      </c>
      <c r="AQ622" s="34" t="str">
        <f aca="false">IF($B622="","",COUNTIF($F622:$AJ622,"SL"))</f>
        <v/>
      </c>
      <c r="AR622" s="34" t="str">
        <f aca="false">IF($B622="","",COUNTIF($F622:$AJ622,"CO"))</f>
        <v/>
      </c>
      <c r="AS622" s="34" t="str">
        <f aca="false">IF($B622="","",COUNTIF($F622:$AJ622,"HPL"))</f>
        <v/>
      </c>
      <c r="AT622" s="34" t="str">
        <f aca="false">IF($B622="","",COUNTIF($F622:$AJ622,"HCL"))</f>
        <v/>
      </c>
      <c r="AU622" s="34" t="str">
        <f aca="false">IF($B622="","",COUNTIF($F622:$AJ622,"WO"))</f>
        <v/>
      </c>
      <c r="AV622" s="34" t="str">
        <f aca="false">IF($B622="","",COUNTIF($F622:$AJ622,"PH"))</f>
        <v/>
      </c>
      <c r="AW622" s="34" t="str">
        <f aca="false">IF($B622="","",COUNTIF($F622:$AJ622,"TR"))</f>
        <v/>
      </c>
      <c r="AX622" s="35" t="str">
        <f aca="false">IF($B622="","",AO622+AS622/2)</f>
        <v/>
      </c>
      <c r="AY622" s="35" t="str">
        <f aca="false">IF($B622="","",AQ622)</f>
        <v/>
      </c>
      <c r="AZ622" s="35" t="str">
        <f aca="false">IF($B622="","",AP622+AT622/2)</f>
        <v/>
      </c>
      <c r="BA622" s="35" t="str">
        <f aca="false">IF($B622="","",AK622+AN622+AM622/2+AO622+AP622+AQ622+AR622+AS622+AT622+AU622+AV622+AW622)</f>
        <v/>
      </c>
      <c r="BB622" s="35" t="str">
        <f aca="false">IF($B622="","",MAX(0,AN622-Settings!$C$16)*Settings!$C$17)</f>
        <v/>
      </c>
      <c r="BC622" s="35" t="str">
        <f aca="false">IF($B622="","",BA622-BB622)</f>
        <v/>
      </c>
      <c r="BD622" s="35" t="str">
        <f aca="false">IF(OR($B622="",$A622=""),"",DAY(EOMONTH($A622,0))-COUNTA($F622:$AJ622))</f>
        <v/>
      </c>
    </row>
    <row r="623" customFormat="false" ht="15" hidden="false" customHeight="false" outlineLevel="0" collapsed="false">
      <c r="A623" s="32"/>
      <c r="B623" s="29"/>
      <c r="C623" s="10" t="str">
        <f aca="false">IF($B623="","",IFERROR(INDEX(M_name,MATCH($B623,M_emp,0)),"Code not found"))</f>
        <v/>
      </c>
      <c r="D623" s="10" t="str">
        <f aca="false">IF($B623="","",IFERROR(INDEX(M_dept,MATCH($B623,M_emp,0)),""))</f>
        <v/>
      </c>
      <c r="E623" s="10" t="str">
        <f aca="false">IF($B623="","",IFERROR(INDEX(M_loc,MATCH($B623,M_emp,0)),""))</f>
        <v/>
      </c>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4" t="str">
        <f aca="false">IF($B623="","",COUNTIF($F623:$AJ623,"P"))</f>
        <v/>
      </c>
      <c r="AL623" s="34" t="str">
        <f aca="false">IF($B623="","",COUNTIF($F623:$AJ623,"A"))</f>
        <v/>
      </c>
      <c r="AM623" s="34" t="str">
        <f aca="false">IF($B623="","",COUNTIF($F623:$AJ623,"HA"))</f>
        <v/>
      </c>
      <c r="AN623" s="34" t="str">
        <f aca="false">IF($B623="","",COUNTIF($F623:$AJ623,"L"))</f>
        <v/>
      </c>
      <c r="AO623" s="34" t="str">
        <f aca="false">IF($B623="","",COUNTIF($F623:$AJ623,"PL"))</f>
        <v/>
      </c>
      <c r="AP623" s="34" t="str">
        <f aca="false">IF($B623="","",COUNTIF($F623:$AJ623,"CL"))</f>
        <v/>
      </c>
      <c r="AQ623" s="34" t="str">
        <f aca="false">IF($B623="","",COUNTIF($F623:$AJ623,"SL"))</f>
        <v/>
      </c>
      <c r="AR623" s="34" t="str">
        <f aca="false">IF($B623="","",COUNTIF($F623:$AJ623,"CO"))</f>
        <v/>
      </c>
      <c r="AS623" s="34" t="str">
        <f aca="false">IF($B623="","",COUNTIF($F623:$AJ623,"HPL"))</f>
        <v/>
      </c>
      <c r="AT623" s="34" t="str">
        <f aca="false">IF($B623="","",COUNTIF($F623:$AJ623,"HCL"))</f>
        <v/>
      </c>
      <c r="AU623" s="34" t="str">
        <f aca="false">IF($B623="","",COUNTIF($F623:$AJ623,"WO"))</f>
        <v/>
      </c>
      <c r="AV623" s="34" t="str">
        <f aca="false">IF($B623="","",COUNTIF($F623:$AJ623,"PH"))</f>
        <v/>
      </c>
      <c r="AW623" s="34" t="str">
        <f aca="false">IF($B623="","",COUNTIF($F623:$AJ623,"TR"))</f>
        <v/>
      </c>
      <c r="AX623" s="35" t="str">
        <f aca="false">IF($B623="","",AO623+AS623/2)</f>
        <v/>
      </c>
      <c r="AY623" s="35" t="str">
        <f aca="false">IF($B623="","",AQ623)</f>
        <v/>
      </c>
      <c r="AZ623" s="35" t="str">
        <f aca="false">IF($B623="","",AP623+AT623/2)</f>
        <v/>
      </c>
      <c r="BA623" s="35" t="str">
        <f aca="false">IF($B623="","",AK623+AN623+AM623/2+AO623+AP623+AQ623+AR623+AS623+AT623+AU623+AV623+AW623)</f>
        <v/>
      </c>
      <c r="BB623" s="35" t="str">
        <f aca="false">IF($B623="","",MAX(0,AN623-Settings!$C$16)*Settings!$C$17)</f>
        <v/>
      </c>
      <c r="BC623" s="35" t="str">
        <f aca="false">IF($B623="","",BA623-BB623)</f>
        <v/>
      </c>
      <c r="BD623" s="35" t="str">
        <f aca="false">IF(OR($B623="",$A623=""),"",DAY(EOMONTH($A623,0))-COUNTA($F623:$AJ623))</f>
        <v/>
      </c>
    </row>
    <row r="624" customFormat="false" ht="15" hidden="false" customHeight="false" outlineLevel="0" collapsed="false">
      <c r="A624" s="32"/>
      <c r="B624" s="29"/>
      <c r="C624" s="10" t="str">
        <f aca="false">IF($B624="","",IFERROR(INDEX(M_name,MATCH($B624,M_emp,0)),"Code not found"))</f>
        <v/>
      </c>
      <c r="D624" s="10" t="str">
        <f aca="false">IF($B624="","",IFERROR(INDEX(M_dept,MATCH($B624,M_emp,0)),""))</f>
        <v/>
      </c>
      <c r="E624" s="10" t="str">
        <f aca="false">IF($B624="","",IFERROR(INDEX(M_loc,MATCH($B624,M_emp,0)),""))</f>
        <v/>
      </c>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4" t="str">
        <f aca="false">IF($B624="","",COUNTIF($F624:$AJ624,"P"))</f>
        <v/>
      </c>
      <c r="AL624" s="34" t="str">
        <f aca="false">IF($B624="","",COUNTIF($F624:$AJ624,"A"))</f>
        <v/>
      </c>
      <c r="AM624" s="34" t="str">
        <f aca="false">IF($B624="","",COUNTIF($F624:$AJ624,"HA"))</f>
        <v/>
      </c>
      <c r="AN624" s="34" t="str">
        <f aca="false">IF($B624="","",COUNTIF($F624:$AJ624,"L"))</f>
        <v/>
      </c>
      <c r="AO624" s="34" t="str">
        <f aca="false">IF($B624="","",COUNTIF($F624:$AJ624,"PL"))</f>
        <v/>
      </c>
      <c r="AP624" s="34" t="str">
        <f aca="false">IF($B624="","",COUNTIF($F624:$AJ624,"CL"))</f>
        <v/>
      </c>
      <c r="AQ624" s="34" t="str">
        <f aca="false">IF($B624="","",COUNTIF($F624:$AJ624,"SL"))</f>
        <v/>
      </c>
      <c r="AR624" s="34" t="str">
        <f aca="false">IF($B624="","",COUNTIF($F624:$AJ624,"CO"))</f>
        <v/>
      </c>
      <c r="AS624" s="34" t="str">
        <f aca="false">IF($B624="","",COUNTIF($F624:$AJ624,"HPL"))</f>
        <v/>
      </c>
      <c r="AT624" s="34" t="str">
        <f aca="false">IF($B624="","",COUNTIF($F624:$AJ624,"HCL"))</f>
        <v/>
      </c>
      <c r="AU624" s="34" t="str">
        <f aca="false">IF($B624="","",COUNTIF($F624:$AJ624,"WO"))</f>
        <v/>
      </c>
      <c r="AV624" s="34" t="str">
        <f aca="false">IF($B624="","",COUNTIF($F624:$AJ624,"PH"))</f>
        <v/>
      </c>
      <c r="AW624" s="34" t="str">
        <f aca="false">IF($B624="","",COUNTIF($F624:$AJ624,"TR"))</f>
        <v/>
      </c>
      <c r="AX624" s="35" t="str">
        <f aca="false">IF($B624="","",AO624+AS624/2)</f>
        <v/>
      </c>
      <c r="AY624" s="35" t="str">
        <f aca="false">IF($B624="","",AQ624)</f>
        <v/>
      </c>
      <c r="AZ624" s="35" t="str">
        <f aca="false">IF($B624="","",AP624+AT624/2)</f>
        <v/>
      </c>
      <c r="BA624" s="35" t="str">
        <f aca="false">IF($B624="","",AK624+AN624+AM624/2+AO624+AP624+AQ624+AR624+AS624+AT624+AU624+AV624+AW624)</f>
        <v/>
      </c>
      <c r="BB624" s="35" t="str">
        <f aca="false">IF($B624="","",MAX(0,AN624-Settings!$C$16)*Settings!$C$17)</f>
        <v/>
      </c>
      <c r="BC624" s="35" t="str">
        <f aca="false">IF($B624="","",BA624-BB624)</f>
        <v/>
      </c>
      <c r="BD624" s="35" t="str">
        <f aca="false">IF(OR($B624="",$A624=""),"",DAY(EOMONTH($A624,0))-COUNTA($F624:$AJ624))</f>
        <v/>
      </c>
    </row>
    <row r="625" customFormat="false" ht="15" hidden="false" customHeight="false" outlineLevel="0" collapsed="false">
      <c r="A625" s="32"/>
      <c r="B625" s="29"/>
      <c r="C625" s="10" t="str">
        <f aca="false">IF($B625="","",IFERROR(INDEX(M_name,MATCH($B625,M_emp,0)),"Code not found"))</f>
        <v/>
      </c>
      <c r="D625" s="10" t="str">
        <f aca="false">IF($B625="","",IFERROR(INDEX(M_dept,MATCH($B625,M_emp,0)),""))</f>
        <v/>
      </c>
      <c r="E625" s="10" t="str">
        <f aca="false">IF($B625="","",IFERROR(INDEX(M_loc,MATCH($B625,M_emp,0)),""))</f>
        <v/>
      </c>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4" t="str">
        <f aca="false">IF($B625="","",COUNTIF($F625:$AJ625,"P"))</f>
        <v/>
      </c>
      <c r="AL625" s="34" t="str">
        <f aca="false">IF($B625="","",COUNTIF($F625:$AJ625,"A"))</f>
        <v/>
      </c>
      <c r="AM625" s="34" t="str">
        <f aca="false">IF($B625="","",COUNTIF($F625:$AJ625,"HA"))</f>
        <v/>
      </c>
      <c r="AN625" s="34" t="str">
        <f aca="false">IF($B625="","",COUNTIF($F625:$AJ625,"L"))</f>
        <v/>
      </c>
      <c r="AO625" s="34" t="str">
        <f aca="false">IF($B625="","",COUNTIF($F625:$AJ625,"PL"))</f>
        <v/>
      </c>
      <c r="AP625" s="34" t="str">
        <f aca="false">IF($B625="","",COUNTIF($F625:$AJ625,"CL"))</f>
        <v/>
      </c>
      <c r="AQ625" s="34" t="str">
        <f aca="false">IF($B625="","",COUNTIF($F625:$AJ625,"SL"))</f>
        <v/>
      </c>
      <c r="AR625" s="34" t="str">
        <f aca="false">IF($B625="","",COUNTIF($F625:$AJ625,"CO"))</f>
        <v/>
      </c>
      <c r="AS625" s="34" t="str">
        <f aca="false">IF($B625="","",COUNTIF($F625:$AJ625,"HPL"))</f>
        <v/>
      </c>
      <c r="AT625" s="34" t="str">
        <f aca="false">IF($B625="","",COUNTIF($F625:$AJ625,"HCL"))</f>
        <v/>
      </c>
      <c r="AU625" s="34" t="str">
        <f aca="false">IF($B625="","",COUNTIF($F625:$AJ625,"WO"))</f>
        <v/>
      </c>
      <c r="AV625" s="34" t="str">
        <f aca="false">IF($B625="","",COUNTIF($F625:$AJ625,"PH"))</f>
        <v/>
      </c>
      <c r="AW625" s="34" t="str">
        <f aca="false">IF($B625="","",COUNTIF($F625:$AJ625,"TR"))</f>
        <v/>
      </c>
      <c r="AX625" s="35" t="str">
        <f aca="false">IF($B625="","",AO625+AS625/2)</f>
        <v/>
      </c>
      <c r="AY625" s="35" t="str">
        <f aca="false">IF($B625="","",AQ625)</f>
        <v/>
      </c>
      <c r="AZ625" s="35" t="str">
        <f aca="false">IF($B625="","",AP625+AT625/2)</f>
        <v/>
      </c>
      <c r="BA625" s="35" t="str">
        <f aca="false">IF($B625="","",AK625+AN625+AM625/2+AO625+AP625+AQ625+AR625+AS625+AT625+AU625+AV625+AW625)</f>
        <v/>
      </c>
      <c r="BB625" s="35" t="str">
        <f aca="false">IF($B625="","",MAX(0,AN625-Settings!$C$16)*Settings!$C$17)</f>
        <v/>
      </c>
      <c r="BC625" s="35" t="str">
        <f aca="false">IF($B625="","",BA625-BB625)</f>
        <v/>
      </c>
      <c r="BD625" s="35" t="str">
        <f aca="false">IF(OR($B625="",$A625=""),"",DAY(EOMONTH($A625,0))-COUNTA($F625:$AJ625))</f>
        <v/>
      </c>
    </row>
    <row r="626" customFormat="false" ht="15" hidden="false" customHeight="false" outlineLevel="0" collapsed="false">
      <c r="A626" s="32"/>
      <c r="B626" s="29"/>
      <c r="C626" s="10" t="str">
        <f aca="false">IF($B626="","",IFERROR(INDEX(M_name,MATCH($B626,M_emp,0)),"Code not found"))</f>
        <v/>
      </c>
      <c r="D626" s="10" t="str">
        <f aca="false">IF($B626="","",IFERROR(INDEX(M_dept,MATCH($B626,M_emp,0)),""))</f>
        <v/>
      </c>
      <c r="E626" s="10" t="str">
        <f aca="false">IF($B626="","",IFERROR(INDEX(M_loc,MATCH($B626,M_emp,0)),""))</f>
        <v/>
      </c>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4" t="str">
        <f aca="false">IF($B626="","",COUNTIF($F626:$AJ626,"P"))</f>
        <v/>
      </c>
      <c r="AL626" s="34" t="str">
        <f aca="false">IF($B626="","",COUNTIF($F626:$AJ626,"A"))</f>
        <v/>
      </c>
      <c r="AM626" s="34" t="str">
        <f aca="false">IF($B626="","",COUNTIF($F626:$AJ626,"HA"))</f>
        <v/>
      </c>
      <c r="AN626" s="34" t="str">
        <f aca="false">IF($B626="","",COUNTIF($F626:$AJ626,"L"))</f>
        <v/>
      </c>
      <c r="AO626" s="34" t="str">
        <f aca="false">IF($B626="","",COUNTIF($F626:$AJ626,"PL"))</f>
        <v/>
      </c>
      <c r="AP626" s="34" t="str">
        <f aca="false">IF($B626="","",COUNTIF($F626:$AJ626,"CL"))</f>
        <v/>
      </c>
      <c r="AQ626" s="34" t="str">
        <f aca="false">IF($B626="","",COUNTIF($F626:$AJ626,"SL"))</f>
        <v/>
      </c>
      <c r="AR626" s="34" t="str">
        <f aca="false">IF($B626="","",COUNTIF($F626:$AJ626,"CO"))</f>
        <v/>
      </c>
      <c r="AS626" s="34" t="str">
        <f aca="false">IF($B626="","",COUNTIF($F626:$AJ626,"HPL"))</f>
        <v/>
      </c>
      <c r="AT626" s="34" t="str">
        <f aca="false">IF($B626="","",COUNTIF($F626:$AJ626,"HCL"))</f>
        <v/>
      </c>
      <c r="AU626" s="34" t="str">
        <f aca="false">IF($B626="","",COUNTIF($F626:$AJ626,"WO"))</f>
        <v/>
      </c>
      <c r="AV626" s="34" t="str">
        <f aca="false">IF($B626="","",COUNTIF($F626:$AJ626,"PH"))</f>
        <v/>
      </c>
      <c r="AW626" s="34" t="str">
        <f aca="false">IF($B626="","",COUNTIF($F626:$AJ626,"TR"))</f>
        <v/>
      </c>
      <c r="AX626" s="35" t="str">
        <f aca="false">IF($B626="","",AO626+AS626/2)</f>
        <v/>
      </c>
      <c r="AY626" s="35" t="str">
        <f aca="false">IF($B626="","",AQ626)</f>
        <v/>
      </c>
      <c r="AZ626" s="35" t="str">
        <f aca="false">IF($B626="","",AP626+AT626/2)</f>
        <v/>
      </c>
      <c r="BA626" s="35" t="str">
        <f aca="false">IF($B626="","",AK626+AN626+AM626/2+AO626+AP626+AQ626+AR626+AS626+AT626+AU626+AV626+AW626)</f>
        <v/>
      </c>
      <c r="BB626" s="35" t="str">
        <f aca="false">IF($B626="","",MAX(0,AN626-Settings!$C$16)*Settings!$C$17)</f>
        <v/>
      </c>
      <c r="BC626" s="35" t="str">
        <f aca="false">IF($B626="","",BA626-BB626)</f>
        <v/>
      </c>
      <c r="BD626" s="35" t="str">
        <f aca="false">IF(OR($B626="",$A626=""),"",DAY(EOMONTH($A626,0))-COUNTA($F626:$AJ626))</f>
        <v/>
      </c>
    </row>
    <row r="627" customFormat="false" ht="15" hidden="false" customHeight="false" outlineLevel="0" collapsed="false">
      <c r="A627" s="32"/>
      <c r="B627" s="29"/>
      <c r="C627" s="10" t="str">
        <f aca="false">IF($B627="","",IFERROR(INDEX(M_name,MATCH($B627,M_emp,0)),"Code not found"))</f>
        <v/>
      </c>
      <c r="D627" s="10" t="str">
        <f aca="false">IF($B627="","",IFERROR(INDEX(M_dept,MATCH($B627,M_emp,0)),""))</f>
        <v/>
      </c>
      <c r="E627" s="10" t="str">
        <f aca="false">IF($B627="","",IFERROR(INDEX(M_loc,MATCH($B627,M_emp,0)),""))</f>
        <v/>
      </c>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4" t="str">
        <f aca="false">IF($B627="","",COUNTIF($F627:$AJ627,"P"))</f>
        <v/>
      </c>
      <c r="AL627" s="34" t="str">
        <f aca="false">IF($B627="","",COUNTIF($F627:$AJ627,"A"))</f>
        <v/>
      </c>
      <c r="AM627" s="34" t="str">
        <f aca="false">IF($B627="","",COUNTIF($F627:$AJ627,"HA"))</f>
        <v/>
      </c>
      <c r="AN627" s="34" t="str">
        <f aca="false">IF($B627="","",COUNTIF($F627:$AJ627,"L"))</f>
        <v/>
      </c>
      <c r="AO627" s="34" t="str">
        <f aca="false">IF($B627="","",COUNTIF($F627:$AJ627,"PL"))</f>
        <v/>
      </c>
      <c r="AP627" s="34" t="str">
        <f aca="false">IF($B627="","",COUNTIF($F627:$AJ627,"CL"))</f>
        <v/>
      </c>
      <c r="AQ627" s="34" t="str">
        <f aca="false">IF($B627="","",COUNTIF($F627:$AJ627,"SL"))</f>
        <v/>
      </c>
      <c r="AR627" s="34" t="str">
        <f aca="false">IF($B627="","",COUNTIF($F627:$AJ627,"CO"))</f>
        <v/>
      </c>
      <c r="AS627" s="34" t="str">
        <f aca="false">IF($B627="","",COUNTIF($F627:$AJ627,"HPL"))</f>
        <v/>
      </c>
      <c r="AT627" s="34" t="str">
        <f aca="false">IF($B627="","",COUNTIF($F627:$AJ627,"HCL"))</f>
        <v/>
      </c>
      <c r="AU627" s="34" t="str">
        <f aca="false">IF($B627="","",COUNTIF($F627:$AJ627,"WO"))</f>
        <v/>
      </c>
      <c r="AV627" s="34" t="str">
        <f aca="false">IF($B627="","",COUNTIF($F627:$AJ627,"PH"))</f>
        <v/>
      </c>
      <c r="AW627" s="34" t="str">
        <f aca="false">IF($B627="","",COUNTIF($F627:$AJ627,"TR"))</f>
        <v/>
      </c>
      <c r="AX627" s="35" t="str">
        <f aca="false">IF($B627="","",AO627+AS627/2)</f>
        <v/>
      </c>
      <c r="AY627" s="35" t="str">
        <f aca="false">IF($B627="","",AQ627)</f>
        <v/>
      </c>
      <c r="AZ627" s="35" t="str">
        <f aca="false">IF($B627="","",AP627+AT627/2)</f>
        <v/>
      </c>
      <c r="BA627" s="35" t="str">
        <f aca="false">IF($B627="","",AK627+AN627+AM627/2+AO627+AP627+AQ627+AR627+AS627+AT627+AU627+AV627+AW627)</f>
        <v/>
      </c>
      <c r="BB627" s="35" t="str">
        <f aca="false">IF($B627="","",MAX(0,AN627-Settings!$C$16)*Settings!$C$17)</f>
        <v/>
      </c>
      <c r="BC627" s="35" t="str">
        <f aca="false">IF($B627="","",BA627-BB627)</f>
        <v/>
      </c>
      <c r="BD627" s="35" t="str">
        <f aca="false">IF(OR($B627="",$A627=""),"",DAY(EOMONTH($A627,0))-COUNTA($F627:$AJ627))</f>
        <v/>
      </c>
    </row>
    <row r="628" customFormat="false" ht="15" hidden="false" customHeight="false" outlineLevel="0" collapsed="false">
      <c r="A628" s="32"/>
      <c r="B628" s="29"/>
      <c r="C628" s="10" t="str">
        <f aca="false">IF($B628="","",IFERROR(INDEX(M_name,MATCH($B628,M_emp,0)),"Code not found"))</f>
        <v/>
      </c>
      <c r="D628" s="10" t="str">
        <f aca="false">IF($B628="","",IFERROR(INDEX(M_dept,MATCH($B628,M_emp,0)),""))</f>
        <v/>
      </c>
      <c r="E628" s="10" t="str">
        <f aca="false">IF($B628="","",IFERROR(INDEX(M_loc,MATCH($B628,M_emp,0)),""))</f>
        <v/>
      </c>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4" t="str">
        <f aca="false">IF($B628="","",COUNTIF($F628:$AJ628,"P"))</f>
        <v/>
      </c>
      <c r="AL628" s="34" t="str">
        <f aca="false">IF($B628="","",COUNTIF($F628:$AJ628,"A"))</f>
        <v/>
      </c>
      <c r="AM628" s="34" t="str">
        <f aca="false">IF($B628="","",COUNTIF($F628:$AJ628,"HA"))</f>
        <v/>
      </c>
      <c r="AN628" s="34" t="str">
        <f aca="false">IF($B628="","",COUNTIF($F628:$AJ628,"L"))</f>
        <v/>
      </c>
      <c r="AO628" s="34" t="str">
        <f aca="false">IF($B628="","",COUNTIF($F628:$AJ628,"PL"))</f>
        <v/>
      </c>
      <c r="AP628" s="34" t="str">
        <f aca="false">IF($B628="","",COUNTIF($F628:$AJ628,"CL"))</f>
        <v/>
      </c>
      <c r="AQ628" s="34" t="str">
        <f aca="false">IF($B628="","",COUNTIF($F628:$AJ628,"SL"))</f>
        <v/>
      </c>
      <c r="AR628" s="34" t="str">
        <f aca="false">IF($B628="","",COUNTIF($F628:$AJ628,"CO"))</f>
        <v/>
      </c>
      <c r="AS628" s="34" t="str">
        <f aca="false">IF($B628="","",COUNTIF($F628:$AJ628,"HPL"))</f>
        <v/>
      </c>
      <c r="AT628" s="34" t="str">
        <f aca="false">IF($B628="","",COUNTIF($F628:$AJ628,"HCL"))</f>
        <v/>
      </c>
      <c r="AU628" s="34" t="str">
        <f aca="false">IF($B628="","",COUNTIF($F628:$AJ628,"WO"))</f>
        <v/>
      </c>
      <c r="AV628" s="34" t="str">
        <f aca="false">IF($B628="","",COUNTIF($F628:$AJ628,"PH"))</f>
        <v/>
      </c>
      <c r="AW628" s="34" t="str">
        <f aca="false">IF($B628="","",COUNTIF($F628:$AJ628,"TR"))</f>
        <v/>
      </c>
      <c r="AX628" s="35" t="str">
        <f aca="false">IF($B628="","",AO628+AS628/2)</f>
        <v/>
      </c>
      <c r="AY628" s="35" t="str">
        <f aca="false">IF($B628="","",AQ628)</f>
        <v/>
      </c>
      <c r="AZ628" s="35" t="str">
        <f aca="false">IF($B628="","",AP628+AT628/2)</f>
        <v/>
      </c>
      <c r="BA628" s="35" t="str">
        <f aca="false">IF($B628="","",AK628+AN628+AM628/2+AO628+AP628+AQ628+AR628+AS628+AT628+AU628+AV628+AW628)</f>
        <v/>
      </c>
      <c r="BB628" s="35" t="str">
        <f aca="false">IF($B628="","",MAX(0,AN628-Settings!$C$16)*Settings!$C$17)</f>
        <v/>
      </c>
      <c r="BC628" s="35" t="str">
        <f aca="false">IF($B628="","",BA628-BB628)</f>
        <v/>
      </c>
      <c r="BD628" s="35" t="str">
        <f aca="false">IF(OR($B628="",$A628=""),"",DAY(EOMONTH($A628,0))-COUNTA($F628:$AJ628))</f>
        <v/>
      </c>
    </row>
    <row r="629" customFormat="false" ht="15" hidden="false" customHeight="false" outlineLevel="0" collapsed="false">
      <c r="A629" s="32"/>
      <c r="B629" s="29"/>
      <c r="C629" s="10" t="str">
        <f aca="false">IF($B629="","",IFERROR(INDEX(M_name,MATCH($B629,M_emp,0)),"Code not found"))</f>
        <v/>
      </c>
      <c r="D629" s="10" t="str">
        <f aca="false">IF($B629="","",IFERROR(INDEX(M_dept,MATCH($B629,M_emp,0)),""))</f>
        <v/>
      </c>
      <c r="E629" s="10" t="str">
        <f aca="false">IF($B629="","",IFERROR(INDEX(M_loc,MATCH($B629,M_emp,0)),""))</f>
        <v/>
      </c>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4" t="str">
        <f aca="false">IF($B629="","",COUNTIF($F629:$AJ629,"P"))</f>
        <v/>
      </c>
      <c r="AL629" s="34" t="str">
        <f aca="false">IF($B629="","",COUNTIF($F629:$AJ629,"A"))</f>
        <v/>
      </c>
      <c r="AM629" s="34" t="str">
        <f aca="false">IF($B629="","",COUNTIF($F629:$AJ629,"HA"))</f>
        <v/>
      </c>
      <c r="AN629" s="34" t="str">
        <f aca="false">IF($B629="","",COUNTIF($F629:$AJ629,"L"))</f>
        <v/>
      </c>
      <c r="AO629" s="34" t="str">
        <f aca="false">IF($B629="","",COUNTIF($F629:$AJ629,"PL"))</f>
        <v/>
      </c>
      <c r="AP629" s="34" t="str">
        <f aca="false">IF($B629="","",COUNTIF($F629:$AJ629,"CL"))</f>
        <v/>
      </c>
      <c r="AQ629" s="34" t="str">
        <f aca="false">IF($B629="","",COUNTIF($F629:$AJ629,"SL"))</f>
        <v/>
      </c>
      <c r="AR629" s="34" t="str">
        <f aca="false">IF($B629="","",COUNTIF($F629:$AJ629,"CO"))</f>
        <v/>
      </c>
      <c r="AS629" s="34" t="str">
        <f aca="false">IF($B629="","",COUNTIF($F629:$AJ629,"HPL"))</f>
        <v/>
      </c>
      <c r="AT629" s="34" t="str">
        <f aca="false">IF($B629="","",COUNTIF($F629:$AJ629,"HCL"))</f>
        <v/>
      </c>
      <c r="AU629" s="34" t="str">
        <f aca="false">IF($B629="","",COUNTIF($F629:$AJ629,"WO"))</f>
        <v/>
      </c>
      <c r="AV629" s="34" t="str">
        <f aca="false">IF($B629="","",COUNTIF($F629:$AJ629,"PH"))</f>
        <v/>
      </c>
      <c r="AW629" s="34" t="str">
        <f aca="false">IF($B629="","",COUNTIF($F629:$AJ629,"TR"))</f>
        <v/>
      </c>
      <c r="AX629" s="35" t="str">
        <f aca="false">IF($B629="","",AO629+AS629/2)</f>
        <v/>
      </c>
      <c r="AY629" s="35" t="str">
        <f aca="false">IF($B629="","",AQ629)</f>
        <v/>
      </c>
      <c r="AZ629" s="35" t="str">
        <f aca="false">IF($B629="","",AP629+AT629/2)</f>
        <v/>
      </c>
      <c r="BA629" s="35" t="str">
        <f aca="false">IF($B629="","",AK629+AN629+AM629/2+AO629+AP629+AQ629+AR629+AS629+AT629+AU629+AV629+AW629)</f>
        <v/>
      </c>
      <c r="BB629" s="35" t="str">
        <f aca="false">IF($B629="","",MAX(0,AN629-Settings!$C$16)*Settings!$C$17)</f>
        <v/>
      </c>
      <c r="BC629" s="35" t="str">
        <f aca="false">IF($B629="","",BA629-BB629)</f>
        <v/>
      </c>
      <c r="BD629" s="35" t="str">
        <f aca="false">IF(OR($B629="",$A629=""),"",DAY(EOMONTH($A629,0))-COUNTA($F629:$AJ629))</f>
        <v/>
      </c>
    </row>
    <row r="630" customFormat="false" ht="15" hidden="false" customHeight="false" outlineLevel="0" collapsed="false">
      <c r="A630" s="32"/>
      <c r="B630" s="29"/>
      <c r="C630" s="10" t="str">
        <f aca="false">IF($B630="","",IFERROR(INDEX(M_name,MATCH($B630,M_emp,0)),"Code not found"))</f>
        <v/>
      </c>
      <c r="D630" s="10" t="str">
        <f aca="false">IF($B630="","",IFERROR(INDEX(M_dept,MATCH($B630,M_emp,0)),""))</f>
        <v/>
      </c>
      <c r="E630" s="10" t="str">
        <f aca="false">IF($B630="","",IFERROR(INDEX(M_loc,MATCH($B630,M_emp,0)),""))</f>
        <v/>
      </c>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4" t="str">
        <f aca="false">IF($B630="","",COUNTIF($F630:$AJ630,"P"))</f>
        <v/>
      </c>
      <c r="AL630" s="34" t="str">
        <f aca="false">IF($B630="","",COUNTIF($F630:$AJ630,"A"))</f>
        <v/>
      </c>
      <c r="AM630" s="34" t="str">
        <f aca="false">IF($B630="","",COUNTIF($F630:$AJ630,"HA"))</f>
        <v/>
      </c>
      <c r="AN630" s="34" t="str">
        <f aca="false">IF($B630="","",COUNTIF($F630:$AJ630,"L"))</f>
        <v/>
      </c>
      <c r="AO630" s="34" t="str">
        <f aca="false">IF($B630="","",COUNTIF($F630:$AJ630,"PL"))</f>
        <v/>
      </c>
      <c r="AP630" s="34" t="str">
        <f aca="false">IF($B630="","",COUNTIF($F630:$AJ630,"CL"))</f>
        <v/>
      </c>
      <c r="AQ630" s="34" t="str">
        <f aca="false">IF($B630="","",COUNTIF($F630:$AJ630,"SL"))</f>
        <v/>
      </c>
      <c r="AR630" s="34" t="str">
        <f aca="false">IF($B630="","",COUNTIF($F630:$AJ630,"CO"))</f>
        <v/>
      </c>
      <c r="AS630" s="34" t="str">
        <f aca="false">IF($B630="","",COUNTIF($F630:$AJ630,"HPL"))</f>
        <v/>
      </c>
      <c r="AT630" s="34" t="str">
        <f aca="false">IF($B630="","",COUNTIF($F630:$AJ630,"HCL"))</f>
        <v/>
      </c>
      <c r="AU630" s="34" t="str">
        <f aca="false">IF($B630="","",COUNTIF($F630:$AJ630,"WO"))</f>
        <v/>
      </c>
      <c r="AV630" s="34" t="str">
        <f aca="false">IF($B630="","",COUNTIF($F630:$AJ630,"PH"))</f>
        <v/>
      </c>
      <c r="AW630" s="34" t="str">
        <f aca="false">IF($B630="","",COUNTIF($F630:$AJ630,"TR"))</f>
        <v/>
      </c>
      <c r="AX630" s="35" t="str">
        <f aca="false">IF($B630="","",AO630+AS630/2)</f>
        <v/>
      </c>
      <c r="AY630" s="35" t="str">
        <f aca="false">IF($B630="","",AQ630)</f>
        <v/>
      </c>
      <c r="AZ630" s="35" t="str">
        <f aca="false">IF($B630="","",AP630+AT630/2)</f>
        <v/>
      </c>
      <c r="BA630" s="35" t="str">
        <f aca="false">IF($B630="","",AK630+AN630+AM630/2+AO630+AP630+AQ630+AR630+AS630+AT630+AU630+AV630+AW630)</f>
        <v/>
      </c>
      <c r="BB630" s="35" t="str">
        <f aca="false">IF($B630="","",MAX(0,AN630-Settings!$C$16)*Settings!$C$17)</f>
        <v/>
      </c>
      <c r="BC630" s="35" t="str">
        <f aca="false">IF($B630="","",BA630-BB630)</f>
        <v/>
      </c>
      <c r="BD630" s="35" t="str">
        <f aca="false">IF(OR($B630="",$A630=""),"",DAY(EOMONTH($A630,0))-COUNTA($F630:$AJ630))</f>
        <v/>
      </c>
    </row>
    <row r="631" customFormat="false" ht="15" hidden="false" customHeight="false" outlineLevel="0" collapsed="false">
      <c r="A631" s="32"/>
      <c r="B631" s="29"/>
      <c r="C631" s="10" t="str">
        <f aca="false">IF($B631="","",IFERROR(INDEX(M_name,MATCH($B631,M_emp,0)),"Code not found"))</f>
        <v/>
      </c>
      <c r="D631" s="10" t="str">
        <f aca="false">IF($B631="","",IFERROR(INDEX(M_dept,MATCH($B631,M_emp,0)),""))</f>
        <v/>
      </c>
      <c r="E631" s="10" t="str">
        <f aca="false">IF($B631="","",IFERROR(INDEX(M_loc,MATCH($B631,M_emp,0)),""))</f>
        <v/>
      </c>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4" t="str">
        <f aca="false">IF($B631="","",COUNTIF($F631:$AJ631,"P"))</f>
        <v/>
      </c>
      <c r="AL631" s="34" t="str">
        <f aca="false">IF($B631="","",COUNTIF($F631:$AJ631,"A"))</f>
        <v/>
      </c>
      <c r="AM631" s="34" t="str">
        <f aca="false">IF($B631="","",COUNTIF($F631:$AJ631,"HA"))</f>
        <v/>
      </c>
      <c r="AN631" s="34" t="str">
        <f aca="false">IF($B631="","",COUNTIF($F631:$AJ631,"L"))</f>
        <v/>
      </c>
      <c r="AO631" s="34" t="str">
        <f aca="false">IF($B631="","",COUNTIF($F631:$AJ631,"PL"))</f>
        <v/>
      </c>
      <c r="AP631" s="34" t="str">
        <f aca="false">IF($B631="","",COUNTIF($F631:$AJ631,"CL"))</f>
        <v/>
      </c>
      <c r="AQ631" s="34" t="str">
        <f aca="false">IF($B631="","",COUNTIF($F631:$AJ631,"SL"))</f>
        <v/>
      </c>
      <c r="AR631" s="34" t="str">
        <f aca="false">IF($B631="","",COUNTIF($F631:$AJ631,"CO"))</f>
        <v/>
      </c>
      <c r="AS631" s="34" t="str">
        <f aca="false">IF($B631="","",COUNTIF($F631:$AJ631,"HPL"))</f>
        <v/>
      </c>
      <c r="AT631" s="34" t="str">
        <f aca="false">IF($B631="","",COUNTIF($F631:$AJ631,"HCL"))</f>
        <v/>
      </c>
      <c r="AU631" s="34" t="str">
        <f aca="false">IF($B631="","",COUNTIF($F631:$AJ631,"WO"))</f>
        <v/>
      </c>
      <c r="AV631" s="34" t="str">
        <f aca="false">IF($B631="","",COUNTIF($F631:$AJ631,"PH"))</f>
        <v/>
      </c>
      <c r="AW631" s="34" t="str">
        <f aca="false">IF($B631="","",COUNTIF($F631:$AJ631,"TR"))</f>
        <v/>
      </c>
      <c r="AX631" s="35" t="str">
        <f aca="false">IF($B631="","",AO631+AS631/2)</f>
        <v/>
      </c>
      <c r="AY631" s="35" t="str">
        <f aca="false">IF($B631="","",AQ631)</f>
        <v/>
      </c>
      <c r="AZ631" s="35" t="str">
        <f aca="false">IF($B631="","",AP631+AT631/2)</f>
        <v/>
      </c>
      <c r="BA631" s="35" t="str">
        <f aca="false">IF($B631="","",AK631+AN631+AM631/2+AO631+AP631+AQ631+AR631+AS631+AT631+AU631+AV631+AW631)</f>
        <v/>
      </c>
      <c r="BB631" s="35" t="str">
        <f aca="false">IF($B631="","",MAX(0,AN631-Settings!$C$16)*Settings!$C$17)</f>
        <v/>
      </c>
      <c r="BC631" s="35" t="str">
        <f aca="false">IF($B631="","",BA631-BB631)</f>
        <v/>
      </c>
      <c r="BD631" s="35" t="str">
        <f aca="false">IF(OR($B631="",$A631=""),"",DAY(EOMONTH($A631,0))-COUNTA($F631:$AJ631))</f>
        <v/>
      </c>
    </row>
    <row r="632" customFormat="false" ht="15" hidden="false" customHeight="false" outlineLevel="0" collapsed="false">
      <c r="A632" s="32"/>
      <c r="B632" s="29"/>
      <c r="C632" s="10" t="str">
        <f aca="false">IF($B632="","",IFERROR(INDEX(M_name,MATCH($B632,M_emp,0)),"Code not found"))</f>
        <v/>
      </c>
      <c r="D632" s="10" t="str">
        <f aca="false">IF($B632="","",IFERROR(INDEX(M_dept,MATCH($B632,M_emp,0)),""))</f>
        <v/>
      </c>
      <c r="E632" s="10" t="str">
        <f aca="false">IF($B632="","",IFERROR(INDEX(M_loc,MATCH($B632,M_emp,0)),""))</f>
        <v/>
      </c>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4" t="str">
        <f aca="false">IF($B632="","",COUNTIF($F632:$AJ632,"P"))</f>
        <v/>
      </c>
      <c r="AL632" s="34" t="str">
        <f aca="false">IF($B632="","",COUNTIF($F632:$AJ632,"A"))</f>
        <v/>
      </c>
      <c r="AM632" s="34" t="str">
        <f aca="false">IF($B632="","",COUNTIF($F632:$AJ632,"HA"))</f>
        <v/>
      </c>
      <c r="AN632" s="34" t="str">
        <f aca="false">IF($B632="","",COUNTIF($F632:$AJ632,"L"))</f>
        <v/>
      </c>
      <c r="AO632" s="34" t="str">
        <f aca="false">IF($B632="","",COUNTIF($F632:$AJ632,"PL"))</f>
        <v/>
      </c>
      <c r="AP632" s="34" t="str">
        <f aca="false">IF($B632="","",COUNTIF($F632:$AJ632,"CL"))</f>
        <v/>
      </c>
      <c r="AQ632" s="34" t="str">
        <f aca="false">IF($B632="","",COUNTIF($F632:$AJ632,"SL"))</f>
        <v/>
      </c>
      <c r="AR632" s="34" t="str">
        <f aca="false">IF($B632="","",COUNTIF($F632:$AJ632,"CO"))</f>
        <v/>
      </c>
      <c r="AS632" s="34" t="str">
        <f aca="false">IF($B632="","",COUNTIF($F632:$AJ632,"HPL"))</f>
        <v/>
      </c>
      <c r="AT632" s="34" t="str">
        <f aca="false">IF($B632="","",COUNTIF($F632:$AJ632,"HCL"))</f>
        <v/>
      </c>
      <c r="AU632" s="34" t="str">
        <f aca="false">IF($B632="","",COUNTIF($F632:$AJ632,"WO"))</f>
        <v/>
      </c>
      <c r="AV632" s="34" t="str">
        <f aca="false">IF($B632="","",COUNTIF($F632:$AJ632,"PH"))</f>
        <v/>
      </c>
      <c r="AW632" s="34" t="str">
        <f aca="false">IF($B632="","",COUNTIF($F632:$AJ632,"TR"))</f>
        <v/>
      </c>
      <c r="AX632" s="35" t="str">
        <f aca="false">IF($B632="","",AO632+AS632/2)</f>
        <v/>
      </c>
      <c r="AY632" s="35" t="str">
        <f aca="false">IF($B632="","",AQ632)</f>
        <v/>
      </c>
      <c r="AZ632" s="35" t="str">
        <f aca="false">IF($B632="","",AP632+AT632/2)</f>
        <v/>
      </c>
      <c r="BA632" s="35" t="str">
        <f aca="false">IF($B632="","",AK632+AN632+AM632/2+AO632+AP632+AQ632+AR632+AS632+AT632+AU632+AV632+AW632)</f>
        <v/>
      </c>
      <c r="BB632" s="35" t="str">
        <f aca="false">IF($B632="","",MAX(0,AN632-Settings!$C$16)*Settings!$C$17)</f>
        <v/>
      </c>
      <c r="BC632" s="35" t="str">
        <f aca="false">IF($B632="","",BA632-BB632)</f>
        <v/>
      </c>
      <c r="BD632" s="35" t="str">
        <f aca="false">IF(OR($B632="",$A632=""),"",DAY(EOMONTH($A632,0))-COUNTA($F632:$AJ632))</f>
        <v/>
      </c>
    </row>
    <row r="633" customFormat="false" ht="15" hidden="false" customHeight="false" outlineLevel="0" collapsed="false">
      <c r="A633" s="32"/>
      <c r="B633" s="29"/>
      <c r="C633" s="10" t="str">
        <f aca="false">IF($B633="","",IFERROR(INDEX(M_name,MATCH($B633,M_emp,0)),"Code not found"))</f>
        <v/>
      </c>
      <c r="D633" s="10" t="str">
        <f aca="false">IF($B633="","",IFERROR(INDEX(M_dept,MATCH($B633,M_emp,0)),""))</f>
        <v/>
      </c>
      <c r="E633" s="10" t="str">
        <f aca="false">IF($B633="","",IFERROR(INDEX(M_loc,MATCH($B633,M_emp,0)),""))</f>
        <v/>
      </c>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4" t="str">
        <f aca="false">IF($B633="","",COUNTIF($F633:$AJ633,"P"))</f>
        <v/>
      </c>
      <c r="AL633" s="34" t="str">
        <f aca="false">IF($B633="","",COUNTIF($F633:$AJ633,"A"))</f>
        <v/>
      </c>
      <c r="AM633" s="34" t="str">
        <f aca="false">IF($B633="","",COUNTIF($F633:$AJ633,"HA"))</f>
        <v/>
      </c>
      <c r="AN633" s="34" t="str">
        <f aca="false">IF($B633="","",COUNTIF($F633:$AJ633,"L"))</f>
        <v/>
      </c>
      <c r="AO633" s="34" t="str">
        <f aca="false">IF($B633="","",COUNTIF($F633:$AJ633,"PL"))</f>
        <v/>
      </c>
      <c r="AP633" s="34" t="str">
        <f aca="false">IF($B633="","",COUNTIF($F633:$AJ633,"CL"))</f>
        <v/>
      </c>
      <c r="AQ633" s="34" t="str">
        <f aca="false">IF($B633="","",COUNTIF($F633:$AJ633,"SL"))</f>
        <v/>
      </c>
      <c r="AR633" s="34" t="str">
        <f aca="false">IF($B633="","",COUNTIF($F633:$AJ633,"CO"))</f>
        <v/>
      </c>
      <c r="AS633" s="34" t="str">
        <f aca="false">IF($B633="","",COUNTIF($F633:$AJ633,"HPL"))</f>
        <v/>
      </c>
      <c r="AT633" s="34" t="str">
        <f aca="false">IF($B633="","",COUNTIF($F633:$AJ633,"HCL"))</f>
        <v/>
      </c>
      <c r="AU633" s="34" t="str">
        <f aca="false">IF($B633="","",COUNTIF($F633:$AJ633,"WO"))</f>
        <v/>
      </c>
      <c r="AV633" s="34" t="str">
        <f aca="false">IF($B633="","",COUNTIF($F633:$AJ633,"PH"))</f>
        <v/>
      </c>
      <c r="AW633" s="34" t="str">
        <f aca="false">IF($B633="","",COUNTIF($F633:$AJ633,"TR"))</f>
        <v/>
      </c>
      <c r="AX633" s="35" t="str">
        <f aca="false">IF($B633="","",AO633+AS633/2)</f>
        <v/>
      </c>
      <c r="AY633" s="35" t="str">
        <f aca="false">IF($B633="","",AQ633)</f>
        <v/>
      </c>
      <c r="AZ633" s="35" t="str">
        <f aca="false">IF($B633="","",AP633+AT633/2)</f>
        <v/>
      </c>
      <c r="BA633" s="35" t="str">
        <f aca="false">IF($B633="","",AK633+AN633+AM633/2+AO633+AP633+AQ633+AR633+AS633+AT633+AU633+AV633+AW633)</f>
        <v/>
      </c>
      <c r="BB633" s="35" t="str">
        <f aca="false">IF($B633="","",MAX(0,AN633-Settings!$C$16)*Settings!$C$17)</f>
        <v/>
      </c>
      <c r="BC633" s="35" t="str">
        <f aca="false">IF($B633="","",BA633-BB633)</f>
        <v/>
      </c>
      <c r="BD633" s="35" t="str">
        <f aca="false">IF(OR($B633="",$A633=""),"",DAY(EOMONTH($A633,0))-COUNTA($F633:$AJ633))</f>
        <v/>
      </c>
    </row>
    <row r="634" customFormat="false" ht="15" hidden="false" customHeight="false" outlineLevel="0" collapsed="false">
      <c r="A634" s="32"/>
      <c r="B634" s="29"/>
      <c r="C634" s="10" t="str">
        <f aca="false">IF($B634="","",IFERROR(INDEX(M_name,MATCH($B634,M_emp,0)),"Code not found"))</f>
        <v/>
      </c>
      <c r="D634" s="10" t="str">
        <f aca="false">IF($B634="","",IFERROR(INDEX(M_dept,MATCH($B634,M_emp,0)),""))</f>
        <v/>
      </c>
      <c r="E634" s="10" t="str">
        <f aca="false">IF($B634="","",IFERROR(INDEX(M_loc,MATCH($B634,M_emp,0)),""))</f>
        <v/>
      </c>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4" t="str">
        <f aca="false">IF($B634="","",COUNTIF($F634:$AJ634,"P"))</f>
        <v/>
      </c>
      <c r="AL634" s="34" t="str">
        <f aca="false">IF($B634="","",COUNTIF($F634:$AJ634,"A"))</f>
        <v/>
      </c>
      <c r="AM634" s="34" t="str">
        <f aca="false">IF($B634="","",COUNTIF($F634:$AJ634,"HA"))</f>
        <v/>
      </c>
      <c r="AN634" s="34" t="str">
        <f aca="false">IF($B634="","",COUNTIF($F634:$AJ634,"L"))</f>
        <v/>
      </c>
      <c r="AO634" s="34" t="str">
        <f aca="false">IF($B634="","",COUNTIF($F634:$AJ634,"PL"))</f>
        <v/>
      </c>
      <c r="AP634" s="34" t="str">
        <f aca="false">IF($B634="","",COUNTIF($F634:$AJ634,"CL"))</f>
        <v/>
      </c>
      <c r="AQ634" s="34" t="str">
        <f aca="false">IF($B634="","",COUNTIF($F634:$AJ634,"SL"))</f>
        <v/>
      </c>
      <c r="AR634" s="34" t="str">
        <f aca="false">IF($B634="","",COUNTIF($F634:$AJ634,"CO"))</f>
        <v/>
      </c>
      <c r="AS634" s="34" t="str">
        <f aca="false">IF($B634="","",COUNTIF($F634:$AJ634,"HPL"))</f>
        <v/>
      </c>
      <c r="AT634" s="34" t="str">
        <f aca="false">IF($B634="","",COUNTIF($F634:$AJ634,"HCL"))</f>
        <v/>
      </c>
      <c r="AU634" s="34" t="str">
        <f aca="false">IF($B634="","",COUNTIF($F634:$AJ634,"WO"))</f>
        <v/>
      </c>
      <c r="AV634" s="34" t="str">
        <f aca="false">IF($B634="","",COUNTIF($F634:$AJ634,"PH"))</f>
        <v/>
      </c>
      <c r="AW634" s="34" t="str">
        <f aca="false">IF($B634="","",COUNTIF($F634:$AJ634,"TR"))</f>
        <v/>
      </c>
      <c r="AX634" s="35" t="str">
        <f aca="false">IF($B634="","",AO634+AS634/2)</f>
        <v/>
      </c>
      <c r="AY634" s="35" t="str">
        <f aca="false">IF($B634="","",AQ634)</f>
        <v/>
      </c>
      <c r="AZ634" s="35" t="str">
        <f aca="false">IF($B634="","",AP634+AT634/2)</f>
        <v/>
      </c>
      <c r="BA634" s="35" t="str">
        <f aca="false">IF($B634="","",AK634+AN634+AM634/2+AO634+AP634+AQ634+AR634+AS634+AT634+AU634+AV634+AW634)</f>
        <v/>
      </c>
      <c r="BB634" s="35" t="str">
        <f aca="false">IF($B634="","",MAX(0,AN634-Settings!$C$16)*Settings!$C$17)</f>
        <v/>
      </c>
      <c r="BC634" s="35" t="str">
        <f aca="false">IF($B634="","",BA634-BB634)</f>
        <v/>
      </c>
      <c r="BD634" s="35" t="str">
        <f aca="false">IF(OR($B634="",$A634=""),"",DAY(EOMONTH($A634,0))-COUNTA($F634:$AJ634))</f>
        <v/>
      </c>
    </row>
    <row r="635" customFormat="false" ht="15" hidden="false" customHeight="false" outlineLevel="0" collapsed="false">
      <c r="A635" s="32"/>
      <c r="B635" s="29"/>
      <c r="C635" s="10" t="str">
        <f aca="false">IF($B635="","",IFERROR(INDEX(M_name,MATCH($B635,M_emp,0)),"Code not found"))</f>
        <v/>
      </c>
      <c r="D635" s="10" t="str">
        <f aca="false">IF($B635="","",IFERROR(INDEX(M_dept,MATCH($B635,M_emp,0)),""))</f>
        <v/>
      </c>
      <c r="E635" s="10" t="str">
        <f aca="false">IF($B635="","",IFERROR(INDEX(M_loc,MATCH($B635,M_emp,0)),""))</f>
        <v/>
      </c>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4" t="str">
        <f aca="false">IF($B635="","",COUNTIF($F635:$AJ635,"P"))</f>
        <v/>
      </c>
      <c r="AL635" s="34" t="str">
        <f aca="false">IF($B635="","",COUNTIF($F635:$AJ635,"A"))</f>
        <v/>
      </c>
      <c r="AM635" s="34" t="str">
        <f aca="false">IF($B635="","",COUNTIF($F635:$AJ635,"HA"))</f>
        <v/>
      </c>
      <c r="AN635" s="34" t="str">
        <f aca="false">IF($B635="","",COUNTIF($F635:$AJ635,"L"))</f>
        <v/>
      </c>
      <c r="AO635" s="34" t="str">
        <f aca="false">IF($B635="","",COUNTIF($F635:$AJ635,"PL"))</f>
        <v/>
      </c>
      <c r="AP635" s="34" t="str">
        <f aca="false">IF($B635="","",COUNTIF($F635:$AJ635,"CL"))</f>
        <v/>
      </c>
      <c r="AQ635" s="34" t="str">
        <f aca="false">IF($B635="","",COUNTIF($F635:$AJ635,"SL"))</f>
        <v/>
      </c>
      <c r="AR635" s="34" t="str">
        <f aca="false">IF($B635="","",COUNTIF($F635:$AJ635,"CO"))</f>
        <v/>
      </c>
      <c r="AS635" s="34" t="str">
        <f aca="false">IF($B635="","",COUNTIF($F635:$AJ635,"HPL"))</f>
        <v/>
      </c>
      <c r="AT635" s="34" t="str">
        <f aca="false">IF($B635="","",COUNTIF($F635:$AJ635,"HCL"))</f>
        <v/>
      </c>
      <c r="AU635" s="34" t="str">
        <f aca="false">IF($B635="","",COUNTIF($F635:$AJ635,"WO"))</f>
        <v/>
      </c>
      <c r="AV635" s="34" t="str">
        <f aca="false">IF($B635="","",COUNTIF($F635:$AJ635,"PH"))</f>
        <v/>
      </c>
      <c r="AW635" s="34" t="str">
        <f aca="false">IF($B635="","",COUNTIF($F635:$AJ635,"TR"))</f>
        <v/>
      </c>
      <c r="AX635" s="35" t="str">
        <f aca="false">IF($B635="","",AO635+AS635/2)</f>
        <v/>
      </c>
      <c r="AY635" s="35" t="str">
        <f aca="false">IF($B635="","",AQ635)</f>
        <v/>
      </c>
      <c r="AZ635" s="35" t="str">
        <f aca="false">IF($B635="","",AP635+AT635/2)</f>
        <v/>
      </c>
      <c r="BA635" s="35" t="str">
        <f aca="false">IF($B635="","",AK635+AN635+AM635/2+AO635+AP635+AQ635+AR635+AS635+AT635+AU635+AV635+AW635)</f>
        <v/>
      </c>
      <c r="BB635" s="35" t="str">
        <f aca="false">IF($B635="","",MAX(0,AN635-Settings!$C$16)*Settings!$C$17)</f>
        <v/>
      </c>
      <c r="BC635" s="35" t="str">
        <f aca="false">IF($B635="","",BA635-BB635)</f>
        <v/>
      </c>
      <c r="BD635" s="35" t="str">
        <f aca="false">IF(OR($B635="",$A635=""),"",DAY(EOMONTH($A635,0))-COUNTA($F635:$AJ635))</f>
        <v/>
      </c>
    </row>
    <row r="636" customFormat="false" ht="15" hidden="false" customHeight="false" outlineLevel="0" collapsed="false">
      <c r="A636" s="32"/>
      <c r="B636" s="29"/>
      <c r="C636" s="10" t="str">
        <f aca="false">IF($B636="","",IFERROR(INDEX(M_name,MATCH($B636,M_emp,0)),"Code not found"))</f>
        <v/>
      </c>
      <c r="D636" s="10" t="str">
        <f aca="false">IF($B636="","",IFERROR(INDEX(M_dept,MATCH($B636,M_emp,0)),""))</f>
        <v/>
      </c>
      <c r="E636" s="10" t="str">
        <f aca="false">IF($B636="","",IFERROR(INDEX(M_loc,MATCH($B636,M_emp,0)),""))</f>
        <v/>
      </c>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4" t="str">
        <f aca="false">IF($B636="","",COUNTIF($F636:$AJ636,"P"))</f>
        <v/>
      </c>
      <c r="AL636" s="34" t="str">
        <f aca="false">IF($B636="","",COUNTIF($F636:$AJ636,"A"))</f>
        <v/>
      </c>
      <c r="AM636" s="34" t="str">
        <f aca="false">IF($B636="","",COUNTIF($F636:$AJ636,"HA"))</f>
        <v/>
      </c>
      <c r="AN636" s="34" t="str">
        <f aca="false">IF($B636="","",COUNTIF($F636:$AJ636,"L"))</f>
        <v/>
      </c>
      <c r="AO636" s="34" t="str">
        <f aca="false">IF($B636="","",COUNTIF($F636:$AJ636,"PL"))</f>
        <v/>
      </c>
      <c r="AP636" s="34" t="str">
        <f aca="false">IF($B636="","",COUNTIF($F636:$AJ636,"CL"))</f>
        <v/>
      </c>
      <c r="AQ636" s="34" t="str">
        <f aca="false">IF($B636="","",COUNTIF($F636:$AJ636,"SL"))</f>
        <v/>
      </c>
      <c r="AR636" s="34" t="str">
        <f aca="false">IF($B636="","",COUNTIF($F636:$AJ636,"CO"))</f>
        <v/>
      </c>
      <c r="AS636" s="34" t="str">
        <f aca="false">IF($B636="","",COUNTIF($F636:$AJ636,"HPL"))</f>
        <v/>
      </c>
      <c r="AT636" s="34" t="str">
        <f aca="false">IF($B636="","",COUNTIF($F636:$AJ636,"HCL"))</f>
        <v/>
      </c>
      <c r="AU636" s="34" t="str">
        <f aca="false">IF($B636="","",COUNTIF($F636:$AJ636,"WO"))</f>
        <v/>
      </c>
      <c r="AV636" s="34" t="str">
        <f aca="false">IF($B636="","",COUNTIF($F636:$AJ636,"PH"))</f>
        <v/>
      </c>
      <c r="AW636" s="34" t="str">
        <f aca="false">IF($B636="","",COUNTIF($F636:$AJ636,"TR"))</f>
        <v/>
      </c>
      <c r="AX636" s="35" t="str">
        <f aca="false">IF($B636="","",AO636+AS636/2)</f>
        <v/>
      </c>
      <c r="AY636" s="35" t="str">
        <f aca="false">IF($B636="","",AQ636)</f>
        <v/>
      </c>
      <c r="AZ636" s="35" t="str">
        <f aca="false">IF($B636="","",AP636+AT636/2)</f>
        <v/>
      </c>
      <c r="BA636" s="35" t="str">
        <f aca="false">IF($B636="","",AK636+AN636+AM636/2+AO636+AP636+AQ636+AR636+AS636+AT636+AU636+AV636+AW636)</f>
        <v/>
      </c>
      <c r="BB636" s="35" t="str">
        <f aca="false">IF($B636="","",MAX(0,AN636-Settings!$C$16)*Settings!$C$17)</f>
        <v/>
      </c>
      <c r="BC636" s="35" t="str">
        <f aca="false">IF($B636="","",BA636-BB636)</f>
        <v/>
      </c>
      <c r="BD636" s="35" t="str">
        <f aca="false">IF(OR($B636="",$A636=""),"",DAY(EOMONTH($A636,0))-COUNTA($F636:$AJ636))</f>
        <v/>
      </c>
    </row>
    <row r="637" customFormat="false" ht="15" hidden="false" customHeight="false" outlineLevel="0" collapsed="false">
      <c r="A637" s="32"/>
      <c r="B637" s="29"/>
      <c r="C637" s="10" t="str">
        <f aca="false">IF($B637="","",IFERROR(INDEX(M_name,MATCH($B637,M_emp,0)),"Code not found"))</f>
        <v/>
      </c>
      <c r="D637" s="10" t="str">
        <f aca="false">IF($B637="","",IFERROR(INDEX(M_dept,MATCH($B637,M_emp,0)),""))</f>
        <v/>
      </c>
      <c r="E637" s="10" t="str">
        <f aca="false">IF($B637="","",IFERROR(INDEX(M_loc,MATCH($B637,M_emp,0)),""))</f>
        <v/>
      </c>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4" t="str">
        <f aca="false">IF($B637="","",COUNTIF($F637:$AJ637,"P"))</f>
        <v/>
      </c>
      <c r="AL637" s="34" t="str">
        <f aca="false">IF($B637="","",COUNTIF($F637:$AJ637,"A"))</f>
        <v/>
      </c>
      <c r="AM637" s="34" t="str">
        <f aca="false">IF($B637="","",COUNTIF($F637:$AJ637,"HA"))</f>
        <v/>
      </c>
      <c r="AN637" s="34" t="str">
        <f aca="false">IF($B637="","",COUNTIF($F637:$AJ637,"L"))</f>
        <v/>
      </c>
      <c r="AO637" s="34" t="str">
        <f aca="false">IF($B637="","",COUNTIF($F637:$AJ637,"PL"))</f>
        <v/>
      </c>
      <c r="AP637" s="34" t="str">
        <f aca="false">IF($B637="","",COUNTIF($F637:$AJ637,"CL"))</f>
        <v/>
      </c>
      <c r="AQ637" s="34" t="str">
        <f aca="false">IF($B637="","",COUNTIF($F637:$AJ637,"SL"))</f>
        <v/>
      </c>
      <c r="AR637" s="34" t="str">
        <f aca="false">IF($B637="","",COUNTIF($F637:$AJ637,"CO"))</f>
        <v/>
      </c>
      <c r="AS637" s="34" t="str">
        <f aca="false">IF($B637="","",COUNTIF($F637:$AJ637,"HPL"))</f>
        <v/>
      </c>
      <c r="AT637" s="34" t="str">
        <f aca="false">IF($B637="","",COUNTIF($F637:$AJ637,"HCL"))</f>
        <v/>
      </c>
      <c r="AU637" s="34" t="str">
        <f aca="false">IF($B637="","",COUNTIF($F637:$AJ637,"WO"))</f>
        <v/>
      </c>
      <c r="AV637" s="34" t="str">
        <f aca="false">IF($B637="","",COUNTIF($F637:$AJ637,"PH"))</f>
        <v/>
      </c>
      <c r="AW637" s="34" t="str">
        <f aca="false">IF($B637="","",COUNTIF($F637:$AJ637,"TR"))</f>
        <v/>
      </c>
      <c r="AX637" s="35" t="str">
        <f aca="false">IF($B637="","",AO637+AS637/2)</f>
        <v/>
      </c>
      <c r="AY637" s="35" t="str">
        <f aca="false">IF($B637="","",AQ637)</f>
        <v/>
      </c>
      <c r="AZ637" s="35" t="str">
        <f aca="false">IF($B637="","",AP637+AT637/2)</f>
        <v/>
      </c>
      <c r="BA637" s="35" t="str">
        <f aca="false">IF($B637="","",AK637+AN637+AM637/2+AO637+AP637+AQ637+AR637+AS637+AT637+AU637+AV637+AW637)</f>
        <v/>
      </c>
      <c r="BB637" s="35" t="str">
        <f aca="false">IF($B637="","",MAX(0,AN637-Settings!$C$16)*Settings!$C$17)</f>
        <v/>
      </c>
      <c r="BC637" s="35" t="str">
        <f aca="false">IF($B637="","",BA637-BB637)</f>
        <v/>
      </c>
      <c r="BD637" s="35" t="str">
        <f aca="false">IF(OR($B637="",$A637=""),"",DAY(EOMONTH($A637,0))-COUNTA($F637:$AJ637))</f>
        <v/>
      </c>
    </row>
    <row r="638" customFormat="false" ht="15" hidden="false" customHeight="false" outlineLevel="0" collapsed="false">
      <c r="A638" s="32"/>
      <c r="B638" s="29"/>
      <c r="C638" s="10" t="str">
        <f aca="false">IF($B638="","",IFERROR(INDEX(M_name,MATCH($B638,M_emp,0)),"Code not found"))</f>
        <v/>
      </c>
      <c r="D638" s="10" t="str">
        <f aca="false">IF($B638="","",IFERROR(INDEX(M_dept,MATCH($B638,M_emp,0)),""))</f>
        <v/>
      </c>
      <c r="E638" s="10" t="str">
        <f aca="false">IF($B638="","",IFERROR(INDEX(M_loc,MATCH($B638,M_emp,0)),""))</f>
        <v/>
      </c>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4" t="str">
        <f aca="false">IF($B638="","",COUNTIF($F638:$AJ638,"P"))</f>
        <v/>
      </c>
      <c r="AL638" s="34" t="str">
        <f aca="false">IF($B638="","",COUNTIF($F638:$AJ638,"A"))</f>
        <v/>
      </c>
      <c r="AM638" s="34" t="str">
        <f aca="false">IF($B638="","",COUNTIF($F638:$AJ638,"HA"))</f>
        <v/>
      </c>
      <c r="AN638" s="34" t="str">
        <f aca="false">IF($B638="","",COUNTIF($F638:$AJ638,"L"))</f>
        <v/>
      </c>
      <c r="AO638" s="34" t="str">
        <f aca="false">IF($B638="","",COUNTIF($F638:$AJ638,"PL"))</f>
        <v/>
      </c>
      <c r="AP638" s="34" t="str">
        <f aca="false">IF($B638="","",COUNTIF($F638:$AJ638,"CL"))</f>
        <v/>
      </c>
      <c r="AQ638" s="34" t="str">
        <f aca="false">IF($B638="","",COUNTIF($F638:$AJ638,"SL"))</f>
        <v/>
      </c>
      <c r="AR638" s="34" t="str">
        <f aca="false">IF($B638="","",COUNTIF($F638:$AJ638,"CO"))</f>
        <v/>
      </c>
      <c r="AS638" s="34" t="str">
        <f aca="false">IF($B638="","",COUNTIF($F638:$AJ638,"HPL"))</f>
        <v/>
      </c>
      <c r="AT638" s="34" t="str">
        <f aca="false">IF($B638="","",COUNTIF($F638:$AJ638,"HCL"))</f>
        <v/>
      </c>
      <c r="AU638" s="34" t="str">
        <f aca="false">IF($B638="","",COUNTIF($F638:$AJ638,"WO"))</f>
        <v/>
      </c>
      <c r="AV638" s="34" t="str">
        <f aca="false">IF($B638="","",COUNTIF($F638:$AJ638,"PH"))</f>
        <v/>
      </c>
      <c r="AW638" s="34" t="str">
        <f aca="false">IF($B638="","",COUNTIF($F638:$AJ638,"TR"))</f>
        <v/>
      </c>
      <c r="AX638" s="35" t="str">
        <f aca="false">IF($B638="","",AO638+AS638/2)</f>
        <v/>
      </c>
      <c r="AY638" s="35" t="str">
        <f aca="false">IF($B638="","",AQ638)</f>
        <v/>
      </c>
      <c r="AZ638" s="35" t="str">
        <f aca="false">IF($B638="","",AP638+AT638/2)</f>
        <v/>
      </c>
      <c r="BA638" s="35" t="str">
        <f aca="false">IF($B638="","",AK638+AN638+AM638/2+AO638+AP638+AQ638+AR638+AS638+AT638+AU638+AV638+AW638)</f>
        <v/>
      </c>
      <c r="BB638" s="35" t="str">
        <f aca="false">IF($B638="","",MAX(0,AN638-Settings!$C$16)*Settings!$C$17)</f>
        <v/>
      </c>
      <c r="BC638" s="35" t="str">
        <f aca="false">IF($B638="","",BA638-BB638)</f>
        <v/>
      </c>
      <c r="BD638" s="35" t="str">
        <f aca="false">IF(OR($B638="",$A638=""),"",DAY(EOMONTH($A638,0))-COUNTA($F638:$AJ638))</f>
        <v/>
      </c>
    </row>
    <row r="639" customFormat="false" ht="15" hidden="false" customHeight="false" outlineLevel="0" collapsed="false">
      <c r="A639" s="32"/>
      <c r="B639" s="29"/>
      <c r="C639" s="10" t="str">
        <f aca="false">IF($B639="","",IFERROR(INDEX(M_name,MATCH($B639,M_emp,0)),"Code not found"))</f>
        <v/>
      </c>
      <c r="D639" s="10" t="str">
        <f aca="false">IF($B639="","",IFERROR(INDEX(M_dept,MATCH($B639,M_emp,0)),""))</f>
        <v/>
      </c>
      <c r="E639" s="10" t="str">
        <f aca="false">IF($B639="","",IFERROR(INDEX(M_loc,MATCH($B639,M_emp,0)),""))</f>
        <v/>
      </c>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4" t="str">
        <f aca="false">IF($B639="","",COUNTIF($F639:$AJ639,"P"))</f>
        <v/>
      </c>
      <c r="AL639" s="34" t="str">
        <f aca="false">IF($B639="","",COUNTIF($F639:$AJ639,"A"))</f>
        <v/>
      </c>
      <c r="AM639" s="34" t="str">
        <f aca="false">IF($B639="","",COUNTIF($F639:$AJ639,"HA"))</f>
        <v/>
      </c>
      <c r="AN639" s="34" t="str">
        <f aca="false">IF($B639="","",COUNTIF($F639:$AJ639,"L"))</f>
        <v/>
      </c>
      <c r="AO639" s="34" t="str">
        <f aca="false">IF($B639="","",COUNTIF($F639:$AJ639,"PL"))</f>
        <v/>
      </c>
      <c r="AP639" s="34" t="str">
        <f aca="false">IF($B639="","",COUNTIF($F639:$AJ639,"CL"))</f>
        <v/>
      </c>
      <c r="AQ639" s="34" t="str">
        <f aca="false">IF($B639="","",COUNTIF($F639:$AJ639,"SL"))</f>
        <v/>
      </c>
      <c r="AR639" s="34" t="str">
        <f aca="false">IF($B639="","",COUNTIF($F639:$AJ639,"CO"))</f>
        <v/>
      </c>
      <c r="AS639" s="34" t="str">
        <f aca="false">IF($B639="","",COUNTIF($F639:$AJ639,"HPL"))</f>
        <v/>
      </c>
      <c r="AT639" s="34" t="str">
        <f aca="false">IF($B639="","",COUNTIF($F639:$AJ639,"HCL"))</f>
        <v/>
      </c>
      <c r="AU639" s="34" t="str">
        <f aca="false">IF($B639="","",COUNTIF($F639:$AJ639,"WO"))</f>
        <v/>
      </c>
      <c r="AV639" s="34" t="str">
        <f aca="false">IF($B639="","",COUNTIF($F639:$AJ639,"PH"))</f>
        <v/>
      </c>
      <c r="AW639" s="34" t="str">
        <f aca="false">IF($B639="","",COUNTIF($F639:$AJ639,"TR"))</f>
        <v/>
      </c>
      <c r="AX639" s="35" t="str">
        <f aca="false">IF($B639="","",AO639+AS639/2)</f>
        <v/>
      </c>
      <c r="AY639" s="35" t="str">
        <f aca="false">IF($B639="","",AQ639)</f>
        <v/>
      </c>
      <c r="AZ639" s="35" t="str">
        <f aca="false">IF($B639="","",AP639+AT639/2)</f>
        <v/>
      </c>
      <c r="BA639" s="35" t="str">
        <f aca="false">IF($B639="","",AK639+AN639+AM639/2+AO639+AP639+AQ639+AR639+AS639+AT639+AU639+AV639+AW639)</f>
        <v/>
      </c>
      <c r="BB639" s="35" t="str">
        <f aca="false">IF($B639="","",MAX(0,AN639-Settings!$C$16)*Settings!$C$17)</f>
        <v/>
      </c>
      <c r="BC639" s="35" t="str">
        <f aca="false">IF($B639="","",BA639-BB639)</f>
        <v/>
      </c>
      <c r="BD639" s="35" t="str">
        <f aca="false">IF(OR($B639="",$A639=""),"",DAY(EOMONTH($A639,0))-COUNTA($F639:$AJ639))</f>
        <v/>
      </c>
    </row>
    <row r="640" customFormat="false" ht="15" hidden="false" customHeight="false" outlineLevel="0" collapsed="false">
      <c r="A640" s="32"/>
      <c r="B640" s="29"/>
      <c r="C640" s="10" t="str">
        <f aca="false">IF($B640="","",IFERROR(INDEX(M_name,MATCH($B640,M_emp,0)),"Code not found"))</f>
        <v/>
      </c>
      <c r="D640" s="10" t="str">
        <f aca="false">IF($B640="","",IFERROR(INDEX(M_dept,MATCH($B640,M_emp,0)),""))</f>
        <v/>
      </c>
      <c r="E640" s="10" t="str">
        <f aca="false">IF($B640="","",IFERROR(INDEX(M_loc,MATCH($B640,M_emp,0)),""))</f>
        <v/>
      </c>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4" t="str">
        <f aca="false">IF($B640="","",COUNTIF($F640:$AJ640,"P"))</f>
        <v/>
      </c>
      <c r="AL640" s="34" t="str">
        <f aca="false">IF($B640="","",COUNTIF($F640:$AJ640,"A"))</f>
        <v/>
      </c>
      <c r="AM640" s="34" t="str">
        <f aca="false">IF($B640="","",COUNTIF($F640:$AJ640,"HA"))</f>
        <v/>
      </c>
      <c r="AN640" s="34" t="str">
        <f aca="false">IF($B640="","",COUNTIF($F640:$AJ640,"L"))</f>
        <v/>
      </c>
      <c r="AO640" s="34" t="str">
        <f aca="false">IF($B640="","",COUNTIF($F640:$AJ640,"PL"))</f>
        <v/>
      </c>
      <c r="AP640" s="34" t="str">
        <f aca="false">IF($B640="","",COUNTIF($F640:$AJ640,"CL"))</f>
        <v/>
      </c>
      <c r="AQ640" s="34" t="str">
        <f aca="false">IF($B640="","",COUNTIF($F640:$AJ640,"SL"))</f>
        <v/>
      </c>
      <c r="AR640" s="34" t="str">
        <f aca="false">IF($B640="","",COUNTIF($F640:$AJ640,"CO"))</f>
        <v/>
      </c>
      <c r="AS640" s="34" t="str">
        <f aca="false">IF($B640="","",COUNTIF($F640:$AJ640,"HPL"))</f>
        <v/>
      </c>
      <c r="AT640" s="34" t="str">
        <f aca="false">IF($B640="","",COUNTIF($F640:$AJ640,"HCL"))</f>
        <v/>
      </c>
      <c r="AU640" s="34" t="str">
        <f aca="false">IF($B640="","",COUNTIF($F640:$AJ640,"WO"))</f>
        <v/>
      </c>
      <c r="AV640" s="34" t="str">
        <f aca="false">IF($B640="","",COUNTIF($F640:$AJ640,"PH"))</f>
        <v/>
      </c>
      <c r="AW640" s="34" t="str">
        <f aca="false">IF($B640="","",COUNTIF($F640:$AJ640,"TR"))</f>
        <v/>
      </c>
      <c r="AX640" s="35" t="str">
        <f aca="false">IF($B640="","",AO640+AS640/2)</f>
        <v/>
      </c>
      <c r="AY640" s="35" t="str">
        <f aca="false">IF($B640="","",AQ640)</f>
        <v/>
      </c>
      <c r="AZ640" s="35" t="str">
        <f aca="false">IF($B640="","",AP640+AT640/2)</f>
        <v/>
      </c>
      <c r="BA640" s="35" t="str">
        <f aca="false">IF($B640="","",AK640+AN640+AM640/2+AO640+AP640+AQ640+AR640+AS640+AT640+AU640+AV640+AW640)</f>
        <v/>
      </c>
      <c r="BB640" s="35" t="str">
        <f aca="false">IF($B640="","",MAX(0,AN640-Settings!$C$16)*Settings!$C$17)</f>
        <v/>
      </c>
      <c r="BC640" s="35" t="str">
        <f aca="false">IF($B640="","",BA640-BB640)</f>
        <v/>
      </c>
      <c r="BD640" s="35" t="str">
        <f aca="false">IF(OR($B640="",$A640=""),"",DAY(EOMONTH($A640,0))-COUNTA($F640:$AJ640))</f>
        <v/>
      </c>
    </row>
    <row r="641" customFormat="false" ht="15" hidden="false" customHeight="false" outlineLevel="0" collapsed="false">
      <c r="A641" s="32"/>
      <c r="B641" s="29"/>
      <c r="C641" s="10" t="str">
        <f aca="false">IF($B641="","",IFERROR(INDEX(M_name,MATCH($B641,M_emp,0)),"Code not found"))</f>
        <v/>
      </c>
      <c r="D641" s="10" t="str">
        <f aca="false">IF($B641="","",IFERROR(INDEX(M_dept,MATCH($B641,M_emp,0)),""))</f>
        <v/>
      </c>
      <c r="E641" s="10" t="str">
        <f aca="false">IF($B641="","",IFERROR(INDEX(M_loc,MATCH($B641,M_emp,0)),""))</f>
        <v/>
      </c>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4" t="str">
        <f aca="false">IF($B641="","",COUNTIF($F641:$AJ641,"P"))</f>
        <v/>
      </c>
      <c r="AL641" s="34" t="str">
        <f aca="false">IF($B641="","",COUNTIF($F641:$AJ641,"A"))</f>
        <v/>
      </c>
      <c r="AM641" s="34" t="str">
        <f aca="false">IF($B641="","",COUNTIF($F641:$AJ641,"HA"))</f>
        <v/>
      </c>
      <c r="AN641" s="34" t="str">
        <f aca="false">IF($B641="","",COUNTIF($F641:$AJ641,"L"))</f>
        <v/>
      </c>
      <c r="AO641" s="34" t="str">
        <f aca="false">IF($B641="","",COUNTIF($F641:$AJ641,"PL"))</f>
        <v/>
      </c>
      <c r="AP641" s="34" t="str">
        <f aca="false">IF($B641="","",COUNTIF($F641:$AJ641,"CL"))</f>
        <v/>
      </c>
      <c r="AQ641" s="34" t="str">
        <f aca="false">IF($B641="","",COUNTIF($F641:$AJ641,"SL"))</f>
        <v/>
      </c>
      <c r="AR641" s="34" t="str">
        <f aca="false">IF($B641="","",COUNTIF($F641:$AJ641,"CO"))</f>
        <v/>
      </c>
      <c r="AS641" s="34" t="str">
        <f aca="false">IF($B641="","",COUNTIF($F641:$AJ641,"HPL"))</f>
        <v/>
      </c>
      <c r="AT641" s="34" t="str">
        <f aca="false">IF($B641="","",COUNTIF($F641:$AJ641,"HCL"))</f>
        <v/>
      </c>
      <c r="AU641" s="34" t="str">
        <f aca="false">IF($B641="","",COUNTIF($F641:$AJ641,"WO"))</f>
        <v/>
      </c>
      <c r="AV641" s="34" t="str">
        <f aca="false">IF($B641="","",COUNTIF($F641:$AJ641,"PH"))</f>
        <v/>
      </c>
      <c r="AW641" s="34" t="str">
        <f aca="false">IF($B641="","",COUNTIF($F641:$AJ641,"TR"))</f>
        <v/>
      </c>
      <c r="AX641" s="35" t="str">
        <f aca="false">IF($B641="","",AO641+AS641/2)</f>
        <v/>
      </c>
      <c r="AY641" s="35" t="str">
        <f aca="false">IF($B641="","",AQ641)</f>
        <v/>
      </c>
      <c r="AZ641" s="35" t="str">
        <f aca="false">IF($B641="","",AP641+AT641/2)</f>
        <v/>
      </c>
      <c r="BA641" s="35" t="str">
        <f aca="false">IF($B641="","",AK641+AN641+AM641/2+AO641+AP641+AQ641+AR641+AS641+AT641+AU641+AV641+AW641)</f>
        <v/>
      </c>
      <c r="BB641" s="35" t="str">
        <f aca="false">IF($B641="","",MAX(0,AN641-Settings!$C$16)*Settings!$C$17)</f>
        <v/>
      </c>
      <c r="BC641" s="35" t="str">
        <f aca="false">IF($B641="","",BA641-BB641)</f>
        <v/>
      </c>
      <c r="BD641" s="35" t="str">
        <f aca="false">IF(OR($B641="",$A641=""),"",DAY(EOMONTH($A641,0))-COUNTA($F641:$AJ641))</f>
        <v/>
      </c>
    </row>
    <row r="642" customFormat="false" ht="15" hidden="false" customHeight="false" outlineLevel="0" collapsed="false">
      <c r="A642" s="32"/>
      <c r="B642" s="29"/>
      <c r="C642" s="10" t="str">
        <f aca="false">IF($B642="","",IFERROR(INDEX(M_name,MATCH($B642,M_emp,0)),"Code not found"))</f>
        <v/>
      </c>
      <c r="D642" s="10" t="str">
        <f aca="false">IF($B642="","",IFERROR(INDEX(M_dept,MATCH($B642,M_emp,0)),""))</f>
        <v/>
      </c>
      <c r="E642" s="10" t="str">
        <f aca="false">IF($B642="","",IFERROR(INDEX(M_loc,MATCH($B642,M_emp,0)),""))</f>
        <v/>
      </c>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4" t="str">
        <f aca="false">IF($B642="","",COUNTIF($F642:$AJ642,"P"))</f>
        <v/>
      </c>
      <c r="AL642" s="34" t="str">
        <f aca="false">IF($B642="","",COUNTIF($F642:$AJ642,"A"))</f>
        <v/>
      </c>
      <c r="AM642" s="34" t="str">
        <f aca="false">IF($B642="","",COUNTIF($F642:$AJ642,"HA"))</f>
        <v/>
      </c>
      <c r="AN642" s="34" t="str">
        <f aca="false">IF($B642="","",COUNTIF($F642:$AJ642,"L"))</f>
        <v/>
      </c>
      <c r="AO642" s="34" t="str">
        <f aca="false">IF($B642="","",COUNTIF($F642:$AJ642,"PL"))</f>
        <v/>
      </c>
      <c r="AP642" s="34" t="str">
        <f aca="false">IF($B642="","",COUNTIF($F642:$AJ642,"CL"))</f>
        <v/>
      </c>
      <c r="AQ642" s="34" t="str">
        <f aca="false">IF($B642="","",COUNTIF($F642:$AJ642,"SL"))</f>
        <v/>
      </c>
      <c r="AR642" s="34" t="str">
        <f aca="false">IF($B642="","",COUNTIF($F642:$AJ642,"CO"))</f>
        <v/>
      </c>
      <c r="AS642" s="34" t="str">
        <f aca="false">IF($B642="","",COUNTIF($F642:$AJ642,"HPL"))</f>
        <v/>
      </c>
      <c r="AT642" s="34" t="str">
        <f aca="false">IF($B642="","",COUNTIF($F642:$AJ642,"HCL"))</f>
        <v/>
      </c>
      <c r="AU642" s="34" t="str">
        <f aca="false">IF($B642="","",COUNTIF($F642:$AJ642,"WO"))</f>
        <v/>
      </c>
      <c r="AV642" s="34" t="str">
        <f aca="false">IF($B642="","",COUNTIF($F642:$AJ642,"PH"))</f>
        <v/>
      </c>
      <c r="AW642" s="34" t="str">
        <f aca="false">IF($B642="","",COUNTIF($F642:$AJ642,"TR"))</f>
        <v/>
      </c>
      <c r="AX642" s="35" t="str">
        <f aca="false">IF($B642="","",AO642+AS642/2)</f>
        <v/>
      </c>
      <c r="AY642" s="35" t="str">
        <f aca="false">IF($B642="","",AQ642)</f>
        <v/>
      </c>
      <c r="AZ642" s="35" t="str">
        <f aca="false">IF($B642="","",AP642+AT642/2)</f>
        <v/>
      </c>
      <c r="BA642" s="35" t="str">
        <f aca="false">IF($B642="","",AK642+AN642+AM642/2+AO642+AP642+AQ642+AR642+AS642+AT642+AU642+AV642+AW642)</f>
        <v/>
      </c>
      <c r="BB642" s="35" t="str">
        <f aca="false">IF($B642="","",MAX(0,AN642-Settings!$C$16)*Settings!$C$17)</f>
        <v/>
      </c>
      <c r="BC642" s="35" t="str">
        <f aca="false">IF($B642="","",BA642-BB642)</f>
        <v/>
      </c>
      <c r="BD642" s="35" t="str">
        <f aca="false">IF(OR($B642="",$A642=""),"",DAY(EOMONTH($A642,0))-COUNTA($F642:$AJ642))</f>
        <v/>
      </c>
    </row>
    <row r="643" customFormat="false" ht="15" hidden="false" customHeight="false" outlineLevel="0" collapsed="false">
      <c r="A643" s="32"/>
      <c r="B643" s="29"/>
      <c r="C643" s="10" t="str">
        <f aca="false">IF($B643="","",IFERROR(INDEX(M_name,MATCH($B643,M_emp,0)),"Code not found"))</f>
        <v/>
      </c>
      <c r="D643" s="10" t="str">
        <f aca="false">IF($B643="","",IFERROR(INDEX(M_dept,MATCH($B643,M_emp,0)),""))</f>
        <v/>
      </c>
      <c r="E643" s="10" t="str">
        <f aca="false">IF($B643="","",IFERROR(INDEX(M_loc,MATCH($B643,M_emp,0)),""))</f>
        <v/>
      </c>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4" t="str">
        <f aca="false">IF($B643="","",COUNTIF($F643:$AJ643,"P"))</f>
        <v/>
      </c>
      <c r="AL643" s="34" t="str">
        <f aca="false">IF($B643="","",COUNTIF($F643:$AJ643,"A"))</f>
        <v/>
      </c>
      <c r="AM643" s="34" t="str">
        <f aca="false">IF($B643="","",COUNTIF($F643:$AJ643,"HA"))</f>
        <v/>
      </c>
      <c r="AN643" s="34" t="str">
        <f aca="false">IF($B643="","",COUNTIF($F643:$AJ643,"L"))</f>
        <v/>
      </c>
      <c r="AO643" s="34" t="str">
        <f aca="false">IF($B643="","",COUNTIF($F643:$AJ643,"PL"))</f>
        <v/>
      </c>
      <c r="AP643" s="34" t="str">
        <f aca="false">IF($B643="","",COUNTIF($F643:$AJ643,"CL"))</f>
        <v/>
      </c>
      <c r="AQ643" s="34" t="str">
        <f aca="false">IF($B643="","",COUNTIF($F643:$AJ643,"SL"))</f>
        <v/>
      </c>
      <c r="AR643" s="34" t="str">
        <f aca="false">IF($B643="","",COUNTIF($F643:$AJ643,"CO"))</f>
        <v/>
      </c>
      <c r="AS643" s="34" t="str">
        <f aca="false">IF($B643="","",COUNTIF($F643:$AJ643,"HPL"))</f>
        <v/>
      </c>
      <c r="AT643" s="34" t="str">
        <f aca="false">IF($B643="","",COUNTIF($F643:$AJ643,"HCL"))</f>
        <v/>
      </c>
      <c r="AU643" s="34" t="str">
        <f aca="false">IF($B643="","",COUNTIF($F643:$AJ643,"WO"))</f>
        <v/>
      </c>
      <c r="AV643" s="34" t="str">
        <f aca="false">IF($B643="","",COUNTIF($F643:$AJ643,"PH"))</f>
        <v/>
      </c>
      <c r="AW643" s="34" t="str">
        <f aca="false">IF($B643="","",COUNTIF($F643:$AJ643,"TR"))</f>
        <v/>
      </c>
      <c r="AX643" s="35" t="str">
        <f aca="false">IF($B643="","",AO643+AS643/2)</f>
        <v/>
      </c>
      <c r="AY643" s="35" t="str">
        <f aca="false">IF($B643="","",AQ643)</f>
        <v/>
      </c>
      <c r="AZ643" s="35" t="str">
        <f aca="false">IF($B643="","",AP643+AT643/2)</f>
        <v/>
      </c>
      <c r="BA643" s="35" t="str">
        <f aca="false">IF($B643="","",AK643+AN643+AM643/2+AO643+AP643+AQ643+AR643+AS643+AT643+AU643+AV643+AW643)</f>
        <v/>
      </c>
      <c r="BB643" s="35" t="str">
        <f aca="false">IF($B643="","",MAX(0,AN643-Settings!$C$16)*Settings!$C$17)</f>
        <v/>
      </c>
      <c r="BC643" s="35" t="str">
        <f aca="false">IF($B643="","",BA643-BB643)</f>
        <v/>
      </c>
      <c r="BD643" s="35" t="str">
        <f aca="false">IF(OR($B643="",$A643=""),"",DAY(EOMONTH($A643,0))-COUNTA($F643:$AJ643))</f>
        <v/>
      </c>
    </row>
    <row r="644" customFormat="false" ht="15" hidden="false" customHeight="false" outlineLevel="0" collapsed="false">
      <c r="A644" s="32"/>
      <c r="B644" s="29"/>
      <c r="C644" s="10" t="str">
        <f aca="false">IF($B644="","",IFERROR(INDEX(M_name,MATCH($B644,M_emp,0)),"Code not found"))</f>
        <v/>
      </c>
      <c r="D644" s="10" t="str">
        <f aca="false">IF($B644="","",IFERROR(INDEX(M_dept,MATCH($B644,M_emp,0)),""))</f>
        <v/>
      </c>
      <c r="E644" s="10" t="str">
        <f aca="false">IF($B644="","",IFERROR(INDEX(M_loc,MATCH($B644,M_emp,0)),""))</f>
        <v/>
      </c>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4" t="str">
        <f aca="false">IF($B644="","",COUNTIF($F644:$AJ644,"P"))</f>
        <v/>
      </c>
      <c r="AL644" s="34" t="str">
        <f aca="false">IF($B644="","",COUNTIF($F644:$AJ644,"A"))</f>
        <v/>
      </c>
      <c r="AM644" s="34" t="str">
        <f aca="false">IF($B644="","",COUNTIF($F644:$AJ644,"HA"))</f>
        <v/>
      </c>
      <c r="AN644" s="34" t="str">
        <f aca="false">IF($B644="","",COUNTIF($F644:$AJ644,"L"))</f>
        <v/>
      </c>
      <c r="AO644" s="34" t="str">
        <f aca="false">IF($B644="","",COUNTIF($F644:$AJ644,"PL"))</f>
        <v/>
      </c>
      <c r="AP644" s="34" t="str">
        <f aca="false">IF($B644="","",COUNTIF($F644:$AJ644,"CL"))</f>
        <v/>
      </c>
      <c r="AQ644" s="34" t="str">
        <f aca="false">IF($B644="","",COUNTIF($F644:$AJ644,"SL"))</f>
        <v/>
      </c>
      <c r="AR644" s="34" t="str">
        <f aca="false">IF($B644="","",COUNTIF($F644:$AJ644,"CO"))</f>
        <v/>
      </c>
      <c r="AS644" s="34" t="str">
        <f aca="false">IF($B644="","",COUNTIF($F644:$AJ644,"HPL"))</f>
        <v/>
      </c>
      <c r="AT644" s="34" t="str">
        <f aca="false">IF($B644="","",COUNTIF($F644:$AJ644,"HCL"))</f>
        <v/>
      </c>
      <c r="AU644" s="34" t="str">
        <f aca="false">IF($B644="","",COUNTIF($F644:$AJ644,"WO"))</f>
        <v/>
      </c>
      <c r="AV644" s="34" t="str">
        <f aca="false">IF($B644="","",COUNTIF($F644:$AJ644,"PH"))</f>
        <v/>
      </c>
      <c r="AW644" s="34" t="str">
        <f aca="false">IF($B644="","",COUNTIF($F644:$AJ644,"TR"))</f>
        <v/>
      </c>
      <c r="AX644" s="35" t="str">
        <f aca="false">IF($B644="","",AO644+AS644/2)</f>
        <v/>
      </c>
      <c r="AY644" s="35" t="str">
        <f aca="false">IF($B644="","",AQ644)</f>
        <v/>
      </c>
      <c r="AZ644" s="35" t="str">
        <f aca="false">IF($B644="","",AP644+AT644/2)</f>
        <v/>
      </c>
      <c r="BA644" s="35" t="str">
        <f aca="false">IF($B644="","",AK644+AN644+AM644/2+AO644+AP644+AQ644+AR644+AS644+AT644+AU644+AV644+AW644)</f>
        <v/>
      </c>
      <c r="BB644" s="35" t="str">
        <f aca="false">IF($B644="","",MAX(0,AN644-Settings!$C$16)*Settings!$C$17)</f>
        <v/>
      </c>
      <c r="BC644" s="35" t="str">
        <f aca="false">IF($B644="","",BA644-BB644)</f>
        <v/>
      </c>
      <c r="BD644" s="35" t="str">
        <f aca="false">IF(OR($B644="",$A644=""),"",DAY(EOMONTH($A644,0))-COUNTA($F644:$AJ644))</f>
        <v/>
      </c>
    </row>
    <row r="645" customFormat="false" ht="15" hidden="false" customHeight="false" outlineLevel="0" collapsed="false">
      <c r="A645" s="32"/>
      <c r="B645" s="29"/>
      <c r="C645" s="10" t="str">
        <f aca="false">IF($B645="","",IFERROR(INDEX(M_name,MATCH($B645,M_emp,0)),"Code not found"))</f>
        <v/>
      </c>
      <c r="D645" s="10" t="str">
        <f aca="false">IF($B645="","",IFERROR(INDEX(M_dept,MATCH($B645,M_emp,0)),""))</f>
        <v/>
      </c>
      <c r="E645" s="10" t="str">
        <f aca="false">IF($B645="","",IFERROR(INDEX(M_loc,MATCH($B645,M_emp,0)),""))</f>
        <v/>
      </c>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4" t="str">
        <f aca="false">IF($B645="","",COUNTIF($F645:$AJ645,"P"))</f>
        <v/>
      </c>
      <c r="AL645" s="34" t="str">
        <f aca="false">IF($B645="","",COUNTIF($F645:$AJ645,"A"))</f>
        <v/>
      </c>
      <c r="AM645" s="34" t="str">
        <f aca="false">IF($B645="","",COUNTIF($F645:$AJ645,"HA"))</f>
        <v/>
      </c>
      <c r="AN645" s="34" t="str">
        <f aca="false">IF($B645="","",COUNTIF($F645:$AJ645,"L"))</f>
        <v/>
      </c>
      <c r="AO645" s="34" t="str">
        <f aca="false">IF($B645="","",COUNTIF($F645:$AJ645,"PL"))</f>
        <v/>
      </c>
      <c r="AP645" s="34" t="str">
        <f aca="false">IF($B645="","",COUNTIF($F645:$AJ645,"CL"))</f>
        <v/>
      </c>
      <c r="AQ645" s="34" t="str">
        <f aca="false">IF($B645="","",COUNTIF($F645:$AJ645,"SL"))</f>
        <v/>
      </c>
      <c r="AR645" s="34" t="str">
        <f aca="false">IF($B645="","",COUNTIF($F645:$AJ645,"CO"))</f>
        <v/>
      </c>
      <c r="AS645" s="34" t="str">
        <f aca="false">IF($B645="","",COUNTIF($F645:$AJ645,"HPL"))</f>
        <v/>
      </c>
      <c r="AT645" s="34" t="str">
        <f aca="false">IF($B645="","",COUNTIF($F645:$AJ645,"HCL"))</f>
        <v/>
      </c>
      <c r="AU645" s="34" t="str">
        <f aca="false">IF($B645="","",COUNTIF($F645:$AJ645,"WO"))</f>
        <v/>
      </c>
      <c r="AV645" s="34" t="str">
        <f aca="false">IF($B645="","",COUNTIF($F645:$AJ645,"PH"))</f>
        <v/>
      </c>
      <c r="AW645" s="34" t="str">
        <f aca="false">IF($B645="","",COUNTIF($F645:$AJ645,"TR"))</f>
        <v/>
      </c>
      <c r="AX645" s="35" t="str">
        <f aca="false">IF($B645="","",AO645+AS645/2)</f>
        <v/>
      </c>
      <c r="AY645" s="35" t="str">
        <f aca="false">IF($B645="","",AQ645)</f>
        <v/>
      </c>
      <c r="AZ645" s="35" t="str">
        <f aca="false">IF($B645="","",AP645+AT645/2)</f>
        <v/>
      </c>
      <c r="BA645" s="35" t="str">
        <f aca="false">IF($B645="","",AK645+AN645+AM645/2+AO645+AP645+AQ645+AR645+AS645+AT645+AU645+AV645+AW645)</f>
        <v/>
      </c>
      <c r="BB645" s="35" t="str">
        <f aca="false">IF($B645="","",MAX(0,AN645-Settings!$C$16)*Settings!$C$17)</f>
        <v/>
      </c>
      <c r="BC645" s="35" t="str">
        <f aca="false">IF($B645="","",BA645-BB645)</f>
        <v/>
      </c>
      <c r="BD645" s="35" t="str">
        <f aca="false">IF(OR($B645="",$A645=""),"",DAY(EOMONTH($A645,0))-COUNTA($F645:$AJ645))</f>
        <v/>
      </c>
    </row>
    <row r="646" customFormat="false" ht="15" hidden="false" customHeight="false" outlineLevel="0" collapsed="false">
      <c r="A646" s="32"/>
      <c r="B646" s="29"/>
      <c r="C646" s="10" t="str">
        <f aca="false">IF($B646="","",IFERROR(INDEX(M_name,MATCH($B646,M_emp,0)),"Code not found"))</f>
        <v/>
      </c>
      <c r="D646" s="10" t="str">
        <f aca="false">IF($B646="","",IFERROR(INDEX(M_dept,MATCH($B646,M_emp,0)),""))</f>
        <v/>
      </c>
      <c r="E646" s="10" t="str">
        <f aca="false">IF($B646="","",IFERROR(INDEX(M_loc,MATCH($B646,M_emp,0)),""))</f>
        <v/>
      </c>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4" t="str">
        <f aca="false">IF($B646="","",COUNTIF($F646:$AJ646,"P"))</f>
        <v/>
      </c>
      <c r="AL646" s="34" t="str">
        <f aca="false">IF($B646="","",COUNTIF($F646:$AJ646,"A"))</f>
        <v/>
      </c>
      <c r="AM646" s="34" t="str">
        <f aca="false">IF($B646="","",COUNTIF($F646:$AJ646,"HA"))</f>
        <v/>
      </c>
      <c r="AN646" s="34" t="str">
        <f aca="false">IF($B646="","",COUNTIF($F646:$AJ646,"L"))</f>
        <v/>
      </c>
      <c r="AO646" s="34" t="str">
        <f aca="false">IF($B646="","",COUNTIF($F646:$AJ646,"PL"))</f>
        <v/>
      </c>
      <c r="AP646" s="34" t="str">
        <f aca="false">IF($B646="","",COUNTIF($F646:$AJ646,"CL"))</f>
        <v/>
      </c>
      <c r="AQ646" s="34" t="str">
        <f aca="false">IF($B646="","",COUNTIF($F646:$AJ646,"SL"))</f>
        <v/>
      </c>
      <c r="AR646" s="34" t="str">
        <f aca="false">IF($B646="","",COUNTIF($F646:$AJ646,"CO"))</f>
        <v/>
      </c>
      <c r="AS646" s="34" t="str">
        <f aca="false">IF($B646="","",COUNTIF($F646:$AJ646,"HPL"))</f>
        <v/>
      </c>
      <c r="AT646" s="34" t="str">
        <f aca="false">IF($B646="","",COUNTIF($F646:$AJ646,"HCL"))</f>
        <v/>
      </c>
      <c r="AU646" s="34" t="str">
        <f aca="false">IF($B646="","",COUNTIF($F646:$AJ646,"WO"))</f>
        <v/>
      </c>
      <c r="AV646" s="34" t="str">
        <f aca="false">IF($B646="","",COUNTIF($F646:$AJ646,"PH"))</f>
        <v/>
      </c>
      <c r="AW646" s="34" t="str">
        <f aca="false">IF($B646="","",COUNTIF($F646:$AJ646,"TR"))</f>
        <v/>
      </c>
      <c r="AX646" s="35" t="str">
        <f aca="false">IF($B646="","",AO646+AS646/2)</f>
        <v/>
      </c>
      <c r="AY646" s="35" t="str">
        <f aca="false">IF($B646="","",AQ646)</f>
        <v/>
      </c>
      <c r="AZ646" s="35" t="str">
        <f aca="false">IF($B646="","",AP646+AT646/2)</f>
        <v/>
      </c>
      <c r="BA646" s="35" t="str">
        <f aca="false">IF($B646="","",AK646+AN646+AM646/2+AO646+AP646+AQ646+AR646+AS646+AT646+AU646+AV646+AW646)</f>
        <v/>
      </c>
      <c r="BB646" s="35" t="str">
        <f aca="false">IF($B646="","",MAX(0,AN646-Settings!$C$16)*Settings!$C$17)</f>
        <v/>
      </c>
      <c r="BC646" s="35" t="str">
        <f aca="false">IF($B646="","",BA646-BB646)</f>
        <v/>
      </c>
      <c r="BD646" s="35" t="str">
        <f aca="false">IF(OR($B646="",$A646=""),"",DAY(EOMONTH($A646,0))-COUNTA($F646:$AJ646))</f>
        <v/>
      </c>
    </row>
    <row r="647" customFormat="false" ht="15" hidden="false" customHeight="false" outlineLevel="0" collapsed="false">
      <c r="A647" s="32"/>
      <c r="B647" s="29"/>
      <c r="C647" s="10" t="str">
        <f aca="false">IF($B647="","",IFERROR(INDEX(M_name,MATCH($B647,M_emp,0)),"Code not found"))</f>
        <v/>
      </c>
      <c r="D647" s="10" t="str">
        <f aca="false">IF($B647="","",IFERROR(INDEX(M_dept,MATCH($B647,M_emp,0)),""))</f>
        <v/>
      </c>
      <c r="E647" s="10" t="str">
        <f aca="false">IF($B647="","",IFERROR(INDEX(M_loc,MATCH($B647,M_emp,0)),""))</f>
        <v/>
      </c>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4" t="str">
        <f aca="false">IF($B647="","",COUNTIF($F647:$AJ647,"P"))</f>
        <v/>
      </c>
      <c r="AL647" s="34" t="str">
        <f aca="false">IF($B647="","",COUNTIF($F647:$AJ647,"A"))</f>
        <v/>
      </c>
      <c r="AM647" s="34" t="str">
        <f aca="false">IF($B647="","",COUNTIF($F647:$AJ647,"HA"))</f>
        <v/>
      </c>
      <c r="AN647" s="34" t="str">
        <f aca="false">IF($B647="","",COUNTIF($F647:$AJ647,"L"))</f>
        <v/>
      </c>
      <c r="AO647" s="34" t="str">
        <f aca="false">IF($B647="","",COUNTIF($F647:$AJ647,"PL"))</f>
        <v/>
      </c>
      <c r="AP647" s="34" t="str">
        <f aca="false">IF($B647="","",COUNTIF($F647:$AJ647,"CL"))</f>
        <v/>
      </c>
      <c r="AQ647" s="34" t="str">
        <f aca="false">IF($B647="","",COUNTIF($F647:$AJ647,"SL"))</f>
        <v/>
      </c>
      <c r="AR647" s="34" t="str">
        <f aca="false">IF($B647="","",COUNTIF($F647:$AJ647,"CO"))</f>
        <v/>
      </c>
      <c r="AS647" s="34" t="str">
        <f aca="false">IF($B647="","",COUNTIF($F647:$AJ647,"HPL"))</f>
        <v/>
      </c>
      <c r="AT647" s="34" t="str">
        <f aca="false">IF($B647="","",COUNTIF($F647:$AJ647,"HCL"))</f>
        <v/>
      </c>
      <c r="AU647" s="34" t="str">
        <f aca="false">IF($B647="","",COUNTIF($F647:$AJ647,"WO"))</f>
        <v/>
      </c>
      <c r="AV647" s="34" t="str">
        <f aca="false">IF($B647="","",COUNTIF($F647:$AJ647,"PH"))</f>
        <v/>
      </c>
      <c r="AW647" s="34" t="str">
        <f aca="false">IF($B647="","",COUNTIF($F647:$AJ647,"TR"))</f>
        <v/>
      </c>
      <c r="AX647" s="35" t="str">
        <f aca="false">IF($B647="","",AO647+AS647/2)</f>
        <v/>
      </c>
      <c r="AY647" s="35" t="str">
        <f aca="false">IF($B647="","",AQ647)</f>
        <v/>
      </c>
      <c r="AZ647" s="35" t="str">
        <f aca="false">IF($B647="","",AP647+AT647/2)</f>
        <v/>
      </c>
      <c r="BA647" s="35" t="str">
        <f aca="false">IF($B647="","",AK647+AN647+AM647/2+AO647+AP647+AQ647+AR647+AS647+AT647+AU647+AV647+AW647)</f>
        <v/>
      </c>
      <c r="BB647" s="35" t="str">
        <f aca="false">IF($B647="","",MAX(0,AN647-Settings!$C$16)*Settings!$C$17)</f>
        <v/>
      </c>
      <c r="BC647" s="35" t="str">
        <f aca="false">IF($B647="","",BA647-BB647)</f>
        <v/>
      </c>
      <c r="BD647" s="35" t="str">
        <f aca="false">IF(OR($B647="",$A647=""),"",DAY(EOMONTH($A647,0))-COUNTA($F647:$AJ647))</f>
        <v/>
      </c>
    </row>
    <row r="648" customFormat="false" ht="15" hidden="false" customHeight="false" outlineLevel="0" collapsed="false">
      <c r="A648" s="32"/>
      <c r="B648" s="29"/>
      <c r="C648" s="10" t="str">
        <f aca="false">IF($B648="","",IFERROR(INDEX(M_name,MATCH($B648,M_emp,0)),"Code not found"))</f>
        <v/>
      </c>
      <c r="D648" s="10" t="str">
        <f aca="false">IF($B648="","",IFERROR(INDEX(M_dept,MATCH($B648,M_emp,0)),""))</f>
        <v/>
      </c>
      <c r="E648" s="10" t="str">
        <f aca="false">IF($B648="","",IFERROR(INDEX(M_loc,MATCH($B648,M_emp,0)),""))</f>
        <v/>
      </c>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4" t="str">
        <f aca="false">IF($B648="","",COUNTIF($F648:$AJ648,"P"))</f>
        <v/>
      </c>
      <c r="AL648" s="34" t="str">
        <f aca="false">IF($B648="","",COUNTIF($F648:$AJ648,"A"))</f>
        <v/>
      </c>
      <c r="AM648" s="34" t="str">
        <f aca="false">IF($B648="","",COUNTIF($F648:$AJ648,"HA"))</f>
        <v/>
      </c>
      <c r="AN648" s="34" t="str">
        <f aca="false">IF($B648="","",COUNTIF($F648:$AJ648,"L"))</f>
        <v/>
      </c>
      <c r="AO648" s="34" t="str">
        <f aca="false">IF($B648="","",COUNTIF($F648:$AJ648,"PL"))</f>
        <v/>
      </c>
      <c r="AP648" s="34" t="str">
        <f aca="false">IF($B648="","",COUNTIF($F648:$AJ648,"CL"))</f>
        <v/>
      </c>
      <c r="AQ648" s="34" t="str">
        <f aca="false">IF($B648="","",COUNTIF($F648:$AJ648,"SL"))</f>
        <v/>
      </c>
      <c r="AR648" s="34" t="str">
        <f aca="false">IF($B648="","",COUNTIF($F648:$AJ648,"CO"))</f>
        <v/>
      </c>
      <c r="AS648" s="34" t="str">
        <f aca="false">IF($B648="","",COUNTIF($F648:$AJ648,"HPL"))</f>
        <v/>
      </c>
      <c r="AT648" s="34" t="str">
        <f aca="false">IF($B648="","",COUNTIF($F648:$AJ648,"HCL"))</f>
        <v/>
      </c>
      <c r="AU648" s="34" t="str">
        <f aca="false">IF($B648="","",COUNTIF($F648:$AJ648,"WO"))</f>
        <v/>
      </c>
      <c r="AV648" s="34" t="str">
        <f aca="false">IF($B648="","",COUNTIF($F648:$AJ648,"PH"))</f>
        <v/>
      </c>
      <c r="AW648" s="34" t="str">
        <f aca="false">IF($B648="","",COUNTIF($F648:$AJ648,"TR"))</f>
        <v/>
      </c>
      <c r="AX648" s="35" t="str">
        <f aca="false">IF($B648="","",AO648+AS648/2)</f>
        <v/>
      </c>
      <c r="AY648" s="35" t="str">
        <f aca="false">IF($B648="","",AQ648)</f>
        <v/>
      </c>
      <c r="AZ648" s="35" t="str">
        <f aca="false">IF($B648="","",AP648+AT648/2)</f>
        <v/>
      </c>
      <c r="BA648" s="35" t="str">
        <f aca="false">IF($B648="","",AK648+AN648+AM648/2+AO648+AP648+AQ648+AR648+AS648+AT648+AU648+AV648+AW648)</f>
        <v/>
      </c>
      <c r="BB648" s="35" t="str">
        <f aca="false">IF($B648="","",MAX(0,AN648-Settings!$C$16)*Settings!$C$17)</f>
        <v/>
      </c>
      <c r="BC648" s="35" t="str">
        <f aca="false">IF($B648="","",BA648-BB648)</f>
        <v/>
      </c>
      <c r="BD648" s="35" t="str">
        <f aca="false">IF(OR($B648="",$A648=""),"",DAY(EOMONTH($A648,0))-COUNTA($F648:$AJ648))</f>
        <v/>
      </c>
    </row>
    <row r="649" customFormat="false" ht="15" hidden="false" customHeight="false" outlineLevel="0" collapsed="false">
      <c r="A649" s="32"/>
      <c r="B649" s="29"/>
      <c r="C649" s="10" t="str">
        <f aca="false">IF($B649="","",IFERROR(INDEX(M_name,MATCH($B649,M_emp,0)),"Code not found"))</f>
        <v/>
      </c>
      <c r="D649" s="10" t="str">
        <f aca="false">IF($B649="","",IFERROR(INDEX(M_dept,MATCH($B649,M_emp,0)),""))</f>
        <v/>
      </c>
      <c r="E649" s="10" t="str">
        <f aca="false">IF($B649="","",IFERROR(INDEX(M_loc,MATCH($B649,M_emp,0)),""))</f>
        <v/>
      </c>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4" t="str">
        <f aca="false">IF($B649="","",COUNTIF($F649:$AJ649,"P"))</f>
        <v/>
      </c>
      <c r="AL649" s="34" t="str">
        <f aca="false">IF($B649="","",COUNTIF($F649:$AJ649,"A"))</f>
        <v/>
      </c>
      <c r="AM649" s="34" t="str">
        <f aca="false">IF($B649="","",COUNTIF($F649:$AJ649,"HA"))</f>
        <v/>
      </c>
      <c r="AN649" s="34" t="str">
        <f aca="false">IF($B649="","",COUNTIF($F649:$AJ649,"L"))</f>
        <v/>
      </c>
      <c r="AO649" s="34" t="str">
        <f aca="false">IF($B649="","",COUNTIF($F649:$AJ649,"PL"))</f>
        <v/>
      </c>
      <c r="AP649" s="34" t="str">
        <f aca="false">IF($B649="","",COUNTIF($F649:$AJ649,"CL"))</f>
        <v/>
      </c>
      <c r="AQ649" s="34" t="str">
        <f aca="false">IF($B649="","",COUNTIF($F649:$AJ649,"SL"))</f>
        <v/>
      </c>
      <c r="AR649" s="34" t="str">
        <f aca="false">IF($B649="","",COUNTIF($F649:$AJ649,"CO"))</f>
        <v/>
      </c>
      <c r="AS649" s="34" t="str">
        <f aca="false">IF($B649="","",COUNTIF($F649:$AJ649,"HPL"))</f>
        <v/>
      </c>
      <c r="AT649" s="34" t="str">
        <f aca="false">IF($B649="","",COUNTIF($F649:$AJ649,"HCL"))</f>
        <v/>
      </c>
      <c r="AU649" s="34" t="str">
        <f aca="false">IF($B649="","",COUNTIF($F649:$AJ649,"WO"))</f>
        <v/>
      </c>
      <c r="AV649" s="34" t="str">
        <f aca="false">IF($B649="","",COUNTIF($F649:$AJ649,"PH"))</f>
        <v/>
      </c>
      <c r="AW649" s="34" t="str">
        <f aca="false">IF($B649="","",COUNTIF($F649:$AJ649,"TR"))</f>
        <v/>
      </c>
      <c r="AX649" s="35" t="str">
        <f aca="false">IF($B649="","",AO649+AS649/2)</f>
        <v/>
      </c>
      <c r="AY649" s="35" t="str">
        <f aca="false">IF($B649="","",AQ649)</f>
        <v/>
      </c>
      <c r="AZ649" s="35" t="str">
        <f aca="false">IF($B649="","",AP649+AT649/2)</f>
        <v/>
      </c>
      <c r="BA649" s="35" t="str">
        <f aca="false">IF($B649="","",AK649+AN649+AM649/2+AO649+AP649+AQ649+AR649+AS649+AT649+AU649+AV649+AW649)</f>
        <v/>
      </c>
      <c r="BB649" s="35" t="str">
        <f aca="false">IF($B649="","",MAX(0,AN649-Settings!$C$16)*Settings!$C$17)</f>
        <v/>
      </c>
      <c r="BC649" s="35" t="str">
        <f aca="false">IF($B649="","",BA649-BB649)</f>
        <v/>
      </c>
      <c r="BD649" s="35" t="str">
        <f aca="false">IF(OR($B649="",$A649=""),"",DAY(EOMONTH($A649,0))-COUNTA($F649:$AJ649))</f>
        <v/>
      </c>
    </row>
    <row r="650" customFormat="false" ht="15" hidden="false" customHeight="false" outlineLevel="0" collapsed="false">
      <c r="A650" s="32"/>
      <c r="B650" s="29"/>
      <c r="C650" s="10" t="str">
        <f aca="false">IF($B650="","",IFERROR(INDEX(M_name,MATCH($B650,M_emp,0)),"Code not found"))</f>
        <v/>
      </c>
      <c r="D650" s="10" t="str">
        <f aca="false">IF($B650="","",IFERROR(INDEX(M_dept,MATCH($B650,M_emp,0)),""))</f>
        <v/>
      </c>
      <c r="E650" s="10" t="str">
        <f aca="false">IF($B650="","",IFERROR(INDEX(M_loc,MATCH($B650,M_emp,0)),""))</f>
        <v/>
      </c>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4" t="str">
        <f aca="false">IF($B650="","",COUNTIF($F650:$AJ650,"P"))</f>
        <v/>
      </c>
      <c r="AL650" s="34" t="str">
        <f aca="false">IF($B650="","",COUNTIF($F650:$AJ650,"A"))</f>
        <v/>
      </c>
      <c r="AM650" s="34" t="str">
        <f aca="false">IF($B650="","",COUNTIF($F650:$AJ650,"HA"))</f>
        <v/>
      </c>
      <c r="AN650" s="34" t="str">
        <f aca="false">IF($B650="","",COUNTIF($F650:$AJ650,"L"))</f>
        <v/>
      </c>
      <c r="AO650" s="34" t="str">
        <f aca="false">IF($B650="","",COUNTIF($F650:$AJ650,"PL"))</f>
        <v/>
      </c>
      <c r="AP650" s="34" t="str">
        <f aca="false">IF($B650="","",COUNTIF($F650:$AJ650,"CL"))</f>
        <v/>
      </c>
      <c r="AQ650" s="34" t="str">
        <f aca="false">IF($B650="","",COUNTIF($F650:$AJ650,"SL"))</f>
        <v/>
      </c>
      <c r="AR650" s="34" t="str">
        <f aca="false">IF($B650="","",COUNTIF($F650:$AJ650,"CO"))</f>
        <v/>
      </c>
      <c r="AS650" s="34" t="str">
        <f aca="false">IF($B650="","",COUNTIF($F650:$AJ650,"HPL"))</f>
        <v/>
      </c>
      <c r="AT650" s="34" t="str">
        <f aca="false">IF($B650="","",COUNTIF($F650:$AJ650,"HCL"))</f>
        <v/>
      </c>
      <c r="AU650" s="34" t="str">
        <f aca="false">IF($B650="","",COUNTIF($F650:$AJ650,"WO"))</f>
        <v/>
      </c>
      <c r="AV650" s="34" t="str">
        <f aca="false">IF($B650="","",COUNTIF($F650:$AJ650,"PH"))</f>
        <v/>
      </c>
      <c r="AW650" s="34" t="str">
        <f aca="false">IF($B650="","",COUNTIF($F650:$AJ650,"TR"))</f>
        <v/>
      </c>
      <c r="AX650" s="35" t="str">
        <f aca="false">IF($B650="","",AO650+AS650/2)</f>
        <v/>
      </c>
      <c r="AY650" s="35" t="str">
        <f aca="false">IF($B650="","",AQ650)</f>
        <v/>
      </c>
      <c r="AZ650" s="35" t="str">
        <f aca="false">IF($B650="","",AP650+AT650/2)</f>
        <v/>
      </c>
      <c r="BA650" s="35" t="str">
        <f aca="false">IF($B650="","",AK650+AN650+AM650/2+AO650+AP650+AQ650+AR650+AS650+AT650+AU650+AV650+AW650)</f>
        <v/>
      </c>
      <c r="BB650" s="35" t="str">
        <f aca="false">IF($B650="","",MAX(0,AN650-Settings!$C$16)*Settings!$C$17)</f>
        <v/>
      </c>
      <c r="BC650" s="35" t="str">
        <f aca="false">IF($B650="","",BA650-BB650)</f>
        <v/>
      </c>
      <c r="BD650" s="35" t="str">
        <f aca="false">IF(OR($B650="",$A650=""),"",DAY(EOMONTH($A650,0))-COUNTA($F650:$AJ650))</f>
        <v/>
      </c>
    </row>
    <row r="651" customFormat="false" ht="15" hidden="false" customHeight="false" outlineLevel="0" collapsed="false">
      <c r="A651" s="32"/>
      <c r="B651" s="29"/>
      <c r="C651" s="10" t="str">
        <f aca="false">IF($B651="","",IFERROR(INDEX(M_name,MATCH($B651,M_emp,0)),"Code not found"))</f>
        <v/>
      </c>
      <c r="D651" s="10" t="str">
        <f aca="false">IF($B651="","",IFERROR(INDEX(M_dept,MATCH($B651,M_emp,0)),""))</f>
        <v/>
      </c>
      <c r="E651" s="10" t="str">
        <f aca="false">IF($B651="","",IFERROR(INDEX(M_loc,MATCH($B651,M_emp,0)),""))</f>
        <v/>
      </c>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4" t="str">
        <f aca="false">IF($B651="","",COUNTIF($F651:$AJ651,"P"))</f>
        <v/>
      </c>
      <c r="AL651" s="34" t="str">
        <f aca="false">IF($B651="","",COUNTIF($F651:$AJ651,"A"))</f>
        <v/>
      </c>
      <c r="AM651" s="34" t="str">
        <f aca="false">IF($B651="","",COUNTIF($F651:$AJ651,"HA"))</f>
        <v/>
      </c>
      <c r="AN651" s="34" t="str">
        <f aca="false">IF($B651="","",COUNTIF($F651:$AJ651,"L"))</f>
        <v/>
      </c>
      <c r="AO651" s="34" t="str">
        <f aca="false">IF($B651="","",COUNTIF($F651:$AJ651,"PL"))</f>
        <v/>
      </c>
      <c r="AP651" s="34" t="str">
        <f aca="false">IF($B651="","",COUNTIF($F651:$AJ651,"CL"))</f>
        <v/>
      </c>
      <c r="AQ651" s="34" t="str">
        <f aca="false">IF($B651="","",COUNTIF($F651:$AJ651,"SL"))</f>
        <v/>
      </c>
      <c r="AR651" s="34" t="str">
        <f aca="false">IF($B651="","",COUNTIF($F651:$AJ651,"CO"))</f>
        <v/>
      </c>
      <c r="AS651" s="34" t="str">
        <f aca="false">IF($B651="","",COUNTIF($F651:$AJ651,"HPL"))</f>
        <v/>
      </c>
      <c r="AT651" s="34" t="str">
        <f aca="false">IF($B651="","",COUNTIF($F651:$AJ651,"HCL"))</f>
        <v/>
      </c>
      <c r="AU651" s="34" t="str">
        <f aca="false">IF($B651="","",COUNTIF($F651:$AJ651,"WO"))</f>
        <v/>
      </c>
      <c r="AV651" s="34" t="str">
        <f aca="false">IF($B651="","",COUNTIF($F651:$AJ651,"PH"))</f>
        <v/>
      </c>
      <c r="AW651" s="34" t="str">
        <f aca="false">IF($B651="","",COUNTIF($F651:$AJ651,"TR"))</f>
        <v/>
      </c>
      <c r="AX651" s="35" t="str">
        <f aca="false">IF($B651="","",AO651+AS651/2)</f>
        <v/>
      </c>
      <c r="AY651" s="35" t="str">
        <f aca="false">IF($B651="","",AQ651)</f>
        <v/>
      </c>
      <c r="AZ651" s="35" t="str">
        <f aca="false">IF($B651="","",AP651+AT651/2)</f>
        <v/>
      </c>
      <c r="BA651" s="35" t="str">
        <f aca="false">IF($B651="","",AK651+AN651+AM651/2+AO651+AP651+AQ651+AR651+AS651+AT651+AU651+AV651+AW651)</f>
        <v/>
      </c>
      <c r="BB651" s="35" t="str">
        <f aca="false">IF($B651="","",MAX(0,AN651-Settings!$C$16)*Settings!$C$17)</f>
        <v/>
      </c>
      <c r="BC651" s="35" t="str">
        <f aca="false">IF($B651="","",BA651-BB651)</f>
        <v/>
      </c>
      <c r="BD651" s="35" t="str">
        <f aca="false">IF(OR($B651="",$A651=""),"",DAY(EOMONTH($A651,0))-COUNTA($F651:$AJ651))</f>
        <v/>
      </c>
    </row>
    <row r="652" customFormat="false" ht="15" hidden="false" customHeight="false" outlineLevel="0" collapsed="false">
      <c r="A652" s="32"/>
      <c r="B652" s="29"/>
      <c r="C652" s="10" t="str">
        <f aca="false">IF($B652="","",IFERROR(INDEX(M_name,MATCH($B652,M_emp,0)),"Code not found"))</f>
        <v/>
      </c>
      <c r="D652" s="10" t="str">
        <f aca="false">IF($B652="","",IFERROR(INDEX(M_dept,MATCH($B652,M_emp,0)),""))</f>
        <v/>
      </c>
      <c r="E652" s="10" t="str">
        <f aca="false">IF($B652="","",IFERROR(INDEX(M_loc,MATCH($B652,M_emp,0)),""))</f>
        <v/>
      </c>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4" t="str">
        <f aca="false">IF($B652="","",COUNTIF($F652:$AJ652,"P"))</f>
        <v/>
      </c>
      <c r="AL652" s="34" t="str">
        <f aca="false">IF($B652="","",COUNTIF($F652:$AJ652,"A"))</f>
        <v/>
      </c>
      <c r="AM652" s="34" t="str">
        <f aca="false">IF($B652="","",COUNTIF($F652:$AJ652,"HA"))</f>
        <v/>
      </c>
      <c r="AN652" s="34" t="str">
        <f aca="false">IF($B652="","",COUNTIF($F652:$AJ652,"L"))</f>
        <v/>
      </c>
      <c r="AO652" s="34" t="str">
        <f aca="false">IF($B652="","",COUNTIF($F652:$AJ652,"PL"))</f>
        <v/>
      </c>
      <c r="AP652" s="34" t="str">
        <f aca="false">IF($B652="","",COUNTIF($F652:$AJ652,"CL"))</f>
        <v/>
      </c>
      <c r="AQ652" s="34" t="str">
        <f aca="false">IF($B652="","",COUNTIF($F652:$AJ652,"SL"))</f>
        <v/>
      </c>
      <c r="AR652" s="34" t="str">
        <f aca="false">IF($B652="","",COUNTIF($F652:$AJ652,"CO"))</f>
        <v/>
      </c>
      <c r="AS652" s="34" t="str">
        <f aca="false">IF($B652="","",COUNTIF($F652:$AJ652,"HPL"))</f>
        <v/>
      </c>
      <c r="AT652" s="34" t="str">
        <f aca="false">IF($B652="","",COUNTIF($F652:$AJ652,"HCL"))</f>
        <v/>
      </c>
      <c r="AU652" s="34" t="str">
        <f aca="false">IF($B652="","",COUNTIF($F652:$AJ652,"WO"))</f>
        <v/>
      </c>
      <c r="AV652" s="34" t="str">
        <f aca="false">IF($B652="","",COUNTIF($F652:$AJ652,"PH"))</f>
        <v/>
      </c>
      <c r="AW652" s="34" t="str">
        <f aca="false">IF($B652="","",COUNTIF($F652:$AJ652,"TR"))</f>
        <v/>
      </c>
      <c r="AX652" s="35" t="str">
        <f aca="false">IF($B652="","",AO652+AS652/2)</f>
        <v/>
      </c>
      <c r="AY652" s="35" t="str">
        <f aca="false">IF($B652="","",AQ652)</f>
        <v/>
      </c>
      <c r="AZ652" s="35" t="str">
        <f aca="false">IF($B652="","",AP652+AT652/2)</f>
        <v/>
      </c>
      <c r="BA652" s="35" t="str">
        <f aca="false">IF($B652="","",AK652+AN652+AM652/2+AO652+AP652+AQ652+AR652+AS652+AT652+AU652+AV652+AW652)</f>
        <v/>
      </c>
      <c r="BB652" s="35" t="str">
        <f aca="false">IF($B652="","",MAX(0,AN652-Settings!$C$16)*Settings!$C$17)</f>
        <v/>
      </c>
      <c r="BC652" s="35" t="str">
        <f aca="false">IF($B652="","",BA652-BB652)</f>
        <v/>
      </c>
      <c r="BD652" s="35" t="str">
        <f aca="false">IF(OR($B652="",$A652=""),"",DAY(EOMONTH($A652,0))-COUNTA($F652:$AJ652))</f>
        <v/>
      </c>
    </row>
    <row r="653" customFormat="false" ht="15" hidden="false" customHeight="false" outlineLevel="0" collapsed="false">
      <c r="A653" s="32"/>
      <c r="B653" s="29"/>
      <c r="C653" s="10" t="str">
        <f aca="false">IF($B653="","",IFERROR(INDEX(M_name,MATCH($B653,M_emp,0)),"Code not found"))</f>
        <v/>
      </c>
      <c r="D653" s="10" t="str">
        <f aca="false">IF($B653="","",IFERROR(INDEX(M_dept,MATCH($B653,M_emp,0)),""))</f>
        <v/>
      </c>
      <c r="E653" s="10" t="str">
        <f aca="false">IF($B653="","",IFERROR(INDEX(M_loc,MATCH($B653,M_emp,0)),""))</f>
        <v/>
      </c>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4" t="str">
        <f aca="false">IF($B653="","",COUNTIF($F653:$AJ653,"P"))</f>
        <v/>
      </c>
      <c r="AL653" s="34" t="str">
        <f aca="false">IF($B653="","",COUNTIF($F653:$AJ653,"A"))</f>
        <v/>
      </c>
      <c r="AM653" s="34" t="str">
        <f aca="false">IF($B653="","",COUNTIF($F653:$AJ653,"HA"))</f>
        <v/>
      </c>
      <c r="AN653" s="34" t="str">
        <f aca="false">IF($B653="","",COUNTIF($F653:$AJ653,"L"))</f>
        <v/>
      </c>
      <c r="AO653" s="34" t="str">
        <f aca="false">IF($B653="","",COUNTIF($F653:$AJ653,"PL"))</f>
        <v/>
      </c>
      <c r="AP653" s="34" t="str">
        <f aca="false">IF($B653="","",COUNTIF($F653:$AJ653,"CL"))</f>
        <v/>
      </c>
      <c r="AQ653" s="34" t="str">
        <f aca="false">IF($B653="","",COUNTIF($F653:$AJ653,"SL"))</f>
        <v/>
      </c>
      <c r="AR653" s="34" t="str">
        <f aca="false">IF($B653="","",COUNTIF($F653:$AJ653,"CO"))</f>
        <v/>
      </c>
      <c r="AS653" s="34" t="str">
        <f aca="false">IF($B653="","",COUNTIF($F653:$AJ653,"HPL"))</f>
        <v/>
      </c>
      <c r="AT653" s="34" t="str">
        <f aca="false">IF($B653="","",COUNTIF($F653:$AJ653,"HCL"))</f>
        <v/>
      </c>
      <c r="AU653" s="34" t="str">
        <f aca="false">IF($B653="","",COUNTIF($F653:$AJ653,"WO"))</f>
        <v/>
      </c>
      <c r="AV653" s="34" t="str">
        <f aca="false">IF($B653="","",COUNTIF($F653:$AJ653,"PH"))</f>
        <v/>
      </c>
      <c r="AW653" s="34" t="str">
        <f aca="false">IF($B653="","",COUNTIF($F653:$AJ653,"TR"))</f>
        <v/>
      </c>
      <c r="AX653" s="35" t="str">
        <f aca="false">IF($B653="","",AO653+AS653/2)</f>
        <v/>
      </c>
      <c r="AY653" s="35" t="str">
        <f aca="false">IF($B653="","",AQ653)</f>
        <v/>
      </c>
      <c r="AZ653" s="35" t="str">
        <f aca="false">IF($B653="","",AP653+AT653/2)</f>
        <v/>
      </c>
      <c r="BA653" s="35" t="str">
        <f aca="false">IF($B653="","",AK653+AN653+AM653/2+AO653+AP653+AQ653+AR653+AS653+AT653+AU653+AV653+AW653)</f>
        <v/>
      </c>
      <c r="BB653" s="35" t="str">
        <f aca="false">IF($B653="","",MAX(0,AN653-Settings!$C$16)*Settings!$C$17)</f>
        <v/>
      </c>
      <c r="BC653" s="35" t="str">
        <f aca="false">IF($B653="","",BA653-BB653)</f>
        <v/>
      </c>
      <c r="BD653" s="35" t="str">
        <f aca="false">IF(OR($B653="",$A653=""),"",DAY(EOMONTH($A653,0))-COUNTA($F653:$AJ653))</f>
        <v/>
      </c>
    </row>
    <row r="654" customFormat="false" ht="15" hidden="false" customHeight="false" outlineLevel="0" collapsed="false">
      <c r="A654" s="32"/>
      <c r="B654" s="29"/>
      <c r="C654" s="10" t="str">
        <f aca="false">IF($B654="","",IFERROR(INDEX(M_name,MATCH($B654,M_emp,0)),"Code not found"))</f>
        <v/>
      </c>
      <c r="D654" s="10" t="str">
        <f aca="false">IF($B654="","",IFERROR(INDEX(M_dept,MATCH($B654,M_emp,0)),""))</f>
        <v/>
      </c>
      <c r="E654" s="10" t="str">
        <f aca="false">IF($B654="","",IFERROR(INDEX(M_loc,MATCH($B654,M_emp,0)),""))</f>
        <v/>
      </c>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4" t="str">
        <f aca="false">IF($B654="","",COUNTIF($F654:$AJ654,"P"))</f>
        <v/>
      </c>
      <c r="AL654" s="34" t="str">
        <f aca="false">IF($B654="","",COUNTIF($F654:$AJ654,"A"))</f>
        <v/>
      </c>
      <c r="AM654" s="34" t="str">
        <f aca="false">IF($B654="","",COUNTIF($F654:$AJ654,"HA"))</f>
        <v/>
      </c>
      <c r="AN654" s="34" t="str">
        <f aca="false">IF($B654="","",COUNTIF($F654:$AJ654,"L"))</f>
        <v/>
      </c>
      <c r="AO654" s="34" t="str">
        <f aca="false">IF($B654="","",COUNTIF($F654:$AJ654,"PL"))</f>
        <v/>
      </c>
      <c r="AP654" s="34" t="str">
        <f aca="false">IF($B654="","",COUNTIF($F654:$AJ654,"CL"))</f>
        <v/>
      </c>
      <c r="AQ654" s="34" t="str">
        <f aca="false">IF($B654="","",COUNTIF($F654:$AJ654,"SL"))</f>
        <v/>
      </c>
      <c r="AR654" s="34" t="str">
        <f aca="false">IF($B654="","",COUNTIF($F654:$AJ654,"CO"))</f>
        <v/>
      </c>
      <c r="AS654" s="34" t="str">
        <f aca="false">IF($B654="","",COUNTIF($F654:$AJ654,"HPL"))</f>
        <v/>
      </c>
      <c r="AT654" s="34" t="str">
        <f aca="false">IF($B654="","",COUNTIF($F654:$AJ654,"HCL"))</f>
        <v/>
      </c>
      <c r="AU654" s="34" t="str">
        <f aca="false">IF($B654="","",COUNTIF($F654:$AJ654,"WO"))</f>
        <v/>
      </c>
      <c r="AV654" s="34" t="str">
        <f aca="false">IF($B654="","",COUNTIF($F654:$AJ654,"PH"))</f>
        <v/>
      </c>
      <c r="AW654" s="34" t="str">
        <f aca="false">IF($B654="","",COUNTIF($F654:$AJ654,"TR"))</f>
        <v/>
      </c>
      <c r="AX654" s="35" t="str">
        <f aca="false">IF($B654="","",AO654+AS654/2)</f>
        <v/>
      </c>
      <c r="AY654" s="35" t="str">
        <f aca="false">IF($B654="","",AQ654)</f>
        <v/>
      </c>
      <c r="AZ654" s="35" t="str">
        <f aca="false">IF($B654="","",AP654+AT654/2)</f>
        <v/>
      </c>
      <c r="BA654" s="35" t="str">
        <f aca="false">IF($B654="","",AK654+AN654+AM654/2+AO654+AP654+AQ654+AR654+AS654+AT654+AU654+AV654+AW654)</f>
        <v/>
      </c>
      <c r="BB654" s="35" t="str">
        <f aca="false">IF($B654="","",MAX(0,AN654-Settings!$C$16)*Settings!$C$17)</f>
        <v/>
      </c>
      <c r="BC654" s="35" t="str">
        <f aca="false">IF($B654="","",BA654-BB654)</f>
        <v/>
      </c>
      <c r="BD654" s="35" t="str">
        <f aca="false">IF(OR($B654="",$A654=""),"",DAY(EOMONTH($A654,0))-COUNTA($F654:$AJ654))</f>
        <v/>
      </c>
    </row>
    <row r="655" customFormat="false" ht="15" hidden="false" customHeight="false" outlineLevel="0" collapsed="false">
      <c r="A655" s="32"/>
      <c r="B655" s="29"/>
      <c r="C655" s="10" t="str">
        <f aca="false">IF($B655="","",IFERROR(INDEX(M_name,MATCH($B655,M_emp,0)),"Code not found"))</f>
        <v/>
      </c>
      <c r="D655" s="10" t="str">
        <f aca="false">IF($B655="","",IFERROR(INDEX(M_dept,MATCH($B655,M_emp,0)),""))</f>
        <v/>
      </c>
      <c r="E655" s="10" t="str">
        <f aca="false">IF($B655="","",IFERROR(INDEX(M_loc,MATCH($B655,M_emp,0)),""))</f>
        <v/>
      </c>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4" t="str">
        <f aca="false">IF($B655="","",COUNTIF($F655:$AJ655,"P"))</f>
        <v/>
      </c>
      <c r="AL655" s="34" t="str">
        <f aca="false">IF($B655="","",COUNTIF($F655:$AJ655,"A"))</f>
        <v/>
      </c>
      <c r="AM655" s="34" t="str">
        <f aca="false">IF($B655="","",COUNTIF($F655:$AJ655,"HA"))</f>
        <v/>
      </c>
      <c r="AN655" s="34" t="str">
        <f aca="false">IF($B655="","",COUNTIF($F655:$AJ655,"L"))</f>
        <v/>
      </c>
      <c r="AO655" s="34" t="str">
        <f aca="false">IF($B655="","",COUNTIF($F655:$AJ655,"PL"))</f>
        <v/>
      </c>
      <c r="AP655" s="34" t="str">
        <f aca="false">IF($B655="","",COUNTIF($F655:$AJ655,"CL"))</f>
        <v/>
      </c>
      <c r="AQ655" s="34" t="str">
        <f aca="false">IF($B655="","",COUNTIF($F655:$AJ655,"SL"))</f>
        <v/>
      </c>
      <c r="AR655" s="34" t="str">
        <f aca="false">IF($B655="","",COUNTIF($F655:$AJ655,"CO"))</f>
        <v/>
      </c>
      <c r="AS655" s="34" t="str">
        <f aca="false">IF($B655="","",COUNTIF($F655:$AJ655,"HPL"))</f>
        <v/>
      </c>
      <c r="AT655" s="34" t="str">
        <f aca="false">IF($B655="","",COUNTIF($F655:$AJ655,"HCL"))</f>
        <v/>
      </c>
      <c r="AU655" s="34" t="str">
        <f aca="false">IF($B655="","",COUNTIF($F655:$AJ655,"WO"))</f>
        <v/>
      </c>
      <c r="AV655" s="34" t="str">
        <f aca="false">IF($B655="","",COUNTIF($F655:$AJ655,"PH"))</f>
        <v/>
      </c>
      <c r="AW655" s="34" t="str">
        <f aca="false">IF($B655="","",COUNTIF($F655:$AJ655,"TR"))</f>
        <v/>
      </c>
      <c r="AX655" s="35" t="str">
        <f aca="false">IF($B655="","",AO655+AS655/2)</f>
        <v/>
      </c>
      <c r="AY655" s="35" t="str">
        <f aca="false">IF($B655="","",AQ655)</f>
        <v/>
      </c>
      <c r="AZ655" s="35" t="str">
        <f aca="false">IF($B655="","",AP655+AT655/2)</f>
        <v/>
      </c>
      <c r="BA655" s="35" t="str">
        <f aca="false">IF($B655="","",AK655+AN655+AM655/2+AO655+AP655+AQ655+AR655+AS655+AT655+AU655+AV655+AW655)</f>
        <v/>
      </c>
      <c r="BB655" s="35" t="str">
        <f aca="false">IF($B655="","",MAX(0,AN655-Settings!$C$16)*Settings!$C$17)</f>
        <v/>
      </c>
      <c r="BC655" s="35" t="str">
        <f aca="false">IF($B655="","",BA655-BB655)</f>
        <v/>
      </c>
      <c r="BD655" s="35" t="str">
        <f aca="false">IF(OR($B655="",$A655=""),"",DAY(EOMONTH($A655,0))-COUNTA($F655:$AJ655))</f>
        <v/>
      </c>
    </row>
    <row r="656" customFormat="false" ht="15" hidden="false" customHeight="false" outlineLevel="0" collapsed="false">
      <c r="A656" s="32"/>
      <c r="B656" s="29"/>
      <c r="C656" s="10" t="str">
        <f aca="false">IF($B656="","",IFERROR(INDEX(M_name,MATCH($B656,M_emp,0)),"Code not found"))</f>
        <v/>
      </c>
      <c r="D656" s="10" t="str">
        <f aca="false">IF($B656="","",IFERROR(INDEX(M_dept,MATCH($B656,M_emp,0)),""))</f>
        <v/>
      </c>
      <c r="E656" s="10" t="str">
        <f aca="false">IF($B656="","",IFERROR(INDEX(M_loc,MATCH($B656,M_emp,0)),""))</f>
        <v/>
      </c>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4" t="str">
        <f aca="false">IF($B656="","",COUNTIF($F656:$AJ656,"P"))</f>
        <v/>
      </c>
      <c r="AL656" s="34" t="str">
        <f aca="false">IF($B656="","",COUNTIF($F656:$AJ656,"A"))</f>
        <v/>
      </c>
      <c r="AM656" s="34" t="str">
        <f aca="false">IF($B656="","",COUNTIF($F656:$AJ656,"HA"))</f>
        <v/>
      </c>
      <c r="AN656" s="34" t="str">
        <f aca="false">IF($B656="","",COUNTIF($F656:$AJ656,"L"))</f>
        <v/>
      </c>
      <c r="AO656" s="34" t="str">
        <f aca="false">IF($B656="","",COUNTIF($F656:$AJ656,"PL"))</f>
        <v/>
      </c>
      <c r="AP656" s="34" t="str">
        <f aca="false">IF($B656="","",COUNTIF($F656:$AJ656,"CL"))</f>
        <v/>
      </c>
      <c r="AQ656" s="34" t="str">
        <f aca="false">IF($B656="","",COUNTIF($F656:$AJ656,"SL"))</f>
        <v/>
      </c>
      <c r="AR656" s="34" t="str">
        <f aca="false">IF($B656="","",COUNTIF($F656:$AJ656,"CO"))</f>
        <v/>
      </c>
      <c r="AS656" s="34" t="str">
        <f aca="false">IF($B656="","",COUNTIF($F656:$AJ656,"HPL"))</f>
        <v/>
      </c>
      <c r="AT656" s="34" t="str">
        <f aca="false">IF($B656="","",COUNTIF($F656:$AJ656,"HCL"))</f>
        <v/>
      </c>
      <c r="AU656" s="34" t="str">
        <f aca="false">IF($B656="","",COUNTIF($F656:$AJ656,"WO"))</f>
        <v/>
      </c>
      <c r="AV656" s="34" t="str">
        <f aca="false">IF($B656="","",COUNTIF($F656:$AJ656,"PH"))</f>
        <v/>
      </c>
      <c r="AW656" s="34" t="str">
        <f aca="false">IF($B656="","",COUNTIF($F656:$AJ656,"TR"))</f>
        <v/>
      </c>
      <c r="AX656" s="35" t="str">
        <f aca="false">IF($B656="","",AO656+AS656/2)</f>
        <v/>
      </c>
      <c r="AY656" s="35" t="str">
        <f aca="false">IF($B656="","",AQ656)</f>
        <v/>
      </c>
      <c r="AZ656" s="35" t="str">
        <f aca="false">IF($B656="","",AP656+AT656/2)</f>
        <v/>
      </c>
      <c r="BA656" s="35" t="str">
        <f aca="false">IF($B656="","",AK656+AN656+AM656/2+AO656+AP656+AQ656+AR656+AS656+AT656+AU656+AV656+AW656)</f>
        <v/>
      </c>
      <c r="BB656" s="35" t="str">
        <f aca="false">IF($B656="","",MAX(0,AN656-Settings!$C$16)*Settings!$C$17)</f>
        <v/>
      </c>
      <c r="BC656" s="35" t="str">
        <f aca="false">IF($B656="","",BA656-BB656)</f>
        <v/>
      </c>
      <c r="BD656" s="35" t="str">
        <f aca="false">IF(OR($B656="",$A656=""),"",DAY(EOMONTH($A656,0))-COUNTA($F656:$AJ656))</f>
        <v/>
      </c>
    </row>
    <row r="657" customFormat="false" ht="15" hidden="false" customHeight="false" outlineLevel="0" collapsed="false">
      <c r="A657" s="32"/>
      <c r="B657" s="29"/>
      <c r="C657" s="10" t="str">
        <f aca="false">IF($B657="","",IFERROR(INDEX(M_name,MATCH($B657,M_emp,0)),"Code not found"))</f>
        <v/>
      </c>
      <c r="D657" s="10" t="str">
        <f aca="false">IF($B657="","",IFERROR(INDEX(M_dept,MATCH($B657,M_emp,0)),""))</f>
        <v/>
      </c>
      <c r="E657" s="10" t="str">
        <f aca="false">IF($B657="","",IFERROR(INDEX(M_loc,MATCH($B657,M_emp,0)),""))</f>
        <v/>
      </c>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4" t="str">
        <f aca="false">IF($B657="","",COUNTIF($F657:$AJ657,"P"))</f>
        <v/>
      </c>
      <c r="AL657" s="34" t="str">
        <f aca="false">IF($B657="","",COUNTIF($F657:$AJ657,"A"))</f>
        <v/>
      </c>
      <c r="AM657" s="34" t="str">
        <f aca="false">IF($B657="","",COUNTIF($F657:$AJ657,"HA"))</f>
        <v/>
      </c>
      <c r="AN657" s="34" t="str">
        <f aca="false">IF($B657="","",COUNTIF($F657:$AJ657,"L"))</f>
        <v/>
      </c>
      <c r="AO657" s="34" t="str">
        <f aca="false">IF($B657="","",COUNTIF($F657:$AJ657,"PL"))</f>
        <v/>
      </c>
      <c r="AP657" s="34" t="str">
        <f aca="false">IF($B657="","",COUNTIF($F657:$AJ657,"CL"))</f>
        <v/>
      </c>
      <c r="AQ657" s="34" t="str">
        <f aca="false">IF($B657="","",COUNTIF($F657:$AJ657,"SL"))</f>
        <v/>
      </c>
      <c r="AR657" s="34" t="str">
        <f aca="false">IF($B657="","",COUNTIF($F657:$AJ657,"CO"))</f>
        <v/>
      </c>
      <c r="AS657" s="34" t="str">
        <f aca="false">IF($B657="","",COUNTIF($F657:$AJ657,"HPL"))</f>
        <v/>
      </c>
      <c r="AT657" s="34" t="str">
        <f aca="false">IF($B657="","",COUNTIF($F657:$AJ657,"HCL"))</f>
        <v/>
      </c>
      <c r="AU657" s="34" t="str">
        <f aca="false">IF($B657="","",COUNTIF($F657:$AJ657,"WO"))</f>
        <v/>
      </c>
      <c r="AV657" s="34" t="str">
        <f aca="false">IF($B657="","",COUNTIF($F657:$AJ657,"PH"))</f>
        <v/>
      </c>
      <c r="AW657" s="34" t="str">
        <f aca="false">IF($B657="","",COUNTIF($F657:$AJ657,"TR"))</f>
        <v/>
      </c>
      <c r="AX657" s="35" t="str">
        <f aca="false">IF($B657="","",AO657+AS657/2)</f>
        <v/>
      </c>
      <c r="AY657" s="35" t="str">
        <f aca="false">IF($B657="","",AQ657)</f>
        <v/>
      </c>
      <c r="AZ657" s="35" t="str">
        <f aca="false">IF($B657="","",AP657+AT657/2)</f>
        <v/>
      </c>
      <c r="BA657" s="35" t="str">
        <f aca="false">IF($B657="","",AK657+AN657+AM657/2+AO657+AP657+AQ657+AR657+AS657+AT657+AU657+AV657+AW657)</f>
        <v/>
      </c>
      <c r="BB657" s="35" t="str">
        <f aca="false">IF($B657="","",MAX(0,AN657-Settings!$C$16)*Settings!$C$17)</f>
        <v/>
      </c>
      <c r="BC657" s="35" t="str">
        <f aca="false">IF($B657="","",BA657-BB657)</f>
        <v/>
      </c>
      <c r="BD657" s="35" t="str">
        <f aca="false">IF(OR($B657="",$A657=""),"",DAY(EOMONTH($A657,0))-COUNTA($F657:$AJ657))</f>
        <v/>
      </c>
    </row>
    <row r="658" customFormat="false" ht="15" hidden="false" customHeight="false" outlineLevel="0" collapsed="false">
      <c r="A658" s="32"/>
      <c r="B658" s="29"/>
      <c r="C658" s="10" t="str">
        <f aca="false">IF($B658="","",IFERROR(INDEX(M_name,MATCH($B658,M_emp,0)),"Code not found"))</f>
        <v/>
      </c>
      <c r="D658" s="10" t="str">
        <f aca="false">IF($B658="","",IFERROR(INDEX(M_dept,MATCH($B658,M_emp,0)),""))</f>
        <v/>
      </c>
      <c r="E658" s="10" t="str">
        <f aca="false">IF($B658="","",IFERROR(INDEX(M_loc,MATCH($B658,M_emp,0)),""))</f>
        <v/>
      </c>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4" t="str">
        <f aca="false">IF($B658="","",COUNTIF($F658:$AJ658,"P"))</f>
        <v/>
      </c>
      <c r="AL658" s="34" t="str">
        <f aca="false">IF($B658="","",COUNTIF($F658:$AJ658,"A"))</f>
        <v/>
      </c>
      <c r="AM658" s="34" t="str">
        <f aca="false">IF($B658="","",COUNTIF($F658:$AJ658,"HA"))</f>
        <v/>
      </c>
      <c r="AN658" s="34" t="str">
        <f aca="false">IF($B658="","",COUNTIF($F658:$AJ658,"L"))</f>
        <v/>
      </c>
      <c r="AO658" s="34" t="str">
        <f aca="false">IF($B658="","",COUNTIF($F658:$AJ658,"PL"))</f>
        <v/>
      </c>
      <c r="AP658" s="34" t="str">
        <f aca="false">IF($B658="","",COUNTIF($F658:$AJ658,"CL"))</f>
        <v/>
      </c>
      <c r="AQ658" s="34" t="str">
        <f aca="false">IF($B658="","",COUNTIF($F658:$AJ658,"SL"))</f>
        <v/>
      </c>
      <c r="AR658" s="34" t="str">
        <f aca="false">IF($B658="","",COUNTIF($F658:$AJ658,"CO"))</f>
        <v/>
      </c>
      <c r="AS658" s="34" t="str">
        <f aca="false">IF($B658="","",COUNTIF($F658:$AJ658,"HPL"))</f>
        <v/>
      </c>
      <c r="AT658" s="34" t="str">
        <f aca="false">IF($B658="","",COUNTIF($F658:$AJ658,"HCL"))</f>
        <v/>
      </c>
      <c r="AU658" s="34" t="str">
        <f aca="false">IF($B658="","",COUNTIF($F658:$AJ658,"WO"))</f>
        <v/>
      </c>
      <c r="AV658" s="34" t="str">
        <f aca="false">IF($B658="","",COUNTIF($F658:$AJ658,"PH"))</f>
        <v/>
      </c>
      <c r="AW658" s="34" t="str">
        <f aca="false">IF($B658="","",COUNTIF($F658:$AJ658,"TR"))</f>
        <v/>
      </c>
      <c r="AX658" s="35" t="str">
        <f aca="false">IF($B658="","",AO658+AS658/2)</f>
        <v/>
      </c>
      <c r="AY658" s="35" t="str">
        <f aca="false">IF($B658="","",AQ658)</f>
        <v/>
      </c>
      <c r="AZ658" s="35" t="str">
        <f aca="false">IF($B658="","",AP658+AT658/2)</f>
        <v/>
      </c>
      <c r="BA658" s="35" t="str">
        <f aca="false">IF($B658="","",AK658+AN658+AM658/2+AO658+AP658+AQ658+AR658+AS658+AT658+AU658+AV658+AW658)</f>
        <v/>
      </c>
      <c r="BB658" s="35" t="str">
        <f aca="false">IF($B658="","",MAX(0,AN658-Settings!$C$16)*Settings!$C$17)</f>
        <v/>
      </c>
      <c r="BC658" s="35" t="str">
        <f aca="false">IF($B658="","",BA658-BB658)</f>
        <v/>
      </c>
      <c r="BD658" s="35" t="str">
        <f aca="false">IF(OR($B658="",$A658=""),"",DAY(EOMONTH($A658,0))-COUNTA($F658:$AJ658))</f>
        <v/>
      </c>
    </row>
    <row r="659" customFormat="false" ht="15" hidden="false" customHeight="false" outlineLevel="0" collapsed="false">
      <c r="A659" s="32"/>
      <c r="B659" s="29"/>
      <c r="C659" s="10" t="str">
        <f aca="false">IF($B659="","",IFERROR(INDEX(M_name,MATCH($B659,M_emp,0)),"Code not found"))</f>
        <v/>
      </c>
      <c r="D659" s="10" t="str">
        <f aca="false">IF($B659="","",IFERROR(INDEX(M_dept,MATCH($B659,M_emp,0)),""))</f>
        <v/>
      </c>
      <c r="E659" s="10" t="str">
        <f aca="false">IF($B659="","",IFERROR(INDEX(M_loc,MATCH($B659,M_emp,0)),""))</f>
        <v/>
      </c>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4" t="str">
        <f aca="false">IF($B659="","",COUNTIF($F659:$AJ659,"P"))</f>
        <v/>
      </c>
      <c r="AL659" s="34" t="str">
        <f aca="false">IF($B659="","",COUNTIF($F659:$AJ659,"A"))</f>
        <v/>
      </c>
      <c r="AM659" s="34" t="str">
        <f aca="false">IF($B659="","",COUNTIF($F659:$AJ659,"HA"))</f>
        <v/>
      </c>
      <c r="AN659" s="34" t="str">
        <f aca="false">IF($B659="","",COUNTIF($F659:$AJ659,"L"))</f>
        <v/>
      </c>
      <c r="AO659" s="34" t="str">
        <f aca="false">IF($B659="","",COUNTIF($F659:$AJ659,"PL"))</f>
        <v/>
      </c>
      <c r="AP659" s="34" t="str">
        <f aca="false">IF($B659="","",COUNTIF($F659:$AJ659,"CL"))</f>
        <v/>
      </c>
      <c r="AQ659" s="34" t="str">
        <f aca="false">IF($B659="","",COUNTIF($F659:$AJ659,"SL"))</f>
        <v/>
      </c>
      <c r="AR659" s="34" t="str">
        <f aca="false">IF($B659="","",COUNTIF($F659:$AJ659,"CO"))</f>
        <v/>
      </c>
      <c r="AS659" s="34" t="str">
        <f aca="false">IF($B659="","",COUNTIF($F659:$AJ659,"HPL"))</f>
        <v/>
      </c>
      <c r="AT659" s="34" t="str">
        <f aca="false">IF($B659="","",COUNTIF($F659:$AJ659,"HCL"))</f>
        <v/>
      </c>
      <c r="AU659" s="34" t="str">
        <f aca="false">IF($B659="","",COUNTIF($F659:$AJ659,"WO"))</f>
        <v/>
      </c>
      <c r="AV659" s="34" t="str">
        <f aca="false">IF($B659="","",COUNTIF($F659:$AJ659,"PH"))</f>
        <v/>
      </c>
      <c r="AW659" s="34" t="str">
        <f aca="false">IF($B659="","",COUNTIF($F659:$AJ659,"TR"))</f>
        <v/>
      </c>
      <c r="AX659" s="35" t="str">
        <f aca="false">IF($B659="","",AO659+AS659/2)</f>
        <v/>
      </c>
      <c r="AY659" s="35" t="str">
        <f aca="false">IF($B659="","",AQ659)</f>
        <v/>
      </c>
      <c r="AZ659" s="35" t="str">
        <f aca="false">IF($B659="","",AP659+AT659/2)</f>
        <v/>
      </c>
      <c r="BA659" s="35" t="str">
        <f aca="false">IF($B659="","",AK659+AN659+AM659/2+AO659+AP659+AQ659+AR659+AS659+AT659+AU659+AV659+AW659)</f>
        <v/>
      </c>
      <c r="BB659" s="35" t="str">
        <f aca="false">IF($B659="","",MAX(0,AN659-Settings!$C$16)*Settings!$C$17)</f>
        <v/>
      </c>
      <c r="BC659" s="35" t="str">
        <f aca="false">IF($B659="","",BA659-BB659)</f>
        <v/>
      </c>
      <c r="BD659" s="35" t="str">
        <f aca="false">IF(OR($B659="",$A659=""),"",DAY(EOMONTH($A659,0))-COUNTA($F659:$AJ659))</f>
        <v/>
      </c>
    </row>
    <row r="660" customFormat="false" ht="15" hidden="false" customHeight="false" outlineLevel="0" collapsed="false">
      <c r="A660" s="32"/>
      <c r="B660" s="29"/>
      <c r="C660" s="10" t="str">
        <f aca="false">IF($B660="","",IFERROR(INDEX(M_name,MATCH($B660,M_emp,0)),"Code not found"))</f>
        <v/>
      </c>
      <c r="D660" s="10" t="str">
        <f aca="false">IF($B660="","",IFERROR(INDEX(M_dept,MATCH($B660,M_emp,0)),""))</f>
        <v/>
      </c>
      <c r="E660" s="10" t="str">
        <f aca="false">IF($B660="","",IFERROR(INDEX(M_loc,MATCH($B660,M_emp,0)),""))</f>
        <v/>
      </c>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4" t="str">
        <f aca="false">IF($B660="","",COUNTIF($F660:$AJ660,"P"))</f>
        <v/>
      </c>
      <c r="AL660" s="34" t="str">
        <f aca="false">IF($B660="","",COUNTIF($F660:$AJ660,"A"))</f>
        <v/>
      </c>
      <c r="AM660" s="34" t="str">
        <f aca="false">IF($B660="","",COUNTIF($F660:$AJ660,"HA"))</f>
        <v/>
      </c>
      <c r="AN660" s="34" t="str">
        <f aca="false">IF($B660="","",COUNTIF($F660:$AJ660,"L"))</f>
        <v/>
      </c>
      <c r="AO660" s="34" t="str">
        <f aca="false">IF($B660="","",COUNTIF($F660:$AJ660,"PL"))</f>
        <v/>
      </c>
      <c r="AP660" s="34" t="str">
        <f aca="false">IF($B660="","",COUNTIF($F660:$AJ660,"CL"))</f>
        <v/>
      </c>
      <c r="AQ660" s="34" t="str">
        <f aca="false">IF($B660="","",COUNTIF($F660:$AJ660,"SL"))</f>
        <v/>
      </c>
      <c r="AR660" s="34" t="str">
        <f aca="false">IF($B660="","",COUNTIF($F660:$AJ660,"CO"))</f>
        <v/>
      </c>
      <c r="AS660" s="34" t="str">
        <f aca="false">IF($B660="","",COUNTIF($F660:$AJ660,"HPL"))</f>
        <v/>
      </c>
      <c r="AT660" s="34" t="str">
        <f aca="false">IF($B660="","",COUNTIF($F660:$AJ660,"HCL"))</f>
        <v/>
      </c>
      <c r="AU660" s="34" t="str">
        <f aca="false">IF($B660="","",COUNTIF($F660:$AJ660,"WO"))</f>
        <v/>
      </c>
      <c r="AV660" s="34" t="str">
        <f aca="false">IF($B660="","",COUNTIF($F660:$AJ660,"PH"))</f>
        <v/>
      </c>
      <c r="AW660" s="34" t="str">
        <f aca="false">IF($B660="","",COUNTIF($F660:$AJ660,"TR"))</f>
        <v/>
      </c>
      <c r="AX660" s="35" t="str">
        <f aca="false">IF($B660="","",AO660+AS660/2)</f>
        <v/>
      </c>
      <c r="AY660" s="35" t="str">
        <f aca="false">IF($B660="","",AQ660)</f>
        <v/>
      </c>
      <c r="AZ660" s="35" t="str">
        <f aca="false">IF($B660="","",AP660+AT660/2)</f>
        <v/>
      </c>
      <c r="BA660" s="35" t="str">
        <f aca="false">IF($B660="","",AK660+AN660+AM660/2+AO660+AP660+AQ660+AR660+AS660+AT660+AU660+AV660+AW660)</f>
        <v/>
      </c>
      <c r="BB660" s="35" t="str">
        <f aca="false">IF($B660="","",MAX(0,AN660-Settings!$C$16)*Settings!$C$17)</f>
        <v/>
      </c>
      <c r="BC660" s="35" t="str">
        <f aca="false">IF($B660="","",BA660-BB660)</f>
        <v/>
      </c>
      <c r="BD660" s="35" t="str">
        <f aca="false">IF(OR($B660="",$A660=""),"",DAY(EOMONTH($A660,0))-COUNTA($F660:$AJ660))</f>
        <v/>
      </c>
    </row>
    <row r="661" customFormat="false" ht="15" hidden="false" customHeight="false" outlineLevel="0" collapsed="false">
      <c r="A661" s="32"/>
      <c r="B661" s="29"/>
      <c r="C661" s="10" t="str">
        <f aca="false">IF($B661="","",IFERROR(INDEX(M_name,MATCH($B661,M_emp,0)),"Code not found"))</f>
        <v/>
      </c>
      <c r="D661" s="10" t="str">
        <f aca="false">IF($B661="","",IFERROR(INDEX(M_dept,MATCH($B661,M_emp,0)),""))</f>
        <v/>
      </c>
      <c r="E661" s="10" t="str">
        <f aca="false">IF($B661="","",IFERROR(INDEX(M_loc,MATCH($B661,M_emp,0)),""))</f>
        <v/>
      </c>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4" t="str">
        <f aca="false">IF($B661="","",COUNTIF($F661:$AJ661,"P"))</f>
        <v/>
      </c>
      <c r="AL661" s="34" t="str">
        <f aca="false">IF($B661="","",COUNTIF($F661:$AJ661,"A"))</f>
        <v/>
      </c>
      <c r="AM661" s="34" t="str">
        <f aca="false">IF($B661="","",COUNTIF($F661:$AJ661,"HA"))</f>
        <v/>
      </c>
      <c r="AN661" s="34" t="str">
        <f aca="false">IF($B661="","",COUNTIF($F661:$AJ661,"L"))</f>
        <v/>
      </c>
      <c r="AO661" s="34" t="str">
        <f aca="false">IF($B661="","",COUNTIF($F661:$AJ661,"PL"))</f>
        <v/>
      </c>
      <c r="AP661" s="34" t="str">
        <f aca="false">IF($B661="","",COUNTIF($F661:$AJ661,"CL"))</f>
        <v/>
      </c>
      <c r="AQ661" s="34" t="str">
        <f aca="false">IF($B661="","",COUNTIF($F661:$AJ661,"SL"))</f>
        <v/>
      </c>
      <c r="AR661" s="34" t="str">
        <f aca="false">IF($B661="","",COUNTIF($F661:$AJ661,"CO"))</f>
        <v/>
      </c>
      <c r="AS661" s="34" t="str">
        <f aca="false">IF($B661="","",COUNTIF($F661:$AJ661,"HPL"))</f>
        <v/>
      </c>
      <c r="AT661" s="34" t="str">
        <f aca="false">IF($B661="","",COUNTIF($F661:$AJ661,"HCL"))</f>
        <v/>
      </c>
      <c r="AU661" s="34" t="str">
        <f aca="false">IF($B661="","",COUNTIF($F661:$AJ661,"WO"))</f>
        <v/>
      </c>
      <c r="AV661" s="34" t="str">
        <f aca="false">IF($B661="","",COUNTIF($F661:$AJ661,"PH"))</f>
        <v/>
      </c>
      <c r="AW661" s="34" t="str">
        <f aca="false">IF($B661="","",COUNTIF($F661:$AJ661,"TR"))</f>
        <v/>
      </c>
      <c r="AX661" s="35" t="str">
        <f aca="false">IF($B661="","",AO661+AS661/2)</f>
        <v/>
      </c>
      <c r="AY661" s="35" t="str">
        <f aca="false">IF($B661="","",AQ661)</f>
        <v/>
      </c>
      <c r="AZ661" s="35" t="str">
        <f aca="false">IF($B661="","",AP661+AT661/2)</f>
        <v/>
      </c>
      <c r="BA661" s="35" t="str">
        <f aca="false">IF($B661="","",AK661+AN661+AM661/2+AO661+AP661+AQ661+AR661+AS661+AT661+AU661+AV661+AW661)</f>
        <v/>
      </c>
      <c r="BB661" s="35" t="str">
        <f aca="false">IF($B661="","",MAX(0,AN661-Settings!$C$16)*Settings!$C$17)</f>
        <v/>
      </c>
      <c r="BC661" s="35" t="str">
        <f aca="false">IF($B661="","",BA661-BB661)</f>
        <v/>
      </c>
      <c r="BD661" s="35" t="str">
        <f aca="false">IF(OR($B661="",$A661=""),"",DAY(EOMONTH($A661,0))-COUNTA($F661:$AJ661))</f>
        <v/>
      </c>
    </row>
    <row r="662" customFormat="false" ht="15" hidden="false" customHeight="false" outlineLevel="0" collapsed="false">
      <c r="A662" s="32"/>
      <c r="B662" s="29"/>
      <c r="C662" s="10" t="str">
        <f aca="false">IF($B662="","",IFERROR(INDEX(M_name,MATCH($B662,M_emp,0)),"Code not found"))</f>
        <v/>
      </c>
      <c r="D662" s="10" t="str">
        <f aca="false">IF($B662="","",IFERROR(INDEX(M_dept,MATCH($B662,M_emp,0)),""))</f>
        <v/>
      </c>
      <c r="E662" s="10" t="str">
        <f aca="false">IF($B662="","",IFERROR(INDEX(M_loc,MATCH($B662,M_emp,0)),""))</f>
        <v/>
      </c>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4" t="str">
        <f aca="false">IF($B662="","",COUNTIF($F662:$AJ662,"P"))</f>
        <v/>
      </c>
      <c r="AL662" s="34" t="str">
        <f aca="false">IF($B662="","",COUNTIF($F662:$AJ662,"A"))</f>
        <v/>
      </c>
      <c r="AM662" s="34" t="str">
        <f aca="false">IF($B662="","",COUNTIF($F662:$AJ662,"HA"))</f>
        <v/>
      </c>
      <c r="AN662" s="34" t="str">
        <f aca="false">IF($B662="","",COUNTIF($F662:$AJ662,"L"))</f>
        <v/>
      </c>
      <c r="AO662" s="34" t="str">
        <f aca="false">IF($B662="","",COUNTIF($F662:$AJ662,"PL"))</f>
        <v/>
      </c>
      <c r="AP662" s="34" t="str">
        <f aca="false">IF($B662="","",COUNTIF($F662:$AJ662,"CL"))</f>
        <v/>
      </c>
      <c r="AQ662" s="34" t="str">
        <f aca="false">IF($B662="","",COUNTIF($F662:$AJ662,"SL"))</f>
        <v/>
      </c>
      <c r="AR662" s="34" t="str">
        <f aca="false">IF($B662="","",COUNTIF($F662:$AJ662,"CO"))</f>
        <v/>
      </c>
      <c r="AS662" s="34" t="str">
        <f aca="false">IF($B662="","",COUNTIF($F662:$AJ662,"HPL"))</f>
        <v/>
      </c>
      <c r="AT662" s="34" t="str">
        <f aca="false">IF($B662="","",COUNTIF($F662:$AJ662,"HCL"))</f>
        <v/>
      </c>
      <c r="AU662" s="34" t="str">
        <f aca="false">IF($B662="","",COUNTIF($F662:$AJ662,"WO"))</f>
        <v/>
      </c>
      <c r="AV662" s="34" t="str">
        <f aca="false">IF($B662="","",COUNTIF($F662:$AJ662,"PH"))</f>
        <v/>
      </c>
      <c r="AW662" s="34" t="str">
        <f aca="false">IF($B662="","",COUNTIF($F662:$AJ662,"TR"))</f>
        <v/>
      </c>
      <c r="AX662" s="35" t="str">
        <f aca="false">IF($B662="","",AO662+AS662/2)</f>
        <v/>
      </c>
      <c r="AY662" s="35" t="str">
        <f aca="false">IF($B662="","",AQ662)</f>
        <v/>
      </c>
      <c r="AZ662" s="35" t="str">
        <f aca="false">IF($B662="","",AP662+AT662/2)</f>
        <v/>
      </c>
      <c r="BA662" s="35" t="str">
        <f aca="false">IF($B662="","",AK662+AN662+AM662/2+AO662+AP662+AQ662+AR662+AS662+AT662+AU662+AV662+AW662)</f>
        <v/>
      </c>
      <c r="BB662" s="35" t="str">
        <f aca="false">IF($B662="","",MAX(0,AN662-Settings!$C$16)*Settings!$C$17)</f>
        <v/>
      </c>
      <c r="BC662" s="35" t="str">
        <f aca="false">IF($B662="","",BA662-BB662)</f>
        <v/>
      </c>
      <c r="BD662" s="35" t="str">
        <f aca="false">IF(OR($B662="",$A662=""),"",DAY(EOMONTH($A662,0))-COUNTA($F662:$AJ662))</f>
        <v/>
      </c>
    </row>
    <row r="663" customFormat="false" ht="15" hidden="false" customHeight="false" outlineLevel="0" collapsed="false">
      <c r="A663" s="32"/>
      <c r="B663" s="29"/>
      <c r="C663" s="10" t="str">
        <f aca="false">IF($B663="","",IFERROR(INDEX(M_name,MATCH($B663,M_emp,0)),"Code not found"))</f>
        <v/>
      </c>
      <c r="D663" s="10" t="str">
        <f aca="false">IF($B663="","",IFERROR(INDEX(M_dept,MATCH($B663,M_emp,0)),""))</f>
        <v/>
      </c>
      <c r="E663" s="10" t="str">
        <f aca="false">IF($B663="","",IFERROR(INDEX(M_loc,MATCH($B663,M_emp,0)),""))</f>
        <v/>
      </c>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4" t="str">
        <f aca="false">IF($B663="","",COUNTIF($F663:$AJ663,"P"))</f>
        <v/>
      </c>
      <c r="AL663" s="34" t="str">
        <f aca="false">IF($B663="","",COUNTIF($F663:$AJ663,"A"))</f>
        <v/>
      </c>
      <c r="AM663" s="34" t="str">
        <f aca="false">IF($B663="","",COUNTIF($F663:$AJ663,"HA"))</f>
        <v/>
      </c>
      <c r="AN663" s="34" t="str">
        <f aca="false">IF($B663="","",COUNTIF($F663:$AJ663,"L"))</f>
        <v/>
      </c>
      <c r="AO663" s="34" t="str">
        <f aca="false">IF($B663="","",COUNTIF($F663:$AJ663,"PL"))</f>
        <v/>
      </c>
      <c r="AP663" s="34" t="str">
        <f aca="false">IF($B663="","",COUNTIF($F663:$AJ663,"CL"))</f>
        <v/>
      </c>
      <c r="AQ663" s="34" t="str">
        <f aca="false">IF($B663="","",COUNTIF($F663:$AJ663,"SL"))</f>
        <v/>
      </c>
      <c r="AR663" s="34" t="str">
        <f aca="false">IF($B663="","",COUNTIF($F663:$AJ663,"CO"))</f>
        <v/>
      </c>
      <c r="AS663" s="34" t="str">
        <f aca="false">IF($B663="","",COUNTIF($F663:$AJ663,"HPL"))</f>
        <v/>
      </c>
      <c r="AT663" s="34" t="str">
        <f aca="false">IF($B663="","",COUNTIF($F663:$AJ663,"HCL"))</f>
        <v/>
      </c>
      <c r="AU663" s="34" t="str">
        <f aca="false">IF($B663="","",COUNTIF($F663:$AJ663,"WO"))</f>
        <v/>
      </c>
      <c r="AV663" s="34" t="str">
        <f aca="false">IF($B663="","",COUNTIF($F663:$AJ663,"PH"))</f>
        <v/>
      </c>
      <c r="AW663" s="34" t="str">
        <f aca="false">IF($B663="","",COUNTIF($F663:$AJ663,"TR"))</f>
        <v/>
      </c>
      <c r="AX663" s="35" t="str">
        <f aca="false">IF($B663="","",AO663+AS663/2)</f>
        <v/>
      </c>
      <c r="AY663" s="35" t="str">
        <f aca="false">IF($B663="","",AQ663)</f>
        <v/>
      </c>
      <c r="AZ663" s="35" t="str">
        <f aca="false">IF($B663="","",AP663+AT663/2)</f>
        <v/>
      </c>
      <c r="BA663" s="35" t="str">
        <f aca="false">IF($B663="","",AK663+AN663+AM663/2+AO663+AP663+AQ663+AR663+AS663+AT663+AU663+AV663+AW663)</f>
        <v/>
      </c>
      <c r="BB663" s="35" t="str">
        <f aca="false">IF($B663="","",MAX(0,AN663-Settings!$C$16)*Settings!$C$17)</f>
        <v/>
      </c>
      <c r="BC663" s="35" t="str">
        <f aca="false">IF($B663="","",BA663-BB663)</f>
        <v/>
      </c>
      <c r="BD663" s="35" t="str">
        <f aca="false">IF(OR($B663="",$A663=""),"",DAY(EOMONTH($A663,0))-COUNTA($F663:$AJ663))</f>
        <v/>
      </c>
    </row>
    <row r="664" customFormat="false" ht="15" hidden="false" customHeight="false" outlineLevel="0" collapsed="false">
      <c r="A664" s="32"/>
      <c r="B664" s="29"/>
      <c r="C664" s="10" t="str">
        <f aca="false">IF($B664="","",IFERROR(INDEX(M_name,MATCH($B664,M_emp,0)),"Code not found"))</f>
        <v/>
      </c>
      <c r="D664" s="10" t="str">
        <f aca="false">IF($B664="","",IFERROR(INDEX(M_dept,MATCH($B664,M_emp,0)),""))</f>
        <v/>
      </c>
      <c r="E664" s="10" t="str">
        <f aca="false">IF($B664="","",IFERROR(INDEX(M_loc,MATCH($B664,M_emp,0)),""))</f>
        <v/>
      </c>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4" t="str">
        <f aca="false">IF($B664="","",COUNTIF($F664:$AJ664,"P"))</f>
        <v/>
      </c>
      <c r="AL664" s="34" t="str">
        <f aca="false">IF($B664="","",COUNTIF($F664:$AJ664,"A"))</f>
        <v/>
      </c>
      <c r="AM664" s="34" t="str">
        <f aca="false">IF($B664="","",COUNTIF($F664:$AJ664,"HA"))</f>
        <v/>
      </c>
      <c r="AN664" s="34" t="str">
        <f aca="false">IF($B664="","",COUNTIF($F664:$AJ664,"L"))</f>
        <v/>
      </c>
      <c r="AO664" s="34" t="str">
        <f aca="false">IF($B664="","",COUNTIF($F664:$AJ664,"PL"))</f>
        <v/>
      </c>
      <c r="AP664" s="34" t="str">
        <f aca="false">IF($B664="","",COUNTIF($F664:$AJ664,"CL"))</f>
        <v/>
      </c>
      <c r="AQ664" s="34" t="str">
        <f aca="false">IF($B664="","",COUNTIF($F664:$AJ664,"SL"))</f>
        <v/>
      </c>
      <c r="AR664" s="34" t="str">
        <f aca="false">IF($B664="","",COUNTIF($F664:$AJ664,"CO"))</f>
        <v/>
      </c>
      <c r="AS664" s="34" t="str">
        <f aca="false">IF($B664="","",COUNTIF($F664:$AJ664,"HPL"))</f>
        <v/>
      </c>
      <c r="AT664" s="34" t="str">
        <f aca="false">IF($B664="","",COUNTIF($F664:$AJ664,"HCL"))</f>
        <v/>
      </c>
      <c r="AU664" s="34" t="str">
        <f aca="false">IF($B664="","",COUNTIF($F664:$AJ664,"WO"))</f>
        <v/>
      </c>
      <c r="AV664" s="34" t="str">
        <f aca="false">IF($B664="","",COUNTIF($F664:$AJ664,"PH"))</f>
        <v/>
      </c>
      <c r="AW664" s="34" t="str">
        <f aca="false">IF($B664="","",COUNTIF($F664:$AJ664,"TR"))</f>
        <v/>
      </c>
      <c r="AX664" s="35" t="str">
        <f aca="false">IF($B664="","",AO664+AS664/2)</f>
        <v/>
      </c>
      <c r="AY664" s="35" t="str">
        <f aca="false">IF($B664="","",AQ664)</f>
        <v/>
      </c>
      <c r="AZ664" s="35" t="str">
        <f aca="false">IF($B664="","",AP664+AT664/2)</f>
        <v/>
      </c>
      <c r="BA664" s="35" t="str">
        <f aca="false">IF($B664="","",AK664+AN664+AM664/2+AO664+AP664+AQ664+AR664+AS664+AT664+AU664+AV664+AW664)</f>
        <v/>
      </c>
      <c r="BB664" s="35" t="str">
        <f aca="false">IF($B664="","",MAX(0,AN664-Settings!$C$16)*Settings!$C$17)</f>
        <v/>
      </c>
      <c r="BC664" s="35" t="str">
        <f aca="false">IF($B664="","",BA664-BB664)</f>
        <v/>
      </c>
      <c r="BD664" s="35" t="str">
        <f aca="false">IF(OR($B664="",$A664=""),"",DAY(EOMONTH($A664,0))-COUNTA($F664:$AJ664))</f>
        <v/>
      </c>
    </row>
    <row r="665" customFormat="false" ht="15" hidden="false" customHeight="false" outlineLevel="0" collapsed="false">
      <c r="A665" s="32"/>
      <c r="B665" s="29"/>
      <c r="C665" s="10" t="str">
        <f aca="false">IF($B665="","",IFERROR(INDEX(M_name,MATCH($B665,M_emp,0)),"Code not found"))</f>
        <v/>
      </c>
      <c r="D665" s="10" t="str">
        <f aca="false">IF($B665="","",IFERROR(INDEX(M_dept,MATCH($B665,M_emp,0)),""))</f>
        <v/>
      </c>
      <c r="E665" s="10" t="str">
        <f aca="false">IF($B665="","",IFERROR(INDEX(M_loc,MATCH($B665,M_emp,0)),""))</f>
        <v/>
      </c>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4" t="str">
        <f aca="false">IF($B665="","",COUNTIF($F665:$AJ665,"P"))</f>
        <v/>
      </c>
      <c r="AL665" s="34" t="str">
        <f aca="false">IF($B665="","",COUNTIF($F665:$AJ665,"A"))</f>
        <v/>
      </c>
      <c r="AM665" s="34" t="str">
        <f aca="false">IF($B665="","",COUNTIF($F665:$AJ665,"HA"))</f>
        <v/>
      </c>
      <c r="AN665" s="34" t="str">
        <f aca="false">IF($B665="","",COUNTIF($F665:$AJ665,"L"))</f>
        <v/>
      </c>
      <c r="AO665" s="34" t="str">
        <f aca="false">IF($B665="","",COUNTIF($F665:$AJ665,"PL"))</f>
        <v/>
      </c>
      <c r="AP665" s="34" t="str">
        <f aca="false">IF($B665="","",COUNTIF($F665:$AJ665,"CL"))</f>
        <v/>
      </c>
      <c r="AQ665" s="34" t="str">
        <f aca="false">IF($B665="","",COUNTIF($F665:$AJ665,"SL"))</f>
        <v/>
      </c>
      <c r="AR665" s="34" t="str">
        <f aca="false">IF($B665="","",COUNTIF($F665:$AJ665,"CO"))</f>
        <v/>
      </c>
      <c r="AS665" s="34" t="str">
        <f aca="false">IF($B665="","",COUNTIF($F665:$AJ665,"HPL"))</f>
        <v/>
      </c>
      <c r="AT665" s="34" t="str">
        <f aca="false">IF($B665="","",COUNTIF($F665:$AJ665,"HCL"))</f>
        <v/>
      </c>
      <c r="AU665" s="34" t="str">
        <f aca="false">IF($B665="","",COUNTIF($F665:$AJ665,"WO"))</f>
        <v/>
      </c>
      <c r="AV665" s="34" t="str">
        <f aca="false">IF($B665="","",COUNTIF($F665:$AJ665,"PH"))</f>
        <v/>
      </c>
      <c r="AW665" s="34" t="str">
        <f aca="false">IF($B665="","",COUNTIF($F665:$AJ665,"TR"))</f>
        <v/>
      </c>
      <c r="AX665" s="35" t="str">
        <f aca="false">IF($B665="","",AO665+AS665/2)</f>
        <v/>
      </c>
      <c r="AY665" s="35" t="str">
        <f aca="false">IF($B665="","",AQ665)</f>
        <v/>
      </c>
      <c r="AZ665" s="35" t="str">
        <f aca="false">IF($B665="","",AP665+AT665/2)</f>
        <v/>
      </c>
      <c r="BA665" s="35" t="str">
        <f aca="false">IF($B665="","",AK665+AN665+AM665/2+AO665+AP665+AQ665+AR665+AS665+AT665+AU665+AV665+AW665)</f>
        <v/>
      </c>
      <c r="BB665" s="35" t="str">
        <f aca="false">IF($B665="","",MAX(0,AN665-Settings!$C$16)*Settings!$C$17)</f>
        <v/>
      </c>
      <c r="BC665" s="35" t="str">
        <f aca="false">IF($B665="","",BA665-BB665)</f>
        <v/>
      </c>
      <c r="BD665" s="35" t="str">
        <f aca="false">IF(OR($B665="",$A665=""),"",DAY(EOMONTH($A665,0))-COUNTA($F665:$AJ665))</f>
        <v/>
      </c>
    </row>
    <row r="666" customFormat="false" ht="15" hidden="false" customHeight="false" outlineLevel="0" collapsed="false">
      <c r="A666" s="32"/>
      <c r="B666" s="29"/>
      <c r="C666" s="10" t="str">
        <f aca="false">IF($B666="","",IFERROR(INDEX(M_name,MATCH($B666,M_emp,0)),"Code not found"))</f>
        <v/>
      </c>
      <c r="D666" s="10" t="str">
        <f aca="false">IF($B666="","",IFERROR(INDEX(M_dept,MATCH($B666,M_emp,0)),""))</f>
        <v/>
      </c>
      <c r="E666" s="10" t="str">
        <f aca="false">IF($B666="","",IFERROR(INDEX(M_loc,MATCH($B666,M_emp,0)),""))</f>
        <v/>
      </c>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4" t="str">
        <f aca="false">IF($B666="","",COUNTIF($F666:$AJ666,"P"))</f>
        <v/>
      </c>
      <c r="AL666" s="34" t="str">
        <f aca="false">IF($B666="","",COUNTIF($F666:$AJ666,"A"))</f>
        <v/>
      </c>
      <c r="AM666" s="34" t="str">
        <f aca="false">IF($B666="","",COUNTIF($F666:$AJ666,"HA"))</f>
        <v/>
      </c>
      <c r="AN666" s="34" t="str">
        <f aca="false">IF($B666="","",COUNTIF($F666:$AJ666,"L"))</f>
        <v/>
      </c>
      <c r="AO666" s="34" t="str">
        <f aca="false">IF($B666="","",COUNTIF($F666:$AJ666,"PL"))</f>
        <v/>
      </c>
      <c r="AP666" s="34" t="str">
        <f aca="false">IF($B666="","",COUNTIF($F666:$AJ666,"CL"))</f>
        <v/>
      </c>
      <c r="AQ666" s="34" t="str">
        <f aca="false">IF($B666="","",COUNTIF($F666:$AJ666,"SL"))</f>
        <v/>
      </c>
      <c r="AR666" s="34" t="str">
        <f aca="false">IF($B666="","",COUNTIF($F666:$AJ666,"CO"))</f>
        <v/>
      </c>
      <c r="AS666" s="34" t="str">
        <f aca="false">IF($B666="","",COUNTIF($F666:$AJ666,"HPL"))</f>
        <v/>
      </c>
      <c r="AT666" s="34" t="str">
        <f aca="false">IF($B666="","",COUNTIF($F666:$AJ666,"HCL"))</f>
        <v/>
      </c>
      <c r="AU666" s="34" t="str">
        <f aca="false">IF($B666="","",COUNTIF($F666:$AJ666,"WO"))</f>
        <v/>
      </c>
      <c r="AV666" s="34" t="str">
        <f aca="false">IF($B666="","",COUNTIF($F666:$AJ666,"PH"))</f>
        <v/>
      </c>
      <c r="AW666" s="34" t="str">
        <f aca="false">IF($B666="","",COUNTIF($F666:$AJ666,"TR"))</f>
        <v/>
      </c>
      <c r="AX666" s="35" t="str">
        <f aca="false">IF($B666="","",AO666+AS666/2)</f>
        <v/>
      </c>
      <c r="AY666" s="35" t="str">
        <f aca="false">IF($B666="","",AQ666)</f>
        <v/>
      </c>
      <c r="AZ666" s="35" t="str">
        <f aca="false">IF($B666="","",AP666+AT666/2)</f>
        <v/>
      </c>
      <c r="BA666" s="35" t="str">
        <f aca="false">IF($B666="","",AK666+AN666+AM666/2+AO666+AP666+AQ666+AR666+AS666+AT666+AU666+AV666+AW666)</f>
        <v/>
      </c>
      <c r="BB666" s="35" t="str">
        <f aca="false">IF($B666="","",MAX(0,AN666-Settings!$C$16)*Settings!$C$17)</f>
        <v/>
      </c>
      <c r="BC666" s="35" t="str">
        <f aca="false">IF($B666="","",BA666-BB666)</f>
        <v/>
      </c>
      <c r="BD666" s="35" t="str">
        <f aca="false">IF(OR($B666="",$A666=""),"",DAY(EOMONTH($A666,0))-COUNTA($F666:$AJ666))</f>
        <v/>
      </c>
    </row>
    <row r="667" customFormat="false" ht="15" hidden="false" customHeight="false" outlineLevel="0" collapsed="false">
      <c r="A667" s="32"/>
      <c r="B667" s="29"/>
      <c r="C667" s="10" t="str">
        <f aca="false">IF($B667="","",IFERROR(INDEX(M_name,MATCH($B667,M_emp,0)),"Code not found"))</f>
        <v/>
      </c>
      <c r="D667" s="10" t="str">
        <f aca="false">IF($B667="","",IFERROR(INDEX(M_dept,MATCH($B667,M_emp,0)),""))</f>
        <v/>
      </c>
      <c r="E667" s="10" t="str">
        <f aca="false">IF($B667="","",IFERROR(INDEX(M_loc,MATCH($B667,M_emp,0)),""))</f>
        <v/>
      </c>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4" t="str">
        <f aca="false">IF($B667="","",COUNTIF($F667:$AJ667,"P"))</f>
        <v/>
      </c>
      <c r="AL667" s="34" t="str">
        <f aca="false">IF($B667="","",COUNTIF($F667:$AJ667,"A"))</f>
        <v/>
      </c>
      <c r="AM667" s="34" t="str">
        <f aca="false">IF($B667="","",COUNTIF($F667:$AJ667,"HA"))</f>
        <v/>
      </c>
      <c r="AN667" s="34" t="str">
        <f aca="false">IF($B667="","",COUNTIF($F667:$AJ667,"L"))</f>
        <v/>
      </c>
      <c r="AO667" s="34" t="str">
        <f aca="false">IF($B667="","",COUNTIF($F667:$AJ667,"PL"))</f>
        <v/>
      </c>
      <c r="AP667" s="34" t="str">
        <f aca="false">IF($B667="","",COUNTIF($F667:$AJ667,"CL"))</f>
        <v/>
      </c>
      <c r="AQ667" s="34" t="str">
        <f aca="false">IF($B667="","",COUNTIF($F667:$AJ667,"SL"))</f>
        <v/>
      </c>
      <c r="AR667" s="34" t="str">
        <f aca="false">IF($B667="","",COUNTIF($F667:$AJ667,"CO"))</f>
        <v/>
      </c>
      <c r="AS667" s="34" t="str">
        <f aca="false">IF($B667="","",COUNTIF($F667:$AJ667,"HPL"))</f>
        <v/>
      </c>
      <c r="AT667" s="34" t="str">
        <f aca="false">IF($B667="","",COUNTIF($F667:$AJ667,"HCL"))</f>
        <v/>
      </c>
      <c r="AU667" s="34" t="str">
        <f aca="false">IF($B667="","",COUNTIF($F667:$AJ667,"WO"))</f>
        <v/>
      </c>
      <c r="AV667" s="34" t="str">
        <f aca="false">IF($B667="","",COUNTIF($F667:$AJ667,"PH"))</f>
        <v/>
      </c>
      <c r="AW667" s="34" t="str">
        <f aca="false">IF($B667="","",COUNTIF($F667:$AJ667,"TR"))</f>
        <v/>
      </c>
      <c r="AX667" s="35" t="str">
        <f aca="false">IF($B667="","",AO667+AS667/2)</f>
        <v/>
      </c>
      <c r="AY667" s="35" t="str">
        <f aca="false">IF($B667="","",AQ667)</f>
        <v/>
      </c>
      <c r="AZ667" s="35" t="str">
        <f aca="false">IF($B667="","",AP667+AT667/2)</f>
        <v/>
      </c>
      <c r="BA667" s="35" t="str">
        <f aca="false">IF($B667="","",AK667+AN667+AM667/2+AO667+AP667+AQ667+AR667+AS667+AT667+AU667+AV667+AW667)</f>
        <v/>
      </c>
      <c r="BB667" s="35" t="str">
        <f aca="false">IF($B667="","",MAX(0,AN667-Settings!$C$16)*Settings!$C$17)</f>
        <v/>
      </c>
      <c r="BC667" s="35" t="str">
        <f aca="false">IF($B667="","",BA667-BB667)</f>
        <v/>
      </c>
      <c r="BD667" s="35" t="str">
        <f aca="false">IF(OR($B667="",$A667=""),"",DAY(EOMONTH($A667,0))-COUNTA($F667:$AJ667))</f>
        <v/>
      </c>
    </row>
    <row r="668" customFormat="false" ht="15" hidden="false" customHeight="false" outlineLevel="0" collapsed="false">
      <c r="A668" s="32"/>
      <c r="B668" s="29"/>
      <c r="C668" s="10" t="str">
        <f aca="false">IF($B668="","",IFERROR(INDEX(M_name,MATCH($B668,M_emp,0)),"Code not found"))</f>
        <v/>
      </c>
      <c r="D668" s="10" t="str">
        <f aca="false">IF($B668="","",IFERROR(INDEX(M_dept,MATCH($B668,M_emp,0)),""))</f>
        <v/>
      </c>
      <c r="E668" s="10" t="str">
        <f aca="false">IF($B668="","",IFERROR(INDEX(M_loc,MATCH($B668,M_emp,0)),""))</f>
        <v/>
      </c>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4" t="str">
        <f aca="false">IF($B668="","",COUNTIF($F668:$AJ668,"P"))</f>
        <v/>
      </c>
      <c r="AL668" s="34" t="str">
        <f aca="false">IF($B668="","",COUNTIF($F668:$AJ668,"A"))</f>
        <v/>
      </c>
      <c r="AM668" s="34" t="str">
        <f aca="false">IF($B668="","",COUNTIF($F668:$AJ668,"HA"))</f>
        <v/>
      </c>
      <c r="AN668" s="34" t="str">
        <f aca="false">IF($B668="","",COUNTIF($F668:$AJ668,"L"))</f>
        <v/>
      </c>
      <c r="AO668" s="34" t="str">
        <f aca="false">IF($B668="","",COUNTIF($F668:$AJ668,"PL"))</f>
        <v/>
      </c>
      <c r="AP668" s="34" t="str">
        <f aca="false">IF($B668="","",COUNTIF($F668:$AJ668,"CL"))</f>
        <v/>
      </c>
      <c r="AQ668" s="34" t="str">
        <f aca="false">IF($B668="","",COUNTIF($F668:$AJ668,"SL"))</f>
        <v/>
      </c>
      <c r="AR668" s="34" t="str">
        <f aca="false">IF($B668="","",COUNTIF($F668:$AJ668,"CO"))</f>
        <v/>
      </c>
      <c r="AS668" s="34" t="str">
        <f aca="false">IF($B668="","",COUNTIF($F668:$AJ668,"HPL"))</f>
        <v/>
      </c>
      <c r="AT668" s="34" t="str">
        <f aca="false">IF($B668="","",COUNTIF($F668:$AJ668,"HCL"))</f>
        <v/>
      </c>
      <c r="AU668" s="34" t="str">
        <f aca="false">IF($B668="","",COUNTIF($F668:$AJ668,"WO"))</f>
        <v/>
      </c>
      <c r="AV668" s="34" t="str">
        <f aca="false">IF($B668="","",COUNTIF($F668:$AJ668,"PH"))</f>
        <v/>
      </c>
      <c r="AW668" s="34" t="str">
        <f aca="false">IF($B668="","",COUNTIF($F668:$AJ668,"TR"))</f>
        <v/>
      </c>
      <c r="AX668" s="35" t="str">
        <f aca="false">IF($B668="","",AO668+AS668/2)</f>
        <v/>
      </c>
      <c r="AY668" s="35" t="str">
        <f aca="false">IF($B668="","",AQ668)</f>
        <v/>
      </c>
      <c r="AZ668" s="35" t="str">
        <f aca="false">IF($B668="","",AP668+AT668/2)</f>
        <v/>
      </c>
      <c r="BA668" s="35" t="str">
        <f aca="false">IF($B668="","",AK668+AN668+AM668/2+AO668+AP668+AQ668+AR668+AS668+AT668+AU668+AV668+AW668)</f>
        <v/>
      </c>
      <c r="BB668" s="35" t="str">
        <f aca="false">IF($B668="","",MAX(0,AN668-Settings!$C$16)*Settings!$C$17)</f>
        <v/>
      </c>
      <c r="BC668" s="35" t="str">
        <f aca="false">IF($B668="","",BA668-BB668)</f>
        <v/>
      </c>
      <c r="BD668" s="35" t="str">
        <f aca="false">IF(OR($B668="",$A668=""),"",DAY(EOMONTH($A668,0))-COUNTA($F668:$AJ668))</f>
        <v/>
      </c>
    </row>
    <row r="669" customFormat="false" ht="15" hidden="false" customHeight="false" outlineLevel="0" collapsed="false">
      <c r="A669" s="32"/>
      <c r="B669" s="29"/>
      <c r="C669" s="10" t="str">
        <f aca="false">IF($B669="","",IFERROR(INDEX(M_name,MATCH($B669,M_emp,0)),"Code not found"))</f>
        <v/>
      </c>
      <c r="D669" s="10" t="str">
        <f aca="false">IF($B669="","",IFERROR(INDEX(M_dept,MATCH($B669,M_emp,0)),""))</f>
        <v/>
      </c>
      <c r="E669" s="10" t="str">
        <f aca="false">IF($B669="","",IFERROR(INDEX(M_loc,MATCH($B669,M_emp,0)),""))</f>
        <v/>
      </c>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4" t="str">
        <f aca="false">IF($B669="","",COUNTIF($F669:$AJ669,"P"))</f>
        <v/>
      </c>
      <c r="AL669" s="34" t="str">
        <f aca="false">IF($B669="","",COUNTIF($F669:$AJ669,"A"))</f>
        <v/>
      </c>
      <c r="AM669" s="34" t="str">
        <f aca="false">IF($B669="","",COUNTIF($F669:$AJ669,"HA"))</f>
        <v/>
      </c>
      <c r="AN669" s="34" t="str">
        <f aca="false">IF($B669="","",COUNTIF($F669:$AJ669,"L"))</f>
        <v/>
      </c>
      <c r="AO669" s="34" t="str">
        <f aca="false">IF($B669="","",COUNTIF($F669:$AJ669,"PL"))</f>
        <v/>
      </c>
      <c r="AP669" s="34" t="str">
        <f aca="false">IF($B669="","",COUNTIF($F669:$AJ669,"CL"))</f>
        <v/>
      </c>
      <c r="AQ669" s="34" t="str">
        <f aca="false">IF($B669="","",COUNTIF($F669:$AJ669,"SL"))</f>
        <v/>
      </c>
      <c r="AR669" s="34" t="str">
        <f aca="false">IF($B669="","",COUNTIF($F669:$AJ669,"CO"))</f>
        <v/>
      </c>
      <c r="AS669" s="34" t="str">
        <f aca="false">IF($B669="","",COUNTIF($F669:$AJ669,"HPL"))</f>
        <v/>
      </c>
      <c r="AT669" s="34" t="str">
        <f aca="false">IF($B669="","",COUNTIF($F669:$AJ669,"HCL"))</f>
        <v/>
      </c>
      <c r="AU669" s="34" t="str">
        <f aca="false">IF($B669="","",COUNTIF($F669:$AJ669,"WO"))</f>
        <v/>
      </c>
      <c r="AV669" s="34" t="str">
        <f aca="false">IF($B669="","",COUNTIF($F669:$AJ669,"PH"))</f>
        <v/>
      </c>
      <c r="AW669" s="34" t="str">
        <f aca="false">IF($B669="","",COUNTIF($F669:$AJ669,"TR"))</f>
        <v/>
      </c>
      <c r="AX669" s="35" t="str">
        <f aca="false">IF($B669="","",AO669+AS669/2)</f>
        <v/>
      </c>
      <c r="AY669" s="35" t="str">
        <f aca="false">IF($B669="","",AQ669)</f>
        <v/>
      </c>
      <c r="AZ669" s="35" t="str">
        <f aca="false">IF($B669="","",AP669+AT669/2)</f>
        <v/>
      </c>
      <c r="BA669" s="35" t="str">
        <f aca="false">IF($B669="","",AK669+AN669+AM669/2+AO669+AP669+AQ669+AR669+AS669+AT669+AU669+AV669+AW669)</f>
        <v/>
      </c>
      <c r="BB669" s="35" t="str">
        <f aca="false">IF($B669="","",MAX(0,AN669-Settings!$C$16)*Settings!$C$17)</f>
        <v/>
      </c>
      <c r="BC669" s="35" t="str">
        <f aca="false">IF($B669="","",BA669-BB669)</f>
        <v/>
      </c>
      <c r="BD669" s="35" t="str">
        <f aca="false">IF(OR($B669="",$A669=""),"",DAY(EOMONTH($A669,0))-COUNTA($F669:$AJ669))</f>
        <v/>
      </c>
    </row>
    <row r="670" customFormat="false" ht="15" hidden="false" customHeight="false" outlineLevel="0" collapsed="false">
      <c r="A670" s="32"/>
      <c r="B670" s="29"/>
      <c r="C670" s="10" t="str">
        <f aca="false">IF($B670="","",IFERROR(INDEX(M_name,MATCH($B670,M_emp,0)),"Code not found"))</f>
        <v/>
      </c>
      <c r="D670" s="10" t="str">
        <f aca="false">IF($B670="","",IFERROR(INDEX(M_dept,MATCH($B670,M_emp,0)),""))</f>
        <v/>
      </c>
      <c r="E670" s="10" t="str">
        <f aca="false">IF($B670="","",IFERROR(INDEX(M_loc,MATCH($B670,M_emp,0)),""))</f>
        <v/>
      </c>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4" t="str">
        <f aca="false">IF($B670="","",COUNTIF($F670:$AJ670,"P"))</f>
        <v/>
      </c>
      <c r="AL670" s="34" t="str">
        <f aca="false">IF($B670="","",COUNTIF($F670:$AJ670,"A"))</f>
        <v/>
      </c>
      <c r="AM670" s="34" t="str">
        <f aca="false">IF($B670="","",COUNTIF($F670:$AJ670,"HA"))</f>
        <v/>
      </c>
      <c r="AN670" s="34" t="str">
        <f aca="false">IF($B670="","",COUNTIF($F670:$AJ670,"L"))</f>
        <v/>
      </c>
      <c r="AO670" s="34" t="str">
        <f aca="false">IF($B670="","",COUNTIF($F670:$AJ670,"PL"))</f>
        <v/>
      </c>
      <c r="AP670" s="34" t="str">
        <f aca="false">IF($B670="","",COUNTIF($F670:$AJ670,"CL"))</f>
        <v/>
      </c>
      <c r="AQ670" s="34" t="str">
        <f aca="false">IF($B670="","",COUNTIF($F670:$AJ670,"SL"))</f>
        <v/>
      </c>
      <c r="AR670" s="34" t="str">
        <f aca="false">IF($B670="","",COUNTIF($F670:$AJ670,"CO"))</f>
        <v/>
      </c>
      <c r="AS670" s="34" t="str">
        <f aca="false">IF($B670="","",COUNTIF($F670:$AJ670,"HPL"))</f>
        <v/>
      </c>
      <c r="AT670" s="34" t="str">
        <f aca="false">IF($B670="","",COUNTIF($F670:$AJ670,"HCL"))</f>
        <v/>
      </c>
      <c r="AU670" s="34" t="str">
        <f aca="false">IF($B670="","",COUNTIF($F670:$AJ670,"WO"))</f>
        <v/>
      </c>
      <c r="AV670" s="34" t="str">
        <f aca="false">IF($B670="","",COUNTIF($F670:$AJ670,"PH"))</f>
        <v/>
      </c>
      <c r="AW670" s="34" t="str">
        <f aca="false">IF($B670="","",COUNTIF($F670:$AJ670,"TR"))</f>
        <v/>
      </c>
      <c r="AX670" s="35" t="str">
        <f aca="false">IF($B670="","",AO670+AS670/2)</f>
        <v/>
      </c>
      <c r="AY670" s="35" t="str">
        <f aca="false">IF($B670="","",AQ670)</f>
        <v/>
      </c>
      <c r="AZ670" s="35" t="str">
        <f aca="false">IF($B670="","",AP670+AT670/2)</f>
        <v/>
      </c>
      <c r="BA670" s="35" t="str">
        <f aca="false">IF($B670="","",AK670+AN670+AM670/2+AO670+AP670+AQ670+AR670+AS670+AT670+AU670+AV670+AW670)</f>
        <v/>
      </c>
      <c r="BB670" s="35" t="str">
        <f aca="false">IF($B670="","",MAX(0,AN670-Settings!$C$16)*Settings!$C$17)</f>
        <v/>
      </c>
      <c r="BC670" s="35" t="str">
        <f aca="false">IF($B670="","",BA670-BB670)</f>
        <v/>
      </c>
      <c r="BD670" s="35" t="str">
        <f aca="false">IF(OR($B670="",$A670=""),"",DAY(EOMONTH($A670,0))-COUNTA($F670:$AJ670))</f>
        <v/>
      </c>
    </row>
    <row r="671" customFormat="false" ht="15" hidden="false" customHeight="false" outlineLevel="0" collapsed="false">
      <c r="A671" s="32"/>
      <c r="B671" s="29"/>
      <c r="C671" s="10" t="str">
        <f aca="false">IF($B671="","",IFERROR(INDEX(M_name,MATCH($B671,M_emp,0)),"Code not found"))</f>
        <v/>
      </c>
      <c r="D671" s="10" t="str">
        <f aca="false">IF($B671="","",IFERROR(INDEX(M_dept,MATCH($B671,M_emp,0)),""))</f>
        <v/>
      </c>
      <c r="E671" s="10" t="str">
        <f aca="false">IF($B671="","",IFERROR(INDEX(M_loc,MATCH($B671,M_emp,0)),""))</f>
        <v/>
      </c>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4" t="str">
        <f aca="false">IF($B671="","",COUNTIF($F671:$AJ671,"P"))</f>
        <v/>
      </c>
      <c r="AL671" s="34" t="str">
        <f aca="false">IF($B671="","",COUNTIF($F671:$AJ671,"A"))</f>
        <v/>
      </c>
      <c r="AM671" s="34" t="str">
        <f aca="false">IF($B671="","",COUNTIF($F671:$AJ671,"HA"))</f>
        <v/>
      </c>
      <c r="AN671" s="34" t="str">
        <f aca="false">IF($B671="","",COUNTIF($F671:$AJ671,"L"))</f>
        <v/>
      </c>
      <c r="AO671" s="34" t="str">
        <f aca="false">IF($B671="","",COUNTIF($F671:$AJ671,"PL"))</f>
        <v/>
      </c>
      <c r="AP671" s="34" t="str">
        <f aca="false">IF($B671="","",COUNTIF($F671:$AJ671,"CL"))</f>
        <v/>
      </c>
      <c r="AQ671" s="34" t="str">
        <f aca="false">IF($B671="","",COUNTIF($F671:$AJ671,"SL"))</f>
        <v/>
      </c>
      <c r="AR671" s="34" t="str">
        <f aca="false">IF($B671="","",COUNTIF($F671:$AJ671,"CO"))</f>
        <v/>
      </c>
      <c r="AS671" s="34" t="str">
        <f aca="false">IF($B671="","",COUNTIF($F671:$AJ671,"HPL"))</f>
        <v/>
      </c>
      <c r="AT671" s="34" t="str">
        <f aca="false">IF($B671="","",COUNTIF($F671:$AJ671,"HCL"))</f>
        <v/>
      </c>
      <c r="AU671" s="34" t="str">
        <f aca="false">IF($B671="","",COUNTIF($F671:$AJ671,"WO"))</f>
        <v/>
      </c>
      <c r="AV671" s="34" t="str">
        <f aca="false">IF($B671="","",COUNTIF($F671:$AJ671,"PH"))</f>
        <v/>
      </c>
      <c r="AW671" s="34" t="str">
        <f aca="false">IF($B671="","",COUNTIF($F671:$AJ671,"TR"))</f>
        <v/>
      </c>
      <c r="AX671" s="35" t="str">
        <f aca="false">IF($B671="","",AO671+AS671/2)</f>
        <v/>
      </c>
      <c r="AY671" s="35" t="str">
        <f aca="false">IF($B671="","",AQ671)</f>
        <v/>
      </c>
      <c r="AZ671" s="35" t="str">
        <f aca="false">IF($B671="","",AP671+AT671/2)</f>
        <v/>
      </c>
      <c r="BA671" s="35" t="str">
        <f aca="false">IF($B671="","",AK671+AN671+AM671/2+AO671+AP671+AQ671+AR671+AS671+AT671+AU671+AV671+AW671)</f>
        <v/>
      </c>
      <c r="BB671" s="35" t="str">
        <f aca="false">IF($B671="","",MAX(0,AN671-Settings!$C$16)*Settings!$C$17)</f>
        <v/>
      </c>
      <c r="BC671" s="35" t="str">
        <f aca="false">IF($B671="","",BA671-BB671)</f>
        <v/>
      </c>
      <c r="BD671" s="35" t="str">
        <f aca="false">IF(OR($B671="",$A671=""),"",DAY(EOMONTH($A671,0))-COUNTA($F671:$AJ671))</f>
        <v/>
      </c>
    </row>
    <row r="672" customFormat="false" ht="15" hidden="false" customHeight="false" outlineLevel="0" collapsed="false">
      <c r="A672" s="32"/>
      <c r="B672" s="29"/>
      <c r="C672" s="10" t="str">
        <f aca="false">IF($B672="","",IFERROR(INDEX(M_name,MATCH($B672,M_emp,0)),"Code not found"))</f>
        <v/>
      </c>
      <c r="D672" s="10" t="str">
        <f aca="false">IF($B672="","",IFERROR(INDEX(M_dept,MATCH($B672,M_emp,0)),""))</f>
        <v/>
      </c>
      <c r="E672" s="10" t="str">
        <f aca="false">IF($B672="","",IFERROR(INDEX(M_loc,MATCH($B672,M_emp,0)),""))</f>
        <v/>
      </c>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4" t="str">
        <f aca="false">IF($B672="","",COUNTIF($F672:$AJ672,"P"))</f>
        <v/>
      </c>
      <c r="AL672" s="34" t="str">
        <f aca="false">IF($B672="","",COUNTIF($F672:$AJ672,"A"))</f>
        <v/>
      </c>
      <c r="AM672" s="34" t="str">
        <f aca="false">IF($B672="","",COUNTIF($F672:$AJ672,"HA"))</f>
        <v/>
      </c>
      <c r="AN672" s="34" t="str">
        <f aca="false">IF($B672="","",COUNTIF($F672:$AJ672,"L"))</f>
        <v/>
      </c>
      <c r="AO672" s="34" t="str">
        <f aca="false">IF($B672="","",COUNTIF($F672:$AJ672,"PL"))</f>
        <v/>
      </c>
      <c r="AP672" s="34" t="str">
        <f aca="false">IF($B672="","",COUNTIF($F672:$AJ672,"CL"))</f>
        <v/>
      </c>
      <c r="AQ672" s="34" t="str">
        <f aca="false">IF($B672="","",COUNTIF($F672:$AJ672,"SL"))</f>
        <v/>
      </c>
      <c r="AR672" s="34" t="str">
        <f aca="false">IF($B672="","",COUNTIF($F672:$AJ672,"CO"))</f>
        <v/>
      </c>
      <c r="AS672" s="34" t="str">
        <f aca="false">IF($B672="","",COUNTIF($F672:$AJ672,"HPL"))</f>
        <v/>
      </c>
      <c r="AT672" s="34" t="str">
        <f aca="false">IF($B672="","",COUNTIF($F672:$AJ672,"HCL"))</f>
        <v/>
      </c>
      <c r="AU672" s="34" t="str">
        <f aca="false">IF($B672="","",COUNTIF($F672:$AJ672,"WO"))</f>
        <v/>
      </c>
      <c r="AV672" s="34" t="str">
        <f aca="false">IF($B672="","",COUNTIF($F672:$AJ672,"PH"))</f>
        <v/>
      </c>
      <c r="AW672" s="34" t="str">
        <f aca="false">IF($B672="","",COUNTIF($F672:$AJ672,"TR"))</f>
        <v/>
      </c>
      <c r="AX672" s="35" t="str">
        <f aca="false">IF($B672="","",AO672+AS672/2)</f>
        <v/>
      </c>
      <c r="AY672" s="35" t="str">
        <f aca="false">IF($B672="","",AQ672)</f>
        <v/>
      </c>
      <c r="AZ672" s="35" t="str">
        <f aca="false">IF($B672="","",AP672+AT672/2)</f>
        <v/>
      </c>
      <c r="BA672" s="35" t="str">
        <f aca="false">IF($B672="","",AK672+AN672+AM672/2+AO672+AP672+AQ672+AR672+AS672+AT672+AU672+AV672+AW672)</f>
        <v/>
      </c>
      <c r="BB672" s="35" t="str">
        <f aca="false">IF($B672="","",MAX(0,AN672-Settings!$C$16)*Settings!$C$17)</f>
        <v/>
      </c>
      <c r="BC672" s="35" t="str">
        <f aca="false">IF($B672="","",BA672-BB672)</f>
        <v/>
      </c>
      <c r="BD672" s="35" t="str">
        <f aca="false">IF(OR($B672="",$A672=""),"",DAY(EOMONTH($A672,0))-COUNTA($F672:$AJ672))</f>
        <v/>
      </c>
    </row>
    <row r="673" customFormat="false" ht="15" hidden="false" customHeight="false" outlineLevel="0" collapsed="false">
      <c r="A673" s="32"/>
      <c r="B673" s="29"/>
      <c r="C673" s="10" t="str">
        <f aca="false">IF($B673="","",IFERROR(INDEX(M_name,MATCH($B673,M_emp,0)),"Code not found"))</f>
        <v/>
      </c>
      <c r="D673" s="10" t="str">
        <f aca="false">IF($B673="","",IFERROR(INDEX(M_dept,MATCH($B673,M_emp,0)),""))</f>
        <v/>
      </c>
      <c r="E673" s="10" t="str">
        <f aca="false">IF($B673="","",IFERROR(INDEX(M_loc,MATCH($B673,M_emp,0)),""))</f>
        <v/>
      </c>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4" t="str">
        <f aca="false">IF($B673="","",COUNTIF($F673:$AJ673,"P"))</f>
        <v/>
      </c>
      <c r="AL673" s="34" t="str">
        <f aca="false">IF($B673="","",COUNTIF($F673:$AJ673,"A"))</f>
        <v/>
      </c>
      <c r="AM673" s="34" t="str">
        <f aca="false">IF($B673="","",COUNTIF($F673:$AJ673,"HA"))</f>
        <v/>
      </c>
      <c r="AN673" s="34" t="str">
        <f aca="false">IF($B673="","",COUNTIF($F673:$AJ673,"L"))</f>
        <v/>
      </c>
      <c r="AO673" s="34" t="str">
        <f aca="false">IF($B673="","",COUNTIF($F673:$AJ673,"PL"))</f>
        <v/>
      </c>
      <c r="AP673" s="34" t="str">
        <f aca="false">IF($B673="","",COUNTIF($F673:$AJ673,"CL"))</f>
        <v/>
      </c>
      <c r="AQ673" s="34" t="str">
        <f aca="false">IF($B673="","",COUNTIF($F673:$AJ673,"SL"))</f>
        <v/>
      </c>
      <c r="AR673" s="34" t="str">
        <f aca="false">IF($B673="","",COUNTIF($F673:$AJ673,"CO"))</f>
        <v/>
      </c>
      <c r="AS673" s="34" t="str">
        <f aca="false">IF($B673="","",COUNTIF($F673:$AJ673,"HPL"))</f>
        <v/>
      </c>
      <c r="AT673" s="34" t="str">
        <f aca="false">IF($B673="","",COUNTIF($F673:$AJ673,"HCL"))</f>
        <v/>
      </c>
      <c r="AU673" s="34" t="str">
        <f aca="false">IF($B673="","",COUNTIF($F673:$AJ673,"WO"))</f>
        <v/>
      </c>
      <c r="AV673" s="34" t="str">
        <f aca="false">IF($B673="","",COUNTIF($F673:$AJ673,"PH"))</f>
        <v/>
      </c>
      <c r="AW673" s="34" t="str">
        <f aca="false">IF($B673="","",COUNTIF($F673:$AJ673,"TR"))</f>
        <v/>
      </c>
      <c r="AX673" s="35" t="str">
        <f aca="false">IF($B673="","",AO673+AS673/2)</f>
        <v/>
      </c>
      <c r="AY673" s="35" t="str">
        <f aca="false">IF($B673="","",AQ673)</f>
        <v/>
      </c>
      <c r="AZ673" s="35" t="str">
        <f aca="false">IF($B673="","",AP673+AT673/2)</f>
        <v/>
      </c>
      <c r="BA673" s="35" t="str">
        <f aca="false">IF($B673="","",AK673+AN673+AM673/2+AO673+AP673+AQ673+AR673+AS673+AT673+AU673+AV673+AW673)</f>
        <v/>
      </c>
      <c r="BB673" s="35" t="str">
        <f aca="false">IF($B673="","",MAX(0,AN673-Settings!$C$16)*Settings!$C$17)</f>
        <v/>
      </c>
      <c r="BC673" s="35" t="str">
        <f aca="false">IF($B673="","",BA673-BB673)</f>
        <v/>
      </c>
      <c r="BD673" s="35" t="str">
        <f aca="false">IF(OR($B673="",$A673=""),"",DAY(EOMONTH($A673,0))-COUNTA($F673:$AJ673))</f>
        <v/>
      </c>
    </row>
    <row r="674" customFormat="false" ht="15" hidden="false" customHeight="false" outlineLevel="0" collapsed="false">
      <c r="A674" s="32"/>
      <c r="B674" s="29"/>
      <c r="C674" s="10" t="str">
        <f aca="false">IF($B674="","",IFERROR(INDEX(M_name,MATCH($B674,M_emp,0)),"Code not found"))</f>
        <v/>
      </c>
      <c r="D674" s="10" t="str">
        <f aca="false">IF($B674="","",IFERROR(INDEX(M_dept,MATCH($B674,M_emp,0)),""))</f>
        <v/>
      </c>
      <c r="E674" s="10" t="str">
        <f aca="false">IF($B674="","",IFERROR(INDEX(M_loc,MATCH($B674,M_emp,0)),""))</f>
        <v/>
      </c>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4" t="str">
        <f aca="false">IF($B674="","",COUNTIF($F674:$AJ674,"P"))</f>
        <v/>
      </c>
      <c r="AL674" s="34" t="str">
        <f aca="false">IF($B674="","",COUNTIF($F674:$AJ674,"A"))</f>
        <v/>
      </c>
      <c r="AM674" s="34" t="str">
        <f aca="false">IF($B674="","",COUNTIF($F674:$AJ674,"HA"))</f>
        <v/>
      </c>
      <c r="AN674" s="34" t="str">
        <f aca="false">IF($B674="","",COUNTIF($F674:$AJ674,"L"))</f>
        <v/>
      </c>
      <c r="AO674" s="34" t="str">
        <f aca="false">IF($B674="","",COUNTIF($F674:$AJ674,"PL"))</f>
        <v/>
      </c>
      <c r="AP674" s="34" t="str">
        <f aca="false">IF($B674="","",COUNTIF($F674:$AJ674,"CL"))</f>
        <v/>
      </c>
      <c r="AQ674" s="34" t="str">
        <f aca="false">IF($B674="","",COUNTIF($F674:$AJ674,"SL"))</f>
        <v/>
      </c>
      <c r="AR674" s="34" t="str">
        <f aca="false">IF($B674="","",COUNTIF($F674:$AJ674,"CO"))</f>
        <v/>
      </c>
      <c r="AS674" s="34" t="str">
        <f aca="false">IF($B674="","",COUNTIF($F674:$AJ674,"HPL"))</f>
        <v/>
      </c>
      <c r="AT674" s="34" t="str">
        <f aca="false">IF($B674="","",COUNTIF($F674:$AJ674,"HCL"))</f>
        <v/>
      </c>
      <c r="AU674" s="34" t="str">
        <f aca="false">IF($B674="","",COUNTIF($F674:$AJ674,"WO"))</f>
        <v/>
      </c>
      <c r="AV674" s="34" t="str">
        <f aca="false">IF($B674="","",COUNTIF($F674:$AJ674,"PH"))</f>
        <v/>
      </c>
      <c r="AW674" s="34" t="str">
        <f aca="false">IF($B674="","",COUNTIF($F674:$AJ674,"TR"))</f>
        <v/>
      </c>
      <c r="AX674" s="35" t="str">
        <f aca="false">IF($B674="","",AO674+AS674/2)</f>
        <v/>
      </c>
      <c r="AY674" s="35" t="str">
        <f aca="false">IF($B674="","",AQ674)</f>
        <v/>
      </c>
      <c r="AZ674" s="35" t="str">
        <f aca="false">IF($B674="","",AP674+AT674/2)</f>
        <v/>
      </c>
      <c r="BA674" s="35" t="str">
        <f aca="false">IF($B674="","",AK674+AN674+AM674/2+AO674+AP674+AQ674+AR674+AS674+AT674+AU674+AV674+AW674)</f>
        <v/>
      </c>
      <c r="BB674" s="35" t="str">
        <f aca="false">IF($B674="","",MAX(0,AN674-Settings!$C$16)*Settings!$C$17)</f>
        <v/>
      </c>
      <c r="BC674" s="35" t="str">
        <f aca="false">IF($B674="","",BA674-BB674)</f>
        <v/>
      </c>
      <c r="BD674" s="35" t="str">
        <f aca="false">IF(OR($B674="",$A674=""),"",DAY(EOMONTH($A674,0))-COUNTA($F674:$AJ674))</f>
        <v/>
      </c>
    </row>
    <row r="675" customFormat="false" ht="15" hidden="false" customHeight="false" outlineLevel="0" collapsed="false">
      <c r="A675" s="32"/>
      <c r="B675" s="29"/>
      <c r="C675" s="10" t="str">
        <f aca="false">IF($B675="","",IFERROR(INDEX(M_name,MATCH($B675,M_emp,0)),"Code not found"))</f>
        <v/>
      </c>
      <c r="D675" s="10" t="str">
        <f aca="false">IF($B675="","",IFERROR(INDEX(M_dept,MATCH($B675,M_emp,0)),""))</f>
        <v/>
      </c>
      <c r="E675" s="10" t="str">
        <f aca="false">IF($B675="","",IFERROR(INDEX(M_loc,MATCH($B675,M_emp,0)),""))</f>
        <v/>
      </c>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4" t="str">
        <f aca="false">IF($B675="","",COUNTIF($F675:$AJ675,"P"))</f>
        <v/>
      </c>
      <c r="AL675" s="34" t="str">
        <f aca="false">IF($B675="","",COUNTIF($F675:$AJ675,"A"))</f>
        <v/>
      </c>
      <c r="AM675" s="34" t="str">
        <f aca="false">IF($B675="","",COUNTIF($F675:$AJ675,"HA"))</f>
        <v/>
      </c>
      <c r="AN675" s="34" t="str">
        <f aca="false">IF($B675="","",COUNTIF($F675:$AJ675,"L"))</f>
        <v/>
      </c>
      <c r="AO675" s="34" t="str">
        <f aca="false">IF($B675="","",COUNTIF($F675:$AJ675,"PL"))</f>
        <v/>
      </c>
      <c r="AP675" s="34" t="str">
        <f aca="false">IF($B675="","",COUNTIF($F675:$AJ675,"CL"))</f>
        <v/>
      </c>
      <c r="AQ675" s="34" t="str">
        <f aca="false">IF($B675="","",COUNTIF($F675:$AJ675,"SL"))</f>
        <v/>
      </c>
      <c r="AR675" s="34" t="str">
        <f aca="false">IF($B675="","",COUNTIF($F675:$AJ675,"CO"))</f>
        <v/>
      </c>
      <c r="AS675" s="34" t="str">
        <f aca="false">IF($B675="","",COUNTIF($F675:$AJ675,"HPL"))</f>
        <v/>
      </c>
      <c r="AT675" s="34" t="str">
        <f aca="false">IF($B675="","",COUNTIF($F675:$AJ675,"HCL"))</f>
        <v/>
      </c>
      <c r="AU675" s="34" t="str">
        <f aca="false">IF($B675="","",COUNTIF($F675:$AJ675,"WO"))</f>
        <v/>
      </c>
      <c r="AV675" s="34" t="str">
        <f aca="false">IF($B675="","",COUNTIF($F675:$AJ675,"PH"))</f>
        <v/>
      </c>
      <c r="AW675" s="34" t="str">
        <f aca="false">IF($B675="","",COUNTIF($F675:$AJ675,"TR"))</f>
        <v/>
      </c>
      <c r="AX675" s="35" t="str">
        <f aca="false">IF($B675="","",AO675+AS675/2)</f>
        <v/>
      </c>
      <c r="AY675" s="35" t="str">
        <f aca="false">IF($B675="","",AQ675)</f>
        <v/>
      </c>
      <c r="AZ675" s="35" t="str">
        <f aca="false">IF($B675="","",AP675+AT675/2)</f>
        <v/>
      </c>
      <c r="BA675" s="35" t="str">
        <f aca="false">IF($B675="","",AK675+AN675+AM675/2+AO675+AP675+AQ675+AR675+AS675+AT675+AU675+AV675+AW675)</f>
        <v/>
      </c>
      <c r="BB675" s="35" t="str">
        <f aca="false">IF($B675="","",MAX(0,AN675-Settings!$C$16)*Settings!$C$17)</f>
        <v/>
      </c>
      <c r="BC675" s="35" t="str">
        <f aca="false">IF($B675="","",BA675-BB675)</f>
        <v/>
      </c>
      <c r="BD675" s="35" t="str">
        <f aca="false">IF(OR($B675="",$A675=""),"",DAY(EOMONTH($A675,0))-COUNTA($F675:$AJ675))</f>
        <v/>
      </c>
    </row>
    <row r="676" customFormat="false" ht="15" hidden="false" customHeight="false" outlineLevel="0" collapsed="false">
      <c r="A676" s="32"/>
      <c r="B676" s="29"/>
      <c r="C676" s="10" t="str">
        <f aca="false">IF($B676="","",IFERROR(INDEX(M_name,MATCH($B676,M_emp,0)),"Code not found"))</f>
        <v/>
      </c>
      <c r="D676" s="10" t="str">
        <f aca="false">IF($B676="","",IFERROR(INDEX(M_dept,MATCH($B676,M_emp,0)),""))</f>
        <v/>
      </c>
      <c r="E676" s="10" t="str">
        <f aca="false">IF($B676="","",IFERROR(INDEX(M_loc,MATCH($B676,M_emp,0)),""))</f>
        <v/>
      </c>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4" t="str">
        <f aca="false">IF($B676="","",COUNTIF($F676:$AJ676,"P"))</f>
        <v/>
      </c>
      <c r="AL676" s="34" t="str">
        <f aca="false">IF($B676="","",COUNTIF($F676:$AJ676,"A"))</f>
        <v/>
      </c>
      <c r="AM676" s="34" t="str">
        <f aca="false">IF($B676="","",COUNTIF($F676:$AJ676,"HA"))</f>
        <v/>
      </c>
      <c r="AN676" s="34" t="str">
        <f aca="false">IF($B676="","",COUNTIF($F676:$AJ676,"L"))</f>
        <v/>
      </c>
      <c r="AO676" s="34" t="str">
        <f aca="false">IF($B676="","",COUNTIF($F676:$AJ676,"PL"))</f>
        <v/>
      </c>
      <c r="AP676" s="34" t="str">
        <f aca="false">IF($B676="","",COUNTIF($F676:$AJ676,"CL"))</f>
        <v/>
      </c>
      <c r="AQ676" s="34" t="str">
        <f aca="false">IF($B676="","",COUNTIF($F676:$AJ676,"SL"))</f>
        <v/>
      </c>
      <c r="AR676" s="34" t="str">
        <f aca="false">IF($B676="","",COUNTIF($F676:$AJ676,"CO"))</f>
        <v/>
      </c>
      <c r="AS676" s="34" t="str">
        <f aca="false">IF($B676="","",COUNTIF($F676:$AJ676,"HPL"))</f>
        <v/>
      </c>
      <c r="AT676" s="34" t="str">
        <f aca="false">IF($B676="","",COUNTIF($F676:$AJ676,"HCL"))</f>
        <v/>
      </c>
      <c r="AU676" s="34" t="str">
        <f aca="false">IF($B676="","",COUNTIF($F676:$AJ676,"WO"))</f>
        <v/>
      </c>
      <c r="AV676" s="34" t="str">
        <f aca="false">IF($B676="","",COUNTIF($F676:$AJ676,"PH"))</f>
        <v/>
      </c>
      <c r="AW676" s="34" t="str">
        <f aca="false">IF($B676="","",COUNTIF($F676:$AJ676,"TR"))</f>
        <v/>
      </c>
      <c r="AX676" s="35" t="str">
        <f aca="false">IF($B676="","",AO676+AS676/2)</f>
        <v/>
      </c>
      <c r="AY676" s="35" t="str">
        <f aca="false">IF($B676="","",AQ676)</f>
        <v/>
      </c>
      <c r="AZ676" s="35" t="str">
        <f aca="false">IF($B676="","",AP676+AT676/2)</f>
        <v/>
      </c>
      <c r="BA676" s="35" t="str">
        <f aca="false">IF($B676="","",AK676+AN676+AM676/2+AO676+AP676+AQ676+AR676+AS676+AT676+AU676+AV676+AW676)</f>
        <v/>
      </c>
      <c r="BB676" s="35" t="str">
        <f aca="false">IF($B676="","",MAX(0,AN676-Settings!$C$16)*Settings!$C$17)</f>
        <v/>
      </c>
      <c r="BC676" s="35" t="str">
        <f aca="false">IF($B676="","",BA676-BB676)</f>
        <v/>
      </c>
      <c r="BD676" s="35" t="str">
        <f aca="false">IF(OR($B676="",$A676=""),"",DAY(EOMONTH($A676,0))-COUNTA($F676:$AJ676))</f>
        <v/>
      </c>
    </row>
    <row r="677" customFormat="false" ht="15" hidden="false" customHeight="false" outlineLevel="0" collapsed="false">
      <c r="A677" s="32"/>
      <c r="B677" s="29"/>
      <c r="C677" s="10" t="str">
        <f aca="false">IF($B677="","",IFERROR(INDEX(M_name,MATCH($B677,M_emp,0)),"Code not found"))</f>
        <v/>
      </c>
      <c r="D677" s="10" t="str">
        <f aca="false">IF($B677="","",IFERROR(INDEX(M_dept,MATCH($B677,M_emp,0)),""))</f>
        <v/>
      </c>
      <c r="E677" s="10" t="str">
        <f aca="false">IF($B677="","",IFERROR(INDEX(M_loc,MATCH($B677,M_emp,0)),""))</f>
        <v/>
      </c>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4" t="str">
        <f aca="false">IF($B677="","",COUNTIF($F677:$AJ677,"P"))</f>
        <v/>
      </c>
      <c r="AL677" s="34" t="str">
        <f aca="false">IF($B677="","",COUNTIF($F677:$AJ677,"A"))</f>
        <v/>
      </c>
      <c r="AM677" s="34" t="str">
        <f aca="false">IF($B677="","",COUNTIF($F677:$AJ677,"HA"))</f>
        <v/>
      </c>
      <c r="AN677" s="34" t="str">
        <f aca="false">IF($B677="","",COUNTIF($F677:$AJ677,"L"))</f>
        <v/>
      </c>
      <c r="AO677" s="34" t="str">
        <f aca="false">IF($B677="","",COUNTIF($F677:$AJ677,"PL"))</f>
        <v/>
      </c>
      <c r="AP677" s="34" t="str">
        <f aca="false">IF($B677="","",COUNTIF($F677:$AJ677,"CL"))</f>
        <v/>
      </c>
      <c r="AQ677" s="34" t="str">
        <f aca="false">IF($B677="","",COUNTIF($F677:$AJ677,"SL"))</f>
        <v/>
      </c>
      <c r="AR677" s="34" t="str">
        <f aca="false">IF($B677="","",COUNTIF($F677:$AJ677,"CO"))</f>
        <v/>
      </c>
      <c r="AS677" s="34" t="str">
        <f aca="false">IF($B677="","",COUNTIF($F677:$AJ677,"HPL"))</f>
        <v/>
      </c>
      <c r="AT677" s="34" t="str">
        <f aca="false">IF($B677="","",COUNTIF($F677:$AJ677,"HCL"))</f>
        <v/>
      </c>
      <c r="AU677" s="34" t="str">
        <f aca="false">IF($B677="","",COUNTIF($F677:$AJ677,"WO"))</f>
        <v/>
      </c>
      <c r="AV677" s="34" t="str">
        <f aca="false">IF($B677="","",COUNTIF($F677:$AJ677,"PH"))</f>
        <v/>
      </c>
      <c r="AW677" s="34" t="str">
        <f aca="false">IF($B677="","",COUNTIF($F677:$AJ677,"TR"))</f>
        <v/>
      </c>
      <c r="AX677" s="35" t="str">
        <f aca="false">IF($B677="","",AO677+AS677/2)</f>
        <v/>
      </c>
      <c r="AY677" s="35" t="str">
        <f aca="false">IF($B677="","",AQ677)</f>
        <v/>
      </c>
      <c r="AZ677" s="35" t="str">
        <f aca="false">IF($B677="","",AP677+AT677/2)</f>
        <v/>
      </c>
      <c r="BA677" s="35" t="str">
        <f aca="false">IF($B677="","",AK677+AN677+AM677/2+AO677+AP677+AQ677+AR677+AS677+AT677+AU677+AV677+AW677)</f>
        <v/>
      </c>
      <c r="BB677" s="35" t="str">
        <f aca="false">IF($B677="","",MAX(0,AN677-Settings!$C$16)*Settings!$C$17)</f>
        <v/>
      </c>
      <c r="BC677" s="35" t="str">
        <f aca="false">IF($B677="","",BA677-BB677)</f>
        <v/>
      </c>
      <c r="BD677" s="35" t="str">
        <f aca="false">IF(OR($B677="",$A677=""),"",DAY(EOMONTH($A677,0))-COUNTA($F677:$AJ677))</f>
        <v/>
      </c>
    </row>
    <row r="678" customFormat="false" ht="15" hidden="false" customHeight="false" outlineLevel="0" collapsed="false">
      <c r="A678" s="32"/>
      <c r="B678" s="29"/>
      <c r="C678" s="10" t="str">
        <f aca="false">IF($B678="","",IFERROR(INDEX(M_name,MATCH($B678,M_emp,0)),"Code not found"))</f>
        <v/>
      </c>
      <c r="D678" s="10" t="str">
        <f aca="false">IF($B678="","",IFERROR(INDEX(M_dept,MATCH($B678,M_emp,0)),""))</f>
        <v/>
      </c>
      <c r="E678" s="10" t="str">
        <f aca="false">IF($B678="","",IFERROR(INDEX(M_loc,MATCH($B678,M_emp,0)),""))</f>
        <v/>
      </c>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4" t="str">
        <f aca="false">IF($B678="","",COUNTIF($F678:$AJ678,"P"))</f>
        <v/>
      </c>
      <c r="AL678" s="34" t="str">
        <f aca="false">IF($B678="","",COUNTIF($F678:$AJ678,"A"))</f>
        <v/>
      </c>
      <c r="AM678" s="34" t="str">
        <f aca="false">IF($B678="","",COUNTIF($F678:$AJ678,"HA"))</f>
        <v/>
      </c>
      <c r="AN678" s="34" t="str">
        <f aca="false">IF($B678="","",COUNTIF($F678:$AJ678,"L"))</f>
        <v/>
      </c>
      <c r="AO678" s="34" t="str">
        <f aca="false">IF($B678="","",COUNTIF($F678:$AJ678,"PL"))</f>
        <v/>
      </c>
      <c r="AP678" s="34" t="str">
        <f aca="false">IF($B678="","",COUNTIF($F678:$AJ678,"CL"))</f>
        <v/>
      </c>
      <c r="AQ678" s="34" t="str">
        <f aca="false">IF($B678="","",COUNTIF($F678:$AJ678,"SL"))</f>
        <v/>
      </c>
      <c r="AR678" s="34" t="str">
        <f aca="false">IF($B678="","",COUNTIF($F678:$AJ678,"CO"))</f>
        <v/>
      </c>
      <c r="AS678" s="34" t="str">
        <f aca="false">IF($B678="","",COUNTIF($F678:$AJ678,"HPL"))</f>
        <v/>
      </c>
      <c r="AT678" s="34" t="str">
        <f aca="false">IF($B678="","",COUNTIF($F678:$AJ678,"HCL"))</f>
        <v/>
      </c>
      <c r="AU678" s="34" t="str">
        <f aca="false">IF($B678="","",COUNTIF($F678:$AJ678,"WO"))</f>
        <v/>
      </c>
      <c r="AV678" s="34" t="str">
        <f aca="false">IF($B678="","",COUNTIF($F678:$AJ678,"PH"))</f>
        <v/>
      </c>
      <c r="AW678" s="34" t="str">
        <f aca="false">IF($B678="","",COUNTIF($F678:$AJ678,"TR"))</f>
        <v/>
      </c>
      <c r="AX678" s="35" t="str">
        <f aca="false">IF($B678="","",AO678+AS678/2)</f>
        <v/>
      </c>
      <c r="AY678" s="35" t="str">
        <f aca="false">IF($B678="","",AQ678)</f>
        <v/>
      </c>
      <c r="AZ678" s="35" t="str">
        <f aca="false">IF($B678="","",AP678+AT678/2)</f>
        <v/>
      </c>
      <c r="BA678" s="35" t="str">
        <f aca="false">IF($B678="","",AK678+AN678+AM678/2+AO678+AP678+AQ678+AR678+AS678+AT678+AU678+AV678+AW678)</f>
        <v/>
      </c>
      <c r="BB678" s="35" t="str">
        <f aca="false">IF($B678="","",MAX(0,AN678-Settings!$C$16)*Settings!$C$17)</f>
        <v/>
      </c>
      <c r="BC678" s="35" t="str">
        <f aca="false">IF($B678="","",BA678-BB678)</f>
        <v/>
      </c>
      <c r="BD678" s="35" t="str">
        <f aca="false">IF(OR($B678="",$A678=""),"",DAY(EOMONTH($A678,0))-COUNTA($F678:$AJ678))</f>
        <v/>
      </c>
    </row>
    <row r="679" customFormat="false" ht="15" hidden="false" customHeight="false" outlineLevel="0" collapsed="false">
      <c r="A679" s="32"/>
      <c r="B679" s="29"/>
      <c r="C679" s="10" t="str">
        <f aca="false">IF($B679="","",IFERROR(INDEX(M_name,MATCH($B679,M_emp,0)),"Code not found"))</f>
        <v/>
      </c>
      <c r="D679" s="10" t="str">
        <f aca="false">IF($B679="","",IFERROR(INDEX(M_dept,MATCH($B679,M_emp,0)),""))</f>
        <v/>
      </c>
      <c r="E679" s="10" t="str">
        <f aca="false">IF($B679="","",IFERROR(INDEX(M_loc,MATCH($B679,M_emp,0)),""))</f>
        <v/>
      </c>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4" t="str">
        <f aca="false">IF($B679="","",COUNTIF($F679:$AJ679,"P"))</f>
        <v/>
      </c>
      <c r="AL679" s="34" t="str">
        <f aca="false">IF($B679="","",COUNTIF($F679:$AJ679,"A"))</f>
        <v/>
      </c>
      <c r="AM679" s="34" t="str">
        <f aca="false">IF($B679="","",COUNTIF($F679:$AJ679,"HA"))</f>
        <v/>
      </c>
      <c r="AN679" s="34" t="str">
        <f aca="false">IF($B679="","",COUNTIF($F679:$AJ679,"L"))</f>
        <v/>
      </c>
      <c r="AO679" s="34" t="str">
        <f aca="false">IF($B679="","",COUNTIF($F679:$AJ679,"PL"))</f>
        <v/>
      </c>
      <c r="AP679" s="34" t="str">
        <f aca="false">IF($B679="","",COUNTIF($F679:$AJ679,"CL"))</f>
        <v/>
      </c>
      <c r="AQ679" s="34" t="str">
        <f aca="false">IF($B679="","",COUNTIF($F679:$AJ679,"SL"))</f>
        <v/>
      </c>
      <c r="AR679" s="34" t="str">
        <f aca="false">IF($B679="","",COUNTIF($F679:$AJ679,"CO"))</f>
        <v/>
      </c>
      <c r="AS679" s="34" t="str">
        <f aca="false">IF($B679="","",COUNTIF($F679:$AJ679,"HPL"))</f>
        <v/>
      </c>
      <c r="AT679" s="34" t="str">
        <f aca="false">IF($B679="","",COUNTIF($F679:$AJ679,"HCL"))</f>
        <v/>
      </c>
      <c r="AU679" s="34" t="str">
        <f aca="false">IF($B679="","",COUNTIF($F679:$AJ679,"WO"))</f>
        <v/>
      </c>
      <c r="AV679" s="34" t="str">
        <f aca="false">IF($B679="","",COUNTIF($F679:$AJ679,"PH"))</f>
        <v/>
      </c>
      <c r="AW679" s="34" t="str">
        <f aca="false">IF($B679="","",COUNTIF($F679:$AJ679,"TR"))</f>
        <v/>
      </c>
      <c r="AX679" s="35" t="str">
        <f aca="false">IF($B679="","",AO679+AS679/2)</f>
        <v/>
      </c>
      <c r="AY679" s="35" t="str">
        <f aca="false">IF($B679="","",AQ679)</f>
        <v/>
      </c>
      <c r="AZ679" s="35" t="str">
        <f aca="false">IF($B679="","",AP679+AT679/2)</f>
        <v/>
      </c>
      <c r="BA679" s="35" t="str">
        <f aca="false">IF($B679="","",AK679+AN679+AM679/2+AO679+AP679+AQ679+AR679+AS679+AT679+AU679+AV679+AW679)</f>
        <v/>
      </c>
      <c r="BB679" s="35" t="str">
        <f aca="false">IF($B679="","",MAX(0,AN679-Settings!$C$16)*Settings!$C$17)</f>
        <v/>
      </c>
      <c r="BC679" s="35" t="str">
        <f aca="false">IF($B679="","",BA679-BB679)</f>
        <v/>
      </c>
      <c r="BD679" s="35" t="str">
        <f aca="false">IF(OR($B679="",$A679=""),"",DAY(EOMONTH($A679,0))-COUNTA($F679:$AJ679))</f>
        <v/>
      </c>
    </row>
    <row r="680" customFormat="false" ht="15" hidden="false" customHeight="false" outlineLevel="0" collapsed="false">
      <c r="A680" s="32"/>
      <c r="B680" s="29"/>
      <c r="C680" s="10" t="str">
        <f aca="false">IF($B680="","",IFERROR(INDEX(M_name,MATCH($B680,M_emp,0)),"Code not found"))</f>
        <v/>
      </c>
      <c r="D680" s="10" t="str">
        <f aca="false">IF($B680="","",IFERROR(INDEX(M_dept,MATCH($B680,M_emp,0)),""))</f>
        <v/>
      </c>
      <c r="E680" s="10" t="str">
        <f aca="false">IF($B680="","",IFERROR(INDEX(M_loc,MATCH($B680,M_emp,0)),""))</f>
        <v/>
      </c>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4" t="str">
        <f aca="false">IF($B680="","",COUNTIF($F680:$AJ680,"P"))</f>
        <v/>
      </c>
      <c r="AL680" s="34" t="str">
        <f aca="false">IF($B680="","",COUNTIF($F680:$AJ680,"A"))</f>
        <v/>
      </c>
      <c r="AM680" s="34" t="str">
        <f aca="false">IF($B680="","",COUNTIF($F680:$AJ680,"HA"))</f>
        <v/>
      </c>
      <c r="AN680" s="34" t="str">
        <f aca="false">IF($B680="","",COUNTIF($F680:$AJ680,"L"))</f>
        <v/>
      </c>
      <c r="AO680" s="34" t="str">
        <f aca="false">IF($B680="","",COUNTIF($F680:$AJ680,"PL"))</f>
        <v/>
      </c>
      <c r="AP680" s="34" t="str">
        <f aca="false">IF($B680="","",COUNTIF($F680:$AJ680,"CL"))</f>
        <v/>
      </c>
      <c r="AQ680" s="34" t="str">
        <f aca="false">IF($B680="","",COUNTIF($F680:$AJ680,"SL"))</f>
        <v/>
      </c>
      <c r="AR680" s="34" t="str">
        <f aca="false">IF($B680="","",COUNTIF($F680:$AJ680,"CO"))</f>
        <v/>
      </c>
      <c r="AS680" s="34" t="str">
        <f aca="false">IF($B680="","",COUNTIF($F680:$AJ680,"HPL"))</f>
        <v/>
      </c>
      <c r="AT680" s="34" t="str">
        <f aca="false">IF($B680="","",COUNTIF($F680:$AJ680,"HCL"))</f>
        <v/>
      </c>
      <c r="AU680" s="34" t="str">
        <f aca="false">IF($B680="","",COUNTIF($F680:$AJ680,"WO"))</f>
        <v/>
      </c>
      <c r="AV680" s="34" t="str">
        <f aca="false">IF($B680="","",COUNTIF($F680:$AJ680,"PH"))</f>
        <v/>
      </c>
      <c r="AW680" s="34" t="str">
        <f aca="false">IF($B680="","",COUNTIF($F680:$AJ680,"TR"))</f>
        <v/>
      </c>
      <c r="AX680" s="35" t="str">
        <f aca="false">IF($B680="","",AO680+AS680/2)</f>
        <v/>
      </c>
      <c r="AY680" s="35" t="str">
        <f aca="false">IF($B680="","",AQ680)</f>
        <v/>
      </c>
      <c r="AZ680" s="35" t="str">
        <f aca="false">IF($B680="","",AP680+AT680/2)</f>
        <v/>
      </c>
      <c r="BA680" s="35" t="str">
        <f aca="false">IF($B680="","",AK680+AN680+AM680/2+AO680+AP680+AQ680+AR680+AS680+AT680+AU680+AV680+AW680)</f>
        <v/>
      </c>
      <c r="BB680" s="35" t="str">
        <f aca="false">IF($B680="","",MAX(0,AN680-Settings!$C$16)*Settings!$C$17)</f>
        <v/>
      </c>
      <c r="BC680" s="35" t="str">
        <f aca="false">IF($B680="","",BA680-BB680)</f>
        <v/>
      </c>
      <c r="BD680" s="35" t="str">
        <f aca="false">IF(OR($B680="",$A680=""),"",DAY(EOMONTH($A680,0))-COUNTA($F680:$AJ680))</f>
        <v/>
      </c>
    </row>
    <row r="681" customFormat="false" ht="15" hidden="false" customHeight="false" outlineLevel="0" collapsed="false">
      <c r="A681" s="32"/>
      <c r="B681" s="29"/>
      <c r="C681" s="10" t="str">
        <f aca="false">IF($B681="","",IFERROR(INDEX(M_name,MATCH($B681,M_emp,0)),"Code not found"))</f>
        <v/>
      </c>
      <c r="D681" s="10" t="str">
        <f aca="false">IF($B681="","",IFERROR(INDEX(M_dept,MATCH($B681,M_emp,0)),""))</f>
        <v/>
      </c>
      <c r="E681" s="10" t="str">
        <f aca="false">IF($B681="","",IFERROR(INDEX(M_loc,MATCH($B681,M_emp,0)),""))</f>
        <v/>
      </c>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4" t="str">
        <f aca="false">IF($B681="","",COUNTIF($F681:$AJ681,"P"))</f>
        <v/>
      </c>
      <c r="AL681" s="34" t="str">
        <f aca="false">IF($B681="","",COUNTIF($F681:$AJ681,"A"))</f>
        <v/>
      </c>
      <c r="AM681" s="34" t="str">
        <f aca="false">IF($B681="","",COUNTIF($F681:$AJ681,"HA"))</f>
        <v/>
      </c>
      <c r="AN681" s="34" t="str">
        <f aca="false">IF($B681="","",COUNTIF($F681:$AJ681,"L"))</f>
        <v/>
      </c>
      <c r="AO681" s="34" t="str">
        <f aca="false">IF($B681="","",COUNTIF($F681:$AJ681,"PL"))</f>
        <v/>
      </c>
      <c r="AP681" s="34" t="str">
        <f aca="false">IF($B681="","",COUNTIF($F681:$AJ681,"CL"))</f>
        <v/>
      </c>
      <c r="AQ681" s="34" t="str">
        <f aca="false">IF($B681="","",COUNTIF($F681:$AJ681,"SL"))</f>
        <v/>
      </c>
      <c r="AR681" s="34" t="str">
        <f aca="false">IF($B681="","",COUNTIF($F681:$AJ681,"CO"))</f>
        <v/>
      </c>
      <c r="AS681" s="34" t="str">
        <f aca="false">IF($B681="","",COUNTIF($F681:$AJ681,"HPL"))</f>
        <v/>
      </c>
      <c r="AT681" s="34" t="str">
        <f aca="false">IF($B681="","",COUNTIF($F681:$AJ681,"HCL"))</f>
        <v/>
      </c>
      <c r="AU681" s="34" t="str">
        <f aca="false">IF($B681="","",COUNTIF($F681:$AJ681,"WO"))</f>
        <v/>
      </c>
      <c r="AV681" s="34" t="str">
        <f aca="false">IF($B681="","",COUNTIF($F681:$AJ681,"PH"))</f>
        <v/>
      </c>
      <c r="AW681" s="34" t="str">
        <f aca="false">IF($B681="","",COUNTIF($F681:$AJ681,"TR"))</f>
        <v/>
      </c>
      <c r="AX681" s="35" t="str">
        <f aca="false">IF($B681="","",AO681+AS681/2)</f>
        <v/>
      </c>
      <c r="AY681" s="35" t="str">
        <f aca="false">IF($B681="","",AQ681)</f>
        <v/>
      </c>
      <c r="AZ681" s="35" t="str">
        <f aca="false">IF($B681="","",AP681+AT681/2)</f>
        <v/>
      </c>
      <c r="BA681" s="35" t="str">
        <f aca="false">IF($B681="","",AK681+AN681+AM681/2+AO681+AP681+AQ681+AR681+AS681+AT681+AU681+AV681+AW681)</f>
        <v/>
      </c>
      <c r="BB681" s="35" t="str">
        <f aca="false">IF($B681="","",MAX(0,AN681-Settings!$C$16)*Settings!$C$17)</f>
        <v/>
      </c>
      <c r="BC681" s="35" t="str">
        <f aca="false">IF($B681="","",BA681-BB681)</f>
        <v/>
      </c>
      <c r="BD681" s="35" t="str">
        <f aca="false">IF(OR($B681="",$A681=""),"",DAY(EOMONTH($A681,0))-COUNTA($F681:$AJ681))</f>
        <v/>
      </c>
    </row>
    <row r="682" customFormat="false" ht="15" hidden="false" customHeight="false" outlineLevel="0" collapsed="false">
      <c r="A682" s="32"/>
      <c r="B682" s="29"/>
      <c r="C682" s="10" t="str">
        <f aca="false">IF($B682="","",IFERROR(INDEX(M_name,MATCH($B682,M_emp,0)),"Code not found"))</f>
        <v/>
      </c>
      <c r="D682" s="10" t="str">
        <f aca="false">IF($B682="","",IFERROR(INDEX(M_dept,MATCH($B682,M_emp,0)),""))</f>
        <v/>
      </c>
      <c r="E682" s="10" t="str">
        <f aca="false">IF($B682="","",IFERROR(INDEX(M_loc,MATCH($B682,M_emp,0)),""))</f>
        <v/>
      </c>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4" t="str">
        <f aca="false">IF($B682="","",COUNTIF($F682:$AJ682,"P"))</f>
        <v/>
      </c>
      <c r="AL682" s="34" t="str">
        <f aca="false">IF($B682="","",COUNTIF($F682:$AJ682,"A"))</f>
        <v/>
      </c>
      <c r="AM682" s="34" t="str">
        <f aca="false">IF($B682="","",COUNTIF($F682:$AJ682,"HA"))</f>
        <v/>
      </c>
      <c r="AN682" s="34" t="str">
        <f aca="false">IF($B682="","",COUNTIF($F682:$AJ682,"L"))</f>
        <v/>
      </c>
      <c r="AO682" s="34" t="str">
        <f aca="false">IF($B682="","",COUNTIF($F682:$AJ682,"PL"))</f>
        <v/>
      </c>
      <c r="AP682" s="34" t="str">
        <f aca="false">IF($B682="","",COUNTIF($F682:$AJ682,"CL"))</f>
        <v/>
      </c>
      <c r="AQ682" s="34" t="str">
        <f aca="false">IF($B682="","",COUNTIF($F682:$AJ682,"SL"))</f>
        <v/>
      </c>
      <c r="AR682" s="34" t="str">
        <f aca="false">IF($B682="","",COUNTIF($F682:$AJ682,"CO"))</f>
        <v/>
      </c>
      <c r="AS682" s="34" t="str">
        <f aca="false">IF($B682="","",COUNTIF($F682:$AJ682,"HPL"))</f>
        <v/>
      </c>
      <c r="AT682" s="34" t="str">
        <f aca="false">IF($B682="","",COUNTIF($F682:$AJ682,"HCL"))</f>
        <v/>
      </c>
      <c r="AU682" s="34" t="str">
        <f aca="false">IF($B682="","",COUNTIF($F682:$AJ682,"WO"))</f>
        <v/>
      </c>
      <c r="AV682" s="34" t="str">
        <f aca="false">IF($B682="","",COUNTIF($F682:$AJ682,"PH"))</f>
        <v/>
      </c>
      <c r="AW682" s="34" t="str">
        <f aca="false">IF($B682="","",COUNTIF($F682:$AJ682,"TR"))</f>
        <v/>
      </c>
      <c r="AX682" s="35" t="str">
        <f aca="false">IF($B682="","",AO682+AS682/2)</f>
        <v/>
      </c>
      <c r="AY682" s="35" t="str">
        <f aca="false">IF($B682="","",AQ682)</f>
        <v/>
      </c>
      <c r="AZ682" s="35" t="str">
        <f aca="false">IF($B682="","",AP682+AT682/2)</f>
        <v/>
      </c>
      <c r="BA682" s="35" t="str">
        <f aca="false">IF($B682="","",AK682+AN682+AM682/2+AO682+AP682+AQ682+AR682+AS682+AT682+AU682+AV682+AW682)</f>
        <v/>
      </c>
      <c r="BB682" s="35" t="str">
        <f aca="false">IF($B682="","",MAX(0,AN682-Settings!$C$16)*Settings!$C$17)</f>
        <v/>
      </c>
      <c r="BC682" s="35" t="str">
        <f aca="false">IF($B682="","",BA682-BB682)</f>
        <v/>
      </c>
      <c r="BD682" s="35" t="str">
        <f aca="false">IF(OR($B682="",$A682=""),"",DAY(EOMONTH($A682,0))-COUNTA($F682:$AJ682))</f>
        <v/>
      </c>
    </row>
    <row r="683" customFormat="false" ht="15" hidden="false" customHeight="false" outlineLevel="0" collapsed="false">
      <c r="A683" s="32"/>
      <c r="B683" s="29"/>
      <c r="C683" s="10" t="str">
        <f aca="false">IF($B683="","",IFERROR(INDEX(M_name,MATCH($B683,M_emp,0)),"Code not found"))</f>
        <v/>
      </c>
      <c r="D683" s="10" t="str">
        <f aca="false">IF($B683="","",IFERROR(INDEX(M_dept,MATCH($B683,M_emp,0)),""))</f>
        <v/>
      </c>
      <c r="E683" s="10" t="str">
        <f aca="false">IF($B683="","",IFERROR(INDEX(M_loc,MATCH($B683,M_emp,0)),""))</f>
        <v/>
      </c>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4" t="str">
        <f aca="false">IF($B683="","",COUNTIF($F683:$AJ683,"P"))</f>
        <v/>
      </c>
      <c r="AL683" s="34" t="str">
        <f aca="false">IF($B683="","",COUNTIF($F683:$AJ683,"A"))</f>
        <v/>
      </c>
      <c r="AM683" s="34" t="str">
        <f aca="false">IF($B683="","",COUNTIF($F683:$AJ683,"HA"))</f>
        <v/>
      </c>
      <c r="AN683" s="34" t="str">
        <f aca="false">IF($B683="","",COUNTIF($F683:$AJ683,"L"))</f>
        <v/>
      </c>
      <c r="AO683" s="34" t="str">
        <f aca="false">IF($B683="","",COUNTIF($F683:$AJ683,"PL"))</f>
        <v/>
      </c>
      <c r="AP683" s="34" t="str">
        <f aca="false">IF($B683="","",COUNTIF($F683:$AJ683,"CL"))</f>
        <v/>
      </c>
      <c r="AQ683" s="34" t="str">
        <f aca="false">IF($B683="","",COUNTIF($F683:$AJ683,"SL"))</f>
        <v/>
      </c>
      <c r="AR683" s="34" t="str">
        <f aca="false">IF($B683="","",COUNTIF($F683:$AJ683,"CO"))</f>
        <v/>
      </c>
      <c r="AS683" s="34" t="str">
        <f aca="false">IF($B683="","",COUNTIF($F683:$AJ683,"HPL"))</f>
        <v/>
      </c>
      <c r="AT683" s="34" t="str">
        <f aca="false">IF($B683="","",COUNTIF($F683:$AJ683,"HCL"))</f>
        <v/>
      </c>
      <c r="AU683" s="34" t="str">
        <f aca="false">IF($B683="","",COUNTIF($F683:$AJ683,"WO"))</f>
        <v/>
      </c>
      <c r="AV683" s="34" t="str">
        <f aca="false">IF($B683="","",COUNTIF($F683:$AJ683,"PH"))</f>
        <v/>
      </c>
      <c r="AW683" s="34" t="str">
        <f aca="false">IF($B683="","",COUNTIF($F683:$AJ683,"TR"))</f>
        <v/>
      </c>
      <c r="AX683" s="35" t="str">
        <f aca="false">IF($B683="","",AO683+AS683/2)</f>
        <v/>
      </c>
      <c r="AY683" s="35" t="str">
        <f aca="false">IF($B683="","",AQ683)</f>
        <v/>
      </c>
      <c r="AZ683" s="35" t="str">
        <f aca="false">IF($B683="","",AP683+AT683/2)</f>
        <v/>
      </c>
      <c r="BA683" s="35" t="str">
        <f aca="false">IF($B683="","",AK683+AN683+AM683/2+AO683+AP683+AQ683+AR683+AS683+AT683+AU683+AV683+AW683)</f>
        <v/>
      </c>
      <c r="BB683" s="35" t="str">
        <f aca="false">IF($B683="","",MAX(0,AN683-Settings!$C$16)*Settings!$C$17)</f>
        <v/>
      </c>
      <c r="BC683" s="35" t="str">
        <f aca="false">IF($B683="","",BA683-BB683)</f>
        <v/>
      </c>
      <c r="BD683" s="35" t="str">
        <f aca="false">IF(OR($B683="",$A683=""),"",DAY(EOMONTH($A683,0))-COUNTA($F683:$AJ683))</f>
        <v/>
      </c>
    </row>
    <row r="684" customFormat="false" ht="15" hidden="false" customHeight="false" outlineLevel="0" collapsed="false">
      <c r="A684" s="32"/>
      <c r="B684" s="29"/>
      <c r="C684" s="10" t="str">
        <f aca="false">IF($B684="","",IFERROR(INDEX(M_name,MATCH($B684,M_emp,0)),"Code not found"))</f>
        <v/>
      </c>
      <c r="D684" s="10" t="str">
        <f aca="false">IF($B684="","",IFERROR(INDEX(M_dept,MATCH($B684,M_emp,0)),""))</f>
        <v/>
      </c>
      <c r="E684" s="10" t="str">
        <f aca="false">IF($B684="","",IFERROR(INDEX(M_loc,MATCH($B684,M_emp,0)),""))</f>
        <v/>
      </c>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4" t="str">
        <f aca="false">IF($B684="","",COUNTIF($F684:$AJ684,"P"))</f>
        <v/>
      </c>
      <c r="AL684" s="34" t="str">
        <f aca="false">IF($B684="","",COUNTIF($F684:$AJ684,"A"))</f>
        <v/>
      </c>
      <c r="AM684" s="34" t="str">
        <f aca="false">IF($B684="","",COUNTIF($F684:$AJ684,"HA"))</f>
        <v/>
      </c>
      <c r="AN684" s="34" t="str">
        <f aca="false">IF($B684="","",COUNTIF($F684:$AJ684,"L"))</f>
        <v/>
      </c>
      <c r="AO684" s="34" t="str">
        <f aca="false">IF($B684="","",COUNTIF($F684:$AJ684,"PL"))</f>
        <v/>
      </c>
      <c r="AP684" s="34" t="str">
        <f aca="false">IF($B684="","",COUNTIF($F684:$AJ684,"CL"))</f>
        <v/>
      </c>
      <c r="AQ684" s="34" t="str">
        <f aca="false">IF($B684="","",COUNTIF($F684:$AJ684,"SL"))</f>
        <v/>
      </c>
      <c r="AR684" s="34" t="str">
        <f aca="false">IF($B684="","",COUNTIF($F684:$AJ684,"CO"))</f>
        <v/>
      </c>
      <c r="AS684" s="34" t="str">
        <f aca="false">IF($B684="","",COUNTIF($F684:$AJ684,"HPL"))</f>
        <v/>
      </c>
      <c r="AT684" s="34" t="str">
        <f aca="false">IF($B684="","",COUNTIF($F684:$AJ684,"HCL"))</f>
        <v/>
      </c>
      <c r="AU684" s="34" t="str">
        <f aca="false">IF($B684="","",COUNTIF($F684:$AJ684,"WO"))</f>
        <v/>
      </c>
      <c r="AV684" s="34" t="str">
        <f aca="false">IF($B684="","",COUNTIF($F684:$AJ684,"PH"))</f>
        <v/>
      </c>
      <c r="AW684" s="34" t="str">
        <f aca="false">IF($B684="","",COUNTIF($F684:$AJ684,"TR"))</f>
        <v/>
      </c>
      <c r="AX684" s="35" t="str">
        <f aca="false">IF($B684="","",AO684+AS684/2)</f>
        <v/>
      </c>
      <c r="AY684" s="35" t="str">
        <f aca="false">IF($B684="","",AQ684)</f>
        <v/>
      </c>
      <c r="AZ684" s="35" t="str">
        <f aca="false">IF($B684="","",AP684+AT684/2)</f>
        <v/>
      </c>
      <c r="BA684" s="35" t="str">
        <f aca="false">IF($B684="","",AK684+AN684+AM684/2+AO684+AP684+AQ684+AR684+AS684+AT684+AU684+AV684+AW684)</f>
        <v/>
      </c>
      <c r="BB684" s="35" t="str">
        <f aca="false">IF($B684="","",MAX(0,AN684-Settings!$C$16)*Settings!$C$17)</f>
        <v/>
      </c>
      <c r="BC684" s="35" t="str">
        <f aca="false">IF($B684="","",BA684-BB684)</f>
        <v/>
      </c>
      <c r="BD684" s="35" t="str">
        <f aca="false">IF(OR($B684="",$A684=""),"",DAY(EOMONTH($A684,0))-COUNTA($F684:$AJ684))</f>
        <v/>
      </c>
    </row>
    <row r="685" customFormat="false" ht="15" hidden="false" customHeight="false" outlineLevel="0" collapsed="false">
      <c r="A685" s="32"/>
      <c r="B685" s="29"/>
      <c r="C685" s="10" t="str">
        <f aca="false">IF($B685="","",IFERROR(INDEX(M_name,MATCH($B685,M_emp,0)),"Code not found"))</f>
        <v/>
      </c>
      <c r="D685" s="10" t="str">
        <f aca="false">IF($B685="","",IFERROR(INDEX(M_dept,MATCH($B685,M_emp,0)),""))</f>
        <v/>
      </c>
      <c r="E685" s="10" t="str">
        <f aca="false">IF($B685="","",IFERROR(INDEX(M_loc,MATCH($B685,M_emp,0)),""))</f>
        <v/>
      </c>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4" t="str">
        <f aca="false">IF($B685="","",COUNTIF($F685:$AJ685,"P"))</f>
        <v/>
      </c>
      <c r="AL685" s="34" t="str">
        <f aca="false">IF($B685="","",COUNTIF($F685:$AJ685,"A"))</f>
        <v/>
      </c>
      <c r="AM685" s="34" t="str">
        <f aca="false">IF($B685="","",COUNTIF($F685:$AJ685,"HA"))</f>
        <v/>
      </c>
      <c r="AN685" s="34" t="str">
        <f aca="false">IF($B685="","",COUNTIF($F685:$AJ685,"L"))</f>
        <v/>
      </c>
      <c r="AO685" s="34" t="str">
        <f aca="false">IF($B685="","",COUNTIF($F685:$AJ685,"PL"))</f>
        <v/>
      </c>
      <c r="AP685" s="34" t="str">
        <f aca="false">IF($B685="","",COUNTIF($F685:$AJ685,"CL"))</f>
        <v/>
      </c>
      <c r="AQ685" s="34" t="str">
        <f aca="false">IF($B685="","",COUNTIF($F685:$AJ685,"SL"))</f>
        <v/>
      </c>
      <c r="AR685" s="34" t="str">
        <f aca="false">IF($B685="","",COUNTIF($F685:$AJ685,"CO"))</f>
        <v/>
      </c>
      <c r="AS685" s="34" t="str">
        <f aca="false">IF($B685="","",COUNTIF($F685:$AJ685,"HPL"))</f>
        <v/>
      </c>
      <c r="AT685" s="34" t="str">
        <f aca="false">IF($B685="","",COUNTIF($F685:$AJ685,"HCL"))</f>
        <v/>
      </c>
      <c r="AU685" s="34" t="str">
        <f aca="false">IF($B685="","",COUNTIF($F685:$AJ685,"WO"))</f>
        <v/>
      </c>
      <c r="AV685" s="34" t="str">
        <f aca="false">IF($B685="","",COUNTIF($F685:$AJ685,"PH"))</f>
        <v/>
      </c>
      <c r="AW685" s="34" t="str">
        <f aca="false">IF($B685="","",COUNTIF($F685:$AJ685,"TR"))</f>
        <v/>
      </c>
      <c r="AX685" s="35" t="str">
        <f aca="false">IF($B685="","",AO685+AS685/2)</f>
        <v/>
      </c>
      <c r="AY685" s="35" t="str">
        <f aca="false">IF($B685="","",AQ685)</f>
        <v/>
      </c>
      <c r="AZ685" s="35" t="str">
        <f aca="false">IF($B685="","",AP685+AT685/2)</f>
        <v/>
      </c>
      <c r="BA685" s="35" t="str">
        <f aca="false">IF($B685="","",AK685+AN685+AM685/2+AO685+AP685+AQ685+AR685+AS685+AT685+AU685+AV685+AW685)</f>
        <v/>
      </c>
      <c r="BB685" s="35" t="str">
        <f aca="false">IF($B685="","",MAX(0,AN685-Settings!$C$16)*Settings!$C$17)</f>
        <v/>
      </c>
      <c r="BC685" s="35" t="str">
        <f aca="false">IF($B685="","",BA685-BB685)</f>
        <v/>
      </c>
      <c r="BD685" s="35" t="str">
        <f aca="false">IF(OR($B685="",$A685=""),"",DAY(EOMONTH($A685,0))-COUNTA($F685:$AJ685))</f>
        <v/>
      </c>
    </row>
    <row r="686" customFormat="false" ht="15" hidden="false" customHeight="false" outlineLevel="0" collapsed="false">
      <c r="A686" s="32"/>
      <c r="B686" s="29"/>
      <c r="C686" s="10" t="str">
        <f aca="false">IF($B686="","",IFERROR(INDEX(M_name,MATCH($B686,M_emp,0)),"Code not found"))</f>
        <v/>
      </c>
      <c r="D686" s="10" t="str">
        <f aca="false">IF($B686="","",IFERROR(INDEX(M_dept,MATCH($B686,M_emp,0)),""))</f>
        <v/>
      </c>
      <c r="E686" s="10" t="str">
        <f aca="false">IF($B686="","",IFERROR(INDEX(M_loc,MATCH($B686,M_emp,0)),""))</f>
        <v/>
      </c>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4" t="str">
        <f aca="false">IF($B686="","",COUNTIF($F686:$AJ686,"P"))</f>
        <v/>
      </c>
      <c r="AL686" s="34" t="str">
        <f aca="false">IF($B686="","",COUNTIF($F686:$AJ686,"A"))</f>
        <v/>
      </c>
      <c r="AM686" s="34" t="str">
        <f aca="false">IF($B686="","",COUNTIF($F686:$AJ686,"HA"))</f>
        <v/>
      </c>
      <c r="AN686" s="34" t="str">
        <f aca="false">IF($B686="","",COUNTIF($F686:$AJ686,"L"))</f>
        <v/>
      </c>
      <c r="AO686" s="34" t="str">
        <f aca="false">IF($B686="","",COUNTIF($F686:$AJ686,"PL"))</f>
        <v/>
      </c>
      <c r="AP686" s="34" t="str">
        <f aca="false">IF($B686="","",COUNTIF($F686:$AJ686,"CL"))</f>
        <v/>
      </c>
      <c r="AQ686" s="34" t="str">
        <f aca="false">IF($B686="","",COUNTIF($F686:$AJ686,"SL"))</f>
        <v/>
      </c>
      <c r="AR686" s="34" t="str">
        <f aca="false">IF($B686="","",COUNTIF($F686:$AJ686,"CO"))</f>
        <v/>
      </c>
      <c r="AS686" s="34" t="str">
        <f aca="false">IF($B686="","",COUNTIF($F686:$AJ686,"HPL"))</f>
        <v/>
      </c>
      <c r="AT686" s="34" t="str">
        <f aca="false">IF($B686="","",COUNTIF($F686:$AJ686,"HCL"))</f>
        <v/>
      </c>
      <c r="AU686" s="34" t="str">
        <f aca="false">IF($B686="","",COUNTIF($F686:$AJ686,"WO"))</f>
        <v/>
      </c>
      <c r="AV686" s="34" t="str">
        <f aca="false">IF($B686="","",COUNTIF($F686:$AJ686,"PH"))</f>
        <v/>
      </c>
      <c r="AW686" s="34" t="str">
        <f aca="false">IF($B686="","",COUNTIF($F686:$AJ686,"TR"))</f>
        <v/>
      </c>
      <c r="AX686" s="35" t="str">
        <f aca="false">IF($B686="","",AO686+AS686/2)</f>
        <v/>
      </c>
      <c r="AY686" s="35" t="str">
        <f aca="false">IF($B686="","",AQ686)</f>
        <v/>
      </c>
      <c r="AZ686" s="35" t="str">
        <f aca="false">IF($B686="","",AP686+AT686/2)</f>
        <v/>
      </c>
      <c r="BA686" s="35" t="str">
        <f aca="false">IF($B686="","",AK686+AN686+AM686/2+AO686+AP686+AQ686+AR686+AS686+AT686+AU686+AV686+AW686)</f>
        <v/>
      </c>
      <c r="BB686" s="35" t="str">
        <f aca="false">IF($B686="","",MAX(0,AN686-Settings!$C$16)*Settings!$C$17)</f>
        <v/>
      </c>
      <c r="BC686" s="35" t="str">
        <f aca="false">IF($B686="","",BA686-BB686)</f>
        <v/>
      </c>
      <c r="BD686" s="35" t="str">
        <f aca="false">IF(OR($B686="",$A686=""),"",DAY(EOMONTH($A686,0))-COUNTA($F686:$AJ686))</f>
        <v/>
      </c>
    </row>
    <row r="687" customFormat="false" ht="15" hidden="false" customHeight="false" outlineLevel="0" collapsed="false">
      <c r="A687" s="32"/>
      <c r="B687" s="29"/>
      <c r="C687" s="10" t="str">
        <f aca="false">IF($B687="","",IFERROR(INDEX(M_name,MATCH($B687,M_emp,0)),"Code not found"))</f>
        <v/>
      </c>
      <c r="D687" s="10" t="str">
        <f aca="false">IF($B687="","",IFERROR(INDEX(M_dept,MATCH($B687,M_emp,0)),""))</f>
        <v/>
      </c>
      <c r="E687" s="10" t="str">
        <f aca="false">IF($B687="","",IFERROR(INDEX(M_loc,MATCH($B687,M_emp,0)),""))</f>
        <v/>
      </c>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4" t="str">
        <f aca="false">IF($B687="","",COUNTIF($F687:$AJ687,"P"))</f>
        <v/>
      </c>
      <c r="AL687" s="34" t="str">
        <f aca="false">IF($B687="","",COUNTIF($F687:$AJ687,"A"))</f>
        <v/>
      </c>
      <c r="AM687" s="34" t="str">
        <f aca="false">IF($B687="","",COUNTIF($F687:$AJ687,"HA"))</f>
        <v/>
      </c>
      <c r="AN687" s="34" t="str">
        <f aca="false">IF($B687="","",COUNTIF($F687:$AJ687,"L"))</f>
        <v/>
      </c>
      <c r="AO687" s="34" t="str">
        <f aca="false">IF($B687="","",COUNTIF($F687:$AJ687,"PL"))</f>
        <v/>
      </c>
      <c r="AP687" s="34" t="str">
        <f aca="false">IF($B687="","",COUNTIF($F687:$AJ687,"CL"))</f>
        <v/>
      </c>
      <c r="AQ687" s="34" t="str">
        <f aca="false">IF($B687="","",COUNTIF($F687:$AJ687,"SL"))</f>
        <v/>
      </c>
      <c r="AR687" s="34" t="str">
        <f aca="false">IF($B687="","",COUNTIF($F687:$AJ687,"CO"))</f>
        <v/>
      </c>
      <c r="AS687" s="34" t="str">
        <f aca="false">IF($B687="","",COUNTIF($F687:$AJ687,"HPL"))</f>
        <v/>
      </c>
      <c r="AT687" s="34" t="str">
        <f aca="false">IF($B687="","",COUNTIF($F687:$AJ687,"HCL"))</f>
        <v/>
      </c>
      <c r="AU687" s="34" t="str">
        <f aca="false">IF($B687="","",COUNTIF($F687:$AJ687,"WO"))</f>
        <v/>
      </c>
      <c r="AV687" s="34" t="str">
        <f aca="false">IF($B687="","",COUNTIF($F687:$AJ687,"PH"))</f>
        <v/>
      </c>
      <c r="AW687" s="34" t="str">
        <f aca="false">IF($B687="","",COUNTIF($F687:$AJ687,"TR"))</f>
        <v/>
      </c>
      <c r="AX687" s="35" t="str">
        <f aca="false">IF($B687="","",AO687+AS687/2)</f>
        <v/>
      </c>
      <c r="AY687" s="35" t="str">
        <f aca="false">IF($B687="","",AQ687)</f>
        <v/>
      </c>
      <c r="AZ687" s="35" t="str">
        <f aca="false">IF($B687="","",AP687+AT687/2)</f>
        <v/>
      </c>
      <c r="BA687" s="35" t="str">
        <f aca="false">IF($B687="","",AK687+AN687+AM687/2+AO687+AP687+AQ687+AR687+AS687+AT687+AU687+AV687+AW687)</f>
        <v/>
      </c>
      <c r="BB687" s="35" t="str">
        <f aca="false">IF($B687="","",MAX(0,AN687-Settings!$C$16)*Settings!$C$17)</f>
        <v/>
      </c>
      <c r="BC687" s="35" t="str">
        <f aca="false">IF($B687="","",BA687-BB687)</f>
        <v/>
      </c>
      <c r="BD687" s="35" t="str">
        <f aca="false">IF(OR($B687="",$A687=""),"",DAY(EOMONTH($A687,0))-COUNTA($F687:$AJ687))</f>
        <v/>
      </c>
    </row>
    <row r="688" customFormat="false" ht="15" hidden="false" customHeight="false" outlineLevel="0" collapsed="false">
      <c r="A688" s="32"/>
      <c r="B688" s="29"/>
      <c r="C688" s="10" t="str">
        <f aca="false">IF($B688="","",IFERROR(INDEX(M_name,MATCH($B688,M_emp,0)),"Code not found"))</f>
        <v/>
      </c>
      <c r="D688" s="10" t="str">
        <f aca="false">IF($B688="","",IFERROR(INDEX(M_dept,MATCH($B688,M_emp,0)),""))</f>
        <v/>
      </c>
      <c r="E688" s="10" t="str">
        <f aca="false">IF($B688="","",IFERROR(INDEX(M_loc,MATCH($B688,M_emp,0)),""))</f>
        <v/>
      </c>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4" t="str">
        <f aca="false">IF($B688="","",COUNTIF($F688:$AJ688,"P"))</f>
        <v/>
      </c>
      <c r="AL688" s="34" t="str">
        <f aca="false">IF($B688="","",COUNTIF($F688:$AJ688,"A"))</f>
        <v/>
      </c>
      <c r="AM688" s="34" t="str">
        <f aca="false">IF($B688="","",COUNTIF($F688:$AJ688,"HA"))</f>
        <v/>
      </c>
      <c r="AN688" s="34" t="str">
        <f aca="false">IF($B688="","",COUNTIF($F688:$AJ688,"L"))</f>
        <v/>
      </c>
      <c r="AO688" s="34" t="str">
        <f aca="false">IF($B688="","",COUNTIF($F688:$AJ688,"PL"))</f>
        <v/>
      </c>
      <c r="AP688" s="34" t="str">
        <f aca="false">IF($B688="","",COUNTIF($F688:$AJ688,"CL"))</f>
        <v/>
      </c>
      <c r="AQ688" s="34" t="str">
        <f aca="false">IF($B688="","",COUNTIF($F688:$AJ688,"SL"))</f>
        <v/>
      </c>
      <c r="AR688" s="34" t="str">
        <f aca="false">IF($B688="","",COUNTIF($F688:$AJ688,"CO"))</f>
        <v/>
      </c>
      <c r="AS688" s="34" t="str">
        <f aca="false">IF($B688="","",COUNTIF($F688:$AJ688,"HPL"))</f>
        <v/>
      </c>
      <c r="AT688" s="34" t="str">
        <f aca="false">IF($B688="","",COUNTIF($F688:$AJ688,"HCL"))</f>
        <v/>
      </c>
      <c r="AU688" s="34" t="str">
        <f aca="false">IF($B688="","",COUNTIF($F688:$AJ688,"WO"))</f>
        <v/>
      </c>
      <c r="AV688" s="34" t="str">
        <f aca="false">IF($B688="","",COUNTIF($F688:$AJ688,"PH"))</f>
        <v/>
      </c>
      <c r="AW688" s="34" t="str">
        <f aca="false">IF($B688="","",COUNTIF($F688:$AJ688,"TR"))</f>
        <v/>
      </c>
      <c r="AX688" s="35" t="str">
        <f aca="false">IF($B688="","",AO688+AS688/2)</f>
        <v/>
      </c>
      <c r="AY688" s="35" t="str">
        <f aca="false">IF($B688="","",AQ688)</f>
        <v/>
      </c>
      <c r="AZ688" s="35" t="str">
        <f aca="false">IF($B688="","",AP688+AT688/2)</f>
        <v/>
      </c>
      <c r="BA688" s="35" t="str">
        <f aca="false">IF($B688="","",AK688+AN688+AM688/2+AO688+AP688+AQ688+AR688+AS688+AT688+AU688+AV688+AW688)</f>
        <v/>
      </c>
      <c r="BB688" s="35" t="str">
        <f aca="false">IF($B688="","",MAX(0,AN688-Settings!$C$16)*Settings!$C$17)</f>
        <v/>
      </c>
      <c r="BC688" s="35" t="str">
        <f aca="false">IF($B688="","",BA688-BB688)</f>
        <v/>
      </c>
      <c r="BD688" s="35" t="str">
        <f aca="false">IF(OR($B688="",$A688=""),"",DAY(EOMONTH($A688,0))-COUNTA($F688:$AJ688))</f>
        <v/>
      </c>
    </row>
    <row r="689" customFormat="false" ht="15" hidden="false" customHeight="false" outlineLevel="0" collapsed="false">
      <c r="A689" s="32"/>
      <c r="B689" s="29"/>
      <c r="C689" s="10" t="str">
        <f aca="false">IF($B689="","",IFERROR(INDEX(M_name,MATCH($B689,M_emp,0)),"Code not found"))</f>
        <v/>
      </c>
      <c r="D689" s="10" t="str">
        <f aca="false">IF($B689="","",IFERROR(INDEX(M_dept,MATCH($B689,M_emp,0)),""))</f>
        <v/>
      </c>
      <c r="E689" s="10" t="str">
        <f aca="false">IF($B689="","",IFERROR(INDEX(M_loc,MATCH($B689,M_emp,0)),""))</f>
        <v/>
      </c>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4" t="str">
        <f aca="false">IF($B689="","",COUNTIF($F689:$AJ689,"P"))</f>
        <v/>
      </c>
      <c r="AL689" s="34" t="str">
        <f aca="false">IF($B689="","",COUNTIF($F689:$AJ689,"A"))</f>
        <v/>
      </c>
      <c r="AM689" s="34" t="str">
        <f aca="false">IF($B689="","",COUNTIF($F689:$AJ689,"HA"))</f>
        <v/>
      </c>
      <c r="AN689" s="34" t="str">
        <f aca="false">IF($B689="","",COUNTIF($F689:$AJ689,"L"))</f>
        <v/>
      </c>
      <c r="AO689" s="34" t="str">
        <f aca="false">IF($B689="","",COUNTIF($F689:$AJ689,"PL"))</f>
        <v/>
      </c>
      <c r="AP689" s="34" t="str">
        <f aca="false">IF($B689="","",COUNTIF($F689:$AJ689,"CL"))</f>
        <v/>
      </c>
      <c r="AQ689" s="34" t="str">
        <f aca="false">IF($B689="","",COUNTIF($F689:$AJ689,"SL"))</f>
        <v/>
      </c>
      <c r="AR689" s="34" t="str">
        <f aca="false">IF($B689="","",COUNTIF($F689:$AJ689,"CO"))</f>
        <v/>
      </c>
      <c r="AS689" s="34" t="str">
        <f aca="false">IF($B689="","",COUNTIF($F689:$AJ689,"HPL"))</f>
        <v/>
      </c>
      <c r="AT689" s="34" t="str">
        <f aca="false">IF($B689="","",COUNTIF($F689:$AJ689,"HCL"))</f>
        <v/>
      </c>
      <c r="AU689" s="34" t="str">
        <f aca="false">IF($B689="","",COUNTIF($F689:$AJ689,"WO"))</f>
        <v/>
      </c>
      <c r="AV689" s="34" t="str">
        <f aca="false">IF($B689="","",COUNTIF($F689:$AJ689,"PH"))</f>
        <v/>
      </c>
      <c r="AW689" s="34" t="str">
        <f aca="false">IF($B689="","",COUNTIF($F689:$AJ689,"TR"))</f>
        <v/>
      </c>
      <c r="AX689" s="35" t="str">
        <f aca="false">IF($B689="","",AO689+AS689/2)</f>
        <v/>
      </c>
      <c r="AY689" s="35" t="str">
        <f aca="false">IF($B689="","",AQ689)</f>
        <v/>
      </c>
      <c r="AZ689" s="35" t="str">
        <f aca="false">IF($B689="","",AP689+AT689/2)</f>
        <v/>
      </c>
      <c r="BA689" s="35" t="str">
        <f aca="false">IF($B689="","",AK689+AN689+AM689/2+AO689+AP689+AQ689+AR689+AS689+AT689+AU689+AV689+AW689)</f>
        <v/>
      </c>
      <c r="BB689" s="35" t="str">
        <f aca="false">IF($B689="","",MAX(0,AN689-Settings!$C$16)*Settings!$C$17)</f>
        <v/>
      </c>
      <c r="BC689" s="35" t="str">
        <f aca="false">IF($B689="","",BA689-BB689)</f>
        <v/>
      </c>
      <c r="BD689" s="35" t="str">
        <f aca="false">IF(OR($B689="",$A689=""),"",DAY(EOMONTH($A689,0))-COUNTA($F689:$AJ689))</f>
        <v/>
      </c>
    </row>
    <row r="690" customFormat="false" ht="15" hidden="false" customHeight="false" outlineLevel="0" collapsed="false">
      <c r="A690" s="32"/>
      <c r="B690" s="29"/>
      <c r="C690" s="10" t="str">
        <f aca="false">IF($B690="","",IFERROR(INDEX(M_name,MATCH($B690,M_emp,0)),"Code not found"))</f>
        <v/>
      </c>
      <c r="D690" s="10" t="str">
        <f aca="false">IF($B690="","",IFERROR(INDEX(M_dept,MATCH($B690,M_emp,0)),""))</f>
        <v/>
      </c>
      <c r="E690" s="10" t="str">
        <f aca="false">IF($B690="","",IFERROR(INDEX(M_loc,MATCH($B690,M_emp,0)),""))</f>
        <v/>
      </c>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4" t="str">
        <f aca="false">IF($B690="","",COUNTIF($F690:$AJ690,"P"))</f>
        <v/>
      </c>
      <c r="AL690" s="34" t="str">
        <f aca="false">IF($B690="","",COUNTIF($F690:$AJ690,"A"))</f>
        <v/>
      </c>
      <c r="AM690" s="34" t="str">
        <f aca="false">IF($B690="","",COUNTIF($F690:$AJ690,"HA"))</f>
        <v/>
      </c>
      <c r="AN690" s="34" t="str">
        <f aca="false">IF($B690="","",COUNTIF($F690:$AJ690,"L"))</f>
        <v/>
      </c>
      <c r="AO690" s="34" t="str">
        <f aca="false">IF($B690="","",COUNTIF($F690:$AJ690,"PL"))</f>
        <v/>
      </c>
      <c r="AP690" s="34" t="str">
        <f aca="false">IF($B690="","",COUNTIF($F690:$AJ690,"CL"))</f>
        <v/>
      </c>
      <c r="AQ690" s="34" t="str">
        <f aca="false">IF($B690="","",COUNTIF($F690:$AJ690,"SL"))</f>
        <v/>
      </c>
      <c r="AR690" s="34" t="str">
        <f aca="false">IF($B690="","",COUNTIF($F690:$AJ690,"CO"))</f>
        <v/>
      </c>
      <c r="AS690" s="34" t="str">
        <f aca="false">IF($B690="","",COUNTIF($F690:$AJ690,"HPL"))</f>
        <v/>
      </c>
      <c r="AT690" s="34" t="str">
        <f aca="false">IF($B690="","",COUNTIF($F690:$AJ690,"HCL"))</f>
        <v/>
      </c>
      <c r="AU690" s="34" t="str">
        <f aca="false">IF($B690="","",COUNTIF($F690:$AJ690,"WO"))</f>
        <v/>
      </c>
      <c r="AV690" s="34" t="str">
        <f aca="false">IF($B690="","",COUNTIF($F690:$AJ690,"PH"))</f>
        <v/>
      </c>
      <c r="AW690" s="34" t="str">
        <f aca="false">IF($B690="","",COUNTIF($F690:$AJ690,"TR"))</f>
        <v/>
      </c>
      <c r="AX690" s="35" t="str">
        <f aca="false">IF($B690="","",AO690+AS690/2)</f>
        <v/>
      </c>
      <c r="AY690" s="35" t="str">
        <f aca="false">IF($B690="","",AQ690)</f>
        <v/>
      </c>
      <c r="AZ690" s="35" t="str">
        <f aca="false">IF($B690="","",AP690+AT690/2)</f>
        <v/>
      </c>
      <c r="BA690" s="35" t="str">
        <f aca="false">IF($B690="","",AK690+AN690+AM690/2+AO690+AP690+AQ690+AR690+AS690+AT690+AU690+AV690+AW690)</f>
        <v/>
      </c>
      <c r="BB690" s="35" t="str">
        <f aca="false">IF($B690="","",MAX(0,AN690-Settings!$C$16)*Settings!$C$17)</f>
        <v/>
      </c>
      <c r="BC690" s="35" t="str">
        <f aca="false">IF($B690="","",BA690-BB690)</f>
        <v/>
      </c>
      <c r="BD690" s="35" t="str">
        <f aca="false">IF(OR($B690="",$A690=""),"",DAY(EOMONTH($A690,0))-COUNTA($F690:$AJ690))</f>
        <v/>
      </c>
    </row>
    <row r="691" customFormat="false" ht="15" hidden="false" customHeight="false" outlineLevel="0" collapsed="false">
      <c r="A691" s="32"/>
      <c r="B691" s="29"/>
      <c r="C691" s="10" t="str">
        <f aca="false">IF($B691="","",IFERROR(INDEX(M_name,MATCH($B691,M_emp,0)),"Code not found"))</f>
        <v/>
      </c>
      <c r="D691" s="10" t="str">
        <f aca="false">IF($B691="","",IFERROR(INDEX(M_dept,MATCH($B691,M_emp,0)),""))</f>
        <v/>
      </c>
      <c r="E691" s="10" t="str">
        <f aca="false">IF($B691="","",IFERROR(INDEX(M_loc,MATCH($B691,M_emp,0)),""))</f>
        <v/>
      </c>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4" t="str">
        <f aca="false">IF($B691="","",COUNTIF($F691:$AJ691,"P"))</f>
        <v/>
      </c>
      <c r="AL691" s="34" t="str">
        <f aca="false">IF($B691="","",COUNTIF($F691:$AJ691,"A"))</f>
        <v/>
      </c>
      <c r="AM691" s="34" t="str">
        <f aca="false">IF($B691="","",COUNTIF($F691:$AJ691,"HA"))</f>
        <v/>
      </c>
      <c r="AN691" s="34" t="str">
        <f aca="false">IF($B691="","",COUNTIF($F691:$AJ691,"L"))</f>
        <v/>
      </c>
      <c r="AO691" s="34" t="str">
        <f aca="false">IF($B691="","",COUNTIF($F691:$AJ691,"PL"))</f>
        <v/>
      </c>
      <c r="AP691" s="34" t="str">
        <f aca="false">IF($B691="","",COUNTIF($F691:$AJ691,"CL"))</f>
        <v/>
      </c>
      <c r="AQ691" s="34" t="str">
        <f aca="false">IF($B691="","",COUNTIF($F691:$AJ691,"SL"))</f>
        <v/>
      </c>
      <c r="AR691" s="34" t="str">
        <f aca="false">IF($B691="","",COUNTIF($F691:$AJ691,"CO"))</f>
        <v/>
      </c>
      <c r="AS691" s="34" t="str">
        <f aca="false">IF($B691="","",COUNTIF($F691:$AJ691,"HPL"))</f>
        <v/>
      </c>
      <c r="AT691" s="34" t="str">
        <f aca="false">IF($B691="","",COUNTIF($F691:$AJ691,"HCL"))</f>
        <v/>
      </c>
      <c r="AU691" s="34" t="str">
        <f aca="false">IF($B691="","",COUNTIF($F691:$AJ691,"WO"))</f>
        <v/>
      </c>
      <c r="AV691" s="34" t="str">
        <f aca="false">IF($B691="","",COUNTIF($F691:$AJ691,"PH"))</f>
        <v/>
      </c>
      <c r="AW691" s="34" t="str">
        <f aca="false">IF($B691="","",COUNTIF($F691:$AJ691,"TR"))</f>
        <v/>
      </c>
      <c r="AX691" s="35" t="str">
        <f aca="false">IF($B691="","",AO691+AS691/2)</f>
        <v/>
      </c>
      <c r="AY691" s="35" t="str">
        <f aca="false">IF($B691="","",AQ691)</f>
        <v/>
      </c>
      <c r="AZ691" s="35" t="str">
        <f aca="false">IF($B691="","",AP691+AT691/2)</f>
        <v/>
      </c>
      <c r="BA691" s="35" t="str">
        <f aca="false">IF($B691="","",AK691+AN691+AM691/2+AO691+AP691+AQ691+AR691+AS691+AT691+AU691+AV691+AW691)</f>
        <v/>
      </c>
      <c r="BB691" s="35" t="str">
        <f aca="false">IF($B691="","",MAX(0,AN691-Settings!$C$16)*Settings!$C$17)</f>
        <v/>
      </c>
      <c r="BC691" s="35" t="str">
        <f aca="false">IF($B691="","",BA691-BB691)</f>
        <v/>
      </c>
      <c r="BD691" s="35" t="str">
        <f aca="false">IF(OR($B691="",$A691=""),"",DAY(EOMONTH($A691,0))-COUNTA($F691:$AJ691))</f>
        <v/>
      </c>
    </row>
    <row r="692" customFormat="false" ht="15" hidden="false" customHeight="false" outlineLevel="0" collapsed="false">
      <c r="A692" s="32"/>
      <c r="B692" s="29"/>
      <c r="C692" s="10" t="str">
        <f aca="false">IF($B692="","",IFERROR(INDEX(M_name,MATCH($B692,M_emp,0)),"Code not found"))</f>
        <v/>
      </c>
      <c r="D692" s="10" t="str">
        <f aca="false">IF($B692="","",IFERROR(INDEX(M_dept,MATCH($B692,M_emp,0)),""))</f>
        <v/>
      </c>
      <c r="E692" s="10" t="str">
        <f aca="false">IF($B692="","",IFERROR(INDEX(M_loc,MATCH($B692,M_emp,0)),""))</f>
        <v/>
      </c>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4" t="str">
        <f aca="false">IF($B692="","",COUNTIF($F692:$AJ692,"P"))</f>
        <v/>
      </c>
      <c r="AL692" s="34" t="str">
        <f aca="false">IF($B692="","",COUNTIF($F692:$AJ692,"A"))</f>
        <v/>
      </c>
      <c r="AM692" s="34" t="str">
        <f aca="false">IF($B692="","",COUNTIF($F692:$AJ692,"HA"))</f>
        <v/>
      </c>
      <c r="AN692" s="34" t="str">
        <f aca="false">IF($B692="","",COUNTIF($F692:$AJ692,"L"))</f>
        <v/>
      </c>
      <c r="AO692" s="34" t="str">
        <f aca="false">IF($B692="","",COUNTIF($F692:$AJ692,"PL"))</f>
        <v/>
      </c>
      <c r="AP692" s="34" t="str">
        <f aca="false">IF($B692="","",COUNTIF($F692:$AJ692,"CL"))</f>
        <v/>
      </c>
      <c r="AQ692" s="34" t="str">
        <f aca="false">IF($B692="","",COUNTIF($F692:$AJ692,"SL"))</f>
        <v/>
      </c>
      <c r="AR692" s="34" t="str">
        <f aca="false">IF($B692="","",COUNTIF($F692:$AJ692,"CO"))</f>
        <v/>
      </c>
      <c r="AS692" s="34" t="str">
        <f aca="false">IF($B692="","",COUNTIF($F692:$AJ692,"HPL"))</f>
        <v/>
      </c>
      <c r="AT692" s="34" t="str">
        <f aca="false">IF($B692="","",COUNTIF($F692:$AJ692,"HCL"))</f>
        <v/>
      </c>
      <c r="AU692" s="34" t="str">
        <f aca="false">IF($B692="","",COUNTIF($F692:$AJ692,"WO"))</f>
        <v/>
      </c>
      <c r="AV692" s="34" t="str">
        <f aca="false">IF($B692="","",COUNTIF($F692:$AJ692,"PH"))</f>
        <v/>
      </c>
      <c r="AW692" s="34" t="str">
        <f aca="false">IF($B692="","",COUNTIF($F692:$AJ692,"TR"))</f>
        <v/>
      </c>
      <c r="AX692" s="35" t="str">
        <f aca="false">IF($B692="","",AO692+AS692/2)</f>
        <v/>
      </c>
      <c r="AY692" s="35" t="str">
        <f aca="false">IF($B692="","",AQ692)</f>
        <v/>
      </c>
      <c r="AZ692" s="35" t="str">
        <f aca="false">IF($B692="","",AP692+AT692/2)</f>
        <v/>
      </c>
      <c r="BA692" s="35" t="str">
        <f aca="false">IF($B692="","",AK692+AN692+AM692/2+AO692+AP692+AQ692+AR692+AS692+AT692+AU692+AV692+AW692)</f>
        <v/>
      </c>
      <c r="BB692" s="35" t="str">
        <f aca="false">IF($B692="","",MAX(0,AN692-Settings!$C$16)*Settings!$C$17)</f>
        <v/>
      </c>
      <c r="BC692" s="35" t="str">
        <f aca="false">IF($B692="","",BA692-BB692)</f>
        <v/>
      </c>
      <c r="BD692" s="35" t="str">
        <f aca="false">IF(OR($B692="",$A692=""),"",DAY(EOMONTH($A692,0))-COUNTA($F692:$AJ692))</f>
        <v/>
      </c>
    </row>
    <row r="693" customFormat="false" ht="15" hidden="false" customHeight="false" outlineLevel="0" collapsed="false">
      <c r="A693" s="32"/>
      <c r="B693" s="29"/>
      <c r="C693" s="10" t="str">
        <f aca="false">IF($B693="","",IFERROR(INDEX(M_name,MATCH($B693,M_emp,0)),"Code not found"))</f>
        <v/>
      </c>
      <c r="D693" s="10" t="str">
        <f aca="false">IF($B693="","",IFERROR(INDEX(M_dept,MATCH($B693,M_emp,0)),""))</f>
        <v/>
      </c>
      <c r="E693" s="10" t="str">
        <f aca="false">IF($B693="","",IFERROR(INDEX(M_loc,MATCH($B693,M_emp,0)),""))</f>
        <v/>
      </c>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4" t="str">
        <f aca="false">IF($B693="","",COUNTIF($F693:$AJ693,"P"))</f>
        <v/>
      </c>
      <c r="AL693" s="34" t="str">
        <f aca="false">IF($B693="","",COUNTIF($F693:$AJ693,"A"))</f>
        <v/>
      </c>
      <c r="AM693" s="34" t="str">
        <f aca="false">IF($B693="","",COUNTIF($F693:$AJ693,"HA"))</f>
        <v/>
      </c>
      <c r="AN693" s="34" t="str">
        <f aca="false">IF($B693="","",COUNTIF($F693:$AJ693,"L"))</f>
        <v/>
      </c>
      <c r="AO693" s="34" t="str">
        <f aca="false">IF($B693="","",COUNTIF($F693:$AJ693,"PL"))</f>
        <v/>
      </c>
      <c r="AP693" s="34" t="str">
        <f aca="false">IF($B693="","",COUNTIF($F693:$AJ693,"CL"))</f>
        <v/>
      </c>
      <c r="AQ693" s="34" t="str">
        <f aca="false">IF($B693="","",COUNTIF($F693:$AJ693,"SL"))</f>
        <v/>
      </c>
      <c r="AR693" s="34" t="str">
        <f aca="false">IF($B693="","",COUNTIF($F693:$AJ693,"CO"))</f>
        <v/>
      </c>
      <c r="AS693" s="34" t="str">
        <f aca="false">IF($B693="","",COUNTIF($F693:$AJ693,"HPL"))</f>
        <v/>
      </c>
      <c r="AT693" s="34" t="str">
        <f aca="false">IF($B693="","",COUNTIF($F693:$AJ693,"HCL"))</f>
        <v/>
      </c>
      <c r="AU693" s="34" t="str">
        <f aca="false">IF($B693="","",COUNTIF($F693:$AJ693,"WO"))</f>
        <v/>
      </c>
      <c r="AV693" s="34" t="str">
        <f aca="false">IF($B693="","",COUNTIF($F693:$AJ693,"PH"))</f>
        <v/>
      </c>
      <c r="AW693" s="34" t="str">
        <f aca="false">IF($B693="","",COUNTIF($F693:$AJ693,"TR"))</f>
        <v/>
      </c>
      <c r="AX693" s="35" t="str">
        <f aca="false">IF($B693="","",AO693+AS693/2)</f>
        <v/>
      </c>
      <c r="AY693" s="35" t="str">
        <f aca="false">IF($B693="","",AQ693)</f>
        <v/>
      </c>
      <c r="AZ693" s="35" t="str">
        <f aca="false">IF($B693="","",AP693+AT693/2)</f>
        <v/>
      </c>
      <c r="BA693" s="35" t="str">
        <f aca="false">IF($B693="","",AK693+AN693+AM693/2+AO693+AP693+AQ693+AR693+AS693+AT693+AU693+AV693+AW693)</f>
        <v/>
      </c>
      <c r="BB693" s="35" t="str">
        <f aca="false">IF($B693="","",MAX(0,AN693-Settings!$C$16)*Settings!$C$17)</f>
        <v/>
      </c>
      <c r="BC693" s="35" t="str">
        <f aca="false">IF($B693="","",BA693-BB693)</f>
        <v/>
      </c>
      <c r="BD693" s="35" t="str">
        <f aca="false">IF(OR($B693="",$A693=""),"",DAY(EOMONTH($A693,0))-COUNTA($F693:$AJ693))</f>
        <v/>
      </c>
    </row>
    <row r="694" customFormat="false" ht="15" hidden="false" customHeight="false" outlineLevel="0" collapsed="false">
      <c r="A694" s="32"/>
      <c r="B694" s="29"/>
      <c r="C694" s="10" t="str">
        <f aca="false">IF($B694="","",IFERROR(INDEX(M_name,MATCH($B694,M_emp,0)),"Code not found"))</f>
        <v/>
      </c>
      <c r="D694" s="10" t="str">
        <f aca="false">IF($B694="","",IFERROR(INDEX(M_dept,MATCH($B694,M_emp,0)),""))</f>
        <v/>
      </c>
      <c r="E694" s="10" t="str">
        <f aca="false">IF($B694="","",IFERROR(INDEX(M_loc,MATCH($B694,M_emp,0)),""))</f>
        <v/>
      </c>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4" t="str">
        <f aca="false">IF($B694="","",COUNTIF($F694:$AJ694,"P"))</f>
        <v/>
      </c>
      <c r="AL694" s="34" t="str">
        <f aca="false">IF($B694="","",COUNTIF($F694:$AJ694,"A"))</f>
        <v/>
      </c>
      <c r="AM694" s="34" t="str">
        <f aca="false">IF($B694="","",COUNTIF($F694:$AJ694,"HA"))</f>
        <v/>
      </c>
      <c r="AN694" s="34" t="str">
        <f aca="false">IF($B694="","",COUNTIF($F694:$AJ694,"L"))</f>
        <v/>
      </c>
      <c r="AO694" s="34" t="str">
        <f aca="false">IF($B694="","",COUNTIF($F694:$AJ694,"PL"))</f>
        <v/>
      </c>
      <c r="AP694" s="34" t="str">
        <f aca="false">IF($B694="","",COUNTIF($F694:$AJ694,"CL"))</f>
        <v/>
      </c>
      <c r="AQ694" s="34" t="str">
        <f aca="false">IF($B694="","",COUNTIF($F694:$AJ694,"SL"))</f>
        <v/>
      </c>
      <c r="AR694" s="34" t="str">
        <f aca="false">IF($B694="","",COUNTIF($F694:$AJ694,"CO"))</f>
        <v/>
      </c>
      <c r="AS694" s="34" t="str">
        <f aca="false">IF($B694="","",COUNTIF($F694:$AJ694,"HPL"))</f>
        <v/>
      </c>
      <c r="AT694" s="34" t="str">
        <f aca="false">IF($B694="","",COUNTIF($F694:$AJ694,"HCL"))</f>
        <v/>
      </c>
      <c r="AU694" s="34" t="str">
        <f aca="false">IF($B694="","",COUNTIF($F694:$AJ694,"WO"))</f>
        <v/>
      </c>
      <c r="AV694" s="34" t="str">
        <f aca="false">IF($B694="","",COUNTIF($F694:$AJ694,"PH"))</f>
        <v/>
      </c>
      <c r="AW694" s="34" t="str">
        <f aca="false">IF($B694="","",COUNTIF($F694:$AJ694,"TR"))</f>
        <v/>
      </c>
      <c r="AX694" s="35" t="str">
        <f aca="false">IF($B694="","",AO694+AS694/2)</f>
        <v/>
      </c>
      <c r="AY694" s="35" t="str">
        <f aca="false">IF($B694="","",AQ694)</f>
        <v/>
      </c>
      <c r="AZ694" s="35" t="str">
        <f aca="false">IF($B694="","",AP694+AT694/2)</f>
        <v/>
      </c>
      <c r="BA694" s="35" t="str">
        <f aca="false">IF($B694="","",AK694+AN694+AM694/2+AO694+AP694+AQ694+AR694+AS694+AT694+AU694+AV694+AW694)</f>
        <v/>
      </c>
      <c r="BB694" s="35" t="str">
        <f aca="false">IF($B694="","",MAX(0,AN694-Settings!$C$16)*Settings!$C$17)</f>
        <v/>
      </c>
      <c r="BC694" s="35" t="str">
        <f aca="false">IF($B694="","",BA694-BB694)</f>
        <v/>
      </c>
      <c r="BD694" s="35" t="str">
        <f aca="false">IF(OR($B694="",$A694=""),"",DAY(EOMONTH($A694,0))-COUNTA($F694:$AJ694))</f>
        <v/>
      </c>
    </row>
    <row r="695" customFormat="false" ht="15" hidden="false" customHeight="false" outlineLevel="0" collapsed="false">
      <c r="A695" s="32"/>
      <c r="B695" s="29"/>
      <c r="C695" s="10" t="str">
        <f aca="false">IF($B695="","",IFERROR(INDEX(M_name,MATCH($B695,M_emp,0)),"Code not found"))</f>
        <v/>
      </c>
      <c r="D695" s="10" t="str">
        <f aca="false">IF($B695="","",IFERROR(INDEX(M_dept,MATCH($B695,M_emp,0)),""))</f>
        <v/>
      </c>
      <c r="E695" s="10" t="str">
        <f aca="false">IF($B695="","",IFERROR(INDEX(M_loc,MATCH($B695,M_emp,0)),""))</f>
        <v/>
      </c>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4" t="str">
        <f aca="false">IF($B695="","",COUNTIF($F695:$AJ695,"P"))</f>
        <v/>
      </c>
      <c r="AL695" s="34" t="str">
        <f aca="false">IF($B695="","",COUNTIF($F695:$AJ695,"A"))</f>
        <v/>
      </c>
      <c r="AM695" s="34" t="str">
        <f aca="false">IF($B695="","",COUNTIF($F695:$AJ695,"HA"))</f>
        <v/>
      </c>
      <c r="AN695" s="34" t="str">
        <f aca="false">IF($B695="","",COUNTIF($F695:$AJ695,"L"))</f>
        <v/>
      </c>
      <c r="AO695" s="34" t="str">
        <f aca="false">IF($B695="","",COUNTIF($F695:$AJ695,"PL"))</f>
        <v/>
      </c>
      <c r="AP695" s="34" t="str">
        <f aca="false">IF($B695="","",COUNTIF($F695:$AJ695,"CL"))</f>
        <v/>
      </c>
      <c r="AQ695" s="34" t="str">
        <f aca="false">IF($B695="","",COUNTIF($F695:$AJ695,"SL"))</f>
        <v/>
      </c>
      <c r="AR695" s="34" t="str">
        <f aca="false">IF($B695="","",COUNTIF($F695:$AJ695,"CO"))</f>
        <v/>
      </c>
      <c r="AS695" s="34" t="str">
        <f aca="false">IF($B695="","",COUNTIF($F695:$AJ695,"HPL"))</f>
        <v/>
      </c>
      <c r="AT695" s="34" t="str">
        <f aca="false">IF($B695="","",COUNTIF($F695:$AJ695,"HCL"))</f>
        <v/>
      </c>
      <c r="AU695" s="34" t="str">
        <f aca="false">IF($B695="","",COUNTIF($F695:$AJ695,"WO"))</f>
        <v/>
      </c>
      <c r="AV695" s="34" t="str">
        <f aca="false">IF($B695="","",COUNTIF($F695:$AJ695,"PH"))</f>
        <v/>
      </c>
      <c r="AW695" s="34" t="str">
        <f aca="false">IF($B695="","",COUNTIF($F695:$AJ695,"TR"))</f>
        <v/>
      </c>
      <c r="AX695" s="35" t="str">
        <f aca="false">IF($B695="","",AO695+AS695/2)</f>
        <v/>
      </c>
      <c r="AY695" s="35" t="str">
        <f aca="false">IF($B695="","",AQ695)</f>
        <v/>
      </c>
      <c r="AZ695" s="35" t="str">
        <f aca="false">IF($B695="","",AP695+AT695/2)</f>
        <v/>
      </c>
      <c r="BA695" s="35" t="str">
        <f aca="false">IF($B695="","",AK695+AN695+AM695/2+AO695+AP695+AQ695+AR695+AS695+AT695+AU695+AV695+AW695)</f>
        <v/>
      </c>
      <c r="BB695" s="35" t="str">
        <f aca="false">IF($B695="","",MAX(0,AN695-Settings!$C$16)*Settings!$C$17)</f>
        <v/>
      </c>
      <c r="BC695" s="35" t="str">
        <f aca="false">IF($B695="","",BA695-BB695)</f>
        <v/>
      </c>
      <c r="BD695" s="35" t="str">
        <f aca="false">IF(OR($B695="",$A695=""),"",DAY(EOMONTH($A695,0))-COUNTA($F695:$AJ695))</f>
        <v/>
      </c>
    </row>
    <row r="696" customFormat="false" ht="15" hidden="false" customHeight="false" outlineLevel="0" collapsed="false">
      <c r="A696" s="32"/>
      <c r="B696" s="29"/>
      <c r="C696" s="10" t="str">
        <f aca="false">IF($B696="","",IFERROR(INDEX(M_name,MATCH($B696,M_emp,0)),"Code not found"))</f>
        <v/>
      </c>
      <c r="D696" s="10" t="str">
        <f aca="false">IF($B696="","",IFERROR(INDEX(M_dept,MATCH($B696,M_emp,0)),""))</f>
        <v/>
      </c>
      <c r="E696" s="10" t="str">
        <f aca="false">IF($B696="","",IFERROR(INDEX(M_loc,MATCH($B696,M_emp,0)),""))</f>
        <v/>
      </c>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4" t="str">
        <f aca="false">IF($B696="","",COUNTIF($F696:$AJ696,"P"))</f>
        <v/>
      </c>
      <c r="AL696" s="34" t="str">
        <f aca="false">IF($B696="","",COUNTIF($F696:$AJ696,"A"))</f>
        <v/>
      </c>
      <c r="AM696" s="34" t="str">
        <f aca="false">IF($B696="","",COUNTIF($F696:$AJ696,"HA"))</f>
        <v/>
      </c>
      <c r="AN696" s="34" t="str">
        <f aca="false">IF($B696="","",COUNTIF($F696:$AJ696,"L"))</f>
        <v/>
      </c>
      <c r="AO696" s="34" t="str">
        <f aca="false">IF($B696="","",COUNTIF($F696:$AJ696,"PL"))</f>
        <v/>
      </c>
      <c r="AP696" s="34" t="str">
        <f aca="false">IF($B696="","",COUNTIF($F696:$AJ696,"CL"))</f>
        <v/>
      </c>
      <c r="AQ696" s="34" t="str">
        <f aca="false">IF($B696="","",COUNTIF($F696:$AJ696,"SL"))</f>
        <v/>
      </c>
      <c r="AR696" s="34" t="str">
        <f aca="false">IF($B696="","",COUNTIF($F696:$AJ696,"CO"))</f>
        <v/>
      </c>
      <c r="AS696" s="34" t="str">
        <f aca="false">IF($B696="","",COUNTIF($F696:$AJ696,"HPL"))</f>
        <v/>
      </c>
      <c r="AT696" s="34" t="str">
        <f aca="false">IF($B696="","",COUNTIF($F696:$AJ696,"HCL"))</f>
        <v/>
      </c>
      <c r="AU696" s="34" t="str">
        <f aca="false">IF($B696="","",COUNTIF($F696:$AJ696,"WO"))</f>
        <v/>
      </c>
      <c r="AV696" s="34" t="str">
        <f aca="false">IF($B696="","",COUNTIF($F696:$AJ696,"PH"))</f>
        <v/>
      </c>
      <c r="AW696" s="34" t="str">
        <f aca="false">IF($B696="","",COUNTIF($F696:$AJ696,"TR"))</f>
        <v/>
      </c>
      <c r="AX696" s="35" t="str">
        <f aca="false">IF($B696="","",AO696+AS696/2)</f>
        <v/>
      </c>
      <c r="AY696" s="35" t="str">
        <f aca="false">IF($B696="","",AQ696)</f>
        <v/>
      </c>
      <c r="AZ696" s="35" t="str">
        <f aca="false">IF($B696="","",AP696+AT696/2)</f>
        <v/>
      </c>
      <c r="BA696" s="35" t="str">
        <f aca="false">IF($B696="","",AK696+AN696+AM696/2+AO696+AP696+AQ696+AR696+AS696+AT696+AU696+AV696+AW696)</f>
        <v/>
      </c>
      <c r="BB696" s="35" t="str">
        <f aca="false">IF($B696="","",MAX(0,AN696-Settings!$C$16)*Settings!$C$17)</f>
        <v/>
      </c>
      <c r="BC696" s="35" t="str">
        <f aca="false">IF($B696="","",BA696-BB696)</f>
        <v/>
      </c>
      <c r="BD696" s="35" t="str">
        <f aca="false">IF(OR($B696="",$A696=""),"",DAY(EOMONTH($A696,0))-COUNTA($F696:$AJ696))</f>
        <v/>
      </c>
    </row>
    <row r="697" customFormat="false" ht="15" hidden="false" customHeight="false" outlineLevel="0" collapsed="false">
      <c r="A697" s="32"/>
      <c r="B697" s="29"/>
      <c r="C697" s="10" t="str">
        <f aca="false">IF($B697="","",IFERROR(INDEX(M_name,MATCH($B697,M_emp,0)),"Code not found"))</f>
        <v/>
      </c>
      <c r="D697" s="10" t="str">
        <f aca="false">IF($B697="","",IFERROR(INDEX(M_dept,MATCH($B697,M_emp,0)),""))</f>
        <v/>
      </c>
      <c r="E697" s="10" t="str">
        <f aca="false">IF($B697="","",IFERROR(INDEX(M_loc,MATCH($B697,M_emp,0)),""))</f>
        <v/>
      </c>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4" t="str">
        <f aca="false">IF($B697="","",COUNTIF($F697:$AJ697,"P"))</f>
        <v/>
      </c>
      <c r="AL697" s="34" t="str">
        <f aca="false">IF($B697="","",COUNTIF($F697:$AJ697,"A"))</f>
        <v/>
      </c>
      <c r="AM697" s="34" t="str">
        <f aca="false">IF($B697="","",COUNTIF($F697:$AJ697,"HA"))</f>
        <v/>
      </c>
      <c r="AN697" s="34" t="str">
        <f aca="false">IF($B697="","",COUNTIF($F697:$AJ697,"L"))</f>
        <v/>
      </c>
      <c r="AO697" s="34" t="str">
        <f aca="false">IF($B697="","",COUNTIF($F697:$AJ697,"PL"))</f>
        <v/>
      </c>
      <c r="AP697" s="34" t="str">
        <f aca="false">IF($B697="","",COUNTIF($F697:$AJ697,"CL"))</f>
        <v/>
      </c>
      <c r="AQ697" s="34" t="str">
        <f aca="false">IF($B697="","",COUNTIF($F697:$AJ697,"SL"))</f>
        <v/>
      </c>
      <c r="AR697" s="34" t="str">
        <f aca="false">IF($B697="","",COUNTIF($F697:$AJ697,"CO"))</f>
        <v/>
      </c>
      <c r="AS697" s="34" t="str">
        <f aca="false">IF($B697="","",COUNTIF($F697:$AJ697,"HPL"))</f>
        <v/>
      </c>
      <c r="AT697" s="34" t="str">
        <f aca="false">IF($B697="","",COUNTIF($F697:$AJ697,"HCL"))</f>
        <v/>
      </c>
      <c r="AU697" s="34" t="str">
        <f aca="false">IF($B697="","",COUNTIF($F697:$AJ697,"WO"))</f>
        <v/>
      </c>
      <c r="AV697" s="34" t="str">
        <f aca="false">IF($B697="","",COUNTIF($F697:$AJ697,"PH"))</f>
        <v/>
      </c>
      <c r="AW697" s="34" t="str">
        <f aca="false">IF($B697="","",COUNTIF($F697:$AJ697,"TR"))</f>
        <v/>
      </c>
      <c r="AX697" s="35" t="str">
        <f aca="false">IF($B697="","",AO697+AS697/2)</f>
        <v/>
      </c>
      <c r="AY697" s="35" t="str">
        <f aca="false">IF($B697="","",AQ697)</f>
        <v/>
      </c>
      <c r="AZ697" s="35" t="str">
        <f aca="false">IF($B697="","",AP697+AT697/2)</f>
        <v/>
      </c>
      <c r="BA697" s="35" t="str">
        <f aca="false">IF($B697="","",AK697+AN697+AM697/2+AO697+AP697+AQ697+AR697+AS697+AT697+AU697+AV697+AW697)</f>
        <v/>
      </c>
      <c r="BB697" s="35" t="str">
        <f aca="false">IF($B697="","",MAX(0,AN697-Settings!$C$16)*Settings!$C$17)</f>
        <v/>
      </c>
      <c r="BC697" s="35" t="str">
        <f aca="false">IF($B697="","",BA697-BB697)</f>
        <v/>
      </c>
      <c r="BD697" s="35" t="str">
        <f aca="false">IF(OR($B697="",$A697=""),"",DAY(EOMONTH($A697,0))-COUNTA($F697:$AJ697))</f>
        <v/>
      </c>
    </row>
    <row r="698" customFormat="false" ht="15" hidden="false" customHeight="false" outlineLevel="0" collapsed="false">
      <c r="A698" s="32"/>
      <c r="B698" s="29"/>
      <c r="C698" s="10" t="str">
        <f aca="false">IF($B698="","",IFERROR(INDEX(M_name,MATCH($B698,M_emp,0)),"Code not found"))</f>
        <v/>
      </c>
      <c r="D698" s="10" t="str">
        <f aca="false">IF($B698="","",IFERROR(INDEX(M_dept,MATCH($B698,M_emp,0)),""))</f>
        <v/>
      </c>
      <c r="E698" s="10" t="str">
        <f aca="false">IF($B698="","",IFERROR(INDEX(M_loc,MATCH($B698,M_emp,0)),""))</f>
        <v/>
      </c>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4" t="str">
        <f aca="false">IF($B698="","",COUNTIF($F698:$AJ698,"P"))</f>
        <v/>
      </c>
      <c r="AL698" s="34" t="str">
        <f aca="false">IF($B698="","",COUNTIF($F698:$AJ698,"A"))</f>
        <v/>
      </c>
      <c r="AM698" s="34" t="str">
        <f aca="false">IF($B698="","",COUNTIF($F698:$AJ698,"HA"))</f>
        <v/>
      </c>
      <c r="AN698" s="34" t="str">
        <f aca="false">IF($B698="","",COUNTIF($F698:$AJ698,"L"))</f>
        <v/>
      </c>
      <c r="AO698" s="34" t="str">
        <f aca="false">IF($B698="","",COUNTIF($F698:$AJ698,"PL"))</f>
        <v/>
      </c>
      <c r="AP698" s="34" t="str">
        <f aca="false">IF($B698="","",COUNTIF($F698:$AJ698,"CL"))</f>
        <v/>
      </c>
      <c r="AQ698" s="34" t="str">
        <f aca="false">IF($B698="","",COUNTIF($F698:$AJ698,"SL"))</f>
        <v/>
      </c>
      <c r="AR698" s="34" t="str">
        <f aca="false">IF($B698="","",COUNTIF($F698:$AJ698,"CO"))</f>
        <v/>
      </c>
      <c r="AS698" s="34" t="str">
        <f aca="false">IF($B698="","",COUNTIF($F698:$AJ698,"HPL"))</f>
        <v/>
      </c>
      <c r="AT698" s="34" t="str">
        <f aca="false">IF($B698="","",COUNTIF($F698:$AJ698,"HCL"))</f>
        <v/>
      </c>
      <c r="AU698" s="34" t="str">
        <f aca="false">IF($B698="","",COUNTIF($F698:$AJ698,"WO"))</f>
        <v/>
      </c>
      <c r="AV698" s="34" t="str">
        <f aca="false">IF($B698="","",COUNTIF($F698:$AJ698,"PH"))</f>
        <v/>
      </c>
      <c r="AW698" s="34" t="str">
        <f aca="false">IF($B698="","",COUNTIF($F698:$AJ698,"TR"))</f>
        <v/>
      </c>
      <c r="AX698" s="35" t="str">
        <f aca="false">IF($B698="","",AO698+AS698/2)</f>
        <v/>
      </c>
      <c r="AY698" s="35" t="str">
        <f aca="false">IF($B698="","",AQ698)</f>
        <v/>
      </c>
      <c r="AZ698" s="35" t="str">
        <f aca="false">IF($B698="","",AP698+AT698/2)</f>
        <v/>
      </c>
      <c r="BA698" s="35" t="str">
        <f aca="false">IF($B698="","",AK698+AN698+AM698/2+AO698+AP698+AQ698+AR698+AS698+AT698+AU698+AV698+AW698)</f>
        <v/>
      </c>
      <c r="BB698" s="35" t="str">
        <f aca="false">IF($B698="","",MAX(0,AN698-Settings!$C$16)*Settings!$C$17)</f>
        <v/>
      </c>
      <c r="BC698" s="35" t="str">
        <f aca="false">IF($B698="","",BA698-BB698)</f>
        <v/>
      </c>
      <c r="BD698" s="35" t="str">
        <f aca="false">IF(OR($B698="",$A698=""),"",DAY(EOMONTH($A698,0))-COUNTA($F698:$AJ698))</f>
        <v/>
      </c>
    </row>
    <row r="699" customFormat="false" ht="15" hidden="false" customHeight="false" outlineLevel="0" collapsed="false">
      <c r="A699" s="32"/>
      <c r="B699" s="29"/>
      <c r="C699" s="10" t="str">
        <f aca="false">IF($B699="","",IFERROR(INDEX(M_name,MATCH($B699,M_emp,0)),"Code not found"))</f>
        <v/>
      </c>
      <c r="D699" s="10" t="str">
        <f aca="false">IF($B699="","",IFERROR(INDEX(M_dept,MATCH($B699,M_emp,0)),""))</f>
        <v/>
      </c>
      <c r="E699" s="10" t="str">
        <f aca="false">IF($B699="","",IFERROR(INDEX(M_loc,MATCH($B699,M_emp,0)),""))</f>
        <v/>
      </c>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4" t="str">
        <f aca="false">IF($B699="","",COUNTIF($F699:$AJ699,"P"))</f>
        <v/>
      </c>
      <c r="AL699" s="34" t="str">
        <f aca="false">IF($B699="","",COUNTIF($F699:$AJ699,"A"))</f>
        <v/>
      </c>
      <c r="AM699" s="34" t="str">
        <f aca="false">IF($B699="","",COUNTIF($F699:$AJ699,"HA"))</f>
        <v/>
      </c>
      <c r="AN699" s="34" t="str">
        <f aca="false">IF($B699="","",COUNTIF($F699:$AJ699,"L"))</f>
        <v/>
      </c>
      <c r="AO699" s="34" t="str">
        <f aca="false">IF($B699="","",COUNTIF($F699:$AJ699,"PL"))</f>
        <v/>
      </c>
      <c r="AP699" s="34" t="str">
        <f aca="false">IF($B699="","",COUNTIF($F699:$AJ699,"CL"))</f>
        <v/>
      </c>
      <c r="AQ699" s="34" t="str">
        <f aca="false">IF($B699="","",COUNTIF($F699:$AJ699,"SL"))</f>
        <v/>
      </c>
      <c r="AR699" s="34" t="str">
        <f aca="false">IF($B699="","",COUNTIF($F699:$AJ699,"CO"))</f>
        <v/>
      </c>
      <c r="AS699" s="34" t="str">
        <f aca="false">IF($B699="","",COUNTIF($F699:$AJ699,"HPL"))</f>
        <v/>
      </c>
      <c r="AT699" s="34" t="str">
        <f aca="false">IF($B699="","",COUNTIF($F699:$AJ699,"HCL"))</f>
        <v/>
      </c>
      <c r="AU699" s="34" t="str">
        <f aca="false">IF($B699="","",COUNTIF($F699:$AJ699,"WO"))</f>
        <v/>
      </c>
      <c r="AV699" s="34" t="str">
        <f aca="false">IF($B699="","",COUNTIF($F699:$AJ699,"PH"))</f>
        <v/>
      </c>
      <c r="AW699" s="34" t="str">
        <f aca="false">IF($B699="","",COUNTIF($F699:$AJ699,"TR"))</f>
        <v/>
      </c>
      <c r="AX699" s="35" t="str">
        <f aca="false">IF($B699="","",AO699+AS699/2)</f>
        <v/>
      </c>
      <c r="AY699" s="35" t="str">
        <f aca="false">IF($B699="","",AQ699)</f>
        <v/>
      </c>
      <c r="AZ699" s="35" t="str">
        <f aca="false">IF($B699="","",AP699+AT699/2)</f>
        <v/>
      </c>
      <c r="BA699" s="35" t="str">
        <f aca="false">IF($B699="","",AK699+AN699+AM699/2+AO699+AP699+AQ699+AR699+AS699+AT699+AU699+AV699+AW699)</f>
        <v/>
      </c>
      <c r="BB699" s="35" t="str">
        <f aca="false">IF($B699="","",MAX(0,AN699-Settings!$C$16)*Settings!$C$17)</f>
        <v/>
      </c>
      <c r="BC699" s="35" t="str">
        <f aca="false">IF($B699="","",BA699-BB699)</f>
        <v/>
      </c>
      <c r="BD699" s="35" t="str">
        <f aca="false">IF(OR($B699="",$A699=""),"",DAY(EOMONTH($A699,0))-COUNTA($F699:$AJ699))</f>
        <v/>
      </c>
    </row>
    <row r="700" customFormat="false" ht="15" hidden="false" customHeight="false" outlineLevel="0" collapsed="false">
      <c r="A700" s="32"/>
      <c r="B700" s="29"/>
      <c r="C700" s="10" t="str">
        <f aca="false">IF($B700="","",IFERROR(INDEX(M_name,MATCH($B700,M_emp,0)),"Code not found"))</f>
        <v/>
      </c>
      <c r="D700" s="10" t="str">
        <f aca="false">IF($B700="","",IFERROR(INDEX(M_dept,MATCH($B700,M_emp,0)),""))</f>
        <v/>
      </c>
      <c r="E700" s="10" t="str">
        <f aca="false">IF($B700="","",IFERROR(INDEX(M_loc,MATCH($B700,M_emp,0)),""))</f>
        <v/>
      </c>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4" t="str">
        <f aca="false">IF($B700="","",COUNTIF($F700:$AJ700,"P"))</f>
        <v/>
      </c>
      <c r="AL700" s="34" t="str">
        <f aca="false">IF($B700="","",COUNTIF($F700:$AJ700,"A"))</f>
        <v/>
      </c>
      <c r="AM700" s="34" t="str">
        <f aca="false">IF($B700="","",COUNTIF($F700:$AJ700,"HA"))</f>
        <v/>
      </c>
      <c r="AN700" s="34" t="str">
        <f aca="false">IF($B700="","",COUNTIF($F700:$AJ700,"L"))</f>
        <v/>
      </c>
      <c r="AO700" s="34" t="str">
        <f aca="false">IF($B700="","",COUNTIF($F700:$AJ700,"PL"))</f>
        <v/>
      </c>
      <c r="AP700" s="34" t="str">
        <f aca="false">IF($B700="","",COUNTIF($F700:$AJ700,"CL"))</f>
        <v/>
      </c>
      <c r="AQ700" s="34" t="str">
        <f aca="false">IF($B700="","",COUNTIF($F700:$AJ700,"SL"))</f>
        <v/>
      </c>
      <c r="AR700" s="34" t="str">
        <f aca="false">IF($B700="","",COUNTIF($F700:$AJ700,"CO"))</f>
        <v/>
      </c>
      <c r="AS700" s="34" t="str">
        <f aca="false">IF($B700="","",COUNTIF($F700:$AJ700,"HPL"))</f>
        <v/>
      </c>
      <c r="AT700" s="34" t="str">
        <f aca="false">IF($B700="","",COUNTIF($F700:$AJ700,"HCL"))</f>
        <v/>
      </c>
      <c r="AU700" s="34" t="str">
        <f aca="false">IF($B700="","",COUNTIF($F700:$AJ700,"WO"))</f>
        <v/>
      </c>
      <c r="AV700" s="34" t="str">
        <f aca="false">IF($B700="","",COUNTIF($F700:$AJ700,"PH"))</f>
        <v/>
      </c>
      <c r="AW700" s="34" t="str">
        <f aca="false">IF($B700="","",COUNTIF($F700:$AJ700,"TR"))</f>
        <v/>
      </c>
      <c r="AX700" s="35" t="str">
        <f aca="false">IF($B700="","",AO700+AS700/2)</f>
        <v/>
      </c>
      <c r="AY700" s="35" t="str">
        <f aca="false">IF($B700="","",AQ700)</f>
        <v/>
      </c>
      <c r="AZ700" s="35" t="str">
        <f aca="false">IF($B700="","",AP700+AT700/2)</f>
        <v/>
      </c>
      <c r="BA700" s="35" t="str">
        <f aca="false">IF($B700="","",AK700+AN700+AM700/2+AO700+AP700+AQ700+AR700+AS700+AT700+AU700+AV700+AW700)</f>
        <v/>
      </c>
      <c r="BB700" s="35" t="str">
        <f aca="false">IF($B700="","",MAX(0,AN700-Settings!$C$16)*Settings!$C$17)</f>
        <v/>
      </c>
      <c r="BC700" s="35" t="str">
        <f aca="false">IF($B700="","",BA700-BB700)</f>
        <v/>
      </c>
      <c r="BD700" s="35" t="str">
        <f aca="false">IF(OR($B700="",$A700=""),"",DAY(EOMONTH($A700,0))-COUNTA($F700:$AJ700))</f>
        <v/>
      </c>
    </row>
    <row r="701" customFormat="false" ht="15" hidden="false" customHeight="false" outlineLevel="0" collapsed="false">
      <c r="A701" s="32"/>
      <c r="B701" s="29"/>
      <c r="C701" s="10" t="str">
        <f aca="false">IF($B701="","",IFERROR(INDEX(M_name,MATCH($B701,M_emp,0)),"Code not found"))</f>
        <v/>
      </c>
      <c r="D701" s="10" t="str">
        <f aca="false">IF($B701="","",IFERROR(INDEX(M_dept,MATCH($B701,M_emp,0)),""))</f>
        <v/>
      </c>
      <c r="E701" s="10" t="str">
        <f aca="false">IF($B701="","",IFERROR(INDEX(M_loc,MATCH($B701,M_emp,0)),""))</f>
        <v/>
      </c>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4" t="str">
        <f aca="false">IF($B701="","",COUNTIF($F701:$AJ701,"P"))</f>
        <v/>
      </c>
      <c r="AL701" s="34" t="str">
        <f aca="false">IF($B701="","",COUNTIF($F701:$AJ701,"A"))</f>
        <v/>
      </c>
      <c r="AM701" s="34" t="str">
        <f aca="false">IF($B701="","",COUNTIF($F701:$AJ701,"HA"))</f>
        <v/>
      </c>
      <c r="AN701" s="34" t="str">
        <f aca="false">IF($B701="","",COUNTIF($F701:$AJ701,"L"))</f>
        <v/>
      </c>
      <c r="AO701" s="34" t="str">
        <f aca="false">IF($B701="","",COUNTIF($F701:$AJ701,"PL"))</f>
        <v/>
      </c>
      <c r="AP701" s="34" t="str">
        <f aca="false">IF($B701="","",COUNTIF($F701:$AJ701,"CL"))</f>
        <v/>
      </c>
      <c r="AQ701" s="34" t="str">
        <f aca="false">IF($B701="","",COUNTIF($F701:$AJ701,"SL"))</f>
        <v/>
      </c>
      <c r="AR701" s="34" t="str">
        <f aca="false">IF($B701="","",COUNTIF($F701:$AJ701,"CO"))</f>
        <v/>
      </c>
      <c r="AS701" s="34" t="str">
        <f aca="false">IF($B701="","",COUNTIF($F701:$AJ701,"HPL"))</f>
        <v/>
      </c>
      <c r="AT701" s="34" t="str">
        <f aca="false">IF($B701="","",COUNTIF($F701:$AJ701,"HCL"))</f>
        <v/>
      </c>
      <c r="AU701" s="34" t="str">
        <f aca="false">IF($B701="","",COUNTIF($F701:$AJ701,"WO"))</f>
        <v/>
      </c>
      <c r="AV701" s="34" t="str">
        <f aca="false">IF($B701="","",COUNTIF($F701:$AJ701,"PH"))</f>
        <v/>
      </c>
      <c r="AW701" s="34" t="str">
        <f aca="false">IF($B701="","",COUNTIF($F701:$AJ701,"TR"))</f>
        <v/>
      </c>
      <c r="AX701" s="35" t="str">
        <f aca="false">IF($B701="","",AO701+AS701/2)</f>
        <v/>
      </c>
      <c r="AY701" s="35" t="str">
        <f aca="false">IF($B701="","",AQ701)</f>
        <v/>
      </c>
      <c r="AZ701" s="35" t="str">
        <f aca="false">IF($B701="","",AP701+AT701/2)</f>
        <v/>
      </c>
      <c r="BA701" s="35" t="str">
        <f aca="false">IF($B701="","",AK701+AN701+AM701/2+AO701+AP701+AQ701+AR701+AS701+AT701+AU701+AV701+AW701)</f>
        <v/>
      </c>
      <c r="BB701" s="35" t="str">
        <f aca="false">IF($B701="","",MAX(0,AN701-Settings!$C$16)*Settings!$C$17)</f>
        <v/>
      </c>
      <c r="BC701" s="35" t="str">
        <f aca="false">IF($B701="","",BA701-BB701)</f>
        <v/>
      </c>
      <c r="BD701" s="35" t="str">
        <f aca="false">IF(OR($B701="",$A701=""),"",DAY(EOMONTH($A701,0))-COUNTA($F701:$AJ701))</f>
        <v/>
      </c>
    </row>
    <row r="702" customFormat="false" ht="15" hidden="false" customHeight="false" outlineLevel="0" collapsed="false">
      <c r="A702" s="32"/>
      <c r="B702" s="29"/>
      <c r="C702" s="10" t="str">
        <f aca="false">IF($B702="","",IFERROR(INDEX(M_name,MATCH($B702,M_emp,0)),"Code not found"))</f>
        <v/>
      </c>
      <c r="D702" s="10" t="str">
        <f aca="false">IF($B702="","",IFERROR(INDEX(M_dept,MATCH($B702,M_emp,0)),""))</f>
        <v/>
      </c>
      <c r="E702" s="10" t="str">
        <f aca="false">IF($B702="","",IFERROR(INDEX(M_loc,MATCH($B702,M_emp,0)),""))</f>
        <v/>
      </c>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4" t="str">
        <f aca="false">IF($B702="","",COUNTIF($F702:$AJ702,"P"))</f>
        <v/>
      </c>
      <c r="AL702" s="34" t="str">
        <f aca="false">IF($B702="","",COUNTIF($F702:$AJ702,"A"))</f>
        <v/>
      </c>
      <c r="AM702" s="34" t="str">
        <f aca="false">IF($B702="","",COUNTIF($F702:$AJ702,"HA"))</f>
        <v/>
      </c>
      <c r="AN702" s="34" t="str">
        <f aca="false">IF($B702="","",COUNTIF($F702:$AJ702,"L"))</f>
        <v/>
      </c>
      <c r="AO702" s="34" t="str">
        <f aca="false">IF($B702="","",COUNTIF($F702:$AJ702,"PL"))</f>
        <v/>
      </c>
      <c r="AP702" s="34" t="str">
        <f aca="false">IF($B702="","",COUNTIF($F702:$AJ702,"CL"))</f>
        <v/>
      </c>
      <c r="AQ702" s="34" t="str">
        <f aca="false">IF($B702="","",COUNTIF($F702:$AJ702,"SL"))</f>
        <v/>
      </c>
      <c r="AR702" s="34" t="str">
        <f aca="false">IF($B702="","",COUNTIF($F702:$AJ702,"CO"))</f>
        <v/>
      </c>
      <c r="AS702" s="34" t="str">
        <f aca="false">IF($B702="","",COUNTIF($F702:$AJ702,"HPL"))</f>
        <v/>
      </c>
      <c r="AT702" s="34" t="str">
        <f aca="false">IF($B702="","",COUNTIF($F702:$AJ702,"HCL"))</f>
        <v/>
      </c>
      <c r="AU702" s="34" t="str">
        <f aca="false">IF($B702="","",COUNTIF($F702:$AJ702,"WO"))</f>
        <v/>
      </c>
      <c r="AV702" s="34" t="str">
        <f aca="false">IF($B702="","",COUNTIF($F702:$AJ702,"PH"))</f>
        <v/>
      </c>
      <c r="AW702" s="34" t="str">
        <f aca="false">IF($B702="","",COUNTIF($F702:$AJ702,"TR"))</f>
        <v/>
      </c>
      <c r="AX702" s="35" t="str">
        <f aca="false">IF($B702="","",AO702+AS702/2)</f>
        <v/>
      </c>
      <c r="AY702" s="35" t="str">
        <f aca="false">IF($B702="","",AQ702)</f>
        <v/>
      </c>
      <c r="AZ702" s="35" t="str">
        <f aca="false">IF($B702="","",AP702+AT702/2)</f>
        <v/>
      </c>
      <c r="BA702" s="35" t="str">
        <f aca="false">IF($B702="","",AK702+AN702+AM702/2+AO702+AP702+AQ702+AR702+AS702+AT702+AU702+AV702+AW702)</f>
        <v/>
      </c>
      <c r="BB702" s="35" t="str">
        <f aca="false">IF($B702="","",MAX(0,AN702-Settings!$C$16)*Settings!$C$17)</f>
        <v/>
      </c>
      <c r="BC702" s="35" t="str">
        <f aca="false">IF($B702="","",BA702-BB702)</f>
        <v/>
      </c>
      <c r="BD702" s="35" t="str">
        <f aca="false">IF(OR($B702="",$A702=""),"",DAY(EOMONTH($A702,0))-COUNTA($F702:$AJ702))</f>
        <v/>
      </c>
    </row>
    <row r="703" customFormat="false" ht="15" hidden="false" customHeight="false" outlineLevel="0" collapsed="false">
      <c r="A703" s="32"/>
      <c r="B703" s="29"/>
      <c r="C703" s="10" t="str">
        <f aca="false">IF($B703="","",IFERROR(INDEX(M_name,MATCH($B703,M_emp,0)),"Code not found"))</f>
        <v/>
      </c>
      <c r="D703" s="10" t="str">
        <f aca="false">IF($B703="","",IFERROR(INDEX(M_dept,MATCH($B703,M_emp,0)),""))</f>
        <v/>
      </c>
      <c r="E703" s="10" t="str">
        <f aca="false">IF($B703="","",IFERROR(INDEX(M_loc,MATCH($B703,M_emp,0)),""))</f>
        <v/>
      </c>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4" t="str">
        <f aca="false">IF($B703="","",COUNTIF($F703:$AJ703,"P"))</f>
        <v/>
      </c>
      <c r="AL703" s="34" t="str">
        <f aca="false">IF($B703="","",COUNTIF($F703:$AJ703,"A"))</f>
        <v/>
      </c>
      <c r="AM703" s="34" t="str">
        <f aca="false">IF($B703="","",COUNTIF($F703:$AJ703,"HA"))</f>
        <v/>
      </c>
      <c r="AN703" s="34" t="str">
        <f aca="false">IF($B703="","",COUNTIF($F703:$AJ703,"L"))</f>
        <v/>
      </c>
      <c r="AO703" s="34" t="str">
        <f aca="false">IF($B703="","",COUNTIF($F703:$AJ703,"PL"))</f>
        <v/>
      </c>
      <c r="AP703" s="34" t="str">
        <f aca="false">IF($B703="","",COUNTIF($F703:$AJ703,"CL"))</f>
        <v/>
      </c>
      <c r="AQ703" s="34" t="str">
        <f aca="false">IF($B703="","",COUNTIF($F703:$AJ703,"SL"))</f>
        <v/>
      </c>
      <c r="AR703" s="34" t="str">
        <f aca="false">IF($B703="","",COUNTIF($F703:$AJ703,"CO"))</f>
        <v/>
      </c>
      <c r="AS703" s="34" t="str">
        <f aca="false">IF($B703="","",COUNTIF($F703:$AJ703,"HPL"))</f>
        <v/>
      </c>
      <c r="AT703" s="34" t="str">
        <f aca="false">IF($B703="","",COUNTIF($F703:$AJ703,"HCL"))</f>
        <v/>
      </c>
      <c r="AU703" s="34" t="str">
        <f aca="false">IF($B703="","",COUNTIF($F703:$AJ703,"WO"))</f>
        <v/>
      </c>
      <c r="AV703" s="34" t="str">
        <f aca="false">IF($B703="","",COUNTIF($F703:$AJ703,"PH"))</f>
        <v/>
      </c>
      <c r="AW703" s="34" t="str">
        <f aca="false">IF($B703="","",COUNTIF($F703:$AJ703,"TR"))</f>
        <v/>
      </c>
      <c r="AX703" s="35" t="str">
        <f aca="false">IF($B703="","",AO703+AS703/2)</f>
        <v/>
      </c>
      <c r="AY703" s="35" t="str">
        <f aca="false">IF($B703="","",AQ703)</f>
        <v/>
      </c>
      <c r="AZ703" s="35" t="str">
        <f aca="false">IF($B703="","",AP703+AT703/2)</f>
        <v/>
      </c>
      <c r="BA703" s="35" t="str">
        <f aca="false">IF($B703="","",AK703+AN703+AM703/2+AO703+AP703+AQ703+AR703+AS703+AT703+AU703+AV703+AW703)</f>
        <v/>
      </c>
      <c r="BB703" s="35" t="str">
        <f aca="false">IF($B703="","",MAX(0,AN703-Settings!$C$16)*Settings!$C$17)</f>
        <v/>
      </c>
      <c r="BC703" s="35" t="str">
        <f aca="false">IF($B703="","",BA703-BB703)</f>
        <v/>
      </c>
      <c r="BD703" s="35" t="str">
        <f aca="false">IF(OR($B703="",$A703=""),"",DAY(EOMONTH($A703,0))-COUNTA($F703:$AJ703))</f>
        <v/>
      </c>
    </row>
    <row r="704" customFormat="false" ht="15" hidden="false" customHeight="false" outlineLevel="0" collapsed="false">
      <c r="A704" s="32"/>
      <c r="B704" s="29"/>
      <c r="C704" s="10" t="str">
        <f aca="false">IF($B704="","",IFERROR(INDEX(M_name,MATCH($B704,M_emp,0)),"Code not found"))</f>
        <v/>
      </c>
      <c r="D704" s="10" t="str">
        <f aca="false">IF($B704="","",IFERROR(INDEX(M_dept,MATCH($B704,M_emp,0)),""))</f>
        <v/>
      </c>
      <c r="E704" s="10" t="str">
        <f aca="false">IF($B704="","",IFERROR(INDEX(M_loc,MATCH($B704,M_emp,0)),""))</f>
        <v/>
      </c>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4" t="str">
        <f aca="false">IF($B704="","",COUNTIF($F704:$AJ704,"P"))</f>
        <v/>
      </c>
      <c r="AL704" s="34" t="str">
        <f aca="false">IF($B704="","",COUNTIF($F704:$AJ704,"A"))</f>
        <v/>
      </c>
      <c r="AM704" s="34" t="str">
        <f aca="false">IF($B704="","",COUNTIF($F704:$AJ704,"HA"))</f>
        <v/>
      </c>
      <c r="AN704" s="34" t="str">
        <f aca="false">IF($B704="","",COUNTIF($F704:$AJ704,"L"))</f>
        <v/>
      </c>
      <c r="AO704" s="34" t="str">
        <f aca="false">IF($B704="","",COUNTIF($F704:$AJ704,"PL"))</f>
        <v/>
      </c>
      <c r="AP704" s="34" t="str">
        <f aca="false">IF($B704="","",COUNTIF($F704:$AJ704,"CL"))</f>
        <v/>
      </c>
      <c r="AQ704" s="34" t="str">
        <f aca="false">IF($B704="","",COUNTIF($F704:$AJ704,"SL"))</f>
        <v/>
      </c>
      <c r="AR704" s="34" t="str">
        <f aca="false">IF($B704="","",COUNTIF($F704:$AJ704,"CO"))</f>
        <v/>
      </c>
      <c r="AS704" s="34" t="str">
        <f aca="false">IF($B704="","",COUNTIF($F704:$AJ704,"HPL"))</f>
        <v/>
      </c>
      <c r="AT704" s="34" t="str">
        <f aca="false">IF($B704="","",COUNTIF($F704:$AJ704,"HCL"))</f>
        <v/>
      </c>
      <c r="AU704" s="34" t="str">
        <f aca="false">IF($B704="","",COUNTIF($F704:$AJ704,"WO"))</f>
        <v/>
      </c>
      <c r="AV704" s="34" t="str">
        <f aca="false">IF($B704="","",COUNTIF($F704:$AJ704,"PH"))</f>
        <v/>
      </c>
      <c r="AW704" s="34" t="str">
        <f aca="false">IF($B704="","",COUNTIF($F704:$AJ704,"TR"))</f>
        <v/>
      </c>
      <c r="AX704" s="35" t="str">
        <f aca="false">IF($B704="","",AO704+AS704/2)</f>
        <v/>
      </c>
      <c r="AY704" s="35" t="str">
        <f aca="false">IF($B704="","",AQ704)</f>
        <v/>
      </c>
      <c r="AZ704" s="35" t="str">
        <f aca="false">IF($B704="","",AP704+AT704/2)</f>
        <v/>
      </c>
      <c r="BA704" s="35" t="str">
        <f aca="false">IF($B704="","",AK704+AN704+AM704/2+AO704+AP704+AQ704+AR704+AS704+AT704+AU704+AV704+AW704)</f>
        <v/>
      </c>
      <c r="BB704" s="35" t="str">
        <f aca="false">IF($B704="","",MAX(0,AN704-Settings!$C$16)*Settings!$C$17)</f>
        <v/>
      </c>
      <c r="BC704" s="35" t="str">
        <f aca="false">IF($B704="","",BA704-BB704)</f>
        <v/>
      </c>
      <c r="BD704" s="35" t="str">
        <f aca="false">IF(OR($B704="",$A704=""),"",DAY(EOMONTH($A704,0))-COUNTA($F704:$AJ704))</f>
        <v/>
      </c>
    </row>
    <row r="705" customFormat="false" ht="15" hidden="false" customHeight="false" outlineLevel="0" collapsed="false">
      <c r="A705" s="32"/>
      <c r="B705" s="29"/>
      <c r="C705" s="10" t="str">
        <f aca="false">IF($B705="","",IFERROR(INDEX(M_name,MATCH($B705,M_emp,0)),"Code not found"))</f>
        <v/>
      </c>
      <c r="D705" s="10" t="str">
        <f aca="false">IF($B705="","",IFERROR(INDEX(M_dept,MATCH($B705,M_emp,0)),""))</f>
        <v/>
      </c>
      <c r="E705" s="10" t="str">
        <f aca="false">IF($B705="","",IFERROR(INDEX(M_loc,MATCH($B705,M_emp,0)),""))</f>
        <v/>
      </c>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4" t="str">
        <f aca="false">IF($B705="","",COUNTIF($F705:$AJ705,"P"))</f>
        <v/>
      </c>
      <c r="AL705" s="34" t="str">
        <f aca="false">IF($B705="","",COUNTIF($F705:$AJ705,"A"))</f>
        <v/>
      </c>
      <c r="AM705" s="34" t="str">
        <f aca="false">IF($B705="","",COUNTIF($F705:$AJ705,"HA"))</f>
        <v/>
      </c>
      <c r="AN705" s="34" t="str">
        <f aca="false">IF($B705="","",COUNTIF($F705:$AJ705,"L"))</f>
        <v/>
      </c>
      <c r="AO705" s="34" t="str">
        <f aca="false">IF($B705="","",COUNTIF($F705:$AJ705,"PL"))</f>
        <v/>
      </c>
      <c r="AP705" s="34" t="str">
        <f aca="false">IF($B705="","",COUNTIF($F705:$AJ705,"CL"))</f>
        <v/>
      </c>
      <c r="AQ705" s="34" t="str">
        <f aca="false">IF($B705="","",COUNTIF($F705:$AJ705,"SL"))</f>
        <v/>
      </c>
      <c r="AR705" s="34" t="str">
        <f aca="false">IF($B705="","",COUNTIF($F705:$AJ705,"CO"))</f>
        <v/>
      </c>
      <c r="AS705" s="34" t="str">
        <f aca="false">IF($B705="","",COUNTIF($F705:$AJ705,"HPL"))</f>
        <v/>
      </c>
      <c r="AT705" s="34" t="str">
        <f aca="false">IF($B705="","",COUNTIF($F705:$AJ705,"HCL"))</f>
        <v/>
      </c>
      <c r="AU705" s="34" t="str">
        <f aca="false">IF($B705="","",COUNTIF($F705:$AJ705,"WO"))</f>
        <v/>
      </c>
      <c r="AV705" s="34" t="str">
        <f aca="false">IF($B705="","",COUNTIF($F705:$AJ705,"PH"))</f>
        <v/>
      </c>
      <c r="AW705" s="34" t="str">
        <f aca="false">IF($B705="","",COUNTIF($F705:$AJ705,"TR"))</f>
        <v/>
      </c>
      <c r="AX705" s="35" t="str">
        <f aca="false">IF($B705="","",AO705+AS705/2)</f>
        <v/>
      </c>
      <c r="AY705" s="35" t="str">
        <f aca="false">IF($B705="","",AQ705)</f>
        <v/>
      </c>
      <c r="AZ705" s="35" t="str">
        <f aca="false">IF($B705="","",AP705+AT705/2)</f>
        <v/>
      </c>
      <c r="BA705" s="35" t="str">
        <f aca="false">IF($B705="","",AK705+AN705+AM705/2+AO705+AP705+AQ705+AR705+AS705+AT705+AU705+AV705+AW705)</f>
        <v/>
      </c>
      <c r="BB705" s="35" t="str">
        <f aca="false">IF($B705="","",MAX(0,AN705-Settings!$C$16)*Settings!$C$17)</f>
        <v/>
      </c>
      <c r="BC705" s="35" t="str">
        <f aca="false">IF($B705="","",BA705-BB705)</f>
        <v/>
      </c>
      <c r="BD705" s="35" t="str">
        <f aca="false">IF(OR($B705="",$A705=""),"",DAY(EOMONTH($A705,0))-COUNTA($F705:$AJ705))</f>
        <v/>
      </c>
    </row>
    <row r="706" customFormat="false" ht="15" hidden="false" customHeight="false" outlineLevel="0" collapsed="false">
      <c r="A706" s="32"/>
      <c r="B706" s="29"/>
      <c r="C706" s="10" t="str">
        <f aca="false">IF($B706="","",IFERROR(INDEX(M_name,MATCH($B706,M_emp,0)),"Code not found"))</f>
        <v/>
      </c>
      <c r="D706" s="10" t="str">
        <f aca="false">IF($B706="","",IFERROR(INDEX(M_dept,MATCH($B706,M_emp,0)),""))</f>
        <v/>
      </c>
      <c r="E706" s="10" t="str">
        <f aca="false">IF($B706="","",IFERROR(INDEX(M_loc,MATCH($B706,M_emp,0)),""))</f>
        <v/>
      </c>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4" t="str">
        <f aca="false">IF($B706="","",COUNTIF($F706:$AJ706,"P"))</f>
        <v/>
      </c>
      <c r="AL706" s="34" t="str">
        <f aca="false">IF($B706="","",COUNTIF($F706:$AJ706,"A"))</f>
        <v/>
      </c>
      <c r="AM706" s="34" t="str">
        <f aca="false">IF($B706="","",COUNTIF($F706:$AJ706,"HA"))</f>
        <v/>
      </c>
      <c r="AN706" s="34" t="str">
        <f aca="false">IF($B706="","",COUNTIF($F706:$AJ706,"L"))</f>
        <v/>
      </c>
      <c r="AO706" s="34" t="str">
        <f aca="false">IF($B706="","",COUNTIF($F706:$AJ706,"PL"))</f>
        <v/>
      </c>
      <c r="AP706" s="34" t="str">
        <f aca="false">IF($B706="","",COUNTIF($F706:$AJ706,"CL"))</f>
        <v/>
      </c>
      <c r="AQ706" s="34" t="str">
        <f aca="false">IF($B706="","",COUNTIF($F706:$AJ706,"SL"))</f>
        <v/>
      </c>
      <c r="AR706" s="34" t="str">
        <f aca="false">IF($B706="","",COUNTIF($F706:$AJ706,"CO"))</f>
        <v/>
      </c>
      <c r="AS706" s="34" t="str">
        <f aca="false">IF($B706="","",COUNTIF($F706:$AJ706,"HPL"))</f>
        <v/>
      </c>
      <c r="AT706" s="34" t="str">
        <f aca="false">IF($B706="","",COUNTIF($F706:$AJ706,"HCL"))</f>
        <v/>
      </c>
      <c r="AU706" s="34" t="str">
        <f aca="false">IF($B706="","",COUNTIF($F706:$AJ706,"WO"))</f>
        <v/>
      </c>
      <c r="AV706" s="34" t="str">
        <f aca="false">IF($B706="","",COUNTIF($F706:$AJ706,"PH"))</f>
        <v/>
      </c>
      <c r="AW706" s="34" t="str">
        <f aca="false">IF($B706="","",COUNTIF($F706:$AJ706,"TR"))</f>
        <v/>
      </c>
      <c r="AX706" s="35" t="str">
        <f aca="false">IF($B706="","",AO706+AS706/2)</f>
        <v/>
      </c>
      <c r="AY706" s="35" t="str">
        <f aca="false">IF($B706="","",AQ706)</f>
        <v/>
      </c>
      <c r="AZ706" s="35" t="str">
        <f aca="false">IF($B706="","",AP706+AT706/2)</f>
        <v/>
      </c>
      <c r="BA706" s="35" t="str">
        <f aca="false">IF($B706="","",AK706+AN706+AM706/2+AO706+AP706+AQ706+AR706+AS706+AT706+AU706+AV706+AW706)</f>
        <v/>
      </c>
      <c r="BB706" s="35" t="str">
        <f aca="false">IF($B706="","",MAX(0,AN706-Settings!$C$16)*Settings!$C$17)</f>
        <v/>
      </c>
      <c r="BC706" s="35" t="str">
        <f aca="false">IF($B706="","",BA706-BB706)</f>
        <v/>
      </c>
      <c r="BD706" s="35" t="str">
        <f aca="false">IF(OR($B706="",$A706=""),"",DAY(EOMONTH($A706,0))-COUNTA($F706:$AJ706))</f>
        <v/>
      </c>
    </row>
    <row r="707" customFormat="false" ht="15" hidden="false" customHeight="false" outlineLevel="0" collapsed="false">
      <c r="A707" s="32"/>
      <c r="B707" s="29"/>
      <c r="C707" s="10" t="str">
        <f aca="false">IF($B707="","",IFERROR(INDEX(M_name,MATCH($B707,M_emp,0)),"Code not found"))</f>
        <v/>
      </c>
      <c r="D707" s="10" t="str">
        <f aca="false">IF($B707="","",IFERROR(INDEX(M_dept,MATCH($B707,M_emp,0)),""))</f>
        <v/>
      </c>
      <c r="E707" s="10" t="str">
        <f aca="false">IF($B707="","",IFERROR(INDEX(M_loc,MATCH($B707,M_emp,0)),""))</f>
        <v/>
      </c>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4" t="str">
        <f aca="false">IF($B707="","",COUNTIF($F707:$AJ707,"P"))</f>
        <v/>
      </c>
      <c r="AL707" s="34" t="str">
        <f aca="false">IF($B707="","",COUNTIF($F707:$AJ707,"A"))</f>
        <v/>
      </c>
      <c r="AM707" s="34" t="str">
        <f aca="false">IF($B707="","",COUNTIF($F707:$AJ707,"HA"))</f>
        <v/>
      </c>
      <c r="AN707" s="34" t="str">
        <f aca="false">IF($B707="","",COUNTIF($F707:$AJ707,"L"))</f>
        <v/>
      </c>
      <c r="AO707" s="34" t="str">
        <f aca="false">IF($B707="","",COUNTIF($F707:$AJ707,"PL"))</f>
        <v/>
      </c>
      <c r="AP707" s="34" t="str">
        <f aca="false">IF($B707="","",COUNTIF($F707:$AJ707,"CL"))</f>
        <v/>
      </c>
      <c r="AQ707" s="34" t="str">
        <f aca="false">IF($B707="","",COUNTIF($F707:$AJ707,"SL"))</f>
        <v/>
      </c>
      <c r="AR707" s="34" t="str">
        <f aca="false">IF($B707="","",COUNTIF($F707:$AJ707,"CO"))</f>
        <v/>
      </c>
      <c r="AS707" s="34" t="str">
        <f aca="false">IF($B707="","",COUNTIF($F707:$AJ707,"HPL"))</f>
        <v/>
      </c>
      <c r="AT707" s="34" t="str">
        <f aca="false">IF($B707="","",COUNTIF($F707:$AJ707,"HCL"))</f>
        <v/>
      </c>
      <c r="AU707" s="34" t="str">
        <f aca="false">IF($B707="","",COUNTIF($F707:$AJ707,"WO"))</f>
        <v/>
      </c>
      <c r="AV707" s="34" t="str">
        <f aca="false">IF($B707="","",COUNTIF($F707:$AJ707,"PH"))</f>
        <v/>
      </c>
      <c r="AW707" s="34" t="str">
        <f aca="false">IF($B707="","",COUNTIF($F707:$AJ707,"TR"))</f>
        <v/>
      </c>
      <c r="AX707" s="35" t="str">
        <f aca="false">IF($B707="","",AO707+AS707/2)</f>
        <v/>
      </c>
      <c r="AY707" s="35" t="str">
        <f aca="false">IF($B707="","",AQ707)</f>
        <v/>
      </c>
      <c r="AZ707" s="35" t="str">
        <f aca="false">IF($B707="","",AP707+AT707/2)</f>
        <v/>
      </c>
      <c r="BA707" s="35" t="str">
        <f aca="false">IF($B707="","",AK707+AN707+AM707/2+AO707+AP707+AQ707+AR707+AS707+AT707+AU707+AV707+AW707)</f>
        <v/>
      </c>
      <c r="BB707" s="35" t="str">
        <f aca="false">IF($B707="","",MAX(0,AN707-Settings!$C$16)*Settings!$C$17)</f>
        <v/>
      </c>
      <c r="BC707" s="35" t="str">
        <f aca="false">IF($B707="","",BA707-BB707)</f>
        <v/>
      </c>
      <c r="BD707" s="35" t="str">
        <f aca="false">IF(OR($B707="",$A707=""),"",DAY(EOMONTH($A707,0))-COUNTA($F707:$AJ707))</f>
        <v/>
      </c>
    </row>
    <row r="708" customFormat="false" ht="15" hidden="false" customHeight="false" outlineLevel="0" collapsed="false">
      <c r="A708" s="32"/>
      <c r="B708" s="29"/>
      <c r="C708" s="10" t="str">
        <f aca="false">IF($B708="","",IFERROR(INDEX(M_name,MATCH($B708,M_emp,0)),"Code not found"))</f>
        <v/>
      </c>
      <c r="D708" s="10" t="str">
        <f aca="false">IF($B708="","",IFERROR(INDEX(M_dept,MATCH($B708,M_emp,0)),""))</f>
        <v/>
      </c>
      <c r="E708" s="10" t="str">
        <f aca="false">IF($B708="","",IFERROR(INDEX(M_loc,MATCH($B708,M_emp,0)),""))</f>
        <v/>
      </c>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4" t="str">
        <f aca="false">IF($B708="","",COUNTIF($F708:$AJ708,"P"))</f>
        <v/>
      </c>
      <c r="AL708" s="34" t="str">
        <f aca="false">IF($B708="","",COUNTIF($F708:$AJ708,"A"))</f>
        <v/>
      </c>
      <c r="AM708" s="34" t="str">
        <f aca="false">IF($B708="","",COUNTIF($F708:$AJ708,"HA"))</f>
        <v/>
      </c>
      <c r="AN708" s="34" t="str">
        <f aca="false">IF($B708="","",COUNTIF($F708:$AJ708,"L"))</f>
        <v/>
      </c>
      <c r="AO708" s="34" t="str">
        <f aca="false">IF($B708="","",COUNTIF($F708:$AJ708,"PL"))</f>
        <v/>
      </c>
      <c r="AP708" s="34" t="str">
        <f aca="false">IF($B708="","",COUNTIF($F708:$AJ708,"CL"))</f>
        <v/>
      </c>
      <c r="AQ708" s="34" t="str">
        <f aca="false">IF($B708="","",COUNTIF($F708:$AJ708,"SL"))</f>
        <v/>
      </c>
      <c r="AR708" s="34" t="str">
        <f aca="false">IF($B708="","",COUNTIF($F708:$AJ708,"CO"))</f>
        <v/>
      </c>
      <c r="AS708" s="34" t="str">
        <f aca="false">IF($B708="","",COUNTIF($F708:$AJ708,"HPL"))</f>
        <v/>
      </c>
      <c r="AT708" s="34" t="str">
        <f aca="false">IF($B708="","",COUNTIF($F708:$AJ708,"HCL"))</f>
        <v/>
      </c>
      <c r="AU708" s="34" t="str">
        <f aca="false">IF($B708="","",COUNTIF($F708:$AJ708,"WO"))</f>
        <v/>
      </c>
      <c r="AV708" s="34" t="str">
        <f aca="false">IF($B708="","",COUNTIF($F708:$AJ708,"PH"))</f>
        <v/>
      </c>
      <c r="AW708" s="34" t="str">
        <f aca="false">IF($B708="","",COUNTIF($F708:$AJ708,"TR"))</f>
        <v/>
      </c>
      <c r="AX708" s="35" t="str">
        <f aca="false">IF($B708="","",AO708+AS708/2)</f>
        <v/>
      </c>
      <c r="AY708" s="35" t="str">
        <f aca="false">IF($B708="","",AQ708)</f>
        <v/>
      </c>
      <c r="AZ708" s="35" t="str">
        <f aca="false">IF($B708="","",AP708+AT708/2)</f>
        <v/>
      </c>
      <c r="BA708" s="35" t="str">
        <f aca="false">IF($B708="","",AK708+AN708+AM708/2+AO708+AP708+AQ708+AR708+AS708+AT708+AU708+AV708+AW708)</f>
        <v/>
      </c>
      <c r="BB708" s="35" t="str">
        <f aca="false">IF($B708="","",MAX(0,AN708-Settings!$C$16)*Settings!$C$17)</f>
        <v/>
      </c>
      <c r="BC708" s="35" t="str">
        <f aca="false">IF($B708="","",BA708-BB708)</f>
        <v/>
      </c>
      <c r="BD708" s="35" t="str">
        <f aca="false">IF(OR($B708="",$A708=""),"",DAY(EOMONTH($A708,0))-COUNTA($F708:$AJ708))</f>
        <v/>
      </c>
    </row>
    <row r="709" customFormat="false" ht="15" hidden="false" customHeight="false" outlineLevel="0" collapsed="false">
      <c r="A709" s="32"/>
      <c r="B709" s="29"/>
      <c r="C709" s="10" t="str">
        <f aca="false">IF($B709="","",IFERROR(INDEX(M_name,MATCH($B709,M_emp,0)),"Code not found"))</f>
        <v/>
      </c>
      <c r="D709" s="10" t="str">
        <f aca="false">IF($B709="","",IFERROR(INDEX(M_dept,MATCH($B709,M_emp,0)),""))</f>
        <v/>
      </c>
      <c r="E709" s="10" t="str">
        <f aca="false">IF($B709="","",IFERROR(INDEX(M_loc,MATCH($B709,M_emp,0)),""))</f>
        <v/>
      </c>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4" t="str">
        <f aca="false">IF($B709="","",COUNTIF($F709:$AJ709,"P"))</f>
        <v/>
      </c>
      <c r="AL709" s="34" t="str">
        <f aca="false">IF($B709="","",COUNTIF($F709:$AJ709,"A"))</f>
        <v/>
      </c>
      <c r="AM709" s="34" t="str">
        <f aca="false">IF($B709="","",COUNTIF($F709:$AJ709,"HA"))</f>
        <v/>
      </c>
      <c r="AN709" s="34" t="str">
        <f aca="false">IF($B709="","",COUNTIF($F709:$AJ709,"L"))</f>
        <v/>
      </c>
      <c r="AO709" s="34" t="str">
        <f aca="false">IF($B709="","",COUNTIF($F709:$AJ709,"PL"))</f>
        <v/>
      </c>
      <c r="AP709" s="34" t="str">
        <f aca="false">IF($B709="","",COUNTIF($F709:$AJ709,"CL"))</f>
        <v/>
      </c>
      <c r="AQ709" s="34" t="str">
        <f aca="false">IF($B709="","",COUNTIF($F709:$AJ709,"SL"))</f>
        <v/>
      </c>
      <c r="AR709" s="34" t="str">
        <f aca="false">IF($B709="","",COUNTIF($F709:$AJ709,"CO"))</f>
        <v/>
      </c>
      <c r="AS709" s="34" t="str">
        <f aca="false">IF($B709="","",COUNTIF($F709:$AJ709,"HPL"))</f>
        <v/>
      </c>
      <c r="AT709" s="34" t="str">
        <f aca="false">IF($B709="","",COUNTIF($F709:$AJ709,"HCL"))</f>
        <v/>
      </c>
      <c r="AU709" s="34" t="str">
        <f aca="false">IF($B709="","",COUNTIF($F709:$AJ709,"WO"))</f>
        <v/>
      </c>
      <c r="AV709" s="34" t="str">
        <f aca="false">IF($B709="","",COUNTIF($F709:$AJ709,"PH"))</f>
        <v/>
      </c>
      <c r="AW709" s="34" t="str">
        <f aca="false">IF($B709="","",COUNTIF($F709:$AJ709,"TR"))</f>
        <v/>
      </c>
      <c r="AX709" s="35" t="str">
        <f aca="false">IF($B709="","",AO709+AS709/2)</f>
        <v/>
      </c>
      <c r="AY709" s="35" t="str">
        <f aca="false">IF($B709="","",AQ709)</f>
        <v/>
      </c>
      <c r="AZ709" s="35" t="str">
        <f aca="false">IF($B709="","",AP709+AT709/2)</f>
        <v/>
      </c>
      <c r="BA709" s="35" t="str">
        <f aca="false">IF($B709="","",AK709+AN709+AM709/2+AO709+AP709+AQ709+AR709+AS709+AT709+AU709+AV709+AW709)</f>
        <v/>
      </c>
      <c r="BB709" s="35" t="str">
        <f aca="false">IF($B709="","",MAX(0,AN709-Settings!$C$16)*Settings!$C$17)</f>
        <v/>
      </c>
      <c r="BC709" s="35" t="str">
        <f aca="false">IF($B709="","",BA709-BB709)</f>
        <v/>
      </c>
      <c r="BD709" s="35" t="str">
        <f aca="false">IF(OR($B709="",$A709=""),"",DAY(EOMONTH($A709,0))-COUNTA($F709:$AJ709))</f>
        <v/>
      </c>
    </row>
    <row r="710" customFormat="false" ht="15" hidden="false" customHeight="false" outlineLevel="0" collapsed="false">
      <c r="A710" s="32"/>
      <c r="B710" s="29"/>
      <c r="C710" s="10" t="str">
        <f aca="false">IF($B710="","",IFERROR(INDEX(M_name,MATCH($B710,M_emp,0)),"Code not found"))</f>
        <v/>
      </c>
      <c r="D710" s="10" t="str">
        <f aca="false">IF($B710="","",IFERROR(INDEX(M_dept,MATCH($B710,M_emp,0)),""))</f>
        <v/>
      </c>
      <c r="E710" s="10" t="str">
        <f aca="false">IF($B710="","",IFERROR(INDEX(M_loc,MATCH($B710,M_emp,0)),""))</f>
        <v/>
      </c>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4" t="str">
        <f aca="false">IF($B710="","",COUNTIF($F710:$AJ710,"P"))</f>
        <v/>
      </c>
      <c r="AL710" s="34" t="str">
        <f aca="false">IF($B710="","",COUNTIF($F710:$AJ710,"A"))</f>
        <v/>
      </c>
      <c r="AM710" s="34" t="str">
        <f aca="false">IF($B710="","",COUNTIF($F710:$AJ710,"HA"))</f>
        <v/>
      </c>
      <c r="AN710" s="34" t="str">
        <f aca="false">IF($B710="","",COUNTIF($F710:$AJ710,"L"))</f>
        <v/>
      </c>
      <c r="AO710" s="34" t="str">
        <f aca="false">IF($B710="","",COUNTIF($F710:$AJ710,"PL"))</f>
        <v/>
      </c>
      <c r="AP710" s="34" t="str">
        <f aca="false">IF($B710="","",COUNTIF($F710:$AJ710,"CL"))</f>
        <v/>
      </c>
      <c r="AQ710" s="34" t="str">
        <f aca="false">IF($B710="","",COUNTIF($F710:$AJ710,"SL"))</f>
        <v/>
      </c>
      <c r="AR710" s="34" t="str">
        <f aca="false">IF($B710="","",COUNTIF($F710:$AJ710,"CO"))</f>
        <v/>
      </c>
      <c r="AS710" s="34" t="str">
        <f aca="false">IF($B710="","",COUNTIF($F710:$AJ710,"HPL"))</f>
        <v/>
      </c>
      <c r="AT710" s="34" t="str">
        <f aca="false">IF($B710="","",COUNTIF($F710:$AJ710,"HCL"))</f>
        <v/>
      </c>
      <c r="AU710" s="34" t="str">
        <f aca="false">IF($B710="","",COUNTIF($F710:$AJ710,"WO"))</f>
        <v/>
      </c>
      <c r="AV710" s="34" t="str">
        <f aca="false">IF($B710="","",COUNTIF($F710:$AJ710,"PH"))</f>
        <v/>
      </c>
      <c r="AW710" s="34" t="str">
        <f aca="false">IF($B710="","",COUNTIF($F710:$AJ710,"TR"))</f>
        <v/>
      </c>
      <c r="AX710" s="35" t="str">
        <f aca="false">IF($B710="","",AO710+AS710/2)</f>
        <v/>
      </c>
      <c r="AY710" s="35" t="str">
        <f aca="false">IF($B710="","",AQ710)</f>
        <v/>
      </c>
      <c r="AZ710" s="35" t="str">
        <f aca="false">IF($B710="","",AP710+AT710/2)</f>
        <v/>
      </c>
      <c r="BA710" s="35" t="str">
        <f aca="false">IF($B710="","",AK710+AN710+AM710/2+AO710+AP710+AQ710+AR710+AS710+AT710+AU710+AV710+AW710)</f>
        <v/>
      </c>
      <c r="BB710" s="35" t="str">
        <f aca="false">IF($B710="","",MAX(0,AN710-Settings!$C$16)*Settings!$C$17)</f>
        <v/>
      </c>
      <c r="BC710" s="35" t="str">
        <f aca="false">IF($B710="","",BA710-BB710)</f>
        <v/>
      </c>
      <c r="BD710" s="35" t="str">
        <f aca="false">IF(OR($B710="",$A710=""),"",DAY(EOMONTH($A710,0))-COUNTA($F710:$AJ710))</f>
        <v/>
      </c>
    </row>
    <row r="711" customFormat="false" ht="15" hidden="false" customHeight="false" outlineLevel="0" collapsed="false">
      <c r="A711" s="32"/>
      <c r="B711" s="29"/>
      <c r="C711" s="10" t="str">
        <f aca="false">IF($B711="","",IFERROR(INDEX(M_name,MATCH($B711,M_emp,0)),"Code not found"))</f>
        <v/>
      </c>
      <c r="D711" s="10" t="str">
        <f aca="false">IF($B711="","",IFERROR(INDEX(M_dept,MATCH($B711,M_emp,0)),""))</f>
        <v/>
      </c>
      <c r="E711" s="10" t="str">
        <f aca="false">IF($B711="","",IFERROR(INDEX(M_loc,MATCH($B711,M_emp,0)),""))</f>
        <v/>
      </c>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4" t="str">
        <f aca="false">IF($B711="","",COUNTIF($F711:$AJ711,"P"))</f>
        <v/>
      </c>
      <c r="AL711" s="34" t="str">
        <f aca="false">IF($B711="","",COUNTIF($F711:$AJ711,"A"))</f>
        <v/>
      </c>
      <c r="AM711" s="34" t="str">
        <f aca="false">IF($B711="","",COUNTIF($F711:$AJ711,"HA"))</f>
        <v/>
      </c>
      <c r="AN711" s="34" t="str">
        <f aca="false">IF($B711="","",COUNTIF($F711:$AJ711,"L"))</f>
        <v/>
      </c>
      <c r="AO711" s="34" t="str">
        <f aca="false">IF($B711="","",COUNTIF($F711:$AJ711,"PL"))</f>
        <v/>
      </c>
      <c r="AP711" s="34" t="str">
        <f aca="false">IF($B711="","",COUNTIF($F711:$AJ711,"CL"))</f>
        <v/>
      </c>
      <c r="AQ711" s="34" t="str">
        <f aca="false">IF($B711="","",COUNTIF($F711:$AJ711,"SL"))</f>
        <v/>
      </c>
      <c r="AR711" s="34" t="str">
        <f aca="false">IF($B711="","",COUNTIF($F711:$AJ711,"CO"))</f>
        <v/>
      </c>
      <c r="AS711" s="34" t="str">
        <f aca="false">IF($B711="","",COUNTIF($F711:$AJ711,"HPL"))</f>
        <v/>
      </c>
      <c r="AT711" s="34" t="str">
        <f aca="false">IF($B711="","",COUNTIF($F711:$AJ711,"HCL"))</f>
        <v/>
      </c>
      <c r="AU711" s="34" t="str">
        <f aca="false">IF($B711="","",COUNTIF($F711:$AJ711,"WO"))</f>
        <v/>
      </c>
      <c r="AV711" s="34" t="str">
        <f aca="false">IF($B711="","",COUNTIF($F711:$AJ711,"PH"))</f>
        <v/>
      </c>
      <c r="AW711" s="34" t="str">
        <f aca="false">IF($B711="","",COUNTIF($F711:$AJ711,"TR"))</f>
        <v/>
      </c>
      <c r="AX711" s="35" t="str">
        <f aca="false">IF($B711="","",AO711+AS711/2)</f>
        <v/>
      </c>
      <c r="AY711" s="35" t="str">
        <f aca="false">IF($B711="","",AQ711)</f>
        <v/>
      </c>
      <c r="AZ711" s="35" t="str">
        <f aca="false">IF($B711="","",AP711+AT711/2)</f>
        <v/>
      </c>
      <c r="BA711" s="35" t="str">
        <f aca="false">IF($B711="","",AK711+AN711+AM711/2+AO711+AP711+AQ711+AR711+AS711+AT711+AU711+AV711+AW711)</f>
        <v/>
      </c>
      <c r="BB711" s="35" t="str">
        <f aca="false">IF($B711="","",MAX(0,AN711-Settings!$C$16)*Settings!$C$17)</f>
        <v/>
      </c>
      <c r="BC711" s="35" t="str">
        <f aca="false">IF($B711="","",BA711-BB711)</f>
        <v/>
      </c>
      <c r="BD711" s="35" t="str">
        <f aca="false">IF(OR($B711="",$A711=""),"",DAY(EOMONTH($A711,0))-COUNTA($F711:$AJ711))</f>
        <v/>
      </c>
    </row>
    <row r="712" customFormat="false" ht="15" hidden="false" customHeight="false" outlineLevel="0" collapsed="false">
      <c r="A712" s="32"/>
      <c r="B712" s="29"/>
      <c r="C712" s="10" t="str">
        <f aca="false">IF($B712="","",IFERROR(INDEX(M_name,MATCH($B712,M_emp,0)),"Code not found"))</f>
        <v/>
      </c>
      <c r="D712" s="10" t="str">
        <f aca="false">IF($B712="","",IFERROR(INDEX(M_dept,MATCH($B712,M_emp,0)),""))</f>
        <v/>
      </c>
      <c r="E712" s="10" t="str">
        <f aca="false">IF($B712="","",IFERROR(INDEX(M_loc,MATCH($B712,M_emp,0)),""))</f>
        <v/>
      </c>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4" t="str">
        <f aca="false">IF($B712="","",COUNTIF($F712:$AJ712,"P"))</f>
        <v/>
      </c>
      <c r="AL712" s="34" t="str">
        <f aca="false">IF($B712="","",COUNTIF($F712:$AJ712,"A"))</f>
        <v/>
      </c>
      <c r="AM712" s="34" t="str">
        <f aca="false">IF($B712="","",COUNTIF($F712:$AJ712,"HA"))</f>
        <v/>
      </c>
      <c r="AN712" s="34" t="str">
        <f aca="false">IF($B712="","",COUNTIF($F712:$AJ712,"L"))</f>
        <v/>
      </c>
      <c r="AO712" s="34" t="str">
        <f aca="false">IF($B712="","",COUNTIF($F712:$AJ712,"PL"))</f>
        <v/>
      </c>
      <c r="AP712" s="34" t="str">
        <f aca="false">IF($B712="","",COUNTIF($F712:$AJ712,"CL"))</f>
        <v/>
      </c>
      <c r="AQ712" s="34" t="str">
        <f aca="false">IF($B712="","",COUNTIF($F712:$AJ712,"SL"))</f>
        <v/>
      </c>
      <c r="AR712" s="34" t="str">
        <f aca="false">IF($B712="","",COUNTIF($F712:$AJ712,"CO"))</f>
        <v/>
      </c>
      <c r="AS712" s="34" t="str">
        <f aca="false">IF($B712="","",COUNTIF($F712:$AJ712,"HPL"))</f>
        <v/>
      </c>
      <c r="AT712" s="34" t="str">
        <f aca="false">IF($B712="","",COUNTIF($F712:$AJ712,"HCL"))</f>
        <v/>
      </c>
      <c r="AU712" s="34" t="str">
        <f aca="false">IF($B712="","",COUNTIF($F712:$AJ712,"WO"))</f>
        <v/>
      </c>
      <c r="AV712" s="34" t="str">
        <f aca="false">IF($B712="","",COUNTIF($F712:$AJ712,"PH"))</f>
        <v/>
      </c>
      <c r="AW712" s="34" t="str">
        <f aca="false">IF($B712="","",COUNTIF($F712:$AJ712,"TR"))</f>
        <v/>
      </c>
      <c r="AX712" s="35" t="str">
        <f aca="false">IF($B712="","",AO712+AS712/2)</f>
        <v/>
      </c>
      <c r="AY712" s="35" t="str">
        <f aca="false">IF($B712="","",AQ712)</f>
        <v/>
      </c>
      <c r="AZ712" s="35" t="str">
        <f aca="false">IF($B712="","",AP712+AT712/2)</f>
        <v/>
      </c>
      <c r="BA712" s="35" t="str">
        <f aca="false">IF($B712="","",AK712+AN712+AM712/2+AO712+AP712+AQ712+AR712+AS712+AT712+AU712+AV712+AW712)</f>
        <v/>
      </c>
      <c r="BB712" s="35" t="str">
        <f aca="false">IF($B712="","",MAX(0,AN712-Settings!$C$16)*Settings!$C$17)</f>
        <v/>
      </c>
      <c r="BC712" s="35" t="str">
        <f aca="false">IF($B712="","",BA712-BB712)</f>
        <v/>
      </c>
      <c r="BD712" s="35" t="str">
        <f aca="false">IF(OR($B712="",$A712=""),"",DAY(EOMONTH($A712,0))-COUNTA($F712:$AJ712))</f>
        <v/>
      </c>
    </row>
    <row r="713" customFormat="false" ht="15" hidden="false" customHeight="false" outlineLevel="0" collapsed="false">
      <c r="A713" s="32"/>
      <c r="B713" s="29"/>
      <c r="C713" s="10" t="str">
        <f aca="false">IF($B713="","",IFERROR(INDEX(M_name,MATCH($B713,M_emp,0)),"Code not found"))</f>
        <v/>
      </c>
      <c r="D713" s="10" t="str">
        <f aca="false">IF($B713="","",IFERROR(INDEX(M_dept,MATCH($B713,M_emp,0)),""))</f>
        <v/>
      </c>
      <c r="E713" s="10" t="str">
        <f aca="false">IF($B713="","",IFERROR(INDEX(M_loc,MATCH($B713,M_emp,0)),""))</f>
        <v/>
      </c>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4" t="str">
        <f aca="false">IF($B713="","",COUNTIF($F713:$AJ713,"P"))</f>
        <v/>
      </c>
      <c r="AL713" s="34" t="str">
        <f aca="false">IF($B713="","",COUNTIF($F713:$AJ713,"A"))</f>
        <v/>
      </c>
      <c r="AM713" s="34" t="str">
        <f aca="false">IF($B713="","",COUNTIF($F713:$AJ713,"HA"))</f>
        <v/>
      </c>
      <c r="AN713" s="34" t="str">
        <f aca="false">IF($B713="","",COUNTIF($F713:$AJ713,"L"))</f>
        <v/>
      </c>
      <c r="AO713" s="34" t="str">
        <f aca="false">IF($B713="","",COUNTIF($F713:$AJ713,"PL"))</f>
        <v/>
      </c>
      <c r="AP713" s="34" t="str">
        <f aca="false">IF($B713="","",COUNTIF($F713:$AJ713,"CL"))</f>
        <v/>
      </c>
      <c r="AQ713" s="34" t="str">
        <f aca="false">IF($B713="","",COUNTIF($F713:$AJ713,"SL"))</f>
        <v/>
      </c>
      <c r="AR713" s="34" t="str">
        <f aca="false">IF($B713="","",COUNTIF($F713:$AJ713,"CO"))</f>
        <v/>
      </c>
      <c r="AS713" s="34" t="str">
        <f aca="false">IF($B713="","",COUNTIF($F713:$AJ713,"HPL"))</f>
        <v/>
      </c>
      <c r="AT713" s="34" t="str">
        <f aca="false">IF($B713="","",COUNTIF($F713:$AJ713,"HCL"))</f>
        <v/>
      </c>
      <c r="AU713" s="34" t="str">
        <f aca="false">IF($B713="","",COUNTIF($F713:$AJ713,"WO"))</f>
        <v/>
      </c>
      <c r="AV713" s="34" t="str">
        <f aca="false">IF($B713="","",COUNTIF($F713:$AJ713,"PH"))</f>
        <v/>
      </c>
      <c r="AW713" s="34" t="str">
        <f aca="false">IF($B713="","",COUNTIF($F713:$AJ713,"TR"))</f>
        <v/>
      </c>
      <c r="AX713" s="35" t="str">
        <f aca="false">IF($B713="","",AO713+AS713/2)</f>
        <v/>
      </c>
      <c r="AY713" s="35" t="str">
        <f aca="false">IF($B713="","",AQ713)</f>
        <v/>
      </c>
      <c r="AZ713" s="35" t="str">
        <f aca="false">IF($B713="","",AP713+AT713/2)</f>
        <v/>
      </c>
      <c r="BA713" s="35" t="str">
        <f aca="false">IF($B713="","",AK713+AN713+AM713/2+AO713+AP713+AQ713+AR713+AS713+AT713+AU713+AV713+AW713)</f>
        <v/>
      </c>
      <c r="BB713" s="35" t="str">
        <f aca="false">IF($B713="","",MAX(0,AN713-Settings!$C$16)*Settings!$C$17)</f>
        <v/>
      </c>
      <c r="BC713" s="35" t="str">
        <f aca="false">IF($B713="","",BA713-BB713)</f>
        <v/>
      </c>
      <c r="BD713" s="35" t="str">
        <f aca="false">IF(OR($B713="",$A713=""),"",DAY(EOMONTH($A713,0))-COUNTA($F713:$AJ713))</f>
        <v/>
      </c>
    </row>
    <row r="714" customFormat="false" ht="15" hidden="false" customHeight="false" outlineLevel="0" collapsed="false">
      <c r="A714" s="32"/>
      <c r="B714" s="29"/>
      <c r="C714" s="10" t="str">
        <f aca="false">IF($B714="","",IFERROR(INDEX(M_name,MATCH($B714,M_emp,0)),"Code not found"))</f>
        <v/>
      </c>
      <c r="D714" s="10" t="str">
        <f aca="false">IF($B714="","",IFERROR(INDEX(M_dept,MATCH($B714,M_emp,0)),""))</f>
        <v/>
      </c>
      <c r="E714" s="10" t="str">
        <f aca="false">IF($B714="","",IFERROR(INDEX(M_loc,MATCH($B714,M_emp,0)),""))</f>
        <v/>
      </c>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4" t="str">
        <f aca="false">IF($B714="","",COUNTIF($F714:$AJ714,"P"))</f>
        <v/>
      </c>
      <c r="AL714" s="34" t="str">
        <f aca="false">IF($B714="","",COUNTIF($F714:$AJ714,"A"))</f>
        <v/>
      </c>
      <c r="AM714" s="34" t="str">
        <f aca="false">IF($B714="","",COUNTIF($F714:$AJ714,"HA"))</f>
        <v/>
      </c>
      <c r="AN714" s="34" t="str">
        <f aca="false">IF($B714="","",COUNTIF($F714:$AJ714,"L"))</f>
        <v/>
      </c>
      <c r="AO714" s="34" t="str">
        <f aca="false">IF($B714="","",COUNTIF($F714:$AJ714,"PL"))</f>
        <v/>
      </c>
      <c r="AP714" s="34" t="str">
        <f aca="false">IF($B714="","",COUNTIF($F714:$AJ714,"CL"))</f>
        <v/>
      </c>
      <c r="AQ714" s="34" t="str">
        <f aca="false">IF($B714="","",COUNTIF($F714:$AJ714,"SL"))</f>
        <v/>
      </c>
      <c r="AR714" s="34" t="str">
        <f aca="false">IF($B714="","",COUNTIF($F714:$AJ714,"CO"))</f>
        <v/>
      </c>
      <c r="AS714" s="34" t="str">
        <f aca="false">IF($B714="","",COUNTIF($F714:$AJ714,"HPL"))</f>
        <v/>
      </c>
      <c r="AT714" s="34" t="str">
        <f aca="false">IF($B714="","",COUNTIF($F714:$AJ714,"HCL"))</f>
        <v/>
      </c>
      <c r="AU714" s="34" t="str">
        <f aca="false">IF($B714="","",COUNTIF($F714:$AJ714,"WO"))</f>
        <v/>
      </c>
      <c r="AV714" s="34" t="str">
        <f aca="false">IF($B714="","",COUNTIF($F714:$AJ714,"PH"))</f>
        <v/>
      </c>
      <c r="AW714" s="34" t="str">
        <f aca="false">IF($B714="","",COUNTIF($F714:$AJ714,"TR"))</f>
        <v/>
      </c>
      <c r="AX714" s="35" t="str">
        <f aca="false">IF($B714="","",AO714+AS714/2)</f>
        <v/>
      </c>
      <c r="AY714" s="35" t="str">
        <f aca="false">IF($B714="","",AQ714)</f>
        <v/>
      </c>
      <c r="AZ714" s="35" t="str">
        <f aca="false">IF($B714="","",AP714+AT714/2)</f>
        <v/>
      </c>
      <c r="BA714" s="35" t="str">
        <f aca="false">IF($B714="","",AK714+AN714+AM714/2+AO714+AP714+AQ714+AR714+AS714+AT714+AU714+AV714+AW714)</f>
        <v/>
      </c>
      <c r="BB714" s="35" t="str">
        <f aca="false">IF($B714="","",MAX(0,AN714-Settings!$C$16)*Settings!$C$17)</f>
        <v/>
      </c>
      <c r="BC714" s="35" t="str">
        <f aca="false">IF($B714="","",BA714-BB714)</f>
        <v/>
      </c>
      <c r="BD714" s="35" t="str">
        <f aca="false">IF(OR($B714="",$A714=""),"",DAY(EOMONTH($A714,0))-COUNTA($F714:$AJ714))</f>
        <v/>
      </c>
    </row>
    <row r="715" customFormat="false" ht="15" hidden="false" customHeight="false" outlineLevel="0" collapsed="false">
      <c r="A715" s="32"/>
      <c r="B715" s="29"/>
      <c r="C715" s="10" t="str">
        <f aca="false">IF($B715="","",IFERROR(INDEX(M_name,MATCH($B715,M_emp,0)),"Code not found"))</f>
        <v/>
      </c>
      <c r="D715" s="10" t="str">
        <f aca="false">IF($B715="","",IFERROR(INDEX(M_dept,MATCH($B715,M_emp,0)),""))</f>
        <v/>
      </c>
      <c r="E715" s="10" t="str">
        <f aca="false">IF($B715="","",IFERROR(INDEX(M_loc,MATCH($B715,M_emp,0)),""))</f>
        <v/>
      </c>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4" t="str">
        <f aca="false">IF($B715="","",COUNTIF($F715:$AJ715,"P"))</f>
        <v/>
      </c>
      <c r="AL715" s="34" t="str">
        <f aca="false">IF($B715="","",COUNTIF($F715:$AJ715,"A"))</f>
        <v/>
      </c>
      <c r="AM715" s="34" t="str">
        <f aca="false">IF($B715="","",COUNTIF($F715:$AJ715,"HA"))</f>
        <v/>
      </c>
      <c r="AN715" s="34" t="str">
        <f aca="false">IF($B715="","",COUNTIF($F715:$AJ715,"L"))</f>
        <v/>
      </c>
      <c r="AO715" s="34" t="str">
        <f aca="false">IF($B715="","",COUNTIF($F715:$AJ715,"PL"))</f>
        <v/>
      </c>
      <c r="AP715" s="34" t="str">
        <f aca="false">IF($B715="","",COUNTIF($F715:$AJ715,"CL"))</f>
        <v/>
      </c>
      <c r="AQ715" s="34" t="str">
        <f aca="false">IF($B715="","",COUNTIF($F715:$AJ715,"SL"))</f>
        <v/>
      </c>
      <c r="AR715" s="34" t="str">
        <f aca="false">IF($B715="","",COUNTIF($F715:$AJ715,"CO"))</f>
        <v/>
      </c>
      <c r="AS715" s="34" t="str">
        <f aca="false">IF($B715="","",COUNTIF($F715:$AJ715,"HPL"))</f>
        <v/>
      </c>
      <c r="AT715" s="34" t="str">
        <f aca="false">IF($B715="","",COUNTIF($F715:$AJ715,"HCL"))</f>
        <v/>
      </c>
      <c r="AU715" s="34" t="str">
        <f aca="false">IF($B715="","",COUNTIF($F715:$AJ715,"WO"))</f>
        <v/>
      </c>
      <c r="AV715" s="34" t="str">
        <f aca="false">IF($B715="","",COUNTIF($F715:$AJ715,"PH"))</f>
        <v/>
      </c>
      <c r="AW715" s="34" t="str">
        <f aca="false">IF($B715="","",COUNTIF($F715:$AJ715,"TR"))</f>
        <v/>
      </c>
      <c r="AX715" s="35" t="str">
        <f aca="false">IF($B715="","",AO715+AS715/2)</f>
        <v/>
      </c>
      <c r="AY715" s="35" t="str">
        <f aca="false">IF($B715="","",AQ715)</f>
        <v/>
      </c>
      <c r="AZ715" s="35" t="str">
        <f aca="false">IF($B715="","",AP715+AT715/2)</f>
        <v/>
      </c>
      <c r="BA715" s="35" t="str">
        <f aca="false">IF($B715="","",AK715+AN715+AM715/2+AO715+AP715+AQ715+AR715+AS715+AT715+AU715+AV715+AW715)</f>
        <v/>
      </c>
      <c r="BB715" s="35" t="str">
        <f aca="false">IF($B715="","",MAX(0,AN715-Settings!$C$16)*Settings!$C$17)</f>
        <v/>
      </c>
      <c r="BC715" s="35" t="str">
        <f aca="false">IF($B715="","",BA715-BB715)</f>
        <v/>
      </c>
      <c r="BD715" s="35" t="str">
        <f aca="false">IF(OR($B715="",$A715=""),"",DAY(EOMONTH($A715,0))-COUNTA($F715:$AJ715))</f>
        <v/>
      </c>
    </row>
    <row r="716" customFormat="false" ht="15" hidden="false" customHeight="false" outlineLevel="0" collapsed="false">
      <c r="A716" s="32"/>
      <c r="B716" s="29"/>
      <c r="C716" s="10" t="str">
        <f aca="false">IF($B716="","",IFERROR(INDEX(M_name,MATCH($B716,M_emp,0)),"Code not found"))</f>
        <v/>
      </c>
      <c r="D716" s="10" t="str">
        <f aca="false">IF($B716="","",IFERROR(INDEX(M_dept,MATCH($B716,M_emp,0)),""))</f>
        <v/>
      </c>
      <c r="E716" s="10" t="str">
        <f aca="false">IF($B716="","",IFERROR(INDEX(M_loc,MATCH($B716,M_emp,0)),""))</f>
        <v/>
      </c>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4" t="str">
        <f aca="false">IF($B716="","",COUNTIF($F716:$AJ716,"P"))</f>
        <v/>
      </c>
      <c r="AL716" s="34" t="str">
        <f aca="false">IF($B716="","",COUNTIF($F716:$AJ716,"A"))</f>
        <v/>
      </c>
      <c r="AM716" s="34" t="str">
        <f aca="false">IF($B716="","",COUNTIF($F716:$AJ716,"HA"))</f>
        <v/>
      </c>
      <c r="AN716" s="34" t="str">
        <f aca="false">IF($B716="","",COUNTIF($F716:$AJ716,"L"))</f>
        <v/>
      </c>
      <c r="AO716" s="34" t="str">
        <f aca="false">IF($B716="","",COUNTIF($F716:$AJ716,"PL"))</f>
        <v/>
      </c>
      <c r="AP716" s="34" t="str">
        <f aca="false">IF($B716="","",COUNTIF($F716:$AJ716,"CL"))</f>
        <v/>
      </c>
      <c r="AQ716" s="34" t="str">
        <f aca="false">IF($B716="","",COUNTIF($F716:$AJ716,"SL"))</f>
        <v/>
      </c>
      <c r="AR716" s="34" t="str">
        <f aca="false">IF($B716="","",COUNTIF($F716:$AJ716,"CO"))</f>
        <v/>
      </c>
      <c r="AS716" s="34" t="str">
        <f aca="false">IF($B716="","",COUNTIF($F716:$AJ716,"HPL"))</f>
        <v/>
      </c>
      <c r="AT716" s="34" t="str">
        <f aca="false">IF($B716="","",COUNTIF($F716:$AJ716,"HCL"))</f>
        <v/>
      </c>
      <c r="AU716" s="34" t="str">
        <f aca="false">IF($B716="","",COUNTIF($F716:$AJ716,"WO"))</f>
        <v/>
      </c>
      <c r="AV716" s="34" t="str">
        <f aca="false">IF($B716="","",COUNTIF($F716:$AJ716,"PH"))</f>
        <v/>
      </c>
      <c r="AW716" s="34" t="str">
        <f aca="false">IF($B716="","",COUNTIF($F716:$AJ716,"TR"))</f>
        <v/>
      </c>
      <c r="AX716" s="35" t="str">
        <f aca="false">IF($B716="","",AO716+AS716/2)</f>
        <v/>
      </c>
      <c r="AY716" s="35" t="str">
        <f aca="false">IF($B716="","",AQ716)</f>
        <v/>
      </c>
      <c r="AZ716" s="35" t="str">
        <f aca="false">IF($B716="","",AP716+AT716/2)</f>
        <v/>
      </c>
      <c r="BA716" s="35" t="str">
        <f aca="false">IF($B716="","",AK716+AN716+AM716/2+AO716+AP716+AQ716+AR716+AS716+AT716+AU716+AV716+AW716)</f>
        <v/>
      </c>
      <c r="BB716" s="35" t="str">
        <f aca="false">IF($B716="","",MAX(0,AN716-Settings!$C$16)*Settings!$C$17)</f>
        <v/>
      </c>
      <c r="BC716" s="35" t="str">
        <f aca="false">IF($B716="","",BA716-BB716)</f>
        <v/>
      </c>
      <c r="BD716" s="35" t="str">
        <f aca="false">IF(OR($B716="",$A716=""),"",DAY(EOMONTH($A716,0))-COUNTA($F716:$AJ716))</f>
        <v/>
      </c>
    </row>
    <row r="717" customFormat="false" ht="15" hidden="false" customHeight="false" outlineLevel="0" collapsed="false">
      <c r="A717" s="32"/>
      <c r="B717" s="29"/>
      <c r="C717" s="10" t="str">
        <f aca="false">IF($B717="","",IFERROR(INDEX(M_name,MATCH($B717,M_emp,0)),"Code not found"))</f>
        <v/>
      </c>
      <c r="D717" s="10" t="str">
        <f aca="false">IF($B717="","",IFERROR(INDEX(M_dept,MATCH($B717,M_emp,0)),""))</f>
        <v/>
      </c>
      <c r="E717" s="10" t="str">
        <f aca="false">IF($B717="","",IFERROR(INDEX(M_loc,MATCH($B717,M_emp,0)),""))</f>
        <v/>
      </c>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4" t="str">
        <f aca="false">IF($B717="","",COUNTIF($F717:$AJ717,"P"))</f>
        <v/>
      </c>
      <c r="AL717" s="34" t="str">
        <f aca="false">IF($B717="","",COUNTIF($F717:$AJ717,"A"))</f>
        <v/>
      </c>
      <c r="AM717" s="34" t="str">
        <f aca="false">IF($B717="","",COUNTIF($F717:$AJ717,"HA"))</f>
        <v/>
      </c>
      <c r="AN717" s="34" t="str">
        <f aca="false">IF($B717="","",COUNTIF($F717:$AJ717,"L"))</f>
        <v/>
      </c>
      <c r="AO717" s="34" t="str">
        <f aca="false">IF($B717="","",COUNTIF($F717:$AJ717,"PL"))</f>
        <v/>
      </c>
      <c r="AP717" s="34" t="str">
        <f aca="false">IF($B717="","",COUNTIF($F717:$AJ717,"CL"))</f>
        <v/>
      </c>
      <c r="AQ717" s="34" t="str">
        <f aca="false">IF($B717="","",COUNTIF($F717:$AJ717,"SL"))</f>
        <v/>
      </c>
      <c r="AR717" s="34" t="str">
        <f aca="false">IF($B717="","",COUNTIF($F717:$AJ717,"CO"))</f>
        <v/>
      </c>
      <c r="AS717" s="34" t="str">
        <f aca="false">IF($B717="","",COUNTIF($F717:$AJ717,"HPL"))</f>
        <v/>
      </c>
      <c r="AT717" s="34" t="str">
        <f aca="false">IF($B717="","",COUNTIF($F717:$AJ717,"HCL"))</f>
        <v/>
      </c>
      <c r="AU717" s="34" t="str">
        <f aca="false">IF($B717="","",COUNTIF($F717:$AJ717,"WO"))</f>
        <v/>
      </c>
      <c r="AV717" s="34" t="str">
        <f aca="false">IF($B717="","",COUNTIF($F717:$AJ717,"PH"))</f>
        <v/>
      </c>
      <c r="AW717" s="34" t="str">
        <f aca="false">IF($B717="","",COUNTIF($F717:$AJ717,"TR"))</f>
        <v/>
      </c>
      <c r="AX717" s="35" t="str">
        <f aca="false">IF($B717="","",AO717+AS717/2)</f>
        <v/>
      </c>
      <c r="AY717" s="35" t="str">
        <f aca="false">IF($B717="","",AQ717)</f>
        <v/>
      </c>
      <c r="AZ717" s="35" t="str">
        <f aca="false">IF($B717="","",AP717+AT717/2)</f>
        <v/>
      </c>
      <c r="BA717" s="35" t="str">
        <f aca="false">IF($B717="","",AK717+AN717+AM717/2+AO717+AP717+AQ717+AR717+AS717+AT717+AU717+AV717+AW717)</f>
        <v/>
      </c>
      <c r="BB717" s="35" t="str">
        <f aca="false">IF($B717="","",MAX(0,AN717-Settings!$C$16)*Settings!$C$17)</f>
        <v/>
      </c>
      <c r="BC717" s="35" t="str">
        <f aca="false">IF($B717="","",BA717-BB717)</f>
        <v/>
      </c>
      <c r="BD717" s="35" t="str">
        <f aca="false">IF(OR($B717="",$A717=""),"",DAY(EOMONTH($A717,0))-COUNTA($F717:$AJ717))</f>
        <v/>
      </c>
    </row>
    <row r="718" customFormat="false" ht="15" hidden="false" customHeight="false" outlineLevel="0" collapsed="false">
      <c r="A718" s="32"/>
      <c r="B718" s="29"/>
      <c r="C718" s="10" t="str">
        <f aca="false">IF($B718="","",IFERROR(INDEX(M_name,MATCH($B718,M_emp,0)),"Code not found"))</f>
        <v/>
      </c>
      <c r="D718" s="10" t="str">
        <f aca="false">IF($B718="","",IFERROR(INDEX(M_dept,MATCH($B718,M_emp,0)),""))</f>
        <v/>
      </c>
      <c r="E718" s="10" t="str">
        <f aca="false">IF($B718="","",IFERROR(INDEX(M_loc,MATCH($B718,M_emp,0)),""))</f>
        <v/>
      </c>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4" t="str">
        <f aca="false">IF($B718="","",COUNTIF($F718:$AJ718,"P"))</f>
        <v/>
      </c>
      <c r="AL718" s="34" t="str">
        <f aca="false">IF($B718="","",COUNTIF($F718:$AJ718,"A"))</f>
        <v/>
      </c>
      <c r="AM718" s="34" t="str">
        <f aca="false">IF($B718="","",COUNTIF($F718:$AJ718,"HA"))</f>
        <v/>
      </c>
      <c r="AN718" s="34" t="str">
        <f aca="false">IF($B718="","",COUNTIF($F718:$AJ718,"L"))</f>
        <v/>
      </c>
      <c r="AO718" s="34" t="str">
        <f aca="false">IF($B718="","",COUNTIF($F718:$AJ718,"PL"))</f>
        <v/>
      </c>
      <c r="AP718" s="34" t="str">
        <f aca="false">IF($B718="","",COUNTIF($F718:$AJ718,"CL"))</f>
        <v/>
      </c>
      <c r="AQ718" s="34" t="str">
        <f aca="false">IF($B718="","",COUNTIF($F718:$AJ718,"SL"))</f>
        <v/>
      </c>
      <c r="AR718" s="34" t="str">
        <f aca="false">IF($B718="","",COUNTIF($F718:$AJ718,"CO"))</f>
        <v/>
      </c>
      <c r="AS718" s="34" t="str">
        <f aca="false">IF($B718="","",COUNTIF($F718:$AJ718,"HPL"))</f>
        <v/>
      </c>
      <c r="AT718" s="34" t="str">
        <f aca="false">IF($B718="","",COUNTIF($F718:$AJ718,"HCL"))</f>
        <v/>
      </c>
      <c r="AU718" s="34" t="str">
        <f aca="false">IF($B718="","",COUNTIF($F718:$AJ718,"WO"))</f>
        <v/>
      </c>
      <c r="AV718" s="34" t="str">
        <f aca="false">IF($B718="","",COUNTIF($F718:$AJ718,"PH"))</f>
        <v/>
      </c>
      <c r="AW718" s="34" t="str">
        <f aca="false">IF($B718="","",COUNTIF($F718:$AJ718,"TR"))</f>
        <v/>
      </c>
      <c r="AX718" s="35" t="str">
        <f aca="false">IF($B718="","",AO718+AS718/2)</f>
        <v/>
      </c>
      <c r="AY718" s="35" t="str">
        <f aca="false">IF($B718="","",AQ718)</f>
        <v/>
      </c>
      <c r="AZ718" s="35" t="str">
        <f aca="false">IF($B718="","",AP718+AT718/2)</f>
        <v/>
      </c>
      <c r="BA718" s="35" t="str">
        <f aca="false">IF($B718="","",AK718+AN718+AM718/2+AO718+AP718+AQ718+AR718+AS718+AT718+AU718+AV718+AW718)</f>
        <v/>
      </c>
      <c r="BB718" s="35" t="str">
        <f aca="false">IF($B718="","",MAX(0,AN718-Settings!$C$16)*Settings!$C$17)</f>
        <v/>
      </c>
      <c r="BC718" s="35" t="str">
        <f aca="false">IF($B718="","",BA718-BB718)</f>
        <v/>
      </c>
      <c r="BD718" s="35" t="str">
        <f aca="false">IF(OR($B718="",$A718=""),"",DAY(EOMONTH($A718,0))-COUNTA($F718:$AJ718))</f>
        <v/>
      </c>
    </row>
    <row r="719" customFormat="false" ht="15" hidden="false" customHeight="false" outlineLevel="0" collapsed="false">
      <c r="A719" s="32"/>
      <c r="B719" s="29"/>
      <c r="C719" s="10" t="str">
        <f aca="false">IF($B719="","",IFERROR(INDEX(M_name,MATCH($B719,M_emp,0)),"Code not found"))</f>
        <v/>
      </c>
      <c r="D719" s="10" t="str">
        <f aca="false">IF($B719="","",IFERROR(INDEX(M_dept,MATCH($B719,M_emp,0)),""))</f>
        <v/>
      </c>
      <c r="E719" s="10" t="str">
        <f aca="false">IF($B719="","",IFERROR(INDEX(M_loc,MATCH($B719,M_emp,0)),""))</f>
        <v/>
      </c>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4" t="str">
        <f aca="false">IF($B719="","",COUNTIF($F719:$AJ719,"P"))</f>
        <v/>
      </c>
      <c r="AL719" s="34" t="str">
        <f aca="false">IF($B719="","",COUNTIF($F719:$AJ719,"A"))</f>
        <v/>
      </c>
      <c r="AM719" s="34" t="str">
        <f aca="false">IF($B719="","",COUNTIF($F719:$AJ719,"HA"))</f>
        <v/>
      </c>
      <c r="AN719" s="34" t="str">
        <f aca="false">IF($B719="","",COUNTIF($F719:$AJ719,"L"))</f>
        <v/>
      </c>
      <c r="AO719" s="34" t="str">
        <f aca="false">IF($B719="","",COUNTIF($F719:$AJ719,"PL"))</f>
        <v/>
      </c>
      <c r="AP719" s="34" t="str">
        <f aca="false">IF($B719="","",COUNTIF($F719:$AJ719,"CL"))</f>
        <v/>
      </c>
      <c r="AQ719" s="34" t="str">
        <f aca="false">IF($B719="","",COUNTIF($F719:$AJ719,"SL"))</f>
        <v/>
      </c>
      <c r="AR719" s="34" t="str">
        <f aca="false">IF($B719="","",COUNTIF($F719:$AJ719,"CO"))</f>
        <v/>
      </c>
      <c r="AS719" s="34" t="str">
        <f aca="false">IF($B719="","",COUNTIF($F719:$AJ719,"HPL"))</f>
        <v/>
      </c>
      <c r="AT719" s="34" t="str">
        <f aca="false">IF($B719="","",COUNTIF($F719:$AJ719,"HCL"))</f>
        <v/>
      </c>
      <c r="AU719" s="34" t="str">
        <f aca="false">IF($B719="","",COUNTIF($F719:$AJ719,"WO"))</f>
        <v/>
      </c>
      <c r="AV719" s="34" t="str">
        <f aca="false">IF($B719="","",COUNTIF($F719:$AJ719,"PH"))</f>
        <v/>
      </c>
      <c r="AW719" s="34" t="str">
        <f aca="false">IF($B719="","",COUNTIF($F719:$AJ719,"TR"))</f>
        <v/>
      </c>
      <c r="AX719" s="35" t="str">
        <f aca="false">IF($B719="","",AO719+AS719/2)</f>
        <v/>
      </c>
      <c r="AY719" s="35" t="str">
        <f aca="false">IF($B719="","",AQ719)</f>
        <v/>
      </c>
      <c r="AZ719" s="35" t="str">
        <f aca="false">IF($B719="","",AP719+AT719/2)</f>
        <v/>
      </c>
      <c r="BA719" s="35" t="str">
        <f aca="false">IF($B719="","",AK719+AN719+AM719/2+AO719+AP719+AQ719+AR719+AS719+AT719+AU719+AV719+AW719)</f>
        <v/>
      </c>
      <c r="BB719" s="35" t="str">
        <f aca="false">IF($B719="","",MAX(0,AN719-Settings!$C$16)*Settings!$C$17)</f>
        <v/>
      </c>
      <c r="BC719" s="35" t="str">
        <f aca="false">IF($B719="","",BA719-BB719)</f>
        <v/>
      </c>
      <c r="BD719" s="35" t="str">
        <f aca="false">IF(OR($B719="",$A719=""),"",DAY(EOMONTH($A719,0))-COUNTA($F719:$AJ719))</f>
        <v/>
      </c>
    </row>
    <row r="720" customFormat="false" ht="15" hidden="false" customHeight="false" outlineLevel="0" collapsed="false">
      <c r="A720" s="32"/>
      <c r="B720" s="29"/>
      <c r="C720" s="10" t="str">
        <f aca="false">IF($B720="","",IFERROR(INDEX(M_name,MATCH($B720,M_emp,0)),"Code not found"))</f>
        <v/>
      </c>
      <c r="D720" s="10" t="str">
        <f aca="false">IF($B720="","",IFERROR(INDEX(M_dept,MATCH($B720,M_emp,0)),""))</f>
        <v/>
      </c>
      <c r="E720" s="10" t="str">
        <f aca="false">IF($B720="","",IFERROR(INDEX(M_loc,MATCH($B720,M_emp,0)),""))</f>
        <v/>
      </c>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4" t="str">
        <f aca="false">IF($B720="","",COUNTIF($F720:$AJ720,"P"))</f>
        <v/>
      </c>
      <c r="AL720" s="34" t="str">
        <f aca="false">IF($B720="","",COUNTIF($F720:$AJ720,"A"))</f>
        <v/>
      </c>
      <c r="AM720" s="34" t="str">
        <f aca="false">IF($B720="","",COUNTIF($F720:$AJ720,"HA"))</f>
        <v/>
      </c>
      <c r="AN720" s="34" t="str">
        <f aca="false">IF($B720="","",COUNTIF($F720:$AJ720,"L"))</f>
        <v/>
      </c>
      <c r="AO720" s="34" t="str">
        <f aca="false">IF($B720="","",COUNTIF($F720:$AJ720,"PL"))</f>
        <v/>
      </c>
      <c r="AP720" s="34" t="str">
        <f aca="false">IF($B720="","",COUNTIF($F720:$AJ720,"CL"))</f>
        <v/>
      </c>
      <c r="AQ720" s="34" t="str">
        <f aca="false">IF($B720="","",COUNTIF($F720:$AJ720,"SL"))</f>
        <v/>
      </c>
      <c r="AR720" s="34" t="str">
        <f aca="false">IF($B720="","",COUNTIF($F720:$AJ720,"CO"))</f>
        <v/>
      </c>
      <c r="AS720" s="34" t="str">
        <f aca="false">IF($B720="","",COUNTIF($F720:$AJ720,"HPL"))</f>
        <v/>
      </c>
      <c r="AT720" s="34" t="str">
        <f aca="false">IF($B720="","",COUNTIF($F720:$AJ720,"HCL"))</f>
        <v/>
      </c>
      <c r="AU720" s="34" t="str">
        <f aca="false">IF($B720="","",COUNTIF($F720:$AJ720,"WO"))</f>
        <v/>
      </c>
      <c r="AV720" s="34" t="str">
        <f aca="false">IF($B720="","",COUNTIF($F720:$AJ720,"PH"))</f>
        <v/>
      </c>
      <c r="AW720" s="34" t="str">
        <f aca="false">IF($B720="","",COUNTIF($F720:$AJ720,"TR"))</f>
        <v/>
      </c>
      <c r="AX720" s="35" t="str">
        <f aca="false">IF($B720="","",AO720+AS720/2)</f>
        <v/>
      </c>
      <c r="AY720" s="35" t="str">
        <f aca="false">IF($B720="","",AQ720)</f>
        <v/>
      </c>
      <c r="AZ720" s="35" t="str">
        <f aca="false">IF($B720="","",AP720+AT720/2)</f>
        <v/>
      </c>
      <c r="BA720" s="35" t="str">
        <f aca="false">IF($B720="","",AK720+AN720+AM720/2+AO720+AP720+AQ720+AR720+AS720+AT720+AU720+AV720+AW720)</f>
        <v/>
      </c>
      <c r="BB720" s="35" t="str">
        <f aca="false">IF($B720="","",MAX(0,AN720-Settings!$C$16)*Settings!$C$17)</f>
        <v/>
      </c>
      <c r="BC720" s="35" t="str">
        <f aca="false">IF($B720="","",BA720-BB720)</f>
        <v/>
      </c>
      <c r="BD720" s="35" t="str">
        <f aca="false">IF(OR($B720="",$A720=""),"",DAY(EOMONTH($A720,0))-COUNTA($F720:$AJ720))</f>
        <v/>
      </c>
    </row>
    <row r="721" customFormat="false" ht="15" hidden="false" customHeight="false" outlineLevel="0" collapsed="false">
      <c r="A721" s="32"/>
      <c r="B721" s="29"/>
      <c r="C721" s="10" t="str">
        <f aca="false">IF($B721="","",IFERROR(INDEX(M_name,MATCH($B721,M_emp,0)),"Code not found"))</f>
        <v/>
      </c>
      <c r="D721" s="10" t="str">
        <f aca="false">IF($B721="","",IFERROR(INDEX(M_dept,MATCH($B721,M_emp,0)),""))</f>
        <v/>
      </c>
      <c r="E721" s="10" t="str">
        <f aca="false">IF($B721="","",IFERROR(INDEX(M_loc,MATCH($B721,M_emp,0)),""))</f>
        <v/>
      </c>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4" t="str">
        <f aca="false">IF($B721="","",COUNTIF($F721:$AJ721,"P"))</f>
        <v/>
      </c>
      <c r="AL721" s="34" t="str">
        <f aca="false">IF($B721="","",COUNTIF($F721:$AJ721,"A"))</f>
        <v/>
      </c>
      <c r="AM721" s="34" t="str">
        <f aca="false">IF($B721="","",COUNTIF($F721:$AJ721,"HA"))</f>
        <v/>
      </c>
      <c r="AN721" s="34" t="str">
        <f aca="false">IF($B721="","",COUNTIF($F721:$AJ721,"L"))</f>
        <v/>
      </c>
      <c r="AO721" s="34" t="str">
        <f aca="false">IF($B721="","",COUNTIF($F721:$AJ721,"PL"))</f>
        <v/>
      </c>
      <c r="AP721" s="34" t="str">
        <f aca="false">IF($B721="","",COUNTIF($F721:$AJ721,"CL"))</f>
        <v/>
      </c>
      <c r="AQ721" s="34" t="str">
        <f aca="false">IF($B721="","",COUNTIF($F721:$AJ721,"SL"))</f>
        <v/>
      </c>
      <c r="AR721" s="34" t="str">
        <f aca="false">IF($B721="","",COUNTIF($F721:$AJ721,"CO"))</f>
        <v/>
      </c>
      <c r="AS721" s="34" t="str">
        <f aca="false">IF($B721="","",COUNTIF($F721:$AJ721,"HPL"))</f>
        <v/>
      </c>
      <c r="AT721" s="34" t="str">
        <f aca="false">IF($B721="","",COUNTIF($F721:$AJ721,"HCL"))</f>
        <v/>
      </c>
      <c r="AU721" s="34" t="str">
        <f aca="false">IF($B721="","",COUNTIF($F721:$AJ721,"WO"))</f>
        <v/>
      </c>
      <c r="AV721" s="34" t="str">
        <f aca="false">IF($B721="","",COUNTIF($F721:$AJ721,"PH"))</f>
        <v/>
      </c>
      <c r="AW721" s="34" t="str">
        <f aca="false">IF($B721="","",COUNTIF($F721:$AJ721,"TR"))</f>
        <v/>
      </c>
      <c r="AX721" s="35" t="str">
        <f aca="false">IF($B721="","",AO721+AS721/2)</f>
        <v/>
      </c>
      <c r="AY721" s="35" t="str">
        <f aca="false">IF($B721="","",AQ721)</f>
        <v/>
      </c>
      <c r="AZ721" s="35" t="str">
        <f aca="false">IF($B721="","",AP721+AT721/2)</f>
        <v/>
      </c>
      <c r="BA721" s="35" t="str">
        <f aca="false">IF($B721="","",AK721+AN721+AM721/2+AO721+AP721+AQ721+AR721+AS721+AT721+AU721+AV721+AW721)</f>
        <v/>
      </c>
      <c r="BB721" s="35" t="str">
        <f aca="false">IF($B721="","",MAX(0,AN721-Settings!$C$16)*Settings!$C$17)</f>
        <v/>
      </c>
      <c r="BC721" s="35" t="str">
        <f aca="false">IF($B721="","",BA721-BB721)</f>
        <v/>
      </c>
      <c r="BD721" s="35" t="str">
        <f aca="false">IF(OR($B721="",$A721=""),"",DAY(EOMONTH($A721,0))-COUNTA($F721:$AJ721))</f>
        <v/>
      </c>
    </row>
    <row r="722" customFormat="false" ht="15" hidden="false" customHeight="false" outlineLevel="0" collapsed="false">
      <c r="A722" s="32"/>
      <c r="B722" s="29"/>
      <c r="C722" s="10" t="str">
        <f aca="false">IF($B722="","",IFERROR(INDEX(M_name,MATCH($B722,M_emp,0)),"Code not found"))</f>
        <v/>
      </c>
      <c r="D722" s="10" t="str">
        <f aca="false">IF($B722="","",IFERROR(INDEX(M_dept,MATCH($B722,M_emp,0)),""))</f>
        <v/>
      </c>
      <c r="E722" s="10" t="str">
        <f aca="false">IF($B722="","",IFERROR(INDEX(M_loc,MATCH($B722,M_emp,0)),""))</f>
        <v/>
      </c>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4" t="str">
        <f aca="false">IF($B722="","",COUNTIF($F722:$AJ722,"P"))</f>
        <v/>
      </c>
      <c r="AL722" s="34" t="str">
        <f aca="false">IF($B722="","",COUNTIF($F722:$AJ722,"A"))</f>
        <v/>
      </c>
      <c r="AM722" s="34" t="str">
        <f aca="false">IF($B722="","",COUNTIF($F722:$AJ722,"HA"))</f>
        <v/>
      </c>
      <c r="AN722" s="34" t="str">
        <f aca="false">IF($B722="","",COUNTIF($F722:$AJ722,"L"))</f>
        <v/>
      </c>
      <c r="AO722" s="34" t="str">
        <f aca="false">IF($B722="","",COUNTIF($F722:$AJ722,"PL"))</f>
        <v/>
      </c>
      <c r="AP722" s="34" t="str">
        <f aca="false">IF($B722="","",COUNTIF($F722:$AJ722,"CL"))</f>
        <v/>
      </c>
      <c r="AQ722" s="34" t="str">
        <f aca="false">IF($B722="","",COUNTIF($F722:$AJ722,"SL"))</f>
        <v/>
      </c>
      <c r="AR722" s="34" t="str">
        <f aca="false">IF($B722="","",COUNTIF($F722:$AJ722,"CO"))</f>
        <v/>
      </c>
      <c r="AS722" s="34" t="str">
        <f aca="false">IF($B722="","",COUNTIF($F722:$AJ722,"HPL"))</f>
        <v/>
      </c>
      <c r="AT722" s="34" t="str">
        <f aca="false">IF($B722="","",COUNTIF($F722:$AJ722,"HCL"))</f>
        <v/>
      </c>
      <c r="AU722" s="34" t="str">
        <f aca="false">IF($B722="","",COUNTIF($F722:$AJ722,"WO"))</f>
        <v/>
      </c>
      <c r="AV722" s="34" t="str">
        <f aca="false">IF($B722="","",COUNTIF($F722:$AJ722,"PH"))</f>
        <v/>
      </c>
      <c r="AW722" s="34" t="str">
        <f aca="false">IF($B722="","",COUNTIF($F722:$AJ722,"TR"))</f>
        <v/>
      </c>
      <c r="AX722" s="35" t="str">
        <f aca="false">IF($B722="","",AO722+AS722/2)</f>
        <v/>
      </c>
      <c r="AY722" s="35" t="str">
        <f aca="false">IF($B722="","",AQ722)</f>
        <v/>
      </c>
      <c r="AZ722" s="35" t="str">
        <f aca="false">IF($B722="","",AP722+AT722/2)</f>
        <v/>
      </c>
      <c r="BA722" s="35" t="str">
        <f aca="false">IF($B722="","",AK722+AN722+AM722/2+AO722+AP722+AQ722+AR722+AS722+AT722+AU722+AV722+AW722)</f>
        <v/>
      </c>
      <c r="BB722" s="35" t="str">
        <f aca="false">IF($B722="","",MAX(0,AN722-Settings!$C$16)*Settings!$C$17)</f>
        <v/>
      </c>
      <c r="BC722" s="35" t="str">
        <f aca="false">IF($B722="","",BA722-BB722)</f>
        <v/>
      </c>
      <c r="BD722" s="35" t="str">
        <f aca="false">IF(OR($B722="",$A722=""),"",DAY(EOMONTH($A722,0))-COUNTA($F722:$AJ722))</f>
        <v/>
      </c>
    </row>
    <row r="723" customFormat="false" ht="15" hidden="false" customHeight="false" outlineLevel="0" collapsed="false">
      <c r="A723" s="32"/>
      <c r="B723" s="29"/>
      <c r="C723" s="10" t="str">
        <f aca="false">IF($B723="","",IFERROR(INDEX(M_name,MATCH($B723,M_emp,0)),"Code not found"))</f>
        <v/>
      </c>
      <c r="D723" s="10" t="str">
        <f aca="false">IF($B723="","",IFERROR(INDEX(M_dept,MATCH($B723,M_emp,0)),""))</f>
        <v/>
      </c>
      <c r="E723" s="10" t="str">
        <f aca="false">IF($B723="","",IFERROR(INDEX(M_loc,MATCH($B723,M_emp,0)),""))</f>
        <v/>
      </c>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4" t="str">
        <f aca="false">IF($B723="","",COUNTIF($F723:$AJ723,"P"))</f>
        <v/>
      </c>
      <c r="AL723" s="34" t="str">
        <f aca="false">IF($B723="","",COUNTIF($F723:$AJ723,"A"))</f>
        <v/>
      </c>
      <c r="AM723" s="34" t="str">
        <f aca="false">IF($B723="","",COUNTIF($F723:$AJ723,"HA"))</f>
        <v/>
      </c>
      <c r="AN723" s="34" t="str">
        <f aca="false">IF($B723="","",COUNTIF($F723:$AJ723,"L"))</f>
        <v/>
      </c>
      <c r="AO723" s="34" t="str">
        <f aca="false">IF($B723="","",COUNTIF($F723:$AJ723,"PL"))</f>
        <v/>
      </c>
      <c r="AP723" s="34" t="str">
        <f aca="false">IF($B723="","",COUNTIF($F723:$AJ723,"CL"))</f>
        <v/>
      </c>
      <c r="AQ723" s="34" t="str">
        <f aca="false">IF($B723="","",COUNTIF($F723:$AJ723,"SL"))</f>
        <v/>
      </c>
      <c r="AR723" s="34" t="str">
        <f aca="false">IF($B723="","",COUNTIF($F723:$AJ723,"CO"))</f>
        <v/>
      </c>
      <c r="AS723" s="34" t="str">
        <f aca="false">IF($B723="","",COUNTIF($F723:$AJ723,"HPL"))</f>
        <v/>
      </c>
      <c r="AT723" s="34" t="str">
        <f aca="false">IF($B723="","",COUNTIF($F723:$AJ723,"HCL"))</f>
        <v/>
      </c>
      <c r="AU723" s="34" t="str">
        <f aca="false">IF($B723="","",COUNTIF($F723:$AJ723,"WO"))</f>
        <v/>
      </c>
      <c r="AV723" s="34" t="str">
        <f aca="false">IF($B723="","",COUNTIF($F723:$AJ723,"PH"))</f>
        <v/>
      </c>
      <c r="AW723" s="34" t="str">
        <f aca="false">IF($B723="","",COUNTIF($F723:$AJ723,"TR"))</f>
        <v/>
      </c>
      <c r="AX723" s="35" t="str">
        <f aca="false">IF($B723="","",AO723+AS723/2)</f>
        <v/>
      </c>
      <c r="AY723" s="35" t="str">
        <f aca="false">IF($B723="","",AQ723)</f>
        <v/>
      </c>
      <c r="AZ723" s="35" t="str">
        <f aca="false">IF($B723="","",AP723+AT723/2)</f>
        <v/>
      </c>
      <c r="BA723" s="35" t="str">
        <f aca="false">IF($B723="","",AK723+AN723+AM723/2+AO723+AP723+AQ723+AR723+AS723+AT723+AU723+AV723+AW723)</f>
        <v/>
      </c>
      <c r="BB723" s="35" t="str">
        <f aca="false">IF($B723="","",MAX(0,AN723-Settings!$C$16)*Settings!$C$17)</f>
        <v/>
      </c>
      <c r="BC723" s="35" t="str">
        <f aca="false">IF($B723="","",BA723-BB723)</f>
        <v/>
      </c>
      <c r="BD723" s="35" t="str">
        <f aca="false">IF(OR($B723="",$A723=""),"",DAY(EOMONTH($A723,0))-COUNTA($F723:$AJ723))</f>
        <v/>
      </c>
    </row>
    <row r="724" customFormat="false" ht="15" hidden="false" customHeight="false" outlineLevel="0" collapsed="false">
      <c r="A724" s="32"/>
      <c r="B724" s="29"/>
      <c r="C724" s="10" t="str">
        <f aca="false">IF($B724="","",IFERROR(INDEX(M_name,MATCH($B724,M_emp,0)),"Code not found"))</f>
        <v/>
      </c>
      <c r="D724" s="10" t="str">
        <f aca="false">IF($B724="","",IFERROR(INDEX(M_dept,MATCH($B724,M_emp,0)),""))</f>
        <v/>
      </c>
      <c r="E724" s="10" t="str">
        <f aca="false">IF($B724="","",IFERROR(INDEX(M_loc,MATCH($B724,M_emp,0)),""))</f>
        <v/>
      </c>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4" t="str">
        <f aca="false">IF($B724="","",COUNTIF($F724:$AJ724,"P"))</f>
        <v/>
      </c>
      <c r="AL724" s="34" t="str">
        <f aca="false">IF($B724="","",COUNTIF($F724:$AJ724,"A"))</f>
        <v/>
      </c>
      <c r="AM724" s="34" t="str">
        <f aca="false">IF($B724="","",COUNTIF($F724:$AJ724,"HA"))</f>
        <v/>
      </c>
      <c r="AN724" s="34" t="str">
        <f aca="false">IF($B724="","",COUNTIF($F724:$AJ724,"L"))</f>
        <v/>
      </c>
      <c r="AO724" s="34" t="str">
        <f aca="false">IF($B724="","",COUNTIF($F724:$AJ724,"PL"))</f>
        <v/>
      </c>
      <c r="AP724" s="34" t="str">
        <f aca="false">IF($B724="","",COUNTIF($F724:$AJ724,"CL"))</f>
        <v/>
      </c>
      <c r="AQ724" s="34" t="str">
        <f aca="false">IF($B724="","",COUNTIF($F724:$AJ724,"SL"))</f>
        <v/>
      </c>
      <c r="AR724" s="34" t="str">
        <f aca="false">IF($B724="","",COUNTIF($F724:$AJ724,"CO"))</f>
        <v/>
      </c>
      <c r="AS724" s="34" t="str">
        <f aca="false">IF($B724="","",COUNTIF($F724:$AJ724,"HPL"))</f>
        <v/>
      </c>
      <c r="AT724" s="34" t="str">
        <f aca="false">IF($B724="","",COUNTIF($F724:$AJ724,"HCL"))</f>
        <v/>
      </c>
      <c r="AU724" s="34" t="str">
        <f aca="false">IF($B724="","",COUNTIF($F724:$AJ724,"WO"))</f>
        <v/>
      </c>
      <c r="AV724" s="34" t="str">
        <f aca="false">IF($B724="","",COUNTIF($F724:$AJ724,"PH"))</f>
        <v/>
      </c>
      <c r="AW724" s="34" t="str">
        <f aca="false">IF($B724="","",COUNTIF($F724:$AJ724,"TR"))</f>
        <v/>
      </c>
      <c r="AX724" s="35" t="str">
        <f aca="false">IF($B724="","",AO724+AS724/2)</f>
        <v/>
      </c>
      <c r="AY724" s="35" t="str">
        <f aca="false">IF($B724="","",AQ724)</f>
        <v/>
      </c>
      <c r="AZ724" s="35" t="str">
        <f aca="false">IF($B724="","",AP724+AT724/2)</f>
        <v/>
      </c>
      <c r="BA724" s="35" t="str">
        <f aca="false">IF($B724="","",AK724+AN724+AM724/2+AO724+AP724+AQ724+AR724+AS724+AT724+AU724+AV724+AW724)</f>
        <v/>
      </c>
      <c r="BB724" s="35" t="str">
        <f aca="false">IF($B724="","",MAX(0,AN724-Settings!$C$16)*Settings!$C$17)</f>
        <v/>
      </c>
      <c r="BC724" s="35" t="str">
        <f aca="false">IF($B724="","",BA724-BB724)</f>
        <v/>
      </c>
      <c r="BD724" s="35" t="str">
        <f aca="false">IF(OR($B724="",$A724=""),"",DAY(EOMONTH($A724,0))-COUNTA($F724:$AJ724))</f>
        <v/>
      </c>
    </row>
    <row r="725" customFormat="false" ht="15" hidden="false" customHeight="false" outlineLevel="0" collapsed="false">
      <c r="A725" s="32"/>
      <c r="B725" s="29"/>
      <c r="C725" s="10" t="str">
        <f aca="false">IF($B725="","",IFERROR(INDEX(M_name,MATCH($B725,M_emp,0)),"Code not found"))</f>
        <v/>
      </c>
      <c r="D725" s="10" t="str">
        <f aca="false">IF($B725="","",IFERROR(INDEX(M_dept,MATCH($B725,M_emp,0)),""))</f>
        <v/>
      </c>
      <c r="E725" s="10" t="str">
        <f aca="false">IF($B725="","",IFERROR(INDEX(M_loc,MATCH($B725,M_emp,0)),""))</f>
        <v/>
      </c>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4" t="str">
        <f aca="false">IF($B725="","",COUNTIF($F725:$AJ725,"P"))</f>
        <v/>
      </c>
      <c r="AL725" s="34" t="str">
        <f aca="false">IF($B725="","",COUNTIF($F725:$AJ725,"A"))</f>
        <v/>
      </c>
      <c r="AM725" s="34" t="str">
        <f aca="false">IF($B725="","",COUNTIF($F725:$AJ725,"HA"))</f>
        <v/>
      </c>
      <c r="AN725" s="34" t="str">
        <f aca="false">IF($B725="","",COUNTIF($F725:$AJ725,"L"))</f>
        <v/>
      </c>
      <c r="AO725" s="34" t="str">
        <f aca="false">IF($B725="","",COUNTIF($F725:$AJ725,"PL"))</f>
        <v/>
      </c>
      <c r="AP725" s="34" t="str">
        <f aca="false">IF($B725="","",COUNTIF($F725:$AJ725,"CL"))</f>
        <v/>
      </c>
      <c r="AQ725" s="34" t="str">
        <f aca="false">IF($B725="","",COUNTIF($F725:$AJ725,"SL"))</f>
        <v/>
      </c>
      <c r="AR725" s="34" t="str">
        <f aca="false">IF($B725="","",COUNTIF($F725:$AJ725,"CO"))</f>
        <v/>
      </c>
      <c r="AS725" s="34" t="str">
        <f aca="false">IF($B725="","",COUNTIF($F725:$AJ725,"HPL"))</f>
        <v/>
      </c>
      <c r="AT725" s="34" t="str">
        <f aca="false">IF($B725="","",COUNTIF($F725:$AJ725,"HCL"))</f>
        <v/>
      </c>
      <c r="AU725" s="34" t="str">
        <f aca="false">IF($B725="","",COUNTIF($F725:$AJ725,"WO"))</f>
        <v/>
      </c>
      <c r="AV725" s="34" t="str">
        <f aca="false">IF($B725="","",COUNTIF($F725:$AJ725,"PH"))</f>
        <v/>
      </c>
      <c r="AW725" s="34" t="str">
        <f aca="false">IF($B725="","",COUNTIF($F725:$AJ725,"TR"))</f>
        <v/>
      </c>
      <c r="AX725" s="35" t="str">
        <f aca="false">IF($B725="","",AO725+AS725/2)</f>
        <v/>
      </c>
      <c r="AY725" s="35" t="str">
        <f aca="false">IF($B725="","",AQ725)</f>
        <v/>
      </c>
      <c r="AZ725" s="35" t="str">
        <f aca="false">IF($B725="","",AP725+AT725/2)</f>
        <v/>
      </c>
      <c r="BA725" s="35" t="str">
        <f aca="false">IF($B725="","",AK725+AN725+AM725/2+AO725+AP725+AQ725+AR725+AS725+AT725+AU725+AV725+AW725)</f>
        <v/>
      </c>
      <c r="BB725" s="35" t="str">
        <f aca="false">IF($B725="","",MAX(0,AN725-Settings!$C$16)*Settings!$C$17)</f>
        <v/>
      </c>
      <c r="BC725" s="35" t="str">
        <f aca="false">IF($B725="","",BA725-BB725)</f>
        <v/>
      </c>
      <c r="BD725" s="35" t="str">
        <f aca="false">IF(OR($B725="",$A725=""),"",DAY(EOMONTH($A725,0))-COUNTA($F725:$AJ725))</f>
        <v/>
      </c>
    </row>
    <row r="726" customFormat="false" ht="15" hidden="false" customHeight="false" outlineLevel="0" collapsed="false">
      <c r="A726" s="32"/>
      <c r="B726" s="29"/>
      <c r="C726" s="10" t="str">
        <f aca="false">IF($B726="","",IFERROR(INDEX(M_name,MATCH($B726,M_emp,0)),"Code not found"))</f>
        <v/>
      </c>
      <c r="D726" s="10" t="str">
        <f aca="false">IF($B726="","",IFERROR(INDEX(M_dept,MATCH($B726,M_emp,0)),""))</f>
        <v/>
      </c>
      <c r="E726" s="10" t="str">
        <f aca="false">IF($B726="","",IFERROR(INDEX(M_loc,MATCH($B726,M_emp,0)),""))</f>
        <v/>
      </c>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4" t="str">
        <f aca="false">IF($B726="","",COUNTIF($F726:$AJ726,"P"))</f>
        <v/>
      </c>
      <c r="AL726" s="34" t="str">
        <f aca="false">IF($B726="","",COUNTIF($F726:$AJ726,"A"))</f>
        <v/>
      </c>
      <c r="AM726" s="34" t="str">
        <f aca="false">IF($B726="","",COUNTIF($F726:$AJ726,"HA"))</f>
        <v/>
      </c>
      <c r="AN726" s="34" t="str">
        <f aca="false">IF($B726="","",COUNTIF($F726:$AJ726,"L"))</f>
        <v/>
      </c>
      <c r="AO726" s="34" t="str">
        <f aca="false">IF($B726="","",COUNTIF($F726:$AJ726,"PL"))</f>
        <v/>
      </c>
      <c r="AP726" s="34" t="str">
        <f aca="false">IF($B726="","",COUNTIF($F726:$AJ726,"CL"))</f>
        <v/>
      </c>
      <c r="AQ726" s="34" t="str">
        <f aca="false">IF($B726="","",COUNTIF($F726:$AJ726,"SL"))</f>
        <v/>
      </c>
      <c r="AR726" s="34" t="str">
        <f aca="false">IF($B726="","",COUNTIF($F726:$AJ726,"CO"))</f>
        <v/>
      </c>
      <c r="AS726" s="34" t="str">
        <f aca="false">IF($B726="","",COUNTIF($F726:$AJ726,"HPL"))</f>
        <v/>
      </c>
      <c r="AT726" s="34" t="str">
        <f aca="false">IF($B726="","",COUNTIF($F726:$AJ726,"HCL"))</f>
        <v/>
      </c>
      <c r="AU726" s="34" t="str">
        <f aca="false">IF($B726="","",COUNTIF($F726:$AJ726,"WO"))</f>
        <v/>
      </c>
      <c r="AV726" s="34" t="str">
        <f aca="false">IF($B726="","",COUNTIF($F726:$AJ726,"PH"))</f>
        <v/>
      </c>
      <c r="AW726" s="34" t="str">
        <f aca="false">IF($B726="","",COUNTIF($F726:$AJ726,"TR"))</f>
        <v/>
      </c>
      <c r="AX726" s="35" t="str">
        <f aca="false">IF($B726="","",AO726+AS726/2)</f>
        <v/>
      </c>
      <c r="AY726" s="35" t="str">
        <f aca="false">IF($B726="","",AQ726)</f>
        <v/>
      </c>
      <c r="AZ726" s="35" t="str">
        <f aca="false">IF($B726="","",AP726+AT726/2)</f>
        <v/>
      </c>
      <c r="BA726" s="35" t="str">
        <f aca="false">IF($B726="","",AK726+AN726+AM726/2+AO726+AP726+AQ726+AR726+AS726+AT726+AU726+AV726+AW726)</f>
        <v/>
      </c>
      <c r="BB726" s="35" t="str">
        <f aca="false">IF($B726="","",MAX(0,AN726-Settings!$C$16)*Settings!$C$17)</f>
        <v/>
      </c>
      <c r="BC726" s="35" t="str">
        <f aca="false">IF($B726="","",BA726-BB726)</f>
        <v/>
      </c>
      <c r="BD726" s="35" t="str">
        <f aca="false">IF(OR($B726="",$A726=""),"",DAY(EOMONTH($A726,0))-COUNTA($F726:$AJ726))</f>
        <v/>
      </c>
    </row>
    <row r="727" customFormat="false" ht="15" hidden="false" customHeight="false" outlineLevel="0" collapsed="false">
      <c r="A727" s="32"/>
      <c r="B727" s="29"/>
      <c r="C727" s="10" t="str">
        <f aca="false">IF($B727="","",IFERROR(INDEX(M_name,MATCH($B727,M_emp,0)),"Code not found"))</f>
        <v/>
      </c>
      <c r="D727" s="10" t="str">
        <f aca="false">IF($B727="","",IFERROR(INDEX(M_dept,MATCH($B727,M_emp,0)),""))</f>
        <v/>
      </c>
      <c r="E727" s="10" t="str">
        <f aca="false">IF($B727="","",IFERROR(INDEX(M_loc,MATCH($B727,M_emp,0)),""))</f>
        <v/>
      </c>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4" t="str">
        <f aca="false">IF($B727="","",COUNTIF($F727:$AJ727,"P"))</f>
        <v/>
      </c>
      <c r="AL727" s="34" t="str">
        <f aca="false">IF($B727="","",COUNTIF($F727:$AJ727,"A"))</f>
        <v/>
      </c>
      <c r="AM727" s="34" t="str">
        <f aca="false">IF($B727="","",COUNTIF($F727:$AJ727,"HA"))</f>
        <v/>
      </c>
      <c r="AN727" s="34" t="str">
        <f aca="false">IF($B727="","",COUNTIF($F727:$AJ727,"L"))</f>
        <v/>
      </c>
      <c r="AO727" s="34" t="str">
        <f aca="false">IF($B727="","",COUNTIF($F727:$AJ727,"PL"))</f>
        <v/>
      </c>
      <c r="AP727" s="34" t="str">
        <f aca="false">IF($B727="","",COUNTIF($F727:$AJ727,"CL"))</f>
        <v/>
      </c>
      <c r="AQ727" s="34" t="str">
        <f aca="false">IF($B727="","",COUNTIF($F727:$AJ727,"SL"))</f>
        <v/>
      </c>
      <c r="AR727" s="34" t="str">
        <f aca="false">IF($B727="","",COUNTIF($F727:$AJ727,"CO"))</f>
        <v/>
      </c>
      <c r="AS727" s="34" t="str">
        <f aca="false">IF($B727="","",COUNTIF($F727:$AJ727,"HPL"))</f>
        <v/>
      </c>
      <c r="AT727" s="34" t="str">
        <f aca="false">IF($B727="","",COUNTIF($F727:$AJ727,"HCL"))</f>
        <v/>
      </c>
      <c r="AU727" s="34" t="str">
        <f aca="false">IF($B727="","",COUNTIF($F727:$AJ727,"WO"))</f>
        <v/>
      </c>
      <c r="AV727" s="34" t="str">
        <f aca="false">IF($B727="","",COUNTIF($F727:$AJ727,"PH"))</f>
        <v/>
      </c>
      <c r="AW727" s="34" t="str">
        <f aca="false">IF($B727="","",COUNTIF($F727:$AJ727,"TR"))</f>
        <v/>
      </c>
      <c r="AX727" s="35" t="str">
        <f aca="false">IF($B727="","",AO727+AS727/2)</f>
        <v/>
      </c>
      <c r="AY727" s="35" t="str">
        <f aca="false">IF($B727="","",AQ727)</f>
        <v/>
      </c>
      <c r="AZ727" s="35" t="str">
        <f aca="false">IF($B727="","",AP727+AT727/2)</f>
        <v/>
      </c>
      <c r="BA727" s="35" t="str">
        <f aca="false">IF($B727="","",AK727+AN727+AM727/2+AO727+AP727+AQ727+AR727+AS727+AT727+AU727+AV727+AW727)</f>
        <v/>
      </c>
      <c r="BB727" s="35" t="str">
        <f aca="false">IF($B727="","",MAX(0,AN727-Settings!$C$16)*Settings!$C$17)</f>
        <v/>
      </c>
      <c r="BC727" s="35" t="str">
        <f aca="false">IF($B727="","",BA727-BB727)</f>
        <v/>
      </c>
      <c r="BD727" s="35" t="str">
        <f aca="false">IF(OR($B727="",$A727=""),"",DAY(EOMONTH($A727,0))-COUNTA($F727:$AJ727))</f>
        <v/>
      </c>
    </row>
    <row r="728" customFormat="false" ht="15" hidden="false" customHeight="false" outlineLevel="0" collapsed="false">
      <c r="A728" s="32"/>
      <c r="B728" s="29"/>
      <c r="C728" s="10" t="str">
        <f aca="false">IF($B728="","",IFERROR(INDEX(M_name,MATCH($B728,M_emp,0)),"Code not found"))</f>
        <v/>
      </c>
      <c r="D728" s="10" t="str">
        <f aca="false">IF($B728="","",IFERROR(INDEX(M_dept,MATCH($B728,M_emp,0)),""))</f>
        <v/>
      </c>
      <c r="E728" s="10" t="str">
        <f aca="false">IF($B728="","",IFERROR(INDEX(M_loc,MATCH($B728,M_emp,0)),""))</f>
        <v/>
      </c>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4" t="str">
        <f aca="false">IF($B728="","",COUNTIF($F728:$AJ728,"P"))</f>
        <v/>
      </c>
      <c r="AL728" s="34" t="str">
        <f aca="false">IF($B728="","",COUNTIF($F728:$AJ728,"A"))</f>
        <v/>
      </c>
      <c r="AM728" s="34" t="str">
        <f aca="false">IF($B728="","",COUNTIF($F728:$AJ728,"HA"))</f>
        <v/>
      </c>
      <c r="AN728" s="34" t="str">
        <f aca="false">IF($B728="","",COUNTIF($F728:$AJ728,"L"))</f>
        <v/>
      </c>
      <c r="AO728" s="34" t="str">
        <f aca="false">IF($B728="","",COUNTIF($F728:$AJ728,"PL"))</f>
        <v/>
      </c>
      <c r="AP728" s="34" t="str">
        <f aca="false">IF($B728="","",COUNTIF($F728:$AJ728,"CL"))</f>
        <v/>
      </c>
      <c r="AQ728" s="34" t="str">
        <f aca="false">IF($B728="","",COUNTIF($F728:$AJ728,"SL"))</f>
        <v/>
      </c>
      <c r="AR728" s="34" t="str">
        <f aca="false">IF($B728="","",COUNTIF($F728:$AJ728,"CO"))</f>
        <v/>
      </c>
      <c r="AS728" s="34" t="str">
        <f aca="false">IF($B728="","",COUNTIF($F728:$AJ728,"HPL"))</f>
        <v/>
      </c>
      <c r="AT728" s="34" t="str">
        <f aca="false">IF($B728="","",COUNTIF($F728:$AJ728,"HCL"))</f>
        <v/>
      </c>
      <c r="AU728" s="34" t="str">
        <f aca="false">IF($B728="","",COUNTIF($F728:$AJ728,"WO"))</f>
        <v/>
      </c>
      <c r="AV728" s="34" t="str">
        <f aca="false">IF($B728="","",COUNTIF($F728:$AJ728,"PH"))</f>
        <v/>
      </c>
      <c r="AW728" s="34" t="str">
        <f aca="false">IF($B728="","",COUNTIF($F728:$AJ728,"TR"))</f>
        <v/>
      </c>
      <c r="AX728" s="35" t="str">
        <f aca="false">IF($B728="","",AO728+AS728/2)</f>
        <v/>
      </c>
      <c r="AY728" s="35" t="str">
        <f aca="false">IF($B728="","",AQ728)</f>
        <v/>
      </c>
      <c r="AZ728" s="35" t="str">
        <f aca="false">IF($B728="","",AP728+AT728/2)</f>
        <v/>
      </c>
      <c r="BA728" s="35" t="str">
        <f aca="false">IF($B728="","",AK728+AN728+AM728/2+AO728+AP728+AQ728+AR728+AS728+AT728+AU728+AV728+AW728)</f>
        <v/>
      </c>
      <c r="BB728" s="35" t="str">
        <f aca="false">IF($B728="","",MAX(0,AN728-Settings!$C$16)*Settings!$C$17)</f>
        <v/>
      </c>
      <c r="BC728" s="35" t="str">
        <f aca="false">IF($B728="","",BA728-BB728)</f>
        <v/>
      </c>
      <c r="BD728" s="35" t="str">
        <f aca="false">IF(OR($B728="",$A728=""),"",DAY(EOMONTH($A728,0))-COUNTA($F728:$AJ728))</f>
        <v/>
      </c>
    </row>
    <row r="729" customFormat="false" ht="15" hidden="false" customHeight="false" outlineLevel="0" collapsed="false">
      <c r="A729" s="32"/>
      <c r="B729" s="29"/>
      <c r="C729" s="10" t="str">
        <f aca="false">IF($B729="","",IFERROR(INDEX(M_name,MATCH($B729,M_emp,0)),"Code not found"))</f>
        <v/>
      </c>
      <c r="D729" s="10" t="str">
        <f aca="false">IF($B729="","",IFERROR(INDEX(M_dept,MATCH($B729,M_emp,0)),""))</f>
        <v/>
      </c>
      <c r="E729" s="10" t="str">
        <f aca="false">IF($B729="","",IFERROR(INDEX(M_loc,MATCH($B729,M_emp,0)),""))</f>
        <v/>
      </c>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4" t="str">
        <f aca="false">IF($B729="","",COUNTIF($F729:$AJ729,"P"))</f>
        <v/>
      </c>
      <c r="AL729" s="34" t="str">
        <f aca="false">IF($B729="","",COUNTIF($F729:$AJ729,"A"))</f>
        <v/>
      </c>
      <c r="AM729" s="34" t="str">
        <f aca="false">IF($B729="","",COUNTIF($F729:$AJ729,"HA"))</f>
        <v/>
      </c>
      <c r="AN729" s="34" t="str">
        <f aca="false">IF($B729="","",COUNTIF($F729:$AJ729,"L"))</f>
        <v/>
      </c>
      <c r="AO729" s="34" t="str">
        <f aca="false">IF($B729="","",COUNTIF($F729:$AJ729,"PL"))</f>
        <v/>
      </c>
      <c r="AP729" s="34" t="str">
        <f aca="false">IF($B729="","",COUNTIF($F729:$AJ729,"CL"))</f>
        <v/>
      </c>
      <c r="AQ729" s="34" t="str">
        <f aca="false">IF($B729="","",COUNTIF($F729:$AJ729,"SL"))</f>
        <v/>
      </c>
      <c r="AR729" s="34" t="str">
        <f aca="false">IF($B729="","",COUNTIF($F729:$AJ729,"CO"))</f>
        <v/>
      </c>
      <c r="AS729" s="34" t="str">
        <f aca="false">IF($B729="","",COUNTIF($F729:$AJ729,"HPL"))</f>
        <v/>
      </c>
      <c r="AT729" s="34" t="str">
        <f aca="false">IF($B729="","",COUNTIF($F729:$AJ729,"HCL"))</f>
        <v/>
      </c>
      <c r="AU729" s="34" t="str">
        <f aca="false">IF($B729="","",COUNTIF($F729:$AJ729,"WO"))</f>
        <v/>
      </c>
      <c r="AV729" s="34" t="str">
        <f aca="false">IF($B729="","",COUNTIF($F729:$AJ729,"PH"))</f>
        <v/>
      </c>
      <c r="AW729" s="34" t="str">
        <f aca="false">IF($B729="","",COUNTIF($F729:$AJ729,"TR"))</f>
        <v/>
      </c>
      <c r="AX729" s="35" t="str">
        <f aca="false">IF($B729="","",AO729+AS729/2)</f>
        <v/>
      </c>
      <c r="AY729" s="35" t="str">
        <f aca="false">IF($B729="","",AQ729)</f>
        <v/>
      </c>
      <c r="AZ729" s="35" t="str">
        <f aca="false">IF($B729="","",AP729+AT729/2)</f>
        <v/>
      </c>
      <c r="BA729" s="35" t="str">
        <f aca="false">IF($B729="","",AK729+AN729+AM729/2+AO729+AP729+AQ729+AR729+AS729+AT729+AU729+AV729+AW729)</f>
        <v/>
      </c>
      <c r="BB729" s="35" t="str">
        <f aca="false">IF($B729="","",MAX(0,AN729-Settings!$C$16)*Settings!$C$17)</f>
        <v/>
      </c>
      <c r="BC729" s="35" t="str">
        <f aca="false">IF($B729="","",BA729-BB729)</f>
        <v/>
      </c>
      <c r="BD729" s="35" t="str">
        <f aca="false">IF(OR($B729="",$A729=""),"",DAY(EOMONTH($A729,0))-COUNTA($F729:$AJ729))</f>
        <v/>
      </c>
    </row>
    <row r="730" customFormat="false" ht="15" hidden="false" customHeight="false" outlineLevel="0" collapsed="false">
      <c r="A730" s="32"/>
      <c r="B730" s="29"/>
      <c r="C730" s="10" t="str">
        <f aca="false">IF($B730="","",IFERROR(INDEX(M_name,MATCH($B730,M_emp,0)),"Code not found"))</f>
        <v/>
      </c>
      <c r="D730" s="10" t="str">
        <f aca="false">IF($B730="","",IFERROR(INDEX(M_dept,MATCH($B730,M_emp,0)),""))</f>
        <v/>
      </c>
      <c r="E730" s="10" t="str">
        <f aca="false">IF($B730="","",IFERROR(INDEX(M_loc,MATCH($B730,M_emp,0)),""))</f>
        <v/>
      </c>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4" t="str">
        <f aca="false">IF($B730="","",COUNTIF($F730:$AJ730,"P"))</f>
        <v/>
      </c>
      <c r="AL730" s="34" t="str">
        <f aca="false">IF($B730="","",COUNTIF($F730:$AJ730,"A"))</f>
        <v/>
      </c>
      <c r="AM730" s="34" t="str">
        <f aca="false">IF($B730="","",COUNTIF($F730:$AJ730,"HA"))</f>
        <v/>
      </c>
      <c r="AN730" s="34" t="str">
        <f aca="false">IF($B730="","",COUNTIF($F730:$AJ730,"L"))</f>
        <v/>
      </c>
      <c r="AO730" s="34" t="str">
        <f aca="false">IF($B730="","",COUNTIF($F730:$AJ730,"PL"))</f>
        <v/>
      </c>
      <c r="AP730" s="34" t="str">
        <f aca="false">IF($B730="","",COUNTIF($F730:$AJ730,"CL"))</f>
        <v/>
      </c>
      <c r="AQ730" s="34" t="str">
        <f aca="false">IF($B730="","",COUNTIF($F730:$AJ730,"SL"))</f>
        <v/>
      </c>
      <c r="AR730" s="34" t="str">
        <f aca="false">IF($B730="","",COUNTIF($F730:$AJ730,"CO"))</f>
        <v/>
      </c>
      <c r="AS730" s="34" t="str">
        <f aca="false">IF($B730="","",COUNTIF($F730:$AJ730,"HPL"))</f>
        <v/>
      </c>
      <c r="AT730" s="34" t="str">
        <f aca="false">IF($B730="","",COUNTIF($F730:$AJ730,"HCL"))</f>
        <v/>
      </c>
      <c r="AU730" s="34" t="str">
        <f aca="false">IF($B730="","",COUNTIF($F730:$AJ730,"WO"))</f>
        <v/>
      </c>
      <c r="AV730" s="34" t="str">
        <f aca="false">IF($B730="","",COUNTIF($F730:$AJ730,"PH"))</f>
        <v/>
      </c>
      <c r="AW730" s="34" t="str">
        <f aca="false">IF($B730="","",COUNTIF($F730:$AJ730,"TR"))</f>
        <v/>
      </c>
      <c r="AX730" s="35" t="str">
        <f aca="false">IF($B730="","",AO730+AS730/2)</f>
        <v/>
      </c>
      <c r="AY730" s="35" t="str">
        <f aca="false">IF($B730="","",AQ730)</f>
        <v/>
      </c>
      <c r="AZ730" s="35" t="str">
        <f aca="false">IF($B730="","",AP730+AT730/2)</f>
        <v/>
      </c>
      <c r="BA730" s="35" t="str">
        <f aca="false">IF($B730="","",AK730+AN730+AM730/2+AO730+AP730+AQ730+AR730+AS730+AT730+AU730+AV730+AW730)</f>
        <v/>
      </c>
      <c r="BB730" s="35" t="str">
        <f aca="false">IF($B730="","",MAX(0,AN730-Settings!$C$16)*Settings!$C$17)</f>
        <v/>
      </c>
      <c r="BC730" s="35" t="str">
        <f aca="false">IF($B730="","",BA730-BB730)</f>
        <v/>
      </c>
      <c r="BD730" s="35" t="str">
        <f aca="false">IF(OR($B730="",$A730=""),"",DAY(EOMONTH($A730,0))-COUNTA($F730:$AJ730))</f>
        <v/>
      </c>
    </row>
    <row r="731" customFormat="false" ht="15" hidden="false" customHeight="false" outlineLevel="0" collapsed="false">
      <c r="A731" s="32"/>
      <c r="B731" s="29"/>
      <c r="C731" s="10" t="str">
        <f aca="false">IF($B731="","",IFERROR(INDEX(M_name,MATCH($B731,M_emp,0)),"Code not found"))</f>
        <v/>
      </c>
      <c r="D731" s="10" t="str">
        <f aca="false">IF($B731="","",IFERROR(INDEX(M_dept,MATCH($B731,M_emp,0)),""))</f>
        <v/>
      </c>
      <c r="E731" s="10" t="str">
        <f aca="false">IF($B731="","",IFERROR(INDEX(M_loc,MATCH($B731,M_emp,0)),""))</f>
        <v/>
      </c>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4" t="str">
        <f aca="false">IF($B731="","",COUNTIF($F731:$AJ731,"P"))</f>
        <v/>
      </c>
      <c r="AL731" s="34" t="str">
        <f aca="false">IF($B731="","",COUNTIF($F731:$AJ731,"A"))</f>
        <v/>
      </c>
      <c r="AM731" s="34" t="str">
        <f aca="false">IF($B731="","",COUNTIF($F731:$AJ731,"HA"))</f>
        <v/>
      </c>
      <c r="AN731" s="34" t="str">
        <f aca="false">IF($B731="","",COUNTIF($F731:$AJ731,"L"))</f>
        <v/>
      </c>
      <c r="AO731" s="34" t="str">
        <f aca="false">IF($B731="","",COUNTIF($F731:$AJ731,"PL"))</f>
        <v/>
      </c>
      <c r="AP731" s="34" t="str">
        <f aca="false">IF($B731="","",COUNTIF($F731:$AJ731,"CL"))</f>
        <v/>
      </c>
      <c r="AQ731" s="34" t="str">
        <f aca="false">IF($B731="","",COUNTIF($F731:$AJ731,"SL"))</f>
        <v/>
      </c>
      <c r="AR731" s="34" t="str">
        <f aca="false">IF($B731="","",COUNTIF($F731:$AJ731,"CO"))</f>
        <v/>
      </c>
      <c r="AS731" s="34" t="str">
        <f aca="false">IF($B731="","",COUNTIF($F731:$AJ731,"HPL"))</f>
        <v/>
      </c>
      <c r="AT731" s="34" t="str">
        <f aca="false">IF($B731="","",COUNTIF($F731:$AJ731,"HCL"))</f>
        <v/>
      </c>
      <c r="AU731" s="34" t="str">
        <f aca="false">IF($B731="","",COUNTIF($F731:$AJ731,"WO"))</f>
        <v/>
      </c>
      <c r="AV731" s="34" t="str">
        <f aca="false">IF($B731="","",COUNTIF($F731:$AJ731,"PH"))</f>
        <v/>
      </c>
      <c r="AW731" s="34" t="str">
        <f aca="false">IF($B731="","",COUNTIF($F731:$AJ731,"TR"))</f>
        <v/>
      </c>
      <c r="AX731" s="35" t="str">
        <f aca="false">IF($B731="","",AO731+AS731/2)</f>
        <v/>
      </c>
      <c r="AY731" s="35" t="str">
        <f aca="false">IF($B731="","",AQ731)</f>
        <v/>
      </c>
      <c r="AZ731" s="35" t="str">
        <f aca="false">IF($B731="","",AP731+AT731/2)</f>
        <v/>
      </c>
      <c r="BA731" s="35" t="str">
        <f aca="false">IF($B731="","",AK731+AN731+AM731/2+AO731+AP731+AQ731+AR731+AS731+AT731+AU731+AV731+AW731)</f>
        <v/>
      </c>
      <c r="BB731" s="35" t="str">
        <f aca="false">IF($B731="","",MAX(0,AN731-Settings!$C$16)*Settings!$C$17)</f>
        <v/>
      </c>
      <c r="BC731" s="35" t="str">
        <f aca="false">IF($B731="","",BA731-BB731)</f>
        <v/>
      </c>
      <c r="BD731" s="35" t="str">
        <f aca="false">IF(OR($B731="",$A731=""),"",DAY(EOMONTH($A731,0))-COUNTA($F731:$AJ731))</f>
        <v/>
      </c>
    </row>
    <row r="732" customFormat="false" ht="15" hidden="false" customHeight="false" outlineLevel="0" collapsed="false">
      <c r="A732" s="32"/>
      <c r="B732" s="29"/>
      <c r="C732" s="10" t="str">
        <f aca="false">IF($B732="","",IFERROR(INDEX(M_name,MATCH($B732,M_emp,0)),"Code not found"))</f>
        <v/>
      </c>
      <c r="D732" s="10" t="str">
        <f aca="false">IF($B732="","",IFERROR(INDEX(M_dept,MATCH($B732,M_emp,0)),""))</f>
        <v/>
      </c>
      <c r="E732" s="10" t="str">
        <f aca="false">IF($B732="","",IFERROR(INDEX(M_loc,MATCH($B732,M_emp,0)),""))</f>
        <v/>
      </c>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4" t="str">
        <f aca="false">IF($B732="","",COUNTIF($F732:$AJ732,"P"))</f>
        <v/>
      </c>
      <c r="AL732" s="34" t="str">
        <f aca="false">IF($B732="","",COUNTIF($F732:$AJ732,"A"))</f>
        <v/>
      </c>
      <c r="AM732" s="34" t="str">
        <f aca="false">IF($B732="","",COUNTIF($F732:$AJ732,"HA"))</f>
        <v/>
      </c>
      <c r="AN732" s="34" t="str">
        <f aca="false">IF($B732="","",COUNTIF($F732:$AJ732,"L"))</f>
        <v/>
      </c>
      <c r="AO732" s="34" t="str">
        <f aca="false">IF($B732="","",COUNTIF($F732:$AJ732,"PL"))</f>
        <v/>
      </c>
      <c r="AP732" s="34" t="str">
        <f aca="false">IF($B732="","",COUNTIF($F732:$AJ732,"CL"))</f>
        <v/>
      </c>
      <c r="AQ732" s="34" t="str">
        <f aca="false">IF($B732="","",COUNTIF($F732:$AJ732,"SL"))</f>
        <v/>
      </c>
      <c r="AR732" s="34" t="str">
        <f aca="false">IF($B732="","",COUNTIF($F732:$AJ732,"CO"))</f>
        <v/>
      </c>
      <c r="AS732" s="34" t="str">
        <f aca="false">IF($B732="","",COUNTIF($F732:$AJ732,"HPL"))</f>
        <v/>
      </c>
      <c r="AT732" s="34" t="str">
        <f aca="false">IF($B732="","",COUNTIF($F732:$AJ732,"HCL"))</f>
        <v/>
      </c>
      <c r="AU732" s="34" t="str">
        <f aca="false">IF($B732="","",COUNTIF($F732:$AJ732,"WO"))</f>
        <v/>
      </c>
      <c r="AV732" s="34" t="str">
        <f aca="false">IF($B732="","",COUNTIF($F732:$AJ732,"PH"))</f>
        <v/>
      </c>
      <c r="AW732" s="34" t="str">
        <f aca="false">IF($B732="","",COUNTIF($F732:$AJ732,"TR"))</f>
        <v/>
      </c>
      <c r="AX732" s="35" t="str">
        <f aca="false">IF($B732="","",AO732+AS732/2)</f>
        <v/>
      </c>
      <c r="AY732" s="35" t="str">
        <f aca="false">IF($B732="","",AQ732)</f>
        <v/>
      </c>
      <c r="AZ732" s="35" t="str">
        <f aca="false">IF($B732="","",AP732+AT732/2)</f>
        <v/>
      </c>
      <c r="BA732" s="35" t="str">
        <f aca="false">IF($B732="","",AK732+AN732+AM732/2+AO732+AP732+AQ732+AR732+AS732+AT732+AU732+AV732+AW732)</f>
        <v/>
      </c>
      <c r="BB732" s="35" t="str">
        <f aca="false">IF($B732="","",MAX(0,AN732-Settings!$C$16)*Settings!$C$17)</f>
        <v/>
      </c>
      <c r="BC732" s="35" t="str">
        <f aca="false">IF($B732="","",BA732-BB732)</f>
        <v/>
      </c>
      <c r="BD732" s="35" t="str">
        <f aca="false">IF(OR($B732="",$A732=""),"",DAY(EOMONTH($A732,0))-COUNTA($F732:$AJ732))</f>
        <v/>
      </c>
    </row>
    <row r="733" customFormat="false" ht="15" hidden="false" customHeight="false" outlineLevel="0" collapsed="false">
      <c r="A733" s="32"/>
      <c r="B733" s="29"/>
      <c r="C733" s="10" t="str">
        <f aca="false">IF($B733="","",IFERROR(INDEX(M_name,MATCH($B733,M_emp,0)),"Code not found"))</f>
        <v/>
      </c>
      <c r="D733" s="10" t="str">
        <f aca="false">IF($B733="","",IFERROR(INDEX(M_dept,MATCH($B733,M_emp,0)),""))</f>
        <v/>
      </c>
      <c r="E733" s="10" t="str">
        <f aca="false">IF($B733="","",IFERROR(INDEX(M_loc,MATCH($B733,M_emp,0)),""))</f>
        <v/>
      </c>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4" t="str">
        <f aca="false">IF($B733="","",COUNTIF($F733:$AJ733,"P"))</f>
        <v/>
      </c>
      <c r="AL733" s="34" t="str">
        <f aca="false">IF($B733="","",COUNTIF($F733:$AJ733,"A"))</f>
        <v/>
      </c>
      <c r="AM733" s="34" t="str">
        <f aca="false">IF($B733="","",COUNTIF($F733:$AJ733,"HA"))</f>
        <v/>
      </c>
      <c r="AN733" s="34" t="str">
        <f aca="false">IF($B733="","",COUNTIF($F733:$AJ733,"L"))</f>
        <v/>
      </c>
      <c r="AO733" s="34" t="str">
        <f aca="false">IF($B733="","",COUNTIF($F733:$AJ733,"PL"))</f>
        <v/>
      </c>
      <c r="AP733" s="34" t="str">
        <f aca="false">IF($B733="","",COUNTIF($F733:$AJ733,"CL"))</f>
        <v/>
      </c>
      <c r="AQ733" s="34" t="str">
        <f aca="false">IF($B733="","",COUNTIF($F733:$AJ733,"SL"))</f>
        <v/>
      </c>
      <c r="AR733" s="34" t="str">
        <f aca="false">IF($B733="","",COUNTIF($F733:$AJ733,"CO"))</f>
        <v/>
      </c>
      <c r="AS733" s="34" t="str">
        <f aca="false">IF($B733="","",COUNTIF($F733:$AJ733,"HPL"))</f>
        <v/>
      </c>
      <c r="AT733" s="34" t="str">
        <f aca="false">IF($B733="","",COUNTIF($F733:$AJ733,"HCL"))</f>
        <v/>
      </c>
      <c r="AU733" s="34" t="str">
        <f aca="false">IF($B733="","",COUNTIF($F733:$AJ733,"WO"))</f>
        <v/>
      </c>
      <c r="AV733" s="34" t="str">
        <f aca="false">IF($B733="","",COUNTIF($F733:$AJ733,"PH"))</f>
        <v/>
      </c>
      <c r="AW733" s="34" t="str">
        <f aca="false">IF($B733="","",COUNTIF($F733:$AJ733,"TR"))</f>
        <v/>
      </c>
      <c r="AX733" s="35" t="str">
        <f aca="false">IF($B733="","",AO733+AS733/2)</f>
        <v/>
      </c>
      <c r="AY733" s="35" t="str">
        <f aca="false">IF($B733="","",AQ733)</f>
        <v/>
      </c>
      <c r="AZ733" s="35" t="str">
        <f aca="false">IF($B733="","",AP733+AT733/2)</f>
        <v/>
      </c>
      <c r="BA733" s="35" t="str">
        <f aca="false">IF($B733="","",AK733+AN733+AM733/2+AO733+AP733+AQ733+AR733+AS733+AT733+AU733+AV733+AW733)</f>
        <v/>
      </c>
      <c r="BB733" s="35" t="str">
        <f aca="false">IF($B733="","",MAX(0,AN733-Settings!$C$16)*Settings!$C$17)</f>
        <v/>
      </c>
      <c r="BC733" s="35" t="str">
        <f aca="false">IF($B733="","",BA733-BB733)</f>
        <v/>
      </c>
      <c r="BD733" s="35" t="str">
        <f aca="false">IF(OR($B733="",$A733=""),"",DAY(EOMONTH($A733,0))-COUNTA($F733:$AJ733))</f>
        <v/>
      </c>
    </row>
    <row r="734" customFormat="false" ht="15" hidden="false" customHeight="false" outlineLevel="0" collapsed="false">
      <c r="A734" s="32"/>
      <c r="B734" s="29"/>
      <c r="C734" s="10" t="str">
        <f aca="false">IF($B734="","",IFERROR(INDEX(M_name,MATCH($B734,M_emp,0)),"Code not found"))</f>
        <v/>
      </c>
      <c r="D734" s="10" t="str">
        <f aca="false">IF($B734="","",IFERROR(INDEX(M_dept,MATCH($B734,M_emp,0)),""))</f>
        <v/>
      </c>
      <c r="E734" s="10" t="str">
        <f aca="false">IF($B734="","",IFERROR(INDEX(M_loc,MATCH($B734,M_emp,0)),""))</f>
        <v/>
      </c>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4" t="str">
        <f aca="false">IF($B734="","",COUNTIF($F734:$AJ734,"P"))</f>
        <v/>
      </c>
      <c r="AL734" s="34" t="str">
        <f aca="false">IF($B734="","",COUNTIF($F734:$AJ734,"A"))</f>
        <v/>
      </c>
      <c r="AM734" s="34" t="str">
        <f aca="false">IF($B734="","",COUNTIF($F734:$AJ734,"HA"))</f>
        <v/>
      </c>
      <c r="AN734" s="34" t="str">
        <f aca="false">IF($B734="","",COUNTIF($F734:$AJ734,"L"))</f>
        <v/>
      </c>
      <c r="AO734" s="34" t="str">
        <f aca="false">IF($B734="","",COUNTIF($F734:$AJ734,"PL"))</f>
        <v/>
      </c>
      <c r="AP734" s="34" t="str">
        <f aca="false">IF($B734="","",COUNTIF($F734:$AJ734,"CL"))</f>
        <v/>
      </c>
      <c r="AQ734" s="34" t="str">
        <f aca="false">IF($B734="","",COUNTIF($F734:$AJ734,"SL"))</f>
        <v/>
      </c>
      <c r="AR734" s="34" t="str">
        <f aca="false">IF($B734="","",COUNTIF($F734:$AJ734,"CO"))</f>
        <v/>
      </c>
      <c r="AS734" s="34" t="str">
        <f aca="false">IF($B734="","",COUNTIF($F734:$AJ734,"HPL"))</f>
        <v/>
      </c>
      <c r="AT734" s="34" t="str">
        <f aca="false">IF($B734="","",COUNTIF($F734:$AJ734,"HCL"))</f>
        <v/>
      </c>
      <c r="AU734" s="34" t="str">
        <f aca="false">IF($B734="","",COUNTIF($F734:$AJ734,"WO"))</f>
        <v/>
      </c>
      <c r="AV734" s="34" t="str">
        <f aca="false">IF($B734="","",COUNTIF($F734:$AJ734,"PH"))</f>
        <v/>
      </c>
      <c r="AW734" s="34" t="str">
        <f aca="false">IF($B734="","",COUNTIF($F734:$AJ734,"TR"))</f>
        <v/>
      </c>
      <c r="AX734" s="35" t="str">
        <f aca="false">IF($B734="","",AO734+AS734/2)</f>
        <v/>
      </c>
      <c r="AY734" s="35" t="str">
        <f aca="false">IF($B734="","",AQ734)</f>
        <v/>
      </c>
      <c r="AZ734" s="35" t="str">
        <f aca="false">IF($B734="","",AP734+AT734/2)</f>
        <v/>
      </c>
      <c r="BA734" s="35" t="str">
        <f aca="false">IF($B734="","",AK734+AN734+AM734/2+AO734+AP734+AQ734+AR734+AS734+AT734+AU734+AV734+AW734)</f>
        <v/>
      </c>
      <c r="BB734" s="35" t="str">
        <f aca="false">IF($B734="","",MAX(0,AN734-Settings!$C$16)*Settings!$C$17)</f>
        <v/>
      </c>
      <c r="BC734" s="35" t="str">
        <f aca="false">IF($B734="","",BA734-BB734)</f>
        <v/>
      </c>
      <c r="BD734" s="35" t="str">
        <f aca="false">IF(OR($B734="",$A734=""),"",DAY(EOMONTH($A734,0))-COUNTA($F734:$AJ734))</f>
        <v/>
      </c>
    </row>
    <row r="735" customFormat="false" ht="15" hidden="false" customHeight="false" outlineLevel="0" collapsed="false">
      <c r="A735" s="32"/>
      <c r="B735" s="29"/>
      <c r="C735" s="10" t="str">
        <f aca="false">IF($B735="","",IFERROR(INDEX(M_name,MATCH($B735,M_emp,0)),"Code not found"))</f>
        <v/>
      </c>
      <c r="D735" s="10" t="str">
        <f aca="false">IF($B735="","",IFERROR(INDEX(M_dept,MATCH($B735,M_emp,0)),""))</f>
        <v/>
      </c>
      <c r="E735" s="10" t="str">
        <f aca="false">IF($B735="","",IFERROR(INDEX(M_loc,MATCH($B735,M_emp,0)),""))</f>
        <v/>
      </c>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4" t="str">
        <f aca="false">IF($B735="","",COUNTIF($F735:$AJ735,"P"))</f>
        <v/>
      </c>
      <c r="AL735" s="34" t="str">
        <f aca="false">IF($B735="","",COUNTIF($F735:$AJ735,"A"))</f>
        <v/>
      </c>
      <c r="AM735" s="34" t="str">
        <f aca="false">IF($B735="","",COUNTIF($F735:$AJ735,"HA"))</f>
        <v/>
      </c>
      <c r="AN735" s="34" t="str">
        <f aca="false">IF($B735="","",COUNTIF($F735:$AJ735,"L"))</f>
        <v/>
      </c>
      <c r="AO735" s="34" t="str">
        <f aca="false">IF($B735="","",COUNTIF($F735:$AJ735,"PL"))</f>
        <v/>
      </c>
      <c r="AP735" s="34" t="str">
        <f aca="false">IF($B735="","",COUNTIF($F735:$AJ735,"CL"))</f>
        <v/>
      </c>
      <c r="AQ735" s="34" t="str">
        <f aca="false">IF($B735="","",COUNTIF($F735:$AJ735,"SL"))</f>
        <v/>
      </c>
      <c r="AR735" s="34" t="str">
        <f aca="false">IF($B735="","",COUNTIF($F735:$AJ735,"CO"))</f>
        <v/>
      </c>
      <c r="AS735" s="34" t="str">
        <f aca="false">IF($B735="","",COUNTIF($F735:$AJ735,"HPL"))</f>
        <v/>
      </c>
      <c r="AT735" s="34" t="str">
        <f aca="false">IF($B735="","",COUNTIF($F735:$AJ735,"HCL"))</f>
        <v/>
      </c>
      <c r="AU735" s="34" t="str">
        <f aca="false">IF($B735="","",COUNTIF($F735:$AJ735,"WO"))</f>
        <v/>
      </c>
      <c r="AV735" s="34" t="str">
        <f aca="false">IF($B735="","",COUNTIF($F735:$AJ735,"PH"))</f>
        <v/>
      </c>
      <c r="AW735" s="34" t="str">
        <f aca="false">IF($B735="","",COUNTIF($F735:$AJ735,"TR"))</f>
        <v/>
      </c>
      <c r="AX735" s="35" t="str">
        <f aca="false">IF($B735="","",AO735+AS735/2)</f>
        <v/>
      </c>
      <c r="AY735" s="35" t="str">
        <f aca="false">IF($B735="","",AQ735)</f>
        <v/>
      </c>
      <c r="AZ735" s="35" t="str">
        <f aca="false">IF($B735="","",AP735+AT735/2)</f>
        <v/>
      </c>
      <c r="BA735" s="35" t="str">
        <f aca="false">IF($B735="","",AK735+AN735+AM735/2+AO735+AP735+AQ735+AR735+AS735+AT735+AU735+AV735+AW735)</f>
        <v/>
      </c>
      <c r="BB735" s="35" t="str">
        <f aca="false">IF($B735="","",MAX(0,AN735-Settings!$C$16)*Settings!$C$17)</f>
        <v/>
      </c>
      <c r="BC735" s="35" t="str">
        <f aca="false">IF($B735="","",BA735-BB735)</f>
        <v/>
      </c>
      <c r="BD735" s="35" t="str">
        <f aca="false">IF(OR($B735="",$A735=""),"",DAY(EOMONTH($A735,0))-COUNTA($F735:$AJ735))</f>
        <v/>
      </c>
    </row>
    <row r="736" customFormat="false" ht="15" hidden="false" customHeight="false" outlineLevel="0" collapsed="false">
      <c r="A736" s="32"/>
      <c r="B736" s="29"/>
      <c r="C736" s="10" t="str">
        <f aca="false">IF($B736="","",IFERROR(INDEX(M_name,MATCH($B736,M_emp,0)),"Code not found"))</f>
        <v/>
      </c>
      <c r="D736" s="10" t="str">
        <f aca="false">IF($B736="","",IFERROR(INDEX(M_dept,MATCH($B736,M_emp,0)),""))</f>
        <v/>
      </c>
      <c r="E736" s="10" t="str">
        <f aca="false">IF($B736="","",IFERROR(INDEX(M_loc,MATCH($B736,M_emp,0)),""))</f>
        <v/>
      </c>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4" t="str">
        <f aca="false">IF($B736="","",COUNTIF($F736:$AJ736,"P"))</f>
        <v/>
      </c>
      <c r="AL736" s="34" t="str">
        <f aca="false">IF($B736="","",COUNTIF($F736:$AJ736,"A"))</f>
        <v/>
      </c>
      <c r="AM736" s="34" t="str">
        <f aca="false">IF($B736="","",COUNTIF($F736:$AJ736,"HA"))</f>
        <v/>
      </c>
      <c r="AN736" s="34" t="str">
        <f aca="false">IF($B736="","",COUNTIF($F736:$AJ736,"L"))</f>
        <v/>
      </c>
      <c r="AO736" s="34" t="str">
        <f aca="false">IF($B736="","",COUNTIF($F736:$AJ736,"PL"))</f>
        <v/>
      </c>
      <c r="AP736" s="34" t="str">
        <f aca="false">IF($B736="","",COUNTIF($F736:$AJ736,"CL"))</f>
        <v/>
      </c>
      <c r="AQ736" s="34" t="str">
        <f aca="false">IF($B736="","",COUNTIF($F736:$AJ736,"SL"))</f>
        <v/>
      </c>
      <c r="AR736" s="34" t="str">
        <f aca="false">IF($B736="","",COUNTIF($F736:$AJ736,"CO"))</f>
        <v/>
      </c>
      <c r="AS736" s="34" t="str">
        <f aca="false">IF($B736="","",COUNTIF($F736:$AJ736,"HPL"))</f>
        <v/>
      </c>
      <c r="AT736" s="34" t="str">
        <f aca="false">IF($B736="","",COUNTIF($F736:$AJ736,"HCL"))</f>
        <v/>
      </c>
      <c r="AU736" s="34" t="str">
        <f aca="false">IF($B736="","",COUNTIF($F736:$AJ736,"WO"))</f>
        <v/>
      </c>
      <c r="AV736" s="34" t="str">
        <f aca="false">IF($B736="","",COUNTIF($F736:$AJ736,"PH"))</f>
        <v/>
      </c>
      <c r="AW736" s="34" t="str">
        <f aca="false">IF($B736="","",COUNTIF($F736:$AJ736,"TR"))</f>
        <v/>
      </c>
      <c r="AX736" s="35" t="str">
        <f aca="false">IF($B736="","",AO736+AS736/2)</f>
        <v/>
      </c>
      <c r="AY736" s="35" t="str">
        <f aca="false">IF($B736="","",AQ736)</f>
        <v/>
      </c>
      <c r="AZ736" s="35" t="str">
        <f aca="false">IF($B736="","",AP736+AT736/2)</f>
        <v/>
      </c>
      <c r="BA736" s="35" t="str">
        <f aca="false">IF($B736="","",AK736+AN736+AM736/2+AO736+AP736+AQ736+AR736+AS736+AT736+AU736+AV736+AW736)</f>
        <v/>
      </c>
      <c r="BB736" s="35" t="str">
        <f aca="false">IF($B736="","",MAX(0,AN736-Settings!$C$16)*Settings!$C$17)</f>
        <v/>
      </c>
      <c r="BC736" s="35" t="str">
        <f aca="false">IF($B736="","",BA736-BB736)</f>
        <v/>
      </c>
      <c r="BD736" s="35" t="str">
        <f aca="false">IF(OR($B736="",$A736=""),"",DAY(EOMONTH($A736,0))-COUNTA($F736:$AJ736))</f>
        <v/>
      </c>
    </row>
    <row r="737" customFormat="false" ht="15" hidden="false" customHeight="false" outlineLevel="0" collapsed="false">
      <c r="A737" s="32"/>
      <c r="B737" s="29"/>
      <c r="C737" s="10" t="str">
        <f aca="false">IF($B737="","",IFERROR(INDEX(M_name,MATCH($B737,M_emp,0)),"Code not found"))</f>
        <v/>
      </c>
      <c r="D737" s="10" t="str">
        <f aca="false">IF($B737="","",IFERROR(INDEX(M_dept,MATCH($B737,M_emp,0)),""))</f>
        <v/>
      </c>
      <c r="E737" s="10" t="str">
        <f aca="false">IF($B737="","",IFERROR(INDEX(M_loc,MATCH($B737,M_emp,0)),""))</f>
        <v/>
      </c>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4" t="str">
        <f aca="false">IF($B737="","",COUNTIF($F737:$AJ737,"P"))</f>
        <v/>
      </c>
      <c r="AL737" s="34" t="str">
        <f aca="false">IF($B737="","",COUNTIF($F737:$AJ737,"A"))</f>
        <v/>
      </c>
      <c r="AM737" s="34" t="str">
        <f aca="false">IF($B737="","",COUNTIF($F737:$AJ737,"HA"))</f>
        <v/>
      </c>
      <c r="AN737" s="34" t="str">
        <f aca="false">IF($B737="","",COUNTIF($F737:$AJ737,"L"))</f>
        <v/>
      </c>
      <c r="AO737" s="34" t="str">
        <f aca="false">IF($B737="","",COUNTIF($F737:$AJ737,"PL"))</f>
        <v/>
      </c>
      <c r="AP737" s="34" t="str">
        <f aca="false">IF($B737="","",COUNTIF($F737:$AJ737,"CL"))</f>
        <v/>
      </c>
      <c r="AQ737" s="34" t="str">
        <f aca="false">IF($B737="","",COUNTIF($F737:$AJ737,"SL"))</f>
        <v/>
      </c>
      <c r="AR737" s="34" t="str">
        <f aca="false">IF($B737="","",COUNTIF($F737:$AJ737,"CO"))</f>
        <v/>
      </c>
      <c r="AS737" s="34" t="str">
        <f aca="false">IF($B737="","",COUNTIF($F737:$AJ737,"HPL"))</f>
        <v/>
      </c>
      <c r="AT737" s="34" t="str">
        <f aca="false">IF($B737="","",COUNTIF($F737:$AJ737,"HCL"))</f>
        <v/>
      </c>
      <c r="AU737" s="34" t="str">
        <f aca="false">IF($B737="","",COUNTIF($F737:$AJ737,"WO"))</f>
        <v/>
      </c>
      <c r="AV737" s="34" t="str">
        <f aca="false">IF($B737="","",COUNTIF($F737:$AJ737,"PH"))</f>
        <v/>
      </c>
      <c r="AW737" s="34" t="str">
        <f aca="false">IF($B737="","",COUNTIF($F737:$AJ737,"TR"))</f>
        <v/>
      </c>
      <c r="AX737" s="35" t="str">
        <f aca="false">IF($B737="","",AO737+AS737/2)</f>
        <v/>
      </c>
      <c r="AY737" s="35" t="str">
        <f aca="false">IF($B737="","",AQ737)</f>
        <v/>
      </c>
      <c r="AZ737" s="35" t="str">
        <f aca="false">IF($B737="","",AP737+AT737/2)</f>
        <v/>
      </c>
      <c r="BA737" s="35" t="str">
        <f aca="false">IF($B737="","",AK737+AN737+AM737/2+AO737+AP737+AQ737+AR737+AS737+AT737+AU737+AV737+AW737)</f>
        <v/>
      </c>
      <c r="BB737" s="35" t="str">
        <f aca="false">IF($B737="","",MAX(0,AN737-Settings!$C$16)*Settings!$C$17)</f>
        <v/>
      </c>
      <c r="BC737" s="35" t="str">
        <f aca="false">IF($B737="","",BA737-BB737)</f>
        <v/>
      </c>
      <c r="BD737" s="35" t="str">
        <f aca="false">IF(OR($B737="",$A737=""),"",DAY(EOMONTH($A737,0))-COUNTA($F737:$AJ737))</f>
        <v/>
      </c>
    </row>
    <row r="738" customFormat="false" ht="15" hidden="false" customHeight="false" outlineLevel="0" collapsed="false">
      <c r="A738" s="32"/>
      <c r="B738" s="29"/>
      <c r="C738" s="10" t="str">
        <f aca="false">IF($B738="","",IFERROR(INDEX(M_name,MATCH($B738,M_emp,0)),"Code not found"))</f>
        <v/>
      </c>
      <c r="D738" s="10" t="str">
        <f aca="false">IF($B738="","",IFERROR(INDEX(M_dept,MATCH($B738,M_emp,0)),""))</f>
        <v/>
      </c>
      <c r="E738" s="10" t="str">
        <f aca="false">IF($B738="","",IFERROR(INDEX(M_loc,MATCH($B738,M_emp,0)),""))</f>
        <v/>
      </c>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4" t="str">
        <f aca="false">IF($B738="","",COUNTIF($F738:$AJ738,"P"))</f>
        <v/>
      </c>
      <c r="AL738" s="34" t="str">
        <f aca="false">IF($B738="","",COUNTIF($F738:$AJ738,"A"))</f>
        <v/>
      </c>
      <c r="AM738" s="34" t="str">
        <f aca="false">IF($B738="","",COUNTIF($F738:$AJ738,"HA"))</f>
        <v/>
      </c>
      <c r="AN738" s="34" t="str">
        <f aca="false">IF($B738="","",COUNTIF($F738:$AJ738,"L"))</f>
        <v/>
      </c>
      <c r="AO738" s="34" t="str">
        <f aca="false">IF($B738="","",COUNTIF($F738:$AJ738,"PL"))</f>
        <v/>
      </c>
      <c r="AP738" s="34" t="str">
        <f aca="false">IF($B738="","",COUNTIF($F738:$AJ738,"CL"))</f>
        <v/>
      </c>
      <c r="AQ738" s="34" t="str">
        <f aca="false">IF($B738="","",COUNTIF($F738:$AJ738,"SL"))</f>
        <v/>
      </c>
      <c r="AR738" s="34" t="str">
        <f aca="false">IF($B738="","",COUNTIF($F738:$AJ738,"CO"))</f>
        <v/>
      </c>
      <c r="AS738" s="34" t="str">
        <f aca="false">IF($B738="","",COUNTIF($F738:$AJ738,"HPL"))</f>
        <v/>
      </c>
      <c r="AT738" s="34" t="str">
        <f aca="false">IF($B738="","",COUNTIF($F738:$AJ738,"HCL"))</f>
        <v/>
      </c>
      <c r="AU738" s="34" t="str">
        <f aca="false">IF($B738="","",COUNTIF($F738:$AJ738,"WO"))</f>
        <v/>
      </c>
      <c r="AV738" s="34" t="str">
        <f aca="false">IF($B738="","",COUNTIF($F738:$AJ738,"PH"))</f>
        <v/>
      </c>
      <c r="AW738" s="34" t="str">
        <f aca="false">IF($B738="","",COUNTIF($F738:$AJ738,"TR"))</f>
        <v/>
      </c>
      <c r="AX738" s="35" t="str">
        <f aca="false">IF($B738="","",AO738+AS738/2)</f>
        <v/>
      </c>
      <c r="AY738" s="35" t="str">
        <f aca="false">IF($B738="","",AQ738)</f>
        <v/>
      </c>
      <c r="AZ738" s="35" t="str">
        <f aca="false">IF($B738="","",AP738+AT738/2)</f>
        <v/>
      </c>
      <c r="BA738" s="35" t="str">
        <f aca="false">IF($B738="","",AK738+AN738+AM738/2+AO738+AP738+AQ738+AR738+AS738+AT738+AU738+AV738+AW738)</f>
        <v/>
      </c>
      <c r="BB738" s="35" t="str">
        <f aca="false">IF($B738="","",MAX(0,AN738-Settings!$C$16)*Settings!$C$17)</f>
        <v/>
      </c>
      <c r="BC738" s="35" t="str">
        <f aca="false">IF($B738="","",BA738-BB738)</f>
        <v/>
      </c>
      <c r="BD738" s="35" t="str">
        <f aca="false">IF(OR($B738="",$A738=""),"",DAY(EOMONTH($A738,0))-COUNTA($F738:$AJ738))</f>
        <v/>
      </c>
    </row>
    <row r="739" customFormat="false" ht="15" hidden="false" customHeight="false" outlineLevel="0" collapsed="false">
      <c r="A739" s="32"/>
      <c r="B739" s="29"/>
      <c r="C739" s="10" t="str">
        <f aca="false">IF($B739="","",IFERROR(INDEX(M_name,MATCH($B739,M_emp,0)),"Code not found"))</f>
        <v/>
      </c>
      <c r="D739" s="10" t="str">
        <f aca="false">IF($B739="","",IFERROR(INDEX(M_dept,MATCH($B739,M_emp,0)),""))</f>
        <v/>
      </c>
      <c r="E739" s="10" t="str">
        <f aca="false">IF($B739="","",IFERROR(INDEX(M_loc,MATCH($B739,M_emp,0)),""))</f>
        <v/>
      </c>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4" t="str">
        <f aca="false">IF($B739="","",COUNTIF($F739:$AJ739,"P"))</f>
        <v/>
      </c>
      <c r="AL739" s="34" t="str">
        <f aca="false">IF($B739="","",COUNTIF($F739:$AJ739,"A"))</f>
        <v/>
      </c>
      <c r="AM739" s="34" t="str">
        <f aca="false">IF($B739="","",COUNTIF($F739:$AJ739,"HA"))</f>
        <v/>
      </c>
      <c r="AN739" s="34" t="str">
        <f aca="false">IF($B739="","",COUNTIF($F739:$AJ739,"L"))</f>
        <v/>
      </c>
      <c r="AO739" s="34" t="str">
        <f aca="false">IF($B739="","",COUNTIF($F739:$AJ739,"PL"))</f>
        <v/>
      </c>
      <c r="AP739" s="34" t="str">
        <f aca="false">IF($B739="","",COUNTIF($F739:$AJ739,"CL"))</f>
        <v/>
      </c>
      <c r="AQ739" s="34" t="str">
        <f aca="false">IF($B739="","",COUNTIF($F739:$AJ739,"SL"))</f>
        <v/>
      </c>
      <c r="AR739" s="34" t="str">
        <f aca="false">IF($B739="","",COUNTIF($F739:$AJ739,"CO"))</f>
        <v/>
      </c>
      <c r="AS739" s="34" t="str">
        <f aca="false">IF($B739="","",COUNTIF($F739:$AJ739,"HPL"))</f>
        <v/>
      </c>
      <c r="AT739" s="34" t="str">
        <f aca="false">IF($B739="","",COUNTIF($F739:$AJ739,"HCL"))</f>
        <v/>
      </c>
      <c r="AU739" s="34" t="str">
        <f aca="false">IF($B739="","",COUNTIF($F739:$AJ739,"WO"))</f>
        <v/>
      </c>
      <c r="AV739" s="34" t="str">
        <f aca="false">IF($B739="","",COUNTIF($F739:$AJ739,"PH"))</f>
        <v/>
      </c>
      <c r="AW739" s="34" t="str">
        <f aca="false">IF($B739="","",COUNTIF($F739:$AJ739,"TR"))</f>
        <v/>
      </c>
      <c r="AX739" s="35" t="str">
        <f aca="false">IF($B739="","",AO739+AS739/2)</f>
        <v/>
      </c>
      <c r="AY739" s="35" t="str">
        <f aca="false">IF($B739="","",AQ739)</f>
        <v/>
      </c>
      <c r="AZ739" s="35" t="str">
        <f aca="false">IF($B739="","",AP739+AT739/2)</f>
        <v/>
      </c>
      <c r="BA739" s="35" t="str">
        <f aca="false">IF($B739="","",AK739+AN739+AM739/2+AO739+AP739+AQ739+AR739+AS739+AT739+AU739+AV739+AW739)</f>
        <v/>
      </c>
      <c r="BB739" s="35" t="str">
        <f aca="false">IF($B739="","",MAX(0,AN739-Settings!$C$16)*Settings!$C$17)</f>
        <v/>
      </c>
      <c r="BC739" s="35" t="str">
        <f aca="false">IF($B739="","",BA739-BB739)</f>
        <v/>
      </c>
      <c r="BD739" s="35" t="str">
        <f aca="false">IF(OR($B739="",$A739=""),"",DAY(EOMONTH($A739,0))-COUNTA($F739:$AJ739))</f>
        <v/>
      </c>
    </row>
    <row r="740" customFormat="false" ht="15" hidden="false" customHeight="false" outlineLevel="0" collapsed="false">
      <c r="A740" s="32"/>
      <c r="B740" s="29"/>
      <c r="C740" s="10" t="str">
        <f aca="false">IF($B740="","",IFERROR(INDEX(M_name,MATCH($B740,M_emp,0)),"Code not found"))</f>
        <v/>
      </c>
      <c r="D740" s="10" t="str">
        <f aca="false">IF($B740="","",IFERROR(INDEX(M_dept,MATCH($B740,M_emp,0)),""))</f>
        <v/>
      </c>
      <c r="E740" s="10" t="str">
        <f aca="false">IF($B740="","",IFERROR(INDEX(M_loc,MATCH($B740,M_emp,0)),""))</f>
        <v/>
      </c>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4" t="str">
        <f aca="false">IF($B740="","",COUNTIF($F740:$AJ740,"P"))</f>
        <v/>
      </c>
      <c r="AL740" s="34" t="str">
        <f aca="false">IF($B740="","",COUNTIF($F740:$AJ740,"A"))</f>
        <v/>
      </c>
      <c r="AM740" s="34" t="str">
        <f aca="false">IF($B740="","",COUNTIF($F740:$AJ740,"HA"))</f>
        <v/>
      </c>
      <c r="AN740" s="34" t="str">
        <f aca="false">IF($B740="","",COUNTIF($F740:$AJ740,"L"))</f>
        <v/>
      </c>
      <c r="AO740" s="34" t="str">
        <f aca="false">IF($B740="","",COUNTIF($F740:$AJ740,"PL"))</f>
        <v/>
      </c>
      <c r="AP740" s="34" t="str">
        <f aca="false">IF($B740="","",COUNTIF($F740:$AJ740,"CL"))</f>
        <v/>
      </c>
      <c r="AQ740" s="34" t="str">
        <f aca="false">IF($B740="","",COUNTIF($F740:$AJ740,"SL"))</f>
        <v/>
      </c>
      <c r="AR740" s="34" t="str">
        <f aca="false">IF($B740="","",COUNTIF($F740:$AJ740,"CO"))</f>
        <v/>
      </c>
      <c r="AS740" s="34" t="str">
        <f aca="false">IF($B740="","",COUNTIF($F740:$AJ740,"HPL"))</f>
        <v/>
      </c>
      <c r="AT740" s="34" t="str">
        <f aca="false">IF($B740="","",COUNTIF($F740:$AJ740,"HCL"))</f>
        <v/>
      </c>
      <c r="AU740" s="34" t="str">
        <f aca="false">IF($B740="","",COUNTIF($F740:$AJ740,"WO"))</f>
        <v/>
      </c>
      <c r="AV740" s="34" t="str">
        <f aca="false">IF($B740="","",COUNTIF($F740:$AJ740,"PH"))</f>
        <v/>
      </c>
      <c r="AW740" s="34" t="str">
        <f aca="false">IF($B740="","",COUNTIF($F740:$AJ740,"TR"))</f>
        <v/>
      </c>
      <c r="AX740" s="35" t="str">
        <f aca="false">IF($B740="","",AO740+AS740/2)</f>
        <v/>
      </c>
      <c r="AY740" s="35" t="str">
        <f aca="false">IF($B740="","",AQ740)</f>
        <v/>
      </c>
      <c r="AZ740" s="35" t="str">
        <f aca="false">IF($B740="","",AP740+AT740/2)</f>
        <v/>
      </c>
      <c r="BA740" s="35" t="str">
        <f aca="false">IF($B740="","",AK740+AN740+AM740/2+AO740+AP740+AQ740+AR740+AS740+AT740+AU740+AV740+AW740)</f>
        <v/>
      </c>
      <c r="BB740" s="35" t="str">
        <f aca="false">IF($B740="","",MAX(0,AN740-Settings!$C$16)*Settings!$C$17)</f>
        <v/>
      </c>
      <c r="BC740" s="35" t="str">
        <f aca="false">IF($B740="","",BA740-BB740)</f>
        <v/>
      </c>
      <c r="BD740" s="35" t="str">
        <f aca="false">IF(OR($B740="",$A740=""),"",DAY(EOMONTH($A740,0))-COUNTA($F740:$AJ740))</f>
        <v/>
      </c>
    </row>
    <row r="741" customFormat="false" ht="15" hidden="false" customHeight="false" outlineLevel="0" collapsed="false">
      <c r="A741" s="32"/>
      <c r="B741" s="29"/>
      <c r="C741" s="10" t="str">
        <f aca="false">IF($B741="","",IFERROR(INDEX(M_name,MATCH($B741,M_emp,0)),"Code not found"))</f>
        <v/>
      </c>
      <c r="D741" s="10" t="str">
        <f aca="false">IF($B741="","",IFERROR(INDEX(M_dept,MATCH($B741,M_emp,0)),""))</f>
        <v/>
      </c>
      <c r="E741" s="10" t="str">
        <f aca="false">IF($B741="","",IFERROR(INDEX(M_loc,MATCH($B741,M_emp,0)),""))</f>
        <v/>
      </c>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4" t="str">
        <f aca="false">IF($B741="","",COUNTIF($F741:$AJ741,"P"))</f>
        <v/>
      </c>
      <c r="AL741" s="34" t="str">
        <f aca="false">IF($B741="","",COUNTIF($F741:$AJ741,"A"))</f>
        <v/>
      </c>
      <c r="AM741" s="34" t="str">
        <f aca="false">IF($B741="","",COUNTIF($F741:$AJ741,"HA"))</f>
        <v/>
      </c>
      <c r="AN741" s="34" t="str">
        <f aca="false">IF($B741="","",COUNTIF($F741:$AJ741,"L"))</f>
        <v/>
      </c>
      <c r="AO741" s="34" t="str">
        <f aca="false">IF($B741="","",COUNTIF($F741:$AJ741,"PL"))</f>
        <v/>
      </c>
      <c r="AP741" s="34" t="str">
        <f aca="false">IF($B741="","",COUNTIF($F741:$AJ741,"CL"))</f>
        <v/>
      </c>
      <c r="AQ741" s="34" t="str">
        <f aca="false">IF($B741="","",COUNTIF($F741:$AJ741,"SL"))</f>
        <v/>
      </c>
      <c r="AR741" s="34" t="str">
        <f aca="false">IF($B741="","",COUNTIF($F741:$AJ741,"CO"))</f>
        <v/>
      </c>
      <c r="AS741" s="34" t="str">
        <f aca="false">IF($B741="","",COUNTIF($F741:$AJ741,"HPL"))</f>
        <v/>
      </c>
      <c r="AT741" s="34" t="str">
        <f aca="false">IF($B741="","",COUNTIF($F741:$AJ741,"HCL"))</f>
        <v/>
      </c>
      <c r="AU741" s="34" t="str">
        <f aca="false">IF($B741="","",COUNTIF($F741:$AJ741,"WO"))</f>
        <v/>
      </c>
      <c r="AV741" s="34" t="str">
        <f aca="false">IF($B741="","",COUNTIF($F741:$AJ741,"PH"))</f>
        <v/>
      </c>
      <c r="AW741" s="34" t="str">
        <f aca="false">IF($B741="","",COUNTIF($F741:$AJ741,"TR"))</f>
        <v/>
      </c>
      <c r="AX741" s="35" t="str">
        <f aca="false">IF($B741="","",AO741+AS741/2)</f>
        <v/>
      </c>
      <c r="AY741" s="35" t="str">
        <f aca="false">IF($B741="","",AQ741)</f>
        <v/>
      </c>
      <c r="AZ741" s="35" t="str">
        <f aca="false">IF($B741="","",AP741+AT741/2)</f>
        <v/>
      </c>
      <c r="BA741" s="35" t="str">
        <f aca="false">IF($B741="","",AK741+AN741+AM741/2+AO741+AP741+AQ741+AR741+AS741+AT741+AU741+AV741+AW741)</f>
        <v/>
      </c>
      <c r="BB741" s="35" t="str">
        <f aca="false">IF($B741="","",MAX(0,AN741-Settings!$C$16)*Settings!$C$17)</f>
        <v/>
      </c>
      <c r="BC741" s="35" t="str">
        <f aca="false">IF($B741="","",BA741-BB741)</f>
        <v/>
      </c>
      <c r="BD741" s="35" t="str">
        <f aca="false">IF(OR($B741="",$A741=""),"",DAY(EOMONTH($A741,0))-COUNTA($F741:$AJ741))</f>
        <v/>
      </c>
    </row>
    <row r="742" customFormat="false" ht="15" hidden="false" customHeight="false" outlineLevel="0" collapsed="false">
      <c r="A742" s="32"/>
      <c r="B742" s="29"/>
      <c r="C742" s="10" t="str">
        <f aca="false">IF($B742="","",IFERROR(INDEX(M_name,MATCH($B742,M_emp,0)),"Code not found"))</f>
        <v/>
      </c>
      <c r="D742" s="10" t="str">
        <f aca="false">IF($B742="","",IFERROR(INDEX(M_dept,MATCH($B742,M_emp,0)),""))</f>
        <v/>
      </c>
      <c r="E742" s="10" t="str">
        <f aca="false">IF($B742="","",IFERROR(INDEX(M_loc,MATCH($B742,M_emp,0)),""))</f>
        <v/>
      </c>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4" t="str">
        <f aca="false">IF($B742="","",COUNTIF($F742:$AJ742,"P"))</f>
        <v/>
      </c>
      <c r="AL742" s="34" t="str">
        <f aca="false">IF($B742="","",COUNTIF($F742:$AJ742,"A"))</f>
        <v/>
      </c>
      <c r="AM742" s="34" t="str">
        <f aca="false">IF($B742="","",COUNTIF($F742:$AJ742,"HA"))</f>
        <v/>
      </c>
      <c r="AN742" s="34" t="str">
        <f aca="false">IF($B742="","",COUNTIF($F742:$AJ742,"L"))</f>
        <v/>
      </c>
      <c r="AO742" s="34" t="str">
        <f aca="false">IF($B742="","",COUNTIF($F742:$AJ742,"PL"))</f>
        <v/>
      </c>
      <c r="AP742" s="34" t="str">
        <f aca="false">IF($B742="","",COUNTIF($F742:$AJ742,"CL"))</f>
        <v/>
      </c>
      <c r="AQ742" s="34" t="str">
        <f aca="false">IF($B742="","",COUNTIF($F742:$AJ742,"SL"))</f>
        <v/>
      </c>
      <c r="AR742" s="34" t="str">
        <f aca="false">IF($B742="","",COUNTIF($F742:$AJ742,"CO"))</f>
        <v/>
      </c>
      <c r="AS742" s="34" t="str">
        <f aca="false">IF($B742="","",COUNTIF($F742:$AJ742,"HPL"))</f>
        <v/>
      </c>
      <c r="AT742" s="34" t="str">
        <f aca="false">IF($B742="","",COUNTIF($F742:$AJ742,"HCL"))</f>
        <v/>
      </c>
      <c r="AU742" s="34" t="str">
        <f aca="false">IF($B742="","",COUNTIF($F742:$AJ742,"WO"))</f>
        <v/>
      </c>
      <c r="AV742" s="34" t="str">
        <f aca="false">IF($B742="","",COUNTIF($F742:$AJ742,"PH"))</f>
        <v/>
      </c>
      <c r="AW742" s="34" t="str">
        <f aca="false">IF($B742="","",COUNTIF($F742:$AJ742,"TR"))</f>
        <v/>
      </c>
      <c r="AX742" s="35" t="str">
        <f aca="false">IF($B742="","",AO742+AS742/2)</f>
        <v/>
      </c>
      <c r="AY742" s="35" t="str">
        <f aca="false">IF($B742="","",AQ742)</f>
        <v/>
      </c>
      <c r="AZ742" s="35" t="str">
        <f aca="false">IF($B742="","",AP742+AT742/2)</f>
        <v/>
      </c>
      <c r="BA742" s="35" t="str">
        <f aca="false">IF($B742="","",AK742+AN742+AM742/2+AO742+AP742+AQ742+AR742+AS742+AT742+AU742+AV742+AW742)</f>
        <v/>
      </c>
      <c r="BB742" s="35" t="str">
        <f aca="false">IF($B742="","",MAX(0,AN742-Settings!$C$16)*Settings!$C$17)</f>
        <v/>
      </c>
      <c r="BC742" s="35" t="str">
        <f aca="false">IF($B742="","",BA742-BB742)</f>
        <v/>
      </c>
      <c r="BD742" s="35" t="str">
        <f aca="false">IF(OR($B742="",$A742=""),"",DAY(EOMONTH($A742,0))-COUNTA($F742:$AJ742))</f>
        <v/>
      </c>
    </row>
    <row r="743" customFormat="false" ht="15" hidden="false" customHeight="false" outlineLevel="0" collapsed="false">
      <c r="A743" s="32"/>
      <c r="B743" s="29"/>
      <c r="C743" s="10" t="str">
        <f aca="false">IF($B743="","",IFERROR(INDEX(M_name,MATCH($B743,M_emp,0)),"Code not found"))</f>
        <v/>
      </c>
      <c r="D743" s="10" t="str">
        <f aca="false">IF($B743="","",IFERROR(INDEX(M_dept,MATCH($B743,M_emp,0)),""))</f>
        <v/>
      </c>
      <c r="E743" s="10" t="str">
        <f aca="false">IF($B743="","",IFERROR(INDEX(M_loc,MATCH($B743,M_emp,0)),""))</f>
        <v/>
      </c>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4" t="str">
        <f aca="false">IF($B743="","",COUNTIF($F743:$AJ743,"P"))</f>
        <v/>
      </c>
      <c r="AL743" s="34" t="str">
        <f aca="false">IF($B743="","",COUNTIF($F743:$AJ743,"A"))</f>
        <v/>
      </c>
      <c r="AM743" s="34" t="str">
        <f aca="false">IF($B743="","",COUNTIF($F743:$AJ743,"HA"))</f>
        <v/>
      </c>
      <c r="AN743" s="34" t="str">
        <f aca="false">IF($B743="","",COUNTIF($F743:$AJ743,"L"))</f>
        <v/>
      </c>
      <c r="AO743" s="34" t="str">
        <f aca="false">IF($B743="","",COUNTIF($F743:$AJ743,"PL"))</f>
        <v/>
      </c>
      <c r="AP743" s="34" t="str">
        <f aca="false">IF($B743="","",COUNTIF($F743:$AJ743,"CL"))</f>
        <v/>
      </c>
      <c r="AQ743" s="34" t="str">
        <f aca="false">IF($B743="","",COUNTIF($F743:$AJ743,"SL"))</f>
        <v/>
      </c>
      <c r="AR743" s="34" t="str">
        <f aca="false">IF($B743="","",COUNTIF($F743:$AJ743,"CO"))</f>
        <v/>
      </c>
      <c r="AS743" s="34" t="str">
        <f aca="false">IF($B743="","",COUNTIF($F743:$AJ743,"HPL"))</f>
        <v/>
      </c>
      <c r="AT743" s="34" t="str">
        <f aca="false">IF($B743="","",COUNTIF($F743:$AJ743,"HCL"))</f>
        <v/>
      </c>
      <c r="AU743" s="34" t="str">
        <f aca="false">IF($B743="","",COUNTIF($F743:$AJ743,"WO"))</f>
        <v/>
      </c>
      <c r="AV743" s="34" t="str">
        <f aca="false">IF($B743="","",COUNTIF($F743:$AJ743,"PH"))</f>
        <v/>
      </c>
      <c r="AW743" s="34" t="str">
        <f aca="false">IF($B743="","",COUNTIF($F743:$AJ743,"TR"))</f>
        <v/>
      </c>
      <c r="AX743" s="35" t="str">
        <f aca="false">IF($B743="","",AO743+AS743/2)</f>
        <v/>
      </c>
      <c r="AY743" s="35" t="str">
        <f aca="false">IF($B743="","",AQ743)</f>
        <v/>
      </c>
      <c r="AZ743" s="35" t="str">
        <f aca="false">IF($B743="","",AP743+AT743/2)</f>
        <v/>
      </c>
      <c r="BA743" s="35" t="str">
        <f aca="false">IF($B743="","",AK743+AN743+AM743/2+AO743+AP743+AQ743+AR743+AS743+AT743+AU743+AV743+AW743)</f>
        <v/>
      </c>
      <c r="BB743" s="35" t="str">
        <f aca="false">IF($B743="","",MAX(0,AN743-Settings!$C$16)*Settings!$C$17)</f>
        <v/>
      </c>
      <c r="BC743" s="35" t="str">
        <f aca="false">IF($B743="","",BA743-BB743)</f>
        <v/>
      </c>
      <c r="BD743" s="35" t="str">
        <f aca="false">IF(OR($B743="",$A743=""),"",DAY(EOMONTH($A743,0))-COUNTA($F743:$AJ743))</f>
        <v/>
      </c>
    </row>
    <row r="744" customFormat="false" ht="15" hidden="false" customHeight="false" outlineLevel="0" collapsed="false">
      <c r="A744" s="32"/>
      <c r="B744" s="29"/>
      <c r="C744" s="10" t="str">
        <f aca="false">IF($B744="","",IFERROR(INDEX(M_name,MATCH($B744,M_emp,0)),"Code not found"))</f>
        <v/>
      </c>
      <c r="D744" s="10" t="str">
        <f aca="false">IF($B744="","",IFERROR(INDEX(M_dept,MATCH($B744,M_emp,0)),""))</f>
        <v/>
      </c>
      <c r="E744" s="10" t="str">
        <f aca="false">IF($B744="","",IFERROR(INDEX(M_loc,MATCH($B744,M_emp,0)),""))</f>
        <v/>
      </c>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4" t="str">
        <f aca="false">IF($B744="","",COUNTIF($F744:$AJ744,"P"))</f>
        <v/>
      </c>
      <c r="AL744" s="34" t="str">
        <f aca="false">IF($B744="","",COUNTIF($F744:$AJ744,"A"))</f>
        <v/>
      </c>
      <c r="AM744" s="34" t="str">
        <f aca="false">IF($B744="","",COUNTIF($F744:$AJ744,"HA"))</f>
        <v/>
      </c>
      <c r="AN744" s="34" t="str">
        <f aca="false">IF($B744="","",COUNTIF($F744:$AJ744,"L"))</f>
        <v/>
      </c>
      <c r="AO744" s="34" t="str">
        <f aca="false">IF($B744="","",COUNTIF($F744:$AJ744,"PL"))</f>
        <v/>
      </c>
      <c r="AP744" s="34" t="str">
        <f aca="false">IF($B744="","",COUNTIF($F744:$AJ744,"CL"))</f>
        <v/>
      </c>
      <c r="AQ744" s="34" t="str">
        <f aca="false">IF($B744="","",COUNTIF($F744:$AJ744,"SL"))</f>
        <v/>
      </c>
      <c r="AR744" s="34" t="str">
        <f aca="false">IF($B744="","",COUNTIF($F744:$AJ744,"CO"))</f>
        <v/>
      </c>
      <c r="AS744" s="34" t="str">
        <f aca="false">IF($B744="","",COUNTIF($F744:$AJ744,"HPL"))</f>
        <v/>
      </c>
      <c r="AT744" s="34" t="str">
        <f aca="false">IF($B744="","",COUNTIF($F744:$AJ744,"HCL"))</f>
        <v/>
      </c>
      <c r="AU744" s="34" t="str">
        <f aca="false">IF($B744="","",COUNTIF($F744:$AJ744,"WO"))</f>
        <v/>
      </c>
      <c r="AV744" s="34" t="str">
        <f aca="false">IF($B744="","",COUNTIF($F744:$AJ744,"PH"))</f>
        <v/>
      </c>
      <c r="AW744" s="34" t="str">
        <f aca="false">IF($B744="","",COUNTIF($F744:$AJ744,"TR"))</f>
        <v/>
      </c>
      <c r="AX744" s="35" t="str">
        <f aca="false">IF($B744="","",AO744+AS744/2)</f>
        <v/>
      </c>
      <c r="AY744" s="35" t="str">
        <f aca="false">IF($B744="","",AQ744)</f>
        <v/>
      </c>
      <c r="AZ744" s="35" t="str">
        <f aca="false">IF($B744="","",AP744+AT744/2)</f>
        <v/>
      </c>
      <c r="BA744" s="35" t="str">
        <f aca="false">IF($B744="","",AK744+AN744+AM744/2+AO744+AP744+AQ744+AR744+AS744+AT744+AU744+AV744+AW744)</f>
        <v/>
      </c>
      <c r="BB744" s="35" t="str">
        <f aca="false">IF($B744="","",MAX(0,AN744-Settings!$C$16)*Settings!$C$17)</f>
        <v/>
      </c>
      <c r="BC744" s="35" t="str">
        <f aca="false">IF($B744="","",BA744-BB744)</f>
        <v/>
      </c>
      <c r="BD744" s="35" t="str">
        <f aca="false">IF(OR($B744="",$A744=""),"",DAY(EOMONTH($A744,0))-COUNTA($F744:$AJ744))</f>
        <v/>
      </c>
    </row>
    <row r="745" customFormat="false" ht="15" hidden="false" customHeight="false" outlineLevel="0" collapsed="false">
      <c r="A745" s="32"/>
      <c r="B745" s="29"/>
      <c r="C745" s="10" t="str">
        <f aca="false">IF($B745="","",IFERROR(INDEX(M_name,MATCH($B745,M_emp,0)),"Code not found"))</f>
        <v/>
      </c>
      <c r="D745" s="10" t="str">
        <f aca="false">IF($B745="","",IFERROR(INDEX(M_dept,MATCH($B745,M_emp,0)),""))</f>
        <v/>
      </c>
      <c r="E745" s="10" t="str">
        <f aca="false">IF($B745="","",IFERROR(INDEX(M_loc,MATCH($B745,M_emp,0)),""))</f>
        <v/>
      </c>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4" t="str">
        <f aca="false">IF($B745="","",COUNTIF($F745:$AJ745,"P"))</f>
        <v/>
      </c>
      <c r="AL745" s="34" t="str">
        <f aca="false">IF($B745="","",COUNTIF($F745:$AJ745,"A"))</f>
        <v/>
      </c>
      <c r="AM745" s="34" t="str">
        <f aca="false">IF($B745="","",COUNTIF($F745:$AJ745,"HA"))</f>
        <v/>
      </c>
      <c r="AN745" s="34" t="str">
        <f aca="false">IF($B745="","",COUNTIF($F745:$AJ745,"L"))</f>
        <v/>
      </c>
      <c r="AO745" s="34" t="str">
        <f aca="false">IF($B745="","",COUNTIF($F745:$AJ745,"PL"))</f>
        <v/>
      </c>
      <c r="AP745" s="34" t="str">
        <f aca="false">IF($B745="","",COUNTIF($F745:$AJ745,"CL"))</f>
        <v/>
      </c>
      <c r="AQ745" s="34" t="str">
        <f aca="false">IF($B745="","",COUNTIF($F745:$AJ745,"SL"))</f>
        <v/>
      </c>
      <c r="AR745" s="34" t="str">
        <f aca="false">IF($B745="","",COUNTIF($F745:$AJ745,"CO"))</f>
        <v/>
      </c>
      <c r="AS745" s="34" t="str">
        <f aca="false">IF($B745="","",COUNTIF($F745:$AJ745,"HPL"))</f>
        <v/>
      </c>
      <c r="AT745" s="34" t="str">
        <f aca="false">IF($B745="","",COUNTIF($F745:$AJ745,"HCL"))</f>
        <v/>
      </c>
      <c r="AU745" s="34" t="str">
        <f aca="false">IF($B745="","",COUNTIF($F745:$AJ745,"WO"))</f>
        <v/>
      </c>
      <c r="AV745" s="34" t="str">
        <f aca="false">IF($B745="","",COUNTIF($F745:$AJ745,"PH"))</f>
        <v/>
      </c>
      <c r="AW745" s="34" t="str">
        <f aca="false">IF($B745="","",COUNTIF($F745:$AJ745,"TR"))</f>
        <v/>
      </c>
      <c r="AX745" s="35" t="str">
        <f aca="false">IF($B745="","",AO745+AS745/2)</f>
        <v/>
      </c>
      <c r="AY745" s="35" t="str">
        <f aca="false">IF($B745="","",AQ745)</f>
        <v/>
      </c>
      <c r="AZ745" s="35" t="str">
        <f aca="false">IF($B745="","",AP745+AT745/2)</f>
        <v/>
      </c>
      <c r="BA745" s="35" t="str">
        <f aca="false">IF($B745="","",AK745+AN745+AM745/2+AO745+AP745+AQ745+AR745+AS745+AT745+AU745+AV745+AW745)</f>
        <v/>
      </c>
      <c r="BB745" s="35" t="str">
        <f aca="false">IF($B745="","",MAX(0,AN745-Settings!$C$16)*Settings!$C$17)</f>
        <v/>
      </c>
      <c r="BC745" s="35" t="str">
        <f aca="false">IF($B745="","",BA745-BB745)</f>
        <v/>
      </c>
      <c r="BD745" s="35" t="str">
        <f aca="false">IF(OR($B745="",$A745=""),"",DAY(EOMONTH($A745,0))-COUNTA($F745:$AJ745))</f>
        <v/>
      </c>
    </row>
    <row r="746" customFormat="false" ht="15" hidden="false" customHeight="false" outlineLevel="0" collapsed="false">
      <c r="A746" s="32"/>
      <c r="B746" s="29"/>
      <c r="C746" s="10" t="str">
        <f aca="false">IF($B746="","",IFERROR(INDEX(M_name,MATCH($B746,M_emp,0)),"Code not found"))</f>
        <v/>
      </c>
      <c r="D746" s="10" t="str">
        <f aca="false">IF($B746="","",IFERROR(INDEX(M_dept,MATCH($B746,M_emp,0)),""))</f>
        <v/>
      </c>
      <c r="E746" s="10" t="str">
        <f aca="false">IF($B746="","",IFERROR(INDEX(M_loc,MATCH($B746,M_emp,0)),""))</f>
        <v/>
      </c>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4" t="str">
        <f aca="false">IF($B746="","",COUNTIF($F746:$AJ746,"P"))</f>
        <v/>
      </c>
      <c r="AL746" s="34" t="str">
        <f aca="false">IF($B746="","",COUNTIF($F746:$AJ746,"A"))</f>
        <v/>
      </c>
      <c r="AM746" s="34" t="str">
        <f aca="false">IF($B746="","",COUNTIF($F746:$AJ746,"HA"))</f>
        <v/>
      </c>
      <c r="AN746" s="34" t="str">
        <f aca="false">IF($B746="","",COUNTIF($F746:$AJ746,"L"))</f>
        <v/>
      </c>
      <c r="AO746" s="34" t="str">
        <f aca="false">IF($B746="","",COUNTIF($F746:$AJ746,"PL"))</f>
        <v/>
      </c>
      <c r="AP746" s="34" t="str">
        <f aca="false">IF($B746="","",COUNTIF($F746:$AJ746,"CL"))</f>
        <v/>
      </c>
      <c r="AQ746" s="34" t="str">
        <f aca="false">IF($B746="","",COUNTIF($F746:$AJ746,"SL"))</f>
        <v/>
      </c>
      <c r="AR746" s="34" t="str">
        <f aca="false">IF($B746="","",COUNTIF($F746:$AJ746,"CO"))</f>
        <v/>
      </c>
      <c r="AS746" s="34" t="str">
        <f aca="false">IF($B746="","",COUNTIF($F746:$AJ746,"HPL"))</f>
        <v/>
      </c>
      <c r="AT746" s="34" t="str">
        <f aca="false">IF($B746="","",COUNTIF($F746:$AJ746,"HCL"))</f>
        <v/>
      </c>
      <c r="AU746" s="34" t="str">
        <f aca="false">IF($B746="","",COUNTIF($F746:$AJ746,"WO"))</f>
        <v/>
      </c>
      <c r="AV746" s="34" t="str">
        <f aca="false">IF($B746="","",COUNTIF($F746:$AJ746,"PH"))</f>
        <v/>
      </c>
      <c r="AW746" s="34" t="str">
        <f aca="false">IF($B746="","",COUNTIF($F746:$AJ746,"TR"))</f>
        <v/>
      </c>
      <c r="AX746" s="35" t="str">
        <f aca="false">IF($B746="","",AO746+AS746/2)</f>
        <v/>
      </c>
      <c r="AY746" s="35" t="str">
        <f aca="false">IF($B746="","",AQ746)</f>
        <v/>
      </c>
      <c r="AZ746" s="35" t="str">
        <f aca="false">IF($B746="","",AP746+AT746/2)</f>
        <v/>
      </c>
      <c r="BA746" s="35" t="str">
        <f aca="false">IF($B746="","",AK746+AN746+AM746/2+AO746+AP746+AQ746+AR746+AS746+AT746+AU746+AV746+AW746)</f>
        <v/>
      </c>
      <c r="BB746" s="35" t="str">
        <f aca="false">IF($B746="","",MAX(0,AN746-Settings!$C$16)*Settings!$C$17)</f>
        <v/>
      </c>
      <c r="BC746" s="35" t="str">
        <f aca="false">IF($B746="","",BA746-BB746)</f>
        <v/>
      </c>
      <c r="BD746" s="35" t="str">
        <f aca="false">IF(OR($B746="",$A746=""),"",DAY(EOMONTH($A746,0))-COUNTA($F746:$AJ746))</f>
        <v/>
      </c>
    </row>
    <row r="747" customFormat="false" ht="15" hidden="false" customHeight="false" outlineLevel="0" collapsed="false">
      <c r="A747" s="32"/>
      <c r="B747" s="29"/>
      <c r="C747" s="10" t="str">
        <f aca="false">IF($B747="","",IFERROR(INDEX(M_name,MATCH($B747,M_emp,0)),"Code not found"))</f>
        <v/>
      </c>
      <c r="D747" s="10" t="str">
        <f aca="false">IF($B747="","",IFERROR(INDEX(M_dept,MATCH($B747,M_emp,0)),""))</f>
        <v/>
      </c>
      <c r="E747" s="10" t="str">
        <f aca="false">IF($B747="","",IFERROR(INDEX(M_loc,MATCH($B747,M_emp,0)),""))</f>
        <v/>
      </c>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4" t="str">
        <f aca="false">IF($B747="","",COUNTIF($F747:$AJ747,"P"))</f>
        <v/>
      </c>
      <c r="AL747" s="34" t="str">
        <f aca="false">IF($B747="","",COUNTIF($F747:$AJ747,"A"))</f>
        <v/>
      </c>
      <c r="AM747" s="34" t="str">
        <f aca="false">IF($B747="","",COUNTIF($F747:$AJ747,"HA"))</f>
        <v/>
      </c>
      <c r="AN747" s="34" t="str">
        <f aca="false">IF($B747="","",COUNTIF($F747:$AJ747,"L"))</f>
        <v/>
      </c>
      <c r="AO747" s="34" t="str">
        <f aca="false">IF($B747="","",COUNTIF($F747:$AJ747,"PL"))</f>
        <v/>
      </c>
      <c r="AP747" s="34" t="str">
        <f aca="false">IF($B747="","",COUNTIF($F747:$AJ747,"CL"))</f>
        <v/>
      </c>
      <c r="AQ747" s="34" t="str">
        <f aca="false">IF($B747="","",COUNTIF($F747:$AJ747,"SL"))</f>
        <v/>
      </c>
      <c r="AR747" s="34" t="str">
        <f aca="false">IF($B747="","",COUNTIF($F747:$AJ747,"CO"))</f>
        <v/>
      </c>
      <c r="AS747" s="34" t="str">
        <f aca="false">IF($B747="","",COUNTIF($F747:$AJ747,"HPL"))</f>
        <v/>
      </c>
      <c r="AT747" s="34" t="str">
        <f aca="false">IF($B747="","",COUNTIF($F747:$AJ747,"HCL"))</f>
        <v/>
      </c>
      <c r="AU747" s="34" t="str">
        <f aca="false">IF($B747="","",COUNTIF($F747:$AJ747,"WO"))</f>
        <v/>
      </c>
      <c r="AV747" s="34" t="str">
        <f aca="false">IF($B747="","",COUNTIF($F747:$AJ747,"PH"))</f>
        <v/>
      </c>
      <c r="AW747" s="34" t="str">
        <f aca="false">IF($B747="","",COUNTIF($F747:$AJ747,"TR"))</f>
        <v/>
      </c>
      <c r="AX747" s="35" t="str">
        <f aca="false">IF($B747="","",AO747+AS747/2)</f>
        <v/>
      </c>
      <c r="AY747" s="35" t="str">
        <f aca="false">IF($B747="","",AQ747)</f>
        <v/>
      </c>
      <c r="AZ747" s="35" t="str">
        <f aca="false">IF($B747="","",AP747+AT747/2)</f>
        <v/>
      </c>
      <c r="BA747" s="35" t="str">
        <f aca="false">IF($B747="","",AK747+AN747+AM747/2+AO747+AP747+AQ747+AR747+AS747+AT747+AU747+AV747+AW747)</f>
        <v/>
      </c>
      <c r="BB747" s="35" t="str">
        <f aca="false">IF($B747="","",MAX(0,AN747-Settings!$C$16)*Settings!$C$17)</f>
        <v/>
      </c>
      <c r="BC747" s="35" t="str">
        <f aca="false">IF($B747="","",BA747-BB747)</f>
        <v/>
      </c>
      <c r="BD747" s="35" t="str">
        <f aca="false">IF(OR($B747="",$A747=""),"",DAY(EOMONTH($A747,0))-COUNTA($F747:$AJ747))</f>
        <v/>
      </c>
    </row>
    <row r="748" customFormat="false" ht="15" hidden="false" customHeight="false" outlineLevel="0" collapsed="false">
      <c r="A748" s="32"/>
      <c r="B748" s="29"/>
      <c r="C748" s="10" t="str">
        <f aca="false">IF($B748="","",IFERROR(INDEX(M_name,MATCH($B748,M_emp,0)),"Code not found"))</f>
        <v/>
      </c>
      <c r="D748" s="10" t="str">
        <f aca="false">IF($B748="","",IFERROR(INDEX(M_dept,MATCH($B748,M_emp,0)),""))</f>
        <v/>
      </c>
      <c r="E748" s="10" t="str">
        <f aca="false">IF($B748="","",IFERROR(INDEX(M_loc,MATCH($B748,M_emp,0)),""))</f>
        <v/>
      </c>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4" t="str">
        <f aca="false">IF($B748="","",COUNTIF($F748:$AJ748,"P"))</f>
        <v/>
      </c>
      <c r="AL748" s="34" t="str">
        <f aca="false">IF($B748="","",COUNTIF($F748:$AJ748,"A"))</f>
        <v/>
      </c>
      <c r="AM748" s="34" t="str">
        <f aca="false">IF($B748="","",COUNTIF($F748:$AJ748,"HA"))</f>
        <v/>
      </c>
      <c r="AN748" s="34" t="str">
        <f aca="false">IF($B748="","",COUNTIF($F748:$AJ748,"L"))</f>
        <v/>
      </c>
      <c r="AO748" s="34" t="str">
        <f aca="false">IF($B748="","",COUNTIF($F748:$AJ748,"PL"))</f>
        <v/>
      </c>
      <c r="AP748" s="34" t="str">
        <f aca="false">IF($B748="","",COUNTIF($F748:$AJ748,"CL"))</f>
        <v/>
      </c>
      <c r="AQ748" s="34" t="str">
        <f aca="false">IF($B748="","",COUNTIF($F748:$AJ748,"SL"))</f>
        <v/>
      </c>
      <c r="AR748" s="34" t="str">
        <f aca="false">IF($B748="","",COUNTIF($F748:$AJ748,"CO"))</f>
        <v/>
      </c>
      <c r="AS748" s="34" t="str">
        <f aca="false">IF($B748="","",COUNTIF($F748:$AJ748,"HPL"))</f>
        <v/>
      </c>
      <c r="AT748" s="34" t="str">
        <f aca="false">IF($B748="","",COUNTIF($F748:$AJ748,"HCL"))</f>
        <v/>
      </c>
      <c r="AU748" s="34" t="str">
        <f aca="false">IF($B748="","",COUNTIF($F748:$AJ748,"WO"))</f>
        <v/>
      </c>
      <c r="AV748" s="34" t="str">
        <f aca="false">IF($B748="","",COUNTIF($F748:$AJ748,"PH"))</f>
        <v/>
      </c>
      <c r="AW748" s="34" t="str">
        <f aca="false">IF($B748="","",COUNTIF($F748:$AJ748,"TR"))</f>
        <v/>
      </c>
      <c r="AX748" s="35" t="str">
        <f aca="false">IF($B748="","",AO748+AS748/2)</f>
        <v/>
      </c>
      <c r="AY748" s="35" t="str">
        <f aca="false">IF($B748="","",AQ748)</f>
        <v/>
      </c>
      <c r="AZ748" s="35" t="str">
        <f aca="false">IF($B748="","",AP748+AT748/2)</f>
        <v/>
      </c>
      <c r="BA748" s="35" t="str">
        <f aca="false">IF($B748="","",AK748+AN748+AM748/2+AO748+AP748+AQ748+AR748+AS748+AT748+AU748+AV748+AW748)</f>
        <v/>
      </c>
      <c r="BB748" s="35" t="str">
        <f aca="false">IF($B748="","",MAX(0,AN748-Settings!$C$16)*Settings!$C$17)</f>
        <v/>
      </c>
      <c r="BC748" s="35" t="str">
        <f aca="false">IF($B748="","",BA748-BB748)</f>
        <v/>
      </c>
      <c r="BD748" s="35" t="str">
        <f aca="false">IF(OR($B748="",$A748=""),"",DAY(EOMONTH($A748,0))-COUNTA($F748:$AJ748))</f>
        <v/>
      </c>
    </row>
    <row r="749" customFormat="false" ht="15" hidden="false" customHeight="false" outlineLevel="0" collapsed="false">
      <c r="A749" s="32"/>
      <c r="B749" s="29"/>
      <c r="C749" s="10" t="str">
        <f aca="false">IF($B749="","",IFERROR(INDEX(M_name,MATCH($B749,M_emp,0)),"Code not found"))</f>
        <v/>
      </c>
      <c r="D749" s="10" t="str">
        <f aca="false">IF($B749="","",IFERROR(INDEX(M_dept,MATCH($B749,M_emp,0)),""))</f>
        <v/>
      </c>
      <c r="E749" s="10" t="str">
        <f aca="false">IF($B749="","",IFERROR(INDEX(M_loc,MATCH($B749,M_emp,0)),""))</f>
        <v/>
      </c>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4" t="str">
        <f aca="false">IF($B749="","",COUNTIF($F749:$AJ749,"P"))</f>
        <v/>
      </c>
      <c r="AL749" s="34" t="str">
        <f aca="false">IF($B749="","",COUNTIF($F749:$AJ749,"A"))</f>
        <v/>
      </c>
      <c r="AM749" s="34" t="str">
        <f aca="false">IF($B749="","",COUNTIF($F749:$AJ749,"HA"))</f>
        <v/>
      </c>
      <c r="AN749" s="34" t="str">
        <f aca="false">IF($B749="","",COUNTIF($F749:$AJ749,"L"))</f>
        <v/>
      </c>
      <c r="AO749" s="34" t="str">
        <f aca="false">IF($B749="","",COUNTIF($F749:$AJ749,"PL"))</f>
        <v/>
      </c>
      <c r="AP749" s="34" t="str">
        <f aca="false">IF($B749="","",COUNTIF($F749:$AJ749,"CL"))</f>
        <v/>
      </c>
      <c r="AQ749" s="34" t="str">
        <f aca="false">IF($B749="","",COUNTIF($F749:$AJ749,"SL"))</f>
        <v/>
      </c>
      <c r="AR749" s="34" t="str">
        <f aca="false">IF($B749="","",COUNTIF($F749:$AJ749,"CO"))</f>
        <v/>
      </c>
      <c r="AS749" s="34" t="str">
        <f aca="false">IF($B749="","",COUNTIF($F749:$AJ749,"HPL"))</f>
        <v/>
      </c>
      <c r="AT749" s="34" t="str">
        <f aca="false">IF($B749="","",COUNTIF($F749:$AJ749,"HCL"))</f>
        <v/>
      </c>
      <c r="AU749" s="34" t="str">
        <f aca="false">IF($B749="","",COUNTIF($F749:$AJ749,"WO"))</f>
        <v/>
      </c>
      <c r="AV749" s="34" t="str">
        <f aca="false">IF($B749="","",COUNTIF($F749:$AJ749,"PH"))</f>
        <v/>
      </c>
      <c r="AW749" s="34" t="str">
        <f aca="false">IF($B749="","",COUNTIF($F749:$AJ749,"TR"))</f>
        <v/>
      </c>
      <c r="AX749" s="35" t="str">
        <f aca="false">IF($B749="","",AO749+AS749/2)</f>
        <v/>
      </c>
      <c r="AY749" s="35" t="str">
        <f aca="false">IF($B749="","",AQ749)</f>
        <v/>
      </c>
      <c r="AZ749" s="35" t="str">
        <f aca="false">IF($B749="","",AP749+AT749/2)</f>
        <v/>
      </c>
      <c r="BA749" s="35" t="str">
        <f aca="false">IF($B749="","",AK749+AN749+AM749/2+AO749+AP749+AQ749+AR749+AS749+AT749+AU749+AV749+AW749)</f>
        <v/>
      </c>
      <c r="BB749" s="35" t="str">
        <f aca="false">IF($B749="","",MAX(0,AN749-Settings!$C$16)*Settings!$C$17)</f>
        <v/>
      </c>
      <c r="BC749" s="35" t="str">
        <f aca="false">IF($B749="","",BA749-BB749)</f>
        <v/>
      </c>
      <c r="BD749" s="35" t="str">
        <f aca="false">IF(OR($B749="",$A749=""),"",DAY(EOMONTH($A749,0))-COUNTA($F749:$AJ749))</f>
        <v/>
      </c>
    </row>
    <row r="750" customFormat="false" ht="15" hidden="false" customHeight="false" outlineLevel="0" collapsed="false">
      <c r="A750" s="32"/>
      <c r="B750" s="29"/>
      <c r="C750" s="10" t="str">
        <f aca="false">IF($B750="","",IFERROR(INDEX(M_name,MATCH($B750,M_emp,0)),"Code not found"))</f>
        <v/>
      </c>
      <c r="D750" s="10" t="str">
        <f aca="false">IF($B750="","",IFERROR(INDEX(M_dept,MATCH($B750,M_emp,0)),""))</f>
        <v/>
      </c>
      <c r="E750" s="10" t="str">
        <f aca="false">IF($B750="","",IFERROR(INDEX(M_loc,MATCH($B750,M_emp,0)),""))</f>
        <v/>
      </c>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4" t="str">
        <f aca="false">IF($B750="","",COUNTIF($F750:$AJ750,"P"))</f>
        <v/>
      </c>
      <c r="AL750" s="34" t="str">
        <f aca="false">IF($B750="","",COUNTIF($F750:$AJ750,"A"))</f>
        <v/>
      </c>
      <c r="AM750" s="34" t="str">
        <f aca="false">IF($B750="","",COUNTIF($F750:$AJ750,"HA"))</f>
        <v/>
      </c>
      <c r="AN750" s="34" t="str">
        <f aca="false">IF($B750="","",COUNTIF($F750:$AJ750,"L"))</f>
        <v/>
      </c>
      <c r="AO750" s="34" t="str">
        <f aca="false">IF($B750="","",COUNTIF($F750:$AJ750,"PL"))</f>
        <v/>
      </c>
      <c r="AP750" s="34" t="str">
        <f aca="false">IF($B750="","",COUNTIF($F750:$AJ750,"CL"))</f>
        <v/>
      </c>
      <c r="AQ750" s="34" t="str">
        <f aca="false">IF($B750="","",COUNTIF($F750:$AJ750,"SL"))</f>
        <v/>
      </c>
      <c r="AR750" s="34" t="str">
        <f aca="false">IF($B750="","",COUNTIF($F750:$AJ750,"CO"))</f>
        <v/>
      </c>
      <c r="AS750" s="34" t="str">
        <f aca="false">IF($B750="","",COUNTIF($F750:$AJ750,"HPL"))</f>
        <v/>
      </c>
      <c r="AT750" s="34" t="str">
        <f aca="false">IF($B750="","",COUNTIF($F750:$AJ750,"HCL"))</f>
        <v/>
      </c>
      <c r="AU750" s="34" t="str">
        <f aca="false">IF($B750="","",COUNTIF($F750:$AJ750,"WO"))</f>
        <v/>
      </c>
      <c r="AV750" s="34" t="str">
        <f aca="false">IF($B750="","",COUNTIF($F750:$AJ750,"PH"))</f>
        <v/>
      </c>
      <c r="AW750" s="34" t="str">
        <f aca="false">IF($B750="","",COUNTIF($F750:$AJ750,"TR"))</f>
        <v/>
      </c>
      <c r="AX750" s="35" t="str">
        <f aca="false">IF($B750="","",AO750+AS750/2)</f>
        <v/>
      </c>
      <c r="AY750" s="35" t="str">
        <f aca="false">IF($B750="","",AQ750)</f>
        <v/>
      </c>
      <c r="AZ750" s="35" t="str">
        <f aca="false">IF($B750="","",AP750+AT750/2)</f>
        <v/>
      </c>
      <c r="BA750" s="35" t="str">
        <f aca="false">IF($B750="","",AK750+AN750+AM750/2+AO750+AP750+AQ750+AR750+AS750+AT750+AU750+AV750+AW750)</f>
        <v/>
      </c>
      <c r="BB750" s="35" t="str">
        <f aca="false">IF($B750="","",MAX(0,AN750-Settings!$C$16)*Settings!$C$17)</f>
        <v/>
      </c>
      <c r="BC750" s="35" t="str">
        <f aca="false">IF($B750="","",BA750-BB750)</f>
        <v/>
      </c>
      <c r="BD750" s="35" t="str">
        <f aca="false">IF(OR($B750="",$A750=""),"",DAY(EOMONTH($A750,0))-COUNTA($F750:$AJ750))</f>
        <v/>
      </c>
    </row>
    <row r="751" customFormat="false" ht="15" hidden="false" customHeight="false" outlineLevel="0" collapsed="false">
      <c r="A751" s="32"/>
      <c r="B751" s="29"/>
      <c r="C751" s="10" t="str">
        <f aca="false">IF($B751="","",IFERROR(INDEX(M_name,MATCH($B751,M_emp,0)),"Code not found"))</f>
        <v/>
      </c>
      <c r="D751" s="10" t="str">
        <f aca="false">IF($B751="","",IFERROR(INDEX(M_dept,MATCH($B751,M_emp,0)),""))</f>
        <v/>
      </c>
      <c r="E751" s="10" t="str">
        <f aca="false">IF($B751="","",IFERROR(INDEX(M_loc,MATCH($B751,M_emp,0)),""))</f>
        <v/>
      </c>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4" t="str">
        <f aca="false">IF($B751="","",COUNTIF($F751:$AJ751,"P"))</f>
        <v/>
      </c>
      <c r="AL751" s="34" t="str">
        <f aca="false">IF($B751="","",COUNTIF($F751:$AJ751,"A"))</f>
        <v/>
      </c>
      <c r="AM751" s="34" t="str">
        <f aca="false">IF($B751="","",COUNTIF($F751:$AJ751,"HA"))</f>
        <v/>
      </c>
      <c r="AN751" s="34" t="str">
        <f aca="false">IF($B751="","",COUNTIF($F751:$AJ751,"L"))</f>
        <v/>
      </c>
      <c r="AO751" s="34" t="str">
        <f aca="false">IF($B751="","",COUNTIF($F751:$AJ751,"PL"))</f>
        <v/>
      </c>
      <c r="AP751" s="34" t="str">
        <f aca="false">IF($B751="","",COUNTIF($F751:$AJ751,"CL"))</f>
        <v/>
      </c>
      <c r="AQ751" s="34" t="str">
        <f aca="false">IF($B751="","",COUNTIF($F751:$AJ751,"SL"))</f>
        <v/>
      </c>
      <c r="AR751" s="34" t="str">
        <f aca="false">IF($B751="","",COUNTIF($F751:$AJ751,"CO"))</f>
        <v/>
      </c>
      <c r="AS751" s="34" t="str">
        <f aca="false">IF($B751="","",COUNTIF($F751:$AJ751,"HPL"))</f>
        <v/>
      </c>
      <c r="AT751" s="34" t="str">
        <f aca="false">IF($B751="","",COUNTIF($F751:$AJ751,"HCL"))</f>
        <v/>
      </c>
      <c r="AU751" s="34" t="str">
        <f aca="false">IF($B751="","",COUNTIF($F751:$AJ751,"WO"))</f>
        <v/>
      </c>
      <c r="AV751" s="34" t="str">
        <f aca="false">IF($B751="","",COUNTIF($F751:$AJ751,"PH"))</f>
        <v/>
      </c>
      <c r="AW751" s="34" t="str">
        <f aca="false">IF($B751="","",COUNTIF($F751:$AJ751,"TR"))</f>
        <v/>
      </c>
      <c r="AX751" s="35" t="str">
        <f aca="false">IF($B751="","",AO751+AS751/2)</f>
        <v/>
      </c>
      <c r="AY751" s="35" t="str">
        <f aca="false">IF($B751="","",AQ751)</f>
        <v/>
      </c>
      <c r="AZ751" s="35" t="str">
        <f aca="false">IF($B751="","",AP751+AT751/2)</f>
        <v/>
      </c>
      <c r="BA751" s="35" t="str">
        <f aca="false">IF($B751="","",AK751+AN751+AM751/2+AO751+AP751+AQ751+AR751+AS751+AT751+AU751+AV751+AW751)</f>
        <v/>
      </c>
      <c r="BB751" s="35" t="str">
        <f aca="false">IF($B751="","",MAX(0,AN751-Settings!$C$16)*Settings!$C$17)</f>
        <v/>
      </c>
      <c r="BC751" s="35" t="str">
        <f aca="false">IF($B751="","",BA751-BB751)</f>
        <v/>
      </c>
      <c r="BD751" s="35" t="str">
        <f aca="false">IF(OR($B751="",$A751=""),"",DAY(EOMONTH($A751,0))-COUNTA($F751:$AJ751))</f>
        <v/>
      </c>
    </row>
    <row r="752" customFormat="false" ht="15" hidden="false" customHeight="false" outlineLevel="0" collapsed="false">
      <c r="A752" s="32"/>
      <c r="B752" s="29"/>
      <c r="C752" s="10" t="str">
        <f aca="false">IF($B752="","",IFERROR(INDEX(M_name,MATCH($B752,M_emp,0)),"Code not found"))</f>
        <v/>
      </c>
      <c r="D752" s="10" t="str">
        <f aca="false">IF($B752="","",IFERROR(INDEX(M_dept,MATCH($B752,M_emp,0)),""))</f>
        <v/>
      </c>
      <c r="E752" s="10" t="str">
        <f aca="false">IF($B752="","",IFERROR(INDEX(M_loc,MATCH($B752,M_emp,0)),""))</f>
        <v/>
      </c>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4" t="str">
        <f aca="false">IF($B752="","",COUNTIF($F752:$AJ752,"P"))</f>
        <v/>
      </c>
      <c r="AL752" s="34" t="str">
        <f aca="false">IF($B752="","",COUNTIF($F752:$AJ752,"A"))</f>
        <v/>
      </c>
      <c r="AM752" s="34" t="str">
        <f aca="false">IF($B752="","",COUNTIF($F752:$AJ752,"HA"))</f>
        <v/>
      </c>
      <c r="AN752" s="34" t="str">
        <f aca="false">IF($B752="","",COUNTIF($F752:$AJ752,"L"))</f>
        <v/>
      </c>
      <c r="AO752" s="34" t="str">
        <f aca="false">IF($B752="","",COUNTIF($F752:$AJ752,"PL"))</f>
        <v/>
      </c>
      <c r="AP752" s="34" t="str">
        <f aca="false">IF($B752="","",COUNTIF($F752:$AJ752,"CL"))</f>
        <v/>
      </c>
      <c r="AQ752" s="34" t="str">
        <f aca="false">IF($B752="","",COUNTIF($F752:$AJ752,"SL"))</f>
        <v/>
      </c>
      <c r="AR752" s="34" t="str">
        <f aca="false">IF($B752="","",COUNTIF($F752:$AJ752,"CO"))</f>
        <v/>
      </c>
      <c r="AS752" s="34" t="str">
        <f aca="false">IF($B752="","",COUNTIF($F752:$AJ752,"HPL"))</f>
        <v/>
      </c>
      <c r="AT752" s="34" t="str">
        <f aca="false">IF($B752="","",COUNTIF($F752:$AJ752,"HCL"))</f>
        <v/>
      </c>
      <c r="AU752" s="34" t="str">
        <f aca="false">IF($B752="","",COUNTIF($F752:$AJ752,"WO"))</f>
        <v/>
      </c>
      <c r="AV752" s="34" t="str">
        <f aca="false">IF($B752="","",COUNTIF($F752:$AJ752,"PH"))</f>
        <v/>
      </c>
      <c r="AW752" s="34" t="str">
        <f aca="false">IF($B752="","",COUNTIF($F752:$AJ752,"TR"))</f>
        <v/>
      </c>
      <c r="AX752" s="35" t="str">
        <f aca="false">IF($B752="","",AO752+AS752/2)</f>
        <v/>
      </c>
      <c r="AY752" s="35" t="str">
        <f aca="false">IF($B752="","",AQ752)</f>
        <v/>
      </c>
      <c r="AZ752" s="35" t="str">
        <f aca="false">IF($B752="","",AP752+AT752/2)</f>
        <v/>
      </c>
      <c r="BA752" s="35" t="str">
        <f aca="false">IF($B752="","",AK752+AN752+AM752/2+AO752+AP752+AQ752+AR752+AS752+AT752+AU752+AV752+AW752)</f>
        <v/>
      </c>
      <c r="BB752" s="35" t="str">
        <f aca="false">IF($B752="","",MAX(0,AN752-Settings!$C$16)*Settings!$C$17)</f>
        <v/>
      </c>
      <c r="BC752" s="35" t="str">
        <f aca="false">IF($B752="","",BA752-BB752)</f>
        <v/>
      </c>
      <c r="BD752" s="35" t="str">
        <f aca="false">IF(OR($B752="",$A752=""),"",DAY(EOMONTH($A752,0))-COUNTA($F752:$AJ752))</f>
        <v/>
      </c>
    </row>
    <row r="753" customFormat="false" ht="15" hidden="false" customHeight="false" outlineLevel="0" collapsed="false">
      <c r="A753" s="32"/>
      <c r="B753" s="29"/>
      <c r="C753" s="10" t="str">
        <f aca="false">IF($B753="","",IFERROR(INDEX(M_name,MATCH($B753,M_emp,0)),"Code not found"))</f>
        <v/>
      </c>
      <c r="D753" s="10" t="str">
        <f aca="false">IF($B753="","",IFERROR(INDEX(M_dept,MATCH($B753,M_emp,0)),""))</f>
        <v/>
      </c>
      <c r="E753" s="10" t="str">
        <f aca="false">IF($B753="","",IFERROR(INDEX(M_loc,MATCH($B753,M_emp,0)),""))</f>
        <v/>
      </c>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4" t="str">
        <f aca="false">IF($B753="","",COUNTIF($F753:$AJ753,"P"))</f>
        <v/>
      </c>
      <c r="AL753" s="34" t="str">
        <f aca="false">IF($B753="","",COUNTIF($F753:$AJ753,"A"))</f>
        <v/>
      </c>
      <c r="AM753" s="34" t="str">
        <f aca="false">IF($B753="","",COUNTIF($F753:$AJ753,"HA"))</f>
        <v/>
      </c>
      <c r="AN753" s="34" t="str">
        <f aca="false">IF($B753="","",COUNTIF($F753:$AJ753,"L"))</f>
        <v/>
      </c>
      <c r="AO753" s="34" t="str">
        <f aca="false">IF($B753="","",COUNTIF($F753:$AJ753,"PL"))</f>
        <v/>
      </c>
      <c r="AP753" s="34" t="str">
        <f aca="false">IF($B753="","",COUNTIF($F753:$AJ753,"CL"))</f>
        <v/>
      </c>
      <c r="AQ753" s="34" t="str">
        <f aca="false">IF($B753="","",COUNTIF($F753:$AJ753,"SL"))</f>
        <v/>
      </c>
      <c r="AR753" s="34" t="str">
        <f aca="false">IF($B753="","",COUNTIF($F753:$AJ753,"CO"))</f>
        <v/>
      </c>
      <c r="AS753" s="34" t="str">
        <f aca="false">IF($B753="","",COUNTIF($F753:$AJ753,"HPL"))</f>
        <v/>
      </c>
      <c r="AT753" s="34" t="str">
        <f aca="false">IF($B753="","",COUNTIF($F753:$AJ753,"HCL"))</f>
        <v/>
      </c>
      <c r="AU753" s="34" t="str">
        <f aca="false">IF($B753="","",COUNTIF($F753:$AJ753,"WO"))</f>
        <v/>
      </c>
      <c r="AV753" s="34" t="str">
        <f aca="false">IF($B753="","",COUNTIF($F753:$AJ753,"PH"))</f>
        <v/>
      </c>
      <c r="AW753" s="34" t="str">
        <f aca="false">IF($B753="","",COUNTIF($F753:$AJ753,"TR"))</f>
        <v/>
      </c>
      <c r="AX753" s="35" t="str">
        <f aca="false">IF($B753="","",AO753+AS753/2)</f>
        <v/>
      </c>
      <c r="AY753" s="35" t="str">
        <f aca="false">IF($B753="","",AQ753)</f>
        <v/>
      </c>
      <c r="AZ753" s="35" t="str">
        <f aca="false">IF($B753="","",AP753+AT753/2)</f>
        <v/>
      </c>
      <c r="BA753" s="35" t="str">
        <f aca="false">IF($B753="","",AK753+AN753+AM753/2+AO753+AP753+AQ753+AR753+AS753+AT753+AU753+AV753+AW753)</f>
        <v/>
      </c>
      <c r="BB753" s="35" t="str">
        <f aca="false">IF($B753="","",MAX(0,AN753-Settings!$C$16)*Settings!$C$17)</f>
        <v/>
      </c>
      <c r="BC753" s="35" t="str">
        <f aca="false">IF($B753="","",BA753-BB753)</f>
        <v/>
      </c>
      <c r="BD753" s="35" t="str">
        <f aca="false">IF(OR($B753="",$A753=""),"",DAY(EOMONTH($A753,0))-COUNTA($F753:$AJ753))</f>
        <v/>
      </c>
    </row>
    <row r="754" customFormat="false" ht="15" hidden="false" customHeight="false" outlineLevel="0" collapsed="false">
      <c r="A754" s="32"/>
      <c r="B754" s="29"/>
      <c r="C754" s="10" t="str">
        <f aca="false">IF($B754="","",IFERROR(INDEX(M_name,MATCH($B754,M_emp,0)),"Code not found"))</f>
        <v/>
      </c>
      <c r="D754" s="10" t="str">
        <f aca="false">IF($B754="","",IFERROR(INDEX(M_dept,MATCH($B754,M_emp,0)),""))</f>
        <v/>
      </c>
      <c r="E754" s="10" t="str">
        <f aca="false">IF($B754="","",IFERROR(INDEX(M_loc,MATCH($B754,M_emp,0)),""))</f>
        <v/>
      </c>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4" t="str">
        <f aca="false">IF($B754="","",COUNTIF($F754:$AJ754,"P"))</f>
        <v/>
      </c>
      <c r="AL754" s="34" t="str">
        <f aca="false">IF($B754="","",COUNTIF($F754:$AJ754,"A"))</f>
        <v/>
      </c>
      <c r="AM754" s="34" t="str">
        <f aca="false">IF($B754="","",COUNTIF($F754:$AJ754,"HA"))</f>
        <v/>
      </c>
      <c r="AN754" s="34" t="str">
        <f aca="false">IF($B754="","",COUNTIF($F754:$AJ754,"L"))</f>
        <v/>
      </c>
      <c r="AO754" s="34" t="str">
        <f aca="false">IF($B754="","",COUNTIF($F754:$AJ754,"PL"))</f>
        <v/>
      </c>
      <c r="AP754" s="34" t="str">
        <f aca="false">IF($B754="","",COUNTIF($F754:$AJ754,"CL"))</f>
        <v/>
      </c>
      <c r="AQ754" s="34" t="str">
        <f aca="false">IF($B754="","",COUNTIF($F754:$AJ754,"SL"))</f>
        <v/>
      </c>
      <c r="AR754" s="34" t="str">
        <f aca="false">IF($B754="","",COUNTIF($F754:$AJ754,"CO"))</f>
        <v/>
      </c>
      <c r="AS754" s="34" t="str">
        <f aca="false">IF($B754="","",COUNTIF($F754:$AJ754,"HPL"))</f>
        <v/>
      </c>
      <c r="AT754" s="34" t="str">
        <f aca="false">IF($B754="","",COUNTIF($F754:$AJ754,"HCL"))</f>
        <v/>
      </c>
      <c r="AU754" s="34" t="str">
        <f aca="false">IF($B754="","",COUNTIF($F754:$AJ754,"WO"))</f>
        <v/>
      </c>
      <c r="AV754" s="34" t="str">
        <f aca="false">IF($B754="","",COUNTIF($F754:$AJ754,"PH"))</f>
        <v/>
      </c>
      <c r="AW754" s="34" t="str">
        <f aca="false">IF($B754="","",COUNTIF($F754:$AJ754,"TR"))</f>
        <v/>
      </c>
      <c r="AX754" s="35" t="str">
        <f aca="false">IF($B754="","",AO754+AS754/2)</f>
        <v/>
      </c>
      <c r="AY754" s="35" t="str">
        <f aca="false">IF($B754="","",AQ754)</f>
        <v/>
      </c>
      <c r="AZ754" s="35" t="str">
        <f aca="false">IF($B754="","",AP754+AT754/2)</f>
        <v/>
      </c>
      <c r="BA754" s="35" t="str">
        <f aca="false">IF($B754="","",AK754+AN754+AM754/2+AO754+AP754+AQ754+AR754+AS754+AT754+AU754+AV754+AW754)</f>
        <v/>
      </c>
      <c r="BB754" s="35" t="str">
        <f aca="false">IF($B754="","",MAX(0,AN754-Settings!$C$16)*Settings!$C$17)</f>
        <v/>
      </c>
      <c r="BC754" s="35" t="str">
        <f aca="false">IF($B754="","",BA754-BB754)</f>
        <v/>
      </c>
      <c r="BD754" s="35" t="str">
        <f aca="false">IF(OR($B754="",$A754=""),"",DAY(EOMONTH($A754,0))-COUNTA($F754:$AJ754))</f>
        <v/>
      </c>
    </row>
    <row r="755" customFormat="false" ht="15" hidden="false" customHeight="false" outlineLevel="0" collapsed="false">
      <c r="A755" s="32"/>
      <c r="B755" s="29"/>
      <c r="C755" s="10" t="str">
        <f aca="false">IF($B755="","",IFERROR(INDEX(M_name,MATCH($B755,M_emp,0)),"Code not found"))</f>
        <v/>
      </c>
      <c r="D755" s="10" t="str">
        <f aca="false">IF($B755="","",IFERROR(INDEX(M_dept,MATCH($B755,M_emp,0)),""))</f>
        <v/>
      </c>
      <c r="E755" s="10" t="str">
        <f aca="false">IF($B755="","",IFERROR(INDEX(M_loc,MATCH($B755,M_emp,0)),""))</f>
        <v/>
      </c>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4" t="str">
        <f aca="false">IF($B755="","",COUNTIF($F755:$AJ755,"P"))</f>
        <v/>
      </c>
      <c r="AL755" s="34" t="str">
        <f aca="false">IF($B755="","",COUNTIF($F755:$AJ755,"A"))</f>
        <v/>
      </c>
      <c r="AM755" s="34" t="str">
        <f aca="false">IF($B755="","",COUNTIF($F755:$AJ755,"HA"))</f>
        <v/>
      </c>
      <c r="AN755" s="34" t="str">
        <f aca="false">IF($B755="","",COUNTIF($F755:$AJ755,"L"))</f>
        <v/>
      </c>
      <c r="AO755" s="34" t="str">
        <f aca="false">IF($B755="","",COUNTIF($F755:$AJ755,"PL"))</f>
        <v/>
      </c>
      <c r="AP755" s="34" t="str">
        <f aca="false">IF($B755="","",COUNTIF($F755:$AJ755,"CL"))</f>
        <v/>
      </c>
      <c r="AQ755" s="34" t="str">
        <f aca="false">IF($B755="","",COUNTIF($F755:$AJ755,"SL"))</f>
        <v/>
      </c>
      <c r="AR755" s="34" t="str">
        <f aca="false">IF($B755="","",COUNTIF($F755:$AJ755,"CO"))</f>
        <v/>
      </c>
      <c r="AS755" s="34" t="str">
        <f aca="false">IF($B755="","",COUNTIF($F755:$AJ755,"HPL"))</f>
        <v/>
      </c>
      <c r="AT755" s="34" t="str">
        <f aca="false">IF($B755="","",COUNTIF($F755:$AJ755,"HCL"))</f>
        <v/>
      </c>
      <c r="AU755" s="34" t="str">
        <f aca="false">IF($B755="","",COUNTIF($F755:$AJ755,"WO"))</f>
        <v/>
      </c>
      <c r="AV755" s="34" t="str">
        <f aca="false">IF($B755="","",COUNTIF($F755:$AJ755,"PH"))</f>
        <v/>
      </c>
      <c r="AW755" s="34" t="str">
        <f aca="false">IF($B755="","",COUNTIF($F755:$AJ755,"TR"))</f>
        <v/>
      </c>
      <c r="AX755" s="35" t="str">
        <f aca="false">IF($B755="","",AO755+AS755/2)</f>
        <v/>
      </c>
      <c r="AY755" s="35" t="str">
        <f aca="false">IF($B755="","",AQ755)</f>
        <v/>
      </c>
      <c r="AZ755" s="35" t="str">
        <f aca="false">IF($B755="","",AP755+AT755/2)</f>
        <v/>
      </c>
      <c r="BA755" s="35" t="str">
        <f aca="false">IF($B755="","",AK755+AN755+AM755/2+AO755+AP755+AQ755+AR755+AS755+AT755+AU755+AV755+AW755)</f>
        <v/>
      </c>
      <c r="BB755" s="35" t="str">
        <f aca="false">IF($B755="","",MAX(0,AN755-Settings!$C$16)*Settings!$C$17)</f>
        <v/>
      </c>
      <c r="BC755" s="35" t="str">
        <f aca="false">IF($B755="","",BA755-BB755)</f>
        <v/>
      </c>
      <c r="BD755" s="35" t="str">
        <f aca="false">IF(OR($B755="",$A755=""),"",DAY(EOMONTH($A755,0))-COUNTA($F755:$AJ755))</f>
        <v/>
      </c>
    </row>
    <row r="756" customFormat="false" ht="15" hidden="false" customHeight="false" outlineLevel="0" collapsed="false">
      <c r="A756" s="32"/>
      <c r="B756" s="29"/>
      <c r="C756" s="10" t="str">
        <f aca="false">IF($B756="","",IFERROR(INDEX(M_name,MATCH($B756,M_emp,0)),"Code not found"))</f>
        <v/>
      </c>
      <c r="D756" s="10" t="str">
        <f aca="false">IF($B756="","",IFERROR(INDEX(M_dept,MATCH($B756,M_emp,0)),""))</f>
        <v/>
      </c>
      <c r="E756" s="10" t="str">
        <f aca="false">IF($B756="","",IFERROR(INDEX(M_loc,MATCH($B756,M_emp,0)),""))</f>
        <v/>
      </c>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4" t="str">
        <f aca="false">IF($B756="","",COUNTIF($F756:$AJ756,"P"))</f>
        <v/>
      </c>
      <c r="AL756" s="34" t="str">
        <f aca="false">IF($B756="","",COUNTIF($F756:$AJ756,"A"))</f>
        <v/>
      </c>
      <c r="AM756" s="34" t="str">
        <f aca="false">IF($B756="","",COUNTIF($F756:$AJ756,"HA"))</f>
        <v/>
      </c>
      <c r="AN756" s="34" t="str">
        <f aca="false">IF($B756="","",COUNTIF($F756:$AJ756,"L"))</f>
        <v/>
      </c>
      <c r="AO756" s="34" t="str">
        <f aca="false">IF($B756="","",COUNTIF($F756:$AJ756,"PL"))</f>
        <v/>
      </c>
      <c r="AP756" s="34" t="str">
        <f aca="false">IF($B756="","",COUNTIF($F756:$AJ756,"CL"))</f>
        <v/>
      </c>
      <c r="AQ756" s="34" t="str">
        <f aca="false">IF($B756="","",COUNTIF($F756:$AJ756,"SL"))</f>
        <v/>
      </c>
      <c r="AR756" s="34" t="str">
        <f aca="false">IF($B756="","",COUNTIF($F756:$AJ756,"CO"))</f>
        <v/>
      </c>
      <c r="AS756" s="34" t="str">
        <f aca="false">IF($B756="","",COUNTIF($F756:$AJ756,"HPL"))</f>
        <v/>
      </c>
      <c r="AT756" s="34" t="str">
        <f aca="false">IF($B756="","",COUNTIF($F756:$AJ756,"HCL"))</f>
        <v/>
      </c>
      <c r="AU756" s="34" t="str">
        <f aca="false">IF($B756="","",COUNTIF($F756:$AJ756,"WO"))</f>
        <v/>
      </c>
      <c r="AV756" s="34" t="str">
        <f aca="false">IF($B756="","",COUNTIF($F756:$AJ756,"PH"))</f>
        <v/>
      </c>
      <c r="AW756" s="34" t="str">
        <f aca="false">IF($B756="","",COUNTIF($F756:$AJ756,"TR"))</f>
        <v/>
      </c>
      <c r="AX756" s="35" t="str">
        <f aca="false">IF($B756="","",AO756+AS756/2)</f>
        <v/>
      </c>
      <c r="AY756" s="35" t="str">
        <f aca="false">IF($B756="","",AQ756)</f>
        <v/>
      </c>
      <c r="AZ756" s="35" t="str">
        <f aca="false">IF($B756="","",AP756+AT756/2)</f>
        <v/>
      </c>
      <c r="BA756" s="35" t="str">
        <f aca="false">IF($B756="","",AK756+AN756+AM756/2+AO756+AP756+AQ756+AR756+AS756+AT756+AU756+AV756+AW756)</f>
        <v/>
      </c>
      <c r="BB756" s="35" t="str">
        <f aca="false">IF($B756="","",MAX(0,AN756-Settings!$C$16)*Settings!$C$17)</f>
        <v/>
      </c>
      <c r="BC756" s="35" t="str">
        <f aca="false">IF($B756="","",BA756-BB756)</f>
        <v/>
      </c>
      <c r="BD756" s="35" t="str">
        <f aca="false">IF(OR($B756="",$A756=""),"",DAY(EOMONTH($A756,0))-COUNTA($F756:$AJ756))</f>
        <v/>
      </c>
    </row>
    <row r="757" customFormat="false" ht="15" hidden="false" customHeight="false" outlineLevel="0" collapsed="false">
      <c r="A757" s="32"/>
      <c r="B757" s="29"/>
      <c r="C757" s="10" t="str">
        <f aca="false">IF($B757="","",IFERROR(INDEX(M_name,MATCH($B757,M_emp,0)),"Code not found"))</f>
        <v/>
      </c>
      <c r="D757" s="10" t="str">
        <f aca="false">IF($B757="","",IFERROR(INDEX(M_dept,MATCH($B757,M_emp,0)),""))</f>
        <v/>
      </c>
      <c r="E757" s="10" t="str">
        <f aca="false">IF($B757="","",IFERROR(INDEX(M_loc,MATCH($B757,M_emp,0)),""))</f>
        <v/>
      </c>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4" t="str">
        <f aca="false">IF($B757="","",COUNTIF($F757:$AJ757,"P"))</f>
        <v/>
      </c>
      <c r="AL757" s="34" t="str">
        <f aca="false">IF($B757="","",COUNTIF($F757:$AJ757,"A"))</f>
        <v/>
      </c>
      <c r="AM757" s="34" t="str">
        <f aca="false">IF($B757="","",COUNTIF($F757:$AJ757,"HA"))</f>
        <v/>
      </c>
      <c r="AN757" s="34" t="str">
        <f aca="false">IF($B757="","",COUNTIF($F757:$AJ757,"L"))</f>
        <v/>
      </c>
      <c r="AO757" s="34" t="str">
        <f aca="false">IF($B757="","",COUNTIF($F757:$AJ757,"PL"))</f>
        <v/>
      </c>
      <c r="AP757" s="34" t="str">
        <f aca="false">IF($B757="","",COUNTIF($F757:$AJ757,"CL"))</f>
        <v/>
      </c>
      <c r="AQ757" s="34" t="str">
        <f aca="false">IF($B757="","",COUNTIF($F757:$AJ757,"SL"))</f>
        <v/>
      </c>
      <c r="AR757" s="34" t="str">
        <f aca="false">IF($B757="","",COUNTIF($F757:$AJ757,"CO"))</f>
        <v/>
      </c>
      <c r="AS757" s="34" t="str">
        <f aca="false">IF($B757="","",COUNTIF($F757:$AJ757,"HPL"))</f>
        <v/>
      </c>
      <c r="AT757" s="34" t="str">
        <f aca="false">IF($B757="","",COUNTIF($F757:$AJ757,"HCL"))</f>
        <v/>
      </c>
      <c r="AU757" s="34" t="str">
        <f aca="false">IF($B757="","",COUNTIF($F757:$AJ757,"WO"))</f>
        <v/>
      </c>
      <c r="AV757" s="34" t="str">
        <f aca="false">IF($B757="","",COUNTIF($F757:$AJ757,"PH"))</f>
        <v/>
      </c>
      <c r="AW757" s="34" t="str">
        <f aca="false">IF($B757="","",COUNTIF($F757:$AJ757,"TR"))</f>
        <v/>
      </c>
      <c r="AX757" s="35" t="str">
        <f aca="false">IF($B757="","",AO757+AS757/2)</f>
        <v/>
      </c>
      <c r="AY757" s="35" t="str">
        <f aca="false">IF($B757="","",AQ757)</f>
        <v/>
      </c>
      <c r="AZ757" s="35" t="str">
        <f aca="false">IF($B757="","",AP757+AT757/2)</f>
        <v/>
      </c>
      <c r="BA757" s="35" t="str">
        <f aca="false">IF($B757="","",AK757+AN757+AM757/2+AO757+AP757+AQ757+AR757+AS757+AT757+AU757+AV757+AW757)</f>
        <v/>
      </c>
      <c r="BB757" s="35" t="str">
        <f aca="false">IF($B757="","",MAX(0,AN757-Settings!$C$16)*Settings!$C$17)</f>
        <v/>
      </c>
      <c r="BC757" s="35" t="str">
        <f aca="false">IF($B757="","",BA757-BB757)</f>
        <v/>
      </c>
      <c r="BD757" s="35" t="str">
        <f aca="false">IF(OR($B757="",$A757=""),"",DAY(EOMONTH($A757,0))-COUNTA($F757:$AJ757))</f>
        <v/>
      </c>
    </row>
    <row r="758" customFormat="false" ht="15" hidden="false" customHeight="false" outlineLevel="0" collapsed="false">
      <c r="A758" s="32"/>
      <c r="B758" s="29"/>
      <c r="C758" s="10" t="str">
        <f aca="false">IF($B758="","",IFERROR(INDEX(M_name,MATCH($B758,M_emp,0)),"Code not found"))</f>
        <v/>
      </c>
      <c r="D758" s="10" t="str">
        <f aca="false">IF($B758="","",IFERROR(INDEX(M_dept,MATCH($B758,M_emp,0)),""))</f>
        <v/>
      </c>
      <c r="E758" s="10" t="str">
        <f aca="false">IF($B758="","",IFERROR(INDEX(M_loc,MATCH($B758,M_emp,0)),""))</f>
        <v/>
      </c>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4" t="str">
        <f aca="false">IF($B758="","",COUNTIF($F758:$AJ758,"P"))</f>
        <v/>
      </c>
      <c r="AL758" s="34" t="str">
        <f aca="false">IF($B758="","",COUNTIF($F758:$AJ758,"A"))</f>
        <v/>
      </c>
      <c r="AM758" s="34" t="str">
        <f aca="false">IF($B758="","",COUNTIF($F758:$AJ758,"HA"))</f>
        <v/>
      </c>
      <c r="AN758" s="34" t="str">
        <f aca="false">IF($B758="","",COUNTIF($F758:$AJ758,"L"))</f>
        <v/>
      </c>
      <c r="AO758" s="34" t="str">
        <f aca="false">IF($B758="","",COUNTIF($F758:$AJ758,"PL"))</f>
        <v/>
      </c>
      <c r="AP758" s="34" t="str">
        <f aca="false">IF($B758="","",COUNTIF($F758:$AJ758,"CL"))</f>
        <v/>
      </c>
      <c r="AQ758" s="34" t="str">
        <f aca="false">IF($B758="","",COUNTIF($F758:$AJ758,"SL"))</f>
        <v/>
      </c>
      <c r="AR758" s="34" t="str">
        <f aca="false">IF($B758="","",COUNTIF($F758:$AJ758,"CO"))</f>
        <v/>
      </c>
      <c r="AS758" s="34" t="str">
        <f aca="false">IF($B758="","",COUNTIF($F758:$AJ758,"HPL"))</f>
        <v/>
      </c>
      <c r="AT758" s="34" t="str">
        <f aca="false">IF($B758="","",COUNTIF($F758:$AJ758,"HCL"))</f>
        <v/>
      </c>
      <c r="AU758" s="34" t="str">
        <f aca="false">IF($B758="","",COUNTIF($F758:$AJ758,"WO"))</f>
        <v/>
      </c>
      <c r="AV758" s="34" t="str">
        <f aca="false">IF($B758="","",COUNTIF($F758:$AJ758,"PH"))</f>
        <v/>
      </c>
      <c r="AW758" s="34" t="str">
        <f aca="false">IF($B758="","",COUNTIF($F758:$AJ758,"TR"))</f>
        <v/>
      </c>
      <c r="AX758" s="35" t="str">
        <f aca="false">IF($B758="","",AO758+AS758/2)</f>
        <v/>
      </c>
      <c r="AY758" s="35" t="str">
        <f aca="false">IF($B758="","",AQ758)</f>
        <v/>
      </c>
      <c r="AZ758" s="35" t="str">
        <f aca="false">IF($B758="","",AP758+AT758/2)</f>
        <v/>
      </c>
      <c r="BA758" s="35" t="str">
        <f aca="false">IF($B758="","",AK758+AN758+AM758/2+AO758+AP758+AQ758+AR758+AS758+AT758+AU758+AV758+AW758)</f>
        <v/>
      </c>
      <c r="BB758" s="35" t="str">
        <f aca="false">IF($B758="","",MAX(0,AN758-Settings!$C$16)*Settings!$C$17)</f>
        <v/>
      </c>
      <c r="BC758" s="35" t="str">
        <f aca="false">IF($B758="","",BA758-BB758)</f>
        <v/>
      </c>
      <c r="BD758" s="35" t="str">
        <f aca="false">IF(OR($B758="",$A758=""),"",DAY(EOMONTH($A758,0))-COUNTA($F758:$AJ758))</f>
        <v/>
      </c>
    </row>
    <row r="759" customFormat="false" ht="15" hidden="false" customHeight="false" outlineLevel="0" collapsed="false">
      <c r="A759" s="32"/>
      <c r="B759" s="29"/>
      <c r="C759" s="10" t="str">
        <f aca="false">IF($B759="","",IFERROR(INDEX(M_name,MATCH($B759,M_emp,0)),"Code not found"))</f>
        <v/>
      </c>
      <c r="D759" s="10" t="str">
        <f aca="false">IF($B759="","",IFERROR(INDEX(M_dept,MATCH($B759,M_emp,0)),""))</f>
        <v/>
      </c>
      <c r="E759" s="10" t="str">
        <f aca="false">IF($B759="","",IFERROR(INDEX(M_loc,MATCH($B759,M_emp,0)),""))</f>
        <v/>
      </c>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4" t="str">
        <f aca="false">IF($B759="","",COUNTIF($F759:$AJ759,"P"))</f>
        <v/>
      </c>
      <c r="AL759" s="34" t="str">
        <f aca="false">IF($B759="","",COUNTIF($F759:$AJ759,"A"))</f>
        <v/>
      </c>
      <c r="AM759" s="34" t="str">
        <f aca="false">IF($B759="","",COUNTIF($F759:$AJ759,"HA"))</f>
        <v/>
      </c>
      <c r="AN759" s="34" t="str">
        <f aca="false">IF($B759="","",COUNTIF($F759:$AJ759,"L"))</f>
        <v/>
      </c>
      <c r="AO759" s="34" t="str">
        <f aca="false">IF($B759="","",COUNTIF($F759:$AJ759,"PL"))</f>
        <v/>
      </c>
      <c r="AP759" s="34" t="str">
        <f aca="false">IF($B759="","",COUNTIF($F759:$AJ759,"CL"))</f>
        <v/>
      </c>
      <c r="AQ759" s="34" t="str">
        <f aca="false">IF($B759="","",COUNTIF($F759:$AJ759,"SL"))</f>
        <v/>
      </c>
      <c r="AR759" s="34" t="str">
        <f aca="false">IF($B759="","",COUNTIF($F759:$AJ759,"CO"))</f>
        <v/>
      </c>
      <c r="AS759" s="34" t="str">
        <f aca="false">IF($B759="","",COUNTIF($F759:$AJ759,"HPL"))</f>
        <v/>
      </c>
      <c r="AT759" s="34" t="str">
        <f aca="false">IF($B759="","",COUNTIF($F759:$AJ759,"HCL"))</f>
        <v/>
      </c>
      <c r="AU759" s="34" t="str">
        <f aca="false">IF($B759="","",COUNTIF($F759:$AJ759,"WO"))</f>
        <v/>
      </c>
      <c r="AV759" s="34" t="str">
        <f aca="false">IF($B759="","",COUNTIF($F759:$AJ759,"PH"))</f>
        <v/>
      </c>
      <c r="AW759" s="34" t="str">
        <f aca="false">IF($B759="","",COUNTIF($F759:$AJ759,"TR"))</f>
        <v/>
      </c>
      <c r="AX759" s="35" t="str">
        <f aca="false">IF($B759="","",AO759+AS759/2)</f>
        <v/>
      </c>
      <c r="AY759" s="35" t="str">
        <f aca="false">IF($B759="","",AQ759)</f>
        <v/>
      </c>
      <c r="AZ759" s="35" t="str">
        <f aca="false">IF($B759="","",AP759+AT759/2)</f>
        <v/>
      </c>
      <c r="BA759" s="35" t="str">
        <f aca="false">IF($B759="","",AK759+AN759+AM759/2+AO759+AP759+AQ759+AR759+AS759+AT759+AU759+AV759+AW759)</f>
        <v/>
      </c>
      <c r="BB759" s="35" t="str">
        <f aca="false">IF($B759="","",MAX(0,AN759-Settings!$C$16)*Settings!$C$17)</f>
        <v/>
      </c>
      <c r="BC759" s="35" t="str">
        <f aca="false">IF($B759="","",BA759-BB759)</f>
        <v/>
      </c>
      <c r="BD759" s="35" t="str">
        <f aca="false">IF(OR($B759="",$A759=""),"",DAY(EOMONTH($A759,0))-COUNTA($F759:$AJ759))</f>
        <v/>
      </c>
    </row>
    <row r="760" customFormat="false" ht="15" hidden="false" customHeight="false" outlineLevel="0" collapsed="false">
      <c r="A760" s="32"/>
      <c r="B760" s="29"/>
      <c r="C760" s="10" t="str">
        <f aca="false">IF($B760="","",IFERROR(INDEX(M_name,MATCH($B760,M_emp,0)),"Code not found"))</f>
        <v/>
      </c>
      <c r="D760" s="10" t="str">
        <f aca="false">IF($B760="","",IFERROR(INDEX(M_dept,MATCH($B760,M_emp,0)),""))</f>
        <v/>
      </c>
      <c r="E760" s="10" t="str">
        <f aca="false">IF($B760="","",IFERROR(INDEX(M_loc,MATCH($B760,M_emp,0)),""))</f>
        <v/>
      </c>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4" t="str">
        <f aca="false">IF($B760="","",COUNTIF($F760:$AJ760,"P"))</f>
        <v/>
      </c>
      <c r="AL760" s="34" t="str">
        <f aca="false">IF($B760="","",COUNTIF($F760:$AJ760,"A"))</f>
        <v/>
      </c>
      <c r="AM760" s="34" t="str">
        <f aca="false">IF($B760="","",COUNTIF($F760:$AJ760,"HA"))</f>
        <v/>
      </c>
      <c r="AN760" s="34" t="str">
        <f aca="false">IF($B760="","",COUNTIF($F760:$AJ760,"L"))</f>
        <v/>
      </c>
      <c r="AO760" s="34" t="str">
        <f aca="false">IF($B760="","",COUNTIF($F760:$AJ760,"PL"))</f>
        <v/>
      </c>
      <c r="AP760" s="34" t="str">
        <f aca="false">IF($B760="","",COUNTIF($F760:$AJ760,"CL"))</f>
        <v/>
      </c>
      <c r="AQ760" s="34" t="str">
        <f aca="false">IF($B760="","",COUNTIF($F760:$AJ760,"SL"))</f>
        <v/>
      </c>
      <c r="AR760" s="34" t="str">
        <f aca="false">IF($B760="","",COUNTIF($F760:$AJ760,"CO"))</f>
        <v/>
      </c>
      <c r="AS760" s="34" t="str">
        <f aca="false">IF($B760="","",COUNTIF($F760:$AJ760,"HPL"))</f>
        <v/>
      </c>
      <c r="AT760" s="34" t="str">
        <f aca="false">IF($B760="","",COUNTIF($F760:$AJ760,"HCL"))</f>
        <v/>
      </c>
      <c r="AU760" s="34" t="str">
        <f aca="false">IF($B760="","",COUNTIF($F760:$AJ760,"WO"))</f>
        <v/>
      </c>
      <c r="AV760" s="34" t="str">
        <f aca="false">IF($B760="","",COUNTIF($F760:$AJ760,"PH"))</f>
        <v/>
      </c>
      <c r="AW760" s="34" t="str">
        <f aca="false">IF($B760="","",COUNTIF($F760:$AJ760,"TR"))</f>
        <v/>
      </c>
      <c r="AX760" s="35" t="str">
        <f aca="false">IF($B760="","",AO760+AS760/2)</f>
        <v/>
      </c>
      <c r="AY760" s="35" t="str">
        <f aca="false">IF($B760="","",AQ760)</f>
        <v/>
      </c>
      <c r="AZ760" s="35" t="str">
        <f aca="false">IF($B760="","",AP760+AT760/2)</f>
        <v/>
      </c>
      <c r="BA760" s="35" t="str">
        <f aca="false">IF($B760="","",AK760+AN760+AM760/2+AO760+AP760+AQ760+AR760+AS760+AT760+AU760+AV760+AW760)</f>
        <v/>
      </c>
      <c r="BB760" s="35" t="str">
        <f aca="false">IF($B760="","",MAX(0,AN760-Settings!$C$16)*Settings!$C$17)</f>
        <v/>
      </c>
      <c r="BC760" s="35" t="str">
        <f aca="false">IF($B760="","",BA760-BB760)</f>
        <v/>
      </c>
      <c r="BD760" s="35" t="str">
        <f aca="false">IF(OR($B760="",$A760=""),"",DAY(EOMONTH($A760,0))-COUNTA($F760:$AJ760))</f>
        <v/>
      </c>
    </row>
    <row r="761" customFormat="false" ht="15" hidden="false" customHeight="false" outlineLevel="0" collapsed="false">
      <c r="A761" s="32"/>
      <c r="B761" s="29"/>
      <c r="C761" s="10" t="str">
        <f aca="false">IF($B761="","",IFERROR(INDEX(M_name,MATCH($B761,M_emp,0)),"Code not found"))</f>
        <v/>
      </c>
      <c r="D761" s="10" t="str">
        <f aca="false">IF($B761="","",IFERROR(INDEX(M_dept,MATCH($B761,M_emp,0)),""))</f>
        <v/>
      </c>
      <c r="E761" s="10" t="str">
        <f aca="false">IF($B761="","",IFERROR(INDEX(M_loc,MATCH($B761,M_emp,0)),""))</f>
        <v/>
      </c>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4" t="str">
        <f aca="false">IF($B761="","",COUNTIF($F761:$AJ761,"P"))</f>
        <v/>
      </c>
      <c r="AL761" s="34" t="str">
        <f aca="false">IF($B761="","",COUNTIF($F761:$AJ761,"A"))</f>
        <v/>
      </c>
      <c r="AM761" s="34" t="str">
        <f aca="false">IF($B761="","",COUNTIF($F761:$AJ761,"HA"))</f>
        <v/>
      </c>
      <c r="AN761" s="34" t="str">
        <f aca="false">IF($B761="","",COUNTIF($F761:$AJ761,"L"))</f>
        <v/>
      </c>
      <c r="AO761" s="34" t="str">
        <f aca="false">IF($B761="","",COUNTIF($F761:$AJ761,"PL"))</f>
        <v/>
      </c>
      <c r="AP761" s="34" t="str">
        <f aca="false">IF($B761="","",COUNTIF($F761:$AJ761,"CL"))</f>
        <v/>
      </c>
      <c r="AQ761" s="34" t="str">
        <f aca="false">IF($B761="","",COUNTIF($F761:$AJ761,"SL"))</f>
        <v/>
      </c>
      <c r="AR761" s="34" t="str">
        <f aca="false">IF($B761="","",COUNTIF($F761:$AJ761,"CO"))</f>
        <v/>
      </c>
      <c r="AS761" s="34" t="str">
        <f aca="false">IF($B761="","",COUNTIF($F761:$AJ761,"HPL"))</f>
        <v/>
      </c>
      <c r="AT761" s="34" t="str">
        <f aca="false">IF($B761="","",COUNTIF($F761:$AJ761,"HCL"))</f>
        <v/>
      </c>
      <c r="AU761" s="34" t="str">
        <f aca="false">IF($B761="","",COUNTIF($F761:$AJ761,"WO"))</f>
        <v/>
      </c>
      <c r="AV761" s="34" t="str">
        <f aca="false">IF($B761="","",COUNTIF($F761:$AJ761,"PH"))</f>
        <v/>
      </c>
      <c r="AW761" s="34" t="str">
        <f aca="false">IF($B761="","",COUNTIF($F761:$AJ761,"TR"))</f>
        <v/>
      </c>
      <c r="AX761" s="35" t="str">
        <f aca="false">IF($B761="","",AO761+AS761/2)</f>
        <v/>
      </c>
      <c r="AY761" s="35" t="str">
        <f aca="false">IF($B761="","",AQ761)</f>
        <v/>
      </c>
      <c r="AZ761" s="35" t="str">
        <f aca="false">IF($B761="","",AP761+AT761/2)</f>
        <v/>
      </c>
      <c r="BA761" s="35" t="str">
        <f aca="false">IF($B761="","",AK761+AN761+AM761/2+AO761+AP761+AQ761+AR761+AS761+AT761+AU761+AV761+AW761)</f>
        <v/>
      </c>
      <c r="BB761" s="35" t="str">
        <f aca="false">IF($B761="","",MAX(0,AN761-Settings!$C$16)*Settings!$C$17)</f>
        <v/>
      </c>
      <c r="BC761" s="35" t="str">
        <f aca="false">IF($B761="","",BA761-BB761)</f>
        <v/>
      </c>
      <c r="BD761" s="35" t="str">
        <f aca="false">IF(OR($B761="",$A761=""),"",DAY(EOMONTH($A761,0))-COUNTA($F761:$AJ761))</f>
        <v/>
      </c>
    </row>
    <row r="762" customFormat="false" ht="15" hidden="false" customHeight="false" outlineLevel="0" collapsed="false">
      <c r="A762" s="32"/>
      <c r="B762" s="29"/>
      <c r="C762" s="10" t="str">
        <f aca="false">IF($B762="","",IFERROR(INDEX(M_name,MATCH($B762,M_emp,0)),"Code not found"))</f>
        <v/>
      </c>
      <c r="D762" s="10" t="str">
        <f aca="false">IF($B762="","",IFERROR(INDEX(M_dept,MATCH($B762,M_emp,0)),""))</f>
        <v/>
      </c>
      <c r="E762" s="10" t="str">
        <f aca="false">IF($B762="","",IFERROR(INDEX(M_loc,MATCH($B762,M_emp,0)),""))</f>
        <v/>
      </c>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4" t="str">
        <f aca="false">IF($B762="","",COUNTIF($F762:$AJ762,"P"))</f>
        <v/>
      </c>
      <c r="AL762" s="34" t="str">
        <f aca="false">IF($B762="","",COUNTIF($F762:$AJ762,"A"))</f>
        <v/>
      </c>
      <c r="AM762" s="34" t="str">
        <f aca="false">IF($B762="","",COUNTIF($F762:$AJ762,"HA"))</f>
        <v/>
      </c>
      <c r="AN762" s="34" t="str">
        <f aca="false">IF($B762="","",COUNTIF($F762:$AJ762,"L"))</f>
        <v/>
      </c>
      <c r="AO762" s="34" t="str">
        <f aca="false">IF($B762="","",COUNTIF($F762:$AJ762,"PL"))</f>
        <v/>
      </c>
      <c r="AP762" s="34" t="str">
        <f aca="false">IF($B762="","",COUNTIF($F762:$AJ762,"CL"))</f>
        <v/>
      </c>
      <c r="AQ762" s="34" t="str">
        <f aca="false">IF($B762="","",COUNTIF($F762:$AJ762,"SL"))</f>
        <v/>
      </c>
      <c r="AR762" s="34" t="str">
        <f aca="false">IF($B762="","",COUNTIF($F762:$AJ762,"CO"))</f>
        <v/>
      </c>
      <c r="AS762" s="34" t="str">
        <f aca="false">IF($B762="","",COUNTIF($F762:$AJ762,"HPL"))</f>
        <v/>
      </c>
      <c r="AT762" s="34" t="str">
        <f aca="false">IF($B762="","",COUNTIF($F762:$AJ762,"HCL"))</f>
        <v/>
      </c>
      <c r="AU762" s="34" t="str">
        <f aca="false">IF($B762="","",COUNTIF($F762:$AJ762,"WO"))</f>
        <v/>
      </c>
      <c r="AV762" s="34" t="str">
        <f aca="false">IF($B762="","",COUNTIF($F762:$AJ762,"PH"))</f>
        <v/>
      </c>
      <c r="AW762" s="34" t="str">
        <f aca="false">IF($B762="","",COUNTIF($F762:$AJ762,"TR"))</f>
        <v/>
      </c>
      <c r="AX762" s="35" t="str">
        <f aca="false">IF($B762="","",AO762+AS762/2)</f>
        <v/>
      </c>
      <c r="AY762" s="35" t="str">
        <f aca="false">IF($B762="","",AQ762)</f>
        <v/>
      </c>
      <c r="AZ762" s="35" t="str">
        <f aca="false">IF($B762="","",AP762+AT762/2)</f>
        <v/>
      </c>
      <c r="BA762" s="35" t="str">
        <f aca="false">IF($B762="","",AK762+AN762+AM762/2+AO762+AP762+AQ762+AR762+AS762+AT762+AU762+AV762+AW762)</f>
        <v/>
      </c>
      <c r="BB762" s="35" t="str">
        <f aca="false">IF($B762="","",MAX(0,AN762-Settings!$C$16)*Settings!$C$17)</f>
        <v/>
      </c>
      <c r="BC762" s="35" t="str">
        <f aca="false">IF($B762="","",BA762-BB762)</f>
        <v/>
      </c>
      <c r="BD762" s="35" t="str">
        <f aca="false">IF(OR($B762="",$A762=""),"",DAY(EOMONTH($A762,0))-COUNTA($F762:$AJ762))</f>
        <v/>
      </c>
    </row>
    <row r="763" customFormat="false" ht="15" hidden="false" customHeight="false" outlineLevel="0" collapsed="false">
      <c r="A763" s="32"/>
      <c r="B763" s="29"/>
      <c r="C763" s="10" t="str">
        <f aca="false">IF($B763="","",IFERROR(INDEX(M_name,MATCH($B763,M_emp,0)),"Code not found"))</f>
        <v/>
      </c>
      <c r="D763" s="10" t="str">
        <f aca="false">IF($B763="","",IFERROR(INDEX(M_dept,MATCH($B763,M_emp,0)),""))</f>
        <v/>
      </c>
      <c r="E763" s="10" t="str">
        <f aca="false">IF($B763="","",IFERROR(INDEX(M_loc,MATCH($B763,M_emp,0)),""))</f>
        <v/>
      </c>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4" t="str">
        <f aca="false">IF($B763="","",COUNTIF($F763:$AJ763,"P"))</f>
        <v/>
      </c>
      <c r="AL763" s="34" t="str">
        <f aca="false">IF($B763="","",COUNTIF($F763:$AJ763,"A"))</f>
        <v/>
      </c>
      <c r="AM763" s="34" t="str">
        <f aca="false">IF($B763="","",COUNTIF($F763:$AJ763,"HA"))</f>
        <v/>
      </c>
      <c r="AN763" s="34" t="str">
        <f aca="false">IF($B763="","",COUNTIF($F763:$AJ763,"L"))</f>
        <v/>
      </c>
      <c r="AO763" s="34" t="str">
        <f aca="false">IF($B763="","",COUNTIF($F763:$AJ763,"PL"))</f>
        <v/>
      </c>
      <c r="AP763" s="34" t="str">
        <f aca="false">IF($B763="","",COUNTIF($F763:$AJ763,"CL"))</f>
        <v/>
      </c>
      <c r="AQ763" s="34" t="str">
        <f aca="false">IF($B763="","",COUNTIF($F763:$AJ763,"SL"))</f>
        <v/>
      </c>
      <c r="AR763" s="34" t="str">
        <f aca="false">IF($B763="","",COUNTIF($F763:$AJ763,"CO"))</f>
        <v/>
      </c>
      <c r="AS763" s="34" t="str">
        <f aca="false">IF($B763="","",COUNTIF($F763:$AJ763,"HPL"))</f>
        <v/>
      </c>
      <c r="AT763" s="34" t="str">
        <f aca="false">IF($B763="","",COUNTIF($F763:$AJ763,"HCL"))</f>
        <v/>
      </c>
      <c r="AU763" s="34" t="str">
        <f aca="false">IF($B763="","",COUNTIF($F763:$AJ763,"WO"))</f>
        <v/>
      </c>
      <c r="AV763" s="34" t="str">
        <f aca="false">IF($B763="","",COUNTIF($F763:$AJ763,"PH"))</f>
        <v/>
      </c>
      <c r="AW763" s="34" t="str">
        <f aca="false">IF($B763="","",COUNTIF($F763:$AJ763,"TR"))</f>
        <v/>
      </c>
      <c r="AX763" s="35" t="str">
        <f aca="false">IF($B763="","",AO763+AS763/2)</f>
        <v/>
      </c>
      <c r="AY763" s="35" t="str">
        <f aca="false">IF($B763="","",AQ763)</f>
        <v/>
      </c>
      <c r="AZ763" s="35" t="str">
        <f aca="false">IF($B763="","",AP763+AT763/2)</f>
        <v/>
      </c>
      <c r="BA763" s="35" t="str">
        <f aca="false">IF($B763="","",AK763+AN763+AM763/2+AO763+AP763+AQ763+AR763+AS763+AT763+AU763+AV763+AW763)</f>
        <v/>
      </c>
      <c r="BB763" s="35" t="str">
        <f aca="false">IF($B763="","",MAX(0,AN763-Settings!$C$16)*Settings!$C$17)</f>
        <v/>
      </c>
      <c r="BC763" s="35" t="str">
        <f aca="false">IF($B763="","",BA763-BB763)</f>
        <v/>
      </c>
      <c r="BD763" s="35" t="str">
        <f aca="false">IF(OR($B763="",$A763=""),"",DAY(EOMONTH($A763,0))-COUNTA($F763:$AJ763))</f>
        <v/>
      </c>
    </row>
    <row r="764" customFormat="false" ht="15" hidden="false" customHeight="false" outlineLevel="0" collapsed="false">
      <c r="A764" s="32"/>
      <c r="B764" s="29"/>
      <c r="C764" s="10" t="str">
        <f aca="false">IF($B764="","",IFERROR(INDEX(M_name,MATCH($B764,M_emp,0)),"Code not found"))</f>
        <v/>
      </c>
      <c r="D764" s="10" t="str">
        <f aca="false">IF($B764="","",IFERROR(INDEX(M_dept,MATCH($B764,M_emp,0)),""))</f>
        <v/>
      </c>
      <c r="E764" s="10" t="str">
        <f aca="false">IF($B764="","",IFERROR(INDEX(M_loc,MATCH($B764,M_emp,0)),""))</f>
        <v/>
      </c>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4" t="str">
        <f aca="false">IF($B764="","",COUNTIF($F764:$AJ764,"P"))</f>
        <v/>
      </c>
      <c r="AL764" s="34" t="str">
        <f aca="false">IF($B764="","",COUNTIF($F764:$AJ764,"A"))</f>
        <v/>
      </c>
      <c r="AM764" s="34" t="str">
        <f aca="false">IF($B764="","",COUNTIF($F764:$AJ764,"HA"))</f>
        <v/>
      </c>
      <c r="AN764" s="34" t="str">
        <f aca="false">IF($B764="","",COUNTIF($F764:$AJ764,"L"))</f>
        <v/>
      </c>
      <c r="AO764" s="34" t="str">
        <f aca="false">IF($B764="","",COUNTIF($F764:$AJ764,"PL"))</f>
        <v/>
      </c>
      <c r="AP764" s="34" t="str">
        <f aca="false">IF($B764="","",COUNTIF($F764:$AJ764,"CL"))</f>
        <v/>
      </c>
      <c r="AQ764" s="34" t="str">
        <f aca="false">IF($B764="","",COUNTIF($F764:$AJ764,"SL"))</f>
        <v/>
      </c>
      <c r="AR764" s="34" t="str">
        <f aca="false">IF($B764="","",COUNTIF($F764:$AJ764,"CO"))</f>
        <v/>
      </c>
      <c r="AS764" s="34" t="str">
        <f aca="false">IF($B764="","",COUNTIF($F764:$AJ764,"HPL"))</f>
        <v/>
      </c>
      <c r="AT764" s="34" t="str">
        <f aca="false">IF($B764="","",COUNTIF($F764:$AJ764,"HCL"))</f>
        <v/>
      </c>
      <c r="AU764" s="34" t="str">
        <f aca="false">IF($B764="","",COUNTIF($F764:$AJ764,"WO"))</f>
        <v/>
      </c>
      <c r="AV764" s="34" t="str">
        <f aca="false">IF($B764="","",COUNTIF($F764:$AJ764,"PH"))</f>
        <v/>
      </c>
      <c r="AW764" s="34" t="str">
        <f aca="false">IF($B764="","",COUNTIF($F764:$AJ764,"TR"))</f>
        <v/>
      </c>
      <c r="AX764" s="35" t="str">
        <f aca="false">IF($B764="","",AO764+AS764/2)</f>
        <v/>
      </c>
      <c r="AY764" s="35" t="str">
        <f aca="false">IF($B764="","",AQ764)</f>
        <v/>
      </c>
      <c r="AZ764" s="35" t="str">
        <f aca="false">IF($B764="","",AP764+AT764/2)</f>
        <v/>
      </c>
      <c r="BA764" s="35" t="str">
        <f aca="false">IF($B764="","",AK764+AN764+AM764/2+AO764+AP764+AQ764+AR764+AS764+AT764+AU764+AV764+AW764)</f>
        <v/>
      </c>
      <c r="BB764" s="35" t="str">
        <f aca="false">IF($B764="","",MAX(0,AN764-Settings!$C$16)*Settings!$C$17)</f>
        <v/>
      </c>
      <c r="BC764" s="35" t="str">
        <f aca="false">IF($B764="","",BA764-BB764)</f>
        <v/>
      </c>
      <c r="BD764" s="35" t="str">
        <f aca="false">IF(OR($B764="",$A764=""),"",DAY(EOMONTH($A764,0))-COUNTA($F764:$AJ764))</f>
        <v/>
      </c>
    </row>
    <row r="765" customFormat="false" ht="15" hidden="false" customHeight="false" outlineLevel="0" collapsed="false">
      <c r="A765" s="32"/>
      <c r="B765" s="29"/>
      <c r="C765" s="10" t="str">
        <f aca="false">IF($B765="","",IFERROR(INDEX(M_name,MATCH($B765,M_emp,0)),"Code not found"))</f>
        <v/>
      </c>
      <c r="D765" s="10" t="str">
        <f aca="false">IF($B765="","",IFERROR(INDEX(M_dept,MATCH($B765,M_emp,0)),""))</f>
        <v/>
      </c>
      <c r="E765" s="10" t="str">
        <f aca="false">IF($B765="","",IFERROR(INDEX(M_loc,MATCH($B765,M_emp,0)),""))</f>
        <v/>
      </c>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4" t="str">
        <f aca="false">IF($B765="","",COUNTIF($F765:$AJ765,"P"))</f>
        <v/>
      </c>
      <c r="AL765" s="34" t="str">
        <f aca="false">IF($B765="","",COUNTIF($F765:$AJ765,"A"))</f>
        <v/>
      </c>
      <c r="AM765" s="34" t="str">
        <f aca="false">IF($B765="","",COUNTIF($F765:$AJ765,"HA"))</f>
        <v/>
      </c>
      <c r="AN765" s="34" t="str">
        <f aca="false">IF($B765="","",COUNTIF($F765:$AJ765,"L"))</f>
        <v/>
      </c>
      <c r="AO765" s="34" t="str">
        <f aca="false">IF($B765="","",COUNTIF($F765:$AJ765,"PL"))</f>
        <v/>
      </c>
      <c r="AP765" s="34" t="str">
        <f aca="false">IF($B765="","",COUNTIF($F765:$AJ765,"CL"))</f>
        <v/>
      </c>
      <c r="AQ765" s="34" t="str">
        <f aca="false">IF($B765="","",COUNTIF($F765:$AJ765,"SL"))</f>
        <v/>
      </c>
      <c r="AR765" s="34" t="str">
        <f aca="false">IF($B765="","",COUNTIF($F765:$AJ765,"CO"))</f>
        <v/>
      </c>
      <c r="AS765" s="34" t="str">
        <f aca="false">IF($B765="","",COUNTIF($F765:$AJ765,"HPL"))</f>
        <v/>
      </c>
      <c r="AT765" s="34" t="str">
        <f aca="false">IF($B765="","",COUNTIF($F765:$AJ765,"HCL"))</f>
        <v/>
      </c>
      <c r="AU765" s="34" t="str">
        <f aca="false">IF($B765="","",COUNTIF($F765:$AJ765,"WO"))</f>
        <v/>
      </c>
      <c r="AV765" s="34" t="str">
        <f aca="false">IF($B765="","",COUNTIF($F765:$AJ765,"PH"))</f>
        <v/>
      </c>
      <c r="AW765" s="34" t="str">
        <f aca="false">IF($B765="","",COUNTIF($F765:$AJ765,"TR"))</f>
        <v/>
      </c>
      <c r="AX765" s="35" t="str">
        <f aca="false">IF($B765="","",AO765+AS765/2)</f>
        <v/>
      </c>
      <c r="AY765" s="35" t="str">
        <f aca="false">IF($B765="","",AQ765)</f>
        <v/>
      </c>
      <c r="AZ765" s="35" t="str">
        <f aca="false">IF($B765="","",AP765+AT765/2)</f>
        <v/>
      </c>
      <c r="BA765" s="35" t="str">
        <f aca="false">IF($B765="","",AK765+AN765+AM765/2+AO765+AP765+AQ765+AR765+AS765+AT765+AU765+AV765+AW765)</f>
        <v/>
      </c>
      <c r="BB765" s="35" t="str">
        <f aca="false">IF($B765="","",MAX(0,AN765-Settings!$C$16)*Settings!$C$17)</f>
        <v/>
      </c>
      <c r="BC765" s="35" t="str">
        <f aca="false">IF($B765="","",BA765-BB765)</f>
        <v/>
      </c>
      <c r="BD765" s="35" t="str">
        <f aca="false">IF(OR($B765="",$A765=""),"",DAY(EOMONTH($A765,0))-COUNTA($F765:$AJ765))</f>
        <v/>
      </c>
    </row>
    <row r="766" customFormat="false" ht="15" hidden="false" customHeight="false" outlineLevel="0" collapsed="false">
      <c r="A766" s="32"/>
      <c r="B766" s="29"/>
      <c r="C766" s="10" t="str">
        <f aca="false">IF($B766="","",IFERROR(INDEX(M_name,MATCH($B766,M_emp,0)),"Code not found"))</f>
        <v/>
      </c>
      <c r="D766" s="10" t="str">
        <f aca="false">IF($B766="","",IFERROR(INDEX(M_dept,MATCH($B766,M_emp,0)),""))</f>
        <v/>
      </c>
      <c r="E766" s="10" t="str">
        <f aca="false">IF($B766="","",IFERROR(INDEX(M_loc,MATCH($B766,M_emp,0)),""))</f>
        <v/>
      </c>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4" t="str">
        <f aca="false">IF($B766="","",COUNTIF($F766:$AJ766,"P"))</f>
        <v/>
      </c>
      <c r="AL766" s="34" t="str">
        <f aca="false">IF($B766="","",COUNTIF($F766:$AJ766,"A"))</f>
        <v/>
      </c>
      <c r="AM766" s="34" t="str">
        <f aca="false">IF($B766="","",COUNTIF($F766:$AJ766,"HA"))</f>
        <v/>
      </c>
      <c r="AN766" s="34" t="str">
        <f aca="false">IF($B766="","",COUNTIF($F766:$AJ766,"L"))</f>
        <v/>
      </c>
      <c r="AO766" s="34" t="str">
        <f aca="false">IF($B766="","",COUNTIF($F766:$AJ766,"PL"))</f>
        <v/>
      </c>
      <c r="AP766" s="34" t="str">
        <f aca="false">IF($B766="","",COUNTIF($F766:$AJ766,"CL"))</f>
        <v/>
      </c>
      <c r="AQ766" s="34" t="str">
        <f aca="false">IF($B766="","",COUNTIF($F766:$AJ766,"SL"))</f>
        <v/>
      </c>
      <c r="AR766" s="34" t="str">
        <f aca="false">IF($B766="","",COUNTIF($F766:$AJ766,"CO"))</f>
        <v/>
      </c>
      <c r="AS766" s="34" t="str">
        <f aca="false">IF($B766="","",COUNTIF($F766:$AJ766,"HPL"))</f>
        <v/>
      </c>
      <c r="AT766" s="34" t="str">
        <f aca="false">IF($B766="","",COUNTIF($F766:$AJ766,"HCL"))</f>
        <v/>
      </c>
      <c r="AU766" s="34" t="str">
        <f aca="false">IF($B766="","",COUNTIF($F766:$AJ766,"WO"))</f>
        <v/>
      </c>
      <c r="AV766" s="34" t="str">
        <f aca="false">IF($B766="","",COUNTIF($F766:$AJ766,"PH"))</f>
        <v/>
      </c>
      <c r="AW766" s="34" t="str">
        <f aca="false">IF($B766="","",COUNTIF($F766:$AJ766,"TR"))</f>
        <v/>
      </c>
      <c r="AX766" s="35" t="str">
        <f aca="false">IF($B766="","",AO766+AS766/2)</f>
        <v/>
      </c>
      <c r="AY766" s="35" t="str">
        <f aca="false">IF($B766="","",AQ766)</f>
        <v/>
      </c>
      <c r="AZ766" s="35" t="str">
        <f aca="false">IF($B766="","",AP766+AT766/2)</f>
        <v/>
      </c>
      <c r="BA766" s="35" t="str">
        <f aca="false">IF($B766="","",AK766+AN766+AM766/2+AO766+AP766+AQ766+AR766+AS766+AT766+AU766+AV766+AW766)</f>
        <v/>
      </c>
      <c r="BB766" s="35" t="str">
        <f aca="false">IF($B766="","",MAX(0,AN766-Settings!$C$16)*Settings!$C$17)</f>
        <v/>
      </c>
      <c r="BC766" s="35" t="str">
        <f aca="false">IF($B766="","",BA766-BB766)</f>
        <v/>
      </c>
      <c r="BD766" s="35" t="str">
        <f aca="false">IF(OR($B766="",$A766=""),"",DAY(EOMONTH($A766,0))-COUNTA($F766:$AJ766))</f>
        <v/>
      </c>
    </row>
    <row r="767" customFormat="false" ht="15" hidden="false" customHeight="false" outlineLevel="0" collapsed="false">
      <c r="A767" s="32"/>
      <c r="B767" s="29"/>
      <c r="C767" s="10" t="str">
        <f aca="false">IF($B767="","",IFERROR(INDEX(M_name,MATCH($B767,M_emp,0)),"Code not found"))</f>
        <v/>
      </c>
      <c r="D767" s="10" t="str">
        <f aca="false">IF($B767="","",IFERROR(INDEX(M_dept,MATCH($B767,M_emp,0)),""))</f>
        <v/>
      </c>
      <c r="E767" s="10" t="str">
        <f aca="false">IF($B767="","",IFERROR(INDEX(M_loc,MATCH($B767,M_emp,0)),""))</f>
        <v/>
      </c>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4" t="str">
        <f aca="false">IF($B767="","",COUNTIF($F767:$AJ767,"P"))</f>
        <v/>
      </c>
      <c r="AL767" s="34" t="str">
        <f aca="false">IF($B767="","",COUNTIF($F767:$AJ767,"A"))</f>
        <v/>
      </c>
      <c r="AM767" s="34" t="str">
        <f aca="false">IF($B767="","",COUNTIF($F767:$AJ767,"HA"))</f>
        <v/>
      </c>
      <c r="AN767" s="34" t="str">
        <f aca="false">IF($B767="","",COUNTIF($F767:$AJ767,"L"))</f>
        <v/>
      </c>
      <c r="AO767" s="34" t="str">
        <f aca="false">IF($B767="","",COUNTIF($F767:$AJ767,"PL"))</f>
        <v/>
      </c>
      <c r="AP767" s="34" t="str">
        <f aca="false">IF($B767="","",COUNTIF($F767:$AJ767,"CL"))</f>
        <v/>
      </c>
      <c r="AQ767" s="34" t="str">
        <f aca="false">IF($B767="","",COUNTIF($F767:$AJ767,"SL"))</f>
        <v/>
      </c>
      <c r="AR767" s="34" t="str">
        <f aca="false">IF($B767="","",COUNTIF($F767:$AJ767,"CO"))</f>
        <v/>
      </c>
      <c r="AS767" s="34" t="str">
        <f aca="false">IF($B767="","",COUNTIF($F767:$AJ767,"HPL"))</f>
        <v/>
      </c>
      <c r="AT767" s="34" t="str">
        <f aca="false">IF($B767="","",COUNTIF($F767:$AJ767,"HCL"))</f>
        <v/>
      </c>
      <c r="AU767" s="34" t="str">
        <f aca="false">IF($B767="","",COUNTIF($F767:$AJ767,"WO"))</f>
        <v/>
      </c>
      <c r="AV767" s="34" t="str">
        <f aca="false">IF($B767="","",COUNTIF($F767:$AJ767,"PH"))</f>
        <v/>
      </c>
      <c r="AW767" s="34" t="str">
        <f aca="false">IF($B767="","",COUNTIF($F767:$AJ767,"TR"))</f>
        <v/>
      </c>
      <c r="AX767" s="35" t="str">
        <f aca="false">IF($B767="","",AO767+AS767/2)</f>
        <v/>
      </c>
      <c r="AY767" s="35" t="str">
        <f aca="false">IF($B767="","",AQ767)</f>
        <v/>
      </c>
      <c r="AZ767" s="35" t="str">
        <f aca="false">IF($B767="","",AP767+AT767/2)</f>
        <v/>
      </c>
      <c r="BA767" s="35" t="str">
        <f aca="false">IF($B767="","",AK767+AN767+AM767/2+AO767+AP767+AQ767+AR767+AS767+AT767+AU767+AV767+AW767)</f>
        <v/>
      </c>
      <c r="BB767" s="35" t="str">
        <f aca="false">IF($B767="","",MAX(0,AN767-Settings!$C$16)*Settings!$C$17)</f>
        <v/>
      </c>
      <c r="BC767" s="35" t="str">
        <f aca="false">IF($B767="","",BA767-BB767)</f>
        <v/>
      </c>
      <c r="BD767" s="35" t="str">
        <f aca="false">IF(OR($B767="",$A767=""),"",DAY(EOMONTH($A767,0))-COUNTA($F767:$AJ767))</f>
        <v/>
      </c>
    </row>
    <row r="768" customFormat="false" ht="15" hidden="false" customHeight="false" outlineLevel="0" collapsed="false">
      <c r="A768" s="32"/>
      <c r="B768" s="29"/>
      <c r="C768" s="10" t="str">
        <f aca="false">IF($B768="","",IFERROR(INDEX(M_name,MATCH($B768,M_emp,0)),"Code not found"))</f>
        <v/>
      </c>
      <c r="D768" s="10" t="str">
        <f aca="false">IF($B768="","",IFERROR(INDEX(M_dept,MATCH($B768,M_emp,0)),""))</f>
        <v/>
      </c>
      <c r="E768" s="10" t="str">
        <f aca="false">IF($B768="","",IFERROR(INDEX(M_loc,MATCH($B768,M_emp,0)),""))</f>
        <v/>
      </c>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4" t="str">
        <f aca="false">IF($B768="","",COUNTIF($F768:$AJ768,"P"))</f>
        <v/>
      </c>
      <c r="AL768" s="34" t="str">
        <f aca="false">IF($B768="","",COUNTIF($F768:$AJ768,"A"))</f>
        <v/>
      </c>
      <c r="AM768" s="34" t="str">
        <f aca="false">IF($B768="","",COUNTIF($F768:$AJ768,"HA"))</f>
        <v/>
      </c>
      <c r="AN768" s="34" t="str">
        <f aca="false">IF($B768="","",COUNTIF($F768:$AJ768,"L"))</f>
        <v/>
      </c>
      <c r="AO768" s="34" t="str">
        <f aca="false">IF($B768="","",COUNTIF($F768:$AJ768,"PL"))</f>
        <v/>
      </c>
      <c r="AP768" s="34" t="str">
        <f aca="false">IF($B768="","",COUNTIF($F768:$AJ768,"CL"))</f>
        <v/>
      </c>
      <c r="AQ768" s="34" t="str">
        <f aca="false">IF($B768="","",COUNTIF($F768:$AJ768,"SL"))</f>
        <v/>
      </c>
      <c r="AR768" s="34" t="str">
        <f aca="false">IF($B768="","",COUNTIF($F768:$AJ768,"CO"))</f>
        <v/>
      </c>
      <c r="AS768" s="34" t="str">
        <f aca="false">IF($B768="","",COUNTIF($F768:$AJ768,"HPL"))</f>
        <v/>
      </c>
      <c r="AT768" s="34" t="str">
        <f aca="false">IF($B768="","",COUNTIF($F768:$AJ768,"HCL"))</f>
        <v/>
      </c>
      <c r="AU768" s="34" t="str">
        <f aca="false">IF($B768="","",COUNTIF($F768:$AJ768,"WO"))</f>
        <v/>
      </c>
      <c r="AV768" s="34" t="str">
        <f aca="false">IF($B768="","",COUNTIF($F768:$AJ768,"PH"))</f>
        <v/>
      </c>
      <c r="AW768" s="34" t="str">
        <f aca="false">IF($B768="","",COUNTIF($F768:$AJ768,"TR"))</f>
        <v/>
      </c>
      <c r="AX768" s="35" t="str">
        <f aca="false">IF($B768="","",AO768+AS768/2)</f>
        <v/>
      </c>
      <c r="AY768" s="35" t="str">
        <f aca="false">IF($B768="","",AQ768)</f>
        <v/>
      </c>
      <c r="AZ768" s="35" t="str">
        <f aca="false">IF($B768="","",AP768+AT768/2)</f>
        <v/>
      </c>
      <c r="BA768" s="35" t="str">
        <f aca="false">IF($B768="","",AK768+AN768+AM768/2+AO768+AP768+AQ768+AR768+AS768+AT768+AU768+AV768+AW768)</f>
        <v/>
      </c>
      <c r="BB768" s="35" t="str">
        <f aca="false">IF($B768="","",MAX(0,AN768-Settings!$C$16)*Settings!$C$17)</f>
        <v/>
      </c>
      <c r="BC768" s="35" t="str">
        <f aca="false">IF($B768="","",BA768-BB768)</f>
        <v/>
      </c>
      <c r="BD768" s="35" t="str">
        <f aca="false">IF(OR($B768="",$A768=""),"",DAY(EOMONTH($A768,0))-COUNTA($F768:$AJ768))</f>
        <v/>
      </c>
    </row>
    <row r="769" customFormat="false" ht="15" hidden="false" customHeight="false" outlineLevel="0" collapsed="false">
      <c r="A769" s="32"/>
      <c r="B769" s="29"/>
      <c r="C769" s="10" t="str">
        <f aca="false">IF($B769="","",IFERROR(INDEX(M_name,MATCH($B769,M_emp,0)),"Code not found"))</f>
        <v/>
      </c>
      <c r="D769" s="10" t="str">
        <f aca="false">IF($B769="","",IFERROR(INDEX(M_dept,MATCH($B769,M_emp,0)),""))</f>
        <v/>
      </c>
      <c r="E769" s="10" t="str">
        <f aca="false">IF($B769="","",IFERROR(INDEX(M_loc,MATCH($B769,M_emp,0)),""))</f>
        <v/>
      </c>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4" t="str">
        <f aca="false">IF($B769="","",COUNTIF($F769:$AJ769,"P"))</f>
        <v/>
      </c>
      <c r="AL769" s="34" t="str">
        <f aca="false">IF($B769="","",COUNTIF($F769:$AJ769,"A"))</f>
        <v/>
      </c>
      <c r="AM769" s="34" t="str">
        <f aca="false">IF($B769="","",COUNTIF($F769:$AJ769,"HA"))</f>
        <v/>
      </c>
      <c r="AN769" s="34" t="str">
        <f aca="false">IF($B769="","",COUNTIF($F769:$AJ769,"L"))</f>
        <v/>
      </c>
      <c r="AO769" s="34" t="str">
        <f aca="false">IF($B769="","",COUNTIF($F769:$AJ769,"PL"))</f>
        <v/>
      </c>
      <c r="AP769" s="34" t="str">
        <f aca="false">IF($B769="","",COUNTIF($F769:$AJ769,"CL"))</f>
        <v/>
      </c>
      <c r="AQ769" s="34" t="str">
        <f aca="false">IF($B769="","",COUNTIF($F769:$AJ769,"SL"))</f>
        <v/>
      </c>
      <c r="AR769" s="34" t="str">
        <f aca="false">IF($B769="","",COUNTIF($F769:$AJ769,"CO"))</f>
        <v/>
      </c>
      <c r="AS769" s="34" t="str">
        <f aca="false">IF($B769="","",COUNTIF($F769:$AJ769,"HPL"))</f>
        <v/>
      </c>
      <c r="AT769" s="34" t="str">
        <f aca="false">IF($B769="","",COUNTIF($F769:$AJ769,"HCL"))</f>
        <v/>
      </c>
      <c r="AU769" s="34" t="str">
        <f aca="false">IF($B769="","",COUNTIF($F769:$AJ769,"WO"))</f>
        <v/>
      </c>
      <c r="AV769" s="34" t="str">
        <f aca="false">IF($B769="","",COUNTIF($F769:$AJ769,"PH"))</f>
        <v/>
      </c>
      <c r="AW769" s="34" t="str">
        <f aca="false">IF($B769="","",COUNTIF($F769:$AJ769,"TR"))</f>
        <v/>
      </c>
      <c r="AX769" s="35" t="str">
        <f aca="false">IF($B769="","",AO769+AS769/2)</f>
        <v/>
      </c>
      <c r="AY769" s="35" t="str">
        <f aca="false">IF($B769="","",AQ769)</f>
        <v/>
      </c>
      <c r="AZ769" s="35" t="str">
        <f aca="false">IF($B769="","",AP769+AT769/2)</f>
        <v/>
      </c>
      <c r="BA769" s="35" t="str">
        <f aca="false">IF($B769="","",AK769+AN769+AM769/2+AO769+AP769+AQ769+AR769+AS769+AT769+AU769+AV769+AW769)</f>
        <v/>
      </c>
      <c r="BB769" s="35" t="str">
        <f aca="false">IF($B769="","",MAX(0,AN769-Settings!$C$16)*Settings!$C$17)</f>
        <v/>
      </c>
      <c r="BC769" s="35" t="str">
        <f aca="false">IF($B769="","",BA769-BB769)</f>
        <v/>
      </c>
      <c r="BD769" s="35" t="str">
        <f aca="false">IF(OR($B769="",$A769=""),"",DAY(EOMONTH($A769,0))-COUNTA($F769:$AJ769))</f>
        <v/>
      </c>
    </row>
    <row r="770" customFormat="false" ht="15" hidden="false" customHeight="false" outlineLevel="0" collapsed="false">
      <c r="A770" s="32"/>
      <c r="B770" s="29"/>
      <c r="C770" s="10" t="str">
        <f aca="false">IF($B770="","",IFERROR(INDEX(M_name,MATCH($B770,M_emp,0)),"Code not found"))</f>
        <v/>
      </c>
      <c r="D770" s="10" t="str">
        <f aca="false">IF($B770="","",IFERROR(INDEX(M_dept,MATCH($B770,M_emp,0)),""))</f>
        <v/>
      </c>
      <c r="E770" s="10" t="str">
        <f aca="false">IF($B770="","",IFERROR(INDEX(M_loc,MATCH($B770,M_emp,0)),""))</f>
        <v/>
      </c>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4" t="str">
        <f aca="false">IF($B770="","",COUNTIF($F770:$AJ770,"P"))</f>
        <v/>
      </c>
      <c r="AL770" s="34" t="str">
        <f aca="false">IF($B770="","",COUNTIF($F770:$AJ770,"A"))</f>
        <v/>
      </c>
      <c r="AM770" s="34" t="str">
        <f aca="false">IF($B770="","",COUNTIF($F770:$AJ770,"HA"))</f>
        <v/>
      </c>
      <c r="AN770" s="34" t="str">
        <f aca="false">IF($B770="","",COUNTIF($F770:$AJ770,"L"))</f>
        <v/>
      </c>
      <c r="AO770" s="34" t="str">
        <f aca="false">IF($B770="","",COUNTIF($F770:$AJ770,"PL"))</f>
        <v/>
      </c>
      <c r="AP770" s="34" t="str">
        <f aca="false">IF($B770="","",COUNTIF($F770:$AJ770,"CL"))</f>
        <v/>
      </c>
      <c r="AQ770" s="34" t="str">
        <f aca="false">IF($B770="","",COUNTIF($F770:$AJ770,"SL"))</f>
        <v/>
      </c>
      <c r="AR770" s="34" t="str">
        <f aca="false">IF($B770="","",COUNTIF($F770:$AJ770,"CO"))</f>
        <v/>
      </c>
      <c r="AS770" s="34" t="str">
        <f aca="false">IF($B770="","",COUNTIF($F770:$AJ770,"HPL"))</f>
        <v/>
      </c>
      <c r="AT770" s="34" t="str">
        <f aca="false">IF($B770="","",COUNTIF($F770:$AJ770,"HCL"))</f>
        <v/>
      </c>
      <c r="AU770" s="34" t="str">
        <f aca="false">IF($B770="","",COUNTIF($F770:$AJ770,"WO"))</f>
        <v/>
      </c>
      <c r="AV770" s="34" t="str">
        <f aca="false">IF($B770="","",COUNTIF($F770:$AJ770,"PH"))</f>
        <v/>
      </c>
      <c r="AW770" s="34" t="str">
        <f aca="false">IF($B770="","",COUNTIF($F770:$AJ770,"TR"))</f>
        <v/>
      </c>
      <c r="AX770" s="35" t="str">
        <f aca="false">IF($B770="","",AO770+AS770/2)</f>
        <v/>
      </c>
      <c r="AY770" s="35" t="str">
        <f aca="false">IF($B770="","",AQ770)</f>
        <v/>
      </c>
      <c r="AZ770" s="35" t="str">
        <f aca="false">IF($B770="","",AP770+AT770/2)</f>
        <v/>
      </c>
      <c r="BA770" s="35" t="str">
        <f aca="false">IF($B770="","",AK770+AN770+AM770/2+AO770+AP770+AQ770+AR770+AS770+AT770+AU770+AV770+AW770)</f>
        <v/>
      </c>
      <c r="BB770" s="35" t="str">
        <f aca="false">IF($B770="","",MAX(0,AN770-Settings!$C$16)*Settings!$C$17)</f>
        <v/>
      </c>
      <c r="BC770" s="35" t="str">
        <f aca="false">IF($B770="","",BA770-BB770)</f>
        <v/>
      </c>
      <c r="BD770" s="35" t="str">
        <f aca="false">IF(OR($B770="",$A770=""),"",DAY(EOMONTH($A770,0))-COUNTA($F770:$AJ770))</f>
        <v/>
      </c>
    </row>
    <row r="771" customFormat="false" ht="15" hidden="false" customHeight="false" outlineLevel="0" collapsed="false">
      <c r="A771" s="32"/>
      <c r="B771" s="29"/>
      <c r="C771" s="10" t="str">
        <f aca="false">IF($B771="","",IFERROR(INDEX(M_name,MATCH($B771,M_emp,0)),"Code not found"))</f>
        <v/>
      </c>
      <c r="D771" s="10" t="str">
        <f aca="false">IF($B771="","",IFERROR(INDEX(M_dept,MATCH($B771,M_emp,0)),""))</f>
        <v/>
      </c>
      <c r="E771" s="10" t="str">
        <f aca="false">IF($B771="","",IFERROR(INDEX(M_loc,MATCH($B771,M_emp,0)),""))</f>
        <v/>
      </c>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4" t="str">
        <f aca="false">IF($B771="","",COUNTIF($F771:$AJ771,"P"))</f>
        <v/>
      </c>
      <c r="AL771" s="34" t="str">
        <f aca="false">IF($B771="","",COUNTIF($F771:$AJ771,"A"))</f>
        <v/>
      </c>
      <c r="AM771" s="34" t="str">
        <f aca="false">IF($B771="","",COUNTIF($F771:$AJ771,"HA"))</f>
        <v/>
      </c>
      <c r="AN771" s="34" t="str">
        <f aca="false">IF($B771="","",COUNTIF($F771:$AJ771,"L"))</f>
        <v/>
      </c>
      <c r="AO771" s="34" t="str">
        <f aca="false">IF($B771="","",COUNTIF($F771:$AJ771,"PL"))</f>
        <v/>
      </c>
      <c r="AP771" s="34" t="str">
        <f aca="false">IF($B771="","",COUNTIF($F771:$AJ771,"CL"))</f>
        <v/>
      </c>
      <c r="AQ771" s="34" t="str">
        <f aca="false">IF($B771="","",COUNTIF($F771:$AJ771,"SL"))</f>
        <v/>
      </c>
      <c r="AR771" s="34" t="str">
        <f aca="false">IF($B771="","",COUNTIF($F771:$AJ771,"CO"))</f>
        <v/>
      </c>
      <c r="AS771" s="34" t="str">
        <f aca="false">IF($B771="","",COUNTIF($F771:$AJ771,"HPL"))</f>
        <v/>
      </c>
      <c r="AT771" s="34" t="str">
        <f aca="false">IF($B771="","",COUNTIF($F771:$AJ771,"HCL"))</f>
        <v/>
      </c>
      <c r="AU771" s="34" t="str">
        <f aca="false">IF($B771="","",COUNTIF($F771:$AJ771,"WO"))</f>
        <v/>
      </c>
      <c r="AV771" s="34" t="str">
        <f aca="false">IF($B771="","",COUNTIF($F771:$AJ771,"PH"))</f>
        <v/>
      </c>
      <c r="AW771" s="34" t="str">
        <f aca="false">IF($B771="","",COUNTIF($F771:$AJ771,"TR"))</f>
        <v/>
      </c>
      <c r="AX771" s="35" t="str">
        <f aca="false">IF($B771="","",AO771+AS771/2)</f>
        <v/>
      </c>
      <c r="AY771" s="35" t="str">
        <f aca="false">IF($B771="","",AQ771)</f>
        <v/>
      </c>
      <c r="AZ771" s="35" t="str">
        <f aca="false">IF($B771="","",AP771+AT771/2)</f>
        <v/>
      </c>
      <c r="BA771" s="35" t="str">
        <f aca="false">IF($B771="","",AK771+AN771+AM771/2+AO771+AP771+AQ771+AR771+AS771+AT771+AU771+AV771+AW771)</f>
        <v/>
      </c>
      <c r="BB771" s="35" t="str">
        <f aca="false">IF($B771="","",MAX(0,AN771-Settings!$C$16)*Settings!$C$17)</f>
        <v/>
      </c>
      <c r="BC771" s="35" t="str">
        <f aca="false">IF($B771="","",BA771-BB771)</f>
        <v/>
      </c>
      <c r="BD771" s="35" t="str">
        <f aca="false">IF(OR($B771="",$A771=""),"",DAY(EOMONTH($A771,0))-COUNTA($F771:$AJ771))</f>
        <v/>
      </c>
    </row>
    <row r="772" customFormat="false" ht="15" hidden="false" customHeight="false" outlineLevel="0" collapsed="false">
      <c r="A772" s="32"/>
      <c r="B772" s="29"/>
      <c r="C772" s="10" t="str">
        <f aca="false">IF($B772="","",IFERROR(INDEX(M_name,MATCH($B772,M_emp,0)),"Code not found"))</f>
        <v/>
      </c>
      <c r="D772" s="10" t="str">
        <f aca="false">IF($B772="","",IFERROR(INDEX(M_dept,MATCH($B772,M_emp,0)),""))</f>
        <v/>
      </c>
      <c r="E772" s="10" t="str">
        <f aca="false">IF($B772="","",IFERROR(INDEX(M_loc,MATCH($B772,M_emp,0)),""))</f>
        <v/>
      </c>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4" t="str">
        <f aca="false">IF($B772="","",COUNTIF($F772:$AJ772,"P"))</f>
        <v/>
      </c>
      <c r="AL772" s="34" t="str">
        <f aca="false">IF($B772="","",COUNTIF($F772:$AJ772,"A"))</f>
        <v/>
      </c>
      <c r="AM772" s="34" t="str">
        <f aca="false">IF($B772="","",COUNTIF($F772:$AJ772,"HA"))</f>
        <v/>
      </c>
      <c r="AN772" s="34" t="str">
        <f aca="false">IF($B772="","",COUNTIF($F772:$AJ772,"L"))</f>
        <v/>
      </c>
      <c r="AO772" s="34" t="str">
        <f aca="false">IF($B772="","",COUNTIF($F772:$AJ772,"PL"))</f>
        <v/>
      </c>
      <c r="AP772" s="34" t="str">
        <f aca="false">IF($B772="","",COUNTIF($F772:$AJ772,"CL"))</f>
        <v/>
      </c>
      <c r="AQ772" s="34" t="str">
        <f aca="false">IF($B772="","",COUNTIF($F772:$AJ772,"SL"))</f>
        <v/>
      </c>
      <c r="AR772" s="34" t="str">
        <f aca="false">IF($B772="","",COUNTIF($F772:$AJ772,"CO"))</f>
        <v/>
      </c>
      <c r="AS772" s="34" t="str">
        <f aca="false">IF($B772="","",COUNTIF($F772:$AJ772,"HPL"))</f>
        <v/>
      </c>
      <c r="AT772" s="34" t="str">
        <f aca="false">IF($B772="","",COUNTIF($F772:$AJ772,"HCL"))</f>
        <v/>
      </c>
      <c r="AU772" s="34" t="str">
        <f aca="false">IF($B772="","",COUNTIF($F772:$AJ772,"WO"))</f>
        <v/>
      </c>
      <c r="AV772" s="34" t="str">
        <f aca="false">IF($B772="","",COUNTIF($F772:$AJ772,"PH"))</f>
        <v/>
      </c>
      <c r="AW772" s="34" t="str">
        <f aca="false">IF($B772="","",COUNTIF($F772:$AJ772,"TR"))</f>
        <v/>
      </c>
      <c r="AX772" s="35" t="str">
        <f aca="false">IF($B772="","",AO772+AS772/2)</f>
        <v/>
      </c>
      <c r="AY772" s="35" t="str">
        <f aca="false">IF($B772="","",AQ772)</f>
        <v/>
      </c>
      <c r="AZ772" s="35" t="str">
        <f aca="false">IF($B772="","",AP772+AT772/2)</f>
        <v/>
      </c>
      <c r="BA772" s="35" t="str">
        <f aca="false">IF($B772="","",AK772+AN772+AM772/2+AO772+AP772+AQ772+AR772+AS772+AT772+AU772+AV772+AW772)</f>
        <v/>
      </c>
      <c r="BB772" s="35" t="str">
        <f aca="false">IF($B772="","",MAX(0,AN772-Settings!$C$16)*Settings!$C$17)</f>
        <v/>
      </c>
      <c r="BC772" s="35" t="str">
        <f aca="false">IF($B772="","",BA772-BB772)</f>
        <v/>
      </c>
      <c r="BD772" s="35" t="str">
        <f aca="false">IF(OR($B772="",$A772=""),"",DAY(EOMONTH($A772,0))-COUNTA($F772:$AJ772))</f>
        <v/>
      </c>
    </row>
    <row r="773" customFormat="false" ht="15" hidden="false" customHeight="false" outlineLevel="0" collapsed="false">
      <c r="A773" s="32"/>
      <c r="B773" s="29"/>
      <c r="C773" s="10" t="str">
        <f aca="false">IF($B773="","",IFERROR(INDEX(M_name,MATCH($B773,M_emp,0)),"Code not found"))</f>
        <v/>
      </c>
      <c r="D773" s="10" t="str">
        <f aca="false">IF($B773="","",IFERROR(INDEX(M_dept,MATCH($B773,M_emp,0)),""))</f>
        <v/>
      </c>
      <c r="E773" s="10" t="str">
        <f aca="false">IF($B773="","",IFERROR(INDEX(M_loc,MATCH($B773,M_emp,0)),""))</f>
        <v/>
      </c>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4" t="str">
        <f aca="false">IF($B773="","",COUNTIF($F773:$AJ773,"P"))</f>
        <v/>
      </c>
      <c r="AL773" s="34" t="str">
        <f aca="false">IF($B773="","",COUNTIF($F773:$AJ773,"A"))</f>
        <v/>
      </c>
      <c r="AM773" s="34" t="str">
        <f aca="false">IF($B773="","",COUNTIF($F773:$AJ773,"HA"))</f>
        <v/>
      </c>
      <c r="AN773" s="34" t="str">
        <f aca="false">IF($B773="","",COUNTIF($F773:$AJ773,"L"))</f>
        <v/>
      </c>
      <c r="AO773" s="34" t="str">
        <f aca="false">IF($B773="","",COUNTIF($F773:$AJ773,"PL"))</f>
        <v/>
      </c>
      <c r="AP773" s="34" t="str">
        <f aca="false">IF($B773="","",COUNTIF($F773:$AJ773,"CL"))</f>
        <v/>
      </c>
      <c r="AQ773" s="34" t="str">
        <f aca="false">IF($B773="","",COUNTIF($F773:$AJ773,"SL"))</f>
        <v/>
      </c>
      <c r="AR773" s="34" t="str">
        <f aca="false">IF($B773="","",COUNTIF($F773:$AJ773,"CO"))</f>
        <v/>
      </c>
      <c r="AS773" s="34" t="str">
        <f aca="false">IF($B773="","",COUNTIF($F773:$AJ773,"HPL"))</f>
        <v/>
      </c>
      <c r="AT773" s="34" t="str">
        <f aca="false">IF($B773="","",COUNTIF($F773:$AJ773,"HCL"))</f>
        <v/>
      </c>
      <c r="AU773" s="34" t="str">
        <f aca="false">IF($B773="","",COUNTIF($F773:$AJ773,"WO"))</f>
        <v/>
      </c>
      <c r="AV773" s="34" t="str">
        <f aca="false">IF($B773="","",COUNTIF($F773:$AJ773,"PH"))</f>
        <v/>
      </c>
      <c r="AW773" s="34" t="str">
        <f aca="false">IF($B773="","",COUNTIF($F773:$AJ773,"TR"))</f>
        <v/>
      </c>
      <c r="AX773" s="35" t="str">
        <f aca="false">IF($B773="","",AO773+AS773/2)</f>
        <v/>
      </c>
      <c r="AY773" s="35" t="str">
        <f aca="false">IF($B773="","",AQ773)</f>
        <v/>
      </c>
      <c r="AZ773" s="35" t="str">
        <f aca="false">IF($B773="","",AP773+AT773/2)</f>
        <v/>
      </c>
      <c r="BA773" s="35" t="str">
        <f aca="false">IF($B773="","",AK773+AN773+AM773/2+AO773+AP773+AQ773+AR773+AS773+AT773+AU773+AV773+AW773)</f>
        <v/>
      </c>
      <c r="BB773" s="35" t="str">
        <f aca="false">IF($B773="","",MAX(0,AN773-Settings!$C$16)*Settings!$C$17)</f>
        <v/>
      </c>
      <c r="BC773" s="35" t="str">
        <f aca="false">IF($B773="","",BA773-BB773)</f>
        <v/>
      </c>
      <c r="BD773" s="35" t="str">
        <f aca="false">IF(OR($B773="",$A773=""),"",DAY(EOMONTH($A773,0))-COUNTA($F773:$AJ773))</f>
        <v/>
      </c>
    </row>
    <row r="774" customFormat="false" ht="15" hidden="false" customHeight="false" outlineLevel="0" collapsed="false">
      <c r="A774" s="32"/>
      <c r="B774" s="29"/>
      <c r="C774" s="10" t="str">
        <f aca="false">IF($B774="","",IFERROR(INDEX(M_name,MATCH($B774,M_emp,0)),"Code not found"))</f>
        <v/>
      </c>
      <c r="D774" s="10" t="str">
        <f aca="false">IF($B774="","",IFERROR(INDEX(M_dept,MATCH($B774,M_emp,0)),""))</f>
        <v/>
      </c>
      <c r="E774" s="10" t="str">
        <f aca="false">IF($B774="","",IFERROR(INDEX(M_loc,MATCH($B774,M_emp,0)),""))</f>
        <v/>
      </c>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4" t="str">
        <f aca="false">IF($B774="","",COUNTIF($F774:$AJ774,"P"))</f>
        <v/>
      </c>
      <c r="AL774" s="34" t="str">
        <f aca="false">IF($B774="","",COUNTIF($F774:$AJ774,"A"))</f>
        <v/>
      </c>
      <c r="AM774" s="34" t="str">
        <f aca="false">IF($B774="","",COUNTIF($F774:$AJ774,"HA"))</f>
        <v/>
      </c>
      <c r="AN774" s="34" t="str">
        <f aca="false">IF($B774="","",COUNTIF($F774:$AJ774,"L"))</f>
        <v/>
      </c>
      <c r="AO774" s="34" t="str">
        <f aca="false">IF($B774="","",COUNTIF($F774:$AJ774,"PL"))</f>
        <v/>
      </c>
      <c r="AP774" s="34" t="str">
        <f aca="false">IF($B774="","",COUNTIF($F774:$AJ774,"CL"))</f>
        <v/>
      </c>
      <c r="AQ774" s="34" t="str">
        <f aca="false">IF($B774="","",COUNTIF($F774:$AJ774,"SL"))</f>
        <v/>
      </c>
      <c r="AR774" s="34" t="str">
        <f aca="false">IF($B774="","",COUNTIF($F774:$AJ774,"CO"))</f>
        <v/>
      </c>
      <c r="AS774" s="34" t="str">
        <f aca="false">IF($B774="","",COUNTIF($F774:$AJ774,"HPL"))</f>
        <v/>
      </c>
      <c r="AT774" s="34" t="str">
        <f aca="false">IF($B774="","",COUNTIF($F774:$AJ774,"HCL"))</f>
        <v/>
      </c>
      <c r="AU774" s="34" t="str">
        <f aca="false">IF($B774="","",COUNTIF($F774:$AJ774,"WO"))</f>
        <v/>
      </c>
      <c r="AV774" s="34" t="str">
        <f aca="false">IF($B774="","",COUNTIF($F774:$AJ774,"PH"))</f>
        <v/>
      </c>
      <c r="AW774" s="34" t="str">
        <f aca="false">IF($B774="","",COUNTIF($F774:$AJ774,"TR"))</f>
        <v/>
      </c>
      <c r="AX774" s="35" t="str">
        <f aca="false">IF($B774="","",AO774+AS774/2)</f>
        <v/>
      </c>
      <c r="AY774" s="35" t="str">
        <f aca="false">IF($B774="","",AQ774)</f>
        <v/>
      </c>
      <c r="AZ774" s="35" t="str">
        <f aca="false">IF($B774="","",AP774+AT774/2)</f>
        <v/>
      </c>
      <c r="BA774" s="35" t="str">
        <f aca="false">IF($B774="","",AK774+AN774+AM774/2+AO774+AP774+AQ774+AR774+AS774+AT774+AU774+AV774+AW774)</f>
        <v/>
      </c>
      <c r="BB774" s="35" t="str">
        <f aca="false">IF($B774="","",MAX(0,AN774-Settings!$C$16)*Settings!$C$17)</f>
        <v/>
      </c>
      <c r="BC774" s="35" t="str">
        <f aca="false">IF($B774="","",BA774-BB774)</f>
        <v/>
      </c>
      <c r="BD774" s="35" t="str">
        <f aca="false">IF(OR($B774="",$A774=""),"",DAY(EOMONTH($A774,0))-COUNTA($F774:$AJ774))</f>
        <v/>
      </c>
    </row>
    <row r="775" customFormat="false" ht="15" hidden="false" customHeight="false" outlineLevel="0" collapsed="false">
      <c r="A775" s="32"/>
      <c r="B775" s="29"/>
      <c r="C775" s="10" t="str">
        <f aca="false">IF($B775="","",IFERROR(INDEX(M_name,MATCH($B775,M_emp,0)),"Code not found"))</f>
        <v/>
      </c>
      <c r="D775" s="10" t="str">
        <f aca="false">IF($B775="","",IFERROR(INDEX(M_dept,MATCH($B775,M_emp,0)),""))</f>
        <v/>
      </c>
      <c r="E775" s="10" t="str">
        <f aca="false">IF($B775="","",IFERROR(INDEX(M_loc,MATCH($B775,M_emp,0)),""))</f>
        <v/>
      </c>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4" t="str">
        <f aca="false">IF($B775="","",COUNTIF($F775:$AJ775,"P"))</f>
        <v/>
      </c>
      <c r="AL775" s="34" t="str">
        <f aca="false">IF($B775="","",COUNTIF($F775:$AJ775,"A"))</f>
        <v/>
      </c>
      <c r="AM775" s="34" t="str">
        <f aca="false">IF($B775="","",COUNTIF($F775:$AJ775,"HA"))</f>
        <v/>
      </c>
      <c r="AN775" s="34" t="str">
        <f aca="false">IF($B775="","",COUNTIF($F775:$AJ775,"L"))</f>
        <v/>
      </c>
      <c r="AO775" s="34" t="str">
        <f aca="false">IF($B775="","",COUNTIF($F775:$AJ775,"PL"))</f>
        <v/>
      </c>
      <c r="AP775" s="34" t="str">
        <f aca="false">IF($B775="","",COUNTIF($F775:$AJ775,"CL"))</f>
        <v/>
      </c>
      <c r="AQ775" s="34" t="str">
        <f aca="false">IF($B775="","",COUNTIF($F775:$AJ775,"SL"))</f>
        <v/>
      </c>
      <c r="AR775" s="34" t="str">
        <f aca="false">IF($B775="","",COUNTIF($F775:$AJ775,"CO"))</f>
        <v/>
      </c>
      <c r="AS775" s="34" t="str">
        <f aca="false">IF($B775="","",COUNTIF($F775:$AJ775,"HPL"))</f>
        <v/>
      </c>
      <c r="AT775" s="34" t="str">
        <f aca="false">IF($B775="","",COUNTIF($F775:$AJ775,"HCL"))</f>
        <v/>
      </c>
      <c r="AU775" s="34" t="str">
        <f aca="false">IF($B775="","",COUNTIF($F775:$AJ775,"WO"))</f>
        <v/>
      </c>
      <c r="AV775" s="34" t="str">
        <f aca="false">IF($B775="","",COUNTIF($F775:$AJ775,"PH"))</f>
        <v/>
      </c>
      <c r="AW775" s="34" t="str">
        <f aca="false">IF($B775="","",COUNTIF($F775:$AJ775,"TR"))</f>
        <v/>
      </c>
      <c r="AX775" s="35" t="str">
        <f aca="false">IF($B775="","",AO775+AS775/2)</f>
        <v/>
      </c>
      <c r="AY775" s="35" t="str">
        <f aca="false">IF($B775="","",AQ775)</f>
        <v/>
      </c>
      <c r="AZ775" s="35" t="str">
        <f aca="false">IF($B775="","",AP775+AT775/2)</f>
        <v/>
      </c>
      <c r="BA775" s="35" t="str">
        <f aca="false">IF($B775="","",AK775+AN775+AM775/2+AO775+AP775+AQ775+AR775+AS775+AT775+AU775+AV775+AW775)</f>
        <v/>
      </c>
      <c r="BB775" s="35" t="str">
        <f aca="false">IF($B775="","",MAX(0,AN775-Settings!$C$16)*Settings!$C$17)</f>
        <v/>
      </c>
      <c r="BC775" s="35" t="str">
        <f aca="false">IF($B775="","",BA775-BB775)</f>
        <v/>
      </c>
      <c r="BD775" s="35" t="str">
        <f aca="false">IF(OR($B775="",$A775=""),"",DAY(EOMONTH($A775,0))-COUNTA($F775:$AJ775))</f>
        <v/>
      </c>
    </row>
    <row r="776" customFormat="false" ht="15" hidden="false" customHeight="false" outlineLevel="0" collapsed="false">
      <c r="A776" s="32"/>
      <c r="B776" s="29"/>
      <c r="C776" s="10" t="str">
        <f aca="false">IF($B776="","",IFERROR(INDEX(M_name,MATCH($B776,M_emp,0)),"Code not found"))</f>
        <v/>
      </c>
      <c r="D776" s="10" t="str">
        <f aca="false">IF($B776="","",IFERROR(INDEX(M_dept,MATCH($B776,M_emp,0)),""))</f>
        <v/>
      </c>
      <c r="E776" s="10" t="str">
        <f aca="false">IF($B776="","",IFERROR(INDEX(M_loc,MATCH($B776,M_emp,0)),""))</f>
        <v/>
      </c>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4" t="str">
        <f aca="false">IF($B776="","",COUNTIF($F776:$AJ776,"P"))</f>
        <v/>
      </c>
      <c r="AL776" s="34" t="str">
        <f aca="false">IF($B776="","",COUNTIF($F776:$AJ776,"A"))</f>
        <v/>
      </c>
      <c r="AM776" s="34" t="str">
        <f aca="false">IF($B776="","",COUNTIF($F776:$AJ776,"HA"))</f>
        <v/>
      </c>
      <c r="AN776" s="34" t="str">
        <f aca="false">IF($B776="","",COUNTIF($F776:$AJ776,"L"))</f>
        <v/>
      </c>
      <c r="AO776" s="34" t="str">
        <f aca="false">IF($B776="","",COUNTIF($F776:$AJ776,"PL"))</f>
        <v/>
      </c>
      <c r="AP776" s="34" t="str">
        <f aca="false">IF($B776="","",COUNTIF($F776:$AJ776,"CL"))</f>
        <v/>
      </c>
      <c r="AQ776" s="34" t="str">
        <f aca="false">IF($B776="","",COUNTIF($F776:$AJ776,"SL"))</f>
        <v/>
      </c>
      <c r="AR776" s="34" t="str">
        <f aca="false">IF($B776="","",COUNTIF($F776:$AJ776,"CO"))</f>
        <v/>
      </c>
      <c r="AS776" s="34" t="str">
        <f aca="false">IF($B776="","",COUNTIF($F776:$AJ776,"HPL"))</f>
        <v/>
      </c>
      <c r="AT776" s="34" t="str">
        <f aca="false">IF($B776="","",COUNTIF($F776:$AJ776,"HCL"))</f>
        <v/>
      </c>
      <c r="AU776" s="34" t="str">
        <f aca="false">IF($B776="","",COUNTIF($F776:$AJ776,"WO"))</f>
        <v/>
      </c>
      <c r="AV776" s="34" t="str">
        <f aca="false">IF($B776="","",COUNTIF($F776:$AJ776,"PH"))</f>
        <v/>
      </c>
      <c r="AW776" s="34" t="str">
        <f aca="false">IF($B776="","",COUNTIF($F776:$AJ776,"TR"))</f>
        <v/>
      </c>
      <c r="AX776" s="35" t="str">
        <f aca="false">IF($B776="","",AO776+AS776/2)</f>
        <v/>
      </c>
      <c r="AY776" s="35" t="str">
        <f aca="false">IF($B776="","",AQ776)</f>
        <v/>
      </c>
      <c r="AZ776" s="35" t="str">
        <f aca="false">IF($B776="","",AP776+AT776/2)</f>
        <v/>
      </c>
      <c r="BA776" s="35" t="str">
        <f aca="false">IF($B776="","",AK776+AN776+AM776/2+AO776+AP776+AQ776+AR776+AS776+AT776+AU776+AV776+AW776)</f>
        <v/>
      </c>
      <c r="BB776" s="35" t="str">
        <f aca="false">IF($B776="","",MAX(0,AN776-Settings!$C$16)*Settings!$C$17)</f>
        <v/>
      </c>
      <c r="BC776" s="35" t="str">
        <f aca="false">IF($B776="","",BA776-BB776)</f>
        <v/>
      </c>
      <c r="BD776" s="35" t="str">
        <f aca="false">IF(OR($B776="",$A776=""),"",DAY(EOMONTH($A776,0))-COUNTA($F776:$AJ776))</f>
        <v/>
      </c>
    </row>
    <row r="777" customFormat="false" ht="15" hidden="false" customHeight="false" outlineLevel="0" collapsed="false">
      <c r="A777" s="32"/>
      <c r="B777" s="29"/>
      <c r="C777" s="10" t="str">
        <f aca="false">IF($B777="","",IFERROR(INDEX(M_name,MATCH($B777,M_emp,0)),"Code not found"))</f>
        <v/>
      </c>
      <c r="D777" s="10" t="str">
        <f aca="false">IF($B777="","",IFERROR(INDEX(M_dept,MATCH($B777,M_emp,0)),""))</f>
        <v/>
      </c>
      <c r="E777" s="10" t="str">
        <f aca="false">IF($B777="","",IFERROR(INDEX(M_loc,MATCH($B777,M_emp,0)),""))</f>
        <v/>
      </c>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4" t="str">
        <f aca="false">IF($B777="","",COUNTIF($F777:$AJ777,"P"))</f>
        <v/>
      </c>
      <c r="AL777" s="34" t="str">
        <f aca="false">IF($B777="","",COUNTIF($F777:$AJ777,"A"))</f>
        <v/>
      </c>
      <c r="AM777" s="34" t="str">
        <f aca="false">IF($B777="","",COUNTIF($F777:$AJ777,"HA"))</f>
        <v/>
      </c>
      <c r="AN777" s="34" t="str">
        <f aca="false">IF($B777="","",COUNTIF($F777:$AJ777,"L"))</f>
        <v/>
      </c>
      <c r="AO777" s="34" t="str">
        <f aca="false">IF($B777="","",COUNTIF($F777:$AJ777,"PL"))</f>
        <v/>
      </c>
      <c r="AP777" s="34" t="str">
        <f aca="false">IF($B777="","",COUNTIF($F777:$AJ777,"CL"))</f>
        <v/>
      </c>
      <c r="AQ777" s="34" t="str">
        <f aca="false">IF($B777="","",COUNTIF($F777:$AJ777,"SL"))</f>
        <v/>
      </c>
      <c r="AR777" s="34" t="str">
        <f aca="false">IF($B777="","",COUNTIF($F777:$AJ777,"CO"))</f>
        <v/>
      </c>
      <c r="AS777" s="34" t="str">
        <f aca="false">IF($B777="","",COUNTIF($F777:$AJ777,"HPL"))</f>
        <v/>
      </c>
      <c r="AT777" s="34" t="str">
        <f aca="false">IF($B777="","",COUNTIF($F777:$AJ777,"HCL"))</f>
        <v/>
      </c>
      <c r="AU777" s="34" t="str">
        <f aca="false">IF($B777="","",COUNTIF($F777:$AJ777,"WO"))</f>
        <v/>
      </c>
      <c r="AV777" s="34" t="str">
        <f aca="false">IF($B777="","",COUNTIF($F777:$AJ777,"PH"))</f>
        <v/>
      </c>
      <c r="AW777" s="34" t="str">
        <f aca="false">IF($B777="","",COUNTIF($F777:$AJ777,"TR"))</f>
        <v/>
      </c>
      <c r="AX777" s="35" t="str">
        <f aca="false">IF($B777="","",AO777+AS777/2)</f>
        <v/>
      </c>
      <c r="AY777" s="35" t="str">
        <f aca="false">IF($B777="","",AQ777)</f>
        <v/>
      </c>
      <c r="AZ777" s="35" t="str">
        <f aca="false">IF($B777="","",AP777+AT777/2)</f>
        <v/>
      </c>
      <c r="BA777" s="35" t="str">
        <f aca="false">IF($B777="","",AK777+AN777+AM777/2+AO777+AP777+AQ777+AR777+AS777+AT777+AU777+AV777+AW777)</f>
        <v/>
      </c>
      <c r="BB777" s="35" t="str">
        <f aca="false">IF($B777="","",MAX(0,AN777-Settings!$C$16)*Settings!$C$17)</f>
        <v/>
      </c>
      <c r="BC777" s="35" t="str">
        <f aca="false">IF($B777="","",BA777-BB777)</f>
        <v/>
      </c>
      <c r="BD777" s="35" t="str">
        <f aca="false">IF(OR($B777="",$A777=""),"",DAY(EOMONTH($A777,0))-COUNTA($F777:$AJ777))</f>
        <v/>
      </c>
    </row>
    <row r="778" customFormat="false" ht="15" hidden="false" customHeight="false" outlineLevel="0" collapsed="false">
      <c r="A778" s="32"/>
      <c r="B778" s="29"/>
      <c r="C778" s="10" t="str">
        <f aca="false">IF($B778="","",IFERROR(INDEX(M_name,MATCH($B778,M_emp,0)),"Code not found"))</f>
        <v/>
      </c>
      <c r="D778" s="10" t="str">
        <f aca="false">IF($B778="","",IFERROR(INDEX(M_dept,MATCH($B778,M_emp,0)),""))</f>
        <v/>
      </c>
      <c r="E778" s="10" t="str">
        <f aca="false">IF($B778="","",IFERROR(INDEX(M_loc,MATCH($B778,M_emp,0)),""))</f>
        <v/>
      </c>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4" t="str">
        <f aca="false">IF($B778="","",COUNTIF($F778:$AJ778,"P"))</f>
        <v/>
      </c>
      <c r="AL778" s="34" t="str">
        <f aca="false">IF($B778="","",COUNTIF($F778:$AJ778,"A"))</f>
        <v/>
      </c>
      <c r="AM778" s="34" t="str">
        <f aca="false">IF($B778="","",COUNTIF($F778:$AJ778,"HA"))</f>
        <v/>
      </c>
      <c r="AN778" s="34" t="str">
        <f aca="false">IF($B778="","",COUNTIF($F778:$AJ778,"L"))</f>
        <v/>
      </c>
      <c r="AO778" s="34" t="str">
        <f aca="false">IF($B778="","",COUNTIF($F778:$AJ778,"PL"))</f>
        <v/>
      </c>
      <c r="AP778" s="34" t="str">
        <f aca="false">IF($B778="","",COUNTIF($F778:$AJ778,"CL"))</f>
        <v/>
      </c>
      <c r="AQ778" s="34" t="str">
        <f aca="false">IF($B778="","",COUNTIF($F778:$AJ778,"SL"))</f>
        <v/>
      </c>
      <c r="AR778" s="34" t="str">
        <f aca="false">IF($B778="","",COUNTIF($F778:$AJ778,"CO"))</f>
        <v/>
      </c>
      <c r="AS778" s="34" t="str">
        <f aca="false">IF($B778="","",COUNTIF($F778:$AJ778,"HPL"))</f>
        <v/>
      </c>
      <c r="AT778" s="34" t="str">
        <f aca="false">IF($B778="","",COUNTIF($F778:$AJ778,"HCL"))</f>
        <v/>
      </c>
      <c r="AU778" s="34" t="str">
        <f aca="false">IF($B778="","",COUNTIF($F778:$AJ778,"WO"))</f>
        <v/>
      </c>
      <c r="AV778" s="34" t="str">
        <f aca="false">IF($B778="","",COUNTIF($F778:$AJ778,"PH"))</f>
        <v/>
      </c>
      <c r="AW778" s="34" t="str">
        <f aca="false">IF($B778="","",COUNTIF($F778:$AJ778,"TR"))</f>
        <v/>
      </c>
      <c r="AX778" s="35" t="str">
        <f aca="false">IF($B778="","",AO778+AS778/2)</f>
        <v/>
      </c>
      <c r="AY778" s="35" t="str">
        <f aca="false">IF($B778="","",AQ778)</f>
        <v/>
      </c>
      <c r="AZ778" s="35" t="str">
        <f aca="false">IF($B778="","",AP778+AT778/2)</f>
        <v/>
      </c>
      <c r="BA778" s="35" t="str">
        <f aca="false">IF($B778="","",AK778+AN778+AM778/2+AO778+AP778+AQ778+AR778+AS778+AT778+AU778+AV778+AW778)</f>
        <v/>
      </c>
      <c r="BB778" s="35" t="str">
        <f aca="false">IF($B778="","",MAX(0,AN778-Settings!$C$16)*Settings!$C$17)</f>
        <v/>
      </c>
      <c r="BC778" s="35" t="str">
        <f aca="false">IF($B778="","",BA778-BB778)</f>
        <v/>
      </c>
      <c r="BD778" s="35" t="str">
        <f aca="false">IF(OR($B778="",$A778=""),"",DAY(EOMONTH($A778,0))-COUNTA($F778:$AJ778))</f>
        <v/>
      </c>
    </row>
    <row r="779" customFormat="false" ht="15" hidden="false" customHeight="false" outlineLevel="0" collapsed="false">
      <c r="A779" s="32"/>
      <c r="B779" s="29"/>
      <c r="C779" s="10" t="str">
        <f aca="false">IF($B779="","",IFERROR(INDEX(M_name,MATCH($B779,M_emp,0)),"Code not found"))</f>
        <v/>
      </c>
      <c r="D779" s="10" t="str">
        <f aca="false">IF($B779="","",IFERROR(INDEX(M_dept,MATCH($B779,M_emp,0)),""))</f>
        <v/>
      </c>
      <c r="E779" s="10" t="str">
        <f aca="false">IF($B779="","",IFERROR(INDEX(M_loc,MATCH($B779,M_emp,0)),""))</f>
        <v/>
      </c>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4" t="str">
        <f aca="false">IF($B779="","",COUNTIF($F779:$AJ779,"P"))</f>
        <v/>
      </c>
      <c r="AL779" s="34" t="str">
        <f aca="false">IF($B779="","",COUNTIF($F779:$AJ779,"A"))</f>
        <v/>
      </c>
      <c r="AM779" s="34" t="str">
        <f aca="false">IF($B779="","",COUNTIF($F779:$AJ779,"HA"))</f>
        <v/>
      </c>
      <c r="AN779" s="34" t="str">
        <f aca="false">IF($B779="","",COUNTIF($F779:$AJ779,"L"))</f>
        <v/>
      </c>
      <c r="AO779" s="34" t="str">
        <f aca="false">IF($B779="","",COUNTIF($F779:$AJ779,"PL"))</f>
        <v/>
      </c>
      <c r="AP779" s="34" t="str">
        <f aca="false">IF($B779="","",COUNTIF($F779:$AJ779,"CL"))</f>
        <v/>
      </c>
      <c r="AQ779" s="34" t="str">
        <f aca="false">IF($B779="","",COUNTIF($F779:$AJ779,"SL"))</f>
        <v/>
      </c>
      <c r="AR779" s="34" t="str">
        <f aca="false">IF($B779="","",COUNTIF($F779:$AJ779,"CO"))</f>
        <v/>
      </c>
      <c r="AS779" s="34" t="str">
        <f aca="false">IF($B779="","",COUNTIF($F779:$AJ779,"HPL"))</f>
        <v/>
      </c>
      <c r="AT779" s="34" t="str">
        <f aca="false">IF($B779="","",COUNTIF($F779:$AJ779,"HCL"))</f>
        <v/>
      </c>
      <c r="AU779" s="34" t="str">
        <f aca="false">IF($B779="","",COUNTIF($F779:$AJ779,"WO"))</f>
        <v/>
      </c>
      <c r="AV779" s="34" t="str">
        <f aca="false">IF($B779="","",COUNTIF($F779:$AJ779,"PH"))</f>
        <v/>
      </c>
      <c r="AW779" s="34" t="str">
        <f aca="false">IF($B779="","",COUNTIF($F779:$AJ779,"TR"))</f>
        <v/>
      </c>
      <c r="AX779" s="35" t="str">
        <f aca="false">IF($B779="","",AO779+AS779/2)</f>
        <v/>
      </c>
      <c r="AY779" s="35" t="str">
        <f aca="false">IF($B779="","",AQ779)</f>
        <v/>
      </c>
      <c r="AZ779" s="35" t="str">
        <f aca="false">IF($B779="","",AP779+AT779/2)</f>
        <v/>
      </c>
      <c r="BA779" s="35" t="str">
        <f aca="false">IF($B779="","",AK779+AN779+AM779/2+AO779+AP779+AQ779+AR779+AS779+AT779+AU779+AV779+AW779)</f>
        <v/>
      </c>
      <c r="BB779" s="35" t="str">
        <f aca="false">IF($B779="","",MAX(0,AN779-Settings!$C$16)*Settings!$C$17)</f>
        <v/>
      </c>
      <c r="BC779" s="35" t="str">
        <f aca="false">IF($B779="","",BA779-BB779)</f>
        <v/>
      </c>
      <c r="BD779" s="35" t="str">
        <f aca="false">IF(OR($B779="",$A779=""),"",DAY(EOMONTH($A779,0))-COUNTA($F779:$AJ779))</f>
        <v/>
      </c>
    </row>
    <row r="780" customFormat="false" ht="15" hidden="false" customHeight="false" outlineLevel="0" collapsed="false">
      <c r="A780" s="32"/>
      <c r="B780" s="29"/>
      <c r="C780" s="10" t="str">
        <f aca="false">IF($B780="","",IFERROR(INDEX(M_name,MATCH($B780,M_emp,0)),"Code not found"))</f>
        <v/>
      </c>
      <c r="D780" s="10" t="str">
        <f aca="false">IF($B780="","",IFERROR(INDEX(M_dept,MATCH($B780,M_emp,0)),""))</f>
        <v/>
      </c>
      <c r="E780" s="10" t="str">
        <f aca="false">IF($B780="","",IFERROR(INDEX(M_loc,MATCH($B780,M_emp,0)),""))</f>
        <v/>
      </c>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4" t="str">
        <f aca="false">IF($B780="","",COUNTIF($F780:$AJ780,"P"))</f>
        <v/>
      </c>
      <c r="AL780" s="34" t="str">
        <f aca="false">IF($B780="","",COUNTIF($F780:$AJ780,"A"))</f>
        <v/>
      </c>
      <c r="AM780" s="34" t="str">
        <f aca="false">IF($B780="","",COUNTIF($F780:$AJ780,"HA"))</f>
        <v/>
      </c>
      <c r="AN780" s="34" t="str">
        <f aca="false">IF($B780="","",COUNTIF($F780:$AJ780,"L"))</f>
        <v/>
      </c>
      <c r="AO780" s="34" t="str">
        <f aca="false">IF($B780="","",COUNTIF($F780:$AJ780,"PL"))</f>
        <v/>
      </c>
      <c r="AP780" s="34" t="str">
        <f aca="false">IF($B780="","",COUNTIF($F780:$AJ780,"CL"))</f>
        <v/>
      </c>
      <c r="AQ780" s="34" t="str">
        <f aca="false">IF($B780="","",COUNTIF($F780:$AJ780,"SL"))</f>
        <v/>
      </c>
      <c r="AR780" s="34" t="str">
        <f aca="false">IF($B780="","",COUNTIF($F780:$AJ780,"CO"))</f>
        <v/>
      </c>
      <c r="AS780" s="34" t="str">
        <f aca="false">IF($B780="","",COUNTIF($F780:$AJ780,"HPL"))</f>
        <v/>
      </c>
      <c r="AT780" s="34" t="str">
        <f aca="false">IF($B780="","",COUNTIF($F780:$AJ780,"HCL"))</f>
        <v/>
      </c>
      <c r="AU780" s="34" t="str">
        <f aca="false">IF($B780="","",COUNTIF($F780:$AJ780,"WO"))</f>
        <v/>
      </c>
      <c r="AV780" s="34" t="str">
        <f aca="false">IF($B780="","",COUNTIF($F780:$AJ780,"PH"))</f>
        <v/>
      </c>
      <c r="AW780" s="34" t="str">
        <f aca="false">IF($B780="","",COUNTIF($F780:$AJ780,"TR"))</f>
        <v/>
      </c>
      <c r="AX780" s="35" t="str">
        <f aca="false">IF($B780="","",AO780+AS780/2)</f>
        <v/>
      </c>
      <c r="AY780" s="35" t="str">
        <f aca="false">IF($B780="","",AQ780)</f>
        <v/>
      </c>
      <c r="AZ780" s="35" t="str">
        <f aca="false">IF($B780="","",AP780+AT780/2)</f>
        <v/>
      </c>
      <c r="BA780" s="35" t="str">
        <f aca="false">IF($B780="","",AK780+AN780+AM780/2+AO780+AP780+AQ780+AR780+AS780+AT780+AU780+AV780+AW780)</f>
        <v/>
      </c>
      <c r="BB780" s="35" t="str">
        <f aca="false">IF($B780="","",MAX(0,AN780-Settings!$C$16)*Settings!$C$17)</f>
        <v/>
      </c>
      <c r="BC780" s="35" t="str">
        <f aca="false">IF($B780="","",BA780-BB780)</f>
        <v/>
      </c>
      <c r="BD780" s="35" t="str">
        <f aca="false">IF(OR($B780="",$A780=""),"",DAY(EOMONTH($A780,0))-COUNTA($F780:$AJ780))</f>
        <v/>
      </c>
    </row>
    <row r="781" customFormat="false" ht="15" hidden="false" customHeight="false" outlineLevel="0" collapsed="false">
      <c r="A781" s="32"/>
      <c r="B781" s="29"/>
      <c r="C781" s="10" t="str">
        <f aca="false">IF($B781="","",IFERROR(INDEX(M_name,MATCH($B781,M_emp,0)),"Code not found"))</f>
        <v/>
      </c>
      <c r="D781" s="10" t="str">
        <f aca="false">IF($B781="","",IFERROR(INDEX(M_dept,MATCH($B781,M_emp,0)),""))</f>
        <v/>
      </c>
      <c r="E781" s="10" t="str">
        <f aca="false">IF($B781="","",IFERROR(INDEX(M_loc,MATCH($B781,M_emp,0)),""))</f>
        <v/>
      </c>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4" t="str">
        <f aca="false">IF($B781="","",COUNTIF($F781:$AJ781,"P"))</f>
        <v/>
      </c>
      <c r="AL781" s="34" t="str">
        <f aca="false">IF($B781="","",COUNTIF($F781:$AJ781,"A"))</f>
        <v/>
      </c>
      <c r="AM781" s="34" t="str">
        <f aca="false">IF($B781="","",COUNTIF($F781:$AJ781,"HA"))</f>
        <v/>
      </c>
      <c r="AN781" s="34" t="str">
        <f aca="false">IF($B781="","",COUNTIF($F781:$AJ781,"L"))</f>
        <v/>
      </c>
      <c r="AO781" s="34" t="str">
        <f aca="false">IF($B781="","",COUNTIF($F781:$AJ781,"PL"))</f>
        <v/>
      </c>
      <c r="AP781" s="34" t="str">
        <f aca="false">IF($B781="","",COUNTIF($F781:$AJ781,"CL"))</f>
        <v/>
      </c>
      <c r="AQ781" s="34" t="str">
        <f aca="false">IF($B781="","",COUNTIF($F781:$AJ781,"SL"))</f>
        <v/>
      </c>
      <c r="AR781" s="34" t="str">
        <f aca="false">IF($B781="","",COUNTIF($F781:$AJ781,"CO"))</f>
        <v/>
      </c>
      <c r="AS781" s="34" t="str">
        <f aca="false">IF($B781="","",COUNTIF($F781:$AJ781,"HPL"))</f>
        <v/>
      </c>
      <c r="AT781" s="34" t="str">
        <f aca="false">IF($B781="","",COUNTIF($F781:$AJ781,"HCL"))</f>
        <v/>
      </c>
      <c r="AU781" s="34" t="str">
        <f aca="false">IF($B781="","",COUNTIF($F781:$AJ781,"WO"))</f>
        <v/>
      </c>
      <c r="AV781" s="34" t="str">
        <f aca="false">IF($B781="","",COUNTIF($F781:$AJ781,"PH"))</f>
        <v/>
      </c>
      <c r="AW781" s="34" t="str">
        <f aca="false">IF($B781="","",COUNTIF($F781:$AJ781,"TR"))</f>
        <v/>
      </c>
      <c r="AX781" s="35" t="str">
        <f aca="false">IF($B781="","",AO781+AS781/2)</f>
        <v/>
      </c>
      <c r="AY781" s="35" t="str">
        <f aca="false">IF($B781="","",AQ781)</f>
        <v/>
      </c>
      <c r="AZ781" s="35" t="str">
        <f aca="false">IF($B781="","",AP781+AT781/2)</f>
        <v/>
      </c>
      <c r="BA781" s="35" t="str">
        <f aca="false">IF($B781="","",AK781+AN781+AM781/2+AO781+AP781+AQ781+AR781+AS781+AT781+AU781+AV781+AW781)</f>
        <v/>
      </c>
      <c r="BB781" s="35" t="str">
        <f aca="false">IF($B781="","",MAX(0,AN781-Settings!$C$16)*Settings!$C$17)</f>
        <v/>
      </c>
      <c r="BC781" s="35" t="str">
        <f aca="false">IF($B781="","",BA781-BB781)</f>
        <v/>
      </c>
      <c r="BD781" s="35" t="str">
        <f aca="false">IF(OR($B781="",$A781=""),"",DAY(EOMONTH($A781,0))-COUNTA($F781:$AJ781))</f>
        <v/>
      </c>
    </row>
    <row r="782" customFormat="false" ht="15" hidden="false" customHeight="false" outlineLevel="0" collapsed="false">
      <c r="A782" s="32"/>
      <c r="B782" s="29"/>
      <c r="C782" s="10" t="str">
        <f aca="false">IF($B782="","",IFERROR(INDEX(M_name,MATCH($B782,M_emp,0)),"Code not found"))</f>
        <v/>
      </c>
      <c r="D782" s="10" t="str">
        <f aca="false">IF($B782="","",IFERROR(INDEX(M_dept,MATCH($B782,M_emp,0)),""))</f>
        <v/>
      </c>
      <c r="E782" s="10" t="str">
        <f aca="false">IF($B782="","",IFERROR(INDEX(M_loc,MATCH($B782,M_emp,0)),""))</f>
        <v/>
      </c>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4" t="str">
        <f aca="false">IF($B782="","",COUNTIF($F782:$AJ782,"P"))</f>
        <v/>
      </c>
      <c r="AL782" s="34" t="str">
        <f aca="false">IF($B782="","",COUNTIF($F782:$AJ782,"A"))</f>
        <v/>
      </c>
      <c r="AM782" s="34" t="str">
        <f aca="false">IF($B782="","",COUNTIF($F782:$AJ782,"HA"))</f>
        <v/>
      </c>
      <c r="AN782" s="34" t="str">
        <f aca="false">IF($B782="","",COUNTIF($F782:$AJ782,"L"))</f>
        <v/>
      </c>
      <c r="AO782" s="34" t="str">
        <f aca="false">IF($B782="","",COUNTIF($F782:$AJ782,"PL"))</f>
        <v/>
      </c>
      <c r="AP782" s="34" t="str">
        <f aca="false">IF($B782="","",COUNTIF($F782:$AJ782,"CL"))</f>
        <v/>
      </c>
      <c r="AQ782" s="34" t="str">
        <f aca="false">IF($B782="","",COUNTIF($F782:$AJ782,"SL"))</f>
        <v/>
      </c>
      <c r="AR782" s="34" t="str">
        <f aca="false">IF($B782="","",COUNTIF($F782:$AJ782,"CO"))</f>
        <v/>
      </c>
      <c r="AS782" s="34" t="str">
        <f aca="false">IF($B782="","",COUNTIF($F782:$AJ782,"HPL"))</f>
        <v/>
      </c>
      <c r="AT782" s="34" t="str">
        <f aca="false">IF($B782="","",COUNTIF($F782:$AJ782,"HCL"))</f>
        <v/>
      </c>
      <c r="AU782" s="34" t="str">
        <f aca="false">IF($B782="","",COUNTIF($F782:$AJ782,"WO"))</f>
        <v/>
      </c>
      <c r="AV782" s="34" t="str">
        <f aca="false">IF($B782="","",COUNTIF($F782:$AJ782,"PH"))</f>
        <v/>
      </c>
      <c r="AW782" s="34" t="str">
        <f aca="false">IF($B782="","",COUNTIF($F782:$AJ782,"TR"))</f>
        <v/>
      </c>
      <c r="AX782" s="35" t="str">
        <f aca="false">IF($B782="","",AO782+AS782/2)</f>
        <v/>
      </c>
      <c r="AY782" s="35" t="str">
        <f aca="false">IF($B782="","",AQ782)</f>
        <v/>
      </c>
      <c r="AZ782" s="35" t="str">
        <f aca="false">IF($B782="","",AP782+AT782/2)</f>
        <v/>
      </c>
      <c r="BA782" s="35" t="str">
        <f aca="false">IF($B782="","",AK782+AN782+AM782/2+AO782+AP782+AQ782+AR782+AS782+AT782+AU782+AV782+AW782)</f>
        <v/>
      </c>
      <c r="BB782" s="35" t="str">
        <f aca="false">IF($B782="","",MAX(0,AN782-Settings!$C$16)*Settings!$C$17)</f>
        <v/>
      </c>
      <c r="BC782" s="35" t="str">
        <f aca="false">IF($B782="","",BA782-BB782)</f>
        <v/>
      </c>
      <c r="BD782" s="35" t="str">
        <f aca="false">IF(OR($B782="",$A782=""),"",DAY(EOMONTH($A782,0))-COUNTA($F782:$AJ782))</f>
        <v/>
      </c>
    </row>
    <row r="783" customFormat="false" ht="15" hidden="false" customHeight="false" outlineLevel="0" collapsed="false">
      <c r="A783" s="32"/>
      <c r="B783" s="29"/>
      <c r="C783" s="10" t="str">
        <f aca="false">IF($B783="","",IFERROR(INDEX(M_name,MATCH($B783,M_emp,0)),"Code not found"))</f>
        <v/>
      </c>
      <c r="D783" s="10" t="str">
        <f aca="false">IF($B783="","",IFERROR(INDEX(M_dept,MATCH($B783,M_emp,0)),""))</f>
        <v/>
      </c>
      <c r="E783" s="10" t="str">
        <f aca="false">IF($B783="","",IFERROR(INDEX(M_loc,MATCH($B783,M_emp,0)),""))</f>
        <v/>
      </c>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4" t="str">
        <f aca="false">IF($B783="","",COUNTIF($F783:$AJ783,"P"))</f>
        <v/>
      </c>
      <c r="AL783" s="34" t="str">
        <f aca="false">IF($B783="","",COUNTIF($F783:$AJ783,"A"))</f>
        <v/>
      </c>
      <c r="AM783" s="34" t="str">
        <f aca="false">IF($B783="","",COUNTIF($F783:$AJ783,"HA"))</f>
        <v/>
      </c>
      <c r="AN783" s="34" t="str">
        <f aca="false">IF($B783="","",COUNTIF($F783:$AJ783,"L"))</f>
        <v/>
      </c>
      <c r="AO783" s="34" t="str">
        <f aca="false">IF($B783="","",COUNTIF($F783:$AJ783,"PL"))</f>
        <v/>
      </c>
      <c r="AP783" s="34" t="str">
        <f aca="false">IF($B783="","",COUNTIF($F783:$AJ783,"CL"))</f>
        <v/>
      </c>
      <c r="AQ783" s="34" t="str">
        <f aca="false">IF($B783="","",COUNTIF($F783:$AJ783,"SL"))</f>
        <v/>
      </c>
      <c r="AR783" s="34" t="str">
        <f aca="false">IF($B783="","",COUNTIF($F783:$AJ783,"CO"))</f>
        <v/>
      </c>
      <c r="AS783" s="34" t="str">
        <f aca="false">IF($B783="","",COUNTIF($F783:$AJ783,"HPL"))</f>
        <v/>
      </c>
      <c r="AT783" s="34" t="str">
        <f aca="false">IF($B783="","",COUNTIF($F783:$AJ783,"HCL"))</f>
        <v/>
      </c>
      <c r="AU783" s="34" t="str">
        <f aca="false">IF($B783="","",COUNTIF($F783:$AJ783,"WO"))</f>
        <v/>
      </c>
      <c r="AV783" s="34" t="str">
        <f aca="false">IF($B783="","",COUNTIF($F783:$AJ783,"PH"))</f>
        <v/>
      </c>
      <c r="AW783" s="34" t="str">
        <f aca="false">IF($B783="","",COUNTIF($F783:$AJ783,"TR"))</f>
        <v/>
      </c>
      <c r="AX783" s="35" t="str">
        <f aca="false">IF($B783="","",AO783+AS783/2)</f>
        <v/>
      </c>
      <c r="AY783" s="35" t="str">
        <f aca="false">IF($B783="","",AQ783)</f>
        <v/>
      </c>
      <c r="AZ783" s="35" t="str">
        <f aca="false">IF($B783="","",AP783+AT783/2)</f>
        <v/>
      </c>
      <c r="BA783" s="35" t="str">
        <f aca="false">IF($B783="","",AK783+AN783+AM783/2+AO783+AP783+AQ783+AR783+AS783+AT783+AU783+AV783+AW783)</f>
        <v/>
      </c>
      <c r="BB783" s="35" t="str">
        <f aca="false">IF($B783="","",MAX(0,AN783-Settings!$C$16)*Settings!$C$17)</f>
        <v/>
      </c>
      <c r="BC783" s="35" t="str">
        <f aca="false">IF($B783="","",BA783-BB783)</f>
        <v/>
      </c>
      <c r="BD783" s="35" t="str">
        <f aca="false">IF(OR($B783="",$A783=""),"",DAY(EOMONTH($A783,0))-COUNTA($F783:$AJ783))</f>
        <v/>
      </c>
    </row>
    <row r="784" customFormat="false" ht="15" hidden="false" customHeight="false" outlineLevel="0" collapsed="false">
      <c r="A784" s="32"/>
      <c r="B784" s="29"/>
      <c r="C784" s="10" t="str">
        <f aca="false">IF($B784="","",IFERROR(INDEX(M_name,MATCH($B784,M_emp,0)),"Code not found"))</f>
        <v/>
      </c>
      <c r="D784" s="10" t="str">
        <f aca="false">IF($B784="","",IFERROR(INDEX(M_dept,MATCH($B784,M_emp,0)),""))</f>
        <v/>
      </c>
      <c r="E784" s="10" t="str">
        <f aca="false">IF($B784="","",IFERROR(INDEX(M_loc,MATCH($B784,M_emp,0)),""))</f>
        <v/>
      </c>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4" t="str">
        <f aca="false">IF($B784="","",COUNTIF($F784:$AJ784,"P"))</f>
        <v/>
      </c>
      <c r="AL784" s="34" t="str">
        <f aca="false">IF($B784="","",COUNTIF($F784:$AJ784,"A"))</f>
        <v/>
      </c>
      <c r="AM784" s="34" t="str">
        <f aca="false">IF($B784="","",COUNTIF($F784:$AJ784,"HA"))</f>
        <v/>
      </c>
      <c r="AN784" s="34" t="str">
        <f aca="false">IF($B784="","",COUNTIF($F784:$AJ784,"L"))</f>
        <v/>
      </c>
      <c r="AO784" s="34" t="str">
        <f aca="false">IF($B784="","",COUNTIF($F784:$AJ784,"PL"))</f>
        <v/>
      </c>
      <c r="AP784" s="34" t="str">
        <f aca="false">IF($B784="","",COUNTIF($F784:$AJ784,"CL"))</f>
        <v/>
      </c>
      <c r="AQ784" s="34" t="str">
        <f aca="false">IF($B784="","",COUNTIF($F784:$AJ784,"SL"))</f>
        <v/>
      </c>
      <c r="AR784" s="34" t="str">
        <f aca="false">IF($B784="","",COUNTIF($F784:$AJ784,"CO"))</f>
        <v/>
      </c>
      <c r="AS784" s="34" t="str">
        <f aca="false">IF($B784="","",COUNTIF($F784:$AJ784,"HPL"))</f>
        <v/>
      </c>
      <c r="AT784" s="34" t="str">
        <f aca="false">IF($B784="","",COUNTIF($F784:$AJ784,"HCL"))</f>
        <v/>
      </c>
      <c r="AU784" s="34" t="str">
        <f aca="false">IF($B784="","",COUNTIF($F784:$AJ784,"WO"))</f>
        <v/>
      </c>
      <c r="AV784" s="34" t="str">
        <f aca="false">IF($B784="","",COUNTIF($F784:$AJ784,"PH"))</f>
        <v/>
      </c>
      <c r="AW784" s="34" t="str">
        <f aca="false">IF($B784="","",COUNTIF($F784:$AJ784,"TR"))</f>
        <v/>
      </c>
      <c r="AX784" s="35" t="str">
        <f aca="false">IF($B784="","",AO784+AS784/2)</f>
        <v/>
      </c>
      <c r="AY784" s="35" t="str">
        <f aca="false">IF($B784="","",AQ784)</f>
        <v/>
      </c>
      <c r="AZ784" s="35" t="str">
        <f aca="false">IF($B784="","",AP784+AT784/2)</f>
        <v/>
      </c>
      <c r="BA784" s="35" t="str">
        <f aca="false">IF($B784="","",AK784+AN784+AM784/2+AO784+AP784+AQ784+AR784+AS784+AT784+AU784+AV784+AW784)</f>
        <v/>
      </c>
      <c r="BB784" s="35" t="str">
        <f aca="false">IF($B784="","",MAX(0,AN784-Settings!$C$16)*Settings!$C$17)</f>
        <v/>
      </c>
      <c r="BC784" s="35" t="str">
        <f aca="false">IF($B784="","",BA784-BB784)</f>
        <v/>
      </c>
      <c r="BD784" s="35" t="str">
        <f aca="false">IF(OR($B784="",$A784=""),"",DAY(EOMONTH($A784,0))-COUNTA($F784:$AJ784))</f>
        <v/>
      </c>
    </row>
    <row r="785" customFormat="false" ht="15" hidden="false" customHeight="false" outlineLevel="0" collapsed="false">
      <c r="A785" s="32"/>
      <c r="B785" s="29"/>
      <c r="C785" s="10" t="str">
        <f aca="false">IF($B785="","",IFERROR(INDEX(M_name,MATCH($B785,M_emp,0)),"Code not found"))</f>
        <v/>
      </c>
      <c r="D785" s="10" t="str">
        <f aca="false">IF($B785="","",IFERROR(INDEX(M_dept,MATCH($B785,M_emp,0)),""))</f>
        <v/>
      </c>
      <c r="E785" s="10" t="str">
        <f aca="false">IF($B785="","",IFERROR(INDEX(M_loc,MATCH($B785,M_emp,0)),""))</f>
        <v/>
      </c>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4" t="str">
        <f aca="false">IF($B785="","",COUNTIF($F785:$AJ785,"P"))</f>
        <v/>
      </c>
      <c r="AL785" s="34" t="str">
        <f aca="false">IF($B785="","",COUNTIF($F785:$AJ785,"A"))</f>
        <v/>
      </c>
      <c r="AM785" s="34" t="str">
        <f aca="false">IF($B785="","",COUNTIF($F785:$AJ785,"HA"))</f>
        <v/>
      </c>
      <c r="AN785" s="34" t="str">
        <f aca="false">IF($B785="","",COUNTIF($F785:$AJ785,"L"))</f>
        <v/>
      </c>
      <c r="AO785" s="34" t="str">
        <f aca="false">IF($B785="","",COUNTIF($F785:$AJ785,"PL"))</f>
        <v/>
      </c>
      <c r="AP785" s="34" t="str">
        <f aca="false">IF($B785="","",COUNTIF($F785:$AJ785,"CL"))</f>
        <v/>
      </c>
      <c r="AQ785" s="34" t="str">
        <f aca="false">IF($B785="","",COUNTIF($F785:$AJ785,"SL"))</f>
        <v/>
      </c>
      <c r="AR785" s="34" t="str">
        <f aca="false">IF($B785="","",COUNTIF($F785:$AJ785,"CO"))</f>
        <v/>
      </c>
      <c r="AS785" s="34" t="str">
        <f aca="false">IF($B785="","",COUNTIF($F785:$AJ785,"HPL"))</f>
        <v/>
      </c>
      <c r="AT785" s="34" t="str">
        <f aca="false">IF($B785="","",COUNTIF($F785:$AJ785,"HCL"))</f>
        <v/>
      </c>
      <c r="AU785" s="34" t="str">
        <f aca="false">IF($B785="","",COUNTIF($F785:$AJ785,"WO"))</f>
        <v/>
      </c>
      <c r="AV785" s="34" t="str">
        <f aca="false">IF($B785="","",COUNTIF($F785:$AJ785,"PH"))</f>
        <v/>
      </c>
      <c r="AW785" s="34" t="str">
        <f aca="false">IF($B785="","",COUNTIF($F785:$AJ785,"TR"))</f>
        <v/>
      </c>
      <c r="AX785" s="35" t="str">
        <f aca="false">IF($B785="","",AO785+AS785/2)</f>
        <v/>
      </c>
      <c r="AY785" s="35" t="str">
        <f aca="false">IF($B785="","",AQ785)</f>
        <v/>
      </c>
      <c r="AZ785" s="35" t="str">
        <f aca="false">IF($B785="","",AP785+AT785/2)</f>
        <v/>
      </c>
      <c r="BA785" s="35" t="str">
        <f aca="false">IF($B785="","",AK785+AN785+AM785/2+AO785+AP785+AQ785+AR785+AS785+AT785+AU785+AV785+AW785)</f>
        <v/>
      </c>
      <c r="BB785" s="35" t="str">
        <f aca="false">IF($B785="","",MAX(0,AN785-Settings!$C$16)*Settings!$C$17)</f>
        <v/>
      </c>
      <c r="BC785" s="35" t="str">
        <f aca="false">IF($B785="","",BA785-BB785)</f>
        <v/>
      </c>
      <c r="BD785" s="35" t="str">
        <f aca="false">IF(OR($B785="",$A785=""),"",DAY(EOMONTH($A785,0))-COUNTA($F785:$AJ785))</f>
        <v/>
      </c>
    </row>
    <row r="786" customFormat="false" ht="15" hidden="false" customHeight="false" outlineLevel="0" collapsed="false">
      <c r="A786" s="32"/>
      <c r="B786" s="29"/>
      <c r="C786" s="10" t="str">
        <f aca="false">IF($B786="","",IFERROR(INDEX(M_name,MATCH($B786,M_emp,0)),"Code not found"))</f>
        <v/>
      </c>
      <c r="D786" s="10" t="str">
        <f aca="false">IF($B786="","",IFERROR(INDEX(M_dept,MATCH($B786,M_emp,0)),""))</f>
        <v/>
      </c>
      <c r="E786" s="10" t="str">
        <f aca="false">IF($B786="","",IFERROR(INDEX(M_loc,MATCH($B786,M_emp,0)),""))</f>
        <v/>
      </c>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4" t="str">
        <f aca="false">IF($B786="","",COUNTIF($F786:$AJ786,"P"))</f>
        <v/>
      </c>
      <c r="AL786" s="34" t="str">
        <f aca="false">IF($B786="","",COUNTIF($F786:$AJ786,"A"))</f>
        <v/>
      </c>
      <c r="AM786" s="34" t="str">
        <f aca="false">IF($B786="","",COUNTIF($F786:$AJ786,"HA"))</f>
        <v/>
      </c>
      <c r="AN786" s="34" t="str">
        <f aca="false">IF($B786="","",COUNTIF($F786:$AJ786,"L"))</f>
        <v/>
      </c>
      <c r="AO786" s="34" t="str">
        <f aca="false">IF($B786="","",COUNTIF($F786:$AJ786,"PL"))</f>
        <v/>
      </c>
      <c r="AP786" s="34" t="str">
        <f aca="false">IF($B786="","",COUNTIF($F786:$AJ786,"CL"))</f>
        <v/>
      </c>
      <c r="AQ786" s="34" t="str">
        <f aca="false">IF($B786="","",COUNTIF($F786:$AJ786,"SL"))</f>
        <v/>
      </c>
      <c r="AR786" s="34" t="str">
        <f aca="false">IF($B786="","",COUNTIF($F786:$AJ786,"CO"))</f>
        <v/>
      </c>
      <c r="AS786" s="34" t="str">
        <f aca="false">IF($B786="","",COUNTIF($F786:$AJ786,"HPL"))</f>
        <v/>
      </c>
      <c r="AT786" s="34" t="str">
        <f aca="false">IF($B786="","",COUNTIF($F786:$AJ786,"HCL"))</f>
        <v/>
      </c>
      <c r="AU786" s="34" t="str">
        <f aca="false">IF($B786="","",COUNTIF($F786:$AJ786,"WO"))</f>
        <v/>
      </c>
      <c r="AV786" s="34" t="str">
        <f aca="false">IF($B786="","",COUNTIF($F786:$AJ786,"PH"))</f>
        <v/>
      </c>
      <c r="AW786" s="34" t="str">
        <f aca="false">IF($B786="","",COUNTIF($F786:$AJ786,"TR"))</f>
        <v/>
      </c>
      <c r="AX786" s="35" t="str">
        <f aca="false">IF($B786="","",AO786+AS786/2)</f>
        <v/>
      </c>
      <c r="AY786" s="35" t="str">
        <f aca="false">IF($B786="","",AQ786)</f>
        <v/>
      </c>
      <c r="AZ786" s="35" t="str">
        <f aca="false">IF($B786="","",AP786+AT786/2)</f>
        <v/>
      </c>
      <c r="BA786" s="35" t="str">
        <f aca="false">IF($B786="","",AK786+AN786+AM786/2+AO786+AP786+AQ786+AR786+AS786+AT786+AU786+AV786+AW786)</f>
        <v/>
      </c>
      <c r="BB786" s="35" t="str">
        <f aca="false">IF($B786="","",MAX(0,AN786-Settings!$C$16)*Settings!$C$17)</f>
        <v/>
      </c>
      <c r="BC786" s="35" t="str">
        <f aca="false">IF($B786="","",BA786-BB786)</f>
        <v/>
      </c>
      <c r="BD786" s="35" t="str">
        <f aca="false">IF(OR($B786="",$A786=""),"",DAY(EOMONTH($A786,0))-COUNTA($F786:$AJ786))</f>
        <v/>
      </c>
    </row>
    <row r="787" customFormat="false" ht="15" hidden="false" customHeight="false" outlineLevel="0" collapsed="false">
      <c r="A787" s="32"/>
      <c r="B787" s="29"/>
      <c r="C787" s="10" t="str">
        <f aca="false">IF($B787="","",IFERROR(INDEX(M_name,MATCH($B787,M_emp,0)),"Code not found"))</f>
        <v/>
      </c>
      <c r="D787" s="10" t="str">
        <f aca="false">IF($B787="","",IFERROR(INDEX(M_dept,MATCH($B787,M_emp,0)),""))</f>
        <v/>
      </c>
      <c r="E787" s="10" t="str">
        <f aca="false">IF($B787="","",IFERROR(INDEX(M_loc,MATCH($B787,M_emp,0)),""))</f>
        <v/>
      </c>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4" t="str">
        <f aca="false">IF($B787="","",COUNTIF($F787:$AJ787,"P"))</f>
        <v/>
      </c>
      <c r="AL787" s="34" t="str">
        <f aca="false">IF($B787="","",COUNTIF($F787:$AJ787,"A"))</f>
        <v/>
      </c>
      <c r="AM787" s="34" t="str">
        <f aca="false">IF($B787="","",COUNTIF($F787:$AJ787,"HA"))</f>
        <v/>
      </c>
      <c r="AN787" s="34" t="str">
        <f aca="false">IF($B787="","",COUNTIF($F787:$AJ787,"L"))</f>
        <v/>
      </c>
      <c r="AO787" s="34" t="str">
        <f aca="false">IF($B787="","",COUNTIF($F787:$AJ787,"PL"))</f>
        <v/>
      </c>
      <c r="AP787" s="34" t="str">
        <f aca="false">IF($B787="","",COUNTIF($F787:$AJ787,"CL"))</f>
        <v/>
      </c>
      <c r="AQ787" s="34" t="str">
        <f aca="false">IF($B787="","",COUNTIF($F787:$AJ787,"SL"))</f>
        <v/>
      </c>
      <c r="AR787" s="34" t="str">
        <f aca="false">IF($B787="","",COUNTIF($F787:$AJ787,"CO"))</f>
        <v/>
      </c>
      <c r="AS787" s="34" t="str">
        <f aca="false">IF($B787="","",COUNTIF($F787:$AJ787,"HPL"))</f>
        <v/>
      </c>
      <c r="AT787" s="34" t="str">
        <f aca="false">IF($B787="","",COUNTIF($F787:$AJ787,"HCL"))</f>
        <v/>
      </c>
      <c r="AU787" s="34" t="str">
        <f aca="false">IF($B787="","",COUNTIF($F787:$AJ787,"WO"))</f>
        <v/>
      </c>
      <c r="AV787" s="34" t="str">
        <f aca="false">IF($B787="","",COUNTIF($F787:$AJ787,"PH"))</f>
        <v/>
      </c>
      <c r="AW787" s="34" t="str">
        <f aca="false">IF($B787="","",COUNTIF($F787:$AJ787,"TR"))</f>
        <v/>
      </c>
      <c r="AX787" s="35" t="str">
        <f aca="false">IF($B787="","",AO787+AS787/2)</f>
        <v/>
      </c>
      <c r="AY787" s="35" t="str">
        <f aca="false">IF($B787="","",AQ787)</f>
        <v/>
      </c>
      <c r="AZ787" s="35" t="str">
        <f aca="false">IF($B787="","",AP787+AT787/2)</f>
        <v/>
      </c>
      <c r="BA787" s="35" t="str">
        <f aca="false">IF($B787="","",AK787+AN787+AM787/2+AO787+AP787+AQ787+AR787+AS787+AT787+AU787+AV787+AW787)</f>
        <v/>
      </c>
      <c r="BB787" s="35" t="str">
        <f aca="false">IF($B787="","",MAX(0,AN787-Settings!$C$16)*Settings!$C$17)</f>
        <v/>
      </c>
      <c r="BC787" s="35" t="str">
        <f aca="false">IF($B787="","",BA787-BB787)</f>
        <v/>
      </c>
      <c r="BD787" s="35" t="str">
        <f aca="false">IF(OR($B787="",$A787=""),"",DAY(EOMONTH($A787,0))-COUNTA($F787:$AJ787))</f>
        <v/>
      </c>
    </row>
    <row r="788" customFormat="false" ht="15" hidden="false" customHeight="false" outlineLevel="0" collapsed="false">
      <c r="A788" s="32"/>
      <c r="B788" s="29"/>
      <c r="C788" s="10" t="str">
        <f aca="false">IF($B788="","",IFERROR(INDEX(M_name,MATCH($B788,M_emp,0)),"Code not found"))</f>
        <v/>
      </c>
      <c r="D788" s="10" t="str">
        <f aca="false">IF($B788="","",IFERROR(INDEX(M_dept,MATCH($B788,M_emp,0)),""))</f>
        <v/>
      </c>
      <c r="E788" s="10" t="str">
        <f aca="false">IF($B788="","",IFERROR(INDEX(M_loc,MATCH($B788,M_emp,0)),""))</f>
        <v/>
      </c>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4" t="str">
        <f aca="false">IF($B788="","",COUNTIF($F788:$AJ788,"P"))</f>
        <v/>
      </c>
      <c r="AL788" s="34" t="str">
        <f aca="false">IF($B788="","",COUNTIF($F788:$AJ788,"A"))</f>
        <v/>
      </c>
      <c r="AM788" s="34" t="str">
        <f aca="false">IF($B788="","",COUNTIF($F788:$AJ788,"HA"))</f>
        <v/>
      </c>
      <c r="AN788" s="34" t="str">
        <f aca="false">IF($B788="","",COUNTIF($F788:$AJ788,"L"))</f>
        <v/>
      </c>
      <c r="AO788" s="34" t="str">
        <f aca="false">IF($B788="","",COUNTIF($F788:$AJ788,"PL"))</f>
        <v/>
      </c>
      <c r="AP788" s="34" t="str">
        <f aca="false">IF($B788="","",COUNTIF($F788:$AJ788,"CL"))</f>
        <v/>
      </c>
      <c r="AQ788" s="34" t="str">
        <f aca="false">IF($B788="","",COUNTIF($F788:$AJ788,"SL"))</f>
        <v/>
      </c>
      <c r="AR788" s="34" t="str">
        <f aca="false">IF($B788="","",COUNTIF($F788:$AJ788,"CO"))</f>
        <v/>
      </c>
      <c r="AS788" s="34" t="str">
        <f aca="false">IF($B788="","",COUNTIF($F788:$AJ788,"HPL"))</f>
        <v/>
      </c>
      <c r="AT788" s="34" t="str">
        <f aca="false">IF($B788="","",COUNTIF($F788:$AJ788,"HCL"))</f>
        <v/>
      </c>
      <c r="AU788" s="34" t="str">
        <f aca="false">IF($B788="","",COUNTIF($F788:$AJ788,"WO"))</f>
        <v/>
      </c>
      <c r="AV788" s="34" t="str">
        <f aca="false">IF($B788="","",COUNTIF($F788:$AJ788,"PH"))</f>
        <v/>
      </c>
      <c r="AW788" s="34" t="str">
        <f aca="false">IF($B788="","",COUNTIF($F788:$AJ788,"TR"))</f>
        <v/>
      </c>
      <c r="AX788" s="35" t="str">
        <f aca="false">IF($B788="","",AO788+AS788/2)</f>
        <v/>
      </c>
      <c r="AY788" s="35" t="str">
        <f aca="false">IF($B788="","",AQ788)</f>
        <v/>
      </c>
      <c r="AZ788" s="35" t="str">
        <f aca="false">IF($B788="","",AP788+AT788/2)</f>
        <v/>
      </c>
      <c r="BA788" s="35" t="str">
        <f aca="false">IF($B788="","",AK788+AN788+AM788/2+AO788+AP788+AQ788+AR788+AS788+AT788+AU788+AV788+AW788)</f>
        <v/>
      </c>
      <c r="BB788" s="35" t="str">
        <f aca="false">IF($B788="","",MAX(0,AN788-Settings!$C$16)*Settings!$C$17)</f>
        <v/>
      </c>
      <c r="BC788" s="35" t="str">
        <f aca="false">IF($B788="","",BA788-BB788)</f>
        <v/>
      </c>
      <c r="BD788" s="35" t="str">
        <f aca="false">IF(OR($B788="",$A788=""),"",DAY(EOMONTH($A788,0))-COUNTA($F788:$AJ788))</f>
        <v/>
      </c>
    </row>
    <row r="789" customFormat="false" ht="15" hidden="false" customHeight="false" outlineLevel="0" collapsed="false">
      <c r="A789" s="32"/>
      <c r="B789" s="29"/>
      <c r="C789" s="10" t="str">
        <f aca="false">IF($B789="","",IFERROR(INDEX(M_name,MATCH($B789,M_emp,0)),"Code not found"))</f>
        <v/>
      </c>
      <c r="D789" s="10" t="str">
        <f aca="false">IF($B789="","",IFERROR(INDEX(M_dept,MATCH($B789,M_emp,0)),""))</f>
        <v/>
      </c>
      <c r="E789" s="10" t="str">
        <f aca="false">IF($B789="","",IFERROR(INDEX(M_loc,MATCH($B789,M_emp,0)),""))</f>
        <v/>
      </c>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4" t="str">
        <f aca="false">IF($B789="","",COUNTIF($F789:$AJ789,"P"))</f>
        <v/>
      </c>
      <c r="AL789" s="34" t="str">
        <f aca="false">IF($B789="","",COUNTIF($F789:$AJ789,"A"))</f>
        <v/>
      </c>
      <c r="AM789" s="34" t="str">
        <f aca="false">IF($B789="","",COUNTIF($F789:$AJ789,"HA"))</f>
        <v/>
      </c>
      <c r="AN789" s="34" t="str">
        <f aca="false">IF($B789="","",COUNTIF($F789:$AJ789,"L"))</f>
        <v/>
      </c>
      <c r="AO789" s="34" t="str">
        <f aca="false">IF($B789="","",COUNTIF($F789:$AJ789,"PL"))</f>
        <v/>
      </c>
      <c r="AP789" s="34" t="str">
        <f aca="false">IF($B789="","",COUNTIF($F789:$AJ789,"CL"))</f>
        <v/>
      </c>
      <c r="AQ789" s="34" t="str">
        <f aca="false">IF($B789="","",COUNTIF($F789:$AJ789,"SL"))</f>
        <v/>
      </c>
      <c r="AR789" s="34" t="str">
        <f aca="false">IF($B789="","",COUNTIF($F789:$AJ789,"CO"))</f>
        <v/>
      </c>
      <c r="AS789" s="34" t="str">
        <f aca="false">IF($B789="","",COUNTIF($F789:$AJ789,"HPL"))</f>
        <v/>
      </c>
      <c r="AT789" s="34" t="str">
        <f aca="false">IF($B789="","",COUNTIF($F789:$AJ789,"HCL"))</f>
        <v/>
      </c>
      <c r="AU789" s="34" t="str">
        <f aca="false">IF($B789="","",COUNTIF($F789:$AJ789,"WO"))</f>
        <v/>
      </c>
      <c r="AV789" s="34" t="str">
        <f aca="false">IF($B789="","",COUNTIF($F789:$AJ789,"PH"))</f>
        <v/>
      </c>
      <c r="AW789" s="34" t="str">
        <f aca="false">IF($B789="","",COUNTIF($F789:$AJ789,"TR"))</f>
        <v/>
      </c>
      <c r="AX789" s="35" t="str">
        <f aca="false">IF($B789="","",AO789+AS789/2)</f>
        <v/>
      </c>
      <c r="AY789" s="35" t="str">
        <f aca="false">IF($B789="","",AQ789)</f>
        <v/>
      </c>
      <c r="AZ789" s="35" t="str">
        <f aca="false">IF($B789="","",AP789+AT789/2)</f>
        <v/>
      </c>
      <c r="BA789" s="35" t="str">
        <f aca="false">IF($B789="","",AK789+AN789+AM789/2+AO789+AP789+AQ789+AR789+AS789+AT789+AU789+AV789+AW789)</f>
        <v/>
      </c>
      <c r="BB789" s="35" t="str">
        <f aca="false">IF($B789="","",MAX(0,AN789-Settings!$C$16)*Settings!$C$17)</f>
        <v/>
      </c>
      <c r="BC789" s="35" t="str">
        <f aca="false">IF($B789="","",BA789-BB789)</f>
        <v/>
      </c>
      <c r="BD789" s="35" t="str">
        <f aca="false">IF(OR($B789="",$A789=""),"",DAY(EOMONTH($A789,0))-COUNTA($F789:$AJ789))</f>
        <v/>
      </c>
    </row>
    <row r="790" customFormat="false" ht="15" hidden="false" customHeight="false" outlineLevel="0" collapsed="false">
      <c r="A790" s="32"/>
      <c r="B790" s="29"/>
      <c r="C790" s="10" t="str">
        <f aca="false">IF($B790="","",IFERROR(INDEX(M_name,MATCH($B790,M_emp,0)),"Code not found"))</f>
        <v/>
      </c>
      <c r="D790" s="10" t="str">
        <f aca="false">IF($B790="","",IFERROR(INDEX(M_dept,MATCH($B790,M_emp,0)),""))</f>
        <v/>
      </c>
      <c r="E790" s="10" t="str">
        <f aca="false">IF($B790="","",IFERROR(INDEX(M_loc,MATCH($B790,M_emp,0)),""))</f>
        <v/>
      </c>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4" t="str">
        <f aca="false">IF($B790="","",COUNTIF($F790:$AJ790,"P"))</f>
        <v/>
      </c>
      <c r="AL790" s="34" t="str">
        <f aca="false">IF($B790="","",COUNTIF($F790:$AJ790,"A"))</f>
        <v/>
      </c>
      <c r="AM790" s="34" t="str">
        <f aca="false">IF($B790="","",COUNTIF($F790:$AJ790,"HA"))</f>
        <v/>
      </c>
      <c r="AN790" s="34" t="str">
        <f aca="false">IF($B790="","",COUNTIF($F790:$AJ790,"L"))</f>
        <v/>
      </c>
      <c r="AO790" s="34" t="str">
        <f aca="false">IF($B790="","",COUNTIF($F790:$AJ790,"PL"))</f>
        <v/>
      </c>
      <c r="AP790" s="34" t="str">
        <f aca="false">IF($B790="","",COUNTIF($F790:$AJ790,"CL"))</f>
        <v/>
      </c>
      <c r="AQ790" s="34" t="str">
        <f aca="false">IF($B790="","",COUNTIF($F790:$AJ790,"SL"))</f>
        <v/>
      </c>
      <c r="AR790" s="34" t="str">
        <f aca="false">IF($B790="","",COUNTIF($F790:$AJ790,"CO"))</f>
        <v/>
      </c>
      <c r="AS790" s="34" t="str">
        <f aca="false">IF($B790="","",COUNTIF($F790:$AJ790,"HPL"))</f>
        <v/>
      </c>
      <c r="AT790" s="34" t="str">
        <f aca="false">IF($B790="","",COUNTIF($F790:$AJ790,"HCL"))</f>
        <v/>
      </c>
      <c r="AU790" s="34" t="str">
        <f aca="false">IF($B790="","",COUNTIF($F790:$AJ790,"WO"))</f>
        <v/>
      </c>
      <c r="AV790" s="34" t="str">
        <f aca="false">IF($B790="","",COUNTIF($F790:$AJ790,"PH"))</f>
        <v/>
      </c>
      <c r="AW790" s="34" t="str">
        <f aca="false">IF($B790="","",COUNTIF($F790:$AJ790,"TR"))</f>
        <v/>
      </c>
      <c r="AX790" s="35" t="str">
        <f aca="false">IF($B790="","",AO790+AS790/2)</f>
        <v/>
      </c>
      <c r="AY790" s="35" t="str">
        <f aca="false">IF($B790="","",AQ790)</f>
        <v/>
      </c>
      <c r="AZ790" s="35" t="str">
        <f aca="false">IF($B790="","",AP790+AT790/2)</f>
        <v/>
      </c>
      <c r="BA790" s="35" t="str">
        <f aca="false">IF($B790="","",AK790+AN790+AM790/2+AO790+AP790+AQ790+AR790+AS790+AT790+AU790+AV790+AW790)</f>
        <v/>
      </c>
      <c r="BB790" s="35" t="str">
        <f aca="false">IF($B790="","",MAX(0,AN790-Settings!$C$16)*Settings!$C$17)</f>
        <v/>
      </c>
      <c r="BC790" s="35" t="str">
        <f aca="false">IF($B790="","",BA790-BB790)</f>
        <v/>
      </c>
      <c r="BD790" s="35" t="str">
        <f aca="false">IF(OR($B790="",$A790=""),"",DAY(EOMONTH($A790,0))-COUNTA($F790:$AJ790))</f>
        <v/>
      </c>
    </row>
    <row r="791" customFormat="false" ht="15" hidden="false" customHeight="false" outlineLevel="0" collapsed="false">
      <c r="A791" s="32"/>
      <c r="B791" s="29"/>
      <c r="C791" s="10" t="str">
        <f aca="false">IF($B791="","",IFERROR(INDEX(M_name,MATCH($B791,M_emp,0)),"Code not found"))</f>
        <v/>
      </c>
      <c r="D791" s="10" t="str">
        <f aca="false">IF($B791="","",IFERROR(INDEX(M_dept,MATCH($B791,M_emp,0)),""))</f>
        <v/>
      </c>
      <c r="E791" s="10" t="str">
        <f aca="false">IF($B791="","",IFERROR(INDEX(M_loc,MATCH($B791,M_emp,0)),""))</f>
        <v/>
      </c>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4" t="str">
        <f aca="false">IF($B791="","",COUNTIF($F791:$AJ791,"P"))</f>
        <v/>
      </c>
      <c r="AL791" s="34" t="str">
        <f aca="false">IF($B791="","",COUNTIF($F791:$AJ791,"A"))</f>
        <v/>
      </c>
      <c r="AM791" s="34" t="str">
        <f aca="false">IF($B791="","",COUNTIF($F791:$AJ791,"HA"))</f>
        <v/>
      </c>
      <c r="AN791" s="34" t="str">
        <f aca="false">IF($B791="","",COUNTIF($F791:$AJ791,"L"))</f>
        <v/>
      </c>
      <c r="AO791" s="34" t="str">
        <f aca="false">IF($B791="","",COUNTIF($F791:$AJ791,"PL"))</f>
        <v/>
      </c>
      <c r="AP791" s="34" t="str">
        <f aca="false">IF($B791="","",COUNTIF($F791:$AJ791,"CL"))</f>
        <v/>
      </c>
      <c r="AQ791" s="34" t="str">
        <f aca="false">IF($B791="","",COUNTIF($F791:$AJ791,"SL"))</f>
        <v/>
      </c>
      <c r="AR791" s="34" t="str">
        <f aca="false">IF($B791="","",COUNTIF($F791:$AJ791,"CO"))</f>
        <v/>
      </c>
      <c r="AS791" s="34" t="str">
        <f aca="false">IF($B791="","",COUNTIF($F791:$AJ791,"HPL"))</f>
        <v/>
      </c>
      <c r="AT791" s="34" t="str">
        <f aca="false">IF($B791="","",COUNTIF($F791:$AJ791,"HCL"))</f>
        <v/>
      </c>
      <c r="AU791" s="34" t="str">
        <f aca="false">IF($B791="","",COUNTIF($F791:$AJ791,"WO"))</f>
        <v/>
      </c>
      <c r="AV791" s="34" t="str">
        <f aca="false">IF($B791="","",COUNTIF($F791:$AJ791,"PH"))</f>
        <v/>
      </c>
      <c r="AW791" s="34" t="str">
        <f aca="false">IF($B791="","",COUNTIF($F791:$AJ791,"TR"))</f>
        <v/>
      </c>
      <c r="AX791" s="35" t="str">
        <f aca="false">IF($B791="","",AO791+AS791/2)</f>
        <v/>
      </c>
      <c r="AY791" s="35" t="str">
        <f aca="false">IF($B791="","",AQ791)</f>
        <v/>
      </c>
      <c r="AZ791" s="35" t="str">
        <f aca="false">IF($B791="","",AP791+AT791/2)</f>
        <v/>
      </c>
      <c r="BA791" s="35" t="str">
        <f aca="false">IF($B791="","",AK791+AN791+AM791/2+AO791+AP791+AQ791+AR791+AS791+AT791+AU791+AV791+AW791)</f>
        <v/>
      </c>
      <c r="BB791" s="35" t="str">
        <f aca="false">IF($B791="","",MAX(0,AN791-Settings!$C$16)*Settings!$C$17)</f>
        <v/>
      </c>
      <c r="BC791" s="35" t="str">
        <f aca="false">IF($B791="","",BA791-BB791)</f>
        <v/>
      </c>
      <c r="BD791" s="35" t="str">
        <f aca="false">IF(OR($B791="",$A791=""),"",DAY(EOMONTH($A791,0))-COUNTA($F791:$AJ791))</f>
        <v/>
      </c>
    </row>
    <row r="792" customFormat="false" ht="15" hidden="false" customHeight="false" outlineLevel="0" collapsed="false">
      <c r="A792" s="32"/>
      <c r="B792" s="29"/>
      <c r="C792" s="10" t="str">
        <f aca="false">IF($B792="","",IFERROR(INDEX(M_name,MATCH($B792,M_emp,0)),"Code not found"))</f>
        <v/>
      </c>
      <c r="D792" s="10" t="str">
        <f aca="false">IF($B792="","",IFERROR(INDEX(M_dept,MATCH($B792,M_emp,0)),""))</f>
        <v/>
      </c>
      <c r="E792" s="10" t="str">
        <f aca="false">IF($B792="","",IFERROR(INDEX(M_loc,MATCH($B792,M_emp,0)),""))</f>
        <v/>
      </c>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4" t="str">
        <f aca="false">IF($B792="","",COUNTIF($F792:$AJ792,"P"))</f>
        <v/>
      </c>
      <c r="AL792" s="34" t="str">
        <f aca="false">IF($B792="","",COUNTIF($F792:$AJ792,"A"))</f>
        <v/>
      </c>
      <c r="AM792" s="34" t="str">
        <f aca="false">IF($B792="","",COUNTIF($F792:$AJ792,"HA"))</f>
        <v/>
      </c>
      <c r="AN792" s="34" t="str">
        <f aca="false">IF($B792="","",COUNTIF($F792:$AJ792,"L"))</f>
        <v/>
      </c>
      <c r="AO792" s="34" t="str">
        <f aca="false">IF($B792="","",COUNTIF($F792:$AJ792,"PL"))</f>
        <v/>
      </c>
      <c r="AP792" s="34" t="str">
        <f aca="false">IF($B792="","",COUNTIF($F792:$AJ792,"CL"))</f>
        <v/>
      </c>
      <c r="AQ792" s="34" t="str">
        <f aca="false">IF($B792="","",COUNTIF($F792:$AJ792,"SL"))</f>
        <v/>
      </c>
      <c r="AR792" s="34" t="str">
        <f aca="false">IF($B792="","",COUNTIF($F792:$AJ792,"CO"))</f>
        <v/>
      </c>
      <c r="AS792" s="34" t="str">
        <f aca="false">IF($B792="","",COUNTIF($F792:$AJ792,"HPL"))</f>
        <v/>
      </c>
      <c r="AT792" s="34" t="str">
        <f aca="false">IF($B792="","",COUNTIF($F792:$AJ792,"HCL"))</f>
        <v/>
      </c>
      <c r="AU792" s="34" t="str">
        <f aca="false">IF($B792="","",COUNTIF($F792:$AJ792,"WO"))</f>
        <v/>
      </c>
      <c r="AV792" s="34" t="str">
        <f aca="false">IF($B792="","",COUNTIF($F792:$AJ792,"PH"))</f>
        <v/>
      </c>
      <c r="AW792" s="34" t="str">
        <f aca="false">IF($B792="","",COUNTIF($F792:$AJ792,"TR"))</f>
        <v/>
      </c>
      <c r="AX792" s="35" t="str">
        <f aca="false">IF($B792="","",AO792+AS792/2)</f>
        <v/>
      </c>
      <c r="AY792" s="35" t="str">
        <f aca="false">IF($B792="","",AQ792)</f>
        <v/>
      </c>
      <c r="AZ792" s="35" t="str">
        <f aca="false">IF($B792="","",AP792+AT792/2)</f>
        <v/>
      </c>
      <c r="BA792" s="35" t="str">
        <f aca="false">IF($B792="","",AK792+AN792+AM792/2+AO792+AP792+AQ792+AR792+AS792+AT792+AU792+AV792+AW792)</f>
        <v/>
      </c>
      <c r="BB792" s="35" t="str">
        <f aca="false">IF($B792="","",MAX(0,AN792-Settings!$C$16)*Settings!$C$17)</f>
        <v/>
      </c>
      <c r="BC792" s="35" t="str">
        <f aca="false">IF($B792="","",BA792-BB792)</f>
        <v/>
      </c>
      <c r="BD792" s="35" t="str">
        <f aca="false">IF(OR($B792="",$A792=""),"",DAY(EOMONTH($A792,0))-COUNTA($F792:$AJ792))</f>
        <v/>
      </c>
    </row>
    <row r="793" customFormat="false" ht="15" hidden="false" customHeight="false" outlineLevel="0" collapsed="false">
      <c r="A793" s="32"/>
      <c r="B793" s="29"/>
      <c r="C793" s="10" t="str">
        <f aca="false">IF($B793="","",IFERROR(INDEX(M_name,MATCH($B793,M_emp,0)),"Code not found"))</f>
        <v/>
      </c>
      <c r="D793" s="10" t="str">
        <f aca="false">IF($B793="","",IFERROR(INDEX(M_dept,MATCH($B793,M_emp,0)),""))</f>
        <v/>
      </c>
      <c r="E793" s="10" t="str">
        <f aca="false">IF($B793="","",IFERROR(INDEX(M_loc,MATCH($B793,M_emp,0)),""))</f>
        <v/>
      </c>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4" t="str">
        <f aca="false">IF($B793="","",COUNTIF($F793:$AJ793,"P"))</f>
        <v/>
      </c>
      <c r="AL793" s="34" t="str">
        <f aca="false">IF($B793="","",COUNTIF($F793:$AJ793,"A"))</f>
        <v/>
      </c>
      <c r="AM793" s="34" t="str">
        <f aca="false">IF($B793="","",COUNTIF($F793:$AJ793,"HA"))</f>
        <v/>
      </c>
      <c r="AN793" s="34" t="str">
        <f aca="false">IF($B793="","",COUNTIF($F793:$AJ793,"L"))</f>
        <v/>
      </c>
      <c r="AO793" s="34" t="str">
        <f aca="false">IF($B793="","",COUNTIF($F793:$AJ793,"PL"))</f>
        <v/>
      </c>
      <c r="AP793" s="34" t="str">
        <f aca="false">IF($B793="","",COUNTIF($F793:$AJ793,"CL"))</f>
        <v/>
      </c>
      <c r="AQ793" s="34" t="str">
        <f aca="false">IF($B793="","",COUNTIF($F793:$AJ793,"SL"))</f>
        <v/>
      </c>
      <c r="AR793" s="34" t="str">
        <f aca="false">IF($B793="","",COUNTIF($F793:$AJ793,"CO"))</f>
        <v/>
      </c>
      <c r="AS793" s="34" t="str">
        <f aca="false">IF($B793="","",COUNTIF($F793:$AJ793,"HPL"))</f>
        <v/>
      </c>
      <c r="AT793" s="34" t="str">
        <f aca="false">IF($B793="","",COUNTIF($F793:$AJ793,"HCL"))</f>
        <v/>
      </c>
      <c r="AU793" s="34" t="str">
        <f aca="false">IF($B793="","",COUNTIF($F793:$AJ793,"WO"))</f>
        <v/>
      </c>
      <c r="AV793" s="34" t="str">
        <f aca="false">IF($B793="","",COUNTIF($F793:$AJ793,"PH"))</f>
        <v/>
      </c>
      <c r="AW793" s="34" t="str">
        <f aca="false">IF($B793="","",COUNTIF($F793:$AJ793,"TR"))</f>
        <v/>
      </c>
      <c r="AX793" s="35" t="str">
        <f aca="false">IF($B793="","",AO793+AS793/2)</f>
        <v/>
      </c>
      <c r="AY793" s="35" t="str">
        <f aca="false">IF($B793="","",AQ793)</f>
        <v/>
      </c>
      <c r="AZ793" s="35" t="str">
        <f aca="false">IF($B793="","",AP793+AT793/2)</f>
        <v/>
      </c>
      <c r="BA793" s="35" t="str">
        <f aca="false">IF($B793="","",AK793+AN793+AM793/2+AO793+AP793+AQ793+AR793+AS793+AT793+AU793+AV793+AW793)</f>
        <v/>
      </c>
      <c r="BB793" s="35" t="str">
        <f aca="false">IF($B793="","",MAX(0,AN793-Settings!$C$16)*Settings!$C$17)</f>
        <v/>
      </c>
      <c r="BC793" s="35" t="str">
        <f aca="false">IF($B793="","",BA793-BB793)</f>
        <v/>
      </c>
      <c r="BD793" s="35" t="str">
        <f aca="false">IF(OR($B793="",$A793=""),"",DAY(EOMONTH($A793,0))-COUNTA($F793:$AJ793))</f>
        <v/>
      </c>
    </row>
    <row r="794" customFormat="false" ht="15" hidden="false" customHeight="false" outlineLevel="0" collapsed="false">
      <c r="A794" s="32"/>
      <c r="B794" s="29"/>
      <c r="C794" s="10" t="str">
        <f aca="false">IF($B794="","",IFERROR(INDEX(M_name,MATCH($B794,M_emp,0)),"Code not found"))</f>
        <v/>
      </c>
      <c r="D794" s="10" t="str">
        <f aca="false">IF($B794="","",IFERROR(INDEX(M_dept,MATCH($B794,M_emp,0)),""))</f>
        <v/>
      </c>
      <c r="E794" s="10" t="str">
        <f aca="false">IF($B794="","",IFERROR(INDEX(M_loc,MATCH($B794,M_emp,0)),""))</f>
        <v/>
      </c>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4" t="str">
        <f aca="false">IF($B794="","",COUNTIF($F794:$AJ794,"P"))</f>
        <v/>
      </c>
      <c r="AL794" s="34" t="str">
        <f aca="false">IF($B794="","",COUNTIF($F794:$AJ794,"A"))</f>
        <v/>
      </c>
      <c r="AM794" s="34" t="str">
        <f aca="false">IF($B794="","",COUNTIF($F794:$AJ794,"HA"))</f>
        <v/>
      </c>
      <c r="AN794" s="34" t="str">
        <f aca="false">IF($B794="","",COUNTIF($F794:$AJ794,"L"))</f>
        <v/>
      </c>
      <c r="AO794" s="34" t="str">
        <f aca="false">IF($B794="","",COUNTIF($F794:$AJ794,"PL"))</f>
        <v/>
      </c>
      <c r="AP794" s="34" t="str">
        <f aca="false">IF($B794="","",COUNTIF($F794:$AJ794,"CL"))</f>
        <v/>
      </c>
      <c r="AQ794" s="34" t="str">
        <f aca="false">IF($B794="","",COUNTIF($F794:$AJ794,"SL"))</f>
        <v/>
      </c>
      <c r="AR794" s="34" t="str">
        <f aca="false">IF($B794="","",COUNTIF($F794:$AJ794,"CO"))</f>
        <v/>
      </c>
      <c r="AS794" s="34" t="str">
        <f aca="false">IF($B794="","",COUNTIF($F794:$AJ794,"HPL"))</f>
        <v/>
      </c>
      <c r="AT794" s="34" t="str">
        <f aca="false">IF($B794="","",COUNTIF($F794:$AJ794,"HCL"))</f>
        <v/>
      </c>
      <c r="AU794" s="34" t="str">
        <f aca="false">IF($B794="","",COUNTIF($F794:$AJ794,"WO"))</f>
        <v/>
      </c>
      <c r="AV794" s="34" t="str">
        <f aca="false">IF($B794="","",COUNTIF($F794:$AJ794,"PH"))</f>
        <v/>
      </c>
      <c r="AW794" s="34" t="str">
        <f aca="false">IF($B794="","",COUNTIF($F794:$AJ794,"TR"))</f>
        <v/>
      </c>
      <c r="AX794" s="35" t="str">
        <f aca="false">IF($B794="","",AO794+AS794/2)</f>
        <v/>
      </c>
      <c r="AY794" s="35" t="str">
        <f aca="false">IF($B794="","",AQ794)</f>
        <v/>
      </c>
      <c r="AZ794" s="35" t="str">
        <f aca="false">IF($B794="","",AP794+AT794/2)</f>
        <v/>
      </c>
      <c r="BA794" s="35" t="str">
        <f aca="false">IF($B794="","",AK794+AN794+AM794/2+AO794+AP794+AQ794+AR794+AS794+AT794+AU794+AV794+AW794)</f>
        <v/>
      </c>
      <c r="BB794" s="35" t="str">
        <f aca="false">IF($B794="","",MAX(0,AN794-Settings!$C$16)*Settings!$C$17)</f>
        <v/>
      </c>
      <c r="BC794" s="35" t="str">
        <f aca="false">IF($B794="","",BA794-BB794)</f>
        <v/>
      </c>
      <c r="BD794" s="35" t="str">
        <f aca="false">IF(OR($B794="",$A794=""),"",DAY(EOMONTH($A794,0))-COUNTA($F794:$AJ794))</f>
        <v/>
      </c>
    </row>
    <row r="795" customFormat="false" ht="15" hidden="false" customHeight="false" outlineLevel="0" collapsed="false">
      <c r="A795" s="32"/>
      <c r="B795" s="29"/>
      <c r="C795" s="10" t="str">
        <f aca="false">IF($B795="","",IFERROR(INDEX(M_name,MATCH($B795,M_emp,0)),"Code not found"))</f>
        <v/>
      </c>
      <c r="D795" s="10" t="str">
        <f aca="false">IF($B795="","",IFERROR(INDEX(M_dept,MATCH($B795,M_emp,0)),""))</f>
        <v/>
      </c>
      <c r="E795" s="10" t="str">
        <f aca="false">IF($B795="","",IFERROR(INDEX(M_loc,MATCH($B795,M_emp,0)),""))</f>
        <v/>
      </c>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4" t="str">
        <f aca="false">IF($B795="","",COUNTIF($F795:$AJ795,"P"))</f>
        <v/>
      </c>
      <c r="AL795" s="34" t="str">
        <f aca="false">IF($B795="","",COUNTIF($F795:$AJ795,"A"))</f>
        <v/>
      </c>
      <c r="AM795" s="34" t="str">
        <f aca="false">IF($B795="","",COUNTIF($F795:$AJ795,"HA"))</f>
        <v/>
      </c>
      <c r="AN795" s="34" t="str">
        <f aca="false">IF($B795="","",COUNTIF($F795:$AJ795,"L"))</f>
        <v/>
      </c>
      <c r="AO795" s="34" t="str">
        <f aca="false">IF($B795="","",COUNTIF($F795:$AJ795,"PL"))</f>
        <v/>
      </c>
      <c r="AP795" s="34" t="str">
        <f aca="false">IF($B795="","",COUNTIF($F795:$AJ795,"CL"))</f>
        <v/>
      </c>
      <c r="AQ795" s="34" t="str">
        <f aca="false">IF($B795="","",COUNTIF($F795:$AJ795,"SL"))</f>
        <v/>
      </c>
      <c r="AR795" s="34" t="str">
        <f aca="false">IF($B795="","",COUNTIF($F795:$AJ795,"CO"))</f>
        <v/>
      </c>
      <c r="AS795" s="34" t="str">
        <f aca="false">IF($B795="","",COUNTIF($F795:$AJ795,"HPL"))</f>
        <v/>
      </c>
      <c r="AT795" s="34" t="str">
        <f aca="false">IF($B795="","",COUNTIF($F795:$AJ795,"HCL"))</f>
        <v/>
      </c>
      <c r="AU795" s="34" t="str">
        <f aca="false">IF($B795="","",COUNTIF($F795:$AJ795,"WO"))</f>
        <v/>
      </c>
      <c r="AV795" s="34" t="str">
        <f aca="false">IF($B795="","",COUNTIF($F795:$AJ795,"PH"))</f>
        <v/>
      </c>
      <c r="AW795" s="34" t="str">
        <f aca="false">IF($B795="","",COUNTIF($F795:$AJ795,"TR"))</f>
        <v/>
      </c>
      <c r="AX795" s="35" t="str">
        <f aca="false">IF($B795="","",AO795+AS795/2)</f>
        <v/>
      </c>
      <c r="AY795" s="35" t="str">
        <f aca="false">IF($B795="","",AQ795)</f>
        <v/>
      </c>
      <c r="AZ795" s="35" t="str">
        <f aca="false">IF($B795="","",AP795+AT795/2)</f>
        <v/>
      </c>
      <c r="BA795" s="35" t="str">
        <f aca="false">IF($B795="","",AK795+AN795+AM795/2+AO795+AP795+AQ795+AR795+AS795+AT795+AU795+AV795+AW795)</f>
        <v/>
      </c>
      <c r="BB795" s="35" t="str">
        <f aca="false">IF($B795="","",MAX(0,AN795-Settings!$C$16)*Settings!$C$17)</f>
        <v/>
      </c>
      <c r="BC795" s="35" t="str">
        <f aca="false">IF($B795="","",BA795-BB795)</f>
        <v/>
      </c>
      <c r="BD795" s="35" t="str">
        <f aca="false">IF(OR($B795="",$A795=""),"",DAY(EOMONTH($A795,0))-COUNTA($F795:$AJ795))</f>
        <v/>
      </c>
    </row>
    <row r="796" customFormat="false" ht="15" hidden="false" customHeight="false" outlineLevel="0" collapsed="false">
      <c r="A796" s="32"/>
      <c r="B796" s="29"/>
      <c r="C796" s="10" t="str">
        <f aca="false">IF($B796="","",IFERROR(INDEX(M_name,MATCH($B796,M_emp,0)),"Code not found"))</f>
        <v/>
      </c>
      <c r="D796" s="10" t="str">
        <f aca="false">IF($B796="","",IFERROR(INDEX(M_dept,MATCH($B796,M_emp,0)),""))</f>
        <v/>
      </c>
      <c r="E796" s="10" t="str">
        <f aca="false">IF($B796="","",IFERROR(INDEX(M_loc,MATCH($B796,M_emp,0)),""))</f>
        <v/>
      </c>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4" t="str">
        <f aca="false">IF($B796="","",COUNTIF($F796:$AJ796,"P"))</f>
        <v/>
      </c>
      <c r="AL796" s="34" t="str">
        <f aca="false">IF($B796="","",COUNTIF($F796:$AJ796,"A"))</f>
        <v/>
      </c>
      <c r="AM796" s="34" t="str">
        <f aca="false">IF($B796="","",COUNTIF($F796:$AJ796,"HA"))</f>
        <v/>
      </c>
      <c r="AN796" s="34" t="str">
        <f aca="false">IF($B796="","",COUNTIF($F796:$AJ796,"L"))</f>
        <v/>
      </c>
      <c r="AO796" s="34" t="str">
        <f aca="false">IF($B796="","",COUNTIF($F796:$AJ796,"PL"))</f>
        <v/>
      </c>
      <c r="AP796" s="34" t="str">
        <f aca="false">IF($B796="","",COUNTIF($F796:$AJ796,"CL"))</f>
        <v/>
      </c>
      <c r="AQ796" s="34" t="str">
        <f aca="false">IF($B796="","",COUNTIF($F796:$AJ796,"SL"))</f>
        <v/>
      </c>
      <c r="AR796" s="34" t="str">
        <f aca="false">IF($B796="","",COUNTIF($F796:$AJ796,"CO"))</f>
        <v/>
      </c>
      <c r="AS796" s="34" t="str">
        <f aca="false">IF($B796="","",COUNTIF($F796:$AJ796,"HPL"))</f>
        <v/>
      </c>
      <c r="AT796" s="34" t="str">
        <f aca="false">IF($B796="","",COUNTIF($F796:$AJ796,"HCL"))</f>
        <v/>
      </c>
      <c r="AU796" s="34" t="str">
        <f aca="false">IF($B796="","",COUNTIF($F796:$AJ796,"WO"))</f>
        <v/>
      </c>
      <c r="AV796" s="34" t="str">
        <f aca="false">IF($B796="","",COUNTIF($F796:$AJ796,"PH"))</f>
        <v/>
      </c>
      <c r="AW796" s="34" t="str">
        <f aca="false">IF($B796="","",COUNTIF($F796:$AJ796,"TR"))</f>
        <v/>
      </c>
      <c r="AX796" s="35" t="str">
        <f aca="false">IF($B796="","",AO796+AS796/2)</f>
        <v/>
      </c>
      <c r="AY796" s="35" t="str">
        <f aca="false">IF($B796="","",AQ796)</f>
        <v/>
      </c>
      <c r="AZ796" s="35" t="str">
        <f aca="false">IF($B796="","",AP796+AT796/2)</f>
        <v/>
      </c>
      <c r="BA796" s="35" t="str">
        <f aca="false">IF($B796="","",AK796+AN796+AM796/2+AO796+AP796+AQ796+AR796+AS796+AT796+AU796+AV796+AW796)</f>
        <v/>
      </c>
      <c r="BB796" s="35" t="str">
        <f aca="false">IF($B796="","",MAX(0,AN796-Settings!$C$16)*Settings!$C$17)</f>
        <v/>
      </c>
      <c r="BC796" s="35" t="str">
        <f aca="false">IF($B796="","",BA796-BB796)</f>
        <v/>
      </c>
      <c r="BD796" s="35" t="str">
        <f aca="false">IF(OR($B796="",$A796=""),"",DAY(EOMONTH($A796,0))-COUNTA($F796:$AJ796))</f>
        <v/>
      </c>
    </row>
    <row r="797" customFormat="false" ht="15" hidden="false" customHeight="false" outlineLevel="0" collapsed="false">
      <c r="A797" s="32"/>
      <c r="B797" s="29"/>
      <c r="C797" s="10" t="str">
        <f aca="false">IF($B797="","",IFERROR(INDEX(M_name,MATCH($B797,M_emp,0)),"Code not found"))</f>
        <v/>
      </c>
      <c r="D797" s="10" t="str">
        <f aca="false">IF($B797="","",IFERROR(INDEX(M_dept,MATCH($B797,M_emp,0)),""))</f>
        <v/>
      </c>
      <c r="E797" s="10" t="str">
        <f aca="false">IF($B797="","",IFERROR(INDEX(M_loc,MATCH($B797,M_emp,0)),""))</f>
        <v/>
      </c>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4" t="str">
        <f aca="false">IF($B797="","",COUNTIF($F797:$AJ797,"P"))</f>
        <v/>
      </c>
      <c r="AL797" s="34" t="str">
        <f aca="false">IF($B797="","",COUNTIF($F797:$AJ797,"A"))</f>
        <v/>
      </c>
      <c r="AM797" s="34" t="str">
        <f aca="false">IF($B797="","",COUNTIF($F797:$AJ797,"HA"))</f>
        <v/>
      </c>
      <c r="AN797" s="34" t="str">
        <f aca="false">IF($B797="","",COUNTIF($F797:$AJ797,"L"))</f>
        <v/>
      </c>
      <c r="AO797" s="34" t="str">
        <f aca="false">IF($B797="","",COUNTIF($F797:$AJ797,"PL"))</f>
        <v/>
      </c>
      <c r="AP797" s="34" t="str">
        <f aca="false">IF($B797="","",COUNTIF($F797:$AJ797,"CL"))</f>
        <v/>
      </c>
      <c r="AQ797" s="34" t="str">
        <f aca="false">IF($B797="","",COUNTIF($F797:$AJ797,"SL"))</f>
        <v/>
      </c>
      <c r="AR797" s="34" t="str">
        <f aca="false">IF($B797="","",COUNTIF($F797:$AJ797,"CO"))</f>
        <v/>
      </c>
      <c r="AS797" s="34" t="str">
        <f aca="false">IF($B797="","",COUNTIF($F797:$AJ797,"HPL"))</f>
        <v/>
      </c>
      <c r="AT797" s="34" t="str">
        <f aca="false">IF($B797="","",COUNTIF($F797:$AJ797,"HCL"))</f>
        <v/>
      </c>
      <c r="AU797" s="34" t="str">
        <f aca="false">IF($B797="","",COUNTIF($F797:$AJ797,"WO"))</f>
        <v/>
      </c>
      <c r="AV797" s="34" t="str">
        <f aca="false">IF($B797="","",COUNTIF($F797:$AJ797,"PH"))</f>
        <v/>
      </c>
      <c r="AW797" s="34" t="str">
        <f aca="false">IF($B797="","",COUNTIF($F797:$AJ797,"TR"))</f>
        <v/>
      </c>
      <c r="AX797" s="35" t="str">
        <f aca="false">IF($B797="","",AO797+AS797/2)</f>
        <v/>
      </c>
      <c r="AY797" s="35" t="str">
        <f aca="false">IF($B797="","",AQ797)</f>
        <v/>
      </c>
      <c r="AZ797" s="35" t="str">
        <f aca="false">IF($B797="","",AP797+AT797/2)</f>
        <v/>
      </c>
      <c r="BA797" s="35" t="str">
        <f aca="false">IF($B797="","",AK797+AN797+AM797/2+AO797+AP797+AQ797+AR797+AS797+AT797+AU797+AV797+AW797)</f>
        <v/>
      </c>
      <c r="BB797" s="35" t="str">
        <f aca="false">IF($B797="","",MAX(0,AN797-Settings!$C$16)*Settings!$C$17)</f>
        <v/>
      </c>
      <c r="BC797" s="35" t="str">
        <f aca="false">IF($B797="","",BA797-BB797)</f>
        <v/>
      </c>
      <c r="BD797" s="35" t="str">
        <f aca="false">IF(OR($B797="",$A797=""),"",DAY(EOMONTH($A797,0))-COUNTA($F797:$AJ797))</f>
        <v/>
      </c>
    </row>
    <row r="798" customFormat="false" ht="15" hidden="false" customHeight="false" outlineLevel="0" collapsed="false">
      <c r="A798" s="32"/>
      <c r="B798" s="29"/>
      <c r="C798" s="10" t="str">
        <f aca="false">IF($B798="","",IFERROR(INDEX(M_name,MATCH($B798,M_emp,0)),"Code not found"))</f>
        <v/>
      </c>
      <c r="D798" s="10" t="str">
        <f aca="false">IF($B798="","",IFERROR(INDEX(M_dept,MATCH($B798,M_emp,0)),""))</f>
        <v/>
      </c>
      <c r="E798" s="10" t="str">
        <f aca="false">IF($B798="","",IFERROR(INDEX(M_loc,MATCH($B798,M_emp,0)),""))</f>
        <v/>
      </c>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4" t="str">
        <f aca="false">IF($B798="","",COUNTIF($F798:$AJ798,"P"))</f>
        <v/>
      </c>
      <c r="AL798" s="34" t="str">
        <f aca="false">IF($B798="","",COUNTIF($F798:$AJ798,"A"))</f>
        <v/>
      </c>
      <c r="AM798" s="34" t="str">
        <f aca="false">IF($B798="","",COUNTIF($F798:$AJ798,"HA"))</f>
        <v/>
      </c>
      <c r="AN798" s="34" t="str">
        <f aca="false">IF($B798="","",COUNTIF($F798:$AJ798,"L"))</f>
        <v/>
      </c>
      <c r="AO798" s="34" t="str">
        <f aca="false">IF($B798="","",COUNTIF($F798:$AJ798,"PL"))</f>
        <v/>
      </c>
      <c r="AP798" s="34" t="str">
        <f aca="false">IF($B798="","",COUNTIF($F798:$AJ798,"CL"))</f>
        <v/>
      </c>
      <c r="AQ798" s="34" t="str">
        <f aca="false">IF($B798="","",COUNTIF($F798:$AJ798,"SL"))</f>
        <v/>
      </c>
      <c r="AR798" s="34" t="str">
        <f aca="false">IF($B798="","",COUNTIF($F798:$AJ798,"CO"))</f>
        <v/>
      </c>
      <c r="AS798" s="34" t="str">
        <f aca="false">IF($B798="","",COUNTIF($F798:$AJ798,"HPL"))</f>
        <v/>
      </c>
      <c r="AT798" s="34" t="str">
        <f aca="false">IF($B798="","",COUNTIF($F798:$AJ798,"HCL"))</f>
        <v/>
      </c>
      <c r="AU798" s="34" t="str">
        <f aca="false">IF($B798="","",COUNTIF($F798:$AJ798,"WO"))</f>
        <v/>
      </c>
      <c r="AV798" s="34" t="str">
        <f aca="false">IF($B798="","",COUNTIF($F798:$AJ798,"PH"))</f>
        <v/>
      </c>
      <c r="AW798" s="34" t="str">
        <f aca="false">IF($B798="","",COUNTIF($F798:$AJ798,"TR"))</f>
        <v/>
      </c>
      <c r="AX798" s="35" t="str">
        <f aca="false">IF($B798="","",AO798+AS798/2)</f>
        <v/>
      </c>
      <c r="AY798" s="35" t="str">
        <f aca="false">IF($B798="","",AQ798)</f>
        <v/>
      </c>
      <c r="AZ798" s="35" t="str">
        <f aca="false">IF($B798="","",AP798+AT798/2)</f>
        <v/>
      </c>
      <c r="BA798" s="35" t="str">
        <f aca="false">IF($B798="","",AK798+AN798+AM798/2+AO798+AP798+AQ798+AR798+AS798+AT798+AU798+AV798+AW798)</f>
        <v/>
      </c>
      <c r="BB798" s="35" t="str">
        <f aca="false">IF($B798="","",MAX(0,AN798-Settings!$C$16)*Settings!$C$17)</f>
        <v/>
      </c>
      <c r="BC798" s="35" t="str">
        <f aca="false">IF($B798="","",BA798-BB798)</f>
        <v/>
      </c>
      <c r="BD798" s="35" t="str">
        <f aca="false">IF(OR($B798="",$A798=""),"",DAY(EOMONTH($A798,0))-COUNTA($F798:$AJ798))</f>
        <v/>
      </c>
    </row>
    <row r="799" customFormat="false" ht="15" hidden="false" customHeight="false" outlineLevel="0" collapsed="false">
      <c r="A799" s="32"/>
      <c r="B799" s="29"/>
      <c r="C799" s="10" t="str">
        <f aca="false">IF($B799="","",IFERROR(INDEX(M_name,MATCH($B799,M_emp,0)),"Code not found"))</f>
        <v/>
      </c>
      <c r="D799" s="10" t="str">
        <f aca="false">IF($B799="","",IFERROR(INDEX(M_dept,MATCH($B799,M_emp,0)),""))</f>
        <v/>
      </c>
      <c r="E799" s="10" t="str">
        <f aca="false">IF($B799="","",IFERROR(INDEX(M_loc,MATCH($B799,M_emp,0)),""))</f>
        <v/>
      </c>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4" t="str">
        <f aca="false">IF($B799="","",COUNTIF($F799:$AJ799,"P"))</f>
        <v/>
      </c>
      <c r="AL799" s="34" t="str">
        <f aca="false">IF($B799="","",COUNTIF($F799:$AJ799,"A"))</f>
        <v/>
      </c>
      <c r="AM799" s="34" t="str">
        <f aca="false">IF($B799="","",COUNTIF($F799:$AJ799,"HA"))</f>
        <v/>
      </c>
      <c r="AN799" s="34" t="str">
        <f aca="false">IF($B799="","",COUNTIF($F799:$AJ799,"L"))</f>
        <v/>
      </c>
      <c r="AO799" s="34" t="str">
        <f aca="false">IF($B799="","",COUNTIF($F799:$AJ799,"PL"))</f>
        <v/>
      </c>
      <c r="AP799" s="34" t="str">
        <f aca="false">IF($B799="","",COUNTIF($F799:$AJ799,"CL"))</f>
        <v/>
      </c>
      <c r="AQ799" s="34" t="str">
        <f aca="false">IF($B799="","",COUNTIF($F799:$AJ799,"SL"))</f>
        <v/>
      </c>
      <c r="AR799" s="34" t="str">
        <f aca="false">IF($B799="","",COUNTIF($F799:$AJ799,"CO"))</f>
        <v/>
      </c>
      <c r="AS799" s="34" t="str">
        <f aca="false">IF($B799="","",COUNTIF($F799:$AJ799,"HPL"))</f>
        <v/>
      </c>
      <c r="AT799" s="34" t="str">
        <f aca="false">IF($B799="","",COUNTIF($F799:$AJ799,"HCL"))</f>
        <v/>
      </c>
      <c r="AU799" s="34" t="str">
        <f aca="false">IF($B799="","",COUNTIF($F799:$AJ799,"WO"))</f>
        <v/>
      </c>
      <c r="AV799" s="34" t="str">
        <f aca="false">IF($B799="","",COUNTIF($F799:$AJ799,"PH"))</f>
        <v/>
      </c>
      <c r="AW799" s="34" t="str">
        <f aca="false">IF($B799="","",COUNTIF($F799:$AJ799,"TR"))</f>
        <v/>
      </c>
      <c r="AX799" s="35" t="str">
        <f aca="false">IF($B799="","",AO799+AS799/2)</f>
        <v/>
      </c>
      <c r="AY799" s="35" t="str">
        <f aca="false">IF($B799="","",AQ799)</f>
        <v/>
      </c>
      <c r="AZ799" s="35" t="str">
        <f aca="false">IF($B799="","",AP799+AT799/2)</f>
        <v/>
      </c>
      <c r="BA799" s="35" t="str">
        <f aca="false">IF($B799="","",AK799+AN799+AM799/2+AO799+AP799+AQ799+AR799+AS799+AT799+AU799+AV799+AW799)</f>
        <v/>
      </c>
      <c r="BB799" s="35" t="str">
        <f aca="false">IF($B799="","",MAX(0,AN799-Settings!$C$16)*Settings!$C$17)</f>
        <v/>
      </c>
      <c r="BC799" s="35" t="str">
        <f aca="false">IF($B799="","",BA799-BB799)</f>
        <v/>
      </c>
      <c r="BD799" s="35" t="str">
        <f aca="false">IF(OR($B799="",$A799=""),"",DAY(EOMONTH($A799,0))-COUNTA($F799:$AJ799))</f>
        <v/>
      </c>
    </row>
    <row r="800" customFormat="false" ht="15" hidden="false" customHeight="false" outlineLevel="0" collapsed="false">
      <c r="A800" s="32"/>
      <c r="B800" s="29"/>
      <c r="C800" s="10" t="str">
        <f aca="false">IF($B800="","",IFERROR(INDEX(M_name,MATCH($B800,M_emp,0)),"Code not found"))</f>
        <v/>
      </c>
      <c r="D800" s="10" t="str">
        <f aca="false">IF($B800="","",IFERROR(INDEX(M_dept,MATCH($B800,M_emp,0)),""))</f>
        <v/>
      </c>
      <c r="E800" s="10" t="str">
        <f aca="false">IF($B800="","",IFERROR(INDEX(M_loc,MATCH($B800,M_emp,0)),""))</f>
        <v/>
      </c>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4" t="str">
        <f aca="false">IF($B800="","",COUNTIF($F800:$AJ800,"P"))</f>
        <v/>
      </c>
      <c r="AL800" s="34" t="str">
        <f aca="false">IF($B800="","",COUNTIF($F800:$AJ800,"A"))</f>
        <v/>
      </c>
      <c r="AM800" s="34" t="str">
        <f aca="false">IF($B800="","",COUNTIF($F800:$AJ800,"HA"))</f>
        <v/>
      </c>
      <c r="AN800" s="34" t="str">
        <f aca="false">IF($B800="","",COUNTIF($F800:$AJ800,"L"))</f>
        <v/>
      </c>
      <c r="AO800" s="34" t="str">
        <f aca="false">IF($B800="","",COUNTIF($F800:$AJ800,"PL"))</f>
        <v/>
      </c>
      <c r="AP800" s="34" t="str">
        <f aca="false">IF($B800="","",COUNTIF($F800:$AJ800,"CL"))</f>
        <v/>
      </c>
      <c r="AQ800" s="34" t="str">
        <f aca="false">IF($B800="","",COUNTIF($F800:$AJ800,"SL"))</f>
        <v/>
      </c>
      <c r="AR800" s="34" t="str">
        <f aca="false">IF($B800="","",COUNTIF($F800:$AJ800,"CO"))</f>
        <v/>
      </c>
      <c r="AS800" s="34" t="str">
        <f aca="false">IF($B800="","",COUNTIF($F800:$AJ800,"HPL"))</f>
        <v/>
      </c>
      <c r="AT800" s="34" t="str">
        <f aca="false">IF($B800="","",COUNTIF($F800:$AJ800,"HCL"))</f>
        <v/>
      </c>
      <c r="AU800" s="34" t="str">
        <f aca="false">IF($B800="","",COUNTIF($F800:$AJ800,"WO"))</f>
        <v/>
      </c>
      <c r="AV800" s="34" t="str">
        <f aca="false">IF($B800="","",COUNTIF($F800:$AJ800,"PH"))</f>
        <v/>
      </c>
      <c r="AW800" s="34" t="str">
        <f aca="false">IF($B800="","",COUNTIF($F800:$AJ800,"TR"))</f>
        <v/>
      </c>
      <c r="AX800" s="35" t="str">
        <f aca="false">IF($B800="","",AO800+AS800/2)</f>
        <v/>
      </c>
      <c r="AY800" s="35" t="str">
        <f aca="false">IF($B800="","",AQ800)</f>
        <v/>
      </c>
      <c r="AZ800" s="35" t="str">
        <f aca="false">IF($B800="","",AP800+AT800/2)</f>
        <v/>
      </c>
      <c r="BA800" s="35" t="str">
        <f aca="false">IF($B800="","",AK800+AN800+AM800/2+AO800+AP800+AQ800+AR800+AS800+AT800+AU800+AV800+AW800)</f>
        <v/>
      </c>
      <c r="BB800" s="35" t="str">
        <f aca="false">IF($B800="","",MAX(0,AN800-Settings!$C$16)*Settings!$C$17)</f>
        <v/>
      </c>
      <c r="BC800" s="35" t="str">
        <f aca="false">IF($B800="","",BA800-BB800)</f>
        <v/>
      </c>
      <c r="BD800" s="35" t="str">
        <f aca="false">IF(OR($B800="",$A800=""),"",DAY(EOMONTH($A800,0))-COUNTA($F800:$AJ800))</f>
        <v/>
      </c>
    </row>
    <row r="801" customFormat="false" ht="15" hidden="false" customHeight="false" outlineLevel="0" collapsed="false">
      <c r="A801" s="32"/>
      <c r="B801" s="29"/>
      <c r="C801" s="10" t="str">
        <f aca="false">IF($B801="","",IFERROR(INDEX(M_name,MATCH($B801,M_emp,0)),"Code not found"))</f>
        <v/>
      </c>
      <c r="D801" s="10" t="str">
        <f aca="false">IF($B801="","",IFERROR(INDEX(M_dept,MATCH($B801,M_emp,0)),""))</f>
        <v/>
      </c>
      <c r="E801" s="10" t="str">
        <f aca="false">IF($B801="","",IFERROR(INDEX(M_loc,MATCH($B801,M_emp,0)),""))</f>
        <v/>
      </c>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4" t="str">
        <f aca="false">IF($B801="","",COUNTIF($F801:$AJ801,"P"))</f>
        <v/>
      </c>
      <c r="AL801" s="34" t="str">
        <f aca="false">IF($B801="","",COUNTIF($F801:$AJ801,"A"))</f>
        <v/>
      </c>
      <c r="AM801" s="34" t="str">
        <f aca="false">IF($B801="","",COUNTIF($F801:$AJ801,"HA"))</f>
        <v/>
      </c>
      <c r="AN801" s="34" t="str">
        <f aca="false">IF($B801="","",COUNTIF($F801:$AJ801,"L"))</f>
        <v/>
      </c>
      <c r="AO801" s="34" t="str">
        <f aca="false">IF($B801="","",COUNTIF($F801:$AJ801,"PL"))</f>
        <v/>
      </c>
      <c r="AP801" s="34" t="str">
        <f aca="false">IF($B801="","",COUNTIF($F801:$AJ801,"CL"))</f>
        <v/>
      </c>
      <c r="AQ801" s="34" t="str">
        <f aca="false">IF($B801="","",COUNTIF($F801:$AJ801,"SL"))</f>
        <v/>
      </c>
      <c r="AR801" s="34" t="str">
        <f aca="false">IF($B801="","",COUNTIF($F801:$AJ801,"CO"))</f>
        <v/>
      </c>
      <c r="AS801" s="34" t="str">
        <f aca="false">IF($B801="","",COUNTIF($F801:$AJ801,"HPL"))</f>
        <v/>
      </c>
      <c r="AT801" s="34" t="str">
        <f aca="false">IF($B801="","",COUNTIF($F801:$AJ801,"HCL"))</f>
        <v/>
      </c>
      <c r="AU801" s="34" t="str">
        <f aca="false">IF($B801="","",COUNTIF($F801:$AJ801,"WO"))</f>
        <v/>
      </c>
      <c r="AV801" s="34" t="str">
        <f aca="false">IF($B801="","",COUNTIF($F801:$AJ801,"PH"))</f>
        <v/>
      </c>
      <c r="AW801" s="34" t="str">
        <f aca="false">IF($B801="","",COUNTIF($F801:$AJ801,"TR"))</f>
        <v/>
      </c>
      <c r="AX801" s="35" t="str">
        <f aca="false">IF($B801="","",AO801+AS801/2)</f>
        <v/>
      </c>
      <c r="AY801" s="35" t="str">
        <f aca="false">IF($B801="","",AQ801)</f>
        <v/>
      </c>
      <c r="AZ801" s="35" t="str">
        <f aca="false">IF($B801="","",AP801+AT801/2)</f>
        <v/>
      </c>
      <c r="BA801" s="35" t="str">
        <f aca="false">IF($B801="","",AK801+AN801+AM801/2+AO801+AP801+AQ801+AR801+AS801+AT801+AU801+AV801+AW801)</f>
        <v/>
      </c>
      <c r="BB801" s="35" t="str">
        <f aca="false">IF($B801="","",MAX(0,AN801-Settings!$C$16)*Settings!$C$17)</f>
        <v/>
      </c>
      <c r="BC801" s="35" t="str">
        <f aca="false">IF($B801="","",BA801-BB801)</f>
        <v/>
      </c>
      <c r="BD801" s="35" t="str">
        <f aca="false">IF(OR($B801="",$A801=""),"",DAY(EOMONTH($A801,0))-COUNTA($F801:$AJ801))</f>
        <v/>
      </c>
    </row>
    <row r="802" customFormat="false" ht="15" hidden="false" customHeight="false" outlineLevel="0" collapsed="false">
      <c r="A802" s="32"/>
      <c r="B802" s="29"/>
      <c r="C802" s="10" t="str">
        <f aca="false">IF($B802="","",IFERROR(INDEX(M_name,MATCH($B802,M_emp,0)),"Code not found"))</f>
        <v/>
      </c>
      <c r="D802" s="10" t="str">
        <f aca="false">IF($B802="","",IFERROR(INDEX(M_dept,MATCH($B802,M_emp,0)),""))</f>
        <v/>
      </c>
      <c r="E802" s="10" t="str">
        <f aca="false">IF($B802="","",IFERROR(INDEX(M_loc,MATCH($B802,M_emp,0)),""))</f>
        <v/>
      </c>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4" t="str">
        <f aca="false">IF($B802="","",COUNTIF($F802:$AJ802,"P"))</f>
        <v/>
      </c>
      <c r="AL802" s="34" t="str">
        <f aca="false">IF($B802="","",COUNTIF($F802:$AJ802,"A"))</f>
        <v/>
      </c>
      <c r="AM802" s="34" t="str">
        <f aca="false">IF($B802="","",COUNTIF($F802:$AJ802,"HA"))</f>
        <v/>
      </c>
      <c r="AN802" s="34" t="str">
        <f aca="false">IF($B802="","",COUNTIF($F802:$AJ802,"L"))</f>
        <v/>
      </c>
      <c r="AO802" s="34" t="str">
        <f aca="false">IF($B802="","",COUNTIF($F802:$AJ802,"PL"))</f>
        <v/>
      </c>
      <c r="AP802" s="34" t="str">
        <f aca="false">IF($B802="","",COUNTIF($F802:$AJ802,"CL"))</f>
        <v/>
      </c>
      <c r="AQ802" s="34" t="str">
        <f aca="false">IF($B802="","",COUNTIF($F802:$AJ802,"SL"))</f>
        <v/>
      </c>
      <c r="AR802" s="34" t="str">
        <f aca="false">IF($B802="","",COUNTIF($F802:$AJ802,"CO"))</f>
        <v/>
      </c>
      <c r="AS802" s="34" t="str">
        <f aca="false">IF($B802="","",COUNTIF($F802:$AJ802,"HPL"))</f>
        <v/>
      </c>
      <c r="AT802" s="34" t="str">
        <f aca="false">IF($B802="","",COUNTIF($F802:$AJ802,"HCL"))</f>
        <v/>
      </c>
      <c r="AU802" s="34" t="str">
        <f aca="false">IF($B802="","",COUNTIF($F802:$AJ802,"WO"))</f>
        <v/>
      </c>
      <c r="AV802" s="34" t="str">
        <f aca="false">IF($B802="","",COUNTIF($F802:$AJ802,"PH"))</f>
        <v/>
      </c>
      <c r="AW802" s="34" t="str">
        <f aca="false">IF($B802="","",COUNTIF($F802:$AJ802,"TR"))</f>
        <v/>
      </c>
      <c r="AX802" s="35" t="str">
        <f aca="false">IF($B802="","",AO802+AS802/2)</f>
        <v/>
      </c>
      <c r="AY802" s="35" t="str">
        <f aca="false">IF($B802="","",AQ802)</f>
        <v/>
      </c>
      <c r="AZ802" s="35" t="str">
        <f aca="false">IF($B802="","",AP802+AT802/2)</f>
        <v/>
      </c>
      <c r="BA802" s="35" t="str">
        <f aca="false">IF($B802="","",AK802+AN802+AM802/2+AO802+AP802+AQ802+AR802+AS802+AT802+AU802+AV802+AW802)</f>
        <v/>
      </c>
      <c r="BB802" s="35" t="str">
        <f aca="false">IF($B802="","",MAX(0,AN802-Settings!$C$16)*Settings!$C$17)</f>
        <v/>
      </c>
      <c r="BC802" s="35" t="str">
        <f aca="false">IF($B802="","",BA802-BB802)</f>
        <v/>
      </c>
      <c r="BD802" s="35" t="str">
        <f aca="false">IF(OR($B802="",$A802=""),"",DAY(EOMONTH($A802,0))-COUNTA($F802:$AJ802))</f>
        <v/>
      </c>
    </row>
    <row r="803" customFormat="false" ht="15" hidden="false" customHeight="false" outlineLevel="0" collapsed="false">
      <c r="A803" s="32"/>
      <c r="B803" s="29"/>
      <c r="C803" s="10" t="str">
        <f aca="false">IF($B803="","",IFERROR(INDEX(M_name,MATCH($B803,M_emp,0)),"Code not found"))</f>
        <v/>
      </c>
      <c r="D803" s="10" t="str">
        <f aca="false">IF($B803="","",IFERROR(INDEX(M_dept,MATCH($B803,M_emp,0)),""))</f>
        <v/>
      </c>
      <c r="E803" s="10" t="str">
        <f aca="false">IF($B803="","",IFERROR(INDEX(M_loc,MATCH($B803,M_emp,0)),""))</f>
        <v/>
      </c>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4" t="str">
        <f aca="false">IF($B803="","",COUNTIF($F803:$AJ803,"P"))</f>
        <v/>
      </c>
      <c r="AL803" s="34" t="str">
        <f aca="false">IF($B803="","",COUNTIF($F803:$AJ803,"A"))</f>
        <v/>
      </c>
      <c r="AM803" s="34" t="str">
        <f aca="false">IF($B803="","",COUNTIF($F803:$AJ803,"HA"))</f>
        <v/>
      </c>
      <c r="AN803" s="34" t="str">
        <f aca="false">IF($B803="","",COUNTIF($F803:$AJ803,"L"))</f>
        <v/>
      </c>
      <c r="AO803" s="34" t="str">
        <f aca="false">IF($B803="","",COUNTIF($F803:$AJ803,"PL"))</f>
        <v/>
      </c>
      <c r="AP803" s="34" t="str">
        <f aca="false">IF($B803="","",COUNTIF($F803:$AJ803,"CL"))</f>
        <v/>
      </c>
      <c r="AQ803" s="34" t="str">
        <f aca="false">IF($B803="","",COUNTIF($F803:$AJ803,"SL"))</f>
        <v/>
      </c>
      <c r="AR803" s="34" t="str">
        <f aca="false">IF($B803="","",COUNTIF($F803:$AJ803,"CO"))</f>
        <v/>
      </c>
      <c r="AS803" s="34" t="str">
        <f aca="false">IF($B803="","",COUNTIF($F803:$AJ803,"HPL"))</f>
        <v/>
      </c>
      <c r="AT803" s="34" t="str">
        <f aca="false">IF($B803="","",COUNTIF($F803:$AJ803,"HCL"))</f>
        <v/>
      </c>
      <c r="AU803" s="34" t="str">
        <f aca="false">IF($B803="","",COUNTIF($F803:$AJ803,"WO"))</f>
        <v/>
      </c>
      <c r="AV803" s="34" t="str">
        <f aca="false">IF($B803="","",COUNTIF($F803:$AJ803,"PH"))</f>
        <v/>
      </c>
      <c r="AW803" s="34" t="str">
        <f aca="false">IF($B803="","",COUNTIF($F803:$AJ803,"TR"))</f>
        <v/>
      </c>
      <c r="AX803" s="35" t="str">
        <f aca="false">IF($B803="","",AO803+AS803/2)</f>
        <v/>
      </c>
      <c r="AY803" s="35" t="str">
        <f aca="false">IF($B803="","",AQ803)</f>
        <v/>
      </c>
      <c r="AZ803" s="35" t="str">
        <f aca="false">IF($B803="","",AP803+AT803/2)</f>
        <v/>
      </c>
      <c r="BA803" s="35" t="str">
        <f aca="false">IF($B803="","",AK803+AN803+AM803/2+AO803+AP803+AQ803+AR803+AS803+AT803+AU803+AV803+AW803)</f>
        <v/>
      </c>
      <c r="BB803" s="35" t="str">
        <f aca="false">IF($B803="","",MAX(0,AN803-Settings!$C$16)*Settings!$C$17)</f>
        <v/>
      </c>
      <c r="BC803" s="35" t="str">
        <f aca="false">IF($B803="","",BA803-BB803)</f>
        <v/>
      </c>
      <c r="BD803" s="35" t="str">
        <f aca="false">IF(OR($B803="",$A803=""),"",DAY(EOMONTH($A803,0))-COUNTA($F803:$AJ803))</f>
        <v/>
      </c>
    </row>
    <row r="804" customFormat="false" ht="15" hidden="false" customHeight="false" outlineLevel="0" collapsed="false">
      <c r="A804" s="32"/>
      <c r="B804" s="29"/>
      <c r="C804" s="10" t="str">
        <f aca="false">IF($B804="","",IFERROR(INDEX(M_name,MATCH($B804,M_emp,0)),"Code not found"))</f>
        <v/>
      </c>
      <c r="D804" s="10" t="str">
        <f aca="false">IF($B804="","",IFERROR(INDEX(M_dept,MATCH($B804,M_emp,0)),""))</f>
        <v/>
      </c>
      <c r="E804" s="10" t="str">
        <f aca="false">IF($B804="","",IFERROR(INDEX(M_loc,MATCH($B804,M_emp,0)),""))</f>
        <v/>
      </c>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4" t="str">
        <f aca="false">IF($B804="","",COUNTIF($F804:$AJ804,"P"))</f>
        <v/>
      </c>
      <c r="AL804" s="34" t="str">
        <f aca="false">IF($B804="","",COUNTIF($F804:$AJ804,"A"))</f>
        <v/>
      </c>
      <c r="AM804" s="34" t="str">
        <f aca="false">IF($B804="","",COUNTIF($F804:$AJ804,"HA"))</f>
        <v/>
      </c>
      <c r="AN804" s="34" t="str">
        <f aca="false">IF($B804="","",COUNTIF($F804:$AJ804,"L"))</f>
        <v/>
      </c>
      <c r="AO804" s="34" t="str">
        <f aca="false">IF($B804="","",COUNTIF($F804:$AJ804,"PL"))</f>
        <v/>
      </c>
      <c r="AP804" s="34" t="str">
        <f aca="false">IF($B804="","",COUNTIF($F804:$AJ804,"CL"))</f>
        <v/>
      </c>
      <c r="AQ804" s="34" t="str">
        <f aca="false">IF($B804="","",COUNTIF($F804:$AJ804,"SL"))</f>
        <v/>
      </c>
      <c r="AR804" s="34" t="str">
        <f aca="false">IF($B804="","",COUNTIF($F804:$AJ804,"CO"))</f>
        <v/>
      </c>
      <c r="AS804" s="34" t="str">
        <f aca="false">IF($B804="","",COUNTIF($F804:$AJ804,"HPL"))</f>
        <v/>
      </c>
      <c r="AT804" s="34" t="str">
        <f aca="false">IF($B804="","",COUNTIF($F804:$AJ804,"HCL"))</f>
        <v/>
      </c>
      <c r="AU804" s="34" t="str">
        <f aca="false">IF($B804="","",COUNTIF($F804:$AJ804,"WO"))</f>
        <v/>
      </c>
      <c r="AV804" s="34" t="str">
        <f aca="false">IF($B804="","",COUNTIF($F804:$AJ804,"PH"))</f>
        <v/>
      </c>
      <c r="AW804" s="34" t="str">
        <f aca="false">IF($B804="","",COUNTIF($F804:$AJ804,"TR"))</f>
        <v/>
      </c>
      <c r="AX804" s="35" t="str">
        <f aca="false">IF($B804="","",AO804+AS804/2)</f>
        <v/>
      </c>
      <c r="AY804" s="35" t="str">
        <f aca="false">IF($B804="","",AQ804)</f>
        <v/>
      </c>
      <c r="AZ804" s="35" t="str">
        <f aca="false">IF($B804="","",AP804+AT804/2)</f>
        <v/>
      </c>
      <c r="BA804" s="35" t="str">
        <f aca="false">IF($B804="","",AK804+AN804+AM804/2+AO804+AP804+AQ804+AR804+AS804+AT804+AU804+AV804+AW804)</f>
        <v/>
      </c>
      <c r="BB804" s="35" t="str">
        <f aca="false">IF($B804="","",MAX(0,AN804-Settings!$C$16)*Settings!$C$17)</f>
        <v/>
      </c>
      <c r="BC804" s="35" t="str">
        <f aca="false">IF($B804="","",BA804-BB804)</f>
        <v/>
      </c>
      <c r="BD804" s="35" t="str">
        <f aca="false">IF(OR($B804="",$A804=""),"",DAY(EOMONTH($A804,0))-COUNTA($F804:$AJ804))</f>
        <v/>
      </c>
    </row>
    <row r="805" customFormat="false" ht="15" hidden="false" customHeight="false" outlineLevel="0" collapsed="false">
      <c r="A805" s="32"/>
      <c r="B805" s="29"/>
      <c r="C805" s="10" t="str">
        <f aca="false">IF($B805="","",IFERROR(INDEX(M_name,MATCH($B805,M_emp,0)),"Code not found"))</f>
        <v/>
      </c>
      <c r="D805" s="10" t="str">
        <f aca="false">IF($B805="","",IFERROR(INDEX(M_dept,MATCH($B805,M_emp,0)),""))</f>
        <v/>
      </c>
      <c r="E805" s="10" t="str">
        <f aca="false">IF($B805="","",IFERROR(INDEX(M_loc,MATCH($B805,M_emp,0)),""))</f>
        <v/>
      </c>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4" t="str">
        <f aca="false">IF($B805="","",COUNTIF($F805:$AJ805,"P"))</f>
        <v/>
      </c>
      <c r="AL805" s="34" t="str">
        <f aca="false">IF($B805="","",COUNTIF($F805:$AJ805,"A"))</f>
        <v/>
      </c>
      <c r="AM805" s="34" t="str">
        <f aca="false">IF($B805="","",COUNTIF($F805:$AJ805,"HA"))</f>
        <v/>
      </c>
      <c r="AN805" s="34" t="str">
        <f aca="false">IF($B805="","",COUNTIF($F805:$AJ805,"L"))</f>
        <v/>
      </c>
      <c r="AO805" s="34" t="str">
        <f aca="false">IF($B805="","",COUNTIF($F805:$AJ805,"PL"))</f>
        <v/>
      </c>
      <c r="AP805" s="34" t="str">
        <f aca="false">IF($B805="","",COUNTIF($F805:$AJ805,"CL"))</f>
        <v/>
      </c>
      <c r="AQ805" s="34" t="str">
        <f aca="false">IF($B805="","",COUNTIF($F805:$AJ805,"SL"))</f>
        <v/>
      </c>
      <c r="AR805" s="34" t="str">
        <f aca="false">IF($B805="","",COUNTIF($F805:$AJ805,"CO"))</f>
        <v/>
      </c>
      <c r="AS805" s="34" t="str">
        <f aca="false">IF($B805="","",COUNTIF($F805:$AJ805,"HPL"))</f>
        <v/>
      </c>
      <c r="AT805" s="34" t="str">
        <f aca="false">IF($B805="","",COUNTIF($F805:$AJ805,"HCL"))</f>
        <v/>
      </c>
      <c r="AU805" s="34" t="str">
        <f aca="false">IF($B805="","",COUNTIF($F805:$AJ805,"WO"))</f>
        <v/>
      </c>
      <c r="AV805" s="34" t="str">
        <f aca="false">IF($B805="","",COUNTIF($F805:$AJ805,"PH"))</f>
        <v/>
      </c>
      <c r="AW805" s="34" t="str">
        <f aca="false">IF($B805="","",COUNTIF($F805:$AJ805,"TR"))</f>
        <v/>
      </c>
      <c r="AX805" s="35" t="str">
        <f aca="false">IF($B805="","",AO805+AS805/2)</f>
        <v/>
      </c>
      <c r="AY805" s="35" t="str">
        <f aca="false">IF($B805="","",AQ805)</f>
        <v/>
      </c>
      <c r="AZ805" s="35" t="str">
        <f aca="false">IF($B805="","",AP805+AT805/2)</f>
        <v/>
      </c>
      <c r="BA805" s="35" t="str">
        <f aca="false">IF($B805="","",AK805+AN805+AM805/2+AO805+AP805+AQ805+AR805+AS805+AT805+AU805+AV805+AW805)</f>
        <v/>
      </c>
      <c r="BB805" s="35" t="str">
        <f aca="false">IF($B805="","",MAX(0,AN805-Settings!$C$16)*Settings!$C$17)</f>
        <v/>
      </c>
      <c r="BC805" s="35" t="str">
        <f aca="false">IF($B805="","",BA805-BB805)</f>
        <v/>
      </c>
      <c r="BD805" s="35" t="str">
        <f aca="false">IF(OR($B805="",$A805=""),"",DAY(EOMONTH($A805,0))-COUNTA($F805:$AJ805))</f>
        <v/>
      </c>
    </row>
    <row r="806" customFormat="false" ht="15" hidden="false" customHeight="false" outlineLevel="0" collapsed="false">
      <c r="A806" s="32"/>
      <c r="B806" s="29"/>
      <c r="C806" s="10" t="str">
        <f aca="false">IF($B806="","",IFERROR(INDEX(M_name,MATCH($B806,M_emp,0)),"Code not found"))</f>
        <v/>
      </c>
      <c r="D806" s="10" t="str">
        <f aca="false">IF($B806="","",IFERROR(INDEX(M_dept,MATCH($B806,M_emp,0)),""))</f>
        <v/>
      </c>
      <c r="E806" s="10" t="str">
        <f aca="false">IF($B806="","",IFERROR(INDEX(M_loc,MATCH($B806,M_emp,0)),""))</f>
        <v/>
      </c>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4" t="str">
        <f aca="false">IF($B806="","",COUNTIF($F806:$AJ806,"P"))</f>
        <v/>
      </c>
      <c r="AL806" s="34" t="str">
        <f aca="false">IF($B806="","",COUNTIF($F806:$AJ806,"A"))</f>
        <v/>
      </c>
      <c r="AM806" s="34" t="str">
        <f aca="false">IF($B806="","",COUNTIF($F806:$AJ806,"HA"))</f>
        <v/>
      </c>
      <c r="AN806" s="34" t="str">
        <f aca="false">IF($B806="","",COUNTIF($F806:$AJ806,"L"))</f>
        <v/>
      </c>
      <c r="AO806" s="34" t="str">
        <f aca="false">IF($B806="","",COUNTIF($F806:$AJ806,"PL"))</f>
        <v/>
      </c>
      <c r="AP806" s="34" t="str">
        <f aca="false">IF($B806="","",COUNTIF($F806:$AJ806,"CL"))</f>
        <v/>
      </c>
      <c r="AQ806" s="34" t="str">
        <f aca="false">IF($B806="","",COUNTIF($F806:$AJ806,"SL"))</f>
        <v/>
      </c>
      <c r="AR806" s="34" t="str">
        <f aca="false">IF($B806="","",COUNTIF($F806:$AJ806,"CO"))</f>
        <v/>
      </c>
      <c r="AS806" s="34" t="str">
        <f aca="false">IF($B806="","",COUNTIF($F806:$AJ806,"HPL"))</f>
        <v/>
      </c>
      <c r="AT806" s="34" t="str">
        <f aca="false">IF($B806="","",COUNTIF($F806:$AJ806,"HCL"))</f>
        <v/>
      </c>
      <c r="AU806" s="34" t="str">
        <f aca="false">IF($B806="","",COUNTIF($F806:$AJ806,"WO"))</f>
        <v/>
      </c>
      <c r="AV806" s="34" t="str">
        <f aca="false">IF($B806="","",COUNTIF($F806:$AJ806,"PH"))</f>
        <v/>
      </c>
      <c r="AW806" s="34" t="str">
        <f aca="false">IF($B806="","",COUNTIF($F806:$AJ806,"TR"))</f>
        <v/>
      </c>
      <c r="AX806" s="35" t="str">
        <f aca="false">IF($B806="","",AO806+AS806/2)</f>
        <v/>
      </c>
      <c r="AY806" s="35" t="str">
        <f aca="false">IF($B806="","",AQ806)</f>
        <v/>
      </c>
      <c r="AZ806" s="35" t="str">
        <f aca="false">IF($B806="","",AP806+AT806/2)</f>
        <v/>
      </c>
      <c r="BA806" s="35" t="str">
        <f aca="false">IF($B806="","",AK806+AN806+AM806/2+AO806+AP806+AQ806+AR806+AS806+AT806+AU806+AV806+AW806)</f>
        <v/>
      </c>
      <c r="BB806" s="35" t="str">
        <f aca="false">IF($B806="","",MAX(0,AN806-Settings!$C$16)*Settings!$C$17)</f>
        <v/>
      </c>
      <c r="BC806" s="35" t="str">
        <f aca="false">IF($B806="","",BA806-BB806)</f>
        <v/>
      </c>
      <c r="BD806" s="35" t="str">
        <f aca="false">IF(OR($B806="",$A806=""),"",DAY(EOMONTH($A806,0))-COUNTA($F806:$AJ806))</f>
        <v/>
      </c>
    </row>
    <row r="807" customFormat="false" ht="15" hidden="false" customHeight="false" outlineLevel="0" collapsed="false">
      <c r="A807" s="32"/>
      <c r="B807" s="29"/>
      <c r="C807" s="10" t="str">
        <f aca="false">IF($B807="","",IFERROR(INDEX(M_name,MATCH($B807,M_emp,0)),"Code not found"))</f>
        <v/>
      </c>
      <c r="D807" s="10" t="str">
        <f aca="false">IF($B807="","",IFERROR(INDEX(M_dept,MATCH($B807,M_emp,0)),""))</f>
        <v/>
      </c>
      <c r="E807" s="10" t="str">
        <f aca="false">IF($B807="","",IFERROR(INDEX(M_loc,MATCH($B807,M_emp,0)),""))</f>
        <v/>
      </c>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4" t="str">
        <f aca="false">IF($B807="","",COUNTIF($F807:$AJ807,"P"))</f>
        <v/>
      </c>
      <c r="AL807" s="34" t="str">
        <f aca="false">IF($B807="","",COUNTIF($F807:$AJ807,"A"))</f>
        <v/>
      </c>
      <c r="AM807" s="34" t="str">
        <f aca="false">IF($B807="","",COUNTIF($F807:$AJ807,"HA"))</f>
        <v/>
      </c>
      <c r="AN807" s="34" t="str">
        <f aca="false">IF($B807="","",COUNTIF($F807:$AJ807,"L"))</f>
        <v/>
      </c>
      <c r="AO807" s="34" t="str">
        <f aca="false">IF($B807="","",COUNTIF($F807:$AJ807,"PL"))</f>
        <v/>
      </c>
      <c r="AP807" s="34" t="str">
        <f aca="false">IF($B807="","",COUNTIF($F807:$AJ807,"CL"))</f>
        <v/>
      </c>
      <c r="AQ807" s="34" t="str">
        <f aca="false">IF($B807="","",COUNTIF($F807:$AJ807,"SL"))</f>
        <v/>
      </c>
      <c r="AR807" s="34" t="str">
        <f aca="false">IF($B807="","",COUNTIF($F807:$AJ807,"CO"))</f>
        <v/>
      </c>
      <c r="AS807" s="34" t="str">
        <f aca="false">IF($B807="","",COUNTIF($F807:$AJ807,"HPL"))</f>
        <v/>
      </c>
      <c r="AT807" s="34" t="str">
        <f aca="false">IF($B807="","",COUNTIF($F807:$AJ807,"HCL"))</f>
        <v/>
      </c>
      <c r="AU807" s="34" t="str">
        <f aca="false">IF($B807="","",COUNTIF($F807:$AJ807,"WO"))</f>
        <v/>
      </c>
      <c r="AV807" s="34" t="str">
        <f aca="false">IF($B807="","",COUNTIF($F807:$AJ807,"PH"))</f>
        <v/>
      </c>
      <c r="AW807" s="34" t="str">
        <f aca="false">IF($B807="","",COUNTIF($F807:$AJ807,"TR"))</f>
        <v/>
      </c>
      <c r="AX807" s="35" t="str">
        <f aca="false">IF($B807="","",AO807+AS807/2)</f>
        <v/>
      </c>
      <c r="AY807" s="35" t="str">
        <f aca="false">IF($B807="","",AQ807)</f>
        <v/>
      </c>
      <c r="AZ807" s="35" t="str">
        <f aca="false">IF($B807="","",AP807+AT807/2)</f>
        <v/>
      </c>
      <c r="BA807" s="35" t="str">
        <f aca="false">IF($B807="","",AK807+AN807+AM807/2+AO807+AP807+AQ807+AR807+AS807+AT807+AU807+AV807+AW807)</f>
        <v/>
      </c>
      <c r="BB807" s="35" t="str">
        <f aca="false">IF($B807="","",MAX(0,AN807-Settings!$C$16)*Settings!$C$17)</f>
        <v/>
      </c>
      <c r="BC807" s="35" t="str">
        <f aca="false">IF($B807="","",BA807-BB807)</f>
        <v/>
      </c>
      <c r="BD807" s="35" t="str">
        <f aca="false">IF(OR($B807="",$A807=""),"",DAY(EOMONTH($A807,0))-COUNTA($F807:$AJ807))</f>
        <v/>
      </c>
    </row>
    <row r="808" customFormat="false" ht="15" hidden="false" customHeight="false" outlineLevel="0" collapsed="false">
      <c r="A808" s="32"/>
      <c r="B808" s="29"/>
      <c r="C808" s="10" t="str">
        <f aca="false">IF($B808="","",IFERROR(INDEX(M_name,MATCH($B808,M_emp,0)),"Code not found"))</f>
        <v/>
      </c>
      <c r="D808" s="10" t="str">
        <f aca="false">IF($B808="","",IFERROR(INDEX(M_dept,MATCH($B808,M_emp,0)),""))</f>
        <v/>
      </c>
      <c r="E808" s="10" t="str">
        <f aca="false">IF($B808="","",IFERROR(INDEX(M_loc,MATCH($B808,M_emp,0)),""))</f>
        <v/>
      </c>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4" t="str">
        <f aca="false">IF($B808="","",COUNTIF($F808:$AJ808,"P"))</f>
        <v/>
      </c>
      <c r="AL808" s="34" t="str">
        <f aca="false">IF($B808="","",COUNTIF($F808:$AJ808,"A"))</f>
        <v/>
      </c>
      <c r="AM808" s="34" t="str">
        <f aca="false">IF($B808="","",COUNTIF($F808:$AJ808,"HA"))</f>
        <v/>
      </c>
      <c r="AN808" s="34" t="str">
        <f aca="false">IF($B808="","",COUNTIF($F808:$AJ808,"L"))</f>
        <v/>
      </c>
      <c r="AO808" s="34" t="str">
        <f aca="false">IF($B808="","",COUNTIF($F808:$AJ808,"PL"))</f>
        <v/>
      </c>
      <c r="AP808" s="34" t="str">
        <f aca="false">IF($B808="","",COUNTIF($F808:$AJ808,"CL"))</f>
        <v/>
      </c>
      <c r="AQ808" s="34" t="str">
        <f aca="false">IF($B808="","",COUNTIF($F808:$AJ808,"SL"))</f>
        <v/>
      </c>
      <c r="AR808" s="34" t="str">
        <f aca="false">IF($B808="","",COUNTIF($F808:$AJ808,"CO"))</f>
        <v/>
      </c>
      <c r="AS808" s="34" t="str">
        <f aca="false">IF($B808="","",COUNTIF($F808:$AJ808,"HPL"))</f>
        <v/>
      </c>
      <c r="AT808" s="34" t="str">
        <f aca="false">IF($B808="","",COUNTIF($F808:$AJ808,"HCL"))</f>
        <v/>
      </c>
      <c r="AU808" s="34" t="str">
        <f aca="false">IF($B808="","",COUNTIF($F808:$AJ808,"WO"))</f>
        <v/>
      </c>
      <c r="AV808" s="34" t="str">
        <f aca="false">IF($B808="","",COUNTIF($F808:$AJ808,"PH"))</f>
        <v/>
      </c>
      <c r="AW808" s="34" t="str">
        <f aca="false">IF($B808="","",COUNTIF($F808:$AJ808,"TR"))</f>
        <v/>
      </c>
      <c r="AX808" s="35" t="str">
        <f aca="false">IF($B808="","",AO808+AS808/2)</f>
        <v/>
      </c>
      <c r="AY808" s="35" t="str">
        <f aca="false">IF($B808="","",AQ808)</f>
        <v/>
      </c>
      <c r="AZ808" s="35" t="str">
        <f aca="false">IF($B808="","",AP808+AT808/2)</f>
        <v/>
      </c>
      <c r="BA808" s="35" t="str">
        <f aca="false">IF($B808="","",AK808+AN808+AM808/2+AO808+AP808+AQ808+AR808+AS808+AT808+AU808+AV808+AW808)</f>
        <v/>
      </c>
      <c r="BB808" s="35" t="str">
        <f aca="false">IF($B808="","",MAX(0,AN808-Settings!$C$16)*Settings!$C$17)</f>
        <v/>
      </c>
      <c r="BC808" s="35" t="str">
        <f aca="false">IF($B808="","",BA808-BB808)</f>
        <v/>
      </c>
      <c r="BD808" s="35" t="str">
        <f aca="false">IF(OR($B808="",$A808=""),"",DAY(EOMONTH($A808,0))-COUNTA($F808:$AJ808))</f>
        <v/>
      </c>
    </row>
    <row r="809" customFormat="false" ht="15" hidden="false" customHeight="false" outlineLevel="0" collapsed="false">
      <c r="A809" s="32"/>
      <c r="B809" s="29"/>
      <c r="C809" s="10" t="str">
        <f aca="false">IF($B809="","",IFERROR(INDEX(M_name,MATCH($B809,M_emp,0)),"Code not found"))</f>
        <v/>
      </c>
      <c r="D809" s="10" t="str">
        <f aca="false">IF($B809="","",IFERROR(INDEX(M_dept,MATCH($B809,M_emp,0)),""))</f>
        <v/>
      </c>
      <c r="E809" s="10" t="str">
        <f aca="false">IF($B809="","",IFERROR(INDEX(M_loc,MATCH($B809,M_emp,0)),""))</f>
        <v/>
      </c>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4" t="str">
        <f aca="false">IF($B809="","",COUNTIF($F809:$AJ809,"P"))</f>
        <v/>
      </c>
      <c r="AL809" s="34" t="str">
        <f aca="false">IF($B809="","",COUNTIF($F809:$AJ809,"A"))</f>
        <v/>
      </c>
      <c r="AM809" s="34" t="str">
        <f aca="false">IF($B809="","",COUNTIF($F809:$AJ809,"HA"))</f>
        <v/>
      </c>
      <c r="AN809" s="34" t="str">
        <f aca="false">IF($B809="","",COUNTIF($F809:$AJ809,"L"))</f>
        <v/>
      </c>
      <c r="AO809" s="34" t="str">
        <f aca="false">IF($B809="","",COUNTIF($F809:$AJ809,"PL"))</f>
        <v/>
      </c>
      <c r="AP809" s="34" t="str">
        <f aca="false">IF($B809="","",COUNTIF($F809:$AJ809,"CL"))</f>
        <v/>
      </c>
      <c r="AQ809" s="34" t="str">
        <f aca="false">IF($B809="","",COUNTIF($F809:$AJ809,"SL"))</f>
        <v/>
      </c>
      <c r="AR809" s="34" t="str">
        <f aca="false">IF($B809="","",COUNTIF($F809:$AJ809,"CO"))</f>
        <v/>
      </c>
      <c r="AS809" s="34" t="str">
        <f aca="false">IF($B809="","",COUNTIF($F809:$AJ809,"HPL"))</f>
        <v/>
      </c>
      <c r="AT809" s="34" t="str">
        <f aca="false">IF($B809="","",COUNTIF($F809:$AJ809,"HCL"))</f>
        <v/>
      </c>
      <c r="AU809" s="34" t="str">
        <f aca="false">IF($B809="","",COUNTIF($F809:$AJ809,"WO"))</f>
        <v/>
      </c>
      <c r="AV809" s="34" t="str">
        <f aca="false">IF($B809="","",COUNTIF($F809:$AJ809,"PH"))</f>
        <v/>
      </c>
      <c r="AW809" s="34" t="str">
        <f aca="false">IF($B809="","",COUNTIF($F809:$AJ809,"TR"))</f>
        <v/>
      </c>
      <c r="AX809" s="35" t="str">
        <f aca="false">IF($B809="","",AO809+AS809/2)</f>
        <v/>
      </c>
      <c r="AY809" s="35" t="str">
        <f aca="false">IF($B809="","",AQ809)</f>
        <v/>
      </c>
      <c r="AZ809" s="35" t="str">
        <f aca="false">IF($B809="","",AP809+AT809/2)</f>
        <v/>
      </c>
      <c r="BA809" s="35" t="str">
        <f aca="false">IF($B809="","",AK809+AN809+AM809/2+AO809+AP809+AQ809+AR809+AS809+AT809+AU809+AV809+AW809)</f>
        <v/>
      </c>
      <c r="BB809" s="35" t="str">
        <f aca="false">IF($B809="","",MAX(0,AN809-Settings!$C$16)*Settings!$C$17)</f>
        <v/>
      </c>
      <c r="BC809" s="35" t="str">
        <f aca="false">IF($B809="","",BA809-BB809)</f>
        <v/>
      </c>
      <c r="BD809" s="35" t="str">
        <f aca="false">IF(OR($B809="",$A809=""),"",DAY(EOMONTH($A809,0))-COUNTA($F809:$AJ809))</f>
        <v/>
      </c>
    </row>
    <row r="810" customFormat="false" ht="15" hidden="false" customHeight="false" outlineLevel="0" collapsed="false">
      <c r="A810" s="32"/>
      <c r="B810" s="29"/>
      <c r="C810" s="10" t="str">
        <f aca="false">IF($B810="","",IFERROR(INDEX(M_name,MATCH($B810,M_emp,0)),"Code not found"))</f>
        <v/>
      </c>
      <c r="D810" s="10" t="str">
        <f aca="false">IF($B810="","",IFERROR(INDEX(M_dept,MATCH($B810,M_emp,0)),""))</f>
        <v/>
      </c>
      <c r="E810" s="10" t="str">
        <f aca="false">IF($B810="","",IFERROR(INDEX(M_loc,MATCH($B810,M_emp,0)),""))</f>
        <v/>
      </c>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4" t="str">
        <f aca="false">IF($B810="","",COUNTIF($F810:$AJ810,"P"))</f>
        <v/>
      </c>
      <c r="AL810" s="34" t="str">
        <f aca="false">IF($B810="","",COUNTIF($F810:$AJ810,"A"))</f>
        <v/>
      </c>
      <c r="AM810" s="34" t="str">
        <f aca="false">IF($B810="","",COUNTIF($F810:$AJ810,"HA"))</f>
        <v/>
      </c>
      <c r="AN810" s="34" t="str">
        <f aca="false">IF($B810="","",COUNTIF($F810:$AJ810,"L"))</f>
        <v/>
      </c>
      <c r="AO810" s="34" t="str">
        <f aca="false">IF($B810="","",COUNTIF($F810:$AJ810,"PL"))</f>
        <v/>
      </c>
      <c r="AP810" s="34" t="str">
        <f aca="false">IF($B810="","",COUNTIF($F810:$AJ810,"CL"))</f>
        <v/>
      </c>
      <c r="AQ810" s="34" t="str">
        <f aca="false">IF($B810="","",COUNTIF($F810:$AJ810,"SL"))</f>
        <v/>
      </c>
      <c r="AR810" s="34" t="str">
        <f aca="false">IF($B810="","",COUNTIF($F810:$AJ810,"CO"))</f>
        <v/>
      </c>
      <c r="AS810" s="34" t="str">
        <f aca="false">IF($B810="","",COUNTIF($F810:$AJ810,"HPL"))</f>
        <v/>
      </c>
      <c r="AT810" s="34" t="str">
        <f aca="false">IF($B810="","",COUNTIF($F810:$AJ810,"HCL"))</f>
        <v/>
      </c>
      <c r="AU810" s="34" t="str">
        <f aca="false">IF($B810="","",COUNTIF($F810:$AJ810,"WO"))</f>
        <v/>
      </c>
      <c r="AV810" s="34" t="str">
        <f aca="false">IF($B810="","",COUNTIF($F810:$AJ810,"PH"))</f>
        <v/>
      </c>
      <c r="AW810" s="34" t="str">
        <f aca="false">IF($B810="","",COUNTIF($F810:$AJ810,"TR"))</f>
        <v/>
      </c>
      <c r="AX810" s="35" t="str">
        <f aca="false">IF($B810="","",AO810+AS810/2)</f>
        <v/>
      </c>
      <c r="AY810" s="35" t="str">
        <f aca="false">IF($B810="","",AQ810)</f>
        <v/>
      </c>
      <c r="AZ810" s="35" t="str">
        <f aca="false">IF($B810="","",AP810+AT810/2)</f>
        <v/>
      </c>
      <c r="BA810" s="35" t="str">
        <f aca="false">IF($B810="","",AK810+AN810+AM810/2+AO810+AP810+AQ810+AR810+AS810+AT810+AU810+AV810+AW810)</f>
        <v/>
      </c>
      <c r="BB810" s="35" t="str">
        <f aca="false">IF($B810="","",MAX(0,AN810-Settings!$C$16)*Settings!$C$17)</f>
        <v/>
      </c>
      <c r="BC810" s="35" t="str">
        <f aca="false">IF($B810="","",BA810-BB810)</f>
        <v/>
      </c>
      <c r="BD810" s="35" t="str">
        <f aca="false">IF(OR($B810="",$A810=""),"",DAY(EOMONTH($A810,0))-COUNTA($F810:$AJ810))</f>
        <v/>
      </c>
    </row>
    <row r="811" customFormat="false" ht="15" hidden="false" customHeight="false" outlineLevel="0" collapsed="false">
      <c r="A811" s="32"/>
      <c r="B811" s="29"/>
      <c r="C811" s="10" t="str">
        <f aca="false">IF($B811="","",IFERROR(INDEX(M_name,MATCH($B811,M_emp,0)),"Code not found"))</f>
        <v/>
      </c>
      <c r="D811" s="10" t="str">
        <f aca="false">IF($B811="","",IFERROR(INDEX(M_dept,MATCH($B811,M_emp,0)),""))</f>
        <v/>
      </c>
      <c r="E811" s="10" t="str">
        <f aca="false">IF($B811="","",IFERROR(INDEX(M_loc,MATCH($B811,M_emp,0)),""))</f>
        <v/>
      </c>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4" t="str">
        <f aca="false">IF($B811="","",COUNTIF($F811:$AJ811,"P"))</f>
        <v/>
      </c>
      <c r="AL811" s="34" t="str">
        <f aca="false">IF($B811="","",COUNTIF($F811:$AJ811,"A"))</f>
        <v/>
      </c>
      <c r="AM811" s="34" t="str">
        <f aca="false">IF($B811="","",COUNTIF($F811:$AJ811,"HA"))</f>
        <v/>
      </c>
      <c r="AN811" s="34" t="str">
        <f aca="false">IF($B811="","",COUNTIF($F811:$AJ811,"L"))</f>
        <v/>
      </c>
      <c r="AO811" s="34" t="str">
        <f aca="false">IF($B811="","",COUNTIF($F811:$AJ811,"PL"))</f>
        <v/>
      </c>
      <c r="AP811" s="34" t="str">
        <f aca="false">IF($B811="","",COUNTIF($F811:$AJ811,"CL"))</f>
        <v/>
      </c>
      <c r="AQ811" s="34" t="str">
        <f aca="false">IF($B811="","",COUNTIF($F811:$AJ811,"SL"))</f>
        <v/>
      </c>
      <c r="AR811" s="34" t="str">
        <f aca="false">IF($B811="","",COUNTIF($F811:$AJ811,"CO"))</f>
        <v/>
      </c>
      <c r="AS811" s="34" t="str">
        <f aca="false">IF($B811="","",COUNTIF($F811:$AJ811,"HPL"))</f>
        <v/>
      </c>
      <c r="AT811" s="34" t="str">
        <f aca="false">IF($B811="","",COUNTIF($F811:$AJ811,"HCL"))</f>
        <v/>
      </c>
      <c r="AU811" s="34" t="str">
        <f aca="false">IF($B811="","",COUNTIF($F811:$AJ811,"WO"))</f>
        <v/>
      </c>
      <c r="AV811" s="34" t="str">
        <f aca="false">IF($B811="","",COUNTIF($F811:$AJ811,"PH"))</f>
        <v/>
      </c>
      <c r="AW811" s="34" t="str">
        <f aca="false">IF($B811="","",COUNTIF($F811:$AJ811,"TR"))</f>
        <v/>
      </c>
      <c r="AX811" s="35" t="str">
        <f aca="false">IF($B811="","",AO811+AS811/2)</f>
        <v/>
      </c>
      <c r="AY811" s="35" t="str">
        <f aca="false">IF($B811="","",AQ811)</f>
        <v/>
      </c>
      <c r="AZ811" s="35" t="str">
        <f aca="false">IF($B811="","",AP811+AT811/2)</f>
        <v/>
      </c>
      <c r="BA811" s="35" t="str">
        <f aca="false">IF($B811="","",AK811+AN811+AM811/2+AO811+AP811+AQ811+AR811+AS811+AT811+AU811+AV811+AW811)</f>
        <v/>
      </c>
      <c r="BB811" s="35" t="str">
        <f aca="false">IF($B811="","",MAX(0,AN811-Settings!$C$16)*Settings!$C$17)</f>
        <v/>
      </c>
      <c r="BC811" s="35" t="str">
        <f aca="false">IF($B811="","",BA811-BB811)</f>
        <v/>
      </c>
      <c r="BD811" s="35" t="str">
        <f aca="false">IF(OR($B811="",$A811=""),"",DAY(EOMONTH($A811,0))-COUNTA($F811:$AJ811))</f>
        <v/>
      </c>
    </row>
    <row r="812" customFormat="false" ht="15" hidden="false" customHeight="false" outlineLevel="0" collapsed="false">
      <c r="A812" s="32"/>
      <c r="B812" s="29"/>
      <c r="C812" s="10" t="str">
        <f aca="false">IF($B812="","",IFERROR(INDEX(M_name,MATCH($B812,M_emp,0)),"Code not found"))</f>
        <v/>
      </c>
      <c r="D812" s="10" t="str">
        <f aca="false">IF($B812="","",IFERROR(INDEX(M_dept,MATCH($B812,M_emp,0)),""))</f>
        <v/>
      </c>
      <c r="E812" s="10" t="str">
        <f aca="false">IF($B812="","",IFERROR(INDEX(M_loc,MATCH($B812,M_emp,0)),""))</f>
        <v/>
      </c>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4" t="str">
        <f aca="false">IF($B812="","",COUNTIF($F812:$AJ812,"P"))</f>
        <v/>
      </c>
      <c r="AL812" s="34" t="str">
        <f aca="false">IF($B812="","",COUNTIF($F812:$AJ812,"A"))</f>
        <v/>
      </c>
      <c r="AM812" s="34" t="str">
        <f aca="false">IF($B812="","",COUNTIF($F812:$AJ812,"HA"))</f>
        <v/>
      </c>
      <c r="AN812" s="34" t="str">
        <f aca="false">IF($B812="","",COUNTIF($F812:$AJ812,"L"))</f>
        <v/>
      </c>
      <c r="AO812" s="34" t="str">
        <f aca="false">IF($B812="","",COUNTIF($F812:$AJ812,"PL"))</f>
        <v/>
      </c>
      <c r="AP812" s="34" t="str">
        <f aca="false">IF($B812="","",COUNTIF($F812:$AJ812,"CL"))</f>
        <v/>
      </c>
      <c r="AQ812" s="34" t="str">
        <f aca="false">IF($B812="","",COUNTIF($F812:$AJ812,"SL"))</f>
        <v/>
      </c>
      <c r="AR812" s="34" t="str">
        <f aca="false">IF($B812="","",COUNTIF($F812:$AJ812,"CO"))</f>
        <v/>
      </c>
      <c r="AS812" s="34" t="str">
        <f aca="false">IF($B812="","",COUNTIF($F812:$AJ812,"HPL"))</f>
        <v/>
      </c>
      <c r="AT812" s="34" t="str">
        <f aca="false">IF($B812="","",COUNTIF($F812:$AJ812,"HCL"))</f>
        <v/>
      </c>
      <c r="AU812" s="34" t="str">
        <f aca="false">IF($B812="","",COUNTIF($F812:$AJ812,"WO"))</f>
        <v/>
      </c>
      <c r="AV812" s="34" t="str">
        <f aca="false">IF($B812="","",COUNTIF($F812:$AJ812,"PH"))</f>
        <v/>
      </c>
      <c r="AW812" s="34" t="str">
        <f aca="false">IF($B812="","",COUNTIF($F812:$AJ812,"TR"))</f>
        <v/>
      </c>
      <c r="AX812" s="35" t="str">
        <f aca="false">IF($B812="","",AO812+AS812/2)</f>
        <v/>
      </c>
      <c r="AY812" s="35" t="str">
        <f aca="false">IF($B812="","",AQ812)</f>
        <v/>
      </c>
      <c r="AZ812" s="35" t="str">
        <f aca="false">IF($B812="","",AP812+AT812/2)</f>
        <v/>
      </c>
      <c r="BA812" s="35" t="str">
        <f aca="false">IF($B812="","",AK812+AN812+AM812/2+AO812+AP812+AQ812+AR812+AS812+AT812+AU812+AV812+AW812)</f>
        <v/>
      </c>
      <c r="BB812" s="35" t="str">
        <f aca="false">IF($B812="","",MAX(0,AN812-Settings!$C$16)*Settings!$C$17)</f>
        <v/>
      </c>
      <c r="BC812" s="35" t="str">
        <f aca="false">IF($B812="","",BA812-BB812)</f>
        <v/>
      </c>
      <c r="BD812" s="35" t="str">
        <f aca="false">IF(OR($B812="",$A812=""),"",DAY(EOMONTH($A812,0))-COUNTA($F812:$AJ812))</f>
        <v/>
      </c>
    </row>
    <row r="813" customFormat="false" ht="15" hidden="false" customHeight="false" outlineLevel="0" collapsed="false">
      <c r="A813" s="32"/>
      <c r="B813" s="29"/>
      <c r="C813" s="10" t="str">
        <f aca="false">IF($B813="","",IFERROR(INDEX(M_name,MATCH($B813,M_emp,0)),"Code not found"))</f>
        <v/>
      </c>
      <c r="D813" s="10" t="str">
        <f aca="false">IF($B813="","",IFERROR(INDEX(M_dept,MATCH($B813,M_emp,0)),""))</f>
        <v/>
      </c>
      <c r="E813" s="10" t="str">
        <f aca="false">IF($B813="","",IFERROR(INDEX(M_loc,MATCH($B813,M_emp,0)),""))</f>
        <v/>
      </c>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4" t="str">
        <f aca="false">IF($B813="","",COUNTIF($F813:$AJ813,"P"))</f>
        <v/>
      </c>
      <c r="AL813" s="34" t="str">
        <f aca="false">IF($B813="","",COUNTIF($F813:$AJ813,"A"))</f>
        <v/>
      </c>
      <c r="AM813" s="34" t="str">
        <f aca="false">IF($B813="","",COUNTIF($F813:$AJ813,"HA"))</f>
        <v/>
      </c>
      <c r="AN813" s="34" t="str">
        <f aca="false">IF($B813="","",COUNTIF($F813:$AJ813,"L"))</f>
        <v/>
      </c>
      <c r="AO813" s="34" t="str">
        <f aca="false">IF($B813="","",COUNTIF($F813:$AJ813,"PL"))</f>
        <v/>
      </c>
      <c r="AP813" s="34" t="str">
        <f aca="false">IF($B813="","",COUNTIF($F813:$AJ813,"CL"))</f>
        <v/>
      </c>
      <c r="AQ813" s="34" t="str">
        <f aca="false">IF($B813="","",COUNTIF($F813:$AJ813,"SL"))</f>
        <v/>
      </c>
      <c r="AR813" s="34" t="str">
        <f aca="false">IF($B813="","",COUNTIF($F813:$AJ813,"CO"))</f>
        <v/>
      </c>
      <c r="AS813" s="34" t="str">
        <f aca="false">IF($B813="","",COUNTIF($F813:$AJ813,"HPL"))</f>
        <v/>
      </c>
      <c r="AT813" s="34" t="str">
        <f aca="false">IF($B813="","",COUNTIF($F813:$AJ813,"HCL"))</f>
        <v/>
      </c>
      <c r="AU813" s="34" t="str">
        <f aca="false">IF($B813="","",COUNTIF($F813:$AJ813,"WO"))</f>
        <v/>
      </c>
      <c r="AV813" s="34" t="str">
        <f aca="false">IF($B813="","",COUNTIF($F813:$AJ813,"PH"))</f>
        <v/>
      </c>
      <c r="AW813" s="34" t="str">
        <f aca="false">IF($B813="","",COUNTIF($F813:$AJ813,"TR"))</f>
        <v/>
      </c>
      <c r="AX813" s="35" t="str">
        <f aca="false">IF($B813="","",AO813+AS813/2)</f>
        <v/>
      </c>
      <c r="AY813" s="35" t="str">
        <f aca="false">IF($B813="","",AQ813)</f>
        <v/>
      </c>
      <c r="AZ813" s="35" t="str">
        <f aca="false">IF($B813="","",AP813+AT813/2)</f>
        <v/>
      </c>
      <c r="BA813" s="35" t="str">
        <f aca="false">IF($B813="","",AK813+AN813+AM813/2+AO813+AP813+AQ813+AR813+AS813+AT813+AU813+AV813+AW813)</f>
        <v/>
      </c>
      <c r="BB813" s="35" t="str">
        <f aca="false">IF($B813="","",MAX(0,AN813-Settings!$C$16)*Settings!$C$17)</f>
        <v/>
      </c>
      <c r="BC813" s="35" t="str">
        <f aca="false">IF($B813="","",BA813-BB813)</f>
        <v/>
      </c>
      <c r="BD813" s="35" t="str">
        <f aca="false">IF(OR($B813="",$A813=""),"",DAY(EOMONTH($A813,0))-COUNTA($F813:$AJ813))</f>
        <v/>
      </c>
    </row>
    <row r="814" customFormat="false" ht="15" hidden="false" customHeight="false" outlineLevel="0" collapsed="false">
      <c r="A814" s="32"/>
      <c r="B814" s="29"/>
      <c r="C814" s="10" t="str">
        <f aca="false">IF($B814="","",IFERROR(INDEX(M_name,MATCH($B814,M_emp,0)),"Code not found"))</f>
        <v/>
      </c>
      <c r="D814" s="10" t="str">
        <f aca="false">IF($B814="","",IFERROR(INDEX(M_dept,MATCH($B814,M_emp,0)),""))</f>
        <v/>
      </c>
      <c r="E814" s="10" t="str">
        <f aca="false">IF($B814="","",IFERROR(INDEX(M_loc,MATCH($B814,M_emp,0)),""))</f>
        <v/>
      </c>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4" t="str">
        <f aca="false">IF($B814="","",COUNTIF($F814:$AJ814,"P"))</f>
        <v/>
      </c>
      <c r="AL814" s="34" t="str">
        <f aca="false">IF($B814="","",COUNTIF($F814:$AJ814,"A"))</f>
        <v/>
      </c>
      <c r="AM814" s="34" t="str">
        <f aca="false">IF($B814="","",COUNTIF($F814:$AJ814,"HA"))</f>
        <v/>
      </c>
      <c r="AN814" s="34" t="str">
        <f aca="false">IF($B814="","",COUNTIF($F814:$AJ814,"L"))</f>
        <v/>
      </c>
      <c r="AO814" s="34" t="str">
        <f aca="false">IF($B814="","",COUNTIF($F814:$AJ814,"PL"))</f>
        <v/>
      </c>
      <c r="AP814" s="34" t="str">
        <f aca="false">IF($B814="","",COUNTIF($F814:$AJ814,"CL"))</f>
        <v/>
      </c>
      <c r="AQ814" s="34" t="str">
        <f aca="false">IF($B814="","",COUNTIF($F814:$AJ814,"SL"))</f>
        <v/>
      </c>
      <c r="AR814" s="34" t="str">
        <f aca="false">IF($B814="","",COUNTIF($F814:$AJ814,"CO"))</f>
        <v/>
      </c>
      <c r="AS814" s="34" t="str">
        <f aca="false">IF($B814="","",COUNTIF($F814:$AJ814,"HPL"))</f>
        <v/>
      </c>
      <c r="AT814" s="34" t="str">
        <f aca="false">IF($B814="","",COUNTIF($F814:$AJ814,"HCL"))</f>
        <v/>
      </c>
      <c r="AU814" s="34" t="str">
        <f aca="false">IF($B814="","",COUNTIF($F814:$AJ814,"WO"))</f>
        <v/>
      </c>
      <c r="AV814" s="34" t="str">
        <f aca="false">IF($B814="","",COUNTIF($F814:$AJ814,"PH"))</f>
        <v/>
      </c>
      <c r="AW814" s="34" t="str">
        <f aca="false">IF($B814="","",COUNTIF($F814:$AJ814,"TR"))</f>
        <v/>
      </c>
      <c r="AX814" s="35" t="str">
        <f aca="false">IF($B814="","",AO814+AS814/2)</f>
        <v/>
      </c>
      <c r="AY814" s="35" t="str">
        <f aca="false">IF($B814="","",AQ814)</f>
        <v/>
      </c>
      <c r="AZ814" s="35" t="str">
        <f aca="false">IF($B814="","",AP814+AT814/2)</f>
        <v/>
      </c>
      <c r="BA814" s="35" t="str">
        <f aca="false">IF($B814="","",AK814+AN814+AM814/2+AO814+AP814+AQ814+AR814+AS814+AT814+AU814+AV814+AW814)</f>
        <v/>
      </c>
      <c r="BB814" s="35" t="str">
        <f aca="false">IF($B814="","",MAX(0,AN814-Settings!$C$16)*Settings!$C$17)</f>
        <v/>
      </c>
      <c r="BC814" s="35" t="str">
        <f aca="false">IF($B814="","",BA814-BB814)</f>
        <v/>
      </c>
      <c r="BD814" s="35" t="str">
        <f aca="false">IF(OR($B814="",$A814=""),"",DAY(EOMONTH($A814,0))-COUNTA($F814:$AJ814))</f>
        <v/>
      </c>
    </row>
    <row r="815" customFormat="false" ht="15" hidden="false" customHeight="false" outlineLevel="0" collapsed="false">
      <c r="A815" s="32"/>
      <c r="B815" s="29"/>
      <c r="C815" s="10" t="str">
        <f aca="false">IF($B815="","",IFERROR(INDEX(M_name,MATCH($B815,M_emp,0)),"Code not found"))</f>
        <v/>
      </c>
      <c r="D815" s="10" t="str">
        <f aca="false">IF($B815="","",IFERROR(INDEX(M_dept,MATCH($B815,M_emp,0)),""))</f>
        <v/>
      </c>
      <c r="E815" s="10" t="str">
        <f aca="false">IF($B815="","",IFERROR(INDEX(M_loc,MATCH($B815,M_emp,0)),""))</f>
        <v/>
      </c>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4" t="str">
        <f aca="false">IF($B815="","",COUNTIF($F815:$AJ815,"P"))</f>
        <v/>
      </c>
      <c r="AL815" s="34" t="str">
        <f aca="false">IF($B815="","",COUNTIF($F815:$AJ815,"A"))</f>
        <v/>
      </c>
      <c r="AM815" s="34" t="str">
        <f aca="false">IF($B815="","",COUNTIF($F815:$AJ815,"HA"))</f>
        <v/>
      </c>
      <c r="AN815" s="34" t="str">
        <f aca="false">IF($B815="","",COUNTIF($F815:$AJ815,"L"))</f>
        <v/>
      </c>
      <c r="AO815" s="34" t="str">
        <f aca="false">IF($B815="","",COUNTIF($F815:$AJ815,"PL"))</f>
        <v/>
      </c>
      <c r="AP815" s="34" t="str">
        <f aca="false">IF($B815="","",COUNTIF($F815:$AJ815,"CL"))</f>
        <v/>
      </c>
      <c r="AQ815" s="34" t="str">
        <f aca="false">IF($B815="","",COUNTIF($F815:$AJ815,"SL"))</f>
        <v/>
      </c>
      <c r="AR815" s="34" t="str">
        <f aca="false">IF($B815="","",COUNTIF($F815:$AJ815,"CO"))</f>
        <v/>
      </c>
      <c r="AS815" s="34" t="str">
        <f aca="false">IF($B815="","",COUNTIF($F815:$AJ815,"HPL"))</f>
        <v/>
      </c>
      <c r="AT815" s="34" t="str">
        <f aca="false">IF($B815="","",COUNTIF($F815:$AJ815,"HCL"))</f>
        <v/>
      </c>
      <c r="AU815" s="34" t="str">
        <f aca="false">IF($B815="","",COUNTIF($F815:$AJ815,"WO"))</f>
        <v/>
      </c>
      <c r="AV815" s="34" t="str">
        <f aca="false">IF($B815="","",COUNTIF($F815:$AJ815,"PH"))</f>
        <v/>
      </c>
      <c r="AW815" s="34" t="str">
        <f aca="false">IF($B815="","",COUNTIF($F815:$AJ815,"TR"))</f>
        <v/>
      </c>
      <c r="AX815" s="35" t="str">
        <f aca="false">IF($B815="","",AO815+AS815/2)</f>
        <v/>
      </c>
      <c r="AY815" s="35" t="str">
        <f aca="false">IF($B815="","",AQ815)</f>
        <v/>
      </c>
      <c r="AZ815" s="35" t="str">
        <f aca="false">IF($B815="","",AP815+AT815/2)</f>
        <v/>
      </c>
      <c r="BA815" s="35" t="str">
        <f aca="false">IF($B815="","",AK815+AN815+AM815/2+AO815+AP815+AQ815+AR815+AS815+AT815+AU815+AV815+AW815)</f>
        <v/>
      </c>
      <c r="BB815" s="35" t="str">
        <f aca="false">IF($B815="","",MAX(0,AN815-Settings!$C$16)*Settings!$C$17)</f>
        <v/>
      </c>
      <c r="BC815" s="35" t="str">
        <f aca="false">IF($B815="","",BA815-BB815)</f>
        <v/>
      </c>
      <c r="BD815" s="35" t="str">
        <f aca="false">IF(OR($B815="",$A815=""),"",DAY(EOMONTH($A815,0))-COUNTA($F815:$AJ815))</f>
        <v/>
      </c>
    </row>
    <row r="816" customFormat="false" ht="15" hidden="false" customHeight="false" outlineLevel="0" collapsed="false">
      <c r="A816" s="32"/>
      <c r="B816" s="29"/>
      <c r="C816" s="10" t="str">
        <f aca="false">IF($B816="","",IFERROR(INDEX(M_name,MATCH($B816,M_emp,0)),"Code not found"))</f>
        <v/>
      </c>
      <c r="D816" s="10" t="str">
        <f aca="false">IF($B816="","",IFERROR(INDEX(M_dept,MATCH($B816,M_emp,0)),""))</f>
        <v/>
      </c>
      <c r="E816" s="10" t="str">
        <f aca="false">IF($B816="","",IFERROR(INDEX(M_loc,MATCH($B816,M_emp,0)),""))</f>
        <v/>
      </c>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4" t="str">
        <f aca="false">IF($B816="","",COUNTIF($F816:$AJ816,"P"))</f>
        <v/>
      </c>
      <c r="AL816" s="34" t="str">
        <f aca="false">IF($B816="","",COUNTIF($F816:$AJ816,"A"))</f>
        <v/>
      </c>
      <c r="AM816" s="34" t="str">
        <f aca="false">IF($B816="","",COUNTIF($F816:$AJ816,"HA"))</f>
        <v/>
      </c>
      <c r="AN816" s="34" t="str">
        <f aca="false">IF($B816="","",COUNTIF($F816:$AJ816,"L"))</f>
        <v/>
      </c>
      <c r="AO816" s="34" t="str">
        <f aca="false">IF($B816="","",COUNTIF($F816:$AJ816,"PL"))</f>
        <v/>
      </c>
      <c r="AP816" s="34" t="str">
        <f aca="false">IF($B816="","",COUNTIF($F816:$AJ816,"CL"))</f>
        <v/>
      </c>
      <c r="AQ816" s="34" t="str">
        <f aca="false">IF($B816="","",COUNTIF($F816:$AJ816,"SL"))</f>
        <v/>
      </c>
      <c r="AR816" s="34" t="str">
        <f aca="false">IF($B816="","",COUNTIF($F816:$AJ816,"CO"))</f>
        <v/>
      </c>
      <c r="AS816" s="34" t="str">
        <f aca="false">IF($B816="","",COUNTIF($F816:$AJ816,"HPL"))</f>
        <v/>
      </c>
      <c r="AT816" s="34" t="str">
        <f aca="false">IF($B816="","",COUNTIF($F816:$AJ816,"HCL"))</f>
        <v/>
      </c>
      <c r="AU816" s="34" t="str">
        <f aca="false">IF($B816="","",COUNTIF($F816:$AJ816,"WO"))</f>
        <v/>
      </c>
      <c r="AV816" s="34" t="str">
        <f aca="false">IF($B816="","",COUNTIF($F816:$AJ816,"PH"))</f>
        <v/>
      </c>
      <c r="AW816" s="34" t="str">
        <f aca="false">IF($B816="","",COUNTIF($F816:$AJ816,"TR"))</f>
        <v/>
      </c>
      <c r="AX816" s="35" t="str">
        <f aca="false">IF($B816="","",AO816+AS816/2)</f>
        <v/>
      </c>
      <c r="AY816" s="35" t="str">
        <f aca="false">IF($B816="","",AQ816)</f>
        <v/>
      </c>
      <c r="AZ816" s="35" t="str">
        <f aca="false">IF($B816="","",AP816+AT816/2)</f>
        <v/>
      </c>
      <c r="BA816" s="35" t="str">
        <f aca="false">IF($B816="","",AK816+AN816+AM816/2+AO816+AP816+AQ816+AR816+AS816+AT816+AU816+AV816+AW816)</f>
        <v/>
      </c>
      <c r="BB816" s="35" t="str">
        <f aca="false">IF($B816="","",MAX(0,AN816-Settings!$C$16)*Settings!$C$17)</f>
        <v/>
      </c>
      <c r="BC816" s="35" t="str">
        <f aca="false">IF($B816="","",BA816-BB816)</f>
        <v/>
      </c>
      <c r="BD816" s="35" t="str">
        <f aca="false">IF(OR($B816="",$A816=""),"",DAY(EOMONTH($A816,0))-COUNTA($F816:$AJ816))</f>
        <v/>
      </c>
    </row>
    <row r="817" customFormat="false" ht="15" hidden="false" customHeight="false" outlineLevel="0" collapsed="false">
      <c r="A817" s="32"/>
      <c r="B817" s="29"/>
      <c r="C817" s="10" t="str">
        <f aca="false">IF($B817="","",IFERROR(INDEX(M_name,MATCH($B817,M_emp,0)),"Code not found"))</f>
        <v/>
      </c>
      <c r="D817" s="10" t="str">
        <f aca="false">IF($B817="","",IFERROR(INDEX(M_dept,MATCH($B817,M_emp,0)),""))</f>
        <v/>
      </c>
      <c r="E817" s="10" t="str">
        <f aca="false">IF($B817="","",IFERROR(INDEX(M_loc,MATCH($B817,M_emp,0)),""))</f>
        <v/>
      </c>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4" t="str">
        <f aca="false">IF($B817="","",COUNTIF($F817:$AJ817,"P"))</f>
        <v/>
      </c>
      <c r="AL817" s="34" t="str">
        <f aca="false">IF($B817="","",COUNTIF($F817:$AJ817,"A"))</f>
        <v/>
      </c>
      <c r="AM817" s="34" t="str">
        <f aca="false">IF($B817="","",COUNTIF($F817:$AJ817,"HA"))</f>
        <v/>
      </c>
      <c r="AN817" s="34" t="str">
        <f aca="false">IF($B817="","",COUNTIF($F817:$AJ817,"L"))</f>
        <v/>
      </c>
      <c r="AO817" s="34" t="str">
        <f aca="false">IF($B817="","",COUNTIF($F817:$AJ817,"PL"))</f>
        <v/>
      </c>
      <c r="AP817" s="34" t="str">
        <f aca="false">IF($B817="","",COUNTIF($F817:$AJ817,"CL"))</f>
        <v/>
      </c>
      <c r="AQ817" s="34" t="str">
        <f aca="false">IF($B817="","",COUNTIF($F817:$AJ817,"SL"))</f>
        <v/>
      </c>
      <c r="AR817" s="34" t="str">
        <f aca="false">IF($B817="","",COUNTIF($F817:$AJ817,"CO"))</f>
        <v/>
      </c>
      <c r="AS817" s="34" t="str">
        <f aca="false">IF($B817="","",COUNTIF($F817:$AJ817,"HPL"))</f>
        <v/>
      </c>
      <c r="AT817" s="34" t="str">
        <f aca="false">IF($B817="","",COUNTIF($F817:$AJ817,"HCL"))</f>
        <v/>
      </c>
      <c r="AU817" s="34" t="str">
        <f aca="false">IF($B817="","",COUNTIF($F817:$AJ817,"WO"))</f>
        <v/>
      </c>
      <c r="AV817" s="34" t="str">
        <f aca="false">IF($B817="","",COUNTIF($F817:$AJ817,"PH"))</f>
        <v/>
      </c>
      <c r="AW817" s="34" t="str">
        <f aca="false">IF($B817="","",COUNTIF($F817:$AJ817,"TR"))</f>
        <v/>
      </c>
      <c r="AX817" s="35" t="str">
        <f aca="false">IF($B817="","",AO817+AS817/2)</f>
        <v/>
      </c>
      <c r="AY817" s="35" t="str">
        <f aca="false">IF($B817="","",AQ817)</f>
        <v/>
      </c>
      <c r="AZ817" s="35" t="str">
        <f aca="false">IF($B817="","",AP817+AT817/2)</f>
        <v/>
      </c>
      <c r="BA817" s="35" t="str">
        <f aca="false">IF($B817="","",AK817+AN817+AM817/2+AO817+AP817+AQ817+AR817+AS817+AT817+AU817+AV817+AW817)</f>
        <v/>
      </c>
      <c r="BB817" s="35" t="str">
        <f aca="false">IF($B817="","",MAX(0,AN817-Settings!$C$16)*Settings!$C$17)</f>
        <v/>
      </c>
      <c r="BC817" s="35" t="str">
        <f aca="false">IF($B817="","",BA817-BB817)</f>
        <v/>
      </c>
      <c r="BD817" s="35" t="str">
        <f aca="false">IF(OR($B817="",$A817=""),"",DAY(EOMONTH($A817,0))-COUNTA($F817:$AJ817))</f>
        <v/>
      </c>
    </row>
    <row r="818" customFormat="false" ht="15" hidden="false" customHeight="false" outlineLevel="0" collapsed="false">
      <c r="A818" s="32"/>
      <c r="B818" s="29"/>
      <c r="C818" s="10" t="str">
        <f aca="false">IF($B818="","",IFERROR(INDEX(M_name,MATCH($B818,M_emp,0)),"Code not found"))</f>
        <v/>
      </c>
      <c r="D818" s="10" t="str">
        <f aca="false">IF($B818="","",IFERROR(INDEX(M_dept,MATCH($B818,M_emp,0)),""))</f>
        <v/>
      </c>
      <c r="E818" s="10" t="str">
        <f aca="false">IF($B818="","",IFERROR(INDEX(M_loc,MATCH($B818,M_emp,0)),""))</f>
        <v/>
      </c>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4" t="str">
        <f aca="false">IF($B818="","",COUNTIF($F818:$AJ818,"P"))</f>
        <v/>
      </c>
      <c r="AL818" s="34" t="str">
        <f aca="false">IF($B818="","",COUNTIF($F818:$AJ818,"A"))</f>
        <v/>
      </c>
      <c r="AM818" s="34" t="str">
        <f aca="false">IF($B818="","",COUNTIF($F818:$AJ818,"HA"))</f>
        <v/>
      </c>
      <c r="AN818" s="34" t="str">
        <f aca="false">IF($B818="","",COUNTIF($F818:$AJ818,"L"))</f>
        <v/>
      </c>
      <c r="AO818" s="34" t="str">
        <f aca="false">IF($B818="","",COUNTIF($F818:$AJ818,"PL"))</f>
        <v/>
      </c>
      <c r="AP818" s="34" t="str">
        <f aca="false">IF($B818="","",COUNTIF($F818:$AJ818,"CL"))</f>
        <v/>
      </c>
      <c r="AQ818" s="34" t="str">
        <f aca="false">IF($B818="","",COUNTIF($F818:$AJ818,"SL"))</f>
        <v/>
      </c>
      <c r="AR818" s="34" t="str">
        <f aca="false">IF($B818="","",COUNTIF($F818:$AJ818,"CO"))</f>
        <v/>
      </c>
      <c r="AS818" s="34" t="str">
        <f aca="false">IF($B818="","",COUNTIF($F818:$AJ818,"HPL"))</f>
        <v/>
      </c>
      <c r="AT818" s="34" t="str">
        <f aca="false">IF($B818="","",COUNTIF($F818:$AJ818,"HCL"))</f>
        <v/>
      </c>
      <c r="AU818" s="34" t="str">
        <f aca="false">IF($B818="","",COUNTIF($F818:$AJ818,"WO"))</f>
        <v/>
      </c>
      <c r="AV818" s="34" t="str">
        <f aca="false">IF($B818="","",COUNTIF($F818:$AJ818,"PH"))</f>
        <v/>
      </c>
      <c r="AW818" s="34" t="str">
        <f aca="false">IF($B818="","",COUNTIF($F818:$AJ818,"TR"))</f>
        <v/>
      </c>
      <c r="AX818" s="35" t="str">
        <f aca="false">IF($B818="","",AO818+AS818/2)</f>
        <v/>
      </c>
      <c r="AY818" s="35" t="str">
        <f aca="false">IF($B818="","",AQ818)</f>
        <v/>
      </c>
      <c r="AZ818" s="35" t="str">
        <f aca="false">IF($B818="","",AP818+AT818/2)</f>
        <v/>
      </c>
      <c r="BA818" s="35" t="str">
        <f aca="false">IF($B818="","",AK818+AN818+AM818/2+AO818+AP818+AQ818+AR818+AS818+AT818+AU818+AV818+AW818)</f>
        <v/>
      </c>
      <c r="BB818" s="35" t="str">
        <f aca="false">IF($B818="","",MAX(0,AN818-Settings!$C$16)*Settings!$C$17)</f>
        <v/>
      </c>
      <c r="BC818" s="35" t="str">
        <f aca="false">IF($B818="","",BA818-BB818)</f>
        <v/>
      </c>
      <c r="BD818" s="35" t="str">
        <f aca="false">IF(OR($B818="",$A818=""),"",DAY(EOMONTH($A818,0))-COUNTA($F818:$AJ818))</f>
        <v/>
      </c>
    </row>
    <row r="819" customFormat="false" ht="15" hidden="false" customHeight="false" outlineLevel="0" collapsed="false">
      <c r="A819" s="32"/>
      <c r="B819" s="29"/>
      <c r="C819" s="10" t="str">
        <f aca="false">IF($B819="","",IFERROR(INDEX(M_name,MATCH($B819,M_emp,0)),"Code not found"))</f>
        <v/>
      </c>
      <c r="D819" s="10" t="str">
        <f aca="false">IF($B819="","",IFERROR(INDEX(M_dept,MATCH($B819,M_emp,0)),""))</f>
        <v/>
      </c>
      <c r="E819" s="10" t="str">
        <f aca="false">IF($B819="","",IFERROR(INDEX(M_loc,MATCH($B819,M_emp,0)),""))</f>
        <v/>
      </c>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4" t="str">
        <f aca="false">IF($B819="","",COUNTIF($F819:$AJ819,"P"))</f>
        <v/>
      </c>
      <c r="AL819" s="34" t="str">
        <f aca="false">IF($B819="","",COUNTIF($F819:$AJ819,"A"))</f>
        <v/>
      </c>
      <c r="AM819" s="34" t="str">
        <f aca="false">IF($B819="","",COUNTIF($F819:$AJ819,"HA"))</f>
        <v/>
      </c>
      <c r="AN819" s="34" t="str">
        <f aca="false">IF($B819="","",COUNTIF($F819:$AJ819,"L"))</f>
        <v/>
      </c>
      <c r="AO819" s="34" t="str">
        <f aca="false">IF($B819="","",COUNTIF($F819:$AJ819,"PL"))</f>
        <v/>
      </c>
      <c r="AP819" s="34" t="str">
        <f aca="false">IF($B819="","",COUNTIF($F819:$AJ819,"CL"))</f>
        <v/>
      </c>
      <c r="AQ819" s="34" t="str">
        <f aca="false">IF($B819="","",COUNTIF($F819:$AJ819,"SL"))</f>
        <v/>
      </c>
      <c r="AR819" s="34" t="str">
        <f aca="false">IF($B819="","",COUNTIF($F819:$AJ819,"CO"))</f>
        <v/>
      </c>
      <c r="AS819" s="34" t="str">
        <f aca="false">IF($B819="","",COUNTIF($F819:$AJ819,"HPL"))</f>
        <v/>
      </c>
      <c r="AT819" s="34" t="str">
        <f aca="false">IF($B819="","",COUNTIF($F819:$AJ819,"HCL"))</f>
        <v/>
      </c>
      <c r="AU819" s="34" t="str">
        <f aca="false">IF($B819="","",COUNTIF($F819:$AJ819,"WO"))</f>
        <v/>
      </c>
      <c r="AV819" s="34" t="str">
        <f aca="false">IF($B819="","",COUNTIF($F819:$AJ819,"PH"))</f>
        <v/>
      </c>
      <c r="AW819" s="34" t="str">
        <f aca="false">IF($B819="","",COUNTIF($F819:$AJ819,"TR"))</f>
        <v/>
      </c>
      <c r="AX819" s="35" t="str">
        <f aca="false">IF($B819="","",AO819+AS819/2)</f>
        <v/>
      </c>
      <c r="AY819" s="35" t="str">
        <f aca="false">IF($B819="","",AQ819)</f>
        <v/>
      </c>
      <c r="AZ819" s="35" t="str">
        <f aca="false">IF($B819="","",AP819+AT819/2)</f>
        <v/>
      </c>
      <c r="BA819" s="35" t="str">
        <f aca="false">IF($B819="","",AK819+AN819+AM819/2+AO819+AP819+AQ819+AR819+AS819+AT819+AU819+AV819+AW819)</f>
        <v/>
      </c>
      <c r="BB819" s="35" t="str">
        <f aca="false">IF($B819="","",MAX(0,AN819-Settings!$C$16)*Settings!$C$17)</f>
        <v/>
      </c>
      <c r="BC819" s="35" t="str">
        <f aca="false">IF($B819="","",BA819-BB819)</f>
        <v/>
      </c>
      <c r="BD819" s="35" t="str">
        <f aca="false">IF(OR($B819="",$A819=""),"",DAY(EOMONTH($A819,0))-COUNTA($F819:$AJ819))</f>
        <v/>
      </c>
    </row>
    <row r="820" customFormat="false" ht="15" hidden="false" customHeight="false" outlineLevel="0" collapsed="false">
      <c r="A820" s="32"/>
      <c r="B820" s="29"/>
      <c r="C820" s="10" t="str">
        <f aca="false">IF($B820="","",IFERROR(INDEX(M_name,MATCH($B820,M_emp,0)),"Code not found"))</f>
        <v/>
      </c>
      <c r="D820" s="10" t="str">
        <f aca="false">IF($B820="","",IFERROR(INDEX(M_dept,MATCH($B820,M_emp,0)),""))</f>
        <v/>
      </c>
      <c r="E820" s="10" t="str">
        <f aca="false">IF($B820="","",IFERROR(INDEX(M_loc,MATCH($B820,M_emp,0)),""))</f>
        <v/>
      </c>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4" t="str">
        <f aca="false">IF($B820="","",COUNTIF($F820:$AJ820,"P"))</f>
        <v/>
      </c>
      <c r="AL820" s="34" t="str">
        <f aca="false">IF($B820="","",COUNTIF($F820:$AJ820,"A"))</f>
        <v/>
      </c>
      <c r="AM820" s="34" t="str">
        <f aca="false">IF($B820="","",COUNTIF($F820:$AJ820,"HA"))</f>
        <v/>
      </c>
      <c r="AN820" s="34" t="str">
        <f aca="false">IF($B820="","",COUNTIF($F820:$AJ820,"L"))</f>
        <v/>
      </c>
      <c r="AO820" s="34" t="str">
        <f aca="false">IF($B820="","",COUNTIF($F820:$AJ820,"PL"))</f>
        <v/>
      </c>
      <c r="AP820" s="34" t="str">
        <f aca="false">IF($B820="","",COUNTIF($F820:$AJ820,"CL"))</f>
        <v/>
      </c>
      <c r="AQ820" s="34" t="str">
        <f aca="false">IF($B820="","",COUNTIF($F820:$AJ820,"SL"))</f>
        <v/>
      </c>
      <c r="AR820" s="34" t="str">
        <f aca="false">IF($B820="","",COUNTIF($F820:$AJ820,"CO"))</f>
        <v/>
      </c>
      <c r="AS820" s="34" t="str">
        <f aca="false">IF($B820="","",COUNTIF($F820:$AJ820,"HPL"))</f>
        <v/>
      </c>
      <c r="AT820" s="34" t="str">
        <f aca="false">IF($B820="","",COUNTIF($F820:$AJ820,"HCL"))</f>
        <v/>
      </c>
      <c r="AU820" s="34" t="str">
        <f aca="false">IF($B820="","",COUNTIF($F820:$AJ820,"WO"))</f>
        <v/>
      </c>
      <c r="AV820" s="34" t="str">
        <f aca="false">IF($B820="","",COUNTIF($F820:$AJ820,"PH"))</f>
        <v/>
      </c>
      <c r="AW820" s="34" t="str">
        <f aca="false">IF($B820="","",COUNTIF($F820:$AJ820,"TR"))</f>
        <v/>
      </c>
      <c r="AX820" s="35" t="str">
        <f aca="false">IF($B820="","",AO820+AS820/2)</f>
        <v/>
      </c>
      <c r="AY820" s="35" t="str">
        <f aca="false">IF($B820="","",AQ820)</f>
        <v/>
      </c>
      <c r="AZ820" s="35" t="str">
        <f aca="false">IF($B820="","",AP820+AT820/2)</f>
        <v/>
      </c>
      <c r="BA820" s="35" t="str">
        <f aca="false">IF($B820="","",AK820+AN820+AM820/2+AO820+AP820+AQ820+AR820+AS820+AT820+AU820+AV820+AW820)</f>
        <v/>
      </c>
      <c r="BB820" s="35" t="str">
        <f aca="false">IF($B820="","",MAX(0,AN820-Settings!$C$16)*Settings!$C$17)</f>
        <v/>
      </c>
      <c r="BC820" s="35" t="str">
        <f aca="false">IF($B820="","",BA820-BB820)</f>
        <v/>
      </c>
      <c r="BD820" s="35" t="str">
        <f aca="false">IF(OR($B820="",$A820=""),"",DAY(EOMONTH($A820,0))-COUNTA($F820:$AJ820))</f>
        <v/>
      </c>
    </row>
    <row r="821" customFormat="false" ht="15" hidden="false" customHeight="false" outlineLevel="0" collapsed="false">
      <c r="A821" s="32"/>
      <c r="B821" s="29"/>
      <c r="C821" s="10" t="str">
        <f aca="false">IF($B821="","",IFERROR(INDEX(M_name,MATCH($B821,M_emp,0)),"Code not found"))</f>
        <v/>
      </c>
      <c r="D821" s="10" t="str">
        <f aca="false">IF($B821="","",IFERROR(INDEX(M_dept,MATCH($B821,M_emp,0)),""))</f>
        <v/>
      </c>
      <c r="E821" s="10" t="str">
        <f aca="false">IF($B821="","",IFERROR(INDEX(M_loc,MATCH($B821,M_emp,0)),""))</f>
        <v/>
      </c>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4" t="str">
        <f aca="false">IF($B821="","",COUNTIF($F821:$AJ821,"P"))</f>
        <v/>
      </c>
      <c r="AL821" s="34" t="str">
        <f aca="false">IF($B821="","",COUNTIF($F821:$AJ821,"A"))</f>
        <v/>
      </c>
      <c r="AM821" s="34" t="str">
        <f aca="false">IF($B821="","",COUNTIF($F821:$AJ821,"HA"))</f>
        <v/>
      </c>
      <c r="AN821" s="34" t="str">
        <f aca="false">IF($B821="","",COUNTIF($F821:$AJ821,"L"))</f>
        <v/>
      </c>
      <c r="AO821" s="34" t="str">
        <f aca="false">IF($B821="","",COUNTIF($F821:$AJ821,"PL"))</f>
        <v/>
      </c>
      <c r="AP821" s="34" t="str">
        <f aca="false">IF($B821="","",COUNTIF($F821:$AJ821,"CL"))</f>
        <v/>
      </c>
      <c r="AQ821" s="34" t="str">
        <f aca="false">IF($B821="","",COUNTIF($F821:$AJ821,"SL"))</f>
        <v/>
      </c>
      <c r="AR821" s="34" t="str">
        <f aca="false">IF($B821="","",COUNTIF($F821:$AJ821,"CO"))</f>
        <v/>
      </c>
      <c r="AS821" s="34" t="str">
        <f aca="false">IF($B821="","",COUNTIF($F821:$AJ821,"HPL"))</f>
        <v/>
      </c>
      <c r="AT821" s="34" t="str">
        <f aca="false">IF($B821="","",COUNTIF($F821:$AJ821,"HCL"))</f>
        <v/>
      </c>
      <c r="AU821" s="34" t="str">
        <f aca="false">IF($B821="","",COUNTIF($F821:$AJ821,"WO"))</f>
        <v/>
      </c>
      <c r="AV821" s="34" t="str">
        <f aca="false">IF($B821="","",COUNTIF($F821:$AJ821,"PH"))</f>
        <v/>
      </c>
      <c r="AW821" s="34" t="str">
        <f aca="false">IF($B821="","",COUNTIF($F821:$AJ821,"TR"))</f>
        <v/>
      </c>
      <c r="AX821" s="35" t="str">
        <f aca="false">IF($B821="","",AO821+AS821/2)</f>
        <v/>
      </c>
      <c r="AY821" s="35" t="str">
        <f aca="false">IF($B821="","",AQ821)</f>
        <v/>
      </c>
      <c r="AZ821" s="35" t="str">
        <f aca="false">IF($B821="","",AP821+AT821/2)</f>
        <v/>
      </c>
      <c r="BA821" s="35" t="str">
        <f aca="false">IF($B821="","",AK821+AN821+AM821/2+AO821+AP821+AQ821+AR821+AS821+AT821+AU821+AV821+AW821)</f>
        <v/>
      </c>
      <c r="BB821" s="35" t="str">
        <f aca="false">IF($B821="","",MAX(0,AN821-Settings!$C$16)*Settings!$C$17)</f>
        <v/>
      </c>
      <c r="BC821" s="35" t="str">
        <f aca="false">IF($B821="","",BA821-BB821)</f>
        <v/>
      </c>
      <c r="BD821" s="35" t="str">
        <f aca="false">IF(OR($B821="",$A821=""),"",DAY(EOMONTH($A821,0))-COUNTA($F821:$AJ821))</f>
        <v/>
      </c>
    </row>
    <row r="822" customFormat="false" ht="15" hidden="false" customHeight="false" outlineLevel="0" collapsed="false">
      <c r="A822" s="32"/>
      <c r="B822" s="29"/>
      <c r="C822" s="10" t="str">
        <f aca="false">IF($B822="","",IFERROR(INDEX(M_name,MATCH($B822,M_emp,0)),"Code not found"))</f>
        <v/>
      </c>
      <c r="D822" s="10" t="str">
        <f aca="false">IF($B822="","",IFERROR(INDEX(M_dept,MATCH($B822,M_emp,0)),""))</f>
        <v/>
      </c>
      <c r="E822" s="10" t="str">
        <f aca="false">IF($B822="","",IFERROR(INDEX(M_loc,MATCH($B822,M_emp,0)),""))</f>
        <v/>
      </c>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4" t="str">
        <f aca="false">IF($B822="","",COUNTIF($F822:$AJ822,"P"))</f>
        <v/>
      </c>
      <c r="AL822" s="34" t="str">
        <f aca="false">IF($B822="","",COUNTIF($F822:$AJ822,"A"))</f>
        <v/>
      </c>
      <c r="AM822" s="34" t="str">
        <f aca="false">IF($B822="","",COUNTIF($F822:$AJ822,"HA"))</f>
        <v/>
      </c>
      <c r="AN822" s="34" t="str">
        <f aca="false">IF($B822="","",COUNTIF($F822:$AJ822,"L"))</f>
        <v/>
      </c>
      <c r="AO822" s="34" t="str">
        <f aca="false">IF($B822="","",COUNTIF($F822:$AJ822,"PL"))</f>
        <v/>
      </c>
      <c r="AP822" s="34" t="str">
        <f aca="false">IF($B822="","",COUNTIF($F822:$AJ822,"CL"))</f>
        <v/>
      </c>
      <c r="AQ822" s="34" t="str">
        <f aca="false">IF($B822="","",COUNTIF($F822:$AJ822,"SL"))</f>
        <v/>
      </c>
      <c r="AR822" s="34" t="str">
        <f aca="false">IF($B822="","",COUNTIF($F822:$AJ822,"CO"))</f>
        <v/>
      </c>
      <c r="AS822" s="34" t="str">
        <f aca="false">IF($B822="","",COUNTIF($F822:$AJ822,"HPL"))</f>
        <v/>
      </c>
      <c r="AT822" s="34" t="str">
        <f aca="false">IF($B822="","",COUNTIF($F822:$AJ822,"HCL"))</f>
        <v/>
      </c>
      <c r="AU822" s="34" t="str">
        <f aca="false">IF($B822="","",COUNTIF($F822:$AJ822,"WO"))</f>
        <v/>
      </c>
      <c r="AV822" s="34" t="str">
        <f aca="false">IF($B822="","",COUNTIF($F822:$AJ822,"PH"))</f>
        <v/>
      </c>
      <c r="AW822" s="34" t="str">
        <f aca="false">IF($B822="","",COUNTIF($F822:$AJ822,"TR"))</f>
        <v/>
      </c>
      <c r="AX822" s="35" t="str">
        <f aca="false">IF($B822="","",AO822+AS822/2)</f>
        <v/>
      </c>
      <c r="AY822" s="35" t="str">
        <f aca="false">IF($B822="","",AQ822)</f>
        <v/>
      </c>
      <c r="AZ822" s="35" t="str">
        <f aca="false">IF($B822="","",AP822+AT822/2)</f>
        <v/>
      </c>
      <c r="BA822" s="35" t="str">
        <f aca="false">IF($B822="","",AK822+AN822+AM822/2+AO822+AP822+AQ822+AR822+AS822+AT822+AU822+AV822+AW822)</f>
        <v/>
      </c>
      <c r="BB822" s="35" t="str">
        <f aca="false">IF($B822="","",MAX(0,AN822-Settings!$C$16)*Settings!$C$17)</f>
        <v/>
      </c>
      <c r="BC822" s="35" t="str">
        <f aca="false">IF($B822="","",BA822-BB822)</f>
        <v/>
      </c>
      <c r="BD822" s="35" t="str">
        <f aca="false">IF(OR($B822="",$A822=""),"",DAY(EOMONTH($A822,0))-COUNTA($F822:$AJ822))</f>
        <v/>
      </c>
    </row>
    <row r="823" customFormat="false" ht="15" hidden="false" customHeight="false" outlineLevel="0" collapsed="false">
      <c r="A823" s="32"/>
      <c r="B823" s="29"/>
      <c r="C823" s="10" t="str">
        <f aca="false">IF($B823="","",IFERROR(INDEX(M_name,MATCH($B823,M_emp,0)),"Code not found"))</f>
        <v/>
      </c>
      <c r="D823" s="10" t="str">
        <f aca="false">IF($B823="","",IFERROR(INDEX(M_dept,MATCH($B823,M_emp,0)),""))</f>
        <v/>
      </c>
      <c r="E823" s="10" t="str">
        <f aca="false">IF($B823="","",IFERROR(INDEX(M_loc,MATCH($B823,M_emp,0)),""))</f>
        <v/>
      </c>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4" t="str">
        <f aca="false">IF($B823="","",COUNTIF($F823:$AJ823,"P"))</f>
        <v/>
      </c>
      <c r="AL823" s="34" t="str">
        <f aca="false">IF($B823="","",COUNTIF($F823:$AJ823,"A"))</f>
        <v/>
      </c>
      <c r="AM823" s="34" t="str">
        <f aca="false">IF($B823="","",COUNTIF($F823:$AJ823,"HA"))</f>
        <v/>
      </c>
      <c r="AN823" s="34" t="str">
        <f aca="false">IF($B823="","",COUNTIF($F823:$AJ823,"L"))</f>
        <v/>
      </c>
      <c r="AO823" s="34" t="str">
        <f aca="false">IF($B823="","",COUNTIF($F823:$AJ823,"PL"))</f>
        <v/>
      </c>
      <c r="AP823" s="34" t="str">
        <f aca="false">IF($B823="","",COUNTIF($F823:$AJ823,"CL"))</f>
        <v/>
      </c>
      <c r="AQ823" s="34" t="str">
        <f aca="false">IF($B823="","",COUNTIF($F823:$AJ823,"SL"))</f>
        <v/>
      </c>
      <c r="AR823" s="34" t="str">
        <f aca="false">IF($B823="","",COUNTIF($F823:$AJ823,"CO"))</f>
        <v/>
      </c>
      <c r="AS823" s="34" t="str">
        <f aca="false">IF($B823="","",COUNTIF($F823:$AJ823,"HPL"))</f>
        <v/>
      </c>
      <c r="AT823" s="34" t="str">
        <f aca="false">IF($B823="","",COUNTIF($F823:$AJ823,"HCL"))</f>
        <v/>
      </c>
      <c r="AU823" s="34" t="str">
        <f aca="false">IF($B823="","",COUNTIF($F823:$AJ823,"WO"))</f>
        <v/>
      </c>
      <c r="AV823" s="34" t="str">
        <f aca="false">IF($B823="","",COUNTIF($F823:$AJ823,"PH"))</f>
        <v/>
      </c>
      <c r="AW823" s="34" t="str">
        <f aca="false">IF($B823="","",COUNTIF($F823:$AJ823,"TR"))</f>
        <v/>
      </c>
      <c r="AX823" s="35" t="str">
        <f aca="false">IF($B823="","",AO823+AS823/2)</f>
        <v/>
      </c>
      <c r="AY823" s="35" t="str">
        <f aca="false">IF($B823="","",AQ823)</f>
        <v/>
      </c>
      <c r="AZ823" s="35" t="str">
        <f aca="false">IF($B823="","",AP823+AT823/2)</f>
        <v/>
      </c>
      <c r="BA823" s="35" t="str">
        <f aca="false">IF($B823="","",AK823+AN823+AM823/2+AO823+AP823+AQ823+AR823+AS823+AT823+AU823+AV823+AW823)</f>
        <v/>
      </c>
      <c r="BB823" s="35" t="str">
        <f aca="false">IF($B823="","",MAX(0,AN823-Settings!$C$16)*Settings!$C$17)</f>
        <v/>
      </c>
      <c r="BC823" s="35" t="str">
        <f aca="false">IF($B823="","",BA823-BB823)</f>
        <v/>
      </c>
      <c r="BD823" s="35" t="str">
        <f aca="false">IF(OR($B823="",$A823=""),"",DAY(EOMONTH($A823,0))-COUNTA($F823:$AJ823))</f>
        <v/>
      </c>
    </row>
    <row r="824" customFormat="false" ht="15" hidden="false" customHeight="false" outlineLevel="0" collapsed="false">
      <c r="A824" s="32"/>
      <c r="B824" s="29"/>
      <c r="C824" s="10" t="str">
        <f aca="false">IF($B824="","",IFERROR(INDEX(M_name,MATCH($B824,M_emp,0)),"Code not found"))</f>
        <v/>
      </c>
      <c r="D824" s="10" t="str">
        <f aca="false">IF($B824="","",IFERROR(INDEX(M_dept,MATCH($B824,M_emp,0)),""))</f>
        <v/>
      </c>
      <c r="E824" s="10" t="str">
        <f aca="false">IF($B824="","",IFERROR(INDEX(M_loc,MATCH($B824,M_emp,0)),""))</f>
        <v/>
      </c>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4" t="str">
        <f aca="false">IF($B824="","",COUNTIF($F824:$AJ824,"P"))</f>
        <v/>
      </c>
      <c r="AL824" s="34" t="str">
        <f aca="false">IF($B824="","",COUNTIF($F824:$AJ824,"A"))</f>
        <v/>
      </c>
      <c r="AM824" s="34" t="str">
        <f aca="false">IF($B824="","",COUNTIF($F824:$AJ824,"HA"))</f>
        <v/>
      </c>
      <c r="AN824" s="34" t="str">
        <f aca="false">IF($B824="","",COUNTIF($F824:$AJ824,"L"))</f>
        <v/>
      </c>
      <c r="AO824" s="34" t="str">
        <f aca="false">IF($B824="","",COUNTIF($F824:$AJ824,"PL"))</f>
        <v/>
      </c>
      <c r="AP824" s="34" t="str">
        <f aca="false">IF($B824="","",COUNTIF($F824:$AJ824,"CL"))</f>
        <v/>
      </c>
      <c r="AQ824" s="34" t="str">
        <f aca="false">IF($B824="","",COUNTIF($F824:$AJ824,"SL"))</f>
        <v/>
      </c>
      <c r="AR824" s="34" t="str">
        <f aca="false">IF($B824="","",COUNTIF($F824:$AJ824,"CO"))</f>
        <v/>
      </c>
      <c r="AS824" s="34" t="str">
        <f aca="false">IF($B824="","",COUNTIF($F824:$AJ824,"HPL"))</f>
        <v/>
      </c>
      <c r="AT824" s="34" t="str">
        <f aca="false">IF($B824="","",COUNTIF($F824:$AJ824,"HCL"))</f>
        <v/>
      </c>
      <c r="AU824" s="34" t="str">
        <f aca="false">IF($B824="","",COUNTIF($F824:$AJ824,"WO"))</f>
        <v/>
      </c>
      <c r="AV824" s="34" t="str">
        <f aca="false">IF($B824="","",COUNTIF($F824:$AJ824,"PH"))</f>
        <v/>
      </c>
      <c r="AW824" s="34" t="str">
        <f aca="false">IF($B824="","",COUNTIF($F824:$AJ824,"TR"))</f>
        <v/>
      </c>
      <c r="AX824" s="35" t="str">
        <f aca="false">IF($B824="","",AO824+AS824/2)</f>
        <v/>
      </c>
      <c r="AY824" s="35" t="str">
        <f aca="false">IF($B824="","",AQ824)</f>
        <v/>
      </c>
      <c r="AZ824" s="35" t="str">
        <f aca="false">IF($B824="","",AP824+AT824/2)</f>
        <v/>
      </c>
      <c r="BA824" s="35" t="str">
        <f aca="false">IF($B824="","",AK824+AN824+AM824/2+AO824+AP824+AQ824+AR824+AS824+AT824+AU824+AV824+AW824)</f>
        <v/>
      </c>
      <c r="BB824" s="35" t="str">
        <f aca="false">IF($B824="","",MAX(0,AN824-Settings!$C$16)*Settings!$C$17)</f>
        <v/>
      </c>
      <c r="BC824" s="35" t="str">
        <f aca="false">IF($B824="","",BA824-BB824)</f>
        <v/>
      </c>
      <c r="BD824" s="35" t="str">
        <f aca="false">IF(OR($B824="",$A824=""),"",DAY(EOMONTH($A824,0))-COUNTA($F824:$AJ824))</f>
        <v/>
      </c>
    </row>
    <row r="825" customFormat="false" ht="15" hidden="false" customHeight="false" outlineLevel="0" collapsed="false">
      <c r="A825" s="32"/>
      <c r="B825" s="29"/>
      <c r="C825" s="10" t="str">
        <f aca="false">IF($B825="","",IFERROR(INDEX(M_name,MATCH($B825,M_emp,0)),"Code not found"))</f>
        <v/>
      </c>
      <c r="D825" s="10" t="str">
        <f aca="false">IF($B825="","",IFERROR(INDEX(M_dept,MATCH($B825,M_emp,0)),""))</f>
        <v/>
      </c>
      <c r="E825" s="10" t="str">
        <f aca="false">IF($B825="","",IFERROR(INDEX(M_loc,MATCH($B825,M_emp,0)),""))</f>
        <v/>
      </c>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4" t="str">
        <f aca="false">IF($B825="","",COUNTIF($F825:$AJ825,"P"))</f>
        <v/>
      </c>
      <c r="AL825" s="34" t="str">
        <f aca="false">IF($B825="","",COUNTIF($F825:$AJ825,"A"))</f>
        <v/>
      </c>
      <c r="AM825" s="34" t="str">
        <f aca="false">IF($B825="","",COUNTIF($F825:$AJ825,"HA"))</f>
        <v/>
      </c>
      <c r="AN825" s="34" t="str">
        <f aca="false">IF($B825="","",COUNTIF($F825:$AJ825,"L"))</f>
        <v/>
      </c>
      <c r="AO825" s="34" t="str">
        <f aca="false">IF($B825="","",COUNTIF($F825:$AJ825,"PL"))</f>
        <v/>
      </c>
      <c r="AP825" s="34" t="str">
        <f aca="false">IF($B825="","",COUNTIF($F825:$AJ825,"CL"))</f>
        <v/>
      </c>
      <c r="AQ825" s="34" t="str">
        <f aca="false">IF($B825="","",COUNTIF($F825:$AJ825,"SL"))</f>
        <v/>
      </c>
      <c r="AR825" s="34" t="str">
        <f aca="false">IF($B825="","",COUNTIF($F825:$AJ825,"CO"))</f>
        <v/>
      </c>
      <c r="AS825" s="34" t="str">
        <f aca="false">IF($B825="","",COUNTIF($F825:$AJ825,"HPL"))</f>
        <v/>
      </c>
      <c r="AT825" s="34" t="str">
        <f aca="false">IF($B825="","",COUNTIF($F825:$AJ825,"HCL"))</f>
        <v/>
      </c>
      <c r="AU825" s="34" t="str">
        <f aca="false">IF($B825="","",COUNTIF($F825:$AJ825,"WO"))</f>
        <v/>
      </c>
      <c r="AV825" s="34" t="str">
        <f aca="false">IF($B825="","",COUNTIF($F825:$AJ825,"PH"))</f>
        <v/>
      </c>
      <c r="AW825" s="34" t="str">
        <f aca="false">IF($B825="","",COUNTIF($F825:$AJ825,"TR"))</f>
        <v/>
      </c>
      <c r="AX825" s="35" t="str">
        <f aca="false">IF($B825="","",AO825+AS825/2)</f>
        <v/>
      </c>
      <c r="AY825" s="35" t="str">
        <f aca="false">IF($B825="","",AQ825)</f>
        <v/>
      </c>
      <c r="AZ825" s="35" t="str">
        <f aca="false">IF($B825="","",AP825+AT825/2)</f>
        <v/>
      </c>
      <c r="BA825" s="35" t="str">
        <f aca="false">IF($B825="","",AK825+AN825+AM825/2+AO825+AP825+AQ825+AR825+AS825+AT825+AU825+AV825+AW825)</f>
        <v/>
      </c>
      <c r="BB825" s="35" t="str">
        <f aca="false">IF($B825="","",MAX(0,AN825-Settings!$C$16)*Settings!$C$17)</f>
        <v/>
      </c>
      <c r="BC825" s="35" t="str">
        <f aca="false">IF($B825="","",BA825-BB825)</f>
        <v/>
      </c>
      <c r="BD825" s="35" t="str">
        <f aca="false">IF(OR($B825="",$A825=""),"",DAY(EOMONTH($A825,0))-COUNTA($F825:$AJ825))</f>
        <v/>
      </c>
    </row>
    <row r="826" customFormat="false" ht="15" hidden="false" customHeight="false" outlineLevel="0" collapsed="false">
      <c r="A826" s="32"/>
      <c r="B826" s="29"/>
      <c r="C826" s="10" t="str">
        <f aca="false">IF($B826="","",IFERROR(INDEX(M_name,MATCH($B826,M_emp,0)),"Code not found"))</f>
        <v/>
      </c>
      <c r="D826" s="10" t="str">
        <f aca="false">IF($B826="","",IFERROR(INDEX(M_dept,MATCH($B826,M_emp,0)),""))</f>
        <v/>
      </c>
      <c r="E826" s="10" t="str">
        <f aca="false">IF($B826="","",IFERROR(INDEX(M_loc,MATCH($B826,M_emp,0)),""))</f>
        <v/>
      </c>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4" t="str">
        <f aca="false">IF($B826="","",COUNTIF($F826:$AJ826,"P"))</f>
        <v/>
      </c>
      <c r="AL826" s="34" t="str">
        <f aca="false">IF($B826="","",COUNTIF($F826:$AJ826,"A"))</f>
        <v/>
      </c>
      <c r="AM826" s="34" t="str">
        <f aca="false">IF($B826="","",COUNTIF($F826:$AJ826,"HA"))</f>
        <v/>
      </c>
      <c r="AN826" s="34" t="str">
        <f aca="false">IF($B826="","",COUNTIF($F826:$AJ826,"L"))</f>
        <v/>
      </c>
      <c r="AO826" s="34" t="str">
        <f aca="false">IF($B826="","",COUNTIF($F826:$AJ826,"PL"))</f>
        <v/>
      </c>
      <c r="AP826" s="34" t="str">
        <f aca="false">IF($B826="","",COUNTIF($F826:$AJ826,"CL"))</f>
        <v/>
      </c>
      <c r="AQ826" s="34" t="str">
        <f aca="false">IF($B826="","",COUNTIF($F826:$AJ826,"SL"))</f>
        <v/>
      </c>
      <c r="AR826" s="34" t="str">
        <f aca="false">IF($B826="","",COUNTIF($F826:$AJ826,"CO"))</f>
        <v/>
      </c>
      <c r="AS826" s="34" t="str">
        <f aca="false">IF($B826="","",COUNTIF($F826:$AJ826,"HPL"))</f>
        <v/>
      </c>
      <c r="AT826" s="34" t="str">
        <f aca="false">IF($B826="","",COUNTIF($F826:$AJ826,"HCL"))</f>
        <v/>
      </c>
      <c r="AU826" s="34" t="str">
        <f aca="false">IF($B826="","",COUNTIF($F826:$AJ826,"WO"))</f>
        <v/>
      </c>
      <c r="AV826" s="34" t="str">
        <f aca="false">IF($B826="","",COUNTIF($F826:$AJ826,"PH"))</f>
        <v/>
      </c>
      <c r="AW826" s="34" t="str">
        <f aca="false">IF($B826="","",COUNTIF($F826:$AJ826,"TR"))</f>
        <v/>
      </c>
      <c r="AX826" s="35" t="str">
        <f aca="false">IF($B826="","",AO826+AS826/2)</f>
        <v/>
      </c>
      <c r="AY826" s="35" t="str">
        <f aca="false">IF($B826="","",AQ826)</f>
        <v/>
      </c>
      <c r="AZ826" s="35" t="str">
        <f aca="false">IF($B826="","",AP826+AT826/2)</f>
        <v/>
      </c>
      <c r="BA826" s="35" t="str">
        <f aca="false">IF($B826="","",AK826+AN826+AM826/2+AO826+AP826+AQ826+AR826+AS826+AT826+AU826+AV826+AW826)</f>
        <v/>
      </c>
      <c r="BB826" s="35" t="str">
        <f aca="false">IF($B826="","",MAX(0,AN826-Settings!$C$16)*Settings!$C$17)</f>
        <v/>
      </c>
      <c r="BC826" s="35" t="str">
        <f aca="false">IF($B826="","",BA826-BB826)</f>
        <v/>
      </c>
      <c r="BD826" s="35" t="str">
        <f aca="false">IF(OR($B826="",$A826=""),"",DAY(EOMONTH($A826,0))-COUNTA($F826:$AJ826))</f>
        <v/>
      </c>
    </row>
    <row r="827" customFormat="false" ht="15" hidden="false" customHeight="false" outlineLevel="0" collapsed="false">
      <c r="A827" s="32"/>
      <c r="B827" s="29"/>
      <c r="C827" s="10" t="str">
        <f aca="false">IF($B827="","",IFERROR(INDEX(M_name,MATCH($B827,M_emp,0)),"Code not found"))</f>
        <v/>
      </c>
      <c r="D827" s="10" t="str">
        <f aca="false">IF($B827="","",IFERROR(INDEX(M_dept,MATCH($B827,M_emp,0)),""))</f>
        <v/>
      </c>
      <c r="E827" s="10" t="str">
        <f aca="false">IF($B827="","",IFERROR(INDEX(M_loc,MATCH($B827,M_emp,0)),""))</f>
        <v/>
      </c>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4" t="str">
        <f aca="false">IF($B827="","",COUNTIF($F827:$AJ827,"P"))</f>
        <v/>
      </c>
      <c r="AL827" s="34" t="str">
        <f aca="false">IF($B827="","",COUNTIF($F827:$AJ827,"A"))</f>
        <v/>
      </c>
      <c r="AM827" s="34" t="str">
        <f aca="false">IF($B827="","",COUNTIF($F827:$AJ827,"HA"))</f>
        <v/>
      </c>
      <c r="AN827" s="34" t="str">
        <f aca="false">IF($B827="","",COUNTIF($F827:$AJ827,"L"))</f>
        <v/>
      </c>
      <c r="AO827" s="34" t="str">
        <f aca="false">IF($B827="","",COUNTIF($F827:$AJ827,"PL"))</f>
        <v/>
      </c>
      <c r="AP827" s="34" t="str">
        <f aca="false">IF($B827="","",COUNTIF($F827:$AJ827,"CL"))</f>
        <v/>
      </c>
      <c r="AQ827" s="34" t="str">
        <f aca="false">IF($B827="","",COUNTIF($F827:$AJ827,"SL"))</f>
        <v/>
      </c>
      <c r="AR827" s="34" t="str">
        <f aca="false">IF($B827="","",COUNTIF($F827:$AJ827,"CO"))</f>
        <v/>
      </c>
      <c r="AS827" s="34" t="str">
        <f aca="false">IF($B827="","",COUNTIF($F827:$AJ827,"HPL"))</f>
        <v/>
      </c>
      <c r="AT827" s="34" t="str">
        <f aca="false">IF($B827="","",COUNTIF($F827:$AJ827,"HCL"))</f>
        <v/>
      </c>
      <c r="AU827" s="34" t="str">
        <f aca="false">IF($B827="","",COUNTIF($F827:$AJ827,"WO"))</f>
        <v/>
      </c>
      <c r="AV827" s="34" t="str">
        <f aca="false">IF($B827="","",COUNTIF($F827:$AJ827,"PH"))</f>
        <v/>
      </c>
      <c r="AW827" s="34" t="str">
        <f aca="false">IF($B827="","",COUNTIF($F827:$AJ827,"TR"))</f>
        <v/>
      </c>
      <c r="AX827" s="35" t="str">
        <f aca="false">IF($B827="","",AO827+AS827/2)</f>
        <v/>
      </c>
      <c r="AY827" s="35" t="str">
        <f aca="false">IF($B827="","",AQ827)</f>
        <v/>
      </c>
      <c r="AZ827" s="35" t="str">
        <f aca="false">IF($B827="","",AP827+AT827/2)</f>
        <v/>
      </c>
      <c r="BA827" s="35" t="str">
        <f aca="false">IF($B827="","",AK827+AN827+AM827/2+AO827+AP827+AQ827+AR827+AS827+AT827+AU827+AV827+AW827)</f>
        <v/>
      </c>
      <c r="BB827" s="35" t="str">
        <f aca="false">IF($B827="","",MAX(0,AN827-Settings!$C$16)*Settings!$C$17)</f>
        <v/>
      </c>
      <c r="BC827" s="35" t="str">
        <f aca="false">IF($B827="","",BA827-BB827)</f>
        <v/>
      </c>
      <c r="BD827" s="35" t="str">
        <f aca="false">IF(OR($B827="",$A827=""),"",DAY(EOMONTH($A827,0))-COUNTA($F827:$AJ827))</f>
        <v/>
      </c>
    </row>
    <row r="828" customFormat="false" ht="15" hidden="false" customHeight="false" outlineLevel="0" collapsed="false">
      <c r="A828" s="32"/>
      <c r="B828" s="29"/>
      <c r="C828" s="10" t="str">
        <f aca="false">IF($B828="","",IFERROR(INDEX(M_name,MATCH($B828,M_emp,0)),"Code not found"))</f>
        <v/>
      </c>
      <c r="D828" s="10" t="str">
        <f aca="false">IF($B828="","",IFERROR(INDEX(M_dept,MATCH($B828,M_emp,0)),""))</f>
        <v/>
      </c>
      <c r="E828" s="10" t="str">
        <f aca="false">IF($B828="","",IFERROR(INDEX(M_loc,MATCH($B828,M_emp,0)),""))</f>
        <v/>
      </c>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4" t="str">
        <f aca="false">IF($B828="","",COUNTIF($F828:$AJ828,"P"))</f>
        <v/>
      </c>
      <c r="AL828" s="34" t="str">
        <f aca="false">IF($B828="","",COUNTIF($F828:$AJ828,"A"))</f>
        <v/>
      </c>
      <c r="AM828" s="34" t="str">
        <f aca="false">IF($B828="","",COUNTIF($F828:$AJ828,"HA"))</f>
        <v/>
      </c>
      <c r="AN828" s="34" t="str">
        <f aca="false">IF($B828="","",COUNTIF($F828:$AJ828,"L"))</f>
        <v/>
      </c>
      <c r="AO828" s="34" t="str">
        <f aca="false">IF($B828="","",COUNTIF($F828:$AJ828,"PL"))</f>
        <v/>
      </c>
      <c r="AP828" s="34" t="str">
        <f aca="false">IF($B828="","",COUNTIF($F828:$AJ828,"CL"))</f>
        <v/>
      </c>
      <c r="AQ828" s="34" t="str">
        <f aca="false">IF($B828="","",COUNTIF($F828:$AJ828,"SL"))</f>
        <v/>
      </c>
      <c r="AR828" s="34" t="str">
        <f aca="false">IF($B828="","",COUNTIF($F828:$AJ828,"CO"))</f>
        <v/>
      </c>
      <c r="AS828" s="34" t="str">
        <f aca="false">IF($B828="","",COUNTIF($F828:$AJ828,"HPL"))</f>
        <v/>
      </c>
      <c r="AT828" s="34" t="str">
        <f aca="false">IF($B828="","",COUNTIF($F828:$AJ828,"HCL"))</f>
        <v/>
      </c>
      <c r="AU828" s="34" t="str">
        <f aca="false">IF($B828="","",COUNTIF($F828:$AJ828,"WO"))</f>
        <v/>
      </c>
      <c r="AV828" s="34" t="str">
        <f aca="false">IF($B828="","",COUNTIF($F828:$AJ828,"PH"))</f>
        <v/>
      </c>
      <c r="AW828" s="34" t="str">
        <f aca="false">IF($B828="","",COUNTIF($F828:$AJ828,"TR"))</f>
        <v/>
      </c>
      <c r="AX828" s="35" t="str">
        <f aca="false">IF($B828="","",AO828+AS828/2)</f>
        <v/>
      </c>
      <c r="AY828" s="35" t="str">
        <f aca="false">IF($B828="","",AQ828)</f>
        <v/>
      </c>
      <c r="AZ828" s="35" t="str">
        <f aca="false">IF($B828="","",AP828+AT828/2)</f>
        <v/>
      </c>
      <c r="BA828" s="35" t="str">
        <f aca="false">IF($B828="","",AK828+AN828+AM828/2+AO828+AP828+AQ828+AR828+AS828+AT828+AU828+AV828+AW828)</f>
        <v/>
      </c>
      <c r="BB828" s="35" t="str">
        <f aca="false">IF($B828="","",MAX(0,AN828-Settings!$C$16)*Settings!$C$17)</f>
        <v/>
      </c>
      <c r="BC828" s="35" t="str">
        <f aca="false">IF($B828="","",BA828-BB828)</f>
        <v/>
      </c>
      <c r="BD828" s="35" t="str">
        <f aca="false">IF(OR($B828="",$A828=""),"",DAY(EOMONTH($A828,0))-COUNTA($F828:$AJ828))</f>
        <v/>
      </c>
    </row>
    <row r="829" customFormat="false" ht="15" hidden="false" customHeight="false" outlineLevel="0" collapsed="false">
      <c r="A829" s="32"/>
      <c r="B829" s="29"/>
      <c r="C829" s="10" t="str">
        <f aca="false">IF($B829="","",IFERROR(INDEX(M_name,MATCH($B829,M_emp,0)),"Code not found"))</f>
        <v/>
      </c>
      <c r="D829" s="10" t="str">
        <f aca="false">IF($B829="","",IFERROR(INDEX(M_dept,MATCH($B829,M_emp,0)),""))</f>
        <v/>
      </c>
      <c r="E829" s="10" t="str">
        <f aca="false">IF($B829="","",IFERROR(INDEX(M_loc,MATCH($B829,M_emp,0)),""))</f>
        <v/>
      </c>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4" t="str">
        <f aca="false">IF($B829="","",COUNTIF($F829:$AJ829,"P"))</f>
        <v/>
      </c>
      <c r="AL829" s="34" t="str">
        <f aca="false">IF($B829="","",COUNTIF($F829:$AJ829,"A"))</f>
        <v/>
      </c>
      <c r="AM829" s="34" t="str">
        <f aca="false">IF($B829="","",COUNTIF($F829:$AJ829,"HA"))</f>
        <v/>
      </c>
      <c r="AN829" s="34" t="str">
        <f aca="false">IF($B829="","",COUNTIF($F829:$AJ829,"L"))</f>
        <v/>
      </c>
      <c r="AO829" s="34" t="str">
        <f aca="false">IF($B829="","",COUNTIF($F829:$AJ829,"PL"))</f>
        <v/>
      </c>
      <c r="AP829" s="34" t="str">
        <f aca="false">IF($B829="","",COUNTIF($F829:$AJ829,"CL"))</f>
        <v/>
      </c>
      <c r="AQ829" s="34" t="str">
        <f aca="false">IF($B829="","",COUNTIF($F829:$AJ829,"SL"))</f>
        <v/>
      </c>
      <c r="AR829" s="34" t="str">
        <f aca="false">IF($B829="","",COUNTIF($F829:$AJ829,"CO"))</f>
        <v/>
      </c>
      <c r="AS829" s="34" t="str">
        <f aca="false">IF($B829="","",COUNTIF($F829:$AJ829,"HPL"))</f>
        <v/>
      </c>
      <c r="AT829" s="34" t="str">
        <f aca="false">IF($B829="","",COUNTIF($F829:$AJ829,"HCL"))</f>
        <v/>
      </c>
      <c r="AU829" s="34" t="str">
        <f aca="false">IF($B829="","",COUNTIF($F829:$AJ829,"WO"))</f>
        <v/>
      </c>
      <c r="AV829" s="34" t="str">
        <f aca="false">IF($B829="","",COUNTIF($F829:$AJ829,"PH"))</f>
        <v/>
      </c>
      <c r="AW829" s="34" t="str">
        <f aca="false">IF($B829="","",COUNTIF($F829:$AJ829,"TR"))</f>
        <v/>
      </c>
      <c r="AX829" s="35" t="str">
        <f aca="false">IF($B829="","",AO829+AS829/2)</f>
        <v/>
      </c>
      <c r="AY829" s="35" t="str">
        <f aca="false">IF($B829="","",AQ829)</f>
        <v/>
      </c>
      <c r="AZ829" s="35" t="str">
        <f aca="false">IF($B829="","",AP829+AT829/2)</f>
        <v/>
      </c>
      <c r="BA829" s="35" t="str">
        <f aca="false">IF($B829="","",AK829+AN829+AM829/2+AO829+AP829+AQ829+AR829+AS829+AT829+AU829+AV829+AW829)</f>
        <v/>
      </c>
      <c r="BB829" s="35" t="str">
        <f aca="false">IF($B829="","",MAX(0,AN829-Settings!$C$16)*Settings!$C$17)</f>
        <v/>
      </c>
      <c r="BC829" s="35" t="str">
        <f aca="false">IF($B829="","",BA829-BB829)</f>
        <v/>
      </c>
      <c r="BD829" s="35" t="str">
        <f aca="false">IF(OR($B829="",$A829=""),"",DAY(EOMONTH($A829,0))-COUNTA($F829:$AJ829))</f>
        <v/>
      </c>
    </row>
    <row r="830" customFormat="false" ht="15" hidden="false" customHeight="false" outlineLevel="0" collapsed="false">
      <c r="A830" s="32"/>
      <c r="B830" s="29"/>
      <c r="C830" s="10" t="str">
        <f aca="false">IF($B830="","",IFERROR(INDEX(M_name,MATCH($B830,M_emp,0)),"Code not found"))</f>
        <v/>
      </c>
      <c r="D830" s="10" t="str">
        <f aca="false">IF($B830="","",IFERROR(INDEX(M_dept,MATCH($B830,M_emp,0)),""))</f>
        <v/>
      </c>
      <c r="E830" s="10" t="str">
        <f aca="false">IF($B830="","",IFERROR(INDEX(M_loc,MATCH($B830,M_emp,0)),""))</f>
        <v/>
      </c>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4" t="str">
        <f aca="false">IF($B830="","",COUNTIF($F830:$AJ830,"P"))</f>
        <v/>
      </c>
      <c r="AL830" s="34" t="str">
        <f aca="false">IF($B830="","",COUNTIF($F830:$AJ830,"A"))</f>
        <v/>
      </c>
      <c r="AM830" s="34" t="str">
        <f aca="false">IF($B830="","",COUNTIF($F830:$AJ830,"HA"))</f>
        <v/>
      </c>
      <c r="AN830" s="34" t="str">
        <f aca="false">IF($B830="","",COUNTIF($F830:$AJ830,"L"))</f>
        <v/>
      </c>
      <c r="AO830" s="34" t="str">
        <f aca="false">IF($B830="","",COUNTIF($F830:$AJ830,"PL"))</f>
        <v/>
      </c>
      <c r="AP830" s="34" t="str">
        <f aca="false">IF($B830="","",COUNTIF($F830:$AJ830,"CL"))</f>
        <v/>
      </c>
      <c r="AQ830" s="34" t="str">
        <f aca="false">IF($B830="","",COUNTIF($F830:$AJ830,"SL"))</f>
        <v/>
      </c>
      <c r="AR830" s="34" t="str">
        <f aca="false">IF($B830="","",COUNTIF($F830:$AJ830,"CO"))</f>
        <v/>
      </c>
      <c r="AS830" s="34" t="str">
        <f aca="false">IF($B830="","",COUNTIF($F830:$AJ830,"HPL"))</f>
        <v/>
      </c>
      <c r="AT830" s="34" t="str">
        <f aca="false">IF($B830="","",COUNTIF($F830:$AJ830,"HCL"))</f>
        <v/>
      </c>
      <c r="AU830" s="34" t="str">
        <f aca="false">IF($B830="","",COUNTIF($F830:$AJ830,"WO"))</f>
        <v/>
      </c>
      <c r="AV830" s="34" t="str">
        <f aca="false">IF($B830="","",COUNTIF($F830:$AJ830,"PH"))</f>
        <v/>
      </c>
      <c r="AW830" s="34" t="str">
        <f aca="false">IF($B830="","",COUNTIF($F830:$AJ830,"TR"))</f>
        <v/>
      </c>
      <c r="AX830" s="35" t="str">
        <f aca="false">IF($B830="","",AO830+AS830/2)</f>
        <v/>
      </c>
      <c r="AY830" s="35" t="str">
        <f aca="false">IF($B830="","",AQ830)</f>
        <v/>
      </c>
      <c r="AZ830" s="35" t="str">
        <f aca="false">IF($B830="","",AP830+AT830/2)</f>
        <v/>
      </c>
      <c r="BA830" s="35" t="str">
        <f aca="false">IF($B830="","",AK830+AN830+AM830/2+AO830+AP830+AQ830+AR830+AS830+AT830+AU830+AV830+AW830)</f>
        <v/>
      </c>
      <c r="BB830" s="35" t="str">
        <f aca="false">IF($B830="","",MAX(0,AN830-Settings!$C$16)*Settings!$C$17)</f>
        <v/>
      </c>
      <c r="BC830" s="35" t="str">
        <f aca="false">IF($B830="","",BA830-BB830)</f>
        <v/>
      </c>
      <c r="BD830" s="35" t="str">
        <f aca="false">IF(OR($B830="",$A830=""),"",DAY(EOMONTH($A830,0))-COUNTA($F830:$AJ830))</f>
        <v/>
      </c>
    </row>
    <row r="831" customFormat="false" ht="15" hidden="false" customHeight="false" outlineLevel="0" collapsed="false">
      <c r="A831" s="32"/>
      <c r="B831" s="29"/>
      <c r="C831" s="10" t="str">
        <f aca="false">IF($B831="","",IFERROR(INDEX(M_name,MATCH($B831,M_emp,0)),"Code not found"))</f>
        <v/>
      </c>
      <c r="D831" s="10" t="str">
        <f aca="false">IF($B831="","",IFERROR(INDEX(M_dept,MATCH($B831,M_emp,0)),""))</f>
        <v/>
      </c>
      <c r="E831" s="10" t="str">
        <f aca="false">IF($B831="","",IFERROR(INDEX(M_loc,MATCH($B831,M_emp,0)),""))</f>
        <v/>
      </c>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4" t="str">
        <f aca="false">IF($B831="","",COUNTIF($F831:$AJ831,"P"))</f>
        <v/>
      </c>
      <c r="AL831" s="34" t="str">
        <f aca="false">IF($B831="","",COUNTIF($F831:$AJ831,"A"))</f>
        <v/>
      </c>
      <c r="AM831" s="34" t="str">
        <f aca="false">IF($B831="","",COUNTIF($F831:$AJ831,"HA"))</f>
        <v/>
      </c>
      <c r="AN831" s="34" t="str">
        <f aca="false">IF($B831="","",COUNTIF($F831:$AJ831,"L"))</f>
        <v/>
      </c>
      <c r="AO831" s="34" t="str">
        <f aca="false">IF($B831="","",COUNTIF($F831:$AJ831,"PL"))</f>
        <v/>
      </c>
      <c r="AP831" s="34" t="str">
        <f aca="false">IF($B831="","",COUNTIF($F831:$AJ831,"CL"))</f>
        <v/>
      </c>
      <c r="AQ831" s="34" t="str">
        <f aca="false">IF($B831="","",COUNTIF($F831:$AJ831,"SL"))</f>
        <v/>
      </c>
      <c r="AR831" s="34" t="str">
        <f aca="false">IF($B831="","",COUNTIF($F831:$AJ831,"CO"))</f>
        <v/>
      </c>
      <c r="AS831" s="34" t="str">
        <f aca="false">IF($B831="","",COUNTIF($F831:$AJ831,"HPL"))</f>
        <v/>
      </c>
      <c r="AT831" s="34" t="str">
        <f aca="false">IF($B831="","",COUNTIF($F831:$AJ831,"HCL"))</f>
        <v/>
      </c>
      <c r="AU831" s="34" t="str">
        <f aca="false">IF($B831="","",COUNTIF($F831:$AJ831,"WO"))</f>
        <v/>
      </c>
      <c r="AV831" s="34" t="str">
        <f aca="false">IF($B831="","",COUNTIF($F831:$AJ831,"PH"))</f>
        <v/>
      </c>
      <c r="AW831" s="34" t="str">
        <f aca="false">IF($B831="","",COUNTIF($F831:$AJ831,"TR"))</f>
        <v/>
      </c>
      <c r="AX831" s="35" t="str">
        <f aca="false">IF($B831="","",AO831+AS831/2)</f>
        <v/>
      </c>
      <c r="AY831" s="35" t="str">
        <f aca="false">IF($B831="","",AQ831)</f>
        <v/>
      </c>
      <c r="AZ831" s="35" t="str">
        <f aca="false">IF($B831="","",AP831+AT831/2)</f>
        <v/>
      </c>
      <c r="BA831" s="35" t="str">
        <f aca="false">IF($B831="","",AK831+AN831+AM831/2+AO831+AP831+AQ831+AR831+AS831+AT831+AU831+AV831+AW831)</f>
        <v/>
      </c>
      <c r="BB831" s="35" t="str">
        <f aca="false">IF($B831="","",MAX(0,AN831-Settings!$C$16)*Settings!$C$17)</f>
        <v/>
      </c>
      <c r="BC831" s="35" t="str">
        <f aca="false">IF($B831="","",BA831-BB831)</f>
        <v/>
      </c>
      <c r="BD831" s="35" t="str">
        <f aca="false">IF(OR($B831="",$A831=""),"",DAY(EOMONTH($A831,0))-COUNTA($F831:$AJ831))</f>
        <v/>
      </c>
    </row>
    <row r="832" customFormat="false" ht="15" hidden="false" customHeight="false" outlineLevel="0" collapsed="false">
      <c r="A832" s="32"/>
      <c r="B832" s="29"/>
      <c r="C832" s="10" t="str">
        <f aca="false">IF($B832="","",IFERROR(INDEX(M_name,MATCH($B832,M_emp,0)),"Code not found"))</f>
        <v/>
      </c>
      <c r="D832" s="10" t="str">
        <f aca="false">IF($B832="","",IFERROR(INDEX(M_dept,MATCH($B832,M_emp,0)),""))</f>
        <v/>
      </c>
      <c r="E832" s="10" t="str">
        <f aca="false">IF($B832="","",IFERROR(INDEX(M_loc,MATCH($B832,M_emp,0)),""))</f>
        <v/>
      </c>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4" t="str">
        <f aca="false">IF($B832="","",COUNTIF($F832:$AJ832,"P"))</f>
        <v/>
      </c>
      <c r="AL832" s="34" t="str">
        <f aca="false">IF($B832="","",COUNTIF($F832:$AJ832,"A"))</f>
        <v/>
      </c>
      <c r="AM832" s="34" t="str">
        <f aca="false">IF($B832="","",COUNTIF($F832:$AJ832,"HA"))</f>
        <v/>
      </c>
      <c r="AN832" s="34" t="str">
        <f aca="false">IF($B832="","",COUNTIF($F832:$AJ832,"L"))</f>
        <v/>
      </c>
      <c r="AO832" s="34" t="str">
        <f aca="false">IF($B832="","",COUNTIF($F832:$AJ832,"PL"))</f>
        <v/>
      </c>
      <c r="AP832" s="34" t="str">
        <f aca="false">IF($B832="","",COUNTIF($F832:$AJ832,"CL"))</f>
        <v/>
      </c>
      <c r="AQ832" s="34" t="str">
        <f aca="false">IF($B832="","",COUNTIF($F832:$AJ832,"SL"))</f>
        <v/>
      </c>
      <c r="AR832" s="34" t="str">
        <f aca="false">IF($B832="","",COUNTIF($F832:$AJ832,"CO"))</f>
        <v/>
      </c>
      <c r="AS832" s="34" t="str">
        <f aca="false">IF($B832="","",COUNTIF($F832:$AJ832,"HPL"))</f>
        <v/>
      </c>
      <c r="AT832" s="34" t="str">
        <f aca="false">IF($B832="","",COUNTIF($F832:$AJ832,"HCL"))</f>
        <v/>
      </c>
      <c r="AU832" s="34" t="str">
        <f aca="false">IF($B832="","",COUNTIF($F832:$AJ832,"WO"))</f>
        <v/>
      </c>
      <c r="AV832" s="34" t="str">
        <f aca="false">IF($B832="","",COUNTIF($F832:$AJ832,"PH"))</f>
        <v/>
      </c>
      <c r="AW832" s="34" t="str">
        <f aca="false">IF($B832="","",COUNTIF($F832:$AJ832,"TR"))</f>
        <v/>
      </c>
      <c r="AX832" s="35" t="str">
        <f aca="false">IF($B832="","",AO832+AS832/2)</f>
        <v/>
      </c>
      <c r="AY832" s="35" t="str">
        <f aca="false">IF($B832="","",AQ832)</f>
        <v/>
      </c>
      <c r="AZ832" s="35" t="str">
        <f aca="false">IF($B832="","",AP832+AT832/2)</f>
        <v/>
      </c>
      <c r="BA832" s="35" t="str">
        <f aca="false">IF($B832="","",AK832+AN832+AM832/2+AO832+AP832+AQ832+AR832+AS832+AT832+AU832+AV832+AW832)</f>
        <v/>
      </c>
      <c r="BB832" s="35" t="str">
        <f aca="false">IF($B832="","",MAX(0,AN832-Settings!$C$16)*Settings!$C$17)</f>
        <v/>
      </c>
      <c r="BC832" s="35" t="str">
        <f aca="false">IF($B832="","",BA832-BB832)</f>
        <v/>
      </c>
      <c r="BD832" s="35" t="str">
        <f aca="false">IF(OR($B832="",$A832=""),"",DAY(EOMONTH($A832,0))-COUNTA($F832:$AJ832))</f>
        <v/>
      </c>
    </row>
    <row r="833" customFormat="false" ht="15" hidden="false" customHeight="false" outlineLevel="0" collapsed="false">
      <c r="A833" s="32"/>
      <c r="B833" s="29"/>
      <c r="C833" s="10" t="str">
        <f aca="false">IF($B833="","",IFERROR(INDEX(M_name,MATCH($B833,M_emp,0)),"Code not found"))</f>
        <v/>
      </c>
      <c r="D833" s="10" t="str">
        <f aca="false">IF($B833="","",IFERROR(INDEX(M_dept,MATCH($B833,M_emp,0)),""))</f>
        <v/>
      </c>
      <c r="E833" s="10" t="str">
        <f aca="false">IF($B833="","",IFERROR(INDEX(M_loc,MATCH($B833,M_emp,0)),""))</f>
        <v/>
      </c>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4" t="str">
        <f aca="false">IF($B833="","",COUNTIF($F833:$AJ833,"P"))</f>
        <v/>
      </c>
      <c r="AL833" s="34" t="str">
        <f aca="false">IF($B833="","",COUNTIF($F833:$AJ833,"A"))</f>
        <v/>
      </c>
      <c r="AM833" s="34" t="str">
        <f aca="false">IF($B833="","",COUNTIF($F833:$AJ833,"HA"))</f>
        <v/>
      </c>
      <c r="AN833" s="34" t="str">
        <f aca="false">IF($B833="","",COUNTIF($F833:$AJ833,"L"))</f>
        <v/>
      </c>
      <c r="AO833" s="34" t="str">
        <f aca="false">IF($B833="","",COUNTIF($F833:$AJ833,"PL"))</f>
        <v/>
      </c>
      <c r="AP833" s="34" t="str">
        <f aca="false">IF($B833="","",COUNTIF($F833:$AJ833,"CL"))</f>
        <v/>
      </c>
      <c r="AQ833" s="34" t="str">
        <f aca="false">IF($B833="","",COUNTIF($F833:$AJ833,"SL"))</f>
        <v/>
      </c>
      <c r="AR833" s="34" t="str">
        <f aca="false">IF($B833="","",COUNTIF($F833:$AJ833,"CO"))</f>
        <v/>
      </c>
      <c r="AS833" s="34" t="str">
        <f aca="false">IF($B833="","",COUNTIF($F833:$AJ833,"HPL"))</f>
        <v/>
      </c>
      <c r="AT833" s="34" t="str">
        <f aca="false">IF($B833="","",COUNTIF($F833:$AJ833,"HCL"))</f>
        <v/>
      </c>
      <c r="AU833" s="34" t="str">
        <f aca="false">IF($B833="","",COUNTIF($F833:$AJ833,"WO"))</f>
        <v/>
      </c>
      <c r="AV833" s="34" t="str">
        <f aca="false">IF($B833="","",COUNTIF($F833:$AJ833,"PH"))</f>
        <v/>
      </c>
      <c r="AW833" s="34" t="str">
        <f aca="false">IF($B833="","",COUNTIF($F833:$AJ833,"TR"))</f>
        <v/>
      </c>
      <c r="AX833" s="35" t="str">
        <f aca="false">IF($B833="","",AO833+AS833/2)</f>
        <v/>
      </c>
      <c r="AY833" s="35" t="str">
        <f aca="false">IF($B833="","",AQ833)</f>
        <v/>
      </c>
      <c r="AZ833" s="35" t="str">
        <f aca="false">IF($B833="","",AP833+AT833/2)</f>
        <v/>
      </c>
      <c r="BA833" s="35" t="str">
        <f aca="false">IF($B833="","",AK833+AN833+AM833/2+AO833+AP833+AQ833+AR833+AS833+AT833+AU833+AV833+AW833)</f>
        <v/>
      </c>
      <c r="BB833" s="35" t="str">
        <f aca="false">IF($B833="","",MAX(0,AN833-Settings!$C$16)*Settings!$C$17)</f>
        <v/>
      </c>
      <c r="BC833" s="35" t="str">
        <f aca="false">IF($B833="","",BA833-BB833)</f>
        <v/>
      </c>
      <c r="BD833" s="35" t="str">
        <f aca="false">IF(OR($B833="",$A833=""),"",DAY(EOMONTH($A833,0))-COUNTA($F833:$AJ833))</f>
        <v/>
      </c>
    </row>
    <row r="834" customFormat="false" ht="15" hidden="false" customHeight="false" outlineLevel="0" collapsed="false">
      <c r="A834" s="32"/>
      <c r="B834" s="29"/>
      <c r="C834" s="10" t="str">
        <f aca="false">IF($B834="","",IFERROR(INDEX(M_name,MATCH($B834,M_emp,0)),"Code not found"))</f>
        <v/>
      </c>
      <c r="D834" s="10" t="str">
        <f aca="false">IF($B834="","",IFERROR(INDEX(M_dept,MATCH($B834,M_emp,0)),""))</f>
        <v/>
      </c>
      <c r="E834" s="10" t="str">
        <f aca="false">IF($B834="","",IFERROR(INDEX(M_loc,MATCH($B834,M_emp,0)),""))</f>
        <v/>
      </c>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4" t="str">
        <f aca="false">IF($B834="","",COUNTIF($F834:$AJ834,"P"))</f>
        <v/>
      </c>
      <c r="AL834" s="34" t="str">
        <f aca="false">IF($B834="","",COUNTIF($F834:$AJ834,"A"))</f>
        <v/>
      </c>
      <c r="AM834" s="34" t="str">
        <f aca="false">IF($B834="","",COUNTIF($F834:$AJ834,"HA"))</f>
        <v/>
      </c>
      <c r="AN834" s="34" t="str">
        <f aca="false">IF($B834="","",COUNTIF($F834:$AJ834,"L"))</f>
        <v/>
      </c>
      <c r="AO834" s="34" t="str">
        <f aca="false">IF($B834="","",COUNTIF($F834:$AJ834,"PL"))</f>
        <v/>
      </c>
      <c r="AP834" s="34" t="str">
        <f aca="false">IF($B834="","",COUNTIF($F834:$AJ834,"CL"))</f>
        <v/>
      </c>
      <c r="AQ834" s="34" t="str">
        <f aca="false">IF($B834="","",COUNTIF($F834:$AJ834,"SL"))</f>
        <v/>
      </c>
      <c r="AR834" s="34" t="str">
        <f aca="false">IF($B834="","",COUNTIF($F834:$AJ834,"CO"))</f>
        <v/>
      </c>
      <c r="AS834" s="34" t="str">
        <f aca="false">IF($B834="","",COUNTIF($F834:$AJ834,"HPL"))</f>
        <v/>
      </c>
      <c r="AT834" s="34" t="str">
        <f aca="false">IF($B834="","",COUNTIF($F834:$AJ834,"HCL"))</f>
        <v/>
      </c>
      <c r="AU834" s="34" t="str">
        <f aca="false">IF($B834="","",COUNTIF($F834:$AJ834,"WO"))</f>
        <v/>
      </c>
      <c r="AV834" s="34" t="str">
        <f aca="false">IF($B834="","",COUNTIF($F834:$AJ834,"PH"))</f>
        <v/>
      </c>
      <c r="AW834" s="34" t="str">
        <f aca="false">IF($B834="","",COUNTIF($F834:$AJ834,"TR"))</f>
        <v/>
      </c>
      <c r="AX834" s="35" t="str">
        <f aca="false">IF($B834="","",AO834+AS834/2)</f>
        <v/>
      </c>
      <c r="AY834" s="35" t="str">
        <f aca="false">IF($B834="","",AQ834)</f>
        <v/>
      </c>
      <c r="AZ834" s="35" t="str">
        <f aca="false">IF($B834="","",AP834+AT834/2)</f>
        <v/>
      </c>
      <c r="BA834" s="35" t="str">
        <f aca="false">IF($B834="","",AK834+AN834+AM834/2+AO834+AP834+AQ834+AR834+AS834+AT834+AU834+AV834+AW834)</f>
        <v/>
      </c>
      <c r="BB834" s="35" t="str">
        <f aca="false">IF($B834="","",MAX(0,AN834-Settings!$C$16)*Settings!$C$17)</f>
        <v/>
      </c>
      <c r="BC834" s="35" t="str">
        <f aca="false">IF($B834="","",BA834-BB834)</f>
        <v/>
      </c>
      <c r="BD834" s="35" t="str">
        <f aca="false">IF(OR($B834="",$A834=""),"",DAY(EOMONTH($A834,0))-COUNTA($F834:$AJ834))</f>
        <v/>
      </c>
    </row>
    <row r="835" customFormat="false" ht="15" hidden="false" customHeight="false" outlineLevel="0" collapsed="false">
      <c r="A835" s="32"/>
      <c r="B835" s="29"/>
      <c r="C835" s="10" t="str">
        <f aca="false">IF($B835="","",IFERROR(INDEX(M_name,MATCH($B835,M_emp,0)),"Code not found"))</f>
        <v/>
      </c>
      <c r="D835" s="10" t="str">
        <f aca="false">IF($B835="","",IFERROR(INDEX(M_dept,MATCH($B835,M_emp,0)),""))</f>
        <v/>
      </c>
      <c r="E835" s="10" t="str">
        <f aca="false">IF($B835="","",IFERROR(INDEX(M_loc,MATCH($B835,M_emp,0)),""))</f>
        <v/>
      </c>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4" t="str">
        <f aca="false">IF($B835="","",COUNTIF($F835:$AJ835,"P"))</f>
        <v/>
      </c>
      <c r="AL835" s="34" t="str">
        <f aca="false">IF($B835="","",COUNTIF($F835:$AJ835,"A"))</f>
        <v/>
      </c>
      <c r="AM835" s="34" t="str">
        <f aca="false">IF($B835="","",COUNTIF($F835:$AJ835,"HA"))</f>
        <v/>
      </c>
      <c r="AN835" s="34" t="str">
        <f aca="false">IF($B835="","",COUNTIF($F835:$AJ835,"L"))</f>
        <v/>
      </c>
      <c r="AO835" s="34" t="str">
        <f aca="false">IF($B835="","",COUNTIF($F835:$AJ835,"PL"))</f>
        <v/>
      </c>
      <c r="AP835" s="34" t="str">
        <f aca="false">IF($B835="","",COUNTIF($F835:$AJ835,"CL"))</f>
        <v/>
      </c>
      <c r="AQ835" s="34" t="str">
        <f aca="false">IF($B835="","",COUNTIF($F835:$AJ835,"SL"))</f>
        <v/>
      </c>
      <c r="AR835" s="34" t="str">
        <f aca="false">IF($B835="","",COUNTIF($F835:$AJ835,"CO"))</f>
        <v/>
      </c>
      <c r="AS835" s="34" t="str">
        <f aca="false">IF($B835="","",COUNTIF($F835:$AJ835,"HPL"))</f>
        <v/>
      </c>
      <c r="AT835" s="34" t="str">
        <f aca="false">IF($B835="","",COUNTIF($F835:$AJ835,"HCL"))</f>
        <v/>
      </c>
      <c r="AU835" s="34" t="str">
        <f aca="false">IF($B835="","",COUNTIF($F835:$AJ835,"WO"))</f>
        <v/>
      </c>
      <c r="AV835" s="34" t="str">
        <f aca="false">IF($B835="","",COUNTIF($F835:$AJ835,"PH"))</f>
        <v/>
      </c>
      <c r="AW835" s="34" t="str">
        <f aca="false">IF($B835="","",COUNTIF($F835:$AJ835,"TR"))</f>
        <v/>
      </c>
      <c r="AX835" s="35" t="str">
        <f aca="false">IF($B835="","",AO835+AS835/2)</f>
        <v/>
      </c>
      <c r="AY835" s="35" t="str">
        <f aca="false">IF($B835="","",AQ835)</f>
        <v/>
      </c>
      <c r="AZ835" s="35" t="str">
        <f aca="false">IF($B835="","",AP835+AT835/2)</f>
        <v/>
      </c>
      <c r="BA835" s="35" t="str">
        <f aca="false">IF($B835="","",AK835+AN835+AM835/2+AO835+AP835+AQ835+AR835+AS835+AT835+AU835+AV835+AW835)</f>
        <v/>
      </c>
      <c r="BB835" s="35" t="str">
        <f aca="false">IF($B835="","",MAX(0,AN835-Settings!$C$16)*Settings!$C$17)</f>
        <v/>
      </c>
      <c r="BC835" s="35" t="str">
        <f aca="false">IF($B835="","",BA835-BB835)</f>
        <v/>
      </c>
      <c r="BD835" s="35" t="str">
        <f aca="false">IF(OR($B835="",$A835=""),"",DAY(EOMONTH($A835,0))-COUNTA($F835:$AJ835))</f>
        <v/>
      </c>
    </row>
    <row r="836" customFormat="false" ht="15" hidden="false" customHeight="false" outlineLevel="0" collapsed="false">
      <c r="A836" s="32"/>
      <c r="B836" s="29"/>
      <c r="C836" s="10" t="str">
        <f aca="false">IF($B836="","",IFERROR(INDEX(M_name,MATCH($B836,M_emp,0)),"Code not found"))</f>
        <v/>
      </c>
      <c r="D836" s="10" t="str">
        <f aca="false">IF($B836="","",IFERROR(INDEX(M_dept,MATCH($B836,M_emp,0)),""))</f>
        <v/>
      </c>
      <c r="E836" s="10" t="str">
        <f aca="false">IF($B836="","",IFERROR(INDEX(M_loc,MATCH($B836,M_emp,0)),""))</f>
        <v/>
      </c>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4" t="str">
        <f aca="false">IF($B836="","",COUNTIF($F836:$AJ836,"P"))</f>
        <v/>
      </c>
      <c r="AL836" s="34" t="str">
        <f aca="false">IF($B836="","",COUNTIF($F836:$AJ836,"A"))</f>
        <v/>
      </c>
      <c r="AM836" s="34" t="str">
        <f aca="false">IF($B836="","",COUNTIF($F836:$AJ836,"HA"))</f>
        <v/>
      </c>
      <c r="AN836" s="34" t="str">
        <f aca="false">IF($B836="","",COUNTIF($F836:$AJ836,"L"))</f>
        <v/>
      </c>
      <c r="AO836" s="34" t="str">
        <f aca="false">IF($B836="","",COUNTIF($F836:$AJ836,"PL"))</f>
        <v/>
      </c>
      <c r="AP836" s="34" t="str">
        <f aca="false">IF($B836="","",COUNTIF($F836:$AJ836,"CL"))</f>
        <v/>
      </c>
      <c r="AQ836" s="34" t="str">
        <f aca="false">IF($B836="","",COUNTIF($F836:$AJ836,"SL"))</f>
        <v/>
      </c>
      <c r="AR836" s="34" t="str">
        <f aca="false">IF($B836="","",COUNTIF($F836:$AJ836,"CO"))</f>
        <v/>
      </c>
      <c r="AS836" s="34" t="str">
        <f aca="false">IF($B836="","",COUNTIF($F836:$AJ836,"HPL"))</f>
        <v/>
      </c>
      <c r="AT836" s="34" t="str">
        <f aca="false">IF($B836="","",COUNTIF($F836:$AJ836,"HCL"))</f>
        <v/>
      </c>
      <c r="AU836" s="34" t="str">
        <f aca="false">IF($B836="","",COUNTIF($F836:$AJ836,"WO"))</f>
        <v/>
      </c>
      <c r="AV836" s="34" t="str">
        <f aca="false">IF($B836="","",COUNTIF($F836:$AJ836,"PH"))</f>
        <v/>
      </c>
      <c r="AW836" s="34" t="str">
        <f aca="false">IF($B836="","",COUNTIF($F836:$AJ836,"TR"))</f>
        <v/>
      </c>
      <c r="AX836" s="35" t="str">
        <f aca="false">IF($B836="","",AO836+AS836/2)</f>
        <v/>
      </c>
      <c r="AY836" s="35" t="str">
        <f aca="false">IF($B836="","",AQ836)</f>
        <v/>
      </c>
      <c r="AZ836" s="35" t="str">
        <f aca="false">IF($B836="","",AP836+AT836/2)</f>
        <v/>
      </c>
      <c r="BA836" s="35" t="str">
        <f aca="false">IF($B836="","",AK836+AN836+AM836/2+AO836+AP836+AQ836+AR836+AS836+AT836+AU836+AV836+AW836)</f>
        <v/>
      </c>
      <c r="BB836" s="35" t="str">
        <f aca="false">IF($B836="","",MAX(0,AN836-Settings!$C$16)*Settings!$C$17)</f>
        <v/>
      </c>
      <c r="BC836" s="35" t="str">
        <f aca="false">IF($B836="","",BA836-BB836)</f>
        <v/>
      </c>
      <c r="BD836" s="35" t="str">
        <f aca="false">IF(OR($B836="",$A836=""),"",DAY(EOMONTH($A836,0))-COUNTA($F836:$AJ836))</f>
        <v/>
      </c>
    </row>
    <row r="837" customFormat="false" ht="15" hidden="false" customHeight="false" outlineLevel="0" collapsed="false">
      <c r="A837" s="32"/>
      <c r="B837" s="29"/>
      <c r="C837" s="10" t="str">
        <f aca="false">IF($B837="","",IFERROR(INDEX(M_name,MATCH($B837,M_emp,0)),"Code not found"))</f>
        <v/>
      </c>
      <c r="D837" s="10" t="str">
        <f aca="false">IF($B837="","",IFERROR(INDEX(M_dept,MATCH($B837,M_emp,0)),""))</f>
        <v/>
      </c>
      <c r="E837" s="10" t="str">
        <f aca="false">IF($B837="","",IFERROR(INDEX(M_loc,MATCH($B837,M_emp,0)),""))</f>
        <v/>
      </c>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4" t="str">
        <f aca="false">IF($B837="","",COUNTIF($F837:$AJ837,"P"))</f>
        <v/>
      </c>
      <c r="AL837" s="34" t="str">
        <f aca="false">IF($B837="","",COUNTIF($F837:$AJ837,"A"))</f>
        <v/>
      </c>
      <c r="AM837" s="34" t="str">
        <f aca="false">IF($B837="","",COUNTIF($F837:$AJ837,"HA"))</f>
        <v/>
      </c>
      <c r="AN837" s="34" t="str">
        <f aca="false">IF($B837="","",COUNTIF($F837:$AJ837,"L"))</f>
        <v/>
      </c>
      <c r="AO837" s="34" t="str">
        <f aca="false">IF($B837="","",COUNTIF($F837:$AJ837,"PL"))</f>
        <v/>
      </c>
      <c r="AP837" s="34" t="str">
        <f aca="false">IF($B837="","",COUNTIF($F837:$AJ837,"CL"))</f>
        <v/>
      </c>
      <c r="AQ837" s="34" t="str">
        <f aca="false">IF($B837="","",COUNTIF($F837:$AJ837,"SL"))</f>
        <v/>
      </c>
      <c r="AR837" s="34" t="str">
        <f aca="false">IF($B837="","",COUNTIF($F837:$AJ837,"CO"))</f>
        <v/>
      </c>
      <c r="AS837" s="34" t="str">
        <f aca="false">IF($B837="","",COUNTIF($F837:$AJ837,"HPL"))</f>
        <v/>
      </c>
      <c r="AT837" s="34" t="str">
        <f aca="false">IF($B837="","",COUNTIF($F837:$AJ837,"HCL"))</f>
        <v/>
      </c>
      <c r="AU837" s="34" t="str">
        <f aca="false">IF($B837="","",COUNTIF($F837:$AJ837,"WO"))</f>
        <v/>
      </c>
      <c r="AV837" s="34" t="str">
        <f aca="false">IF($B837="","",COUNTIF($F837:$AJ837,"PH"))</f>
        <v/>
      </c>
      <c r="AW837" s="34" t="str">
        <f aca="false">IF($B837="","",COUNTIF($F837:$AJ837,"TR"))</f>
        <v/>
      </c>
      <c r="AX837" s="35" t="str">
        <f aca="false">IF($B837="","",AO837+AS837/2)</f>
        <v/>
      </c>
      <c r="AY837" s="35" t="str">
        <f aca="false">IF($B837="","",AQ837)</f>
        <v/>
      </c>
      <c r="AZ837" s="35" t="str">
        <f aca="false">IF($B837="","",AP837+AT837/2)</f>
        <v/>
      </c>
      <c r="BA837" s="35" t="str">
        <f aca="false">IF($B837="","",AK837+AN837+AM837/2+AO837+AP837+AQ837+AR837+AS837+AT837+AU837+AV837+AW837)</f>
        <v/>
      </c>
      <c r="BB837" s="35" t="str">
        <f aca="false">IF($B837="","",MAX(0,AN837-Settings!$C$16)*Settings!$C$17)</f>
        <v/>
      </c>
      <c r="BC837" s="35" t="str">
        <f aca="false">IF($B837="","",BA837-BB837)</f>
        <v/>
      </c>
      <c r="BD837" s="35" t="str">
        <f aca="false">IF(OR($B837="",$A837=""),"",DAY(EOMONTH($A837,0))-COUNTA($F837:$AJ837))</f>
        <v/>
      </c>
    </row>
    <row r="838" customFormat="false" ht="15" hidden="false" customHeight="false" outlineLevel="0" collapsed="false">
      <c r="A838" s="32"/>
      <c r="B838" s="29"/>
      <c r="C838" s="10" t="str">
        <f aca="false">IF($B838="","",IFERROR(INDEX(M_name,MATCH($B838,M_emp,0)),"Code not found"))</f>
        <v/>
      </c>
      <c r="D838" s="10" t="str">
        <f aca="false">IF($B838="","",IFERROR(INDEX(M_dept,MATCH($B838,M_emp,0)),""))</f>
        <v/>
      </c>
      <c r="E838" s="10" t="str">
        <f aca="false">IF($B838="","",IFERROR(INDEX(M_loc,MATCH($B838,M_emp,0)),""))</f>
        <v/>
      </c>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4" t="str">
        <f aca="false">IF($B838="","",COUNTIF($F838:$AJ838,"P"))</f>
        <v/>
      </c>
      <c r="AL838" s="34" t="str">
        <f aca="false">IF($B838="","",COUNTIF($F838:$AJ838,"A"))</f>
        <v/>
      </c>
      <c r="AM838" s="34" t="str">
        <f aca="false">IF($B838="","",COUNTIF($F838:$AJ838,"HA"))</f>
        <v/>
      </c>
      <c r="AN838" s="34" t="str">
        <f aca="false">IF($B838="","",COUNTIF($F838:$AJ838,"L"))</f>
        <v/>
      </c>
      <c r="AO838" s="34" t="str">
        <f aca="false">IF($B838="","",COUNTIF($F838:$AJ838,"PL"))</f>
        <v/>
      </c>
      <c r="AP838" s="34" t="str">
        <f aca="false">IF($B838="","",COUNTIF($F838:$AJ838,"CL"))</f>
        <v/>
      </c>
      <c r="AQ838" s="34" t="str">
        <f aca="false">IF($B838="","",COUNTIF($F838:$AJ838,"SL"))</f>
        <v/>
      </c>
      <c r="AR838" s="34" t="str">
        <f aca="false">IF($B838="","",COUNTIF($F838:$AJ838,"CO"))</f>
        <v/>
      </c>
      <c r="AS838" s="34" t="str">
        <f aca="false">IF($B838="","",COUNTIF($F838:$AJ838,"HPL"))</f>
        <v/>
      </c>
      <c r="AT838" s="34" t="str">
        <f aca="false">IF($B838="","",COUNTIF($F838:$AJ838,"HCL"))</f>
        <v/>
      </c>
      <c r="AU838" s="34" t="str">
        <f aca="false">IF($B838="","",COUNTIF($F838:$AJ838,"WO"))</f>
        <v/>
      </c>
      <c r="AV838" s="34" t="str">
        <f aca="false">IF($B838="","",COUNTIF($F838:$AJ838,"PH"))</f>
        <v/>
      </c>
      <c r="AW838" s="34" t="str">
        <f aca="false">IF($B838="","",COUNTIF($F838:$AJ838,"TR"))</f>
        <v/>
      </c>
      <c r="AX838" s="35" t="str">
        <f aca="false">IF($B838="","",AO838+AS838/2)</f>
        <v/>
      </c>
      <c r="AY838" s="35" t="str">
        <f aca="false">IF($B838="","",AQ838)</f>
        <v/>
      </c>
      <c r="AZ838" s="35" t="str">
        <f aca="false">IF($B838="","",AP838+AT838/2)</f>
        <v/>
      </c>
      <c r="BA838" s="35" t="str">
        <f aca="false">IF($B838="","",AK838+AN838+AM838/2+AO838+AP838+AQ838+AR838+AS838+AT838+AU838+AV838+AW838)</f>
        <v/>
      </c>
      <c r="BB838" s="35" t="str">
        <f aca="false">IF($B838="","",MAX(0,AN838-Settings!$C$16)*Settings!$C$17)</f>
        <v/>
      </c>
      <c r="BC838" s="35" t="str">
        <f aca="false">IF($B838="","",BA838-BB838)</f>
        <v/>
      </c>
      <c r="BD838" s="35" t="str">
        <f aca="false">IF(OR($B838="",$A838=""),"",DAY(EOMONTH($A838,0))-COUNTA($F838:$AJ838))</f>
        <v/>
      </c>
    </row>
    <row r="839" customFormat="false" ht="15" hidden="false" customHeight="false" outlineLevel="0" collapsed="false">
      <c r="A839" s="32"/>
      <c r="B839" s="29"/>
      <c r="C839" s="10" t="str">
        <f aca="false">IF($B839="","",IFERROR(INDEX(M_name,MATCH($B839,M_emp,0)),"Code not found"))</f>
        <v/>
      </c>
      <c r="D839" s="10" t="str">
        <f aca="false">IF($B839="","",IFERROR(INDEX(M_dept,MATCH($B839,M_emp,0)),""))</f>
        <v/>
      </c>
      <c r="E839" s="10" t="str">
        <f aca="false">IF($B839="","",IFERROR(INDEX(M_loc,MATCH($B839,M_emp,0)),""))</f>
        <v/>
      </c>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4" t="str">
        <f aca="false">IF($B839="","",COUNTIF($F839:$AJ839,"P"))</f>
        <v/>
      </c>
      <c r="AL839" s="34" t="str">
        <f aca="false">IF($B839="","",COUNTIF($F839:$AJ839,"A"))</f>
        <v/>
      </c>
      <c r="AM839" s="34" t="str">
        <f aca="false">IF($B839="","",COUNTIF($F839:$AJ839,"HA"))</f>
        <v/>
      </c>
      <c r="AN839" s="34" t="str">
        <f aca="false">IF($B839="","",COUNTIF($F839:$AJ839,"L"))</f>
        <v/>
      </c>
      <c r="AO839" s="34" t="str">
        <f aca="false">IF($B839="","",COUNTIF($F839:$AJ839,"PL"))</f>
        <v/>
      </c>
      <c r="AP839" s="34" t="str">
        <f aca="false">IF($B839="","",COUNTIF($F839:$AJ839,"CL"))</f>
        <v/>
      </c>
      <c r="AQ839" s="34" t="str">
        <f aca="false">IF($B839="","",COUNTIF($F839:$AJ839,"SL"))</f>
        <v/>
      </c>
      <c r="AR839" s="34" t="str">
        <f aca="false">IF($B839="","",COUNTIF($F839:$AJ839,"CO"))</f>
        <v/>
      </c>
      <c r="AS839" s="34" t="str">
        <f aca="false">IF($B839="","",COUNTIF($F839:$AJ839,"HPL"))</f>
        <v/>
      </c>
      <c r="AT839" s="34" t="str">
        <f aca="false">IF($B839="","",COUNTIF($F839:$AJ839,"HCL"))</f>
        <v/>
      </c>
      <c r="AU839" s="34" t="str">
        <f aca="false">IF($B839="","",COUNTIF($F839:$AJ839,"WO"))</f>
        <v/>
      </c>
      <c r="AV839" s="34" t="str">
        <f aca="false">IF($B839="","",COUNTIF($F839:$AJ839,"PH"))</f>
        <v/>
      </c>
      <c r="AW839" s="34" t="str">
        <f aca="false">IF($B839="","",COUNTIF($F839:$AJ839,"TR"))</f>
        <v/>
      </c>
      <c r="AX839" s="35" t="str">
        <f aca="false">IF($B839="","",AO839+AS839/2)</f>
        <v/>
      </c>
      <c r="AY839" s="35" t="str">
        <f aca="false">IF($B839="","",AQ839)</f>
        <v/>
      </c>
      <c r="AZ839" s="35" t="str">
        <f aca="false">IF($B839="","",AP839+AT839/2)</f>
        <v/>
      </c>
      <c r="BA839" s="35" t="str">
        <f aca="false">IF($B839="","",AK839+AN839+AM839/2+AO839+AP839+AQ839+AR839+AS839+AT839+AU839+AV839+AW839)</f>
        <v/>
      </c>
      <c r="BB839" s="35" t="str">
        <f aca="false">IF($B839="","",MAX(0,AN839-Settings!$C$16)*Settings!$C$17)</f>
        <v/>
      </c>
      <c r="BC839" s="35" t="str">
        <f aca="false">IF($B839="","",BA839-BB839)</f>
        <v/>
      </c>
      <c r="BD839" s="35" t="str">
        <f aca="false">IF(OR($B839="",$A839=""),"",DAY(EOMONTH($A839,0))-COUNTA($F839:$AJ839))</f>
        <v/>
      </c>
    </row>
    <row r="840" customFormat="false" ht="15" hidden="false" customHeight="false" outlineLevel="0" collapsed="false">
      <c r="A840" s="32"/>
      <c r="B840" s="29"/>
      <c r="C840" s="10" t="str">
        <f aca="false">IF($B840="","",IFERROR(INDEX(M_name,MATCH($B840,M_emp,0)),"Code not found"))</f>
        <v/>
      </c>
      <c r="D840" s="10" t="str">
        <f aca="false">IF($B840="","",IFERROR(INDEX(M_dept,MATCH($B840,M_emp,0)),""))</f>
        <v/>
      </c>
      <c r="E840" s="10" t="str">
        <f aca="false">IF($B840="","",IFERROR(INDEX(M_loc,MATCH($B840,M_emp,0)),""))</f>
        <v/>
      </c>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4" t="str">
        <f aca="false">IF($B840="","",COUNTIF($F840:$AJ840,"P"))</f>
        <v/>
      </c>
      <c r="AL840" s="34" t="str">
        <f aca="false">IF($B840="","",COUNTIF($F840:$AJ840,"A"))</f>
        <v/>
      </c>
      <c r="AM840" s="34" t="str">
        <f aca="false">IF($B840="","",COUNTIF($F840:$AJ840,"HA"))</f>
        <v/>
      </c>
      <c r="AN840" s="34" t="str">
        <f aca="false">IF($B840="","",COUNTIF($F840:$AJ840,"L"))</f>
        <v/>
      </c>
      <c r="AO840" s="34" t="str">
        <f aca="false">IF($B840="","",COUNTIF($F840:$AJ840,"PL"))</f>
        <v/>
      </c>
      <c r="AP840" s="34" t="str">
        <f aca="false">IF($B840="","",COUNTIF($F840:$AJ840,"CL"))</f>
        <v/>
      </c>
      <c r="AQ840" s="34" t="str">
        <f aca="false">IF($B840="","",COUNTIF($F840:$AJ840,"SL"))</f>
        <v/>
      </c>
      <c r="AR840" s="34" t="str">
        <f aca="false">IF($B840="","",COUNTIF($F840:$AJ840,"CO"))</f>
        <v/>
      </c>
      <c r="AS840" s="34" t="str">
        <f aca="false">IF($B840="","",COUNTIF($F840:$AJ840,"HPL"))</f>
        <v/>
      </c>
      <c r="AT840" s="34" t="str">
        <f aca="false">IF($B840="","",COUNTIF($F840:$AJ840,"HCL"))</f>
        <v/>
      </c>
      <c r="AU840" s="34" t="str">
        <f aca="false">IF($B840="","",COUNTIF($F840:$AJ840,"WO"))</f>
        <v/>
      </c>
      <c r="AV840" s="34" t="str">
        <f aca="false">IF($B840="","",COUNTIF($F840:$AJ840,"PH"))</f>
        <v/>
      </c>
      <c r="AW840" s="34" t="str">
        <f aca="false">IF($B840="","",COUNTIF($F840:$AJ840,"TR"))</f>
        <v/>
      </c>
      <c r="AX840" s="35" t="str">
        <f aca="false">IF($B840="","",AO840+AS840/2)</f>
        <v/>
      </c>
      <c r="AY840" s="35" t="str">
        <f aca="false">IF($B840="","",AQ840)</f>
        <v/>
      </c>
      <c r="AZ840" s="35" t="str">
        <f aca="false">IF($B840="","",AP840+AT840/2)</f>
        <v/>
      </c>
      <c r="BA840" s="35" t="str">
        <f aca="false">IF($B840="","",AK840+AN840+AM840/2+AO840+AP840+AQ840+AR840+AS840+AT840+AU840+AV840+AW840)</f>
        <v/>
      </c>
      <c r="BB840" s="35" t="str">
        <f aca="false">IF($B840="","",MAX(0,AN840-Settings!$C$16)*Settings!$C$17)</f>
        <v/>
      </c>
      <c r="BC840" s="35" t="str">
        <f aca="false">IF($B840="","",BA840-BB840)</f>
        <v/>
      </c>
      <c r="BD840" s="35" t="str">
        <f aca="false">IF(OR($B840="",$A840=""),"",DAY(EOMONTH($A840,0))-COUNTA($F840:$AJ840))</f>
        <v/>
      </c>
    </row>
    <row r="841" customFormat="false" ht="15" hidden="false" customHeight="false" outlineLevel="0" collapsed="false">
      <c r="A841" s="32"/>
      <c r="B841" s="29"/>
      <c r="C841" s="10" t="str">
        <f aca="false">IF($B841="","",IFERROR(INDEX(M_name,MATCH($B841,M_emp,0)),"Code not found"))</f>
        <v/>
      </c>
      <c r="D841" s="10" t="str">
        <f aca="false">IF($B841="","",IFERROR(INDEX(M_dept,MATCH($B841,M_emp,0)),""))</f>
        <v/>
      </c>
      <c r="E841" s="10" t="str">
        <f aca="false">IF($B841="","",IFERROR(INDEX(M_loc,MATCH($B841,M_emp,0)),""))</f>
        <v/>
      </c>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4" t="str">
        <f aca="false">IF($B841="","",COUNTIF($F841:$AJ841,"P"))</f>
        <v/>
      </c>
      <c r="AL841" s="34" t="str">
        <f aca="false">IF($B841="","",COUNTIF($F841:$AJ841,"A"))</f>
        <v/>
      </c>
      <c r="AM841" s="34" t="str">
        <f aca="false">IF($B841="","",COUNTIF($F841:$AJ841,"HA"))</f>
        <v/>
      </c>
      <c r="AN841" s="34" t="str">
        <f aca="false">IF($B841="","",COUNTIF($F841:$AJ841,"L"))</f>
        <v/>
      </c>
      <c r="AO841" s="34" t="str">
        <f aca="false">IF($B841="","",COUNTIF($F841:$AJ841,"PL"))</f>
        <v/>
      </c>
      <c r="AP841" s="34" t="str">
        <f aca="false">IF($B841="","",COUNTIF($F841:$AJ841,"CL"))</f>
        <v/>
      </c>
      <c r="AQ841" s="34" t="str">
        <f aca="false">IF($B841="","",COUNTIF($F841:$AJ841,"SL"))</f>
        <v/>
      </c>
      <c r="AR841" s="34" t="str">
        <f aca="false">IF($B841="","",COUNTIF($F841:$AJ841,"CO"))</f>
        <v/>
      </c>
      <c r="AS841" s="34" t="str">
        <f aca="false">IF($B841="","",COUNTIF($F841:$AJ841,"HPL"))</f>
        <v/>
      </c>
      <c r="AT841" s="34" t="str">
        <f aca="false">IF($B841="","",COUNTIF($F841:$AJ841,"HCL"))</f>
        <v/>
      </c>
      <c r="AU841" s="34" t="str">
        <f aca="false">IF($B841="","",COUNTIF($F841:$AJ841,"WO"))</f>
        <v/>
      </c>
      <c r="AV841" s="34" t="str">
        <f aca="false">IF($B841="","",COUNTIF($F841:$AJ841,"PH"))</f>
        <v/>
      </c>
      <c r="AW841" s="34" t="str">
        <f aca="false">IF($B841="","",COUNTIF($F841:$AJ841,"TR"))</f>
        <v/>
      </c>
      <c r="AX841" s="35" t="str">
        <f aca="false">IF($B841="","",AO841+AS841/2)</f>
        <v/>
      </c>
      <c r="AY841" s="35" t="str">
        <f aca="false">IF($B841="","",AQ841)</f>
        <v/>
      </c>
      <c r="AZ841" s="35" t="str">
        <f aca="false">IF($B841="","",AP841+AT841/2)</f>
        <v/>
      </c>
      <c r="BA841" s="35" t="str">
        <f aca="false">IF($B841="","",AK841+AN841+AM841/2+AO841+AP841+AQ841+AR841+AS841+AT841+AU841+AV841+AW841)</f>
        <v/>
      </c>
      <c r="BB841" s="35" t="str">
        <f aca="false">IF($B841="","",MAX(0,AN841-Settings!$C$16)*Settings!$C$17)</f>
        <v/>
      </c>
      <c r="BC841" s="35" t="str">
        <f aca="false">IF($B841="","",BA841-BB841)</f>
        <v/>
      </c>
      <c r="BD841" s="35" t="str">
        <f aca="false">IF(OR($B841="",$A841=""),"",DAY(EOMONTH($A841,0))-COUNTA($F841:$AJ841))</f>
        <v/>
      </c>
    </row>
    <row r="842" customFormat="false" ht="15" hidden="false" customHeight="false" outlineLevel="0" collapsed="false">
      <c r="A842" s="32"/>
      <c r="B842" s="29"/>
      <c r="C842" s="10" t="str">
        <f aca="false">IF($B842="","",IFERROR(INDEX(M_name,MATCH($B842,M_emp,0)),"Code not found"))</f>
        <v/>
      </c>
      <c r="D842" s="10" t="str">
        <f aca="false">IF($B842="","",IFERROR(INDEX(M_dept,MATCH($B842,M_emp,0)),""))</f>
        <v/>
      </c>
      <c r="E842" s="10" t="str">
        <f aca="false">IF($B842="","",IFERROR(INDEX(M_loc,MATCH($B842,M_emp,0)),""))</f>
        <v/>
      </c>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4" t="str">
        <f aca="false">IF($B842="","",COUNTIF($F842:$AJ842,"P"))</f>
        <v/>
      </c>
      <c r="AL842" s="34" t="str">
        <f aca="false">IF($B842="","",COUNTIF($F842:$AJ842,"A"))</f>
        <v/>
      </c>
      <c r="AM842" s="34" t="str">
        <f aca="false">IF($B842="","",COUNTIF($F842:$AJ842,"HA"))</f>
        <v/>
      </c>
      <c r="AN842" s="34" t="str">
        <f aca="false">IF($B842="","",COUNTIF($F842:$AJ842,"L"))</f>
        <v/>
      </c>
      <c r="AO842" s="34" t="str">
        <f aca="false">IF($B842="","",COUNTIF($F842:$AJ842,"PL"))</f>
        <v/>
      </c>
      <c r="AP842" s="34" t="str">
        <f aca="false">IF($B842="","",COUNTIF($F842:$AJ842,"CL"))</f>
        <v/>
      </c>
      <c r="AQ842" s="34" t="str">
        <f aca="false">IF($B842="","",COUNTIF($F842:$AJ842,"SL"))</f>
        <v/>
      </c>
      <c r="AR842" s="34" t="str">
        <f aca="false">IF($B842="","",COUNTIF($F842:$AJ842,"CO"))</f>
        <v/>
      </c>
      <c r="AS842" s="34" t="str">
        <f aca="false">IF($B842="","",COUNTIF($F842:$AJ842,"HPL"))</f>
        <v/>
      </c>
      <c r="AT842" s="34" t="str">
        <f aca="false">IF($B842="","",COUNTIF($F842:$AJ842,"HCL"))</f>
        <v/>
      </c>
      <c r="AU842" s="34" t="str">
        <f aca="false">IF($B842="","",COUNTIF($F842:$AJ842,"WO"))</f>
        <v/>
      </c>
      <c r="AV842" s="34" t="str">
        <f aca="false">IF($B842="","",COUNTIF($F842:$AJ842,"PH"))</f>
        <v/>
      </c>
      <c r="AW842" s="34" t="str">
        <f aca="false">IF($B842="","",COUNTIF($F842:$AJ842,"TR"))</f>
        <v/>
      </c>
      <c r="AX842" s="35" t="str">
        <f aca="false">IF($B842="","",AO842+AS842/2)</f>
        <v/>
      </c>
      <c r="AY842" s="35" t="str">
        <f aca="false">IF($B842="","",AQ842)</f>
        <v/>
      </c>
      <c r="AZ842" s="35" t="str">
        <f aca="false">IF($B842="","",AP842+AT842/2)</f>
        <v/>
      </c>
      <c r="BA842" s="35" t="str">
        <f aca="false">IF($B842="","",AK842+AN842+AM842/2+AO842+AP842+AQ842+AR842+AS842+AT842+AU842+AV842+AW842)</f>
        <v/>
      </c>
      <c r="BB842" s="35" t="str">
        <f aca="false">IF($B842="","",MAX(0,AN842-Settings!$C$16)*Settings!$C$17)</f>
        <v/>
      </c>
      <c r="BC842" s="35" t="str">
        <f aca="false">IF($B842="","",BA842-BB842)</f>
        <v/>
      </c>
      <c r="BD842" s="35" t="str">
        <f aca="false">IF(OR($B842="",$A842=""),"",DAY(EOMONTH($A842,0))-COUNTA($F842:$AJ842))</f>
        <v/>
      </c>
    </row>
    <row r="843" customFormat="false" ht="15" hidden="false" customHeight="false" outlineLevel="0" collapsed="false">
      <c r="A843" s="32"/>
      <c r="B843" s="29"/>
      <c r="C843" s="10" t="str">
        <f aca="false">IF($B843="","",IFERROR(INDEX(M_name,MATCH($B843,M_emp,0)),"Code not found"))</f>
        <v/>
      </c>
      <c r="D843" s="10" t="str">
        <f aca="false">IF($B843="","",IFERROR(INDEX(M_dept,MATCH($B843,M_emp,0)),""))</f>
        <v/>
      </c>
      <c r="E843" s="10" t="str">
        <f aca="false">IF($B843="","",IFERROR(INDEX(M_loc,MATCH($B843,M_emp,0)),""))</f>
        <v/>
      </c>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4" t="str">
        <f aca="false">IF($B843="","",COUNTIF($F843:$AJ843,"P"))</f>
        <v/>
      </c>
      <c r="AL843" s="34" t="str">
        <f aca="false">IF($B843="","",COUNTIF($F843:$AJ843,"A"))</f>
        <v/>
      </c>
      <c r="AM843" s="34" t="str">
        <f aca="false">IF($B843="","",COUNTIF($F843:$AJ843,"HA"))</f>
        <v/>
      </c>
      <c r="AN843" s="34" t="str">
        <f aca="false">IF($B843="","",COUNTIF($F843:$AJ843,"L"))</f>
        <v/>
      </c>
      <c r="AO843" s="34" t="str">
        <f aca="false">IF($B843="","",COUNTIF($F843:$AJ843,"PL"))</f>
        <v/>
      </c>
      <c r="AP843" s="34" t="str">
        <f aca="false">IF($B843="","",COUNTIF($F843:$AJ843,"CL"))</f>
        <v/>
      </c>
      <c r="AQ843" s="34" t="str">
        <f aca="false">IF($B843="","",COUNTIF($F843:$AJ843,"SL"))</f>
        <v/>
      </c>
      <c r="AR843" s="34" t="str">
        <f aca="false">IF($B843="","",COUNTIF($F843:$AJ843,"CO"))</f>
        <v/>
      </c>
      <c r="AS843" s="34" t="str">
        <f aca="false">IF($B843="","",COUNTIF($F843:$AJ843,"HPL"))</f>
        <v/>
      </c>
      <c r="AT843" s="34" t="str">
        <f aca="false">IF($B843="","",COUNTIF($F843:$AJ843,"HCL"))</f>
        <v/>
      </c>
      <c r="AU843" s="34" t="str">
        <f aca="false">IF($B843="","",COUNTIF($F843:$AJ843,"WO"))</f>
        <v/>
      </c>
      <c r="AV843" s="34" t="str">
        <f aca="false">IF($B843="","",COUNTIF($F843:$AJ843,"PH"))</f>
        <v/>
      </c>
      <c r="AW843" s="34" t="str">
        <f aca="false">IF($B843="","",COUNTIF($F843:$AJ843,"TR"))</f>
        <v/>
      </c>
      <c r="AX843" s="35" t="str">
        <f aca="false">IF($B843="","",AO843+AS843/2)</f>
        <v/>
      </c>
      <c r="AY843" s="35" t="str">
        <f aca="false">IF($B843="","",AQ843)</f>
        <v/>
      </c>
      <c r="AZ843" s="35" t="str">
        <f aca="false">IF($B843="","",AP843+AT843/2)</f>
        <v/>
      </c>
      <c r="BA843" s="35" t="str">
        <f aca="false">IF($B843="","",AK843+AN843+AM843/2+AO843+AP843+AQ843+AR843+AS843+AT843+AU843+AV843+AW843)</f>
        <v/>
      </c>
      <c r="BB843" s="35" t="str">
        <f aca="false">IF($B843="","",MAX(0,AN843-Settings!$C$16)*Settings!$C$17)</f>
        <v/>
      </c>
      <c r="BC843" s="35" t="str">
        <f aca="false">IF($B843="","",BA843-BB843)</f>
        <v/>
      </c>
      <c r="BD843" s="35" t="str">
        <f aca="false">IF(OR($B843="",$A843=""),"",DAY(EOMONTH($A843,0))-COUNTA($F843:$AJ843))</f>
        <v/>
      </c>
    </row>
    <row r="844" customFormat="false" ht="15" hidden="false" customHeight="false" outlineLevel="0" collapsed="false">
      <c r="A844" s="32"/>
      <c r="B844" s="29"/>
      <c r="C844" s="10" t="str">
        <f aca="false">IF($B844="","",IFERROR(INDEX(M_name,MATCH($B844,M_emp,0)),"Code not found"))</f>
        <v/>
      </c>
      <c r="D844" s="10" t="str">
        <f aca="false">IF($B844="","",IFERROR(INDEX(M_dept,MATCH($B844,M_emp,0)),""))</f>
        <v/>
      </c>
      <c r="E844" s="10" t="str">
        <f aca="false">IF($B844="","",IFERROR(INDEX(M_loc,MATCH($B844,M_emp,0)),""))</f>
        <v/>
      </c>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4" t="str">
        <f aca="false">IF($B844="","",COUNTIF($F844:$AJ844,"P"))</f>
        <v/>
      </c>
      <c r="AL844" s="34" t="str">
        <f aca="false">IF($B844="","",COUNTIF($F844:$AJ844,"A"))</f>
        <v/>
      </c>
      <c r="AM844" s="34" t="str">
        <f aca="false">IF($B844="","",COUNTIF($F844:$AJ844,"HA"))</f>
        <v/>
      </c>
      <c r="AN844" s="34" t="str">
        <f aca="false">IF($B844="","",COUNTIF($F844:$AJ844,"L"))</f>
        <v/>
      </c>
      <c r="AO844" s="34" t="str">
        <f aca="false">IF($B844="","",COUNTIF($F844:$AJ844,"PL"))</f>
        <v/>
      </c>
      <c r="AP844" s="34" t="str">
        <f aca="false">IF($B844="","",COUNTIF($F844:$AJ844,"CL"))</f>
        <v/>
      </c>
      <c r="AQ844" s="34" t="str">
        <f aca="false">IF($B844="","",COUNTIF($F844:$AJ844,"SL"))</f>
        <v/>
      </c>
      <c r="AR844" s="34" t="str">
        <f aca="false">IF($B844="","",COUNTIF($F844:$AJ844,"CO"))</f>
        <v/>
      </c>
      <c r="AS844" s="34" t="str">
        <f aca="false">IF($B844="","",COUNTIF($F844:$AJ844,"HPL"))</f>
        <v/>
      </c>
      <c r="AT844" s="34" t="str">
        <f aca="false">IF($B844="","",COUNTIF($F844:$AJ844,"HCL"))</f>
        <v/>
      </c>
      <c r="AU844" s="34" t="str">
        <f aca="false">IF($B844="","",COUNTIF($F844:$AJ844,"WO"))</f>
        <v/>
      </c>
      <c r="AV844" s="34" t="str">
        <f aca="false">IF($B844="","",COUNTIF($F844:$AJ844,"PH"))</f>
        <v/>
      </c>
      <c r="AW844" s="34" t="str">
        <f aca="false">IF($B844="","",COUNTIF($F844:$AJ844,"TR"))</f>
        <v/>
      </c>
      <c r="AX844" s="35" t="str">
        <f aca="false">IF($B844="","",AO844+AS844/2)</f>
        <v/>
      </c>
      <c r="AY844" s="35" t="str">
        <f aca="false">IF($B844="","",AQ844)</f>
        <v/>
      </c>
      <c r="AZ844" s="35" t="str">
        <f aca="false">IF($B844="","",AP844+AT844/2)</f>
        <v/>
      </c>
      <c r="BA844" s="35" t="str">
        <f aca="false">IF($B844="","",AK844+AN844+AM844/2+AO844+AP844+AQ844+AR844+AS844+AT844+AU844+AV844+AW844)</f>
        <v/>
      </c>
      <c r="BB844" s="35" t="str">
        <f aca="false">IF($B844="","",MAX(0,AN844-Settings!$C$16)*Settings!$C$17)</f>
        <v/>
      </c>
      <c r="BC844" s="35" t="str">
        <f aca="false">IF($B844="","",BA844-BB844)</f>
        <v/>
      </c>
      <c r="BD844" s="35" t="str">
        <f aca="false">IF(OR($B844="",$A844=""),"",DAY(EOMONTH($A844,0))-COUNTA($F844:$AJ844))</f>
        <v/>
      </c>
    </row>
    <row r="845" customFormat="false" ht="15" hidden="false" customHeight="false" outlineLevel="0" collapsed="false">
      <c r="A845" s="32"/>
      <c r="B845" s="29"/>
      <c r="C845" s="10" t="str">
        <f aca="false">IF($B845="","",IFERROR(INDEX(M_name,MATCH($B845,M_emp,0)),"Code not found"))</f>
        <v/>
      </c>
      <c r="D845" s="10" t="str">
        <f aca="false">IF($B845="","",IFERROR(INDEX(M_dept,MATCH($B845,M_emp,0)),""))</f>
        <v/>
      </c>
      <c r="E845" s="10" t="str">
        <f aca="false">IF($B845="","",IFERROR(INDEX(M_loc,MATCH($B845,M_emp,0)),""))</f>
        <v/>
      </c>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4" t="str">
        <f aca="false">IF($B845="","",COUNTIF($F845:$AJ845,"P"))</f>
        <v/>
      </c>
      <c r="AL845" s="34" t="str">
        <f aca="false">IF($B845="","",COUNTIF($F845:$AJ845,"A"))</f>
        <v/>
      </c>
      <c r="AM845" s="34" t="str">
        <f aca="false">IF($B845="","",COUNTIF($F845:$AJ845,"HA"))</f>
        <v/>
      </c>
      <c r="AN845" s="34" t="str">
        <f aca="false">IF($B845="","",COUNTIF($F845:$AJ845,"L"))</f>
        <v/>
      </c>
      <c r="AO845" s="34" t="str">
        <f aca="false">IF($B845="","",COUNTIF($F845:$AJ845,"PL"))</f>
        <v/>
      </c>
      <c r="AP845" s="34" t="str">
        <f aca="false">IF($B845="","",COUNTIF($F845:$AJ845,"CL"))</f>
        <v/>
      </c>
      <c r="AQ845" s="34" t="str">
        <f aca="false">IF($B845="","",COUNTIF($F845:$AJ845,"SL"))</f>
        <v/>
      </c>
      <c r="AR845" s="34" t="str">
        <f aca="false">IF($B845="","",COUNTIF($F845:$AJ845,"CO"))</f>
        <v/>
      </c>
      <c r="AS845" s="34" t="str">
        <f aca="false">IF($B845="","",COUNTIF($F845:$AJ845,"HPL"))</f>
        <v/>
      </c>
      <c r="AT845" s="34" t="str">
        <f aca="false">IF($B845="","",COUNTIF($F845:$AJ845,"HCL"))</f>
        <v/>
      </c>
      <c r="AU845" s="34" t="str">
        <f aca="false">IF($B845="","",COUNTIF($F845:$AJ845,"WO"))</f>
        <v/>
      </c>
      <c r="AV845" s="34" t="str">
        <f aca="false">IF($B845="","",COUNTIF($F845:$AJ845,"PH"))</f>
        <v/>
      </c>
      <c r="AW845" s="34" t="str">
        <f aca="false">IF($B845="","",COUNTIF($F845:$AJ845,"TR"))</f>
        <v/>
      </c>
      <c r="AX845" s="35" t="str">
        <f aca="false">IF($B845="","",AO845+AS845/2)</f>
        <v/>
      </c>
      <c r="AY845" s="35" t="str">
        <f aca="false">IF($B845="","",AQ845)</f>
        <v/>
      </c>
      <c r="AZ845" s="35" t="str">
        <f aca="false">IF($B845="","",AP845+AT845/2)</f>
        <v/>
      </c>
      <c r="BA845" s="35" t="str">
        <f aca="false">IF($B845="","",AK845+AN845+AM845/2+AO845+AP845+AQ845+AR845+AS845+AT845+AU845+AV845+AW845)</f>
        <v/>
      </c>
      <c r="BB845" s="35" t="str">
        <f aca="false">IF($B845="","",MAX(0,AN845-Settings!$C$16)*Settings!$C$17)</f>
        <v/>
      </c>
      <c r="BC845" s="35" t="str">
        <f aca="false">IF($B845="","",BA845-BB845)</f>
        <v/>
      </c>
      <c r="BD845" s="35" t="str">
        <f aca="false">IF(OR($B845="",$A845=""),"",DAY(EOMONTH($A845,0))-COUNTA($F845:$AJ845))</f>
        <v/>
      </c>
    </row>
    <row r="846" customFormat="false" ht="15" hidden="false" customHeight="false" outlineLevel="0" collapsed="false">
      <c r="A846" s="32"/>
      <c r="B846" s="29"/>
      <c r="C846" s="10" t="str">
        <f aca="false">IF($B846="","",IFERROR(INDEX(M_name,MATCH($B846,M_emp,0)),"Code not found"))</f>
        <v/>
      </c>
      <c r="D846" s="10" t="str">
        <f aca="false">IF($B846="","",IFERROR(INDEX(M_dept,MATCH($B846,M_emp,0)),""))</f>
        <v/>
      </c>
      <c r="E846" s="10" t="str">
        <f aca="false">IF($B846="","",IFERROR(INDEX(M_loc,MATCH($B846,M_emp,0)),""))</f>
        <v/>
      </c>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4" t="str">
        <f aca="false">IF($B846="","",COUNTIF($F846:$AJ846,"P"))</f>
        <v/>
      </c>
      <c r="AL846" s="34" t="str">
        <f aca="false">IF($B846="","",COUNTIF($F846:$AJ846,"A"))</f>
        <v/>
      </c>
      <c r="AM846" s="34" t="str">
        <f aca="false">IF($B846="","",COUNTIF($F846:$AJ846,"HA"))</f>
        <v/>
      </c>
      <c r="AN846" s="34" t="str">
        <f aca="false">IF($B846="","",COUNTIF($F846:$AJ846,"L"))</f>
        <v/>
      </c>
      <c r="AO846" s="34" t="str">
        <f aca="false">IF($B846="","",COUNTIF($F846:$AJ846,"PL"))</f>
        <v/>
      </c>
      <c r="AP846" s="34" t="str">
        <f aca="false">IF($B846="","",COUNTIF($F846:$AJ846,"CL"))</f>
        <v/>
      </c>
      <c r="AQ846" s="34" t="str">
        <f aca="false">IF($B846="","",COUNTIF($F846:$AJ846,"SL"))</f>
        <v/>
      </c>
      <c r="AR846" s="34" t="str">
        <f aca="false">IF($B846="","",COUNTIF($F846:$AJ846,"CO"))</f>
        <v/>
      </c>
      <c r="AS846" s="34" t="str">
        <f aca="false">IF($B846="","",COUNTIF($F846:$AJ846,"HPL"))</f>
        <v/>
      </c>
      <c r="AT846" s="34" t="str">
        <f aca="false">IF($B846="","",COUNTIF($F846:$AJ846,"HCL"))</f>
        <v/>
      </c>
      <c r="AU846" s="34" t="str">
        <f aca="false">IF($B846="","",COUNTIF($F846:$AJ846,"WO"))</f>
        <v/>
      </c>
      <c r="AV846" s="34" t="str">
        <f aca="false">IF($B846="","",COUNTIF($F846:$AJ846,"PH"))</f>
        <v/>
      </c>
      <c r="AW846" s="34" t="str">
        <f aca="false">IF($B846="","",COUNTIF($F846:$AJ846,"TR"))</f>
        <v/>
      </c>
      <c r="AX846" s="35" t="str">
        <f aca="false">IF($B846="","",AO846+AS846/2)</f>
        <v/>
      </c>
      <c r="AY846" s="35" t="str">
        <f aca="false">IF($B846="","",AQ846)</f>
        <v/>
      </c>
      <c r="AZ846" s="35" t="str">
        <f aca="false">IF($B846="","",AP846+AT846/2)</f>
        <v/>
      </c>
      <c r="BA846" s="35" t="str">
        <f aca="false">IF($B846="","",AK846+AN846+AM846/2+AO846+AP846+AQ846+AR846+AS846+AT846+AU846+AV846+AW846)</f>
        <v/>
      </c>
      <c r="BB846" s="35" t="str">
        <f aca="false">IF($B846="","",MAX(0,AN846-Settings!$C$16)*Settings!$C$17)</f>
        <v/>
      </c>
      <c r="BC846" s="35" t="str">
        <f aca="false">IF($B846="","",BA846-BB846)</f>
        <v/>
      </c>
      <c r="BD846" s="35" t="str">
        <f aca="false">IF(OR($B846="",$A846=""),"",DAY(EOMONTH($A846,0))-COUNTA($F846:$AJ846))</f>
        <v/>
      </c>
    </row>
    <row r="847" customFormat="false" ht="15" hidden="false" customHeight="false" outlineLevel="0" collapsed="false">
      <c r="A847" s="32"/>
      <c r="B847" s="29"/>
      <c r="C847" s="10" t="str">
        <f aca="false">IF($B847="","",IFERROR(INDEX(M_name,MATCH($B847,M_emp,0)),"Code not found"))</f>
        <v/>
      </c>
      <c r="D847" s="10" t="str">
        <f aca="false">IF($B847="","",IFERROR(INDEX(M_dept,MATCH($B847,M_emp,0)),""))</f>
        <v/>
      </c>
      <c r="E847" s="10" t="str">
        <f aca="false">IF($B847="","",IFERROR(INDEX(M_loc,MATCH($B847,M_emp,0)),""))</f>
        <v/>
      </c>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4" t="str">
        <f aca="false">IF($B847="","",COUNTIF($F847:$AJ847,"P"))</f>
        <v/>
      </c>
      <c r="AL847" s="34" t="str">
        <f aca="false">IF($B847="","",COUNTIF($F847:$AJ847,"A"))</f>
        <v/>
      </c>
      <c r="AM847" s="34" t="str">
        <f aca="false">IF($B847="","",COUNTIF($F847:$AJ847,"HA"))</f>
        <v/>
      </c>
      <c r="AN847" s="34" t="str">
        <f aca="false">IF($B847="","",COUNTIF($F847:$AJ847,"L"))</f>
        <v/>
      </c>
      <c r="AO847" s="34" t="str">
        <f aca="false">IF($B847="","",COUNTIF($F847:$AJ847,"PL"))</f>
        <v/>
      </c>
      <c r="AP847" s="34" t="str">
        <f aca="false">IF($B847="","",COUNTIF($F847:$AJ847,"CL"))</f>
        <v/>
      </c>
      <c r="AQ847" s="34" t="str">
        <f aca="false">IF($B847="","",COUNTIF($F847:$AJ847,"SL"))</f>
        <v/>
      </c>
      <c r="AR847" s="34" t="str">
        <f aca="false">IF($B847="","",COUNTIF($F847:$AJ847,"CO"))</f>
        <v/>
      </c>
      <c r="AS847" s="34" t="str">
        <f aca="false">IF($B847="","",COUNTIF($F847:$AJ847,"HPL"))</f>
        <v/>
      </c>
      <c r="AT847" s="34" t="str">
        <f aca="false">IF($B847="","",COUNTIF($F847:$AJ847,"HCL"))</f>
        <v/>
      </c>
      <c r="AU847" s="34" t="str">
        <f aca="false">IF($B847="","",COUNTIF($F847:$AJ847,"WO"))</f>
        <v/>
      </c>
      <c r="AV847" s="34" t="str">
        <f aca="false">IF($B847="","",COUNTIF($F847:$AJ847,"PH"))</f>
        <v/>
      </c>
      <c r="AW847" s="34" t="str">
        <f aca="false">IF($B847="","",COUNTIF($F847:$AJ847,"TR"))</f>
        <v/>
      </c>
      <c r="AX847" s="35" t="str">
        <f aca="false">IF($B847="","",AO847+AS847/2)</f>
        <v/>
      </c>
      <c r="AY847" s="35" t="str">
        <f aca="false">IF($B847="","",AQ847)</f>
        <v/>
      </c>
      <c r="AZ847" s="35" t="str">
        <f aca="false">IF($B847="","",AP847+AT847/2)</f>
        <v/>
      </c>
      <c r="BA847" s="35" t="str">
        <f aca="false">IF($B847="","",AK847+AN847+AM847/2+AO847+AP847+AQ847+AR847+AS847+AT847+AU847+AV847+AW847)</f>
        <v/>
      </c>
      <c r="BB847" s="35" t="str">
        <f aca="false">IF($B847="","",MAX(0,AN847-Settings!$C$16)*Settings!$C$17)</f>
        <v/>
      </c>
      <c r="BC847" s="35" t="str">
        <f aca="false">IF($B847="","",BA847-BB847)</f>
        <v/>
      </c>
      <c r="BD847" s="35" t="str">
        <f aca="false">IF(OR($B847="",$A847=""),"",DAY(EOMONTH($A847,0))-COUNTA($F847:$AJ847))</f>
        <v/>
      </c>
    </row>
    <row r="848" customFormat="false" ht="15" hidden="false" customHeight="false" outlineLevel="0" collapsed="false">
      <c r="A848" s="32"/>
      <c r="B848" s="29"/>
      <c r="C848" s="10" t="str">
        <f aca="false">IF($B848="","",IFERROR(INDEX(M_name,MATCH($B848,M_emp,0)),"Code not found"))</f>
        <v/>
      </c>
      <c r="D848" s="10" t="str">
        <f aca="false">IF($B848="","",IFERROR(INDEX(M_dept,MATCH($B848,M_emp,0)),""))</f>
        <v/>
      </c>
      <c r="E848" s="10" t="str">
        <f aca="false">IF($B848="","",IFERROR(INDEX(M_loc,MATCH($B848,M_emp,0)),""))</f>
        <v/>
      </c>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4" t="str">
        <f aca="false">IF($B848="","",COUNTIF($F848:$AJ848,"P"))</f>
        <v/>
      </c>
      <c r="AL848" s="34" t="str">
        <f aca="false">IF($B848="","",COUNTIF($F848:$AJ848,"A"))</f>
        <v/>
      </c>
      <c r="AM848" s="34" t="str">
        <f aca="false">IF($B848="","",COUNTIF($F848:$AJ848,"HA"))</f>
        <v/>
      </c>
      <c r="AN848" s="34" t="str">
        <f aca="false">IF($B848="","",COUNTIF($F848:$AJ848,"L"))</f>
        <v/>
      </c>
      <c r="AO848" s="34" t="str">
        <f aca="false">IF($B848="","",COUNTIF($F848:$AJ848,"PL"))</f>
        <v/>
      </c>
      <c r="AP848" s="34" t="str">
        <f aca="false">IF($B848="","",COUNTIF($F848:$AJ848,"CL"))</f>
        <v/>
      </c>
      <c r="AQ848" s="34" t="str">
        <f aca="false">IF($B848="","",COUNTIF($F848:$AJ848,"SL"))</f>
        <v/>
      </c>
      <c r="AR848" s="34" t="str">
        <f aca="false">IF($B848="","",COUNTIF($F848:$AJ848,"CO"))</f>
        <v/>
      </c>
      <c r="AS848" s="34" t="str">
        <f aca="false">IF($B848="","",COUNTIF($F848:$AJ848,"HPL"))</f>
        <v/>
      </c>
      <c r="AT848" s="34" t="str">
        <f aca="false">IF($B848="","",COUNTIF($F848:$AJ848,"HCL"))</f>
        <v/>
      </c>
      <c r="AU848" s="34" t="str">
        <f aca="false">IF($B848="","",COUNTIF($F848:$AJ848,"WO"))</f>
        <v/>
      </c>
      <c r="AV848" s="34" t="str">
        <f aca="false">IF($B848="","",COUNTIF($F848:$AJ848,"PH"))</f>
        <v/>
      </c>
      <c r="AW848" s="34" t="str">
        <f aca="false">IF($B848="","",COUNTIF($F848:$AJ848,"TR"))</f>
        <v/>
      </c>
      <c r="AX848" s="35" t="str">
        <f aca="false">IF($B848="","",AO848+AS848/2)</f>
        <v/>
      </c>
      <c r="AY848" s="35" t="str">
        <f aca="false">IF($B848="","",AQ848)</f>
        <v/>
      </c>
      <c r="AZ848" s="35" t="str">
        <f aca="false">IF($B848="","",AP848+AT848/2)</f>
        <v/>
      </c>
      <c r="BA848" s="35" t="str">
        <f aca="false">IF($B848="","",AK848+AN848+AM848/2+AO848+AP848+AQ848+AR848+AS848+AT848+AU848+AV848+AW848)</f>
        <v/>
      </c>
      <c r="BB848" s="35" t="str">
        <f aca="false">IF($B848="","",MAX(0,AN848-Settings!$C$16)*Settings!$C$17)</f>
        <v/>
      </c>
      <c r="BC848" s="35" t="str">
        <f aca="false">IF($B848="","",BA848-BB848)</f>
        <v/>
      </c>
      <c r="BD848" s="35" t="str">
        <f aca="false">IF(OR($B848="",$A848=""),"",DAY(EOMONTH($A848,0))-COUNTA($F848:$AJ848))</f>
        <v/>
      </c>
    </row>
    <row r="849" customFormat="false" ht="15" hidden="false" customHeight="false" outlineLevel="0" collapsed="false">
      <c r="A849" s="32"/>
      <c r="B849" s="29"/>
      <c r="C849" s="10" t="str">
        <f aca="false">IF($B849="","",IFERROR(INDEX(M_name,MATCH($B849,M_emp,0)),"Code not found"))</f>
        <v/>
      </c>
      <c r="D849" s="10" t="str">
        <f aca="false">IF($B849="","",IFERROR(INDEX(M_dept,MATCH($B849,M_emp,0)),""))</f>
        <v/>
      </c>
      <c r="E849" s="10" t="str">
        <f aca="false">IF($B849="","",IFERROR(INDEX(M_loc,MATCH($B849,M_emp,0)),""))</f>
        <v/>
      </c>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4" t="str">
        <f aca="false">IF($B849="","",COUNTIF($F849:$AJ849,"P"))</f>
        <v/>
      </c>
      <c r="AL849" s="34" t="str">
        <f aca="false">IF($B849="","",COUNTIF($F849:$AJ849,"A"))</f>
        <v/>
      </c>
      <c r="AM849" s="34" t="str">
        <f aca="false">IF($B849="","",COUNTIF($F849:$AJ849,"HA"))</f>
        <v/>
      </c>
      <c r="AN849" s="34" t="str">
        <f aca="false">IF($B849="","",COUNTIF($F849:$AJ849,"L"))</f>
        <v/>
      </c>
      <c r="AO849" s="34" t="str">
        <f aca="false">IF($B849="","",COUNTIF($F849:$AJ849,"PL"))</f>
        <v/>
      </c>
      <c r="AP849" s="34" t="str">
        <f aca="false">IF($B849="","",COUNTIF($F849:$AJ849,"CL"))</f>
        <v/>
      </c>
      <c r="AQ849" s="34" t="str">
        <f aca="false">IF($B849="","",COUNTIF($F849:$AJ849,"SL"))</f>
        <v/>
      </c>
      <c r="AR849" s="34" t="str">
        <f aca="false">IF($B849="","",COUNTIF($F849:$AJ849,"CO"))</f>
        <v/>
      </c>
      <c r="AS849" s="34" t="str">
        <f aca="false">IF($B849="","",COUNTIF($F849:$AJ849,"HPL"))</f>
        <v/>
      </c>
      <c r="AT849" s="34" t="str">
        <f aca="false">IF($B849="","",COUNTIF($F849:$AJ849,"HCL"))</f>
        <v/>
      </c>
      <c r="AU849" s="34" t="str">
        <f aca="false">IF($B849="","",COUNTIF($F849:$AJ849,"WO"))</f>
        <v/>
      </c>
      <c r="AV849" s="34" t="str">
        <f aca="false">IF($B849="","",COUNTIF($F849:$AJ849,"PH"))</f>
        <v/>
      </c>
      <c r="AW849" s="34" t="str">
        <f aca="false">IF($B849="","",COUNTIF($F849:$AJ849,"TR"))</f>
        <v/>
      </c>
      <c r="AX849" s="35" t="str">
        <f aca="false">IF($B849="","",AO849+AS849/2)</f>
        <v/>
      </c>
      <c r="AY849" s="35" t="str">
        <f aca="false">IF($B849="","",AQ849)</f>
        <v/>
      </c>
      <c r="AZ849" s="35" t="str">
        <f aca="false">IF($B849="","",AP849+AT849/2)</f>
        <v/>
      </c>
      <c r="BA849" s="35" t="str">
        <f aca="false">IF($B849="","",AK849+AN849+AM849/2+AO849+AP849+AQ849+AR849+AS849+AT849+AU849+AV849+AW849)</f>
        <v/>
      </c>
      <c r="BB849" s="35" t="str">
        <f aca="false">IF($B849="","",MAX(0,AN849-Settings!$C$16)*Settings!$C$17)</f>
        <v/>
      </c>
      <c r="BC849" s="35" t="str">
        <f aca="false">IF($B849="","",BA849-BB849)</f>
        <v/>
      </c>
      <c r="BD849" s="35" t="str">
        <f aca="false">IF(OR($B849="",$A849=""),"",DAY(EOMONTH($A849,0))-COUNTA($F849:$AJ849))</f>
        <v/>
      </c>
    </row>
    <row r="850" customFormat="false" ht="15" hidden="false" customHeight="false" outlineLevel="0" collapsed="false">
      <c r="A850" s="32"/>
      <c r="B850" s="29"/>
      <c r="C850" s="10" t="str">
        <f aca="false">IF($B850="","",IFERROR(INDEX(M_name,MATCH($B850,M_emp,0)),"Code not found"))</f>
        <v/>
      </c>
      <c r="D850" s="10" t="str">
        <f aca="false">IF($B850="","",IFERROR(INDEX(M_dept,MATCH($B850,M_emp,0)),""))</f>
        <v/>
      </c>
      <c r="E850" s="10" t="str">
        <f aca="false">IF($B850="","",IFERROR(INDEX(M_loc,MATCH($B850,M_emp,0)),""))</f>
        <v/>
      </c>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4" t="str">
        <f aca="false">IF($B850="","",COUNTIF($F850:$AJ850,"P"))</f>
        <v/>
      </c>
      <c r="AL850" s="34" t="str">
        <f aca="false">IF($B850="","",COUNTIF($F850:$AJ850,"A"))</f>
        <v/>
      </c>
      <c r="AM850" s="34" t="str">
        <f aca="false">IF($B850="","",COUNTIF($F850:$AJ850,"HA"))</f>
        <v/>
      </c>
      <c r="AN850" s="34" t="str">
        <f aca="false">IF($B850="","",COUNTIF($F850:$AJ850,"L"))</f>
        <v/>
      </c>
      <c r="AO850" s="34" t="str">
        <f aca="false">IF($B850="","",COUNTIF($F850:$AJ850,"PL"))</f>
        <v/>
      </c>
      <c r="AP850" s="34" t="str">
        <f aca="false">IF($B850="","",COUNTIF($F850:$AJ850,"CL"))</f>
        <v/>
      </c>
      <c r="AQ850" s="34" t="str">
        <f aca="false">IF($B850="","",COUNTIF($F850:$AJ850,"SL"))</f>
        <v/>
      </c>
      <c r="AR850" s="34" t="str">
        <f aca="false">IF($B850="","",COUNTIF($F850:$AJ850,"CO"))</f>
        <v/>
      </c>
      <c r="AS850" s="34" t="str">
        <f aca="false">IF($B850="","",COUNTIF($F850:$AJ850,"HPL"))</f>
        <v/>
      </c>
      <c r="AT850" s="34" t="str">
        <f aca="false">IF($B850="","",COUNTIF($F850:$AJ850,"HCL"))</f>
        <v/>
      </c>
      <c r="AU850" s="34" t="str">
        <f aca="false">IF($B850="","",COUNTIF($F850:$AJ850,"WO"))</f>
        <v/>
      </c>
      <c r="AV850" s="34" t="str">
        <f aca="false">IF($B850="","",COUNTIF($F850:$AJ850,"PH"))</f>
        <v/>
      </c>
      <c r="AW850" s="34" t="str">
        <f aca="false">IF($B850="","",COUNTIF($F850:$AJ850,"TR"))</f>
        <v/>
      </c>
      <c r="AX850" s="35" t="str">
        <f aca="false">IF($B850="","",AO850+AS850/2)</f>
        <v/>
      </c>
      <c r="AY850" s="35" t="str">
        <f aca="false">IF($B850="","",AQ850)</f>
        <v/>
      </c>
      <c r="AZ850" s="35" t="str">
        <f aca="false">IF($B850="","",AP850+AT850/2)</f>
        <v/>
      </c>
      <c r="BA850" s="35" t="str">
        <f aca="false">IF($B850="","",AK850+AN850+AM850/2+AO850+AP850+AQ850+AR850+AS850+AT850+AU850+AV850+AW850)</f>
        <v/>
      </c>
      <c r="BB850" s="35" t="str">
        <f aca="false">IF($B850="","",MAX(0,AN850-Settings!$C$16)*Settings!$C$17)</f>
        <v/>
      </c>
      <c r="BC850" s="35" t="str">
        <f aca="false">IF($B850="","",BA850-BB850)</f>
        <v/>
      </c>
      <c r="BD850" s="35" t="str">
        <f aca="false">IF(OR($B850="",$A850=""),"",DAY(EOMONTH($A850,0))-COUNTA($F850:$AJ850))</f>
        <v/>
      </c>
    </row>
    <row r="851" customFormat="false" ht="15" hidden="false" customHeight="false" outlineLevel="0" collapsed="false">
      <c r="A851" s="32"/>
      <c r="B851" s="29"/>
      <c r="C851" s="10" t="str">
        <f aca="false">IF($B851="","",IFERROR(INDEX(M_name,MATCH($B851,M_emp,0)),"Code not found"))</f>
        <v/>
      </c>
      <c r="D851" s="10" t="str">
        <f aca="false">IF($B851="","",IFERROR(INDEX(M_dept,MATCH($B851,M_emp,0)),""))</f>
        <v/>
      </c>
      <c r="E851" s="10" t="str">
        <f aca="false">IF($B851="","",IFERROR(INDEX(M_loc,MATCH($B851,M_emp,0)),""))</f>
        <v/>
      </c>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4" t="str">
        <f aca="false">IF($B851="","",COUNTIF($F851:$AJ851,"P"))</f>
        <v/>
      </c>
      <c r="AL851" s="34" t="str">
        <f aca="false">IF($B851="","",COUNTIF($F851:$AJ851,"A"))</f>
        <v/>
      </c>
      <c r="AM851" s="34" t="str">
        <f aca="false">IF($B851="","",COUNTIF($F851:$AJ851,"HA"))</f>
        <v/>
      </c>
      <c r="AN851" s="34" t="str">
        <f aca="false">IF($B851="","",COUNTIF($F851:$AJ851,"L"))</f>
        <v/>
      </c>
      <c r="AO851" s="34" t="str">
        <f aca="false">IF($B851="","",COUNTIF($F851:$AJ851,"PL"))</f>
        <v/>
      </c>
      <c r="AP851" s="34" t="str">
        <f aca="false">IF($B851="","",COUNTIF($F851:$AJ851,"CL"))</f>
        <v/>
      </c>
      <c r="AQ851" s="34" t="str">
        <f aca="false">IF($B851="","",COUNTIF($F851:$AJ851,"SL"))</f>
        <v/>
      </c>
      <c r="AR851" s="34" t="str">
        <f aca="false">IF($B851="","",COUNTIF($F851:$AJ851,"CO"))</f>
        <v/>
      </c>
      <c r="AS851" s="34" t="str">
        <f aca="false">IF($B851="","",COUNTIF($F851:$AJ851,"HPL"))</f>
        <v/>
      </c>
      <c r="AT851" s="34" t="str">
        <f aca="false">IF($B851="","",COUNTIF($F851:$AJ851,"HCL"))</f>
        <v/>
      </c>
      <c r="AU851" s="34" t="str">
        <f aca="false">IF($B851="","",COUNTIF($F851:$AJ851,"WO"))</f>
        <v/>
      </c>
      <c r="AV851" s="34" t="str">
        <f aca="false">IF($B851="","",COUNTIF($F851:$AJ851,"PH"))</f>
        <v/>
      </c>
      <c r="AW851" s="34" t="str">
        <f aca="false">IF($B851="","",COUNTIF($F851:$AJ851,"TR"))</f>
        <v/>
      </c>
      <c r="AX851" s="35" t="str">
        <f aca="false">IF($B851="","",AO851+AS851/2)</f>
        <v/>
      </c>
      <c r="AY851" s="35" t="str">
        <f aca="false">IF($B851="","",AQ851)</f>
        <v/>
      </c>
      <c r="AZ851" s="35" t="str">
        <f aca="false">IF($B851="","",AP851+AT851/2)</f>
        <v/>
      </c>
      <c r="BA851" s="35" t="str">
        <f aca="false">IF($B851="","",AK851+AN851+AM851/2+AO851+AP851+AQ851+AR851+AS851+AT851+AU851+AV851+AW851)</f>
        <v/>
      </c>
      <c r="BB851" s="35" t="str">
        <f aca="false">IF($B851="","",MAX(0,AN851-Settings!$C$16)*Settings!$C$17)</f>
        <v/>
      </c>
      <c r="BC851" s="35" t="str">
        <f aca="false">IF($B851="","",BA851-BB851)</f>
        <v/>
      </c>
      <c r="BD851" s="35" t="str">
        <f aca="false">IF(OR($B851="",$A851=""),"",DAY(EOMONTH($A851,0))-COUNTA($F851:$AJ851))</f>
        <v/>
      </c>
    </row>
    <row r="852" customFormat="false" ht="15" hidden="false" customHeight="false" outlineLevel="0" collapsed="false">
      <c r="A852" s="32"/>
      <c r="B852" s="29"/>
      <c r="C852" s="10" t="str">
        <f aca="false">IF($B852="","",IFERROR(INDEX(M_name,MATCH($B852,M_emp,0)),"Code not found"))</f>
        <v/>
      </c>
      <c r="D852" s="10" t="str">
        <f aca="false">IF($B852="","",IFERROR(INDEX(M_dept,MATCH($B852,M_emp,0)),""))</f>
        <v/>
      </c>
      <c r="E852" s="10" t="str">
        <f aca="false">IF($B852="","",IFERROR(INDEX(M_loc,MATCH($B852,M_emp,0)),""))</f>
        <v/>
      </c>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4" t="str">
        <f aca="false">IF($B852="","",COUNTIF($F852:$AJ852,"P"))</f>
        <v/>
      </c>
      <c r="AL852" s="34" t="str">
        <f aca="false">IF($B852="","",COUNTIF($F852:$AJ852,"A"))</f>
        <v/>
      </c>
      <c r="AM852" s="34" t="str">
        <f aca="false">IF($B852="","",COUNTIF($F852:$AJ852,"HA"))</f>
        <v/>
      </c>
      <c r="AN852" s="34" t="str">
        <f aca="false">IF($B852="","",COUNTIF($F852:$AJ852,"L"))</f>
        <v/>
      </c>
      <c r="AO852" s="34" t="str">
        <f aca="false">IF($B852="","",COUNTIF($F852:$AJ852,"PL"))</f>
        <v/>
      </c>
      <c r="AP852" s="34" t="str">
        <f aca="false">IF($B852="","",COUNTIF($F852:$AJ852,"CL"))</f>
        <v/>
      </c>
      <c r="AQ852" s="34" t="str">
        <f aca="false">IF($B852="","",COUNTIF($F852:$AJ852,"SL"))</f>
        <v/>
      </c>
      <c r="AR852" s="34" t="str">
        <f aca="false">IF($B852="","",COUNTIF($F852:$AJ852,"CO"))</f>
        <v/>
      </c>
      <c r="AS852" s="34" t="str">
        <f aca="false">IF($B852="","",COUNTIF($F852:$AJ852,"HPL"))</f>
        <v/>
      </c>
      <c r="AT852" s="34" t="str">
        <f aca="false">IF($B852="","",COUNTIF($F852:$AJ852,"HCL"))</f>
        <v/>
      </c>
      <c r="AU852" s="34" t="str">
        <f aca="false">IF($B852="","",COUNTIF($F852:$AJ852,"WO"))</f>
        <v/>
      </c>
      <c r="AV852" s="34" t="str">
        <f aca="false">IF($B852="","",COUNTIF($F852:$AJ852,"PH"))</f>
        <v/>
      </c>
      <c r="AW852" s="34" t="str">
        <f aca="false">IF($B852="","",COUNTIF($F852:$AJ852,"TR"))</f>
        <v/>
      </c>
      <c r="AX852" s="35" t="str">
        <f aca="false">IF($B852="","",AO852+AS852/2)</f>
        <v/>
      </c>
      <c r="AY852" s="35" t="str">
        <f aca="false">IF($B852="","",AQ852)</f>
        <v/>
      </c>
      <c r="AZ852" s="35" t="str">
        <f aca="false">IF($B852="","",AP852+AT852/2)</f>
        <v/>
      </c>
      <c r="BA852" s="35" t="str">
        <f aca="false">IF($B852="","",AK852+AN852+AM852/2+AO852+AP852+AQ852+AR852+AS852+AT852+AU852+AV852+AW852)</f>
        <v/>
      </c>
      <c r="BB852" s="35" t="str">
        <f aca="false">IF($B852="","",MAX(0,AN852-Settings!$C$16)*Settings!$C$17)</f>
        <v/>
      </c>
      <c r="BC852" s="35" t="str">
        <f aca="false">IF($B852="","",BA852-BB852)</f>
        <v/>
      </c>
      <c r="BD852" s="35" t="str">
        <f aca="false">IF(OR($B852="",$A852=""),"",DAY(EOMONTH($A852,0))-COUNTA($F852:$AJ852))</f>
        <v/>
      </c>
    </row>
    <row r="853" customFormat="false" ht="15" hidden="false" customHeight="false" outlineLevel="0" collapsed="false">
      <c r="A853" s="32"/>
      <c r="B853" s="29"/>
      <c r="C853" s="10" t="str">
        <f aca="false">IF($B853="","",IFERROR(INDEX(M_name,MATCH($B853,M_emp,0)),"Code not found"))</f>
        <v/>
      </c>
      <c r="D853" s="10" t="str">
        <f aca="false">IF($B853="","",IFERROR(INDEX(M_dept,MATCH($B853,M_emp,0)),""))</f>
        <v/>
      </c>
      <c r="E853" s="10" t="str">
        <f aca="false">IF($B853="","",IFERROR(INDEX(M_loc,MATCH($B853,M_emp,0)),""))</f>
        <v/>
      </c>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4" t="str">
        <f aca="false">IF($B853="","",COUNTIF($F853:$AJ853,"P"))</f>
        <v/>
      </c>
      <c r="AL853" s="34" t="str">
        <f aca="false">IF($B853="","",COUNTIF($F853:$AJ853,"A"))</f>
        <v/>
      </c>
      <c r="AM853" s="34" t="str">
        <f aca="false">IF($B853="","",COUNTIF($F853:$AJ853,"HA"))</f>
        <v/>
      </c>
      <c r="AN853" s="34" t="str">
        <f aca="false">IF($B853="","",COUNTIF($F853:$AJ853,"L"))</f>
        <v/>
      </c>
      <c r="AO853" s="34" t="str">
        <f aca="false">IF($B853="","",COUNTIF($F853:$AJ853,"PL"))</f>
        <v/>
      </c>
      <c r="AP853" s="34" t="str">
        <f aca="false">IF($B853="","",COUNTIF($F853:$AJ853,"CL"))</f>
        <v/>
      </c>
      <c r="AQ853" s="34" t="str">
        <f aca="false">IF($B853="","",COUNTIF($F853:$AJ853,"SL"))</f>
        <v/>
      </c>
      <c r="AR853" s="34" t="str">
        <f aca="false">IF($B853="","",COUNTIF($F853:$AJ853,"CO"))</f>
        <v/>
      </c>
      <c r="AS853" s="34" t="str">
        <f aca="false">IF($B853="","",COUNTIF($F853:$AJ853,"HPL"))</f>
        <v/>
      </c>
      <c r="AT853" s="34" t="str">
        <f aca="false">IF($B853="","",COUNTIF($F853:$AJ853,"HCL"))</f>
        <v/>
      </c>
      <c r="AU853" s="34" t="str">
        <f aca="false">IF($B853="","",COUNTIF($F853:$AJ853,"WO"))</f>
        <v/>
      </c>
      <c r="AV853" s="34" t="str">
        <f aca="false">IF($B853="","",COUNTIF($F853:$AJ853,"PH"))</f>
        <v/>
      </c>
      <c r="AW853" s="34" t="str">
        <f aca="false">IF($B853="","",COUNTIF($F853:$AJ853,"TR"))</f>
        <v/>
      </c>
      <c r="AX853" s="35" t="str">
        <f aca="false">IF($B853="","",AO853+AS853/2)</f>
        <v/>
      </c>
      <c r="AY853" s="35" t="str">
        <f aca="false">IF($B853="","",AQ853)</f>
        <v/>
      </c>
      <c r="AZ853" s="35" t="str">
        <f aca="false">IF($B853="","",AP853+AT853/2)</f>
        <v/>
      </c>
      <c r="BA853" s="35" t="str">
        <f aca="false">IF($B853="","",AK853+AN853+AM853/2+AO853+AP853+AQ853+AR853+AS853+AT853+AU853+AV853+AW853)</f>
        <v/>
      </c>
      <c r="BB853" s="35" t="str">
        <f aca="false">IF($B853="","",MAX(0,AN853-Settings!$C$16)*Settings!$C$17)</f>
        <v/>
      </c>
      <c r="BC853" s="35" t="str">
        <f aca="false">IF($B853="","",BA853-BB853)</f>
        <v/>
      </c>
      <c r="BD853" s="35" t="str">
        <f aca="false">IF(OR($B853="",$A853=""),"",DAY(EOMONTH($A853,0))-COUNTA($F853:$AJ853))</f>
        <v/>
      </c>
    </row>
    <row r="854" customFormat="false" ht="15" hidden="false" customHeight="false" outlineLevel="0" collapsed="false">
      <c r="A854" s="32"/>
      <c r="B854" s="29"/>
      <c r="C854" s="10" t="str">
        <f aca="false">IF($B854="","",IFERROR(INDEX(M_name,MATCH($B854,M_emp,0)),"Code not found"))</f>
        <v/>
      </c>
      <c r="D854" s="10" t="str">
        <f aca="false">IF($B854="","",IFERROR(INDEX(M_dept,MATCH($B854,M_emp,0)),""))</f>
        <v/>
      </c>
      <c r="E854" s="10" t="str">
        <f aca="false">IF($B854="","",IFERROR(INDEX(M_loc,MATCH($B854,M_emp,0)),""))</f>
        <v/>
      </c>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4" t="str">
        <f aca="false">IF($B854="","",COUNTIF($F854:$AJ854,"P"))</f>
        <v/>
      </c>
      <c r="AL854" s="34" t="str">
        <f aca="false">IF($B854="","",COUNTIF($F854:$AJ854,"A"))</f>
        <v/>
      </c>
      <c r="AM854" s="34" t="str">
        <f aca="false">IF($B854="","",COUNTIF($F854:$AJ854,"HA"))</f>
        <v/>
      </c>
      <c r="AN854" s="34" t="str">
        <f aca="false">IF($B854="","",COUNTIF($F854:$AJ854,"L"))</f>
        <v/>
      </c>
      <c r="AO854" s="34" t="str">
        <f aca="false">IF($B854="","",COUNTIF($F854:$AJ854,"PL"))</f>
        <v/>
      </c>
      <c r="AP854" s="34" t="str">
        <f aca="false">IF($B854="","",COUNTIF($F854:$AJ854,"CL"))</f>
        <v/>
      </c>
      <c r="AQ854" s="34" t="str">
        <f aca="false">IF($B854="","",COUNTIF($F854:$AJ854,"SL"))</f>
        <v/>
      </c>
      <c r="AR854" s="34" t="str">
        <f aca="false">IF($B854="","",COUNTIF($F854:$AJ854,"CO"))</f>
        <v/>
      </c>
      <c r="AS854" s="34" t="str">
        <f aca="false">IF($B854="","",COUNTIF($F854:$AJ854,"HPL"))</f>
        <v/>
      </c>
      <c r="AT854" s="34" t="str">
        <f aca="false">IF($B854="","",COUNTIF($F854:$AJ854,"HCL"))</f>
        <v/>
      </c>
      <c r="AU854" s="34" t="str">
        <f aca="false">IF($B854="","",COUNTIF($F854:$AJ854,"WO"))</f>
        <v/>
      </c>
      <c r="AV854" s="34" t="str">
        <f aca="false">IF($B854="","",COUNTIF($F854:$AJ854,"PH"))</f>
        <v/>
      </c>
      <c r="AW854" s="34" t="str">
        <f aca="false">IF($B854="","",COUNTIF($F854:$AJ854,"TR"))</f>
        <v/>
      </c>
      <c r="AX854" s="35" t="str">
        <f aca="false">IF($B854="","",AO854+AS854/2)</f>
        <v/>
      </c>
      <c r="AY854" s="35" t="str">
        <f aca="false">IF($B854="","",AQ854)</f>
        <v/>
      </c>
      <c r="AZ854" s="35" t="str">
        <f aca="false">IF($B854="","",AP854+AT854/2)</f>
        <v/>
      </c>
      <c r="BA854" s="35" t="str">
        <f aca="false">IF($B854="","",AK854+AN854+AM854/2+AO854+AP854+AQ854+AR854+AS854+AT854+AU854+AV854+AW854)</f>
        <v/>
      </c>
      <c r="BB854" s="35" t="str">
        <f aca="false">IF($B854="","",MAX(0,AN854-Settings!$C$16)*Settings!$C$17)</f>
        <v/>
      </c>
      <c r="BC854" s="35" t="str">
        <f aca="false">IF($B854="","",BA854-BB854)</f>
        <v/>
      </c>
      <c r="BD854" s="35" t="str">
        <f aca="false">IF(OR($B854="",$A854=""),"",DAY(EOMONTH($A854,0))-COUNTA($F854:$AJ854))</f>
        <v/>
      </c>
    </row>
    <row r="855" customFormat="false" ht="15" hidden="false" customHeight="false" outlineLevel="0" collapsed="false">
      <c r="A855" s="32"/>
      <c r="B855" s="29"/>
      <c r="C855" s="10" t="str">
        <f aca="false">IF($B855="","",IFERROR(INDEX(M_name,MATCH($B855,M_emp,0)),"Code not found"))</f>
        <v/>
      </c>
      <c r="D855" s="10" t="str">
        <f aca="false">IF($B855="","",IFERROR(INDEX(M_dept,MATCH($B855,M_emp,0)),""))</f>
        <v/>
      </c>
      <c r="E855" s="10" t="str">
        <f aca="false">IF($B855="","",IFERROR(INDEX(M_loc,MATCH($B855,M_emp,0)),""))</f>
        <v/>
      </c>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4" t="str">
        <f aca="false">IF($B855="","",COUNTIF($F855:$AJ855,"P"))</f>
        <v/>
      </c>
      <c r="AL855" s="34" t="str">
        <f aca="false">IF($B855="","",COUNTIF($F855:$AJ855,"A"))</f>
        <v/>
      </c>
      <c r="AM855" s="34" t="str">
        <f aca="false">IF($B855="","",COUNTIF($F855:$AJ855,"HA"))</f>
        <v/>
      </c>
      <c r="AN855" s="34" t="str">
        <f aca="false">IF($B855="","",COUNTIF($F855:$AJ855,"L"))</f>
        <v/>
      </c>
      <c r="AO855" s="34" t="str">
        <f aca="false">IF($B855="","",COUNTIF($F855:$AJ855,"PL"))</f>
        <v/>
      </c>
      <c r="AP855" s="34" t="str">
        <f aca="false">IF($B855="","",COUNTIF($F855:$AJ855,"CL"))</f>
        <v/>
      </c>
      <c r="AQ855" s="34" t="str">
        <f aca="false">IF($B855="","",COUNTIF($F855:$AJ855,"SL"))</f>
        <v/>
      </c>
      <c r="AR855" s="34" t="str">
        <f aca="false">IF($B855="","",COUNTIF($F855:$AJ855,"CO"))</f>
        <v/>
      </c>
      <c r="AS855" s="34" t="str">
        <f aca="false">IF($B855="","",COUNTIF($F855:$AJ855,"HPL"))</f>
        <v/>
      </c>
      <c r="AT855" s="34" t="str">
        <f aca="false">IF($B855="","",COUNTIF($F855:$AJ855,"HCL"))</f>
        <v/>
      </c>
      <c r="AU855" s="34" t="str">
        <f aca="false">IF($B855="","",COUNTIF($F855:$AJ855,"WO"))</f>
        <v/>
      </c>
      <c r="AV855" s="34" t="str">
        <f aca="false">IF($B855="","",COUNTIF($F855:$AJ855,"PH"))</f>
        <v/>
      </c>
      <c r="AW855" s="34" t="str">
        <f aca="false">IF($B855="","",COUNTIF($F855:$AJ855,"TR"))</f>
        <v/>
      </c>
      <c r="AX855" s="35" t="str">
        <f aca="false">IF($B855="","",AO855+AS855/2)</f>
        <v/>
      </c>
      <c r="AY855" s="35" t="str">
        <f aca="false">IF($B855="","",AQ855)</f>
        <v/>
      </c>
      <c r="AZ855" s="35" t="str">
        <f aca="false">IF($B855="","",AP855+AT855/2)</f>
        <v/>
      </c>
      <c r="BA855" s="35" t="str">
        <f aca="false">IF($B855="","",AK855+AN855+AM855/2+AO855+AP855+AQ855+AR855+AS855+AT855+AU855+AV855+AW855)</f>
        <v/>
      </c>
      <c r="BB855" s="35" t="str">
        <f aca="false">IF($B855="","",MAX(0,AN855-Settings!$C$16)*Settings!$C$17)</f>
        <v/>
      </c>
      <c r="BC855" s="35" t="str">
        <f aca="false">IF($B855="","",BA855-BB855)</f>
        <v/>
      </c>
      <c r="BD855" s="35" t="str">
        <f aca="false">IF(OR($B855="",$A855=""),"",DAY(EOMONTH($A855,0))-COUNTA($F855:$AJ855))</f>
        <v/>
      </c>
    </row>
    <row r="856" customFormat="false" ht="15" hidden="false" customHeight="false" outlineLevel="0" collapsed="false">
      <c r="A856" s="32"/>
      <c r="B856" s="29"/>
      <c r="C856" s="10" t="str">
        <f aca="false">IF($B856="","",IFERROR(INDEX(M_name,MATCH($B856,M_emp,0)),"Code not found"))</f>
        <v/>
      </c>
      <c r="D856" s="10" t="str">
        <f aca="false">IF($B856="","",IFERROR(INDEX(M_dept,MATCH($B856,M_emp,0)),""))</f>
        <v/>
      </c>
      <c r="E856" s="10" t="str">
        <f aca="false">IF($B856="","",IFERROR(INDEX(M_loc,MATCH($B856,M_emp,0)),""))</f>
        <v/>
      </c>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4" t="str">
        <f aca="false">IF($B856="","",COUNTIF($F856:$AJ856,"P"))</f>
        <v/>
      </c>
      <c r="AL856" s="34" t="str">
        <f aca="false">IF($B856="","",COUNTIF($F856:$AJ856,"A"))</f>
        <v/>
      </c>
      <c r="AM856" s="34" t="str">
        <f aca="false">IF($B856="","",COUNTIF($F856:$AJ856,"HA"))</f>
        <v/>
      </c>
      <c r="AN856" s="34" t="str">
        <f aca="false">IF($B856="","",COUNTIF($F856:$AJ856,"L"))</f>
        <v/>
      </c>
      <c r="AO856" s="34" t="str">
        <f aca="false">IF($B856="","",COUNTIF($F856:$AJ856,"PL"))</f>
        <v/>
      </c>
      <c r="AP856" s="34" t="str">
        <f aca="false">IF($B856="","",COUNTIF($F856:$AJ856,"CL"))</f>
        <v/>
      </c>
      <c r="AQ856" s="34" t="str">
        <f aca="false">IF($B856="","",COUNTIF($F856:$AJ856,"SL"))</f>
        <v/>
      </c>
      <c r="AR856" s="34" t="str">
        <f aca="false">IF($B856="","",COUNTIF($F856:$AJ856,"CO"))</f>
        <v/>
      </c>
      <c r="AS856" s="34" t="str">
        <f aca="false">IF($B856="","",COUNTIF($F856:$AJ856,"HPL"))</f>
        <v/>
      </c>
      <c r="AT856" s="34" t="str">
        <f aca="false">IF($B856="","",COUNTIF($F856:$AJ856,"HCL"))</f>
        <v/>
      </c>
      <c r="AU856" s="34" t="str">
        <f aca="false">IF($B856="","",COUNTIF($F856:$AJ856,"WO"))</f>
        <v/>
      </c>
      <c r="AV856" s="34" t="str">
        <f aca="false">IF($B856="","",COUNTIF($F856:$AJ856,"PH"))</f>
        <v/>
      </c>
      <c r="AW856" s="34" t="str">
        <f aca="false">IF($B856="","",COUNTIF($F856:$AJ856,"TR"))</f>
        <v/>
      </c>
      <c r="AX856" s="35" t="str">
        <f aca="false">IF($B856="","",AO856+AS856/2)</f>
        <v/>
      </c>
      <c r="AY856" s="35" t="str">
        <f aca="false">IF($B856="","",AQ856)</f>
        <v/>
      </c>
      <c r="AZ856" s="35" t="str">
        <f aca="false">IF($B856="","",AP856+AT856/2)</f>
        <v/>
      </c>
      <c r="BA856" s="35" t="str">
        <f aca="false">IF($B856="","",AK856+AN856+AM856/2+AO856+AP856+AQ856+AR856+AS856+AT856+AU856+AV856+AW856)</f>
        <v/>
      </c>
      <c r="BB856" s="35" t="str">
        <f aca="false">IF($B856="","",MAX(0,AN856-Settings!$C$16)*Settings!$C$17)</f>
        <v/>
      </c>
      <c r="BC856" s="35" t="str">
        <f aca="false">IF($B856="","",BA856-BB856)</f>
        <v/>
      </c>
      <c r="BD856" s="35" t="str">
        <f aca="false">IF(OR($B856="",$A856=""),"",DAY(EOMONTH($A856,0))-COUNTA($F856:$AJ856))</f>
        <v/>
      </c>
    </row>
    <row r="857" customFormat="false" ht="15" hidden="false" customHeight="false" outlineLevel="0" collapsed="false">
      <c r="A857" s="32"/>
      <c r="B857" s="29"/>
      <c r="C857" s="10" t="str">
        <f aca="false">IF($B857="","",IFERROR(INDEX(M_name,MATCH($B857,M_emp,0)),"Code not found"))</f>
        <v/>
      </c>
      <c r="D857" s="10" t="str">
        <f aca="false">IF($B857="","",IFERROR(INDEX(M_dept,MATCH($B857,M_emp,0)),""))</f>
        <v/>
      </c>
      <c r="E857" s="10" t="str">
        <f aca="false">IF($B857="","",IFERROR(INDEX(M_loc,MATCH($B857,M_emp,0)),""))</f>
        <v/>
      </c>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4" t="str">
        <f aca="false">IF($B857="","",COUNTIF($F857:$AJ857,"P"))</f>
        <v/>
      </c>
      <c r="AL857" s="34" t="str">
        <f aca="false">IF($B857="","",COUNTIF($F857:$AJ857,"A"))</f>
        <v/>
      </c>
      <c r="AM857" s="34" t="str">
        <f aca="false">IF($B857="","",COUNTIF($F857:$AJ857,"HA"))</f>
        <v/>
      </c>
      <c r="AN857" s="34" t="str">
        <f aca="false">IF($B857="","",COUNTIF($F857:$AJ857,"L"))</f>
        <v/>
      </c>
      <c r="AO857" s="34" t="str">
        <f aca="false">IF($B857="","",COUNTIF($F857:$AJ857,"PL"))</f>
        <v/>
      </c>
      <c r="AP857" s="34" t="str">
        <f aca="false">IF($B857="","",COUNTIF($F857:$AJ857,"CL"))</f>
        <v/>
      </c>
      <c r="AQ857" s="34" t="str">
        <f aca="false">IF($B857="","",COUNTIF($F857:$AJ857,"SL"))</f>
        <v/>
      </c>
      <c r="AR857" s="34" t="str">
        <f aca="false">IF($B857="","",COUNTIF($F857:$AJ857,"CO"))</f>
        <v/>
      </c>
      <c r="AS857" s="34" t="str">
        <f aca="false">IF($B857="","",COUNTIF($F857:$AJ857,"HPL"))</f>
        <v/>
      </c>
      <c r="AT857" s="34" t="str">
        <f aca="false">IF($B857="","",COUNTIF($F857:$AJ857,"HCL"))</f>
        <v/>
      </c>
      <c r="AU857" s="34" t="str">
        <f aca="false">IF($B857="","",COUNTIF($F857:$AJ857,"WO"))</f>
        <v/>
      </c>
      <c r="AV857" s="34" t="str">
        <f aca="false">IF($B857="","",COUNTIF($F857:$AJ857,"PH"))</f>
        <v/>
      </c>
      <c r="AW857" s="34" t="str">
        <f aca="false">IF($B857="","",COUNTIF($F857:$AJ857,"TR"))</f>
        <v/>
      </c>
      <c r="AX857" s="35" t="str">
        <f aca="false">IF($B857="","",AO857+AS857/2)</f>
        <v/>
      </c>
      <c r="AY857" s="35" t="str">
        <f aca="false">IF($B857="","",AQ857)</f>
        <v/>
      </c>
      <c r="AZ857" s="35" t="str">
        <f aca="false">IF($B857="","",AP857+AT857/2)</f>
        <v/>
      </c>
      <c r="BA857" s="35" t="str">
        <f aca="false">IF($B857="","",AK857+AN857+AM857/2+AO857+AP857+AQ857+AR857+AS857+AT857+AU857+AV857+AW857)</f>
        <v/>
      </c>
      <c r="BB857" s="35" t="str">
        <f aca="false">IF($B857="","",MAX(0,AN857-Settings!$C$16)*Settings!$C$17)</f>
        <v/>
      </c>
      <c r="BC857" s="35" t="str">
        <f aca="false">IF($B857="","",BA857-BB857)</f>
        <v/>
      </c>
      <c r="BD857" s="35" t="str">
        <f aca="false">IF(OR($B857="",$A857=""),"",DAY(EOMONTH($A857,0))-COUNTA($F857:$AJ857))</f>
        <v/>
      </c>
    </row>
    <row r="858" customFormat="false" ht="15" hidden="false" customHeight="false" outlineLevel="0" collapsed="false">
      <c r="A858" s="32"/>
      <c r="B858" s="29"/>
      <c r="C858" s="10" t="str">
        <f aca="false">IF($B858="","",IFERROR(INDEX(M_name,MATCH($B858,M_emp,0)),"Code not found"))</f>
        <v/>
      </c>
      <c r="D858" s="10" t="str">
        <f aca="false">IF($B858="","",IFERROR(INDEX(M_dept,MATCH($B858,M_emp,0)),""))</f>
        <v/>
      </c>
      <c r="E858" s="10" t="str">
        <f aca="false">IF($B858="","",IFERROR(INDEX(M_loc,MATCH($B858,M_emp,0)),""))</f>
        <v/>
      </c>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4" t="str">
        <f aca="false">IF($B858="","",COUNTIF($F858:$AJ858,"P"))</f>
        <v/>
      </c>
      <c r="AL858" s="34" t="str">
        <f aca="false">IF($B858="","",COUNTIF($F858:$AJ858,"A"))</f>
        <v/>
      </c>
      <c r="AM858" s="34" t="str">
        <f aca="false">IF($B858="","",COUNTIF($F858:$AJ858,"HA"))</f>
        <v/>
      </c>
      <c r="AN858" s="34" t="str">
        <f aca="false">IF($B858="","",COUNTIF($F858:$AJ858,"L"))</f>
        <v/>
      </c>
      <c r="AO858" s="34" t="str">
        <f aca="false">IF($B858="","",COUNTIF($F858:$AJ858,"PL"))</f>
        <v/>
      </c>
      <c r="AP858" s="34" t="str">
        <f aca="false">IF($B858="","",COUNTIF($F858:$AJ858,"CL"))</f>
        <v/>
      </c>
      <c r="AQ858" s="34" t="str">
        <f aca="false">IF($B858="","",COUNTIF($F858:$AJ858,"SL"))</f>
        <v/>
      </c>
      <c r="AR858" s="34" t="str">
        <f aca="false">IF($B858="","",COUNTIF($F858:$AJ858,"CO"))</f>
        <v/>
      </c>
      <c r="AS858" s="34" t="str">
        <f aca="false">IF($B858="","",COUNTIF($F858:$AJ858,"HPL"))</f>
        <v/>
      </c>
      <c r="AT858" s="34" t="str">
        <f aca="false">IF($B858="","",COUNTIF($F858:$AJ858,"HCL"))</f>
        <v/>
      </c>
      <c r="AU858" s="34" t="str">
        <f aca="false">IF($B858="","",COUNTIF($F858:$AJ858,"WO"))</f>
        <v/>
      </c>
      <c r="AV858" s="34" t="str">
        <f aca="false">IF($B858="","",COUNTIF($F858:$AJ858,"PH"))</f>
        <v/>
      </c>
      <c r="AW858" s="34" t="str">
        <f aca="false">IF($B858="","",COUNTIF($F858:$AJ858,"TR"))</f>
        <v/>
      </c>
      <c r="AX858" s="35" t="str">
        <f aca="false">IF($B858="","",AO858+AS858/2)</f>
        <v/>
      </c>
      <c r="AY858" s="35" t="str">
        <f aca="false">IF($B858="","",AQ858)</f>
        <v/>
      </c>
      <c r="AZ858" s="35" t="str">
        <f aca="false">IF($B858="","",AP858+AT858/2)</f>
        <v/>
      </c>
      <c r="BA858" s="35" t="str">
        <f aca="false">IF($B858="","",AK858+AN858+AM858/2+AO858+AP858+AQ858+AR858+AS858+AT858+AU858+AV858+AW858)</f>
        <v/>
      </c>
      <c r="BB858" s="35" t="str">
        <f aca="false">IF($B858="","",MAX(0,AN858-Settings!$C$16)*Settings!$C$17)</f>
        <v/>
      </c>
      <c r="BC858" s="35" t="str">
        <f aca="false">IF($B858="","",BA858-BB858)</f>
        <v/>
      </c>
      <c r="BD858" s="35" t="str">
        <f aca="false">IF(OR($B858="",$A858=""),"",DAY(EOMONTH($A858,0))-COUNTA($F858:$AJ858))</f>
        <v/>
      </c>
    </row>
    <row r="859" customFormat="false" ht="15" hidden="false" customHeight="false" outlineLevel="0" collapsed="false">
      <c r="A859" s="32"/>
      <c r="B859" s="29"/>
      <c r="C859" s="10" t="str">
        <f aca="false">IF($B859="","",IFERROR(INDEX(M_name,MATCH($B859,M_emp,0)),"Code not found"))</f>
        <v/>
      </c>
      <c r="D859" s="10" t="str">
        <f aca="false">IF($B859="","",IFERROR(INDEX(M_dept,MATCH($B859,M_emp,0)),""))</f>
        <v/>
      </c>
      <c r="E859" s="10" t="str">
        <f aca="false">IF($B859="","",IFERROR(INDEX(M_loc,MATCH($B859,M_emp,0)),""))</f>
        <v/>
      </c>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4" t="str">
        <f aca="false">IF($B859="","",COUNTIF($F859:$AJ859,"P"))</f>
        <v/>
      </c>
      <c r="AL859" s="34" t="str">
        <f aca="false">IF($B859="","",COUNTIF($F859:$AJ859,"A"))</f>
        <v/>
      </c>
      <c r="AM859" s="34" t="str">
        <f aca="false">IF($B859="","",COUNTIF($F859:$AJ859,"HA"))</f>
        <v/>
      </c>
      <c r="AN859" s="34" t="str">
        <f aca="false">IF($B859="","",COUNTIF($F859:$AJ859,"L"))</f>
        <v/>
      </c>
      <c r="AO859" s="34" t="str">
        <f aca="false">IF($B859="","",COUNTIF($F859:$AJ859,"PL"))</f>
        <v/>
      </c>
      <c r="AP859" s="34" t="str">
        <f aca="false">IF($B859="","",COUNTIF($F859:$AJ859,"CL"))</f>
        <v/>
      </c>
      <c r="AQ859" s="34" t="str">
        <f aca="false">IF($B859="","",COUNTIF($F859:$AJ859,"SL"))</f>
        <v/>
      </c>
      <c r="AR859" s="34" t="str">
        <f aca="false">IF($B859="","",COUNTIF($F859:$AJ859,"CO"))</f>
        <v/>
      </c>
      <c r="AS859" s="34" t="str">
        <f aca="false">IF($B859="","",COUNTIF($F859:$AJ859,"HPL"))</f>
        <v/>
      </c>
      <c r="AT859" s="34" t="str">
        <f aca="false">IF($B859="","",COUNTIF($F859:$AJ859,"HCL"))</f>
        <v/>
      </c>
      <c r="AU859" s="34" t="str">
        <f aca="false">IF($B859="","",COUNTIF($F859:$AJ859,"WO"))</f>
        <v/>
      </c>
      <c r="AV859" s="34" t="str">
        <f aca="false">IF($B859="","",COUNTIF($F859:$AJ859,"PH"))</f>
        <v/>
      </c>
      <c r="AW859" s="34" t="str">
        <f aca="false">IF($B859="","",COUNTIF($F859:$AJ859,"TR"))</f>
        <v/>
      </c>
      <c r="AX859" s="35" t="str">
        <f aca="false">IF($B859="","",AO859+AS859/2)</f>
        <v/>
      </c>
      <c r="AY859" s="35" t="str">
        <f aca="false">IF($B859="","",AQ859)</f>
        <v/>
      </c>
      <c r="AZ859" s="35" t="str">
        <f aca="false">IF($B859="","",AP859+AT859/2)</f>
        <v/>
      </c>
      <c r="BA859" s="35" t="str">
        <f aca="false">IF($B859="","",AK859+AN859+AM859/2+AO859+AP859+AQ859+AR859+AS859+AT859+AU859+AV859+AW859)</f>
        <v/>
      </c>
      <c r="BB859" s="35" t="str">
        <f aca="false">IF($B859="","",MAX(0,AN859-Settings!$C$16)*Settings!$C$17)</f>
        <v/>
      </c>
      <c r="BC859" s="35" t="str">
        <f aca="false">IF($B859="","",BA859-BB859)</f>
        <v/>
      </c>
      <c r="BD859" s="35" t="str">
        <f aca="false">IF(OR($B859="",$A859=""),"",DAY(EOMONTH($A859,0))-COUNTA($F859:$AJ859))</f>
        <v/>
      </c>
    </row>
    <row r="860" customFormat="false" ht="15" hidden="false" customHeight="false" outlineLevel="0" collapsed="false">
      <c r="A860" s="32"/>
      <c r="B860" s="29"/>
      <c r="C860" s="10" t="str">
        <f aca="false">IF($B860="","",IFERROR(INDEX(M_name,MATCH($B860,M_emp,0)),"Code not found"))</f>
        <v/>
      </c>
      <c r="D860" s="10" t="str">
        <f aca="false">IF($B860="","",IFERROR(INDEX(M_dept,MATCH($B860,M_emp,0)),""))</f>
        <v/>
      </c>
      <c r="E860" s="10" t="str">
        <f aca="false">IF($B860="","",IFERROR(INDEX(M_loc,MATCH($B860,M_emp,0)),""))</f>
        <v/>
      </c>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4" t="str">
        <f aca="false">IF($B860="","",COUNTIF($F860:$AJ860,"P"))</f>
        <v/>
      </c>
      <c r="AL860" s="34" t="str">
        <f aca="false">IF($B860="","",COUNTIF($F860:$AJ860,"A"))</f>
        <v/>
      </c>
      <c r="AM860" s="34" t="str">
        <f aca="false">IF($B860="","",COUNTIF($F860:$AJ860,"HA"))</f>
        <v/>
      </c>
      <c r="AN860" s="34" t="str">
        <f aca="false">IF($B860="","",COUNTIF($F860:$AJ860,"L"))</f>
        <v/>
      </c>
      <c r="AO860" s="34" t="str">
        <f aca="false">IF($B860="","",COUNTIF($F860:$AJ860,"PL"))</f>
        <v/>
      </c>
      <c r="AP860" s="34" t="str">
        <f aca="false">IF($B860="","",COUNTIF($F860:$AJ860,"CL"))</f>
        <v/>
      </c>
      <c r="AQ860" s="34" t="str">
        <f aca="false">IF($B860="","",COUNTIF($F860:$AJ860,"SL"))</f>
        <v/>
      </c>
      <c r="AR860" s="34" t="str">
        <f aca="false">IF($B860="","",COUNTIF($F860:$AJ860,"CO"))</f>
        <v/>
      </c>
      <c r="AS860" s="34" t="str">
        <f aca="false">IF($B860="","",COUNTIF($F860:$AJ860,"HPL"))</f>
        <v/>
      </c>
      <c r="AT860" s="34" t="str">
        <f aca="false">IF($B860="","",COUNTIF($F860:$AJ860,"HCL"))</f>
        <v/>
      </c>
      <c r="AU860" s="34" t="str">
        <f aca="false">IF($B860="","",COUNTIF($F860:$AJ860,"WO"))</f>
        <v/>
      </c>
      <c r="AV860" s="34" t="str">
        <f aca="false">IF($B860="","",COUNTIF($F860:$AJ860,"PH"))</f>
        <v/>
      </c>
      <c r="AW860" s="34" t="str">
        <f aca="false">IF($B860="","",COUNTIF($F860:$AJ860,"TR"))</f>
        <v/>
      </c>
      <c r="AX860" s="35" t="str">
        <f aca="false">IF($B860="","",AO860+AS860/2)</f>
        <v/>
      </c>
      <c r="AY860" s="35" t="str">
        <f aca="false">IF($B860="","",AQ860)</f>
        <v/>
      </c>
      <c r="AZ860" s="35" t="str">
        <f aca="false">IF($B860="","",AP860+AT860/2)</f>
        <v/>
      </c>
      <c r="BA860" s="35" t="str">
        <f aca="false">IF($B860="","",AK860+AN860+AM860/2+AO860+AP860+AQ860+AR860+AS860+AT860+AU860+AV860+AW860)</f>
        <v/>
      </c>
      <c r="BB860" s="35" t="str">
        <f aca="false">IF($B860="","",MAX(0,AN860-Settings!$C$16)*Settings!$C$17)</f>
        <v/>
      </c>
      <c r="BC860" s="35" t="str">
        <f aca="false">IF($B860="","",BA860-BB860)</f>
        <v/>
      </c>
      <c r="BD860" s="35" t="str">
        <f aca="false">IF(OR($B860="",$A860=""),"",DAY(EOMONTH($A860,0))-COUNTA($F860:$AJ860))</f>
        <v/>
      </c>
    </row>
    <row r="861" customFormat="false" ht="15" hidden="false" customHeight="false" outlineLevel="0" collapsed="false">
      <c r="A861" s="32"/>
      <c r="B861" s="29"/>
      <c r="C861" s="10" t="str">
        <f aca="false">IF($B861="","",IFERROR(INDEX(M_name,MATCH($B861,M_emp,0)),"Code not found"))</f>
        <v/>
      </c>
      <c r="D861" s="10" t="str">
        <f aca="false">IF($B861="","",IFERROR(INDEX(M_dept,MATCH($B861,M_emp,0)),""))</f>
        <v/>
      </c>
      <c r="E861" s="10" t="str">
        <f aca="false">IF($B861="","",IFERROR(INDEX(M_loc,MATCH($B861,M_emp,0)),""))</f>
        <v/>
      </c>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4" t="str">
        <f aca="false">IF($B861="","",COUNTIF($F861:$AJ861,"P"))</f>
        <v/>
      </c>
      <c r="AL861" s="34" t="str">
        <f aca="false">IF($B861="","",COUNTIF($F861:$AJ861,"A"))</f>
        <v/>
      </c>
      <c r="AM861" s="34" t="str">
        <f aca="false">IF($B861="","",COUNTIF($F861:$AJ861,"HA"))</f>
        <v/>
      </c>
      <c r="AN861" s="34" t="str">
        <f aca="false">IF($B861="","",COUNTIF($F861:$AJ861,"L"))</f>
        <v/>
      </c>
      <c r="AO861" s="34" t="str">
        <f aca="false">IF($B861="","",COUNTIF($F861:$AJ861,"PL"))</f>
        <v/>
      </c>
      <c r="AP861" s="34" t="str">
        <f aca="false">IF($B861="","",COUNTIF($F861:$AJ861,"CL"))</f>
        <v/>
      </c>
      <c r="AQ861" s="34" t="str">
        <f aca="false">IF($B861="","",COUNTIF($F861:$AJ861,"SL"))</f>
        <v/>
      </c>
      <c r="AR861" s="34" t="str">
        <f aca="false">IF($B861="","",COUNTIF($F861:$AJ861,"CO"))</f>
        <v/>
      </c>
      <c r="AS861" s="34" t="str">
        <f aca="false">IF($B861="","",COUNTIF($F861:$AJ861,"HPL"))</f>
        <v/>
      </c>
      <c r="AT861" s="34" t="str">
        <f aca="false">IF($B861="","",COUNTIF($F861:$AJ861,"HCL"))</f>
        <v/>
      </c>
      <c r="AU861" s="34" t="str">
        <f aca="false">IF($B861="","",COUNTIF($F861:$AJ861,"WO"))</f>
        <v/>
      </c>
      <c r="AV861" s="34" t="str">
        <f aca="false">IF($B861="","",COUNTIF($F861:$AJ861,"PH"))</f>
        <v/>
      </c>
      <c r="AW861" s="34" t="str">
        <f aca="false">IF($B861="","",COUNTIF($F861:$AJ861,"TR"))</f>
        <v/>
      </c>
      <c r="AX861" s="35" t="str">
        <f aca="false">IF($B861="","",AO861+AS861/2)</f>
        <v/>
      </c>
      <c r="AY861" s="35" t="str">
        <f aca="false">IF($B861="","",AQ861)</f>
        <v/>
      </c>
      <c r="AZ861" s="35" t="str">
        <f aca="false">IF($B861="","",AP861+AT861/2)</f>
        <v/>
      </c>
      <c r="BA861" s="35" t="str">
        <f aca="false">IF($B861="","",AK861+AN861+AM861/2+AO861+AP861+AQ861+AR861+AS861+AT861+AU861+AV861+AW861)</f>
        <v/>
      </c>
      <c r="BB861" s="35" t="str">
        <f aca="false">IF($B861="","",MAX(0,AN861-Settings!$C$16)*Settings!$C$17)</f>
        <v/>
      </c>
      <c r="BC861" s="35" t="str">
        <f aca="false">IF($B861="","",BA861-BB861)</f>
        <v/>
      </c>
      <c r="BD861" s="35" t="str">
        <f aca="false">IF(OR($B861="",$A861=""),"",DAY(EOMONTH($A861,0))-COUNTA($F861:$AJ861))</f>
        <v/>
      </c>
    </row>
    <row r="862" customFormat="false" ht="15" hidden="false" customHeight="false" outlineLevel="0" collapsed="false">
      <c r="A862" s="32"/>
      <c r="B862" s="29"/>
      <c r="C862" s="10" t="str">
        <f aca="false">IF($B862="","",IFERROR(INDEX(M_name,MATCH($B862,M_emp,0)),"Code not found"))</f>
        <v/>
      </c>
      <c r="D862" s="10" t="str">
        <f aca="false">IF($B862="","",IFERROR(INDEX(M_dept,MATCH($B862,M_emp,0)),""))</f>
        <v/>
      </c>
      <c r="E862" s="10" t="str">
        <f aca="false">IF($B862="","",IFERROR(INDEX(M_loc,MATCH($B862,M_emp,0)),""))</f>
        <v/>
      </c>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4" t="str">
        <f aca="false">IF($B862="","",COUNTIF($F862:$AJ862,"P"))</f>
        <v/>
      </c>
      <c r="AL862" s="34" t="str">
        <f aca="false">IF($B862="","",COUNTIF($F862:$AJ862,"A"))</f>
        <v/>
      </c>
      <c r="AM862" s="34" t="str">
        <f aca="false">IF($B862="","",COUNTIF($F862:$AJ862,"HA"))</f>
        <v/>
      </c>
      <c r="AN862" s="34" t="str">
        <f aca="false">IF($B862="","",COUNTIF($F862:$AJ862,"L"))</f>
        <v/>
      </c>
      <c r="AO862" s="34" t="str">
        <f aca="false">IF($B862="","",COUNTIF($F862:$AJ862,"PL"))</f>
        <v/>
      </c>
      <c r="AP862" s="34" t="str">
        <f aca="false">IF($B862="","",COUNTIF($F862:$AJ862,"CL"))</f>
        <v/>
      </c>
      <c r="AQ862" s="34" t="str">
        <f aca="false">IF($B862="","",COUNTIF($F862:$AJ862,"SL"))</f>
        <v/>
      </c>
      <c r="AR862" s="34" t="str">
        <f aca="false">IF($B862="","",COUNTIF($F862:$AJ862,"CO"))</f>
        <v/>
      </c>
      <c r="AS862" s="34" t="str">
        <f aca="false">IF($B862="","",COUNTIF($F862:$AJ862,"HPL"))</f>
        <v/>
      </c>
      <c r="AT862" s="34" t="str">
        <f aca="false">IF($B862="","",COUNTIF($F862:$AJ862,"HCL"))</f>
        <v/>
      </c>
      <c r="AU862" s="34" t="str">
        <f aca="false">IF($B862="","",COUNTIF($F862:$AJ862,"WO"))</f>
        <v/>
      </c>
      <c r="AV862" s="34" t="str">
        <f aca="false">IF($B862="","",COUNTIF($F862:$AJ862,"PH"))</f>
        <v/>
      </c>
      <c r="AW862" s="34" t="str">
        <f aca="false">IF($B862="","",COUNTIF($F862:$AJ862,"TR"))</f>
        <v/>
      </c>
      <c r="AX862" s="35" t="str">
        <f aca="false">IF($B862="","",AO862+AS862/2)</f>
        <v/>
      </c>
      <c r="AY862" s="35" t="str">
        <f aca="false">IF($B862="","",AQ862)</f>
        <v/>
      </c>
      <c r="AZ862" s="35" t="str">
        <f aca="false">IF($B862="","",AP862+AT862/2)</f>
        <v/>
      </c>
      <c r="BA862" s="35" t="str">
        <f aca="false">IF($B862="","",AK862+AN862+AM862/2+AO862+AP862+AQ862+AR862+AS862+AT862+AU862+AV862+AW862)</f>
        <v/>
      </c>
      <c r="BB862" s="35" t="str">
        <f aca="false">IF($B862="","",MAX(0,AN862-Settings!$C$16)*Settings!$C$17)</f>
        <v/>
      </c>
      <c r="BC862" s="35" t="str">
        <f aca="false">IF($B862="","",BA862-BB862)</f>
        <v/>
      </c>
      <c r="BD862" s="35" t="str">
        <f aca="false">IF(OR($B862="",$A862=""),"",DAY(EOMONTH($A862,0))-COUNTA($F862:$AJ862))</f>
        <v/>
      </c>
    </row>
    <row r="863" customFormat="false" ht="15" hidden="false" customHeight="false" outlineLevel="0" collapsed="false">
      <c r="A863" s="32"/>
      <c r="B863" s="29"/>
      <c r="C863" s="10" t="str">
        <f aca="false">IF($B863="","",IFERROR(INDEX(M_name,MATCH($B863,M_emp,0)),"Code not found"))</f>
        <v/>
      </c>
      <c r="D863" s="10" t="str">
        <f aca="false">IF($B863="","",IFERROR(INDEX(M_dept,MATCH($B863,M_emp,0)),""))</f>
        <v/>
      </c>
      <c r="E863" s="10" t="str">
        <f aca="false">IF($B863="","",IFERROR(INDEX(M_loc,MATCH($B863,M_emp,0)),""))</f>
        <v/>
      </c>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4" t="str">
        <f aca="false">IF($B863="","",COUNTIF($F863:$AJ863,"P"))</f>
        <v/>
      </c>
      <c r="AL863" s="34" t="str">
        <f aca="false">IF($B863="","",COUNTIF($F863:$AJ863,"A"))</f>
        <v/>
      </c>
      <c r="AM863" s="34" t="str">
        <f aca="false">IF($B863="","",COUNTIF($F863:$AJ863,"HA"))</f>
        <v/>
      </c>
      <c r="AN863" s="34" t="str">
        <f aca="false">IF($B863="","",COUNTIF($F863:$AJ863,"L"))</f>
        <v/>
      </c>
      <c r="AO863" s="34" t="str">
        <f aca="false">IF($B863="","",COUNTIF($F863:$AJ863,"PL"))</f>
        <v/>
      </c>
      <c r="AP863" s="34" t="str">
        <f aca="false">IF($B863="","",COUNTIF($F863:$AJ863,"CL"))</f>
        <v/>
      </c>
      <c r="AQ863" s="34" t="str">
        <f aca="false">IF($B863="","",COUNTIF($F863:$AJ863,"SL"))</f>
        <v/>
      </c>
      <c r="AR863" s="34" t="str">
        <f aca="false">IF($B863="","",COUNTIF($F863:$AJ863,"CO"))</f>
        <v/>
      </c>
      <c r="AS863" s="34" t="str">
        <f aca="false">IF($B863="","",COUNTIF($F863:$AJ863,"HPL"))</f>
        <v/>
      </c>
      <c r="AT863" s="34" t="str">
        <f aca="false">IF($B863="","",COUNTIF($F863:$AJ863,"HCL"))</f>
        <v/>
      </c>
      <c r="AU863" s="34" t="str">
        <f aca="false">IF($B863="","",COUNTIF($F863:$AJ863,"WO"))</f>
        <v/>
      </c>
      <c r="AV863" s="34" t="str">
        <f aca="false">IF($B863="","",COUNTIF($F863:$AJ863,"PH"))</f>
        <v/>
      </c>
      <c r="AW863" s="34" t="str">
        <f aca="false">IF($B863="","",COUNTIF($F863:$AJ863,"TR"))</f>
        <v/>
      </c>
      <c r="AX863" s="35" t="str">
        <f aca="false">IF($B863="","",AO863+AS863/2)</f>
        <v/>
      </c>
      <c r="AY863" s="35" t="str">
        <f aca="false">IF($B863="","",AQ863)</f>
        <v/>
      </c>
      <c r="AZ863" s="35" t="str">
        <f aca="false">IF($B863="","",AP863+AT863/2)</f>
        <v/>
      </c>
      <c r="BA863" s="35" t="str">
        <f aca="false">IF($B863="","",AK863+AN863+AM863/2+AO863+AP863+AQ863+AR863+AS863+AT863+AU863+AV863+AW863)</f>
        <v/>
      </c>
      <c r="BB863" s="35" t="str">
        <f aca="false">IF($B863="","",MAX(0,AN863-Settings!$C$16)*Settings!$C$17)</f>
        <v/>
      </c>
      <c r="BC863" s="35" t="str">
        <f aca="false">IF($B863="","",BA863-BB863)</f>
        <v/>
      </c>
      <c r="BD863" s="35" t="str">
        <f aca="false">IF(OR($B863="",$A863=""),"",DAY(EOMONTH($A863,0))-COUNTA($F863:$AJ863))</f>
        <v/>
      </c>
    </row>
    <row r="864" customFormat="false" ht="15" hidden="false" customHeight="false" outlineLevel="0" collapsed="false">
      <c r="A864" s="32"/>
      <c r="B864" s="29"/>
      <c r="C864" s="10" t="str">
        <f aca="false">IF($B864="","",IFERROR(INDEX(M_name,MATCH($B864,M_emp,0)),"Code not found"))</f>
        <v/>
      </c>
      <c r="D864" s="10" t="str">
        <f aca="false">IF($B864="","",IFERROR(INDEX(M_dept,MATCH($B864,M_emp,0)),""))</f>
        <v/>
      </c>
      <c r="E864" s="10" t="str">
        <f aca="false">IF($B864="","",IFERROR(INDEX(M_loc,MATCH($B864,M_emp,0)),""))</f>
        <v/>
      </c>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4" t="str">
        <f aca="false">IF($B864="","",COUNTIF($F864:$AJ864,"P"))</f>
        <v/>
      </c>
      <c r="AL864" s="34" t="str">
        <f aca="false">IF($B864="","",COUNTIF($F864:$AJ864,"A"))</f>
        <v/>
      </c>
      <c r="AM864" s="34" t="str">
        <f aca="false">IF($B864="","",COUNTIF($F864:$AJ864,"HA"))</f>
        <v/>
      </c>
      <c r="AN864" s="34" t="str">
        <f aca="false">IF($B864="","",COUNTIF($F864:$AJ864,"L"))</f>
        <v/>
      </c>
      <c r="AO864" s="34" t="str">
        <f aca="false">IF($B864="","",COUNTIF($F864:$AJ864,"PL"))</f>
        <v/>
      </c>
      <c r="AP864" s="34" t="str">
        <f aca="false">IF($B864="","",COUNTIF($F864:$AJ864,"CL"))</f>
        <v/>
      </c>
      <c r="AQ864" s="34" t="str">
        <f aca="false">IF($B864="","",COUNTIF($F864:$AJ864,"SL"))</f>
        <v/>
      </c>
      <c r="AR864" s="34" t="str">
        <f aca="false">IF($B864="","",COUNTIF($F864:$AJ864,"CO"))</f>
        <v/>
      </c>
      <c r="AS864" s="34" t="str">
        <f aca="false">IF($B864="","",COUNTIF($F864:$AJ864,"HPL"))</f>
        <v/>
      </c>
      <c r="AT864" s="34" t="str">
        <f aca="false">IF($B864="","",COUNTIF($F864:$AJ864,"HCL"))</f>
        <v/>
      </c>
      <c r="AU864" s="34" t="str">
        <f aca="false">IF($B864="","",COUNTIF($F864:$AJ864,"WO"))</f>
        <v/>
      </c>
      <c r="AV864" s="34" t="str">
        <f aca="false">IF($B864="","",COUNTIF($F864:$AJ864,"PH"))</f>
        <v/>
      </c>
      <c r="AW864" s="34" t="str">
        <f aca="false">IF($B864="","",COUNTIF($F864:$AJ864,"TR"))</f>
        <v/>
      </c>
      <c r="AX864" s="35" t="str">
        <f aca="false">IF($B864="","",AO864+AS864/2)</f>
        <v/>
      </c>
      <c r="AY864" s="35" t="str">
        <f aca="false">IF($B864="","",AQ864)</f>
        <v/>
      </c>
      <c r="AZ864" s="35" t="str">
        <f aca="false">IF($B864="","",AP864+AT864/2)</f>
        <v/>
      </c>
      <c r="BA864" s="35" t="str">
        <f aca="false">IF($B864="","",AK864+AN864+AM864/2+AO864+AP864+AQ864+AR864+AS864+AT864+AU864+AV864+AW864)</f>
        <v/>
      </c>
      <c r="BB864" s="35" t="str">
        <f aca="false">IF($B864="","",MAX(0,AN864-Settings!$C$16)*Settings!$C$17)</f>
        <v/>
      </c>
      <c r="BC864" s="35" t="str">
        <f aca="false">IF($B864="","",BA864-BB864)</f>
        <v/>
      </c>
      <c r="BD864" s="35" t="str">
        <f aca="false">IF(OR($B864="",$A864=""),"",DAY(EOMONTH($A864,0))-COUNTA($F864:$AJ864))</f>
        <v/>
      </c>
    </row>
    <row r="865" customFormat="false" ht="15" hidden="false" customHeight="false" outlineLevel="0" collapsed="false">
      <c r="A865" s="32"/>
      <c r="B865" s="29"/>
      <c r="C865" s="10" t="str">
        <f aca="false">IF($B865="","",IFERROR(INDEX(M_name,MATCH($B865,M_emp,0)),"Code not found"))</f>
        <v/>
      </c>
      <c r="D865" s="10" t="str">
        <f aca="false">IF($B865="","",IFERROR(INDEX(M_dept,MATCH($B865,M_emp,0)),""))</f>
        <v/>
      </c>
      <c r="E865" s="10" t="str">
        <f aca="false">IF($B865="","",IFERROR(INDEX(M_loc,MATCH($B865,M_emp,0)),""))</f>
        <v/>
      </c>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4" t="str">
        <f aca="false">IF($B865="","",COUNTIF($F865:$AJ865,"P"))</f>
        <v/>
      </c>
      <c r="AL865" s="34" t="str">
        <f aca="false">IF($B865="","",COUNTIF($F865:$AJ865,"A"))</f>
        <v/>
      </c>
      <c r="AM865" s="34" t="str">
        <f aca="false">IF($B865="","",COUNTIF($F865:$AJ865,"HA"))</f>
        <v/>
      </c>
      <c r="AN865" s="34" t="str">
        <f aca="false">IF($B865="","",COUNTIF($F865:$AJ865,"L"))</f>
        <v/>
      </c>
      <c r="AO865" s="34" t="str">
        <f aca="false">IF($B865="","",COUNTIF($F865:$AJ865,"PL"))</f>
        <v/>
      </c>
      <c r="AP865" s="34" t="str">
        <f aca="false">IF($B865="","",COUNTIF($F865:$AJ865,"CL"))</f>
        <v/>
      </c>
      <c r="AQ865" s="34" t="str">
        <f aca="false">IF($B865="","",COUNTIF($F865:$AJ865,"SL"))</f>
        <v/>
      </c>
      <c r="AR865" s="34" t="str">
        <f aca="false">IF($B865="","",COUNTIF($F865:$AJ865,"CO"))</f>
        <v/>
      </c>
      <c r="AS865" s="34" t="str">
        <f aca="false">IF($B865="","",COUNTIF($F865:$AJ865,"HPL"))</f>
        <v/>
      </c>
      <c r="AT865" s="34" t="str">
        <f aca="false">IF($B865="","",COUNTIF($F865:$AJ865,"HCL"))</f>
        <v/>
      </c>
      <c r="AU865" s="34" t="str">
        <f aca="false">IF($B865="","",COUNTIF($F865:$AJ865,"WO"))</f>
        <v/>
      </c>
      <c r="AV865" s="34" t="str">
        <f aca="false">IF($B865="","",COUNTIF($F865:$AJ865,"PH"))</f>
        <v/>
      </c>
      <c r="AW865" s="34" t="str">
        <f aca="false">IF($B865="","",COUNTIF($F865:$AJ865,"TR"))</f>
        <v/>
      </c>
      <c r="AX865" s="35" t="str">
        <f aca="false">IF($B865="","",AO865+AS865/2)</f>
        <v/>
      </c>
      <c r="AY865" s="35" t="str">
        <f aca="false">IF($B865="","",AQ865)</f>
        <v/>
      </c>
      <c r="AZ865" s="35" t="str">
        <f aca="false">IF($B865="","",AP865+AT865/2)</f>
        <v/>
      </c>
      <c r="BA865" s="35" t="str">
        <f aca="false">IF($B865="","",AK865+AN865+AM865/2+AO865+AP865+AQ865+AR865+AS865+AT865+AU865+AV865+AW865)</f>
        <v/>
      </c>
      <c r="BB865" s="35" t="str">
        <f aca="false">IF($B865="","",MAX(0,AN865-Settings!$C$16)*Settings!$C$17)</f>
        <v/>
      </c>
      <c r="BC865" s="35" t="str">
        <f aca="false">IF($B865="","",BA865-BB865)</f>
        <v/>
      </c>
      <c r="BD865" s="35" t="str">
        <f aca="false">IF(OR($B865="",$A865=""),"",DAY(EOMONTH($A865,0))-COUNTA($F865:$AJ865))</f>
        <v/>
      </c>
    </row>
    <row r="866" customFormat="false" ht="15" hidden="false" customHeight="false" outlineLevel="0" collapsed="false">
      <c r="A866" s="32"/>
      <c r="B866" s="29"/>
      <c r="C866" s="10" t="str">
        <f aca="false">IF($B866="","",IFERROR(INDEX(M_name,MATCH($B866,M_emp,0)),"Code not found"))</f>
        <v/>
      </c>
      <c r="D866" s="10" t="str">
        <f aca="false">IF($B866="","",IFERROR(INDEX(M_dept,MATCH($B866,M_emp,0)),""))</f>
        <v/>
      </c>
      <c r="E866" s="10" t="str">
        <f aca="false">IF($B866="","",IFERROR(INDEX(M_loc,MATCH($B866,M_emp,0)),""))</f>
        <v/>
      </c>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4" t="str">
        <f aca="false">IF($B866="","",COUNTIF($F866:$AJ866,"P"))</f>
        <v/>
      </c>
      <c r="AL866" s="34" t="str">
        <f aca="false">IF($B866="","",COUNTIF($F866:$AJ866,"A"))</f>
        <v/>
      </c>
      <c r="AM866" s="34" t="str">
        <f aca="false">IF($B866="","",COUNTIF($F866:$AJ866,"HA"))</f>
        <v/>
      </c>
      <c r="AN866" s="34" t="str">
        <f aca="false">IF($B866="","",COUNTIF($F866:$AJ866,"L"))</f>
        <v/>
      </c>
      <c r="AO866" s="34" t="str">
        <f aca="false">IF($B866="","",COUNTIF($F866:$AJ866,"PL"))</f>
        <v/>
      </c>
      <c r="AP866" s="34" t="str">
        <f aca="false">IF($B866="","",COUNTIF($F866:$AJ866,"CL"))</f>
        <v/>
      </c>
      <c r="AQ866" s="34" t="str">
        <f aca="false">IF($B866="","",COUNTIF($F866:$AJ866,"SL"))</f>
        <v/>
      </c>
      <c r="AR866" s="34" t="str">
        <f aca="false">IF($B866="","",COUNTIF($F866:$AJ866,"CO"))</f>
        <v/>
      </c>
      <c r="AS866" s="34" t="str">
        <f aca="false">IF($B866="","",COUNTIF($F866:$AJ866,"HPL"))</f>
        <v/>
      </c>
      <c r="AT866" s="34" t="str">
        <f aca="false">IF($B866="","",COUNTIF($F866:$AJ866,"HCL"))</f>
        <v/>
      </c>
      <c r="AU866" s="34" t="str">
        <f aca="false">IF($B866="","",COUNTIF($F866:$AJ866,"WO"))</f>
        <v/>
      </c>
      <c r="AV866" s="34" t="str">
        <f aca="false">IF($B866="","",COUNTIF($F866:$AJ866,"PH"))</f>
        <v/>
      </c>
      <c r="AW866" s="34" t="str">
        <f aca="false">IF($B866="","",COUNTIF($F866:$AJ866,"TR"))</f>
        <v/>
      </c>
      <c r="AX866" s="35" t="str">
        <f aca="false">IF($B866="","",AO866+AS866/2)</f>
        <v/>
      </c>
      <c r="AY866" s="35" t="str">
        <f aca="false">IF($B866="","",AQ866)</f>
        <v/>
      </c>
      <c r="AZ866" s="35" t="str">
        <f aca="false">IF($B866="","",AP866+AT866/2)</f>
        <v/>
      </c>
      <c r="BA866" s="35" t="str">
        <f aca="false">IF($B866="","",AK866+AN866+AM866/2+AO866+AP866+AQ866+AR866+AS866+AT866+AU866+AV866+AW866)</f>
        <v/>
      </c>
      <c r="BB866" s="35" t="str">
        <f aca="false">IF($B866="","",MAX(0,AN866-Settings!$C$16)*Settings!$C$17)</f>
        <v/>
      </c>
      <c r="BC866" s="35" t="str">
        <f aca="false">IF($B866="","",BA866-BB866)</f>
        <v/>
      </c>
      <c r="BD866" s="35" t="str">
        <f aca="false">IF(OR($B866="",$A866=""),"",DAY(EOMONTH($A866,0))-COUNTA($F866:$AJ866))</f>
        <v/>
      </c>
    </row>
    <row r="867" customFormat="false" ht="15" hidden="false" customHeight="false" outlineLevel="0" collapsed="false">
      <c r="A867" s="32"/>
      <c r="B867" s="29"/>
      <c r="C867" s="10" t="str">
        <f aca="false">IF($B867="","",IFERROR(INDEX(M_name,MATCH($B867,M_emp,0)),"Code not found"))</f>
        <v/>
      </c>
      <c r="D867" s="10" t="str">
        <f aca="false">IF($B867="","",IFERROR(INDEX(M_dept,MATCH($B867,M_emp,0)),""))</f>
        <v/>
      </c>
      <c r="E867" s="10" t="str">
        <f aca="false">IF($B867="","",IFERROR(INDEX(M_loc,MATCH($B867,M_emp,0)),""))</f>
        <v/>
      </c>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4" t="str">
        <f aca="false">IF($B867="","",COUNTIF($F867:$AJ867,"P"))</f>
        <v/>
      </c>
      <c r="AL867" s="34" t="str">
        <f aca="false">IF($B867="","",COUNTIF($F867:$AJ867,"A"))</f>
        <v/>
      </c>
      <c r="AM867" s="34" t="str">
        <f aca="false">IF($B867="","",COUNTIF($F867:$AJ867,"HA"))</f>
        <v/>
      </c>
      <c r="AN867" s="34" t="str">
        <f aca="false">IF($B867="","",COUNTIF($F867:$AJ867,"L"))</f>
        <v/>
      </c>
      <c r="AO867" s="34" t="str">
        <f aca="false">IF($B867="","",COUNTIF($F867:$AJ867,"PL"))</f>
        <v/>
      </c>
      <c r="AP867" s="34" t="str">
        <f aca="false">IF($B867="","",COUNTIF($F867:$AJ867,"CL"))</f>
        <v/>
      </c>
      <c r="AQ867" s="34" t="str">
        <f aca="false">IF($B867="","",COUNTIF($F867:$AJ867,"SL"))</f>
        <v/>
      </c>
      <c r="AR867" s="34" t="str">
        <f aca="false">IF($B867="","",COUNTIF($F867:$AJ867,"CO"))</f>
        <v/>
      </c>
      <c r="AS867" s="34" t="str">
        <f aca="false">IF($B867="","",COUNTIF($F867:$AJ867,"HPL"))</f>
        <v/>
      </c>
      <c r="AT867" s="34" t="str">
        <f aca="false">IF($B867="","",COUNTIF($F867:$AJ867,"HCL"))</f>
        <v/>
      </c>
      <c r="AU867" s="34" t="str">
        <f aca="false">IF($B867="","",COUNTIF($F867:$AJ867,"WO"))</f>
        <v/>
      </c>
      <c r="AV867" s="34" t="str">
        <f aca="false">IF($B867="","",COUNTIF($F867:$AJ867,"PH"))</f>
        <v/>
      </c>
      <c r="AW867" s="34" t="str">
        <f aca="false">IF($B867="","",COUNTIF($F867:$AJ867,"TR"))</f>
        <v/>
      </c>
      <c r="AX867" s="35" t="str">
        <f aca="false">IF($B867="","",AO867+AS867/2)</f>
        <v/>
      </c>
      <c r="AY867" s="35" t="str">
        <f aca="false">IF($B867="","",AQ867)</f>
        <v/>
      </c>
      <c r="AZ867" s="35" t="str">
        <f aca="false">IF($B867="","",AP867+AT867/2)</f>
        <v/>
      </c>
      <c r="BA867" s="35" t="str">
        <f aca="false">IF($B867="","",AK867+AN867+AM867/2+AO867+AP867+AQ867+AR867+AS867+AT867+AU867+AV867+AW867)</f>
        <v/>
      </c>
      <c r="BB867" s="35" t="str">
        <f aca="false">IF($B867="","",MAX(0,AN867-Settings!$C$16)*Settings!$C$17)</f>
        <v/>
      </c>
      <c r="BC867" s="35" t="str">
        <f aca="false">IF($B867="","",BA867-BB867)</f>
        <v/>
      </c>
      <c r="BD867" s="35" t="str">
        <f aca="false">IF(OR($B867="",$A867=""),"",DAY(EOMONTH($A867,0))-COUNTA($F867:$AJ867))</f>
        <v/>
      </c>
    </row>
    <row r="868" customFormat="false" ht="15" hidden="false" customHeight="false" outlineLevel="0" collapsed="false">
      <c r="A868" s="32"/>
      <c r="B868" s="29"/>
      <c r="C868" s="10" t="str">
        <f aca="false">IF($B868="","",IFERROR(INDEX(M_name,MATCH($B868,M_emp,0)),"Code not found"))</f>
        <v/>
      </c>
      <c r="D868" s="10" t="str">
        <f aca="false">IF($B868="","",IFERROR(INDEX(M_dept,MATCH($B868,M_emp,0)),""))</f>
        <v/>
      </c>
      <c r="E868" s="10" t="str">
        <f aca="false">IF($B868="","",IFERROR(INDEX(M_loc,MATCH($B868,M_emp,0)),""))</f>
        <v/>
      </c>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4" t="str">
        <f aca="false">IF($B868="","",COUNTIF($F868:$AJ868,"P"))</f>
        <v/>
      </c>
      <c r="AL868" s="34" t="str">
        <f aca="false">IF($B868="","",COUNTIF($F868:$AJ868,"A"))</f>
        <v/>
      </c>
      <c r="AM868" s="34" t="str">
        <f aca="false">IF($B868="","",COUNTIF($F868:$AJ868,"HA"))</f>
        <v/>
      </c>
      <c r="AN868" s="34" t="str">
        <f aca="false">IF($B868="","",COUNTIF($F868:$AJ868,"L"))</f>
        <v/>
      </c>
      <c r="AO868" s="34" t="str">
        <f aca="false">IF($B868="","",COUNTIF($F868:$AJ868,"PL"))</f>
        <v/>
      </c>
      <c r="AP868" s="34" t="str">
        <f aca="false">IF($B868="","",COUNTIF($F868:$AJ868,"CL"))</f>
        <v/>
      </c>
      <c r="AQ868" s="34" t="str">
        <f aca="false">IF($B868="","",COUNTIF($F868:$AJ868,"SL"))</f>
        <v/>
      </c>
      <c r="AR868" s="34" t="str">
        <f aca="false">IF($B868="","",COUNTIF($F868:$AJ868,"CO"))</f>
        <v/>
      </c>
      <c r="AS868" s="34" t="str">
        <f aca="false">IF($B868="","",COUNTIF($F868:$AJ868,"HPL"))</f>
        <v/>
      </c>
      <c r="AT868" s="34" t="str">
        <f aca="false">IF($B868="","",COUNTIF($F868:$AJ868,"HCL"))</f>
        <v/>
      </c>
      <c r="AU868" s="34" t="str">
        <f aca="false">IF($B868="","",COUNTIF($F868:$AJ868,"WO"))</f>
        <v/>
      </c>
      <c r="AV868" s="34" t="str">
        <f aca="false">IF($B868="","",COUNTIF($F868:$AJ868,"PH"))</f>
        <v/>
      </c>
      <c r="AW868" s="34" t="str">
        <f aca="false">IF($B868="","",COUNTIF($F868:$AJ868,"TR"))</f>
        <v/>
      </c>
      <c r="AX868" s="35" t="str">
        <f aca="false">IF($B868="","",AO868+AS868/2)</f>
        <v/>
      </c>
      <c r="AY868" s="35" t="str">
        <f aca="false">IF($B868="","",AQ868)</f>
        <v/>
      </c>
      <c r="AZ868" s="35" t="str">
        <f aca="false">IF($B868="","",AP868+AT868/2)</f>
        <v/>
      </c>
      <c r="BA868" s="35" t="str">
        <f aca="false">IF($B868="","",AK868+AN868+AM868/2+AO868+AP868+AQ868+AR868+AS868+AT868+AU868+AV868+AW868)</f>
        <v/>
      </c>
      <c r="BB868" s="35" t="str">
        <f aca="false">IF($B868="","",MAX(0,AN868-Settings!$C$16)*Settings!$C$17)</f>
        <v/>
      </c>
      <c r="BC868" s="35" t="str">
        <f aca="false">IF($B868="","",BA868-BB868)</f>
        <v/>
      </c>
      <c r="BD868" s="35" t="str">
        <f aca="false">IF(OR($B868="",$A868=""),"",DAY(EOMONTH($A868,0))-COUNTA($F868:$AJ868))</f>
        <v/>
      </c>
    </row>
    <row r="869" customFormat="false" ht="15" hidden="false" customHeight="false" outlineLevel="0" collapsed="false">
      <c r="A869" s="32"/>
      <c r="B869" s="29"/>
      <c r="C869" s="10" t="str">
        <f aca="false">IF($B869="","",IFERROR(INDEX(M_name,MATCH($B869,M_emp,0)),"Code not found"))</f>
        <v/>
      </c>
      <c r="D869" s="10" t="str">
        <f aca="false">IF($B869="","",IFERROR(INDEX(M_dept,MATCH($B869,M_emp,0)),""))</f>
        <v/>
      </c>
      <c r="E869" s="10" t="str">
        <f aca="false">IF($B869="","",IFERROR(INDEX(M_loc,MATCH($B869,M_emp,0)),""))</f>
        <v/>
      </c>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4" t="str">
        <f aca="false">IF($B869="","",COUNTIF($F869:$AJ869,"P"))</f>
        <v/>
      </c>
      <c r="AL869" s="34" t="str">
        <f aca="false">IF($B869="","",COUNTIF($F869:$AJ869,"A"))</f>
        <v/>
      </c>
      <c r="AM869" s="34" t="str">
        <f aca="false">IF($B869="","",COUNTIF($F869:$AJ869,"HA"))</f>
        <v/>
      </c>
      <c r="AN869" s="34" t="str">
        <f aca="false">IF($B869="","",COUNTIF($F869:$AJ869,"L"))</f>
        <v/>
      </c>
      <c r="AO869" s="34" t="str">
        <f aca="false">IF($B869="","",COUNTIF($F869:$AJ869,"PL"))</f>
        <v/>
      </c>
      <c r="AP869" s="34" t="str">
        <f aca="false">IF($B869="","",COUNTIF($F869:$AJ869,"CL"))</f>
        <v/>
      </c>
      <c r="AQ869" s="34" t="str">
        <f aca="false">IF($B869="","",COUNTIF($F869:$AJ869,"SL"))</f>
        <v/>
      </c>
      <c r="AR869" s="34" t="str">
        <f aca="false">IF($B869="","",COUNTIF($F869:$AJ869,"CO"))</f>
        <v/>
      </c>
      <c r="AS869" s="34" t="str">
        <f aca="false">IF($B869="","",COUNTIF($F869:$AJ869,"HPL"))</f>
        <v/>
      </c>
      <c r="AT869" s="34" t="str">
        <f aca="false">IF($B869="","",COUNTIF($F869:$AJ869,"HCL"))</f>
        <v/>
      </c>
      <c r="AU869" s="34" t="str">
        <f aca="false">IF($B869="","",COUNTIF($F869:$AJ869,"WO"))</f>
        <v/>
      </c>
      <c r="AV869" s="34" t="str">
        <f aca="false">IF($B869="","",COUNTIF($F869:$AJ869,"PH"))</f>
        <v/>
      </c>
      <c r="AW869" s="34" t="str">
        <f aca="false">IF($B869="","",COUNTIF($F869:$AJ869,"TR"))</f>
        <v/>
      </c>
      <c r="AX869" s="35" t="str">
        <f aca="false">IF($B869="","",AO869+AS869/2)</f>
        <v/>
      </c>
      <c r="AY869" s="35" t="str">
        <f aca="false">IF($B869="","",AQ869)</f>
        <v/>
      </c>
      <c r="AZ869" s="35" t="str">
        <f aca="false">IF($B869="","",AP869+AT869/2)</f>
        <v/>
      </c>
      <c r="BA869" s="35" t="str">
        <f aca="false">IF($B869="","",AK869+AN869+AM869/2+AO869+AP869+AQ869+AR869+AS869+AT869+AU869+AV869+AW869)</f>
        <v/>
      </c>
      <c r="BB869" s="35" t="str">
        <f aca="false">IF($B869="","",MAX(0,AN869-Settings!$C$16)*Settings!$C$17)</f>
        <v/>
      </c>
      <c r="BC869" s="35" t="str">
        <f aca="false">IF($B869="","",BA869-BB869)</f>
        <v/>
      </c>
      <c r="BD869" s="35" t="str">
        <f aca="false">IF(OR($B869="",$A869=""),"",DAY(EOMONTH($A869,0))-COUNTA($F869:$AJ869))</f>
        <v/>
      </c>
    </row>
    <row r="870" customFormat="false" ht="15" hidden="false" customHeight="false" outlineLevel="0" collapsed="false">
      <c r="A870" s="32"/>
      <c r="B870" s="29"/>
      <c r="C870" s="10" t="str">
        <f aca="false">IF($B870="","",IFERROR(INDEX(M_name,MATCH($B870,M_emp,0)),"Code not found"))</f>
        <v/>
      </c>
      <c r="D870" s="10" t="str">
        <f aca="false">IF($B870="","",IFERROR(INDEX(M_dept,MATCH($B870,M_emp,0)),""))</f>
        <v/>
      </c>
      <c r="E870" s="10" t="str">
        <f aca="false">IF($B870="","",IFERROR(INDEX(M_loc,MATCH($B870,M_emp,0)),""))</f>
        <v/>
      </c>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4" t="str">
        <f aca="false">IF($B870="","",COUNTIF($F870:$AJ870,"P"))</f>
        <v/>
      </c>
      <c r="AL870" s="34" t="str">
        <f aca="false">IF($B870="","",COUNTIF($F870:$AJ870,"A"))</f>
        <v/>
      </c>
      <c r="AM870" s="34" t="str">
        <f aca="false">IF($B870="","",COUNTIF($F870:$AJ870,"HA"))</f>
        <v/>
      </c>
      <c r="AN870" s="34" t="str">
        <f aca="false">IF($B870="","",COUNTIF($F870:$AJ870,"L"))</f>
        <v/>
      </c>
      <c r="AO870" s="34" t="str">
        <f aca="false">IF($B870="","",COUNTIF($F870:$AJ870,"PL"))</f>
        <v/>
      </c>
      <c r="AP870" s="34" t="str">
        <f aca="false">IF($B870="","",COUNTIF($F870:$AJ870,"CL"))</f>
        <v/>
      </c>
      <c r="AQ870" s="34" t="str">
        <f aca="false">IF($B870="","",COUNTIF($F870:$AJ870,"SL"))</f>
        <v/>
      </c>
      <c r="AR870" s="34" t="str">
        <f aca="false">IF($B870="","",COUNTIF($F870:$AJ870,"CO"))</f>
        <v/>
      </c>
      <c r="AS870" s="34" t="str">
        <f aca="false">IF($B870="","",COUNTIF($F870:$AJ870,"HPL"))</f>
        <v/>
      </c>
      <c r="AT870" s="34" t="str">
        <f aca="false">IF($B870="","",COUNTIF($F870:$AJ870,"HCL"))</f>
        <v/>
      </c>
      <c r="AU870" s="34" t="str">
        <f aca="false">IF($B870="","",COUNTIF($F870:$AJ870,"WO"))</f>
        <v/>
      </c>
      <c r="AV870" s="34" t="str">
        <f aca="false">IF($B870="","",COUNTIF($F870:$AJ870,"PH"))</f>
        <v/>
      </c>
      <c r="AW870" s="34" t="str">
        <f aca="false">IF($B870="","",COUNTIF($F870:$AJ870,"TR"))</f>
        <v/>
      </c>
      <c r="AX870" s="35" t="str">
        <f aca="false">IF($B870="","",AO870+AS870/2)</f>
        <v/>
      </c>
      <c r="AY870" s="35" t="str">
        <f aca="false">IF($B870="","",AQ870)</f>
        <v/>
      </c>
      <c r="AZ870" s="35" t="str">
        <f aca="false">IF($B870="","",AP870+AT870/2)</f>
        <v/>
      </c>
      <c r="BA870" s="35" t="str">
        <f aca="false">IF($B870="","",AK870+AN870+AM870/2+AO870+AP870+AQ870+AR870+AS870+AT870+AU870+AV870+AW870)</f>
        <v/>
      </c>
      <c r="BB870" s="35" t="str">
        <f aca="false">IF($B870="","",MAX(0,AN870-Settings!$C$16)*Settings!$C$17)</f>
        <v/>
      </c>
      <c r="BC870" s="35" t="str">
        <f aca="false">IF($B870="","",BA870-BB870)</f>
        <v/>
      </c>
      <c r="BD870" s="35" t="str">
        <f aca="false">IF(OR($B870="",$A870=""),"",DAY(EOMONTH($A870,0))-COUNTA($F870:$AJ870))</f>
        <v/>
      </c>
    </row>
    <row r="871" customFormat="false" ht="15" hidden="false" customHeight="false" outlineLevel="0" collapsed="false">
      <c r="A871" s="32"/>
      <c r="B871" s="29"/>
      <c r="C871" s="10" t="str">
        <f aca="false">IF($B871="","",IFERROR(INDEX(M_name,MATCH($B871,M_emp,0)),"Code not found"))</f>
        <v/>
      </c>
      <c r="D871" s="10" t="str">
        <f aca="false">IF($B871="","",IFERROR(INDEX(M_dept,MATCH($B871,M_emp,0)),""))</f>
        <v/>
      </c>
      <c r="E871" s="10" t="str">
        <f aca="false">IF($B871="","",IFERROR(INDEX(M_loc,MATCH($B871,M_emp,0)),""))</f>
        <v/>
      </c>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4" t="str">
        <f aca="false">IF($B871="","",COUNTIF($F871:$AJ871,"P"))</f>
        <v/>
      </c>
      <c r="AL871" s="34" t="str">
        <f aca="false">IF($B871="","",COUNTIF($F871:$AJ871,"A"))</f>
        <v/>
      </c>
      <c r="AM871" s="34" t="str">
        <f aca="false">IF($B871="","",COUNTIF($F871:$AJ871,"HA"))</f>
        <v/>
      </c>
      <c r="AN871" s="34" t="str">
        <f aca="false">IF($B871="","",COUNTIF($F871:$AJ871,"L"))</f>
        <v/>
      </c>
      <c r="AO871" s="34" t="str">
        <f aca="false">IF($B871="","",COUNTIF($F871:$AJ871,"PL"))</f>
        <v/>
      </c>
      <c r="AP871" s="34" t="str">
        <f aca="false">IF($B871="","",COUNTIF($F871:$AJ871,"CL"))</f>
        <v/>
      </c>
      <c r="AQ871" s="34" t="str">
        <f aca="false">IF($B871="","",COUNTIF($F871:$AJ871,"SL"))</f>
        <v/>
      </c>
      <c r="AR871" s="34" t="str">
        <f aca="false">IF($B871="","",COUNTIF($F871:$AJ871,"CO"))</f>
        <v/>
      </c>
      <c r="AS871" s="34" t="str">
        <f aca="false">IF($B871="","",COUNTIF($F871:$AJ871,"HPL"))</f>
        <v/>
      </c>
      <c r="AT871" s="34" t="str">
        <f aca="false">IF($B871="","",COUNTIF($F871:$AJ871,"HCL"))</f>
        <v/>
      </c>
      <c r="AU871" s="34" t="str">
        <f aca="false">IF($B871="","",COUNTIF($F871:$AJ871,"WO"))</f>
        <v/>
      </c>
      <c r="AV871" s="34" t="str">
        <f aca="false">IF($B871="","",COUNTIF($F871:$AJ871,"PH"))</f>
        <v/>
      </c>
      <c r="AW871" s="34" t="str">
        <f aca="false">IF($B871="","",COUNTIF($F871:$AJ871,"TR"))</f>
        <v/>
      </c>
      <c r="AX871" s="35" t="str">
        <f aca="false">IF($B871="","",AO871+AS871/2)</f>
        <v/>
      </c>
      <c r="AY871" s="35" t="str">
        <f aca="false">IF($B871="","",AQ871)</f>
        <v/>
      </c>
      <c r="AZ871" s="35" t="str">
        <f aca="false">IF($B871="","",AP871+AT871/2)</f>
        <v/>
      </c>
      <c r="BA871" s="35" t="str">
        <f aca="false">IF($B871="","",AK871+AN871+AM871/2+AO871+AP871+AQ871+AR871+AS871+AT871+AU871+AV871+AW871)</f>
        <v/>
      </c>
      <c r="BB871" s="35" t="str">
        <f aca="false">IF($B871="","",MAX(0,AN871-Settings!$C$16)*Settings!$C$17)</f>
        <v/>
      </c>
      <c r="BC871" s="35" t="str">
        <f aca="false">IF($B871="","",BA871-BB871)</f>
        <v/>
      </c>
      <c r="BD871" s="35" t="str">
        <f aca="false">IF(OR($B871="",$A871=""),"",DAY(EOMONTH($A871,0))-COUNTA($F871:$AJ871))</f>
        <v/>
      </c>
    </row>
    <row r="872" customFormat="false" ht="15" hidden="false" customHeight="false" outlineLevel="0" collapsed="false">
      <c r="A872" s="32"/>
      <c r="B872" s="29"/>
      <c r="C872" s="10" t="str">
        <f aca="false">IF($B872="","",IFERROR(INDEX(M_name,MATCH($B872,M_emp,0)),"Code not found"))</f>
        <v/>
      </c>
      <c r="D872" s="10" t="str">
        <f aca="false">IF($B872="","",IFERROR(INDEX(M_dept,MATCH($B872,M_emp,0)),""))</f>
        <v/>
      </c>
      <c r="E872" s="10" t="str">
        <f aca="false">IF($B872="","",IFERROR(INDEX(M_loc,MATCH($B872,M_emp,0)),""))</f>
        <v/>
      </c>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4" t="str">
        <f aca="false">IF($B872="","",COUNTIF($F872:$AJ872,"P"))</f>
        <v/>
      </c>
      <c r="AL872" s="34" t="str">
        <f aca="false">IF($B872="","",COUNTIF($F872:$AJ872,"A"))</f>
        <v/>
      </c>
      <c r="AM872" s="34" t="str">
        <f aca="false">IF($B872="","",COUNTIF($F872:$AJ872,"HA"))</f>
        <v/>
      </c>
      <c r="AN872" s="34" t="str">
        <f aca="false">IF($B872="","",COUNTIF($F872:$AJ872,"L"))</f>
        <v/>
      </c>
      <c r="AO872" s="34" t="str">
        <f aca="false">IF($B872="","",COUNTIF($F872:$AJ872,"PL"))</f>
        <v/>
      </c>
      <c r="AP872" s="34" t="str">
        <f aca="false">IF($B872="","",COUNTIF($F872:$AJ872,"CL"))</f>
        <v/>
      </c>
      <c r="AQ872" s="34" t="str">
        <f aca="false">IF($B872="","",COUNTIF($F872:$AJ872,"SL"))</f>
        <v/>
      </c>
      <c r="AR872" s="34" t="str">
        <f aca="false">IF($B872="","",COUNTIF($F872:$AJ872,"CO"))</f>
        <v/>
      </c>
      <c r="AS872" s="34" t="str">
        <f aca="false">IF($B872="","",COUNTIF($F872:$AJ872,"HPL"))</f>
        <v/>
      </c>
      <c r="AT872" s="34" t="str">
        <f aca="false">IF($B872="","",COUNTIF($F872:$AJ872,"HCL"))</f>
        <v/>
      </c>
      <c r="AU872" s="34" t="str">
        <f aca="false">IF($B872="","",COUNTIF($F872:$AJ872,"WO"))</f>
        <v/>
      </c>
      <c r="AV872" s="34" t="str">
        <f aca="false">IF($B872="","",COUNTIF($F872:$AJ872,"PH"))</f>
        <v/>
      </c>
      <c r="AW872" s="34" t="str">
        <f aca="false">IF($B872="","",COUNTIF($F872:$AJ872,"TR"))</f>
        <v/>
      </c>
      <c r="AX872" s="35" t="str">
        <f aca="false">IF($B872="","",AO872+AS872/2)</f>
        <v/>
      </c>
      <c r="AY872" s="35" t="str">
        <f aca="false">IF($B872="","",AQ872)</f>
        <v/>
      </c>
      <c r="AZ872" s="35" t="str">
        <f aca="false">IF($B872="","",AP872+AT872/2)</f>
        <v/>
      </c>
      <c r="BA872" s="35" t="str">
        <f aca="false">IF($B872="","",AK872+AN872+AM872/2+AO872+AP872+AQ872+AR872+AS872+AT872+AU872+AV872+AW872)</f>
        <v/>
      </c>
      <c r="BB872" s="35" t="str">
        <f aca="false">IF($B872="","",MAX(0,AN872-Settings!$C$16)*Settings!$C$17)</f>
        <v/>
      </c>
      <c r="BC872" s="35" t="str">
        <f aca="false">IF($B872="","",BA872-BB872)</f>
        <v/>
      </c>
      <c r="BD872" s="35" t="str">
        <f aca="false">IF(OR($B872="",$A872=""),"",DAY(EOMONTH($A872,0))-COUNTA($F872:$AJ872))</f>
        <v/>
      </c>
    </row>
    <row r="873" customFormat="false" ht="15" hidden="false" customHeight="false" outlineLevel="0" collapsed="false">
      <c r="A873" s="32"/>
      <c r="B873" s="29"/>
      <c r="C873" s="10" t="str">
        <f aca="false">IF($B873="","",IFERROR(INDEX(M_name,MATCH($B873,M_emp,0)),"Code not found"))</f>
        <v/>
      </c>
      <c r="D873" s="10" t="str">
        <f aca="false">IF($B873="","",IFERROR(INDEX(M_dept,MATCH($B873,M_emp,0)),""))</f>
        <v/>
      </c>
      <c r="E873" s="10" t="str">
        <f aca="false">IF($B873="","",IFERROR(INDEX(M_loc,MATCH($B873,M_emp,0)),""))</f>
        <v/>
      </c>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4" t="str">
        <f aca="false">IF($B873="","",COUNTIF($F873:$AJ873,"P"))</f>
        <v/>
      </c>
      <c r="AL873" s="34" t="str">
        <f aca="false">IF($B873="","",COUNTIF($F873:$AJ873,"A"))</f>
        <v/>
      </c>
      <c r="AM873" s="34" t="str">
        <f aca="false">IF($B873="","",COUNTIF($F873:$AJ873,"HA"))</f>
        <v/>
      </c>
      <c r="AN873" s="34" t="str">
        <f aca="false">IF($B873="","",COUNTIF($F873:$AJ873,"L"))</f>
        <v/>
      </c>
      <c r="AO873" s="34" t="str">
        <f aca="false">IF($B873="","",COUNTIF($F873:$AJ873,"PL"))</f>
        <v/>
      </c>
      <c r="AP873" s="34" t="str">
        <f aca="false">IF($B873="","",COUNTIF($F873:$AJ873,"CL"))</f>
        <v/>
      </c>
      <c r="AQ873" s="34" t="str">
        <f aca="false">IF($B873="","",COUNTIF($F873:$AJ873,"SL"))</f>
        <v/>
      </c>
      <c r="AR873" s="34" t="str">
        <f aca="false">IF($B873="","",COUNTIF($F873:$AJ873,"CO"))</f>
        <v/>
      </c>
      <c r="AS873" s="34" t="str">
        <f aca="false">IF($B873="","",COUNTIF($F873:$AJ873,"HPL"))</f>
        <v/>
      </c>
      <c r="AT873" s="34" t="str">
        <f aca="false">IF($B873="","",COUNTIF($F873:$AJ873,"HCL"))</f>
        <v/>
      </c>
      <c r="AU873" s="34" t="str">
        <f aca="false">IF($B873="","",COUNTIF($F873:$AJ873,"WO"))</f>
        <v/>
      </c>
      <c r="AV873" s="34" t="str">
        <f aca="false">IF($B873="","",COUNTIF($F873:$AJ873,"PH"))</f>
        <v/>
      </c>
      <c r="AW873" s="34" t="str">
        <f aca="false">IF($B873="","",COUNTIF($F873:$AJ873,"TR"))</f>
        <v/>
      </c>
      <c r="AX873" s="35" t="str">
        <f aca="false">IF($B873="","",AO873+AS873/2)</f>
        <v/>
      </c>
      <c r="AY873" s="35" t="str">
        <f aca="false">IF($B873="","",AQ873)</f>
        <v/>
      </c>
      <c r="AZ873" s="35" t="str">
        <f aca="false">IF($B873="","",AP873+AT873/2)</f>
        <v/>
      </c>
      <c r="BA873" s="35" t="str">
        <f aca="false">IF($B873="","",AK873+AN873+AM873/2+AO873+AP873+AQ873+AR873+AS873+AT873+AU873+AV873+AW873)</f>
        <v/>
      </c>
      <c r="BB873" s="35" t="str">
        <f aca="false">IF($B873="","",MAX(0,AN873-Settings!$C$16)*Settings!$C$17)</f>
        <v/>
      </c>
      <c r="BC873" s="35" t="str">
        <f aca="false">IF($B873="","",BA873-BB873)</f>
        <v/>
      </c>
      <c r="BD873" s="35" t="str">
        <f aca="false">IF(OR($B873="",$A873=""),"",DAY(EOMONTH($A873,0))-COUNTA($F873:$AJ873))</f>
        <v/>
      </c>
    </row>
    <row r="874" customFormat="false" ht="15" hidden="false" customHeight="false" outlineLevel="0" collapsed="false">
      <c r="A874" s="32"/>
      <c r="B874" s="29"/>
      <c r="C874" s="10" t="str">
        <f aca="false">IF($B874="","",IFERROR(INDEX(M_name,MATCH($B874,M_emp,0)),"Code not found"))</f>
        <v/>
      </c>
      <c r="D874" s="10" t="str">
        <f aca="false">IF($B874="","",IFERROR(INDEX(M_dept,MATCH($B874,M_emp,0)),""))</f>
        <v/>
      </c>
      <c r="E874" s="10" t="str">
        <f aca="false">IF($B874="","",IFERROR(INDEX(M_loc,MATCH($B874,M_emp,0)),""))</f>
        <v/>
      </c>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4" t="str">
        <f aca="false">IF($B874="","",COUNTIF($F874:$AJ874,"P"))</f>
        <v/>
      </c>
      <c r="AL874" s="34" t="str">
        <f aca="false">IF($B874="","",COUNTIF($F874:$AJ874,"A"))</f>
        <v/>
      </c>
      <c r="AM874" s="34" t="str">
        <f aca="false">IF($B874="","",COUNTIF($F874:$AJ874,"HA"))</f>
        <v/>
      </c>
      <c r="AN874" s="34" t="str">
        <f aca="false">IF($B874="","",COUNTIF($F874:$AJ874,"L"))</f>
        <v/>
      </c>
      <c r="AO874" s="34" t="str">
        <f aca="false">IF($B874="","",COUNTIF($F874:$AJ874,"PL"))</f>
        <v/>
      </c>
      <c r="AP874" s="34" t="str">
        <f aca="false">IF($B874="","",COUNTIF($F874:$AJ874,"CL"))</f>
        <v/>
      </c>
      <c r="AQ874" s="34" t="str">
        <f aca="false">IF($B874="","",COUNTIF($F874:$AJ874,"SL"))</f>
        <v/>
      </c>
      <c r="AR874" s="34" t="str">
        <f aca="false">IF($B874="","",COUNTIF($F874:$AJ874,"CO"))</f>
        <v/>
      </c>
      <c r="AS874" s="34" t="str">
        <f aca="false">IF($B874="","",COUNTIF($F874:$AJ874,"HPL"))</f>
        <v/>
      </c>
      <c r="AT874" s="34" t="str">
        <f aca="false">IF($B874="","",COUNTIF($F874:$AJ874,"HCL"))</f>
        <v/>
      </c>
      <c r="AU874" s="34" t="str">
        <f aca="false">IF($B874="","",COUNTIF($F874:$AJ874,"WO"))</f>
        <v/>
      </c>
      <c r="AV874" s="34" t="str">
        <f aca="false">IF($B874="","",COUNTIF($F874:$AJ874,"PH"))</f>
        <v/>
      </c>
      <c r="AW874" s="34" t="str">
        <f aca="false">IF($B874="","",COUNTIF($F874:$AJ874,"TR"))</f>
        <v/>
      </c>
      <c r="AX874" s="35" t="str">
        <f aca="false">IF($B874="","",AO874+AS874/2)</f>
        <v/>
      </c>
      <c r="AY874" s="35" t="str">
        <f aca="false">IF($B874="","",AQ874)</f>
        <v/>
      </c>
      <c r="AZ874" s="35" t="str">
        <f aca="false">IF($B874="","",AP874+AT874/2)</f>
        <v/>
      </c>
      <c r="BA874" s="35" t="str">
        <f aca="false">IF($B874="","",AK874+AN874+AM874/2+AO874+AP874+AQ874+AR874+AS874+AT874+AU874+AV874+AW874)</f>
        <v/>
      </c>
      <c r="BB874" s="35" t="str">
        <f aca="false">IF($B874="","",MAX(0,AN874-Settings!$C$16)*Settings!$C$17)</f>
        <v/>
      </c>
      <c r="BC874" s="35" t="str">
        <f aca="false">IF($B874="","",BA874-BB874)</f>
        <v/>
      </c>
      <c r="BD874" s="35" t="str">
        <f aca="false">IF(OR($B874="",$A874=""),"",DAY(EOMONTH($A874,0))-COUNTA($F874:$AJ874))</f>
        <v/>
      </c>
    </row>
    <row r="875" customFormat="false" ht="15" hidden="false" customHeight="false" outlineLevel="0" collapsed="false">
      <c r="A875" s="32"/>
      <c r="B875" s="29"/>
      <c r="C875" s="10" t="str">
        <f aca="false">IF($B875="","",IFERROR(INDEX(M_name,MATCH($B875,M_emp,0)),"Code not found"))</f>
        <v/>
      </c>
      <c r="D875" s="10" t="str">
        <f aca="false">IF($B875="","",IFERROR(INDEX(M_dept,MATCH($B875,M_emp,0)),""))</f>
        <v/>
      </c>
      <c r="E875" s="10" t="str">
        <f aca="false">IF($B875="","",IFERROR(INDEX(M_loc,MATCH($B875,M_emp,0)),""))</f>
        <v/>
      </c>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4" t="str">
        <f aca="false">IF($B875="","",COUNTIF($F875:$AJ875,"P"))</f>
        <v/>
      </c>
      <c r="AL875" s="34" t="str">
        <f aca="false">IF($B875="","",COUNTIF($F875:$AJ875,"A"))</f>
        <v/>
      </c>
      <c r="AM875" s="34" t="str">
        <f aca="false">IF($B875="","",COUNTIF($F875:$AJ875,"HA"))</f>
        <v/>
      </c>
      <c r="AN875" s="34" t="str">
        <f aca="false">IF($B875="","",COUNTIF($F875:$AJ875,"L"))</f>
        <v/>
      </c>
      <c r="AO875" s="34" t="str">
        <f aca="false">IF($B875="","",COUNTIF($F875:$AJ875,"PL"))</f>
        <v/>
      </c>
      <c r="AP875" s="34" t="str">
        <f aca="false">IF($B875="","",COUNTIF($F875:$AJ875,"CL"))</f>
        <v/>
      </c>
      <c r="AQ875" s="34" t="str">
        <f aca="false">IF($B875="","",COUNTIF($F875:$AJ875,"SL"))</f>
        <v/>
      </c>
      <c r="AR875" s="34" t="str">
        <f aca="false">IF($B875="","",COUNTIF($F875:$AJ875,"CO"))</f>
        <v/>
      </c>
      <c r="AS875" s="34" t="str">
        <f aca="false">IF($B875="","",COUNTIF($F875:$AJ875,"HPL"))</f>
        <v/>
      </c>
      <c r="AT875" s="34" t="str">
        <f aca="false">IF($B875="","",COUNTIF($F875:$AJ875,"HCL"))</f>
        <v/>
      </c>
      <c r="AU875" s="34" t="str">
        <f aca="false">IF($B875="","",COUNTIF($F875:$AJ875,"WO"))</f>
        <v/>
      </c>
      <c r="AV875" s="34" t="str">
        <f aca="false">IF($B875="","",COUNTIF($F875:$AJ875,"PH"))</f>
        <v/>
      </c>
      <c r="AW875" s="34" t="str">
        <f aca="false">IF($B875="","",COUNTIF($F875:$AJ875,"TR"))</f>
        <v/>
      </c>
      <c r="AX875" s="35" t="str">
        <f aca="false">IF($B875="","",AO875+AS875/2)</f>
        <v/>
      </c>
      <c r="AY875" s="35" t="str">
        <f aca="false">IF($B875="","",AQ875)</f>
        <v/>
      </c>
      <c r="AZ875" s="35" t="str">
        <f aca="false">IF($B875="","",AP875+AT875/2)</f>
        <v/>
      </c>
      <c r="BA875" s="35" t="str">
        <f aca="false">IF($B875="","",AK875+AN875+AM875/2+AO875+AP875+AQ875+AR875+AS875+AT875+AU875+AV875+AW875)</f>
        <v/>
      </c>
      <c r="BB875" s="35" t="str">
        <f aca="false">IF($B875="","",MAX(0,AN875-Settings!$C$16)*Settings!$C$17)</f>
        <v/>
      </c>
      <c r="BC875" s="35" t="str">
        <f aca="false">IF($B875="","",BA875-BB875)</f>
        <v/>
      </c>
      <c r="BD875" s="35" t="str">
        <f aca="false">IF(OR($B875="",$A875=""),"",DAY(EOMONTH($A875,0))-COUNTA($F875:$AJ875))</f>
        <v/>
      </c>
    </row>
    <row r="876" customFormat="false" ht="15" hidden="false" customHeight="false" outlineLevel="0" collapsed="false">
      <c r="A876" s="32"/>
      <c r="B876" s="29"/>
      <c r="C876" s="10" t="str">
        <f aca="false">IF($B876="","",IFERROR(INDEX(M_name,MATCH($B876,M_emp,0)),"Code not found"))</f>
        <v/>
      </c>
      <c r="D876" s="10" t="str">
        <f aca="false">IF($B876="","",IFERROR(INDEX(M_dept,MATCH($B876,M_emp,0)),""))</f>
        <v/>
      </c>
      <c r="E876" s="10" t="str">
        <f aca="false">IF($B876="","",IFERROR(INDEX(M_loc,MATCH($B876,M_emp,0)),""))</f>
        <v/>
      </c>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4" t="str">
        <f aca="false">IF($B876="","",COUNTIF($F876:$AJ876,"P"))</f>
        <v/>
      </c>
      <c r="AL876" s="34" t="str">
        <f aca="false">IF($B876="","",COUNTIF($F876:$AJ876,"A"))</f>
        <v/>
      </c>
      <c r="AM876" s="34" t="str">
        <f aca="false">IF($B876="","",COUNTIF($F876:$AJ876,"HA"))</f>
        <v/>
      </c>
      <c r="AN876" s="34" t="str">
        <f aca="false">IF($B876="","",COUNTIF($F876:$AJ876,"L"))</f>
        <v/>
      </c>
      <c r="AO876" s="34" t="str">
        <f aca="false">IF($B876="","",COUNTIF($F876:$AJ876,"PL"))</f>
        <v/>
      </c>
      <c r="AP876" s="34" t="str">
        <f aca="false">IF($B876="","",COUNTIF($F876:$AJ876,"CL"))</f>
        <v/>
      </c>
      <c r="AQ876" s="34" t="str">
        <f aca="false">IF($B876="","",COUNTIF($F876:$AJ876,"SL"))</f>
        <v/>
      </c>
      <c r="AR876" s="34" t="str">
        <f aca="false">IF($B876="","",COUNTIF($F876:$AJ876,"CO"))</f>
        <v/>
      </c>
      <c r="AS876" s="34" t="str">
        <f aca="false">IF($B876="","",COUNTIF($F876:$AJ876,"HPL"))</f>
        <v/>
      </c>
      <c r="AT876" s="34" t="str">
        <f aca="false">IF($B876="","",COUNTIF($F876:$AJ876,"HCL"))</f>
        <v/>
      </c>
      <c r="AU876" s="34" t="str">
        <f aca="false">IF($B876="","",COUNTIF($F876:$AJ876,"WO"))</f>
        <v/>
      </c>
      <c r="AV876" s="34" t="str">
        <f aca="false">IF($B876="","",COUNTIF($F876:$AJ876,"PH"))</f>
        <v/>
      </c>
      <c r="AW876" s="34" t="str">
        <f aca="false">IF($B876="","",COUNTIF($F876:$AJ876,"TR"))</f>
        <v/>
      </c>
      <c r="AX876" s="35" t="str">
        <f aca="false">IF($B876="","",AO876+AS876/2)</f>
        <v/>
      </c>
      <c r="AY876" s="35" t="str">
        <f aca="false">IF($B876="","",AQ876)</f>
        <v/>
      </c>
      <c r="AZ876" s="35" t="str">
        <f aca="false">IF($B876="","",AP876+AT876/2)</f>
        <v/>
      </c>
      <c r="BA876" s="35" t="str">
        <f aca="false">IF($B876="","",AK876+AN876+AM876/2+AO876+AP876+AQ876+AR876+AS876+AT876+AU876+AV876+AW876)</f>
        <v/>
      </c>
      <c r="BB876" s="35" t="str">
        <f aca="false">IF($B876="","",MAX(0,AN876-Settings!$C$16)*Settings!$C$17)</f>
        <v/>
      </c>
      <c r="BC876" s="35" t="str">
        <f aca="false">IF($B876="","",BA876-BB876)</f>
        <v/>
      </c>
      <c r="BD876" s="35" t="str">
        <f aca="false">IF(OR($B876="",$A876=""),"",DAY(EOMONTH($A876,0))-COUNTA($F876:$AJ876))</f>
        <v/>
      </c>
    </row>
    <row r="877" customFormat="false" ht="15" hidden="false" customHeight="false" outlineLevel="0" collapsed="false">
      <c r="A877" s="32"/>
      <c r="B877" s="29"/>
      <c r="C877" s="10" t="str">
        <f aca="false">IF($B877="","",IFERROR(INDEX(M_name,MATCH($B877,M_emp,0)),"Code not found"))</f>
        <v/>
      </c>
      <c r="D877" s="10" t="str">
        <f aca="false">IF($B877="","",IFERROR(INDEX(M_dept,MATCH($B877,M_emp,0)),""))</f>
        <v/>
      </c>
      <c r="E877" s="10" t="str">
        <f aca="false">IF($B877="","",IFERROR(INDEX(M_loc,MATCH($B877,M_emp,0)),""))</f>
        <v/>
      </c>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4" t="str">
        <f aca="false">IF($B877="","",COUNTIF($F877:$AJ877,"P"))</f>
        <v/>
      </c>
      <c r="AL877" s="34" t="str">
        <f aca="false">IF($B877="","",COUNTIF($F877:$AJ877,"A"))</f>
        <v/>
      </c>
      <c r="AM877" s="34" t="str">
        <f aca="false">IF($B877="","",COUNTIF($F877:$AJ877,"HA"))</f>
        <v/>
      </c>
      <c r="AN877" s="34" t="str">
        <f aca="false">IF($B877="","",COUNTIF($F877:$AJ877,"L"))</f>
        <v/>
      </c>
      <c r="AO877" s="34" t="str">
        <f aca="false">IF($B877="","",COUNTIF($F877:$AJ877,"PL"))</f>
        <v/>
      </c>
      <c r="AP877" s="34" t="str">
        <f aca="false">IF($B877="","",COUNTIF($F877:$AJ877,"CL"))</f>
        <v/>
      </c>
      <c r="AQ877" s="34" t="str">
        <f aca="false">IF($B877="","",COUNTIF($F877:$AJ877,"SL"))</f>
        <v/>
      </c>
      <c r="AR877" s="34" t="str">
        <f aca="false">IF($B877="","",COUNTIF($F877:$AJ877,"CO"))</f>
        <v/>
      </c>
      <c r="AS877" s="34" t="str">
        <f aca="false">IF($B877="","",COUNTIF($F877:$AJ877,"HPL"))</f>
        <v/>
      </c>
      <c r="AT877" s="34" t="str">
        <f aca="false">IF($B877="","",COUNTIF($F877:$AJ877,"HCL"))</f>
        <v/>
      </c>
      <c r="AU877" s="34" t="str">
        <f aca="false">IF($B877="","",COUNTIF($F877:$AJ877,"WO"))</f>
        <v/>
      </c>
      <c r="AV877" s="34" t="str">
        <f aca="false">IF($B877="","",COUNTIF($F877:$AJ877,"PH"))</f>
        <v/>
      </c>
      <c r="AW877" s="34" t="str">
        <f aca="false">IF($B877="","",COUNTIF($F877:$AJ877,"TR"))</f>
        <v/>
      </c>
      <c r="AX877" s="35" t="str">
        <f aca="false">IF($B877="","",AO877+AS877/2)</f>
        <v/>
      </c>
      <c r="AY877" s="35" t="str">
        <f aca="false">IF($B877="","",AQ877)</f>
        <v/>
      </c>
      <c r="AZ877" s="35" t="str">
        <f aca="false">IF($B877="","",AP877+AT877/2)</f>
        <v/>
      </c>
      <c r="BA877" s="35" t="str">
        <f aca="false">IF($B877="","",AK877+AN877+AM877/2+AO877+AP877+AQ877+AR877+AS877+AT877+AU877+AV877+AW877)</f>
        <v/>
      </c>
      <c r="BB877" s="35" t="str">
        <f aca="false">IF($B877="","",MAX(0,AN877-Settings!$C$16)*Settings!$C$17)</f>
        <v/>
      </c>
      <c r="BC877" s="35" t="str">
        <f aca="false">IF($B877="","",BA877-BB877)</f>
        <v/>
      </c>
      <c r="BD877" s="35" t="str">
        <f aca="false">IF(OR($B877="",$A877=""),"",DAY(EOMONTH($A877,0))-COUNTA($F877:$AJ877))</f>
        <v/>
      </c>
    </row>
    <row r="878" customFormat="false" ht="15" hidden="false" customHeight="false" outlineLevel="0" collapsed="false">
      <c r="A878" s="32"/>
      <c r="B878" s="29"/>
      <c r="C878" s="10" t="str">
        <f aca="false">IF($B878="","",IFERROR(INDEX(M_name,MATCH($B878,M_emp,0)),"Code not found"))</f>
        <v/>
      </c>
      <c r="D878" s="10" t="str">
        <f aca="false">IF($B878="","",IFERROR(INDEX(M_dept,MATCH($B878,M_emp,0)),""))</f>
        <v/>
      </c>
      <c r="E878" s="10" t="str">
        <f aca="false">IF($B878="","",IFERROR(INDEX(M_loc,MATCH($B878,M_emp,0)),""))</f>
        <v/>
      </c>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4" t="str">
        <f aca="false">IF($B878="","",COUNTIF($F878:$AJ878,"P"))</f>
        <v/>
      </c>
      <c r="AL878" s="34" t="str">
        <f aca="false">IF($B878="","",COUNTIF($F878:$AJ878,"A"))</f>
        <v/>
      </c>
      <c r="AM878" s="34" t="str">
        <f aca="false">IF($B878="","",COUNTIF($F878:$AJ878,"HA"))</f>
        <v/>
      </c>
      <c r="AN878" s="34" t="str">
        <f aca="false">IF($B878="","",COUNTIF($F878:$AJ878,"L"))</f>
        <v/>
      </c>
      <c r="AO878" s="34" t="str">
        <f aca="false">IF($B878="","",COUNTIF($F878:$AJ878,"PL"))</f>
        <v/>
      </c>
      <c r="AP878" s="34" t="str">
        <f aca="false">IF($B878="","",COUNTIF($F878:$AJ878,"CL"))</f>
        <v/>
      </c>
      <c r="AQ878" s="34" t="str">
        <f aca="false">IF($B878="","",COUNTIF($F878:$AJ878,"SL"))</f>
        <v/>
      </c>
      <c r="AR878" s="34" t="str">
        <f aca="false">IF($B878="","",COUNTIF($F878:$AJ878,"CO"))</f>
        <v/>
      </c>
      <c r="AS878" s="34" t="str">
        <f aca="false">IF($B878="","",COUNTIF($F878:$AJ878,"HPL"))</f>
        <v/>
      </c>
      <c r="AT878" s="34" t="str">
        <f aca="false">IF($B878="","",COUNTIF($F878:$AJ878,"HCL"))</f>
        <v/>
      </c>
      <c r="AU878" s="34" t="str">
        <f aca="false">IF($B878="","",COUNTIF($F878:$AJ878,"WO"))</f>
        <v/>
      </c>
      <c r="AV878" s="34" t="str">
        <f aca="false">IF($B878="","",COUNTIF($F878:$AJ878,"PH"))</f>
        <v/>
      </c>
      <c r="AW878" s="34" t="str">
        <f aca="false">IF($B878="","",COUNTIF($F878:$AJ878,"TR"))</f>
        <v/>
      </c>
      <c r="AX878" s="35" t="str">
        <f aca="false">IF($B878="","",AO878+AS878/2)</f>
        <v/>
      </c>
      <c r="AY878" s="35" t="str">
        <f aca="false">IF($B878="","",AQ878)</f>
        <v/>
      </c>
      <c r="AZ878" s="35" t="str">
        <f aca="false">IF($B878="","",AP878+AT878/2)</f>
        <v/>
      </c>
      <c r="BA878" s="35" t="str">
        <f aca="false">IF($B878="","",AK878+AN878+AM878/2+AO878+AP878+AQ878+AR878+AS878+AT878+AU878+AV878+AW878)</f>
        <v/>
      </c>
      <c r="BB878" s="35" t="str">
        <f aca="false">IF($B878="","",MAX(0,AN878-Settings!$C$16)*Settings!$C$17)</f>
        <v/>
      </c>
      <c r="BC878" s="35" t="str">
        <f aca="false">IF($B878="","",BA878-BB878)</f>
        <v/>
      </c>
      <c r="BD878" s="35" t="str">
        <f aca="false">IF(OR($B878="",$A878=""),"",DAY(EOMONTH($A878,0))-COUNTA($F878:$AJ878))</f>
        <v/>
      </c>
    </row>
    <row r="879" customFormat="false" ht="15" hidden="false" customHeight="false" outlineLevel="0" collapsed="false">
      <c r="A879" s="32"/>
      <c r="B879" s="29"/>
      <c r="C879" s="10" t="str">
        <f aca="false">IF($B879="","",IFERROR(INDEX(M_name,MATCH($B879,M_emp,0)),"Code not found"))</f>
        <v/>
      </c>
      <c r="D879" s="10" t="str">
        <f aca="false">IF($B879="","",IFERROR(INDEX(M_dept,MATCH($B879,M_emp,0)),""))</f>
        <v/>
      </c>
      <c r="E879" s="10" t="str">
        <f aca="false">IF($B879="","",IFERROR(INDEX(M_loc,MATCH($B879,M_emp,0)),""))</f>
        <v/>
      </c>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4" t="str">
        <f aca="false">IF($B879="","",COUNTIF($F879:$AJ879,"P"))</f>
        <v/>
      </c>
      <c r="AL879" s="34" t="str">
        <f aca="false">IF($B879="","",COUNTIF($F879:$AJ879,"A"))</f>
        <v/>
      </c>
      <c r="AM879" s="34" t="str">
        <f aca="false">IF($B879="","",COUNTIF($F879:$AJ879,"HA"))</f>
        <v/>
      </c>
      <c r="AN879" s="34" t="str">
        <f aca="false">IF($B879="","",COUNTIF($F879:$AJ879,"L"))</f>
        <v/>
      </c>
      <c r="AO879" s="34" t="str">
        <f aca="false">IF($B879="","",COUNTIF($F879:$AJ879,"PL"))</f>
        <v/>
      </c>
      <c r="AP879" s="34" t="str">
        <f aca="false">IF($B879="","",COUNTIF($F879:$AJ879,"CL"))</f>
        <v/>
      </c>
      <c r="AQ879" s="34" t="str">
        <f aca="false">IF($B879="","",COUNTIF($F879:$AJ879,"SL"))</f>
        <v/>
      </c>
      <c r="AR879" s="34" t="str">
        <f aca="false">IF($B879="","",COUNTIF($F879:$AJ879,"CO"))</f>
        <v/>
      </c>
      <c r="AS879" s="34" t="str">
        <f aca="false">IF($B879="","",COUNTIF($F879:$AJ879,"HPL"))</f>
        <v/>
      </c>
      <c r="AT879" s="34" t="str">
        <f aca="false">IF($B879="","",COUNTIF($F879:$AJ879,"HCL"))</f>
        <v/>
      </c>
      <c r="AU879" s="34" t="str">
        <f aca="false">IF($B879="","",COUNTIF($F879:$AJ879,"WO"))</f>
        <v/>
      </c>
      <c r="AV879" s="34" t="str">
        <f aca="false">IF($B879="","",COUNTIF($F879:$AJ879,"PH"))</f>
        <v/>
      </c>
      <c r="AW879" s="34" t="str">
        <f aca="false">IF($B879="","",COUNTIF($F879:$AJ879,"TR"))</f>
        <v/>
      </c>
      <c r="AX879" s="35" t="str">
        <f aca="false">IF($B879="","",AO879+AS879/2)</f>
        <v/>
      </c>
      <c r="AY879" s="35" t="str">
        <f aca="false">IF($B879="","",AQ879)</f>
        <v/>
      </c>
      <c r="AZ879" s="35" t="str">
        <f aca="false">IF($B879="","",AP879+AT879/2)</f>
        <v/>
      </c>
      <c r="BA879" s="35" t="str">
        <f aca="false">IF($B879="","",AK879+AN879+AM879/2+AO879+AP879+AQ879+AR879+AS879+AT879+AU879+AV879+AW879)</f>
        <v/>
      </c>
      <c r="BB879" s="35" t="str">
        <f aca="false">IF($B879="","",MAX(0,AN879-Settings!$C$16)*Settings!$C$17)</f>
        <v/>
      </c>
      <c r="BC879" s="35" t="str">
        <f aca="false">IF($B879="","",BA879-BB879)</f>
        <v/>
      </c>
      <c r="BD879" s="35" t="str">
        <f aca="false">IF(OR($B879="",$A879=""),"",DAY(EOMONTH($A879,0))-COUNTA($F879:$AJ879))</f>
        <v/>
      </c>
    </row>
    <row r="880" customFormat="false" ht="15" hidden="false" customHeight="false" outlineLevel="0" collapsed="false">
      <c r="A880" s="32"/>
      <c r="B880" s="29"/>
      <c r="C880" s="10" t="str">
        <f aca="false">IF($B880="","",IFERROR(INDEX(M_name,MATCH($B880,M_emp,0)),"Code not found"))</f>
        <v/>
      </c>
      <c r="D880" s="10" t="str">
        <f aca="false">IF($B880="","",IFERROR(INDEX(M_dept,MATCH($B880,M_emp,0)),""))</f>
        <v/>
      </c>
      <c r="E880" s="10" t="str">
        <f aca="false">IF($B880="","",IFERROR(INDEX(M_loc,MATCH($B880,M_emp,0)),""))</f>
        <v/>
      </c>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4" t="str">
        <f aca="false">IF($B880="","",COUNTIF($F880:$AJ880,"P"))</f>
        <v/>
      </c>
      <c r="AL880" s="34" t="str">
        <f aca="false">IF($B880="","",COUNTIF($F880:$AJ880,"A"))</f>
        <v/>
      </c>
      <c r="AM880" s="34" t="str">
        <f aca="false">IF($B880="","",COUNTIF($F880:$AJ880,"HA"))</f>
        <v/>
      </c>
      <c r="AN880" s="34" t="str">
        <f aca="false">IF($B880="","",COUNTIF($F880:$AJ880,"L"))</f>
        <v/>
      </c>
      <c r="AO880" s="34" t="str">
        <f aca="false">IF($B880="","",COUNTIF($F880:$AJ880,"PL"))</f>
        <v/>
      </c>
      <c r="AP880" s="34" t="str">
        <f aca="false">IF($B880="","",COUNTIF($F880:$AJ880,"CL"))</f>
        <v/>
      </c>
      <c r="AQ880" s="34" t="str">
        <f aca="false">IF($B880="","",COUNTIF($F880:$AJ880,"SL"))</f>
        <v/>
      </c>
      <c r="AR880" s="34" t="str">
        <f aca="false">IF($B880="","",COUNTIF($F880:$AJ880,"CO"))</f>
        <v/>
      </c>
      <c r="AS880" s="34" t="str">
        <f aca="false">IF($B880="","",COUNTIF($F880:$AJ880,"HPL"))</f>
        <v/>
      </c>
      <c r="AT880" s="34" t="str">
        <f aca="false">IF($B880="","",COUNTIF($F880:$AJ880,"HCL"))</f>
        <v/>
      </c>
      <c r="AU880" s="34" t="str">
        <f aca="false">IF($B880="","",COUNTIF($F880:$AJ880,"WO"))</f>
        <v/>
      </c>
      <c r="AV880" s="34" t="str">
        <f aca="false">IF($B880="","",COUNTIF($F880:$AJ880,"PH"))</f>
        <v/>
      </c>
      <c r="AW880" s="34" t="str">
        <f aca="false">IF($B880="","",COUNTIF($F880:$AJ880,"TR"))</f>
        <v/>
      </c>
      <c r="AX880" s="35" t="str">
        <f aca="false">IF($B880="","",AO880+AS880/2)</f>
        <v/>
      </c>
      <c r="AY880" s="35" t="str">
        <f aca="false">IF($B880="","",AQ880)</f>
        <v/>
      </c>
      <c r="AZ880" s="35" t="str">
        <f aca="false">IF($B880="","",AP880+AT880/2)</f>
        <v/>
      </c>
      <c r="BA880" s="35" t="str">
        <f aca="false">IF($B880="","",AK880+AN880+AM880/2+AO880+AP880+AQ880+AR880+AS880+AT880+AU880+AV880+AW880)</f>
        <v/>
      </c>
      <c r="BB880" s="35" t="str">
        <f aca="false">IF($B880="","",MAX(0,AN880-Settings!$C$16)*Settings!$C$17)</f>
        <v/>
      </c>
      <c r="BC880" s="35" t="str">
        <f aca="false">IF($B880="","",BA880-BB880)</f>
        <v/>
      </c>
      <c r="BD880" s="35" t="str">
        <f aca="false">IF(OR($B880="",$A880=""),"",DAY(EOMONTH($A880,0))-COUNTA($F880:$AJ880))</f>
        <v/>
      </c>
    </row>
    <row r="881" customFormat="false" ht="15" hidden="false" customHeight="false" outlineLevel="0" collapsed="false">
      <c r="A881" s="32"/>
      <c r="B881" s="29"/>
      <c r="C881" s="10" t="str">
        <f aca="false">IF($B881="","",IFERROR(INDEX(M_name,MATCH($B881,M_emp,0)),"Code not found"))</f>
        <v/>
      </c>
      <c r="D881" s="10" t="str">
        <f aca="false">IF($B881="","",IFERROR(INDEX(M_dept,MATCH($B881,M_emp,0)),""))</f>
        <v/>
      </c>
      <c r="E881" s="10" t="str">
        <f aca="false">IF($B881="","",IFERROR(INDEX(M_loc,MATCH($B881,M_emp,0)),""))</f>
        <v/>
      </c>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4" t="str">
        <f aca="false">IF($B881="","",COUNTIF($F881:$AJ881,"P"))</f>
        <v/>
      </c>
      <c r="AL881" s="34" t="str">
        <f aca="false">IF($B881="","",COUNTIF($F881:$AJ881,"A"))</f>
        <v/>
      </c>
      <c r="AM881" s="34" t="str">
        <f aca="false">IF($B881="","",COUNTIF($F881:$AJ881,"HA"))</f>
        <v/>
      </c>
      <c r="AN881" s="34" t="str">
        <f aca="false">IF($B881="","",COUNTIF($F881:$AJ881,"L"))</f>
        <v/>
      </c>
      <c r="AO881" s="34" t="str">
        <f aca="false">IF($B881="","",COUNTIF($F881:$AJ881,"PL"))</f>
        <v/>
      </c>
      <c r="AP881" s="34" t="str">
        <f aca="false">IF($B881="","",COUNTIF($F881:$AJ881,"CL"))</f>
        <v/>
      </c>
      <c r="AQ881" s="34" t="str">
        <f aca="false">IF($B881="","",COUNTIF($F881:$AJ881,"SL"))</f>
        <v/>
      </c>
      <c r="AR881" s="34" t="str">
        <f aca="false">IF($B881="","",COUNTIF($F881:$AJ881,"CO"))</f>
        <v/>
      </c>
      <c r="AS881" s="34" t="str">
        <f aca="false">IF($B881="","",COUNTIF($F881:$AJ881,"HPL"))</f>
        <v/>
      </c>
      <c r="AT881" s="34" t="str">
        <f aca="false">IF($B881="","",COUNTIF($F881:$AJ881,"HCL"))</f>
        <v/>
      </c>
      <c r="AU881" s="34" t="str">
        <f aca="false">IF($B881="","",COUNTIF($F881:$AJ881,"WO"))</f>
        <v/>
      </c>
      <c r="AV881" s="34" t="str">
        <f aca="false">IF($B881="","",COUNTIF($F881:$AJ881,"PH"))</f>
        <v/>
      </c>
      <c r="AW881" s="34" t="str">
        <f aca="false">IF($B881="","",COUNTIF($F881:$AJ881,"TR"))</f>
        <v/>
      </c>
      <c r="AX881" s="35" t="str">
        <f aca="false">IF($B881="","",AO881+AS881/2)</f>
        <v/>
      </c>
      <c r="AY881" s="35" t="str">
        <f aca="false">IF($B881="","",AQ881)</f>
        <v/>
      </c>
      <c r="AZ881" s="35" t="str">
        <f aca="false">IF($B881="","",AP881+AT881/2)</f>
        <v/>
      </c>
      <c r="BA881" s="35" t="str">
        <f aca="false">IF($B881="","",AK881+AN881+AM881/2+AO881+AP881+AQ881+AR881+AS881+AT881+AU881+AV881+AW881)</f>
        <v/>
      </c>
      <c r="BB881" s="35" t="str">
        <f aca="false">IF($B881="","",MAX(0,AN881-Settings!$C$16)*Settings!$C$17)</f>
        <v/>
      </c>
      <c r="BC881" s="35" t="str">
        <f aca="false">IF($B881="","",BA881-BB881)</f>
        <v/>
      </c>
      <c r="BD881" s="35" t="str">
        <f aca="false">IF(OR($B881="",$A881=""),"",DAY(EOMONTH($A881,0))-COUNTA($F881:$AJ881))</f>
        <v/>
      </c>
    </row>
    <row r="882" customFormat="false" ht="15" hidden="false" customHeight="false" outlineLevel="0" collapsed="false">
      <c r="A882" s="32"/>
      <c r="B882" s="29"/>
      <c r="C882" s="10" t="str">
        <f aca="false">IF($B882="","",IFERROR(INDEX(M_name,MATCH($B882,M_emp,0)),"Code not found"))</f>
        <v/>
      </c>
      <c r="D882" s="10" t="str">
        <f aca="false">IF($B882="","",IFERROR(INDEX(M_dept,MATCH($B882,M_emp,0)),""))</f>
        <v/>
      </c>
      <c r="E882" s="10" t="str">
        <f aca="false">IF($B882="","",IFERROR(INDEX(M_loc,MATCH($B882,M_emp,0)),""))</f>
        <v/>
      </c>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4" t="str">
        <f aca="false">IF($B882="","",COUNTIF($F882:$AJ882,"P"))</f>
        <v/>
      </c>
      <c r="AL882" s="34" t="str">
        <f aca="false">IF($B882="","",COUNTIF($F882:$AJ882,"A"))</f>
        <v/>
      </c>
      <c r="AM882" s="34" t="str">
        <f aca="false">IF($B882="","",COUNTIF($F882:$AJ882,"HA"))</f>
        <v/>
      </c>
      <c r="AN882" s="34" t="str">
        <f aca="false">IF($B882="","",COUNTIF($F882:$AJ882,"L"))</f>
        <v/>
      </c>
      <c r="AO882" s="34" t="str">
        <f aca="false">IF($B882="","",COUNTIF($F882:$AJ882,"PL"))</f>
        <v/>
      </c>
      <c r="AP882" s="34" t="str">
        <f aca="false">IF($B882="","",COUNTIF($F882:$AJ882,"CL"))</f>
        <v/>
      </c>
      <c r="AQ882" s="34" t="str">
        <f aca="false">IF($B882="","",COUNTIF($F882:$AJ882,"SL"))</f>
        <v/>
      </c>
      <c r="AR882" s="34" t="str">
        <f aca="false">IF($B882="","",COUNTIF($F882:$AJ882,"CO"))</f>
        <v/>
      </c>
      <c r="AS882" s="34" t="str">
        <f aca="false">IF($B882="","",COUNTIF($F882:$AJ882,"HPL"))</f>
        <v/>
      </c>
      <c r="AT882" s="34" t="str">
        <f aca="false">IF($B882="","",COUNTIF($F882:$AJ882,"HCL"))</f>
        <v/>
      </c>
      <c r="AU882" s="34" t="str">
        <f aca="false">IF($B882="","",COUNTIF($F882:$AJ882,"WO"))</f>
        <v/>
      </c>
      <c r="AV882" s="34" t="str">
        <f aca="false">IF($B882="","",COUNTIF($F882:$AJ882,"PH"))</f>
        <v/>
      </c>
      <c r="AW882" s="34" t="str">
        <f aca="false">IF($B882="","",COUNTIF($F882:$AJ882,"TR"))</f>
        <v/>
      </c>
      <c r="AX882" s="35" t="str">
        <f aca="false">IF($B882="","",AO882+AS882/2)</f>
        <v/>
      </c>
      <c r="AY882" s="35" t="str">
        <f aca="false">IF($B882="","",AQ882)</f>
        <v/>
      </c>
      <c r="AZ882" s="35" t="str">
        <f aca="false">IF($B882="","",AP882+AT882/2)</f>
        <v/>
      </c>
      <c r="BA882" s="35" t="str">
        <f aca="false">IF($B882="","",AK882+AN882+AM882/2+AO882+AP882+AQ882+AR882+AS882+AT882+AU882+AV882+AW882)</f>
        <v/>
      </c>
      <c r="BB882" s="35" t="str">
        <f aca="false">IF($B882="","",MAX(0,AN882-Settings!$C$16)*Settings!$C$17)</f>
        <v/>
      </c>
      <c r="BC882" s="35" t="str">
        <f aca="false">IF($B882="","",BA882-BB882)</f>
        <v/>
      </c>
      <c r="BD882" s="35" t="str">
        <f aca="false">IF(OR($B882="",$A882=""),"",DAY(EOMONTH($A882,0))-COUNTA($F882:$AJ882))</f>
        <v/>
      </c>
    </row>
    <row r="883" customFormat="false" ht="15" hidden="false" customHeight="false" outlineLevel="0" collapsed="false">
      <c r="A883" s="32"/>
      <c r="B883" s="29"/>
      <c r="C883" s="10" t="str">
        <f aca="false">IF($B883="","",IFERROR(INDEX(M_name,MATCH($B883,M_emp,0)),"Code not found"))</f>
        <v/>
      </c>
      <c r="D883" s="10" t="str">
        <f aca="false">IF($B883="","",IFERROR(INDEX(M_dept,MATCH($B883,M_emp,0)),""))</f>
        <v/>
      </c>
      <c r="E883" s="10" t="str">
        <f aca="false">IF($B883="","",IFERROR(INDEX(M_loc,MATCH($B883,M_emp,0)),""))</f>
        <v/>
      </c>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4" t="str">
        <f aca="false">IF($B883="","",COUNTIF($F883:$AJ883,"P"))</f>
        <v/>
      </c>
      <c r="AL883" s="34" t="str">
        <f aca="false">IF($B883="","",COUNTIF($F883:$AJ883,"A"))</f>
        <v/>
      </c>
      <c r="AM883" s="34" t="str">
        <f aca="false">IF($B883="","",COUNTIF($F883:$AJ883,"HA"))</f>
        <v/>
      </c>
      <c r="AN883" s="34" t="str">
        <f aca="false">IF($B883="","",COUNTIF($F883:$AJ883,"L"))</f>
        <v/>
      </c>
      <c r="AO883" s="34" t="str">
        <f aca="false">IF($B883="","",COUNTIF($F883:$AJ883,"PL"))</f>
        <v/>
      </c>
      <c r="AP883" s="34" t="str">
        <f aca="false">IF($B883="","",COUNTIF($F883:$AJ883,"CL"))</f>
        <v/>
      </c>
      <c r="AQ883" s="34" t="str">
        <f aca="false">IF($B883="","",COUNTIF($F883:$AJ883,"SL"))</f>
        <v/>
      </c>
      <c r="AR883" s="34" t="str">
        <f aca="false">IF($B883="","",COUNTIF($F883:$AJ883,"CO"))</f>
        <v/>
      </c>
      <c r="AS883" s="34" t="str">
        <f aca="false">IF($B883="","",COUNTIF($F883:$AJ883,"HPL"))</f>
        <v/>
      </c>
      <c r="AT883" s="34" t="str">
        <f aca="false">IF($B883="","",COUNTIF($F883:$AJ883,"HCL"))</f>
        <v/>
      </c>
      <c r="AU883" s="34" t="str">
        <f aca="false">IF($B883="","",COUNTIF($F883:$AJ883,"WO"))</f>
        <v/>
      </c>
      <c r="AV883" s="34" t="str">
        <f aca="false">IF($B883="","",COUNTIF($F883:$AJ883,"PH"))</f>
        <v/>
      </c>
      <c r="AW883" s="34" t="str">
        <f aca="false">IF($B883="","",COUNTIF($F883:$AJ883,"TR"))</f>
        <v/>
      </c>
      <c r="AX883" s="35" t="str">
        <f aca="false">IF($B883="","",AO883+AS883/2)</f>
        <v/>
      </c>
      <c r="AY883" s="35" t="str">
        <f aca="false">IF($B883="","",AQ883)</f>
        <v/>
      </c>
      <c r="AZ883" s="35" t="str">
        <f aca="false">IF($B883="","",AP883+AT883/2)</f>
        <v/>
      </c>
      <c r="BA883" s="35" t="str">
        <f aca="false">IF($B883="","",AK883+AN883+AM883/2+AO883+AP883+AQ883+AR883+AS883+AT883+AU883+AV883+AW883)</f>
        <v/>
      </c>
      <c r="BB883" s="35" t="str">
        <f aca="false">IF($B883="","",MAX(0,AN883-Settings!$C$16)*Settings!$C$17)</f>
        <v/>
      </c>
      <c r="BC883" s="35" t="str">
        <f aca="false">IF($B883="","",BA883-BB883)</f>
        <v/>
      </c>
      <c r="BD883" s="35" t="str">
        <f aca="false">IF(OR($B883="",$A883=""),"",DAY(EOMONTH($A883,0))-COUNTA($F883:$AJ883))</f>
        <v/>
      </c>
    </row>
    <row r="884" customFormat="false" ht="15" hidden="false" customHeight="false" outlineLevel="0" collapsed="false">
      <c r="A884" s="32"/>
      <c r="B884" s="29"/>
      <c r="C884" s="10" t="str">
        <f aca="false">IF($B884="","",IFERROR(INDEX(M_name,MATCH($B884,M_emp,0)),"Code not found"))</f>
        <v/>
      </c>
      <c r="D884" s="10" t="str">
        <f aca="false">IF($B884="","",IFERROR(INDEX(M_dept,MATCH($B884,M_emp,0)),""))</f>
        <v/>
      </c>
      <c r="E884" s="10" t="str">
        <f aca="false">IF($B884="","",IFERROR(INDEX(M_loc,MATCH($B884,M_emp,0)),""))</f>
        <v/>
      </c>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4" t="str">
        <f aca="false">IF($B884="","",COUNTIF($F884:$AJ884,"P"))</f>
        <v/>
      </c>
      <c r="AL884" s="34" t="str">
        <f aca="false">IF($B884="","",COUNTIF($F884:$AJ884,"A"))</f>
        <v/>
      </c>
      <c r="AM884" s="34" t="str">
        <f aca="false">IF($B884="","",COUNTIF($F884:$AJ884,"HA"))</f>
        <v/>
      </c>
      <c r="AN884" s="34" t="str">
        <f aca="false">IF($B884="","",COUNTIF($F884:$AJ884,"L"))</f>
        <v/>
      </c>
      <c r="AO884" s="34" t="str">
        <f aca="false">IF($B884="","",COUNTIF($F884:$AJ884,"PL"))</f>
        <v/>
      </c>
      <c r="AP884" s="34" t="str">
        <f aca="false">IF($B884="","",COUNTIF($F884:$AJ884,"CL"))</f>
        <v/>
      </c>
      <c r="AQ884" s="34" t="str">
        <f aca="false">IF($B884="","",COUNTIF($F884:$AJ884,"SL"))</f>
        <v/>
      </c>
      <c r="AR884" s="34" t="str">
        <f aca="false">IF($B884="","",COUNTIF($F884:$AJ884,"CO"))</f>
        <v/>
      </c>
      <c r="AS884" s="34" t="str">
        <f aca="false">IF($B884="","",COUNTIF($F884:$AJ884,"HPL"))</f>
        <v/>
      </c>
      <c r="AT884" s="34" t="str">
        <f aca="false">IF($B884="","",COUNTIF($F884:$AJ884,"HCL"))</f>
        <v/>
      </c>
      <c r="AU884" s="34" t="str">
        <f aca="false">IF($B884="","",COUNTIF($F884:$AJ884,"WO"))</f>
        <v/>
      </c>
      <c r="AV884" s="34" t="str">
        <f aca="false">IF($B884="","",COUNTIF($F884:$AJ884,"PH"))</f>
        <v/>
      </c>
      <c r="AW884" s="34" t="str">
        <f aca="false">IF($B884="","",COUNTIF($F884:$AJ884,"TR"))</f>
        <v/>
      </c>
      <c r="AX884" s="35" t="str">
        <f aca="false">IF($B884="","",AO884+AS884/2)</f>
        <v/>
      </c>
      <c r="AY884" s="35" t="str">
        <f aca="false">IF($B884="","",AQ884)</f>
        <v/>
      </c>
      <c r="AZ884" s="35" t="str">
        <f aca="false">IF($B884="","",AP884+AT884/2)</f>
        <v/>
      </c>
      <c r="BA884" s="35" t="str">
        <f aca="false">IF($B884="","",AK884+AN884+AM884/2+AO884+AP884+AQ884+AR884+AS884+AT884+AU884+AV884+AW884)</f>
        <v/>
      </c>
      <c r="BB884" s="35" t="str">
        <f aca="false">IF($B884="","",MAX(0,AN884-Settings!$C$16)*Settings!$C$17)</f>
        <v/>
      </c>
      <c r="BC884" s="35" t="str">
        <f aca="false">IF($B884="","",BA884-BB884)</f>
        <v/>
      </c>
      <c r="BD884" s="35" t="str">
        <f aca="false">IF(OR($B884="",$A884=""),"",DAY(EOMONTH($A884,0))-COUNTA($F884:$AJ884))</f>
        <v/>
      </c>
    </row>
    <row r="885" customFormat="false" ht="15" hidden="false" customHeight="false" outlineLevel="0" collapsed="false">
      <c r="A885" s="32"/>
      <c r="B885" s="29"/>
      <c r="C885" s="10" t="str">
        <f aca="false">IF($B885="","",IFERROR(INDEX(M_name,MATCH($B885,M_emp,0)),"Code not found"))</f>
        <v/>
      </c>
      <c r="D885" s="10" t="str">
        <f aca="false">IF($B885="","",IFERROR(INDEX(M_dept,MATCH($B885,M_emp,0)),""))</f>
        <v/>
      </c>
      <c r="E885" s="10" t="str">
        <f aca="false">IF($B885="","",IFERROR(INDEX(M_loc,MATCH($B885,M_emp,0)),""))</f>
        <v/>
      </c>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4" t="str">
        <f aca="false">IF($B885="","",COUNTIF($F885:$AJ885,"P"))</f>
        <v/>
      </c>
      <c r="AL885" s="34" t="str">
        <f aca="false">IF($B885="","",COUNTIF($F885:$AJ885,"A"))</f>
        <v/>
      </c>
      <c r="AM885" s="34" t="str">
        <f aca="false">IF($B885="","",COUNTIF($F885:$AJ885,"HA"))</f>
        <v/>
      </c>
      <c r="AN885" s="34" t="str">
        <f aca="false">IF($B885="","",COUNTIF($F885:$AJ885,"L"))</f>
        <v/>
      </c>
      <c r="AO885" s="34" t="str">
        <f aca="false">IF($B885="","",COUNTIF($F885:$AJ885,"PL"))</f>
        <v/>
      </c>
      <c r="AP885" s="34" t="str">
        <f aca="false">IF($B885="","",COUNTIF($F885:$AJ885,"CL"))</f>
        <v/>
      </c>
      <c r="AQ885" s="34" t="str">
        <f aca="false">IF($B885="","",COUNTIF($F885:$AJ885,"SL"))</f>
        <v/>
      </c>
      <c r="AR885" s="34" t="str">
        <f aca="false">IF($B885="","",COUNTIF($F885:$AJ885,"CO"))</f>
        <v/>
      </c>
      <c r="AS885" s="34" t="str">
        <f aca="false">IF($B885="","",COUNTIF($F885:$AJ885,"HPL"))</f>
        <v/>
      </c>
      <c r="AT885" s="34" t="str">
        <f aca="false">IF($B885="","",COUNTIF($F885:$AJ885,"HCL"))</f>
        <v/>
      </c>
      <c r="AU885" s="34" t="str">
        <f aca="false">IF($B885="","",COUNTIF($F885:$AJ885,"WO"))</f>
        <v/>
      </c>
      <c r="AV885" s="34" t="str">
        <f aca="false">IF($B885="","",COUNTIF($F885:$AJ885,"PH"))</f>
        <v/>
      </c>
      <c r="AW885" s="34" t="str">
        <f aca="false">IF($B885="","",COUNTIF($F885:$AJ885,"TR"))</f>
        <v/>
      </c>
      <c r="AX885" s="35" t="str">
        <f aca="false">IF($B885="","",AO885+AS885/2)</f>
        <v/>
      </c>
      <c r="AY885" s="35" t="str">
        <f aca="false">IF($B885="","",AQ885)</f>
        <v/>
      </c>
      <c r="AZ885" s="35" t="str">
        <f aca="false">IF($B885="","",AP885+AT885/2)</f>
        <v/>
      </c>
      <c r="BA885" s="35" t="str">
        <f aca="false">IF($B885="","",AK885+AN885+AM885/2+AO885+AP885+AQ885+AR885+AS885+AT885+AU885+AV885+AW885)</f>
        <v/>
      </c>
      <c r="BB885" s="35" t="str">
        <f aca="false">IF($B885="","",MAX(0,AN885-Settings!$C$16)*Settings!$C$17)</f>
        <v/>
      </c>
      <c r="BC885" s="35" t="str">
        <f aca="false">IF($B885="","",BA885-BB885)</f>
        <v/>
      </c>
      <c r="BD885" s="35" t="str">
        <f aca="false">IF(OR($B885="",$A885=""),"",DAY(EOMONTH($A885,0))-COUNTA($F885:$AJ885))</f>
        <v/>
      </c>
    </row>
    <row r="886" customFormat="false" ht="15" hidden="false" customHeight="false" outlineLevel="0" collapsed="false">
      <c r="A886" s="32"/>
      <c r="B886" s="29"/>
      <c r="C886" s="10" t="str">
        <f aca="false">IF($B886="","",IFERROR(INDEX(M_name,MATCH($B886,M_emp,0)),"Code not found"))</f>
        <v/>
      </c>
      <c r="D886" s="10" t="str">
        <f aca="false">IF($B886="","",IFERROR(INDEX(M_dept,MATCH($B886,M_emp,0)),""))</f>
        <v/>
      </c>
      <c r="E886" s="10" t="str">
        <f aca="false">IF($B886="","",IFERROR(INDEX(M_loc,MATCH($B886,M_emp,0)),""))</f>
        <v/>
      </c>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4" t="str">
        <f aca="false">IF($B886="","",COUNTIF($F886:$AJ886,"P"))</f>
        <v/>
      </c>
      <c r="AL886" s="34" t="str">
        <f aca="false">IF($B886="","",COUNTIF($F886:$AJ886,"A"))</f>
        <v/>
      </c>
      <c r="AM886" s="34" t="str">
        <f aca="false">IF($B886="","",COUNTIF($F886:$AJ886,"HA"))</f>
        <v/>
      </c>
      <c r="AN886" s="34" t="str">
        <f aca="false">IF($B886="","",COUNTIF($F886:$AJ886,"L"))</f>
        <v/>
      </c>
      <c r="AO886" s="34" t="str">
        <f aca="false">IF($B886="","",COUNTIF($F886:$AJ886,"PL"))</f>
        <v/>
      </c>
      <c r="AP886" s="34" t="str">
        <f aca="false">IF($B886="","",COUNTIF($F886:$AJ886,"CL"))</f>
        <v/>
      </c>
      <c r="AQ886" s="34" t="str">
        <f aca="false">IF($B886="","",COUNTIF($F886:$AJ886,"SL"))</f>
        <v/>
      </c>
      <c r="AR886" s="34" t="str">
        <f aca="false">IF($B886="","",COUNTIF($F886:$AJ886,"CO"))</f>
        <v/>
      </c>
      <c r="AS886" s="34" t="str">
        <f aca="false">IF($B886="","",COUNTIF($F886:$AJ886,"HPL"))</f>
        <v/>
      </c>
      <c r="AT886" s="34" t="str">
        <f aca="false">IF($B886="","",COUNTIF($F886:$AJ886,"HCL"))</f>
        <v/>
      </c>
      <c r="AU886" s="34" t="str">
        <f aca="false">IF($B886="","",COUNTIF($F886:$AJ886,"WO"))</f>
        <v/>
      </c>
      <c r="AV886" s="34" t="str">
        <f aca="false">IF($B886="","",COUNTIF($F886:$AJ886,"PH"))</f>
        <v/>
      </c>
      <c r="AW886" s="34" t="str">
        <f aca="false">IF($B886="","",COUNTIF($F886:$AJ886,"TR"))</f>
        <v/>
      </c>
      <c r="AX886" s="35" t="str">
        <f aca="false">IF($B886="","",AO886+AS886/2)</f>
        <v/>
      </c>
      <c r="AY886" s="35" t="str">
        <f aca="false">IF($B886="","",AQ886)</f>
        <v/>
      </c>
      <c r="AZ886" s="35" t="str">
        <f aca="false">IF($B886="","",AP886+AT886/2)</f>
        <v/>
      </c>
      <c r="BA886" s="35" t="str">
        <f aca="false">IF($B886="","",AK886+AN886+AM886/2+AO886+AP886+AQ886+AR886+AS886+AT886+AU886+AV886+AW886)</f>
        <v/>
      </c>
      <c r="BB886" s="35" t="str">
        <f aca="false">IF($B886="","",MAX(0,AN886-Settings!$C$16)*Settings!$C$17)</f>
        <v/>
      </c>
      <c r="BC886" s="35" t="str">
        <f aca="false">IF($B886="","",BA886-BB886)</f>
        <v/>
      </c>
      <c r="BD886" s="35" t="str">
        <f aca="false">IF(OR($B886="",$A886=""),"",DAY(EOMONTH($A886,0))-COUNTA($F886:$AJ886))</f>
        <v/>
      </c>
    </row>
    <row r="887" customFormat="false" ht="15" hidden="false" customHeight="false" outlineLevel="0" collapsed="false">
      <c r="A887" s="32"/>
      <c r="B887" s="29"/>
      <c r="C887" s="10" t="str">
        <f aca="false">IF($B887="","",IFERROR(INDEX(M_name,MATCH($B887,M_emp,0)),"Code not found"))</f>
        <v/>
      </c>
      <c r="D887" s="10" t="str">
        <f aca="false">IF($B887="","",IFERROR(INDEX(M_dept,MATCH($B887,M_emp,0)),""))</f>
        <v/>
      </c>
      <c r="E887" s="10" t="str">
        <f aca="false">IF($B887="","",IFERROR(INDEX(M_loc,MATCH($B887,M_emp,0)),""))</f>
        <v/>
      </c>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4" t="str">
        <f aca="false">IF($B887="","",COUNTIF($F887:$AJ887,"P"))</f>
        <v/>
      </c>
      <c r="AL887" s="34" t="str">
        <f aca="false">IF($B887="","",COUNTIF($F887:$AJ887,"A"))</f>
        <v/>
      </c>
      <c r="AM887" s="34" t="str">
        <f aca="false">IF($B887="","",COUNTIF($F887:$AJ887,"HA"))</f>
        <v/>
      </c>
      <c r="AN887" s="34" t="str">
        <f aca="false">IF($B887="","",COUNTIF($F887:$AJ887,"L"))</f>
        <v/>
      </c>
      <c r="AO887" s="34" t="str">
        <f aca="false">IF($B887="","",COUNTIF($F887:$AJ887,"PL"))</f>
        <v/>
      </c>
      <c r="AP887" s="34" t="str">
        <f aca="false">IF($B887="","",COUNTIF($F887:$AJ887,"CL"))</f>
        <v/>
      </c>
      <c r="AQ887" s="34" t="str">
        <f aca="false">IF($B887="","",COUNTIF($F887:$AJ887,"SL"))</f>
        <v/>
      </c>
      <c r="AR887" s="34" t="str">
        <f aca="false">IF($B887="","",COUNTIF($F887:$AJ887,"CO"))</f>
        <v/>
      </c>
      <c r="AS887" s="34" t="str">
        <f aca="false">IF($B887="","",COUNTIF($F887:$AJ887,"HPL"))</f>
        <v/>
      </c>
      <c r="AT887" s="34" t="str">
        <f aca="false">IF($B887="","",COUNTIF($F887:$AJ887,"HCL"))</f>
        <v/>
      </c>
      <c r="AU887" s="34" t="str">
        <f aca="false">IF($B887="","",COUNTIF($F887:$AJ887,"WO"))</f>
        <v/>
      </c>
      <c r="AV887" s="34" t="str">
        <f aca="false">IF($B887="","",COUNTIF($F887:$AJ887,"PH"))</f>
        <v/>
      </c>
      <c r="AW887" s="34" t="str">
        <f aca="false">IF($B887="","",COUNTIF($F887:$AJ887,"TR"))</f>
        <v/>
      </c>
      <c r="AX887" s="35" t="str">
        <f aca="false">IF($B887="","",AO887+AS887/2)</f>
        <v/>
      </c>
      <c r="AY887" s="35" t="str">
        <f aca="false">IF($B887="","",AQ887)</f>
        <v/>
      </c>
      <c r="AZ887" s="35" t="str">
        <f aca="false">IF($B887="","",AP887+AT887/2)</f>
        <v/>
      </c>
      <c r="BA887" s="35" t="str">
        <f aca="false">IF($B887="","",AK887+AN887+AM887/2+AO887+AP887+AQ887+AR887+AS887+AT887+AU887+AV887+AW887)</f>
        <v/>
      </c>
      <c r="BB887" s="35" t="str">
        <f aca="false">IF($B887="","",MAX(0,AN887-Settings!$C$16)*Settings!$C$17)</f>
        <v/>
      </c>
      <c r="BC887" s="35" t="str">
        <f aca="false">IF($B887="","",BA887-BB887)</f>
        <v/>
      </c>
      <c r="BD887" s="35" t="str">
        <f aca="false">IF(OR($B887="",$A887=""),"",DAY(EOMONTH($A887,0))-COUNTA($F887:$AJ887))</f>
        <v/>
      </c>
    </row>
    <row r="888" customFormat="false" ht="15" hidden="false" customHeight="false" outlineLevel="0" collapsed="false">
      <c r="A888" s="32"/>
      <c r="B888" s="29"/>
      <c r="C888" s="10" t="str">
        <f aca="false">IF($B888="","",IFERROR(INDEX(M_name,MATCH($B888,M_emp,0)),"Code not found"))</f>
        <v/>
      </c>
      <c r="D888" s="10" t="str">
        <f aca="false">IF($B888="","",IFERROR(INDEX(M_dept,MATCH($B888,M_emp,0)),""))</f>
        <v/>
      </c>
      <c r="E888" s="10" t="str">
        <f aca="false">IF($B888="","",IFERROR(INDEX(M_loc,MATCH($B888,M_emp,0)),""))</f>
        <v/>
      </c>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4" t="str">
        <f aca="false">IF($B888="","",COUNTIF($F888:$AJ888,"P"))</f>
        <v/>
      </c>
      <c r="AL888" s="34" t="str">
        <f aca="false">IF($B888="","",COUNTIF($F888:$AJ888,"A"))</f>
        <v/>
      </c>
      <c r="AM888" s="34" t="str">
        <f aca="false">IF($B888="","",COUNTIF($F888:$AJ888,"HA"))</f>
        <v/>
      </c>
      <c r="AN888" s="34" t="str">
        <f aca="false">IF($B888="","",COUNTIF($F888:$AJ888,"L"))</f>
        <v/>
      </c>
      <c r="AO888" s="34" t="str">
        <f aca="false">IF($B888="","",COUNTIF($F888:$AJ888,"PL"))</f>
        <v/>
      </c>
      <c r="AP888" s="34" t="str">
        <f aca="false">IF($B888="","",COUNTIF($F888:$AJ888,"CL"))</f>
        <v/>
      </c>
      <c r="AQ888" s="34" t="str">
        <f aca="false">IF($B888="","",COUNTIF($F888:$AJ888,"SL"))</f>
        <v/>
      </c>
      <c r="AR888" s="34" t="str">
        <f aca="false">IF($B888="","",COUNTIF($F888:$AJ888,"CO"))</f>
        <v/>
      </c>
      <c r="AS888" s="34" t="str">
        <f aca="false">IF($B888="","",COUNTIF($F888:$AJ888,"HPL"))</f>
        <v/>
      </c>
      <c r="AT888" s="34" t="str">
        <f aca="false">IF($B888="","",COUNTIF($F888:$AJ888,"HCL"))</f>
        <v/>
      </c>
      <c r="AU888" s="34" t="str">
        <f aca="false">IF($B888="","",COUNTIF($F888:$AJ888,"WO"))</f>
        <v/>
      </c>
      <c r="AV888" s="34" t="str">
        <f aca="false">IF($B888="","",COUNTIF($F888:$AJ888,"PH"))</f>
        <v/>
      </c>
      <c r="AW888" s="34" t="str">
        <f aca="false">IF($B888="","",COUNTIF($F888:$AJ888,"TR"))</f>
        <v/>
      </c>
      <c r="AX888" s="35" t="str">
        <f aca="false">IF($B888="","",AO888+AS888/2)</f>
        <v/>
      </c>
      <c r="AY888" s="35" t="str">
        <f aca="false">IF($B888="","",AQ888)</f>
        <v/>
      </c>
      <c r="AZ888" s="35" t="str">
        <f aca="false">IF($B888="","",AP888+AT888/2)</f>
        <v/>
      </c>
      <c r="BA888" s="35" t="str">
        <f aca="false">IF($B888="","",AK888+AN888+AM888/2+AO888+AP888+AQ888+AR888+AS888+AT888+AU888+AV888+AW888)</f>
        <v/>
      </c>
      <c r="BB888" s="35" t="str">
        <f aca="false">IF($B888="","",MAX(0,AN888-Settings!$C$16)*Settings!$C$17)</f>
        <v/>
      </c>
      <c r="BC888" s="35" t="str">
        <f aca="false">IF($B888="","",BA888-BB888)</f>
        <v/>
      </c>
      <c r="BD888" s="35" t="str">
        <f aca="false">IF(OR($B888="",$A888=""),"",DAY(EOMONTH($A888,0))-COUNTA($F888:$AJ888))</f>
        <v/>
      </c>
    </row>
    <row r="889" customFormat="false" ht="15" hidden="false" customHeight="false" outlineLevel="0" collapsed="false">
      <c r="A889" s="32"/>
      <c r="B889" s="29"/>
      <c r="C889" s="10" t="str">
        <f aca="false">IF($B889="","",IFERROR(INDEX(M_name,MATCH($B889,M_emp,0)),"Code not found"))</f>
        <v/>
      </c>
      <c r="D889" s="10" t="str">
        <f aca="false">IF($B889="","",IFERROR(INDEX(M_dept,MATCH($B889,M_emp,0)),""))</f>
        <v/>
      </c>
      <c r="E889" s="10" t="str">
        <f aca="false">IF($B889="","",IFERROR(INDEX(M_loc,MATCH($B889,M_emp,0)),""))</f>
        <v/>
      </c>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4" t="str">
        <f aca="false">IF($B889="","",COUNTIF($F889:$AJ889,"P"))</f>
        <v/>
      </c>
      <c r="AL889" s="34" t="str">
        <f aca="false">IF($B889="","",COUNTIF($F889:$AJ889,"A"))</f>
        <v/>
      </c>
      <c r="AM889" s="34" t="str">
        <f aca="false">IF($B889="","",COUNTIF($F889:$AJ889,"HA"))</f>
        <v/>
      </c>
      <c r="AN889" s="34" t="str">
        <f aca="false">IF($B889="","",COUNTIF($F889:$AJ889,"L"))</f>
        <v/>
      </c>
      <c r="AO889" s="34" t="str">
        <f aca="false">IF($B889="","",COUNTIF($F889:$AJ889,"PL"))</f>
        <v/>
      </c>
      <c r="AP889" s="34" t="str">
        <f aca="false">IF($B889="","",COUNTIF($F889:$AJ889,"CL"))</f>
        <v/>
      </c>
      <c r="AQ889" s="34" t="str">
        <f aca="false">IF($B889="","",COUNTIF($F889:$AJ889,"SL"))</f>
        <v/>
      </c>
      <c r="AR889" s="34" t="str">
        <f aca="false">IF($B889="","",COUNTIF($F889:$AJ889,"CO"))</f>
        <v/>
      </c>
      <c r="AS889" s="34" t="str">
        <f aca="false">IF($B889="","",COUNTIF($F889:$AJ889,"HPL"))</f>
        <v/>
      </c>
      <c r="AT889" s="34" t="str">
        <f aca="false">IF($B889="","",COUNTIF($F889:$AJ889,"HCL"))</f>
        <v/>
      </c>
      <c r="AU889" s="34" t="str">
        <f aca="false">IF($B889="","",COUNTIF($F889:$AJ889,"WO"))</f>
        <v/>
      </c>
      <c r="AV889" s="34" t="str">
        <f aca="false">IF($B889="","",COUNTIF($F889:$AJ889,"PH"))</f>
        <v/>
      </c>
      <c r="AW889" s="34" t="str">
        <f aca="false">IF($B889="","",COUNTIF($F889:$AJ889,"TR"))</f>
        <v/>
      </c>
      <c r="AX889" s="35" t="str">
        <f aca="false">IF($B889="","",AO889+AS889/2)</f>
        <v/>
      </c>
      <c r="AY889" s="35" t="str">
        <f aca="false">IF($B889="","",AQ889)</f>
        <v/>
      </c>
      <c r="AZ889" s="35" t="str">
        <f aca="false">IF($B889="","",AP889+AT889/2)</f>
        <v/>
      </c>
      <c r="BA889" s="35" t="str">
        <f aca="false">IF($B889="","",AK889+AN889+AM889/2+AO889+AP889+AQ889+AR889+AS889+AT889+AU889+AV889+AW889)</f>
        <v/>
      </c>
      <c r="BB889" s="35" t="str">
        <f aca="false">IF($B889="","",MAX(0,AN889-Settings!$C$16)*Settings!$C$17)</f>
        <v/>
      </c>
      <c r="BC889" s="35" t="str">
        <f aca="false">IF($B889="","",BA889-BB889)</f>
        <v/>
      </c>
      <c r="BD889" s="35" t="str">
        <f aca="false">IF(OR($B889="",$A889=""),"",DAY(EOMONTH($A889,0))-COUNTA($F889:$AJ889))</f>
        <v/>
      </c>
    </row>
    <row r="890" customFormat="false" ht="15" hidden="false" customHeight="false" outlineLevel="0" collapsed="false">
      <c r="A890" s="32"/>
      <c r="B890" s="29"/>
      <c r="C890" s="10" t="str">
        <f aca="false">IF($B890="","",IFERROR(INDEX(M_name,MATCH($B890,M_emp,0)),"Code not found"))</f>
        <v/>
      </c>
      <c r="D890" s="10" t="str">
        <f aca="false">IF($B890="","",IFERROR(INDEX(M_dept,MATCH($B890,M_emp,0)),""))</f>
        <v/>
      </c>
      <c r="E890" s="10" t="str">
        <f aca="false">IF($B890="","",IFERROR(INDEX(M_loc,MATCH($B890,M_emp,0)),""))</f>
        <v/>
      </c>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4" t="str">
        <f aca="false">IF($B890="","",COUNTIF($F890:$AJ890,"P"))</f>
        <v/>
      </c>
      <c r="AL890" s="34" t="str">
        <f aca="false">IF($B890="","",COUNTIF($F890:$AJ890,"A"))</f>
        <v/>
      </c>
      <c r="AM890" s="34" t="str">
        <f aca="false">IF($B890="","",COUNTIF($F890:$AJ890,"HA"))</f>
        <v/>
      </c>
      <c r="AN890" s="34" t="str">
        <f aca="false">IF($B890="","",COUNTIF($F890:$AJ890,"L"))</f>
        <v/>
      </c>
      <c r="AO890" s="34" t="str">
        <f aca="false">IF($B890="","",COUNTIF($F890:$AJ890,"PL"))</f>
        <v/>
      </c>
      <c r="AP890" s="34" t="str">
        <f aca="false">IF($B890="","",COUNTIF($F890:$AJ890,"CL"))</f>
        <v/>
      </c>
      <c r="AQ890" s="34" t="str">
        <f aca="false">IF($B890="","",COUNTIF($F890:$AJ890,"SL"))</f>
        <v/>
      </c>
      <c r="AR890" s="34" t="str">
        <f aca="false">IF($B890="","",COUNTIF($F890:$AJ890,"CO"))</f>
        <v/>
      </c>
      <c r="AS890" s="34" t="str">
        <f aca="false">IF($B890="","",COUNTIF($F890:$AJ890,"HPL"))</f>
        <v/>
      </c>
      <c r="AT890" s="34" t="str">
        <f aca="false">IF($B890="","",COUNTIF($F890:$AJ890,"HCL"))</f>
        <v/>
      </c>
      <c r="AU890" s="34" t="str">
        <f aca="false">IF($B890="","",COUNTIF($F890:$AJ890,"WO"))</f>
        <v/>
      </c>
      <c r="AV890" s="34" t="str">
        <f aca="false">IF($B890="","",COUNTIF($F890:$AJ890,"PH"))</f>
        <v/>
      </c>
      <c r="AW890" s="34" t="str">
        <f aca="false">IF($B890="","",COUNTIF($F890:$AJ890,"TR"))</f>
        <v/>
      </c>
      <c r="AX890" s="35" t="str">
        <f aca="false">IF($B890="","",AO890+AS890/2)</f>
        <v/>
      </c>
      <c r="AY890" s="35" t="str">
        <f aca="false">IF($B890="","",AQ890)</f>
        <v/>
      </c>
      <c r="AZ890" s="35" t="str">
        <f aca="false">IF($B890="","",AP890+AT890/2)</f>
        <v/>
      </c>
      <c r="BA890" s="35" t="str">
        <f aca="false">IF($B890="","",AK890+AN890+AM890/2+AO890+AP890+AQ890+AR890+AS890+AT890+AU890+AV890+AW890)</f>
        <v/>
      </c>
      <c r="BB890" s="35" t="str">
        <f aca="false">IF($B890="","",MAX(0,AN890-Settings!$C$16)*Settings!$C$17)</f>
        <v/>
      </c>
      <c r="BC890" s="35" t="str">
        <f aca="false">IF($B890="","",BA890-BB890)</f>
        <v/>
      </c>
      <c r="BD890" s="35" t="str">
        <f aca="false">IF(OR($B890="",$A890=""),"",DAY(EOMONTH($A890,0))-COUNTA($F890:$AJ890))</f>
        <v/>
      </c>
    </row>
    <row r="891" customFormat="false" ht="15" hidden="false" customHeight="false" outlineLevel="0" collapsed="false">
      <c r="A891" s="32"/>
      <c r="B891" s="29"/>
      <c r="C891" s="10" t="str">
        <f aca="false">IF($B891="","",IFERROR(INDEX(M_name,MATCH($B891,M_emp,0)),"Code not found"))</f>
        <v/>
      </c>
      <c r="D891" s="10" t="str">
        <f aca="false">IF($B891="","",IFERROR(INDEX(M_dept,MATCH($B891,M_emp,0)),""))</f>
        <v/>
      </c>
      <c r="E891" s="10" t="str">
        <f aca="false">IF($B891="","",IFERROR(INDEX(M_loc,MATCH($B891,M_emp,0)),""))</f>
        <v/>
      </c>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4" t="str">
        <f aca="false">IF($B891="","",COUNTIF($F891:$AJ891,"P"))</f>
        <v/>
      </c>
      <c r="AL891" s="34" t="str">
        <f aca="false">IF($B891="","",COUNTIF($F891:$AJ891,"A"))</f>
        <v/>
      </c>
      <c r="AM891" s="34" t="str">
        <f aca="false">IF($B891="","",COUNTIF($F891:$AJ891,"HA"))</f>
        <v/>
      </c>
      <c r="AN891" s="34" t="str">
        <f aca="false">IF($B891="","",COUNTIF($F891:$AJ891,"L"))</f>
        <v/>
      </c>
      <c r="AO891" s="34" t="str">
        <f aca="false">IF($B891="","",COUNTIF($F891:$AJ891,"PL"))</f>
        <v/>
      </c>
      <c r="AP891" s="34" t="str">
        <f aca="false">IF($B891="","",COUNTIF($F891:$AJ891,"CL"))</f>
        <v/>
      </c>
      <c r="AQ891" s="34" t="str">
        <f aca="false">IF($B891="","",COUNTIF($F891:$AJ891,"SL"))</f>
        <v/>
      </c>
      <c r="AR891" s="34" t="str">
        <f aca="false">IF($B891="","",COUNTIF($F891:$AJ891,"CO"))</f>
        <v/>
      </c>
      <c r="AS891" s="34" t="str">
        <f aca="false">IF($B891="","",COUNTIF($F891:$AJ891,"HPL"))</f>
        <v/>
      </c>
      <c r="AT891" s="34" t="str">
        <f aca="false">IF($B891="","",COUNTIF($F891:$AJ891,"HCL"))</f>
        <v/>
      </c>
      <c r="AU891" s="34" t="str">
        <f aca="false">IF($B891="","",COUNTIF($F891:$AJ891,"WO"))</f>
        <v/>
      </c>
      <c r="AV891" s="34" t="str">
        <f aca="false">IF($B891="","",COUNTIF($F891:$AJ891,"PH"))</f>
        <v/>
      </c>
      <c r="AW891" s="34" t="str">
        <f aca="false">IF($B891="","",COUNTIF($F891:$AJ891,"TR"))</f>
        <v/>
      </c>
      <c r="AX891" s="35" t="str">
        <f aca="false">IF($B891="","",AO891+AS891/2)</f>
        <v/>
      </c>
      <c r="AY891" s="35" t="str">
        <f aca="false">IF($B891="","",AQ891)</f>
        <v/>
      </c>
      <c r="AZ891" s="35" t="str">
        <f aca="false">IF($B891="","",AP891+AT891/2)</f>
        <v/>
      </c>
      <c r="BA891" s="35" t="str">
        <f aca="false">IF($B891="","",AK891+AN891+AM891/2+AO891+AP891+AQ891+AR891+AS891+AT891+AU891+AV891+AW891)</f>
        <v/>
      </c>
      <c r="BB891" s="35" t="str">
        <f aca="false">IF($B891="","",MAX(0,AN891-Settings!$C$16)*Settings!$C$17)</f>
        <v/>
      </c>
      <c r="BC891" s="35" t="str">
        <f aca="false">IF($B891="","",BA891-BB891)</f>
        <v/>
      </c>
      <c r="BD891" s="35" t="str">
        <f aca="false">IF(OR($B891="",$A891=""),"",DAY(EOMONTH($A891,0))-COUNTA($F891:$AJ891))</f>
        <v/>
      </c>
    </row>
    <row r="892" customFormat="false" ht="15" hidden="false" customHeight="false" outlineLevel="0" collapsed="false">
      <c r="A892" s="32"/>
      <c r="B892" s="29"/>
      <c r="C892" s="10" t="str">
        <f aca="false">IF($B892="","",IFERROR(INDEX(M_name,MATCH($B892,M_emp,0)),"Code not found"))</f>
        <v/>
      </c>
      <c r="D892" s="10" t="str">
        <f aca="false">IF($B892="","",IFERROR(INDEX(M_dept,MATCH($B892,M_emp,0)),""))</f>
        <v/>
      </c>
      <c r="E892" s="10" t="str">
        <f aca="false">IF($B892="","",IFERROR(INDEX(M_loc,MATCH($B892,M_emp,0)),""))</f>
        <v/>
      </c>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4" t="str">
        <f aca="false">IF($B892="","",COUNTIF($F892:$AJ892,"P"))</f>
        <v/>
      </c>
      <c r="AL892" s="34" t="str">
        <f aca="false">IF($B892="","",COUNTIF($F892:$AJ892,"A"))</f>
        <v/>
      </c>
      <c r="AM892" s="34" t="str">
        <f aca="false">IF($B892="","",COUNTIF($F892:$AJ892,"HA"))</f>
        <v/>
      </c>
      <c r="AN892" s="34" t="str">
        <f aca="false">IF($B892="","",COUNTIF($F892:$AJ892,"L"))</f>
        <v/>
      </c>
      <c r="AO892" s="34" t="str">
        <f aca="false">IF($B892="","",COUNTIF($F892:$AJ892,"PL"))</f>
        <v/>
      </c>
      <c r="AP892" s="34" t="str">
        <f aca="false">IF($B892="","",COUNTIF($F892:$AJ892,"CL"))</f>
        <v/>
      </c>
      <c r="AQ892" s="34" t="str">
        <f aca="false">IF($B892="","",COUNTIF($F892:$AJ892,"SL"))</f>
        <v/>
      </c>
      <c r="AR892" s="34" t="str">
        <f aca="false">IF($B892="","",COUNTIF($F892:$AJ892,"CO"))</f>
        <v/>
      </c>
      <c r="AS892" s="34" t="str">
        <f aca="false">IF($B892="","",COUNTIF($F892:$AJ892,"HPL"))</f>
        <v/>
      </c>
      <c r="AT892" s="34" t="str">
        <f aca="false">IF($B892="","",COUNTIF($F892:$AJ892,"HCL"))</f>
        <v/>
      </c>
      <c r="AU892" s="34" t="str">
        <f aca="false">IF($B892="","",COUNTIF($F892:$AJ892,"WO"))</f>
        <v/>
      </c>
      <c r="AV892" s="34" t="str">
        <f aca="false">IF($B892="","",COUNTIF($F892:$AJ892,"PH"))</f>
        <v/>
      </c>
      <c r="AW892" s="34" t="str">
        <f aca="false">IF($B892="","",COUNTIF($F892:$AJ892,"TR"))</f>
        <v/>
      </c>
      <c r="AX892" s="35" t="str">
        <f aca="false">IF($B892="","",AO892+AS892/2)</f>
        <v/>
      </c>
      <c r="AY892" s="35" t="str">
        <f aca="false">IF($B892="","",AQ892)</f>
        <v/>
      </c>
      <c r="AZ892" s="35" t="str">
        <f aca="false">IF($B892="","",AP892+AT892/2)</f>
        <v/>
      </c>
      <c r="BA892" s="35" t="str">
        <f aca="false">IF($B892="","",AK892+AN892+AM892/2+AO892+AP892+AQ892+AR892+AS892+AT892+AU892+AV892+AW892)</f>
        <v/>
      </c>
      <c r="BB892" s="35" t="str">
        <f aca="false">IF($B892="","",MAX(0,AN892-Settings!$C$16)*Settings!$C$17)</f>
        <v/>
      </c>
      <c r="BC892" s="35" t="str">
        <f aca="false">IF($B892="","",BA892-BB892)</f>
        <v/>
      </c>
      <c r="BD892" s="35" t="str">
        <f aca="false">IF(OR($B892="",$A892=""),"",DAY(EOMONTH($A892,0))-COUNTA($F892:$AJ892))</f>
        <v/>
      </c>
    </row>
    <row r="893" customFormat="false" ht="15" hidden="false" customHeight="false" outlineLevel="0" collapsed="false">
      <c r="A893" s="32"/>
      <c r="B893" s="29"/>
      <c r="C893" s="10" t="str">
        <f aca="false">IF($B893="","",IFERROR(INDEX(M_name,MATCH($B893,M_emp,0)),"Code not found"))</f>
        <v/>
      </c>
      <c r="D893" s="10" t="str">
        <f aca="false">IF($B893="","",IFERROR(INDEX(M_dept,MATCH($B893,M_emp,0)),""))</f>
        <v/>
      </c>
      <c r="E893" s="10" t="str">
        <f aca="false">IF($B893="","",IFERROR(INDEX(M_loc,MATCH($B893,M_emp,0)),""))</f>
        <v/>
      </c>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4" t="str">
        <f aca="false">IF($B893="","",COUNTIF($F893:$AJ893,"P"))</f>
        <v/>
      </c>
      <c r="AL893" s="34" t="str">
        <f aca="false">IF($B893="","",COUNTIF($F893:$AJ893,"A"))</f>
        <v/>
      </c>
      <c r="AM893" s="34" t="str">
        <f aca="false">IF($B893="","",COUNTIF($F893:$AJ893,"HA"))</f>
        <v/>
      </c>
      <c r="AN893" s="34" t="str">
        <f aca="false">IF($B893="","",COUNTIF($F893:$AJ893,"L"))</f>
        <v/>
      </c>
      <c r="AO893" s="34" t="str">
        <f aca="false">IF($B893="","",COUNTIF($F893:$AJ893,"PL"))</f>
        <v/>
      </c>
      <c r="AP893" s="34" t="str">
        <f aca="false">IF($B893="","",COUNTIF($F893:$AJ893,"CL"))</f>
        <v/>
      </c>
      <c r="AQ893" s="34" t="str">
        <f aca="false">IF($B893="","",COUNTIF($F893:$AJ893,"SL"))</f>
        <v/>
      </c>
      <c r="AR893" s="34" t="str">
        <f aca="false">IF($B893="","",COUNTIF($F893:$AJ893,"CO"))</f>
        <v/>
      </c>
      <c r="AS893" s="34" t="str">
        <f aca="false">IF($B893="","",COUNTIF($F893:$AJ893,"HPL"))</f>
        <v/>
      </c>
      <c r="AT893" s="34" t="str">
        <f aca="false">IF($B893="","",COUNTIF($F893:$AJ893,"HCL"))</f>
        <v/>
      </c>
      <c r="AU893" s="34" t="str">
        <f aca="false">IF($B893="","",COUNTIF($F893:$AJ893,"WO"))</f>
        <v/>
      </c>
      <c r="AV893" s="34" t="str">
        <f aca="false">IF($B893="","",COUNTIF($F893:$AJ893,"PH"))</f>
        <v/>
      </c>
      <c r="AW893" s="34" t="str">
        <f aca="false">IF($B893="","",COUNTIF($F893:$AJ893,"TR"))</f>
        <v/>
      </c>
      <c r="AX893" s="35" t="str">
        <f aca="false">IF($B893="","",AO893+AS893/2)</f>
        <v/>
      </c>
      <c r="AY893" s="35" t="str">
        <f aca="false">IF($B893="","",AQ893)</f>
        <v/>
      </c>
      <c r="AZ893" s="35" t="str">
        <f aca="false">IF($B893="","",AP893+AT893/2)</f>
        <v/>
      </c>
      <c r="BA893" s="35" t="str">
        <f aca="false">IF($B893="","",AK893+AN893+AM893/2+AO893+AP893+AQ893+AR893+AS893+AT893+AU893+AV893+AW893)</f>
        <v/>
      </c>
      <c r="BB893" s="35" t="str">
        <f aca="false">IF($B893="","",MAX(0,AN893-Settings!$C$16)*Settings!$C$17)</f>
        <v/>
      </c>
      <c r="BC893" s="35" t="str">
        <f aca="false">IF($B893="","",BA893-BB893)</f>
        <v/>
      </c>
      <c r="BD893" s="35" t="str">
        <f aca="false">IF(OR($B893="",$A893=""),"",DAY(EOMONTH($A893,0))-COUNTA($F893:$AJ893))</f>
        <v/>
      </c>
    </row>
    <row r="894" customFormat="false" ht="15" hidden="false" customHeight="false" outlineLevel="0" collapsed="false">
      <c r="A894" s="32"/>
      <c r="B894" s="29"/>
      <c r="C894" s="10" t="str">
        <f aca="false">IF($B894="","",IFERROR(INDEX(M_name,MATCH($B894,M_emp,0)),"Code not found"))</f>
        <v/>
      </c>
      <c r="D894" s="10" t="str">
        <f aca="false">IF($B894="","",IFERROR(INDEX(M_dept,MATCH($B894,M_emp,0)),""))</f>
        <v/>
      </c>
      <c r="E894" s="10" t="str">
        <f aca="false">IF($B894="","",IFERROR(INDEX(M_loc,MATCH($B894,M_emp,0)),""))</f>
        <v/>
      </c>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4" t="str">
        <f aca="false">IF($B894="","",COUNTIF($F894:$AJ894,"P"))</f>
        <v/>
      </c>
      <c r="AL894" s="34" t="str">
        <f aca="false">IF($B894="","",COUNTIF($F894:$AJ894,"A"))</f>
        <v/>
      </c>
      <c r="AM894" s="34" t="str">
        <f aca="false">IF($B894="","",COUNTIF($F894:$AJ894,"HA"))</f>
        <v/>
      </c>
      <c r="AN894" s="34" t="str">
        <f aca="false">IF($B894="","",COUNTIF($F894:$AJ894,"L"))</f>
        <v/>
      </c>
      <c r="AO894" s="34" t="str">
        <f aca="false">IF($B894="","",COUNTIF($F894:$AJ894,"PL"))</f>
        <v/>
      </c>
      <c r="AP894" s="34" t="str">
        <f aca="false">IF($B894="","",COUNTIF($F894:$AJ894,"CL"))</f>
        <v/>
      </c>
      <c r="AQ894" s="34" t="str">
        <f aca="false">IF($B894="","",COUNTIF($F894:$AJ894,"SL"))</f>
        <v/>
      </c>
      <c r="AR894" s="34" t="str">
        <f aca="false">IF($B894="","",COUNTIF($F894:$AJ894,"CO"))</f>
        <v/>
      </c>
      <c r="AS894" s="34" t="str">
        <f aca="false">IF($B894="","",COUNTIF($F894:$AJ894,"HPL"))</f>
        <v/>
      </c>
      <c r="AT894" s="34" t="str">
        <f aca="false">IF($B894="","",COUNTIF($F894:$AJ894,"HCL"))</f>
        <v/>
      </c>
      <c r="AU894" s="34" t="str">
        <f aca="false">IF($B894="","",COUNTIF($F894:$AJ894,"WO"))</f>
        <v/>
      </c>
      <c r="AV894" s="34" t="str">
        <f aca="false">IF($B894="","",COUNTIF($F894:$AJ894,"PH"))</f>
        <v/>
      </c>
      <c r="AW894" s="34" t="str">
        <f aca="false">IF($B894="","",COUNTIF($F894:$AJ894,"TR"))</f>
        <v/>
      </c>
      <c r="AX894" s="35" t="str">
        <f aca="false">IF($B894="","",AO894+AS894/2)</f>
        <v/>
      </c>
      <c r="AY894" s="35" t="str">
        <f aca="false">IF($B894="","",AQ894)</f>
        <v/>
      </c>
      <c r="AZ894" s="35" t="str">
        <f aca="false">IF($B894="","",AP894+AT894/2)</f>
        <v/>
      </c>
      <c r="BA894" s="35" t="str">
        <f aca="false">IF($B894="","",AK894+AN894+AM894/2+AO894+AP894+AQ894+AR894+AS894+AT894+AU894+AV894+AW894)</f>
        <v/>
      </c>
      <c r="BB894" s="35" t="str">
        <f aca="false">IF($B894="","",MAX(0,AN894-Settings!$C$16)*Settings!$C$17)</f>
        <v/>
      </c>
      <c r="BC894" s="35" t="str">
        <f aca="false">IF($B894="","",BA894-BB894)</f>
        <v/>
      </c>
      <c r="BD894" s="35" t="str">
        <f aca="false">IF(OR($B894="",$A894=""),"",DAY(EOMONTH($A894,0))-COUNTA($F894:$AJ894))</f>
        <v/>
      </c>
    </row>
    <row r="895" customFormat="false" ht="15" hidden="false" customHeight="false" outlineLevel="0" collapsed="false">
      <c r="A895" s="32"/>
      <c r="B895" s="29"/>
      <c r="C895" s="10" t="str">
        <f aca="false">IF($B895="","",IFERROR(INDEX(M_name,MATCH($B895,M_emp,0)),"Code not found"))</f>
        <v/>
      </c>
      <c r="D895" s="10" t="str">
        <f aca="false">IF($B895="","",IFERROR(INDEX(M_dept,MATCH($B895,M_emp,0)),""))</f>
        <v/>
      </c>
      <c r="E895" s="10" t="str">
        <f aca="false">IF($B895="","",IFERROR(INDEX(M_loc,MATCH($B895,M_emp,0)),""))</f>
        <v/>
      </c>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4" t="str">
        <f aca="false">IF($B895="","",COUNTIF($F895:$AJ895,"P"))</f>
        <v/>
      </c>
      <c r="AL895" s="34" t="str">
        <f aca="false">IF($B895="","",COUNTIF($F895:$AJ895,"A"))</f>
        <v/>
      </c>
      <c r="AM895" s="34" t="str">
        <f aca="false">IF($B895="","",COUNTIF($F895:$AJ895,"HA"))</f>
        <v/>
      </c>
      <c r="AN895" s="34" t="str">
        <f aca="false">IF($B895="","",COUNTIF($F895:$AJ895,"L"))</f>
        <v/>
      </c>
      <c r="AO895" s="34" t="str">
        <f aca="false">IF($B895="","",COUNTIF($F895:$AJ895,"PL"))</f>
        <v/>
      </c>
      <c r="AP895" s="34" t="str">
        <f aca="false">IF($B895="","",COUNTIF($F895:$AJ895,"CL"))</f>
        <v/>
      </c>
      <c r="AQ895" s="34" t="str">
        <f aca="false">IF($B895="","",COUNTIF($F895:$AJ895,"SL"))</f>
        <v/>
      </c>
      <c r="AR895" s="34" t="str">
        <f aca="false">IF($B895="","",COUNTIF($F895:$AJ895,"CO"))</f>
        <v/>
      </c>
      <c r="AS895" s="34" t="str">
        <f aca="false">IF($B895="","",COUNTIF($F895:$AJ895,"HPL"))</f>
        <v/>
      </c>
      <c r="AT895" s="34" t="str">
        <f aca="false">IF($B895="","",COUNTIF($F895:$AJ895,"HCL"))</f>
        <v/>
      </c>
      <c r="AU895" s="34" t="str">
        <f aca="false">IF($B895="","",COUNTIF($F895:$AJ895,"WO"))</f>
        <v/>
      </c>
      <c r="AV895" s="34" t="str">
        <f aca="false">IF($B895="","",COUNTIF($F895:$AJ895,"PH"))</f>
        <v/>
      </c>
      <c r="AW895" s="34" t="str">
        <f aca="false">IF($B895="","",COUNTIF($F895:$AJ895,"TR"))</f>
        <v/>
      </c>
      <c r="AX895" s="35" t="str">
        <f aca="false">IF($B895="","",AO895+AS895/2)</f>
        <v/>
      </c>
      <c r="AY895" s="35" t="str">
        <f aca="false">IF($B895="","",AQ895)</f>
        <v/>
      </c>
      <c r="AZ895" s="35" t="str">
        <f aca="false">IF($B895="","",AP895+AT895/2)</f>
        <v/>
      </c>
      <c r="BA895" s="35" t="str">
        <f aca="false">IF($B895="","",AK895+AN895+AM895/2+AO895+AP895+AQ895+AR895+AS895+AT895+AU895+AV895+AW895)</f>
        <v/>
      </c>
      <c r="BB895" s="35" t="str">
        <f aca="false">IF($B895="","",MAX(0,AN895-Settings!$C$16)*Settings!$C$17)</f>
        <v/>
      </c>
      <c r="BC895" s="35" t="str">
        <f aca="false">IF($B895="","",BA895-BB895)</f>
        <v/>
      </c>
      <c r="BD895" s="35" t="str">
        <f aca="false">IF(OR($B895="",$A895=""),"",DAY(EOMONTH($A895,0))-COUNTA($F895:$AJ895))</f>
        <v/>
      </c>
    </row>
    <row r="896" customFormat="false" ht="15" hidden="false" customHeight="false" outlineLevel="0" collapsed="false">
      <c r="A896" s="32"/>
      <c r="B896" s="29"/>
      <c r="C896" s="10" t="str">
        <f aca="false">IF($B896="","",IFERROR(INDEX(M_name,MATCH($B896,M_emp,0)),"Code not found"))</f>
        <v/>
      </c>
      <c r="D896" s="10" t="str">
        <f aca="false">IF($B896="","",IFERROR(INDEX(M_dept,MATCH($B896,M_emp,0)),""))</f>
        <v/>
      </c>
      <c r="E896" s="10" t="str">
        <f aca="false">IF($B896="","",IFERROR(INDEX(M_loc,MATCH($B896,M_emp,0)),""))</f>
        <v/>
      </c>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4" t="str">
        <f aca="false">IF($B896="","",COUNTIF($F896:$AJ896,"P"))</f>
        <v/>
      </c>
      <c r="AL896" s="34" t="str">
        <f aca="false">IF($B896="","",COUNTIF($F896:$AJ896,"A"))</f>
        <v/>
      </c>
      <c r="AM896" s="34" t="str">
        <f aca="false">IF($B896="","",COUNTIF($F896:$AJ896,"HA"))</f>
        <v/>
      </c>
      <c r="AN896" s="34" t="str">
        <f aca="false">IF($B896="","",COUNTIF($F896:$AJ896,"L"))</f>
        <v/>
      </c>
      <c r="AO896" s="34" t="str">
        <f aca="false">IF($B896="","",COUNTIF($F896:$AJ896,"PL"))</f>
        <v/>
      </c>
      <c r="AP896" s="34" t="str">
        <f aca="false">IF($B896="","",COUNTIF($F896:$AJ896,"CL"))</f>
        <v/>
      </c>
      <c r="AQ896" s="34" t="str">
        <f aca="false">IF($B896="","",COUNTIF($F896:$AJ896,"SL"))</f>
        <v/>
      </c>
      <c r="AR896" s="34" t="str">
        <f aca="false">IF($B896="","",COUNTIF($F896:$AJ896,"CO"))</f>
        <v/>
      </c>
      <c r="AS896" s="34" t="str">
        <f aca="false">IF($B896="","",COUNTIF($F896:$AJ896,"HPL"))</f>
        <v/>
      </c>
      <c r="AT896" s="34" t="str">
        <f aca="false">IF($B896="","",COUNTIF($F896:$AJ896,"HCL"))</f>
        <v/>
      </c>
      <c r="AU896" s="34" t="str">
        <f aca="false">IF($B896="","",COUNTIF($F896:$AJ896,"WO"))</f>
        <v/>
      </c>
      <c r="AV896" s="34" t="str">
        <f aca="false">IF($B896="","",COUNTIF($F896:$AJ896,"PH"))</f>
        <v/>
      </c>
      <c r="AW896" s="34" t="str">
        <f aca="false">IF($B896="","",COUNTIF($F896:$AJ896,"TR"))</f>
        <v/>
      </c>
      <c r="AX896" s="35" t="str">
        <f aca="false">IF($B896="","",AO896+AS896/2)</f>
        <v/>
      </c>
      <c r="AY896" s="35" t="str">
        <f aca="false">IF($B896="","",AQ896)</f>
        <v/>
      </c>
      <c r="AZ896" s="35" t="str">
        <f aca="false">IF($B896="","",AP896+AT896/2)</f>
        <v/>
      </c>
      <c r="BA896" s="35" t="str">
        <f aca="false">IF($B896="","",AK896+AN896+AM896/2+AO896+AP896+AQ896+AR896+AS896+AT896+AU896+AV896+AW896)</f>
        <v/>
      </c>
      <c r="BB896" s="35" t="str">
        <f aca="false">IF($B896="","",MAX(0,AN896-Settings!$C$16)*Settings!$C$17)</f>
        <v/>
      </c>
      <c r="BC896" s="35" t="str">
        <f aca="false">IF($B896="","",BA896-BB896)</f>
        <v/>
      </c>
      <c r="BD896" s="35" t="str">
        <f aca="false">IF(OR($B896="",$A896=""),"",DAY(EOMONTH($A896,0))-COUNTA($F896:$AJ896))</f>
        <v/>
      </c>
    </row>
    <row r="897" customFormat="false" ht="15" hidden="false" customHeight="false" outlineLevel="0" collapsed="false">
      <c r="A897" s="32"/>
      <c r="B897" s="29"/>
      <c r="C897" s="10" t="str">
        <f aca="false">IF($B897="","",IFERROR(INDEX(M_name,MATCH($B897,M_emp,0)),"Code not found"))</f>
        <v/>
      </c>
      <c r="D897" s="10" t="str">
        <f aca="false">IF($B897="","",IFERROR(INDEX(M_dept,MATCH($B897,M_emp,0)),""))</f>
        <v/>
      </c>
      <c r="E897" s="10" t="str">
        <f aca="false">IF($B897="","",IFERROR(INDEX(M_loc,MATCH($B897,M_emp,0)),""))</f>
        <v/>
      </c>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4" t="str">
        <f aca="false">IF($B897="","",COUNTIF($F897:$AJ897,"P"))</f>
        <v/>
      </c>
      <c r="AL897" s="34" t="str">
        <f aca="false">IF($B897="","",COUNTIF($F897:$AJ897,"A"))</f>
        <v/>
      </c>
      <c r="AM897" s="34" t="str">
        <f aca="false">IF($B897="","",COUNTIF($F897:$AJ897,"HA"))</f>
        <v/>
      </c>
      <c r="AN897" s="34" t="str">
        <f aca="false">IF($B897="","",COUNTIF($F897:$AJ897,"L"))</f>
        <v/>
      </c>
      <c r="AO897" s="34" t="str">
        <f aca="false">IF($B897="","",COUNTIF($F897:$AJ897,"PL"))</f>
        <v/>
      </c>
      <c r="AP897" s="34" t="str">
        <f aca="false">IF($B897="","",COUNTIF($F897:$AJ897,"CL"))</f>
        <v/>
      </c>
      <c r="AQ897" s="34" t="str">
        <f aca="false">IF($B897="","",COUNTIF($F897:$AJ897,"SL"))</f>
        <v/>
      </c>
      <c r="AR897" s="34" t="str">
        <f aca="false">IF($B897="","",COUNTIF($F897:$AJ897,"CO"))</f>
        <v/>
      </c>
      <c r="AS897" s="34" t="str">
        <f aca="false">IF($B897="","",COUNTIF($F897:$AJ897,"HPL"))</f>
        <v/>
      </c>
      <c r="AT897" s="34" t="str">
        <f aca="false">IF($B897="","",COUNTIF($F897:$AJ897,"HCL"))</f>
        <v/>
      </c>
      <c r="AU897" s="34" t="str">
        <f aca="false">IF($B897="","",COUNTIF($F897:$AJ897,"WO"))</f>
        <v/>
      </c>
      <c r="AV897" s="34" t="str">
        <f aca="false">IF($B897="","",COUNTIF($F897:$AJ897,"PH"))</f>
        <v/>
      </c>
      <c r="AW897" s="34" t="str">
        <f aca="false">IF($B897="","",COUNTIF($F897:$AJ897,"TR"))</f>
        <v/>
      </c>
      <c r="AX897" s="35" t="str">
        <f aca="false">IF($B897="","",AO897+AS897/2)</f>
        <v/>
      </c>
      <c r="AY897" s="35" t="str">
        <f aca="false">IF($B897="","",AQ897)</f>
        <v/>
      </c>
      <c r="AZ897" s="35" t="str">
        <f aca="false">IF($B897="","",AP897+AT897/2)</f>
        <v/>
      </c>
      <c r="BA897" s="35" t="str">
        <f aca="false">IF($B897="","",AK897+AN897+AM897/2+AO897+AP897+AQ897+AR897+AS897+AT897+AU897+AV897+AW897)</f>
        <v/>
      </c>
      <c r="BB897" s="35" t="str">
        <f aca="false">IF($B897="","",MAX(0,AN897-Settings!$C$16)*Settings!$C$17)</f>
        <v/>
      </c>
      <c r="BC897" s="35" t="str">
        <f aca="false">IF($B897="","",BA897-BB897)</f>
        <v/>
      </c>
      <c r="BD897" s="35" t="str">
        <f aca="false">IF(OR($B897="",$A897=""),"",DAY(EOMONTH($A897,0))-COUNTA($F897:$AJ897))</f>
        <v/>
      </c>
    </row>
    <row r="898" customFormat="false" ht="15" hidden="false" customHeight="false" outlineLevel="0" collapsed="false">
      <c r="A898" s="32"/>
      <c r="B898" s="29"/>
      <c r="C898" s="10" t="str">
        <f aca="false">IF($B898="","",IFERROR(INDEX(M_name,MATCH($B898,M_emp,0)),"Code not found"))</f>
        <v/>
      </c>
      <c r="D898" s="10" t="str">
        <f aca="false">IF($B898="","",IFERROR(INDEX(M_dept,MATCH($B898,M_emp,0)),""))</f>
        <v/>
      </c>
      <c r="E898" s="10" t="str">
        <f aca="false">IF($B898="","",IFERROR(INDEX(M_loc,MATCH($B898,M_emp,0)),""))</f>
        <v/>
      </c>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4" t="str">
        <f aca="false">IF($B898="","",COUNTIF($F898:$AJ898,"P"))</f>
        <v/>
      </c>
      <c r="AL898" s="34" t="str">
        <f aca="false">IF($B898="","",COUNTIF($F898:$AJ898,"A"))</f>
        <v/>
      </c>
      <c r="AM898" s="34" t="str">
        <f aca="false">IF($B898="","",COUNTIF($F898:$AJ898,"HA"))</f>
        <v/>
      </c>
      <c r="AN898" s="34" t="str">
        <f aca="false">IF($B898="","",COUNTIF($F898:$AJ898,"L"))</f>
        <v/>
      </c>
      <c r="AO898" s="34" t="str">
        <f aca="false">IF($B898="","",COUNTIF($F898:$AJ898,"PL"))</f>
        <v/>
      </c>
      <c r="AP898" s="34" t="str">
        <f aca="false">IF($B898="","",COUNTIF($F898:$AJ898,"CL"))</f>
        <v/>
      </c>
      <c r="AQ898" s="34" t="str">
        <f aca="false">IF($B898="","",COUNTIF($F898:$AJ898,"SL"))</f>
        <v/>
      </c>
      <c r="AR898" s="34" t="str">
        <f aca="false">IF($B898="","",COUNTIF($F898:$AJ898,"CO"))</f>
        <v/>
      </c>
      <c r="AS898" s="34" t="str">
        <f aca="false">IF($B898="","",COUNTIF($F898:$AJ898,"HPL"))</f>
        <v/>
      </c>
      <c r="AT898" s="34" t="str">
        <f aca="false">IF($B898="","",COUNTIF($F898:$AJ898,"HCL"))</f>
        <v/>
      </c>
      <c r="AU898" s="34" t="str">
        <f aca="false">IF($B898="","",COUNTIF($F898:$AJ898,"WO"))</f>
        <v/>
      </c>
      <c r="AV898" s="34" t="str">
        <f aca="false">IF($B898="","",COUNTIF($F898:$AJ898,"PH"))</f>
        <v/>
      </c>
      <c r="AW898" s="34" t="str">
        <f aca="false">IF($B898="","",COUNTIF($F898:$AJ898,"TR"))</f>
        <v/>
      </c>
      <c r="AX898" s="35" t="str">
        <f aca="false">IF($B898="","",AO898+AS898/2)</f>
        <v/>
      </c>
      <c r="AY898" s="35" t="str">
        <f aca="false">IF($B898="","",AQ898)</f>
        <v/>
      </c>
      <c r="AZ898" s="35" t="str">
        <f aca="false">IF($B898="","",AP898+AT898/2)</f>
        <v/>
      </c>
      <c r="BA898" s="35" t="str">
        <f aca="false">IF($B898="","",AK898+AN898+AM898/2+AO898+AP898+AQ898+AR898+AS898+AT898+AU898+AV898+AW898)</f>
        <v/>
      </c>
      <c r="BB898" s="35" t="str">
        <f aca="false">IF($B898="","",MAX(0,AN898-Settings!$C$16)*Settings!$C$17)</f>
        <v/>
      </c>
      <c r="BC898" s="35" t="str">
        <f aca="false">IF($B898="","",BA898-BB898)</f>
        <v/>
      </c>
      <c r="BD898" s="35" t="str">
        <f aca="false">IF(OR($B898="",$A898=""),"",DAY(EOMONTH($A898,0))-COUNTA($F898:$AJ898))</f>
        <v/>
      </c>
    </row>
    <row r="899" customFormat="false" ht="15" hidden="false" customHeight="false" outlineLevel="0" collapsed="false">
      <c r="A899" s="32"/>
      <c r="B899" s="29"/>
      <c r="C899" s="10" t="str">
        <f aca="false">IF($B899="","",IFERROR(INDEX(M_name,MATCH($B899,M_emp,0)),"Code not found"))</f>
        <v/>
      </c>
      <c r="D899" s="10" t="str">
        <f aca="false">IF($B899="","",IFERROR(INDEX(M_dept,MATCH($B899,M_emp,0)),""))</f>
        <v/>
      </c>
      <c r="E899" s="10" t="str">
        <f aca="false">IF($B899="","",IFERROR(INDEX(M_loc,MATCH($B899,M_emp,0)),""))</f>
        <v/>
      </c>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4" t="str">
        <f aca="false">IF($B899="","",COUNTIF($F899:$AJ899,"P"))</f>
        <v/>
      </c>
      <c r="AL899" s="34" t="str">
        <f aca="false">IF($B899="","",COUNTIF($F899:$AJ899,"A"))</f>
        <v/>
      </c>
      <c r="AM899" s="34" t="str">
        <f aca="false">IF($B899="","",COUNTIF($F899:$AJ899,"HA"))</f>
        <v/>
      </c>
      <c r="AN899" s="34" t="str">
        <f aca="false">IF($B899="","",COUNTIF($F899:$AJ899,"L"))</f>
        <v/>
      </c>
      <c r="AO899" s="34" t="str">
        <f aca="false">IF($B899="","",COUNTIF($F899:$AJ899,"PL"))</f>
        <v/>
      </c>
      <c r="AP899" s="34" t="str">
        <f aca="false">IF($B899="","",COUNTIF($F899:$AJ899,"CL"))</f>
        <v/>
      </c>
      <c r="AQ899" s="34" t="str">
        <f aca="false">IF($B899="","",COUNTIF($F899:$AJ899,"SL"))</f>
        <v/>
      </c>
      <c r="AR899" s="34" t="str">
        <f aca="false">IF($B899="","",COUNTIF($F899:$AJ899,"CO"))</f>
        <v/>
      </c>
      <c r="AS899" s="34" t="str">
        <f aca="false">IF($B899="","",COUNTIF($F899:$AJ899,"HPL"))</f>
        <v/>
      </c>
      <c r="AT899" s="34" t="str">
        <f aca="false">IF($B899="","",COUNTIF($F899:$AJ899,"HCL"))</f>
        <v/>
      </c>
      <c r="AU899" s="34" t="str">
        <f aca="false">IF($B899="","",COUNTIF($F899:$AJ899,"WO"))</f>
        <v/>
      </c>
      <c r="AV899" s="34" t="str">
        <f aca="false">IF($B899="","",COUNTIF($F899:$AJ899,"PH"))</f>
        <v/>
      </c>
      <c r="AW899" s="34" t="str">
        <f aca="false">IF($B899="","",COUNTIF($F899:$AJ899,"TR"))</f>
        <v/>
      </c>
      <c r="AX899" s="35" t="str">
        <f aca="false">IF($B899="","",AO899+AS899/2)</f>
        <v/>
      </c>
      <c r="AY899" s="35" t="str">
        <f aca="false">IF($B899="","",AQ899)</f>
        <v/>
      </c>
      <c r="AZ899" s="35" t="str">
        <f aca="false">IF($B899="","",AP899+AT899/2)</f>
        <v/>
      </c>
      <c r="BA899" s="35" t="str">
        <f aca="false">IF($B899="","",AK899+AN899+AM899/2+AO899+AP899+AQ899+AR899+AS899+AT899+AU899+AV899+AW899)</f>
        <v/>
      </c>
      <c r="BB899" s="35" t="str">
        <f aca="false">IF($B899="","",MAX(0,AN899-Settings!$C$16)*Settings!$C$17)</f>
        <v/>
      </c>
      <c r="BC899" s="35" t="str">
        <f aca="false">IF($B899="","",BA899-BB899)</f>
        <v/>
      </c>
      <c r="BD899" s="35" t="str">
        <f aca="false">IF(OR($B899="",$A899=""),"",DAY(EOMONTH($A899,0))-COUNTA($F899:$AJ899))</f>
        <v/>
      </c>
    </row>
    <row r="900" customFormat="false" ht="15" hidden="false" customHeight="false" outlineLevel="0" collapsed="false">
      <c r="A900" s="32"/>
      <c r="B900" s="29"/>
      <c r="C900" s="10" t="str">
        <f aca="false">IF($B900="","",IFERROR(INDEX(M_name,MATCH($B900,M_emp,0)),"Code not found"))</f>
        <v/>
      </c>
      <c r="D900" s="10" t="str">
        <f aca="false">IF($B900="","",IFERROR(INDEX(M_dept,MATCH($B900,M_emp,0)),""))</f>
        <v/>
      </c>
      <c r="E900" s="10" t="str">
        <f aca="false">IF($B900="","",IFERROR(INDEX(M_loc,MATCH($B900,M_emp,0)),""))</f>
        <v/>
      </c>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4" t="str">
        <f aca="false">IF($B900="","",COUNTIF($F900:$AJ900,"P"))</f>
        <v/>
      </c>
      <c r="AL900" s="34" t="str">
        <f aca="false">IF($B900="","",COUNTIF($F900:$AJ900,"A"))</f>
        <v/>
      </c>
      <c r="AM900" s="34" t="str">
        <f aca="false">IF($B900="","",COUNTIF($F900:$AJ900,"HA"))</f>
        <v/>
      </c>
      <c r="AN900" s="34" t="str">
        <f aca="false">IF($B900="","",COUNTIF($F900:$AJ900,"L"))</f>
        <v/>
      </c>
      <c r="AO900" s="34" t="str">
        <f aca="false">IF($B900="","",COUNTIF($F900:$AJ900,"PL"))</f>
        <v/>
      </c>
      <c r="AP900" s="34" t="str">
        <f aca="false">IF($B900="","",COUNTIF($F900:$AJ900,"CL"))</f>
        <v/>
      </c>
      <c r="AQ900" s="34" t="str">
        <f aca="false">IF($B900="","",COUNTIF($F900:$AJ900,"SL"))</f>
        <v/>
      </c>
      <c r="AR900" s="34" t="str">
        <f aca="false">IF($B900="","",COUNTIF($F900:$AJ900,"CO"))</f>
        <v/>
      </c>
      <c r="AS900" s="34" t="str">
        <f aca="false">IF($B900="","",COUNTIF($F900:$AJ900,"HPL"))</f>
        <v/>
      </c>
      <c r="AT900" s="34" t="str">
        <f aca="false">IF($B900="","",COUNTIF($F900:$AJ900,"HCL"))</f>
        <v/>
      </c>
      <c r="AU900" s="34" t="str">
        <f aca="false">IF($B900="","",COUNTIF($F900:$AJ900,"WO"))</f>
        <v/>
      </c>
      <c r="AV900" s="34" t="str">
        <f aca="false">IF($B900="","",COUNTIF($F900:$AJ900,"PH"))</f>
        <v/>
      </c>
      <c r="AW900" s="34" t="str">
        <f aca="false">IF($B900="","",COUNTIF($F900:$AJ900,"TR"))</f>
        <v/>
      </c>
      <c r="AX900" s="35" t="str">
        <f aca="false">IF($B900="","",AO900+AS900/2)</f>
        <v/>
      </c>
      <c r="AY900" s="35" t="str">
        <f aca="false">IF($B900="","",AQ900)</f>
        <v/>
      </c>
      <c r="AZ900" s="35" t="str">
        <f aca="false">IF($B900="","",AP900+AT900/2)</f>
        <v/>
      </c>
      <c r="BA900" s="35" t="str">
        <f aca="false">IF($B900="","",AK900+AN900+AM900/2+AO900+AP900+AQ900+AR900+AS900+AT900+AU900+AV900+AW900)</f>
        <v/>
      </c>
      <c r="BB900" s="35" t="str">
        <f aca="false">IF($B900="","",MAX(0,AN900-Settings!$C$16)*Settings!$C$17)</f>
        <v/>
      </c>
      <c r="BC900" s="35" t="str">
        <f aca="false">IF($B900="","",BA900-BB900)</f>
        <v/>
      </c>
      <c r="BD900" s="35" t="str">
        <f aca="false">IF(OR($B900="",$A900=""),"",DAY(EOMONTH($A900,0))-COUNTA($F900:$AJ900))</f>
        <v/>
      </c>
    </row>
    <row r="901" customFormat="false" ht="15" hidden="false" customHeight="false" outlineLevel="0" collapsed="false">
      <c r="A901" s="32"/>
      <c r="B901" s="29"/>
      <c r="C901" s="10" t="str">
        <f aca="false">IF($B901="","",IFERROR(INDEX(M_name,MATCH($B901,M_emp,0)),"Code not found"))</f>
        <v/>
      </c>
      <c r="D901" s="10" t="str">
        <f aca="false">IF($B901="","",IFERROR(INDEX(M_dept,MATCH($B901,M_emp,0)),""))</f>
        <v/>
      </c>
      <c r="E901" s="10" t="str">
        <f aca="false">IF($B901="","",IFERROR(INDEX(M_loc,MATCH($B901,M_emp,0)),""))</f>
        <v/>
      </c>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4" t="str">
        <f aca="false">IF($B901="","",COUNTIF($F901:$AJ901,"P"))</f>
        <v/>
      </c>
      <c r="AL901" s="34" t="str">
        <f aca="false">IF($B901="","",COUNTIF($F901:$AJ901,"A"))</f>
        <v/>
      </c>
      <c r="AM901" s="34" t="str">
        <f aca="false">IF($B901="","",COUNTIF($F901:$AJ901,"HA"))</f>
        <v/>
      </c>
      <c r="AN901" s="34" t="str">
        <f aca="false">IF($B901="","",COUNTIF($F901:$AJ901,"L"))</f>
        <v/>
      </c>
      <c r="AO901" s="34" t="str">
        <f aca="false">IF($B901="","",COUNTIF($F901:$AJ901,"PL"))</f>
        <v/>
      </c>
      <c r="AP901" s="34" t="str">
        <f aca="false">IF($B901="","",COUNTIF($F901:$AJ901,"CL"))</f>
        <v/>
      </c>
      <c r="AQ901" s="34" t="str">
        <f aca="false">IF($B901="","",COUNTIF($F901:$AJ901,"SL"))</f>
        <v/>
      </c>
      <c r="AR901" s="34" t="str">
        <f aca="false">IF($B901="","",COUNTIF($F901:$AJ901,"CO"))</f>
        <v/>
      </c>
      <c r="AS901" s="34" t="str">
        <f aca="false">IF($B901="","",COUNTIF($F901:$AJ901,"HPL"))</f>
        <v/>
      </c>
      <c r="AT901" s="34" t="str">
        <f aca="false">IF($B901="","",COUNTIF($F901:$AJ901,"HCL"))</f>
        <v/>
      </c>
      <c r="AU901" s="34" t="str">
        <f aca="false">IF($B901="","",COUNTIF($F901:$AJ901,"WO"))</f>
        <v/>
      </c>
      <c r="AV901" s="34" t="str">
        <f aca="false">IF($B901="","",COUNTIF($F901:$AJ901,"PH"))</f>
        <v/>
      </c>
      <c r="AW901" s="34" t="str">
        <f aca="false">IF($B901="","",COUNTIF($F901:$AJ901,"TR"))</f>
        <v/>
      </c>
      <c r="AX901" s="35" t="str">
        <f aca="false">IF($B901="","",AO901+AS901/2)</f>
        <v/>
      </c>
      <c r="AY901" s="35" t="str">
        <f aca="false">IF($B901="","",AQ901)</f>
        <v/>
      </c>
      <c r="AZ901" s="35" t="str">
        <f aca="false">IF($B901="","",AP901+AT901/2)</f>
        <v/>
      </c>
      <c r="BA901" s="35" t="str">
        <f aca="false">IF($B901="","",AK901+AN901+AM901/2+AO901+AP901+AQ901+AR901+AS901+AT901+AU901+AV901+AW901)</f>
        <v/>
      </c>
      <c r="BB901" s="35" t="str">
        <f aca="false">IF($B901="","",MAX(0,AN901-Settings!$C$16)*Settings!$C$17)</f>
        <v/>
      </c>
      <c r="BC901" s="35" t="str">
        <f aca="false">IF($B901="","",BA901-BB901)</f>
        <v/>
      </c>
      <c r="BD901" s="35" t="str">
        <f aca="false">IF(OR($B901="",$A901=""),"",DAY(EOMONTH($A901,0))-COUNTA($F901:$AJ901))</f>
        <v/>
      </c>
    </row>
    <row r="902" customFormat="false" ht="15" hidden="false" customHeight="false" outlineLevel="0" collapsed="false">
      <c r="A902" s="32"/>
      <c r="B902" s="29"/>
      <c r="C902" s="10" t="str">
        <f aca="false">IF($B902="","",IFERROR(INDEX(M_name,MATCH($B902,M_emp,0)),"Code not found"))</f>
        <v/>
      </c>
      <c r="D902" s="10" t="str">
        <f aca="false">IF($B902="","",IFERROR(INDEX(M_dept,MATCH($B902,M_emp,0)),""))</f>
        <v/>
      </c>
      <c r="E902" s="10" t="str">
        <f aca="false">IF($B902="","",IFERROR(INDEX(M_loc,MATCH($B902,M_emp,0)),""))</f>
        <v/>
      </c>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4" t="str">
        <f aca="false">IF($B902="","",COUNTIF($F902:$AJ902,"P"))</f>
        <v/>
      </c>
      <c r="AL902" s="34" t="str">
        <f aca="false">IF($B902="","",COUNTIF($F902:$AJ902,"A"))</f>
        <v/>
      </c>
      <c r="AM902" s="34" t="str">
        <f aca="false">IF($B902="","",COUNTIF($F902:$AJ902,"HA"))</f>
        <v/>
      </c>
      <c r="AN902" s="34" t="str">
        <f aca="false">IF($B902="","",COUNTIF($F902:$AJ902,"L"))</f>
        <v/>
      </c>
      <c r="AO902" s="34" t="str">
        <f aca="false">IF($B902="","",COUNTIF($F902:$AJ902,"PL"))</f>
        <v/>
      </c>
      <c r="AP902" s="34" t="str">
        <f aca="false">IF($B902="","",COUNTIF($F902:$AJ902,"CL"))</f>
        <v/>
      </c>
      <c r="AQ902" s="34" t="str">
        <f aca="false">IF($B902="","",COUNTIF($F902:$AJ902,"SL"))</f>
        <v/>
      </c>
      <c r="AR902" s="34" t="str">
        <f aca="false">IF($B902="","",COUNTIF($F902:$AJ902,"CO"))</f>
        <v/>
      </c>
      <c r="AS902" s="34" t="str">
        <f aca="false">IF($B902="","",COUNTIF($F902:$AJ902,"HPL"))</f>
        <v/>
      </c>
      <c r="AT902" s="34" t="str">
        <f aca="false">IF($B902="","",COUNTIF($F902:$AJ902,"HCL"))</f>
        <v/>
      </c>
      <c r="AU902" s="34" t="str">
        <f aca="false">IF($B902="","",COUNTIF($F902:$AJ902,"WO"))</f>
        <v/>
      </c>
      <c r="AV902" s="34" t="str">
        <f aca="false">IF($B902="","",COUNTIF($F902:$AJ902,"PH"))</f>
        <v/>
      </c>
      <c r="AW902" s="34" t="str">
        <f aca="false">IF($B902="","",COUNTIF($F902:$AJ902,"TR"))</f>
        <v/>
      </c>
      <c r="AX902" s="35" t="str">
        <f aca="false">IF($B902="","",AO902+AS902/2)</f>
        <v/>
      </c>
      <c r="AY902" s="35" t="str">
        <f aca="false">IF($B902="","",AQ902)</f>
        <v/>
      </c>
      <c r="AZ902" s="35" t="str">
        <f aca="false">IF($B902="","",AP902+AT902/2)</f>
        <v/>
      </c>
      <c r="BA902" s="35" t="str">
        <f aca="false">IF($B902="","",AK902+AN902+AM902/2+AO902+AP902+AQ902+AR902+AS902+AT902+AU902+AV902+AW902)</f>
        <v/>
      </c>
      <c r="BB902" s="35" t="str">
        <f aca="false">IF($B902="","",MAX(0,AN902-Settings!$C$16)*Settings!$C$17)</f>
        <v/>
      </c>
      <c r="BC902" s="35" t="str">
        <f aca="false">IF($B902="","",BA902-BB902)</f>
        <v/>
      </c>
      <c r="BD902" s="35" t="str">
        <f aca="false">IF(OR($B902="",$A902=""),"",DAY(EOMONTH($A902,0))-COUNTA($F902:$AJ902))</f>
        <v/>
      </c>
    </row>
    <row r="903" customFormat="false" ht="15" hidden="false" customHeight="false" outlineLevel="0" collapsed="false">
      <c r="A903" s="32"/>
      <c r="B903" s="29"/>
      <c r="C903" s="10" t="str">
        <f aca="false">IF($B903="","",IFERROR(INDEX(M_name,MATCH($B903,M_emp,0)),"Code not found"))</f>
        <v/>
      </c>
      <c r="D903" s="10" t="str">
        <f aca="false">IF($B903="","",IFERROR(INDEX(M_dept,MATCH($B903,M_emp,0)),""))</f>
        <v/>
      </c>
      <c r="E903" s="10" t="str">
        <f aca="false">IF($B903="","",IFERROR(INDEX(M_loc,MATCH($B903,M_emp,0)),""))</f>
        <v/>
      </c>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4" t="str">
        <f aca="false">IF($B903="","",COUNTIF($F903:$AJ903,"P"))</f>
        <v/>
      </c>
      <c r="AL903" s="34" t="str">
        <f aca="false">IF($B903="","",COUNTIF($F903:$AJ903,"A"))</f>
        <v/>
      </c>
      <c r="AM903" s="34" t="str">
        <f aca="false">IF($B903="","",COUNTIF($F903:$AJ903,"HA"))</f>
        <v/>
      </c>
      <c r="AN903" s="34" t="str">
        <f aca="false">IF($B903="","",COUNTIF($F903:$AJ903,"L"))</f>
        <v/>
      </c>
      <c r="AO903" s="34" t="str">
        <f aca="false">IF($B903="","",COUNTIF($F903:$AJ903,"PL"))</f>
        <v/>
      </c>
      <c r="AP903" s="34" t="str">
        <f aca="false">IF($B903="","",COUNTIF($F903:$AJ903,"CL"))</f>
        <v/>
      </c>
      <c r="AQ903" s="34" t="str">
        <f aca="false">IF($B903="","",COUNTIF($F903:$AJ903,"SL"))</f>
        <v/>
      </c>
      <c r="AR903" s="34" t="str">
        <f aca="false">IF($B903="","",COUNTIF($F903:$AJ903,"CO"))</f>
        <v/>
      </c>
      <c r="AS903" s="34" t="str">
        <f aca="false">IF($B903="","",COUNTIF($F903:$AJ903,"HPL"))</f>
        <v/>
      </c>
      <c r="AT903" s="34" t="str">
        <f aca="false">IF($B903="","",COUNTIF($F903:$AJ903,"HCL"))</f>
        <v/>
      </c>
      <c r="AU903" s="34" t="str">
        <f aca="false">IF($B903="","",COUNTIF($F903:$AJ903,"WO"))</f>
        <v/>
      </c>
      <c r="AV903" s="34" t="str">
        <f aca="false">IF($B903="","",COUNTIF($F903:$AJ903,"PH"))</f>
        <v/>
      </c>
      <c r="AW903" s="34" t="str">
        <f aca="false">IF($B903="","",COUNTIF($F903:$AJ903,"TR"))</f>
        <v/>
      </c>
      <c r="AX903" s="35" t="str">
        <f aca="false">IF($B903="","",AO903+AS903/2)</f>
        <v/>
      </c>
      <c r="AY903" s="35" t="str">
        <f aca="false">IF($B903="","",AQ903)</f>
        <v/>
      </c>
      <c r="AZ903" s="35" t="str">
        <f aca="false">IF($B903="","",AP903+AT903/2)</f>
        <v/>
      </c>
      <c r="BA903" s="35" t="str">
        <f aca="false">IF($B903="","",AK903+AN903+AM903/2+AO903+AP903+AQ903+AR903+AS903+AT903+AU903+AV903+AW903)</f>
        <v/>
      </c>
      <c r="BB903" s="35" t="str">
        <f aca="false">IF($B903="","",MAX(0,AN903-Settings!$C$16)*Settings!$C$17)</f>
        <v/>
      </c>
      <c r="BC903" s="35" t="str">
        <f aca="false">IF($B903="","",BA903-BB903)</f>
        <v/>
      </c>
      <c r="BD903" s="35" t="str">
        <f aca="false">IF(OR($B903="",$A903=""),"",DAY(EOMONTH($A903,0))-COUNTA($F903:$AJ903))</f>
        <v/>
      </c>
    </row>
    <row r="904" customFormat="false" ht="15" hidden="false" customHeight="false" outlineLevel="0" collapsed="false">
      <c r="A904" s="32"/>
      <c r="B904" s="29"/>
      <c r="C904" s="10" t="str">
        <f aca="false">IF($B904="","",IFERROR(INDEX(M_name,MATCH($B904,M_emp,0)),"Code not found"))</f>
        <v/>
      </c>
      <c r="D904" s="10" t="str">
        <f aca="false">IF($B904="","",IFERROR(INDEX(M_dept,MATCH($B904,M_emp,0)),""))</f>
        <v/>
      </c>
      <c r="E904" s="10" t="str">
        <f aca="false">IF($B904="","",IFERROR(INDEX(M_loc,MATCH($B904,M_emp,0)),""))</f>
        <v/>
      </c>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4" t="str">
        <f aca="false">IF($B904="","",COUNTIF($F904:$AJ904,"P"))</f>
        <v/>
      </c>
      <c r="AL904" s="34" t="str">
        <f aca="false">IF($B904="","",COUNTIF($F904:$AJ904,"A"))</f>
        <v/>
      </c>
      <c r="AM904" s="34" t="str">
        <f aca="false">IF($B904="","",COUNTIF($F904:$AJ904,"HA"))</f>
        <v/>
      </c>
      <c r="AN904" s="34" t="str">
        <f aca="false">IF($B904="","",COUNTIF($F904:$AJ904,"L"))</f>
        <v/>
      </c>
      <c r="AO904" s="34" t="str">
        <f aca="false">IF($B904="","",COUNTIF($F904:$AJ904,"PL"))</f>
        <v/>
      </c>
      <c r="AP904" s="34" t="str">
        <f aca="false">IF($B904="","",COUNTIF($F904:$AJ904,"CL"))</f>
        <v/>
      </c>
      <c r="AQ904" s="34" t="str">
        <f aca="false">IF($B904="","",COUNTIF($F904:$AJ904,"SL"))</f>
        <v/>
      </c>
      <c r="AR904" s="34" t="str">
        <f aca="false">IF($B904="","",COUNTIF($F904:$AJ904,"CO"))</f>
        <v/>
      </c>
      <c r="AS904" s="34" t="str">
        <f aca="false">IF($B904="","",COUNTIF($F904:$AJ904,"HPL"))</f>
        <v/>
      </c>
      <c r="AT904" s="34" t="str">
        <f aca="false">IF($B904="","",COUNTIF($F904:$AJ904,"HCL"))</f>
        <v/>
      </c>
      <c r="AU904" s="34" t="str">
        <f aca="false">IF($B904="","",COUNTIF($F904:$AJ904,"WO"))</f>
        <v/>
      </c>
      <c r="AV904" s="34" t="str">
        <f aca="false">IF($B904="","",COUNTIF($F904:$AJ904,"PH"))</f>
        <v/>
      </c>
      <c r="AW904" s="34" t="str">
        <f aca="false">IF($B904="","",COUNTIF($F904:$AJ904,"TR"))</f>
        <v/>
      </c>
      <c r="AX904" s="35" t="str">
        <f aca="false">IF($B904="","",AO904+AS904/2)</f>
        <v/>
      </c>
      <c r="AY904" s="35" t="str">
        <f aca="false">IF($B904="","",AQ904)</f>
        <v/>
      </c>
      <c r="AZ904" s="35" t="str">
        <f aca="false">IF($B904="","",AP904+AT904/2)</f>
        <v/>
      </c>
      <c r="BA904" s="35" t="str">
        <f aca="false">IF($B904="","",AK904+AN904+AM904/2+AO904+AP904+AQ904+AR904+AS904+AT904+AU904+AV904+AW904)</f>
        <v/>
      </c>
      <c r="BB904" s="35" t="str">
        <f aca="false">IF($B904="","",MAX(0,AN904-Settings!$C$16)*Settings!$C$17)</f>
        <v/>
      </c>
      <c r="BC904" s="35" t="str">
        <f aca="false">IF($B904="","",BA904-BB904)</f>
        <v/>
      </c>
      <c r="BD904" s="35" t="str">
        <f aca="false">IF(OR($B904="",$A904=""),"",DAY(EOMONTH($A904,0))-COUNTA($F904:$AJ904))</f>
        <v/>
      </c>
    </row>
    <row r="905" customFormat="false" ht="15" hidden="false" customHeight="false" outlineLevel="0" collapsed="false">
      <c r="A905" s="32"/>
      <c r="B905" s="29"/>
      <c r="C905" s="10" t="str">
        <f aca="false">IF($B905="","",IFERROR(INDEX(M_name,MATCH($B905,M_emp,0)),"Code not found"))</f>
        <v/>
      </c>
      <c r="D905" s="10" t="str">
        <f aca="false">IF($B905="","",IFERROR(INDEX(M_dept,MATCH($B905,M_emp,0)),""))</f>
        <v/>
      </c>
      <c r="E905" s="10" t="str">
        <f aca="false">IF($B905="","",IFERROR(INDEX(M_loc,MATCH($B905,M_emp,0)),""))</f>
        <v/>
      </c>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4" t="str">
        <f aca="false">IF($B905="","",COUNTIF($F905:$AJ905,"P"))</f>
        <v/>
      </c>
      <c r="AL905" s="34" t="str">
        <f aca="false">IF($B905="","",COUNTIF($F905:$AJ905,"A"))</f>
        <v/>
      </c>
      <c r="AM905" s="34" t="str">
        <f aca="false">IF($B905="","",COUNTIF($F905:$AJ905,"HA"))</f>
        <v/>
      </c>
      <c r="AN905" s="34" t="str">
        <f aca="false">IF($B905="","",COUNTIF($F905:$AJ905,"L"))</f>
        <v/>
      </c>
      <c r="AO905" s="34" t="str">
        <f aca="false">IF($B905="","",COUNTIF($F905:$AJ905,"PL"))</f>
        <v/>
      </c>
      <c r="AP905" s="34" t="str">
        <f aca="false">IF($B905="","",COUNTIF($F905:$AJ905,"CL"))</f>
        <v/>
      </c>
      <c r="AQ905" s="34" t="str">
        <f aca="false">IF($B905="","",COUNTIF($F905:$AJ905,"SL"))</f>
        <v/>
      </c>
      <c r="AR905" s="34" t="str">
        <f aca="false">IF($B905="","",COUNTIF($F905:$AJ905,"CO"))</f>
        <v/>
      </c>
      <c r="AS905" s="34" t="str">
        <f aca="false">IF($B905="","",COUNTIF($F905:$AJ905,"HPL"))</f>
        <v/>
      </c>
      <c r="AT905" s="34" t="str">
        <f aca="false">IF($B905="","",COUNTIF($F905:$AJ905,"HCL"))</f>
        <v/>
      </c>
      <c r="AU905" s="34" t="str">
        <f aca="false">IF($B905="","",COUNTIF($F905:$AJ905,"WO"))</f>
        <v/>
      </c>
      <c r="AV905" s="34" t="str">
        <f aca="false">IF($B905="","",COUNTIF($F905:$AJ905,"PH"))</f>
        <v/>
      </c>
      <c r="AW905" s="34" t="str">
        <f aca="false">IF($B905="","",COUNTIF($F905:$AJ905,"TR"))</f>
        <v/>
      </c>
      <c r="AX905" s="35" t="str">
        <f aca="false">IF($B905="","",AO905+AS905/2)</f>
        <v/>
      </c>
      <c r="AY905" s="35" t="str">
        <f aca="false">IF($B905="","",AQ905)</f>
        <v/>
      </c>
      <c r="AZ905" s="35" t="str">
        <f aca="false">IF($B905="","",AP905+AT905/2)</f>
        <v/>
      </c>
      <c r="BA905" s="35" t="str">
        <f aca="false">IF($B905="","",AK905+AN905+AM905/2+AO905+AP905+AQ905+AR905+AS905+AT905+AU905+AV905+AW905)</f>
        <v/>
      </c>
      <c r="BB905" s="35" t="str">
        <f aca="false">IF($B905="","",MAX(0,AN905-Settings!$C$16)*Settings!$C$17)</f>
        <v/>
      </c>
      <c r="BC905" s="35" t="str">
        <f aca="false">IF($B905="","",BA905-BB905)</f>
        <v/>
      </c>
      <c r="BD905" s="35" t="str">
        <f aca="false">IF(OR($B905="",$A905=""),"",DAY(EOMONTH($A905,0))-COUNTA($F905:$AJ905))</f>
        <v/>
      </c>
    </row>
    <row r="906" customFormat="false" ht="15" hidden="false" customHeight="false" outlineLevel="0" collapsed="false">
      <c r="A906" s="32"/>
      <c r="B906" s="29"/>
      <c r="C906" s="10" t="str">
        <f aca="false">IF($B906="","",IFERROR(INDEX(M_name,MATCH($B906,M_emp,0)),"Code not found"))</f>
        <v/>
      </c>
      <c r="D906" s="10" t="str">
        <f aca="false">IF($B906="","",IFERROR(INDEX(M_dept,MATCH($B906,M_emp,0)),""))</f>
        <v/>
      </c>
      <c r="E906" s="10" t="str">
        <f aca="false">IF($B906="","",IFERROR(INDEX(M_loc,MATCH($B906,M_emp,0)),""))</f>
        <v/>
      </c>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4" t="str">
        <f aca="false">IF($B906="","",COUNTIF($F906:$AJ906,"P"))</f>
        <v/>
      </c>
      <c r="AL906" s="34" t="str">
        <f aca="false">IF($B906="","",COUNTIF($F906:$AJ906,"A"))</f>
        <v/>
      </c>
      <c r="AM906" s="34" t="str">
        <f aca="false">IF($B906="","",COUNTIF($F906:$AJ906,"HA"))</f>
        <v/>
      </c>
      <c r="AN906" s="34" t="str">
        <f aca="false">IF($B906="","",COUNTIF($F906:$AJ906,"L"))</f>
        <v/>
      </c>
      <c r="AO906" s="34" t="str">
        <f aca="false">IF($B906="","",COUNTIF($F906:$AJ906,"PL"))</f>
        <v/>
      </c>
      <c r="AP906" s="34" t="str">
        <f aca="false">IF($B906="","",COUNTIF($F906:$AJ906,"CL"))</f>
        <v/>
      </c>
      <c r="AQ906" s="34" t="str">
        <f aca="false">IF($B906="","",COUNTIF($F906:$AJ906,"SL"))</f>
        <v/>
      </c>
      <c r="AR906" s="34" t="str">
        <f aca="false">IF($B906="","",COUNTIF($F906:$AJ906,"CO"))</f>
        <v/>
      </c>
      <c r="AS906" s="34" t="str">
        <f aca="false">IF($B906="","",COUNTIF($F906:$AJ906,"HPL"))</f>
        <v/>
      </c>
      <c r="AT906" s="34" t="str">
        <f aca="false">IF($B906="","",COUNTIF($F906:$AJ906,"HCL"))</f>
        <v/>
      </c>
      <c r="AU906" s="34" t="str">
        <f aca="false">IF($B906="","",COUNTIF($F906:$AJ906,"WO"))</f>
        <v/>
      </c>
      <c r="AV906" s="34" t="str">
        <f aca="false">IF($B906="","",COUNTIF($F906:$AJ906,"PH"))</f>
        <v/>
      </c>
      <c r="AW906" s="34" t="str">
        <f aca="false">IF($B906="","",COUNTIF($F906:$AJ906,"TR"))</f>
        <v/>
      </c>
      <c r="AX906" s="35" t="str">
        <f aca="false">IF($B906="","",AO906+AS906/2)</f>
        <v/>
      </c>
      <c r="AY906" s="35" t="str">
        <f aca="false">IF($B906="","",AQ906)</f>
        <v/>
      </c>
      <c r="AZ906" s="35" t="str">
        <f aca="false">IF($B906="","",AP906+AT906/2)</f>
        <v/>
      </c>
      <c r="BA906" s="35" t="str">
        <f aca="false">IF($B906="","",AK906+AN906+AM906/2+AO906+AP906+AQ906+AR906+AS906+AT906+AU906+AV906+AW906)</f>
        <v/>
      </c>
      <c r="BB906" s="35" t="str">
        <f aca="false">IF($B906="","",MAX(0,AN906-Settings!$C$16)*Settings!$C$17)</f>
        <v/>
      </c>
      <c r="BC906" s="35" t="str">
        <f aca="false">IF($B906="","",BA906-BB906)</f>
        <v/>
      </c>
      <c r="BD906" s="35" t="str">
        <f aca="false">IF(OR($B906="",$A906=""),"",DAY(EOMONTH($A906,0))-COUNTA($F906:$AJ906))</f>
        <v/>
      </c>
    </row>
    <row r="907" customFormat="false" ht="15" hidden="false" customHeight="false" outlineLevel="0" collapsed="false">
      <c r="A907" s="32"/>
      <c r="B907" s="29"/>
      <c r="C907" s="10" t="str">
        <f aca="false">IF($B907="","",IFERROR(INDEX(M_name,MATCH($B907,M_emp,0)),"Code not found"))</f>
        <v/>
      </c>
      <c r="D907" s="10" t="str">
        <f aca="false">IF($B907="","",IFERROR(INDEX(M_dept,MATCH($B907,M_emp,0)),""))</f>
        <v/>
      </c>
      <c r="E907" s="10" t="str">
        <f aca="false">IF($B907="","",IFERROR(INDEX(M_loc,MATCH($B907,M_emp,0)),""))</f>
        <v/>
      </c>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4" t="str">
        <f aca="false">IF($B907="","",COUNTIF($F907:$AJ907,"P"))</f>
        <v/>
      </c>
      <c r="AL907" s="34" t="str">
        <f aca="false">IF($B907="","",COUNTIF($F907:$AJ907,"A"))</f>
        <v/>
      </c>
      <c r="AM907" s="34" t="str">
        <f aca="false">IF($B907="","",COUNTIF($F907:$AJ907,"HA"))</f>
        <v/>
      </c>
      <c r="AN907" s="34" t="str">
        <f aca="false">IF($B907="","",COUNTIF($F907:$AJ907,"L"))</f>
        <v/>
      </c>
      <c r="AO907" s="34" t="str">
        <f aca="false">IF($B907="","",COUNTIF($F907:$AJ907,"PL"))</f>
        <v/>
      </c>
      <c r="AP907" s="34" t="str">
        <f aca="false">IF($B907="","",COUNTIF($F907:$AJ907,"CL"))</f>
        <v/>
      </c>
      <c r="AQ907" s="34" t="str">
        <f aca="false">IF($B907="","",COUNTIF($F907:$AJ907,"SL"))</f>
        <v/>
      </c>
      <c r="AR907" s="34" t="str">
        <f aca="false">IF($B907="","",COUNTIF($F907:$AJ907,"CO"))</f>
        <v/>
      </c>
      <c r="AS907" s="34" t="str">
        <f aca="false">IF($B907="","",COUNTIF($F907:$AJ907,"HPL"))</f>
        <v/>
      </c>
      <c r="AT907" s="34" t="str">
        <f aca="false">IF($B907="","",COUNTIF($F907:$AJ907,"HCL"))</f>
        <v/>
      </c>
      <c r="AU907" s="34" t="str">
        <f aca="false">IF($B907="","",COUNTIF($F907:$AJ907,"WO"))</f>
        <v/>
      </c>
      <c r="AV907" s="34" t="str">
        <f aca="false">IF($B907="","",COUNTIF($F907:$AJ907,"PH"))</f>
        <v/>
      </c>
      <c r="AW907" s="34" t="str">
        <f aca="false">IF($B907="","",COUNTIF($F907:$AJ907,"TR"))</f>
        <v/>
      </c>
      <c r="AX907" s="35" t="str">
        <f aca="false">IF($B907="","",AO907+AS907/2)</f>
        <v/>
      </c>
      <c r="AY907" s="35" t="str">
        <f aca="false">IF($B907="","",AQ907)</f>
        <v/>
      </c>
      <c r="AZ907" s="35" t="str">
        <f aca="false">IF($B907="","",AP907+AT907/2)</f>
        <v/>
      </c>
      <c r="BA907" s="35" t="str">
        <f aca="false">IF($B907="","",AK907+AN907+AM907/2+AO907+AP907+AQ907+AR907+AS907+AT907+AU907+AV907+AW907)</f>
        <v/>
      </c>
      <c r="BB907" s="35" t="str">
        <f aca="false">IF($B907="","",MAX(0,AN907-Settings!$C$16)*Settings!$C$17)</f>
        <v/>
      </c>
      <c r="BC907" s="35" t="str">
        <f aca="false">IF($B907="","",BA907-BB907)</f>
        <v/>
      </c>
      <c r="BD907" s="35" t="str">
        <f aca="false">IF(OR($B907="",$A907=""),"",DAY(EOMONTH($A907,0))-COUNTA($F907:$AJ907))</f>
        <v/>
      </c>
    </row>
    <row r="908" customFormat="false" ht="15" hidden="false" customHeight="false" outlineLevel="0" collapsed="false">
      <c r="A908" s="32"/>
      <c r="B908" s="29"/>
      <c r="C908" s="10" t="str">
        <f aca="false">IF($B908="","",IFERROR(INDEX(M_name,MATCH($B908,M_emp,0)),"Code not found"))</f>
        <v/>
      </c>
      <c r="D908" s="10" t="str">
        <f aca="false">IF($B908="","",IFERROR(INDEX(M_dept,MATCH($B908,M_emp,0)),""))</f>
        <v/>
      </c>
      <c r="E908" s="10" t="str">
        <f aca="false">IF($B908="","",IFERROR(INDEX(M_loc,MATCH($B908,M_emp,0)),""))</f>
        <v/>
      </c>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4" t="str">
        <f aca="false">IF($B908="","",COUNTIF($F908:$AJ908,"P"))</f>
        <v/>
      </c>
      <c r="AL908" s="34" t="str">
        <f aca="false">IF($B908="","",COUNTIF($F908:$AJ908,"A"))</f>
        <v/>
      </c>
      <c r="AM908" s="34" t="str">
        <f aca="false">IF($B908="","",COUNTIF($F908:$AJ908,"HA"))</f>
        <v/>
      </c>
      <c r="AN908" s="34" t="str">
        <f aca="false">IF($B908="","",COUNTIF($F908:$AJ908,"L"))</f>
        <v/>
      </c>
      <c r="AO908" s="34" t="str">
        <f aca="false">IF($B908="","",COUNTIF($F908:$AJ908,"PL"))</f>
        <v/>
      </c>
      <c r="AP908" s="34" t="str">
        <f aca="false">IF($B908="","",COUNTIF($F908:$AJ908,"CL"))</f>
        <v/>
      </c>
      <c r="AQ908" s="34" t="str">
        <f aca="false">IF($B908="","",COUNTIF($F908:$AJ908,"SL"))</f>
        <v/>
      </c>
      <c r="AR908" s="34" t="str">
        <f aca="false">IF($B908="","",COUNTIF($F908:$AJ908,"CO"))</f>
        <v/>
      </c>
      <c r="AS908" s="34" t="str">
        <f aca="false">IF($B908="","",COUNTIF($F908:$AJ908,"HPL"))</f>
        <v/>
      </c>
      <c r="AT908" s="34" t="str">
        <f aca="false">IF($B908="","",COUNTIF($F908:$AJ908,"HCL"))</f>
        <v/>
      </c>
      <c r="AU908" s="34" t="str">
        <f aca="false">IF($B908="","",COUNTIF($F908:$AJ908,"WO"))</f>
        <v/>
      </c>
      <c r="AV908" s="34" t="str">
        <f aca="false">IF($B908="","",COUNTIF($F908:$AJ908,"PH"))</f>
        <v/>
      </c>
      <c r="AW908" s="34" t="str">
        <f aca="false">IF($B908="","",COUNTIF($F908:$AJ908,"TR"))</f>
        <v/>
      </c>
      <c r="AX908" s="35" t="str">
        <f aca="false">IF($B908="","",AO908+AS908/2)</f>
        <v/>
      </c>
      <c r="AY908" s="35" t="str">
        <f aca="false">IF($B908="","",AQ908)</f>
        <v/>
      </c>
      <c r="AZ908" s="35" t="str">
        <f aca="false">IF($B908="","",AP908+AT908/2)</f>
        <v/>
      </c>
      <c r="BA908" s="35" t="str">
        <f aca="false">IF($B908="","",AK908+AN908+AM908/2+AO908+AP908+AQ908+AR908+AS908+AT908+AU908+AV908+AW908)</f>
        <v/>
      </c>
      <c r="BB908" s="35" t="str">
        <f aca="false">IF($B908="","",MAX(0,AN908-Settings!$C$16)*Settings!$C$17)</f>
        <v/>
      </c>
      <c r="BC908" s="35" t="str">
        <f aca="false">IF($B908="","",BA908-BB908)</f>
        <v/>
      </c>
      <c r="BD908" s="35" t="str">
        <f aca="false">IF(OR($B908="",$A908=""),"",DAY(EOMONTH($A908,0))-COUNTA($F908:$AJ908))</f>
        <v/>
      </c>
    </row>
    <row r="909" customFormat="false" ht="15" hidden="false" customHeight="false" outlineLevel="0" collapsed="false">
      <c r="A909" s="32"/>
      <c r="B909" s="29"/>
      <c r="C909" s="10" t="str">
        <f aca="false">IF($B909="","",IFERROR(INDEX(M_name,MATCH($B909,M_emp,0)),"Code not found"))</f>
        <v/>
      </c>
      <c r="D909" s="10" t="str">
        <f aca="false">IF($B909="","",IFERROR(INDEX(M_dept,MATCH($B909,M_emp,0)),""))</f>
        <v/>
      </c>
      <c r="E909" s="10" t="str">
        <f aca="false">IF($B909="","",IFERROR(INDEX(M_loc,MATCH($B909,M_emp,0)),""))</f>
        <v/>
      </c>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4" t="str">
        <f aca="false">IF($B909="","",COUNTIF($F909:$AJ909,"P"))</f>
        <v/>
      </c>
      <c r="AL909" s="34" t="str">
        <f aca="false">IF($B909="","",COUNTIF($F909:$AJ909,"A"))</f>
        <v/>
      </c>
      <c r="AM909" s="34" t="str">
        <f aca="false">IF($B909="","",COUNTIF($F909:$AJ909,"HA"))</f>
        <v/>
      </c>
      <c r="AN909" s="34" t="str">
        <f aca="false">IF($B909="","",COUNTIF($F909:$AJ909,"L"))</f>
        <v/>
      </c>
      <c r="AO909" s="34" t="str">
        <f aca="false">IF($B909="","",COUNTIF($F909:$AJ909,"PL"))</f>
        <v/>
      </c>
      <c r="AP909" s="34" t="str">
        <f aca="false">IF($B909="","",COUNTIF($F909:$AJ909,"CL"))</f>
        <v/>
      </c>
      <c r="AQ909" s="34" t="str">
        <f aca="false">IF($B909="","",COUNTIF($F909:$AJ909,"SL"))</f>
        <v/>
      </c>
      <c r="AR909" s="34" t="str">
        <f aca="false">IF($B909="","",COUNTIF($F909:$AJ909,"CO"))</f>
        <v/>
      </c>
      <c r="AS909" s="34" t="str">
        <f aca="false">IF($B909="","",COUNTIF($F909:$AJ909,"HPL"))</f>
        <v/>
      </c>
      <c r="AT909" s="34" t="str">
        <f aca="false">IF($B909="","",COUNTIF($F909:$AJ909,"HCL"))</f>
        <v/>
      </c>
      <c r="AU909" s="34" t="str">
        <f aca="false">IF($B909="","",COUNTIF($F909:$AJ909,"WO"))</f>
        <v/>
      </c>
      <c r="AV909" s="34" t="str">
        <f aca="false">IF($B909="","",COUNTIF($F909:$AJ909,"PH"))</f>
        <v/>
      </c>
      <c r="AW909" s="34" t="str">
        <f aca="false">IF($B909="","",COUNTIF($F909:$AJ909,"TR"))</f>
        <v/>
      </c>
      <c r="AX909" s="35" t="str">
        <f aca="false">IF($B909="","",AO909+AS909/2)</f>
        <v/>
      </c>
      <c r="AY909" s="35" t="str">
        <f aca="false">IF($B909="","",AQ909)</f>
        <v/>
      </c>
      <c r="AZ909" s="35" t="str">
        <f aca="false">IF($B909="","",AP909+AT909/2)</f>
        <v/>
      </c>
      <c r="BA909" s="35" t="str">
        <f aca="false">IF($B909="","",AK909+AN909+AM909/2+AO909+AP909+AQ909+AR909+AS909+AT909+AU909+AV909+AW909)</f>
        <v/>
      </c>
      <c r="BB909" s="35" t="str">
        <f aca="false">IF($B909="","",MAX(0,AN909-Settings!$C$16)*Settings!$C$17)</f>
        <v/>
      </c>
      <c r="BC909" s="35" t="str">
        <f aca="false">IF($B909="","",BA909-BB909)</f>
        <v/>
      </c>
      <c r="BD909" s="35" t="str">
        <f aca="false">IF(OR($B909="",$A909=""),"",DAY(EOMONTH($A909,0))-COUNTA($F909:$AJ909))</f>
        <v/>
      </c>
    </row>
    <row r="910" customFormat="false" ht="15" hidden="false" customHeight="false" outlineLevel="0" collapsed="false">
      <c r="A910" s="32"/>
      <c r="B910" s="29"/>
      <c r="C910" s="10" t="str">
        <f aca="false">IF($B910="","",IFERROR(INDEX(M_name,MATCH($B910,M_emp,0)),"Code not found"))</f>
        <v/>
      </c>
      <c r="D910" s="10" t="str">
        <f aca="false">IF($B910="","",IFERROR(INDEX(M_dept,MATCH($B910,M_emp,0)),""))</f>
        <v/>
      </c>
      <c r="E910" s="10" t="str">
        <f aca="false">IF($B910="","",IFERROR(INDEX(M_loc,MATCH($B910,M_emp,0)),""))</f>
        <v/>
      </c>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4" t="str">
        <f aca="false">IF($B910="","",COUNTIF($F910:$AJ910,"P"))</f>
        <v/>
      </c>
      <c r="AL910" s="34" t="str">
        <f aca="false">IF($B910="","",COUNTIF($F910:$AJ910,"A"))</f>
        <v/>
      </c>
      <c r="AM910" s="34" t="str">
        <f aca="false">IF($B910="","",COUNTIF($F910:$AJ910,"HA"))</f>
        <v/>
      </c>
      <c r="AN910" s="34" t="str">
        <f aca="false">IF($B910="","",COUNTIF($F910:$AJ910,"L"))</f>
        <v/>
      </c>
      <c r="AO910" s="34" t="str">
        <f aca="false">IF($B910="","",COUNTIF($F910:$AJ910,"PL"))</f>
        <v/>
      </c>
      <c r="AP910" s="34" t="str">
        <f aca="false">IF($B910="","",COUNTIF($F910:$AJ910,"CL"))</f>
        <v/>
      </c>
      <c r="AQ910" s="34" t="str">
        <f aca="false">IF($B910="","",COUNTIF($F910:$AJ910,"SL"))</f>
        <v/>
      </c>
      <c r="AR910" s="34" t="str">
        <f aca="false">IF($B910="","",COUNTIF($F910:$AJ910,"CO"))</f>
        <v/>
      </c>
      <c r="AS910" s="34" t="str">
        <f aca="false">IF($B910="","",COUNTIF($F910:$AJ910,"HPL"))</f>
        <v/>
      </c>
      <c r="AT910" s="34" t="str">
        <f aca="false">IF($B910="","",COUNTIF($F910:$AJ910,"HCL"))</f>
        <v/>
      </c>
      <c r="AU910" s="34" t="str">
        <f aca="false">IF($B910="","",COUNTIF($F910:$AJ910,"WO"))</f>
        <v/>
      </c>
      <c r="AV910" s="34" t="str">
        <f aca="false">IF($B910="","",COUNTIF($F910:$AJ910,"PH"))</f>
        <v/>
      </c>
      <c r="AW910" s="34" t="str">
        <f aca="false">IF($B910="","",COUNTIF($F910:$AJ910,"TR"))</f>
        <v/>
      </c>
      <c r="AX910" s="35" t="str">
        <f aca="false">IF($B910="","",AO910+AS910/2)</f>
        <v/>
      </c>
      <c r="AY910" s="35" t="str">
        <f aca="false">IF($B910="","",AQ910)</f>
        <v/>
      </c>
      <c r="AZ910" s="35" t="str">
        <f aca="false">IF($B910="","",AP910+AT910/2)</f>
        <v/>
      </c>
      <c r="BA910" s="35" t="str">
        <f aca="false">IF($B910="","",AK910+AN910+AM910/2+AO910+AP910+AQ910+AR910+AS910+AT910+AU910+AV910+AW910)</f>
        <v/>
      </c>
      <c r="BB910" s="35" t="str">
        <f aca="false">IF($B910="","",MAX(0,AN910-Settings!$C$16)*Settings!$C$17)</f>
        <v/>
      </c>
      <c r="BC910" s="35" t="str">
        <f aca="false">IF($B910="","",BA910-BB910)</f>
        <v/>
      </c>
      <c r="BD910" s="35" t="str">
        <f aca="false">IF(OR($B910="",$A910=""),"",DAY(EOMONTH($A910,0))-COUNTA($F910:$AJ910))</f>
        <v/>
      </c>
    </row>
    <row r="911" customFormat="false" ht="15" hidden="false" customHeight="false" outlineLevel="0" collapsed="false">
      <c r="A911" s="32"/>
      <c r="B911" s="29"/>
      <c r="C911" s="10" t="str">
        <f aca="false">IF($B911="","",IFERROR(INDEX(M_name,MATCH($B911,M_emp,0)),"Code not found"))</f>
        <v/>
      </c>
      <c r="D911" s="10" t="str">
        <f aca="false">IF($B911="","",IFERROR(INDEX(M_dept,MATCH($B911,M_emp,0)),""))</f>
        <v/>
      </c>
      <c r="E911" s="10" t="str">
        <f aca="false">IF($B911="","",IFERROR(INDEX(M_loc,MATCH($B911,M_emp,0)),""))</f>
        <v/>
      </c>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4" t="str">
        <f aca="false">IF($B911="","",COUNTIF($F911:$AJ911,"P"))</f>
        <v/>
      </c>
      <c r="AL911" s="34" t="str">
        <f aca="false">IF($B911="","",COUNTIF($F911:$AJ911,"A"))</f>
        <v/>
      </c>
      <c r="AM911" s="34" t="str">
        <f aca="false">IF($B911="","",COUNTIF($F911:$AJ911,"HA"))</f>
        <v/>
      </c>
      <c r="AN911" s="34" t="str">
        <f aca="false">IF($B911="","",COUNTIF($F911:$AJ911,"L"))</f>
        <v/>
      </c>
      <c r="AO911" s="34" t="str">
        <f aca="false">IF($B911="","",COUNTIF($F911:$AJ911,"PL"))</f>
        <v/>
      </c>
      <c r="AP911" s="34" t="str">
        <f aca="false">IF($B911="","",COUNTIF($F911:$AJ911,"CL"))</f>
        <v/>
      </c>
      <c r="AQ911" s="34" t="str">
        <f aca="false">IF($B911="","",COUNTIF($F911:$AJ911,"SL"))</f>
        <v/>
      </c>
      <c r="AR911" s="34" t="str">
        <f aca="false">IF($B911="","",COUNTIF($F911:$AJ911,"CO"))</f>
        <v/>
      </c>
      <c r="AS911" s="34" t="str">
        <f aca="false">IF($B911="","",COUNTIF($F911:$AJ911,"HPL"))</f>
        <v/>
      </c>
      <c r="AT911" s="34" t="str">
        <f aca="false">IF($B911="","",COUNTIF($F911:$AJ911,"HCL"))</f>
        <v/>
      </c>
      <c r="AU911" s="34" t="str">
        <f aca="false">IF($B911="","",COUNTIF($F911:$AJ911,"WO"))</f>
        <v/>
      </c>
      <c r="AV911" s="34" t="str">
        <f aca="false">IF($B911="","",COUNTIF($F911:$AJ911,"PH"))</f>
        <v/>
      </c>
      <c r="AW911" s="34" t="str">
        <f aca="false">IF($B911="","",COUNTIF($F911:$AJ911,"TR"))</f>
        <v/>
      </c>
      <c r="AX911" s="35" t="str">
        <f aca="false">IF($B911="","",AO911+AS911/2)</f>
        <v/>
      </c>
      <c r="AY911" s="35" t="str">
        <f aca="false">IF($B911="","",AQ911)</f>
        <v/>
      </c>
      <c r="AZ911" s="35" t="str">
        <f aca="false">IF($B911="","",AP911+AT911/2)</f>
        <v/>
      </c>
      <c r="BA911" s="35" t="str">
        <f aca="false">IF($B911="","",AK911+AN911+AM911/2+AO911+AP911+AQ911+AR911+AS911+AT911+AU911+AV911+AW911)</f>
        <v/>
      </c>
      <c r="BB911" s="35" t="str">
        <f aca="false">IF($B911="","",MAX(0,AN911-Settings!$C$16)*Settings!$C$17)</f>
        <v/>
      </c>
      <c r="BC911" s="35" t="str">
        <f aca="false">IF($B911="","",BA911-BB911)</f>
        <v/>
      </c>
      <c r="BD911" s="35" t="str">
        <f aca="false">IF(OR($B911="",$A911=""),"",DAY(EOMONTH($A911,0))-COUNTA($F911:$AJ911))</f>
        <v/>
      </c>
    </row>
    <row r="912" customFormat="false" ht="15" hidden="false" customHeight="false" outlineLevel="0" collapsed="false">
      <c r="A912" s="32"/>
      <c r="B912" s="29"/>
      <c r="C912" s="10" t="str">
        <f aca="false">IF($B912="","",IFERROR(INDEX(M_name,MATCH($B912,M_emp,0)),"Code not found"))</f>
        <v/>
      </c>
      <c r="D912" s="10" t="str">
        <f aca="false">IF($B912="","",IFERROR(INDEX(M_dept,MATCH($B912,M_emp,0)),""))</f>
        <v/>
      </c>
      <c r="E912" s="10" t="str">
        <f aca="false">IF($B912="","",IFERROR(INDEX(M_loc,MATCH($B912,M_emp,0)),""))</f>
        <v/>
      </c>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4" t="str">
        <f aca="false">IF($B912="","",COUNTIF($F912:$AJ912,"P"))</f>
        <v/>
      </c>
      <c r="AL912" s="34" t="str">
        <f aca="false">IF($B912="","",COUNTIF($F912:$AJ912,"A"))</f>
        <v/>
      </c>
      <c r="AM912" s="34" t="str">
        <f aca="false">IF($B912="","",COUNTIF($F912:$AJ912,"HA"))</f>
        <v/>
      </c>
      <c r="AN912" s="34" t="str">
        <f aca="false">IF($B912="","",COUNTIF($F912:$AJ912,"L"))</f>
        <v/>
      </c>
      <c r="AO912" s="34" t="str">
        <f aca="false">IF($B912="","",COUNTIF($F912:$AJ912,"PL"))</f>
        <v/>
      </c>
      <c r="AP912" s="34" t="str">
        <f aca="false">IF($B912="","",COUNTIF($F912:$AJ912,"CL"))</f>
        <v/>
      </c>
      <c r="AQ912" s="34" t="str">
        <f aca="false">IF($B912="","",COUNTIF($F912:$AJ912,"SL"))</f>
        <v/>
      </c>
      <c r="AR912" s="34" t="str">
        <f aca="false">IF($B912="","",COUNTIF($F912:$AJ912,"CO"))</f>
        <v/>
      </c>
      <c r="AS912" s="34" t="str">
        <f aca="false">IF($B912="","",COUNTIF($F912:$AJ912,"HPL"))</f>
        <v/>
      </c>
      <c r="AT912" s="34" t="str">
        <f aca="false">IF($B912="","",COUNTIF($F912:$AJ912,"HCL"))</f>
        <v/>
      </c>
      <c r="AU912" s="34" t="str">
        <f aca="false">IF($B912="","",COUNTIF($F912:$AJ912,"WO"))</f>
        <v/>
      </c>
      <c r="AV912" s="34" t="str">
        <f aca="false">IF($B912="","",COUNTIF($F912:$AJ912,"PH"))</f>
        <v/>
      </c>
      <c r="AW912" s="34" t="str">
        <f aca="false">IF($B912="","",COUNTIF($F912:$AJ912,"TR"))</f>
        <v/>
      </c>
      <c r="AX912" s="35" t="str">
        <f aca="false">IF($B912="","",AO912+AS912/2)</f>
        <v/>
      </c>
      <c r="AY912" s="35" t="str">
        <f aca="false">IF($B912="","",AQ912)</f>
        <v/>
      </c>
      <c r="AZ912" s="35" t="str">
        <f aca="false">IF($B912="","",AP912+AT912/2)</f>
        <v/>
      </c>
      <c r="BA912" s="35" t="str">
        <f aca="false">IF($B912="","",AK912+AN912+AM912/2+AO912+AP912+AQ912+AR912+AS912+AT912+AU912+AV912+AW912)</f>
        <v/>
      </c>
      <c r="BB912" s="35" t="str">
        <f aca="false">IF($B912="","",MAX(0,AN912-Settings!$C$16)*Settings!$C$17)</f>
        <v/>
      </c>
      <c r="BC912" s="35" t="str">
        <f aca="false">IF($B912="","",BA912-BB912)</f>
        <v/>
      </c>
      <c r="BD912" s="35" t="str">
        <f aca="false">IF(OR($B912="",$A912=""),"",DAY(EOMONTH($A912,0))-COUNTA($F912:$AJ912))</f>
        <v/>
      </c>
    </row>
    <row r="913" customFormat="false" ht="15" hidden="false" customHeight="false" outlineLevel="0" collapsed="false">
      <c r="A913" s="32"/>
      <c r="B913" s="29"/>
      <c r="C913" s="10" t="str">
        <f aca="false">IF($B913="","",IFERROR(INDEX(M_name,MATCH($B913,M_emp,0)),"Code not found"))</f>
        <v/>
      </c>
      <c r="D913" s="10" t="str">
        <f aca="false">IF($B913="","",IFERROR(INDEX(M_dept,MATCH($B913,M_emp,0)),""))</f>
        <v/>
      </c>
      <c r="E913" s="10" t="str">
        <f aca="false">IF($B913="","",IFERROR(INDEX(M_loc,MATCH($B913,M_emp,0)),""))</f>
        <v/>
      </c>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4" t="str">
        <f aca="false">IF($B913="","",COUNTIF($F913:$AJ913,"P"))</f>
        <v/>
      </c>
      <c r="AL913" s="34" t="str">
        <f aca="false">IF($B913="","",COUNTIF($F913:$AJ913,"A"))</f>
        <v/>
      </c>
      <c r="AM913" s="34" t="str">
        <f aca="false">IF($B913="","",COUNTIF($F913:$AJ913,"HA"))</f>
        <v/>
      </c>
      <c r="AN913" s="34" t="str">
        <f aca="false">IF($B913="","",COUNTIF($F913:$AJ913,"L"))</f>
        <v/>
      </c>
      <c r="AO913" s="34" t="str">
        <f aca="false">IF($B913="","",COUNTIF($F913:$AJ913,"PL"))</f>
        <v/>
      </c>
      <c r="AP913" s="34" t="str">
        <f aca="false">IF($B913="","",COUNTIF($F913:$AJ913,"CL"))</f>
        <v/>
      </c>
      <c r="AQ913" s="34" t="str">
        <f aca="false">IF($B913="","",COUNTIF($F913:$AJ913,"SL"))</f>
        <v/>
      </c>
      <c r="AR913" s="34" t="str">
        <f aca="false">IF($B913="","",COUNTIF($F913:$AJ913,"CO"))</f>
        <v/>
      </c>
      <c r="AS913" s="34" t="str">
        <f aca="false">IF($B913="","",COUNTIF($F913:$AJ913,"HPL"))</f>
        <v/>
      </c>
      <c r="AT913" s="34" t="str">
        <f aca="false">IF($B913="","",COUNTIF($F913:$AJ913,"HCL"))</f>
        <v/>
      </c>
      <c r="AU913" s="34" t="str">
        <f aca="false">IF($B913="","",COUNTIF($F913:$AJ913,"WO"))</f>
        <v/>
      </c>
      <c r="AV913" s="34" t="str">
        <f aca="false">IF($B913="","",COUNTIF($F913:$AJ913,"PH"))</f>
        <v/>
      </c>
      <c r="AW913" s="34" t="str">
        <f aca="false">IF($B913="","",COUNTIF($F913:$AJ913,"TR"))</f>
        <v/>
      </c>
      <c r="AX913" s="35" t="str">
        <f aca="false">IF($B913="","",AO913+AS913/2)</f>
        <v/>
      </c>
      <c r="AY913" s="35" t="str">
        <f aca="false">IF($B913="","",AQ913)</f>
        <v/>
      </c>
      <c r="AZ913" s="35" t="str">
        <f aca="false">IF($B913="","",AP913+AT913/2)</f>
        <v/>
      </c>
      <c r="BA913" s="35" t="str">
        <f aca="false">IF($B913="","",AK913+AN913+AM913/2+AO913+AP913+AQ913+AR913+AS913+AT913+AU913+AV913+AW913)</f>
        <v/>
      </c>
      <c r="BB913" s="35" t="str">
        <f aca="false">IF($B913="","",MAX(0,AN913-Settings!$C$16)*Settings!$C$17)</f>
        <v/>
      </c>
      <c r="BC913" s="35" t="str">
        <f aca="false">IF($B913="","",BA913-BB913)</f>
        <v/>
      </c>
      <c r="BD913" s="35" t="str">
        <f aca="false">IF(OR($B913="",$A913=""),"",DAY(EOMONTH($A913,0))-COUNTA($F913:$AJ913))</f>
        <v/>
      </c>
    </row>
    <row r="914" customFormat="false" ht="15" hidden="false" customHeight="false" outlineLevel="0" collapsed="false">
      <c r="A914" s="32"/>
      <c r="B914" s="29"/>
      <c r="C914" s="10" t="str">
        <f aca="false">IF($B914="","",IFERROR(INDEX(M_name,MATCH($B914,M_emp,0)),"Code not found"))</f>
        <v/>
      </c>
      <c r="D914" s="10" t="str">
        <f aca="false">IF($B914="","",IFERROR(INDEX(M_dept,MATCH($B914,M_emp,0)),""))</f>
        <v/>
      </c>
      <c r="E914" s="10" t="str">
        <f aca="false">IF($B914="","",IFERROR(INDEX(M_loc,MATCH($B914,M_emp,0)),""))</f>
        <v/>
      </c>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4" t="str">
        <f aca="false">IF($B914="","",COUNTIF($F914:$AJ914,"P"))</f>
        <v/>
      </c>
      <c r="AL914" s="34" t="str">
        <f aca="false">IF($B914="","",COUNTIF($F914:$AJ914,"A"))</f>
        <v/>
      </c>
      <c r="AM914" s="34" t="str">
        <f aca="false">IF($B914="","",COUNTIF($F914:$AJ914,"HA"))</f>
        <v/>
      </c>
      <c r="AN914" s="34" t="str">
        <f aca="false">IF($B914="","",COUNTIF($F914:$AJ914,"L"))</f>
        <v/>
      </c>
      <c r="AO914" s="34" t="str">
        <f aca="false">IF($B914="","",COUNTIF($F914:$AJ914,"PL"))</f>
        <v/>
      </c>
      <c r="AP914" s="34" t="str">
        <f aca="false">IF($B914="","",COUNTIF($F914:$AJ914,"CL"))</f>
        <v/>
      </c>
      <c r="AQ914" s="34" t="str">
        <f aca="false">IF($B914="","",COUNTIF($F914:$AJ914,"SL"))</f>
        <v/>
      </c>
      <c r="AR914" s="34" t="str">
        <f aca="false">IF($B914="","",COUNTIF($F914:$AJ914,"CO"))</f>
        <v/>
      </c>
      <c r="AS914" s="34" t="str">
        <f aca="false">IF($B914="","",COUNTIF($F914:$AJ914,"HPL"))</f>
        <v/>
      </c>
      <c r="AT914" s="34" t="str">
        <f aca="false">IF($B914="","",COUNTIF($F914:$AJ914,"HCL"))</f>
        <v/>
      </c>
      <c r="AU914" s="34" t="str">
        <f aca="false">IF($B914="","",COUNTIF($F914:$AJ914,"WO"))</f>
        <v/>
      </c>
      <c r="AV914" s="34" t="str">
        <f aca="false">IF($B914="","",COUNTIF($F914:$AJ914,"PH"))</f>
        <v/>
      </c>
      <c r="AW914" s="34" t="str">
        <f aca="false">IF($B914="","",COUNTIF($F914:$AJ914,"TR"))</f>
        <v/>
      </c>
      <c r="AX914" s="35" t="str">
        <f aca="false">IF($B914="","",AO914+AS914/2)</f>
        <v/>
      </c>
      <c r="AY914" s="35" t="str">
        <f aca="false">IF($B914="","",AQ914)</f>
        <v/>
      </c>
      <c r="AZ914" s="35" t="str">
        <f aca="false">IF($B914="","",AP914+AT914/2)</f>
        <v/>
      </c>
      <c r="BA914" s="35" t="str">
        <f aca="false">IF($B914="","",AK914+AN914+AM914/2+AO914+AP914+AQ914+AR914+AS914+AT914+AU914+AV914+AW914)</f>
        <v/>
      </c>
      <c r="BB914" s="35" t="str">
        <f aca="false">IF($B914="","",MAX(0,AN914-Settings!$C$16)*Settings!$C$17)</f>
        <v/>
      </c>
      <c r="BC914" s="35" t="str">
        <f aca="false">IF($B914="","",BA914-BB914)</f>
        <v/>
      </c>
      <c r="BD914" s="35" t="str">
        <f aca="false">IF(OR($B914="",$A914=""),"",DAY(EOMONTH($A914,0))-COUNTA($F914:$AJ914))</f>
        <v/>
      </c>
    </row>
    <row r="915" customFormat="false" ht="15" hidden="false" customHeight="false" outlineLevel="0" collapsed="false">
      <c r="A915" s="32"/>
      <c r="B915" s="29"/>
      <c r="C915" s="10" t="str">
        <f aca="false">IF($B915="","",IFERROR(INDEX(M_name,MATCH($B915,M_emp,0)),"Code not found"))</f>
        <v/>
      </c>
      <c r="D915" s="10" t="str">
        <f aca="false">IF($B915="","",IFERROR(INDEX(M_dept,MATCH($B915,M_emp,0)),""))</f>
        <v/>
      </c>
      <c r="E915" s="10" t="str">
        <f aca="false">IF($B915="","",IFERROR(INDEX(M_loc,MATCH($B915,M_emp,0)),""))</f>
        <v/>
      </c>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4" t="str">
        <f aca="false">IF($B915="","",COUNTIF($F915:$AJ915,"P"))</f>
        <v/>
      </c>
      <c r="AL915" s="34" t="str">
        <f aca="false">IF($B915="","",COUNTIF($F915:$AJ915,"A"))</f>
        <v/>
      </c>
      <c r="AM915" s="34" t="str">
        <f aca="false">IF($B915="","",COUNTIF($F915:$AJ915,"HA"))</f>
        <v/>
      </c>
      <c r="AN915" s="34" t="str">
        <f aca="false">IF($B915="","",COUNTIF($F915:$AJ915,"L"))</f>
        <v/>
      </c>
      <c r="AO915" s="34" t="str">
        <f aca="false">IF($B915="","",COUNTIF($F915:$AJ915,"PL"))</f>
        <v/>
      </c>
      <c r="AP915" s="34" t="str">
        <f aca="false">IF($B915="","",COUNTIF($F915:$AJ915,"CL"))</f>
        <v/>
      </c>
      <c r="AQ915" s="34" t="str">
        <f aca="false">IF($B915="","",COUNTIF($F915:$AJ915,"SL"))</f>
        <v/>
      </c>
      <c r="AR915" s="34" t="str">
        <f aca="false">IF($B915="","",COUNTIF($F915:$AJ915,"CO"))</f>
        <v/>
      </c>
      <c r="AS915" s="34" t="str">
        <f aca="false">IF($B915="","",COUNTIF($F915:$AJ915,"HPL"))</f>
        <v/>
      </c>
      <c r="AT915" s="34" t="str">
        <f aca="false">IF($B915="","",COUNTIF($F915:$AJ915,"HCL"))</f>
        <v/>
      </c>
      <c r="AU915" s="34" t="str">
        <f aca="false">IF($B915="","",COUNTIF($F915:$AJ915,"WO"))</f>
        <v/>
      </c>
      <c r="AV915" s="34" t="str">
        <f aca="false">IF($B915="","",COUNTIF($F915:$AJ915,"PH"))</f>
        <v/>
      </c>
      <c r="AW915" s="34" t="str">
        <f aca="false">IF($B915="","",COUNTIF($F915:$AJ915,"TR"))</f>
        <v/>
      </c>
      <c r="AX915" s="35" t="str">
        <f aca="false">IF($B915="","",AO915+AS915/2)</f>
        <v/>
      </c>
      <c r="AY915" s="35" t="str">
        <f aca="false">IF($B915="","",AQ915)</f>
        <v/>
      </c>
      <c r="AZ915" s="35" t="str">
        <f aca="false">IF($B915="","",AP915+AT915/2)</f>
        <v/>
      </c>
      <c r="BA915" s="35" t="str">
        <f aca="false">IF($B915="","",AK915+AN915+AM915/2+AO915+AP915+AQ915+AR915+AS915+AT915+AU915+AV915+AW915)</f>
        <v/>
      </c>
      <c r="BB915" s="35" t="str">
        <f aca="false">IF($B915="","",MAX(0,AN915-Settings!$C$16)*Settings!$C$17)</f>
        <v/>
      </c>
      <c r="BC915" s="35" t="str">
        <f aca="false">IF($B915="","",BA915-BB915)</f>
        <v/>
      </c>
      <c r="BD915" s="35" t="str">
        <f aca="false">IF(OR($B915="",$A915=""),"",DAY(EOMONTH($A915,0))-COUNTA($F915:$AJ915))</f>
        <v/>
      </c>
    </row>
    <row r="916" customFormat="false" ht="15" hidden="false" customHeight="false" outlineLevel="0" collapsed="false">
      <c r="A916" s="32"/>
      <c r="B916" s="29"/>
      <c r="C916" s="10" t="str">
        <f aca="false">IF($B916="","",IFERROR(INDEX(M_name,MATCH($B916,M_emp,0)),"Code not found"))</f>
        <v/>
      </c>
      <c r="D916" s="10" t="str">
        <f aca="false">IF($B916="","",IFERROR(INDEX(M_dept,MATCH($B916,M_emp,0)),""))</f>
        <v/>
      </c>
      <c r="E916" s="10" t="str">
        <f aca="false">IF($B916="","",IFERROR(INDEX(M_loc,MATCH($B916,M_emp,0)),""))</f>
        <v/>
      </c>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4" t="str">
        <f aca="false">IF($B916="","",COUNTIF($F916:$AJ916,"P"))</f>
        <v/>
      </c>
      <c r="AL916" s="34" t="str">
        <f aca="false">IF($B916="","",COUNTIF($F916:$AJ916,"A"))</f>
        <v/>
      </c>
      <c r="AM916" s="34" t="str">
        <f aca="false">IF($B916="","",COUNTIF($F916:$AJ916,"HA"))</f>
        <v/>
      </c>
      <c r="AN916" s="34" t="str">
        <f aca="false">IF($B916="","",COUNTIF($F916:$AJ916,"L"))</f>
        <v/>
      </c>
      <c r="AO916" s="34" t="str">
        <f aca="false">IF($B916="","",COUNTIF($F916:$AJ916,"PL"))</f>
        <v/>
      </c>
      <c r="AP916" s="34" t="str">
        <f aca="false">IF($B916="","",COUNTIF($F916:$AJ916,"CL"))</f>
        <v/>
      </c>
      <c r="AQ916" s="34" t="str">
        <f aca="false">IF($B916="","",COUNTIF($F916:$AJ916,"SL"))</f>
        <v/>
      </c>
      <c r="AR916" s="34" t="str">
        <f aca="false">IF($B916="","",COUNTIF($F916:$AJ916,"CO"))</f>
        <v/>
      </c>
      <c r="AS916" s="34" t="str">
        <f aca="false">IF($B916="","",COUNTIF($F916:$AJ916,"HPL"))</f>
        <v/>
      </c>
      <c r="AT916" s="34" t="str">
        <f aca="false">IF($B916="","",COUNTIF($F916:$AJ916,"HCL"))</f>
        <v/>
      </c>
      <c r="AU916" s="34" t="str">
        <f aca="false">IF($B916="","",COUNTIF($F916:$AJ916,"WO"))</f>
        <v/>
      </c>
      <c r="AV916" s="34" t="str">
        <f aca="false">IF($B916="","",COUNTIF($F916:$AJ916,"PH"))</f>
        <v/>
      </c>
      <c r="AW916" s="34" t="str">
        <f aca="false">IF($B916="","",COUNTIF($F916:$AJ916,"TR"))</f>
        <v/>
      </c>
      <c r="AX916" s="35" t="str">
        <f aca="false">IF($B916="","",AO916+AS916/2)</f>
        <v/>
      </c>
      <c r="AY916" s="35" t="str">
        <f aca="false">IF($B916="","",AQ916)</f>
        <v/>
      </c>
      <c r="AZ916" s="35" t="str">
        <f aca="false">IF($B916="","",AP916+AT916/2)</f>
        <v/>
      </c>
      <c r="BA916" s="35" t="str">
        <f aca="false">IF($B916="","",AK916+AN916+AM916/2+AO916+AP916+AQ916+AR916+AS916+AT916+AU916+AV916+AW916)</f>
        <v/>
      </c>
      <c r="BB916" s="35" t="str">
        <f aca="false">IF($B916="","",MAX(0,AN916-Settings!$C$16)*Settings!$C$17)</f>
        <v/>
      </c>
      <c r="BC916" s="35" t="str">
        <f aca="false">IF($B916="","",BA916-BB916)</f>
        <v/>
      </c>
      <c r="BD916" s="35" t="str">
        <f aca="false">IF(OR($B916="",$A916=""),"",DAY(EOMONTH($A916,0))-COUNTA($F916:$AJ916))</f>
        <v/>
      </c>
    </row>
    <row r="917" customFormat="false" ht="15" hidden="false" customHeight="false" outlineLevel="0" collapsed="false">
      <c r="A917" s="32"/>
      <c r="B917" s="29"/>
      <c r="C917" s="10" t="str">
        <f aca="false">IF($B917="","",IFERROR(INDEX(M_name,MATCH($B917,M_emp,0)),"Code not found"))</f>
        <v/>
      </c>
      <c r="D917" s="10" t="str">
        <f aca="false">IF($B917="","",IFERROR(INDEX(M_dept,MATCH($B917,M_emp,0)),""))</f>
        <v/>
      </c>
      <c r="E917" s="10" t="str">
        <f aca="false">IF($B917="","",IFERROR(INDEX(M_loc,MATCH($B917,M_emp,0)),""))</f>
        <v/>
      </c>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4" t="str">
        <f aca="false">IF($B917="","",COUNTIF($F917:$AJ917,"P"))</f>
        <v/>
      </c>
      <c r="AL917" s="34" t="str">
        <f aca="false">IF($B917="","",COUNTIF($F917:$AJ917,"A"))</f>
        <v/>
      </c>
      <c r="AM917" s="34" t="str">
        <f aca="false">IF($B917="","",COUNTIF($F917:$AJ917,"HA"))</f>
        <v/>
      </c>
      <c r="AN917" s="34" t="str">
        <f aca="false">IF($B917="","",COUNTIF($F917:$AJ917,"L"))</f>
        <v/>
      </c>
      <c r="AO917" s="34" t="str">
        <f aca="false">IF($B917="","",COUNTIF($F917:$AJ917,"PL"))</f>
        <v/>
      </c>
      <c r="AP917" s="34" t="str">
        <f aca="false">IF($B917="","",COUNTIF($F917:$AJ917,"CL"))</f>
        <v/>
      </c>
      <c r="AQ917" s="34" t="str">
        <f aca="false">IF($B917="","",COUNTIF($F917:$AJ917,"SL"))</f>
        <v/>
      </c>
      <c r="AR917" s="34" t="str">
        <f aca="false">IF($B917="","",COUNTIF($F917:$AJ917,"CO"))</f>
        <v/>
      </c>
      <c r="AS917" s="34" t="str">
        <f aca="false">IF($B917="","",COUNTIF($F917:$AJ917,"HPL"))</f>
        <v/>
      </c>
      <c r="AT917" s="34" t="str">
        <f aca="false">IF($B917="","",COUNTIF($F917:$AJ917,"HCL"))</f>
        <v/>
      </c>
      <c r="AU917" s="34" t="str">
        <f aca="false">IF($B917="","",COUNTIF($F917:$AJ917,"WO"))</f>
        <v/>
      </c>
      <c r="AV917" s="34" t="str">
        <f aca="false">IF($B917="","",COUNTIF($F917:$AJ917,"PH"))</f>
        <v/>
      </c>
      <c r="AW917" s="34" t="str">
        <f aca="false">IF($B917="","",COUNTIF($F917:$AJ917,"TR"))</f>
        <v/>
      </c>
      <c r="AX917" s="35" t="str">
        <f aca="false">IF($B917="","",AO917+AS917/2)</f>
        <v/>
      </c>
      <c r="AY917" s="35" t="str">
        <f aca="false">IF($B917="","",AQ917)</f>
        <v/>
      </c>
      <c r="AZ917" s="35" t="str">
        <f aca="false">IF($B917="","",AP917+AT917/2)</f>
        <v/>
      </c>
      <c r="BA917" s="35" t="str">
        <f aca="false">IF($B917="","",AK917+AN917+AM917/2+AO917+AP917+AQ917+AR917+AS917+AT917+AU917+AV917+AW917)</f>
        <v/>
      </c>
      <c r="BB917" s="35" t="str">
        <f aca="false">IF($B917="","",MAX(0,AN917-Settings!$C$16)*Settings!$C$17)</f>
        <v/>
      </c>
      <c r="BC917" s="35" t="str">
        <f aca="false">IF($B917="","",BA917-BB917)</f>
        <v/>
      </c>
      <c r="BD917" s="35" t="str">
        <f aca="false">IF(OR($B917="",$A917=""),"",DAY(EOMONTH($A917,0))-COUNTA($F917:$AJ917))</f>
        <v/>
      </c>
    </row>
    <row r="918" customFormat="false" ht="15" hidden="false" customHeight="false" outlineLevel="0" collapsed="false">
      <c r="A918" s="32"/>
      <c r="B918" s="29"/>
      <c r="C918" s="10" t="str">
        <f aca="false">IF($B918="","",IFERROR(INDEX(M_name,MATCH($B918,M_emp,0)),"Code not found"))</f>
        <v/>
      </c>
      <c r="D918" s="10" t="str">
        <f aca="false">IF($B918="","",IFERROR(INDEX(M_dept,MATCH($B918,M_emp,0)),""))</f>
        <v/>
      </c>
      <c r="E918" s="10" t="str">
        <f aca="false">IF($B918="","",IFERROR(INDEX(M_loc,MATCH($B918,M_emp,0)),""))</f>
        <v/>
      </c>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4" t="str">
        <f aca="false">IF($B918="","",COUNTIF($F918:$AJ918,"P"))</f>
        <v/>
      </c>
      <c r="AL918" s="34" t="str">
        <f aca="false">IF($B918="","",COUNTIF($F918:$AJ918,"A"))</f>
        <v/>
      </c>
      <c r="AM918" s="34" t="str">
        <f aca="false">IF($B918="","",COUNTIF($F918:$AJ918,"HA"))</f>
        <v/>
      </c>
      <c r="AN918" s="34" t="str">
        <f aca="false">IF($B918="","",COUNTIF($F918:$AJ918,"L"))</f>
        <v/>
      </c>
      <c r="AO918" s="34" t="str">
        <f aca="false">IF($B918="","",COUNTIF($F918:$AJ918,"PL"))</f>
        <v/>
      </c>
      <c r="AP918" s="34" t="str">
        <f aca="false">IF($B918="","",COUNTIF($F918:$AJ918,"CL"))</f>
        <v/>
      </c>
      <c r="AQ918" s="34" t="str">
        <f aca="false">IF($B918="","",COUNTIF($F918:$AJ918,"SL"))</f>
        <v/>
      </c>
      <c r="AR918" s="34" t="str">
        <f aca="false">IF($B918="","",COUNTIF($F918:$AJ918,"CO"))</f>
        <v/>
      </c>
      <c r="AS918" s="34" t="str">
        <f aca="false">IF($B918="","",COUNTIF($F918:$AJ918,"HPL"))</f>
        <v/>
      </c>
      <c r="AT918" s="34" t="str">
        <f aca="false">IF($B918="","",COUNTIF($F918:$AJ918,"HCL"))</f>
        <v/>
      </c>
      <c r="AU918" s="34" t="str">
        <f aca="false">IF($B918="","",COUNTIF($F918:$AJ918,"WO"))</f>
        <v/>
      </c>
      <c r="AV918" s="34" t="str">
        <f aca="false">IF($B918="","",COUNTIF($F918:$AJ918,"PH"))</f>
        <v/>
      </c>
      <c r="AW918" s="34" t="str">
        <f aca="false">IF($B918="","",COUNTIF($F918:$AJ918,"TR"))</f>
        <v/>
      </c>
      <c r="AX918" s="35" t="str">
        <f aca="false">IF($B918="","",AO918+AS918/2)</f>
        <v/>
      </c>
      <c r="AY918" s="35" t="str">
        <f aca="false">IF($B918="","",AQ918)</f>
        <v/>
      </c>
      <c r="AZ918" s="35" t="str">
        <f aca="false">IF($B918="","",AP918+AT918/2)</f>
        <v/>
      </c>
      <c r="BA918" s="35" t="str">
        <f aca="false">IF($B918="","",AK918+AN918+AM918/2+AO918+AP918+AQ918+AR918+AS918+AT918+AU918+AV918+AW918)</f>
        <v/>
      </c>
      <c r="BB918" s="35" t="str">
        <f aca="false">IF($B918="","",MAX(0,AN918-Settings!$C$16)*Settings!$C$17)</f>
        <v/>
      </c>
      <c r="BC918" s="35" t="str">
        <f aca="false">IF($B918="","",BA918-BB918)</f>
        <v/>
      </c>
      <c r="BD918" s="35" t="str">
        <f aca="false">IF(OR($B918="",$A918=""),"",DAY(EOMONTH($A918,0))-COUNTA($F918:$AJ918))</f>
        <v/>
      </c>
    </row>
    <row r="919" customFormat="false" ht="15" hidden="false" customHeight="false" outlineLevel="0" collapsed="false">
      <c r="A919" s="32"/>
      <c r="B919" s="29"/>
      <c r="C919" s="10" t="str">
        <f aca="false">IF($B919="","",IFERROR(INDEX(M_name,MATCH($B919,M_emp,0)),"Code not found"))</f>
        <v/>
      </c>
      <c r="D919" s="10" t="str">
        <f aca="false">IF($B919="","",IFERROR(INDEX(M_dept,MATCH($B919,M_emp,0)),""))</f>
        <v/>
      </c>
      <c r="E919" s="10" t="str">
        <f aca="false">IF($B919="","",IFERROR(INDEX(M_loc,MATCH($B919,M_emp,0)),""))</f>
        <v/>
      </c>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4" t="str">
        <f aca="false">IF($B919="","",COUNTIF($F919:$AJ919,"P"))</f>
        <v/>
      </c>
      <c r="AL919" s="34" t="str">
        <f aca="false">IF($B919="","",COUNTIF($F919:$AJ919,"A"))</f>
        <v/>
      </c>
      <c r="AM919" s="34" t="str">
        <f aca="false">IF($B919="","",COUNTIF($F919:$AJ919,"HA"))</f>
        <v/>
      </c>
      <c r="AN919" s="34" t="str">
        <f aca="false">IF($B919="","",COUNTIF($F919:$AJ919,"L"))</f>
        <v/>
      </c>
      <c r="AO919" s="34" t="str">
        <f aca="false">IF($B919="","",COUNTIF($F919:$AJ919,"PL"))</f>
        <v/>
      </c>
      <c r="AP919" s="34" t="str">
        <f aca="false">IF($B919="","",COUNTIF($F919:$AJ919,"CL"))</f>
        <v/>
      </c>
      <c r="AQ919" s="34" t="str">
        <f aca="false">IF($B919="","",COUNTIF($F919:$AJ919,"SL"))</f>
        <v/>
      </c>
      <c r="AR919" s="34" t="str">
        <f aca="false">IF($B919="","",COUNTIF($F919:$AJ919,"CO"))</f>
        <v/>
      </c>
      <c r="AS919" s="34" t="str">
        <f aca="false">IF($B919="","",COUNTIF($F919:$AJ919,"HPL"))</f>
        <v/>
      </c>
      <c r="AT919" s="34" t="str">
        <f aca="false">IF($B919="","",COUNTIF($F919:$AJ919,"HCL"))</f>
        <v/>
      </c>
      <c r="AU919" s="34" t="str">
        <f aca="false">IF($B919="","",COUNTIF($F919:$AJ919,"WO"))</f>
        <v/>
      </c>
      <c r="AV919" s="34" t="str">
        <f aca="false">IF($B919="","",COUNTIF($F919:$AJ919,"PH"))</f>
        <v/>
      </c>
      <c r="AW919" s="34" t="str">
        <f aca="false">IF($B919="","",COUNTIF($F919:$AJ919,"TR"))</f>
        <v/>
      </c>
      <c r="AX919" s="35" t="str">
        <f aca="false">IF($B919="","",AO919+AS919/2)</f>
        <v/>
      </c>
      <c r="AY919" s="35" t="str">
        <f aca="false">IF($B919="","",AQ919)</f>
        <v/>
      </c>
      <c r="AZ919" s="35" t="str">
        <f aca="false">IF($B919="","",AP919+AT919/2)</f>
        <v/>
      </c>
      <c r="BA919" s="35" t="str">
        <f aca="false">IF($B919="","",AK919+AN919+AM919/2+AO919+AP919+AQ919+AR919+AS919+AT919+AU919+AV919+AW919)</f>
        <v/>
      </c>
      <c r="BB919" s="35" t="str">
        <f aca="false">IF($B919="","",MAX(0,AN919-Settings!$C$16)*Settings!$C$17)</f>
        <v/>
      </c>
      <c r="BC919" s="35" t="str">
        <f aca="false">IF($B919="","",BA919-BB919)</f>
        <v/>
      </c>
      <c r="BD919" s="35" t="str">
        <f aca="false">IF(OR($B919="",$A919=""),"",DAY(EOMONTH($A919,0))-COUNTA($F919:$AJ919))</f>
        <v/>
      </c>
    </row>
    <row r="920" customFormat="false" ht="15" hidden="false" customHeight="false" outlineLevel="0" collapsed="false">
      <c r="A920" s="32"/>
      <c r="B920" s="29"/>
      <c r="C920" s="10" t="str">
        <f aca="false">IF($B920="","",IFERROR(INDEX(M_name,MATCH($B920,M_emp,0)),"Code not found"))</f>
        <v/>
      </c>
      <c r="D920" s="10" t="str">
        <f aca="false">IF($B920="","",IFERROR(INDEX(M_dept,MATCH($B920,M_emp,0)),""))</f>
        <v/>
      </c>
      <c r="E920" s="10" t="str">
        <f aca="false">IF($B920="","",IFERROR(INDEX(M_loc,MATCH($B920,M_emp,0)),""))</f>
        <v/>
      </c>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4" t="str">
        <f aca="false">IF($B920="","",COUNTIF($F920:$AJ920,"P"))</f>
        <v/>
      </c>
      <c r="AL920" s="34" t="str">
        <f aca="false">IF($B920="","",COUNTIF($F920:$AJ920,"A"))</f>
        <v/>
      </c>
      <c r="AM920" s="34" t="str">
        <f aca="false">IF($B920="","",COUNTIF($F920:$AJ920,"HA"))</f>
        <v/>
      </c>
      <c r="AN920" s="34" t="str">
        <f aca="false">IF($B920="","",COUNTIF($F920:$AJ920,"L"))</f>
        <v/>
      </c>
      <c r="AO920" s="34" t="str">
        <f aca="false">IF($B920="","",COUNTIF($F920:$AJ920,"PL"))</f>
        <v/>
      </c>
      <c r="AP920" s="34" t="str">
        <f aca="false">IF($B920="","",COUNTIF($F920:$AJ920,"CL"))</f>
        <v/>
      </c>
      <c r="AQ920" s="34" t="str">
        <f aca="false">IF($B920="","",COUNTIF($F920:$AJ920,"SL"))</f>
        <v/>
      </c>
      <c r="AR920" s="34" t="str">
        <f aca="false">IF($B920="","",COUNTIF($F920:$AJ920,"CO"))</f>
        <v/>
      </c>
      <c r="AS920" s="34" t="str">
        <f aca="false">IF($B920="","",COUNTIF($F920:$AJ920,"HPL"))</f>
        <v/>
      </c>
      <c r="AT920" s="34" t="str">
        <f aca="false">IF($B920="","",COUNTIF($F920:$AJ920,"HCL"))</f>
        <v/>
      </c>
      <c r="AU920" s="34" t="str">
        <f aca="false">IF($B920="","",COUNTIF($F920:$AJ920,"WO"))</f>
        <v/>
      </c>
      <c r="AV920" s="34" t="str">
        <f aca="false">IF($B920="","",COUNTIF($F920:$AJ920,"PH"))</f>
        <v/>
      </c>
      <c r="AW920" s="34" t="str">
        <f aca="false">IF($B920="","",COUNTIF($F920:$AJ920,"TR"))</f>
        <v/>
      </c>
      <c r="AX920" s="35" t="str">
        <f aca="false">IF($B920="","",AO920+AS920/2)</f>
        <v/>
      </c>
      <c r="AY920" s="35" t="str">
        <f aca="false">IF($B920="","",AQ920)</f>
        <v/>
      </c>
      <c r="AZ920" s="35" t="str">
        <f aca="false">IF($B920="","",AP920+AT920/2)</f>
        <v/>
      </c>
      <c r="BA920" s="35" t="str">
        <f aca="false">IF($B920="","",AK920+AN920+AM920/2+AO920+AP920+AQ920+AR920+AS920+AT920+AU920+AV920+AW920)</f>
        <v/>
      </c>
      <c r="BB920" s="35" t="str">
        <f aca="false">IF($B920="","",MAX(0,AN920-Settings!$C$16)*Settings!$C$17)</f>
        <v/>
      </c>
      <c r="BC920" s="35" t="str">
        <f aca="false">IF($B920="","",BA920-BB920)</f>
        <v/>
      </c>
      <c r="BD920" s="35" t="str">
        <f aca="false">IF(OR($B920="",$A920=""),"",DAY(EOMONTH($A920,0))-COUNTA($F920:$AJ920))</f>
        <v/>
      </c>
    </row>
    <row r="921" customFormat="false" ht="15" hidden="false" customHeight="false" outlineLevel="0" collapsed="false">
      <c r="A921" s="32"/>
      <c r="B921" s="29"/>
      <c r="C921" s="10" t="str">
        <f aca="false">IF($B921="","",IFERROR(INDEX(M_name,MATCH($B921,M_emp,0)),"Code not found"))</f>
        <v/>
      </c>
      <c r="D921" s="10" t="str">
        <f aca="false">IF($B921="","",IFERROR(INDEX(M_dept,MATCH($B921,M_emp,0)),""))</f>
        <v/>
      </c>
      <c r="E921" s="10" t="str">
        <f aca="false">IF($B921="","",IFERROR(INDEX(M_loc,MATCH($B921,M_emp,0)),""))</f>
        <v/>
      </c>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4" t="str">
        <f aca="false">IF($B921="","",COUNTIF($F921:$AJ921,"P"))</f>
        <v/>
      </c>
      <c r="AL921" s="34" t="str">
        <f aca="false">IF($B921="","",COUNTIF($F921:$AJ921,"A"))</f>
        <v/>
      </c>
      <c r="AM921" s="34" t="str">
        <f aca="false">IF($B921="","",COUNTIF($F921:$AJ921,"HA"))</f>
        <v/>
      </c>
      <c r="AN921" s="34" t="str">
        <f aca="false">IF($B921="","",COUNTIF($F921:$AJ921,"L"))</f>
        <v/>
      </c>
      <c r="AO921" s="34" t="str">
        <f aca="false">IF($B921="","",COUNTIF($F921:$AJ921,"PL"))</f>
        <v/>
      </c>
      <c r="AP921" s="34" t="str">
        <f aca="false">IF($B921="","",COUNTIF($F921:$AJ921,"CL"))</f>
        <v/>
      </c>
      <c r="AQ921" s="34" t="str">
        <f aca="false">IF($B921="","",COUNTIF($F921:$AJ921,"SL"))</f>
        <v/>
      </c>
      <c r="AR921" s="34" t="str">
        <f aca="false">IF($B921="","",COUNTIF($F921:$AJ921,"CO"))</f>
        <v/>
      </c>
      <c r="AS921" s="34" t="str">
        <f aca="false">IF($B921="","",COUNTIF($F921:$AJ921,"HPL"))</f>
        <v/>
      </c>
      <c r="AT921" s="34" t="str">
        <f aca="false">IF($B921="","",COUNTIF($F921:$AJ921,"HCL"))</f>
        <v/>
      </c>
      <c r="AU921" s="34" t="str">
        <f aca="false">IF($B921="","",COUNTIF($F921:$AJ921,"WO"))</f>
        <v/>
      </c>
      <c r="AV921" s="34" t="str">
        <f aca="false">IF($B921="","",COUNTIF($F921:$AJ921,"PH"))</f>
        <v/>
      </c>
      <c r="AW921" s="34" t="str">
        <f aca="false">IF($B921="","",COUNTIF($F921:$AJ921,"TR"))</f>
        <v/>
      </c>
      <c r="AX921" s="35" t="str">
        <f aca="false">IF($B921="","",AO921+AS921/2)</f>
        <v/>
      </c>
      <c r="AY921" s="35" t="str">
        <f aca="false">IF($B921="","",AQ921)</f>
        <v/>
      </c>
      <c r="AZ921" s="35" t="str">
        <f aca="false">IF($B921="","",AP921+AT921/2)</f>
        <v/>
      </c>
      <c r="BA921" s="35" t="str">
        <f aca="false">IF($B921="","",AK921+AN921+AM921/2+AO921+AP921+AQ921+AR921+AS921+AT921+AU921+AV921+AW921)</f>
        <v/>
      </c>
      <c r="BB921" s="35" t="str">
        <f aca="false">IF($B921="","",MAX(0,AN921-Settings!$C$16)*Settings!$C$17)</f>
        <v/>
      </c>
      <c r="BC921" s="35" t="str">
        <f aca="false">IF($B921="","",BA921-BB921)</f>
        <v/>
      </c>
      <c r="BD921" s="35" t="str">
        <f aca="false">IF(OR($B921="",$A921=""),"",DAY(EOMONTH($A921,0))-COUNTA($F921:$AJ921))</f>
        <v/>
      </c>
    </row>
    <row r="922" customFormat="false" ht="15" hidden="false" customHeight="false" outlineLevel="0" collapsed="false">
      <c r="A922" s="32"/>
      <c r="B922" s="29"/>
      <c r="C922" s="10" t="str">
        <f aca="false">IF($B922="","",IFERROR(INDEX(M_name,MATCH($B922,M_emp,0)),"Code not found"))</f>
        <v/>
      </c>
      <c r="D922" s="10" t="str">
        <f aca="false">IF($B922="","",IFERROR(INDEX(M_dept,MATCH($B922,M_emp,0)),""))</f>
        <v/>
      </c>
      <c r="E922" s="10" t="str">
        <f aca="false">IF($B922="","",IFERROR(INDEX(M_loc,MATCH($B922,M_emp,0)),""))</f>
        <v/>
      </c>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4" t="str">
        <f aca="false">IF($B922="","",COUNTIF($F922:$AJ922,"P"))</f>
        <v/>
      </c>
      <c r="AL922" s="34" t="str">
        <f aca="false">IF($B922="","",COUNTIF($F922:$AJ922,"A"))</f>
        <v/>
      </c>
      <c r="AM922" s="34" t="str">
        <f aca="false">IF($B922="","",COUNTIF($F922:$AJ922,"HA"))</f>
        <v/>
      </c>
      <c r="AN922" s="34" t="str">
        <f aca="false">IF($B922="","",COUNTIF($F922:$AJ922,"L"))</f>
        <v/>
      </c>
      <c r="AO922" s="34" t="str">
        <f aca="false">IF($B922="","",COUNTIF($F922:$AJ922,"PL"))</f>
        <v/>
      </c>
      <c r="AP922" s="34" t="str">
        <f aca="false">IF($B922="","",COUNTIF($F922:$AJ922,"CL"))</f>
        <v/>
      </c>
      <c r="AQ922" s="34" t="str">
        <f aca="false">IF($B922="","",COUNTIF($F922:$AJ922,"SL"))</f>
        <v/>
      </c>
      <c r="AR922" s="34" t="str">
        <f aca="false">IF($B922="","",COUNTIF($F922:$AJ922,"CO"))</f>
        <v/>
      </c>
      <c r="AS922" s="34" t="str">
        <f aca="false">IF($B922="","",COUNTIF($F922:$AJ922,"HPL"))</f>
        <v/>
      </c>
      <c r="AT922" s="34" t="str">
        <f aca="false">IF($B922="","",COUNTIF($F922:$AJ922,"HCL"))</f>
        <v/>
      </c>
      <c r="AU922" s="34" t="str">
        <f aca="false">IF($B922="","",COUNTIF($F922:$AJ922,"WO"))</f>
        <v/>
      </c>
      <c r="AV922" s="34" t="str">
        <f aca="false">IF($B922="","",COUNTIF($F922:$AJ922,"PH"))</f>
        <v/>
      </c>
      <c r="AW922" s="34" t="str">
        <f aca="false">IF($B922="","",COUNTIF($F922:$AJ922,"TR"))</f>
        <v/>
      </c>
      <c r="AX922" s="35" t="str">
        <f aca="false">IF($B922="","",AO922+AS922/2)</f>
        <v/>
      </c>
      <c r="AY922" s="35" t="str">
        <f aca="false">IF($B922="","",AQ922)</f>
        <v/>
      </c>
      <c r="AZ922" s="35" t="str">
        <f aca="false">IF($B922="","",AP922+AT922/2)</f>
        <v/>
      </c>
      <c r="BA922" s="35" t="str">
        <f aca="false">IF($B922="","",AK922+AN922+AM922/2+AO922+AP922+AQ922+AR922+AS922+AT922+AU922+AV922+AW922)</f>
        <v/>
      </c>
      <c r="BB922" s="35" t="str">
        <f aca="false">IF($B922="","",MAX(0,AN922-Settings!$C$16)*Settings!$C$17)</f>
        <v/>
      </c>
      <c r="BC922" s="35" t="str">
        <f aca="false">IF($B922="","",BA922-BB922)</f>
        <v/>
      </c>
      <c r="BD922" s="35" t="str">
        <f aca="false">IF(OR($B922="",$A922=""),"",DAY(EOMONTH($A922,0))-COUNTA($F922:$AJ922))</f>
        <v/>
      </c>
    </row>
    <row r="923" customFormat="false" ht="15" hidden="false" customHeight="false" outlineLevel="0" collapsed="false">
      <c r="A923" s="32"/>
      <c r="B923" s="29"/>
      <c r="C923" s="10" t="str">
        <f aca="false">IF($B923="","",IFERROR(INDEX(M_name,MATCH($B923,M_emp,0)),"Code not found"))</f>
        <v/>
      </c>
      <c r="D923" s="10" t="str">
        <f aca="false">IF($B923="","",IFERROR(INDEX(M_dept,MATCH($B923,M_emp,0)),""))</f>
        <v/>
      </c>
      <c r="E923" s="10" t="str">
        <f aca="false">IF($B923="","",IFERROR(INDEX(M_loc,MATCH($B923,M_emp,0)),""))</f>
        <v/>
      </c>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4" t="str">
        <f aca="false">IF($B923="","",COUNTIF($F923:$AJ923,"P"))</f>
        <v/>
      </c>
      <c r="AL923" s="34" t="str">
        <f aca="false">IF($B923="","",COUNTIF($F923:$AJ923,"A"))</f>
        <v/>
      </c>
      <c r="AM923" s="34" t="str">
        <f aca="false">IF($B923="","",COUNTIF($F923:$AJ923,"HA"))</f>
        <v/>
      </c>
      <c r="AN923" s="34" t="str">
        <f aca="false">IF($B923="","",COUNTIF($F923:$AJ923,"L"))</f>
        <v/>
      </c>
      <c r="AO923" s="34" t="str">
        <f aca="false">IF($B923="","",COUNTIF($F923:$AJ923,"PL"))</f>
        <v/>
      </c>
      <c r="AP923" s="34" t="str">
        <f aca="false">IF($B923="","",COUNTIF($F923:$AJ923,"CL"))</f>
        <v/>
      </c>
      <c r="AQ923" s="34" t="str">
        <f aca="false">IF($B923="","",COUNTIF($F923:$AJ923,"SL"))</f>
        <v/>
      </c>
      <c r="AR923" s="34" t="str">
        <f aca="false">IF($B923="","",COUNTIF($F923:$AJ923,"CO"))</f>
        <v/>
      </c>
      <c r="AS923" s="34" t="str">
        <f aca="false">IF($B923="","",COUNTIF($F923:$AJ923,"HPL"))</f>
        <v/>
      </c>
      <c r="AT923" s="34" t="str">
        <f aca="false">IF($B923="","",COUNTIF($F923:$AJ923,"HCL"))</f>
        <v/>
      </c>
      <c r="AU923" s="34" t="str">
        <f aca="false">IF($B923="","",COUNTIF($F923:$AJ923,"WO"))</f>
        <v/>
      </c>
      <c r="AV923" s="34" t="str">
        <f aca="false">IF($B923="","",COUNTIF($F923:$AJ923,"PH"))</f>
        <v/>
      </c>
      <c r="AW923" s="34" t="str">
        <f aca="false">IF($B923="","",COUNTIF($F923:$AJ923,"TR"))</f>
        <v/>
      </c>
      <c r="AX923" s="35" t="str">
        <f aca="false">IF($B923="","",AO923+AS923/2)</f>
        <v/>
      </c>
      <c r="AY923" s="35" t="str">
        <f aca="false">IF($B923="","",AQ923)</f>
        <v/>
      </c>
      <c r="AZ923" s="35" t="str">
        <f aca="false">IF($B923="","",AP923+AT923/2)</f>
        <v/>
      </c>
      <c r="BA923" s="35" t="str">
        <f aca="false">IF($B923="","",AK923+AN923+AM923/2+AO923+AP923+AQ923+AR923+AS923+AT923+AU923+AV923+AW923)</f>
        <v/>
      </c>
      <c r="BB923" s="35" t="str">
        <f aca="false">IF($B923="","",MAX(0,AN923-Settings!$C$16)*Settings!$C$17)</f>
        <v/>
      </c>
      <c r="BC923" s="35" t="str">
        <f aca="false">IF($B923="","",BA923-BB923)</f>
        <v/>
      </c>
      <c r="BD923" s="35" t="str">
        <f aca="false">IF(OR($B923="",$A923=""),"",DAY(EOMONTH($A923,0))-COUNTA($F923:$AJ923))</f>
        <v/>
      </c>
    </row>
    <row r="924" customFormat="false" ht="15" hidden="false" customHeight="false" outlineLevel="0" collapsed="false">
      <c r="A924" s="32"/>
      <c r="B924" s="29"/>
      <c r="C924" s="10" t="str">
        <f aca="false">IF($B924="","",IFERROR(INDEX(M_name,MATCH($B924,M_emp,0)),"Code not found"))</f>
        <v/>
      </c>
      <c r="D924" s="10" t="str">
        <f aca="false">IF($B924="","",IFERROR(INDEX(M_dept,MATCH($B924,M_emp,0)),""))</f>
        <v/>
      </c>
      <c r="E924" s="10" t="str">
        <f aca="false">IF($B924="","",IFERROR(INDEX(M_loc,MATCH($B924,M_emp,0)),""))</f>
        <v/>
      </c>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4" t="str">
        <f aca="false">IF($B924="","",COUNTIF($F924:$AJ924,"P"))</f>
        <v/>
      </c>
      <c r="AL924" s="34" t="str">
        <f aca="false">IF($B924="","",COUNTIF($F924:$AJ924,"A"))</f>
        <v/>
      </c>
      <c r="AM924" s="34" t="str">
        <f aca="false">IF($B924="","",COUNTIF($F924:$AJ924,"HA"))</f>
        <v/>
      </c>
      <c r="AN924" s="34" t="str">
        <f aca="false">IF($B924="","",COUNTIF($F924:$AJ924,"L"))</f>
        <v/>
      </c>
      <c r="AO924" s="34" t="str">
        <f aca="false">IF($B924="","",COUNTIF($F924:$AJ924,"PL"))</f>
        <v/>
      </c>
      <c r="AP924" s="34" t="str">
        <f aca="false">IF($B924="","",COUNTIF($F924:$AJ924,"CL"))</f>
        <v/>
      </c>
      <c r="AQ924" s="34" t="str">
        <f aca="false">IF($B924="","",COUNTIF($F924:$AJ924,"SL"))</f>
        <v/>
      </c>
      <c r="AR924" s="34" t="str">
        <f aca="false">IF($B924="","",COUNTIF($F924:$AJ924,"CO"))</f>
        <v/>
      </c>
      <c r="AS924" s="34" t="str">
        <f aca="false">IF($B924="","",COUNTIF($F924:$AJ924,"HPL"))</f>
        <v/>
      </c>
      <c r="AT924" s="34" t="str">
        <f aca="false">IF($B924="","",COUNTIF($F924:$AJ924,"HCL"))</f>
        <v/>
      </c>
      <c r="AU924" s="34" t="str">
        <f aca="false">IF($B924="","",COUNTIF($F924:$AJ924,"WO"))</f>
        <v/>
      </c>
      <c r="AV924" s="34" t="str">
        <f aca="false">IF($B924="","",COUNTIF($F924:$AJ924,"PH"))</f>
        <v/>
      </c>
      <c r="AW924" s="34" t="str">
        <f aca="false">IF($B924="","",COUNTIF($F924:$AJ924,"TR"))</f>
        <v/>
      </c>
      <c r="AX924" s="35" t="str">
        <f aca="false">IF($B924="","",AO924+AS924/2)</f>
        <v/>
      </c>
      <c r="AY924" s="35" t="str">
        <f aca="false">IF($B924="","",AQ924)</f>
        <v/>
      </c>
      <c r="AZ924" s="35" t="str">
        <f aca="false">IF($B924="","",AP924+AT924/2)</f>
        <v/>
      </c>
      <c r="BA924" s="35" t="str">
        <f aca="false">IF($B924="","",AK924+AN924+AM924/2+AO924+AP924+AQ924+AR924+AS924+AT924+AU924+AV924+AW924)</f>
        <v/>
      </c>
      <c r="BB924" s="35" t="str">
        <f aca="false">IF($B924="","",MAX(0,AN924-Settings!$C$16)*Settings!$C$17)</f>
        <v/>
      </c>
      <c r="BC924" s="35" t="str">
        <f aca="false">IF($B924="","",BA924-BB924)</f>
        <v/>
      </c>
      <c r="BD924" s="35" t="str">
        <f aca="false">IF(OR($B924="",$A924=""),"",DAY(EOMONTH($A924,0))-COUNTA($F924:$AJ924))</f>
        <v/>
      </c>
    </row>
    <row r="925" customFormat="false" ht="15" hidden="false" customHeight="false" outlineLevel="0" collapsed="false">
      <c r="A925" s="32"/>
      <c r="B925" s="29"/>
      <c r="C925" s="10" t="str">
        <f aca="false">IF($B925="","",IFERROR(INDEX(M_name,MATCH($B925,M_emp,0)),"Code not found"))</f>
        <v/>
      </c>
      <c r="D925" s="10" t="str">
        <f aca="false">IF($B925="","",IFERROR(INDEX(M_dept,MATCH($B925,M_emp,0)),""))</f>
        <v/>
      </c>
      <c r="E925" s="10" t="str">
        <f aca="false">IF($B925="","",IFERROR(INDEX(M_loc,MATCH($B925,M_emp,0)),""))</f>
        <v/>
      </c>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4" t="str">
        <f aca="false">IF($B925="","",COUNTIF($F925:$AJ925,"P"))</f>
        <v/>
      </c>
      <c r="AL925" s="34" t="str">
        <f aca="false">IF($B925="","",COUNTIF($F925:$AJ925,"A"))</f>
        <v/>
      </c>
      <c r="AM925" s="34" t="str">
        <f aca="false">IF($B925="","",COUNTIF($F925:$AJ925,"HA"))</f>
        <v/>
      </c>
      <c r="AN925" s="34" t="str">
        <f aca="false">IF($B925="","",COUNTIF($F925:$AJ925,"L"))</f>
        <v/>
      </c>
      <c r="AO925" s="34" t="str">
        <f aca="false">IF($B925="","",COUNTIF($F925:$AJ925,"PL"))</f>
        <v/>
      </c>
      <c r="AP925" s="34" t="str">
        <f aca="false">IF($B925="","",COUNTIF($F925:$AJ925,"CL"))</f>
        <v/>
      </c>
      <c r="AQ925" s="34" t="str">
        <f aca="false">IF($B925="","",COUNTIF($F925:$AJ925,"SL"))</f>
        <v/>
      </c>
      <c r="AR925" s="34" t="str">
        <f aca="false">IF($B925="","",COUNTIF($F925:$AJ925,"CO"))</f>
        <v/>
      </c>
      <c r="AS925" s="34" t="str">
        <f aca="false">IF($B925="","",COUNTIF($F925:$AJ925,"HPL"))</f>
        <v/>
      </c>
      <c r="AT925" s="34" t="str">
        <f aca="false">IF($B925="","",COUNTIF($F925:$AJ925,"HCL"))</f>
        <v/>
      </c>
      <c r="AU925" s="34" t="str">
        <f aca="false">IF($B925="","",COUNTIF($F925:$AJ925,"WO"))</f>
        <v/>
      </c>
      <c r="AV925" s="34" t="str">
        <f aca="false">IF($B925="","",COUNTIF($F925:$AJ925,"PH"))</f>
        <v/>
      </c>
      <c r="AW925" s="34" t="str">
        <f aca="false">IF($B925="","",COUNTIF($F925:$AJ925,"TR"))</f>
        <v/>
      </c>
      <c r="AX925" s="35" t="str">
        <f aca="false">IF($B925="","",AO925+AS925/2)</f>
        <v/>
      </c>
      <c r="AY925" s="35" t="str">
        <f aca="false">IF($B925="","",AQ925)</f>
        <v/>
      </c>
      <c r="AZ925" s="35" t="str">
        <f aca="false">IF($B925="","",AP925+AT925/2)</f>
        <v/>
      </c>
      <c r="BA925" s="35" t="str">
        <f aca="false">IF($B925="","",AK925+AN925+AM925/2+AO925+AP925+AQ925+AR925+AS925+AT925+AU925+AV925+AW925)</f>
        <v/>
      </c>
      <c r="BB925" s="35" t="str">
        <f aca="false">IF($B925="","",MAX(0,AN925-Settings!$C$16)*Settings!$C$17)</f>
        <v/>
      </c>
      <c r="BC925" s="35" t="str">
        <f aca="false">IF($B925="","",BA925-BB925)</f>
        <v/>
      </c>
      <c r="BD925" s="35" t="str">
        <f aca="false">IF(OR($B925="",$A925=""),"",DAY(EOMONTH($A925,0))-COUNTA($F925:$AJ925))</f>
        <v/>
      </c>
    </row>
    <row r="926" customFormat="false" ht="15" hidden="false" customHeight="false" outlineLevel="0" collapsed="false">
      <c r="A926" s="32"/>
      <c r="B926" s="29"/>
      <c r="C926" s="10" t="str">
        <f aca="false">IF($B926="","",IFERROR(INDEX(M_name,MATCH($B926,M_emp,0)),"Code not found"))</f>
        <v/>
      </c>
      <c r="D926" s="10" t="str">
        <f aca="false">IF($B926="","",IFERROR(INDEX(M_dept,MATCH($B926,M_emp,0)),""))</f>
        <v/>
      </c>
      <c r="E926" s="10" t="str">
        <f aca="false">IF($B926="","",IFERROR(INDEX(M_loc,MATCH($B926,M_emp,0)),""))</f>
        <v/>
      </c>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4" t="str">
        <f aca="false">IF($B926="","",COUNTIF($F926:$AJ926,"P"))</f>
        <v/>
      </c>
      <c r="AL926" s="34" t="str">
        <f aca="false">IF($B926="","",COUNTIF($F926:$AJ926,"A"))</f>
        <v/>
      </c>
      <c r="AM926" s="34" t="str">
        <f aca="false">IF($B926="","",COUNTIF($F926:$AJ926,"HA"))</f>
        <v/>
      </c>
      <c r="AN926" s="34" t="str">
        <f aca="false">IF($B926="","",COUNTIF($F926:$AJ926,"L"))</f>
        <v/>
      </c>
      <c r="AO926" s="34" t="str">
        <f aca="false">IF($B926="","",COUNTIF($F926:$AJ926,"PL"))</f>
        <v/>
      </c>
      <c r="AP926" s="34" t="str">
        <f aca="false">IF($B926="","",COUNTIF($F926:$AJ926,"CL"))</f>
        <v/>
      </c>
      <c r="AQ926" s="34" t="str">
        <f aca="false">IF($B926="","",COUNTIF($F926:$AJ926,"SL"))</f>
        <v/>
      </c>
      <c r="AR926" s="34" t="str">
        <f aca="false">IF($B926="","",COUNTIF($F926:$AJ926,"CO"))</f>
        <v/>
      </c>
      <c r="AS926" s="34" t="str">
        <f aca="false">IF($B926="","",COUNTIF($F926:$AJ926,"HPL"))</f>
        <v/>
      </c>
      <c r="AT926" s="34" t="str">
        <f aca="false">IF($B926="","",COUNTIF($F926:$AJ926,"HCL"))</f>
        <v/>
      </c>
      <c r="AU926" s="34" t="str">
        <f aca="false">IF($B926="","",COUNTIF($F926:$AJ926,"WO"))</f>
        <v/>
      </c>
      <c r="AV926" s="34" t="str">
        <f aca="false">IF($B926="","",COUNTIF($F926:$AJ926,"PH"))</f>
        <v/>
      </c>
      <c r="AW926" s="34" t="str">
        <f aca="false">IF($B926="","",COUNTIF($F926:$AJ926,"TR"))</f>
        <v/>
      </c>
      <c r="AX926" s="35" t="str">
        <f aca="false">IF($B926="","",AO926+AS926/2)</f>
        <v/>
      </c>
      <c r="AY926" s="35" t="str">
        <f aca="false">IF($B926="","",AQ926)</f>
        <v/>
      </c>
      <c r="AZ926" s="35" t="str">
        <f aca="false">IF($B926="","",AP926+AT926/2)</f>
        <v/>
      </c>
      <c r="BA926" s="35" t="str">
        <f aca="false">IF($B926="","",AK926+AN926+AM926/2+AO926+AP926+AQ926+AR926+AS926+AT926+AU926+AV926+AW926)</f>
        <v/>
      </c>
      <c r="BB926" s="35" t="str">
        <f aca="false">IF($B926="","",MAX(0,AN926-Settings!$C$16)*Settings!$C$17)</f>
        <v/>
      </c>
      <c r="BC926" s="35" t="str">
        <f aca="false">IF($B926="","",BA926-BB926)</f>
        <v/>
      </c>
      <c r="BD926" s="35" t="str">
        <f aca="false">IF(OR($B926="",$A926=""),"",DAY(EOMONTH($A926,0))-COUNTA($F926:$AJ926))</f>
        <v/>
      </c>
    </row>
    <row r="927" customFormat="false" ht="15" hidden="false" customHeight="false" outlineLevel="0" collapsed="false">
      <c r="A927" s="32"/>
      <c r="B927" s="29"/>
      <c r="C927" s="10" t="str">
        <f aca="false">IF($B927="","",IFERROR(INDEX(M_name,MATCH($B927,M_emp,0)),"Code not found"))</f>
        <v/>
      </c>
      <c r="D927" s="10" t="str">
        <f aca="false">IF($B927="","",IFERROR(INDEX(M_dept,MATCH($B927,M_emp,0)),""))</f>
        <v/>
      </c>
      <c r="E927" s="10" t="str">
        <f aca="false">IF($B927="","",IFERROR(INDEX(M_loc,MATCH($B927,M_emp,0)),""))</f>
        <v/>
      </c>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4" t="str">
        <f aca="false">IF($B927="","",COUNTIF($F927:$AJ927,"P"))</f>
        <v/>
      </c>
      <c r="AL927" s="34" t="str">
        <f aca="false">IF($B927="","",COUNTIF($F927:$AJ927,"A"))</f>
        <v/>
      </c>
      <c r="AM927" s="34" t="str">
        <f aca="false">IF($B927="","",COUNTIF($F927:$AJ927,"HA"))</f>
        <v/>
      </c>
      <c r="AN927" s="34" t="str">
        <f aca="false">IF($B927="","",COUNTIF($F927:$AJ927,"L"))</f>
        <v/>
      </c>
      <c r="AO927" s="34" t="str">
        <f aca="false">IF($B927="","",COUNTIF($F927:$AJ927,"PL"))</f>
        <v/>
      </c>
      <c r="AP927" s="34" t="str">
        <f aca="false">IF($B927="","",COUNTIF($F927:$AJ927,"CL"))</f>
        <v/>
      </c>
      <c r="AQ927" s="34" t="str">
        <f aca="false">IF($B927="","",COUNTIF($F927:$AJ927,"SL"))</f>
        <v/>
      </c>
      <c r="AR927" s="34" t="str">
        <f aca="false">IF($B927="","",COUNTIF($F927:$AJ927,"CO"))</f>
        <v/>
      </c>
      <c r="AS927" s="34" t="str">
        <f aca="false">IF($B927="","",COUNTIF($F927:$AJ927,"HPL"))</f>
        <v/>
      </c>
      <c r="AT927" s="34" t="str">
        <f aca="false">IF($B927="","",COUNTIF($F927:$AJ927,"HCL"))</f>
        <v/>
      </c>
      <c r="AU927" s="34" t="str">
        <f aca="false">IF($B927="","",COUNTIF($F927:$AJ927,"WO"))</f>
        <v/>
      </c>
      <c r="AV927" s="34" t="str">
        <f aca="false">IF($B927="","",COUNTIF($F927:$AJ927,"PH"))</f>
        <v/>
      </c>
      <c r="AW927" s="34" t="str">
        <f aca="false">IF($B927="","",COUNTIF($F927:$AJ927,"TR"))</f>
        <v/>
      </c>
      <c r="AX927" s="35" t="str">
        <f aca="false">IF($B927="","",AO927+AS927/2)</f>
        <v/>
      </c>
      <c r="AY927" s="35" t="str">
        <f aca="false">IF($B927="","",AQ927)</f>
        <v/>
      </c>
      <c r="AZ927" s="35" t="str">
        <f aca="false">IF($B927="","",AP927+AT927/2)</f>
        <v/>
      </c>
      <c r="BA927" s="35" t="str">
        <f aca="false">IF($B927="","",AK927+AN927+AM927/2+AO927+AP927+AQ927+AR927+AS927+AT927+AU927+AV927+AW927)</f>
        <v/>
      </c>
      <c r="BB927" s="35" t="str">
        <f aca="false">IF($B927="","",MAX(0,AN927-Settings!$C$16)*Settings!$C$17)</f>
        <v/>
      </c>
      <c r="BC927" s="35" t="str">
        <f aca="false">IF($B927="","",BA927-BB927)</f>
        <v/>
      </c>
      <c r="BD927" s="35" t="str">
        <f aca="false">IF(OR($B927="",$A927=""),"",DAY(EOMONTH($A927,0))-COUNTA($F927:$AJ927))</f>
        <v/>
      </c>
    </row>
    <row r="928" customFormat="false" ht="15" hidden="false" customHeight="false" outlineLevel="0" collapsed="false">
      <c r="A928" s="32"/>
      <c r="B928" s="29"/>
      <c r="C928" s="10" t="str">
        <f aca="false">IF($B928="","",IFERROR(INDEX(M_name,MATCH($B928,M_emp,0)),"Code not found"))</f>
        <v/>
      </c>
      <c r="D928" s="10" t="str">
        <f aca="false">IF($B928="","",IFERROR(INDEX(M_dept,MATCH($B928,M_emp,0)),""))</f>
        <v/>
      </c>
      <c r="E928" s="10" t="str">
        <f aca="false">IF($B928="","",IFERROR(INDEX(M_loc,MATCH($B928,M_emp,0)),""))</f>
        <v/>
      </c>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4" t="str">
        <f aca="false">IF($B928="","",COUNTIF($F928:$AJ928,"P"))</f>
        <v/>
      </c>
      <c r="AL928" s="34" t="str">
        <f aca="false">IF($B928="","",COUNTIF($F928:$AJ928,"A"))</f>
        <v/>
      </c>
      <c r="AM928" s="34" t="str">
        <f aca="false">IF($B928="","",COUNTIF($F928:$AJ928,"HA"))</f>
        <v/>
      </c>
      <c r="AN928" s="34" t="str">
        <f aca="false">IF($B928="","",COUNTIF($F928:$AJ928,"L"))</f>
        <v/>
      </c>
      <c r="AO928" s="34" t="str">
        <f aca="false">IF($B928="","",COUNTIF($F928:$AJ928,"PL"))</f>
        <v/>
      </c>
      <c r="AP928" s="34" t="str">
        <f aca="false">IF($B928="","",COUNTIF($F928:$AJ928,"CL"))</f>
        <v/>
      </c>
      <c r="AQ928" s="34" t="str">
        <f aca="false">IF($B928="","",COUNTIF($F928:$AJ928,"SL"))</f>
        <v/>
      </c>
      <c r="AR928" s="34" t="str">
        <f aca="false">IF($B928="","",COUNTIF($F928:$AJ928,"CO"))</f>
        <v/>
      </c>
      <c r="AS928" s="34" t="str">
        <f aca="false">IF($B928="","",COUNTIF($F928:$AJ928,"HPL"))</f>
        <v/>
      </c>
      <c r="AT928" s="34" t="str">
        <f aca="false">IF($B928="","",COUNTIF($F928:$AJ928,"HCL"))</f>
        <v/>
      </c>
      <c r="AU928" s="34" t="str">
        <f aca="false">IF($B928="","",COUNTIF($F928:$AJ928,"WO"))</f>
        <v/>
      </c>
      <c r="AV928" s="34" t="str">
        <f aca="false">IF($B928="","",COUNTIF($F928:$AJ928,"PH"))</f>
        <v/>
      </c>
      <c r="AW928" s="34" t="str">
        <f aca="false">IF($B928="","",COUNTIF($F928:$AJ928,"TR"))</f>
        <v/>
      </c>
      <c r="AX928" s="35" t="str">
        <f aca="false">IF($B928="","",AO928+AS928/2)</f>
        <v/>
      </c>
      <c r="AY928" s="35" t="str">
        <f aca="false">IF($B928="","",AQ928)</f>
        <v/>
      </c>
      <c r="AZ928" s="35" t="str">
        <f aca="false">IF($B928="","",AP928+AT928/2)</f>
        <v/>
      </c>
      <c r="BA928" s="35" t="str">
        <f aca="false">IF($B928="","",AK928+AN928+AM928/2+AO928+AP928+AQ928+AR928+AS928+AT928+AU928+AV928+AW928)</f>
        <v/>
      </c>
      <c r="BB928" s="35" t="str">
        <f aca="false">IF($B928="","",MAX(0,AN928-Settings!$C$16)*Settings!$C$17)</f>
        <v/>
      </c>
      <c r="BC928" s="35" t="str">
        <f aca="false">IF($B928="","",BA928-BB928)</f>
        <v/>
      </c>
      <c r="BD928" s="35" t="str">
        <f aca="false">IF(OR($B928="",$A928=""),"",DAY(EOMONTH($A928,0))-COUNTA($F928:$AJ928))</f>
        <v/>
      </c>
    </row>
    <row r="929" customFormat="false" ht="15" hidden="false" customHeight="false" outlineLevel="0" collapsed="false">
      <c r="A929" s="32"/>
      <c r="B929" s="29"/>
      <c r="C929" s="10" t="str">
        <f aca="false">IF($B929="","",IFERROR(INDEX(M_name,MATCH($B929,M_emp,0)),"Code not found"))</f>
        <v/>
      </c>
      <c r="D929" s="10" t="str">
        <f aca="false">IF($B929="","",IFERROR(INDEX(M_dept,MATCH($B929,M_emp,0)),""))</f>
        <v/>
      </c>
      <c r="E929" s="10" t="str">
        <f aca="false">IF($B929="","",IFERROR(INDEX(M_loc,MATCH($B929,M_emp,0)),""))</f>
        <v/>
      </c>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4" t="str">
        <f aca="false">IF($B929="","",COUNTIF($F929:$AJ929,"P"))</f>
        <v/>
      </c>
      <c r="AL929" s="34" t="str">
        <f aca="false">IF($B929="","",COUNTIF($F929:$AJ929,"A"))</f>
        <v/>
      </c>
      <c r="AM929" s="34" t="str">
        <f aca="false">IF($B929="","",COUNTIF($F929:$AJ929,"HA"))</f>
        <v/>
      </c>
      <c r="AN929" s="34" t="str">
        <f aca="false">IF($B929="","",COUNTIF($F929:$AJ929,"L"))</f>
        <v/>
      </c>
      <c r="AO929" s="34" t="str">
        <f aca="false">IF($B929="","",COUNTIF($F929:$AJ929,"PL"))</f>
        <v/>
      </c>
      <c r="AP929" s="34" t="str">
        <f aca="false">IF($B929="","",COUNTIF($F929:$AJ929,"CL"))</f>
        <v/>
      </c>
      <c r="AQ929" s="34" t="str">
        <f aca="false">IF($B929="","",COUNTIF($F929:$AJ929,"SL"))</f>
        <v/>
      </c>
      <c r="AR929" s="34" t="str">
        <f aca="false">IF($B929="","",COUNTIF($F929:$AJ929,"CO"))</f>
        <v/>
      </c>
      <c r="AS929" s="34" t="str">
        <f aca="false">IF($B929="","",COUNTIF($F929:$AJ929,"HPL"))</f>
        <v/>
      </c>
      <c r="AT929" s="34" t="str">
        <f aca="false">IF($B929="","",COUNTIF($F929:$AJ929,"HCL"))</f>
        <v/>
      </c>
      <c r="AU929" s="34" t="str">
        <f aca="false">IF($B929="","",COUNTIF($F929:$AJ929,"WO"))</f>
        <v/>
      </c>
      <c r="AV929" s="34" t="str">
        <f aca="false">IF($B929="","",COUNTIF($F929:$AJ929,"PH"))</f>
        <v/>
      </c>
      <c r="AW929" s="34" t="str">
        <f aca="false">IF($B929="","",COUNTIF($F929:$AJ929,"TR"))</f>
        <v/>
      </c>
      <c r="AX929" s="35" t="str">
        <f aca="false">IF($B929="","",AO929+AS929/2)</f>
        <v/>
      </c>
      <c r="AY929" s="35" t="str">
        <f aca="false">IF($B929="","",AQ929)</f>
        <v/>
      </c>
      <c r="AZ929" s="35" t="str">
        <f aca="false">IF($B929="","",AP929+AT929/2)</f>
        <v/>
      </c>
      <c r="BA929" s="35" t="str">
        <f aca="false">IF($B929="","",AK929+AN929+AM929/2+AO929+AP929+AQ929+AR929+AS929+AT929+AU929+AV929+AW929)</f>
        <v/>
      </c>
      <c r="BB929" s="35" t="str">
        <f aca="false">IF($B929="","",MAX(0,AN929-Settings!$C$16)*Settings!$C$17)</f>
        <v/>
      </c>
      <c r="BC929" s="35" t="str">
        <f aca="false">IF($B929="","",BA929-BB929)</f>
        <v/>
      </c>
      <c r="BD929" s="35" t="str">
        <f aca="false">IF(OR($B929="",$A929=""),"",DAY(EOMONTH($A929,0))-COUNTA($F929:$AJ929))</f>
        <v/>
      </c>
    </row>
    <row r="930" customFormat="false" ht="15" hidden="false" customHeight="false" outlineLevel="0" collapsed="false">
      <c r="A930" s="32"/>
      <c r="B930" s="29"/>
      <c r="C930" s="10" t="str">
        <f aca="false">IF($B930="","",IFERROR(INDEX(M_name,MATCH($B930,M_emp,0)),"Code not found"))</f>
        <v/>
      </c>
      <c r="D930" s="10" t="str">
        <f aca="false">IF($B930="","",IFERROR(INDEX(M_dept,MATCH($B930,M_emp,0)),""))</f>
        <v/>
      </c>
      <c r="E930" s="10" t="str">
        <f aca="false">IF($B930="","",IFERROR(INDEX(M_loc,MATCH($B930,M_emp,0)),""))</f>
        <v/>
      </c>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4" t="str">
        <f aca="false">IF($B930="","",COUNTIF($F930:$AJ930,"P"))</f>
        <v/>
      </c>
      <c r="AL930" s="34" t="str">
        <f aca="false">IF($B930="","",COUNTIF($F930:$AJ930,"A"))</f>
        <v/>
      </c>
      <c r="AM930" s="34" t="str">
        <f aca="false">IF($B930="","",COUNTIF($F930:$AJ930,"HA"))</f>
        <v/>
      </c>
      <c r="AN930" s="34" t="str">
        <f aca="false">IF($B930="","",COUNTIF($F930:$AJ930,"L"))</f>
        <v/>
      </c>
      <c r="AO930" s="34" t="str">
        <f aca="false">IF($B930="","",COUNTIF($F930:$AJ930,"PL"))</f>
        <v/>
      </c>
      <c r="AP930" s="34" t="str">
        <f aca="false">IF($B930="","",COUNTIF($F930:$AJ930,"CL"))</f>
        <v/>
      </c>
      <c r="AQ930" s="34" t="str">
        <f aca="false">IF($B930="","",COUNTIF($F930:$AJ930,"SL"))</f>
        <v/>
      </c>
      <c r="AR930" s="34" t="str">
        <f aca="false">IF($B930="","",COUNTIF($F930:$AJ930,"CO"))</f>
        <v/>
      </c>
      <c r="AS930" s="34" t="str">
        <f aca="false">IF($B930="","",COUNTIF($F930:$AJ930,"HPL"))</f>
        <v/>
      </c>
      <c r="AT930" s="34" t="str">
        <f aca="false">IF($B930="","",COUNTIF($F930:$AJ930,"HCL"))</f>
        <v/>
      </c>
      <c r="AU930" s="34" t="str">
        <f aca="false">IF($B930="","",COUNTIF($F930:$AJ930,"WO"))</f>
        <v/>
      </c>
      <c r="AV930" s="34" t="str">
        <f aca="false">IF($B930="","",COUNTIF($F930:$AJ930,"PH"))</f>
        <v/>
      </c>
      <c r="AW930" s="34" t="str">
        <f aca="false">IF($B930="","",COUNTIF($F930:$AJ930,"TR"))</f>
        <v/>
      </c>
      <c r="AX930" s="35" t="str">
        <f aca="false">IF($B930="","",AO930+AS930/2)</f>
        <v/>
      </c>
      <c r="AY930" s="35" t="str">
        <f aca="false">IF($B930="","",AQ930)</f>
        <v/>
      </c>
      <c r="AZ930" s="35" t="str">
        <f aca="false">IF($B930="","",AP930+AT930/2)</f>
        <v/>
      </c>
      <c r="BA930" s="35" t="str">
        <f aca="false">IF($B930="","",AK930+AN930+AM930/2+AO930+AP930+AQ930+AR930+AS930+AT930+AU930+AV930+AW930)</f>
        <v/>
      </c>
      <c r="BB930" s="35" t="str">
        <f aca="false">IF($B930="","",MAX(0,AN930-Settings!$C$16)*Settings!$C$17)</f>
        <v/>
      </c>
      <c r="BC930" s="35" t="str">
        <f aca="false">IF($B930="","",BA930-BB930)</f>
        <v/>
      </c>
      <c r="BD930" s="35" t="str">
        <f aca="false">IF(OR($B930="",$A930=""),"",DAY(EOMONTH($A930,0))-COUNTA($F930:$AJ930))</f>
        <v/>
      </c>
    </row>
    <row r="931" customFormat="false" ht="15" hidden="false" customHeight="false" outlineLevel="0" collapsed="false">
      <c r="A931" s="32"/>
      <c r="B931" s="29"/>
      <c r="C931" s="10" t="str">
        <f aca="false">IF($B931="","",IFERROR(INDEX(M_name,MATCH($B931,M_emp,0)),"Code not found"))</f>
        <v/>
      </c>
      <c r="D931" s="10" t="str">
        <f aca="false">IF($B931="","",IFERROR(INDEX(M_dept,MATCH($B931,M_emp,0)),""))</f>
        <v/>
      </c>
      <c r="E931" s="10" t="str">
        <f aca="false">IF($B931="","",IFERROR(INDEX(M_loc,MATCH($B931,M_emp,0)),""))</f>
        <v/>
      </c>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4" t="str">
        <f aca="false">IF($B931="","",COUNTIF($F931:$AJ931,"P"))</f>
        <v/>
      </c>
      <c r="AL931" s="34" t="str">
        <f aca="false">IF($B931="","",COUNTIF($F931:$AJ931,"A"))</f>
        <v/>
      </c>
      <c r="AM931" s="34" t="str">
        <f aca="false">IF($B931="","",COUNTIF($F931:$AJ931,"HA"))</f>
        <v/>
      </c>
      <c r="AN931" s="34" t="str">
        <f aca="false">IF($B931="","",COUNTIF($F931:$AJ931,"L"))</f>
        <v/>
      </c>
      <c r="AO931" s="34" t="str">
        <f aca="false">IF($B931="","",COUNTIF($F931:$AJ931,"PL"))</f>
        <v/>
      </c>
      <c r="AP931" s="34" t="str">
        <f aca="false">IF($B931="","",COUNTIF($F931:$AJ931,"CL"))</f>
        <v/>
      </c>
      <c r="AQ931" s="34" t="str">
        <f aca="false">IF($B931="","",COUNTIF($F931:$AJ931,"SL"))</f>
        <v/>
      </c>
      <c r="AR931" s="34" t="str">
        <f aca="false">IF($B931="","",COUNTIF($F931:$AJ931,"CO"))</f>
        <v/>
      </c>
      <c r="AS931" s="34" t="str">
        <f aca="false">IF($B931="","",COUNTIF($F931:$AJ931,"HPL"))</f>
        <v/>
      </c>
      <c r="AT931" s="34" t="str">
        <f aca="false">IF($B931="","",COUNTIF($F931:$AJ931,"HCL"))</f>
        <v/>
      </c>
      <c r="AU931" s="34" t="str">
        <f aca="false">IF($B931="","",COUNTIF($F931:$AJ931,"WO"))</f>
        <v/>
      </c>
      <c r="AV931" s="34" t="str">
        <f aca="false">IF($B931="","",COUNTIF($F931:$AJ931,"PH"))</f>
        <v/>
      </c>
      <c r="AW931" s="34" t="str">
        <f aca="false">IF($B931="","",COUNTIF($F931:$AJ931,"TR"))</f>
        <v/>
      </c>
      <c r="AX931" s="35" t="str">
        <f aca="false">IF($B931="","",AO931+AS931/2)</f>
        <v/>
      </c>
      <c r="AY931" s="35" t="str">
        <f aca="false">IF($B931="","",AQ931)</f>
        <v/>
      </c>
      <c r="AZ931" s="35" t="str">
        <f aca="false">IF($B931="","",AP931+AT931/2)</f>
        <v/>
      </c>
      <c r="BA931" s="35" t="str">
        <f aca="false">IF($B931="","",AK931+AN931+AM931/2+AO931+AP931+AQ931+AR931+AS931+AT931+AU931+AV931+AW931)</f>
        <v/>
      </c>
      <c r="BB931" s="35" t="str">
        <f aca="false">IF($B931="","",MAX(0,AN931-Settings!$C$16)*Settings!$C$17)</f>
        <v/>
      </c>
      <c r="BC931" s="35" t="str">
        <f aca="false">IF($B931="","",BA931-BB931)</f>
        <v/>
      </c>
      <c r="BD931" s="35" t="str">
        <f aca="false">IF(OR($B931="",$A931=""),"",DAY(EOMONTH($A931,0))-COUNTA($F931:$AJ931))</f>
        <v/>
      </c>
    </row>
    <row r="932" customFormat="false" ht="15" hidden="false" customHeight="false" outlineLevel="0" collapsed="false">
      <c r="A932" s="32"/>
      <c r="B932" s="29"/>
      <c r="C932" s="10" t="str">
        <f aca="false">IF($B932="","",IFERROR(INDEX(M_name,MATCH($B932,M_emp,0)),"Code not found"))</f>
        <v/>
      </c>
      <c r="D932" s="10" t="str">
        <f aca="false">IF($B932="","",IFERROR(INDEX(M_dept,MATCH($B932,M_emp,0)),""))</f>
        <v/>
      </c>
      <c r="E932" s="10" t="str">
        <f aca="false">IF($B932="","",IFERROR(INDEX(M_loc,MATCH($B932,M_emp,0)),""))</f>
        <v/>
      </c>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4" t="str">
        <f aca="false">IF($B932="","",COUNTIF($F932:$AJ932,"P"))</f>
        <v/>
      </c>
      <c r="AL932" s="34" t="str">
        <f aca="false">IF($B932="","",COUNTIF($F932:$AJ932,"A"))</f>
        <v/>
      </c>
      <c r="AM932" s="34" t="str">
        <f aca="false">IF($B932="","",COUNTIF($F932:$AJ932,"HA"))</f>
        <v/>
      </c>
      <c r="AN932" s="34" t="str">
        <f aca="false">IF($B932="","",COUNTIF($F932:$AJ932,"L"))</f>
        <v/>
      </c>
      <c r="AO932" s="34" t="str">
        <f aca="false">IF($B932="","",COUNTIF($F932:$AJ932,"PL"))</f>
        <v/>
      </c>
      <c r="AP932" s="34" t="str">
        <f aca="false">IF($B932="","",COUNTIF($F932:$AJ932,"CL"))</f>
        <v/>
      </c>
      <c r="AQ932" s="34" t="str">
        <f aca="false">IF($B932="","",COUNTIF($F932:$AJ932,"SL"))</f>
        <v/>
      </c>
      <c r="AR932" s="34" t="str">
        <f aca="false">IF($B932="","",COUNTIF($F932:$AJ932,"CO"))</f>
        <v/>
      </c>
      <c r="AS932" s="34" t="str">
        <f aca="false">IF($B932="","",COUNTIF($F932:$AJ932,"HPL"))</f>
        <v/>
      </c>
      <c r="AT932" s="34" t="str">
        <f aca="false">IF($B932="","",COUNTIF($F932:$AJ932,"HCL"))</f>
        <v/>
      </c>
      <c r="AU932" s="34" t="str">
        <f aca="false">IF($B932="","",COUNTIF($F932:$AJ932,"WO"))</f>
        <v/>
      </c>
      <c r="AV932" s="34" t="str">
        <f aca="false">IF($B932="","",COUNTIF($F932:$AJ932,"PH"))</f>
        <v/>
      </c>
      <c r="AW932" s="34" t="str">
        <f aca="false">IF($B932="","",COUNTIF($F932:$AJ932,"TR"))</f>
        <v/>
      </c>
      <c r="AX932" s="35" t="str">
        <f aca="false">IF($B932="","",AO932+AS932/2)</f>
        <v/>
      </c>
      <c r="AY932" s="35" t="str">
        <f aca="false">IF($B932="","",AQ932)</f>
        <v/>
      </c>
      <c r="AZ932" s="35" t="str">
        <f aca="false">IF($B932="","",AP932+AT932/2)</f>
        <v/>
      </c>
      <c r="BA932" s="35" t="str">
        <f aca="false">IF($B932="","",AK932+AN932+AM932/2+AO932+AP932+AQ932+AR932+AS932+AT932+AU932+AV932+AW932)</f>
        <v/>
      </c>
      <c r="BB932" s="35" t="str">
        <f aca="false">IF($B932="","",MAX(0,AN932-Settings!$C$16)*Settings!$C$17)</f>
        <v/>
      </c>
      <c r="BC932" s="35" t="str">
        <f aca="false">IF($B932="","",BA932-BB932)</f>
        <v/>
      </c>
      <c r="BD932" s="35" t="str">
        <f aca="false">IF(OR($B932="",$A932=""),"",DAY(EOMONTH($A932,0))-COUNTA($F932:$AJ932))</f>
        <v/>
      </c>
    </row>
    <row r="933" customFormat="false" ht="15" hidden="false" customHeight="false" outlineLevel="0" collapsed="false">
      <c r="A933" s="32"/>
      <c r="B933" s="29"/>
      <c r="C933" s="10" t="str">
        <f aca="false">IF($B933="","",IFERROR(INDEX(M_name,MATCH($B933,M_emp,0)),"Code not found"))</f>
        <v/>
      </c>
      <c r="D933" s="10" t="str">
        <f aca="false">IF($B933="","",IFERROR(INDEX(M_dept,MATCH($B933,M_emp,0)),""))</f>
        <v/>
      </c>
      <c r="E933" s="10" t="str">
        <f aca="false">IF($B933="","",IFERROR(INDEX(M_loc,MATCH($B933,M_emp,0)),""))</f>
        <v/>
      </c>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4" t="str">
        <f aca="false">IF($B933="","",COUNTIF($F933:$AJ933,"P"))</f>
        <v/>
      </c>
      <c r="AL933" s="34" t="str">
        <f aca="false">IF($B933="","",COUNTIF($F933:$AJ933,"A"))</f>
        <v/>
      </c>
      <c r="AM933" s="34" t="str">
        <f aca="false">IF($B933="","",COUNTIF($F933:$AJ933,"HA"))</f>
        <v/>
      </c>
      <c r="AN933" s="34" t="str">
        <f aca="false">IF($B933="","",COUNTIF($F933:$AJ933,"L"))</f>
        <v/>
      </c>
      <c r="AO933" s="34" t="str">
        <f aca="false">IF($B933="","",COUNTIF($F933:$AJ933,"PL"))</f>
        <v/>
      </c>
      <c r="AP933" s="34" t="str">
        <f aca="false">IF($B933="","",COUNTIF($F933:$AJ933,"CL"))</f>
        <v/>
      </c>
      <c r="AQ933" s="34" t="str">
        <f aca="false">IF($B933="","",COUNTIF($F933:$AJ933,"SL"))</f>
        <v/>
      </c>
      <c r="AR933" s="34" t="str">
        <f aca="false">IF($B933="","",COUNTIF($F933:$AJ933,"CO"))</f>
        <v/>
      </c>
      <c r="AS933" s="34" t="str">
        <f aca="false">IF($B933="","",COUNTIF($F933:$AJ933,"HPL"))</f>
        <v/>
      </c>
      <c r="AT933" s="34" t="str">
        <f aca="false">IF($B933="","",COUNTIF($F933:$AJ933,"HCL"))</f>
        <v/>
      </c>
      <c r="AU933" s="34" t="str">
        <f aca="false">IF($B933="","",COUNTIF($F933:$AJ933,"WO"))</f>
        <v/>
      </c>
      <c r="AV933" s="34" t="str">
        <f aca="false">IF($B933="","",COUNTIF($F933:$AJ933,"PH"))</f>
        <v/>
      </c>
      <c r="AW933" s="34" t="str">
        <f aca="false">IF($B933="","",COUNTIF($F933:$AJ933,"TR"))</f>
        <v/>
      </c>
      <c r="AX933" s="35" t="str">
        <f aca="false">IF($B933="","",AO933+AS933/2)</f>
        <v/>
      </c>
      <c r="AY933" s="35" t="str">
        <f aca="false">IF($B933="","",AQ933)</f>
        <v/>
      </c>
      <c r="AZ933" s="35" t="str">
        <f aca="false">IF($B933="","",AP933+AT933/2)</f>
        <v/>
      </c>
      <c r="BA933" s="35" t="str">
        <f aca="false">IF($B933="","",AK933+AN933+AM933/2+AO933+AP933+AQ933+AR933+AS933+AT933+AU933+AV933+AW933)</f>
        <v/>
      </c>
      <c r="BB933" s="35" t="str">
        <f aca="false">IF($B933="","",MAX(0,AN933-Settings!$C$16)*Settings!$C$17)</f>
        <v/>
      </c>
      <c r="BC933" s="35" t="str">
        <f aca="false">IF($B933="","",BA933-BB933)</f>
        <v/>
      </c>
      <c r="BD933" s="35" t="str">
        <f aca="false">IF(OR($B933="",$A933=""),"",DAY(EOMONTH($A933,0))-COUNTA($F933:$AJ933))</f>
        <v/>
      </c>
    </row>
    <row r="934" customFormat="false" ht="15" hidden="false" customHeight="false" outlineLevel="0" collapsed="false">
      <c r="A934" s="32"/>
      <c r="B934" s="29"/>
      <c r="C934" s="10" t="str">
        <f aca="false">IF($B934="","",IFERROR(INDEX(M_name,MATCH($B934,M_emp,0)),"Code not found"))</f>
        <v/>
      </c>
      <c r="D934" s="10" t="str">
        <f aca="false">IF($B934="","",IFERROR(INDEX(M_dept,MATCH($B934,M_emp,0)),""))</f>
        <v/>
      </c>
      <c r="E934" s="10" t="str">
        <f aca="false">IF($B934="","",IFERROR(INDEX(M_loc,MATCH($B934,M_emp,0)),""))</f>
        <v/>
      </c>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4" t="str">
        <f aca="false">IF($B934="","",COUNTIF($F934:$AJ934,"P"))</f>
        <v/>
      </c>
      <c r="AL934" s="34" t="str">
        <f aca="false">IF($B934="","",COUNTIF($F934:$AJ934,"A"))</f>
        <v/>
      </c>
      <c r="AM934" s="34" t="str">
        <f aca="false">IF($B934="","",COUNTIF($F934:$AJ934,"HA"))</f>
        <v/>
      </c>
      <c r="AN934" s="34" t="str">
        <f aca="false">IF($B934="","",COUNTIF($F934:$AJ934,"L"))</f>
        <v/>
      </c>
      <c r="AO934" s="34" t="str">
        <f aca="false">IF($B934="","",COUNTIF($F934:$AJ934,"PL"))</f>
        <v/>
      </c>
      <c r="AP934" s="34" t="str">
        <f aca="false">IF($B934="","",COUNTIF($F934:$AJ934,"CL"))</f>
        <v/>
      </c>
      <c r="AQ934" s="34" t="str">
        <f aca="false">IF($B934="","",COUNTIF($F934:$AJ934,"SL"))</f>
        <v/>
      </c>
      <c r="AR934" s="34" t="str">
        <f aca="false">IF($B934="","",COUNTIF($F934:$AJ934,"CO"))</f>
        <v/>
      </c>
      <c r="AS934" s="34" t="str">
        <f aca="false">IF($B934="","",COUNTIF($F934:$AJ934,"HPL"))</f>
        <v/>
      </c>
      <c r="AT934" s="34" t="str">
        <f aca="false">IF($B934="","",COUNTIF($F934:$AJ934,"HCL"))</f>
        <v/>
      </c>
      <c r="AU934" s="34" t="str">
        <f aca="false">IF($B934="","",COUNTIF($F934:$AJ934,"WO"))</f>
        <v/>
      </c>
      <c r="AV934" s="34" t="str">
        <f aca="false">IF($B934="","",COUNTIF($F934:$AJ934,"PH"))</f>
        <v/>
      </c>
      <c r="AW934" s="34" t="str">
        <f aca="false">IF($B934="","",COUNTIF($F934:$AJ934,"TR"))</f>
        <v/>
      </c>
      <c r="AX934" s="35" t="str">
        <f aca="false">IF($B934="","",AO934+AS934/2)</f>
        <v/>
      </c>
      <c r="AY934" s="35" t="str">
        <f aca="false">IF($B934="","",AQ934)</f>
        <v/>
      </c>
      <c r="AZ934" s="35" t="str">
        <f aca="false">IF($B934="","",AP934+AT934/2)</f>
        <v/>
      </c>
      <c r="BA934" s="35" t="str">
        <f aca="false">IF($B934="","",AK934+AN934+AM934/2+AO934+AP934+AQ934+AR934+AS934+AT934+AU934+AV934+AW934)</f>
        <v/>
      </c>
      <c r="BB934" s="35" t="str">
        <f aca="false">IF($B934="","",MAX(0,AN934-Settings!$C$16)*Settings!$C$17)</f>
        <v/>
      </c>
      <c r="BC934" s="35" t="str">
        <f aca="false">IF($B934="","",BA934-BB934)</f>
        <v/>
      </c>
      <c r="BD934" s="35" t="str">
        <f aca="false">IF(OR($B934="",$A934=""),"",DAY(EOMONTH($A934,0))-COUNTA($F934:$AJ934))</f>
        <v/>
      </c>
    </row>
    <row r="935" customFormat="false" ht="15" hidden="false" customHeight="false" outlineLevel="0" collapsed="false">
      <c r="A935" s="32"/>
      <c r="B935" s="29"/>
      <c r="C935" s="10" t="str">
        <f aca="false">IF($B935="","",IFERROR(INDEX(M_name,MATCH($B935,M_emp,0)),"Code not found"))</f>
        <v/>
      </c>
      <c r="D935" s="10" t="str">
        <f aca="false">IF($B935="","",IFERROR(INDEX(M_dept,MATCH($B935,M_emp,0)),""))</f>
        <v/>
      </c>
      <c r="E935" s="10" t="str">
        <f aca="false">IF($B935="","",IFERROR(INDEX(M_loc,MATCH($B935,M_emp,0)),""))</f>
        <v/>
      </c>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4" t="str">
        <f aca="false">IF($B935="","",COUNTIF($F935:$AJ935,"P"))</f>
        <v/>
      </c>
      <c r="AL935" s="34" t="str">
        <f aca="false">IF($B935="","",COUNTIF($F935:$AJ935,"A"))</f>
        <v/>
      </c>
      <c r="AM935" s="34" t="str">
        <f aca="false">IF($B935="","",COUNTIF($F935:$AJ935,"HA"))</f>
        <v/>
      </c>
      <c r="AN935" s="34" t="str">
        <f aca="false">IF($B935="","",COUNTIF($F935:$AJ935,"L"))</f>
        <v/>
      </c>
      <c r="AO935" s="34" t="str">
        <f aca="false">IF($B935="","",COUNTIF($F935:$AJ935,"PL"))</f>
        <v/>
      </c>
      <c r="AP935" s="34" t="str">
        <f aca="false">IF($B935="","",COUNTIF($F935:$AJ935,"CL"))</f>
        <v/>
      </c>
      <c r="AQ935" s="34" t="str">
        <f aca="false">IF($B935="","",COUNTIF($F935:$AJ935,"SL"))</f>
        <v/>
      </c>
      <c r="AR935" s="34" t="str">
        <f aca="false">IF($B935="","",COUNTIF($F935:$AJ935,"CO"))</f>
        <v/>
      </c>
      <c r="AS935" s="34" t="str">
        <f aca="false">IF($B935="","",COUNTIF($F935:$AJ935,"HPL"))</f>
        <v/>
      </c>
      <c r="AT935" s="34" t="str">
        <f aca="false">IF($B935="","",COUNTIF($F935:$AJ935,"HCL"))</f>
        <v/>
      </c>
      <c r="AU935" s="34" t="str">
        <f aca="false">IF($B935="","",COUNTIF($F935:$AJ935,"WO"))</f>
        <v/>
      </c>
      <c r="AV935" s="34" t="str">
        <f aca="false">IF($B935="","",COUNTIF($F935:$AJ935,"PH"))</f>
        <v/>
      </c>
      <c r="AW935" s="34" t="str">
        <f aca="false">IF($B935="","",COUNTIF($F935:$AJ935,"TR"))</f>
        <v/>
      </c>
      <c r="AX935" s="35" t="str">
        <f aca="false">IF($B935="","",AO935+AS935/2)</f>
        <v/>
      </c>
      <c r="AY935" s="35" t="str">
        <f aca="false">IF($B935="","",AQ935)</f>
        <v/>
      </c>
      <c r="AZ935" s="35" t="str">
        <f aca="false">IF($B935="","",AP935+AT935/2)</f>
        <v/>
      </c>
      <c r="BA935" s="35" t="str">
        <f aca="false">IF($B935="","",AK935+AN935+AM935/2+AO935+AP935+AQ935+AR935+AS935+AT935+AU935+AV935+AW935)</f>
        <v/>
      </c>
      <c r="BB935" s="35" t="str">
        <f aca="false">IF($B935="","",MAX(0,AN935-Settings!$C$16)*Settings!$C$17)</f>
        <v/>
      </c>
      <c r="BC935" s="35" t="str">
        <f aca="false">IF($B935="","",BA935-BB935)</f>
        <v/>
      </c>
      <c r="BD935" s="35" t="str">
        <f aca="false">IF(OR($B935="",$A935=""),"",DAY(EOMONTH($A935,0))-COUNTA($F935:$AJ935))</f>
        <v/>
      </c>
    </row>
    <row r="936" customFormat="false" ht="15" hidden="false" customHeight="false" outlineLevel="0" collapsed="false">
      <c r="A936" s="32"/>
      <c r="B936" s="29"/>
      <c r="C936" s="10" t="str">
        <f aca="false">IF($B936="","",IFERROR(INDEX(M_name,MATCH($B936,M_emp,0)),"Code not found"))</f>
        <v/>
      </c>
      <c r="D936" s="10" t="str">
        <f aca="false">IF($B936="","",IFERROR(INDEX(M_dept,MATCH($B936,M_emp,0)),""))</f>
        <v/>
      </c>
      <c r="E936" s="10" t="str">
        <f aca="false">IF($B936="","",IFERROR(INDEX(M_loc,MATCH($B936,M_emp,0)),""))</f>
        <v/>
      </c>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4" t="str">
        <f aca="false">IF($B936="","",COUNTIF($F936:$AJ936,"P"))</f>
        <v/>
      </c>
      <c r="AL936" s="34" t="str">
        <f aca="false">IF($B936="","",COUNTIF($F936:$AJ936,"A"))</f>
        <v/>
      </c>
      <c r="AM936" s="34" t="str">
        <f aca="false">IF($B936="","",COUNTIF($F936:$AJ936,"HA"))</f>
        <v/>
      </c>
      <c r="AN936" s="34" t="str">
        <f aca="false">IF($B936="","",COUNTIF($F936:$AJ936,"L"))</f>
        <v/>
      </c>
      <c r="AO936" s="34" t="str">
        <f aca="false">IF($B936="","",COUNTIF($F936:$AJ936,"PL"))</f>
        <v/>
      </c>
      <c r="AP936" s="34" t="str">
        <f aca="false">IF($B936="","",COUNTIF($F936:$AJ936,"CL"))</f>
        <v/>
      </c>
      <c r="AQ936" s="34" t="str">
        <f aca="false">IF($B936="","",COUNTIF($F936:$AJ936,"SL"))</f>
        <v/>
      </c>
      <c r="AR936" s="34" t="str">
        <f aca="false">IF($B936="","",COUNTIF($F936:$AJ936,"CO"))</f>
        <v/>
      </c>
      <c r="AS936" s="34" t="str">
        <f aca="false">IF($B936="","",COUNTIF($F936:$AJ936,"HPL"))</f>
        <v/>
      </c>
      <c r="AT936" s="34" t="str">
        <f aca="false">IF($B936="","",COUNTIF($F936:$AJ936,"HCL"))</f>
        <v/>
      </c>
      <c r="AU936" s="34" t="str">
        <f aca="false">IF($B936="","",COUNTIF($F936:$AJ936,"WO"))</f>
        <v/>
      </c>
      <c r="AV936" s="34" t="str">
        <f aca="false">IF($B936="","",COUNTIF($F936:$AJ936,"PH"))</f>
        <v/>
      </c>
      <c r="AW936" s="34" t="str">
        <f aca="false">IF($B936="","",COUNTIF($F936:$AJ936,"TR"))</f>
        <v/>
      </c>
      <c r="AX936" s="35" t="str">
        <f aca="false">IF($B936="","",AO936+AS936/2)</f>
        <v/>
      </c>
      <c r="AY936" s="35" t="str">
        <f aca="false">IF($B936="","",AQ936)</f>
        <v/>
      </c>
      <c r="AZ936" s="35" t="str">
        <f aca="false">IF($B936="","",AP936+AT936/2)</f>
        <v/>
      </c>
      <c r="BA936" s="35" t="str">
        <f aca="false">IF($B936="","",AK936+AN936+AM936/2+AO936+AP936+AQ936+AR936+AS936+AT936+AU936+AV936+AW936)</f>
        <v/>
      </c>
      <c r="BB936" s="35" t="str">
        <f aca="false">IF($B936="","",MAX(0,AN936-Settings!$C$16)*Settings!$C$17)</f>
        <v/>
      </c>
      <c r="BC936" s="35" t="str">
        <f aca="false">IF($B936="","",BA936-BB936)</f>
        <v/>
      </c>
      <c r="BD936" s="35" t="str">
        <f aca="false">IF(OR($B936="",$A936=""),"",DAY(EOMONTH($A936,0))-COUNTA($F936:$AJ936))</f>
        <v/>
      </c>
    </row>
    <row r="937" customFormat="false" ht="15" hidden="false" customHeight="false" outlineLevel="0" collapsed="false">
      <c r="A937" s="32"/>
      <c r="B937" s="29"/>
      <c r="C937" s="10" t="str">
        <f aca="false">IF($B937="","",IFERROR(INDEX(M_name,MATCH($B937,M_emp,0)),"Code not found"))</f>
        <v/>
      </c>
      <c r="D937" s="10" t="str">
        <f aca="false">IF($B937="","",IFERROR(INDEX(M_dept,MATCH($B937,M_emp,0)),""))</f>
        <v/>
      </c>
      <c r="E937" s="10" t="str">
        <f aca="false">IF($B937="","",IFERROR(INDEX(M_loc,MATCH($B937,M_emp,0)),""))</f>
        <v/>
      </c>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4" t="str">
        <f aca="false">IF($B937="","",COUNTIF($F937:$AJ937,"P"))</f>
        <v/>
      </c>
      <c r="AL937" s="34" t="str">
        <f aca="false">IF($B937="","",COUNTIF($F937:$AJ937,"A"))</f>
        <v/>
      </c>
      <c r="AM937" s="34" t="str">
        <f aca="false">IF($B937="","",COUNTIF($F937:$AJ937,"HA"))</f>
        <v/>
      </c>
      <c r="AN937" s="34" t="str">
        <f aca="false">IF($B937="","",COUNTIF($F937:$AJ937,"L"))</f>
        <v/>
      </c>
      <c r="AO937" s="34" t="str">
        <f aca="false">IF($B937="","",COUNTIF($F937:$AJ937,"PL"))</f>
        <v/>
      </c>
      <c r="AP937" s="34" t="str">
        <f aca="false">IF($B937="","",COUNTIF($F937:$AJ937,"CL"))</f>
        <v/>
      </c>
      <c r="AQ937" s="34" t="str">
        <f aca="false">IF($B937="","",COUNTIF($F937:$AJ937,"SL"))</f>
        <v/>
      </c>
      <c r="AR937" s="34" t="str">
        <f aca="false">IF($B937="","",COUNTIF($F937:$AJ937,"CO"))</f>
        <v/>
      </c>
      <c r="AS937" s="34" t="str">
        <f aca="false">IF($B937="","",COUNTIF($F937:$AJ937,"HPL"))</f>
        <v/>
      </c>
      <c r="AT937" s="34" t="str">
        <f aca="false">IF($B937="","",COUNTIF($F937:$AJ937,"HCL"))</f>
        <v/>
      </c>
      <c r="AU937" s="34" t="str">
        <f aca="false">IF($B937="","",COUNTIF($F937:$AJ937,"WO"))</f>
        <v/>
      </c>
      <c r="AV937" s="34" t="str">
        <f aca="false">IF($B937="","",COUNTIF($F937:$AJ937,"PH"))</f>
        <v/>
      </c>
      <c r="AW937" s="34" t="str">
        <f aca="false">IF($B937="","",COUNTIF($F937:$AJ937,"TR"))</f>
        <v/>
      </c>
      <c r="AX937" s="35" t="str">
        <f aca="false">IF($B937="","",AO937+AS937/2)</f>
        <v/>
      </c>
      <c r="AY937" s="35" t="str">
        <f aca="false">IF($B937="","",AQ937)</f>
        <v/>
      </c>
      <c r="AZ937" s="35" t="str">
        <f aca="false">IF($B937="","",AP937+AT937/2)</f>
        <v/>
      </c>
      <c r="BA937" s="35" t="str">
        <f aca="false">IF($B937="","",AK937+AN937+AM937/2+AO937+AP937+AQ937+AR937+AS937+AT937+AU937+AV937+AW937)</f>
        <v/>
      </c>
      <c r="BB937" s="35" t="str">
        <f aca="false">IF($B937="","",MAX(0,AN937-Settings!$C$16)*Settings!$C$17)</f>
        <v/>
      </c>
      <c r="BC937" s="35" t="str">
        <f aca="false">IF($B937="","",BA937-BB937)</f>
        <v/>
      </c>
      <c r="BD937" s="35" t="str">
        <f aca="false">IF(OR($B937="",$A937=""),"",DAY(EOMONTH($A937,0))-COUNTA($F937:$AJ937))</f>
        <v/>
      </c>
    </row>
    <row r="938" customFormat="false" ht="15" hidden="false" customHeight="false" outlineLevel="0" collapsed="false">
      <c r="A938" s="32"/>
      <c r="B938" s="29"/>
      <c r="C938" s="10" t="str">
        <f aca="false">IF($B938="","",IFERROR(INDEX(M_name,MATCH($B938,M_emp,0)),"Code not found"))</f>
        <v/>
      </c>
      <c r="D938" s="10" t="str">
        <f aca="false">IF($B938="","",IFERROR(INDEX(M_dept,MATCH($B938,M_emp,0)),""))</f>
        <v/>
      </c>
      <c r="E938" s="10" t="str">
        <f aca="false">IF($B938="","",IFERROR(INDEX(M_loc,MATCH($B938,M_emp,0)),""))</f>
        <v/>
      </c>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4" t="str">
        <f aca="false">IF($B938="","",COUNTIF($F938:$AJ938,"P"))</f>
        <v/>
      </c>
      <c r="AL938" s="34" t="str">
        <f aca="false">IF($B938="","",COUNTIF($F938:$AJ938,"A"))</f>
        <v/>
      </c>
      <c r="AM938" s="34" t="str">
        <f aca="false">IF($B938="","",COUNTIF($F938:$AJ938,"HA"))</f>
        <v/>
      </c>
      <c r="AN938" s="34" t="str">
        <f aca="false">IF($B938="","",COUNTIF($F938:$AJ938,"L"))</f>
        <v/>
      </c>
      <c r="AO938" s="34" t="str">
        <f aca="false">IF($B938="","",COUNTIF($F938:$AJ938,"PL"))</f>
        <v/>
      </c>
      <c r="AP938" s="34" t="str">
        <f aca="false">IF($B938="","",COUNTIF($F938:$AJ938,"CL"))</f>
        <v/>
      </c>
      <c r="AQ938" s="34" t="str">
        <f aca="false">IF($B938="","",COUNTIF($F938:$AJ938,"SL"))</f>
        <v/>
      </c>
      <c r="AR938" s="34" t="str">
        <f aca="false">IF($B938="","",COUNTIF($F938:$AJ938,"CO"))</f>
        <v/>
      </c>
      <c r="AS938" s="34" t="str">
        <f aca="false">IF($B938="","",COUNTIF($F938:$AJ938,"HPL"))</f>
        <v/>
      </c>
      <c r="AT938" s="34" t="str">
        <f aca="false">IF($B938="","",COUNTIF($F938:$AJ938,"HCL"))</f>
        <v/>
      </c>
      <c r="AU938" s="34" t="str">
        <f aca="false">IF($B938="","",COUNTIF($F938:$AJ938,"WO"))</f>
        <v/>
      </c>
      <c r="AV938" s="34" t="str">
        <f aca="false">IF($B938="","",COUNTIF($F938:$AJ938,"PH"))</f>
        <v/>
      </c>
      <c r="AW938" s="34" t="str">
        <f aca="false">IF($B938="","",COUNTIF($F938:$AJ938,"TR"))</f>
        <v/>
      </c>
      <c r="AX938" s="35" t="str">
        <f aca="false">IF($B938="","",AO938+AS938/2)</f>
        <v/>
      </c>
      <c r="AY938" s="35" t="str">
        <f aca="false">IF($B938="","",AQ938)</f>
        <v/>
      </c>
      <c r="AZ938" s="35" t="str">
        <f aca="false">IF($B938="","",AP938+AT938/2)</f>
        <v/>
      </c>
      <c r="BA938" s="35" t="str">
        <f aca="false">IF($B938="","",AK938+AN938+AM938/2+AO938+AP938+AQ938+AR938+AS938+AT938+AU938+AV938+AW938)</f>
        <v/>
      </c>
      <c r="BB938" s="35" t="str">
        <f aca="false">IF($B938="","",MAX(0,AN938-Settings!$C$16)*Settings!$C$17)</f>
        <v/>
      </c>
      <c r="BC938" s="35" t="str">
        <f aca="false">IF($B938="","",BA938-BB938)</f>
        <v/>
      </c>
      <c r="BD938" s="35" t="str">
        <f aca="false">IF(OR($B938="",$A938=""),"",DAY(EOMONTH($A938,0))-COUNTA($F938:$AJ938))</f>
        <v/>
      </c>
    </row>
    <row r="939" customFormat="false" ht="15" hidden="false" customHeight="false" outlineLevel="0" collapsed="false">
      <c r="A939" s="32"/>
      <c r="B939" s="29"/>
      <c r="C939" s="10" t="str">
        <f aca="false">IF($B939="","",IFERROR(INDEX(M_name,MATCH($B939,M_emp,0)),"Code not found"))</f>
        <v/>
      </c>
      <c r="D939" s="10" t="str">
        <f aca="false">IF($B939="","",IFERROR(INDEX(M_dept,MATCH($B939,M_emp,0)),""))</f>
        <v/>
      </c>
      <c r="E939" s="10" t="str">
        <f aca="false">IF($B939="","",IFERROR(INDEX(M_loc,MATCH($B939,M_emp,0)),""))</f>
        <v/>
      </c>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4" t="str">
        <f aca="false">IF($B939="","",COUNTIF($F939:$AJ939,"P"))</f>
        <v/>
      </c>
      <c r="AL939" s="34" t="str">
        <f aca="false">IF($B939="","",COUNTIF($F939:$AJ939,"A"))</f>
        <v/>
      </c>
      <c r="AM939" s="34" t="str">
        <f aca="false">IF($B939="","",COUNTIF($F939:$AJ939,"HA"))</f>
        <v/>
      </c>
      <c r="AN939" s="34" t="str">
        <f aca="false">IF($B939="","",COUNTIF($F939:$AJ939,"L"))</f>
        <v/>
      </c>
      <c r="AO939" s="34" t="str">
        <f aca="false">IF($B939="","",COUNTIF($F939:$AJ939,"PL"))</f>
        <v/>
      </c>
      <c r="AP939" s="34" t="str">
        <f aca="false">IF($B939="","",COUNTIF($F939:$AJ939,"CL"))</f>
        <v/>
      </c>
      <c r="AQ939" s="34" t="str">
        <f aca="false">IF($B939="","",COUNTIF($F939:$AJ939,"SL"))</f>
        <v/>
      </c>
      <c r="AR939" s="34" t="str">
        <f aca="false">IF($B939="","",COUNTIF($F939:$AJ939,"CO"))</f>
        <v/>
      </c>
      <c r="AS939" s="34" t="str">
        <f aca="false">IF($B939="","",COUNTIF($F939:$AJ939,"HPL"))</f>
        <v/>
      </c>
      <c r="AT939" s="34" t="str">
        <f aca="false">IF($B939="","",COUNTIF($F939:$AJ939,"HCL"))</f>
        <v/>
      </c>
      <c r="AU939" s="34" t="str">
        <f aca="false">IF($B939="","",COUNTIF($F939:$AJ939,"WO"))</f>
        <v/>
      </c>
      <c r="AV939" s="34" t="str">
        <f aca="false">IF($B939="","",COUNTIF($F939:$AJ939,"PH"))</f>
        <v/>
      </c>
      <c r="AW939" s="34" t="str">
        <f aca="false">IF($B939="","",COUNTIF($F939:$AJ939,"TR"))</f>
        <v/>
      </c>
      <c r="AX939" s="35" t="str">
        <f aca="false">IF($B939="","",AO939+AS939/2)</f>
        <v/>
      </c>
      <c r="AY939" s="35" t="str">
        <f aca="false">IF($B939="","",AQ939)</f>
        <v/>
      </c>
      <c r="AZ939" s="35" t="str">
        <f aca="false">IF($B939="","",AP939+AT939/2)</f>
        <v/>
      </c>
      <c r="BA939" s="35" t="str">
        <f aca="false">IF($B939="","",AK939+AN939+AM939/2+AO939+AP939+AQ939+AR939+AS939+AT939+AU939+AV939+AW939)</f>
        <v/>
      </c>
      <c r="BB939" s="35" t="str">
        <f aca="false">IF($B939="","",MAX(0,AN939-Settings!$C$16)*Settings!$C$17)</f>
        <v/>
      </c>
      <c r="BC939" s="35" t="str">
        <f aca="false">IF($B939="","",BA939-BB939)</f>
        <v/>
      </c>
      <c r="BD939" s="35" t="str">
        <f aca="false">IF(OR($B939="",$A939=""),"",DAY(EOMONTH($A939,0))-COUNTA($F939:$AJ939))</f>
        <v/>
      </c>
    </row>
    <row r="940" customFormat="false" ht="15" hidden="false" customHeight="false" outlineLevel="0" collapsed="false">
      <c r="A940" s="32"/>
      <c r="B940" s="29"/>
      <c r="C940" s="10" t="str">
        <f aca="false">IF($B940="","",IFERROR(INDEX(M_name,MATCH($B940,M_emp,0)),"Code not found"))</f>
        <v/>
      </c>
      <c r="D940" s="10" t="str">
        <f aca="false">IF($B940="","",IFERROR(INDEX(M_dept,MATCH($B940,M_emp,0)),""))</f>
        <v/>
      </c>
      <c r="E940" s="10" t="str">
        <f aca="false">IF($B940="","",IFERROR(INDEX(M_loc,MATCH($B940,M_emp,0)),""))</f>
        <v/>
      </c>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4" t="str">
        <f aca="false">IF($B940="","",COUNTIF($F940:$AJ940,"P"))</f>
        <v/>
      </c>
      <c r="AL940" s="34" t="str">
        <f aca="false">IF($B940="","",COUNTIF($F940:$AJ940,"A"))</f>
        <v/>
      </c>
      <c r="AM940" s="34" t="str">
        <f aca="false">IF($B940="","",COUNTIF($F940:$AJ940,"HA"))</f>
        <v/>
      </c>
      <c r="AN940" s="34" t="str">
        <f aca="false">IF($B940="","",COUNTIF($F940:$AJ940,"L"))</f>
        <v/>
      </c>
      <c r="AO940" s="34" t="str">
        <f aca="false">IF($B940="","",COUNTIF($F940:$AJ940,"PL"))</f>
        <v/>
      </c>
      <c r="AP940" s="34" t="str">
        <f aca="false">IF($B940="","",COUNTIF($F940:$AJ940,"CL"))</f>
        <v/>
      </c>
      <c r="AQ940" s="34" t="str">
        <f aca="false">IF($B940="","",COUNTIF($F940:$AJ940,"SL"))</f>
        <v/>
      </c>
      <c r="AR940" s="34" t="str">
        <f aca="false">IF($B940="","",COUNTIF($F940:$AJ940,"CO"))</f>
        <v/>
      </c>
      <c r="AS940" s="34" t="str">
        <f aca="false">IF($B940="","",COUNTIF($F940:$AJ940,"HPL"))</f>
        <v/>
      </c>
      <c r="AT940" s="34" t="str">
        <f aca="false">IF($B940="","",COUNTIF($F940:$AJ940,"HCL"))</f>
        <v/>
      </c>
      <c r="AU940" s="34" t="str">
        <f aca="false">IF($B940="","",COUNTIF($F940:$AJ940,"WO"))</f>
        <v/>
      </c>
      <c r="AV940" s="34" t="str">
        <f aca="false">IF($B940="","",COUNTIF($F940:$AJ940,"PH"))</f>
        <v/>
      </c>
      <c r="AW940" s="34" t="str">
        <f aca="false">IF($B940="","",COUNTIF($F940:$AJ940,"TR"))</f>
        <v/>
      </c>
      <c r="AX940" s="35" t="str">
        <f aca="false">IF($B940="","",AO940+AS940/2)</f>
        <v/>
      </c>
      <c r="AY940" s="35" t="str">
        <f aca="false">IF($B940="","",AQ940)</f>
        <v/>
      </c>
      <c r="AZ940" s="35" t="str">
        <f aca="false">IF($B940="","",AP940+AT940/2)</f>
        <v/>
      </c>
      <c r="BA940" s="35" t="str">
        <f aca="false">IF($B940="","",AK940+AN940+AM940/2+AO940+AP940+AQ940+AR940+AS940+AT940+AU940+AV940+AW940)</f>
        <v/>
      </c>
      <c r="BB940" s="35" t="str">
        <f aca="false">IF($B940="","",MAX(0,AN940-Settings!$C$16)*Settings!$C$17)</f>
        <v/>
      </c>
      <c r="BC940" s="35" t="str">
        <f aca="false">IF($B940="","",BA940-BB940)</f>
        <v/>
      </c>
      <c r="BD940" s="35" t="str">
        <f aca="false">IF(OR($B940="",$A940=""),"",DAY(EOMONTH($A940,0))-COUNTA($F940:$AJ940))</f>
        <v/>
      </c>
    </row>
    <row r="941" customFormat="false" ht="15" hidden="false" customHeight="false" outlineLevel="0" collapsed="false">
      <c r="A941" s="32"/>
      <c r="B941" s="29"/>
      <c r="C941" s="10" t="str">
        <f aca="false">IF($B941="","",IFERROR(INDEX(M_name,MATCH($B941,M_emp,0)),"Code not found"))</f>
        <v/>
      </c>
      <c r="D941" s="10" t="str">
        <f aca="false">IF($B941="","",IFERROR(INDEX(M_dept,MATCH($B941,M_emp,0)),""))</f>
        <v/>
      </c>
      <c r="E941" s="10" t="str">
        <f aca="false">IF($B941="","",IFERROR(INDEX(M_loc,MATCH($B941,M_emp,0)),""))</f>
        <v/>
      </c>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4" t="str">
        <f aca="false">IF($B941="","",COUNTIF($F941:$AJ941,"P"))</f>
        <v/>
      </c>
      <c r="AL941" s="34" t="str">
        <f aca="false">IF($B941="","",COUNTIF($F941:$AJ941,"A"))</f>
        <v/>
      </c>
      <c r="AM941" s="34" t="str">
        <f aca="false">IF($B941="","",COUNTIF($F941:$AJ941,"HA"))</f>
        <v/>
      </c>
      <c r="AN941" s="34" t="str">
        <f aca="false">IF($B941="","",COUNTIF($F941:$AJ941,"L"))</f>
        <v/>
      </c>
      <c r="AO941" s="34" t="str">
        <f aca="false">IF($B941="","",COUNTIF($F941:$AJ941,"PL"))</f>
        <v/>
      </c>
      <c r="AP941" s="34" t="str">
        <f aca="false">IF($B941="","",COUNTIF($F941:$AJ941,"CL"))</f>
        <v/>
      </c>
      <c r="AQ941" s="34" t="str">
        <f aca="false">IF($B941="","",COUNTIF($F941:$AJ941,"SL"))</f>
        <v/>
      </c>
      <c r="AR941" s="34" t="str">
        <f aca="false">IF($B941="","",COUNTIF($F941:$AJ941,"CO"))</f>
        <v/>
      </c>
      <c r="AS941" s="34" t="str">
        <f aca="false">IF($B941="","",COUNTIF($F941:$AJ941,"HPL"))</f>
        <v/>
      </c>
      <c r="AT941" s="34" t="str">
        <f aca="false">IF($B941="","",COUNTIF($F941:$AJ941,"HCL"))</f>
        <v/>
      </c>
      <c r="AU941" s="34" t="str">
        <f aca="false">IF($B941="","",COUNTIF($F941:$AJ941,"WO"))</f>
        <v/>
      </c>
      <c r="AV941" s="34" t="str">
        <f aca="false">IF($B941="","",COUNTIF($F941:$AJ941,"PH"))</f>
        <v/>
      </c>
      <c r="AW941" s="34" t="str">
        <f aca="false">IF($B941="","",COUNTIF($F941:$AJ941,"TR"))</f>
        <v/>
      </c>
      <c r="AX941" s="35" t="str">
        <f aca="false">IF($B941="","",AO941+AS941/2)</f>
        <v/>
      </c>
      <c r="AY941" s="35" t="str">
        <f aca="false">IF($B941="","",AQ941)</f>
        <v/>
      </c>
      <c r="AZ941" s="35" t="str">
        <f aca="false">IF($B941="","",AP941+AT941/2)</f>
        <v/>
      </c>
      <c r="BA941" s="35" t="str">
        <f aca="false">IF($B941="","",AK941+AN941+AM941/2+AO941+AP941+AQ941+AR941+AS941+AT941+AU941+AV941+AW941)</f>
        <v/>
      </c>
      <c r="BB941" s="35" t="str">
        <f aca="false">IF($B941="","",MAX(0,AN941-Settings!$C$16)*Settings!$C$17)</f>
        <v/>
      </c>
      <c r="BC941" s="35" t="str">
        <f aca="false">IF($B941="","",BA941-BB941)</f>
        <v/>
      </c>
      <c r="BD941" s="35" t="str">
        <f aca="false">IF(OR($B941="",$A941=""),"",DAY(EOMONTH($A941,0))-COUNTA($F941:$AJ941))</f>
        <v/>
      </c>
    </row>
    <row r="942" customFormat="false" ht="15" hidden="false" customHeight="false" outlineLevel="0" collapsed="false">
      <c r="A942" s="32"/>
      <c r="B942" s="29"/>
      <c r="C942" s="10" t="str">
        <f aca="false">IF($B942="","",IFERROR(INDEX(M_name,MATCH($B942,M_emp,0)),"Code not found"))</f>
        <v/>
      </c>
      <c r="D942" s="10" t="str">
        <f aca="false">IF($B942="","",IFERROR(INDEX(M_dept,MATCH($B942,M_emp,0)),""))</f>
        <v/>
      </c>
      <c r="E942" s="10" t="str">
        <f aca="false">IF($B942="","",IFERROR(INDEX(M_loc,MATCH($B942,M_emp,0)),""))</f>
        <v/>
      </c>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4" t="str">
        <f aca="false">IF($B942="","",COUNTIF($F942:$AJ942,"P"))</f>
        <v/>
      </c>
      <c r="AL942" s="34" t="str">
        <f aca="false">IF($B942="","",COUNTIF($F942:$AJ942,"A"))</f>
        <v/>
      </c>
      <c r="AM942" s="34" t="str">
        <f aca="false">IF($B942="","",COUNTIF($F942:$AJ942,"HA"))</f>
        <v/>
      </c>
      <c r="AN942" s="34" t="str">
        <f aca="false">IF($B942="","",COUNTIF($F942:$AJ942,"L"))</f>
        <v/>
      </c>
      <c r="AO942" s="34" t="str">
        <f aca="false">IF($B942="","",COUNTIF($F942:$AJ942,"PL"))</f>
        <v/>
      </c>
      <c r="AP942" s="34" t="str">
        <f aca="false">IF($B942="","",COUNTIF($F942:$AJ942,"CL"))</f>
        <v/>
      </c>
      <c r="AQ942" s="34" t="str">
        <f aca="false">IF($B942="","",COUNTIF($F942:$AJ942,"SL"))</f>
        <v/>
      </c>
      <c r="AR942" s="34" t="str">
        <f aca="false">IF($B942="","",COUNTIF($F942:$AJ942,"CO"))</f>
        <v/>
      </c>
      <c r="AS942" s="34" t="str">
        <f aca="false">IF($B942="","",COUNTIF($F942:$AJ942,"HPL"))</f>
        <v/>
      </c>
      <c r="AT942" s="34" t="str">
        <f aca="false">IF($B942="","",COUNTIF($F942:$AJ942,"HCL"))</f>
        <v/>
      </c>
      <c r="AU942" s="34" t="str">
        <f aca="false">IF($B942="","",COUNTIF($F942:$AJ942,"WO"))</f>
        <v/>
      </c>
      <c r="AV942" s="34" t="str">
        <f aca="false">IF($B942="","",COUNTIF($F942:$AJ942,"PH"))</f>
        <v/>
      </c>
      <c r="AW942" s="34" t="str">
        <f aca="false">IF($B942="","",COUNTIF($F942:$AJ942,"TR"))</f>
        <v/>
      </c>
      <c r="AX942" s="35" t="str">
        <f aca="false">IF($B942="","",AO942+AS942/2)</f>
        <v/>
      </c>
      <c r="AY942" s="35" t="str">
        <f aca="false">IF($B942="","",AQ942)</f>
        <v/>
      </c>
      <c r="AZ942" s="35" t="str">
        <f aca="false">IF($B942="","",AP942+AT942/2)</f>
        <v/>
      </c>
      <c r="BA942" s="35" t="str">
        <f aca="false">IF($B942="","",AK942+AN942+AM942/2+AO942+AP942+AQ942+AR942+AS942+AT942+AU942+AV942+AW942)</f>
        <v/>
      </c>
      <c r="BB942" s="35" t="str">
        <f aca="false">IF($B942="","",MAX(0,AN942-Settings!$C$16)*Settings!$C$17)</f>
        <v/>
      </c>
      <c r="BC942" s="35" t="str">
        <f aca="false">IF($B942="","",BA942-BB942)</f>
        <v/>
      </c>
      <c r="BD942" s="35" t="str">
        <f aca="false">IF(OR($B942="",$A942=""),"",DAY(EOMONTH($A942,0))-COUNTA($F942:$AJ942))</f>
        <v/>
      </c>
    </row>
    <row r="943" customFormat="false" ht="15" hidden="false" customHeight="false" outlineLevel="0" collapsed="false">
      <c r="A943" s="32"/>
      <c r="B943" s="29"/>
      <c r="C943" s="10" t="str">
        <f aca="false">IF($B943="","",IFERROR(INDEX(M_name,MATCH($B943,M_emp,0)),"Code not found"))</f>
        <v/>
      </c>
      <c r="D943" s="10" t="str">
        <f aca="false">IF($B943="","",IFERROR(INDEX(M_dept,MATCH($B943,M_emp,0)),""))</f>
        <v/>
      </c>
      <c r="E943" s="10" t="str">
        <f aca="false">IF($B943="","",IFERROR(INDEX(M_loc,MATCH($B943,M_emp,0)),""))</f>
        <v/>
      </c>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4" t="str">
        <f aca="false">IF($B943="","",COUNTIF($F943:$AJ943,"P"))</f>
        <v/>
      </c>
      <c r="AL943" s="34" t="str">
        <f aca="false">IF($B943="","",COUNTIF($F943:$AJ943,"A"))</f>
        <v/>
      </c>
      <c r="AM943" s="34" t="str">
        <f aca="false">IF($B943="","",COUNTIF($F943:$AJ943,"HA"))</f>
        <v/>
      </c>
      <c r="AN943" s="34" t="str">
        <f aca="false">IF($B943="","",COUNTIF($F943:$AJ943,"L"))</f>
        <v/>
      </c>
      <c r="AO943" s="34" t="str">
        <f aca="false">IF($B943="","",COUNTIF($F943:$AJ943,"PL"))</f>
        <v/>
      </c>
      <c r="AP943" s="34" t="str">
        <f aca="false">IF($B943="","",COUNTIF($F943:$AJ943,"CL"))</f>
        <v/>
      </c>
      <c r="AQ943" s="34" t="str">
        <f aca="false">IF($B943="","",COUNTIF($F943:$AJ943,"SL"))</f>
        <v/>
      </c>
      <c r="AR943" s="34" t="str">
        <f aca="false">IF($B943="","",COUNTIF($F943:$AJ943,"CO"))</f>
        <v/>
      </c>
      <c r="AS943" s="34" t="str">
        <f aca="false">IF($B943="","",COUNTIF($F943:$AJ943,"HPL"))</f>
        <v/>
      </c>
      <c r="AT943" s="34" t="str">
        <f aca="false">IF($B943="","",COUNTIF($F943:$AJ943,"HCL"))</f>
        <v/>
      </c>
      <c r="AU943" s="34" t="str">
        <f aca="false">IF($B943="","",COUNTIF($F943:$AJ943,"WO"))</f>
        <v/>
      </c>
      <c r="AV943" s="34" t="str">
        <f aca="false">IF($B943="","",COUNTIF($F943:$AJ943,"PH"))</f>
        <v/>
      </c>
      <c r="AW943" s="34" t="str">
        <f aca="false">IF($B943="","",COUNTIF($F943:$AJ943,"TR"))</f>
        <v/>
      </c>
      <c r="AX943" s="35" t="str">
        <f aca="false">IF($B943="","",AO943+AS943/2)</f>
        <v/>
      </c>
      <c r="AY943" s="35" t="str">
        <f aca="false">IF($B943="","",AQ943)</f>
        <v/>
      </c>
      <c r="AZ943" s="35" t="str">
        <f aca="false">IF($B943="","",AP943+AT943/2)</f>
        <v/>
      </c>
      <c r="BA943" s="35" t="str">
        <f aca="false">IF($B943="","",AK943+AN943+AM943/2+AO943+AP943+AQ943+AR943+AS943+AT943+AU943+AV943+AW943)</f>
        <v/>
      </c>
      <c r="BB943" s="35" t="str">
        <f aca="false">IF($B943="","",MAX(0,AN943-Settings!$C$16)*Settings!$C$17)</f>
        <v/>
      </c>
      <c r="BC943" s="35" t="str">
        <f aca="false">IF($B943="","",BA943-BB943)</f>
        <v/>
      </c>
      <c r="BD943" s="35" t="str">
        <f aca="false">IF(OR($B943="",$A943=""),"",DAY(EOMONTH($A943,0))-COUNTA($F943:$AJ943))</f>
        <v/>
      </c>
    </row>
    <row r="944" customFormat="false" ht="15" hidden="false" customHeight="false" outlineLevel="0" collapsed="false">
      <c r="A944" s="32"/>
      <c r="B944" s="29"/>
      <c r="C944" s="10" t="str">
        <f aca="false">IF($B944="","",IFERROR(INDEX(M_name,MATCH($B944,M_emp,0)),"Code not found"))</f>
        <v/>
      </c>
      <c r="D944" s="10" t="str">
        <f aca="false">IF($B944="","",IFERROR(INDEX(M_dept,MATCH($B944,M_emp,0)),""))</f>
        <v/>
      </c>
      <c r="E944" s="10" t="str">
        <f aca="false">IF($B944="","",IFERROR(INDEX(M_loc,MATCH($B944,M_emp,0)),""))</f>
        <v/>
      </c>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4" t="str">
        <f aca="false">IF($B944="","",COUNTIF($F944:$AJ944,"P"))</f>
        <v/>
      </c>
      <c r="AL944" s="34" t="str">
        <f aca="false">IF($B944="","",COUNTIF($F944:$AJ944,"A"))</f>
        <v/>
      </c>
      <c r="AM944" s="34" t="str">
        <f aca="false">IF($B944="","",COUNTIF($F944:$AJ944,"HA"))</f>
        <v/>
      </c>
      <c r="AN944" s="34" t="str">
        <f aca="false">IF($B944="","",COUNTIF($F944:$AJ944,"L"))</f>
        <v/>
      </c>
      <c r="AO944" s="34" t="str">
        <f aca="false">IF($B944="","",COUNTIF($F944:$AJ944,"PL"))</f>
        <v/>
      </c>
      <c r="AP944" s="34" t="str">
        <f aca="false">IF($B944="","",COUNTIF($F944:$AJ944,"CL"))</f>
        <v/>
      </c>
      <c r="AQ944" s="34" t="str">
        <f aca="false">IF($B944="","",COUNTIF($F944:$AJ944,"SL"))</f>
        <v/>
      </c>
      <c r="AR944" s="34" t="str">
        <f aca="false">IF($B944="","",COUNTIF($F944:$AJ944,"CO"))</f>
        <v/>
      </c>
      <c r="AS944" s="34" t="str">
        <f aca="false">IF($B944="","",COUNTIF($F944:$AJ944,"HPL"))</f>
        <v/>
      </c>
      <c r="AT944" s="34" t="str">
        <f aca="false">IF($B944="","",COUNTIF($F944:$AJ944,"HCL"))</f>
        <v/>
      </c>
      <c r="AU944" s="34" t="str">
        <f aca="false">IF($B944="","",COUNTIF($F944:$AJ944,"WO"))</f>
        <v/>
      </c>
      <c r="AV944" s="34" t="str">
        <f aca="false">IF($B944="","",COUNTIF($F944:$AJ944,"PH"))</f>
        <v/>
      </c>
      <c r="AW944" s="34" t="str">
        <f aca="false">IF($B944="","",COUNTIF($F944:$AJ944,"TR"))</f>
        <v/>
      </c>
      <c r="AX944" s="35" t="str">
        <f aca="false">IF($B944="","",AO944+AS944/2)</f>
        <v/>
      </c>
      <c r="AY944" s="35" t="str">
        <f aca="false">IF($B944="","",AQ944)</f>
        <v/>
      </c>
      <c r="AZ944" s="35" t="str">
        <f aca="false">IF($B944="","",AP944+AT944/2)</f>
        <v/>
      </c>
      <c r="BA944" s="35" t="str">
        <f aca="false">IF($B944="","",AK944+AN944+AM944/2+AO944+AP944+AQ944+AR944+AS944+AT944+AU944+AV944+AW944)</f>
        <v/>
      </c>
      <c r="BB944" s="35" t="str">
        <f aca="false">IF($B944="","",MAX(0,AN944-Settings!$C$16)*Settings!$C$17)</f>
        <v/>
      </c>
      <c r="BC944" s="35" t="str">
        <f aca="false">IF($B944="","",BA944-BB944)</f>
        <v/>
      </c>
      <c r="BD944" s="35" t="str">
        <f aca="false">IF(OR($B944="",$A944=""),"",DAY(EOMONTH($A944,0))-COUNTA($F944:$AJ944))</f>
        <v/>
      </c>
    </row>
    <row r="945" customFormat="false" ht="15" hidden="false" customHeight="false" outlineLevel="0" collapsed="false">
      <c r="A945" s="32"/>
      <c r="B945" s="29"/>
      <c r="C945" s="10" t="str">
        <f aca="false">IF($B945="","",IFERROR(INDEX(M_name,MATCH($B945,M_emp,0)),"Code not found"))</f>
        <v/>
      </c>
      <c r="D945" s="10" t="str">
        <f aca="false">IF($B945="","",IFERROR(INDEX(M_dept,MATCH($B945,M_emp,0)),""))</f>
        <v/>
      </c>
      <c r="E945" s="10" t="str">
        <f aca="false">IF($B945="","",IFERROR(INDEX(M_loc,MATCH($B945,M_emp,0)),""))</f>
        <v/>
      </c>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4" t="str">
        <f aca="false">IF($B945="","",COUNTIF($F945:$AJ945,"P"))</f>
        <v/>
      </c>
      <c r="AL945" s="34" t="str">
        <f aca="false">IF($B945="","",COUNTIF($F945:$AJ945,"A"))</f>
        <v/>
      </c>
      <c r="AM945" s="34" t="str">
        <f aca="false">IF($B945="","",COUNTIF($F945:$AJ945,"HA"))</f>
        <v/>
      </c>
      <c r="AN945" s="34" t="str">
        <f aca="false">IF($B945="","",COUNTIF($F945:$AJ945,"L"))</f>
        <v/>
      </c>
      <c r="AO945" s="34" t="str">
        <f aca="false">IF($B945="","",COUNTIF($F945:$AJ945,"PL"))</f>
        <v/>
      </c>
      <c r="AP945" s="34" t="str">
        <f aca="false">IF($B945="","",COUNTIF($F945:$AJ945,"CL"))</f>
        <v/>
      </c>
      <c r="AQ945" s="34" t="str">
        <f aca="false">IF($B945="","",COUNTIF($F945:$AJ945,"SL"))</f>
        <v/>
      </c>
      <c r="AR945" s="34" t="str">
        <f aca="false">IF($B945="","",COUNTIF($F945:$AJ945,"CO"))</f>
        <v/>
      </c>
      <c r="AS945" s="34" t="str">
        <f aca="false">IF($B945="","",COUNTIF($F945:$AJ945,"HPL"))</f>
        <v/>
      </c>
      <c r="AT945" s="34" t="str">
        <f aca="false">IF($B945="","",COUNTIF($F945:$AJ945,"HCL"))</f>
        <v/>
      </c>
      <c r="AU945" s="34" t="str">
        <f aca="false">IF($B945="","",COUNTIF($F945:$AJ945,"WO"))</f>
        <v/>
      </c>
      <c r="AV945" s="34" t="str">
        <f aca="false">IF($B945="","",COUNTIF($F945:$AJ945,"PH"))</f>
        <v/>
      </c>
      <c r="AW945" s="34" t="str">
        <f aca="false">IF($B945="","",COUNTIF($F945:$AJ945,"TR"))</f>
        <v/>
      </c>
      <c r="AX945" s="35" t="str">
        <f aca="false">IF($B945="","",AO945+AS945/2)</f>
        <v/>
      </c>
      <c r="AY945" s="35" t="str">
        <f aca="false">IF($B945="","",AQ945)</f>
        <v/>
      </c>
      <c r="AZ945" s="35" t="str">
        <f aca="false">IF($B945="","",AP945+AT945/2)</f>
        <v/>
      </c>
      <c r="BA945" s="35" t="str">
        <f aca="false">IF($B945="","",AK945+AN945+AM945/2+AO945+AP945+AQ945+AR945+AS945+AT945+AU945+AV945+AW945)</f>
        <v/>
      </c>
      <c r="BB945" s="35" t="str">
        <f aca="false">IF($B945="","",MAX(0,AN945-Settings!$C$16)*Settings!$C$17)</f>
        <v/>
      </c>
      <c r="BC945" s="35" t="str">
        <f aca="false">IF($B945="","",BA945-BB945)</f>
        <v/>
      </c>
      <c r="BD945" s="35" t="str">
        <f aca="false">IF(OR($B945="",$A945=""),"",DAY(EOMONTH($A945,0))-COUNTA($F945:$AJ945))</f>
        <v/>
      </c>
    </row>
    <row r="946" customFormat="false" ht="15" hidden="false" customHeight="false" outlineLevel="0" collapsed="false">
      <c r="A946" s="32"/>
      <c r="B946" s="29"/>
      <c r="C946" s="10" t="str">
        <f aca="false">IF($B946="","",IFERROR(INDEX(M_name,MATCH($B946,M_emp,0)),"Code not found"))</f>
        <v/>
      </c>
      <c r="D946" s="10" t="str">
        <f aca="false">IF($B946="","",IFERROR(INDEX(M_dept,MATCH($B946,M_emp,0)),""))</f>
        <v/>
      </c>
      <c r="E946" s="10" t="str">
        <f aca="false">IF($B946="","",IFERROR(INDEX(M_loc,MATCH($B946,M_emp,0)),""))</f>
        <v/>
      </c>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4" t="str">
        <f aca="false">IF($B946="","",COUNTIF($F946:$AJ946,"P"))</f>
        <v/>
      </c>
      <c r="AL946" s="34" t="str">
        <f aca="false">IF($B946="","",COUNTIF($F946:$AJ946,"A"))</f>
        <v/>
      </c>
      <c r="AM946" s="34" t="str">
        <f aca="false">IF($B946="","",COUNTIF($F946:$AJ946,"HA"))</f>
        <v/>
      </c>
      <c r="AN946" s="34" t="str">
        <f aca="false">IF($B946="","",COUNTIF($F946:$AJ946,"L"))</f>
        <v/>
      </c>
      <c r="AO946" s="34" t="str">
        <f aca="false">IF($B946="","",COUNTIF($F946:$AJ946,"PL"))</f>
        <v/>
      </c>
      <c r="AP946" s="34" t="str">
        <f aca="false">IF($B946="","",COUNTIF($F946:$AJ946,"CL"))</f>
        <v/>
      </c>
      <c r="AQ946" s="34" t="str">
        <f aca="false">IF($B946="","",COUNTIF($F946:$AJ946,"SL"))</f>
        <v/>
      </c>
      <c r="AR946" s="34" t="str">
        <f aca="false">IF($B946="","",COUNTIF($F946:$AJ946,"CO"))</f>
        <v/>
      </c>
      <c r="AS946" s="34" t="str">
        <f aca="false">IF($B946="","",COUNTIF($F946:$AJ946,"HPL"))</f>
        <v/>
      </c>
      <c r="AT946" s="34" t="str">
        <f aca="false">IF($B946="","",COUNTIF($F946:$AJ946,"HCL"))</f>
        <v/>
      </c>
      <c r="AU946" s="34" t="str">
        <f aca="false">IF($B946="","",COUNTIF($F946:$AJ946,"WO"))</f>
        <v/>
      </c>
      <c r="AV946" s="34" t="str">
        <f aca="false">IF($B946="","",COUNTIF($F946:$AJ946,"PH"))</f>
        <v/>
      </c>
      <c r="AW946" s="34" t="str">
        <f aca="false">IF($B946="","",COUNTIF($F946:$AJ946,"TR"))</f>
        <v/>
      </c>
      <c r="AX946" s="35" t="str">
        <f aca="false">IF($B946="","",AO946+AS946/2)</f>
        <v/>
      </c>
      <c r="AY946" s="35" t="str">
        <f aca="false">IF($B946="","",AQ946)</f>
        <v/>
      </c>
      <c r="AZ946" s="35" t="str">
        <f aca="false">IF($B946="","",AP946+AT946/2)</f>
        <v/>
      </c>
      <c r="BA946" s="35" t="str">
        <f aca="false">IF($B946="","",AK946+AN946+AM946/2+AO946+AP946+AQ946+AR946+AS946+AT946+AU946+AV946+AW946)</f>
        <v/>
      </c>
      <c r="BB946" s="35" t="str">
        <f aca="false">IF($B946="","",MAX(0,AN946-Settings!$C$16)*Settings!$C$17)</f>
        <v/>
      </c>
      <c r="BC946" s="35" t="str">
        <f aca="false">IF($B946="","",BA946-BB946)</f>
        <v/>
      </c>
      <c r="BD946" s="35" t="str">
        <f aca="false">IF(OR($B946="",$A946=""),"",DAY(EOMONTH($A946,0))-COUNTA($F946:$AJ946))</f>
        <v/>
      </c>
    </row>
    <row r="947" customFormat="false" ht="15" hidden="false" customHeight="false" outlineLevel="0" collapsed="false">
      <c r="A947" s="32"/>
      <c r="B947" s="29"/>
      <c r="C947" s="10" t="str">
        <f aca="false">IF($B947="","",IFERROR(INDEX(M_name,MATCH($B947,M_emp,0)),"Code not found"))</f>
        <v/>
      </c>
      <c r="D947" s="10" t="str">
        <f aca="false">IF($B947="","",IFERROR(INDEX(M_dept,MATCH($B947,M_emp,0)),""))</f>
        <v/>
      </c>
      <c r="E947" s="10" t="str">
        <f aca="false">IF($B947="","",IFERROR(INDEX(M_loc,MATCH($B947,M_emp,0)),""))</f>
        <v/>
      </c>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4" t="str">
        <f aca="false">IF($B947="","",COUNTIF($F947:$AJ947,"P"))</f>
        <v/>
      </c>
      <c r="AL947" s="34" t="str">
        <f aca="false">IF($B947="","",COUNTIF($F947:$AJ947,"A"))</f>
        <v/>
      </c>
      <c r="AM947" s="34" t="str">
        <f aca="false">IF($B947="","",COUNTIF($F947:$AJ947,"HA"))</f>
        <v/>
      </c>
      <c r="AN947" s="34" t="str">
        <f aca="false">IF($B947="","",COUNTIF($F947:$AJ947,"L"))</f>
        <v/>
      </c>
      <c r="AO947" s="34" t="str">
        <f aca="false">IF($B947="","",COUNTIF($F947:$AJ947,"PL"))</f>
        <v/>
      </c>
      <c r="AP947" s="34" t="str">
        <f aca="false">IF($B947="","",COUNTIF($F947:$AJ947,"CL"))</f>
        <v/>
      </c>
      <c r="AQ947" s="34" t="str">
        <f aca="false">IF($B947="","",COUNTIF($F947:$AJ947,"SL"))</f>
        <v/>
      </c>
      <c r="AR947" s="34" t="str">
        <f aca="false">IF($B947="","",COUNTIF($F947:$AJ947,"CO"))</f>
        <v/>
      </c>
      <c r="AS947" s="34" t="str">
        <f aca="false">IF($B947="","",COUNTIF($F947:$AJ947,"HPL"))</f>
        <v/>
      </c>
      <c r="AT947" s="34" t="str">
        <f aca="false">IF($B947="","",COUNTIF($F947:$AJ947,"HCL"))</f>
        <v/>
      </c>
      <c r="AU947" s="34" t="str">
        <f aca="false">IF($B947="","",COUNTIF($F947:$AJ947,"WO"))</f>
        <v/>
      </c>
      <c r="AV947" s="34" t="str">
        <f aca="false">IF($B947="","",COUNTIF($F947:$AJ947,"PH"))</f>
        <v/>
      </c>
      <c r="AW947" s="34" t="str">
        <f aca="false">IF($B947="","",COUNTIF($F947:$AJ947,"TR"))</f>
        <v/>
      </c>
      <c r="AX947" s="35" t="str">
        <f aca="false">IF($B947="","",AO947+AS947/2)</f>
        <v/>
      </c>
      <c r="AY947" s="35" t="str">
        <f aca="false">IF($B947="","",AQ947)</f>
        <v/>
      </c>
      <c r="AZ947" s="35" t="str">
        <f aca="false">IF($B947="","",AP947+AT947/2)</f>
        <v/>
      </c>
      <c r="BA947" s="35" t="str">
        <f aca="false">IF($B947="","",AK947+AN947+AM947/2+AO947+AP947+AQ947+AR947+AS947+AT947+AU947+AV947+AW947)</f>
        <v/>
      </c>
      <c r="BB947" s="35" t="str">
        <f aca="false">IF($B947="","",MAX(0,AN947-Settings!$C$16)*Settings!$C$17)</f>
        <v/>
      </c>
      <c r="BC947" s="35" t="str">
        <f aca="false">IF($B947="","",BA947-BB947)</f>
        <v/>
      </c>
      <c r="BD947" s="35" t="str">
        <f aca="false">IF(OR($B947="",$A947=""),"",DAY(EOMONTH($A947,0))-COUNTA($F947:$AJ947))</f>
        <v/>
      </c>
    </row>
    <row r="948" customFormat="false" ht="15" hidden="false" customHeight="false" outlineLevel="0" collapsed="false">
      <c r="A948" s="32"/>
      <c r="B948" s="29"/>
      <c r="C948" s="10" t="str">
        <f aca="false">IF($B948="","",IFERROR(INDEX(M_name,MATCH($B948,M_emp,0)),"Code not found"))</f>
        <v/>
      </c>
      <c r="D948" s="10" t="str">
        <f aca="false">IF($B948="","",IFERROR(INDEX(M_dept,MATCH($B948,M_emp,0)),""))</f>
        <v/>
      </c>
      <c r="E948" s="10" t="str">
        <f aca="false">IF($B948="","",IFERROR(INDEX(M_loc,MATCH($B948,M_emp,0)),""))</f>
        <v/>
      </c>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4" t="str">
        <f aca="false">IF($B948="","",COUNTIF($F948:$AJ948,"P"))</f>
        <v/>
      </c>
      <c r="AL948" s="34" t="str">
        <f aca="false">IF($B948="","",COUNTIF($F948:$AJ948,"A"))</f>
        <v/>
      </c>
      <c r="AM948" s="34" t="str">
        <f aca="false">IF($B948="","",COUNTIF($F948:$AJ948,"HA"))</f>
        <v/>
      </c>
      <c r="AN948" s="34" t="str">
        <f aca="false">IF($B948="","",COUNTIF($F948:$AJ948,"L"))</f>
        <v/>
      </c>
      <c r="AO948" s="34" t="str">
        <f aca="false">IF($B948="","",COUNTIF($F948:$AJ948,"PL"))</f>
        <v/>
      </c>
      <c r="AP948" s="34" t="str">
        <f aca="false">IF($B948="","",COUNTIF($F948:$AJ948,"CL"))</f>
        <v/>
      </c>
      <c r="AQ948" s="34" t="str">
        <f aca="false">IF($B948="","",COUNTIF($F948:$AJ948,"SL"))</f>
        <v/>
      </c>
      <c r="AR948" s="34" t="str">
        <f aca="false">IF($B948="","",COUNTIF($F948:$AJ948,"CO"))</f>
        <v/>
      </c>
      <c r="AS948" s="34" t="str">
        <f aca="false">IF($B948="","",COUNTIF($F948:$AJ948,"HPL"))</f>
        <v/>
      </c>
      <c r="AT948" s="34" t="str">
        <f aca="false">IF($B948="","",COUNTIF($F948:$AJ948,"HCL"))</f>
        <v/>
      </c>
      <c r="AU948" s="34" t="str">
        <f aca="false">IF($B948="","",COUNTIF($F948:$AJ948,"WO"))</f>
        <v/>
      </c>
      <c r="AV948" s="34" t="str">
        <f aca="false">IF($B948="","",COUNTIF($F948:$AJ948,"PH"))</f>
        <v/>
      </c>
      <c r="AW948" s="34" t="str">
        <f aca="false">IF($B948="","",COUNTIF($F948:$AJ948,"TR"))</f>
        <v/>
      </c>
      <c r="AX948" s="35" t="str">
        <f aca="false">IF($B948="","",AO948+AS948/2)</f>
        <v/>
      </c>
      <c r="AY948" s="35" t="str">
        <f aca="false">IF($B948="","",AQ948)</f>
        <v/>
      </c>
      <c r="AZ948" s="35" t="str">
        <f aca="false">IF($B948="","",AP948+AT948/2)</f>
        <v/>
      </c>
      <c r="BA948" s="35" t="str">
        <f aca="false">IF($B948="","",AK948+AN948+AM948/2+AO948+AP948+AQ948+AR948+AS948+AT948+AU948+AV948+AW948)</f>
        <v/>
      </c>
      <c r="BB948" s="35" t="str">
        <f aca="false">IF($B948="","",MAX(0,AN948-Settings!$C$16)*Settings!$C$17)</f>
        <v/>
      </c>
      <c r="BC948" s="35" t="str">
        <f aca="false">IF($B948="","",BA948-BB948)</f>
        <v/>
      </c>
      <c r="BD948" s="35" t="str">
        <f aca="false">IF(OR($B948="",$A948=""),"",DAY(EOMONTH($A948,0))-COUNTA($F948:$AJ948))</f>
        <v/>
      </c>
    </row>
    <row r="949" customFormat="false" ht="15" hidden="false" customHeight="false" outlineLevel="0" collapsed="false">
      <c r="A949" s="32"/>
      <c r="B949" s="29"/>
      <c r="C949" s="10" t="str">
        <f aca="false">IF($B949="","",IFERROR(INDEX(M_name,MATCH($B949,M_emp,0)),"Code not found"))</f>
        <v/>
      </c>
      <c r="D949" s="10" t="str">
        <f aca="false">IF($B949="","",IFERROR(INDEX(M_dept,MATCH($B949,M_emp,0)),""))</f>
        <v/>
      </c>
      <c r="E949" s="10" t="str">
        <f aca="false">IF($B949="","",IFERROR(INDEX(M_loc,MATCH($B949,M_emp,0)),""))</f>
        <v/>
      </c>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4" t="str">
        <f aca="false">IF($B949="","",COUNTIF($F949:$AJ949,"P"))</f>
        <v/>
      </c>
      <c r="AL949" s="34" t="str">
        <f aca="false">IF($B949="","",COUNTIF($F949:$AJ949,"A"))</f>
        <v/>
      </c>
      <c r="AM949" s="34" t="str">
        <f aca="false">IF($B949="","",COUNTIF($F949:$AJ949,"HA"))</f>
        <v/>
      </c>
      <c r="AN949" s="34" t="str">
        <f aca="false">IF($B949="","",COUNTIF($F949:$AJ949,"L"))</f>
        <v/>
      </c>
      <c r="AO949" s="34" t="str">
        <f aca="false">IF($B949="","",COUNTIF($F949:$AJ949,"PL"))</f>
        <v/>
      </c>
      <c r="AP949" s="34" t="str">
        <f aca="false">IF($B949="","",COUNTIF($F949:$AJ949,"CL"))</f>
        <v/>
      </c>
      <c r="AQ949" s="34" t="str">
        <f aca="false">IF($B949="","",COUNTIF($F949:$AJ949,"SL"))</f>
        <v/>
      </c>
      <c r="AR949" s="34" t="str">
        <f aca="false">IF($B949="","",COUNTIF($F949:$AJ949,"CO"))</f>
        <v/>
      </c>
      <c r="AS949" s="34" t="str">
        <f aca="false">IF($B949="","",COUNTIF($F949:$AJ949,"HPL"))</f>
        <v/>
      </c>
      <c r="AT949" s="34" t="str">
        <f aca="false">IF($B949="","",COUNTIF($F949:$AJ949,"HCL"))</f>
        <v/>
      </c>
      <c r="AU949" s="34" t="str">
        <f aca="false">IF($B949="","",COUNTIF($F949:$AJ949,"WO"))</f>
        <v/>
      </c>
      <c r="AV949" s="34" t="str">
        <f aca="false">IF($B949="","",COUNTIF($F949:$AJ949,"PH"))</f>
        <v/>
      </c>
      <c r="AW949" s="34" t="str">
        <f aca="false">IF($B949="","",COUNTIF($F949:$AJ949,"TR"))</f>
        <v/>
      </c>
      <c r="AX949" s="35" t="str">
        <f aca="false">IF($B949="","",AO949+AS949/2)</f>
        <v/>
      </c>
      <c r="AY949" s="35" t="str">
        <f aca="false">IF($B949="","",AQ949)</f>
        <v/>
      </c>
      <c r="AZ949" s="35" t="str">
        <f aca="false">IF($B949="","",AP949+AT949/2)</f>
        <v/>
      </c>
      <c r="BA949" s="35" t="str">
        <f aca="false">IF($B949="","",AK949+AN949+AM949/2+AO949+AP949+AQ949+AR949+AS949+AT949+AU949+AV949+AW949)</f>
        <v/>
      </c>
      <c r="BB949" s="35" t="str">
        <f aca="false">IF($B949="","",MAX(0,AN949-Settings!$C$16)*Settings!$C$17)</f>
        <v/>
      </c>
      <c r="BC949" s="35" t="str">
        <f aca="false">IF($B949="","",BA949-BB949)</f>
        <v/>
      </c>
      <c r="BD949" s="35" t="str">
        <f aca="false">IF(OR($B949="",$A949=""),"",DAY(EOMONTH($A949,0))-COUNTA($F949:$AJ949))</f>
        <v/>
      </c>
    </row>
    <row r="950" customFormat="false" ht="15" hidden="false" customHeight="false" outlineLevel="0" collapsed="false">
      <c r="A950" s="32"/>
      <c r="B950" s="29"/>
      <c r="C950" s="10" t="str">
        <f aca="false">IF($B950="","",IFERROR(INDEX(M_name,MATCH($B950,M_emp,0)),"Code not found"))</f>
        <v/>
      </c>
      <c r="D950" s="10" t="str">
        <f aca="false">IF($B950="","",IFERROR(INDEX(M_dept,MATCH($B950,M_emp,0)),""))</f>
        <v/>
      </c>
      <c r="E950" s="10" t="str">
        <f aca="false">IF($B950="","",IFERROR(INDEX(M_loc,MATCH($B950,M_emp,0)),""))</f>
        <v/>
      </c>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4" t="str">
        <f aca="false">IF($B950="","",COUNTIF($F950:$AJ950,"P"))</f>
        <v/>
      </c>
      <c r="AL950" s="34" t="str">
        <f aca="false">IF($B950="","",COUNTIF($F950:$AJ950,"A"))</f>
        <v/>
      </c>
      <c r="AM950" s="34" t="str">
        <f aca="false">IF($B950="","",COUNTIF($F950:$AJ950,"HA"))</f>
        <v/>
      </c>
      <c r="AN950" s="34" t="str">
        <f aca="false">IF($B950="","",COUNTIF($F950:$AJ950,"L"))</f>
        <v/>
      </c>
      <c r="AO950" s="34" t="str">
        <f aca="false">IF($B950="","",COUNTIF($F950:$AJ950,"PL"))</f>
        <v/>
      </c>
      <c r="AP950" s="34" t="str">
        <f aca="false">IF($B950="","",COUNTIF($F950:$AJ950,"CL"))</f>
        <v/>
      </c>
      <c r="AQ950" s="34" t="str">
        <f aca="false">IF($B950="","",COUNTIF($F950:$AJ950,"SL"))</f>
        <v/>
      </c>
      <c r="AR950" s="34" t="str">
        <f aca="false">IF($B950="","",COUNTIF($F950:$AJ950,"CO"))</f>
        <v/>
      </c>
      <c r="AS950" s="34" t="str">
        <f aca="false">IF($B950="","",COUNTIF($F950:$AJ950,"HPL"))</f>
        <v/>
      </c>
      <c r="AT950" s="34" t="str">
        <f aca="false">IF($B950="","",COUNTIF($F950:$AJ950,"HCL"))</f>
        <v/>
      </c>
      <c r="AU950" s="34" t="str">
        <f aca="false">IF($B950="","",COUNTIF($F950:$AJ950,"WO"))</f>
        <v/>
      </c>
      <c r="AV950" s="34" t="str">
        <f aca="false">IF($B950="","",COUNTIF($F950:$AJ950,"PH"))</f>
        <v/>
      </c>
      <c r="AW950" s="34" t="str">
        <f aca="false">IF($B950="","",COUNTIF($F950:$AJ950,"TR"))</f>
        <v/>
      </c>
      <c r="AX950" s="35" t="str">
        <f aca="false">IF($B950="","",AO950+AS950/2)</f>
        <v/>
      </c>
      <c r="AY950" s="35" t="str">
        <f aca="false">IF($B950="","",AQ950)</f>
        <v/>
      </c>
      <c r="AZ950" s="35" t="str">
        <f aca="false">IF($B950="","",AP950+AT950/2)</f>
        <v/>
      </c>
      <c r="BA950" s="35" t="str">
        <f aca="false">IF($B950="","",AK950+AN950+AM950/2+AO950+AP950+AQ950+AR950+AS950+AT950+AU950+AV950+AW950)</f>
        <v/>
      </c>
      <c r="BB950" s="35" t="str">
        <f aca="false">IF($B950="","",MAX(0,AN950-Settings!$C$16)*Settings!$C$17)</f>
        <v/>
      </c>
      <c r="BC950" s="35" t="str">
        <f aca="false">IF($B950="","",BA950-BB950)</f>
        <v/>
      </c>
      <c r="BD950" s="35" t="str">
        <f aca="false">IF(OR($B950="",$A950=""),"",DAY(EOMONTH($A950,0))-COUNTA($F950:$AJ950))</f>
        <v/>
      </c>
    </row>
    <row r="951" customFormat="false" ht="15" hidden="false" customHeight="false" outlineLevel="0" collapsed="false">
      <c r="A951" s="32"/>
      <c r="B951" s="29"/>
      <c r="C951" s="10" t="str">
        <f aca="false">IF($B951="","",IFERROR(INDEX(M_name,MATCH($B951,M_emp,0)),"Code not found"))</f>
        <v/>
      </c>
      <c r="D951" s="10" t="str">
        <f aca="false">IF($B951="","",IFERROR(INDEX(M_dept,MATCH($B951,M_emp,0)),""))</f>
        <v/>
      </c>
      <c r="E951" s="10" t="str">
        <f aca="false">IF($B951="","",IFERROR(INDEX(M_loc,MATCH($B951,M_emp,0)),""))</f>
        <v/>
      </c>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4" t="str">
        <f aca="false">IF($B951="","",COUNTIF($F951:$AJ951,"P"))</f>
        <v/>
      </c>
      <c r="AL951" s="34" t="str">
        <f aca="false">IF($B951="","",COUNTIF($F951:$AJ951,"A"))</f>
        <v/>
      </c>
      <c r="AM951" s="34" t="str">
        <f aca="false">IF($B951="","",COUNTIF($F951:$AJ951,"HA"))</f>
        <v/>
      </c>
      <c r="AN951" s="34" t="str">
        <f aca="false">IF($B951="","",COUNTIF($F951:$AJ951,"L"))</f>
        <v/>
      </c>
      <c r="AO951" s="34" t="str">
        <f aca="false">IF($B951="","",COUNTIF($F951:$AJ951,"PL"))</f>
        <v/>
      </c>
      <c r="AP951" s="34" t="str">
        <f aca="false">IF($B951="","",COUNTIF($F951:$AJ951,"CL"))</f>
        <v/>
      </c>
      <c r="AQ951" s="34" t="str">
        <f aca="false">IF($B951="","",COUNTIF($F951:$AJ951,"SL"))</f>
        <v/>
      </c>
      <c r="AR951" s="34" t="str">
        <f aca="false">IF($B951="","",COUNTIF($F951:$AJ951,"CO"))</f>
        <v/>
      </c>
      <c r="AS951" s="34" t="str">
        <f aca="false">IF($B951="","",COUNTIF($F951:$AJ951,"HPL"))</f>
        <v/>
      </c>
      <c r="AT951" s="34" t="str">
        <f aca="false">IF($B951="","",COUNTIF($F951:$AJ951,"HCL"))</f>
        <v/>
      </c>
      <c r="AU951" s="34" t="str">
        <f aca="false">IF($B951="","",COUNTIF($F951:$AJ951,"WO"))</f>
        <v/>
      </c>
      <c r="AV951" s="34" t="str">
        <f aca="false">IF($B951="","",COUNTIF($F951:$AJ951,"PH"))</f>
        <v/>
      </c>
      <c r="AW951" s="34" t="str">
        <f aca="false">IF($B951="","",COUNTIF($F951:$AJ951,"TR"))</f>
        <v/>
      </c>
      <c r="AX951" s="35" t="str">
        <f aca="false">IF($B951="","",AO951+AS951/2)</f>
        <v/>
      </c>
      <c r="AY951" s="35" t="str">
        <f aca="false">IF($B951="","",AQ951)</f>
        <v/>
      </c>
      <c r="AZ951" s="35" t="str">
        <f aca="false">IF($B951="","",AP951+AT951/2)</f>
        <v/>
      </c>
      <c r="BA951" s="35" t="str">
        <f aca="false">IF($B951="","",AK951+AN951+AM951/2+AO951+AP951+AQ951+AR951+AS951+AT951+AU951+AV951+AW951)</f>
        <v/>
      </c>
      <c r="BB951" s="35" t="str">
        <f aca="false">IF($B951="","",MAX(0,AN951-Settings!$C$16)*Settings!$C$17)</f>
        <v/>
      </c>
      <c r="BC951" s="35" t="str">
        <f aca="false">IF($B951="","",BA951-BB951)</f>
        <v/>
      </c>
      <c r="BD951" s="35" t="str">
        <f aca="false">IF(OR($B951="",$A951=""),"",DAY(EOMONTH($A951,0))-COUNTA($F951:$AJ951))</f>
        <v/>
      </c>
    </row>
    <row r="952" customFormat="false" ht="15" hidden="false" customHeight="false" outlineLevel="0" collapsed="false">
      <c r="A952" s="32"/>
      <c r="B952" s="29"/>
      <c r="C952" s="10" t="str">
        <f aca="false">IF($B952="","",IFERROR(INDEX(M_name,MATCH($B952,M_emp,0)),"Code not found"))</f>
        <v/>
      </c>
      <c r="D952" s="10" t="str">
        <f aca="false">IF($B952="","",IFERROR(INDEX(M_dept,MATCH($B952,M_emp,0)),""))</f>
        <v/>
      </c>
      <c r="E952" s="10" t="str">
        <f aca="false">IF($B952="","",IFERROR(INDEX(M_loc,MATCH($B952,M_emp,0)),""))</f>
        <v/>
      </c>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4" t="str">
        <f aca="false">IF($B952="","",COUNTIF($F952:$AJ952,"P"))</f>
        <v/>
      </c>
      <c r="AL952" s="34" t="str">
        <f aca="false">IF($B952="","",COUNTIF($F952:$AJ952,"A"))</f>
        <v/>
      </c>
      <c r="AM952" s="34" t="str">
        <f aca="false">IF($B952="","",COUNTIF($F952:$AJ952,"HA"))</f>
        <v/>
      </c>
      <c r="AN952" s="34" t="str">
        <f aca="false">IF($B952="","",COUNTIF($F952:$AJ952,"L"))</f>
        <v/>
      </c>
      <c r="AO952" s="34" t="str">
        <f aca="false">IF($B952="","",COUNTIF($F952:$AJ952,"PL"))</f>
        <v/>
      </c>
      <c r="AP952" s="34" t="str">
        <f aca="false">IF($B952="","",COUNTIF($F952:$AJ952,"CL"))</f>
        <v/>
      </c>
      <c r="AQ952" s="34" t="str">
        <f aca="false">IF($B952="","",COUNTIF($F952:$AJ952,"SL"))</f>
        <v/>
      </c>
      <c r="AR952" s="34" t="str">
        <f aca="false">IF($B952="","",COUNTIF($F952:$AJ952,"CO"))</f>
        <v/>
      </c>
      <c r="AS952" s="34" t="str">
        <f aca="false">IF($B952="","",COUNTIF($F952:$AJ952,"HPL"))</f>
        <v/>
      </c>
      <c r="AT952" s="34" t="str">
        <f aca="false">IF($B952="","",COUNTIF($F952:$AJ952,"HCL"))</f>
        <v/>
      </c>
      <c r="AU952" s="34" t="str">
        <f aca="false">IF($B952="","",COUNTIF($F952:$AJ952,"WO"))</f>
        <v/>
      </c>
      <c r="AV952" s="34" t="str">
        <f aca="false">IF($B952="","",COUNTIF($F952:$AJ952,"PH"))</f>
        <v/>
      </c>
      <c r="AW952" s="34" t="str">
        <f aca="false">IF($B952="","",COUNTIF($F952:$AJ952,"TR"))</f>
        <v/>
      </c>
      <c r="AX952" s="35" t="str">
        <f aca="false">IF($B952="","",AO952+AS952/2)</f>
        <v/>
      </c>
      <c r="AY952" s="35" t="str">
        <f aca="false">IF($B952="","",AQ952)</f>
        <v/>
      </c>
      <c r="AZ952" s="35" t="str">
        <f aca="false">IF($B952="","",AP952+AT952/2)</f>
        <v/>
      </c>
      <c r="BA952" s="35" t="str">
        <f aca="false">IF($B952="","",AK952+AN952+AM952/2+AO952+AP952+AQ952+AR952+AS952+AT952+AU952+AV952+AW952)</f>
        <v/>
      </c>
      <c r="BB952" s="35" t="str">
        <f aca="false">IF($B952="","",MAX(0,AN952-Settings!$C$16)*Settings!$C$17)</f>
        <v/>
      </c>
      <c r="BC952" s="35" t="str">
        <f aca="false">IF($B952="","",BA952-BB952)</f>
        <v/>
      </c>
      <c r="BD952" s="35" t="str">
        <f aca="false">IF(OR($B952="",$A952=""),"",DAY(EOMONTH($A952,0))-COUNTA($F952:$AJ952))</f>
        <v/>
      </c>
    </row>
    <row r="953" customFormat="false" ht="15" hidden="false" customHeight="false" outlineLevel="0" collapsed="false">
      <c r="A953" s="32"/>
      <c r="B953" s="29"/>
      <c r="C953" s="10" t="str">
        <f aca="false">IF($B953="","",IFERROR(INDEX(M_name,MATCH($B953,M_emp,0)),"Code not found"))</f>
        <v/>
      </c>
      <c r="D953" s="10" t="str">
        <f aca="false">IF($B953="","",IFERROR(INDEX(M_dept,MATCH($B953,M_emp,0)),""))</f>
        <v/>
      </c>
      <c r="E953" s="10" t="str">
        <f aca="false">IF($B953="","",IFERROR(INDEX(M_loc,MATCH($B953,M_emp,0)),""))</f>
        <v/>
      </c>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4" t="str">
        <f aca="false">IF($B953="","",COUNTIF($F953:$AJ953,"P"))</f>
        <v/>
      </c>
      <c r="AL953" s="34" t="str">
        <f aca="false">IF($B953="","",COUNTIF($F953:$AJ953,"A"))</f>
        <v/>
      </c>
      <c r="AM953" s="34" t="str">
        <f aca="false">IF($B953="","",COUNTIF($F953:$AJ953,"HA"))</f>
        <v/>
      </c>
      <c r="AN953" s="34" t="str">
        <f aca="false">IF($B953="","",COUNTIF($F953:$AJ953,"L"))</f>
        <v/>
      </c>
      <c r="AO953" s="34" t="str">
        <f aca="false">IF($B953="","",COUNTIF($F953:$AJ953,"PL"))</f>
        <v/>
      </c>
      <c r="AP953" s="34" t="str">
        <f aca="false">IF($B953="","",COUNTIF($F953:$AJ953,"CL"))</f>
        <v/>
      </c>
      <c r="AQ953" s="34" t="str">
        <f aca="false">IF($B953="","",COUNTIF($F953:$AJ953,"SL"))</f>
        <v/>
      </c>
      <c r="AR953" s="34" t="str">
        <f aca="false">IF($B953="","",COUNTIF($F953:$AJ953,"CO"))</f>
        <v/>
      </c>
      <c r="AS953" s="34" t="str">
        <f aca="false">IF($B953="","",COUNTIF($F953:$AJ953,"HPL"))</f>
        <v/>
      </c>
      <c r="AT953" s="34" t="str">
        <f aca="false">IF($B953="","",COUNTIF($F953:$AJ953,"HCL"))</f>
        <v/>
      </c>
      <c r="AU953" s="34" t="str">
        <f aca="false">IF($B953="","",COUNTIF($F953:$AJ953,"WO"))</f>
        <v/>
      </c>
      <c r="AV953" s="34" t="str">
        <f aca="false">IF($B953="","",COUNTIF($F953:$AJ953,"PH"))</f>
        <v/>
      </c>
      <c r="AW953" s="34" t="str">
        <f aca="false">IF($B953="","",COUNTIF($F953:$AJ953,"TR"))</f>
        <v/>
      </c>
      <c r="AX953" s="35" t="str">
        <f aca="false">IF($B953="","",AO953+AS953/2)</f>
        <v/>
      </c>
      <c r="AY953" s="35" t="str">
        <f aca="false">IF($B953="","",AQ953)</f>
        <v/>
      </c>
      <c r="AZ953" s="35" t="str">
        <f aca="false">IF($B953="","",AP953+AT953/2)</f>
        <v/>
      </c>
      <c r="BA953" s="35" t="str">
        <f aca="false">IF($B953="","",AK953+AN953+AM953/2+AO953+AP953+AQ953+AR953+AS953+AT953+AU953+AV953+AW953)</f>
        <v/>
      </c>
      <c r="BB953" s="35" t="str">
        <f aca="false">IF($B953="","",MAX(0,AN953-Settings!$C$16)*Settings!$C$17)</f>
        <v/>
      </c>
      <c r="BC953" s="35" t="str">
        <f aca="false">IF($B953="","",BA953-BB953)</f>
        <v/>
      </c>
      <c r="BD953" s="35" t="str">
        <f aca="false">IF(OR($B953="",$A953=""),"",DAY(EOMONTH($A953,0))-COUNTA($F953:$AJ953))</f>
        <v/>
      </c>
    </row>
    <row r="954" customFormat="false" ht="15" hidden="false" customHeight="false" outlineLevel="0" collapsed="false">
      <c r="A954" s="32"/>
      <c r="B954" s="29"/>
      <c r="C954" s="10" t="str">
        <f aca="false">IF($B954="","",IFERROR(INDEX(M_name,MATCH($B954,M_emp,0)),"Code not found"))</f>
        <v/>
      </c>
      <c r="D954" s="10" t="str">
        <f aca="false">IF($B954="","",IFERROR(INDEX(M_dept,MATCH($B954,M_emp,0)),""))</f>
        <v/>
      </c>
      <c r="E954" s="10" t="str">
        <f aca="false">IF($B954="","",IFERROR(INDEX(M_loc,MATCH($B954,M_emp,0)),""))</f>
        <v/>
      </c>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4" t="str">
        <f aca="false">IF($B954="","",COUNTIF($F954:$AJ954,"P"))</f>
        <v/>
      </c>
      <c r="AL954" s="34" t="str">
        <f aca="false">IF($B954="","",COUNTIF($F954:$AJ954,"A"))</f>
        <v/>
      </c>
      <c r="AM954" s="34" t="str">
        <f aca="false">IF($B954="","",COUNTIF($F954:$AJ954,"HA"))</f>
        <v/>
      </c>
      <c r="AN954" s="34" t="str">
        <f aca="false">IF($B954="","",COUNTIF($F954:$AJ954,"L"))</f>
        <v/>
      </c>
      <c r="AO954" s="34" t="str">
        <f aca="false">IF($B954="","",COUNTIF($F954:$AJ954,"PL"))</f>
        <v/>
      </c>
      <c r="AP954" s="34" t="str">
        <f aca="false">IF($B954="","",COUNTIF($F954:$AJ954,"CL"))</f>
        <v/>
      </c>
      <c r="AQ954" s="34" t="str">
        <f aca="false">IF($B954="","",COUNTIF($F954:$AJ954,"SL"))</f>
        <v/>
      </c>
      <c r="AR954" s="34" t="str">
        <f aca="false">IF($B954="","",COUNTIF($F954:$AJ954,"CO"))</f>
        <v/>
      </c>
      <c r="AS954" s="34" t="str">
        <f aca="false">IF($B954="","",COUNTIF($F954:$AJ954,"HPL"))</f>
        <v/>
      </c>
      <c r="AT954" s="34" t="str">
        <f aca="false">IF($B954="","",COUNTIF($F954:$AJ954,"HCL"))</f>
        <v/>
      </c>
      <c r="AU954" s="34" t="str">
        <f aca="false">IF($B954="","",COUNTIF($F954:$AJ954,"WO"))</f>
        <v/>
      </c>
      <c r="AV954" s="34" t="str">
        <f aca="false">IF($B954="","",COUNTIF($F954:$AJ954,"PH"))</f>
        <v/>
      </c>
      <c r="AW954" s="34" t="str">
        <f aca="false">IF($B954="","",COUNTIF($F954:$AJ954,"TR"))</f>
        <v/>
      </c>
      <c r="AX954" s="35" t="str">
        <f aca="false">IF($B954="","",AO954+AS954/2)</f>
        <v/>
      </c>
      <c r="AY954" s="35" t="str">
        <f aca="false">IF($B954="","",AQ954)</f>
        <v/>
      </c>
      <c r="AZ954" s="35" t="str">
        <f aca="false">IF($B954="","",AP954+AT954/2)</f>
        <v/>
      </c>
      <c r="BA954" s="35" t="str">
        <f aca="false">IF($B954="","",AK954+AN954+AM954/2+AO954+AP954+AQ954+AR954+AS954+AT954+AU954+AV954+AW954)</f>
        <v/>
      </c>
      <c r="BB954" s="35" t="str">
        <f aca="false">IF($B954="","",MAX(0,AN954-Settings!$C$16)*Settings!$C$17)</f>
        <v/>
      </c>
      <c r="BC954" s="35" t="str">
        <f aca="false">IF($B954="","",BA954-BB954)</f>
        <v/>
      </c>
      <c r="BD954" s="35" t="str">
        <f aca="false">IF(OR($B954="",$A954=""),"",DAY(EOMONTH($A954,0))-COUNTA($F954:$AJ954))</f>
        <v/>
      </c>
    </row>
    <row r="955" customFormat="false" ht="15" hidden="false" customHeight="false" outlineLevel="0" collapsed="false">
      <c r="A955" s="32"/>
      <c r="B955" s="29"/>
      <c r="C955" s="10" t="str">
        <f aca="false">IF($B955="","",IFERROR(INDEX(M_name,MATCH($B955,M_emp,0)),"Code not found"))</f>
        <v/>
      </c>
      <c r="D955" s="10" t="str">
        <f aca="false">IF($B955="","",IFERROR(INDEX(M_dept,MATCH($B955,M_emp,0)),""))</f>
        <v/>
      </c>
      <c r="E955" s="10" t="str">
        <f aca="false">IF($B955="","",IFERROR(INDEX(M_loc,MATCH($B955,M_emp,0)),""))</f>
        <v/>
      </c>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4" t="str">
        <f aca="false">IF($B955="","",COUNTIF($F955:$AJ955,"P"))</f>
        <v/>
      </c>
      <c r="AL955" s="34" t="str">
        <f aca="false">IF($B955="","",COUNTIF($F955:$AJ955,"A"))</f>
        <v/>
      </c>
      <c r="AM955" s="34" t="str">
        <f aca="false">IF($B955="","",COUNTIF($F955:$AJ955,"HA"))</f>
        <v/>
      </c>
      <c r="AN955" s="34" t="str">
        <f aca="false">IF($B955="","",COUNTIF($F955:$AJ955,"L"))</f>
        <v/>
      </c>
      <c r="AO955" s="34" t="str">
        <f aca="false">IF($B955="","",COUNTIF($F955:$AJ955,"PL"))</f>
        <v/>
      </c>
      <c r="AP955" s="34" t="str">
        <f aca="false">IF($B955="","",COUNTIF($F955:$AJ955,"CL"))</f>
        <v/>
      </c>
      <c r="AQ955" s="34" t="str">
        <f aca="false">IF($B955="","",COUNTIF($F955:$AJ955,"SL"))</f>
        <v/>
      </c>
      <c r="AR955" s="34" t="str">
        <f aca="false">IF($B955="","",COUNTIF($F955:$AJ955,"CO"))</f>
        <v/>
      </c>
      <c r="AS955" s="34" t="str">
        <f aca="false">IF($B955="","",COUNTIF($F955:$AJ955,"HPL"))</f>
        <v/>
      </c>
      <c r="AT955" s="34" t="str">
        <f aca="false">IF($B955="","",COUNTIF($F955:$AJ955,"HCL"))</f>
        <v/>
      </c>
      <c r="AU955" s="34" t="str">
        <f aca="false">IF($B955="","",COUNTIF($F955:$AJ955,"WO"))</f>
        <v/>
      </c>
      <c r="AV955" s="34" t="str">
        <f aca="false">IF($B955="","",COUNTIF($F955:$AJ955,"PH"))</f>
        <v/>
      </c>
      <c r="AW955" s="34" t="str">
        <f aca="false">IF($B955="","",COUNTIF($F955:$AJ955,"TR"))</f>
        <v/>
      </c>
      <c r="AX955" s="35" t="str">
        <f aca="false">IF($B955="","",AO955+AS955/2)</f>
        <v/>
      </c>
      <c r="AY955" s="35" t="str">
        <f aca="false">IF($B955="","",AQ955)</f>
        <v/>
      </c>
      <c r="AZ955" s="35" t="str">
        <f aca="false">IF($B955="","",AP955+AT955/2)</f>
        <v/>
      </c>
      <c r="BA955" s="35" t="str">
        <f aca="false">IF($B955="","",AK955+AN955+AM955/2+AO955+AP955+AQ955+AR955+AS955+AT955+AU955+AV955+AW955)</f>
        <v/>
      </c>
      <c r="BB955" s="35" t="str">
        <f aca="false">IF($B955="","",MAX(0,AN955-Settings!$C$16)*Settings!$C$17)</f>
        <v/>
      </c>
      <c r="BC955" s="35" t="str">
        <f aca="false">IF($B955="","",BA955-BB955)</f>
        <v/>
      </c>
      <c r="BD955" s="35" t="str">
        <f aca="false">IF(OR($B955="",$A955=""),"",DAY(EOMONTH($A955,0))-COUNTA($F955:$AJ955))</f>
        <v/>
      </c>
    </row>
    <row r="956" customFormat="false" ht="15" hidden="false" customHeight="false" outlineLevel="0" collapsed="false">
      <c r="A956" s="32"/>
      <c r="B956" s="29"/>
      <c r="C956" s="10" t="str">
        <f aca="false">IF($B956="","",IFERROR(INDEX(M_name,MATCH($B956,M_emp,0)),"Code not found"))</f>
        <v/>
      </c>
      <c r="D956" s="10" t="str">
        <f aca="false">IF($B956="","",IFERROR(INDEX(M_dept,MATCH($B956,M_emp,0)),""))</f>
        <v/>
      </c>
      <c r="E956" s="10" t="str">
        <f aca="false">IF($B956="","",IFERROR(INDEX(M_loc,MATCH($B956,M_emp,0)),""))</f>
        <v/>
      </c>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4" t="str">
        <f aca="false">IF($B956="","",COUNTIF($F956:$AJ956,"P"))</f>
        <v/>
      </c>
      <c r="AL956" s="34" t="str">
        <f aca="false">IF($B956="","",COUNTIF($F956:$AJ956,"A"))</f>
        <v/>
      </c>
      <c r="AM956" s="34" t="str">
        <f aca="false">IF($B956="","",COUNTIF($F956:$AJ956,"HA"))</f>
        <v/>
      </c>
      <c r="AN956" s="34" t="str">
        <f aca="false">IF($B956="","",COUNTIF($F956:$AJ956,"L"))</f>
        <v/>
      </c>
      <c r="AO956" s="34" t="str">
        <f aca="false">IF($B956="","",COUNTIF($F956:$AJ956,"PL"))</f>
        <v/>
      </c>
      <c r="AP956" s="34" t="str">
        <f aca="false">IF($B956="","",COUNTIF($F956:$AJ956,"CL"))</f>
        <v/>
      </c>
      <c r="AQ956" s="34" t="str">
        <f aca="false">IF($B956="","",COUNTIF($F956:$AJ956,"SL"))</f>
        <v/>
      </c>
      <c r="AR956" s="34" t="str">
        <f aca="false">IF($B956="","",COUNTIF($F956:$AJ956,"CO"))</f>
        <v/>
      </c>
      <c r="AS956" s="34" t="str">
        <f aca="false">IF($B956="","",COUNTIF($F956:$AJ956,"HPL"))</f>
        <v/>
      </c>
      <c r="AT956" s="34" t="str">
        <f aca="false">IF($B956="","",COUNTIF($F956:$AJ956,"HCL"))</f>
        <v/>
      </c>
      <c r="AU956" s="34" t="str">
        <f aca="false">IF($B956="","",COUNTIF($F956:$AJ956,"WO"))</f>
        <v/>
      </c>
      <c r="AV956" s="34" t="str">
        <f aca="false">IF($B956="","",COUNTIF($F956:$AJ956,"PH"))</f>
        <v/>
      </c>
      <c r="AW956" s="34" t="str">
        <f aca="false">IF($B956="","",COUNTIF($F956:$AJ956,"TR"))</f>
        <v/>
      </c>
      <c r="AX956" s="35" t="str">
        <f aca="false">IF($B956="","",AO956+AS956/2)</f>
        <v/>
      </c>
      <c r="AY956" s="35" t="str">
        <f aca="false">IF($B956="","",AQ956)</f>
        <v/>
      </c>
      <c r="AZ956" s="35" t="str">
        <f aca="false">IF($B956="","",AP956+AT956/2)</f>
        <v/>
      </c>
      <c r="BA956" s="35" t="str">
        <f aca="false">IF($B956="","",AK956+AN956+AM956/2+AO956+AP956+AQ956+AR956+AS956+AT956+AU956+AV956+AW956)</f>
        <v/>
      </c>
      <c r="BB956" s="35" t="str">
        <f aca="false">IF($B956="","",MAX(0,AN956-Settings!$C$16)*Settings!$C$17)</f>
        <v/>
      </c>
      <c r="BC956" s="35" t="str">
        <f aca="false">IF($B956="","",BA956-BB956)</f>
        <v/>
      </c>
      <c r="BD956" s="35" t="str">
        <f aca="false">IF(OR($B956="",$A956=""),"",DAY(EOMONTH($A956,0))-COUNTA($F956:$AJ956))</f>
        <v/>
      </c>
    </row>
    <row r="957" customFormat="false" ht="15" hidden="false" customHeight="false" outlineLevel="0" collapsed="false">
      <c r="A957" s="32"/>
      <c r="B957" s="29"/>
      <c r="C957" s="10" t="str">
        <f aca="false">IF($B957="","",IFERROR(INDEX(M_name,MATCH($B957,M_emp,0)),"Code not found"))</f>
        <v/>
      </c>
      <c r="D957" s="10" t="str">
        <f aca="false">IF($B957="","",IFERROR(INDEX(M_dept,MATCH($B957,M_emp,0)),""))</f>
        <v/>
      </c>
      <c r="E957" s="10" t="str">
        <f aca="false">IF($B957="","",IFERROR(INDEX(M_loc,MATCH($B957,M_emp,0)),""))</f>
        <v/>
      </c>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4" t="str">
        <f aca="false">IF($B957="","",COUNTIF($F957:$AJ957,"P"))</f>
        <v/>
      </c>
      <c r="AL957" s="34" t="str">
        <f aca="false">IF($B957="","",COUNTIF($F957:$AJ957,"A"))</f>
        <v/>
      </c>
      <c r="AM957" s="34" t="str">
        <f aca="false">IF($B957="","",COUNTIF($F957:$AJ957,"HA"))</f>
        <v/>
      </c>
      <c r="AN957" s="34" t="str">
        <f aca="false">IF($B957="","",COUNTIF($F957:$AJ957,"L"))</f>
        <v/>
      </c>
      <c r="AO957" s="34" t="str">
        <f aca="false">IF($B957="","",COUNTIF($F957:$AJ957,"PL"))</f>
        <v/>
      </c>
      <c r="AP957" s="34" t="str">
        <f aca="false">IF($B957="","",COUNTIF($F957:$AJ957,"CL"))</f>
        <v/>
      </c>
      <c r="AQ957" s="34" t="str">
        <f aca="false">IF($B957="","",COUNTIF($F957:$AJ957,"SL"))</f>
        <v/>
      </c>
      <c r="AR957" s="34" t="str">
        <f aca="false">IF($B957="","",COUNTIF($F957:$AJ957,"CO"))</f>
        <v/>
      </c>
      <c r="AS957" s="34" t="str">
        <f aca="false">IF($B957="","",COUNTIF($F957:$AJ957,"HPL"))</f>
        <v/>
      </c>
      <c r="AT957" s="34" t="str">
        <f aca="false">IF($B957="","",COUNTIF($F957:$AJ957,"HCL"))</f>
        <v/>
      </c>
      <c r="AU957" s="34" t="str">
        <f aca="false">IF($B957="","",COUNTIF($F957:$AJ957,"WO"))</f>
        <v/>
      </c>
      <c r="AV957" s="34" t="str">
        <f aca="false">IF($B957="","",COUNTIF($F957:$AJ957,"PH"))</f>
        <v/>
      </c>
      <c r="AW957" s="34" t="str">
        <f aca="false">IF($B957="","",COUNTIF($F957:$AJ957,"TR"))</f>
        <v/>
      </c>
      <c r="AX957" s="35" t="str">
        <f aca="false">IF($B957="","",AO957+AS957/2)</f>
        <v/>
      </c>
      <c r="AY957" s="35" t="str">
        <f aca="false">IF($B957="","",AQ957)</f>
        <v/>
      </c>
      <c r="AZ957" s="35" t="str">
        <f aca="false">IF($B957="","",AP957+AT957/2)</f>
        <v/>
      </c>
      <c r="BA957" s="35" t="str">
        <f aca="false">IF($B957="","",AK957+AN957+AM957/2+AO957+AP957+AQ957+AR957+AS957+AT957+AU957+AV957+AW957)</f>
        <v/>
      </c>
      <c r="BB957" s="35" t="str">
        <f aca="false">IF($B957="","",MAX(0,AN957-Settings!$C$16)*Settings!$C$17)</f>
        <v/>
      </c>
      <c r="BC957" s="35" t="str">
        <f aca="false">IF($B957="","",BA957-BB957)</f>
        <v/>
      </c>
      <c r="BD957" s="35" t="str">
        <f aca="false">IF(OR($B957="",$A957=""),"",DAY(EOMONTH($A957,0))-COUNTA($F957:$AJ957))</f>
        <v/>
      </c>
    </row>
    <row r="958" customFormat="false" ht="15" hidden="false" customHeight="false" outlineLevel="0" collapsed="false">
      <c r="A958" s="32"/>
      <c r="B958" s="29"/>
      <c r="C958" s="10" t="str">
        <f aca="false">IF($B958="","",IFERROR(INDEX(M_name,MATCH($B958,M_emp,0)),"Code not found"))</f>
        <v/>
      </c>
      <c r="D958" s="10" t="str">
        <f aca="false">IF($B958="","",IFERROR(INDEX(M_dept,MATCH($B958,M_emp,0)),""))</f>
        <v/>
      </c>
      <c r="E958" s="10" t="str">
        <f aca="false">IF($B958="","",IFERROR(INDEX(M_loc,MATCH($B958,M_emp,0)),""))</f>
        <v/>
      </c>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4" t="str">
        <f aca="false">IF($B958="","",COUNTIF($F958:$AJ958,"P"))</f>
        <v/>
      </c>
      <c r="AL958" s="34" t="str">
        <f aca="false">IF($B958="","",COUNTIF($F958:$AJ958,"A"))</f>
        <v/>
      </c>
      <c r="AM958" s="34" t="str">
        <f aca="false">IF($B958="","",COUNTIF($F958:$AJ958,"HA"))</f>
        <v/>
      </c>
      <c r="AN958" s="34" t="str">
        <f aca="false">IF($B958="","",COUNTIF($F958:$AJ958,"L"))</f>
        <v/>
      </c>
      <c r="AO958" s="34" t="str">
        <f aca="false">IF($B958="","",COUNTIF($F958:$AJ958,"PL"))</f>
        <v/>
      </c>
      <c r="AP958" s="34" t="str">
        <f aca="false">IF($B958="","",COUNTIF($F958:$AJ958,"CL"))</f>
        <v/>
      </c>
      <c r="AQ958" s="34" t="str">
        <f aca="false">IF($B958="","",COUNTIF($F958:$AJ958,"SL"))</f>
        <v/>
      </c>
      <c r="AR958" s="34" t="str">
        <f aca="false">IF($B958="","",COUNTIF($F958:$AJ958,"CO"))</f>
        <v/>
      </c>
      <c r="AS958" s="34" t="str">
        <f aca="false">IF($B958="","",COUNTIF($F958:$AJ958,"HPL"))</f>
        <v/>
      </c>
      <c r="AT958" s="34" t="str">
        <f aca="false">IF($B958="","",COUNTIF($F958:$AJ958,"HCL"))</f>
        <v/>
      </c>
      <c r="AU958" s="34" t="str">
        <f aca="false">IF($B958="","",COUNTIF($F958:$AJ958,"WO"))</f>
        <v/>
      </c>
      <c r="AV958" s="34" t="str">
        <f aca="false">IF($B958="","",COUNTIF($F958:$AJ958,"PH"))</f>
        <v/>
      </c>
      <c r="AW958" s="34" t="str">
        <f aca="false">IF($B958="","",COUNTIF($F958:$AJ958,"TR"))</f>
        <v/>
      </c>
      <c r="AX958" s="35" t="str">
        <f aca="false">IF($B958="","",AO958+AS958/2)</f>
        <v/>
      </c>
      <c r="AY958" s="35" t="str">
        <f aca="false">IF($B958="","",AQ958)</f>
        <v/>
      </c>
      <c r="AZ958" s="35" t="str">
        <f aca="false">IF($B958="","",AP958+AT958/2)</f>
        <v/>
      </c>
      <c r="BA958" s="35" t="str">
        <f aca="false">IF($B958="","",AK958+AN958+AM958/2+AO958+AP958+AQ958+AR958+AS958+AT958+AU958+AV958+AW958)</f>
        <v/>
      </c>
      <c r="BB958" s="35" t="str">
        <f aca="false">IF($B958="","",MAX(0,AN958-Settings!$C$16)*Settings!$C$17)</f>
        <v/>
      </c>
      <c r="BC958" s="35" t="str">
        <f aca="false">IF($B958="","",BA958-BB958)</f>
        <v/>
      </c>
      <c r="BD958" s="35" t="str">
        <f aca="false">IF(OR($B958="",$A958=""),"",DAY(EOMONTH($A958,0))-COUNTA($F958:$AJ958))</f>
        <v/>
      </c>
    </row>
    <row r="959" customFormat="false" ht="15" hidden="false" customHeight="false" outlineLevel="0" collapsed="false">
      <c r="A959" s="32"/>
      <c r="B959" s="29"/>
      <c r="C959" s="10" t="str">
        <f aca="false">IF($B959="","",IFERROR(INDEX(M_name,MATCH($B959,M_emp,0)),"Code not found"))</f>
        <v/>
      </c>
      <c r="D959" s="10" t="str">
        <f aca="false">IF($B959="","",IFERROR(INDEX(M_dept,MATCH($B959,M_emp,0)),""))</f>
        <v/>
      </c>
      <c r="E959" s="10" t="str">
        <f aca="false">IF($B959="","",IFERROR(INDEX(M_loc,MATCH($B959,M_emp,0)),""))</f>
        <v/>
      </c>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4" t="str">
        <f aca="false">IF($B959="","",COUNTIF($F959:$AJ959,"P"))</f>
        <v/>
      </c>
      <c r="AL959" s="34" t="str">
        <f aca="false">IF($B959="","",COUNTIF($F959:$AJ959,"A"))</f>
        <v/>
      </c>
      <c r="AM959" s="34" t="str">
        <f aca="false">IF($B959="","",COUNTIF($F959:$AJ959,"HA"))</f>
        <v/>
      </c>
      <c r="AN959" s="34" t="str">
        <f aca="false">IF($B959="","",COUNTIF($F959:$AJ959,"L"))</f>
        <v/>
      </c>
      <c r="AO959" s="34" t="str">
        <f aca="false">IF($B959="","",COUNTIF($F959:$AJ959,"PL"))</f>
        <v/>
      </c>
      <c r="AP959" s="34" t="str">
        <f aca="false">IF($B959="","",COUNTIF($F959:$AJ959,"CL"))</f>
        <v/>
      </c>
      <c r="AQ959" s="34" t="str">
        <f aca="false">IF($B959="","",COUNTIF($F959:$AJ959,"SL"))</f>
        <v/>
      </c>
      <c r="AR959" s="34" t="str">
        <f aca="false">IF($B959="","",COUNTIF($F959:$AJ959,"CO"))</f>
        <v/>
      </c>
      <c r="AS959" s="34" t="str">
        <f aca="false">IF($B959="","",COUNTIF($F959:$AJ959,"HPL"))</f>
        <v/>
      </c>
      <c r="AT959" s="34" t="str">
        <f aca="false">IF($B959="","",COUNTIF($F959:$AJ959,"HCL"))</f>
        <v/>
      </c>
      <c r="AU959" s="34" t="str">
        <f aca="false">IF($B959="","",COUNTIF($F959:$AJ959,"WO"))</f>
        <v/>
      </c>
      <c r="AV959" s="34" t="str">
        <f aca="false">IF($B959="","",COUNTIF($F959:$AJ959,"PH"))</f>
        <v/>
      </c>
      <c r="AW959" s="34" t="str">
        <f aca="false">IF($B959="","",COUNTIF($F959:$AJ959,"TR"))</f>
        <v/>
      </c>
      <c r="AX959" s="35" t="str">
        <f aca="false">IF($B959="","",AO959+AS959/2)</f>
        <v/>
      </c>
      <c r="AY959" s="35" t="str">
        <f aca="false">IF($B959="","",AQ959)</f>
        <v/>
      </c>
      <c r="AZ959" s="35" t="str">
        <f aca="false">IF($B959="","",AP959+AT959/2)</f>
        <v/>
      </c>
      <c r="BA959" s="35" t="str">
        <f aca="false">IF($B959="","",AK959+AN959+AM959/2+AO959+AP959+AQ959+AR959+AS959+AT959+AU959+AV959+AW959)</f>
        <v/>
      </c>
      <c r="BB959" s="35" t="str">
        <f aca="false">IF($B959="","",MAX(0,AN959-Settings!$C$16)*Settings!$C$17)</f>
        <v/>
      </c>
      <c r="BC959" s="35" t="str">
        <f aca="false">IF($B959="","",BA959-BB959)</f>
        <v/>
      </c>
      <c r="BD959" s="35" t="str">
        <f aca="false">IF(OR($B959="",$A959=""),"",DAY(EOMONTH($A959,0))-COUNTA($F959:$AJ959))</f>
        <v/>
      </c>
    </row>
    <row r="960" customFormat="false" ht="15" hidden="false" customHeight="false" outlineLevel="0" collapsed="false">
      <c r="A960" s="32"/>
      <c r="B960" s="29"/>
      <c r="C960" s="10" t="str">
        <f aca="false">IF($B960="","",IFERROR(INDEX(M_name,MATCH($B960,M_emp,0)),"Code not found"))</f>
        <v/>
      </c>
      <c r="D960" s="10" t="str">
        <f aca="false">IF($B960="","",IFERROR(INDEX(M_dept,MATCH($B960,M_emp,0)),""))</f>
        <v/>
      </c>
      <c r="E960" s="10" t="str">
        <f aca="false">IF($B960="","",IFERROR(INDEX(M_loc,MATCH($B960,M_emp,0)),""))</f>
        <v/>
      </c>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4" t="str">
        <f aca="false">IF($B960="","",COUNTIF($F960:$AJ960,"P"))</f>
        <v/>
      </c>
      <c r="AL960" s="34" t="str">
        <f aca="false">IF($B960="","",COUNTIF($F960:$AJ960,"A"))</f>
        <v/>
      </c>
      <c r="AM960" s="34" t="str">
        <f aca="false">IF($B960="","",COUNTIF($F960:$AJ960,"HA"))</f>
        <v/>
      </c>
      <c r="AN960" s="34" t="str">
        <f aca="false">IF($B960="","",COUNTIF($F960:$AJ960,"L"))</f>
        <v/>
      </c>
      <c r="AO960" s="34" t="str">
        <f aca="false">IF($B960="","",COUNTIF($F960:$AJ960,"PL"))</f>
        <v/>
      </c>
      <c r="AP960" s="34" t="str">
        <f aca="false">IF($B960="","",COUNTIF($F960:$AJ960,"CL"))</f>
        <v/>
      </c>
      <c r="AQ960" s="34" t="str">
        <f aca="false">IF($B960="","",COUNTIF($F960:$AJ960,"SL"))</f>
        <v/>
      </c>
      <c r="AR960" s="34" t="str">
        <f aca="false">IF($B960="","",COUNTIF($F960:$AJ960,"CO"))</f>
        <v/>
      </c>
      <c r="AS960" s="34" t="str">
        <f aca="false">IF($B960="","",COUNTIF($F960:$AJ960,"HPL"))</f>
        <v/>
      </c>
      <c r="AT960" s="34" t="str">
        <f aca="false">IF($B960="","",COUNTIF($F960:$AJ960,"HCL"))</f>
        <v/>
      </c>
      <c r="AU960" s="34" t="str">
        <f aca="false">IF($B960="","",COUNTIF($F960:$AJ960,"WO"))</f>
        <v/>
      </c>
      <c r="AV960" s="34" t="str">
        <f aca="false">IF($B960="","",COUNTIF($F960:$AJ960,"PH"))</f>
        <v/>
      </c>
      <c r="AW960" s="34" t="str">
        <f aca="false">IF($B960="","",COUNTIF($F960:$AJ960,"TR"))</f>
        <v/>
      </c>
      <c r="AX960" s="35" t="str">
        <f aca="false">IF($B960="","",AO960+AS960/2)</f>
        <v/>
      </c>
      <c r="AY960" s="35" t="str">
        <f aca="false">IF($B960="","",AQ960)</f>
        <v/>
      </c>
      <c r="AZ960" s="35" t="str">
        <f aca="false">IF($B960="","",AP960+AT960/2)</f>
        <v/>
      </c>
      <c r="BA960" s="35" t="str">
        <f aca="false">IF($B960="","",AK960+AN960+AM960/2+AO960+AP960+AQ960+AR960+AS960+AT960+AU960+AV960+AW960)</f>
        <v/>
      </c>
      <c r="BB960" s="35" t="str">
        <f aca="false">IF($B960="","",MAX(0,AN960-Settings!$C$16)*Settings!$C$17)</f>
        <v/>
      </c>
      <c r="BC960" s="35" t="str">
        <f aca="false">IF($B960="","",BA960-BB960)</f>
        <v/>
      </c>
      <c r="BD960" s="35" t="str">
        <f aca="false">IF(OR($B960="",$A960=""),"",DAY(EOMONTH($A960,0))-COUNTA($F960:$AJ960))</f>
        <v/>
      </c>
    </row>
    <row r="961" customFormat="false" ht="15" hidden="false" customHeight="false" outlineLevel="0" collapsed="false">
      <c r="A961" s="32"/>
      <c r="B961" s="29"/>
      <c r="C961" s="10" t="str">
        <f aca="false">IF($B961="","",IFERROR(INDEX(M_name,MATCH($B961,M_emp,0)),"Code not found"))</f>
        <v/>
      </c>
      <c r="D961" s="10" t="str">
        <f aca="false">IF($B961="","",IFERROR(INDEX(M_dept,MATCH($B961,M_emp,0)),""))</f>
        <v/>
      </c>
      <c r="E961" s="10" t="str">
        <f aca="false">IF($B961="","",IFERROR(INDEX(M_loc,MATCH($B961,M_emp,0)),""))</f>
        <v/>
      </c>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4" t="str">
        <f aca="false">IF($B961="","",COUNTIF($F961:$AJ961,"P"))</f>
        <v/>
      </c>
      <c r="AL961" s="34" t="str">
        <f aca="false">IF($B961="","",COUNTIF($F961:$AJ961,"A"))</f>
        <v/>
      </c>
      <c r="AM961" s="34" t="str">
        <f aca="false">IF($B961="","",COUNTIF($F961:$AJ961,"HA"))</f>
        <v/>
      </c>
      <c r="AN961" s="34" t="str">
        <f aca="false">IF($B961="","",COUNTIF($F961:$AJ961,"L"))</f>
        <v/>
      </c>
      <c r="AO961" s="34" t="str">
        <f aca="false">IF($B961="","",COUNTIF($F961:$AJ961,"PL"))</f>
        <v/>
      </c>
      <c r="AP961" s="34" t="str">
        <f aca="false">IF($B961="","",COUNTIF($F961:$AJ961,"CL"))</f>
        <v/>
      </c>
      <c r="AQ961" s="34" t="str">
        <f aca="false">IF($B961="","",COUNTIF($F961:$AJ961,"SL"))</f>
        <v/>
      </c>
      <c r="AR961" s="34" t="str">
        <f aca="false">IF($B961="","",COUNTIF($F961:$AJ961,"CO"))</f>
        <v/>
      </c>
      <c r="AS961" s="34" t="str">
        <f aca="false">IF($B961="","",COUNTIF($F961:$AJ961,"HPL"))</f>
        <v/>
      </c>
      <c r="AT961" s="34" t="str">
        <f aca="false">IF($B961="","",COUNTIF($F961:$AJ961,"HCL"))</f>
        <v/>
      </c>
      <c r="AU961" s="34" t="str">
        <f aca="false">IF($B961="","",COUNTIF($F961:$AJ961,"WO"))</f>
        <v/>
      </c>
      <c r="AV961" s="34" t="str">
        <f aca="false">IF($B961="","",COUNTIF($F961:$AJ961,"PH"))</f>
        <v/>
      </c>
      <c r="AW961" s="34" t="str">
        <f aca="false">IF($B961="","",COUNTIF($F961:$AJ961,"TR"))</f>
        <v/>
      </c>
      <c r="AX961" s="35" t="str">
        <f aca="false">IF($B961="","",AO961+AS961/2)</f>
        <v/>
      </c>
      <c r="AY961" s="35" t="str">
        <f aca="false">IF($B961="","",AQ961)</f>
        <v/>
      </c>
      <c r="AZ961" s="35" t="str">
        <f aca="false">IF($B961="","",AP961+AT961/2)</f>
        <v/>
      </c>
      <c r="BA961" s="35" t="str">
        <f aca="false">IF($B961="","",AK961+AN961+AM961/2+AO961+AP961+AQ961+AR961+AS961+AT961+AU961+AV961+AW961)</f>
        <v/>
      </c>
      <c r="BB961" s="35" t="str">
        <f aca="false">IF($B961="","",MAX(0,AN961-Settings!$C$16)*Settings!$C$17)</f>
        <v/>
      </c>
      <c r="BC961" s="35" t="str">
        <f aca="false">IF($B961="","",BA961-BB961)</f>
        <v/>
      </c>
      <c r="BD961" s="35" t="str">
        <f aca="false">IF(OR($B961="",$A961=""),"",DAY(EOMONTH($A961,0))-COUNTA($F961:$AJ961))</f>
        <v/>
      </c>
    </row>
    <row r="962" customFormat="false" ht="15" hidden="false" customHeight="false" outlineLevel="0" collapsed="false">
      <c r="A962" s="32"/>
      <c r="B962" s="29"/>
      <c r="C962" s="10" t="str">
        <f aca="false">IF($B962="","",IFERROR(INDEX(M_name,MATCH($B962,M_emp,0)),"Code not found"))</f>
        <v/>
      </c>
      <c r="D962" s="10" t="str">
        <f aca="false">IF($B962="","",IFERROR(INDEX(M_dept,MATCH($B962,M_emp,0)),""))</f>
        <v/>
      </c>
      <c r="E962" s="10" t="str">
        <f aca="false">IF($B962="","",IFERROR(INDEX(M_loc,MATCH($B962,M_emp,0)),""))</f>
        <v/>
      </c>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4" t="str">
        <f aca="false">IF($B962="","",COUNTIF($F962:$AJ962,"P"))</f>
        <v/>
      </c>
      <c r="AL962" s="34" t="str">
        <f aca="false">IF($B962="","",COUNTIF($F962:$AJ962,"A"))</f>
        <v/>
      </c>
      <c r="AM962" s="34" t="str">
        <f aca="false">IF($B962="","",COUNTIF($F962:$AJ962,"HA"))</f>
        <v/>
      </c>
      <c r="AN962" s="34" t="str">
        <f aca="false">IF($B962="","",COUNTIF($F962:$AJ962,"L"))</f>
        <v/>
      </c>
      <c r="AO962" s="34" t="str">
        <f aca="false">IF($B962="","",COUNTIF($F962:$AJ962,"PL"))</f>
        <v/>
      </c>
      <c r="AP962" s="34" t="str">
        <f aca="false">IF($B962="","",COUNTIF($F962:$AJ962,"CL"))</f>
        <v/>
      </c>
      <c r="AQ962" s="34" t="str">
        <f aca="false">IF($B962="","",COUNTIF($F962:$AJ962,"SL"))</f>
        <v/>
      </c>
      <c r="AR962" s="34" t="str">
        <f aca="false">IF($B962="","",COUNTIF($F962:$AJ962,"CO"))</f>
        <v/>
      </c>
      <c r="AS962" s="34" t="str">
        <f aca="false">IF($B962="","",COUNTIF($F962:$AJ962,"HPL"))</f>
        <v/>
      </c>
      <c r="AT962" s="34" t="str">
        <f aca="false">IF($B962="","",COUNTIF($F962:$AJ962,"HCL"))</f>
        <v/>
      </c>
      <c r="AU962" s="34" t="str">
        <f aca="false">IF($B962="","",COUNTIF($F962:$AJ962,"WO"))</f>
        <v/>
      </c>
      <c r="AV962" s="34" t="str">
        <f aca="false">IF($B962="","",COUNTIF($F962:$AJ962,"PH"))</f>
        <v/>
      </c>
      <c r="AW962" s="34" t="str">
        <f aca="false">IF($B962="","",COUNTIF($F962:$AJ962,"TR"))</f>
        <v/>
      </c>
      <c r="AX962" s="35" t="str">
        <f aca="false">IF($B962="","",AO962+AS962/2)</f>
        <v/>
      </c>
      <c r="AY962" s="35" t="str">
        <f aca="false">IF($B962="","",AQ962)</f>
        <v/>
      </c>
      <c r="AZ962" s="35" t="str">
        <f aca="false">IF($B962="","",AP962+AT962/2)</f>
        <v/>
      </c>
      <c r="BA962" s="35" t="str">
        <f aca="false">IF($B962="","",AK962+AN962+AM962/2+AO962+AP962+AQ962+AR962+AS962+AT962+AU962+AV962+AW962)</f>
        <v/>
      </c>
      <c r="BB962" s="35" t="str">
        <f aca="false">IF($B962="","",MAX(0,AN962-Settings!$C$16)*Settings!$C$17)</f>
        <v/>
      </c>
      <c r="BC962" s="35" t="str">
        <f aca="false">IF($B962="","",BA962-BB962)</f>
        <v/>
      </c>
      <c r="BD962" s="35" t="str">
        <f aca="false">IF(OR($B962="",$A962=""),"",DAY(EOMONTH($A962,0))-COUNTA($F962:$AJ962))</f>
        <v/>
      </c>
    </row>
    <row r="963" customFormat="false" ht="15" hidden="false" customHeight="false" outlineLevel="0" collapsed="false">
      <c r="A963" s="32"/>
      <c r="B963" s="29"/>
      <c r="C963" s="10" t="str">
        <f aca="false">IF($B963="","",IFERROR(INDEX(M_name,MATCH($B963,M_emp,0)),"Code not found"))</f>
        <v/>
      </c>
      <c r="D963" s="10" t="str">
        <f aca="false">IF($B963="","",IFERROR(INDEX(M_dept,MATCH($B963,M_emp,0)),""))</f>
        <v/>
      </c>
      <c r="E963" s="10" t="str">
        <f aca="false">IF($B963="","",IFERROR(INDEX(M_loc,MATCH($B963,M_emp,0)),""))</f>
        <v/>
      </c>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4" t="str">
        <f aca="false">IF($B963="","",COUNTIF($F963:$AJ963,"P"))</f>
        <v/>
      </c>
      <c r="AL963" s="34" t="str">
        <f aca="false">IF($B963="","",COUNTIF($F963:$AJ963,"A"))</f>
        <v/>
      </c>
      <c r="AM963" s="34" t="str">
        <f aca="false">IF($B963="","",COUNTIF($F963:$AJ963,"HA"))</f>
        <v/>
      </c>
      <c r="AN963" s="34" t="str">
        <f aca="false">IF($B963="","",COUNTIF($F963:$AJ963,"L"))</f>
        <v/>
      </c>
      <c r="AO963" s="34" t="str">
        <f aca="false">IF($B963="","",COUNTIF($F963:$AJ963,"PL"))</f>
        <v/>
      </c>
      <c r="AP963" s="34" t="str">
        <f aca="false">IF($B963="","",COUNTIF($F963:$AJ963,"CL"))</f>
        <v/>
      </c>
      <c r="AQ963" s="34" t="str">
        <f aca="false">IF($B963="","",COUNTIF($F963:$AJ963,"SL"))</f>
        <v/>
      </c>
      <c r="AR963" s="34" t="str">
        <f aca="false">IF($B963="","",COUNTIF($F963:$AJ963,"CO"))</f>
        <v/>
      </c>
      <c r="AS963" s="34" t="str">
        <f aca="false">IF($B963="","",COUNTIF($F963:$AJ963,"HPL"))</f>
        <v/>
      </c>
      <c r="AT963" s="34" t="str">
        <f aca="false">IF($B963="","",COUNTIF($F963:$AJ963,"HCL"))</f>
        <v/>
      </c>
      <c r="AU963" s="34" t="str">
        <f aca="false">IF($B963="","",COUNTIF($F963:$AJ963,"WO"))</f>
        <v/>
      </c>
      <c r="AV963" s="34" t="str">
        <f aca="false">IF($B963="","",COUNTIF($F963:$AJ963,"PH"))</f>
        <v/>
      </c>
      <c r="AW963" s="34" t="str">
        <f aca="false">IF($B963="","",COUNTIF($F963:$AJ963,"TR"))</f>
        <v/>
      </c>
      <c r="AX963" s="35" t="str">
        <f aca="false">IF($B963="","",AO963+AS963/2)</f>
        <v/>
      </c>
      <c r="AY963" s="35" t="str">
        <f aca="false">IF($B963="","",AQ963)</f>
        <v/>
      </c>
      <c r="AZ963" s="35" t="str">
        <f aca="false">IF($B963="","",AP963+AT963/2)</f>
        <v/>
      </c>
      <c r="BA963" s="35" t="str">
        <f aca="false">IF($B963="","",AK963+AN963+AM963/2+AO963+AP963+AQ963+AR963+AS963+AT963+AU963+AV963+AW963)</f>
        <v/>
      </c>
      <c r="BB963" s="35" t="str">
        <f aca="false">IF($B963="","",MAX(0,AN963-Settings!$C$16)*Settings!$C$17)</f>
        <v/>
      </c>
      <c r="BC963" s="35" t="str">
        <f aca="false">IF($B963="","",BA963-BB963)</f>
        <v/>
      </c>
      <c r="BD963" s="35" t="str">
        <f aca="false">IF(OR($B963="",$A963=""),"",DAY(EOMONTH($A963,0))-COUNTA($F963:$AJ963))</f>
        <v/>
      </c>
    </row>
    <row r="964" customFormat="false" ht="15" hidden="false" customHeight="false" outlineLevel="0" collapsed="false">
      <c r="A964" s="32"/>
      <c r="B964" s="29"/>
      <c r="C964" s="10" t="str">
        <f aca="false">IF($B964="","",IFERROR(INDEX(M_name,MATCH($B964,M_emp,0)),"Code not found"))</f>
        <v/>
      </c>
      <c r="D964" s="10" t="str">
        <f aca="false">IF($B964="","",IFERROR(INDEX(M_dept,MATCH($B964,M_emp,0)),""))</f>
        <v/>
      </c>
      <c r="E964" s="10" t="str">
        <f aca="false">IF($B964="","",IFERROR(INDEX(M_loc,MATCH($B964,M_emp,0)),""))</f>
        <v/>
      </c>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4" t="str">
        <f aca="false">IF($B964="","",COUNTIF($F964:$AJ964,"P"))</f>
        <v/>
      </c>
      <c r="AL964" s="34" t="str">
        <f aca="false">IF($B964="","",COUNTIF($F964:$AJ964,"A"))</f>
        <v/>
      </c>
      <c r="AM964" s="34" t="str">
        <f aca="false">IF($B964="","",COUNTIF($F964:$AJ964,"HA"))</f>
        <v/>
      </c>
      <c r="AN964" s="34" t="str">
        <f aca="false">IF($B964="","",COUNTIF($F964:$AJ964,"L"))</f>
        <v/>
      </c>
      <c r="AO964" s="34" t="str">
        <f aca="false">IF($B964="","",COUNTIF($F964:$AJ964,"PL"))</f>
        <v/>
      </c>
      <c r="AP964" s="34" t="str">
        <f aca="false">IF($B964="","",COUNTIF($F964:$AJ964,"CL"))</f>
        <v/>
      </c>
      <c r="AQ964" s="34" t="str">
        <f aca="false">IF($B964="","",COUNTIF($F964:$AJ964,"SL"))</f>
        <v/>
      </c>
      <c r="AR964" s="34" t="str">
        <f aca="false">IF($B964="","",COUNTIF($F964:$AJ964,"CO"))</f>
        <v/>
      </c>
      <c r="AS964" s="34" t="str">
        <f aca="false">IF($B964="","",COUNTIF($F964:$AJ964,"HPL"))</f>
        <v/>
      </c>
      <c r="AT964" s="34" t="str">
        <f aca="false">IF($B964="","",COUNTIF($F964:$AJ964,"HCL"))</f>
        <v/>
      </c>
      <c r="AU964" s="34" t="str">
        <f aca="false">IF($B964="","",COUNTIF($F964:$AJ964,"WO"))</f>
        <v/>
      </c>
      <c r="AV964" s="34" t="str">
        <f aca="false">IF($B964="","",COUNTIF($F964:$AJ964,"PH"))</f>
        <v/>
      </c>
      <c r="AW964" s="34" t="str">
        <f aca="false">IF($B964="","",COUNTIF($F964:$AJ964,"TR"))</f>
        <v/>
      </c>
      <c r="AX964" s="35" t="str">
        <f aca="false">IF($B964="","",AO964+AS964/2)</f>
        <v/>
      </c>
      <c r="AY964" s="35" t="str">
        <f aca="false">IF($B964="","",AQ964)</f>
        <v/>
      </c>
      <c r="AZ964" s="35" t="str">
        <f aca="false">IF($B964="","",AP964+AT964/2)</f>
        <v/>
      </c>
      <c r="BA964" s="35" t="str">
        <f aca="false">IF($B964="","",AK964+AN964+AM964/2+AO964+AP964+AQ964+AR964+AS964+AT964+AU964+AV964+AW964)</f>
        <v/>
      </c>
      <c r="BB964" s="35" t="str">
        <f aca="false">IF($B964="","",MAX(0,AN964-Settings!$C$16)*Settings!$C$17)</f>
        <v/>
      </c>
      <c r="BC964" s="35" t="str">
        <f aca="false">IF($B964="","",BA964-BB964)</f>
        <v/>
      </c>
      <c r="BD964" s="35" t="str">
        <f aca="false">IF(OR($B964="",$A964=""),"",DAY(EOMONTH($A964,0))-COUNTA($F964:$AJ964))</f>
        <v/>
      </c>
    </row>
    <row r="965" customFormat="false" ht="15" hidden="false" customHeight="false" outlineLevel="0" collapsed="false">
      <c r="A965" s="32"/>
      <c r="B965" s="29"/>
      <c r="C965" s="10" t="str">
        <f aca="false">IF($B965="","",IFERROR(INDEX(M_name,MATCH($B965,M_emp,0)),"Code not found"))</f>
        <v/>
      </c>
      <c r="D965" s="10" t="str">
        <f aca="false">IF($B965="","",IFERROR(INDEX(M_dept,MATCH($B965,M_emp,0)),""))</f>
        <v/>
      </c>
      <c r="E965" s="10" t="str">
        <f aca="false">IF($B965="","",IFERROR(INDEX(M_loc,MATCH($B965,M_emp,0)),""))</f>
        <v/>
      </c>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4" t="str">
        <f aca="false">IF($B965="","",COUNTIF($F965:$AJ965,"P"))</f>
        <v/>
      </c>
      <c r="AL965" s="34" t="str">
        <f aca="false">IF($B965="","",COUNTIF($F965:$AJ965,"A"))</f>
        <v/>
      </c>
      <c r="AM965" s="34" t="str">
        <f aca="false">IF($B965="","",COUNTIF($F965:$AJ965,"HA"))</f>
        <v/>
      </c>
      <c r="AN965" s="34" t="str">
        <f aca="false">IF($B965="","",COUNTIF($F965:$AJ965,"L"))</f>
        <v/>
      </c>
      <c r="AO965" s="34" t="str">
        <f aca="false">IF($B965="","",COUNTIF($F965:$AJ965,"PL"))</f>
        <v/>
      </c>
      <c r="AP965" s="34" t="str">
        <f aca="false">IF($B965="","",COUNTIF($F965:$AJ965,"CL"))</f>
        <v/>
      </c>
      <c r="AQ965" s="34" t="str">
        <f aca="false">IF($B965="","",COUNTIF($F965:$AJ965,"SL"))</f>
        <v/>
      </c>
      <c r="AR965" s="34" t="str">
        <f aca="false">IF($B965="","",COUNTIF($F965:$AJ965,"CO"))</f>
        <v/>
      </c>
      <c r="AS965" s="34" t="str">
        <f aca="false">IF($B965="","",COUNTIF($F965:$AJ965,"HPL"))</f>
        <v/>
      </c>
      <c r="AT965" s="34" t="str">
        <f aca="false">IF($B965="","",COUNTIF($F965:$AJ965,"HCL"))</f>
        <v/>
      </c>
      <c r="AU965" s="34" t="str">
        <f aca="false">IF($B965="","",COUNTIF($F965:$AJ965,"WO"))</f>
        <v/>
      </c>
      <c r="AV965" s="34" t="str">
        <f aca="false">IF($B965="","",COUNTIF($F965:$AJ965,"PH"))</f>
        <v/>
      </c>
      <c r="AW965" s="34" t="str">
        <f aca="false">IF($B965="","",COUNTIF($F965:$AJ965,"TR"))</f>
        <v/>
      </c>
      <c r="AX965" s="35" t="str">
        <f aca="false">IF($B965="","",AO965+AS965/2)</f>
        <v/>
      </c>
      <c r="AY965" s="35" t="str">
        <f aca="false">IF($B965="","",AQ965)</f>
        <v/>
      </c>
      <c r="AZ965" s="35" t="str">
        <f aca="false">IF($B965="","",AP965+AT965/2)</f>
        <v/>
      </c>
      <c r="BA965" s="35" t="str">
        <f aca="false">IF($B965="","",AK965+AN965+AM965/2+AO965+AP965+AQ965+AR965+AS965+AT965+AU965+AV965+AW965)</f>
        <v/>
      </c>
      <c r="BB965" s="35" t="str">
        <f aca="false">IF($B965="","",MAX(0,AN965-Settings!$C$16)*Settings!$C$17)</f>
        <v/>
      </c>
      <c r="BC965" s="35" t="str">
        <f aca="false">IF($B965="","",BA965-BB965)</f>
        <v/>
      </c>
      <c r="BD965" s="35" t="str">
        <f aca="false">IF(OR($B965="",$A965=""),"",DAY(EOMONTH($A965,0))-COUNTA($F965:$AJ965))</f>
        <v/>
      </c>
    </row>
    <row r="966" customFormat="false" ht="15" hidden="false" customHeight="false" outlineLevel="0" collapsed="false">
      <c r="A966" s="32"/>
      <c r="B966" s="29"/>
      <c r="C966" s="10" t="str">
        <f aca="false">IF($B966="","",IFERROR(INDEX(M_name,MATCH($B966,M_emp,0)),"Code not found"))</f>
        <v/>
      </c>
      <c r="D966" s="10" t="str">
        <f aca="false">IF($B966="","",IFERROR(INDEX(M_dept,MATCH($B966,M_emp,0)),""))</f>
        <v/>
      </c>
      <c r="E966" s="10" t="str">
        <f aca="false">IF($B966="","",IFERROR(INDEX(M_loc,MATCH($B966,M_emp,0)),""))</f>
        <v/>
      </c>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4" t="str">
        <f aca="false">IF($B966="","",COUNTIF($F966:$AJ966,"P"))</f>
        <v/>
      </c>
      <c r="AL966" s="34" t="str">
        <f aca="false">IF($B966="","",COUNTIF($F966:$AJ966,"A"))</f>
        <v/>
      </c>
      <c r="AM966" s="34" t="str">
        <f aca="false">IF($B966="","",COUNTIF($F966:$AJ966,"HA"))</f>
        <v/>
      </c>
      <c r="AN966" s="34" t="str">
        <f aca="false">IF($B966="","",COUNTIF($F966:$AJ966,"L"))</f>
        <v/>
      </c>
      <c r="AO966" s="34" t="str">
        <f aca="false">IF($B966="","",COUNTIF($F966:$AJ966,"PL"))</f>
        <v/>
      </c>
      <c r="AP966" s="34" t="str">
        <f aca="false">IF($B966="","",COUNTIF($F966:$AJ966,"CL"))</f>
        <v/>
      </c>
      <c r="AQ966" s="34" t="str">
        <f aca="false">IF($B966="","",COUNTIF($F966:$AJ966,"SL"))</f>
        <v/>
      </c>
      <c r="AR966" s="34" t="str">
        <f aca="false">IF($B966="","",COUNTIF($F966:$AJ966,"CO"))</f>
        <v/>
      </c>
      <c r="AS966" s="34" t="str">
        <f aca="false">IF($B966="","",COUNTIF($F966:$AJ966,"HPL"))</f>
        <v/>
      </c>
      <c r="AT966" s="34" t="str">
        <f aca="false">IF($B966="","",COUNTIF($F966:$AJ966,"HCL"))</f>
        <v/>
      </c>
      <c r="AU966" s="34" t="str">
        <f aca="false">IF($B966="","",COUNTIF($F966:$AJ966,"WO"))</f>
        <v/>
      </c>
      <c r="AV966" s="34" t="str">
        <f aca="false">IF($B966="","",COUNTIF($F966:$AJ966,"PH"))</f>
        <v/>
      </c>
      <c r="AW966" s="34" t="str">
        <f aca="false">IF($B966="","",COUNTIF($F966:$AJ966,"TR"))</f>
        <v/>
      </c>
      <c r="AX966" s="35" t="str">
        <f aca="false">IF($B966="","",AO966+AS966/2)</f>
        <v/>
      </c>
      <c r="AY966" s="35" t="str">
        <f aca="false">IF($B966="","",AQ966)</f>
        <v/>
      </c>
      <c r="AZ966" s="35" t="str">
        <f aca="false">IF($B966="","",AP966+AT966/2)</f>
        <v/>
      </c>
      <c r="BA966" s="35" t="str">
        <f aca="false">IF($B966="","",AK966+AN966+AM966/2+AO966+AP966+AQ966+AR966+AS966+AT966+AU966+AV966+AW966)</f>
        <v/>
      </c>
      <c r="BB966" s="35" t="str">
        <f aca="false">IF($B966="","",MAX(0,AN966-Settings!$C$16)*Settings!$C$17)</f>
        <v/>
      </c>
      <c r="BC966" s="35" t="str">
        <f aca="false">IF($B966="","",BA966-BB966)</f>
        <v/>
      </c>
      <c r="BD966" s="35" t="str">
        <f aca="false">IF(OR($B966="",$A966=""),"",DAY(EOMONTH($A966,0))-COUNTA($F966:$AJ966))</f>
        <v/>
      </c>
    </row>
    <row r="967" customFormat="false" ht="15" hidden="false" customHeight="false" outlineLevel="0" collapsed="false">
      <c r="A967" s="32"/>
      <c r="B967" s="29"/>
      <c r="C967" s="10" t="str">
        <f aca="false">IF($B967="","",IFERROR(INDEX(M_name,MATCH($B967,M_emp,0)),"Code not found"))</f>
        <v/>
      </c>
      <c r="D967" s="10" t="str">
        <f aca="false">IF($B967="","",IFERROR(INDEX(M_dept,MATCH($B967,M_emp,0)),""))</f>
        <v/>
      </c>
      <c r="E967" s="10" t="str">
        <f aca="false">IF($B967="","",IFERROR(INDEX(M_loc,MATCH($B967,M_emp,0)),""))</f>
        <v/>
      </c>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4" t="str">
        <f aca="false">IF($B967="","",COUNTIF($F967:$AJ967,"P"))</f>
        <v/>
      </c>
      <c r="AL967" s="34" t="str">
        <f aca="false">IF($B967="","",COUNTIF($F967:$AJ967,"A"))</f>
        <v/>
      </c>
      <c r="AM967" s="34" t="str">
        <f aca="false">IF($B967="","",COUNTIF($F967:$AJ967,"HA"))</f>
        <v/>
      </c>
      <c r="AN967" s="34" t="str">
        <f aca="false">IF($B967="","",COUNTIF($F967:$AJ967,"L"))</f>
        <v/>
      </c>
      <c r="AO967" s="34" t="str">
        <f aca="false">IF($B967="","",COUNTIF($F967:$AJ967,"PL"))</f>
        <v/>
      </c>
      <c r="AP967" s="34" t="str">
        <f aca="false">IF($B967="","",COUNTIF($F967:$AJ967,"CL"))</f>
        <v/>
      </c>
      <c r="AQ967" s="34" t="str">
        <f aca="false">IF($B967="","",COUNTIF($F967:$AJ967,"SL"))</f>
        <v/>
      </c>
      <c r="AR967" s="34" t="str">
        <f aca="false">IF($B967="","",COUNTIF($F967:$AJ967,"CO"))</f>
        <v/>
      </c>
      <c r="AS967" s="34" t="str">
        <f aca="false">IF($B967="","",COUNTIF($F967:$AJ967,"HPL"))</f>
        <v/>
      </c>
      <c r="AT967" s="34" t="str">
        <f aca="false">IF($B967="","",COUNTIF($F967:$AJ967,"HCL"))</f>
        <v/>
      </c>
      <c r="AU967" s="34" t="str">
        <f aca="false">IF($B967="","",COUNTIF($F967:$AJ967,"WO"))</f>
        <v/>
      </c>
      <c r="AV967" s="34" t="str">
        <f aca="false">IF($B967="","",COUNTIF($F967:$AJ967,"PH"))</f>
        <v/>
      </c>
      <c r="AW967" s="34" t="str">
        <f aca="false">IF($B967="","",COUNTIF($F967:$AJ967,"TR"))</f>
        <v/>
      </c>
      <c r="AX967" s="35" t="str">
        <f aca="false">IF($B967="","",AO967+AS967/2)</f>
        <v/>
      </c>
      <c r="AY967" s="35" t="str">
        <f aca="false">IF($B967="","",AQ967)</f>
        <v/>
      </c>
      <c r="AZ967" s="35" t="str">
        <f aca="false">IF($B967="","",AP967+AT967/2)</f>
        <v/>
      </c>
      <c r="BA967" s="35" t="str">
        <f aca="false">IF($B967="","",AK967+AN967+AM967/2+AO967+AP967+AQ967+AR967+AS967+AT967+AU967+AV967+AW967)</f>
        <v/>
      </c>
      <c r="BB967" s="35" t="str">
        <f aca="false">IF($B967="","",MAX(0,AN967-Settings!$C$16)*Settings!$C$17)</f>
        <v/>
      </c>
      <c r="BC967" s="35" t="str">
        <f aca="false">IF($B967="","",BA967-BB967)</f>
        <v/>
      </c>
      <c r="BD967" s="35" t="str">
        <f aca="false">IF(OR($B967="",$A967=""),"",DAY(EOMONTH($A967,0))-COUNTA($F967:$AJ967))</f>
        <v/>
      </c>
    </row>
    <row r="968" customFormat="false" ht="15" hidden="false" customHeight="false" outlineLevel="0" collapsed="false">
      <c r="A968" s="32"/>
      <c r="B968" s="29"/>
      <c r="C968" s="10" t="str">
        <f aca="false">IF($B968="","",IFERROR(INDEX(M_name,MATCH($B968,M_emp,0)),"Code not found"))</f>
        <v/>
      </c>
      <c r="D968" s="10" t="str">
        <f aca="false">IF($B968="","",IFERROR(INDEX(M_dept,MATCH($B968,M_emp,0)),""))</f>
        <v/>
      </c>
      <c r="E968" s="10" t="str">
        <f aca="false">IF($B968="","",IFERROR(INDEX(M_loc,MATCH($B968,M_emp,0)),""))</f>
        <v/>
      </c>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4" t="str">
        <f aca="false">IF($B968="","",COUNTIF($F968:$AJ968,"P"))</f>
        <v/>
      </c>
      <c r="AL968" s="34" t="str">
        <f aca="false">IF($B968="","",COUNTIF($F968:$AJ968,"A"))</f>
        <v/>
      </c>
      <c r="AM968" s="34" t="str">
        <f aca="false">IF($B968="","",COUNTIF($F968:$AJ968,"HA"))</f>
        <v/>
      </c>
      <c r="AN968" s="34" t="str">
        <f aca="false">IF($B968="","",COUNTIF($F968:$AJ968,"L"))</f>
        <v/>
      </c>
      <c r="AO968" s="34" t="str">
        <f aca="false">IF($B968="","",COUNTIF($F968:$AJ968,"PL"))</f>
        <v/>
      </c>
      <c r="AP968" s="34" t="str">
        <f aca="false">IF($B968="","",COUNTIF($F968:$AJ968,"CL"))</f>
        <v/>
      </c>
      <c r="AQ968" s="34" t="str">
        <f aca="false">IF($B968="","",COUNTIF($F968:$AJ968,"SL"))</f>
        <v/>
      </c>
      <c r="AR968" s="34" t="str">
        <f aca="false">IF($B968="","",COUNTIF($F968:$AJ968,"CO"))</f>
        <v/>
      </c>
      <c r="AS968" s="34" t="str">
        <f aca="false">IF($B968="","",COUNTIF($F968:$AJ968,"HPL"))</f>
        <v/>
      </c>
      <c r="AT968" s="34" t="str">
        <f aca="false">IF($B968="","",COUNTIF($F968:$AJ968,"HCL"))</f>
        <v/>
      </c>
      <c r="AU968" s="34" t="str">
        <f aca="false">IF($B968="","",COUNTIF($F968:$AJ968,"WO"))</f>
        <v/>
      </c>
      <c r="AV968" s="34" t="str">
        <f aca="false">IF($B968="","",COUNTIF($F968:$AJ968,"PH"))</f>
        <v/>
      </c>
      <c r="AW968" s="34" t="str">
        <f aca="false">IF($B968="","",COUNTIF($F968:$AJ968,"TR"))</f>
        <v/>
      </c>
      <c r="AX968" s="35" t="str">
        <f aca="false">IF($B968="","",AO968+AS968/2)</f>
        <v/>
      </c>
      <c r="AY968" s="35" t="str">
        <f aca="false">IF($B968="","",AQ968)</f>
        <v/>
      </c>
      <c r="AZ968" s="35" t="str">
        <f aca="false">IF($B968="","",AP968+AT968/2)</f>
        <v/>
      </c>
      <c r="BA968" s="35" t="str">
        <f aca="false">IF($B968="","",AK968+AN968+AM968/2+AO968+AP968+AQ968+AR968+AS968+AT968+AU968+AV968+AW968)</f>
        <v/>
      </c>
      <c r="BB968" s="35" t="str">
        <f aca="false">IF($B968="","",MAX(0,AN968-Settings!$C$16)*Settings!$C$17)</f>
        <v/>
      </c>
      <c r="BC968" s="35" t="str">
        <f aca="false">IF($B968="","",BA968-BB968)</f>
        <v/>
      </c>
      <c r="BD968" s="35" t="str">
        <f aca="false">IF(OR($B968="",$A968=""),"",DAY(EOMONTH($A968,0))-COUNTA($F968:$AJ968))</f>
        <v/>
      </c>
    </row>
    <row r="969" customFormat="false" ht="15" hidden="false" customHeight="false" outlineLevel="0" collapsed="false">
      <c r="A969" s="32"/>
      <c r="B969" s="29"/>
      <c r="C969" s="10" t="str">
        <f aca="false">IF($B969="","",IFERROR(INDEX(M_name,MATCH($B969,M_emp,0)),"Code not found"))</f>
        <v/>
      </c>
      <c r="D969" s="10" t="str">
        <f aca="false">IF($B969="","",IFERROR(INDEX(M_dept,MATCH($B969,M_emp,0)),""))</f>
        <v/>
      </c>
      <c r="E969" s="10" t="str">
        <f aca="false">IF($B969="","",IFERROR(INDEX(M_loc,MATCH($B969,M_emp,0)),""))</f>
        <v/>
      </c>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4" t="str">
        <f aca="false">IF($B969="","",COUNTIF($F969:$AJ969,"P"))</f>
        <v/>
      </c>
      <c r="AL969" s="34" t="str">
        <f aca="false">IF($B969="","",COUNTIF($F969:$AJ969,"A"))</f>
        <v/>
      </c>
      <c r="AM969" s="34" t="str">
        <f aca="false">IF($B969="","",COUNTIF($F969:$AJ969,"HA"))</f>
        <v/>
      </c>
      <c r="AN969" s="34" t="str">
        <f aca="false">IF($B969="","",COUNTIF($F969:$AJ969,"L"))</f>
        <v/>
      </c>
      <c r="AO969" s="34" t="str">
        <f aca="false">IF($B969="","",COUNTIF($F969:$AJ969,"PL"))</f>
        <v/>
      </c>
      <c r="AP969" s="34" t="str">
        <f aca="false">IF($B969="","",COUNTIF($F969:$AJ969,"CL"))</f>
        <v/>
      </c>
      <c r="AQ969" s="34" t="str">
        <f aca="false">IF($B969="","",COUNTIF($F969:$AJ969,"SL"))</f>
        <v/>
      </c>
      <c r="AR969" s="34" t="str">
        <f aca="false">IF($B969="","",COUNTIF($F969:$AJ969,"CO"))</f>
        <v/>
      </c>
      <c r="AS969" s="34" t="str">
        <f aca="false">IF($B969="","",COUNTIF($F969:$AJ969,"HPL"))</f>
        <v/>
      </c>
      <c r="AT969" s="34" t="str">
        <f aca="false">IF($B969="","",COUNTIF($F969:$AJ969,"HCL"))</f>
        <v/>
      </c>
      <c r="AU969" s="34" t="str">
        <f aca="false">IF($B969="","",COUNTIF($F969:$AJ969,"WO"))</f>
        <v/>
      </c>
      <c r="AV969" s="34" t="str">
        <f aca="false">IF($B969="","",COUNTIF($F969:$AJ969,"PH"))</f>
        <v/>
      </c>
      <c r="AW969" s="34" t="str">
        <f aca="false">IF($B969="","",COUNTIF($F969:$AJ969,"TR"))</f>
        <v/>
      </c>
      <c r="AX969" s="35" t="str">
        <f aca="false">IF($B969="","",AO969+AS969/2)</f>
        <v/>
      </c>
      <c r="AY969" s="35" t="str">
        <f aca="false">IF($B969="","",AQ969)</f>
        <v/>
      </c>
      <c r="AZ969" s="35" t="str">
        <f aca="false">IF($B969="","",AP969+AT969/2)</f>
        <v/>
      </c>
      <c r="BA969" s="35" t="str">
        <f aca="false">IF($B969="","",AK969+AN969+AM969/2+AO969+AP969+AQ969+AR969+AS969+AT969+AU969+AV969+AW969)</f>
        <v/>
      </c>
      <c r="BB969" s="35" t="str">
        <f aca="false">IF($B969="","",MAX(0,AN969-Settings!$C$16)*Settings!$C$17)</f>
        <v/>
      </c>
      <c r="BC969" s="35" t="str">
        <f aca="false">IF($B969="","",BA969-BB969)</f>
        <v/>
      </c>
      <c r="BD969" s="35" t="str">
        <f aca="false">IF(OR($B969="",$A969=""),"",DAY(EOMONTH($A969,0))-COUNTA($F969:$AJ969))</f>
        <v/>
      </c>
    </row>
    <row r="970" customFormat="false" ht="15" hidden="false" customHeight="false" outlineLevel="0" collapsed="false">
      <c r="A970" s="32"/>
      <c r="B970" s="29"/>
      <c r="C970" s="10" t="str">
        <f aca="false">IF($B970="","",IFERROR(INDEX(M_name,MATCH($B970,M_emp,0)),"Code not found"))</f>
        <v/>
      </c>
      <c r="D970" s="10" t="str">
        <f aca="false">IF($B970="","",IFERROR(INDEX(M_dept,MATCH($B970,M_emp,0)),""))</f>
        <v/>
      </c>
      <c r="E970" s="10" t="str">
        <f aca="false">IF($B970="","",IFERROR(INDEX(M_loc,MATCH($B970,M_emp,0)),""))</f>
        <v/>
      </c>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4" t="str">
        <f aca="false">IF($B970="","",COUNTIF($F970:$AJ970,"P"))</f>
        <v/>
      </c>
      <c r="AL970" s="34" t="str">
        <f aca="false">IF($B970="","",COUNTIF($F970:$AJ970,"A"))</f>
        <v/>
      </c>
      <c r="AM970" s="34" t="str">
        <f aca="false">IF($B970="","",COUNTIF($F970:$AJ970,"HA"))</f>
        <v/>
      </c>
      <c r="AN970" s="34" t="str">
        <f aca="false">IF($B970="","",COUNTIF($F970:$AJ970,"L"))</f>
        <v/>
      </c>
      <c r="AO970" s="34" t="str">
        <f aca="false">IF($B970="","",COUNTIF($F970:$AJ970,"PL"))</f>
        <v/>
      </c>
      <c r="AP970" s="34" t="str">
        <f aca="false">IF($B970="","",COUNTIF($F970:$AJ970,"CL"))</f>
        <v/>
      </c>
      <c r="AQ970" s="34" t="str">
        <f aca="false">IF($B970="","",COUNTIF($F970:$AJ970,"SL"))</f>
        <v/>
      </c>
      <c r="AR970" s="34" t="str">
        <f aca="false">IF($B970="","",COUNTIF($F970:$AJ970,"CO"))</f>
        <v/>
      </c>
      <c r="AS970" s="34" t="str">
        <f aca="false">IF($B970="","",COUNTIF($F970:$AJ970,"HPL"))</f>
        <v/>
      </c>
      <c r="AT970" s="34" t="str">
        <f aca="false">IF($B970="","",COUNTIF($F970:$AJ970,"HCL"))</f>
        <v/>
      </c>
      <c r="AU970" s="34" t="str">
        <f aca="false">IF($B970="","",COUNTIF($F970:$AJ970,"WO"))</f>
        <v/>
      </c>
      <c r="AV970" s="34" t="str">
        <f aca="false">IF($B970="","",COUNTIF($F970:$AJ970,"PH"))</f>
        <v/>
      </c>
      <c r="AW970" s="34" t="str">
        <f aca="false">IF($B970="","",COUNTIF($F970:$AJ970,"TR"))</f>
        <v/>
      </c>
      <c r="AX970" s="35" t="str">
        <f aca="false">IF($B970="","",AO970+AS970/2)</f>
        <v/>
      </c>
      <c r="AY970" s="35" t="str">
        <f aca="false">IF($B970="","",AQ970)</f>
        <v/>
      </c>
      <c r="AZ970" s="35" t="str">
        <f aca="false">IF($B970="","",AP970+AT970/2)</f>
        <v/>
      </c>
      <c r="BA970" s="35" t="str">
        <f aca="false">IF($B970="","",AK970+AN970+AM970/2+AO970+AP970+AQ970+AR970+AS970+AT970+AU970+AV970+AW970)</f>
        <v/>
      </c>
      <c r="BB970" s="35" t="str">
        <f aca="false">IF($B970="","",MAX(0,AN970-Settings!$C$16)*Settings!$C$17)</f>
        <v/>
      </c>
      <c r="BC970" s="35" t="str">
        <f aca="false">IF($B970="","",BA970-BB970)</f>
        <v/>
      </c>
      <c r="BD970" s="35" t="str">
        <f aca="false">IF(OR($B970="",$A970=""),"",DAY(EOMONTH($A970,0))-COUNTA($F970:$AJ970))</f>
        <v/>
      </c>
    </row>
    <row r="971" customFormat="false" ht="15" hidden="false" customHeight="false" outlineLevel="0" collapsed="false">
      <c r="A971" s="32"/>
      <c r="B971" s="29"/>
      <c r="C971" s="10" t="str">
        <f aca="false">IF($B971="","",IFERROR(INDEX(M_name,MATCH($B971,M_emp,0)),"Code not found"))</f>
        <v/>
      </c>
      <c r="D971" s="10" t="str">
        <f aca="false">IF($B971="","",IFERROR(INDEX(M_dept,MATCH($B971,M_emp,0)),""))</f>
        <v/>
      </c>
      <c r="E971" s="10" t="str">
        <f aca="false">IF($B971="","",IFERROR(INDEX(M_loc,MATCH($B971,M_emp,0)),""))</f>
        <v/>
      </c>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4" t="str">
        <f aca="false">IF($B971="","",COUNTIF($F971:$AJ971,"P"))</f>
        <v/>
      </c>
      <c r="AL971" s="34" t="str">
        <f aca="false">IF($B971="","",COUNTIF($F971:$AJ971,"A"))</f>
        <v/>
      </c>
      <c r="AM971" s="34" t="str">
        <f aca="false">IF($B971="","",COUNTIF($F971:$AJ971,"HA"))</f>
        <v/>
      </c>
      <c r="AN971" s="34" t="str">
        <f aca="false">IF($B971="","",COUNTIF($F971:$AJ971,"L"))</f>
        <v/>
      </c>
      <c r="AO971" s="34" t="str">
        <f aca="false">IF($B971="","",COUNTIF($F971:$AJ971,"PL"))</f>
        <v/>
      </c>
      <c r="AP971" s="34" t="str">
        <f aca="false">IF($B971="","",COUNTIF($F971:$AJ971,"CL"))</f>
        <v/>
      </c>
      <c r="AQ971" s="34" t="str">
        <f aca="false">IF($B971="","",COUNTIF($F971:$AJ971,"SL"))</f>
        <v/>
      </c>
      <c r="AR971" s="34" t="str">
        <f aca="false">IF($B971="","",COUNTIF($F971:$AJ971,"CO"))</f>
        <v/>
      </c>
      <c r="AS971" s="34" t="str">
        <f aca="false">IF($B971="","",COUNTIF($F971:$AJ971,"HPL"))</f>
        <v/>
      </c>
      <c r="AT971" s="34" t="str">
        <f aca="false">IF($B971="","",COUNTIF($F971:$AJ971,"HCL"))</f>
        <v/>
      </c>
      <c r="AU971" s="34" t="str">
        <f aca="false">IF($B971="","",COUNTIF($F971:$AJ971,"WO"))</f>
        <v/>
      </c>
      <c r="AV971" s="34" t="str">
        <f aca="false">IF($B971="","",COUNTIF($F971:$AJ971,"PH"))</f>
        <v/>
      </c>
      <c r="AW971" s="34" t="str">
        <f aca="false">IF($B971="","",COUNTIF($F971:$AJ971,"TR"))</f>
        <v/>
      </c>
      <c r="AX971" s="35" t="str">
        <f aca="false">IF($B971="","",AO971+AS971/2)</f>
        <v/>
      </c>
      <c r="AY971" s="35" t="str">
        <f aca="false">IF($B971="","",AQ971)</f>
        <v/>
      </c>
      <c r="AZ971" s="35" t="str">
        <f aca="false">IF($B971="","",AP971+AT971/2)</f>
        <v/>
      </c>
      <c r="BA971" s="35" t="str">
        <f aca="false">IF($B971="","",AK971+AN971+AM971/2+AO971+AP971+AQ971+AR971+AS971+AT971+AU971+AV971+AW971)</f>
        <v/>
      </c>
      <c r="BB971" s="35" t="str">
        <f aca="false">IF($B971="","",MAX(0,AN971-Settings!$C$16)*Settings!$C$17)</f>
        <v/>
      </c>
      <c r="BC971" s="35" t="str">
        <f aca="false">IF($B971="","",BA971-BB971)</f>
        <v/>
      </c>
      <c r="BD971" s="35" t="str">
        <f aca="false">IF(OR($B971="",$A971=""),"",DAY(EOMONTH($A971,0))-COUNTA($F971:$AJ971))</f>
        <v/>
      </c>
    </row>
    <row r="972" customFormat="false" ht="15" hidden="false" customHeight="false" outlineLevel="0" collapsed="false">
      <c r="A972" s="32"/>
      <c r="B972" s="29"/>
      <c r="C972" s="10" t="str">
        <f aca="false">IF($B972="","",IFERROR(INDEX(M_name,MATCH($B972,M_emp,0)),"Code not found"))</f>
        <v/>
      </c>
      <c r="D972" s="10" t="str">
        <f aca="false">IF($B972="","",IFERROR(INDEX(M_dept,MATCH($B972,M_emp,0)),""))</f>
        <v/>
      </c>
      <c r="E972" s="10" t="str">
        <f aca="false">IF($B972="","",IFERROR(INDEX(M_loc,MATCH($B972,M_emp,0)),""))</f>
        <v/>
      </c>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4" t="str">
        <f aca="false">IF($B972="","",COUNTIF($F972:$AJ972,"P"))</f>
        <v/>
      </c>
      <c r="AL972" s="34" t="str">
        <f aca="false">IF($B972="","",COUNTIF($F972:$AJ972,"A"))</f>
        <v/>
      </c>
      <c r="AM972" s="34" t="str">
        <f aca="false">IF($B972="","",COUNTIF($F972:$AJ972,"HA"))</f>
        <v/>
      </c>
      <c r="AN972" s="34" t="str">
        <f aca="false">IF($B972="","",COUNTIF($F972:$AJ972,"L"))</f>
        <v/>
      </c>
      <c r="AO972" s="34" t="str">
        <f aca="false">IF($B972="","",COUNTIF($F972:$AJ972,"PL"))</f>
        <v/>
      </c>
      <c r="AP972" s="34" t="str">
        <f aca="false">IF($B972="","",COUNTIF($F972:$AJ972,"CL"))</f>
        <v/>
      </c>
      <c r="AQ972" s="34" t="str">
        <f aca="false">IF($B972="","",COUNTIF($F972:$AJ972,"SL"))</f>
        <v/>
      </c>
      <c r="AR972" s="34" t="str">
        <f aca="false">IF($B972="","",COUNTIF($F972:$AJ972,"CO"))</f>
        <v/>
      </c>
      <c r="AS972" s="34" t="str">
        <f aca="false">IF($B972="","",COUNTIF($F972:$AJ972,"HPL"))</f>
        <v/>
      </c>
      <c r="AT972" s="34" t="str">
        <f aca="false">IF($B972="","",COUNTIF($F972:$AJ972,"HCL"))</f>
        <v/>
      </c>
      <c r="AU972" s="34" t="str">
        <f aca="false">IF($B972="","",COUNTIF($F972:$AJ972,"WO"))</f>
        <v/>
      </c>
      <c r="AV972" s="34" t="str">
        <f aca="false">IF($B972="","",COUNTIF($F972:$AJ972,"PH"))</f>
        <v/>
      </c>
      <c r="AW972" s="34" t="str">
        <f aca="false">IF($B972="","",COUNTIF($F972:$AJ972,"TR"))</f>
        <v/>
      </c>
      <c r="AX972" s="35" t="str">
        <f aca="false">IF($B972="","",AO972+AS972/2)</f>
        <v/>
      </c>
      <c r="AY972" s="35" t="str">
        <f aca="false">IF($B972="","",AQ972)</f>
        <v/>
      </c>
      <c r="AZ972" s="35" t="str">
        <f aca="false">IF($B972="","",AP972+AT972/2)</f>
        <v/>
      </c>
      <c r="BA972" s="35" t="str">
        <f aca="false">IF($B972="","",AK972+AN972+AM972/2+AO972+AP972+AQ972+AR972+AS972+AT972+AU972+AV972+AW972)</f>
        <v/>
      </c>
      <c r="BB972" s="35" t="str">
        <f aca="false">IF($B972="","",MAX(0,AN972-Settings!$C$16)*Settings!$C$17)</f>
        <v/>
      </c>
      <c r="BC972" s="35" t="str">
        <f aca="false">IF($B972="","",BA972-BB972)</f>
        <v/>
      </c>
      <c r="BD972" s="35" t="str">
        <f aca="false">IF(OR($B972="",$A972=""),"",DAY(EOMONTH($A972,0))-COUNTA($F972:$AJ972))</f>
        <v/>
      </c>
    </row>
    <row r="973" customFormat="false" ht="15" hidden="false" customHeight="false" outlineLevel="0" collapsed="false">
      <c r="A973" s="32"/>
      <c r="B973" s="29"/>
      <c r="C973" s="10" t="str">
        <f aca="false">IF($B973="","",IFERROR(INDEX(M_name,MATCH($B973,M_emp,0)),"Code not found"))</f>
        <v/>
      </c>
      <c r="D973" s="10" t="str">
        <f aca="false">IF($B973="","",IFERROR(INDEX(M_dept,MATCH($B973,M_emp,0)),""))</f>
        <v/>
      </c>
      <c r="E973" s="10" t="str">
        <f aca="false">IF($B973="","",IFERROR(INDEX(M_loc,MATCH($B973,M_emp,0)),""))</f>
        <v/>
      </c>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4" t="str">
        <f aca="false">IF($B973="","",COUNTIF($F973:$AJ973,"P"))</f>
        <v/>
      </c>
      <c r="AL973" s="34" t="str">
        <f aca="false">IF($B973="","",COUNTIF($F973:$AJ973,"A"))</f>
        <v/>
      </c>
      <c r="AM973" s="34" t="str">
        <f aca="false">IF($B973="","",COUNTIF($F973:$AJ973,"HA"))</f>
        <v/>
      </c>
      <c r="AN973" s="34" t="str">
        <f aca="false">IF($B973="","",COUNTIF($F973:$AJ973,"L"))</f>
        <v/>
      </c>
      <c r="AO973" s="34" t="str">
        <f aca="false">IF($B973="","",COUNTIF($F973:$AJ973,"PL"))</f>
        <v/>
      </c>
      <c r="AP973" s="34" t="str">
        <f aca="false">IF($B973="","",COUNTIF($F973:$AJ973,"CL"))</f>
        <v/>
      </c>
      <c r="AQ973" s="34" t="str">
        <f aca="false">IF($B973="","",COUNTIF($F973:$AJ973,"SL"))</f>
        <v/>
      </c>
      <c r="AR973" s="34" t="str">
        <f aca="false">IF($B973="","",COUNTIF($F973:$AJ973,"CO"))</f>
        <v/>
      </c>
      <c r="AS973" s="34" t="str">
        <f aca="false">IF($B973="","",COUNTIF($F973:$AJ973,"HPL"))</f>
        <v/>
      </c>
      <c r="AT973" s="34" t="str">
        <f aca="false">IF($B973="","",COUNTIF($F973:$AJ973,"HCL"))</f>
        <v/>
      </c>
      <c r="AU973" s="34" t="str">
        <f aca="false">IF($B973="","",COUNTIF($F973:$AJ973,"WO"))</f>
        <v/>
      </c>
      <c r="AV973" s="34" t="str">
        <f aca="false">IF($B973="","",COUNTIF($F973:$AJ973,"PH"))</f>
        <v/>
      </c>
      <c r="AW973" s="34" t="str">
        <f aca="false">IF($B973="","",COUNTIF($F973:$AJ973,"TR"))</f>
        <v/>
      </c>
      <c r="AX973" s="35" t="str">
        <f aca="false">IF($B973="","",AO973+AS973/2)</f>
        <v/>
      </c>
      <c r="AY973" s="35" t="str">
        <f aca="false">IF($B973="","",AQ973)</f>
        <v/>
      </c>
      <c r="AZ973" s="35" t="str">
        <f aca="false">IF($B973="","",AP973+AT973/2)</f>
        <v/>
      </c>
      <c r="BA973" s="35" t="str">
        <f aca="false">IF($B973="","",AK973+AN973+AM973/2+AO973+AP973+AQ973+AR973+AS973+AT973+AU973+AV973+AW973)</f>
        <v/>
      </c>
      <c r="BB973" s="35" t="str">
        <f aca="false">IF($B973="","",MAX(0,AN973-Settings!$C$16)*Settings!$C$17)</f>
        <v/>
      </c>
      <c r="BC973" s="35" t="str">
        <f aca="false">IF($B973="","",BA973-BB973)</f>
        <v/>
      </c>
      <c r="BD973" s="35" t="str">
        <f aca="false">IF(OR($B973="",$A973=""),"",DAY(EOMONTH($A973,0))-COUNTA($F973:$AJ973))</f>
        <v/>
      </c>
    </row>
    <row r="974" customFormat="false" ht="15" hidden="false" customHeight="false" outlineLevel="0" collapsed="false">
      <c r="A974" s="32"/>
      <c r="B974" s="29"/>
      <c r="C974" s="10" t="str">
        <f aca="false">IF($B974="","",IFERROR(INDEX(M_name,MATCH($B974,M_emp,0)),"Code not found"))</f>
        <v/>
      </c>
      <c r="D974" s="10" t="str">
        <f aca="false">IF($B974="","",IFERROR(INDEX(M_dept,MATCH($B974,M_emp,0)),""))</f>
        <v/>
      </c>
      <c r="E974" s="10" t="str">
        <f aca="false">IF($B974="","",IFERROR(INDEX(M_loc,MATCH($B974,M_emp,0)),""))</f>
        <v/>
      </c>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4" t="str">
        <f aca="false">IF($B974="","",COUNTIF($F974:$AJ974,"P"))</f>
        <v/>
      </c>
      <c r="AL974" s="34" t="str">
        <f aca="false">IF($B974="","",COUNTIF($F974:$AJ974,"A"))</f>
        <v/>
      </c>
      <c r="AM974" s="34" t="str">
        <f aca="false">IF($B974="","",COUNTIF($F974:$AJ974,"HA"))</f>
        <v/>
      </c>
      <c r="AN974" s="34" t="str">
        <f aca="false">IF($B974="","",COUNTIF($F974:$AJ974,"L"))</f>
        <v/>
      </c>
      <c r="AO974" s="34" t="str">
        <f aca="false">IF($B974="","",COUNTIF($F974:$AJ974,"PL"))</f>
        <v/>
      </c>
      <c r="AP974" s="34" t="str">
        <f aca="false">IF($B974="","",COUNTIF($F974:$AJ974,"CL"))</f>
        <v/>
      </c>
      <c r="AQ974" s="34" t="str">
        <f aca="false">IF($B974="","",COUNTIF($F974:$AJ974,"SL"))</f>
        <v/>
      </c>
      <c r="AR974" s="34" t="str">
        <f aca="false">IF($B974="","",COUNTIF($F974:$AJ974,"CO"))</f>
        <v/>
      </c>
      <c r="AS974" s="34" t="str">
        <f aca="false">IF($B974="","",COUNTIF($F974:$AJ974,"HPL"))</f>
        <v/>
      </c>
      <c r="AT974" s="34" t="str">
        <f aca="false">IF($B974="","",COUNTIF($F974:$AJ974,"HCL"))</f>
        <v/>
      </c>
      <c r="AU974" s="34" t="str">
        <f aca="false">IF($B974="","",COUNTIF($F974:$AJ974,"WO"))</f>
        <v/>
      </c>
      <c r="AV974" s="34" t="str">
        <f aca="false">IF($B974="","",COUNTIF($F974:$AJ974,"PH"))</f>
        <v/>
      </c>
      <c r="AW974" s="34" t="str">
        <f aca="false">IF($B974="","",COUNTIF($F974:$AJ974,"TR"))</f>
        <v/>
      </c>
      <c r="AX974" s="35" t="str">
        <f aca="false">IF($B974="","",AO974+AS974/2)</f>
        <v/>
      </c>
      <c r="AY974" s="35" t="str">
        <f aca="false">IF($B974="","",AQ974)</f>
        <v/>
      </c>
      <c r="AZ974" s="35" t="str">
        <f aca="false">IF($B974="","",AP974+AT974/2)</f>
        <v/>
      </c>
      <c r="BA974" s="35" t="str">
        <f aca="false">IF($B974="","",AK974+AN974+AM974/2+AO974+AP974+AQ974+AR974+AS974+AT974+AU974+AV974+AW974)</f>
        <v/>
      </c>
      <c r="BB974" s="35" t="str">
        <f aca="false">IF($B974="","",MAX(0,AN974-Settings!$C$16)*Settings!$C$17)</f>
        <v/>
      </c>
      <c r="BC974" s="35" t="str">
        <f aca="false">IF($B974="","",BA974-BB974)</f>
        <v/>
      </c>
      <c r="BD974" s="35" t="str">
        <f aca="false">IF(OR($B974="",$A974=""),"",DAY(EOMONTH($A974,0))-COUNTA($F974:$AJ974))</f>
        <v/>
      </c>
    </row>
    <row r="975" customFormat="false" ht="15" hidden="false" customHeight="false" outlineLevel="0" collapsed="false">
      <c r="A975" s="32"/>
      <c r="B975" s="29"/>
      <c r="C975" s="10" t="str">
        <f aca="false">IF($B975="","",IFERROR(INDEX(M_name,MATCH($B975,M_emp,0)),"Code not found"))</f>
        <v/>
      </c>
      <c r="D975" s="10" t="str">
        <f aca="false">IF($B975="","",IFERROR(INDEX(M_dept,MATCH($B975,M_emp,0)),""))</f>
        <v/>
      </c>
      <c r="E975" s="10" t="str">
        <f aca="false">IF($B975="","",IFERROR(INDEX(M_loc,MATCH($B975,M_emp,0)),""))</f>
        <v/>
      </c>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4" t="str">
        <f aca="false">IF($B975="","",COUNTIF($F975:$AJ975,"P"))</f>
        <v/>
      </c>
      <c r="AL975" s="34" t="str">
        <f aca="false">IF($B975="","",COUNTIF($F975:$AJ975,"A"))</f>
        <v/>
      </c>
      <c r="AM975" s="34" t="str">
        <f aca="false">IF($B975="","",COUNTIF($F975:$AJ975,"HA"))</f>
        <v/>
      </c>
      <c r="AN975" s="34" t="str">
        <f aca="false">IF($B975="","",COUNTIF($F975:$AJ975,"L"))</f>
        <v/>
      </c>
      <c r="AO975" s="34" t="str">
        <f aca="false">IF($B975="","",COUNTIF($F975:$AJ975,"PL"))</f>
        <v/>
      </c>
      <c r="AP975" s="34" t="str">
        <f aca="false">IF($B975="","",COUNTIF($F975:$AJ975,"CL"))</f>
        <v/>
      </c>
      <c r="AQ975" s="34" t="str">
        <f aca="false">IF($B975="","",COUNTIF($F975:$AJ975,"SL"))</f>
        <v/>
      </c>
      <c r="AR975" s="34" t="str">
        <f aca="false">IF($B975="","",COUNTIF($F975:$AJ975,"CO"))</f>
        <v/>
      </c>
      <c r="AS975" s="34" t="str">
        <f aca="false">IF($B975="","",COUNTIF($F975:$AJ975,"HPL"))</f>
        <v/>
      </c>
      <c r="AT975" s="34" t="str">
        <f aca="false">IF($B975="","",COUNTIF($F975:$AJ975,"HCL"))</f>
        <v/>
      </c>
      <c r="AU975" s="34" t="str">
        <f aca="false">IF($B975="","",COUNTIF($F975:$AJ975,"WO"))</f>
        <v/>
      </c>
      <c r="AV975" s="34" t="str">
        <f aca="false">IF($B975="","",COUNTIF($F975:$AJ975,"PH"))</f>
        <v/>
      </c>
      <c r="AW975" s="34" t="str">
        <f aca="false">IF($B975="","",COUNTIF($F975:$AJ975,"TR"))</f>
        <v/>
      </c>
      <c r="AX975" s="35" t="str">
        <f aca="false">IF($B975="","",AO975+AS975/2)</f>
        <v/>
      </c>
      <c r="AY975" s="35" t="str">
        <f aca="false">IF($B975="","",AQ975)</f>
        <v/>
      </c>
      <c r="AZ975" s="35" t="str">
        <f aca="false">IF($B975="","",AP975+AT975/2)</f>
        <v/>
      </c>
      <c r="BA975" s="35" t="str">
        <f aca="false">IF($B975="","",AK975+AN975+AM975/2+AO975+AP975+AQ975+AR975+AS975+AT975+AU975+AV975+AW975)</f>
        <v/>
      </c>
      <c r="BB975" s="35" t="str">
        <f aca="false">IF($B975="","",MAX(0,AN975-Settings!$C$16)*Settings!$C$17)</f>
        <v/>
      </c>
      <c r="BC975" s="35" t="str">
        <f aca="false">IF($B975="","",BA975-BB975)</f>
        <v/>
      </c>
      <c r="BD975" s="35" t="str">
        <f aca="false">IF(OR($B975="",$A975=""),"",DAY(EOMONTH($A975,0))-COUNTA($F975:$AJ975))</f>
        <v/>
      </c>
    </row>
    <row r="976" customFormat="false" ht="15" hidden="false" customHeight="false" outlineLevel="0" collapsed="false">
      <c r="A976" s="32"/>
      <c r="B976" s="29"/>
      <c r="C976" s="10" t="str">
        <f aca="false">IF($B976="","",IFERROR(INDEX(M_name,MATCH($B976,M_emp,0)),"Code not found"))</f>
        <v/>
      </c>
      <c r="D976" s="10" t="str">
        <f aca="false">IF($B976="","",IFERROR(INDEX(M_dept,MATCH($B976,M_emp,0)),""))</f>
        <v/>
      </c>
      <c r="E976" s="10" t="str">
        <f aca="false">IF($B976="","",IFERROR(INDEX(M_loc,MATCH($B976,M_emp,0)),""))</f>
        <v/>
      </c>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4" t="str">
        <f aca="false">IF($B976="","",COUNTIF($F976:$AJ976,"P"))</f>
        <v/>
      </c>
      <c r="AL976" s="34" t="str">
        <f aca="false">IF($B976="","",COUNTIF($F976:$AJ976,"A"))</f>
        <v/>
      </c>
      <c r="AM976" s="34" t="str">
        <f aca="false">IF($B976="","",COUNTIF($F976:$AJ976,"HA"))</f>
        <v/>
      </c>
      <c r="AN976" s="34" t="str">
        <f aca="false">IF($B976="","",COUNTIF($F976:$AJ976,"L"))</f>
        <v/>
      </c>
      <c r="AO976" s="34" t="str">
        <f aca="false">IF($B976="","",COUNTIF($F976:$AJ976,"PL"))</f>
        <v/>
      </c>
      <c r="AP976" s="34" t="str">
        <f aca="false">IF($B976="","",COUNTIF($F976:$AJ976,"CL"))</f>
        <v/>
      </c>
      <c r="AQ976" s="34" t="str">
        <f aca="false">IF($B976="","",COUNTIF($F976:$AJ976,"SL"))</f>
        <v/>
      </c>
      <c r="AR976" s="34" t="str">
        <f aca="false">IF($B976="","",COUNTIF($F976:$AJ976,"CO"))</f>
        <v/>
      </c>
      <c r="AS976" s="34" t="str">
        <f aca="false">IF($B976="","",COUNTIF($F976:$AJ976,"HPL"))</f>
        <v/>
      </c>
      <c r="AT976" s="34" t="str">
        <f aca="false">IF($B976="","",COUNTIF($F976:$AJ976,"HCL"))</f>
        <v/>
      </c>
      <c r="AU976" s="34" t="str">
        <f aca="false">IF($B976="","",COUNTIF($F976:$AJ976,"WO"))</f>
        <v/>
      </c>
      <c r="AV976" s="34" t="str">
        <f aca="false">IF($B976="","",COUNTIF($F976:$AJ976,"PH"))</f>
        <v/>
      </c>
      <c r="AW976" s="34" t="str">
        <f aca="false">IF($B976="","",COUNTIF($F976:$AJ976,"TR"))</f>
        <v/>
      </c>
      <c r="AX976" s="35" t="str">
        <f aca="false">IF($B976="","",AO976+AS976/2)</f>
        <v/>
      </c>
      <c r="AY976" s="35" t="str">
        <f aca="false">IF($B976="","",AQ976)</f>
        <v/>
      </c>
      <c r="AZ976" s="35" t="str">
        <f aca="false">IF($B976="","",AP976+AT976/2)</f>
        <v/>
      </c>
      <c r="BA976" s="35" t="str">
        <f aca="false">IF($B976="","",AK976+AN976+AM976/2+AO976+AP976+AQ976+AR976+AS976+AT976+AU976+AV976+AW976)</f>
        <v/>
      </c>
      <c r="BB976" s="35" t="str">
        <f aca="false">IF($B976="","",MAX(0,AN976-Settings!$C$16)*Settings!$C$17)</f>
        <v/>
      </c>
      <c r="BC976" s="35" t="str">
        <f aca="false">IF($B976="","",BA976-BB976)</f>
        <v/>
      </c>
      <c r="BD976" s="35" t="str">
        <f aca="false">IF(OR($B976="",$A976=""),"",DAY(EOMONTH($A976,0))-COUNTA($F976:$AJ976))</f>
        <v/>
      </c>
    </row>
    <row r="977" customFormat="false" ht="15" hidden="false" customHeight="false" outlineLevel="0" collapsed="false">
      <c r="A977" s="32"/>
      <c r="B977" s="29"/>
      <c r="C977" s="10" t="str">
        <f aca="false">IF($B977="","",IFERROR(INDEX(M_name,MATCH($B977,M_emp,0)),"Code not found"))</f>
        <v/>
      </c>
      <c r="D977" s="10" t="str">
        <f aca="false">IF($B977="","",IFERROR(INDEX(M_dept,MATCH($B977,M_emp,0)),""))</f>
        <v/>
      </c>
      <c r="E977" s="10" t="str">
        <f aca="false">IF($B977="","",IFERROR(INDEX(M_loc,MATCH($B977,M_emp,0)),""))</f>
        <v/>
      </c>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4" t="str">
        <f aca="false">IF($B977="","",COUNTIF($F977:$AJ977,"P"))</f>
        <v/>
      </c>
      <c r="AL977" s="34" t="str">
        <f aca="false">IF($B977="","",COUNTIF($F977:$AJ977,"A"))</f>
        <v/>
      </c>
      <c r="AM977" s="34" t="str">
        <f aca="false">IF($B977="","",COUNTIF($F977:$AJ977,"HA"))</f>
        <v/>
      </c>
      <c r="AN977" s="34" t="str">
        <f aca="false">IF($B977="","",COUNTIF($F977:$AJ977,"L"))</f>
        <v/>
      </c>
      <c r="AO977" s="34" t="str">
        <f aca="false">IF($B977="","",COUNTIF($F977:$AJ977,"PL"))</f>
        <v/>
      </c>
      <c r="AP977" s="34" t="str">
        <f aca="false">IF($B977="","",COUNTIF($F977:$AJ977,"CL"))</f>
        <v/>
      </c>
      <c r="AQ977" s="34" t="str">
        <f aca="false">IF($B977="","",COUNTIF($F977:$AJ977,"SL"))</f>
        <v/>
      </c>
      <c r="AR977" s="34" t="str">
        <f aca="false">IF($B977="","",COUNTIF($F977:$AJ977,"CO"))</f>
        <v/>
      </c>
      <c r="AS977" s="34" t="str">
        <f aca="false">IF($B977="","",COUNTIF($F977:$AJ977,"HPL"))</f>
        <v/>
      </c>
      <c r="AT977" s="34" t="str">
        <f aca="false">IF($B977="","",COUNTIF($F977:$AJ977,"HCL"))</f>
        <v/>
      </c>
      <c r="AU977" s="34" t="str">
        <f aca="false">IF($B977="","",COUNTIF($F977:$AJ977,"WO"))</f>
        <v/>
      </c>
      <c r="AV977" s="34" t="str">
        <f aca="false">IF($B977="","",COUNTIF($F977:$AJ977,"PH"))</f>
        <v/>
      </c>
      <c r="AW977" s="34" t="str">
        <f aca="false">IF($B977="","",COUNTIF($F977:$AJ977,"TR"))</f>
        <v/>
      </c>
      <c r="AX977" s="35" t="str">
        <f aca="false">IF($B977="","",AO977+AS977/2)</f>
        <v/>
      </c>
      <c r="AY977" s="35" t="str">
        <f aca="false">IF($B977="","",AQ977)</f>
        <v/>
      </c>
      <c r="AZ977" s="35" t="str">
        <f aca="false">IF($B977="","",AP977+AT977/2)</f>
        <v/>
      </c>
      <c r="BA977" s="35" t="str">
        <f aca="false">IF($B977="","",AK977+AN977+AM977/2+AO977+AP977+AQ977+AR977+AS977+AT977+AU977+AV977+AW977)</f>
        <v/>
      </c>
      <c r="BB977" s="35" t="str">
        <f aca="false">IF($B977="","",MAX(0,AN977-Settings!$C$16)*Settings!$C$17)</f>
        <v/>
      </c>
      <c r="BC977" s="35" t="str">
        <f aca="false">IF($B977="","",BA977-BB977)</f>
        <v/>
      </c>
      <c r="BD977" s="35" t="str">
        <f aca="false">IF(OR($B977="",$A977=""),"",DAY(EOMONTH($A977,0))-COUNTA($F977:$AJ977))</f>
        <v/>
      </c>
    </row>
    <row r="978" customFormat="false" ht="15" hidden="false" customHeight="false" outlineLevel="0" collapsed="false">
      <c r="A978" s="32"/>
      <c r="B978" s="29"/>
      <c r="C978" s="10" t="str">
        <f aca="false">IF($B978="","",IFERROR(INDEX(M_name,MATCH($B978,M_emp,0)),"Code not found"))</f>
        <v/>
      </c>
      <c r="D978" s="10" t="str">
        <f aca="false">IF($B978="","",IFERROR(INDEX(M_dept,MATCH($B978,M_emp,0)),""))</f>
        <v/>
      </c>
      <c r="E978" s="10" t="str">
        <f aca="false">IF($B978="","",IFERROR(INDEX(M_loc,MATCH($B978,M_emp,0)),""))</f>
        <v/>
      </c>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4" t="str">
        <f aca="false">IF($B978="","",COUNTIF($F978:$AJ978,"P"))</f>
        <v/>
      </c>
      <c r="AL978" s="34" t="str">
        <f aca="false">IF($B978="","",COUNTIF($F978:$AJ978,"A"))</f>
        <v/>
      </c>
      <c r="AM978" s="34" t="str">
        <f aca="false">IF($B978="","",COUNTIF($F978:$AJ978,"HA"))</f>
        <v/>
      </c>
      <c r="AN978" s="34" t="str">
        <f aca="false">IF($B978="","",COUNTIF($F978:$AJ978,"L"))</f>
        <v/>
      </c>
      <c r="AO978" s="34" t="str">
        <f aca="false">IF($B978="","",COUNTIF($F978:$AJ978,"PL"))</f>
        <v/>
      </c>
      <c r="AP978" s="34" t="str">
        <f aca="false">IF($B978="","",COUNTIF($F978:$AJ978,"CL"))</f>
        <v/>
      </c>
      <c r="AQ978" s="34" t="str">
        <f aca="false">IF($B978="","",COUNTIF($F978:$AJ978,"SL"))</f>
        <v/>
      </c>
      <c r="AR978" s="34" t="str">
        <f aca="false">IF($B978="","",COUNTIF($F978:$AJ978,"CO"))</f>
        <v/>
      </c>
      <c r="AS978" s="34" t="str">
        <f aca="false">IF($B978="","",COUNTIF($F978:$AJ978,"HPL"))</f>
        <v/>
      </c>
      <c r="AT978" s="34" t="str">
        <f aca="false">IF($B978="","",COUNTIF($F978:$AJ978,"HCL"))</f>
        <v/>
      </c>
      <c r="AU978" s="34" t="str">
        <f aca="false">IF($B978="","",COUNTIF($F978:$AJ978,"WO"))</f>
        <v/>
      </c>
      <c r="AV978" s="34" t="str">
        <f aca="false">IF($B978="","",COUNTIF($F978:$AJ978,"PH"))</f>
        <v/>
      </c>
      <c r="AW978" s="34" t="str">
        <f aca="false">IF($B978="","",COUNTIF($F978:$AJ978,"TR"))</f>
        <v/>
      </c>
      <c r="AX978" s="35" t="str">
        <f aca="false">IF($B978="","",AO978+AS978/2)</f>
        <v/>
      </c>
      <c r="AY978" s="35" t="str">
        <f aca="false">IF($B978="","",AQ978)</f>
        <v/>
      </c>
      <c r="AZ978" s="35" t="str">
        <f aca="false">IF($B978="","",AP978+AT978/2)</f>
        <v/>
      </c>
      <c r="BA978" s="35" t="str">
        <f aca="false">IF($B978="","",AK978+AN978+AM978/2+AO978+AP978+AQ978+AR978+AS978+AT978+AU978+AV978+AW978)</f>
        <v/>
      </c>
      <c r="BB978" s="35" t="str">
        <f aca="false">IF($B978="","",MAX(0,AN978-Settings!$C$16)*Settings!$C$17)</f>
        <v/>
      </c>
      <c r="BC978" s="35" t="str">
        <f aca="false">IF($B978="","",BA978-BB978)</f>
        <v/>
      </c>
      <c r="BD978" s="35" t="str">
        <f aca="false">IF(OR($B978="",$A978=""),"",DAY(EOMONTH($A978,0))-COUNTA($F978:$AJ978))</f>
        <v/>
      </c>
    </row>
    <row r="979" customFormat="false" ht="15" hidden="false" customHeight="false" outlineLevel="0" collapsed="false">
      <c r="A979" s="32"/>
      <c r="B979" s="29"/>
      <c r="C979" s="10" t="str">
        <f aca="false">IF($B979="","",IFERROR(INDEX(M_name,MATCH($B979,M_emp,0)),"Code not found"))</f>
        <v/>
      </c>
      <c r="D979" s="10" t="str">
        <f aca="false">IF($B979="","",IFERROR(INDEX(M_dept,MATCH($B979,M_emp,0)),""))</f>
        <v/>
      </c>
      <c r="E979" s="10" t="str">
        <f aca="false">IF($B979="","",IFERROR(INDEX(M_loc,MATCH($B979,M_emp,0)),""))</f>
        <v/>
      </c>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4" t="str">
        <f aca="false">IF($B979="","",COUNTIF($F979:$AJ979,"P"))</f>
        <v/>
      </c>
      <c r="AL979" s="34" t="str">
        <f aca="false">IF($B979="","",COUNTIF($F979:$AJ979,"A"))</f>
        <v/>
      </c>
      <c r="AM979" s="34" t="str">
        <f aca="false">IF($B979="","",COUNTIF($F979:$AJ979,"HA"))</f>
        <v/>
      </c>
      <c r="AN979" s="34" t="str">
        <f aca="false">IF($B979="","",COUNTIF($F979:$AJ979,"L"))</f>
        <v/>
      </c>
      <c r="AO979" s="34" t="str">
        <f aca="false">IF($B979="","",COUNTIF($F979:$AJ979,"PL"))</f>
        <v/>
      </c>
      <c r="AP979" s="34" t="str">
        <f aca="false">IF($B979="","",COUNTIF($F979:$AJ979,"CL"))</f>
        <v/>
      </c>
      <c r="AQ979" s="34" t="str">
        <f aca="false">IF($B979="","",COUNTIF($F979:$AJ979,"SL"))</f>
        <v/>
      </c>
      <c r="AR979" s="34" t="str">
        <f aca="false">IF($B979="","",COUNTIF($F979:$AJ979,"CO"))</f>
        <v/>
      </c>
      <c r="AS979" s="34" t="str">
        <f aca="false">IF($B979="","",COUNTIF($F979:$AJ979,"HPL"))</f>
        <v/>
      </c>
      <c r="AT979" s="34" t="str">
        <f aca="false">IF($B979="","",COUNTIF($F979:$AJ979,"HCL"))</f>
        <v/>
      </c>
      <c r="AU979" s="34" t="str">
        <f aca="false">IF($B979="","",COUNTIF($F979:$AJ979,"WO"))</f>
        <v/>
      </c>
      <c r="AV979" s="34" t="str">
        <f aca="false">IF($B979="","",COUNTIF($F979:$AJ979,"PH"))</f>
        <v/>
      </c>
      <c r="AW979" s="34" t="str">
        <f aca="false">IF($B979="","",COUNTIF($F979:$AJ979,"TR"))</f>
        <v/>
      </c>
      <c r="AX979" s="35" t="str">
        <f aca="false">IF($B979="","",AO979+AS979/2)</f>
        <v/>
      </c>
      <c r="AY979" s="35" t="str">
        <f aca="false">IF($B979="","",AQ979)</f>
        <v/>
      </c>
      <c r="AZ979" s="35" t="str">
        <f aca="false">IF($B979="","",AP979+AT979/2)</f>
        <v/>
      </c>
      <c r="BA979" s="35" t="str">
        <f aca="false">IF($B979="","",AK979+AN979+AM979/2+AO979+AP979+AQ979+AR979+AS979+AT979+AU979+AV979+AW979)</f>
        <v/>
      </c>
      <c r="BB979" s="35" t="str">
        <f aca="false">IF($B979="","",MAX(0,AN979-Settings!$C$16)*Settings!$C$17)</f>
        <v/>
      </c>
      <c r="BC979" s="35" t="str">
        <f aca="false">IF($B979="","",BA979-BB979)</f>
        <v/>
      </c>
      <c r="BD979" s="35" t="str">
        <f aca="false">IF(OR($B979="",$A979=""),"",DAY(EOMONTH($A979,0))-COUNTA($F979:$AJ979))</f>
        <v/>
      </c>
    </row>
    <row r="980" customFormat="false" ht="15" hidden="false" customHeight="false" outlineLevel="0" collapsed="false">
      <c r="A980" s="32"/>
      <c r="B980" s="29"/>
      <c r="C980" s="10" t="str">
        <f aca="false">IF($B980="","",IFERROR(INDEX(M_name,MATCH($B980,M_emp,0)),"Code not found"))</f>
        <v/>
      </c>
      <c r="D980" s="10" t="str">
        <f aca="false">IF($B980="","",IFERROR(INDEX(M_dept,MATCH($B980,M_emp,0)),""))</f>
        <v/>
      </c>
      <c r="E980" s="10" t="str">
        <f aca="false">IF($B980="","",IFERROR(INDEX(M_loc,MATCH($B980,M_emp,0)),""))</f>
        <v/>
      </c>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4" t="str">
        <f aca="false">IF($B980="","",COUNTIF($F980:$AJ980,"P"))</f>
        <v/>
      </c>
      <c r="AL980" s="34" t="str">
        <f aca="false">IF($B980="","",COUNTIF($F980:$AJ980,"A"))</f>
        <v/>
      </c>
      <c r="AM980" s="34" t="str">
        <f aca="false">IF($B980="","",COUNTIF($F980:$AJ980,"HA"))</f>
        <v/>
      </c>
      <c r="AN980" s="34" t="str">
        <f aca="false">IF($B980="","",COUNTIF($F980:$AJ980,"L"))</f>
        <v/>
      </c>
      <c r="AO980" s="34" t="str">
        <f aca="false">IF($B980="","",COUNTIF($F980:$AJ980,"PL"))</f>
        <v/>
      </c>
      <c r="AP980" s="34" t="str">
        <f aca="false">IF($B980="","",COUNTIF($F980:$AJ980,"CL"))</f>
        <v/>
      </c>
      <c r="AQ980" s="34" t="str">
        <f aca="false">IF($B980="","",COUNTIF($F980:$AJ980,"SL"))</f>
        <v/>
      </c>
      <c r="AR980" s="34" t="str">
        <f aca="false">IF($B980="","",COUNTIF($F980:$AJ980,"CO"))</f>
        <v/>
      </c>
      <c r="AS980" s="34" t="str">
        <f aca="false">IF($B980="","",COUNTIF($F980:$AJ980,"HPL"))</f>
        <v/>
      </c>
      <c r="AT980" s="34" t="str">
        <f aca="false">IF($B980="","",COUNTIF($F980:$AJ980,"HCL"))</f>
        <v/>
      </c>
      <c r="AU980" s="34" t="str">
        <f aca="false">IF($B980="","",COUNTIF($F980:$AJ980,"WO"))</f>
        <v/>
      </c>
      <c r="AV980" s="34" t="str">
        <f aca="false">IF($B980="","",COUNTIF($F980:$AJ980,"PH"))</f>
        <v/>
      </c>
      <c r="AW980" s="34" t="str">
        <f aca="false">IF($B980="","",COUNTIF($F980:$AJ980,"TR"))</f>
        <v/>
      </c>
      <c r="AX980" s="35" t="str">
        <f aca="false">IF($B980="","",AO980+AS980/2)</f>
        <v/>
      </c>
      <c r="AY980" s="35" t="str">
        <f aca="false">IF($B980="","",AQ980)</f>
        <v/>
      </c>
      <c r="AZ980" s="35" t="str">
        <f aca="false">IF($B980="","",AP980+AT980/2)</f>
        <v/>
      </c>
      <c r="BA980" s="35" t="str">
        <f aca="false">IF($B980="","",AK980+AN980+AM980/2+AO980+AP980+AQ980+AR980+AS980+AT980+AU980+AV980+AW980)</f>
        <v/>
      </c>
      <c r="BB980" s="35" t="str">
        <f aca="false">IF($B980="","",MAX(0,AN980-Settings!$C$16)*Settings!$C$17)</f>
        <v/>
      </c>
      <c r="BC980" s="35" t="str">
        <f aca="false">IF($B980="","",BA980-BB980)</f>
        <v/>
      </c>
      <c r="BD980" s="35" t="str">
        <f aca="false">IF(OR($B980="",$A980=""),"",DAY(EOMONTH($A980,0))-COUNTA($F980:$AJ980))</f>
        <v/>
      </c>
    </row>
    <row r="981" customFormat="false" ht="15" hidden="false" customHeight="false" outlineLevel="0" collapsed="false">
      <c r="A981" s="32"/>
      <c r="B981" s="29"/>
      <c r="C981" s="10" t="str">
        <f aca="false">IF($B981="","",IFERROR(INDEX(M_name,MATCH($B981,M_emp,0)),"Code not found"))</f>
        <v/>
      </c>
      <c r="D981" s="10" t="str">
        <f aca="false">IF($B981="","",IFERROR(INDEX(M_dept,MATCH($B981,M_emp,0)),""))</f>
        <v/>
      </c>
      <c r="E981" s="10" t="str">
        <f aca="false">IF($B981="","",IFERROR(INDEX(M_loc,MATCH($B981,M_emp,0)),""))</f>
        <v/>
      </c>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4" t="str">
        <f aca="false">IF($B981="","",COUNTIF($F981:$AJ981,"P"))</f>
        <v/>
      </c>
      <c r="AL981" s="34" t="str">
        <f aca="false">IF($B981="","",COUNTIF($F981:$AJ981,"A"))</f>
        <v/>
      </c>
      <c r="AM981" s="34" t="str">
        <f aca="false">IF($B981="","",COUNTIF($F981:$AJ981,"HA"))</f>
        <v/>
      </c>
      <c r="AN981" s="34" t="str">
        <f aca="false">IF($B981="","",COUNTIF($F981:$AJ981,"L"))</f>
        <v/>
      </c>
      <c r="AO981" s="34" t="str">
        <f aca="false">IF($B981="","",COUNTIF($F981:$AJ981,"PL"))</f>
        <v/>
      </c>
      <c r="AP981" s="34" t="str">
        <f aca="false">IF($B981="","",COUNTIF($F981:$AJ981,"CL"))</f>
        <v/>
      </c>
      <c r="AQ981" s="34" t="str">
        <f aca="false">IF($B981="","",COUNTIF($F981:$AJ981,"SL"))</f>
        <v/>
      </c>
      <c r="AR981" s="34" t="str">
        <f aca="false">IF($B981="","",COUNTIF($F981:$AJ981,"CO"))</f>
        <v/>
      </c>
      <c r="AS981" s="34" t="str">
        <f aca="false">IF($B981="","",COUNTIF($F981:$AJ981,"HPL"))</f>
        <v/>
      </c>
      <c r="AT981" s="34" t="str">
        <f aca="false">IF($B981="","",COUNTIF($F981:$AJ981,"HCL"))</f>
        <v/>
      </c>
      <c r="AU981" s="34" t="str">
        <f aca="false">IF($B981="","",COUNTIF($F981:$AJ981,"WO"))</f>
        <v/>
      </c>
      <c r="AV981" s="34" t="str">
        <f aca="false">IF($B981="","",COUNTIF($F981:$AJ981,"PH"))</f>
        <v/>
      </c>
      <c r="AW981" s="34" t="str">
        <f aca="false">IF($B981="","",COUNTIF($F981:$AJ981,"TR"))</f>
        <v/>
      </c>
      <c r="AX981" s="35" t="str">
        <f aca="false">IF($B981="","",AO981+AS981/2)</f>
        <v/>
      </c>
      <c r="AY981" s="35" t="str">
        <f aca="false">IF($B981="","",AQ981)</f>
        <v/>
      </c>
      <c r="AZ981" s="35" t="str">
        <f aca="false">IF($B981="","",AP981+AT981/2)</f>
        <v/>
      </c>
      <c r="BA981" s="35" t="str">
        <f aca="false">IF($B981="","",AK981+AN981+AM981/2+AO981+AP981+AQ981+AR981+AS981+AT981+AU981+AV981+AW981)</f>
        <v/>
      </c>
      <c r="BB981" s="35" t="str">
        <f aca="false">IF($B981="","",MAX(0,AN981-Settings!$C$16)*Settings!$C$17)</f>
        <v/>
      </c>
      <c r="BC981" s="35" t="str">
        <f aca="false">IF($B981="","",BA981-BB981)</f>
        <v/>
      </c>
      <c r="BD981" s="35" t="str">
        <f aca="false">IF(OR($B981="",$A981=""),"",DAY(EOMONTH($A981,0))-COUNTA($F981:$AJ981))</f>
        <v/>
      </c>
    </row>
    <row r="982" customFormat="false" ht="15" hidden="false" customHeight="false" outlineLevel="0" collapsed="false">
      <c r="A982" s="32"/>
      <c r="B982" s="29"/>
      <c r="C982" s="10" t="str">
        <f aca="false">IF($B982="","",IFERROR(INDEX(M_name,MATCH($B982,M_emp,0)),"Code not found"))</f>
        <v/>
      </c>
      <c r="D982" s="10" t="str">
        <f aca="false">IF($B982="","",IFERROR(INDEX(M_dept,MATCH($B982,M_emp,0)),""))</f>
        <v/>
      </c>
      <c r="E982" s="10" t="str">
        <f aca="false">IF($B982="","",IFERROR(INDEX(M_loc,MATCH($B982,M_emp,0)),""))</f>
        <v/>
      </c>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4" t="str">
        <f aca="false">IF($B982="","",COUNTIF($F982:$AJ982,"P"))</f>
        <v/>
      </c>
      <c r="AL982" s="34" t="str">
        <f aca="false">IF($B982="","",COUNTIF($F982:$AJ982,"A"))</f>
        <v/>
      </c>
      <c r="AM982" s="34" t="str">
        <f aca="false">IF($B982="","",COUNTIF($F982:$AJ982,"HA"))</f>
        <v/>
      </c>
      <c r="AN982" s="34" t="str">
        <f aca="false">IF($B982="","",COUNTIF($F982:$AJ982,"L"))</f>
        <v/>
      </c>
      <c r="AO982" s="34" t="str">
        <f aca="false">IF($B982="","",COUNTIF($F982:$AJ982,"PL"))</f>
        <v/>
      </c>
      <c r="AP982" s="34" t="str">
        <f aca="false">IF($B982="","",COUNTIF($F982:$AJ982,"CL"))</f>
        <v/>
      </c>
      <c r="AQ982" s="34" t="str">
        <f aca="false">IF($B982="","",COUNTIF($F982:$AJ982,"SL"))</f>
        <v/>
      </c>
      <c r="AR982" s="34" t="str">
        <f aca="false">IF($B982="","",COUNTIF($F982:$AJ982,"CO"))</f>
        <v/>
      </c>
      <c r="AS982" s="34" t="str">
        <f aca="false">IF($B982="","",COUNTIF($F982:$AJ982,"HPL"))</f>
        <v/>
      </c>
      <c r="AT982" s="34" t="str">
        <f aca="false">IF($B982="","",COUNTIF($F982:$AJ982,"HCL"))</f>
        <v/>
      </c>
      <c r="AU982" s="34" t="str">
        <f aca="false">IF($B982="","",COUNTIF($F982:$AJ982,"WO"))</f>
        <v/>
      </c>
      <c r="AV982" s="34" t="str">
        <f aca="false">IF($B982="","",COUNTIF($F982:$AJ982,"PH"))</f>
        <v/>
      </c>
      <c r="AW982" s="34" t="str">
        <f aca="false">IF($B982="","",COUNTIF($F982:$AJ982,"TR"))</f>
        <v/>
      </c>
      <c r="AX982" s="35" t="str">
        <f aca="false">IF($B982="","",AO982+AS982/2)</f>
        <v/>
      </c>
      <c r="AY982" s="35" t="str">
        <f aca="false">IF($B982="","",AQ982)</f>
        <v/>
      </c>
      <c r="AZ982" s="35" t="str">
        <f aca="false">IF($B982="","",AP982+AT982/2)</f>
        <v/>
      </c>
      <c r="BA982" s="35" t="str">
        <f aca="false">IF($B982="","",AK982+AN982+AM982/2+AO982+AP982+AQ982+AR982+AS982+AT982+AU982+AV982+AW982)</f>
        <v/>
      </c>
      <c r="BB982" s="35" t="str">
        <f aca="false">IF($B982="","",MAX(0,AN982-Settings!$C$16)*Settings!$C$17)</f>
        <v/>
      </c>
      <c r="BC982" s="35" t="str">
        <f aca="false">IF($B982="","",BA982-BB982)</f>
        <v/>
      </c>
      <c r="BD982" s="35" t="str">
        <f aca="false">IF(OR($B982="",$A982=""),"",DAY(EOMONTH($A982,0))-COUNTA($F982:$AJ982))</f>
        <v/>
      </c>
    </row>
    <row r="983" customFormat="false" ht="15" hidden="false" customHeight="false" outlineLevel="0" collapsed="false">
      <c r="A983" s="32"/>
      <c r="B983" s="29"/>
      <c r="C983" s="10" t="str">
        <f aca="false">IF($B983="","",IFERROR(INDEX(M_name,MATCH($B983,M_emp,0)),"Code not found"))</f>
        <v/>
      </c>
      <c r="D983" s="10" t="str">
        <f aca="false">IF($B983="","",IFERROR(INDEX(M_dept,MATCH($B983,M_emp,0)),""))</f>
        <v/>
      </c>
      <c r="E983" s="10" t="str">
        <f aca="false">IF($B983="","",IFERROR(INDEX(M_loc,MATCH($B983,M_emp,0)),""))</f>
        <v/>
      </c>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4" t="str">
        <f aca="false">IF($B983="","",COUNTIF($F983:$AJ983,"P"))</f>
        <v/>
      </c>
      <c r="AL983" s="34" t="str">
        <f aca="false">IF($B983="","",COUNTIF($F983:$AJ983,"A"))</f>
        <v/>
      </c>
      <c r="AM983" s="34" t="str">
        <f aca="false">IF($B983="","",COUNTIF($F983:$AJ983,"HA"))</f>
        <v/>
      </c>
      <c r="AN983" s="34" t="str">
        <f aca="false">IF($B983="","",COUNTIF($F983:$AJ983,"L"))</f>
        <v/>
      </c>
      <c r="AO983" s="34" t="str">
        <f aca="false">IF($B983="","",COUNTIF($F983:$AJ983,"PL"))</f>
        <v/>
      </c>
      <c r="AP983" s="34" t="str">
        <f aca="false">IF($B983="","",COUNTIF($F983:$AJ983,"CL"))</f>
        <v/>
      </c>
      <c r="AQ983" s="34" t="str">
        <f aca="false">IF($B983="","",COUNTIF($F983:$AJ983,"SL"))</f>
        <v/>
      </c>
      <c r="AR983" s="34" t="str">
        <f aca="false">IF($B983="","",COUNTIF($F983:$AJ983,"CO"))</f>
        <v/>
      </c>
      <c r="AS983" s="34" t="str">
        <f aca="false">IF($B983="","",COUNTIF($F983:$AJ983,"HPL"))</f>
        <v/>
      </c>
      <c r="AT983" s="34" t="str">
        <f aca="false">IF($B983="","",COUNTIF($F983:$AJ983,"HCL"))</f>
        <v/>
      </c>
      <c r="AU983" s="34" t="str">
        <f aca="false">IF($B983="","",COUNTIF($F983:$AJ983,"WO"))</f>
        <v/>
      </c>
      <c r="AV983" s="34" t="str">
        <f aca="false">IF($B983="","",COUNTIF($F983:$AJ983,"PH"))</f>
        <v/>
      </c>
      <c r="AW983" s="34" t="str">
        <f aca="false">IF($B983="","",COUNTIF($F983:$AJ983,"TR"))</f>
        <v/>
      </c>
      <c r="AX983" s="35" t="str">
        <f aca="false">IF($B983="","",AO983+AS983/2)</f>
        <v/>
      </c>
      <c r="AY983" s="35" t="str">
        <f aca="false">IF($B983="","",AQ983)</f>
        <v/>
      </c>
      <c r="AZ983" s="35" t="str">
        <f aca="false">IF($B983="","",AP983+AT983/2)</f>
        <v/>
      </c>
      <c r="BA983" s="35" t="str">
        <f aca="false">IF($B983="","",AK983+AN983+AM983/2+AO983+AP983+AQ983+AR983+AS983+AT983+AU983+AV983+AW983)</f>
        <v/>
      </c>
      <c r="BB983" s="35" t="str">
        <f aca="false">IF($B983="","",MAX(0,AN983-Settings!$C$16)*Settings!$C$17)</f>
        <v/>
      </c>
      <c r="BC983" s="35" t="str">
        <f aca="false">IF($B983="","",BA983-BB983)</f>
        <v/>
      </c>
      <c r="BD983" s="35" t="str">
        <f aca="false">IF(OR($B983="",$A983=""),"",DAY(EOMONTH($A983,0))-COUNTA($F983:$AJ983))</f>
        <v/>
      </c>
    </row>
    <row r="984" customFormat="false" ht="15" hidden="false" customHeight="false" outlineLevel="0" collapsed="false">
      <c r="A984" s="32"/>
      <c r="B984" s="29"/>
      <c r="C984" s="10" t="str">
        <f aca="false">IF($B984="","",IFERROR(INDEX(M_name,MATCH($B984,M_emp,0)),"Code not found"))</f>
        <v/>
      </c>
      <c r="D984" s="10" t="str">
        <f aca="false">IF($B984="","",IFERROR(INDEX(M_dept,MATCH($B984,M_emp,0)),""))</f>
        <v/>
      </c>
      <c r="E984" s="10" t="str">
        <f aca="false">IF($B984="","",IFERROR(INDEX(M_loc,MATCH($B984,M_emp,0)),""))</f>
        <v/>
      </c>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4" t="str">
        <f aca="false">IF($B984="","",COUNTIF($F984:$AJ984,"P"))</f>
        <v/>
      </c>
      <c r="AL984" s="34" t="str">
        <f aca="false">IF($B984="","",COUNTIF($F984:$AJ984,"A"))</f>
        <v/>
      </c>
      <c r="AM984" s="34" t="str">
        <f aca="false">IF($B984="","",COUNTIF($F984:$AJ984,"HA"))</f>
        <v/>
      </c>
      <c r="AN984" s="34" t="str">
        <f aca="false">IF($B984="","",COUNTIF($F984:$AJ984,"L"))</f>
        <v/>
      </c>
      <c r="AO984" s="34" t="str">
        <f aca="false">IF($B984="","",COUNTIF($F984:$AJ984,"PL"))</f>
        <v/>
      </c>
      <c r="AP984" s="34" t="str">
        <f aca="false">IF($B984="","",COUNTIF($F984:$AJ984,"CL"))</f>
        <v/>
      </c>
      <c r="AQ984" s="34" t="str">
        <f aca="false">IF($B984="","",COUNTIF($F984:$AJ984,"SL"))</f>
        <v/>
      </c>
      <c r="AR984" s="34" t="str">
        <f aca="false">IF($B984="","",COUNTIF($F984:$AJ984,"CO"))</f>
        <v/>
      </c>
      <c r="AS984" s="34" t="str">
        <f aca="false">IF($B984="","",COUNTIF($F984:$AJ984,"HPL"))</f>
        <v/>
      </c>
      <c r="AT984" s="34" t="str">
        <f aca="false">IF($B984="","",COUNTIF($F984:$AJ984,"HCL"))</f>
        <v/>
      </c>
      <c r="AU984" s="34" t="str">
        <f aca="false">IF($B984="","",COUNTIF($F984:$AJ984,"WO"))</f>
        <v/>
      </c>
      <c r="AV984" s="34" t="str">
        <f aca="false">IF($B984="","",COUNTIF($F984:$AJ984,"PH"))</f>
        <v/>
      </c>
      <c r="AW984" s="34" t="str">
        <f aca="false">IF($B984="","",COUNTIF($F984:$AJ984,"TR"))</f>
        <v/>
      </c>
      <c r="AX984" s="35" t="str">
        <f aca="false">IF($B984="","",AO984+AS984/2)</f>
        <v/>
      </c>
      <c r="AY984" s="35" t="str">
        <f aca="false">IF($B984="","",AQ984)</f>
        <v/>
      </c>
      <c r="AZ984" s="35" t="str">
        <f aca="false">IF($B984="","",AP984+AT984/2)</f>
        <v/>
      </c>
      <c r="BA984" s="35" t="str">
        <f aca="false">IF($B984="","",AK984+AN984+AM984/2+AO984+AP984+AQ984+AR984+AS984+AT984+AU984+AV984+AW984)</f>
        <v/>
      </c>
      <c r="BB984" s="35" t="str">
        <f aca="false">IF($B984="","",MAX(0,AN984-Settings!$C$16)*Settings!$C$17)</f>
        <v/>
      </c>
      <c r="BC984" s="35" t="str">
        <f aca="false">IF($B984="","",BA984-BB984)</f>
        <v/>
      </c>
      <c r="BD984" s="35" t="str">
        <f aca="false">IF(OR($B984="",$A984=""),"",DAY(EOMONTH($A984,0))-COUNTA($F984:$AJ984))</f>
        <v/>
      </c>
    </row>
    <row r="985" customFormat="false" ht="15" hidden="false" customHeight="false" outlineLevel="0" collapsed="false">
      <c r="A985" s="32"/>
      <c r="B985" s="29"/>
      <c r="C985" s="10" t="str">
        <f aca="false">IF($B985="","",IFERROR(INDEX(M_name,MATCH($B985,M_emp,0)),"Code not found"))</f>
        <v/>
      </c>
      <c r="D985" s="10" t="str">
        <f aca="false">IF($B985="","",IFERROR(INDEX(M_dept,MATCH($B985,M_emp,0)),""))</f>
        <v/>
      </c>
      <c r="E985" s="10" t="str">
        <f aca="false">IF($B985="","",IFERROR(INDEX(M_loc,MATCH($B985,M_emp,0)),""))</f>
        <v/>
      </c>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4" t="str">
        <f aca="false">IF($B985="","",COUNTIF($F985:$AJ985,"P"))</f>
        <v/>
      </c>
      <c r="AL985" s="34" t="str">
        <f aca="false">IF($B985="","",COUNTIF($F985:$AJ985,"A"))</f>
        <v/>
      </c>
      <c r="AM985" s="34" t="str">
        <f aca="false">IF($B985="","",COUNTIF($F985:$AJ985,"HA"))</f>
        <v/>
      </c>
      <c r="AN985" s="34" t="str">
        <f aca="false">IF($B985="","",COUNTIF($F985:$AJ985,"L"))</f>
        <v/>
      </c>
      <c r="AO985" s="34" t="str">
        <f aca="false">IF($B985="","",COUNTIF($F985:$AJ985,"PL"))</f>
        <v/>
      </c>
      <c r="AP985" s="34" t="str">
        <f aca="false">IF($B985="","",COUNTIF($F985:$AJ985,"CL"))</f>
        <v/>
      </c>
      <c r="AQ985" s="34" t="str">
        <f aca="false">IF($B985="","",COUNTIF($F985:$AJ985,"SL"))</f>
        <v/>
      </c>
      <c r="AR985" s="34" t="str">
        <f aca="false">IF($B985="","",COUNTIF($F985:$AJ985,"CO"))</f>
        <v/>
      </c>
      <c r="AS985" s="34" t="str">
        <f aca="false">IF($B985="","",COUNTIF($F985:$AJ985,"HPL"))</f>
        <v/>
      </c>
      <c r="AT985" s="34" t="str">
        <f aca="false">IF($B985="","",COUNTIF($F985:$AJ985,"HCL"))</f>
        <v/>
      </c>
      <c r="AU985" s="34" t="str">
        <f aca="false">IF($B985="","",COUNTIF($F985:$AJ985,"WO"))</f>
        <v/>
      </c>
      <c r="AV985" s="34" t="str">
        <f aca="false">IF($B985="","",COUNTIF($F985:$AJ985,"PH"))</f>
        <v/>
      </c>
      <c r="AW985" s="34" t="str">
        <f aca="false">IF($B985="","",COUNTIF($F985:$AJ985,"TR"))</f>
        <v/>
      </c>
      <c r="AX985" s="35" t="str">
        <f aca="false">IF($B985="","",AO985+AS985/2)</f>
        <v/>
      </c>
      <c r="AY985" s="35" t="str">
        <f aca="false">IF($B985="","",AQ985)</f>
        <v/>
      </c>
      <c r="AZ985" s="35" t="str">
        <f aca="false">IF($B985="","",AP985+AT985/2)</f>
        <v/>
      </c>
      <c r="BA985" s="35" t="str">
        <f aca="false">IF($B985="","",AK985+AN985+AM985/2+AO985+AP985+AQ985+AR985+AS985+AT985+AU985+AV985+AW985)</f>
        <v/>
      </c>
      <c r="BB985" s="35" t="str">
        <f aca="false">IF($B985="","",MAX(0,AN985-Settings!$C$16)*Settings!$C$17)</f>
        <v/>
      </c>
      <c r="BC985" s="35" t="str">
        <f aca="false">IF($B985="","",BA985-BB985)</f>
        <v/>
      </c>
      <c r="BD985" s="35" t="str">
        <f aca="false">IF(OR($B985="",$A985=""),"",DAY(EOMONTH($A985,0))-COUNTA($F985:$AJ985))</f>
        <v/>
      </c>
    </row>
    <row r="986" customFormat="false" ht="15" hidden="false" customHeight="false" outlineLevel="0" collapsed="false">
      <c r="A986" s="32"/>
      <c r="B986" s="29"/>
      <c r="C986" s="10" t="str">
        <f aca="false">IF($B986="","",IFERROR(INDEX(M_name,MATCH($B986,M_emp,0)),"Code not found"))</f>
        <v/>
      </c>
      <c r="D986" s="10" t="str">
        <f aca="false">IF($B986="","",IFERROR(INDEX(M_dept,MATCH($B986,M_emp,0)),""))</f>
        <v/>
      </c>
      <c r="E986" s="10" t="str">
        <f aca="false">IF($B986="","",IFERROR(INDEX(M_loc,MATCH($B986,M_emp,0)),""))</f>
        <v/>
      </c>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4" t="str">
        <f aca="false">IF($B986="","",COUNTIF($F986:$AJ986,"P"))</f>
        <v/>
      </c>
      <c r="AL986" s="34" t="str">
        <f aca="false">IF($B986="","",COUNTIF($F986:$AJ986,"A"))</f>
        <v/>
      </c>
      <c r="AM986" s="34" t="str">
        <f aca="false">IF($B986="","",COUNTIF($F986:$AJ986,"HA"))</f>
        <v/>
      </c>
      <c r="AN986" s="34" t="str">
        <f aca="false">IF($B986="","",COUNTIF($F986:$AJ986,"L"))</f>
        <v/>
      </c>
      <c r="AO986" s="34" t="str">
        <f aca="false">IF($B986="","",COUNTIF($F986:$AJ986,"PL"))</f>
        <v/>
      </c>
      <c r="AP986" s="34" t="str">
        <f aca="false">IF($B986="","",COUNTIF($F986:$AJ986,"CL"))</f>
        <v/>
      </c>
      <c r="AQ986" s="34" t="str">
        <f aca="false">IF($B986="","",COUNTIF($F986:$AJ986,"SL"))</f>
        <v/>
      </c>
      <c r="AR986" s="34" t="str">
        <f aca="false">IF($B986="","",COUNTIF($F986:$AJ986,"CO"))</f>
        <v/>
      </c>
      <c r="AS986" s="34" t="str">
        <f aca="false">IF($B986="","",COUNTIF($F986:$AJ986,"HPL"))</f>
        <v/>
      </c>
      <c r="AT986" s="34" t="str">
        <f aca="false">IF($B986="","",COUNTIF($F986:$AJ986,"HCL"))</f>
        <v/>
      </c>
      <c r="AU986" s="34" t="str">
        <f aca="false">IF($B986="","",COUNTIF($F986:$AJ986,"WO"))</f>
        <v/>
      </c>
      <c r="AV986" s="34" t="str">
        <f aca="false">IF($B986="","",COUNTIF($F986:$AJ986,"PH"))</f>
        <v/>
      </c>
      <c r="AW986" s="34" t="str">
        <f aca="false">IF($B986="","",COUNTIF($F986:$AJ986,"TR"))</f>
        <v/>
      </c>
      <c r="AX986" s="35" t="str">
        <f aca="false">IF($B986="","",AO986+AS986/2)</f>
        <v/>
      </c>
      <c r="AY986" s="35" t="str">
        <f aca="false">IF($B986="","",AQ986)</f>
        <v/>
      </c>
      <c r="AZ986" s="35" t="str">
        <f aca="false">IF($B986="","",AP986+AT986/2)</f>
        <v/>
      </c>
      <c r="BA986" s="35" t="str">
        <f aca="false">IF($B986="","",AK986+AN986+AM986/2+AO986+AP986+AQ986+AR986+AS986+AT986+AU986+AV986+AW986)</f>
        <v/>
      </c>
      <c r="BB986" s="35" t="str">
        <f aca="false">IF($B986="","",MAX(0,AN986-Settings!$C$16)*Settings!$C$17)</f>
        <v/>
      </c>
      <c r="BC986" s="35" t="str">
        <f aca="false">IF($B986="","",BA986-BB986)</f>
        <v/>
      </c>
      <c r="BD986" s="35" t="str">
        <f aca="false">IF(OR($B986="",$A986=""),"",DAY(EOMONTH($A986,0))-COUNTA($F986:$AJ986))</f>
        <v/>
      </c>
    </row>
    <row r="987" customFormat="false" ht="15" hidden="false" customHeight="false" outlineLevel="0" collapsed="false">
      <c r="A987" s="32"/>
      <c r="B987" s="29"/>
      <c r="C987" s="10" t="str">
        <f aca="false">IF($B987="","",IFERROR(INDEX(M_name,MATCH($B987,M_emp,0)),"Code not found"))</f>
        <v/>
      </c>
      <c r="D987" s="10" t="str">
        <f aca="false">IF($B987="","",IFERROR(INDEX(M_dept,MATCH($B987,M_emp,0)),""))</f>
        <v/>
      </c>
      <c r="E987" s="10" t="str">
        <f aca="false">IF($B987="","",IFERROR(INDEX(M_loc,MATCH($B987,M_emp,0)),""))</f>
        <v/>
      </c>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4" t="str">
        <f aca="false">IF($B987="","",COUNTIF($F987:$AJ987,"P"))</f>
        <v/>
      </c>
      <c r="AL987" s="34" t="str">
        <f aca="false">IF($B987="","",COUNTIF($F987:$AJ987,"A"))</f>
        <v/>
      </c>
      <c r="AM987" s="34" t="str">
        <f aca="false">IF($B987="","",COUNTIF($F987:$AJ987,"HA"))</f>
        <v/>
      </c>
      <c r="AN987" s="34" t="str">
        <f aca="false">IF($B987="","",COUNTIF($F987:$AJ987,"L"))</f>
        <v/>
      </c>
      <c r="AO987" s="34" t="str">
        <f aca="false">IF($B987="","",COUNTIF($F987:$AJ987,"PL"))</f>
        <v/>
      </c>
      <c r="AP987" s="34" t="str">
        <f aca="false">IF($B987="","",COUNTIF($F987:$AJ987,"CL"))</f>
        <v/>
      </c>
      <c r="AQ987" s="34" t="str">
        <f aca="false">IF($B987="","",COUNTIF($F987:$AJ987,"SL"))</f>
        <v/>
      </c>
      <c r="AR987" s="34" t="str">
        <f aca="false">IF($B987="","",COUNTIF($F987:$AJ987,"CO"))</f>
        <v/>
      </c>
      <c r="AS987" s="34" t="str">
        <f aca="false">IF($B987="","",COUNTIF($F987:$AJ987,"HPL"))</f>
        <v/>
      </c>
      <c r="AT987" s="34" t="str">
        <f aca="false">IF($B987="","",COUNTIF($F987:$AJ987,"HCL"))</f>
        <v/>
      </c>
      <c r="AU987" s="34" t="str">
        <f aca="false">IF($B987="","",COUNTIF($F987:$AJ987,"WO"))</f>
        <v/>
      </c>
      <c r="AV987" s="34" t="str">
        <f aca="false">IF($B987="","",COUNTIF($F987:$AJ987,"PH"))</f>
        <v/>
      </c>
      <c r="AW987" s="34" t="str">
        <f aca="false">IF($B987="","",COUNTIF($F987:$AJ987,"TR"))</f>
        <v/>
      </c>
      <c r="AX987" s="35" t="str">
        <f aca="false">IF($B987="","",AO987+AS987/2)</f>
        <v/>
      </c>
      <c r="AY987" s="35" t="str">
        <f aca="false">IF($B987="","",AQ987)</f>
        <v/>
      </c>
      <c r="AZ987" s="35" t="str">
        <f aca="false">IF($B987="","",AP987+AT987/2)</f>
        <v/>
      </c>
      <c r="BA987" s="35" t="str">
        <f aca="false">IF($B987="","",AK987+AN987+AM987/2+AO987+AP987+AQ987+AR987+AS987+AT987+AU987+AV987+AW987)</f>
        <v/>
      </c>
      <c r="BB987" s="35" t="str">
        <f aca="false">IF($B987="","",MAX(0,AN987-Settings!$C$16)*Settings!$C$17)</f>
        <v/>
      </c>
      <c r="BC987" s="35" t="str">
        <f aca="false">IF($B987="","",BA987-BB987)</f>
        <v/>
      </c>
      <c r="BD987" s="35" t="str">
        <f aca="false">IF(OR($B987="",$A987=""),"",DAY(EOMONTH($A987,0))-COUNTA($F987:$AJ987))</f>
        <v/>
      </c>
    </row>
    <row r="988" customFormat="false" ht="15" hidden="false" customHeight="false" outlineLevel="0" collapsed="false">
      <c r="A988" s="32"/>
      <c r="B988" s="29"/>
      <c r="C988" s="10" t="str">
        <f aca="false">IF($B988="","",IFERROR(INDEX(M_name,MATCH($B988,M_emp,0)),"Code not found"))</f>
        <v/>
      </c>
      <c r="D988" s="10" t="str">
        <f aca="false">IF($B988="","",IFERROR(INDEX(M_dept,MATCH($B988,M_emp,0)),""))</f>
        <v/>
      </c>
      <c r="E988" s="10" t="str">
        <f aca="false">IF($B988="","",IFERROR(INDEX(M_loc,MATCH($B988,M_emp,0)),""))</f>
        <v/>
      </c>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4" t="str">
        <f aca="false">IF($B988="","",COUNTIF($F988:$AJ988,"P"))</f>
        <v/>
      </c>
      <c r="AL988" s="34" t="str">
        <f aca="false">IF($B988="","",COUNTIF($F988:$AJ988,"A"))</f>
        <v/>
      </c>
      <c r="AM988" s="34" t="str">
        <f aca="false">IF($B988="","",COUNTIF($F988:$AJ988,"HA"))</f>
        <v/>
      </c>
      <c r="AN988" s="34" t="str">
        <f aca="false">IF($B988="","",COUNTIF($F988:$AJ988,"L"))</f>
        <v/>
      </c>
      <c r="AO988" s="34" t="str">
        <f aca="false">IF($B988="","",COUNTIF($F988:$AJ988,"PL"))</f>
        <v/>
      </c>
      <c r="AP988" s="34" t="str">
        <f aca="false">IF($B988="","",COUNTIF($F988:$AJ988,"CL"))</f>
        <v/>
      </c>
      <c r="AQ988" s="34" t="str">
        <f aca="false">IF($B988="","",COUNTIF($F988:$AJ988,"SL"))</f>
        <v/>
      </c>
      <c r="AR988" s="34" t="str">
        <f aca="false">IF($B988="","",COUNTIF($F988:$AJ988,"CO"))</f>
        <v/>
      </c>
      <c r="AS988" s="34" t="str">
        <f aca="false">IF($B988="","",COUNTIF($F988:$AJ988,"HPL"))</f>
        <v/>
      </c>
      <c r="AT988" s="34" t="str">
        <f aca="false">IF($B988="","",COUNTIF($F988:$AJ988,"HCL"))</f>
        <v/>
      </c>
      <c r="AU988" s="34" t="str">
        <f aca="false">IF($B988="","",COUNTIF($F988:$AJ988,"WO"))</f>
        <v/>
      </c>
      <c r="AV988" s="34" t="str">
        <f aca="false">IF($B988="","",COUNTIF($F988:$AJ988,"PH"))</f>
        <v/>
      </c>
      <c r="AW988" s="34" t="str">
        <f aca="false">IF($B988="","",COUNTIF($F988:$AJ988,"TR"))</f>
        <v/>
      </c>
      <c r="AX988" s="35" t="str">
        <f aca="false">IF($B988="","",AO988+AS988/2)</f>
        <v/>
      </c>
      <c r="AY988" s="35" t="str">
        <f aca="false">IF($B988="","",AQ988)</f>
        <v/>
      </c>
      <c r="AZ988" s="35" t="str">
        <f aca="false">IF($B988="","",AP988+AT988/2)</f>
        <v/>
      </c>
      <c r="BA988" s="35" t="str">
        <f aca="false">IF($B988="","",AK988+AN988+AM988/2+AO988+AP988+AQ988+AR988+AS988+AT988+AU988+AV988+AW988)</f>
        <v/>
      </c>
      <c r="BB988" s="35" t="str">
        <f aca="false">IF($B988="","",MAX(0,AN988-Settings!$C$16)*Settings!$C$17)</f>
        <v/>
      </c>
      <c r="BC988" s="35" t="str">
        <f aca="false">IF($B988="","",BA988-BB988)</f>
        <v/>
      </c>
      <c r="BD988" s="35" t="str">
        <f aca="false">IF(OR($B988="",$A988=""),"",DAY(EOMONTH($A988,0))-COUNTA($F988:$AJ988))</f>
        <v/>
      </c>
    </row>
    <row r="989" customFormat="false" ht="15" hidden="false" customHeight="false" outlineLevel="0" collapsed="false">
      <c r="A989" s="32"/>
      <c r="B989" s="29"/>
      <c r="C989" s="10" t="str">
        <f aca="false">IF($B989="","",IFERROR(INDEX(M_name,MATCH($B989,M_emp,0)),"Code not found"))</f>
        <v/>
      </c>
      <c r="D989" s="10" t="str">
        <f aca="false">IF($B989="","",IFERROR(INDEX(M_dept,MATCH($B989,M_emp,0)),""))</f>
        <v/>
      </c>
      <c r="E989" s="10" t="str">
        <f aca="false">IF($B989="","",IFERROR(INDEX(M_loc,MATCH($B989,M_emp,0)),""))</f>
        <v/>
      </c>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4" t="str">
        <f aca="false">IF($B989="","",COUNTIF($F989:$AJ989,"P"))</f>
        <v/>
      </c>
      <c r="AL989" s="34" t="str">
        <f aca="false">IF($B989="","",COUNTIF($F989:$AJ989,"A"))</f>
        <v/>
      </c>
      <c r="AM989" s="34" t="str">
        <f aca="false">IF($B989="","",COUNTIF($F989:$AJ989,"HA"))</f>
        <v/>
      </c>
      <c r="AN989" s="34" t="str">
        <f aca="false">IF($B989="","",COUNTIF($F989:$AJ989,"L"))</f>
        <v/>
      </c>
      <c r="AO989" s="34" t="str">
        <f aca="false">IF($B989="","",COUNTIF($F989:$AJ989,"PL"))</f>
        <v/>
      </c>
      <c r="AP989" s="34" t="str">
        <f aca="false">IF($B989="","",COUNTIF($F989:$AJ989,"CL"))</f>
        <v/>
      </c>
      <c r="AQ989" s="34" t="str">
        <f aca="false">IF($B989="","",COUNTIF($F989:$AJ989,"SL"))</f>
        <v/>
      </c>
      <c r="AR989" s="34" t="str">
        <f aca="false">IF($B989="","",COUNTIF($F989:$AJ989,"CO"))</f>
        <v/>
      </c>
      <c r="AS989" s="34" t="str">
        <f aca="false">IF($B989="","",COUNTIF($F989:$AJ989,"HPL"))</f>
        <v/>
      </c>
      <c r="AT989" s="34" t="str">
        <f aca="false">IF($B989="","",COUNTIF($F989:$AJ989,"HCL"))</f>
        <v/>
      </c>
      <c r="AU989" s="34" t="str">
        <f aca="false">IF($B989="","",COUNTIF($F989:$AJ989,"WO"))</f>
        <v/>
      </c>
      <c r="AV989" s="34" t="str">
        <f aca="false">IF($B989="","",COUNTIF($F989:$AJ989,"PH"))</f>
        <v/>
      </c>
      <c r="AW989" s="34" t="str">
        <f aca="false">IF($B989="","",COUNTIF($F989:$AJ989,"TR"))</f>
        <v/>
      </c>
      <c r="AX989" s="35" t="str">
        <f aca="false">IF($B989="","",AO989+AS989/2)</f>
        <v/>
      </c>
      <c r="AY989" s="35" t="str">
        <f aca="false">IF($B989="","",AQ989)</f>
        <v/>
      </c>
      <c r="AZ989" s="35" t="str">
        <f aca="false">IF($B989="","",AP989+AT989/2)</f>
        <v/>
      </c>
      <c r="BA989" s="35" t="str">
        <f aca="false">IF($B989="","",AK989+AN989+AM989/2+AO989+AP989+AQ989+AR989+AS989+AT989+AU989+AV989+AW989)</f>
        <v/>
      </c>
      <c r="BB989" s="35" t="str">
        <f aca="false">IF($B989="","",MAX(0,AN989-Settings!$C$16)*Settings!$C$17)</f>
        <v/>
      </c>
      <c r="BC989" s="35" t="str">
        <f aca="false">IF($B989="","",BA989-BB989)</f>
        <v/>
      </c>
      <c r="BD989" s="35" t="str">
        <f aca="false">IF(OR($B989="",$A989=""),"",DAY(EOMONTH($A989,0))-COUNTA($F989:$AJ989))</f>
        <v/>
      </c>
    </row>
    <row r="990" customFormat="false" ht="15" hidden="false" customHeight="false" outlineLevel="0" collapsed="false">
      <c r="A990" s="32"/>
      <c r="B990" s="29"/>
      <c r="C990" s="10" t="str">
        <f aca="false">IF($B990="","",IFERROR(INDEX(M_name,MATCH($B990,M_emp,0)),"Code not found"))</f>
        <v/>
      </c>
      <c r="D990" s="10" t="str">
        <f aca="false">IF($B990="","",IFERROR(INDEX(M_dept,MATCH($B990,M_emp,0)),""))</f>
        <v/>
      </c>
      <c r="E990" s="10" t="str">
        <f aca="false">IF($B990="","",IFERROR(INDEX(M_loc,MATCH($B990,M_emp,0)),""))</f>
        <v/>
      </c>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4" t="str">
        <f aca="false">IF($B990="","",COUNTIF($F990:$AJ990,"P"))</f>
        <v/>
      </c>
      <c r="AL990" s="34" t="str">
        <f aca="false">IF($B990="","",COUNTIF($F990:$AJ990,"A"))</f>
        <v/>
      </c>
      <c r="AM990" s="34" t="str">
        <f aca="false">IF($B990="","",COUNTIF($F990:$AJ990,"HA"))</f>
        <v/>
      </c>
      <c r="AN990" s="34" t="str">
        <f aca="false">IF($B990="","",COUNTIF($F990:$AJ990,"L"))</f>
        <v/>
      </c>
      <c r="AO990" s="34" t="str">
        <f aca="false">IF($B990="","",COUNTIF($F990:$AJ990,"PL"))</f>
        <v/>
      </c>
      <c r="AP990" s="34" t="str">
        <f aca="false">IF($B990="","",COUNTIF($F990:$AJ990,"CL"))</f>
        <v/>
      </c>
      <c r="AQ990" s="34" t="str">
        <f aca="false">IF($B990="","",COUNTIF($F990:$AJ990,"SL"))</f>
        <v/>
      </c>
      <c r="AR990" s="34" t="str">
        <f aca="false">IF($B990="","",COUNTIF($F990:$AJ990,"CO"))</f>
        <v/>
      </c>
      <c r="AS990" s="34" t="str">
        <f aca="false">IF($B990="","",COUNTIF($F990:$AJ990,"HPL"))</f>
        <v/>
      </c>
      <c r="AT990" s="34" t="str">
        <f aca="false">IF($B990="","",COUNTIF($F990:$AJ990,"HCL"))</f>
        <v/>
      </c>
      <c r="AU990" s="34" t="str">
        <f aca="false">IF($B990="","",COUNTIF($F990:$AJ990,"WO"))</f>
        <v/>
      </c>
      <c r="AV990" s="34" t="str">
        <f aca="false">IF($B990="","",COUNTIF($F990:$AJ990,"PH"))</f>
        <v/>
      </c>
      <c r="AW990" s="34" t="str">
        <f aca="false">IF($B990="","",COUNTIF($F990:$AJ990,"TR"))</f>
        <v/>
      </c>
      <c r="AX990" s="35" t="str">
        <f aca="false">IF($B990="","",AO990+AS990/2)</f>
        <v/>
      </c>
      <c r="AY990" s="35" t="str">
        <f aca="false">IF($B990="","",AQ990)</f>
        <v/>
      </c>
      <c r="AZ990" s="35" t="str">
        <f aca="false">IF($B990="","",AP990+AT990/2)</f>
        <v/>
      </c>
      <c r="BA990" s="35" t="str">
        <f aca="false">IF($B990="","",AK990+AN990+AM990/2+AO990+AP990+AQ990+AR990+AS990+AT990+AU990+AV990+AW990)</f>
        <v/>
      </c>
      <c r="BB990" s="35" t="str">
        <f aca="false">IF($B990="","",MAX(0,AN990-Settings!$C$16)*Settings!$C$17)</f>
        <v/>
      </c>
      <c r="BC990" s="35" t="str">
        <f aca="false">IF($B990="","",BA990-BB990)</f>
        <v/>
      </c>
      <c r="BD990" s="35" t="str">
        <f aca="false">IF(OR($B990="",$A990=""),"",DAY(EOMONTH($A990,0))-COUNTA($F990:$AJ990))</f>
        <v/>
      </c>
    </row>
    <row r="991" customFormat="false" ht="15" hidden="false" customHeight="false" outlineLevel="0" collapsed="false">
      <c r="A991" s="32"/>
      <c r="B991" s="29"/>
      <c r="C991" s="10" t="str">
        <f aca="false">IF($B991="","",IFERROR(INDEX(M_name,MATCH($B991,M_emp,0)),"Code not found"))</f>
        <v/>
      </c>
      <c r="D991" s="10" t="str">
        <f aca="false">IF($B991="","",IFERROR(INDEX(M_dept,MATCH($B991,M_emp,0)),""))</f>
        <v/>
      </c>
      <c r="E991" s="10" t="str">
        <f aca="false">IF($B991="","",IFERROR(INDEX(M_loc,MATCH($B991,M_emp,0)),""))</f>
        <v/>
      </c>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4" t="str">
        <f aca="false">IF($B991="","",COUNTIF($F991:$AJ991,"P"))</f>
        <v/>
      </c>
      <c r="AL991" s="34" t="str">
        <f aca="false">IF($B991="","",COUNTIF($F991:$AJ991,"A"))</f>
        <v/>
      </c>
      <c r="AM991" s="34" t="str">
        <f aca="false">IF($B991="","",COUNTIF($F991:$AJ991,"HA"))</f>
        <v/>
      </c>
      <c r="AN991" s="34" t="str">
        <f aca="false">IF($B991="","",COUNTIF($F991:$AJ991,"L"))</f>
        <v/>
      </c>
      <c r="AO991" s="34" t="str">
        <f aca="false">IF($B991="","",COUNTIF($F991:$AJ991,"PL"))</f>
        <v/>
      </c>
      <c r="AP991" s="34" t="str">
        <f aca="false">IF($B991="","",COUNTIF($F991:$AJ991,"CL"))</f>
        <v/>
      </c>
      <c r="AQ991" s="34" t="str">
        <f aca="false">IF($B991="","",COUNTIF($F991:$AJ991,"SL"))</f>
        <v/>
      </c>
      <c r="AR991" s="34" t="str">
        <f aca="false">IF($B991="","",COUNTIF($F991:$AJ991,"CO"))</f>
        <v/>
      </c>
      <c r="AS991" s="34" t="str">
        <f aca="false">IF($B991="","",COUNTIF($F991:$AJ991,"HPL"))</f>
        <v/>
      </c>
      <c r="AT991" s="34" t="str">
        <f aca="false">IF($B991="","",COUNTIF($F991:$AJ991,"HCL"))</f>
        <v/>
      </c>
      <c r="AU991" s="34" t="str">
        <f aca="false">IF($B991="","",COUNTIF($F991:$AJ991,"WO"))</f>
        <v/>
      </c>
      <c r="AV991" s="34" t="str">
        <f aca="false">IF($B991="","",COUNTIF($F991:$AJ991,"PH"))</f>
        <v/>
      </c>
      <c r="AW991" s="34" t="str">
        <f aca="false">IF($B991="","",COUNTIF($F991:$AJ991,"TR"))</f>
        <v/>
      </c>
      <c r="AX991" s="35" t="str">
        <f aca="false">IF($B991="","",AO991+AS991/2)</f>
        <v/>
      </c>
      <c r="AY991" s="35" t="str">
        <f aca="false">IF($B991="","",AQ991)</f>
        <v/>
      </c>
      <c r="AZ991" s="35" t="str">
        <f aca="false">IF($B991="","",AP991+AT991/2)</f>
        <v/>
      </c>
      <c r="BA991" s="35" t="str">
        <f aca="false">IF($B991="","",AK991+AN991+AM991/2+AO991+AP991+AQ991+AR991+AS991+AT991+AU991+AV991+AW991)</f>
        <v/>
      </c>
      <c r="BB991" s="35" t="str">
        <f aca="false">IF($B991="","",MAX(0,AN991-Settings!$C$16)*Settings!$C$17)</f>
        <v/>
      </c>
      <c r="BC991" s="35" t="str">
        <f aca="false">IF($B991="","",BA991-BB991)</f>
        <v/>
      </c>
      <c r="BD991" s="35" t="str">
        <f aca="false">IF(OR($B991="",$A991=""),"",DAY(EOMONTH($A991,0))-COUNTA($F991:$AJ991))</f>
        <v/>
      </c>
    </row>
    <row r="992" customFormat="false" ht="15" hidden="false" customHeight="false" outlineLevel="0" collapsed="false">
      <c r="A992" s="32"/>
      <c r="B992" s="29"/>
      <c r="C992" s="10" t="str">
        <f aca="false">IF($B992="","",IFERROR(INDEX(M_name,MATCH($B992,M_emp,0)),"Code not found"))</f>
        <v/>
      </c>
      <c r="D992" s="10" t="str">
        <f aca="false">IF($B992="","",IFERROR(INDEX(M_dept,MATCH($B992,M_emp,0)),""))</f>
        <v/>
      </c>
      <c r="E992" s="10" t="str">
        <f aca="false">IF($B992="","",IFERROR(INDEX(M_loc,MATCH($B992,M_emp,0)),""))</f>
        <v/>
      </c>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4" t="str">
        <f aca="false">IF($B992="","",COUNTIF($F992:$AJ992,"P"))</f>
        <v/>
      </c>
      <c r="AL992" s="34" t="str">
        <f aca="false">IF($B992="","",COUNTIF($F992:$AJ992,"A"))</f>
        <v/>
      </c>
      <c r="AM992" s="34" t="str">
        <f aca="false">IF($B992="","",COUNTIF($F992:$AJ992,"HA"))</f>
        <v/>
      </c>
      <c r="AN992" s="34" t="str">
        <f aca="false">IF($B992="","",COUNTIF($F992:$AJ992,"L"))</f>
        <v/>
      </c>
      <c r="AO992" s="34" t="str">
        <f aca="false">IF($B992="","",COUNTIF($F992:$AJ992,"PL"))</f>
        <v/>
      </c>
      <c r="AP992" s="34" t="str">
        <f aca="false">IF($B992="","",COUNTIF($F992:$AJ992,"CL"))</f>
        <v/>
      </c>
      <c r="AQ992" s="34" t="str">
        <f aca="false">IF($B992="","",COUNTIF($F992:$AJ992,"SL"))</f>
        <v/>
      </c>
      <c r="AR992" s="34" t="str">
        <f aca="false">IF($B992="","",COUNTIF($F992:$AJ992,"CO"))</f>
        <v/>
      </c>
      <c r="AS992" s="34" t="str">
        <f aca="false">IF($B992="","",COUNTIF($F992:$AJ992,"HPL"))</f>
        <v/>
      </c>
      <c r="AT992" s="34" t="str">
        <f aca="false">IF($B992="","",COUNTIF($F992:$AJ992,"HCL"))</f>
        <v/>
      </c>
      <c r="AU992" s="34" t="str">
        <f aca="false">IF($B992="","",COUNTIF($F992:$AJ992,"WO"))</f>
        <v/>
      </c>
      <c r="AV992" s="34" t="str">
        <f aca="false">IF($B992="","",COUNTIF($F992:$AJ992,"PH"))</f>
        <v/>
      </c>
      <c r="AW992" s="34" t="str">
        <f aca="false">IF($B992="","",COUNTIF($F992:$AJ992,"TR"))</f>
        <v/>
      </c>
      <c r="AX992" s="35" t="str">
        <f aca="false">IF($B992="","",AO992+AS992/2)</f>
        <v/>
      </c>
      <c r="AY992" s="35" t="str">
        <f aca="false">IF($B992="","",AQ992)</f>
        <v/>
      </c>
      <c r="AZ992" s="35" t="str">
        <f aca="false">IF($B992="","",AP992+AT992/2)</f>
        <v/>
      </c>
      <c r="BA992" s="35" t="str">
        <f aca="false">IF($B992="","",AK992+AN992+AM992/2+AO992+AP992+AQ992+AR992+AS992+AT992+AU992+AV992+AW992)</f>
        <v/>
      </c>
      <c r="BB992" s="35" t="str">
        <f aca="false">IF($B992="","",MAX(0,AN992-Settings!$C$16)*Settings!$C$17)</f>
        <v/>
      </c>
      <c r="BC992" s="35" t="str">
        <f aca="false">IF($B992="","",BA992-BB992)</f>
        <v/>
      </c>
      <c r="BD992" s="35" t="str">
        <f aca="false">IF(OR($B992="",$A992=""),"",DAY(EOMONTH($A992,0))-COUNTA($F992:$AJ992))</f>
        <v/>
      </c>
    </row>
    <row r="993" customFormat="false" ht="15" hidden="false" customHeight="false" outlineLevel="0" collapsed="false">
      <c r="A993" s="32"/>
      <c r="B993" s="29"/>
      <c r="C993" s="10" t="str">
        <f aca="false">IF($B993="","",IFERROR(INDEX(M_name,MATCH($B993,M_emp,0)),"Code not found"))</f>
        <v/>
      </c>
      <c r="D993" s="10" t="str">
        <f aca="false">IF($B993="","",IFERROR(INDEX(M_dept,MATCH($B993,M_emp,0)),""))</f>
        <v/>
      </c>
      <c r="E993" s="10" t="str">
        <f aca="false">IF($B993="","",IFERROR(INDEX(M_loc,MATCH($B993,M_emp,0)),""))</f>
        <v/>
      </c>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4" t="str">
        <f aca="false">IF($B993="","",COUNTIF($F993:$AJ993,"P"))</f>
        <v/>
      </c>
      <c r="AL993" s="34" t="str">
        <f aca="false">IF($B993="","",COUNTIF($F993:$AJ993,"A"))</f>
        <v/>
      </c>
      <c r="AM993" s="34" t="str">
        <f aca="false">IF($B993="","",COUNTIF($F993:$AJ993,"HA"))</f>
        <v/>
      </c>
      <c r="AN993" s="34" t="str">
        <f aca="false">IF($B993="","",COUNTIF($F993:$AJ993,"L"))</f>
        <v/>
      </c>
      <c r="AO993" s="34" t="str">
        <f aca="false">IF($B993="","",COUNTIF($F993:$AJ993,"PL"))</f>
        <v/>
      </c>
      <c r="AP993" s="34" t="str">
        <f aca="false">IF($B993="","",COUNTIF($F993:$AJ993,"CL"))</f>
        <v/>
      </c>
      <c r="AQ993" s="34" t="str">
        <f aca="false">IF($B993="","",COUNTIF($F993:$AJ993,"SL"))</f>
        <v/>
      </c>
      <c r="AR993" s="34" t="str">
        <f aca="false">IF($B993="","",COUNTIF($F993:$AJ993,"CO"))</f>
        <v/>
      </c>
      <c r="AS993" s="34" t="str">
        <f aca="false">IF($B993="","",COUNTIF($F993:$AJ993,"HPL"))</f>
        <v/>
      </c>
      <c r="AT993" s="34" t="str">
        <f aca="false">IF($B993="","",COUNTIF($F993:$AJ993,"HCL"))</f>
        <v/>
      </c>
      <c r="AU993" s="34" t="str">
        <f aca="false">IF($B993="","",COUNTIF($F993:$AJ993,"WO"))</f>
        <v/>
      </c>
      <c r="AV993" s="34" t="str">
        <f aca="false">IF($B993="","",COUNTIF($F993:$AJ993,"PH"))</f>
        <v/>
      </c>
      <c r="AW993" s="34" t="str">
        <f aca="false">IF($B993="","",COUNTIF($F993:$AJ993,"TR"))</f>
        <v/>
      </c>
      <c r="AX993" s="35" t="str">
        <f aca="false">IF($B993="","",AO993+AS993/2)</f>
        <v/>
      </c>
      <c r="AY993" s="35" t="str">
        <f aca="false">IF($B993="","",AQ993)</f>
        <v/>
      </c>
      <c r="AZ993" s="35" t="str">
        <f aca="false">IF($B993="","",AP993+AT993/2)</f>
        <v/>
      </c>
      <c r="BA993" s="35" t="str">
        <f aca="false">IF($B993="","",AK993+AN993+AM993/2+AO993+AP993+AQ993+AR993+AS993+AT993+AU993+AV993+AW993)</f>
        <v/>
      </c>
      <c r="BB993" s="35" t="str">
        <f aca="false">IF($B993="","",MAX(0,AN993-Settings!$C$16)*Settings!$C$17)</f>
        <v/>
      </c>
      <c r="BC993" s="35" t="str">
        <f aca="false">IF($B993="","",BA993-BB993)</f>
        <v/>
      </c>
      <c r="BD993" s="35" t="str">
        <f aca="false">IF(OR($B993="",$A993=""),"",DAY(EOMONTH($A993,0))-COUNTA($F993:$AJ993))</f>
        <v/>
      </c>
    </row>
    <row r="994" customFormat="false" ht="15" hidden="false" customHeight="false" outlineLevel="0" collapsed="false">
      <c r="A994" s="32"/>
      <c r="B994" s="29"/>
      <c r="C994" s="10" t="str">
        <f aca="false">IF($B994="","",IFERROR(INDEX(M_name,MATCH($B994,M_emp,0)),"Code not found"))</f>
        <v/>
      </c>
      <c r="D994" s="10" t="str">
        <f aca="false">IF($B994="","",IFERROR(INDEX(M_dept,MATCH($B994,M_emp,0)),""))</f>
        <v/>
      </c>
      <c r="E994" s="10" t="str">
        <f aca="false">IF($B994="","",IFERROR(INDEX(M_loc,MATCH($B994,M_emp,0)),""))</f>
        <v/>
      </c>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4" t="str">
        <f aca="false">IF($B994="","",COUNTIF($F994:$AJ994,"P"))</f>
        <v/>
      </c>
      <c r="AL994" s="34" t="str">
        <f aca="false">IF($B994="","",COUNTIF($F994:$AJ994,"A"))</f>
        <v/>
      </c>
      <c r="AM994" s="34" t="str">
        <f aca="false">IF($B994="","",COUNTIF($F994:$AJ994,"HA"))</f>
        <v/>
      </c>
      <c r="AN994" s="34" t="str">
        <f aca="false">IF($B994="","",COUNTIF($F994:$AJ994,"L"))</f>
        <v/>
      </c>
      <c r="AO994" s="34" t="str">
        <f aca="false">IF($B994="","",COUNTIF($F994:$AJ994,"PL"))</f>
        <v/>
      </c>
      <c r="AP994" s="34" t="str">
        <f aca="false">IF($B994="","",COUNTIF($F994:$AJ994,"CL"))</f>
        <v/>
      </c>
      <c r="AQ994" s="34" t="str">
        <f aca="false">IF($B994="","",COUNTIF($F994:$AJ994,"SL"))</f>
        <v/>
      </c>
      <c r="AR994" s="34" t="str">
        <f aca="false">IF($B994="","",COUNTIF($F994:$AJ994,"CO"))</f>
        <v/>
      </c>
      <c r="AS994" s="34" t="str">
        <f aca="false">IF($B994="","",COUNTIF($F994:$AJ994,"HPL"))</f>
        <v/>
      </c>
      <c r="AT994" s="34" t="str">
        <f aca="false">IF($B994="","",COUNTIF($F994:$AJ994,"HCL"))</f>
        <v/>
      </c>
      <c r="AU994" s="34" t="str">
        <f aca="false">IF($B994="","",COUNTIF($F994:$AJ994,"WO"))</f>
        <v/>
      </c>
      <c r="AV994" s="34" t="str">
        <f aca="false">IF($B994="","",COUNTIF($F994:$AJ994,"PH"))</f>
        <v/>
      </c>
      <c r="AW994" s="34" t="str">
        <f aca="false">IF($B994="","",COUNTIF($F994:$AJ994,"TR"))</f>
        <v/>
      </c>
      <c r="AX994" s="35" t="str">
        <f aca="false">IF($B994="","",AO994+AS994/2)</f>
        <v/>
      </c>
      <c r="AY994" s="35" t="str">
        <f aca="false">IF($B994="","",AQ994)</f>
        <v/>
      </c>
      <c r="AZ994" s="35" t="str">
        <f aca="false">IF($B994="","",AP994+AT994/2)</f>
        <v/>
      </c>
      <c r="BA994" s="35" t="str">
        <f aca="false">IF($B994="","",AK994+AN994+AM994/2+AO994+AP994+AQ994+AR994+AS994+AT994+AU994+AV994+AW994)</f>
        <v/>
      </c>
      <c r="BB994" s="35" t="str">
        <f aca="false">IF($B994="","",MAX(0,AN994-Settings!$C$16)*Settings!$C$17)</f>
        <v/>
      </c>
      <c r="BC994" s="35" t="str">
        <f aca="false">IF($B994="","",BA994-BB994)</f>
        <v/>
      </c>
      <c r="BD994" s="35" t="str">
        <f aca="false">IF(OR($B994="",$A994=""),"",DAY(EOMONTH($A994,0))-COUNTA($F994:$AJ994))</f>
        <v/>
      </c>
    </row>
    <row r="995" customFormat="false" ht="15" hidden="false" customHeight="false" outlineLevel="0" collapsed="false">
      <c r="A995" s="32"/>
      <c r="B995" s="29"/>
      <c r="C995" s="10" t="str">
        <f aca="false">IF($B995="","",IFERROR(INDEX(M_name,MATCH($B995,M_emp,0)),"Code not found"))</f>
        <v/>
      </c>
      <c r="D995" s="10" t="str">
        <f aca="false">IF($B995="","",IFERROR(INDEX(M_dept,MATCH($B995,M_emp,0)),""))</f>
        <v/>
      </c>
      <c r="E995" s="10" t="str">
        <f aca="false">IF($B995="","",IFERROR(INDEX(M_loc,MATCH($B995,M_emp,0)),""))</f>
        <v/>
      </c>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4" t="str">
        <f aca="false">IF($B995="","",COUNTIF($F995:$AJ995,"P"))</f>
        <v/>
      </c>
      <c r="AL995" s="34" t="str">
        <f aca="false">IF($B995="","",COUNTIF($F995:$AJ995,"A"))</f>
        <v/>
      </c>
      <c r="AM995" s="34" t="str">
        <f aca="false">IF($B995="","",COUNTIF($F995:$AJ995,"HA"))</f>
        <v/>
      </c>
      <c r="AN995" s="34" t="str">
        <f aca="false">IF($B995="","",COUNTIF($F995:$AJ995,"L"))</f>
        <v/>
      </c>
      <c r="AO995" s="34" t="str">
        <f aca="false">IF($B995="","",COUNTIF($F995:$AJ995,"PL"))</f>
        <v/>
      </c>
      <c r="AP995" s="34" t="str">
        <f aca="false">IF($B995="","",COUNTIF($F995:$AJ995,"CL"))</f>
        <v/>
      </c>
      <c r="AQ995" s="34" t="str">
        <f aca="false">IF($B995="","",COUNTIF($F995:$AJ995,"SL"))</f>
        <v/>
      </c>
      <c r="AR995" s="34" t="str">
        <f aca="false">IF($B995="","",COUNTIF($F995:$AJ995,"CO"))</f>
        <v/>
      </c>
      <c r="AS995" s="34" t="str">
        <f aca="false">IF($B995="","",COUNTIF($F995:$AJ995,"HPL"))</f>
        <v/>
      </c>
      <c r="AT995" s="34" t="str">
        <f aca="false">IF($B995="","",COUNTIF($F995:$AJ995,"HCL"))</f>
        <v/>
      </c>
      <c r="AU995" s="34" t="str">
        <f aca="false">IF($B995="","",COUNTIF($F995:$AJ995,"WO"))</f>
        <v/>
      </c>
      <c r="AV995" s="34" t="str">
        <f aca="false">IF($B995="","",COUNTIF($F995:$AJ995,"PH"))</f>
        <v/>
      </c>
      <c r="AW995" s="34" t="str">
        <f aca="false">IF($B995="","",COUNTIF($F995:$AJ995,"TR"))</f>
        <v/>
      </c>
      <c r="AX995" s="35" t="str">
        <f aca="false">IF($B995="","",AO995+AS995/2)</f>
        <v/>
      </c>
      <c r="AY995" s="35" t="str">
        <f aca="false">IF($B995="","",AQ995)</f>
        <v/>
      </c>
      <c r="AZ995" s="35" t="str">
        <f aca="false">IF($B995="","",AP995+AT995/2)</f>
        <v/>
      </c>
      <c r="BA995" s="35" t="str">
        <f aca="false">IF($B995="","",AK995+AN995+AM995/2+AO995+AP995+AQ995+AR995+AS995+AT995+AU995+AV995+AW995)</f>
        <v/>
      </c>
      <c r="BB995" s="35" t="str">
        <f aca="false">IF($B995="","",MAX(0,AN995-Settings!$C$16)*Settings!$C$17)</f>
        <v/>
      </c>
      <c r="BC995" s="35" t="str">
        <f aca="false">IF($B995="","",BA995-BB995)</f>
        <v/>
      </c>
      <c r="BD995" s="35" t="str">
        <f aca="false">IF(OR($B995="",$A995=""),"",DAY(EOMONTH($A995,0))-COUNTA($F995:$AJ995))</f>
        <v/>
      </c>
    </row>
    <row r="996" customFormat="false" ht="15" hidden="false" customHeight="false" outlineLevel="0" collapsed="false">
      <c r="A996" s="32"/>
      <c r="B996" s="29"/>
      <c r="C996" s="10" t="str">
        <f aca="false">IF($B996="","",IFERROR(INDEX(M_name,MATCH($B996,M_emp,0)),"Code not found"))</f>
        <v/>
      </c>
      <c r="D996" s="10" t="str">
        <f aca="false">IF($B996="","",IFERROR(INDEX(M_dept,MATCH($B996,M_emp,0)),""))</f>
        <v/>
      </c>
      <c r="E996" s="10" t="str">
        <f aca="false">IF($B996="","",IFERROR(INDEX(M_loc,MATCH($B996,M_emp,0)),""))</f>
        <v/>
      </c>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4" t="str">
        <f aca="false">IF($B996="","",COUNTIF($F996:$AJ996,"P"))</f>
        <v/>
      </c>
      <c r="AL996" s="34" t="str">
        <f aca="false">IF($B996="","",COUNTIF($F996:$AJ996,"A"))</f>
        <v/>
      </c>
      <c r="AM996" s="34" t="str">
        <f aca="false">IF($B996="","",COUNTIF($F996:$AJ996,"HA"))</f>
        <v/>
      </c>
      <c r="AN996" s="34" t="str">
        <f aca="false">IF($B996="","",COUNTIF($F996:$AJ996,"L"))</f>
        <v/>
      </c>
      <c r="AO996" s="34" t="str">
        <f aca="false">IF($B996="","",COUNTIF($F996:$AJ996,"PL"))</f>
        <v/>
      </c>
      <c r="AP996" s="34" t="str">
        <f aca="false">IF($B996="","",COUNTIF($F996:$AJ996,"CL"))</f>
        <v/>
      </c>
      <c r="AQ996" s="34" t="str">
        <f aca="false">IF($B996="","",COUNTIF($F996:$AJ996,"SL"))</f>
        <v/>
      </c>
      <c r="AR996" s="34" t="str">
        <f aca="false">IF($B996="","",COUNTIF($F996:$AJ996,"CO"))</f>
        <v/>
      </c>
      <c r="AS996" s="34" t="str">
        <f aca="false">IF($B996="","",COUNTIF($F996:$AJ996,"HPL"))</f>
        <v/>
      </c>
      <c r="AT996" s="34" t="str">
        <f aca="false">IF($B996="","",COUNTIF($F996:$AJ996,"HCL"))</f>
        <v/>
      </c>
      <c r="AU996" s="34" t="str">
        <f aca="false">IF($B996="","",COUNTIF($F996:$AJ996,"WO"))</f>
        <v/>
      </c>
      <c r="AV996" s="34" t="str">
        <f aca="false">IF($B996="","",COUNTIF($F996:$AJ996,"PH"))</f>
        <v/>
      </c>
      <c r="AW996" s="34" t="str">
        <f aca="false">IF($B996="","",COUNTIF($F996:$AJ996,"TR"))</f>
        <v/>
      </c>
      <c r="AX996" s="35" t="str">
        <f aca="false">IF($B996="","",AO996+AS996/2)</f>
        <v/>
      </c>
      <c r="AY996" s="35" t="str">
        <f aca="false">IF($B996="","",AQ996)</f>
        <v/>
      </c>
      <c r="AZ996" s="35" t="str">
        <f aca="false">IF($B996="","",AP996+AT996/2)</f>
        <v/>
      </c>
      <c r="BA996" s="35" t="str">
        <f aca="false">IF($B996="","",AK996+AN996+AM996/2+AO996+AP996+AQ996+AR996+AS996+AT996+AU996+AV996+AW996)</f>
        <v/>
      </c>
      <c r="BB996" s="35" t="str">
        <f aca="false">IF($B996="","",MAX(0,AN996-Settings!$C$16)*Settings!$C$17)</f>
        <v/>
      </c>
      <c r="BC996" s="35" t="str">
        <f aca="false">IF($B996="","",BA996-BB996)</f>
        <v/>
      </c>
      <c r="BD996" s="35" t="str">
        <f aca="false">IF(OR($B996="",$A996=""),"",DAY(EOMONTH($A996,0))-COUNTA($F996:$AJ996))</f>
        <v/>
      </c>
    </row>
    <row r="997" customFormat="false" ht="15" hidden="false" customHeight="false" outlineLevel="0" collapsed="false">
      <c r="A997" s="32"/>
      <c r="B997" s="29"/>
      <c r="C997" s="10" t="str">
        <f aca="false">IF($B997="","",IFERROR(INDEX(M_name,MATCH($B997,M_emp,0)),"Code not found"))</f>
        <v/>
      </c>
      <c r="D997" s="10" t="str">
        <f aca="false">IF($B997="","",IFERROR(INDEX(M_dept,MATCH($B997,M_emp,0)),""))</f>
        <v/>
      </c>
      <c r="E997" s="10" t="str">
        <f aca="false">IF($B997="","",IFERROR(INDEX(M_loc,MATCH($B997,M_emp,0)),""))</f>
        <v/>
      </c>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4" t="str">
        <f aca="false">IF($B997="","",COUNTIF($F997:$AJ997,"P"))</f>
        <v/>
      </c>
      <c r="AL997" s="34" t="str">
        <f aca="false">IF($B997="","",COUNTIF($F997:$AJ997,"A"))</f>
        <v/>
      </c>
      <c r="AM997" s="34" t="str">
        <f aca="false">IF($B997="","",COUNTIF($F997:$AJ997,"HA"))</f>
        <v/>
      </c>
      <c r="AN997" s="34" t="str">
        <f aca="false">IF($B997="","",COUNTIF($F997:$AJ997,"L"))</f>
        <v/>
      </c>
      <c r="AO997" s="34" t="str">
        <f aca="false">IF($B997="","",COUNTIF($F997:$AJ997,"PL"))</f>
        <v/>
      </c>
      <c r="AP997" s="34" t="str">
        <f aca="false">IF($B997="","",COUNTIF($F997:$AJ997,"CL"))</f>
        <v/>
      </c>
      <c r="AQ997" s="34" t="str">
        <f aca="false">IF($B997="","",COUNTIF($F997:$AJ997,"SL"))</f>
        <v/>
      </c>
      <c r="AR997" s="34" t="str">
        <f aca="false">IF($B997="","",COUNTIF($F997:$AJ997,"CO"))</f>
        <v/>
      </c>
      <c r="AS997" s="34" t="str">
        <f aca="false">IF($B997="","",COUNTIF($F997:$AJ997,"HPL"))</f>
        <v/>
      </c>
      <c r="AT997" s="34" t="str">
        <f aca="false">IF($B997="","",COUNTIF($F997:$AJ997,"HCL"))</f>
        <v/>
      </c>
      <c r="AU997" s="34" t="str">
        <f aca="false">IF($B997="","",COUNTIF($F997:$AJ997,"WO"))</f>
        <v/>
      </c>
      <c r="AV997" s="34" t="str">
        <f aca="false">IF($B997="","",COUNTIF($F997:$AJ997,"PH"))</f>
        <v/>
      </c>
      <c r="AW997" s="34" t="str">
        <f aca="false">IF($B997="","",COUNTIF($F997:$AJ997,"TR"))</f>
        <v/>
      </c>
      <c r="AX997" s="35" t="str">
        <f aca="false">IF($B997="","",AO997+AS997/2)</f>
        <v/>
      </c>
      <c r="AY997" s="35" t="str">
        <f aca="false">IF($B997="","",AQ997)</f>
        <v/>
      </c>
      <c r="AZ997" s="35" t="str">
        <f aca="false">IF($B997="","",AP997+AT997/2)</f>
        <v/>
      </c>
      <c r="BA997" s="35" t="str">
        <f aca="false">IF($B997="","",AK997+AN997+AM997/2+AO997+AP997+AQ997+AR997+AS997+AT997+AU997+AV997+AW997)</f>
        <v/>
      </c>
      <c r="BB997" s="35" t="str">
        <f aca="false">IF($B997="","",MAX(0,AN997-Settings!$C$16)*Settings!$C$17)</f>
        <v/>
      </c>
      <c r="BC997" s="35" t="str">
        <f aca="false">IF($B997="","",BA997-BB997)</f>
        <v/>
      </c>
      <c r="BD997" s="35" t="str">
        <f aca="false">IF(OR($B997="",$A997=""),"",DAY(EOMONTH($A997,0))-COUNTA($F997:$AJ997))</f>
        <v/>
      </c>
    </row>
    <row r="998" customFormat="false" ht="15" hidden="false" customHeight="false" outlineLevel="0" collapsed="false">
      <c r="A998" s="32"/>
      <c r="B998" s="29"/>
      <c r="C998" s="10" t="str">
        <f aca="false">IF($B998="","",IFERROR(INDEX(M_name,MATCH($B998,M_emp,0)),"Code not found"))</f>
        <v/>
      </c>
      <c r="D998" s="10" t="str">
        <f aca="false">IF($B998="","",IFERROR(INDEX(M_dept,MATCH($B998,M_emp,0)),""))</f>
        <v/>
      </c>
      <c r="E998" s="10" t="str">
        <f aca="false">IF($B998="","",IFERROR(INDEX(M_loc,MATCH($B998,M_emp,0)),""))</f>
        <v/>
      </c>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4" t="str">
        <f aca="false">IF($B998="","",COUNTIF($F998:$AJ998,"P"))</f>
        <v/>
      </c>
      <c r="AL998" s="34" t="str">
        <f aca="false">IF($B998="","",COUNTIF($F998:$AJ998,"A"))</f>
        <v/>
      </c>
      <c r="AM998" s="34" t="str">
        <f aca="false">IF($B998="","",COUNTIF($F998:$AJ998,"HA"))</f>
        <v/>
      </c>
      <c r="AN998" s="34" t="str">
        <f aca="false">IF($B998="","",COUNTIF($F998:$AJ998,"L"))</f>
        <v/>
      </c>
      <c r="AO998" s="34" t="str">
        <f aca="false">IF($B998="","",COUNTIF($F998:$AJ998,"PL"))</f>
        <v/>
      </c>
      <c r="AP998" s="34" t="str">
        <f aca="false">IF($B998="","",COUNTIF($F998:$AJ998,"CL"))</f>
        <v/>
      </c>
      <c r="AQ998" s="34" t="str">
        <f aca="false">IF($B998="","",COUNTIF($F998:$AJ998,"SL"))</f>
        <v/>
      </c>
      <c r="AR998" s="34" t="str">
        <f aca="false">IF($B998="","",COUNTIF($F998:$AJ998,"CO"))</f>
        <v/>
      </c>
      <c r="AS998" s="34" t="str">
        <f aca="false">IF($B998="","",COUNTIF($F998:$AJ998,"HPL"))</f>
        <v/>
      </c>
      <c r="AT998" s="34" t="str">
        <f aca="false">IF($B998="","",COUNTIF($F998:$AJ998,"HCL"))</f>
        <v/>
      </c>
      <c r="AU998" s="34" t="str">
        <f aca="false">IF($B998="","",COUNTIF($F998:$AJ998,"WO"))</f>
        <v/>
      </c>
      <c r="AV998" s="34" t="str">
        <f aca="false">IF($B998="","",COUNTIF($F998:$AJ998,"PH"))</f>
        <v/>
      </c>
      <c r="AW998" s="34" t="str">
        <f aca="false">IF($B998="","",COUNTIF($F998:$AJ998,"TR"))</f>
        <v/>
      </c>
      <c r="AX998" s="35" t="str">
        <f aca="false">IF($B998="","",AO998+AS998/2)</f>
        <v/>
      </c>
      <c r="AY998" s="35" t="str">
        <f aca="false">IF($B998="","",AQ998)</f>
        <v/>
      </c>
      <c r="AZ998" s="35" t="str">
        <f aca="false">IF($B998="","",AP998+AT998/2)</f>
        <v/>
      </c>
      <c r="BA998" s="35" t="str">
        <f aca="false">IF($B998="","",AK998+AN998+AM998/2+AO998+AP998+AQ998+AR998+AS998+AT998+AU998+AV998+AW998)</f>
        <v/>
      </c>
      <c r="BB998" s="35" t="str">
        <f aca="false">IF($B998="","",MAX(0,AN998-Settings!$C$16)*Settings!$C$17)</f>
        <v/>
      </c>
      <c r="BC998" s="35" t="str">
        <f aca="false">IF($B998="","",BA998-BB998)</f>
        <v/>
      </c>
      <c r="BD998" s="35" t="str">
        <f aca="false">IF(OR($B998="",$A998=""),"",DAY(EOMONTH($A998,0))-COUNTA($F998:$AJ998))</f>
        <v/>
      </c>
    </row>
    <row r="999" customFormat="false" ht="15" hidden="false" customHeight="false" outlineLevel="0" collapsed="false">
      <c r="A999" s="32"/>
      <c r="B999" s="29"/>
      <c r="C999" s="10" t="str">
        <f aca="false">IF($B999="","",IFERROR(INDEX(M_name,MATCH($B999,M_emp,0)),"Code not found"))</f>
        <v/>
      </c>
      <c r="D999" s="10" t="str">
        <f aca="false">IF($B999="","",IFERROR(INDEX(M_dept,MATCH($B999,M_emp,0)),""))</f>
        <v/>
      </c>
      <c r="E999" s="10" t="str">
        <f aca="false">IF($B999="","",IFERROR(INDEX(M_loc,MATCH($B999,M_emp,0)),""))</f>
        <v/>
      </c>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4" t="str">
        <f aca="false">IF($B999="","",COUNTIF($F999:$AJ999,"P"))</f>
        <v/>
      </c>
      <c r="AL999" s="34" t="str">
        <f aca="false">IF($B999="","",COUNTIF($F999:$AJ999,"A"))</f>
        <v/>
      </c>
      <c r="AM999" s="34" t="str">
        <f aca="false">IF($B999="","",COUNTIF($F999:$AJ999,"HA"))</f>
        <v/>
      </c>
      <c r="AN999" s="34" t="str">
        <f aca="false">IF($B999="","",COUNTIF($F999:$AJ999,"L"))</f>
        <v/>
      </c>
      <c r="AO999" s="34" t="str">
        <f aca="false">IF($B999="","",COUNTIF($F999:$AJ999,"PL"))</f>
        <v/>
      </c>
      <c r="AP999" s="34" t="str">
        <f aca="false">IF($B999="","",COUNTIF($F999:$AJ999,"CL"))</f>
        <v/>
      </c>
      <c r="AQ999" s="34" t="str">
        <f aca="false">IF($B999="","",COUNTIF($F999:$AJ999,"SL"))</f>
        <v/>
      </c>
      <c r="AR999" s="34" t="str">
        <f aca="false">IF($B999="","",COUNTIF($F999:$AJ999,"CO"))</f>
        <v/>
      </c>
      <c r="AS999" s="34" t="str">
        <f aca="false">IF($B999="","",COUNTIF($F999:$AJ999,"HPL"))</f>
        <v/>
      </c>
      <c r="AT999" s="34" t="str">
        <f aca="false">IF($B999="","",COUNTIF($F999:$AJ999,"HCL"))</f>
        <v/>
      </c>
      <c r="AU999" s="34" t="str">
        <f aca="false">IF($B999="","",COUNTIF($F999:$AJ999,"WO"))</f>
        <v/>
      </c>
      <c r="AV999" s="34" t="str">
        <f aca="false">IF($B999="","",COUNTIF($F999:$AJ999,"PH"))</f>
        <v/>
      </c>
      <c r="AW999" s="34" t="str">
        <f aca="false">IF($B999="","",COUNTIF($F999:$AJ999,"TR"))</f>
        <v/>
      </c>
      <c r="AX999" s="35" t="str">
        <f aca="false">IF($B999="","",AO999+AS999/2)</f>
        <v/>
      </c>
      <c r="AY999" s="35" t="str">
        <f aca="false">IF($B999="","",AQ999)</f>
        <v/>
      </c>
      <c r="AZ999" s="35" t="str">
        <f aca="false">IF($B999="","",AP999+AT999/2)</f>
        <v/>
      </c>
      <c r="BA999" s="35" t="str">
        <f aca="false">IF($B999="","",AK999+AN999+AM999/2+AO999+AP999+AQ999+AR999+AS999+AT999+AU999+AV999+AW999)</f>
        <v/>
      </c>
      <c r="BB999" s="35" t="str">
        <f aca="false">IF($B999="","",MAX(0,AN999-Settings!$C$16)*Settings!$C$17)</f>
        <v/>
      </c>
      <c r="BC999" s="35" t="str">
        <f aca="false">IF($B999="","",BA999-BB999)</f>
        <v/>
      </c>
      <c r="BD999" s="35" t="str">
        <f aca="false">IF(OR($B999="",$A999=""),"",DAY(EOMONTH($A999,0))-COUNTA($F999:$AJ999))</f>
        <v/>
      </c>
    </row>
    <row r="1000" customFormat="false" ht="15" hidden="false" customHeight="false" outlineLevel="0" collapsed="false">
      <c r="A1000" s="32"/>
      <c r="B1000" s="29"/>
      <c r="C1000" s="10" t="str">
        <f aca="false">IF($B1000="","",IFERROR(INDEX(M_name,MATCH($B1000,M_emp,0)),"Code not found"))</f>
        <v/>
      </c>
      <c r="D1000" s="10" t="str">
        <f aca="false">IF($B1000="","",IFERROR(INDEX(M_dept,MATCH($B1000,M_emp,0)),""))</f>
        <v/>
      </c>
      <c r="E1000" s="10" t="str">
        <f aca="false">IF($B1000="","",IFERROR(INDEX(M_loc,MATCH($B1000,M_emp,0)),""))</f>
        <v/>
      </c>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4" t="str">
        <f aca="false">IF($B1000="","",COUNTIF($F1000:$AJ1000,"P"))</f>
        <v/>
      </c>
      <c r="AL1000" s="34" t="str">
        <f aca="false">IF($B1000="","",COUNTIF($F1000:$AJ1000,"A"))</f>
        <v/>
      </c>
      <c r="AM1000" s="34" t="str">
        <f aca="false">IF($B1000="","",COUNTIF($F1000:$AJ1000,"HA"))</f>
        <v/>
      </c>
      <c r="AN1000" s="34" t="str">
        <f aca="false">IF($B1000="","",COUNTIF($F1000:$AJ1000,"L"))</f>
        <v/>
      </c>
      <c r="AO1000" s="34" t="str">
        <f aca="false">IF($B1000="","",COUNTIF($F1000:$AJ1000,"PL"))</f>
        <v/>
      </c>
      <c r="AP1000" s="34" t="str">
        <f aca="false">IF($B1000="","",COUNTIF($F1000:$AJ1000,"CL"))</f>
        <v/>
      </c>
      <c r="AQ1000" s="34" t="str">
        <f aca="false">IF($B1000="","",COUNTIF($F1000:$AJ1000,"SL"))</f>
        <v/>
      </c>
      <c r="AR1000" s="34" t="str">
        <f aca="false">IF($B1000="","",COUNTIF($F1000:$AJ1000,"CO"))</f>
        <v/>
      </c>
      <c r="AS1000" s="34" t="str">
        <f aca="false">IF($B1000="","",COUNTIF($F1000:$AJ1000,"HPL"))</f>
        <v/>
      </c>
      <c r="AT1000" s="34" t="str">
        <f aca="false">IF($B1000="","",COUNTIF($F1000:$AJ1000,"HCL"))</f>
        <v/>
      </c>
      <c r="AU1000" s="34" t="str">
        <f aca="false">IF($B1000="","",COUNTIF($F1000:$AJ1000,"WO"))</f>
        <v/>
      </c>
      <c r="AV1000" s="34" t="str">
        <f aca="false">IF($B1000="","",COUNTIF($F1000:$AJ1000,"PH"))</f>
        <v/>
      </c>
      <c r="AW1000" s="34" t="str">
        <f aca="false">IF($B1000="","",COUNTIF($F1000:$AJ1000,"TR"))</f>
        <v/>
      </c>
      <c r="AX1000" s="35" t="str">
        <f aca="false">IF($B1000="","",AO1000+AS1000/2)</f>
        <v/>
      </c>
      <c r="AY1000" s="35" t="str">
        <f aca="false">IF($B1000="","",AQ1000)</f>
        <v/>
      </c>
      <c r="AZ1000" s="35" t="str">
        <f aca="false">IF($B1000="","",AP1000+AT1000/2)</f>
        <v/>
      </c>
      <c r="BA1000" s="35" t="str">
        <f aca="false">IF($B1000="","",AK1000+AN1000+AM1000/2+AO1000+AP1000+AQ1000+AR1000+AS1000+AT1000+AU1000+AV1000+AW1000)</f>
        <v/>
      </c>
      <c r="BB1000" s="35" t="str">
        <f aca="false">IF($B1000="","",MAX(0,AN1000-Settings!$C$16)*Settings!$C$17)</f>
        <v/>
      </c>
      <c r="BC1000" s="35" t="str">
        <f aca="false">IF($B1000="","",BA1000-BB1000)</f>
        <v/>
      </c>
      <c r="BD1000" s="35" t="str">
        <f aca="false">IF(OR($B1000="",$A1000=""),"",DAY(EOMONTH($A1000,0))-COUNTA($F1000:$AJ1000))</f>
        <v/>
      </c>
    </row>
    <row r="1001" customFormat="false" ht="15" hidden="false" customHeight="false" outlineLevel="0" collapsed="false">
      <c r="A1001" s="32"/>
      <c r="B1001" s="29"/>
      <c r="C1001" s="10" t="str">
        <f aca="false">IF($B1001="","",IFERROR(INDEX(M_name,MATCH($B1001,M_emp,0)),"Code not found"))</f>
        <v/>
      </c>
      <c r="D1001" s="10" t="str">
        <f aca="false">IF($B1001="","",IFERROR(INDEX(M_dept,MATCH($B1001,M_emp,0)),""))</f>
        <v/>
      </c>
      <c r="E1001" s="10" t="str">
        <f aca="false">IF($B1001="","",IFERROR(INDEX(M_loc,MATCH($B1001,M_emp,0)),""))</f>
        <v/>
      </c>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4" t="str">
        <f aca="false">IF($B1001="","",COUNTIF($F1001:$AJ1001,"P"))</f>
        <v/>
      </c>
      <c r="AL1001" s="34" t="str">
        <f aca="false">IF($B1001="","",COUNTIF($F1001:$AJ1001,"A"))</f>
        <v/>
      </c>
      <c r="AM1001" s="34" t="str">
        <f aca="false">IF($B1001="","",COUNTIF($F1001:$AJ1001,"HA"))</f>
        <v/>
      </c>
      <c r="AN1001" s="34" t="str">
        <f aca="false">IF($B1001="","",COUNTIF($F1001:$AJ1001,"L"))</f>
        <v/>
      </c>
      <c r="AO1001" s="34" t="str">
        <f aca="false">IF($B1001="","",COUNTIF($F1001:$AJ1001,"PL"))</f>
        <v/>
      </c>
      <c r="AP1001" s="34" t="str">
        <f aca="false">IF($B1001="","",COUNTIF($F1001:$AJ1001,"CL"))</f>
        <v/>
      </c>
      <c r="AQ1001" s="34" t="str">
        <f aca="false">IF($B1001="","",COUNTIF($F1001:$AJ1001,"SL"))</f>
        <v/>
      </c>
      <c r="AR1001" s="34" t="str">
        <f aca="false">IF($B1001="","",COUNTIF($F1001:$AJ1001,"CO"))</f>
        <v/>
      </c>
      <c r="AS1001" s="34" t="str">
        <f aca="false">IF($B1001="","",COUNTIF($F1001:$AJ1001,"HPL"))</f>
        <v/>
      </c>
      <c r="AT1001" s="34" t="str">
        <f aca="false">IF($B1001="","",COUNTIF($F1001:$AJ1001,"HCL"))</f>
        <v/>
      </c>
      <c r="AU1001" s="34" t="str">
        <f aca="false">IF($B1001="","",COUNTIF($F1001:$AJ1001,"WO"))</f>
        <v/>
      </c>
      <c r="AV1001" s="34" t="str">
        <f aca="false">IF($B1001="","",COUNTIF($F1001:$AJ1001,"PH"))</f>
        <v/>
      </c>
      <c r="AW1001" s="34" t="str">
        <f aca="false">IF($B1001="","",COUNTIF($F1001:$AJ1001,"TR"))</f>
        <v/>
      </c>
      <c r="AX1001" s="35" t="str">
        <f aca="false">IF($B1001="","",AO1001+AS1001/2)</f>
        <v/>
      </c>
      <c r="AY1001" s="35" t="str">
        <f aca="false">IF($B1001="","",AQ1001)</f>
        <v/>
      </c>
      <c r="AZ1001" s="35" t="str">
        <f aca="false">IF($B1001="","",AP1001+AT1001/2)</f>
        <v/>
      </c>
      <c r="BA1001" s="35" t="str">
        <f aca="false">IF($B1001="","",AK1001+AN1001+AM1001/2+AO1001+AP1001+AQ1001+AR1001+AS1001+AT1001+AU1001+AV1001+AW1001)</f>
        <v/>
      </c>
      <c r="BB1001" s="35" t="str">
        <f aca="false">IF($B1001="","",MAX(0,AN1001-Settings!$C$16)*Settings!$C$17)</f>
        <v/>
      </c>
      <c r="BC1001" s="35" t="str">
        <f aca="false">IF($B1001="","",BA1001-BB1001)</f>
        <v/>
      </c>
      <c r="BD1001" s="35" t="str">
        <f aca="false">IF(OR($B1001="",$A1001=""),"",DAY(EOMONTH($A1001,0))-COUNTA($F1001:$AJ1001))</f>
        <v/>
      </c>
    </row>
    <row r="1002" customFormat="false" ht="15" hidden="false" customHeight="false" outlineLevel="0" collapsed="false">
      <c r="A1002" s="32"/>
      <c r="B1002" s="29"/>
      <c r="C1002" s="10" t="str">
        <f aca="false">IF($B1002="","",IFERROR(INDEX(M_name,MATCH($B1002,M_emp,0)),"Code not found"))</f>
        <v/>
      </c>
      <c r="D1002" s="10" t="str">
        <f aca="false">IF($B1002="","",IFERROR(INDEX(M_dept,MATCH($B1002,M_emp,0)),""))</f>
        <v/>
      </c>
      <c r="E1002" s="10" t="str">
        <f aca="false">IF($B1002="","",IFERROR(INDEX(M_loc,MATCH($B1002,M_emp,0)),""))</f>
        <v/>
      </c>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4" t="str">
        <f aca="false">IF($B1002="","",COUNTIF($F1002:$AJ1002,"P"))</f>
        <v/>
      </c>
      <c r="AL1002" s="34" t="str">
        <f aca="false">IF($B1002="","",COUNTIF($F1002:$AJ1002,"A"))</f>
        <v/>
      </c>
      <c r="AM1002" s="34" t="str">
        <f aca="false">IF($B1002="","",COUNTIF($F1002:$AJ1002,"HA"))</f>
        <v/>
      </c>
      <c r="AN1002" s="34" t="str">
        <f aca="false">IF($B1002="","",COUNTIF($F1002:$AJ1002,"L"))</f>
        <v/>
      </c>
      <c r="AO1002" s="34" t="str">
        <f aca="false">IF($B1002="","",COUNTIF($F1002:$AJ1002,"PL"))</f>
        <v/>
      </c>
      <c r="AP1002" s="34" t="str">
        <f aca="false">IF($B1002="","",COUNTIF($F1002:$AJ1002,"CL"))</f>
        <v/>
      </c>
      <c r="AQ1002" s="34" t="str">
        <f aca="false">IF($B1002="","",COUNTIF($F1002:$AJ1002,"SL"))</f>
        <v/>
      </c>
      <c r="AR1002" s="34" t="str">
        <f aca="false">IF($B1002="","",COUNTIF($F1002:$AJ1002,"CO"))</f>
        <v/>
      </c>
      <c r="AS1002" s="34" t="str">
        <f aca="false">IF($B1002="","",COUNTIF($F1002:$AJ1002,"HPL"))</f>
        <v/>
      </c>
      <c r="AT1002" s="34" t="str">
        <f aca="false">IF($B1002="","",COUNTIF($F1002:$AJ1002,"HCL"))</f>
        <v/>
      </c>
      <c r="AU1002" s="34" t="str">
        <f aca="false">IF($B1002="","",COUNTIF($F1002:$AJ1002,"WO"))</f>
        <v/>
      </c>
      <c r="AV1002" s="34" t="str">
        <f aca="false">IF($B1002="","",COUNTIF($F1002:$AJ1002,"PH"))</f>
        <v/>
      </c>
      <c r="AW1002" s="34" t="str">
        <f aca="false">IF($B1002="","",COUNTIF($F1002:$AJ1002,"TR"))</f>
        <v/>
      </c>
      <c r="AX1002" s="35" t="str">
        <f aca="false">IF($B1002="","",AO1002+AS1002/2)</f>
        <v/>
      </c>
      <c r="AY1002" s="35" t="str">
        <f aca="false">IF($B1002="","",AQ1002)</f>
        <v/>
      </c>
      <c r="AZ1002" s="35" t="str">
        <f aca="false">IF($B1002="","",AP1002+AT1002/2)</f>
        <v/>
      </c>
      <c r="BA1002" s="35" t="str">
        <f aca="false">IF($B1002="","",AK1002+AN1002+AM1002/2+AO1002+AP1002+AQ1002+AR1002+AS1002+AT1002+AU1002+AV1002+AW1002)</f>
        <v/>
      </c>
      <c r="BB1002" s="35" t="str">
        <f aca="false">IF($B1002="","",MAX(0,AN1002-Settings!$C$16)*Settings!$C$17)</f>
        <v/>
      </c>
      <c r="BC1002" s="35" t="str">
        <f aca="false">IF($B1002="","",BA1002-BB1002)</f>
        <v/>
      </c>
      <c r="BD1002" s="35" t="str">
        <f aca="false">IF(OR($B1002="",$A1002=""),"",DAY(EOMONTH($A1002,0))-COUNTA($F1002:$AJ1002))</f>
        <v/>
      </c>
    </row>
    <row r="1003" customFormat="false" ht="15" hidden="false" customHeight="false" outlineLevel="0" collapsed="false">
      <c r="A1003" s="32"/>
      <c r="B1003" s="29"/>
      <c r="C1003" s="10" t="str">
        <f aca="false">IF($B1003="","",IFERROR(INDEX(M_name,MATCH($B1003,M_emp,0)),"Code not found"))</f>
        <v/>
      </c>
      <c r="D1003" s="10" t="str">
        <f aca="false">IF($B1003="","",IFERROR(INDEX(M_dept,MATCH($B1003,M_emp,0)),""))</f>
        <v/>
      </c>
      <c r="E1003" s="10" t="str">
        <f aca="false">IF($B1003="","",IFERROR(INDEX(M_loc,MATCH($B1003,M_emp,0)),""))</f>
        <v/>
      </c>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34" t="str">
        <f aca="false">IF($B1003="","",COUNTIF($F1003:$AJ1003,"P"))</f>
        <v/>
      </c>
      <c r="AL1003" s="34" t="str">
        <f aca="false">IF($B1003="","",COUNTIF($F1003:$AJ1003,"A"))</f>
        <v/>
      </c>
      <c r="AM1003" s="34" t="str">
        <f aca="false">IF($B1003="","",COUNTIF($F1003:$AJ1003,"HA"))</f>
        <v/>
      </c>
      <c r="AN1003" s="34" t="str">
        <f aca="false">IF($B1003="","",COUNTIF($F1003:$AJ1003,"L"))</f>
        <v/>
      </c>
      <c r="AO1003" s="34" t="str">
        <f aca="false">IF($B1003="","",COUNTIF($F1003:$AJ1003,"PL"))</f>
        <v/>
      </c>
      <c r="AP1003" s="34" t="str">
        <f aca="false">IF($B1003="","",COUNTIF($F1003:$AJ1003,"CL"))</f>
        <v/>
      </c>
      <c r="AQ1003" s="34" t="str">
        <f aca="false">IF($B1003="","",COUNTIF($F1003:$AJ1003,"SL"))</f>
        <v/>
      </c>
      <c r="AR1003" s="34" t="str">
        <f aca="false">IF($B1003="","",COUNTIF($F1003:$AJ1003,"CO"))</f>
        <v/>
      </c>
      <c r="AS1003" s="34" t="str">
        <f aca="false">IF($B1003="","",COUNTIF($F1003:$AJ1003,"HPL"))</f>
        <v/>
      </c>
      <c r="AT1003" s="34" t="str">
        <f aca="false">IF($B1003="","",COUNTIF($F1003:$AJ1003,"HCL"))</f>
        <v/>
      </c>
      <c r="AU1003" s="34" t="str">
        <f aca="false">IF($B1003="","",COUNTIF($F1003:$AJ1003,"WO"))</f>
        <v/>
      </c>
      <c r="AV1003" s="34" t="str">
        <f aca="false">IF($B1003="","",COUNTIF($F1003:$AJ1003,"PH"))</f>
        <v/>
      </c>
      <c r="AW1003" s="34" t="str">
        <f aca="false">IF($B1003="","",COUNTIF($F1003:$AJ1003,"TR"))</f>
        <v/>
      </c>
      <c r="AX1003" s="35" t="str">
        <f aca="false">IF($B1003="","",AO1003+AS1003/2)</f>
        <v/>
      </c>
      <c r="AY1003" s="35" t="str">
        <f aca="false">IF($B1003="","",AQ1003)</f>
        <v/>
      </c>
      <c r="AZ1003" s="35" t="str">
        <f aca="false">IF($B1003="","",AP1003+AT1003/2)</f>
        <v/>
      </c>
      <c r="BA1003" s="35" t="str">
        <f aca="false">IF($B1003="","",AK1003+AN1003+AM1003/2+AO1003+AP1003+AQ1003+AR1003+AS1003+AT1003+AU1003+AV1003+AW1003)</f>
        <v/>
      </c>
      <c r="BB1003" s="35" t="str">
        <f aca="false">IF($B1003="","",MAX(0,AN1003-Settings!$C$16)*Settings!$C$17)</f>
        <v/>
      </c>
      <c r="BC1003" s="35" t="str">
        <f aca="false">IF($B1003="","",BA1003-BB1003)</f>
        <v/>
      </c>
      <c r="BD1003" s="35" t="str">
        <f aca="false">IF(OR($B1003="",$A1003=""),"",DAY(EOMONTH($A1003,0))-COUNTA($F1003:$AJ1003))</f>
        <v/>
      </c>
    </row>
    <row r="1004" customFormat="false" ht="15" hidden="false" customHeight="false" outlineLevel="0" collapsed="false">
      <c r="A1004" s="32"/>
      <c r="B1004" s="29"/>
      <c r="C1004" s="10" t="str">
        <f aca="false">IF($B1004="","",IFERROR(INDEX(M_name,MATCH($B1004,M_emp,0)),"Code not found"))</f>
        <v/>
      </c>
      <c r="D1004" s="10" t="str">
        <f aca="false">IF($B1004="","",IFERROR(INDEX(M_dept,MATCH($B1004,M_emp,0)),""))</f>
        <v/>
      </c>
      <c r="E1004" s="10" t="str">
        <f aca="false">IF($B1004="","",IFERROR(INDEX(M_loc,MATCH($B1004,M_emp,0)),""))</f>
        <v/>
      </c>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4" t="str">
        <f aca="false">IF($B1004="","",COUNTIF($F1004:$AJ1004,"P"))</f>
        <v/>
      </c>
      <c r="AL1004" s="34" t="str">
        <f aca="false">IF($B1004="","",COUNTIF($F1004:$AJ1004,"A"))</f>
        <v/>
      </c>
      <c r="AM1004" s="34" t="str">
        <f aca="false">IF($B1004="","",COUNTIF($F1004:$AJ1004,"HA"))</f>
        <v/>
      </c>
      <c r="AN1004" s="34" t="str">
        <f aca="false">IF($B1004="","",COUNTIF($F1004:$AJ1004,"L"))</f>
        <v/>
      </c>
      <c r="AO1004" s="34" t="str">
        <f aca="false">IF($B1004="","",COUNTIF($F1004:$AJ1004,"PL"))</f>
        <v/>
      </c>
      <c r="AP1004" s="34" t="str">
        <f aca="false">IF($B1004="","",COUNTIF($F1004:$AJ1004,"CL"))</f>
        <v/>
      </c>
      <c r="AQ1004" s="34" t="str">
        <f aca="false">IF($B1004="","",COUNTIF($F1004:$AJ1004,"SL"))</f>
        <v/>
      </c>
      <c r="AR1004" s="34" t="str">
        <f aca="false">IF($B1004="","",COUNTIF($F1004:$AJ1004,"CO"))</f>
        <v/>
      </c>
      <c r="AS1004" s="34" t="str">
        <f aca="false">IF($B1004="","",COUNTIF($F1004:$AJ1004,"HPL"))</f>
        <v/>
      </c>
      <c r="AT1004" s="34" t="str">
        <f aca="false">IF($B1004="","",COUNTIF($F1004:$AJ1004,"HCL"))</f>
        <v/>
      </c>
      <c r="AU1004" s="34" t="str">
        <f aca="false">IF($B1004="","",COUNTIF($F1004:$AJ1004,"WO"))</f>
        <v/>
      </c>
      <c r="AV1004" s="34" t="str">
        <f aca="false">IF($B1004="","",COUNTIF($F1004:$AJ1004,"PH"))</f>
        <v/>
      </c>
      <c r="AW1004" s="34" t="str">
        <f aca="false">IF($B1004="","",COUNTIF($F1004:$AJ1004,"TR"))</f>
        <v/>
      </c>
      <c r="AX1004" s="35" t="str">
        <f aca="false">IF($B1004="","",AO1004+AS1004/2)</f>
        <v/>
      </c>
      <c r="AY1004" s="35" t="str">
        <f aca="false">IF($B1004="","",AQ1004)</f>
        <v/>
      </c>
      <c r="AZ1004" s="35" t="str">
        <f aca="false">IF($B1004="","",AP1004+AT1004/2)</f>
        <v/>
      </c>
      <c r="BA1004" s="35" t="str">
        <f aca="false">IF($B1004="","",AK1004+AN1004+AM1004/2+AO1004+AP1004+AQ1004+AR1004+AS1004+AT1004+AU1004+AV1004+AW1004)</f>
        <v/>
      </c>
      <c r="BB1004" s="35" t="str">
        <f aca="false">IF($B1004="","",MAX(0,AN1004-Settings!$C$16)*Settings!$C$17)</f>
        <v/>
      </c>
      <c r="BC1004" s="35" t="str">
        <f aca="false">IF($B1004="","",BA1004-BB1004)</f>
        <v/>
      </c>
      <c r="BD1004" s="35" t="str">
        <f aca="false">IF(OR($B1004="",$A1004=""),"",DAY(EOMONTH($A1004,0))-COUNTA($F1004:$AJ1004))</f>
        <v/>
      </c>
    </row>
    <row r="1005" customFormat="false" ht="15" hidden="false" customHeight="false" outlineLevel="0" collapsed="false">
      <c r="A1005" s="32"/>
      <c r="B1005" s="29"/>
      <c r="C1005" s="10" t="str">
        <f aca="false">IF($B1005="","",IFERROR(INDEX(M_name,MATCH($B1005,M_emp,0)),"Code not found"))</f>
        <v/>
      </c>
      <c r="D1005" s="10" t="str">
        <f aca="false">IF($B1005="","",IFERROR(INDEX(M_dept,MATCH($B1005,M_emp,0)),""))</f>
        <v/>
      </c>
      <c r="E1005" s="10" t="str">
        <f aca="false">IF($B1005="","",IFERROR(INDEX(M_loc,MATCH($B1005,M_emp,0)),""))</f>
        <v/>
      </c>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c r="AI1005" s="33"/>
      <c r="AJ1005" s="33"/>
      <c r="AK1005" s="34" t="str">
        <f aca="false">IF($B1005="","",COUNTIF($F1005:$AJ1005,"P"))</f>
        <v/>
      </c>
      <c r="AL1005" s="34" t="str">
        <f aca="false">IF($B1005="","",COUNTIF($F1005:$AJ1005,"A"))</f>
        <v/>
      </c>
      <c r="AM1005" s="34" t="str">
        <f aca="false">IF($B1005="","",COUNTIF($F1005:$AJ1005,"HA"))</f>
        <v/>
      </c>
      <c r="AN1005" s="34" t="str">
        <f aca="false">IF($B1005="","",COUNTIF($F1005:$AJ1005,"L"))</f>
        <v/>
      </c>
      <c r="AO1005" s="34" t="str">
        <f aca="false">IF($B1005="","",COUNTIF($F1005:$AJ1005,"PL"))</f>
        <v/>
      </c>
      <c r="AP1005" s="34" t="str">
        <f aca="false">IF($B1005="","",COUNTIF($F1005:$AJ1005,"CL"))</f>
        <v/>
      </c>
      <c r="AQ1005" s="34" t="str">
        <f aca="false">IF($B1005="","",COUNTIF($F1005:$AJ1005,"SL"))</f>
        <v/>
      </c>
      <c r="AR1005" s="34" t="str">
        <f aca="false">IF($B1005="","",COUNTIF($F1005:$AJ1005,"CO"))</f>
        <v/>
      </c>
      <c r="AS1005" s="34" t="str">
        <f aca="false">IF($B1005="","",COUNTIF($F1005:$AJ1005,"HPL"))</f>
        <v/>
      </c>
      <c r="AT1005" s="34" t="str">
        <f aca="false">IF($B1005="","",COUNTIF($F1005:$AJ1005,"HCL"))</f>
        <v/>
      </c>
      <c r="AU1005" s="34" t="str">
        <f aca="false">IF($B1005="","",COUNTIF($F1005:$AJ1005,"WO"))</f>
        <v/>
      </c>
      <c r="AV1005" s="34" t="str">
        <f aca="false">IF($B1005="","",COUNTIF($F1005:$AJ1005,"PH"))</f>
        <v/>
      </c>
      <c r="AW1005" s="34" t="str">
        <f aca="false">IF($B1005="","",COUNTIF($F1005:$AJ1005,"TR"))</f>
        <v/>
      </c>
      <c r="AX1005" s="35" t="str">
        <f aca="false">IF($B1005="","",AO1005+AS1005/2)</f>
        <v/>
      </c>
      <c r="AY1005" s="35" t="str">
        <f aca="false">IF($B1005="","",AQ1005)</f>
        <v/>
      </c>
      <c r="AZ1005" s="35" t="str">
        <f aca="false">IF($B1005="","",AP1005+AT1005/2)</f>
        <v/>
      </c>
      <c r="BA1005" s="35" t="str">
        <f aca="false">IF($B1005="","",AK1005+AN1005+AM1005/2+AO1005+AP1005+AQ1005+AR1005+AS1005+AT1005+AU1005+AV1005+AW1005)</f>
        <v/>
      </c>
      <c r="BB1005" s="35" t="str">
        <f aca="false">IF($B1005="","",MAX(0,AN1005-Settings!$C$16)*Settings!$C$17)</f>
        <v/>
      </c>
      <c r="BC1005" s="35" t="str">
        <f aca="false">IF($B1005="","",BA1005-BB1005)</f>
        <v/>
      </c>
      <c r="BD1005" s="35" t="str">
        <f aca="false">IF(OR($B1005="",$A1005=""),"",DAY(EOMONTH($A1005,0))-COUNTA($F1005:$AJ1005))</f>
        <v/>
      </c>
    </row>
    <row r="1006" customFormat="false" ht="15" hidden="false" customHeight="false" outlineLevel="0" collapsed="false">
      <c r="A1006" s="32"/>
      <c r="B1006" s="29"/>
      <c r="C1006" s="10" t="str">
        <f aca="false">IF($B1006="","",IFERROR(INDEX(M_name,MATCH($B1006,M_emp,0)),"Code not found"))</f>
        <v/>
      </c>
      <c r="D1006" s="10" t="str">
        <f aca="false">IF($B1006="","",IFERROR(INDEX(M_dept,MATCH($B1006,M_emp,0)),""))</f>
        <v/>
      </c>
      <c r="E1006" s="10" t="str">
        <f aca="false">IF($B1006="","",IFERROR(INDEX(M_loc,MATCH($B1006,M_emp,0)),""))</f>
        <v/>
      </c>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c r="AG1006" s="33"/>
      <c r="AH1006" s="33"/>
      <c r="AI1006" s="33"/>
      <c r="AJ1006" s="33"/>
      <c r="AK1006" s="34" t="str">
        <f aca="false">IF($B1006="","",COUNTIF($F1006:$AJ1006,"P"))</f>
        <v/>
      </c>
      <c r="AL1006" s="34" t="str">
        <f aca="false">IF($B1006="","",COUNTIF($F1006:$AJ1006,"A"))</f>
        <v/>
      </c>
      <c r="AM1006" s="34" t="str">
        <f aca="false">IF($B1006="","",COUNTIF($F1006:$AJ1006,"HA"))</f>
        <v/>
      </c>
      <c r="AN1006" s="34" t="str">
        <f aca="false">IF($B1006="","",COUNTIF($F1006:$AJ1006,"L"))</f>
        <v/>
      </c>
      <c r="AO1006" s="34" t="str">
        <f aca="false">IF($B1006="","",COUNTIF($F1006:$AJ1006,"PL"))</f>
        <v/>
      </c>
      <c r="AP1006" s="34" t="str">
        <f aca="false">IF($B1006="","",COUNTIF($F1006:$AJ1006,"CL"))</f>
        <v/>
      </c>
      <c r="AQ1006" s="34" t="str">
        <f aca="false">IF($B1006="","",COUNTIF($F1006:$AJ1006,"SL"))</f>
        <v/>
      </c>
      <c r="AR1006" s="34" t="str">
        <f aca="false">IF($B1006="","",COUNTIF($F1006:$AJ1006,"CO"))</f>
        <v/>
      </c>
      <c r="AS1006" s="34" t="str">
        <f aca="false">IF($B1006="","",COUNTIF($F1006:$AJ1006,"HPL"))</f>
        <v/>
      </c>
      <c r="AT1006" s="34" t="str">
        <f aca="false">IF($B1006="","",COUNTIF($F1006:$AJ1006,"HCL"))</f>
        <v/>
      </c>
      <c r="AU1006" s="34" t="str">
        <f aca="false">IF($B1006="","",COUNTIF($F1006:$AJ1006,"WO"))</f>
        <v/>
      </c>
      <c r="AV1006" s="34" t="str">
        <f aca="false">IF($B1006="","",COUNTIF($F1006:$AJ1006,"PH"))</f>
        <v/>
      </c>
      <c r="AW1006" s="34" t="str">
        <f aca="false">IF($B1006="","",COUNTIF($F1006:$AJ1006,"TR"))</f>
        <v/>
      </c>
      <c r="AX1006" s="35" t="str">
        <f aca="false">IF($B1006="","",AO1006+AS1006/2)</f>
        <v/>
      </c>
      <c r="AY1006" s="35" t="str">
        <f aca="false">IF($B1006="","",AQ1006)</f>
        <v/>
      </c>
      <c r="AZ1006" s="35" t="str">
        <f aca="false">IF($B1006="","",AP1006+AT1006/2)</f>
        <v/>
      </c>
      <c r="BA1006" s="35" t="str">
        <f aca="false">IF($B1006="","",AK1006+AN1006+AM1006/2+AO1006+AP1006+AQ1006+AR1006+AS1006+AT1006+AU1006+AV1006+AW1006)</f>
        <v/>
      </c>
      <c r="BB1006" s="35" t="str">
        <f aca="false">IF($B1006="","",MAX(0,AN1006-Settings!$C$16)*Settings!$C$17)</f>
        <v/>
      </c>
      <c r="BC1006" s="35" t="str">
        <f aca="false">IF($B1006="","",BA1006-BB1006)</f>
        <v/>
      </c>
      <c r="BD1006" s="35" t="str">
        <f aca="false">IF(OR($B1006="",$A1006=""),"",DAY(EOMONTH($A1006,0))-COUNTA($F1006:$AJ1006))</f>
        <v/>
      </c>
    </row>
    <row r="1007" customFormat="false" ht="15" hidden="false" customHeight="false" outlineLevel="0" collapsed="false">
      <c r="A1007" s="32"/>
      <c r="B1007" s="29"/>
      <c r="C1007" s="10" t="str">
        <f aca="false">IF($B1007="","",IFERROR(INDEX(M_name,MATCH($B1007,M_emp,0)),"Code not found"))</f>
        <v/>
      </c>
      <c r="D1007" s="10" t="str">
        <f aca="false">IF($B1007="","",IFERROR(INDEX(M_dept,MATCH($B1007,M_emp,0)),""))</f>
        <v/>
      </c>
      <c r="E1007" s="10" t="str">
        <f aca="false">IF($B1007="","",IFERROR(INDEX(M_loc,MATCH($B1007,M_emp,0)),""))</f>
        <v/>
      </c>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c r="AF1007" s="33"/>
      <c r="AG1007" s="33"/>
      <c r="AH1007" s="33"/>
      <c r="AI1007" s="33"/>
      <c r="AJ1007" s="33"/>
      <c r="AK1007" s="34" t="str">
        <f aca="false">IF($B1007="","",COUNTIF($F1007:$AJ1007,"P"))</f>
        <v/>
      </c>
      <c r="AL1007" s="34" t="str">
        <f aca="false">IF($B1007="","",COUNTIF($F1007:$AJ1007,"A"))</f>
        <v/>
      </c>
      <c r="AM1007" s="34" t="str">
        <f aca="false">IF($B1007="","",COUNTIF($F1007:$AJ1007,"HA"))</f>
        <v/>
      </c>
      <c r="AN1007" s="34" t="str">
        <f aca="false">IF($B1007="","",COUNTIF($F1007:$AJ1007,"L"))</f>
        <v/>
      </c>
      <c r="AO1007" s="34" t="str">
        <f aca="false">IF($B1007="","",COUNTIF($F1007:$AJ1007,"PL"))</f>
        <v/>
      </c>
      <c r="AP1007" s="34" t="str">
        <f aca="false">IF($B1007="","",COUNTIF($F1007:$AJ1007,"CL"))</f>
        <v/>
      </c>
      <c r="AQ1007" s="34" t="str">
        <f aca="false">IF($B1007="","",COUNTIF($F1007:$AJ1007,"SL"))</f>
        <v/>
      </c>
      <c r="AR1007" s="34" t="str">
        <f aca="false">IF($B1007="","",COUNTIF($F1007:$AJ1007,"CO"))</f>
        <v/>
      </c>
      <c r="AS1007" s="34" t="str">
        <f aca="false">IF($B1007="","",COUNTIF($F1007:$AJ1007,"HPL"))</f>
        <v/>
      </c>
      <c r="AT1007" s="34" t="str">
        <f aca="false">IF($B1007="","",COUNTIF($F1007:$AJ1007,"HCL"))</f>
        <v/>
      </c>
      <c r="AU1007" s="34" t="str">
        <f aca="false">IF($B1007="","",COUNTIF($F1007:$AJ1007,"WO"))</f>
        <v/>
      </c>
      <c r="AV1007" s="34" t="str">
        <f aca="false">IF($B1007="","",COUNTIF($F1007:$AJ1007,"PH"))</f>
        <v/>
      </c>
      <c r="AW1007" s="34" t="str">
        <f aca="false">IF($B1007="","",COUNTIF($F1007:$AJ1007,"TR"))</f>
        <v/>
      </c>
      <c r="AX1007" s="35" t="str">
        <f aca="false">IF($B1007="","",AO1007+AS1007/2)</f>
        <v/>
      </c>
      <c r="AY1007" s="35" t="str">
        <f aca="false">IF($B1007="","",AQ1007)</f>
        <v/>
      </c>
      <c r="AZ1007" s="35" t="str">
        <f aca="false">IF($B1007="","",AP1007+AT1007/2)</f>
        <v/>
      </c>
      <c r="BA1007" s="35" t="str">
        <f aca="false">IF($B1007="","",AK1007+AN1007+AM1007/2+AO1007+AP1007+AQ1007+AR1007+AS1007+AT1007+AU1007+AV1007+AW1007)</f>
        <v/>
      </c>
      <c r="BB1007" s="35" t="str">
        <f aca="false">IF($B1007="","",MAX(0,AN1007-Settings!$C$16)*Settings!$C$17)</f>
        <v/>
      </c>
      <c r="BC1007" s="35" t="str">
        <f aca="false">IF($B1007="","",BA1007-BB1007)</f>
        <v/>
      </c>
      <c r="BD1007" s="35" t="str">
        <f aca="false">IF(OR($B1007="",$A1007=""),"",DAY(EOMONTH($A1007,0))-COUNTA($F1007:$AJ1007))</f>
        <v/>
      </c>
    </row>
    <row r="1008" customFormat="false" ht="15" hidden="false" customHeight="false" outlineLevel="0" collapsed="false">
      <c r="A1008" s="32"/>
      <c r="B1008" s="29"/>
      <c r="C1008" s="10" t="str">
        <f aca="false">IF($B1008="","",IFERROR(INDEX(M_name,MATCH($B1008,M_emp,0)),"Code not found"))</f>
        <v/>
      </c>
      <c r="D1008" s="10" t="str">
        <f aca="false">IF($B1008="","",IFERROR(INDEX(M_dept,MATCH($B1008,M_emp,0)),""))</f>
        <v/>
      </c>
      <c r="E1008" s="10" t="str">
        <f aca="false">IF($B1008="","",IFERROR(INDEX(M_loc,MATCH($B1008,M_emp,0)),""))</f>
        <v/>
      </c>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c r="AG1008" s="33"/>
      <c r="AH1008" s="33"/>
      <c r="AI1008" s="33"/>
      <c r="AJ1008" s="33"/>
      <c r="AK1008" s="34" t="str">
        <f aca="false">IF($B1008="","",COUNTIF($F1008:$AJ1008,"P"))</f>
        <v/>
      </c>
      <c r="AL1008" s="34" t="str">
        <f aca="false">IF($B1008="","",COUNTIF($F1008:$AJ1008,"A"))</f>
        <v/>
      </c>
      <c r="AM1008" s="34" t="str">
        <f aca="false">IF($B1008="","",COUNTIF($F1008:$AJ1008,"HA"))</f>
        <v/>
      </c>
      <c r="AN1008" s="34" t="str">
        <f aca="false">IF($B1008="","",COUNTIF($F1008:$AJ1008,"L"))</f>
        <v/>
      </c>
      <c r="AO1008" s="34" t="str">
        <f aca="false">IF($B1008="","",COUNTIF($F1008:$AJ1008,"PL"))</f>
        <v/>
      </c>
      <c r="AP1008" s="34" t="str">
        <f aca="false">IF($B1008="","",COUNTIF($F1008:$AJ1008,"CL"))</f>
        <v/>
      </c>
      <c r="AQ1008" s="34" t="str">
        <f aca="false">IF($B1008="","",COUNTIF($F1008:$AJ1008,"SL"))</f>
        <v/>
      </c>
      <c r="AR1008" s="34" t="str">
        <f aca="false">IF($B1008="","",COUNTIF($F1008:$AJ1008,"CO"))</f>
        <v/>
      </c>
      <c r="AS1008" s="34" t="str">
        <f aca="false">IF($B1008="","",COUNTIF($F1008:$AJ1008,"HPL"))</f>
        <v/>
      </c>
      <c r="AT1008" s="34" t="str">
        <f aca="false">IF($B1008="","",COUNTIF($F1008:$AJ1008,"HCL"))</f>
        <v/>
      </c>
      <c r="AU1008" s="34" t="str">
        <f aca="false">IF($B1008="","",COUNTIF($F1008:$AJ1008,"WO"))</f>
        <v/>
      </c>
      <c r="AV1008" s="34" t="str">
        <f aca="false">IF($B1008="","",COUNTIF($F1008:$AJ1008,"PH"))</f>
        <v/>
      </c>
      <c r="AW1008" s="34" t="str">
        <f aca="false">IF($B1008="","",COUNTIF($F1008:$AJ1008,"TR"))</f>
        <v/>
      </c>
      <c r="AX1008" s="35" t="str">
        <f aca="false">IF($B1008="","",AO1008+AS1008/2)</f>
        <v/>
      </c>
      <c r="AY1008" s="35" t="str">
        <f aca="false">IF($B1008="","",AQ1008)</f>
        <v/>
      </c>
      <c r="AZ1008" s="35" t="str">
        <f aca="false">IF($B1008="","",AP1008+AT1008/2)</f>
        <v/>
      </c>
      <c r="BA1008" s="35" t="str">
        <f aca="false">IF($B1008="","",AK1008+AN1008+AM1008/2+AO1008+AP1008+AQ1008+AR1008+AS1008+AT1008+AU1008+AV1008+AW1008)</f>
        <v/>
      </c>
      <c r="BB1008" s="35" t="str">
        <f aca="false">IF($B1008="","",MAX(0,AN1008-Settings!$C$16)*Settings!$C$17)</f>
        <v/>
      </c>
      <c r="BC1008" s="35" t="str">
        <f aca="false">IF($B1008="","",BA1008-BB1008)</f>
        <v/>
      </c>
      <c r="BD1008" s="35" t="str">
        <f aca="false">IF(OR($B1008="",$A1008=""),"",DAY(EOMONTH($A1008,0))-COUNTA($F1008:$AJ1008))</f>
        <v/>
      </c>
    </row>
    <row r="1009" customFormat="false" ht="15" hidden="false" customHeight="false" outlineLevel="0" collapsed="false">
      <c r="A1009" s="32"/>
      <c r="B1009" s="29"/>
      <c r="C1009" s="10" t="str">
        <f aca="false">IF($B1009="","",IFERROR(INDEX(M_name,MATCH($B1009,M_emp,0)),"Code not found"))</f>
        <v/>
      </c>
      <c r="D1009" s="10" t="str">
        <f aca="false">IF($B1009="","",IFERROR(INDEX(M_dept,MATCH($B1009,M_emp,0)),""))</f>
        <v/>
      </c>
      <c r="E1009" s="10" t="str">
        <f aca="false">IF($B1009="","",IFERROR(INDEX(M_loc,MATCH($B1009,M_emp,0)),""))</f>
        <v/>
      </c>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c r="AF1009" s="33"/>
      <c r="AG1009" s="33"/>
      <c r="AH1009" s="33"/>
      <c r="AI1009" s="33"/>
      <c r="AJ1009" s="33"/>
      <c r="AK1009" s="34" t="str">
        <f aca="false">IF($B1009="","",COUNTIF($F1009:$AJ1009,"P"))</f>
        <v/>
      </c>
      <c r="AL1009" s="34" t="str">
        <f aca="false">IF($B1009="","",COUNTIF($F1009:$AJ1009,"A"))</f>
        <v/>
      </c>
      <c r="AM1009" s="34" t="str">
        <f aca="false">IF($B1009="","",COUNTIF($F1009:$AJ1009,"HA"))</f>
        <v/>
      </c>
      <c r="AN1009" s="34" t="str">
        <f aca="false">IF($B1009="","",COUNTIF($F1009:$AJ1009,"L"))</f>
        <v/>
      </c>
      <c r="AO1009" s="34" t="str">
        <f aca="false">IF($B1009="","",COUNTIF($F1009:$AJ1009,"PL"))</f>
        <v/>
      </c>
      <c r="AP1009" s="34" t="str">
        <f aca="false">IF($B1009="","",COUNTIF($F1009:$AJ1009,"CL"))</f>
        <v/>
      </c>
      <c r="AQ1009" s="34" t="str">
        <f aca="false">IF($B1009="","",COUNTIF($F1009:$AJ1009,"SL"))</f>
        <v/>
      </c>
      <c r="AR1009" s="34" t="str">
        <f aca="false">IF($B1009="","",COUNTIF($F1009:$AJ1009,"CO"))</f>
        <v/>
      </c>
      <c r="AS1009" s="34" t="str">
        <f aca="false">IF($B1009="","",COUNTIF($F1009:$AJ1009,"HPL"))</f>
        <v/>
      </c>
      <c r="AT1009" s="34" t="str">
        <f aca="false">IF($B1009="","",COUNTIF($F1009:$AJ1009,"HCL"))</f>
        <v/>
      </c>
      <c r="AU1009" s="34" t="str">
        <f aca="false">IF($B1009="","",COUNTIF($F1009:$AJ1009,"WO"))</f>
        <v/>
      </c>
      <c r="AV1009" s="34" t="str">
        <f aca="false">IF($B1009="","",COUNTIF($F1009:$AJ1009,"PH"))</f>
        <v/>
      </c>
      <c r="AW1009" s="34" t="str">
        <f aca="false">IF($B1009="","",COUNTIF($F1009:$AJ1009,"TR"))</f>
        <v/>
      </c>
      <c r="AX1009" s="35" t="str">
        <f aca="false">IF($B1009="","",AO1009+AS1009/2)</f>
        <v/>
      </c>
      <c r="AY1009" s="35" t="str">
        <f aca="false">IF($B1009="","",AQ1009)</f>
        <v/>
      </c>
      <c r="AZ1009" s="35" t="str">
        <f aca="false">IF($B1009="","",AP1009+AT1009/2)</f>
        <v/>
      </c>
      <c r="BA1009" s="35" t="str">
        <f aca="false">IF($B1009="","",AK1009+AN1009+AM1009/2+AO1009+AP1009+AQ1009+AR1009+AS1009+AT1009+AU1009+AV1009+AW1009)</f>
        <v/>
      </c>
      <c r="BB1009" s="35" t="str">
        <f aca="false">IF($B1009="","",MAX(0,AN1009-Settings!$C$16)*Settings!$C$17)</f>
        <v/>
      </c>
      <c r="BC1009" s="35" t="str">
        <f aca="false">IF($B1009="","",BA1009-BB1009)</f>
        <v/>
      </c>
      <c r="BD1009" s="35" t="str">
        <f aca="false">IF(OR($B1009="",$A1009=""),"",DAY(EOMONTH($A1009,0))-COUNTA($F1009:$AJ1009))</f>
        <v/>
      </c>
    </row>
    <row r="1010" customFormat="false" ht="15" hidden="false" customHeight="false" outlineLevel="0" collapsed="false">
      <c r="A1010" s="32"/>
      <c r="B1010" s="29"/>
      <c r="C1010" s="10" t="str">
        <f aca="false">IF($B1010="","",IFERROR(INDEX(M_name,MATCH($B1010,M_emp,0)),"Code not found"))</f>
        <v/>
      </c>
      <c r="D1010" s="10" t="str">
        <f aca="false">IF($B1010="","",IFERROR(INDEX(M_dept,MATCH($B1010,M_emp,0)),""))</f>
        <v/>
      </c>
      <c r="E1010" s="10" t="str">
        <f aca="false">IF($B1010="","",IFERROR(INDEX(M_loc,MATCH($B1010,M_emp,0)),""))</f>
        <v/>
      </c>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c r="AG1010" s="33"/>
      <c r="AH1010" s="33"/>
      <c r="AI1010" s="33"/>
      <c r="AJ1010" s="33"/>
      <c r="AK1010" s="34" t="str">
        <f aca="false">IF($B1010="","",COUNTIF($F1010:$AJ1010,"P"))</f>
        <v/>
      </c>
      <c r="AL1010" s="34" t="str">
        <f aca="false">IF($B1010="","",COUNTIF($F1010:$AJ1010,"A"))</f>
        <v/>
      </c>
      <c r="AM1010" s="34" t="str">
        <f aca="false">IF($B1010="","",COUNTIF($F1010:$AJ1010,"HA"))</f>
        <v/>
      </c>
      <c r="AN1010" s="34" t="str">
        <f aca="false">IF($B1010="","",COUNTIF($F1010:$AJ1010,"L"))</f>
        <v/>
      </c>
      <c r="AO1010" s="34" t="str">
        <f aca="false">IF($B1010="","",COUNTIF($F1010:$AJ1010,"PL"))</f>
        <v/>
      </c>
      <c r="AP1010" s="34" t="str">
        <f aca="false">IF($B1010="","",COUNTIF($F1010:$AJ1010,"CL"))</f>
        <v/>
      </c>
      <c r="AQ1010" s="34" t="str">
        <f aca="false">IF($B1010="","",COUNTIF($F1010:$AJ1010,"SL"))</f>
        <v/>
      </c>
      <c r="AR1010" s="34" t="str">
        <f aca="false">IF($B1010="","",COUNTIF($F1010:$AJ1010,"CO"))</f>
        <v/>
      </c>
      <c r="AS1010" s="34" t="str">
        <f aca="false">IF($B1010="","",COUNTIF($F1010:$AJ1010,"HPL"))</f>
        <v/>
      </c>
      <c r="AT1010" s="34" t="str">
        <f aca="false">IF($B1010="","",COUNTIF($F1010:$AJ1010,"HCL"))</f>
        <v/>
      </c>
      <c r="AU1010" s="34" t="str">
        <f aca="false">IF($B1010="","",COUNTIF($F1010:$AJ1010,"WO"))</f>
        <v/>
      </c>
      <c r="AV1010" s="34" t="str">
        <f aca="false">IF($B1010="","",COUNTIF($F1010:$AJ1010,"PH"))</f>
        <v/>
      </c>
      <c r="AW1010" s="34" t="str">
        <f aca="false">IF($B1010="","",COUNTIF($F1010:$AJ1010,"TR"))</f>
        <v/>
      </c>
      <c r="AX1010" s="35" t="str">
        <f aca="false">IF($B1010="","",AO1010+AS1010/2)</f>
        <v/>
      </c>
      <c r="AY1010" s="35" t="str">
        <f aca="false">IF($B1010="","",AQ1010)</f>
        <v/>
      </c>
      <c r="AZ1010" s="35" t="str">
        <f aca="false">IF($B1010="","",AP1010+AT1010/2)</f>
        <v/>
      </c>
      <c r="BA1010" s="35" t="str">
        <f aca="false">IF($B1010="","",AK1010+AN1010+AM1010/2+AO1010+AP1010+AQ1010+AR1010+AS1010+AT1010+AU1010+AV1010+AW1010)</f>
        <v/>
      </c>
      <c r="BB1010" s="35" t="str">
        <f aca="false">IF($B1010="","",MAX(0,AN1010-Settings!$C$16)*Settings!$C$17)</f>
        <v/>
      </c>
      <c r="BC1010" s="35" t="str">
        <f aca="false">IF($B1010="","",BA1010-BB1010)</f>
        <v/>
      </c>
      <c r="BD1010" s="35" t="str">
        <f aca="false">IF(OR($B1010="",$A1010=""),"",DAY(EOMONTH($A1010,0))-COUNTA($F1010:$AJ1010))</f>
        <v/>
      </c>
    </row>
    <row r="1011" customFormat="false" ht="15" hidden="false" customHeight="false" outlineLevel="0" collapsed="false">
      <c r="A1011" s="32"/>
      <c r="B1011" s="29"/>
      <c r="C1011" s="10" t="str">
        <f aca="false">IF($B1011="","",IFERROR(INDEX(M_name,MATCH($B1011,M_emp,0)),"Code not found"))</f>
        <v/>
      </c>
      <c r="D1011" s="10" t="str">
        <f aca="false">IF($B1011="","",IFERROR(INDEX(M_dept,MATCH($B1011,M_emp,0)),""))</f>
        <v/>
      </c>
      <c r="E1011" s="10" t="str">
        <f aca="false">IF($B1011="","",IFERROR(INDEX(M_loc,MATCH($B1011,M_emp,0)),""))</f>
        <v/>
      </c>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c r="AF1011" s="33"/>
      <c r="AG1011" s="33"/>
      <c r="AH1011" s="33"/>
      <c r="AI1011" s="33"/>
      <c r="AJ1011" s="33"/>
      <c r="AK1011" s="34" t="str">
        <f aca="false">IF($B1011="","",COUNTIF($F1011:$AJ1011,"P"))</f>
        <v/>
      </c>
      <c r="AL1011" s="34" t="str">
        <f aca="false">IF($B1011="","",COUNTIF($F1011:$AJ1011,"A"))</f>
        <v/>
      </c>
      <c r="AM1011" s="34" t="str">
        <f aca="false">IF($B1011="","",COUNTIF($F1011:$AJ1011,"HA"))</f>
        <v/>
      </c>
      <c r="AN1011" s="34" t="str">
        <f aca="false">IF($B1011="","",COUNTIF($F1011:$AJ1011,"L"))</f>
        <v/>
      </c>
      <c r="AO1011" s="34" t="str">
        <f aca="false">IF($B1011="","",COUNTIF($F1011:$AJ1011,"PL"))</f>
        <v/>
      </c>
      <c r="AP1011" s="34" t="str">
        <f aca="false">IF($B1011="","",COUNTIF($F1011:$AJ1011,"CL"))</f>
        <v/>
      </c>
      <c r="AQ1011" s="34" t="str">
        <f aca="false">IF($B1011="","",COUNTIF($F1011:$AJ1011,"SL"))</f>
        <v/>
      </c>
      <c r="AR1011" s="34" t="str">
        <f aca="false">IF($B1011="","",COUNTIF($F1011:$AJ1011,"CO"))</f>
        <v/>
      </c>
      <c r="AS1011" s="34" t="str">
        <f aca="false">IF($B1011="","",COUNTIF($F1011:$AJ1011,"HPL"))</f>
        <v/>
      </c>
      <c r="AT1011" s="34" t="str">
        <f aca="false">IF($B1011="","",COUNTIF($F1011:$AJ1011,"HCL"))</f>
        <v/>
      </c>
      <c r="AU1011" s="34" t="str">
        <f aca="false">IF($B1011="","",COUNTIF($F1011:$AJ1011,"WO"))</f>
        <v/>
      </c>
      <c r="AV1011" s="34" t="str">
        <f aca="false">IF($B1011="","",COUNTIF($F1011:$AJ1011,"PH"))</f>
        <v/>
      </c>
      <c r="AW1011" s="34" t="str">
        <f aca="false">IF($B1011="","",COUNTIF($F1011:$AJ1011,"TR"))</f>
        <v/>
      </c>
      <c r="AX1011" s="35" t="str">
        <f aca="false">IF($B1011="","",AO1011+AS1011/2)</f>
        <v/>
      </c>
      <c r="AY1011" s="35" t="str">
        <f aca="false">IF($B1011="","",AQ1011)</f>
        <v/>
      </c>
      <c r="AZ1011" s="35" t="str">
        <f aca="false">IF($B1011="","",AP1011+AT1011/2)</f>
        <v/>
      </c>
      <c r="BA1011" s="35" t="str">
        <f aca="false">IF($B1011="","",AK1011+AN1011+AM1011/2+AO1011+AP1011+AQ1011+AR1011+AS1011+AT1011+AU1011+AV1011+AW1011)</f>
        <v/>
      </c>
      <c r="BB1011" s="35" t="str">
        <f aca="false">IF($B1011="","",MAX(0,AN1011-Settings!$C$16)*Settings!$C$17)</f>
        <v/>
      </c>
      <c r="BC1011" s="35" t="str">
        <f aca="false">IF($B1011="","",BA1011-BB1011)</f>
        <v/>
      </c>
      <c r="BD1011" s="35" t="str">
        <f aca="false">IF(OR($B1011="",$A1011=""),"",DAY(EOMONTH($A1011,0))-COUNTA($F1011:$AJ1011))</f>
        <v/>
      </c>
    </row>
    <row r="1012" customFormat="false" ht="15" hidden="false" customHeight="false" outlineLevel="0" collapsed="false">
      <c r="A1012" s="32"/>
      <c r="B1012" s="29"/>
      <c r="C1012" s="10" t="str">
        <f aca="false">IF($B1012="","",IFERROR(INDEX(M_name,MATCH($B1012,M_emp,0)),"Code not found"))</f>
        <v/>
      </c>
      <c r="D1012" s="10" t="str">
        <f aca="false">IF($B1012="","",IFERROR(INDEX(M_dept,MATCH($B1012,M_emp,0)),""))</f>
        <v/>
      </c>
      <c r="E1012" s="10" t="str">
        <f aca="false">IF($B1012="","",IFERROR(INDEX(M_loc,MATCH($B1012,M_emp,0)),""))</f>
        <v/>
      </c>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34" t="str">
        <f aca="false">IF($B1012="","",COUNTIF($F1012:$AJ1012,"P"))</f>
        <v/>
      </c>
      <c r="AL1012" s="34" t="str">
        <f aca="false">IF($B1012="","",COUNTIF($F1012:$AJ1012,"A"))</f>
        <v/>
      </c>
      <c r="AM1012" s="34" t="str">
        <f aca="false">IF($B1012="","",COUNTIF($F1012:$AJ1012,"HA"))</f>
        <v/>
      </c>
      <c r="AN1012" s="34" t="str">
        <f aca="false">IF($B1012="","",COUNTIF($F1012:$AJ1012,"L"))</f>
        <v/>
      </c>
      <c r="AO1012" s="34" t="str">
        <f aca="false">IF($B1012="","",COUNTIF($F1012:$AJ1012,"PL"))</f>
        <v/>
      </c>
      <c r="AP1012" s="34" t="str">
        <f aca="false">IF($B1012="","",COUNTIF($F1012:$AJ1012,"CL"))</f>
        <v/>
      </c>
      <c r="AQ1012" s="34" t="str">
        <f aca="false">IF($B1012="","",COUNTIF($F1012:$AJ1012,"SL"))</f>
        <v/>
      </c>
      <c r="AR1012" s="34" t="str">
        <f aca="false">IF($B1012="","",COUNTIF($F1012:$AJ1012,"CO"))</f>
        <v/>
      </c>
      <c r="AS1012" s="34" t="str">
        <f aca="false">IF($B1012="","",COUNTIF($F1012:$AJ1012,"HPL"))</f>
        <v/>
      </c>
      <c r="AT1012" s="34" t="str">
        <f aca="false">IF($B1012="","",COUNTIF($F1012:$AJ1012,"HCL"))</f>
        <v/>
      </c>
      <c r="AU1012" s="34" t="str">
        <f aca="false">IF($B1012="","",COUNTIF($F1012:$AJ1012,"WO"))</f>
        <v/>
      </c>
      <c r="AV1012" s="34" t="str">
        <f aca="false">IF($B1012="","",COUNTIF($F1012:$AJ1012,"PH"))</f>
        <v/>
      </c>
      <c r="AW1012" s="34" t="str">
        <f aca="false">IF($B1012="","",COUNTIF($F1012:$AJ1012,"TR"))</f>
        <v/>
      </c>
      <c r="AX1012" s="35" t="str">
        <f aca="false">IF($B1012="","",AO1012+AS1012/2)</f>
        <v/>
      </c>
      <c r="AY1012" s="35" t="str">
        <f aca="false">IF($B1012="","",AQ1012)</f>
        <v/>
      </c>
      <c r="AZ1012" s="35" t="str">
        <f aca="false">IF($B1012="","",AP1012+AT1012/2)</f>
        <v/>
      </c>
      <c r="BA1012" s="35" t="str">
        <f aca="false">IF($B1012="","",AK1012+AN1012+AM1012/2+AO1012+AP1012+AQ1012+AR1012+AS1012+AT1012+AU1012+AV1012+AW1012)</f>
        <v/>
      </c>
      <c r="BB1012" s="35" t="str">
        <f aca="false">IF($B1012="","",MAX(0,AN1012-Settings!$C$16)*Settings!$C$17)</f>
        <v/>
      </c>
      <c r="BC1012" s="35" t="str">
        <f aca="false">IF($B1012="","",BA1012-BB1012)</f>
        <v/>
      </c>
      <c r="BD1012" s="35" t="str">
        <f aca="false">IF(OR($B1012="",$A1012=""),"",DAY(EOMONTH($A1012,0))-COUNTA($F1012:$AJ1012))</f>
        <v/>
      </c>
    </row>
    <row r="1013" customFormat="false" ht="15" hidden="false" customHeight="false" outlineLevel="0" collapsed="false">
      <c r="A1013" s="32"/>
      <c r="B1013" s="29"/>
      <c r="C1013" s="10" t="str">
        <f aca="false">IF($B1013="","",IFERROR(INDEX(M_name,MATCH($B1013,M_emp,0)),"Code not found"))</f>
        <v/>
      </c>
      <c r="D1013" s="10" t="str">
        <f aca="false">IF($B1013="","",IFERROR(INDEX(M_dept,MATCH($B1013,M_emp,0)),""))</f>
        <v/>
      </c>
      <c r="E1013" s="10" t="str">
        <f aca="false">IF($B1013="","",IFERROR(INDEX(M_loc,MATCH($B1013,M_emp,0)),""))</f>
        <v/>
      </c>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c r="AF1013" s="33"/>
      <c r="AG1013" s="33"/>
      <c r="AH1013" s="33"/>
      <c r="AI1013" s="33"/>
      <c r="AJ1013" s="33"/>
      <c r="AK1013" s="34" t="str">
        <f aca="false">IF($B1013="","",COUNTIF($F1013:$AJ1013,"P"))</f>
        <v/>
      </c>
      <c r="AL1013" s="34" t="str">
        <f aca="false">IF($B1013="","",COUNTIF($F1013:$AJ1013,"A"))</f>
        <v/>
      </c>
      <c r="AM1013" s="34" t="str">
        <f aca="false">IF($B1013="","",COUNTIF($F1013:$AJ1013,"HA"))</f>
        <v/>
      </c>
      <c r="AN1013" s="34" t="str">
        <f aca="false">IF($B1013="","",COUNTIF($F1013:$AJ1013,"L"))</f>
        <v/>
      </c>
      <c r="AO1013" s="34" t="str">
        <f aca="false">IF($B1013="","",COUNTIF($F1013:$AJ1013,"PL"))</f>
        <v/>
      </c>
      <c r="AP1013" s="34" t="str">
        <f aca="false">IF($B1013="","",COUNTIF($F1013:$AJ1013,"CL"))</f>
        <v/>
      </c>
      <c r="AQ1013" s="34" t="str">
        <f aca="false">IF($B1013="","",COUNTIF($F1013:$AJ1013,"SL"))</f>
        <v/>
      </c>
      <c r="AR1013" s="34" t="str">
        <f aca="false">IF($B1013="","",COUNTIF($F1013:$AJ1013,"CO"))</f>
        <v/>
      </c>
      <c r="AS1013" s="34" t="str">
        <f aca="false">IF($B1013="","",COUNTIF($F1013:$AJ1013,"HPL"))</f>
        <v/>
      </c>
      <c r="AT1013" s="34" t="str">
        <f aca="false">IF($B1013="","",COUNTIF($F1013:$AJ1013,"HCL"))</f>
        <v/>
      </c>
      <c r="AU1013" s="34" t="str">
        <f aca="false">IF($B1013="","",COUNTIF($F1013:$AJ1013,"WO"))</f>
        <v/>
      </c>
      <c r="AV1013" s="34" t="str">
        <f aca="false">IF($B1013="","",COUNTIF($F1013:$AJ1013,"PH"))</f>
        <v/>
      </c>
      <c r="AW1013" s="34" t="str">
        <f aca="false">IF($B1013="","",COUNTIF($F1013:$AJ1013,"TR"))</f>
        <v/>
      </c>
      <c r="AX1013" s="35" t="str">
        <f aca="false">IF($B1013="","",AO1013+AS1013/2)</f>
        <v/>
      </c>
      <c r="AY1013" s="35" t="str">
        <f aca="false">IF($B1013="","",AQ1013)</f>
        <v/>
      </c>
      <c r="AZ1013" s="35" t="str">
        <f aca="false">IF($B1013="","",AP1013+AT1013/2)</f>
        <v/>
      </c>
      <c r="BA1013" s="35" t="str">
        <f aca="false">IF($B1013="","",AK1013+AN1013+AM1013/2+AO1013+AP1013+AQ1013+AR1013+AS1013+AT1013+AU1013+AV1013+AW1013)</f>
        <v/>
      </c>
      <c r="BB1013" s="35" t="str">
        <f aca="false">IF($B1013="","",MAX(0,AN1013-Settings!$C$16)*Settings!$C$17)</f>
        <v/>
      </c>
      <c r="BC1013" s="35" t="str">
        <f aca="false">IF($B1013="","",BA1013-BB1013)</f>
        <v/>
      </c>
      <c r="BD1013" s="35" t="str">
        <f aca="false">IF(OR($B1013="",$A1013=""),"",DAY(EOMONTH($A1013,0))-COUNTA($F1013:$AJ1013))</f>
        <v/>
      </c>
    </row>
    <row r="1014" customFormat="false" ht="15" hidden="false" customHeight="false" outlineLevel="0" collapsed="false">
      <c r="A1014" s="32"/>
      <c r="B1014" s="29"/>
      <c r="C1014" s="10" t="str">
        <f aca="false">IF($B1014="","",IFERROR(INDEX(M_name,MATCH($B1014,M_emp,0)),"Code not found"))</f>
        <v/>
      </c>
      <c r="D1014" s="10" t="str">
        <f aca="false">IF($B1014="","",IFERROR(INDEX(M_dept,MATCH($B1014,M_emp,0)),""))</f>
        <v/>
      </c>
      <c r="E1014" s="10" t="str">
        <f aca="false">IF($B1014="","",IFERROR(INDEX(M_loc,MATCH($B1014,M_emp,0)),""))</f>
        <v/>
      </c>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c r="AG1014" s="33"/>
      <c r="AH1014" s="33"/>
      <c r="AI1014" s="33"/>
      <c r="AJ1014" s="33"/>
      <c r="AK1014" s="34" t="str">
        <f aca="false">IF($B1014="","",COUNTIF($F1014:$AJ1014,"P"))</f>
        <v/>
      </c>
      <c r="AL1014" s="34" t="str">
        <f aca="false">IF($B1014="","",COUNTIF($F1014:$AJ1014,"A"))</f>
        <v/>
      </c>
      <c r="AM1014" s="34" t="str">
        <f aca="false">IF($B1014="","",COUNTIF($F1014:$AJ1014,"HA"))</f>
        <v/>
      </c>
      <c r="AN1014" s="34" t="str">
        <f aca="false">IF($B1014="","",COUNTIF($F1014:$AJ1014,"L"))</f>
        <v/>
      </c>
      <c r="AO1014" s="34" t="str">
        <f aca="false">IF($B1014="","",COUNTIF($F1014:$AJ1014,"PL"))</f>
        <v/>
      </c>
      <c r="AP1014" s="34" t="str">
        <f aca="false">IF($B1014="","",COUNTIF($F1014:$AJ1014,"CL"))</f>
        <v/>
      </c>
      <c r="AQ1014" s="34" t="str">
        <f aca="false">IF($B1014="","",COUNTIF($F1014:$AJ1014,"SL"))</f>
        <v/>
      </c>
      <c r="AR1014" s="34" t="str">
        <f aca="false">IF($B1014="","",COUNTIF($F1014:$AJ1014,"CO"))</f>
        <v/>
      </c>
      <c r="AS1014" s="34" t="str">
        <f aca="false">IF($B1014="","",COUNTIF($F1014:$AJ1014,"HPL"))</f>
        <v/>
      </c>
      <c r="AT1014" s="34" t="str">
        <f aca="false">IF($B1014="","",COUNTIF($F1014:$AJ1014,"HCL"))</f>
        <v/>
      </c>
      <c r="AU1014" s="34" t="str">
        <f aca="false">IF($B1014="","",COUNTIF($F1014:$AJ1014,"WO"))</f>
        <v/>
      </c>
      <c r="AV1014" s="34" t="str">
        <f aca="false">IF($B1014="","",COUNTIF($F1014:$AJ1014,"PH"))</f>
        <v/>
      </c>
      <c r="AW1014" s="34" t="str">
        <f aca="false">IF($B1014="","",COUNTIF($F1014:$AJ1014,"TR"))</f>
        <v/>
      </c>
      <c r="AX1014" s="35" t="str">
        <f aca="false">IF($B1014="","",AO1014+AS1014/2)</f>
        <v/>
      </c>
      <c r="AY1014" s="35" t="str">
        <f aca="false">IF($B1014="","",AQ1014)</f>
        <v/>
      </c>
      <c r="AZ1014" s="35" t="str">
        <f aca="false">IF($B1014="","",AP1014+AT1014/2)</f>
        <v/>
      </c>
      <c r="BA1014" s="35" t="str">
        <f aca="false">IF($B1014="","",AK1014+AN1014+AM1014/2+AO1014+AP1014+AQ1014+AR1014+AS1014+AT1014+AU1014+AV1014+AW1014)</f>
        <v/>
      </c>
      <c r="BB1014" s="35" t="str">
        <f aca="false">IF($B1014="","",MAX(0,AN1014-Settings!$C$16)*Settings!$C$17)</f>
        <v/>
      </c>
      <c r="BC1014" s="35" t="str">
        <f aca="false">IF($B1014="","",BA1014-BB1014)</f>
        <v/>
      </c>
      <c r="BD1014" s="35" t="str">
        <f aca="false">IF(OR($B1014="",$A1014=""),"",DAY(EOMONTH($A1014,0))-COUNTA($F1014:$AJ1014))</f>
        <v/>
      </c>
    </row>
    <row r="1015" customFormat="false" ht="15" hidden="false" customHeight="false" outlineLevel="0" collapsed="false">
      <c r="A1015" s="32"/>
      <c r="B1015" s="29"/>
      <c r="C1015" s="10" t="str">
        <f aca="false">IF($B1015="","",IFERROR(INDEX(M_name,MATCH($B1015,M_emp,0)),"Code not found"))</f>
        <v/>
      </c>
      <c r="D1015" s="10" t="str">
        <f aca="false">IF($B1015="","",IFERROR(INDEX(M_dept,MATCH($B1015,M_emp,0)),""))</f>
        <v/>
      </c>
      <c r="E1015" s="10" t="str">
        <f aca="false">IF($B1015="","",IFERROR(INDEX(M_loc,MATCH($B1015,M_emp,0)),""))</f>
        <v/>
      </c>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c r="AF1015" s="33"/>
      <c r="AG1015" s="33"/>
      <c r="AH1015" s="33"/>
      <c r="AI1015" s="33"/>
      <c r="AJ1015" s="33"/>
      <c r="AK1015" s="34" t="str">
        <f aca="false">IF($B1015="","",COUNTIF($F1015:$AJ1015,"P"))</f>
        <v/>
      </c>
      <c r="AL1015" s="34" t="str">
        <f aca="false">IF($B1015="","",COUNTIF($F1015:$AJ1015,"A"))</f>
        <v/>
      </c>
      <c r="AM1015" s="34" t="str">
        <f aca="false">IF($B1015="","",COUNTIF($F1015:$AJ1015,"HA"))</f>
        <v/>
      </c>
      <c r="AN1015" s="34" t="str">
        <f aca="false">IF($B1015="","",COUNTIF($F1015:$AJ1015,"L"))</f>
        <v/>
      </c>
      <c r="AO1015" s="34" t="str">
        <f aca="false">IF($B1015="","",COUNTIF($F1015:$AJ1015,"PL"))</f>
        <v/>
      </c>
      <c r="AP1015" s="34" t="str">
        <f aca="false">IF($B1015="","",COUNTIF($F1015:$AJ1015,"CL"))</f>
        <v/>
      </c>
      <c r="AQ1015" s="34" t="str">
        <f aca="false">IF($B1015="","",COUNTIF($F1015:$AJ1015,"SL"))</f>
        <v/>
      </c>
      <c r="AR1015" s="34" t="str">
        <f aca="false">IF($B1015="","",COUNTIF($F1015:$AJ1015,"CO"))</f>
        <v/>
      </c>
      <c r="AS1015" s="34" t="str">
        <f aca="false">IF($B1015="","",COUNTIF($F1015:$AJ1015,"HPL"))</f>
        <v/>
      </c>
      <c r="AT1015" s="34" t="str">
        <f aca="false">IF($B1015="","",COUNTIF($F1015:$AJ1015,"HCL"))</f>
        <v/>
      </c>
      <c r="AU1015" s="34" t="str">
        <f aca="false">IF($B1015="","",COUNTIF($F1015:$AJ1015,"WO"))</f>
        <v/>
      </c>
      <c r="AV1015" s="34" t="str">
        <f aca="false">IF($B1015="","",COUNTIF($F1015:$AJ1015,"PH"))</f>
        <v/>
      </c>
      <c r="AW1015" s="34" t="str">
        <f aca="false">IF($B1015="","",COUNTIF($F1015:$AJ1015,"TR"))</f>
        <v/>
      </c>
      <c r="AX1015" s="35" t="str">
        <f aca="false">IF($B1015="","",AO1015+AS1015/2)</f>
        <v/>
      </c>
      <c r="AY1015" s="35" t="str">
        <f aca="false">IF($B1015="","",AQ1015)</f>
        <v/>
      </c>
      <c r="AZ1015" s="35" t="str">
        <f aca="false">IF($B1015="","",AP1015+AT1015/2)</f>
        <v/>
      </c>
      <c r="BA1015" s="35" t="str">
        <f aca="false">IF($B1015="","",AK1015+AN1015+AM1015/2+AO1015+AP1015+AQ1015+AR1015+AS1015+AT1015+AU1015+AV1015+AW1015)</f>
        <v/>
      </c>
      <c r="BB1015" s="35" t="str">
        <f aca="false">IF($B1015="","",MAX(0,AN1015-Settings!$C$16)*Settings!$C$17)</f>
        <v/>
      </c>
      <c r="BC1015" s="35" t="str">
        <f aca="false">IF($B1015="","",BA1015-BB1015)</f>
        <v/>
      </c>
      <c r="BD1015" s="35" t="str">
        <f aca="false">IF(OR($B1015="",$A1015=""),"",DAY(EOMONTH($A1015,0))-COUNTA($F1015:$AJ1015))</f>
        <v/>
      </c>
    </row>
    <row r="1016" customFormat="false" ht="15" hidden="false" customHeight="false" outlineLevel="0" collapsed="false">
      <c r="A1016" s="32"/>
      <c r="B1016" s="29"/>
      <c r="C1016" s="10" t="str">
        <f aca="false">IF($B1016="","",IFERROR(INDEX(M_name,MATCH($B1016,M_emp,0)),"Code not found"))</f>
        <v/>
      </c>
      <c r="D1016" s="10" t="str">
        <f aca="false">IF($B1016="","",IFERROR(INDEX(M_dept,MATCH($B1016,M_emp,0)),""))</f>
        <v/>
      </c>
      <c r="E1016" s="10" t="str">
        <f aca="false">IF($B1016="","",IFERROR(INDEX(M_loc,MATCH($B1016,M_emp,0)),""))</f>
        <v/>
      </c>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c r="AG1016" s="33"/>
      <c r="AH1016" s="33"/>
      <c r="AI1016" s="33"/>
      <c r="AJ1016" s="33"/>
      <c r="AK1016" s="34" t="str">
        <f aca="false">IF($B1016="","",COUNTIF($F1016:$AJ1016,"P"))</f>
        <v/>
      </c>
      <c r="AL1016" s="34" t="str">
        <f aca="false">IF($B1016="","",COUNTIF($F1016:$AJ1016,"A"))</f>
        <v/>
      </c>
      <c r="AM1016" s="34" t="str">
        <f aca="false">IF($B1016="","",COUNTIF($F1016:$AJ1016,"HA"))</f>
        <v/>
      </c>
      <c r="AN1016" s="34" t="str">
        <f aca="false">IF($B1016="","",COUNTIF($F1016:$AJ1016,"L"))</f>
        <v/>
      </c>
      <c r="AO1016" s="34" t="str">
        <f aca="false">IF($B1016="","",COUNTIF($F1016:$AJ1016,"PL"))</f>
        <v/>
      </c>
      <c r="AP1016" s="34" t="str">
        <f aca="false">IF($B1016="","",COUNTIF($F1016:$AJ1016,"CL"))</f>
        <v/>
      </c>
      <c r="AQ1016" s="34" t="str">
        <f aca="false">IF($B1016="","",COUNTIF($F1016:$AJ1016,"SL"))</f>
        <v/>
      </c>
      <c r="AR1016" s="34" t="str">
        <f aca="false">IF($B1016="","",COUNTIF($F1016:$AJ1016,"CO"))</f>
        <v/>
      </c>
      <c r="AS1016" s="34" t="str">
        <f aca="false">IF($B1016="","",COUNTIF($F1016:$AJ1016,"HPL"))</f>
        <v/>
      </c>
      <c r="AT1016" s="34" t="str">
        <f aca="false">IF($B1016="","",COUNTIF($F1016:$AJ1016,"HCL"))</f>
        <v/>
      </c>
      <c r="AU1016" s="34" t="str">
        <f aca="false">IF($B1016="","",COUNTIF($F1016:$AJ1016,"WO"))</f>
        <v/>
      </c>
      <c r="AV1016" s="34" t="str">
        <f aca="false">IF($B1016="","",COUNTIF($F1016:$AJ1016,"PH"))</f>
        <v/>
      </c>
      <c r="AW1016" s="34" t="str">
        <f aca="false">IF($B1016="","",COUNTIF($F1016:$AJ1016,"TR"))</f>
        <v/>
      </c>
      <c r="AX1016" s="35" t="str">
        <f aca="false">IF($B1016="","",AO1016+AS1016/2)</f>
        <v/>
      </c>
      <c r="AY1016" s="35" t="str">
        <f aca="false">IF($B1016="","",AQ1016)</f>
        <v/>
      </c>
      <c r="AZ1016" s="35" t="str">
        <f aca="false">IF($B1016="","",AP1016+AT1016/2)</f>
        <v/>
      </c>
      <c r="BA1016" s="35" t="str">
        <f aca="false">IF($B1016="","",AK1016+AN1016+AM1016/2+AO1016+AP1016+AQ1016+AR1016+AS1016+AT1016+AU1016+AV1016+AW1016)</f>
        <v/>
      </c>
      <c r="BB1016" s="35" t="str">
        <f aca="false">IF($B1016="","",MAX(0,AN1016-Settings!$C$16)*Settings!$C$17)</f>
        <v/>
      </c>
      <c r="BC1016" s="35" t="str">
        <f aca="false">IF($B1016="","",BA1016-BB1016)</f>
        <v/>
      </c>
      <c r="BD1016" s="35" t="str">
        <f aca="false">IF(OR($B1016="",$A1016=""),"",DAY(EOMONTH($A1016,0))-COUNTA($F1016:$AJ1016))</f>
        <v/>
      </c>
    </row>
    <row r="1017" customFormat="false" ht="15" hidden="false" customHeight="false" outlineLevel="0" collapsed="false">
      <c r="A1017" s="32"/>
      <c r="B1017" s="29"/>
      <c r="C1017" s="10" t="str">
        <f aca="false">IF($B1017="","",IFERROR(INDEX(M_name,MATCH($B1017,M_emp,0)),"Code not found"))</f>
        <v/>
      </c>
      <c r="D1017" s="10" t="str">
        <f aca="false">IF($B1017="","",IFERROR(INDEX(M_dept,MATCH($B1017,M_emp,0)),""))</f>
        <v/>
      </c>
      <c r="E1017" s="10" t="str">
        <f aca="false">IF($B1017="","",IFERROR(INDEX(M_loc,MATCH($B1017,M_emp,0)),""))</f>
        <v/>
      </c>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c r="AF1017" s="33"/>
      <c r="AG1017" s="33"/>
      <c r="AH1017" s="33"/>
      <c r="AI1017" s="33"/>
      <c r="AJ1017" s="33"/>
      <c r="AK1017" s="34" t="str">
        <f aca="false">IF($B1017="","",COUNTIF($F1017:$AJ1017,"P"))</f>
        <v/>
      </c>
      <c r="AL1017" s="34" t="str">
        <f aca="false">IF($B1017="","",COUNTIF($F1017:$AJ1017,"A"))</f>
        <v/>
      </c>
      <c r="AM1017" s="34" t="str">
        <f aca="false">IF($B1017="","",COUNTIF($F1017:$AJ1017,"HA"))</f>
        <v/>
      </c>
      <c r="AN1017" s="34" t="str">
        <f aca="false">IF($B1017="","",COUNTIF($F1017:$AJ1017,"L"))</f>
        <v/>
      </c>
      <c r="AO1017" s="34" t="str">
        <f aca="false">IF($B1017="","",COUNTIF($F1017:$AJ1017,"PL"))</f>
        <v/>
      </c>
      <c r="AP1017" s="34" t="str">
        <f aca="false">IF($B1017="","",COUNTIF($F1017:$AJ1017,"CL"))</f>
        <v/>
      </c>
      <c r="AQ1017" s="34" t="str">
        <f aca="false">IF($B1017="","",COUNTIF($F1017:$AJ1017,"SL"))</f>
        <v/>
      </c>
      <c r="AR1017" s="34" t="str">
        <f aca="false">IF($B1017="","",COUNTIF($F1017:$AJ1017,"CO"))</f>
        <v/>
      </c>
      <c r="AS1017" s="34" t="str">
        <f aca="false">IF($B1017="","",COUNTIF($F1017:$AJ1017,"HPL"))</f>
        <v/>
      </c>
      <c r="AT1017" s="34" t="str">
        <f aca="false">IF($B1017="","",COUNTIF($F1017:$AJ1017,"HCL"))</f>
        <v/>
      </c>
      <c r="AU1017" s="34" t="str">
        <f aca="false">IF($B1017="","",COUNTIF($F1017:$AJ1017,"WO"))</f>
        <v/>
      </c>
      <c r="AV1017" s="34" t="str">
        <f aca="false">IF($B1017="","",COUNTIF($F1017:$AJ1017,"PH"))</f>
        <v/>
      </c>
      <c r="AW1017" s="34" t="str">
        <f aca="false">IF($B1017="","",COUNTIF($F1017:$AJ1017,"TR"))</f>
        <v/>
      </c>
      <c r="AX1017" s="35" t="str">
        <f aca="false">IF($B1017="","",AO1017+AS1017/2)</f>
        <v/>
      </c>
      <c r="AY1017" s="35" t="str">
        <f aca="false">IF($B1017="","",AQ1017)</f>
        <v/>
      </c>
      <c r="AZ1017" s="35" t="str">
        <f aca="false">IF($B1017="","",AP1017+AT1017/2)</f>
        <v/>
      </c>
      <c r="BA1017" s="35" t="str">
        <f aca="false">IF($B1017="","",AK1017+AN1017+AM1017/2+AO1017+AP1017+AQ1017+AR1017+AS1017+AT1017+AU1017+AV1017+AW1017)</f>
        <v/>
      </c>
      <c r="BB1017" s="35" t="str">
        <f aca="false">IF($B1017="","",MAX(0,AN1017-Settings!$C$16)*Settings!$C$17)</f>
        <v/>
      </c>
      <c r="BC1017" s="35" t="str">
        <f aca="false">IF($B1017="","",BA1017-BB1017)</f>
        <v/>
      </c>
      <c r="BD1017" s="35" t="str">
        <f aca="false">IF(OR($B1017="",$A1017=""),"",DAY(EOMONTH($A1017,0))-COUNTA($F1017:$AJ1017))</f>
        <v/>
      </c>
    </row>
    <row r="1018" customFormat="false" ht="15" hidden="false" customHeight="false" outlineLevel="0" collapsed="false">
      <c r="A1018" s="32"/>
      <c r="B1018" s="29"/>
      <c r="C1018" s="10" t="str">
        <f aca="false">IF($B1018="","",IFERROR(INDEX(M_name,MATCH($B1018,M_emp,0)),"Code not found"))</f>
        <v/>
      </c>
      <c r="D1018" s="10" t="str">
        <f aca="false">IF($B1018="","",IFERROR(INDEX(M_dept,MATCH($B1018,M_emp,0)),""))</f>
        <v/>
      </c>
      <c r="E1018" s="10" t="str">
        <f aca="false">IF($B1018="","",IFERROR(INDEX(M_loc,MATCH($B1018,M_emp,0)),""))</f>
        <v/>
      </c>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c r="AG1018" s="33"/>
      <c r="AH1018" s="33"/>
      <c r="AI1018" s="33"/>
      <c r="AJ1018" s="33"/>
      <c r="AK1018" s="34" t="str">
        <f aca="false">IF($B1018="","",COUNTIF($F1018:$AJ1018,"P"))</f>
        <v/>
      </c>
      <c r="AL1018" s="34" t="str">
        <f aca="false">IF($B1018="","",COUNTIF($F1018:$AJ1018,"A"))</f>
        <v/>
      </c>
      <c r="AM1018" s="34" t="str">
        <f aca="false">IF($B1018="","",COUNTIF($F1018:$AJ1018,"HA"))</f>
        <v/>
      </c>
      <c r="AN1018" s="34" t="str">
        <f aca="false">IF($B1018="","",COUNTIF($F1018:$AJ1018,"L"))</f>
        <v/>
      </c>
      <c r="AO1018" s="34" t="str">
        <f aca="false">IF($B1018="","",COUNTIF($F1018:$AJ1018,"PL"))</f>
        <v/>
      </c>
      <c r="AP1018" s="34" t="str">
        <f aca="false">IF($B1018="","",COUNTIF($F1018:$AJ1018,"CL"))</f>
        <v/>
      </c>
      <c r="AQ1018" s="34" t="str">
        <f aca="false">IF($B1018="","",COUNTIF($F1018:$AJ1018,"SL"))</f>
        <v/>
      </c>
      <c r="AR1018" s="34" t="str">
        <f aca="false">IF($B1018="","",COUNTIF($F1018:$AJ1018,"CO"))</f>
        <v/>
      </c>
      <c r="AS1018" s="34" t="str">
        <f aca="false">IF($B1018="","",COUNTIF($F1018:$AJ1018,"HPL"))</f>
        <v/>
      </c>
      <c r="AT1018" s="34" t="str">
        <f aca="false">IF($B1018="","",COUNTIF($F1018:$AJ1018,"HCL"))</f>
        <v/>
      </c>
      <c r="AU1018" s="34" t="str">
        <f aca="false">IF($B1018="","",COUNTIF($F1018:$AJ1018,"WO"))</f>
        <v/>
      </c>
      <c r="AV1018" s="34" t="str">
        <f aca="false">IF($B1018="","",COUNTIF($F1018:$AJ1018,"PH"))</f>
        <v/>
      </c>
      <c r="AW1018" s="34" t="str">
        <f aca="false">IF($B1018="","",COUNTIF($F1018:$AJ1018,"TR"))</f>
        <v/>
      </c>
      <c r="AX1018" s="35" t="str">
        <f aca="false">IF($B1018="","",AO1018+AS1018/2)</f>
        <v/>
      </c>
      <c r="AY1018" s="35" t="str">
        <f aca="false">IF($B1018="","",AQ1018)</f>
        <v/>
      </c>
      <c r="AZ1018" s="35" t="str">
        <f aca="false">IF($B1018="","",AP1018+AT1018/2)</f>
        <v/>
      </c>
      <c r="BA1018" s="35" t="str">
        <f aca="false">IF($B1018="","",AK1018+AN1018+AM1018/2+AO1018+AP1018+AQ1018+AR1018+AS1018+AT1018+AU1018+AV1018+AW1018)</f>
        <v/>
      </c>
      <c r="BB1018" s="35" t="str">
        <f aca="false">IF($B1018="","",MAX(0,AN1018-Settings!$C$16)*Settings!$C$17)</f>
        <v/>
      </c>
      <c r="BC1018" s="35" t="str">
        <f aca="false">IF($B1018="","",BA1018-BB1018)</f>
        <v/>
      </c>
      <c r="BD1018" s="35" t="str">
        <f aca="false">IF(OR($B1018="",$A1018=""),"",DAY(EOMONTH($A1018,0))-COUNTA($F1018:$AJ1018))</f>
        <v/>
      </c>
    </row>
    <row r="1019" customFormat="false" ht="15" hidden="false" customHeight="false" outlineLevel="0" collapsed="false">
      <c r="A1019" s="32"/>
      <c r="B1019" s="29"/>
      <c r="C1019" s="10" t="str">
        <f aca="false">IF($B1019="","",IFERROR(INDEX(M_name,MATCH($B1019,M_emp,0)),"Code not found"))</f>
        <v/>
      </c>
      <c r="D1019" s="10" t="str">
        <f aca="false">IF($B1019="","",IFERROR(INDEX(M_dept,MATCH($B1019,M_emp,0)),""))</f>
        <v/>
      </c>
      <c r="E1019" s="10" t="str">
        <f aca="false">IF($B1019="","",IFERROR(INDEX(M_loc,MATCH($B1019,M_emp,0)),""))</f>
        <v/>
      </c>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c r="AF1019" s="33"/>
      <c r="AG1019" s="33"/>
      <c r="AH1019" s="33"/>
      <c r="AI1019" s="33"/>
      <c r="AJ1019" s="33"/>
      <c r="AK1019" s="34" t="str">
        <f aca="false">IF($B1019="","",COUNTIF($F1019:$AJ1019,"P"))</f>
        <v/>
      </c>
      <c r="AL1019" s="34" t="str">
        <f aca="false">IF($B1019="","",COUNTIF($F1019:$AJ1019,"A"))</f>
        <v/>
      </c>
      <c r="AM1019" s="34" t="str">
        <f aca="false">IF($B1019="","",COUNTIF($F1019:$AJ1019,"HA"))</f>
        <v/>
      </c>
      <c r="AN1019" s="34" t="str">
        <f aca="false">IF($B1019="","",COUNTIF($F1019:$AJ1019,"L"))</f>
        <v/>
      </c>
      <c r="AO1019" s="34" t="str">
        <f aca="false">IF($B1019="","",COUNTIF($F1019:$AJ1019,"PL"))</f>
        <v/>
      </c>
      <c r="AP1019" s="34" t="str">
        <f aca="false">IF($B1019="","",COUNTIF($F1019:$AJ1019,"CL"))</f>
        <v/>
      </c>
      <c r="AQ1019" s="34" t="str">
        <f aca="false">IF($B1019="","",COUNTIF($F1019:$AJ1019,"SL"))</f>
        <v/>
      </c>
      <c r="AR1019" s="34" t="str">
        <f aca="false">IF($B1019="","",COUNTIF($F1019:$AJ1019,"CO"))</f>
        <v/>
      </c>
      <c r="AS1019" s="34" t="str">
        <f aca="false">IF($B1019="","",COUNTIF($F1019:$AJ1019,"HPL"))</f>
        <v/>
      </c>
      <c r="AT1019" s="34" t="str">
        <f aca="false">IF($B1019="","",COUNTIF($F1019:$AJ1019,"HCL"))</f>
        <v/>
      </c>
      <c r="AU1019" s="34" t="str">
        <f aca="false">IF($B1019="","",COUNTIF($F1019:$AJ1019,"WO"))</f>
        <v/>
      </c>
      <c r="AV1019" s="34" t="str">
        <f aca="false">IF($B1019="","",COUNTIF($F1019:$AJ1019,"PH"))</f>
        <v/>
      </c>
      <c r="AW1019" s="34" t="str">
        <f aca="false">IF($B1019="","",COUNTIF($F1019:$AJ1019,"TR"))</f>
        <v/>
      </c>
      <c r="AX1019" s="35" t="str">
        <f aca="false">IF($B1019="","",AO1019+AS1019/2)</f>
        <v/>
      </c>
      <c r="AY1019" s="35" t="str">
        <f aca="false">IF($B1019="","",AQ1019)</f>
        <v/>
      </c>
      <c r="AZ1019" s="35" t="str">
        <f aca="false">IF($B1019="","",AP1019+AT1019/2)</f>
        <v/>
      </c>
      <c r="BA1019" s="35" t="str">
        <f aca="false">IF($B1019="","",AK1019+AN1019+AM1019/2+AO1019+AP1019+AQ1019+AR1019+AS1019+AT1019+AU1019+AV1019+AW1019)</f>
        <v/>
      </c>
      <c r="BB1019" s="35" t="str">
        <f aca="false">IF($B1019="","",MAX(0,AN1019-Settings!$C$16)*Settings!$C$17)</f>
        <v/>
      </c>
      <c r="BC1019" s="35" t="str">
        <f aca="false">IF($B1019="","",BA1019-BB1019)</f>
        <v/>
      </c>
      <c r="BD1019" s="35" t="str">
        <f aca="false">IF(OR($B1019="",$A1019=""),"",DAY(EOMONTH($A1019,0))-COUNTA($F1019:$AJ1019))</f>
        <v/>
      </c>
    </row>
    <row r="1020" customFormat="false" ht="15" hidden="false" customHeight="false" outlineLevel="0" collapsed="false">
      <c r="A1020" s="32"/>
      <c r="B1020" s="29"/>
      <c r="C1020" s="10" t="str">
        <f aca="false">IF($B1020="","",IFERROR(INDEX(M_name,MATCH($B1020,M_emp,0)),"Code not found"))</f>
        <v/>
      </c>
      <c r="D1020" s="10" t="str">
        <f aca="false">IF($B1020="","",IFERROR(INDEX(M_dept,MATCH($B1020,M_emp,0)),""))</f>
        <v/>
      </c>
      <c r="E1020" s="10" t="str">
        <f aca="false">IF($B1020="","",IFERROR(INDEX(M_loc,MATCH($B1020,M_emp,0)),""))</f>
        <v/>
      </c>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34" t="str">
        <f aca="false">IF($B1020="","",COUNTIF($F1020:$AJ1020,"P"))</f>
        <v/>
      </c>
      <c r="AL1020" s="34" t="str">
        <f aca="false">IF($B1020="","",COUNTIF($F1020:$AJ1020,"A"))</f>
        <v/>
      </c>
      <c r="AM1020" s="34" t="str">
        <f aca="false">IF($B1020="","",COUNTIF($F1020:$AJ1020,"HA"))</f>
        <v/>
      </c>
      <c r="AN1020" s="34" t="str">
        <f aca="false">IF($B1020="","",COUNTIF($F1020:$AJ1020,"L"))</f>
        <v/>
      </c>
      <c r="AO1020" s="34" t="str">
        <f aca="false">IF($B1020="","",COUNTIF($F1020:$AJ1020,"PL"))</f>
        <v/>
      </c>
      <c r="AP1020" s="34" t="str">
        <f aca="false">IF($B1020="","",COUNTIF($F1020:$AJ1020,"CL"))</f>
        <v/>
      </c>
      <c r="AQ1020" s="34" t="str">
        <f aca="false">IF($B1020="","",COUNTIF($F1020:$AJ1020,"SL"))</f>
        <v/>
      </c>
      <c r="AR1020" s="34" t="str">
        <f aca="false">IF($B1020="","",COUNTIF($F1020:$AJ1020,"CO"))</f>
        <v/>
      </c>
      <c r="AS1020" s="34" t="str">
        <f aca="false">IF($B1020="","",COUNTIF($F1020:$AJ1020,"HPL"))</f>
        <v/>
      </c>
      <c r="AT1020" s="34" t="str">
        <f aca="false">IF($B1020="","",COUNTIF($F1020:$AJ1020,"HCL"))</f>
        <v/>
      </c>
      <c r="AU1020" s="34" t="str">
        <f aca="false">IF($B1020="","",COUNTIF($F1020:$AJ1020,"WO"))</f>
        <v/>
      </c>
      <c r="AV1020" s="34" t="str">
        <f aca="false">IF($B1020="","",COUNTIF($F1020:$AJ1020,"PH"))</f>
        <v/>
      </c>
      <c r="AW1020" s="34" t="str">
        <f aca="false">IF($B1020="","",COUNTIF($F1020:$AJ1020,"TR"))</f>
        <v/>
      </c>
      <c r="AX1020" s="35" t="str">
        <f aca="false">IF($B1020="","",AO1020+AS1020/2)</f>
        <v/>
      </c>
      <c r="AY1020" s="35" t="str">
        <f aca="false">IF($B1020="","",AQ1020)</f>
        <v/>
      </c>
      <c r="AZ1020" s="35" t="str">
        <f aca="false">IF($B1020="","",AP1020+AT1020/2)</f>
        <v/>
      </c>
      <c r="BA1020" s="35" t="str">
        <f aca="false">IF($B1020="","",AK1020+AN1020+AM1020/2+AO1020+AP1020+AQ1020+AR1020+AS1020+AT1020+AU1020+AV1020+AW1020)</f>
        <v/>
      </c>
      <c r="BB1020" s="35" t="str">
        <f aca="false">IF($B1020="","",MAX(0,AN1020-Settings!$C$16)*Settings!$C$17)</f>
        <v/>
      </c>
      <c r="BC1020" s="35" t="str">
        <f aca="false">IF($B1020="","",BA1020-BB1020)</f>
        <v/>
      </c>
      <c r="BD1020" s="35" t="str">
        <f aca="false">IF(OR($B1020="",$A1020=""),"",DAY(EOMONTH($A1020,0))-COUNTA($F1020:$AJ1020))</f>
        <v/>
      </c>
    </row>
    <row r="1021" customFormat="false" ht="15" hidden="false" customHeight="false" outlineLevel="0" collapsed="false">
      <c r="A1021" s="32"/>
      <c r="B1021" s="29"/>
      <c r="C1021" s="10" t="str">
        <f aca="false">IF($B1021="","",IFERROR(INDEX(M_name,MATCH($B1021,M_emp,0)),"Code not found"))</f>
        <v/>
      </c>
      <c r="D1021" s="10" t="str">
        <f aca="false">IF($B1021="","",IFERROR(INDEX(M_dept,MATCH($B1021,M_emp,0)),""))</f>
        <v/>
      </c>
      <c r="E1021" s="10" t="str">
        <f aca="false">IF($B1021="","",IFERROR(INDEX(M_loc,MATCH($B1021,M_emp,0)),""))</f>
        <v/>
      </c>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c r="AG1021" s="33"/>
      <c r="AH1021" s="33"/>
      <c r="AI1021" s="33"/>
      <c r="AJ1021" s="33"/>
      <c r="AK1021" s="34" t="str">
        <f aca="false">IF($B1021="","",COUNTIF($F1021:$AJ1021,"P"))</f>
        <v/>
      </c>
      <c r="AL1021" s="34" t="str">
        <f aca="false">IF($B1021="","",COUNTIF($F1021:$AJ1021,"A"))</f>
        <v/>
      </c>
      <c r="AM1021" s="34" t="str">
        <f aca="false">IF($B1021="","",COUNTIF($F1021:$AJ1021,"HA"))</f>
        <v/>
      </c>
      <c r="AN1021" s="34" t="str">
        <f aca="false">IF($B1021="","",COUNTIF($F1021:$AJ1021,"L"))</f>
        <v/>
      </c>
      <c r="AO1021" s="34" t="str">
        <f aca="false">IF($B1021="","",COUNTIF($F1021:$AJ1021,"PL"))</f>
        <v/>
      </c>
      <c r="AP1021" s="34" t="str">
        <f aca="false">IF($B1021="","",COUNTIF($F1021:$AJ1021,"CL"))</f>
        <v/>
      </c>
      <c r="AQ1021" s="34" t="str">
        <f aca="false">IF($B1021="","",COUNTIF($F1021:$AJ1021,"SL"))</f>
        <v/>
      </c>
      <c r="AR1021" s="34" t="str">
        <f aca="false">IF($B1021="","",COUNTIF($F1021:$AJ1021,"CO"))</f>
        <v/>
      </c>
      <c r="AS1021" s="34" t="str">
        <f aca="false">IF($B1021="","",COUNTIF($F1021:$AJ1021,"HPL"))</f>
        <v/>
      </c>
      <c r="AT1021" s="34" t="str">
        <f aca="false">IF($B1021="","",COUNTIF($F1021:$AJ1021,"HCL"))</f>
        <v/>
      </c>
      <c r="AU1021" s="34" t="str">
        <f aca="false">IF($B1021="","",COUNTIF($F1021:$AJ1021,"WO"))</f>
        <v/>
      </c>
      <c r="AV1021" s="34" t="str">
        <f aca="false">IF($B1021="","",COUNTIF($F1021:$AJ1021,"PH"))</f>
        <v/>
      </c>
      <c r="AW1021" s="34" t="str">
        <f aca="false">IF($B1021="","",COUNTIF($F1021:$AJ1021,"TR"))</f>
        <v/>
      </c>
      <c r="AX1021" s="35" t="str">
        <f aca="false">IF($B1021="","",AO1021+AS1021/2)</f>
        <v/>
      </c>
      <c r="AY1021" s="35" t="str">
        <f aca="false">IF($B1021="","",AQ1021)</f>
        <v/>
      </c>
      <c r="AZ1021" s="35" t="str">
        <f aca="false">IF($B1021="","",AP1021+AT1021/2)</f>
        <v/>
      </c>
      <c r="BA1021" s="35" t="str">
        <f aca="false">IF($B1021="","",AK1021+AN1021+AM1021/2+AO1021+AP1021+AQ1021+AR1021+AS1021+AT1021+AU1021+AV1021+AW1021)</f>
        <v/>
      </c>
      <c r="BB1021" s="35" t="str">
        <f aca="false">IF($B1021="","",MAX(0,AN1021-Settings!$C$16)*Settings!$C$17)</f>
        <v/>
      </c>
      <c r="BC1021" s="35" t="str">
        <f aca="false">IF($B1021="","",BA1021-BB1021)</f>
        <v/>
      </c>
      <c r="BD1021" s="35" t="str">
        <f aca="false">IF(OR($B1021="",$A1021=""),"",DAY(EOMONTH($A1021,0))-COUNTA($F1021:$AJ1021))</f>
        <v/>
      </c>
    </row>
    <row r="1022" customFormat="false" ht="15" hidden="false" customHeight="false" outlineLevel="0" collapsed="false">
      <c r="A1022" s="32"/>
      <c r="B1022" s="29"/>
      <c r="C1022" s="10" t="str">
        <f aca="false">IF($B1022="","",IFERROR(INDEX(M_name,MATCH($B1022,M_emp,0)),"Code not found"))</f>
        <v/>
      </c>
      <c r="D1022" s="10" t="str">
        <f aca="false">IF($B1022="","",IFERROR(INDEX(M_dept,MATCH($B1022,M_emp,0)),""))</f>
        <v/>
      </c>
      <c r="E1022" s="10" t="str">
        <f aca="false">IF($B1022="","",IFERROR(INDEX(M_loc,MATCH($B1022,M_emp,0)),""))</f>
        <v/>
      </c>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c r="AG1022" s="33"/>
      <c r="AH1022" s="33"/>
      <c r="AI1022" s="33"/>
      <c r="AJ1022" s="33"/>
      <c r="AK1022" s="34" t="str">
        <f aca="false">IF($B1022="","",COUNTIF($F1022:$AJ1022,"P"))</f>
        <v/>
      </c>
      <c r="AL1022" s="34" t="str">
        <f aca="false">IF($B1022="","",COUNTIF($F1022:$AJ1022,"A"))</f>
        <v/>
      </c>
      <c r="AM1022" s="34" t="str">
        <f aca="false">IF($B1022="","",COUNTIF($F1022:$AJ1022,"HA"))</f>
        <v/>
      </c>
      <c r="AN1022" s="34" t="str">
        <f aca="false">IF($B1022="","",COUNTIF($F1022:$AJ1022,"L"))</f>
        <v/>
      </c>
      <c r="AO1022" s="34" t="str">
        <f aca="false">IF($B1022="","",COUNTIF($F1022:$AJ1022,"PL"))</f>
        <v/>
      </c>
      <c r="AP1022" s="34" t="str">
        <f aca="false">IF($B1022="","",COUNTIF($F1022:$AJ1022,"CL"))</f>
        <v/>
      </c>
      <c r="AQ1022" s="34" t="str">
        <f aca="false">IF($B1022="","",COUNTIF($F1022:$AJ1022,"SL"))</f>
        <v/>
      </c>
      <c r="AR1022" s="34" t="str">
        <f aca="false">IF($B1022="","",COUNTIF($F1022:$AJ1022,"CO"))</f>
        <v/>
      </c>
      <c r="AS1022" s="34" t="str">
        <f aca="false">IF($B1022="","",COUNTIF($F1022:$AJ1022,"HPL"))</f>
        <v/>
      </c>
      <c r="AT1022" s="34" t="str">
        <f aca="false">IF($B1022="","",COUNTIF($F1022:$AJ1022,"HCL"))</f>
        <v/>
      </c>
      <c r="AU1022" s="34" t="str">
        <f aca="false">IF($B1022="","",COUNTIF($F1022:$AJ1022,"WO"))</f>
        <v/>
      </c>
      <c r="AV1022" s="34" t="str">
        <f aca="false">IF($B1022="","",COUNTIF($F1022:$AJ1022,"PH"))</f>
        <v/>
      </c>
      <c r="AW1022" s="34" t="str">
        <f aca="false">IF($B1022="","",COUNTIF($F1022:$AJ1022,"TR"))</f>
        <v/>
      </c>
      <c r="AX1022" s="35" t="str">
        <f aca="false">IF($B1022="","",AO1022+AS1022/2)</f>
        <v/>
      </c>
      <c r="AY1022" s="35" t="str">
        <f aca="false">IF($B1022="","",AQ1022)</f>
        <v/>
      </c>
      <c r="AZ1022" s="35" t="str">
        <f aca="false">IF($B1022="","",AP1022+AT1022/2)</f>
        <v/>
      </c>
      <c r="BA1022" s="35" t="str">
        <f aca="false">IF($B1022="","",AK1022+AN1022+AM1022/2+AO1022+AP1022+AQ1022+AR1022+AS1022+AT1022+AU1022+AV1022+AW1022)</f>
        <v/>
      </c>
      <c r="BB1022" s="35" t="str">
        <f aca="false">IF($B1022="","",MAX(0,AN1022-Settings!$C$16)*Settings!$C$17)</f>
        <v/>
      </c>
      <c r="BC1022" s="35" t="str">
        <f aca="false">IF($B1022="","",BA1022-BB1022)</f>
        <v/>
      </c>
      <c r="BD1022" s="35" t="str">
        <f aca="false">IF(OR($B1022="",$A1022=""),"",DAY(EOMONTH($A1022,0))-COUNTA($F1022:$AJ1022))</f>
        <v/>
      </c>
    </row>
    <row r="1023" customFormat="false" ht="15" hidden="false" customHeight="false" outlineLevel="0" collapsed="false">
      <c r="A1023" s="32"/>
      <c r="B1023" s="29"/>
      <c r="C1023" s="10" t="str">
        <f aca="false">IF($B1023="","",IFERROR(INDEX(M_name,MATCH($B1023,M_emp,0)),"Code not found"))</f>
        <v/>
      </c>
      <c r="D1023" s="10" t="str">
        <f aca="false">IF($B1023="","",IFERROR(INDEX(M_dept,MATCH($B1023,M_emp,0)),""))</f>
        <v/>
      </c>
      <c r="E1023" s="10" t="str">
        <f aca="false">IF($B1023="","",IFERROR(INDEX(M_loc,MATCH($B1023,M_emp,0)),""))</f>
        <v/>
      </c>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c r="AG1023" s="33"/>
      <c r="AH1023" s="33"/>
      <c r="AI1023" s="33"/>
      <c r="AJ1023" s="33"/>
      <c r="AK1023" s="34" t="str">
        <f aca="false">IF($B1023="","",COUNTIF($F1023:$AJ1023,"P"))</f>
        <v/>
      </c>
      <c r="AL1023" s="34" t="str">
        <f aca="false">IF($B1023="","",COUNTIF($F1023:$AJ1023,"A"))</f>
        <v/>
      </c>
      <c r="AM1023" s="34" t="str">
        <f aca="false">IF($B1023="","",COUNTIF($F1023:$AJ1023,"HA"))</f>
        <v/>
      </c>
      <c r="AN1023" s="34" t="str">
        <f aca="false">IF($B1023="","",COUNTIF($F1023:$AJ1023,"L"))</f>
        <v/>
      </c>
      <c r="AO1023" s="34" t="str">
        <f aca="false">IF($B1023="","",COUNTIF($F1023:$AJ1023,"PL"))</f>
        <v/>
      </c>
      <c r="AP1023" s="34" t="str">
        <f aca="false">IF($B1023="","",COUNTIF($F1023:$AJ1023,"CL"))</f>
        <v/>
      </c>
      <c r="AQ1023" s="34" t="str">
        <f aca="false">IF($B1023="","",COUNTIF($F1023:$AJ1023,"SL"))</f>
        <v/>
      </c>
      <c r="AR1023" s="34" t="str">
        <f aca="false">IF($B1023="","",COUNTIF($F1023:$AJ1023,"CO"))</f>
        <v/>
      </c>
      <c r="AS1023" s="34" t="str">
        <f aca="false">IF($B1023="","",COUNTIF($F1023:$AJ1023,"HPL"))</f>
        <v/>
      </c>
      <c r="AT1023" s="34" t="str">
        <f aca="false">IF($B1023="","",COUNTIF($F1023:$AJ1023,"HCL"))</f>
        <v/>
      </c>
      <c r="AU1023" s="34" t="str">
        <f aca="false">IF($B1023="","",COUNTIF($F1023:$AJ1023,"WO"))</f>
        <v/>
      </c>
      <c r="AV1023" s="34" t="str">
        <f aca="false">IF($B1023="","",COUNTIF($F1023:$AJ1023,"PH"))</f>
        <v/>
      </c>
      <c r="AW1023" s="34" t="str">
        <f aca="false">IF($B1023="","",COUNTIF($F1023:$AJ1023,"TR"))</f>
        <v/>
      </c>
      <c r="AX1023" s="35" t="str">
        <f aca="false">IF($B1023="","",AO1023+AS1023/2)</f>
        <v/>
      </c>
      <c r="AY1023" s="35" t="str">
        <f aca="false">IF($B1023="","",AQ1023)</f>
        <v/>
      </c>
      <c r="AZ1023" s="35" t="str">
        <f aca="false">IF($B1023="","",AP1023+AT1023/2)</f>
        <v/>
      </c>
      <c r="BA1023" s="35" t="str">
        <f aca="false">IF($B1023="","",AK1023+AN1023+AM1023/2+AO1023+AP1023+AQ1023+AR1023+AS1023+AT1023+AU1023+AV1023+AW1023)</f>
        <v/>
      </c>
      <c r="BB1023" s="35" t="str">
        <f aca="false">IF($B1023="","",MAX(0,AN1023-Settings!$C$16)*Settings!$C$17)</f>
        <v/>
      </c>
      <c r="BC1023" s="35" t="str">
        <f aca="false">IF($B1023="","",BA1023-BB1023)</f>
        <v/>
      </c>
      <c r="BD1023" s="35" t="str">
        <f aca="false">IF(OR($B1023="",$A1023=""),"",DAY(EOMONTH($A1023,0))-COUNTA($F1023:$AJ1023))</f>
        <v/>
      </c>
    </row>
    <row r="1024" customFormat="false" ht="15" hidden="false" customHeight="false" outlineLevel="0" collapsed="false">
      <c r="A1024" s="32"/>
      <c r="B1024" s="29"/>
      <c r="C1024" s="10" t="str">
        <f aca="false">IF($B1024="","",IFERROR(INDEX(M_name,MATCH($B1024,M_emp,0)),"Code not found"))</f>
        <v/>
      </c>
      <c r="D1024" s="10" t="str">
        <f aca="false">IF($B1024="","",IFERROR(INDEX(M_dept,MATCH($B1024,M_emp,0)),""))</f>
        <v/>
      </c>
      <c r="E1024" s="10" t="str">
        <f aca="false">IF($B1024="","",IFERROR(INDEX(M_loc,MATCH($B1024,M_emp,0)),""))</f>
        <v/>
      </c>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34" t="str">
        <f aca="false">IF($B1024="","",COUNTIF($F1024:$AJ1024,"P"))</f>
        <v/>
      </c>
      <c r="AL1024" s="34" t="str">
        <f aca="false">IF($B1024="","",COUNTIF($F1024:$AJ1024,"A"))</f>
        <v/>
      </c>
      <c r="AM1024" s="34" t="str">
        <f aca="false">IF($B1024="","",COUNTIF($F1024:$AJ1024,"HA"))</f>
        <v/>
      </c>
      <c r="AN1024" s="34" t="str">
        <f aca="false">IF($B1024="","",COUNTIF($F1024:$AJ1024,"L"))</f>
        <v/>
      </c>
      <c r="AO1024" s="34" t="str">
        <f aca="false">IF($B1024="","",COUNTIF($F1024:$AJ1024,"PL"))</f>
        <v/>
      </c>
      <c r="AP1024" s="34" t="str">
        <f aca="false">IF($B1024="","",COUNTIF($F1024:$AJ1024,"CL"))</f>
        <v/>
      </c>
      <c r="AQ1024" s="34" t="str">
        <f aca="false">IF($B1024="","",COUNTIF($F1024:$AJ1024,"SL"))</f>
        <v/>
      </c>
      <c r="AR1024" s="34" t="str">
        <f aca="false">IF($B1024="","",COUNTIF($F1024:$AJ1024,"CO"))</f>
        <v/>
      </c>
      <c r="AS1024" s="34" t="str">
        <f aca="false">IF($B1024="","",COUNTIF($F1024:$AJ1024,"HPL"))</f>
        <v/>
      </c>
      <c r="AT1024" s="34" t="str">
        <f aca="false">IF($B1024="","",COUNTIF($F1024:$AJ1024,"HCL"))</f>
        <v/>
      </c>
      <c r="AU1024" s="34" t="str">
        <f aca="false">IF($B1024="","",COUNTIF($F1024:$AJ1024,"WO"))</f>
        <v/>
      </c>
      <c r="AV1024" s="34" t="str">
        <f aca="false">IF($B1024="","",COUNTIF($F1024:$AJ1024,"PH"))</f>
        <v/>
      </c>
      <c r="AW1024" s="34" t="str">
        <f aca="false">IF($B1024="","",COUNTIF($F1024:$AJ1024,"TR"))</f>
        <v/>
      </c>
      <c r="AX1024" s="35" t="str">
        <f aca="false">IF($B1024="","",AO1024+AS1024/2)</f>
        <v/>
      </c>
      <c r="AY1024" s="35" t="str">
        <f aca="false">IF($B1024="","",AQ1024)</f>
        <v/>
      </c>
      <c r="AZ1024" s="35" t="str">
        <f aca="false">IF($B1024="","",AP1024+AT1024/2)</f>
        <v/>
      </c>
      <c r="BA1024" s="35" t="str">
        <f aca="false">IF($B1024="","",AK1024+AN1024+AM1024/2+AO1024+AP1024+AQ1024+AR1024+AS1024+AT1024+AU1024+AV1024+AW1024)</f>
        <v/>
      </c>
      <c r="BB1024" s="35" t="str">
        <f aca="false">IF($B1024="","",MAX(0,AN1024-Settings!$C$16)*Settings!$C$17)</f>
        <v/>
      </c>
      <c r="BC1024" s="35" t="str">
        <f aca="false">IF($B1024="","",BA1024-BB1024)</f>
        <v/>
      </c>
      <c r="BD1024" s="35" t="str">
        <f aca="false">IF(OR($B1024="",$A1024=""),"",DAY(EOMONTH($A1024,0))-COUNTA($F1024:$AJ1024))</f>
        <v/>
      </c>
    </row>
    <row r="1025" customFormat="false" ht="15" hidden="false" customHeight="false" outlineLevel="0" collapsed="false">
      <c r="A1025" s="32"/>
      <c r="B1025" s="29"/>
      <c r="C1025" s="10" t="str">
        <f aca="false">IF($B1025="","",IFERROR(INDEX(M_name,MATCH($B1025,M_emp,0)),"Code not found"))</f>
        <v/>
      </c>
      <c r="D1025" s="10" t="str">
        <f aca="false">IF($B1025="","",IFERROR(INDEX(M_dept,MATCH($B1025,M_emp,0)),""))</f>
        <v/>
      </c>
      <c r="E1025" s="10" t="str">
        <f aca="false">IF($B1025="","",IFERROR(INDEX(M_loc,MATCH($B1025,M_emp,0)),""))</f>
        <v/>
      </c>
      <c r="F1025" s="33"/>
      <c r="G1025" s="33"/>
      <c r="H1025" s="33"/>
      <c r="I1025" s="33"/>
      <c r="J1025" s="3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c r="AF1025" s="33"/>
      <c r="AG1025" s="33"/>
      <c r="AH1025" s="33"/>
      <c r="AI1025" s="33"/>
      <c r="AJ1025" s="33"/>
      <c r="AK1025" s="34" t="str">
        <f aca="false">IF($B1025="","",COUNTIF($F1025:$AJ1025,"P"))</f>
        <v/>
      </c>
      <c r="AL1025" s="34" t="str">
        <f aca="false">IF($B1025="","",COUNTIF($F1025:$AJ1025,"A"))</f>
        <v/>
      </c>
      <c r="AM1025" s="34" t="str">
        <f aca="false">IF($B1025="","",COUNTIF($F1025:$AJ1025,"HA"))</f>
        <v/>
      </c>
      <c r="AN1025" s="34" t="str">
        <f aca="false">IF($B1025="","",COUNTIF($F1025:$AJ1025,"L"))</f>
        <v/>
      </c>
      <c r="AO1025" s="34" t="str">
        <f aca="false">IF($B1025="","",COUNTIF($F1025:$AJ1025,"PL"))</f>
        <v/>
      </c>
      <c r="AP1025" s="34" t="str">
        <f aca="false">IF($B1025="","",COUNTIF($F1025:$AJ1025,"CL"))</f>
        <v/>
      </c>
      <c r="AQ1025" s="34" t="str">
        <f aca="false">IF($B1025="","",COUNTIF($F1025:$AJ1025,"SL"))</f>
        <v/>
      </c>
      <c r="AR1025" s="34" t="str">
        <f aca="false">IF($B1025="","",COUNTIF($F1025:$AJ1025,"CO"))</f>
        <v/>
      </c>
      <c r="AS1025" s="34" t="str">
        <f aca="false">IF($B1025="","",COUNTIF($F1025:$AJ1025,"HPL"))</f>
        <v/>
      </c>
      <c r="AT1025" s="34" t="str">
        <f aca="false">IF($B1025="","",COUNTIF($F1025:$AJ1025,"HCL"))</f>
        <v/>
      </c>
      <c r="AU1025" s="34" t="str">
        <f aca="false">IF($B1025="","",COUNTIF($F1025:$AJ1025,"WO"))</f>
        <v/>
      </c>
      <c r="AV1025" s="34" t="str">
        <f aca="false">IF($B1025="","",COUNTIF($F1025:$AJ1025,"PH"))</f>
        <v/>
      </c>
      <c r="AW1025" s="34" t="str">
        <f aca="false">IF($B1025="","",COUNTIF($F1025:$AJ1025,"TR"))</f>
        <v/>
      </c>
      <c r="AX1025" s="35" t="str">
        <f aca="false">IF($B1025="","",AO1025+AS1025/2)</f>
        <v/>
      </c>
      <c r="AY1025" s="35" t="str">
        <f aca="false">IF($B1025="","",AQ1025)</f>
        <v/>
      </c>
      <c r="AZ1025" s="35" t="str">
        <f aca="false">IF($B1025="","",AP1025+AT1025/2)</f>
        <v/>
      </c>
      <c r="BA1025" s="35" t="str">
        <f aca="false">IF($B1025="","",AK1025+AN1025+AM1025/2+AO1025+AP1025+AQ1025+AR1025+AS1025+AT1025+AU1025+AV1025+AW1025)</f>
        <v/>
      </c>
      <c r="BB1025" s="35" t="str">
        <f aca="false">IF($B1025="","",MAX(0,AN1025-Settings!$C$16)*Settings!$C$17)</f>
        <v/>
      </c>
      <c r="BC1025" s="35" t="str">
        <f aca="false">IF($B1025="","",BA1025-BB1025)</f>
        <v/>
      </c>
      <c r="BD1025" s="35" t="str">
        <f aca="false">IF(OR($B1025="",$A1025=""),"",DAY(EOMONTH($A1025,0))-COUNTA($F1025:$AJ1025))</f>
        <v/>
      </c>
    </row>
    <row r="1026" customFormat="false" ht="15" hidden="false" customHeight="false" outlineLevel="0" collapsed="false">
      <c r="A1026" s="32"/>
      <c r="B1026" s="29"/>
      <c r="C1026" s="10" t="str">
        <f aca="false">IF($B1026="","",IFERROR(INDEX(M_name,MATCH($B1026,M_emp,0)),"Code not found"))</f>
        <v/>
      </c>
      <c r="D1026" s="10" t="str">
        <f aca="false">IF($B1026="","",IFERROR(INDEX(M_dept,MATCH($B1026,M_emp,0)),""))</f>
        <v/>
      </c>
      <c r="E1026" s="10" t="str">
        <f aca="false">IF($B1026="","",IFERROR(INDEX(M_loc,MATCH($B1026,M_emp,0)),""))</f>
        <v/>
      </c>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34" t="str">
        <f aca="false">IF($B1026="","",COUNTIF($F1026:$AJ1026,"P"))</f>
        <v/>
      </c>
      <c r="AL1026" s="34" t="str">
        <f aca="false">IF($B1026="","",COUNTIF($F1026:$AJ1026,"A"))</f>
        <v/>
      </c>
      <c r="AM1026" s="34" t="str">
        <f aca="false">IF($B1026="","",COUNTIF($F1026:$AJ1026,"HA"))</f>
        <v/>
      </c>
      <c r="AN1026" s="34" t="str">
        <f aca="false">IF($B1026="","",COUNTIF($F1026:$AJ1026,"L"))</f>
        <v/>
      </c>
      <c r="AO1026" s="34" t="str">
        <f aca="false">IF($B1026="","",COUNTIF($F1026:$AJ1026,"PL"))</f>
        <v/>
      </c>
      <c r="AP1026" s="34" t="str">
        <f aca="false">IF($B1026="","",COUNTIF($F1026:$AJ1026,"CL"))</f>
        <v/>
      </c>
      <c r="AQ1026" s="34" t="str">
        <f aca="false">IF($B1026="","",COUNTIF($F1026:$AJ1026,"SL"))</f>
        <v/>
      </c>
      <c r="AR1026" s="34" t="str">
        <f aca="false">IF($B1026="","",COUNTIF($F1026:$AJ1026,"CO"))</f>
        <v/>
      </c>
      <c r="AS1026" s="34" t="str">
        <f aca="false">IF($B1026="","",COUNTIF($F1026:$AJ1026,"HPL"))</f>
        <v/>
      </c>
      <c r="AT1026" s="34" t="str">
        <f aca="false">IF($B1026="","",COUNTIF($F1026:$AJ1026,"HCL"))</f>
        <v/>
      </c>
      <c r="AU1026" s="34" t="str">
        <f aca="false">IF($B1026="","",COUNTIF($F1026:$AJ1026,"WO"))</f>
        <v/>
      </c>
      <c r="AV1026" s="34" t="str">
        <f aca="false">IF($B1026="","",COUNTIF($F1026:$AJ1026,"PH"))</f>
        <v/>
      </c>
      <c r="AW1026" s="34" t="str">
        <f aca="false">IF($B1026="","",COUNTIF($F1026:$AJ1026,"TR"))</f>
        <v/>
      </c>
      <c r="AX1026" s="35" t="str">
        <f aca="false">IF($B1026="","",AO1026+AS1026/2)</f>
        <v/>
      </c>
      <c r="AY1026" s="35" t="str">
        <f aca="false">IF($B1026="","",AQ1026)</f>
        <v/>
      </c>
      <c r="AZ1026" s="35" t="str">
        <f aca="false">IF($B1026="","",AP1026+AT1026/2)</f>
        <v/>
      </c>
      <c r="BA1026" s="35" t="str">
        <f aca="false">IF($B1026="","",AK1026+AN1026+AM1026/2+AO1026+AP1026+AQ1026+AR1026+AS1026+AT1026+AU1026+AV1026+AW1026)</f>
        <v/>
      </c>
      <c r="BB1026" s="35" t="str">
        <f aca="false">IF($B1026="","",MAX(0,AN1026-Settings!$C$16)*Settings!$C$17)</f>
        <v/>
      </c>
      <c r="BC1026" s="35" t="str">
        <f aca="false">IF($B1026="","",BA1026-BB1026)</f>
        <v/>
      </c>
      <c r="BD1026" s="35" t="str">
        <f aca="false">IF(OR($B1026="",$A1026=""),"",DAY(EOMONTH($A1026,0))-COUNTA($F1026:$AJ1026))</f>
        <v/>
      </c>
    </row>
    <row r="1027" customFormat="false" ht="15" hidden="false" customHeight="false" outlineLevel="0" collapsed="false">
      <c r="A1027" s="32"/>
      <c r="B1027" s="29"/>
      <c r="C1027" s="10" t="str">
        <f aca="false">IF($B1027="","",IFERROR(INDEX(M_name,MATCH($B1027,M_emp,0)),"Code not found"))</f>
        <v/>
      </c>
      <c r="D1027" s="10" t="str">
        <f aca="false">IF($B1027="","",IFERROR(INDEX(M_dept,MATCH($B1027,M_emp,0)),""))</f>
        <v/>
      </c>
      <c r="E1027" s="10" t="str">
        <f aca="false">IF($B1027="","",IFERROR(INDEX(M_loc,MATCH($B1027,M_emp,0)),""))</f>
        <v/>
      </c>
      <c r="F1027" s="33"/>
      <c r="G1027" s="33"/>
      <c r="H1027" s="33"/>
      <c r="I1027" s="33"/>
      <c r="J1027" s="3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c r="AF1027" s="33"/>
      <c r="AG1027" s="33"/>
      <c r="AH1027" s="33"/>
      <c r="AI1027" s="33"/>
      <c r="AJ1027" s="33"/>
      <c r="AK1027" s="34" t="str">
        <f aca="false">IF($B1027="","",COUNTIF($F1027:$AJ1027,"P"))</f>
        <v/>
      </c>
      <c r="AL1027" s="34" t="str">
        <f aca="false">IF($B1027="","",COUNTIF($F1027:$AJ1027,"A"))</f>
        <v/>
      </c>
      <c r="AM1027" s="34" t="str">
        <f aca="false">IF($B1027="","",COUNTIF($F1027:$AJ1027,"HA"))</f>
        <v/>
      </c>
      <c r="AN1027" s="34" t="str">
        <f aca="false">IF($B1027="","",COUNTIF($F1027:$AJ1027,"L"))</f>
        <v/>
      </c>
      <c r="AO1027" s="34" t="str">
        <f aca="false">IF($B1027="","",COUNTIF($F1027:$AJ1027,"PL"))</f>
        <v/>
      </c>
      <c r="AP1027" s="34" t="str">
        <f aca="false">IF($B1027="","",COUNTIF($F1027:$AJ1027,"CL"))</f>
        <v/>
      </c>
      <c r="AQ1027" s="34" t="str">
        <f aca="false">IF($B1027="","",COUNTIF($F1027:$AJ1027,"SL"))</f>
        <v/>
      </c>
      <c r="AR1027" s="34" t="str">
        <f aca="false">IF($B1027="","",COUNTIF($F1027:$AJ1027,"CO"))</f>
        <v/>
      </c>
      <c r="AS1027" s="34" t="str">
        <f aca="false">IF($B1027="","",COUNTIF($F1027:$AJ1027,"HPL"))</f>
        <v/>
      </c>
      <c r="AT1027" s="34" t="str">
        <f aca="false">IF($B1027="","",COUNTIF($F1027:$AJ1027,"HCL"))</f>
        <v/>
      </c>
      <c r="AU1027" s="34" t="str">
        <f aca="false">IF($B1027="","",COUNTIF($F1027:$AJ1027,"WO"))</f>
        <v/>
      </c>
      <c r="AV1027" s="34" t="str">
        <f aca="false">IF($B1027="","",COUNTIF($F1027:$AJ1027,"PH"))</f>
        <v/>
      </c>
      <c r="AW1027" s="34" t="str">
        <f aca="false">IF($B1027="","",COUNTIF($F1027:$AJ1027,"TR"))</f>
        <v/>
      </c>
      <c r="AX1027" s="35" t="str">
        <f aca="false">IF($B1027="","",AO1027+AS1027/2)</f>
        <v/>
      </c>
      <c r="AY1027" s="35" t="str">
        <f aca="false">IF($B1027="","",AQ1027)</f>
        <v/>
      </c>
      <c r="AZ1027" s="35" t="str">
        <f aca="false">IF($B1027="","",AP1027+AT1027/2)</f>
        <v/>
      </c>
      <c r="BA1027" s="35" t="str">
        <f aca="false">IF($B1027="","",AK1027+AN1027+AM1027/2+AO1027+AP1027+AQ1027+AR1027+AS1027+AT1027+AU1027+AV1027+AW1027)</f>
        <v/>
      </c>
      <c r="BB1027" s="35" t="str">
        <f aca="false">IF($B1027="","",MAX(0,AN1027-Settings!$C$16)*Settings!$C$17)</f>
        <v/>
      </c>
      <c r="BC1027" s="35" t="str">
        <f aca="false">IF($B1027="","",BA1027-BB1027)</f>
        <v/>
      </c>
      <c r="BD1027" s="35" t="str">
        <f aca="false">IF(OR($B1027="",$A1027=""),"",DAY(EOMONTH($A1027,0))-COUNTA($F1027:$AJ1027))</f>
        <v/>
      </c>
    </row>
    <row r="1028" customFormat="false" ht="15" hidden="false" customHeight="false" outlineLevel="0" collapsed="false">
      <c r="A1028" s="32"/>
      <c r="B1028" s="29"/>
      <c r="C1028" s="10" t="str">
        <f aca="false">IF($B1028="","",IFERROR(INDEX(M_name,MATCH($B1028,M_emp,0)),"Code not found"))</f>
        <v/>
      </c>
      <c r="D1028" s="10" t="str">
        <f aca="false">IF($B1028="","",IFERROR(INDEX(M_dept,MATCH($B1028,M_emp,0)),""))</f>
        <v/>
      </c>
      <c r="E1028" s="10" t="str">
        <f aca="false">IF($B1028="","",IFERROR(INDEX(M_loc,MATCH($B1028,M_emp,0)),""))</f>
        <v/>
      </c>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34" t="str">
        <f aca="false">IF($B1028="","",COUNTIF($F1028:$AJ1028,"P"))</f>
        <v/>
      </c>
      <c r="AL1028" s="34" t="str">
        <f aca="false">IF($B1028="","",COUNTIF($F1028:$AJ1028,"A"))</f>
        <v/>
      </c>
      <c r="AM1028" s="34" t="str">
        <f aca="false">IF($B1028="","",COUNTIF($F1028:$AJ1028,"HA"))</f>
        <v/>
      </c>
      <c r="AN1028" s="34" t="str">
        <f aca="false">IF($B1028="","",COUNTIF($F1028:$AJ1028,"L"))</f>
        <v/>
      </c>
      <c r="AO1028" s="34" t="str">
        <f aca="false">IF($B1028="","",COUNTIF($F1028:$AJ1028,"PL"))</f>
        <v/>
      </c>
      <c r="AP1028" s="34" t="str">
        <f aca="false">IF($B1028="","",COUNTIF($F1028:$AJ1028,"CL"))</f>
        <v/>
      </c>
      <c r="AQ1028" s="34" t="str">
        <f aca="false">IF($B1028="","",COUNTIF($F1028:$AJ1028,"SL"))</f>
        <v/>
      </c>
      <c r="AR1028" s="34" t="str">
        <f aca="false">IF($B1028="","",COUNTIF($F1028:$AJ1028,"CO"))</f>
        <v/>
      </c>
      <c r="AS1028" s="34" t="str">
        <f aca="false">IF($B1028="","",COUNTIF($F1028:$AJ1028,"HPL"))</f>
        <v/>
      </c>
      <c r="AT1028" s="34" t="str">
        <f aca="false">IF($B1028="","",COUNTIF($F1028:$AJ1028,"HCL"))</f>
        <v/>
      </c>
      <c r="AU1028" s="34" t="str">
        <f aca="false">IF($B1028="","",COUNTIF($F1028:$AJ1028,"WO"))</f>
        <v/>
      </c>
      <c r="AV1028" s="34" t="str">
        <f aca="false">IF($B1028="","",COUNTIF($F1028:$AJ1028,"PH"))</f>
        <v/>
      </c>
      <c r="AW1028" s="34" t="str">
        <f aca="false">IF($B1028="","",COUNTIF($F1028:$AJ1028,"TR"))</f>
        <v/>
      </c>
      <c r="AX1028" s="35" t="str">
        <f aca="false">IF($B1028="","",AO1028+AS1028/2)</f>
        <v/>
      </c>
      <c r="AY1028" s="35" t="str">
        <f aca="false">IF($B1028="","",AQ1028)</f>
        <v/>
      </c>
      <c r="AZ1028" s="35" t="str">
        <f aca="false">IF($B1028="","",AP1028+AT1028/2)</f>
        <v/>
      </c>
      <c r="BA1028" s="35" t="str">
        <f aca="false">IF($B1028="","",AK1028+AN1028+AM1028/2+AO1028+AP1028+AQ1028+AR1028+AS1028+AT1028+AU1028+AV1028+AW1028)</f>
        <v/>
      </c>
      <c r="BB1028" s="35" t="str">
        <f aca="false">IF($B1028="","",MAX(0,AN1028-Settings!$C$16)*Settings!$C$17)</f>
        <v/>
      </c>
      <c r="BC1028" s="35" t="str">
        <f aca="false">IF($B1028="","",BA1028-BB1028)</f>
        <v/>
      </c>
      <c r="BD1028" s="35" t="str">
        <f aca="false">IF(OR($B1028="",$A1028=""),"",DAY(EOMONTH($A1028,0))-COUNTA($F1028:$AJ1028))</f>
        <v/>
      </c>
    </row>
    <row r="1029" customFormat="false" ht="15" hidden="false" customHeight="false" outlineLevel="0" collapsed="false">
      <c r="A1029" s="32"/>
      <c r="B1029" s="29"/>
      <c r="C1029" s="10" t="str">
        <f aca="false">IF($B1029="","",IFERROR(INDEX(M_name,MATCH($B1029,M_emp,0)),"Code not found"))</f>
        <v/>
      </c>
      <c r="D1029" s="10" t="str">
        <f aca="false">IF($B1029="","",IFERROR(INDEX(M_dept,MATCH($B1029,M_emp,0)),""))</f>
        <v/>
      </c>
      <c r="E1029" s="10" t="str">
        <f aca="false">IF($B1029="","",IFERROR(INDEX(M_loc,MATCH($B1029,M_emp,0)),""))</f>
        <v/>
      </c>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34" t="str">
        <f aca="false">IF($B1029="","",COUNTIF($F1029:$AJ1029,"P"))</f>
        <v/>
      </c>
      <c r="AL1029" s="34" t="str">
        <f aca="false">IF($B1029="","",COUNTIF($F1029:$AJ1029,"A"))</f>
        <v/>
      </c>
      <c r="AM1029" s="34" t="str">
        <f aca="false">IF($B1029="","",COUNTIF($F1029:$AJ1029,"HA"))</f>
        <v/>
      </c>
      <c r="AN1029" s="34" t="str">
        <f aca="false">IF($B1029="","",COUNTIF($F1029:$AJ1029,"L"))</f>
        <v/>
      </c>
      <c r="AO1029" s="34" t="str">
        <f aca="false">IF($B1029="","",COUNTIF($F1029:$AJ1029,"PL"))</f>
        <v/>
      </c>
      <c r="AP1029" s="34" t="str">
        <f aca="false">IF($B1029="","",COUNTIF($F1029:$AJ1029,"CL"))</f>
        <v/>
      </c>
      <c r="AQ1029" s="34" t="str">
        <f aca="false">IF($B1029="","",COUNTIF($F1029:$AJ1029,"SL"))</f>
        <v/>
      </c>
      <c r="AR1029" s="34" t="str">
        <f aca="false">IF($B1029="","",COUNTIF($F1029:$AJ1029,"CO"))</f>
        <v/>
      </c>
      <c r="AS1029" s="34" t="str">
        <f aca="false">IF($B1029="","",COUNTIF($F1029:$AJ1029,"HPL"))</f>
        <v/>
      </c>
      <c r="AT1029" s="34" t="str">
        <f aca="false">IF($B1029="","",COUNTIF($F1029:$AJ1029,"HCL"))</f>
        <v/>
      </c>
      <c r="AU1029" s="34" t="str">
        <f aca="false">IF($B1029="","",COUNTIF($F1029:$AJ1029,"WO"))</f>
        <v/>
      </c>
      <c r="AV1029" s="34" t="str">
        <f aca="false">IF($B1029="","",COUNTIF($F1029:$AJ1029,"PH"))</f>
        <v/>
      </c>
      <c r="AW1029" s="34" t="str">
        <f aca="false">IF($B1029="","",COUNTIF($F1029:$AJ1029,"TR"))</f>
        <v/>
      </c>
      <c r="AX1029" s="35" t="str">
        <f aca="false">IF($B1029="","",AO1029+AS1029/2)</f>
        <v/>
      </c>
      <c r="AY1029" s="35" t="str">
        <f aca="false">IF($B1029="","",AQ1029)</f>
        <v/>
      </c>
      <c r="AZ1029" s="35" t="str">
        <f aca="false">IF($B1029="","",AP1029+AT1029/2)</f>
        <v/>
      </c>
      <c r="BA1029" s="35" t="str">
        <f aca="false">IF($B1029="","",AK1029+AN1029+AM1029/2+AO1029+AP1029+AQ1029+AR1029+AS1029+AT1029+AU1029+AV1029+AW1029)</f>
        <v/>
      </c>
      <c r="BB1029" s="35" t="str">
        <f aca="false">IF($B1029="","",MAX(0,AN1029-Settings!$C$16)*Settings!$C$17)</f>
        <v/>
      </c>
      <c r="BC1029" s="35" t="str">
        <f aca="false">IF($B1029="","",BA1029-BB1029)</f>
        <v/>
      </c>
      <c r="BD1029" s="35" t="str">
        <f aca="false">IF(OR($B1029="",$A1029=""),"",DAY(EOMONTH($A1029,0))-COUNTA($F1029:$AJ1029))</f>
        <v/>
      </c>
    </row>
    <row r="1030" customFormat="false" ht="15" hidden="false" customHeight="false" outlineLevel="0" collapsed="false">
      <c r="A1030" s="32"/>
      <c r="B1030" s="29"/>
      <c r="C1030" s="10" t="str">
        <f aca="false">IF($B1030="","",IFERROR(INDEX(M_name,MATCH($B1030,M_emp,0)),"Code not found"))</f>
        <v/>
      </c>
      <c r="D1030" s="10" t="str">
        <f aca="false">IF($B1030="","",IFERROR(INDEX(M_dept,MATCH($B1030,M_emp,0)),""))</f>
        <v/>
      </c>
      <c r="E1030" s="10" t="str">
        <f aca="false">IF($B1030="","",IFERROR(INDEX(M_loc,MATCH($B1030,M_emp,0)),""))</f>
        <v/>
      </c>
      <c r="F1030" s="33"/>
      <c r="G1030" s="33"/>
      <c r="H1030" s="33"/>
      <c r="I1030" s="33"/>
      <c r="J1030" s="3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c r="AF1030" s="33"/>
      <c r="AG1030" s="33"/>
      <c r="AH1030" s="33"/>
      <c r="AI1030" s="33"/>
      <c r="AJ1030" s="33"/>
      <c r="AK1030" s="34" t="str">
        <f aca="false">IF($B1030="","",COUNTIF($F1030:$AJ1030,"P"))</f>
        <v/>
      </c>
      <c r="AL1030" s="34" t="str">
        <f aca="false">IF($B1030="","",COUNTIF($F1030:$AJ1030,"A"))</f>
        <v/>
      </c>
      <c r="AM1030" s="34" t="str">
        <f aca="false">IF($B1030="","",COUNTIF($F1030:$AJ1030,"HA"))</f>
        <v/>
      </c>
      <c r="AN1030" s="34" t="str">
        <f aca="false">IF($B1030="","",COUNTIF($F1030:$AJ1030,"L"))</f>
        <v/>
      </c>
      <c r="AO1030" s="34" t="str">
        <f aca="false">IF($B1030="","",COUNTIF($F1030:$AJ1030,"PL"))</f>
        <v/>
      </c>
      <c r="AP1030" s="34" t="str">
        <f aca="false">IF($B1030="","",COUNTIF($F1030:$AJ1030,"CL"))</f>
        <v/>
      </c>
      <c r="AQ1030" s="34" t="str">
        <f aca="false">IF($B1030="","",COUNTIF($F1030:$AJ1030,"SL"))</f>
        <v/>
      </c>
      <c r="AR1030" s="34" t="str">
        <f aca="false">IF($B1030="","",COUNTIF($F1030:$AJ1030,"CO"))</f>
        <v/>
      </c>
      <c r="AS1030" s="34" t="str">
        <f aca="false">IF($B1030="","",COUNTIF($F1030:$AJ1030,"HPL"))</f>
        <v/>
      </c>
      <c r="AT1030" s="34" t="str">
        <f aca="false">IF($B1030="","",COUNTIF($F1030:$AJ1030,"HCL"))</f>
        <v/>
      </c>
      <c r="AU1030" s="34" t="str">
        <f aca="false">IF($B1030="","",COUNTIF($F1030:$AJ1030,"WO"))</f>
        <v/>
      </c>
      <c r="AV1030" s="34" t="str">
        <f aca="false">IF($B1030="","",COUNTIF($F1030:$AJ1030,"PH"))</f>
        <v/>
      </c>
      <c r="AW1030" s="34" t="str">
        <f aca="false">IF($B1030="","",COUNTIF($F1030:$AJ1030,"TR"))</f>
        <v/>
      </c>
      <c r="AX1030" s="35" t="str">
        <f aca="false">IF($B1030="","",AO1030+AS1030/2)</f>
        <v/>
      </c>
      <c r="AY1030" s="35" t="str">
        <f aca="false">IF($B1030="","",AQ1030)</f>
        <v/>
      </c>
      <c r="AZ1030" s="35" t="str">
        <f aca="false">IF($B1030="","",AP1030+AT1030/2)</f>
        <v/>
      </c>
      <c r="BA1030" s="35" t="str">
        <f aca="false">IF($B1030="","",AK1030+AN1030+AM1030/2+AO1030+AP1030+AQ1030+AR1030+AS1030+AT1030+AU1030+AV1030+AW1030)</f>
        <v/>
      </c>
      <c r="BB1030" s="35" t="str">
        <f aca="false">IF($B1030="","",MAX(0,AN1030-Settings!$C$16)*Settings!$C$17)</f>
        <v/>
      </c>
      <c r="BC1030" s="35" t="str">
        <f aca="false">IF($B1030="","",BA1030-BB1030)</f>
        <v/>
      </c>
      <c r="BD1030" s="35" t="str">
        <f aca="false">IF(OR($B1030="",$A1030=""),"",DAY(EOMONTH($A1030,0))-COUNTA($F1030:$AJ1030))</f>
        <v/>
      </c>
    </row>
    <row r="1031" customFormat="false" ht="15" hidden="false" customHeight="false" outlineLevel="0" collapsed="false">
      <c r="A1031" s="32"/>
      <c r="B1031" s="29"/>
      <c r="C1031" s="10" t="str">
        <f aca="false">IF($B1031="","",IFERROR(INDEX(M_name,MATCH($B1031,M_emp,0)),"Code not found"))</f>
        <v/>
      </c>
      <c r="D1031" s="10" t="str">
        <f aca="false">IF($B1031="","",IFERROR(INDEX(M_dept,MATCH($B1031,M_emp,0)),""))</f>
        <v/>
      </c>
      <c r="E1031" s="10" t="str">
        <f aca="false">IF($B1031="","",IFERROR(INDEX(M_loc,MATCH($B1031,M_emp,0)),""))</f>
        <v/>
      </c>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c r="AG1031" s="33"/>
      <c r="AH1031" s="33"/>
      <c r="AI1031" s="33"/>
      <c r="AJ1031" s="33"/>
      <c r="AK1031" s="34" t="str">
        <f aca="false">IF($B1031="","",COUNTIF($F1031:$AJ1031,"P"))</f>
        <v/>
      </c>
      <c r="AL1031" s="34" t="str">
        <f aca="false">IF($B1031="","",COUNTIF($F1031:$AJ1031,"A"))</f>
        <v/>
      </c>
      <c r="AM1031" s="34" t="str">
        <f aca="false">IF($B1031="","",COUNTIF($F1031:$AJ1031,"HA"))</f>
        <v/>
      </c>
      <c r="AN1031" s="34" t="str">
        <f aca="false">IF($B1031="","",COUNTIF($F1031:$AJ1031,"L"))</f>
        <v/>
      </c>
      <c r="AO1031" s="34" t="str">
        <f aca="false">IF($B1031="","",COUNTIF($F1031:$AJ1031,"PL"))</f>
        <v/>
      </c>
      <c r="AP1031" s="34" t="str">
        <f aca="false">IF($B1031="","",COUNTIF($F1031:$AJ1031,"CL"))</f>
        <v/>
      </c>
      <c r="AQ1031" s="34" t="str">
        <f aca="false">IF($B1031="","",COUNTIF($F1031:$AJ1031,"SL"))</f>
        <v/>
      </c>
      <c r="AR1031" s="34" t="str">
        <f aca="false">IF($B1031="","",COUNTIF($F1031:$AJ1031,"CO"))</f>
        <v/>
      </c>
      <c r="AS1031" s="34" t="str">
        <f aca="false">IF($B1031="","",COUNTIF($F1031:$AJ1031,"HPL"))</f>
        <v/>
      </c>
      <c r="AT1031" s="34" t="str">
        <f aca="false">IF($B1031="","",COUNTIF($F1031:$AJ1031,"HCL"))</f>
        <v/>
      </c>
      <c r="AU1031" s="34" t="str">
        <f aca="false">IF($B1031="","",COUNTIF($F1031:$AJ1031,"WO"))</f>
        <v/>
      </c>
      <c r="AV1031" s="34" t="str">
        <f aca="false">IF($B1031="","",COUNTIF($F1031:$AJ1031,"PH"))</f>
        <v/>
      </c>
      <c r="AW1031" s="34" t="str">
        <f aca="false">IF($B1031="","",COUNTIF($F1031:$AJ1031,"TR"))</f>
        <v/>
      </c>
      <c r="AX1031" s="35" t="str">
        <f aca="false">IF($B1031="","",AO1031+AS1031/2)</f>
        <v/>
      </c>
      <c r="AY1031" s="35" t="str">
        <f aca="false">IF($B1031="","",AQ1031)</f>
        <v/>
      </c>
      <c r="AZ1031" s="35" t="str">
        <f aca="false">IF($B1031="","",AP1031+AT1031/2)</f>
        <v/>
      </c>
      <c r="BA1031" s="35" t="str">
        <f aca="false">IF($B1031="","",AK1031+AN1031+AM1031/2+AO1031+AP1031+AQ1031+AR1031+AS1031+AT1031+AU1031+AV1031+AW1031)</f>
        <v/>
      </c>
      <c r="BB1031" s="35" t="str">
        <f aca="false">IF($B1031="","",MAX(0,AN1031-Settings!$C$16)*Settings!$C$17)</f>
        <v/>
      </c>
      <c r="BC1031" s="35" t="str">
        <f aca="false">IF($B1031="","",BA1031-BB1031)</f>
        <v/>
      </c>
      <c r="BD1031" s="35" t="str">
        <f aca="false">IF(OR($B1031="",$A1031=""),"",DAY(EOMONTH($A1031,0))-COUNTA($F1031:$AJ1031))</f>
        <v/>
      </c>
    </row>
    <row r="1032" customFormat="false" ht="15" hidden="false" customHeight="false" outlineLevel="0" collapsed="false">
      <c r="A1032" s="32"/>
      <c r="B1032" s="29"/>
      <c r="C1032" s="10" t="str">
        <f aca="false">IF($B1032="","",IFERROR(INDEX(M_name,MATCH($B1032,M_emp,0)),"Code not found"))</f>
        <v/>
      </c>
      <c r="D1032" s="10" t="str">
        <f aca="false">IF($B1032="","",IFERROR(INDEX(M_dept,MATCH($B1032,M_emp,0)),""))</f>
        <v/>
      </c>
      <c r="E1032" s="10" t="str">
        <f aca="false">IF($B1032="","",IFERROR(INDEX(M_loc,MATCH($B1032,M_emp,0)),""))</f>
        <v/>
      </c>
      <c r="F1032" s="33"/>
      <c r="G1032" s="33"/>
      <c r="H1032" s="33"/>
      <c r="I1032" s="33"/>
      <c r="J1032" s="33"/>
      <c r="K1032" s="33"/>
      <c r="L1032" s="33"/>
      <c r="M1032" s="33"/>
      <c r="N1032" s="33"/>
      <c r="O1032" s="33"/>
      <c r="P1032" s="33"/>
      <c r="Q1032" s="33"/>
      <c r="R1032" s="33"/>
      <c r="S1032" s="33"/>
      <c r="T1032" s="33"/>
      <c r="U1032" s="33"/>
      <c r="V1032" s="33"/>
      <c r="W1032" s="33"/>
      <c r="X1032" s="33"/>
      <c r="Y1032" s="33"/>
      <c r="Z1032" s="33"/>
      <c r="AA1032" s="33"/>
      <c r="AB1032" s="33"/>
      <c r="AC1032" s="33"/>
      <c r="AD1032" s="33"/>
      <c r="AE1032" s="33"/>
      <c r="AF1032" s="33"/>
      <c r="AG1032" s="33"/>
      <c r="AH1032" s="33"/>
      <c r="AI1032" s="33"/>
      <c r="AJ1032" s="33"/>
      <c r="AK1032" s="34" t="str">
        <f aca="false">IF($B1032="","",COUNTIF($F1032:$AJ1032,"P"))</f>
        <v/>
      </c>
      <c r="AL1032" s="34" t="str">
        <f aca="false">IF($B1032="","",COUNTIF($F1032:$AJ1032,"A"))</f>
        <v/>
      </c>
      <c r="AM1032" s="34" t="str">
        <f aca="false">IF($B1032="","",COUNTIF($F1032:$AJ1032,"HA"))</f>
        <v/>
      </c>
      <c r="AN1032" s="34" t="str">
        <f aca="false">IF($B1032="","",COUNTIF($F1032:$AJ1032,"L"))</f>
        <v/>
      </c>
      <c r="AO1032" s="34" t="str">
        <f aca="false">IF($B1032="","",COUNTIF($F1032:$AJ1032,"PL"))</f>
        <v/>
      </c>
      <c r="AP1032" s="34" t="str">
        <f aca="false">IF($B1032="","",COUNTIF($F1032:$AJ1032,"CL"))</f>
        <v/>
      </c>
      <c r="AQ1032" s="34" t="str">
        <f aca="false">IF($B1032="","",COUNTIF($F1032:$AJ1032,"SL"))</f>
        <v/>
      </c>
      <c r="AR1032" s="34" t="str">
        <f aca="false">IF($B1032="","",COUNTIF($F1032:$AJ1032,"CO"))</f>
        <v/>
      </c>
      <c r="AS1032" s="34" t="str">
        <f aca="false">IF($B1032="","",COUNTIF($F1032:$AJ1032,"HPL"))</f>
        <v/>
      </c>
      <c r="AT1032" s="34" t="str">
        <f aca="false">IF($B1032="","",COUNTIF($F1032:$AJ1032,"HCL"))</f>
        <v/>
      </c>
      <c r="AU1032" s="34" t="str">
        <f aca="false">IF($B1032="","",COUNTIF($F1032:$AJ1032,"WO"))</f>
        <v/>
      </c>
      <c r="AV1032" s="34" t="str">
        <f aca="false">IF($B1032="","",COUNTIF($F1032:$AJ1032,"PH"))</f>
        <v/>
      </c>
      <c r="AW1032" s="34" t="str">
        <f aca="false">IF($B1032="","",COUNTIF($F1032:$AJ1032,"TR"))</f>
        <v/>
      </c>
      <c r="AX1032" s="35" t="str">
        <f aca="false">IF($B1032="","",AO1032+AS1032/2)</f>
        <v/>
      </c>
      <c r="AY1032" s="35" t="str">
        <f aca="false">IF($B1032="","",AQ1032)</f>
        <v/>
      </c>
      <c r="AZ1032" s="35" t="str">
        <f aca="false">IF($B1032="","",AP1032+AT1032/2)</f>
        <v/>
      </c>
      <c r="BA1032" s="35" t="str">
        <f aca="false">IF($B1032="","",AK1032+AN1032+AM1032/2+AO1032+AP1032+AQ1032+AR1032+AS1032+AT1032+AU1032+AV1032+AW1032)</f>
        <v/>
      </c>
      <c r="BB1032" s="35" t="str">
        <f aca="false">IF($B1032="","",MAX(0,AN1032-Settings!$C$16)*Settings!$C$17)</f>
        <v/>
      </c>
      <c r="BC1032" s="35" t="str">
        <f aca="false">IF($B1032="","",BA1032-BB1032)</f>
        <v/>
      </c>
      <c r="BD1032" s="35" t="str">
        <f aca="false">IF(OR($B1032="",$A1032=""),"",DAY(EOMONTH($A1032,0))-COUNTA($F1032:$AJ1032))</f>
        <v/>
      </c>
    </row>
    <row r="1033" customFormat="false" ht="15" hidden="false" customHeight="false" outlineLevel="0" collapsed="false">
      <c r="A1033" s="32"/>
      <c r="B1033" s="29"/>
      <c r="C1033" s="10" t="str">
        <f aca="false">IF($B1033="","",IFERROR(INDEX(M_name,MATCH($B1033,M_emp,0)),"Code not found"))</f>
        <v/>
      </c>
      <c r="D1033" s="10" t="str">
        <f aca="false">IF($B1033="","",IFERROR(INDEX(M_dept,MATCH($B1033,M_emp,0)),""))</f>
        <v/>
      </c>
      <c r="E1033" s="10" t="str">
        <f aca="false">IF($B1033="","",IFERROR(INDEX(M_loc,MATCH($B1033,M_emp,0)),""))</f>
        <v/>
      </c>
      <c r="F1033" s="33"/>
      <c r="G1033" s="33"/>
      <c r="H1033" s="33"/>
      <c r="I1033" s="33"/>
      <c r="J1033" s="3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c r="AF1033" s="33"/>
      <c r="AG1033" s="33"/>
      <c r="AH1033" s="33"/>
      <c r="AI1033" s="33"/>
      <c r="AJ1033" s="33"/>
      <c r="AK1033" s="34" t="str">
        <f aca="false">IF($B1033="","",COUNTIF($F1033:$AJ1033,"P"))</f>
        <v/>
      </c>
      <c r="AL1033" s="34" t="str">
        <f aca="false">IF($B1033="","",COUNTIF($F1033:$AJ1033,"A"))</f>
        <v/>
      </c>
      <c r="AM1033" s="34" t="str">
        <f aca="false">IF($B1033="","",COUNTIF($F1033:$AJ1033,"HA"))</f>
        <v/>
      </c>
      <c r="AN1033" s="34" t="str">
        <f aca="false">IF($B1033="","",COUNTIF($F1033:$AJ1033,"L"))</f>
        <v/>
      </c>
      <c r="AO1033" s="34" t="str">
        <f aca="false">IF($B1033="","",COUNTIF($F1033:$AJ1033,"PL"))</f>
        <v/>
      </c>
      <c r="AP1033" s="34" t="str">
        <f aca="false">IF($B1033="","",COUNTIF($F1033:$AJ1033,"CL"))</f>
        <v/>
      </c>
      <c r="AQ1033" s="34" t="str">
        <f aca="false">IF($B1033="","",COUNTIF($F1033:$AJ1033,"SL"))</f>
        <v/>
      </c>
      <c r="AR1033" s="34" t="str">
        <f aca="false">IF($B1033="","",COUNTIF($F1033:$AJ1033,"CO"))</f>
        <v/>
      </c>
      <c r="AS1033" s="34" t="str">
        <f aca="false">IF($B1033="","",COUNTIF($F1033:$AJ1033,"HPL"))</f>
        <v/>
      </c>
      <c r="AT1033" s="34" t="str">
        <f aca="false">IF($B1033="","",COUNTIF($F1033:$AJ1033,"HCL"))</f>
        <v/>
      </c>
      <c r="AU1033" s="34" t="str">
        <f aca="false">IF($B1033="","",COUNTIF($F1033:$AJ1033,"WO"))</f>
        <v/>
      </c>
      <c r="AV1033" s="34" t="str">
        <f aca="false">IF($B1033="","",COUNTIF($F1033:$AJ1033,"PH"))</f>
        <v/>
      </c>
      <c r="AW1033" s="34" t="str">
        <f aca="false">IF($B1033="","",COUNTIF($F1033:$AJ1033,"TR"))</f>
        <v/>
      </c>
      <c r="AX1033" s="35" t="str">
        <f aca="false">IF($B1033="","",AO1033+AS1033/2)</f>
        <v/>
      </c>
      <c r="AY1033" s="35" t="str">
        <f aca="false">IF($B1033="","",AQ1033)</f>
        <v/>
      </c>
      <c r="AZ1033" s="35" t="str">
        <f aca="false">IF($B1033="","",AP1033+AT1033/2)</f>
        <v/>
      </c>
      <c r="BA1033" s="35" t="str">
        <f aca="false">IF($B1033="","",AK1033+AN1033+AM1033/2+AO1033+AP1033+AQ1033+AR1033+AS1033+AT1033+AU1033+AV1033+AW1033)</f>
        <v/>
      </c>
      <c r="BB1033" s="35" t="str">
        <f aca="false">IF($B1033="","",MAX(0,AN1033-Settings!$C$16)*Settings!$C$17)</f>
        <v/>
      </c>
      <c r="BC1033" s="35" t="str">
        <f aca="false">IF($B1033="","",BA1033-BB1033)</f>
        <v/>
      </c>
      <c r="BD1033" s="35" t="str">
        <f aca="false">IF(OR($B1033="",$A1033=""),"",DAY(EOMONTH($A1033,0))-COUNTA($F1033:$AJ1033))</f>
        <v/>
      </c>
    </row>
    <row r="1034" customFormat="false" ht="15" hidden="false" customHeight="false" outlineLevel="0" collapsed="false">
      <c r="A1034" s="32"/>
      <c r="B1034" s="29"/>
      <c r="C1034" s="10" t="str">
        <f aca="false">IF($B1034="","",IFERROR(INDEX(M_name,MATCH($B1034,M_emp,0)),"Code not found"))</f>
        <v/>
      </c>
      <c r="D1034" s="10" t="str">
        <f aca="false">IF($B1034="","",IFERROR(INDEX(M_dept,MATCH($B1034,M_emp,0)),""))</f>
        <v/>
      </c>
      <c r="E1034" s="10" t="str">
        <f aca="false">IF($B1034="","",IFERROR(INDEX(M_loc,MATCH($B1034,M_emp,0)),""))</f>
        <v/>
      </c>
      <c r="F1034" s="33"/>
      <c r="G1034" s="33"/>
      <c r="H1034" s="33"/>
      <c r="I1034" s="33"/>
      <c r="J1034" s="33"/>
      <c r="K1034" s="33"/>
      <c r="L1034" s="33"/>
      <c r="M1034" s="33"/>
      <c r="N1034" s="33"/>
      <c r="O1034" s="33"/>
      <c r="P1034" s="33"/>
      <c r="Q1034" s="33"/>
      <c r="R1034" s="33"/>
      <c r="S1034" s="33"/>
      <c r="T1034" s="33"/>
      <c r="U1034" s="33"/>
      <c r="V1034" s="33"/>
      <c r="W1034" s="33"/>
      <c r="X1034" s="33"/>
      <c r="Y1034" s="33"/>
      <c r="Z1034" s="33"/>
      <c r="AA1034" s="33"/>
      <c r="AB1034" s="33"/>
      <c r="AC1034" s="33"/>
      <c r="AD1034" s="33"/>
      <c r="AE1034" s="33"/>
      <c r="AF1034" s="33"/>
      <c r="AG1034" s="33"/>
      <c r="AH1034" s="33"/>
      <c r="AI1034" s="33"/>
      <c r="AJ1034" s="33"/>
      <c r="AK1034" s="34" t="str">
        <f aca="false">IF($B1034="","",COUNTIF($F1034:$AJ1034,"P"))</f>
        <v/>
      </c>
      <c r="AL1034" s="34" t="str">
        <f aca="false">IF($B1034="","",COUNTIF($F1034:$AJ1034,"A"))</f>
        <v/>
      </c>
      <c r="AM1034" s="34" t="str">
        <f aca="false">IF($B1034="","",COUNTIF($F1034:$AJ1034,"HA"))</f>
        <v/>
      </c>
      <c r="AN1034" s="34" t="str">
        <f aca="false">IF($B1034="","",COUNTIF($F1034:$AJ1034,"L"))</f>
        <v/>
      </c>
      <c r="AO1034" s="34" t="str">
        <f aca="false">IF($B1034="","",COUNTIF($F1034:$AJ1034,"PL"))</f>
        <v/>
      </c>
      <c r="AP1034" s="34" t="str">
        <f aca="false">IF($B1034="","",COUNTIF($F1034:$AJ1034,"CL"))</f>
        <v/>
      </c>
      <c r="AQ1034" s="34" t="str">
        <f aca="false">IF($B1034="","",COUNTIF($F1034:$AJ1034,"SL"))</f>
        <v/>
      </c>
      <c r="AR1034" s="34" t="str">
        <f aca="false">IF($B1034="","",COUNTIF($F1034:$AJ1034,"CO"))</f>
        <v/>
      </c>
      <c r="AS1034" s="34" t="str">
        <f aca="false">IF($B1034="","",COUNTIF($F1034:$AJ1034,"HPL"))</f>
        <v/>
      </c>
      <c r="AT1034" s="34" t="str">
        <f aca="false">IF($B1034="","",COUNTIF($F1034:$AJ1034,"HCL"))</f>
        <v/>
      </c>
      <c r="AU1034" s="34" t="str">
        <f aca="false">IF($B1034="","",COUNTIF($F1034:$AJ1034,"WO"))</f>
        <v/>
      </c>
      <c r="AV1034" s="34" t="str">
        <f aca="false">IF($B1034="","",COUNTIF($F1034:$AJ1034,"PH"))</f>
        <v/>
      </c>
      <c r="AW1034" s="34" t="str">
        <f aca="false">IF($B1034="","",COUNTIF($F1034:$AJ1034,"TR"))</f>
        <v/>
      </c>
      <c r="AX1034" s="35" t="str">
        <f aca="false">IF($B1034="","",AO1034+AS1034/2)</f>
        <v/>
      </c>
      <c r="AY1034" s="35" t="str">
        <f aca="false">IF($B1034="","",AQ1034)</f>
        <v/>
      </c>
      <c r="AZ1034" s="35" t="str">
        <f aca="false">IF($B1034="","",AP1034+AT1034/2)</f>
        <v/>
      </c>
      <c r="BA1034" s="35" t="str">
        <f aca="false">IF($B1034="","",AK1034+AN1034+AM1034/2+AO1034+AP1034+AQ1034+AR1034+AS1034+AT1034+AU1034+AV1034+AW1034)</f>
        <v/>
      </c>
      <c r="BB1034" s="35" t="str">
        <f aca="false">IF($B1034="","",MAX(0,AN1034-Settings!$C$16)*Settings!$C$17)</f>
        <v/>
      </c>
      <c r="BC1034" s="35" t="str">
        <f aca="false">IF($B1034="","",BA1034-BB1034)</f>
        <v/>
      </c>
      <c r="BD1034" s="35" t="str">
        <f aca="false">IF(OR($B1034="",$A1034=""),"",DAY(EOMONTH($A1034,0))-COUNTA($F1034:$AJ1034))</f>
        <v/>
      </c>
    </row>
    <row r="1035" customFormat="false" ht="15" hidden="false" customHeight="false" outlineLevel="0" collapsed="false">
      <c r="A1035" s="32"/>
      <c r="B1035" s="29"/>
      <c r="C1035" s="10" t="str">
        <f aca="false">IF($B1035="","",IFERROR(INDEX(M_name,MATCH($B1035,M_emp,0)),"Code not found"))</f>
        <v/>
      </c>
      <c r="D1035" s="10" t="str">
        <f aca="false">IF($B1035="","",IFERROR(INDEX(M_dept,MATCH($B1035,M_emp,0)),""))</f>
        <v/>
      </c>
      <c r="E1035" s="10" t="str">
        <f aca="false">IF($B1035="","",IFERROR(INDEX(M_loc,MATCH($B1035,M_emp,0)),""))</f>
        <v/>
      </c>
      <c r="F1035" s="33"/>
      <c r="G1035" s="33"/>
      <c r="H1035" s="33"/>
      <c r="I1035" s="33"/>
      <c r="J1035" s="3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c r="AF1035" s="33"/>
      <c r="AG1035" s="33"/>
      <c r="AH1035" s="33"/>
      <c r="AI1035" s="33"/>
      <c r="AJ1035" s="33"/>
      <c r="AK1035" s="34" t="str">
        <f aca="false">IF($B1035="","",COUNTIF($F1035:$AJ1035,"P"))</f>
        <v/>
      </c>
      <c r="AL1035" s="34" t="str">
        <f aca="false">IF($B1035="","",COUNTIF($F1035:$AJ1035,"A"))</f>
        <v/>
      </c>
      <c r="AM1035" s="34" t="str">
        <f aca="false">IF($B1035="","",COUNTIF($F1035:$AJ1035,"HA"))</f>
        <v/>
      </c>
      <c r="AN1035" s="34" t="str">
        <f aca="false">IF($B1035="","",COUNTIF($F1035:$AJ1035,"L"))</f>
        <v/>
      </c>
      <c r="AO1035" s="34" t="str">
        <f aca="false">IF($B1035="","",COUNTIF($F1035:$AJ1035,"PL"))</f>
        <v/>
      </c>
      <c r="AP1035" s="34" t="str">
        <f aca="false">IF($B1035="","",COUNTIF($F1035:$AJ1035,"CL"))</f>
        <v/>
      </c>
      <c r="AQ1035" s="34" t="str">
        <f aca="false">IF($B1035="","",COUNTIF($F1035:$AJ1035,"SL"))</f>
        <v/>
      </c>
      <c r="AR1035" s="34" t="str">
        <f aca="false">IF($B1035="","",COUNTIF($F1035:$AJ1035,"CO"))</f>
        <v/>
      </c>
      <c r="AS1035" s="34" t="str">
        <f aca="false">IF($B1035="","",COUNTIF($F1035:$AJ1035,"HPL"))</f>
        <v/>
      </c>
      <c r="AT1035" s="34" t="str">
        <f aca="false">IF($B1035="","",COUNTIF($F1035:$AJ1035,"HCL"))</f>
        <v/>
      </c>
      <c r="AU1035" s="34" t="str">
        <f aca="false">IF($B1035="","",COUNTIF($F1035:$AJ1035,"WO"))</f>
        <v/>
      </c>
      <c r="AV1035" s="34" t="str">
        <f aca="false">IF($B1035="","",COUNTIF($F1035:$AJ1035,"PH"))</f>
        <v/>
      </c>
      <c r="AW1035" s="34" t="str">
        <f aca="false">IF($B1035="","",COUNTIF($F1035:$AJ1035,"TR"))</f>
        <v/>
      </c>
      <c r="AX1035" s="35" t="str">
        <f aca="false">IF($B1035="","",AO1035+AS1035/2)</f>
        <v/>
      </c>
      <c r="AY1035" s="35" t="str">
        <f aca="false">IF($B1035="","",AQ1035)</f>
        <v/>
      </c>
      <c r="AZ1035" s="35" t="str">
        <f aca="false">IF($B1035="","",AP1035+AT1035/2)</f>
        <v/>
      </c>
      <c r="BA1035" s="35" t="str">
        <f aca="false">IF($B1035="","",AK1035+AN1035+AM1035/2+AO1035+AP1035+AQ1035+AR1035+AS1035+AT1035+AU1035+AV1035+AW1035)</f>
        <v/>
      </c>
      <c r="BB1035" s="35" t="str">
        <f aca="false">IF($B1035="","",MAX(0,AN1035-Settings!$C$16)*Settings!$C$17)</f>
        <v/>
      </c>
      <c r="BC1035" s="35" t="str">
        <f aca="false">IF($B1035="","",BA1035-BB1035)</f>
        <v/>
      </c>
      <c r="BD1035" s="35" t="str">
        <f aca="false">IF(OR($B1035="",$A1035=""),"",DAY(EOMONTH($A1035,0))-COUNTA($F1035:$AJ1035))</f>
        <v/>
      </c>
    </row>
    <row r="1036" customFormat="false" ht="15" hidden="false" customHeight="false" outlineLevel="0" collapsed="false">
      <c r="A1036" s="32"/>
      <c r="B1036" s="29"/>
      <c r="C1036" s="10" t="str">
        <f aca="false">IF($B1036="","",IFERROR(INDEX(M_name,MATCH($B1036,M_emp,0)),"Code not found"))</f>
        <v/>
      </c>
      <c r="D1036" s="10" t="str">
        <f aca="false">IF($B1036="","",IFERROR(INDEX(M_dept,MATCH($B1036,M_emp,0)),""))</f>
        <v/>
      </c>
      <c r="E1036" s="10" t="str">
        <f aca="false">IF($B1036="","",IFERROR(INDEX(M_loc,MATCH($B1036,M_emp,0)),""))</f>
        <v/>
      </c>
      <c r="F1036" s="33"/>
      <c r="G1036" s="33"/>
      <c r="H1036" s="33"/>
      <c r="I1036" s="33"/>
      <c r="J1036" s="33"/>
      <c r="K1036" s="33"/>
      <c r="L1036" s="33"/>
      <c r="M1036" s="33"/>
      <c r="N1036" s="33"/>
      <c r="O1036" s="33"/>
      <c r="P1036" s="33"/>
      <c r="Q1036" s="33"/>
      <c r="R1036" s="33"/>
      <c r="S1036" s="33"/>
      <c r="T1036" s="33"/>
      <c r="U1036" s="33"/>
      <c r="V1036" s="33"/>
      <c r="W1036" s="33"/>
      <c r="X1036" s="33"/>
      <c r="Y1036" s="33"/>
      <c r="Z1036" s="33"/>
      <c r="AA1036" s="33"/>
      <c r="AB1036" s="33"/>
      <c r="AC1036" s="33"/>
      <c r="AD1036" s="33"/>
      <c r="AE1036" s="33"/>
      <c r="AF1036" s="33"/>
      <c r="AG1036" s="33"/>
      <c r="AH1036" s="33"/>
      <c r="AI1036" s="33"/>
      <c r="AJ1036" s="33"/>
      <c r="AK1036" s="34" t="str">
        <f aca="false">IF($B1036="","",COUNTIF($F1036:$AJ1036,"P"))</f>
        <v/>
      </c>
      <c r="AL1036" s="34" t="str">
        <f aca="false">IF($B1036="","",COUNTIF($F1036:$AJ1036,"A"))</f>
        <v/>
      </c>
      <c r="AM1036" s="34" t="str">
        <f aca="false">IF($B1036="","",COUNTIF($F1036:$AJ1036,"HA"))</f>
        <v/>
      </c>
      <c r="AN1036" s="34" t="str">
        <f aca="false">IF($B1036="","",COUNTIF($F1036:$AJ1036,"L"))</f>
        <v/>
      </c>
      <c r="AO1036" s="34" t="str">
        <f aca="false">IF($B1036="","",COUNTIF($F1036:$AJ1036,"PL"))</f>
        <v/>
      </c>
      <c r="AP1036" s="34" t="str">
        <f aca="false">IF($B1036="","",COUNTIF($F1036:$AJ1036,"CL"))</f>
        <v/>
      </c>
      <c r="AQ1036" s="34" t="str">
        <f aca="false">IF($B1036="","",COUNTIF($F1036:$AJ1036,"SL"))</f>
        <v/>
      </c>
      <c r="AR1036" s="34" t="str">
        <f aca="false">IF($B1036="","",COUNTIF($F1036:$AJ1036,"CO"))</f>
        <v/>
      </c>
      <c r="AS1036" s="34" t="str">
        <f aca="false">IF($B1036="","",COUNTIF($F1036:$AJ1036,"HPL"))</f>
        <v/>
      </c>
      <c r="AT1036" s="34" t="str">
        <f aca="false">IF($B1036="","",COUNTIF($F1036:$AJ1036,"HCL"))</f>
        <v/>
      </c>
      <c r="AU1036" s="34" t="str">
        <f aca="false">IF($B1036="","",COUNTIF($F1036:$AJ1036,"WO"))</f>
        <v/>
      </c>
      <c r="AV1036" s="34" t="str">
        <f aca="false">IF($B1036="","",COUNTIF($F1036:$AJ1036,"PH"))</f>
        <v/>
      </c>
      <c r="AW1036" s="34" t="str">
        <f aca="false">IF($B1036="","",COUNTIF($F1036:$AJ1036,"TR"))</f>
        <v/>
      </c>
      <c r="AX1036" s="35" t="str">
        <f aca="false">IF($B1036="","",AO1036+AS1036/2)</f>
        <v/>
      </c>
      <c r="AY1036" s="35" t="str">
        <f aca="false">IF($B1036="","",AQ1036)</f>
        <v/>
      </c>
      <c r="AZ1036" s="35" t="str">
        <f aca="false">IF($B1036="","",AP1036+AT1036/2)</f>
        <v/>
      </c>
      <c r="BA1036" s="35" t="str">
        <f aca="false">IF($B1036="","",AK1036+AN1036+AM1036/2+AO1036+AP1036+AQ1036+AR1036+AS1036+AT1036+AU1036+AV1036+AW1036)</f>
        <v/>
      </c>
      <c r="BB1036" s="35" t="str">
        <f aca="false">IF($B1036="","",MAX(0,AN1036-Settings!$C$16)*Settings!$C$17)</f>
        <v/>
      </c>
      <c r="BC1036" s="35" t="str">
        <f aca="false">IF($B1036="","",BA1036-BB1036)</f>
        <v/>
      </c>
      <c r="BD1036" s="35" t="str">
        <f aca="false">IF(OR($B1036="",$A1036=""),"",DAY(EOMONTH($A1036,0))-COUNTA($F1036:$AJ1036))</f>
        <v/>
      </c>
    </row>
    <row r="1037" customFormat="false" ht="15" hidden="false" customHeight="false" outlineLevel="0" collapsed="false">
      <c r="A1037" s="32"/>
      <c r="B1037" s="29"/>
      <c r="C1037" s="10" t="str">
        <f aca="false">IF($B1037="","",IFERROR(INDEX(M_name,MATCH($B1037,M_emp,0)),"Code not found"))</f>
        <v/>
      </c>
      <c r="D1037" s="10" t="str">
        <f aca="false">IF($B1037="","",IFERROR(INDEX(M_dept,MATCH($B1037,M_emp,0)),""))</f>
        <v/>
      </c>
      <c r="E1037" s="10" t="str">
        <f aca="false">IF($B1037="","",IFERROR(INDEX(M_loc,MATCH($B1037,M_emp,0)),""))</f>
        <v/>
      </c>
      <c r="F1037" s="33"/>
      <c r="G1037" s="33"/>
      <c r="H1037" s="33"/>
      <c r="I1037" s="33"/>
      <c r="J1037" s="3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c r="AF1037" s="33"/>
      <c r="AG1037" s="33"/>
      <c r="AH1037" s="33"/>
      <c r="AI1037" s="33"/>
      <c r="AJ1037" s="33"/>
      <c r="AK1037" s="34" t="str">
        <f aca="false">IF($B1037="","",COUNTIF($F1037:$AJ1037,"P"))</f>
        <v/>
      </c>
      <c r="AL1037" s="34" t="str">
        <f aca="false">IF($B1037="","",COUNTIF($F1037:$AJ1037,"A"))</f>
        <v/>
      </c>
      <c r="AM1037" s="34" t="str">
        <f aca="false">IF($B1037="","",COUNTIF($F1037:$AJ1037,"HA"))</f>
        <v/>
      </c>
      <c r="AN1037" s="34" t="str">
        <f aca="false">IF($B1037="","",COUNTIF($F1037:$AJ1037,"L"))</f>
        <v/>
      </c>
      <c r="AO1037" s="34" t="str">
        <f aca="false">IF($B1037="","",COUNTIF($F1037:$AJ1037,"PL"))</f>
        <v/>
      </c>
      <c r="AP1037" s="34" t="str">
        <f aca="false">IF($B1037="","",COUNTIF($F1037:$AJ1037,"CL"))</f>
        <v/>
      </c>
      <c r="AQ1037" s="34" t="str">
        <f aca="false">IF($B1037="","",COUNTIF($F1037:$AJ1037,"SL"))</f>
        <v/>
      </c>
      <c r="AR1037" s="34" t="str">
        <f aca="false">IF($B1037="","",COUNTIF($F1037:$AJ1037,"CO"))</f>
        <v/>
      </c>
      <c r="AS1037" s="34" t="str">
        <f aca="false">IF($B1037="","",COUNTIF($F1037:$AJ1037,"HPL"))</f>
        <v/>
      </c>
      <c r="AT1037" s="34" t="str">
        <f aca="false">IF($B1037="","",COUNTIF($F1037:$AJ1037,"HCL"))</f>
        <v/>
      </c>
      <c r="AU1037" s="34" t="str">
        <f aca="false">IF($B1037="","",COUNTIF($F1037:$AJ1037,"WO"))</f>
        <v/>
      </c>
      <c r="AV1037" s="34" t="str">
        <f aca="false">IF($B1037="","",COUNTIF($F1037:$AJ1037,"PH"))</f>
        <v/>
      </c>
      <c r="AW1037" s="34" t="str">
        <f aca="false">IF($B1037="","",COUNTIF($F1037:$AJ1037,"TR"))</f>
        <v/>
      </c>
      <c r="AX1037" s="35" t="str">
        <f aca="false">IF($B1037="","",AO1037+AS1037/2)</f>
        <v/>
      </c>
      <c r="AY1037" s="35" t="str">
        <f aca="false">IF($B1037="","",AQ1037)</f>
        <v/>
      </c>
      <c r="AZ1037" s="35" t="str">
        <f aca="false">IF($B1037="","",AP1037+AT1037/2)</f>
        <v/>
      </c>
      <c r="BA1037" s="35" t="str">
        <f aca="false">IF($B1037="","",AK1037+AN1037+AM1037/2+AO1037+AP1037+AQ1037+AR1037+AS1037+AT1037+AU1037+AV1037+AW1037)</f>
        <v/>
      </c>
      <c r="BB1037" s="35" t="str">
        <f aca="false">IF($B1037="","",MAX(0,AN1037-Settings!$C$16)*Settings!$C$17)</f>
        <v/>
      </c>
      <c r="BC1037" s="35" t="str">
        <f aca="false">IF($B1037="","",BA1037-BB1037)</f>
        <v/>
      </c>
      <c r="BD1037" s="35" t="str">
        <f aca="false">IF(OR($B1037="",$A1037=""),"",DAY(EOMONTH($A1037,0))-COUNTA($F1037:$AJ1037))</f>
        <v/>
      </c>
    </row>
    <row r="1038" customFormat="false" ht="15" hidden="false" customHeight="false" outlineLevel="0" collapsed="false">
      <c r="A1038" s="32"/>
      <c r="B1038" s="29"/>
      <c r="C1038" s="10" t="str">
        <f aca="false">IF($B1038="","",IFERROR(INDEX(M_name,MATCH($B1038,M_emp,0)),"Code not found"))</f>
        <v/>
      </c>
      <c r="D1038" s="10" t="str">
        <f aca="false">IF($B1038="","",IFERROR(INDEX(M_dept,MATCH($B1038,M_emp,0)),""))</f>
        <v/>
      </c>
      <c r="E1038" s="10" t="str">
        <f aca="false">IF($B1038="","",IFERROR(INDEX(M_loc,MATCH($B1038,M_emp,0)),""))</f>
        <v/>
      </c>
      <c r="F1038" s="33"/>
      <c r="G1038" s="33"/>
      <c r="H1038" s="33"/>
      <c r="I1038" s="33"/>
      <c r="J1038" s="33"/>
      <c r="K1038" s="33"/>
      <c r="L1038" s="33"/>
      <c r="M1038" s="33"/>
      <c r="N1038" s="33"/>
      <c r="O1038" s="33"/>
      <c r="P1038" s="33"/>
      <c r="Q1038" s="33"/>
      <c r="R1038" s="33"/>
      <c r="S1038" s="33"/>
      <c r="T1038" s="33"/>
      <c r="U1038" s="33"/>
      <c r="V1038" s="33"/>
      <c r="W1038" s="33"/>
      <c r="X1038" s="33"/>
      <c r="Y1038" s="33"/>
      <c r="Z1038" s="33"/>
      <c r="AA1038" s="33"/>
      <c r="AB1038" s="33"/>
      <c r="AC1038" s="33"/>
      <c r="AD1038" s="33"/>
      <c r="AE1038" s="33"/>
      <c r="AF1038" s="33"/>
      <c r="AG1038" s="33"/>
      <c r="AH1038" s="33"/>
      <c r="AI1038" s="33"/>
      <c r="AJ1038" s="33"/>
      <c r="AK1038" s="34" t="str">
        <f aca="false">IF($B1038="","",COUNTIF($F1038:$AJ1038,"P"))</f>
        <v/>
      </c>
      <c r="AL1038" s="34" t="str">
        <f aca="false">IF($B1038="","",COUNTIF($F1038:$AJ1038,"A"))</f>
        <v/>
      </c>
      <c r="AM1038" s="34" t="str">
        <f aca="false">IF($B1038="","",COUNTIF($F1038:$AJ1038,"HA"))</f>
        <v/>
      </c>
      <c r="AN1038" s="34" t="str">
        <f aca="false">IF($B1038="","",COUNTIF($F1038:$AJ1038,"L"))</f>
        <v/>
      </c>
      <c r="AO1038" s="34" t="str">
        <f aca="false">IF($B1038="","",COUNTIF($F1038:$AJ1038,"PL"))</f>
        <v/>
      </c>
      <c r="AP1038" s="34" t="str">
        <f aca="false">IF($B1038="","",COUNTIF($F1038:$AJ1038,"CL"))</f>
        <v/>
      </c>
      <c r="AQ1038" s="34" t="str">
        <f aca="false">IF($B1038="","",COUNTIF($F1038:$AJ1038,"SL"))</f>
        <v/>
      </c>
      <c r="AR1038" s="34" t="str">
        <f aca="false">IF($B1038="","",COUNTIF($F1038:$AJ1038,"CO"))</f>
        <v/>
      </c>
      <c r="AS1038" s="34" t="str">
        <f aca="false">IF($B1038="","",COUNTIF($F1038:$AJ1038,"HPL"))</f>
        <v/>
      </c>
      <c r="AT1038" s="34" t="str">
        <f aca="false">IF($B1038="","",COUNTIF($F1038:$AJ1038,"HCL"))</f>
        <v/>
      </c>
      <c r="AU1038" s="34" t="str">
        <f aca="false">IF($B1038="","",COUNTIF($F1038:$AJ1038,"WO"))</f>
        <v/>
      </c>
      <c r="AV1038" s="34" t="str">
        <f aca="false">IF($B1038="","",COUNTIF($F1038:$AJ1038,"PH"))</f>
        <v/>
      </c>
      <c r="AW1038" s="34" t="str">
        <f aca="false">IF($B1038="","",COUNTIF($F1038:$AJ1038,"TR"))</f>
        <v/>
      </c>
      <c r="AX1038" s="35" t="str">
        <f aca="false">IF($B1038="","",AO1038+AS1038/2)</f>
        <v/>
      </c>
      <c r="AY1038" s="35" t="str">
        <f aca="false">IF($B1038="","",AQ1038)</f>
        <v/>
      </c>
      <c r="AZ1038" s="35" t="str">
        <f aca="false">IF($B1038="","",AP1038+AT1038/2)</f>
        <v/>
      </c>
      <c r="BA1038" s="35" t="str">
        <f aca="false">IF($B1038="","",AK1038+AN1038+AM1038/2+AO1038+AP1038+AQ1038+AR1038+AS1038+AT1038+AU1038+AV1038+AW1038)</f>
        <v/>
      </c>
      <c r="BB1038" s="35" t="str">
        <f aca="false">IF($B1038="","",MAX(0,AN1038-Settings!$C$16)*Settings!$C$17)</f>
        <v/>
      </c>
      <c r="BC1038" s="35" t="str">
        <f aca="false">IF($B1038="","",BA1038-BB1038)</f>
        <v/>
      </c>
      <c r="BD1038" s="35" t="str">
        <f aca="false">IF(OR($B1038="",$A1038=""),"",DAY(EOMONTH($A1038,0))-COUNTA($F1038:$AJ1038))</f>
        <v/>
      </c>
    </row>
    <row r="1039" customFormat="false" ht="15" hidden="false" customHeight="false" outlineLevel="0" collapsed="false">
      <c r="A1039" s="32"/>
      <c r="B1039" s="29"/>
      <c r="C1039" s="10" t="str">
        <f aca="false">IF($B1039="","",IFERROR(INDEX(M_name,MATCH($B1039,M_emp,0)),"Code not found"))</f>
        <v/>
      </c>
      <c r="D1039" s="10" t="str">
        <f aca="false">IF($B1039="","",IFERROR(INDEX(M_dept,MATCH($B1039,M_emp,0)),""))</f>
        <v/>
      </c>
      <c r="E1039" s="10" t="str">
        <f aca="false">IF($B1039="","",IFERROR(INDEX(M_loc,MATCH($B1039,M_emp,0)),""))</f>
        <v/>
      </c>
      <c r="F1039" s="33"/>
      <c r="G1039" s="33"/>
      <c r="H1039" s="33"/>
      <c r="I1039" s="33"/>
      <c r="J1039" s="33"/>
      <c r="K1039" s="3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34" t="str">
        <f aca="false">IF($B1039="","",COUNTIF($F1039:$AJ1039,"P"))</f>
        <v/>
      </c>
      <c r="AL1039" s="34" t="str">
        <f aca="false">IF($B1039="","",COUNTIF($F1039:$AJ1039,"A"))</f>
        <v/>
      </c>
      <c r="AM1039" s="34" t="str">
        <f aca="false">IF($B1039="","",COUNTIF($F1039:$AJ1039,"HA"))</f>
        <v/>
      </c>
      <c r="AN1039" s="34" t="str">
        <f aca="false">IF($B1039="","",COUNTIF($F1039:$AJ1039,"L"))</f>
        <v/>
      </c>
      <c r="AO1039" s="34" t="str">
        <f aca="false">IF($B1039="","",COUNTIF($F1039:$AJ1039,"PL"))</f>
        <v/>
      </c>
      <c r="AP1039" s="34" t="str">
        <f aca="false">IF($B1039="","",COUNTIF($F1039:$AJ1039,"CL"))</f>
        <v/>
      </c>
      <c r="AQ1039" s="34" t="str">
        <f aca="false">IF($B1039="","",COUNTIF($F1039:$AJ1039,"SL"))</f>
        <v/>
      </c>
      <c r="AR1039" s="34" t="str">
        <f aca="false">IF($B1039="","",COUNTIF($F1039:$AJ1039,"CO"))</f>
        <v/>
      </c>
      <c r="AS1039" s="34" t="str">
        <f aca="false">IF($B1039="","",COUNTIF($F1039:$AJ1039,"HPL"))</f>
        <v/>
      </c>
      <c r="AT1039" s="34" t="str">
        <f aca="false">IF($B1039="","",COUNTIF($F1039:$AJ1039,"HCL"))</f>
        <v/>
      </c>
      <c r="AU1039" s="34" t="str">
        <f aca="false">IF($B1039="","",COUNTIF($F1039:$AJ1039,"WO"))</f>
        <v/>
      </c>
      <c r="AV1039" s="34" t="str">
        <f aca="false">IF($B1039="","",COUNTIF($F1039:$AJ1039,"PH"))</f>
        <v/>
      </c>
      <c r="AW1039" s="34" t="str">
        <f aca="false">IF($B1039="","",COUNTIF($F1039:$AJ1039,"TR"))</f>
        <v/>
      </c>
      <c r="AX1039" s="35" t="str">
        <f aca="false">IF($B1039="","",AO1039+AS1039/2)</f>
        <v/>
      </c>
      <c r="AY1039" s="35" t="str">
        <f aca="false">IF($B1039="","",AQ1039)</f>
        <v/>
      </c>
      <c r="AZ1039" s="35" t="str">
        <f aca="false">IF($B1039="","",AP1039+AT1039/2)</f>
        <v/>
      </c>
      <c r="BA1039" s="35" t="str">
        <f aca="false">IF($B1039="","",AK1039+AN1039+AM1039/2+AO1039+AP1039+AQ1039+AR1039+AS1039+AT1039+AU1039+AV1039+AW1039)</f>
        <v/>
      </c>
      <c r="BB1039" s="35" t="str">
        <f aca="false">IF($B1039="","",MAX(0,AN1039-Settings!$C$16)*Settings!$C$17)</f>
        <v/>
      </c>
      <c r="BC1039" s="35" t="str">
        <f aca="false">IF($B1039="","",BA1039-BB1039)</f>
        <v/>
      </c>
      <c r="BD1039" s="35" t="str">
        <f aca="false">IF(OR($B1039="",$A1039=""),"",DAY(EOMONTH($A1039,0))-COUNTA($F1039:$AJ1039))</f>
        <v/>
      </c>
    </row>
    <row r="1040" customFormat="false" ht="15" hidden="false" customHeight="false" outlineLevel="0" collapsed="false">
      <c r="A1040" s="32"/>
      <c r="B1040" s="29"/>
      <c r="C1040" s="10" t="str">
        <f aca="false">IF($B1040="","",IFERROR(INDEX(M_name,MATCH($B1040,M_emp,0)),"Code not found"))</f>
        <v/>
      </c>
      <c r="D1040" s="10" t="str">
        <f aca="false">IF($B1040="","",IFERROR(INDEX(M_dept,MATCH($B1040,M_emp,0)),""))</f>
        <v/>
      </c>
      <c r="E1040" s="10" t="str">
        <f aca="false">IF($B1040="","",IFERROR(INDEX(M_loc,MATCH($B1040,M_emp,0)),""))</f>
        <v/>
      </c>
      <c r="F1040" s="33"/>
      <c r="G1040" s="33"/>
      <c r="H1040" s="33"/>
      <c r="I1040" s="33"/>
      <c r="J1040" s="33"/>
      <c r="K1040" s="3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34" t="str">
        <f aca="false">IF($B1040="","",COUNTIF($F1040:$AJ1040,"P"))</f>
        <v/>
      </c>
      <c r="AL1040" s="34" t="str">
        <f aca="false">IF($B1040="","",COUNTIF($F1040:$AJ1040,"A"))</f>
        <v/>
      </c>
      <c r="AM1040" s="34" t="str">
        <f aca="false">IF($B1040="","",COUNTIF($F1040:$AJ1040,"HA"))</f>
        <v/>
      </c>
      <c r="AN1040" s="34" t="str">
        <f aca="false">IF($B1040="","",COUNTIF($F1040:$AJ1040,"L"))</f>
        <v/>
      </c>
      <c r="AO1040" s="34" t="str">
        <f aca="false">IF($B1040="","",COUNTIF($F1040:$AJ1040,"PL"))</f>
        <v/>
      </c>
      <c r="AP1040" s="34" t="str">
        <f aca="false">IF($B1040="","",COUNTIF($F1040:$AJ1040,"CL"))</f>
        <v/>
      </c>
      <c r="AQ1040" s="34" t="str">
        <f aca="false">IF($B1040="","",COUNTIF($F1040:$AJ1040,"SL"))</f>
        <v/>
      </c>
      <c r="AR1040" s="34" t="str">
        <f aca="false">IF($B1040="","",COUNTIF($F1040:$AJ1040,"CO"))</f>
        <v/>
      </c>
      <c r="AS1040" s="34" t="str">
        <f aca="false">IF($B1040="","",COUNTIF($F1040:$AJ1040,"HPL"))</f>
        <v/>
      </c>
      <c r="AT1040" s="34" t="str">
        <f aca="false">IF($B1040="","",COUNTIF($F1040:$AJ1040,"HCL"))</f>
        <v/>
      </c>
      <c r="AU1040" s="34" t="str">
        <f aca="false">IF($B1040="","",COUNTIF($F1040:$AJ1040,"WO"))</f>
        <v/>
      </c>
      <c r="AV1040" s="34" t="str">
        <f aca="false">IF($B1040="","",COUNTIF($F1040:$AJ1040,"PH"))</f>
        <v/>
      </c>
      <c r="AW1040" s="34" t="str">
        <f aca="false">IF($B1040="","",COUNTIF($F1040:$AJ1040,"TR"))</f>
        <v/>
      </c>
      <c r="AX1040" s="35" t="str">
        <f aca="false">IF($B1040="","",AO1040+AS1040/2)</f>
        <v/>
      </c>
      <c r="AY1040" s="35" t="str">
        <f aca="false">IF($B1040="","",AQ1040)</f>
        <v/>
      </c>
      <c r="AZ1040" s="35" t="str">
        <f aca="false">IF($B1040="","",AP1040+AT1040/2)</f>
        <v/>
      </c>
      <c r="BA1040" s="35" t="str">
        <f aca="false">IF($B1040="","",AK1040+AN1040+AM1040/2+AO1040+AP1040+AQ1040+AR1040+AS1040+AT1040+AU1040+AV1040+AW1040)</f>
        <v/>
      </c>
      <c r="BB1040" s="35" t="str">
        <f aca="false">IF($B1040="","",MAX(0,AN1040-Settings!$C$16)*Settings!$C$17)</f>
        <v/>
      </c>
      <c r="BC1040" s="35" t="str">
        <f aca="false">IF($B1040="","",BA1040-BB1040)</f>
        <v/>
      </c>
      <c r="BD1040" s="35" t="str">
        <f aca="false">IF(OR($B1040="",$A1040=""),"",DAY(EOMONTH($A1040,0))-COUNTA($F1040:$AJ1040))</f>
        <v/>
      </c>
    </row>
    <row r="1041" customFormat="false" ht="15" hidden="false" customHeight="false" outlineLevel="0" collapsed="false">
      <c r="A1041" s="32"/>
      <c r="B1041" s="29"/>
      <c r="C1041" s="10" t="str">
        <f aca="false">IF($B1041="","",IFERROR(INDEX(M_name,MATCH($B1041,M_emp,0)),"Code not found"))</f>
        <v/>
      </c>
      <c r="D1041" s="10" t="str">
        <f aca="false">IF($B1041="","",IFERROR(INDEX(M_dept,MATCH($B1041,M_emp,0)),""))</f>
        <v/>
      </c>
      <c r="E1041" s="10" t="str">
        <f aca="false">IF($B1041="","",IFERROR(INDEX(M_loc,MATCH($B1041,M_emp,0)),""))</f>
        <v/>
      </c>
      <c r="F1041" s="33"/>
      <c r="G1041" s="33"/>
      <c r="H1041" s="33"/>
      <c r="I1041" s="33"/>
      <c r="J1041" s="33"/>
      <c r="K1041" s="33"/>
      <c r="L1041" s="33"/>
      <c r="M1041" s="33"/>
      <c r="N1041" s="33"/>
      <c r="O1041" s="33"/>
      <c r="P1041" s="33"/>
      <c r="Q1041" s="33"/>
      <c r="R1041" s="33"/>
      <c r="S1041" s="33"/>
      <c r="T1041" s="33"/>
      <c r="U1041" s="33"/>
      <c r="V1041" s="33"/>
      <c r="W1041" s="33"/>
      <c r="X1041" s="33"/>
      <c r="Y1041" s="33"/>
      <c r="Z1041" s="33"/>
      <c r="AA1041" s="33"/>
      <c r="AB1041" s="33"/>
      <c r="AC1041" s="33"/>
      <c r="AD1041" s="33"/>
      <c r="AE1041" s="33"/>
      <c r="AF1041" s="33"/>
      <c r="AG1041" s="33"/>
      <c r="AH1041" s="33"/>
      <c r="AI1041" s="33"/>
      <c r="AJ1041" s="33"/>
      <c r="AK1041" s="34" t="str">
        <f aca="false">IF($B1041="","",COUNTIF($F1041:$AJ1041,"P"))</f>
        <v/>
      </c>
      <c r="AL1041" s="34" t="str">
        <f aca="false">IF($B1041="","",COUNTIF($F1041:$AJ1041,"A"))</f>
        <v/>
      </c>
      <c r="AM1041" s="34" t="str">
        <f aca="false">IF($B1041="","",COUNTIF($F1041:$AJ1041,"HA"))</f>
        <v/>
      </c>
      <c r="AN1041" s="34" t="str">
        <f aca="false">IF($B1041="","",COUNTIF($F1041:$AJ1041,"L"))</f>
        <v/>
      </c>
      <c r="AO1041" s="34" t="str">
        <f aca="false">IF($B1041="","",COUNTIF($F1041:$AJ1041,"PL"))</f>
        <v/>
      </c>
      <c r="AP1041" s="34" t="str">
        <f aca="false">IF($B1041="","",COUNTIF($F1041:$AJ1041,"CL"))</f>
        <v/>
      </c>
      <c r="AQ1041" s="34" t="str">
        <f aca="false">IF($B1041="","",COUNTIF($F1041:$AJ1041,"SL"))</f>
        <v/>
      </c>
      <c r="AR1041" s="34" t="str">
        <f aca="false">IF($B1041="","",COUNTIF($F1041:$AJ1041,"CO"))</f>
        <v/>
      </c>
      <c r="AS1041" s="34" t="str">
        <f aca="false">IF($B1041="","",COUNTIF($F1041:$AJ1041,"HPL"))</f>
        <v/>
      </c>
      <c r="AT1041" s="34" t="str">
        <f aca="false">IF($B1041="","",COUNTIF($F1041:$AJ1041,"HCL"))</f>
        <v/>
      </c>
      <c r="AU1041" s="34" t="str">
        <f aca="false">IF($B1041="","",COUNTIF($F1041:$AJ1041,"WO"))</f>
        <v/>
      </c>
      <c r="AV1041" s="34" t="str">
        <f aca="false">IF($B1041="","",COUNTIF($F1041:$AJ1041,"PH"))</f>
        <v/>
      </c>
      <c r="AW1041" s="34" t="str">
        <f aca="false">IF($B1041="","",COUNTIF($F1041:$AJ1041,"TR"))</f>
        <v/>
      </c>
      <c r="AX1041" s="35" t="str">
        <f aca="false">IF($B1041="","",AO1041+AS1041/2)</f>
        <v/>
      </c>
      <c r="AY1041" s="35" t="str">
        <f aca="false">IF($B1041="","",AQ1041)</f>
        <v/>
      </c>
      <c r="AZ1041" s="35" t="str">
        <f aca="false">IF($B1041="","",AP1041+AT1041/2)</f>
        <v/>
      </c>
      <c r="BA1041" s="35" t="str">
        <f aca="false">IF($B1041="","",AK1041+AN1041+AM1041/2+AO1041+AP1041+AQ1041+AR1041+AS1041+AT1041+AU1041+AV1041+AW1041)</f>
        <v/>
      </c>
      <c r="BB1041" s="35" t="str">
        <f aca="false">IF($B1041="","",MAX(0,AN1041-Settings!$C$16)*Settings!$C$17)</f>
        <v/>
      </c>
      <c r="BC1041" s="35" t="str">
        <f aca="false">IF($B1041="","",BA1041-BB1041)</f>
        <v/>
      </c>
      <c r="BD1041" s="35" t="str">
        <f aca="false">IF(OR($B1041="",$A1041=""),"",DAY(EOMONTH($A1041,0))-COUNTA($F1041:$AJ1041))</f>
        <v/>
      </c>
    </row>
    <row r="1042" customFormat="false" ht="15" hidden="false" customHeight="false" outlineLevel="0" collapsed="false">
      <c r="A1042" s="32"/>
      <c r="B1042" s="29"/>
      <c r="C1042" s="10" t="str">
        <f aca="false">IF($B1042="","",IFERROR(INDEX(M_name,MATCH($B1042,M_emp,0)),"Code not found"))</f>
        <v/>
      </c>
      <c r="D1042" s="10" t="str">
        <f aca="false">IF($B1042="","",IFERROR(INDEX(M_dept,MATCH($B1042,M_emp,0)),""))</f>
        <v/>
      </c>
      <c r="E1042" s="10" t="str">
        <f aca="false">IF($B1042="","",IFERROR(INDEX(M_loc,MATCH($B1042,M_emp,0)),""))</f>
        <v/>
      </c>
      <c r="F1042" s="33"/>
      <c r="G1042" s="33"/>
      <c r="H1042" s="33"/>
      <c r="I1042" s="33"/>
      <c r="J1042" s="33"/>
      <c r="K1042" s="33"/>
      <c r="L1042" s="33"/>
      <c r="M1042" s="33"/>
      <c r="N1042" s="33"/>
      <c r="O1042" s="33"/>
      <c r="P1042" s="33"/>
      <c r="Q1042" s="33"/>
      <c r="R1042" s="33"/>
      <c r="S1042" s="33"/>
      <c r="T1042" s="33"/>
      <c r="U1042" s="33"/>
      <c r="V1042" s="33"/>
      <c r="W1042" s="33"/>
      <c r="X1042" s="33"/>
      <c r="Y1042" s="33"/>
      <c r="Z1042" s="33"/>
      <c r="AA1042" s="33"/>
      <c r="AB1042" s="33"/>
      <c r="AC1042" s="33"/>
      <c r="AD1042" s="33"/>
      <c r="AE1042" s="33"/>
      <c r="AF1042" s="33"/>
      <c r="AG1042" s="33"/>
      <c r="AH1042" s="33"/>
      <c r="AI1042" s="33"/>
      <c r="AJ1042" s="33"/>
      <c r="AK1042" s="34" t="str">
        <f aca="false">IF($B1042="","",COUNTIF($F1042:$AJ1042,"P"))</f>
        <v/>
      </c>
      <c r="AL1042" s="34" t="str">
        <f aca="false">IF($B1042="","",COUNTIF($F1042:$AJ1042,"A"))</f>
        <v/>
      </c>
      <c r="AM1042" s="34" t="str">
        <f aca="false">IF($B1042="","",COUNTIF($F1042:$AJ1042,"HA"))</f>
        <v/>
      </c>
      <c r="AN1042" s="34" t="str">
        <f aca="false">IF($B1042="","",COUNTIF($F1042:$AJ1042,"L"))</f>
        <v/>
      </c>
      <c r="AO1042" s="34" t="str">
        <f aca="false">IF($B1042="","",COUNTIF($F1042:$AJ1042,"PL"))</f>
        <v/>
      </c>
      <c r="AP1042" s="34" t="str">
        <f aca="false">IF($B1042="","",COUNTIF($F1042:$AJ1042,"CL"))</f>
        <v/>
      </c>
      <c r="AQ1042" s="34" t="str">
        <f aca="false">IF($B1042="","",COUNTIF($F1042:$AJ1042,"SL"))</f>
        <v/>
      </c>
      <c r="AR1042" s="34" t="str">
        <f aca="false">IF($B1042="","",COUNTIF($F1042:$AJ1042,"CO"))</f>
        <v/>
      </c>
      <c r="AS1042" s="34" t="str">
        <f aca="false">IF($B1042="","",COUNTIF($F1042:$AJ1042,"HPL"))</f>
        <v/>
      </c>
      <c r="AT1042" s="34" t="str">
        <f aca="false">IF($B1042="","",COUNTIF($F1042:$AJ1042,"HCL"))</f>
        <v/>
      </c>
      <c r="AU1042" s="34" t="str">
        <f aca="false">IF($B1042="","",COUNTIF($F1042:$AJ1042,"WO"))</f>
        <v/>
      </c>
      <c r="AV1042" s="34" t="str">
        <f aca="false">IF($B1042="","",COUNTIF($F1042:$AJ1042,"PH"))</f>
        <v/>
      </c>
      <c r="AW1042" s="34" t="str">
        <f aca="false">IF($B1042="","",COUNTIF($F1042:$AJ1042,"TR"))</f>
        <v/>
      </c>
      <c r="AX1042" s="35" t="str">
        <f aca="false">IF($B1042="","",AO1042+AS1042/2)</f>
        <v/>
      </c>
      <c r="AY1042" s="35" t="str">
        <f aca="false">IF($B1042="","",AQ1042)</f>
        <v/>
      </c>
      <c r="AZ1042" s="35" t="str">
        <f aca="false">IF($B1042="","",AP1042+AT1042/2)</f>
        <v/>
      </c>
      <c r="BA1042" s="35" t="str">
        <f aca="false">IF($B1042="","",AK1042+AN1042+AM1042/2+AO1042+AP1042+AQ1042+AR1042+AS1042+AT1042+AU1042+AV1042+AW1042)</f>
        <v/>
      </c>
      <c r="BB1042" s="35" t="str">
        <f aca="false">IF($B1042="","",MAX(0,AN1042-Settings!$C$16)*Settings!$C$17)</f>
        <v/>
      </c>
      <c r="BC1042" s="35" t="str">
        <f aca="false">IF($B1042="","",BA1042-BB1042)</f>
        <v/>
      </c>
      <c r="BD1042" s="35" t="str">
        <f aca="false">IF(OR($B1042="",$A1042=""),"",DAY(EOMONTH($A1042,0))-COUNTA($F1042:$AJ1042))</f>
        <v/>
      </c>
    </row>
    <row r="1043" customFormat="false" ht="15" hidden="false" customHeight="false" outlineLevel="0" collapsed="false">
      <c r="A1043" s="32"/>
      <c r="B1043" s="29"/>
      <c r="C1043" s="10" t="str">
        <f aca="false">IF($B1043="","",IFERROR(INDEX(M_name,MATCH($B1043,M_emp,0)),"Code not found"))</f>
        <v/>
      </c>
      <c r="D1043" s="10" t="str">
        <f aca="false">IF($B1043="","",IFERROR(INDEX(M_dept,MATCH($B1043,M_emp,0)),""))</f>
        <v/>
      </c>
      <c r="E1043" s="10" t="str">
        <f aca="false">IF($B1043="","",IFERROR(INDEX(M_loc,MATCH($B1043,M_emp,0)),""))</f>
        <v/>
      </c>
      <c r="F1043" s="33"/>
      <c r="G1043" s="33"/>
      <c r="H1043" s="33"/>
      <c r="I1043" s="33"/>
      <c r="J1043" s="33"/>
      <c r="K1043" s="3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34" t="str">
        <f aca="false">IF($B1043="","",COUNTIF($F1043:$AJ1043,"P"))</f>
        <v/>
      </c>
      <c r="AL1043" s="34" t="str">
        <f aca="false">IF($B1043="","",COUNTIF($F1043:$AJ1043,"A"))</f>
        <v/>
      </c>
      <c r="AM1043" s="34" t="str">
        <f aca="false">IF($B1043="","",COUNTIF($F1043:$AJ1043,"HA"))</f>
        <v/>
      </c>
      <c r="AN1043" s="34" t="str">
        <f aca="false">IF($B1043="","",COUNTIF($F1043:$AJ1043,"L"))</f>
        <v/>
      </c>
      <c r="AO1043" s="34" t="str">
        <f aca="false">IF($B1043="","",COUNTIF($F1043:$AJ1043,"PL"))</f>
        <v/>
      </c>
      <c r="AP1043" s="34" t="str">
        <f aca="false">IF($B1043="","",COUNTIF($F1043:$AJ1043,"CL"))</f>
        <v/>
      </c>
      <c r="AQ1043" s="34" t="str">
        <f aca="false">IF($B1043="","",COUNTIF($F1043:$AJ1043,"SL"))</f>
        <v/>
      </c>
      <c r="AR1043" s="34" t="str">
        <f aca="false">IF($B1043="","",COUNTIF($F1043:$AJ1043,"CO"))</f>
        <v/>
      </c>
      <c r="AS1043" s="34" t="str">
        <f aca="false">IF($B1043="","",COUNTIF($F1043:$AJ1043,"HPL"))</f>
        <v/>
      </c>
      <c r="AT1043" s="34" t="str">
        <f aca="false">IF($B1043="","",COUNTIF($F1043:$AJ1043,"HCL"))</f>
        <v/>
      </c>
      <c r="AU1043" s="34" t="str">
        <f aca="false">IF($B1043="","",COUNTIF($F1043:$AJ1043,"WO"))</f>
        <v/>
      </c>
      <c r="AV1043" s="34" t="str">
        <f aca="false">IF($B1043="","",COUNTIF($F1043:$AJ1043,"PH"))</f>
        <v/>
      </c>
      <c r="AW1043" s="34" t="str">
        <f aca="false">IF($B1043="","",COUNTIF($F1043:$AJ1043,"TR"))</f>
        <v/>
      </c>
      <c r="AX1043" s="35" t="str">
        <f aca="false">IF($B1043="","",AO1043+AS1043/2)</f>
        <v/>
      </c>
      <c r="AY1043" s="35" t="str">
        <f aca="false">IF($B1043="","",AQ1043)</f>
        <v/>
      </c>
      <c r="AZ1043" s="35" t="str">
        <f aca="false">IF($B1043="","",AP1043+AT1043/2)</f>
        <v/>
      </c>
      <c r="BA1043" s="35" t="str">
        <f aca="false">IF($B1043="","",AK1043+AN1043+AM1043/2+AO1043+AP1043+AQ1043+AR1043+AS1043+AT1043+AU1043+AV1043+AW1043)</f>
        <v/>
      </c>
      <c r="BB1043" s="35" t="str">
        <f aca="false">IF($B1043="","",MAX(0,AN1043-Settings!$C$16)*Settings!$C$17)</f>
        <v/>
      </c>
      <c r="BC1043" s="35" t="str">
        <f aca="false">IF($B1043="","",BA1043-BB1043)</f>
        <v/>
      </c>
      <c r="BD1043" s="35" t="str">
        <f aca="false">IF(OR($B1043="",$A1043=""),"",DAY(EOMONTH($A1043,0))-COUNTA($F1043:$AJ1043))</f>
        <v/>
      </c>
    </row>
    <row r="1044" customFormat="false" ht="15" hidden="false" customHeight="false" outlineLevel="0" collapsed="false">
      <c r="A1044" s="32"/>
      <c r="B1044" s="29"/>
      <c r="C1044" s="10" t="str">
        <f aca="false">IF($B1044="","",IFERROR(INDEX(M_name,MATCH($B1044,M_emp,0)),"Code not found"))</f>
        <v/>
      </c>
      <c r="D1044" s="10" t="str">
        <f aca="false">IF($B1044="","",IFERROR(INDEX(M_dept,MATCH($B1044,M_emp,0)),""))</f>
        <v/>
      </c>
      <c r="E1044" s="10" t="str">
        <f aca="false">IF($B1044="","",IFERROR(INDEX(M_loc,MATCH($B1044,M_emp,0)),""))</f>
        <v/>
      </c>
      <c r="F1044" s="33"/>
      <c r="G1044" s="33"/>
      <c r="H1044" s="33"/>
      <c r="I1044" s="33"/>
      <c r="J1044" s="33"/>
      <c r="K1044" s="3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4" t="str">
        <f aca="false">IF($B1044="","",COUNTIF($F1044:$AJ1044,"P"))</f>
        <v/>
      </c>
      <c r="AL1044" s="34" t="str">
        <f aca="false">IF($B1044="","",COUNTIF($F1044:$AJ1044,"A"))</f>
        <v/>
      </c>
      <c r="AM1044" s="34" t="str">
        <f aca="false">IF($B1044="","",COUNTIF($F1044:$AJ1044,"HA"))</f>
        <v/>
      </c>
      <c r="AN1044" s="34" t="str">
        <f aca="false">IF($B1044="","",COUNTIF($F1044:$AJ1044,"L"))</f>
        <v/>
      </c>
      <c r="AO1044" s="34" t="str">
        <f aca="false">IF($B1044="","",COUNTIF($F1044:$AJ1044,"PL"))</f>
        <v/>
      </c>
      <c r="AP1044" s="34" t="str">
        <f aca="false">IF($B1044="","",COUNTIF($F1044:$AJ1044,"CL"))</f>
        <v/>
      </c>
      <c r="AQ1044" s="34" t="str">
        <f aca="false">IF($B1044="","",COUNTIF($F1044:$AJ1044,"SL"))</f>
        <v/>
      </c>
      <c r="AR1044" s="34" t="str">
        <f aca="false">IF($B1044="","",COUNTIF($F1044:$AJ1044,"CO"))</f>
        <v/>
      </c>
      <c r="AS1044" s="34" t="str">
        <f aca="false">IF($B1044="","",COUNTIF($F1044:$AJ1044,"HPL"))</f>
        <v/>
      </c>
      <c r="AT1044" s="34" t="str">
        <f aca="false">IF($B1044="","",COUNTIF($F1044:$AJ1044,"HCL"))</f>
        <v/>
      </c>
      <c r="AU1044" s="34" t="str">
        <f aca="false">IF($B1044="","",COUNTIF($F1044:$AJ1044,"WO"))</f>
        <v/>
      </c>
      <c r="AV1044" s="34" t="str">
        <f aca="false">IF($B1044="","",COUNTIF($F1044:$AJ1044,"PH"))</f>
        <v/>
      </c>
      <c r="AW1044" s="34" t="str">
        <f aca="false">IF($B1044="","",COUNTIF($F1044:$AJ1044,"TR"))</f>
        <v/>
      </c>
      <c r="AX1044" s="35" t="str">
        <f aca="false">IF($B1044="","",AO1044+AS1044/2)</f>
        <v/>
      </c>
      <c r="AY1044" s="35" t="str">
        <f aca="false">IF($B1044="","",AQ1044)</f>
        <v/>
      </c>
      <c r="AZ1044" s="35" t="str">
        <f aca="false">IF($B1044="","",AP1044+AT1044/2)</f>
        <v/>
      </c>
      <c r="BA1044" s="35" t="str">
        <f aca="false">IF($B1044="","",AK1044+AN1044+AM1044/2+AO1044+AP1044+AQ1044+AR1044+AS1044+AT1044+AU1044+AV1044+AW1044)</f>
        <v/>
      </c>
      <c r="BB1044" s="35" t="str">
        <f aca="false">IF($B1044="","",MAX(0,AN1044-Settings!$C$16)*Settings!$C$17)</f>
        <v/>
      </c>
      <c r="BC1044" s="35" t="str">
        <f aca="false">IF($B1044="","",BA1044-BB1044)</f>
        <v/>
      </c>
      <c r="BD1044" s="35" t="str">
        <f aca="false">IF(OR($B1044="",$A1044=""),"",DAY(EOMONTH($A1044,0))-COUNTA($F1044:$AJ1044))</f>
        <v/>
      </c>
    </row>
    <row r="1045" customFormat="false" ht="15" hidden="false" customHeight="false" outlineLevel="0" collapsed="false">
      <c r="A1045" s="32"/>
      <c r="B1045" s="29"/>
      <c r="C1045" s="10" t="str">
        <f aca="false">IF($B1045="","",IFERROR(INDEX(M_name,MATCH($B1045,M_emp,0)),"Code not found"))</f>
        <v/>
      </c>
      <c r="D1045" s="10" t="str">
        <f aca="false">IF($B1045="","",IFERROR(INDEX(M_dept,MATCH($B1045,M_emp,0)),""))</f>
        <v/>
      </c>
      <c r="E1045" s="10" t="str">
        <f aca="false">IF($B1045="","",IFERROR(INDEX(M_loc,MATCH($B1045,M_emp,0)),""))</f>
        <v/>
      </c>
      <c r="F1045" s="33"/>
      <c r="G1045" s="33"/>
      <c r="H1045" s="33"/>
      <c r="I1045" s="33"/>
      <c r="J1045" s="33"/>
      <c r="K1045" s="33"/>
      <c r="L1045" s="33"/>
      <c r="M1045" s="33"/>
      <c r="N1045" s="33"/>
      <c r="O1045" s="33"/>
      <c r="P1045" s="33"/>
      <c r="Q1045" s="33"/>
      <c r="R1045" s="33"/>
      <c r="S1045" s="33"/>
      <c r="T1045" s="33"/>
      <c r="U1045" s="33"/>
      <c r="V1045" s="33"/>
      <c r="W1045" s="33"/>
      <c r="X1045" s="33"/>
      <c r="Y1045" s="33"/>
      <c r="Z1045" s="33"/>
      <c r="AA1045" s="33"/>
      <c r="AB1045" s="33"/>
      <c r="AC1045" s="33"/>
      <c r="AD1045" s="33"/>
      <c r="AE1045" s="33"/>
      <c r="AF1045" s="33"/>
      <c r="AG1045" s="33"/>
      <c r="AH1045" s="33"/>
      <c r="AI1045" s="33"/>
      <c r="AJ1045" s="33"/>
      <c r="AK1045" s="34" t="str">
        <f aca="false">IF($B1045="","",COUNTIF($F1045:$AJ1045,"P"))</f>
        <v/>
      </c>
      <c r="AL1045" s="34" t="str">
        <f aca="false">IF($B1045="","",COUNTIF($F1045:$AJ1045,"A"))</f>
        <v/>
      </c>
      <c r="AM1045" s="34" t="str">
        <f aca="false">IF($B1045="","",COUNTIF($F1045:$AJ1045,"HA"))</f>
        <v/>
      </c>
      <c r="AN1045" s="34" t="str">
        <f aca="false">IF($B1045="","",COUNTIF($F1045:$AJ1045,"L"))</f>
        <v/>
      </c>
      <c r="AO1045" s="34" t="str">
        <f aca="false">IF($B1045="","",COUNTIF($F1045:$AJ1045,"PL"))</f>
        <v/>
      </c>
      <c r="AP1045" s="34" t="str">
        <f aca="false">IF($B1045="","",COUNTIF($F1045:$AJ1045,"CL"))</f>
        <v/>
      </c>
      <c r="AQ1045" s="34" t="str">
        <f aca="false">IF($B1045="","",COUNTIF($F1045:$AJ1045,"SL"))</f>
        <v/>
      </c>
      <c r="AR1045" s="34" t="str">
        <f aca="false">IF($B1045="","",COUNTIF($F1045:$AJ1045,"CO"))</f>
        <v/>
      </c>
      <c r="AS1045" s="34" t="str">
        <f aca="false">IF($B1045="","",COUNTIF($F1045:$AJ1045,"HPL"))</f>
        <v/>
      </c>
      <c r="AT1045" s="34" t="str">
        <f aca="false">IF($B1045="","",COUNTIF($F1045:$AJ1045,"HCL"))</f>
        <v/>
      </c>
      <c r="AU1045" s="34" t="str">
        <f aca="false">IF($B1045="","",COUNTIF($F1045:$AJ1045,"WO"))</f>
        <v/>
      </c>
      <c r="AV1045" s="34" t="str">
        <f aca="false">IF($B1045="","",COUNTIF($F1045:$AJ1045,"PH"))</f>
        <v/>
      </c>
      <c r="AW1045" s="34" t="str">
        <f aca="false">IF($B1045="","",COUNTIF($F1045:$AJ1045,"TR"))</f>
        <v/>
      </c>
      <c r="AX1045" s="35" t="str">
        <f aca="false">IF($B1045="","",AO1045+AS1045/2)</f>
        <v/>
      </c>
      <c r="AY1045" s="35" t="str">
        <f aca="false">IF($B1045="","",AQ1045)</f>
        <v/>
      </c>
      <c r="AZ1045" s="35" t="str">
        <f aca="false">IF($B1045="","",AP1045+AT1045/2)</f>
        <v/>
      </c>
      <c r="BA1045" s="35" t="str">
        <f aca="false">IF($B1045="","",AK1045+AN1045+AM1045/2+AO1045+AP1045+AQ1045+AR1045+AS1045+AT1045+AU1045+AV1045+AW1045)</f>
        <v/>
      </c>
      <c r="BB1045" s="35" t="str">
        <f aca="false">IF($B1045="","",MAX(0,AN1045-Settings!$C$16)*Settings!$C$17)</f>
        <v/>
      </c>
      <c r="BC1045" s="35" t="str">
        <f aca="false">IF($B1045="","",BA1045-BB1045)</f>
        <v/>
      </c>
      <c r="BD1045" s="35" t="str">
        <f aca="false">IF(OR($B1045="",$A1045=""),"",DAY(EOMONTH($A1045,0))-COUNTA($F1045:$AJ1045))</f>
        <v/>
      </c>
    </row>
    <row r="1046" customFormat="false" ht="15" hidden="false" customHeight="false" outlineLevel="0" collapsed="false">
      <c r="A1046" s="32"/>
      <c r="B1046" s="29"/>
      <c r="C1046" s="10" t="str">
        <f aca="false">IF($B1046="","",IFERROR(INDEX(M_name,MATCH($B1046,M_emp,0)),"Code not found"))</f>
        <v/>
      </c>
      <c r="D1046" s="10" t="str">
        <f aca="false">IF($B1046="","",IFERROR(INDEX(M_dept,MATCH($B1046,M_emp,0)),""))</f>
        <v/>
      </c>
      <c r="E1046" s="10" t="str">
        <f aca="false">IF($B1046="","",IFERROR(INDEX(M_loc,MATCH($B1046,M_emp,0)),""))</f>
        <v/>
      </c>
      <c r="F1046" s="33"/>
      <c r="G1046" s="33"/>
      <c r="H1046" s="33"/>
      <c r="I1046" s="33"/>
      <c r="J1046" s="33"/>
      <c r="K1046" s="33"/>
      <c r="L1046" s="33"/>
      <c r="M1046" s="33"/>
      <c r="N1046" s="33"/>
      <c r="O1046" s="33"/>
      <c r="P1046" s="33"/>
      <c r="Q1046" s="33"/>
      <c r="R1046" s="33"/>
      <c r="S1046" s="33"/>
      <c r="T1046" s="33"/>
      <c r="U1046" s="33"/>
      <c r="V1046" s="33"/>
      <c r="W1046" s="33"/>
      <c r="X1046" s="33"/>
      <c r="Y1046" s="33"/>
      <c r="Z1046" s="33"/>
      <c r="AA1046" s="33"/>
      <c r="AB1046" s="33"/>
      <c r="AC1046" s="33"/>
      <c r="AD1046" s="33"/>
      <c r="AE1046" s="33"/>
      <c r="AF1046" s="33"/>
      <c r="AG1046" s="33"/>
      <c r="AH1046" s="33"/>
      <c r="AI1046" s="33"/>
      <c r="AJ1046" s="33"/>
      <c r="AK1046" s="34" t="str">
        <f aca="false">IF($B1046="","",COUNTIF($F1046:$AJ1046,"P"))</f>
        <v/>
      </c>
      <c r="AL1046" s="34" t="str">
        <f aca="false">IF($B1046="","",COUNTIF($F1046:$AJ1046,"A"))</f>
        <v/>
      </c>
      <c r="AM1046" s="34" t="str">
        <f aca="false">IF($B1046="","",COUNTIF($F1046:$AJ1046,"HA"))</f>
        <v/>
      </c>
      <c r="AN1046" s="34" t="str">
        <f aca="false">IF($B1046="","",COUNTIF($F1046:$AJ1046,"L"))</f>
        <v/>
      </c>
      <c r="AO1046" s="34" t="str">
        <f aca="false">IF($B1046="","",COUNTIF($F1046:$AJ1046,"PL"))</f>
        <v/>
      </c>
      <c r="AP1046" s="34" t="str">
        <f aca="false">IF($B1046="","",COUNTIF($F1046:$AJ1046,"CL"))</f>
        <v/>
      </c>
      <c r="AQ1046" s="34" t="str">
        <f aca="false">IF($B1046="","",COUNTIF($F1046:$AJ1046,"SL"))</f>
        <v/>
      </c>
      <c r="AR1046" s="34" t="str">
        <f aca="false">IF($B1046="","",COUNTIF($F1046:$AJ1046,"CO"))</f>
        <v/>
      </c>
      <c r="AS1046" s="34" t="str">
        <f aca="false">IF($B1046="","",COUNTIF($F1046:$AJ1046,"HPL"))</f>
        <v/>
      </c>
      <c r="AT1046" s="34" t="str">
        <f aca="false">IF($B1046="","",COUNTIF($F1046:$AJ1046,"HCL"))</f>
        <v/>
      </c>
      <c r="AU1046" s="34" t="str">
        <f aca="false">IF($B1046="","",COUNTIF($F1046:$AJ1046,"WO"))</f>
        <v/>
      </c>
      <c r="AV1046" s="34" t="str">
        <f aca="false">IF($B1046="","",COUNTIF($F1046:$AJ1046,"PH"))</f>
        <v/>
      </c>
      <c r="AW1046" s="34" t="str">
        <f aca="false">IF($B1046="","",COUNTIF($F1046:$AJ1046,"TR"))</f>
        <v/>
      </c>
      <c r="AX1046" s="35" t="str">
        <f aca="false">IF($B1046="","",AO1046+AS1046/2)</f>
        <v/>
      </c>
      <c r="AY1046" s="35" t="str">
        <f aca="false">IF($B1046="","",AQ1046)</f>
        <v/>
      </c>
      <c r="AZ1046" s="35" t="str">
        <f aca="false">IF($B1046="","",AP1046+AT1046/2)</f>
        <v/>
      </c>
      <c r="BA1046" s="35" t="str">
        <f aca="false">IF($B1046="","",AK1046+AN1046+AM1046/2+AO1046+AP1046+AQ1046+AR1046+AS1046+AT1046+AU1046+AV1046+AW1046)</f>
        <v/>
      </c>
      <c r="BB1046" s="35" t="str">
        <f aca="false">IF($B1046="","",MAX(0,AN1046-Settings!$C$16)*Settings!$C$17)</f>
        <v/>
      </c>
      <c r="BC1046" s="35" t="str">
        <f aca="false">IF($B1046="","",BA1046-BB1046)</f>
        <v/>
      </c>
      <c r="BD1046" s="35" t="str">
        <f aca="false">IF(OR($B1046="",$A1046=""),"",DAY(EOMONTH($A1046,0))-COUNTA($F1046:$AJ1046))</f>
        <v/>
      </c>
    </row>
    <row r="1047" customFormat="false" ht="15" hidden="false" customHeight="false" outlineLevel="0" collapsed="false">
      <c r="A1047" s="32"/>
      <c r="B1047" s="29"/>
      <c r="C1047" s="10" t="str">
        <f aca="false">IF($B1047="","",IFERROR(INDEX(M_name,MATCH($B1047,M_emp,0)),"Code not found"))</f>
        <v/>
      </c>
      <c r="D1047" s="10" t="str">
        <f aca="false">IF($B1047="","",IFERROR(INDEX(M_dept,MATCH($B1047,M_emp,0)),""))</f>
        <v/>
      </c>
      <c r="E1047" s="10" t="str">
        <f aca="false">IF($B1047="","",IFERROR(INDEX(M_loc,MATCH($B1047,M_emp,0)),""))</f>
        <v/>
      </c>
      <c r="F1047" s="33"/>
      <c r="G1047" s="33"/>
      <c r="H1047" s="33"/>
      <c r="I1047" s="33"/>
      <c r="J1047" s="3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c r="AF1047" s="33"/>
      <c r="AG1047" s="33"/>
      <c r="AH1047" s="33"/>
      <c r="AI1047" s="33"/>
      <c r="AJ1047" s="33"/>
      <c r="AK1047" s="34" t="str">
        <f aca="false">IF($B1047="","",COUNTIF($F1047:$AJ1047,"P"))</f>
        <v/>
      </c>
      <c r="AL1047" s="34" t="str">
        <f aca="false">IF($B1047="","",COUNTIF($F1047:$AJ1047,"A"))</f>
        <v/>
      </c>
      <c r="AM1047" s="34" t="str">
        <f aca="false">IF($B1047="","",COUNTIF($F1047:$AJ1047,"HA"))</f>
        <v/>
      </c>
      <c r="AN1047" s="34" t="str">
        <f aca="false">IF($B1047="","",COUNTIF($F1047:$AJ1047,"L"))</f>
        <v/>
      </c>
      <c r="AO1047" s="34" t="str">
        <f aca="false">IF($B1047="","",COUNTIF($F1047:$AJ1047,"PL"))</f>
        <v/>
      </c>
      <c r="AP1047" s="34" t="str">
        <f aca="false">IF($B1047="","",COUNTIF($F1047:$AJ1047,"CL"))</f>
        <v/>
      </c>
      <c r="AQ1047" s="34" t="str">
        <f aca="false">IF($B1047="","",COUNTIF($F1047:$AJ1047,"SL"))</f>
        <v/>
      </c>
      <c r="AR1047" s="34" t="str">
        <f aca="false">IF($B1047="","",COUNTIF($F1047:$AJ1047,"CO"))</f>
        <v/>
      </c>
      <c r="AS1047" s="34" t="str">
        <f aca="false">IF($B1047="","",COUNTIF($F1047:$AJ1047,"HPL"))</f>
        <v/>
      </c>
      <c r="AT1047" s="34" t="str">
        <f aca="false">IF($B1047="","",COUNTIF($F1047:$AJ1047,"HCL"))</f>
        <v/>
      </c>
      <c r="AU1047" s="34" t="str">
        <f aca="false">IF($B1047="","",COUNTIF($F1047:$AJ1047,"WO"))</f>
        <v/>
      </c>
      <c r="AV1047" s="34" t="str">
        <f aca="false">IF($B1047="","",COUNTIF($F1047:$AJ1047,"PH"))</f>
        <v/>
      </c>
      <c r="AW1047" s="34" t="str">
        <f aca="false">IF($B1047="","",COUNTIF($F1047:$AJ1047,"TR"))</f>
        <v/>
      </c>
      <c r="AX1047" s="35" t="str">
        <f aca="false">IF($B1047="","",AO1047+AS1047/2)</f>
        <v/>
      </c>
      <c r="AY1047" s="35" t="str">
        <f aca="false">IF($B1047="","",AQ1047)</f>
        <v/>
      </c>
      <c r="AZ1047" s="35" t="str">
        <f aca="false">IF($B1047="","",AP1047+AT1047/2)</f>
        <v/>
      </c>
      <c r="BA1047" s="35" t="str">
        <f aca="false">IF($B1047="","",AK1047+AN1047+AM1047/2+AO1047+AP1047+AQ1047+AR1047+AS1047+AT1047+AU1047+AV1047+AW1047)</f>
        <v/>
      </c>
      <c r="BB1047" s="35" t="str">
        <f aca="false">IF($B1047="","",MAX(0,AN1047-Settings!$C$16)*Settings!$C$17)</f>
        <v/>
      </c>
      <c r="BC1047" s="35" t="str">
        <f aca="false">IF($B1047="","",BA1047-BB1047)</f>
        <v/>
      </c>
      <c r="BD1047" s="35" t="str">
        <f aca="false">IF(OR($B1047="",$A1047=""),"",DAY(EOMONTH($A1047,0))-COUNTA($F1047:$AJ1047))</f>
        <v/>
      </c>
    </row>
    <row r="1048" customFormat="false" ht="15" hidden="false" customHeight="false" outlineLevel="0" collapsed="false">
      <c r="A1048" s="32"/>
      <c r="B1048" s="29"/>
      <c r="C1048" s="10" t="str">
        <f aca="false">IF($B1048="","",IFERROR(INDEX(M_name,MATCH($B1048,M_emp,0)),"Code not found"))</f>
        <v/>
      </c>
      <c r="D1048" s="10" t="str">
        <f aca="false">IF($B1048="","",IFERROR(INDEX(M_dept,MATCH($B1048,M_emp,0)),""))</f>
        <v/>
      </c>
      <c r="E1048" s="10" t="str">
        <f aca="false">IF($B1048="","",IFERROR(INDEX(M_loc,MATCH($B1048,M_emp,0)),""))</f>
        <v/>
      </c>
      <c r="F1048" s="33"/>
      <c r="G1048" s="33"/>
      <c r="H1048" s="33"/>
      <c r="I1048" s="33"/>
      <c r="J1048" s="33"/>
      <c r="K1048" s="33"/>
      <c r="L1048" s="33"/>
      <c r="M1048" s="33"/>
      <c r="N1048" s="33"/>
      <c r="O1048" s="33"/>
      <c r="P1048" s="33"/>
      <c r="Q1048" s="33"/>
      <c r="R1048" s="33"/>
      <c r="S1048" s="33"/>
      <c r="T1048" s="33"/>
      <c r="U1048" s="33"/>
      <c r="V1048" s="33"/>
      <c r="W1048" s="33"/>
      <c r="X1048" s="33"/>
      <c r="Y1048" s="33"/>
      <c r="Z1048" s="33"/>
      <c r="AA1048" s="33"/>
      <c r="AB1048" s="33"/>
      <c r="AC1048" s="33"/>
      <c r="AD1048" s="33"/>
      <c r="AE1048" s="33"/>
      <c r="AF1048" s="33"/>
      <c r="AG1048" s="33"/>
      <c r="AH1048" s="33"/>
      <c r="AI1048" s="33"/>
      <c r="AJ1048" s="33"/>
      <c r="AK1048" s="34" t="str">
        <f aca="false">IF($B1048="","",COUNTIF($F1048:$AJ1048,"P"))</f>
        <v/>
      </c>
      <c r="AL1048" s="34" t="str">
        <f aca="false">IF($B1048="","",COUNTIF($F1048:$AJ1048,"A"))</f>
        <v/>
      </c>
      <c r="AM1048" s="34" t="str">
        <f aca="false">IF($B1048="","",COUNTIF($F1048:$AJ1048,"HA"))</f>
        <v/>
      </c>
      <c r="AN1048" s="34" t="str">
        <f aca="false">IF($B1048="","",COUNTIF($F1048:$AJ1048,"L"))</f>
        <v/>
      </c>
      <c r="AO1048" s="34" t="str">
        <f aca="false">IF($B1048="","",COUNTIF($F1048:$AJ1048,"PL"))</f>
        <v/>
      </c>
      <c r="AP1048" s="34" t="str">
        <f aca="false">IF($B1048="","",COUNTIF($F1048:$AJ1048,"CL"))</f>
        <v/>
      </c>
      <c r="AQ1048" s="34" t="str">
        <f aca="false">IF($B1048="","",COUNTIF($F1048:$AJ1048,"SL"))</f>
        <v/>
      </c>
      <c r="AR1048" s="34" t="str">
        <f aca="false">IF($B1048="","",COUNTIF($F1048:$AJ1048,"CO"))</f>
        <v/>
      </c>
      <c r="AS1048" s="34" t="str">
        <f aca="false">IF($B1048="","",COUNTIF($F1048:$AJ1048,"HPL"))</f>
        <v/>
      </c>
      <c r="AT1048" s="34" t="str">
        <f aca="false">IF($B1048="","",COUNTIF($F1048:$AJ1048,"HCL"))</f>
        <v/>
      </c>
      <c r="AU1048" s="34" t="str">
        <f aca="false">IF($B1048="","",COUNTIF($F1048:$AJ1048,"WO"))</f>
        <v/>
      </c>
      <c r="AV1048" s="34" t="str">
        <f aca="false">IF($B1048="","",COUNTIF($F1048:$AJ1048,"PH"))</f>
        <v/>
      </c>
      <c r="AW1048" s="34" t="str">
        <f aca="false">IF($B1048="","",COUNTIF($F1048:$AJ1048,"TR"))</f>
        <v/>
      </c>
      <c r="AX1048" s="35" t="str">
        <f aca="false">IF($B1048="","",AO1048+AS1048/2)</f>
        <v/>
      </c>
      <c r="AY1048" s="35" t="str">
        <f aca="false">IF($B1048="","",AQ1048)</f>
        <v/>
      </c>
      <c r="AZ1048" s="35" t="str">
        <f aca="false">IF($B1048="","",AP1048+AT1048/2)</f>
        <v/>
      </c>
      <c r="BA1048" s="35" t="str">
        <f aca="false">IF($B1048="","",AK1048+AN1048+AM1048/2+AO1048+AP1048+AQ1048+AR1048+AS1048+AT1048+AU1048+AV1048+AW1048)</f>
        <v/>
      </c>
      <c r="BB1048" s="35" t="str">
        <f aca="false">IF($B1048="","",MAX(0,AN1048-Settings!$C$16)*Settings!$C$17)</f>
        <v/>
      </c>
      <c r="BC1048" s="35" t="str">
        <f aca="false">IF($B1048="","",BA1048-BB1048)</f>
        <v/>
      </c>
      <c r="BD1048" s="35" t="str">
        <f aca="false">IF(OR($B1048="",$A1048=""),"",DAY(EOMONTH($A1048,0))-COUNTA($F1048:$AJ1048))</f>
        <v/>
      </c>
    </row>
    <row r="1049" customFormat="false" ht="15" hidden="false" customHeight="false" outlineLevel="0" collapsed="false">
      <c r="A1049" s="32"/>
      <c r="B1049" s="29"/>
      <c r="C1049" s="10" t="str">
        <f aca="false">IF($B1049="","",IFERROR(INDEX(M_name,MATCH($B1049,M_emp,0)),"Code not found"))</f>
        <v/>
      </c>
      <c r="D1049" s="10" t="str">
        <f aca="false">IF($B1049="","",IFERROR(INDEX(M_dept,MATCH($B1049,M_emp,0)),""))</f>
        <v/>
      </c>
      <c r="E1049" s="10" t="str">
        <f aca="false">IF($B1049="","",IFERROR(INDEX(M_loc,MATCH($B1049,M_emp,0)),""))</f>
        <v/>
      </c>
      <c r="F1049" s="33"/>
      <c r="G1049" s="33"/>
      <c r="H1049" s="33"/>
      <c r="I1049" s="33"/>
      <c r="J1049" s="3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c r="AF1049" s="33"/>
      <c r="AG1049" s="33"/>
      <c r="AH1049" s="33"/>
      <c r="AI1049" s="33"/>
      <c r="AJ1049" s="33"/>
      <c r="AK1049" s="34" t="str">
        <f aca="false">IF($B1049="","",COUNTIF($F1049:$AJ1049,"P"))</f>
        <v/>
      </c>
      <c r="AL1049" s="34" t="str">
        <f aca="false">IF($B1049="","",COUNTIF($F1049:$AJ1049,"A"))</f>
        <v/>
      </c>
      <c r="AM1049" s="34" t="str">
        <f aca="false">IF($B1049="","",COUNTIF($F1049:$AJ1049,"HA"))</f>
        <v/>
      </c>
      <c r="AN1049" s="34" t="str">
        <f aca="false">IF($B1049="","",COUNTIF($F1049:$AJ1049,"L"))</f>
        <v/>
      </c>
      <c r="AO1049" s="34" t="str">
        <f aca="false">IF($B1049="","",COUNTIF($F1049:$AJ1049,"PL"))</f>
        <v/>
      </c>
      <c r="AP1049" s="34" t="str">
        <f aca="false">IF($B1049="","",COUNTIF($F1049:$AJ1049,"CL"))</f>
        <v/>
      </c>
      <c r="AQ1049" s="34" t="str">
        <f aca="false">IF($B1049="","",COUNTIF($F1049:$AJ1049,"SL"))</f>
        <v/>
      </c>
      <c r="AR1049" s="34" t="str">
        <f aca="false">IF($B1049="","",COUNTIF($F1049:$AJ1049,"CO"))</f>
        <v/>
      </c>
      <c r="AS1049" s="34" t="str">
        <f aca="false">IF($B1049="","",COUNTIF($F1049:$AJ1049,"HPL"))</f>
        <v/>
      </c>
      <c r="AT1049" s="34" t="str">
        <f aca="false">IF($B1049="","",COUNTIF($F1049:$AJ1049,"HCL"))</f>
        <v/>
      </c>
      <c r="AU1049" s="34" t="str">
        <f aca="false">IF($B1049="","",COUNTIF($F1049:$AJ1049,"WO"))</f>
        <v/>
      </c>
      <c r="AV1049" s="34" t="str">
        <f aca="false">IF($B1049="","",COUNTIF($F1049:$AJ1049,"PH"))</f>
        <v/>
      </c>
      <c r="AW1049" s="34" t="str">
        <f aca="false">IF($B1049="","",COUNTIF($F1049:$AJ1049,"TR"))</f>
        <v/>
      </c>
      <c r="AX1049" s="35" t="str">
        <f aca="false">IF($B1049="","",AO1049+AS1049/2)</f>
        <v/>
      </c>
      <c r="AY1049" s="35" t="str">
        <f aca="false">IF($B1049="","",AQ1049)</f>
        <v/>
      </c>
      <c r="AZ1049" s="35" t="str">
        <f aca="false">IF($B1049="","",AP1049+AT1049/2)</f>
        <v/>
      </c>
      <c r="BA1049" s="35" t="str">
        <f aca="false">IF($B1049="","",AK1049+AN1049+AM1049/2+AO1049+AP1049+AQ1049+AR1049+AS1049+AT1049+AU1049+AV1049+AW1049)</f>
        <v/>
      </c>
      <c r="BB1049" s="35" t="str">
        <f aca="false">IF($B1049="","",MAX(0,AN1049-Settings!$C$16)*Settings!$C$17)</f>
        <v/>
      </c>
      <c r="BC1049" s="35" t="str">
        <f aca="false">IF($B1049="","",BA1049-BB1049)</f>
        <v/>
      </c>
      <c r="BD1049" s="35" t="str">
        <f aca="false">IF(OR($B1049="",$A1049=""),"",DAY(EOMONTH($A1049,0))-COUNTA($F1049:$AJ1049))</f>
        <v/>
      </c>
    </row>
    <row r="1050" customFormat="false" ht="15" hidden="false" customHeight="false" outlineLevel="0" collapsed="false">
      <c r="A1050" s="32"/>
      <c r="B1050" s="29"/>
      <c r="C1050" s="10" t="str">
        <f aca="false">IF($B1050="","",IFERROR(INDEX(M_name,MATCH($B1050,M_emp,0)),"Code not found"))</f>
        <v/>
      </c>
      <c r="D1050" s="10" t="str">
        <f aca="false">IF($B1050="","",IFERROR(INDEX(M_dept,MATCH($B1050,M_emp,0)),""))</f>
        <v/>
      </c>
      <c r="E1050" s="10" t="str">
        <f aca="false">IF($B1050="","",IFERROR(INDEX(M_loc,MATCH($B1050,M_emp,0)),""))</f>
        <v/>
      </c>
      <c r="F1050" s="33"/>
      <c r="G1050" s="33"/>
      <c r="H1050" s="33"/>
      <c r="I1050" s="33"/>
      <c r="J1050" s="33"/>
      <c r="K1050" s="33"/>
      <c r="L1050" s="33"/>
      <c r="M1050" s="33"/>
      <c r="N1050" s="33"/>
      <c r="O1050" s="33"/>
      <c r="P1050" s="33"/>
      <c r="Q1050" s="33"/>
      <c r="R1050" s="33"/>
      <c r="S1050" s="33"/>
      <c r="T1050" s="33"/>
      <c r="U1050" s="33"/>
      <c r="V1050" s="33"/>
      <c r="W1050" s="33"/>
      <c r="X1050" s="33"/>
      <c r="Y1050" s="33"/>
      <c r="Z1050" s="33"/>
      <c r="AA1050" s="33"/>
      <c r="AB1050" s="33"/>
      <c r="AC1050" s="33"/>
      <c r="AD1050" s="33"/>
      <c r="AE1050" s="33"/>
      <c r="AF1050" s="33"/>
      <c r="AG1050" s="33"/>
      <c r="AH1050" s="33"/>
      <c r="AI1050" s="33"/>
      <c r="AJ1050" s="33"/>
      <c r="AK1050" s="34" t="str">
        <f aca="false">IF($B1050="","",COUNTIF($F1050:$AJ1050,"P"))</f>
        <v/>
      </c>
      <c r="AL1050" s="34" t="str">
        <f aca="false">IF($B1050="","",COUNTIF($F1050:$AJ1050,"A"))</f>
        <v/>
      </c>
      <c r="AM1050" s="34" t="str">
        <f aca="false">IF($B1050="","",COUNTIF($F1050:$AJ1050,"HA"))</f>
        <v/>
      </c>
      <c r="AN1050" s="34" t="str">
        <f aca="false">IF($B1050="","",COUNTIF($F1050:$AJ1050,"L"))</f>
        <v/>
      </c>
      <c r="AO1050" s="34" t="str">
        <f aca="false">IF($B1050="","",COUNTIF($F1050:$AJ1050,"PL"))</f>
        <v/>
      </c>
      <c r="AP1050" s="34" t="str">
        <f aca="false">IF($B1050="","",COUNTIF($F1050:$AJ1050,"CL"))</f>
        <v/>
      </c>
      <c r="AQ1050" s="34" t="str">
        <f aca="false">IF($B1050="","",COUNTIF($F1050:$AJ1050,"SL"))</f>
        <v/>
      </c>
      <c r="AR1050" s="34" t="str">
        <f aca="false">IF($B1050="","",COUNTIF($F1050:$AJ1050,"CO"))</f>
        <v/>
      </c>
      <c r="AS1050" s="34" t="str">
        <f aca="false">IF($B1050="","",COUNTIF($F1050:$AJ1050,"HPL"))</f>
        <v/>
      </c>
      <c r="AT1050" s="34" t="str">
        <f aca="false">IF($B1050="","",COUNTIF($F1050:$AJ1050,"HCL"))</f>
        <v/>
      </c>
      <c r="AU1050" s="34" t="str">
        <f aca="false">IF($B1050="","",COUNTIF($F1050:$AJ1050,"WO"))</f>
        <v/>
      </c>
      <c r="AV1050" s="34" t="str">
        <f aca="false">IF($B1050="","",COUNTIF($F1050:$AJ1050,"PH"))</f>
        <v/>
      </c>
      <c r="AW1050" s="34" t="str">
        <f aca="false">IF($B1050="","",COUNTIF($F1050:$AJ1050,"TR"))</f>
        <v/>
      </c>
      <c r="AX1050" s="35" t="str">
        <f aca="false">IF($B1050="","",AO1050+AS1050/2)</f>
        <v/>
      </c>
      <c r="AY1050" s="35" t="str">
        <f aca="false">IF($B1050="","",AQ1050)</f>
        <v/>
      </c>
      <c r="AZ1050" s="35" t="str">
        <f aca="false">IF($B1050="","",AP1050+AT1050/2)</f>
        <v/>
      </c>
      <c r="BA1050" s="35" t="str">
        <f aca="false">IF($B1050="","",AK1050+AN1050+AM1050/2+AO1050+AP1050+AQ1050+AR1050+AS1050+AT1050+AU1050+AV1050+AW1050)</f>
        <v/>
      </c>
      <c r="BB1050" s="35" t="str">
        <f aca="false">IF($B1050="","",MAX(0,AN1050-Settings!$C$16)*Settings!$C$17)</f>
        <v/>
      </c>
      <c r="BC1050" s="35" t="str">
        <f aca="false">IF($B1050="","",BA1050-BB1050)</f>
        <v/>
      </c>
      <c r="BD1050" s="35" t="str">
        <f aca="false">IF(OR($B1050="",$A1050=""),"",DAY(EOMONTH($A1050,0))-COUNTA($F1050:$AJ1050))</f>
        <v/>
      </c>
    </row>
    <row r="1051" customFormat="false" ht="15" hidden="false" customHeight="false" outlineLevel="0" collapsed="false">
      <c r="A1051" s="32"/>
      <c r="B1051" s="29"/>
      <c r="C1051" s="10" t="str">
        <f aca="false">IF($B1051="","",IFERROR(INDEX(M_name,MATCH($B1051,M_emp,0)),"Code not found"))</f>
        <v/>
      </c>
      <c r="D1051" s="10" t="str">
        <f aca="false">IF($B1051="","",IFERROR(INDEX(M_dept,MATCH($B1051,M_emp,0)),""))</f>
        <v/>
      </c>
      <c r="E1051" s="10" t="str">
        <f aca="false">IF($B1051="","",IFERROR(INDEX(M_loc,MATCH($B1051,M_emp,0)),""))</f>
        <v/>
      </c>
      <c r="F1051" s="33"/>
      <c r="G1051" s="33"/>
      <c r="H1051" s="33"/>
      <c r="I1051" s="33"/>
      <c r="J1051" s="3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c r="AF1051" s="33"/>
      <c r="AG1051" s="33"/>
      <c r="AH1051" s="33"/>
      <c r="AI1051" s="33"/>
      <c r="AJ1051" s="33"/>
      <c r="AK1051" s="34" t="str">
        <f aca="false">IF($B1051="","",COUNTIF($F1051:$AJ1051,"P"))</f>
        <v/>
      </c>
      <c r="AL1051" s="34" t="str">
        <f aca="false">IF($B1051="","",COUNTIF($F1051:$AJ1051,"A"))</f>
        <v/>
      </c>
      <c r="AM1051" s="34" t="str">
        <f aca="false">IF($B1051="","",COUNTIF($F1051:$AJ1051,"HA"))</f>
        <v/>
      </c>
      <c r="AN1051" s="34" t="str">
        <f aca="false">IF($B1051="","",COUNTIF($F1051:$AJ1051,"L"))</f>
        <v/>
      </c>
      <c r="AO1051" s="34" t="str">
        <f aca="false">IF($B1051="","",COUNTIF($F1051:$AJ1051,"PL"))</f>
        <v/>
      </c>
      <c r="AP1051" s="34" t="str">
        <f aca="false">IF($B1051="","",COUNTIF($F1051:$AJ1051,"CL"))</f>
        <v/>
      </c>
      <c r="AQ1051" s="34" t="str">
        <f aca="false">IF($B1051="","",COUNTIF($F1051:$AJ1051,"SL"))</f>
        <v/>
      </c>
      <c r="AR1051" s="34" t="str">
        <f aca="false">IF($B1051="","",COUNTIF($F1051:$AJ1051,"CO"))</f>
        <v/>
      </c>
      <c r="AS1051" s="34" t="str">
        <f aca="false">IF($B1051="","",COUNTIF($F1051:$AJ1051,"HPL"))</f>
        <v/>
      </c>
      <c r="AT1051" s="34" t="str">
        <f aca="false">IF($B1051="","",COUNTIF($F1051:$AJ1051,"HCL"))</f>
        <v/>
      </c>
      <c r="AU1051" s="34" t="str">
        <f aca="false">IF($B1051="","",COUNTIF($F1051:$AJ1051,"WO"))</f>
        <v/>
      </c>
      <c r="AV1051" s="34" t="str">
        <f aca="false">IF($B1051="","",COUNTIF($F1051:$AJ1051,"PH"))</f>
        <v/>
      </c>
      <c r="AW1051" s="34" t="str">
        <f aca="false">IF($B1051="","",COUNTIF($F1051:$AJ1051,"TR"))</f>
        <v/>
      </c>
      <c r="AX1051" s="35" t="str">
        <f aca="false">IF($B1051="","",AO1051+AS1051/2)</f>
        <v/>
      </c>
      <c r="AY1051" s="35" t="str">
        <f aca="false">IF($B1051="","",AQ1051)</f>
        <v/>
      </c>
      <c r="AZ1051" s="35" t="str">
        <f aca="false">IF($B1051="","",AP1051+AT1051/2)</f>
        <v/>
      </c>
      <c r="BA1051" s="35" t="str">
        <f aca="false">IF($B1051="","",AK1051+AN1051+AM1051/2+AO1051+AP1051+AQ1051+AR1051+AS1051+AT1051+AU1051+AV1051+AW1051)</f>
        <v/>
      </c>
      <c r="BB1051" s="35" t="str">
        <f aca="false">IF($B1051="","",MAX(0,AN1051-Settings!$C$16)*Settings!$C$17)</f>
        <v/>
      </c>
      <c r="BC1051" s="35" t="str">
        <f aca="false">IF($B1051="","",BA1051-BB1051)</f>
        <v/>
      </c>
      <c r="BD1051" s="35" t="str">
        <f aca="false">IF(OR($B1051="",$A1051=""),"",DAY(EOMONTH($A1051,0))-COUNTA($F1051:$AJ1051))</f>
        <v/>
      </c>
    </row>
    <row r="1052" customFormat="false" ht="15" hidden="false" customHeight="false" outlineLevel="0" collapsed="false">
      <c r="A1052" s="32"/>
      <c r="B1052" s="29"/>
      <c r="C1052" s="10" t="str">
        <f aca="false">IF($B1052="","",IFERROR(INDEX(M_name,MATCH($B1052,M_emp,0)),"Code not found"))</f>
        <v/>
      </c>
      <c r="D1052" s="10" t="str">
        <f aca="false">IF($B1052="","",IFERROR(INDEX(M_dept,MATCH($B1052,M_emp,0)),""))</f>
        <v/>
      </c>
      <c r="E1052" s="10" t="str">
        <f aca="false">IF($B1052="","",IFERROR(INDEX(M_loc,MATCH($B1052,M_emp,0)),""))</f>
        <v/>
      </c>
      <c r="F1052" s="33"/>
      <c r="G1052" s="33"/>
      <c r="H1052" s="33"/>
      <c r="I1052" s="33"/>
      <c r="J1052" s="33"/>
      <c r="K1052" s="33"/>
      <c r="L1052" s="33"/>
      <c r="M1052" s="33"/>
      <c r="N1052" s="33"/>
      <c r="O1052" s="33"/>
      <c r="P1052" s="33"/>
      <c r="Q1052" s="33"/>
      <c r="R1052" s="33"/>
      <c r="S1052" s="33"/>
      <c r="T1052" s="33"/>
      <c r="U1052" s="33"/>
      <c r="V1052" s="33"/>
      <c r="W1052" s="33"/>
      <c r="X1052" s="33"/>
      <c r="Y1052" s="33"/>
      <c r="Z1052" s="33"/>
      <c r="AA1052" s="33"/>
      <c r="AB1052" s="33"/>
      <c r="AC1052" s="33"/>
      <c r="AD1052" s="33"/>
      <c r="AE1052" s="33"/>
      <c r="AF1052" s="33"/>
      <c r="AG1052" s="33"/>
      <c r="AH1052" s="33"/>
      <c r="AI1052" s="33"/>
      <c r="AJ1052" s="33"/>
      <c r="AK1052" s="34" t="str">
        <f aca="false">IF($B1052="","",COUNTIF($F1052:$AJ1052,"P"))</f>
        <v/>
      </c>
      <c r="AL1052" s="34" t="str">
        <f aca="false">IF($B1052="","",COUNTIF($F1052:$AJ1052,"A"))</f>
        <v/>
      </c>
      <c r="AM1052" s="34" t="str">
        <f aca="false">IF($B1052="","",COUNTIF($F1052:$AJ1052,"HA"))</f>
        <v/>
      </c>
      <c r="AN1052" s="34" t="str">
        <f aca="false">IF($B1052="","",COUNTIF($F1052:$AJ1052,"L"))</f>
        <v/>
      </c>
      <c r="AO1052" s="34" t="str">
        <f aca="false">IF($B1052="","",COUNTIF($F1052:$AJ1052,"PL"))</f>
        <v/>
      </c>
      <c r="AP1052" s="34" t="str">
        <f aca="false">IF($B1052="","",COUNTIF($F1052:$AJ1052,"CL"))</f>
        <v/>
      </c>
      <c r="AQ1052" s="34" t="str">
        <f aca="false">IF($B1052="","",COUNTIF($F1052:$AJ1052,"SL"))</f>
        <v/>
      </c>
      <c r="AR1052" s="34" t="str">
        <f aca="false">IF($B1052="","",COUNTIF($F1052:$AJ1052,"CO"))</f>
        <v/>
      </c>
      <c r="AS1052" s="34" t="str">
        <f aca="false">IF($B1052="","",COUNTIF($F1052:$AJ1052,"HPL"))</f>
        <v/>
      </c>
      <c r="AT1052" s="34" t="str">
        <f aca="false">IF($B1052="","",COUNTIF($F1052:$AJ1052,"HCL"))</f>
        <v/>
      </c>
      <c r="AU1052" s="34" t="str">
        <f aca="false">IF($B1052="","",COUNTIF($F1052:$AJ1052,"WO"))</f>
        <v/>
      </c>
      <c r="AV1052" s="34" t="str">
        <f aca="false">IF($B1052="","",COUNTIF($F1052:$AJ1052,"PH"))</f>
        <v/>
      </c>
      <c r="AW1052" s="34" t="str">
        <f aca="false">IF($B1052="","",COUNTIF($F1052:$AJ1052,"TR"))</f>
        <v/>
      </c>
      <c r="AX1052" s="35" t="str">
        <f aca="false">IF($B1052="","",AO1052+AS1052/2)</f>
        <v/>
      </c>
      <c r="AY1052" s="35" t="str">
        <f aca="false">IF($B1052="","",AQ1052)</f>
        <v/>
      </c>
      <c r="AZ1052" s="35" t="str">
        <f aca="false">IF($B1052="","",AP1052+AT1052/2)</f>
        <v/>
      </c>
      <c r="BA1052" s="35" t="str">
        <f aca="false">IF($B1052="","",AK1052+AN1052+AM1052/2+AO1052+AP1052+AQ1052+AR1052+AS1052+AT1052+AU1052+AV1052+AW1052)</f>
        <v/>
      </c>
      <c r="BB1052" s="35" t="str">
        <f aca="false">IF($B1052="","",MAX(0,AN1052-Settings!$C$16)*Settings!$C$17)</f>
        <v/>
      </c>
      <c r="BC1052" s="35" t="str">
        <f aca="false">IF($B1052="","",BA1052-BB1052)</f>
        <v/>
      </c>
      <c r="BD1052" s="35" t="str">
        <f aca="false">IF(OR($B1052="",$A1052=""),"",DAY(EOMONTH($A1052,0))-COUNTA($F1052:$AJ1052))</f>
        <v/>
      </c>
    </row>
    <row r="1053" customFormat="false" ht="15" hidden="false" customHeight="false" outlineLevel="0" collapsed="false">
      <c r="A1053" s="32"/>
      <c r="B1053" s="29"/>
      <c r="C1053" s="10" t="str">
        <f aca="false">IF($B1053="","",IFERROR(INDEX(M_name,MATCH($B1053,M_emp,0)),"Code not found"))</f>
        <v/>
      </c>
      <c r="D1053" s="10" t="str">
        <f aca="false">IF($B1053="","",IFERROR(INDEX(M_dept,MATCH($B1053,M_emp,0)),""))</f>
        <v/>
      </c>
      <c r="E1053" s="10" t="str">
        <f aca="false">IF($B1053="","",IFERROR(INDEX(M_loc,MATCH($B1053,M_emp,0)),""))</f>
        <v/>
      </c>
      <c r="F1053" s="33"/>
      <c r="G1053" s="33"/>
      <c r="H1053" s="33"/>
      <c r="I1053" s="33"/>
      <c r="J1053" s="3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c r="AF1053" s="33"/>
      <c r="AG1053" s="33"/>
      <c r="AH1053" s="33"/>
      <c r="AI1053" s="33"/>
      <c r="AJ1053" s="33"/>
      <c r="AK1053" s="34" t="str">
        <f aca="false">IF($B1053="","",COUNTIF($F1053:$AJ1053,"P"))</f>
        <v/>
      </c>
      <c r="AL1053" s="34" t="str">
        <f aca="false">IF($B1053="","",COUNTIF($F1053:$AJ1053,"A"))</f>
        <v/>
      </c>
      <c r="AM1053" s="34" t="str">
        <f aca="false">IF($B1053="","",COUNTIF($F1053:$AJ1053,"HA"))</f>
        <v/>
      </c>
      <c r="AN1053" s="34" t="str">
        <f aca="false">IF($B1053="","",COUNTIF($F1053:$AJ1053,"L"))</f>
        <v/>
      </c>
      <c r="AO1053" s="34" t="str">
        <f aca="false">IF($B1053="","",COUNTIF($F1053:$AJ1053,"PL"))</f>
        <v/>
      </c>
      <c r="AP1053" s="34" t="str">
        <f aca="false">IF($B1053="","",COUNTIF($F1053:$AJ1053,"CL"))</f>
        <v/>
      </c>
      <c r="AQ1053" s="34" t="str">
        <f aca="false">IF($B1053="","",COUNTIF($F1053:$AJ1053,"SL"))</f>
        <v/>
      </c>
      <c r="AR1053" s="34" t="str">
        <f aca="false">IF($B1053="","",COUNTIF($F1053:$AJ1053,"CO"))</f>
        <v/>
      </c>
      <c r="AS1053" s="34" t="str">
        <f aca="false">IF($B1053="","",COUNTIF($F1053:$AJ1053,"HPL"))</f>
        <v/>
      </c>
      <c r="AT1053" s="34" t="str">
        <f aca="false">IF($B1053="","",COUNTIF($F1053:$AJ1053,"HCL"))</f>
        <v/>
      </c>
      <c r="AU1053" s="34" t="str">
        <f aca="false">IF($B1053="","",COUNTIF($F1053:$AJ1053,"WO"))</f>
        <v/>
      </c>
      <c r="AV1053" s="34" t="str">
        <f aca="false">IF($B1053="","",COUNTIF($F1053:$AJ1053,"PH"))</f>
        <v/>
      </c>
      <c r="AW1053" s="34" t="str">
        <f aca="false">IF($B1053="","",COUNTIF($F1053:$AJ1053,"TR"))</f>
        <v/>
      </c>
      <c r="AX1053" s="35" t="str">
        <f aca="false">IF($B1053="","",AO1053+AS1053/2)</f>
        <v/>
      </c>
      <c r="AY1053" s="35" t="str">
        <f aca="false">IF($B1053="","",AQ1053)</f>
        <v/>
      </c>
      <c r="AZ1053" s="35" t="str">
        <f aca="false">IF($B1053="","",AP1053+AT1053/2)</f>
        <v/>
      </c>
      <c r="BA1053" s="35" t="str">
        <f aca="false">IF($B1053="","",AK1053+AN1053+AM1053/2+AO1053+AP1053+AQ1053+AR1053+AS1053+AT1053+AU1053+AV1053+AW1053)</f>
        <v/>
      </c>
      <c r="BB1053" s="35" t="str">
        <f aca="false">IF($B1053="","",MAX(0,AN1053-Settings!$C$16)*Settings!$C$17)</f>
        <v/>
      </c>
      <c r="BC1053" s="35" t="str">
        <f aca="false">IF($B1053="","",BA1053-BB1053)</f>
        <v/>
      </c>
      <c r="BD1053" s="35" t="str">
        <f aca="false">IF(OR($B1053="",$A1053=""),"",DAY(EOMONTH($A1053,0))-COUNTA($F1053:$AJ1053))</f>
        <v/>
      </c>
    </row>
    <row r="1054" customFormat="false" ht="15" hidden="false" customHeight="false" outlineLevel="0" collapsed="false">
      <c r="A1054" s="32"/>
      <c r="B1054" s="29"/>
      <c r="C1054" s="10" t="str">
        <f aca="false">IF($B1054="","",IFERROR(INDEX(M_name,MATCH($B1054,M_emp,0)),"Code not found"))</f>
        <v/>
      </c>
      <c r="D1054" s="10" t="str">
        <f aca="false">IF($B1054="","",IFERROR(INDEX(M_dept,MATCH($B1054,M_emp,0)),""))</f>
        <v/>
      </c>
      <c r="E1054" s="10" t="str">
        <f aca="false">IF($B1054="","",IFERROR(INDEX(M_loc,MATCH($B1054,M_emp,0)),""))</f>
        <v/>
      </c>
      <c r="F1054" s="33"/>
      <c r="G1054" s="33"/>
      <c r="H1054" s="33"/>
      <c r="I1054" s="33"/>
      <c r="J1054" s="33"/>
      <c r="K1054" s="33"/>
      <c r="L1054" s="33"/>
      <c r="M1054" s="33"/>
      <c r="N1054" s="33"/>
      <c r="O1054" s="33"/>
      <c r="P1054" s="33"/>
      <c r="Q1054" s="33"/>
      <c r="R1054" s="33"/>
      <c r="S1054" s="33"/>
      <c r="T1054" s="33"/>
      <c r="U1054" s="33"/>
      <c r="V1054" s="33"/>
      <c r="W1054" s="33"/>
      <c r="X1054" s="33"/>
      <c r="Y1054" s="33"/>
      <c r="Z1054" s="33"/>
      <c r="AA1054" s="33"/>
      <c r="AB1054" s="33"/>
      <c r="AC1054" s="33"/>
      <c r="AD1054" s="33"/>
      <c r="AE1054" s="33"/>
      <c r="AF1054" s="33"/>
      <c r="AG1054" s="33"/>
      <c r="AH1054" s="33"/>
      <c r="AI1054" s="33"/>
      <c r="AJ1054" s="33"/>
      <c r="AK1054" s="34" t="str">
        <f aca="false">IF($B1054="","",COUNTIF($F1054:$AJ1054,"P"))</f>
        <v/>
      </c>
      <c r="AL1054" s="34" t="str">
        <f aca="false">IF($B1054="","",COUNTIF($F1054:$AJ1054,"A"))</f>
        <v/>
      </c>
      <c r="AM1054" s="34" t="str">
        <f aca="false">IF($B1054="","",COUNTIF($F1054:$AJ1054,"HA"))</f>
        <v/>
      </c>
      <c r="AN1054" s="34" t="str">
        <f aca="false">IF($B1054="","",COUNTIF($F1054:$AJ1054,"L"))</f>
        <v/>
      </c>
      <c r="AO1054" s="34" t="str">
        <f aca="false">IF($B1054="","",COUNTIF($F1054:$AJ1054,"PL"))</f>
        <v/>
      </c>
      <c r="AP1054" s="34" t="str">
        <f aca="false">IF($B1054="","",COUNTIF($F1054:$AJ1054,"CL"))</f>
        <v/>
      </c>
      <c r="AQ1054" s="34" t="str">
        <f aca="false">IF($B1054="","",COUNTIF($F1054:$AJ1054,"SL"))</f>
        <v/>
      </c>
      <c r="AR1054" s="34" t="str">
        <f aca="false">IF($B1054="","",COUNTIF($F1054:$AJ1054,"CO"))</f>
        <v/>
      </c>
      <c r="AS1054" s="34" t="str">
        <f aca="false">IF($B1054="","",COUNTIF($F1054:$AJ1054,"HPL"))</f>
        <v/>
      </c>
      <c r="AT1054" s="34" t="str">
        <f aca="false">IF($B1054="","",COUNTIF($F1054:$AJ1054,"HCL"))</f>
        <v/>
      </c>
      <c r="AU1054" s="34" t="str">
        <f aca="false">IF($B1054="","",COUNTIF($F1054:$AJ1054,"WO"))</f>
        <v/>
      </c>
      <c r="AV1054" s="34" t="str">
        <f aca="false">IF($B1054="","",COUNTIF($F1054:$AJ1054,"PH"))</f>
        <v/>
      </c>
      <c r="AW1054" s="34" t="str">
        <f aca="false">IF($B1054="","",COUNTIF($F1054:$AJ1054,"TR"))</f>
        <v/>
      </c>
      <c r="AX1054" s="35" t="str">
        <f aca="false">IF($B1054="","",AO1054+AS1054/2)</f>
        <v/>
      </c>
      <c r="AY1054" s="35" t="str">
        <f aca="false">IF($B1054="","",AQ1054)</f>
        <v/>
      </c>
      <c r="AZ1054" s="35" t="str">
        <f aca="false">IF($B1054="","",AP1054+AT1054/2)</f>
        <v/>
      </c>
      <c r="BA1054" s="35" t="str">
        <f aca="false">IF($B1054="","",AK1054+AN1054+AM1054/2+AO1054+AP1054+AQ1054+AR1054+AS1054+AT1054+AU1054+AV1054+AW1054)</f>
        <v/>
      </c>
      <c r="BB1054" s="35" t="str">
        <f aca="false">IF($B1054="","",MAX(0,AN1054-Settings!$C$16)*Settings!$C$17)</f>
        <v/>
      </c>
      <c r="BC1054" s="35" t="str">
        <f aca="false">IF($B1054="","",BA1054-BB1054)</f>
        <v/>
      </c>
      <c r="BD1054" s="35" t="str">
        <f aca="false">IF(OR($B1054="",$A1054=""),"",DAY(EOMONTH($A1054,0))-COUNTA($F1054:$AJ1054))</f>
        <v/>
      </c>
    </row>
    <row r="1055" customFormat="false" ht="15" hidden="false" customHeight="false" outlineLevel="0" collapsed="false">
      <c r="A1055" s="32"/>
      <c r="B1055" s="29"/>
      <c r="C1055" s="10" t="str">
        <f aca="false">IF($B1055="","",IFERROR(INDEX(M_name,MATCH($B1055,M_emp,0)),"Code not found"))</f>
        <v/>
      </c>
      <c r="D1055" s="10" t="str">
        <f aca="false">IF($B1055="","",IFERROR(INDEX(M_dept,MATCH($B1055,M_emp,0)),""))</f>
        <v/>
      </c>
      <c r="E1055" s="10" t="str">
        <f aca="false">IF($B1055="","",IFERROR(INDEX(M_loc,MATCH($B1055,M_emp,0)),""))</f>
        <v/>
      </c>
      <c r="F1055" s="33"/>
      <c r="G1055" s="33"/>
      <c r="H1055" s="33"/>
      <c r="I1055" s="33"/>
      <c r="J1055" s="3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c r="AF1055" s="33"/>
      <c r="AG1055" s="33"/>
      <c r="AH1055" s="33"/>
      <c r="AI1055" s="33"/>
      <c r="AJ1055" s="33"/>
      <c r="AK1055" s="34" t="str">
        <f aca="false">IF($B1055="","",COUNTIF($F1055:$AJ1055,"P"))</f>
        <v/>
      </c>
      <c r="AL1055" s="34" t="str">
        <f aca="false">IF($B1055="","",COUNTIF($F1055:$AJ1055,"A"))</f>
        <v/>
      </c>
      <c r="AM1055" s="34" t="str">
        <f aca="false">IF($B1055="","",COUNTIF($F1055:$AJ1055,"HA"))</f>
        <v/>
      </c>
      <c r="AN1055" s="34" t="str">
        <f aca="false">IF($B1055="","",COUNTIF($F1055:$AJ1055,"L"))</f>
        <v/>
      </c>
      <c r="AO1055" s="34" t="str">
        <f aca="false">IF($B1055="","",COUNTIF($F1055:$AJ1055,"PL"))</f>
        <v/>
      </c>
      <c r="AP1055" s="34" t="str">
        <f aca="false">IF($B1055="","",COUNTIF($F1055:$AJ1055,"CL"))</f>
        <v/>
      </c>
      <c r="AQ1055" s="34" t="str">
        <f aca="false">IF($B1055="","",COUNTIF($F1055:$AJ1055,"SL"))</f>
        <v/>
      </c>
      <c r="AR1055" s="34" t="str">
        <f aca="false">IF($B1055="","",COUNTIF($F1055:$AJ1055,"CO"))</f>
        <v/>
      </c>
      <c r="AS1055" s="34" t="str">
        <f aca="false">IF($B1055="","",COUNTIF($F1055:$AJ1055,"HPL"))</f>
        <v/>
      </c>
      <c r="AT1055" s="34" t="str">
        <f aca="false">IF($B1055="","",COUNTIF($F1055:$AJ1055,"HCL"))</f>
        <v/>
      </c>
      <c r="AU1055" s="34" t="str">
        <f aca="false">IF($B1055="","",COUNTIF($F1055:$AJ1055,"WO"))</f>
        <v/>
      </c>
      <c r="AV1055" s="34" t="str">
        <f aca="false">IF($B1055="","",COUNTIF($F1055:$AJ1055,"PH"))</f>
        <v/>
      </c>
      <c r="AW1055" s="34" t="str">
        <f aca="false">IF($B1055="","",COUNTIF($F1055:$AJ1055,"TR"))</f>
        <v/>
      </c>
      <c r="AX1055" s="35" t="str">
        <f aca="false">IF($B1055="","",AO1055+AS1055/2)</f>
        <v/>
      </c>
      <c r="AY1055" s="35" t="str">
        <f aca="false">IF($B1055="","",AQ1055)</f>
        <v/>
      </c>
      <c r="AZ1055" s="35" t="str">
        <f aca="false">IF($B1055="","",AP1055+AT1055/2)</f>
        <v/>
      </c>
      <c r="BA1055" s="35" t="str">
        <f aca="false">IF($B1055="","",AK1055+AN1055+AM1055/2+AO1055+AP1055+AQ1055+AR1055+AS1055+AT1055+AU1055+AV1055+AW1055)</f>
        <v/>
      </c>
      <c r="BB1055" s="35" t="str">
        <f aca="false">IF($B1055="","",MAX(0,AN1055-Settings!$C$16)*Settings!$C$17)</f>
        <v/>
      </c>
      <c r="BC1055" s="35" t="str">
        <f aca="false">IF($B1055="","",BA1055-BB1055)</f>
        <v/>
      </c>
      <c r="BD1055" s="35" t="str">
        <f aca="false">IF(OR($B1055="",$A1055=""),"",DAY(EOMONTH($A1055,0))-COUNTA($F1055:$AJ1055))</f>
        <v/>
      </c>
    </row>
    <row r="1056" customFormat="false" ht="15" hidden="false" customHeight="false" outlineLevel="0" collapsed="false">
      <c r="A1056" s="32"/>
      <c r="B1056" s="29"/>
      <c r="C1056" s="10" t="str">
        <f aca="false">IF($B1056="","",IFERROR(INDEX(M_name,MATCH($B1056,M_emp,0)),"Code not found"))</f>
        <v/>
      </c>
      <c r="D1056" s="10" t="str">
        <f aca="false">IF($B1056="","",IFERROR(INDEX(M_dept,MATCH($B1056,M_emp,0)),""))</f>
        <v/>
      </c>
      <c r="E1056" s="10" t="str">
        <f aca="false">IF($B1056="","",IFERROR(INDEX(M_loc,MATCH($B1056,M_emp,0)),""))</f>
        <v/>
      </c>
      <c r="F1056" s="33"/>
      <c r="G1056" s="33"/>
      <c r="H1056" s="33"/>
      <c r="I1056" s="33"/>
      <c r="J1056" s="33"/>
      <c r="K1056" s="33"/>
      <c r="L1056" s="33"/>
      <c r="M1056" s="33"/>
      <c r="N1056" s="33"/>
      <c r="O1056" s="33"/>
      <c r="P1056" s="33"/>
      <c r="Q1056" s="33"/>
      <c r="R1056" s="33"/>
      <c r="S1056" s="33"/>
      <c r="T1056" s="33"/>
      <c r="U1056" s="33"/>
      <c r="V1056" s="33"/>
      <c r="W1056" s="33"/>
      <c r="X1056" s="33"/>
      <c r="Y1056" s="33"/>
      <c r="Z1056" s="33"/>
      <c r="AA1056" s="33"/>
      <c r="AB1056" s="33"/>
      <c r="AC1056" s="33"/>
      <c r="AD1056" s="33"/>
      <c r="AE1056" s="33"/>
      <c r="AF1056" s="33"/>
      <c r="AG1056" s="33"/>
      <c r="AH1056" s="33"/>
      <c r="AI1056" s="33"/>
      <c r="AJ1056" s="33"/>
      <c r="AK1056" s="34" t="str">
        <f aca="false">IF($B1056="","",COUNTIF($F1056:$AJ1056,"P"))</f>
        <v/>
      </c>
      <c r="AL1056" s="34" t="str">
        <f aca="false">IF($B1056="","",COUNTIF($F1056:$AJ1056,"A"))</f>
        <v/>
      </c>
      <c r="AM1056" s="34" t="str">
        <f aca="false">IF($B1056="","",COUNTIF($F1056:$AJ1056,"HA"))</f>
        <v/>
      </c>
      <c r="AN1056" s="34" t="str">
        <f aca="false">IF($B1056="","",COUNTIF($F1056:$AJ1056,"L"))</f>
        <v/>
      </c>
      <c r="AO1056" s="34" t="str">
        <f aca="false">IF($B1056="","",COUNTIF($F1056:$AJ1056,"PL"))</f>
        <v/>
      </c>
      <c r="AP1056" s="34" t="str">
        <f aca="false">IF($B1056="","",COUNTIF($F1056:$AJ1056,"CL"))</f>
        <v/>
      </c>
      <c r="AQ1056" s="34" t="str">
        <f aca="false">IF($B1056="","",COUNTIF($F1056:$AJ1056,"SL"))</f>
        <v/>
      </c>
      <c r="AR1056" s="34" t="str">
        <f aca="false">IF($B1056="","",COUNTIF($F1056:$AJ1056,"CO"))</f>
        <v/>
      </c>
      <c r="AS1056" s="34" t="str">
        <f aca="false">IF($B1056="","",COUNTIF($F1056:$AJ1056,"HPL"))</f>
        <v/>
      </c>
      <c r="AT1056" s="34" t="str">
        <f aca="false">IF($B1056="","",COUNTIF($F1056:$AJ1056,"HCL"))</f>
        <v/>
      </c>
      <c r="AU1056" s="34" t="str">
        <f aca="false">IF($B1056="","",COUNTIF($F1056:$AJ1056,"WO"))</f>
        <v/>
      </c>
      <c r="AV1056" s="34" t="str">
        <f aca="false">IF($B1056="","",COUNTIF($F1056:$AJ1056,"PH"))</f>
        <v/>
      </c>
      <c r="AW1056" s="34" t="str">
        <f aca="false">IF($B1056="","",COUNTIF($F1056:$AJ1056,"TR"))</f>
        <v/>
      </c>
      <c r="AX1056" s="35" t="str">
        <f aca="false">IF($B1056="","",AO1056+AS1056/2)</f>
        <v/>
      </c>
      <c r="AY1056" s="35" t="str">
        <f aca="false">IF($B1056="","",AQ1056)</f>
        <v/>
      </c>
      <c r="AZ1056" s="35" t="str">
        <f aca="false">IF($B1056="","",AP1056+AT1056/2)</f>
        <v/>
      </c>
      <c r="BA1056" s="35" t="str">
        <f aca="false">IF($B1056="","",AK1056+AN1056+AM1056/2+AO1056+AP1056+AQ1056+AR1056+AS1056+AT1056+AU1056+AV1056+AW1056)</f>
        <v/>
      </c>
      <c r="BB1056" s="35" t="str">
        <f aca="false">IF($B1056="","",MAX(0,AN1056-Settings!$C$16)*Settings!$C$17)</f>
        <v/>
      </c>
      <c r="BC1056" s="35" t="str">
        <f aca="false">IF($B1056="","",BA1056-BB1056)</f>
        <v/>
      </c>
      <c r="BD1056" s="35" t="str">
        <f aca="false">IF(OR($B1056="",$A1056=""),"",DAY(EOMONTH($A1056,0))-COUNTA($F1056:$AJ1056))</f>
        <v/>
      </c>
    </row>
    <row r="1057" customFormat="false" ht="15" hidden="false" customHeight="false" outlineLevel="0" collapsed="false">
      <c r="A1057" s="32"/>
      <c r="B1057" s="29"/>
      <c r="C1057" s="10" t="str">
        <f aca="false">IF($B1057="","",IFERROR(INDEX(M_name,MATCH($B1057,M_emp,0)),"Code not found"))</f>
        <v/>
      </c>
      <c r="D1057" s="10" t="str">
        <f aca="false">IF($B1057="","",IFERROR(INDEX(M_dept,MATCH($B1057,M_emp,0)),""))</f>
        <v/>
      </c>
      <c r="E1057" s="10" t="str">
        <f aca="false">IF($B1057="","",IFERROR(INDEX(M_loc,MATCH($B1057,M_emp,0)),""))</f>
        <v/>
      </c>
      <c r="F1057" s="33"/>
      <c r="G1057" s="33"/>
      <c r="H1057" s="33"/>
      <c r="I1057" s="33"/>
      <c r="J1057" s="33"/>
      <c r="K1057" s="33"/>
      <c r="L1057" s="33"/>
      <c r="M1057" s="33"/>
      <c r="N1057" s="33"/>
      <c r="O1057" s="33"/>
      <c r="P1057" s="33"/>
      <c r="Q1057" s="33"/>
      <c r="R1057" s="33"/>
      <c r="S1057" s="33"/>
      <c r="T1057" s="33"/>
      <c r="U1057" s="33"/>
      <c r="V1057" s="33"/>
      <c r="W1057" s="33"/>
      <c r="X1057" s="33"/>
      <c r="Y1057" s="33"/>
      <c r="Z1057" s="33"/>
      <c r="AA1057" s="33"/>
      <c r="AB1057" s="33"/>
      <c r="AC1057" s="33"/>
      <c r="AD1057" s="33"/>
      <c r="AE1057" s="33"/>
      <c r="AF1057" s="33"/>
      <c r="AG1057" s="33"/>
      <c r="AH1057" s="33"/>
      <c r="AI1057" s="33"/>
      <c r="AJ1057" s="33"/>
      <c r="AK1057" s="34" t="str">
        <f aca="false">IF($B1057="","",COUNTIF($F1057:$AJ1057,"P"))</f>
        <v/>
      </c>
      <c r="AL1057" s="34" t="str">
        <f aca="false">IF($B1057="","",COUNTIF($F1057:$AJ1057,"A"))</f>
        <v/>
      </c>
      <c r="AM1057" s="34" t="str">
        <f aca="false">IF($B1057="","",COUNTIF($F1057:$AJ1057,"HA"))</f>
        <v/>
      </c>
      <c r="AN1057" s="34" t="str">
        <f aca="false">IF($B1057="","",COUNTIF($F1057:$AJ1057,"L"))</f>
        <v/>
      </c>
      <c r="AO1057" s="34" t="str">
        <f aca="false">IF($B1057="","",COUNTIF($F1057:$AJ1057,"PL"))</f>
        <v/>
      </c>
      <c r="AP1057" s="34" t="str">
        <f aca="false">IF($B1057="","",COUNTIF($F1057:$AJ1057,"CL"))</f>
        <v/>
      </c>
      <c r="AQ1057" s="34" t="str">
        <f aca="false">IF($B1057="","",COUNTIF($F1057:$AJ1057,"SL"))</f>
        <v/>
      </c>
      <c r="AR1057" s="34" t="str">
        <f aca="false">IF($B1057="","",COUNTIF($F1057:$AJ1057,"CO"))</f>
        <v/>
      </c>
      <c r="AS1057" s="34" t="str">
        <f aca="false">IF($B1057="","",COUNTIF($F1057:$AJ1057,"HPL"))</f>
        <v/>
      </c>
      <c r="AT1057" s="34" t="str">
        <f aca="false">IF($B1057="","",COUNTIF($F1057:$AJ1057,"HCL"))</f>
        <v/>
      </c>
      <c r="AU1057" s="34" t="str">
        <f aca="false">IF($B1057="","",COUNTIF($F1057:$AJ1057,"WO"))</f>
        <v/>
      </c>
      <c r="AV1057" s="34" t="str">
        <f aca="false">IF($B1057="","",COUNTIF($F1057:$AJ1057,"PH"))</f>
        <v/>
      </c>
      <c r="AW1057" s="34" t="str">
        <f aca="false">IF($B1057="","",COUNTIF($F1057:$AJ1057,"TR"))</f>
        <v/>
      </c>
      <c r="AX1057" s="35" t="str">
        <f aca="false">IF($B1057="","",AO1057+AS1057/2)</f>
        <v/>
      </c>
      <c r="AY1057" s="35" t="str">
        <f aca="false">IF($B1057="","",AQ1057)</f>
        <v/>
      </c>
      <c r="AZ1057" s="35" t="str">
        <f aca="false">IF($B1057="","",AP1057+AT1057/2)</f>
        <v/>
      </c>
      <c r="BA1057" s="35" t="str">
        <f aca="false">IF($B1057="","",AK1057+AN1057+AM1057/2+AO1057+AP1057+AQ1057+AR1057+AS1057+AT1057+AU1057+AV1057+AW1057)</f>
        <v/>
      </c>
      <c r="BB1057" s="35" t="str">
        <f aca="false">IF($B1057="","",MAX(0,AN1057-Settings!$C$16)*Settings!$C$17)</f>
        <v/>
      </c>
      <c r="BC1057" s="35" t="str">
        <f aca="false">IF($B1057="","",BA1057-BB1057)</f>
        <v/>
      </c>
      <c r="BD1057" s="35" t="str">
        <f aca="false">IF(OR($B1057="",$A1057=""),"",DAY(EOMONTH($A1057,0))-COUNTA($F1057:$AJ1057))</f>
        <v/>
      </c>
    </row>
    <row r="1058" customFormat="false" ht="15" hidden="false" customHeight="false" outlineLevel="0" collapsed="false">
      <c r="A1058" s="32"/>
      <c r="B1058" s="29"/>
      <c r="C1058" s="10" t="str">
        <f aca="false">IF($B1058="","",IFERROR(INDEX(M_name,MATCH($B1058,M_emp,0)),"Code not found"))</f>
        <v/>
      </c>
      <c r="D1058" s="10" t="str">
        <f aca="false">IF($B1058="","",IFERROR(INDEX(M_dept,MATCH($B1058,M_emp,0)),""))</f>
        <v/>
      </c>
      <c r="E1058" s="10" t="str">
        <f aca="false">IF($B1058="","",IFERROR(INDEX(M_loc,MATCH($B1058,M_emp,0)),""))</f>
        <v/>
      </c>
      <c r="F1058" s="33"/>
      <c r="G1058" s="33"/>
      <c r="H1058" s="33"/>
      <c r="I1058" s="33"/>
      <c r="J1058" s="33"/>
      <c r="K1058" s="33"/>
      <c r="L1058" s="33"/>
      <c r="M1058" s="33"/>
      <c r="N1058" s="33"/>
      <c r="O1058" s="33"/>
      <c r="P1058" s="33"/>
      <c r="Q1058" s="33"/>
      <c r="R1058" s="33"/>
      <c r="S1058" s="33"/>
      <c r="T1058" s="33"/>
      <c r="U1058" s="33"/>
      <c r="V1058" s="33"/>
      <c r="W1058" s="33"/>
      <c r="X1058" s="33"/>
      <c r="Y1058" s="33"/>
      <c r="Z1058" s="33"/>
      <c r="AA1058" s="33"/>
      <c r="AB1058" s="33"/>
      <c r="AC1058" s="33"/>
      <c r="AD1058" s="33"/>
      <c r="AE1058" s="33"/>
      <c r="AF1058" s="33"/>
      <c r="AG1058" s="33"/>
      <c r="AH1058" s="33"/>
      <c r="AI1058" s="33"/>
      <c r="AJ1058" s="33"/>
      <c r="AK1058" s="34" t="str">
        <f aca="false">IF($B1058="","",COUNTIF($F1058:$AJ1058,"P"))</f>
        <v/>
      </c>
      <c r="AL1058" s="34" t="str">
        <f aca="false">IF($B1058="","",COUNTIF($F1058:$AJ1058,"A"))</f>
        <v/>
      </c>
      <c r="AM1058" s="34" t="str">
        <f aca="false">IF($B1058="","",COUNTIF($F1058:$AJ1058,"HA"))</f>
        <v/>
      </c>
      <c r="AN1058" s="34" t="str">
        <f aca="false">IF($B1058="","",COUNTIF($F1058:$AJ1058,"L"))</f>
        <v/>
      </c>
      <c r="AO1058" s="34" t="str">
        <f aca="false">IF($B1058="","",COUNTIF($F1058:$AJ1058,"PL"))</f>
        <v/>
      </c>
      <c r="AP1058" s="34" t="str">
        <f aca="false">IF($B1058="","",COUNTIF($F1058:$AJ1058,"CL"))</f>
        <v/>
      </c>
      <c r="AQ1058" s="34" t="str">
        <f aca="false">IF($B1058="","",COUNTIF($F1058:$AJ1058,"SL"))</f>
        <v/>
      </c>
      <c r="AR1058" s="34" t="str">
        <f aca="false">IF($B1058="","",COUNTIF($F1058:$AJ1058,"CO"))</f>
        <v/>
      </c>
      <c r="AS1058" s="34" t="str">
        <f aca="false">IF($B1058="","",COUNTIF($F1058:$AJ1058,"HPL"))</f>
        <v/>
      </c>
      <c r="AT1058" s="34" t="str">
        <f aca="false">IF($B1058="","",COUNTIF($F1058:$AJ1058,"HCL"))</f>
        <v/>
      </c>
      <c r="AU1058" s="34" t="str">
        <f aca="false">IF($B1058="","",COUNTIF($F1058:$AJ1058,"WO"))</f>
        <v/>
      </c>
      <c r="AV1058" s="34" t="str">
        <f aca="false">IF($B1058="","",COUNTIF($F1058:$AJ1058,"PH"))</f>
        <v/>
      </c>
      <c r="AW1058" s="34" t="str">
        <f aca="false">IF($B1058="","",COUNTIF($F1058:$AJ1058,"TR"))</f>
        <v/>
      </c>
      <c r="AX1058" s="35" t="str">
        <f aca="false">IF($B1058="","",AO1058+AS1058/2)</f>
        <v/>
      </c>
      <c r="AY1058" s="35" t="str">
        <f aca="false">IF($B1058="","",AQ1058)</f>
        <v/>
      </c>
      <c r="AZ1058" s="35" t="str">
        <f aca="false">IF($B1058="","",AP1058+AT1058/2)</f>
        <v/>
      </c>
      <c r="BA1058" s="35" t="str">
        <f aca="false">IF($B1058="","",AK1058+AN1058+AM1058/2+AO1058+AP1058+AQ1058+AR1058+AS1058+AT1058+AU1058+AV1058+AW1058)</f>
        <v/>
      </c>
      <c r="BB1058" s="35" t="str">
        <f aca="false">IF($B1058="","",MAX(0,AN1058-Settings!$C$16)*Settings!$C$17)</f>
        <v/>
      </c>
      <c r="BC1058" s="35" t="str">
        <f aca="false">IF($B1058="","",BA1058-BB1058)</f>
        <v/>
      </c>
      <c r="BD1058" s="35" t="str">
        <f aca="false">IF(OR($B1058="",$A1058=""),"",DAY(EOMONTH($A1058,0))-COUNTA($F1058:$AJ1058))</f>
        <v/>
      </c>
    </row>
    <row r="1059" customFormat="false" ht="15" hidden="false" customHeight="false" outlineLevel="0" collapsed="false">
      <c r="A1059" s="32"/>
      <c r="B1059" s="29"/>
      <c r="C1059" s="10" t="str">
        <f aca="false">IF($B1059="","",IFERROR(INDEX(M_name,MATCH($B1059,M_emp,0)),"Code not found"))</f>
        <v/>
      </c>
      <c r="D1059" s="10" t="str">
        <f aca="false">IF($B1059="","",IFERROR(INDEX(M_dept,MATCH($B1059,M_emp,0)),""))</f>
        <v/>
      </c>
      <c r="E1059" s="10" t="str">
        <f aca="false">IF($B1059="","",IFERROR(INDEX(M_loc,MATCH($B1059,M_emp,0)),""))</f>
        <v/>
      </c>
      <c r="F1059" s="33"/>
      <c r="G1059" s="33"/>
      <c r="H1059" s="33"/>
      <c r="I1059" s="33"/>
      <c r="J1059" s="33"/>
      <c r="K1059" s="33"/>
      <c r="L1059" s="33"/>
      <c r="M1059" s="33"/>
      <c r="N1059" s="33"/>
      <c r="O1059" s="33"/>
      <c r="P1059" s="33"/>
      <c r="Q1059" s="33"/>
      <c r="R1059" s="33"/>
      <c r="S1059" s="33"/>
      <c r="T1059" s="33"/>
      <c r="U1059" s="33"/>
      <c r="V1059" s="33"/>
      <c r="W1059" s="33"/>
      <c r="X1059" s="33"/>
      <c r="Y1059" s="33"/>
      <c r="Z1059" s="33"/>
      <c r="AA1059" s="33"/>
      <c r="AB1059" s="33"/>
      <c r="AC1059" s="33"/>
      <c r="AD1059" s="33"/>
      <c r="AE1059" s="33"/>
      <c r="AF1059" s="33"/>
      <c r="AG1059" s="33"/>
      <c r="AH1059" s="33"/>
      <c r="AI1059" s="33"/>
      <c r="AJ1059" s="33"/>
      <c r="AK1059" s="34" t="str">
        <f aca="false">IF($B1059="","",COUNTIF($F1059:$AJ1059,"P"))</f>
        <v/>
      </c>
      <c r="AL1059" s="34" t="str">
        <f aca="false">IF($B1059="","",COUNTIF($F1059:$AJ1059,"A"))</f>
        <v/>
      </c>
      <c r="AM1059" s="34" t="str">
        <f aca="false">IF($B1059="","",COUNTIF($F1059:$AJ1059,"HA"))</f>
        <v/>
      </c>
      <c r="AN1059" s="34" t="str">
        <f aca="false">IF($B1059="","",COUNTIF($F1059:$AJ1059,"L"))</f>
        <v/>
      </c>
      <c r="AO1059" s="34" t="str">
        <f aca="false">IF($B1059="","",COUNTIF($F1059:$AJ1059,"PL"))</f>
        <v/>
      </c>
      <c r="AP1059" s="34" t="str">
        <f aca="false">IF($B1059="","",COUNTIF($F1059:$AJ1059,"CL"))</f>
        <v/>
      </c>
      <c r="AQ1059" s="34" t="str">
        <f aca="false">IF($B1059="","",COUNTIF($F1059:$AJ1059,"SL"))</f>
        <v/>
      </c>
      <c r="AR1059" s="34" t="str">
        <f aca="false">IF($B1059="","",COUNTIF($F1059:$AJ1059,"CO"))</f>
        <v/>
      </c>
      <c r="AS1059" s="34" t="str">
        <f aca="false">IF($B1059="","",COUNTIF($F1059:$AJ1059,"HPL"))</f>
        <v/>
      </c>
      <c r="AT1059" s="34" t="str">
        <f aca="false">IF($B1059="","",COUNTIF($F1059:$AJ1059,"HCL"))</f>
        <v/>
      </c>
      <c r="AU1059" s="34" t="str">
        <f aca="false">IF($B1059="","",COUNTIF($F1059:$AJ1059,"WO"))</f>
        <v/>
      </c>
      <c r="AV1059" s="34" t="str">
        <f aca="false">IF($B1059="","",COUNTIF($F1059:$AJ1059,"PH"))</f>
        <v/>
      </c>
      <c r="AW1059" s="34" t="str">
        <f aca="false">IF($B1059="","",COUNTIF($F1059:$AJ1059,"TR"))</f>
        <v/>
      </c>
      <c r="AX1059" s="35" t="str">
        <f aca="false">IF($B1059="","",AO1059+AS1059/2)</f>
        <v/>
      </c>
      <c r="AY1059" s="35" t="str">
        <f aca="false">IF($B1059="","",AQ1059)</f>
        <v/>
      </c>
      <c r="AZ1059" s="35" t="str">
        <f aca="false">IF($B1059="","",AP1059+AT1059/2)</f>
        <v/>
      </c>
      <c r="BA1059" s="35" t="str">
        <f aca="false">IF($B1059="","",AK1059+AN1059+AM1059/2+AO1059+AP1059+AQ1059+AR1059+AS1059+AT1059+AU1059+AV1059+AW1059)</f>
        <v/>
      </c>
      <c r="BB1059" s="35" t="str">
        <f aca="false">IF($B1059="","",MAX(0,AN1059-Settings!$C$16)*Settings!$C$17)</f>
        <v/>
      </c>
      <c r="BC1059" s="35" t="str">
        <f aca="false">IF($B1059="","",BA1059-BB1059)</f>
        <v/>
      </c>
      <c r="BD1059" s="35" t="str">
        <f aca="false">IF(OR($B1059="",$A1059=""),"",DAY(EOMONTH($A1059,0))-COUNTA($F1059:$AJ1059))</f>
        <v/>
      </c>
    </row>
    <row r="1060" customFormat="false" ht="15" hidden="false" customHeight="false" outlineLevel="0" collapsed="false">
      <c r="A1060" s="32"/>
      <c r="B1060" s="29"/>
      <c r="C1060" s="10" t="str">
        <f aca="false">IF($B1060="","",IFERROR(INDEX(M_name,MATCH($B1060,M_emp,0)),"Code not found"))</f>
        <v/>
      </c>
      <c r="D1060" s="10" t="str">
        <f aca="false">IF($B1060="","",IFERROR(INDEX(M_dept,MATCH($B1060,M_emp,0)),""))</f>
        <v/>
      </c>
      <c r="E1060" s="10" t="str">
        <f aca="false">IF($B1060="","",IFERROR(INDEX(M_loc,MATCH($B1060,M_emp,0)),""))</f>
        <v/>
      </c>
      <c r="F1060" s="33"/>
      <c r="G1060" s="33"/>
      <c r="H1060" s="33"/>
      <c r="I1060" s="33"/>
      <c r="J1060" s="33"/>
      <c r="K1060" s="33"/>
      <c r="L1060" s="33"/>
      <c r="M1060" s="33"/>
      <c r="N1060" s="33"/>
      <c r="O1060" s="33"/>
      <c r="P1060" s="33"/>
      <c r="Q1060" s="33"/>
      <c r="R1060" s="33"/>
      <c r="S1060" s="33"/>
      <c r="T1060" s="33"/>
      <c r="U1060" s="33"/>
      <c r="V1060" s="33"/>
      <c r="W1060" s="33"/>
      <c r="X1060" s="33"/>
      <c r="Y1060" s="33"/>
      <c r="Z1060" s="33"/>
      <c r="AA1060" s="33"/>
      <c r="AB1060" s="33"/>
      <c r="AC1060" s="33"/>
      <c r="AD1060" s="33"/>
      <c r="AE1060" s="33"/>
      <c r="AF1060" s="33"/>
      <c r="AG1060" s="33"/>
      <c r="AH1060" s="33"/>
      <c r="AI1060" s="33"/>
      <c r="AJ1060" s="33"/>
      <c r="AK1060" s="34" t="str">
        <f aca="false">IF($B1060="","",COUNTIF($F1060:$AJ1060,"P"))</f>
        <v/>
      </c>
      <c r="AL1060" s="34" t="str">
        <f aca="false">IF($B1060="","",COUNTIF($F1060:$AJ1060,"A"))</f>
        <v/>
      </c>
      <c r="AM1060" s="34" t="str">
        <f aca="false">IF($B1060="","",COUNTIF($F1060:$AJ1060,"HA"))</f>
        <v/>
      </c>
      <c r="AN1060" s="34" t="str">
        <f aca="false">IF($B1060="","",COUNTIF($F1060:$AJ1060,"L"))</f>
        <v/>
      </c>
      <c r="AO1060" s="34" t="str">
        <f aca="false">IF($B1060="","",COUNTIF($F1060:$AJ1060,"PL"))</f>
        <v/>
      </c>
      <c r="AP1060" s="34" t="str">
        <f aca="false">IF($B1060="","",COUNTIF($F1060:$AJ1060,"CL"))</f>
        <v/>
      </c>
      <c r="AQ1060" s="34" t="str">
        <f aca="false">IF($B1060="","",COUNTIF($F1060:$AJ1060,"SL"))</f>
        <v/>
      </c>
      <c r="AR1060" s="34" t="str">
        <f aca="false">IF($B1060="","",COUNTIF($F1060:$AJ1060,"CO"))</f>
        <v/>
      </c>
      <c r="AS1060" s="34" t="str">
        <f aca="false">IF($B1060="","",COUNTIF($F1060:$AJ1060,"HPL"))</f>
        <v/>
      </c>
      <c r="AT1060" s="34" t="str">
        <f aca="false">IF($B1060="","",COUNTIF($F1060:$AJ1060,"HCL"))</f>
        <v/>
      </c>
      <c r="AU1060" s="34" t="str">
        <f aca="false">IF($B1060="","",COUNTIF($F1060:$AJ1060,"WO"))</f>
        <v/>
      </c>
      <c r="AV1060" s="34" t="str">
        <f aca="false">IF($B1060="","",COUNTIF($F1060:$AJ1060,"PH"))</f>
        <v/>
      </c>
      <c r="AW1060" s="34" t="str">
        <f aca="false">IF($B1060="","",COUNTIF($F1060:$AJ1060,"TR"))</f>
        <v/>
      </c>
      <c r="AX1060" s="35" t="str">
        <f aca="false">IF($B1060="","",AO1060+AS1060/2)</f>
        <v/>
      </c>
      <c r="AY1060" s="35" t="str">
        <f aca="false">IF($B1060="","",AQ1060)</f>
        <v/>
      </c>
      <c r="AZ1060" s="35" t="str">
        <f aca="false">IF($B1060="","",AP1060+AT1060/2)</f>
        <v/>
      </c>
      <c r="BA1060" s="35" t="str">
        <f aca="false">IF($B1060="","",AK1060+AN1060+AM1060/2+AO1060+AP1060+AQ1060+AR1060+AS1060+AT1060+AU1060+AV1060+AW1060)</f>
        <v/>
      </c>
      <c r="BB1060" s="35" t="str">
        <f aca="false">IF($B1060="","",MAX(0,AN1060-Settings!$C$16)*Settings!$C$17)</f>
        <v/>
      </c>
      <c r="BC1060" s="35" t="str">
        <f aca="false">IF($B1060="","",BA1060-BB1060)</f>
        <v/>
      </c>
      <c r="BD1060" s="35" t="str">
        <f aca="false">IF(OR($B1060="",$A1060=""),"",DAY(EOMONTH($A1060,0))-COUNTA($F1060:$AJ1060))</f>
        <v/>
      </c>
    </row>
    <row r="1061" customFormat="false" ht="15" hidden="false" customHeight="false" outlineLevel="0" collapsed="false">
      <c r="A1061" s="32"/>
      <c r="B1061" s="29"/>
      <c r="C1061" s="10" t="str">
        <f aca="false">IF($B1061="","",IFERROR(INDEX(M_name,MATCH($B1061,M_emp,0)),"Code not found"))</f>
        <v/>
      </c>
      <c r="D1061" s="10" t="str">
        <f aca="false">IF($B1061="","",IFERROR(INDEX(M_dept,MATCH($B1061,M_emp,0)),""))</f>
        <v/>
      </c>
      <c r="E1061" s="10" t="str">
        <f aca="false">IF($B1061="","",IFERROR(INDEX(M_loc,MATCH($B1061,M_emp,0)),""))</f>
        <v/>
      </c>
      <c r="F1061" s="33"/>
      <c r="G1061" s="33"/>
      <c r="H1061" s="33"/>
      <c r="I1061" s="33"/>
      <c r="J1061" s="3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c r="AG1061" s="33"/>
      <c r="AH1061" s="33"/>
      <c r="AI1061" s="33"/>
      <c r="AJ1061" s="33"/>
      <c r="AK1061" s="34" t="str">
        <f aca="false">IF($B1061="","",COUNTIF($F1061:$AJ1061,"P"))</f>
        <v/>
      </c>
      <c r="AL1061" s="34" t="str">
        <f aca="false">IF($B1061="","",COUNTIF($F1061:$AJ1061,"A"))</f>
        <v/>
      </c>
      <c r="AM1061" s="34" t="str">
        <f aca="false">IF($B1061="","",COUNTIF($F1061:$AJ1061,"HA"))</f>
        <v/>
      </c>
      <c r="AN1061" s="34" t="str">
        <f aca="false">IF($B1061="","",COUNTIF($F1061:$AJ1061,"L"))</f>
        <v/>
      </c>
      <c r="AO1061" s="34" t="str">
        <f aca="false">IF($B1061="","",COUNTIF($F1061:$AJ1061,"PL"))</f>
        <v/>
      </c>
      <c r="AP1061" s="34" t="str">
        <f aca="false">IF($B1061="","",COUNTIF($F1061:$AJ1061,"CL"))</f>
        <v/>
      </c>
      <c r="AQ1061" s="34" t="str">
        <f aca="false">IF($B1061="","",COUNTIF($F1061:$AJ1061,"SL"))</f>
        <v/>
      </c>
      <c r="AR1061" s="34" t="str">
        <f aca="false">IF($B1061="","",COUNTIF($F1061:$AJ1061,"CO"))</f>
        <v/>
      </c>
      <c r="AS1061" s="34" t="str">
        <f aca="false">IF($B1061="","",COUNTIF($F1061:$AJ1061,"HPL"))</f>
        <v/>
      </c>
      <c r="AT1061" s="34" t="str">
        <f aca="false">IF($B1061="","",COUNTIF($F1061:$AJ1061,"HCL"))</f>
        <v/>
      </c>
      <c r="AU1061" s="34" t="str">
        <f aca="false">IF($B1061="","",COUNTIF($F1061:$AJ1061,"WO"))</f>
        <v/>
      </c>
      <c r="AV1061" s="34" t="str">
        <f aca="false">IF($B1061="","",COUNTIF($F1061:$AJ1061,"PH"))</f>
        <v/>
      </c>
      <c r="AW1061" s="34" t="str">
        <f aca="false">IF($B1061="","",COUNTIF($F1061:$AJ1061,"TR"))</f>
        <v/>
      </c>
      <c r="AX1061" s="35" t="str">
        <f aca="false">IF($B1061="","",AO1061+AS1061/2)</f>
        <v/>
      </c>
      <c r="AY1061" s="35" t="str">
        <f aca="false">IF($B1061="","",AQ1061)</f>
        <v/>
      </c>
      <c r="AZ1061" s="35" t="str">
        <f aca="false">IF($B1061="","",AP1061+AT1061/2)</f>
        <v/>
      </c>
      <c r="BA1061" s="35" t="str">
        <f aca="false">IF($B1061="","",AK1061+AN1061+AM1061/2+AO1061+AP1061+AQ1061+AR1061+AS1061+AT1061+AU1061+AV1061+AW1061)</f>
        <v/>
      </c>
      <c r="BB1061" s="35" t="str">
        <f aca="false">IF($B1061="","",MAX(0,AN1061-Settings!$C$16)*Settings!$C$17)</f>
        <v/>
      </c>
      <c r="BC1061" s="35" t="str">
        <f aca="false">IF($B1061="","",BA1061-BB1061)</f>
        <v/>
      </c>
      <c r="BD1061" s="35" t="str">
        <f aca="false">IF(OR($B1061="",$A1061=""),"",DAY(EOMONTH($A1061,0))-COUNTA($F1061:$AJ1061))</f>
        <v/>
      </c>
    </row>
    <row r="1062" customFormat="false" ht="15" hidden="false" customHeight="false" outlineLevel="0" collapsed="false">
      <c r="A1062" s="32"/>
      <c r="B1062" s="29"/>
      <c r="C1062" s="10" t="str">
        <f aca="false">IF($B1062="","",IFERROR(INDEX(M_name,MATCH($B1062,M_emp,0)),"Code not found"))</f>
        <v/>
      </c>
      <c r="D1062" s="10" t="str">
        <f aca="false">IF($B1062="","",IFERROR(INDEX(M_dept,MATCH($B1062,M_emp,0)),""))</f>
        <v/>
      </c>
      <c r="E1062" s="10" t="str">
        <f aca="false">IF($B1062="","",IFERROR(INDEX(M_loc,MATCH($B1062,M_emp,0)),""))</f>
        <v/>
      </c>
      <c r="F1062" s="33"/>
      <c r="G1062" s="33"/>
      <c r="H1062" s="33"/>
      <c r="I1062" s="33"/>
      <c r="J1062" s="33"/>
      <c r="K1062" s="33"/>
      <c r="L1062" s="33"/>
      <c r="M1062" s="33"/>
      <c r="N1062" s="33"/>
      <c r="O1062" s="33"/>
      <c r="P1062" s="33"/>
      <c r="Q1062" s="33"/>
      <c r="R1062" s="33"/>
      <c r="S1062" s="33"/>
      <c r="T1062" s="33"/>
      <c r="U1062" s="33"/>
      <c r="V1062" s="33"/>
      <c r="W1062" s="33"/>
      <c r="X1062" s="33"/>
      <c r="Y1062" s="33"/>
      <c r="Z1062" s="33"/>
      <c r="AA1062" s="33"/>
      <c r="AB1062" s="33"/>
      <c r="AC1062" s="33"/>
      <c r="AD1062" s="33"/>
      <c r="AE1062" s="33"/>
      <c r="AF1062" s="33"/>
      <c r="AG1062" s="33"/>
      <c r="AH1062" s="33"/>
      <c r="AI1062" s="33"/>
      <c r="AJ1062" s="33"/>
      <c r="AK1062" s="34" t="str">
        <f aca="false">IF($B1062="","",COUNTIF($F1062:$AJ1062,"P"))</f>
        <v/>
      </c>
      <c r="AL1062" s="34" t="str">
        <f aca="false">IF($B1062="","",COUNTIF($F1062:$AJ1062,"A"))</f>
        <v/>
      </c>
      <c r="AM1062" s="34" t="str">
        <f aca="false">IF($B1062="","",COUNTIF($F1062:$AJ1062,"HA"))</f>
        <v/>
      </c>
      <c r="AN1062" s="34" t="str">
        <f aca="false">IF($B1062="","",COUNTIF($F1062:$AJ1062,"L"))</f>
        <v/>
      </c>
      <c r="AO1062" s="34" t="str">
        <f aca="false">IF($B1062="","",COUNTIF($F1062:$AJ1062,"PL"))</f>
        <v/>
      </c>
      <c r="AP1062" s="34" t="str">
        <f aca="false">IF($B1062="","",COUNTIF($F1062:$AJ1062,"CL"))</f>
        <v/>
      </c>
      <c r="AQ1062" s="34" t="str">
        <f aca="false">IF($B1062="","",COUNTIF($F1062:$AJ1062,"SL"))</f>
        <v/>
      </c>
      <c r="AR1062" s="34" t="str">
        <f aca="false">IF($B1062="","",COUNTIF($F1062:$AJ1062,"CO"))</f>
        <v/>
      </c>
      <c r="AS1062" s="34" t="str">
        <f aca="false">IF($B1062="","",COUNTIF($F1062:$AJ1062,"HPL"))</f>
        <v/>
      </c>
      <c r="AT1062" s="34" t="str">
        <f aca="false">IF($B1062="","",COUNTIF($F1062:$AJ1062,"HCL"))</f>
        <v/>
      </c>
      <c r="AU1062" s="34" t="str">
        <f aca="false">IF($B1062="","",COUNTIF($F1062:$AJ1062,"WO"))</f>
        <v/>
      </c>
      <c r="AV1062" s="34" t="str">
        <f aca="false">IF($B1062="","",COUNTIF($F1062:$AJ1062,"PH"))</f>
        <v/>
      </c>
      <c r="AW1062" s="34" t="str">
        <f aca="false">IF($B1062="","",COUNTIF($F1062:$AJ1062,"TR"))</f>
        <v/>
      </c>
      <c r="AX1062" s="35" t="str">
        <f aca="false">IF($B1062="","",AO1062+AS1062/2)</f>
        <v/>
      </c>
      <c r="AY1062" s="35" t="str">
        <f aca="false">IF($B1062="","",AQ1062)</f>
        <v/>
      </c>
      <c r="AZ1062" s="35" t="str">
        <f aca="false">IF($B1062="","",AP1062+AT1062/2)</f>
        <v/>
      </c>
      <c r="BA1062" s="35" t="str">
        <f aca="false">IF($B1062="","",AK1062+AN1062+AM1062/2+AO1062+AP1062+AQ1062+AR1062+AS1062+AT1062+AU1062+AV1062+AW1062)</f>
        <v/>
      </c>
      <c r="BB1062" s="35" t="str">
        <f aca="false">IF($B1062="","",MAX(0,AN1062-Settings!$C$16)*Settings!$C$17)</f>
        <v/>
      </c>
      <c r="BC1062" s="35" t="str">
        <f aca="false">IF($B1062="","",BA1062-BB1062)</f>
        <v/>
      </c>
      <c r="BD1062" s="35" t="str">
        <f aca="false">IF(OR($B1062="",$A1062=""),"",DAY(EOMONTH($A1062,0))-COUNTA($F1062:$AJ1062))</f>
        <v/>
      </c>
    </row>
    <row r="1063" customFormat="false" ht="15" hidden="false" customHeight="false" outlineLevel="0" collapsed="false">
      <c r="A1063" s="32"/>
      <c r="B1063" s="29"/>
      <c r="C1063" s="10" t="str">
        <f aca="false">IF($B1063="","",IFERROR(INDEX(M_name,MATCH($B1063,M_emp,0)),"Code not found"))</f>
        <v/>
      </c>
      <c r="D1063" s="10" t="str">
        <f aca="false">IF($B1063="","",IFERROR(INDEX(M_dept,MATCH($B1063,M_emp,0)),""))</f>
        <v/>
      </c>
      <c r="E1063" s="10" t="str">
        <f aca="false">IF($B1063="","",IFERROR(INDEX(M_loc,MATCH($B1063,M_emp,0)),""))</f>
        <v/>
      </c>
      <c r="F1063" s="33"/>
      <c r="G1063" s="33"/>
      <c r="H1063" s="33"/>
      <c r="I1063" s="33"/>
      <c r="J1063" s="33"/>
      <c r="K1063" s="33"/>
      <c r="L1063" s="33"/>
      <c r="M1063" s="33"/>
      <c r="N1063" s="33"/>
      <c r="O1063" s="33"/>
      <c r="P1063" s="33"/>
      <c r="Q1063" s="33"/>
      <c r="R1063" s="33"/>
      <c r="S1063" s="33"/>
      <c r="T1063" s="33"/>
      <c r="U1063" s="33"/>
      <c r="V1063" s="33"/>
      <c r="W1063" s="33"/>
      <c r="X1063" s="33"/>
      <c r="Y1063" s="33"/>
      <c r="Z1063" s="33"/>
      <c r="AA1063" s="33"/>
      <c r="AB1063" s="33"/>
      <c r="AC1063" s="33"/>
      <c r="AD1063" s="33"/>
      <c r="AE1063" s="33"/>
      <c r="AF1063" s="33"/>
      <c r="AG1063" s="33"/>
      <c r="AH1063" s="33"/>
      <c r="AI1063" s="33"/>
      <c r="AJ1063" s="33"/>
      <c r="AK1063" s="34" t="str">
        <f aca="false">IF($B1063="","",COUNTIF($F1063:$AJ1063,"P"))</f>
        <v/>
      </c>
      <c r="AL1063" s="34" t="str">
        <f aca="false">IF($B1063="","",COUNTIF($F1063:$AJ1063,"A"))</f>
        <v/>
      </c>
      <c r="AM1063" s="34" t="str">
        <f aca="false">IF($B1063="","",COUNTIF($F1063:$AJ1063,"HA"))</f>
        <v/>
      </c>
      <c r="AN1063" s="34" t="str">
        <f aca="false">IF($B1063="","",COUNTIF($F1063:$AJ1063,"L"))</f>
        <v/>
      </c>
      <c r="AO1063" s="34" t="str">
        <f aca="false">IF($B1063="","",COUNTIF($F1063:$AJ1063,"PL"))</f>
        <v/>
      </c>
      <c r="AP1063" s="34" t="str">
        <f aca="false">IF($B1063="","",COUNTIF($F1063:$AJ1063,"CL"))</f>
        <v/>
      </c>
      <c r="AQ1063" s="34" t="str">
        <f aca="false">IF($B1063="","",COUNTIF($F1063:$AJ1063,"SL"))</f>
        <v/>
      </c>
      <c r="AR1063" s="34" t="str">
        <f aca="false">IF($B1063="","",COUNTIF($F1063:$AJ1063,"CO"))</f>
        <v/>
      </c>
      <c r="AS1063" s="34" t="str">
        <f aca="false">IF($B1063="","",COUNTIF($F1063:$AJ1063,"HPL"))</f>
        <v/>
      </c>
      <c r="AT1063" s="34" t="str">
        <f aca="false">IF($B1063="","",COUNTIF($F1063:$AJ1063,"HCL"))</f>
        <v/>
      </c>
      <c r="AU1063" s="34" t="str">
        <f aca="false">IF($B1063="","",COUNTIF($F1063:$AJ1063,"WO"))</f>
        <v/>
      </c>
      <c r="AV1063" s="34" t="str">
        <f aca="false">IF($B1063="","",COUNTIF($F1063:$AJ1063,"PH"))</f>
        <v/>
      </c>
      <c r="AW1063" s="34" t="str">
        <f aca="false">IF($B1063="","",COUNTIF($F1063:$AJ1063,"TR"))</f>
        <v/>
      </c>
      <c r="AX1063" s="35" t="str">
        <f aca="false">IF($B1063="","",AO1063+AS1063/2)</f>
        <v/>
      </c>
      <c r="AY1063" s="35" t="str">
        <f aca="false">IF($B1063="","",AQ1063)</f>
        <v/>
      </c>
      <c r="AZ1063" s="35" t="str">
        <f aca="false">IF($B1063="","",AP1063+AT1063/2)</f>
        <v/>
      </c>
      <c r="BA1063" s="35" t="str">
        <f aca="false">IF($B1063="","",AK1063+AN1063+AM1063/2+AO1063+AP1063+AQ1063+AR1063+AS1063+AT1063+AU1063+AV1063+AW1063)</f>
        <v/>
      </c>
      <c r="BB1063" s="35" t="str">
        <f aca="false">IF($B1063="","",MAX(0,AN1063-Settings!$C$16)*Settings!$C$17)</f>
        <v/>
      </c>
      <c r="BC1063" s="35" t="str">
        <f aca="false">IF($B1063="","",BA1063-BB1063)</f>
        <v/>
      </c>
      <c r="BD1063" s="35" t="str">
        <f aca="false">IF(OR($B1063="",$A1063=""),"",DAY(EOMONTH($A1063,0))-COUNTA($F1063:$AJ1063))</f>
        <v/>
      </c>
    </row>
    <row r="1064" customFormat="false" ht="15" hidden="false" customHeight="false" outlineLevel="0" collapsed="false">
      <c r="A1064" s="32"/>
      <c r="B1064" s="29"/>
      <c r="C1064" s="10" t="str">
        <f aca="false">IF($B1064="","",IFERROR(INDEX(M_name,MATCH($B1064,M_emp,0)),"Code not found"))</f>
        <v/>
      </c>
      <c r="D1064" s="10" t="str">
        <f aca="false">IF($B1064="","",IFERROR(INDEX(M_dept,MATCH($B1064,M_emp,0)),""))</f>
        <v/>
      </c>
      <c r="E1064" s="10" t="str">
        <f aca="false">IF($B1064="","",IFERROR(INDEX(M_loc,MATCH($B1064,M_emp,0)),""))</f>
        <v/>
      </c>
      <c r="F1064" s="33"/>
      <c r="G1064" s="33"/>
      <c r="H1064" s="33"/>
      <c r="I1064" s="33"/>
      <c r="J1064" s="33"/>
      <c r="K1064" s="33"/>
      <c r="L1064" s="33"/>
      <c r="M1064" s="33"/>
      <c r="N1064" s="33"/>
      <c r="O1064" s="33"/>
      <c r="P1064" s="33"/>
      <c r="Q1064" s="33"/>
      <c r="R1064" s="33"/>
      <c r="S1064" s="33"/>
      <c r="T1064" s="33"/>
      <c r="U1064" s="33"/>
      <c r="V1064" s="33"/>
      <c r="W1064" s="33"/>
      <c r="X1064" s="33"/>
      <c r="Y1064" s="33"/>
      <c r="Z1064" s="33"/>
      <c r="AA1064" s="33"/>
      <c r="AB1064" s="33"/>
      <c r="AC1064" s="33"/>
      <c r="AD1064" s="33"/>
      <c r="AE1064" s="33"/>
      <c r="AF1064" s="33"/>
      <c r="AG1064" s="33"/>
      <c r="AH1064" s="33"/>
      <c r="AI1064" s="33"/>
      <c r="AJ1064" s="33"/>
      <c r="AK1064" s="34" t="str">
        <f aca="false">IF($B1064="","",COUNTIF($F1064:$AJ1064,"P"))</f>
        <v/>
      </c>
      <c r="AL1064" s="34" t="str">
        <f aca="false">IF($B1064="","",COUNTIF($F1064:$AJ1064,"A"))</f>
        <v/>
      </c>
      <c r="AM1064" s="34" t="str">
        <f aca="false">IF($B1064="","",COUNTIF($F1064:$AJ1064,"HA"))</f>
        <v/>
      </c>
      <c r="AN1064" s="34" t="str">
        <f aca="false">IF($B1064="","",COUNTIF($F1064:$AJ1064,"L"))</f>
        <v/>
      </c>
      <c r="AO1064" s="34" t="str">
        <f aca="false">IF($B1064="","",COUNTIF($F1064:$AJ1064,"PL"))</f>
        <v/>
      </c>
      <c r="AP1064" s="34" t="str">
        <f aca="false">IF($B1064="","",COUNTIF($F1064:$AJ1064,"CL"))</f>
        <v/>
      </c>
      <c r="AQ1064" s="34" t="str">
        <f aca="false">IF($B1064="","",COUNTIF($F1064:$AJ1064,"SL"))</f>
        <v/>
      </c>
      <c r="AR1064" s="34" t="str">
        <f aca="false">IF($B1064="","",COUNTIF($F1064:$AJ1064,"CO"))</f>
        <v/>
      </c>
      <c r="AS1064" s="34" t="str">
        <f aca="false">IF($B1064="","",COUNTIF($F1064:$AJ1064,"HPL"))</f>
        <v/>
      </c>
      <c r="AT1064" s="34" t="str">
        <f aca="false">IF($B1064="","",COUNTIF($F1064:$AJ1064,"HCL"))</f>
        <v/>
      </c>
      <c r="AU1064" s="34" t="str">
        <f aca="false">IF($B1064="","",COUNTIF($F1064:$AJ1064,"WO"))</f>
        <v/>
      </c>
      <c r="AV1064" s="34" t="str">
        <f aca="false">IF($B1064="","",COUNTIF($F1064:$AJ1064,"PH"))</f>
        <v/>
      </c>
      <c r="AW1064" s="34" t="str">
        <f aca="false">IF($B1064="","",COUNTIF($F1064:$AJ1064,"TR"))</f>
        <v/>
      </c>
      <c r="AX1064" s="35" t="str">
        <f aca="false">IF($B1064="","",AO1064+AS1064/2)</f>
        <v/>
      </c>
      <c r="AY1064" s="35" t="str">
        <f aca="false">IF($B1064="","",AQ1064)</f>
        <v/>
      </c>
      <c r="AZ1064" s="35" t="str">
        <f aca="false">IF($B1064="","",AP1064+AT1064/2)</f>
        <v/>
      </c>
      <c r="BA1064" s="35" t="str">
        <f aca="false">IF($B1064="","",AK1064+AN1064+AM1064/2+AO1064+AP1064+AQ1064+AR1064+AS1064+AT1064+AU1064+AV1064+AW1064)</f>
        <v/>
      </c>
      <c r="BB1064" s="35" t="str">
        <f aca="false">IF($B1064="","",MAX(0,AN1064-Settings!$C$16)*Settings!$C$17)</f>
        <v/>
      </c>
      <c r="BC1064" s="35" t="str">
        <f aca="false">IF($B1064="","",BA1064-BB1064)</f>
        <v/>
      </c>
      <c r="BD1064" s="35" t="str">
        <f aca="false">IF(OR($B1064="",$A1064=""),"",DAY(EOMONTH($A1064,0))-COUNTA($F1064:$AJ1064))</f>
        <v/>
      </c>
    </row>
    <row r="1065" customFormat="false" ht="15" hidden="false" customHeight="false" outlineLevel="0" collapsed="false">
      <c r="A1065" s="32"/>
      <c r="B1065" s="29"/>
      <c r="C1065" s="10" t="str">
        <f aca="false">IF($B1065="","",IFERROR(INDEX(M_name,MATCH($B1065,M_emp,0)),"Code not found"))</f>
        <v/>
      </c>
      <c r="D1065" s="10" t="str">
        <f aca="false">IF($B1065="","",IFERROR(INDEX(M_dept,MATCH($B1065,M_emp,0)),""))</f>
        <v/>
      </c>
      <c r="E1065" s="10" t="str">
        <f aca="false">IF($B1065="","",IFERROR(INDEX(M_loc,MATCH($B1065,M_emp,0)),""))</f>
        <v/>
      </c>
      <c r="F1065" s="33"/>
      <c r="G1065" s="33"/>
      <c r="H1065" s="33"/>
      <c r="I1065" s="33"/>
      <c r="J1065" s="33"/>
      <c r="K1065" s="33"/>
      <c r="L1065" s="33"/>
      <c r="M1065" s="33"/>
      <c r="N1065" s="33"/>
      <c r="O1065" s="33"/>
      <c r="P1065" s="33"/>
      <c r="Q1065" s="33"/>
      <c r="R1065" s="33"/>
      <c r="S1065" s="33"/>
      <c r="T1065" s="33"/>
      <c r="U1065" s="33"/>
      <c r="V1065" s="33"/>
      <c r="W1065" s="33"/>
      <c r="X1065" s="33"/>
      <c r="Y1065" s="33"/>
      <c r="Z1065" s="33"/>
      <c r="AA1065" s="33"/>
      <c r="AB1065" s="33"/>
      <c r="AC1065" s="33"/>
      <c r="AD1065" s="33"/>
      <c r="AE1065" s="33"/>
      <c r="AF1065" s="33"/>
      <c r="AG1065" s="33"/>
      <c r="AH1065" s="33"/>
      <c r="AI1065" s="33"/>
      <c r="AJ1065" s="33"/>
      <c r="AK1065" s="34" t="str">
        <f aca="false">IF($B1065="","",COUNTIF($F1065:$AJ1065,"P"))</f>
        <v/>
      </c>
      <c r="AL1065" s="34" t="str">
        <f aca="false">IF($B1065="","",COUNTIF($F1065:$AJ1065,"A"))</f>
        <v/>
      </c>
      <c r="AM1065" s="34" t="str">
        <f aca="false">IF($B1065="","",COUNTIF($F1065:$AJ1065,"HA"))</f>
        <v/>
      </c>
      <c r="AN1065" s="34" t="str">
        <f aca="false">IF($B1065="","",COUNTIF($F1065:$AJ1065,"L"))</f>
        <v/>
      </c>
      <c r="AO1065" s="34" t="str">
        <f aca="false">IF($B1065="","",COUNTIF($F1065:$AJ1065,"PL"))</f>
        <v/>
      </c>
      <c r="AP1065" s="34" t="str">
        <f aca="false">IF($B1065="","",COUNTIF($F1065:$AJ1065,"CL"))</f>
        <v/>
      </c>
      <c r="AQ1065" s="34" t="str">
        <f aca="false">IF($B1065="","",COUNTIF($F1065:$AJ1065,"SL"))</f>
        <v/>
      </c>
      <c r="AR1065" s="34" t="str">
        <f aca="false">IF($B1065="","",COUNTIF($F1065:$AJ1065,"CO"))</f>
        <v/>
      </c>
      <c r="AS1065" s="34" t="str">
        <f aca="false">IF($B1065="","",COUNTIF($F1065:$AJ1065,"HPL"))</f>
        <v/>
      </c>
      <c r="AT1065" s="34" t="str">
        <f aca="false">IF($B1065="","",COUNTIF($F1065:$AJ1065,"HCL"))</f>
        <v/>
      </c>
      <c r="AU1065" s="34" t="str">
        <f aca="false">IF($B1065="","",COUNTIF($F1065:$AJ1065,"WO"))</f>
        <v/>
      </c>
      <c r="AV1065" s="34" t="str">
        <f aca="false">IF($B1065="","",COUNTIF($F1065:$AJ1065,"PH"))</f>
        <v/>
      </c>
      <c r="AW1065" s="34" t="str">
        <f aca="false">IF($B1065="","",COUNTIF($F1065:$AJ1065,"TR"))</f>
        <v/>
      </c>
      <c r="AX1065" s="35" t="str">
        <f aca="false">IF($B1065="","",AO1065+AS1065/2)</f>
        <v/>
      </c>
      <c r="AY1065" s="35" t="str">
        <f aca="false">IF($B1065="","",AQ1065)</f>
        <v/>
      </c>
      <c r="AZ1065" s="35" t="str">
        <f aca="false">IF($B1065="","",AP1065+AT1065/2)</f>
        <v/>
      </c>
      <c r="BA1065" s="35" t="str">
        <f aca="false">IF($B1065="","",AK1065+AN1065+AM1065/2+AO1065+AP1065+AQ1065+AR1065+AS1065+AT1065+AU1065+AV1065+AW1065)</f>
        <v/>
      </c>
      <c r="BB1065" s="35" t="str">
        <f aca="false">IF($B1065="","",MAX(0,AN1065-Settings!$C$16)*Settings!$C$17)</f>
        <v/>
      </c>
      <c r="BC1065" s="35" t="str">
        <f aca="false">IF($B1065="","",BA1065-BB1065)</f>
        <v/>
      </c>
      <c r="BD1065" s="35" t="str">
        <f aca="false">IF(OR($B1065="",$A1065=""),"",DAY(EOMONTH($A1065,0))-COUNTA($F1065:$AJ1065))</f>
        <v/>
      </c>
    </row>
    <row r="1066" customFormat="false" ht="15" hidden="false" customHeight="false" outlineLevel="0" collapsed="false">
      <c r="A1066" s="32"/>
      <c r="B1066" s="29"/>
      <c r="C1066" s="10" t="str">
        <f aca="false">IF($B1066="","",IFERROR(INDEX(M_name,MATCH($B1066,M_emp,0)),"Code not found"))</f>
        <v/>
      </c>
      <c r="D1066" s="10" t="str">
        <f aca="false">IF($B1066="","",IFERROR(INDEX(M_dept,MATCH($B1066,M_emp,0)),""))</f>
        <v/>
      </c>
      <c r="E1066" s="10" t="str">
        <f aca="false">IF($B1066="","",IFERROR(INDEX(M_loc,MATCH($B1066,M_emp,0)),""))</f>
        <v/>
      </c>
      <c r="F1066" s="33"/>
      <c r="G1066" s="33"/>
      <c r="H1066" s="33"/>
      <c r="I1066" s="33"/>
      <c r="J1066" s="33"/>
      <c r="K1066" s="33"/>
      <c r="L1066" s="33"/>
      <c r="M1066" s="33"/>
      <c r="N1066" s="33"/>
      <c r="O1066" s="33"/>
      <c r="P1066" s="33"/>
      <c r="Q1066" s="33"/>
      <c r="R1066" s="33"/>
      <c r="S1066" s="33"/>
      <c r="T1066" s="33"/>
      <c r="U1066" s="33"/>
      <c r="V1066" s="33"/>
      <c r="W1066" s="33"/>
      <c r="X1066" s="33"/>
      <c r="Y1066" s="33"/>
      <c r="Z1066" s="33"/>
      <c r="AA1066" s="33"/>
      <c r="AB1066" s="33"/>
      <c r="AC1066" s="33"/>
      <c r="AD1066" s="33"/>
      <c r="AE1066" s="33"/>
      <c r="AF1066" s="33"/>
      <c r="AG1066" s="33"/>
      <c r="AH1066" s="33"/>
      <c r="AI1066" s="33"/>
      <c r="AJ1066" s="33"/>
      <c r="AK1066" s="34" t="str">
        <f aca="false">IF($B1066="","",COUNTIF($F1066:$AJ1066,"P"))</f>
        <v/>
      </c>
      <c r="AL1066" s="34" t="str">
        <f aca="false">IF($B1066="","",COUNTIF($F1066:$AJ1066,"A"))</f>
        <v/>
      </c>
      <c r="AM1066" s="34" t="str">
        <f aca="false">IF($B1066="","",COUNTIF($F1066:$AJ1066,"HA"))</f>
        <v/>
      </c>
      <c r="AN1066" s="34" t="str">
        <f aca="false">IF($B1066="","",COUNTIF($F1066:$AJ1066,"L"))</f>
        <v/>
      </c>
      <c r="AO1066" s="34" t="str">
        <f aca="false">IF($B1066="","",COUNTIF($F1066:$AJ1066,"PL"))</f>
        <v/>
      </c>
      <c r="AP1066" s="34" t="str">
        <f aca="false">IF($B1066="","",COUNTIF($F1066:$AJ1066,"CL"))</f>
        <v/>
      </c>
      <c r="AQ1066" s="34" t="str">
        <f aca="false">IF($B1066="","",COUNTIF($F1066:$AJ1066,"SL"))</f>
        <v/>
      </c>
      <c r="AR1066" s="34" t="str">
        <f aca="false">IF($B1066="","",COUNTIF($F1066:$AJ1066,"CO"))</f>
        <v/>
      </c>
      <c r="AS1066" s="34" t="str">
        <f aca="false">IF($B1066="","",COUNTIF($F1066:$AJ1066,"HPL"))</f>
        <v/>
      </c>
      <c r="AT1066" s="34" t="str">
        <f aca="false">IF($B1066="","",COUNTIF($F1066:$AJ1066,"HCL"))</f>
        <v/>
      </c>
      <c r="AU1066" s="34" t="str">
        <f aca="false">IF($B1066="","",COUNTIF($F1066:$AJ1066,"WO"))</f>
        <v/>
      </c>
      <c r="AV1066" s="34" t="str">
        <f aca="false">IF($B1066="","",COUNTIF($F1066:$AJ1066,"PH"))</f>
        <v/>
      </c>
      <c r="AW1066" s="34" t="str">
        <f aca="false">IF($B1066="","",COUNTIF($F1066:$AJ1066,"TR"))</f>
        <v/>
      </c>
      <c r="AX1066" s="35" t="str">
        <f aca="false">IF($B1066="","",AO1066+AS1066/2)</f>
        <v/>
      </c>
      <c r="AY1066" s="35" t="str">
        <f aca="false">IF($B1066="","",AQ1066)</f>
        <v/>
      </c>
      <c r="AZ1066" s="35" t="str">
        <f aca="false">IF($B1066="","",AP1066+AT1066/2)</f>
        <v/>
      </c>
      <c r="BA1066" s="35" t="str">
        <f aca="false">IF($B1066="","",AK1066+AN1066+AM1066/2+AO1066+AP1066+AQ1066+AR1066+AS1066+AT1066+AU1066+AV1066+AW1066)</f>
        <v/>
      </c>
      <c r="BB1066" s="35" t="str">
        <f aca="false">IF($B1066="","",MAX(0,AN1066-Settings!$C$16)*Settings!$C$17)</f>
        <v/>
      </c>
      <c r="BC1066" s="35" t="str">
        <f aca="false">IF($B1066="","",BA1066-BB1066)</f>
        <v/>
      </c>
      <c r="BD1066" s="35" t="str">
        <f aca="false">IF(OR($B1066="",$A1066=""),"",DAY(EOMONTH($A1066,0))-COUNTA($F1066:$AJ1066))</f>
        <v/>
      </c>
    </row>
    <row r="1067" customFormat="false" ht="15" hidden="false" customHeight="false" outlineLevel="0" collapsed="false">
      <c r="A1067" s="32"/>
      <c r="B1067" s="29"/>
      <c r="C1067" s="10" t="str">
        <f aca="false">IF($B1067="","",IFERROR(INDEX(M_name,MATCH($B1067,M_emp,0)),"Code not found"))</f>
        <v/>
      </c>
      <c r="D1067" s="10" t="str">
        <f aca="false">IF($B1067="","",IFERROR(INDEX(M_dept,MATCH($B1067,M_emp,0)),""))</f>
        <v/>
      </c>
      <c r="E1067" s="10" t="str">
        <f aca="false">IF($B1067="","",IFERROR(INDEX(M_loc,MATCH($B1067,M_emp,0)),""))</f>
        <v/>
      </c>
      <c r="F1067" s="33"/>
      <c r="G1067" s="33"/>
      <c r="H1067" s="33"/>
      <c r="I1067" s="33"/>
      <c r="J1067" s="33"/>
      <c r="K1067" s="33"/>
      <c r="L1067" s="33"/>
      <c r="M1067" s="33"/>
      <c r="N1067" s="33"/>
      <c r="O1067" s="33"/>
      <c r="P1067" s="33"/>
      <c r="Q1067" s="33"/>
      <c r="R1067" s="33"/>
      <c r="S1067" s="33"/>
      <c r="T1067" s="33"/>
      <c r="U1067" s="33"/>
      <c r="V1067" s="33"/>
      <c r="W1067" s="33"/>
      <c r="X1067" s="33"/>
      <c r="Y1067" s="33"/>
      <c r="Z1067" s="33"/>
      <c r="AA1067" s="33"/>
      <c r="AB1067" s="33"/>
      <c r="AC1067" s="33"/>
      <c r="AD1067" s="33"/>
      <c r="AE1067" s="33"/>
      <c r="AF1067" s="33"/>
      <c r="AG1067" s="33"/>
      <c r="AH1067" s="33"/>
      <c r="AI1067" s="33"/>
      <c r="AJ1067" s="33"/>
      <c r="AK1067" s="34" t="str">
        <f aca="false">IF($B1067="","",COUNTIF($F1067:$AJ1067,"P"))</f>
        <v/>
      </c>
      <c r="AL1067" s="34" t="str">
        <f aca="false">IF($B1067="","",COUNTIF($F1067:$AJ1067,"A"))</f>
        <v/>
      </c>
      <c r="AM1067" s="34" t="str">
        <f aca="false">IF($B1067="","",COUNTIF($F1067:$AJ1067,"HA"))</f>
        <v/>
      </c>
      <c r="AN1067" s="34" t="str">
        <f aca="false">IF($B1067="","",COUNTIF($F1067:$AJ1067,"L"))</f>
        <v/>
      </c>
      <c r="AO1067" s="34" t="str">
        <f aca="false">IF($B1067="","",COUNTIF($F1067:$AJ1067,"PL"))</f>
        <v/>
      </c>
      <c r="AP1067" s="34" t="str">
        <f aca="false">IF($B1067="","",COUNTIF($F1067:$AJ1067,"CL"))</f>
        <v/>
      </c>
      <c r="AQ1067" s="34" t="str">
        <f aca="false">IF($B1067="","",COUNTIF($F1067:$AJ1067,"SL"))</f>
        <v/>
      </c>
      <c r="AR1067" s="34" t="str">
        <f aca="false">IF($B1067="","",COUNTIF($F1067:$AJ1067,"CO"))</f>
        <v/>
      </c>
      <c r="AS1067" s="34" t="str">
        <f aca="false">IF($B1067="","",COUNTIF($F1067:$AJ1067,"HPL"))</f>
        <v/>
      </c>
      <c r="AT1067" s="34" t="str">
        <f aca="false">IF($B1067="","",COUNTIF($F1067:$AJ1067,"HCL"))</f>
        <v/>
      </c>
      <c r="AU1067" s="34" t="str">
        <f aca="false">IF($B1067="","",COUNTIF($F1067:$AJ1067,"WO"))</f>
        <v/>
      </c>
      <c r="AV1067" s="34" t="str">
        <f aca="false">IF($B1067="","",COUNTIF($F1067:$AJ1067,"PH"))</f>
        <v/>
      </c>
      <c r="AW1067" s="34" t="str">
        <f aca="false">IF($B1067="","",COUNTIF($F1067:$AJ1067,"TR"))</f>
        <v/>
      </c>
      <c r="AX1067" s="35" t="str">
        <f aca="false">IF($B1067="","",AO1067+AS1067/2)</f>
        <v/>
      </c>
      <c r="AY1067" s="35" t="str">
        <f aca="false">IF($B1067="","",AQ1067)</f>
        <v/>
      </c>
      <c r="AZ1067" s="35" t="str">
        <f aca="false">IF($B1067="","",AP1067+AT1067/2)</f>
        <v/>
      </c>
      <c r="BA1067" s="35" t="str">
        <f aca="false">IF($B1067="","",AK1067+AN1067+AM1067/2+AO1067+AP1067+AQ1067+AR1067+AS1067+AT1067+AU1067+AV1067+AW1067)</f>
        <v/>
      </c>
      <c r="BB1067" s="35" t="str">
        <f aca="false">IF($B1067="","",MAX(0,AN1067-Settings!$C$16)*Settings!$C$17)</f>
        <v/>
      </c>
      <c r="BC1067" s="35" t="str">
        <f aca="false">IF($B1067="","",BA1067-BB1067)</f>
        <v/>
      </c>
      <c r="BD1067" s="35" t="str">
        <f aca="false">IF(OR($B1067="",$A1067=""),"",DAY(EOMONTH($A1067,0))-COUNTA($F1067:$AJ1067))</f>
        <v/>
      </c>
    </row>
    <row r="1068" customFormat="false" ht="15" hidden="false" customHeight="false" outlineLevel="0" collapsed="false">
      <c r="A1068" s="32"/>
      <c r="B1068" s="29"/>
      <c r="C1068" s="10" t="str">
        <f aca="false">IF($B1068="","",IFERROR(INDEX(M_name,MATCH($B1068,M_emp,0)),"Code not found"))</f>
        <v/>
      </c>
      <c r="D1068" s="10" t="str">
        <f aca="false">IF($B1068="","",IFERROR(INDEX(M_dept,MATCH($B1068,M_emp,0)),""))</f>
        <v/>
      </c>
      <c r="E1068" s="10" t="str">
        <f aca="false">IF($B1068="","",IFERROR(INDEX(M_loc,MATCH($B1068,M_emp,0)),""))</f>
        <v/>
      </c>
      <c r="F1068" s="33"/>
      <c r="G1068" s="33"/>
      <c r="H1068" s="33"/>
      <c r="I1068" s="33"/>
      <c r="J1068" s="33"/>
      <c r="K1068" s="33"/>
      <c r="L1068" s="33"/>
      <c r="M1068" s="33"/>
      <c r="N1068" s="33"/>
      <c r="O1068" s="33"/>
      <c r="P1068" s="33"/>
      <c r="Q1068" s="33"/>
      <c r="R1068" s="33"/>
      <c r="S1068" s="33"/>
      <c r="T1068" s="33"/>
      <c r="U1068" s="33"/>
      <c r="V1068" s="33"/>
      <c r="W1068" s="33"/>
      <c r="X1068" s="33"/>
      <c r="Y1068" s="33"/>
      <c r="Z1068" s="33"/>
      <c r="AA1068" s="33"/>
      <c r="AB1068" s="33"/>
      <c r="AC1068" s="33"/>
      <c r="AD1068" s="33"/>
      <c r="AE1068" s="33"/>
      <c r="AF1068" s="33"/>
      <c r="AG1068" s="33"/>
      <c r="AH1068" s="33"/>
      <c r="AI1068" s="33"/>
      <c r="AJ1068" s="33"/>
      <c r="AK1068" s="34" t="str">
        <f aca="false">IF($B1068="","",COUNTIF($F1068:$AJ1068,"P"))</f>
        <v/>
      </c>
      <c r="AL1068" s="34" t="str">
        <f aca="false">IF($B1068="","",COUNTIF($F1068:$AJ1068,"A"))</f>
        <v/>
      </c>
      <c r="AM1068" s="34" t="str">
        <f aca="false">IF($B1068="","",COUNTIF($F1068:$AJ1068,"HA"))</f>
        <v/>
      </c>
      <c r="AN1068" s="34" t="str">
        <f aca="false">IF($B1068="","",COUNTIF($F1068:$AJ1068,"L"))</f>
        <v/>
      </c>
      <c r="AO1068" s="34" t="str">
        <f aca="false">IF($B1068="","",COUNTIF($F1068:$AJ1068,"PL"))</f>
        <v/>
      </c>
      <c r="AP1068" s="34" t="str">
        <f aca="false">IF($B1068="","",COUNTIF($F1068:$AJ1068,"CL"))</f>
        <v/>
      </c>
      <c r="AQ1068" s="34" t="str">
        <f aca="false">IF($B1068="","",COUNTIF($F1068:$AJ1068,"SL"))</f>
        <v/>
      </c>
      <c r="AR1068" s="34" t="str">
        <f aca="false">IF($B1068="","",COUNTIF($F1068:$AJ1068,"CO"))</f>
        <v/>
      </c>
      <c r="AS1068" s="34" t="str">
        <f aca="false">IF($B1068="","",COUNTIF($F1068:$AJ1068,"HPL"))</f>
        <v/>
      </c>
      <c r="AT1068" s="34" t="str">
        <f aca="false">IF($B1068="","",COUNTIF($F1068:$AJ1068,"HCL"))</f>
        <v/>
      </c>
      <c r="AU1068" s="34" t="str">
        <f aca="false">IF($B1068="","",COUNTIF($F1068:$AJ1068,"WO"))</f>
        <v/>
      </c>
      <c r="AV1068" s="34" t="str">
        <f aca="false">IF($B1068="","",COUNTIF($F1068:$AJ1068,"PH"))</f>
        <v/>
      </c>
      <c r="AW1068" s="34" t="str">
        <f aca="false">IF($B1068="","",COUNTIF($F1068:$AJ1068,"TR"))</f>
        <v/>
      </c>
      <c r="AX1068" s="35" t="str">
        <f aca="false">IF($B1068="","",AO1068+AS1068/2)</f>
        <v/>
      </c>
      <c r="AY1068" s="35" t="str">
        <f aca="false">IF($B1068="","",AQ1068)</f>
        <v/>
      </c>
      <c r="AZ1068" s="35" t="str">
        <f aca="false">IF($B1068="","",AP1068+AT1068/2)</f>
        <v/>
      </c>
      <c r="BA1068" s="35" t="str">
        <f aca="false">IF($B1068="","",AK1068+AN1068+AM1068/2+AO1068+AP1068+AQ1068+AR1068+AS1068+AT1068+AU1068+AV1068+AW1068)</f>
        <v/>
      </c>
      <c r="BB1068" s="35" t="str">
        <f aca="false">IF($B1068="","",MAX(0,AN1068-Settings!$C$16)*Settings!$C$17)</f>
        <v/>
      </c>
      <c r="BC1068" s="35" t="str">
        <f aca="false">IF($B1068="","",BA1068-BB1068)</f>
        <v/>
      </c>
      <c r="BD1068" s="35" t="str">
        <f aca="false">IF(OR($B1068="",$A1068=""),"",DAY(EOMONTH($A1068,0))-COUNTA($F1068:$AJ1068))</f>
        <v/>
      </c>
    </row>
    <row r="1069" customFormat="false" ht="15" hidden="false" customHeight="false" outlineLevel="0" collapsed="false">
      <c r="A1069" s="32"/>
      <c r="B1069" s="29"/>
      <c r="C1069" s="10" t="str">
        <f aca="false">IF($B1069="","",IFERROR(INDEX(M_name,MATCH($B1069,M_emp,0)),"Code not found"))</f>
        <v/>
      </c>
      <c r="D1069" s="10" t="str">
        <f aca="false">IF($B1069="","",IFERROR(INDEX(M_dept,MATCH($B1069,M_emp,0)),""))</f>
        <v/>
      </c>
      <c r="E1069" s="10" t="str">
        <f aca="false">IF($B1069="","",IFERROR(INDEX(M_loc,MATCH($B1069,M_emp,0)),""))</f>
        <v/>
      </c>
      <c r="F1069" s="33"/>
      <c r="G1069" s="33"/>
      <c r="H1069" s="33"/>
      <c r="I1069" s="33"/>
      <c r="J1069" s="33"/>
      <c r="K1069" s="33"/>
      <c r="L1069" s="33"/>
      <c r="M1069" s="33"/>
      <c r="N1069" s="33"/>
      <c r="O1069" s="33"/>
      <c r="P1069" s="33"/>
      <c r="Q1069" s="33"/>
      <c r="R1069" s="33"/>
      <c r="S1069" s="33"/>
      <c r="T1069" s="33"/>
      <c r="U1069" s="33"/>
      <c r="V1069" s="33"/>
      <c r="W1069" s="33"/>
      <c r="X1069" s="33"/>
      <c r="Y1069" s="33"/>
      <c r="Z1069" s="33"/>
      <c r="AA1069" s="33"/>
      <c r="AB1069" s="33"/>
      <c r="AC1069" s="33"/>
      <c r="AD1069" s="33"/>
      <c r="AE1069" s="33"/>
      <c r="AF1069" s="33"/>
      <c r="AG1069" s="33"/>
      <c r="AH1069" s="33"/>
      <c r="AI1069" s="33"/>
      <c r="AJ1069" s="33"/>
      <c r="AK1069" s="34" t="str">
        <f aca="false">IF($B1069="","",COUNTIF($F1069:$AJ1069,"P"))</f>
        <v/>
      </c>
      <c r="AL1069" s="34" t="str">
        <f aca="false">IF($B1069="","",COUNTIF($F1069:$AJ1069,"A"))</f>
        <v/>
      </c>
      <c r="AM1069" s="34" t="str">
        <f aca="false">IF($B1069="","",COUNTIF($F1069:$AJ1069,"HA"))</f>
        <v/>
      </c>
      <c r="AN1069" s="34" t="str">
        <f aca="false">IF($B1069="","",COUNTIF($F1069:$AJ1069,"L"))</f>
        <v/>
      </c>
      <c r="AO1069" s="34" t="str">
        <f aca="false">IF($B1069="","",COUNTIF($F1069:$AJ1069,"PL"))</f>
        <v/>
      </c>
      <c r="AP1069" s="34" t="str">
        <f aca="false">IF($B1069="","",COUNTIF($F1069:$AJ1069,"CL"))</f>
        <v/>
      </c>
      <c r="AQ1069" s="34" t="str">
        <f aca="false">IF($B1069="","",COUNTIF($F1069:$AJ1069,"SL"))</f>
        <v/>
      </c>
      <c r="AR1069" s="34" t="str">
        <f aca="false">IF($B1069="","",COUNTIF($F1069:$AJ1069,"CO"))</f>
        <v/>
      </c>
      <c r="AS1069" s="34" t="str">
        <f aca="false">IF($B1069="","",COUNTIF($F1069:$AJ1069,"HPL"))</f>
        <v/>
      </c>
      <c r="AT1069" s="34" t="str">
        <f aca="false">IF($B1069="","",COUNTIF($F1069:$AJ1069,"HCL"))</f>
        <v/>
      </c>
      <c r="AU1069" s="34" t="str">
        <f aca="false">IF($B1069="","",COUNTIF($F1069:$AJ1069,"WO"))</f>
        <v/>
      </c>
      <c r="AV1069" s="34" t="str">
        <f aca="false">IF($B1069="","",COUNTIF($F1069:$AJ1069,"PH"))</f>
        <v/>
      </c>
      <c r="AW1069" s="34" t="str">
        <f aca="false">IF($B1069="","",COUNTIF($F1069:$AJ1069,"TR"))</f>
        <v/>
      </c>
      <c r="AX1069" s="35" t="str">
        <f aca="false">IF($B1069="","",AO1069+AS1069/2)</f>
        <v/>
      </c>
      <c r="AY1069" s="35" t="str">
        <f aca="false">IF($B1069="","",AQ1069)</f>
        <v/>
      </c>
      <c r="AZ1069" s="35" t="str">
        <f aca="false">IF($B1069="","",AP1069+AT1069/2)</f>
        <v/>
      </c>
      <c r="BA1069" s="35" t="str">
        <f aca="false">IF($B1069="","",AK1069+AN1069+AM1069/2+AO1069+AP1069+AQ1069+AR1069+AS1069+AT1069+AU1069+AV1069+AW1069)</f>
        <v/>
      </c>
      <c r="BB1069" s="35" t="str">
        <f aca="false">IF($B1069="","",MAX(0,AN1069-Settings!$C$16)*Settings!$C$17)</f>
        <v/>
      </c>
      <c r="BC1069" s="35" t="str">
        <f aca="false">IF($B1069="","",BA1069-BB1069)</f>
        <v/>
      </c>
      <c r="BD1069" s="35" t="str">
        <f aca="false">IF(OR($B1069="",$A1069=""),"",DAY(EOMONTH($A1069,0))-COUNTA($F1069:$AJ1069))</f>
        <v/>
      </c>
    </row>
    <row r="1070" customFormat="false" ht="15" hidden="false" customHeight="false" outlineLevel="0" collapsed="false">
      <c r="A1070" s="32"/>
      <c r="B1070" s="29"/>
      <c r="C1070" s="10" t="str">
        <f aca="false">IF($B1070="","",IFERROR(INDEX(M_name,MATCH($B1070,M_emp,0)),"Code not found"))</f>
        <v/>
      </c>
      <c r="D1070" s="10" t="str">
        <f aca="false">IF($B1070="","",IFERROR(INDEX(M_dept,MATCH($B1070,M_emp,0)),""))</f>
        <v/>
      </c>
      <c r="E1070" s="10" t="str">
        <f aca="false">IF($B1070="","",IFERROR(INDEX(M_loc,MATCH($B1070,M_emp,0)),""))</f>
        <v/>
      </c>
      <c r="F1070" s="33"/>
      <c r="G1070" s="33"/>
      <c r="H1070" s="33"/>
      <c r="I1070" s="33"/>
      <c r="J1070" s="33"/>
      <c r="K1070" s="33"/>
      <c r="L1070" s="33"/>
      <c r="M1070" s="33"/>
      <c r="N1070" s="33"/>
      <c r="O1070" s="33"/>
      <c r="P1070" s="33"/>
      <c r="Q1070" s="33"/>
      <c r="R1070" s="33"/>
      <c r="S1070" s="33"/>
      <c r="T1070" s="33"/>
      <c r="U1070" s="33"/>
      <c r="V1070" s="33"/>
      <c r="W1070" s="33"/>
      <c r="X1070" s="33"/>
      <c r="Y1070" s="33"/>
      <c r="Z1070" s="33"/>
      <c r="AA1070" s="33"/>
      <c r="AB1070" s="33"/>
      <c r="AC1070" s="33"/>
      <c r="AD1070" s="33"/>
      <c r="AE1070" s="33"/>
      <c r="AF1070" s="33"/>
      <c r="AG1070" s="33"/>
      <c r="AH1070" s="33"/>
      <c r="AI1070" s="33"/>
      <c r="AJ1070" s="33"/>
      <c r="AK1070" s="34" t="str">
        <f aca="false">IF($B1070="","",COUNTIF($F1070:$AJ1070,"P"))</f>
        <v/>
      </c>
      <c r="AL1070" s="34" t="str">
        <f aca="false">IF($B1070="","",COUNTIF($F1070:$AJ1070,"A"))</f>
        <v/>
      </c>
      <c r="AM1070" s="34" t="str">
        <f aca="false">IF($B1070="","",COUNTIF($F1070:$AJ1070,"HA"))</f>
        <v/>
      </c>
      <c r="AN1070" s="34" t="str">
        <f aca="false">IF($B1070="","",COUNTIF($F1070:$AJ1070,"L"))</f>
        <v/>
      </c>
      <c r="AO1070" s="34" t="str">
        <f aca="false">IF($B1070="","",COUNTIF($F1070:$AJ1070,"PL"))</f>
        <v/>
      </c>
      <c r="AP1070" s="34" t="str">
        <f aca="false">IF($B1070="","",COUNTIF($F1070:$AJ1070,"CL"))</f>
        <v/>
      </c>
      <c r="AQ1070" s="34" t="str">
        <f aca="false">IF($B1070="","",COUNTIF($F1070:$AJ1070,"SL"))</f>
        <v/>
      </c>
      <c r="AR1070" s="34" t="str">
        <f aca="false">IF($B1070="","",COUNTIF($F1070:$AJ1070,"CO"))</f>
        <v/>
      </c>
      <c r="AS1070" s="34" t="str">
        <f aca="false">IF($B1070="","",COUNTIF($F1070:$AJ1070,"HPL"))</f>
        <v/>
      </c>
      <c r="AT1070" s="34" t="str">
        <f aca="false">IF($B1070="","",COUNTIF($F1070:$AJ1070,"HCL"))</f>
        <v/>
      </c>
      <c r="AU1070" s="34" t="str">
        <f aca="false">IF($B1070="","",COUNTIF($F1070:$AJ1070,"WO"))</f>
        <v/>
      </c>
      <c r="AV1070" s="34" t="str">
        <f aca="false">IF($B1070="","",COUNTIF($F1070:$AJ1070,"PH"))</f>
        <v/>
      </c>
      <c r="AW1070" s="34" t="str">
        <f aca="false">IF($B1070="","",COUNTIF($F1070:$AJ1070,"TR"))</f>
        <v/>
      </c>
      <c r="AX1070" s="35" t="str">
        <f aca="false">IF($B1070="","",AO1070+AS1070/2)</f>
        <v/>
      </c>
      <c r="AY1070" s="35" t="str">
        <f aca="false">IF($B1070="","",AQ1070)</f>
        <v/>
      </c>
      <c r="AZ1070" s="35" t="str">
        <f aca="false">IF($B1070="","",AP1070+AT1070/2)</f>
        <v/>
      </c>
      <c r="BA1070" s="35" t="str">
        <f aca="false">IF($B1070="","",AK1070+AN1070+AM1070/2+AO1070+AP1070+AQ1070+AR1070+AS1070+AT1070+AU1070+AV1070+AW1070)</f>
        <v/>
      </c>
      <c r="BB1070" s="35" t="str">
        <f aca="false">IF($B1070="","",MAX(0,AN1070-Settings!$C$16)*Settings!$C$17)</f>
        <v/>
      </c>
      <c r="BC1070" s="35" t="str">
        <f aca="false">IF($B1070="","",BA1070-BB1070)</f>
        <v/>
      </c>
      <c r="BD1070" s="35" t="str">
        <f aca="false">IF(OR($B1070="",$A1070=""),"",DAY(EOMONTH($A1070,0))-COUNTA($F1070:$AJ1070))</f>
        <v/>
      </c>
    </row>
    <row r="1071" customFormat="false" ht="15" hidden="false" customHeight="false" outlineLevel="0" collapsed="false">
      <c r="A1071" s="32"/>
      <c r="B1071" s="29"/>
      <c r="C1071" s="10" t="str">
        <f aca="false">IF($B1071="","",IFERROR(INDEX(M_name,MATCH($B1071,M_emp,0)),"Code not found"))</f>
        <v/>
      </c>
      <c r="D1071" s="10" t="str">
        <f aca="false">IF($B1071="","",IFERROR(INDEX(M_dept,MATCH($B1071,M_emp,0)),""))</f>
        <v/>
      </c>
      <c r="E1071" s="10" t="str">
        <f aca="false">IF($B1071="","",IFERROR(INDEX(M_loc,MATCH($B1071,M_emp,0)),""))</f>
        <v/>
      </c>
      <c r="F1071" s="33"/>
      <c r="G1071" s="33"/>
      <c r="H1071" s="33"/>
      <c r="I1071" s="33"/>
      <c r="J1071" s="33"/>
      <c r="K1071" s="33"/>
      <c r="L1071" s="33"/>
      <c r="M1071" s="33"/>
      <c r="N1071" s="33"/>
      <c r="O1071" s="33"/>
      <c r="P1071" s="33"/>
      <c r="Q1071" s="33"/>
      <c r="R1071" s="33"/>
      <c r="S1071" s="33"/>
      <c r="T1071" s="33"/>
      <c r="U1071" s="33"/>
      <c r="V1071" s="33"/>
      <c r="W1071" s="33"/>
      <c r="X1071" s="33"/>
      <c r="Y1071" s="33"/>
      <c r="Z1071" s="33"/>
      <c r="AA1071" s="33"/>
      <c r="AB1071" s="33"/>
      <c r="AC1071" s="33"/>
      <c r="AD1071" s="33"/>
      <c r="AE1071" s="33"/>
      <c r="AF1071" s="33"/>
      <c r="AG1071" s="33"/>
      <c r="AH1071" s="33"/>
      <c r="AI1071" s="33"/>
      <c r="AJ1071" s="33"/>
      <c r="AK1071" s="34" t="str">
        <f aca="false">IF($B1071="","",COUNTIF($F1071:$AJ1071,"P"))</f>
        <v/>
      </c>
      <c r="AL1071" s="34" t="str">
        <f aca="false">IF($B1071="","",COUNTIF($F1071:$AJ1071,"A"))</f>
        <v/>
      </c>
      <c r="AM1071" s="34" t="str">
        <f aca="false">IF($B1071="","",COUNTIF($F1071:$AJ1071,"HA"))</f>
        <v/>
      </c>
      <c r="AN1071" s="34" t="str">
        <f aca="false">IF($B1071="","",COUNTIF($F1071:$AJ1071,"L"))</f>
        <v/>
      </c>
      <c r="AO1071" s="34" t="str">
        <f aca="false">IF($B1071="","",COUNTIF($F1071:$AJ1071,"PL"))</f>
        <v/>
      </c>
      <c r="AP1071" s="34" t="str">
        <f aca="false">IF($B1071="","",COUNTIF($F1071:$AJ1071,"CL"))</f>
        <v/>
      </c>
      <c r="AQ1071" s="34" t="str">
        <f aca="false">IF($B1071="","",COUNTIF($F1071:$AJ1071,"SL"))</f>
        <v/>
      </c>
      <c r="AR1071" s="34" t="str">
        <f aca="false">IF($B1071="","",COUNTIF($F1071:$AJ1071,"CO"))</f>
        <v/>
      </c>
      <c r="AS1071" s="34" t="str">
        <f aca="false">IF($B1071="","",COUNTIF($F1071:$AJ1071,"HPL"))</f>
        <v/>
      </c>
      <c r="AT1071" s="34" t="str">
        <f aca="false">IF($B1071="","",COUNTIF($F1071:$AJ1071,"HCL"))</f>
        <v/>
      </c>
      <c r="AU1071" s="34" t="str">
        <f aca="false">IF($B1071="","",COUNTIF($F1071:$AJ1071,"WO"))</f>
        <v/>
      </c>
      <c r="AV1071" s="34" t="str">
        <f aca="false">IF($B1071="","",COUNTIF($F1071:$AJ1071,"PH"))</f>
        <v/>
      </c>
      <c r="AW1071" s="34" t="str">
        <f aca="false">IF($B1071="","",COUNTIF($F1071:$AJ1071,"TR"))</f>
        <v/>
      </c>
      <c r="AX1071" s="35" t="str">
        <f aca="false">IF($B1071="","",AO1071+AS1071/2)</f>
        <v/>
      </c>
      <c r="AY1071" s="35" t="str">
        <f aca="false">IF($B1071="","",AQ1071)</f>
        <v/>
      </c>
      <c r="AZ1071" s="35" t="str">
        <f aca="false">IF($B1071="","",AP1071+AT1071/2)</f>
        <v/>
      </c>
      <c r="BA1071" s="35" t="str">
        <f aca="false">IF($B1071="","",AK1071+AN1071+AM1071/2+AO1071+AP1071+AQ1071+AR1071+AS1071+AT1071+AU1071+AV1071+AW1071)</f>
        <v/>
      </c>
      <c r="BB1071" s="35" t="str">
        <f aca="false">IF($B1071="","",MAX(0,AN1071-Settings!$C$16)*Settings!$C$17)</f>
        <v/>
      </c>
      <c r="BC1071" s="35" t="str">
        <f aca="false">IF($B1071="","",BA1071-BB1071)</f>
        <v/>
      </c>
      <c r="BD1071" s="35" t="str">
        <f aca="false">IF(OR($B1071="",$A1071=""),"",DAY(EOMONTH($A1071,0))-COUNTA($F1071:$AJ1071))</f>
        <v/>
      </c>
    </row>
    <row r="1072" customFormat="false" ht="15" hidden="false" customHeight="false" outlineLevel="0" collapsed="false">
      <c r="A1072" s="32"/>
      <c r="B1072" s="29"/>
      <c r="C1072" s="10" t="str">
        <f aca="false">IF($B1072="","",IFERROR(INDEX(M_name,MATCH($B1072,M_emp,0)),"Code not found"))</f>
        <v/>
      </c>
      <c r="D1072" s="10" t="str">
        <f aca="false">IF($B1072="","",IFERROR(INDEX(M_dept,MATCH($B1072,M_emp,0)),""))</f>
        <v/>
      </c>
      <c r="E1072" s="10" t="str">
        <f aca="false">IF($B1072="","",IFERROR(INDEX(M_loc,MATCH($B1072,M_emp,0)),""))</f>
        <v/>
      </c>
      <c r="F1072" s="33"/>
      <c r="G1072" s="33"/>
      <c r="H1072" s="33"/>
      <c r="I1072" s="33"/>
      <c r="J1072" s="33"/>
      <c r="K1072" s="33"/>
      <c r="L1072" s="33"/>
      <c r="M1072" s="33"/>
      <c r="N1072" s="33"/>
      <c r="O1072" s="33"/>
      <c r="P1072" s="33"/>
      <c r="Q1072" s="33"/>
      <c r="R1072" s="33"/>
      <c r="S1072" s="33"/>
      <c r="T1072" s="33"/>
      <c r="U1072" s="33"/>
      <c r="V1072" s="33"/>
      <c r="W1072" s="33"/>
      <c r="X1072" s="33"/>
      <c r="Y1072" s="33"/>
      <c r="Z1072" s="33"/>
      <c r="AA1072" s="33"/>
      <c r="AB1072" s="33"/>
      <c r="AC1072" s="33"/>
      <c r="AD1072" s="33"/>
      <c r="AE1072" s="33"/>
      <c r="AF1072" s="33"/>
      <c r="AG1072" s="33"/>
      <c r="AH1072" s="33"/>
      <c r="AI1072" s="33"/>
      <c r="AJ1072" s="33"/>
      <c r="AK1072" s="34" t="str">
        <f aca="false">IF($B1072="","",COUNTIF($F1072:$AJ1072,"P"))</f>
        <v/>
      </c>
      <c r="AL1072" s="34" t="str">
        <f aca="false">IF($B1072="","",COUNTIF($F1072:$AJ1072,"A"))</f>
        <v/>
      </c>
      <c r="AM1072" s="34" t="str">
        <f aca="false">IF($B1072="","",COUNTIF($F1072:$AJ1072,"HA"))</f>
        <v/>
      </c>
      <c r="AN1072" s="34" t="str">
        <f aca="false">IF($B1072="","",COUNTIF($F1072:$AJ1072,"L"))</f>
        <v/>
      </c>
      <c r="AO1072" s="34" t="str">
        <f aca="false">IF($B1072="","",COUNTIF($F1072:$AJ1072,"PL"))</f>
        <v/>
      </c>
      <c r="AP1072" s="34" t="str">
        <f aca="false">IF($B1072="","",COUNTIF($F1072:$AJ1072,"CL"))</f>
        <v/>
      </c>
      <c r="AQ1072" s="34" t="str">
        <f aca="false">IF($B1072="","",COUNTIF($F1072:$AJ1072,"SL"))</f>
        <v/>
      </c>
      <c r="AR1072" s="34" t="str">
        <f aca="false">IF($B1072="","",COUNTIF($F1072:$AJ1072,"CO"))</f>
        <v/>
      </c>
      <c r="AS1072" s="34" t="str">
        <f aca="false">IF($B1072="","",COUNTIF($F1072:$AJ1072,"HPL"))</f>
        <v/>
      </c>
      <c r="AT1072" s="34" t="str">
        <f aca="false">IF($B1072="","",COUNTIF($F1072:$AJ1072,"HCL"))</f>
        <v/>
      </c>
      <c r="AU1072" s="34" t="str">
        <f aca="false">IF($B1072="","",COUNTIF($F1072:$AJ1072,"WO"))</f>
        <v/>
      </c>
      <c r="AV1072" s="34" t="str">
        <f aca="false">IF($B1072="","",COUNTIF($F1072:$AJ1072,"PH"))</f>
        <v/>
      </c>
      <c r="AW1072" s="34" t="str">
        <f aca="false">IF($B1072="","",COUNTIF($F1072:$AJ1072,"TR"))</f>
        <v/>
      </c>
      <c r="AX1072" s="35" t="str">
        <f aca="false">IF($B1072="","",AO1072+AS1072/2)</f>
        <v/>
      </c>
      <c r="AY1072" s="35" t="str">
        <f aca="false">IF($B1072="","",AQ1072)</f>
        <v/>
      </c>
      <c r="AZ1072" s="35" t="str">
        <f aca="false">IF($B1072="","",AP1072+AT1072/2)</f>
        <v/>
      </c>
      <c r="BA1072" s="35" t="str">
        <f aca="false">IF($B1072="","",AK1072+AN1072+AM1072/2+AO1072+AP1072+AQ1072+AR1072+AS1072+AT1072+AU1072+AV1072+AW1072)</f>
        <v/>
      </c>
      <c r="BB1072" s="35" t="str">
        <f aca="false">IF($B1072="","",MAX(0,AN1072-Settings!$C$16)*Settings!$C$17)</f>
        <v/>
      </c>
      <c r="BC1072" s="35" t="str">
        <f aca="false">IF($B1072="","",BA1072-BB1072)</f>
        <v/>
      </c>
      <c r="BD1072" s="35" t="str">
        <f aca="false">IF(OR($B1072="",$A1072=""),"",DAY(EOMONTH($A1072,0))-COUNTA($F1072:$AJ1072))</f>
        <v/>
      </c>
    </row>
    <row r="1073" customFormat="false" ht="15" hidden="false" customHeight="false" outlineLevel="0" collapsed="false">
      <c r="A1073" s="32"/>
      <c r="B1073" s="29"/>
      <c r="C1073" s="10" t="str">
        <f aca="false">IF($B1073="","",IFERROR(INDEX(M_name,MATCH($B1073,M_emp,0)),"Code not found"))</f>
        <v/>
      </c>
      <c r="D1073" s="10" t="str">
        <f aca="false">IF($B1073="","",IFERROR(INDEX(M_dept,MATCH($B1073,M_emp,0)),""))</f>
        <v/>
      </c>
      <c r="E1073" s="10" t="str">
        <f aca="false">IF($B1073="","",IFERROR(INDEX(M_loc,MATCH($B1073,M_emp,0)),""))</f>
        <v/>
      </c>
      <c r="F1073" s="33"/>
      <c r="G1073" s="33"/>
      <c r="H1073" s="33"/>
      <c r="I1073" s="33"/>
      <c r="J1073" s="33"/>
      <c r="K1073" s="33"/>
      <c r="L1073" s="33"/>
      <c r="M1073" s="33"/>
      <c r="N1073" s="33"/>
      <c r="O1073" s="33"/>
      <c r="P1073" s="33"/>
      <c r="Q1073" s="33"/>
      <c r="R1073" s="33"/>
      <c r="S1073" s="33"/>
      <c r="T1073" s="33"/>
      <c r="U1073" s="33"/>
      <c r="V1073" s="33"/>
      <c r="W1073" s="33"/>
      <c r="X1073" s="33"/>
      <c r="Y1073" s="33"/>
      <c r="Z1073" s="33"/>
      <c r="AA1073" s="33"/>
      <c r="AB1073" s="33"/>
      <c r="AC1073" s="33"/>
      <c r="AD1073" s="33"/>
      <c r="AE1073" s="33"/>
      <c r="AF1073" s="33"/>
      <c r="AG1073" s="33"/>
      <c r="AH1073" s="33"/>
      <c r="AI1073" s="33"/>
      <c r="AJ1073" s="33"/>
      <c r="AK1073" s="34" t="str">
        <f aca="false">IF($B1073="","",COUNTIF($F1073:$AJ1073,"P"))</f>
        <v/>
      </c>
      <c r="AL1073" s="34" t="str">
        <f aca="false">IF($B1073="","",COUNTIF($F1073:$AJ1073,"A"))</f>
        <v/>
      </c>
      <c r="AM1073" s="34" t="str">
        <f aca="false">IF($B1073="","",COUNTIF($F1073:$AJ1073,"HA"))</f>
        <v/>
      </c>
      <c r="AN1073" s="34" t="str">
        <f aca="false">IF($B1073="","",COUNTIF($F1073:$AJ1073,"L"))</f>
        <v/>
      </c>
      <c r="AO1073" s="34" t="str">
        <f aca="false">IF($B1073="","",COUNTIF($F1073:$AJ1073,"PL"))</f>
        <v/>
      </c>
      <c r="AP1073" s="34" t="str">
        <f aca="false">IF($B1073="","",COUNTIF($F1073:$AJ1073,"CL"))</f>
        <v/>
      </c>
      <c r="AQ1073" s="34" t="str">
        <f aca="false">IF($B1073="","",COUNTIF($F1073:$AJ1073,"SL"))</f>
        <v/>
      </c>
      <c r="AR1073" s="34" t="str">
        <f aca="false">IF($B1073="","",COUNTIF($F1073:$AJ1073,"CO"))</f>
        <v/>
      </c>
      <c r="AS1073" s="34" t="str">
        <f aca="false">IF($B1073="","",COUNTIF($F1073:$AJ1073,"HPL"))</f>
        <v/>
      </c>
      <c r="AT1073" s="34" t="str">
        <f aca="false">IF($B1073="","",COUNTIF($F1073:$AJ1073,"HCL"))</f>
        <v/>
      </c>
      <c r="AU1073" s="34" t="str">
        <f aca="false">IF($B1073="","",COUNTIF($F1073:$AJ1073,"WO"))</f>
        <v/>
      </c>
      <c r="AV1073" s="34" t="str">
        <f aca="false">IF($B1073="","",COUNTIF($F1073:$AJ1073,"PH"))</f>
        <v/>
      </c>
      <c r="AW1073" s="34" t="str">
        <f aca="false">IF($B1073="","",COUNTIF($F1073:$AJ1073,"TR"))</f>
        <v/>
      </c>
      <c r="AX1073" s="35" t="str">
        <f aca="false">IF($B1073="","",AO1073+AS1073/2)</f>
        <v/>
      </c>
      <c r="AY1073" s="35" t="str">
        <f aca="false">IF($B1073="","",AQ1073)</f>
        <v/>
      </c>
      <c r="AZ1073" s="35" t="str">
        <f aca="false">IF($B1073="","",AP1073+AT1073/2)</f>
        <v/>
      </c>
      <c r="BA1073" s="35" t="str">
        <f aca="false">IF($B1073="","",AK1073+AN1073+AM1073/2+AO1073+AP1073+AQ1073+AR1073+AS1073+AT1073+AU1073+AV1073+AW1073)</f>
        <v/>
      </c>
      <c r="BB1073" s="35" t="str">
        <f aca="false">IF($B1073="","",MAX(0,AN1073-Settings!$C$16)*Settings!$C$17)</f>
        <v/>
      </c>
      <c r="BC1073" s="35" t="str">
        <f aca="false">IF($B1073="","",BA1073-BB1073)</f>
        <v/>
      </c>
      <c r="BD1073" s="35" t="str">
        <f aca="false">IF(OR($B1073="",$A1073=""),"",DAY(EOMONTH($A1073,0))-COUNTA($F1073:$AJ1073))</f>
        <v/>
      </c>
    </row>
    <row r="1074" customFormat="false" ht="15" hidden="false" customHeight="false" outlineLevel="0" collapsed="false">
      <c r="A1074" s="32"/>
      <c r="B1074" s="29"/>
      <c r="C1074" s="10" t="str">
        <f aca="false">IF($B1074="","",IFERROR(INDEX(M_name,MATCH($B1074,M_emp,0)),"Code not found"))</f>
        <v/>
      </c>
      <c r="D1074" s="10" t="str">
        <f aca="false">IF($B1074="","",IFERROR(INDEX(M_dept,MATCH($B1074,M_emp,0)),""))</f>
        <v/>
      </c>
      <c r="E1074" s="10" t="str">
        <f aca="false">IF($B1074="","",IFERROR(INDEX(M_loc,MATCH($B1074,M_emp,0)),""))</f>
        <v/>
      </c>
      <c r="F1074" s="33"/>
      <c r="G1074" s="33"/>
      <c r="H1074" s="33"/>
      <c r="I1074" s="33"/>
      <c r="J1074" s="33"/>
      <c r="K1074" s="33"/>
      <c r="L1074" s="33"/>
      <c r="M1074" s="33"/>
      <c r="N1074" s="33"/>
      <c r="O1074" s="33"/>
      <c r="P1074" s="33"/>
      <c r="Q1074" s="33"/>
      <c r="R1074" s="33"/>
      <c r="S1074" s="33"/>
      <c r="T1074" s="33"/>
      <c r="U1074" s="33"/>
      <c r="V1074" s="33"/>
      <c r="W1074" s="33"/>
      <c r="X1074" s="33"/>
      <c r="Y1074" s="33"/>
      <c r="Z1074" s="33"/>
      <c r="AA1074" s="33"/>
      <c r="AB1074" s="33"/>
      <c r="AC1074" s="33"/>
      <c r="AD1074" s="33"/>
      <c r="AE1074" s="33"/>
      <c r="AF1074" s="33"/>
      <c r="AG1074" s="33"/>
      <c r="AH1074" s="33"/>
      <c r="AI1074" s="33"/>
      <c r="AJ1074" s="33"/>
      <c r="AK1074" s="34" t="str">
        <f aca="false">IF($B1074="","",COUNTIF($F1074:$AJ1074,"P"))</f>
        <v/>
      </c>
      <c r="AL1074" s="34" t="str">
        <f aca="false">IF($B1074="","",COUNTIF($F1074:$AJ1074,"A"))</f>
        <v/>
      </c>
      <c r="AM1074" s="34" t="str">
        <f aca="false">IF($B1074="","",COUNTIF($F1074:$AJ1074,"HA"))</f>
        <v/>
      </c>
      <c r="AN1074" s="34" t="str">
        <f aca="false">IF($B1074="","",COUNTIF($F1074:$AJ1074,"L"))</f>
        <v/>
      </c>
      <c r="AO1074" s="34" t="str">
        <f aca="false">IF($B1074="","",COUNTIF($F1074:$AJ1074,"PL"))</f>
        <v/>
      </c>
      <c r="AP1074" s="34" t="str">
        <f aca="false">IF($B1074="","",COUNTIF($F1074:$AJ1074,"CL"))</f>
        <v/>
      </c>
      <c r="AQ1074" s="34" t="str">
        <f aca="false">IF($B1074="","",COUNTIF($F1074:$AJ1074,"SL"))</f>
        <v/>
      </c>
      <c r="AR1074" s="34" t="str">
        <f aca="false">IF($B1074="","",COUNTIF($F1074:$AJ1074,"CO"))</f>
        <v/>
      </c>
      <c r="AS1074" s="34" t="str">
        <f aca="false">IF($B1074="","",COUNTIF($F1074:$AJ1074,"HPL"))</f>
        <v/>
      </c>
      <c r="AT1074" s="34" t="str">
        <f aca="false">IF($B1074="","",COUNTIF($F1074:$AJ1074,"HCL"))</f>
        <v/>
      </c>
      <c r="AU1074" s="34" t="str">
        <f aca="false">IF($B1074="","",COUNTIF($F1074:$AJ1074,"WO"))</f>
        <v/>
      </c>
      <c r="AV1074" s="34" t="str">
        <f aca="false">IF($B1074="","",COUNTIF($F1074:$AJ1074,"PH"))</f>
        <v/>
      </c>
      <c r="AW1074" s="34" t="str">
        <f aca="false">IF($B1074="","",COUNTIF($F1074:$AJ1074,"TR"))</f>
        <v/>
      </c>
      <c r="AX1074" s="35" t="str">
        <f aca="false">IF($B1074="","",AO1074+AS1074/2)</f>
        <v/>
      </c>
      <c r="AY1074" s="35" t="str">
        <f aca="false">IF($B1074="","",AQ1074)</f>
        <v/>
      </c>
      <c r="AZ1074" s="35" t="str">
        <f aca="false">IF($B1074="","",AP1074+AT1074/2)</f>
        <v/>
      </c>
      <c r="BA1074" s="35" t="str">
        <f aca="false">IF($B1074="","",AK1074+AN1074+AM1074/2+AO1074+AP1074+AQ1074+AR1074+AS1074+AT1074+AU1074+AV1074+AW1074)</f>
        <v/>
      </c>
      <c r="BB1074" s="35" t="str">
        <f aca="false">IF($B1074="","",MAX(0,AN1074-Settings!$C$16)*Settings!$C$17)</f>
        <v/>
      </c>
      <c r="BC1074" s="35" t="str">
        <f aca="false">IF($B1074="","",BA1074-BB1074)</f>
        <v/>
      </c>
      <c r="BD1074" s="35" t="str">
        <f aca="false">IF(OR($B1074="",$A1074=""),"",DAY(EOMONTH($A1074,0))-COUNTA($F1074:$AJ1074))</f>
        <v/>
      </c>
    </row>
    <row r="1075" customFormat="false" ht="15" hidden="false" customHeight="false" outlineLevel="0" collapsed="false">
      <c r="A1075" s="32"/>
      <c r="B1075" s="29"/>
      <c r="C1075" s="10" t="str">
        <f aca="false">IF($B1075="","",IFERROR(INDEX(M_name,MATCH($B1075,M_emp,0)),"Code not found"))</f>
        <v/>
      </c>
      <c r="D1075" s="10" t="str">
        <f aca="false">IF($B1075="","",IFERROR(INDEX(M_dept,MATCH($B1075,M_emp,0)),""))</f>
        <v/>
      </c>
      <c r="E1075" s="10" t="str">
        <f aca="false">IF($B1075="","",IFERROR(INDEX(M_loc,MATCH($B1075,M_emp,0)),""))</f>
        <v/>
      </c>
      <c r="F1075" s="33"/>
      <c r="G1075" s="33"/>
      <c r="H1075" s="33"/>
      <c r="I1075" s="33"/>
      <c r="J1075" s="33"/>
      <c r="K1075" s="33"/>
      <c r="L1075" s="33"/>
      <c r="M1075" s="33"/>
      <c r="N1075" s="33"/>
      <c r="O1075" s="33"/>
      <c r="P1075" s="33"/>
      <c r="Q1075" s="33"/>
      <c r="R1075" s="33"/>
      <c r="S1075" s="33"/>
      <c r="T1075" s="33"/>
      <c r="U1075" s="33"/>
      <c r="V1075" s="33"/>
      <c r="W1075" s="33"/>
      <c r="X1075" s="33"/>
      <c r="Y1075" s="33"/>
      <c r="Z1075" s="33"/>
      <c r="AA1075" s="33"/>
      <c r="AB1075" s="33"/>
      <c r="AC1075" s="33"/>
      <c r="AD1075" s="33"/>
      <c r="AE1075" s="33"/>
      <c r="AF1075" s="33"/>
      <c r="AG1075" s="33"/>
      <c r="AH1075" s="33"/>
      <c r="AI1075" s="33"/>
      <c r="AJ1075" s="33"/>
      <c r="AK1075" s="34" t="str">
        <f aca="false">IF($B1075="","",COUNTIF($F1075:$AJ1075,"P"))</f>
        <v/>
      </c>
      <c r="AL1075" s="34" t="str">
        <f aca="false">IF($B1075="","",COUNTIF($F1075:$AJ1075,"A"))</f>
        <v/>
      </c>
      <c r="AM1075" s="34" t="str">
        <f aca="false">IF($B1075="","",COUNTIF($F1075:$AJ1075,"HA"))</f>
        <v/>
      </c>
      <c r="AN1075" s="34" t="str">
        <f aca="false">IF($B1075="","",COUNTIF($F1075:$AJ1075,"L"))</f>
        <v/>
      </c>
      <c r="AO1075" s="34" t="str">
        <f aca="false">IF($B1075="","",COUNTIF($F1075:$AJ1075,"PL"))</f>
        <v/>
      </c>
      <c r="AP1075" s="34" t="str">
        <f aca="false">IF($B1075="","",COUNTIF($F1075:$AJ1075,"CL"))</f>
        <v/>
      </c>
      <c r="AQ1075" s="34" t="str">
        <f aca="false">IF($B1075="","",COUNTIF($F1075:$AJ1075,"SL"))</f>
        <v/>
      </c>
      <c r="AR1075" s="34" t="str">
        <f aca="false">IF($B1075="","",COUNTIF($F1075:$AJ1075,"CO"))</f>
        <v/>
      </c>
      <c r="AS1075" s="34" t="str">
        <f aca="false">IF($B1075="","",COUNTIF($F1075:$AJ1075,"HPL"))</f>
        <v/>
      </c>
      <c r="AT1075" s="34" t="str">
        <f aca="false">IF($B1075="","",COUNTIF($F1075:$AJ1075,"HCL"))</f>
        <v/>
      </c>
      <c r="AU1075" s="34" t="str">
        <f aca="false">IF($B1075="","",COUNTIF($F1075:$AJ1075,"WO"))</f>
        <v/>
      </c>
      <c r="AV1075" s="34" t="str">
        <f aca="false">IF($B1075="","",COUNTIF($F1075:$AJ1075,"PH"))</f>
        <v/>
      </c>
      <c r="AW1075" s="34" t="str">
        <f aca="false">IF($B1075="","",COUNTIF($F1075:$AJ1075,"TR"))</f>
        <v/>
      </c>
      <c r="AX1075" s="35" t="str">
        <f aca="false">IF($B1075="","",AO1075+AS1075/2)</f>
        <v/>
      </c>
      <c r="AY1075" s="35" t="str">
        <f aca="false">IF($B1075="","",AQ1075)</f>
        <v/>
      </c>
      <c r="AZ1075" s="35" t="str">
        <f aca="false">IF($B1075="","",AP1075+AT1075/2)</f>
        <v/>
      </c>
      <c r="BA1075" s="35" t="str">
        <f aca="false">IF($B1075="","",AK1075+AN1075+AM1075/2+AO1075+AP1075+AQ1075+AR1075+AS1075+AT1075+AU1075+AV1075+AW1075)</f>
        <v/>
      </c>
      <c r="BB1075" s="35" t="str">
        <f aca="false">IF($B1075="","",MAX(0,AN1075-Settings!$C$16)*Settings!$C$17)</f>
        <v/>
      </c>
      <c r="BC1075" s="35" t="str">
        <f aca="false">IF($B1075="","",BA1075-BB1075)</f>
        <v/>
      </c>
      <c r="BD1075" s="35" t="str">
        <f aca="false">IF(OR($B1075="",$A1075=""),"",DAY(EOMONTH($A1075,0))-COUNTA($F1075:$AJ1075))</f>
        <v/>
      </c>
    </row>
    <row r="1076" customFormat="false" ht="15" hidden="false" customHeight="false" outlineLevel="0" collapsed="false">
      <c r="A1076" s="32"/>
      <c r="B1076" s="29"/>
      <c r="C1076" s="10" t="str">
        <f aca="false">IF($B1076="","",IFERROR(INDEX(M_name,MATCH($B1076,M_emp,0)),"Code not found"))</f>
        <v/>
      </c>
      <c r="D1076" s="10" t="str">
        <f aca="false">IF($B1076="","",IFERROR(INDEX(M_dept,MATCH($B1076,M_emp,0)),""))</f>
        <v/>
      </c>
      <c r="E1076" s="10" t="str">
        <f aca="false">IF($B1076="","",IFERROR(INDEX(M_loc,MATCH($B1076,M_emp,0)),""))</f>
        <v/>
      </c>
      <c r="F1076" s="33"/>
      <c r="G1076" s="33"/>
      <c r="H1076" s="33"/>
      <c r="I1076" s="33"/>
      <c r="J1076" s="33"/>
      <c r="K1076" s="33"/>
      <c r="L1076" s="33"/>
      <c r="M1076" s="33"/>
      <c r="N1076" s="33"/>
      <c r="O1076" s="33"/>
      <c r="P1076" s="33"/>
      <c r="Q1076" s="33"/>
      <c r="R1076" s="33"/>
      <c r="S1076" s="33"/>
      <c r="T1076" s="33"/>
      <c r="U1076" s="33"/>
      <c r="V1076" s="33"/>
      <c r="W1076" s="33"/>
      <c r="X1076" s="33"/>
      <c r="Y1076" s="33"/>
      <c r="Z1076" s="33"/>
      <c r="AA1076" s="33"/>
      <c r="AB1076" s="33"/>
      <c r="AC1076" s="33"/>
      <c r="AD1076" s="33"/>
      <c r="AE1076" s="33"/>
      <c r="AF1076" s="33"/>
      <c r="AG1076" s="33"/>
      <c r="AH1076" s="33"/>
      <c r="AI1076" s="33"/>
      <c r="AJ1076" s="33"/>
      <c r="AK1076" s="34" t="str">
        <f aca="false">IF($B1076="","",COUNTIF($F1076:$AJ1076,"P"))</f>
        <v/>
      </c>
      <c r="AL1076" s="34" t="str">
        <f aca="false">IF($B1076="","",COUNTIF($F1076:$AJ1076,"A"))</f>
        <v/>
      </c>
      <c r="AM1076" s="34" t="str">
        <f aca="false">IF($B1076="","",COUNTIF($F1076:$AJ1076,"HA"))</f>
        <v/>
      </c>
      <c r="AN1076" s="34" t="str">
        <f aca="false">IF($B1076="","",COUNTIF($F1076:$AJ1076,"L"))</f>
        <v/>
      </c>
      <c r="AO1076" s="34" t="str">
        <f aca="false">IF($B1076="","",COUNTIF($F1076:$AJ1076,"PL"))</f>
        <v/>
      </c>
      <c r="AP1076" s="34" t="str">
        <f aca="false">IF($B1076="","",COUNTIF($F1076:$AJ1076,"CL"))</f>
        <v/>
      </c>
      <c r="AQ1076" s="34" t="str">
        <f aca="false">IF($B1076="","",COUNTIF($F1076:$AJ1076,"SL"))</f>
        <v/>
      </c>
      <c r="AR1076" s="34" t="str">
        <f aca="false">IF($B1076="","",COUNTIF($F1076:$AJ1076,"CO"))</f>
        <v/>
      </c>
      <c r="AS1076" s="34" t="str">
        <f aca="false">IF($B1076="","",COUNTIF($F1076:$AJ1076,"HPL"))</f>
        <v/>
      </c>
      <c r="AT1076" s="34" t="str">
        <f aca="false">IF($B1076="","",COUNTIF($F1076:$AJ1076,"HCL"))</f>
        <v/>
      </c>
      <c r="AU1076" s="34" t="str">
        <f aca="false">IF($B1076="","",COUNTIF($F1076:$AJ1076,"WO"))</f>
        <v/>
      </c>
      <c r="AV1076" s="34" t="str">
        <f aca="false">IF($B1076="","",COUNTIF($F1076:$AJ1076,"PH"))</f>
        <v/>
      </c>
      <c r="AW1076" s="34" t="str">
        <f aca="false">IF($B1076="","",COUNTIF($F1076:$AJ1076,"TR"))</f>
        <v/>
      </c>
      <c r="AX1076" s="35" t="str">
        <f aca="false">IF($B1076="","",AO1076+AS1076/2)</f>
        <v/>
      </c>
      <c r="AY1076" s="35" t="str">
        <f aca="false">IF($B1076="","",AQ1076)</f>
        <v/>
      </c>
      <c r="AZ1076" s="35" t="str">
        <f aca="false">IF($B1076="","",AP1076+AT1076/2)</f>
        <v/>
      </c>
      <c r="BA1076" s="35" t="str">
        <f aca="false">IF($B1076="","",AK1076+AN1076+AM1076/2+AO1076+AP1076+AQ1076+AR1076+AS1076+AT1076+AU1076+AV1076+AW1076)</f>
        <v/>
      </c>
      <c r="BB1076" s="35" t="str">
        <f aca="false">IF($B1076="","",MAX(0,AN1076-Settings!$C$16)*Settings!$C$17)</f>
        <v/>
      </c>
      <c r="BC1076" s="35" t="str">
        <f aca="false">IF($B1076="","",BA1076-BB1076)</f>
        <v/>
      </c>
      <c r="BD1076" s="35" t="str">
        <f aca="false">IF(OR($B1076="",$A1076=""),"",DAY(EOMONTH($A1076,0))-COUNTA($F1076:$AJ1076))</f>
        <v/>
      </c>
    </row>
    <row r="1077" customFormat="false" ht="15" hidden="false" customHeight="false" outlineLevel="0" collapsed="false">
      <c r="A1077" s="32"/>
      <c r="B1077" s="29"/>
      <c r="C1077" s="10" t="str">
        <f aca="false">IF($B1077="","",IFERROR(INDEX(M_name,MATCH($B1077,M_emp,0)),"Code not found"))</f>
        <v/>
      </c>
      <c r="D1077" s="10" t="str">
        <f aca="false">IF($B1077="","",IFERROR(INDEX(M_dept,MATCH($B1077,M_emp,0)),""))</f>
        <v/>
      </c>
      <c r="E1077" s="10" t="str">
        <f aca="false">IF($B1077="","",IFERROR(INDEX(M_loc,MATCH($B1077,M_emp,0)),""))</f>
        <v/>
      </c>
      <c r="F1077" s="33"/>
      <c r="G1077" s="33"/>
      <c r="H1077" s="33"/>
      <c r="I1077" s="33"/>
      <c r="J1077" s="33"/>
      <c r="K1077" s="33"/>
      <c r="L1077" s="33"/>
      <c r="M1077" s="33"/>
      <c r="N1077" s="33"/>
      <c r="O1077" s="33"/>
      <c r="P1077" s="33"/>
      <c r="Q1077" s="33"/>
      <c r="R1077" s="33"/>
      <c r="S1077" s="33"/>
      <c r="T1077" s="33"/>
      <c r="U1077" s="33"/>
      <c r="V1077" s="33"/>
      <c r="W1077" s="33"/>
      <c r="X1077" s="33"/>
      <c r="Y1077" s="33"/>
      <c r="Z1077" s="33"/>
      <c r="AA1077" s="33"/>
      <c r="AB1077" s="33"/>
      <c r="AC1077" s="33"/>
      <c r="AD1077" s="33"/>
      <c r="AE1077" s="33"/>
      <c r="AF1077" s="33"/>
      <c r="AG1077" s="33"/>
      <c r="AH1077" s="33"/>
      <c r="AI1077" s="33"/>
      <c r="AJ1077" s="33"/>
      <c r="AK1077" s="34" t="str">
        <f aca="false">IF($B1077="","",COUNTIF($F1077:$AJ1077,"P"))</f>
        <v/>
      </c>
      <c r="AL1077" s="34" t="str">
        <f aca="false">IF($B1077="","",COUNTIF($F1077:$AJ1077,"A"))</f>
        <v/>
      </c>
      <c r="AM1077" s="34" t="str">
        <f aca="false">IF($B1077="","",COUNTIF($F1077:$AJ1077,"HA"))</f>
        <v/>
      </c>
      <c r="AN1077" s="34" t="str">
        <f aca="false">IF($B1077="","",COUNTIF($F1077:$AJ1077,"L"))</f>
        <v/>
      </c>
      <c r="AO1077" s="34" t="str">
        <f aca="false">IF($B1077="","",COUNTIF($F1077:$AJ1077,"PL"))</f>
        <v/>
      </c>
      <c r="AP1077" s="34" t="str">
        <f aca="false">IF($B1077="","",COUNTIF($F1077:$AJ1077,"CL"))</f>
        <v/>
      </c>
      <c r="AQ1077" s="34" t="str">
        <f aca="false">IF($B1077="","",COUNTIF($F1077:$AJ1077,"SL"))</f>
        <v/>
      </c>
      <c r="AR1077" s="34" t="str">
        <f aca="false">IF($B1077="","",COUNTIF($F1077:$AJ1077,"CO"))</f>
        <v/>
      </c>
      <c r="AS1077" s="34" t="str">
        <f aca="false">IF($B1077="","",COUNTIF($F1077:$AJ1077,"HPL"))</f>
        <v/>
      </c>
      <c r="AT1077" s="34" t="str">
        <f aca="false">IF($B1077="","",COUNTIF($F1077:$AJ1077,"HCL"))</f>
        <v/>
      </c>
      <c r="AU1077" s="34" t="str">
        <f aca="false">IF($B1077="","",COUNTIF($F1077:$AJ1077,"WO"))</f>
        <v/>
      </c>
      <c r="AV1077" s="34" t="str">
        <f aca="false">IF($B1077="","",COUNTIF($F1077:$AJ1077,"PH"))</f>
        <v/>
      </c>
      <c r="AW1077" s="34" t="str">
        <f aca="false">IF($B1077="","",COUNTIF($F1077:$AJ1077,"TR"))</f>
        <v/>
      </c>
      <c r="AX1077" s="35" t="str">
        <f aca="false">IF($B1077="","",AO1077+AS1077/2)</f>
        <v/>
      </c>
      <c r="AY1077" s="35" t="str">
        <f aca="false">IF($B1077="","",AQ1077)</f>
        <v/>
      </c>
      <c r="AZ1077" s="35" t="str">
        <f aca="false">IF($B1077="","",AP1077+AT1077/2)</f>
        <v/>
      </c>
      <c r="BA1077" s="35" t="str">
        <f aca="false">IF($B1077="","",AK1077+AN1077+AM1077/2+AO1077+AP1077+AQ1077+AR1077+AS1077+AT1077+AU1077+AV1077+AW1077)</f>
        <v/>
      </c>
      <c r="BB1077" s="35" t="str">
        <f aca="false">IF($B1077="","",MAX(0,AN1077-Settings!$C$16)*Settings!$C$17)</f>
        <v/>
      </c>
      <c r="BC1077" s="35" t="str">
        <f aca="false">IF($B1077="","",BA1077-BB1077)</f>
        <v/>
      </c>
      <c r="BD1077" s="35" t="str">
        <f aca="false">IF(OR($B1077="",$A1077=""),"",DAY(EOMONTH($A1077,0))-COUNTA($F1077:$AJ1077))</f>
        <v/>
      </c>
    </row>
    <row r="1078" customFormat="false" ht="15" hidden="false" customHeight="false" outlineLevel="0" collapsed="false">
      <c r="A1078" s="32"/>
      <c r="B1078" s="29"/>
      <c r="C1078" s="10" t="str">
        <f aca="false">IF($B1078="","",IFERROR(INDEX(M_name,MATCH($B1078,M_emp,0)),"Code not found"))</f>
        <v/>
      </c>
      <c r="D1078" s="10" t="str">
        <f aca="false">IF($B1078="","",IFERROR(INDEX(M_dept,MATCH($B1078,M_emp,0)),""))</f>
        <v/>
      </c>
      <c r="E1078" s="10" t="str">
        <f aca="false">IF($B1078="","",IFERROR(INDEX(M_loc,MATCH($B1078,M_emp,0)),""))</f>
        <v/>
      </c>
      <c r="F1078" s="33"/>
      <c r="G1078" s="33"/>
      <c r="H1078" s="33"/>
      <c r="I1078" s="33"/>
      <c r="J1078" s="33"/>
      <c r="K1078" s="33"/>
      <c r="L1078" s="33"/>
      <c r="M1078" s="33"/>
      <c r="N1078" s="33"/>
      <c r="O1078" s="33"/>
      <c r="P1078" s="33"/>
      <c r="Q1078" s="33"/>
      <c r="R1078" s="33"/>
      <c r="S1078" s="33"/>
      <c r="T1078" s="33"/>
      <c r="U1078" s="33"/>
      <c r="V1078" s="33"/>
      <c r="W1078" s="33"/>
      <c r="X1078" s="33"/>
      <c r="Y1078" s="33"/>
      <c r="Z1078" s="33"/>
      <c r="AA1078" s="33"/>
      <c r="AB1078" s="33"/>
      <c r="AC1078" s="33"/>
      <c r="AD1078" s="33"/>
      <c r="AE1078" s="33"/>
      <c r="AF1078" s="33"/>
      <c r="AG1078" s="33"/>
      <c r="AH1078" s="33"/>
      <c r="AI1078" s="33"/>
      <c r="AJ1078" s="33"/>
      <c r="AK1078" s="34" t="str">
        <f aca="false">IF($B1078="","",COUNTIF($F1078:$AJ1078,"P"))</f>
        <v/>
      </c>
      <c r="AL1078" s="34" t="str">
        <f aca="false">IF($B1078="","",COUNTIF($F1078:$AJ1078,"A"))</f>
        <v/>
      </c>
      <c r="AM1078" s="34" t="str">
        <f aca="false">IF($B1078="","",COUNTIF($F1078:$AJ1078,"HA"))</f>
        <v/>
      </c>
      <c r="AN1078" s="34" t="str">
        <f aca="false">IF($B1078="","",COUNTIF($F1078:$AJ1078,"L"))</f>
        <v/>
      </c>
      <c r="AO1078" s="34" t="str">
        <f aca="false">IF($B1078="","",COUNTIF($F1078:$AJ1078,"PL"))</f>
        <v/>
      </c>
      <c r="AP1078" s="34" t="str">
        <f aca="false">IF($B1078="","",COUNTIF($F1078:$AJ1078,"CL"))</f>
        <v/>
      </c>
      <c r="AQ1078" s="34" t="str">
        <f aca="false">IF($B1078="","",COUNTIF($F1078:$AJ1078,"SL"))</f>
        <v/>
      </c>
      <c r="AR1078" s="34" t="str">
        <f aca="false">IF($B1078="","",COUNTIF($F1078:$AJ1078,"CO"))</f>
        <v/>
      </c>
      <c r="AS1078" s="34" t="str">
        <f aca="false">IF($B1078="","",COUNTIF($F1078:$AJ1078,"HPL"))</f>
        <v/>
      </c>
      <c r="AT1078" s="34" t="str">
        <f aca="false">IF($B1078="","",COUNTIF($F1078:$AJ1078,"HCL"))</f>
        <v/>
      </c>
      <c r="AU1078" s="34" t="str">
        <f aca="false">IF($B1078="","",COUNTIF($F1078:$AJ1078,"WO"))</f>
        <v/>
      </c>
      <c r="AV1078" s="34" t="str">
        <f aca="false">IF($B1078="","",COUNTIF($F1078:$AJ1078,"PH"))</f>
        <v/>
      </c>
      <c r="AW1078" s="34" t="str">
        <f aca="false">IF($B1078="","",COUNTIF($F1078:$AJ1078,"TR"))</f>
        <v/>
      </c>
      <c r="AX1078" s="35" t="str">
        <f aca="false">IF($B1078="","",AO1078+AS1078/2)</f>
        <v/>
      </c>
      <c r="AY1078" s="35" t="str">
        <f aca="false">IF($B1078="","",AQ1078)</f>
        <v/>
      </c>
      <c r="AZ1078" s="35" t="str">
        <f aca="false">IF($B1078="","",AP1078+AT1078/2)</f>
        <v/>
      </c>
      <c r="BA1078" s="35" t="str">
        <f aca="false">IF($B1078="","",AK1078+AN1078+AM1078/2+AO1078+AP1078+AQ1078+AR1078+AS1078+AT1078+AU1078+AV1078+AW1078)</f>
        <v/>
      </c>
      <c r="BB1078" s="35" t="str">
        <f aca="false">IF($B1078="","",MAX(0,AN1078-Settings!$C$16)*Settings!$C$17)</f>
        <v/>
      </c>
      <c r="BC1078" s="35" t="str">
        <f aca="false">IF($B1078="","",BA1078-BB1078)</f>
        <v/>
      </c>
      <c r="BD1078" s="35" t="str">
        <f aca="false">IF(OR($B1078="",$A1078=""),"",DAY(EOMONTH($A1078,0))-COUNTA($F1078:$AJ1078))</f>
        <v/>
      </c>
    </row>
    <row r="1079" customFormat="false" ht="15" hidden="false" customHeight="false" outlineLevel="0" collapsed="false">
      <c r="A1079" s="32"/>
      <c r="B1079" s="29"/>
      <c r="C1079" s="10" t="str">
        <f aca="false">IF($B1079="","",IFERROR(INDEX(M_name,MATCH($B1079,M_emp,0)),"Code not found"))</f>
        <v/>
      </c>
      <c r="D1079" s="10" t="str">
        <f aca="false">IF($B1079="","",IFERROR(INDEX(M_dept,MATCH($B1079,M_emp,0)),""))</f>
        <v/>
      </c>
      <c r="E1079" s="10" t="str">
        <f aca="false">IF($B1079="","",IFERROR(INDEX(M_loc,MATCH($B1079,M_emp,0)),""))</f>
        <v/>
      </c>
      <c r="F1079" s="33"/>
      <c r="G1079" s="33"/>
      <c r="H1079" s="33"/>
      <c r="I1079" s="33"/>
      <c r="J1079" s="33"/>
      <c r="K1079" s="33"/>
      <c r="L1079" s="33"/>
      <c r="M1079" s="33"/>
      <c r="N1079" s="33"/>
      <c r="O1079" s="33"/>
      <c r="P1079" s="33"/>
      <c r="Q1079" s="33"/>
      <c r="R1079" s="33"/>
      <c r="S1079" s="33"/>
      <c r="T1079" s="33"/>
      <c r="U1079" s="33"/>
      <c r="V1079" s="33"/>
      <c r="W1079" s="33"/>
      <c r="X1079" s="33"/>
      <c r="Y1079" s="33"/>
      <c r="Z1079" s="33"/>
      <c r="AA1079" s="33"/>
      <c r="AB1079" s="33"/>
      <c r="AC1079" s="33"/>
      <c r="AD1079" s="33"/>
      <c r="AE1079" s="33"/>
      <c r="AF1079" s="33"/>
      <c r="AG1079" s="33"/>
      <c r="AH1079" s="33"/>
      <c r="AI1079" s="33"/>
      <c r="AJ1079" s="33"/>
      <c r="AK1079" s="34" t="str">
        <f aca="false">IF($B1079="","",COUNTIF($F1079:$AJ1079,"P"))</f>
        <v/>
      </c>
      <c r="AL1079" s="34" t="str">
        <f aca="false">IF($B1079="","",COUNTIF($F1079:$AJ1079,"A"))</f>
        <v/>
      </c>
      <c r="AM1079" s="34" t="str">
        <f aca="false">IF($B1079="","",COUNTIF($F1079:$AJ1079,"HA"))</f>
        <v/>
      </c>
      <c r="AN1079" s="34" t="str">
        <f aca="false">IF($B1079="","",COUNTIF($F1079:$AJ1079,"L"))</f>
        <v/>
      </c>
      <c r="AO1079" s="34" t="str">
        <f aca="false">IF($B1079="","",COUNTIF($F1079:$AJ1079,"PL"))</f>
        <v/>
      </c>
      <c r="AP1079" s="34" t="str">
        <f aca="false">IF($B1079="","",COUNTIF($F1079:$AJ1079,"CL"))</f>
        <v/>
      </c>
      <c r="AQ1079" s="34" t="str">
        <f aca="false">IF($B1079="","",COUNTIF($F1079:$AJ1079,"SL"))</f>
        <v/>
      </c>
      <c r="AR1079" s="34" t="str">
        <f aca="false">IF($B1079="","",COUNTIF($F1079:$AJ1079,"CO"))</f>
        <v/>
      </c>
      <c r="AS1079" s="34" t="str">
        <f aca="false">IF($B1079="","",COUNTIF($F1079:$AJ1079,"HPL"))</f>
        <v/>
      </c>
      <c r="AT1079" s="34" t="str">
        <f aca="false">IF($B1079="","",COUNTIF($F1079:$AJ1079,"HCL"))</f>
        <v/>
      </c>
      <c r="AU1079" s="34" t="str">
        <f aca="false">IF($B1079="","",COUNTIF($F1079:$AJ1079,"WO"))</f>
        <v/>
      </c>
      <c r="AV1079" s="34" t="str">
        <f aca="false">IF($B1079="","",COUNTIF($F1079:$AJ1079,"PH"))</f>
        <v/>
      </c>
      <c r="AW1079" s="34" t="str">
        <f aca="false">IF($B1079="","",COUNTIF($F1079:$AJ1079,"TR"))</f>
        <v/>
      </c>
      <c r="AX1079" s="35" t="str">
        <f aca="false">IF($B1079="","",AO1079+AS1079/2)</f>
        <v/>
      </c>
      <c r="AY1079" s="35" t="str">
        <f aca="false">IF($B1079="","",AQ1079)</f>
        <v/>
      </c>
      <c r="AZ1079" s="35" t="str">
        <f aca="false">IF($B1079="","",AP1079+AT1079/2)</f>
        <v/>
      </c>
      <c r="BA1079" s="35" t="str">
        <f aca="false">IF($B1079="","",AK1079+AN1079+AM1079/2+AO1079+AP1079+AQ1079+AR1079+AS1079+AT1079+AU1079+AV1079+AW1079)</f>
        <v/>
      </c>
      <c r="BB1079" s="35" t="str">
        <f aca="false">IF($B1079="","",MAX(0,AN1079-Settings!$C$16)*Settings!$C$17)</f>
        <v/>
      </c>
      <c r="BC1079" s="35" t="str">
        <f aca="false">IF($B1079="","",BA1079-BB1079)</f>
        <v/>
      </c>
      <c r="BD1079" s="35" t="str">
        <f aca="false">IF(OR($B1079="",$A1079=""),"",DAY(EOMONTH($A1079,0))-COUNTA($F1079:$AJ1079))</f>
        <v/>
      </c>
    </row>
    <row r="1080" customFormat="false" ht="15" hidden="false" customHeight="false" outlineLevel="0" collapsed="false">
      <c r="A1080" s="32"/>
      <c r="B1080" s="29"/>
      <c r="C1080" s="10" t="str">
        <f aca="false">IF($B1080="","",IFERROR(INDEX(M_name,MATCH($B1080,M_emp,0)),"Code not found"))</f>
        <v/>
      </c>
      <c r="D1080" s="10" t="str">
        <f aca="false">IF($B1080="","",IFERROR(INDEX(M_dept,MATCH($B1080,M_emp,0)),""))</f>
        <v/>
      </c>
      <c r="E1080" s="10" t="str">
        <f aca="false">IF($B1080="","",IFERROR(INDEX(M_loc,MATCH($B1080,M_emp,0)),""))</f>
        <v/>
      </c>
      <c r="F1080" s="33"/>
      <c r="G1080" s="33"/>
      <c r="H1080" s="33"/>
      <c r="I1080" s="33"/>
      <c r="J1080" s="33"/>
      <c r="K1080" s="33"/>
      <c r="L1080" s="33"/>
      <c r="M1080" s="33"/>
      <c r="N1080" s="33"/>
      <c r="O1080" s="33"/>
      <c r="P1080" s="33"/>
      <c r="Q1080" s="33"/>
      <c r="R1080" s="33"/>
      <c r="S1080" s="33"/>
      <c r="T1080" s="33"/>
      <c r="U1080" s="33"/>
      <c r="V1080" s="33"/>
      <c r="W1080" s="33"/>
      <c r="X1080" s="33"/>
      <c r="Y1080" s="33"/>
      <c r="Z1080" s="33"/>
      <c r="AA1080" s="33"/>
      <c r="AB1080" s="33"/>
      <c r="AC1080" s="33"/>
      <c r="AD1080" s="33"/>
      <c r="AE1080" s="33"/>
      <c r="AF1080" s="33"/>
      <c r="AG1080" s="33"/>
      <c r="AH1080" s="33"/>
      <c r="AI1080" s="33"/>
      <c r="AJ1080" s="33"/>
      <c r="AK1080" s="34" t="str">
        <f aca="false">IF($B1080="","",COUNTIF($F1080:$AJ1080,"P"))</f>
        <v/>
      </c>
      <c r="AL1080" s="34" t="str">
        <f aca="false">IF($B1080="","",COUNTIF($F1080:$AJ1080,"A"))</f>
        <v/>
      </c>
      <c r="AM1080" s="34" t="str">
        <f aca="false">IF($B1080="","",COUNTIF($F1080:$AJ1080,"HA"))</f>
        <v/>
      </c>
      <c r="AN1080" s="34" t="str">
        <f aca="false">IF($B1080="","",COUNTIF($F1080:$AJ1080,"L"))</f>
        <v/>
      </c>
      <c r="AO1080" s="34" t="str">
        <f aca="false">IF($B1080="","",COUNTIF($F1080:$AJ1080,"PL"))</f>
        <v/>
      </c>
      <c r="AP1080" s="34" t="str">
        <f aca="false">IF($B1080="","",COUNTIF($F1080:$AJ1080,"CL"))</f>
        <v/>
      </c>
      <c r="AQ1080" s="34" t="str">
        <f aca="false">IF($B1080="","",COUNTIF($F1080:$AJ1080,"SL"))</f>
        <v/>
      </c>
      <c r="AR1080" s="34" t="str">
        <f aca="false">IF($B1080="","",COUNTIF($F1080:$AJ1080,"CO"))</f>
        <v/>
      </c>
      <c r="AS1080" s="34" t="str">
        <f aca="false">IF($B1080="","",COUNTIF($F1080:$AJ1080,"HPL"))</f>
        <v/>
      </c>
      <c r="AT1080" s="34" t="str">
        <f aca="false">IF($B1080="","",COUNTIF($F1080:$AJ1080,"HCL"))</f>
        <v/>
      </c>
      <c r="AU1080" s="34" t="str">
        <f aca="false">IF($B1080="","",COUNTIF($F1080:$AJ1080,"WO"))</f>
        <v/>
      </c>
      <c r="AV1080" s="34" t="str">
        <f aca="false">IF($B1080="","",COUNTIF($F1080:$AJ1080,"PH"))</f>
        <v/>
      </c>
      <c r="AW1080" s="34" t="str">
        <f aca="false">IF($B1080="","",COUNTIF($F1080:$AJ1080,"TR"))</f>
        <v/>
      </c>
      <c r="AX1080" s="35" t="str">
        <f aca="false">IF($B1080="","",AO1080+AS1080/2)</f>
        <v/>
      </c>
      <c r="AY1080" s="35" t="str">
        <f aca="false">IF($B1080="","",AQ1080)</f>
        <v/>
      </c>
      <c r="AZ1080" s="35" t="str">
        <f aca="false">IF($B1080="","",AP1080+AT1080/2)</f>
        <v/>
      </c>
      <c r="BA1080" s="35" t="str">
        <f aca="false">IF($B1080="","",AK1080+AN1080+AM1080/2+AO1080+AP1080+AQ1080+AR1080+AS1080+AT1080+AU1080+AV1080+AW1080)</f>
        <v/>
      </c>
      <c r="BB1080" s="35" t="str">
        <f aca="false">IF($B1080="","",MAX(0,AN1080-Settings!$C$16)*Settings!$C$17)</f>
        <v/>
      </c>
      <c r="BC1080" s="35" t="str">
        <f aca="false">IF($B1080="","",BA1080-BB1080)</f>
        <v/>
      </c>
      <c r="BD1080" s="35" t="str">
        <f aca="false">IF(OR($B1080="",$A1080=""),"",DAY(EOMONTH($A1080,0))-COUNTA($F1080:$AJ1080))</f>
        <v/>
      </c>
    </row>
    <row r="1081" customFormat="false" ht="15" hidden="false" customHeight="false" outlineLevel="0" collapsed="false">
      <c r="A1081" s="32"/>
      <c r="B1081" s="29"/>
      <c r="C1081" s="10" t="str">
        <f aca="false">IF($B1081="","",IFERROR(INDEX(M_name,MATCH($B1081,M_emp,0)),"Code not found"))</f>
        <v/>
      </c>
      <c r="D1081" s="10" t="str">
        <f aca="false">IF($B1081="","",IFERROR(INDEX(M_dept,MATCH($B1081,M_emp,0)),""))</f>
        <v/>
      </c>
      <c r="E1081" s="10" t="str">
        <f aca="false">IF($B1081="","",IFERROR(INDEX(M_loc,MATCH($B1081,M_emp,0)),""))</f>
        <v/>
      </c>
      <c r="F1081" s="33"/>
      <c r="G1081" s="33"/>
      <c r="H1081" s="33"/>
      <c r="I1081" s="33"/>
      <c r="J1081" s="33"/>
      <c r="K1081" s="33"/>
      <c r="L1081" s="33"/>
      <c r="M1081" s="33"/>
      <c r="N1081" s="33"/>
      <c r="O1081" s="33"/>
      <c r="P1081" s="33"/>
      <c r="Q1081" s="33"/>
      <c r="R1081" s="33"/>
      <c r="S1081" s="33"/>
      <c r="T1081" s="33"/>
      <c r="U1081" s="33"/>
      <c r="V1081" s="33"/>
      <c r="W1081" s="33"/>
      <c r="X1081" s="33"/>
      <c r="Y1081" s="33"/>
      <c r="Z1081" s="33"/>
      <c r="AA1081" s="33"/>
      <c r="AB1081" s="33"/>
      <c r="AC1081" s="33"/>
      <c r="AD1081" s="33"/>
      <c r="AE1081" s="33"/>
      <c r="AF1081" s="33"/>
      <c r="AG1081" s="33"/>
      <c r="AH1081" s="33"/>
      <c r="AI1081" s="33"/>
      <c r="AJ1081" s="33"/>
      <c r="AK1081" s="34" t="str">
        <f aca="false">IF($B1081="","",COUNTIF($F1081:$AJ1081,"P"))</f>
        <v/>
      </c>
      <c r="AL1081" s="34" t="str">
        <f aca="false">IF($B1081="","",COUNTIF($F1081:$AJ1081,"A"))</f>
        <v/>
      </c>
      <c r="AM1081" s="34" t="str">
        <f aca="false">IF($B1081="","",COUNTIF($F1081:$AJ1081,"HA"))</f>
        <v/>
      </c>
      <c r="AN1081" s="34" t="str">
        <f aca="false">IF($B1081="","",COUNTIF($F1081:$AJ1081,"L"))</f>
        <v/>
      </c>
      <c r="AO1081" s="34" t="str">
        <f aca="false">IF($B1081="","",COUNTIF($F1081:$AJ1081,"PL"))</f>
        <v/>
      </c>
      <c r="AP1081" s="34" t="str">
        <f aca="false">IF($B1081="","",COUNTIF($F1081:$AJ1081,"CL"))</f>
        <v/>
      </c>
      <c r="AQ1081" s="34" t="str">
        <f aca="false">IF($B1081="","",COUNTIF($F1081:$AJ1081,"SL"))</f>
        <v/>
      </c>
      <c r="AR1081" s="34" t="str">
        <f aca="false">IF($B1081="","",COUNTIF($F1081:$AJ1081,"CO"))</f>
        <v/>
      </c>
      <c r="AS1081" s="34" t="str">
        <f aca="false">IF($B1081="","",COUNTIF($F1081:$AJ1081,"HPL"))</f>
        <v/>
      </c>
      <c r="AT1081" s="34" t="str">
        <f aca="false">IF($B1081="","",COUNTIF($F1081:$AJ1081,"HCL"))</f>
        <v/>
      </c>
      <c r="AU1081" s="34" t="str">
        <f aca="false">IF($B1081="","",COUNTIF($F1081:$AJ1081,"WO"))</f>
        <v/>
      </c>
      <c r="AV1081" s="34" t="str">
        <f aca="false">IF($B1081="","",COUNTIF($F1081:$AJ1081,"PH"))</f>
        <v/>
      </c>
      <c r="AW1081" s="34" t="str">
        <f aca="false">IF($B1081="","",COUNTIF($F1081:$AJ1081,"TR"))</f>
        <v/>
      </c>
      <c r="AX1081" s="35" t="str">
        <f aca="false">IF($B1081="","",AO1081+AS1081/2)</f>
        <v/>
      </c>
      <c r="AY1081" s="35" t="str">
        <f aca="false">IF($B1081="","",AQ1081)</f>
        <v/>
      </c>
      <c r="AZ1081" s="35" t="str">
        <f aca="false">IF($B1081="","",AP1081+AT1081/2)</f>
        <v/>
      </c>
      <c r="BA1081" s="35" t="str">
        <f aca="false">IF($B1081="","",AK1081+AN1081+AM1081/2+AO1081+AP1081+AQ1081+AR1081+AS1081+AT1081+AU1081+AV1081+AW1081)</f>
        <v/>
      </c>
      <c r="BB1081" s="35" t="str">
        <f aca="false">IF($B1081="","",MAX(0,AN1081-Settings!$C$16)*Settings!$C$17)</f>
        <v/>
      </c>
      <c r="BC1081" s="35" t="str">
        <f aca="false">IF($B1081="","",BA1081-BB1081)</f>
        <v/>
      </c>
      <c r="BD1081" s="35" t="str">
        <f aca="false">IF(OR($B1081="",$A1081=""),"",DAY(EOMONTH($A1081,0))-COUNTA($F1081:$AJ1081))</f>
        <v/>
      </c>
    </row>
    <row r="1082" customFormat="false" ht="15" hidden="false" customHeight="false" outlineLevel="0" collapsed="false">
      <c r="A1082" s="32"/>
      <c r="B1082" s="29"/>
      <c r="C1082" s="10" t="str">
        <f aca="false">IF($B1082="","",IFERROR(INDEX(M_name,MATCH($B1082,M_emp,0)),"Code not found"))</f>
        <v/>
      </c>
      <c r="D1082" s="10" t="str">
        <f aca="false">IF($B1082="","",IFERROR(INDEX(M_dept,MATCH($B1082,M_emp,0)),""))</f>
        <v/>
      </c>
      <c r="E1082" s="10" t="str">
        <f aca="false">IF($B1082="","",IFERROR(INDEX(M_loc,MATCH($B1082,M_emp,0)),""))</f>
        <v/>
      </c>
      <c r="F1082" s="33"/>
      <c r="G1082" s="33"/>
      <c r="H1082" s="33"/>
      <c r="I1082" s="33"/>
      <c r="J1082" s="33"/>
      <c r="K1082" s="33"/>
      <c r="L1082" s="33"/>
      <c r="M1082" s="33"/>
      <c r="N1082" s="33"/>
      <c r="O1082" s="33"/>
      <c r="P1082" s="33"/>
      <c r="Q1082" s="33"/>
      <c r="R1082" s="33"/>
      <c r="S1082" s="33"/>
      <c r="T1082" s="33"/>
      <c r="U1082" s="33"/>
      <c r="V1082" s="33"/>
      <c r="W1082" s="33"/>
      <c r="X1082" s="33"/>
      <c r="Y1082" s="33"/>
      <c r="Z1082" s="33"/>
      <c r="AA1082" s="33"/>
      <c r="AB1082" s="33"/>
      <c r="AC1082" s="33"/>
      <c r="AD1082" s="33"/>
      <c r="AE1082" s="33"/>
      <c r="AF1082" s="33"/>
      <c r="AG1082" s="33"/>
      <c r="AH1082" s="33"/>
      <c r="AI1082" s="33"/>
      <c r="AJ1082" s="33"/>
      <c r="AK1082" s="34" t="str">
        <f aca="false">IF($B1082="","",COUNTIF($F1082:$AJ1082,"P"))</f>
        <v/>
      </c>
      <c r="AL1082" s="34" t="str">
        <f aca="false">IF($B1082="","",COUNTIF($F1082:$AJ1082,"A"))</f>
        <v/>
      </c>
      <c r="AM1082" s="34" t="str">
        <f aca="false">IF($B1082="","",COUNTIF($F1082:$AJ1082,"HA"))</f>
        <v/>
      </c>
      <c r="AN1082" s="34" t="str">
        <f aca="false">IF($B1082="","",COUNTIF($F1082:$AJ1082,"L"))</f>
        <v/>
      </c>
      <c r="AO1082" s="34" t="str">
        <f aca="false">IF($B1082="","",COUNTIF($F1082:$AJ1082,"PL"))</f>
        <v/>
      </c>
      <c r="AP1082" s="34" t="str">
        <f aca="false">IF($B1082="","",COUNTIF($F1082:$AJ1082,"CL"))</f>
        <v/>
      </c>
      <c r="AQ1082" s="34" t="str">
        <f aca="false">IF($B1082="","",COUNTIF($F1082:$AJ1082,"SL"))</f>
        <v/>
      </c>
      <c r="AR1082" s="34" t="str">
        <f aca="false">IF($B1082="","",COUNTIF($F1082:$AJ1082,"CO"))</f>
        <v/>
      </c>
      <c r="AS1082" s="34" t="str">
        <f aca="false">IF($B1082="","",COUNTIF($F1082:$AJ1082,"HPL"))</f>
        <v/>
      </c>
      <c r="AT1082" s="34" t="str">
        <f aca="false">IF($B1082="","",COUNTIF($F1082:$AJ1082,"HCL"))</f>
        <v/>
      </c>
      <c r="AU1082" s="34" t="str">
        <f aca="false">IF($B1082="","",COUNTIF($F1082:$AJ1082,"WO"))</f>
        <v/>
      </c>
      <c r="AV1082" s="34" t="str">
        <f aca="false">IF($B1082="","",COUNTIF($F1082:$AJ1082,"PH"))</f>
        <v/>
      </c>
      <c r="AW1082" s="34" t="str">
        <f aca="false">IF($B1082="","",COUNTIF($F1082:$AJ1082,"TR"))</f>
        <v/>
      </c>
      <c r="AX1082" s="35" t="str">
        <f aca="false">IF($B1082="","",AO1082+AS1082/2)</f>
        <v/>
      </c>
      <c r="AY1082" s="35" t="str">
        <f aca="false">IF($B1082="","",AQ1082)</f>
        <v/>
      </c>
      <c r="AZ1082" s="35" t="str">
        <f aca="false">IF($B1082="","",AP1082+AT1082/2)</f>
        <v/>
      </c>
      <c r="BA1082" s="35" t="str">
        <f aca="false">IF($B1082="","",AK1082+AN1082+AM1082/2+AO1082+AP1082+AQ1082+AR1082+AS1082+AT1082+AU1082+AV1082+AW1082)</f>
        <v/>
      </c>
      <c r="BB1082" s="35" t="str">
        <f aca="false">IF($B1082="","",MAX(0,AN1082-Settings!$C$16)*Settings!$C$17)</f>
        <v/>
      </c>
      <c r="BC1082" s="35" t="str">
        <f aca="false">IF($B1082="","",BA1082-BB1082)</f>
        <v/>
      </c>
      <c r="BD1082" s="35" t="str">
        <f aca="false">IF(OR($B1082="",$A1082=""),"",DAY(EOMONTH($A1082,0))-COUNTA($F1082:$AJ1082))</f>
        <v/>
      </c>
    </row>
    <row r="1083" customFormat="false" ht="15" hidden="false" customHeight="false" outlineLevel="0" collapsed="false">
      <c r="A1083" s="32"/>
      <c r="B1083" s="29"/>
      <c r="C1083" s="10" t="str">
        <f aca="false">IF($B1083="","",IFERROR(INDEX(M_name,MATCH($B1083,M_emp,0)),"Code not found"))</f>
        <v/>
      </c>
      <c r="D1083" s="10" t="str">
        <f aca="false">IF($B1083="","",IFERROR(INDEX(M_dept,MATCH($B1083,M_emp,0)),""))</f>
        <v/>
      </c>
      <c r="E1083" s="10" t="str">
        <f aca="false">IF($B1083="","",IFERROR(INDEX(M_loc,MATCH($B1083,M_emp,0)),""))</f>
        <v/>
      </c>
      <c r="F1083" s="33"/>
      <c r="G1083" s="33"/>
      <c r="H1083" s="33"/>
      <c r="I1083" s="33"/>
      <c r="J1083" s="33"/>
      <c r="K1083" s="33"/>
      <c r="L1083" s="33"/>
      <c r="M1083" s="33"/>
      <c r="N1083" s="33"/>
      <c r="O1083" s="33"/>
      <c r="P1083" s="33"/>
      <c r="Q1083" s="33"/>
      <c r="R1083" s="33"/>
      <c r="S1083" s="33"/>
      <c r="T1083" s="33"/>
      <c r="U1083" s="33"/>
      <c r="V1083" s="33"/>
      <c r="W1083" s="33"/>
      <c r="X1083" s="33"/>
      <c r="Y1083" s="33"/>
      <c r="Z1083" s="33"/>
      <c r="AA1083" s="33"/>
      <c r="AB1083" s="33"/>
      <c r="AC1083" s="33"/>
      <c r="AD1083" s="33"/>
      <c r="AE1083" s="33"/>
      <c r="AF1083" s="33"/>
      <c r="AG1083" s="33"/>
      <c r="AH1083" s="33"/>
      <c r="AI1083" s="33"/>
      <c r="AJ1083" s="33"/>
      <c r="AK1083" s="34" t="str">
        <f aca="false">IF($B1083="","",COUNTIF($F1083:$AJ1083,"P"))</f>
        <v/>
      </c>
      <c r="AL1083" s="34" t="str">
        <f aca="false">IF($B1083="","",COUNTIF($F1083:$AJ1083,"A"))</f>
        <v/>
      </c>
      <c r="AM1083" s="34" t="str">
        <f aca="false">IF($B1083="","",COUNTIF($F1083:$AJ1083,"HA"))</f>
        <v/>
      </c>
      <c r="AN1083" s="34" t="str">
        <f aca="false">IF($B1083="","",COUNTIF($F1083:$AJ1083,"L"))</f>
        <v/>
      </c>
      <c r="AO1083" s="34" t="str">
        <f aca="false">IF($B1083="","",COUNTIF($F1083:$AJ1083,"PL"))</f>
        <v/>
      </c>
      <c r="AP1083" s="34" t="str">
        <f aca="false">IF($B1083="","",COUNTIF($F1083:$AJ1083,"CL"))</f>
        <v/>
      </c>
      <c r="AQ1083" s="34" t="str">
        <f aca="false">IF($B1083="","",COUNTIF($F1083:$AJ1083,"SL"))</f>
        <v/>
      </c>
      <c r="AR1083" s="34" t="str">
        <f aca="false">IF($B1083="","",COUNTIF($F1083:$AJ1083,"CO"))</f>
        <v/>
      </c>
      <c r="AS1083" s="34" t="str">
        <f aca="false">IF($B1083="","",COUNTIF($F1083:$AJ1083,"HPL"))</f>
        <v/>
      </c>
      <c r="AT1083" s="34" t="str">
        <f aca="false">IF($B1083="","",COUNTIF($F1083:$AJ1083,"HCL"))</f>
        <v/>
      </c>
      <c r="AU1083" s="34" t="str">
        <f aca="false">IF($B1083="","",COUNTIF($F1083:$AJ1083,"WO"))</f>
        <v/>
      </c>
      <c r="AV1083" s="34" t="str">
        <f aca="false">IF($B1083="","",COUNTIF($F1083:$AJ1083,"PH"))</f>
        <v/>
      </c>
      <c r="AW1083" s="34" t="str">
        <f aca="false">IF($B1083="","",COUNTIF($F1083:$AJ1083,"TR"))</f>
        <v/>
      </c>
      <c r="AX1083" s="35" t="str">
        <f aca="false">IF($B1083="","",AO1083+AS1083/2)</f>
        <v/>
      </c>
      <c r="AY1083" s="35" t="str">
        <f aca="false">IF($B1083="","",AQ1083)</f>
        <v/>
      </c>
      <c r="AZ1083" s="35" t="str">
        <f aca="false">IF($B1083="","",AP1083+AT1083/2)</f>
        <v/>
      </c>
      <c r="BA1083" s="35" t="str">
        <f aca="false">IF($B1083="","",AK1083+AN1083+AM1083/2+AO1083+AP1083+AQ1083+AR1083+AS1083+AT1083+AU1083+AV1083+AW1083)</f>
        <v/>
      </c>
      <c r="BB1083" s="35" t="str">
        <f aca="false">IF($B1083="","",MAX(0,AN1083-Settings!$C$16)*Settings!$C$17)</f>
        <v/>
      </c>
      <c r="BC1083" s="35" t="str">
        <f aca="false">IF($B1083="","",BA1083-BB1083)</f>
        <v/>
      </c>
      <c r="BD1083" s="35" t="str">
        <f aca="false">IF(OR($B1083="",$A1083=""),"",DAY(EOMONTH($A1083,0))-COUNTA($F1083:$AJ1083))</f>
        <v/>
      </c>
    </row>
    <row r="1084" customFormat="false" ht="15" hidden="false" customHeight="false" outlineLevel="0" collapsed="false">
      <c r="A1084" s="32"/>
      <c r="B1084" s="29"/>
      <c r="C1084" s="10" t="str">
        <f aca="false">IF($B1084="","",IFERROR(INDEX(M_name,MATCH($B1084,M_emp,0)),"Code not found"))</f>
        <v/>
      </c>
      <c r="D1084" s="10" t="str">
        <f aca="false">IF($B1084="","",IFERROR(INDEX(M_dept,MATCH($B1084,M_emp,0)),""))</f>
        <v/>
      </c>
      <c r="E1084" s="10" t="str">
        <f aca="false">IF($B1084="","",IFERROR(INDEX(M_loc,MATCH($B1084,M_emp,0)),""))</f>
        <v/>
      </c>
      <c r="F1084" s="33"/>
      <c r="G1084" s="33"/>
      <c r="H1084" s="33"/>
      <c r="I1084" s="33"/>
      <c r="J1084" s="33"/>
      <c r="K1084" s="33"/>
      <c r="L1084" s="33"/>
      <c r="M1084" s="33"/>
      <c r="N1084" s="33"/>
      <c r="O1084" s="33"/>
      <c r="P1084" s="33"/>
      <c r="Q1084" s="33"/>
      <c r="R1084" s="33"/>
      <c r="S1084" s="33"/>
      <c r="T1084" s="33"/>
      <c r="U1084" s="33"/>
      <c r="V1084" s="33"/>
      <c r="W1084" s="33"/>
      <c r="X1084" s="33"/>
      <c r="Y1084" s="33"/>
      <c r="Z1084" s="33"/>
      <c r="AA1084" s="33"/>
      <c r="AB1084" s="33"/>
      <c r="AC1084" s="33"/>
      <c r="AD1084" s="33"/>
      <c r="AE1084" s="33"/>
      <c r="AF1084" s="33"/>
      <c r="AG1084" s="33"/>
      <c r="AH1084" s="33"/>
      <c r="AI1084" s="33"/>
      <c r="AJ1084" s="33"/>
      <c r="AK1084" s="34" t="str">
        <f aca="false">IF($B1084="","",COUNTIF($F1084:$AJ1084,"P"))</f>
        <v/>
      </c>
      <c r="AL1084" s="34" t="str">
        <f aca="false">IF($B1084="","",COUNTIF($F1084:$AJ1084,"A"))</f>
        <v/>
      </c>
      <c r="AM1084" s="34" t="str">
        <f aca="false">IF($B1084="","",COUNTIF($F1084:$AJ1084,"HA"))</f>
        <v/>
      </c>
      <c r="AN1084" s="34" t="str">
        <f aca="false">IF($B1084="","",COUNTIF($F1084:$AJ1084,"L"))</f>
        <v/>
      </c>
      <c r="AO1084" s="34" t="str">
        <f aca="false">IF($B1084="","",COUNTIF($F1084:$AJ1084,"PL"))</f>
        <v/>
      </c>
      <c r="AP1084" s="34" t="str">
        <f aca="false">IF($B1084="","",COUNTIF($F1084:$AJ1084,"CL"))</f>
        <v/>
      </c>
      <c r="AQ1084" s="34" t="str">
        <f aca="false">IF($B1084="","",COUNTIF($F1084:$AJ1084,"SL"))</f>
        <v/>
      </c>
      <c r="AR1084" s="34" t="str">
        <f aca="false">IF($B1084="","",COUNTIF($F1084:$AJ1084,"CO"))</f>
        <v/>
      </c>
      <c r="AS1084" s="34" t="str">
        <f aca="false">IF($B1084="","",COUNTIF($F1084:$AJ1084,"HPL"))</f>
        <v/>
      </c>
      <c r="AT1084" s="34" t="str">
        <f aca="false">IF($B1084="","",COUNTIF($F1084:$AJ1084,"HCL"))</f>
        <v/>
      </c>
      <c r="AU1084" s="34" t="str">
        <f aca="false">IF($B1084="","",COUNTIF($F1084:$AJ1084,"WO"))</f>
        <v/>
      </c>
      <c r="AV1084" s="34" t="str">
        <f aca="false">IF($B1084="","",COUNTIF($F1084:$AJ1084,"PH"))</f>
        <v/>
      </c>
      <c r="AW1084" s="34" t="str">
        <f aca="false">IF($B1084="","",COUNTIF($F1084:$AJ1084,"TR"))</f>
        <v/>
      </c>
      <c r="AX1084" s="35" t="str">
        <f aca="false">IF($B1084="","",AO1084+AS1084/2)</f>
        <v/>
      </c>
      <c r="AY1084" s="35" t="str">
        <f aca="false">IF($B1084="","",AQ1084)</f>
        <v/>
      </c>
      <c r="AZ1084" s="35" t="str">
        <f aca="false">IF($B1084="","",AP1084+AT1084/2)</f>
        <v/>
      </c>
      <c r="BA1084" s="35" t="str">
        <f aca="false">IF($B1084="","",AK1084+AN1084+AM1084/2+AO1084+AP1084+AQ1084+AR1084+AS1084+AT1084+AU1084+AV1084+AW1084)</f>
        <v/>
      </c>
      <c r="BB1084" s="35" t="str">
        <f aca="false">IF($B1084="","",MAX(0,AN1084-Settings!$C$16)*Settings!$C$17)</f>
        <v/>
      </c>
      <c r="BC1084" s="35" t="str">
        <f aca="false">IF($B1084="","",BA1084-BB1084)</f>
        <v/>
      </c>
      <c r="BD1084" s="35" t="str">
        <f aca="false">IF(OR($B1084="",$A1084=""),"",DAY(EOMONTH($A1084,0))-COUNTA($F1084:$AJ1084))</f>
        <v/>
      </c>
    </row>
    <row r="1085" customFormat="false" ht="15" hidden="false" customHeight="false" outlineLevel="0" collapsed="false">
      <c r="A1085" s="32"/>
      <c r="B1085" s="29"/>
      <c r="C1085" s="10" t="str">
        <f aca="false">IF($B1085="","",IFERROR(INDEX(M_name,MATCH($B1085,M_emp,0)),"Code not found"))</f>
        <v/>
      </c>
      <c r="D1085" s="10" t="str">
        <f aca="false">IF($B1085="","",IFERROR(INDEX(M_dept,MATCH($B1085,M_emp,0)),""))</f>
        <v/>
      </c>
      <c r="E1085" s="10" t="str">
        <f aca="false">IF($B1085="","",IFERROR(INDEX(M_loc,MATCH($B1085,M_emp,0)),""))</f>
        <v/>
      </c>
      <c r="F1085" s="33"/>
      <c r="G1085" s="33"/>
      <c r="H1085" s="33"/>
      <c r="I1085" s="33"/>
      <c r="J1085" s="33"/>
      <c r="K1085" s="33"/>
      <c r="L1085" s="33"/>
      <c r="M1085" s="33"/>
      <c r="N1085" s="33"/>
      <c r="O1085" s="33"/>
      <c r="P1085" s="33"/>
      <c r="Q1085" s="33"/>
      <c r="R1085" s="33"/>
      <c r="S1085" s="33"/>
      <c r="T1085" s="33"/>
      <c r="U1085" s="33"/>
      <c r="V1085" s="33"/>
      <c r="W1085" s="33"/>
      <c r="X1085" s="33"/>
      <c r="Y1085" s="33"/>
      <c r="Z1085" s="33"/>
      <c r="AA1085" s="33"/>
      <c r="AB1085" s="33"/>
      <c r="AC1085" s="33"/>
      <c r="AD1085" s="33"/>
      <c r="AE1085" s="33"/>
      <c r="AF1085" s="33"/>
      <c r="AG1085" s="33"/>
      <c r="AH1085" s="33"/>
      <c r="AI1085" s="33"/>
      <c r="AJ1085" s="33"/>
      <c r="AK1085" s="34" t="str">
        <f aca="false">IF($B1085="","",COUNTIF($F1085:$AJ1085,"P"))</f>
        <v/>
      </c>
      <c r="AL1085" s="34" t="str">
        <f aca="false">IF($B1085="","",COUNTIF($F1085:$AJ1085,"A"))</f>
        <v/>
      </c>
      <c r="AM1085" s="34" t="str">
        <f aca="false">IF($B1085="","",COUNTIF($F1085:$AJ1085,"HA"))</f>
        <v/>
      </c>
      <c r="AN1085" s="34" t="str">
        <f aca="false">IF($B1085="","",COUNTIF($F1085:$AJ1085,"L"))</f>
        <v/>
      </c>
      <c r="AO1085" s="34" t="str">
        <f aca="false">IF($B1085="","",COUNTIF($F1085:$AJ1085,"PL"))</f>
        <v/>
      </c>
      <c r="AP1085" s="34" t="str">
        <f aca="false">IF($B1085="","",COUNTIF($F1085:$AJ1085,"CL"))</f>
        <v/>
      </c>
      <c r="AQ1085" s="34" t="str">
        <f aca="false">IF($B1085="","",COUNTIF($F1085:$AJ1085,"SL"))</f>
        <v/>
      </c>
      <c r="AR1085" s="34" t="str">
        <f aca="false">IF($B1085="","",COUNTIF($F1085:$AJ1085,"CO"))</f>
        <v/>
      </c>
      <c r="AS1085" s="34" t="str">
        <f aca="false">IF($B1085="","",COUNTIF($F1085:$AJ1085,"HPL"))</f>
        <v/>
      </c>
      <c r="AT1085" s="34" t="str">
        <f aca="false">IF($B1085="","",COUNTIF($F1085:$AJ1085,"HCL"))</f>
        <v/>
      </c>
      <c r="AU1085" s="34" t="str">
        <f aca="false">IF($B1085="","",COUNTIF($F1085:$AJ1085,"WO"))</f>
        <v/>
      </c>
      <c r="AV1085" s="34" t="str">
        <f aca="false">IF($B1085="","",COUNTIF($F1085:$AJ1085,"PH"))</f>
        <v/>
      </c>
      <c r="AW1085" s="34" t="str">
        <f aca="false">IF($B1085="","",COUNTIF($F1085:$AJ1085,"TR"))</f>
        <v/>
      </c>
      <c r="AX1085" s="35" t="str">
        <f aca="false">IF($B1085="","",AO1085+AS1085/2)</f>
        <v/>
      </c>
      <c r="AY1085" s="35" t="str">
        <f aca="false">IF($B1085="","",AQ1085)</f>
        <v/>
      </c>
      <c r="AZ1085" s="35" t="str">
        <f aca="false">IF($B1085="","",AP1085+AT1085/2)</f>
        <v/>
      </c>
      <c r="BA1085" s="35" t="str">
        <f aca="false">IF($B1085="","",AK1085+AN1085+AM1085/2+AO1085+AP1085+AQ1085+AR1085+AS1085+AT1085+AU1085+AV1085+AW1085)</f>
        <v/>
      </c>
      <c r="BB1085" s="35" t="str">
        <f aca="false">IF($B1085="","",MAX(0,AN1085-Settings!$C$16)*Settings!$C$17)</f>
        <v/>
      </c>
      <c r="BC1085" s="35" t="str">
        <f aca="false">IF($B1085="","",BA1085-BB1085)</f>
        <v/>
      </c>
      <c r="BD1085" s="35" t="str">
        <f aca="false">IF(OR($B1085="",$A1085=""),"",DAY(EOMONTH($A1085,0))-COUNTA($F1085:$AJ1085))</f>
        <v/>
      </c>
    </row>
    <row r="1086" customFormat="false" ht="15" hidden="false" customHeight="false" outlineLevel="0" collapsed="false">
      <c r="A1086" s="32"/>
      <c r="B1086" s="29"/>
      <c r="C1086" s="10" t="str">
        <f aca="false">IF($B1086="","",IFERROR(INDEX(M_name,MATCH($B1086,M_emp,0)),"Code not found"))</f>
        <v/>
      </c>
      <c r="D1086" s="10" t="str">
        <f aca="false">IF($B1086="","",IFERROR(INDEX(M_dept,MATCH($B1086,M_emp,0)),""))</f>
        <v/>
      </c>
      <c r="E1086" s="10" t="str">
        <f aca="false">IF($B1086="","",IFERROR(INDEX(M_loc,MATCH($B1086,M_emp,0)),""))</f>
        <v/>
      </c>
      <c r="F1086" s="33"/>
      <c r="G1086" s="33"/>
      <c r="H1086" s="33"/>
      <c r="I1086" s="33"/>
      <c r="J1086" s="33"/>
      <c r="K1086" s="33"/>
      <c r="L1086" s="33"/>
      <c r="M1086" s="33"/>
      <c r="N1086" s="33"/>
      <c r="O1086" s="33"/>
      <c r="P1086" s="33"/>
      <c r="Q1086" s="33"/>
      <c r="R1086" s="33"/>
      <c r="S1086" s="33"/>
      <c r="T1086" s="33"/>
      <c r="U1086" s="33"/>
      <c r="V1086" s="33"/>
      <c r="W1086" s="33"/>
      <c r="X1086" s="33"/>
      <c r="Y1086" s="33"/>
      <c r="Z1086" s="33"/>
      <c r="AA1086" s="33"/>
      <c r="AB1086" s="33"/>
      <c r="AC1086" s="33"/>
      <c r="AD1086" s="33"/>
      <c r="AE1086" s="33"/>
      <c r="AF1086" s="33"/>
      <c r="AG1086" s="33"/>
      <c r="AH1086" s="33"/>
      <c r="AI1086" s="33"/>
      <c r="AJ1086" s="33"/>
      <c r="AK1086" s="34" t="str">
        <f aca="false">IF($B1086="","",COUNTIF($F1086:$AJ1086,"P"))</f>
        <v/>
      </c>
      <c r="AL1086" s="34" t="str">
        <f aca="false">IF($B1086="","",COUNTIF($F1086:$AJ1086,"A"))</f>
        <v/>
      </c>
      <c r="AM1086" s="34" t="str">
        <f aca="false">IF($B1086="","",COUNTIF($F1086:$AJ1086,"HA"))</f>
        <v/>
      </c>
      <c r="AN1086" s="34" t="str">
        <f aca="false">IF($B1086="","",COUNTIF($F1086:$AJ1086,"L"))</f>
        <v/>
      </c>
      <c r="AO1086" s="34" t="str">
        <f aca="false">IF($B1086="","",COUNTIF($F1086:$AJ1086,"PL"))</f>
        <v/>
      </c>
      <c r="AP1086" s="34" t="str">
        <f aca="false">IF($B1086="","",COUNTIF($F1086:$AJ1086,"CL"))</f>
        <v/>
      </c>
      <c r="AQ1086" s="34" t="str">
        <f aca="false">IF($B1086="","",COUNTIF($F1086:$AJ1086,"SL"))</f>
        <v/>
      </c>
      <c r="AR1086" s="34" t="str">
        <f aca="false">IF($B1086="","",COUNTIF($F1086:$AJ1086,"CO"))</f>
        <v/>
      </c>
      <c r="AS1086" s="34" t="str">
        <f aca="false">IF($B1086="","",COUNTIF($F1086:$AJ1086,"HPL"))</f>
        <v/>
      </c>
      <c r="AT1086" s="34" t="str">
        <f aca="false">IF($B1086="","",COUNTIF($F1086:$AJ1086,"HCL"))</f>
        <v/>
      </c>
      <c r="AU1086" s="34" t="str">
        <f aca="false">IF($B1086="","",COUNTIF($F1086:$AJ1086,"WO"))</f>
        <v/>
      </c>
      <c r="AV1086" s="34" t="str">
        <f aca="false">IF($B1086="","",COUNTIF($F1086:$AJ1086,"PH"))</f>
        <v/>
      </c>
      <c r="AW1086" s="34" t="str">
        <f aca="false">IF($B1086="","",COUNTIF($F1086:$AJ1086,"TR"))</f>
        <v/>
      </c>
      <c r="AX1086" s="35" t="str">
        <f aca="false">IF($B1086="","",AO1086+AS1086/2)</f>
        <v/>
      </c>
      <c r="AY1086" s="35" t="str">
        <f aca="false">IF($B1086="","",AQ1086)</f>
        <v/>
      </c>
      <c r="AZ1086" s="35" t="str">
        <f aca="false">IF($B1086="","",AP1086+AT1086/2)</f>
        <v/>
      </c>
      <c r="BA1086" s="35" t="str">
        <f aca="false">IF($B1086="","",AK1086+AN1086+AM1086/2+AO1086+AP1086+AQ1086+AR1086+AS1086+AT1086+AU1086+AV1086+AW1086)</f>
        <v/>
      </c>
      <c r="BB1086" s="35" t="str">
        <f aca="false">IF($B1086="","",MAX(0,AN1086-Settings!$C$16)*Settings!$C$17)</f>
        <v/>
      </c>
      <c r="BC1086" s="35" t="str">
        <f aca="false">IF($B1086="","",BA1086-BB1086)</f>
        <v/>
      </c>
      <c r="BD1086" s="35" t="str">
        <f aca="false">IF(OR($B1086="",$A1086=""),"",DAY(EOMONTH($A1086,0))-COUNTA($F1086:$AJ1086))</f>
        <v/>
      </c>
    </row>
    <row r="1087" customFormat="false" ht="15" hidden="false" customHeight="false" outlineLevel="0" collapsed="false">
      <c r="A1087" s="32"/>
      <c r="B1087" s="29"/>
      <c r="C1087" s="10" t="str">
        <f aca="false">IF($B1087="","",IFERROR(INDEX(M_name,MATCH($B1087,M_emp,0)),"Code not found"))</f>
        <v/>
      </c>
      <c r="D1087" s="10" t="str">
        <f aca="false">IF($B1087="","",IFERROR(INDEX(M_dept,MATCH($B1087,M_emp,0)),""))</f>
        <v/>
      </c>
      <c r="E1087" s="10" t="str">
        <f aca="false">IF($B1087="","",IFERROR(INDEX(M_loc,MATCH($B1087,M_emp,0)),""))</f>
        <v/>
      </c>
      <c r="F1087" s="33"/>
      <c r="G1087" s="33"/>
      <c r="H1087" s="33"/>
      <c r="I1087" s="33"/>
      <c r="J1087" s="33"/>
      <c r="K1087" s="33"/>
      <c r="L1087" s="33"/>
      <c r="M1087" s="33"/>
      <c r="N1087" s="33"/>
      <c r="O1087" s="33"/>
      <c r="P1087" s="33"/>
      <c r="Q1087" s="33"/>
      <c r="R1087" s="33"/>
      <c r="S1087" s="33"/>
      <c r="T1087" s="33"/>
      <c r="U1087" s="33"/>
      <c r="V1087" s="33"/>
      <c r="W1087" s="33"/>
      <c r="X1087" s="33"/>
      <c r="Y1087" s="33"/>
      <c r="Z1087" s="33"/>
      <c r="AA1087" s="33"/>
      <c r="AB1087" s="33"/>
      <c r="AC1087" s="33"/>
      <c r="AD1087" s="33"/>
      <c r="AE1087" s="33"/>
      <c r="AF1087" s="33"/>
      <c r="AG1087" s="33"/>
      <c r="AH1087" s="33"/>
      <c r="AI1087" s="33"/>
      <c r="AJ1087" s="33"/>
      <c r="AK1087" s="34" t="str">
        <f aca="false">IF($B1087="","",COUNTIF($F1087:$AJ1087,"P"))</f>
        <v/>
      </c>
      <c r="AL1087" s="34" t="str">
        <f aca="false">IF($B1087="","",COUNTIF($F1087:$AJ1087,"A"))</f>
        <v/>
      </c>
      <c r="AM1087" s="34" t="str">
        <f aca="false">IF($B1087="","",COUNTIF($F1087:$AJ1087,"HA"))</f>
        <v/>
      </c>
      <c r="AN1087" s="34" t="str">
        <f aca="false">IF($B1087="","",COUNTIF($F1087:$AJ1087,"L"))</f>
        <v/>
      </c>
      <c r="AO1087" s="34" t="str">
        <f aca="false">IF($B1087="","",COUNTIF($F1087:$AJ1087,"PL"))</f>
        <v/>
      </c>
      <c r="AP1087" s="34" t="str">
        <f aca="false">IF($B1087="","",COUNTIF($F1087:$AJ1087,"CL"))</f>
        <v/>
      </c>
      <c r="AQ1087" s="34" t="str">
        <f aca="false">IF($B1087="","",COUNTIF($F1087:$AJ1087,"SL"))</f>
        <v/>
      </c>
      <c r="AR1087" s="34" t="str">
        <f aca="false">IF($B1087="","",COUNTIF($F1087:$AJ1087,"CO"))</f>
        <v/>
      </c>
      <c r="AS1087" s="34" t="str">
        <f aca="false">IF($B1087="","",COUNTIF($F1087:$AJ1087,"HPL"))</f>
        <v/>
      </c>
      <c r="AT1087" s="34" t="str">
        <f aca="false">IF($B1087="","",COUNTIF($F1087:$AJ1087,"HCL"))</f>
        <v/>
      </c>
      <c r="AU1087" s="34" t="str">
        <f aca="false">IF($B1087="","",COUNTIF($F1087:$AJ1087,"WO"))</f>
        <v/>
      </c>
      <c r="AV1087" s="34" t="str">
        <f aca="false">IF($B1087="","",COUNTIF($F1087:$AJ1087,"PH"))</f>
        <v/>
      </c>
      <c r="AW1087" s="34" t="str">
        <f aca="false">IF($B1087="","",COUNTIF($F1087:$AJ1087,"TR"))</f>
        <v/>
      </c>
      <c r="AX1087" s="35" t="str">
        <f aca="false">IF($B1087="","",AO1087+AS1087/2)</f>
        <v/>
      </c>
      <c r="AY1087" s="35" t="str">
        <f aca="false">IF($B1087="","",AQ1087)</f>
        <v/>
      </c>
      <c r="AZ1087" s="35" t="str">
        <f aca="false">IF($B1087="","",AP1087+AT1087/2)</f>
        <v/>
      </c>
      <c r="BA1087" s="35" t="str">
        <f aca="false">IF($B1087="","",AK1087+AN1087+AM1087/2+AO1087+AP1087+AQ1087+AR1087+AS1087+AT1087+AU1087+AV1087+AW1087)</f>
        <v/>
      </c>
      <c r="BB1087" s="35" t="str">
        <f aca="false">IF($B1087="","",MAX(0,AN1087-Settings!$C$16)*Settings!$C$17)</f>
        <v/>
      </c>
      <c r="BC1087" s="35" t="str">
        <f aca="false">IF($B1087="","",BA1087-BB1087)</f>
        <v/>
      </c>
      <c r="BD1087" s="35" t="str">
        <f aca="false">IF(OR($B1087="",$A1087=""),"",DAY(EOMONTH($A1087,0))-COUNTA($F1087:$AJ1087))</f>
        <v/>
      </c>
    </row>
    <row r="1088" customFormat="false" ht="15" hidden="false" customHeight="false" outlineLevel="0" collapsed="false">
      <c r="A1088" s="32"/>
      <c r="B1088" s="29"/>
      <c r="C1088" s="10" t="str">
        <f aca="false">IF($B1088="","",IFERROR(INDEX(M_name,MATCH($B1088,M_emp,0)),"Code not found"))</f>
        <v/>
      </c>
      <c r="D1088" s="10" t="str">
        <f aca="false">IF($B1088="","",IFERROR(INDEX(M_dept,MATCH($B1088,M_emp,0)),""))</f>
        <v/>
      </c>
      <c r="E1088" s="10" t="str">
        <f aca="false">IF($B1088="","",IFERROR(INDEX(M_loc,MATCH($B1088,M_emp,0)),""))</f>
        <v/>
      </c>
      <c r="F1088" s="33"/>
      <c r="G1088" s="33"/>
      <c r="H1088" s="33"/>
      <c r="I1088" s="33"/>
      <c r="J1088" s="33"/>
      <c r="K1088" s="33"/>
      <c r="L1088" s="33"/>
      <c r="M1088" s="33"/>
      <c r="N1088" s="33"/>
      <c r="O1088" s="33"/>
      <c r="P1088" s="33"/>
      <c r="Q1088" s="33"/>
      <c r="R1088" s="33"/>
      <c r="S1088" s="33"/>
      <c r="T1088" s="33"/>
      <c r="U1088" s="33"/>
      <c r="V1088" s="33"/>
      <c r="W1088" s="33"/>
      <c r="X1088" s="33"/>
      <c r="Y1088" s="33"/>
      <c r="Z1088" s="33"/>
      <c r="AA1088" s="33"/>
      <c r="AB1088" s="33"/>
      <c r="AC1088" s="33"/>
      <c r="AD1088" s="33"/>
      <c r="AE1088" s="33"/>
      <c r="AF1088" s="33"/>
      <c r="AG1088" s="33"/>
      <c r="AH1088" s="33"/>
      <c r="AI1088" s="33"/>
      <c r="AJ1088" s="33"/>
      <c r="AK1088" s="34" t="str">
        <f aca="false">IF($B1088="","",COUNTIF($F1088:$AJ1088,"P"))</f>
        <v/>
      </c>
      <c r="AL1088" s="34" t="str">
        <f aca="false">IF($B1088="","",COUNTIF($F1088:$AJ1088,"A"))</f>
        <v/>
      </c>
      <c r="AM1088" s="34" t="str">
        <f aca="false">IF($B1088="","",COUNTIF($F1088:$AJ1088,"HA"))</f>
        <v/>
      </c>
      <c r="AN1088" s="34" t="str">
        <f aca="false">IF($B1088="","",COUNTIF($F1088:$AJ1088,"L"))</f>
        <v/>
      </c>
      <c r="AO1088" s="34" t="str">
        <f aca="false">IF($B1088="","",COUNTIF($F1088:$AJ1088,"PL"))</f>
        <v/>
      </c>
      <c r="AP1088" s="34" t="str">
        <f aca="false">IF($B1088="","",COUNTIF($F1088:$AJ1088,"CL"))</f>
        <v/>
      </c>
      <c r="AQ1088" s="34" t="str">
        <f aca="false">IF($B1088="","",COUNTIF($F1088:$AJ1088,"SL"))</f>
        <v/>
      </c>
      <c r="AR1088" s="34" t="str">
        <f aca="false">IF($B1088="","",COUNTIF($F1088:$AJ1088,"CO"))</f>
        <v/>
      </c>
      <c r="AS1088" s="34" t="str">
        <f aca="false">IF($B1088="","",COUNTIF($F1088:$AJ1088,"HPL"))</f>
        <v/>
      </c>
      <c r="AT1088" s="34" t="str">
        <f aca="false">IF($B1088="","",COUNTIF($F1088:$AJ1088,"HCL"))</f>
        <v/>
      </c>
      <c r="AU1088" s="34" t="str">
        <f aca="false">IF($B1088="","",COUNTIF($F1088:$AJ1088,"WO"))</f>
        <v/>
      </c>
      <c r="AV1088" s="34" t="str">
        <f aca="false">IF($B1088="","",COUNTIF($F1088:$AJ1088,"PH"))</f>
        <v/>
      </c>
      <c r="AW1088" s="34" t="str">
        <f aca="false">IF($B1088="","",COUNTIF($F1088:$AJ1088,"TR"))</f>
        <v/>
      </c>
      <c r="AX1088" s="35" t="str">
        <f aca="false">IF($B1088="","",AO1088+AS1088/2)</f>
        <v/>
      </c>
      <c r="AY1088" s="35" t="str">
        <f aca="false">IF($B1088="","",AQ1088)</f>
        <v/>
      </c>
      <c r="AZ1088" s="35" t="str">
        <f aca="false">IF($B1088="","",AP1088+AT1088/2)</f>
        <v/>
      </c>
      <c r="BA1088" s="35" t="str">
        <f aca="false">IF($B1088="","",AK1088+AN1088+AM1088/2+AO1088+AP1088+AQ1088+AR1088+AS1088+AT1088+AU1088+AV1088+AW1088)</f>
        <v/>
      </c>
      <c r="BB1088" s="35" t="str">
        <f aca="false">IF($B1088="","",MAX(0,AN1088-Settings!$C$16)*Settings!$C$17)</f>
        <v/>
      </c>
      <c r="BC1088" s="35" t="str">
        <f aca="false">IF($B1088="","",BA1088-BB1088)</f>
        <v/>
      </c>
      <c r="BD1088" s="35" t="str">
        <f aca="false">IF(OR($B1088="",$A1088=""),"",DAY(EOMONTH($A1088,0))-COUNTA($F1088:$AJ1088))</f>
        <v/>
      </c>
    </row>
    <row r="1089" customFormat="false" ht="15" hidden="false" customHeight="false" outlineLevel="0" collapsed="false">
      <c r="A1089" s="32"/>
      <c r="B1089" s="29"/>
      <c r="C1089" s="10" t="str">
        <f aca="false">IF($B1089="","",IFERROR(INDEX(M_name,MATCH($B1089,M_emp,0)),"Code not found"))</f>
        <v/>
      </c>
      <c r="D1089" s="10" t="str">
        <f aca="false">IF($B1089="","",IFERROR(INDEX(M_dept,MATCH($B1089,M_emp,0)),""))</f>
        <v/>
      </c>
      <c r="E1089" s="10" t="str">
        <f aca="false">IF($B1089="","",IFERROR(INDEX(M_loc,MATCH($B1089,M_emp,0)),""))</f>
        <v/>
      </c>
      <c r="F1089" s="33"/>
      <c r="G1089" s="33"/>
      <c r="H1089" s="33"/>
      <c r="I1089" s="33"/>
      <c r="J1089" s="33"/>
      <c r="K1089" s="33"/>
      <c r="L1089" s="33"/>
      <c r="M1089" s="33"/>
      <c r="N1089" s="33"/>
      <c r="O1089" s="33"/>
      <c r="P1089" s="33"/>
      <c r="Q1089" s="33"/>
      <c r="R1089" s="33"/>
      <c r="S1089" s="33"/>
      <c r="T1089" s="33"/>
      <c r="U1089" s="33"/>
      <c r="V1089" s="33"/>
      <c r="W1089" s="33"/>
      <c r="X1089" s="33"/>
      <c r="Y1089" s="33"/>
      <c r="Z1089" s="33"/>
      <c r="AA1089" s="33"/>
      <c r="AB1089" s="33"/>
      <c r="AC1089" s="33"/>
      <c r="AD1089" s="33"/>
      <c r="AE1089" s="33"/>
      <c r="AF1089" s="33"/>
      <c r="AG1089" s="33"/>
      <c r="AH1089" s="33"/>
      <c r="AI1089" s="33"/>
      <c r="AJ1089" s="33"/>
      <c r="AK1089" s="34" t="str">
        <f aca="false">IF($B1089="","",COUNTIF($F1089:$AJ1089,"P"))</f>
        <v/>
      </c>
      <c r="AL1089" s="34" t="str">
        <f aca="false">IF($B1089="","",COUNTIF($F1089:$AJ1089,"A"))</f>
        <v/>
      </c>
      <c r="AM1089" s="34" t="str">
        <f aca="false">IF($B1089="","",COUNTIF($F1089:$AJ1089,"HA"))</f>
        <v/>
      </c>
      <c r="AN1089" s="34" t="str">
        <f aca="false">IF($B1089="","",COUNTIF($F1089:$AJ1089,"L"))</f>
        <v/>
      </c>
      <c r="AO1089" s="34" t="str">
        <f aca="false">IF($B1089="","",COUNTIF($F1089:$AJ1089,"PL"))</f>
        <v/>
      </c>
      <c r="AP1089" s="34" t="str">
        <f aca="false">IF($B1089="","",COUNTIF($F1089:$AJ1089,"CL"))</f>
        <v/>
      </c>
      <c r="AQ1089" s="34" t="str">
        <f aca="false">IF($B1089="","",COUNTIF($F1089:$AJ1089,"SL"))</f>
        <v/>
      </c>
      <c r="AR1089" s="34" t="str">
        <f aca="false">IF($B1089="","",COUNTIF($F1089:$AJ1089,"CO"))</f>
        <v/>
      </c>
      <c r="AS1089" s="34" t="str">
        <f aca="false">IF($B1089="","",COUNTIF($F1089:$AJ1089,"HPL"))</f>
        <v/>
      </c>
      <c r="AT1089" s="34" t="str">
        <f aca="false">IF($B1089="","",COUNTIF($F1089:$AJ1089,"HCL"))</f>
        <v/>
      </c>
      <c r="AU1089" s="34" t="str">
        <f aca="false">IF($B1089="","",COUNTIF($F1089:$AJ1089,"WO"))</f>
        <v/>
      </c>
      <c r="AV1089" s="34" t="str">
        <f aca="false">IF($B1089="","",COUNTIF($F1089:$AJ1089,"PH"))</f>
        <v/>
      </c>
      <c r="AW1089" s="34" t="str">
        <f aca="false">IF($B1089="","",COUNTIF($F1089:$AJ1089,"TR"))</f>
        <v/>
      </c>
      <c r="AX1089" s="35" t="str">
        <f aca="false">IF($B1089="","",AO1089+AS1089/2)</f>
        <v/>
      </c>
      <c r="AY1089" s="35" t="str">
        <f aca="false">IF($B1089="","",AQ1089)</f>
        <v/>
      </c>
      <c r="AZ1089" s="35" t="str">
        <f aca="false">IF($B1089="","",AP1089+AT1089/2)</f>
        <v/>
      </c>
      <c r="BA1089" s="35" t="str">
        <f aca="false">IF($B1089="","",AK1089+AN1089+AM1089/2+AO1089+AP1089+AQ1089+AR1089+AS1089+AT1089+AU1089+AV1089+AW1089)</f>
        <v/>
      </c>
      <c r="BB1089" s="35" t="str">
        <f aca="false">IF($B1089="","",MAX(0,AN1089-Settings!$C$16)*Settings!$C$17)</f>
        <v/>
      </c>
      <c r="BC1089" s="35" t="str">
        <f aca="false">IF($B1089="","",BA1089-BB1089)</f>
        <v/>
      </c>
      <c r="BD1089" s="35" t="str">
        <f aca="false">IF(OR($B1089="",$A1089=""),"",DAY(EOMONTH($A1089,0))-COUNTA($F1089:$AJ1089))</f>
        <v/>
      </c>
    </row>
    <row r="1090" customFormat="false" ht="15" hidden="false" customHeight="false" outlineLevel="0" collapsed="false">
      <c r="A1090" s="32"/>
      <c r="B1090" s="29"/>
      <c r="C1090" s="10" t="str">
        <f aca="false">IF($B1090="","",IFERROR(INDEX(M_name,MATCH($B1090,M_emp,0)),"Code not found"))</f>
        <v/>
      </c>
      <c r="D1090" s="10" t="str">
        <f aca="false">IF($B1090="","",IFERROR(INDEX(M_dept,MATCH($B1090,M_emp,0)),""))</f>
        <v/>
      </c>
      <c r="E1090" s="10" t="str">
        <f aca="false">IF($B1090="","",IFERROR(INDEX(M_loc,MATCH($B1090,M_emp,0)),""))</f>
        <v/>
      </c>
      <c r="F1090" s="33"/>
      <c r="G1090" s="33"/>
      <c r="H1090" s="33"/>
      <c r="I1090" s="33"/>
      <c r="J1090" s="33"/>
      <c r="K1090" s="33"/>
      <c r="L1090" s="33"/>
      <c r="M1090" s="33"/>
      <c r="N1090" s="33"/>
      <c r="O1090" s="33"/>
      <c r="P1090" s="33"/>
      <c r="Q1090" s="33"/>
      <c r="R1090" s="33"/>
      <c r="S1090" s="33"/>
      <c r="T1090" s="33"/>
      <c r="U1090" s="33"/>
      <c r="V1090" s="33"/>
      <c r="W1090" s="33"/>
      <c r="X1090" s="33"/>
      <c r="Y1090" s="33"/>
      <c r="Z1090" s="33"/>
      <c r="AA1090" s="33"/>
      <c r="AB1090" s="33"/>
      <c r="AC1090" s="33"/>
      <c r="AD1090" s="33"/>
      <c r="AE1090" s="33"/>
      <c r="AF1090" s="33"/>
      <c r="AG1090" s="33"/>
      <c r="AH1090" s="33"/>
      <c r="AI1090" s="33"/>
      <c r="AJ1090" s="33"/>
      <c r="AK1090" s="34" t="str">
        <f aca="false">IF($B1090="","",COUNTIF($F1090:$AJ1090,"P"))</f>
        <v/>
      </c>
      <c r="AL1090" s="34" t="str">
        <f aca="false">IF($B1090="","",COUNTIF($F1090:$AJ1090,"A"))</f>
        <v/>
      </c>
      <c r="AM1090" s="34" t="str">
        <f aca="false">IF($B1090="","",COUNTIF($F1090:$AJ1090,"HA"))</f>
        <v/>
      </c>
      <c r="AN1090" s="34" t="str">
        <f aca="false">IF($B1090="","",COUNTIF($F1090:$AJ1090,"L"))</f>
        <v/>
      </c>
      <c r="AO1090" s="34" t="str">
        <f aca="false">IF($B1090="","",COUNTIF($F1090:$AJ1090,"PL"))</f>
        <v/>
      </c>
      <c r="AP1090" s="34" t="str">
        <f aca="false">IF($B1090="","",COUNTIF($F1090:$AJ1090,"CL"))</f>
        <v/>
      </c>
      <c r="AQ1090" s="34" t="str">
        <f aca="false">IF($B1090="","",COUNTIF($F1090:$AJ1090,"SL"))</f>
        <v/>
      </c>
      <c r="AR1090" s="34" t="str">
        <f aca="false">IF($B1090="","",COUNTIF($F1090:$AJ1090,"CO"))</f>
        <v/>
      </c>
      <c r="AS1090" s="34" t="str">
        <f aca="false">IF($B1090="","",COUNTIF($F1090:$AJ1090,"HPL"))</f>
        <v/>
      </c>
      <c r="AT1090" s="34" t="str">
        <f aca="false">IF($B1090="","",COUNTIF($F1090:$AJ1090,"HCL"))</f>
        <v/>
      </c>
      <c r="AU1090" s="34" t="str">
        <f aca="false">IF($B1090="","",COUNTIF($F1090:$AJ1090,"WO"))</f>
        <v/>
      </c>
      <c r="AV1090" s="34" t="str">
        <f aca="false">IF($B1090="","",COUNTIF($F1090:$AJ1090,"PH"))</f>
        <v/>
      </c>
      <c r="AW1090" s="34" t="str">
        <f aca="false">IF($B1090="","",COUNTIF($F1090:$AJ1090,"TR"))</f>
        <v/>
      </c>
      <c r="AX1090" s="35" t="str">
        <f aca="false">IF($B1090="","",AO1090+AS1090/2)</f>
        <v/>
      </c>
      <c r="AY1090" s="35" t="str">
        <f aca="false">IF($B1090="","",AQ1090)</f>
        <v/>
      </c>
      <c r="AZ1090" s="35" t="str">
        <f aca="false">IF($B1090="","",AP1090+AT1090/2)</f>
        <v/>
      </c>
      <c r="BA1090" s="35" t="str">
        <f aca="false">IF($B1090="","",AK1090+AN1090+AM1090/2+AO1090+AP1090+AQ1090+AR1090+AS1090+AT1090+AU1090+AV1090+AW1090)</f>
        <v/>
      </c>
      <c r="BB1090" s="35" t="str">
        <f aca="false">IF($B1090="","",MAX(0,AN1090-Settings!$C$16)*Settings!$C$17)</f>
        <v/>
      </c>
      <c r="BC1090" s="35" t="str">
        <f aca="false">IF($B1090="","",BA1090-BB1090)</f>
        <v/>
      </c>
      <c r="BD1090" s="35" t="str">
        <f aca="false">IF(OR($B1090="",$A1090=""),"",DAY(EOMONTH($A1090,0))-COUNTA($F1090:$AJ1090))</f>
        <v/>
      </c>
    </row>
    <row r="1091" customFormat="false" ht="15" hidden="false" customHeight="false" outlineLevel="0" collapsed="false">
      <c r="A1091" s="32"/>
      <c r="B1091" s="29"/>
      <c r="C1091" s="10" t="str">
        <f aca="false">IF($B1091="","",IFERROR(INDEX(M_name,MATCH($B1091,M_emp,0)),"Code not found"))</f>
        <v/>
      </c>
      <c r="D1091" s="10" t="str">
        <f aca="false">IF($B1091="","",IFERROR(INDEX(M_dept,MATCH($B1091,M_emp,0)),""))</f>
        <v/>
      </c>
      <c r="E1091" s="10" t="str">
        <f aca="false">IF($B1091="","",IFERROR(INDEX(M_loc,MATCH($B1091,M_emp,0)),""))</f>
        <v/>
      </c>
      <c r="F1091" s="33"/>
      <c r="G1091" s="33"/>
      <c r="H1091" s="33"/>
      <c r="I1091" s="33"/>
      <c r="J1091" s="33"/>
      <c r="K1091" s="33"/>
      <c r="L1091" s="33"/>
      <c r="M1091" s="33"/>
      <c r="N1091" s="33"/>
      <c r="O1091" s="33"/>
      <c r="P1091" s="33"/>
      <c r="Q1091" s="33"/>
      <c r="R1091" s="33"/>
      <c r="S1091" s="33"/>
      <c r="T1091" s="33"/>
      <c r="U1091" s="33"/>
      <c r="V1091" s="33"/>
      <c r="W1091" s="33"/>
      <c r="X1091" s="33"/>
      <c r="Y1091" s="33"/>
      <c r="Z1091" s="33"/>
      <c r="AA1091" s="33"/>
      <c r="AB1091" s="33"/>
      <c r="AC1091" s="33"/>
      <c r="AD1091" s="33"/>
      <c r="AE1091" s="33"/>
      <c r="AF1091" s="33"/>
      <c r="AG1091" s="33"/>
      <c r="AH1091" s="33"/>
      <c r="AI1091" s="33"/>
      <c r="AJ1091" s="33"/>
      <c r="AK1091" s="34" t="str">
        <f aca="false">IF($B1091="","",COUNTIF($F1091:$AJ1091,"P"))</f>
        <v/>
      </c>
      <c r="AL1091" s="34" t="str">
        <f aca="false">IF($B1091="","",COUNTIF($F1091:$AJ1091,"A"))</f>
        <v/>
      </c>
      <c r="AM1091" s="34" t="str">
        <f aca="false">IF($B1091="","",COUNTIF($F1091:$AJ1091,"HA"))</f>
        <v/>
      </c>
      <c r="AN1091" s="34" t="str">
        <f aca="false">IF($B1091="","",COUNTIF($F1091:$AJ1091,"L"))</f>
        <v/>
      </c>
      <c r="AO1091" s="34" t="str">
        <f aca="false">IF($B1091="","",COUNTIF($F1091:$AJ1091,"PL"))</f>
        <v/>
      </c>
      <c r="AP1091" s="34" t="str">
        <f aca="false">IF($B1091="","",COUNTIF($F1091:$AJ1091,"CL"))</f>
        <v/>
      </c>
      <c r="AQ1091" s="34" t="str">
        <f aca="false">IF($B1091="","",COUNTIF($F1091:$AJ1091,"SL"))</f>
        <v/>
      </c>
      <c r="AR1091" s="34" t="str">
        <f aca="false">IF($B1091="","",COUNTIF($F1091:$AJ1091,"CO"))</f>
        <v/>
      </c>
      <c r="AS1091" s="34" t="str">
        <f aca="false">IF($B1091="","",COUNTIF($F1091:$AJ1091,"HPL"))</f>
        <v/>
      </c>
      <c r="AT1091" s="34" t="str">
        <f aca="false">IF($B1091="","",COUNTIF($F1091:$AJ1091,"HCL"))</f>
        <v/>
      </c>
      <c r="AU1091" s="34" t="str">
        <f aca="false">IF($B1091="","",COUNTIF($F1091:$AJ1091,"WO"))</f>
        <v/>
      </c>
      <c r="AV1091" s="34" t="str">
        <f aca="false">IF($B1091="","",COUNTIF($F1091:$AJ1091,"PH"))</f>
        <v/>
      </c>
      <c r="AW1091" s="34" t="str">
        <f aca="false">IF($B1091="","",COUNTIF($F1091:$AJ1091,"TR"))</f>
        <v/>
      </c>
      <c r="AX1091" s="35" t="str">
        <f aca="false">IF($B1091="","",AO1091+AS1091/2)</f>
        <v/>
      </c>
      <c r="AY1091" s="35" t="str">
        <f aca="false">IF($B1091="","",AQ1091)</f>
        <v/>
      </c>
      <c r="AZ1091" s="35" t="str">
        <f aca="false">IF($B1091="","",AP1091+AT1091/2)</f>
        <v/>
      </c>
      <c r="BA1091" s="35" t="str">
        <f aca="false">IF($B1091="","",AK1091+AN1091+AM1091/2+AO1091+AP1091+AQ1091+AR1091+AS1091+AT1091+AU1091+AV1091+AW1091)</f>
        <v/>
      </c>
      <c r="BB1091" s="35" t="str">
        <f aca="false">IF($B1091="","",MAX(0,AN1091-Settings!$C$16)*Settings!$C$17)</f>
        <v/>
      </c>
      <c r="BC1091" s="35" t="str">
        <f aca="false">IF($B1091="","",BA1091-BB1091)</f>
        <v/>
      </c>
      <c r="BD1091" s="35" t="str">
        <f aca="false">IF(OR($B1091="",$A1091=""),"",DAY(EOMONTH($A1091,0))-COUNTA($F1091:$AJ1091))</f>
        <v/>
      </c>
    </row>
    <row r="1092" customFormat="false" ht="15" hidden="false" customHeight="false" outlineLevel="0" collapsed="false">
      <c r="A1092" s="32"/>
      <c r="B1092" s="29"/>
      <c r="C1092" s="10" t="str">
        <f aca="false">IF($B1092="","",IFERROR(INDEX(M_name,MATCH($B1092,M_emp,0)),"Code not found"))</f>
        <v/>
      </c>
      <c r="D1092" s="10" t="str">
        <f aca="false">IF($B1092="","",IFERROR(INDEX(M_dept,MATCH($B1092,M_emp,0)),""))</f>
        <v/>
      </c>
      <c r="E1092" s="10" t="str">
        <f aca="false">IF($B1092="","",IFERROR(INDEX(M_loc,MATCH($B1092,M_emp,0)),""))</f>
        <v/>
      </c>
      <c r="F1092" s="33"/>
      <c r="G1092" s="33"/>
      <c r="H1092" s="33"/>
      <c r="I1092" s="33"/>
      <c r="J1092" s="33"/>
      <c r="K1092" s="33"/>
      <c r="L1092" s="33"/>
      <c r="M1092" s="33"/>
      <c r="N1092" s="33"/>
      <c r="O1092" s="33"/>
      <c r="P1092" s="33"/>
      <c r="Q1092" s="33"/>
      <c r="R1092" s="33"/>
      <c r="S1092" s="33"/>
      <c r="T1092" s="33"/>
      <c r="U1092" s="33"/>
      <c r="V1092" s="33"/>
      <c r="W1092" s="33"/>
      <c r="X1092" s="33"/>
      <c r="Y1092" s="33"/>
      <c r="Z1092" s="33"/>
      <c r="AA1092" s="33"/>
      <c r="AB1092" s="33"/>
      <c r="AC1092" s="33"/>
      <c r="AD1092" s="33"/>
      <c r="AE1092" s="33"/>
      <c r="AF1092" s="33"/>
      <c r="AG1092" s="33"/>
      <c r="AH1092" s="33"/>
      <c r="AI1092" s="33"/>
      <c r="AJ1092" s="33"/>
      <c r="AK1092" s="34" t="str">
        <f aca="false">IF($B1092="","",COUNTIF($F1092:$AJ1092,"P"))</f>
        <v/>
      </c>
      <c r="AL1092" s="34" t="str">
        <f aca="false">IF($B1092="","",COUNTIF($F1092:$AJ1092,"A"))</f>
        <v/>
      </c>
      <c r="AM1092" s="34" t="str">
        <f aca="false">IF($B1092="","",COUNTIF($F1092:$AJ1092,"HA"))</f>
        <v/>
      </c>
      <c r="AN1092" s="34" t="str">
        <f aca="false">IF($B1092="","",COUNTIF($F1092:$AJ1092,"L"))</f>
        <v/>
      </c>
      <c r="AO1092" s="34" t="str">
        <f aca="false">IF($B1092="","",COUNTIF($F1092:$AJ1092,"PL"))</f>
        <v/>
      </c>
      <c r="AP1092" s="34" t="str">
        <f aca="false">IF($B1092="","",COUNTIF($F1092:$AJ1092,"CL"))</f>
        <v/>
      </c>
      <c r="AQ1092" s="34" t="str">
        <f aca="false">IF($B1092="","",COUNTIF($F1092:$AJ1092,"SL"))</f>
        <v/>
      </c>
      <c r="AR1092" s="34" t="str">
        <f aca="false">IF($B1092="","",COUNTIF($F1092:$AJ1092,"CO"))</f>
        <v/>
      </c>
      <c r="AS1092" s="34" t="str">
        <f aca="false">IF($B1092="","",COUNTIF($F1092:$AJ1092,"HPL"))</f>
        <v/>
      </c>
      <c r="AT1092" s="34" t="str">
        <f aca="false">IF($B1092="","",COUNTIF($F1092:$AJ1092,"HCL"))</f>
        <v/>
      </c>
      <c r="AU1092" s="34" t="str">
        <f aca="false">IF($B1092="","",COUNTIF($F1092:$AJ1092,"WO"))</f>
        <v/>
      </c>
      <c r="AV1092" s="34" t="str">
        <f aca="false">IF($B1092="","",COUNTIF($F1092:$AJ1092,"PH"))</f>
        <v/>
      </c>
      <c r="AW1092" s="34" t="str">
        <f aca="false">IF($B1092="","",COUNTIF($F1092:$AJ1092,"TR"))</f>
        <v/>
      </c>
      <c r="AX1092" s="35" t="str">
        <f aca="false">IF($B1092="","",AO1092+AS1092/2)</f>
        <v/>
      </c>
      <c r="AY1092" s="35" t="str">
        <f aca="false">IF($B1092="","",AQ1092)</f>
        <v/>
      </c>
      <c r="AZ1092" s="35" t="str">
        <f aca="false">IF($B1092="","",AP1092+AT1092/2)</f>
        <v/>
      </c>
      <c r="BA1092" s="35" t="str">
        <f aca="false">IF($B1092="","",AK1092+AN1092+AM1092/2+AO1092+AP1092+AQ1092+AR1092+AS1092+AT1092+AU1092+AV1092+AW1092)</f>
        <v/>
      </c>
      <c r="BB1092" s="35" t="str">
        <f aca="false">IF($B1092="","",MAX(0,AN1092-Settings!$C$16)*Settings!$C$17)</f>
        <v/>
      </c>
      <c r="BC1092" s="35" t="str">
        <f aca="false">IF($B1092="","",BA1092-BB1092)</f>
        <v/>
      </c>
      <c r="BD1092" s="35" t="str">
        <f aca="false">IF(OR($B1092="",$A1092=""),"",DAY(EOMONTH($A1092,0))-COUNTA($F1092:$AJ1092))</f>
        <v/>
      </c>
    </row>
    <row r="1093" customFormat="false" ht="15" hidden="false" customHeight="false" outlineLevel="0" collapsed="false">
      <c r="A1093" s="32"/>
      <c r="B1093" s="29"/>
      <c r="C1093" s="10" t="str">
        <f aca="false">IF($B1093="","",IFERROR(INDEX(M_name,MATCH($B1093,M_emp,0)),"Code not found"))</f>
        <v/>
      </c>
      <c r="D1093" s="10" t="str">
        <f aca="false">IF($B1093="","",IFERROR(INDEX(M_dept,MATCH($B1093,M_emp,0)),""))</f>
        <v/>
      </c>
      <c r="E1093" s="10" t="str">
        <f aca="false">IF($B1093="","",IFERROR(INDEX(M_loc,MATCH($B1093,M_emp,0)),""))</f>
        <v/>
      </c>
      <c r="F1093" s="33"/>
      <c r="G1093" s="33"/>
      <c r="H1093" s="33"/>
      <c r="I1093" s="33"/>
      <c r="J1093" s="33"/>
      <c r="K1093" s="33"/>
      <c r="L1093" s="33"/>
      <c r="M1093" s="33"/>
      <c r="N1093" s="33"/>
      <c r="O1093" s="33"/>
      <c r="P1093" s="33"/>
      <c r="Q1093" s="33"/>
      <c r="R1093" s="33"/>
      <c r="S1093" s="33"/>
      <c r="T1093" s="33"/>
      <c r="U1093" s="33"/>
      <c r="V1093" s="33"/>
      <c r="W1093" s="33"/>
      <c r="X1093" s="33"/>
      <c r="Y1093" s="33"/>
      <c r="Z1093" s="33"/>
      <c r="AA1093" s="33"/>
      <c r="AB1093" s="33"/>
      <c r="AC1093" s="33"/>
      <c r="AD1093" s="33"/>
      <c r="AE1093" s="33"/>
      <c r="AF1093" s="33"/>
      <c r="AG1093" s="33"/>
      <c r="AH1093" s="33"/>
      <c r="AI1093" s="33"/>
      <c r="AJ1093" s="33"/>
      <c r="AK1093" s="34" t="str">
        <f aca="false">IF($B1093="","",COUNTIF($F1093:$AJ1093,"P"))</f>
        <v/>
      </c>
      <c r="AL1093" s="34" t="str">
        <f aca="false">IF($B1093="","",COUNTIF($F1093:$AJ1093,"A"))</f>
        <v/>
      </c>
      <c r="AM1093" s="34" t="str">
        <f aca="false">IF($B1093="","",COUNTIF($F1093:$AJ1093,"HA"))</f>
        <v/>
      </c>
      <c r="AN1093" s="34" t="str">
        <f aca="false">IF($B1093="","",COUNTIF($F1093:$AJ1093,"L"))</f>
        <v/>
      </c>
      <c r="AO1093" s="34" t="str">
        <f aca="false">IF($B1093="","",COUNTIF($F1093:$AJ1093,"PL"))</f>
        <v/>
      </c>
      <c r="AP1093" s="34" t="str">
        <f aca="false">IF($B1093="","",COUNTIF($F1093:$AJ1093,"CL"))</f>
        <v/>
      </c>
      <c r="AQ1093" s="34" t="str">
        <f aca="false">IF($B1093="","",COUNTIF($F1093:$AJ1093,"SL"))</f>
        <v/>
      </c>
      <c r="AR1093" s="34" t="str">
        <f aca="false">IF($B1093="","",COUNTIF($F1093:$AJ1093,"CO"))</f>
        <v/>
      </c>
      <c r="AS1093" s="34" t="str">
        <f aca="false">IF($B1093="","",COUNTIF($F1093:$AJ1093,"HPL"))</f>
        <v/>
      </c>
      <c r="AT1093" s="34" t="str">
        <f aca="false">IF($B1093="","",COUNTIF($F1093:$AJ1093,"HCL"))</f>
        <v/>
      </c>
      <c r="AU1093" s="34" t="str">
        <f aca="false">IF($B1093="","",COUNTIF($F1093:$AJ1093,"WO"))</f>
        <v/>
      </c>
      <c r="AV1093" s="34" t="str">
        <f aca="false">IF($B1093="","",COUNTIF($F1093:$AJ1093,"PH"))</f>
        <v/>
      </c>
      <c r="AW1093" s="34" t="str">
        <f aca="false">IF($B1093="","",COUNTIF($F1093:$AJ1093,"TR"))</f>
        <v/>
      </c>
      <c r="AX1093" s="35" t="str">
        <f aca="false">IF($B1093="","",AO1093+AS1093/2)</f>
        <v/>
      </c>
      <c r="AY1093" s="35" t="str">
        <f aca="false">IF($B1093="","",AQ1093)</f>
        <v/>
      </c>
      <c r="AZ1093" s="35" t="str">
        <f aca="false">IF($B1093="","",AP1093+AT1093/2)</f>
        <v/>
      </c>
      <c r="BA1093" s="35" t="str">
        <f aca="false">IF($B1093="","",AK1093+AN1093+AM1093/2+AO1093+AP1093+AQ1093+AR1093+AS1093+AT1093+AU1093+AV1093+AW1093)</f>
        <v/>
      </c>
      <c r="BB1093" s="35" t="str">
        <f aca="false">IF($B1093="","",MAX(0,AN1093-Settings!$C$16)*Settings!$C$17)</f>
        <v/>
      </c>
      <c r="BC1093" s="35" t="str">
        <f aca="false">IF($B1093="","",BA1093-BB1093)</f>
        <v/>
      </c>
      <c r="BD1093" s="35" t="str">
        <f aca="false">IF(OR($B1093="",$A1093=""),"",DAY(EOMONTH($A1093,0))-COUNTA($F1093:$AJ1093))</f>
        <v/>
      </c>
    </row>
    <row r="1094" customFormat="false" ht="15" hidden="false" customHeight="false" outlineLevel="0" collapsed="false">
      <c r="A1094" s="32"/>
      <c r="B1094" s="29"/>
      <c r="C1094" s="10" t="str">
        <f aca="false">IF($B1094="","",IFERROR(INDEX(M_name,MATCH($B1094,M_emp,0)),"Code not found"))</f>
        <v/>
      </c>
      <c r="D1094" s="10" t="str">
        <f aca="false">IF($B1094="","",IFERROR(INDEX(M_dept,MATCH($B1094,M_emp,0)),""))</f>
        <v/>
      </c>
      <c r="E1094" s="10" t="str">
        <f aca="false">IF($B1094="","",IFERROR(INDEX(M_loc,MATCH($B1094,M_emp,0)),""))</f>
        <v/>
      </c>
      <c r="F1094" s="33"/>
      <c r="G1094" s="33"/>
      <c r="H1094" s="33"/>
      <c r="I1094" s="33"/>
      <c r="J1094" s="33"/>
      <c r="K1094" s="33"/>
      <c r="L1094" s="33"/>
      <c r="M1094" s="33"/>
      <c r="N1094" s="33"/>
      <c r="O1094" s="33"/>
      <c r="P1094" s="33"/>
      <c r="Q1094" s="33"/>
      <c r="R1094" s="33"/>
      <c r="S1094" s="33"/>
      <c r="T1094" s="33"/>
      <c r="U1094" s="33"/>
      <c r="V1094" s="33"/>
      <c r="W1094" s="33"/>
      <c r="X1094" s="33"/>
      <c r="Y1094" s="33"/>
      <c r="Z1094" s="33"/>
      <c r="AA1094" s="33"/>
      <c r="AB1094" s="33"/>
      <c r="AC1094" s="33"/>
      <c r="AD1094" s="33"/>
      <c r="AE1094" s="33"/>
      <c r="AF1094" s="33"/>
      <c r="AG1094" s="33"/>
      <c r="AH1094" s="33"/>
      <c r="AI1094" s="33"/>
      <c r="AJ1094" s="33"/>
      <c r="AK1094" s="34" t="str">
        <f aca="false">IF($B1094="","",COUNTIF($F1094:$AJ1094,"P"))</f>
        <v/>
      </c>
      <c r="AL1094" s="34" t="str">
        <f aca="false">IF($B1094="","",COUNTIF($F1094:$AJ1094,"A"))</f>
        <v/>
      </c>
      <c r="AM1094" s="34" t="str">
        <f aca="false">IF($B1094="","",COUNTIF($F1094:$AJ1094,"HA"))</f>
        <v/>
      </c>
      <c r="AN1094" s="34" t="str">
        <f aca="false">IF($B1094="","",COUNTIF($F1094:$AJ1094,"L"))</f>
        <v/>
      </c>
      <c r="AO1094" s="34" t="str">
        <f aca="false">IF($B1094="","",COUNTIF($F1094:$AJ1094,"PL"))</f>
        <v/>
      </c>
      <c r="AP1094" s="34" t="str">
        <f aca="false">IF($B1094="","",COUNTIF($F1094:$AJ1094,"CL"))</f>
        <v/>
      </c>
      <c r="AQ1094" s="34" t="str">
        <f aca="false">IF($B1094="","",COUNTIF($F1094:$AJ1094,"SL"))</f>
        <v/>
      </c>
      <c r="AR1094" s="34" t="str">
        <f aca="false">IF($B1094="","",COUNTIF($F1094:$AJ1094,"CO"))</f>
        <v/>
      </c>
      <c r="AS1094" s="34" t="str">
        <f aca="false">IF($B1094="","",COUNTIF($F1094:$AJ1094,"HPL"))</f>
        <v/>
      </c>
      <c r="AT1094" s="34" t="str">
        <f aca="false">IF($B1094="","",COUNTIF($F1094:$AJ1094,"HCL"))</f>
        <v/>
      </c>
      <c r="AU1094" s="34" t="str">
        <f aca="false">IF($B1094="","",COUNTIF($F1094:$AJ1094,"WO"))</f>
        <v/>
      </c>
      <c r="AV1094" s="34" t="str">
        <f aca="false">IF($B1094="","",COUNTIF($F1094:$AJ1094,"PH"))</f>
        <v/>
      </c>
      <c r="AW1094" s="34" t="str">
        <f aca="false">IF($B1094="","",COUNTIF($F1094:$AJ1094,"TR"))</f>
        <v/>
      </c>
      <c r="AX1094" s="35" t="str">
        <f aca="false">IF($B1094="","",AO1094+AS1094/2)</f>
        <v/>
      </c>
      <c r="AY1094" s="35" t="str">
        <f aca="false">IF($B1094="","",AQ1094)</f>
        <v/>
      </c>
      <c r="AZ1094" s="35" t="str">
        <f aca="false">IF($B1094="","",AP1094+AT1094/2)</f>
        <v/>
      </c>
      <c r="BA1094" s="35" t="str">
        <f aca="false">IF($B1094="","",AK1094+AN1094+AM1094/2+AO1094+AP1094+AQ1094+AR1094+AS1094+AT1094+AU1094+AV1094+AW1094)</f>
        <v/>
      </c>
      <c r="BB1094" s="35" t="str">
        <f aca="false">IF($B1094="","",MAX(0,AN1094-Settings!$C$16)*Settings!$C$17)</f>
        <v/>
      </c>
      <c r="BC1094" s="35" t="str">
        <f aca="false">IF($B1094="","",BA1094-BB1094)</f>
        <v/>
      </c>
      <c r="BD1094" s="35" t="str">
        <f aca="false">IF(OR($B1094="",$A1094=""),"",DAY(EOMONTH($A1094,0))-COUNTA($F1094:$AJ1094))</f>
        <v/>
      </c>
    </row>
    <row r="1095" customFormat="false" ht="15" hidden="false" customHeight="false" outlineLevel="0" collapsed="false">
      <c r="A1095" s="32"/>
      <c r="B1095" s="29"/>
      <c r="C1095" s="10" t="str">
        <f aca="false">IF($B1095="","",IFERROR(INDEX(M_name,MATCH($B1095,M_emp,0)),"Code not found"))</f>
        <v/>
      </c>
      <c r="D1095" s="10" t="str">
        <f aca="false">IF($B1095="","",IFERROR(INDEX(M_dept,MATCH($B1095,M_emp,0)),""))</f>
        <v/>
      </c>
      <c r="E1095" s="10" t="str">
        <f aca="false">IF($B1095="","",IFERROR(INDEX(M_loc,MATCH($B1095,M_emp,0)),""))</f>
        <v/>
      </c>
      <c r="F1095" s="33"/>
      <c r="G1095" s="33"/>
      <c r="H1095" s="33"/>
      <c r="I1095" s="33"/>
      <c r="J1095" s="33"/>
      <c r="K1095" s="33"/>
      <c r="L1095" s="33"/>
      <c r="M1095" s="33"/>
      <c r="N1095" s="33"/>
      <c r="O1095" s="33"/>
      <c r="P1095" s="33"/>
      <c r="Q1095" s="33"/>
      <c r="R1095" s="33"/>
      <c r="S1095" s="33"/>
      <c r="T1095" s="33"/>
      <c r="U1095" s="33"/>
      <c r="V1095" s="33"/>
      <c r="W1095" s="33"/>
      <c r="X1095" s="33"/>
      <c r="Y1095" s="33"/>
      <c r="Z1095" s="33"/>
      <c r="AA1095" s="33"/>
      <c r="AB1095" s="33"/>
      <c r="AC1095" s="33"/>
      <c r="AD1095" s="33"/>
      <c r="AE1095" s="33"/>
      <c r="AF1095" s="33"/>
      <c r="AG1095" s="33"/>
      <c r="AH1095" s="33"/>
      <c r="AI1095" s="33"/>
      <c r="AJ1095" s="33"/>
      <c r="AK1095" s="34" t="str">
        <f aca="false">IF($B1095="","",COUNTIF($F1095:$AJ1095,"P"))</f>
        <v/>
      </c>
      <c r="AL1095" s="34" t="str">
        <f aca="false">IF($B1095="","",COUNTIF($F1095:$AJ1095,"A"))</f>
        <v/>
      </c>
      <c r="AM1095" s="34" t="str">
        <f aca="false">IF($B1095="","",COUNTIF($F1095:$AJ1095,"HA"))</f>
        <v/>
      </c>
      <c r="AN1095" s="34" t="str">
        <f aca="false">IF($B1095="","",COUNTIF($F1095:$AJ1095,"L"))</f>
        <v/>
      </c>
      <c r="AO1095" s="34" t="str">
        <f aca="false">IF($B1095="","",COUNTIF($F1095:$AJ1095,"PL"))</f>
        <v/>
      </c>
      <c r="AP1095" s="34" t="str">
        <f aca="false">IF($B1095="","",COUNTIF($F1095:$AJ1095,"CL"))</f>
        <v/>
      </c>
      <c r="AQ1095" s="34" t="str">
        <f aca="false">IF($B1095="","",COUNTIF($F1095:$AJ1095,"SL"))</f>
        <v/>
      </c>
      <c r="AR1095" s="34" t="str">
        <f aca="false">IF($B1095="","",COUNTIF($F1095:$AJ1095,"CO"))</f>
        <v/>
      </c>
      <c r="AS1095" s="34" t="str">
        <f aca="false">IF($B1095="","",COUNTIF($F1095:$AJ1095,"HPL"))</f>
        <v/>
      </c>
      <c r="AT1095" s="34" t="str">
        <f aca="false">IF($B1095="","",COUNTIF($F1095:$AJ1095,"HCL"))</f>
        <v/>
      </c>
      <c r="AU1095" s="34" t="str">
        <f aca="false">IF($B1095="","",COUNTIF($F1095:$AJ1095,"WO"))</f>
        <v/>
      </c>
      <c r="AV1095" s="34" t="str">
        <f aca="false">IF($B1095="","",COUNTIF($F1095:$AJ1095,"PH"))</f>
        <v/>
      </c>
      <c r="AW1095" s="34" t="str">
        <f aca="false">IF($B1095="","",COUNTIF($F1095:$AJ1095,"TR"))</f>
        <v/>
      </c>
      <c r="AX1095" s="35" t="str">
        <f aca="false">IF($B1095="","",AO1095+AS1095/2)</f>
        <v/>
      </c>
      <c r="AY1095" s="35" t="str">
        <f aca="false">IF($B1095="","",AQ1095)</f>
        <v/>
      </c>
      <c r="AZ1095" s="35" t="str">
        <f aca="false">IF($B1095="","",AP1095+AT1095/2)</f>
        <v/>
      </c>
      <c r="BA1095" s="35" t="str">
        <f aca="false">IF($B1095="","",AK1095+AN1095+AM1095/2+AO1095+AP1095+AQ1095+AR1095+AS1095+AT1095+AU1095+AV1095+AW1095)</f>
        <v/>
      </c>
      <c r="BB1095" s="35" t="str">
        <f aca="false">IF($B1095="","",MAX(0,AN1095-Settings!$C$16)*Settings!$C$17)</f>
        <v/>
      </c>
      <c r="BC1095" s="35" t="str">
        <f aca="false">IF($B1095="","",BA1095-BB1095)</f>
        <v/>
      </c>
      <c r="BD1095" s="35" t="str">
        <f aca="false">IF(OR($B1095="",$A1095=""),"",DAY(EOMONTH($A1095,0))-COUNTA($F1095:$AJ1095))</f>
        <v/>
      </c>
    </row>
    <row r="1096" customFormat="false" ht="15" hidden="false" customHeight="false" outlineLevel="0" collapsed="false">
      <c r="A1096" s="32"/>
      <c r="B1096" s="29"/>
      <c r="C1096" s="10" t="str">
        <f aca="false">IF($B1096="","",IFERROR(INDEX(M_name,MATCH($B1096,M_emp,0)),"Code not found"))</f>
        <v/>
      </c>
      <c r="D1096" s="10" t="str">
        <f aca="false">IF($B1096="","",IFERROR(INDEX(M_dept,MATCH($B1096,M_emp,0)),""))</f>
        <v/>
      </c>
      <c r="E1096" s="10" t="str">
        <f aca="false">IF($B1096="","",IFERROR(INDEX(M_loc,MATCH($B1096,M_emp,0)),""))</f>
        <v/>
      </c>
      <c r="F1096" s="33"/>
      <c r="G1096" s="33"/>
      <c r="H1096" s="33"/>
      <c r="I1096" s="33"/>
      <c r="J1096" s="33"/>
      <c r="K1096" s="33"/>
      <c r="L1096" s="33"/>
      <c r="M1096" s="33"/>
      <c r="N1096" s="33"/>
      <c r="O1096" s="33"/>
      <c r="P1096" s="33"/>
      <c r="Q1096" s="33"/>
      <c r="R1096" s="33"/>
      <c r="S1096" s="33"/>
      <c r="T1096" s="33"/>
      <c r="U1096" s="33"/>
      <c r="V1096" s="33"/>
      <c r="W1096" s="33"/>
      <c r="X1096" s="33"/>
      <c r="Y1096" s="33"/>
      <c r="Z1096" s="33"/>
      <c r="AA1096" s="33"/>
      <c r="AB1096" s="33"/>
      <c r="AC1096" s="33"/>
      <c r="AD1096" s="33"/>
      <c r="AE1096" s="33"/>
      <c r="AF1096" s="33"/>
      <c r="AG1096" s="33"/>
      <c r="AH1096" s="33"/>
      <c r="AI1096" s="33"/>
      <c r="AJ1096" s="33"/>
      <c r="AK1096" s="34" t="str">
        <f aca="false">IF($B1096="","",COUNTIF($F1096:$AJ1096,"P"))</f>
        <v/>
      </c>
      <c r="AL1096" s="34" t="str">
        <f aca="false">IF($B1096="","",COUNTIF($F1096:$AJ1096,"A"))</f>
        <v/>
      </c>
      <c r="AM1096" s="34" t="str">
        <f aca="false">IF($B1096="","",COUNTIF($F1096:$AJ1096,"HA"))</f>
        <v/>
      </c>
      <c r="AN1096" s="34" t="str">
        <f aca="false">IF($B1096="","",COUNTIF($F1096:$AJ1096,"L"))</f>
        <v/>
      </c>
      <c r="AO1096" s="34" t="str">
        <f aca="false">IF($B1096="","",COUNTIF($F1096:$AJ1096,"PL"))</f>
        <v/>
      </c>
      <c r="AP1096" s="34" t="str">
        <f aca="false">IF($B1096="","",COUNTIF($F1096:$AJ1096,"CL"))</f>
        <v/>
      </c>
      <c r="AQ1096" s="34" t="str">
        <f aca="false">IF($B1096="","",COUNTIF($F1096:$AJ1096,"SL"))</f>
        <v/>
      </c>
      <c r="AR1096" s="34" t="str">
        <f aca="false">IF($B1096="","",COUNTIF($F1096:$AJ1096,"CO"))</f>
        <v/>
      </c>
      <c r="AS1096" s="34" t="str">
        <f aca="false">IF($B1096="","",COUNTIF($F1096:$AJ1096,"HPL"))</f>
        <v/>
      </c>
      <c r="AT1096" s="34" t="str">
        <f aca="false">IF($B1096="","",COUNTIF($F1096:$AJ1096,"HCL"))</f>
        <v/>
      </c>
      <c r="AU1096" s="34" t="str">
        <f aca="false">IF($B1096="","",COUNTIF($F1096:$AJ1096,"WO"))</f>
        <v/>
      </c>
      <c r="AV1096" s="34" t="str">
        <f aca="false">IF($B1096="","",COUNTIF($F1096:$AJ1096,"PH"))</f>
        <v/>
      </c>
      <c r="AW1096" s="34" t="str">
        <f aca="false">IF($B1096="","",COUNTIF($F1096:$AJ1096,"TR"))</f>
        <v/>
      </c>
      <c r="AX1096" s="35" t="str">
        <f aca="false">IF($B1096="","",AO1096+AS1096/2)</f>
        <v/>
      </c>
      <c r="AY1096" s="35" t="str">
        <f aca="false">IF($B1096="","",AQ1096)</f>
        <v/>
      </c>
      <c r="AZ1096" s="35" t="str">
        <f aca="false">IF($B1096="","",AP1096+AT1096/2)</f>
        <v/>
      </c>
      <c r="BA1096" s="35" t="str">
        <f aca="false">IF($B1096="","",AK1096+AN1096+AM1096/2+AO1096+AP1096+AQ1096+AR1096+AS1096+AT1096+AU1096+AV1096+AW1096)</f>
        <v/>
      </c>
      <c r="BB1096" s="35" t="str">
        <f aca="false">IF($B1096="","",MAX(0,AN1096-Settings!$C$16)*Settings!$C$17)</f>
        <v/>
      </c>
      <c r="BC1096" s="35" t="str">
        <f aca="false">IF($B1096="","",BA1096-BB1096)</f>
        <v/>
      </c>
      <c r="BD1096" s="35" t="str">
        <f aca="false">IF(OR($B1096="",$A1096=""),"",DAY(EOMONTH($A1096,0))-COUNTA($F1096:$AJ1096))</f>
        <v/>
      </c>
    </row>
    <row r="1097" customFormat="false" ht="15" hidden="false" customHeight="false" outlineLevel="0" collapsed="false">
      <c r="A1097" s="32"/>
      <c r="B1097" s="29"/>
      <c r="C1097" s="10" t="str">
        <f aca="false">IF($B1097="","",IFERROR(INDEX(M_name,MATCH($B1097,M_emp,0)),"Code not found"))</f>
        <v/>
      </c>
      <c r="D1097" s="10" t="str">
        <f aca="false">IF($B1097="","",IFERROR(INDEX(M_dept,MATCH($B1097,M_emp,0)),""))</f>
        <v/>
      </c>
      <c r="E1097" s="10" t="str">
        <f aca="false">IF($B1097="","",IFERROR(INDEX(M_loc,MATCH($B1097,M_emp,0)),""))</f>
        <v/>
      </c>
      <c r="F1097" s="33"/>
      <c r="G1097" s="33"/>
      <c r="H1097" s="33"/>
      <c r="I1097" s="33"/>
      <c r="J1097" s="33"/>
      <c r="K1097" s="33"/>
      <c r="L1097" s="33"/>
      <c r="M1097" s="33"/>
      <c r="N1097" s="33"/>
      <c r="O1097" s="33"/>
      <c r="P1097" s="33"/>
      <c r="Q1097" s="33"/>
      <c r="R1097" s="33"/>
      <c r="S1097" s="33"/>
      <c r="T1097" s="33"/>
      <c r="U1097" s="33"/>
      <c r="V1097" s="33"/>
      <c r="W1097" s="33"/>
      <c r="X1097" s="33"/>
      <c r="Y1097" s="33"/>
      <c r="Z1097" s="33"/>
      <c r="AA1097" s="33"/>
      <c r="AB1097" s="33"/>
      <c r="AC1097" s="33"/>
      <c r="AD1097" s="33"/>
      <c r="AE1097" s="33"/>
      <c r="AF1097" s="33"/>
      <c r="AG1097" s="33"/>
      <c r="AH1097" s="33"/>
      <c r="AI1097" s="33"/>
      <c r="AJ1097" s="33"/>
      <c r="AK1097" s="34" t="str">
        <f aca="false">IF($B1097="","",COUNTIF($F1097:$AJ1097,"P"))</f>
        <v/>
      </c>
      <c r="AL1097" s="34" t="str">
        <f aca="false">IF($B1097="","",COUNTIF($F1097:$AJ1097,"A"))</f>
        <v/>
      </c>
      <c r="AM1097" s="34" t="str">
        <f aca="false">IF($B1097="","",COUNTIF($F1097:$AJ1097,"HA"))</f>
        <v/>
      </c>
      <c r="AN1097" s="34" t="str">
        <f aca="false">IF($B1097="","",COUNTIF($F1097:$AJ1097,"L"))</f>
        <v/>
      </c>
      <c r="AO1097" s="34" t="str">
        <f aca="false">IF($B1097="","",COUNTIF($F1097:$AJ1097,"PL"))</f>
        <v/>
      </c>
      <c r="AP1097" s="34" t="str">
        <f aca="false">IF($B1097="","",COUNTIF($F1097:$AJ1097,"CL"))</f>
        <v/>
      </c>
      <c r="AQ1097" s="34" t="str">
        <f aca="false">IF($B1097="","",COUNTIF($F1097:$AJ1097,"SL"))</f>
        <v/>
      </c>
      <c r="AR1097" s="34" t="str">
        <f aca="false">IF($B1097="","",COUNTIF($F1097:$AJ1097,"CO"))</f>
        <v/>
      </c>
      <c r="AS1097" s="34" t="str">
        <f aca="false">IF($B1097="","",COUNTIF($F1097:$AJ1097,"HPL"))</f>
        <v/>
      </c>
      <c r="AT1097" s="34" t="str">
        <f aca="false">IF($B1097="","",COUNTIF($F1097:$AJ1097,"HCL"))</f>
        <v/>
      </c>
      <c r="AU1097" s="34" t="str">
        <f aca="false">IF($B1097="","",COUNTIF($F1097:$AJ1097,"WO"))</f>
        <v/>
      </c>
      <c r="AV1097" s="34" t="str">
        <f aca="false">IF($B1097="","",COUNTIF($F1097:$AJ1097,"PH"))</f>
        <v/>
      </c>
      <c r="AW1097" s="34" t="str">
        <f aca="false">IF($B1097="","",COUNTIF($F1097:$AJ1097,"TR"))</f>
        <v/>
      </c>
      <c r="AX1097" s="35" t="str">
        <f aca="false">IF($B1097="","",AO1097+AS1097/2)</f>
        <v/>
      </c>
      <c r="AY1097" s="35" t="str">
        <f aca="false">IF($B1097="","",AQ1097)</f>
        <v/>
      </c>
      <c r="AZ1097" s="35" t="str">
        <f aca="false">IF($B1097="","",AP1097+AT1097/2)</f>
        <v/>
      </c>
      <c r="BA1097" s="35" t="str">
        <f aca="false">IF($B1097="","",AK1097+AN1097+AM1097/2+AO1097+AP1097+AQ1097+AR1097+AS1097+AT1097+AU1097+AV1097+AW1097)</f>
        <v/>
      </c>
      <c r="BB1097" s="35" t="str">
        <f aca="false">IF($B1097="","",MAX(0,AN1097-Settings!$C$16)*Settings!$C$17)</f>
        <v/>
      </c>
      <c r="BC1097" s="35" t="str">
        <f aca="false">IF($B1097="","",BA1097-BB1097)</f>
        <v/>
      </c>
      <c r="BD1097" s="35" t="str">
        <f aca="false">IF(OR($B1097="",$A1097=""),"",DAY(EOMONTH($A1097,0))-COUNTA($F1097:$AJ1097))</f>
        <v/>
      </c>
    </row>
    <row r="1098" customFormat="false" ht="15" hidden="false" customHeight="false" outlineLevel="0" collapsed="false">
      <c r="A1098" s="32"/>
      <c r="B1098" s="29"/>
      <c r="C1098" s="10" t="str">
        <f aca="false">IF($B1098="","",IFERROR(INDEX(M_name,MATCH($B1098,M_emp,0)),"Code not found"))</f>
        <v/>
      </c>
      <c r="D1098" s="10" t="str">
        <f aca="false">IF($B1098="","",IFERROR(INDEX(M_dept,MATCH($B1098,M_emp,0)),""))</f>
        <v/>
      </c>
      <c r="E1098" s="10" t="str">
        <f aca="false">IF($B1098="","",IFERROR(INDEX(M_loc,MATCH($B1098,M_emp,0)),""))</f>
        <v/>
      </c>
      <c r="F1098" s="33"/>
      <c r="G1098" s="33"/>
      <c r="H1098" s="33"/>
      <c r="I1098" s="33"/>
      <c r="J1098" s="33"/>
      <c r="K1098" s="33"/>
      <c r="L1098" s="33"/>
      <c r="M1098" s="33"/>
      <c r="N1098" s="33"/>
      <c r="O1098" s="33"/>
      <c r="P1098" s="33"/>
      <c r="Q1098" s="33"/>
      <c r="R1098" s="33"/>
      <c r="S1098" s="33"/>
      <c r="T1098" s="33"/>
      <c r="U1098" s="33"/>
      <c r="V1098" s="33"/>
      <c r="W1098" s="33"/>
      <c r="X1098" s="33"/>
      <c r="Y1098" s="33"/>
      <c r="Z1098" s="33"/>
      <c r="AA1098" s="33"/>
      <c r="AB1098" s="33"/>
      <c r="AC1098" s="33"/>
      <c r="AD1098" s="33"/>
      <c r="AE1098" s="33"/>
      <c r="AF1098" s="33"/>
      <c r="AG1098" s="33"/>
      <c r="AH1098" s="33"/>
      <c r="AI1098" s="33"/>
      <c r="AJ1098" s="33"/>
      <c r="AK1098" s="34" t="str">
        <f aca="false">IF($B1098="","",COUNTIF($F1098:$AJ1098,"P"))</f>
        <v/>
      </c>
      <c r="AL1098" s="34" t="str">
        <f aca="false">IF($B1098="","",COUNTIF($F1098:$AJ1098,"A"))</f>
        <v/>
      </c>
      <c r="AM1098" s="34" t="str">
        <f aca="false">IF($B1098="","",COUNTIF($F1098:$AJ1098,"HA"))</f>
        <v/>
      </c>
      <c r="AN1098" s="34" t="str">
        <f aca="false">IF($B1098="","",COUNTIF($F1098:$AJ1098,"L"))</f>
        <v/>
      </c>
      <c r="AO1098" s="34" t="str">
        <f aca="false">IF($B1098="","",COUNTIF($F1098:$AJ1098,"PL"))</f>
        <v/>
      </c>
      <c r="AP1098" s="34" t="str">
        <f aca="false">IF($B1098="","",COUNTIF($F1098:$AJ1098,"CL"))</f>
        <v/>
      </c>
      <c r="AQ1098" s="34" t="str">
        <f aca="false">IF($B1098="","",COUNTIF($F1098:$AJ1098,"SL"))</f>
        <v/>
      </c>
      <c r="AR1098" s="34" t="str">
        <f aca="false">IF($B1098="","",COUNTIF($F1098:$AJ1098,"CO"))</f>
        <v/>
      </c>
      <c r="AS1098" s="34" t="str">
        <f aca="false">IF($B1098="","",COUNTIF($F1098:$AJ1098,"HPL"))</f>
        <v/>
      </c>
      <c r="AT1098" s="34" t="str">
        <f aca="false">IF($B1098="","",COUNTIF($F1098:$AJ1098,"HCL"))</f>
        <v/>
      </c>
      <c r="AU1098" s="34" t="str">
        <f aca="false">IF($B1098="","",COUNTIF($F1098:$AJ1098,"WO"))</f>
        <v/>
      </c>
      <c r="AV1098" s="34" t="str">
        <f aca="false">IF($B1098="","",COUNTIF($F1098:$AJ1098,"PH"))</f>
        <v/>
      </c>
      <c r="AW1098" s="34" t="str">
        <f aca="false">IF($B1098="","",COUNTIF($F1098:$AJ1098,"TR"))</f>
        <v/>
      </c>
      <c r="AX1098" s="35" t="str">
        <f aca="false">IF($B1098="","",AO1098+AS1098/2)</f>
        <v/>
      </c>
      <c r="AY1098" s="35" t="str">
        <f aca="false">IF($B1098="","",AQ1098)</f>
        <v/>
      </c>
      <c r="AZ1098" s="35" t="str">
        <f aca="false">IF($B1098="","",AP1098+AT1098/2)</f>
        <v/>
      </c>
      <c r="BA1098" s="35" t="str">
        <f aca="false">IF($B1098="","",AK1098+AN1098+AM1098/2+AO1098+AP1098+AQ1098+AR1098+AS1098+AT1098+AU1098+AV1098+AW1098)</f>
        <v/>
      </c>
      <c r="BB1098" s="35" t="str">
        <f aca="false">IF($B1098="","",MAX(0,AN1098-Settings!$C$16)*Settings!$C$17)</f>
        <v/>
      </c>
      <c r="BC1098" s="35" t="str">
        <f aca="false">IF($B1098="","",BA1098-BB1098)</f>
        <v/>
      </c>
      <c r="BD1098" s="35" t="str">
        <f aca="false">IF(OR($B1098="",$A1098=""),"",DAY(EOMONTH($A1098,0))-COUNTA($F1098:$AJ1098))</f>
        <v/>
      </c>
    </row>
    <row r="1099" customFormat="false" ht="15" hidden="false" customHeight="false" outlineLevel="0" collapsed="false">
      <c r="A1099" s="32"/>
      <c r="B1099" s="29"/>
      <c r="C1099" s="10" t="str">
        <f aca="false">IF($B1099="","",IFERROR(INDEX(M_name,MATCH($B1099,M_emp,0)),"Code not found"))</f>
        <v/>
      </c>
      <c r="D1099" s="10" t="str">
        <f aca="false">IF($B1099="","",IFERROR(INDEX(M_dept,MATCH($B1099,M_emp,0)),""))</f>
        <v/>
      </c>
      <c r="E1099" s="10" t="str">
        <f aca="false">IF($B1099="","",IFERROR(INDEX(M_loc,MATCH($B1099,M_emp,0)),""))</f>
        <v/>
      </c>
      <c r="F1099" s="33"/>
      <c r="G1099" s="33"/>
      <c r="H1099" s="33"/>
      <c r="I1099" s="33"/>
      <c r="J1099" s="33"/>
      <c r="K1099" s="33"/>
      <c r="L1099" s="33"/>
      <c r="M1099" s="33"/>
      <c r="N1099" s="33"/>
      <c r="O1099" s="33"/>
      <c r="P1099" s="33"/>
      <c r="Q1099" s="33"/>
      <c r="R1099" s="33"/>
      <c r="S1099" s="33"/>
      <c r="T1099" s="33"/>
      <c r="U1099" s="33"/>
      <c r="V1099" s="33"/>
      <c r="W1099" s="33"/>
      <c r="X1099" s="33"/>
      <c r="Y1099" s="33"/>
      <c r="Z1099" s="33"/>
      <c r="AA1099" s="33"/>
      <c r="AB1099" s="33"/>
      <c r="AC1099" s="33"/>
      <c r="AD1099" s="33"/>
      <c r="AE1099" s="33"/>
      <c r="AF1099" s="33"/>
      <c r="AG1099" s="33"/>
      <c r="AH1099" s="33"/>
      <c r="AI1099" s="33"/>
      <c r="AJ1099" s="33"/>
      <c r="AK1099" s="34" t="str">
        <f aca="false">IF($B1099="","",COUNTIF($F1099:$AJ1099,"P"))</f>
        <v/>
      </c>
      <c r="AL1099" s="34" t="str">
        <f aca="false">IF($B1099="","",COUNTIF($F1099:$AJ1099,"A"))</f>
        <v/>
      </c>
      <c r="AM1099" s="34" t="str">
        <f aca="false">IF($B1099="","",COUNTIF($F1099:$AJ1099,"HA"))</f>
        <v/>
      </c>
      <c r="AN1099" s="34" t="str">
        <f aca="false">IF($B1099="","",COUNTIF($F1099:$AJ1099,"L"))</f>
        <v/>
      </c>
      <c r="AO1099" s="34" t="str">
        <f aca="false">IF($B1099="","",COUNTIF($F1099:$AJ1099,"PL"))</f>
        <v/>
      </c>
      <c r="AP1099" s="34" t="str">
        <f aca="false">IF($B1099="","",COUNTIF($F1099:$AJ1099,"CL"))</f>
        <v/>
      </c>
      <c r="AQ1099" s="34" t="str">
        <f aca="false">IF($B1099="","",COUNTIF($F1099:$AJ1099,"SL"))</f>
        <v/>
      </c>
      <c r="AR1099" s="34" t="str">
        <f aca="false">IF($B1099="","",COUNTIF($F1099:$AJ1099,"CO"))</f>
        <v/>
      </c>
      <c r="AS1099" s="34" t="str">
        <f aca="false">IF($B1099="","",COUNTIF($F1099:$AJ1099,"HPL"))</f>
        <v/>
      </c>
      <c r="AT1099" s="34" t="str">
        <f aca="false">IF($B1099="","",COUNTIF($F1099:$AJ1099,"HCL"))</f>
        <v/>
      </c>
      <c r="AU1099" s="34" t="str">
        <f aca="false">IF($B1099="","",COUNTIF($F1099:$AJ1099,"WO"))</f>
        <v/>
      </c>
      <c r="AV1099" s="34" t="str">
        <f aca="false">IF($B1099="","",COUNTIF($F1099:$AJ1099,"PH"))</f>
        <v/>
      </c>
      <c r="AW1099" s="34" t="str">
        <f aca="false">IF($B1099="","",COUNTIF($F1099:$AJ1099,"TR"))</f>
        <v/>
      </c>
      <c r="AX1099" s="35" t="str">
        <f aca="false">IF($B1099="","",AO1099+AS1099/2)</f>
        <v/>
      </c>
      <c r="AY1099" s="35" t="str">
        <f aca="false">IF($B1099="","",AQ1099)</f>
        <v/>
      </c>
      <c r="AZ1099" s="35" t="str">
        <f aca="false">IF($B1099="","",AP1099+AT1099/2)</f>
        <v/>
      </c>
      <c r="BA1099" s="35" t="str">
        <f aca="false">IF($B1099="","",AK1099+AN1099+AM1099/2+AO1099+AP1099+AQ1099+AR1099+AS1099+AT1099+AU1099+AV1099+AW1099)</f>
        <v/>
      </c>
      <c r="BB1099" s="35" t="str">
        <f aca="false">IF($B1099="","",MAX(0,AN1099-Settings!$C$16)*Settings!$C$17)</f>
        <v/>
      </c>
      <c r="BC1099" s="35" t="str">
        <f aca="false">IF($B1099="","",BA1099-BB1099)</f>
        <v/>
      </c>
      <c r="BD1099" s="35" t="str">
        <f aca="false">IF(OR($B1099="",$A1099=""),"",DAY(EOMONTH($A1099,0))-COUNTA($F1099:$AJ1099))</f>
        <v/>
      </c>
    </row>
    <row r="1100" customFormat="false" ht="15" hidden="false" customHeight="false" outlineLevel="0" collapsed="false">
      <c r="A1100" s="32"/>
      <c r="B1100" s="29"/>
      <c r="C1100" s="10" t="str">
        <f aca="false">IF($B1100="","",IFERROR(INDEX(M_name,MATCH($B1100,M_emp,0)),"Code not found"))</f>
        <v/>
      </c>
      <c r="D1100" s="10" t="str">
        <f aca="false">IF($B1100="","",IFERROR(INDEX(M_dept,MATCH($B1100,M_emp,0)),""))</f>
        <v/>
      </c>
      <c r="E1100" s="10" t="str">
        <f aca="false">IF($B1100="","",IFERROR(INDEX(M_loc,MATCH($B1100,M_emp,0)),""))</f>
        <v/>
      </c>
      <c r="F1100" s="33"/>
      <c r="G1100" s="33"/>
      <c r="H1100" s="33"/>
      <c r="I1100" s="33"/>
      <c r="J1100" s="33"/>
      <c r="K1100" s="33"/>
      <c r="L1100" s="33"/>
      <c r="M1100" s="33"/>
      <c r="N1100" s="33"/>
      <c r="O1100" s="33"/>
      <c r="P1100" s="33"/>
      <c r="Q1100" s="33"/>
      <c r="R1100" s="33"/>
      <c r="S1100" s="33"/>
      <c r="T1100" s="33"/>
      <c r="U1100" s="33"/>
      <c r="V1100" s="33"/>
      <c r="W1100" s="33"/>
      <c r="X1100" s="33"/>
      <c r="Y1100" s="33"/>
      <c r="Z1100" s="33"/>
      <c r="AA1100" s="33"/>
      <c r="AB1100" s="33"/>
      <c r="AC1100" s="33"/>
      <c r="AD1100" s="33"/>
      <c r="AE1100" s="33"/>
      <c r="AF1100" s="33"/>
      <c r="AG1100" s="33"/>
      <c r="AH1100" s="33"/>
      <c r="AI1100" s="33"/>
      <c r="AJ1100" s="33"/>
      <c r="AK1100" s="34" t="str">
        <f aca="false">IF($B1100="","",COUNTIF($F1100:$AJ1100,"P"))</f>
        <v/>
      </c>
      <c r="AL1100" s="34" t="str">
        <f aca="false">IF($B1100="","",COUNTIF($F1100:$AJ1100,"A"))</f>
        <v/>
      </c>
      <c r="AM1100" s="34" t="str">
        <f aca="false">IF($B1100="","",COUNTIF($F1100:$AJ1100,"HA"))</f>
        <v/>
      </c>
      <c r="AN1100" s="34" t="str">
        <f aca="false">IF($B1100="","",COUNTIF($F1100:$AJ1100,"L"))</f>
        <v/>
      </c>
      <c r="AO1100" s="34" t="str">
        <f aca="false">IF($B1100="","",COUNTIF($F1100:$AJ1100,"PL"))</f>
        <v/>
      </c>
      <c r="AP1100" s="34" t="str">
        <f aca="false">IF($B1100="","",COUNTIF($F1100:$AJ1100,"CL"))</f>
        <v/>
      </c>
      <c r="AQ1100" s="34" t="str">
        <f aca="false">IF($B1100="","",COUNTIF($F1100:$AJ1100,"SL"))</f>
        <v/>
      </c>
      <c r="AR1100" s="34" t="str">
        <f aca="false">IF($B1100="","",COUNTIF($F1100:$AJ1100,"CO"))</f>
        <v/>
      </c>
      <c r="AS1100" s="34" t="str">
        <f aca="false">IF($B1100="","",COUNTIF($F1100:$AJ1100,"HPL"))</f>
        <v/>
      </c>
      <c r="AT1100" s="34" t="str">
        <f aca="false">IF($B1100="","",COUNTIF($F1100:$AJ1100,"HCL"))</f>
        <v/>
      </c>
      <c r="AU1100" s="34" t="str">
        <f aca="false">IF($B1100="","",COUNTIF($F1100:$AJ1100,"WO"))</f>
        <v/>
      </c>
      <c r="AV1100" s="34" t="str">
        <f aca="false">IF($B1100="","",COUNTIF($F1100:$AJ1100,"PH"))</f>
        <v/>
      </c>
      <c r="AW1100" s="34" t="str">
        <f aca="false">IF($B1100="","",COUNTIF($F1100:$AJ1100,"TR"))</f>
        <v/>
      </c>
      <c r="AX1100" s="35" t="str">
        <f aca="false">IF($B1100="","",AO1100+AS1100/2)</f>
        <v/>
      </c>
      <c r="AY1100" s="35" t="str">
        <f aca="false">IF($B1100="","",AQ1100)</f>
        <v/>
      </c>
      <c r="AZ1100" s="35" t="str">
        <f aca="false">IF($B1100="","",AP1100+AT1100/2)</f>
        <v/>
      </c>
      <c r="BA1100" s="35" t="str">
        <f aca="false">IF($B1100="","",AK1100+AN1100+AM1100/2+AO1100+AP1100+AQ1100+AR1100+AS1100+AT1100+AU1100+AV1100+AW1100)</f>
        <v/>
      </c>
      <c r="BB1100" s="35" t="str">
        <f aca="false">IF($B1100="","",MAX(0,AN1100-Settings!$C$16)*Settings!$C$17)</f>
        <v/>
      </c>
      <c r="BC1100" s="35" t="str">
        <f aca="false">IF($B1100="","",BA1100-BB1100)</f>
        <v/>
      </c>
      <c r="BD1100" s="35" t="str">
        <f aca="false">IF(OR($B1100="",$A1100=""),"",DAY(EOMONTH($A1100,0))-COUNTA($F1100:$AJ1100))</f>
        <v/>
      </c>
    </row>
    <row r="1101" customFormat="false" ht="15" hidden="false" customHeight="false" outlineLevel="0" collapsed="false">
      <c r="A1101" s="32"/>
      <c r="B1101" s="29"/>
      <c r="C1101" s="10" t="str">
        <f aca="false">IF($B1101="","",IFERROR(INDEX(M_name,MATCH($B1101,M_emp,0)),"Code not found"))</f>
        <v/>
      </c>
      <c r="D1101" s="10" t="str">
        <f aca="false">IF($B1101="","",IFERROR(INDEX(M_dept,MATCH($B1101,M_emp,0)),""))</f>
        <v/>
      </c>
      <c r="E1101" s="10" t="str">
        <f aca="false">IF($B1101="","",IFERROR(INDEX(M_loc,MATCH($B1101,M_emp,0)),""))</f>
        <v/>
      </c>
      <c r="F1101" s="33"/>
      <c r="G1101" s="33"/>
      <c r="H1101" s="33"/>
      <c r="I1101" s="33"/>
      <c r="J1101" s="33"/>
      <c r="K1101" s="33"/>
      <c r="L1101" s="33"/>
      <c r="M1101" s="33"/>
      <c r="N1101" s="33"/>
      <c r="O1101" s="33"/>
      <c r="P1101" s="33"/>
      <c r="Q1101" s="33"/>
      <c r="R1101" s="33"/>
      <c r="S1101" s="33"/>
      <c r="T1101" s="33"/>
      <c r="U1101" s="33"/>
      <c r="V1101" s="33"/>
      <c r="W1101" s="33"/>
      <c r="X1101" s="33"/>
      <c r="Y1101" s="33"/>
      <c r="Z1101" s="33"/>
      <c r="AA1101" s="33"/>
      <c r="AB1101" s="33"/>
      <c r="AC1101" s="33"/>
      <c r="AD1101" s="33"/>
      <c r="AE1101" s="33"/>
      <c r="AF1101" s="33"/>
      <c r="AG1101" s="33"/>
      <c r="AH1101" s="33"/>
      <c r="AI1101" s="33"/>
      <c r="AJ1101" s="33"/>
      <c r="AK1101" s="34" t="str">
        <f aca="false">IF($B1101="","",COUNTIF($F1101:$AJ1101,"P"))</f>
        <v/>
      </c>
      <c r="AL1101" s="34" t="str">
        <f aca="false">IF($B1101="","",COUNTIF($F1101:$AJ1101,"A"))</f>
        <v/>
      </c>
      <c r="AM1101" s="34" t="str">
        <f aca="false">IF($B1101="","",COUNTIF($F1101:$AJ1101,"HA"))</f>
        <v/>
      </c>
      <c r="AN1101" s="34" t="str">
        <f aca="false">IF($B1101="","",COUNTIF($F1101:$AJ1101,"L"))</f>
        <v/>
      </c>
      <c r="AO1101" s="34" t="str">
        <f aca="false">IF($B1101="","",COUNTIF($F1101:$AJ1101,"PL"))</f>
        <v/>
      </c>
      <c r="AP1101" s="34" t="str">
        <f aca="false">IF($B1101="","",COUNTIF($F1101:$AJ1101,"CL"))</f>
        <v/>
      </c>
      <c r="AQ1101" s="34" t="str">
        <f aca="false">IF($B1101="","",COUNTIF($F1101:$AJ1101,"SL"))</f>
        <v/>
      </c>
      <c r="AR1101" s="34" t="str">
        <f aca="false">IF($B1101="","",COUNTIF($F1101:$AJ1101,"CO"))</f>
        <v/>
      </c>
      <c r="AS1101" s="34" t="str">
        <f aca="false">IF($B1101="","",COUNTIF($F1101:$AJ1101,"HPL"))</f>
        <v/>
      </c>
      <c r="AT1101" s="34" t="str">
        <f aca="false">IF($B1101="","",COUNTIF($F1101:$AJ1101,"HCL"))</f>
        <v/>
      </c>
      <c r="AU1101" s="34" t="str">
        <f aca="false">IF($B1101="","",COUNTIF($F1101:$AJ1101,"WO"))</f>
        <v/>
      </c>
      <c r="AV1101" s="34" t="str">
        <f aca="false">IF($B1101="","",COUNTIF($F1101:$AJ1101,"PH"))</f>
        <v/>
      </c>
      <c r="AW1101" s="34" t="str">
        <f aca="false">IF($B1101="","",COUNTIF($F1101:$AJ1101,"TR"))</f>
        <v/>
      </c>
      <c r="AX1101" s="35" t="str">
        <f aca="false">IF($B1101="","",AO1101+AS1101/2)</f>
        <v/>
      </c>
      <c r="AY1101" s="35" t="str">
        <f aca="false">IF($B1101="","",AQ1101)</f>
        <v/>
      </c>
      <c r="AZ1101" s="35" t="str">
        <f aca="false">IF($B1101="","",AP1101+AT1101/2)</f>
        <v/>
      </c>
      <c r="BA1101" s="35" t="str">
        <f aca="false">IF($B1101="","",AK1101+AN1101+AM1101/2+AO1101+AP1101+AQ1101+AR1101+AS1101+AT1101+AU1101+AV1101+AW1101)</f>
        <v/>
      </c>
      <c r="BB1101" s="35" t="str">
        <f aca="false">IF($B1101="","",MAX(0,AN1101-Settings!$C$16)*Settings!$C$17)</f>
        <v/>
      </c>
      <c r="BC1101" s="35" t="str">
        <f aca="false">IF($B1101="","",BA1101-BB1101)</f>
        <v/>
      </c>
      <c r="BD1101" s="35" t="str">
        <f aca="false">IF(OR($B1101="",$A1101=""),"",DAY(EOMONTH($A1101,0))-COUNTA($F1101:$AJ1101))</f>
        <v/>
      </c>
    </row>
    <row r="1102" customFormat="false" ht="15" hidden="false" customHeight="false" outlineLevel="0" collapsed="false">
      <c r="A1102" s="32"/>
      <c r="B1102" s="29"/>
      <c r="C1102" s="10" t="str">
        <f aca="false">IF($B1102="","",IFERROR(INDEX(M_name,MATCH($B1102,M_emp,0)),"Code not found"))</f>
        <v/>
      </c>
      <c r="D1102" s="10" t="str">
        <f aca="false">IF($B1102="","",IFERROR(INDEX(M_dept,MATCH($B1102,M_emp,0)),""))</f>
        <v/>
      </c>
      <c r="E1102" s="10" t="str">
        <f aca="false">IF($B1102="","",IFERROR(INDEX(M_loc,MATCH($B1102,M_emp,0)),""))</f>
        <v/>
      </c>
      <c r="F1102" s="33"/>
      <c r="G1102" s="33"/>
      <c r="H1102" s="33"/>
      <c r="I1102" s="33"/>
      <c r="J1102" s="33"/>
      <c r="K1102" s="33"/>
      <c r="L1102" s="33"/>
      <c r="M1102" s="33"/>
      <c r="N1102" s="33"/>
      <c r="O1102" s="33"/>
      <c r="P1102" s="33"/>
      <c r="Q1102" s="33"/>
      <c r="R1102" s="33"/>
      <c r="S1102" s="33"/>
      <c r="T1102" s="33"/>
      <c r="U1102" s="33"/>
      <c r="V1102" s="33"/>
      <c r="W1102" s="33"/>
      <c r="X1102" s="33"/>
      <c r="Y1102" s="33"/>
      <c r="Z1102" s="33"/>
      <c r="AA1102" s="33"/>
      <c r="AB1102" s="33"/>
      <c r="AC1102" s="33"/>
      <c r="AD1102" s="33"/>
      <c r="AE1102" s="33"/>
      <c r="AF1102" s="33"/>
      <c r="AG1102" s="33"/>
      <c r="AH1102" s="33"/>
      <c r="AI1102" s="33"/>
      <c r="AJ1102" s="33"/>
      <c r="AK1102" s="34" t="str">
        <f aca="false">IF($B1102="","",COUNTIF($F1102:$AJ1102,"P"))</f>
        <v/>
      </c>
      <c r="AL1102" s="34" t="str">
        <f aca="false">IF($B1102="","",COUNTIF($F1102:$AJ1102,"A"))</f>
        <v/>
      </c>
      <c r="AM1102" s="34" t="str">
        <f aca="false">IF($B1102="","",COUNTIF($F1102:$AJ1102,"HA"))</f>
        <v/>
      </c>
      <c r="AN1102" s="34" t="str">
        <f aca="false">IF($B1102="","",COUNTIF($F1102:$AJ1102,"L"))</f>
        <v/>
      </c>
      <c r="AO1102" s="34" t="str">
        <f aca="false">IF($B1102="","",COUNTIF($F1102:$AJ1102,"PL"))</f>
        <v/>
      </c>
      <c r="AP1102" s="34" t="str">
        <f aca="false">IF($B1102="","",COUNTIF($F1102:$AJ1102,"CL"))</f>
        <v/>
      </c>
      <c r="AQ1102" s="34" t="str">
        <f aca="false">IF($B1102="","",COUNTIF($F1102:$AJ1102,"SL"))</f>
        <v/>
      </c>
      <c r="AR1102" s="34" t="str">
        <f aca="false">IF($B1102="","",COUNTIF($F1102:$AJ1102,"CO"))</f>
        <v/>
      </c>
      <c r="AS1102" s="34" t="str">
        <f aca="false">IF($B1102="","",COUNTIF($F1102:$AJ1102,"HPL"))</f>
        <v/>
      </c>
      <c r="AT1102" s="34" t="str">
        <f aca="false">IF($B1102="","",COUNTIF($F1102:$AJ1102,"HCL"))</f>
        <v/>
      </c>
      <c r="AU1102" s="34" t="str">
        <f aca="false">IF($B1102="","",COUNTIF($F1102:$AJ1102,"WO"))</f>
        <v/>
      </c>
      <c r="AV1102" s="34" t="str">
        <f aca="false">IF($B1102="","",COUNTIF($F1102:$AJ1102,"PH"))</f>
        <v/>
      </c>
      <c r="AW1102" s="34" t="str">
        <f aca="false">IF($B1102="","",COUNTIF($F1102:$AJ1102,"TR"))</f>
        <v/>
      </c>
      <c r="AX1102" s="35" t="str">
        <f aca="false">IF($B1102="","",AO1102+AS1102/2)</f>
        <v/>
      </c>
      <c r="AY1102" s="35" t="str">
        <f aca="false">IF($B1102="","",AQ1102)</f>
        <v/>
      </c>
      <c r="AZ1102" s="35" t="str">
        <f aca="false">IF($B1102="","",AP1102+AT1102/2)</f>
        <v/>
      </c>
      <c r="BA1102" s="35" t="str">
        <f aca="false">IF($B1102="","",AK1102+AN1102+AM1102/2+AO1102+AP1102+AQ1102+AR1102+AS1102+AT1102+AU1102+AV1102+AW1102)</f>
        <v/>
      </c>
      <c r="BB1102" s="35" t="str">
        <f aca="false">IF($B1102="","",MAX(0,AN1102-Settings!$C$16)*Settings!$C$17)</f>
        <v/>
      </c>
      <c r="BC1102" s="35" t="str">
        <f aca="false">IF($B1102="","",BA1102-BB1102)</f>
        <v/>
      </c>
      <c r="BD1102" s="35" t="str">
        <f aca="false">IF(OR($B1102="",$A1102=""),"",DAY(EOMONTH($A1102,0))-COUNTA($F1102:$AJ1102))</f>
        <v/>
      </c>
    </row>
    <row r="1103" customFormat="false" ht="15" hidden="false" customHeight="false" outlineLevel="0" collapsed="false">
      <c r="A1103" s="32"/>
      <c r="B1103" s="29"/>
      <c r="C1103" s="10" t="str">
        <f aca="false">IF($B1103="","",IFERROR(INDEX(M_name,MATCH($B1103,M_emp,0)),"Code not found"))</f>
        <v/>
      </c>
      <c r="D1103" s="10" t="str">
        <f aca="false">IF($B1103="","",IFERROR(INDEX(M_dept,MATCH($B1103,M_emp,0)),""))</f>
        <v/>
      </c>
      <c r="E1103" s="10" t="str">
        <f aca="false">IF($B1103="","",IFERROR(INDEX(M_loc,MATCH($B1103,M_emp,0)),""))</f>
        <v/>
      </c>
      <c r="F1103" s="33"/>
      <c r="G1103" s="33"/>
      <c r="H1103" s="33"/>
      <c r="I1103" s="33"/>
      <c r="J1103" s="33"/>
      <c r="K1103" s="33"/>
      <c r="L1103" s="33"/>
      <c r="M1103" s="33"/>
      <c r="N1103" s="33"/>
      <c r="O1103" s="33"/>
      <c r="P1103" s="33"/>
      <c r="Q1103" s="33"/>
      <c r="R1103" s="33"/>
      <c r="S1103" s="33"/>
      <c r="T1103" s="33"/>
      <c r="U1103" s="33"/>
      <c r="V1103" s="33"/>
      <c r="W1103" s="33"/>
      <c r="X1103" s="33"/>
      <c r="Y1103" s="33"/>
      <c r="Z1103" s="33"/>
      <c r="AA1103" s="33"/>
      <c r="AB1103" s="33"/>
      <c r="AC1103" s="33"/>
      <c r="AD1103" s="33"/>
      <c r="AE1103" s="33"/>
      <c r="AF1103" s="33"/>
      <c r="AG1103" s="33"/>
      <c r="AH1103" s="33"/>
      <c r="AI1103" s="33"/>
      <c r="AJ1103" s="33"/>
      <c r="AK1103" s="34" t="str">
        <f aca="false">IF($B1103="","",COUNTIF($F1103:$AJ1103,"P"))</f>
        <v/>
      </c>
      <c r="AL1103" s="34" t="str">
        <f aca="false">IF($B1103="","",COUNTIF($F1103:$AJ1103,"A"))</f>
        <v/>
      </c>
      <c r="AM1103" s="34" t="str">
        <f aca="false">IF($B1103="","",COUNTIF($F1103:$AJ1103,"HA"))</f>
        <v/>
      </c>
      <c r="AN1103" s="34" t="str">
        <f aca="false">IF($B1103="","",COUNTIF($F1103:$AJ1103,"L"))</f>
        <v/>
      </c>
      <c r="AO1103" s="34" t="str">
        <f aca="false">IF($B1103="","",COUNTIF($F1103:$AJ1103,"PL"))</f>
        <v/>
      </c>
      <c r="AP1103" s="34" t="str">
        <f aca="false">IF($B1103="","",COUNTIF($F1103:$AJ1103,"CL"))</f>
        <v/>
      </c>
      <c r="AQ1103" s="34" t="str">
        <f aca="false">IF($B1103="","",COUNTIF($F1103:$AJ1103,"SL"))</f>
        <v/>
      </c>
      <c r="AR1103" s="34" t="str">
        <f aca="false">IF($B1103="","",COUNTIF($F1103:$AJ1103,"CO"))</f>
        <v/>
      </c>
      <c r="AS1103" s="34" t="str">
        <f aca="false">IF($B1103="","",COUNTIF($F1103:$AJ1103,"HPL"))</f>
        <v/>
      </c>
      <c r="AT1103" s="34" t="str">
        <f aca="false">IF($B1103="","",COUNTIF($F1103:$AJ1103,"HCL"))</f>
        <v/>
      </c>
      <c r="AU1103" s="34" t="str">
        <f aca="false">IF($B1103="","",COUNTIF($F1103:$AJ1103,"WO"))</f>
        <v/>
      </c>
      <c r="AV1103" s="34" t="str">
        <f aca="false">IF($B1103="","",COUNTIF($F1103:$AJ1103,"PH"))</f>
        <v/>
      </c>
      <c r="AW1103" s="34" t="str">
        <f aca="false">IF($B1103="","",COUNTIF($F1103:$AJ1103,"TR"))</f>
        <v/>
      </c>
      <c r="AX1103" s="35" t="str">
        <f aca="false">IF($B1103="","",AO1103+AS1103/2)</f>
        <v/>
      </c>
      <c r="AY1103" s="35" t="str">
        <f aca="false">IF($B1103="","",AQ1103)</f>
        <v/>
      </c>
      <c r="AZ1103" s="35" t="str">
        <f aca="false">IF($B1103="","",AP1103+AT1103/2)</f>
        <v/>
      </c>
      <c r="BA1103" s="35" t="str">
        <f aca="false">IF($B1103="","",AK1103+AN1103+AM1103/2+AO1103+AP1103+AQ1103+AR1103+AS1103+AT1103+AU1103+AV1103+AW1103)</f>
        <v/>
      </c>
      <c r="BB1103" s="35" t="str">
        <f aca="false">IF($B1103="","",MAX(0,AN1103-Settings!$C$16)*Settings!$C$17)</f>
        <v/>
      </c>
      <c r="BC1103" s="35" t="str">
        <f aca="false">IF($B1103="","",BA1103-BB1103)</f>
        <v/>
      </c>
      <c r="BD1103" s="35" t="str">
        <f aca="false">IF(OR($B1103="",$A1103=""),"",DAY(EOMONTH($A1103,0))-COUNTA($F1103:$AJ1103))</f>
        <v/>
      </c>
    </row>
    <row r="1104" customFormat="false" ht="15" hidden="false" customHeight="false" outlineLevel="0" collapsed="false">
      <c r="A1104" s="32"/>
      <c r="B1104" s="29"/>
      <c r="C1104" s="10" t="str">
        <f aca="false">IF($B1104="","",IFERROR(INDEX(M_name,MATCH($B1104,M_emp,0)),"Code not found"))</f>
        <v/>
      </c>
      <c r="D1104" s="10" t="str">
        <f aca="false">IF($B1104="","",IFERROR(INDEX(M_dept,MATCH($B1104,M_emp,0)),""))</f>
        <v/>
      </c>
      <c r="E1104" s="10" t="str">
        <f aca="false">IF($B1104="","",IFERROR(INDEX(M_loc,MATCH($B1104,M_emp,0)),""))</f>
        <v/>
      </c>
      <c r="F1104" s="33"/>
      <c r="G1104" s="33"/>
      <c r="H1104" s="33"/>
      <c r="I1104" s="33"/>
      <c r="J1104" s="33"/>
      <c r="K1104" s="33"/>
      <c r="L1104" s="33"/>
      <c r="M1104" s="33"/>
      <c r="N1104" s="33"/>
      <c r="O1104" s="33"/>
      <c r="P1104" s="33"/>
      <c r="Q1104" s="33"/>
      <c r="R1104" s="33"/>
      <c r="S1104" s="33"/>
      <c r="T1104" s="33"/>
      <c r="U1104" s="33"/>
      <c r="V1104" s="33"/>
      <c r="W1104" s="33"/>
      <c r="X1104" s="33"/>
      <c r="Y1104" s="33"/>
      <c r="Z1104" s="33"/>
      <c r="AA1104" s="33"/>
      <c r="AB1104" s="33"/>
      <c r="AC1104" s="33"/>
      <c r="AD1104" s="33"/>
      <c r="AE1104" s="33"/>
      <c r="AF1104" s="33"/>
      <c r="AG1104" s="33"/>
      <c r="AH1104" s="33"/>
      <c r="AI1104" s="33"/>
      <c r="AJ1104" s="33"/>
      <c r="AK1104" s="34" t="str">
        <f aca="false">IF($B1104="","",COUNTIF($F1104:$AJ1104,"P"))</f>
        <v/>
      </c>
      <c r="AL1104" s="34" t="str">
        <f aca="false">IF($B1104="","",COUNTIF($F1104:$AJ1104,"A"))</f>
        <v/>
      </c>
      <c r="AM1104" s="34" t="str">
        <f aca="false">IF($B1104="","",COUNTIF($F1104:$AJ1104,"HA"))</f>
        <v/>
      </c>
      <c r="AN1104" s="34" t="str">
        <f aca="false">IF($B1104="","",COUNTIF($F1104:$AJ1104,"L"))</f>
        <v/>
      </c>
      <c r="AO1104" s="34" t="str">
        <f aca="false">IF($B1104="","",COUNTIF($F1104:$AJ1104,"PL"))</f>
        <v/>
      </c>
      <c r="AP1104" s="34" t="str">
        <f aca="false">IF($B1104="","",COUNTIF($F1104:$AJ1104,"CL"))</f>
        <v/>
      </c>
      <c r="AQ1104" s="34" t="str">
        <f aca="false">IF($B1104="","",COUNTIF($F1104:$AJ1104,"SL"))</f>
        <v/>
      </c>
      <c r="AR1104" s="34" t="str">
        <f aca="false">IF($B1104="","",COUNTIF($F1104:$AJ1104,"CO"))</f>
        <v/>
      </c>
      <c r="AS1104" s="34" t="str">
        <f aca="false">IF($B1104="","",COUNTIF($F1104:$AJ1104,"HPL"))</f>
        <v/>
      </c>
      <c r="AT1104" s="34" t="str">
        <f aca="false">IF($B1104="","",COUNTIF($F1104:$AJ1104,"HCL"))</f>
        <v/>
      </c>
      <c r="AU1104" s="34" t="str">
        <f aca="false">IF($B1104="","",COUNTIF($F1104:$AJ1104,"WO"))</f>
        <v/>
      </c>
      <c r="AV1104" s="34" t="str">
        <f aca="false">IF($B1104="","",COUNTIF($F1104:$AJ1104,"PH"))</f>
        <v/>
      </c>
      <c r="AW1104" s="34" t="str">
        <f aca="false">IF($B1104="","",COUNTIF($F1104:$AJ1104,"TR"))</f>
        <v/>
      </c>
      <c r="AX1104" s="35" t="str">
        <f aca="false">IF($B1104="","",AO1104+AS1104/2)</f>
        <v/>
      </c>
      <c r="AY1104" s="35" t="str">
        <f aca="false">IF($B1104="","",AQ1104)</f>
        <v/>
      </c>
      <c r="AZ1104" s="35" t="str">
        <f aca="false">IF($B1104="","",AP1104+AT1104/2)</f>
        <v/>
      </c>
      <c r="BA1104" s="35" t="str">
        <f aca="false">IF($B1104="","",AK1104+AN1104+AM1104/2+AO1104+AP1104+AQ1104+AR1104+AS1104+AT1104+AU1104+AV1104+AW1104)</f>
        <v/>
      </c>
      <c r="BB1104" s="35" t="str">
        <f aca="false">IF($B1104="","",MAX(0,AN1104-Settings!$C$16)*Settings!$C$17)</f>
        <v/>
      </c>
      <c r="BC1104" s="35" t="str">
        <f aca="false">IF($B1104="","",BA1104-BB1104)</f>
        <v/>
      </c>
      <c r="BD1104" s="35" t="str">
        <f aca="false">IF(OR($B1104="",$A1104=""),"",DAY(EOMONTH($A1104,0))-COUNTA($F1104:$AJ1104))</f>
        <v/>
      </c>
    </row>
    <row r="1105" customFormat="false" ht="15" hidden="false" customHeight="false" outlineLevel="0" collapsed="false">
      <c r="A1105" s="32"/>
      <c r="B1105" s="29"/>
      <c r="C1105" s="10" t="str">
        <f aca="false">IF($B1105="","",IFERROR(INDEX(M_name,MATCH($B1105,M_emp,0)),"Code not found"))</f>
        <v/>
      </c>
      <c r="D1105" s="10" t="str">
        <f aca="false">IF($B1105="","",IFERROR(INDEX(M_dept,MATCH($B1105,M_emp,0)),""))</f>
        <v/>
      </c>
      <c r="E1105" s="10" t="str">
        <f aca="false">IF($B1105="","",IFERROR(INDEX(M_loc,MATCH($B1105,M_emp,0)),""))</f>
        <v/>
      </c>
      <c r="F1105" s="33"/>
      <c r="G1105" s="33"/>
      <c r="H1105" s="33"/>
      <c r="I1105" s="33"/>
      <c r="J1105" s="33"/>
      <c r="K1105" s="33"/>
      <c r="L1105" s="33"/>
      <c r="M1105" s="33"/>
      <c r="N1105" s="33"/>
      <c r="O1105" s="33"/>
      <c r="P1105" s="33"/>
      <c r="Q1105" s="33"/>
      <c r="R1105" s="33"/>
      <c r="S1105" s="33"/>
      <c r="T1105" s="33"/>
      <c r="U1105" s="33"/>
      <c r="V1105" s="33"/>
      <c r="W1105" s="33"/>
      <c r="X1105" s="33"/>
      <c r="Y1105" s="33"/>
      <c r="Z1105" s="33"/>
      <c r="AA1105" s="33"/>
      <c r="AB1105" s="33"/>
      <c r="AC1105" s="33"/>
      <c r="AD1105" s="33"/>
      <c r="AE1105" s="33"/>
      <c r="AF1105" s="33"/>
      <c r="AG1105" s="33"/>
      <c r="AH1105" s="33"/>
      <c r="AI1105" s="33"/>
      <c r="AJ1105" s="33"/>
      <c r="AK1105" s="34" t="str">
        <f aca="false">IF($B1105="","",COUNTIF($F1105:$AJ1105,"P"))</f>
        <v/>
      </c>
      <c r="AL1105" s="34" t="str">
        <f aca="false">IF($B1105="","",COUNTIF($F1105:$AJ1105,"A"))</f>
        <v/>
      </c>
      <c r="AM1105" s="34" t="str">
        <f aca="false">IF($B1105="","",COUNTIF($F1105:$AJ1105,"HA"))</f>
        <v/>
      </c>
      <c r="AN1105" s="34" t="str">
        <f aca="false">IF($B1105="","",COUNTIF($F1105:$AJ1105,"L"))</f>
        <v/>
      </c>
      <c r="AO1105" s="34" t="str">
        <f aca="false">IF($B1105="","",COUNTIF($F1105:$AJ1105,"PL"))</f>
        <v/>
      </c>
      <c r="AP1105" s="34" t="str">
        <f aca="false">IF($B1105="","",COUNTIF($F1105:$AJ1105,"CL"))</f>
        <v/>
      </c>
      <c r="AQ1105" s="34" t="str">
        <f aca="false">IF($B1105="","",COUNTIF($F1105:$AJ1105,"SL"))</f>
        <v/>
      </c>
      <c r="AR1105" s="34" t="str">
        <f aca="false">IF($B1105="","",COUNTIF($F1105:$AJ1105,"CO"))</f>
        <v/>
      </c>
      <c r="AS1105" s="34" t="str">
        <f aca="false">IF($B1105="","",COUNTIF($F1105:$AJ1105,"HPL"))</f>
        <v/>
      </c>
      <c r="AT1105" s="34" t="str">
        <f aca="false">IF($B1105="","",COUNTIF($F1105:$AJ1105,"HCL"))</f>
        <v/>
      </c>
      <c r="AU1105" s="34" t="str">
        <f aca="false">IF($B1105="","",COUNTIF($F1105:$AJ1105,"WO"))</f>
        <v/>
      </c>
      <c r="AV1105" s="34" t="str">
        <f aca="false">IF($B1105="","",COUNTIF($F1105:$AJ1105,"PH"))</f>
        <v/>
      </c>
      <c r="AW1105" s="34" t="str">
        <f aca="false">IF($B1105="","",COUNTIF($F1105:$AJ1105,"TR"))</f>
        <v/>
      </c>
      <c r="AX1105" s="35" t="str">
        <f aca="false">IF($B1105="","",AO1105+AS1105/2)</f>
        <v/>
      </c>
      <c r="AY1105" s="35" t="str">
        <f aca="false">IF($B1105="","",AQ1105)</f>
        <v/>
      </c>
      <c r="AZ1105" s="35" t="str">
        <f aca="false">IF($B1105="","",AP1105+AT1105/2)</f>
        <v/>
      </c>
      <c r="BA1105" s="35" t="str">
        <f aca="false">IF($B1105="","",AK1105+AN1105+AM1105/2+AO1105+AP1105+AQ1105+AR1105+AS1105+AT1105+AU1105+AV1105+AW1105)</f>
        <v/>
      </c>
      <c r="BB1105" s="35" t="str">
        <f aca="false">IF($B1105="","",MAX(0,AN1105-Settings!$C$16)*Settings!$C$17)</f>
        <v/>
      </c>
      <c r="BC1105" s="35" t="str">
        <f aca="false">IF($B1105="","",BA1105-BB1105)</f>
        <v/>
      </c>
      <c r="BD1105" s="35" t="str">
        <f aca="false">IF(OR($B1105="",$A1105=""),"",DAY(EOMONTH($A1105,0))-COUNTA($F1105:$AJ1105))</f>
        <v/>
      </c>
    </row>
    <row r="1106" customFormat="false" ht="15" hidden="false" customHeight="false" outlineLevel="0" collapsed="false">
      <c r="A1106" s="32"/>
      <c r="B1106" s="29"/>
      <c r="C1106" s="10" t="str">
        <f aca="false">IF($B1106="","",IFERROR(INDEX(M_name,MATCH($B1106,M_emp,0)),"Code not found"))</f>
        <v/>
      </c>
      <c r="D1106" s="10" t="str">
        <f aca="false">IF($B1106="","",IFERROR(INDEX(M_dept,MATCH($B1106,M_emp,0)),""))</f>
        <v/>
      </c>
      <c r="E1106" s="10" t="str">
        <f aca="false">IF($B1106="","",IFERROR(INDEX(M_loc,MATCH($B1106,M_emp,0)),""))</f>
        <v/>
      </c>
      <c r="F1106" s="33"/>
      <c r="G1106" s="33"/>
      <c r="H1106" s="33"/>
      <c r="I1106" s="33"/>
      <c r="J1106" s="33"/>
      <c r="K1106" s="33"/>
      <c r="L1106" s="33"/>
      <c r="M1106" s="33"/>
      <c r="N1106" s="33"/>
      <c r="O1106" s="33"/>
      <c r="P1106" s="33"/>
      <c r="Q1106" s="33"/>
      <c r="R1106" s="33"/>
      <c r="S1106" s="33"/>
      <c r="T1106" s="33"/>
      <c r="U1106" s="33"/>
      <c r="V1106" s="33"/>
      <c r="W1106" s="33"/>
      <c r="X1106" s="33"/>
      <c r="Y1106" s="33"/>
      <c r="Z1106" s="33"/>
      <c r="AA1106" s="33"/>
      <c r="AB1106" s="33"/>
      <c r="AC1106" s="33"/>
      <c r="AD1106" s="33"/>
      <c r="AE1106" s="33"/>
      <c r="AF1106" s="33"/>
      <c r="AG1106" s="33"/>
      <c r="AH1106" s="33"/>
      <c r="AI1106" s="33"/>
      <c r="AJ1106" s="33"/>
      <c r="AK1106" s="34" t="str">
        <f aca="false">IF($B1106="","",COUNTIF($F1106:$AJ1106,"P"))</f>
        <v/>
      </c>
      <c r="AL1106" s="34" t="str">
        <f aca="false">IF($B1106="","",COUNTIF($F1106:$AJ1106,"A"))</f>
        <v/>
      </c>
      <c r="AM1106" s="34" t="str">
        <f aca="false">IF($B1106="","",COUNTIF($F1106:$AJ1106,"HA"))</f>
        <v/>
      </c>
      <c r="AN1106" s="34" t="str">
        <f aca="false">IF($B1106="","",COUNTIF($F1106:$AJ1106,"L"))</f>
        <v/>
      </c>
      <c r="AO1106" s="34" t="str">
        <f aca="false">IF($B1106="","",COUNTIF($F1106:$AJ1106,"PL"))</f>
        <v/>
      </c>
      <c r="AP1106" s="34" t="str">
        <f aca="false">IF($B1106="","",COUNTIF($F1106:$AJ1106,"CL"))</f>
        <v/>
      </c>
      <c r="AQ1106" s="34" t="str">
        <f aca="false">IF($B1106="","",COUNTIF($F1106:$AJ1106,"SL"))</f>
        <v/>
      </c>
      <c r="AR1106" s="34" t="str">
        <f aca="false">IF($B1106="","",COUNTIF($F1106:$AJ1106,"CO"))</f>
        <v/>
      </c>
      <c r="AS1106" s="34" t="str">
        <f aca="false">IF($B1106="","",COUNTIF($F1106:$AJ1106,"HPL"))</f>
        <v/>
      </c>
      <c r="AT1106" s="34" t="str">
        <f aca="false">IF($B1106="","",COUNTIF($F1106:$AJ1106,"HCL"))</f>
        <v/>
      </c>
      <c r="AU1106" s="34" t="str">
        <f aca="false">IF($B1106="","",COUNTIF($F1106:$AJ1106,"WO"))</f>
        <v/>
      </c>
      <c r="AV1106" s="34" t="str">
        <f aca="false">IF($B1106="","",COUNTIF($F1106:$AJ1106,"PH"))</f>
        <v/>
      </c>
      <c r="AW1106" s="34" t="str">
        <f aca="false">IF($B1106="","",COUNTIF($F1106:$AJ1106,"TR"))</f>
        <v/>
      </c>
      <c r="AX1106" s="35" t="str">
        <f aca="false">IF($B1106="","",AO1106+AS1106/2)</f>
        <v/>
      </c>
      <c r="AY1106" s="35" t="str">
        <f aca="false">IF($B1106="","",AQ1106)</f>
        <v/>
      </c>
      <c r="AZ1106" s="35" t="str">
        <f aca="false">IF($B1106="","",AP1106+AT1106/2)</f>
        <v/>
      </c>
      <c r="BA1106" s="35" t="str">
        <f aca="false">IF($B1106="","",AK1106+AN1106+AM1106/2+AO1106+AP1106+AQ1106+AR1106+AS1106+AT1106+AU1106+AV1106+AW1106)</f>
        <v/>
      </c>
      <c r="BB1106" s="35" t="str">
        <f aca="false">IF($B1106="","",MAX(0,AN1106-Settings!$C$16)*Settings!$C$17)</f>
        <v/>
      </c>
      <c r="BC1106" s="35" t="str">
        <f aca="false">IF($B1106="","",BA1106-BB1106)</f>
        <v/>
      </c>
      <c r="BD1106" s="35" t="str">
        <f aca="false">IF(OR($B1106="",$A1106=""),"",DAY(EOMONTH($A1106,0))-COUNTA($F1106:$AJ1106))</f>
        <v/>
      </c>
    </row>
    <row r="1107" customFormat="false" ht="15" hidden="false" customHeight="false" outlineLevel="0" collapsed="false">
      <c r="A1107" s="32"/>
      <c r="B1107" s="29"/>
      <c r="C1107" s="10" t="str">
        <f aca="false">IF($B1107="","",IFERROR(INDEX(M_name,MATCH($B1107,M_emp,0)),"Code not found"))</f>
        <v/>
      </c>
      <c r="D1107" s="10" t="str">
        <f aca="false">IF($B1107="","",IFERROR(INDEX(M_dept,MATCH($B1107,M_emp,0)),""))</f>
        <v/>
      </c>
      <c r="E1107" s="10" t="str">
        <f aca="false">IF($B1107="","",IFERROR(INDEX(M_loc,MATCH($B1107,M_emp,0)),""))</f>
        <v/>
      </c>
      <c r="F1107" s="33"/>
      <c r="G1107" s="33"/>
      <c r="H1107" s="33"/>
      <c r="I1107" s="33"/>
      <c r="J1107" s="33"/>
      <c r="K1107" s="33"/>
      <c r="L1107" s="33"/>
      <c r="M1107" s="33"/>
      <c r="N1107" s="33"/>
      <c r="O1107" s="33"/>
      <c r="P1107" s="33"/>
      <c r="Q1107" s="33"/>
      <c r="R1107" s="33"/>
      <c r="S1107" s="33"/>
      <c r="T1107" s="33"/>
      <c r="U1107" s="33"/>
      <c r="V1107" s="33"/>
      <c r="W1107" s="33"/>
      <c r="X1107" s="33"/>
      <c r="Y1107" s="33"/>
      <c r="Z1107" s="33"/>
      <c r="AA1107" s="33"/>
      <c r="AB1107" s="33"/>
      <c r="AC1107" s="33"/>
      <c r="AD1107" s="33"/>
      <c r="AE1107" s="33"/>
      <c r="AF1107" s="33"/>
      <c r="AG1107" s="33"/>
      <c r="AH1107" s="33"/>
      <c r="AI1107" s="33"/>
      <c r="AJ1107" s="33"/>
      <c r="AK1107" s="34" t="str">
        <f aca="false">IF($B1107="","",COUNTIF($F1107:$AJ1107,"P"))</f>
        <v/>
      </c>
      <c r="AL1107" s="34" t="str">
        <f aca="false">IF($B1107="","",COUNTIF($F1107:$AJ1107,"A"))</f>
        <v/>
      </c>
      <c r="AM1107" s="34" t="str">
        <f aca="false">IF($B1107="","",COUNTIF($F1107:$AJ1107,"HA"))</f>
        <v/>
      </c>
      <c r="AN1107" s="34" t="str">
        <f aca="false">IF($B1107="","",COUNTIF($F1107:$AJ1107,"L"))</f>
        <v/>
      </c>
      <c r="AO1107" s="34" t="str">
        <f aca="false">IF($B1107="","",COUNTIF($F1107:$AJ1107,"PL"))</f>
        <v/>
      </c>
      <c r="AP1107" s="34" t="str">
        <f aca="false">IF($B1107="","",COUNTIF($F1107:$AJ1107,"CL"))</f>
        <v/>
      </c>
      <c r="AQ1107" s="34" t="str">
        <f aca="false">IF($B1107="","",COUNTIF($F1107:$AJ1107,"SL"))</f>
        <v/>
      </c>
      <c r="AR1107" s="34" t="str">
        <f aca="false">IF($B1107="","",COUNTIF($F1107:$AJ1107,"CO"))</f>
        <v/>
      </c>
      <c r="AS1107" s="34" t="str">
        <f aca="false">IF($B1107="","",COUNTIF($F1107:$AJ1107,"HPL"))</f>
        <v/>
      </c>
      <c r="AT1107" s="34" t="str">
        <f aca="false">IF($B1107="","",COUNTIF($F1107:$AJ1107,"HCL"))</f>
        <v/>
      </c>
      <c r="AU1107" s="34" t="str">
        <f aca="false">IF($B1107="","",COUNTIF($F1107:$AJ1107,"WO"))</f>
        <v/>
      </c>
      <c r="AV1107" s="34" t="str">
        <f aca="false">IF($B1107="","",COUNTIF($F1107:$AJ1107,"PH"))</f>
        <v/>
      </c>
      <c r="AW1107" s="34" t="str">
        <f aca="false">IF($B1107="","",COUNTIF($F1107:$AJ1107,"TR"))</f>
        <v/>
      </c>
      <c r="AX1107" s="35" t="str">
        <f aca="false">IF($B1107="","",AO1107+AS1107/2)</f>
        <v/>
      </c>
      <c r="AY1107" s="35" t="str">
        <f aca="false">IF($B1107="","",AQ1107)</f>
        <v/>
      </c>
      <c r="AZ1107" s="35" t="str">
        <f aca="false">IF($B1107="","",AP1107+AT1107/2)</f>
        <v/>
      </c>
      <c r="BA1107" s="35" t="str">
        <f aca="false">IF($B1107="","",AK1107+AN1107+AM1107/2+AO1107+AP1107+AQ1107+AR1107+AS1107+AT1107+AU1107+AV1107+AW1107)</f>
        <v/>
      </c>
      <c r="BB1107" s="35" t="str">
        <f aca="false">IF($B1107="","",MAX(0,AN1107-Settings!$C$16)*Settings!$C$17)</f>
        <v/>
      </c>
      <c r="BC1107" s="35" t="str">
        <f aca="false">IF($B1107="","",BA1107-BB1107)</f>
        <v/>
      </c>
      <c r="BD1107" s="35" t="str">
        <f aca="false">IF(OR($B1107="",$A1107=""),"",DAY(EOMONTH($A1107,0))-COUNTA($F1107:$AJ1107))</f>
        <v/>
      </c>
    </row>
    <row r="1108" customFormat="false" ht="15" hidden="false" customHeight="false" outlineLevel="0" collapsed="false">
      <c r="A1108" s="32"/>
      <c r="B1108" s="29"/>
      <c r="C1108" s="10" t="str">
        <f aca="false">IF($B1108="","",IFERROR(INDEX(M_name,MATCH($B1108,M_emp,0)),"Code not found"))</f>
        <v/>
      </c>
      <c r="D1108" s="10" t="str">
        <f aca="false">IF($B1108="","",IFERROR(INDEX(M_dept,MATCH($B1108,M_emp,0)),""))</f>
        <v/>
      </c>
      <c r="E1108" s="10" t="str">
        <f aca="false">IF($B1108="","",IFERROR(INDEX(M_loc,MATCH($B1108,M_emp,0)),""))</f>
        <v/>
      </c>
      <c r="F1108" s="33"/>
      <c r="G1108" s="33"/>
      <c r="H1108" s="33"/>
      <c r="I1108" s="33"/>
      <c r="J1108" s="33"/>
      <c r="K1108" s="33"/>
      <c r="L1108" s="33"/>
      <c r="M1108" s="33"/>
      <c r="N1108" s="33"/>
      <c r="O1108" s="33"/>
      <c r="P1108" s="33"/>
      <c r="Q1108" s="33"/>
      <c r="R1108" s="33"/>
      <c r="S1108" s="33"/>
      <c r="T1108" s="33"/>
      <c r="U1108" s="33"/>
      <c r="V1108" s="33"/>
      <c r="W1108" s="33"/>
      <c r="X1108" s="33"/>
      <c r="Y1108" s="33"/>
      <c r="Z1108" s="33"/>
      <c r="AA1108" s="33"/>
      <c r="AB1108" s="33"/>
      <c r="AC1108" s="33"/>
      <c r="AD1108" s="33"/>
      <c r="AE1108" s="33"/>
      <c r="AF1108" s="33"/>
      <c r="AG1108" s="33"/>
      <c r="AH1108" s="33"/>
      <c r="AI1108" s="33"/>
      <c r="AJ1108" s="33"/>
      <c r="AK1108" s="34" t="str">
        <f aca="false">IF($B1108="","",COUNTIF($F1108:$AJ1108,"P"))</f>
        <v/>
      </c>
      <c r="AL1108" s="34" t="str">
        <f aca="false">IF($B1108="","",COUNTIF($F1108:$AJ1108,"A"))</f>
        <v/>
      </c>
      <c r="AM1108" s="34" t="str">
        <f aca="false">IF($B1108="","",COUNTIF($F1108:$AJ1108,"HA"))</f>
        <v/>
      </c>
      <c r="AN1108" s="34" t="str">
        <f aca="false">IF($B1108="","",COUNTIF($F1108:$AJ1108,"L"))</f>
        <v/>
      </c>
      <c r="AO1108" s="34" t="str">
        <f aca="false">IF($B1108="","",COUNTIF($F1108:$AJ1108,"PL"))</f>
        <v/>
      </c>
      <c r="AP1108" s="34" t="str">
        <f aca="false">IF($B1108="","",COUNTIF($F1108:$AJ1108,"CL"))</f>
        <v/>
      </c>
      <c r="AQ1108" s="34" t="str">
        <f aca="false">IF($B1108="","",COUNTIF($F1108:$AJ1108,"SL"))</f>
        <v/>
      </c>
      <c r="AR1108" s="34" t="str">
        <f aca="false">IF($B1108="","",COUNTIF($F1108:$AJ1108,"CO"))</f>
        <v/>
      </c>
      <c r="AS1108" s="34" t="str">
        <f aca="false">IF($B1108="","",COUNTIF($F1108:$AJ1108,"HPL"))</f>
        <v/>
      </c>
      <c r="AT1108" s="34" t="str">
        <f aca="false">IF($B1108="","",COUNTIF($F1108:$AJ1108,"HCL"))</f>
        <v/>
      </c>
      <c r="AU1108" s="34" t="str">
        <f aca="false">IF($B1108="","",COUNTIF($F1108:$AJ1108,"WO"))</f>
        <v/>
      </c>
      <c r="AV1108" s="34" t="str">
        <f aca="false">IF($B1108="","",COUNTIF($F1108:$AJ1108,"PH"))</f>
        <v/>
      </c>
      <c r="AW1108" s="34" t="str">
        <f aca="false">IF($B1108="","",COUNTIF($F1108:$AJ1108,"TR"))</f>
        <v/>
      </c>
      <c r="AX1108" s="35" t="str">
        <f aca="false">IF($B1108="","",AO1108+AS1108/2)</f>
        <v/>
      </c>
      <c r="AY1108" s="35" t="str">
        <f aca="false">IF($B1108="","",AQ1108)</f>
        <v/>
      </c>
      <c r="AZ1108" s="35" t="str">
        <f aca="false">IF($B1108="","",AP1108+AT1108/2)</f>
        <v/>
      </c>
      <c r="BA1108" s="35" t="str">
        <f aca="false">IF($B1108="","",AK1108+AN1108+AM1108/2+AO1108+AP1108+AQ1108+AR1108+AS1108+AT1108+AU1108+AV1108+AW1108)</f>
        <v/>
      </c>
      <c r="BB1108" s="35" t="str">
        <f aca="false">IF($B1108="","",MAX(0,AN1108-Settings!$C$16)*Settings!$C$17)</f>
        <v/>
      </c>
      <c r="BC1108" s="35" t="str">
        <f aca="false">IF($B1108="","",BA1108-BB1108)</f>
        <v/>
      </c>
      <c r="BD1108" s="35" t="str">
        <f aca="false">IF(OR($B1108="",$A1108=""),"",DAY(EOMONTH($A1108,0))-COUNTA($F1108:$AJ1108))</f>
        <v/>
      </c>
    </row>
    <row r="1109" customFormat="false" ht="15" hidden="false" customHeight="false" outlineLevel="0" collapsed="false">
      <c r="A1109" s="32"/>
      <c r="B1109" s="29"/>
      <c r="C1109" s="10" t="str">
        <f aca="false">IF($B1109="","",IFERROR(INDEX(M_name,MATCH($B1109,M_emp,0)),"Code not found"))</f>
        <v/>
      </c>
      <c r="D1109" s="10" t="str">
        <f aca="false">IF($B1109="","",IFERROR(INDEX(M_dept,MATCH($B1109,M_emp,0)),""))</f>
        <v/>
      </c>
      <c r="E1109" s="10" t="str">
        <f aca="false">IF($B1109="","",IFERROR(INDEX(M_loc,MATCH($B1109,M_emp,0)),""))</f>
        <v/>
      </c>
      <c r="F1109" s="33"/>
      <c r="G1109" s="33"/>
      <c r="H1109" s="33"/>
      <c r="I1109" s="33"/>
      <c r="J1109" s="33"/>
      <c r="K1109" s="33"/>
      <c r="L1109" s="33"/>
      <c r="M1109" s="33"/>
      <c r="N1109" s="33"/>
      <c r="O1109" s="33"/>
      <c r="P1109" s="33"/>
      <c r="Q1109" s="33"/>
      <c r="R1109" s="33"/>
      <c r="S1109" s="33"/>
      <c r="T1109" s="33"/>
      <c r="U1109" s="33"/>
      <c r="V1109" s="33"/>
      <c r="W1109" s="33"/>
      <c r="X1109" s="33"/>
      <c r="Y1109" s="33"/>
      <c r="Z1109" s="33"/>
      <c r="AA1109" s="33"/>
      <c r="AB1109" s="33"/>
      <c r="AC1109" s="33"/>
      <c r="AD1109" s="33"/>
      <c r="AE1109" s="33"/>
      <c r="AF1109" s="33"/>
      <c r="AG1109" s="33"/>
      <c r="AH1109" s="33"/>
      <c r="AI1109" s="33"/>
      <c r="AJ1109" s="33"/>
      <c r="AK1109" s="34" t="str">
        <f aca="false">IF($B1109="","",COUNTIF($F1109:$AJ1109,"P"))</f>
        <v/>
      </c>
      <c r="AL1109" s="34" t="str">
        <f aca="false">IF($B1109="","",COUNTIF($F1109:$AJ1109,"A"))</f>
        <v/>
      </c>
      <c r="AM1109" s="34" t="str">
        <f aca="false">IF($B1109="","",COUNTIF($F1109:$AJ1109,"HA"))</f>
        <v/>
      </c>
      <c r="AN1109" s="34" t="str">
        <f aca="false">IF($B1109="","",COUNTIF($F1109:$AJ1109,"L"))</f>
        <v/>
      </c>
      <c r="AO1109" s="34" t="str">
        <f aca="false">IF($B1109="","",COUNTIF($F1109:$AJ1109,"PL"))</f>
        <v/>
      </c>
      <c r="AP1109" s="34" t="str">
        <f aca="false">IF($B1109="","",COUNTIF($F1109:$AJ1109,"CL"))</f>
        <v/>
      </c>
      <c r="AQ1109" s="34" t="str">
        <f aca="false">IF($B1109="","",COUNTIF($F1109:$AJ1109,"SL"))</f>
        <v/>
      </c>
      <c r="AR1109" s="34" t="str">
        <f aca="false">IF($B1109="","",COUNTIF($F1109:$AJ1109,"CO"))</f>
        <v/>
      </c>
      <c r="AS1109" s="34" t="str">
        <f aca="false">IF($B1109="","",COUNTIF($F1109:$AJ1109,"HPL"))</f>
        <v/>
      </c>
      <c r="AT1109" s="34" t="str">
        <f aca="false">IF($B1109="","",COUNTIF($F1109:$AJ1109,"HCL"))</f>
        <v/>
      </c>
      <c r="AU1109" s="34" t="str">
        <f aca="false">IF($B1109="","",COUNTIF($F1109:$AJ1109,"WO"))</f>
        <v/>
      </c>
      <c r="AV1109" s="34" t="str">
        <f aca="false">IF($B1109="","",COUNTIF($F1109:$AJ1109,"PH"))</f>
        <v/>
      </c>
      <c r="AW1109" s="34" t="str">
        <f aca="false">IF($B1109="","",COUNTIF($F1109:$AJ1109,"TR"))</f>
        <v/>
      </c>
      <c r="AX1109" s="35" t="str">
        <f aca="false">IF($B1109="","",AO1109+AS1109/2)</f>
        <v/>
      </c>
      <c r="AY1109" s="35" t="str">
        <f aca="false">IF($B1109="","",AQ1109)</f>
        <v/>
      </c>
      <c r="AZ1109" s="35" t="str">
        <f aca="false">IF($B1109="","",AP1109+AT1109/2)</f>
        <v/>
      </c>
      <c r="BA1109" s="35" t="str">
        <f aca="false">IF($B1109="","",AK1109+AN1109+AM1109/2+AO1109+AP1109+AQ1109+AR1109+AS1109+AT1109+AU1109+AV1109+AW1109)</f>
        <v/>
      </c>
      <c r="BB1109" s="35" t="str">
        <f aca="false">IF($B1109="","",MAX(0,AN1109-Settings!$C$16)*Settings!$C$17)</f>
        <v/>
      </c>
      <c r="BC1109" s="35" t="str">
        <f aca="false">IF($B1109="","",BA1109-BB1109)</f>
        <v/>
      </c>
      <c r="BD1109" s="35" t="str">
        <f aca="false">IF(OR($B1109="",$A1109=""),"",DAY(EOMONTH($A1109,0))-COUNTA($F1109:$AJ1109))</f>
        <v/>
      </c>
    </row>
    <row r="1110" customFormat="false" ht="15" hidden="false" customHeight="false" outlineLevel="0" collapsed="false">
      <c r="A1110" s="32"/>
      <c r="B1110" s="29"/>
      <c r="C1110" s="10" t="str">
        <f aca="false">IF($B1110="","",IFERROR(INDEX(M_name,MATCH($B1110,M_emp,0)),"Code not found"))</f>
        <v/>
      </c>
      <c r="D1110" s="10" t="str">
        <f aca="false">IF($B1110="","",IFERROR(INDEX(M_dept,MATCH($B1110,M_emp,0)),""))</f>
        <v/>
      </c>
      <c r="E1110" s="10" t="str">
        <f aca="false">IF($B1110="","",IFERROR(INDEX(M_loc,MATCH($B1110,M_emp,0)),""))</f>
        <v/>
      </c>
      <c r="F1110" s="33"/>
      <c r="G1110" s="33"/>
      <c r="H1110" s="33"/>
      <c r="I1110" s="33"/>
      <c r="J1110" s="33"/>
      <c r="K1110" s="33"/>
      <c r="L1110" s="33"/>
      <c r="M1110" s="33"/>
      <c r="N1110" s="33"/>
      <c r="O1110" s="33"/>
      <c r="P1110" s="33"/>
      <c r="Q1110" s="33"/>
      <c r="R1110" s="33"/>
      <c r="S1110" s="33"/>
      <c r="T1110" s="33"/>
      <c r="U1110" s="33"/>
      <c r="V1110" s="33"/>
      <c r="W1110" s="33"/>
      <c r="X1110" s="33"/>
      <c r="Y1110" s="33"/>
      <c r="Z1110" s="33"/>
      <c r="AA1110" s="33"/>
      <c r="AB1110" s="33"/>
      <c r="AC1110" s="33"/>
      <c r="AD1110" s="33"/>
      <c r="AE1110" s="33"/>
      <c r="AF1110" s="33"/>
      <c r="AG1110" s="33"/>
      <c r="AH1110" s="33"/>
      <c r="AI1110" s="33"/>
      <c r="AJ1110" s="33"/>
      <c r="AK1110" s="34" t="str">
        <f aca="false">IF($B1110="","",COUNTIF($F1110:$AJ1110,"P"))</f>
        <v/>
      </c>
      <c r="AL1110" s="34" t="str">
        <f aca="false">IF($B1110="","",COUNTIF($F1110:$AJ1110,"A"))</f>
        <v/>
      </c>
      <c r="AM1110" s="34" t="str">
        <f aca="false">IF($B1110="","",COUNTIF($F1110:$AJ1110,"HA"))</f>
        <v/>
      </c>
      <c r="AN1110" s="34" t="str">
        <f aca="false">IF($B1110="","",COUNTIF($F1110:$AJ1110,"L"))</f>
        <v/>
      </c>
      <c r="AO1110" s="34" t="str">
        <f aca="false">IF($B1110="","",COUNTIF($F1110:$AJ1110,"PL"))</f>
        <v/>
      </c>
      <c r="AP1110" s="34" t="str">
        <f aca="false">IF($B1110="","",COUNTIF($F1110:$AJ1110,"CL"))</f>
        <v/>
      </c>
      <c r="AQ1110" s="34" t="str">
        <f aca="false">IF($B1110="","",COUNTIF($F1110:$AJ1110,"SL"))</f>
        <v/>
      </c>
      <c r="AR1110" s="34" t="str">
        <f aca="false">IF($B1110="","",COUNTIF($F1110:$AJ1110,"CO"))</f>
        <v/>
      </c>
      <c r="AS1110" s="34" t="str">
        <f aca="false">IF($B1110="","",COUNTIF($F1110:$AJ1110,"HPL"))</f>
        <v/>
      </c>
      <c r="AT1110" s="34" t="str">
        <f aca="false">IF($B1110="","",COUNTIF($F1110:$AJ1110,"HCL"))</f>
        <v/>
      </c>
      <c r="AU1110" s="34" t="str">
        <f aca="false">IF($B1110="","",COUNTIF($F1110:$AJ1110,"WO"))</f>
        <v/>
      </c>
      <c r="AV1110" s="34" t="str">
        <f aca="false">IF($B1110="","",COUNTIF($F1110:$AJ1110,"PH"))</f>
        <v/>
      </c>
      <c r="AW1110" s="34" t="str">
        <f aca="false">IF($B1110="","",COUNTIF($F1110:$AJ1110,"TR"))</f>
        <v/>
      </c>
      <c r="AX1110" s="35" t="str">
        <f aca="false">IF($B1110="","",AO1110+AS1110/2)</f>
        <v/>
      </c>
      <c r="AY1110" s="35" t="str">
        <f aca="false">IF($B1110="","",AQ1110)</f>
        <v/>
      </c>
      <c r="AZ1110" s="35" t="str">
        <f aca="false">IF($B1110="","",AP1110+AT1110/2)</f>
        <v/>
      </c>
      <c r="BA1110" s="35" t="str">
        <f aca="false">IF($B1110="","",AK1110+AN1110+AM1110/2+AO1110+AP1110+AQ1110+AR1110+AS1110+AT1110+AU1110+AV1110+AW1110)</f>
        <v/>
      </c>
      <c r="BB1110" s="35" t="str">
        <f aca="false">IF($B1110="","",MAX(0,AN1110-Settings!$C$16)*Settings!$C$17)</f>
        <v/>
      </c>
      <c r="BC1110" s="35" t="str">
        <f aca="false">IF($B1110="","",BA1110-BB1110)</f>
        <v/>
      </c>
      <c r="BD1110" s="35" t="str">
        <f aca="false">IF(OR($B1110="",$A1110=""),"",DAY(EOMONTH($A1110,0))-COUNTA($F1110:$AJ1110))</f>
        <v/>
      </c>
    </row>
    <row r="1111" customFormat="false" ht="15" hidden="false" customHeight="false" outlineLevel="0" collapsed="false">
      <c r="A1111" s="32"/>
      <c r="B1111" s="29"/>
      <c r="C1111" s="10" t="str">
        <f aca="false">IF($B1111="","",IFERROR(INDEX(M_name,MATCH($B1111,M_emp,0)),"Code not found"))</f>
        <v/>
      </c>
      <c r="D1111" s="10" t="str">
        <f aca="false">IF($B1111="","",IFERROR(INDEX(M_dept,MATCH($B1111,M_emp,0)),""))</f>
        <v/>
      </c>
      <c r="E1111" s="10" t="str">
        <f aca="false">IF($B1111="","",IFERROR(INDEX(M_loc,MATCH($B1111,M_emp,0)),""))</f>
        <v/>
      </c>
      <c r="F1111" s="33"/>
      <c r="G1111" s="33"/>
      <c r="H1111" s="33"/>
      <c r="I1111" s="33"/>
      <c r="J1111" s="33"/>
      <c r="K1111" s="33"/>
      <c r="L1111" s="33"/>
      <c r="M1111" s="33"/>
      <c r="N1111" s="33"/>
      <c r="O1111" s="33"/>
      <c r="P1111" s="33"/>
      <c r="Q1111" s="33"/>
      <c r="R1111" s="33"/>
      <c r="S1111" s="33"/>
      <c r="T1111" s="33"/>
      <c r="U1111" s="33"/>
      <c r="V1111" s="33"/>
      <c r="W1111" s="33"/>
      <c r="X1111" s="33"/>
      <c r="Y1111" s="33"/>
      <c r="Z1111" s="33"/>
      <c r="AA1111" s="33"/>
      <c r="AB1111" s="33"/>
      <c r="AC1111" s="33"/>
      <c r="AD1111" s="33"/>
      <c r="AE1111" s="33"/>
      <c r="AF1111" s="33"/>
      <c r="AG1111" s="33"/>
      <c r="AH1111" s="33"/>
      <c r="AI1111" s="33"/>
      <c r="AJ1111" s="33"/>
      <c r="AK1111" s="34" t="str">
        <f aca="false">IF($B1111="","",COUNTIF($F1111:$AJ1111,"P"))</f>
        <v/>
      </c>
      <c r="AL1111" s="34" t="str">
        <f aca="false">IF($B1111="","",COUNTIF($F1111:$AJ1111,"A"))</f>
        <v/>
      </c>
      <c r="AM1111" s="34" t="str">
        <f aca="false">IF($B1111="","",COUNTIF($F1111:$AJ1111,"HA"))</f>
        <v/>
      </c>
      <c r="AN1111" s="34" t="str">
        <f aca="false">IF($B1111="","",COUNTIF($F1111:$AJ1111,"L"))</f>
        <v/>
      </c>
      <c r="AO1111" s="34" t="str">
        <f aca="false">IF($B1111="","",COUNTIF($F1111:$AJ1111,"PL"))</f>
        <v/>
      </c>
      <c r="AP1111" s="34" t="str">
        <f aca="false">IF($B1111="","",COUNTIF($F1111:$AJ1111,"CL"))</f>
        <v/>
      </c>
      <c r="AQ1111" s="34" t="str">
        <f aca="false">IF($B1111="","",COUNTIF($F1111:$AJ1111,"SL"))</f>
        <v/>
      </c>
      <c r="AR1111" s="34" t="str">
        <f aca="false">IF($B1111="","",COUNTIF($F1111:$AJ1111,"CO"))</f>
        <v/>
      </c>
      <c r="AS1111" s="34" t="str">
        <f aca="false">IF($B1111="","",COUNTIF($F1111:$AJ1111,"HPL"))</f>
        <v/>
      </c>
      <c r="AT1111" s="34" t="str">
        <f aca="false">IF($B1111="","",COUNTIF($F1111:$AJ1111,"HCL"))</f>
        <v/>
      </c>
      <c r="AU1111" s="34" t="str">
        <f aca="false">IF($B1111="","",COUNTIF($F1111:$AJ1111,"WO"))</f>
        <v/>
      </c>
      <c r="AV1111" s="34" t="str">
        <f aca="false">IF($B1111="","",COUNTIF($F1111:$AJ1111,"PH"))</f>
        <v/>
      </c>
      <c r="AW1111" s="34" t="str">
        <f aca="false">IF($B1111="","",COUNTIF($F1111:$AJ1111,"TR"))</f>
        <v/>
      </c>
      <c r="AX1111" s="35" t="str">
        <f aca="false">IF($B1111="","",AO1111+AS1111/2)</f>
        <v/>
      </c>
      <c r="AY1111" s="35" t="str">
        <f aca="false">IF($B1111="","",AQ1111)</f>
        <v/>
      </c>
      <c r="AZ1111" s="35" t="str">
        <f aca="false">IF($B1111="","",AP1111+AT1111/2)</f>
        <v/>
      </c>
      <c r="BA1111" s="35" t="str">
        <f aca="false">IF($B1111="","",AK1111+AN1111+AM1111/2+AO1111+AP1111+AQ1111+AR1111+AS1111+AT1111+AU1111+AV1111+AW1111)</f>
        <v/>
      </c>
      <c r="BB1111" s="35" t="str">
        <f aca="false">IF($B1111="","",MAX(0,AN1111-Settings!$C$16)*Settings!$C$17)</f>
        <v/>
      </c>
      <c r="BC1111" s="35" t="str">
        <f aca="false">IF($B1111="","",BA1111-BB1111)</f>
        <v/>
      </c>
      <c r="BD1111" s="35" t="str">
        <f aca="false">IF(OR($B1111="",$A1111=""),"",DAY(EOMONTH($A1111,0))-COUNTA($F1111:$AJ1111))</f>
        <v/>
      </c>
    </row>
    <row r="1112" customFormat="false" ht="15" hidden="false" customHeight="false" outlineLevel="0" collapsed="false">
      <c r="A1112" s="32"/>
      <c r="B1112" s="29"/>
      <c r="C1112" s="10" t="str">
        <f aca="false">IF($B1112="","",IFERROR(INDEX(M_name,MATCH($B1112,M_emp,0)),"Code not found"))</f>
        <v/>
      </c>
      <c r="D1112" s="10" t="str">
        <f aca="false">IF($B1112="","",IFERROR(INDEX(M_dept,MATCH($B1112,M_emp,0)),""))</f>
        <v/>
      </c>
      <c r="E1112" s="10" t="str">
        <f aca="false">IF($B1112="","",IFERROR(INDEX(M_loc,MATCH($B1112,M_emp,0)),""))</f>
        <v/>
      </c>
      <c r="F1112" s="33"/>
      <c r="G1112" s="33"/>
      <c r="H1112" s="33"/>
      <c r="I1112" s="33"/>
      <c r="J1112" s="33"/>
      <c r="K1112" s="33"/>
      <c r="L1112" s="33"/>
      <c r="M1112" s="33"/>
      <c r="N1112" s="33"/>
      <c r="O1112" s="33"/>
      <c r="P1112" s="33"/>
      <c r="Q1112" s="33"/>
      <c r="R1112" s="33"/>
      <c r="S1112" s="33"/>
      <c r="T1112" s="33"/>
      <c r="U1112" s="33"/>
      <c r="V1112" s="33"/>
      <c r="W1112" s="33"/>
      <c r="X1112" s="33"/>
      <c r="Y1112" s="33"/>
      <c r="Z1112" s="33"/>
      <c r="AA1112" s="33"/>
      <c r="AB1112" s="33"/>
      <c r="AC1112" s="33"/>
      <c r="AD1112" s="33"/>
      <c r="AE1112" s="33"/>
      <c r="AF1112" s="33"/>
      <c r="AG1112" s="33"/>
      <c r="AH1112" s="33"/>
      <c r="AI1112" s="33"/>
      <c r="AJ1112" s="33"/>
      <c r="AK1112" s="34" t="str">
        <f aca="false">IF($B1112="","",COUNTIF($F1112:$AJ1112,"P"))</f>
        <v/>
      </c>
      <c r="AL1112" s="34" t="str">
        <f aca="false">IF($B1112="","",COUNTIF($F1112:$AJ1112,"A"))</f>
        <v/>
      </c>
      <c r="AM1112" s="34" t="str">
        <f aca="false">IF($B1112="","",COUNTIF($F1112:$AJ1112,"HA"))</f>
        <v/>
      </c>
      <c r="AN1112" s="34" t="str">
        <f aca="false">IF($B1112="","",COUNTIF($F1112:$AJ1112,"L"))</f>
        <v/>
      </c>
      <c r="AO1112" s="34" t="str">
        <f aca="false">IF($B1112="","",COUNTIF($F1112:$AJ1112,"PL"))</f>
        <v/>
      </c>
      <c r="AP1112" s="34" t="str">
        <f aca="false">IF($B1112="","",COUNTIF($F1112:$AJ1112,"CL"))</f>
        <v/>
      </c>
      <c r="AQ1112" s="34" t="str">
        <f aca="false">IF($B1112="","",COUNTIF($F1112:$AJ1112,"SL"))</f>
        <v/>
      </c>
      <c r="AR1112" s="34" t="str">
        <f aca="false">IF($B1112="","",COUNTIF($F1112:$AJ1112,"CO"))</f>
        <v/>
      </c>
      <c r="AS1112" s="34" t="str">
        <f aca="false">IF($B1112="","",COUNTIF($F1112:$AJ1112,"HPL"))</f>
        <v/>
      </c>
      <c r="AT1112" s="34" t="str">
        <f aca="false">IF($B1112="","",COUNTIF($F1112:$AJ1112,"HCL"))</f>
        <v/>
      </c>
      <c r="AU1112" s="34" t="str">
        <f aca="false">IF($B1112="","",COUNTIF($F1112:$AJ1112,"WO"))</f>
        <v/>
      </c>
      <c r="AV1112" s="34" t="str">
        <f aca="false">IF($B1112="","",COUNTIF($F1112:$AJ1112,"PH"))</f>
        <v/>
      </c>
      <c r="AW1112" s="34" t="str">
        <f aca="false">IF($B1112="","",COUNTIF($F1112:$AJ1112,"TR"))</f>
        <v/>
      </c>
      <c r="AX1112" s="35" t="str">
        <f aca="false">IF($B1112="","",AO1112+AS1112/2)</f>
        <v/>
      </c>
      <c r="AY1112" s="35" t="str">
        <f aca="false">IF($B1112="","",AQ1112)</f>
        <v/>
      </c>
      <c r="AZ1112" s="35" t="str">
        <f aca="false">IF($B1112="","",AP1112+AT1112/2)</f>
        <v/>
      </c>
      <c r="BA1112" s="35" t="str">
        <f aca="false">IF($B1112="","",AK1112+AN1112+AM1112/2+AO1112+AP1112+AQ1112+AR1112+AS1112+AT1112+AU1112+AV1112+AW1112)</f>
        <v/>
      </c>
      <c r="BB1112" s="35" t="str">
        <f aca="false">IF($B1112="","",MAX(0,AN1112-Settings!$C$16)*Settings!$C$17)</f>
        <v/>
      </c>
      <c r="BC1112" s="35" t="str">
        <f aca="false">IF($B1112="","",BA1112-BB1112)</f>
        <v/>
      </c>
      <c r="BD1112" s="35" t="str">
        <f aca="false">IF(OR($B1112="",$A1112=""),"",DAY(EOMONTH($A1112,0))-COUNTA($F1112:$AJ1112))</f>
        <v/>
      </c>
    </row>
    <row r="1113" customFormat="false" ht="15" hidden="false" customHeight="false" outlineLevel="0" collapsed="false">
      <c r="A1113" s="32"/>
      <c r="B1113" s="29"/>
      <c r="C1113" s="10" t="str">
        <f aca="false">IF($B1113="","",IFERROR(INDEX(M_name,MATCH($B1113,M_emp,0)),"Code not found"))</f>
        <v/>
      </c>
      <c r="D1113" s="10" t="str">
        <f aca="false">IF($B1113="","",IFERROR(INDEX(M_dept,MATCH($B1113,M_emp,0)),""))</f>
        <v/>
      </c>
      <c r="E1113" s="10" t="str">
        <f aca="false">IF($B1113="","",IFERROR(INDEX(M_loc,MATCH($B1113,M_emp,0)),""))</f>
        <v/>
      </c>
      <c r="F1113" s="33"/>
      <c r="G1113" s="33"/>
      <c r="H1113" s="33"/>
      <c r="I1113" s="33"/>
      <c r="J1113" s="33"/>
      <c r="K1113" s="33"/>
      <c r="L1113" s="33"/>
      <c r="M1113" s="33"/>
      <c r="N1113" s="33"/>
      <c r="O1113" s="33"/>
      <c r="P1113" s="33"/>
      <c r="Q1113" s="33"/>
      <c r="R1113" s="33"/>
      <c r="S1113" s="33"/>
      <c r="T1113" s="33"/>
      <c r="U1113" s="33"/>
      <c r="V1113" s="33"/>
      <c r="W1113" s="33"/>
      <c r="X1113" s="33"/>
      <c r="Y1113" s="33"/>
      <c r="Z1113" s="33"/>
      <c r="AA1113" s="33"/>
      <c r="AB1113" s="33"/>
      <c r="AC1113" s="33"/>
      <c r="AD1113" s="33"/>
      <c r="AE1113" s="33"/>
      <c r="AF1113" s="33"/>
      <c r="AG1113" s="33"/>
      <c r="AH1113" s="33"/>
      <c r="AI1113" s="33"/>
      <c r="AJ1113" s="33"/>
      <c r="AK1113" s="34" t="str">
        <f aca="false">IF($B1113="","",COUNTIF($F1113:$AJ1113,"P"))</f>
        <v/>
      </c>
      <c r="AL1113" s="34" t="str">
        <f aca="false">IF($B1113="","",COUNTIF($F1113:$AJ1113,"A"))</f>
        <v/>
      </c>
      <c r="AM1113" s="34" t="str">
        <f aca="false">IF($B1113="","",COUNTIF($F1113:$AJ1113,"HA"))</f>
        <v/>
      </c>
      <c r="AN1113" s="34" t="str">
        <f aca="false">IF($B1113="","",COUNTIF($F1113:$AJ1113,"L"))</f>
        <v/>
      </c>
      <c r="AO1113" s="34" t="str">
        <f aca="false">IF($B1113="","",COUNTIF($F1113:$AJ1113,"PL"))</f>
        <v/>
      </c>
      <c r="AP1113" s="34" t="str">
        <f aca="false">IF($B1113="","",COUNTIF($F1113:$AJ1113,"CL"))</f>
        <v/>
      </c>
      <c r="AQ1113" s="34" t="str">
        <f aca="false">IF($B1113="","",COUNTIF($F1113:$AJ1113,"SL"))</f>
        <v/>
      </c>
      <c r="AR1113" s="34" t="str">
        <f aca="false">IF($B1113="","",COUNTIF($F1113:$AJ1113,"CO"))</f>
        <v/>
      </c>
      <c r="AS1113" s="34" t="str">
        <f aca="false">IF($B1113="","",COUNTIF($F1113:$AJ1113,"HPL"))</f>
        <v/>
      </c>
      <c r="AT1113" s="34" t="str">
        <f aca="false">IF($B1113="","",COUNTIF($F1113:$AJ1113,"HCL"))</f>
        <v/>
      </c>
      <c r="AU1113" s="34" t="str">
        <f aca="false">IF($B1113="","",COUNTIF($F1113:$AJ1113,"WO"))</f>
        <v/>
      </c>
      <c r="AV1113" s="34" t="str">
        <f aca="false">IF($B1113="","",COUNTIF($F1113:$AJ1113,"PH"))</f>
        <v/>
      </c>
      <c r="AW1113" s="34" t="str">
        <f aca="false">IF($B1113="","",COUNTIF($F1113:$AJ1113,"TR"))</f>
        <v/>
      </c>
      <c r="AX1113" s="35" t="str">
        <f aca="false">IF($B1113="","",AO1113+AS1113/2)</f>
        <v/>
      </c>
      <c r="AY1113" s="35" t="str">
        <f aca="false">IF($B1113="","",AQ1113)</f>
        <v/>
      </c>
      <c r="AZ1113" s="35" t="str">
        <f aca="false">IF($B1113="","",AP1113+AT1113/2)</f>
        <v/>
      </c>
      <c r="BA1113" s="35" t="str">
        <f aca="false">IF($B1113="","",AK1113+AN1113+AM1113/2+AO1113+AP1113+AQ1113+AR1113+AS1113+AT1113+AU1113+AV1113+AW1113)</f>
        <v/>
      </c>
      <c r="BB1113" s="35" t="str">
        <f aca="false">IF($B1113="","",MAX(0,AN1113-Settings!$C$16)*Settings!$C$17)</f>
        <v/>
      </c>
      <c r="BC1113" s="35" t="str">
        <f aca="false">IF($B1113="","",BA1113-BB1113)</f>
        <v/>
      </c>
      <c r="BD1113" s="35" t="str">
        <f aca="false">IF(OR($B1113="",$A1113=""),"",DAY(EOMONTH($A1113,0))-COUNTA($F1113:$AJ1113))</f>
        <v/>
      </c>
    </row>
    <row r="1114" customFormat="false" ht="15" hidden="false" customHeight="false" outlineLevel="0" collapsed="false">
      <c r="A1114" s="32"/>
      <c r="B1114" s="29"/>
      <c r="C1114" s="10" t="str">
        <f aca="false">IF($B1114="","",IFERROR(INDEX(M_name,MATCH($B1114,M_emp,0)),"Code not found"))</f>
        <v/>
      </c>
      <c r="D1114" s="10" t="str">
        <f aca="false">IF($B1114="","",IFERROR(INDEX(M_dept,MATCH($B1114,M_emp,0)),""))</f>
        <v/>
      </c>
      <c r="E1114" s="10" t="str">
        <f aca="false">IF($B1114="","",IFERROR(INDEX(M_loc,MATCH($B1114,M_emp,0)),""))</f>
        <v/>
      </c>
      <c r="F1114" s="33"/>
      <c r="G1114" s="33"/>
      <c r="H1114" s="33"/>
      <c r="I1114" s="33"/>
      <c r="J1114" s="33"/>
      <c r="K1114" s="33"/>
      <c r="L1114" s="33"/>
      <c r="M1114" s="33"/>
      <c r="N1114" s="33"/>
      <c r="O1114" s="33"/>
      <c r="P1114" s="33"/>
      <c r="Q1114" s="33"/>
      <c r="R1114" s="33"/>
      <c r="S1114" s="33"/>
      <c r="T1114" s="33"/>
      <c r="U1114" s="33"/>
      <c r="V1114" s="33"/>
      <c r="W1114" s="33"/>
      <c r="X1114" s="33"/>
      <c r="Y1114" s="33"/>
      <c r="Z1114" s="33"/>
      <c r="AA1114" s="33"/>
      <c r="AB1114" s="33"/>
      <c r="AC1114" s="33"/>
      <c r="AD1114" s="33"/>
      <c r="AE1114" s="33"/>
      <c r="AF1114" s="33"/>
      <c r="AG1114" s="33"/>
      <c r="AH1114" s="33"/>
      <c r="AI1114" s="33"/>
      <c r="AJ1114" s="33"/>
      <c r="AK1114" s="34" t="str">
        <f aca="false">IF($B1114="","",COUNTIF($F1114:$AJ1114,"P"))</f>
        <v/>
      </c>
      <c r="AL1114" s="34" t="str">
        <f aca="false">IF($B1114="","",COUNTIF($F1114:$AJ1114,"A"))</f>
        <v/>
      </c>
      <c r="AM1114" s="34" t="str">
        <f aca="false">IF($B1114="","",COUNTIF($F1114:$AJ1114,"HA"))</f>
        <v/>
      </c>
      <c r="AN1114" s="34" t="str">
        <f aca="false">IF($B1114="","",COUNTIF($F1114:$AJ1114,"L"))</f>
        <v/>
      </c>
      <c r="AO1114" s="34" t="str">
        <f aca="false">IF($B1114="","",COUNTIF($F1114:$AJ1114,"PL"))</f>
        <v/>
      </c>
      <c r="AP1114" s="34" t="str">
        <f aca="false">IF($B1114="","",COUNTIF($F1114:$AJ1114,"CL"))</f>
        <v/>
      </c>
      <c r="AQ1114" s="34" t="str">
        <f aca="false">IF($B1114="","",COUNTIF($F1114:$AJ1114,"SL"))</f>
        <v/>
      </c>
      <c r="AR1114" s="34" t="str">
        <f aca="false">IF($B1114="","",COUNTIF($F1114:$AJ1114,"CO"))</f>
        <v/>
      </c>
      <c r="AS1114" s="34" t="str">
        <f aca="false">IF($B1114="","",COUNTIF($F1114:$AJ1114,"HPL"))</f>
        <v/>
      </c>
      <c r="AT1114" s="34" t="str">
        <f aca="false">IF($B1114="","",COUNTIF($F1114:$AJ1114,"HCL"))</f>
        <v/>
      </c>
      <c r="AU1114" s="34" t="str">
        <f aca="false">IF($B1114="","",COUNTIF($F1114:$AJ1114,"WO"))</f>
        <v/>
      </c>
      <c r="AV1114" s="34" t="str">
        <f aca="false">IF($B1114="","",COUNTIF($F1114:$AJ1114,"PH"))</f>
        <v/>
      </c>
      <c r="AW1114" s="34" t="str">
        <f aca="false">IF($B1114="","",COUNTIF($F1114:$AJ1114,"TR"))</f>
        <v/>
      </c>
      <c r="AX1114" s="35" t="str">
        <f aca="false">IF($B1114="","",AO1114+AS1114/2)</f>
        <v/>
      </c>
      <c r="AY1114" s="35" t="str">
        <f aca="false">IF($B1114="","",AQ1114)</f>
        <v/>
      </c>
      <c r="AZ1114" s="35" t="str">
        <f aca="false">IF($B1114="","",AP1114+AT1114/2)</f>
        <v/>
      </c>
      <c r="BA1114" s="35" t="str">
        <f aca="false">IF($B1114="","",AK1114+AN1114+AM1114/2+AO1114+AP1114+AQ1114+AR1114+AS1114+AT1114+AU1114+AV1114+AW1114)</f>
        <v/>
      </c>
      <c r="BB1114" s="35" t="str">
        <f aca="false">IF($B1114="","",MAX(0,AN1114-Settings!$C$16)*Settings!$C$17)</f>
        <v/>
      </c>
      <c r="BC1114" s="35" t="str">
        <f aca="false">IF($B1114="","",BA1114-BB1114)</f>
        <v/>
      </c>
      <c r="BD1114" s="35" t="str">
        <f aca="false">IF(OR($B1114="",$A1114=""),"",DAY(EOMONTH($A1114,0))-COUNTA($F1114:$AJ1114))</f>
        <v/>
      </c>
    </row>
    <row r="1115" customFormat="false" ht="15" hidden="false" customHeight="false" outlineLevel="0" collapsed="false">
      <c r="A1115" s="32"/>
      <c r="B1115" s="29"/>
      <c r="C1115" s="10" t="str">
        <f aca="false">IF($B1115="","",IFERROR(INDEX(M_name,MATCH($B1115,M_emp,0)),"Code not found"))</f>
        <v/>
      </c>
      <c r="D1115" s="10" t="str">
        <f aca="false">IF($B1115="","",IFERROR(INDEX(M_dept,MATCH($B1115,M_emp,0)),""))</f>
        <v/>
      </c>
      <c r="E1115" s="10" t="str">
        <f aca="false">IF($B1115="","",IFERROR(INDEX(M_loc,MATCH($B1115,M_emp,0)),""))</f>
        <v/>
      </c>
      <c r="F1115" s="33"/>
      <c r="G1115" s="33"/>
      <c r="H1115" s="33"/>
      <c r="I1115" s="33"/>
      <c r="J1115" s="33"/>
      <c r="K1115" s="33"/>
      <c r="L1115" s="33"/>
      <c r="M1115" s="33"/>
      <c r="N1115" s="33"/>
      <c r="O1115" s="33"/>
      <c r="P1115" s="33"/>
      <c r="Q1115" s="33"/>
      <c r="R1115" s="33"/>
      <c r="S1115" s="33"/>
      <c r="T1115" s="33"/>
      <c r="U1115" s="33"/>
      <c r="V1115" s="33"/>
      <c r="W1115" s="33"/>
      <c r="X1115" s="33"/>
      <c r="Y1115" s="33"/>
      <c r="Z1115" s="33"/>
      <c r="AA1115" s="33"/>
      <c r="AB1115" s="33"/>
      <c r="AC1115" s="33"/>
      <c r="AD1115" s="33"/>
      <c r="AE1115" s="33"/>
      <c r="AF1115" s="33"/>
      <c r="AG1115" s="33"/>
      <c r="AH1115" s="33"/>
      <c r="AI1115" s="33"/>
      <c r="AJ1115" s="33"/>
      <c r="AK1115" s="34" t="str">
        <f aca="false">IF($B1115="","",COUNTIF($F1115:$AJ1115,"P"))</f>
        <v/>
      </c>
      <c r="AL1115" s="34" t="str">
        <f aca="false">IF($B1115="","",COUNTIF($F1115:$AJ1115,"A"))</f>
        <v/>
      </c>
      <c r="AM1115" s="34" t="str">
        <f aca="false">IF($B1115="","",COUNTIF($F1115:$AJ1115,"HA"))</f>
        <v/>
      </c>
      <c r="AN1115" s="34" t="str">
        <f aca="false">IF($B1115="","",COUNTIF($F1115:$AJ1115,"L"))</f>
        <v/>
      </c>
      <c r="AO1115" s="34" t="str">
        <f aca="false">IF($B1115="","",COUNTIF($F1115:$AJ1115,"PL"))</f>
        <v/>
      </c>
      <c r="AP1115" s="34" t="str">
        <f aca="false">IF($B1115="","",COUNTIF($F1115:$AJ1115,"CL"))</f>
        <v/>
      </c>
      <c r="AQ1115" s="34" t="str">
        <f aca="false">IF($B1115="","",COUNTIF($F1115:$AJ1115,"SL"))</f>
        <v/>
      </c>
      <c r="AR1115" s="34" t="str">
        <f aca="false">IF($B1115="","",COUNTIF($F1115:$AJ1115,"CO"))</f>
        <v/>
      </c>
      <c r="AS1115" s="34" t="str">
        <f aca="false">IF($B1115="","",COUNTIF($F1115:$AJ1115,"HPL"))</f>
        <v/>
      </c>
      <c r="AT1115" s="34" t="str">
        <f aca="false">IF($B1115="","",COUNTIF($F1115:$AJ1115,"HCL"))</f>
        <v/>
      </c>
      <c r="AU1115" s="34" t="str">
        <f aca="false">IF($B1115="","",COUNTIF($F1115:$AJ1115,"WO"))</f>
        <v/>
      </c>
      <c r="AV1115" s="34" t="str">
        <f aca="false">IF($B1115="","",COUNTIF($F1115:$AJ1115,"PH"))</f>
        <v/>
      </c>
      <c r="AW1115" s="34" t="str">
        <f aca="false">IF($B1115="","",COUNTIF($F1115:$AJ1115,"TR"))</f>
        <v/>
      </c>
      <c r="AX1115" s="35" t="str">
        <f aca="false">IF($B1115="","",AO1115+AS1115/2)</f>
        <v/>
      </c>
      <c r="AY1115" s="35" t="str">
        <f aca="false">IF($B1115="","",AQ1115)</f>
        <v/>
      </c>
      <c r="AZ1115" s="35" t="str">
        <f aca="false">IF($B1115="","",AP1115+AT1115/2)</f>
        <v/>
      </c>
      <c r="BA1115" s="35" t="str">
        <f aca="false">IF($B1115="","",AK1115+AN1115+AM1115/2+AO1115+AP1115+AQ1115+AR1115+AS1115+AT1115+AU1115+AV1115+AW1115)</f>
        <v/>
      </c>
      <c r="BB1115" s="35" t="str">
        <f aca="false">IF($B1115="","",MAX(0,AN1115-Settings!$C$16)*Settings!$C$17)</f>
        <v/>
      </c>
      <c r="BC1115" s="35" t="str">
        <f aca="false">IF($B1115="","",BA1115-BB1115)</f>
        <v/>
      </c>
      <c r="BD1115" s="35" t="str">
        <f aca="false">IF(OR($B1115="",$A1115=""),"",DAY(EOMONTH($A1115,0))-COUNTA($F1115:$AJ1115))</f>
        <v/>
      </c>
    </row>
    <row r="1116" customFormat="false" ht="15" hidden="false" customHeight="false" outlineLevel="0" collapsed="false">
      <c r="A1116" s="32"/>
      <c r="B1116" s="29"/>
      <c r="C1116" s="10" t="str">
        <f aca="false">IF($B1116="","",IFERROR(INDEX(M_name,MATCH($B1116,M_emp,0)),"Code not found"))</f>
        <v/>
      </c>
      <c r="D1116" s="10" t="str">
        <f aca="false">IF($B1116="","",IFERROR(INDEX(M_dept,MATCH($B1116,M_emp,0)),""))</f>
        <v/>
      </c>
      <c r="E1116" s="10" t="str">
        <f aca="false">IF($B1116="","",IFERROR(INDEX(M_loc,MATCH($B1116,M_emp,0)),""))</f>
        <v/>
      </c>
      <c r="F1116" s="33"/>
      <c r="G1116" s="33"/>
      <c r="H1116" s="33"/>
      <c r="I1116" s="33"/>
      <c r="J1116" s="33"/>
      <c r="K1116" s="33"/>
      <c r="L1116" s="33"/>
      <c r="M1116" s="33"/>
      <c r="N1116" s="33"/>
      <c r="O1116" s="33"/>
      <c r="P1116" s="33"/>
      <c r="Q1116" s="33"/>
      <c r="R1116" s="33"/>
      <c r="S1116" s="33"/>
      <c r="T1116" s="33"/>
      <c r="U1116" s="33"/>
      <c r="V1116" s="33"/>
      <c r="W1116" s="33"/>
      <c r="X1116" s="33"/>
      <c r="Y1116" s="33"/>
      <c r="Z1116" s="33"/>
      <c r="AA1116" s="33"/>
      <c r="AB1116" s="33"/>
      <c r="AC1116" s="33"/>
      <c r="AD1116" s="33"/>
      <c r="AE1116" s="33"/>
      <c r="AF1116" s="33"/>
      <c r="AG1116" s="33"/>
      <c r="AH1116" s="33"/>
      <c r="AI1116" s="33"/>
      <c r="AJ1116" s="33"/>
      <c r="AK1116" s="34" t="str">
        <f aca="false">IF($B1116="","",COUNTIF($F1116:$AJ1116,"P"))</f>
        <v/>
      </c>
      <c r="AL1116" s="34" t="str">
        <f aca="false">IF($B1116="","",COUNTIF($F1116:$AJ1116,"A"))</f>
        <v/>
      </c>
      <c r="AM1116" s="34" t="str">
        <f aca="false">IF($B1116="","",COUNTIF($F1116:$AJ1116,"HA"))</f>
        <v/>
      </c>
      <c r="AN1116" s="34" t="str">
        <f aca="false">IF($B1116="","",COUNTIF($F1116:$AJ1116,"L"))</f>
        <v/>
      </c>
      <c r="AO1116" s="34" t="str">
        <f aca="false">IF($B1116="","",COUNTIF($F1116:$AJ1116,"PL"))</f>
        <v/>
      </c>
      <c r="AP1116" s="34" t="str">
        <f aca="false">IF($B1116="","",COUNTIF($F1116:$AJ1116,"CL"))</f>
        <v/>
      </c>
      <c r="AQ1116" s="34" t="str">
        <f aca="false">IF($B1116="","",COUNTIF($F1116:$AJ1116,"SL"))</f>
        <v/>
      </c>
      <c r="AR1116" s="34" t="str">
        <f aca="false">IF($B1116="","",COUNTIF($F1116:$AJ1116,"CO"))</f>
        <v/>
      </c>
      <c r="AS1116" s="34" t="str">
        <f aca="false">IF($B1116="","",COUNTIF($F1116:$AJ1116,"HPL"))</f>
        <v/>
      </c>
      <c r="AT1116" s="34" t="str">
        <f aca="false">IF($B1116="","",COUNTIF($F1116:$AJ1116,"HCL"))</f>
        <v/>
      </c>
      <c r="AU1116" s="34" t="str">
        <f aca="false">IF($B1116="","",COUNTIF($F1116:$AJ1116,"WO"))</f>
        <v/>
      </c>
      <c r="AV1116" s="34" t="str">
        <f aca="false">IF($B1116="","",COUNTIF($F1116:$AJ1116,"PH"))</f>
        <v/>
      </c>
      <c r="AW1116" s="34" t="str">
        <f aca="false">IF($B1116="","",COUNTIF($F1116:$AJ1116,"TR"))</f>
        <v/>
      </c>
      <c r="AX1116" s="35" t="str">
        <f aca="false">IF($B1116="","",AO1116+AS1116/2)</f>
        <v/>
      </c>
      <c r="AY1116" s="35" t="str">
        <f aca="false">IF($B1116="","",AQ1116)</f>
        <v/>
      </c>
      <c r="AZ1116" s="35" t="str">
        <f aca="false">IF($B1116="","",AP1116+AT1116/2)</f>
        <v/>
      </c>
      <c r="BA1116" s="35" t="str">
        <f aca="false">IF($B1116="","",AK1116+AN1116+AM1116/2+AO1116+AP1116+AQ1116+AR1116+AS1116+AT1116+AU1116+AV1116+AW1116)</f>
        <v/>
      </c>
      <c r="BB1116" s="35" t="str">
        <f aca="false">IF($B1116="","",MAX(0,AN1116-Settings!$C$16)*Settings!$C$17)</f>
        <v/>
      </c>
      <c r="BC1116" s="35" t="str">
        <f aca="false">IF($B1116="","",BA1116-BB1116)</f>
        <v/>
      </c>
      <c r="BD1116" s="35" t="str">
        <f aca="false">IF(OR($B1116="",$A1116=""),"",DAY(EOMONTH($A1116,0))-COUNTA($F1116:$AJ1116))</f>
        <v/>
      </c>
    </row>
    <row r="1117" customFormat="false" ht="15" hidden="false" customHeight="false" outlineLevel="0" collapsed="false">
      <c r="A1117" s="32"/>
      <c r="B1117" s="29"/>
      <c r="C1117" s="10" t="str">
        <f aca="false">IF($B1117="","",IFERROR(INDEX(M_name,MATCH($B1117,M_emp,0)),"Code not found"))</f>
        <v/>
      </c>
      <c r="D1117" s="10" t="str">
        <f aca="false">IF($B1117="","",IFERROR(INDEX(M_dept,MATCH($B1117,M_emp,0)),""))</f>
        <v/>
      </c>
      <c r="E1117" s="10" t="str">
        <f aca="false">IF($B1117="","",IFERROR(INDEX(M_loc,MATCH($B1117,M_emp,0)),""))</f>
        <v/>
      </c>
      <c r="F1117" s="33"/>
      <c r="G1117" s="33"/>
      <c r="H1117" s="33"/>
      <c r="I1117" s="33"/>
      <c r="J1117" s="33"/>
      <c r="K1117" s="33"/>
      <c r="L1117" s="33"/>
      <c r="M1117" s="33"/>
      <c r="N1117" s="33"/>
      <c r="O1117" s="33"/>
      <c r="P1117" s="33"/>
      <c r="Q1117" s="33"/>
      <c r="R1117" s="33"/>
      <c r="S1117" s="33"/>
      <c r="T1117" s="33"/>
      <c r="U1117" s="33"/>
      <c r="V1117" s="33"/>
      <c r="W1117" s="33"/>
      <c r="X1117" s="33"/>
      <c r="Y1117" s="33"/>
      <c r="Z1117" s="33"/>
      <c r="AA1117" s="33"/>
      <c r="AB1117" s="33"/>
      <c r="AC1117" s="33"/>
      <c r="AD1117" s="33"/>
      <c r="AE1117" s="33"/>
      <c r="AF1117" s="33"/>
      <c r="AG1117" s="33"/>
      <c r="AH1117" s="33"/>
      <c r="AI1117" s="33"/>
      <c r="AJ1117" s="33"/>
      <c r="AK1117" s="34" t="str">
        <f aca="false">IF($B1117="","",COUNTIF($F1117:$AJ1117,"P"))</f>
        <v/>
      </c>
      <c r="AL1117" s="34" t="str">
        <f aca="false">IF($B1117="","",COUNTIF($F1117:$AJ1117,"A"))</f>
        <v/>
      </c>
      <c r="AM1117" s="34" t="str">
        <f aca="false">IF($B1117="","",COUNTIF($F1117:$AJ1117,"HA"))</f>
        <v/>
      </c>
      <c r="AN1117" s="34" t="str">
        <f aca="false">IF($B1117="","",COUNTIF($F1117:$AJ1117,"L"))</f>
        <v/>
      </c>
      <c r="AO1117" s="34" t="str">
        <f aca="false">IF($B1117="","",COUNTIF($F1117:$AJ1117,"PL"))</f>
        <v/>
      </c>
      <c r="AP1117" s="34" t="str">
        <f aca="false">IF($B1117="","",COUNTIF($F1117:$AJ1117,"CL"))</f>
        <v/>
      </c>
      <c r="AQ1117" s="34" t="str">
        <f aca="false">IF($B1117="","",COUNTIF($F1117:$AJ1117,"SL"))</f>
        <v/>
      </c>
      <c r="AR1117" s="34" t="str">
        <f aca="false">IF($B1117="","",COUNTIF($F1117:$AJ1117,"CO"))</f>
        <v/>
      </c>
      <c r="AS1117" s="34" t="str">
        <f aca="false">IF($B1117="","",COUNTIF($F1117:$AJ1117,"HPL"))</f>
        <v/>
      </c>
      <c r="AT1117" s="34" t="str">
        <f aca="false">IF($B1117="","",COUNTIF($F1117:$AJ1117,"HCL"))</f>
        <v/>
      </c>
      <c r="AU1117" s="34" t="str">
        <f aca="false">IF($B1117="","",COUNTIF($F1117:$AJ1117,"WO"))</f>
        <v/>
      </c>
      <c r="AV1117" s="34" t="str">
        <f aca="false">IF($B1117="","",COUNTIF($F1117:$AJ1117,"PH"))</f>
        <v/>
      </c>
      <c r="AW1117" s="34" t="str">
        <f aca="false">IF($B1117="","",COUNTIF($F1117:$AJ1117,"TR"))</f>
        <v/>
      </c>
      <c r="AX1117" s="35" t="str">
        <f aca="false">IF($B1117="","",AO1117+AS1117/2)</f>
        <v/>
      </c>
      <c r="AY1117" s="35" t="str">
        <f aca="false">IF($B1117="","",AQ1117)</f>
        <v/>
      </c>
      <c r="AZ1117" s="35" t="str">
        <f aca="false">IF($B1117="","",AP1117+AT1117/2)</f>
        <v/>
      </c>
      <c r="BA1117" s="35" t="str">
        <f aca="false">IF($B1117="","",AK1117+AN1117+AM1117/2+AO1117+AP1117+AQ1117+AR1117+AS1117+AT1117+AU1117+AV1117+AW1117)</f>
        <v/>
      </c>
      <c r="BB1117" s="35" t="str">
        <f aca="false">IF($B1117="","",MAX(0,AN1117-Settings!$C$16)*Settings!$C$17)</f>
        <v/>
      </c>
      <c r="BC1117" s="35" t="str">
        <f aca="false">IF($B1117="","",BA1117-BB1117)</f>
        <v/>
      </c>
      <c r="BD1117" s="35" t="str">
        <f aca="false">IF(OR($B1117="",$A1117=""),"",DAY(EOMONTH($A1117,0))-COUNTA($F1117:$AJ1117))</f>
        <v/>
      </c>
    </row>
    <row r="1118" customFormat="false" ht="15" hidden="false" customHeight="false" outlineLevel="0" collapsed="false">
      <c r="A1118" s="32"/>
      <c r="B1118" s="29"/>
      <c r="C1118" s="10" t="str">
        <f aca="false">IF($B1118="","",IFERROR(INDEX(M_name,MATCH($B1118,M_emp,0)),"Code not found"))</f>
        <v/>
      </c>
      <c r="D1118" s="10" t="str">
        <f aca="false">IF($B1118="","",IFERROR(INDEX(M_dept,MATCH($B1118,M_emp,0)),""))</f>
        <v/>
      </c>
      <c r="E1118" s="10" t="str">
        <f aca="false">IF($B1118="","",IFERROR(INDEX(M_loc,MATCH($B1118,M_emp,0)),""))</f>
        <v/>
      </c>
      <c r="F1118" s="33"/>
      <c r="G1118" s="33"/>
      <c r="H1118" s="33"/>
      <c r="I1118" s="33"/>
      <c r="J1118" s="33"/>
      <c r="K1118" s="33"/>
      <c r="L1118" s="33"/>
      <c r="M1118" s="33"/>
      <c r="N1118" s="33"/>
      <c r="O1118" s="33"/>
      <c r="P1118" s="33"/>
      <c r="Q1118" s="33"/>
      <c r="R1118" s="33"/>
      <c r="S1118" s="33"/>
      <c r="T1118" s="33"/>
      <c r="U1118" s="33"/>
      <c r="V1118" s="33"/>
      <c r="W1118" s="33"/>
      <c r="X1118" s="33"/>
      <c r="Y1118" s="33"/>
      <c r="Z1118" s="33"/>
      <c r="AA1118" s="33"/>
      <c r="AB1118" s="33"/>
      <c r="AC1118" s="33"/>
      <c r="AD1118" s="33"/>
      <c r="AE1118" s="33"/>
      <c r="AF1118" s="33"/>
      <c r="AG1118" s="33"/>
      <c r="AH1118" s="33"/>
      <c r="AI1118" s="33"/>
      <c r="AJ1118" s="33"/>
      <c r="AK1118" s="34" t="str">
        <f aca="false">IF($B1118="","",COUNTIF($F1118:$AJ1118,"P"))</f>
        <v/>
      </c>
      <c r="AL1118" s="34" t="str">
        <f aca="false">IF($B1118="","",COUNTIF($F1118:$AJ1118,"A"))</f>
        <v/>
      </c>
      <c r="AM1118" s="34" t="str">
        <f aca="false">IF($B1118="","",COUNTIF($F1118:$AJ1118,"HA"))</f>
        <v/>
      </c>
      <c r="AN1118" s="34" t="str">
        <f aca="false">IF($B1118="","",COUNTIF($F1118:$AJ1118,"L"))</f>
        <v/>
      </c>
      <c r="AO1118" s="34" t="str">
        <f aca="false">IF($B1118="","",COUNTIF($F1118:$AJ1118,"PL"))</f>
        <v/>
      </c>
      <c r="AP1118" s="34" t="str">
        <f aca="false">IF($B1118="","",COUNTIF($F1118:$AJ1118,"CL"))</f>
        <v/>
      </c>
      <c r="AQ1118" s="34" t="str">
        <f aca="false">IF($B1118="","",COUNTIF($F1118:$AJ1118,"SL"))</f>
        <v/>
      </c>
      <c r="AR1118" s="34" t="str">
        <f aca="false">IF($B1118="","",COUNTIF($F1118:$AJ1118,"CO"))</f>
        <v/>
      </c>
      <c r="AS1118" s="34" t="str">
        <f aca="false">IF($B1118="","",COUNTIF($F1118:$AJ1118,"HPL"))</f>
        <v/>
      </c>
      <c r="AT1118" s="34" t="str">
        <f aca="false">IF($B1118="","",COUNTIF($F1118:$AJ1118,"HCL"))</f>
        <v/>
      </c>
      <c r="AU1118" s="34" t="str">
        <f aca="false">IF($B1118="","",COUNTIF($F1118:$AJ1118,"WO"))</f>
        <v/>
      </c>
      <c r="AV1118" s="34" t="str">
        <f aca="false">IF($B1118="","",COUNTIF($F1118:$AJ1118,"PH"))</f>
        <v/>
      </c>
      <c r="AW1118" s="34" t="str">
        <f aca="false">IF($B1118="","",COUNTIF($F1118:$AJ1118,"TR"))</f>
        <v/>
      </c>
      <c r="AX1118" s="35" t="str">
        <f aca="false">IF($B1118="","",AO1118+AS1118/2)</f>
        <v/>
      </c>
      <c r="AY1118" s="35" t="str">
        <f aca="false">IF($B1118="","",AQ1118)</f>
        <v/>
      </c>
      <c r="AZ1118" s="35" t="str">
        <f aca="false">IF($B1118="","",AP1118+AT1118/2)</f>
        <v/>
      </c>
      <c r="BA1118" s="35" t="str">
        <f aca="false">IF($B1118="","",AK1118+AN1118+AM1118/2+AO1118+AP1118+AQ1118+AR1118+AS1118+AT1118+AU1118+AV1118+AW1118)</f>
        <v/>
      </c>
      <c r="BB1118" s="35" t="str">
        <f aca="false">IF($B1118="","",MAX(0,AN1118-Settings!$C$16)*Settings!$C$17)</f>
        <v/>
      </c>
      <c r="BC1118" s="35" t="str">
        <f aca="false">IF($B1118="","",BA1118-BB1118)</f>
        <v/>
      </c>
      <c r="BD1118" s="35" t="str">
        <f aca="false">IF(OR($B1118="",$A1118=""),"",DAY(EOMONTH($A1118,0))-COUNTA($F1118:$AJ1118))</f>
        <v/>
      </c>
    </row>
    <row r="1119" customFormat="false" ht="15" hidden="false" customHeight="false" outlineLevel="0" collapsed="false">
      <c r="A1119" s="32"/>
      <c r="B1119" s="29"/>
      <c r="C1119" s="10" t="str">
        <f aca="false">IF($B1119="","",IFERROR(INDEX(M_name,MATCH($B1119,M_emp,0)),"Code not found"))</f>
        <v/>
      </c>
      <c r="D1119" s="10" t="str">
        <f aca="false">IF($B1119="","",IFERROR(INDEX(M_dept,MATCH($B1119,M_emp,0)),""))</f>
        <v/>
      </c>
      <c r="E1119" s="10" t="str">
        <f aca="false">IF($B1119="","",IFERROR(INDEX(M_loc,MATCH($B1119,M_emp,0)),""))</f>
        <v/>
      </c>
      <c r="F1119" s="33"/>
      <c r="G1119" s="33"/>
      <c r="H1119" s="33"/>
      <c r="I1119" s="33"/>
      <c r="J1119" s="33"/>
      <c r="K1119" s="33"/>
      <c r="L1119" s="33"/>
      <c r="M1119" s="33"/>
      <c r="N1119" s="33"/>
      <c r="O1119" s="33"/>
      <c r="P1119" s="33"/>
      <c r="Q1119" s="33"/>
      <c r="R1119" s="33"/>
      <c r="S1119" s="33"/>
      <c r="T1119" s="33"/>
      <c r="U1119" s="33"/>
      <c r="V1119" s="33"/>
      <c r="W1119" s="33"/>
      <c r="X1119" s="33"/>
      <c r="Y1119" s="33"/>
      <c r="Z1119" s="33"/>
      <c r="AA1119" s="33"/>
      <c r="AB1119" s="33"/>
      <c r="AC1119" s="33"/>
      <c r="AD1119" s="33"/>
      <c r="AE1119" s="33"/>
      <c r="AF1119" s="33"/>
      <c r="AG1119" s="33"/>
      <c r="AH1119" s="33"/>
      <c r="AI1119" s="33"/>
      <c r="AJ1119" s="33"/>
      <c r="AK1119" s="34" t="str">
        <f aca="false">IF($B1119="","",COUNTIF($F1119:$AJ1119,"P"))</f>
        <v/>
      </c>
      <c r="AL1119" s="34" t="str">
        <f aca="false">IF($B1119="","",COUNTIF($F1119:$AJ1119,"A"))</f>
        <v/>
      </c>
      <c r="AM1119" s="34" t="str">
        <f aca="false">IF($B1119="","",COUNTIF($F1119:$AJ1119,"HA"))</f>
        <v/>
      </c>
      <c r="AN1119" s="34" t="str">
        <f aca="false">IF($B1119="","",COUNTIF($F1119:$AJ1119,"L"))</f>
        <v/>
      </c>
      <c r="AO1119" s="34" t="str">
        <f aca="false">IF($B1119="","",COUNTIF($F1119:$AJ1119,"PL"))</f>
        <v/>
      </c>
      <c r="AP1119" s="34" t="str">
        <f aca="false">IF($B1119="","",COUNTIF($F1119:$AJ1119,"CL"))</f>
        <v/>
      </c>
      <c r="AQ1119" s="34" t="str">
        <f aca="false">IF($B1119="","",COUNTIF($F1119:$AJ1119,"SL"))</f>
        <v/>
      </c>
      <c r="AR1119" s="34" t="str">
        <f aca="false">IF($B1119="","",COUNTIF($F1119:$AJ1119,"CO"))</f>
        <v/>
      </c>
      <c r="AS1119" s="34" t="str">
        <f aca="false">IF($B1119="","",COUNTIF($F1119:$AJ1119,"HPL"))</f>
        <v/>
      </c>
      <c r="AT1119" s="34" t="str">
        <f aca="false">IF($B1119="","",COUNTIF($F1119:$AJ1119,"HCL"))</f>
        <v/>
      </c>
      <c r="AU1119" s="34" t="str">
        <f aca="false">IF($B1119="","",COUNTIF($F1119:$AJ1119,"WO"))</f>
        <v/>
      </c>
      <c r="AV1119" s="34" t="str">
        <f aca="false">IF($B1119="","",COUNTIF($F1119:$AJ1119,"PH"))</f>
        <v/>
      </c>
      <c r="AW1119" s="34" t="str">
        <f aca="false">IF($B1119="","",COUNTIF($F1119:$AJ1119,"TR"))</f>
        <v/>
      </c>
      <c r="AX1119" s="35" t="str">
        <f aca="false">IF($B1119="","",AO1119+AS1119/2)</f>
        <v/>
      </c>
      <c r="AY1119" s="35" t="str">
        <f aca="false">IF($B1119="","",AQ1119)</f>
        <v/>
      </c>
      <c r="AZ1119" s="35" t="str">
        <f aca="false">IF($B1119="","",AP1119+AT1119/2)</f>
        <v/>
      </c>
      <c r="BA1119" s="35" t="str">
        <f aca="false">IF($B1119="","",AK1119+AN1119+AM1119/2+AO1119+AP1119+AQ1119+AR1119+AS1119+AT1119+AU1119+AV1119+AW1119)</f>
        <v/>
      </c>
      <c r="BB1119" s="35" t="str">
        <f aca="false">IF($B1119="","",MAX(0,AN1119-Settings!$C$16)*Settings!$C$17)</f>
        <v/>
      </c>
      <c r="BC1119" s="35" t="str">
        <f aca="false">IF($B1119="","",BA1119-BB1119)</f>
        <v/>
      </c>
      <c r="BD1119" s="35" t="str">
        <f aca="false">IF(OR($B1119="",$A1119=""),"",DAY(EOMONTH($A1119,0))-COUNTA($F1119:$AJ1119))</f>
        <v/>
      </c>
    </row>
    <row r="1120" customFormat="false" ht="15" hidden="false" customHeight="false" outlineLevel="0" collapsed="false">
      <c r="A1120" s="32"/>
      <c r="B1120" s="29"/>
      <c r="C1120" s="10" t="str">
        <f aca="false">IF($B1120="","",IFERROR(INDEX(M_name,MATCH($B1120,M_emp,0)),"Code not found"))</f>
        <v/>
      </c>
      <c r="D1120" s="10" t="str">
        <f aca="false">IF($B1120="","",IFERROR(INDEX(M_dept,MATCH($B1120,M_emp,0)),""))</f>
        <v/>
      </c>
      <c r="E1120" s="10" t="str">
        <f aca="false">IF($B1120="","",IFERROR(INDEX(M_loc,MATCH($B1120,M_emp,0)),""))</f>
        <v/>
      </c>
      <c r="F1120" s="33"/>
      <c r="G1120" s="33"/>
      <c r="H1120" s="33"/>
      <c r="I1120" s="33"/>
      <c r="J1120" s="33"/>
      <c r="K1120" s="33"/>
      <c r="L1120" s="33"/>
      <c r="M1120" s="33"/>
      <c r="N1120" s="33"/>
      <c r="O1120" s="33"/>
      <c r="P1120" s="33"/>
      <c r="Q1120" s="33"/>
      <c r="R1120" s="33"/>
      <c r="S1120" s="33"/>
      <c r="T1120" s="33"/>
      <c r="U1120" s="33"/>
      <c r="V1120" s="33"/>
      <c r="W1120" s="33"/>
      <c r="X1120" s="33"/>
      <c r="Y1120" s="33"/>
      <c r="Z1120" s="33"/>
      <c r="AA1120" s="33"/>
      <c r="AB1120" s="33"/>
      <c r="AC1120" s="33"/>
      <c r="AD1120" s="33"/>
      <c r="AE1120" s="33"/>
      <c r="AF1120" s="33"/>
      <c r="AG1120" s="33"/>
      <c r="AH1120" s="33"/>
      <c r="AI1120" s="33"/>
      <c r="AJ1120" s="33"/>
      <c r="AK1120" s="34" t="str">
        <f aca="false">IF($B1120="","",COUNTIF($F1120:$AJ1120,"P"))</f>
        <v/>
      </c>
      <c r="AL1120" s="34" t="str">
        <f aca="false">IF($B1120="","",COUNTIF($F1120:$AJ1120,"A"))</f>
        <v/>
      </c>
      <c r="AM1120" s="34" t="str">
        <f aca="false">IF($B1120="","",COUNTIF($F1120:$AJ1120,"HA"))</f>
        <v/>
      </c>
      <c r="AN1120" s="34" t="str">
        <f aca="false">IF($B1120="","",COUNTIF($F1120:$AJ1120,"L"))</f>
        <v/>
      </c>
      <c r="AO1120" s="34" t="str">
        <f aca="false">IF($B1120="","",COUNTIF($F1120:$AJ1120,"PL"))</f>
        <v/>
      </c>
      <c r="AP1120" s="34" t="str">
        <f aca="false">IF($B1120="","",COUNTIF($F1120:$AJ1120,"CL"))</f>
        <v/>
      </c>
      <c r="AQ1120" s="34" t="str">
        <f aca="false">IF($B1120="","",COUNTIF($F1120:$AJ1120,"SL"))</f>
        <v/>
      </c>
      <c r="AR1120" s="34" t="str">
        <f aca="false">IF($B1120="","",COUNTIF($F1120:$AJ1120,"CO"))</f>
        <v/>
      </c>
      <c r="AS1120" s="34" t="str">
        <f aca="false">IF($B1120="","",COUNTIF($F1120:$AJ1120,"HPL"))</f>
        <v/>
      </c>
      <c r="AT1120" s="34" t="str">
        <f aca="false">IF($B1120="","",COUNTIF($F1120:$AJ1120,"HCL"))</f>
        <v/>
      </c>
      <c r="AU1120" s="34" t="str">
        <f aca="false">IF($B1120="","",COUNTIF($F1120:$AJ1120,"WO"))</f>
        <v/>
      </c>
      <c r="AV1120" s="34" t="str">
        <f aca="false">IF($B1120="","",COUNTIF($F1120:$AJ1120,"PH"))</f>
        <v/>
      </c>
      <c r="AW1120" s="34" t="str">
        <f aca="false">IF($B1120="","",COUNTIF($F1120:$AJ1120,"TR"))</f>
        <v/>
      </c>
      <c r="AX1120" s="35" t="str">
        <f aca="false">IF($B1120="","",AO1120+AS1120/2)</f>
        <v/>
      </c>
      <c r="AY1120" s="35" t="str">
        <f aca="false">IF($B1120="","",AQ1120)</f>
        <v/>
      </c>
      <c r="AZ1120" s="35" t="str">
        <f aca="false">IF($B1120="","",AP1120+AT1120/2)</f>
        <v/>
      </c>
      <c r="BA1120" s="35" t="str">
        <f aca="false">IF($B1120="","",AK1120+AN1120+AM1120/2+AO1120+AP1120+AQ1120+AR1120+AS1120+AT1120+AU1120+AV1120+AW1120)</f>
        <v/>
      </c>
      <c r="BB1120" s="35" t="str">
        <f aca="false">IF($B1120="","",MAX(0,AN1120-Settings!$C$16)*Settings!$C$17)</f>
        <v/>
      </c>
      <c r="BC1120" s="35" t="str">
        <f aca="false">IF($B1120="","",BA1120-BB1120)</f>
        <v/>
      </c>
      <c r="BD1120" s="35" t="str">
        <f aca="false">IF(OR($B1120="",$A1120=""),"",DAY(EOMONTH($A1120,0))-COUNTA($F1120:$AJ1120))</f>
        <v/>
      </c>
    </row>
    <row r="1121" customFormat="false" ht="15" hidden="false" customHeight="false" outlineLevel="0" collapsed="false">
      <c r="A1121" s="32"/>
      <c r="B1121" s="29"/>
      <c r="C1121" s="10" t="str">
        <f aca="false">IF($B1121="","",IFERROR(INDEX(M_name,MATCH($B1121,M_emp,0)),"Code not found"))</f>
        <v/>
      </c>
      <c r="D1121" s="10" t="str">
        <f aca="false">IF($B1121="","",IFERROR(INDEX(M_dept,MATCH($B1121,M_emp,0)),""))</f>
        <v/>
      </c>
      <c r="E1121" s="10" t="str">
        <f aca="false">IF($B1121="","",IFERROR(INDEX(M_loc,MATCH($B1121,M_emp,0)),""))</f>
        <v/>
      </c>
      <c r="F1121" s="33"/>
      <c r="G1121" s="33"/>
      <c r="H1121" s="33"/>
      <c r="I1121" s="33"/>
      <c r="J1121" s="33"/>
      <c r="K1121" s="33"/>
      <c r="L1121" s="33"/>
      <c r="M1121" s="33"/>
      <c r="N1121" s="33"/>
      <c r="O1121" s="33"/>
      <c r="P1121" s="33"/>
      <c r="Q1121" s="33"/>
      <c r="R1121" s="33"/>
      <c r="S1121" s="33"/>
      <c r="T1121" s="33"/>
      <c r="U1121" s="33"/>
      <c r="V1121" s="33"/>
      <c r="W1121" s="33"/>
      <c r="X1121" s="33"/>
      <c r="Y1121" s="33"/>
      <c r="Z1121" s="33"/>
      <c r="AA1121" s="33"/>
      <c r="AB1121" s="33"/>
      <c r="AC1121" s="33"/>
      <c r="AD1121" s="33"/>
      <c r="AE1121" s="33"/>
      <c r="AF1121" s="33"/>
      <c r="AG1121" s="33"/>
      <c r="AH1121" s="33"/>
      <c r="AI1121" s="33"/>
      <c r="AJ1121" s="33"/>
      <c r="AK1121" s="34" t="str">
        <f aca="false">IF($B1121="","",COUNTIF($F1121:$AJ1121,"P"))</f>
        <v/>
      </c>
      <c r="AL1121" s="34" t="str">
        <f aca="false">IF($B1121="","",COUNTIF($F1121:$AJ1121,"A"))</f>
        <v/>
      </c>
      <c r="AM1121" s="34" t="str">
        <f aca="false">IF($B1121="","",COUNTIF($F1121:$AJ1121,"HA"))</f>
        <v/>
      </c>
      <c r="AN1121" s="34" t="str">
        <f aca="false">IF($B1121="","",COUNTIF($F1121:$AJ1121,"L"))</f>
        <v/>
      </c>
      <c r="AO1121" s="34" t="str">
        <f aca="false">IF($B1121="","",COUNTIF($F1121:$AJ1121,"PL"))</f>
        <v/>
      </c>
      <c r="AP1121" s="34" t="str">
        <f aca="false">IF($B1121="","",COUNTIF($F1121:$AJ1121,"CL"))</f>
        <v/>
      </c>
      <c r="AQ1121" s="34" t="str">
        <f aca="false">IF($B1121="","",COUNTIF($F1121:$AJ1121,"SL"))</f>
        <v/>
      </c>
      <c r="AR1121" s="34" t="str">
        <f aca="false">IF($B1121="","",COUNTIF($F1121:$AJ1121,"CO"))</f>
        <v/>
      </c>
      <c r="AS1121" s="34" t="str">
        <f aca="false">IF($B1121="","",COUNTIF($F1121:$AJ1121,"HPL"))</f>
        <v/>
      </c>
      <c r="AT1121" s="34" t="str">
        <f aca="false">IF($B1121="","",COUNTIF($F1121:$AJ1121,"HCL"))</f>
        <v/>
      </c>
      <c r="AU1121" s="34" t="str">
        <f aca="false">IF($B1121="","",COUNTIF($F1121:$AJ1121,"WO"))</f>
        <v/>
      </c>
      <c r="AV1121" s="34" t="str">
        <f aca="false">IF($B1121="","",COUNTIF($F1121:$AJ1121,"PH"))</f>
        <v/>
      </c>
      <c r="AW1121" s="34" t="str">
        <f aca="false">IF($B1121="","",COUNTIF($F1121:$AJ1121,"TR"))</f>
        <v/>
      </c>
      <c r="AX1121" s="35" t="str">
        <f aca="false">IF($B1121="","",AO1121+AS1121/2)</f>
        <v/>
      </c>
      <c r="AY1121" s="35" t="str">
        <f aca="false">IF($B1121="","",AQ1121)</f>
        <v/>
      </c>
      <c r="AZ1121" s="35" t="str">
        <f aca="false">IF($B1121="","",AP1121+AT1121/2)</f>
        <v/>
      </c>
      <c r="BA1121" s="35" t="str">
        <f aca="false">IF($B1121="","",AK1121+AN1121+AM1121/2+AO1121+AP1121+AQ1121+AR1121+AS1121+AT1121+AU1121+AV1121+AW1121)</f>
        <v/>
      </c>
      <c r="BB1121" s="35" t="str">
        <f aca="false">IF($B1121="","",MAX(0,AN1121-Settings!$C$16)*Settings!$C$17)</f>
        <v/>
      </c>
      <c r="BC1121" s="35" t="str">
        <f aca="false">IF($B1121="","",BA1121-BB1121)</f>
        <v/>
      </c>
      <c r="BD1121" s="35" t="str">
        <f aca="false">IF(OR($B1121="",$A1121=""),"",DAY(EOMONTH($A1121,0))-COUNTA($F1121:$AJ1121))</f>
        <v/>
      </c>
    </row>
    <row r="1122" customFormat="false" ht="15" hidden="false" customHeight="false" outlineLevel="0" collapsed="false">
      <c r="A1122" s="32"/>
      <c r="B1122" s="29"/>
      <c r="C1122" s="10" t="str">
        <f aca="false">IF($B1122="","",IFERROR(INDEX(M_name,MATCH($B1122,M_emp,0)),"Code not found"))</f>
        <v/>
      </c>
      <c r="D1122" s="10" t="str">
        <f aca="false">IF($B1122="","",IFERROR(INDEX(M_dept,MATCH($B1122,M_emp,0)),""))</f>
        <v/>
      </c>
      <c r="E1122" s="10" t="str">
        <f aca="false">IF($B1122="","",IFERROR(INDEX(M_loc,MATCH($B1122,M_emp,0)),""))</f>
        <v/>
      </c>
      <c r="F1122" s="33"/>
      <c r="G1122" s="33"/>
      <c r="H1122" s="33"/>
      <c r="I1122" s="33"/>
      <c r="J1122" s="33"/>
      <c r="K1122" s="33"/>
      <c r="L1122" s="33"/>
      <c r="M1122" s="33"/>
      <c r="N1122" s="33"/>
      <c r="O1122" s="33"/>
      <c r="P1122" s="33"/>
      <c r="Q1122" s="33"/>
      <c r="R1122" s="33"/>
      <c r="S1122" s="33"/>
      <c r="T1122" s="33"/>
      <c r="U1122" s="33"/>
      <c r="V1122" s="33"/>
      <c r="W1122" s="33"/>
      <c r="X1122" s="33"/>
      <c r="Y1122" s="33"/>
      <c r="Z1122" s="33"/>
      <c r="AA1122" s="33"/>
      <c r="AB1122" s="33"/>
      <c r="AC1122" s="33"/>
      <c r="AD1122" s="33"/>
      <c r="AE1122" s="33"/>
      <c r="AF1122" s="33"/>
      <c r="AG1122" s="33"/>
      <c r="AH1122" s="33"/>
      <c r="AI1122" s="33"/>
      <c r="AJ1122" s="33"/>
      <c r="AK1122" s="34" t="str">
        <f aca="false">IF($B1122="","",COUNTIF($F1122:$AJ1122,"P"))</f>
        <v/>
      </c>
      <c r="AL1122" s="34" t="str">
        <f aca="false">IF($B1122="","",COUNTIF($F1122:$AJ1122,"A"))</f>
        <v/>
      </c>
      <c r="AM1122" s="34" t="str">
        <f aca="false">IF($B1122="","",COUNTIF($F1122:$AJ1122,"HA"))</f>
        <v/>
      </c>
      <c r="AN1122" s="34" t="str">
        <f aca="false">IF($B1122="","",COUNTIF($F1122:$AJ1122,"L"))</f>
        <v/>
      </c>
      <c r="AO1122" s="34" t="str">
        <f aca="false">IF($B1122="","",COUNTIF($F1122:$AJ1122,"PL"))</f>
        <v/>
      </c>
      <c r="AP1122" s="34" t="str">
        <f aca="false">IF($B1122="","",COUNTIF($F1122:$AJ1122,"CL"))</f>
        <v/>
      </c>
      <c r="AQ1122" s="34" t="str">
        <f aca="false">IF($B1122="","",COUNTIF($F1122:$AJ1122,"SL"))</f>
        <v/>
      </c>
      <c r="AR1122" s="34" t="str">
        <f aca="false">IF($B1122="","",COUNTIF($F1122:$AJ1122,"CO"))</f>
        <v/>
      </c>
      <c r="AS1122" s="34" t="str">
        <f aca="false">IF($B1122="","",COUNTIF($F1122:$AJ1122,"HPL"))</f>
        <v/>
      </c>
      <c r="AT1122" s="34" t="str">
        <f aca="false">IF($B1122="","",COUNTIF($F1122:$AJ1122,"HCL"))</f>
        <v/>
      </c>
      <c r="AU1122" s="34" t="str">
        <f aca="false">IF($B1122="","",COUNTIF($F1122:$AJ1122,"WO"))</f>
        <v/>
      </c>
      <c r="AV1122" s="34" t="str">
        <f aca="false">IF($B1122="","",COUNTIF($F1122:$AJ1122,"PH"))</f>
        <v/>
      </c>
      <c r="AW1122" s="34" t="str">
        <f aca="false">IF($B1122="","",COUNTIF($F1122:$AJ1122,"TR"))</f>
        <v/>
      </c>
      <c r="AX1122" s="35" t="str">
        <f aca="false">IF($B1122="","",AO1122+AS1122/2)</f>
        <v/>
      </c>
      <c r="AY1122" s="35" t="str">
        <f aca="false">IF($B1122="","",AQ1122)</f>
        <v/>
      </c>
      <c r="AZ1122" s="35" t="str">
        <f aca="false">IF($B1122="","",AP1122+AT1122/2)</f>
        <v/>
      </c>
      <c r="BA1122" s="35" t="str">
        <f aca="false">IF($B1122="","",AK1122+AN1122+AM1122/2+AO1122+AP1122+AQ1122+AR1122+AS1122+AT1122+AU1122+AV1122+AW1122)</f>
        <v/>
      </c>
      <c r="BB1122" s="35" t="str">
        <f aca="false">IF($B1122="","",MAX(0,AN1122-Settings!$C$16)*Settings!$C$17)</f>
        <v/>
      </c>
      <c r="BC1122" s="35" t="str">
        <f aca="false">IF($B1122="","",BA1122-BB1122)</f>
        <v/>
      </c>
      <c r="BD1122" s="35" t="str">
        <f aca="false">IF(OR($B1122="",$A1122=""),"",DAY(EOMONTH($A1122,0))-COUNTA($F1122:$AJ1122))</f>
        <v/>
      </c>
    </row>
    <row r="1123" customFormat="false" ht="15" hidden="false" customHeight="false" outlineLevel="0" collapsed="false">
      <c r="A1123" s="32"/>
      <c r="B1123" s="29"/>
      <c r="C1123" s="10" t="str">
        <f aca="false">IF($B1123="","",IFERROR(INDEX(M_name,MATCH($B1123,M_emp,0)),"Code not found"))</f>
        <v/>
      </c>
      <c r="D1123" s="10" t="str">
        <f aca="false">IF($B1123="","",IFERROR(INDEX(M_dept,MATCH($B1123,M_emp,0)),""))</f>
        <v/>
      </c>
      <c r="E1123" s="10" t="str">
        <f aca="false">IF($B1123="","",IFERROR(INDEX(M_loc,MATCH($B1123,M_emp,0)),""))</f>
        <v/>
      </c>
      <c r="F1123" s="33"/>
      <c r="G1123" s="33"/>
      <c r="H1123" s="33"/>
      <c r="I1123" s="33"/>
      <c r="J1123" s="33"/>
      <c r="K1123" s="33"/>
      <c r="L1123" s="33"/>
      <c r="M1123" s="33"/>
      <c r="N1123" s="33"/>
      <c r="O1123" s="33"/>
      <c r="P1123" s="33"/>
      <c r="Q1123" s="33"/>
      <c r="R1123" s="33"/>
      <c r="S1123" s="33"/>
      <c r="T1123" s="33"/>
      <c r="U1123" s="33"/>
      <c r="V1123" s="33"/>
      <c r="W1123" s="33"/>
      <c r="X1123" s="33"/>
      <c r="Y1123" s="33"/>
      <c r="Z1123" s="33"/>
      <c r="AA1123" s="33"/>
      <c r="AB1123" s="33"/>
      <c r="AC1123" s="33"/>
      <c r="AD1123" s="33"/>
      <c r="AE1123" s="33"/>
      <c r="AF1123" s="33"/>
      <c r="AG1123" s="33"/>
      <c r="AH1123" s="33"/>
      <c r="AI1123" s="33"/>
      <c r="AJ1123" s="33"/>
      <c r="AK1123" s="34" t="str">
        <f aca="false">IF($B1123="","",COUNTIF($F1123:$AJ1123,"P"))</f>
        <v/>
      </c>
      <c r="AL1123" s="34" t="str">
        <f aca="false">IF($B1123="","",COUNTIF($F1123:$AJ1123,"A"))</f>
        <v/>
      </c>
      <c r="AM1123" s="34" t="str">
        <f aca="false">IF($B1123="","",COUNTIF($F1123:$AJ1123,"HA"))</f>
        <v/>
      </c>
      <c r="AN1123" s="34" t="str">
        <f aca="false">IF($B1123="","",COUNTIF($F1123:$AJ1123,"L"))</f>
        <v/>
      </c>
      <c r="AO1123" s="34" t="str">
        <f aca="false">IF($B1123="","",COUNTIF($F1123:$AJ1123,"PL"))</f>
        <v/>
      </c>
      <c r="AP1123" s="34" t="str">
        <f aca="false">IF($B1123="","",COUNTIF($F1123:$AJ1123,"CL"))</f>
        <v/>
      </c>
      <c r="AQ1123" s="34" t="str">
        <f aca="false">IF($B1123="","",COUNTIF($F1123:$AJ1123,"SL"))</f>
        <v/>
      </c>
      <c r="AR1123" s="34" t="str">
        <f aca="false">IF($B1123="","",COUNTIF($F1123:$AJ1123,"CO"))</f>
        <v/>
      </c>
      <c r="AS1123" s="34" t="str">
        <f aca="false">IF($B1123="","",COUNTIF($F1123:$AJ1123,"HPL"))</f>
        <v/>
      </c>
      <c r="AT1123" s="34" t="str">
        <f aca="false">IF($B1123="","",COUNTIF($F1123:$AJ1123,"HCL"))</f>
        <v/>
      </c>
      <c r="AU1123" s="34" t="str">
        <f aca="false">IF($B1123="","",COUNTIF($F1123:$AJ1123,"WO"))</f>
        <v/>
      </c>
      <c r="AV1123" s="34" t="str">
        <f aca="false">IF($B1123="","",COUNTIF($F1123:$AJ1123,"PH"))</f>
        <v/>
      </c>
      <c r="AW1123" s="34" t="str">
        <f aca="false">IF($B1123="","",COUNTIF($F1123:$AJ1123,"TR"))</f>
        <v/>
      </c>
      <c r="AX1123" s="35" t="str">
        <f aca="false">IF($B1123="","",AO1123+AS1123/2)</f>
        <v/>
      </c>
      <c r="AY1123" s="35" t="str">
        <f aca="false">IF($B1123="","",AQ1123)</f>
        <v/>
      </c>
      <c r="AZ1123" s="35" t="str">
        <f aca="false">IF($B1123="","",AP1123+AT1123/2)</f>
        <v/>
      </c>
      <c r="BA1123" s="35" t="str">
        <f aca="false">IF($B1123="","",AK1123+AN1123+AM1123/2+AO1123+AP1123+AQ1123+AR1123+AS1123+AT1123+AU1123+AV1123+AW1123)</f>
        <v/>
      </c>
      <c r="BB1123" s="35" t="str">
        <f aca="false">IF($B1123="","",MAX(0,AN1123-Settings!$C$16)*Settings!$C$17)</f>
        <v/>
      </c>
      <c r="BC1123" s="35" t="str">
        <f aca="false">IF($B1123="","",BA1123-BB1123)</f>
        <v/>
      </c>
      <c r="BD1123" s="35" t="str">
        <f aca="false">IF(OR($B1123="",$A1123=""),"",DAY(EOMONTH($A1123,0))-COUNTA($F1123:$AJ1123))</f>
        <v/>
      </c>
    </row>
    <row r="1124" customFormat="false" ht="15" hidden="false" customHeight="false" outlineLevel="0" collapsed="false">
      <c r="A1124" s="32"/>
      <c r="B1124" s="29"/>
      <c r="C1124" s="10" t="str">
        <f aca="false">IF($B1124="","",IFERROR(INDEX(M_name,MATCH($B1124,M_emp,0)),"Code not found"))</f>
        <v/>
      </c>
      <c r="D1124" s="10" t="str">
        <f aca="false">IF($B1124="","",IFERROR(INDEX(M_dept,MATCH($B1124,M_emp,0)),""))</f>
        <v/>
      </c>
      <c r="E1124" s="10" t="str">
        <f aca="false">IF($B1124="","",IFERROR(INDEX(M_loc,MATCH($B1124,M_emp,0)),""))</f>
        <v/>
      </c>
      <c r="F1124" s="33"/>
      <c r="G1124" s="33"/>
      <c r="H1124" s="33"/>
      <c r="I1124" s="33"/>
      <c r="J1124" s="33"/>
      <c r="K1124" s="33"/>
      <c r="L1124" s="33"/>
      <c r="M1124" s="33"/>
      <c r="N1124" s="33"/>
      <c r="O1124" s="33"/>
      <c r="P1124" s="33"/>
      <c r="Q1124" s="33"/>
      <c r="R1124" s="33"/>
      <c r="S1124" s="33"/>
      <c r="T1124" s="33"/>
      <c r="U1124" s="33"/>
      <c r="V1124" s="33"/>
      <c r="W1124" s="33"/>
      <c r="X1124" s="33"/>
      <c r="Y1124" s="33"/>
      <c r="Z1124" s="33"/>
      <c r="AA1124" s="33"/>
      <c r="AB1124" s="33"/>
      <c r="AC1124" s="33"/>
      <c r="AD1124" s="33"/>
      <c r="AE1124" s="33"/>
      <c r="AF1124" s="33"/>
      <c r="AG1124" s="33"/>
      <c r="AH1124" s="33"/>
      <c r="AI1124" s="33"/>
      <c r="AJ1124" s="33"/>
      <c r="AK1124" s="34" t="str">
        <f aca="false">IF($B1124="","",COUNTIF($F1124:$AJ1124,"P"))</f>
        <v/>
      </c>
      <c r="AL1124" s="34" t="str">
        <f aca="false">IF($B1124="","",COUNTIF($F1124:$AJ1124,"A"))</f>
        <v/>
      </c>
      <c r="AM1124" s="34" t="str">
        <f aca="false">IF($B1124="","",COUNTIF($F1124:$AJ1124,"HA"))</f>
        <v/>
      </c>
      <c r="AN1124" s="34" t="str">
        <f aca="false">IF($B1124="","",COUNTIF($F1124:$AJ1124,"L"))</f>
        <v/>
      </c>
      <c r="AO1124" s="34" t="str">
        <f aca="false">IF($B1124="","",COUNTIF($F1124:$AJ1124,"PL"))</f>
        <v/>
      </c>
      <c r="AP1124" s="34" t="str">
        <f aca="false">IF($B1124="","",COUNTIF($F1124:$AJ1124,"CL"))</f>
        <v/>
      </c>
      <c r="AQ1124" s="34" t="str">
        <f aca="false">IF($B1124="","",COUNTIF($F1124:$AJ1124,"SL"))</f>
        <v/>
      </c>
      <c r="AR1124" s="34" t="str">
        <f aca="false">IF($B1124="","",COUNTIF($F1124:$AJ1124,"CO"))</f>
        <v/>
      </c>
      <c r="AS1124" s="34" t="str">
        <f aca="false">IF($B1124="","",COUNTIF($F1124:$AJ1124,"HPL"))</f>
        <v/>
      </c>
      <c r="AT1124" s="34" t="str">
        <f aca="false">IF($B1124="","",COUNTIF($F1124:$AJ1124,"HCL"))</f>
        <v/>
      </c>
      <c r="AU1124" s="34" t="str">
        <f aca="false">IF($B1124="","",COUNTIF($F1124:$AJ1124,"WO"))</f>
        <v/>
      </c>
      <c r="AV1124" s="34" t="str">
        <f aca="false">IF($B1124="","",COUNTIF($F1124:$AJ1124,"PH"))</f>
        <v/>
      </c>
      <c r="AW1124" s="34" t="str">
        <f aca="false">IF($B1124="","",COUNTIF($F1124:$AJ1124,"TR"))</f>
        <v/>
      </c>
      <c r="AX1124" s="35" t="str">
        <f aca="false">IF($B1124="","",AO1124+AS1124/2)</f>
        <v/>
      </c>
      <c r="AY1124" s="35" t="str">
        <f aca="false">IF($B1124="","",AQ1124)</f>
        <v/>
      </c>
      <c r="AZ1124" s="35" t="str">
        <f aca="false">IF($B1124="","",AP1124+AT1124/2)</f>
        <v/>
      </c>
      <c r="BA1124" s="35" t="str">
        <f aca="false">IF($B1124="","",AK1124+AN1124+AM1124/2+AO1124+AP1124+AQ1124+AR1124+AS1124+AT1124+AU1124+AV1124+AW1124)</f>
        <v/>
      </c>
      <c r="BB1124" s="35" t="str">
        <f aca="false">IF($B1124="","",MAX(0,AN1124-Settings!$C$16)*Settings!$C$17)</f>
        <v/>
      </c>
      <c r="BC1124" s="35" t="str">
        <f aca="false">IF($B1124="","",BA1124-BB1124)</f>
        <v/>
      </c>
      <c r="BD1124" s="35" t="str">
        <f aca="false">IF(OR($B1124="",$A1124=""),"",DAY(EOMONTH($A1124,0))-COUNTA($F1124:$AJ1124))</f>
        <v/>
      </c>
    </row>
    <row r="1125" customFormat="false" ht="15" hidden="false" customHeight="false" outlineLevel="0" collapsed="false">
      <c r="A1125" s="32"/>
      <c r="B1125" s="29"/>
      <c r="C1125" s="10" t="str">
        <f aca="false">IF($B1125="","",IFERROR(INDEX(M_name,MATCH($B1125,M_emp,0)),"Code not found"))</f>
        <v/>
      </c>
      <c r="D1125" s="10" t="str">
        <f aca="false">IF($B1125="","",IFERROR(INDEX(M_dept,MATCH($B1125,M_emp,0)),""))</f>
        <v/>
      </c>
      <c r="E1125" s="10" t="str">
        <f aca="false">IF($B1125="","",IFERROR(INDEX(M_loc,MATCH($B1125,M_emp,0)),""))</f>
        <v/>
      </c>
      <c r="F1125" s="33"/>
      <c r="G1125" s="33"/>
      <c r="H1125" s="33"/>
      <c r="I1125" s="33"/>
      <c r="J1125" s="33"/>
      <c r="K1125" s="33"/>
      <c r="L1125" s="33"/>
      <c r="M1125" s="33"/>
      <c r="N1125" s="33"/>
      <c r="O1125" s="33"/>
      <c r="P1125" s="33"/>
      <c r="Q1125" s="33"/>
      <c r="R1125" s="33"/>
      <c r="S1125" s="33"/>
      <c r="T1125" s="33"/>
      <c r="U1125" s="33"/>
      <c r="V1125" s="33"/>
      <c r="W1125" s="33"/>
      <c r="X1125" s="33"/>
      <c r="Y1125" s="33"/>
      <c r="Z1125" s="33"/>
      <c r="AA1125" s="33"/>
      <c r="AB1125" s="33"/>
      <c r="AC1125" s="33"/>
      <c r="AD1125" s="33"/>
      <c r="AE1125" s="33"/>
      <c r="AF1125" s="33"/>
      <c r="AG1125" s="33"/>
      <c r="AH1125" s="33"/>
      <c r="AI1125" s="33"/>
      <c r="AJ1125" s="33"/>
      <c r="AK1125" s="34" t="str">
        <f aca="false">IF($B1125="","",COUNTIF($F1125:$AJ1125,"P"))</f>
        <v/>
      </c>
      <c r="AL1125" s="34" t="str">
        <f aca="false">IF($B1125="","",COUNTIF($F1125:$AJ1125,"A"))</f>
        <v/>
      </c>
      <c r="AM1125" s="34" t="str">
        <f aca="false">IF($B1125="","",COUNTIF($F1125:$AJ1125,"HA"))</f>
        <v/>
      </c>
      <c r="AN1125" s="34" t="str">
        <f aca="false">IF($B1125="","",COUNTIF($F1125:$AJ1125,"L"))</f>
        <v/>
      </c>
      <c r="AO1125" s="34" t="str">
        <f aca="false">IF($B1125="","",COUNTIF($F1125:$AJ1125,"PL"))</f>
        <v/>
      </c>
      <c r="AP1125" s="34" t="str">
        <f aca="false">IF($B1125="","",COUNTIF($F1125:$AJ1125,"CL"))</f>
        <v/>
      </c>
      <c r="AQ1125" s="34" t="str">
        <f aca="false">IF($B1125="","",COUNTIF($F1125:$AJ1125,"SL"))</f>
        <v/>
      </c>
      <c r="AR1125" s="34" t="str">
        <f aca="false">IF($B1125="","",COUNTIF($F1125:$AJ1125,"CO"))</f>
        <v/>
      </c>
      <c r="AS1125" s="34" t="str">
        <f aca="false">IF($B1125="","",COUNTIF($F1125:$AJ1125,"HPL"))</f>
        <v/>
      </c>
      <c r="AT1125" s="34" t="str">
        <f aca="false">IF($B1125="","",COUNTIF($F1125:$AJ1125,"HCL"))</f>
        <v/>
      </c>
      <c r="AU1125" s="34" t="str">
        <f aca="false">IF($B1125="","",COUNTIF($F1125:$AJ1125,"WO"))</f>
        <v/>
      </c>
      <c r="AV1125" s="34" t="str">
        <f aca="false">IF($B1125="","",COUNTIF($F1125:$AJ1125,"PH"))</f>
        <v/>
      </c>
      <c r="AW1125" s="34" t="str">
        <f aca="false">IF($B1125="","",COUNTIF($F1125:$AJ1125,"TR"))</f>
        <v/>
      </c>
      <c r="AX1125" s="35" t="str">
        <f aca="false">IF($B1125="","",AO1125+AS1125/2)</f>
        <v/>
      </c>
      <c r="AY1125" s="35" t="str">
        <f aca="false">IF($B1125="","",AQ1125)</f>
        <v/>
      </c>
      <c r="AZ1125" s="35" t="str">
        <f aca="false">IF($B1125="","",AP1125+AT1125/2)</f>
        <v/>
      </c>
      <c r="BA1125" s="35" t="str">
        <f aca="false">IF($B1125="","",AK1125+AN1125+AM1125/2+AO1125+AP1125+AQ1125+AR1125+AS1125+AT1125+AU1125+AV1125+AW1125)</f>
        <v/>
      </c>
      <c r="BB1125" s="35" t="str">
        <f aca="false">IF($B1125="","",MAX(0,AN1125-Settings!$C$16)*Settings!$C$17)</f>
        <v/>
      </c>
      <c r="BC1125" s="35" t="str">
        <f aca="false">IF($B1125="","",BA1125-BB1125)</f>
        <v/>
      </c>
      <c r="BD1125" s="35" t="str">
        <f aca="false">IF(OR($B1125="",$A1125=""),"",DAY(EOMONTH($A1125,0))-COUNTA($F1125:$AJ1125))</f>
        <v/>
      </c>
    </row>
    <row r="1126" customFormat="false" ht="15" hidden="false" customHeight="false" outlineLevel="0" collapsed="false">
      <c r="A1126" s="32"/>
      <c r="B1126" s="29"/>
      <c r="C1126" s="10" t="str">
        <f aca="false">IF($B1126="","",IFERROR(INDEX(M_name,MATCH($B1126,M_emp,0)),"Code not found"))</f>
        <v/>
      </c>
      <c r="D1126" s="10" t="str">
        <f aca="false">IF($B1126="","",IFERROR(INDEX(M_dept,MATCH($B1126,M_emp,0)),""))</f>
        <v/>
      </c>
      <c r="E1126" s="10" t="str">
        <f aca="false">IF($B1126="","",IFERROR(INDEX(M_loc,MATCH($B1126,M_emp,0)),""))</f>
        <v/>
      </c>
      <c r="F1126" s="33"/>
      <c r="G1126" s="33"/>
      <c r="H1126" s="33"/>
      <c r="I1126" s="33"/>
      <c r="J1126" s="33"/>
      <c r="K1126" s="33"/>
      <c r="L1126" s="33"/>
      <c r="M1126" s="33"/>
      <c r="N1126" s="33"/>
      <c r="O1126" s="33"/>
      <c r="P1126" s="33"/>
      <c r="Q1126" s="33"/>
      <c r="R1126" s="33"/>
      <c r="S1126" s="33"/>
      <c r="T1126" s="33"/>
      <c r="U1126" s="33"/>
      <c r="V1126" s="33"/>
      <c r="W1126" s="33"/>
      <c r="X1126" s="33"/>
      <c r="Y1126" s="33"/>
      <c r="Z1126" s="33"/>
      <c r="AA1126" s="33"/>
      <c r="AB1126" s="33"/>
      <c r="AC1126" s="33"/>
      <c r="AD1126" s="33"/>
      <c r="AE1126" s="33"/>
      <c r="AF1126" s="33"/>
      <c r="AG1126" s="33"/>
      <c r="AH1126" s="33"/>
      <c r="AI1126" s="33"/>
      <c r="AJ1126" s="33"/>
      <c r="AK1126" s="34" t="str">
        <f aca="false">IF($B1126="","",COUNTIF($F1126:$AJ1126,"P"))</f>
        <v/>
      </c>
      <c r="AL1126" s="34" t="str">
        <f aca="false">IF($B1126="","",COUNTIF($F1126:$AJ1126,"A"))</f>
        <v/>
      </c>
      <c r="AM1126" s="34" t="str">
        <f aca="false">IF($B1126="","",COUNTIF($F1126:$AJ1126,"HA"))</f>
        <v/>
      </c>
      <c r="AN1126" s="34" t="str">
        <f aca="false">IF($B1126="","",COUNTIF($F1126:$AJ1126,"L"))</f>
        <v/>
      </c>
      <c r="AO1126" s="34" t="str">
        <f aca="false">IF($B1126="","",COUNTIF($F1126:$AJ1126,"PL"))</f>
        <v/>
      </c>
      <c r="AP1126" s="34" t="str">
        <f aca="false">IF($B1126="","",COUNTIF($F1126:$AJ1126,"CL"))</f>
        <v/>
      </c>
      <c r="AQ1126" s="34" t="str">
        <f aca="false">IF($B1126="","",COUNTIF($F1126:$AJ1126,"SL"))</f>
        <v/>
      </c>
      <c r="AR1126" s="34" t="str">
        <f aca="false">IF($B1126="","",COUNTIF($F1126:$AJ1126,"CO"))</f>
        <v/>
      </c>
      <c r="AS1126" s="34" t="str">
        <f aca="false">IF($B1126="","",COUNTIF($F1126:$AJ1126,"HPL"))</f>
        <v/>
      </c>
      <c r="AT1126" s="34" t="str">
        <f aca="false">IF($B1126="","",COUNTIF($F1126:$AJ1126,"HCL"))</f>
        <v/>
      </c>
      <c r="AU1126" s="34" t="str">
        <f aca="false">IF($B1126="","",COUNTIF($F1126:$AJ1126,"WO"))</f>
        <v/>
      </c>
      <c r="AV1126" s="34" t="str">
        <f aca="false">IF($B1126="","",COUNTIF($F1126:$AJ1126,"PH"))</f>
        <v/>
      </c>
      <c r="AW1126" s="34" t="str">
        <f aca="false">IF($B1126="","",COUNTIF($F1126:$AJ1126,"TR"))</f>
        <v/>
      </c>
      <c r="AX1126" s="35" t="str">
        <f aca="false">IF($B1126="","",AO1126+AS1126/2)</f>
        <v/>
      </c>
      <c r="AY1126" s="35" t="str">
        <f aca="false">IF($B1126="","",AQ1126)</f>
        <v/>
      </c>
      <c r="AZ1126" s="35" t="str">
        <f aca="false">IF($B1126="","",AP1126+AT1126/2)</f>
        <v/>
      </c>
      <c r="BA1126" s="35" t="str">
        <f aca="false">IF($B1126="","",AK1126+AN1126+AM1126/2+AO1126+AP1126+AQ1126+AR1126+AS1126+AT1126+AU1126+AV1126+AW1126)</f>
        <v/>
      </c>
      <c r="BB1126" s="35" t="str">
        <f aca="false">IF($B1126="","",MAX(0,AN1126-Settings!$C$16)*Settings!$C$17)</f>
        <v/>
      </c>
      <c r="BC1126" s="35" t="str">
        <f aca="false">IF($B1126="","",BA1126-BB1126)</f>
        <v/>
      </c>
      <c r="BD1126" s="35" t="str">
        <f aca="false">IF(OR($B1126="",$A1126=""),"",DAY(EOMONTH($A1126,0))-COUNTA($F1126:$AJ1126))</f>
        <v/>
      </c>
    </row>
    <row r="1127" customFormat="false" ht="15" hidden="false" customHeight="false" outlineLevel="0" collapsed="false">
      <c r="A1127" s="32"/>
      <c r="B1127" s="29"/>
      <c r="C1127" s="10" t="str">
        <f aca="false">IF($B1127="","",IFERROR(INDEX(M_name,MATCH($B1127,M_emp,0)),"Code not found"))</f>
        <v/>
      </c>
      <c r="D1127" s="10" t="str">
        <f aca="false">IF($B1127="","",IFERROR(INDEX(M_dept,MATCH($B1127,M_emp,0)),""))</f>
        <v/>
      </c>
      <c r="E1127" s="10" t="str">
        <f aca="false">IF($B1127="","",IFERROR(INDEX(M_loc,MATCH($B1127,M_emp,0)),""))</f>
        <v/>
      </c>
      <c r="F1127" s="33"/>
      <c r="G1127" s="33"/>
      <c r="H1127" s="33"/>
      <c r="I1127" s="33"/>
      <c r="J1127" s="33"/>
      <c r="K1127" s="33"/>
      <c r="L1127" s="33"/>
      <c r="M1127" s="33"/>
      <c r="N1127" s="33"/>
      <c r="O1127" s="33"/>
      <c r="P1127" s="33"/>
      <c r="Q1127" s="33"/>
      <c r="R1127" s="33"/>
      <c r="S1127" s="33"/>
      <c r="T1127" s="33"/>
      <c r="U1127" s="33"/>
      <c r="V1127" s="33"/>
      <c r="W1127" s="33"/>
      <c r="X1127" s="33"/>
      <c r="Y1127" s="33"/>
      <c r="Z1127" s="33"/>
      <c r="AA1127" s="33"/>
      <c r="AB1127" s="33"/>
      <c r="AC1127" s="33"/>
      <c r="AD1127" s="33"/>
      <c r="AE1127" s="33"/>
      <c r="AF1127" s="33"/>
      <c r="AG1127" s="33"/>
      <c r="AH1127" s="33"/>
      <c r="AI1127" s="33"/>
      <c r="AJ1127" s="33"/>
      <c r="AK1127" s="34" t="str">
        <f aca="false">IF($B1127="","",COUNTIF($F1127:$AJ1127,"P"))</f>
        <v/>
      </c>
      <c r="AL1127" s="34" t="str">
        <f aca="false">IF($B1127="","",COUNTIF($F1127:$AJ1127,"A"))</f>
        <v/>
      </c>
      <c r="AM1127" s="34" t="str">
        <f aca="false">IF($B1127="","",COUNTIF($F1127:$AJ1127,"HA"))</f>
        <v/>
      </c>
      <c r="AN1127" s="34" t="str">
        <f aca="false">IF($B1127="","",COUNTIF($F1127:$AJ1127,"L"))</f>
        <v/>
      </c>
      <c r="AO1127" s="34" t="str">
        <f aca="false">IF($B1127="","",COUNTIF($F1127:$AJ1127,"PL"))</f>
        <v/>
      </c>
      <c r="AP1127" s="34" t="str">
        <f aca="false">IF($B1127="","",COUNTIF($F1127:$AJ1127,"CL"))</f>
        <v/>
      </c>
      <c r="AQ1127" s="34" t="str">
        <f aca="false">IF($B1127="","",COUNTIF($F1127:$AJ1127,"SL"))</f>
        <v/>
      </c>
      <c r="AR1127" s="34" t="str">
        <f aca="false">IF($B1127="","",COUNTIF($F1127:$AJ1127,"CO"))</f>
        <v/>
      </c>
      <c r="AS1127" s="34" t="str">
        <f aca="false">IF($B1127="","",COUNTIF($F1127:$AJ1127,"HPL"))</f>
        <v/>
      </c>
      <c r="AT1127" s="34" t="str">
        <f aca="false">IF($B1127="","",COUNTIF($F1127:$AJ1127,"HCL"))</f>
        <v/>
      </c>
      <c r="AU1127" s="34" t="str">
        <f aca="false">IF($B1127="","",COUNTIF($F1127:$AJ1127,"WO"))</f>
        <v/>
      </c>
      <c r="AV1127" s="34" t="str">
        <f aca="false">IF($B1127="","",COUNTIF($F1127:$AJ1127,"PH"))</f>
        <v/>
      </c>
      <c r="AW1127" s="34" t="str">
        <f aca="false">IF($B1127="","",COUNTIF($F1127:$AJ1127,"TR"))</f>
        <v/>
      </c>
      <c r="AX1127" s="35" t="str">
        <f aca="false">IF($B1127="","",AO1127+AS1127/2)</f>
        <v/>
      </c>
      <c r="AY1127" s="35" t="str">
        <f aca="false">IF($B1127="","",AQ1127)</f>
        <v/>
      </c>
      <c r="AZ1127" s="35" t="str">
        <f aca="false">IF($B1127="","",AP1127+AT1127/2)</f>
        <v/>
      </c>
      <c r="BA1127" s="35" t="str">
        <f aca="false">IF($B1127="","",AK1127+AN1127+AM1127/2+AO1127+AP1127+AQ1127+AR1127+AS1127+AT1127+AU1127+AV1127+AW1127)</f>
        <v/>
      </c>
      <c r="BB1127" s="35" t="str">
        <f aca="false">IF($B1127="","",MAX(0,AN1127-Settings!$C$16)*Settings!$C$17)</f>
        <v/>
      </c>
      <c r="BC1127" s="35" t="str">
        <f aca="false">IF($B1127="","",BA1127-BB1127)</f>
        <v/>
      </c>
      <c r="BD1127" s="35" t="str">
        <f aca="false">IF(OR($B1127="",$A1127=""),"",DAY(EOMONTH($A1127,0))-COUNTA($F1127:$AJ1127))</f>
        <v/>
      </c>
    </row>
    <row r="1128" customFormat="false" ht="15" hidden="false" customHeight="false" outlineLevel="0" collapsed="false">
      <c r="A1128" s="32"/>
      <c r="B1128" s="29"/>
      <c r="C1128" s="10" t="str">
        <f aca="false">IF($B1128="","",IFERROR(INDEX(M_name,MATCH($B1128,M_emp,0)),"Code not found"))</f>
        <v/>
      </c>
      <c r="D1128" s="10" t="str">
        <f aca="false">IF($B1128="","",IFERROR(INDEX(M_dept,MATCH($B1128,M_emp,0)),""))</f>
        <v/>
      </c>
      <c r="E1128" s="10" t="str">
        <f aca="false">IF($B1128="","",IFERROR(INDEX(M_loc,MATCH($B1128,M_emp,0)),""))</f>
        <v/>
      </c>
      <c r="F1128" s="33"/>
      <c r="G1128" s="33"/>
      <c r="H1128" s="33"/>
      <c r="I1128" s="33"/>
      <c r="J1128" s="33"/>
      <c r="K1128" s="33"/>
      <c r="L1128" s="33"/>
      <c r="M1128" s="33"/>
      <c r="N1128" s="33"/>
      <c r="O1128" s="33"/>
      <c r="P1128" s="33"/>
      <c r="Q1128" s="33"/>
      <c r="R1128" s="33"/>
      <c r="S1128" s="33"/>
      <c r="T1128" s="33"/>
      <c r="U1128" s="33"/>
      <c r="V1128" s="33"/>
      <c r="W1128" s="33"/>
      <c r="X1128" s="33"/>
      <c r="Y1128" s="33"/>
      <c r="Z1128" s="33"/>
      <c r="AA1128" s="33"/>
      <c r="AB1128" s="33"/>
      <c r="AC1128" s="33"/>
      <c r="AD1128" s="33"/>
      <c r="AE1128" s="33"/>
      <c r="AF1128" s="33"/>
      <c r="AG1128" s="33"/>
      <c r="AH1128" s="33"/>
      <c r="AI1128" s="33"/>
      <c r="AJ1128" s="33"/>
      <c r="AK1128" s="34" t="str">
        <f aca="false">IF($B1128="","",COUNTIF($F1128:$AJ1128,"P"))</f>
        <v/>
      </c>
      <c r="AL1128" s="34" t="str">
        <f aca="false">IF($B1128="","",COUNTIF($F1128:$AJ1128,"A"))</f>
        <v/>
      </c>
      <c r="AM1128" s="34" t="str">
        <f aca="false">IF($B1128="","",COUNTIF($F1128:$AJ1128,"HA"))</f>
        <v/>
      </c>
      <c r="AN1128" s="34" t="str">
        <f aca="false">IF($B1128="","",COUNTIF($F1128:$AJ1128,"L"))</f>
        <v/>
      </c>
      <c r="AO1128" s="34" t="str">
        <f aca="false">IF($B1128="","",COUNTIF($F1128:$AJ1128,"PL"))</f>
        <v/>
      </c>
      <c r="AP1128" s="34" t="str">
        <f aca="false">IF($B1128="","",COUNTIF($F1128:$AJ1128,"CL"))</f>
        <v/>
      </c>
      <c r="AQ1128" s="34" t="str">
        <f aca="false">IF($B1128="","",COUNTIF($F1128:$AJ1128,"SL"))</f>
        <v/>
      </c>
      <c r="AR1128" s="34" t="str">
        <f aca="false">IF($B1128="","",COUNTIF($F1128:$AJ1128,"CO"))</f>
        <v/>
      </c>
      <c r="AS1128" s="34" t="str">
        <f aca="false">IF($B1128="","",COUNTIF($F1128:$AJ1128,"HPL"))</f>
        <v/>
      </c>
      <c r="AT1128" s="34" t="str">
        <f aca="false">IF($B1128="","",COUNTIF($F1128:$AJ1128,"HCL"))</f>
        <v/>
      </c>
      <c r="AU1128" s="34" t="str">
        <f aca="false">IF($B1128="","",COUNTIF($F1128:$AJ1128,"WO"))</f>
        <v/>
      </c>
      <c r="AV1128" s="34" t="str">
        <f aca="false">IF($B1128="","",COUNTIF($F1128:$AJ1128,"PH"))</f>
        <v/>
      </c>
      <c r="AW1128" s="34" t="str">
        <f aca="false">IF($B1128="","",COUNTIF($F1128:$AJ1128,"TR"))</f>
        <v/>
      </c>
      <c r="AX1128" s="35" t="str">
        <f aca="false">IF($B1128="","",AO1128+AS1128/2)</f>
        <v/>
      </c>
      <c r="AY1128" s="35" t="str">
        <f aca="false">IF($B1128="","",AQ1128)</f>
        <v/>
      </c>
      <c r="AZ1128" s="35" t="str">
        <f aca="false">IF($B1128="","",AP1128+AT1128/2)</f>
        <v/>
      </c>
      <c r="BA1128" s="35" t="str">
        <f aca="false">IF($B1128="","",AK1128+AN1128+AM1128/2+AO1128+AP1128+AQ1128+AR1128+AS1128+AT1128+AU1128+AV1128+AW1128)</f>
        <v/>
      </c>
      <c r="BB1128" s="35" t="str">
        <f aca="false">IF($B1128="","",MAX(0,AN1128-Settings!$C$16)*Settings!$C$17)</f>
        <v/>
      </c>
      <c r="BC1128" s="35" t="str">
        <f aca="false">IF($B1128="","",BA1128-BB1128)</f>
        <v/>
      </c>
      <c r="BD1128" s="35" t="str">
        <f aca="false">IF(OR($B1128="",$A1128=""),"",DAY(EOMONTH($A1128,0))-COUNTA($F1128:$AJ1128))</f>
        <v/>
      </c>
    </row>
    <row r="1129" customFormat="false" ht="15" hidden="false" customHeight="false" outlineLevel="0" collapsed="false">
      <c r="A1129" s="32"/>
      <c r="B1129" s="29"/>
      <c r="C1129" s="10" t="str">
        <f aca="false">IF($B1129="","",IFERROR(INDEX(M_name,MATCH($B1129,M_emp,0)),"Code not found"))</f>
        <v/>
      </c>
      <c r="D1129" s="10" t="str">
        <f aca="false">IF($B1129="","",IFERROR(INDEX(M_dept,MATCH($B1129,M_emp,0)),""))</f>
        <v/>
      </c>
      <c r="E1129" s="10" t="str">
        <f aca="false">IF($B1129="","",IFERROR(INDEX(M_loc,MATCH($B1129,M_emp,0)),""))</f>
        <v/>
      </c>
      <c r="F1129" s="33"/>
      <c r="G1129" s="33"/>
      <c r="H1129" s="33"/>
      <c r="I1129" s="33"/>
      <c r="J1129" s="33"/>
      <c r="K1129" s="33"/>
      <c r="L1129" s="33"/>
      <c r="M1129" s="33"/>
      <c r="N1129" s="33"/>
      <c r="O1129" s="33"/>
      <c r="P1129" s="33"/>
      <c r="Q1129" s="33"/>
      <c r="R1129" s="33"/>
      <c r="S1129" s="33"/>
      <c r="T1129" s="33"/>
      <c r="U1129" s="33"/>
      <c r="V1129" s="33"/>
      <c r="W1129" s="33"/>
      <c r="X1129" s="33"/>
      <c r="Y1129" s="33"/>
      <c r="Z1129" s="33"/>
      <c r="AA1129" s="33"/>
      <c r="AB1129" s="33"/>
      <c r="AC1129" s="33"/>
      <c r="AD1129" s="33"/>
      <c r="AE1129" s="33"/>
      <c r="AF1129" s="33"/>
      <c r="AG1129" s="33"/>
      <c r="AH1129" s="33"/>
      <c r="AI1129" s="33"/>
      <c r="AJ1129" s="33"/>
      <c r="AK1129" s="34" t="str">
        <f aca="false">IF($B1129="","",COUNTIF($F1129:$AJ1129,"P"))</f>
        <v/>
      </c>
      <c r="AL1129" s="34" t="str">
        <f aca="false">IF($B1129="","",COUNTIF($F1129:$AJ1129,"A"))</f>
        <v/>
      </c>
      <c r="AM1129" s="34" t="str">
        <f aca="false">IF($B1129="","",COUNTIF($F1129:$AJ1129,"HA"))</f>
        <v/>
      </c>
      <c r="AN1129" s="34" t="str">
        <f aca="false">IF($B1129="","",COUNTIF($F1129:$AJ1129,"L"))</f>
        <v/>
      </c>
      <c r="AO1129" s="34" t="str">
        <f aca="false">IF($B1129="","",COUNTIF($F1129:$AJ1129,"PL"))</f>
        <v/>
      </c>
      <c r="AP1129" s="34" t="str">
        <f aca="false">IF($B1129="","",COUNTIF($F1129:$AJ1129,"CL"))</f>
        <v/>
      </c>
      <c r="AQ1129" s="34" t="str">
        <f aca="false">IF($B1129="","",COUNTIF($F1129:$AJ1129,"SL"))</f>
        <v/>
      </c>
      <c r="AR1129" s="34" t="str">
        <f aca="false">IF($B1129="","",COUNTIF($F1129:$AJ1129,"CO"))</f>
        <v/>
      </c>
      <c r="AS1129" s="34" t="str">
        <f aca="false">IF($B1129="","",COUNTIF($F1129:$AJ1129,"HPL"))</f>
        <v/>
      </c>
      <c r="AT1129" s="34" t="str">
        <f aca="false">IF($B1129="","",COUNTIF($F1129:$AJ1129,"HCL"))</f>
        <v/>
      </c>
      <c r="AU1129" s="34" t="str">
        <f aca="false">IF($B1129="","",COUNTIF($F1129:$AJ1129,"WO"))</f>
        <v/>
      </c>
      <c r="AV1129" s="34" t="str">
        <f aca="false">IF($B1129="","",COUNTIF($F1129:$AJ1129,"PH"))</f>
        <v/>
      </c>
      <c r="AW1129" s="34" t="str">
        <f aca="false">IF($B1129="","",COUNTIF($F1129:$AJ1129,"TR"))</f>
        <v/>
      </c>
      <c r="AX1129" s="35" t="str">
        <f aca="false">IF($B1129="","",AO1129+AS1129/2)</f>
        <v/>
      </c>
      <c r="AY1129" s="35" t="str">
        <f aca="false">IF($B1129="","",AQ1129)</f>
        <v/>
      </c>
      <c r="AZ1129" s="35" t="str">
        <f aca="false">IF($B1129="","",AP1129+AT1129/2)</f>
        <v/>
      </c>
      <c r="BA1129" s="35" t="str">
        <f aca="false">IF($B1129="","",AK1129+AN1129+AM1129/2+AO1129+AP1129+AQ1129+AR1129+AS1129+AT1129+AU1129+AV1129+AW1129)</f>
        <v/>
      </c>
      <c r="BB1129" s="35" t="str">
        <f aca="false">IF($B1129="","",MAX(0,AN1129-Settings!$C$16)*Settings!$C$17)</f>
        <v/>
      </c>
      <c r="BC1129" s="35" t="str">
        <f aca="false">IF($B1129="","",BA1129-BB1129)</f>
        <v/>
      </c>
      <c r="BD1129" s="35" t="str">
        <f aca="false">IF(OR($B1129="",$A1129=""),"",DAY(EOMONTH($A1129,0))-COUNTA($F1129:$AJ1129))</f>
        <v/>
      </c>
    </row>
    <row r="1130" customFormat="false" ht="15" hidden="false" customHeight="false" outlineLevel="0" collapsed="false">
      <c r="A1130" s="32"/>
      <c r="B1130" s="29"/>
      <c r="C1130" s="10" t="str">
        <f aca="false">IF($B1130="","",IFERROR(INDEX(M_name,MATCH($B1130,M_emp,0)),"Code not found"))</f>
        <v/>
      </c>
      <c r="D1130" s="10" t="str">
        <f aca="false">IF($B1130="","",IFERROR(INDEX(M_dept,MATCH($B1130,M_emp,0)),""))</f>
        <v/>
      </c>
      <c r="E1130" s="10" t="str">
        <f aca="false">IF($B1130="","",IFERROR(INDEX(M_loc,MATCH($B1130,M_emp,0)),""))</f>
        <v/>
      </c>
      <c r="F1130" s="33"/>
      <c r="G1130" s="33"/>
      <c r="H1130" s="33"/>
      <c r="I1130" s="33"/>
      <c r="J1130" s="33"/>
      <c r="K1130" s="33"/>
      <c r="L1130" s="33"/>
      <c r="M1130" s="33"/>
      <c r="N1130" s="33"/>
      <c r="O1130" s="33"/>
      <c r="P1130" s="33"/>
      <c r="Q1130" s="33"/>
      <c r="R1130" s="33"/>
      <c r="S1130" s="33"/>
      <c r="T1130" s="33"/>
      <c r="U1130" s="33"/>
      <c r="V1130" s="33"/>
      <c r="W1130" s="33"/>
      <c r="X1130" s="33"/>
      <c r="Y1130" s="33"/>
      <c r="Z1130" s="33"/>
      <c r="AA1130" s="33"/>
      <c r="AB1130" s="33"/>
      <c r="AC1130" s="33"/>
      <c r="AD1130" s="33"/>
      <c r="AE1130" s="33"/>
      <c r="AF1130" s="33"/>
      <c r="AG1130" s="33"/>
      <c r="AH1130" s="33"/>
      <c r="AI1130" s="33"/>
      <c r="AJ1130" s="33"/>
      <c r="AK1130" s="34" t="str">
        <f aca="false">IF($B1130="","",COUNTIF($F1130:$AJ1130,"P"))</f>
        <v/>
      </c>
      <c r="AL1130" s="34" t="str">
        <f aca="false">IF($B1130="","",COUNTIF($F1130:$AJ1130,"A"))</f>
        <v/>
      </c>
      <c r="AM1130" s="34" t="str">
        <f aca="false">IF($B1130="","",COUNTIF($F1130:$AJ1130,"HA"))</f>
        <v/>
      </c>
      <c r="AN1130" s="34" t="str">
        <f aca="false">IF($B1130="","",COUNTIF($F1130:$AJ1130,"L"))</f>
        <v/>
      </c>
      <c r="AO1130" s="34" t="str">
        <f aca="false">IF($B1130="","",COUNTIF($F1130:$AJ1130,"PL"))</f>
        <v/>
      </c>
      <c r="AP1130" s="34" t="str">
        <f aca="false">IF($B1130="","",COUNTIF($F1130:$AJ1130,"CL"))</f>
        <v/>
      </c>
      <c r="AQ1130" s="34" t="str">
        <f aca="false">IF($B1130="","",COUNTIF($F1130:$AJ1130,"SL"))</f>
        <v/>
      </c>
      <c r="AR1130" s="34" t="str">
        <f aca="false">IF($B1130="","",COUNTIF($F1130:$AJ1130,"CO"))</f>
        <v/>
      </c>
      <c r="AS1130" s="34" t="str">
        <f aca="false">IF($B1130="","",COUNTIF($F1130:$AJ1130,"HPL"))</f>
        <v/>
      </c>
      <c r="AT1130" s="34" t="str">
        <f aca="false">IF($B1130="","",COUNTIF($F1130:$AJ1130,"HCL"))</f>
        <v/>
      </c>
      <c r="AU1130" s="34" t="str">
        <f aca="false">IF($B1130="","",COUNTIF($F1130:$AJ1130,"WO"))</f>
        <v/>
      </c>
      <c r="AV1130" s="34" t="str">
        <f aca="false">IF($B1130="","",COUNTIF($F1130:$AJ1130,"PH"))</f>
        <v/>
      </c>
      <c r="AW1130" s="34" t="str">
        <f aca="false">IF($B1130="","",COUNTIF($F1130:$AJ1130,"TR"))</f>
        <v/>
      </c>
      <c r="AX1130" s="35" t="str">
        <f aca="false">IF($B1130="","",AO1130+AS1130/2)</f>
        <v/>
      </c>
      <c r="AY1130" s="35" t="str">
        <f aca="false">IF($B1130="","",AQ1130)</f>
        <v/>
      </c>
      <c r="AZ1130" s="35" t="str">
        <f aca="false">IF($B1130="","",AP1130+AT1130/2)</f>
        <v/>
      </c>
      <c r="BA1130" s="35" t="str">
        <f aca="false">IF($B1130="","",AK1130+AN1130+AM1130/2+AO1130+AP1130+AQ1130+AR1130+AS1130+AT1130+AU1130+AV1130+AW1130)</f>
        <v/>
      </c>
      <c r="BB1130" s="35" t="str">
        <f aca="false">IF($B1130="","",MAX(0,AN1130-Settings!$C$16)*Settings!$C$17)</f>
        <v/>
      </c>
      <c r="BC1130" s="35" t="str">
        <f aca="false">IF($B1130="","",BA1130-BB1130)</f>
        <v/>
      </c>
      <c r="BD1130" s="35" t="str">
        <f aca="false">IF(OR($B1130="",$A1130=""),"",DAY(EOMONTH($A1130,0))-COUNTA($F1130:$AJ1130))</f>
        <v/>
      </c>
    </row>
    <row r="1131" customFormat="false" ht="15" hidden="false" customHeight="false" outlineLevel="0" collapsed="false">
      <c r="A1131" s="32"/>
      <c r="B1131" s="29"/>
      <c r="C1131" s="10" t="str">
        <f aca="false">IF($B1131="","",IFERROR(INDEX(M_name,MATCH($B1131,M_emp,0)),"Code not found"))</f>
        <v/>
      </c>
      <c r="D1131" s="10" t="str">
        <f aca="false">IF($B1131="","",IFERROR(INDEX(M_dept,MATCH($B1131,M_emp,0)),""))</f>
        <v/>
      </c>
      <c r="E1131" s="10" t="str">
        <f aca="false">IF($B1131="","",IFERROR(INDEX(M_loc,MATCH($B1131,M_emp,0)),""))</f>
        <v/>
      </c>
      <c r="F1131" s="33"/>
      <c r="G1131" s="33"/>
      <c r="H1131" s="33"/>
      <c r="I1131" s="33"/>
      <c r="J1131" s="33"/>
      <c r="K1131" s="33"/>
      <c r="L1131" s="33"/>
      <c r="M1131" s="33"/>
      <c r="N1131" s="33"/>
      <c r="O1131" s="33"/>
      <c r="P1131" s="33"/>
      <c r="Q1131" s="33"/>
      <c r="R1131" s="33"/>
      <c r="S1131" s="33"/>
      <c r="T1131" s="33"/>
      <c r="U1131" s="33"/>
      <c r="V1131" s="33"/>
      <c r="W1131" s="33"/>
      <c r="X1131" s="33"/>
      <c r="Y1131" s="33"/>
      <c r="Z1131" s="33"/>
      <c r="AA1131" s="33"/>
      <c r="AB1131" s="33"/>
      <c r="AC1131" s="33"/>
      <c r="AD1131" s="33"/>
      <c r="AE1131" s="33"/>
      <c r="AF1131" s="33"/>
      <c r="AG1131" s="33"/>
      <c r="AH1131" s="33"/>
      <c r="AI1131" s="33"/>
      <c r="AJ1131" s="33"/>
      <c r="AK1131" s="34" t="str">
        <f aca="false">IF($B1131="","",COUNTIF($F1131:$AJ1131,"P"))</f>
        <v/>
      </c>
      <c r="AL1131" s="34" t="str">
        <f aca="false">IF($B1131="","",COUNTIF($F1131:$AJ1131,"A"))</f>
        <v/>
      </c>
      <c r="AM1131" s="34" t="str">
        <f aca="false">IF($B1131="","",COUNTIF($F1131:$AJ1131,"HA"))</f>
        <v/>
      </c>
      <c r="AN1131" s="34" t="str">
        <f aca="false">IF($B1131="","",COUNTIF($F1131:$AJ1131,"L"))</f>
        <v/>
      </c>
      <c r="AO1131" s="34" t="str">
        <f aca="false">IF($B1131="","",COUNTIF($F1131:$AJ1131,"PL"))</f>
        <v/>
      </c>
      <c r="AP1131" s="34" t="str">
        <f aca="false">IF($B1131="","",COUNTIF($F1131:$AJ1131,"CL"))</f>
        <v/>
      </c>
      <c r="AQ1131" s="34" t="str">
        <f aca="false">IF($B1131="","",COUNTIF($F1131:$AJ1131,"SL"))</f>
        <v/>
      </c>
      <c r="AR1131" s="34" t="str">
        <f aca="false">IF($B1131="","",COUNTIF($F1131:$AJ1131,"CO"))</f>
        <v/>
      </c>
      <c r="AS1131" s="34" t="str">
        <f aca="false">IF($B1131="","",COUNTIF($F1131:$AJ1131,"HPL"))</f>
        <v/>
      </c>
      <c r="AT1131" s="34" t="str">
        <f aca="false">IF($B1131="","",COUNTIF($F1131:$AJ1131,"HCL"))</f>
        <v/>
      </c>
      <c r="AU1131" s="34" t="str">
        <f aca="false">IF($B1131="","",COUNTIF($F1131:$AJ1131,"WO"))</f>
        <v/>
      </c>
      <c r="AV1131" s="34" t="str">
        <f aca="false">IF($B1131="","",COUNTIF($F1131:$AJ1131,"PH"))</f>
        <v/>
      </c>
      <c r="AW1131" s="34" t="str">
        <f aca="false">IF($B1131="","",COUNTIF($F1131:$AJ1131,"TR"))</f>
        <v/>
      </c>
      <c r="AX1131" s="35" t="str">
        <f aca="false">IF($B1131="","",AO1131+AS1131/2)</f>
        <v/>
      </c>
      <c r="AY1131" s="35" t="str">
        <f aca="false">IF($B1131="","",AQ1131)</f>
        <v/>
      </c>
      <c r="AZ1131" s="35" t="str">
        <f aca="false">IF($B1131="","",AP1131+AT1131/2)</f>
        <v/>
      </c>
      <c r="BA1131" s="35" t="str">
        <f aca="false">IF($B1131="","",AK1131+AN1131+AM1131/2+AO1131+AP1131+AQ1131+AR1131+AS1131+AT1131+AU1131+AV1131+AW1131)</f>
        <v/>
      </c>
      <c r="BB1131" s="35" t="str">
        <f aca="false">IF($B1131="","",MAX(0,AN1131-Settings!$C$16)*Settings!$C$17)</f>
        <v/>
      </c>
      <c r="BC1131" s="35" t="str">
        <f aca="false">IF($B1131="","",BA1131-BB1131)</f>
        <v/>
      </c>
      <c r="BD1131" s="35" t="str">
        <f aca="false">IF(OR($B1131="",$A1131=""),"",DAY(EOMONTH($A1131,0))-COUNTA($F1131:$AJ1131))</f>
        <v/>
      </c>
    </row>
    <row r="1132" customFormat="false" ht="15" hidden="false" customHeight="false" outlineLevel="0" collapsed="false">
      <c r="A1132" s="32"/>
      <c r="B1132" s="29"/>
      <c r="C1132" s="10" t="str">
        <f aca="false">IF($B1132="","",IFERROR(INDEX(M_name,MATCH($B1132,M_emp,0)),"Code not found"))</f>
        <v/>
      </c>
      <c r="D1132" s="10" t="str">
        <f aca="false">IF($B1132="","",IFERROR(INDEX(M_dept,MATCH($B1132,M_emp,0)),""))</f>
        <v/>
      </c>
      <c r="E1132" s="10" t="str">
        <f aca="false">IF($B1132="","",IFERROR(INDEX(M_loc,MATCH($B1132,M_emp,0)),""))</f>
        <v/>
      </c>
      <c r="F1132" s="33"/>
      <c r="G1132" s="33"/>
      <c r="H1132" s="33"/>
      <c r="I1132" s="33"/>
      <c r="J1132" s="33"/>
      <c r="K1132" s="33"/>
      <c r="L1132" s="33"/>
      <c r="M1132" s="33"/>
      <c r="N1132" s="33"/>
      <c r="O1132" s="33"/>
      <c r="P1132" s="33"/>
      <c r="Q1132" s="33"/>
      <c r="R1132" s="33"/>
      <c r="S1132" s="33"/>
      <c r="T1132" s="33"/>
      <c r="U1132" s="33"/>
      <c r="V1132" s="33"/>
      <c r="W1132" s="33"/>
      <c r="X1132" s="33"/>
      <c r="Y1132" s="33"/>
      <c r="Z1132" s="33"/>
      <c r="AA1132" s="33"/>
      <c r="AB1132" s="33"/>
      <c r="AC1132" s="33"/>
      <c r="AD1132" s="33"/>
      <c r="AE1132" s="33"/>
      <c r="AF1132" s="33"/>
      <c r="AG1132" s="33"/>
      <c r="AH1132" s="33"/>
      <c r="AI1132" s="33"/>
      <c r="AJ1132" s="33"/>
      <c r="AK1132" s="34" t="str">
        <f aca="false">IF($B1132="","",COUNTIF($F1132:$AJ1132,"P"))</f>
        <v/>
      </c>
      <c r="AL1132" s="34" t="str">
        <f aca="false">IF($B1132="","",COUNTIF($F1132:$AJ1132,"A"))</f>
        <v/>
      </c>
      <c r="AM1132" s="34" t="str">
        <f aca="false">IF($B1132="","",COUNTIF($F1132:$AJ1132,"HA"))</f>
        <v/>
      </c>
      <c r="AN1132" s="34" t="str">
        <f aca="false">IF($B1132="","",COUNTIF($F1132:$AJ1132,"L"))</f>
        <v/>
      </c>
      <c r="AO1132" s="34" t="str">
        <f aca="false">IF($B1132="","",COUNTIF($F1132:$AJ1132,"PL"))</f>
        <v/>
      </c>
      <c r="AP1132" s="34" t="str">
        <f aca="false">IF($B1132="","",COUNTIF($F1132:$AJ1132,"CL"))</f>
        <v/>
      </c>
      <c r="AQ1132" s="34" t="str">
        <f aca="false">IF($B1132="","",COUNTIF($F1132:$AJ1132,"SL"))</f>
        <v/>
      </c>
      <c r="AR1132" s="34" t="str">
        <f aca="false">IF($B1132="","",COUNTIF($F1132:$AJ1132,"CO"))</f>
        <v/>
      </c>
      <c r="AS1132" s="34" t="str">
        <f aca="false">IF($B1132="","",COUNTIF($F1132:$AJ1132,"HPL"))</f>
        <v/>
      </c>
      <c r="AT1132" s="34" t="str">
        <f aca="false">IF($B1132="","",COUNTIF($F1132:$AJ1132,"HCL"))</f>
        <v/>
      </c>
      <c r="AU1132" s="34" t="str">
        <f aca="false">IF($B1132="","",COUNTIF($F1132:$AJ1132,"WO"))</f>
        <v/>
      </c>
      <c r="AV1132" s="34" t="str">
        <f aca="false">IF($B1132="","",COUNTIF($F1132:$AJ1132,"PH"))</f>
        <v/>
      </c>
      <c r="AW1132" s="34" t="str">
        <f aca="false">IF($B1132="","",COUNTIF($F1132:$AJ1132,"TR"))</f>
        <v/>
      </c>
      <c r="AX1132" s="35" t="str">
        <f aca="false">IF($B1132="","",AO1132+AS1132/2)</f>
        <v/>
      </c>
      <c r="AY1132" s="35" t="str">
        <f aca="false">IF($B1132="","",AQ1132)</f>
        <v/>
      </c>
      <c r="AZ1132" s="35" t="str">
        <f aca="false">IF($B1132="","",AP1132+AT1132/2)</f>
        <v/>
      </c>
      <c r="BA1132" s="35" t="str">
        <f aca="false">IF($B1132="","",AK1132+AN1132+AM1132/2+AO1132+AP1132+AQ1132+AR1132+AS1132+AT1132+AU1132+AV1132+AW1132)</f>
        <v/>
      </c>
      <c r="BB1132" s="35" t="str">
        <f aca="false">IF($B1132="","",MAX(0,AN1132-Settings!$C$16)*Settings!$C$17)</f>
        <v/>
      </c>
      <c r="BC1132" s="35" t="str">
        <f aca="false">IF($B1132="","",BA1132-BB1132)</f>
        <v/>
      </c>
      <c r="BD1132" s="35" t="str">
        <f aca="false">IF(OR($B1132="",$A1132=""),"",DAY(EOMONTH($A1132,0))-COUNTA($F1132:$AJ1132))</f>
        <v/>
      </c>
    </row>
    <row r="1133" customFormat="false" ht="15" hidden="false" customHeight="false" outlineLevel="0" collapsed="false">
      <c r="A1133" s="32"/>
      <c r="B1133" s="29"/>
      <c r="C1133" s="10" t="str">
        <f aca="false">IF($B1133="","",IFERROR(INDEX(M_name,MATCH($B1133,M_emp,0)),"Code not found"))</f>
        <v/>
      </c>
      <c r="D1133" s="10" t="str">
        <f aca="false">IF($B1133="","",IFERROR(INDEX(M_dept,MATCH($B1133,M_emp,0)),""))</f>
        <v/>
      </c>
      <c r="E1133" s="10" t="str">
        <f aca="false">IF($B1133="","",IFERROR(INDEX(M_loc,MATCH($B1133,M_emp,0)),""))</f>
        <v/>
      </c>
      <c r="F1133" s="33"/>
      <c r="G1133" s="33"/>
      <c r="H1133" s="33"/>
      <c r="I1133" s="33"/>
      <c r="J1133" s="33"/>
      <c r="K1133" s="33"/>
      <c r="L1133" s="33"/>
      <c r="M1133" s="33"/>
      <c r="N1133" s="33"/>
      <c r="O1133" s="33"/>
      <c r="P1133" s="33"/>
      <c r="Q1133" s="33"/>
      <c r="R1133" s="33"/>
      <c r="S1133" s="33"/>
      <c r="T1133" s="33"/>
      <c r="U1133" s="33"/>
      <c r="V1133" s="33"/>
      <c r="W1133" s="33"/>
      <c r="X1133" s="33"/>
      <c r="Y1133" s="33"/>
      <c r="Z1133" s="33"/>
      <c r="AA1133" s="33"/>
      <c r="AB1133" s="33"/>
      <c r="AC1133" s="33"/>
      <c r="AD1133" s="33"/>
      <c r="AE1133" s="33"/>
      <c r="AF1133" s="33"/>
      <c r="AG1133" s="33"/>
      <c r="AH1133" s="33"/>
      <c r="AI1133" s="33"/>
      <c r="AJ1133" s="33"/>
      <c r="AK1133" s="34" t="str">
        <f aca="false">IF($B1133="","",COUNTIF($F1133:$AJ1133,"P"))</f>
        <v/>
      </c>
      <c r="AL1133" s="34" t="str">
        <f aca="false">IF($B1133="","",COUNTIF($F1133:$AJ1133,"A"))</f>
        <v/>
      </c>
      <c r="AM1133" s="34" t="str">
        <f aca="false">IF($B1133="","",COUNTIF($F1133:$AJ1133,"HA"))</f>
        <v/>
      </c>
      <c r="AN1133" s="34" t="str">
        <f aca="false">IF($B1133="","",COUNTIF($F1133:$AJ1133,"L"))</f>
        <v/>
      </c>
      <c r="AO1133" s="34" t="str">
        <f aca="false">IF($B1133="","",COUNTIF($F1133:$AJ1133,"PL"))</f>
        <v/>
      </c>
      <c r="AP1133" s="34" t="str">
        <f aca="false">IF($B1133="","",COUNTIF($F1133:$AJ1133,"CL"))</f>
        <v/>
      </c>
      <c r="AQ1133" s="34" t="str">
        <f aca="false">IF($B1133="","",COUNTIF($F1133:$AJ1133,"SL"))</f>
        <v/>
      </c>
      <c r="AR1133" s="34" t="str">
        <f aca="false">IF($B1133="","",COUNTIF($F1133:$AJ1133,"CO"))</f>
        <v/>
      </c>
      <c r="AS1133" s="34" t="str">
        <f aca="false">IF($B1133="","",COUNTIF($F1133:$AJ1133,"HPL"))</f>
        <v/>
      </c>
      <c r="AT1133" s="34" t="str">
        <f aca="false">IF($B1133="","",COUNTIF($F1133:$AJ1133,"HCL"))</f>
        <v/>
      </c>
      <c r="AU1133" s="34" t="str">
        <f aca="false">IF($B1133="","",COUNTIF($F1133:$AJ1133,"WO"))</f>
        <v/>
      </c>
      <c r="AV1133" s="34" t="str">
        <f aca="false">IF($B1133="","",COUNTIF($F1133:$AJ1133,"PH"))</f>
        <v/>
      </c>
      <c r="AW1133" s="34" t="str">
        <f aca="false">IF($B1133="","",COUNTIF($F1133:$AJ1133,"TR"))</f>
        <v/>
      </c>
      <c r="AX1133" s="35" t="str">
        <f aca="false">IF($B1133="","",AO1133+AS1133/2)</f>
        <v/>
      </c>
      <c r="AY1133" s="35" t="str">
        <f aca="false">IF($B1133="","",AQ1133)</f>
        <v/>
      </c>
      <c r="AZ1133" s="35" t="str">
        <f aca="false">IF($B1133="","",AP1133+AT1133/2)</f>
        <v/>
      </c>
      <c r="BA1133" s="35" t="str">
        <f aca="false">IF($B1133="","",AK1133+AN1133+AM1133/2+AO1133+AP1133+AQ1133+AR1133+AS1133+AT1133+AU1133+AV1133+AW1133)</f>
        <v/>
      </c>
      <c r="BB1133" s="35" t="str">
        <f aca="false">IF($B1133="","",MAX(0,AN1133-Settings!$C$16)*Settings!$C$17)</f>
        <v/>
      </c>
      <c r="BC1133" s="35" t="str">
        <f aca="false">IF($B1133="","",BA1133-BB1133)</f>
        <v/>
      </c>
      <c r="BD1133" s="35" t="str">
        <f aca="false">IF(OR($B1133="",$A1133=""),"",DAY(EOMONTH($A1133,0))-COUNTA($F1133:$AJ1133))</f>
        <v/>
      </c>
    </row>
    <row r="1134" customFormat="false" ht="15" hidden="false" customHeight="false" outlineLevel="0" collapsed="false">
      <c r="A1134" s="32"/>
      <c r="B1134" s="29"/>
      <c r="C1134" s="10" t="str">
        <f aca="false">IF($B1134="","",IFERROR(INDEX(M_name,MATCH($B1134,M_emp,0)),"Code not found"))</f>
        <v/>
      </c>
      <c r="D1134" s="10" t="str">
        <f aca="false">IF($B1134="","",IFERROR(INDEX(M_dept,MATCH($B1134,M_emp,0)),""))</f>
        <v/>
      </c>
      <c r="E1134" s="10" t="str">
        <f aca="false">IF($B1134="","",IFERROR(INDEX(M_loc,MATCH($B1134,M_emp,0)),""))</f>
        <v/>
      </c>
      <c r="F1134" s="33"/>
      <c r="G1134" s="33"/>
      <c r="H1134" s="33"/>
      <c r="I1134" s="33"/>
      <c r="J1134" s="33"/>
      <c r="K1134" s="33"/>
      <c r="L1134" s="33"/>
      <c r="M1134" s="33"/>
      <c r="N1134" s="33"/>
      <c r="O1134" s="33"/>
      <c r="P1134" s="33"/>
      <c r="Q1134" s="33"/>
      <c r="R1134" s="33"/>
      <c r="S1134" s="33"/>
      <c r="T1134" s="33"/>
      <c r="U1134" s="33"/>
      <c r="V1134" s="33"/>
      <c r="W1134" s="33"/>
      <c r="X1134" s="33"/>
      <c r="Y1134" s="33"/>
      <c r="Z1134" s="33"/>
      <c r="AA1134" s="33"/>
      <c r="AB1134" s="33"/>
      <c r="AC1134" s="33"/>
      <c r="AD1134" s="33"/>
      <c r="AE1134" s="33"/>
      <c r="AF1134" s="33"/>
      <c r="AG1134" s="33"/>
      <c r="AH1134" s="33"/>
      <c r="AI1134" s="33"/>
      <c r="AJ1134" s="33"/>
      <c r="AK1134" s="34" t="str">
        <f aca="false">IF($B1134="","",COUNTIF($F1134:$AJ1134,"P"))</f>
        <v/>
      </c>
      <c r="AL1134" s="34" t="str">
        <f aca="false">IF($B1134="","",COUNTIF($F1134:$AJ1134,"A"))</f>
        <v/>
      </c>
      <c r="AM1134" s="34" t="str">
        <f aca="false">IF($B1134="","",COUNTIF($F1134:$AJ1134,"HA"))</f>
        <v/>
      </c>
      <c r="AN1134" s="34" t="str">
        <f aca="false">IF($B1134="","",COUNTIF($F1134:$AJ1134,"L"))</f>
        <v/>
      </c>
      <c r="AO1134" s="34" t="str">
        <f aca="false">IF($B1134="","",COUNTIF($F1134:$AJ1134,"PL"))</f>
        <v/>
      </c>
      <c r="AP1134" s="34" t="str">
        <f aca="false">IF($B1134="","",COUNTIF($F1134:$AJ1134,"CL"))</f>
        <v/>
      </c>
      <c r="AQ1134" s="34" t="str">
        <f aca="false">IF($B1134="","",COUNTIF($F1134:$AJ1134,"SL"))</f>
        <v/>
      </c>
      <c r="AR1134" s="34" t="str">
        <f aca="false">IF($B1134="","",COUNTIF($F1134:$AJ1134,"CO"))</f>
        <v/>
      </c>
      <c r="AS1134" s="34" t="str">
        <f aca="false">IF($B1134="","",COUNTIF($F1134:$AJ1134,"HPL"))</f>
        <v/>
      </c>
      <c r="AT1134" s="34" t="str">
        <f aca="false">IF($B1134="","",COUNTIF($F1134:$AJ1134,"HCL"))</f>
        <v/>
      </c>
      <c r="AU1134" s="34" t="str">
        <f aca="false">IF($B1134="","",COUNTIF($F1134:$AJ1134,"WO"))</f>
        <v/>
      </c>
      <c r="AV1134" s="34" t="str">
        <f aca="false">IF($B1134="","",COUNTIF($F1134:$AJ1134,"PH"))</f>
        <v/>
      </c>
      <c r="AW1134" s="34" t="str">
        <f aca="false">IF($B1134="","",COUNTIF($F1134:$AJ1134,"TR"))</f>
        <v/>
      </c>
      <c r="AX1134" s="35" t="str">
        <f aca="false">IF($B1134="","",AO1134+AS1134/2)</f>
        <v/>
      </c>
      <c r="AY1134" s="35" t="str">
        <f aca="false">IF($B1134="","",AQ1134)</f>
        <v/>
      </c>
      <c r="AZ1134" s="35" t="str">
        <f aca="false">IF($B1134="","",AP1134+AT1134/2)</f>
        <v/>
      </c>
      <c r="BA1134" s="35" t="str">
        <f aca="false">IF($B1134="","",AK1134+AN1134+AM1134/2+AO1134+AP1134+AQ1134+AR1134+AS1134+AT1134+AU1134+AV1134+AW1134)</f>
        <v/>
      </c>
      <c r="BB1134" s="35" t="str">
        <f aca="false">IF($B1134="","",MAX(0,AN1134-Settings!$C$16)*Settings!$C$17)</f>
        <v/>
      </c>
      <c r="BC1134" s="35" t="str">
        <f aca="false">IF($B1134="","",BA1134-BB1134)</f>
        <v/>
      </c>
      <c r="BD1134" s="35" t="str">
        <f aca="false">IF(OR($B1134="",$A1134=""),"",DAY(EOMONTH($A1134,0))-COUNTA($F1134:$AJ1134))</f>
        <v/>
      </c>
    </row>
    <row r="1135" customFormat="false" ht="15" hidden="false" customHeight="false" outlineLevel="0" collapsed="false">
      <c r="A1135" s="32"/>
      <c r="B1135" s="29"/>
      <c r="C1135" s="10" t="str">
        <f aca="false">IF($B1135="","",IFERROR(INDEX(M_name,MATCH($B1135,M_emp,0)),"Code not found"))</f>
        <v/>
      </c>
      <c r="D1135" s="10" t="str">
        <f aca="false">IF($B1135="","",IFERROR(INDEX(M_dept,MATCH($B1135,M_emp,0)),""))</f>
        <v/>
      </c>
      <c r="E1135" s="10" t="str">
        <f aca="false">IF($B1135="","",IFERROR(INDEX(M_loc,MATCH($B1135,M_emp,0)),""))</f>
        <v/>
      </c>
      <c r="F1135" s="33"/>
      <c r="G1135" s="33"/>
      <c r="H1135" s="33"/>
      <c r="I1135" s="33"/>
      <c r="J1135" s="33"/>
      <c r="K1135" s="33"/>
      <c r="L1135" s="33"/>
      <c r="M1135" s="33"/>
      <c r="N1135" s="33"/>
      <c r="O1135" s="33"/>
      <c r="P1135" s="33"/>
      <c r="Q1135" s="33"/>
      <c r="R1135" s="33"/>
      <c r="S1135" s="33"/>
      <c r="T1135" s="33"/>
      <c r="U1135" s="33"/>
      <c r="V1135" s="33"/>
      <c r="W1135" s="33"/>
      <c r="X1135" s="33"/>
      <c r="Y1135" s="33"/>
      <c r="Z1135" s="33"/>
      <c r="AA1135" s="33"/>
      <c r="AB1135" s="33"/>
      <c r="AC1135" s="33"/>
      <c r="AD1135" s="33"/>
      <c r="AE1135" s="33"/>
      <c r="AF1135" s="33"/>
      <c r="AG1135" s="33"/>
      <c r="AH1135" s="33"/>
      <c r="AI1135" s="33"/>
      <c r="AJ1135" s="33"/>
      <c r="AK1135" s="34" t="str">
        <f aca="false">IF($B1135="","",COUNTIF($F1135:$AJ1135,"P"))</f>
        <v/>
      </c>
      <c r="AL1135" s="34" t="str">
        <f aca="false">IF($B1135="","",COUNTIF($F1135:$AJ1135,"A"))</f>
        <v/>
      </c>
      <c r="AM1135" s="34" t="str">
        <f aca="false">IF($B1135="","",COUNTIF($F1135:$AJ1135,"HA"))</f>
        <v/>
      </c>
      <c r="AN1135" s="34" t="str">
        <f aca="false">IF($B1135="","",COUNTIF($F1135:$AJ1135,"L"))</f>
        <v/>
      </c>
      <c r="AO1135" s="34" t="str">
        <f aca="false">IF($B1135="","",COUNTIF($F1135:$AJ1135,"PL"))</f>
        <v/>
      </c>
      <c r="AP1135" s="34" t="str">
        <f aca="false">IF($B1135="","",COUNTIF($F1135:$AJ1135,"CL"))</f>
        <v/>
      </c>
      <c r="AQ1135" s="34" t="str">
        <f aca="false">IF($B1135="","",COUNTIF($F1135:$AJ1135,"SL"))</f>
        <v/>
      </c>
      <c r="AR1135" s="34" t="str">
        <f aca="false">IF($B1135="","",COUNTIF($F1135:$AJ1135,"CO"))</f>
        <v/>
      </c>
      <c r="AS1135" s="34" t="str">
        <f aca="false">IF($B1135="","",COUNTIF($F1135:$AJ1135,"HPL"))</f>
        <v/>
      </c>
      <c r="AT1135" s="34" t="str">
        <f aca="false">IF($B1135="","",COUNTIF($F1135:$AJ1135,"HCL"))</f>
        <v/>
      </c>
      <c r="AU1135" s="34" t="str">
        <f aca="false">IF($B1135="","",COUNTIF($F1135:$AJ1135,"WO"))</f>
        <v/>
      </c>
      <c r="AV1135" s="34" t="str">
        <f aca="false">IF($B1135="","",COUNTIF($F1135:$AJ1135,"PH"))</f>
        <v/>
      </c>
      <c r="AW1135" s="34" t="str">
        <f aca="false">IF($B1135="","",COUNTIF($F1135:$AJ1135,"TR"))</f>
        <v/>
      </c>
      <c r="AX1135" s="35" t="str">
        <f aca="false">IF($B1135="","",AO1135+AS1135/2)</f>
        <v/>
      </c>
      <c r="AY1135" s="35" t="str">
        <f aca="false">IF($B1135="","",AQ1135)</f>
        <v/>
      </c>
      <c r="AZ1135" s="35" t="str">
        <f aca="false">IF($B1135="","",AP1135+AT1135/2)</f>
        <v/>
      </c>
      <c r="BA1135" s="35" t="str">
        <f aca="false">IF($B1135="","",AK1135+AN1135+AM1135/2+AO1135+AP1135+AQ1135+AR1135+AS1135+AT1135+AU1135+AV1135+AW1135)</f>
        <v/>
      </c>
      <c r="BB1135" s="35" t="str">
        <f aca="false">IF($B1135="","",MAX(0,AN1135-Settings!$C$16)*Settings!$C$17)</f>
        <v/>
      </c>
      <c r="BC1135" s="35" t="str">
        <f aca="false">IF($B1135="","",BA1135-BB1135)</f>
        <v/>
      </c>
      <c r="BD1135" s="35" t="str">
        <f aca="false">IF(OR($B1135="",$A1135=""),"",DAY(EOMONTH($A1135,0))-COUNTA($F1135:$AJ1135))</f>
        <v/>
      </c>
    </row>
    <row r="1136" customFormat="false" ht="15" hidden="false" customHeight="false" outlineLevel="0" collapsed="false">
      <c r="A1136" s="32"/>
      <c r="B1136" s="29"/>
      <c r="C1136" s="10" t="str">
        <f aca="false">IF($B1136="","",IFERROR(INDEX(M_name,MATCH($B1136,M_emp,0)),"Code not found"))</f>
        <v/>
      </c>
      <c r="D1136" s="10" t="str">
        <f aca="false">IF($B1136="","",IFERROR(INDEX(M_dept,MATCH($B1136,M_emp,0)),""))</f>
        <v/>
      </c>
      <c r="E1136" s="10" t="str">
        <f aca="false">IF($B1136="","",IFERROR(INDEX(M_loc,MATCH($B1136,M_emp,0)),""))</f>
        <v/>
      </c>
      <c r="F1136" s="33"/>
      <c r="G1136" s="33"/>
      <c r="H1136" s="33"/>
      <c r="I1136" s="33"/>
      <c r="J1136" s="33"/>
      <c r="K1136" s="33"/>
      <c r="L1136" s="33"/>
      <c r="M1136" s="33"/>
      <c r="N1136" s="33"/>
      <c r="O1136" s="33"/>
      <c r="P1136" s="33"/>
      <c r="Q1136" s="33"/>
      <c r="R1136" s="33"/>
      <c r="S1136" s="33"/>
      <c r="T1136" s="33"/>
      <c r="U1136" s="33"/>
      <c r="V1136" s="33"/>
      <c r="W1136" s="33"/>
      <c r="X1136" s="33"/>
      <c r="Y1136" s="33"/>
      <c r="Z1136" s="33"/>
      <c r="AA1136" s="33"/>
      <c r="AB1136" s="33"/>
      <c r="AC1136" s="33"/>
      <c r="AD1136" s="33"/>
      <c r="AE1136" s="33"/>
      <c r="AF1136" s="33"/>
      <c r="AG1136" s="33"/>
      <c r="AH1136" s="33"/>
      <c r="AI1136" s="33"/>
      <c r="AJ1136" s="33"/>
      <c r="AK1136" s="34" t="str">
        <f aca="false">IF($B1136="","",COUNTIF($F1136:$AJ1136,"P"))</f>
        <v/>
      </c>
      <c r="AL1136" s="34" t="str">
        <f aca="false">IF($B1136="","",COUNTIF($F1136:$AJ1136,"A"))</f>
        <v/>
      </c>
      <c r="AM1136" s="34" t="str">
        <f aca="false">IF($B1136="","",COUNTIF($F1136:$AJ1136,"HA"))</f>
        <v/>
      </c>
      <c r="AN1136" s="34" t="str">
        <f aca="false">IF($B1136="","",COUNTIF($F1136:$AJ1136,"L"))</f>
        <v/>
      </c>
      <c r="AO1136" s="34" t="str">
        <f aca="false">IF($B1136="","",COUNTIF($F1136:$AJ1136,"PL"))</f>
        <v/>
      </c>
      <c r="AP1136" s="34" t="str">
        <f aca="false">IF($B1136="","",COUNTIF($F1136:$AJ1136,"CL"))</f>
        <v/>
      </c>
      <c r="AQ1136" s="34" t="str">
        <f aca="false">IF($B1136="","",COUNTIF($F1136:$AJ1136,"SL"))</f>
        <v/>
      </c>
      <c r="AR1136" s="34" t="str">
        <f aca="false">IF($B1136="","",COUNTIF($F1136:$AJ1136,"CO"))</f>
        <v/>
      </c>
      <c r="AS1136" s="34" t="str">
        <f aca="false">IF($B1136="","",COUNTIF($F1136:$AJ1136,"HPL"))</f>
        <v/>
      </c>
      <c r="AT1136" s="34" t="str">
        <f aca="false">IF($B1136="","",COUNTIF($F1136:$AJ1136,"HCL"))</f>
        <v/>
      </c>
      <c r="AU1136" s="34" t="str">
        <f aca="false">IF($B1136="","",COUNTIF($F1136:$AJ1136,"WO"))</f>
        <v/>
      </c>
      <c r="AV1136" s="34" t="str">
        <f aca="false">IF($B1136="","",COUNTIF($F1136:$AJ1136,"PH"))</f>
        <v/>
      </c>
      <c r="AW1136" s="34" t="str">
        <f aca="false">IF($B1136="","",COUNTIF($F1136:$AJ1136,"TR"))</f>
        <v/>
      </c>
      <c r="AX1136" s="35" t="str">
        <f aca="false">IF($B1136="","",AO1136+AS1136/2)</f>
        <v/>
      </c>
      <c r="AY1136" s="35" t="str">
        <f aca="false">IF($B1136="","",AQ1136)</f>
        <v/>
      </c>
      <c r="AZ1136" s="35" t="str">
        <f aca="false">IF($B1136="","",AP1136+AT1136/2)</f>
        <v/>
      </c>
      <c r="BA1136" s="35" t="str">
        <f aca="false">IF($B1136="","",AK1136+AN1136+AM1136/2+AO1136+AP1136+AQ1136+AR1136+AS1136+AT1136+AU1136+AV1136+AW1136)</f>
        <v/>
      </c>
      <c r="BB1136" s="35" t="str">
        <f aca="false">IF($B1136="","",MAX(0,AN1136-Settings!$C$16)*Settings!$C$17)</f>
        <v/>
      </c>
      <c r="BC1136" s="35" t="str">
        <f aca="false">IF($B1136="","",BA1136-BB1136)</f>
        <v/>
      </c>
      <c r="BD1136" s="35" t="str">
        <f aca="false">IF(OR($B1136="",$A1136=""),"",DAY(EOMONTH($A1136,0))-COUNTA($F1136:$AJ1136))</f>
        <v/>
      </c>
    </row>
    <row r="1137" customFormat="false" ht="15" hidden="false" customHeight="false" outlineLevel="0" collapsed="false">
      <c r="A1137" s="32"/>
      <c r="B1137" s="29"/>
      <c r="C1137" s="10" t="str">
        <f aca="false">IF($B1137="","",IFERROR(INDEX(M_name,MATCH($B1137,M_emp,0)),"Code not found"))</f>
        <v/>
      </c>
      <c r="D1137" s="10" t="str">
        <f aca="false">IF($B1137="","",IFERROR(INDEX(M_dept,MATCH($B1137,M_emp,0)),""))</f>
        <v/>
      </c>
      <c r="E1137" s="10" t="str">
        <f aca="false">IF($B1137="","",IFERROR(INDEX(M_loc,MATCH($B1137,M_emp,0)),""))</f>
        <v/>
      </c>
      <c r="F1137" s="33"/>
      <c r="G1137" s="33"/>
      <c r="H1137" s="33"/>
      <c r="I1137" s="33"/>
      <c r="J1137" s="33"/>
      <c r="K1137" s="33"/>
      <c r="L1137" s="33"/>
      <c r="M1137" s="33"/>
      <c r="N1137" s="33"/>
      <c r="O1137" s="33"/>
      <c r="P1137" s="33"/>
      <c r="Q1137" s="33"/>
      <c r="R1137" s="33"/>
      <c r="S1137" s="33"/>
      <c r="T1137" s="33"/>
      <c r="U1137" s="33"/>
      <c r="V1137" s="33"/>
      <c r="W1137" s="33"/>
      <c r="X1137" s="33"/>
      <c r="Y1137" s="33"/>
      <c r="Z1137" s="33"/>
      <c r="AA1137" s="33"/>
      <c r="AB1137" s="33"/>
      <c r="AC1137" s="33"/>
      <c r="AD1137" s="33"/>
      <c r="AE1137" s="33"/>
      <c r="AF1137" s="33"/>
      <c r="AG1137" s="33"/>
      <c r="AH1137" s="33"/>
      <c r="AI1137" s="33"/>
      <c r="AJ1137" s="33"/>
      <c r="AK1137" s="34" t="str">
        <f aca="false">IF($B1137="","",COUNTIF($F1137:$AJ1137,"P"))</f>
        <v/>
      </c>
      <c r="AL1137" s="34" t="str">
        <f aca="false">IF($B1137="","",COUNTIF($F1137:$AJ1137,"A"))</f>
        <v/>
      </c>
      <c r="AM1137" s="34" t="str">
        <f aca="false">IF($B1137="","",COUNTIF($F1137:$AJ1137,"HA"))</f>
        <v/>
      </c>
      <c r="AN1137" s="34" t="str">
        <f aca="false">IF($B1137="","",COUNTIF($F1137:$AJ1137,"L"))</f>
        <v/>
      </c>
      <c r="AO1137" s="34" t="str">
        <f aca="false">IF($B1137="","",COUNTIF($F1137:$AJ1137,"PL"))</f>
        <v/>
      </c>
      <c r="AP1137" s="34" t="str">
        <f aca="false">IF($B1137="","",COUNTIF($F1137:$AJ1137,"CL"))</f>
        <v/>
      </c>
      <c r="AQ1137" s="34" t="str">
        <f aca="false">IF($B1137="","",COUNTIF($F1137:$AJ1137,"SL"))</f>
        <v/>
      </c>
      <c r="AR1137" s="34" t="str">
        <f aca="false">IF($B1137="","",COUNTIF($F1137:$AJ1137,"CO"))</f>
        <v/>
      </c>
      <c r="AS1137" s="34" t="str">
        <f aca="false">IF($B1137="","",COUNTIF($F1137:$AJ1137,"HPL"))</f>
        <v/>
      </c>
      <c r="AT1137" s="34" t="str">
        <f aca="false">IF($B1137="","",COUNTIF($F1137:$AJ1137,"HCL"))</f>
        <v/>
      </c>
      <c r="AU1137" s="34" t="str">
        <f aca="false">IF($B1137="","",COUNTIF($F1137:$AJ1137,"WO"))</f>
        <v/>
      </c>
      <c r="AV1137" s="34" t="str">
        <f aca="false">IF($B1137="","",COUNTIF($F1137:$AJ1137,"PH"))</f>
        <v/>
      </c>
      <c r="AW1137" s="34" t="str">
        <f aca="false">IF($B1137="","",COUNTIF($F1137:$AJ1137,"TR"))</f>
        <v/>
      </c>
      <c r="AX1137" s="35" t="str">
        <f aca="false">IF($B1137="","",AO1137+AS1137/2)</f>
        <v/>
      </c>
      <c r="AY1137" s="35" t="str">
        <f aca="false">IF($B1137="","",AQ1137)</f>
        <v/>
      </c>
      <c r="AZ1137" s="35" t="str">
        <f aca="false">IF($B1137="","",AP1137+AT1137/2)</f>
        <v/>
      </c>
      <c r="BA1137" s="35" t="str">
        <f aca="false">IF($B1137="","",AK1137+AN1137+AM1137/2+AO1137+AP1137+AQ1137+AR1137+AS1137+AT1137+AU1137+AV1137+AW1137)</f>
        <v/>
      </c>
      <c r="BB1137" s="35" t="str">
        <f aca="false">IF($B1137="","",MAX(0,AN1137-Settings!$C$16)*Settings!$C$17)</f>
        <v/>
      </c>
      <c r="BC1137" s="35" t="str">
        <f aca="false">IF($B1137="","",BA1137-BB1137)</f>
        <v/>
      </c>
      <c r="BD1137" s="35" t="str">
        <f aca="false">IF(OR($B1137="",$A1137=""),"",DAY(EOMONTH($A1137,0))-COUNTA($F1137:$AJ1137))</f>
        <v/>
      </c>
    </row>
    <row r="1138" customFormat="false" ht="15" hidden="false" customHeight="false" outlineLevel="0" collapsed="false">
      <c r="A1138" s="32"/>
      <c r="B1138" s="29"/>
      <c r="C1138" s="10" t="str">
        <f aca="false">IF($B1138="","",IFERROR(INDEX(M_name,MATCH($B1138,M_emp,0)),"Code not found"))</f>
        <v/>
      </c>
      <c r="D1138" s="10" t="str">
        <f aca="false">IF($B1138="","",IFERROR(INDEX(M_dept,MATCH($B1138,M_emp,0)),""))</f>
        <v/>
      </c>
      <c r="E1138" s="10" t="str">
        <f aca="false">IF($B1138="","",IFERROR(INDEX(M_loc,MATCH($B1138,M_emp,0)),""))</f>
        <v/>
      </c>
      <c r="F1138" s="33"/>
      <c r="G1138" s="33"/>
      <c r="H1138" s="33"/>
      <c r="I1138" s="33"/>
      <c r="J1138" s="33"/>
      <c r="K1138" s="33"/>
      <c r="L1138" s="33"/>
      <c r="M1138" s="33"/>
      <c r="N1138" s="33"/>
      <c r="O1138" s="33"/>
      <c r="P1138" s="33"/>
      <c r="Q1138" s="33"/>
      <c r="R1138" s="33"/>
      <c r="S1138" s="33"/>
      <c r="T1138" s="33"/>
      <c r="U1138" s="33"/>
      <c r="V1138" s="33"/>
      <c r="W1138" s="33"/>
      <c r="X1138" s="33"/>
      <c r="Y1138" s="33"/>
      <c r="Z1138" s="33"/>
      <c r="AA1138" s="33"/>
      <c r="AB1138" s="33"/>
      <c r="AC1138" s="33"/>
      <c r="AD1138" s="33"/>
      <c r="AE1138" s="33"/>
      <c r="AF1138" s="33"/>
      <c r="AG1138" s="33"/>
      <c r="AH1138" s="33"/>
      <c r="AI1138" s="33"/>
      <c r="AJ1138" s="33"/>
      <c r="AK1138" s="34" t="str">
        <f aca="false">IF($B1138="","",COUNTIF($F1138:$AJ1138,"P"))</f>
        <v/>
      </c>
      <c r="AL1138" s="34" t="str">
        <f aca="false">IF($B1138="","",COUNTIF($F1138:$AJ1138,"A"))</f>
        <v/>
      </c>
      <c r="AM1138" s="34" t="str">
        <f aca="false">IF($B1138="","",COUNTIF($F1138:$AJ1138,"HA"))</f>
        <v/>
      </c>
      <c r="AN1138" s="34" t="str">
        <f aca="false">IF($B1138="","",COUNTIF($F1138:$AJ1138,"L"))</f>
        <v/>
      </c>
      <c r="AO1138" s="34" t="str">
        <f aca="false">IF($B1138="","",COUNTIF($F1138:$AJ1138,"PL"))</f>
        <v/>
      </c>
      <c r="AP1138" s="34" t="str">
        <f aca="false">IF($B1138="","",COUNTIF($F1138:$AJ1138,"CL"))</f>
        <v/>
      </c>
      <c r="AQ1138" s="34" t="str">
        <f aca="false">IF($B1138="","",COUNTIF($F1138:$AJ1138,"SL"))</f>
        <v/>
      </c>
      <c r="AR1138" s="34" t="str">
        <f aca="false">IF($B1138="","",COUNTIF($F1138:$AJ1138,"CO"))</f>
        <v/>
      </c>
      <c r="AS1138" s="34" t="str">
        <f aca="false">IF($B1138="","",COUNTIF($F1138:$AJ1138,"HPL"))</f>
        <v/>
      </c>
      <c r="AT1138" s="34" t="str">
        <f aca="false">IF($B1138="","",COUNTIF($F1138:$AJ1138,"HCL"))</f>
        <v/>
      </c>
      <c r="AU1138" s="34" t="str">
        <f aca="false">IF($B1138="","",COUNTIF($F1138:$AJ1138,"WO"))</f>
        <v/>
      </c>
      <c r="AV1138" s="34" t="str">
        <f aca="false">IF($B1138="","",COUNTIF($F1138:$AJ1138,"PH"))</f>
        <v/>
      </c>
      <c r="AW1138" s="34" t="str">
        <f aca="false">IF($B1138="","",COUNTIF($F1138:$AJ1138,"TR"))</f>
        <v/>
      </c>
      <c r="AX1138" s="35" t="str">
        <f aca="false">IF($B1138="","",AO1138+AS1138/2)</f>
        <v/>
      </c>
      <c r="AY1138" s="35" t="str">
        <f aca="false">IF($B1138="","",AQ1138)</f>
        <v/>
      </c>
      <c r="AZ1138" s="35" t="str">
        <f aca="false">IF($B1138="","",AP1138+AT1138/2)</f>
        <v/>
      </c>
      <c r="BA1138" s="35" t="str">
        <f aca="false">IF($B1138="","",AK1138+AN1138+AM1138/2+AO1138+AP1138+AQ1138+AR1138+AS1138+AT1138+AU1138+AV1138+AW1138)</f>
        <v/>
      </c>
      <c r="BB1138" s="35" t="str">
        <f aca="false">IF($B1138="","",MAX(0,AN1138-Settings!$C$16)*Settings!$C$17)</f>
        <v/>
      </c>
      <c r="BC1138" s="35" t="str">
        <f aca="false">IF($B1138="","",BA1138-BB1138)</f>
        <v/>
      </c>
      <c r="BD1138" s="35" t="str">
        <f aca="false">IF(OR($B1138="",$A1138=""),"",DAY(EOMONTH($A1138,0))-COUNTA($F1138:$AJ1138))</f>
        <v/>
      </c>
    </row>
    <row r="1139" customFormat="false" ht="15" hidden="false" customHeight="false" outlineLevel="0" collapsed="false">
      <c r="A1139" s="32"/>
      <c r="B1139" s="29"/>
      <c r="C1139" s="10" t="str">
        <f aca="false">IF($B1139="","",IFERROR(INDEX(M_name,MATCH($B1139,M_emp,0)),"Code not found"))</f>
        <v/>
      </c>
      <c r="D1139" s="10" t="str">
        <f aca="false">IF($B1139="","",IFERROR(INDEX(M_dept,MATCH($B1139,M_emp,0)),""))</f>
        <v/>
      </c>
      <c r="E1139" s="10" t="str">
        <f aca="false">IF($B1139="","",IFERROR(INDEX(M_loc,MATCH($B1139,M_emp,0)),""))</f>
        <v/>
      </c>
      <c r="F1139" s="33"/>
      <c r="G1139" s="33"/>
      <c r="H1139" s="33"/>
      <c r="I1139" s="33"/>
      <c r="J1139" s="33"/>
      <c r="K1139" s="33"/>
      <c r="L1139" s="33"/>
      <c r="M1139" s="33"/>
      <c r="N1139" s="33"/>
      <c r="O1139" s="33"/>
      <c r="P1139" s="33"/>
      <c r="Q1139" s="33"/>
      <c r="R1139" s="33"/>
      <c r="S1139" s="33"/>
      <c r="T1139" s="33"/>
      <c r="U1139" s="33"/>
      <c r="V1139" s="33"/>
      <c r="W1139" s="33"/>
      <c r="X1139" s="33"/>
      <c r="Y1139" s="33"/>
      <c r="Z1139" s="33"/>
      <c r="AA1139" s="33"/>
      <c r="AB1139" s="33"/>
      <c r="AC1139" s="33"/>
      <c r="AD1139" s="33"/>
      <c r="AE1139" s="33"/>
      <c r="AF1139" s="33"/>
      <c r="AG1139" s="33"/>
      <c r="AH1139" s="33"/>
      <c r="AI1139" s="33"/>
      <c r="AJ1139" s="33"/>
      <c r="AK1139" s="34" t="str">
        <f aca="false">IF($B1139="","",COUNTIF($F1139:$AJ1139,"P"))</f>
        <v/>
      </c>
      <c r="AL1139" s="34" t="str">
        <f aca="false">IF($B1139="","",COUNTIF($F1139:$AJ1139,"A"))</f>
        <v/>
      </c>
      <c r="AM1139" s="34" t="str">
        <f aca="false">IF($B1139="","",COUNTIF($F1139:$AJ1139,"HA"))</f>
        <v/>
      </c>
      <c r="AN1139" s="34" t="str">
        <f aca="false">IF($B1139="","",COUNTIF($F1139:$AJ1139,"L"))</f>
        <v/>
      </c>
      <c r="AO1139" s="34" t="str">
        <f aca="false">IF($B1139="","",COUNTIF($F1139:$AJ1139,"PL"))</f>
        <v/>
      </c>
      <c r="AP1139" s="34" t="str">
        <f aca="false">IF($B1139="","",COUNTIF($F1139:$AJ1139,"CL"))</f>
        <v/>
      </c>
      <c r="AQ1139" s="34" t="str">
        <f aca="false">IF($B1139="","",COUNTIF($F1139:$AJ1139,"SL"))</f>
        <v/>
      </c>
      <c r="AR1139" s="34" t="str">
        <f aca="false">IF($B1139="","",COUNTIF($F1139:$AJ1139,"CO"))</f>
        <v/>
      </c>
      <c r="AS1139" s="34" t="str">
        <f aca="false">IF($B1139="","",COUNTIF($F1139:$AJ1139,"HPL"))</f>
        <v/>
      </c>
      <c r="AT1139" s="34" t="str">
        <f aca="false">IF($B1139="","",COUNTIF($F1139:$AJ1139,"HCL"))</f>
        <v/>
      </c>
      <c r="AU1139" s="34" t="str">
        <f aca="false">IF($B1139="","",COUNTIF($F1139:$AJ1139,"WO"))</f>
        <v/>
      </c>
      <c r="AV1139" s="34" t="str">
        <f aca="false">IF($B1139="","",COUNTIF($F1139:$AJ1139,"PH"))</f>
        <v/>
      </c>
      <c r="AW1139" s="34" t="str">
        <f aca="false">IF($B1139="","",COUNTIF($F1139:$AJ1139,"TR"))</f>
        <v/>
      </c>
      <c r="AX1139" s="35" t="str">
        <f aca="false">IF($B1139="","",AO1139+AS1139/2)</f>
        <v/>
      </c>
      <c r="AY1139" s="35" t="str">
        <f aca="false">IF($B1139="","",AQ1139)</f>
        <v/>
      </c>
      <c r="AZ1139" s="35" t="str">
        <f aca="false">IF($B1139="","",AP1139+AT1139/2)</f>
        <v/>
      </c>
      <c r="BA1139" s="35" t="str">
        <f aca="false">IF($B1139="","",AK1139+AN1139+AM1139/2+AO1139+AP1139+AQ1139+AR1139+AS1139+AT1139+AU1139+AV1139+AW1139)</f>
        <v/>
      </c>
      <c r="BB1139" s="35" t="str">
        <f aca="false">IF($B1139="","",MAX(0,AN1139-Settings!$C$16)*Settings!$C$17)</f>
        <v/>
      </c>
      <c r="BC1139" s="35" t="str">
        <f aca="false">IF($B1139="","",BA1139-BB1139)</f>
        <v/>
      </c>
      <c r="BD1139" s="35" t="str">
        <f aca="false">IF(OR($B1139="",$A1139=""),"",DAY(EOMONTH($A1139,0))-COUNTA($F1139:$AJ1139))</f>
        <v/>
      </c>
    </row>
    <row r="1140" customFormat="false" ht="15" hidden="false" customHeight="false" outlineLevel="0" collapsed="false">
      <c r="A1140" s="32"/>
      <c r="B1140" s="29"/>
      <c r="C1140" s="10" t="str">
        <f aca="false">IF($B1140="","",IFERROR(INDEX(M_name,MATCH($B1140,M_emp,0)),"Code not found"))</f>
        <v/>
      </c>
      <c r="D1140" s="10" t="str">
        <f aca="false">IF($B1140="","",IFERROR(INDEX(M_dept,MATCH($B1140,M_emp,0)),""))</f>
        <v/>
      </c>
      <c r="E1140" s="10" t="str">
        <f aca="false">IF($B1140="","",IFERROR(INDEX(M_loc,MATCH($B1140,M_emp,0)),""))</f>
        <v/>
      </c>
      <c r="F1140" s="33"/>
      <c r="G1140" s="33"/>
      <c r="H1140" s="33"/>
      <c r="I1140" s="33"/>
      <c r="J1140" s="33"/>
      <c r="K1140" s="33"/>
      <c r="L1140" s="33"/>
      <c r="M1140" s="33"/>
      <c r="N1140" s="33"/>
      <c r="O1140" s="33"/>
      <c r="P1140" s="33"/>
      <c r="Q1140" s="33"/>
      <c r="R1140" s="33"/>
      <c r="S1140" s="33"/>
      <c r="T1140" s="33"/>
      <c r="U1140" s="33"/>
      <c r="V1140" s="33"/>
      <c r="W1140" s="33"/>
      <c r="X1140" s="33"/>
      <c r="Y1140" s="33"/>
      <c r="Z1140" s="33"/>
      <c r="AA1140" s="33"/>
      <c r="AB1140" s="33"/>
      <c r="AC1140" s="33"/>
      <c r="AD1140" s="33"/>
      <c r="AE1140" s="33"/>
      <c r="AF1140" s="33"/>
      <c r="AG1140" s="33"/>
      <c r="AH1140" s="33"/>
      <c r="AI1140" s="33"/>
      <c r="AJ1140" s="33"/>
      <c r="AK1140" s="34" t="str">
        <f aca="false">IF($B1140="","",COUNTIF($F1140:$AJ1140,"P"))</f>
        <v/>
      </c>
      <c r="AL1140" s="34" t="str">
        <f aca="false">IF($B1140="","",COUNTIF($F1140:$AJ1140,"A"))</f>
        <v/>
      </c>
      <c r="AM1140" s="34" t="str">
        <f aca="false">IF($B1140="","",COUNTIF($F1140:$AJ1140,"HA"))</f>
        <v/>
      </c>
      <c r="AN1140" s="34" t="str">
        <f aca="false">IF($B1140="","",COUNTIF($F1140:$AJ1140,"L"))</f>
        <v/>
      </c>
      <c r="AO1140" s="34" t="str">
        <f aca="false">IF($B1140="","",COUNTIF($F1140:$AJ1140,"PL"))</f>
        <v/>
      </c>
      <c r="AP1140" s="34" t="str">
        <f aca="false">IF($B1140="","",COUNTIF($F1140:$AJ1140,"CL"))</f>
        <v/>
      </c>
      <c r="AQ1140" s="34" t="str">
        <f aca="false">IF($B1140="","",COUNTIF($F1140:$AJ1140,"SL"))</f>
        <v/>
      </c>
      <c r="AR1140" s="34" t="str">
        <f aca="false">IF($B1140="","",COUNTIF($F1140:$AJ1140,"CO"))</f>
        <v/>
      </c>
      <c r="AS1140" s="34" t="str">
        <f aca="false">IF($B1140="","",COUNTIF($F1140:$AJ1140,"HPL"))</f>
        <v/>
      </c>
      <c r="AT1140" s="34" t="str">
        <f aca="false">IF($B1140="","",COUNTIF($F1140:$AJ1140,"HCL"))</f>
        <v/>
      </c>
      <c r="AU1140" s="34" t="str">
        <f aca="false">IF($B1140="","",COUNTIF($F1140:$AJ1140,"WO"))</f>
        <v/>
      </c>
      <c r="AV1140" s="34" t="str">
        <f aca="false">IF($B1140="","",COUNTIF($F1140:$AJ1140,"PH"))</f>
        <v/>
      </c>
      <c r="AW1140" s="34" t="str">
        <f aca="false">IF($B1140="","",COUNTIF($F1140:$AJ1140,"TR"))</f>
        <v/>
      </c>
      <c r="AX1140" s="35" t="str">
        <f aca="false">IF($B1140="","",AO1140+AS1140/2)</f>
        <v/>
      </c>
      <c r="AY1140" s="35" t="str">
        <f aca="false">IF($B1140="","",AQ1140)</f>
        <v/>
      </c>
      <c r="AZ1140" s="35" t="str">
        <f aca="false">IF($B1140="","",AP1140+AT1140/2)</f>
        <v/>
      </c>
      <c r="BA1140" s="35" t="str">
        <f aca="false">IF($B1140="","",AK1140+AN1140+AM1140/2+AO1140+AP1140+AQ1140+AR1140+AS1140+AT1140+AU1140+AV1140+AW1140)</f>
        <v/>
      </c>
      <c r="BB1140" s="35" t="str">
        <f aca="false">IF($B1140="","",MAX(0,AN1140-Settings!$C$16)*Settings!$C$17)</f>
        <v/>
      </c>
      <c r="BC1140" s="35" t="str">
        <f aca="false">IF($B1140="","",BA1140-BB1140)</f>
        <v/>
      </c>
      <c r="BD1140" s="35" t="str">
        <f aca="false">IF(OR($B1140="",$A1140=""),"",DAY(EOMONTH($A1140,0))-COUNTA($F1140:$AJ1140))</f>
        <v/>
      </c>
    </row>
    <row r="1141" customFormat="false" ht="15" hidden="false" customHeight="false" outlineLevel="0" collapsed="false">
      <c r="A1141" s="32"/>
      <c r="B1141" s="29"/>
      <c r="C1141" s="10" t="str">
        <f aca="false">IF($B1141="","",IFERROR(INDEX(M_name,MATCH($B1141,M_emp,0)),"Code not found"))</f>
        <v/>
      </c>
      <c r="D1141" s="10" t="str">
        <f aca="false">IF($B1141="","",IFERROR(INDEX(M_dept,MATCH($B1141,M_emp,0)),""))</f>
        <v/>
      </c>
      <c r="E1141" s="10" t="str">
        <f aca="false">IF($B1141="","",IFERROR(INDEX(M_loc,MATCH($B1141,M_emp,0)),""))</f>
        <v/>
      </c>
      <c r="F1141" s="33"/>
      <c r="G1141" s="33"/>
      <c r="H1141" s="33"/>
      <c r="I1141" s="33"/>
      <c r="J1141" s="33"/>
      <c r="K1141" s="33"/>
      <c r="L1141" s="33"/>
      <c r="M1141" s="33"/>
      <c r="N1141" s="33"/>
      <c r="O1141" s="33"/>
      <c r="P1141" s="33"/>
      <c r="Q1141" s="33"/>
      <c r="R1141" s="33"/>
      <c r="S1141" s="33"/>
      <c r="T1141" s="33"/>
      <c r="U1141" s="33"/>
      <c r="V1141" s="33"/>
      <c r="W1141" s="33"/>
      <c r="X1141" s="33"/>
      <c r="Y1141" s="33"/>
      <c r="Z1141" s="33"/>
      <c r="AA1141" s="33"/>
      <c r="AB1141" s="33"/>
      <c r="AC1141" s="33"/>
      <c r="AD1141" s="33"/>
      <c r="AE1141" s="33"/>
      <c r="AF1141" s="33"/>
      <c r="AG1141" s="33"/>
      <c r="AH1141" s="33"/>
      <c r="AI1141" s="33"/>
      <c r="AJ1141" s="33"/>
      <c r="AK1141" s="34" t="str">
        <f aca="false">IF($B1141="","",COUNTIF($F1141:$AJ1141,"P"))</f>
        <v/>
      </c>
      <c r="AL1141" s="34" t="str">
        <f aca="false">IF($B1141="","",COUNTIF($F1141:$AJ1141,"A"))</f>
        <v/>
      </c>
      <c r="AM1141" s="34" t="str">
        <f aca="false">IF($B1141="","",COUNTIF($F1141:$AJ1141,"HA"))</f>
        <v/>
      </c>
      <c r="AN1141" s="34" t="str">
        <f aca="false">IF($B1141="","",COUNTIF($F1141:$AJ1141,"L"))</f>
        <v/>
      </c>
      <c r="AO1141" s="34" t="str">
        <f aca="false">IF($B1141="","",COUNTIF($F1141:$AJ1141,"PL"))</f>
        <v/>
      </c>
      <c r="AP1141" s="34" t="str">
        <f aca="false">IF($B1141="","",COUNTIF($F1141:$AJ1141,"CL"))</f>
        <v/>
      </c>
      <c r="AQ1141" s="34" t="str">
        <f aca="false">IF($B1141="","",COUNTIF($F1141:$AJ1141,"SL"))</f>
        <v/>
      </c>
      <c r="AR1141" s="34" t="str">
        <f aca="false">IF($B1141="","",COUNTIF($F1141:$AJ1141,"CO"))</f>
        <v/>
      </c>
      <c r="AS1141" s="34" t="str">
        <f aca="false">IF($B1141="","",COUNTIF($F1141:$AJ1141,"HPL"))</f>
        <v/>
      </c>
      <c r="AT1141" s="34" t="str">
        <f aca="false">IF($B1141="","",COUNTIF($F1141:$AJ1141,"HCL"))</f>
        <v/>
      </c>
      <c r="AU1141" s="34" t="str">
        <f aca="false">IF($B1141="","",COUNTIF($F1141:$AJ1141,"WO"))</f>
        <v/>
      </c>
      <c r="AV1141" s="34" t="str">
        <f aca="false">IF($B1141="","",COUNTIF($F1141:$AJ1141,"PH"))</f>
        <v/>
      </c>
      <c r="AW1141" s="34" t="str">
        <f aca="false">IF($B1141="","",COUNTIF($F1141:$AJ1141,"TR"))</f>
        <v/>
      </c>
      <c r="AX1141" s="35" t="str">
        <f aca="false">IF($B1141="","",AO1141+AS1141/2)</f>
        <v/>
      </c>
      <c r="AY1141" s="35" t="str">
        <f aca="false">IF($B1141="","",AQ1141)</f>
        <v/>
      </c>
      <c r="AZ1141" s="35" t="str">
        <f aca="false">IF($B1141="","",AP1141+AT1141/2)</f>
        <v/>
      </c>
      <c r="BA1141" s="35" t="str">
        <f aca="false">IF($B1141="","",AK1141+AN1141+AM1141/2+AO1141+AP1141+AQ1141+AR1141+AS1141+AT1141+AU1141+AV1141+AW1141)</f>
        <v/>
      </c>
      <c r="BB1141" s="35" t="str">
        <f aca="false">IF($B1141="","",MAX(0,AN1141-Settings!$C$16)*Settings!$C$17)</f>
        <v/>
      </c>
      <c r="BC1141" s="35" t="str">
        <f aca="false">IF($B1141="","",BA1141-BB1141)</f>
        <v/>
      </c>
      <c r="BD1141" s="35" t="str">
        <f aca="false">IF(OR($B1141="",$A1141=""),"",DAY(EOMONTH($A1141,0))-COUNTA($F1141:$AJ1141))</f>
        <v/>
      </c>
    </row>
    <row r="1142" customFormat="false" ht="15" hidden="false" customHeight="false" outlineLevel="0" collapsed="false">
      <c r="A1142" s="32"/>
      <c r="B1142" s="29"/>
      <c r="C1142" s="10" t="str">
        <f aca="false">IF($B1142="","",IFERROR(INDEX(M_name,MATCH($B1142,M_emp,0)),"Code not found"))</f>
        <v/>
      </c>
      <c r="D1142" s="10" t="str">
        <f aca="false">IF($B1142="","",IFERROR(INDEX(M_dept,MATCH($B1142,M_emp,0)),""))</f>
        <v/>
      </c>
      <c r="E1142" s="10" t="str">
        <f aca="false">IF($B1142="","",IFERROR(INDEX(M_loc,MATCH($B1142,M_emp,0)),""))</f>
        <v/>
      </c>
      <c r="F1142" s="33"/>
      <c r="G1142" s="33"/>
      <c r="H1142" s="33"/>
      <c r="I1142" s="33"/>
      <c r="J1142" s="33"/>
      <c r="K1142" s="33"/>
      <c r="L1142" s="33"/>
      <c r="M1142" s="33"/>
      <c r="N1142" s="33"/>
      <c r="O1142" s="33"/>
      <c r="P1142" s="33"/>
      <c r="Q1142" s="33"/>
      <c r="R1142" s="33"/>
      <c r="S1142" s="33"/>
      <c r="T1142" s="33"/>
      <c r="U1142" s="33"/>
      <c r="V1142" s="33"/>
      <c r="W1142" s="33"/>
      <c r="X1142" s="33"/>
      <c r="Y1142" s="33"/>
      <c r="Z1142" s="33"/>
      <c r="AA1142" s="33"/>
      <c r="AB1142" s="33"/>
      <c r="AC1142" s="33"/>
      <c r="AD1142" s="33"/>
      <c r="AE1142" s="33"/>
      <c r="AF1142" s="33"/>
      <c r="AG1142" s="33"/>
      <c r="AH1142" s="33"/>
      <c r="AI1142" s="33"/>
      <c r="AJ1142" s="33"/>
      <c r="AK1142" s="34" t="str">
        <f aca="false">IF($B1142="","",COUNTIF($F1142:$AJ1142,"P"))</f>
        <v/>
      </c>
      <c r="AL1142" s="34" t="str">
        <f aca="false">IF($B1142="","",COUNTIF($F1142:$AJ1142,"A"))</f>
        <v/>
      </c>
      <c r="AM1142" s="34" t="str">
        <f aca="false">IF($B1142="","",COUNTIF($F1142:$AJ1142,"HA"))</f>
        <v/>
      </c>
      <c r="AN1142" s="34" t="str">
        <f aca="false">IF($B1142="","",COUNTIF($F1142:$AJ1142,"L"))</f>
        <v/>
      </c>
      <c r="AO1142" s="34" t="str">
        <f aca="false">IF($B1142="","",COUNTIF($F1142:$AJ1142,"PL"))</f>
        <v/>
      </c>
      <c r="AP1142" s="34" t="str">
        <f aca="false">IF($B1142="","",COUNTIF($F1142:$AJ1142,"CL"))</f>
        <v/>
      </c>
      <c r="AQ1142" s="34" t="str">
        <f aca="false">IF($B1142="","",COUNTIF($F1142:$AJ1142,"SL"))</f>
        <v/>
      </c>
      <c r="AR1142" s="34" t="str">
        <f aca="false">IF($B1142="","",COUNTIF($F1142:$AJ1142,"CO"))</f>
        <v/>
      </c>
      <c r="AS1142" s="34" t="str">
        <f aca="false">IF($B1142="","",COUNTIF($F1142:$AJ1142,"HPL"))</f>
        <v/>
      </c>
      <c r="AT1142" s="34" t="str">
        <f aca="false">IF($B1142="","",COUNTIF($F1142:$AJ1142,"HCL"))</f>
        <v/>
      </c>
      <c r="AU1142" s="34" t="str">
        <f aca="false">IF($B1142="","",COUNTIF($F1142:$AJ1142,"WO"))</f>
        <v/>
      </c>
      <c r="AV1142" s="34" t="str">
        <f aca="false">IF($B1142="","",COUNTIF($F1142:$AJ1142,"PH"))</f>
        <v/>
      </c>
      <c r="AW1142" s="34" t="str">
        <f aca="false">IF($B1142="","",COUNTIF($F1142:$AJ1142,"TR"))</f>
        <v/>
      </c>
      <c r="AX1142" s="35" t="str">
        <f aca="false">IF($B1142="","",AO1142+AS1142/2)</f>
        <v/>
      </c>
      <c r="AY1142" s="35" t="str">
        <f aca="false">IF($B1142="","",AQ1142)</f>
        <v/>
      </c>
      <c r="AZ1142" s="35" t="str">
        <f aca="false">IF($B1142="","",AP1142+AT1142/2)</f>
        <v/>
      </c>
      <c r="BA1142" s="35" t="str">
        <f aca="false">IF($B1142="","",AK1142+AN1142+AM1142/2+AO1142+AP1142+AQ1142+AR1142+AS1142+AT1142+AU1142+AV1142+AW1142)</f>
        <v/>
      </c>
      <c r="BB1142" s="35" t="str">
        <f aca="false">IF($B1142="","",MAX(0,AN1142-Settings!$C$16)*Settings!$C$17)</f>
        <v/>
      </c>
      <c r="BC1142" s="35" t="str">
        <f aca="false">IF($B1142="","",BA1142-BB1142)</f>
        <v/>
      </c>
      <c r="BD1142" s="35" t="str">
        <f aca="false">IF(OR($B1142="",$A1142=""),"",DAY(EOMONTH($A1142,0))-COUNTA($F1142:$AJ1142))</f>
        <v/>
      </c>
    </row>
    <row r="1143" customFormat="false" ht="15" hidden="false" customHeight="false" outlineLevel="0" collapsed="false">
      <c r="A1143" s="32"/>
      <c r="B1143" s="29"/>
      <c r="C1143" s="10" t="str">
        <f aca="false">IF($B1143="","",IFERROR(INDEX(M_name,MATCH($B1143,M_emp,0)),"Code not found"))</f>
        <v/>
      </c>
      <c r="D1143" s="10" t="str">
        <f aca="false">IF($B1143="","",IFERROR(INDEX(M_dept,MATCH($B1143,M_emp,0)),""))</f>
        <v/>
      </c>
      <c r="E1143" s="10" t="str">
        <f aca="false">IF($B1143="","",IFERROR(INDEX(M_loc,MATCH($B1143,M_emp,0)),""))</f>
        <v/>
      </c>
      <c r="F1143" s="33"/>
      <c r="G1143" s="33"/>
      <c r="H1143" s="33"/>
      <c r="I1143" s="33"/>
      <c r="J1143" s="33"/>
      <c r="K1143" s="33"/>
      <c r="L1143" s="33"/>
      <c r="M1143" s="33"/>
      <c r="N1143" s="33"/>
      <c r="O1143" s="33"/>
      <c r="P1143" s="33"/>
      <c r="Q1143" s="33"/>
      <c r="R1143" s="33"/>
      <c r="S1143" s="33"/>
      <c r="T1143" s="33"/>
      <c r="U1143" s="33"/>
      <c r="V1143" s="33"/>
      <c r="W1143" s="33"/>
      <c r="X1143" s="33"/>
      <c r="Y1143" s="33"/>
      <c r="Z1143" s="33"/>
      <c r="AA1143" s="33"/>
      <c r="AB1143" s="33"/>
      <c r="AC1143" s="33"/>
      <c r="AD1143" s="33"/>
      <c r="AE1143" s="33"/>
      <c r="AF1143" s="33"/>
      <c r="AG1143" s="33"/>
      <c r="AH1143" s="33"/>
      <c r="AI1143" s="33"/>
      <c r="AJ1143" s="33"/>
      <c r="AK1143" s="34" t="str">
        <f aca="false">IF($B1143="","",COUNTIF($F1143:$AJ1143,"P"))</f>
        <v/>
      </c>
      <c r="AL1143" s="34" t="str">
        <f aca="false">IF($B1143="","",COUNTIF($F1143:$AJ1143,"A"))</f>
        <v/>
      </c>
      <c r="AM1143" s="34" t="str">
        <f aca="false">IF($B1143="","",COUNTIF($F1143:$AJ1143,"HA"))</f>
        <v/>
      </c>
      <c r="AN1143" s="34" t="str">
        <f aca="false">IF($B1143="","",COUNTIF($F1143:$AJ1143,"L"))</f>
        <v/>
      </c>
      <c r="AO1143" s="34" t="str">
        <f aca="false">IF($B1143="","",COUNTIF($F1143:$AJ1143,"PL"))</f>
        <v/>
      </c>
      <c r="AP1143" s="34" t="str">
        <f aca="false">IF($B1143="","",COUNTIF($F1143:$AJ1143,"CL"))</f>
        <v/>
      </c>
      <c r="AQ1143" s="34" t="str">
        <f aca="false">IF($B1143="","",COUNTIF($F1143:$AJ1143,"SL"))</f>
        <v/>
      </c>
      <c r="AR1143" s="34" t="str">
        <f aca="false">IF($B1143="","",COUNTIF($F1143:$AJ1143,"CO"))</f>
        <v/>
      </c>
      <c r="AS1143" s="34" t="str">
        <f aca="false">IF($B1143="","",COUNTIF($F1143:$AJ1143,"HPL"))</f>
        <v/>
      </c>
      <c r="AT1143" s="34" t="str">
        <f aca="false">IF($B1143="","",COUNTIF($F1143:$AJ1143,"HCL"))</f>
        <v/>
      </c>
      <c r="AU1143" s="34" t="str">
        <f aca="false">IF($B1143="","",COUNTIF($F1143:$AJ1143,"WO"))</f>
        <v/>
      </c>
      <c r="AV1143" s="34" t="str">
        <f aca="false">IF($B1143="","",COUNTIF($F1143:$AJ1143,"PH"))</f>
        <v/>
      </c>
      <c r="AW1143" s="34" t="str">
        <f aca="false">IF($B1143="","",COUNTIF($F1143:$AJ1143,"TR"))</f>
        <v/>
      </c>
      <c r="AX1143" s="35" t="str">
        <f aca="false">IF($B1143="","",AO1143+AS1143/2)</f>
        <v/>
      </c>
      <c r="AY1143" s="35" t="str">
        <f aca="false">IF($B1143="","",AQ1143)</f>
        <v/>
      </c>
      <c r="AZ1143" s="35" t="str">
        <f aca="false">IF($B1143="","",AP1143+AT1143/2)</f>
        <v/>
      </c>
      <c r="BA1143" s="35" t="str">
        <f aca="false">IF($B1143="","",AK1143+AN1143+AM1143/2+AO1143+AP1143+AQ1143+AR1143+AS1143+AT1143+AU1143+AV1143+AW1143)</f>
        <v/>
      </c>
      <c r="BB1143" s="35" t="str">
        <f aca="false">IF($B1143="","",MAX(0,AN1143-Settings!$C$16)*Settings!$C$17)</f>
        <v/>
      </c>
      <c r="BC1143" s="35" t="str">
        <f aca="false">IF($B1143="","",BA1143-BB1143)</f>
        <v/>
      </c>
      <c r="BD1143" s="35" t="str">
        <f aca="false">IF(OR($B1143="",$A1143=""),"",DAY(EOMONTH($A1143,0))-COUNTA($F1143:$AJ1143))</f>
        <v/>
      </c>
    </row>
    <row r="1144" customFormat="false" ht="15" hidden="false" customHeight="false" outlineLevel="0" collapsed="false">
      <c r="A1144" s="32"/>
      <c r="B1144" s="29"/>
      <c r="C1144" s="10" t="str">
        <f aca="false">IF($B1144="","",IFERROR(INDEX(M_name,MATCH($B1144,M_emp,0)),"Code not found"))</f>
        <v/>
      </c>
      <c r="D1144" s="10" t="str">
        <f aca="false">IF($B1144="","",IFERROR(INDEX(M_dept,MATCH($B1144,M_emp,0)),""))</f>
        <v/>
      </c>
      <c r="E1144" s="10" t="str">
        <f aca="false">IF($B1144="","",IFERROR(INDEX(M_loc,MATCH($B1144,M_emp,0)),""))</f>
        <v/>
      </c>
      <c r="F1144" s="33"/>
      <c r="G1144" s="33"/>
      <c r="H1144" s="33"/>
      <c r="I1144" s="33"/>
      <c r="J1144" s="33"/>
      <c r="K1144" s="33"/>
      <c r="L1144" s="33"/>
      <c r="M1144" s="33"/>
      <c r="N1144" s="33"/>
      <c r="O1144" s="33"/>
      <c r="P1144" s="33"/>
      <c r="Q1144" s="33"/>
      <c r="R1144" s="33"/>
      <c r="S1144" s="33"/>
      <c r="T1144" s="33"/>
      <c r="U1144" s="33"/>
      <c r="V1144" s="33"/>
      <c r="W1144" s="33"/>
      <c r="X1144" s="33"/>
      <c r="Y1144" s="33"/>
      <c r="Z1144" s="33"/>
      <c r="AA1144" s="33"/>
      <c r="AB1144" s="33"/>
      <c r="AC1144" s="33"/>
      <c r="AD1144" s="33"/>
      <c r="AE1144" s="33"/>
      <c r="AF1144" s="33"/>
      <c r="AG1144" s="33"/>
      <c r="AH1144" s="33"/>
      <c r="AI1144" s="33"/>
      <c r="AJ1144" s="33"/>
      <c r="AK1144" s="34" t="str">
        <f aca="false">IF($B1144="","",COUNTIF($F1144:$AJ1144,"P"))</f>
        <v/>
      </c>
      <c r="AL1144" s="34" t="str">
        <f aca="false">IF($B1144="","",COUNTIF($F1144:$AJ1144,"A"))</f>
        <v/>
      </c>
      <c r="AM1144" s="34" t="str">
        <f aca="false">IF($B1144="","",COUNTIF($F1144:$AJ1144,"HA"))</f>
        <v/>
      </c>
      <c r="AN1144" s="34" t="str">
        <f aca="false">IF($B1144="","",COUNTIF($F1144:$AJ1144,"L"))</f>
        <v/>
      </c>
      <c r="AO1144" s="34" t="str">
        <f aca="false">IF($B1144="","",COUNTIF($F1144:$AJ1144,"PL"))</f>
        <v/>
      </c>
      <c r="AP1144" s="34" t="str">
        <f aca="false">IF($B1144="","",COUNTIF($F1144:$AJ1144,"CL"))</f>
        <v/>
      </c>
      <c r="AQ1144" s="34" t="str">
        <f aca="false">IF($B1144="","",COUNTIF($F1144:$AJ1144,"SL"))</f>
        <v/>
      </c>
      <c r="AR1144" s="34" t="str">
        <f aca="false">IF($B1144="","",COUNTIF($F1144:$AJ1144,"CO"))</f>
        <v/>
      </c>
      <c r="AS1144" s="34" t="str">
        <f aca="false">IF($B1144="","",COUNTIF($F1144:$AJ1144,"HPL"))</f>
        <v/>
      </c>
      <c r="AT1144" s="34" t="str">
        <f aca="false">IF($B1144="","",COUNTIF($F1144:$AJ1144,"HCL"))</f>
        <v/>
      </c>
      <c r="AU1144" s="34" t="str">
        <f aca="false">IF($B1144="","",COUNTIF($F1144:$AJ1144,"WO"))</f>
        <v/>
      </c>
      <c r="AV1144" s="34" t="str">
        <f aca="false">IF($B1144="","",COUNTIF($F1144:$AJ1144,"PH"))</f>
        <v/>
      </c>
      <c r="AW1144" s="34" t="str">
        <f aca="false">IF($B1144="","",COUNTIF($F1144:$AJ1144,"TR"))</f>
        <v/>
      </c>
      <c r="AX1144" s="35" t="str">
        <f aca="false">IF($B1144="","",AO1144+AS1144/2)</f>
        <v/>
      </c>
      <c r="AY1144" s="35" t="str">
        <f aca="false">IF($B1144="","",AQ1144)</f>
        <v/>
      </c>
      <c r="AZ1144" s="35" t="str">
        <f aca="false">IF($B1144="","",AP1144+AT1144/2)</f>
        <v/>
      </c>
      <c r="BA1144" s="35" t="str">
        <f aca="false">IF($B1144="","",AK1144+AN1144+AM1144/2+AO1144+AP1144+AQ1144+AR1144+AS1144+AT1144+AU1144+AV1144+AW1144)</f>
        <v/>
      </c>
      <c r="BB1144" s="35" t="str">
        <f aca="false">IF($B1144="","",MAX(0,AN1144-Settings!$C$16)*Settings!$C$17)</f>
        <v/>
      </c>
      <c r="BC1144" s="35" t="str">
        <f aca="false">IF($B1144="","",BA1144-BB1144)</f>
        <v/>
      </c>
      <c r="BD1144" s="35" t="str">
        <f aca="false">IF(OR($B1144="",$A1144=""),"",DAY(EOMONTH($A1144,0))-COUNTA($F1144:$AJ1144))</f>
        <v/>
      </c>
    </row>
    <row r="1145" customFormat="false" ht="15" hidden="false" customHeight="false" outlineLevel="0" collapsed="false">
      <c r="A1145" s="32"/>
      <c r="B1145" s="29"/>
      <c r="C1145" s="10" t="str">
        <f aca="false">IF($B1145="","",IFERROR(INDEX(M_name,MATCH($B1145,M_emp,0)),"Code not found"))</f>
        <v/>
      </c>
      <c r="D1145" s="10" t="str">
        <f aca="false">IF($B1145="","",IFERROR(INDEX(M_dept,MATCH($B1145,M_emp,0)),""))</f>
        <v/>
      </c>
      <c r="E1145" s="10" t="str">
        <f aca="false">IF($B1145="","",IFERROR(INDEX(M_loc,MATCH($B1145,M_emp,0)),""))</f>
        <v/>
      </c>
      <c r="F1145" s="33"/>
      <c r="G1145" s="33"/>
      <c r="H1145" s="33"/>
      <c r="I1145" s="33"/>
      <c r="J1145" s="33"/>
      <c r="K1145" s="33"/>
      <c r="L1145" s="33"/>
      <c r="M1145" s="33"/>
      <c r="N1145" s="33"/>
      <c r="O1145" s="33"/>
      <c r="P1145" s="33"/>
      <c r="Q1145" s="33"/>
      <c r="R1145" s="33"/>
      <c r="S1145" s="33"/>
      <c r="T1145" s="33"/>
      <c r="U1145" s="33"/>
      <c r="V1145" s="33"/>
      <c r="W1145" s="33"/>
      <c r="X1145" s="33"/>
      <c r="Y1145" s="33"/>
      <c r="Z1145" s="33"/>
      <c r="AA1145" s="33"/>
      <c r="AB1145" s="33"/>
      <c r="AC1145" s="33"/>
      <c r="AD1145" s="33"/>
      <c r="AE1145" s="33"/>
      <c r="AF1145" s="33"/>
      <c r="AG1145" s="33"/>
      <c r="AH1145" s="33"/>
      <c r="AI1145" s="33"/>
      <c r="AJ1145" s="33"/>
      <c r="AK1145" s="34" t="str">
        <f aca="false">IF($B1145="","",COUNTIF($F1145:$AJ1145,"P"))</f>
        <v/>
      </c>
      <c r="AL1145" s="34" t="str">
        <f aca="false">IF($B1145="","",COUNTIF($F1145:$AJ1145,"A"))</f>
        <v/>
      </c>
      <c r="AM1145" s="34" t="str">
        <f aca="false">IF($B1145="","",COUNTIF($F1145:$AJ1145,"HA"))</f>
        <v/>
      </c>
      <c r="AN1145" s="34" t="str">
        <f aca="false">IF($B1145="","",COUNTIF($F1145:$AJ1145,"L"))</f>
        <v/>
      </c>
      <c r="AO1145" s="34" t="str">
        <f aca="false">IF($B1145="","",COUNTIF($F1145:$AJ1145,"PL"))</f>
        <v/>
      </c>
      <c r="AP1145" s="34" t="str">
        <f aca="false">IF($B1145="","",COUNTIF($F1145:$AJ1145,"CL"))</f>
        <v/>
      </c>
      <c r="AQ1145" s="34" t="str">
        <f aca="false">IF($B1145="","",COUNTIF($F1145:$AJ1145,"SL"))</f>
        <v/>
      </c>
      <c r="AR1145" s="34" t="str">
        <f aca="false">IF($B1145="","",COUNTIF($F1145:$AJ1145,"CO"))</f>
        <v/>
      </c>
      <c r="AS1145" s="34" t="str">
        <f aca="false">IF($B1145="","",COUNTIF($F1145:$AJ1145,"HPL"))</f>
        <v/>
      </c>
      <c r="AT1145" s="34" t="str">
        <f aca="false">IF($B1145="","",COUNTIF($F1145:$AJ1145,"HCL"))</f>
        <v/>
      </c>
      <c r="AU1145" s="34" t="str">
        <f aca="false">IF($B1145="","",COUNTIF($F1145:$AJ1145,"WO"))</f>
        <v/>
      </c>
      <c r="AV1145" s="34" t="str">
        <f aca="false">IF($B1145="","",COUNTIF($F1145:$AJ1145,"PH"))</f>
        <v/>
      </c>
      <c r="AW1145" s="34" t="str">
        <f aca="false">IF($B1145="","",COUNTIF($F1145:$AJ1145,"TR"))</f>
        <v/>
      </c>
      <c r="AX1145" s="35" t="str">
        <f aca="false">IF($B1145="","",AO1145+AS1145/2)</f>
        <v/>
      </c>
      <c r="AY1145" s="35" t="str">
        <f aca="false">IF($B1145="","",AQ1145)</f>
        <v/>
      </c>
      <c r="AZ1145" s="35" t="str">
        <f aca="false">IF($B1145="","",AP1145+AT1145/2)</f>
        <v/>
      </c>
      <c r="BA1145" s="35" t="str">
        <f aca="false">IF($B1145="","",AK1145+AN1145+AM1145/2+AO1145+AP1145+AQ1145+AR1145+AS1145+AT1145+AU1145+AV1145+AW1145)</f>
        <v/>
      </c>
      <c r="BB1145" s="35" t="str">
        <f aca="false">IF($B1145="","",MAX(0,AN1145-Settings!$C$16)*Settings!$C$17)</f>
        <v/>
      </c>
      <c r="BC1145" s="35" t="str">
        <f aca="false">IF($B1145="","",BA1145-BB1145)</f>
        <v/>
      </c>
      <c r="BD1145" s="35" t="str">
        <f aca="false">IF(OR($B1145="",$A1145=""),"",DAY(EOMONTH($A1145,0))-COUNTA($F1145:$AJ1145))</f>
        <v/>
      </c>
    </row>
    <row r="1146" customFormat="false" ht="15" hidden="false" customHeight="false" outlineLevel="0" collapsed="false">
      <c r="A1146" s="32"/>
      <c r="B1146" s="29"/>
      <c r="C1146" s="10" t="str">
        <f aca="false">IF($B1146="","",IFERROR(INDEX(M_name,MATCH($B1146,M_emp,0)),"Code not found"))</f>
        <v/>
      </c>
      <c r="D1146" s="10" t="str">
        <f aca="false">IF($B1146="","",IFERROR(INDEX(M_dept,MATCH($B1146,M_emp,0)),""))</f>
        <v/>
      </c>
      <c r="E1146" s="10" t="str">
        <f aca="false">IF($B1146="","",IFERROR(INDEX(M_loc,MATCH($B1146,M_emp,0)),""))</f>
        <v/>
      </c>
      <c r="F1146" s="33"/>
      <c r="G1146" s="33"/>
      <c r="H1146" s="33"/>
      <c r="I1146" s="33"/>
      <c r="J1146" s="33"/>
      <c r="K1146" s="33"/>
      <c r="L1146" s="33"/>
      <c r="M1146" s="33"/>
      <c r="N1146" s="33"/>
      <c r="O1146" s="33"/>
      <c r="P1146" s="33"/>
      <c r="Q1146" s="33"/>
      <c r="R1146" s="33"/>
      <c r="S1146" s="33"/>
      <c r="T1146" s="33"/>
      <c r="U1146" s="33"/>
      <c r="V1146" s="33"/>
      <c r="W1146" s="33"/>
      <c r="X1146" s="33"/>
      <c r="Y1146" s="33"/>
      <c r="Z1146" s="33"/>
      <c r="AA1146" s="33"/>
      <c r="AB1146" s="33"/>
      <c r="AC1146" s="33"/>
      <c r="AD1146" s="33"/>
      <c r="AE1146" s="33"/>
      <c r="AF1146" s="33"/>
      <c r="AG1146" s="33"/>
      <c r="AH1146" s="33"/>
      <c r="AI1146" s="33"/>
      <c r="AJ1146" s="33"/>
      <c r="AK1146" s="34" t="str">
        <f aca="false">IF($B1146="","",COUNTIF($F1146:$AJ1146,"P"))</f>
        <v/>
      </c>
      <c r="AL1146" s="34" t="str">
        <f aca="false">IF($B1146="","",COUNTIF($F1146:$AJ1146,"A"))</f>
        <v/>
      </c>
      <c r="AM1146" s="34" t="str">
        <f aca="false">IF($B1146="","",COUNTIF($F1146:$AJ1146,"HA"))</f>
        <v/>
      </c>
      <c r="AN1146" s="34" t="str">
        <f aca="false">IF($B1146="","",COUNTIF($F1146:$AJ1146,"L"))</f>
        <v/>
      </c>
      <c r="AO1146" s="34" t="str">
        <f aca="false">IF($B1146="","",COUNTIF($F1146:$AJ1146,"PL"))</f>
        <v/>
      </c>
      <c r="AP1146" s="34" t="str">
        <f aca="false">IF($B1146="","",COUNTIF($F1146:$AJ1146,"CL"))</f>
        <v/>
      </c>
      <c r="AQ1146" s="34" t="str">
        <f aca="false">IF($B1146="","",COUNTIF($F1146:$AJ1146,"SL"))</f>
        <v/>
      </c>
      <c r="AR1146" s="34" t="str">
        <f aca="false">IF($B1146="","",COUNTIF($F1146:$AJ1146,"CO"))</f>
        <v/>
      </c>
      <c r="AS1146" s="34" t="str">
        <f aca="false">IF($B1146="","",COUNTIF($F1146:$AJ1146,"HPL"))</f>
        <v/>
      </c>
      <c r="AT1146" s="34" t="str">
        <f aca="false">IF($B1146="","",COUNTIF($F1146:$AJ1146,"HCL"))</f>
        <v/>
      </c>
      <c r="AU1146" s="34" t="str">
        <f aca="false">IF($B1146="","",COUNTIF($F1146:$AJ1146,"WO"))</f>
        <v/>
      </c>
      <c r="AV1146" s="34" t="str">
        <f aca="false">IF($B1146="","",COUNTIF($F1146:$AJ1146,"PH"))</f>
        <v/>
      </c>
      <c r="AW1146" s="34" t="str">
        <f aca="false">IF($B1146="","",COUNTIF($F1146:$AJ1146,"TR"))</f>
        <v/>
      </c>
      <c r="AX1146" s="35" t="str">
        <f aca="false">IF($B1146="","",AO1146+AS1146/2)</f>
        <v/>
      </c>
      <c r="AY1146" s="35" t="str">
        <f aca="false">IF($B1146="","",AQ1146)</f>
        <v/>
      </c>
      <c r="AZ1146" s="35" t="str">
        <f aca="false">IF($B1146="","",AP1146+AT1146/2)</f>
        <v/>
      </c>
      <c r="BA1146" s="35" t="str">
        <f aca="false">IF($B1146="","",AK1146+AN1146+AM1146/2+AO1146+AP1146+AQ1146+AR1146+AS1146+AT1146+AU1146+AV1146+AW1146)</f>
        <v/>
      </c>
      <c r="BB1146" s="35" t="str">
        <f aca="false">IF($B1146="","",MAX(0,AN1146-Settings!$C$16)*Settings!$C$17)</f>
        <v/>
      </c>
      <c r="BC1146" s="35" t="str">
        <f aca="false">IF($B1146="","",BA1146-BB1146)</f>
        <v/>
      </c>
      <c r="BD1146" s="35" t="str">
        <f aca="false">IF(OR($B1146="",$A1146=""),"",DAY(EOMONTH($A1146,0))-COUNTA($F1146:$AJ1146))</f>
        <v/>
      </c>
    </row>
    <row r="1147" customFormat="false" ht="15" hidden="false" customHeight="false" outlineLevel="0" collapsed="false">
      <c r="A1147" s="32"/>
      <c r="B1147" s="29"/>
      <c r="C1147" s="10" t="str">
        <f aca="false">IF($B1147="","",IFERROR(INDEX(M_name,MATCH($B1147,M_emp,0)),"Code not found"))</f>
        <v/>
      </c>
      <c r="D1147" s="10" t="str">
        <f aca="false">IF($B1147="","",IFERROR(INDEX(M_dept,MATCH($B1147,M_emp,0)),""))</f>
        <v/>
      </c>
      <c r="E1147" s="10" t="str">
        <f aca="false">IF($B1147="","",IFERROR(INDEX(M_loc,MATCH($B1147,M_emp,0)),""))</f>
        <v/>
      </c>
      <c r="F1147" s="33"/>
      <c r="G1147" s="33"/>
      <c r="H1147" s="33"/>
      <c r="I1147" s="33"/>
      <c r="J1147" s="33"/>
      <c r="K1147" s="33"/>
      <c r="L1147" s="33"/>
      <c r="M1147" s="33"/>
      <c r="N1147" s="33"/>
      <c r="O1147" s="33"/>
      <c r="P1147" s="33"/>
      <c r="Q1147" s="33"/>
      <c r="R1147" s="33"/>
      <c r="S1147" s="33"/>
      <c r="T1147" s="33"/>
      <c r="U1147" s="33"/>
      <c r="V1147" s="33"/>
      <c r="W1147" s="33"/>
      <c r="X1147" s="33"/>
      <c r="Y1147" s="33"/>
      <c r="Z1147" s="33"/>
      <c r="AA1147" s="33"/>
      <c r="AB1147" s="33"/>
      <c r="AC1147" s="33"/>
      <c r="AD1147" s="33"/>
      <c r="AE1147" s="33"/>
      <c r="AF1147" s="33"/>
      <c r="AG1147" s="33"/>
      <c r="AH1147" s="33"/>
      <c r="AI1147" s="33"/>
      <c r="AJ1147" s="33"/>
      <c r="AK1147" s="34" t="str">
        <f aca="false">IF($B1147="","",COUNTIF($F1147:$AJ1147,"P"))</f>
        <v/>
      </c>
      <c r="AL1147" s="34" t="str">
        <f aca="false">IF($B1147="","",COUNTIF($F1147:$AJ1147,"A"))</f>
        <v/>
      </c>
      <c r="AM1147" s="34" t="str">
        <f aca="false">IF($B1147="","",COUNTIF($F1147:$AJ1147,"HA"))</f>
        <v/>
      </c>
      <c r="AN1147" s="34" t="str">
        <f aca="false">IF($B1147="","",COUNTIF($F1147:$AJ1147,"L"))</f>
        <v/>
      </c>
      <c r="AO1147" s="34" t="str">
        <f aca="false">IF($B1147="","",COUNTIF($F1147:$AJ1147,"PL"))</f>
        <v/>
      </c>
      <c r="AP1147" s="34" t="str">
        <f aca="false">IF($B1147="","",COUNTIF($F1147:$AJ1147,"CL"))</f>
        <v/>
      </c>
      <c r="AQ1147" s="34" t="str">
        <f aca="false">IF($B1147="","",COUNTIF($F1147:$AJ1147,"SL"))</f>
        <v/>
      </c>
      <c r="AR1147" s="34" t="str">
        <f aca="false">IF($B1147="","",COUNTIF($F1147:$AJ1147,"CO"))</f>
        <v/>
      </c>
      <c r="AS1147" s="34" t="str">
        <f aca="false">IF($B1147="","",COUNTIF($F1147:$AJ1147,"HPL"))</f>
        <v/>
      </c>
      <c r="AT1147" s="34" t="str">
        <f aca="false">IF($B1147="","",COUNTIF($F1147:$AJ1147,"HCL"))</f>
        <v/>
      </c>
      <c r="AU1147" s="34" t="str">
        <f aca="false">IF($B1147="","",COUNTIF($F1147:$AJ1147,"WO"))</f>
        <v/>
      </c>
      <c r="AV1147" s="34" t="str">
        <f aca="false">IF($B1147="","",COUNTIF($F1147:$AJ1147,"PH"))</f>
        <v/>
      </c>
      <c r="AW1147" s="34" t="str">
        <f aca="false">IF($B1147="","",COUNTIF($F1147:$AJ1147,"TR"))</f>
        <v/>
      </c>
      <c r="AX1147" s="35" t="str">
        <f aca="false">IF($B1147="","",AO1147+AS1147/2)</f>
        <v/>
      </c>
      <c r="AY1147" s="35" t="str">
        <f aca="false">IF($B1147="","",AQ1147)</f>
        <v/>
      </c>
      <c r="AZ1147" s="35" t="str">
        <f aca="false">IF($B1147="","",AP1147+AT1147/2)</f>
        <v/>
      </c>
      <c r="BA1147" s="35" t="str">
        <f aca="false">IF($B1147="","",AK1147+AN1147+AM1147/2+AO1147+AP1147+AQ1147+AR1147+AS1147+AT1147+AU1147+AV1147+AW1147)</f>
        <v/>
      </c>
      <c r="BB1147" s="35" t="str">
        <f aca="false">IF($B1147="","",MAX(0,AN1147-Settings!$C$16)*Settings!$C$17)</f>
        <v/>
      </c>
      <c r="BC1147" s="35" t="str">
        <f aca="false">IF($B1147="","",BA1147-BB1147)</f>
        <v/>
      </c>
      <c r="BD1147" s="35" t="str">
        <f aca="false">IF(OR($B1147="",$A1147=""),"",DAY(EOMONTH($A1147,0))-COUNTA($F1147:$AJ1147))</f>
        <v/>
      </c>
    </row>
    <row r="1148" customFormat="false" ht="15" hidden="false" customHeight="false" outlineLevel="0" collapsed="false">
      <c r="A1148" s="32"/>
      <c r="B1148" s="29"/>
      <c r="C1148" s="10" t="str">
        <f aca="false">IF($B1148="","",IFERROR(INDEX(M_name,MATCH($B1148,M_emp,0)),"Code not found"))</f>
        <v/>
      </c>
      <c r="D1148" s="10" t="str">
        <f aca="false">IF($B1148="","",IFERROR(INDEX(M_dept,MATCH($B1148,M_emp,0)),""))</f>
        <v/>
      </c>
      <c r="E1148" s="10" t="str">
        <f aca="false">IF($B1148="","",IFERROR(INDEX(M_loc,MATCH($B1148,M_emp,0)),""))</f>
        <v/>
      </c>
      <c r="F1148" s="33"/>
      <c r="G1148" s="33"/>
      <c r="H1148" s="33"/>
      <c r="I1148" s="33"/>
      <c r="J1148" s="33"/>
      <c r="K1148" s="33"/>
      <c r="L1148" s="33"/>
      <c r="M1148" s="33"/>
      <c r="N1148" s="33"/>
      <c r="O1148" s="33"/>
      <c r="P1148" s="33"/>
      <c r="Q1148" s="33"/>
      <c r="R1148" s="33"/>
      <c r="S1148" s="33"/>
      <c r="T1148" s="33"/>
      <c r="U1148" s="33"/>
      <c r="V1148" s="33"/>
      <c r="W1148" s="33"/>
      <c r="X1148" s="33"/>
      <c r="Y1148" s="33"/>
      <c r="Z1148" s="33"/>
      <c r="AA1148" s="33"/>
      <c r="AB1148" s="33"/>
      <c r="AC1148" s="33"/>
      <c r="AD1148" s="33"/>
      <c r="AE1148" s="33"/>
      <c r="AF1148" s="33"/>
      <c r="AG1148" s="33"/>
      <c r="AH1148" s="33"/>
      <c r="AI1148" s="33"/>
      <c r="AJ1148" s="33"/>
      <c r="AK1148" s="34" t="str">
        <f aca="false">IF($B1148="","",COUNTIF($F1148:$AJ1148,"P"))</f>
        <v/>
      </c>
      <c r="AL1148" s="34" t="str">
        <f aca="false">IF($B1148="","",COUNTIF($F1148:$AJ1148,"A"))</f>
        <v/>
      </c>
      <c r="AM1148" s="34" t="str">
        <f aca="false">IF($B1148="","",COUNTIF($F1148:$AJ1148,"HA"))</f>
        <v/>
      </c>
      <c r="AN1148" s="34" t="str">
        <f aca="false">IF($B1148="","",COUNTIF($F1148:$AJ1148,"L"))</f>
        <v/>
      </c>
      <c r="AO1148" s="34" t="str">
        <f aca="false">IF($B1148="","",COUNTIF($F1148:$AJ1148,"PL"))</f>
        <v/>
      </c>
      <c r="AP1148" s="34" t="str">
        <f aca="false">IF($B1148="","",COUNTIF($F1148:$AJ1148,"CL"))</f>
        <v/>
      </c>
      <c r="AQ1148" s="34" t="str">
        <f aca="false">IF($B1148="","",COUNTIF($F1148:$AJ1148,"SL"))</f>
        <v/>
      </c>
      <c r="AR1148" s="34" t="str">
        <f aca="false">IF($B1148="","",COUNTIF($F1148:$AJ1148,"CO"))</f>
        <v/>
      </c>
      <c r="AS1148" s="34" t="str">
        <f aca="false">IF($B1148="","",COUNTIF($F1148:$AJ1148,"HPL"))</f>
        <v/>
      </c>
      <c r="AT1148" s="34" t="str">
        <f aca="false">IF($B1148="","",COUNTIF($F1148:$AJ1148,"HCL"))</f>
        <v/>
      </c>
      <c r="AU1148" s="34" t="str">
        <f aca="false">IF($B1148="","",COUNTIF($F1148:$AJ1148,"WO"))</f>
        <v/>
      </c>
      <c r="AV1148" s="34" t="str">
        <f aca="false">IF($B1148="","",COUNTIF($F1148:$AJ1148,"PH"))</f>
        <v/>
      </c>
      <c r="AW1148" s="34" t="str">
        <f aca="false">IF($B1148="","",COUNTIF($F1148:$AJ1148,"TR"))</f>
        <v/>
      </c>
      <c r="AX1148" s="35" t="str">
        <f aca="false">IF($B1148="","",AO1148+AS1148/2)</f>
        <v/>
      </c>
      <c r="AY1148" s="35" t="str">
        <f aca="false">IF($B1148="","",AQ1148)</f>
        <v/>
      </c>
      <c r="AZ1148" s="35" t="str">
        <f aca="false">IF($B1148="","",AP1148+AT1148/2)</f>
        <v/>
      </c>
      <c r="BA1148" s="35" t="str">
        <f aca="false">IF($B1148="","",AK1148+AN1148+AM1148/2+AO1148+AP1148+AQ1148+AR1148+AS1148+AT1148+AU1148+AV1148+AW1148)</f>
        <v/>
      </c>
      <c r="BB1148" s="35" t="str">
        <f aca="false">IF($B1148="","",MAX(0,AN1148-Settings!$C$16)*Settings!$C$17)</f>
        <v/>
      </c>
      <c r="BC1148" s="35" t="str">
        <f aca="false">IF($B1148="","",BA1148-BB1148)</f>
        <v/>
      </c>
      <c r="BD1148" s="35" t="str">
        <f aca="false">IF(OR($B1148="",$A1148=""),"",DAY(EOMONTH($A1148,0))-COUNTA($F1148:$AJ1148))</f>
        <v/>
      </c>
    </row>
    <row r="1149" customFormat="false" ht="15" hidden="false" customHeight="false" outlineLevel="0" collapsed="false">
      <c r="A1149" s="32"/>
      <c r="B1149" s="29"/>
      <c r="C1149" s="10" t="str">
        <f aca="false">IF($B1149="","",IFERROR(INDEX(M_name,MATCH($B1149,M_emp,0)),"Code not found"))</f>
        <v/>
      </c>
      <c r="D1149" s="10" t="str">
        <f aca="false">IF($B1149="","",IFERROR(INDEX(M_dept,MATCH($B1149,M_emp,0)),""))</f>
        <v/>
      </c>
      <c r="E1149" s="10" t="str">
        <f aca="false">IF($B1149="","",IFERROR(INDEX(M_loc,MATCH($B1149,M_emp,0)),""))</f>
        <v/>
      </c>
      <c r="F1149" s="33"/>
      <c r="G1149" s="33"/>
      <c r="H1149" s="33"/>
      <c r="I1149" s="33"/>
      <c r="J1149" s="33"/>
      <c r="K1149" s="33"/>
      <c r="L1149" s="33"/>
      <c r="M1149" s="33"/>
      <c r="N1149" s="33"/>
      <c r="O1149" s="33"/>
      <c r="P1149" s="33"/>
      <c r="Q1149" s="33"/>
      <c r="R1149" s="33"/>
      <c r="S1149" s="33"/>
      <c r="T1149" s="33"/>
      <c r="U1149" s="33"/>
      <c r="V1149" s="33"/>
      <c r="W1149" s="33"/>
      <c r="X1149" s="33"/>
      <c r="Y1149" s="33"/>
      <c r="Z1149" s="33"/>
      <c r="AA1149" s="33"/>
      <c r="AB1149" s="33"/>
      <c r="AC1149" s="33"/>
      <c r="AD1149" s="33"/>
      <c r="AE1149" s="33"/>
      <c r="AF1149" s="33"/>
      <c r="AG1149" s="33"/>
      <c r="AH1149" s="33"/>
      <c r="AI1149" s="33"/>
      <c r="AJ1149" s="33"/>
      <c r="AK1149" s="34" t="str">
        <f aca="false">IF($B1149="","",COUNTIF($F1149:$AJ1149,"P"))</f>
        <v/>
      </c>
      <c r="AL1149" s="34" t="str">
        <f aca="false">IF($B1149="","",COUNTIF($F1149:$AJ1149,"A"))</f>
        <v/>
      </c>
      <c r="AM1149" s="34" t="str">
        <f aca="false">IF($B1149="","",COUNTIF($F1149:$AJ1149,"HA"))</f>
        <v/>
      </c>
      <c r="AN1149" s="34" t="str">
        <f aca="false">IF($B1149="","",COUNTIF($F1149:$AJ1149,"L"))</f>
        <v/>
      </c>
      <c r="AO1149" s="34" t="str">
        <f aca="false">IF($B1149="","",COUNTIF($F1149:$AJ1149,"PL"))</f>
        <v/>
      </c>
      <c r="AP1149" s="34" t="str">
        <f aca="false">IF($B1149="","",COUNTIF($F1149:$AJ1149,"CL"))</f>
        <v/>
      </c>
      <c r="AQ1149" s="34" t="str">
        <f aca="false">IF($B1149="","",COUNTIF($F1149:$AJ1149,"SL"))</f>
        <v/>
      </c>
      <c r="AR1149" s="34" t="str">
        <f aca="false">IF($B1149="","",COUNTIF($F1149:$AJ1149,"CO"))</f>
        <v/>
      </c>
      <c r="AS1149" s="34" t="str">
        <f aca="false">IF($B1149="","",COUNTIF($F1149:$AJ1149,"HPL"))</f>
        <v/>
      </c>
      <c r="AT1149" s="34" t="str">
        <f aca="false">IF($B1149="","",COUNTIF($F1149:$AJ1149,"HCL"))</f>
        <v/>
      </c>
      <c r="AU1149" s="34" t="str">
        <f aca="false">IF($B1149="","",COUNTIF($F1149:$AJ1149,"WO"))</f>
        <v/>
      </c>
      <c r="AV1149" s="34" t="str">
        <f aca="false">IF($B1149="","",COUNTIF($F1149:$AJ1149,"PH"))</f>
        <v/>
      </c>
      <c r="AW1149" s="34" t="str">
        <f aca="false">IF($B1149="","",COUNTIF($F1149:$AJ1149,"TR"))</f>
        <v/>
      </c>
      <c r="AX1149" s="35" t="str">
        <f aca="false">IF($B1149="","",AO1149+AS1149/2)</f>
        <v/>
      </c>
      <c r="AY1149" s="35" t="str">
        <f aca="false">IF($B1149="","",AQ1149)</f>
        <v/>
      </c>
      <c r="AZ1149" s="35" t="str">
        <f aca="false">IF($B1149="","",AP1149+AT1149/2)</f>
        <v/>
      </c>
      <c r="BA1149" s="35" t="str">
        <f aca="false">IF($B1149="","",AK1149+AN1149+AM1149/2+AO1149+AP1149+AQ1149+AR1149+AS1149+AT1149+AU1149+AV1149+AW1149)</f>
        <v/>
      </c>
      <c r="BB1149" s="35" t="str">
        <f aca="false">IF($B1149="","",MAX(0,AN1149-Settings!$C$16)*Settings!$C$17)</f>
        <v/>
      </c>
      <c r="BC1149" s="35" t="str">
        <f aca="false">IF($B1149="","",BA1149-BB1149)</f>
        <v/>
      </c>
      <c r="BD1149" s="35" t="str">
        <f aca="false">IF(OR($B1149="",$A1149=""),"",DAY(EOMONTH($A1149,0))-COUNTA($F1149:$AJ1149))</f>
        <v/>
      </c>
    </row>
    <row r="1150" customFormat="false" ht="15" hidden="false" customHeight="false" outlineLevel="0" collapsed="false">
      <c r="A1150" s="32"/>
      <c r="B1150" s="29"/>
      <c r="C1150" s="10" t="str">
        <f aca="false">IF($B1150="","",IFERROR(INDEX(M_name,MATCH($B1150,M_emp,0)),"Code not found"))</f>
        <v/>
      </c>
      <c r="D1150" s="10" t="str">
        <f aca="false">IF($B1150="","",IFERROR(INDEX(M_dept,MATCH($B1150,M_emp,0)),""))</f>
        <v/>
      </c>
      <c r="E1150" s="10" t="str">
        <f aca="false">IF($B1150="","",IFERROR(INDEX(M_loc,MATCH($B1150,M_emp,0)),""))</f>
        <v/>
      </c>
      <c r="F1150" s="33"/>
      <c r="G1150" s="33"/>
      <c r="H1150" s="33"/>
      <c r="I1150" s="33"/>
      <c r="J1150" s="33"/>
      <c r="K1150" s="33"/>
      <c r="L1150" s="33"/>
      <c r="M1150" s="33"/>
      <c r="N1150" s="33"/>
      <c r="O1150" s="33"/>
      <c r="P1150" s="33"/>
      <c r="Q1150" s="33"/>
      <c r="R1150" s="33"/>
      <c r="S1150" s="33"/>
      <c r="T1150" s="33"/>
      <c r="U1150" s="33"/>
      <c r="V1150" s="33"/>
      <c r="W1150" s="33"/>
      <c r="X1150" s="33"/>
      <c r="Y1150" s="33"/>
      <c r="Z1150" s="33"/>
      <c r="AA1150" s="33"/>
      <c r="AB1150" s="33"/>
      <c r="AC1150" s="33"/>
      <c r="AD1150" s="33"/>
      <c r="AE1150" s="33"/>
      <c r="AF1150" s="33"/>
      <c r="AG1150" s="33"/>
      <c r="AH1150" s="33"/>
      <c r="AI1150" s="33"/>
      <c r="AJ1150" s="33"/>
      <c r="AK1150" s="34" t="str">
        <f aca="false">IF($B1150="","",COUNTIF($F1150:$AJ1150,"P"))</f>
        <v/>
      </c>
      <c r="AL1150" s="34" t="str">
        <f aca="false">IF($B1150="","",COUNTIF($F1150:$AJ1150,"A"))</f>
        <v/>
      </c>
      <c r="AM1150" s="34" t="str">
        <f aca="false">IF($B1150="","",COUNTIF($F1150:$AJ1150,"HA"))</f>
        <v/>
      </c>
      <c r="AN1150" s="34" t="str">
        <f aca="false">IF($B1150="","",COUNTIF($F1150:$AJ1150,"L"))</f>
        <v/>
      </c>
      <c r="AO1150" s="34" t="str">
        <f aca="false">IF($B1150="","",COUNTIF($F1150:$AJ1150,"PL"))</f>
        <v/>
      </c>
      <c r="AP1150" s="34" t="str">
        <f aca="false">IF($B1150="","",COUNTIF($F1150:$AJ1150,"CL"))</f>
        <v/>
      </c>
      <c r="AQ1150" s="34" t="str">
        <f aca="false">IF($B1150="","",COUNTIF($F1150:$AJ1150,"SL"))</f>
        <v/>
      </c>
      <c r="AR1150" s="34" t="str">
        <f aca="false">IF($B1150="","",COUNTIF($F1150:$AJ1150,"CO"))</f>
        <v/>
      </c>
      <c r="AS1150" s="34" t="str">
        <f aca="false">IF($B1150="","",COUNTIF($F1150:$AJ1150,"HPL"))</f>
        <v/>
      </c>
      <c r="AT1150" s="34" t="str">
        <f aca="false">IF($B1150="","",COUNTIF($F1150:$AJ1150,"HCL"))</f>
        <v/>
      </c>
      <c r="AU1150" s="34" t="str">
        <f aca="false">IF($B1150="","",COUNTIF($F1150:$AJ1150,"WO"))</f>
        <v/>
      </c>
      <c r="AV1150" s="34" t="str">
        <f aca="false">IF($B1150="","",COUNTIF($F1150:$AJ1150,"PH"))</f>
        <v/>
      </c>
      <c r="AW1150" s="34" t="str">
        <f aca="false">IF($B1150="","",COUNTIF($F1150:$AJ1150,"TR"))</f>
        <v/>
      </c>
      <c r="AX1150" s="35" t="str">
        <f aca="false">IF($B1150="","",AO1150+AS1150/2)</f>
        <v/>
      </c>
      <c r="AY1150" s="35" t="str">
        <f aca="false">IF($B1150="","",AQ1150)</f>
        <v/>
      </c>
      <c r="AZ1150" s="35" t="str">
        <f aca="false">IF($B1150="","",AP1150+AT1150/2)</f>
        <v/>
      </c>
      <c r="BA1150" s="35" t="str">
        <f aca="false">IF($B1150="","",AK1150+AN1150+AM1150/2+AO1150+AP1150+AQ1150+AR1150+AS1150+AT1150+AU1150+AV1150+AW1150)</f>
        <v/>
      </c>
      <c r="BB1150" s="35" t="str">
        <f aca="false">IF($B1150="","",MAX(0,AN1150-Settings!$C$16)*Settings!$C$17)</f>
        <v/>
      </c>
      <c r="BC1150" s="35" t="str">
        <f aca="false">IF($B1150="","",BA1150-BB1150)</f>
        <v/>
      </c>
      <c r="BD1150" s="35" t="str">
        <f aca="false">IF(OR($B1150="",$A1150=""),"",DAY(EOMONTH($A1150,0))-COUNTA($F1150:$AJ1150))</f>
        <v/>
      </c>
    </row>
    <row r="1151" customFormat="false" ht="15" hidden="false" customHeight="false" outlineLevel="0" collapsed="false">
      <c r="A1151" s="32"/>
      <c r="B1151" s="29"/>
      <c r="C1151" s="10" t="str">
        <f aca="false">IF($B1151="","",IFERROR(INDEX(M_name,MATCH($B1151,M_emp,0)),"Code not found"))</f>
        <v/>
      </c>
      <c r="D1151" s="10" t="str">
        <f aca="false">IF($B1151="","",IFERROR(INDEX(M_dept,MATCH($B1151,M_emp,0)),""))</f>
        <v/>
      </c>
      <c r="E1151" s="10" t="str">
        <f aca="false">IF($B1151="","",IFERROR(INDEX(M_loc,MATCH($B1151,M_emp,0)),""))</f>
        <v/>
      </c>
      <c r="F1151" s="33"/>
      <c r="G1151" s="33"/>
      <c r="H1151" s="33"/>
      <c r="I1151" s="33"/>
      <c r="J1151" s="33"/>
      <c r="K1151" s="33"/>
      <c r="L1151" s="33"/>
      <c r="M1151" s="33"/>
      <c r="N1151" s="33"/>
      <c r="O1151" s="33"/>
      <c r="P1151" s="33"/>
      <c r="Q1151" s="33"/>
      <c r="R1151" s="33"/>
      <c r="S1151" s="33"/>
      <c r="T1151" s="33"/>
      <c r="U1151" s="33"/>
      <c r="V1151" s="33"/>
      <c r="W1151" s="33"/>
      <c r="X1151" s="33"/>
      <c r="Y1151" s="33"/>
      <c r="Z1151" s="33"/>
      <c r="AA1151" s="33"/>
      <c r="AB1151" s="33"/>
      <c r="AC1151" s="33"/>
      <c r="AD1151" s="33"/>
      <c r="AE1151" s="33"/>
      <c r="AF1151" s="33"/>
      <c r="AG1151" s="33"/>
      <c r="AH1151" s="33"/>
      <c r="AI1151" s="33"/>
      <c r="AJ1151" s="33"/>
      <c r="AK1151" s="34" t="str">
        <f aca="false">IF($B1151="","",COUNTIF($F1151:$AJ1151,"P"))</f>
        <v/>
      </c>
      <c r="AL1151" s="34" t="str">
        <f aca="false">IF($B1151="","",COUNTIF($F1151:$AJ1151,"A"))</f>
        <v/>
      </c>
      <c r="AM1151" s="34" t="str">
        <f aca="false">IF($B1151="","",COUNTIF($F1151:$AJ1151,"HA"))</f>
        <v/>
      </c>
      <c r="AN1151" s="34" t="str">
        <f aca="false">IF($B1151="","",COUNTIF($F1151:$AJ1151,"L"))</f>
        <v/>
      </c>
      <c r="AO1151" s="34" t="str">
        <f aca="false">IF($B1151="","",COUNTIF($F1151:$AJ1151,"PL"))</f>
        <v/>
      </c>
      <c r="AP1151" s="34" t="str">
        <f aca="false">IF($B1151="","",COUNTIF($F1151:$AJ1151,"CL"))</f>
        <v/>
      </c>
      <c r="AQ1151" s="34" t="str">
        <f aca="false">IF($B1151="","",COUNTIF($F1151:$AJ1151,"SL"))</f>
        <v/>
      </c>
      <c r="AR1151" s="34" t="str">
        <f aca="false">IF($B1151="","",COUNTIF($F1151:$AJ1151,"CO"))</f>
        <v/>
      </c>
      <c r="AS1151" s="34" t="str">
        <f aca="false">IF($B1151="","",COUNTIF($F1151:$AJ1151,"HPL"))</f>
        <v/>
      </c>
      <c r="AT1151" s="34" t="str">
        <f aca="false">IF($B1151="","",COUNTIF($F1151:$AJ1151,"HCL"))</f>
        <v/>
      </c>
      <c r="AU1151" s="34" t="str">
        <f aca="false">IF($B1151="","",COUNTIF($F1151:$AJ1151,"WO"))</f>
        <v/>
      </c>
      <c r="AV1151" s="34" t="str">
        <f aca="false">IF($B1151="","",COUNTIF($F1151:$AJ1151,"PH"))</f>
        <v/>
      </c>
      <c r="AW1151" s="34" t="str">
        <f aca="false">IF($B1151="","",COUNTIF($F1151:$AJ1151,"TR"))</f>
        <v/>
      </c>
      <c r="AX1151" s="35" t="str">
        <f aca="false">IF($B1151="","",AO1151+AS1151/2)</f>
        <v/>
      </c>
      <c r="AY1151" s="35" t="str">
        <f aca="false">IF($B1151="","",AQ1151)</f>
        <v/>
      </c>
      <c r="AZ1151" s="35" t="str">
        <f aca="false">IF($B1151="","",AP1151+AT1151/2)</f>
        <v/>
      </c>
      <c r="BA1151" s="35" t="str">
        <f aca="false">IF($B1151="","",AK1151+AN1151+AM1151/2+AO1151+AP1151+AQ1151+AR1151+AS1151+AT1151+AU1151+AV1151+AW1151)</f>
        <v/>
      </c>
      <c r="BB1151" s="35" t="str">
        <f aca="false">IF($B1151="","",MAX(0,AN1151-Settings!$C$16)*Settings!$C$17)</f>
        <v/>
      </c>
      <c r="BC1151" s="35" t="str">
        <f aca="false">IF($B1151="","",BA1151-BB1151)</f>
        <v/>
      </c>
      <c r="BD1151" s="35" t="str">
        <f aca="false">IF(OR($B1151="",$A1151=""),"",DAY(EOMONTH($A1151,0))-COUNTA($F1151:$AJ1151))</f>
        <v/>
      </c>
    </row>
    <row r="1152" customFormat="false" ht="15" hidden="false" customHeight="false" outlineLevel="0" collapsed="false">
      <c r="A1152" s="32"/>
      <c r="B1152" s="29"/>
      <c r="C1152" s="10" t="str">
        <f aca="false">IF($B1152="","",IFERROR(INDEX(M_name,MATCH($B1152,M_emp,0)),"Code not found"))</f>
        <v/>
      </c>
      <c r="D1152" s="10" t="str">
        <f aca="false">IF($B1152="","",IFERROR(INDEX(M_dept,MATCH($B1152,M_emp,0)),""))</f>
        <v/>
      </c>
      <c r="E1152" s="10" t="str">
        <f aca="false">IF($B1152="","",IFERROR(INDEX(M_loc,MATCH($B1152,M_emp,0)),""))</f>
        <v/>
      </c>
      <c r="F1152" s="33"/>
      <c r="G1152" s="33"/>
      <c r="H1152" s="33"/>
      <c r="I1152" s="33"/>
      <c r="J1152" s="33"/>
      <c r="K1152" s="33"/>
      <c r="L1152" s="33"/>
      <c r="M1152" s="33"/>
      <c r="N1152" s="33"/>
      <c r="O1152" s="33"/>
      <c r="P1152" s="33"/>
      <c r="Q1152" s="33"/>
      <c r="R1152" s="33"/>
      <c r="S1152" s="33"/>
      <c r="T1152" s="33"/>
      <c r="U1152" s="33"/>
      <c r="V1152" s="33"/>
      <c r="W1152" s="33"/>
      <c r="X1152" s="33"/>
      <c r="Y1152" s="33"/>
      <c r="Z1152" s="33"/>
      <c r="AA1152" s="33"/>
      <c r="AB1152" s="33"/>
      <c r="AC1152" s="33"/>
      <c r="AD1152" s="33"/>
      <c r="AE1152" s="33"/>
      <c r="AF1152" s="33"/>
      <c r="AG1152" s="33"/>
      <c r="AH1152" s="33"/>
      <c r="AI1152" s="33"/>
      <c r="AJ1152" s="33"/>
      <c r="AK1152" s="34" t="str">
        <f aca="false">IF($B1152="","",COUNTIF($F1152:$AJ1152,"P"))</f>
        <v/>
      </c>
      <c r="AL1152" s="34" t="str">
        <f aca="false">IF($B1152="","",COUNTIF($F1152:$AJ1152,"A"))</f>
        <v/>
      </c>
      <c r="AM1152" s="34" t="str">
        <f aca="false">IF($B1152="","",COUNTIF($F1152:$AJ1152,"HA"))</f>
        <v/>
      </c>
      <c r="AN1152" s="34" t="str">
        <f aca="false">IF($B1152="","",COUNTIF($F1152:$AJ1152,"L"))</f>
        <v/>
      </c>
      <c r="AO1152" s="34" t="str">
        <f aca="false">IF($B1152="","",COUNTIF($F1152:$AJ1152,"PL"))</f>
        <v/>
      </c>
      <c r="AP1152" s="34" t="str">
        <f aca="false">IF($B1152="","",COUNTIF($F1152:$AJ1152,"CL"))</f>
        <v/>
      </c>
      <c r="AQ1152" s="34" t="str">
        <f aca="false">IF($B1152="","",COUNTIF($F1152:$AJ1152,"SL"))</f>
        <v/>
      </c>
      <c r="AR1152" s="34" t="str">
        <f aca="false">IF($B1152="","",COUNTIF($F1152:$AJ1152,"CO"))</f>
        <v/>
      </c>
      <c r="AS1152" s="34" t="str">
        <f aca="false">IF($B1152="","",COUNTIF($F1152:$AJ1152,"HPL"))</f>
        <v/>
      </c>
      <c r="AT1152" s="34" t="str">
        <f aca="false">IF($B1152="","",COUNTIF($F1152:$AJ1152,"HCL"))</f>
        <v/>
      </c>
      <c r="AU1152" s="34" t="str">
        <f aca="false">IF($B1152="","",COUNTIF($F1152:$AJ1152,"WO"))</f>
        <v/>
      </c>
      <c r="AV1152" s="34" t="str">
        <f aca="false">IF($B1152="","",COUNTIF($F1152:$AJ1152,"PH"))</f>
        <v/>
      </c>
      <c r="AW1152" s="34" t="str">
        <f aca="false">IF($B1152="","",COUNTIF($F1152:$AJ1152,"TR"))</f>
        <v/>
      </c>
      <c r="AX1152" s="35" t="str">
        <f aca="false">IF($B1152="","",AO1152+AS1152/2)</f>
        <v/>
      </c>
      <c r="AY1152" s="35" t="str">
        <f aca="false">IF($B1152="","",AQ1152)</f>
        <v/>
      </c>
      <c r="AZ1152" s="35" t="str">
        <f aca="false">IF($B1152="","",AP1152+AT1152/2)</f>
        <v/>
      </c>
      <c r="BA1152" s="35" t="str">
        <f aca="false">IF($B1152="","",AK1152+AN1152+AM1152/2+AO1152+AP1152+AQ1152+AR1152+AS1152+AT1152+AU1152+AV1152+AW1152)</f>
        <v/>
      </c>
      <c r="BB1152" s="35" t="str">
        <f aca="false">IF($B1152="","",MAX(0,AN1152-Settings!$C$16)*Settings!$C$17)</f>
        <v/>
      </c>
      <c r="BC1152" s="35" t="str">
        <f aca="false">IF($B1152="","",BA1152-BB1152)</f>
        <v/>
      </c>
      <c r="BD1152" s="35" t="str">
        <f aca="false">IF(OR($B1152="",$A1152=""),"",DAY(EOMONTH($A1152,0))-COUNTA($F1152:$AJ1152))</f>
        <v/>
      </c>
    </row>
    <row r="1153" customFormat="false" ht="15" hidden="false" customHeight="false" outlineLevel="0" collapsed="false">
      <c r="A1153" s="32"/>
      <c r="B1153" s="29"/>
      <c r="C1153" s="10" t="str">
        <f aca="false">IF($B1153="","",IFERROR(INDEX(M_name,MATCH($B1153,M_emp,0)),"Code not found"))</f>
        <v/>
      </c>
      <c r="D1153" s="10" t="str">
        <f aca="false">IF($B1153="","",IFERROR(INDEX(M_dept,MATCH($B1153,M_emp,0)),""))</f>
        <v/>
      </c>
      <c r="E1153" s="10" t="str">
        <f aca="false">IF($B1153="","",IFERROR(INDEX(M_loc,MATCH($B1153,M_emp,0)),""))</f>
        <v/>
      </c>
      <c r="F1153" s="33"/>
      <c r="G1153" s="33"/>
      <c r="H1153" s="33"/>
      <c r="I1153" s="33"/>
      <c r="J1153" s="33"/>
      <c r="K1153" s="33"/>
      <c r="L1153" s="33"/>
      <c r="M1153" s="33"/>
      <c r="N1153" s="33"/>
      <c r="O1153" s="33"/>
      <c r="P1153" s="33"/>
      <c r="Q1153" s="33"/>
      <c r="R1153" s="33"/>
      <c r="S1153" s="33"/>
      <c r="T1153" s="33"/>
      <c r="U1153" s="33"/>
      <c r="V1153" s="33"/>
      <c r="W1153" s="33"/>
      <c r="X1153" s="33"/>
      <c r="Y1153" s="33"/>
      <c r="Z1153" s="33"/>
      <c r="AA1153" s="33"/>
      <c r="AB1153" s="33"/>
      <c r="AC1153" s="33"/>
      <c r="AD1153" s="33"/>
      <c r="AE1153" s="33"/>
      <c r="AF1153" s="33"/>
      <c r="AG1153" s="33"/>
      <c r="AH1153" s="33"/>
      <c r="AI1153" s="33"/>
      <c r="AJ1153" s="33"/>
      <c r="AK1153" s="34" t="str">
        <f aca="false">IF($B1153="","",COUNTIF($F1153:$AJ1153,"P"))</f>
        <v/>
      </c>
      <c r="AL1153" s="34" t="str">
        <f aca="false">IF($B1153="","",COUNTIF($F1153:$AJ1153,"A"))</f>
        <v/>
      </c>
      <c r="AM1153" s="34" t="str">
        <f aca="false">IF($B1153="","",COUNTIF($F1153:$AJ1153,"HA"))</f>
        <v/>
      </c>
      <c r="AN1153" s="34" t="str">
        <f aca="false">IF($B1153="","",COUNTIF($F1153:$AJ1153,"L"))</f>
        <v/>
      </c>
      <c r="AO1153" s="34" t="str">
        <f aca="false">IF($B1153="","",COUNTIF($F1153:$AJ1153,"PL"))</f>
        <v/>
      </c>
      <c r="AP1153" s="34" t="str">
        <f aca="false">IF($B1153="","",COUNTIF($F1153:$AJ1153,"CL"))</f>
        <v/>
      </c>
      <c r="AQ1153" s="34" t="str">
        <f aca="false">IF($B1153="","",COUNTIF($F1153:$AJ1153,"SL"))</f>
        <v/>
      </c>
      <c r="AR1153" s="34" t="str">
        <f aca="false">IF($B1153="","",COUNTIF($F1153:$AJ1153,"CO"))</f>
        <v/>
      </c>
      <c r="AS1153" s="34" t="str">
        <f aca="false">IF($B1153="","",COUNTIF($F1153:$AJ1153,"HPL"))</f>
        <v/>
      </c>
      <c r="AT1153" s="34" t="str">
        <f aca="false">IF($B1153="","",COUNTIF($F1153:$AJ1153,"HCL"))</f>
        <v/>
      </c>
      <c r="AU1153" s="34" t="str">
        <f aca="false">IF($B1153="","",COUNTIF($F1153:$AJ1153,"WO"))</f>
        <v/>
      </c>
      <c r="AV1153" s="34" t="str">
        <f aca="false">IF($B1153="","",COUNTIF($F1153:$AJ1153,"PH"))</f>
        <v/>
      </c>
      <c r="AW1153" s="34" t="str">
        <f aca="false">IF($B1153="","",COUNTIF($F1153:$AJ1153,"TR"))</f>
        <v/>
      </c>
      <c r="AX1153" s="35" t="str">
        <f aca="false">IF($B1153="","",AO1153+AS1153/2)</f>
        <v/>
      </c>
      <c r="AY1153" s="35" t="str">
        <f aca="false">IF($B1153="","",AQ1153)</f>
        <v/>
      </c>
      <c r="AZ1153" s="35" t="str">
        <f aca="false">IF($B1153="","",AP1153+AT1153/2)</f>
        <v/>
      </c>
      <c r="BA1153" s="35" t="str">
        <f aca="false">IF($B1153="","",AK1153+AN1153+AM1153/2+AO1153+AP1153+AQ1153+AR1153+AS1153+AT1153+AU1153+AV1153+AW1153)</f>
        <v/>
      </c>
      <c r="BB1153" s="35" t="str">
        <f aca="false">IF($B1153="","",MAX(0,AN1153-Settings!$C$16)*Settings!$C$17)</f>
        <v/>
      </c>
      <c r="BC1153" s="35" t="str">
        <f aca="false">IF($B1153="","",BA1153-BB1153)</f>
        <v/>
      </c>
      <c r="BD1153" s="35" t="str">
        <f aca="false">IF(OR($B1153="",$A1153=""),"",DAY(EOMONTH($A1153,0))-COUNTA($F1153:$AJ1153))</f>
        <v/>
      </c>
    </row>
    <row r="1154" customFormat="false" ht="15" hidden="false" customHeight="false" outlineLevel="0" collapsed="false">
      <c r="A1154" s="32"/>
      <c r="B1154" s="29"/>
      <c r="C1154" s="10" t="str">
        <f aca="false">IF($B1154="","",IFERROR(INDEX(M_name,MATCH($B1154,M_emp,0)),"Code not found"))</f>
        <v/>
      </c>
      <c r="D1154" s="10" t="str">
        <f aca="false">IF($B1154="","",IFERROR(INDEX(M_dept,MATCH($B1154,M_emp,0)),""))</f>
        <v/>
      </c>
      <c r="E1154" s="10" t="str">
        <f aca="false">IF($B1154="","",IFERROR(INDEX(M_loc,MATCH($B1154,M_emp,0)),""))</f>
        <v/>
      </c>
      <c r="F1154" s="33"/>
      <c r="G1154" s="33"/>
      <c r="H1154" s="33"/>
      <c r="I1154" s="33"/>
      <c r="J1154" s="33"/>
      <c r="K1154" s="33"/>
      <c r="L1154" s="33"/>
      <c r="M1154" s="33"/>
      <c r="N1154" s="33"/>
      <c r="O1154" s="33"/>
      <c r="P1154" s="33"/>
      <c r="Q1154" s="33"/>
      <c r="R1154" s="33"/>
      <c r="S1154" s="33"/>
      <c r="T1154" s="33"/>
      <c r="U1154" s="33"/>
      <c r="V1154" s="33"/>
      <c r="W1154" s="33"/>
      <c r="X1154" s="33"/>
      <c r="Y1154" s="33"/>
      <c r="Z1154" s="33"/>
      <c r="AA1154" s="33"/>
      <c r="AB1154" s="33"/>
      <c r="AC1154" s="33"/>
      <c r="AD1154" s="33"/>
      <c r="AE1154" s="33"/>
      <c r="AF1154" s="33"/>
      <c r="AG1154" s="33"/>
      <c r="AH1154" s="33"/>
      <c r="AI1154" s="33"/>
      <c r="AJ1154" s="33"/>
      <c r="AK1154" s="34" t="str">
        <f aca="false">IF($B1154="","",COUNTIF($F1154:$AJ1154,"P"))</f>
        <v/>
      </c>
      <c r="AL1154" s="34" t="str">
        <f aca="false">IF($B1154="","",COUNTIF($F1154:$AJ1154,"A"))</f>
        <v/>
      </c>
      <c r="AM1154" s="34" t="str">
        <f aca="false">IF($B1154="","",COUNTIF($F1154:$AJ1154,"HA"))</f>
        <v/>
      </c>
      <c r="AN1154" s="34" t="str">
        <f aca="false">IF($B1154="","",COUNTIF($F1154:$AJ1154,"L"))</f>
        <v/>
      </c>
      <c r="AO1154" s="34" t="str">
        <f aca="false">IF($B1154="","",COUNTIF($F1154:$AJ1154,"PL"))</f>
        <v/>
      </c>
      <c r="AP1154" s="34" t="str">
        <f aca="false">IF($B1154="","",COUNTIF($F1154:$AJ1154,"CL"))</f>
        <v/>
      </c>
      <c r="AQ1154" s="34" t="str">
        <f aca="false">IF($B1154="","",COUNTIF($F1154:$AJ1154,"SL"))</f>
        <v/>
      </c>
      <c r="AR1154" s="34" t="str">
        <f aca="false">IF($B1154="","",COUNTIF($F1154:$AJ1154,"CO"))</f>
        <v/>
      </c>
      <c r="AS1154" s="34" t="str">
        <f aca="false">IF($B1154="","",COUNTIF($F1154:$AJ1154,"HPL"))</f>
        <v/>
      </c>
      <c r="AT1154" s="34" t="str">
        <f aca="false">IF($B1154="","",COUNTIF($F1154:$AJ1154,"HCL"))</f>
        <v/>
      </c>
      <c r="AU1154" s="34" t="str">
        <f aca="false">IF($B1154="","",COUNTIF($F1154:$AJ1154,"WO"))</f>
        <v/>
      </c>
      <c r="AV1154" s="34" t="str">
        <f aca="false">IF($B1154="","",COUNTIF($F1154:$AJ1154,"PH"))</f>
        <v/>
      </c>
      <c r="AW1154" s="34" t="str">
        <f aca="false">IF($B1154="","",COUNTIF($F1154:$AJ1154,"TR"))</f>
        <v/>
      </c>
      <c r="AX1154" s="35" t="str">
        <f aca="false">IF($B1154="","",AO1154+AS1154/2)</f>
        <v/>
      </c>
      <c r="AY1154" s="35" t="str">
        <f aca="false">IF($B1154="","",AQ1154)</f>
        <v/>
      </c>
      <c r="AZ1154" s="35" t="str">
        <f aca="false">IF($B1154="","",AP1154+AT1154/2)</f>
        <v/>
      </c>
      <c r="BA1154" s="35" t="str">
        <f aca="false">IF($B1154="","",AK1154+AN1154+AM1154/2+AO1154+AP1154+AQ1154+AR1154+AS1154+AT1154+AU1154+AV1154+AW1154)</f>
        <v/>
      </c>
      <c r="BB1154" s="35" t="str">
        <f aca="false">IF($B1154="","",MAX(0,AN1154-Settings!$C$16)*Settings!$C$17)</f>
        <v/>
      </c>
      <c r="BC1154" s="35" t="str">
        <f aca="false">IF($B1154="","",BA1154-BB1154)</f>
        <v/>
      </c>
      <c r="BD1154" s="35" t="str">
        <f aca="false">IF(OR($B1154="",$A1154=""),"",DAY(EOMONTH($A1154,0))-COUNTA($F1154:$AJ1154))</f>
        <v/>
      </c>
    </row>
    <row r="1155" customFormat="false" ht="15" hidden="false" customHeight="false" outlineLevel="0" collapsed="false">
      <c r="A1155" s="32"/>
      <c r="B1155" s="29"/>
      <c r="C1155" s="10" t="str">
        <f aca="false">IF($B1155="","",IFERROR(INDEX(M_name,MATCH($B1155,M_emp,0)),"Code not found"))</f>
        <v/>
      </c>
      <c r="D1155" s="10" t="str">
        <f aca="false">IF($B1155="","",IFERROR(INDEX(M_dept,MATCH($B1155,M_emp,0)),""))</f>
        <v/>
      </c>
      <c r="E1155" s="10" t="str">
        <f aca="false">IF($B1155="","",IFERROR(INDEX(M_loc,MATCH($B1155,M_emp,0)),""))</f>
        <v/>
      </c>
      <c r="F1155" s="33"/>
      <c r="G1155" s="33"/>
      <c r="H1155" s="33"/>
      <c r="I1155" s="33"/>
      <c r="J1155" s="33"/>
      <c r="K1155" s="33"/>
      <c r="L1155" s="33"/>
      <c r="M1155" s="33"/>
      <c r="N1155" s="33"/>
      <c r="O1155" s="33"/>
      <c r="P1155" s="33"/>
      <c r="Q1155" s="33"/>
      <c r="R1155" s="33"/>
      <c r="S1155" s="33"/>
      <c r="T1155" s="33"/>
      <c r="U1155" s="33"/>
      <c r="V1155" s="33"/>
      <c r="W1155" s="33"/>
      <c r="X1155" s="33"/>
      <c r="Y1155" s="33"/>
      <c r="Z1155" s="33"/>
      <c r="AA1155" s="33"/>
      <c r="AB1155" s="33"/>
      <c r="AC1155" s="33"/>
      <c r="AD1155" s="33"/>
      <c r="AE1155" s="33"/>
      <c r="AF1155" s="33"/>
      <c r="AG1155" s="33"/>
      <c r="AH1155" s="33"/>
      <c r="AI1155" s="33"/>
      <c r="AJ1155" s="33"/>
      <c r="AK1155" s="34" t="str">
        <f aca="false">IF($B1155="","",COUNTIF($F1155:$AJ1155,"P"))</f>
        <v/>
      </c>
      <c r="AL1155" s="34" t="str">
        <f aca="false">IF($B1155="","",COUNTIF($F1155:$AJ1155,"A"))</f>
        <v/>
      </c>
      <c r="AM1155" s="34" t="str">
        <f aca="false">IF($B1155="","",COUNTIF($F1155:$AJ1155,"HA"))</f>
        <v/>
      </c>
      <c r="AN1155" s="34" t="str">
        <f aca="false">IF($B1155="","",COUNTIF($F1155:$AJ1155,"L"))</f>
        <v/>
      </c>
      <c r="AO1155" s="34" t="str">
        <f aca="false">IF($B1155="","",COUNTIF($F1155:$AJ1155,"PL"))</f>
        <v/>
      </c>
      <c r="AP1155" s="34" t="str">
        <f aca="false">IF($B1155="","",COUNTIF($F1155:$AJ1155,"CL"))</f>
        <v/>
      </c>
      <c r="AQ1155" s="34" t="str">
        <f aca="false">IF($B1155="","",COUNTIF($F1155:$AJ1155,"SL"))</f>
        <v/>
      </c>
      <c r="AR1155" s="34" t="str">
        <f aca="false">IF($B1155="","",COUNTIF($F1155:$AJ1155,"CO"))</f>
        <v/>
      </c>
      <c r="AS1155" s="34" t="str">
        <f aca="false">IF($B1155="","",COUNTIF($F1155:$AJ1155,"HPL"))</f>
        <v/>
      </c>
      <c r="AT1155" s="34" t="str">
        <f aca="false">IF($B1155="","",COUNTIF($F1155:$AJ1155,"HCL"))</f>
        <v/>
      </c>
      <c r="AU1155" s="34" t="str">
        <f aca="false">IF($B1155="","",COUNTIF($F1155:$AJ1155,"WO"))</f>
        <v/>
      </c>
      <c r="AV1155" s="34" t="str">
        <f aca="false">IF($B1155="","",COUNTIF($F1155:$AJ1155,"PH"))</f>
        <v/>
      </c>
      <c r="AW1155" s="34" t="str">
        <f aca="false">IF($B1155="","",COUNTIF($F1155:$AJ1155,"TR"))</f>
        <v/>
      </c>
      <c r="AX1155" s="35" t="str">
        <f aca="false">IF($B1155="","",AO1155+AS1155/2)</f>
        <v/>
      </c>
      <c r="AY1155" s="35" t="str">
        <f aca="false">IF($B1155="","",AQ1155)</f>
        <v/>
      </c>
      <c r="AZ1155" s="35" t="str">
        <f aca="false">IF($B1155="","",AP1155+AT1155/2)</f>
        <v/>
      </c>
      <c r="BA1155" s="35" t="str">
        <f aca="false">IF($B1155="","",AK1155+AN1155+AM1155/2+AO1155+AP1155+AQ1155+AR1155+AS1155+AT1155+AU1155+AV1155+AW1155)</f>
        <v/>
      </c>
      <c r="BB1155" s="35" t="str">
        <f aca="false">IF($B1155="","",MAX(0,AN1155-Settings!$C$16)*Settings!$C$17)</f>
        <v/>
      </c>
      <c r="BC1155" s="35" t="str">
        <f aca="false">IF($B1155="","",BA1155-BB1155)</f>
        <v/>
      </c>
      <c r="BD1155" s="35" t="str">
        <f aca="false">IF(OR($B1155="",$A1155=""),"",DAY(EOMONTH($A1155,0))-COUNTA($F1155:$AJ1155))</f>
        <v/>
      </c>
    </row>
    <row r="1156" customFormat="false" ht="15" hidden="false" customHeight="false" outlineLevel="0" collapsed="false">
      <c r="A1156" s="32"/>
      <c r="B1156" s="29"/>
      <c r="C1156" s="10" t="str">
        <f aca="false">IF($B1156="","",IFERROR(INDEX(M_name,MATCH($B1156,M_emp,0)),"Code not found"))</f>
        <v/>
      </c>
      <c r="D1156" s="10" t="str">
        <f aca="false">IF($B1156="","",IFERROR(INDEX(M_dept,MATCH($B1156,M_emp,0)),""))</f>
        <v/>
      </c>
      <c r="E1156" s="10" t="str">
        <f aca="false">IF($B1156="","",IFERROR(INDEX(M_loc,MATCH($B1156,M_emp,0)),""))</f>
        <v/>
      </c>
      <c r="F1156" s="33"/>
      <c r="G1156" s="33"/>
      <c r="H1156" s="33"/>
      <c r="I1156" s="33"/>
      <c r="J1156" s="33"/>
      <c r="K1156" s="33"/>
      <c r="L1156" s="33"/>
      <c r="M1156" s="33"/>
      <c r="N1156" s="33"/>
      <c r="O1156" s="33"/>
      <c r="P1156" s="33"/>
      <c r="Q1156" s="33"/>
      <c r="R1156" s="33"/>
      <c r="S1156" s="33"/>
      <c r="T1156" s="33"/>
      <c r="U1156" s="33"/>
      <c r="V1156" s="33"/>
      <c r="W1156" s="33"/>
      <c r="X1156" s="33"/>
      <c r="Y1156" s="33"/>
      <c r="Z1156" s="33"/>
      <c r="AA1156" s="33"/>
      <c r="AB1156" s="33"/>
      <c r="AC1156" s="33"/>
      <c r="AD1156" s="33"/>
      <c r="AE1156" s="33"/>
      <c r="AF1156" s="33"/>
      <c r="AG1156" s="33"/>
      <c r="AH1156" s="33"/>
      <c r="AI1156" s="33"/>
      <c r="AJ1156" s="33"/>
      <c r="AK1156" s="34" t="str">
        <f aca="false">IF($B1156="","",COUNTIF($F1156:$AJ1156,"P"))</f>
        <v/>
      </c>
      <c r="AL1156" s="34" t="str">
        <f aca="false">IF($B1156="","",COUNTIF($F1156:$AJ1156,"A"))</f>
        <v/>
      </c>
      <c r="AM1156" s="34" t="str">
        <f aca="false">IF($B1156="","",COUNTIF($F1156:$AJ1156,"HA"))</f>
        <v/>
      </c>
      <c r="AN1156" s="34" t="str">
        <f aca="false">IF($B1156="","",COUNTIF($F1156:$AJ1156,"L"))</f>
        <v/>
      </c>
      <c r="AO1156" s="34" t="str">
        <f aca="false">IF($B1156="","",COUNTIF($F1156:$AJ1156,"PL"))</f>
        <v/>
      </c>
      <c r="AP1156" s="34" t="str">
        <f aca="false">IF($B1156="","",COUNTIF($F1156:$AJ1156,"CL"))</f>
        <v/>
      </c>
      <c r="AQ1156" s="34" t="str">
        <f aca="false">IF($B1156="","",COUNTIF($F1156:$AJ1156,"SL"))</f>
        <v/>
      </c>
      <c r="AR1156" s="34" t="str">
        <f aca="false">IF($B1156="","",COUNTIF($F1156:$AJ1156,"CO"))</f>
        <v/>
      </c>
      <c r="AS1156" s="34" t="str">
        <f aca="false">IF($B1156="","",COUNTIF($F1156:$AJ1156,"HPL"))</f>
        <v/>
      </c>
      <c r="AT1156" s="34" t="str">
        <f aca="false">IF($B1156="","",COUNTIF($F1156:$AJ1156,"HCL"))</f>
        <v/>
      </c>
      <c r="AU1156" s="34" t="str">
        <f aca="false">IF($B1156="","",COUNTIF($F1156:$AJ1156,"WO"))</f>
        <v/>
      </c>
      <c r="AV1156" s="34" t="str">
        <f aca="false">IF($B1156="","",COUNTIF($F1156:$AJ1156,"PH"))</f>
        <v/>
      </c>
      <c r="AW1156" s="34" t="str">
        <f aca="false">IF($B1156="","",COUNTIF($F1156:$AJ1156,"TR"))</f>
        <v/>
      </c>
      <c r="AX1156" s="35" t="str">
        <f aca="false">IF($B1156="","",AO1156+AS1156/2)</f>
        <v/>
      </c>
      <c r="AY1156" s="35" t="str">
        <f aca="false">IF($B1156="","",AQ1156)</f>
        <v/>
      </c>
      <c r="AZ1156" s="35" t="str">
        <f aca="false">IF($B1156="","",AP1156+AT1156/2)</f>
        <v/>
      </c>
      <c r="BA1156" s="35" t="str">
        <f aca="false">IF($B1156="","",AK1156+AN1156+AM1156/2+AO1156+AP1156+AQ1156+AR1156+AS1156+AT1156+AU1156+AV1156+AW1156)</f>
        <v/>
      </c>
      <c r="BB1156" s="35" t="str">
        <f aca="false">IF($B1156="","",MAX(0,AN1156-Settings!$C$16)*Settings!$C$17)</f>
        <v/>
      </c>
      <c r="BC1156" s="35" t="str">
        <f aca="false">IF($B1156="","",BA1156-BB1156)</f>
        <v/>
      </c>
      <c r="BD1156" s="35" t="str">
        <f aca="false">IF(OR($B1156="",$A1156=""),"",DAY(EOMONTH($A1156,0))-COUNTA($F1156:$AJ1156))</f>
        <v/>
      </c>
    </row>
    <row r="1157" customFormat="false" ht="15" hidden="false" customHeight="false" outlineLevel="0" collapsed="false">
      <c r="A1157" s="32"/>
      <c r="B1157" s="29"/>
      <c r="C1157" s="10" t="str">
        <f aca="false">IF($B1157="","",IFERROR(INDEX(M_name,MATCH($B1157,M_emp,0)),"Code not found"))</f>
        <v/>
      </c>
      <c r="D1157" s="10" t="str">
        <f aca="false">IF($B1157="","",IFERROR(INDEX(M_dept,MATCH($B1157,M_emp,0)),""))</f>
        <v/>
      </c>
      <c r="E1157" s="10" t="str">
        <f aca="false">IF($B1157="","",IFERROR(INDEX(M_loc,MATCH($B1157,M_emp,0)),""))</f>
        <v/>
      </c>
      <c r="F1157" s="33"/>
      <c r="G1157" s="33"/>
      <c r="H1157" s="33"/>
      <c r="I1157" s="33"/>
      <c r="J1157" s="33"/>
      <c r="K1157" s="33"/>
      <c r="L1157" s="33"/>
      <c r="M1157" s="33"/>
      <c r="N1157" s="33"/>
      <c r="O1157" s="33"/>
      <c r="P1157" s="33"/>
      <c r="Q1157" s="33"/>
      <c r="R1157" s="33"/>
      <c r="S1157" s="33"/>
      <c r="T1157" s="33"/>
      <c r="U1157" s="33"/>
      <c r="V1157" s="33"/>
      <c r="W1157" s="33"/>
      <c r="X1157" s="33"/>
      <c r="Y1157" s="33"/>
      <c r="Z1157" s="33"/>
      <c r="AA1157" s="33"/>
      <c r="AB1157" s="33"/>
      <c r="AC1157" s="33"/>
      <c r="AD1157" s="33"/>
      <c r="AE1157" s="33"/>
      <c r="AF1157" s="33"/>
      <c r="AG1157" s="33"/>
      <c r="AH1157" s="33"/>
      <c r="AI1157" s="33"/>
      <c r="AJ1157" s="33"/>
      <c r="AK1157" s="34" t="str">
        <f aca="false">IF($B1157="","",COUNTIF($F1157:$AJ1157,"P"))</f>
        <v/>
      </c>
      <c r="AL1157" s="34" t="str">
        <f aca="false">IF($B1157="","",COUNTIF($F1157:$AJ1157,"A"))</f>
        <v/>
      </c>
      <c r="AM1157" s="34" t="str">
        <f aca="false">IF($B1157="","",COUNTIF($F1157:$AJ1157,"HA"))</f>
        <v/>
      </c>
      <c r="AN1157" s="34" t="str">
        <f aca="false">IF($B1157="","",COUNTIF($F1157:$AJ1157,"L"))</f>
        <v/>
      </c>
      <c r="AO1157" s="34" t="str">
        <f aca="false">IF($B1157="","",COUNTIF($F1157:$AJ1157,"PL"))</f>
        <v/>
      </c>
      <c r="AP1157" s="34" t="str">
        <f aca="false">IF($B1157="","",COUNTIF($F1157:$AJ1157,"CL"))</f>
        <v/>
      </c>
      <c r="AQ1157" s="34" t="str">
        <f aca="false">IF($B1157="","",COUNTIF($F1157:$AJ1157,"SL"))</f>
        <v/>
      </c>
      <c r="AR1157" s="34" t="str">
        <f aca="false">IF($B1157="","",COUNTIF($F1157:$AJ1157,"CO"))</f>
        <v/>
      </c>
      <c r="AS1157" s="34" t="str">
        <f aca="false">IF($B1157="","",COUNTIF($F1157:$AJ1157,"HPL"))</f>
        <v/>
      </c>
      <c r="AT1157" s="34" t="str">
        <f aca="false">IF($B1157="","",COUNTIF($F1157:$AJ1157,"HCL"))</f>
        <v/>
      </c>
      <c r="AU1157" s="34" t="str">
        <f aca="false">IF($B1157="","",COUNTIF($F1157:$AJ1157,"WO"))</f>
        <v/>
      </c>
      <c r="AV1157" s="34" t="str">
        <f aca="false">IF($B1157="","",COUNTIF($F1157:$AJ1157,"PH"))</f>
        <v/>
      </c>
      <c r="AW1157" s="34" t="str">
        <f aca="false">IF($B1157="","",COUNTIF($F1157:$AJ1157,"TR"))</f>
        <v/>
      </c>
      <c r="AX1157" s="35" t="str">
        <f aca="false">IF($B1157="","",AO1157+AS1157/2)</f>
        <v/>
      </c>
      <c r="AY1157" s="35" t="str">
        <f aca="false">IF($B1157="","",AQ1157)</f>
        <v/>
      </c>
      <c r="AZ1157" s="35" t="str">
        <f aca="false">IF($B1157="","",AP1157+AT1157/2)</f>
        <v/>
      </c>
      <c r="BA1157" s="35" t="str">
        <f aca="false">IF($B1157="","",AK1157+AN1157+AM1157/2+AO1157+AP1157+AQ1157+AR1157+AS1157+AT1157+AU1157+AV1157+AW1157)</f>
        <v/>
      </c>
      <c r="BB1157" s="35" t="str">
        <f aca="false">IF($B1157="","",MAX(0,AN1157-Settings!$C$16)*Settings!$C$17)</f>
        <v/>
      </c>
      <c r="BC1157" s="35" t="str">
        <f aca="false">IF($B1157="","",BA1157-BB1157)</f>
        <v/>
      </c>
      <c r="BD1157" s="35" t="str">
        <f aca="false">IF(OR($B1157="",$A1157=""),"",DAY(EOMONTH($A1157,0))-COUNTA($F1157:$AJ1157))</f>
        <v/>
      </c>
    </row>
    <row r="1158" customFormat="false" ht="15" hidden="false" customHeight="false" outlineLevel="0" collapsed="false">
      <c r="A1158" s="32"/>
      <c r="B1158" s="29"/>
      <c r="C1158" s="10" t="str">
        <f aca="false">IF($B1158="","",IFERROR(INDEX(M_name,MATCH($B1158,M_emp,0)),"Code not found"))</f>
        <v/>
      </c>
      <c r="D1158" s="10" t="str">
        <f aca="false">IF($B1158="","",IFERROR(INDEX(M_dept,MATCH($B1158,M_emp,0)),""))</f>
        <v/>
      </c>
      <c r="E1158" s="10" t="str">
        <f aca="false">IF($B1158="","",IFERROR(INDEX(M_loc,MATCH($B1158,M_emp,0)),""))</f>
        <v/>
      </c>
      <c r="F1158" s="33"/>
      <c r="G1158" s="33"/>
      <c r="H1158" s="33"/>
      <c r="I1158" s="33"/>
      <c r="J1158" s="33"/>
      <c r="K1158" s="33"/>
      <c r="L1158" s="33"/>
      <c r="M1158" s="33"/>
      <c r="N1158" s="33"/>
      <c r="O1158" s="33"/>
      <c r="P1158" s="33"/>
      <c r="Q1158" s="33"/>
      <c r="R1158" s="33"/>
      <c r="S1158" s="33"/>
      <c r="T1158" s="33"/>
      <c r="U1158" s="33"/>
      <c r="V1158" s="33"/>
      <c r="W1158" s="33"/>
      <c r="X1158" s="33"/>
      <c r="Y1158" s="33"/>
      <c r="Z1158" s="33"/>
      <c r="AA1158" s="33"/>
      <c r="AB1158" s="33"/>
      <c r="AC1158" s="33"/>
      <c r="AD1158" s="33"/>
      <c r="AE1158" s="33"/>
      <c r="AF1158" s="33"/>
      <c r="AG1158" s="33"/>
      <c r="AH1158" s="33"/>
      <c r="AI1158" s="33"/>
      <c r="AJ1158" s="33"/>
      <c r="AK1158" s="34" t="str">
        <f aca="false">IF($B1158="","",COUNTIF($F1158:$AJ1158,"P"))</f>
        <v/>
      </c>
      <c r="AL1158" s="34" t="str">
        <f aca="false">IF($B1158="","",COUNTIF($F1158:$AJ1158,"A"))</f>
        <v/>
      </c>
      <c r="AM1158" s="34" t="str">
        <f aca="false">IF($B1158="","",COUNTIF($F1158:$AJ1158,"HA"))</f>
        <v/>
      </c>
      <c r="AN1158" s="34" t="str">
        <f aca="false">IF($B1158="","",COUNTIF($F1158:$AJ1158,"L"))</f>
        <v/>
      </c>
      <c r="AO1158" s="34" t="str">
        <f aca="false">IF($B1158="","",COUNTIF($F1158:$AJ1158,"PL"))</f>
        <v/>
      </c>
      <c r="AP1158" s="34" t="str">
        <f aca="false">IF($B1158="","",COUNTIF($F1158:$AJ1158,"CL"))</f>
        <v/>
      </c>
      <c r="AQ1158" s="34" t="str">
        <f aca="false">IF($B1158="","",COUNTIF($F1158:$AJ1158,"SL"))</f>
        <v/>
      </c>
      <c r="AR1158" s="34" t="str">
        <f aca="false">IF($B1158="","",COUNTIF($F1158:$AJ1158,"CO"))</f>
        <v/>
      </c>
      <c r="AS1158" s="34" t="str">
        <f aca="false">IF($B1158="","",COUNTIF($F1158:$AJ1158,"HPL"))</f>
        <v/>
      </c>
      <c r="AT1158" s="34" t="str">
        <f aca="false">IF($B1158="","",COUNTIF($F1158:$AJ1158,"HCL"))</f>
        <v/>
      </c>
      <c r="AU1158" s="34" t="str">
        <f aca="false">IF($B1158="","",COUNTIF($F1158:$AJ1158,"WO"))</f>
        <v/>
      </c>
      <c r="AV1158" s="34" t="str">
        <f aca="false">IF($B1158="","",COUNTIF($F1158:$AJ1158,"PH"))</f>
        <v/>
      </c>
      <c r="AW1158" s="34" t="str">
        <f aca="false">IF($B1158="","",COUNTIF($F1158:$AJ1158,"TR"))</f>
        <v/>
      </c>
      <c r="AX1158" s="35" t="str">
        <f aca="false">IF($B1158="","",AO1158+AS1158/2)</f>
        <v/>
      </c>
      <c r="AY1158" s="35" t="str">
        <f aca="false">IF($B1158="","",AQ1158)</f>
        <v/>
      </c>
      <c r="AZ1158" s="35" t="str">
        <f aca="false">IF($B1158="","",AP1158+AT1158/2)</f>
        <v/>
      </c>
      <c r="BA1158" s="35" t="str">
        <f aca="false">IF($B1158="","",AK1158+AN1158+AM1158/2+AO1158+AP1158+AQ1158+AR1158+AS1158+AT1158+AU1158+AV1158+AW1158)</f>
        <v/>
      </c>
      <c r="BB1158" s="35" t="str">
        <f aca="false">IF($B1158="","",MAX(0,AN1158-Settings!$C$16)*Settings!$C$17)</f>
        <v/>
      </c>
      <c r="BC1158" s="35" t="str">
        <f aca="false">IF($B1158="","",BA1158-BB1158)</f>
        <v/>
      </c>
      <c r="BD1158" s="35" t="str">
        <f aca="false">IF(OR($B1158="",$A1158=""),"",DAY(EOMONTH($A1158,0))-COUNTA($F1158:$AJ1158))</f>
        <v/>
      </c>
    </row>
    <row r="1159" customFormat="false" ht="15" hidden="false" customHeight="false" outlineLevel="0" collapsed="false">
      <c r="A1159" s="32"/>
      <c r="B1159" s="29"/>
      <c r="C1159" s="10" t="str">
        <f aca="false">IF($B1159="","",IFERROR(INDEX(M_name,MATCH($B1159,M_emp,0)),"Code not found"))</f>
        <v/>
      </c>
      <c r="D1159" s="10" t="str">
        <f aca="false">IF($B1159="","",IFERROR(INDEX(M_dept,MATCH($B1159,M_emp,0)),""))</f>
        <v/>
      </c>
      <c r="E1159" s="10" t="str">
        <f aca="false">IF($B1159="","",IFERROR(INDEX(M_loc,MATCH($B1159,M_emp,0)),""))</f>
        <v/>
      </c>
      <c r="F1159" s="33"/>
      <c r="G1159" s="33"/>
      <c r="H1159" s="33"/>
      <c r="I1159" s="33"/>
      <c r="J1159" s="33"/>
      <c r="K1159" s="33"/>
      <c r="L1159" s="33"/>
      <c r="M1159" s="33"/>
      <c r="N1159" s="33"/>
      <c r="O1159" s="33"/>
      <c r="P1159" s="33"/>
      <c r="Q1159" s="33"/>
      <c r="R1159" s="33"/>
      <c r="S1159" s="33"/>
      <c r="T1159" s="33"/>
      <c r="U1159" s="33"/>
      <c r="V1159" s="33"/>
      <c r="W1159" s="33"/>
      <c r="X1159" s="33"/>
      <c r="Y1159" s="33"/>
      <c r="Z1159" s="33"/>
      <c r="AA1159" s="33"/>
      <c r="AB1159" s="33"/>
      <c r="AC1159" s="33"/>
      <c r="AD1159" s="33"/>
      <c r="AE1159" s="33"/>
      <c r="AF1159" s="33"/>
      <c r="AG1159" s="33"/>
      <c r="AH1159" s="33"/>
      <c r="AI1159" s="33"/>
      <c r="AJ1159" s="33"/>
      <c r="AK1159" s="34" t="str">
        <f aca="false">IF($B1159="","",COUNTIF($F1159:$AJ1159,"P"))</f>
        <v/>
      </c>
      <c r="AL1159" s="34" t="str">
        <f aca="false">IF($B1159="","",COUNTIF($F1159:$AJ1159,"A"))</f>
        <v/>
      </c>
      <c r="AM1159" s="34" t="str">
        <f aca="false">IF($B1159="","",COUNTIF($F1159:$AJ1159,"HA"))</f>
        <v/>
      </c>
      <c r="AN1159" s="34" t="str">
        <f aca="false">IF($B1159="","",COUNTIF($F1159:$AJ1159,"L"))</f>
        <v/>
      </c>
      <c r="AO1159" s="34" t="str">
        <f aca="false">IF($B1159="","",COUNTIF($F1159:$AJ1159,"PL"))</f>
        <v/>
      </c>
      <c r="AP1159" s="34" t="str">
        <f aca="false">IF($B1159="","",COUNTIF($F1159:$AJ1159,"CL"))</f>
        <v/>
      </c>
      <c r="AQ1159" s="34" t="str">
        <f aca="false">IF($B1159="","",COUNTIF($F1159:$AJ1159,"SL"))</f>
        <v/>
      </c>
      <c r="AR1159" s="34" t="str">
        <f aca="false">IF($B1159="","",COUNTIF($F1159:$AJ1159,"CO"))</f>
        <v/>
      </c>
      <c r="AS1159" s="34" t="str">
        <f aca="false">IF($B1159="","",COUNTIF($F1159:$AJ1159,"HPL"))</f>
        <v/>
      </c>
      <c r="AT1159" s="34" t="str">
        <f aca="false">IF($B1159="","",COUNTIF($F1159:$AJ1159,"HCL"))</f>
        <v/>
      </c>
      <c r="AU1159" s="34" t="str">
        <f aca="false">IF($B1159="","",COUNTIF($F1159:$AJ1159,"WO"))</f>
        <v/>
      </c>
      <c r="AV1159" s="34" t="str">
        <f aca="false">IF($B1159="","",COUNTIF($F1159:$AJ1159,"PH"))</f>
        <v/>
      </c>
      <c r="AW1159" s="34" t="str">
        <f aca="false">IF($B1159="","",COUNTIF($F1159:$AJ1159,"TR"))</f>
        <v/>
      </c>
      <c r="AX1159" s="35" t="str">
        <f aca="false">IF($B1159="","",AO1159+AS1159/2)</f>
        <v/>
      </c>
      <c r="AY1159" s="35" t="str">
        <f aca="false">IF($B1159="","",AQ1159)</f>
        <v/>
      </c>
      <c r="AZ1159" s="35" t="str">
        <f aca="false">IF($B1159="","",AP1159+AT1159/2)</f>
        <v/>
      </c>
      <c r="BA1159" s="35" t="str">
        <f aca="false">IF($B1159="","",AK1159+AN1159+AM1159/2+AO1159+AP1159+AQ1159+AR1159+AS1159+AT1159+AU1159+AV1159+AW1159)</f>
        <v/>
      </c>
      <c r="BB1159" s="35" t="str">
        <f aca="false">IF($B1159="","",MAX(0,AN1159-Settings!$C$16)*Settings!$C$17)</f>
        <v/>
      </c>
      <c r="BC1159" s="35" t="str">
        <f aca="false">IF($B1159="","",BA1159-BB1159)</f>
        <v/>
      </c>
      <c r="BD1159" s="35" t="str">
        <f aca="false">IF(OR($B1159="",$A1159=""),"",DAY(EOMONTH($A1159,0))-COUNTA($F1159:$AJ1159))</f>
        <v/>
      </c>
    </row>
    <row r="1160" customFormat="false" ht="15" hidden="false" customHeight="false" outlineLevel="0" collapsed="false">
      <c r="A1160" s="32"/>
      <c r="B1160" s="29"/>
      <c r="C1160" s="10" t="str">
        <f aca="false">IF($B1160="","",IFERROR(INDEX(M_name,MATCH($B1160,M_emp,0)),"Code not found"))</f>
        <v/>
      </c>
      <c r="D1160" s="10" t="str">
        <f aca="false">IF($B1160="","",IFERROR(INDEX(M_dept,MATCH($B1160,M_emp,0)),""))</f>
        <v/>
      </c>
      <c r="E1160" s="10" t="str">
        <f aca="false">IF($B1160="","",IFERROR(INDEX(M_loc,MATCH($B1160,M_emp,0)),""))</f>
        <v/>
      </c>
      <c r="F1160" s="33"/>
      <c r="G1160" s="33"/>
      <c r="H1160" s="33"/>
      <c r="I1160" s="33"/>
      <c r="J1160" s="33"/>
      <c r="K1160" s="33"/>
      <c r="L1160" s="33"/>
      <c r="M1160" s="33"/>
      <c r="N1160" s="33"/>
      <c r="O1160" s="33"/>
      <c r="P1160" s="33"/>
      <c r="Q1160" s="33"/>
      <c r="R1160" s="33"/>
      <c r="S1160" s="33"/>
      <c r="T1160" s="33"/>
      <c r="U1160" s="33"/>
      <c r="V1160" s="33"/>
      <c r="W1160" s="33"/>
      <c r="X1160" s="33"/>
      <c r="Y1160" s="33"/>
      <c r="Z1160" s="33"/>
      <c r="AA1160" s="33"/>
      <c r="AB1160" s="33"/>
      <c r="AC1160" s="33"/>
      <c r="AD1160" s="33"/>
      <c r="AE1160" s="33"/>
      <c r="AF1160" s="33"/>
      <c r="AG1160" s="33"/>
      <c r="AH1160" s="33"/>
      <c r="AI1160" s="33"/>
      <c r="AJ1160" s="33"/>
      <c r="AK1160" s="34" t="str">
        <f aca="false">IF($B1160="","",COUNTIF($F1160:$AJ1160,"P"))</f>
        <v/>
      </c>
      <c r="AL1160" s="34" t="str">
        <f aca="false">IF($B1160="","",COUNTIF($F1160:$AJ1160,"A"))</f>
        <v/>
      </c>
      <c r="AM1160" s="34" t="str">
        <f aca="false">IF($B1160="","",COUNTIF($F1160:$AJ1160,"HA"))</f>
        <v/>
      </c>
      <c r="AN1160" s="34" t="str">
        <f aca="false">IF($B1160="","",COUNTIF($F1160:$AJ1160,"L"))</f>
        <v/>
      </c>
      <c r="AO1160" s="34" t="str">
        <f aca="false">IF($B1160="","",COUNTIF($F1160:$AJ1160,"PL"))</f>
        <v/>
      </c>
      <c r="AP1160" s="34" t="str">
        <f aca="false">IF($B1160="","",COUNTIF($F1160:$AJ1160,"CL"))</f>
        <v/>
      </c>
      <c r="AQ1160" s="34" t="str">
        <f aca="false">IF($B1160="","",COUNTIF($F1160:$AJ1160,"SL"))</f>
        <v/>
      </c>
      <c r="AR1160" s="34" t="str">
        <f aca="false">IF($B1160="","",COUNTIF($F1160:$AJ1160,"CO"))</f>
        <v/>
      </c>
      <c r="AS1160" s="34" t="str">
        <f aca="false">IF($B1160="","",COUNTIF($F1160:$AJ1160,"HPL"))</f>
        <v/>
      </c>
      <c r="AT1160" s="34" t="str">
        <f aca="false">IF($B1160="","",COUNTIF($F1160:$AJ1160,"HCL"))</f>
        <v/>
      </c>
      <c r="AU1160" s="34" t="str">
        <f aca="false">IF($B1160="","",COUNTIF($F1160:$AJ1160,"WO"))</f>
        <v/>
      </c>
      <c r="AV1160" s="34" t="str">
        <f aca="false">IF($B1160="","",COUNTIF($F1160:$AJ1160,"PH"))</f>
        <v/>
      </c>
      <c r="AW1160" s="34" t="str">
        <f aca="false">IF($B1160="","",COUNTIF($F1160:$AJ1160,"TR"))</f>
        <v/>
      </c>
      <c r="AX1160" s="35" t="str">
        <f aca="false">IF($B1160="","",AO1160+AS1160/2)</f>
        <v/>
      </c>
      <c r="AY1160" s="35" t="str">
        <f aca="false">IF($B1160="","",AQ1160)</f>
        <v/>
      </c>
      <c r="AZ1160" s="35" t="str">
        <f aca="false">IF($B1160="","",AP1160+AT1160/2)</f>
        <v/>
      </c>
      <c r="BA1160" s="35" t="str">
        <f aca="false">IF($B1160="","",AK1160+AN1160+AM1160/2+AO1160+AP1160+AQ1160+AR1160+AS1160+AT1160+AU1160+AV1160+AW1160)</f>
        <v/>
      </c>
      <c r="BB1160" s="35" t="str">
        <f aca="false">IF($B1160="","",MAX(0,AN1160-Settings!$C$16)*Settings!$C$17)</f>
        <v/>
      </c>
      <c r="BC1160" s="35" t="str">
        <f aca="false">IF($B1160="","",BA1160-BB1160)</f>
        <v/>
      </c>
      <c r="BD1160" s="35" t="str">
        <f aca="false">IF(OR($B1160="",$A1160=""),"",DAY(EOMONTH($A1160,0))-COUNTA($F1160:$AJ1160))</f>
        <v/>
      </c>
    </row>
    <row r="1161" customFormat="false" ht="15" hidden="false" customHeight="false" outlineLevel="0" collapsed="false">
      <c r="A1161" s="32"/>
      <c r="B1161" s="29"/>
      <c r="C1161" s="10" t="str">
        <f aca="false">IF($B1161="","",IFERROR(INDEX(M_name,MATCH($B1161,M_emp,0)),"Code not found"))</f>
        <v/>
      </c>
      <c r="D1161" s="10" t="str">
        <f aca="false">IF($B1161="","",IFERROR(INDEX(M_dept,MATCH($B1161,M_emp,0)),""))</f>
        <v/>
      </c>
      <c r="E1161" s="10" t="str">
        <f aca="false">IF($B1161="","",IFERROR(INDEX(M_loc,MATCH($B1161,M_emp,0)),""))</f>
        <v/>
      </c>
      <c r="F1161" s="33"/>
      <c r="G1161" s="33"/>
      <c r="H1161" s="33"/>
      <c r="I1161" s="33"/>
      <c r="J1161" s="33"/>
      <c r="K1161" s="33"/>
      <c r="L1161" s="33"/>
      <c r="M1161" s="33"/>
      <c r="N1161" s="33"/>
      <c r="O1161" s="33"/>
      <c r="P1161" s="33"/>
      <c r="Q1161" s="33"/>
      <c r="R1161" s="33"/>
      <c r="S1161" s="33"/>
      <c r="T1161" s="33"/>
      <c r="U1161" s="33"/>
      <c r="V1161" s="33"/>
      <c r="W1161" s="33"/>
      <c r="X1161" s="33"/>
      <c r="Y1161" s="33"/>
      <c r="Z1161" s="33"/>
      <c r="AA1161" s="33"/>
      <c r="AB1161" s="33"/>
      <c r="AC1161" s="33"/>
      <c r="AD1161" s="33"/>
      <c r="AE1161" s="33"/>
      <c r="AF1161" s="33"/>
      <c r="AG1161" s="33"/>
      <c r="AH1161" s="33"/>
      <c r="AI1161" s="33"/>
      <c r="AJ1161" s="33"/>
      <c r="AK1161" s="34" t="str">
        <f aca="false">IF($B1161="","",COUNTIF($F1161:$AJ1161,"P"))</f>
        <v/>
      </c>
      <c r="AL1161" s="34" t="str">
        <f aca="false">IF($B1161="","",COUNTIF($F1161:$AJ1161,"A"))</f>
        <v/>
      </c>
      <c r="AM1161" s="34" t="str">
        <f aca="false">IF($B1161="","",COUNTIF($F1161:$AJ1161,"HA"))</f>
        <v/>
      </c>
      <c r="AN1161" s="34" t="str">
        <f aca="false">IF($B1161="","",COUNTIF($F1161:$AJ1161,"L"))</f>
        <v/>
      </c>
      <c r="AO1161" s="34" t="str">
        <f aca="false">IF($B1161="","",COUNTIF($F1161:$AJ1161,"PL"))</f>
        <v/>
      </c>
      <c r="AP1161" s="34" t="str">
        <f aca="false">IF($B1161="","",COUNTIF($F1161:$AJ1161,"CL"))</f>
        <v/>
      </c>
      <c r="AQ1161" s="34" t="str">
        <f aca="false">IF($B1161="","",COUNTIF($F1161:$AJ1161,"SL"))</f>
        <v/>
      </c>
      <c r="AR1161" s="34" t="str">
        <f aca="false">IF($B1161="","",COUNTIF($F1161:$AJ1161,"CO"))</f>
        <v/>
      </c>
      <c r="AS1161" s="34" t="str">
        <f aca="false">IF($B1161="","",COUNTIF($F1161:$AJ1161,"HPL"))</f>
        <v/>
      </c>
      <c r="AT1161" s="34" t="str">
        <f aca="false">IF($B1161="","",COUNTIF($F1161:$AJ1161,"HCL"))</f>
        <v/>
      </c>
      <c r="AU1161" s="34" t="str">
        <f aca="false">IF($B1161="","",COUNTIF($F1161:$AJ1161,"WO"))</f>
        <v/>
      </c>
      <c r="AV1161" s="34" t="str">
        <f aca="false">IF($B1161="","",COUNTIF($F1161:$AJ1161,"PH"))</f>
        <v/>
      </c>
      <c r="AW1161" s="34" t="str">
        <f aca="false">IF($B1161="","",COUNTIF($F1161:$AJ1161,"TR"))</f>
        <v/>
      </c>
      <c r="AX1161" s="35" t="str">
        <f aca="false">IF($B1161="","",AO1161+AS1161/2)</f>
        <v/>
      </c>
      <c r="AY1161" s="35" t="str">
        <f aca="false">IF($B1161="","",AQ1161)</f>
        <v/>
      </c>
      <c r="AZ1161" s="35" t="str">
        <f aca="false">IF($B1161="","",AP1161+AT1161/2)</f>
        <v/>
      </c>
      <c r="BA1161" s="35" t="str">
        <f aca="false">IF($B1161="","",AK1161+AN1161+AM1161/2+AO1161+AP1161+AQ1161+AR1161+AS1161+AT1161+AU1161+AV1161+AW1161)</f>
        <v/>
      </c>
      <c r="BB1161" s="35" t="str">
        <f aca="false">IF($B1161="","",MAX(0,AN1161-Settings!$C$16)*Settings!$C$17)</f>
        <v/>
      </c>
      <c r="BC1161" s="35" t="str">
        <f aca="false">IF($B1161="","",BA1161-BB1161)</f>
        <v/>
      </c>
      <c r="BD1161" s="35" t="str">
        <f aca="false">IF(OR($B1161="",$A1161=""),"",DAY(EOMONTH($A1161,0))-COUNTA($F1161:$AJ1161))</f>
        <v/>
      </c>
    </row>
    <row r="1162" customFormat="false" ht="15" hidden="false" customHeight="false" outlineLevel="0" collapsed="false">
      <c r="A1162" s="32"/>
      <c r="B1162" s="29"/>
      <c r="C1162" s="10" t="str">
        <f aca="false">IF($B1162="","",IFERROR(INDEX(M_name,MATCH($B1162,M_emp,0)),"Code not found"))</f>
        <v/>
      </c>
      <c r="D1162" s="10" t="str">
        <f aca="false">IF($B1162="","",IFERROR(INDEX(M_dept,MATCH($B1162,M_emp,0)),""))</f>
        <v/>
      </c>
      <c r="E1162" s="10" t="str">
        <f aca="false">IF($B1162="","",IFERROR(INDEX(M_loc,MATCH($B1162,M_emp,0)),""))</f>
        <v/>
      </c>
      <c r="F1162" s="33"/>
      <c r="G1162" s="33"/>
      <c r="H1162" s="33"/>
      <c r="I1162" s="33"/>
      <c r="J1162" s="33"/>
      <c r="K1162" s="33"/>
      <c r="L1162" s="33"/>
      <c r="M1162" s="33"/>
      <c r="N1162" s="33"/>
      <c r="O1162" s="33"/>
      <c r="P1162" s="33"/>
      <c r="Q1162" s="33"/>
      <c r="R1162" s="33"/>
      <c r="S1162" s="33"/>
      <c r="T1162" s="33"/>
      <c r="U1162" s="33"/>
      <c r="V1162" s="33"/>
      <c r="W1162" s="33"/>
      <c r="X1162" s="33"/>
      <c r="Y1162" s="33"/>
      <c r="Z1162" s="33"/>
      <c r="AA1162" s="33"/>
      <c r="AB1162" s="33"/>
      <c r="AC1162" s="33"/>
      <c r="AD1162" s="33"/>
      <c r="AE1162" s="33"/>
      <c r="AF1162" s="33"/>
      <c r="AG1162" s="33"/>
      <c r="AH1162" s="33"/>
      <c r="AI1162" s="33"/>
      <c r="AJ1162" s="33"/>
      <c r="AK1162" s="34" t="str">
        <f aca="false">IF($B1162="","",COUNTIF($F1162:$AJ1162,"P"))</f>
        <v/>
      </c>
      <c r="AL1162" s="34" t="str">
        <f aca="false">IF($B1162="","",COUNTIF($F1162:$AJ1162,"A"))</f>
        <v/>
      </c>
      <c r="AM1162" s="34" t="str">
        <f aca="false">IF($B1162="","",COUNTIF($F1162:$AJ1162,"HA"))</f>
        <v/>
      </c>
      <c r="AN1162" s="34" t="str">
        <f aca="false">IF($B1162="","",COUNTIF($F1162:$AJ1162,"L"))</f>
        <v/>
      </c>
      <c r="AO1162" s="34" t="str">
        <f aca="false">IF($B1162="","",COUNTIF($F1162:$AJ1162,"PL"))</f>
        <v/>
      </c>
      <c r="AP1162" s="34" t="str">
        <f aca="false">IF($B1162="","",COUNTIF($F1162:$AJ1162,"CL"))</f>
        <v/>
      </c>
      <c r="AQ1162" s="34" t="str">
        <f aca="false">IF($B1162="","",COUNTIF($F1162:$AJ1162,"SL"))</f>
        <v/>
      </c>
      <c r="AR1162" s="34" t="str">
        <f aca="false">IF($B1162="","",COUNTIF($F1162:$AJ1162,"CO"))</f>
        <v/>
      </c>
      <c r="AS1162" s="34" t="str">
        <f aca="false">IF($B1162="","",COUNTIF($F1162:$AJ1162,"HPL"))</f>
        <v/>
      </c>
      <c r="AT1162" s="34" t="str">
        <f aca="false">IF($B1162="","",COUNTIF($F1162:$AJ1162,"HCL"))</f>
        <v/>
      </c>
      <c r="AU1162" s="34" t="str">
        <f aca="false">IF($B1162="","",COUNTIF($F1162:$AJ1162,"WO"))</f>
        <v/>
      </c>
      <c r="AV1162" s="34" t="str">
        <f aca="false">IF($B1162="","",COUNTIF($F1162:$AJ1162,"PH"))</f>
        <v/>
      </c>
      <c r="AW1162" s="34" t="str">
        <f aca="false">IF($B1162="","",COUNTIF($F1162:$AJ1162,"TR"))</f>
        <v/>
      </c>
      <c r="AX1162" s="35" t="str">
        <f aca="false">IF($B1162="","",AO1162+AS1162/2)</f>
        <v/>
      </c>
      <c r="AY1162" s="35" t="str">
        <f aca="false">IF($B1162="","",AQ1162)</f>
        <v/>
      </c>
      <c r="AZ1162" s="35" t="str">
        <f aca="false">IF($B1162="","",AP1162+AT1162/2)</f>
        <v/>
      </c>
      <c r="BA1162" s="35" t="str">
        <f aca="false">IF($B1162="","",AK1162+AN1162+AM1162/2+AO1162+AP1162+AQ1162+AR1162+AS1162+AT1162+AU1162+AV1162+AW1162)</f>
        <v/>
      </c>
      <c r="BB1162" s="35" t="str">
        <f aca="false">IF($B1162="","",MAX(0,AN1162-Settings!$C$16)*Settings!$C$17)</f>
        <v/>
      </c>
      <c r="BC1162" s="35" t="str">
        <f aca="false">IF($B1162="","",BA1162-BB1162)</f>
        <v/>
      </c>
      <c r="BD1162" s="35" t="str">
        <f aca="false">IF(OR($B1162="",$A1162=""),"",DAY(EOMONTH($A1162,0))-COUNTA($F1162:$AJ1162))</f>
        <v/>
      </c>
    </row>
    <row r="1163" customFormat="false" ht="15" hidden="false" customHeight="false" outlineLevel="0" collapsed="false">
      <c r="A1163" s="32"/>
      <c r="B1163" s="29"/>
      <c r="C1163" s="10" t="str">
        <f aca="false">IF($B1163="","",IFERROR(INDEX(M_name,MATCH($B1163,M_emp,0)),"Code not found"))</f>
        <v/>
      </c>
      <c r="D1163" s="10" t="str">
        <f aca="false">IF($B1163="","",IFERROR(INDEX(M_dept,MATCH($B1163,M_emp,0)),""))</f>
        <v/>
      </c>
      <c r="E1163" s="10" t="str">
        <f aca="false">IF($B1163="","",IFERROR(INDEX(M_loc,MATCH($B1163,M_emp,0)),""))</f>
        <v/>
      </c>
      <c r="F1163" s="33"/>
      <c r="G1163" s="33"/>
      <c r="H1163" s="33"/>
      <c r="I1163" s="33"/>
      <c r="J1163" s="33"/>
      <c r="K1163" s="33"/>
      <c r="L1163" s="33"/>
      <c r="M1163" s="33"/>
      <c r="N1163" s="33"/>
      <c r="O1163" s="33"/>
      <c r="P1163" s="33"/>
      <c r="Q1163" s="33"/>
      <c r="R1163" s="33"/>
      <c r="S1163" s="33"/>
      <c r="T1163" s="33"/>
      <c r="U1163" s="33"/>
      <c r="V1163" s="33"/>
      <c r="W1163" s="33"/>
      <c r="X1163" s="33"/>
      <c r="Y1163" s="33"/>
      <c r="Z1163" s="33"/>
      <c r="AA1163" s="33"/>
      <c r="AB1163" s="33"/>
      <c r="AC1163" s="33"/>
      <c r="AD1163" s="33"/>
      <c r="AE1163" s="33"/>
      <c r="AF1163" s="33"/>
      <c r="AG1163" s="33"/>
      <c r="AH1163" s="33"/>
      <c r="AI1163" s="33"/>
      <c r="AJ1163" s="33"/>
      <c r="AK1163" s="34" t="str">
        <f aca="false">IF($B1163="","",COUNTIF($F1163:$AJ1163,"P"))</f>
        <v/>
      </c>
      <c r="AL1163" s="34" t="str">
        <f aca="false">IF($B1163="","",COUNTIF($F1163:$AJ1163,"A"))</f>
        <v/>
      </c>
      <c r="AM1163" s="34" t="str">
        <f aca="false">IF($B1163="","",COUNTIF($F1163:$AJ1163,"HA"))</f>
        <v/>
      </c>
      <c r="AN1163" s="34" t="str">
        <f aca="false">IF($B1163="","",COUNTIF($F1163:$AJ1163,"L"))</f>
        <v/>
      </c>
      <c r="AO1163" s="34" t="str">
        <f aca="false">IF($B1163="","",COUNTIF($F1163:$AJ1163,"PL"))</f>
        <v/>
      </c>
      <c r="AP1163" s="34" t="str">
        <f aca="false">IF($B1163="","",COUNTIF($F1163:$AJ1163,"CL"))</f>
        <v/>
      </c>
      <c r="AQ1163" s="34" t="str">
        <f aca="false">IF($B1163="","",COUNTIF($F1163:$AJ1163,"SL"))</f>
        <v/>
      </c>
      <c r="AR1163" s="34" t="str">
        <f aca="false">IF($B1163="","",COUNTIF($F1163:$AJ1163,"CO"))</f>
        <v/>
      </c>
      <c r="AS1163" s="34" t="str">
        <f aca="false">IF($B1163="","",COUNTIF($F1163:$AJ1163,"HPL"))</f>
        <v/>
      </c>
      <c r="AT1163" s="34" t="str">
        <f aca="false">IF($B1163="","",COUNTIF($F1163:$AJ1163,"HCL"))</f>
        <v/>
      </c>
      <c r="AU1163" s="34" t="str">
        <f aca="false">IF($B1163="","",COUNTIF($F1163:$AJ1163,"WO"))</f>
        <v/>
      </c>
      <c r="AV1163" s="34" t="str">
        <f aca="false">IF($B1163="","",COUNTIF($F1163:$AJ1163,"PH"))</f>
        <v/>
      </c>
      <c r="AW1163" s="34" t="str">
        <f aca="false">IF($B1163="","",COUNTIF($F1163:$AJ1163,"TR"))</f>
        <v/>
      </c>
      <c r="AX1163" s="35" t="str">
        <f aca="false">IF($B1163="","",AO1163+AS1163/2)</f>
        <v/>
      </c>
      <c r="AY1163" s="35" t="str">
        <f aca="false">IF($B1163="","",AQ1163)</f>
        <v/>
      </c>
      <c r="AZ1163" s="35" t="str">
        <f aca="false">IF($B1163="","",AP1163+AT1163/2)</f>
        <v/>
      </c>
      <c r="BA1163" s="35" t="str">
        <f aca="false">IF($B1163="","",AK1163+AN1163+AM1163/2+AO1163+AP1163+AQ1163+AR1163+AS1163+AT1163+AU1163+AV1163+AW1163)</f>
        <v/>
      </c>
      <c r="BB1163" s="35" t="str">
        <f aca="false">IF($B1163="","",MAX(0,AN1163-Settings!$C$16)*Settings!$C$17)</f>
        <v/>
      </c>
      <c r="BC1163" s="35" t="str">
        <f aca="false">IF($B1163="","",BA1163-BB1163)</f>
        <v/>
      </c>
      <c r="BD1163" s="35" t="str">
        <f aca="false">IF(OR($B1163="",$A1163=""),"",DAY(EOMONTH($A1163,0))-COUNTA($F1163:$AJ1163))</f>
        <v/>
      </c>
    </row>
    <row r="1164" customFormat="false" ht="15" hidden="false" customHeight="false" outlineLevel="0" collapsed="false">
      <c r="A1164" s="32"/>
      <c r="B1164" s="29"/>
      <c r="C1164" s="10" t="str">
        <f aca="false">IF($B1164="","",IFERROR(INDEX(M_name,MATCH($B1164,M_emp,0)),"Code not found"))</f>
        <v/>
      </c>
      <c r="D1164" s="10" t="str">
        <f aca="false">IF($B1164="","",IFERROR(INDEX(M_dept,MATCH($B1164,M_emp,0)),""))</f>
        <v/>
      </c>
      <c r="E1164" s="10" t="str">
        <f aca="false">IF($B1164="","",IFERROR(INDEX(M_loc,MATCH($B1164,M_emp,0)),""))</f>
        <v/>
      </c>
      <c r="F1164" s="33"/>
      <c r="G1164" s="33"/>
      <c r="H1164" s="33"/>
      <c r="I1164" s="33"/>
      <c r="J1164" s="33"/>
      <c r="K1164" s="33"/>
      <c r="L1164" s="33"/>
      <c r="M1164" s="33"/>
      <c r="N1164" s="33"/>
      <c r="O1164" s="33"/>
      <c r="P1164" s="33"/>
      <c r="Q1164" s="33"/>
      <c r="R1164" s="33"/>
      <c r="S1164" s="33"/>
      <c r="T1164" s="33"/>
      <c r="U1164" s="33"/>
      <c r="V1164" s="33"/>
      <c r="W1164" s="33"/>
      <c r="X1164" s="33"/>
      <c r="Y1164" s="33"/>
      <c r="Z1164" s="33"/>
      <c r="AA1164" s="33"/>
      <c r="AB1164" s="33"/>
      <c r="AC1164" s="33"/>
      <c r="AD1164" s="33"/>
      <c r="AE1164" s="33"/>
      <c r="AF1164" s="33"/>
      <c r="AG1164" s="33"/>
      <c r="AH1164" s="33"/>
      <c r="AI1164" s="33"/>
      <c r="AJ1164" s="33"/>
      <c r="AK1164" s="34" t="str">
        <f aca="false">IF($B1164="","",COUNTIF($F1164:$AJ1164,"P"))</f>
        <v/>
      </c>
      <c r="AL1164" s="34" t="str">
        <f aca="false">IF($B1164="","",COUNTIF($F1164:$AJ1164,"A"))</f>
        <v/>
      </c>
      <c r="AM1164" s="34" t="str">
        <f aca="false">IF($B1164="","",COUNTIF($F1164:$AJ1164,"HA"))</f>
        <v/>
      </c>
      <c r="AN1164" s="34" t="str">
        <f aca="false">IF($B1164="","",COUNTIF($F1164:$AJ1164,"L"))</f>
        <v/>
      </c>
      <c r="AO1164" s="34" t="str">
        <f aca="false">IF($B1164="","",COUNTIF($F1164:$AJ1164,"PL"))</f>
        <v/>
      </c>
      <c r="AP1164" s="34" t="str">
        <f aca="false">IF($B1164="","",COUNTIF($F1164:$AJ1164,"CL"))</f>
        <v/>
      </c>
      <c r="AQ1164" s="34" t="str">
        <f aca="false">IF($B1164="","",COUNTIF($F1164:$AJ1164,"SL"))</f>
        <v/>
      </c>
      <c r="AR1164" s="34" t="str">
        <f aca="false">IF($B1164="","",COUNTIF($F1164:$AJ1164,"CO"))</f>
        <v/>
      </c>
      <c r="AS1164" s="34" t="str">
        <f aca="false">IF($B1164="","",COUNTIF($F1164:$AJ1164,"HPL"))</f>
        <v/>
      </c>
      <c r="AT1164" s="34" t="str">
        <f aca="false">IF($B1164="","",COUNTIF($F1164:$AJ1164,"HCL"))</f>
        <v/>
      </c>
      <c r="AU1164" s="34" t="str">
        <f aca="false">IF($B1164="","",COUNTIF($F1164:$AJ1164,"WO"))</f>
        <v/>
      </c>
      <c r="AV1164" s="34" t="str">
        <f aca="false">IF($B1164="","",COUNTIF($F1164:$AJ1164,"PH"))</f>
        <v/>
      </c>
      <c r="AW1164" s="34" t="str">
        <f aca="false">IF($B1164="","",COUNTIF($F1164:$AJ1164,"TR"))</f>
        <v/>
      </c>
      <c r="AX1164" s="35" t="str">
        <f aca="false">IF($B1164="","",AO1164+AS1164/2)</f>
        <v/>
      </c>
      <c r="AY1164" s="35" t="str">
        <f aca="false">IF($B1164="","",AQ1164)</f>
        <v/>
      </c>
      <c r="AZ1164" s="35" t="str">
        <f aca="false">IF($B1164="","",AP1164+AT1164/2)</f>
        <v/>
      </c>
      <c r="BA1164" s="35" t="str">
        <f aca="false">IF($B1164="","",AK1164+AN1164+AM1164/2+AO1164+AP1164+AQ1164+AR1164+AS1164+AT1164+AU1164+AV1164+AW1164)</f>
        <v/>
      </c>
      <c r="BB1164" s="35" t="str">
        <f aca="false">IF($B1164="","",MAX(0,AN1164-Settings!$C$16)*Settings!$C$17)</f>
        <v/>
      </c>
      <c r="BC1164" s="35" t="str">
        <f aca="false">IF($B1164="","",BA1164-BB1164)</f>
        <v/>
      </c>
      <c r="BD1164" s="35" t="str">
        <f aca="false">IF(OR($B1164="",$A1164=""),"",DAY(EOMONTH($A1164,0))-COUNTA($F1164:$AJ1164))</f>
        <v/>
      </c>
    </row>
    <row r="1165" customFormat="false" ht="15" hidden="false" customHeight="false" outlineLevel="0" collapsed="false">
      <c r="A1165" s="32"/>
      <c r="B1165" s="29"/>
      <c r="C1165" s="10" t="str">
        <f aca="false">IF($B1165="","",IFERROR(INDEX(M_name,MATCH($B1165,M_emp,0)),"Code not found"))</f>
        <v/>
      </c>
      <c r="D1165" s="10" t="str">
        <f aca="false">IF($B1165="","",IFERROR(INDEX(M_dept,MATCH($B1165,M_emp,0)),""))</f>
        <v/>
      </c>
      <c r="E1165" s="10" t="str">
        <f aca="false">IF($B1165="","",IFERROR(INDEX(M_loc,MATCH($B1165,M_emp,0)),""))</f>
        <v/>
      </c>
      <c r="F1165" s="33"/>
      <c r="G1165" s="33"/>
      <c r="H1165" s="33"/>
      <c r="I1165" s="33"/>
      <c r="J1165" s="33"/>
      <c r="K1165" s="33"/>
      <c r="L1165" s="33"/>
      <c r="M1165" s="33"/>
      <c r="N1165" s="33"/>
      <c r="O1165" s="33"/>
      <c r="P1165" s="33"/>
      <c r="Q1165" s="33"/>
      <c r="R1165" s="33"/>
      <c r="S1165" s="33"/>
      <c r="T1165" s="33"/>
      <c r="U1165" s="33"/>
      <c r="V1165" s="33"/>
      <c r="W1165" s="33"/>
      <c r="X1165" s="33"/>
      <c r="Y1165" s="33"/>
      <c r="Z1165" s="33"/>
      <c r="AA1165" s="33"/>
      <c r="AB1165" s="33"/>
      <c r="AC1165" s="33"/>
      <c r="AD1165" s="33"/>
      <c r="AE1165" s="33"/>
      <c r="AF1165" s="33"/>
      <c r="AG1165" s="33"/>
      <c r="AH1165" s="33"/>
      <c r="AI1165" s="33"/>
      <c r="AJ1165" s="33"/>
      <c r="AK1165" s="34" t="str">
        <f aca="false">IF($B1165="","",COUNTIF($F1165:$AJ1165,"P"))</f>
        <v/>
      </c>
      <c r="AL1165" s="34" t="str">
        <f aca="false">IF($B1165="","",COUNTIF($F1165:$AJ1165,"A"))</f>
        <v/>
      </c>
      <c r="AM1165" s="34" t="str">
        <f aca="false">IF($B1165="","",COUNTIF($F1165:$AJ1165,"HA"))</f>
        <v/>
      </c>
      <c r="AN1165" s="34" t="str">
        <f aca="false">IF($B1165="","",COUNTIF($F1165:$AJ1165,"L"))</f>
        <v/>
      </c>
      <c r="AO1165" s="34" t="str">
        <f aca="false">IF($B1165="","",COUNTIF($F1165:$AJ1165,"PL"))</f>
        <v/>
      </c>
      <c r="AP1165" s="34" t="str">
        <f aca="false">IF($B1165="","",COUNTIF($F1165:$AJ1165,"CL"))</f>
        <v/>
      </c>
      <c r="AQ1165" s="34" t="str">
        <f aca="false">IF($B1165="","",COUNTIF($F1165:$AJ1165,"SL"))</f>
        <v/>
      </c>
      <c r="AR1165" s="34" t="str">
        <f aca="false">IF($B1165="","",COUNTIF($F1165:$AJ1165,"CO"))</f>
        <v/>
      </c>
      <c r="AS1165" s="34" t="str">
        <f aca="false">IF($B1165="","",COUNTIF($F1165:$AJ1165,"HPL"))</f>
        <v/>
      </c>
      <c r="AT1165" s="34" t="str">
        <f aca="false">IF($B1165="","",COUNTIF($F1165:$AJ1165,"HCL"))</f>
        <v/>
      </c>
      <c r="AU1165" s="34" t="str">
        <f aca="false">IF($B1165="","",COUNTIF($F1165:$AJ1165,"WO"))</f>
        <v/>
      </c>
      <c r="AV1165" s="34" t="str">
        <f aca="false">IF($B1165="","",COUNTIF($F1165:$AJ1165,"PH"))</f>
        <v/>
      </c>
      <c r="AW1165" s="34" t="str">
        <f aca="false">IF($B1165="","",COUNTIF($F1165:$AJ1165,"TR"))</f>
        <v/>
      </c>
      <c r="AX1165" s="35" t="str">
        <f aca="false">IF($B1165="","",AO1165+AS1165/2)</f>
        <v/>
      </c>
      <c r="AY1165" s="35" t="str">
        <f aca="false">IF($B1165="","",AQ1165)</f>
        <v/>
      </c>
      <c r="AZ1165" s="35" t="str">
        <f aca="false">IF($B1165="","",AP1165+AT1165/2)</f>
        <v/>
      </c>
      <c r="BA1165" s="35" t="str">
        <f aca="false">IF($B1165="","",AK1165+AN1165+AM1165/2+AO1165+AP1165+AQ1165+AR1165+AS1165+AT1165+AU1165+AV1165+AW1165)</f>
        <v/>
      </c>
      <c r="BB1165" s="35" t="str">
        <f aca="false">IF($B1165="","",MAX(0,AN1165-Settings!$C$16)*Settings!$C$17)</f>
        <v/>
      </c>
      <c r="BC1165" s="35" t="str">
        <f aca="false">IF($B1165="","",BA1165-BB1165)</f>
        <v/>
      </c>
      <c r="BD1165" s="35" t="str">
        <f aca="false">IF(OR($B1165="",$A1165=""),"",DAY(EOMONTH($A1165,0))-COUNTA($F1165:$AJ1165))</f>
        <v/>
      </c>
    </row>
    <row r="1166" customFormat="false" ht="15" hidden="false" customHeight="false" outlineLevel="0" collapsed="false">
      <c r="A1166" s="32"/>
      <c r="B1166" s="29"/>
      <c r="C1166" s="10" t="str">
        <f aca="false">IF($B1166="","",IFERROR(INDEX(M_name,MATCH($B1166,M_emp,0)),"Code not found"))</f>
        <v/>
      </c>
      <c r="D1166" s="10" t="str">
        <f aca="false">IF($B1166="","",IFERROR(INDEX(M_dept,MATCH($B1166,M_emp,0)),""))</f>
        <v/>
      </c>
      <c r="E1166" s="10" t="str">
        <f aca="false">IF($B1166="","",IFERROR(INDEX(M_loc,MATCH($B1166,M_emp,0)),""))</f>
        <v/>
      </c>
      <c r="F1166" s="33"/>
      <c r="G1166" s="33"/>
      <c r="H1166" s="33"/>
      <c r="I1166" s="33"/>
      <c r="J1166" s="33"/>
      <c r="K1166" s="33"/>
      <c r="L1166" s="33"/>
      <c r="M1166" s="33"/>
      <c r="N1166" s="33"/>
      <c r="O1166" s="33"/>
      <c r="P1166" s="33"/>
      <c r="Q1166" s="33"/>
      <c r="R1166" s="33"/>
      <c r="S1166" s="33"/>
      <c r="T1166" s="33"/>
      <c r="U1166" s="33"/>
      <c r="V1166" s="33"/>
      <c r="W1166" s="33"/>
      <c r="X1166" s="33"/>
      <c r="Y1166" s="33"/>
      <c r="Z1166" s="33"/>
      <c r="AA1166" s="33"/>
      <c r="AB1166" s="33"/>
      <c r="AC1166" s="33"/>
      <c r="AD1166" s="33"/>
      <c r="AE1166" s="33"/>
      <c r="AF1166" s="33"/>
      <c r="AG1166" s="33"/>
      <c r="AH1166" s="33"/>
      <c r="AI1166" s="33"/>
      <c r="AJ1166" s="33"/>
      <c r="AK1166" s="34" t="str">
        <f aca="false">IF($B1166="","",COUNTIF($F1166:$AJ1166,"P"))</f>
        <v/>
      </c>
      <c r="AL1166" s="34" t="str">
        <f aca="false">IF($B1166="","",COUNTIF($F1166:$AJ1166,"A"))</f>
        <v/>
      </c>
      <c r="AM1166" s="34" t="str">
        <f aca="false">IF($B1166="","",COUNTIF($F1166:$AJ1166,"HA"))</f>
        <v/>
      </c>
      <c r="AN1166" s="34" t="str">
        <f aca="false">IF($B1166="","",COUNTIF($F1166:$AJ1166,"L"))</f>
        <v/>
      </c>
      <c r="AO1166" s="34" t="str">
        <f aca="false">IF($B1166="","",COUNTIF($F1166:$AJ1166,"PL"))</f>
        <v/>
      </c>
      <c r="AP1166" s="34" t="str">
        <f aca="false">IF($B1166="","",COUNTIF($F1166:$AJ1166,"CL"))</f>
        <v/>
      </c>
      <c r="AQ1166" s="34" t="str">
        <f aca="false">IF($B1166="","",COUNTIF($F1166:$AJ1166,"SL"))</f>
        <v/>
      </c>
      <c r="AR1166" s="34" t="str">
        <f aca="false">IF($B1166="","",COUNTIF($F1166:$AJ1166,"CO"))</f>
        <v/>
      </c>
      <c r="AS1166" s="34" t="str">
        <f aca="false">IF($B1166="","",COUNTIF($F1166:$AJ1166,"HPL"))</f>
        <v/>
      </c>
      <c r="AT1166" s="34" t="str">
        <f aca="false">IF($B1166="","",COUNTIF($F1166:$AJ1166,"HCL"))</f>
        <v/>
      </c>
      <c r="AU1166" s="34" t="str">
        <f aca="false">IF($B1166="","",COUNTIF($F1166:$AJ1166,"WO"))</f>
        <v/>
      </c>
      <c r="AV1166" s="34" t="str">
        <f aca="false">IF($B1166="","",COUNTIF($F1166:$AJ1166,"PH"))</f>
        <v/>
      </c>
      <c r="AW1166" s="34" t="str">
        <f aca="false">IF($B1166="","",COUNTIF($F1166:$AJ1166,"TR"))</f>
        <v/>
      </c>
      <c r="AX1166" s="35" t="str">
        <f aca="false">IF($B1166="","",AO1166+AS1166/2)</f>
        <v/>
      </c>
      <c r="AY1166" s="35" t="str">
        <f aca="false">IF($B1166="","",AQ1166)</f>
        <v/>
      </c>
      <c r="AZ1166" s="35" t="str">
        <f aca="false">IF($B1166="","",AP1166+AT1166/2)</f>
        <v/>
      </c>
      <c r="BA1166" s="35" t="str">
        <f aca="false">IF($B1166="","",AK1166+AN1166+AM1166/2+AO1166+AP1166+AQ1166+AR1166+AS1166+AT1166+AU1166+AV1166+AW1166)</f>
        <v/>
      </c>
      <c r="BB1166" s="35" t="str">
        <f aca="false">IF($B1166="","",MAX(0,AN1166-Settings!$C$16)*Settings!$C$17)</f>
        <v/>
      </c>
      <c r="BC1166" s="35" t="str">
        <f aca="false">IF($B1166="","",BA1166-BB1166)</f>
        <v/>
      </c>
      <c r="BD1166" s="35" t="str">
        <f aca="false">IF(OR($B1166="",$A1166=""),"",DAY(EOMONTH($A1166,0))-COUNTA($F1166:$AJ1166))</f>
        <v/>
      </c>
    </row>
    <row r="1167" customFormat="false" ht="15" hidden="false" customHeight="false" outlineLevel="0" collapsed="false">
      <c r="A1167" s="32"/>
      <c r="B1167" s="29"/>
      <c r="C1167" s="10" t="str">
        <f aca="false">IF($B1167="","",IFERROR(INDEX(M_name,MATCH($B1167,M_emp,0)),"Code not found"))</f>
        <v/>
      </c>
      <c r="D1167" s="10" t="str">
        <f aca="false">IF($B1167="","",IFERROR(INDEX(M_dept,MATCH($B1167,M_emp,0)),""))</f>
        <v/>
      </c>
      <c r="E1167" s="10" t="str">
        <f aca="false">IF($B1167="","",IFERROR(INDEX(M_loc,MATCH($B1167,M_emp,0)),""))</f>
        <v/>
      </c>
      <c r="F1167" s="33"/>
      <c r="G1167" s="33"/>
      <c r="H1167" s="33"/>
      <c r="I1167" s="33"/>
      <c r="J1167" s="33"/>
      <c r="K1167" s="33"/>
      <c r="L1167" s="33"/>
      <c r="M1167" s="33"/>
      <c r="N1167" s="33"/>
      <c r="O1167" s="33"/>
      <c r="P1167" s="33"/>
      <c r="Q1167" s="33"/>
      <c r="R1167" s="33"/>
      <c r="S1167" s="33"/>
      <c r="T1167" s="33"/>
      <c r="U1167" s="33"/>
      <c r="V1167" s="33"/>
      <c r="W1167" s="33"/>
      <c r="X1167" s="33"/>
      <c r="Y1167" s="33"/>
      <c r="Z1167" s="33"/>
      <c r="AA1167" s="33"/>
      <c r="AB1167" s="33"/>
      <c r="AC1167" s="33"/>
      <c r="AD1167" s="33"/>
      <c r="AE1167" s="33"/>
      <c r="AF1167" s="33"/>
      <c r="AG1167" s="33"/>
      <c r="AH1167" s="33"/>
      <c r="AI1167" s="33"/>
      <c r="AJ1167" s="33"/>
      <c r="AK1167" s="34" t="str">
        <f aca="false">IF($B1167="","",COUNTIF($F1167:$AJ1167,"P"))</f>
        <v/>
      </c>
      <c r="AL1167" s="34" t="str">
        <f aca="false">IF($B1167="","",COUNTIF($F1167:$AJ1167,"A"))</f>
        <v/>
      </c>
      <c r="AM1167" s="34" t="str">
        <f aca="false">IF($B1167="","",COUNTIF($F1167:$AJ1167,"HA"))</f>
        <v/>
      </c>
      <c r="AN1167" s="34" t="str">
        <f aca="false">IF($B1167="","",COUNTIF($F1167:$AJ1167,"L"))</f>
        <v/>
      </c>
      <c r="AO1167" s="34" t="str">
        <f aca="false">IF($B1167="","",COUNTIF($F1167:$AJ1167,"PL"))</f>
        <v/>
      </c>
      <c r="AP1167" s="34" t="str">
        <f aca="false">IF($B1167="","",COUNTIF($F1167:$AJ1167,"CL"))</f>
        <v/>
      </c>
      <c r="AQ1167" s="34" t="str">
        <f aca="false">IF($B1167="","",COUNTIF($F1167:$AJ1167,"SL"))</f>
        <v/>
      </c>
      <c r="AR1167" s="34" t="str">
        <f aca="false">IF($B1167="","",COUNTIF($F1167:$AJ1167,"CO"))</f>
        <v/>
      </c>
      <c r="AS1167" s="34" t="str">
        <f aca="false">IF($B1167="","",COUNTIF($F1167:$AJ1167,"HPL"))</f>
        <v/>
      </c>
      <c r="AT1167" s="34" t="str">
        <f aca="false">IF($B1167="","",COUNTIF($F1167:$AJ1167,"HCL"))</f>
        <v/>
      </c>
      <c r="AU1167" s="34" t="str">
        <f aca="false">IF($B1167="","",COUNTIF($F1167:$AJ1167,"WO"))</f>
        <v/>
      </c>
      <c r="AV1167" s="34" t="str">
        <f aca="false">IF($B1167="","",COUNTIF($F1167:$AJ1167,"PH"))</f>
        <v/>
      </c>
      <c r="AW1167" s="34" t="str">
        <f aca="false">IF($B1167="","",COUNTIF($F1167:$AJ1167,"TR"))</f>
        <v/>
      </c>
      <c r="AX1167" s="35" t="str">
        <f aca="false">IF($B1167="","",AO1167+AS1167/2)</f>
        <v/>
      </c>
      <c r="AY1167" s="35" t="str">
        <f aca="false">IF($B1167="","",AQ1167)</f>
        <v/>
      </c>
      <c r="AZ1167" s="35" t="str">
        <f aca="false">IF($B1167="","",AP1167+AT1167/2)</f>
        <v/>
      </c>
      <c r="BA1167" s="35" t="str">
        <f aca="false">IF($B1167="","",AK1167+AN1167+AM1167/2+AO1167+AP1167+AQ1167+AR1167+AS1167+AT1167+AU1167+AV1167+AW1167)</f>
        <v/>
      </c>
      <c r="BB1167" s="35" t="str">
        <f aca="false">IF($B1167="","",MAX(0,AN1167-Settings!$C$16)*Settings!$C$17)</f>
        <v/>
      </c>
      <c r="BC1167" s="35" t="str">
        <f aca="false">IF($B1167="","",BA1167-BB1167)</f>
        <v/>
      </c>
      <c r="BD1167" s="35" t="str">
        <f aca="false">IF(OR($B1167="",$A1167=""),"",DAY(EOMONTH($A1167,0))-COUNTA($F1167:$AJ1167))</f>
        <v/>
      </c>
    </row>
    <row r="1168" customFormat="false" ht="15" hidden="false" customHeight="false" outlineLevel="0" collapsed="false">
      <c r="A1168" s="32"/>
      <c r="B1168" s="29"/>
      <c r="C1168" s="10" t="str">
        <f aca="false">IF($B1168="","",IFERROR(INDEX(M_name,MATCH($B1168,M_emp,0)),"Code not found"))</f>
        <v/>
      </c>
      <c r="D1168" s="10" t="str">
        <f aca="false">IF($B1168="","",IFERROR(INDEX(M_dept,MATCH($B1168,M_emp,0)),""))</f>
        <v/>
      </c>
      <c r="E1168" s="10" t="str">
        <f aca="false">IF($B1168="","",IFERROR(INDEX(M_loc,MATCH($B1168,M_emp,0)),""))</f>
        <v/>
      </c>
      <c r="F1168" s="33"/>
      <c r="G1168" s="33"/>
      <c r="H1168" s="33"/>
      <c r="I1168" s="33"/>
      <c r="J1168" s="33"/>
      <c r="K1168" s="33"/>
      <c r="L1168" s="33"/>
      <c r="M1168" s="33"/>
      <c r="N1168" s="33"/>
      <c r="O1168" s="33"/>
      <c r="P1168" s="33"/>
      <c r="Q1168" s="33"/>
      <c r="R1168" s="33"/>
      <c r="S1168" s="33"/>
      <c r="T1168" s="33"/>
      <c r="U1168" s="33"/>
      <c r="V1168" s="33"/>
      <c r="W1168" s="33"/>
      <c r="X1168" s="33"/>
      <c r="Y1168" s="33"/>
      <c r="Z1168" s="33"/>
      <c r="AA1168" s="33"/>
      <c r="AB1168" s="33"/>
      <c r="AC1168" s="33"/>
      <c r="AD1168" s="33"/>
      <c r="AE1168" s="33"/>
      <c r="AF1168" s="33"/>
      <c r="AG1168" s="33"/>
      <c r="AH1168" s="33"/>
      <c r="AI1168" s="33"/>
      <c r="AJ1168" s="33"/>
      <c r="AK1168" s="34" t="str">
        <f aca="false">IF($B1168="","",COUNTIF($F1168:$AJ1168,"P"))</f>
        <v/>
      </c>
      <c r="AL1168" s="34" t="str">
        <f aca="false">IF($B1168="","",COUNTIF($F1168:$AJ1168,"A"))</f>
        <v/>
      </c>
      <c r="AM1168" s="34" t="str">
        <f aca="false">IF($B1168="","",COUNTIF($F1168:$AJ1168,"HA"))</f>
        <v/>
      </c>
      <c r="AN1168" s="34" t="str">
        <f aca="false">IF($B1168="","",COUNTIF($F1168:$AJ1168,"L"))</f>
        <v/>
      </c>
      <c r="AO1168" s="34" t="str">
        <f aca="false">IF($B1168="","",COUNTIF($F1168:$AJ1168,"PL"))</f>
        <v/>
      </c>
      <c r="AP1168" s="34" t="str">
        <f aca="false">IF($B1168="","",COUNTIF($F1168:$AJ1168,"CL"))</f>
        <v/>
      </c>
      <c r="AQ1168" s="34" t="str">
        <f aca="false">IF($B1168="","",COUNTIF($F1168:$AJ1168,"SL"))</f>
        <v/>
      </c>
      <c r="AR1168" s="34" t="str">
        <f aca="false">IF($B1168="","",COUNTIF($F1168:$AJ1168,"CO"))</f>
        <v/>
      </c>
      <c r="AS1168" s="34" t="str">
        <f aca="false">IF($B1168="","",COUNTIF($F1168:$AJ1168,"HPL"))</f>
        <v/>
      </c>
      <c r="AT1168" s="34" t="str">
        <f aca="false">IF($B1168="","",COUNTIF($F1168:$AJ1168,"HCL"))</f>
        <v/>
      </c>
      <c r="AU1168" s="34" t="str">
        <f aca="false">IF($B1168="","",COUNTIF($F1168:$AJ1168,"WO"))</f>
        <v/>
      </c>
      <c r="AV1168" s="34" t="str">
        <f aca="false">IF($B1168="","",COUNTIF($F1168:$AJ1168,"PH"))</f>
        <v/>
      </c>
      <c r="AW1168" s="34" t="str">
        <f aca="false">IF($B1168="","",COUNTIF($F1168:$AJ1168,"TR"))</f>
        <v/>
      </c>
      <c r="AX1168" s="35" t="str">
        <f aca="false">IF($B1168="","",AO1168+AS1168/2)</f>
        <v/>
      </c>
      <c r="AY1168" s="35" t="str">
        <f aca="false">IF($B1168="","",AQ1168)</f>
        <v/>
      </c>
      <c r="AZ1168" s="35" t="str">
        <f aca="false">IF($B1168="","",AP1168+AT1168/2)</f>
        <v/>
      </c>
      <c r="BA1168" s="35" t="str">
        <f aca="false">IF($B1168="","",AK1168+AN1168+AM1168/2+AO1168+AP1168+AQ1168+AR1168+AS1168+AT1168+AU1168+AV1168+AW1168)</f>
        <v/>
      </c>
      <c r="BB1168" s="35" t="str">
        <f aca="false">IF($B1168="","",MAX(0,AN1168-Settings!$C$16)*Settings!$C$17)</f>
        <v/>
      </c>
      <c r="BC1168" s="35" t="str">
        <f aca="false">IF($B1168="","",BA1168-BB1168)</f>
        <v/>
      </c>
      <c r="BD1168" s="35" t="str">
        <f aca="false">IF(OR($B1168="",$A1168=""),"",DAY(EOMONTH($A1168,0))-COUNTA($F1168:$AJ1168))</f>
        <v/>
      </c>
    </row>
    <row r="1169" customFormat="false" ht="15" hidden="false" customHeight="false" outlineLevel="0" collapsed="false">
      <c r="A1169" s="32"/>
      <c r="B1169" s="29"/>
      <c r="C1169" s="10" t="str">
        <f aca="false">IF($B1169="","",IFERROR(INDEX(M_name,MATCH($B1169,M_emp,0)),"Code not found"))</f>
        <v/>
      </c>
      <c r="D1169" s="10" t="str">
        <f aca="false">IF($B1169="","",IFERROR(INDEX(M_dept,MATCH($B1169,M_emp,0)),""))</f>
        <v/>
      </c>
      <c r="E1169" s="10" t="str">
        <f aca="false">IF($B1169="","",IFERROR(INDEX(M_loc,MATCH($B1169,M_emp,0)),""))</f>
        <v/>
      </c>
      <c r="F1169" s="33"/>
      <c r="G1169" s="33"/>
      <c r="H1169" s="33"/>
      <c r="I1169" s="33"/>
      <c r="J1169" s="33"/>
      <c r="K1169" s="33"/>
      <c r="L1169" s="33"/>
      <c r="M1169" s="33"/>
      <c r="N1169" s="33"/>
      <c r="O1169" s="33"/>
      <c r="P1169" s="33"/>
      <c r="Q1169" s="33"/>
      <c r="R1169" s="33"/>
      <c r="S1169" s="33"/>
      <c r="T1169" s="33"/>
      <c r="U1169" s="33"/>
      <c r="V1169" s="33"/>
      <c r="W1169" s="33"/>
      <c r="X1169" s="33"/>
      <c r="Y1169" s="33"/>
      <c r="Z1169" s="33"/>
      <c r="AA1169" s="33"/>
      <c r="AB1169" s="33"/>
      <c r="AC1169" s="33"/>
      <c r="AD1169" s="33"/>
      <c r="AE1169" s="33"/>
      <c r="AF1169" s="33"/>
      <c r="AG1169" s="33"/>
      <c r="AH1169" s="33"/>
      <c r="AI1169" s="33"/>
      <c r="AJ1169" s="33"/>
      <c r="AK1169" s="34" t="str">
        <f aca="false">IF($B1169="","",COUNTIF($F1169:$AJ1169,"P"))</f>
        <v/>
      </c>
      <c r="AL1169" s="34" t="str">
        <f aca="false">IF($B1169="","",COUNTIF($F1169:$AJ1169,"A"))</f>
        <v/>
      </c>
      <c r="AM1169" s="34" t="str">
        <f aca="false">IF($B1169="","",COUNTIF($F1169:$AJ1169,"HA"))</f>
        <v/>
      </c>
      <c r="AN1169" s="34" t="str">
        <f aca="false">IF($B1169="","",COUNTIF($F1169:$AJ1169,"L"))</f>
        <v/>
      </c>
      <c r="AO1169" s="34" t="str">
        <f aca="false">IF($B1169="","",COUNTIF($F1169:$AJ1169,"PL"))</f>
        <v/>
      </c>
      <c r="AP1169" s="34" t="str">
        <f aca="false">IF($B1169="","",COUNTIF($F1169:$AJ1169,"CL"))</f>
        <v/>
      </c>
      <c r="AQ1169" s="34" t="str">
        <f aca="false">IF($B1169="","",COUNTIF($F1169:$AJ1169,"SL"))</f>
        <v/>
      </c>
      <c r="AR1169" s="34" t="str">
        <f aca="false">IF($B1169="","",COUNTIF($F1169:$AJ1169,"CO"))</f>
        <v/>
      </c>
      <c r="AS1169" s="34" t="str">
        <f aca="false">IF($B1169="","",COUNTIF($F1169:$AJ1169,"HPL"))</f>
        <v/>
      </c>
      <c r="AT1169" s="34" t="str">
        <f aca="false">IF($B1169="","",COUNTIF($F1169:$AJ1169,"HCL"))</f>
        <v/>
      </c>
      <c r="AU1169" s="34" t="str">
        <f aca="false">IF($B1169="","",COUNTIF($F1169:$AJ1169,"WO"))</f>
        <v/>
      </c>
      <c r="AV1169" s="34" t="str">
        <f aca="false">IF($B1169="","",COUNTIF($F1169:$AJ1169,"PH"))</f>
        <v/>
      </c>
      <c r="AW1169" s="34" t="str">
        <f aca="false">IF($B1169="","",COUNTIF($F1169:$AJ1169,"TR"))</f>
        <v/>
      </c>
      <c r="AX1169" s="35" t="str">
        <f aca="false">IF($B1169="","",AO1169+AS1169/2)</f>
        <v/>
      </c>
      <c r="AY1169" s="35" t="str">
        <f aca="false">IF($B1169="","",AQ1169)</f>
        <v/>
      </c>
      <c r="AZ1169" s="35" t="str">
        <f aca="false">IF($B1169="","",AP1169+AT1169/2)</f>
        <v/>
      </c>
      <c r="BA1169" s="35" t="str">
        <f aca="false">IF($B1169="","",AK1169+AN1169+AM1169/2+AO1169+AP1169+AQ1169+AR1169+AS1169+AT1169+AU1169+AV1169+AW1169)</f>
        <v/>
      </c>
      <c r="BB1169" s="35" t="str">
        <f aca="false">IF($B1169="","",MAX(0,AN1169-Settings!$C$16)*Settings!$C$17)</f>
        <v/>
      </c>
      <c r="BC1169" s="35" t="str">
        <f aca="false">IF($B1169="","",BA1169-BB1169)</f>
        <v/>
      </c>
      <c r="BD1169" s="35" t="str">
        <f aca="false">IF(OR($B1169="",$A1169=""),"",DAY(EOMONTH($A1169,0))-COUNTA($F1169:$AJ1169))</f>
        <v/>
      </c>
    </row>
    <row r="1170" customFormat="false" ht="15" hidden="false" customHeight="false" outlineLevel="0" collapsed="false">
      <c r="A1170" s="32"/>
      <c r="B1170" s="29"/>
      <c r="C1170" s="10" t="str">
        <f aca="false">IF($B1170="","",IFERROR(INDEX(M_name,MATCH($B1170,M_emp,0)),"Code not found"))</f>
        <v/>
      </c>
      <c r="D1170" s="10" t="str">
        <f aca="false">IF($B1170="","",IFERROR(INDEX(M_dept,MATCH($B1170,M_emp,0)),""))</f>
        <v/>
      </c>
      <c r="E1170" s="10" t="str">
        <f aca="false">IF($B1170="","",IFERROR(INDEX(M_loc,MATCH($B1170,M_emp,0)),""))</f>
        <v/>
      </c>
      <c r="F1170" s="33"/>
      <c r="G1170" s="33"/>
      <c r="H1170" s="33"/>
      <c r="I1170" s="33"/>
      <c r="J1170" s="33"/>
      <c r="K1170" s="33"/>
      <c r="L1170" s="33"/>
      <c r="M1170" s="33"/>
      <c r="N1170" s="33"/>
      <c r="O1170" s="33"/>
      <c r="P1170" s="33"/>
      <c r="Q1170" s="33"/>
      <c r="R1170" s="33"/>
      <c r="S1170" s="33"/>
      <c r="T1170" s="33"/>
      <c r="U1170" s="33"/>
      <c r="V1170" s="33"/>
      <c r="W1170" s="33"/>
      <c r="X1170" s="33"/>
      <c r="Y1170" s="33"/>
      <c r="Z1170" s="33"/>
      <c r="AA1170" s="33"/>
      <c r="AB1170" s="33"/>
      <c r="AC1170" s="33"/>
      <c r="AD1170" s="33"/>
      <c r="AE1170" s="33"/>
      <c r="AF1170" s="33"/>
      <c r="AG1170" s="33"/>
      <c r="AH1170" s="33"/>
      <c r="AI1170" s="33"/>
      <c r="AJ1170" s="33"/>
      <c r="AK1170" s="34" t="str">
        <f aca="false">IF($B1170="","",COUNTIF($F1170:$AJ1170,"P"))</f>
        <v/>
      </c>
      <c r="AL1170" s="34" t="str">
        <f aca="false">IF($B1170="","",COUNTIF($F1170:$AJ1170,"A"))</f>
        <v/>
      </c>
      <c r="AM1170" s="34" t="str">
        <f aca="false">IF($B1170="","",COUNTIF($F1170:$AJ1170,"HA"))</f>
        <v/>
      </c>
      <c r="AN1170" s="34" t="str">
        <f aca="false">IF($B1170="","",COUNTIF($F1170:$AJ1170,"L"))</f>
        <v/>
      </c>
      <c r="AO1170" s="34" t="str">
        <f aca="false">IF($B1170="","",COUNTIF($F1170:$AJ1170,"PL"))</f>
        <v/>
      </c>
      <c r="AP1170" s="34" t="str">
        <f aca="false">IF($B1170="","",COUNTIF($F1170:$AJ1170,"CL"))</f>
        <v/>
      </c>
      <c r="AQ1170" s="34" t="str">
        <f aca="false">IF($B1170="","",COUNTIF($F1170:$AJ1170,"SL"))</f>
        <v/>
      </c>
      <c r="AR1170" s="34" t="str">
        <f aca="false">IF($B1170="","",COUNTIF($F1170:$AJ1170,"CO"))</f>
        <v/>
      </c>
      <c r="AS1170" s="34" t="str">
        <f aca="false">IF($B1170="","",COUNTIF($F1170:$AJ1170,"HPL"))</f>
        <v/>
      </c>
      <c r="AT1170" s="34" t="str">
        <f aca="false">IF($B1170="","",COUNTIF($F1170:$AJ1170,"HCL"))</f>
        <v/>
      </c>
      <c r="AU1170" s="34" t="str">
        <f aca="false">IF($B1170="","",COUNTIF($F1170:$AJ1170,"WO"))</f>
        <v/>
      </c>
      <c r="AV1170" s="34" t="str">
        <f aca="false">IF($B1170="","",COUNTIF($F1170:$AJ1170,"PH"))</f>
        <v/>
      </c>
      <c r="AW1170" s="34" t="str">
        <f aca="false">IF($B1170="","",COUNTIF($F1170:$AJ1170,"TR"))</f>
        <v/>
      </c>
      <c r="AX1170" s="35" t="str">
        <f aca="false">IF($B1170="","",AO1170+AS1170/2)</f>
        <v/>
      </c>
      <c r="AY1170" s="35" t="str">
        <f aca="false">IF($B1170="","",AQ1170)</f>
        <v/>
      </c>
      <c r="AZ1170" s="35" t="str">
        <f aca="false">IF($B1170="","",AP1170+AT1170/2)</f>
        <v/>
      </c>
      <c r="BA1170" s="35" t="str">
        <f aca="false">IF($B1170="","",AK1170+AN1170+AM1170/2+AO1170+AP1170+AQ1170+AR1170+AS1170+AT1170+AU1170+AV1170+AW1170)</f>
        <v/>
      </c>
      <c r="BB1170" s="35" t="str">
        <f aca="false">IF($B1170="","",MAX(0,AN1170-Settings!$C$16)*Settings!$C$17)</f>
        <v/>
      </c>
      <c r="BC1170" s="35" t="str">
        <f aca="false">IF($B1170="","",BA1170-BB1170)</f>
        <v/>
      </c>
      <c r="BD1170" s="35" t="str">
        <f aca="false">IF(OR($B1170="",$A1170=""),"",DAY(EOMONTH($A1170,0))-COUNTA($F1170:$AJ1170))</f>
        <v/>
      </c>
    </row>
    <row r="1171" customFormat="false" ht="15" hidden="false" customHeight="false" outlineLevel="0" collapsed="false">
      <c r="A1171" s="32"/>
      <c r="B1171" s="29"/>
      <c r="C1171" s="10" t="str">
        <f aca="false">IF($B1171="","",IFERROR(INDEX(M_name,MATCH($B1171,M_emp,0)),"Code not found"))</f>
        <v/>
      </c>
      <c r="D1171" s="10" t="str">
        <f aca="false">IF($B1171="","",IFERROR(INDEX(M_dept,MATCH($B1171,M_emp,0)),""))</f>
        <v/>
      </c>
      <c r="E1171" s="10" t="str">
        <f aca="false">IF($B1171="","",IFERROR(INDEX(M_loc,MATCH($B1171,M_emp,0)),""))</f>
        <v/>
      </c>
      <c r="F1171" s="33"/>
      <c r="G1171" s="33"/>
      <c r="H1171" s="33"/>
      <c r="I1171" s="33"/>
      <c r="J1171" s="33"/>
      <c r="K1171" s="33"/>
      <c r="L1171" s="33"/>
      <c r="M1171" s="33"/>
      <c r="N1171" s="33"/>
      <c r="O1171" s="33"/>
      <c r="P1171" s="33"/>
      <c r="Q1171" s="33"/>
      <c r="R1171" s="33"/>
      <c r="S1171" s="33"/>
      <c r="T1171" s="33"/>
      <c r="U1171" s="33"/>
      <c r="V1171" s="33"/>
      <c r="W1171" s="33"/>
      <c r="X1171" s="33"/>
      <c r="Y1171" s="33"/>
      <c r="Z1171" s="33"/>
      <c r="AA1171" s="33"/>
      <c r="AB1171" s="33"/>
      <c r="AC1171" s="33"/>
      <c r="AD1171" s="33"/>
      <c r="AE1171" s="33"/>
      <c r="AF1171" s="33"/>
      <c r="AG1171" s="33"/>
      <c r="AH1171" s="33"/>
      <c r="AI1171" s="33"/>
      <c r="AJ1171" s="33"/>
      <c r="AK1171" s="34" t="str">
        <f aca="false">IF($B1171="","",COUNTIF($F1171:$AJ1171,"P"))</f>
        <v/>
      </c>
      <c r="AL1171" s="34" t="str">
        <f aca="false">IF($B1171="","",COUNTIF($F1171:$AJ1171,"A"))</f>
        <v/>
      </c>
      <c r="AM1171" s="34" t="str">
        <f aca="false">IF($B1171="","",COUNTIF($F1171:$AJ1171,"HA"))</f>
        <v/>
      </c>
      <c r="AN1171" s="34" t="str">
        <f aca="false">IF($B1171="","",COUNTIF($F1171:$AJ1171,"L"))</f>
        <v/>
      </c>
      <c r="AO1171" s="34" t="str">
        <f aca="false">IF($B1171="","",COUNTIF($F1171:$AJ1171,"PL"))</f>
        <v/>
      </c>
      <c r="AP1171" s="34" t="str">
        <f aca="false">IF($B1171="","",COUNTIF($F1171:$AJ1171,"CL"))</f>
        <v/>
      </c>
      <c r="AQ1171" s="34" t="str">
        <f aca="false">IF($B1171="","",COUNTIF($F1171:$AJ1171,"SL"))</f>
        <v/>
      </c>
      <c r="AR1171" s="34" t="str">
        <f aca="false">IF($B1171="","",COUNTIF($F1171:$AJ1171,"CO"))</f>
        <v/>
      </c>
      <c r="AS1171" s="34" t="str">
        <f aca="false">IF($B1171="","",COUNTIF($F1171:$AJ1171,"HPL"))</f>
        <v/>
      </c>
      <c r="AT1171" s="34" t="str">
        <f aca="false">IF($B1171="","",COUNTIF($F1171:$AJ1171,"HCL"))</f>
        <v/>
      </c>
      <c r="AU1171" s="34" t="str">
        <f aca="false">IF($B1171="","",COUNTIF($F1171:$AJ1171,"WO"))</f>
        <v/>
      </c>
      <c r="AV1171" s="34" t="str">
        <f aca="false">IF($B1171="","",COUNTIF($F1171:$AJ1171,"PH"))</f>
        <v/>
      </c>
      <c r="AW1171" s="34" t="str">
        <f aca="false">IF($B1171="","",COUNTIF($F1171:$AJ1171,"TR"))</f>
        <v/>
      </c>
      <c r="AX1171" s="35" t="str">
        <f aca="false">IF($B1171="","",AO1171+AS1171/2)</f>
        <v/>
      </c>
      <c r="AY1171" s="35" t="str">
        <f aca="false">IF($B1171="","",AQ1171)</f>
        <v/>
      </c>
      <c r="AZ1171" s="35" t="str">
        <f aca="false">IF($B1171="","",AP1171+AT1171/2)</f>
        <v/>
      </c>
      <c r="BA1171" s="35" t="str">
        <f aca="false">IF($B1171="","",AK1171+AN1171+AM1171/2+AO1171+AP1171+AQ1171+AR1171+AS1171+AT1171+AU1171+AV1171+AW1171)</f>
        <v/>
      </c>
      <c r="BB1171" s="35" t="str">
        <f aca="false">IF($B1171="","",MAX(0,AN1171-Settings!$C$16)*Settings!$C$17)</f>
        <v/>
      </c>
      <c r="BC1171" s="35" t="str">
        <f aca="false">IF($B1171="","",BA1171-BB1171)</f>
        <v/>
      </c>
      <c r="BD1171" s="35" t="str">
        <f aca="false">IF(OR($B1171="",$A1171=""),"",DAY(EOMONTH($A1171,0))-COUNTA($F1171:$AJ1171))</f>
        <v/>
      </c>
    </row>
    <row r="1172" customFormat="false" ht="15" hidden="false" customHeight="false" outlineLevel="0" collapsed="false">
      <c r="A1172" s="32"/>
      <c r="B1172" s="29"/>
      <c r="C1172" s="10" t="str">
        <f aca="false">IF($B1172="","",IFERROR(INDEX(M_name,MATCH($B1172,M_emp,0)),"Code not found"))</f>
        <v/>
      </c>
      <c r="D1172" s="10" t="str">
        <f aca="false">IF($B1172="","",IFERROR(INDEX(M_dept,MATCH($B1172,M_emp,0)),""))</f>
        <v/>
      </c>
      <c r="E1172" s="10" t="str">
        <f aca="false">IF($B1172="","",IFERROR(INDEX(M_loc,MATCH($B1172,M_emp,0)),""))</f>
        <v/>
      </c>
      <c r="F1172" s="33"/>
      <c r="G1172" s="33"/>
      <c r="H1172" s="33"/>
      <c r="I1172" s="33"/>
      <c r="J1172" s="33"/>
      <c r="K1172" s="33"/>
      <c r="L1172" s="33"/>
      <c r="M1172" s="33"/>
      <c r="N1172" s="33"/>
      <c r="O1172" s="33"/>
      <c r="P1172" s="33"/>
      <c r="Q1172" s="33"/>
      <c r="R1172" s="33"/>
      <c r="S1172" s="33"/>
      <c r="T1172" s="33"/>
      <c r="U1172" s="33"/>
      <c r="V1172" s="33"/>
      <c r="W1172" s="33"/>
      <c r="X1172" s="33"/>
      <c r="Y1172" s="33"/>
      <c r="Z1172" s="33"/>
      <c r="AA1172" s="33"/>
      <c r="AB1172" s="33"/>
      <c r="AC1172" s="33"/>
      <c r="AD1172" s="33"/>
      <c r="AE1172" s="33"/>
      <c r="AF1172" s="33"/>
      <c r="AG1172" s="33"/>
      <c r="AH1172" s="33"/>
      <c r="AI1172" s="33"/>
      <c r="AJ1172" s="33"/>
      <c r="AK1172" s="34" t="str">
        <f aca="false">IF($B1172="","",COUNTIF($F1172:$AJ1172,"P"))</f>
        <v/>
      </c>
      <c r="AL1172" s="34" t="str">
        <f aca="false">IF($B1172="","",COUNTIF($F1172:$AJ1172,"A"))</f>
        <v/>
      </c>
      <c r="AM1172" s="34" t="str">
        <f aca="false">IF($B1172="","",COUNTIF($F1172:$AJ1172,"HA"))</f>
        <v/>
      </c>
      <c r="AN1172" s="34" t="str">
        <f aca="false">IF($B1172="","",COUNTIF($F1172:$AJ1172,"L"))</f>
        <v/>
      </c>
      <c r="AO1172" s="34" t="str">
        <f aca="false">IF($B1172="","",COUNTIF($F1172:$AJ1172,"PL"))</f>
        <v/>
      </c>
      <c r="AP1172" s="34" t="str">
        <f aca="false">IF($B1172="","",COUNTIF($F1172:$AJ1172,"CL"))</f>
        <v/>
      </c>
      <c r="AQ1172" s="34" t="str">
        <f aca="false">IF($B1172="","",COUNTIF($F1172:$AJ1172,"SL"))</f>
        <v/>
      </c>
      <c r="AR1172" s="34" t="str">
        <f aca="false">IF($B1172="","",COUNTIF($F1172:$AJ1172,"CO"))</f>
        <v/>
      </c>
      <c r="AS1172" s="34" t="str">
        <f aca="false">IF($B1172="","",COUNTIF($F1172:$AJ1172,"HPL"))</f>
        <v/>
      </c>
      <c r="AT1172" s="34" t="str">
        <f aca="false">IF($B1172="","",COUNTIF($F1172:$AJ1172,"HCL"))</f>
        <v/>
      </c>
      <c r="AU1172" s="34" t="str">
        <f aca="false">IF($B1172="","",COUNTIF($F1172:$AJ1172,"WO"))</f>
        <v/>
      </c>
      <c r="AV1172" s="34" t="str">
        <f aca="false">IF($B1172="","",COUNTIF($F1172:$AJ1172,"PH"))</f>
        <v/>
      </c>
      <c r="AW1172" s="34" t="str">
        <f aca="false">IF($B1172="","",COUNTIF($F1172:$AJ1172,"TR"))</f>
        <v/>
      </c>
      <c r="AX1172" s="35" t="str">
        <f aca="false">IF($B1172="","",AO1172+AS1172/2)</f>
        <v/>
      </c>
      <c r="AY1172" s="35" t="str">
        <f aca="false">IF($B1172="","",AQ1172)</f>
        <v/>
      </c>
      <c r="AZ1172" s="35" t="str">
        <f aca="false">IF($B1172="","",AP1172+AT1172/2)</f>
        <v/>
      </c>
      <c r="BA1172" s="35" t="str">
        <f aca="false">IF($B1172="","",AK1172+AN1172+AM1172/2+AO1172+AP1172+AQ1172+AR1172+AS1172+AT1172+AU1172+AV1172+AW1172)</f>
        <v/>
      </c>
      <c r="BB1172" s="35" t="str">
        <f aca="false">IF($B1172="","",MAX(0,AN1172-Settings!$C$16)*Settings!$C$17)</f>
        <v/>
      </c>
      <c r="BC1172" s="35" t="str">
        <f aca="false">IF($B1172="","",BA1172-BB1172)</f>
        <v/>
      </c>
      <c r="BD1172" s="35" t="str">
        <f aca="false">IF(OR($B1172="",$A1172=""),"",DAY(EOMONTH($A1172,0))-COUNTA($F1172:$AJ1172))</f>
        <v/>
      </c>
    </row>
    <row r="1173" customFormat="false" ht="15" hidden="false" customHeight="false" outlineLevel="0" collapsed="false">
      <c r="A1173" s="32"/>
      <c r="B1173" s="29"/>
      <c r="C1173" s="10" t="str">
        <f aca="false">IF($B1173="","",IFERROR(INDEX(M_name,MATCH($B1173,M_emp,0)),"Code not found"))</f>
        <v/>
      </c>
      <c r="D1173" s="10" t="str">
        <f aca="false">IF($B1173="","",IFERROR(INDEX(M_dept,MATCH($B1173,M_emp,0)),""))</f>
        <v/>
      </c>
      <c r="E1173" s="10" t="str">
        <f aca="false">IF($B1173="","",IFERROR(INDEX(M_loc,MATCH($B1173,M_emp,0)),""))</f>
        <v/>
      </c>
      <c r="F1173" s="33"/>
      <c r="G1173" s="33"/>
      <c r="H1173" s="33"/>
      <c r="I1173" s="33"/>
      <c r="J1173" s="33"/>
      <c r="K1173" s="33"/>
      <c r="L1173" s="33"/>
      <c r="M1173" s="33"/>
      <c r="N1173" s="33"/>
      <c r="O1173" s="33"/>
      <c r="P1173" s="33"/>
      <c r="Q1173" s="33"/>
      <c r="R1173" s="33"/>
      <c r="S1173" s="33"/>
      <c r="T1173" s="33"/>
      <c r="U1173" s="33"/>
      <c r="V1173" s="33"/>
      <c r="W1173" s="33"/>
      <c r="X1173" s="33"/>
      <c r="Y1173" s="33"/>
      <c r="Z1173" s="33"/>
      <c r="AA1173" s="33"/>
      <c r="AB1173" s="33"/>
      <c r="AC1173" s="33"/>
      <c r="AD1173" s="33"/>
      <c r="AE1173" s="33"/>
      <c r="AF1173" s="33"/>
      <c r="AG1173" s="33"/>
      <c r="AH1173" s="33"/>
      <c r="AI1173" s="33"/>
      <c r="AJ1173" s="33"/>
      <c r="AK1173" s="34" t="str">
        <f aca="false">IF($B1173="","",COUNTIF($F1173:$AJ1173,"P"))</f>
        <v/>
      </c>
      <c r="AL1173" s="34" t="str">
        <f aca="false">IF($B1173="","",COUNTIF($F1173:$AJ1173,"A"))</f>
        <v/>
      </c>
      <c r="AM1173" s="34" t="str">
        <f aca="false">IF($B1173="","",COUNTIF($F1173:$AJ1173,"HA"))</f>
        <v/>
      </c>
      <c r="AN1173" s="34" t="str">
        <f aca="false">IF($B1173="","",COUNTIF($F1173:$AJ1173,"L"))</f>
        <v/>
      </c>
      <c r="AO1173" s="34" t="str">
        <f aca="false">IF($B1173="","",COUNTIF($F1173:$AJ1173,"PL"))</f>
        <v/>
      </c>
      <c r="AP1173" s="34" t="str">
        <f aca="false">IF($B1173="","",COUNTIF($F1173:$AJ1173,"CL"))</f>
        <v/>
      </c>
      <c r="AQ1173" s="34" t="str">
        <f aca="false">IF($B1173="","",COUNTIF($F1173:$AJ1173,"SL"))</f>
        <v/>
      </c>
      <c r="AR1173" s="34" t="str">
        <f aca="false">IF($B1173="","",COUNTIF($F1173:$AJ1173,"CO"))</f>
        <v/>
      </c>
      <c r="AS1173" s="34" t="str">
        <f aca="false">IF($B1173="","",COUNTIF($F1173:$AJ1173,"HPL"))</f>
        <v/>
      </c>
      <c r="AT1173" s="34" t="str">
        <f aca="false">IF($B1173="","",COUNTIF($F1173:$AJ1173,"HCL"))</f>
        <v/>
      </c>
      <c r="AU1173" s="34" t="str">
        <f aca="false">IF($B1173="","",COUNTIF($F1173:$AJ1173,"WO"))</f>
        <v/>
      </c>
      <c r="AV1173" s="34" t="str">
        <f aca="false">IF($B1173="","",COUNTIF($F1173:$AJ1173,"PH"))</f>
        <v/>
      </c>
      <c r="AW1173" s="34" t="str">
        <f aca="false">IF($B1173="","",COUNTIF($F1173:$AJ1173,"TR"))</f>
        <v/>
      </c>
      <c r="AX1173" s="35" t="str">
        <f aca="false">IF($B1173="","",AO1173+AS1173/2)</f>
        <v/>
      </c>
      <c r="AY1173" s="35" t="str">
        <f aca="false">IF($B1173="","",AQ1173)</f>
        <v/>
      </c>
      <c r="AZ1173" s="35" t="str">
        <f aca="false">IF($B1173="","",AP1173+AT1173/2)</f>
        <v/>
      </c>
      <c r="BA1173" s="35" t="str">
        <f aca="false">IF($B1173="","",AK1173+AN1173+AM1173/2+AO1173+AP1173+AQ1173+AR1173+AS1173+AT1173+AU1173+AV1173+AW1173)</f>
        <v/>
      </c>
      <c r="BB1173" s="35" t="str">
        <f aca="false">IF($B1173="","",MAX(0,AN1173-Settings!$C$16)*Settings!$C$17)</f>
        <v/>
      </c>
      <c r="BC1173" s="35" t="str">
        <f aca="false">IF($B1173="","",BA1173-BB1173)</f>
        <v/>
      </c>
      <c r="BD1173" s="35" t="str">
        <f aca="false">IF(OR($B1173="",$A1173=""),"",DAY(EOMONTH($A1173,0))-COUNTA($F1173:$AJ1173))</f>
        <v/>
      </c>
    </row>
    <row r="1174" customFormat="false" ht="15" hidden="false" customHeight="false" outlineLevel="0" collapsed="false">
      <c r="A1174" s="32"/>
      <c r="B1174" s="29"/>
      <c r="C1174" s="10" t="str">
        <f aca="false">IF($B1174="","",IFERROR(INDEX(M_name,MATCH($B1174,M_emp,0)),"Code not found"))</f>
        <v/>
      </c>
      <c r="D1174" s="10" t="str">
        <f aca="false">IF($B1174="","",IFERROR(INDEX(M_dept,MATCH($B1174,M_emp,0)),""))</f>
        <v/>
      </c>
      <c r="E1174" s="10" t="str">
        <f aca="false">IF($B1174="","",IFERROR(INDEX(M_loc,MATCH($B1174,M_emp,0)),""))</f>
        <v/>
      </c>
      <c r="F1174" s="33"/>
      <c r="G1174" s="33"/>
      <c r="H1174" s="33"/>
      <c r="I1174" s="33"/>
      <c r="J1174" s="33"/>
      <c r="K1174" s="33"/>
      <c r="L1174" s="33"/>
      <c r="M1174" s="33"/>
      <c r="N1174" s="33"/>
      <c r="O1174" s="33"/>
      <c r="P1174" s="33"/>
      <c r="Q1174" s="33"/>
      <c r="R1174" s="33"/>
      <c r="S1174" s="33"/>
      <c r="T1174" s="33"/>
      <c r="U1174" s="33"/>
      <c r="V1174" s="33"/>
      <c r="W1174" s="33"/>
      <c r="X1174" s="33"/>
      <c r="Y1174" s="33"/>
      <c r="Z1174" s="33"/>
      <c r="AA1174" s="33"/>
      <c r="AB1174" s="33"/>
      <c r="AC1174" s="33"/>
      <c r="AD1174" s="33"/>
      <c r="AE1174" s="33"/>
      <c r="AF1174" s="33"/>
      <c r="AG1174" s="33"/>
      <c r="AH1174" s="33"/>
      <c r="AI1174" s="33"/>
      <c r="AJ1174" s="33"/>
      <c r="AK1174" s="34" t="str">
        <f aca="false">IF($B1174="","",COUNTIF($F1174:$AJ1174,"P"))</f>
        <v/>
      </c>
      <c r="AL1174" s="34" t="str">
        <f aca="false">IF($B1174="","",COUNTIF($F1174:$AJ1174,"A"))</f>
        <v/>
      </c>
      <c r="AM1174" s="34" t="str">
        <f aca="false">IF($B1174="","",COUNTIF($F1174:$AJ1174,"HA"))</f>
        <v/>
      </c>
      <c r="AN1174" s="34" t="str">
        <f aca="false">IF($B1174="","",COUNTIF($F1174:$AJ1174,"L"))</f>
        <v/>
      </c>
      <c r="AO1174" s="34" t="str">
        <f aca="false">IF($B1174="","",COUNTIF($F1174:$AJ1174,"PL"))</f>
        <v/>
      </c>
      <c r="AP1174" s="34" t="str">
        <f aca="false">IF($B1174="","",COUNTIF($F1174:$AJ1174,"CL"))</f>
        <v/>
      </c>
      <c r="AQ1174" s="34" t="str">
        <f aca="false">IF($B1174="","",COUNTIF($F1174:$AJ1174,"SL"))</f>
        <v/>
      </c>
      <c r="AR1174" s="34" t="str">
        <f aca="false">IF($B1174="","",COUNTIF($F1174:$AJ1174,"CO"))</f>
        <v/>
      </c>
      <c r="AS1174" s="34" t="str">
        <f aca="false">IF($B1174="","",COUNTIF($F1174:$AJ1174,"HPL"))</f>
        <v/>
      </c>
      <c r="AT1174" s="34" t="str">
        <f aca="false">IF($B1174="","",COUNTIF($F1174:$AJ1174,"HCL"))</f>
        <v/>
      </c>
      <c r="AU1174" s="34" t="str">
        <f aca="false">IF($B1174="","",COUNTIF($F1174:$AJ1174,"WO"))</f>
        <v/>
      </c>
      <c r="AV1174" s="34" t="str">
        <f aca="false">IF($B1174="","",COUNTIF($F1174:$AJ1174,"PH"))</f>
        <v/>
      </c>
      <c r="AW1174" s="34" t="str">
        <f aca="false">IF($B1174="","",COUNTIF($F1174:$AJ1174,"TR"))</f>
        <v/>
      </c>
      <c r="AX1174" s="35" t="str">
        <f aca="false">IF($B1174="","",AO1174+AS1174/2)</f>
        <v/>
      </c>
      <c r="AY1174" s="35" t="str">
        <f aca="false">IF($B1174="","",AQ1174)</f>
        <v/>
      </c>
      <c r="AZ1174" s="35" t="str">
        <f aca="false">IF($B1174="","",AP1174+AT1174/2)</f>
        <v/>
      </c>
      <c r="BA1174" s="35" t="str">
        <f aca="false">IF($B1174="","",AK1174+AN1174+AM1174/2+AO1174+AP1174+AQ1174+AR1174+AS1174+AT1174+AU1174+AV1174+AW1174)</f>
        <v/>
      </c>
      <c r="BB1174" s="35" t="str">
        <f aca="false">IF($B1174="","",MAX(0,AN1174-Settings!$C$16)*Settings!$C$17)</f>
        <v/>
      </c>
      <c r="BC1174" s="35" t="str">
        <f aca="false">IF($B1174="","",BA1174-BB1174)</f>
        <v/>
      </c>
      <c r="BD1174" s="35" t="str">
        <f aca="false">IF(OR($B1174="",$A1174=""),"",DAY(EOMONTH($A1174,0))-COUNTA($F1174:$AJ1174))</f>
        <v/>
      </c>
    </row>
    <row r="1175" customFormat="false" ht="15" hidden="false" customHeight="false" outlineLevel="0" collapsed="false">
      <c r="A1175" s="32"/>
      <c r="B1175" s="29"/>
      <c r="C1175" s="10" t="str">
        <f aca="false">IF($B1175="","",IFERROR(INDEX(M_name,MATCH($B1175,M_emp,0)),"Code not found"))</f>
        <v/>
      </c>
      <c r="D1175" s="10" t="str">
        <f aca="false">IF($B1175="","",IFERROR(INDEX(M_dept,MATCH($B1175,M_emp,0)),""))</f>
        <v/>
      </c>
      <c r="E1175" s="10" t="str">
        <f aca="false">IF($B1175="","",IFERROR(INDEX(M_loc,MATCH($B1175,M_emp,0)),""))</f>
        <v/>
      </c>
      <c r="F1175" s="33"/>
      <c r="G1175" s="33"/>
      <c r="H1175" s="33"/>
      <c r="I1175" s="33"/>
      <c r="J1175" s="33"/>
      <c r="K1175" s="33"/>
      <c r="L1175" s="33"/>
      <c r="M1175" s="33"/>
      <c r="N1175" s="33"/>
      <c r="O1175" s="33"/>
      <c r="P1175" s="33"/>
      <c r="Q1175" s="33"/>
      <c r="R1175" s="33"/>
      <c r="S1175" s="33"/>
      <c r="T1175" s="33"/>
      <c r="U1175" s="33"/>
      <c r="V1175" s="33"/>
      <c r="W1175" s="33"/>
      <c r="X1175" s="33"/>
      <c r="Y1175" s="33"/>
      <c r="Z1175" s="33"/>
      <c r="AA1175" s="33"/>
      <c r="AB1175" s="33"/>
      <c r="AC1175" s="33"/>
      <c r="AD1175" s="33"/>
      <c r="AE1175" s="33"/>
      <c r="AF1175" s="33"/>
      <c r="AG1175" s="33"/>
      <c r="AH1175" s="33"/>
      <c r="AI1175" s="33"/>
      <c r="AJ1175" s="33"/>
      <c r="AK1175" s="34" t="str">
        <f aca="false">IF($B1175="","",COUNTIF($F1175:$AJ1175,"P"))</f>
        <v/>
      </c>
      <c r="AL1175" s="34" t="str">
        <f aca="false">IF($B1175="","",COUNTIF($F1175:$AJ1175,"A"))</f>
        <v/>
      </c>
      <c r="AM1175" s="34" t="str">
        <f aca="false">IF($B1175="","",COUNTIF($F1175:$AJ1175,"HA"))</f>
        <v/>
      </c>
      <c r="AN1175" s="34" t="str">
        <f aca="false">IF($B1175="","",COUNTIF($F1175:$AJ1175,"L"))</f>
        <v/>
      </c>
      <c r="AO1175" s="34" t="str">
        <f aca="false">IF($B1175="","",COUNTIF($F1175:$AJ1175,"PL"))</f>
        <v/>
      </c>
      <c r="AP1175" s="34" t="str">
        <f aca="false">IF($B1175="","",COUNTIF($F1175:$AJ1175,"CL"))</f>
        <v/>
      </c>
      <c r="AQ1175" s="34" t="str">
        <f aca="false">IF($B1175="","",COUNTIF($F1175:$AJ1175,"SL"))</f>
        <v/>
      </c>
      <c r="AR1175" s="34" t="str">
        <f aca="false">IF($B1175="","",COUNTIF($F1175:$AJ1175,"CO"))</f>
        <v/>
      </c>
      <c r="AS1175" s="34" t="str">
        <f aca="false">IF($B1175="","",COUNTIF($F1175:$AJ1175,"HPL"))</f>
        <v/>
      </c>
      <c r="AT1175" s="34" t="str">
        <f aca="false">IF($B1175="","",COUNTIF($F1175:$AJ1175,"HCL"))</f>
        <v/>
      </c>
      <c r="AU1175" s="34" t="str">
        <f aca="false">IF($B1175="","",COUNTIF($F1175:$AJ1175,"WO"))</f>
        <v/>
      </c>
      <c r="AV1175" s="34" t="str">
        <f aca="false">IF($B1175="","",COUNTIF($F1175:$AJ1175,"PH"))</f>
        <v/>
      </c>
      <c r="AW1175" s="34" t="str">
        <f aca="false">IF($B1175="","",COUNTIF($F1175:$AJ1175,"TR"))</f>
        <v/>
      </c>
      <c r="AX1175" s="35" t="str">
        <f aca="false">IF($B1175="","",AO1175+AS1175/2)</f>
        <v/>
      </c>
      <c r="AY1175" s="35" t="str">
        <f aca="false">IF($B1175="","",AQ1175)</f>
        <v/>
      </c>
      <c r="AZ1175" s="35" t="str">
        <f aca="false">IF($B1175="","",AP1175+AT1175/2)</f>
        <v/>
      </c>
      <c r="BA1175" s="35" t="str">
        <f aca="false">IF($B1175="","",AK1175+AN1175+AM1175/2+AO1175+AP1175+AQ1175+AR1175+AS1175+AT1175+AU1175+AV1175+AW1175)</f>
        <v/>
      </c>
      <c r="BB1175" s="35" t="str">
        <f aca="false">IF($B1175="","",MAX(0,AN1175-Settings!$C$16)*Settings!$C$17)</f>
        <v/>
      </c>
      <c r="BC1175" s="35" t="str">
        <f aca="false">IF($B1175="","",BA1175-BB1175)</f>
        <v/>
      </c>
      <c r="BD1175" s="35" t="str">
        <f aca="false">IF(OR($B1175="",$A1175=""),"",DAY(EOMONTH($A1175,0))-COUNTA($F1175:$AJ1175))</f>
        <v/>
      </c>
    </row>
    <row r="1176" customFormat="false" ht="15" hidden="false" customHeight="false" outlineLevel="0" collapsed="false">
      <c r="A1176" s="32"/>
      <c r="B1176" s="29"/>
      <c r="C1176" s="10" t="str">
        <f aca="false">IF($B1176="","",IFERROR(INDEX(M_name,MATCH($B1176,M_emp,0)),"Code not found"))</f>
        <v/>
      </c>
      <c r="D1176" s="10" t="str">
        <f aca="false">IF($B1176="","",IFERROR(INDEX(M_dept,MATCH($B1176,M_emp,0)),""))</f>
        <v/>
      </c>
      <c r="E1176" s="10" t="str">
        <f aca="false">IF($B1176="","",IFERROR(INDEX(M_loc,MATCH($B1176,M_emp,0)),""))</f>
        <v/>
      </c>
      <c r="F1176" s="33"/>
      <c r="G1176" s="33"/>
      <c r="H1176" s="33"/>
      <c r="I1176" s="33"/>
      <c r="J1176" s="33"/>
      <c r="K1176" s="33"/>
      <c r="L1176" s="33"/>
      <c r="M1176" s="33"/>
      <c r="N1176" s="33"/>
      <c r="O1176" s="33"/>
      <c r="P1176" s="33"/>
      <c r="Q1176" s="33"/>
      <c r="R1176" s="33"/>
      <c r="S1176" s="33"/>
      <c r="T1176" s="33"/>
      <c r="U1176" s="33"/>
      <c r="V1176" s="33"/>
      <c r="W1176" s="33"/>
      <c r="X1176" s="33"/>
      <c r="Y1176" s="33"/>
      <c r="Z1176" s="33"/>
      <c r="AA1176" s="33"/>
      <c r="AB1176" s="33"/>
      <c r="AC1176" s="33"/>
      <c r="AD1176" s="33"/>
      <c r="AE1176" s="33"/>
      <c r="AF1176" s="33"/>
      <c r="AG1176" s="33"/>
      <c r="AH1176" s="33"/>
      <c r="AI1176" s="33"/>
      <c r="AJ1176" s="33"/>
      <c r="AK1176" s="34" t="str">
        <f aca="false">IF($B1176="","",COUNTIF($F1176:$AJ1176,"P"))</f>
        <v/>
      </c>
      <c r="AL1176" s="34" t="str">
        <f aca="false">IF($B1176="","",COUNTIF($F1176:$AJ1176,"A"))</f>
        <v/>
      </c>
      <c r="AM1176" s="34" t="str">
        <f aca="false">IF($B1176="","",COUNTIF($F1176:$AJ1176,"HA"))</f>
        <v/>
      </c>
      <c r="AN1176" s="34" t="str">
        <f aca="false">IF($B1176="","",COUNTIF($F1176:$AJ1176,"L"))</f>
        <v/>
      </c>
      <c r="AO1176" s="34" t="str">
        <f aca="false">IF($B1176="","",COUNTIF($F1176:$AJ1176,"PL"))</f>
        <v/>
      </c>
      <c r="AP1176" s="34" t="str">
        <f aca="false">IF($B1176="","",COUNTIF($F1176:$AJ1176,"CL"))</f>
        <v/>
      </c>
      <c r="AQ1176" s="34" t="str">
        <f aca="false">IF($B1176="","",COUNTIF($F1176:$AJ1176,"SL"))</f>
        <v/>
      </c>
      <c r="AR1176" s="34" t="str">
        <f aca="false">IF($B1176="","",COUNTIF($F1176:$AJ1176,"CO"))</f>
        <v/>
      </c>
      <c r="AS1176" s="34" t="str">
        <f aca="false">IF($B1176="","",COUNTIF($F1176:$AJ1176,"HPL"))</f>
        <v/>
      </c>
      <c r="AT1176" s="34" t="str">
        <f aca="false">IF($B1176="","",COUNTIF($F1176:$AJ1176,"HCL"))</f>
        <v/>
      </c>
      <c r="AU1176" s="34" t="str">
        <f aca="false">IF($B1176="","",COUNTIF($F1176:$AJ1176,"WO"))</f>
        <v/>
      </c>
      <c r="AV1176" s="34" t="str">
        <f aca="false">IF($B1176="","",COUNTIF($F1176:$AJ1176,"PH"))</f>
        <v/>
      </c>
      <c r="AW1176" s="34" t="str">
        <f aca="false">IF($B1176="","",COUNTIF($F1176:$AJ1176,"TR"))</f>
        <v/>
      </c>
      <c r="AX1176" s="35" t="str">
        <f aca="false">IF($B1176="","",AO1176+AS1176/2)</f>
        <v/>
      </c>
      <c r="AY1176" s="35" t="str">
        <f aca="false">IF($B1176="","",AQ1176)</f>
        <v/>
      </c>
      <c r="AZ1176" s="35" t="str">
        <f aca="false">IF($B1176="","",AP1176+AT1176/2)</f>
        <v/>
      </c>
      <c r="BA1176" s="35" t="str">
        <f aca="false">IF($B1176="","",AK1176+AN1176+AM1176/2+AO1176+AP1176+AQ1176+AR1176+AS1176+AT1176+AU1176+AV1176+AW1176)</f>
        <v/>
      </c>
      <c r="BB1176" s="35" t="str">
        <f aca="false">IF($B1176="","",MAX(0,AN1176-Settings!$C$16)*Settings!$C$17)</f>
        <v/>
      </c>
      <c r="BC1176" s="35" t="str">
        <f aca="false">IF($B1176="","",BA1176-BB1176)</f>
        <v/>
      </c>
      <c r="BD1176" s="35" t="str">
        <f aca="false">IF(OR($B1176="",$A1176=""),"",DAY(EOMONTH($A1176,0))-COUNTA($F1176:$AJ1176))</f>
        <v/>
      </c>
    </row>
    <row r="1177" customFormat="false" ht="15" hidden="false" customHeight="false" outlineLevel="0" collapsed="false">
      <c r="A1177" s="32"/>
      <c r="B1177" s="29"/>
      <c r="C1177" s="10" t="str">
        <f aca="false">IF($B1177="","",IFERROR(INDEX(M_name,MATCH($B1177,M_emp,0)),"Code not found"))</f>
        <v/>
      </c>
      <c r="D1177" s="10" t="str">
        <f aca="false">IF($B1177="","",IFERROR(INDEX(M_dept,MATCH($B1177,M_emp,0)),""))</f>
        <v/>
      </c>
      <c r="E1177" s="10" t="str">
        <f aca="false">IF($B1177="","",IFERROR(INDEX(M_loc,MATCH($B1177,M_emp,0)),""))</f>
        <v/>
      </c>
      <c r="F1177" s="33"/>
      <c r="G1177" s="33"/>
      <c r="H1177" s="33"/>
      <c r="I1177" s="33"/>
      <c r="J1177" s="33"/>
      <c r="K1177" s="33"/>
      <c r="L1177" s="33"/>
      <c r="M1177" s="33"/>
      <c r="N1177" s="33"/>
      <c r="O1177" s="33"/>
      <c r="P1177" s="33"/>
      <c r="Q1177" s="33"/>
      <c r="R1177" s="33"/>
      <c r="S1177" s="33"/>
      <c r="T1177" s="33"/>
      <c r="U1177" s="33"/>
      <c r="V1177" s="33"/>
      <c r="W1177" s="33"/>
      <c r="X1177" s="33"/>
      <c r="Y1177" s="33"/>
      <c r="Z1177" s="33"/>
      <c r="AA1177" s="33"/>
      <c r="AB1177" s="33"/>
      <c r="AC1177" s="33"/>
      <c r="AD1177" s="33"/>
      <c r="AE1177" s="33"/>
      <c r="AF1177" s="33"/>
      <c r="AG1177" s="33"/>
      <c r="AH1177" s="33"/>
      <c r="AI1177" s="33"/>
      <c r="AJ1177" s="33"/>
      <c r="AK1177" s="34" t="str">
        <f aca="false">IF($B1177="","",COUNTIF($F1177:$AJ1177,"P"))</f>
        <v/>
      </c>
      <c r="AL1177" s="34" t="str">
        <f aca="false">IF($B1177="","",COUNTIF($F1177:$AJ1177,"A"))</f>
        <v/>
      </c>
      <c r="AM1177" s="34" t="str">
        <f aca="false">IF($B1177="","",COUNTIF($F1177:$AJ1177,"HA"))</f>
        <v/>
      </c>
      <c r="AN1177" s="34" t="str">
        <f aca="false">IF($B1177="","",COUNTIF($F1177:$AJ1177,"L"))</f>
        <v/>
      </c>
      <c r="AO1177" s="34" t="str">
        <f aca="false">IF($B1177="","",COUNTIF($F1177:$AJ1177,"PL"))</f>
        <v/>
      </c>
      <c r="AP1177" s="34" t="str">
        <f aca="false">IF($B1177="","",COUNTIF($F1177:$AJ1177,"CL"))</f>
        <v/>
      </c>
      <c r="AQ1177" s="34" t="str">
        <f aca="false">IF($B1177="","",COUNTIF($F1177:$AJ1177,"SL"))</f>
        <v/>
      </c>
      <c r="AR1177" s="34" t="str">
        <f aca="false">IF($B1177="","",COUNTIF($F1177:$AJ1177,"CO"))</f>
        <v/>
      </c>
      <c r="AS1177" s="34" t="str">
        <f aca="false">IF($B1177="","",COUNTIF($F1177:$AJ1177,"HPL"))</f>
        <v/>
      </c>
      <c r="AT1177" s="34" t="str">
        <f aca="false">IF($B1177="","",COUNTIF($F1177:$AJ1177,"HCL"))</f>
        <v/>
      </c>
      <c r="AU1177" s="34" t="str">
        <f aca="false">IF($B1177="","",COUNTIF($F1177:$AJ1177,"WO"))</f>
        <v/>
      </c>
      <c r="AV1177" s="34" t="str">
        <f aca="false">IF($B1177="","",COUNTIF($F1177:$AJ1177,"PH"))</f>
        <v/>
      </c>
      <c r="AW1177" s="34" t="str">
        <f aca="false">IF($B1177="","",COUNTIF($F1177:$AJ1177,"TR"))</f>
        <v/>
      </c>
      <c r="AX1177" s="35" t="str">
        <f aca="false">IF($B1177="","",AO1177+AS1177/2)</f>
        <v/>
      </c>
      <c r="AY1177" s="35" t="str">
        <f aca="false">IF($B1177="","",AQ1177)</f>
        <v/>
      </c>
      <c r="AZ1177" s="35" t="str">
        <f aca="false">IF($B1177="","",AP1177+AT1177/2)</f>
        <v/>
      </c>
      <c r="BA1177" s="35" t="str">
        <f aca="false">IF($B1177="","",AK1177+AN1177+AM1177/2+AO1177+AP1177+AQ1177+AR1177+AS1177+AT1177+AU1177+AV1177+AW1177)</f>
        <v/>
      </c>
      <c r="BB1177" s="35" t="str">
        <f aca="false">IF($B1177="","",MAX(0,AN1177-Settings!$C$16)*Settings!$C$17)</f>
        <v/>
      </c>
      <c r="BC1177" s="35" t="str">
        <f aca="false">IF($B1177="","",BA1177-BB1177)</f>
        <v/>
      </c>
      <c r="BD1177" s="35" t="str">
        <f aca="false">IF(OR($B1177="",$A1177=""),"",DAY(EOMONTH($A1177,0))-COUNTA($F1177:$AJ1177))</f>
        <v/>
      </c>
    </row>
    <row r="1178" customFormat="false" ht="15" hidden="false" customHeight="false" outlineLevel="0" collapsed="false">
      <c r="A1178" s="32"/>
      <c r="B1178" s="29"/>
      <c r="C1178" s="10" t="str">
        <f aca="false">IF($B1178="","",IFERROR(INDEX(M_name,MATCH($B1178,M_emp,0)),"Code not found"))</f>
        <v/>
      </c>
      <c r="D1178" s="10" t="str">
        <f aca="false">IF($B1178="","",IFERROR(INDEX(M_dept,MATCH($B1178,M_emp,0)),""))</f>
        <v/>
      </c>
      <c r="E1178" s="10" t="str">
        <f aca="false">IF($B1178="","",IFERROR(INDEX(M_loc,MATCH($B1178,M_emp,0)),""))</f>
        <v/>
      </c>
      <c r="F1178" s="33"/>
      <c r="G1178" s="33"/>
      <c r="H1178" s="33"/>
      <c r="I1178" s="33"/>
      <c r="J1178" s="33"/>
      <c r="K1178" s="33"/>
      <c r="L1178" s="33"/>
      <c r="M1178" s="33"/>
      <c r="N1178" s="33"/>
      <c r="O1178" s="33"/>
      <c r="P1178" s="33"/>
      <c r="Q1178" s="33"/>
      <c r="R1178" s="33"/>
      <c r="S1178" s="33"/>
      <c r="T1178" s="33"/>
      <c r="U1178" s="33"/>
      <c r="V1178" s="33"/>
      <c r="W1178" s="33"/>
      <c r="X1178" s="33"/>
      <c r="Y1178" s="33"/>
      <c r="Z1178" s="33"/>
      <c r="AA1178" s="33"/>
      <c r="AB1178" s="33"/>
      <c r="AC1178" s="33"/>
      <c r="AD1178" s="33"/>
      <c r="AE1178" s="33"/>
      <c r="AF1178" s="33"/>
      <c r="AG1178" s="33"/>
      <c r="AH1178" s="33"/>
      <c r="AI1178" s="33"/>
      <c r="AJ1178" s="33"/>
      <c r="AK1178" s="34" t="str">
        <f aca="false">IF($B1178="","",COUNTIF($F1178:$AJ1178,"P"))</f>
        <v/>
      </c>
      <c r="AL1178" s="34" t="str">
        <f aca="false">IF($B1178="","",COUNTIF($F1178:$AJ1178,"A"))</f>
        <v/>
      </c>
      <c r="AM1178" s="34" t="str">
        <f aca="false">IF($B1178="","",COUNTIF($F1178:$AJ1178,"HA"))</f>
        <v/>
      </c>
      <c r="AN1178" s="34" t="str">
        <f aca="false">IF($B1178="","",COUNTIF($F1178:$AJ1178,"L"))</f>
        <v/>
      </c>
      <c r="AO1178" s="34" t="str">
        <f aca="false">IF($B1178="","",COUNTIF($F1178:$AJ1178,"PL"))</f>
        <v/>
      </c>
      <c r="AP1178" s="34" t="str">
        <f aca="false">IF($B1178="","",COUNTIF($F1178:$AJ1178,"CL"))</f>
        <v/>
      </c>
      <c r="AQ1178" s="34" t="str">
        <f aca="false">IF($B1178="","",COUNTIF($F1178:$AJ1178,"SL"))</f>
        <v/>
      </c>
      <c r="AR1178" s="34" t="str">
        <f aca="false">IF($B1178="","",COUNTIF($F1178:$AJ1178,"CO"))</f>
        <v/>
      </c>
      <c r="AS1178" s="34" t="str">
        <f aca="false">IF($B1178="","",COUNTIF($F1178:$AJ1178,"HPL"))</f>
        <v/>
      </c>
      <c r="AT1178" s="34" t="str">
        <f aca="false">IF($B1178="","",COUNTIF($F1178:$AJ1178,"HCL"))</f>
        <v/>
      </c>
      <c r="AU1178" s="34" t="str">
        <f aca="false">IF($B1178="","",COUNTIF($F1178:$AJ1178,"WO"))</f>
        <v/>
      </c>
      <c r="AV1178" s="34" t="str">
        <f aca="false">IF($B1178="","",COUNTIF($F1178:$AJ1178,"PH"))</f>
        <v/>
      </c>
      <c r="AW1178" s="34" t="str">
        <f aca="false">IF($B1178="","",COUNTIF($F1178:$AJ1178,"TR"))</f>
        <v/>
      </c>
      <c r="AX1178" s="35" t="str">
        <f aca="false">IF($B1178="","",AO1178+AS1178/2)</f>
        <v/>
      </c>
      <c r="AY1178" s="35" t="str">
        <f aca="false">IF($B1178="","",AQ1178)</f>
        <v/>
      </c>
      <c r="AZ1178" s="35" t="str">
        <f aca="false">IF($B1178="","",AP1178+AT1178/2)</f>
        <v/>
      </c>
      <c r="BA1178" s="35" t="str">
        <f aca="false">IF($B1178="","",AK1178+AN1178+AM1178/2+AO1178+AP1178+AQ1178+AR1178+AS1178+AT1178+AU1178+AV1178+AW1178)</f>
        <v/>
      </c>
      <c r="BB1178" s="35" t="str">
        <f aca="false">IF($B1178="","",MAX(0,AN1178-Settings!$C$16)*Settings!$C$17)</f>
        <v/>
      </c>
      <c r="BC1178" s="35" t="str">
        <f aca="false">IF($B1178="","",BA1178-BB1178)</f>
        <v/>
      </c>
      <c r="BD1178" s="35" t="str">
        <f aca="false">IF(OR($B1178="",$A1178=""),"",DAY(EOMONTH($A1178,0))-COUNTA($F1178:$AJ1178))</f>
        <v/>
      </c>
    </row>
    <row r="1179" customFormat="false" ht="15" hidden="false" customHeight="false" outlineLevel="0" collapsed="false">
      <c r="A1179" s="32"/>
      <c r="B1179" s="29"/>
      <c r="C1179" s="10" t="str">
        <f aca="false">IF($B1179="","",IFERROR(INDEX(M_name,MATCH($B1179,M_emp,0)),"Code not found"))</f>
        <v/>
      </c>
      <c r="D1179" s="10" t="str">
        <f aca="false">IF($B1179="","",IFERROR(INDEX(M_dept,MATCH($B1179,M_emp,0)),""))</f>
        <v/>
      </c>
      <c r="E1179" s="10" t="str">
        <f aca="false">IF($B1179="","",IFERROR(INDEX(M_loc,MATCH($B1179,M_emp,0)),""))</f>
        <v/>
      </c>
      <c r="F1179" s="33"/>
      <c r="G1179" s="33"/>
      <c r="H1179" s="33"/>
      <c r="I1179" s="33"/>
      <c r="J1179" s="33"/>
      <c r="K1179" s="33"/>
      <c r="L1179" s="33"/>
      <c r="M1179" s="33"/>
      <c r="N1179" s="33"/>
      <c r="O1179" s="33"/>
      <c r="P1179" s="33"/>
      <c r="Q1179" s="33"/>
      <c r="R1179" s="33"/>
      <c r="S1179" s="33"/>
      <c r="T1179" s="33"/>
      <c r="U1179" s="33"/>
      <c r="V1179" s="33"/>
      <c r="W1179" s="33"/>
      <c r="X1179" s="33"/>
      <c r="Y1179" s="33"/>
      <c r="Z1179" s="33"/>
      <c r="AA1179" s="33"/>
      <c r="AB1179" s="33"/>
      <c r="AC1179" s="33"/>
      <c r="AD1179" s="33"/>
      <c r="AE1179" s="33"/>
      <c r="AF1179" s="33"/>
      <c r="AG1179" s="33"/>
      <c r="AH1179" s="33"/>
      <c r="AI1179" s="33"/>
      <c r="AJ1179" s="33"/>
      <c r="AK1179" s="34" t="str">
        <f aca="false">IF($B1179="","",COUNTIF($F1179:$AJ1179,"P"))</f>
        <v/>
      </c>
      <c r="AL1179" s="34" t="str">
        <f aca="false">IF($B1179="","",COUNTIF($F1179:$AJ1179,"A"))</f>
        <v/>
      </c>
      <c r="AM1179" s="34" t="str">
        <f aca="false">IF($B1179="","",COUNTIF($F1179:$AJ1179,"HA"))</f>
        <v/>
      </c>
      <c r="AN1179" s="34" t="str">
        <f aca="false">IF($B1179="","",COUNTIF($F1179:$AJ1179,"L"))</f>
        <v/>
      </c>
      <c r="AO1179" s="34" t="str">
        <f aca="false">IF($B1179="","",COUNTIF($F1179:$AJ1179,"PL"))</f>
        <v/>
      </c>
      <c r="AP1179" s="34" t="str">
        <f aca="false">IF($B1179="","",COUNTIF($F1179:$AJ1179,"CL"))</f>
        <v/>
      </c>
      <c r="AQ1179" s="34" t="str">
        <f aca="false">IF($B1179="","",COUNTIF($F1179:$AJ1179,"SL"))</f>
        <v/>
      </c>
      <c r="AR1179" s="34" t="str">
        <f aca="false">IF($B1179="","",COUNTIF($F1179:$AJ1179,"CO"))</f>
        <v/>
      </c>
      <c r="AS1179" s="34" t="str">
        <f aca="false">IF($B1179="","",COUNTIF($F1179:$AJ1179,"HPL"))</f>
        <v/>
      </c>
      <c r="AT1179" s="34" t="str">
        <f aca="false">IF($B1179="","",COUNTIF($F1179:$AJ1179,"HCL"))</f>
        <v/>
      </c>
      <c r="AU1179" s="34" t="str">
        <f aca="false">IF($B1179="","",COUNTIF($F1179:$AJ1179,"WO"))</f>
        <v/>
      </c>
      <c r="AV1179" s="34" t="str">
        <f aca="false">IF($B1179="","",COUNTIF($F1179:$AJ1179,"PH"))</f>
        <v/>
      </c>
      <c r="AW1179" s="34" t="str">
        <f aca="false">IF($B1179="","",COUNTIF($F1179:$AJ1179,"TR"))</f>
        <v/>
      </c>
      <c r="AX1179" s="35" t="str">
        <f aca="false">IF($B1179="","",AO1179+AS1179/2)</f>
        <v/>
      </c>
      <c r="AY1179" s="35" t="str">
        <f aca="false">IF($B1179="","",AQ1179)</f>
        <v/>
      </c>
      <c r="AZ1179" s="35" t="str">
        <f aca="false">IF($B1179="","",AP1179+AT1179/2)</f>
        <v/>
      </c>
      <c r="BA1179" s="35" t="str">
        <f aca="false">IF($B1179="","",AK1179+AN1179+AM1179/2+AO1179+AP1179+AQ1179+AR1179+AS1179+AT1179+AU1179+AV1179+AW1179)</f>
        <v/>
      </c>
      <c r="BB1179" s="35" t="str">
        <f aca="false">IF($B1179="","",MAX(0,AN1179-Settings!$C$16)*Settings!$C$17)</f>
        <v/>
      </c>
      <c r="BC1179" s="35" t="str">
        <f aca="false">IF($B1179="","",BA1179-BB1179)</f>
        <v/>
      </c>
      <c r="BD1179" s="35" t="str">
        <f aca="false">IF(OR($B1179="",$A1179=""),"",DAY(EOMONTH($A1179,0))-COUNTA($F1179:$AJ1179))</f>
        <v/>
      </c>
    </row>
    <row r="1180" customFormat="false" ht="15" hidden="false" customHeight="false" outlineLevel="0" collapsed="false">
      <c r="A1180" s="32"/>
      <c r="B1180" s="29"/>
      <c r="C1180" s="10" t="str">
        <f aca="false">IF($B1180="","",IFERROR(INDEX(M_name,MATCH($B1180,M_emp,0)),"Code not found"))</f>
        <v/>
      </c>
      <c r="D1180" s="10" t="str">
        <f aca="false">IF($B1180="","",IFERROR(INDEX(M_dept,MATCH($B1180,M_emp,0)),""))</f>
        <v/>
      </c>
      <c r="E1180" s="10" t="str">
        <f aca="false">IF($B1180="","",IFERROR(INDEX(M_loc,MATCH($B1180,M_emp,0)),""))</f>
        <v/>
      </c>
      <c r="F1180" s="33"/>
      <c r="G1180" s="33"/>
      <c r="H1180" s="33"/>
      <c r="I1180" s="33"/>
      <c r="J1180" s="33"/>
      <c r="K1180" s="33"/>
      <c r="L1180" s="33"/>
      <c r="M1180" s="33"/>
      <c r="N1180" s="33"/>
      <c r="O1180" s="33"/>
      <c r="P1180" s="33"/>
      <c r="Q1180" s="33"/>
      <c r="R1180" s="33"/>
      <c r="S1180" s="33"/>
      <c r="T1180" s="33"/>
      <c r="U1180" s="33"/>
      <c r="V1180" s="33"/>
      <c r="W1180" s="33"/>
      <c r="X1180" s="33"/>
      <c r="Y1180" s="33"/>
      <c r="Z1180" s="33"/>
      <c r="AA1180" s="33"/>
      <c r="AB1180" s="33"/>
      <c r="AC1180" s="33"/>
      <c r="AD1180" s="33"/>
      <c r="AE1180" s="33"/>
      <c r="AF1180" s="33"/>
      <c r="AG1180" s="33"/>
      <c r="AH1180" s="33"/>
      <c r="AI1180" s="33"/>
      <c r="AJ1180" s="33"/>
      <c r="AK1180" s="34" t="str">
        <f aca="false">IF($B1180="","",COUNTIF($F1180:$AJ1180,"P"))</f>
        <v/>
      </c>
      <c r="AL1180" s="34" t="str">
        <f aca="false">IF($B1180="","",COUNTIF($F1180:$AJ1180,"A"))</f>
        <v/>
      </c>
      <c r="AM1180" s="34" t="str">
        <f aca="false">IF($B1180="","",COUNTIF($F1180:$AJ1180,"HA"))</f>
        <v/>
      </c>
      <c r="AN1180" s="34" t="str">
        <f aca="false">IF($B1180="","",COUNTIF($F1180:$AJ1180,"L"))</f>
        <v/>
      </c>
      <c r="AO1180" s="34" t="str">
        <f aca="false">IF($B1180="","",COUNTIF($F1180:$AJ1180,"PL"))</f>
        <v/>
      </c>
      <c r="AP1180" s="34" t="str">
        <f aca="false">IF($B1180="","",COUNTIF($F1180:$AJ1180,"CL"))</f>
        <v/>
      </c>
      <c r="AQ1180" s="34" t="str">
        <f aca="false">IF($B1180="","",COUNTIF($F1180:$AJ1180,"SL"))</f>
        <v/>
      </c>
      <c r="AR1180" s="34" t="str">
        <f aca="false">IF($B1180="","",COUNTIF($F1180:$AJ1180,"CO"))</f>
        <v/>
      </c>
      <c r="AS1180" s="34" t="str">
        <f aca="false">IF($B1180="","",COUNTIF($F1180:$AJ1180,"HPL"))</f>
        <v/>
      </c>
      <c r="AT1180" s="34" t="str">
        <f aca="false">IF($B1180="","",COUNTIF($F1180:$AJ1180,"HCL"))</f>
        <v/>
      </c>
      <c r="AU1180" s="34" t="str">
        <f aca="false">IF($B1180="","",COUNTIF($F1180:$AJ1180,"WO"))</f>
        <v/>
      </c>
      <c r="AV1180" s="34" t="str">
        <f aca="false">IF($B1180="","",COUNTIF($F1180:$AJ1180,"PH"))</f>
        <v/>
      </c>
      <c r="AW1180" s="34" t="str">
        <f aca="false">IF($B1180="","",COUNTIF($F1180:$AJ1180,"TR"))</f>
        <v/>
      </c>
      <c r="AX1180" s="35" t="str">
        <f aca="false">IF($B1180="","",AO1180+AS1180/2)</f>
        <v/>
      </c>
      <c r="AY1180" s="35" t="str">
        <f aca="false">IF($B1180="","",AQ1180)</f>
        <v/>
      </c>
      <c r="AZ1180" s="35" t="str">
        <f aca="false">IF($B1180="","",AP1180+AT1180/2)</f>
        <v/>
      </c>
      <c r="BA1180" s="35" t="str">
        <f aca="false">IF($B1180="","",AK1180+AN1180+AM1180/2+AO1180+AP1180+AQ1180+AR1180+AS1180+AT1180+AU1180+AV1180+AW1180)</f>
        <v/>
      </c>
      <c r="BB1180" s="35" t="str">
        <f aca="false">IF($B1180="","",MAX(0,AN1180-Settings!$C$16)*Settings!$C$17)</f>
        <v/>
      </c>
      <c r="BC1180" s="35" t="str">
        <f aca="false">IF($B1180="","",BA1180-BB1180)</f>
        <v/>
      </c>
      <c r="BD1180" s="35" t="str">
        <f aca="false">IF(OR($B1180="",$A1180=""),"",DAY(EOMONTH($A1180,0))-COUNTA($F1180:$AJ1180))</f>
        <v/>
      </c>
    </row>
    <row r="1181" customFormat="false" ht="15" hidden="false" customHeight="false" outlineLevel="0" collapsed="false">
      <c r="A1181" s="32"/>
      <c r="B1181" s="29"/>
      <c r="C1181" s="10" t="str">
        <f aca="false">IF($B1181="","",IFERROR(INDEX(M_name,MATCH($B1181,M_emp,0)),"Code not found"))</f>
        <v/>
      </c>
      <c r="D1181" s="10" t="str">
        <f aca="false">IF($B1181="","",IFERROR(INDEX(M_dept,MATCH($B1181,M_emp,0)),""))</f>
        <v/>
      </c>
      <c r="E1181" s="10" t="str">
        <f aca="false">IF($B1181="","",IFERROR(INDEX(M_loc,MATCH($B1181,M_emp,0)),""))</f>
        <v/>
      </c>
      <c r="F1181" s="33"/>
      <c r="G1181" s="33"/>
      <c r="H1181" s="33"/>
      <c r="I1181" s="33"/>
      <c r="J1181" s="33"/>
      <c r="K1181" s="33"/>
      <c r="L1181" s="33"/>
      <c r="M1181" s="33"/>
      <c r="N1181" s="33"/>
      <c r="O1181" s="33"/>
      <c r="P1181" s="33"/>
      <c r="Q1181" s="33"/>
      <c r="R1181" s="33"/>
      <c r="S1181" s="33"/>
      <c r="T1181" s="33"/>
      <c r="U1181" s="33"/>
      <c r="V1181" s="33"/>
      <c r="W1181" s="33"/>
      <c r="X1181" s="33"/>
      <c r="Y1181" s="33"/>
      <c r="Z1181" s="33"/>
      <c r="AA1181" s="33"/>
      <c r="AB1181" s="33"/>
      <c r="AC1181" s="33"/>
      <c r="AD1181" s="33"/>
      <c r="AE1181" s="33"/>
      <c r="AF1181" s="33"/>
      <c r="AG1181" s="33"/>
      <c r="AH1181" s="33"/>
      <c r="AI1181" s="33"/>
      <c r="AJ1181" s="33"/>
      <c r="AK1181" s="34" t="str">
        <f aca="false">IF($B1181="","",COUNTIF($F1181:$AJ1181,"P"))</f>
        <v/>
      </c>
      <c r="AL1181" s="34" t="str">
        <f aca="false">IF($B1181="","",COUNTIF($F1181:$AJ1181,"A"))</f>
        <v/>
      </c>
      <c r="AM1181" s="34" t="str">
        <f aca="false">IF($B1181="","",COUNTIF($F1181:$AJ1181,"HA"))</f>
        <v/>
      </c>
      <c r="AN1181" s="34" t="str">
        <f aca="false">IF($B1181="","",COUNTIF($F1181:$AJ1181,"L"))</f>
        <v/>
      </c>
      <c r="AO1181" s="34" t="str">
        <f aca="false">IF($B1181="","",COUNTIF($F1181:$AJ1181,"PL"))</f>
        <v/>
      </c>
      <c r="AP1181" s="34" t="str">
        <f aca="false">IF($B1181="","",COUNTIF($F1181:$AJ1181,"CL"))</f>
        <v/>
      </c>
      <c r="AQ1181" s="34" t="str">
        <f aca="false">IF($B1181="","",COUNTIF($F1181:$AJ1181,"SL"))</f>
        <v/>
      </c>
      <c r="AR1181" s="34" t="str">
        <f aca="false">IF($B1181="","",COUNTIF($F1181:$AJ1181,"CO"))</f>
        <v/>
      </c>
      <c r="AS1181" s="34" t="str">
        <f aca="false">IF($B1181="","",COUNTIF($F1181:$AJ1181,"HPL"))</f>
        <v/>
      </c>
      <c r="AT1181" s="34" t="str">
        <f aca="false">IF($B1181="","",COUNTIF($F1181:$AJ1181,"HCL"))</f>
        <v/>
      </c>
      <c r="AU1181" s="34" t="str">
        <f aca="false">IF($B1181="","",COUNTIF($F1181:$AJ1181,"WO"))</f>
        <v/>
      </c>
      <c r="AV1181" s="34" t="str">
        <f aca="false">IF($B1181="","",COUNTIF($F1181:$AJ1181,"PH"))</f>
        <v/>
      </c>
      <c r="AW1181" s="34" t="str">
        <f aca="false">IF($B1181="","",COUNTIF($F1181:$AJ1181,"TR"))</f>
        <v/>
      </c>
      <c r="AX1181" s="35" t="str">
        <f aca="false">IF($B1181="","",AO1181+AS1181/2)</f>
        <v/>
      </c>
      <c r="AY1181" s="35" t="str">
        <f aca="false">IF($B1181="","",AQ1181)</f>
        <v/>
      </c>
      <c r="AZ1181" s="35" t="str">
        <f aca="false">IF($B1181="","",AP1181+AT1181/2)</f>
        <v/>
      </c>
      <c r="BA1181" s="35" t="str">
        <f aca="false">IF($B1181="","",AK1181+AN1181+AM1181/2+AO1181+AP1181+AQ1181+AR1181+AS1181+AT1181+AU1181+AV1181+AW1181)</f>
        <v/>
      </c>
      <c r="BB1181" s="35" t="str">
        <f aca="false">IF($B1181="","",MAX(0,AN1181-Settings!$C$16)*Settings!$C$17)</f>
        <v/>
      </c>
      <c r="BC1181" s="35" t="str">
        <f aca="false">IF($B1181="","",BA1181-BB1181)</f>
        <v/>
      </c>
      <c r="BD1181" s="35" t="str">
        <f aca="false">IF(OR($B1181="",$A1181=""),"",DAY(EOMONTH($A1181,0))-COUNTA($F1181:$AJ1181))</f>
        <v/>
      </c>
    </row>
    <row r="1182" customFormat="false" ht="15" hidden="false" customHeight="false" outlineLevel="0" collapsed="false">
      <c r="A1182" s="32"/>
      <c r="B1182" s="29"/>
      <c r="C1182" s="10" t="str">
        <f aca="false">IF($B1182="","",IFERROR(INDEX(M_name,MATCH($B1182,M_emp,0)),"Code not found"))</f>
        <v/>
      </c>
      <c r="D1182" s="10" t="str">
        <f aca="false">IF($B1182="","",IFERROR(INDEX(M_dept,MATCH($B1182,M_emp,0)),""))</f>
        <v/>
      </c>
      <c r="E1182" s="10" t="str">
        <f aca="false">IF($B1182="","",IFERROR(INDEX(M_loc,MATCH($B1182,M_emp,0)),""))</f>
        <v/>
      </c>
      <c r="F1182" s="33"/>
      <c r="G1182" s="33"/>
      <c r="H1182" s="33"/>
      <c r="I1182" s="33"/>
      <c r="J1182" s="33"/>
      <c r="K1182" s="33"/>
      <c r="L1182" s="33"/>
      <c r="M1182" s="33"/>
      <c r="N1182" s="33"/>
      <c r="O1182" s="33"/>
      <c r="P1182" s="33"/>
      <c r="Q1182" s="33"/>
      <c r="R1182" s="33"/>
      <c r="S1182" s="33"/>
      <c r="T1182" s="33"/>
      <c r="U1182" s="33"/>
      <c r="V1182" s="33"/>
      <c r="W1182" s="33"/>
      <c r="X1182" s="33"/>
      <c r="Y1182" s="33"/>
      <c r="Z1182" s="33"/>
      <c r="AA1182" s="33"/>
      <c r="AB1182" s="33"/>
      <c r="AC1182" s="33"/>
      <c r="AD1182" s="33"/>
      <c r="AE1182" s="33"/>
      <c r="AF1182" s="33"/>
      <c r="AG1182" s="33"/>
      <c r="AH1182" s="33"/>
      <c r="AI1182" s="33"/>
      <c r="AJ1182" s="33"/>
      <c r="AK1182" s="34" t="str">
        <f aca="false">IF($B1182="","",COUNTIF($F1182:$AJ1182,"P"))</f>
        <v/>
      </c>
      <c r="AL1182" s="34" t="str">
        <f aca="false">IF($B1182="","",COUNTIF($F1182:$AJ1182,"A"))</f>
        <v/>
      </c>
      <c r="AM1182" s="34" t="str">
        <f aca="false">IF($B1182="","",COUNTIF($F1182:$AJ1182,"HA"))</f>
        <v/>
      </c>
      <c r="AN1182" s="34" t="str">
        <f aca="false">IF($B1182="","",COUNTIF($F1182:$AJ1182,"L"))</f>
        <v/>
      </c>
      <c r="AO1182" s="34" t="str">
        <f aca="false">IF($B1182="","",COUNTIF($F1182:$AJ1182,"PL"))</f>
        <v/>
      </c>
      <c r="AP1182" s="34" t="str">
        <f aca="false">IF($B1182="","",COUNTIF($F1182:$AJ1182,"CL"))</f>
        <v/>
      </c>
      <c r="AQ1182" s="34" t="str">
        <f aca="false">IF($B1182="","",COUNTIF($F1182:$AJ1182,"SL"))</f>
        <v/>
      </c>
      <c r="AR1182" s="34" t="str">
        <f aca="false">IF($B1182="","",COUNTIF($F1182:$AJ1182,"CO"))</f>
        <v/>
      </c>
      <c r="AS1182" s="34" t="str">
        <f aca="false">IF($B1182="","",COUNTIF($F1182:$AJ1182,"HPL"))</f>
        <v/>
      </c>
      <c r="AT1182" s="34" t="str">
        <f aca="false">IF($B1182="","",COUNTIF($F1182:$AJ1182,"HCL"))</f>
        <v/>
      </c>
      <c r="AU1182" s="34" t="str">
        <f aca="false">IF($B1182="","",COUNTIF($F1182:$AJ1182,"WO"))</f>
        <v/>
      </c>
      <c r="AV1182" s="34" t="str">
        <f aca="false">IF($B1182="","",COUNTIF($F1182:$AJ1182,"PH"))</f>
        <v/>
      </c>
      <c r="AW1182" s="34" t="str">
        <f aca="false">IF($B1182="","",COUNTIF($F1182:$AJ1182,"TR"))</f>
        <v/>
      </c>
      <c r="AX1182" s="35" t="str">
        <f aca="false">IF($B1182="","",AO1182+AS1182/2)</f>
        <v/>
      </c>
      <c r="AY1182" s="35" t="str">
        <f aca="false">IF($B1182="","",AQ1182)</f>
        <v/>
      </c>
      <c r="AZ1182" s="35" t="str">
        <f aca="false">IF($B1182="","",AP1182+AT1182/2)</f>
        <v/>
      </c>
      <c r="BA1182" s="35" t="str">
        <f aca="false">IF($B1182="","",AK1182+AN1182+AM1182/2+AO1182+AP1182+AQ1182+AR1182+AS1182+AT1182+AU1182+AV1182+AW1182)</f>
        <v/>
      </c>
      <c r="BB1182" s="35" t="str">
        <f aca="false">IF($B1182="","",MAX(0,AN1182-Settings!$C$16)*Settings!$C$17)</f>
        <v/>
      </c>
      <c r="BC1182" s="35" t="str">
        <f aca="false">IF($B1182="","",BA1182-BB1182)</f>
        <v/>
      </c>
      <c r="BD1182" s="35" t="str">
        <f aca="false">IF(OR($B1182="",$A1182=""),"",DAY(EOMONTH($A1182,0))-COUNTA($F1182:$AJ1182))</f>
        <v/>
      </c>
    </row>
    <row r="1183" customFormat="false" ht="15" hidden="false" customHeight="false" outlineLevel="0" collapsed="false">
      <c r="A1183" s="32"/>
      <c r="B1183" s="29"/>
      <c r="C1183" s="10" t="str">
        <f aca="false">IF($B1183="","",IFERROR(INDEX(M_name,MATCH($B1183,M_emp,0)),"Code not found"))</f>
        <v/>
      </c>
      <c r="D1183" s="10" t="str">
        <f aca="false">IF($B1183="","",IFERROR(INDEX(M_dept,MATCH($B1183,M_emp,0)),""))</f>
        <v/>
      </c>
      <c r="E1183" s="10" t="str">
        <f aca="false">IF($B1183="","",IFERROR(INDEX(M_loc,MATCH($B1183,M_emp,0)),""))</f>
        <v/>
      </c>
      <c r="F1183" s="33"/>
      <c r="G1183" s="33"/>
      <c r="H1183" s="33"/>
      <c r="I1183" s="33"/>
      <c r="J1183" s="33"/>
      <c r="K1183" s="33"/>
      <c r="L1183" s="33"/>
      <c r="M1183" s="33"/>
      <c r="N1183" s="33"/>
      <c r="O1183" s="33"/>
      <c r="P1183" s="33"/>
      <c r="Q1183" s="33"/>
      <c r="R1183" s="33"/>
      <c r="S1183" s="33"/>
      <c r="T1183" s="33"/>
      <c r="U1183" s="33"/>
      <c r="V1183" s="33"/>
      <c r="W1183" s="33"/>
      <c r="X1183" s="33"/>
      <c r="Y1183" s="33"/>
      <c r="Z1183" s="33"/>
      <c r="AA1183" s="33"/>
      <c r="AB1183" s="33"/>
      <c r="AC1183" s="33"/>
      <c r="AD1183" s="33"/>
      <c r="AE1183" s="33"/>
      <c r="AF1183" s="33"/>
      <c r="AG1183" s="33"/>
      <c r="AH1183" s="33"/>
      <c r="AI1183" s="33"/>
      <c r="AJ1183" s="33"/>
      <c r="AK1183" s="34" t="str">
        <f aca="false">IF($B1183="","",COUNTIF($F1183:$AJ1183,"P"))</f>
        <v/>
      </c>
      <c r="AL1183" s="34" t="str">
        <f aca="false">IF($B1183="","",COUNTIF($F1183:$AJ1183,"A"))</f>
        <v/>
      </c>
      <c r="AM1183" s="34" t="str">
        <f aca="false">IF($B1183="","",COUNTIF($F1183:$AJ1183,"HA"))</f>
        <v/>
      </c>
      <c r="AN1183" s="34" t="str">
        <f aca="false">IF($B1183="","",COUNTIF($F1183:$AJ1183,"L"))</f>
        <v/>
      </c>
      <c r="AO1183" s="34" t="str">
        <f aca="false">IF($B1183="","",COUNTIF($F1183:$AJ1183,"PL"))</f>
        <v/>
      </c>
      <c r="AP1183" s="34" t="str">
        <f aca="false">IF($B1183="","",COUNTIF($F1183:$AJ1183,"CL"))</f>
        <v/>
      </c>
      <c r="AQ1183" s="34" t="str">
        <f aca="false">IF($B1183="","",COUNTIF($F1183:$AJ1183,"SL"))</f>
        <v/>
      </c>
      <c r="AR1183" s="34" t="str">
        <f aca="false">IF($B1183="","",COUNTIF($F1183:$AJ1183,"CO"))</f>
        <v/>
      </c>
      <c r="AS1183" s="34" t="str">
        <f aca="false">IF($B1183="","",COUNTIF($F1183:$AJ1183,"HPL"))</f>
        <v/>
      </c>
      <c r="AT1183" s="34" t="str">
        <f aca="false">IF($B1183="","",COUNTIF($F1183:$AJ1183,"HCL"))</f>
        <v/>
      </c>
      <c r="AU1183" s="34" t="str">
        <f aca="false">IF($B1183="","",COUNTIF($F1183:$AJ1183,"WO"))</f>
        <v/>
      </c>
      <c r="AV1183" s="34" t="str">
        <f aca="false">IF($B1183="","",COUNTIF($F1183:$AJ1183,"PH"))</f>
        <v/>
      </c>
      <c r="AW1183" s="34" t="str">
        <f aca="false">IF($B1183="","",COUNTIF($F1183:$AJ1183,"TR"))</f>
        <v/>
      </c>
      <c r="AX1183" s="35" t="str">
        <f aca="false">IF($B1183="","",AO1183+AS1183/2)</f>
        <v/>
      </c>
      <c r="AY1183" s="35" t="str">
        <f aca="false">IF($B1183="","",AQ1183)</f>
        <v/>
      </c>
      <c r="AZ1183" s="35" t="str">
        <f aca="false">IF($B1183="","",AP1183+AT1183/2)</f>
        <v/>
      </c>
      <c r="BA1183" s="35" t="str">
        <f aca="false">IF($B1183="","",AK1183+AN1183+AM1183/2+AO1183+AP1183+AQ1183+AR1183+AS1183+AT1183+AU1183+AV1183+AW1183)</f>
        <v/>
      </c>
      <c r="BB1183" s="35" t="str">
        <f aca="false">IF($B1183="","",MAX(0,AN1183-Settings!$C$16)*Settings!$C$17)</f>
        <v/>
      </c>
      <c r="BC1183" s="35" t="str">
        <f aca="false">IF($B1183="","",BA1183-BB1183)</f>
        <v/>
      </c>
      <c r="BD1183" s="35" t="str">
        <f aca="false">IF(OR($B1183="",$A1183=""),"",DAY(EOMONTH($A1183,0))-COUNTA($F1183:$AJ1183))</f>
        <v/>
      </c>
    </row>
    <row r="1184" customFormat="false" ht="15" hidden="false" customHeight="false" outlineLevel="0" collapsed="false">
      <c r="A1184" s="32"/>
      <c r="B1184" s="29"/>
      <c r="C1184" s="10" t="str">
        <f aca="false">IF($B1184="","",IFERROR(INDEX(M_name,MATCH($B1184,M_emp,0)),"Code not found"))</f>
        <v/>
      </c>
      <c r="D1184" s="10" t="str">
        <f aca="false">IF($B1184="","",IFERROR(INDEX(M_dept,MATCH($B1184,M_emp,0)),""))</f>
        <v/>
      </c>
      <c r="E1184" s="10" t="str">
        <f aca="false">IF($B1184="","",IFERROR(INDEX(M_loc,MATCH($B1184,M_emp,0)),""))</f>
        <v/>
      </c>
      <c r="F1184" s="33"/>
      <c r="G1184" s="33"/>
      <c r="H1184" s="33"/>
      <c r="I1184" s="33"/>
      <c r="J1184" s="33"/>
      <c r="K1184" s="33"/>
      <c r="L1184" s="33"/>
      <c r="M1184" s="33"/>
      <c r="N1184" s="33"/>
      <c r="O1184" s="33"/>
      <c r="P1184" s="33"/>
      <c r="Q1184" s="33"/>
      <c r="R1184" s="33"/>
      <c r="S1184" s="33"/>
      <c r="T1184" s="33"/>
      <c r="U1184" s="33"/>
      <c r="V1184" s="33"/>
      <c r="W1184" s="33"/>
      <c r="X1184" s="33"/>
      <c r="Y1184" s="33"/>
      <c r="Z1184" s="33"/>
      <c r="AA1184" s="33"/>
      <c r="AB1184" s="33"/>
      <c r="AC1184" s="33"/>
      <c r="AD1184" s="33"/>
      <c r="AE1184" s="33"/>
      <c r="AF1184" s="33"/>
      <c r="AG1184" s="33"/>
      <c r="AH1184" s="33"/>
      <c r="AI1184" s="33"/>
      <c r="AJ1184" s="33"/>
      <c r="AK1184" s="34" t="str">
        <f aca="false">IF($B1184="","",COUNTIF($F1184:$AJ1184,"P"))</f>
        <v/>
      </c>
      <c r="AL1184" s="34" t="str">
        <f aca="false">IF($B1184="","",COUNTIF($F1184:$AJ1184,"A"))</f>
        <v/>
      </c>
      <c r="AM1184" s="34" t="str">
        <f aca="false">IF($B1184="","",COUNTIF($F1184:$AJ1184,"HA"))</f>
        <v/>
      </c>
      <c r="AN1184" s="34" t="str">
        <f aca="false">IF($B1184="","",COUNTIF($F1184:$AJ1184,"L"))</f>
        <v/>
      </c>
      <c r="AO1184" s="34" t="str">
        <f aca="false">IF($B1184="","",COUNTIF($F1184:$AJ1184,"PL"))</f>
        <v/>
      </c>
      <c r="AP1184" s="34" t="str">
        <f aca="false">IF($B1184="","",COUNTIF($F1184:$AJ1184,"CL"))</f>
        <v/>
      </c>
      <c r="AQ1184" s="34" t="str">
        <f aca="false">IF($B1184="","",COUNTIF($F1184:$AJ1184,"SL"))</f>
        <v/>
      </c>
      <c r="AR1184" s="34" t="str">
        <f aca="false">IF($B1184="","",COUNTIF($F1184:$AJ1184,"CO"))</f>
        <v/>
      </c>
      <c r="AS1184" s="34" t="str">
        <f aca="false">IF($B1184="","",COUNTIF($F1184:$AJ1184,"HPL"))</f>
        <v/>
      </c>
      <c r="AT1184" s="34" t="str">
        <f aca="false">IF($B1184="","",COUNTIF($F1184:$AJ1184,"HCL"))</f>
        <v/>
      </c>
      <c r="AU1184" s="34" t="str">
        <f aca="false">IF($B1184="","",COUNTIF($F1184:$AJ1184,"WO"))</f>
        <v/>
      </c>
      <c r="AV1184" s="34" t="str">
        <f aca="false">IF($B1184="","",COUNTIF($F1184:$AJ1184,"PH"))</f>
        <v/>
      </c>
      <c r="AW1184" s="34" t="str">
        <f aca="false">IF($B1184="","",COUNTIF($F1184:$AJ1184,"TR"))</f>
        <v/>
      </c>
      <c r="AX1184" s="35" t="str">
        <f aca="false">IF($B1184="","",AO1184+AS1184/2)</f>
        <v/>
      </c>
      <c r="AY1184" s="35" t="str">
        <f aca="false">IF($B1184="","",AQ1184)</f>
        <v/>
      </c>
      <c r="AZ1184" s="35" t="str">
        <f aca="false">IF($B1184="","",AP1184+AT1184/2)</f>
        <v/>
      </c>
      <c r="BA1184" s="35" t="str">
        <f aca="false">IF($B1184="","",AK1184+AN1184+AM1184/2+AO1184+AP1184+AQ1184+AR1184+AS1184+AT1184+AU1184+AV1184+AW1184)</f>
        <v/>
      </c>
      <c r="BB1184" s="35" t="str">
        <f aca="false">IF($B1184="","",MAX(0,AN1184-Settings!$C$16)*Settings!$C$17)</f>
        <v/>
      </c>
      <c r="BC1184" s="35" t="str">
        <f aca="false">IF($B1184="","",BA1184-BB1184)</f>
        <v/>
      </c>
      <c r="BD1184" s="35" t="str">
        <f aca="false">IF(OR($B1184="",$A1184=""),"",DAY(EOMONTH($A1184,0))-COUNTA($F1184:$AJ1184))</f>
        <v/>
      </c>
    </row>
    <row r="1185" customFormat="false" ht="15" hidden="false" customHeight="false" outlineLevel="0" collapsed="false">
      <c r="A1185" s="32"/>
      <c r="B1185" s="29"/>
      <c r="C1185" s="10" t="str">
        <f aca="false">IF($B1185="","",IFERROR(INDEX(M_name,MATCH($B1185,M_emp,0)),"Code not found"))</f>
        <v/>
      </c>
      <c r="D1185" s="10" t="str">
        <f aca="false">IF($B1185="","",IFERROR(INDEX(M_dept,MATCH($B1185,M_emp,0)),""))</f>
        <v/>
      </c>
      <c r="E1185" s="10" t="str">
        <f aca="false">IF($B1185="","",IFERROR(INDEX(M_loc,MATCH($B1185,M_emp,0)),""))</f>
        <v/>
      </c>
      <c r="F1185" s="33"/>
      <c r="G1185" s="33"/>
      <c r="H1185" s="33"/>
      <c r="I1185" s="33"/>
      <c r="J1185" s="33"/>
      <c r="K1185" s="33"/>
      <c r="L1185" s="33"/>
      <c r="M1185" s="33"/>
      <c r="N1185" s="33"/>
      <c r="O1185" s="33"/>
      <c r="P1185" s="33"/>
      <c r="Q1185" s="33"/>
      <c r="R1185" s="33"/>
      <c r="S1185" s="33"/>
      <c r="T1185" s="33"/>
      <c r="U1185" s="33"/>
      <c r="V1185" s="33"/>
      <c r="W1185" s="33"/>
      <c r="X1185" s="33"/>
      <c r="Y1185" s="33"/>
      <c r="Z1185" s="33"/>
      <c r="AA1185" s="33"/>
      <c r="AB1185" s="33"/>
      <c r="AC1185" s="33"/>
      <c r="AD1185" s="33"/>
      <c r="AE1185" s="33"/>
      <c r="AF1185" s="33"/>
      <c r="AG1185" s="33"/>
      <c r="AH1185" s="33"/>
      <c r="AI1185" s="33"/>
      <c r="AJ1185" s="33"/>
      <c r="AK1185" s="34" t="str">
        <f aca="false">IF($B1185="","",COUNTIF($F1185:$AJ1185,"P"))</f>
        <v/>
      </c>
      <c r="AL1185" s="34" t="str">
        <f aca="false">IF($B1185="","",COUNTIF($F1185:$AJ1185,"A"))</f>
        <v/>
      </c>
      <c r="AM1185" s="34" t="str">
        <f aca="false">IF($B1185="","",COUNTIF($F1185:$AJ1185,"HA"))</f>
        <v/>
      </c>
      <c r="AN1185" s="34" t="str">
        <f aca="false">IF($B1185="","",COUNTIF($F1185:$AJ1185,"L"))</f>
        <v/>
      </c>
      <c r="AO1185" s="34" t="str">
        <f aca="false">IF($B1185="","",COUNTIF($F1185:$AJ1185,"PL"))</f>
        <v/>
      </c>
      <c r="AP1185" s="34" t="str">
        <f aca="false">IF($B1185="","",COUNTIF($F1185:$AJ1185,"CL"))</f>
        <v/>
      </c>
      <c r="AQ1185" s="34" t="str">
        <f aca="false">IF($B1185="","",COUNTIF($F1185:$AJ1185,"SL"))</f>
        <v/>
      </c>
      <c r="AR1185" s="34" t="str">
        <f aca="false">IF($B1185="","",COUNTIF($F1185:$AJ1185,"CO"))</f>
        <v/>
      </c>
      <c r="AS1185" s="34" t="str">
        <f aca="false">IF($B1185="","",COUNTIF($F1185:$AJ1185,"HPL"))</f>
        <v/>
      </c>
      <c r="AT1185" s="34" t="str">
        <f aca="false">IF($B1185="","",COUNTIF($F1185:$AJ1185,"HCL"))</f>
        <v/>
      </c>
      <c r="AU1185" s="34" t="str">
        <f aca="false">IF($B1185="","",COUNTIF($F1185:$AJ1185,"WO"))</f>
        <v/>
      </c>
      <c r="AV1185" s="34" t="str">
        <f aca="false">IF($B1185="","",COUNTIF($F1185:$AJ1185,"PH"))</f>
        <v/>
      </c>
      <c r="AW1185" s="34" t="str">
        <f aca="false">IF($B1185="","",COUNTIF($F1185:$AJ1185,"TR"))</f>
        <v/>
      </c>
      <c r="AX1185" s="35" t="str">
        <f aca="false">IF($B1185="","",AO1185+AS1185/2)</f>
        <v/>
      </c>
      <c r="AY1185" s="35" t="str">
        <f aca="false">IF($B1185="","",AQ1185)</f>
        <v/>
      </c>
      <c r="AZ1185" s="35" t="str">
        <f aca="false">IF($B1185="","",AP1185+AT1185/2)</f>
        <v/>
      </c>
      <c r="BA1185" s="35" t="str">
        <f aca="false">IF($B1185="","",AK1185+AN1185+AM1185/2+AO1185+AP1185+AQ1185+AR1185+AS1185+AT1185+AU1185+AV1185+AW1185)</f>
        <v/>
      </c>
      <c r="BB1185" s="35" t="str">
        <f aca="false">IF($B1185="","",MAX(0,AN1185-Settings!$C$16)*Settings!$C$17)</f>
        <v/>
      </c>
      <c r="BC1185" s="35" t="str">
        <f aca="false">IF($B1185="","",BA1185-BB1185)</f>
        <v/>
      </c>
      <c r="BD1185" s="35" t="str">
        <f aca="false">IF(OR($B1185="",$A1185=""),"",DAY(EOMONTH($A1185,0))-COUNTA($F1185:$AJ1185))</f>
        <v/>
      </c>
    </row>
    <row r="1186" customFormat="false" ht="15" hidden="false" customHeight="false" outlineLevel="0" collapsed="false">
      <c r="A1186" s="32"/>
      <c r="B1186" s="29"/>
      <c r="C1186" s="10" t="str">
        <f aca="false">IF($B1186="","",IFERROR(INDEX(M_name,MATCH($B1186,M_emp,0)),"Code not found"))</f>
        <v/>
      </c>
      <c r="D1186" s="10" t="str">
        <f aca="false">IF($B1186="","",IFERROR(INDEX(M_dept,MATCH($B1186,M_emp,0)),""))</f>
        <v/>
      </c>
      <c r="E1186" s="10" t="str">
        <f aca="false">IF($B1186="","",IFERROR(INDEX(M_loc,MATCH($B1186,M_emp,0)),""))</f>
        <v/>
      </c>
      <c r="F1186" s="33"/>
      <c r="G1186" s="33"/>
      <c r="H1186" s="33"/>
      <c r="I1186" s="33"/>
      <c r="J1186" s="33"/>
      <c r="K1186" s="33"/>
      <c r="L1186" s="33"/>
      <c r="M1186" s="33"/>
      <c r="N1186" s="33"/>
      <c r="O1186" s="33"/>
      <c r="P1186" s="33"/>
      <c r="Q1186" s="33"/>
      <c r="R1186" s="33"/>
      <c r="S1186" s="33"/>
      <c r="T1186" s="33"/>
      <c r="U1186" s="33"/>
      <c r="V1186" s="33"/>
      <c r="W1186" s="33"/>
      <c r="X1186" s="33"/>
      <c r="Y1186" s="33"/>
      <c r="Z1186" s="33"/>
      <c r="AA1186" s="33"/>
      <c r="AB1186" s="33"/>
      <c r="AC1186" s="33"/>
      <c r="AD1186" s="33"/>
      <c r="AE1186" s="33"/>
      <c r="AF1186" s="33"/>
      <c r="AG1186" s="33"/>
      <c r="AH1186" s="33"/>
      <c r="AI1186" s="33"/>
      <c r="AJ1186" s="33"/>
      <c r="AK1186" s="34" t="str">
        <f aca="false">IF($B1186="","",COUNTIF($F1186:$AJ1186,"P"))</f>
        <v/>
      </c>
      <c r="AL1186" s="34" t="str">
        <f aca="false">IF($B1186="","",COUNTIF($F1186:$AJ1186,"A"))</f>
        <v/>
      </c>
      <c r="AM1186" s="34" t="str">
        <f aca="false">IF($B1186="","",COUNTIF($F1186:$AJ1186,"HA"))</f>
        <v/>
      </c>
      <c r="AN1186" s="34" t="str">
        <f aca="false">IF($B1186="","",COUNTIF($F1186:$AJ1186,"L"))</f>
        <v/>
      </c>
      <c r="AO1186" s="34" t="str">
        <f aca="false">IF($B1186="","",COUNTIF($F1186:$AJ1186,"PL"))</f>
        <v/>
      </c>
      <c r="AP1186" s="34" t="str">
        <f aca="false">IF($B1186="","",COUNTIF($F1186:$AJ1186,"CL"))</f>
        <v/>
      </c>
      <c r="AQ1186" s="34" t="str">
        <f aca="false">IF($B1186="","",COUNTIF($F1186:$AJ1186,"SL"))</f>
        <v/>
      </c>
      <c r="AR1186" s="34" t="str">
        <f aca="false">IF($B1186="","",COUNTIF($F1186:$AJ1186,"CO"))</f>
        <v/>
      </c>
      <c r="AS1186" s="34" t="str">
        <f aca="false">IF($B1186="","",COUNTIF($F1186:$AJ1186,"HPL"))</f>
        <v/>
      </c>
      <c r="AT1186" s="34" t="str">
        <f aca="false">IF($B1186="","",COUNTIF($F1186:$AJ1186,"HCL"))</f>
        <v/>
      </c>
      <c r="AU1186" s="34" t="str">
        <f aca="false">IF($B1186="","",COUNTIF($F1186:$AJ1186,"WO"))</f>
        <v/>
      </c>
      <c r="AV1186" s="34" t="str">
        <f aca="false">IF($B1186="","",COUNTIF($F1186:$AJ1186,"PH"))</f>
        <v/>
      </c>
      <c r="AW1186" s="34" t="str">
        <f aca="false">IF($B1186="","",COUNTIF($F1186:$AJ1186,"TR"))</f>
        <v/>
      </c>
      <c r="AX1186" s="35" t="str">
        <f aca="false">IF($B1186="","",AO1186+AS1186/2)</f>
        <v/>
      </c>
      <c r="AY1186" s="35" t="str">
        <f aca="false">IF($B1186="","",AQ1186)</f>
        <v/>
      </c>
      <c r="AZ1186" s="35" t="str">
        <f aca="false">IF($B1186="","",AP1186+AT1186/2)</f>
        <v/>
      </c>
      <c r="BA1186" s="35" t="str">
        <f aca="false">IF($B1186="","",AK1186+AN1186+AM1186/2+AO1186+AP1186+AQ1186+AR1186+AS1186+AT1186+AU1186+AV1186+AW1186)</f>
        <v/>
      </c>
      <c r="BB1186" s="35" t="str">
        <f aca="false">IF($B1186="","",MAX(0,AN1186-Settings!$C$16)*Settings!$C$17)</f>
        <v/>
      </c>
      <c r="BC1186" s="35" t="str">
        <f aca="false">IF($B1186="","",BA1186-BB1186)</f>
        <v/>
      </c>
      <c r="BD1186" s="35" t="str">
        <f aca="false">IF(OR($B1186="",$A1186=""),"",DAY(EOMONTH($A1186,0))-COUNTA($F1186:$AJ1186))</f>
        <v/>
      </c>
    </row>
    <row r="1187" customFormat="false" ht="15" hidden="false" customHeight="false" outlineLevel="0" collapsed="false">
      <c r="A1187" s="32"/>
      <c r="B1187" s="29"/>
      <c r="C1187" s="10" t="str">
        <f aca="false">IF($B1187="","",IFERROR(INDEX(M_name,MATCH($B1187,M_emp,0)),"Code not found"))</f>
        <v/>
      </c>
      <c r="D1187" s="10" t="str">
        <f aca="false">IF($B1187="","",IFERROR(INDEX(M_dept,MATCH($B1187,M_emp,0)),""))</f>
        <v/>
      </c>
      <c r="E1187" s="10" t="str">
        <f aca="false">IF($B1187="","",IFERROR(INDEX(M_loc,MATCH($B1187,M_emp,0)),""))</f>
        <v/>
      </c>
      <c r="F1187" s="33"/>
      <c r="G1187" s="33"/>
      <c r="H1187" s="33"/>
      <c r="I1187" s="33"/>
      <c r="J1187" s="33"/>
      <c r="K1187" s="33"/>
      <c r="L1187" s="33"/>
      <c r="M1187" s="33"/>
      <c r="N1187" s="33"/>
      <c r="O1187" s="33"/>
      <c r="P1187" s="33"/>
      <c r="Q1187" s="33"/>
      <c r="R1187" s="33"/>
      <c r="S1187" s="33"/>
      <c r="T1187" s="33"/>
      <c r="U1187" s="33"/>
      <c r="V1187" s="33"/>
      <c r="W1187" s="33"/>
      <c r="X1187" s="33"/>
      <c r="Y1187" s="33"/>
      <c r="Z1187" s="33"/>
      <c r="AA1187" s="33"/>
      <c r="AB1187" s="33"/>
      <c r="AC1187" s="33"/>
      <c r="AD1187" s="33"/>
      <c r="AE1187" s="33"/>
      <c r="AF1187" s="33"/>
      <c r="AG1187" s="33"/>
      <c r="AH1187" s="33"/>
      <c r="AI1187" s="33"/>
      <c r="AJ1187" s="33"/>
      <c r="AK1187" s="34" t="str">
        <f aca="false">IF($B1187="","",COUNTIF($F1187:$AJ1187,"P"))</f>
        <v/>
      </c>
      <c r="AL1187" s="34" t="str">
        <f aca="false">IF($B1187="","",COUNTIF($F1187:$AJ1187,"A"))</f>
        <v/>
      </c>
      <c r="AM1187" s="34" t="str">
        <f aca="false">IF($B1187="","",COUNTIF($F1187:$AJ1187,"HA"))</f>
        <v/>
      </c>
      <c r="AN1187" s="34" t="str">
        <f aca="false">IF($B1187="","",COUNTIF($F1187:$AJ1187,"L"))</f>
        <v/>
      </c>
      <c r="AO1187" s="34" t="str">
        <f aca="false">IF($B1187="","",COUNTIF($F1187:$AJ1187,"PL"))</f>
        <v/>
      </c>
      <c r="AP1187" s="34" t="str">
        <f aca="false">IF($B1187="","",COUNTIF($F1187:$AJ1187,"CL"))</f>
        <v/>
      </c>
      <c r="AQ1187" s="34" t="str">
        <f aca="false">IF($B1187="","",COUNTIF($F1187:$AJ1187,"SL"))</f>
        <v/>
      </c>
      <c r="AR1187" s="34" t="str">
        <f aca="false">IF($B1187="","",COUNTIF($F1187:$AJ1187,"CO"))</f>
        <v/>
      </c>
      <c r="AS1187" s="34" t="str">
        <f aca="false">IF($B1187="","",COUNTIF($F1187:$AJ1187,"HPL"))</f>
        <v/>
      </c>
      <c r="AT1187" s="34" t="str">
        <f aca="false">IF($B1187="","",COUNTIF($F1187:$AJ1187,"HCL"))</f>
        <v/>
      </c>
      <c r="AU1187" s="34" t="str">
        <f aca="false">IF($B1187="","",COUNTIF($F1187:$AJ1187,"WO"))</f>
        <v/>
      </c>
      <c r="AV1187" s="34" t="str">
        <f aca="false">IF($B1187="","",COUNTIF($F1187:$AJ1187,"PH"))</f>
        <v/>
      </c>
      <c r="AW1187" s="34" t="str">
        <f aca="false">IF($B1187="","",COUNTIF($F1187:$AJ1187,"TR"))</f>
        <v/>
      </c>
      <c r="AX1187" s="35" t="str">
        <f aca="false">IF($B1187="","",AO1187+AS1187/2)</f>
        <v/>
      </c>
      <c r="AY1187" s="35" t="str">
        <f aca="false">IF($B1187="","",AQ1187)</f>
        <v/>
      </c>
      <c r="AZ1187" s="35" t="str">
        <f aca="false">IF($B1187="","",AP1187+AT1187/2)</f>
        <v/>
      </c>
      <c r="BA1187" s="35" t="str">
        <f aca="false">IF($B1187="","",AK1187+AN1187+AM1187/2+AO1187+AP1187+AQ1187+AR1187+AS1187+AT1187+AU1187+AV1187+AW1187)</f>
        <v/>
      </c>
      <c r="BB1187" s="35" t="str">
        <f aca="false">IF($B1187="","",MAX(0,AN1187-Settings!$C$16)*Settings!$C$17)</f>
        <v/>
      </c>
      <c r="BC1187" s="35" t="str">
        <f aca="false">IF($B1187="","",BA1187-BB1187)</f>
        <v/>
      </c>
      <c r="BD1187" s="35" t="str">
        <f aca="false">IF(OR($B1187="",$A1187=""),"",DAY(EOMONTH($A1187,0))-COUNTA($F1187:$AJ1187))</f>
        <v/>
      </c>
    </row>
    <row r="1188" customFormat="false" ht="15" hidden="false" customHeight="false" outlineLevel="0" collapsed="false">
      <c r="A1188" s="32"/>
      <c r="B1188" s="29"/>
      <c r="C1188" s="10" t="str">
        <f aca="false">IF($B1188="","",IFERROR(INDEX(M_name,MATCH($B1188,M_emp,0)),"Code not found"))</f>
        <v/>
      </c>
      <c r="D1188" s="10" t="str">
        <f aca="false">IF($B1188="","",IFERROR(INDEX(M_dept,MATCH($B1188,M_emp,0)),""))</f>
        <v/>
      </c>
      <c r="E1188" s="10" t="str">
        <f aca="false">IF($B1188="","",IFERROR(INDEX(M_loc,MATCH($B1188,M_emp,0)),""))</f>
        <v/>
      </c>
      <c r="F1188" s="33"/>
      <c r="G1188" s="33"/>
      <c r="H1188" s="33"/>
      <c r="I1188" s="33"/>
      <c r="J1188" s="33"/>
      <c r="K1188" s="33"/>
      <c r="L1188" s="33"/>
      <c r="M1188" s="33"/>
      <c r="N1188" s="33"/>
      <c r="O1188" s="33"/>
      <c r="P1188" s="33"/>
      <c r="Q1188" s="33"/>
      <c r="R1188" s="33"/>
      <c r="S1188" s="33"/>
      <c r="T1188" s="33"/>
      <c r="U1188" s="33"/>
      <c r="V1188" s="33"/>
      <c r="W1188" s="33"/>
      <c r="X1188" s="33"/>
      <c r="Y1188" s="33"/>
      <c r="Z1188" s="33"/>
      <c r="AA1188" s="33"/>
      <c r="AB1188" s="33"/>
      <c r="AC1188" s="33"/>
      <c r="AD1188" s="33"/>
      <c r="AE1188" s="33"/>
      <c r="AF1188" s="33"/>
      <c r="AG1188" s="33"/>
      <c r="AH1188" s="33"/>
      <c r="AI1188" s="33"/>
      <c r="AJ1188" s="33"/>
      <c r="AK1188" s="34" t="str">
        <f aca="false">IF($B1188="","",COUNTIF($F1188:$AJ1188,"P"))</f>
        <v/>
      </c>
      <c r="AL1188" s="34" t="str">
        <f aca="false">IF($B1188="","",COUNTIF($F1188:$AJ1188,"A"))</f>
        <v/>
      </c>
      <c r="AM1188" s="34" t="str">
        <f aca="false">IF($B1188="","",COUNTIF($F1188:$AJ1188,"HA"))</f>
        <v/>
      </c>
      <c r="AN1188" s="34" t="str">
        <f aca="false">IF($B1188="","",COUNTIF($F1188:$AJ1188,"L"))</f>
        <v/>
      </c>
      <c r="AO1188" s="34" t="str">
        <f aca="false">IF($B1188="","",COUNTIF($F1188:$AJ1188,"PL"))</f>
        <v/>
      </c>
      <c r="AP1188" s="34" t="str">
        <f aca="false">IF($B1188="","",COUNTIF($F1188:$AJ1188,"CL"))</f>
        <v/>
      </c>
      <c r="AQ1188" s="34" t="str">
        <f aca="false">IF($B1188="","",COUNTIF($F1188:$AJ1188,"SL"))</f>
        <v/>
      </c>
      <c r="AR1188" s="34" t="str">
        <f aca="false">IF($B1188="","",COUNTIF($F1188:$AJ1188,"CO"))</f>
        <v/>
      </c>
      <c r="AS1188" s="34" t="str">
        <f aca="false">IF($B1188="","",COUNTIF($F1188:$AJ1188,"HPL"))</f>
        <v/>
      </c>
      <c r="AT1188" s="34" t="str">
        <f aca="false">IF($B1188="","",COUNTIF($F1188:$AJ1188,"HCL"))</f>
        <v/>
      </c>
      <c r="AU1188" s="34" t="str">
        <f aca="false">IF($B1188="","",COUNTIF($F1188:$AJ1188,"WO"))</f>
        <v/>
      </c>
      <c r="AV1188" s="34" t="str">
        <f aca="false">IF($B1188="","",COUNTIF($F1188:$AJ1188,"PH"))</f>
        <v/>
      </c>
      <c r="AW1188" s="34" t="str">
        <f aca="false">IF($B1188="","",COUNTIF($F1188:$AJ1188,"TR"))</f>
        <v/>
      </c>
      <c r="AX1188" s="35" t="str">
        <f aca="false">IF($B1188="","",AO1188+AS1188/2)</f>
        <v/>
      </c>
      <c r="AY1188" s="35" t="str">
        <f aca="false">IF($B1188="","",AQ1188)</f>
        <v/>
      </c>
      <c r="AZ1188" s="35" t="str">
        <f aca="false">IF($B1188="","",AP1188+AT1188/2)</f>
        <v/>
      </c>
      <c r="BA1188" s="35" t="str">
        <f aca="false">IF($B1188="","",AK1188+AN1188+AM1188/2+AO1188+AP1188+AQ1188+AR1188+AS1188+AT1188+AU1188+AV1188+AW1188)</f>
        <v/>
      </c>
      <c r="BB1188" s="35" t="str">
        <f aca="false">IF($B1188="","",MAX(0,AN1188-Settings!$C$16)*Settings!$C$17)</f>
        <v/>
      </c>
      <c r="BC1188" s="35" t="str">
        <f aca="false">IF($B1188="","",BA1188-BB1188)</f>
        <v/>
      </c>
      <c r="BD1188" s="35" t="str">
        <f aca="false">IF(OR($B1188="",$A1188=""),"",DAY(EOMONTH($A1188,0))-COUNTA($F1188:$AJ1188))</f>
        <v/>
      </c>
    </row>
    <row r="1189" customFormat="false" ht="15" hidden="false" customHeight="false" outlineLevel="0" collapsed="false">
      <c r="A1189" s="32"/>
      <c r="B1189" s="29"/>
      <c r="C1189" s="10" t="str">
        <f aca="false">IF($B1189="","",IFERROR(INDEX(M_name,MATCH($B1189,M_emp,0)),"Code not found"))</f>
        <v/>
      </c>
      <c r="D1189" s="10" t="str">
        <f aca="false">IF($B1189="","",IFERROR(INDEX(M_dept,MATCH($B1189,M_emp,0)),""))</f>
        <v/>
      </c>
      <c r="E1189" s="10" t="str">
        <f aca="false">IF($B1189="","",IFERROR(INDEX(M_loc,MATCH($B1189,M_emp,0)),""))</f>
        <v/>
      </c>
      <c r="F1189" s="33"/>
      <c r="G1189" s="33"/>
      <c r="H1189" s="33"/>
      <c r="I1189" s="33"/>
      <c r="J1189" s="33"/>
      <c r="K1189" s="33"/>
      <c r="L1189" s="33"/>
      <c r="M1189" s="33"/>
      <c r="N1189" s="33"/>
      <c r="O1189" s="33"/>
      <c r="P1189" s="33"/>
      <c r="Q1189" s="33"/>
      <c r="R1189" s="33"/>
      <c r="S1189" s="33"/>
      <c r="T1189" s="33"/>
      <c r="U1189" s="33"/>
      <c r="V1189" s="33"/>
      <c r="W1189" s="33"/>
      <c r="X1189" s="33"/>
      <c r="Y1189" s="33"/>
      <c r="Z1189" s="33"/>
      <c r="AA1189" s="33"/>
      <c r="AB1189" s="33"/>
      <c r="AC1189" s="33"/>
      <c r="AD1189" s="33"/>
      <c r="AE1189" s="33"/>
      <c r="AF1189" s="33"/>
      <c r="AG1189" s="33"/>
      <c r="AH1189" s="33"/>
      <c r="AI1189" s="33"/>
      <c r="AJ1189" s="33"/>
      <c r="AK1189" s="34" t="str">
        <f aca="false">IF($B1189="","",COUNTIF($F1189:$AJ1189,"P"))</f>
        <v/>
      </c>
      <c r="AL1189" s="34" t="str">
        <f aca="false">IF($B1189="","",COUNTIF($F1189:$AJ1189,"A"))</f>
        <v/>
      </c>
      <c r="AM1189" s="34" t="str">
        <f aca="false">IF($B1189="","",COUNTIF($F1189:$AJ1189,"HA"))</f>
        <v/>
      </c>
      <c r="AN1189" s="34" t="str">
        <f aca="false">IF($B1189="","",COUNTIF($F1189:$AJ1189,"L"))</f>
        <v/>
      </c>
      <c r="AO1189" s="34" t="str">
        <f aca="false">IF($B1189="","",COUNTIF($F1189:$AJ1189,"PL"))</f>
        <v/>
      </c>
      <c r="AP1189" s="34" t="str">
        <f aca="false">IF($B1189="","",COUNTIF($F1189:$AJ1189,"CL"))</f>
        <v/>
      </c>
      <c r="AQ1189" s="34" t="str">
        <f aca="false">IF($B1189="","",COUNTIF($F1189:$AJ1189,"SL"))</f>
        <v/>
      </c>
      <c r="AR1189" s="34" t="str">
        <f aca="false">IF($B1189="","",COUNTIF($F1189:$AJ1189,"CO"))</f>
        <v/>
      </c>
      <c r="AS1189" s="34" t="str">
        <f aca="false">IF($B1189="","",COUNTIF($F1189:$AJ1189,"HPL"))</f>
        <v/>
      </c>
      <c r="AT1189" s="34" t="str">
        <f aca="false">IF($B1189="","",COUNTIF($F1189:$AJ1189,"HCL"))</f>
        <v/>
      </c>
      <c r="AU1189" s="34" t="str">
        <f aca="false">IF($B1189="","",COUNTIF($F1189:$AJ1189,"WO"))</f>
        <v/>
      </c>
      <c r="AV1189" s="34" t="str">
        <f aca="false">IF($B1189="","",COUNTIF($F1189:$AJ1189,"PH"))</f>
        <v/>
      </c>
      <c r="AW1189" s="34" t="str">
        <f aca="false">IF($B1189="","",COUNTIF($F1189:$AJ1189,"TR"))</f>
        <v/>
      </c>
      <c r="AX1189" s="35" t="str">
        <f aca="false">IF($B1189="","",AO1189+AS1189/2)</f>
        <v/>
      </c>
      <c r="AY1189" s="35" t="str">
        <f aca="false">IF($B1189="","",AQ1189)</f>
        <v/>
      </c>
      <c r="AZ1189" s="35" t="str">
        <f aca="false">IF($B1189="","",AP1189+AT1189/2)</f>
        <v/>
      </c>
      <c r="BA1189" s="35" t="str">
        <f aca="false">IF($B1189="","",AK1189+AN1189+AM1189/2+AO1189+AP1189+AQ1189+AR1189+AS1189+AT1189+AU1189+AV1189+AW1189)</f>
        <v/>
      </c>
      <c r="BB1189" s="35" t="str">
        <f aca="false">IF($B1189="","",MAX(0,AN1189-Settings!$C$16)*Settings!$C$17)</f>
        <v/>
      </c>
      <c r="BC1189" s="35" t="str">
        <f aca="false">IF($B1189="","",BA1189-BB1189)</f>
        <v/>
      </c>
      <c r="BD1189" s="35" t="str">
        <f aca="false">IF(OR($B1189="",$A1189=""),"",DAY(EOMONTH($A1189,0))-COUNTA($F1189:$AJ1189))</f>
        <v/>
      </c>
    </row>
    <row r="1190" customFormat="false" ht="15" hidden="false" customHeight="false" outlineLevel="0" collapsed="false">
      <c r="A1190" s="32"/>
      <c r="B1190" s="29"/>
      <c r="C1190" s="10" t="str">
        <f aca="false">IF($B1190="","",IFERROR(INDEX(M_name,MATCH($B1190,M_emp,0)),"Code not found"))</f>
        <v/>
      </c>
      <c r="D1190" s="10" t="str">
        <f aca="false">IF($B1190="","",IFERROR(INDEX(M_dept,MATCH($B1190,M_emp,0)),""))</f>
        <v/>
      </c>
      <c r="E1190" s="10" t="str">
        <f aca="false">IF($B1190="","",IFERROR(INDEX(M_loc,MATCH($B1190,M_emp,0)),""))</f>
        <v/>
      </c>
      <c r="F1190" s="33"/>
      <c r="G1190" s="33"/>
      <c r="H1190" s="33"/>
      <c r="I1190" s="33"/>
      <c r="J1190" s="33"/>
      <c r="K1190" s="33"/>
      <c r="L1190" s="33"/>
      <c r="M1190" s="33"/>
      <c r="N1190" s="33"/>
      <c r="O1190" s="33"/>
      <c r="P1190" s="33"/>
      <c r="Q1190" s="33"/>
      <c r="R1190" s="33"/>
      <c r="S1190" s="33"/>
      <c r="T1190" s="33"/>
      <c r="U1190" s="33"/>
      <c r="V1190" s="33"/>
      <c r="W1190" s="33"/>
      <c r="X1190" s="33"/>
      <c r="Y1190" s="33"/>
      <c r="Z1190" s="33"/>
      <c r="AA1190" s="33"/>
      <c r="AB1190" s="33"/>
      <c r="AC1190" s="33"/>
      <c r="AD1190" s="33"/>
      <c r="AE1190" s="33"/>
      <c r="AF1190" s="33"/>
      <c r="AG1190" s="33"/>
      <c r="AH1190" s="33"/>
      <c r="AI1190" s="33"/>
      <c r="AJ1190" s="33"/>
      <c r="AK1190" s="34" t="str">
        <f aca="false">IF($B1190="","",COUNTIF($F1190:$AJ1190,"P"))</f>
        <v/>
      </c>
      <c r="AL1190" s="34" t="str">
        <f aca="false">IF($B1190="","",COUNTIF($F1190:$AJ1190,"A"))</f>
        <v/>
      </c>
      <c r="AM1190" s="34" t="str">
        <f aca="false">IF($B1190="","",COUNTIF($F1190:$AJ1190,"HA"))</f>
        <v/>
      </c>
      <c r="AN1190" s="34" t="str">
        <f aca="false">IF($B1190="","",COUNTIF($F1190:$AJ1190,"L"))</f>
        <v/>
      </c>
      <c r="AO1190" s="34" t="str">
        <f aca="false">IF($B1190="","",COUNTIF($F1190:$AJ1190,"PL"))</f>
        <v/>
      </c>
      <c r="AP1190" s="34" t="str">
        <f aca="false">IF($B1190="","",COUNTIF($F1190:$AJ1190,"CL"))</f>
        <v/>
      </c>
      <c r="AQ1190" s="34" t="str">
        <f aca="false">IF($B1190="","",COUNTIF($F1190:$AJ1190,"SL"))</f>
        <v/>
      </c>
      <c r="AR1190" s="34" t="str">
        <f aca="false">IF($B1190="","",COUNTIF($F1190:$AJ1190,"CO"))</f>
        <v/>
      </c>
      <c r="AS1190" s="34" t="str">
        <f aca="false">IF($B1190="","",COUNTIF($F1190:$AJ1190,"HPL"))</f>
        <v/>
      </c>
      <c r="AT1190" s="34" t="str">
        <f aca="false">IF($B1190="","",COUNTIF($F1190:$AJ1190,"HCL"))</f>
        <v/>
      </c>
      <c r="AU1190" s="34" t="str">
        <f aca="false">IF($B1190="","",COUNTIF($F1190:$AJ1190,"WO"))</f>
        <v/>
      </c>
      <c r="AV1190" s="34" t="str">
        <f aca="false">IF($B1190="","",COUNTIF($F1190:$AJ1190,"PH"))</f>
        <v/>
      </c>
      <c r="AW1190" s="34" t="str">
        <f aca="false">IF($B1190="","",COUNTIF($F1190:$AJ1190,"TR"))</f>
        <v/>
      </c>
      <c r="AX1190" s="35" t="str">
        <f aca="false">IF($B1190="","",AO1190+AS1190/2)</f>
        <v/>
      </c>
      <c r="AY1190" s="35" t="str">
        <f aca="false">IF($B1190="","",AQ1190)</f>
        <v/>
      </c>
      <c r="AZ1190" s="35" t="str">
        <f aca="false">IF($B1190="","",AP1190+AT1190/2)</f>
        <v/>
      </c>
      <c r="BA1190" s="35" t="str">
        <f aca="false">IF($B1190="","",AK1190+AN1190+AM1190/2+AO1190+AP1190+AQ1190+AR1190+AS1190+AT1190+AU1190+AV1190+AW1190)</f>
        <v/>
      </c>
      <c r="BB1190" s="35" t="str">
        <f aca="false">IF($B1190="","",MAX(0,AN1190-Settings!$C$16)*Settings!$C$17)</f>
        <v/>
      </c>
      <c r="BC1190" s="35" t="str">
        <f aca="false">IF($B1190="","",BA1190-BB1190)</f>
        <v/>
      </c>
      <c r="BD1190" s="35" t="str">
        <f aca="false">IF(OR($B1190="",$A1190=""),"",DAY(EOMONTH($A1190,0))-COUNTA($F1190:$AJ1190))</f>
        <v/>
      </c>
    </row>
    <row r="1191" customFormat="false" ht="15" hidden="false" customHeight="false" outlineLevel="0" collapsed="false">
      <c r="A1191" s="32"/>
      <c r="B1191" s="29"/>
      <c r="C1191" s="10" t="str">
        <f aca="false">IF($B1191="","",IFERROR(INDEX(M_name,MATCH($B1191,M_emp,0)),"Code not found"))</f>
        <v/>
      </c>
      <c r="D1191" s="10" t="str">
        <f aca="false">IF($B1191="","",IFERROR(INDEX(M_dept,MATCH($B1191,M_emp,0)),""))</f>
        <v/>
      </c>
      <c r="E1191" s="10" t="str">
        <f aca="false">IF($B1191="","",IFERROR(INDEX(M_loc,MATCH($B1191,M_emp,0)),""))</f>
        <v/>
      </c>
      <c r="F1191" s="33"/>
      <c r="G1191" s="33"/>
      <c r="H1191" s="33"/>
      <c r="I1191" s="33"/>
      <c r="J1191" s="33"/>
      <c r="K1191" s="33"/>
      <c r="L1191" s="33"/>
      <c r="M1191" s="33"/>
      <c r="N1191" s="33"/>
      <c r="O1191" s="33"/>
      <c r="P1191" s="33"/>
      <c r="Q1191" s="33"/>
      <c r="R1191" s="33"/>
      <c r="S1191" s="33"/>
      <c r="T1191" s="33"/>
      <c r="U1191" s="33"/>
      <c r="V1191" s="33"/>
      <c r="W1191" s="33"/>
      <c r="X1191" s="33"/>
      <c r="Y1191" s="33"/>
      <c r="Z1191" s="33"/>
      <c r="AA1191" s="33"/>
      <c r="AB1191" s="33"/>
      <c r="AC1191" s="33"/>
      <c r="AD1191" s="33"/>
      <c r="AE1191" s="33"/>
      <c r="AF1191" s="33"/>
      <c r="AG1191" s="33"/>
      <c r="AH1191" s="33"/>
      <c r="AI1191" s="33"/>
      <c r="AJ1191" s="33"/>
      <c r="AK1191" s="34" t="str">
        <f aca="false">IF($B1191="","",COUNTIF($F1191:$AJ1191,"P"))</f>
        <v/>
      </c>
      <c r="AL1191" s="34" t="str">
        <f aca="false">IF($B1191="","",COUNTIF($F1191:$AJ1191,"A"))</f>
        <v/>
      </c>
      <c r="AM1191" s="34" t="str">
        <f aca="false">IF($B1191="","",COUNTIF($F1191:$AJ1191,"HA"))</f>
        <v/>
      </c>
      <c r="AN1191" s="34" t="str">
        <f aca="false">IF($B1191="","",COUNTIF($F1191:$AJ1191,"L"))</f>
        <v/>
      </c>
      <c r="AO1191" s="34" t="str">
        <f aca="false">IF($B1191="","",COUNTIF($F1191:$AJ1191,"PL"))</f>
        <v/>
      </c>
      <c r="AP1191" s="34" t="str">
        <f aca="false">IF($B1191="","",COUNTIF($F1191:$AJ1191,"CL"))</f>
        <v/>
      </c>
      <c r="AQ1191" s="34" t="str">
        <f aca="false">IF($B1191="","",COUNTIF($F1191:$AJ1191,"SL"))</f>
        <v/>
      </c>
      <c r="AR1191" s="34" t="str">
        <f aca="false">IF($B1191="","",COUNTIF($F1191:$AJ1191,"CO"))</f>
        <v/>
      </c>
      <c r="AS1191" s="34" t="str">
        <f aca="false">IF($B1191="","",COUNTIF($F1191:$AJ1191,"HPL"))</f>
        <v/>
      </c>
      <c r="AT1191" s="34" t="str">
        <f aca="false">IF($B1191="","",COUNTIF($F1191:$AJ1191,"HCL"))</f>
        <v/>
      </c>
      <c r="AU1191" s="34" t="str">
        <f aca="false">IF($B1191="","",COUNTIF($F1191:$AJ1191,"WO"))</f>
        <v/>
      </c>
      <c r="AV1191" s="34" t="str">
        <f aca="false">IF($B1191="","",COUNTIF($F1191:$AJ1191,"PH"))</f>
        <v/>
      </c>
      <c r="AW1191" s="34" t="str">
        <f aca="false">IF($B1191="","",COUNTIF($F1191:$AJ1191,"TR"))</f>
        <v/>
      </c>
      <c r="AX1191" s="35" t="str">
        <f aca="false">IF($B1191="","",AO1191+AS1191/2)</f>
        <v/>
      </c>
      <c r="AY1191" s="35" t="str">
        <f aca="false">IF($B1191="","",AQ1191)</f>
        <v/>
      </c>
      <c r="AZ1191" s="35" t="str">
        <f aca="false">IF($B1191="","",AP1191+AT1191/2)</f>
        <v/>
      </c>
      <c r="BA1191" s="35" t="str">
        <f aca="false">IF($B1191="","",AK1191+AN1191+AM1191/2+AO1191+AP1191+AQ1191+AR1191+AS1191+AT1191+AU1191+AV1191+AW1191)</f>
        <v/>
      </c>
      <c r="BB1191" s="35" t="str">
        <f aca="false">IF($B1191="","",MAX(0,AN1191-Settings!$C$16)*Settings!$C$17)</f>
        <v/>
      </c>
      <c r="BC1191" s="35" t="str">
        <f aca="false">IF($B1191="","",BA1191-BB1191)</f>
        <v/>
      </c>
      <c r="BD1191" s="35" t="str">
        <f aca="false">IF(OR($B1191="",$A1191=""),"",DAY(EOMONTH($A1191,0))-COUNTA($F1191:$AJ1191))</f>
        <v/>
      </c>
    </row>
    <row r="1192" customFormat="false" ht="15" hidden="false" customHeight="false" outlineLevel="0" collapsed="false">
      <c r="A1192" s="32"/>
      <c r="B1192" s="29"/>
      <c r="C1192" s="10" t="str">
        <f aca="false">IF($B1192="","",IFERROR(INDEX(M_name,MATCH($B1192,M_emp,0)),"Code not found"))</f>
        <v/>
      </c>
      <c r="D1192" s="10" t="str">
        <f aca="false">IF($B1192="","",IFERROR(INDEX(M_dept,MATCH($B1192,M_emp,0)),""))</f>
        <v/>
      </c>
      <c r="E1192" s="10" t="str">
        <f aca="false">IF($B1192="","",IFERROR(INDEX(M_loc,MATCH($B1192,M_emp,0)),""))</f>
        <v/>
      </c>
      <c r="F1192" s="33"/>
      <c r="G1192" s="33"/>
      <c r="H1192" s="33"/>
      <c r="I1192" s="33"/>
      <c r="J1192" s="33"/>
      <c r="K1192" s="33"/>
      <c r="L1192" s="33"/>
      <c r="M1192" s="33"/>
      <c r="N1192" s="33"/>
      <c r="O1192" s="33"/>
      <c r="P1192" s="33"/>
      <c r="Q1192" s="33"/>
      <c r="R1192" s="33"/>
      <c r="S1192" s="33"/>
      <c r="T1192" s="33"/>
      <c r="U1192" s="33"/>
      <c r="V1192" s="33"/>
      <c r="W1192" s="33"/>
      <c r="X1192" s="33"/>
      <c r="Y1192" s="33"/>
      <c r="Z1192" s="33"/>
      <c r="AA1192" s="33"/>
      <c r="AB1192" s="33"/>
      <c r="AC1192" s="33"/>
      <c r="AD1192" s="33"/>
      <c r="AE1192" s="33"/>
      <c r="AF1192" s="33"/>
      <c r="AG1192" s="33"/>
      <c r="AH1192" s="33"/>
      <c r="AI1192" s="33"/>
      <c r="AJ1192" s="33"/>
      <c r="AK1192" s="34" t="str">
        <f aca="false">IF($B1192="","",COUNTIF($F1192:$AJ1192,"P"))</f>
        <v/>
      </c>
      <c r="AL1192" s="34" t="str">
        <f aca="false">IF($B1192="","",COUNTIF($F1192:$AJ1192,"A"))</f>
        <v/>
      </c>
      <c r="AM1192" s="34" t="str">
        <f aca="false">IF($B1192="","",COUNTIF($F1192:$AJ1192,"HA"))</f>
        <v/>
      </c>
      <c r="AN1192" s="34" t="str">
        <f aca="false">IF($B1192="","",COUNTIF($F1192:$AJ1192,"L"))</f>
        <v/>
      </c>
      <c r="AO1192" s="34" t="str">
        <f aca="false">IF($B1192="","",COUNTIF($F1192:$AJ1192,"PL"))</f>
        <v/>
      </c>
      <c r="AP1192" s="34" t="str">
        <f aca="false">IF($B1192="","",COUNTIF($F1192:$AJ1192,"CL"))</f>
        <v/>
      </c>
      <c r="AQ1192" s="34" t="str">
        <f aca="false">IF($B1192="","",COUNTIF($F1192:$AJ1192,"SL"))</f>
        <v/>
      </c>
      <c r="AR1192" s="34" t="str">
        <f aca="false">IF($B1192="","",COUNTIF($F1192:$AJ1192,"CO"))</f>
        <v/>
      </c>
      <c r="AS1192" s="34" t="str">
        <f aca="false">IF($B1192="","",COUNTIF($F1192:$AJ1192,"HPL"))</f>
        <v/>
      </c>
      <c r="AT1192" s="34" t="str">
        <f aca="false">IF($B1192="","",COUNTIF($F1192:$AJ1192,"HCL"))</f>
        <v/>
      </c>
      <c r="AU1192" s="34" t="str">
        <f aca="false">IF($B1192="","",COUNTIF($F1192:$AJ1192,"WO"))</f>
        <v/>
      </c>
      <c r="AV1192" s="34" t="str">
        <f aca="false">IF($B1192="","",COUNTIF($F1192:$AJ1192,"PH"))</f>
        <v/>
      </c>
      <c r="AW1192" s="34" t="str">
        <f aca="false">IF($B1192="","",COUNTIF($F1192:$AJ1192,"TR"))</f>
        <v/>
      </c>
      <c r="AX1192" s="35" t="str">
        <f aca="false">IF($B1192="","",AO1192+AS1192/2)</f>
        <v/>
      </c>
      <c r="AY1192" s="35" t="str">
        <f aca="false">IF($B1192="","",AQ1192)</f>
        <v/>
      </c>
      <c r="AZ1192" s="35" t="str">
        <f aca="false">IF($B1192="","",AP1192+AT1192/2)</f>
        <v/>
      </c>
      <c r="BA1192" s="35" t="str">
        <f aca="false">IF($B1192="","",AK1192+AN1192+AM1192/2+AO1192+AP1192+AQ1192+AR1192+AS1192+AT1192+AU1192+AV1192+AW1192)</f>
        <v/>
      </c>
      <c r="BB1192" s="35" t="str">
        <f aca="false">IF($B1192="","",MAX(0,AN1192-Settings!$C$16)*Settings!$C$17)</f>
        <v/>
      </c>
      <c r="BC1192" s="35" t="str">
        <f aca="false">IF($B1192="","",BA1192-BB1192)</f>
        <v/>
      </c>
      <c r="BD1192" s="35" t="str">
        <f aca="false">IF(OR($B1192="",$A1192=""),"",DAY(EOMONTH($A1192,0))-COUNTA($F1192:$AJ1192))</f>
        <v/>
      </c>
    </row>
    <row r="1193" customFormat="false" ht="15" hidden="false" customHeight="false" outlineLevel="0" collapsed="false">
      <c r="A1193" s="32"/>
      <c r="B1193" s="29"/>
      <c r="C1193" s="10" t="str">
        <f aca="false">IF($B1193="","",IFERROR(INDEX(M_name,MATCH($B1193,M_emp,0)),"Code not found"))</f>
        <v/>
      </c>
      <c r="D1193" s="10" t="str">
        <f aca="false">IF($B1193="","",IFERROR(INDEX(M_dept,MATCH($B1193,M_emp,0)),""))</f>
        <v/>
      </c>
      <c r="E1193" s="10" t="str">
        <f aca="false">IF($B1193="","",IFERROR(INDEX(M_loc,MATCH($B1193,M_emp,0)),""))</f>
        <v/>
      </c>
      <c r="F1193" s="33"/>
      <c r="G1193" s="33"/>
      <c r="H1193" s="33"/>
      <c r="I1193" s="33"/>
      <c r="J1193" s="33"/>
      <c r="K1193" s="33"/>
      <c r="L1193" s="33"/>
      <c r="M1193" s="33"/>
      <c r="N1193" s="33"/>
      <c r="O1193" s="33"/>
      <c r="P1193" s="33"/>
      <c r="Q1193" s="33"/>
      <c r="R1193" s="33"/>
      <c r="S1193" s="33"/>
      <c r="T1193" s="33"/>
      <c r="U1193" s="33"/>
      <c r="V1193" s="33"/>
      <c r="W1193" s="33"/>
      <c r="X1193" s="33"/>
      <c r="Y1193" s="33"/>
      <c r="Z1193" s="33"/>
      <c r="AA1193" s="33"/>
      <c r="AB1193" s="33"/>
      <c r="AC1193" s="33"/>
      <c r="AD1193" s="33"/>
      <c r="AE1193" s="33"/>
      <c r="AF1193" s="33"/>
      <c r="AG1193" s="33"/>
      <c r="AH1193" s="33"/>
      <c r="AI1193" s="33"/>
      <c r="AJ1193" s="33"/>
      <c r="AK1193" s="34" t="str">
        <f aca="false">IF($B1193="","",COUNTIF($F1193:$AJ1193,"P"))</f>
        <v/>
      </c>
      <c r="AL1193" s="34" t="str">
        <f aca="false">IF($B1193="","",COUNTIF($F1193:$AJ1193,"A"))</f>
        <v/>
      </c>
      <c r="AM1193" s="34" t="str">
        <f aca="false">IF($B1193="","",COUNTIF($F1193:$AJ1193,"HA"))</f>
        <v/>
      </c>
      <c r="AN1193" s="34" t="str">
        <f aca="false">IF($B1193="","",COUNTIF($F1193:$AJ1193,"L"))</f>
        <v/>
      </c>
      <c r="AO1193" s="34" t="str">
        <f aca="false">IF($B1193="","",COUNTIF($F1193:$AJ1193,"PL"))</f>
        <v/>
      </c>
      <c r="AP1193" s="34" t="str">
        <f aca="false">IF($B1193="","",COUNTIF($F1193:$AJ1193,"CL"))</f>
        <v/>
      </c>
      <c r="AQ1193" s="34" t="str">
        <f aca="false">IF($B1193="","",COUNTIF($F1193:$AJ1193,"SL"))</f>
        <v/>
      </c>
      <c r="AR1193" s="34" t="str">
        <f aca="false">IF($B1193="","",COUNTIF($F1193:$AJ1193,"CO"))</f>
        <v/>
      </c>
      <c r="AS1193" s="34" t="str">
        <f aca="false">IF($B1193="","",COUNTIF($F1193:$AJ1193,"HPL"))</f>
        <v/>
      </c>
      <c r="AT1193" s="34" t="str">
        <f aca="false">IF($B1193="","",COUNTIF($F1193:$AJ1193,"HCL"))</f>
        <v/>
      </c>
      <c r="AU1193" s="34" t="str">
        <f aca="false">IF($B1193="","",COUNTIF($F1193:$AJ1193,"WO"))</f>
        <v/>
      </c>
      <c r="AV1193" s="34" t="str">
        <f aca="false">IF($B1193="","",COUNTIF($F1193:$AJ1193,"PH"))</f>
        <v/>
      </c>
      <c r="AW1193" s="34" t="str">
        <f aca="false">IF($B1193="","",COUNTIF($F1193:$AJ1193,"TR"))</f>
        <v/>
      </c>
      <c r="AX1193" s="35" t="str">
        <f aca="false">IF($B1193="","",AO1193+AS1193/2)</f>
        <v/>
      </c>
      <c r="AY1193" s="35" t="str">
        <f aca="false">IF($B1193="","",AQ1193)</f>
        <v/>
      </c>
      <c r="AZ1193" s="35" t="str">
        <f aca="false">IF($B1193="","",AP1193+AT1193/2)</f>
        <v/>
      </c>
      <c r="BA1193" s="35" t="str">
        <f aca="false">IF($B1193="","",AK1193+AN1193+AM1193/2+AO1193+AP1193+AQ1193+AR1193+AS1193+AT1193+AU1193+AV1193+AW1193)</f>
        <v/>
      </c>
      <c r="BB1193" s="35" t="str">
        <f aca="false">IF($B1193="","",MAX(0,AN1193-Settings!$C$16)*Settings!$C$17)</f>
        <v/>
      </c>
      <c r="BC1193" s="35" t="str">
        <f aca="false">IF($B1193="","",BA1193-BB1193)</f>
        <v/>
      </c>
      <c r="BD1193" s="35" t="str">
        <f aca="false">IF(OR($B1193="",$A1193=""),"",DAY(EOMONTH($A1193,0))-COUNTA($F1193:$AJ1193))</f>
        <v/>
      </c>
    </row>
    <row r="1194" customFormat="false" ht="15" hidden="false" customHeight="false" outlineLevel="0" collapsed="false">
      <c r="A1194" s="32"/>
      <c r="B1194" s="29"/>
      <c r="C1194" s="10" t="str">
        <f aca="false">IF($B1194="","",IFERROR(INDEX(M_name,MATCH($B1194,M_emp,0)),"Code not found"))</f>
        <v/>
      </c>
      <c r="D1194" s="10" t="str">
        <f aca="false">IF($B1194="","",IFERROR(INDEX(M_dept,MATCH($B1194,M_emp,0)),""))</f>
        <v/>
      </c>
      <c r="E1194" s="10" t="str">
        <f aca="false">IF($B1194="","",IFERROR(INDEX(M_loc,MATCH($B1194,M_emp,0)),""))</f>
        <v/>
      </c>
      <c r="F1194" s="33"/>
      <c r="G1194" s="33"/>
      <c r="H1194" s="33"/>
      <c r="I1194" s="33"/>
      <c r="J1194" s="33"/>
      <c r="K1194" s="33"/>
      <c r="L1194" s="33"/>
      <c r="M1194" s="33"/>
      <c r="N1194" s="33"/>
      <c r="O1194" s="33"/>
      <c r="P1194" s="33"/>
      <c r="Q1194" s="33"/>
      <c r="R1194" s="33"/>
      <c r="S1194" s="33"/>
      <c r="T1194" s="33"/>
      <c r="U1194" s="33"/>
      <c r="V1194" s="33"/>
      <c r="W1194" s="33"/>
      <c r="X1194" s="33"/>
      <c r="Y1194" s="33"/>
      <c r="Z1194" s="33"/>
      <c r="AA1194" s="33"/>
      <c r="AB1194" s="33"/>
      <c r="AC1194" s="33"/>
      <c r="AD1194" s="33"/>
      <c r="AE1194" s="33"/>
      <c r="AF1194" s="33"/>
      <c r="AG1194" s="33"/>
      <c r="AH1194" s="33"/>
      <c r="AI1194" s="33"/>
      <c r="AJ1194" s="33"/>
      <c r="AK1194" s="34" t="str">
        <f aca="false">IF($B1194="","",COUNTIF($F1194:$AJ1194,"P"))</f>
        <v/>
      </c>
      <c r="AL1194" s="34" t="str">
        <f aca="false">IF($B1194="","",COUNTIF($F1194:$AJ1194,"A"))</f>
        <v/>
      </c>
      <c r="AM1194" s="34" t="str">
        <f aca="false">IF($B1194="","",COUNTIF($F1194:$AJ1194,"HA"))</f>
        <v/>
      </c>
      <c r="AN1194" s="34" t="str">
        <f aca="false">IF($B1194="","",COUNTIF($F1194:$AJ1194,"L"))</f>
        <v/>
      </c>
      <c r="AO1194" s="34" t="str">
        <f aca="false">IF($B1194="","",COUNTIF($F1194:$AJ1194,"PL"))</f>
        <v/>
      </c>
      <c r="AP1194" s="34" t="str">
        <f aca="false">IF($B1194="","",COUNTIF($F1194:$AJ1194,"CL"))</f>
        <v/>
      </c>
      <c r="AQ1194" s="34" t="str">
        <f aca="false">IF($B1194="","",COUNTIF($F1194:$AJ1194,"SL"))</f>
        <v/>
      </c>
      <c r="AR1194" s="34" t="str">
        <f aca="false">IF($B1194="","",COUNTIF($F1194:$AJ1194,"CO"))</f>
        <v/>
      </c>
      <c r="AS1194" s="34" t="str">
        <f aca="false">IF($B1194="","",COUNTIF($F1194:$AJ1194,"HPL"))</f>
        <v/>
      </c>
      <c r="AT1194" s="34" t="str">
        <f aca="false">IF($B1194="","",COUNTIF($F1194:$AJ1194,"HCL"))</f>
        <v/>
      </c>
      <c r="AU1194" s="34" t="str">
        <f aca="false">IF($B1194="","",COUNTIF($F1194:$AJ1194,"WO"))</f>
        <v/>
      </c>
      <c r="AV1194" s="34" t="str">
        <f aca="false">IF($B1194="","",COUNTIF($F1194:$AJ1194,"PH"))</f>
        <v/>
      </c>
      <c r="AW1194" s="34" t="str">
        <f aca="false">IF($B1194="","",COUNTIF($F1194:$AJ1194,"TR"))</f>
        <v/>
      </c>
      <c r="AX1194" s="35" t="str">
        <f aca="false">IF($B1194="","",AO1194+AS1194/2)</f>
        <v/>
      </c>
      <c r="AY1194" s="35" t="str">
        <f aca="false">IF($B1194="","",AQ1194)</f>
        <v/>
      </c>
      <c r="AZ1194" s="35" t="str">
        <f aca="false">IF($B1194="","",AP1194+AT1194/2)</f>
        <v/>
      </c>
      <c r="BA1194" s="35" t="str">
        <f aca="false">IF($B1194="","",AK1194+AN1194+AM1194/2+AO1194+AP1194+AQ1194+AR1194+AS1194+AT1194+AU1194+AV1194+AW1194)</f>
        <v/>
      </c>
      <c r="BB1194" s="35" t="str">
        <f aca="false">IF($B1194="","",MAX(0,AN1194-Settings!$C$16)*Settings!$C$17)</f>
        <v/>
      </c>
      <c r="BC1194" s="35" t="str">
        <f aca="false">IF($B1194="","",BA1194-BB1194)</f>
        <v/>
      </c>
      <c r="BD1194" s="35" t="str">
        <f aca="false">IF(OR($B1194="",$A1194=""),"",DAY(EOMONTH($A1194,0))-COUNTA($F1194:$AJ1194))</f>
        <v/>
      </c>
    </row>
    <row r="1195" customFormat="false" ht="15" hidden="false" customHeight="false" outlineLevel="0" collapsed="false">
      <c r="A1195" s="32"/>
      <c r="B1195" s="29"/>
      <c r="C1195" s="10" t="str">
        <f aca="false">IF($B1195="","",IFERROR(INDEX(M_name,MATCH($B1195,M_emp,0)),"Code not found"))</f>
        <v/>
      </c>
      <c r="D1195" s="10" t="str">
        <f aca="false">IF($B1195="","",IFERROR(INDEX(M_dept,MATCH($B1195,M_emp,0)),""))</f>
        <v/>
      </c>
      <c r="E1195" s="10" t="str">
        <f aca="false">IF($B1195="","",IFERROR(INDEX(M_loc,MATCH($B1195,M_emp,0)),""))</f>
        <v/>
      </c>
      <c r="F1195" s="33"/>
      <c r="G1195" s="33"/>
      <c r="H1195" s="33"/>
      <c r="I1195" s="33"/>
      <c r="J1195" s="33"/>
      <c r="K1195" s="33"/>
      <c r="L1195" s="33"/>
      <c r="M1195" s="33"/>
      <c r="N1195" s="33"/>
      <c r="O1195" s="33"/>
      <c r="P1195" s="33"/>
      <c r="Q1195" s="33"/>
      <c r="R1195" s="33"/>
      <c r="S1195" s="33"/>
      <c r="T1195" s="33"/>
      <c r="U1195" s="33"/>
      <c r="V1195" s="33"/>
      <c r="W1195" s="33"/>
      <c r="X1195" s="33"/>
      <c r="Y1195" s="33"/>
      <c r="Z1195" s="33"/>
      <c r="AA1195" s="33"/>
      <c r="AB1195" s="33"/>
      <c r="AC1195" s="33"/>
      <c r="AD1195" s="33"/>
      <c r="AE1195" s="33"/>
      <c r="AF1195" s="33"/>
      <c r="AG1195" s="33"/>
      <c r="AH1195" s="33"/>
      <c r="AI1195" s="33"/>
      <c r="AJ1195" s="33"/>
      <c r="AK1195" s="34" t="str">
        <f aca="false">IF($B1195="","",COUNTIF($F1195:$AJ1195,"P"))</f>
        <v/>
      </c>
      <c r="AL1195" s="34" t="str">
        <f aca="false">IF($B1195="","",COUNTIF($F1195:$AJ1195,"A"))</f>
        <v/>
      </c>
      <c r="AM1195" s="34" t="str">
        <f aca="false">IF($B1195="","",COUNTIF($F1195:$AJ1195,"HA"))</f>
        <v/>
      </c>
      <c r="AN1195" s="34" t="str">
        <f aca="false">IF($B1195="","",COUNTIF($F1195:$AJ1195,"L"))</f>
        <v/>
      </c>
      <c r="AO1195" s="34" t="str">
        <f aca="false">IF($B1195="","",COUNTIF($F1195:$AJ1195,"PL"))</f>
        <v/>
      </c>
      <c r="AP1195" s="34" t="str">
        <f aca="false">IF($B1195="","",COUNTIF($F1195:$AJ1195,"CL"))</f>
        <v/>
      </c>
      <c r="AQ1195" s="34" t="str">
        <f aca="false">IF($B1195="","",COUNTIF($F1195:$AJ1195,"SL"))</f>
        <v/>
      </c>
      <c r="AR1195" s="34" t="str">
        <f aca="false">IF($B1195="","",COUNTIF($F1195:$AJ1195,"CO"))</f>
        <v/>
      </c>
      <c r="AS1195" s="34" t="str">
        <f aca="false">IF($B1195="","",COUNTIF($F1195:$AJ1195,"HPL"))</f>
        <v/>
      </c>
      <c r="AT1195" s="34" t="str">
        <f aca="false">IF($B1195="","",COUNTIF($F1195:$AJ1195,"HCL"))</f>
        <v/>
      </c>
      <c r="AU1195" s="34" t="str">
        <f aca="false">IF($B1195="","",COUNTIF($F1195:$AJ1195,"WO"))</f>
        <v/>
      </c>
      <c r="AV1195" s="34" t="str">
        <f aca="false">IF($B1195="","",COUNTIF($F1195:$AJ1195,"PH"))</f>
        <v/>
      </c>
      <c r="AW1195" s="34" t="str">
        <f aca="false">IF($B1195="","",COUNTIF($F1195:$AJ1195,"TR"))</f>
        <v/>
      </c>
      <c r="AX1195" s="35" t="str">
        <f aca="false">IF($B1195="","",AO1195+AS1195/2)</f>
        <v/>
      </c>
      <c r="AY1195" s="35" t="str">
        <f aca="false">IF($B1195="","",AQ1195)</f>
        <v/>
      </c>
      <c r="AZ1195" s="35" t="str">
        <f aca="false">IF($B1195="","",AP1195+AT1195/2)</f>
        <v/>
      </c>
      <c r="BA1195" s="35" t="str">
        <f aca="false">IF($B1195="","",AK1195+AN1195+AM1195/2+AO1195+AP1195+AQ1195+AR1195+AS1195+AT1195+AU1195+AV1195+AW1195)</f>
        <v/>
      </c>
      <c r="BB1195" s="35" t="str">
        <f aca="false">IF($B1195="","",MAX(0,AN1195-Settings!$C$16)*Settings!$C$17)</f>
        <v/>
      </c>
      <c r="BC1195" s="35" t="str">
        <f aca="false">IF($B1195="","",BA1195-BB1195)</f>
        <v/>
      </c>
      <c r="BD1195" s="35" t="str">
        <f aca="false">IF(OR($B1195="",$A1195=""),"",DAY(EOMONTH($A1195,0))-COUNTA($F1195:$AJ1195))</f>
        <v/>
      </c>
    </row>
    <row r="1196" customFormat="false" ht="15" hidden="false" customHeight="false" outlineLevel="0" collapsed="false">
      <c r="A1196" s="32"/>
      <c r="B1196" s="29"/>
      <c r="C1196" s="10" t="str">
        <f aca="false">IF($B1196="","",IFERROR(INDEX(M_name,MATCH($B1196,M_emp,0)),"Code not found"))</f>
        <v/>
      </c>
      <c r="D1196" s="10" t="str">
        <f aca="false">IF($B1196="","",IFERROR(INDEX(M_dept,MATCH($B1196,M_emp,0)),""))</f>
        <v/>
      </c>
      <c r="E1196" s="10" t="str">
        <f aca="false">IF($B1196="","",IFERROR(INDEX(M_loc,MATCH($B1196,M_emp,0)),""))</f>
        <v/>
      </c>
      <c r="F1196" s="33"/>
      <c r="G1196" s="33"/>
      <c r="H1196" s="33"/>
      <c r="I1196" s="33"/>
      <c r="J1196" s="33"/>
      <c r="K1196" s="33"/>
      <c r="L1196" s="33"/>
      <c r="M1196" s="33"/>
      <c r="N1196" s="33"/>
      <c r="O1196" s="33"/>
      <c r="P1196" s="33"/>
      <c r="Q1196" s="33"/>
      <c r="R1196" s="33"/>
      <c r="S1196" s="33"/>
      <c r="T1196" s="33"/>
      <c r="U1196" s="33"/>
      <c r="V1196" s="33"/>
      <c r="W1196" s="33"/>
      <c r="X1196" s="33"/>
      <c r="Y1196" s="33"/>
      <c r="Z1196" s="33"/>
      <c r="AA1196" s="33"/>
      <c r="AB1196" s="33"/>
      <c r="AC1196" s="33"/>
      <c r="AD1196" s="33"/>
      <c r="AE1196" s="33"/>
      <c r="AF1196" s="33"/>
      <c r="AG1196" s="33"/>
      <c r="AH1196" s="33"/>
      <c r="AI1196" s="33"/>
      <c r="AJ1196" s="33"/>
      <c r="AK1196" s="34" t="str">
        <f aca="false">IF($B1196="","",COUNTIF($F1196:$AJ1196,"P"))</f>
        <v/>
      </c>
      <c r="AL1196" s="34" t="str">
        <f aca="false">IF($B1196="","",COUNTIF($F1196:$AJ1196,"A"))</f>
        <v/>
      </c>
      <c r="AM1196" s="34" t="str">
        <f aca="false">IF($B1196="","",COUNTIF($F1196:$AJ1196,"HA"))</f>
        <v/>
      </c>
      <c r="AN1196" s="34" t="str">
        <f aca="false">IF($B1196="","",COUNTIF($F1196:$AJ1196,"L"))</f>
        <v/>
      </c>
      <c r="AO1196" s="34" t="str">
        <f aca="false">IF($B1196="","",COUNTIF($F1196:$AJ1196,"PL"))</f>
        <v/>
      </c>
      <c r="AP1196" s="34" t="str">
        <f aca="false">IF($B1196="","",COUNTIF($F1196:$AJ1196,"CL"))</f>
        <v/>
      </c>
      <c r="AQ1196" s="34" t="str">
        <f aca="false">IF($B1196="","",COUNTIF($F1196:$AJ1196,"SL"))</f>
        <v/>
      </c>
      <c r="AR1196" s="34" t="str">
        <f aca="false">IF($B1196="","",COUNTIF($F1196:$AJ1196,"CO"))</f>
        <v/>
      </c>
      <c r="AS1196" s="34" t="str">
        <f aca="false">IF($B1196="","",COUNTIF($F1196:$AJ1196,"HPL"))</f>
        <v/>
      </c>
      <c r="AT1196" s="34" t="str">
        <f aca="false">IF($B1196="","",COUNTIF($F1196:$AJ1196,"HCL"))</f>
        <v/>
      </c>
      <c r="AU1196" s="34" t="str">
        <f aca="false">IF($B1196="","",COUNTIF($F1196:$AJ1196,"WO"))</f>
        <v/>
      </c>
      <c r="AV1196" s="34" t="str">
        <f aca="false">IF($B1196="","",COUNTIF($F1196:$AJ1196,"PH"))</f>
        <v/>
      </c>
      <c r="AW1196" s="34" t="str">
        <f aca="false">IF($B1196="","",COUNTIF($F1196:$AJ1196,"TR"))</f>
        <v/>
      </c>
      <c r="AX1196" s="35" t="str">
        <f aca="false">IF($B1196="","",AO1196+AS1196/2)</f>
        <v/>
      </c>
      <c r="AY1196" s="35" t="str">
        <f aca="false">IF($B1196="","",AQ1196)</f>
        <v/>
      </c>
      <c r="AZ1196" s="35" t="str">
        <f aca="false">IF($B1196="","",AP1196+AT1196/2)</f>
        <v/>
      </c>
      <c r="BA1196" s="35" t="str">
        <f aca="false">IF($B1196="","",AK1196+AN1196+AM1196/2+AO1196+AP1196+AQ1196+AR1196+AS1196+AT1196+AU1196+AV1196+AW1196)</f>
        <v/>
      </c>
      <c r="BB1196" s="35" t="str">
        <f aca="false">IF($B1196="","",MAX(0,AN1196-Settings!$C$16)*Settings!$C$17)</f>
        <v/>
      </c>
      <c r="BC1196" s="35" t="str">
        <f aca="false">IF($B1196="","",BA1196-BB1196)</f>
        <v/>
      </c>
      <c r="BD1196" s="35" t="str">
        <f aca="false">IF(OR($B1196="",$A1196=""),"",DAY(EOMONTH($A1196,0))-COUNTA($F1196:$AJ1196))</f>
        <v/>
      </c>
    </row>
    <row r="1197" customFormat="false" ht="15" hidden="false" customHeight="false" outlineLevel="0" collapsed="false">
      <c r="A1197" s="32"/>
      <c r="B1197" s="29"/>
      <c r="C1197" s="10" t="str">
        <f aca="false">IF($B1197="","",IFERROR(INDEX(M_name,MATCH($B1197,M_emp,0)),"Code not found"))</f>
        <v/>
      </c>
      <c r="D1197" s="10" t="str">
        <f aca="false">IF($B1197="","",IFERROR(INDEX(M_dept,MATCH($B1197,M_emp,0)),""))</f>
        <v/>
      </c>
      <c r="E1197" s="10" t="str">
        <f aca="false">IF($B1197="","",IFERROR(INDEX(M_loc,MATCH($B1197,M_emp,0)),""))</f>
        <v/>
      </c>
      <c r="F1197" s="33"/>
      <c r="G1197" s="33"/>
      <c r="H1197" s="33"/>
      <c r="I1197" s="33"/>
      <c r="J1197" s="33"/>
      <c r="K1197" s="33"/>
      <c r="L1197" s="33"/>
      <c r="M1197" s="33"/>
      <c r="N1197" s="33"/>
      <c r="O1197" s="33"/>
      <c r="P1197" s="33"/>
      <c r="Q1197" s="33"/>
      <c r="R1197" s="33"/>
      <c r="S1197" s="33"/>
      <c r="T1197" s="33"/>
      <c r="U1197" s="33"/>
      <c r="V1197" s="33"/>
      <c r="W1197" s="33"/>
      <c r="X1197" s="33"/>
      <c r="Y1197" s="33"/>
      <c r="Z1197" s="33"/>
      <c r="AA1197" s="33"/>
      <c r="AB1197" s="33"/>
      <c r="AC1197" s="33"/>
      <c r="AD1197" s="33"/>
      <c r="AE1197" s="33"/>
      <c r="AF1197" s="33"/>
      <c r="AG1197" s="33"/>
      <c r="AH1197" s="33"/>
      <c r="AI1197" s="33"/>
      <c r="AJ1197" s="33"/>
      <c r="AK1197" s="34" t="str">
        <f aca="false">IF($B1197="","",COUNTIF($F1197:$AJ1197,"P"))</f>
        <v/>
      </c>
      <c r="AL1197" s="34" t="str">
        <f aca="false">IF($B1197="","",COUNTIF($F1197:$AJ1197,"A"))</f>
        <v/>
      </c>
      <c r="AM1197" s="34" t="str">
        <f aca="false">IF($B1197="","",COUNTIF($F1197:$AJ1197,"HA"))</f>
        <v/>
      </c>
      <c r="AN1197" s="34" t="str">
        <f aca="false">IF($B1197="","",COUNTIF($F1197:$AJ1197,"L"))</f>
        <v/>
      </c>
      <c r="AO1197" s="34" t="str">
        <f aca="false">IF($B1197="","",COUNTIF($F1197:$AJ1197,"PL"))</f>
        <v/>
      </c>
      <c r="AP1197" s="34" t="str">
        <f aca="false">IF($B1197="","",COUNTIF($F1197:$AJ1197,"CL"))</f>
        <v/>
      </c>
      <c r="AQ1197" s="34" t="str">
        <f aca="false">IF($B1197="","",COUNTIF($F1197:$AJ1197,"SL"))</f>
        <v/>
      </c>
      <c r="AR1197" s="34" t="str">
        <f aca="false">IF($B1197="","",COUNTIF($F1197:$AJ1197,"CO"))</f>
        <v/>
      </c>
      <c r="AS1197" s="34" t="str">
        <f aca="false">IF($B1197="","",COUNTIF($F1197:$AJ1197,"HPL"))</f>
        <v/>
      </c>
      <c r="AT1197" s="34" t="str">
        <f aca="false">IF($B1197="","",COUNTIF($F1197:$AJ1197,"HCL"))</f>
        <v/>
      </c>
      <c r="AU1197" s="34" t="str">
        <f aca="false">IF($B1197="","",COUNTIF($F1197:$AJ1197,"WO"))</f>
        <v/>
      </c>
      <c r="AV1197" s="34" t="str">
        <f aca="false">IF($B1197="","",COUNTIF($F1197:$AJ1197,"PH"))</f>
        <v/>
      </c>
      <c r="AW1197" s="34" t="str">
        <f aca="false">IF($B1197="","",COUNTIF($F1197:$AJ1197,"TR"))</f>
        <v/>
      </c>
      <c r="AX1197" s="35" t="str">
        <f aca="false">IF($B1197="","",AO1197+AS1197/2)</f>
        <v/>
      </c>
      <c r="AY1197" s="35" t="str">
        <f aca="false">IF($B1197="","",AQ1197)</f>
        <v/>
      </c>
      <c r="AZ1197" s="35" t="str">
        <f aca="false">IF($B1197="","",AP1197+AT1197/2)</f>
        <v/>
      </c>
      <c r="BA1197" s="35" t="str">
        <f aca="false">IF($B1197="","",AK1197+AN1197+AM1197/2+AO1197+AP1197+AQ1197+AR1197+AS1197+AT1197+AU1197+AV1197+AW1197)</f>
        <v/>
      </c>
      <c r="BB1197" s="35" t="str">
        <f aca="false">IF($B1197="","",MAX(0,AN1197-Settings!$C$16)*Settings!$C$17)</f>
        <v/>
      </c>
      <c r="BC1197" s="35" t="str">
        <f aca="false">IF($B1197="","",BA1197-BB1197)</f>
        <v/>
      </c>
      <c r="BD1197" s="35" t="str">
        <f aca="false">IF(OR($B1197="",$A1197=""),"",DAY(EOMONTH($A1197,0))-COUNTA($F1197:$AJ1197))</f>
        <v/>
      </c>
    </row>
    <row r="1198" customFormat="false" ht="15" hidden="false" customHeight="false" outlineLevel="0" collapsed="false">
      <c r="A1198" s="32"/>
      <c r="B1198" s="29"/>
      <c r="C1198" s="10" t="str">
        <f aca="false">IF($B1198="","",IFERROR(INDEX(M_name,MATCH($B1198,M_emp,0)),"Code not found"))</f>
        <v/>
      </c>
      <c r="D1198" s="10" t="str">
        <f aca="false">IF($B1198="","",IFERROR(INDEX(M_dept,MATCH($B1198,M_emp,0)),""))</f>
        <v/>
      </c>
      <c r="E1198" s="10" t="str">
        <f aca="false">IF($B1198="","",IFERROR(INDEX(M_loc,MATCH($B1198,M_emp,0)),""))</f>
        <v/>
      </c>
      <c r="F1198" s="33"/>
      <c r="G1198" s="33"/>
      <c r="H1198" s="33"/>
      <c r="I1198" s="33"/>
      <c r="J1198" s="33"/>
      <c r="K1198" s="33"/>
      <c r="L1198" s="33"/>
      <c r="M1198" s="33"/>
      <c r="N1198" s="33"/>
      <c r="O1198" s="33"/>
      <c r="P1198" s="33"/>
      <c r="Q1198" s="33"/>
      <c r="R1198" s="33"/>
      <c r="S1198" s="33"/>
      <c r="T1198" s="33"/>
      <c r="U1198" s="33"/>
      <c r="V1198" s="33"/>
      <c r="W1198" s="33"/>
      <c r="X1198" s="33"/>
      <c r="Y1198" s="33"/>
      <c r="Z1198" s="33"/>
      <c r="AA1198" s="33"/>
      <c r="AB1198" s="33"/>
      <c r="AC1198" s="33"/>
      <c r="AD1198" s="33"/>
      <c r="AE1198" s="33"/>
      <c r="AF1198" s="33"/>
      <c r="AG1198" s="33"/>
      <c r="AH1198" s="33"/>
      <c r="AI1198" s="33"/>
      <c r="AJ1198" s="33"/>
      <c r="AK1198" s="34" t="str">
        <f aca="false">IF($B1198="","",COUNTIF($F1198:$AJ1198,"P"))</f>
        <v/>
      </c>
      <c r="AL1198" s="34" t="str">
        <f aca="false">IF($B1198="","",COUNTIF($F1198:$AJ1198,"A"))</f>
        <v/>
      </c>
      <c r="AM1198" s="34" t="str">
        <f aca="false">IF($B1198="","",COUNTIF($F1198:$AJ1198,"HA"))</f>
        <v/>
      </c>
      <c r="AN1198" s="34" t="str">
        <f aca="false">IF($B1198="","",COUNTIF($F1198:$AJ1198,"L"))</f>
        <v/>
      </c>
      <c r="AO1198" s="34" t="str">
        <f aca="false">IF($B1198="","",COUNTIF($F1198:$AJ1198,"PL"))</f>
        <v/>
      </c>
      <c r="AP1198" s="34" t="str">
        <f aca="false">IF($B1198="","",COUNTIF($F1198:$AJ1198,"CL"))</f>
        <v/>
      </c>
      <c r="AQ1198" s="34" t="str">
        <f aca="false">IF($B1198="","",COUNTIF($F1198:$AJ1198,"SL"))</f>
        <v/>
      </c>
      <c r="AR1198" s="34" t="str">
        <f aca="false">IF($B1198="","",COUNTIF($F1198:$AJ1198,"CO"))</f>
        <v/>
      </c>
      <c r="AS1198" s="34" t="str">
        <f aca="false">IF($B1198="","",COUNTIF($F1198:$AJ1198,"HPL"))</f>
        <v/>
      </c>
      <c r="AT1198" s="34" t="str">
        <f aca="false">IF($B1198="","",COUNTIF($F1198:$AJ1198,"HCL"))</f>
        <v/>
      </c>
      <c r="AU1198" s="34" t="str">
        <f aca="false">IF($B1198="","",COUNTIF($F1198:$AJ1198,"WO"))</f>
        <v/>
      </c>
      <c r="AV1198" s="34" t="str">
        <f aca="false">IF($B1198="","",COUNTIF($F1198:$AJ1198,"PH"))</f>
        <v/>
      </c>
      <c r="AW1198" s="34" t="str">
        <f aca="false">IF($B1198="","",COUNTIF($F1198:$AJ1198,"TR"))</f>
        <v/>
      </c>
      <c r="AX1198" s="35" t="str">
        <f aca="false">IF($B1198="","",AO1198+AS1198/2)</f>
        <v/>
      </c>
      <c r="AY1198" s="35" t="str">
        <f aca="false">IF($B1198="","",AQ1198)</f>
        <v/>
      </c>
      <c r="AZ1198" s="35" t="str">
        <f aca="false">IF($B1198="","",AP1198+AT1198/2)</f>
        <v/>
      </c>
      <c r="BA1198" s="35" t="str">
        <f aca="false">IF($B1198="","",AK1198+AN1198+AM1198/2+AO1198+AP1198+AQ1198+AR1198+AS1198+AT1198+AU1198+AV1198+AW1198)</f>
        <v/>
      </c>
      <c r="BB1198" s="35" t="str">
        <f aca="false">IF($B1198="","",MAX(0,AN1198-Settings!$C$16)*Settings!$C$17)</f>
        <v/>
      </c>
      <c r="BC1198" s="35" t="str">
        <f aca="false">IF($B1198="","",BA1198-BB1198)</f>
        <v/>
      </c>
      <c r="BD1198" s="35" t="str">
        <f aca="false">IF(OR($B1198="",$A1198=""),"",DAY(EOMONTH($A1198,0))-COUNTA($F1198:$AJ1198))</f>
        <v/>
      </c>
    </row>
    <row r="1199" customFormat="false" ht="15" hidden="false" customHeight="false" outlineLevel="0" collapsed="false">
      <c r="A1199" s="32"/>
      <c r="B1199" s="29"/>
      <c r="C1199" s="10" t="str">
        <f aca="false">IF($B1199="","",IFERROR(INDEX(M_name,MATCH($B1199,M_emp,0)),"Code not found"))</f>
        <v/>
      </c>
      <c r="D1199" s="10" t="str">
        <f aca="false">IF($B1199="","",IFERROR(INDEX(M_dept,MATCH($B1199,M_emp,0)),""))</f>
        <v/>
      </c>
      <c r="E1199" s="10" t="str">
        <f aca="false">IF($B1199="","",IFERROR(INDEX(M_loc,MATCH($B1199,M_emp,0)),""))</f>
        <v/>
      </c>
      <c r="F1199" s="33"/>
      <c r="G1199" s="33"/>
      <c r="H1199" s="33"/>
      <c r="I1199" s="33"/>
      <c r="J1199" s="33"/>
      <c r="K1199" s="33"/>
      <c r="L1199" s="33"/>
      <c r="M1199" s="33"/>
      <c r="N1199" s="33"/>
      <c r="O1199" s="33"/>
      <c r="P1199" s="33"/>
      <c r="Q1199" s="33"/>
      <c r="R1199" s="33"/>
      <c r="S1199" s="33"/>
      <c r="T1199" s="33"/>
      <c r="U1199" s="33"/>
      <c r="V1199" s="33"/>
      <c r="W1199" s="33"/>
      <c r="X1199" s="33"/>
      <c r="Y1199" s="33"/>
      <c r="Z1199" s="33"/>
      <c r="AA1199" s="33"/>
      <c r="AB1199" s="33"/>
      <c r="AC1199" s="33"/>
      <c r="AD1199" s="33"/>
      <c r="AE1199" s="33"/>
      <c r="AF1199" s="33"/>
      <c r="AG1199" s="33"/>
      <c r="AH1199" s="33"/>
      <c r="AI1199" s="33"/>
      <c r="AJ1199" s="33"/>
      <c r="AK1199" s="34" t="str">
        <f aca="false">IF($B1199="","",COUNTIF($F1199:$AJ1199,"P"))</f>
        <v/>
      </c>
      <c r="AL1199" s="34" t="str">
        <f aca="false">IF($B1199="","",COUNTIF($F1199:$AJ1199,"A"))</f>
        <v/>
      </c>
      <c r="AM1199" s="34" t="str">
        <f aca="false">IF($B1199="","",COUNTIF($F1199:$AJ1199,"HA"))</f>
        <v/>
      </c>
      <c r="AN1199" s="34" t="str">
        <f aca="false">IF($B1199="","",COUNTIF($F1199:$AJ1199,"L"))</f>
        <v/>
      </c>
      <c r="AO1199" s="34" t="str">
        <f aca="false">IF($B1199="","",COUNTIF($F1199:$AJ1199,"PL"))</f>
        <v/>
      </c>
      <c r="AP1199" s="34" t="str">
        <f aca="false">IF($B1199="","",COUNTIF($F1199:$AJ1199,"CL"))</f>
        <v/>
      </c>
      <c r="AQ1199" s="34" t="str">
        <f aca="false">IF($B1199="","",COUNTIF($F1199:$AJ1199,"SL"))</f>
        <v/>
      </c>
      <c r="AR1199" s="34" t="str">
        <f aca="false">IF($B1199="","",COUNTIF($F1199:$AJ1199,"CO"))</f>
        <v/>
      </c>
      <c r="AS1199" s="34" t="str">
        <f aca="false">IF($B1199="","",COUNTIF($F1199:$AJ1199,"HPL"))</f>
        <v/>
      </c>
      <c r="AT1199" s="34" t="str">
        <f aca="false">IF($B1199="","",COUNTIF($F1199:$AJ1199,"HCL"))</f>
        <v/>
      </c>
      <c r="AU1199" s="34" t="str">
        <f aca="false">IF($B1199="","",COUNTIF($F1199:$AJ1199,"WO"))</f>
        <v/>
      </c>
      <c r="AV1199" s="34" t="str">
        <f aca="false">IF($B1199="","",COUNTIF($F1199:$AJ1199,"PH"))</f>
        <v/>
      </c>
      <c r="AW1199" s="34" t="str">
        <f aca="false">IF($B1199="","",COUNTIF($F1199:$AJ1199,"TR"))</f>
        <v/>
      </c>
      <c r="AX1199" s="35" t="str">
        <f aca="false">IF($B1199="","",AO1199+AS1199/2)</f>
        <v/>
      </c>
      <c r="AY1199" s="35" t="str">
        <f aca="false">IF($B1199="","",AQ1199)</f>
        <v/>
      </c>
      <c r="AZ1199" s="35" t="str">
        <f aca="false">IF($B1199="","",AP1199+AT1199/2)</f>
        <v/>
      </c>
      <c r="BA1199" s="35" t="str">
        <f aca="false">IF($B1199="","",AK1199+AN1199+AM1199/2+AO1199+AP1199+AQ1199+AR1199+AS1199+AT1199+AU1199+AV1199+AW1199)</f>
        <v/>
      </c>
      <c r="BB1199" s="35" t="str">
        <f aca="false">IF($B1199="","",MAX(0,AN1199-Settings!$C$16)*Settings!$C$17)</f>
        <v/>
      </c>
      <c r="BC1199" s="35" t="str">
        <f aca="false">IF($B1199="","",BA1199-BB1199)</f>
        <v/>
      </c>
      <c r="BD1199" s="35" t="str">
        <f aca="false">IF(OR($B1199="",$A1199=""),"",DAY(EOMONTH($A1199,0))-COUNTA($F1199:$AJ1199))</f>
        <v/>
      </c>
    </row>
    <row r="1200" customFormat="false" ht="15" hidden="false" customHeight="false" outlineLevel="0" collapsed="false">
      <c r="A1200" s="32"/>
      <c r="B1200" s="29"/>
      <c r="C1200" s="10" t="str">
        <f aca="false">IF($B1200="","",IFERROR(INDEX(M_name,MATCH($B1200,M_emp,0)),"Code not found"))</f>
        <v/>
      </c>
      <c r="D1200" s="10" t="str">
        <f aca="false">IF($B1200="","",IFERROR(INDEX(M_dept,MATCH($B1200,M_emp,0)),""))</f>
        <v/>
      </c>
      <c r="E1200" s="10" t="str">
        <f aca="false">IF($B1200="","",IFERROR(INDEX(M_loc,MATCH($B1200,M_emp,0)),""))</f>
        <v/>
      </c>
      <c r="F1200" s="33"/>
      <c r="G1200" s="33"/>
      <c r="H1200" s="33"/>
      <c r="I1200" s="33"/>
      <c r="J1200" s="33"/>
      <c r="K1200" s="33"/>
      <c r="L1200" s="33"/>
      <c r="M1200" s="33"/>
      <c r="N1200" s="33"/>
      <c r="O1200" s="33"/>
      <c r="P1200" s="33"/>
      <c r="Q1200" s="33"/>
      <c r="R1200" s="33"/>
      <c r="S1200" s="33"/>
      <c r="T1200" s="33"/>
      <c r="U1200" s="33"/>
      <c r="V1200" s="33"/>
      <c r="W1200" s="33"/>
      <c r="X1200" s="33"/>
      <c r="Y1200" s="33"/>
      <c r="Z1200" s="33"/>
      <c r="AA1200" s="33"/>
      <c r="AB1200" s="33"/>
      <c r="AC1200" s="33"/>
      <c r="AD1200" s="33"/>
      <c r="AE1200" s="33"/>
      <c r="AF1200" s="33"/>
      <c r="AG1200" s="33"/>
      <c r="AH1200" s="33"/>
      <c r="AI1200" s="33"/>
      <c r="AJ1200" s="33"/>
      <c r="AK1200" s="34" t="str">
        <f aca="false">IF($B1200="","",COUNTIF($F1200:$AJ1200,"P"))</f>
        <v/>
      </c>
      <c r="AL1200" s="34" t="str">
        <f aca="false">IF($B1200="","",COUNTIF($F1200:$AJ1200,"A"))</f>
        <v/>
      </c>
      <c r="AM1200" s="34" t="str">
        <f aca="false">IF($B1200="","",COUNTIF($F1200:$AJ1200,"HA"))</f>
        <v/>
      </c>
      <c r="AN1200" s="34" t="str">
        <f aca="false">IF($B1200="","",COUNTIF($F1200:$AJ1200,"L"))</f>
        <v/>
      </c>
      <c r="AO1200" s="34" t="str">
        <f aca="false">IF($B1200="","",COUNTIF($F1200:$AJ1200,"PL"))</f>
        <v/>
      </c>
      <c r="AP1200" s="34" t="str">
        <f aca="false">IF($B1200="","",COUNTIF($F1200:$AJ1200,"CL"))</f>
        <v/>
      </c>
      <c r="AQ1200" s="34" t="str">
        <f aca="false">IF($B1200="","",COUNTIF($F1200:$AJ1200,"SL"))</f>
        <v/>
      </c>
      <c r="AR1200" s="34" t="str">
        <f aca="false">IF($B1200="","",COUNTIF($F1200:$AJ1200,"CO"))</f>
        <v/>
      </c>
      <c r="AS1200" s="34" t="str">
        <f aca="false">IF($B1200="","",COUNTIF($F1200:$AJ1200,"HPL"))</f>
        <v/>
      </c>
      <c r="AT1200" s="34" t="str">
        <f aca="false">IF($B1200="","",COUNTIF($F1200:$AJ1200,"HCL"))</f>
        <v/>
      </c>
      <c r="AU1200" s="34" t="str">
        <f aca="false">IF($B1200="","",COUNTIF($F1200:$AJ1200,"WO"))</f>
        <v/>
      </c>
      <c r="AV1200" s="34" t="str">
        <f aca="false">IF($B1200="","",COUNTIF($F1200:$AJ1200,"PH"))</f>
        <v/>
      </c>
      <c r="AW1200" s="34" t="str">
        <f aca="false">IF($B1200="","",COUNTIF($F1200:$AJ1200,"TR"))</f>
        <v/>
      </c>
      <c r="AX1200" s="35" t="str">
        <f aca="false">IF($B1200="","",AO1200+AS1200/2)</f>
        <v/>
      </c>
      <c r="AY1200" s="35" t="str">
        <f aca="false">IF($B1200="","",AQ1200)</f>
        <v/>
      </c>
      <c r="AZ1200" s="35" t="str">
        <f aca="false">IF($B1200="","",AP1200+AT1200/2)</f>
        <v/>
      </c>
      <c r="BA1200" s="35" t="str">
        <f aca="false">IF($B1200="","",AK1200+AN1200+AM1200/2+AO1200+AP1200+AQ1200+AR1200+AS1200+AT1200+AU1200+AV1200+AW1200)</f>
        <v/>
      </c>
      <c r="BB1200" s="35" t="str">
        <f aca="false">IF($B1200="","",MAX(0,AN1200-Settings!$C$16)*Settings!$C$17)</f>
        <v/>
      </c>
      <c r="BC1200" s="35" t="str">
        <f aca="false">IF($B1200="","",BA1200-BB1200)</f>
        <v/>
      </c>
      <c r="BD1200" s="35" t="str">
        <f aca="false">IF(OR($B1200="",$A1200=""),"",DAY(EOMONTH($A1200,0))-COUNTA($F1200:$AJ1200))</f>
        <v/>
      </c>
    </row>
    <row r="1201" customFormat="false" ht="15" hidden="false" customHeight="false" outlineLevel="0" collapsed="false">
      <c r="A1201" s="32"/>
      <c r="B1201" s="29"/>
      <c r="C1201" s="10" t="str">
        <f aca="false">IF($B1201="","",IFERROR(INDEX(M_name,MATCH($B1201,M_emp,0)),"Code not found"))</f>
        <v/>
      </c>
      <c r="D1201" s="10" t="str">
        <f aca="false">IF($B1201="","",IFERROR(INDEX(M_dept,MATCH($B1201,M_emp,0)),""))</f>
        <v/>
      </c>
      <c r="E1201" s="10" t="str">
        <f aca="false">IF($B1201="","",IFERROR(INDEX(M_loc,MATCH($B1201,M_emp,0)),""))</f>
        <v/>
      </c>
      <c r="F1201" s="33"/>
      <c r="G1201" s="33"/>
      <c r="H1201" s="33"/>
      <c r="I1201" s="33"/>
      <c r="J1201" s="33"/>
      <c r="K1201" s="33"/>
      <c r="L1201" s="33"/>
      <c r="M1201" s="33"/>
      <c r="N1201" s="33"/>
      <c r="O1201" s="33"/>
      <c r="P1201" s="33"/>
      <c r="Q1201" s="33"/>
      <c r="R1201" s="33"/>
      <c r="S1201" s="33"/>
      <c r="T1201" s="33"/>
      <c r="U1201" s="33"/>
      <c r="V1201" s="33"/>
      <c r="W1201" s="33"/>
      <c r="X1201" s="33"/>
      <c r="Y1201" s="33"/>
      <c r="Z1201" s="33"/>
      <c r="AA1201" s="33"/>
      <c r="AB1201" s="33"/>
      <c r="AC1201" s="33"/>
      <c r="AD1201" s="33"/>
      <c r="AE1201" s="33"/>
      <c r="AF1201" s="33"/>
      <c r="AG1201" s="33"/>
      <c r="AH1201" s="33"/>
      <c r="AI1201" s="33"/>
      <c r="AJ1201" s="33"/>
      <c r="AK1201" s="34" t="str">
        <f aca="false">IF($B1201="","",COUNTIF($F1201:$AJ1201,"P"))</f>
        <v/>
      </c>
      <c r="AL1201" s="34" t="str">
        <f aca="false">IF($B1201="","",COUNTIF($F1201:$AJ1201,"A"))</f>
        <v/>
      </c>
      <c r="AM1201" s="34" t="str">
        <f aca="false">IF($B1201="","",COUNTIF($F1201:$AJ1201,"HA"))</f>
        <v/>
      </c>
      <c r="AN1201" s="34" t="str">
        <f aca="false">IF($B1201="","",COUNTIF($F1201:$AJ1201,"L"))</f>
        <v/>
      </c>
      <c r="AO1201" s="34" t="str">
        <f aca="false">IF($B1201="","",COUNTIF($F1201:$AJ1201,"PL"))</f>
        <v/>
      </c>
      <c r="AP1201" s="34" t="str">
        <f aca="false">IF($B1201="","",COUNTIF($F1201:$AJ1201,"CL"))</f>
        <v/>
      </c>
      <c r="AQ1201" s="34" t="str">
        <f aca="false">IF($B1201="","",COUNTIF($F1201:$AJ1201,"SL"))</f>
        <v/>
      </c>
      <c r="AR1201" s="34" t="str">
        <f aca="false">IF($B1201="","",COUNTIF($F1201:$AJ1201,"CO"))</f>
        <v/>
      </c>
      <c r="AS1201" s="34" t="str">
        <f aca="false">IF($B1201="","",COUNTIF($F1201:$AJ1201,"HPL"))</f>
        <v/>
      </c>
      <c r="AT1201" s="34" t="str">
        <f aca="false">IF($B1201="","",COUNTIF($F1201:$AJ1201,"HCL"))</f>
        <v/>
      </c>
      <c r="AU1201" s="34" t="str">
        <f aca="false">IF($B1201="","",COUNTIF($F1201:$AJ1201,"WO"))</f>
        <v/>
      </c>
      <c r="AV1201" s="34" t="str">
        <f aca="false">IF($B1201="","",COUNTIF($F1201:$AJ1201,"PH"))</f>
        <v/>
      </c>
      <c r="AW1201" s="34" t="str">
        <f aca="false">IF($B1201="","",COUNTIF($F1201:$AJ1201,"TR"))</f>
        <v/>
      </c>
      <c r="AX1201" s="35" t="str">
        <f aca="false">IF($B1201="","",AO1201+AS1201/2)</f>
        <v/>
      </c>
      <c r="AY1201" s="35" t="str">
        <f aca="false">IF($B1201="","",AQ1201)</f>
        <v/>
      </c>
      <c r="AZ1201" s="35" t="str">
        <f aca="false">IF($B1201="","",AP1201+AT1201/2)</f>
        <v/>
      </c>
      <c r="BA1201" s="35" t="str">
        <f aca="false">IF($B1201="","",AK1201+AN1201+AM1201/2+AO1201+AP1201+AQ1201+AR1201+AS1201+AT1201+AU1201+AV1201+AW1201)</f>
        <v/>
      </c>
      <c r="BB1201" s="35" t="str">
        <f aca="false">IF($B1201="","",MAX(0,AN1201-Settings!$C$16)*Settings!$C$17)</f>
        <v/>
      </c>
      <c r="BC1201" s="35" t="str">
        <f aca="false">IF($B1201="","",BA1201-BB1201)</f>
        <v/>
      </c>
      <c r="BD1201" s="35" t="str">
        <f aca="false">IF(OR($B1201="",$A1201=""),"",DAY(EOMONTH($A1201,0))-COUNTA($F1201:$AJ1201))</f>
        <v/>
      </c>
    </row>
    <row r="1202" customFormat="false" ht="15" hidden="false" customHeight="false" outlineLevel="0" collapsed="false">
      <c r="A1202" s="32"/>
      <c r="B1202" s="29"/>
      <c r="C1202" s="10" t="str">
        <f aca="false">IF($B1202="","",IFERROR(INDEX(M_name,MATCH($B1202,M_emp,0)),"Code not found"))</f>
        <v/>
      </c>
      <c r="D1202" s="10" t="str">
        <f aca="false">IF($B1202="","",IFERROR(INDEX(M_dept,MATCH($B1202,M_emp,0)),""))</f>
        <v/>
      </c>
      <c r="E1202" s="10" t="str">
        <f aca="false">IF($B1202="","",IFERROR(INDEX(M_loc,MATCH($B1202,M_emp,0)),""))</f>
        <v/>
      </c>
      <c r="F1202" s="33"/>
      <c r="G1202" s="33"/>
      <c r="H1202" s="33"/>
      <c r="I1202" s="33"/>
      <c r="J1202" s="33"/>
      <c r="K1202" s="33"/>
      <c r="L1202" s="33"/>
      <c r="M1202" s="33"/>
      <c r="N1202" s="33"/>
      <c r="O1202" s="33"/>
      <c r="P1202" s="33"/>
      <c r="Q1202" s="33"/>
      <c r="R1202" s="33"/>
      <c r="S1202" s="33"/>
      <c r="T1202" s="33"/>
      <c r="U1202" s="33"/>
      <c r="V1202" s="33"/>
      <c r="W1202" s="33"/>
      <c r="X1202" s="33"/>
      <c r="Y1202" s="33"/>
      <c r="Z1202" s="33"/>
      <c r="AA1202" s="33"/>
      <c r="AB1202" s="33"/>
      <c r="AC1202" s="33"/>
      <c r="AD1202" s="33"/>
      <c r="AE1202" s="33"/>
      <c r="AF1202" s="33"/>
      <c r="AG1202" s="33"/>
      <c r="AH1202" s="33"/>
      <c r="AI1202" s="33"/>
      <c r="AJ1202" s="33"/>
      <c r="AK1202" s="34" t="str">
        <f aca="false">IF($B1202="","",COUNTIF($F1202:$AJ1202,"P"))</f>
        <v/>
      </c>
      <c r="AL1202" s="34" t="str">
        <f aca="false">IF($B1202="","",COUNTIF($F1202:$AJ1202,"A"))</f>
        <v/>
      </c>
      <c r="AM1202" s="34" t="str">
        <f aca="false">IF($B1202="","",COUNTIF($F1202:$AJ1202,"HA"))</f>
        <v/>
      </c>
      <c r="AN1202" s="34" t="str">
        <f aca="false">IF($B1202="","",COUNTIF($F1202:$AJ1202,"L"))</f>
        <v/>
      </c>
      <c r="AO1202" s="34" t="str">
        <f aca="false">IF($B1202="","",COUNTIF($F1202:$AJ1202,"PL"))</f>
        <v/>
      </c>
      <c r="AP1202" s="34" t="str">
        <f aca="false">IF($B1202="","",COUNTIF($F1202:$AJ1202,"CL"))</f>
        <v/>
      </c>
      <c r="AQ1202" s="34" t="str">
        <f aca="false">IF($B1202="","",COUNTIF($F1202:$AJ1202,"SL"))</f>
        <v/>
      </c>
      <c r="AR1202" s="34" t="str">
        <f aca="false">IF($B1202="","",COUNTIF($F1202:$AJ1202,"CO"))</f>
        <v/>
      </c>
      <c r="AS1202" s="34" t="str">
        <f aca="false">IF($B1202="","",COUNTIF($F1202:$AJ1202,"HPL"))</f>
        <v/>
      </c>
      <c r="AT1202" s="34" t="str">
        <f aca="false">IF($B1202="","",COUNTIF($F1202:$AJ1202,"HCL"))</f>
        <v/>
      </c>
      <c r="AU1202" s="34" t="str">
        <f aca="false">IF($B1202="","",COUNTIF($F1202:$AJ1202,"WO"))</f>
        <v/>
      </c>
      <c r="AV1202" s="34" t="str">
        <f aca="false">IF($B1202="","",COUNTIF($F1202:$AJ1202,"PH"))</f>
        <v/>
      </c>
      <c r="AW1202" s="34" t="str">
        <f aca="false">IF($B1202="","",COUNTIF($F1202:$AJ1202,"TR"))</f>
        <v/>
      </c>
      <c r="AX1202" s="35" t="str">
        <f aca="false">IF($B1202="","",AO1202+AS1202/2)</f>
        <v/>
      </c>
      <c r="AY1202" s="35" t="str">
        <f aca="false">IF($B1202="","",AQ1202)</f>
        <v/>
      </c>
      <c r="AZ1202" s="35" t="str">
        <f aca="false">IF($B1202="","",AP1202+AT1202/2)</f>
        <v/>
      </c>
      <c r="BA1202" s="35" t="str">
        <f aca="false">IF($B1202="","",AK1202+AN1202+AM1202/2+AO1202+AP1202+AQ1202+AR1202+AS1202+AT1202+AU1202+AV1202+AW1202)</f>
        <v/>
      </c>
      <c r="BB1202" s="35" t="str">
        <f aca="false">IF($B1202="","",MAX(0,AN1202-Settings!$C$16)*Settings!$C$17)</f>
        <v/>
      </c>
      <c r="BC1202" s="35" t="str">
        <f aca="false">IF($B1202="","",BA1202-BB1202)</f>
        <v/>
      </c>
      <c r="BD1202" s="35" t="str">
        <f aca="false">IF(OR($B1202="",$A1202=""),"",DAY(EOMONTH($A1202,0))-COUNTA($F1202:$AJ1202))</f>
        <v/>
      </c>
    </row>
    <row r="1203" customFormat="false" ht="15" hidden="false" customHeight="false" outlineLevel="0" collapsed="false">
      <c r="A1203" s="32"/>
      <c r="B1203" s="29"/>
      <c r="C1203" s="10" t="str">
        <f aca="false">IF($B1203="","",IFERROR(INDEX(M_name,MATCH($B1203,M_emp,0)),"Code not found"))</f>
        <v/>
      </c>
      <c r="D1203" s="10" t="str">
        <f aca="false">IF($B1203="","",IFERROR(INDEX(M_dept,MATCH($B1203,M_emp,0)),""))</f>
        <v/>
      </c>
      <c r="E1203" s="10" t="str">
        <f aca="false">IF($B1203="","",IFERROR(INDEX(M_loc,MATCH($B1203,M_emp,0)),""))</f>
        <v/>
      </c>
      <c r="F1203" s="33"/>
      <c r="G1203" s="33"/>
      <c r="H1203" s="33"/>
      <c r="I1203" s="33"/>
      <c r="J1203" s="33"/>
      <c r="K1203" s="33"/>
      <c r="L1203" s="33"/>
      <c r="M1203" s="33"/>
      <c r="N1203" s="33"/>
      <c r="O1203" s="33"/>
      <c r="P1203" s="33"/>
      <c r="Q1203" s="33"/>
      <c r="R1203" s="33"/>
      <c r="S1203" s="33"/>
      <c r="T1203" s="33"/>
      <c r="U1203" s="33"/>
      <c r="V1203" s="33"/>
      <c r="W1203" s="33"/>
      <c r="X1203" s="33"/>
      <c r="Y1203" s="33"/>
      <c r="Z1203" s="33"/>
      <c r="AA1203" s="33"/>
      <c r="AB1203" s="33"/>
      <c r="AC1203" s="33"/>
      <c r="AD1203" s="33"/>
      <c r="AE1203" s="33"/>
      <c r="AF1203" s="33"/>
      <c r="AG1203" s="33"/>
      <c r="AH1203" s="33"/>
      <c r="AI1203" s="33"/>
      <c r="AJ1203" s="33"/>
      <c r="AK1203" s="34" t="str">
        <f aca="false">IF($B1203="","",COUNTIF($F1203:$AJ1203,"P"))</f>
        <v/>
      </c>
      <c r="AL1203" s="34" t="str">
        <f aca="false">IF($B1203="","",COUNTIF($F1203:$AJ1203,"A"))</f>
        <v/>
      </c>
      <c r="AM1203" s="34" t="str">
        <f aca="false">IF($B1203="","",COUNTIF($F1203:$AJ1203,"HA"))</f>
        <v/>
      </c>
      <c r="AN1203" s="34" t="str">
        <f aca="false">IF($B1203="","",COUNTIF($F1203:$AJ1203,"L"))</f>
        <v/>
      </c>
      <c r="AO1203" s="34" t="str">
        <f aca="false">IF($B1203="","",COUNTIF($F1203:$AJ1203,"PL"))</f>
        <v/>
      </c>
      <c r="AP1203" s="34" t="str">
        <f aca="false">IF($B1203="","",COUNTIF($F1203:$AJ1203,"CL"))</f>
        <v/>
      </c>
      <c r="AQ1203" s="34" t="str">
        <f aca="false">IF($B1203="","",COUNTIF($F1203:$AJ1203,"SL"))</f>
        <v/>
      </c>
      <c r="AR1203" s="34" t="str">
        <f aca="false">IF($B1203="","",COUNTIF($F1203:$AJ1203,"CO"))</f>
        <v/>
      </c>
      <c r="AS1203" s="34" t="str">
        <f aca="false">IF($B1203="","",COUNTIF($F1203:$AJ1203,"HPL"))</f>
        <v/>
      </c>
      <c r="AT1203" s="34" t="str">
        <f aca="false">IF($B1203="","",COUNTIF($F1203:$AJ1203,"HCL"))</f>
        <v/>
      </c>
      <c r="AU1203" s="34" t="str">
        <f aca="false">IF($B1203="","",COUNTIF($F1203:$AJ1203,"WO"))</f>
        <v/>
      </c>
      <c r="AV1203" s="34" t="str">
        <f aca="false">IF($B1203="","",COUNTIF($F1203:$AJ1203,"PH"))</f>
        <v/>
      </c>
      <c r="AW1203" s="34" t="str">
        <f aca="false">IF($B1203="","",COUNTIF($F1203:$AJ1203,"TR"))</f>
        <v/>
      </c>
      <c r="AX1203" s="35" t="str">
        <f aca="false">IF($B1203="","",AO1203+AS1203/2)</f>
        <v/>
      </c>
      <c r="AY1203" s="35" t="str">
        <f aca="false">IF($B1203="","",AQ1203)</f>
        <v/>
      </c>
      <c r="AZ1203" s="35" t="str">
        <f aca="false">IF($B1203="","",AP1203+AT1203/2)</f>
        <v/>
      </c>
      <c r="BA1203" s="35" t="str">
        <f aca="false">IF($B1203="","",AK1203+AN1203+AM1203/2+AO1203+AP1203+AQ1203+AR1203+AS1203+AT1203+AU1203+AV1203+AW1203)</f>
        <v/>
      </c>
      <c r="BB1203" s="35" t="str">
        <f aca="false">IF($B1203="","",MAX(0,AN1203-Settings!$C$16)*Settings!$C$17)</f>
        <v/>
      </c>
      <c r="BC1203" s="35" t="str">
        <f aca="false">IF($B1203="","",BA1203-BB1203)</f>
        <v/>
      </c>
      <c r="BD1203" s="35" t="str">
        <f aca="false">IF(OR($B1203="",$A1203=""),"",DAY(EOMONTH($A1203,0))-COUNTA($F1203:$AJ1203))</f>
        <v/>
      </c>
    </row>
    <row r="1204" customFormat="false" ht="15" hidden="false" customHeight="false" outlineLevel="0" collapsed="false">
      <c r="A1204" s="32"/>
      <c r="B1204" s="29"/>
      <c r="C1204" s="10" t="str">
        <f aca="false">IF($B1204="","",IFERROR(INDEX(M_name,MATCH($B1204,M_emp,0)),"Code not found"))</f>
        <v/>
      </c>
      <c r="D1204" s="10" t="str">
        <f aca="false">IF($B1204="","",IFERROR(INDEX(M_dept,MATCH($B1204,M_emp,0)),""))</f>
        <v/>
      </c>
      <c r="E1204" s="10" t="str">
        <f aca="false">IF($B1204="","",IFERROR(INDEX(M_loc,MATCH($B1204,M_emp,0)),""))</f>
        <v/>
      </c>
      <c r="F1204" s="33"/>
      <c r="G1204" s="33"/>
      <c r="H1204" s="33"/>
      <c r="I1204" s="33"/>
      <c r="J1204" s="33"/>
      <c r="K1204" s="33"/>
      <c r="L1204" s="33"/>
      <c r="M1204" s="33"/>
      <c r="N1204" s="33"/>
      <c r="O1204" s="33"/>
      <c r="P1204" s="33"/>
      <c r="Q1204" s="33"/>
      <c r="R1204" s="33"/>
      <c r="S1204" s="33"/>
      <c r="T1204" s="33"/>
      <c r="U1204" s="33"/>
      <c r="V1204" s="33"/>
      <c r="W1204" s="33"/>
      <c r="X1204" s="33"/>
      <c r="Y1204" s="33"/>
      <c r="Z1204" s="33"/>
      <c r="AA1204" s="33"/>
      <c r="AB1204" s="33"/>
      <c r="AC1204" s="33"/>
      <c r="AD1204" s="33"/>
      <c r="AE1204" s="33"/>
      <c r="AF1204" s="33"/>
      <c r="AG1204" s="33"/>
      <c r="AH1204" s="33"/>
      <c r="AI1204" s="33"/>
      <c r="AJ1204" s="33"/>
      <c r="AK1204" s="34" t="str">
        <f aca="false">IF($B1204="","",COUNTIF($F1204:$AJ1204,"P"))</f>
        <v/>
      </c>
      <c r="AL1204" s="34" t="str">
        <f aca="false">IF($B1204="","",COUNTIF($F1204:$AJ1204,"A"))</f>
        <v/>
      </c>
      <c r="AM1204" s="34" t="str">
        <f aca="false">IF($B1204="","",COUNTIF($F1204:$AJ1204,"HA"))</f>
        <v/>
      </c>
      <c r="AN1204" s="34" t="str">
        <f aca="false">IF($B1204="","",COUNTIF($F1204:$AJ1204,"L"))</f>
        <v/>
      </c>
      <c r="AO1204" s="34" t="str">
        <f aca="false">IF($B1204="","",COUNTIF($F1204:$AJ1204,"PL"))</f>
        <v/>
      </c>
      <c r="AP1204" s="34" t="str">
        <f aca="false">IF($B1204="","",COUNTIF($F1204:$AJ1204,"CL"))</f>
        <v/>
      </c>
      <c r="AQ1204" s="34" t="str">
        <f aca="false">IF($B1204="","",COUNTIF($F1204:$AJ1204,"SL"))</f>
        <v/>
      </c>
      <c r="AR1204" s="34" t="str">
        <f aca="false">IF($B1204="","",COUNTIF($F1204:$AJ1204,"CO"))</f>
        <v/>
      </c>
      <c r="AS1204" s="34" t="str">
        <f aca="false">IF($B1204="","",COUNTIF($F1204:$AJ1204,"HPL"))</f>
        <v/>
      </c>
      <c r="AT1204" s="34" t="str">
        <f aca="false">IF($B1204="","",COUNTIF($F1204:$AJ1204,"HCL"))</f>
        <v/>
      </c>
      <c r="AU1204" s="34" t="str">
        <f aca="false">IF($B1204="","",COUNTIF($F1204:$AJ1204,"WO"))</f>
        <v/>
      </c>
      <c r="AV1204" s="34" t="str">
        <f aca="false">IF($B1204="","",COUNTIF($F1204:$AJ1204,"PH"))</f>
        <v/>
      </c>
      <c r="AW1204" s="34" t="str">
        <f aca="false">IF($B1204="","",COUNTIF($F1204:$AJ1204,"TR"))</f>
        <v/>
      </c>
      <c r="AX1204" s="35" t="str">
        <f aca="false">IF($B1204="","",AO1204+AS1204/2)</f>
        <v/>
      </c>
      <c r="AY1204" s="35" t="str">
        <f aca="false">IF($B1204="","",AQ1204)</f>
        <v/>
      </c>
      <c r="AZ1204" s="35" t="str">
        <f aca="false">IF($B1204="","",AP1204+AT1204/2)</f>
        <v/>
      </c>
      <c r="BA1204" s="35" t="str">
        <f aca="false">IF($B1204="","",AK1204+AN1204+AM1204/2+AO1204+AP1204+AQ1204+AR1204+AS1204+AT1204+AU1204+AV1204+AW1204)</f>
        <v/>
      </c>
      <c r="BB1204" s="35" t="str">
        <f aca="false">IF($B1204="","",MAX(0,AN1204-Settings!$C$16)*Settings!$C$17)</f>
        <v/>
      </c>
      <c r="BC1204" s="35" t="str">
        <f aca="false">IF($B1204="","",BA1204-BB1204)</f>
        <v/>
      </c>
      <c r="BD1204" s="35" t="str">
        <f aca="false">IF(OR($B1204="",$A1204=""),"",DAY(EOMONTH($A1204,0))-COUNTA($F1204:$AJ1204))</f>
        <v/>
      </c>
    </row>
    <row r="1205" customFormat="false" ht="15" hidden="false" customHeight="false" outlineLevel="0" collapsed="false">
      <c r="A1205" s="32"/>
      <c r="B1205" s="29"/>
      <c r="C1205" s="10" t="str">
        <f aca="false">IF($B1205="","",IFERROR(INDEX(M_name,MATCH($B1205,M_emp,0)),"Code not found"))</f>
        <v/>
      </c>
      <c r="D1205" s="10" t="str">
        <f aca="false">IF($B1205="","",IFERROR(INDEX(M_dept,MATCH($B1205,M_emp,0)),""))</f>
        <v/>
      </c>
      <c r="E1205" s="10" t="str">
        <f aca="false">IF($B1205="","",IFERROR(INDEX(M_loc,MATCH($B1205,M_emp,0)),""))</f>
        <v/>
      </c>
      <c r="F1205" s="33"/>
      <c r="G1205" s="33"/>
      <c r="H1205" s="33"/>
      <c r="I1205" s="33"/>
      <c r="J1205" s="33"/>
      <c r="K1205" s="33"/>
      <c r="L1205" s="33"/>
      <c r="M1205" s="33"/>
      <c r="N1205" s="33"/>
      <c r="O1205" s="33"/>
      <c r="P1205" s="33"/>
      <c r="Q1205" s="33"/>
      <c r="R1205" s="33"/>
      <c r="S1205" s="33"/>
      <c r="T1205" s="33"/>
      <c r="U1205" s="33"/>
      <c r="V1205" s="33"/>
      <c r="W1205" s="33"/>
      <c r="X1205" s="33"/>
      <c r="Y1205" s="33"/>
      <c r="Z1205" s="33"/>
      <c r="AA1205" s="33"/>
      <c r="AB1205" s="33"/>
      <c r="AC1205" s="33"/>
      <c r="AD1205" s="33"/>
      <c r="AE1205" s="33"/>
      <c r="AF1205" s="33"/>
      <c r="AG1205" s="33"/>
      <c r="AH1205" s="33"/>
      <c r="AI1205" s="33"/>
      <c r="AJ1205" s="33"/>
      <c r="AK1205" s="34" t="str">
        <f aca="false">IF($B1205="","",COUNTIF($F1205:$AJ1205,"P"))</f>
        <v/>
      </c>
      <c r="AL1205" s="34" t="str">
        <f aca="false">IF($B1205="","",COUNTIF($F1205:$AJ1205,"A"))</f>
        <v/>
      </c>
      <c r="AM1205" s="34" t="str">
        <f aca="false">IF($B1205="","",COUNTIF($F1205:$AJ1205,"HA"))</f>
        <v/>
      </c>
      <c r="AN1205" s="34" t="str">
        <f aca="false">IF($B1205="","",COUNTIF($F1205:$AJ1205,"L"))</f>
        <v/>
      </c>
      <c r="AO1205" s="34" t="str">
        <f aca="false">IF($B1205="","",COUNTIF($F1205:$AJ1205,"PL"))</f>
        <v/>
      </c>
      <c r="AP1205" s="34" t="str">
        <f aca="false">IF($B1205="","",COUNTIF($F1205:$AJ1205,"CL"))</f>
        <v/>
      </c>
      <c r="AQ1205" s="34" t="str">
        <f aca="false">IF($B1205="","",COUNTIF($F1205:$AJ1205,"SL"))</f>
        <v/>
      </c>
      <c r="AR1205" s="34" t="str">
        <f aca="false">IF($B1205="","",COUNTIF($F1205:$AJ1205,"CO"))</f>
        <v/>
      </c>
      <c r="AS1205" s="34" t="str">
        <f aca="false">IF($B1205="","",COUNTIF($F1205:$AJ1205,"HPL"))</f>
        <v/>
      </c>
      <c r="AT1205" s="34" t="str">
        <f aca="false">IF($B1205="","",COUNTIF($F1205:$AJ1205,"HCL"))</f>
        <v/>
      </c>
      <c r="AU1205" s="34" t="str">
        <f aca="false">IF($B1205="","",COUNTIF($F1205:$AJ1205,"WO"))</f>
        <v/>
      </c>
      <c r="AV1205" s="34" t="str">
        <f aca="false">IF($B1205="","",COUNTIF($F1205:$AJ1205,"PH"))</f>
        <v/>
      </c>
      <c r="AW1205" s="34" t="str">
        <f aca="false">IF($B1205="","",COUNTIF($F1205:$AJ1205,"TR"))</f>
        <v/>
      </c>
      <c r="AX1205" s="35" t="str">
        <f aca="false">IF($B1205="","",AO1205+AS1205/2)</f>
        <v/>
      </c>
      <c r="AY1205" s="35" t="str">
        <f aca="false">IF($B1205="","",AQ1205)</f>
        <v/>
      </c>
      <c r="AZ1205" s="35" t="str">
        <f aca="false">IF($B1205="","",AP1205+AT1205/2)</f>
        <v/>
      </c>
      <c r="BA1205" s="35" t="str">
        <f aca="false">IF($B1205="","",AK1205+AN1205+AM1205/2+AO1205+AP1205+AQ1205+AR1205+AS1205+AT1205+AU1205+AV1205+AW1205)</f>
        <v/>
      </c>
      <c r="BB1205" s="35" t="str">
        <f aca="false">IF($B1205="","",MAX(0,AN1205-Settings!$C$16)*Settings!$C$17)</f>
        <v/>
      </c>
      <c r="BC1205" s="35" t="str">
        <f aca="false">IF($B1205="","",BA1205-BB1205)</f>
        <v/>
      </c>
      <c r="BD1205" s="35" t="str">
        <f aca="false">IF(OR($B1205="",$A1205=""),"",DAY(EOMONTH($A1205,0))-COUNTA($F1205:$AJ1205))</f>
        <v/>
      </c>
    </row>
    <row r="1206" customFormat="false" ht="15" hidden="false" customHeight="false" outlineLevel="0" collapsed="false">
      <c r="A1206" s="32"/>
      <c r="B1206" s="29"/>
      <c r="C1206" s="10" t="str">
        <f aca="false">IF($B1206="","",IFERROR(INDEX(M_name,MATCH($B1206,M_emp,0)),"Code not found"))</f>
        <v/>
      </c>
      <c r="D1206" s="10" t="str">
        <f aca="false">IF($B1206="","",IFERROR(INDEX(M_dept,MATCH($B1206,M_emp,0)),""))</f>
        <v/>
      </c>
      <c r="E1206" s="10" t="str">
        <f aca="false">IF($B1206="","",IFERROR(INDEX(M_loc,MATCH($B1206,M_emp,0)),""))</f>
        <v/>
      </c>
      <c r="F1206" s="33"/>
      <c r="G1206" s="33"/>
      <c r="H1206" s="33"/>
      <c r="I1206" s="33"/>
      <c r="J1206" s="33"/>
      <c r="K1206" s="33"/>
      <c r="L1206" s="33"/>
      <c r="M1206" s="33"/>
      <c r="N1206" s="33"/>
      <c r="O1206" s="33"/>
      <c r="P1206" s="33"/>
      <c r="Q1206" s="33"/>
      <c r="R1206" s="33"/>
      <c r="S1206" s="33"/>
      <c r="T1206" s="33"/>
      <c r="U1206" s="33"/>
      <c r="V1206" s="33"/>
      <c r="W1206" s="33"/>
      <c r="X1206" s="33"/>
      <c r="Y1206" s="33"/>
      <c r="Z1206" s="33"/>
      <c r="AA1206" s="33"/>
      <c r="AB1206" s="33"/>
      <c r="AC1206" s="33"/>
      <c r="AD1206" s="33"/>
      <c r="AE1206" s="33"/>
      <c r="AF1206" s="33"/>
      <c r="AG1206" s="33"/>
      <c r="AH1206" s="33"/>
      <c r="AI1206" s="33"/>
      <c r="AJ1206" s="33"/>
      <c r="AK1206" s="34" t="str">
        <f aca="false">IF($B1206="","",COUNTIF($F1206:$AJ1206,"P"))</f>
        <v/>
      </c>
      <c r="AL1206" s="34" t="str">
        <f aca="false">IF($B1206="","",COUNTIF($F1206:$AJ1206,"A"))</f>
        <v/>
      </c>
      <c r="AM1206" s="34" t="str">
        <f aca="false">IF($B1206="","",COUNTIF($F1206:$AJ1206,"HA"))</f>
        <v/>
      </c>
      <c r="AN1206" s="34" t="str">
        <f aca="false">IF($B1206="","",COUNTIF($F1206:$AJ1206,"L"))</f>
        <v/>
      </c>
      <c r="AO1206" s="34" t="str">
        <f aca="false">IF($B1206="","",COUNTIF($F1206:$AJ1206,"PL"))</f>
        <v/>
      </c>
      <c r="AP1206" s="34" t="str">
        <f aca="false">IF($B1206="","",COUNTIF($F1206:$AJ1206,"CL"))</f>
        <v/>
      </c>
      <c r="AQ1206" s="34" t="str">
        <f aca="false">IF($B1206="","",COUNTIF($F1206:$AJ1206,"SL"))</f>
        <v/>
      </c>
      <c r="AR1206" s="34" t="str">
        <f aca="false">IF($B1206="","",COUNTIF($F1206:$AJ1206,"CO"))</f>
        <v/>
      </c>
      <c r="AS1206" s="34" t="str">
        <f aca="false">IF($B1206="","",COUNTIF($F1206:$AJ1206,"HPL"))</f>
        <v/>
      </c>
      <c r="AT1206" s="34" t="str">
        <f aca="false">IF($B1206="","",COUNTIF($F1206:$AJ1206,"HCL"))</f>
        <v/>
      </c>
      <c r="AU1206" s="34" t="str">
        <f aca="false">IF($B1206="","",COUNTIF($F1206:$AJ1206,"WO"))</f>
        <v/>
      </c>
      <c r="AV1206" s="34" t="str">
        <f aca="false">IF($B1206="","",COUNTIF($F1206:$AJ1206,"PH"))</f>
        <v/>
      </c>
      <c r="AW1206" s="34" t="str">
        <f aca="false">IF($B1206="","",COUNTIF($F1206:$AJ1206,"TR"))</f>
        <v/>
      </c>
      <c r="AX1206" s="35" t="str">
        <f aca="false">IF($B1206="","",AO1206+AS1206/2)</f>
        <v/>
      </c>
      <c r="AY1206" s="35" t="str">
        <f aca="false">IF($B1206="","",AQ1206)</f>
        <v/>
      </c>
      <c r="AZ1206" s="35" t="str">
        <f aca="false">IF($B1206="","",AP1206+AT1206/2)</f>
        <v/>
      </c>
      <c r="BA1206" s="35" t="str">
        <f aca="false">IF($B1206="","",AK1206+AN1206+AM1206/2+AO1206+AP1206+AQ1206+AR1206+AS1206+AT1206+AU1206+AV1206+AW1206)</f>
        <v/>
      </c>
      <c r="BB1206" s="35" t="str">
        <f aca="false">IF($B1206="","",MAX(0,AN1206-Settings!$C$16)*Settings!$C$17)</f>
        <v/>
      </c>
      <c r="BC1206" s="35" t="str">
        <f aca="false">IF($B1206="","",BA1206-BB1206)</f>
        <v/>
      </c>
      <c r="BD1206" s="35" t="str">
        <f aca="false">IF(OR($B1206="",$A1206=""),"",DAY(EOMONTH($A1206,0))-COUNTA($F1206:$AJ1206))</f>
        <v/>
      </c>
    </row>
    <row r="1207" customFormat="false" ht="15" hidden="false" customHeight="false" outlineLevel="0" collapsed="false">
      <c r="A1207" s="32"/>
      <c r="B1207" s="29"/>
      <c r="C1207" s="10" t="str">
        <f aca="false">IF($B1207="","",IFERROR(INDEX(M_name,MATCH($B1207,M_emp,0)),"Code not found"))</f>
        <v/>
      </c>
      <c r="D1207" s="10" t="str">
        <f aca="false">IF($B1207="","",IFERROR(INDEX(M_dept,MATCH($B1207,M_emp,0)),""))</f>
        <v/>
      </c>
      <c r="E1207" s="10" t="str">
        <f aca="false">IF($B1207="","",IFERROR(INDEX(M_loc,MATCH($B1207,M_emp,0)),""))</f>
        <v/>
      </c>
      <c r="F1207" s="33"/>
      <c r="G1207" s="33"/>
      <c r="H1207" s="33"/>
      <c r="I1207" s="33"/>
      <c r="J1207" s="33"/>
      <c r="K1207" s="33"/>
      <c r="L1207" s="33"/>
      <c r="M1207" s="33"/>
      <c r="N1207" s="33"/>
      <c r="O1207" s="33"/>
      <c r="P1207" s="33"/>
      <c r="Q1207" s="33"/>
      <c r="R1207" s="33"/>
      <c r="S1207" s="33"/>
      <c r="T1207" s="33"/>
      <c r="U1207" s="33"/>
      <c r="V1207" s="33"/>
      <c r="W1207" s="33"/>
      <c r="X1207" s="33"/>
      <c r="Y1207" s="33"/>
      <c r="Z1207" s="33"/>
      <c r="AA1207" s="33"/>
      <c r="AB1207" s="33"/>
      <c r="AC1207" s="33"/>
      <c r="AD1207" s="33"/>
      <c r="AE1207" s="33"/>
      <c r="AF1207" s="33"/>
      <c r="AG1207" s="33"/>
      <c r="AH1207" s="33"/>
      <c r="AI1207" s="33"/>
      <c r="AJ1207" s="33"/>
      <c r="AK1207" s="34" t="str">
        <f aca="false">IF($B1207="","",COUNTIF($F1207:$AJ1207,"P"))</f>
        <v/>
      </c>
      <c r="AL1207" s="34" t="str">
        <f aca="false">IF($B1207="","",COUNTIF($F1207:$AJ1207,"A"))</f>
        <v/>
      </c>
      <c r="AM1207" s="34" t="str">
        <f aca="false">IF($B1207="","",COUNTIF($F1207:$AJ1207,"HA"))</f>
        <v/>
      </c>
      <c r="AN1207" s="34" t="str">
        <f aca="false">IF($B1207="","",COUNTIF($F1207:$AJ1207,"L"))</f>
        <v/>
      </c>
      <c r="AO1207" s="34" t="str">
        <f aca="false">IF($B1207="","",COUNTIF($F1207:$AJ1207,"PL"))</f>
        <v/>
      </c>
      <c r="AP1207" s="34" t="str">
        <f aca="false">IF($B1207="","",COUNTIF($F1207:$AJ1207,"CL"))</f>
        <v/>
      </c>
      <c r="AQ1207" s="34" t="str">
        <f aca="false">IF($B1207="","",COUNTIF($F1207:$AJ1207,"SL"))</f>
        <v/>
      </c>
      <c r="AR1207" s="34" t="str">
        <f aca="false">IF($B1207="","",COUNTIF($F1207:$AJ1207,"CO"))</f>
        <v/>
      </c>
      <c r="AS1207" s="34" t="str">
        <f aca="false">IF($B1207="","",COUNTIF($F1207:$AJ1207,"HPL"))</f>
        <v/>
      </c>
      <c r="AT1207" s="34" t="str">
        <f aca="false">IF($B1207="","",COUNTIF($F1207:$AJ1207,"HCL"))</f>
        <v/>
      </c>
      <c r="AU1207" s="34" t="str">
        <f aca="false">IF($B1207="","",COUNTIF($F1207:$AJ1207,"WO"))</f>
        <v/>
      </c>
      <c r="AV1207" s="34" t="str">
        <f aca="false">IF($B1207="","",COUNTIF($F1207:$AJ1207,"PH"))</f>
        <v/>
      </c>
      <c r="AW1207" s="34" t="str">
        <f aca="false">IF($B1207="","",COUNTIF($F1207:$AJ1207,"TR"))</f>
        <v/>
      </c>
      <c r="AX1207" s="35" t="str">
        <f aca="false">IF($B1207="","",AO1207+AS1207/2)</f>
        <v/>
      </c>
      <c r="AY1207" s="35" t="str">
        <f aca="false">IF($B1207="","",AQ1207)</f>
        <v/>
      </c>
      <c r="AZ1207" s="35" t="str">
        <f aca="false">IF($B1207="","",AP1207+AT1207/2)</f>
        <v/>
      </c>
      <c r="BA1207" s="35" t="str">
        <f aca="false">IF($B1207="","",AK1207+AN1207+AM1207/2+AO1207+AP1207+AQ1207+AR1207+AS1207+AT1207+AU1207+AV1207+AW1207)</f>
        <v/>
      </c>
      <c r="BB1207" s="35" t="str">
        <f aca="false">IF($B1207="","",MAX(0,AN1207-Settings!$C$16)*Settings!$C$17)</f>
        <v/>
      </c>
      <c r="BC1207" s="35" t="str">
        <f aca="false">IF($B1207="","",BA1207-BB1207)</f>
        <v/>
      </c>
      <c r="BD1207" s="35" t="str">
        <f aca="false">IF(OR($B1207="",$A1207=""),"",DAY(EOMONTH($A1207,0))-COUNTA($F1207:$AJ1207))</f>
        <v/>
      </c>
    </row>
    <row r="1208" customFormat="false" ht="15" hidden="false" customHeight="false" outlineLevel="0" collapsed="false">
      <c r="A1208" s="32"/>
      <c r="B1208" s="29"/>
      <c r="C1208" s="10" t="str">
        <f aca="false">IF($B1208="","",IFERROR(INDEX(M_name,MATCH($B1208,M_emp,0)),"Code not found"))</f>
        <v/>
      </c>
      <c r="D1208" s="10" t="str">
        <f aca="false">IF($B1208="","",IFERROR(INDEX(M_dept,MATCH($B1208,M_emp,0)),""))</f>
        <v/>
      </c>
      <c r="E1208" s="10" t="str">
        <f aca="false">IF($B1208="","",IFERROR(INDEX(M_loc,MATCH($B1208,M_emp,0)),""))</f>
        <v/>
      </c>
      <c r="F1208" s="33"/>
      <c r="G1208" s="33"/>
      <c r="H1208" s="33"/>
      <c r="I1208" s="33"/>
      <c r="J1208" s="33"/>
      <c r="K1208" s="33"/>
      <c r="L1208" s="33"/>
      <c r="M1208" s="33"/>
      <c r="N1208" s="33"/>
      <c r="O1208" s="33"/>
      <c r="P1208" s="33"/>
      <c r="Q1208" s="33"/>
      <c r="R1208" s="33"/>
      <c r="S1208" s="33"/>
      <c r="T1208" s="33"/>
      <c r="U1208" s="33"/>
      <c r="V1208" s="33"/>
      <c r="W1208" s="33"/>
      <c r="X1208" s="33"/>
      <c r="Y1208" s="33"/>
      <c r="Z1208" s="33"/>
      <c r="AA1208" s="33"/>
      <c r="AB1208" s="33"/>
      <c r="AC1208" s="33"/>
      <c r="AD1208" s="33"/>
      <c r="AE1208" s="33"/>
      <c r="AF1208" s="33"/>
      <c r="AG1208" s="33"/>
      <c r="AH1208" s="33"/>
      <c r="AI1208" s="33"/>
      <c r="AJ1208" s="33"/>
      <c r="AK1208" s="34" t="str">
        <f aca="false">IF($B1208="","",COUNTIF($F1208:$AJ1208,"P"))</f>
        <v/>
      </c>
      <c r="AL1208" s="34" t="str">
        <f aca="false">IF($B1208="","",COUNTIF($F1208:$AJ1208,"A"))</f>
        <v/>
      </c>
      <c r="AM1208" s="34" t="str">
        <f aca="false">IF($B1208="","",COUNTIF($F1208:$AJ1208,"HA"))</f>
        <v/>
      </c>
      <c r="AN1208" s="34" t="str">
        <f aca="false">IF($B1208="","",COUNTIF($F1208:$AJ1208,"L"))</f>
        <v/>
      </c>
      <c r="AO1208" s="34" t="str">
        <f aca="false">IF($B1208="","",COUNTIF($F1208:$AJ1208,"PL"))</f>
        <v/>
      </c>
      <c r="AP1208" s="34" t="str">
        <f aca="false">IF($B1208="","",COUNTIF($F1208:$AJ1208,"CL"))</f>
        <v/>
      </c>
      <c r="AQ1208" s="34" t="str">
        <f aca="false">IF($B1208="","",COUNTIF($F1208:$AJ1208,"SL"))</f>
        <v/>
      </c>
      <c r="AR1208" s="34" t="str">
        <f aca="false">IF($B1208="","",COUNTIF($F1208:$AJ1208,"CO"))</f>
        <v/>
      </c>
      <c r="AS1208" s="34" t="str">
        <f aca="false">IF($B1208="","",COUNTIF($F1208:$AJ1208,"HPL"))</f>
        <v/>
      </c>
      <c r="AT1208" s="34" t="str">
        <f aca="false">IF($B1208="","",COUNTIF($F1208:$AJ1208,"HCL"))</f>
        <v/>
      </c>
      <c r="AU1208" s="34" t="str">
        <f aca="false">IF($B1208="","",COUNTIF($F1208:$AJ1208,"WO"))</f>
        <v/>
      </c>
      <c r="AV1208" s="34" t="str">
        <f aca="false">IF($B1208="","",COUNTIF($F1208:$AJ1208,"PH"))</f>
        <v/>
      </c>
      <c r="AW1208" s="34" t="str">
        <f aca="false">IF($B1208="","",COUNTIF($F1208:$AJ1208,"TR"))</f>
        <v/>
      </c>
      <c r="AX1208" s="35" t="str">
        <f aca="false">IF($B1208="","",AO1208+AS1208/2)</f>
        <v/>
      </c>
      <c r="AY1208" s="35" t="str">
        <f aca="false">IF($B1208="","",AQ1208)</f>
        <v/>
      </c>
      <c r="AZ1208" s="35" t="str">
        <f aca="false">IF($B1208="","",AP1208+AT1208/2)</f>
        <v/>
      </c>
      <c r="BA1208" s="35" t="str">
        <f aca="false">IF($B1208="","",AK1208+AN1208+AM1208/2+AO1208+AP1208+AQ1208+AR1208+AS1208+AT1208+AU1208+AV1208+AW1208)</f>
        <v/>
      </c>
      <c r="BB1208" s="35" t="str">
        <f aca="false">IF($B1208="","",MAX(0,AN1208-Settings!$C$16)*Settings!$C$17)</f>
        <v/>
      </c>
      <c r="BC1208" s="35" t="str">
        <f aca="false">IF($B1208="","",BA1208-BB1208)</f>
        <v/>
      </c>
      <c r="BD1208" s="35" t="str">
        <f aca="false">IF(OR($B1208="",$A1208=""),"",DAY(EOMONTH($A1208,0))-COUNTA($F1208:$AJ1208))</f>
        <v/>
      </c>
    </row>
    <row r="1209" customFormat="false" ht="15" hidden="false" customHeight="false" outlineLevel="0" collapsed="false">
      <c r="A1209" s="32"/>
      <c r="B1209" s="29"/>
      <c r="C1209" s="10" t="str">
        <f aca="false">IF($B1209="","",IFERROR(INDEX(M_name,MATCH($B1209,M_emp,0)),"Code not found"))</f>
        <v/>
      </c>
      <c r="D1209" s="10" t="str">
        <f aca="false">IF($B1209="","",IFERROR(INDEX(M_dept,MATCH($B1209,M_emp,0)),""))</f>
        <v/>
      </c>
      <c r="E1209" s="10" t="str">
        <f aca="false">IF($B1209="","",IFERROR(INDEX(M_loc,MATCH($B1209,M_emp,0)),""))</f>
        <v/>
      </c>
      <c r="F1209" s="33"/>
      <c r="G1209" s="33"/>
      <c r="H1209" s="33"/>
      <c r="I1209" s="33"/>
      <c r="J1209" s="33"/>
      <c r="K1209" s="33"/>
      <c r="L1209" s="33"/>
      <c r="M1209" s="33"/>
      <c r="N1209" s="33"/>
      <c r="O1209" s="33"/>
      <c r="P1209" s="33"/>
      <c r="Q1209" s="33"/>
      <c r="R1209" s="33"/>
      <c r="S1209" s="33"/>
      <c r="T1209" s="33"/>
      <c r="U1209" s="33"/>
      <c r="V1209" s="33"/>
      <c r="W1209" s="33"/>
      <c r="X1209" s="33"/>
      <c r="Y1209" s="33"/>
      <c r="Z1209" s="33"/>
      <c r="AA1209" s="33"/>
      <c r="AB1209" s="33"/>
      <c r="AC1209" s="33"/>
      <c r="AD1209" s="33"/>
      <c r="AE1209" s="33"/>
      <c r="AF1209" s="33"/>
      <c r="AG1209" s="33"/>
      <c r="AH1209" s="33"/>
      <c r="AI1209" s="33"/>
      <c r="AJ1209" s="33"/>
      <c r="AK1209" s="34" t="str">
        <f aca="false">IF($B1209="","",COUNTIF($F1209:$AJ1209,"P"))</f>
        <v/>
      </c>
      <c r="AL1209" s="34" t="str">
        <f aca="false">IF($B1209="","",COUNTIF($F1209:$AJ1209,"A"))</f>
        <v/>
      </c>
      <c r="AM1209" s="34" t="str">
        <f aca="false">IF($B1209="","",COUNTIF($F1209:$AJ1209,"HA"))</f>
        <v/>
      </c>
      <c r="AN1209" s="34" t="str">
        <f aca="false">IF($B1209="","",COUNTIF($F1209:$AJ1209,"L"))</f>
        <v/>
      </c>
      <c r="AO1209" s="34" t="str">
        <f aca="false">IF($B1209="","",COUNTIF($F1209:$AJ1209,"PL"))</f>
        <v/>
      </c>
      <c r="AP1209" s="34" t="str">
        <f aca="false">IF($B1209="","",COUNTIF($F1209:$AJ1209,"CL"))</f>
        <v/>
      </c>
      <c r="AQ1209" s="34" t="str">
        <f aca="false">IF($B1209="","",COUNTIF($F1209:$AJ1209,"SL"))</f>
        <v/>
      </c>
      <c r="AR1209" s="34" t="str">
        <f aca="false">IF($B1209="","",COUNTIF($F1209:$AJ1209,"CO"))</f>
        <v/>
      </c>
      <c r="AS1209" s="34" t="str">
        <f aca="false">IF($B1209="","",COUNTIF($F1209:$AJ1209,"HPL"))</f>
        <v/>
      </c>
      <c r="AT1209" s="34" t="str">
        <f aca="false">IF($B1209="","",COUNTIF($F1209:$AJ1209,"HCL"))</f>
        <v/>
      </c>
      <c r="AU1209" s="34" t="str">
        <f aca="false">IF($B1209="","",COUNTIF($F1209:$AJ1209,"WO"))</f>
        <v/>
      </c>
      <c r="AV1209" s="34" t="str">
        <f aca="false">IF($B1209="","",COUNTIF($F1209:$AJ1209,"PH"))</f>
        <v/>
      </c>
      <c r="AW1209" s="34" t="str">
        <f aca="false">IF($B1209="","",COUNTIF($F1209:$AJ1209,"TR"))</f>
        <v/>
      </c>
      <c r="AX1209" s="35" t="str">
        <f aca="false">IF($B1209="","",AO1209+AS1209/2)</f>
        <v/>
      </c>
      <c r="AY1209" s="35" t="str">
        <f aca="false">IF($B1209="","",AQ1209)</f>
        <v/>
      </c>
      <c r="AZ1209" s="35" t="str">
        <f aca="false">IF($B1209="","",AP1209+AT1209/2)</f>
        <v/>
      </c>
      <c r="BA1209" s="35" t="str">
        <f aca="false">IF($B1209="","",AK1209+AN1209+AM1209/2+AO1209+AP1209+AQ1209+AR1209+AS1209+AT1209+AU1209+AV1209+AW1209)</f>
        <v/>
      </c>
      <c r="BB1209" s="35" t="str">
        <f aca="false">IF($B1209="","",MAX(0,AN1209-Settings!$C$16)*Settings!$C$17)</f>
        <v/>
      </c>
      <c r="BC1209" s="35" t="str">
        <f aca="false">IF($B1209="","",BA1209-BB1209)</f>
        <v/>
      </c>
      <c r="BD1209" s="35" t="str">
        <f aca="false">IF(OR($B1209="",$A1209=""),"",DAY(EOMONTH($A1209,0))-COUNTA($F1209:$AJ1209))</f>
        <v/>
      </c>
    </row>
    <row r="1210" customFormat="false" ht="15" hidden="false" customHeight="false" outlineLevel="0" collapsed="false">
      <c r="A1210" s="32"/>
      <c r="B1210" s="29"/>
      <c r="C1210" s="10" t="str">
        <f aca="false">IF($B1210="","",IFERROR(INDEX(M_name,MATCH($B1210,M_emp,0)),"Code not found"))</f>
        <v/>
      </c>
      <c r="D1210" s="10" t="str">
        <f aca="false">IF($B1210="","",IFERROR(INDEX(M_dept,MATCH($B1210,M_emp,0)),""))</f>
        <v/>
      </c>
      <c r="E1210" s="10" t="str">
        <f aca="false">IF($B1210="","",IFERROR(INDEX(M_loc,MATCH($B1210,M_emp,0)),""))</f>
        <v/>
      </c>
      <c r="F1210" s="33"/>
      <c r="G1210" s="33"/>
      <c r="H1210" s="33"/>
      <c r="I1210" s="33"/>
      <c r="J1210" s="33"/>
      <c r="K1210" s="33"/>
      <c r="L1210" s="33"/>
      <c r="M1210" s="33"/>
      <c r="N1210" s="33"/>
      <c r="O1210" s="33"/>
      <c r="P1210" s="33"/>
      <c r="Q1210" s="33"/>
      <c r="R1210" s="33"/>
      <c r="S1210" s="33"/>
      <c r="T1210" s="33"/>
      <c r="U1210" s="33"/>
      <c r="V1210" s="33"/>
      <c r="W1210" s="33"/>
      <c r="X1210" s="33"/>
      <c r="Y1210" s="33"/>
      <c r="Z1210" s="33"/>
      <c r="AA1210" s="33"/>
      <c r="AB1210" s="33"/>
      <c r="AC1210" s="33"/>
      <c r="AD1210" s="33"/>
      <c r="AE1210" s="33"/>
      <c r="AF1210" s="33"/>
      <c r="AG1210" s="33"/>
      <c r="AH1210" s="33"/>
      <c r="AI1210" s="33"/>
      <c r="AJ1210" s="33"/>
      <c r="AK1210" s="34" t="str">
        <f aca="false">IF($B1210="","",COUNTIF($F1210:$AJ1210,"P"))</f>
        <v/>
      </c>
      <c r="AL1210" s="34" t="str">
        <f aca="false">IF($B1210="","",COUNTIF($F1210:$AJ1210,"A"))</f>
        <v/>
      </c>
      <c r="AM1210" s="34" t="str">
        <f aca="false">IF($B1210="","",COUNTIF($F1210:$AJ1210,"HA"))</f>
        <v/>
      </c>
      <c r="AN1210" s="34" t="str">
        <f aca="false">IF($B1210="","",COUNTIF($F1210:$AJ1210,"L"))</f>
        <v/>
      </c>
      <c r="AO1210" s="34" t="str">
        <f aca="false">IF($B1210="","",COUNTIF($F1210:$AJ1210,"PL"))</f>
        <v/>
      </c>
      <c r="AP1210" s="34" t="str">
        <f aca="false">IF($B1210="","",COUNTIF($F1210:$AJ1210,"CL"))</f>
        <v/>
      </c>
      <c r="AQ1210" s="34" t="str">
        <f aca="false">IF($B1210="","",COUNTIF($F1210:$AJ1210,"SL"))</f>
        <v/>
      </c>
      <c r="AR1210" s="34" t="str">
        <f aca="false">IF($B1210="","",COUNTIF($F1210:$AJ1210,"CO"))</f>
        <v/>
      </c>
      <c r="AS1210" s="34" t="str">
        <f aca="false">IF($B1210="","",COUNTIF($F1210:$AJ1210,"HPL"))</f>
        <v/>
      </c>
      <c r="AT1210" s="34" t="str">
        <f aca="false">IF($B1210="","",COUNTIF($F1210:$AJ1210,"HCL"))</f>
        <v/>
      </c>
      <c r="AU1210" s="34" t="str">
        <f aca="false">IF($B1210="","",COUNTIF($F1210:$AJ1210,"WO"))</f>
        <v/>
      </c>
      <c r="AV1210" s="34" t="str">
        <f aca="false">IF($B1210="","",COUNTIF($F1210:$AJ1210,"PH"))</f>
        <v/>
      </c>
      <c r="AW1210" s="34" t="str">
        <f aca="false">IF($B1210="","",COUNTIF($F1210:$AJ1210,"TR"))</f>
        <v/>
      </c>
      <c r="AX1210" s="35" t="str">
        <f aca="false">IF($B1210="","",AO1210+AS1210/2)</f>
        <v/>
      </c>
      <c r="AY1210" s="35" t="str">
        <f aca="false">IF($B1210="","",AQ1210)</f>
        <v/>
      </c>
      <c r="AZ1210" s="35" t="str">
        <f aca="false">IF($B1210="","",AP1210+AT1210/2)</f>
        <v/>
      </c>
      <c r="BA1210" s="35" t="str">
        <f aca="false">IF($B1210="","",AK1210+AN1210+AM1210/2+AO1210+AP1210+AQ1210+AR1210+AS1210+AT1210+AU1210+AV1210+AW1210)</f>
        <v/>
      </c>
      <c r="BB1210" s="35" t="str">
        <f aca="false">IF($B1210="","",MAX(0,AN1210-Settings!$C$16)*Settings!$C$17)</f>
        <v/>
      </c>
      <c r="BC1210" s="35" t="str">
        <f aca="false">IF($B1210="","",BA1210-BB1210)</f>
        <v/>
      </c>
      <c r="BD1210" s="35" t="str">
        <f aca="false">IF(OR($B1210="",$A1210=""),"",DAY(EOMONTH($A1210,0))-COUNTA($F1210:$AJ1210))</f>
        <v/>
      </c>
    </row>
    <row r="1211" customFormat="false" ht="15" hidden="false" customHeight="false" outlineLevel="0" collapsed="false">
      <c r="A1211" s="32"/>
      <c r="B1211" s="29"/>
      <c r="C1211" s="10" t="str">
        <f aca="false">IF($B1211="","",IFERROR(INDEX(M_name,MATCH($B1211,M_emp,0)),"Code not found"))</f>
        <v/>
      </c>
      <c r="D1211" s="10" t="str">
        <f aca="false">IF($B1211="","",IFERROR(INDEX(M_dept,MATCH($B1211,M_emp,0)),""))</f>
        <v/>
      </c>
      <c r="E1211" s="10" t="str">
        <f aca="false">IF($B1211="","",IFERROR(INDEX(M_loc,MATCH($B1211,M_emp,0)),""))</f>
        <v/>
      </c>
      <c r="F1211" s="33"/>
      <c r="G1211" s="33"/>
      <c r="H1211" s="33"/>
      <c r="I1211" s="33"/>
      <c r="J1211" s="33"/>
      <c r="K1211" s="33"/>
      <c r="L1211" s="33"/>
      <c r="M1211" s="33"/>
      <c r="N1211" s="33"/>
      <c r="O1211" s="33"/>
      <c r="P1211" s="33"/>
      <c r="Q1211" s="33"/>
      <c r="R1211" s="33"/>
      <c r="S1211" s="33"/>
      <c r="T1211" s="33"/>
      <c r="U1211" s="33"/>
      <c r="V1211" s="33"/>
      <c r="W1211" s="33"/>
      <c r="X1211" s="33"/>
      <c r="Y1211" s="33"/>
      <c r="Z1211" s="33"/>
      <c r="AA1211" s="33"/>
      <c r="AB1211" s="33"/>
      <c r="AC1211" s="33"/>
      <c r="AD1211" s="33"/>
      <c r="AE1211" s="33"/>
      <c r="AF1211" s="33"/>
      <c r="AG1211" s="33"/>
      <c r="AH1211" s="33"/>
      <c r="AI1211" s="33"/>
      <c r="AJ1211" s="33"/>
      <c r="AK1211" s="34" t="str">
        <f aca="false">IF($B1211="","",COUNTIF($F1211:$AJ1211,"P"))</f>
        <v/>
      </c>
      <c r="AL1211" s="34" t="str">
        <f aca="false">IF($B1211="","",COUNTIF($F1211:$AJ1211,"A"))</f>
        <v/>
      </c>
      <c r="AM1211" s="34" t="str">
        <f aca="false">IF($B1211="","",COUNTIF($F1211:$AJ1211,"HA"))</f>
        <v/>
      </c>
      <c r="AN1211" s="34" t="str">
        <f aca="false">IF($B1211="","",COUNTIF($F1211:$AJ1211,"L"))</f>
        <v/>
      </c>
      <c r="AO1211" s="34" t="str">
        <f aca="false">IF($B1211="","",COUNTIF($F1211:$AJ1211,"PL"))</f>
        <v/>
      </c>
      <c r="AP1211" s="34" t="str">
        <f aca="false">IF($B1211="","",COUNTIF($F1211:$AJ1211,"CL"))</f>
        <v/>
      </c>
      <c r="AQ1211" s="34" t="str">
        <f aca="false">IF($B1211="","",COUNTIF($F1211:$AJ1211,"SL"))</f>
        <v/>
      </c>
      <c r="AR1211" s="34" t="str">
        <f aca="false">IF($B1211="","",COUNTIF($F1211:$AJ1211,"CO"))</f>
        <v/>
      </c>
      <c r="AS1211" s="34" t="str">
        <f aca="false">IF($B1211="","",COUNTIF($F1211:$AJ1211,"HPL"))</f>
        <v/>
      </c>
      <c r="AT1211" s="34" t="str">
        <f aca="false">IF($B1211="","",COUNTIF($F1211:$AJ1211,"HCL"))</f>
        <v/>
      </c>
      <c r="AU1211" s="34" t="str">
        <f aca="false">IF($B1211="","",COUNTIF($F1211:$AJ1211,"WO"))</f>
        <v/>
      </c>
      <c r="AV1211" s="34" t="str">
        <f aca="false">IF($B1211="","",COUNTIF($F1211:$AJ1211,"PH"))</f>
        <v/>
      </c>
      <c r="AW1211" s="34" t="str">
        <f aca="false">IF($B1211="","",COUNTIF($F1211:$AJ1211,"TR"))</f>
        <v/>
      </c>
      <c r="AX1211" s="35" t="str">
        <f aca="false">IF($B1211="","",AO1211+AS1211/2)</f>
        <v/>
      </c>
      <c r="AY1211" s="35" t="str">
        <f aca="false">IF($B1211="","",AQ1211)</f>
        <v/>
      </c>
      <c r="AZ1211" s="35" t="str">
        <f aca="false">IF($B1211="","",AP1211+AT1211/2)</f>
        <v/>
      </c>
      <c r="BA1211" s="35" t="str">
        <f aca="false">IF($B1211="","",AK1211+AN1211+AM1211/2+AO1211+AP1211+AQ1211+AR1211+AS1211+AT1211+AU1211+AV1211+AW1211)</f>
        <v/>
      </c>
      <c r="BB1211" s="35" t="str">
        <f aca="false">IF($B1211="","",MAX(0,AN1211-Settings!$C$16)*Settings!$C$17)</f>
        <v/>
      </c>
      <c r="BC1211" s="35" t="str">
        <f aca="false">IF($B1211="","",BA1211-BB1211)</f>
        <v/>
      </c>
      <c r="BD1211" s="35" t="str">
        <f aca="false">IF(OR($B1211="",$A1211=""),"",DAY(EOMONTH($A1211,0))-COUNTA($F1211:$AJ1211))</f>
        <v/>
      </c>
    </row>
    <row r="1212" customFormat="false" ht="15" hidden="false" customHeight="false" outlineLevel="0" collapsed="false">
      <c r="A1212" s="32"/>
      <c r="B1212" s="29"/>
      <c r="C1212" s="10" t="str">
        <f aca="false">IF($B1212="","",IFERROR(INDEX(M_name,MATCH($B1212,M_emp,0)),"Code not found"))</f>
        <v/>
      </c>
      <c r="D1212" s="10" t="str">
        <f aca="false">IF($B1212="","",IFERROR(INDEX(M_dept,MATCH($B1212,M_emp,0)),""))</f>
        <v/>
      </c>
      <c r="E1212" s="10" t="str">
        <f aca="false">IF($B1212="","",IFERROR(INDEX(M_loc,MATCH($B1212,M_emp,0)),""))</f>
        <v/>
      </c>
      <c r="F1212" s="33"/>
      <c r="G1212" s="33"/>
      <c r="H1212" s="33"/>
      <c r="I1212" s="33"/>
      <c r="J1212" s="33"/>
      <c r="K1212" s="33"/>
      <c r="L1212" s="33"/>
      <c r="M1212" s="33"/>
      <c r="N1212" s="33"/>
      <c r="O1212" s="33"/>
      <c r="P1212" s="33"/>
      <c r="Q1212" s="33"/>
      <c r="R1212" s="33"/>
      <c r="S1212" s="33"/>
      <c r="T1212" s="33"/>
      <c r="U1212" s="33"/>
      <c r="V1212" s="33"/>
      <c r="W1212" s="33"/>
      <c r="X1212" s="33"/>
      <c r="Y1212" s="33"/>
      <c r="Z1212" s="33"/>
      <c r="AA1212" s="33"/>
      <c r="AB1212" s="33"/>
      <c r="AC1212" s="33"/>
      <c r="AD1212" s="33"/>
      <c r="AE1212" s="33"/>
      <c r="AF1212" s="33"/>
      <c r="AG1212" s="33"/>
      <c r="AH1212" s="33"/>
      <c r="AI1212" s="33"/>
      <c r="AJ1212" s="33"/>
      <c r="AK1212" s="34" t="str">
        <f aca="false">IF($B1212="","",COUNTIF($F1212:$AJ1212,"P"))</f>
        <v/>
      </c>
      <c r="AL1212" s="34" t="str">
        <f aca="false">IF($B1212="","",COUNTIF($F1212:$AJ1212,"A"))</f>
        <v/>
      </c>
      <c r="AM1212" s="34" t="str">
        <f aca="false">IF($B1212="","",COUNTIF($F1212:$AJ1212,"HA"))</f>
        <v/>
      </c>
      <c r="AN1212" s="34" t="str">
        <f aca="false">IF($B1212="","",COUNTIF($F1212:$AJ1212,"L"))</f>
        <v/>
      </c>
      <c r="AO1212" s="34" t="str">
        <f aca="false">IF($B1212="","",COUNTIF($F1212:$AJ1212,"PL"))</f>
        <v/>
      </c>
      <c r="AP1212" s="34" t="str">
        <f aca="false">IF($B1212="","",COUNTIF($F1212:$AJ1212,"CL"))</f>
        <v/>
      </c>
      <c r="AQ1212" s="34" t="str">
        <f aca="false">IF($B1212="","",COUNTIF($F1212:$AJ1212,"SL"))</f>
        <v/>
      </c>
      <c r="AR1212" s="34" t="str">
        <f aca="false">IF($B1212="","",COUNTIF($F1212:$AJ1212,"CO"))</f>
        <v/>
      </c>
      <c r="AS1212" s="34" t="str">
        <f aca="false">IF($B1212="","",COUNTIF($F1212:$AJ1212,"HPL"))</f>
        <v/>
      </c>
      <c r="AT1212" s="34" t="str">
        <f aca="false">IF($B1212="","",COUNTIF($F1212:$AJ1212,"HCL"))</f>
        <v/>
      </c>
      <c r="AU1212" s="34" t="str">
        <f aca="false">IF($B1212="","",COUNTIF($F1212:$AJ1212,"WO"))</f>
        <v/>
      </c>
      <c r="AV1212" s="34" t="str">
        <f aca="false">IF($B1212="","",COUNTIF($F1212:$AJ1212,"PH"))</f>
        <v/>
      </c>
      <c r="AW1212" s="34" t="str">
        <f aca="false">IF($B1212="","",COUNTIF($F1212:$AJ1212,"TR"))</f>
        <v/>
      </c>
      <c r="AX1212" s="35" t="str">
        <f aca="false">IF($B1212="","",AO1212+AS1212/2)</f>
        <v/>
      </c>
      <c r="AY1212" s="35" t="str">
        <f aca="false">IF($B1212="","",AQ1212)</f>
        <v/>
      </c>
      <c r="AZ1212" s="35" t="str">
        <f aca="false">IF($B1212="","",AP1212+AT1212/2)</f>
        <v/>
      </c>
      <c r="BA1212" s="35" t="str">
        <f aca="false">IF($B1212="","",AK1212+AN1212+AM1212/2+AO1212+AP1212+AQ1212+AR1212+AS1212+AT1212+AU1212+AV1212+AW1212)</f>
        <v/>
      </c>
      <c r="BB1212" s="35" t="str">
        <f aca="false">IF($B1212="","",MAX(0,AN1212-Settings!$C$16)*Settings!$C$17)</f>
        <v/>
      </c>
      <c r="BC1212" s="35" t="str">
        <f aca="false">IF($B1212="","",BA1212-BB1212)</f>
        <v/>
      </c>
      <c r="BD1212" s="35" t="str">
        <f aca="false">IF(OR($B1212="",$A1212=""),"",DAY(EOMONTH($A1212,0))-COUNTA($F1212:$AJ1212))</f>
        <v/>
      </c>
    </row>
    <row r="1213" customFormat="false" ht="15" hidden="false" customHeight="false" outlineLevel="0" collapsed="false">
      <c r="A1213" s="32"/>
      <c r="B1213" s="29"/>
      <c r="C1213" s="10" t="str">
        <f aca="false">IF($B1213="","",IFERROR(INDEX(M_name,MATCH($B1213,M_emp,0)),"Code not found"))</f>
        <v/>
      </c>
      <c r="D1213" s="10" t="str">
        <f aca="false">IF($B1213="","",IFERROR(INDEX(M_dept,MATCH($B1213,M_emp,0)),""))</f>
        <v/>
      </c>
      <c r="E1213" s="10" t="str">
        <f aca="false">IF($B1213="","",IFERROR(INDEX(M_loc,MATCH($B1213,M_emp,0)),""))</f>
        <v/>
      </c>
      <c r="F1213" s="33"/>
      <c r="G1213" s="33"/>
      <c r="H1213" s="33"/>
      <c r="I1213" s="33"/>
      <c r="J1213" s="33"/>
      <c r="K1213" s="33"/>
      <c r="L1213" s="33"/>
      <c r="M1213" s="33"/>
      <c r="N1213" s="33"/>
      <c r="O1213" s="33"/>
      <c r="P1213" s="33"/>
      <c r="Q1213" s="33"/>
      <c r="R1213" s="33"/>
      <c r="S1213" s="33"/>
      <c r="T1213" s="33"/>
      <c r="U1213" s="33"/>
      <c r="V1213" s="33"/>
      <c r="W1213" s="33"/>
      <c r="X1213" s="33"/>
      <c r="Y1213" s="33"/>
      <c r="Z1213" s="33"/>
      <c r="AA1213" s="33"/>
      <c r="AB1213" s="33"/>
      <c r="AC1213" s="33"/>
      <c r="AD1213" s="33"/>
      <c r="AE1213" s="33"/>
      <c r="AF1213" s="33"/>
      <c r="AG1213" s="33"/>
      <c r="AH1213" s="33"/>
      <c r="AI1213" s="33"/>
      <c r="AJ1213" s="33"/>
      <c r="AK1213" s="34" t="str">
        <f aca="false">IF($B1213="","",COUNTIF($F1213:$AJ1213,"P"))</f>
        <v/>
      </c>
      <c r="AL1213" s="34" t="str">
        <f aca="false">IF($B1213="","",COUNTIF($F1213:$AJ1213,"A"))</f>
        <v/>
      </c>
      <c r="AM1213" s="34" t="str">
        <f aca="false">IF($B1213="","",COUNTIF($F1213:$AJ1213,"HA"))</f>
        <v/>
      </c>
      <c r="AN1213" s="34" t="str">
        <f aca="false">IF($B1213="","",COUNTIF($F1213:$AJ1213,"L"))</f>
        <v/>
      </c>
      <c r="AO1213" s="34" t="str">
        <f aca="false">IF($B1213="","",COUNTIF($F1213:$AJ1213,"PL"))</f>
        <v/>
      </c>
      <c r="AP1213" s="34" t="str">
        <f aca="false">IF($B1213="","",COUNTIF($F1213:$AJ1213,"CL"))</f>
        <v/>
      </c>
      <c r="AQ1213" s="34" t="str">
        <f aca="false">IF($B1213="","",COUNTIF($F1213:$AJ1213,"SL"))</f>
        <v/>
      </c>
      <c r="AR1213" s="34" t="str">
        <f aca="false">IF($B1213="","",COUNTIF($F1213:$AJ1213,"CO"))</f>
        <v/>
      </c>
      <c r="AS1213" s="34" t="str">
        <f aca="false">IF($B1213="","",COUNTIF($F1213:$AJ1213,"HPL"))</f>
        <v/>
      </c>
      <c r="AT1213" s="34" t="str">
        <f aca="false">IF($B1213="","",COUNTIF($F1213:$AJ1213,"HCL"))</f>
        <v/>
      </c>
      <c r="AU1213" s="34" t="str">
        <f aca="false">IF($B1213="","",COUNTIF($F1213:$AJ1213,"WO"))</f>
        <v/>
      </c>
      <c r="AV1213" s="34" t="str">
        <f aca="false">IF($B1213="","",COUNTIF($F1213:$AJ1213,"PH"))</f>
        <v/>
      </c>
      <c r="AW1213" s="34" t="str">
        <f aca="false">IF($B1213="","",COUNTIF($F1213:$AJ1213,"TR"))</f>
        <v/>
      </c>
      <c r="AX1213" s="35" t="str">
        <f aca="false">IF($B1213="","",AO1213+AS1213/2)</f>
        <v/>
      </c>
      <c r="AY1213" s="35" t="str">
        <f aca="false">IF($B1213="","",AQ1213)</f>
        <v/>
      </c>
      <c r="AZ1213" s="35" t="str">
        <f aca="false">IF($B1213="","",AP1213+AT1213/2)</f>
        <v/>
      </c>
      <c r="BA1213" s="35" t="str">
        <f aca="false">IF($B1213="","",AK1213+AN1213+AM1213/2+AO1213+AP1213+AQ1213+AR1213+AS1213+AT1213+AU1213+AV1213+AW1213)</f>
        <v/>
      </c>
      <c r="BB1213" s="35" t="str">
        <f aca="false">IF($B1213="","",MAX(0,AN1213-Settings!$C$16)*Settings!$C$17)</f>
        <v/>
      </c>
      <c r="BC1213" s="35" t="str">
        <f aca="false">IF($B1213="","",BA1213-BB1213)</f>
        <v/>
      </c>
      <c r="BD1213" s="35" t="str">
        <f aca="false">IF(OR($B1213="",$A1213=""),"",DAY(EOMONTH($A1213,0))-COUNTA($F1213:$AJ1213))</f>
        <v/>
      </c>
    </row>
    <row r="1214" customFormat="false" ht="15" hidden="false" customHeight="false" outlineLevel="0" collapsed="false">
      <c r="A1214" s="32"/>
      <c r="B1214" s="29"/>
      <c r="C1214" s="10" t="str">
        <f aca="false">IF($B1214="","",IFERROR(INDEX(M_name,MATCH($B1214,M_emp,0)),"Code not found"))</f>
        <v/>
      </c>
      <c r="D1214" s="10" t="str">
        <f aca="false">IF($B1214="","",IFERROR(INDEX(M_dept,MATCH($B1214,M_emp,0)),""))</f>
        <v/>
      </c>
      <c r="E1214" s="10" t="str">
        <f aca="false">IF($B1214="","",IFERROR(INDEX(M_loc,MATCH($B1214,M_emp,0)),""))</f>
        <v/>
      </c>
      <c r="F1214" s="33"/>
      <c r="G1214" s="33"/>
      <c r="H1214" s="33"/>
      <c r="I1214" s="33"/>
      <c r="J1214" s="33"/>
      <c r="K1214" s="33"/>
      <c r="L1214" s="33"/>
      <c r="M1214" s="33"/>
      <c r="N1214" s="33"/>
      <c r="O1214" s="33"/>
      <c r="P1214" s="33"/>
      <c r="Q1214" s="33"/>
      <c r="R1214" s="33"/>
      <c r="S1214" s="33"/>
      <c r="T1214" s="33"/>
      <c r="U1214" s="33"/>
      <c r="V1214" s="33"/>
      <c r="W1214" s="33"/>
      <c r="X1214" s="33"/>
      <c r="Y1214" s="33"/>
      <c r="Z1214" s="33"/>
      <c r="AA1214" s="33"/>
      <c r="AB1214" s="33"/>
      <c r="AC1214" s="33"/>
      <c r="AD1214" s="33"/>
      <c r="AE1214" s="33"/>
      <c r="AF1214" s="33"/>
      <c r="AG1214" s="33"/>
      <c r="AH1214" s="33"/>
      <c r="AI1214" s="33"/>
      <c r="AJ1214" s="33"/>
      <c r="AK1214" s="34" t="str">
        <f aca="false">IF($B1214="","",COUNTIF($F1214:$AJ1214,"P"))</f>
        <v/>
      </c>
      <c r="AL1214" s="34" t="str">
        <f aca="false">IF($B1214="","",COUNTIF($F1214:$AJ1214,"A"))</f>
        <v/>
      </c>
      <c r="AM1214" s="34" t="str">
        <f aca="false">IF($B1214="","",COUNTIF($F1214:$AJ1214,"HA"))</f>
        <v/>
      </c>
      <c r="AN1214" s="34" t="str">
        <f aca="false">IF($B1214="","",COUNTIF($F1214:$AJ1214,"L"))</f>
        <v/>
      </c>
      <c r="AO1214" s="34" t="str">
        <f aca="false">IF($B1214="","",COUNTIF($F1214:$AJ1214,"PL"))</f>
        <v/>
      </c>
      <c r="AP1214" s="34" t="str">
        <f aca="false">IF($B1214="","",COUNTIF($F1214:$AJ1214,"CL"))</f>
        <v/>
      </c>
      <c r="AQ1214" s="34" t="str">
        <f aca="false">IF($B1214="","",COUNTIF($F1214:$AJ1214,"SL"))</f>
        <v/>
      </c>
      <c r="AR1214" s="34" t="str">
        <f aca="false">IF($B1214="","",COUNTIF($F1214:$AJ1214,"CO"))</f>
        <v/>
      </c>
      <c r="AS1214" s="34" t="str">
        <f aca="false">IF($B1214="","",COUNTIF($F1214:$AJ1214,"HPL"))</f>
        <v/>
      </c>
      <c r="AT1214" s="34" t="str">
        <f aca="false">IF($B1214="","",COUNTIF($F1214:$AJ1214,"HCL"))</f>
        <v/>
      </c>
      <c r="AU1214" s="34" t="str">
        <f aca="false">IF($B1214="","",COUNTIF($F1214:$AJ1214,"WO"))</f>
        <v/>
      </c>
      <c r="AV1214" s="34" t="str">
        <f aca="false">IF($B1214="","",COUNTIF($F1214:$AJ1214,"PH"))</f>
        <v/>
      </c>
      <c r="AW1214" s="34" t="str">
        <f aca="false">IF($B1214="","",COUNTIF($F1214:$AJ1214,"TR"))</f>
        <v/>
      </c>
      <c r="AX1214" s="35" t="str">
        <f aca="false">IF($B1214="","",AO1214+AS1214/2)</f>
        <v/>
      </c>
      <c r="AY1214" s="35" t="str">
        <f aca="false">IF($B1214="","",AQ1214)</f>
        <v/>
      </c>
      <c r="AZ1214" s="35" t="str">
        <f aca="false">IF($B1214="","",AP1214+AT1214/2)</f>
        <v/>
      </c>
      <c r="BA1214" s="35" t="str">
        <f aca="false">IF($B1214="","",AK1214+AN1214+AM1214/2+AO1214+AP1214+AQ1214+AR1214+AS1214+AT1214+AU1214+AV1214+AW1214)</f>
        <v/>
      </c>
      <c r="BB1214" s="35" t="str">
        <f aca="false">IF($B1214="","",MAX(0,AN1214-Settings!$C$16)*Settings!$C$17)</f>
        <v/>
      </c>
      <c r="BC1214" s="35" t="str">
        <f aca="false">IF($B1214="","",BA1214-BB1214)</f>
        <v/>
      </c>
      <c r="BD1214" s="35" t="str">
        <f aca="false">IF(OR($B1214="",$A1214=""),"",DAY(EOMONTH($A1214,0))-COUNTA($F1214:$AJ1214))</f>
        <v/>
      </c>
    </row>
    <row r="1215" customFormat="false" ht="15" hidden="false" customHeight="false" outlineLevel="0" collapsed="false">
      <c r="A1215" s="32"/>
      <c r="B1215" s="29"/>
      <c r="C1215" s="10" t="str">
        <f aca="false">IF($B1215="","",IFERROR(INDEX(M_name,MATCH($B1215,M_emp,0)),"Code not found"))</f>
        <v/>
      </c>
      <c r="D1215" s="10" t="str">
        <f aca="false">IF($B1215="","",IFERROR(INDEX(M_dept,MATCH($B1215,M_emp,0)),""))</f>
        <v/>
      </c>
      <c r="E1215" s="10" t="str">
        <f aca="false">IF($B1215="","",IFERROR(INDEX(M_loc,MATCH($B1215,M_emp,0)),""))</f>
        <v/>
      </c>
      <c r="F1215" s="33"/>
      <c r="G1215" s="33"/>
      <c r="H1215" s="33"/>
      <c r="I1215" s="33"/>
      <c r="J1215" s="33"/>
      <c r="K1215" s="33"/>
      <c r="L1215" s="33"/>
      <c r="M1215" s="33"/>
      <c r="N1215" s="33"/>
      <c r="O1215" s="33"/>
      <c r="P1215" s="33"/>
      <c r="Q1215" s="33"/>
      <c r="R1215" s="33"/>
      <c r="S1215" s="33"/>
      <c r="T1215" s="33"/>
      <c r="U1215" s="33"/>
      <c r="V1215" s="33"/>
      <c r="W1215" s="33"/>
      <c r="X1215" s="33"/>
      <c r="Y1215" s="33"/>
      <c r="Z1215" s="33"/>
      <c r="AA1215" s="33"/>
      <c r="AB1215" s="33"/>
      <c r="AC1215" s="33"/>
      <c r="AD1215" s="33"/>
      <c r="AE1215" s="33"/>
      <c r="AF1215" s="33"/>
      <c r="AG1215" s="33"/>
      <c r="AH1215" s="33"/>
      <c r="AI1215" s="33"/>
      <c r="AJ1215" s="33"/>
      <c r="AK1215" s="34" t="str">
        <f aca="false">IF($B1215="","",COUNTIF($F1215:$AJ1215,"P"))</f>
        <v/>
      </c>
      <c r="AL1215" s="34" t="str">
        <f aca="false">IF($B1215="","",COUNTIF($F1215:$AJ1215,"A"))</f>
        <v/>
      </c>
      <c r="AM1215" s="34" t="str">
        <f aca="false">IF($B1215="","",COUNTIF($F1215:$AJ1215,"HA"))</f>
        <v/>
      </c>
      <c r="AN1215" s="34" t="str">
        <f aca="false">IF($B1215="","",COUNTIF($F1215:$AJ1215,"L"))</f>
        <v/>
      </c>
      <c r="AO1215" s="34" t="str">
        <f aca="false">IF($B1215="","",COUNTIF($F1215:$AJ1215,"PL"))</f>
        <v/>
      </c>
      <c r="AP1215" s="34" t="str">
        <f aca="false">IF($B1215="","",COUNTIF($F1215:$AJ1215,"CL"))</f>
        <v/>
      </c>
      <c r="AQ1215" s="34" t="str">
        <f aca="false">IF($B1215="","",COUNTIF($F1215:$AJ1215,"SL"))</f>
        <v/>
      </c>
      <c r="AR1215" s="34" t="str">
        <f aca="false">IF($B1215="","",COUNTIF($F1215:$AJ1215,"CO"))</f>
        <v/>
      </c>
      <c r="AS1215" s="34" t="str">
        <f aca="false">IF($B1215="","",COUNTIF($F1215:$AJ1215,"HPL"))</f>
        <v/>
      </c>
      <c r="AT1215" s="34" t="str">
        <f aca="false">IF($B1215="","",COUNTIF($F1215:$AJ1215,"HCL"))</f>
        <v/>
      </c>
      <c r="AU1215" s="34" t="str">
        <f aca="false">IF($B1215="","",COUNTIF($F1215:$AJ1215,"WO"))</f>
        <v/>
      </c>
      <c r="AV1215" s="34" t="str">
        <f aca="false">IF($B1215="","",COUNTIF($F1215:$AJ1215,"PH"))</f>
        <v/>
      </c>
      <c r="AW1215" s="34" t="str">
        <f aca="false">IF($B1215="","",COUNTIF($F1215:$AJ1215,"TR"))</f>
        <v/>
      </c>
      <c r="AX1215" s="35" t="str">
        <f aca="false">IF($B1215="","",AO1215+AS1215/2)</f>
        <v/>
      </c>
      <c r="AY1215" s="35" t="str">
        <f aca="false">IF($B1215="","",AQ1215)</f>
        <v/>
      </c>
      <c r="AZ1215" s="35" t="str">
        <f aca="false">IF($B1215="","",AP1215+AT1215/2)</f>
        <v/>
      </c>
      <c r="BA1215" s="35" t="str">
        <f aca="false">IF($B1215="","",AK1215+AN1215+AM1215/2+AO1215+AP1215+AQ1215+AR1215+AS1215+AT1215+AU1215+AV1215+AW1215)</f>
        <v/>
      </c>
      <c r="BB1215" s="35" t="str">
        <f aca="false">IF($B1215="","",MAX(0,AN1215-Settings!$C$16)*Settings!$C$17)</f>
        <v/>
      </c>
      <c r="BC1215" s="35" t="str">
        <f aca="false">IF($B1215="","",BA1215-BB1215)</f>
        <v/>
      </c>
      <c r="BD1215" s="35" t="str">
        <f aca="false">IF(OR($B1215="",$A1215=""),"",DAY(EOMONTH($A1215,0))-COUNTA($F1215:$AJ1215))</f>
        <v/>
      </c>
    </row>
    <row r="1216" customFormat="false" ht="15" hidden="false" customHeight="false" outlineLevel="0" collapsed="false">
      <c r="A1216" s="32"/>
      <c r="B1216" s="29"/>
      <c r="C1216" s="10" t="str">
        <f aca="false">IF($B1216="","",IFERROR(INDEX(M_name,MATCH($B1216,M_emp,0)),"Code not found"))</f>
        <v/>
      </c>
      <c r="D1216" s="10" t="str">
        <f aca="false">IF($B1216="","",IFERROR(INDEX(M_dept,MATCH($B1216,M_emp,0)),""))</f>
        <v/>
      </c>
      <c r="E1216" s="10" t="str">
        <f aca="false">IF($B1216="","",IFERROR(INDEX(M_loc,MATCH($B1216,M_emp,0)),""))</f>
        <v/>
      </c>
      <c r="F1216" s="33"/>
      <c r="G1216" s="33"/>
      <c r="H1216" s="33"/>
      <c r="I1216" s="33"/>
      <c r="J1216" s="33"/>
      <c r="K1216" s="33"/>
      <c r="L1216" s="33"/>
      <c r="M1216" s="33"/>
      <c r="N1216" s="33"/>
      <c r="O1216" s="33"/>
      <c r="P1216" s="33"/>
      <c r="Q1216" s="33"/>
      <c r="R1216" s="33"/>
      <c r="S1216" s="33"/>
      <c r="T1216" s="33"/>
      <c r="U1216" s="33"/>
      <c r="V1216" s="33"/>
      <c r="W1216" s="33"/>
      <c r="X1216" s="33"/>
      <c r="Y1216" s="33"/>
      <c r="Z1216" s="33"/>
      <c r="AA1216" s="33"/>
      <c r="AB1216" s="33"/>
      <c r="AC1216" s="33"/>
      <c r="AD1216" s="33"/>
      <c r="AE1216" s="33"/>
      <c r="AF1216" s="33"/>
      <c r="AG1216" s="33"/>
      <c r="AH1216" s="33"/>
      <c r="AI1216" s="33"/>
      <c r="AJ1216" s="33"/>
      <c r="AK1216" s="34" t="str">
        <f aca="false">IF($B1216="","",COUNTIF($F1216:$AJ1216,"P"))</f>
        <v/>
      </c>
      <c r="AL1216" s="34" t="str">
        <f aca="false">IF($B1216="","",COUNTIF($F1216:$AJ1216,"A"))</f>
        <v/>
      </c>
      <c r="AM1216" s="34" t="str">
        <f aca="false">IF($B1216="","",COUNTIF($F1216:$AJ1216,"HA"))</f>
        <v/>
      </c>
      <c r="AN1216" s="34" t="str">
        <f aca="false">IF($B1216="","",COUNTIF($F1216:$AJ1216,"L"))</f>
        <v/>
      </c>
      <c r="AO1216" s="34" t="str">
        <f aca="false">IF($B1216="","",COUNTIF($F1216:$AJ1216,"PL"))</f>
        <v/>
      </c>
      <c r="AP1216" s="34" t="str">
        <f aca="false">IF($B1216="","",COUNTIF($F1216:$AJ1216,"CL"))</f>
        <v/>
      </c>
      <c r="AQ1216" s="34" t="str">
        <f aca="false">IF($B1216="","",COUNTIF($F1216:$AJ1216,"SL"))</f>
        <v/>
      </c>
      <c r="AR1216" s="34" t="str">
        <f aca="false">IF($B1216="","",COUNTIF($F1216:$AJ1216,"CO"))</f>
        <v/>
      </c>
      <c r="AS1216" s="34" t="str">
        <f aca="false">IF($B1216="","",COUNTIF($F1216:$AJ1216,"HPL"))</f>
        <v/>
      </c>
      <c r="AT1216" s="34" t="str">
        <f aca="false">IF($B1216="","",COUNTIF($F1216:$AJ1216,"HCL"))</f>
        <v/>
      </c>
      <c r="AU1216" s="34" t="str">
        <f aca="false">IF($B1216="","",COUNTIF($F1216:$AJ1216,"WO"))</f>
        <v/>
      </c>
      <c r="AV1216" s="34" t="str">
        <f aca="false">IF($B1216="","",COUNTIF($F1216:$AJ1216,"PH"))</f>
        <v/>
      </c>
      <c r="AW1216" s="34" t="str">
        <f aca="false">IF($B1216="","",COUNTIF($F1216:$AJ1216,"TR"))</f>
        <v/>
      </c>
      <c r="AX1216" s="35" t="str">
        <f aca="false">IF($B1216="","",AO1216+AS1216/2)</f>
        <v/>
      </c>
      <c r="AY1216" s="35" t="str">
        <f aca="false">IF($B1216="","",AQ1216)</f>
        <v/>
      </c>
      <c r="AZ1216" s="35" t="str">
        <f aca="false">IF($B1216="","",AP1216+AT1216/2)</f>
        <v/>
      </c>
      <c r="BA1216" s="35" t="str">
        <f aca="false">IF($B1216="","",AK1216+AN1216+AM1216/2+AO1216+AP1216+AQ1216+AR1216+AS1216+AT1216+AU1216+AV1216+AW1216)</f>
        <v/>
      </c>
      <c r="BB1216" s="35" t="str">
        <f aca="false">IF($B1216="","",MAX(0,AN1216-Settings!$C$16)*Settings!$C$17)</f>
        <v/>
      </c>
      <c r="BC1216" s="35" t="str">
        <f aca="false">IF($B1216="","",BA1216-BB1216)</f>
        <v/>
      </c>
      <c r="BD1216" s="35" t="str">
        <f aca="false">IF(OR($B1216="",$A1216=""),"",DAY(EOMONTH($A1216,0))-COUNTA($F1216:$AJ1216))</f>
        <v/>
      </c>
    </row>
    <row r="1217" customFormat="false" ht="15" hidden="false" customHeight="false" outlineLevel="0" collapsed="false">
      <c r="A1217" s="32"/>
      <c r="B1217" s="29"/>
      <c r="C1217" s="10" t="str">
        <f aca="false">IF($B1217="","",IFERROR(INDEX(M_name,MATCH($B1217,M_emp,0)),"Code not found"))</f>
        <v/>
      </c>
      <c r="D1217" s="10" t="str">
        <f aca="false">IF($B1217="","",IFERROR(INDEX(M_dept,MATCH($B1217,M_emp,0)),""))</f>
        <v/>
      </c>
      <c r="E1217" s="10" t="str">
        <f aca="false">IF($B1217="","",IFERROR(INDEX(M_loc,MATCH($B1217,M_emp,0)),""))</f>
        <v/>
      </c>
      <c r="F1217" s="33"/>
      <c r="G1217" s="33"/>
      <c r="H1217" s="33"/>
      <c r="I1217" s="33"/>
      <c r="J1217" s="33"/>
      <c r="K1217" s="33"/>
      <c r="L1217" s="33"/>
      <c r="M1217" s="33"/>
      <c r="N1217" s="33"/>
      <c r="O1217" s="33"/>
      <c r="P1217" s="33"/>
      <c r="Q1217" s="33"/>
      <c r="R1217" s="33"/>
      <c r="S1217" s="33"/>
      <c r="T1217" s="33"/>
      <c r="U1217" s="33"/>
      <c r="V1217" s="33"/>
      <c r="W1217" s="33"/>
      <c r="X1217" s="33"/>
      <c r="Y1217" s="33"/>
      <c r="Z1217" s="33"/>
      <c r="AA1217" s="33"/>
      <c r="AB1217" s="33"/>
      <c r="AC1217" s="33"/>
      <c r="AD1217" s="33"/>
      <c r="AE1217" s="33"/>
      <c r="AF1217" s="33"/>
      <c r="AG1217" s="33"/>
      <c r="AH1217" s="33"/>
      <c r="AI1217" s="33"/>
      <c r="AJ1217" s="33"/>
      <c r="AK1217" s="34" t="str">
        <f aca="false">IF($B1217="","",COUNTIF($F1217:$AJ1217,"P"))</f>
        <v/>
      </c>
      <c r="AL1217" s="34" t="str">
        <f aca="false">IF($B1217="","",COUNTIF($F1217:$AJ1217,"A"))</f>
        <v/>
      </c>
      <c r="AM1217" s="34" t="str">
        <f aca="false">IF($B1217="","",COUNTIF($F1217:$AJ1217,"HA"))</f>
        <v/>
      </c>
      <c r="AN1217" s="34" t="str">
        <f aca="false">IF($B1217="","",COUNTIF($F1217:$AJ1217,"L"))</f>
        <v/>
      </c>
      <c r="AO1217" s="34" t="str">
        <f aca="false">IF($B1217="","",COUNTIF($F1217:$AJ1217,"PL"))</f>
        <v/>
      </c>
      <c r="AP1217" s="34" t="str">
        <f aca="false">IF($B1217="","",COUNTIF($F1217:$AJ1217,"CL"))</f>
        <v/>
      </c>
      <c r="AQ1217" s="34" t="str">
        <f aca="false">IF($B1217="","",COUNTIF($F1217:$AJ1217,"SL"))</f>
        <v/>
      </c>
      <c r="AR1217" s="34" t="str">
        <f aca="false">IF($B1217="","",COUNTIF($F1217:$AJ1217,"CO"))</f>
        <v/>
      </c>
      <c r="AS1217" s="34" t="str">
        <f aca="false">IF($B1217="","",COUNTIF($F1217:$AJ1217,"HPL"))</f>
        <v/>
      </c>
      <c r="AT1217" s="34" t="str">
        <f aca="false">IF($B1217="","",COUNTIF($F1217:$AJ1217,"HCL"))</f>
        <v/>
      </c>
      <c r="AU1217" s="34" t="str">
        <f aca="false">IF($B1217="","",COUNTIF($F1217:$AJ1217,"WO"))</f>
        <v/>
      </c>
      <c r="AV1217" s="34" t="str">
        <f aca="false">IF($B1217="","",COUNTIF($F1217:$AJ1217,"PH"))</f>
        <v/>
      </c>
      <c r="AW1217" s="34" t="str">
        <f aca="false">IF($B1217="","",COUNTIF($F1217:$AJ1217,"TR"))</f>
        <v/>
      </c>
      <c r="AX1217" s="35" t="str">
        <f aca="false">IF($B1217="","",AO1217+AS1217/2)</f>
        <v/>
      </c>
      <c r="AY1217" s="35" t="str">
        <f aca="false">IF($B1217="","",AQ1217)</f>
        <v/>
      </c>
      <c r="AZ1217" s="35" t="str">
        <f aca="false">IF($B1217="","",AP1217+AT1217/2)</f>
        <v/>
      </c>
      <c r="BA1217" s="35" t="str">
        <f aca="false">IF($B1217="","",AK1217+AN1217+AM1217/2+AO1217+AP1217+AQ1217+AR1217+AS1217+AT1217+AU1217+AV1217+AW1217)</f>
        <v/>
      </c>
      <c r="BB1217" s="35" t="str">
        <f aca="false">IF($B1217="","",MAX(0,AN1217-Settings!$C$16)*Settings!$C$17)</f>
        <v/>
      </c>
      <c r="BC1217" s="35" t="str">
        <f aca="false">IF($B1217="","",BA1217-BB1217)</f>
        <v/>
      </c>
      <c r="BD1217" s="35" t="str">
        <f aca="false">IF(OR($B1217="",$A1217=""),"",DAY(EOMONTH($A1217,0))-COUNTA($F1217:$AJ1217))</f>
        <v/>
      </c>
    </row>
    <row r="1218" customFormat="false" ht="15" hidden="false" customHeight="false" outlineLevel="0" collapsed="false">
      <c r="A1218" s="32"/>
      <c r="B1218" s="29"/>
      <c r="C1218" s="10" t="str">
        <f aca="false">IF($B1218="","",IFERROR(INDEX(M_name,MATCH($B1218,M_emp,0)),"Code not found"))</f>
        <v/>
      </c>
      <c r="D1218" s="10" t="str">
        <f aca="false">IF($B1218="","",IFERROR(INDEX(M_dept,MATCH($B1218,M_emp,0)),""))</f>
        <v/>
      </c>
      <c r="E1218" s="10" t="str">
        <f aca="false">IF($B1218="","",IFERROR(INDEX(M_loc,MATCH($B1218,M_emp,0)),""))</f>
        <v/>
      </c>
      <c r="F1218" s="33"/>
      <c r="G1218" s="33"/>
      <c r="H1218" s="33"/>
      <c r="I1218" s="33"/>
      <c r="J1218" s="33"/>
      <c r="K1218" s="33"/>
      <c r="L1218" s="33"/>
      <c r="M1218" s="33"/>
      <c r="N1218" s="33"/>
      <c r="O1218" s="33"/>
      <c r="P1218" s="33"/>
      <c r="Q1218" s="33"/>
      <c r="R1218" s="33"/>
      <c r="S1218" s="33"/>
      <c r="T1218" s="33"/>
      <c r="U1218" s="33"/>
      <c r="V1218" s="33"/>
      <c r="W1218" s="33"/>
      <c r="X1218" s="33"/>
      <c r="Y1218" s="33"/>
      <c r="Z1218" s="33"/>
      <c r="AA1218" s="33"/>
      <c r="AB1218" s="33"/>
      <c r="AC1218" s="33"/>
      <c r="AD1218" s="33"/>
      <c r="AE1218" s="33"/>
      <c r="AF1218" s="33"/>
      <c r="AG1218" s="33"/>
      <c r="AH1218" s="33"/>
      <c r="AI1218" s="33"/>
      <c r="AJ1218" s="33"/>
      <c r="AK1218" s="34" t="str">
        <f aca="false">IF($B1218="","",COUNTIF($F1218:$AJ1218,"P"))</f>
        <v/>
      </c>
      <c r="AL1218" s="34" t="str">
        <f aca="false">IF($B1218="","",COUNTIF($F1218:$AJ1218,"A"))</f>
        <v/>
      </c>
      <c r="AM1218" s="34" t="str">
        <f aca="false">IF($B1218="","",COUNTIF($F1218:$AJ1218,"HA"))</f>
        <v/>
      </c>
      <c r="AN1218" s="34" t="str">
        <f aca="false">IF($B1218="","",COUNTIF($F1218:$AJ1218,"L"))</f>
        <v/>
      </c>
      <c r="AO1218" s="34" t="str">
        <f aca="false">IF($B1218="","",COUNTIF($F1218:$AJ1218,"PL"))</f>
        <v/>
      </c>
      <c r="AP1218" s="34" t="str">
        <f aca="false">IF($B1218="","",COUNTIF($F1218:$AJ1218,"CL"))</f>
        <v/>
      </c>
      <c r="AQ1218" s="34" t="str">
        <f aca="false">IF($B1218="","",COUNTIF($F1218:$AJ1218,"SL"))</f>
        <v/>
      </c>
      <c r="AR1218" s="34" t="str">
        <f aca="false">IF($B1218="","",COUNTIF($F1218:$AJ1218,"CO"))</f>
        <v/>
      </c>
      <c r="AS1218" s="34" t="str">
        <f aca="false">IF($B1218="","",COUNTIF($F1218:$AJ1218,"HPL"))</f>
        <v/>
      </c>
      <c r="AT1218" s="34" t="str">
        <f aca="false">IF($B1218="","",COUNTIF($F1218:$AJ1218,"HCL"))</f>
        <v/>
      </c>
      <c r="AU1218" s="34" t="str">
        <f aca="false">IF($B1218="","",COUNTIF($F1218:$AJ1218,"WO"))</f>
        <v/>
      </c>
      <c r="AV1218" s="34" t="str">
        <f aca="false">IF($B1218="","",COUNTIF($F1218:$AJ1218,"PH"))</f>
        <v/>
      </c>
      <c r="AW1218" s="34" t="str">
        <f aca="false">IF($B1218="","",COUNTIF($F1218:$AJ1218,"TR"))</f>
        <v/>
      </c>
      <c r="AX1218" s="35" t="str">
        <f aca="false">IF($B1218="","",AO1218+AS1218/2)</f>
        <v/>
      </c>
      <c r="AY1218" s="35" t="str">
        <f aca="false">IF($B1218="","",AQ1218)</f>
        <v/>
      </c>
      <c r="AZ1218" s="35" t="str">
        <f aca="false">IF($B1218="","",AP1218+AT1218/2)</f>
        <v/>
      </c>
      <c r="BA1218" s="35" t="str">
        <f aca="false">IF($B1218="","",AK1218+AN1218+AM1218/2+AO1218+AP1218+AQ1218+AR1218+AS1218+AT1218+AU1218+AV1218+AW1218)</f>
        <v/>
      </c>
      <c r="BB1218" s="35" t="str">
        <f aca="false">IF($B1218="","",MAX(0,AN1218-Settings!$C$16)*Settings!$C$17)</f>
        <v/>
      </c>
      <c r="BC1218" s="35" t="str">
        <f aca="false">IF($B1218="","",BA1218-BB1218)</f>
        <v/>
      </c>
      <c r="BD1218" s="35" t="str">
        <f aca="false">IF(OR($B1218="",$A1218=""),"",DAY(EOMONTH($A1218,0))-COUNTA($F1218:$AJ1218))</f>
        <v/>
      </c>
    </row>
    <row r="1219" customFormat="false" ht="15" hidden="false" customHeight="false" outlineLevel="0" collapsed="false">
      <c r="A1219" s="32"/>
      <c r="B1219" s="29"/>
      <c r="C1219" s="10" t="str">
        <f aca="false">IF($B1219="","",IFERROR(INDEX(M_name,MATCH($B1219,M_emp,0)),"Code not found"))</f>
        <v/>
      </c>
      <c r="D1219" s="10" t="str">
        <f aca="false">IF($B1219="","",IFERROR(INDEX(M_dept,MATCH($B1219,M_emp,0)),""))</f>
        <v/>
      </c>
      <c r="E1219" s="10" t="str">
        <f aca="false">IF($B1219="","",IFERROR(INDEX(M_loc,MATCH($B1219,M_emp,0)),""))</f>
        <v/>
      </c>
      <c r="F1219" s="33"/>
      <c r="G1219" s="33"/>
      <c r="H1219" s="33"/>
      <c r="I1219" s="33"/>
      <c r="J1219" s="33"/>
      <c r="K1219" s="33"/>
      <c r="L1219" s="33"/>
      <c r="M1219" s="33"/>
      <c r="N1219" s="33"/>
      <c r="O1219" s="33"/>
      <c r="P1219" s="33"/>
      <c r="Q1219" s="33"/>
      <c r="R1219" s="33"/>
      <c r="S1219" s="33"/>
      <c r="T1219" s="33"/>
      <c r="U1219" s="33"/>
      <c r="V1219" s="33"/>
      <c r="W1219" s="33"/>
      <c r="X1219" s="33"/>
      <c r="Y1219" s="33"/>
      <c r="Z1219" s="33"/>
      <c r="AA1219" s="33"/>
      <c r="AB1219" s="33"/>
      <c r="AC1219" s="33"/>
      <c r="AD1219" s="33"/>
      <c r="AE1219" s="33"/>
      <c r="AF1219" s="33"/>
      <c r="AG1219" s="33"/>
      <c r="AH1219" s="33"/>
      <c r="AI1219" s="33"/>
      <c r="AJ1219" s="33"/>
      <c r="AK1219" s="34" t="str">
        <f aca="false">IF($B1219="","",COUNTIF($F1219:$AJ1219,"P"))</f>
        <v/>
      </c>
      <c r="AL1219" s="34" t="str">
        <f aca="false">IF($B1219="","",COUNTIF($F1219:$AJ1219,"A"))</f>
        <v/>
      </c>
      <c r="AM1219" s="34" t="str">
        <f aca="false">IF($B1219="","",COUNTIF($F1219:$AJ1219,"HA"))</f>
        <v/>
      </c>
      <c r="AN1219" s="34" t="str">
        <f aca="false">IF($B1219="","",COUNTIF($F1219:$AJ1219,"L"))</f>
        <v/>
      </c>
      <c r="AO1219" s="34" t="str">
        <f aca="false">IF($B1219="","",COUNTIF($F1219:$AJ1219,"PL"))</f>
        <v/>
      </c>
      <c r="AP1219" s="34" t="str">
        <f aca="false">IF($B1219="","",COUNTIF($F1219:$AJ1219,"CL"))</f>
        <v/>
      </c>
      <c r="AQ1219" s="34" t="str">
        <f aca="false">IF($B1219="","",COUNTIF($F1219:$AJ1219,"SL"))</f>
        <v/>
      </c>
      <c r="AR1219" s="34" t="str">
        <f aca="false">IF($B1219="","",COUNTIF($F1219:$AJ1219,"CO"))</f>
        <v/>
      </c>
      <c r="AS1219" s="34" t="str">
        <f aca="false">IF($B1219="","",COUNTIF($F1219:$AJ1219,"HPL"))</f>
        <v/>
      </c>
      <c r="AT1219" s="34" t="str">
        <f aca="false">IF($B1219="","",COUNTIF($F1219:$AJ1219,"HCL"))</f>
        <v/>
      </c>
      <c r="AU1219" s="34" t="str">
        <f aca="false">IF($B1219="","",COUNTIF($F1219:$AJ1219,"WO"))</f>
        <v/>
      </c>
      <c r="AV1219" s="34" t="str">
        <f aca="false">IF($B1219="","",COUNTIF($F1219:$AJ1219,"PH"))</f>
        <v/>
      </c>
      <c r="AW1219" s="34" t="str">
        <f aca="false">IF($B1219="","",COUNTIF($F1219:$AJ1219,"TR"))</f>
        <v/>
      </c>
      <c r="AX1219" s="35" t="str">
        <f aca="false">IF($B1219="","",AO1219+AS1219/2)</f>
        <v/>
      </c>
      <c r="AY1219" s="35" t="str">
        <f aca="false">IF($B1219="","",AQ1219)</f>
        <v/>
      </c>
      <c r="AZ1219" s="35" t="str">
        <f aca="false">IF($B1219="","",AP1219+AT1219/2)</f>
        <v/>
      </c>
      <c r="BA1219" s="35" t="str">
        <f aca="false">IF($B1219="","",AK1219+AN1219+AM1219/2+AO1219+AP1219+AQ1219+AR1219+AS1219+AT1219+AU1219+AV1219+AW1219)</f>
        <v/>
      </c>
      <c r="BB1219" s="35" t="str">
        <f aca="false">IF($B1219="","",MAX(0,AN1219-Settings!$C$16)*Settings!$C$17)</f>
        <v/>
      </c>
      <c r="BC1219" s="35" t="str">
        <f aca="false">IF($B1219="","",BA1219-BB1219)</f>
        <v/>
      </c>
      <c r="BD1219" s="35" t="str">
        <f aca="false">IF(OR($B1219="",$A1219=""),"",DAY(EOMONTH($A1219,0))-COUNTA($F1219:$AJ1219))</f>
        <v/>
      </c>
    </row>
    <row r="1220" customFormat="false" ht="15" hidden="false" customHeight="false" outlineLevel="0" collapsed="false">
      <c r="A1220" s="32"/>
      <c r="B1220" s="29"/>
      <c r="C1220" s="10" t="str">
        <f aca="false">IF($B1220="","",IFERROR(INDEX(M_name,MATCH($B1220,M_emp,0)),"Code not found"))</f>
        <v/>
      </c>
      <c r="D1220" s="10" t="str">
        <f aca="false">IF($B1220="","",IFERROR(INDEX(M_dept,MATCH($B1220,M_emp,0)),""))</f>
        <v/>
      </c>
      <c r="E1220" s="10" t="str">
        <f aca="false">IF($B1220="","",IFERROR(INDEX(M_loc,MATCH($B1220,M_emp,0)),""))</f>
        <v/>
      </c>
      <c r="F1220" s="33"/>
      <c r="G1220" s="33"/>
      <c r="H1220" s="33"/>
      <c r="I1220" s="33"/>
      <c r="J1220" s="33"/>
      <c r="K1220" s="33"/>
      <c r="L1220" s="33"/>
      <c r="M1220" s="33"/>
      <c r="N1220" s="33"/>
      <c r="O1220" s="33"/>
      <c r="P1220" s="33"/>
      <c r="Q1220" s="33"/>
      <c r="R1220" s="33"/>
      <c r="S1220" s="33"/>
      <c r="T1220" s="33"/>
      <c r="U1220" s="33"/>
      <c r="V1220" s="33"/>
      <c r="W1220" s="33"/>
      <c r="X1220" s="33"/>
      <c r="Y1220" s="33"/>
      <c r="Z1220" s="33"/>
      <c r="AA1220" s="33"/>
      <c r="AB1220" s="33"/>
      <c r="AC1220" s="33"/>
      <c r="AD1220" s="33"/>
      <c r="AE1220" s="33"/>
      <c r="AF1220" s="33"/>
      <c r="AG1220" s="33"/>
      <c r="AH1220" s="33"/>
      <c r="AI1220" s="33"/>
      <c r="AJ1220" s="33"/>
      <c r="AK1220" s="34" t="str">
        <f aca="false">IF($B1220="","",COUNTIF($F1220:$AJ1220,"P"))</f>
        <v/>
      </c>
      <c r="AL1220" s="34" t="str">
        <f aca="false">IF($B1220="","",COUNTIF($F1220:$AJ1220,"A"))</f>
        <v/>
      </c>
      <c r="AM1220" s="34" t="str">
        <f aca="false">IF($B1220="","",COUNTIF($F1220:$AJ1220,"HA"))</f>
        <v/>
      </c>
      <c r="AN1220" s="34" t="str">
        <f aca="false">IF($B1220="","",COUNTIF($F1220:$AJ1220,"L"))</f>
        <v/>
      </c>
      <c r="AO1220" s="34" t="str">
        <f aca="false">IF($B1220="","",COUNTIF($F1220:$AJ1220,"PL"))</f>
        <v/>
      </c>
      <c r="AP1220" s="34" t="str">
        <f aca="false">IF($B1220="","",COUNTIF($F1220:$AJ1220,"CL"))</f>
        <v/>
      </c>
      <c r="AQ1220" s="34" t="str">
        <f aca="false">IF($B1220="","",COUNTIF($F1220:$AJ1220,"SL"))</f>
        <v/>
      </c>
      <c r="AR1220" s="34" t="str">
        <f aca="false">IF($B1220="","",COUNTIF($F1220:$AJ1220,"CO"))</f>
        <v/>
      </c>
      <c r="AS1220" s="34" t="str">
        <f aca="false">IF($B1220="","",COUNTIF($F1220:$AJ1220,"HPL"))</f>
        <v/>
      </c>
      <c r="AT1220" s="34" t="str">
        <f aca="false">IF($B1220="","",COUNTIF($F1220:$AJ1220,"HCL"))</f>
        <v/>
      </c>
      <c r="AU1220" s="34" t="str">
        <f aca="false">IF($B1220="","",COUNTIF($F1220:$AJ1220,"WO"))</f>
        <v/>
      </c>
      <c r="AV1220" s="34" t="str">
        <f aca="false">IF($B1220="","",COUNTIF($F1220:$AJ1220,"PH"))</f>
        <v/>
      </c>
      <c r="AW1220" s="34" t="str">
        <f aca="false">IF($B1220="","",COUNTIF($F1220:$AJ1220,"TR"))</f>
        <v/>
      </c>
      <c r="AX1220" s="35" t="str">
        <f aca="false">IF($B1220="","",AO1220+AS1220/2)</f>
        <v/>
      </c>
      <c r="AY1220" s="35" t="str">
        <f aca="false">IF($B1220="","",AQ1220)</f>
        <v/>
      </c>
      <c r="AZ1220" s="35" t="str">
        <f aca="false">IF($B1220="","",AP1220+AT1220/2)</f>
        <v/>
      </c>
      <c r="BA1220" s="35" t="str">
        <f aca="false">IF($B1220="","",AK1220+AN1220+AM1220/2+AO1220+AP1220+AQ1220+AR1220+AS1220+AT1220+AU1220+AV1220+AW1220)</f>
        <v/>
      </c>
      <c r="BB1220" s="35" t="str">
        <f aca="false">IF($B1220="","",MAX(0,AN1220-Settings!$C$16)*Settings!$C$17)</f>
        <v/>
      </c>
      <c r="BC1220" s="35" t="str">
        <f aca="false">IF($B1220="","",BA1220-BB1220)</f>
        <v/>
      </c>
      <c r="BD1220" s="35" t="str">
        <f aca="false">IF(OR($B1220="",$A1220=""),"",DAY(EOMONTH($A1220,0))-COUNTA($F1220:$AJ1220))</f>
        <v/>
      </c>
    </row>
    <row r="1221" customFormat="false" ht="15" hidden="false" customHeight="false" outlineLevel="0" collapsed="false">
      <c r="A1221" s="32"/>
      <c r="B1221" s="29"/>
      <c r="C1221" s="10" t="str">
        <f aca="false">IF($B1221="","",IFERROR(INDEX(M_name,MATCH($B1221,M_emp,0)),"Code not found"))</f>
        <v/>
      </c>
      <c r="D1221" s="10" t="str">
        <f aca="false">IF($B1221="","",IFERROR(INDEX(M_dept,MATCH($B1221,M_emp,0)),""))</f>
        <v/>
      </c>
      <c r="E1221" s="10" t="str">
        <f aca="false">IF($B1221="","",IFERROR(INDEX(M_loc,MATCH($B1221,M_emp,0)),""))</f>
        <v/>
      </c>
      <c r="F1221" s="33"/>
      <c r="G1221" s="33"/>
      <c r="H1221" s="33"/>
      <c r="I1221" s="33"/>
      <c r="J1221" s="33"/>
      <c r="K1221" s="33"/>
      <c r="L1221" s="33"/>
      <c r="M1221" s="33"/>
      <c r="N1221" s="33"/>
      <c r="O1221" s="33"/>
      <c r="P1221" s="33"/>
      <c r="Q1221" s="33"/>
      <c r="R1221" s="33"/>
      <c r="S1221" s="33"/>
      <c r="T1221" s="33"/>
      <c r="U1221" s="33"/>
      <c r="V1221" s="33"/>
      <c r="W1221" s="33"/>
      <c r="X1221" s="33"/>
      <c r="Y1221" s="33"/>
      <c r="Z1221" s="33"/>
      <c r="AA1221" s="33"/>
      <c r="AB1221" s="33"/>
      <c r="AC1221" s="33"/>
      <c r="AD1221" s="33"/>
      <c r="AE1221" s="33"/>
      <c r="AF1221" s="33"/>
      <c r="AG1221" s="33"/>
      <c r="AH1221" s="33"/>
      <c r="AI1221" s="33"/>
      <c r="AJ1221" s="33"/>
      <c r="AK1221" s="34" t="str">
        <f aca="false">IF($B1221="","",COUNTIF($F1221:$AJ1221,"P"))</f>
        <v/>
      </c>
      <c r="AL1221" s="34" t="str">
        <f aca="false">IF($B1221="","",COUNTIF($F1221:$AJ1221,"A"))</f>
        <v/>
      </c>
      <c r="AM1221" s="34" t="str">
        <f aca="false">IF($B1221="","",COUNTIF($F1221:$AJ1221,"HA"))</f>
        <v/>
      </c>
      <c r="AN1221" s="34" t="str">
        <f aca="false">IF($B1221="","",COUNTIF($F1221:$AJ1221,"L"))</f>
        <v/>
      </c>
      <c r="AO1221" s="34" t="str">
        <f aca="false">IF($B1221="","",COUNTIF($F1221:$AJ1221,"PL"))</f>
        <v/>
      </c>
      <c r="AP1221" s="34" t="str">
        <f aca="false">IF($B1221="","",COUNTIF($F1221:$AJ1221,"CL"))</f>
        <v/>
      </c>
      <c r="AQ1221" s="34" t="str">
        <f aca="false">IF($B1221="","",COUNTIF($F1221:$AJ1221,"SL"))</f>
        <v/>
      </c>
      <c r="AR1221" s="34" t="str">
        <f aca="false">IF($B1221="","",COUNTIF($F1221:$AJ1221,"CO"))</f>
        <v/>
      </c>
      <c r="AS1221" s="34" t="str">
        <f aca="false">IF($B1221="","",COUNTIF($F1221:$AJ1221,"HPL"))</f>
        <v/>
      </c>
      <c r="AT1221" s="34" t="str">
        <f aca="false">IF($B1221="","",COUNTIF($F1221:$AJ1221,"HCL"))</f>
        <v/>
      </c>
      <c r="AU1221" s="34" t="str">
        <f aca="false">IF($B1221="","",COUNTIF($F1221:$AJ1221,"WO"))</f>
        <v/>
      </c>
      <c r="AV1221" s="34" t="str">
        <f aca="false">IF($B1221="","",COUNTIF($F1221:$AJ1221,"PH"))</f>
        <v/>
      </c>
      <c r="AW1221" s="34" t="str">
        <f aca="false">IF($B1221="","",COUNTIF($F1221:$AJ1221,"TR"))</f>
        <v/>
      </c>
      <c r="AX1221" s="35" t="str">
        <f aca="false">IF($B1221="","",AO1221+AS1221/2)</f>
        <v/>
      </c>
      <c r="AY1221" s="35" t="str">
        <f aca="false">IF($B1221="","",AQ1221)</f>
        <v/>
      </c>
      <c r="AZ1221" s="35" t="str">
        <f aca="false">IF($B1221="","",AP1221+AT1221/2)</f>
        <v/>
      </c>
      <c r="BA1221" s="35" t="str">
        <f aca="false">IF($B1221="","",AK1221+AN1221+AM1221/2+AO1221+AP1221+AQ1221+AR1221+AS1221+AT1221+AU1221+AV1221+AW1221)</f>
        <v/>
      </c>
      <c r="BB1221" s="35" t="str">
        <f aca="false">IF($B1221="","",MAX(0,AN1221-Settings!$C$16)*Settings!$C$17)</f>
        <v/>
      </c>
      <c r="BC1221" s="35" t="str">
        <f aca="false">IF($B1221="","",BA1221-BB1221)</f>
        <v/>
      </c>
      <c r="BD1221" s="35" t="str">
        <f aca="false">IF(OR($B1221="",$A1221=""),"",DAY(EOMONTH($A1221,0))-COUNTA($F1221:$AJ1221))</f>
        <v/>
      </c>
    </row>
    <row r="1222" customFormat="false" ht="15" hidden="false" customHeight="false" outlineLevel="0" collapsed="false">
      <c r="A1222" s="32"/>
      <c r="B1222" s="29"/>
      <c r="C1222" s="10" t="str">
        <f aca="false">IF($B1222="","",IFERROR(INDEX(M_name,MATCH($B1222,M_emp,0)),"Code not found"))</f>
        <v/>
      </c>
      <c r="D1222" s="10" t="str">
        <f aca="false">IF($B1222="","",IFERROR(INDEX(M_dept,MATCH($B1222,M_emp,0)),""))</f>
        <v/>
      </c>
      <c r="E1222" s="10" t="str">
        <f aca="false">IF($B1222="","",IFERROR(INDEX(M_loc,MATCH($B1222,M_emp,0)),""))</f>
        <v/>
      </c>
      <c r="F1222" s="33"/>
      <c r="G1222" s="33"/>
      <c r="H1222" s="33"/>
      <c r="I1222" s="33"/>
      <c r="J1222" s="33"/>
      <c r="K1222" s="33"/>
      <c r="L1222" s="33"/>
      <c r="M1222" s="33"/>
      <c r="N1222" s="33"/>
      <c r="O1222" s="33"/>
      <c r="P1222" s="33"/>
      <c r="Q1222" s="33"/>
      <c r="R1222" s="33"/>
      <c r="S1222" s="33"/>
      <c r="T1222" s="33"/>
      <c r="U1222" s="33"/>
      <c r="V1222" s="33"/>
      <c r="W1222" s="33"/>
      <c r="X1222" s="33"/>
      <c r="Y1222" s="33"/>
      <c r="Z1222" s="33"/>
      <c r="AA1222" s="33"/>
      <c r="AB1222" s="33"/>
      <c r="AC1222" s="33"/>
      <c r="AD1222" s="33"/>
      <c r="AE1222" s="33"/>
      <c r="AF1222" s="33"/>
      <c r="AG1222" s="33"/>
      <c r="AH1222" s="33"/>
      <c r="AI1222" s="33"/>
      <c r="AJ1222" s="33"/>
      <c r="AK1222" s="34" t="str">
        <f aca="false">IF($B1222="","",COUNTIF($F1222:$AJ1222,"P"))</f>
        <v/>
      </c>
      <c r="AL1222" s="34" t="str">
        <f aca="false">IF($B1222="","",COUNTIF($F1222:$AJ1222,"A"))</f>
        <v/>
      </c>
      <c r="AM1222" s="34" t="str">
        <f aca="false">IF($B1222="","",COUNTIF($F1222:$AJ1222,"HA"))</f>
        <v/>
      </c>
      <c r="AN1222" s="34" t="str">
        <f aca="false">IF($B1222="","",COUNTIF($F1222:$AJ1222,"L"))</f>
        <v/>
      </c>
      <c r="AO1222" s="34" t="str">
        <f aca="false">IF($B1222="","",COUNTIF($F1222:$AJ1222,"PL"))</f>
        <v/>
      </c>
      <c r="AP1222" s="34" t="str">
        <f aca="false">IF($B1222="","",COUNTIF($F1222:$AJ1222,"CL"))</f>
        <v/>
      </c>
      <c r="AQ1222" s="34" t="str">
        <f aca="false">IF($B1222="","",COUNTIF($F1222:$AJ1222,"SL"))</f>
        <v/>
      </c>
      <c r="AR1222" s="34" t="str">
        <f aca="false">IF($B1222="","",COUNTIF($F1222:$AJ1222,"CO"))</f>
        <v/>
      </c>
      <c r="AS1222" s="34" t="str">
        <f aca="false">IF($B1222="","",COUNTIF($F1222:$AJ1222,"HPL"))</f>
        <v/>
      </c>
      <c r="AT1222" s="34" t="str">
        <f aca="false">IF($B1222="","",COUNTIF($F1222:$AJ1222,"HCL"))</f>
        <v/>
      </c>
      <c r="AU1222" s="34" t="str">
        <f aca="false">IF($B1222="","",COUNTIF($F1222:$AJ1222,"WO"))</f>
        <v/>
      </c>
      <c r="AV1222" s="34" t="str">
        <f aca="false">IF($B1222="","",COUNTIF($F1222:$AJ1222,"PH"))</f>
        <v/>
      </c>
      <c r="AW1222" s="34" t="str">
        <f aca="false">IF($B1222="","",COUNTIF($F1222:$AJ1222,"TR"))</f>
        <v/>
      </c>
      <c r="AX1222" s="35" t="str">
        <f aca="false">IF($B1222="","",AO1222+AS1222/2)</f>
        <v/>
      </c>
      <c r="AY1222" s="35" t="str">
        <f aca="false">IF($B1222="","",AQ1222)</f>
        <v/>
      </c>
      <c r="AZ1222" s="35" t="str">
        <f aca="false">IF($B1222="","",AP1222+AT1222/2)</f>
        <v/>
      </c>
      <c r="BA1222" s="35" t="str">
        <f aca="false">IF($B1222="","",AK1222+AN1222+AM1222/2+AO1222+AP1222+AQ1222+AR1222+AS1222+AT1222+AU1222+AV1222+AW1222)</f>
        <v/>
      </c>
      <c r="BB1222" s="35" t="str">
        <f aca="false">IF($B1222="","",MAX(0,AN1222-Settings!$C$16)*Settings!$C$17)</f>
        <v/>
      </c>
      <c r="BC1222" s="35" t="str">
        <f aca="false">IF($B1222="","",BA1222-BB1222)</f>
        <v/>
      </c>
      <c r="BD1222" s="35" t="str">
        <f aca="false">IF(OR($B1222="",$A1222=""),"",DAY(EOMONTH($A1222,0))-COUNTA($F1222:$AJ1222))</f>
        <v/>
      </c>
    </row>
    <row r="1223" customFormat="false" ht="15" hidden="false" customHeight="false" outlineLevel="0" collapsed="false">
      <c r="A1223" s="32"/>
      <c r="B1223" s="29"/>
      <c r="C1223" s="10" t="str">
        <f aca="false">IF($B1223="","",IFERROR(INDEX(M_name,MATCH($B1223,M_emp,0)),"Code not found"))</f>
        <v/>
      </c>
      <c r="D1223" s="10" t="str">
        <f aca="false">IF($B1223="","",IFERROR(INDEX(M_dept,MATCH($B1223,M_emp,0)),""))</f>
        <v/>
      </c>
      <c r="E1223" s="10" t="str">
        <f aca="false">IF($B1223="","",IFERROR(INDEX(M_loc,MATCH($B1223,M_emp,0)),""))</f>
        <v/>
      </c>
      <c r="F1223" s="33"/>
      <c r="G1223" s="33"/>
      <c r="H1223" s="33"/>
      <c r="I1223" s="33"/>
      <c r="J1223" s="33"/>
      <c r="K1223" s="33"/>
      <c r="L1223" s="33"/>
      <c r="M1223" s="33"/>
      <c r="N1223" s="33"/>
      <c r="O1223" s="33"/>
      <c r="P1223" s="33"/>
      <c r="Q1223" s="33"/>
      <c r="R1223" s="33"/>
      <c r="S1223" s="33"/>
      <c r="T1223" s="33"/>
      <c r="U1223" s="33"/>
      <c r="V1223" s="33"/>
      <c r="W1223" s="33"/>
      <c r="X1223" s="33"/>
      <c r="Y1223" s="33"/>
      <c r="Z1223" s="33"/>
      <c r="AA1223" s="33"/>
      <c r="AB1223" s="33"/>
      <c r="AC1223" s="33"/>
      <c r="AD1223" s="33"/>
      <c r="AE1223" s="33"/>
      <c r="AF1223" s="33"/>
      <c r="AG1223" s="33"/>
      <c r="AH1223" s="33"/>
      <c r="AI1223" s="33"/>
      <c r="AJ1223" s="33"/>
      <c r="AK1223" s="34" t="str">
        <f aca="false">IF($B1223="","",COUNTIF($F1223:$AJ1223,"P"))</f>
        <v/>
      </c>
      <c r="AL1223" s="34" t="str">
        <f aca="false">IF($B1223="","",COUNTIF($F1223:$AJ1223,"A"))</f>
        <v/>
      </c>
      <c r="AM1223" s="34" t="str">
        <f aca="false">IF($B1223="","",COUNTIF($F1223:$AJ1223,"HA"))</f>
        <v/>
      </c>
      <c r="AN1223" s="34" t="str">
        <f aca="false">IF($B1223="","",COUNTIF($F1223:$AJ1223,"L"))</f>
        <v/>
      </c>
      <c r="AO1223" s="34" t="str">
        <f aca="false">IF($B1223="","",COUNTIF($F1223:$AJ1223,"PL"))</f>
        <v/>
      </c>
      <c r="AP1223" s="34" t="str">
        <f aca="false">IF($B1223="","",COUNTIF($F1223:$AJ1223,"CL"))</f>
        <v/>
      </c>
      <c r="AQ1223" s="34" t="str">
        <f aca="false">IF($B1223="","",COUNTIF($F1223:$AJ1223,"SL"))</f>
        <v/>
      </c>
      <c r="AR1223" s="34" t="str">
        <f aca="false">IF($B1223="","",COUNTIF($F1223:$AJ1223,"CO"))</f>
        <v/>
      </c>
      <c r="AS1223" s="34" t="str">
        <f aca="false">IF($B1223="","",COUNTIF($F1223:$AJ1223,"HPL"))</f>
        <v/>
      </c>
      <c r="AT1223" s="34" t="str">
        <f aca="false">IF($B1223="","",COUNTIF($F1223:$AJ1223,"HCL"))</f>
        <v/>
      </c>
      <c r="AU1223" s="34" t="str">
        <f aca="false">IF($B1223="","",COUNTIF($F1223:$AJ1223,"WO"))</f>
        <v/>
      </c>
      <c r="AV1223" s="34" t="str">
        <f aca="false">IF($B1223="","",COUNTIF($F1223:$AJ1223,"PH"))</f>
        <v/>
      </c>
      <c r="AW1223" s="34" t="str">
        <f aca="false">IF($B1223="","",COUNTIF($F1223:$AJ1223,"TR"))</f>
        <v/>
      </c>
      <c r="AX1223" s="35" t="str">
        <f aca="false">IF($B1223="","",AO1223+AS1223/2)</f>
        <v/>
      </c>
      <c r="AY1223" s="35" t="str">
        <f aca="false">IF($B1223="","",AQ1223)</f>
        <v/>
      </c>
      <c r="AZ1223" s="35" t="str">
        <f aca="false">IF($B1223="","",AP1223+AT1223/2)</f>
        <v/>
      </c>
      <c r="BA1223" s="35" t="str">
        <f aca="false">IF($B1223="","",AK1223+AN1223+AM1223/2+AO1223+AP1223+AQ1223+AR1223+AS1223+AT1223+AU1223+AV1223+AW1223)</f>
        <v/>
      </c>
      <c r="BB1223" s="35" t="str">
        <f aca="false">IF($B1223="","",MAX(0,AN1223-Settings!$C$16)*Settings!$C$17)</f>
        <v/>
      </c>
      <c r="BC1223" s="35" t="str">
        <f aca="false">IF($B1223="","",BA1223-BB1223)</f>
        <v/>
      </c>
      <c r="BD1223" s="35" t="str">
        <f aca="false">IF(OR($B1223="",$A1223=""),"",DAY(EOMONTH($A1223,0))-COUNTA($F1223:$AJ1223))</f>
        <v/>
      </c>
    </row>
    <row r="1224" customFormat="false" ht="15" hidden="false" customHeight="false" outlineLevel="0" collapsed="false">
      <c r="A1224" s="32"/>
      <c r="B1224" s="29"/>
      <c r="C1224" s="10" t="str">
        <f aca="false">IF($B1224="","",IFERROR(INDEX(M_name,MATCH($B1224,M_emp,0)),"Code not found"))</f>
        <v/>
      </c>
      <c r="D1224" s="10" t="str">
        <f aca="false">IF($B1224="","",IFERROR(INDEX(M_dept,MATCH($B1224,M_emp,0)),""))</f>
        <v/>
      </c>
      <c r="E1224" s="10" t="str">
        <f aca="false">IF($B1224="","",IFERROR(INDEX(M_loc,MATCH($B1224,M_emp,0)),""))</f>
        <v/>
      </c>
      <c r="F1224" s="33"/>
      <c r="G1224" s="33"/>
      <c r="H1224" s="33"/>
      <c r="I1224" s="33"/>
      <c r="J1224" s="33"/>
      <c r="K1224" s="33"/>
      <c r="L1224" s="33"/>
      <c r="M1224" s="33"/>
      <c r="N1224" s="33"/>
      <c r="O1224" s="33"/>
      <c r="P1224" s="33"/>
      <c r="Q1224" s="33"/>
      <c r="R1224" s="33"/>
      <c r="S1224" s="33"/>
      <c r="T1224" s="33"/>
      <c r="U1224" s="33"/>
      <c r="V1224" s="33"/>
      <c r="W1224" s="33"/>
      <c r="X1224" s="33"/>
      <c r="Y1224" s="33"/>
      <c r="Z1224" s="33"/>
      <c r="AA1224" s="33"/>
      <c r="AB1224" s="33"/>
      <c r="AC1224" s="33"/>
      <c r="AD1224" s="33"/>
      <c r="AE1224" s="33"/>
      <c r="AF1224" s="33"/>
      <c r="AG1224" s="33"/>
      <c r="AH1224" s="33"/>
      <c r="AI1224" s="33"/>
      <c r="AJ1224" s="33"/>
      <c r="AK1224" s="34" t="str">
        <f aca="false">IF($B1224="","",COUNTIF($F1224:$AJ1224,"P"))</f>
        <v/>
      </c>
      <c r="AL1224" s="34" t="str">
        <f aca="false">IF($B1224="","",COUNTIF($F1224:$AJ1224,"A"))</f>
        <v/>
      </c>
      <c r="AM1224" s="34" t="str">
        <f aca="false">IF($B1224="","",COUNTIF($F1224:$AJ1224,"HA"))</f>
        <v/>
      </c>
      <c r="AN1224" s="34" t="str">
        <f aca="false">IF($B1224="","",COUNTIF($F1224:$AJ1224,"L"))</f>
        <v/>
      </c>
      <c r="AO1224" s="34" t="str">
        <f aca="false">IF($B1224="","",COUNTIF($F1224:$AJ1224,"PL"))</f>
        <v/>
      </c>
      <c r="AP1224" s="34" t="str">
        <f aca="false">IF($B1224="","",COUNTIF($F1224:$AJ1224,"CL"))</f>
        <v/>
      </c>
      <c r="AQ1224" s="34" t="str">
        <f aca="false">IF($B1224="","",COUNTIF($F1224:$AJ1224,"SL"))</f>
        <v/>
      </c>
      <c r="AR1224" s="34" t="str">
        <f aca="false">IF($B1224="","",COUNTIF($F1224:$AJ1224,"CO"))</f>
        <v/>
      </c>
      <c r="AS1224" s="34" t="str">
        <f aca="false">IF($B1224="","",COUNTIF($F1224:$AJ1224,"HPL"))</f>
        <v/>
      </c>
      <c r="AT1224" s="34" t="str">
        <f aca="false">IF($B1224="","",COUNTIF($F1224:$AJ1224,"HCL"))</f>
        <v/>
      </c>
      <c r="AU1224" s="34" t="str">
        <f aca="false">IF($B1224="","",COUNTIF($F1224:$AJ1224,"WO"))</f>
        <v/>
      </c>
      <c r="AV1224" s="34" t="str">
        <f aca="false">IF($B1224="","",COUNTIF($F1224:$AJ1224,"PH"))</f>
        <v/>
      </c>
      <c r="AW1224" s="34" t="str">
        <f aca="false">IF($B1224="","",COUNTIF($F1224:$AJ1224,"TR"))</f>
        <v/>
      </c>
      <c r="AX1224" s="35" t="str">
        <f aca="false">IF($B1224="","",AO1224+AS1224/2)</f>
        <v/>
      </c>
      <c r="AY1224" s="35" t="str">
        <f aca="false">IF($B1224="","",AQ1224)</f>
        <v/>
      </c>
      <c r="AZ1224" s="35" t="str">
        <f aca="false">IF($B1224="","",AP1224+AT1224/2)</f>
        <v/>
      </c>
      <c r="BA1224" s="35" t="str">
        <f aca="false">IF($B1224="","",AK1224+AN1224+AM1224/2+AO1224+AP1224+AQ1224+AR1224+AS1224+AT1224+AU1224+AV1224+AW1224)</f>
        <v/>
      </c>
      <c r="BB1224" s="35" t="str">
        <f aca="false">IF($B1224="","",MAX(0,AN1224-Settings!$C$16)*Settings!$C$17)</f>
        <v/>
      </c>
      <c r="BC1224" s="35" t="str">
        <f aca="false">IF($B1224="","",BA1224-BB1224)</f>
        <v/>
      </c>
      <c r="BD1224" s="35" t="str">
        <f aca="false">IF(OR($B1224="",$A1224=""),"",DAY(EOMONTH($A1224,0))-COUNTA($F1224:$AJ1224))</f>
        <v/>
      </c>
    </row>
    <row r="1225" customFormat="false" ht="15" hidden="false" customHeight="false" outlineLevel="0" collapsed="false">
      <c r="A1225" s="32"/>
      <c r="B1225" s="29"/>
      <c r="C1225" s="10" t="str">
        <f aca="false">IF($B1225="","",IFERROR(INDEX(M_name,MATCH($B1225,M_emp,0)),"Code not found"))</f>
        <v/>
      </c>
      <c r="D1225" s="10" t="str">
        <f aca="false">IF($B1225="","",IFERROR(INDEX(M_dept,MATCH($B1225,M_emp,0)),""))</f>
        <v/>
      </c>
      <c r="E1225" s="10" t="str">
        <f aca="false">IF($B1225="","",IFERROR(INDEX(M_loc,MATCH($B1225,M_emp,0)),""))</f>
        <v/>
      </c>
      <c r="F1225" s="33"/>
      <c r="G1225" s="33"/>
      <c r="H1225" s="33"/>
      <c r="I1225" s="33"/>
      <c r="J1225" s="33"/>
      <c r="K1225" s="33"/>
      <c r="L1225" s="33"/>
      <c r="M1225" s="33"/>
      <c r="N1225" s="33"/>
      <c r="O1225" s="33"/>
      <c r="P1225" s="33"/>
      <c r="Q1225" s="33"/>
      <c r="R1225" s="33"/>
      <c r="S1225" s="33"/>
      <c r="T1225" s="33"/>
      <c r="U1225" s="33"/>
      <c r="V1225" s="33"/>
      <c r="W1225" s="33"/>
      <c r="X1225" s="33"/>
      <c r="Y1225" s="33"/>
      <c r="Z1225" s="33"/>
      <c r="AA1225" s="33"/>
      <c r="AB1225" s="33"/>
      <c r="AC1225" s="33"/>
      <c r="AD1225" s="33"/>
      <c r="AE1225" s="33"/>
      <c r="AF1225" s="33"/>
      <c r="AG1225" s="33"/>
      <c r="AH1225" s="33"/>
      <c r="AI1225" s="33"/>
      <c r="AJ1225" s="33"/>
      <c r="AK1225" s="34" t="str">
        <f aca="false">IF($B1225="","",COUNTIF($F1225:$AJ1225,"P"))</f>
        <v/>
      </c>
      <c r="AL1225" s="34" t="str">
        <f aca="false">IF($B1225="","",COUNTIF($F1225:$AJ1225,"A"))</f>
        <v/>
      </c>
      <c r="AM1225" s="34" t="str">
        <f aca="false">IF($B1225="","",COUNTIF($F1225:$AJ1225,"HA"))</f>
        <v/>
      </c>
      <c r="AN1225" s="34" t="str">
        <f aca="false">IF($B1225="","",COUNTIF($F1225:$AJ1225,"L"))</f>
        <v/>
      </c>
      <c r="AO1225" s="34" t="str">
        <f aca="false">IF($B1225="","",COUNTIF($F1225:$AJ1225,"PL"))</f>
        <v/>
      </c>
      <c r="AP1225" s="34" t="str">
        <f aca="false">IF($B1225="","",COUNTIF($F1225:$AJ1225,"CL"))</f>
        <v/>
      </c>
      <c r="AQ1225" s="34" t="str">
        <f aca="false">IF($B1225="","",COUNTIF($F1225:$AJ1225,"SL"))</f>
        <v/>
      </c>
      <c r="AR1225" s="34" t="str">
        <f aca="false">IF($B1225="","",COUNTIF($F1225:$AJ1225,"CO"))</f>
        <v/>
      </c>
      <c r="AS1225" s="34" t="str">
        <f aca="false">IF($B1225="","",COUNTIF($F1225:$AJ1225,"HPL"))</f>
        <v/>
      </c>
      <c r="AT1225" s="34" t="str">
        <f aca="false">IF($B1225="","",COUNTIF($F1225:$AJ1225,"HCL"))</f>
        <v/>
      </c>
      <c r="AU1225" s="34" t="str">
        <f aca="false">IF($B1225="","",COUNTIF($F1225:$AJ1225,"WO"))</f>
        <v/>
      </c>
      <c r="AV1225" s="34" t="str">
        <f aca="false">IF($B1225="","",COUNTIF($F1225:$AJ1225,"PH"))</f>
        <v/>
      </c>
      <c r="AW1225" s="34" t="str">
        <f aca="false">IF($B1225="","",COUNTIF($F1225:$AJ1225,"TR"))</f>
        <v/>
      </c>
      <c r="AX1225" s="35" t="str">
        <f aca="false">IF($B1225="","",AO1225+AS1225/2)</f>
        <v/>
      </c>
      <c r="AY1225" s="35" t="str">
        <f aca="false">IF($B1225="","",AQ1225)</f>
        <v/>
      </c>
      <c r="AZ1225" s="35" t="str">
        <f aca="false">IF($B1225="","",AP1225+AT1225/2)</f>
        <v/>
      </c>
      <c r="BA1225" s="35" t="str">
        <f aca="false">IF($B1225="","",AK1225+AN1225+AM1225/2+AO1225+AP1225+AQ1225+AR1225+AS1225+AT1225+AU1225+AV1225+AW1225)</f>
        <v/>
      </c>
      <c r="BB1225" s="35" t="str">
        <f aca="false">IF($B1225="","",MAX(0,AN1225-Settings!$C$16)*Settings!$C$17)</f>
        <v/>
      </c>
      <c r="BC1225" s="35" t="str">
        <f aca="false">IF($B1225="","",BA1225-BB1225)</f>
        <v/>
      </c>
      <c r="BD1225" s="35" t="str">
        <f aca="false">IF(OR($B1225="",$A1225=""),"",DAY(EOMONTH($A1225,0))-COUNTA($F1225:$AJ1225))</f>
        <v/>
      </c>
    </row>
    <row r="1226" customFormat="false" ht="15" hidden="false" customHeight="false" outlineLevel="0" collapsed="false">
      <c r="A1226" s="32"/>
      <c r="B1226" s="29"/>
      <c r="C1226" s="10" t="str">
        <f aca="false">IF($B1226="","",IFERROR(INDEX(M_name,MATCH($B1226,M_emp,0)),"Code not found"))</f>
        <v/>
      </c>
      <c r="D1226" s="10" t="str">
        <f aca="false">IF($B1226="","",IFERROR(INDEX(M_dept,MATCH($B1226,M_emp,0)),""))</f>
        <v/>
      </c>
      <c r="E1226" s="10" t="str">
        <f aca="false">IF($B1226="","",IFERROR(INDEX(M_loc,MATCH($B1226,M_emp,0)),""))</f>
        <v/>
      </c>
      <c r="F1226" s="33"/>
      <c r="G1226" s="33"/>
      <c r="H1226" s="33"/>
      <c r="I1226" s="33"/>
      <c r="J1226" s="33"/>
      <c r="K1226" s="33"/>
      <c r="L1226" s="33"/>
      <c r="M1226" s="33"/>
      <c r="N1226" s="33"/>
      <c r="O1226" s="33"/>
      <c r="P1226" s="33"/>
      <c r="Q1226" s="33"/>
      <c r="R1226" s="33"/>
      <c r="S1226" s="33"/>
      <c r="T1226" s="33"/>
      <c r="U1226" s="33"/>
      <c r="V1226" s="33"/>
      <c r="W1226" s="33"/>
      <c r="X1226" s="33"/>
      <c r="Y1226" s="33"/>
      <c r="Z1226" s="33"/>
      <c r="AA1226" s="33"/>
      <c r="AB1226" s="33"/>
      <c r="AC1226" s="33"/>
      <c r="AD1226" s="33"/>
      <c r="AE1226" s="33"/>
      <c r="AF1226" s="33"/>
      <c r="AG1226" s="33"/>
      <c r="AH1226" s="33"/>
      <c r="AI1226" s="33"/>
      <c r="AJ1226" s="33"/>
      <c r="AK1226" s="34" t="str">
        <f aca="false">IF($B1226="","",COUNTIF($F1226:$AJ1226,"P"))</f>
        <v/>
      </c>
      <c r="AL1226" s="34" t="str">
        <f aca="false">IF($B1226="","",COUNTIF($F1226:$AJ1226,"A"))</f>
        <v/>
      </c>
      <c r="AM1226" s="34" t="str">
        <f aca="false">IF($B1226="","",COUNTIF($F1226:$AJ1226,"HA"))</f>
        <v/>
      </c>
      <c r="AN1226" s="34" t="str">
        <f aca="false">IF($B1226="","",COUNTIF($F1226:$AJ1226,"L"))</f>
        <v/>
      </c>
      <c r="AO1226" s="34" t="str">
        <f aca="false">IF($B1226="","",COUNTIF($F1226:$AJ1226,"PL"))</f>
        <v/>
      </c>
      <c r="AP1226" s="34" t="str">
        <f aca="false">IF($B1226="","",COUNTIF($F1226:$AJ1226,"CL"))</f>
        <v/>
      </c>
      <c r="AQ1226" s="34" t="str">
        <f aca="false">IF($B1226="","",COUNTIF($F1226:$AJ1226,"SL"))</f>
        <v/>
      </c>
      <c r="AR1226" s="34" t="str">
        <f aca="false">IF($B1226="","",COUNTIF($F1226:$AJ1226,"CO"))</f>
        <v/>
      </c>
      <c r="AS1226" s="34" t="str">
        <f aca="false">IF($B1226="","",COUNTIF($F1226:$AJ1226,"HPL"))</f>
        <v/>
      </c>
      <c r="AT1226" s="34" t="str">
        <f aca="false">IF($B1226="","",COUNTIF($F1226:$AJ1226,"HCL"))</f>
        <v/>
      </c>
      <c r="AU1226" s="34" t="str">
        <f aca="false">IF($B1226="","",COUNTIF($F1226:$AJ1226,"WO"))</f>
        <v/>
      </c>
      <c r="AV1226" s="34" t="str">
        <f aca="false">IF($B1226="","",COUNTIF($F1226:$AJ1226,"PH"))</f>
        <v/>
      </c>
      <c r="AW1226" s="34" t="str">
        <f aca="false">IF($B1226="","",COUNTIF($F1226:$AJ1226,"TR"))</f>
        <v/>
      </c>
      <c r="AX1226" s="35" t="str">
        <f aca="false">IF($B1226="","",AO1226+AS1226/2)</f>
        <v/>
      </c>
      <c r="AY1226" s="35" t="str">
        <f aca="false">IF($B1226="","",AQ1226)</f>
        <v/>
      </c>
      <c r="AZ1226" s="35" t="str">
        <f aca="false">IF($B1226="","",AP1226+AT1226/2)</f>
        <v/>
      </c>
      <c r="BA1226" s="35" t="str">
        <f aca="false">IF($B1226="","",AK1226+AN1226+AM1226/2+AO1226+AP1226+AQ1226+AR1226+AS1226+AT1226+AU1226+AV1226+AW1226)</f>
        <v/>
      </c>
      <c r="BB1226" s="35" t="str">
        <f aca="false">IF($B1226="","",MAX(0,AN1226-Settings!$C$16)*Settings!$C$17)</f>
        <v/>
      </c>
      <c r="BC1226" s="35" t="str">
        <f aca="false">IF($B1226="","",BA1226-BB1226)</f>
        <v/>
      </c>
      <c r="BD1226" s="35" t="str">
        <f aca="false">IF(OR($B1226="",$A1226=""),"",DAY(EOMONTH($A1226,0))-COUNTA($F1226:$AJ1226))</f>
        <v/>
      </c>
    </row>
    <row r="1227" customFormat="false" ht="15" hidden="false" customHeight="false" outlineLevel="0" collapsed="false">
      <c r="A1227" s="32"/>
      <c r="B1227" s="29"/>
      <c r="C1227" s="10" t="str">
        <f aca="false">IF($B1227="","",IFERROR(INDEX(M_name,MATCH($B1227,M_emp,0)),"Code not found"))</f>
        <v/>
      </c>
      <c r="D1227" s="10" t="str">
        <f aca="false">IF($B1227="","",IFERROR(INDEX(M_dept,MATCH($B1227,M_emp,0)),""))</f>
        <v/>
      </c>
      <c r="E1227" s="10" t="str">
        <f aca="false">IF($B1227="","",IFERROR(INDEX(M_loc,MATCH($B1227,M_emp,0)),""))</f>
        <v/>
      </c>
      <c r="F1227" s="33"/>
      <c r="G1227" s="33"/>
      <c r="H1227" s="33"/>
      <c r="I1227" s="33"/>
      <c r="J1227" s="33"/>
      <c r="K1227" s="33"/>
      <c r="L1227" s="33"/>
      <c r="M1227" s="33"/>
      <c r="N1227" s="33"/>
      <c r="O1227" s="33"/>
      <c r="P1227" s="33"/>
      <c r="Q1227" s="33"/>
      <c r="R1227" s="33"/>
      <c r="S1227" s="33"/>
      <c r="T1227" s="33"/>
      <c r="U1227" s="33"/>
      <c r="V1227" s="33"/>
      <c r="W1227" s="33"/>
      <c r="X1227" s="33"/>
      <c r="Y1227" s="33"/>
      <c r="Z1227" s="33"/>
      <c r="AA1227" s="33"/>
      <c r="AB1227" s="33"/>
      <c r="AC1227" s="33"/>
      <c r="AD1227" s="33"/>
      <c r="AE1227" s="33"/>
      <c r="AF1227" s="33"/>
      <c r="AG1227" s="33"/>
      <c r="AH1227" s="33"/>
      <c r="AI1227" s="33"/>
      <c r="AJ1227" s="33"/>
      <c r="AK1227" s="34" t="str">
        <f aca="false">IF($B1227="","",COUNTIF($F1227:$AJ1227,"P"))</f>
        <v/>
      </c>
      <c r="AL1227" s="34" t="str">
        <f aca="false">IF($B1227="","",COUNTIF($F1227:$AJ1227,"A"))</f>
        <v/>
      </c>
      <c r="AM1227" s="34" t="str">
        <f aca="false">IF($B1227="","",COUNTIF($F1227:$AJ1227,"HA"))</f>
        <v/>
      </c>
      <c r="AN1227" s="34" t="str">
        <f aca="false">IF($B1227="","",COUNTIF($F1227:$AJ1227,"L"))</f>
        <v/>
      </c>
      <c r="AO1227" s="34" t="str">
        <f aca="false">IF($B1227="","",COUNTIF($F1227:$AJ1227,"PL"))</f>
        <v/>
      </c>
      <c r="AP1227" s="34" t="str">
        <f aca="false">IF($B1227="","",COUNTIF($F1227:$AJ1227,"CL"))</f>
        <v/>
      </c>
      <c r="AQ1227" s="34" t="str">
        <f aca="false">IF($B1227="","",COUNTIF($F1227:$AJ1227,"SL"))</f>
        <v/>
      </c>
      <c r="AR1227" s="34" t="str">
        <f aca="false">IF($B1227="","",COUNTIF($F1227:$AJ1227,"CO"))</f>
        <v/>
      </c>
      <c r="AS1227" s="34" t="str">
        <f aca="false">IF($B1227="","",COUNTIF($F1227:$AJ1227,"HPL"))</f>
        <v/>
      </c>
      <c r="AT1227" s="34" t="str">
        <f aca="false">IF($B1227="","",COUNTIF($F1227:$AJ1227,"HCL"))</f>
        <v/>
      </c>
      <c r="AU1227" s="34" t="str">
        <f aca="false">IF($B1227="","",COUNTIF($F1227:$AJ1227,"WO"))</f>
        <v/>
      </c>
      <c r="AV1227" s="34" t="str">
        <f aca="false">IF($B1227="","",COUNTIF($F1227:$AJ1227,"PH"))</f>
        <v/>
      </c>
      <c r="AW1227" s="34" t="str">
        <f aca="false">IF($B1227="","",COUNTIF($F1227:$AJ1227,"TR"))</f>
        <v/>
      </c>
      <c r="AX1227" s="35" t="str">
        <f aca="false">IF($B1227="","",AO1227+AS1227/2)</f>
        <v/>
      </c>
      <c r="AY1227" s="35" t="str">
        <f aca="false">IF($B1227="","",AQ1227)</f>
        <v/>
      </c>
      <c r="AZ1227" s="35" t="str">
        <f aca="false">IF($B1227="","",AP1227+AT1227/2)</f>
        <v/>
      </c>
      <c r="BA1227" s="35" t="str">
        <f aca="false">IF($B1227="","",AK1227+AN1227+AM1227/2+AO1227+AP1227+AQ1227+AR1227+AS1227+AT1227+AU1227+AV1227+AW1227)</f>
        <v/>
      </c>
      <c r="BB1227" s="35" t="str">
        <f aca="false">IF($B1227="","",MAX(0,AN1227-Settings!$C$16)*Settings!$C$17)</f>
        <v/>
      </c>
      <c r="BC1227" s="35" t="str">
        <f aca="false">IF($B1227="","",BA1227-BB1227)</f>
        <v/>
      </c>
      <c r="BD1227" s="35" t="str">
        <f aca="false">IF(OR($B1227="",$A1227=""),"",DAY(EOMONTH($A1227,0))-COUNTA($F1227:$AJ1227))</f>
        <v/>
      </c>
    </row>
    <row r="1228" customFormat="false" ht="15" hidden="false" customHeight="false" outlineLevel="0" collapsed="false">
      <c r="A1228" s="32"/>
      <c r="B1228" s="29"/>
      <c r="C1228" s="10" t="str">
        <f aca="false">IF($B1228="","",IFERROR(INDEX(M_name,MATCH($B1228,M_emp,0)),"Code not found"))</f>
        <v/>
      </c>
      <c r="D1228" s="10" t="str">
        <f aca="false">IF($B1228="","",IFERROR(INDEX(M_dept,MATCH($B1228,M_emp,0)),""))</f>
        <v/>
      </c>
      <c r="E1228" s="10" t="str">
        <f aca="false">IF($B1228="","",IFERROR(INDEX(M_loc,MATCH($B1228,M_emp,0)),""))</f>
        <v/>
      </c>
      <c r="F1228" s="33"/>
      <c r="G1228" s="33"/>
      <c r="H1228" s="33"/>
      <c r="I1228" s="33"/>
      <c r="J1228" s="33"/>
      <c r="K1228" s="33"/>
      <c r="L1228" s="33"/>
      <c r="M1228" s="33"/>
      <c r="N1228" s="33"/>
      <c r="O1228" s="33"/>
      <c r="P1228" s="33"/>
      <c r="Q1228" s="33"/>
      <c r="R1228" s="33"/>
      <c r="S1228" s="33"/>
      <c r="T1228" s="33"/>
      <c r="U1228" s="33"/>
      <c r="V1228" s="33"/>
      <c r="W1228" s="33"/>
      <c r="X1228" s="33"/>
      <c r="Y1228" s="33"/>
      <c r="Z1228" s="33"/>
      <c r="AA1228" s="33"/>
      <c r="AB1228" s="33"/>
      <c r="AC1228" s="33"/>
      <c r="AD1228" s="33"/>
      <c r="AE1228" s="33"/>
      <c r="AF1228" s="33"/>
      <c r="AG1228" s="33"/>
      <c r="AH1228" s="33"/>
      <c r="AI1228" s="33"/>
      <c r="AJ1228" s="33"/>
      <c r="AK1228" s="34" t="str">
        <f aca="false">IF($B1228="","",COUNTIF($F1228:$AJ1228,"P"))</f>
        <v/>
      </c>
      <c r="AL1228" s="34" t="str">
        <f aca="false">IF($B1228="","",COUNTIF($F1228:$AJ1228,"A"))</f>
        <v/>
      </c>
      <c r="AM1228" s="34" t="str">
        <f aca="false">IF($B1228="","",COUNTIF($F1228:$AJ1228,"HA"))</f>
        <v/>
      </c>
      <c r="AN1228" s="34" t="str">
        <f aca="false">IF($B1228="","",COUNTIF($F1228:$AJ1228,"L"))</f>
        <v/>
      </c>
      <c r="AO1228" s="34" t="str">
        <f aca="false">IF($B1228="","",COUNTIF($F1228:$AJ1228,"PL"))</f>
        <v/>
      </c>
      <c r="AP1228" s="34" t="str">
        <f aca="false">IF($B1228="","",COUNTIF($F1228:$AJ1228,"CL"))</f>
        <v/>
      </c>
      <c r="AQ1228" s="34" t="str">
        <f aca="false">IF($B1228="","",COUNTIF($F1228:$AJ1228,"SL"))</f>
        <v/>
      </c>
      <c r="AR1228" s="34" t="str">
        <f aca="false">IF($B1228="","",COUNTIF($F1228:$AJ1228,"CO"))</f>
        <v/>
      </c>
      <c r="AS1228" s="34" t="str">
        <f aca="false">IF($B1228="","",COUNTIF($F1228:$AJ1228,"HPL"))</f>
        <v/>
      </c>
      <c r="AT1228" s="34" t="str">
        <f aca="false">IF($B1228="","",COUNTIF($F1228:$AJ1228,"HCL"))</f>
        <v/>
      </c>
      <c r="AU1228" s="34" t="str">
        <f aca="false">IF($B1228="","",COUNTIF($F1228:$AJ1228,"WO"))</f>
        <v/>
      </c>
      <c r="AV1228" s="34" t="str">
        <f aca="false">IF($B1228="","",COUNTIF($F1228:$AJ1228,"PH"))</f>
        <v/>
      </c>
      <c r="AW1228" s="34" t="str">
        <f aca="false">IF($B1228="","",COUNTIF($F1228:$AJ1228,"TR"))</f>
        <v/>
      </c>
      <c r="AX1228" s="35" t="str">
        <f aca="false">IF($B1228="","",AO1228+AS1228/2)</f>
        <v/>
      </c>
      <c r="AY1228" s="35" t="str">
        <f aca="false">IF($B1228="","",AQ1228)</f>
        <v/>
      </c>
      <c r="AZ1228" s="35" t="str">
        <f aca="false">IF($B1228="","",AP1228+AT1228/2)</f>
        <v/>
      </c>
      <c r="BA1228" s="35" t="str">
        <f aca="false">IF($B1228="","",AK1228+AN1228+AM1228/2+AO1228+AP1228+AQ1228+AR1228+AS1228+AT1228+AU1228+AV1228+AW1228)</f>
        <v/>
      </c>
      <c r="BB1228" s="35" t="str">
        <f aca="false">IF($B1228="","",MAX(0,AN1228-Settings!$C$16)*Settings!$C$17)</f>
        <v/>
      </c>
      <c r="BC1228" s="35" t="str">
        <f aca="false">IF($B1228="","",BA1228-BB1228)</f>
        <v/>
      </c>
      <c r="BD1228" s="35" t="str">
        <f aca="false">IF(OR($B1228="",$A1228=""),"",DAY(EOMONTH($A1228,0))-COUNTA($F1228:$AJ1228))</f>
        <v/>
      </c>
    </row>
    <row r="1229" customFormat="false" ht="15" hidden="false" customHeight="false" outlineLevel="0" collapsed="false">
      <c r="A1229" s="32"/>
      <c r="B1229" s="29"/>
      <c r="C1229" s="10" t="str">
        <f aca="false">IF($B1229="","",IFERROR(INDEX(M_name,MATCH($B1229,M_emp,0)),"Code not found"))</f>
        <v/>
      </c>
      <c r="D1229" s="10" t="str">
        <f aca="false">IF($B1229="","",IFERROR(INDEX(M_dept,MATCH($B1229,M_emp,0)),""))</f>
        <v/>
      </c>
      <c r="E1229" s="10" t="str">
        <f aca="false">IF($B1229="","",IFERROR(INDEX(M_loc,MATCH($B1229,M_emp,0)),""))</f>
        <v/>
      </c>
      <c r="F1229" s="33"/>
      <c r="G1229" s="33"/>
      <c r="H1229" s="33"/>
      <c r="I1229" s="33"/>
      <c r="J1229" s="33"/>
      <c r="K1229" s="33"/>
      <c r="L1229" s="33"/>
      <c r="M1229" s="33"/>
      <c r="N1229" s="33"/>
      <c r="O1229" s="33"/>
      <c r="P1229" s="33"/>
      <c r="Q1229" s="33"/>
      <c r="R1229" s="33"/>
      <c r="S1229" s="33"/>
      <c r="T1229" s="33"/>
      <c r="U1229" s="33"/>
      <c r="V1229" s="33"/>
      <c r="W1229" s="33"/>
      <c r="X1229" s="33"/>
      <c r="Y1229" s="33"/>
      <c r="Z1229" s="33"/>
      <c r="AA1229" s="33"/>
      <c r="AB1229" s="33"/>
      <c r="AC1229" s="33"/>
      <c r="AD1229" s="33"/>
      <c r="AE1229" s="33"/>
      <c r="AF1229" s="33"/>
      <c r="AG1229" s="33"/>
      <c r="AH1229" s="33"/>
      <c r="AI1229" s="33"/>
      <c r="AJ1229" s="33"/>
      <c r="AK1229" s="34" t="str">
        <f aca="false">IF($B1229="","",COUNTIF($F1229:$AJ1229,"P"))</f>
        <v/>
      </c>
      <c r="AL1229" s="34" t="str">
        <f aca="false">IF($B1229="","",COUNTIF($F1229:$AJ1229,"A"))</f>
        <v/>
      </c>
      <c r="AM1229" s="34" t="str">
        <f aca="false">IF($B1229="","",COUNTIF($F1229:$AJ1229,"HA"))</f>
        <v/>
      </c>
      <c r="AN1229" s="34" t="str">
        <f aca="false">IF($B1229="","",COUNTIF($F1229:$AJ1229,"L"))</f>
        <v/>
      </c>
      <c r="AO1229" s="34" t="str">
        <f aca="false">IF($B1229="","",COUNTIF($F1229:$AJ1229,"PL"))</f>
        <v/>
      </c>
      <c r="AP1229" s="34" t="str">
        <f aca="false">IF($B1229="","",COUNTIF($F1229:$AJ1229,"CL"))</f>
        <v/>
      </c>
      <c r="AQ1229" s="34" t="str">
        <f aca="false">IF($B1229="","",COUNTIF($F1229:$AJ1229,"SL"))</f>
        <v/>
      </c>
      <c r="AR1229" s="34" t="str">
        <f aca="false">IF($B1229="","",COUNTIF($F1229:$AJ1229,"CO"))</f>
        <v/>
      </c>
      <c r="AS1229" s="34" t="str">
        <f aca="false">IF($B1229="","",COUNTIF($F1229:$AJ1229,"HPL"))</f>
        <v/>
      </c>
      <c r="AT1229" s="34" t="str">
        <f aca="false">IF($B1229="","",COUNTIF($F1229:$AJ1229,"HCL"))</f>
        <v/>
      </c>
      <c r="AU1229" s="34" t="str">
        <f aca="false">IF($B1229="","",COUNTIF($F1229:$AJ1229,"WO"))</f>
        <v/>
      </c>
      <c r="AV1229" s="34" t="str">
        <f aca="false">IF($B1229="","",COUNTIF($F1229:$AJ1229,"PH"))</f>
        <v/>
      </c>
      <c r="AW1229" s="34" t="str">
        <f aca="false">IF($B1229="","",COUNTIF($F1229:$AJ1229,"TR"))</f>
        <v/>
      </c>
      <c r="AX1229" s="35" t="str">
        <f aca="false">IF($B1229="","",AO1229+AS1229/2)</f>
        <v/>
      </c>
      <c r="AY1229" s="35" t="str">
        <f aca="false">IF($B1229="","",AQ1229)</f>
        <v/>
      </c>
      <c r="AZ1229" s="35" t="str">
        <f aca="false">IF($B1229="","",AP1229+AT1229/2)</f>
        <v/>
      </c>
      <c r="BA1229" s="35" t="str">
        <f aca="false">IF($B1229="","",AK1229+AN1229+AM1229/2+AO1229+AP1229+AQ1229+AR1229+AS1229+AT1229+AU1229+AV1229+AW1229)</f>
        <v/>
      </c>
      <c r="BB1229" s="35" t="str">
        <f aca="false">IF($B1229="","",MAX(0,AN1229-Settings!$C$16)*Settings!$C$17)</f>
        <v/>
      </c>
      <c r="BC1229" s="35" t="str">
        <f aca="false">IF($B1229="","",BA1229-BB1229)</f>
        <v/>
      </c>
      <c r="BD1229" s="35" t="str">
        <f aca="false">IF(OR($B1229="",$A1229=""),"",DAY(EOMONTH($A1229,0))-COUNTA($F1229:$AJ1229))</f>
        <v/>
      </c>
    </row>
    <row r="1230" customFormat="false" ht="15" hidden="false" customHeight="false" outlineLevel="0" collapsed="false">
      <c r="A1230" s="32"/>
      <c r="B1230" s="29"/>
      <c r="C1230" s="10" t="str">
        <f aca="false">IF($B1230="","",IFERROR(INDEX(M_name,MATCH($B1230,M_emp,0)),"Code not found"))</f>
        <v/>
      </c>
      <c r="D1230" s="10" t="str">
        <f aca="false">IF($B1230="","",IFERROR(INDEX(M_dept,MATCH($B1230,M_emp,0)),""))</f>
        <v/>
      </c>
      <c r="E1230" s="10" t="str">
        <f aca="false">IF($B1230="","",IFERROR(INDEX(M_loc,MATCH($B1230,M_emp,0)),""))</f>
        <v/>
      </c>
      <c r="F1230" s="33"/>
      <c r="G1230" s="33"/>
      <c r="H1230" s="33"/>
      <c r="I1230" s="33"/>
      <c r="J1230" s="33"/>
      <c r="K1230" s="33"/>
      <c r="L1230" s="33"/>
      <c r="M1230" s="33"/>
      <c r="N1230" s="33"/>
      <c r="O1230" s="33"/>
      <c r="P1230" s="33"/>
      <c r="Q1230" s="33"/>
      <c r="R1230" s="33"/>
      <c r="S1230" s="33"/>
      <c r="T1230" s="33"/>
      <c r="U1230" s="33"/>
      <c r="V1230" s="33"/>
      <c r="W1230" s="33"/>
      <c r="X1230" s="33"/>
      <c r="Y1230" s="33"/>
      <c r="Z1230" s="33"/>
      <c r="AA1230" s="33"/>
      <c r="AB1230" s="33"/>
      <c r="AC1230" s="33"/>
      <c r="AD1230" s="33"/>
      <c r="AE1230" s="33"/>
      <c r="AF1230" s="33"/>
      <c r="AG1230" s="33"/>
      <c r="AH1230" s="33"/>
      <c r="AI1230" s="33"/>
      <c r="AJ1230" s="33"/>
      <c r="AK1230" s="34" t="str">
        <f aca="false">IF($B1230="","",COUNTIF($F1230:$AJ1230,"P"))</f>
        <v/>
      </c>
      <c r="AL1230" s="34" t="str">
        <f aca="false">IF($B1230="","",COUNTIF($F1230:$AJ1230,"A"))</f>
        <v/>
      </c>
      <c r="AM1230" s="34" t="str">
        <f aca="false">IF($B1230="","",COUNTIF($F1230:$AJ1230,"HA"))</f>
        <v/>
      </c>
      <c r="AN1230" s="34" t="str">
        <f aca="false">IF($B1230="","",COUNTIF($F1230:$AJ1230,"L"))</f>
        <v/>
      </c>
      <c r="AO1230" s="34" t="str">
        <f aca="false">IF($B1230="","",COUNTIF($F1230:$AJ1230,"PL"))</f>
        <v/>
      </c>
      <c r="AP1230" s="34" t="str">
        <f aca="false">IF($B1230="","",COUNTIF($F1230:$AJ1230,"CL"))</f>
        <v/>
      </c>
      <c r="AQ1230" s="34" t="str">
        <f aca="false">IF($B1230="","",COUNTIF($F1230:$AJ1230,"SL"))</f>
        <v/>
      </c>
      <c r="AR1230" s="34" t="str">
        <f aca="false">IF($B1230="","",COUNTIF($F1230:$AJ1230,"CO"))</f>
        <v/>
      </c>
      <c r="AS1230" s="34" t="str">
        <f aca="false">IF($B1230="","",COUNTIF($F1230:$AJ1230,"HPL"))</f>
        <v/>
      </c>
      <c r="AT1230" s="34" t="str">
        <f aca="false">IF($B1230="","",COUNTIF($F1230:$AJ1230,"HCL"))</f>
        <v/>
      </c>
      <c r="AU1230" s="34" t="str">
        <f aca="false">IF($B1230="","",COUNTIF($F1230:$AJ1230,"WO"))</f>
        <v/>
      </c>
      <c r="AV1230" s="34" t="str">
        <f aca="false">IF($B1230="","",COUNTIF($F1230:$AJ1230,"PH"))</f>
        <v/>
      </c>
      <c r="AW1230" s="34" t="str">
        <f aca="false">IF($B1230="","",COUNTIF($F1230:$AJ1230,"TR"))</f>
        <v/>
      </c>
      <c r="AX1230" s="35" t="str">
        <f aca="false">IF($B1230="","",AO1230+AS1230/2)</f>
        <v/>
      </c>
      <c r="AY1230" s="35" t="str">
        <f aca="false">IF($B1230="","",AQ1230)</f>
        <v/>
      </c>
      <c r="AZ1230" s="35" t="str">
        <f aca="false">IF($B1230="","",AP1230+AT1230/2)</f>
        <v/>
      </c>
      <c r="BA1230" s="35" t="str">
        <f aca="false">IF($B1230="","",AK1230+AN1230+AM1230/2+AO1230+AP1230+AQ1230+AR1230+AS1230+AT1230+AU1230+AV1230+AW1230)</f>
        <v/>
      </c>
      <c r="BB1230" s="35" t="str">
        <f aca="false">IF($B1230="","",MAX(0,AN1230-Settings!$C$16)*Settings!$C$17)</f>
        <v/>
      </c>
      <c r="BC1230" s="35" t="str">
        <f aca="false">IF($B1230="","",BA1230-BB1230)</f>
        <v/>
      </c>
      <c r="BD1230" s="35" t="str">
        <f aca="false">IF(OR($B1230="",$A1230=""),"",DAY(EOMONTH($A1230,0))-COUNTA($F1230:$AJ1230))</f>
        <v/>
      </c>
    </row>
    <row r="1231" customFormat="false" ht="15" hidden="false" customHeight="false" outlineLevel="0" collapsed="false">
      <c r="A1231" s="32"/>
      <c r="B1231" s="29"/>
      <c r="C1231" s="10" t="str">
        <f aca="false">IF($B1231="","",IFERROR(INDEX(M_name,MATCH($B1231,M_emp,0)),"Code not found"))</f>
        <v/>
      </c>
      <c r="D1231" s="10" t="str">
        <f aca="false">IF($B1231="","",IFERROR(INDEX(M_dept,MATCH($B1231,M_emp,0)),""))</f>
        <v/>
      </c>
      <c r="E1231" s="10" t="str">
        <f aca="false">IF($B1231="","",IFERROR(INDEX(M_loc,MATCH($B1231,M_emp,0)),""))</f>
        <v/>
      </c>
      <c r="F1231" s="33"/>
      <c r="G1231" s="33"/>
      <c r="H1231" s="33"/>
      <c r="I1231" s="33"/>
      <c r="J1231" s="33"/>
      <c r="K1231" s="33"/>
      <c r="L1231" s="33"/>
      <c r="M1231" s="33"/>
      <c r="N1231" s="33"/>
      <c r="O1231" s="33"/>
      <c r="P1231" s="33"/>
      <c r="Q1231" s="33"/>
      <c r="R1231" s="33"/>
      <c r="S1231" s="33"/>
      <c r="T1231" s="33"/>
      <c r="U1231" s="33"/>
      <c r="V1231" s="33"/>
      <c r="W1231" s="33"/>
      <c r="X1231" s="33"/>
      <c r="Y1231" s="33"/>
      <c r="Z1231" s="33"/>
      <c r="AA1231" s="33"/>
      <c r="AB1231" s="33"/>
      <c r="AC1231" s="33"/>
      <c r="AD1231" s="33"/>
      <c r="AE1231" s="33"/>
      <c r="AF1231" s="33"/>
      <c r="AG1231" s="33"/>
      <c r="AH1231" s="33"/>
      <c r="AI1231" s="33"/>
      <c r="AJ1231" s="33"/>
      <c r="AK1231" s="34" t="str">
        <f aca="false">IF($B1231="","",COUNTIF($F1231:$AJ1231,"P"))</f>
        <v/>
      </c>
      <c r="AL1231" s="34" t="str">
        <f aca="false">IF($B1231="","",COUNTIF($F1231:$AJ1231,"A"))</f>
        <v/>
      </c>
      <c r="AM1231" s="34" t="str">
        <f aca="false">IF($B1231="","",COUNTIF($F1231:$AJ1231,"HA"))</f>
        <v/>
      </c>
      <c r="AN1231" s="34" t="str">
        <f aca="false">IF($B1231="","",COUNTIF($F1231:$AJ1231,"L"))</f>
        <v/>
      </c>
      <c r="AO1231" s="34" t="str">
        <f aca="false">IF($B1231="","",COUNTIF($F1231:$AJ1231,"PL"))</f>
        <v/>
      </c>
      <c r="AP1231" s="34" t="str">
        <f aca="false">IF($B1231="","",COUNTIF($F1231:$AJ1231,"CL"))</f>
        <v/>
      </c>
      <c r="AQ1231" s="34" t="str">
        <f aca="false">IF($B1231="","",COUNTIF($F1231:$AJ1231,"SL"))</f>
        <v/>
      </c>
      <c r="AR1231" s="34" t="str">
        <f aca="false">IF($B1231="","",COUNTIF($F1231:$AJ1231,"CO"))</f>
        <v/>
      </c>
      <c r="AS1231" s="34" t="str">
        <f aca="false">IF($B1231="","",COUNTIF($F1231:$AJ1231,"HPL"))</f>
        <v/>
      </c>
      <c r="AT1231" s="34" t="str">
        <f aca="false">IF($B1231="","",COUNTIF($F1231:$AJ1231,"HCL"))</f>
        <v/>
      </c>
      <c r="AU1231" s="34" t="str">
        <f aca="false">IF($B1231="","",COUNTIF($F1231:$AJ1231,"WO"))</f>
        <v/>
      </c>
      <c r="AV1231" s="34" t="str">
        <f aca="false">IF($B1231="","",COUNTIF($F1231:$AJ1231,"PH"))</f>
        <v/>
      </c>
      <c r="AW1231" s="34" t="str">
        <f aca="false">IF($B1231="","",COUNTIF($F1231:$AJ1231,"TR"))</f>
        <v/>
      </c>
      <c r="AX1231" s="35" t="str">
        <f aca="false">IF($B1231="","",AO1231+AS1231/2)</f>
        <v/>
      </c>
      <c r="AY1231" s="35" t="str">
        <f aca="false">IF($B1231="","",AQ1231)</f>
        <v/>
      </c>
      <c r="AZ1231" s="35" t="str">
        <f aca="false">IF($B1231="","",AP1231+AT1231/2)</f>
        <v/>
      </c>
      <c r="BA1231" s="35" t="str">
        <f aca="false">IF($B1231="","",AK1231+AN1231+AM1231/2+AO1231+AP1231+AQ1231+AR1231+AS1231+AT1231+AU1231+AV1231+AW1231)</f>
        <v/>
      </c>
      <c r="BB1231" s="35" t="str">
        <f aca="false">IF($B1231="","",MAX(0,AN1231-Settings!$C$16)*Settings!$C$17)</f>
        <v/>
      </c>
      <c r="BC1231" s="35" t="str">
        <f aca="false">IF($B1231="","",BA1231-BB1231)</f>
        <v/>
      </c>
      <c r="BD1231" s="35" t="str">
        <f aca="false">IF(OR($B1231="",$A1231=""),"",DAY(EOMONTH($A1231,0))-COUNTA($F1231:$AJ1231))</f>
        <v/>
      </c>
    </row>
    <row r="1232" customFormat="false" ht="15" hidden="false" customHeight="false" outlineLevel="0" collapsed="false">
      <c r="A1232" s="32"/>
      <c r="B1232" s="29"/>
      <c r="C1232" s="10" t="str">
        <f aca="false">IF($B1232="","",IFERROR(INDEX(M_name,MATCH($B1232,M_emp,0)),"Code not found"))</f>
        <v/>
      </c>
      <c r="D1232" s="10" t="str">
        <f aca="false">IF($B1232="","",IFERROR(INDEX(M_dept,MATCH($B1232,M_emp,0)),""))</f>
        <v/>
      </c>
      <c r="E1232" s="10" t="str">
        <f aca="false">IF($B1232="","",IFERROR(INDEX(M_loc,MATCH($B1232,M_emp,0)),""))</f>
        <v/>
      </c>
      <c r="F1232" s="33"/>
      <c r="G1232" s="33"/>
      <c r="H1232" s="33"/>
      <c r="I1232" s="33"/>
      <c r="J1232" s="33"/>
      <c r="K1232" s="33"/>
      <c r="L1232" s="33"/>
      <c r="M1232" s="33"/>
      <c r="N1232" s="33"/>
      <c r="O1232" s="33"/>
      <c r="P1232" s="33"/>
      <c r="Q1232" s="33"/>
      <c r="R1232" s="33"/>
      <c r="S1232" s="33"/>
      <c r="T1232" s="33"/>
      <c r="U1232" s="33"/>
      <c r="V1232" s="33"/>
      <c r="W1232" s="33"/>
      <c r="X1232" s="33"/>
      <c r="Y1232" s="33"/>
      <c r="Z1232" s="33"/>
      <c r="AA1232" s="33"/>
      <c r="AB1232" s="33"/>
      <c r="AC1232" s="33"/>
      <c r="AD1232" s="33"/>
      <c r="AE1232" s="33"/>
      <c r="AF1232" s="33"/>
      <c r="AG1232" s="33"/>
      <c r="AH1232" s="33"/>
      <c r="AI1232" s="33"/>
      <c r="AJ1232" s="33"/>
      <c r="AK1232" s="34" t="str">
        <f aca="false">IF($B1232="","",COUNTIF($F1232:$AJ1232,"P"))</f>
        <v/>
      </c>
      <c r="AL1232" s="34" t="str">
        <f aca="false">IF($B1232="","",COUNTIF($F1232:$AJ1232,"A"))</f>
        <v/>
      </c>
      <c r="AM1232" s="34" t="str">
        <f aca="false">IF($B1232="","",COUNTIF($F1232:$AJ1232,"HA"))</f>
        <v/>
      </c>
      <c r="AN1232" s="34" t="str">
        <f aca="false">IF($B1232="","",COUNTIF($F1232:$AJ1232,"L"))</f>
        <v/>
      </c>
      <c r="AO1232" s="34" t="str">
        <f aca="false">IF($B1232="","",COUNTIF($F1232:$AJ1232,"PL"))</f>
        <v/>
      </c>
      <c r="AP1232" s="34" t="str">
        <f aca="false">IF($B1232="","",COUNTIF($F1232:$AJ1232,"CL"))</f>
        <v/>
      </c>
      <c r="AQ1232" s="34" t="str">
        <f aca="false">IF($B1232="","",COUNTIF($F1232:$AJ1232,"SL"))</f>
        <v/>
      </c>
      <c r="AR1232" s="34" t="str">
        <f aca="false">IF($B1232="","",COUNTIF($F1232:$AJ1232,"CO"))</f>
        <v/>
      </c>
      <c r="AS1232" s="34" t="str">
        <f aca="false">IF($B1232="","",COUNTIF($F1232:$AJ1232,"HPL"))</f>
        <v/>
      </c>
      <c r="AT1232" s="34" t="str">
        <f aca="false">IF($B1232="","",COUNTIF($F1232:$AJ1232,"HCL"))</f>
        <v/>
      </c>
      <c r="AU1232" s="34" t="str">
        <f aca="false">IF($B1232="","",COUNTIF($F1232:$AJ1232,"WO"))</f>
        <v/>
      </c>
      <c r="AV1232" s="34" t="str">
        <f aca="false">IF($B1232="","",COUNTIF($F1232:$AJ1232,"PH"))</f>
        <v/>
      </c>
      <c r="AW1232" s="34" t="str">
        <f aca="false">IF($B1232="","",COUNTIF($F1232:$AJ1232,"TR"))</f>
        <v/>
      </c>
      <c r="AX1232" s="35" t="str">
        <f aca="false">IF($B1232="","",AO1232+AS1232/2)</f>
        <v/>
      </c>
      <c r="AY1232" s="35" t="str">
        <f aca="false">IF($B1232="","",AQ1232)</f>
        <v/>
      </c>
      <c r="AZ1232" s="35" t="str">
        <f aca="false">IF($B1232="","",AP1232+AT1232/2)</f>
        <v/>
      </c>
      <c r="BA1232" s="35" t="str">
        <f aca="false">IF($B1232="","",AK1232+AN1232+AM1232/2+AO1232+AP1232+AQ1232+AR1232+AS1232+AT1232+AU1232+AV1232+AW1232)</f>
        <v/>
      </c>
      <c r="BB1232" s="35" t="str">
        <f aca="false">IF($B1232="","",MAX(0,AN1232-Settings!$C$16)*Settings!$C$17)</f>
        <v/>
      </c>
      <c r="BC1232" s="35" t="str">
        <f aca="false">IF($B1232="","",BA1232-BB1232)</f>
        <v/>
      </c>
      <c r="BD1232" s="35" t="str">
        <f aca="false">IF(OR($B1232="",$A1232=""),"",DAY(EOMONTH($A1232,0))-COUNTA($F1232:$AJ1232))</f>
        <v/>
      </c>
    </row>
    <row r="1233" customFormat="false" ht="15" hidden="false" customHeight="false" outlineLevel="0" collapsed="false">
      <c r="A1233" s="32"/>
      <c r="B1233" s="29"/>
      <c r="C1233" s="10" t="str">
        <f aca="false">IF($B1233="","",IFERROR(INDEX(M_name,MATCH($B1233,M_emp,0)),"Code not found"))</f>
        <v/>
      </c>
      <c r="D1233" s="10" t="str">
        <f aca="false">IF($B1233="","",IFERROR(INDEX(M_dept,MATCH($B1233,M_emp,0)),""))</f>
        <v/>
      </c>
      <c r="E1233" s="10" t="str">
        <f aca="false">IF($B1233="","",IFERROR(INDEX(M_loc,MATCH($B1233,M_emp,0)),""))</f>
        <v/>
      </c>
      <c r="F1233" s="33"/>
      <c r="G1233" s="33"/>
      <c r="H1233" s="33"/>
      <c r="I1233" s="33"/>
      <c r="J1233" s="33"/>
      <c r="K1233" s="33"/>
      <c r="L1233" s="33"/>
      <c r="M1233" s="33"/>
      <c r="N1233" s="33"/>
      <c r="O1233" s="33"/>
      <c r="P1233" s="33"/>
      <c r="Q1233" s="33"/>
      <c r="R1233" s="33"/>
      <c r="S1233" s="33"/>
      <c r="T1233" s="33"/>
      <c r="U1233" s="33"/>
      <c r="V1233" s="33"/>
      <c r="W1233" s="33"/>
      <c r="X1233" s="33"/>
      <c r="Y1233" s="33"/>
      <c r="Z1233" s="33"/>
      <c r="AA1233" s="33"/>
      <c r="AB1233" s="33"/>
      <c r="AC1233" s="33"/>
      <c r="AD1233" s="33"/>
      <c r="AE1233" s="33"/>
      <c r="AF1233" s="33"/>
      <c r="AG1233" s="33"/>
      <c r="AH1233" s="33"/>
      <c r="AI1233" s="33"/>
      <c r="AJ1233" s="33"/>
      <c r="AK1233" s="34" t="str">
        <f aca="false">IF($B1233="","",COUNTIF($F1233:$AJ1233,"P"))</f>
        <v/>
      </c>
      <c r="AL1233" s="34" t="str">
        <f aca="false">IF($B1233="","",COUNTIF($F1233:$AJ1233,"A"))</f>
        <v/>
      </c>
      <c r="AM1233" s="34" t="str">
        <f aca="false">IF($B1233="","",COUNTIF($F1233:$AJ1233,"HA"))</f>
        <v/>
      </c>
      <c r="AN1233" s="34" t="str">
        <f aca="false">IF($B1233="","",COUNTIF($F1233:$AJ1233,"L"))</f>
        <v/>
      </c>
      <c r="AO1233" s="34" t="str">
        <f aca="false">IF($B1233="","",COUNTIF($F1233:$AJ1233,"PL"))</f>
        <v/>
      </c>
      <c r="AP1233" s="34" t="str">
        <f aca="false">IF($B1233="","",COUNTIF($F1233:$AJ1233,"CL"))</f>
        <v/>
      </c>
      <c r="AQ1233" s="34" t="str">
        <f aca="false">IF($B1233="","",COUNTIF($F1233:$AJ1233,"SL"))</f>
        <v/>
      </c>
      <c r="AR1233" s="34" t="str">
        <f aca="false">IF($B1233="","",COUNTIF($F1233:$AJ1233,"CO"))</f>
        <v/>
      </c>
      <c r="AS1233" s="34" t="str">
        <f aca="false">IF($B1233="","",COUNTIF($F1233:$AJ1233,"HPL"))</f>
        <v/>
      </c>
      <c r="AT1233" s="34" t="str">
        <f aca="false">IF($B1233="","",COUNTIF($F1233:$AJ1233,"HCL"))</f>
        <v/>
      </c>
      <c r="AU1233" s="34" t="str">
        <f aca="false">IF($B1233="","",COUNTIF($F1233:$AJ1233,"WO"))</f>
        <v/>
      </c>
      <c r="AV1233" s="34" t="str">
        <f aca="false">IF($B1233="","",COUNTIF($F1233:$AJ1233,"PH"))</f>
        <v/>
      </c>
      <c r="AW1233" s="34" t="str">
        <f aca="false">IF($B1233="","",COUNTIF($F1233:$AJ1233,"TR"))</f>
        <v/>
      </c>
      <c r="AX1233" s="35" t="str">
        <f aca="false">IF($B1233="","",AO1233+AS1233/2)</f>
        <v/>
      </c>
      <c r="AY1233" s="35" t="str">
        <f aca="false">IF($B1233="","",AQ1233)</f>
        <v/>
      </c>
      <c r="AZ1233" s="35" t="str">
        <f aca="false">IF($B1233="","",AP1233+AT1233/2)</f>
        <v/>
      </c>
      <c r="BA1233" s="35" t="str">
        <f aca="false">IF($B1233="","",AK1233+AN1233+AM1233/2+AO1233+AP1233+AQ1233+AR1233+AS1233+AT1233+AU1233+AV1233+AW1233)</f>
        <v/>
      </c>
      <c r="BB1233" s="35" t="str">
        <f aca="false">IF($B1233="","",MAX(0,AN1233-Settings!$C$16)*Settings!$C$17)</f>
        <v/>
      </c>
      <c r="BC1233" s="35" t="str">
        <f aca="false">IF($B1233="","",BA1233-BB1233)</f>
        <v/>
      </c>
      <c r="BD1233" s="35" t="str">
        <f aca="false">IF(OR($B1233="",$A1233=""),"",DAY(EOMONTH($A1233,0))-COUNTA($F1233:$AJ1233))</f>
        <v/>
      </c>
    </row>
    <row r="1234" customFormat="false" ht="15" hidden="false" customHeight="false" outlineLevel="0" collapsed="false">
      <c r="A1234" s="32"/>
      <c r="B1234" s="29"/>
      <c r="C1234" s="10" t="str">
        <f aca="false">IF($B1234="","",IFERROR(INDEX(M_name,MATCH($B1234,M_emp,0)),"Code not found"))</f>
        <v/>
      </c>
      <c r="D1234" s="10" t="str">
        <f aca="false">IF($B1234="","",IFERROR(INDEX(M_dept,MATCH($B1234,M_emp,0)),""))</f>
        <v/>
      </c>
      <c r="E1234" s="10" t="str">
        <f aca="false">IF($B1234="","",IFERROR(INDEX(M_loc,MATCH($B1234,M_emp,0)),""))</f>
        <v/>
      </c>
      <c r="F1234" s="33"/>
      <c r="G1234" s="33"/>
      <c r="H1234" s="33"/>
      <c r="I1234" s="33"/>
      <c r="J1234" s="33"/>
      <c r="K1234" s="33"/>
      <c r="L1234" s="33"/>
      <c r="M1234" s="33"/>
      <c r="N1234" s="33"/>
      <c r="O1234" s="33"/>
      <c r="P1234" s="33"/>
      <c r="Q1234" s="33"/>
      <c r="R1234" s="33"/>
      <c r="S1234" s="33"/>
      <c r="T1234" s="33"/>
      <c r="U1234" s="33"/>
      <c r="V1234" s="33"/>
      <c r="W1234" s="33"/>
      <c r="X1234" s="33"/>
      <c r="Y1234" s="33"/>
      <c r="Z1234" s="33"/>
      <c r="AA1234" s="33"/>
      <c r="AB1234" s="33"/>
      <c r="AC1234" s="33"/>
      <c r="AD1234" s="33"/>
      <c r="AE1234" s="33"/>
      <c r="AF1234" s="33"/>
      <c r="AG1234" s="33"/>
      <c r="AH1234" s="33"/>
      <c r="AI1234" s="33"/>
      <c r="AJ1234" s="33"/>
      <c r="AK1234" s="34" t="str">
        <f aca="false">IF($B1234="","",COUNTIF($F1234:$AJ1234,"P"))</f>
        <v/>
      </c>
      <c r="AL1234" s="34" t="str">
        <f aca="false">IF($B1234="","",COUNTIF($F1234:$AJ1234,"A"))</f>
        <v/>
      </c>
      <c r="AM1234" s="34" t="str">
        <f aca="false">IF($B1234="","",COUNTIF($F1234:$AJ1234,"HA"))</f>
        <v/>
      </c>
      <c r="AN1234" s="34" t="str">
        <f aca="false">IF($B1234="","",COUNTIF($F1234:$AJ1234,"L"))</f>
        <v/>
      </c>
      <c r="AO1234" s="34" t="str">
        <f aca="false">IF($B1234="","",COUNTIF($F1234:$AJ1234,"PL"))</f>
        <v/>
      </c>
      <c r="AP1234" s="34" t="str">
        <f aca="false">IF($B1234="","",COUNTIF($F1234:$AJ1234,"CL"))</f>
        <v/>
      </c>
      <c r="AQ1234" s="34" t="str">
        <f aca="false">IF($B1234="","",COUNTIF($F1234:$AJ1234,"SL"))</f>
        <v/>
      </c>
      <c r="AR1234" s="34" t="str">
        <f aca="false">IF($B1234="","",COUNTIF($F1234:$AJ1234,"CO"))</f>
        <v/>
      </c>
      <c r="AS1234" s="34" t="str">
        <f aca="false">IF($B1234="","",COUNTIF($F1234:$AJ1234,"HPL"))</f>
        <v/>
      </c>
      <c r="AT1234" s="34" t="str">
        <f aca="false">IF($B1234="","",COUNTIF($F1234:$AJ1234,"HCL"))</f>
        <v/>
      </c>
      <c r="AU1234" s="34" t="str">
        <f aca="false">IF($B1234="","",COUNTIF($F1234:$AJ1234,"WO"))</f>
        <v/>
      </c>
      <c r="AV1234" s="34" t="str">
        <f aca="false">IF($B1234="","",COUNTIF($F1234:$AJ1234,"PH"))</f>
        <v/>
      </c>
      <c r="AW1234" s="34" t="str">
        <f aca="false">IF($B1234="","",COUNTIF($F1234:$AJ1234,"TR"))</f>
        <v/>
      </c>
      <c r="AX1234" s="35" t="str">
        <f aca="false">IF($B1234="","",AO1234+AS1234/2)</f>
        <v/>
      </c>
      <c r="AY1234" s="35" t="str">
        <f aca="false">IF($B1234="","",AQ1234)</f>
        <v/>
      </c>
      <c r="AZ1234" s="35" t="str">
        <f aca="false">IF($B1234="","",AP1234+AT1234/2)</f>
        <v/>
      </c>
      <c r="BA1234" s="35" t="str">
        <f aca="false">IF($B1234="","",AK1234+AN1234+AM1234/2+AO1234+AP1234+AQ1234+AR1234+AS1234+AT1234+AU1234+AV1234+AW1234)</f>
        <v/>
      </c>
      <c r="BB1234" s="35" t="str">
        <f aca="false">IF($B1234="","",MAX(0,AN1234-Settings!$C$16)*Settings!$C$17)</f>
        <v/>
      </c>
      <c r="BC1234" s="35" t="str">
        <f aca="false">IF($B1234="","",BA1234-BB1234)</f>
        <v/>
      </c>
      <c r="BD1234" s="35" t="str">
        <f aca="false">IF(OR($B1234="",$A1234=""),"",DAY(EOMONTH($A1234,0))-COUNTA($F1234:$AJ1234))</f>
        <v/>
      </c>
    </row>
    <row r="1235" customFormat="false" ht="15" hidden="false" customHeight="false" outlineLevel="0" collapsed="false">
      <c r="A1235" s="32"/>
      <c r="B1235" s="29"/>
      <c r="C1235" s="10" t="str">
        <f aca="false">IF($B1235="","",IFERROR(INDEX(M_name,MATCH($B1235,M_emp,0)),"Code not found"))</f>
        <v/>
      </c>
      <c r="D1235" s="10" t="str">
        <f aca="false">IF($B1235="","",IFERROR(INDEX(M_dept,MATCH($B1235,M_emp,0)),""))</f>
        <v/>
      </c>
      <c r="E1235" s="10" t="str">
        <f aca="false">IF($B1235="","",IFERROR(INDEX(M_loc,MATCH($B1235,M_emp,0)),""))</f>
        <v/>
      </c>
      <c r="F1235" s="33"/>
      <c r="G1235" s="33"/>
      <c r="H1235" s="33"/>
      <c r="I1235" s="33"/>
      <c r="J1235" s="33"/>
      <c r="K1235" s="33"/>
      <c r="L1235" s="33"/>
      <c r="M1235" s="33"/>
      <c r="N1235" s="33"/>
      <c r="O1235" s="33"/>
      <c r="P1235" s="33"/>
      <c r="Q1235" s="33"/>
      <c r="R1235" s="33"/>
      <c r="S1235" s="33"/>
      <c r="T1235" s="33"/>
      <c r="U1235" s="33"/>
      <c r="V1235" s="33"/>
      <c r="W1235" s="33"/>
      <c r="X1235" s="33"/>
      <c r="Y1235" s="33"/>
      <c r="Z1235" s="33"/>
      <c r="AA1235" s="33"/>
      <c r="AB1235" s="33"/>
      <c r="AC1235" s="33"/>
      <c r="AD1235" s="33"/>
      <c r="AE1235" s="33"/>
      <c r="AF1235" s="33"/>
      <c r="AG1235" s="33"/>
      <c r="AH1235" s="33"/>
      <c r="AI1235" s="33"/>
      <c r="AJ1235" s="33"/>
      <c r="AK1235" s="34" t="str">
        <f aca="false">IF($B1235="","",COUNTIF($F1235:$AJ1235,"P"))</f>
        <v/>
      </c>
      <c r="AL1235" s="34" t="str">
        <f aca="false">IF($B1235="","",COUNTIF($F1235:$AJ1235,"A"))</f>
        <v/>
      </c>
      <c r="AM1235" s="34" t="str">
        <f aca="false">IF($B1235="","",COUNTIF($F1235:$AJ1235,"HA"))</f>
        <v/>
      </c>
      <c r="AN1235" s="34" t="str">
        <f aca="false">IF($B1235="","",COUNTIF($F1235:$AJ1235,"L"))</f>
        <v/>
      </c>
      <c r="AO1235" s="34" t="str">
        <f aca="false">IF($B1235="","",COUNTIF($F1235:$AJ1235,"PL"))</f>
        <v/>
      </c>
      <c r="AP1235" s="34" t="str">
        <f aca="false">IF($B1235="","",COUNTIF($F1235:$AJ1235,"CL"))</f>
        <v/>
      </c>
      <c r="AQ1235" s="34" t="str">
        <f aca="false">IF($B1235="","",COUNTIF($F1235:$AJ1235,"SL"))</f>
        <v/>
      </c>
      <c r="AR1235" s="34" t="str">
        <f aca="false">IF($B1235="","",COUNTIF($F1235:$AJ1235,"CO"))</f>
        <v/>
      </c>
      <c r="AS1235" s="34" t="str">
        <f aca="false">IF($B1235="","",COUNTIF($F1235:$AJ1235,"HPL"))</f>
        <v/>
      </c>
      <c r="AT1235" s="34" t="str">
        <f aca="false">IF($B1235="","",COUNTIF($F1235:$AJ1235,"HCL"))</f>
        <v/>
      </c>
      <c r="AU1235" s="34" t="str">
        <f aca="false">IF($B1235="","",COUNTIF($F1235:$AJ1235,"WO"))</f>
        <v/>
      </c>
      <c r="AV1235" s="34" t="str">
        <f aca="false">IF($B1235="","",COUNTIF($F1235:$AJ1235,"PH"))</f>
        <v/>
      </c>
      <c r="AW1235" s="34" t="str">
        <f aca="false">IF($B1235="","",COUNTIF($F1235:$AJ1235,"TR"))</f>
        <v/>
      </c>
      <c r="AX1235" s="35" t="str">
        <f aca="false">IF($B1235="","",AO1235+AS1235/2)</f>
        <v/>
      </c>
      <c r="AY1235" s="35" t="str">
        <f aca="false">IF($B1235="","",AQ1235)</f>
        <v/>
      </c>
      <c r="AZ1235" s="35" t="str">
        <f aca="false">IF($B1235="","",AP1235+AT1235/2)</f>
        <v/>
      </c>
      <c r="BA1235" s="35" t="str">
        <f aca="false">IF($B1235="","",AK1235+AN1235+AM1235/2+AO1235+AP1235+AQ1235+AR1235+AS1235+AT1235+AU1235+AV1235+AW1235)</f>
        <v/>
      </c>
      <c r="BB1235" s="35" t="str">
        <f aca="false">IF($B1235="","",MAX(0,AN1235-Settings!$C$16)*Settings!$C$17)</f>
        <v/>
      </c>
      <c r="BC1235" s="35" t="str">
        <f aca="false">IF($B1235="","",BA1235-BB1235)</f>
        <v/>
      </c>
      <c r="BD1235" s="35" t="str">
        <f aca="false">IF(OR($B1235="",$A1235=""),"",DAY(EOMONTH($A1235,0))-COUNTA($F1235:$AJ1235))</f>
        <v/>
      </c>
    </row>
    <row r="1236" customFormat="false" ht="15" hidden="false" customHeight="false" outlineLevel="0" collapsed="false">
      <c r="A1236" s="32"/>
      <c r="B1236" s="29"/>
      <c r="C1236" s="10" t="str">
        <f aca="false">IF($B1236="","",IFERROR(INDEX(M_name,MATCH($B1236,M_emp,0)),"Code not found"))</f>
        <v/>
      </c>
      <c r="D1236" s="10" t="str">
        <f aca="false">IF($B1236="","",IFERROR(INDEX(M_dept,MATCH($B1236,M_emp,0)),""))</f>
        <v/>
      </c>
      <c r="E1236" s="10" t="str">
        <f aca="false">IF($B1236="","",IFERROR(INDEX(M_loc,MATCH($B1236,M_emp,0)),""))</f>
        <v/>
      </c>
      <c r="F1236" s="33"/>
      <c r="G1236" s="33"/>
      <c r="H1236" s="33"/>
      <c r="I1236" s="33"/>
      <c r="J1236" s="33"/>
      <c r="K1236" s="33"/>
      <c r="L1236" s="33"/>
      <c r="M1236" s="33"/>
      <c r="N1236" s="33"/>
      <c r="O1236" s="33"/>
      <c r="P1236" s="33"/>
      <c r="Q1236" s="33"/>
      <c r="R1236" s="33"/>
      <c r="S1236" s="33"/>
      <c r="T1236" s="33"/>
      <c r="U1236" s="33"/>
      <c r="V1236" s="33"/>
      <c r="W1236" s="33"/>
      <c r="X1236" s="33"/>
      <c r="Y1236" s="33"/>
      <c r="Z1236" s="33"/>
      <c r="AA1236" s="33"/>
      <c r="AB1236" s="33"/>
      <c r="AC1236" s="33"/>
      <c r="AD1236" s="33"/>
      <c r="AE1236" s="33"/>
      <c r="AF1236" s="33"/>
      <c r="AG1236" s="33"/>
      <c r="AH1236" s="33"/>
      <c r="AI1236" s="33"/>
      <c r="AJ1236" s="33"/>
      <c r="AK1236" s="34" t="str">
        <f aca="false">IF($B1236="","",COUNTIF($F1236:$AJ1236,"P"))</f>
        <v/>
      </c>
      <c r="AL1236" s="34" t="str">
        <f aca="false">IF($B1236="","",COUNTIF($F1236:$AJ1236,"A"))</f>
        <v/>
      </c>
      <c r="AM1236" s="34" t="str">
        <f aca="false">IF($B1236="","",COUNTIF($F1236:$AJ1236,"HA"))</f>
        <v/>
      </c>
      <c r="AN1236" s="34" t="str">
        <f aca="false">IF($B1236="","",COUNTIF($F1236:$AJ1236,"L"))</f>
        <v/>
      </c>
      <c r="AO1236" s="34" t="str">
        <f aca="false">IF($B1236="","",COUNTIF($F1236:$AJ1236,"PL"))</f>
        <v/>
      </c>
      <c r="AP1236" s="34" t="str">
        <f aca="false">IF($B1236="","",COUNTIF($F1236:$AJ1236,"CL"))</f>
        <v/>
      </c>
      <c r="AQ1236" s="34" t="str">
        <f aca="false">IF($B1236="","",COUNTIF($F1236:$AJ1236,"SL"))</f>
        <v/>
      </c>
      <c r="AR1236" s="34" t="str">
        <f aca="false">IF($B1236="","",COUNTIF($F1236:$AJ1236,"CO"))</f>
        <v/>
      </c>
      <c r="AS1236" s="34" t="str">
        <f aca="false">IF($B1236="","",COUNTIF($F1236:$AJ1236,"HPL"))</f>
        <v/>
      </c>
      <c r="AT1236" s="34" t="str">
        <f aca="false">IF($B1236="","",COUNTIF($F1236:$AJ1236,"HCL"))</f>
        <v/>
      </c>
      <c r="AU1236" s="34" t="str">
        <f aca="false">IF($B1236="","",COUNTIF($F1236:$AJ1236,"WO"))</f>
        <v/>
      </c>
      <c r="AV1236" s="34" t="str">
        <f aca="false">IF($B1236="","",COUNTIF($F1236:$AJ1236,"PH"))</f>
        <v/>
      </c>
      <c r="AW1236" s="34" t="str">
        <f aca="false">IF($B1236="","",COUNTIF($F1236:$AJ1236,"TR"))</f>
        <v/>
      </c>
      <c r="AX1236" s="35" t="str">
        <f aca="false">IF($B1236="","",AO1236+AS1236/2)</f>
        <v/>
      </c>
      <c r="AY1236" s="35" t="str">
        <f aca="false">IF($B1236="","",AQ1236)</f>
        <v/>
      </c>
      <c r="AZ1236" s="35" t="str">
        <f aca="false">IF($B1236="","",AP1236+AT1236/2)</f>
        <v/>
      </c>
      <c r="BA1236" s="35" t="str">
        <f aca="false">IF($B1236="","",AK1236+AN1236+AM1236/2+AO1236+AP1236+AQ1236+AR1236+AS1236+AT1236+AU1236+AV1236+AW1236)</f>
        <v/>
      </c>
      <c r="BB1236" s="35" t="str">
        <f aca="false">IF($B1236="","",MAX(0,AN1236-Settings!$C$16)*Settings!$C$17)</f>
        <v/>
      </c>
      <c r="BC1236" s="35" t="str">
        <f aca="false">IF($B1236="","",BA1236-BB1236)</f>
        <v/>
      </c>
      <c r="BD1236" s="35" t="str">
        <f aca="false">IF(OR($B1236="",$A1236=""),"",DAY(EOMONTH($A1236,0))-COUNTA($F1236:$AJ1236))</f>
        <v/>
      </c>
    </row>
    <row r="1237" customFormat="false" ht="15" hidden="false" customHeight="false" outlineLevel="0" collapsed="false">
      <c r="A1237" s="32"/>
      <c r="B1237" s="29"/>
      <c r="C1237" s="10" t="str">
        <f aca="false">IF($B1237="","",IFERROR(INDEX(M_name,MATCH($B1237,M_emp,0)),"Code not found"))</f>
        <v/>
      </c>
      <c r="D1237" s="10" t="str">
        <f aca="false">IF($B1237="","",IFERROR(INDEX(M_dept,MATCH($B1237,M_emp,0)),""))</f>
        <v/>
      </c>
      <c r="E1237" s="10" t="str">
        <f aca="false">IF($B1237="","",IFERROR(INDEX(M_loc,MATCH($B1237,M_emp,0)),""))</f>
        <v/>
      </c>
      <c r="F1237" s="33"/>
      <c r="G1237" s="33"/>
      <c r="H1237" s="33"/>
      <c r="I1237" s="33"/>
      <c r="J1237" s="33"/>
      <c r="K1237" s="33"/>
      <c r="L1237" s="33"/>
      <c r="M1237" s="33"/>
      <c r="N1237" s="33"/>
      <c r="O1237" s="33"/>
      <c r="P1237" s="33"/>
      <c r="Q1237" s="33"/>
      <c r="R1237" s="33"/>
      <c r="S1237" s="33"/>
      <c r="T1237" s="33"/>
      <c r="U1237" s="33"/>
      <c r="V1237" s="33"/>
      <c r="W1237" s="33"/>
      <c r="X1237" s="33"/>
      <c r="Y1237" s="33"/>
      <c r="Z1237" s="33"/>
      <c r="AA1237" s="33"/>
      <c r="AB1237" s="33"/>
      <c r="AC1237" s="33"/>
      <c r="AD1237" s="33"/>
      <c r="AE1237" s="33"/>
      <c r="AF1237" s="33"/>
      <c r="AG1237" s="33"/>
      <c r="AH1237" s="33"/>
      <c r="AI1237" s="33"/>
      <c r="AJ1237" s="33"/>
      <c r="AK1237" s="34" t="str">
        <f aca="false">IF($B1237="","",COUNTIF($F1237:$AJ1237,"P"))</f>
        <v/>
      </c>
      <c r="AL1237" s="34" t="str">
        <f aca="false">IF($B1237="","",COUNTIF($F1237:$AJ1237,"A"))</f>
        <v/>
      </c>
      <c r="AM1237" s="34" t="str">
        <f aca="false">IF($B1237="","",COUNTIF($F1237:$AJ1237,"HA"))</f>
        <v/>
      </c>
      <c r="AN1237" s="34" t="str">
        <f aca="false">IF($B1237="","",COUNTIF($F1237:$AJ1237,"L"))</f>
        <v/>
      </c>
      <c r="AO1237" s="34" t="str">
        <f aca="false">IF($B1237="","",COUNTIF($F1237:$AJ1237,"PL"))</f>
        <v/>
      </c>
      <c r="AP1237" s="34" t="str">
        <f aca="false">IF($B1237="","",COUNTIF($F1237:$AJ1237,"CL"))</f>
        <v/>
      </c>
      <c r="AQ1237" s="34" t="str">
        <f aca="false">IF($B1237="","",COUNTIF($F1237:$AJ1237,"SL"))</f>
        <v/>
      </c>
      <c r="AR1237" s="34" t="str">
        <f aca="false">IF($B1237="","",COUNTIF($F1237:$AJ1237,"CO"))</f>
        <v/>
      </c>
      <c r="AS1237" s="34" t="str">
        <f aca="false">IF($B1237="","",COUNTIF($F1237:$AJ1237,"HPL"))</f>
        <v/>
      </c>
      <c r="AT1237" s="34" t="str">
        <f aca="false">IF($B1237="","",COUNTIF($F1237:$AJ1237,"HCL"))</f>
        <v/>
      </c>
      <c r="AU1237" s="34" t="str">
        <f aca="false">IF($B1237="","",COUNTIF($F1237:$AJ1237,"WO"))</f>
        <v/>
      </c>
      <c r="AV1237" s="34" t="str">
        <f aca="false">IF($B1237="","",COUNTIF($F1237:$AJ1237,"PH"))</f>
        <v/>
      </c>
      <c r="AW1237" s="34" t="str">
        <f aca="false">IF($B1237="","",COUNTIF($F1237:$AJ1237,"TR"))</f>
        <v/>
      </c>
      <c r="AX1237" s="35" t="str">
        <f aca="false">IF($B1237="","",AO1237+AS1237/2)</f>
        <v/>
      </c>
      <c r="AY1237" s="35" t="str">
        <f aca="false">IF($B1237="","",AQ1237)</f>
        <v/>
      </c>
      <c r="AZ1237" s="35" t="str">
        <f aca="false">IF($B1237="","",AP1237+AT1237/2)</f>
        <v/>
      </c>
      <c r="BA1237" s="35" t="str">
        <f aca="false">IF($B1237="","",AK1237+AN1237+AM1237/2+AO1237+AP1237+AQ1237+AR1237+AS1237+AT1237+AU1237+AV1237+AW1237)</f>
        <v/>
      </c>
      <c r="BB1237" s="35" t="str">
        <f aca="false">IF($B1237="","",MAX(0,AN1237-Settings!$C$16)*Settings!$C$17)</f>
        <v/>
      </c>
      <c r="BC1237" s="35" t="str">
        <f aca="false">IF($B1237="","",BA1237-BB1237)</f>
        <v/>
      </c>
      <c r="BD1237" s="35" t="str">
        <f aca="false">IF(OR($B1237="",$A1237=""),"",DAY(EOMONTH($A1237,0))-COUNTA($F1237:$AJ1237))</f>
        <v/>
      </c>
    </row>
    <row r="1238" customFormat="false" ht="15" hidden="false" customHeight="false" outlineLevel="0" collapsed="false">
      <c r="A1238" s="32"/>
      <c r="B1238" s="29"/>
      <c r="C1238" s="10" t="str">
        <f aca="false">IF($B1238="","",IFERROR(INDEX(M_name,MATCH($B1238,M_emp,0)),"Code not found"))</f>
        <v/>
      </c>
      <c r="D1238" s="10" t="str">
        <f aca="false">IF($B1238="","",IFERROR(INDEX(M_dept,MATCH($B1238,M_emp,0)),""))</f>
        <v/>
      </c>
      <c r="E1238" s="10" t="str">
        <f aca="false">IF($B1238="","",IFERROR(INDEX(M_loc,MATCH($B1238,M_emp,0)),""))</f>
        <v/>
      </c>
      <c r="F1238" s="33"/>
      <c r="G1238" s="33"/>
      <c r="H1238" s="33"/>
      <c r="I1238" s="33"/>
      <c r="J1238" s="33"/>
      <c r="K1238" s="33"/>
      <c r="L1238" s="33"/>
      <c r="M1238" s="33"/>
      <c r="N1238" s="33"/>
      <c r="O1238" s="33"/>
      <c r="P1238" s="33"/>
      <c r="Q1238" s="33"/>
      <c r="R1238" s="33"/>
      <c r="S1238" s="33"/>
      <c r="T1238" s="33"/>
      <c r="U1238" s="33"/>
      <c r="V1238" s="33"/>
      <c r="W1238" s="33"/>
      <c r="X1238" s="33"/>
      <c r="Y1238" s="33"/>
      <c r="Z1238" s="33"/>
      <c r="AA1238" s="33"/>
      <c r="AB1238" s="33"/>
      <c r="AC1238" s="33"/>
      <c r="AD1238" s="33"/>
      <c r="AE1238" s="33"/>
      <c r="AF1238" s="33"/>
      <c r="AG1238" s="33"/>
      <c r="AH1238" s="33"/>
      <c r="AI1238" s="33"/>
      <c r="AJ1238" s="33"/>
      <c r="AK1238" s="34" t="str">
        <f aca="false">IF($B1238="","",COUNTIF($F1238:$AJ1238,"P"))</f>
        <v/>
      </c>
      <c r="AL1238" s="34" t="str">
        <f aca="false">IF($B1238="","",COUNTIF($F1238:$AJ1238,"A"))</f>
        <v/>
      </c>
      <c r="AM1238" s="34" t="str">
        <f aca="false">IF($B1238="","",COUNTIF($F1238:$AJ1238,"HA"))</f>
        <v/>
      </c>
      <c r="AN1238" s="34" t="str">
        <f aca="false">IF($B1238="","",COUNTIF($F1238:$AJ1238,"L"))</f>
        <v/>
      </c>
      <c r="AO1238" s="34" t="str">
        <f aca="false">IF($B1238="","",COUNTIF($F1238:$AJ1238,"PL"))</f>
        <v/>
      </c>
      <c r="AP1238" s="34" t="str">
        <f aca="false">IF($B1238="","",COUNTIF($F1238:$AJ1238,"CL"))</f>
        <v/>
      </c>
      <c r="AQ1238" s="34" t="str">
        <f aca="false">IF($B1238="","",COUNTIF($F1238:$AJ1238,"SL"))</f>
        <v/>
      </c>
      <c r="AR1238" s="34" t="str">
        <f aca="false">IF($B1238="","",COUNTIF($F1238:$AJ1238,"CO"))</f>
        <v/>
      </c>
      <c r="AS1238" s="34" t="str">
        <f aca="false">IF($B1238="","",COUNTIF($F1238:$AJ1238,"HPL"))</f>
        <v/>
      </c>
      <c r="AT1238" s="34" t="str">
        <f aca="false">IF($B1238="","",COUNTIF($F1238:$AJ1238,"HCL"))</f>
        <v/>
      </c>
      <c r="AU1238" s="34" t="str">
        <f aca="false">IF($B1238="","",COUNTIF($F1238:$AJ1238,"WO"))</f>
        <v/>
      </c>
      <c r="AV1238" s="34" t="str">
        <f aca="false">IF($B1238="","",COUNTIF($F1238:$AJ1238,"PH"))</f>
        <v/>
      </c>
      <c r="AW1238" s="34" t="str">
        <f aca="false">IF($B1238="","",COUNTIF($F1238:$AJ1238,"TR"))</f>
        <v/>
      </c>
      <c r="AX1238" s="35" t="str">
        <f aca="false">IF($B1238="","",AO1238+AS1238/2)</f>
        <v/>
      </c>
      <c r="AY1238" s="35" t="str">
        <f aca="false">IF($B1238="","",AQ1238)</f>
        <v/>
      </c>
      <c r="AZ1238" s="35" t="str">
        <f aca="false">IF($B1238="","",AP1238+AT1238/2)</f>
        <v/>
      </c>
      <c r="BA1238" s="35" t="str">
        <f aca="false">IF($B1238="","",AK1238+AN1238+AM1238/2+AO1238+AP1238+AQ1238+AR1238+AS1238+AT1238+AU1238+AV1238+AW1238)</f>
        <v/>
      </c>
      <c r="BB1238" s="35" t="str">
        <f aca="false">IF($B1238="","",MAX(0,AN1238-Settings!$C$16)*Settings!$C$17)</f>
        <v/>
      </c>
      <c r="BC1238" s="35" t="str">
        <f aca="false">IF($B1238="","",BA1238-BB1238)</f>
        <v/>
      </c>
      <c r="BD1238" s="35" t="str">
        <f aca="false">IF(OR($B1238="",$A1238=""),"",DAY(EOMONTH($A1238,0))-COUNTA($F1238:$AJ1238))</f>
        <v/>
      </c>
    </row>
    <row r="1239" customFormat="false" ht="15" hidden="false" customHeight="false" outlineLevel="0" collapsed="false">
      <c r="A1239" s="32"/>
      <c r="B1239" s="29"/>
      <c r="C1239" s="10" t="str">
        <f aca="false">IF($B1239="","",IFERROR(INDEX(M_name,MATCH($B1239,M_emp,0)),"Code not found"))</f>
        <v/>
      </c>
      <c r="D1239" s="10" t="str">
        <f aca="false">IF($B1239="","",IFERROR(INDEX(M_dept,MATCH($B1239,M_emp,0)),""))</f>
        <v/>
      </c>
      <c r="E1239" s="10" t="str">
        <f aca="false">IF($B1239="","",IFERROR(INDEX(M_loc,MATCH($B1239,M_emp,0)),""))</f>
        <v/>
      </c>
      <c r="F1239" s="33"/>
      <c r="G1239" s="33"/>
      <c r="H1239" s="33"/>
      <c r="I1239" s="33"/>
      <c r="J1239" s="33"/>
      <c r="K1239" s="33"/>
      <c r="L1239" s="33"/>
      <c r="M1239" s="33"/>
      <c r="N1239" s="33"/>
      <c r="O1239" s="33"/>
      <c r="P1239" s="33"/>
      <c r="Q1239" s="33"/>
      <c r="R1239" s="33"/>
      <c r="S1239" s="33"/>
      <c r="T1239" s="33"/>
      <c r="U1239" s="33"/>
      <c r="V1239" s="33"/>
      <c r="W1239" s="33"/>
      <c r="X1239" s="33"/>
      <c r="Y1239" s="33"/>
      <c r="Z1239" s="33"/>
      <c r="AA1239" s="33"/>
      <c r="AB1239" s="33"/>
      <c r="AC1239" s="33"/>
      <c r="AD1239" s="33"/>
      <c r="AE1239" s="33"/>
      <c r="AF1239" s="33"/>
      <c r="AG1239" s="33"/>
      <c r="AH1239" s="33"/>
      <c r="AI1239" s="33"/>
      <c r="AJ1239" s="33"/>
      <c r="AK1239" s="34" t="str">
        <f aca="false">IF($B1239="","",COUNTIF($F1239:$AJ1239,"P"))</f>
        <v/>
      </c>
      <c r="AL1239" s="34" t="str">
        <f aca="false">IF($B1239="","",COUNTIF($F1239:$AJ1239,"A"))</f>
        <v/>
      </c>
      <c r="AM1239" s="34" t="str">
        <f aca="false">IF($B1239="","",COUNTIF($F1239:$AJ1239,"HA"))</f>
        <v/>
      </c>
      <c r="AN1239" s="34" t="str">
        <f aca="false">IF($B1239="","",COUNTIF($F1239:$AJ1239,"L"))</f>
        <v/>
      </c>
      <c r="AO1239" s="34" t="str">
        <f aca="false">IF($B1239="","",COUNTIF($F1239:$AJ1239,"PL"))</f>
        <v/>
      </c>
      <c r="AP1239" s="34" t="str">
        <f aca="false">IF($B1239="","",COUNTIF($F1239:$AJ1239,"CL"))</f>
        <v/>
      </c>
      <c r="AQ1239" s="34" t="str">
        <f aca="false">IF($B1239="","",COUNTIF($F1239:$AJ1239,"SL"))</f>
        <v/>
      </c>
      <c r="AR1239" s="34" t="str">
        <f aca="false">IF($B1239="","",COUNTIF($F1239:$AJ1239,"CO"))</f>
        <v/>
      </c>
      <c r="AS1239" s="34" t="str">
        <f aca="false">IF($B1239="","",COUNTIF($F1239:$AJ1239,"HPL"))</f>
        <v/>
      </c>
      <c r="AT1239" s="34" t="str">
        <f aca="false">IF($B1239="","",COUNTIF($F1239:$AJ1239,"HCL"))</f>
        <v/>
      </c>
      <c r="AU1239" s="34" t="str">
        <f aca="false">IF($B1239="","",COUNTIF($F1239:$AJ1239,"WO"))</f>
        <v/>
      </c>
      <c r="AV1239" s="34" t="str">
        <f aca="false">IF($B1239="","",COUNTIF($F1239:$AJ1239,"PH"))</f>
        <v/>
      </c>
      <c r="AW1239" s="34" t="str">
        <f aca="false">IF($B1239="","",COUNTIF($F1239:$AJ1239,"TR"))</f>
        <v/>
      </c>
      <c r="AX1239" s="35" t="str">
        <f aca="false">IF($B1239="","",AO1239+AS1239/2)</f>
        <v/>
      </c>
      <c r="AY1239" s="35" t="str">
        <f aca="false">IF($B1239="","",AQ1239)</f>
        <v/>
      </c>
      <c r="AZ1239" s="35" t="str">
        <f aca="false">IF($B1239="","",AP1239+AT1239/2)</f>
        <v/>
      </c>
      <c r="BA1239" s="35" t="str">
        <f aca="false">IF($B1239="","",AK1239+AN1239+AM1239/2+AO1239+AP1239+AQ1239+AR1239+AS1239+AT1239+AU1239+AV1239+AW1239)</f>
        <v/>
      </c>
      <c r="BB1239" s="35" t="str">
        <f aca="false">IF($B1239="","",MAX(0,AN1239-Settings!$C$16)*Settings!$C$17)</f>
        <v/>
      </c>
      <c r="BC1239" s="35" t="str">
        <f aca="false">IF($B1239="","",BA1239-BB1239)</f>
        <v/>
      </c>
      <c r="BD1239" s="35" t="str">
        <f aca="false">IF(OR($B1239="",$A1239=""),"",DAY(EOMONTH($A1239,0))-COUNTA($F1239:$AJ1239))</f>
        <v/>
      </c>
    </row>
    <row r="1240" customFormat="false" ht="15" hidden="false" customHeight="false" outlineLevel="0" collapsed="false">
      <c r="A1240" s="32"/>
      <c r="B1240" s="29"/>
      <c r="C1240" s="10" t="str">
        <f aca="false">IF($B1240="","",IFERROR(INDEX(M_name,MATCH($B1240,M_emp,0)),"Code not found"))</f>
        <v/>
      </c>
      <c r="D1240" s="10" t="str">
        <f aca="false">IF($B1240="","",IFERROR(INDEX(M_dept,MATCH($B1240,M_emp,0)),""))</f>
        <v/>
      </c>
      <c r="E1240" s="10" t="str">
        <f aca="false">IF($B1240="","",IFERROR(INDEX(M_loc,MATCH($B1240,M_emp,0)),""))</f>
        <v/>
      </c>
      <c r="F1240" s="33"/>
      <c r="G1240" s="33"/>
      <c r="H1240" s="33"/>
      <c r="I1240" s="33"/>
      <c r="J1240" s="33"/>
      <c r="K1240" s="33"/>
      <c r="L1240" s="33"/>
      <c r="M1240" s="33"/>
      <c r="N1240" s="33"/>
      <c r="O1240" s="33"/>
      <c r="P1240" s="33"/>
      <c r="Q1240" s="33"/>
      <c r="R1240" s="33"/>
      <c r="S1240" s="33"/>
      <c r="T1240" s="33"/>
      <c r="U1240" s="33"/>
      <c r="V1240" s="33"/>
      <c r="W1240" s="33"/>
      <c r="X1240" s="33"/>
      <c r="Y1240" s="33"/>
      <c r="Z1240" s="33"/>
      <c r="AA1240" s="33"/>
      <c r="AB1240" s="33"/>
      <c r="AC1240" s="33"/>
      <c r="AD1240" s="33"/>
      <c r="AE1240" s="33"/>
      <c r="AF1240" s="33"/>
      <c r="AG1240" s="33"/>
      <c r="AH1240" s="33"/>
      <c r="AI1240" s="33"/>
      <c r="AJ1240" s="33"/>
      <c r="AK1240" s="34" t="str">
        <f aca="false">IF($B1240="","",COUNTIF($F1240:$AJ1240,"P"))</f>
        <v/>
      </c>
      <c r="AL1240" s="34" t="str">
        <f aca="false">IF($B1240="","",COUNTIF($F1240:$AJ1240,"A"))</f>
        <v/>
      </c>
      <c r="AM1240" s="34" t="str">
        <f aca="false">IF($B1240="","",COUNTIF($F1240:$AJ1240,"HA"))</f>
        <v/>
      </c>
      <c r="AN1240" s="34" t="str">
        <f aca="false">IF($B1240="","",COUNTIF($F1240:$AJ1240,"L"))</f>
        <v/>
      </c>
      <c r="AO1240" s="34" t="str">
        <f aca="false">IF($B1240="","",COUNTIF($F1240:$AJ1240,"PL"))</f>
        <v/>
      </c>
      <c r="AP1240" s="34" t="str">
        <f aca="false">IF($B1240="","",COUNTIF($F1240:$AJ1240,"CL"))</f>
        <v/>
      </c>
      <c r="AQ1240" s="34" t="str">
        <f aca="false">IF($B1240="","",COUNTIF($F1240:$AJ1240,"SL"))</f>
        <v/>
      </c>
      <c r="AR1240" s="34" t="str">
        <f aca="false">IF($B1240="","",COUNTIF($F1240:$AJ1240,"CO"))</f>
        <v/>
      </c>
      <c r="AS1240" s="34" t="str">
        <f aca="false">IF($B1240="","",COUNTIF($F1240:$AJ1240,"HPL"))</f>
        <v/>
      </c>
      <c r="AT1240" s="34" t="str">
        <f aca="false">IF($B1240="","",COUNTIF($F1240:$AJ1240,"HCL"))</f>
        <v/>
      </c>
      <c r="AU1240" s="34" t="str">
        <f aca="false">IF($B1240="","",COUNTIF($F1240:$AJ1240,"WO"))</f>
        <v/>
      </c>
      <c r="AV1240" s="34" t="str">
        <f aca="false">IF($B1240="","",COUNTIF($F1240:$AJ1240,"PH"))</f>
        <v/>
      </c>
      <c r="AW1240" s="34" t="str">
        <f aca="false">IF($B1240="","",COUNTIF($F1240:$AJ1240,"TR"))</f>
        <v/>
      </c>
      <c r="AX1240" s="35" t="str">
        <f aca="false">IF($B1240="","",AO1240+AS1240/2)</f>
        <v/>
      </c>
      <c r="AY1240" s="35" t="str">
        <f aca="false">IF($B1240="","",AQ1240)</f>
        <v/>
      </c>
      <c r="AZ1240" s="35" t="str">
        <f aca="false">IF($B1240="","",AP1240+AT1240/2)</f>
        <v/>
      </c>
      <c r="BA1240" s="35" t="str">
        <f aca="false">IF($B1240="","",AK1240+AN1240+AM1240/2+AO1240+AP1240+AQ1240+AR1240+AS1240+AT1240+AU1240+AV1240+AW1240)</f>
        <v/>
      </c>
      <c r="BB1240" s="35" t="str">
        <f aca="false">IF($B1240="","",MAX(0,AN1240-Settings!$C$16)*Settings!$C$17)</f>
        <v/>
      </c>
      <c r="BC1240" s="35" t="str">
        <f aca="false">IF($B1240="","",BA1240-BB1240)</f>
        <v/>
      </c>
      <c r="BD1240" s="35" t="str">
        <f aca="false">IF(OR($B1240="",$A1240=""),"",DAY(EOMONTH($A1240,0))-COUNTA($F1240:$AJ1240))</f>
        <v/>
      </c>
    </row>
    <row r="1241" customFormat="false" ht="15" hidden="false" customHeight="false" outlineLevel="0" collapsed="false">
      <c r="A1241" s="32"/>
      <c r="B1241" s="29"/>
      <c r="C1241" s="10" t="str">
        <f aca="false">IF($B1241="","",IFERROR(INDEX(M_name,MATCH($B1241,M_emp,0)),"Code not found"))</f>
        <v/>
      </c>
      <c r="D1241" s="10" t="str">
        <f aca="false">IF($B1241="","",IFERROR(INDEX(M_dept,MATCH($B1241,M_emp,0)),""))</f>
        <v/>
      </c>
      <c r="E1241" s="10" t="str">
        <f aca="false">IF($B1241="","",IFERROR(INDEX(M_loc,MATCH($B1241,M_emp,0)),""))</f>
        <v/>
      </c>
      <c r="F1241" s="33"/>
      <c r="G1241" s="33"/>
      <c r="H1241" s="33"/>
      <c r="I1241" s="33"/>
      <c r="J1241" s="33"/>
      <c r="K1241" s="33"/>
      <c r="L1241" s="33"/>
      <c r="M1241" s="33"/>
      <c r="N1241" s="33"/>
      <c r="O1241" s="33"/>
      <c r="P1241" s="33"/>
      <c r="Q1241" s="33"/>
      <c r="R1241" s="33"/>
      <c r="S1241" s="33"/>
      <c r="T1241" s="33"/>
      <c r="U1241" s="33"/>
      <c r="V1241" s="33"/>
      <c r="W1241" s="33"/>
      <c r="X1241" s="33"/>
      <c r="Y1241" s="33"/>
      <c r="Z1241" s="33"/>
      <c r="AA1241" s="33"/>
      <c r="AB1241" s="33"/>
      <c r="AC1241" s="33"/>
      <c r="AD1241" s="33"/>
      <c r="AE1241" s="33"/>
      <c r="AF1241" s="33"/>
      <c r="AG1241" s="33"/>
      <c r="AH1241" s="33"/>
      <c r="AI1241" s="33"/>
      <c r="AJ1241" s="33"/>
      <c r="AK1241" s="34" t="str">
        <f aca="false">IF($B1241="","",COUNTIF($F1241:$AJ1241,"P"))</f>
        <v/>
      </c>
      <c r="AL1241" s="34" t="str">
        <f aca="false">IF($B1241="","",COUNTIF($F1241:$AJ1241,"A"))</f>
        <v/>
      </c>
      <c r="AM1241" s="34" t="str">
        <f aca="false">IF($B1241="","",COUNTIF($F1241:$AJ1241,"HA"))</f>
        <v/>
      </c>
      <c r="AN1241" s="34" t="str">
        <f aca="false">IF($B1241="","",COUNTIF($F1241:$AJ1241,"L"))</f>
        <v/>
      </c>
      <c r="AO1241" s="34" t="str">
        <f aca="false">IF($B1241="","",COUNTIF($F1241:$AJ1241,"PL"))</f>
        <v/>
      </c>
      <c r="AP1241" s="34" t="str">
        <f aca="false">IF($B1241="","",COUNTIF($F1241:$AJ1241,"CL"))</f>
        <v/>
      </c>
      <c r="AQ1241" s="34" t="str">
        <f aca="false">IF($B1241="","",COUNTIF($F1241:$AJ1241,"SL"))</f>
        <v/>
      </c>
      <c r="AR1241" s="34" t="str">
        <f aca="false">IF($B1241="","",COUNTIF($F1241:$AJ1241,"CO"))</f>
        <v/>
      </c>
      <c r="AS1241" s="34" t="str">
        <f aca="false">IF($B1241="","",COUNTIF($F1241:$AJ1241,"HPL"))</f>
        <v/>
      </c>
      <c r="AT1241" s="34" t="str">
        <f aca="false">IF($B1241="","",COUNTIF($F1241:$AJ1241,"HCL"))</f>
        <v/>
      </c>
      <c r="AU1241" s="34" t="str">
        <f aca="false">IF($B1241="","",COUNTIF($F1241:$AJ1241,"WO"))</f>
        <v/>
      </c>
      <c r="AV1241" s="34" t="str">
        <f aca="false">IF($B1241="","",COUNTIF($F1241:$AJ1241,"PH"))</f>
        <v/>
      </c>
      <c r="AW1241" s="34" t="str">
        <f aca="false">IF($B1241="","",COUNTIF($F1241:$AJ1241,"TR"))</f>
        <v/>
      </c>
      <c r="AX1241" s="35" t="str">
        <f aca="false">IF($B1241="","",AO1241+AS1241/2)</f>
        <v/>
      </c>
      <c r="AY1241" s="35" t="str">
        <f aca="false">IF($B1241="","",AQ1241)</f>
        <v/>
      </c>
      <c r="AZ1241" s="35" t="str">
        <f aca="false">IF($B1241="","",AP1241+AT1241/2)</f>
        <v/>
      </c>
      <c r="BA1241" s="35" t="str">
        <f aca="false">IF($B1241="","",AK1241+AN1241+AM1241/2+AO1241+AP1241+AQ1241+AR1241+AS1241+AT1241+AU1241+AV1241+AW1241)</f>
        <v/>
      </c>
      <c r="BB1241" s="35" t="str">
        <f aca="false">IF($B1241="","",MAX(0,AN1241-Settings!$C$16)*Settings!$C$17)</f>
        <v/>
      </c>
      <c r="BC1241" s="35" t="str">
        <f aca="false">IF($B1241="","",BA1241-BB1241)</f>
        <v/>
      </c>
      <c r="BD1241" s="35" t="str">
        <f aca="false">IF(OR($B1241="",$A1241=""),"",DAY(EOMONTH($A1241,0))-COUNTA($F1241:$AJ1241))</f>
        <v/>
      </c>
    </row>
    <row r="1242" customFormat="false" ht="15" hidden="false" customHeight="false" outlineLevel="0" collapsed="false">
      <c r="A1242" s="32"/>
      <c r="B1242" s="29"/>
      <c r="C1242" s="10" t="str">
        <f aca="false">IF($B1242="","",IFERROR(INDEX(M_name,MATCH($B1242,M_emp,0)),"Code not found"))</f>
        <v/>
      </c>
      <c r="D1242" s="10" t="str">
        <f aca="false">IF($B1242="","",IFERROR(INDEX(M_dept,MATCH($B1242,M_emp,0)),""))</f>
        <v/>
      </c>
      <c r="E1242" s="10" t="str">
        <f aca="false">IF($B1242="","",IFERROR(INDEX(M_loc,MATCH($B1242,M_emp,0)),""))</f>
        <v/>
      </c>
      <c r="F1242" s="33"/>
      <c r="G1242" s="33"/>
      <c r="H1242" s="33"/>
      <c r="I1242" s="33"/>
      <c r="J1242" s="33"/>
      <c r="K1242" s="33"/>
      <c r="L1242" s="33"/>
      <c r="M1242" s="33"/>
      <c r="N1242" s="33"/>
      <c r="O1242" s="33"/>
      <c r="P1242" s="33"/>
      <c r="Q1242" s="33"/>
      <c r="R1242" s="33"/>
      <c r="S1242" s="33"/>
      <c r="T1242" s="33"/>
      <c r="U1242" s="33"/>
      <c r="V1242" s="33"/>
      <c r="W1242" s="33"/>
      <c r="X1242" s="33"/>
      <c r="Y1242" s="33"/>
      <c r="Z1242" s="33"/>
      <c r="AA1242" s="33"/>
      <c r="AB1242" s="33"/>
      <c r="AC1242" s="33"/>
      <c r="AD1242" s="33"/>
      <c r="AE1242" s="33"/>
      <c r="AF1242" s="33"/>
      <c r="AG1242" s="33"/>
      <c r="AH1242" s="33"/>
      <c r="AI1242" s="33"/>
      <c r="AJ1242" s="33"/>
      <c r="AK1242" s="34" t="str">
        <f aca="false">IF($B1242="","",COUNTIF($F1242:$AJ1242,"P"))</f>
        <v/>
      </c>
      <c r="AL1242" s="34" t="str">
        <f aca="false">IF($B1242="","",COUNTIF($F1242:$AJ1242,"A"))</f>
        <v/>
      </c>
      <c r="AM1242" s="34" t="str">
        <f aca="false">IF($B1242="","",COUNTIF($F1242:$AJ1242,"HA"))</f>
        <v/>
      </c>
      <c r="AN1242" s="34" t="str">
        <f aca="false">IF($B1242="","",COUNTIF($F1242:$AJ1242,"L"))</f>
        <v/>
      </c>
      <c r="AO1242" s="34" t="str">
        <f aca="false">IF($B1242="","",COUNTIF($F1242:$AJ1242,"PL"))</f>
        <v/>
      </c>
      <c r="AP1242" s="34" t="str">
        <f aca="false">IF($B1242="","",COUNTIF($F1242:$AJ1242,"CL"))</f>
        <v/>
      </c>
      <c r="AQ1242" s="34" t="str">
        <f aca="false">IF($B1242="","",COUNTIF($F1242:$AJ1242,"SL"))</f>
        <v/>
      </c>
      <c r="AR1242" s="34" t="str">
        <f aca="false">IF($B1242="","",COUNTIF($F1242:$AJ1242,"CO"))</f>
        <v/>
      </c>
      <c r="AS1242" s="34" t="str">
        <f aca="false">IF($B1242="","",COUNTIF($F1242:$AJ1242,"HPL"))</f>
        <v/>
      </c>
      <c r="AT1242" s="34" t="str">
        <f aca="false">IF($B1242="","",COUNTIF($F1242:$AJ1242,"HCL"))</f>
        <v/>
      </c>
      <c r="AU1242" s="34" t="str">
        <f aca="false">IF($B1242="","",COUNTIF($F1242:$AJ1242,"WO"))</f>
        <v/>
      </c>
      <c r="AV1242" s="34" t="str">
        <f aca="false">IF($B1242="","",COUNTIF($F1242:$AJ1242,"PH"))</f>
        <v/>
      </c>
      <c r="AW1242" s="34" t="str">
        <f aca="false">IF($B1242="","",COUNTIF($F1242:$AJ1242,"TR"))</f>
        <v/>
      </c>
      <c r="AX1242" s="35" t="str">
        <f aca="false">IF($B1242="","",AO1242+AS1242/2)</f>
        <v/>
      </c>
      <c r="AY1242" s="35" t="str">
        <f aca="false">IF($B1242="","",AQ1242)</f>
        <v/>
      </c>
      <c r="AZ1242" s="35" t="str">
        <f aca="false">IF($B1242="","",AP1242+AT1242/2)</f>
        <v/>
      </c>
      <c r="BA1242" s="35" t="str">
        <f aca="false">IF($B1242="","",AK1242+AN1242+AM1242/2+AO1242+AP1242+AQ1242+AR1242+AS1242+AT1242+AU1242+AV1242+AW1242)</f>
        <v/>
      </c>
      <c r="BB1242" s="35" t="str">
        <f aca="false">IF($B1242="","",MAX(0,AN1242-Settings!$C$16)*Settings!$C$17)</f>
        <v/>
      </c>
      <c r="BC1242" s="35" t="str">
        <f aca="false">IF($B1242="","",BA1242-BB1242)</f>
        <v/>
      </c>
      <c r="BD1242" s="35" t="str">
        <f aca="false">IF(OR($B1242="",$A1242=""),"",DAY(EOMONTH($A1242,0))-COUNTA($F1242:$AJ1242))</f>
        <v/>
      </c>
    </row>
    <row r="1243" customFormat="false" ht="15" hidden="false" customHeight="false" outlineLevel="0" collapsed="false">
      <c r="A1243" s="32"/>
      <c r="B1243" s="29"/>
      <c r="C1243" s="10" t="str">
        <f aca="false">IF($B1243="","",IFERROR(INDEX(M_name,MATCH($B1243,M_emp,0)),"Code not found"))</f>
        <v/>
      </c>
      <c r="D1243" s="10" t="str">
        <f aca="false">IF($B1243="","",IFERROR(INDEX(M_dept,MATCH($B1243,M_emp,0)),""))</f>
        <v/>
      </c>
      <c r="E1243" s="10" t="str">
        <f aca="false">IF($B1243="","",IFERROR(INDEX(M_loc,MATCH($B1243,M_emp,0)),""))</f>
        <v/>
      </c>
      <c r="F1243" s="33"/>
      <c r="G1243" s="33"/>
      <c r="H1243" s="33"/>
      <c r="I1243" s="33"/>
      <c r="J1243" s="33"/>
      <c r="K1243" s="33"/>
      <c r="L1243" s="33"/>
      <c r="M1243" s="33"/>
      <c r="N1243" s="33"/>
      <c r="O1243" s="33"/>
      <c r="P1243" s="33"/>
      <c r="Q1243" s="33"/>
      <c r="R1243" s="33"/>
      <c r="S1243" s="33"/>
      <c r="T1243" s="33"/>
      <c r="U1243" s="33"/>
      <c r="V1243" s="33"/>
      <c r="W1243" s="33"/>
      <c r="X1243" s="33"/>
      <c r="Y1243" s="33"/>
      <c r="Z1243" s="33"/>
      <c r="AA1243" s="33"/>
      <c r="AB1243" s="33"/>
      <c r="AC1243" s="33"/>
      <c r="AD1243" s="33"/>
      <c r="AE1243" s="33"/>
      <c r="AF1243" s="33"/>
      <c r="AG1243" s="33"/>
      <c r="AH1243" s="33"/>
      <c r="AI1243" s="33"/>
      <c r="AJ1243" s="33"/>
      <c r="AK1243" s="34" t="str">
        <f aca="false">IF($B1243="","",COUNTIF($F1243:$AJ1243,"P"))</f>
        <v/>
      </c>
      <c r="AL1243" s="34" t="str">
        <f aca="false">IF($B1243="","",COUNTIF($F1243:$AJ1243,"A"))</f>
        <v/>
      </c>
      <c r="AM1243" s="34" t="str">
        <f aca="false">IF($B1243="","",COUNTIF($F1243:$AJ1243,"HA"))</f>
        <v/>
      </c>
      <c r="AN1243" s="34" t="str">
        <f aca="false">IF($B1243="","",COUNTIF($F1243:$AJ1243,"L"))</f>
        <v/>
      </c>
      <c r="AO1243" s="34" t="str">
        <f aca="false">IF($B1243="","",COUNTIF($F1243:$AJ1243,"PL"))</f>
        <v/>
      </c>
      <c r="AP1243" s="34" t="str">
        <f aca="false">IF($B1243="","",COUNTIF($F1243:$AJ1243,"CL"))</f>
        <v/>
      </c>
      <c r="AQ1243" s="34" t="str">
        <f aca="false">IF($B1243="","",COUNTIF($F1243:$AJ1243,"SL"))</f>
        <v/>
      </c>
      <c r="AR1243" s="34" t="str">
        <f aca="false">IF($B1243="","",COUNTIF($F1243:$AJ1243,"CO"))</f>
        <v/>
      </c>
      <c r="AS1243" s="34" t="str">
        <f aca="false">IF($B1243="","",COUNTIF($F1243:$AJ1243,"HPL"))</f>
        <v/>
      </c>
      <c r="AT1243" s="34" t="str">
        <f aca="false">IF($B1243="","",COUNTIF($F1243:$AJ1243,"HCL"))</f>
        <v/>
      </c>
      <c r="AU1243" s="34" t="str">
        <f aca="false">IF($B1243="","",COUNTIF($F1243:$AJ1243,"WO"))</f>
        <v/>
      </c>
      <c r="AV1243" s="34" t="str">
        <f aca="false">IF($B1243="","",COUNTIF($F1243:$AJ1243,"PH"))</f>
        <v/>
      </c>
      <c r="AW1243" s="34" t="str">
        <f aca="false">IF($B1243="","",COUNTIF($F1243:$AJ1243,"TR"))</f>
        <v/>
      </c>
      <c r="AX1243" s="35" t="str">
        <f aca="false">IF($B1243="","",AO1243+AS1243/2)</f>
        <v/>
      </c>
      <c r="AY1243" s="35" t="str">
        <f aca="false">IF($B1243="","",AQ1243)</f>
        <v/>
      </c>
      <c r="AZ1243" s="35" t="str">
        <f aca="false">IF($B1243="","",AP1243+AT1243/2)</f>
        <v/>
      </c>
      <c r="BA1243" s="35" t="str">
        <f aca="false">IF($B1243="","",AK1243+AN1243+AM1243/2+AO1243+AP1243+AQ1243+AR1243+AS1243+AT1243+AU1243+AV1243+AW1243)</f>
        <v/>
      </c>
      <c r="BB1243" s="35" t="str">
        <f aca="false">IF($B1243="","",MAX(0,AN1243-Settings!$C$16)*Settings!$C$17)</f>
        <v/>
      </c>
      <c r="BC1243" s="35" t="str">
        <f aca="false">IF($B1243="","",BA1243-BB1243)</f>
        <v/>
      </c>
      <c r="BD1243" s="35" t="str">
        <f aca="false">IF(OR($B1243="",$A1243=""),"",DAY(EOMONTH($A1243,0))-COUNTA($F1243:$AJ1243))</f>
        <v/>
      </c>
    </row>
    <row r="1244" customFormat="false" ht="15" hidden="false" customHeight="false" outlineLevel="0" collapsed="false">
      <c r="A1244" s="32"/>
      <c r="B1244" s="29"/>
      <c r="C1244" s="10" t="str">
        <f aca="false">IF($B1244="","",IFERROR(INDEX(M_name,MATCH($B1244,M_emp,0)),"Code not found"))</f>
        <v/>
      </c>
      <c r="D1244" s="10" t="str">
        <f aca="false">IF($B1244="","",IFERROR(INDEX(M_dept,MATCH($B1244,M_emp,0)),""))</f>
        <v/>
      </c>
      <c r="E1244" s="10" t="str">
        <f aca="false">IF($B1244="","",IFERROR(INDEX(M_loc,MATCH($B1244,M_emp,0)),""))</f>
        <v/>
      </c>
      <c r="F1244" s="33"/>
      <c r="G1244" s="33"/>
      <c r="H1244" s="33"/>
      <c r="I1244" s="33"/>
      <c r="J1244" s="33"/>
      <c r="K1244" s="33"/>
      <c r="L1244" s="33"/>
      <c r="M1244" s="33"/>
      <c r="N1244" s="33"/>
      <c r="O1244" s="33"/>
      <c r="P1244" s="33"/>
      <c r="Q1244" s="33"/>
      <c r="R1244" s="33"/>
      <c r="S1244" s="33"/>
      <c r="T1244" s="33"/>
      <c r="U1244" s="33"/>
      <c r="V1244" s="33"/>
      <c r="W1244" s="33"/>
      <c r="X1244" s="33"/>
      <c r="Y1244" s="33"/>
      <c r="Z1244" s="33"/>
      <c r="AA1244" s="33"/>
      <c r="AB1244" s="33"/>
      <c r="AC1244" s="33"/>
      <c r="AD1244" s="33"/>
      <c r="AE1244" s="33"/>
      <c r="AF1244" s="33"/>
      <c r="AG1244" s="33"/>
      <c r="AH1244" s="33"/>
      <c r="AI1244" s="33"/>
      <c r="AJ1244" s="33"/>
      <c r="AK1244" s="34" t="str">
        <f aca="false">IF($B1244="","",COUNTIF($F1244:$AJ1244,"P"))</f>
        <v/>
      </c>
      <c r="AL1244" s="34" t="str">
        <f aca="false">IF($B1244="","",COUNTIF($F1244:$AJ1244,"A"))</f>
        <v/>
      </c>
      <c r="AM1244" s="34" t="str">
        <f aca="false">IF($B1244="","",COUNTIF($F1244:$AJ1244,"HA"))</f>
        <v/>
      </c>
      <c r="AN1244" s="34" t="str">
        <f aca="false">IF($B1244="","",COUNTIF($F1244:$AJ1244,"L"))</f>
        <v/>
      </c>
      <c r="AO1244" s="34" t="str">
        <f aca="false">IF($B1244="","",COUNTIF($F1244:$AJ1244,"PL"))</f>
        <v/>
      </c>
      <c r="AP1244" s="34" t="str">
        <f aca="false">IF($B1244="","",COUNTIF($F1244:$AJ1244,"CL"))</f>
        <v/>
      </c>
      <c r="AQ1244" s="34" t="str">
        <f aca="false">IF($B1244="","",COUNTIF($F1244:$AJ1244,"SL"))</f>
        <v/>
      </c>
      <c r="AR1244" s="34" t="str">
        <f aca="false">IF($B1244="","",COUNTIF($F1244:$AJ1244,"CO"))</f>
        <v/>
      </c>
      <c r="AS1244" s="34" t="str">
        <f aca="false">IF($B1244="","",COUNTIF($F1244:$AJ1244,"HPL"))</f>
        <v/>
      </c>
      <c r="AT1244" s="34" t="str">
        <f aca="false">IF($B1244="","",COUNTIF($F1244:$AJ1244,"HCL"))</f>
        <v/>
      </c>
      <c r="AU1244" s="34" t="str">
        <f aca="false">IF($B1244="","",COUNTIF($F1244:$AJ1244,"WO"))</f>
        <v/>
      </c>
      <c r="AV1244" s="34" t="str">
        <f aca="false">IF($B1244="","",COUNTIF($F1244:$AJ1244,"PH"))</f>
        <v/>
      </c>
      <c r="AW1244" s="34" t="str">
        <f aca="false">IF($B1244="","",COUNTIF($F1244:$AJ1244,"TR"))</f>
        <v/>
      </c>
      <c r="AX1244" s="35" t="str">
        <f aca="false">IF($B1244="","",AO1244+AS1244/2)</f>
        <v/>
      </c>
      <c r="AY1244" s="35" t="str">
        <f aca="false">IF($B1244="","",AQ1244)</f>
        <v/>
      </c>
      <c r="AZ1244" s="35" t="str">
        <f aca="false">IF($B1244="","",AP1244+AT1244/2)</f>
        <v/>
      </c>
      <c r="BA1244" s="35" t="str">
        <f aca="false">IF($B1244="","",AK1244+AN1244+AM1244/2+AO1244+AP1244+AQ1244+AR1244+AS1244+AT1244+AU1244+AV1244+AW1244)</f>
        <v/>
      </c>
      <c r="BB1244" s="35" t="str">
        <f aca="false">IF($B1244="","",MAX(0,AN1244-Settings!$C$16)*Settings!$C$17)</f>
        <v/>
      </c>
      <c r="BC1244" s="35" t="str">
        <f aca="false">IF($B1244="","",BA1244-BB1244)</f>
        <v/>
      </c>
      <c r="BD1244" s="35" t="str">
        <f aca="false">IF(OR($B1244="",$A1244=""),"",DAY(EOMONTH($A1244,0))-COUNTA($F1244:$AJ1244))</f>
        <v/>
      </c>
    </row>
    <row r="1245" customFormat="false" ht="15" hidden="false" customHeight="false" outlineLevel="0" collapsed="false">
      <c r="A1245" s="32"/>
      <c r="B1245" s="29"/>
      <c r="C1245" s="10" t="str">
        <f aca="false">IF($B1245="","",IFERROR(INDEX(M_name,MATCH($B1245,M_emp,0)),"Code not found"))</f>
        <v/>
      </c>
      <c r="D1245" s="10" t="str">
        <f aca="false">IF($B1245="","",IFERROR(INDEX(M_dept,MATCH($B1245,M_emp,0)),""))</f>
        <v/>
      </c>
      <c r="E1245" s="10" t="str">
        <f aca="false">IF($B1245="","",IFERROR(INDEX(M_loc,MATCH($B1245,M_emp,0)),""))</f>
        <v/>
      </c>
      <c r="F1245" s="33"/>
      <c r="G1245" s="33"/>
      <c r="H1245" s="33"/>
      <c r="I1245" s="33"/>
      <c r="J1245" s="33"/>
      <c r="K1245" s="33"/>
      <c r="L1245" s="33"/>
      <c r="M1245" s="33"/>
      <c r="N1245" s="33"/>
      <c r="O1245" s="33"/>
      <c r="P1245" s="33"/>
      <c r="Q1245" s="33"/>
      <c r="R1245" s="33"/>
      <c r="S1245" s="33"/>
      <c r="T1245" s="33"/>
      <c r="U1245" s="33"/>
      <c r="V1245" s="33"/>
      <c r="W1245" s="33"/>
      <c r="X1245" s="33"/>
      <c r="Y1245" s="33"/>
      <c r="Z1245" s="33"/>
      <c r="AA1245" s="33"/>
      <c r="AB1245" s="33"/>
      <c r="AC1245" s="33"/>
      <c r="AD1245" s="33"/>
      <c r="AE1245" s="33"/>
      <c r="AF1245" s="33"/>
      <c r="AG1245" s="33"/>
      <c r="AH1245" s="33"/>
      <c r="AI1245" s="33"/>
      <c r="AJ1245" s="33"/>
      <c r="AK1245" s="34" t="str">
        <f aca="false">IF($B1245="","",COUNTIF($F1245:$AJ1245,"P"))</f>
        <v/>
      </c>
      <c r="AL1245" s="34" t="str">
        <f aca="false">IF($B1245="","",COUNTIF($F1245:$AJ1245,"A"))</f>
        <v/>
      </c>
      <c r="AM1245" s="34" t="str">
        <f aca="false">IF($B1245="","",COUNTIF($F1245:$AJ1245,"HA"))</f>
        <v/>
      </c>
      <c r="AN1245" s="34" t="str">
        <f aca="false">IF($B1245="","",COUNTIF($F1245:$AJ1245,"L"))</f>
        <v/>
      </c>
      <c r="AO1245" s="34" t="str">
        <f aca="false">IF($B1245="","",COUNTIF($F1245:$AJ1245,"PL"))</f>
        <v/>
      </c>
      <c r="AP1245" s="34" t="str">
        <f aca="false">IF($B1245="","",COUNTIF($F1245:$AJ1245,"CL"))</f>
        <v/>
      </c>
      <c r="AQ1245" s="34" t="str">
        <f aca="false">IF($B1245="","",COUNTIF($F1245:$AJ1245,"SL"))</f>
        <v/>
      </c>
      <c r="AR1245" s="34" t="str">
        <f aca="false">IF($B1245="","",COUNTIF($F1245:$AJ1245,"CO"))</f>
        <v/>
      </c>
      <c r="AS1245" s="34" t="str">
        <f aca="false">IF($B1245="","",COUNTIF($F1245:$AJ1245,"HPL"))</f>
        <v/>
      </c>
      <c r="AT1245" s="34" t="str">
        <f aca="false">IF($B1245="","",COUNTIF($F1245:$AJ1245,"HCL"))</f>
        <v/>
      </c>
      <c r="AU1245" s="34" t="str">
        <f aca="false">IF($B1245="","",COUNTIF($F1245:$AJ1245,"WO"))</f>
        <v/>
      </c>
      <c r="AV1245" s="34" t="str">
        <f aca="false">IF($B1245="","",COUNTIF($F1245:$AJ1245,"PH"))</f>
        <v/>
      </c>
      <c r="AW1245" s="34" t="str">
        <f aca="false">IF($B1245="","",COUNTIF($F1245:$AJ1245,"TR"))</f>
        <v/>
      </c>
      <c r="AX1245" s="35" t="str">
        <f aca="false">IF($B1245="","",AO1245+AS1245/2)</f>
        <v/>
      </c>
      <c r="AY1245" s="35" t="str">
        <f aca="false">IF($B1245="","",AQ1245)</f>
        <v/>
      </c>
      <c r="AZ1245" s="35" t="str">
        <f aca="false">IF($B1245="","",AP1245+AT1245/2)</f>
        <v/>
      </c>
      <c r="BA1245" s="35" t="str">
        <f aca="false">IF($B1245="","",AK1245+AN1245+AM1245/2+AO1245+AP1245+AQ1245+AR1245+AS1245+AT1245+AU1245+AV1245+AW1245)</f>
        <v/>
      </c>
      <c r="BB1245" s="35" t="str">
        <f aca="false">IF($B1245="","",MAX(0,AN1245-Settings!$C$16)*Settings!$C$17)</f>
        <v/>
      </c>
      <c r="BC1245" s="35" t="str">
        <f aca="false">IF($B1245="","",BA1245-BB1245)</f>
        <v/>
      </c>
      <c r="BD1245" s="35" t="str">
        <f aca="false">IF(OR($B1245="",$A1245=""),"",DAY(EOMONTH($A1245,0))-COUNTA($F1245:$AJ1245))</f>
        <v/>
      </c>
    </row>
    <row r="1246" customFormat="false" ht="15" hidden="false" customHeight="false" outlineLevel="0" collapsed="false">
      <c r="A1246" s="32"/>
      <c r="B1246" s="29"/>
      <c r="C1246" s="10" t="str">
        <f aca="false">IF($B1246="","",IFERROR(INDEX(M_name,MATCH($B1246,M_emp,0)),"Code not found"))</f>
        <v/>
      </c>
      <c r="D1246" s="10" t="str">
        <f aca="false">IF($B1246="","",IFERROR(INDEX(M_dept,MATCH($B1246,M_emp,0)),""))</f>
        <v/>
      </c>
      <c r="E1246" s="10" t="str">
        <f aca="false">IF($B1246="","",IFERROR(INDEX(M_loc,MATCH($B1246,M_emp,0)),""))</f>
        <v/>
      </c>
      <c r="F1246" s="33"/>
      <c r="G1246" s="33"/>
      <c r="H1246" s="33"/>
      <c r="I1246" s="33"/>
      <c r="J1246" s="33"/>
      <c r="K1246" s="33"/>
      <c r="L1246" s="33"/>
      <c r="M1246" s="33"/>
      <c r="N1246" s="33"/>
      <c r="O1246" s="33"/>
      <c r="P1246" s="33"/>
      <c r="Q1246" s="33"/>
      <c r="R1246" s="33"/>
      <c r="S1246" s="33"/>
      <c r="T1246" s="33"/>
      <c r="U1246" s="33"/>
      <c r="V1246" s="33"/>
      <c r="W1246" s="33"/>
      <c r="X1246" s="33"/>
      <c r="Y1246" s="33"/>
      <c r="Z1246" s="33"/>
      <c r="AA1246" s="33"/>
      <c r="AB1246" s="33"/>
      <c r="AC1246" s="33"/>
      <c r="AD1246" s="33"/>
      <c r="AE1246" s="33"/>
      <c r="AF1246" s="33"/>
      <c r="AG1246" s="33"/>
      <c r="AH1246" s="33"/>
      <c r="AI1246" s="33"/>
      <c r="AJ1246" s="33"/>
      <c r="AK1246" s="34" t="str">
        <f aca="false">IF($B1246="","",COUNTIF($F1246:$AJ1246,"P"))</f>
        <v/>
      </c>
      <c r="AL1246" s="34" t="str">
        <f aca="false">IF($B1246="","",COUNTIF($F1246:$AJ1246,"A"))</f>
        <v/>
      </c>
      <c r="AM1246" s="34" t="str">
        <f aca="false">IF($B1246="","",COUNTIF($F1246:$AJ1246,"HA"))</f>
        <v/>
      </c>
      <c r="AN1246" s="34" t="str">
        <f aca="false">IF($B1246="","",COUNTIF($F1246:$AJ1246,"L"))</f>
        <v/>
      </c>
      <c r="AO1246" s="34" t="str">
        <f aca="false">IF($B1246="","",COUNTIF($F1246:$AJ1246,"PL"))</f>
        <v/>
      </c>
      <c r="AP1246" s="34" t="str">
        <f aca="false">IF($B1246="","",COUNTIF($F1246:$AJ1246,"CL"))</f>
        <v/>
      </c>
      <c r="AQ1246" s="34" t="str">
        <f aca="false">IF($B1246="","",COUNTIF($F1246:$AJ1246,"SL"))</f>
        <v/>
      </c>
      <c r="AR1246" s="34" t="str">
        <f aca="false">IF($B1246="","",COUNTIF($F1246:$AJ1246,"CO"))</f>
        <v/>
      </c>
      <c r="AS1246" s="34" t="str">
        <f aca="false">IF($B1246="","",COUNTIF($F1246:$AJ1246,"HPL"))</f>
        <v/>
      </c>
      <c r="AT1246" s="34" t="str">
        <f aca="false">IF($B1246="","",COUNTIF($F1246:$AJ1246,"HCL"))</f>
        <v/>
      </c>
      <c r="AU1246" s="34" t="str">
        <f aca="false">IF($B1246="","",COUNTIF($F1246:$AJ1246,"WO"))</f>
        <v/>
      </c>
      <c r="AV1246" s="34" t="str">
        <f aca="false">IF($B1246="","",COUNTIF($F1246:$AJ1246,"PH"))</f>
        <v/>
      </c>
      <c r="AW1246" s="34" t="str">
        <f aca="false">IF($B1246="","",COUNTIF($F1246:$AJ1246,"TR"))</f>
        <v/>
      </c>
      <c r="AX1246" s="35" t="str">
        <f aca="false">IF($B1246="","",AO1246+AS1246/2)</f>
        <v/>
      </c>
      <c r="AY1246" s="35" t="str">
        <f aca="false">IF($B1246="","",AQ1246)</f>
        <v/>
      </c>
      <c r="AZ1246" s="35" t="str">
        <f aca="false">IF($B1246="","",AP1246+AT1246/2)</f>
        <v/>
      </c>
      <c r="BA1246" s="35" t="str">
        <f aca="false">IF($B1246="","",AK1246+AN1246+AM1246/2+AO1246+AP1246+AQ1246+AR1246+AS1246+AT1246+AU1246+AV1246+AW1246)</f>
        <v/>
      </c>
      <c r="BB1246" s="35" t="str">
        <f aca="false">IF($B1246="","",MAX(0,AN1246-Settings!$C$16)*Settings!$C$17)</f>
        <v/>
      </c>
      <c r="BC1246" s="35" t="str">
        <f aca="false">IF($B1246="","",BA1246-BB1246)</f>
        <v/>
      </c>
      <c r="BD1246" s="35" t="str">
        <f aca="false">IF(OR($B1246="",$A1246=""),"",DAY(EOMONTH($A1246,0))-COUNTA($F1246:$AJ1246))</f>
        <v/>
      </c>
    </row>
    <row r="1247" customFormat="false" ht="15" hidden="false" customHeight="false" outlineLevel="0" collapsed="false">
      <c r="A1247" s="32"/>
      <c r="B1247" s="29"/>
      <c r="C1247" s="10" t="str">
        <f aca="false">IF($B1247="","",IFERROR(INDEX(M_name,MATCH($B1247,M_emp,0)),"Code not found"))</f>
        <v/>
      </c>
      <c r="D1247" s="10" t="str">
        <f aca="false">IF($B1247="","",IFERROR(INDEX(M_dept,MATCH($B1247,M_emp,0)),""))</f>
        <v/>
      </c>
      <c r="E1247" s="10" t="str">
        <f aca="false">IF($B1247="","",IFERROR(INDEX(M_loc,MATCH($B1247,M_emp,0)),""))</f>
        <v/>
      </c>
      <c r="F1247" s="33"/>
      <c r="G1247" s="33"/>
      <c r="H1247" s="33"/>
      <c r="I1247" s="33"/>
      <c r="J1247" s="33"/>
      <c r="K1247" s="33"/>
      <c r="L1247" s="33"/>
      <c r="M1247" s="33"/>
      <c r="N1247" s="33"/>
      <c r="O1247" s="33"/>
      <c r="P1247" s="33"/>
      <c r="Q1247" s="33"/>
      <c r="R1247" s="33"/>
      <c r="S1247" s="33"/>
      <c r="T1247" s="33"/>
      <c r="U1247" s="33"/>
      <c r="V1247" s="33"/>
      <c r="W1247" s="33"/>
      <c r="X1247" s="33"/>
      <c r="Y1247" s="33"/>
      <c r="Z1247" s="33"/>
      <c r="AA1247" s="33"/>
      <c r="AB1247" s="33"/>
      <c r="AC1247" s="33"/>
      <c r="AD1247" s="33"/>
      <c r="AE1247" s="33"/>
      <c r="AF1247" s="33"/>
      <c r="AG1247" s="33"/>
      <c r="AH1247" s="33"/>
      <c r="AI1247" s="33"/>
      <c r="AJ1247" s="33"/>
      <c r="AK1247" s="34" t="str">
        <f aca="false">IF($B1247="","",COUNTIF($F1247:$AJ1247,"P"))</f>
        <v/>
      </c>
      <c r="AL1247" s="34" t="str">
        <f aca="false">IF($B1247="","",COUNTIF($F1247:$AJ1247,"A"))</f>
        <v/>
      </c>
      <c r="AM1247" s="34" t="str">
        <f aca="false">IF($B1247="","",COUNTIF($F1247:$AJ1247,"HA"))</f>
        <v/>
      </c>
      <c r="AN1247" s="34" t="str">
        <f aca="false">IF($B1247="","",COUNTIF($F1247:$AJ1247,"L"))</f>
        <v/>
      </c>
      <c r="AO1247" s="34" t="str">
        <f aca="false">IF($B1247="","",COUNTIF($F1247:$AJ1247,"PL"))</f>
        <v/>
      </c>
      <c r="AP1247" s="34" t="str">
        <f aca="false">IF($B1247="","",COUNTIF($F1247:$AJ1247,"CL"))</f>
        <v/>
      </c>
      <c r="AQ1247" s="34" t="str">
        <f aca="false">IF($B1247="","",COUNTIF($F1247:$AJ1247,"SL"))</f>
        <v/>
      </c>
      <c r="AR1247" s="34" t="str">
        <f aca="false">IF($B1247="","",COUNTIF($F1247:$AJ1247,"CO"))</f>
        <v/>
      </c>
      <c r="AS1247" s="34" t="str">
        <f aca="false">IF($B1247="","",COUNTIF($F1247:$AJ1247,"HPL"))</f>
        <v/>
      </c>
      <c r="AT1247" s="34" t="str">
        <f aca="false">IF($B1247="","",COUNTIF($F1247:$AJ1247,"HCL"))</f>
        <v/>
      </c>
      <c r="AU1247" s="34" t="str">
        <f aca="false">IF($B1247="","",COUNTIF($F1247:$AJ1247,"WO"))</f>
        <v/>
      </c>
      <c r="AV1247" s="34" t="str">
        <f aca="false">IF($B1247="","",COUNTIF($F1247:$AJ1247,"PH"))</f>
        <v/>
      </c>
      <c r="AW1247" s="34" t="str">
        <f aca="false">IF($B1247="","",COUNTIF($F1247:$AJ1247,"TR"))</f>
        <v/>
      </c>
      <c r="AX1247" s="35" t="str">
        <f aca="false">IF($B1247="","",AO1247+AS1247/2)</f>
        <v/>
      </c>
      <c r="AY1247" s="35" t="str">
        <f aca="false">IF($B1247="","",AQ1247)</f>
        <v/>
      </c>
      <c r="AZ1247" s="35" t="str">
        <f aca="false">IF($B1247="","",AP1247+AT1247/2)</f>
        <v/>
      </c>
      <c r="BA1247" s="35" t="str">
        <f aca="false">IF($B1247="","",AK1247+AN1247+AM1247/2+AO1247+AP1247+AQ1247+AR1247+AS1247+AT1247+AU1247+AV1247+AW1247)</f>
        <v/>
      </c>
      <c r="BB1247" s="35" t="str">
        <f aca="false">IF($B1247="","",MAX(0,AN1247-Settings!$C$16)*Settings!$C$17)</f>
        <v/>
      </c>
      <c r="BC1247" s="35" t="str">
        <f aca="false">IF($B1247="","",BA1247-BB1247)</f>
        <v/>
      </c>
      <c r="BD1247" s="35" t="str">
        <f aca="false">IF(OR($B1247="",$A1247=""),"",DAY(EOMONTH($A1247,0))-COUNTA($F1247:$AJ1247))</f>
        <v/>
      </c>
    </row>
    <row r="1248" customFormat="false" ht="15" hidden="false" customHeight="false" outlineLevel="0" collapsed="false">
      <c r="A1248" s="32"/>
      <c r="B1248" s="29"/>
      <c r="C1248" s="10" t="str">
        <f aca="false">IF($B1248="","",IFERROR(INDEX(M_name,MATCH($B1248,M_emp,0)),"Code not found"))</f>
        <v/>
      </c>
      <c r="D1248" s="10" t="str">
        <f aca="false">IF($B1248="","",IFERROR(INDEX(M_dept,MATCH($B1248,M_emp,0)),""))</f>
        <v/>
      </c>
      <c r="E1248" s="10" t="str">
        <f aca="false">IF($B1248="","",IFERROR(INDEX(M_loc,MATCH($B1248,M_emp,0)),""))</f>
        <v/>
      </c>
      <c r="F1248" s="33"/>
      <c r="G1248" s="33"/>
      <c r="H1248" s="33"/>
      <c r="I1248" s="33"/>
      <c r="J1248" s="33"/>
      <c r="K1248" s="33"/>
      <c r="L1248" s="33"/>
      <c r="M1248" s="33"/>
      <c r="N1248" s="33"/>
      <c r="O1248" s="33"/>
      <c r="P1248" s="33"/>
      <c r="Q1248" s="33"/>
      <c r="R1248" s="33"/>
      <c r="S1248" s="33"/>
      <c r="T1248" s="33"/>
      <c r="U1248" s="33"/>
      <c r="V1248" s="33"/>
      <c r="W1248" s="33"/>
      <c r="X1248" s="33"/>
      <c r="Y1248" s="33"/>
      <c r="Z1248" s="33"/>
      <c r="AA1248" s="33"/>
      <c r="AB1248" s="33"/>
      <c r="AC1248" s="33"/>
      <c r="AD1248" s="33"/>
      <c r="AE1248" s="33"/>
      <c r="AF1248" s="33"/>
      <c r="AG1248" s="33"/>
      <c r="AH1248" s="33"/>
      <c r="AI1248" s="33"/>
      <c r="AJ1248" s="33"/>
      <c r="AK1248" s="34" t="str">
        <f aca="false">IF($B1248="","",COUNTIF($F1248:$AJ1248,"P"))</f>
        <v/>
      </c>
      <c r="AL1248" s="34" t="str">
        <f aca="false">IF($B1248="","",COUNTIF($F1248:$AJ1248,"A"))</f>
        <v/>
      </c>
      <c r="AM1248" s="34" t="str">
        <f aca="false">IF($B1248="","",COUNTIF($F1248:$AJ1248,"HA"))</f>
        <v/>
      </c>
      <c r="AN1248" s="34" t="str">
        <f aca="false">IF($B1248="","",COUNTIF($F1248:$AJ1248,"L"))</f>
        <v/>
      </c>
      <c r="AO1248" s="34" t="str">
        <f aca="false">IF($B1248="","",COUNTIF($F1248:$AJ1248,"PL"))</f>
        <v/>
      </c>
      <c r="AP1248" s="34" t="str">
        <f aca="false">IF($B1248="","",COUNTIF($F1248:$AJ1248,"CL"))</f>
        <v/>
      </c>
      <c r="AQ1248" s="34" t="str">
        <f aca="false">IF($B1248="","",COUNTIF($F1248:$AJ1248,"SL"))</f>
        <v/>
      </c>
      <c r="AR1248" s="34" t="str">
        <f aca="false">IF($B1248="","",COUNTIF($F1248:$AJ1248,"CO"))</f>
        <v/>
      </c>
      <c r="AS1248" s="34" t="str">
        <f aca="false">IF($B1248="","",COUNTIF($F1248:$AJ1248,"HPL"))</f>
        <v/>
      </c>
      <c r="AT1248" s="34" t="str">
        <f aca="false">IF($B1248="","",COUNTIF($F1248:$AJ1248,"HCL"))</f>
        <v/>
      </c>
      <c r="AU1248" s="34" t="str">
        <f aca="false">IF($B1248="","",COUNTIF($F1248:$AJ1248,"WO"))</f>
        <v/>
      </c>
      <c r="AV1248" s="34" t="str">
        <f aca="false">IF($B1248="","",COUNTIF($F1248:$AJ1248,"PH"))</f>
        <v/>
      </c>
      <c r="AW1248" s="34" t="str">
        <f aca="false">IF($B1248="","",COUNTIF($F1248:$AJ1248,"TR"))</f>
        <v/>
      </c>
      <c r="AX1248" s="35" t="str">
        <f aca="false">IF($B1248="","",AO1248+AS1248/2)</f>
        <v/>
      </c>
      <c r="AY1248" s="35" t="str">
        <f aca="false">IF($B1248="","",AQ1248)</f>
        <v/>
      </c>
      <c r="AZ1248" s="35" t="str">
        <f aca="false">IF($B1248="","",AP1248+AT1248/2)</f>
        <v/>
      </c>
      <c r="BA1248" s="35" t="str">
        <f aca="false">IF($B1248="","",AK1248+AN1248+AM1248/2+AO1248+AP1248+AQ1248+AR1248+AS1248+AT1248+AU1248+AV1248+AW1248)</f>
        <v/>
      </c>
      <c r="BB1248" s="35" t="str">
        <f aca="false">IF($B1248="","",MAX(0,AN1248-Settings!$C$16)*Settings!$C$17)</f>
        <v/>
      </c>
      <c r="BC1248" s="35" t="str">
        <f aca="false">IF($B1248="","",BA1248-BB1248)</f>
        <v/>
      </c>
      <c r="BD1248" s="35" t="str">
        <f aca="false">IF(OR($B1248="",$A1248=""),"",DAY(EOMONTH($A1248,0))-COUNTA($F1248:$AJ1248))</f>
        <v/>
      </c>
    </row>
    <row r="1249" customFormat="false" ht="15" hidden="false" customHeight="false" outlineLevel="0" collapsed="false">
      <c r="A1249" s="32"/>
      <c r="B1249" s="29"/>
      <c r="C1249" s="10" t="str">
        <f aca="false">IF($B1249="","",IFERROR(INDEX(M_name,MATCH($B1249,M_emp,0)),"Code not found"))</f>
        <v/>
      </c>
      <c r="D1249" s="10" t="str">
        <f aca="false">IF($B1249="","",IFERROR(INDEX(M_dept,MATCH($B1249,M_emp,0)),""))</f>
        <v/>
      </c>
      <c r="E1249" s="10" t="str">
        <f aca="false">IF($B1249="","",IFERROR(INDEX(M_loc,MATCH($B1249,M_emp,0)),""))</f>
        <v/>
      </c>
      <c r="F1249" s="33"/>
      <c r="G1249" s="33"/>
      <c r="H1249" s="33"/>
      <c r="I1249" s="33"/>
      <c r="J1249" s="33"/>
      <c r="K1249" s="33"/>
      <c r="L1249" s="33"/>
      <c r="M1249" s="33"/>
      <c r="N1249" s="33"/>
      <c r="O1249" s="33"/>
      <c r="P1249" s="33"/>
      <c r="Q1249" s="33"/>
      <c r="R1249" s="33"/>
      <c r="S1249" s="33"/>
      <c r="T1249" s="33"/>
      <c r="U1249" s="33"/>
      <c r="V1249" s="33"/>
      <c r="W1249" s="33"/>
      <c r="X1249" s="33"/>
      <c r="Y1249" s="33"/>
      <c r="Z1249" s="33"/>
      <c r="AA1249" s="33"/>
      <c r="AB1249" s="33"/>
      <c r="AC1249" s="33"/>
      <c r="AD1249" s="33"/>
      <c r="AE1249" s="33"/>
      <c r="AF1249" s="33"/>
      <c r="AG1249" s="33"/>
      <c r="AH1249" s="33"/>
      <c r="AI1249" s="33"/>
      <c r="AJ1249" s="33"/>
      <c r="AK1249" s="34" t="str">
        <f aca="false">IF($B1249="","",COUNTIF($F1249:$AJ1249,"P"))</f>
        <v/>
      </c>
      <c r="AL1249" s="34" t="str">
        <f aca="false">IF($B1249="","",COUNTIF($F1249:$AJ1249,"A"))</f>
        <v/>
      </c>
      <c r="AM1249" s="34" t="str">
        <f aca="false">IF($B1249="","",COUNTIF($F1249:$AJ1249,"HA"))</f>
        <v/>
      </c>
      <c r="AN1249" s="34" t="str">
        <f aca="false">IF($B1249="","",COUNTIF($F1249:$AJ1249,"L"))</f>
        <v/>
      </c>
      <c r="AO1249" s="34" t="str">
        <f aca="false">IF($B1249="","",COUNTIF($F1249:$AJ1249,"PL"))</f>
        <v/>
      </c>
      <c r="AP1249" s="34" t="str">
        <f aca="false">IF($B1249="","",COUNTIF($F1249:$AJ1249,"CL"))</f>
        <v/>
      </c>
      <c r="AQ1249" s="34" t="str">
        <f aca="false">IF($B1249="","",COUNTIF($F1249:$AJ1249,"SL"))</f>
        <v/>
      </c>
      <c r="AR1249" s="34" t="str">
        <f aca="false">IF($B1249="","",COUNTIF($F1249:$AJ1249,"CO"))</f>
        <v/>
      </c>
      <c r="AS1249" s="34" t="str">
        <f aca="false">IF($B1249="","",COUNTIF($F1249:$AJ1249,"HPL"))</f>
        <v/>
      </c>
      <c r="AT1249" s="34" t="str">
        <f aca="false">IF($B1249="","",COUNTIF($F1249:$AJ1249,"HCL"))</f>
        <v/>
      </c>
      <c r="AU1249" s="34" t="str">
        <f aca="false">IF($B1249="","",COUNTIF($F1249:$AJ1249,"WO"))</f>
        <v/>
      </c>
      <c r="AV1249" s="34" t="str">
        <f aca="false">IF($B1249="","",COUNTIF($F1249:$AJ1249,"PH"))</f>
        <v/>
      </c>
      <c r="AW1249" s="34" t="str">
        <f aca="false">IF($B1249="","",COUNTIF($F1249:$AJ1249,"TR"))</f>
        <v/>
      </c>
      <c r="AX1249" s="35" t="str">
        <f aca="false">IF($B1249="","",AO1249+AS1249/2)</f>
        <v/>
      </c>
      <c r="AY1249" s="35" t="str">
        <f aca="false">IF($B1249="","",AQ1249)</f>
        <v/>
      </c>
      <c r="AZ1249" s="35" t="str">
        <f aca="false">IF($B1249="","",AP1249+AT1249/2)</f>
        <v/>
      </c>
      <c r="BA1249" s="35" t="str">
        <f aca="false">IF($B1249="","",AK1249+AN1249+AM1249/2+AO1249+AP1249+AQ1249+AR1249+AS1249+AT1249+AU1249+AV1249+AW1249)</f>
        <v/>
      </c>
      <c r="BB1249" s="35" t="str">
        <f aca="false">IF($B1249="","",MAX(0,AN1249-Settings!$C$16)*Settings!$C$17)</f>
        <v/>
      </c>
      <c r="BC1249" s="35" t="str">
        <f aca="false">IF($B1249="","",BA1249-BB1249)</f>
        <v/>
      </c>
      <c r="BD1249" s="35" t="str">
        <f aca="false">IF(OR($B1249="",$A1249=""),"",DAY(EOMONTH($A1249,0))-COUNTA($F1249:$AJ1249))</f>
        <v/>
      </c>
    </row>
    <row r="1250" customFormat="false" ht="15" hidden="false" customHeight="false" outlineLevel="0" collapsed="false">
      <c r="A1250" s="32"/>
      <c r="B1250" s="29"/>
      <c r="C1250" s="10" t="str">
        <f aca="false">IF($B1250="","",IFERROR(INDEX(M_name,MATCH($B1250,M_emp,0)),"Code not found"))</f>
        <v/>
      </c>
      <c r="D1250" s="10" t="str">
        <f aca="false">IF($B1250="","",IFERROR(INDEX(M_dept,MATCH($B1250,M_emp,0)),""))</f>
        <v/>
      </c>
      <c r="E1250" s="10" t="str">
        <f aca="false">IF($B1250="","",IFERROR(INDEX(M_loc,MATCH($B1250,M_emp,0)),""))</f>
        <v/>
      </c>
      <c r="F1250" s="33"/>
      <c r="G1250" s="33"/>
      <c r="H1250" s="33"/>
      <c r="I1250" s="33"/>
      <c r="J1250" s="33"/>
      <c r="K1250" s="33"/>
      <c r="L1250" s="33"/>
      <c r="M1250" s="33"/>
      <c r="N1250" s="33"/>
      <c r="O1250" s="33"/>
      <c r="P1250" s="33"/>
      <c r="Q1250" s="33"/>
      <c r="R1250" s="33"/>
      <c r="S1250" s="33"/>
      <c r="T1250" s="33"/>
      <c r="U1250" s="33"/>
      <c r="V1250" s="33"/>
      <c r="W1250" s="33"/>
      <c r="X1250" s="33"/>
      <c r="Y1250" s="33"/>
      <c r="Z1250" s="33"/>
      <c r="AA1250" s="33"/>
      <c r="AB1250" s="33"/>
      <c r="AC1250" s="33"/>
      <c r="AD1250" s="33"/>
      <c r="AE1250" s="33"/>
      <c r="AF1250" s="33"/>
      <c r="AG1250" s="33"/>
      <c r="AH1250" s="33"/>
      <c r="AI1250" s="33"/>
      <c r="AJ1250" s="33"/>
      <c r="AK1250" s="34" t="str">
        <f aca="false">IF($B1250="","",COUNTIF($F1250:$AJ1250,"P"))</f>
        <v/>
      </c>
      <c r="AL1250" s="34" t="str">
        <f aca="false">IF($B1250="","",COUNTIF($F1250:$AJ1250,"A"))</f>
        <v/>
      </c>
      <c r="AM1250" s="34" t="str">
        <f aca="false">IF($B1250="","",COUNTIF($F1250:$AJ1250,"HA"))</f>
        <v/>
      </c>
      <c r="AN1250" s="34" t="str">
        <f aca="false">IF($B1250="","",COUNTIF($F1250:$AJ1250,"L"))</f>
        <v/>
      </c>
      <c r="AO1250" s="34" t="str">
        <f aca="false">IF($B1250="","",COUNTIF($F1250:$AJ1250,"PL"))</f>
        <v/>
      </c>
      <c r="AP1250" s="34" t="str">
        <f aca="false">IF($B1250="","",COUNTIF($F1250:$AJ1250,"CL"))</f>
        <v/>
      </c>
      <c r="AQ1250" s="34" t="str">
        <f aca="false">IF($B1250="","",COUNTIF($F1250:$AJ1250,"SL"))</f>
        <v/>
      </c>
      <c r="AR1250" s="34" t="str">
        <f aca="false">IF($B1250="","",COUNTIF($F1250:$AJ1250,"CO"))</f>
        <v/>
      </c>
      <c r="AS1250" s="34" t="str">
        <f aca="false">IF($B1250="","",COUNTIF($F1250:$AJ1250,"HPL"))</f>
        <v/>
      </c>
      <c r="AT1250" s="34" t="str">
        <f aca="false">IF($B1250="","",COUNTIF($F1250:$AJ1250,"HCL"))</f>
        <v/>
      </c>
      <c r="AU1250" s="34" t="str">
        <f aca="false">IF($B1250="","",COUNTIF($F1250:$AJ1250,"WO"))</f>
        <v/>
      </c>
      <c r="AV1250" s="34" t="str">
        <f aca="false">IF($B1250="","",COUNTIF($F1250:$AJ1250,"PH"))</f>
        <v/>
      </c>
      <c r="AW1250" s="34" t="str">
        <f aca="false">IF($B1250="","",COUNTIF($F1250:$AJ1250,"TR"))</f>
        <v/>
      </c>
      <c r="AX1250" s="35" t="str">
        <f aca="false">IF($B1250="","",AO1250+AS1250/2)</f>
        <v/>
      </c>
      <c r="AY1250" s="35" t="str">
        <f aca="false">IF($B1250="","",AQ1250)</f>
        <v/>
      </c>
      <c r="AZ1250" s="35" t="str">
        <f aca="false">IF($B1250="","",AP1250+AT1250/2)</f>
        <v/>
      </c>
      <c r="BA1250" s="35" t="str">
        <f aca="false">IF($B1250="","",AK1250+AN1250+AM1250/2+AO1250+AP1250+AQ1250+AR1250+AS1250+AT1250+AU1250+AV1250+AW1250)</f>
        <v/>
      </c>
      <c r="BB1250" s="35" t="str">
        <f aca="false">IF($B1250="","",MAX(0,AN1250-Settings!$C$16)*Settings!$C$17)</f>
        <v/>
      </c>
      <c r="BC1250" s="35" t="str">
        <f aca="false">IF($B1250="","",BA1250-BB1250)</f>
        <v/>
      </c>
      <c r="BD1250" s="35" t="str">
        <f aca="false">IF(OR($B1250="",$A1250=""),"",DAY(EOMONTH($A1250,0))-COUNTA($F1250:$AJ1250))</f>
        <v/>
      </c>
    </row>
    <row r="1251" customFormat="false" ht="15" hidden="false" customHeight="false" outlineLevel="0" collapsed="false">
      <c r="A1251" s="32"/>
      <c r="B1251" s="29"/>
      <c r="C1251" s="10" t="str">
        <f aca="false">IF($B1251="","",IFERROR(INDEX(M_name,MATCH($B1251,M_emp,0)),"Code not found"))</f>
        <v/>
      </c>
      <c r="D1251" s="10" t="str">
        <f aca="false">IF($B1251="","",IFERROR(INDEX(M_dept,MATCH($B1251,M_emp,0)),""))</f>
        <v/>
      </c>
      <c r="E1251" s="10" t="str">
        <f aca="false">IF($B1251="","",IFERROR(INDEX(M_loc,MATCH($B1251,M_emp,0)),""))</f>
        <v/>
      </c>
      <c r="F1251" s="33"/>
      <c r="G1251" s="33"/>
      <c r="H1251" s="33"/>
      <c r="I1251" s="33"/>
      <c r="J1251" s="33"/>
      <c r="K1251" s="33"/>
      <c r="L1251" s="33"/>
      <c r="M1251" s="33"/>
      <c r="N1251" s="33"/>
      <c r="O1251" s="33"/>
      <c r="P1251" s="33"/>
      <c r="Q1251" s="33"/>
      <c r="R1251" s="33"/>
      <c r="S1251" s="33"/>
      <c r="T1251" s="33"/>
      <c r="U1251" s="33"/>
      <c r="V1251" s="33"/>
      <c r="W1251" s="33"/>
      <c r="X1251" s="33"/>
      <c r="Y1251" s="33"/>
      <c r="Z1251" s="33"/>
      <c r="AA1251" s="33"/>
      <c r="AB1251" s="33"/>
      <c r="AC1251" s="33"/>
      <c r="AD1251" s="33"/>
      <c r="AE1251" s="33"/>
      <c r="AF1251" s="33"/>
      <c r="AG1251" s="33"/>
      <c r="AH1251" s="33"/>
      <c r="AI1251" s="33"/>
      <c r="AJ1251" s="33"/>
      <c r="AK1251" s="34" t="str">
        <f aca="false">IF($B1251="","",COUNTIF($F1251:$AJ1251,"P"))</f>
        <v/>
      </c>
      <c r="AL1251" s="34" t="str">
        <f aca="false">IF($B1251="","",COUNTIF($F1251:$AJ1251,"A"))</f>
        <v/>
      </c>
      <c r="AM1251" s="34" t="str">
        <f aca="false">IF($B1251="","",COUNTIF($F1251:$AJ1251,"HA"))</f>
        <v/>
      </c>
      <c r="AN1251" s="34" t="str">
        <f aca="false">IF($B1251="","",COUNTIF($F1251:$AJ1251,"L"))</f>
        <v/>
      </c>
      <c r="AO1251" s="34" t="str">
        <f aca="false">IF($B1251="","",COUNTIF($F1251:$AJ1251,"PL"))</f>
        <v/>
      </c>
      <c r="AP1251" s="34" t="str">
        <f aca="false">IF($B1251="","",COUNTIF($F1251:$AJ1251,"CL"))</f>
        <v/>
      </c>
      <c r="AQ1251" s="34" t="str">
        <f aca="false">IF($B1251="","",COUNTIF($F1251:$AJ1251,"SL"))</f>
        <v/>
      </c>
      <c r="AR1251" s="34" t="str">
        <f aca="false">IF($B1251="","",COUNTIF($F1251:$AJ1251,"CO"))</f>
        <v/>
      </c>
      <c r="AS1251" s="34" t="str">
        <f aca="false">IF($B1251="","",COUNTIF($F1251:$AJ1251,"HPL"))</f>
        <v/>
      </c>
      <c r="AT1251" s="34" t="str">
        <f aca="false">IF($B1251="","",COUNTIF($F1251:$AJ1251,"HCL"))</f>
        <v/>
      </c>
      <c r="AU1251" s="34" t="str">
        <f aca="false">IF($B1251="","",COUNTIF($F1251:$AJ1251,"WO"))</f>
        <v/>
      </c>
      <c r="AV1251" s="34" t="str">
        <f aca="false">IF($B1251="","",COUNTIF($F1251:$AJ1251,"PH"))</f>
        <v/>
      </c>
      <c r="AW1251" s="34" t="str">
        <f aca="false">IF($B1251="","",COUNTIF($F1251:$AJ1251,"TR"))</f>
        <v/>
      </c>
      <c r="AX1251" s="35" t="str">
        <f aca="false">IF($B1251="","",AO1251+AS1251/2)</f>
        <v/>
      </c>
      <c r="AY1251" s="35" t="str">
        <f aca="false">IF($B1251="","",AQ1251)</f>
        <v/>
      </c>
      <c r="AZ1251" s="35" t="str">
        <f aca="false">IF($B1251="","",AP1251+AT1251/2)</f>
        <v/>
      </c>
      <c r="BA1251" s="35" t="str">
        <f aca="false">IF($B1251="","",AK1251+AN1251+AM1251/2+AO1251+AP1251+AQ1251+AR1251+AS1251+AT1251+AU1251+AV1251+AW1251)</f>
        <v/>
      </c>
      <c r="BB1251" s="35" t="str">
        <f aca="false">IF($B1251="","",MAX(0,AN1251-Settings!$C$16)*Settings!$C$17)</f>
        <v/>
      </c>
      <c r="BC1251" s="35" t="str">
        <f aca="false">IF($B1251="","",BA1251-BB1251)</f>
        <v/>
      </c>
      <c r="BD1251" s="35" t="str">
        <f aca="false">IF(OR($B1251="",$A1251=""),"",DAY(EOMONTH($A1251,0))-COUNTA($F1251:$AJ1251))</f>
        <v/>
      </c>
    </row>
    <row r="1252" customFormat="false" ht="15" hidden="false" customHeight="false" outlineLevel="0" collapsed="false">
      <c r="A1252" s="32"/>
      <c r="B1252" s="29"/>
      <c r="C1252" s="10" t="str">
        <f aca="false">IF($B1252="","",IFERROR(INDEX(M_name,MATCH($B1252,M_emp,0)),"Code not found"))</f>
        <v/>
      </c>
      <c r="D1252" s="10" t="str">
        <f aca="false">IF($B1252="","",IFERROR(INDEX(M_dept,MATCH($B1252,M_emp,0)),""))</f>
        <v/>
      </c>
      <c r="E1252" s="10" t="str">
        <f aca="false">IF($B1252="","",IFERROR(INDEX(M_loc,MATCH($B1252,M_emp,0)),""))</f>
        <v/>
      </c>
      <c r="F1252" s="33"/>
      <c r="G1252" s="33"/>
      <c r="H1252" s="33"/>
      <c r="I1252" s="33"/>
      <c r="J1252" s="33"/>
      <c r="K1252" s="33"/>
      <c r="L1252" s="33"/>
      <c r="M1252" s="33"/>
      <c r="N1252" s="33"/>
      <c r="O1252" s="33"/>
      <c r="P1252" s="33"/>
      <c r="Q1252" s="33"/>
      <c r="R1252" s="33"/>
      <c r="S1252" s="33"/>
      <c r="T1252" s="33"/>
      <c r="U1252" s="33"/>
      <c r="V1252" s="33"/>
      <c r="W1252" s="33"/>
      <c r="X1252" s="33"/>
      <c r="Y1252" s="33"/>
      <c r="Z1252" s="33"/>
      <c r="AA1252" s="33"/>
      <c r="AB1252" s="33"/>
      <c r="AC1252" s="33"/>
      <c r="AD1252" s="33"/>
      <c r="AE1252" s="33"/>
      <c r="AF1252" s="33"/>
      <c r="AG1252" s="33"/>
      <c r="AH1252" s="33"/>
      <c r="AI1252" s="33"/>
      <c r="AJ1252" s="33"/>
      <c r="AK1252" s="34" t="str">
        <f aca="false">IF($B1252="","",COUNTIF($F1252:$AJ1252,"P"))</f>
        <v/>
      </c>
      <c r="AL1252" s="34" t="str">
        <f aca="false">IF($B1252="","",COUNTIF($F1252:$AJ1252,"A"))</f>
        <v/>
      </c>
      <c r="AM1252" s="34" t="str">
        <f aca="false">IF($B1252="","",COUNTIF($F1252:$AJ1252,"HA"))</f>
        <v/>
      </c>
      <c r="AN1252" s="34" t="str">
        <f aca="false">IF($B1252="","",COUNTIF($F1252:$AJ1252,"L"))</f>
        <v/>
      </c>
      <c r="AO1252" s="34" t="str">
        <f aca="false">IF($B1252="","",COUNTIF($F1252:$AJ1252,"PL"))</f>
        <v/>
      </c>
      <c r="AP1252" s="34" t="str">
        <f aca="false">IF($B1252="","",COUNTIF($F1252:$AJ1252,"CL"))</f>
        <v/>
      </c>
      <c r="AQ1252" s="34" t="str">
        <f aca="false">IF($B1252="","",COUNTIF($F1252:$AJ1252,"SL"))</f>
        <v/>
      </c>
      <c r="AR1252" s="34" t="str">
        <f aca="false">IF($B1252="","",COUNTIF($F1252:$AJ1252,"CO"))</f>
        <v/>
      </c>
      <c r="AS1252" s="34" t="str">
        <f aca="false">IF($B1252="","",COUNTIF($F1252:$AJ1252,"HPL"))</f>
        <v/>
      </c>
      <c r="AT1252" s="34" t="str">
        <f aca="false">IF($B1252="","",COUNTIF($F1252:$AJ1252,"HCL"))</f>
        <v/>
      </c>
      <c r="AU1252" s="34" t="str">
        <f aca="false">IF($B1252="","",COUNTIF($F1252:$AJ1252,"WO"))</f>
        <v/>
      </c>
      <c r="AV1252" s="34" t="str">
        <f aca="false">IF($B1252="","",COUNTIF($F1252:$AJ1252,"PH"))</f>
        <v/>
      </c>
      <c r="AW1252" s="34" t="str">
        <f aca="false">IF($B1252="","",COUNTIF($F1252:$AJ1252,"TR"))</f>
        <v/>
      </c>
      <c r="AX1252" s="35" t="str">
        <f aca="false">IF($B1252="","",AO1252+AS1252/2)</f>
        <v/>
      </c>
      <c r="AY1252" s="35" t="str">
        <f aca="false">IF($B1252="","",AQ1252)</f>
        <v/>
      </c>
      <c r="AZ1252" s="35" t="str">
        <f aca="false">IF($B1252="","",AP1252+AT1252/2)</f>
        <v/>
      </c>
      <c r="BA1252" s="35" t="str">
        <f aca="false">IF($B1252="","",AK1252+AN1252+AM1252/2+AO1252+AP1252+AQ1252+AR1252+AS1252+AT1252+AU1252+AV1252+AW1252)</f>
        <v/>
      </c>
      <c r="BB1252" s="35" t="str">
        <f aca="false">IF($B1252="","",MAX(0,AN1252-Settings!$C$16)*Settings!$C$17)</f>
        <v/>
      </c>
      <c r="BC1252" s="35" t="str">
        <f aca="false">IF($B1252="","",BA1252-BB1252)</f>
        <v/>
      </c>
      <c r="BD1252" s="35" t="str">
        <f aca="false">IF(OR($B1252="",$A1252=""),"",DAY(EOMONTH($A1252,0))-COUNTA($F1252:$AJ1252))</f>
        <v/>
      </c>
    </row>
    <row r="1253" customFormat="false" ht="15" hidden="false" customHeight="false" outlineLevel="0" collapsed="false">
      <c r="A1253" s="32"/>
      <c r="B1253" s="29"/>
      <c r="C1253" s="10" t="str">
        <f aca="false">IF($B1253="","",IFERROR(INDEX(M_name,MATCH($B1253,M_emp,0)),"Code not found"))</f>
        <v/>
      </c>
      <c r="D1253" s="10" t="str">
        <f aca="false">IF($B1253="","",IFERROR(INDEX(M_dept,MATCH($B1253,M_emp,0)),""))</f>
        <v/>
      </c>
      <c r="E1253" s="10" t="str">
        <f aca="false">IF($B1253="","",IFERROR(INDEX(M_loc,MATCH($B1253,M_emp,0)),""))</f>
        <v/>
      </c>
      <c r="F1253" s="33"/>
      <c r="G1253" s="33"/>
      <c r="H1253" s="33"/>
      <c r="I1253" s="33"/>
      <c r="J1253" s="33"/>
      <c r="K1253" s="33"/>
      <c r="L1253" s="33"/>
      <c r="M1253" s="33"/>
      <c r="N1253" s="33"/>
      <c r="O1253" s="33"/>
      <c r="P1253" s="33"/>
      <c r="Q1253" s="33"/>
      <c r="R1253" s="33"/>
      <c r="S1253" s="33"/>
      <c r="T1253" s="33"/>
      <c r="U1253" s="33"/>
      <c r="V1253" s="33"/>
      <c r="W1253" s="33"/>
      <c r="X1253" s="33"/>
      <c r="Y1253" s="33"/>
      <c r="Z1253" s="33"/>
      <c r="AA1253" s="33"/>
      <c r="AB1253" s="33"/>
      <c r="AC1253" s="33"/>
      <c r="AD1253" s="33"/>
      <c r="AE1253" s="33"/>
      <c r="AF1253" s="33"/>
      <c r="AG1253" s="33"/>
      <c r="AH1253" s="33"/>
      <c r="AI1253" s="33"/>
      <c r="AJ1253" s="33"/>
      <c r="AK1253" s="34" t="str">
        <f aca="false">IF($B1253="","",COUNTIF($F1253:$AJ1253,"P"))</f>
        <v/>
      </c>
      <c r="AL1253" s="34" t="str">
        <f aca="false">IF($B1253="","",COUNTIF($F1253:$AJ1253,"A"))</f>
        <v/>
      </c>
      <c r="AM1253" s="34" t="str">
        <f aca="false">IF($B1253="","",COUNTIF($F1253:$AJ1253,"HA"))</f>
        <v/>
      </c>
      <c r="AN1253" s="34" t="str">
        <f aca="false">IF($B1253="","",COUNTIF($F1253:$AJ1253,"L"))</f>
        <v/>
      </c>
      <c r="AO1253" s="34" t="str">
        <f aca="false">IF($B1253="","",COUNTIF($F1253:$AJ1253,"PL"))</f>
        <v/>
      </c>
      <c r="AP1253" s="34" t="str">
        <f aca="false">IF($B1253="","",COUNTIF($F1253:$AJ1253,"CL"))</f>
        <v/>
      </c>
      <c r="AQ1253" s="34" t="str">
        <f aca="false">IF($B1253="","",COUNTIF($F1253:$AJ1253,"SL"))</f>
        <v/>
      </c>
      <c r="AR1253" s="34" t="str">
        <f aca="false">IF($B1253="","",COUNTIF($F1253:$AJ1253,"CO"))</f>
        <v/>
      </c>
      <c r="AS1253" s="34" t="str">
        <f aca="false">IF($B1253="","",COUNTIF($F1253:$AJ1253,"HPL"))</f>
        <v/>
      </c>
      <c r="AT1253" s="34" t="str">
        <f aca="false">IF($B1253="","",COUNTIF($F1253:$AJ1253,"HCL"))</f>
        <v/>
      </c>
      <c r="AU1253" s="34" t="str">
        <f aca="false">IF($B1253="","",COUNTIF($F1253:$AJ1253,"WO"))</f>
        <v/>
      </c>
      <c r="AV1253" s="34" t="str">
        <f aca="false">IF($B1253="","",COUNTIF($F1253:$AJ1253,"PH"))</f>
        <v/>
      </c>
      <c r="AW1253" s="34" t="str">
        <f aca="false">IF($B1253="","",COUNTIF($F1253:$AJ1253,"TR"))</f>
        <v/>
      </c>
      <c r="AX1253" s="35" t="str">
        <f aca="false">IF($B1253="","",AO1253+AS1253/2)</f>
        <v/>
      </c>
      <c r="AY1253" s="35" t="str">
        <f aca="false">IF($B1253="","",AQ1253)</f>
        <v/>
      </c>
      <c r="AZ1253" s="35" t="str">
        <f aca="false">IF($B1253="","",AP1253+AT1253/2)</f>
        <v/>
      </c>
      <c r="BA1253" s="35" t="str">
        <f aca="false">IF($B1253="","",AK1253+AN1253+AM1253/2+AO1253+AP1253+AQ1253+AR1253+AS1253+AT1253+AU1253+AV1253+AW1253)</f>
        <v/>
      </c>
      <c r="BB1253" s="35" t="str">
        <f aca="false">IF($B1253="","",MAX(0,AN1253-Settings!$C$16)*Settings!$C$17)</f>
        <v/>
      </c>
      <c r="BC1253" s="35" t="str">
        <f aca="false">IF($B1253="","",BA1253-BB1253)</f>
        <v/>
      </c>
      <c r="BD1253" s="35" t="str">
        <f aca="false">IF(OR($B1253="",$A1253=""),"",DAY(EOMONTH($A1253,0))-COUNTA($F1253:$AJ1253))</f>
        <v/>
      </c>
    </row>
    <row r="1254" customFormat="false" ht="15" hidden="false" customHeight="false" outlineLevel="0" collapsed="false">
      <c r="A1254" s="32"/>
      <c r="B1254" s="29"/>
      <c r="C1254" s="10" t="str">
        <f aca="false">IF($B1254="","",IFERROR(INDEX(M_name,MATCH($B1254,M_emp,0)),"Code not found"))</f>
        <v/>
      </c>
      <c r="D1254" s="10" t="str">
        <f aca="false">IF($B1254="","",IFERROR(INDEX(M_dept,MATCH($B1254,M_emp,0)),""))</f>
        <v/>
      </c>
      <c r="E1254" s="10" t="str">
        <f aca="false">IF($B1254="","",IFERROR(INDEX(M_loc,MATCH($B1254,M_emp,0)),""))</f>
        <v/>
      </c>
      <c r="F1254" s="33"/>
      <c r="G1254" s="33"/>
      <c r="H1254" s="33"/>
      <c r="I1254" s="33"/>
      <c r="J1254" s="33"/>
      <c r="K1254" s="33"/>
      <c r="L1254" s="33"/>
      <c r="M1254" s="33"/>
      <c r="N1254" s="33"/>
      <c r="O1254" s="33"/>
      <c r="P1254" s="33"/>
      <c r="Q1254" s="33"/>
      <c r="R1254" s="33"/>
      <c r="S1254" s="33"/>
      <c r="T1254" s="33"/>
      <c r="U1254" s="33"/>
      <c r="V1254" s="33"/>
      <c r="W1254" s="33"/>
      <c r="X1254" s="33"/>
      <c r="Y1254" s="33"/>
      <c r="Z1254" s="33"/>
      <c r="AA1254" s="33"/>
      <c r="AB1254" s="33"/>
      <c r="AC1254" s="33"/>
      <c r="AD1254" s="33"/>
      <c r="AE1254" s="33"/>
      <c r="AF1254" s="33"/>
      <c r="AG1254" s="33"/>
      <c r="AH1254" s="33"/>
      <c r="AI1254" s="33"/>
      <c r="AJ1254" s="33"/>
      <c r="AK1254" s="34" t="str">
        <f aca="false">IF($B1254="","",COUNTIF($F1254:$AJ1254,"P"))</f>
        <v/>
      </c>
      <c r="AL1254" s="34" t="str">
        <f aca="false">IF($B1254="","",COUNTIF($F1254:$AJ1254,"A"))</f>
        <v/>
      </c>
      <c r="AM1254" s="34" t="str">
        <f aca="false">IF($B1254="","",COUNTIF($F1254:$AJ1254,"HA"))</f>
        <v/>
      </c>
      <c r="AN1254" s="34" t="str">
        <f aca="false">IF($B1254="","",COUNTIF($F1254:$AJ1254,"L"))</f>
        <v/>
      </c>
      <c r="AO1254" s="34" t="str">
        <f aca="false">IF($B1254="","",COUNTIF($F1254:$AJ1254,"PL"))</f>
        <v/>
      </c>
      <c r="AP1254" s="34" t="str">
        <f aca="false">IF($B1254="","",COUNTIF($F1254:$AJ1254,"CL"))</f>
        <v/>
      </c>
      <c r="AQ1254" s="34" t="str">
        <f aca="false">IF($B1254="","",COUNTIF($F1254:$AJ1254,"SL"))</f>
        <v/>
      </c>
      <c r="AR1254" s="34" t="str">
        <f aca="false">IF($B1254="","",COUNTIF($F1254:$AJ1254,"CO"))</f>
        <v/>
      </c>
      <c r="AS1254" s="34" t="str">
        <f aca="false">IF($B1254="","",COUNTIF($F1254:$AJ1254,"HPL"))</f>
        <v/>
      </c>
      <c r="AT1254" s="34" t="str">
        <f aca="false">IF($B1254="","",COUNTIF($F1254:$AJ1254,"HCL"))</f>
        <v/>
      </c>
      <c r="AU1254" s="34" t="str">
        <f aca="false">IF($B1254="","",COUNTIF($F1254:$AJ1254,"WO"))</f>
        <v/>
      </c>
      <c r="AV1254" s="34" t="str">
        <f aca="false">IF($B1254="","",COUNTIF($F1254:$AJ1254,"PH"))</f>
        <v/>
      </c>
      <c r="AW1254" s="34" t="str">
        <f aca="false">IF($B1254="","",COUNTIF($F1254:$AJ1254,"TR"))</f>
        <v/>
      </c>
      <c r="AX1254" s="35" t="str">
        <f aca="false">IF($B1254="","",AO1254+AS1254/2)</f>
        <v/>
      </c>
      <c r="AY1254" s="35" t="str">
        <f aca="false">IF($B1254="","",AQ1254)</f>
        <v/>
      </c>
      <c r="AZ1254" s="35" t="str">
        <f aca="false">IF($B1254="","",AP1254+AT1254/2)</f>
        <v/>
      </c>
      <c r="BA1254" s="35" t="str">
        <f aca="false">IF($B1254="","",AK1254+AN1254+AM1254/2+AO1254+AP1254+AQ1254+AR1254+AS1254+AT1254+AU1254+AV1254+AW1254)</f>
        <v/>
      </c>
      <c r="BB1254" s="35" t="str">
        <f aca="false">IF($B1254="","",MAX(0,AN1254-Settings!$C$16)*Settings!$C$17)</f>
        <v/>
      </c>
      <c r="BC1254" s="35" t="str">
        <f aca="false">IF($B1254="","",BA1254-BB1254)</f>
        <v/>
      </c>
      <c r="BD1254" s="35" t="str">
        <f aca="false">IF(OR($B1254="",$A1254=""),"",DAY(EOMONTH($A1254,0))-COUNTA($F1254:$AJ1254))</f>
        <v/>
      </c>
    </row>
    <row r="1255" customFormat="false" ht="15" hidden="false" customHeight="false" outlineLevel="0" collapsed="false">
      <c r="A1255" s="32"/>
      <c r="B1255" s="29"/>
      <c r="C1255" s="10" t="str">
        <f aca="false">IF($B1255="","",IFERROR(INDEX(M_name,MATCH($B1255,M_emp,0)),"Code not found"))</f>
        <v/>
      </c>
      <c r="D1255" s="10" t="str">
        <f aca="false">IF($B1255="","",IFERROR(INDEX(M_dept,MATCH($B1255,M_emp,0)),""))</f>
        <v/>
      </c>
      <c r="E1255" s="10" t="str">
        <f aca="false">IF($B1255="","",IFERROR(INDEX(M_loc,MATCH($B1255,M_emp,0)),""))</f>
        <v/>
      </c>
      <c r="F1255" s="33"/>
      <c r="G1255" s="33"/>
      <c r="H1255" s="33"/>
      <c r="I1255" s="33"/>
      <c r="J1255" s="33"/>
      <c r="K1255" s="33"/>
      <c r="L1255" s="33"/>
      <c r="M1255" s="33"/>
      <c r="N1255" s="33"/>
      <c r="O1255" s="33"/>
      <c r="P1255" s="33"/>
      <c r="Q1255" s="33"/>
      <c r="R1255" s="33"/>
      <c r="S1255" s="33"/>
      <c r="T1255" s="33"/>
      <c r="U1255" s="33"/>
      <c r="V1255" s="33"/>
      <c r="W1255" s="33"/>
      <c r="X1255" s="33"/>
      <c r="Y1255" s="33"/>
      <c r="Z1255" s="33"/>
      <c r="AA1255" s="33"/>
      <c r="AB1255" s="33"/>
      <c r="AC1255" s="33"/>
      <c r="AD1255" s="33"/>
      <c r="AE1255" s="33"/>
      <c r="AF1255" s="33"/>
      <c r="AG1255" s="33"/>
      <c r="AH1255" s="33"/>
      <c r="AI1255" s="33"/>
      <c r="AJ1255" s="33"/>
      <c r="AK1255" s="34" t="str">
        <f aca="false">IF($B1255="","",COUNTIF($F1255:$AJ1255,"P"))</f>
        <v/>
      </c>
      <c r="AL1255" s="34" t="str">
        <f aca="false">IF($B1255="","",COUNTIF($F1255:$AJ1255,"A"))</f>
        <v/>
      </c>
      <c r="AM1255" s="34" t="str">
        <f aca="false">IF($B1255="","",COUNTIF($F1255:$AJ1255,"HA"))</f>
        <v/>
      </c>
      <c r="AN1255" s="34" t="str">
        <f aca="false">IF($B1255="","",COUNTIF($F1255:$AJ1255,"L"))</f>
        <v/>
      </c>
      <c r="AO1255" s="34" t="str">
        <f aca="false">IF($B1255="","",COUNTIF($F1255:$AJ1255,"PL"))</f>
        <v/>
      </c>
      <c r="AP1255" s="34" t="str">
        <f aca="false">IF($B1255="","",COUNTIF($F1255:$AJ1255,"CL"))</f>
        <v/>
      </c>
      <c r="AQ1255" s="34" t="str">
        <f aca="false">IF($B1255="","",COUNTIF($F1255:$AJ1255,"SL"))</f>
        <v/>
      </c>
      <c r="AR1255" s="34" t="str">
        <f aca="false">IF($B1255="","",COUNTIF($F1255:$AJ1255,"CO"))</f>
        <v/>
      </c>
      <c r="AS1255" s="34" t="str">
        <f aca="false">IF($B1255="","",COUNTIF($F1255:$AJ1255,"HPL"))</f>
        <v/>
      </c>
      <c r="AT1255" s="34" t="str">
        <f aca="false">IF($B1255="","",COUNTIF($F1255:$AJ1255,"HCL"))</f>
        <v/>
      </c>
      <c r="AU1255" s="34" t="str">
        <f aca="false">IF($B1255="","",COUNTIF($F1255:$AJ1255,"WO"))</f>
        <v/>
      </c>
      <c r="AV1255" s="34" t="str">
        <f aca="false">IF($B1255="","",COUNTIF($F1255:$AJ1255,"PH"))</f>
        <v/>
      </c>
      <c r="AW1255" s="34" t="str">
        <f aca="false">IF($B1255="","",COUNTIF($F1255:$AJ1255,"TR"))</f>
        <v/>
      </c>
      <c r="AX1255" s="35" t="str">
        <f aca="false">IF($B1255="","",AO1255+AS1255/2)</f>
        <v/>
      </c>
      <c r="AY1255" s="35" t="str">
        <f aca="false">IF($B1255="","",AQ1255)</f>
        <v/>
      </c>
      <c r="AZ1255" s="35" t="str">
        <f aca="false">IF($B1255="","",AP1255+AT1255/2)</f>
        <v/>
      </c>
      <c r="BA1255" s="35" t="str">
        <f aca="false">IF($B1255="","",AK1255+AN1255+AM1255/2+AO1255+AP1255+AQ1255+AR1255+AS1255+AT1255+AU1255+AV1255+AW1255)</f>
        <v/>
      </c>
      <c r="BB1255" s="35" t="str">
        <f aca="false">IF($B1255="","",MAX(0,AN1255-Settings!$C$16)*Settings!$C$17)</f>
        <v/>
      </c>
      <c r="BC1255" s="35" t="str">
        <f aca="false">IF($B1255="","",BA1255-BB1255)</f>
        <v/>
      </c>
      <c r="BD1255" s="35" t="str">
        <f aca="false">IF(OR($B1255="",$A1255=""),"",DAY(EOMONTH($A1255,0))-COUNTA($F1255:$AJ1255))</f>
        <v/>
      </c>
    </row>
    <row r="1256" customFormat="false" ht="15" hidden="false" customHeight="false" outlineLevel="0" collapsed="false">
      <c r="A1256" s="32"/>
      <c r="B1256" s="29"/>
      <c r="C1256" s="10" t="str">
        <f aca="false">IF($B1256="","",IFERROR(INDEX(M_name,MATCH($B1256,M_emp,0)),"Code not found"))</f>
        <v/>
      </c>
      <c r="D1256" s="10" t="str">
        <f aca="false">IF($B1256="","",IFERROR(INDEX(M_dept,MATCH($B1256,M_emp,0)),""))</f>
        <v/>
      </c>
      <c r="E1256" s="10" t="str">
        <f aca="false">IF($B1256="","",IFERROR(INDEX(M_loc,MATCH($B1256,M_emp,0)),""))</f>
        <v/>
      </c>
      <c r="F1256" s="33"/>
      <c r="G1256" s="33"/>
      <c r="H1256" s="33"/>
      <c r="I1256" s="33"/>
      <c r="J1256" s="33"/>
      <c r="K1256" s="33"/>
      <c r="L1256" s="33"/>
      <c r="M1256" s="33"/>
      <c r="N1256" s="33"/>
      <c r="O1256" s="33"/>
      <c r="P1256" s="33"/>
      <c r="Q1256" s="33"/>
      <c r="R1256" s="33"/>
      <c r="S1256" s="33"/>
      <c r="T1256" s="33"/>
      <c r="U1256" s="33"/>
      <c r="V1256" s="33"/>
      <c r="W1256" s="33"/>
      <c r="X1256" s="33"/>
      <c r="Y1256" s="33"/>
      <c r="Z1256" s="33"/>
      <c r="AA1256" s="33"/>
      <c r="AB1256" s="33"/>
      <c r="AC1256" s="33"/>
      <c r="AD1256" s="33"/>
      <c r="AE1256" s="33"/>
      <c r="AF1256" s="33"/>
      <c r="AG1256" s="33"/>
      <c r="AH1256" s="33"/>
      <c r="AI1256" s="33"/>
      <c r="AJ1256" s="33"/>
      <c r="AK1256" s="34" t="str">
        <f aca="false">IF($B1256="","",COUNTIF($F1256:$AJ1256,"P"))</f>
        <v/>
      </c>
      <c r="AL1256" s="34" t="str">
        <f aca="false">IF($B1256="","",COUNTIF($F1256:$AJ1256,"A"))</f>
        <v/>
      </c>
      <c r="AM1256" s="34" t="str">
        <f aca="false">IF($B1256="","",COUNTIF($F1256:$AJ1256,"HA"))</f>
        <v/>
      </c>
      <c r="AN1256" s="34" t="str">
        <f aca="false">IF($B1256="","",COUNTIF($F1256:$AJ1256,"L"))</f>
        <v/>
      </c>
      <c r="AO1256" s="34" t="str">
        <f aca="false">IF($B1256="","",COUNTIF($F1256:$AJ1256,"PL"))</f>
        <v/>
      </c>
      <c r="AP1256" s="34" t="str">
        <f aca="false">IF($B1256="","",COUNTIF($F1256:$AJ1256,"CL"))</f>
        <v/>
      </c>
      <c r="AQ1256" s="34" t="str">
        <f aca="false">IF($B1256="","",COUNTIF($F1256:$AJ1256,"SL"))</f>
        <v/>
      </c>
      <c r="AR1256" s="34" t="str">
        <f aca="false">IF($B1256="","",COUNTIF($F1256:$AJ1256,"CO"))</f>
        <v/>
      </c>
      <c r="AS1256" s="34" t="str">
        <f aca="false">IF($B1256="","",COUNTIF($F1256:$AJ1256,"HPL"))</f>
        <v/>
      </c>
      <c r="AT1256" s="34" t="str">
        <f aca="false">IF($B1256="","",COUNTIF($F1256:$AJ1256,"HCL"))</f>
        <v/>
      </c>
      <c r="AU1256" s="34" t="str">
        <f aca="false">IF($B1256="","",COUNTIF($F1256:$AJ1256,"WO"))</f>
        <v/>
      </c>
      <c r="AV1256" s="34" t="str">
        <f aca="false">IF($B1256="","",COUNTIF($F1256:$AJ1256,"PH"))</f>
        <v/>
      </c>
      <c r="AW1256" s="34" t="str">
        <f aca="false">IF($B1256="","",COUNTIF($F1256:$AJ1256,"TR"))</f>
        <v/>
      </c>
      <c r="AX1256" s="35" t="str">
        <f aca="false">IF($B1256="","",AO1256+AS1256/2)</f>
        <v/>
      </c>
      <c r="AY1256" s="35" t="str">
        <f aca="false">IF($B1256="","",AQ1256)</f>
        <v/>
      </c>
      <c r="AZ1256" s="35" t="str">
        <f aca="false">IF($B1256="","",AP1256+AT1256/2)</f>
        <v/>
      </c>
      <c r="BA1256" s="35" t="str">
        <f aca="false">IF($B1256="","",AK1256+AN1256+AM1256/2+AO1256+AP1256+AQ1256+AR1256+AS1256+AT1256+AU1256+AV1256+AW1256)</f>
        <v/>
      </c>
      <c r="BB1256" s="35" t="str">
        <f aca="false">IF($B1256="","",MAX(0,AN1256-Settings!$C$16)*Settings!$C$17)</f>
        <v/>
      </c>
      <c r="BC1256" s="35" t="str">
        <f aca="false">IF($B1256="","",BA1256-BB1256)</f>
        <v/>
      </c>
      <c r="BD1256" s="35" t="str">
        <f aca="false">IF(OR($B1256="",$A1256=""),"",DAY(EOMONTH($A1256,0))-COUNTA($F1256:$AJ1256))</f>
        <v/>
      </c>
    </row>
    <row r="1257" customFormat="false" ht="15" hidden="false" customHeight="false" outlineLevel="0" collapsed="false">
      <c r="A1257" s="32"/>
      <c r="B1257" s="29"/>
      <c r="C1257" s="10" t="str">
        <f aca="false">IF($B1257="","",IFERROR(INDEX(M_name,MATCH($B1257,M_emp,0)),"Code not found"))</f>
        <v/>
      </c>
      <c r="D1257" s="10" t="str">
        <f aca="false">IF($B1257="","",IFERROR(INDEX(M_dept,MATCH($B1257,M_emp,0)),""))</f>
        <v/>
      </c>
      <c r="E1257" s="10" t="str">
        <f aca="false">IF($B1257="","",IFERROR(INDEX(M_loc,MATCH($B1257,M_emp,0)),""))</f>
        <v/>
      </c>
      <c r="F1257" s="33"/>
      <c r="G1257" s="33"/>
      <c r="H1257" s="33"/>
      <c r="I1257" s="33"/>
      <c r="J1257" s="33"/>
      <c r="K1257" s="33"/>
      <c r="L1257" s="33"/>
      <c r="M1257" s="33"/>
      <c r="N1257" s="33"/>
      <c r="O1257" s="33"/>
      <c r="P1257" s="33"/>
      <c r="Q1257" s="33"/>
      <c r="R1257" s="33"/>
      <c r="S1257" s="33"/>
      <c r="T1257" s="33"/>
      <c r="U1257" s="33"/>
      <c r="V1257" s="33"/>
      <c r="W1257" s="33"/>
      <c r="X1257" s="33"/>
      <c r="Y1257" s="33"/>
      <c r="Z1257" s="33"/>
      <c r="AA1257" s="33"/>
      <c r="AB1257" s="33"/>
      <c r="AC1257" s="33"/>
      <c r="AD1257" s="33"/>
      <c r="AE1257" s="33"/>
      <c r="AF1257" s="33"/>
      <c r="AG1257" s="33"/>
      <c r="AH1257" s="33"/>
      <c r="AI1257" s="33"/>
      <c r="AJ1257" s="33"/>
      <c r="AK1257" s="34" t="str">
        <f aca="false">IF($B1257="","",COUNTIF($F1257:$AJ1257,"P"))</f>
        <v/>
      </c>
      <c r="AL1257" s="34" t="str">
        <f aca="false">IF($B1257="","",COUNTIF($F1257:$AJ1257,"A"))</f>
        <v/>
      </c>
      <c r="AM1257" s="34" t="str">
        <f aca="false">IF($B1257="","",COUNTIF($F1257:$AJ1257,"HA"))</f>
        <v/>
      </c>
      <c r="AN1257" s="34" t="str">
        <f aca="false">IF($B1257="","",COUNTIF($F1257:$AJ1257,"L"))</f>
        <v/>
      </c>
      <c r="AO1257" s="34" t="str">
        <f aca="false">IF($B1257="","",COUNTIF($F1257:$AJ1257,"PL"))</f>
        <v/>
      </c>
      <c r="AP1257" s="34" t="str">
        <f aca="false">IF($B1257="","",COUNTIF($F1257:$AJ1257,"CL"))</f>
        <v/>
      </c>
      <c r="AQ1257" s="34" t="str">
        <f aca="false">IF($B1257="","",COUNTIF($F1257:$AJ1257,"SL"))</f>
        <v/>
      </c>
      <c r="AR1257" s="34" t="str">
        <f aca="false">IF($B1257="","",COUNTIF($F1257:$AJ1257,"CO"))</f>
        <v/>
      </c>
      <c r="AS1257" s="34" t="str">
        <f aca="false">IF($B1257="","",COUNTIF($F1257:$AJ1257,"HPL"))</f>
        <v/>
      </c>
      <c r="AT1257" s="34" t="str">
        <f aca="false">IF($B1257="","",COUNTIF($F1257:$AJ1257,"HCL"))</f>
        <v/>
      </c>
      <c r="AU1257" s="34" t="str">
        <f aca="false">IF($B1257="","",COUNTIF($F1257:$AJ1257,"WO"))</f>
        <v/>
      </c>
      <c r="AV1257" s="34" t="str">
        <f aca="false">IF($B1257="","",COUNTIF($F1257:$AJ1257,"PH"))</f>
        <v/>
      </c>
      <c r="AW1257" s="34" t="str">
        <f aca="false">IF($B1257="","",COUNTIF($F1257:$AJ1257,"TR"))</f>
        <v/>
      </c>
      <c r="AX1257" s="35" t="str">
        <f aca="false">IF($B1257="","",AO1257+AS1257/2)</f>
        <v/>
      </c>
      <c r="AY1257" s="35" t="str">
        <f aca="false">IF($B1257="","",AQ1257)</f>
        <v/>
      </c>
      <c r="AZ1257" s="35" t="str">
        <f aca="false">IF($B1257="","",AP1257+AT1257/2)</f>
        <v/>
      </c>
      <c r="BA1257" s="35" t="str">
        <f aca="false">IF($B1257="","",AK1257+AN1257+AM1257/2+AO1257+AP1257+AQ1257+AR1257+AS1257+AT1257+AU1257+AV1257+AW1257)</f>
        <v/>
      </c>
      <c r="BB1257" s="35" t="str">
        <f aca="false">IF($B1257="","",MAX(0,AN1257-Settings!$C$16)*Settings!$C$17)</f>
        <v/>
      </c>
      <c r="BC1257" s="35" t="str">
        <f aca="false">IF($B1257="","",BA1257-BB1257)</f>
        <v/>
      </c>
      <c r="BD1257" s="35" t="str">
        <f aca="false">IF(OR($B1257="",$A1257=""),"",DAY(EOMONTH($A1257,0))-COUNTA($F1257:$AJ1257))</f>
        <v/>
      </c>
    </row>
    <row r="1258" customFormat="false" ht="15" hidden="false" customHeight="false" outlineLevel="0" collapsed="false">
      <c r="A1258" s="32"/>
      <c r="B1258" s="29"/>
      <c r="C1258" s="10" t="str">
        <f aca="false">IF($B1258="","",IFERROR(INDEX(M_name,MATCH($B1258,M_emp,0)),"Code not found"))</f>
        <v/>
      </c>
      <c r="D1258" s="10" t="str">
        <f aca="false">IF($B1258="","",IFERROR(INDEX(M_dept,MATCH($B1258,M_emp,0)),""))</f>
        <v/>
      </c>
      <c r="E1258" s="10" t="str">
        <f aca="false">IF($B1258="","",IFERROR(INDEX(M_loc,MATCH($B1258,M_emp,0)),""))</f>
        <v/>
      </c>
      <c r="F1258" s="33"/>
      <c r="G1258" s="33"/>
      <c r="H1258" s="33"/>
      <c r="I1258" s="33"/>
      <c r="J1258" s="33"/>
      <c r="K1258" s="33"/>
      <c r="L1258" s="33"/>
      <c r="M1258" s="33"/>
      <c r="N1258" s="33"/>
      <c r="O1258" s="33"/>
      <c r="P1258" s="33"/>
      <c r="Q1258" s="33"/>
      <c r="R1258" s="33"/>
      <c r="S1258" s="33"/>
      <c r="T1258" s="33"/>
      <c r="U1258" s="33"/>
      <c r="V1258" s="33"/>
      <c r="W1258" s="33"/>
      <c r="X1258" s="33"/>
      <c r="Y1258" s="33"/>
      <c r="Z1258" s="33"/>
      <c r="AA1258" s="33"/>
      <c r="AB1258" s="33"/>
      <c r="AC1258" s="33"/>
      <c r="AD1258" s="33"/>
      <c r="AE1258" s="33"/>
      <c r="AF1258" s="33"/>
      <c r="AG1258" s="33"/>
      <c r="AH1258" s="33"/>
      <c r="AI1258" s="33"/>
      <c r="AJ1258" s="33"/>
      <c r="AK1258" s="34" t="str">
        <f aca="false">IF($B1258="","",COUNTIF($F1258:$AJ1258,"P"))</f>
        <v/>
      </c>
      <c r="AL1258" s="34" t="str">
        <f aca="false">IF($B1258="","",COUNTIF($F1258:$AJ1258,"A"))</f>
        <v/>
      </c>
      <c r="AM1258" s="34" t="str">
        <f aca="false">IF($B1258="","",COUNTIF($F1258:$AJ1258,"HA"))</f>
        <v/>
      </c>
      <c r="AN1258" s="34" t="str">
        <f aca="false">IF($B1258="","",COUNTIF($F1258:$AJ1258,"L"))</f>
        <v/>
      </c>
      <c r="AO1258" s="34" t="str">
        <f aca="false">IF($B1258="","",COUNTIF($F1258:$AJ1258,"PL"))</f>
        <v/>
      </c>
      <c r="AP1258" s="34" t="str">
        <f aca="false">IF($B1258="","",COUNTIF($F1258:$AJ1258,"CL"))</f>
        <v/>
      </c>
      <c r="AQ1258" s="34" t="str">
        <f aca="false">IF($B1258="","",COUNTIF($F1258:$AJ1258,"SL"))</f>
        <v/>
      </c>
      <c r="AR1258" s="34" t="str">
        <f aca="false">IF($B1258="","",COUNTIF($F1258:$AJ1258,"CO"))</f>
        <v/>
      </c>
      <c r="AS1258" s="34" t="str">
        <f aca="false">IF($B1258="","",COUNTIF($F1258:$AJ1258,"HPL"))</f>
        <v/>
      </c>
      <c r="AT1258" s="34" t="str">
        <f aca="false">IF($B1258="","",COUNTIF($F1258:$AJ1258,"HCL"))</f>
        <v/>
      </c>
      <c r="AU1258" s="34" t="str">
        <f aca="false">IF($B1258="","",COUNTIF($F1258:$AJ1258,"WO"))</f>
        <v/>
      </c>
      <c r="AV1258" s="34" t="str">
        <f aca="false">IF($B1258="","",COUNTIF($F1258:$AJ1258,"PH"))</f>
        <v/>
      </c>
      <c r="AW1258" s="34" t="str">
        <f aca="false">IF($B1258="","",COUNTIF($F1258:$AJ1258,"TR"))</f>
        <v/>
      </c>
      <c r="AX1258" s="35" t="str">
        <f aca="false">IF($B1258="","",AO1258+AS1258/2)</f>
        <v/>
      </c>
      <c r="AY1258" s="35" t="str">
        <f aca="false">IF($B1258="","",AQ1258)</f>
        <v/>
      </c>
      <c r="AZ1258" s="35" t="str">
        <f aca="false">IF($B1258="","",AP1258+AT1258/2)</f>
        <v/>
      </c>
      <c r="BA1258" s="35" t="str">
        <f aca="false">IF($B1258="","",AK1258+AN1258+AM1258/2+AO1258+AP1258+AQ1258+AR1258+AS1258+AT1258+AU1258+AV1258+AW1258)</f>
        <v/>
      </c>
      <c r="BB1258" s="35" t="str">
        <f aca="false">IF($B1258="","",MAX(0,AN1258-Settings!$C$16)*Settings!$C$17)</f>
        <v/>
      </c>
      <c r="BC1258" s="35" t="str">
        <f aca="false">IF($B1258="","",BA1258-BB1258)</f>
        <v/>
      </c>
      <c r="BD1258" s="35" t="str">
        <f aca="false">IF(OR($B1258="",$A1258=""),"",DAY(EOMONTH($A1258,0))-COUNTA($F1258:$AJ1258))</f>
        <v/>
      </c>
    </row>
    <row r="1259" customFormat="false" ht="15" hidden="false" customHeight="false" outlineLevel="0" collapsed="false">
      <c r="A1259" s="32"/>
      <c r="B1259" s="29"/>
      <c r="C1259" s="10" t="str">
        <f aca="false">IF($B1259="","",IFERROR(INDEX(M_name,MATCH($B1259,M_emp,0)),"Code not found"))</f>
        <v/>
      </c>
      <c r="D1259" s="10" t="str">
        <f aca="false">IF($B1259="","",IFERROR(INDEX(M_dept,MATCH($B1259,M_emp,0)),""))</f>
        <v/>
      </c>
      <c r="E1259" s="10" t="str">
        <f aca="false">IF($B1259="","",IFERROR(INDEX(M_loc,MATCH($B1259,M_emp,0)),""))</f>
        <v/>
      </c>
      <c r="F1259" s="33"/>
      <c r="G1259" s="33"/>
      <c r="H1259" s="33"/>
      <c r="I1259" s="33"/>
      <c r="J1259" s="33"/>
      <c r="K1259" s="33"/>
      <c r="L1259" s="33"/>
      <c r="M1259" s="33"/>
      <c r="N1259" s="33"/>
      <c r="O1259" s="33"/>
      <c r="P1259" s="33"/>
      <c r="Q1259" s="33"/>
      <c r="R1259" s="33"/>
      <c r="S1259" s="33"/>
      <c r="T1259" s="33"/>
      <c r="U1259" s="33"/>
      <c r="V1259" s="33"/>
      <c r="W1259" s="33"/>
      <c r="X1259" s="33"/>
      <c r="Y1259" s="33"/>
      <c r="Z1259" s="33"/>
      <c r="AA1259" s="33"/>
      <c r="AB1259" s="33"/>
      <c r="AC1259" s="33"/>
      <c r="AD1259" s="33"/>
      <c r="AE1259" s="33"/>
      <c r="AF1259" s="33"/>
      <c r="AG1259" s="33"/>
      <c r="AH1259" s="33"/>
      <c r="AI1259" s="33"/>
      <c r="AJ1259" s="33"/>
      <c r="AK1259" s="34" t="str">
        <f aca="false">IF($B1259="","",COUNTIF($F1259:$AJ1259,"P"))</f>
        <v/>
      </c>
      <c r="AL1259" s="34" t="str">
        <f aca="false">IF($B1259="","",COUNTIF($F1259:$AJ1259,"A"))</f>
        <v/>
      </c>
      <c r="AM1259" s="34" t="str">
        <f aca="false">IF($B1259="","",COUNTIF($F1259:$AJ1259,"HA"))</f>
        <v/>
      </c>
      <c r="AN1259" s="34" t="str">
        <f aca="false">IF($B1259="","",COUNTIF($F1259:$AJ1259,"L"))</f>
        <v/>
      </c>
      <c r="AO1259" s="34" t="str">
        <f aca="false">IF($B1259="","",COUNTIF($F1259:$AJ1259,"PL"))</f>
        <v/>
      </c>
      <c r="AP1259" s="34" t="str">
        <f aca="false">IF($B1259="","",COUNTIF($F1259:$AJ1259,"CL"))</f>
        <v/>
      </c>
      <c r="AQ1259" s="34" t="str">
        <f aca="false">IF($B1259="","",COUNTIF($F1259:$AJ1259,"SL"))</f>
        <v/>
      </c>
      <c r="AR1259" s="34" t="str">
        <f aca="false">IF($B1259="","",COUNTIF($F1259:$AJ1259,"CO"))</f>
        <v/>
      </c>
      <c r="AS1259" s="34" t="str">
        <f aca="false">IF($B1259="","",COUNTIF($F1259:$AJ1259,"HPL"))</f>
        <v/>
      </c>
      <c r="AT1259" s="34" t="str">
        <f aca="false">IF($B1259="","",COUNTIF($F1259:$AJ1259,"HCL"))</f>
        <v/>
      </c>
      <c r="AU1259" s="34" t="str">
        <f aca="false">IF($B1259="","",COUNTIF($F1259:$AJ1259,"WO"))</f>
        <v/>
      </c>
      <c r="AV1259" s="34" t="str">
        <f aca="false">IF($B1259="","",COUNTIF($F1259:$AJ1259,"PH"))</f>
        <v/>
      </c>
      <c r="AW1259" s="34" t="str">
        <f aca="false">IF($B1259="","",COUNTIF($F1259:$AJ1259,"TR"))</f>
        <v/>
      </c>
      <c r="AX1259" s="35" t="str">
        <f aca="false">IF($B1259="","",AO1259+AS1259/2)</f>
        <v/>
      </c>
      <c r="AY1259" s="35" t="str">
        <f aca="false">IF($B1259="","",AQ1259)</f>
        <v/>
      </c>
      <c r="AZ1259" s="35" t="str">
        <f aca="false">IF($B1259="","",AP1259+AT1259/2)</f>
        <v/>
      </c>
      <c r="BA1259" s="35" t="str">
        <f aca="false">IF($B1259="","",AK1259+AN1259+AM1259/2+AO1259+AP1259+AQ1259+AR1259+AS1259+AT1259+AU1259+AV1259+AW1259)</f>
        <v/>
      </c>
      <c r="BB1259" s="35" t="str">
        <f aca="false">IF($B1259="","",MAX(0,AN1259-Settings!$C$16)*Settings!$C$17)</f>
        <v/>
      </c>
      <c r="BC1259" s="35" t="str">
        <f aca="false">IF($B1259="","",BA1259-BB1259)</f>
        <v/>
      </c>
      <c r="BD1259" s="35" t="str">
        <f aca="false">IF(OR($B1259="",$A1259=""),"",DAY(EOMONTH($A1259,0))-COUNTA($F1259:$AJ1259))</f>
        <v/>
      </c>
    </row>
    <row r="1260" customFormat="false" ht="15" hidden="false" customHeight="false" outlineLevel="0" collapsed="false">
      <c r="A1260" s="32"/>
      <c r="B1260" s="29"/>
      <c r="C1260" s="10" t="str">
        <f aca="false">IF($B1260="","",IFERROR(INDEX(M_name,MATCH($B1260,M_emp,0)),"Code not found"))</f>
        <v/>
      </c>
      <c r="D1260" s="10" t="str">
        <f aca="false">IF($B1260="","",IFERROR(INDEX(M_dept,MATCH($B1260,M_emp,0)),""))</f>
        <v/>
      </c>
      <c r="E1260" s="10" t="str">
        <f aca="false">IF($B1260="","",IFERROR(INDEX(M_loc,MATCH($B1260,M_emp,0)),""))</f>
        <v/>
      </c>
      <c r="F1260" s="33"/>
      <c r="G1260" s="33"/>
      <c r="H1260" s="33"/>
      <c r="I1260" s="33"/>
      <c r="J1260" s="33"/>
      <c r="K1260" s="33"/>
      <c r="L1260" s="33"/>
      <c r="M1260" s="33"/>
      <c r="N1260" s="33"/>
      <c r="O1260" s="33"/>
      <c r="P1260" s="33"/>
      <c r="Q1260" s="33"/>
      <c r="R1260" s="33"/>
      <c r="S1260" s="33"/>
      <c r="T1260" s="33"/>
      <c r="U1260" s="33"/>
      <c r="V1260" s="33"/>
      <c r="W1260" s="33"/>
      <c r="X1260" s="33"/>
      <c r="Y1260" s="33"/>
      <c r="Z1260" s="33"/>
      <c r="AA1260" s="33"/>
      <c r="AB1260" s="33"/>
      <c r="AC1260" s="33"/>
      <c r="AD1260" s="33"/>
      <c r="AE1260" s="33"/>
      <c r="AF1260" s="33"/>
      <c r="AG1260" s="33"/>
      <c r="AH1260" s="33"/>
      <c r="AI1260" s="33"/>
      <c r="AJ1260" s="33"/>
      <c r="AK1260" s="34" t="str">
        <f aca="false">IF($B1260="","",COUNTIF($F1260:$AJ1260,"P"))</f>
        <v/>
      </c>
      <c r="AL1260" s="34" t="str">
        <f aca="false">IF($B1260="","",COUNTIF($F1260:$AJ1260,"A"))</f>
        <v/>
      </c>
      <c r="AM1260" s="34" t="str">
        <f aca="false">IF($B1260="","",COUNTIF($F1260:$AJ1260,"HA"))</f>
        <v/>
      </c>
      <c r="AN1260" s="34" t="str">
        <f aca="false">IF($B1260="","",COUNTIF($F1260:$AJ1260,"L"))</f>
        <v/>
      </c>
      <c r="AO1260" s="34" t="str">
        <f aca="false">IF($B1260="","",COUNTIF($F1260:$AJ1260,"PL"))</f>
        <v/>
      </c>
      <c r="AP1260" s="34" t="str">
        <f aca="false">IF($B1260="","",COUNTIF($F1260:$AJ1260,"CL"))</f>
        <v/>
      </c>
      <c r="AQ1260" s="34" t="str">
        <f aca="false">IF($B1260="","",COUNTIF($F1260:$AJ1260,"SL"))</f>
        <v/>
      </c>
      <c r="AR1260" s="34" t="str">
        <f aca="false">IF($B1260="","",COUNTIF($F1260:$AJ1260,"CO"))</f>
        <v/>
      </c>
      <c r="AS1260" s="34" t="str">
        <f aca="false">IF($B1260="","",COUNTIF($F1260:$AJ1260,"HPL"))</f>
        <v/>
      </c>
      <c r="AT1260" s="34" t="str">
        <f aca="false">IF($B1260="","",COUNTIF($F1260:$AJ1260,"HCL"))</f>
        <v/>
      </c>
      <c r="AU1260" s="34" t="str">
        <f aca="false">IF($B1260="","",COUNTIF($F1260:$AJ1260,"WO"))</f>
        <v/>
      </c>
      <c r="AV1260" s="34" t="str">
        <f aca="false">IF($B1260="","",COUNTIF($F1260:$AJ1260,"PH"))</f>
        <v/>
      </c>
      <c r="AW1260" s="34" t="str">
        <f aca="false">IF($B1260="","",COUNTIF($F1260:$AJ1260,"TR"))</f>
        <v/>
      </c>
      <c r="AX1260" s="35" t="str">
        <f aca="false">IF($B1260="","",AO1260+AS1260/2)</f>
        <v/>
      </c>
      <c r="AY1260" s="35" t="str">
        <f aca="false">IF($B1260="","",AQ1260)</f>
        <v/>
      </c>
      <c r="AZ1260" s="35" t="str">
        <f aca="false">IF($B1260="","",AP1260+AT1260/2)</f>
        <v/>
      </c>
      <c r="BA1260" s="35" t="str">
        <f aca="false">IF($B1260="","",AK1260+AN1260+AM1260/2+AO1260+AP1260+AQ1260+AR1260+AS1260+AT1260+AU1260+AV1260+AW1260)</f>
        <v/>
      </c>
      <c r="BB1260" s="35" t="str">
        <f aca="false">IF($B1260="","",MAX(0,AN1260-Settings!$C$16)*Settings!$C$17)</f>
        <v/>
      </c>
      <c r="BC1260" s="35" t="str">
        <f aca="false">IF($B1260="","",BA1260-BB1260)</f>
        <v/>
      </c>
      <c r="BD1260" s="35" t="str">
        <f aca="false">IF(OR($B1260="",$A1260=""),"",DAY(EOMONTH($A1260,0))-COUNTA($F1260:$AJ1260))</f>
        <v/>
      </c>
    </row>
    <row r="1261" customFormat="false" ht="15" hidden="false" customHeight="false" outlineLevel="0" collapsed="false">
      <c r="A1261" s="32"/>
      <c r="B1261" s="29"/>
      <c r="C1261" s="10" t="str">
        <f aca="false">IF($B1261="","",IFERROR(INDEX(M_name,MATCH($B1261,M_emp,0)),"Code not found"))</f>
        <v/>
      </c>
      <c r="D1261" s="10" t="str">
        <f aca="false">IF($B1261="","",IFERROR(INDEX(M_dept,MATCH($B1261,M_emp,0)),""))</f>
        <v/>
      </c>
      <c r="E1261" s="10" t="str">
        <f aca="false">IF($B1261="","",IFERROR(INDEX(M_loc,MATCH($B1261,M_emp,0)),""))</f>
        <v/>
      </c>
      <c r="F1261" s="33"/>
      <c r="G1261" s="33"/>
      <c r="H1261" s="33"/>
      <c r="I1261" s="33"/>
      <c r="J1261" s="33"/>
      <c r="K1261" s="33"/>
      <c r="L1261" s="33"/>
      <c r="M1261" s="33"/>
      <c r="N1261" s="33"/>
      <c r="O1261" s="33"/>
      <c r="P1261" s="33"/>
      <c r="Q1261" s="33"/>
      <c r="R1261" s="33"/>
      <c r="S1261" s="33"/>
      <c r="T1261" s="33"/>
      <c r="U1261" s="33"/>
      <c r="V1261" s="33"/>
      <c r="W1261" s="33"/>
      <c r="X1261" s="33"/>
      <c r="Y1261" s="33"/>
      <c r="Z1261" s="33"/>
      <c r="AA1261" s="33"/>
      <c r="AB1261" s="33"/>
      <c r="AC1261" s="33"/>
      <c r="AD1261" s="33"/>
      <c r="AE1261" s="33"/>
      <c r="AF1261" s="33"/>
      <c r="AG1261" s="33"/>
      <c r="AH1261" s="33"/>
      <c r="AI1261" s="33"/>
      <c r="AJ1261" s="33"/>
      <c r="AK1261" s="34" t="str">
        <f aca="false">IF($B1261="","",COUNTIF($F1261:$AJ1261,"P"))</f>
        <v/>
      </c>
      <c r="AL1261" s="34" t="str">
        <f aca="false">IF($B1261="","",COUNTIF($F1261:$AJ1261,"A"))</f>
        <v/>
      </c>
      <c r="AM1261" s="34" t="str">
        <f aca="false">IF($B1261="","",COUNTIF($F1261:$AJ1261,"HA"))</f>
        <v/>
      </c>
      <c r="AN1261" s="34" t="str">
        <f aca="false">IF($B1261="","",COUNTIF($F1261:$AJ1261,"L"))</f>
        <v/>
      </c>
      <c r="AO1261" s="34" t="str">
        <f aca="false">IF($B1261="","",COUNTIF($F1261:$AJ1261,"PL"))</f>
        <v/>
      </c>
      <c r="AP1261" s="34" t="str">
        <f aca="false">IF($B1261="","",COUNTIF($F1261:$AJ1261,"CL"))</f>
        <v/>
      </c>
      <c r="AQ1261" s="34" t="str">
        <f aca="false">IF($B1261="","",COUNTIF($F1261:$AJ1261,"SL"))</f>
        <v/>
      </c>
      <c r="AR1261" s="34" t="str">
        <f aca="false">IF($B1261="","",COUNTIF($F1261:$AJ1261,"CO"))</f>
        <v/>
      </c>
      <c r="AS1261" s="34" t="str">
        <f aca="false">IF($B1261="","",COUNTIF($F1261:$AJ1261,"HPL"))</f>
        <v/>
      </c>
      <c r="AT1261" s="34" t="str">
        <f aca="false">IF($B1261="","",COUNTIF($F1261:$AJ1261,"HCL"))</f>
        <v/>
      </c>
      <c r="AU1261" s="34" t="str">
        <f aca="false">IF($B1261="","",COUNTIF($F1261:$AJ1261,"WO"))</f>
        <v/>
      </c>
      <c r="AV1261" s="34" t="str">
        <f aca="false">IF($B1261="","",COUNTIF($F1261:$AJ1261,"PH"))</f>
        <v/>
      </c>
      <c r="AW1261" s="34" t="str">
        <f aca="false">IF($B1261="","",COUNTIF($F1261:$AJ1261,"TR"))</f>
        <v/>
      </c>
      <c r="AX1261" s="35" t="str">
        <f aca="false">IF($B1261="","",AO1261+AS1261/2)</f>
        <v/>
      </c>
      <c r="AY1261" s="35" t="str">
        <f aca="false">IF($B1261="","",AQ1261)</f>
        <v/>
      </c>
      <c r="AZ1261" s="35" t="str">
        <f aca="false">IF($B1261="","",AP1261+AT1261/2)</f>
        <v/>
      </c>
      <c r="BA1261" s="35" t="str">
        <f aca="false">IF($B1261="","",AK1261+AN1261+AM1261/2+AO1261+AP1261+AQ1261+AR1261+AS1261+AT1261+AU1261+AV1261+AW1261)</f>
        <v/>
      </c>
      <c r="BB1261" s="35" t="str">
        <f aca="false">IF($B1261="","",MAX(0,AN1261-Settings!$C$16)*Settings!$C$17)</f>
        <v/>
      </c>
      <c r="BC1261" s="35" t="str">
        <f aca="false">IF($B1261="","",BA1261-BB1261)</f>
        <v/>
      </c>
      <c r="BD1261" s="35" t="str">
        <f aca="false">IF(OR($B1261="",$A1261=""),"",DAY(EOMONTH($A1261,0))-COUNTA($F1261:$AJ1261))</f>
        <v/>
      </c>
    </row>
    <row r="1262" customFormat="false" ht="15" hidden="false" customHeight="false" outlineLevel="0" collapsed="false">
      <c r="A1262" s="32"/>
      <c r="B1262" s="29"/>
      <c r="C1262" s="10" t="str">
        <f aca="false">IF($B1262="","",IFERROR(INDEX(M_name,MATCH($B1262,M_emp,0)),"Code not found"))</f>
        <v/>
      </c>
      <c r="D1262" s="10" t="str">
        <f aca="false">IF($B1262="","",IFERROR(INDEX(M_dept,MATCH($B1262,M_emp,0)),""))</f>
        <v/>
      </c>
      <c r="E1262" s="10" t="str">
        <f aca="false">IF($B1262="","",IFERROR(INDEX(M_loc,MATCH($B1262,M_emp,0)),""))</f>
        <v/>
      </c>
      <c r="F1262" s="33"/>
      <c r="G1262" s="33"/>
      <c r="H1262" s="33"/>
      <c r="I1262" s="33"/>
      <c r="J1262" s="33"/>
      <c r="K1262" s="33"/>
      <c r="L1262" s="33"/>
      <c r="M1262" s="33"/>
      <c r="N1262" s="33"/>
      <c r="O1262" s="33"/>
      <c r="P1262" s="33"/>
      <c r="Q1262" s="33"/>
      <c r="R1262" s="33"/>
      <c r="S1262" s="33"/>
      <c r="T1262" s="33"/>
      <c r="U1262" s="33"/>
      <c r="V1262" s="33"/>
      <c r="W1262" s="33"/>
      <c r="X1262" s="33"/>
      <c r="Y1262" s="33"/>
      <c r="Z1262" s="33"/>
      <c r="AA1262" s="33"/>
      <c r="AB1262" s="33"/>
      <c r="AC1262" s="33"/>
      <c r="AD1262" s="33"/>
      <c r="AE1262" s="33"/>
      <c r="AF1262" s="33"/>
      <c r="AG1262" s="33"/>
      <c r="AH1262" s="33"/>
      <c r="AI1262" s="33"/>
      <c r="AJ1262" s="33"/>
      <c r="AK1262" s="34" t="str">
        <f aca="false">IF($B1262="","",COUNTIF($F1262:$AJ1262,"P"))</f>
        <v/>
      </c>
      <c r="AL1262" s="34" t="str">
        <f aca="false">IF($B1262="","",COUNTIF($F1262:$AJ1262,"A"))</f>
        <v/>
      </c>
      <c r="AM1262" s="34" t="str">
        <f aca="false">IF($B1262="","",COUNTIF($F1262:$AJ1262,"HA"))</f>
        <v/>
      </c>
      <c r="AN1262" s="34" t="str">
        <f aca="false">IF($B1262="","",COUNTIF($F1262:$AJ1262,"L"))</f>
        <v/>
      </c>
      <c r="AO1262" s="34" t="str">
        <f aca="false">IF($B1262="","",COUNTIF($F1262:$AJ1262,"PL"))</f>
        <v/>
      </c>
      <c r="AP1262" s="34" t="str">
        <f aca="false">IF($B1262="","",COUNTIF($F1262:$AJ1262,"CL"))</f>
        <v/>
      </c>
      <c r="AQ1262" s="34" t="str">
        <f aca="false">IF($B1262="","",COUNTIF($F1262:$AJ1262,"SL"))</f>
        <v/>
      </c>
      <c r="AR1262" s="34" t="str">
        <f aca="false">IF($B1262="","",COUNTIF($F1262:$AJ1262,"CO"))</f>
        <v/>
      </c>
      <c r="AS1262" s="34" t="str">
        <f aca="false">IF($B1262="","",COUNTIF($F1262:$AJ1262,"HPL"))</f>
        <v/>
      </c>
      <c r="AT1262" s="34" t="str">
        <f aca="false">IF($B1262="","",COUNTIF($F1262:$AJ1262,"HCL"))</f>
        <v/>
      </c>
      <c r="AU1262" s="34" t="str">
        <f aca="false">IF($B1262="","",COUNTIF($F1262:$AJ1262,"WO"))</f>
        <v/>
      </c>
      <c r="AV1262" s="34" t="str">
        <f aca="false">IF($B1262="","",COUNTIF($F1262:$AJ1262,"PH"))</f>
        <v/>
      </c>
      <c r="AW1262" s="34" t="str">
        <f aca="false">IF($B1262="","",COUNTIF($F1262:$AJ1262,"TR"))</f>
        <v/>
      </c>
      <c r="AX1262" s="35" t="str">
        <f aca="false">IF($B1262="","",AO1262+AS1262/2)</f>
        <v/>
      </c>
      <c r="AY1262" s="35" t="str">
        <f aca="false">IF($B1262="","",AQ1262)</f>
        <v/>
      </c>
      <c r="AZ1262" s="35" t="str">
        <f aca="false">IF($B1262="","",AP1262+AT1262/2)</f>
        <v/>
      </c>
      <c r="BA1262" s="35" t="str">
        <f aca="false">IF($B1262="","",AK1262+AN1262+AM1262/2+AO1262+AP1262+AQ1262+AR1262+AS1262+AT1262+AU1262+AV1262+AW1262)</f>
        <v/>
      </c>
      <c r="BB1262" s="35" t="str">
        <f aca="false">IF($B1262="","",MAX(0,AN1262-Settings!$C$16)*Settings!$C$17)</f>
        <v/>
      </c>
      <c r="BC1262" s="35" t="str">
        <f aca="false">IF($B1262="","",BA1262-BB1262)</f>
        <v/>
      </c>
      <c r="BD1262" s="35" t="str">
        <f aca="false">IF(OR($B1262="",$A1262=""),"",DAY(EOMONTH($A1262,0))-COUNTA($F1262:$AJ1262))</f>
        <v/>
      </c>
    </row>
    <row r="1263" customFormat="false" ht="15" hidden="false" customHeight="false" outlineLevel="0" collapsed="false">
      <c r="A1263" s="32"/>
      <c r="B1263" s="29"/>
      <c r="C1263" s="10" t="str">
        <f aca="false">IF($B1263="","",IFERROR(INDEX(M_name,MATCH($B1263,M_emp,0)),"Code not found"))</f>
        <v/>
      </c>
      <c r="D1263" s="10" t="str">
        <f aca="false">IF($B1263="","",IFERROR(INDEX(M_dept,MATCH($B1263,M_emp,0)),""))</f>
        <v/>
      </c>
      <c r="E1263" s="10" t="str">
        <f aca="false">IF($B1263="","",IFERROR(INDEX(M_loc,MATCH($B1263,M_emp,0)),""))</f>
        <v/>
      </c>
      <c r="F1263" s="33"/>
      <c r="G1263" s="33"/>
      <c r="H1263" s="33"/>
      <c r="I1263" s="33"/>
      <c r="J1263" s="33"/>
      <c r="K1263" s="33"/>
      <c r="L1263" s="33"/>
      <c r="M1263" s="33"/>
      <c r="N1263" s="33"/>
      <c r="O1263" s="33"/>
      <c r="P1263" s="33"/>
      <c r="Q1263" s="33"/>
      <c r="R1263" s="33"/>
      <c r="S1263" s="33"/>
      <c r="T1263" s="33"/>
      <c r="U1263" s="33"/>
      <c r="V1263" s="33"/>
      <c r="W1263" s="33"/>
      <c r="X1263" s="33"/>
      <c r="Y1263" s="33"/>
      <c r="Z1263" s="33"/>
      <c r="AA1263" s="33"/>
      <c r="AB1263" s="33"/>
      <c r="AC1263" s="33"/>
      <c r="AD1263" s="33"/>
      <c r="AE1263" s="33"/>
      <c r="AF1263" s="33"/>
      <c r="AG1263" s="33"/>
      <c r="AH1263" s="33"/>
      <c r="AI1263" s="33"/>
      <c r="AJ1263" s="33"/>
      <c r="AK1263" s="34" t="str">
        <f aca="false">IF($B1263="","",COUNTIF($F1263:$AJ1263,"P"))</f>
        <v/>
      </c>
      <c r="AL1263" s="34" t="str">
        <f aca="false">IF($B1263="","",COUNTIF($F1263:$AJ1263,"A"))</f>
        <v/>
      </c>
      <c r="AM1263" s="34" t="str">
        <f aca="false">IF($B1263="","",COUNTIF($F1263:$AJ1263,"HA"))</f>
        <v/>
      </c>
      <c r="AN1263" s="34" t="str">
        <f aca="false">IF($B1263="","",COUNTIF($F1263:$AJ1263,"L"))</f>
        <v/>
      </c>
      <c r="AO1263" s="34" t="str">
        <f aca="false">IF($B1263="","",COUNTIF($F1263:$AJ1263,"PL"))</f>
        <v/>
      </c>
      <c r="AP1263" s="34" t="str">
        <f aca="false">IF($B1263="","",COUNTIF($F1263:$AJ1263,"CL"))</f>
        <v/>
      </c>
      <c r="AQ1263" s="34" t="str">
        <f aca="false">IF($B1263="","",COUNTIF($F1263:$AJ1263,"SL"))</f>
        <v/>
      </c>
      <c r="AR1263" s="34" t="str">
        <f aca="false">IF($B1263="","",COUNTIF($F1263:$AJ1263,"CO"))</f>
        <v/>
      </c>
      <c r="AS1263" s="34" t="str">
        <f aca="false">IF($B1263="","",COUNTIF($F1263:$AJ1263,"HPL"))</f>
        <v/>
      </c>
      <c r="AT1263" s="34" t="str">
        <f aca="false">IF($B1263="","",COUNTIF($F1263:$AJ1263,"HCL"))</f>
        <v/>
      </c>
      <c r="AU1263" s="34" t="str">
        <f aca="false">IF($B1263="","",COUNTIF($F1263:$AJ1263,"WO"))</f>
        <v/>
      </c>
      <c r="AV1263" s="34" t="str">
        <f aca="false">IF($B1263="","",COUNTIF($F1263:$AJ1263,"PH"))</f>
        <v/>
      </c>
      <c r="AW1263" s="34" t="str">
        <f aca="false">IF($B1263="","",COUNTIF($F1263:$AJ1263,"TR"))</f>
        <v/>
      </c>
      <c r="AX1263" s="35" t="str">
        <f aca="false">IF($B1263="","",AO1263+AS1263/2)</f>
        <v/>
      </c>
      <c r="AY1263" s="35" t="str">
        <f aca="false">IF($B1263="","",AQ1263)</f>
        <v/>
      </c>
      <c r="AZ1263" s="35" t="str">
        <f aca="false">IF($B1263="","",AP1263+AT1263/2)</f>
        <v/>
      </c>
      <c r="BA1263" s="35" t="str">
        <f aca="false">IF($B1263="","",AK1263+AN1263+AM1263/2+AO1263+AP1263+AQ1263+AR1263+AS1263+AT1263+AU1263+AV1263+AW1263)</f>
        <v/>
      </c>
      <c r="BB1263" s="35" t="str">
        <f aca="false">IF($B1263="","",MAX(0,AN1263-Settings!$C$16)*Settings!$C$17)</f>
        <v/>
      </c>
      <c r="BC1263" s="35" t="str">
        <f aca="false">IF($B1263="","",BA1263-BB1263)</f>
        <v/>
      </c>
      <c r="BD1263" s="35" t="str">
        <f aca="false">IF(OR($B1263="",$A1263=""),"",DAY(EOMONTH($A1263,0))-COUNTA($F1263:$AJ1263))</f>
        <v/>
      </c>
    </row>
    <row r="1264" customFormat="false" ht="15" hidden="false" customHeight="false" outlineLevel="0" collapsed="false">
      <c r="A1264" s="32"/>
      <c r="B1264" s="29"/>
      <c r="C1264" s="10" t="str">
        <f aca="false">IF($B1264="","",IFERROR(INDEX(M_name,MATCH($B1264,M_emp,0)),"Code not found"))</f>
        <v/>
      </c>
      <c r="D1264" s="10" t="str">
        <f aca="false">IF($B1264="","",IFERROR(INDEX(M_dept,MATCH($B1264,M_emp,0)),""))</f>
        <v/>
      </c>
      <c r="E1264" s="10" t="str">
        <f aca="false">IF($B1264="","",IFERROR(INDEX(M_loc,MATCH($B1264,M_emp,0)),""))</f>
        <v/>
      </c>
      <c r="F1264" s="33"/>
      <c r="G1264" s="33"/>
      <c r="H1264" s="33"/>
      <c r="I1264" s="33"/>
      <c r="J1264" s="33"/>
      <c r="K1264" s="33"/>
      <c r="L1264" s="33"/>
      <c r="M1264" s="33"/>
      <c r="N1264" s="33"/>
      <c r="O1264" s="33"/>
      <c r="P1264" s="33"/>
      <c r="Q1264" s="33"/>
      <c r="R1264" s="33"/>
      <c r="S1264" s="33"/>
      <c r="T1264" s="33"/>
      <c r="U1264" s="33"/>
      <c r="V1264" s="33"/>
      <c r="W1264" s="33"/>
      <c r="X1264" s="33"/>
      <c r="Y1264" s="33"/>
      <c r="Z1264" s="33"/>
      <c r="AA1264" s="33"/>
      <c r="AB1264" s="33"/>
      <c r="AC1264" s="33"/>
      <c r="AD1264" s="33"/>
      <c r="AE1264" s="33"/>
      <c r="AF1264" s="33"/>
      <c r="AG1264" s="33"/>
      <c r="AH1264" s="33"/>
      <c r="AI1264" s="33"/>
      <c r="AJ1264" s="33"/>
      <c r="AK1264" s="34" t="str">
        <f aca="false">IF($B1264="","",COUNTIF($F1264:$AJ1264,"P"))</f>
        <v/>
      </c>
      <c r="AL1264" s="34" t="str">
        <f aca="false">IF($B1264="","",COUNTIF($F1264:$AJ1264,"A"))</f>
        <v/>
      </c>
      <c r="AM1264" s="34" t="str">
        <f aca="false">IF($B1264="","",COUNTIF($F1264:$AJ1264,"HA"))</f>
        <v/>
      </c>
      <c r="AN1264" s="34" t="str">
        <f aca="false">IF($B1264="","",COUNTIF($F1264:$AJ1264,"L"))</f>
        <v/>
      </c>
      <c r="AO1264" s="34" t="str">
        <f aca="false">IF($B1264="","",COUNTIF($F1264:$AJ1264,"PL"))</f>
        <v/>
      </c>
      <c r="AP1264" s="34" t="str">
        <f aca="false">IF($B1264="","",COUNTIF($F1264:$AJ1264,"CL"))</f>
        <v/>
      </c>
      <c r="AQ1264" s="34" t="str">
        <f aca="false">IF($B1264="","",COUNTIF($F1264:$AJ1264,"SL"))</f>
        <v/>
      </c>
      <c r="AR1264" s="34" t="str">
        <f aca="false">IF($B1264="","",COUNTIF($F1264:$AJ1264,"CO"))</f>
        <v/>
      </c>
      <c r="AS1264" s="34" t="str">
        <f aca="false">IF($B1264="","",COUNTIF($F1264:$AJ1264,"HPL"))</f>
        <v/>
      </c>
      <c r="AT1264" s="34" t="str">
        <f aca="false">IF($B1264="","",COUNTIF($F1264:$AJ1264,"HCL"))</f>
        <v/>
      </c>
      <c r="AU1264" s="34" t="str">
        <f aca="false">IF($B1264="","",COUNTIF($F1264:$AJ1264,"WO"))</f>
        <v/>
      </c>
      <c r="AV1264" s="34" t="str">
        <f aca="false">IF($B1264="","",COUNTIF($F1264:$AJ1264,"PH"))</f>
        <v/>
      </c>
      <c r="AW1264" s="34" t="str">
        <f aca="false">IF($B1264="","",COUNTIF($F1264:$AJ1264,"TR"))</f>
        <v/>
      </c>
      <c r="AX1264" s="35" t="str">
        <f aca="false">IF($B1264="","",AO1264+AS1264/2)</f>
        <v/>
      </c>
      <c r="AY1264" s="35" t="str">
        <f aca="false">IF($B1264="","",AQ1264)</f>
        <v/>
      </c>
      <c r="AZ1264" s="35" t="str">
        <f aca="false">IF($B1264="","",AP1264+AT1264/2)</f>
        <v/>
      </c>
      <c r="BA1264" s="35" t="str">
        <f aca="false">IF($B1264="","",AK1264+AN1264+AM1264/2+AO1264+AP1264+AQ1264+AR1264+AS1264+AT1264+AU1264+AV1264+AW1264)</f>
        <v/>
      </c>
      <c r="BB1264" s="35" t="str">
        <f aca="false">IF($B1264="","",MAX(0,AN1264-Settings!$C$16)*Settings!$C$17)</f>
        <v/>
      </c>
      <c r="BC1264" s="35" t="str">
        <f aca="false">IF($B1264="","",BA1264-BB1264)</f>
        <v/>
      </c>
      <c r="BD1264" s="35" t="str">
        <f aca="false">IF(OR($B1264="",$A1264=""),"",DAY(EOMONTH($A1264,0))-COUNTA($F1264:$AJ1264))</f>
        <v/>
      </c>
    </row>
    <row r="1265" customFormat="false" ht="15" hidden="false" customHeight="false" outlineLevel="0" collapsed="false">
      <c r="A1265" s="32"/>
      <c r="B1265" s="29"/>
      <c r="C1265" s="10" t="str">
        <f aca="false">IF($B1265="","",IFERROR(INDEX(M_name,MATCH($B1265,M_emp,0)),"Code not found"))</f>
        <v/>
      </c>
      <c r="D1265" s="10" t="str">
        <f aca="false">IF($B1265="","",IFERROR(INDEX(M_dept,MATCH($B1265,M_emp,0)),""))</f>
        <v/>
      </c>
      <c r="E1265" s="10" t="str">
        <f aca="false">IF($B1265="","",IFERROR(INDEX(M_loc,MATCH($B1265,M_emp,0)),""))</f>
        <v/>
      </c>
      <c r="F1265" s="33"/>
      <c r="G1265" s="33"/>
      <c r="H1265" s="33"/>
      <c r="I1265" s="33"/>
      <c r="J1265" s="33"/>
      <c r="K1265" s="33"/>
      <c r="L1265" s="33"/>
      <c r="M1265" s="33"/>
      <c r="N1265" s="33"/>
      <c r="O1265" s="33"/>
      <c r="P1265" s="33"/>
      <c r="Q1265" s="33"/>
      <c r="R1265" s="33"/>
      <c r="S1265" s="33"/>
      <c r="T1265" s="33"/>
      <c r="U1265" s="33"/>
      <c r="V1265" s="33"/>
      <c r="W1265" s="33"/>
      <c r="X1265" s="33"/>
      <c r="Y1265" s="33"/>
      <c r="Z1265" s="33"/>
      <c r="AA1265" s="33"/>
      <c r="AB1265" s="33"/>
      <c r="AC1265" s="33"/>
      <c r="AD1265" s="33"/>
      <c r="AE1265" s="33"/>
      <c r="AF1265" s="33"/>
      <c r="AG1265" s="33"/>
      <c r="AH1265" s="33"/>
      <c r="AI1265" s="33"/>
      <c r="AJ1265" s="33"/>
      <c r="AK1265" s="34" t="str">
        <f aca="false">IF($B1265="","",COUNTIF($F1265:$AJ1265,"P"))</f>
        <v/>
      </c>
      <c r="AL1265" s="34" t="str">
        <f aca="false">IF($B1265="","",COUNTIF($F1265:$AJ1265,"A"))</f>
        <v/>
      </c>
      <c r="AM1265" s="34" t="str">
        <f aca="false">IF($B1265="","",COUNTIF($F1265:$AJ1265,"HA"))</f>
        <v/>
      </c>
      <c r="AN1265" s="34" t="str">
        <f aca="false">IF($B1265="","",COUNTIF($F1265:$AJ1265,"L"))</f>
        <v/>
      </c>
      <c r="AO1265" s="34" t="str">
        <f aca="false">IF($B1265="","",COUNTIF($F1265:$AJ1265,"PL"))</f>
        <v/>
      </c>
      <c r="AP1265" s="34" t="str">
        <f aca="false">IF($B1265="","",COUNTIF($F1265:$AJ1265,"CL"))</f>
        <v/>
      </c>
      <c r="AQ1265" s="34" t="str">
        <f aca="false">IF($B1265="","",COUNTIF($F1265:$AJ1265,"SL"))</f>
        <v/>
      </c>
      <c r="AR1265" s="34" t="str">
        <f aca="false">IF($B1265="","",COUNTIF($F1265:$AJ1265,"CO"))</f>
        <v/>
      </c>
      <c r="AS1265" s="34" t="str">
        <f aca="false">IF($B1265="","",COUNTIF($F1265:$AJ1265,"HPL"))</f>
        <v/>
      </c>
      <c r="AT1265" s="34" t="str">
        <f aca="false">IF($B1265="","",COUNTIF($F1265:$AJ1265,"HCL"))</f>
        <v/>
      </c>
      <c r="AU1265" s="34" t="str">
        <f aca="false">IF($B1265="","",COUNTIF($F1265:$AJ1265,"WO"))</f>
        <v/>
      </c>
      <c r="AV1265" s="34" t="str">
        <f aca="false">IF($B1265="","",COUNTIF($F1265:$AJ1265,"PH"))</f>
        <v/>
      </c>
      <c r="AW1265" s="34" t="str">
        <f aca="false">IF($B1265="","",COUNTIF($F1265:$AJ1265,"TR"))</f>
        <v/>
      </c>
      <c r="AX1265" s="35" t="str">
        <f aca="false">IF($B1265="","",AO1265+AS1265/2)</f>
        <v/>
      </c>
      <c r="AY1265" s="35" t="str">
        <f aca="false">IF($B1265="","",AQ1265)</f>
        <v/>
      </c>
      <c r="AZ1265" s="35" t="str">
        <f aca="false">IF($B1265="","",AP1265+AT1265/2)</f>
        <v/>
      </c>
      <c r="BA1265" s="35" t="str">
        <f aca="false">IF($B1265="","",AK1265+AN1265+AM1265/2+AO1265+AP1265+AQ1265+AR1265+AS1265+AT1265+AU1265+AV1265+AW1265)</f>
        <v/>
      </c>
      <c r="BB1265" s="35" t="str">
        <f aca="false">IF($B1265="","",MAX(0,AN1265-Settings!$C$16)*Settings!$C$17)</f>
        <v/>
      </c>
      <c r="BC1265" s="35" t="str">
        <f aca="false">IF($B1265="","",BA1265-BB1265)</f>
        <v/>
      </c>
      <c r="BD1265" s="35" t="str">
        <f aca="false">IF(OR($B1265="",$A1265=""),"",DAY(EOMONTH($A1265,0))-COUNTA($F1265:$AJ1265))</f>
        <v/>
      </c>
    </row>
    <row r="1266" customFormat="false" ht="15" hidden="false" customHeight="false" outlineLevel="0" collapsed="false">
      <c r="A1266" s="32"/>
      <c r="B1266" s="29"/>
      <c r="C1266" s="10" t="str">
        <f aca="false">IF($B1266="","",IFERROR(INDEX(M_name,MATCH($B1266,M_emp,0)),"Code not found"))</f>
        <v/>
      </c>
      <c r="D1266" s="10" t="str">
        <f aca="false">IF($B1266="","",IFERROR(INDEX(M_dept,MATCH($B1266,M_emp,0)),""))</f>
        <v/>
      </c>
      <c r="E1266" s="10" t="str">
        <f aca="false">IF($B1266="","",IFERROR(INDEX(M_loc,MATCH($B1266,M_emp,0)),""))</f>
        <v/>
      </c>
      <c r="F1266" s="33"/>
      <c r="G1266" s="33"/>
      <c r="H1266" s="33"/>
      <c r="I1266" s="33"/>
      <c r="J1266" s="33"/>
      <c r="K1266" s="33"/>
      <c r="L1266" s="33"/>
      <c r="M1266" s="33"/>
      <c r="N1266" s="33"/>
      <c r="O1266" s="33"/>
      <c r="P1266" s="33"/>
      <c r="Q1266" s="33"/>
      <c r="R1266" s="33"/>
      <c r="S1266" s="33"/>
      <c r="T1266" s="33"/>
      <c r="U1266" s="33"/>
      <c r="V1266" s="33"/>
      <c r="W1266" s="33"/>
      <c r="X1266" s="33"/>
      <c r="Y1266" s="33"/>
      <c r="Z1266" s="33"/>
      <c r="AA1266" s="33"/>
      <c r="AB1266" s="33"/>
      <c r="AC1266" s="33"/>
      <c r="AD1266" s="33"/>
      <c r="AE1266" s="33"/>
      <c r="AF1266" s="33"/>
      <c r="AG1266" s="33"/>
      <c r="AH1266" s="33"/>
      <c r="AI1266" s="33"/>
      <c r="AJ1266" s="33"/>
      <c r="AK1266" s="34" t="str">
        <f aca="false">IF($B1266="","",COUNTIF($F1266:$AJ1266,"P"))</f>
        <v/>
      </c>
      <c r="AL1266" s="34" t="str">
        <f aca="false">IF($B1266="","",COUNTIF($F1266:$AJ1266,"A"))</f>
        <v/>
      </c>
      <c r="AM1266" s="34" t="str">
        <f aca="false">IF($B1266="","",COUNTIF($F1266:$AJ1266,"HA"))</f>
        <v/>
      </c>
      <c r="AN1266" s="34" t="str">
        <f aca="false">IF($B1266="","",COUNTIF($F1266:$AJ1266,"L"))</f>
        <v/>
      </c>
      <c r="AO1266" s="34" t="str">
        <f aca="false">IF($B1266="","",COUNTIF($F1266:$AJ1266,"PL"))</f>
        <v/>
      </c>
      <c r="AP1266" s="34" t="str">
        <f aca="false">IF($B1266="","",COUNTIF($F1266:$AJ1266,"CL"))</f>
        <v/>
      </c>
      <c r="AQ1266" s="34" t="str">
        <f aca="false">IF($B1266="","",COUNTIF($F1266:$AJ1266,"SL"))</f>
        <v/>
      </c>
      <c r="AR1266" s="34" t="str">
        <f aca="false">IF($B1266="","",COUNTIF($F1266:$AJ1266,"CO"))</f>
        <v/>
      </c>
      <c r="AS1266" s="34" t="str">
        <f aca="false">IF($B1266="","",COUNTIF($F1266:$AJ1266,"HPL"))</f>
        <v/>
      </c>
      <c r="AT1266" s="34" t="str">
        <f aca="false">IF($B1266="","",COUNTIF($F1266:$AJ1266,"HCL"))</f>
        <v/>
      </c>
      <c r="AU1266" s="34" t="str">
        <f aca="false">IF($B1266="","",COUNTIF($F1266:$AJ1266,"WO"))</f>
        <v/>
      </c>
      <c r="AV1266" s="34" t="str">
        <f aca="false">IF($B1266="","",COUNTIF($F1266:$AJ1266,"PH"))</f>
        <v/>
      </c>
      <c r="AW1266" s="34" t="str">
        <f aca="false">IF($B1266="","",COUNTIF($F1266:$AJ1266,"TR"))</f>
        <v/>
      </c>
      <c r="AX1266" s="35" t="str">
        <f aca="false">IF($B1266="","",AO1266+AS1266/2)</f>
        <v/>
      </c>
      <c r="AY1266" s="35" t="str">
        <f aca="false">IF($B1266="","",AQ1266)</f>
        <v/>
      </c>
      <c r="AZ1266" s="35" t="str">
        <f aca="false">IF($B1266="","",AP1266+AT1266/2)</f>
        <v/>
      </c>
      <c r="BA1266" s="35" t="str">
        <f aca="false">IF($B1266="","",AK1266+AN1266+AM1266/2+AO1266+AP1266+AQ1266+AR1266+AS1266+AT1266+AU1266+AV1266+AW1266)</f>
        <v/>
      </c>
      <c r="BB1266" s="35" t="str">
        <f aca="false">IF($B1266="","",MAX(0,AN1266-Settings!$C$16)*Settings!$C$17)</f>
        <v/>
      </c>
      <c r="BC1266" s="35" t="str">
        <f aca="false">IF($B1266="","",BA1266-BB1266)</f>
        <v/>
      </c>
      <c r="BD1266" s="35" t="str">
        <f aca="false">IF(OR($B1266="",$A1266=""),"",DAY(EOMONTH($A1266,0))-COUNTA($F1266:$AJ1266))</f>
        <v/>
      </c>
    </row>
    <row r="1267" customFormat="false" ht="15" hidden="false" customHeight="false" outlineLevel="0" collapsed="false">
      <c r="A1267" s="32"/>
      <c r="B1267" s="29"/>
      <c r="C1267" s="10" t="str">
        <f aca="false">IF($B1267="","",IFERROR(INDEX(M_name,MATCH($B1267,M_emp,0)),"Code not found"))</f>
        <v/>
      </c>
      <c r="D1267" s="10" t="str">
        <f aca="false">IF($B1267="","",IFERROR(INDEX(M_dept,MATCH($B1267,M_emp,0)),""))</f>
        <v/>
      </c>
      <c r="E1267" s="10" t="str">
        <f aca="false">IF($B1267="","",IFERROR(INDEX(M_loc,MATCH($B1267,M_emp,0)),""))</f>
        <v/>
      </c>
      <c r="F1267" s="33"/>
      <c r="G1267" s="33"/>
      <c r="H1267" s="33"/>
      <c r="I1267" s="33"/>
      <c r="J1267" s="33"/>
      <c r="K1267" s="33"/>
      <c r="L1267" s="33"/>
      <c r="M1267" s="33"/>
      <c r="N1267" s="33"/>
      <c r="O1267" s="33"/>
      <c r="P1267" s="33"/>
      <c r="Q1267" s="33"/>
      <c r="R1267" s="33"/>
      <c r="S1267" s="33"/>
      <c r="T1267" s="33"/>
      <c r="U1267" s="33"/>
      <c r="V1267" s="33"/>
      <c r="W1267" s="33"/>
      <c r="X1267" s="33"/>
      <c r="Y1267" s="33"/>
      <c r="Z1267" s="33"/>
      <c r="AA1267" s="33"/>
      <c r="AB1267" s="33"/>
      <c r="AC1267" s="33"/>
      <c r="AD1267" s="33"/>
      <c r="AE1267" s="33"/>
      <c r="AF1267" s="33"/>
      <c r="AG1267" s="33"/>
      <c r="AH1267" s="33"/>
      <c r="AI1267" s="33"/>
      <c r="AJ1267" s="33"/>
      <c r="AK1267" s="34" t="str">
        <f aca="false">IF($B1267="","",COUNTIF($F1267:$AJ1267,"P"))</f>
        <v/>
      </c>
      <c r="AL1267" s="34" t="str">
        <f aca="false">IF($B1267="","",COUNTIF($F1267:$AJ1267,"A"))</f>
        <v/>
      </c>
      <c r="AM1267" s="34" t="str">
        <f aca="false">IF($B1267="","",COUNTIF($F1267:$AJ1267,"HA"))</f>
        <v/>
      </c>
      <c r="AN1267" s="34" t="str">
        <f aca="false">IF($B1267="","",COUNTIF($F1267:$AJ1267,"L"))</f>
        <v/>
      </c>
      <c r="AO1267" s="34" t="str">
        <f aca="false">IF($B1267="","",COUNTIF($F1267:$AJ1267,"PL"))</f>
        <v/>
      </c>
      <c r="AP1267" s="34" t="str">
        <f aca="false">IF($B1267="","",COUNTIF($F1267:$AJ1267,"CL"))</f>
        <v/>
      </c>
      <c r="AQ1267" s="34" t="str">
        <f aca="false">IF($B1267="","",COUNTIF($F1267:$AJ1267,"SL"))</f>
        <v/>
      </c>
      <c r="AR1267" s="34" t="str">
        <f aca="false">IF($B1267="","",COUNTIF($F1267:$AJ1267,"CO"))</f>
        <v/>
      </c>
      <c r="AS1267" s="34" t="str">
        <f aca="false">IF($B1267="","",COUNTIF($F1267:$AJ1267,"HPL"))</f>
        <v/>
      </c>
      <c r="AT1267" s="34" t="str">
        <f aca="false">IF($B1267="","",COUNTIF($F1267:$AJ1267,"HCL"))</f>
        <v/>
      </c>
      <c r="AU1267" s="34" t="str">
        <f aca="false">IF($B1267="","",COUNTIF($F1267:$AJ1267,"WO"))</f>
        <v/>
      </c>
      <c r="AV1267" s="34" t="str">
        <f aca="false">IF($B1267="","",COUNTIF($F1267:$AJ1267,"PH"))</f>
        <v/>
      </c>
      <c r="AW1267" s="34" t="str">
        <f aca="false">IF($B1267="","",COUNTIF($F1267:$AJ1267,"TR"))</f>
        <v/>
      </c>
      <c r="AX1267" s="35" t="str">
        <f aca="false">IF($B1267="","",AO1267+AS1267/2)</f>
        <v/>
      </c>
      <c r="AY1267" s="35" t="str">
        <f aca="false">IF($B1267="","",AQ1267)</f>
        <v/>
      </c>
      <c r="AZ1267" s="35" t="str">
        <f aca="false">IF($B1267="","",AP1267+AT1267/2)</f>
        <v/>
      </c>
      <c r="BA1267" s="35" t="str">
        <f aca="false">IF($B1267="","",AK1267+AN1267+AM1267/2+AO1267+AP1267+AQ1267+AR1267+AS1267+AT1267+AU1267+AV1267+AW1267)</f>
        <v/>
      </c>
      <c r="BB1267" s="35" t="str">
        <f aca="false">IF($B1267="","",MAX(0,AN1267-Settings!$C$16)*Settings!$C$17)</f>
        <v/>
      </c>
      <c r="BC1267" s="35" t="str">
        <f aca="false">IF($B1267="","",BA1267-BB1267)</f>
        <v/>
      </c>
      <c r="BD1267" s="35" t="str">
        <f aca="false">IF(OR($B1267="",$A1267=""),"",DAY(EOMONTH($A1267,0))-COUNTA($F1267:$AJ1267))</f>
        <v/>
      </c>
    </row>
    <row r="1268" customFormat="false" ht="15" hidden="false" customHeight="false" outlineLevel="0" collapsed="false">
      <c r="A1268" s="32"/>
      <c r="B1268" s="29"/>
      <c r="C1268" s="10" t="str">
        <f aca="false">IF($B1268="","",IFERROR(INDEX(M_name,MATCH($B1268,M_emp,0)),"Code not found"))</f>
        <v/>
      </c>
      <c r="D1268" s="10" t="str">
        <f aca="false">IF($B1268="","",IFERROR(INDEX(M_dept,MATCH($B1268,M_emp,0)),""))</f>
        <v/>
      </c>
      <c r="E1268" s="10" t="str">
        <f aca="false">IF($B1268="","",IFERROR(INDEX(M_loc,MATCH($B1268,M_emp,0)),""))</f>
        <v/>
      </c>
      <c r="F1268" s="33"/>
      <c r="G1268" s="33"/>
      <c r="H1268" s="33"/>
      <c r="I1268" s="33"/>
      <c r="J1268" s="33"/>
      <c r="K1268" s="33"/>
      <c r="L1268" s="33"/>
      <c r="M1268" s="33"/>
      <c r="N1268" s="33"/>
      <c r="O1268" s="33"/>
      <c r="P1268" s="33"/>
      <c r="Q1268" s="33"/>
      <c r="R1268" s="33"/>
      <c r="S1268" s="33"/>
      <c r="T1268" s="33"/>
      <c r="U1268" s="33"/>
      <c r="V1268" s="33"/>
      <c r="W1268" s="33"/>
      <c r="X1268" s="33"/>
      <c r="Y1268" s="33"/>
      <c r="Z1268" s="33"/>
      <c r="AA1268" s="33"/>
      <c r="AB1268" s="33"/>
      <c r="AC1268" s="33"/>
      <c r="AD1268" s="33"/>
      <c r="AE1268" s="33"/>
      <c r="AF1268" s="33"/>
      <c r="AG1268" s="33"/>
      <c r="AH1268" s="33"/>
      <c r="AI1268" s="33"/>
      <c r="AJ1268" s="33"/>
      <c r="AK1268" s="34" t="str">
        <f aca="false">IF($B1268="","",COUNTIF($F1268:$AJ1268,"P"))</f>
        <v/>
      </c>
      <c r="AL1268" s="34" t="str">
        <f aca="false">IF($B1268="","",COUNTIF($F1268:$AJ1268,"A"))</f>
        <v/>
      </c>
      <c r="AM1268" s="34" t="str">
        <f aca="false">IF($B1268="","",COUNTIF($F1268:$AJ1268,"HA"))</f>
        <v/>
      </c>
      <c r="AN1268" s="34" t="str">
        <f aca="false">IF($B1268="","",COUNTIF($F1268:$AJ1268,"L"))</f>
        <v/>
      </c>
      <c r="AO1268" s="34" t="str">
        <f aca="false">IF($B1268="","",COUNTIF($F1268:$AJ1268,"PL"))</f>
        <v/>
      </c>
      <c r="AP1268" s="34" t="str">
        <f aca="false">IF($B1268="","",COUNTIF($F1268:$AJ1268,"CL"))</f>
        <v/>
      </c>
      <c r="AQ1268" s="34" t="str">
        <f aca="false">IF($B1268="","",COUNTIF($F1268:$AJ1268,"SL"))</f>
        <v/>
      </c>
      <c r="AR1268" s="34" t="str">
        <f aca="false">IF($B1268="","",COUNTIF($F1268:$AJ1268,"CO"))</f>
        <v/>
      </c>
      <c r="AS1268" s="34" t="str">
        <f aca="false">IF($B1268="","",COUNTIF($F1268:$AJ1268,"HPL"))</f>
        <v/>
      </c>
      <c r="AT1268" s="34" t="str">
        <f aca="false">IF($B1268="","",COUNTIF($F1268:$AJ1268,"HCL"))</f>
        <v/>
      </c>
      <c r="AU1268" s="34" t="str">
        <f aca="false">IF($B1268="","",COUNTIF($F1268:$AJ1268,"WO"))</f>
        <v/>
      </c>
      <c r="AV1268" s="34" t="str">
        <f aca="false">IF($B1268="","",COUNTIF($F1268:$AJ1268,"PH"))</f>
        <v/>
      </c>
      <c r="AW1268" s="34" t="str">
        <f aca="false">IF($B1268="","",COUNTIF($F1268:$AJ1268,"TR"))</f>
        <v/>
      </c>
      <c r="AX1268" s="35" t="str">
        <f aca="false">IF($B1268="","",AO1268+AS1268/2)</f>
        <v/>
      </c>
      <c r="AY1268" s="35" t="str">
        <f aca="false">IF($B1268="","",AQ1268)</f>
        <v/>
      </c>
      <c r="AZ1268" s="35" t="str">
        <f aca="false">IF($B1268="","",AP1268+AT1268/2)</f>
        <v/>
      </c>
      <c r="BA1268" s="35" t="str">
        <f aca="false">IF($B1268="","",AK1268+AN1268+AM1268/2+AO1268+AP1268+AQ1268+AR1268+AS1268+AT1268+AU1268+AV1268+AW1268)</f>
        <v/>
      </c>
      <c r="BB1268" s="35" t="str">
        <f aca="false">IF($B1268="","",MAX(0,AN1268-Settings!$C$16)*Settings!$C$17)</f>
        <v/>
      </c>
      <c r="BC1268" s="35" t="str">
        <f aca="false">IF($B1268="","",BA1268-BB1268)</f>
        <v/>
      </c>
      <c r="BD1268" s="35" t="str">
        <f aca="false">IF(OR($B1268="",$A1268=""),"",DAY(EOMONTH($A1268,0))-COUNTA($F1268:$AJ1268))</f>
        <v/>
      </c>
    </row>
    <row r="1269" customFormat="false" ht="15" hidden="false" customHeight="false" outlineLevel="0" collapsed="false">
      <c r="A1269" s="32"/>
      <c r="B1269" s="29"/>
      <c r="C1269" s="10" t="str">
        <f aca="false">IF($B1269="","",IFERROR(INDEX(M_name,MATCH($B1269,M_emp,0)),"Code not found"))</f>
        <v/>
      </c>
      <c r="D1269" s="10" t="str">
        <f aca="false">IF($B1269="","",IFERROR(INDEX(M_dept,MATCH($B1269,M_emp,0)),""))</f>
        <v/>
      </c>
      <c r="E1269" s="10" t="str">
        <f aca="false">IF($B1269="","",IFERROR(INDEX(M_loc,MATCH($B1269,M_emp,0)),""))</f>
        <v/>
      </c>
      <c r="F1269" s="33"/>
      <c r="G1269" s="33"/>
      <c r="H1269" s="33"/>
      <c r="I1269" s="33"/>
      <c r="J1269" s="33"/>
      <c r="K1269" s="33"/>
      <c r="L1269" s="33"/>
      <c r="M1269" s="33"/>
      <c r="N1269" s="33"/>
      <c r="O1269" s="33"/>
      <c r="P1269" s="33"/>
      <c r="Q1269" s="33"/>
      <c r="R1269" s="33"/>
      <c r="S1269" s="33"/>
      <c r="T1269" s="33"/>
      <c r="U1269" s="33"/>
      <c r="V1269" s="33"/>
      <c r="W1269" s="33"/>
      <c r="X1269" s="33"/>
      <c r="Y1269" s="33"/>
      <c r="Z1269" s="33"/>
      <c r="AA1269" s="33"/>
      <c r="AB1269" s="33"/>
      <c r="AC1269" s="33"/>
      <c r="AD1269" s="33"/>
      <c r="AE1269" s="33"/>
      <c r="AF1269" s="33"/>
      <c r="AG1269" s="33"/>
      <c r="AH1269" s="33"/>
      <c r="AI1269" s="33"/>
      <c r="AJ1269" s="33"/>
      <c r="AK1269" s="34" t="str">
        <f aca="false">IF($B1269="","",COUNTIF($F1269:$AJ1269,"P"))</f>
        <v/>
      </c>
      <c r="AL1269" s="34" t="str">
        <f aca="false">IF($B1269="","",COUNTIF($F1269:$AJ1269,"A"))</f>
        <v/>
      </c>
      <c r="AM1269" s="34" t="str">
        <f aca="false">IF($B1269="","",COUNTIF($F1269:$AJ1269,"HA"))</f>
        <v/>
      </c>
      <c r="AN1269" s="34" t="str">
        <f aca="false">IF($B1269="","",COUNTIF($F1269:$AJ1269,"L"))</f>
        <v/>
      </c>
      <c r="AO1269" s="34" t="str">
        <f aca="false">IF($B1269="","",COUNTIF($F1269:$AJ1269,"PL"))</f>
        <v/>
      </c>
      <c r="AP1269" s="34" t="str">
        <f aca="false">IF($B1269="","",COUNTIF($F1269:$AJ1269,"CL"))</f>
        <v/>
      </c>
      <c r="AQ1269" s="34" t="str">
        <f aca="false">IF($B1269="","",COUNTIF($F1269:$AJ1269,"SL"))</f>
        <v/>
      </c>
      <c r="AR1269" s="34" t="str">
        <f aca="false">IF($B1269="","",COUNTIF($F1269:$AJ1269,"CO"))</f>
        <v/>
      </c>
      <c r="AS1269" s="34" t="str">
        <f aca="false">IF($B1269="","",COUNTIF($F1269:$AJ1269,"HPL"))</f>
        <v/>
      </c>
      <c r="AT1269" s="34" t="str">
        <f aca="false">IF($B1269="","",COUNTIF($F1269:$AJ1269,"HCL"))</f>
        <v/>
      </c>
      <c r="AU1269" s="34" t="str">
        <f aca="false">IF($B1269="","",COUNTIF($F1269:$AJ1269,"WO"))</f>
        <v/>
      </c>
      <c r="AV1269" s="34" t="str">
        <f aca="false">IF($B1269="","",COUNTIF($F1269:$AJ1269,"PH"))</f>
        <v/>
      </c>
      <c r="AW1269" s="34" t="str">
        <f aca="false">IF($B1269="","",COUNTIF($F1269:$AJ1269,"TR"))</f>
        <v/>
      </c>
      <c r="AX1269" s="35" t="str">
        <f aca="false">IF($B1269="","",AO1269+AS1269/2)</f>
        <v/>
      </c>
      <c r="AY1269" s="35" t="str">
        <f aca="false">IF($B1269="","",AQ1269)</f>
        <v/>
      </c>
      <c r="AZ1269" s="35" t="str">
        <f aca="false">IF($B1269="","",AP1269+AT1269/2)</f>
        <v/>
      </c>
      <c r="BA1269" s="35" t="str">
        <f aca="false">IF($B1269="","",AK1269+AN1269+AM1269/2+AO1269+AP1269+AQ1269+AR1269+AS1269+AT1269+AU1269+AV1269+AW1269)</f>
        <v/>
      </c>
      <c r="BB1269" s="35" t="str">
        <f aca="false">IF($B1269="","",MAX(0,AN1269-Settings!$C$16)*Settings!$C$17)</f>
        <v/>
      </c>
      <c r="BC1269" s="35" t="str">
        <f aca="false">IF($B1269="","",BA1269-BB1269)</f>
        <v/>
      </c>
      <c r="BD1269" s="35" t="str">
        <f aca="false">IF(OR($B1269="",$A1269=""),"",DAY(EOMONTH($A1269,0))-COUNTA($F1269:$AJ1269))</f>
        <v/>
      </c>
    </row>
    <row r="1270" customFormat="false" ht="15" hidden="false" customHeight="false" outlineLevel="0" collapsed="false">
      <c r="A1270" s="32"/>
      <c r="B1270" s="29"/>
      <c r="C1270" s="10" t="str">
        <f aca="false">IF($B1270="","",IFERROR(INDEX(M_name,MATCH($B1270,M_emp,0)),"Code not found"))</f>
        <v/>
      </c>
      <c r="D1270" s="10" t="str">
        <f aca="false">IF($B1270="","",IFERROR(INDEX(M_dept,MATCH($B1270,M_emp,0)),""))</f>
        <v/>
      </c>
      <c r="E1270" s="10" t="str">
        <f aca="false">IF($B1270="","",IFERROR(INDEX(M_loc,MATCH($B1270,M_emp,0)),""))</f>
        <v/>
      </c>
      <c r="F1270" s="33"/>
      <c r="G1270" s="33"/>
      <c r="H1270" s="33"/>
      <c r="I1270" s="33"/>
      <c r="J1270" s="33"/>
      <c r="K1270" s="33"/>
      <c r="L1270" s="33"/>
      <c r="M1270" s="33"/>
      <c r="N1270" s="33"/>
      <c r="O1270" s="33"/>
      <c r="P1270" s="33"/>
      <c r="Q1270" s="33"/>
      <c r="R1270" s="33"/>
      <c r="S1270" s="33"/>
      <c r="T1270" s="33"/>
      <c r="U1270" s="33"/>
      <c r="V1270" s="33"/>
      <c r="W1270" s="33"/>
      <c r="X1270" s="33"/>
      <c r="Y1270" s="33"/>
      <c r="Z1270" s="33"/>
      <c r="AA1270" s="33"/>
      <c r="AB1270" s="33"/>
      <c r="AC1270" s="33"/>
      <c r="AD1270" s="33"/>
      <c r="AE1270" s="33"/>
      <c r="AF1270" s="33"/>
      <c r="AG1270" s="33"/>
      <c r="AH1270" s="33"/>
      <c r="AI1270" s="33"/>
      <c r="AJ1270" s="33"/>
      <c r="AK1270" s="34" t="str">
        <f aca="false">IF($B1270="","",COUNTIF($F1270:$AJ1270,"P"))</f>
        <v/>
      </c>
      <c r="AL1270" s="34" t="str">
        <f aca="false">IF($B1270="","",COUNTIF($F1270:$AJ1270,"A"))</f>
        <v/>
      </c>
      <c r="AM1270" s="34" t="str">
        <f aca="false">IF($B1270="","",COUNTIF($F1270:$AJ1270,"HA"))</f>
        <v/>
      </c>
      <c r="AN1270" s="34" t="str">
        <f aca="false">IF($B1270="","",COUNTIF($F1270:$AJ1270,"L"))</f>
        <v/>
      </c>
      <c r="AO1270" s="34" t="str">
        <f aca="false">IF($B1270="","",COUNTIF($F1270:$AJ1270,"PL"))</f>
        <v/>
      </c>
      <c r="AP1270" s="34" t="str">
        <f aca="false">IF($B1270="","",COUNTIF($F1270:$AJ1270,"CL"))</f>
        <v/>
      </c>
      <c r="AQ1270" s="34" t="str">
        <f aca="false">IF($B1270="","",COUNTIF($F1270:$AJ1270,"SL"))</f>
        <v/>
      </c>
      <c r="AR1270" s="34" t="str">
        <f aca="false">IF($B1270="","",COUNTIF($F1270:$AJ1270,"CO"))</f>
        <v/>
      </c>
      <c r="AS1270" s="34" t="str">
        <f aca="false">IF($B1270="","",COUNTIF($F1270:$AJ1270,"HPL"))</f>
        <v/>
      </c>
      <c r="AT1270" s="34" t="str">
        <f aca="false">IF($B1270="","",COUNTIF($F1270:$AJ1270,"HCL"))</f>
        <v/>
      </c>
      <c r="AU1270" s="34" t="str">
        <f aca="false">IF($B1270="","",COUNTIF($F1270:$AJ1270,"WO"))</f>
        <v/>
      </c>
      <c r="AV1270" s="34" t="str">
        <f aca="false">IF($B1270="","",COUNTIF($F1270:$AJ1270,"PH"))</f>
        <v/>
      </c>
      <c r="AW1270" s="34" t="str">
        <f aca="false">IF($B1270="","",COUNTIF($F1270:$AJ1270,"TR"))</f>
        <v/>
      </c>
      <c r="AX1270" s="35" t="str">
        <f aca="false">IF($B1270="","",AO1270+AS1270/2)</f>
        <v/>
      </c>
      <c r="AY1270" s="35" t="str">
        <f aca="false">IF($B1270="","",AQ1270)</f>
        <v/>
      </c>
      <c r="AZ1270" s="35" t="str">
        <f aca="false">IF($B1270="","",AP1270+AT1270/2)</f>
        <v/>
      </c>
      <c r="BA1270" s="35" t="str">
        <f aca="false">IF($B1270="","",AK1270+AN1270+AM1270/2+AO1270+AP1270+AQ1270+AR1270+AS1270+AT1270+AU1270+AV1270+AW1270)</f>
        <v/>
      </c>
      <c r="BB1270" s="35" t="str">
        <f aca="false">IF($B1270="","",MAX(0,AN1270-Settings!$C$16)*Settings!$C$17)</f>
        <v/>
      </c>
      <c r="BC1270" s="35" t="str">
        <f aca="false">IF($B1270="","",BA1270-BB1270)</f>
        <v/>
      </c>
      <c r="BD1270" s="35" t="str">
        <f aca="false">IF(OR($B1270="",$A1270=""),"",DAY(EOMONTH($A1270,0))-COUNTA($F1270:$AJ1270))</f>
        <v/>
      </c>
    </row>
    <row r="1271" customFormat="false" ht="15" hidden="false" customHeight="false" outlineLevel="0" collapsed="false">
      <c r="A1271" s="32"/>
      <c r="B1271" s="29"/>
      <c r="C1271" s="10" t="str">
        <f aca="false">IF($B1271="","",IFERROR(INDEX(M_name,MATCH($B1271,M_emp,0)),"Code not found"))</f>
        <v/>
      </c>
      <c r="D1271" s="10" t="str">
        <f aca="false">IF($B1271="","",IFERROR(INDEX(M_dept,MATCH($B1271,M_emp,0)),""))</f>
        <v/>
      </c>
      <c r="E1271" s="10" t="str">
        <f aca="false">IF($B1271="","",IFERROR(INDEX(M_loc,MATCH($B1271,M_emp,0)),""))</f>
        <v/>
      </c>
      <c r="F1271" s="33"/>
      <c r="G1271" s="33"/>
      <c r="H1271" s="33"/>
      <c r="I1271" s="33"/>
      <c r="J1271" s="33"/>
      <c r="K1271" s="33"/>
      <c r="L1271" s="33"/>
      <c r="M1271" s="33"/>
      <c r="N1271" s="33"/>
      <c r="O1271" s="33"/>
      <c r="P1271" s="33"/>
      <c r="Q1271" s="33"/>
      <c r="R1271" s="33"/>
      <c r="S1271" s="33"/>
      <c r="T1271" s="33"/>
      <c r="U1271" s="33"/>
      <c r="V1271" s="33"/>
      <c r="W1271" s="33"/>
      <c r="X1271" s="33"/>
      <c r="Y1271" s="33"/>
      <c r="Z1271" s="33"/>
      <c r="AA1271" s="33"/>
      <c r="AB1271" s="33"/>
      <c r="AC1271" s="33"/>
      <c r="AD1271" s="33"/>
      <c r="AE1271" s="33"/>
      <c r="AF1271" s="33"/>
      <c r="AG1271" s="33"/>
      <c r="AH1271" s="33"/>
      <c r="AI1271" s="33"/>
      <c r="AJ1271" s="33"/>
      <c r="AK1271" s="34" t="str">
        <f aca="false">IF($B1271="","",COUNTIF($F1271:$AJ1271,"P"))</f>
        <v/>
      </c>
      <c r="AL1271" s="34" t="str">
        <f aca="false">IF($B1271="","",COUNTIF($F1271:$AJ1271,"A"))</f>
        <v/>
      </c>
      <c r="AM1271" s="34" t="str">
        <f aca="false">IF($B1271="","",COUNTIF($F1271:$AJ1271,"HA"))</f>
        <v/>
      </c>
      <c r="AN1271" s="34" t="str">
        <f aca="false">IF($B1271="","",COUNTIF($F1271:$AJ1271,"L"))</f>
        <v/>
      </c>
      <c r="AO1271" s="34" t="str">
        <f aca="false">IF($B1271="","",COUNTIF($F1271:$AJ1271,"PL"))</f>
        <v/>
      </c>
      <c r="AP1271" s="34" t="str">
        <f aca="false">IF($B1271="","",COUNTIF($F1271:$AJ1271,"CL"))</f>
        <v/>
      </c>
      <c r="AQ1271" s="34" t="str">
        <f aca="false">IF($B1271="","",COUNTIF($F1271:$AJ1271,"SL"))</f>
        <v/>
      </c>
      <c r="AR1271" s="34" t="str">
        <f aca="false">IF($B1271="","",COUNTIF($F1271:$AJ1271,"CO"))</f>
        <v/>
      </c>
      <c r="AS1271" s="34" t="str">
        <f aca="false">IF($B1271="","",COUNTIF($F1271:$AJ1271,"HPL"))</f>
        <v/>
      </c>
      <c r="AT1271" s="34" t="str">
        <f aca="false">IF($B1271="","",COUNTIF($F1271:$AJ1271,"HCL"))</f>
        <v/>
      </c>
      <c r="AU1271" s="34" t="str">
        <f aca="false">IF($B1271="","",COUNTIF($F1271:$AJ1271,"WO"))</f>
        <v/>
      </c>
      <c r="AV1271" s="34" t="str">
        <f aca="false">IF($B1271="","",COUNTIF($F1271:$AJ1271,"PH"))</f>
        <v/>
      </c>
      <c r="AW1271" s="34" t="str">
        <f aca="false">IF($B1271="","",COUNTIF($F1271:$AJ1271,"TR"))</f>
        <v/>
      </c>
      <c r="AX1271" s="35" t="str">
        <f aca="false">IF($B1271="","",AO1271+AS1271/2)</f>
        <v/>
      </c>
      <c r="AY1271" s="35" t="str">
        <f aca="false">IF($B1271="","",AQ1271)</f>
        <v/>
      </c>
      <c r="AZ1271" s="35" t="str">
        <f aca="false">IF($B1271="","",AP1271+AT1271/2)</f>
        <v/>
      </c>
      <c r="BA1271" s="35" t="str">
        <f aca="false">IF($B1271="","",AK1271+AN1271+AM1271/2+AO1271+AP1271+AQ1271+AR1271+AS1271+AT1271+AU1271+AV1271+AW1271)</f>
        <v/>
      </c>
      <c r="BB1271" s="35" t="str">
        <f aca="false">IF($B1271="","",MAX(0,AN1271-Settings!$C$16)*Settings!$C$17)</f>
        <v/>
      </c>
      <c r="BC1271" s="35" t="str">
        <f aca="false">IF($B1271="","",BA1271-BB1271)</f>
        <v/>
      </c>
      <c r="BD1271" s="35" t="str">
        <f aca="false">IF(OR($B1271="",$A1271=""),"",DAY(EOMONTH($A1271,0))-COUNTA($F1271:$AJ1271))</f>
        <v/>
      </c>
    </row>
    <row r="1272" customFormat="false" ht="15" hidden="false" customHeight="false" outlineLevel="0" collapsed="false">
      <c r="A1272" s="32"/>
      <c r="B1272" s="29"/>
      <c r="C1272" s="10" t="str">
        <f aca="false">IF($B1272="","",IFERROR(INDEX(M_name,MATCH($B1272,M_emp,0)),"Code not found"))</f>
        <v/>
      </c>
      <c r="D1272" s="10" t="str">
        <f aca="false">IF($B1272="","",IFERROR(INDEX(M_dept,MATCH($B1272,M_emp,0)),""))</f>
        <v/>
      </c>
      <c r="E1272" s="10" t="str">
        <f aca="false">IF($B1272="","",IFERROR(INDEX(M_loc,MATCH($B1272,M_emp,0)),""))</f>
        <v/>
      </c>
      <c r="F1272" s="33"/>
      <c r="G1272" s="33"/>
      <c r="H1272" s="33"/>
      <c r="I1272" s="33"/>
      <c r="J1272" s="33"/>
      <c r="K1272" s="33"/>
      <c r="L1272" s="33"/>
      <c r="M1272" s="33"/>
      <c r="N1272" s="33"/>
      <c r="O1272" s="33"/>
      <c r="P1272" s="33"/>
      <c r="Q1272" s="33"/>
      <c r="R1272" s="33"/>
      <c r="S1272" s="33"/>
      <c r="T1272" s="33"/>
      <c r="U1272" s="33"/>
      <c r="V1272" s="33"/>
      <c r="W1272" s="33"/>
      <c r="X1272" s="33"/>
      <c r="Y1272" s="33"/>
      <c r="Z1272" s="33"/>
      <c r="AA1272" s="33"/>
      <c r="AB1272" s="33"/>
      <c r="AC1272" s="33"/>
      <c r="AD1272" s="33"/>
      <c r="AE1272" s="33"/>
      <c r="AF1272" s="33"/>
      <c r="AG1272" s="33"/>
      <c r="AH1272" s="33"/>
      <c r="AI1272" s="33"/>
      <c r="AJ1272" s="33"/>
      <c r="AK1272" s="34" t="str">
        <f aca="false">IF($B1272="","",COUNTIF($F1272:$AJ1272,"P"))</f>
        <v/>
      </c>
      <c r="AL1272" s="34" t="str">
        <f aca="false">IF($B1272="","",COUNTIF($F1272:$AJ1272,"A"))</f>
        <v/>
      </c>
      <c r="AM1272" s="34" t="str">
        <f aca="false">IF($B1272="","",COUNTIF($F1272:$AJ1272,"HA"))</f>
        <v/>
      </c>
      <c r="AN1272" s="34" t="str">
        <f aca="false">IF($B1272="","",COUNTIF($F1272:$AJ1272,"L"))</f>
        <v/>
      </c>
      <c r="AO1272" s="34" t="str">
        <f aca="false">IF($B1272="","",COUNTIF($F1272:$AJ1272,"PL"))</f>
        <v/>
      </c>
      <c r="AP1272" s="34" t="str">
        <f aca="false">IF($B1272="","",COUNTIF($F1272:$AJ1272,"CL"))</f>
        <v/>
      </c>
      <c r="AQ1272" s="34" t="str">
        <f aca="false">IF($B1272="","",COUNTIF($F1272:$AJ1272,"SL"))</f>
        <v/>
      </c>
      <c r="AR1272" s="34" t="str">
        <f aca="false">IF($B1272="","",COUNTIF($F1272:$AJ1272,"CO"))</f>
        <v/>
      </c>
      <c r="AS1272" s="34" t="str">
        <f aca="false">IF($B1272="","",COUNTIF($F1272:$AJ1272,"HPL"))</f>
        <v/>
      </c>
      <c r="AT1272" s="34" t="str">
        <f aca="false">IF($B1272="","",COUNTIF($F1272:$AJ1272,"HCL"))</f>
        <v/>
      </c>
      <c r="AU1272" s="34" t="str">
        <f aca="false">IF($B1272="","",COUNTIF($F1272:$AJ1272,"WO"))</f>
        <v/>
      </c>
      <c r="AV1272" s="34" t="str">
        <f aca="false">IF($B1272="","",COUNTIF($F1272:$AJ1272,"PH"))</f>
        <v/>
      </c>
      <c r="AW1272" s="34" t="str">
        <f aca="false">IF($B1272="","",COUNTIF($F1272:$AJ1272,"TR"))</f>
        <v/>
      </c>
      <c r="AX1272" s="35" t="str">
        <f aca="false">IF($B1272="","",AO1272+AS1272/2)</f>
        <v/>
      </c>
      <c r="AY1272" s="35" t="str">
        <f aca="false">IF($B1272="","",AQ1272)</f>
        <v/>
      </c>
      <c r="AZ1272" s="35" t="str">
        <f aca="false">IF($B1272="","",AP1272+AT1272/2)</f>
        <v/>
      </c>
      <c r="BA1272" s="35" t="str">
        <f aca="false">IF($B1272="","",AK1272+AN1272+AM1272/2+AO1272+AP1272+AQ1272+AR1272+AS1272+AT1272+AU1272+AV1272+AW1272)</f>
        <v/>
      </c>
      <c r="BB1272" s="35" t="str">
        <f aca="false">IF($B1272="","",MAX(0,AN1272-Settings!$C$16)*Settings!$C$17)</f>
        <v/>
      </c>
      <c r="BC1272" s="35" t="str">
        <f aca="false">IF($B1272="","",BA1272-BB1272)</f>
        <v/>
      </c>
      <c r="BD1272" s="35" t="str">
        <f aca="false">IF(OR($B1272="",$A1272=""),"",DAY(EOMONTH($A1272,0))-COUNTA($F1272:$AJ1272))</f>
        <v/>
      </c>
    </row>
    <row r="1273" customFormat="false" ht="15" hidden="false" customHeight="false" outlineLevel="0" collapsed="false">
      <c r="A1273" s="32"/>
      <c r="B1273" s="29"/>
      <c r="C1273" s="10" t="str">
        <f aca="false">IF($B1273="","",IFERROR(INDEX(M_name,MATCH($B1273,M_emp,0)),"Code not found"))</f>
        <v/>
      </c>
      <c r="D1273" s="10" t="str">
        <f aca="false">IF($B1273="","",IFERROR(INDEX(M_dept,MATCH($B1273,M_emp,0)),""))</f>
        <v/>
      </c>
      <c r="E1273" s="10" t="str">
        <f aca="false">IF($B1273="","",IFERROR(INDEX(M_loc,MATCH($B1273,M_emp,0)),""))</f>
        <v/>
      </c>
      <c r="F1273" s="33"/>
      <c r="G1273" s="33"/>
      <c r="H1273" s="33"/>
      <c r="I1273" s="33"/>
      <c r="J1273" s="33"/>
      <c r="K1273" s="33"/>
      <c r="L1273" s="33"/>
      <c r="M1273" s="33"/>
      <c r="N1273" s="33"/>
      <c r="O1273" s="33"/>
      <c r="P1273" s="33"/>
      <c r="Q1273" s="33"/>
      <c r="R1273" s="33"/>
      <c r="S1273" s="33"/>
      <c r="T1273" s="33"/>
      <c r="U1273" s="33"/>
      <c r="V1273" s="33"/>
      <c r="W1273" s="33"/>
      <c r="X1273" s="33"/>
      <c r="Y1273" s="33"/>
      <c r="Z1273" s="33"/>
      <c r="AA1273" s="33"/>
      <c r="AB1273" s="33"/>
      <c r="AC1273" s="33"/>
      <c r="AD1273" s="33"/>
      <c r="AE1273" s="33"/>
      <c r="AF1273" s="33"/>
      <c r="AG1273" s="33"/>
      <c r="AH1273" s="33"/>
      <c r="AI1273" s="33"/>
      <c r="AJ1273" s="33"/>
      <c r="AK1273" s="34" t="str">
        <f aca="false">IF($B1273="","",COUNTIF($F1273:$AJ1273,"P"))</f>
        <v/>
      </c>
      <c r="AL1273" s="34" t="str">
        <f aca="false">IF($B1273="","",COUNTIF($F1273:$AJ1273,"A"))</f>
        <v/>
      </c>
      <c r="AM1273" s="34" t="str">
        <f aca="false">IF($B1273="","",COUNTIF($F1273:$AJ1273,"HA"))</f>
        <v/>
      </c>
      <c r="AN1273" s="34" t="str">
        <f aca="false">IF($B1273="","",COUNTIF($F1273:$AJ1273,"L"))</f>
        <v/>
      </c>
      <c r="AO1273" s="34" t="str">
        <f aca="false">IF($B1273="","",COUNTIF($F1273:$AJ1273,"PL"))</f>
        <v/>
      </c>
      <c r="AP1273" s="34" t="str">
        <f aca="false">IF($B1273="","",COUNTIF($F1273:$AJ1273,"CL"))</f>
        <v/>
      </c>
      <c r="AQ1273" s="34" t="str">
        <f aca="false">IF($B1273="","",COUNTIF($F1273:$AJ1273,"SL"))</f>
        <v/>
      </c>
      <c r="AR1273" s="34" t="str">
        <f aca="false">IF($B1273="","",COUNTIF($F1273:$AJ1273,"CO"))</f>
        <v/>
      </c>
      <c r="AS1273" s="34" t="str">
        <f aca="false">IF($B1273="","",COUNTIF($F1273:$AJ1273,"HPL"))</f>
        <v/>
      </c>
      <c r="AT1273" s="34" t="str">
        <f aca="false">IF($B1273="","",COUNTIF($F1273:$AJ1273,"HCL"))</f>
        <v/>
      </c>
      <c r="AU1273" s="34" t="str">
        <f aca="false">IF($B1273="","",COUNTIF($F1273:$AJ1273,"WO"))</f>
        <v/>
      </c>
      <c r="AV1273" s="34" t="str">
        <f aca="false">IF($B1273="","",COUNTIF($F1273:$AJ1273,"PH"))</f>
        <v/>
      </c>
      <c r="AW1273" s="34" t="str">
        <f aca="false">IF($B1273="","",COUNTIF($F1273:$AJ1273,"TR"))</f>
        <v/>
      </c>
      <c r="AX1273" s="35" t="str">
        <f aca="false">IF($B1273="","",AO1273+AS1273/2)</f>
        <v/>
      </c>
      <c r="AY1273" s="35" t="str">
        <f aca="false">IF($B1273="","",AQ1273)</f>
        <v/>
      </c>
      <c r="AZ1273" s="35" t="str">
        <f aca="false">IF($B1273="","",AP1273+AT1273/2)</f>
        <v/>
      </c>
      <c r="BA1273" s="35" t="str">
        <f aca="false">IF($B1273="","",AK1273+AN1273+AM1273/2+AO1273+AP1273+AQ1273+AR1273+AS1273+AT1273+AU1273+AV1273+AW1273)</f>
        <v/>
      </c>
      <c r="BB1273" s="35" t="str">
        <f aca="false">IF($B1273="","",MAX(0,AN1273-Settings!$C$16)*Settings!$C$17)</f>
        <v/>
      </c>
      <c r="BC1273" s="35" t="str">
        <f aca="false">IF($B1273="","",BA1273-BB1273)</f>
        <v/>
      </c>
      <c r="BD1273" s="35" t="str">
        <f aca="false">IF(OR($B1273="",$A1273=""),"",DAY(EOMONTH($A1273,0))-COUNTA($F1273:$AJ1273))</f>
        <v/>
      </c>
    </row>
    <row r="1274" customFormat="false" ht="15" hidden="false" customHeight="false" outlineLevel="0" collapsed="false">
      <c r="A1274" s="32"/>
      <c r="B1274" s="29"/>
      <c r="C1274" s="10" t="str">
        <f aca="false">IF($B1274="","",IFERROR(INDEX(M_name,MATCH($B1274,M_emp,0)),"Code not found"))</f>
        <v/>
      </c>
      <c r="D1274" s="10" t="str">
        <f aca="false">IF($B1274="","",IFERROR(INDEX(M_dept,MATCH($B1274,M_emp,0)),""))</f>
        <v/>
      </c>
      <c r="E1274" s="10" t="str">
        <f aca="false">IF($B1274="","",IFERROR(INDEX(M_loc,MATCH($B1274,M_emp,0)),""))</f>
        <v/>
      </c>
      <c r="F1274" s="33"/>
      <c r="G1274" s="33"/>
      <c r="H1274" s="33"/>
      <c r="I1274" s="33"/>
      <c r="J1274" s="33"/>
      <c r="K1274" s="33"/>
      <c r="L1274" s="33"/>
      <c r="M1274" s="33"/>
      <c r="N1274" s="33"/>
      <c r="O1274" s="33"/>
      <c r="P1274" s="33"/>
      <c r="Q1274" s="33"/>
      <c r="R1274" s="33"/>
      <c r="S1274" s="33"/>
      <c r="T1274" s="33"/>
      <c r="U1274" s="33"/>
      <c r="V1274" s="33"/>
      <c r="W1274" s="33"/>
      <c r="X1274" s="33"/>
      <c r="Y1274" s="33"/>
      <c r="Z1274" s="33"/>
      <c r="AA1274" s="33"/>
      <c r="AB1274" s="33"/>
      <c r="AC1274" s="33"/>
      <c r="AD1274" s="33"/>
      <c r="AE1274" s="33"/>
      <c r="AF1274" s="33"/>
      <c r="AG1274" s="33"/>
      <c r="AH1274" s="33"/>
      <c r="AI1274" s="33"/>
      <c r="AJ1274" s="33"/>
      <c r="AK1274" s="34" t="str">
        <f aca="false">IF($B1274="","",COUNTIF($F1274:$AJ1274,"P"))</f>
        <v/>
      </c>
      <c r="AL1274" s="34" t="str">
        <f aca="false">IF($B1274="","",COUNTIF($F1274:$AJ1274,"A"))</f>
        <v/>
      </c>
      <c r="AM1274" s="34" t="str">
        <f aca="false">IF($B1274="","",COUNTIF($F1274:$AJ1274,"HA"))</f>
        <v/>
      </c>
      <c r="AN1274" s="34" t="str">
        <f aca="false">IF($B1274="","",COUNTIF($F1274:$AJ1274,"L"))</f>
        <v/>
      </c>
      <c r="AO1274" s="34" t="str">
        <f aca="false">IF($B1274="","",COUNTIF($F1274:$AJ1274,"PL"))</f>
        <v/>
      </c>
      <c r="AP1274" s="34" t="str">
        <f aca="false">IF($B1274="","",COUNTIF($F1274:$AJ1274,"CL"))</f>
        <v/>
      </c>
      <c r="AQ1274" s="34" t="str">
        <f aca="false">IF($B1274="","",COUNTIF($F1274:$AJ1274,"SL"))</f>
        <v/>
      </c>
      <c r="AR1274" s="34" t="str">
        <f aca="false">IF($B1274="","",COUNTIF($F1274:$AJ1274,"CO"))</f>
        <v/>
      </c>
      <c r="AS1274" s="34" t="str">
        <f aca="false">IF($B1274="","",COUNTIF($F1274:$AJ1274,"HPL"))</f>
        <v/>
      </c>
      <c r="AT1274" s="34" t="str">
        <f aca="false">IF($B1274="","",COUNTIF($F1274:$AJ1274,"HCL"))</f>
        <v/>
      </c>
      <c r="AU1274" s="34" t="str">
        <f aca="false">IF($B1274="","",COUNTIF($F1274:$AJ1274,"WO"))</f>
        <v/>
      </c>
      <c r="AV1274" s="34" t="str">
        <f aca="false">IF($B1274="","",COUNTIF($F1274:$AJ1274,"PH"))</f>
        <v/>
      </c>
      <c r="AW1274" s="34" t="str">
        <f aca="false">IF($B1274="","",COUNTIF($F1274:$AJ1274,"TR"))</f>
        <v/>
      </c>
      <c r="AX1274" s="35" t="str">
        <f aca="false">IF($B1274="","",AO1274+AS1274/2)</f>
        <v/>
      </c>
      <c r="AY1274" s="35" t="str">
        <f aca="false">IF($B1274="","",AQ1274)</f>
        <v/>
      </c>
      <c r="AZ1274" s="35" t="str">
        <f aca="false">IF($B1274="","",AP1274+AT1274/2)</f>
        <v/>
      </c>
      <c r="BA1274" s="35" t="str">
        <f aca="false">IF($B1274="","",AK1274+AN1274+AM1274/2+AO1274+AP1274+AQ1274+AR1274+AS1274+AT1274+AU1274+AV1274+AW1274)</f>
        <v/>
      </c>
      <c r="BB1274" s="35" t="str">
        <f aca="false">IF($B1274="","",MAX(0,AN1274-Settings!$C$16)*Settings!$C$17)</f>
        <v/>
      </c>
      <c r="BC1274" s="35" t="str">
        <f aca="false">IF($B1274="","",BA1274-BB1274)</f>
        <v/>
      </c>
      <c r="BD1274" s="35" t="str">
        <f aca="false">IF(OR($B1274="",$A1274=""),"",DAY(EOMONTH($A1274,0))-COUNTA($F1274:$AJ1274))</f>
        <v/>
      </c>
    </row>
    <row r="1275" customFormat="false" ht="15" hidden="false" customHeight="false" outlineLevel="0" collapsed="false">
      <c r="A1275" s="32"/>
      <c r="B1275" s="29"/>
      <c r="C1275" s="10" t="str">
        <f aca="false">IF($B1275="","",IFERROR(INDEX(M_name,MATCH($B1275,M_emp,0)),"Code not found"))</f>
        <v/>
      </c>
      <c r="D1275" s="10" t="str">
        <f aca="false">IF($B1275="","",IFERROR(INDEX(M_dept,MATCH($B1275,M_emp,0)),""))</f>
        <v/>
      </c>
      <c r="E1275" s="10" t="str">
        <f aca="false">IF($B1275="","",IFERROR(INDEX(M_loc,MATCH($B1275,M_emp,0)),""))</f>
        <v/>
      </c>
      <c r="F1275" s="33"/>
      <c r="G1275" s="33"/>
      <c r="H1275" s="33"/>
      <c r="I1275" s="33"/>
      <c r="J1275" s="33"/>
      <c r="K1275" s="33"/>
      <c r="L1275" s="33"/>
      <c r="M1275" s="33"/>
      <c r="N1275" s="33"/>
      <c r="O1275" s="33"/>
      <c r="P1275" s="33"/>
      <c r="Q1275" s="33"/>
      <c r="R1275" s="33"/>
      <c r="S1275" s="33"/>
      <c r="T1275" s="33"/>
      <c r="U1275" s="33"/>
      <c r="V1275" s="33"/>
      <c r="W1275" s="33"/>
      <c r="X1275" s="33"/>
      <c r="Y1275" s="33"/>
      <c r="Z1275" s="33"/>
      <c r="AA1275" s="33"/>
      <c r="AB1275" s="33"/>
      <c r="AC1275" s="33"/>
      <c r="AD1275" s="33"/>
      <c r="AE1275" s="33"/>
      <c r="AF1275" s="33"/>
      <c r="AG1275" s="33"/>
      <c r="AH1275" s="33"/>
      <c r="AI1275" s="33"/>
      <c r="AJ1275" s="33"/>
      <c r="AK1275" s="34" t="str">
        <f aca="false">IF($B1275="","",COUNTIF($F1275:$AJ1275,"P"))</f>
        <v/>
      </c>
      <c r="AL1275" s="34" t="str">
        <f aca="false">IF($B1275="","",COUNTIF($F1275:$AJ1275,"A"))</f>
        <v/>
      </c>
      <c r="AM1275" s="34" t="str">
        <f aca="false">IF($B1275="","",COUNTIF($F1275:$AJ1275,"HA"))</f>
        <v/>
      </c>
      <c r="AN1275" s="34" t="str">
        <f aca="false">IF($B1275="","",COUNTIF($F1275:$AJ1275,"L"))</f>
        <v/>
      </c>
      <c r="AO1275" s="34" t="str">
        <f aca="false">IF($B1275="","",COUNTIF($F1275:$AJ1275,"PL"))</f>
        <v/>
      </c>
      <c r="AP1275" s="34" t="str">
        <f aca="false">IF($B1275="","",COUNTIF($F1275:$AJ1275,"CL"))</f>
        <v/>
      </c>
      <c r="AQ1275" s="34" t="str">
        <f aca="false">IF($B1275="","",COUNTIF($F1275:$AJ1275,"SL"))</f>
        <v/>
      </c>
      <c r="AR1275" s="34" t="str">
        <f aca="false">IF($B1275="","",COUNTIF($F1275:$AJ1275,"CO"))</f>
        <v/>
      </c>
      <c r="AS1275" s="34" t="str">
        <f aca="false">IF($B1275="","",COUNTIF($F1275:$AJ1275,"HPL"))</f>
        <v/>
      </c>
      <c r="AT1275" s="34" t="str">
        <f aca="false">IF($B1275="","",COUNTIF($F1275:$AJ1275,"HCL"))</f>
        <v/>
      </c>
      <c r="AU1275" s="34" t="str">
        <f aca="false">IF($B1275="","",COUNTIF($F1275:$AJ1275,"WO"))</f>
        <v/>
      </c>
      <c r="AV1275" s="34" t="str">
        <f aca="false">IF($B1275="","",COUNTIF($F1275:$AJ1275,"PH"))</f>
        <v/>
      </c>
      <c r="AW1275" s="34" t="str">
        <f aca="false">IF($B1275="","",COUNTIF($F1275:$AJ1275,"TR"))</f>
        <v/>
      </c>
      <c r="AX1275" s="35" t="str">
        <f aca="false">IF($B1275="","",AO1275+AS1275/2)</f>
        <v/>
      </c>
      <c r="AY1275" s="35" t="str">
        <f aca="false">IF($B1275="","",AQ1275)</f>
        <v/>
      </c>
      <c r="AZ1275" s="35" t="str">
        <f aca="false">IF($B1275="","",AP1275+AT1275/2)</f>
        <v/>
      </c>
      <c r="BA1275" s="35" t="str">
        <f aca="false">IF($B1275="","",AK1275+AN1275+AM1275/2+AO1275+AP1275+AQ1275+AR1275+AS1275+AT1275+AU1275+AV1275+AW1275)</f>
        <v/>
      </c>
      <c r="BB1275" s="35" t="str">
        <f aca="false">IF($B1275="","",MAX(0,AN1275-Settings!$C$16)*Settings!$C$17)</f>
        <v/>
      </c>
      <c r="BC1275" s="35" t="str">
        <f aca="false">IF($B1275="","",BA1275-BB1275)</f>
        <v/>
      </c>
      <c r="BD1275" s="35" t="str">
        <f aca="false">IF(OR($B1275="",$A1275=""),"",DAY(EOMONTH($A1275,0))-COUNTA($F1275:$AJ1275))</f>
        <v/>
      </c>
    </row>
    <row r="1276" customFormat="false" ht="15" hidden="false" customHeight="false" outlineLevel="0" collapsed="false">
      <c r="A1276" s="32"/>
      <c r="B1276" s="29"/>
      <c r="C1276" s="10" t="str">
        <f aca="false">IF($B1276="","",IFERROR(INDEX(M_name,MATCH($B1276,M_emp,0)),"Code not found"))</f>
        <v/>
      </c>
      <c r="D1276" s="10" t="str">
        <f aca="false">IF($B1276="","",IFERROR(INDEX(M_dept,MATCH($B1276,M_emp,0)),""))</f>
        <v/>
      </c>
      <c r="E1276" s="10" t="str">
        <f aca="false">IF($B1276="","",IFERROR(INDEX(M_loc,MATCH($B1276,M_emp,0)),""))</f>
        <v/>
      </c>
      <c r="F1276" s="33"/>
      <c r="G1276" s="33"/>
      <c r="H1276" s="33"/>
      <c r="I1276" s="33"/>
      <c r="J1276" s="33"/>
      <c r="K1276" s="33"/>
      <c r="L1276" s="33"/>
      <c r="M1276" s="33"/>
      <c r="N1276" s="33"/>
      <c r="O1276" s="33"/>
      <c r="P1276" s="33"/>
      <c r="Q1276" s="33"/>
      <c r="R1276" s="33"/>
      <c r="S1276" s="33"/>
      <c r="T1276" s="33"/>
      <c r="U1276" s="33"/>
      <c r="V1276" s="33"/>
      <c r="W1276" s="33"/>
      <c r="X1276" s="33"/>
      <c r="Y1276" s="33"/>
      <c r="Z1276" s="33"/>
      <c r="AA1276" s="33"/>
      <c r="AB1276" s="33"/>
      <c r="AC1276" s="33"/>
      <c r="AD1276" s="33"/>
      <c r="AE1276" s="33"/>
      <c r="AF1276" s="33"/>
      <c r="AG1276" s="33"/>
      <c r="AH1276" s="33"/>
      <c r="AI1276" s="33"/>
      <c r="AJ1276" s="33"/>
      <c r="AK1276" s="34" t="str">
        <f aca="false">IF($B1276="","",COUNTIF($F1276:$AJ1276,"P"))</f>
        <v/>
      </c>
      <c r="AL1276" s="34" t="str">
        <f aca="false">IF($B1276="","",COUNTIF($F1276:$AJ1276,"A"))</f>
        <v/>
      </c>
      <c r="AM1276" s="34" t="str">
        <f aca="false">IF($B1276="","",COUNTIF($F1276:$AJ1276,"HA"))</f>
        <v/>
      </c>
      <c r="AN1276" s="34" t="str">
        <f aca="false">IF($B1276="","",COUNTIF($F1276:$AJ1276,"L"))</f>
        <v/>
      </c>
      <c r="AO1276" s="34" t="str">
        <f aca="false">IF($B1276="","",COUNTIF($F1276:$AJ1276,"PL"))</f>
        <v/>
      </c>
      <c r="AP1276" s="34" t="str">
        <f aca="false">IF($B1276="","",COUNTIF($F1276:$AJ1276,"CL"))</f>
        <v/>
      </c>
      <c r="AQ1276" s="34" t="str">
        <f aca="false">IF($B1276="","",COUNTIF($F1276:$AJ1276,"SL"))</f>
        <v/>
      </c>
      <c r="AR1276" s="34" t="str">
        <f aca="false">IF($B1276="","",COUNTIF($F1276:$AJ1276,"CO"))</f>
        <v/>
      </c>
      <c r="AS1276" s="34" t="str">
        <f aca="false">IF($B1276="","",COUNTIF($F1276:$AJ1276,"HPL"))</f>
        <v/>
      </c>
      <c r="AT1276" s="34" t="str">
        <f aca="false">IF($B1276="","",COUNTIF($F1276:$AJ1276,"HCL"))</f>
        <v/>
      </c>
      <c r="AU1276" s="34" t="str">
        <f aca="false">IF($B1276="","",COUNTIF($F1276:$AJ1276,"WO"))</f>
        <v/>
      </c>
      <c r="AV1276" s="34" t="str">
        <f aca="false">IF($B1276="","",COUNTIF($F1276:$AJ1276,"PH"))</f>
        <v/>
      </c>
      <c r="AW1276" s="34" t="str">
        <f aca="false">IF($B1276="","",COUNTIF($F1276:$AJ1276,"TR"))</f>
        <v/>
      </c>
      <c r="AX1276" s="35" t="str">
        <f aca="false">IF($B1276="","",AO1276+AS1276/2)</f>
        <v/>
      </c>
      <c r="AY1276" s="35" t="str">
        <f aca="false">IF($B1276="","",AQ1276)</f>
        <v/>
      </c>
      <c r="AZ1276" s="35" t="str">
        <f aca="false">IF($B1276="","",AP1276+AT1276/2)</f>
        <v/>
      </c>
      <c r="BA1276" s="35" t="str">
        <f aca="false">IF($B1276="","",AK1276+AN1276+AM1276/2+AO1276+AP1276+AQ1276+AR1276+AS1276+AT1276+AU1276+AV1276+AW1276)</f>
        <v/>
      </c>
      <c r="BB1276" s="35" t="str">
        <f aca="false">IF($B1276="","",MAX(0,AN1276-Settings!$C$16)*Settings!$C$17)</f>
        <v/>
      </c>
      <c r="BC1276" s="35" t="str">
        <f aca="false">IF($B1276="","",BA1276-BB1276)</f>
        <v/>
      </c>
      <c r="BD1276" s="35" t="str">
        <f aca="false">IF(OR($B1276="",$A1276=""),"",DAY(EOMONTH($A1276,0))-COUNTA($F1276:$AJ1276))</f>
        <v/>
      </c>
    </row>
    <row r="1277" customFormat="false" ht="15" hidden="false" customHeight="false" outlineLevel="0" collapsed="false">
      <c r="A1277" s="32"/>
      <c r="B1277" s="29"/>
      <c r="C1277" s="10" t="str">
        <f aca="false">IF($B1277="","",IFERROR(INDEX(M_name,MATCH($B1277,M_emp,0)),"Code not found"))</f>
        <v/>
      </c>
      <c r="D1277" s="10" t="str">
        <f aca="false">IF($B1277="","",IFERROR(INDEX(M_dept,MATCH($B1277,M_emp,0)),""))</f>
        <v/>
      </c>
      <c r="E1277" s="10" t="str">
        <f aca="false">IF($B1277="","",IFERROR(INDEX(M_loc,MATCH($B1277,M_emp,0)),""))</f>
        <v/>
      </c>
      <c r="F1277" s="33"/>
      <c r="G1277" s="33"/>
      <c r="H1277" s="33"/>
      <c r="I1277" s="33"/>
      <c r="J1277" s="33"/>
      <c r="K1277" s="33"/>
      <c r="L1277" s="33"/>
      <c r="M1277" s="33"/>
      <c r="N1277" s="33"/>
      <c r="O1277" s="33"/>
      <c r="P1277" s="33"/>
      <c r="Q1277" s="33"/>
      <c r="R1277" s="33"/>
      <c r="S1277" s="33"/>
      <c r="T1277" s="33"/>
      <c r="U1277" s="33"/>
      <c r="V1277" s="33"/>
      <c r="W1277" s="33"/>
      <c r="X1277" s="33"/>
      <c r="Y1277" s="33"/>
      <c r="Z1277" s="33"/>
      <c r="AA1277" s="33"/>
      <c r="AB1277" s="33"/>
      <c r="AC1277" s="33"/>
      <c r="AD1277" s="33"/>
      <c r="AE1277" s="33"/>
      <c r="AF1277" s="33"/>
      <c r="AG1277" s="33"/>
      <c r="AH1277" s="33"/>
      <c r="AI1277" s="33"/>
      <c r="AJ1277" s="33"/>
      <c r="AK1277" s="34" t="str">
        <f aca="false">IF($B1277="","",COUNTIF($F1277:$AJ1277,"P"))</f>
        <v/>
      </c>
      <c r="AL1277" s="34" t="str">
        <f aca="false">IF($B1277="","",COUNTIF($F1277:$AJ1277,"A"))</f>
        <v/>
      </c>
      <c r="AM1277" s="34" t="str">
        <f aca="false">IF($B1277="","",COUNTIF($F1277:$AJ1277,"HA"))</f>
        <v/>
      </c>
      <c r="AN1277" s="34" t="str">
        <f aca="false">IF($B1277="","",COUNTIF($F1277:$AJ1277,"L"))</f>
        <v/>
      </c>
      <c r="AO1277" s="34" t="str">
        <f aca="false">IF($B1277="","",COUNTIF($F1277:$AJ1277,"PL"))</f>
        <v/>
      </c>
      <c r="AP1277" s="34" t="str">
        <f aca="false">IF($B1277="","",COUNTIF($F1277:$AJ1277,"CL"))</f>
        <v/>
      </c>
      <c r="AQ1277" s="34" t="str">
        <f aca="false">IF($B1277="","",COUNTIF($F1277:$AJ1277,"SL"))</f>
        <v/>
      </c>
      <c r="AR1277" s="34" t="str">
        <f aca="false">IF($B1277="","",COUNTIF($F1277:$AJ1277,"CO"))</f>
        <v/>
      </c>
      <c r="AS1277" s="34" t="str">
        <f aca="false">IF($B1277="","",COUNTIF($F1277:$AJ1277,"HPL"))</f>
        <v/>
      </c>
      <c r="AT1277" s="34" t="str">
        <f aca="false">IF($B1277="","",COUNTIF($F1277:$AJ1277,"HCL"))</f>
        <v/>
      </c>
      <c r="AU1277" s="34" t="str">
        <f aca="false">IF($B1277="","",COUNTIF($F1277:$AJ1277,"WO"))</f>
        <v/>
      </c>
      <c r="AV1277" s="34" t="str">
        <f aca="false">IF($B1277="","",COUNTIF($F1277:$AJ1277,"PH"))</f>
        <v/>
      </c>
      <c r="AW1277" s="34" t="str">
        <f aca="false">IF($B1277="","",COUNTIF($F1277:$AJ1277,"TR"))</f>
        <v/>
      </c>
      <c r="AX1277" s="35" t="str">
        <f aca="false">IF($B1277="","",AO1277+AS1277/2)</f>
        <v/>
      </c>
      <c r="AY1277" s="35" t="str">
        <f aca="false">IF($B1277="","",AQ1277)</f>
        <v/>
      </c>
      <c r="AZ1277" s="35" t="str">
        <f aca="false">IF($B1277="","",AP1277+AT1277/2)</f>
        <v/>
      </c>
      <c r="BA1277" s="35" t="str">
        <f aca="false">IF($B1277="","",AK1277+AN1277+AM1277/2+AO1277+AP1277+AQ1277+AR1277+AS1277+AT1277+AU1277+AV1277+AW1277)</f>
        <v/>
      </c>
      <c r="BB1277" s="35" t="str">
        <f aca="false">IF($B1277="","",MAX(0,AN1277-Settings!$C$16)*Settings!$C$17)</f>
        <v/>
      </c>
      <c r="BC1277" s="35" t="str">
        <f aca="false">IF($B1277="","",BA1277-BB1277)</f>
        <v/>
      </c>
      <c r="BD1277" s="35" t="str">
        <f aca="false">IF(OR($B1277="",$A1277=""),"",DAY(EOMONTH($A1277,0))-COUNTA($F1277:$AJ1277))</f>
        <v/>
      </c>
    </row>
    <row r="1278" customFormat="false" ht="15" hidden="false" customHeight="false" outlineLevel="0" collapsed="false">
      <c r="A1278" s="32"/>
      <c r="B1278" s="29"/>
      <c r="C1278" s="10" t="str">
        <f aca="false">IF($B1278="","",IFERROR(INDEX(M_name,MATCH($B1278,M_emp,0)),"Code not found"))</f>
        <v/>
      </c>
      <c r="D1278" s="10" t="str">
        <f aca="false">IF($B1278="","",IFERROR(INDEX(M_dept,MATCH($B1278,M_emp,0)),""))</f>
        <v/>
      </c>
      <c r="E1278" s="10" t="str">
        <f aca="false">IF($B1278="","",IFERROR(INDEX(M_loc,MATCH($B1278,M_emp,0)),""))</f>
        <v/>
      </c>
      <c r="F1278" s="33"/>
      <c r="G1278" s="33"/>
      <c r="H1278" s="33"/>
      <c r="I1278" s="33"/>
      <c r="J1278" s="33"/>
      <c r="K1278" s="33"/>
      <c r="L1278" s="33"/>
      <c r="M1278" s="33"/>
      <c r="N1278" s="33"/>
      <c r="O1278" s="33"/>
      <c r="P1278" s="33"/>
      <c r="Q1278" s="33"/>
      <c r="R1278" s="33"/>
      <c r="S1278" s="33"/>
      <c r="T1278" s="33"/>
      <c r="U1278" s="33"/>
      <c r="V1278" s="33"/>
      <c r="W1278" s="33"/>
      <c r="X1278" s="33"/>
      <c r="Y1278" s="33"/>
      <c r="Z1278" s="33"/>
      <c r="AA1278" s="33"/>
      <c r="AB1278" s="33"/>
      <c r="AC1278" s="33"/>
      <c r="AD1278" s="33"/>
      <c r="AE1278" s="33"/>
      <c r="AF1278" s="33"/>
      <c r="AG1278" s="33"/>
      <c r="AH1278" s="33"/>
      <c r="AI1278" s="33"/>
      <c r="AJ1278" s="33"/>
      <c r="AK1278" s="34" t="str">
        <f aca="false">IF($B1278="","",COUNTIF($F1278:$AJ1278,"P"))</f>
        <v/>
      </c>
      <c r="AL1278" s="34" t="str">
        <f aca="false">IF($B1278="","",COUNTIF($F1278:$AJ1278,"A"))</f>
        <v/>
      </c>
      <c r="AM1278" s="34" t="str">
        <f aca="false">IF($B1278="","",COUNTIF($F1278:$AJ1278,"HA"))</f>
        <v/>
      </c>
      <c r="AN1278" s="34" t="str">
        <f aca="false">IF($B1278="","",COUNTIF($F1278:$AJ1278,"L"))</f>
        <v/>
      </c>
      <c r="AO1278" s="34" t="str">
        <f aca="false">IF($B1278="","",COUNTIF($F1278:$AJ1278,"PL"))</f>
        <v/>
      </c>
      <c r="AP1278" s="34" t="str">
        <f aca="false">IF($B1278="","",COUNTIF($F1278:$AJ1278,"CL"))</f>
        <v/>
      </c>
      <c r="AQ1278" s="34" t="str">
        <f aca="false">IF($B1278="","",COUNTIF($F1278:$AJ1278,"SL"))</f>
        <v/>
      </c>
      <c r="AR1278" s="34" t="str">
        <f aca="false">IF($B1278="","",COUNTIF($F1278:$AJ1278,"CO"))</f>
        <v/>
      </c>
      <c r="AS1278" s="34" t="str">
        <f aca="false">IF($B1278="","",COUNTIF($F1278:$AJ1278,"HPL"))</f>
        <v/>
      </c>
      <c r="AT1278" s="34" t="str">
        <f aca="false">IF($B1278="","",COUNTIF($F1278:$AJ1278,"HCL"))</f>
        <v/>
      </c>
      <c r="AU1278" s="34" t="str">
        <f aca="false">IF($B1278="","",COUNTIF($F1278:$AJ1278,"WO"))</f>
        <v/>
      </c>
      <c r="AV1278" s="34" t="str">
        <f aca="false">IF($B1278="","",COUNTIF($F1278:$AJ1278,"PH"))</f>
        <v/>
      </c>
      <c r="AW1278" s="34" t="str">
        <f aca="false">IF($B1278="","",COUNTIF($F1278:$AJ1278,"TR"))</f>
        <v/>
      </c>
      <c r="AX1278" s="35" t="str">
        <f aca="false">IF($B1278="","",AO1278+AS1278/2)</f>
        <v/>
      </c>
      <c r="AY1278" s="35" t="str">
        <f aca="false">IF($B1278="","",AQ1278)</f>
        <v/>
      </c>
      <c r="AZ1278" s="35" t="str">
        <f aca="false">IF($B1278="","",AP1278+AT1278/2)</f>
        <v/>
      </c>
      <c r="BA1278" s="35" t="str">
        <f aca="false">IF($B1278="","",AK1278+AN1278+AM1278/2+AO1278+AP1278+AQ1278+AR1278+AS1278+AT1278+AU1278+AV1278+AW1278)</f>
        <v/>
      </c>
      <c r="BB1278" s="35" t="str">
        <f aca="false">IF($B1278="","",MAX(0,AN1278-Settings!$C$16)*Settings!$C$17)</f>
        <v/>
      </c>
      <c r="BC1278" s="35" t="str">
        <f aca="false">IF($B1278="","",BA1278-BB1278)</f>
        <v/>
      </c>
      <c r="BD1278" s="35" t="str">
        <f aca="false">IF(OR($B1278="",$A1278=""),"",DAY(EOMONTH($A1278,0))-COUNTA($F1278:$AJ1278))</f>
        <v/>
      </c>
    </row>
    <row r="1279" customFormat="false" ht="15" hidden="false" customHeight="false" outlineLevel="0" collapsed="false">
      <c r="A1279" s="32"/>
      <c r="B1279" s="29"/>
      <c r="C1279" s="10" t="str">
        <f aca="false">IF($B1279="","",IFERROR(INDEX(M_name,MATCH($B1279,M_emp,0)),"Code not found"))</f>
        <v/>
      </c>
      <c r="D1279" s="10" t="str">
        <f aca="false">IF($B1279="","",IFERROR(INDEX(M_dept,MATCH($B1279,M_emp,0)),""))</f>
        <v/>
      </c>
      <c r="E1279" s="10" t="str">
        <f aca="false">IF($B1279="","",IFERROR(INDEX(M_loc,MATCH($B1279,M_emp,0)),""))</f>
        <v/>
      </c>
      <c r="F1279" s="33"/>
      <c r="G1279" s="33"/>
      <c r="H1279" s="33"/>
      <c r="I1279" s="33"/>
      <c r="J1279" s="33"/>
      <c r="K1279" s="33"/>
      <c r="L1279" s="33"/>
      <c r="M1279" s="33"/>
      <c r="N1279" s="33"/>
      <c r="O1279" s="33"/>
      <c r="P1279" s="33"/>
      <c r="Q1279" s="33"/>
      <c r="R1279" s="33"/>
      <c r="S1279" s="33"/>
      <c r="T1279" s="33"/>
      <c r="U1279" s="33"/>
      <c r="V1279" s="33"/>
      <c r="W1279" s="33"/>
      <c r="X1279" s="33"/>
      <c r="Y1279" s="33"/>
      <c r="Z1279" s="33"/>
      <c r="AA1279" s="33"/>
      <c r="AB1279" s="33"/>
      <c r="AC1279" s="33"/>
      <c r="AD1279" s="33"/>
      <c r="AE1279" s="33"/>
      <c r="AF1279" s="33"/>
      <c r="AG1279" s="33"/>
      <c r="AH1279" s="33"/>
      <c r="AI1279" s="33"/>
      <c r="AJ1279" s="33"/>
      <c r="AK1279" s="34" t="str">
        <f aca="false">IF($B1279="","",COUNTIF($F1279:$AJ1279,"P"))</f>
        <v/>
      </c>
      <c r="AL1279" s="34" t="str">
        <f aca="false">IF($B1279="","",COUNTIF($F1279:$AJ1279,"A"))</f>
        <v/>
      </c>
      <c r="AM1279" s="34" t="str">
        <f aca="false">IF($B1279="","",COUNTIF($F1279:$AJ1279,"HA"))</f>
        <v/>
      </c>
      <c r="AN1279" s="34" t="str">
        <f aca="false">IF($B1279="","",COUNTIF($F1279:$AJ1279,"L"))</f>
        <v/>
      </c>
      <c r="AO1279" s="34" t="str">
        <f aca="false">IF($B1279="","",COUNTIF($F1279:$AJ1279,"PL"))</f>
        <v/>
      </c>
      <c r="AP1279" s="34" t="str">
        <f aca="false">IF($B1279="","",COUNTIF($F1279:$AJ1279,"CL"))</f>
        <v/>
      </c>
      <c r="AQ1279" s="34" t="str">
        <f aca="false">IF($B1279="","",COUNTIF($F1279:$AJ1279,"SL"))</f>
        <v/>
      </c>
      <c r="AR1279" s="34" t="str">
        <f aca="false">IF($B1279="","",COUNTIF($F1279:$AJ1279,"CO"))</f>
        <v/>
      </c>
      <c r="AS1279" s="34" t="str">
        <f aca="false">IF($B1279="","",COUNTIF($F1279:$AJ1279,"HPL"))</f>
        <v/>
      </c>
      <c r="AT1279" s="34" t="str">
        <f aca="false">IF($B1279="","",COUNTIF($F1279:$AJ1279,"HCL"))</f>
        <v/>
      </c>
      <c r="AU1279" s="34" t="str">
        <f aca="false">IF($B1279="","",COUNTIF($F1279:$AJ1279,"WO"))</f>
        <v/>
      </c>
      <c r="AV1279" s="34" t="str">
        <f aca="false">IF($B1279="","",COUNTIF($F1279:$AJ1279,"PH"))</f>
        <v/>
      </c>
      <c r="AW1279" s="34" t="str">
        <f aca="false">IF($B1279="","",COUNTIF($F1279:$AJ1279,"TR"))</f>
        <v/>
      </c>
      <c r="AX1279" s="35" t="str">
        <f aca="false">IF($B1279="","",AO1279+AS1279/2)</f>
        <v/>
      </c>
      <c r="AY1279" s="35" t="str">
        <f aca="false">IF($B1279="","",AQ1279)</f>
        <v/>
      </c>
      <c r="AZ1279" s="35" t="str">
        <f aca="false">IF($B1279="","",AP1279+AT1279/2)</f>
        <v/>
      </c>
      <c r="BA1279" s="35" t="str">
        <f aca="false">IF($B1279="","",AK1279+AN1279+AM1279/2+AO1279+AP1279+AQ1279+AR1279+AS1279+AT1279+AU1279+AV1279+AW1279)</f>
        <v/>
      </c>
      <c r="BB1279" s="35" t="str">
        <f aca="false">IF($B1279="","",MAX(0,AN1279-Settings!$C$16)*Settings!$C$17)</f>
        <v/>
      </c>
      <c r="BC1279" s="35" t="str">
        <f aca="false">IF($B1279="","",BA1279-BB1279)</f>
        <v/>
      </c>
      <c r="BD1279" s="35" t="str">
        <f aca="false">IF(OR($B1279="",$A1279=""),"",DAY(EOMONTH($A1279,0))-COUNTA($F1279:$AJ1279))</f>
        <v/>
      </c>
    </row>
    <row r="1280" customFormat="false" ht="15" hidden="false" customHeight="false" outlineLevel="0" collapsed="false">
      <c r="A1280" s="32"/>
      <c r="B1280" s="29"/>
      <c r="C1280" s="10" t="str">
        <f aca="false">IF($B1280="","",IFERROR(INDEX(M_name,MATCH($B1280,M_emp,0)),"Code not found"))</f>
        <v/>
      </c>
      <c r="D1280" s="10" t="str">
        <f aca="false">IF($B1280="","",IFERROR(INDEX(M_dept,MATCH($B1280,M_emp,0)),""))</f>
        <v/>
      </c>
      <c r="E1280" s="10" t="str">
        <f aca="false">IF($B1280="","",IFERROR(INDEX(M_loc,MATCH($B1280,M_emp,0)),""))</f>
        <v/>
      </c>
      <c r="F1280" s="33"/>
      <c r="G1280" s="33"/>
      <c r="H1280" s="33"/>
      <c r="I1280" s="33"/>
      <c r="J1280" s="33"/>
      <c r="K1280" s="33"/>
      <c r="L1280" s="33"/>
      <c r="M1280" s="33"/>
      <c r="N1280" s="33"/>
      <c r="O1280" s="33"/>
      <c r="P1280" s="33"/>
      <c r="Q1280" s="33"/>
      <c r="R1280" s="33"/>
      <c r="S1280" s="33"/>
      <c r="T1280" s="33"/>
      <c r="U1280" s="33"/>
      <c r="V1280" s="33"/>
      <c r="W1280" s="33"/>
      <c r="X1280" s="33"/>
      <c r="Y1280" s="33"/>
      <c r="Z1280" s="33"/>
      <c r="AA1280" s="33"/>
      <c r="AB1280" s="33"/>
      <c r="AC1280" s="33"/>
      <c r="AD1280" s="33"/>
      <c r="AE1280" s="33"/>
      <c r="AF1280" s="33"/>
      <c r="AG1280" s="33"/>
      <c r="AH1280" s="33"/>
      <c r="AI1280" s="33"/>
      <c r="AJ1280" s="33"/>
      <c r="AK1280" s="34" t="str">
        <f aca="false">IF($B1280="","",COUNTIF($F1280:$AJ1280,"P"))</f>
        <v/>
      </c>
      <c r="AL1280" s="34" t="str">
        <f aca="false">IF($B1280="","",COUNTIF($F1280:$AJ1280,"A"))</f>
        <v/>
      </c>
      <c r="AM1280" s="34" t="str">
        <f aca="false">IF($B1280="","",COUNTIF($F1280:$AJ1280,"HA"))</f>
        <v/>
      </c>
      <c r="AN1280" s="34" t="str">
        <f aca="false">IF($B1280="","",COUNTIF($F1280:$AJ1280,"L"))</f>
        <v/>
      </c>
      <c r="AO1280" s="34" t="str">
        <f aca="false">IF($B1280="","",COUNTIF($F1280:$AJ1280,"PL"))</f>
        <v/>
      </c>
      <c r="AP1280" s="34" t="str">
        <f aca="false">IF($B1280="","",COUNTIF($F1280:$AJ1280,"CL"))</f>
        <v/>
      </c>
      <c r="AQ1280" s="34" t="str">
        <f aca="false">IF($B1280="","",COUNTIF($F1280:$AJ1280,"SL"))</f>
        <v/>
      </c>
      <c r="AR1280" s="34" t="str">
        <f aca="false">IF($B1280="","",COUNTIF($F1280:$AJ1280,"CO"))</f>
        <v/>
      </c>
      <c r="AS1280" s="34" t="str">
        <f aca="false">IF($B1280="","",COUNTIF($F1280:$AJ1280,"HPL"))</f>
        <v/>
      </c>
      <c r="AT1280" s="34" t="str">
        <f aca="false">IF($B1280="","",COUNTIF($F1280:$AJ1280,"HCL"))</f>
        <v/>
      </c>
      <c r="AU1280" s="34" t="str">
        <f aca="false">IF($B1280="","",COUNTIF($F1280:$AJ1280,"WO"))</f>
        <v/>
      </c>
      <c r="AV1280" s="34" t="str">
        <f aca="false">IF($B1280="","",COUNTIF($F1280:$AJ1280,"PH"))</f>
        <v/>
      </c>
      <c r="AW1280" s="34" t="str">
        <f aca="false">IF($B1280="","",COUNTIF($F1280:$AJ1280,"TR"))</f>
        <v/>
      </c>
      <c r="AX1280" s="35" t="str">
        <f aca="false">IF($B1280="","",AO1280+AS1280/2)</f>
        <v/>
      </c>
      <c r="AY1280" s="35" t="str">
        <f aca="false">IF($B1280="","",AQ1280)</f>
        <v/>
      </c>
      <c r="AZ1280" s="35" t="str">
        <f aca="false">IF($B1280="","",AP1280+AT1280/2)</f>
        <v/>
      </c>
      <c r="BA1280" s="35" t="str">
        <f aca="false">IF($B1280="","",AK1280+AN1280+AM1280/2+AO1280+AP1280+AQ1280+AR1280+AS1280+AT1280+AU1280+AV1280+AW1280)</f>
        <v/>
      </c>
      <c r="BB1280" s="35" t="str">
        <f aca="false">IF($B1280="","",MAX(0,AN1280-Settings!$C$16)*Settings!$C$17)</f>
        <v/>
      </c>
      <c r="BC1280" s="35" t="str">
        <f aca="false">IF($B1280="","",BA1280-BB1280)</f>
        <v/>
      </c>
      <c r="BD1280" s="35" t="str">
        <f aca="false">IF(OR($B1280="",$A1280=""),"",DAY(EOMONTH($A1280,0))-COUNTA($F1280:$AJ1280))</f>
        <v/>
      </c>
    </row>
    <row r="1281" customFormat="false" ht="15" hidden="false" customHeight="false" outlineLevel="0" collapsed="false">
      <c r="A1281" s="32"/>
      <c r="B1281" s="29"/>
      <c r="C1281" s="10" t="str">
        <f aca="false">IF($B1281="","",IFERROR(INDEX(M_name,MATCH($B1281,M_emp,0)),"Code not found"))</f>
        <v/>
      </c>
      <c r="D1281" s="10" t="str">
        <f aca="false">IF($B1281="","",IFERROR(INDEX(M_dept,MATCH($B1281,M_emp,0)),""))</f>
        <v/>
      </c>
      <c r="E1281" s="10" t="str">
        <f aca="false">IF($B1281="","",IFERROR(INDEX(M_loc,MATCH($B1281,M_emp,0)),""))</f>
        <v/>
      </c>
      <c r="F1281" s="33"/>
      <c r="G1281" s="33"/>
      <c r="H1281" s="33"/>
      <c r="I1281" s="33"/>
      <c r="J1281" s="33"/>
      <c r="K1281" s="33"/>
      <c r="L1281" s="33"/>
      <c r="M1281" s="33"/>
      <c r="N1281" s="33"/>
      <c r="O1281" s="33"/>
      <c r="P1281" s="33"/>
      <c r="Q1281" s="33"/>
      <c r="R1281" s="33"/>
      <c r="S1281" s="33"/>
      <c r="T1281" s="33"/>
      <c r="U1281" s="33"/>
      <c r="V1281" s="33"/>
      <c r="W1281" s="33"/>
      <c r="X1281" s="33"/>
      <c r="Y1281" s="33"/>
      <c r="Z1281" s="33"/>
      <c r="AA1281" s="33"/>
      <c r="AB1281" s="33"/>
      <c r="AC1281" s="33"/>
      <c r="AD1281" s="33"/>
      <c r="AE1281" s="33"/>
      <c r="AF1281" s="33"/>
      <c r="AG1281" s="33"/>
      <c r="AH1281" s="33"/>
      <c r="AI1281" s="33"/>
      <c r="AJ1281" s="33"/>
      <c r="AK1281" s="34" t="str">
        <f aca="false">IF($B1281="","",COUNTIF($F1281:$AJ1281,"P"))</f>
        <v/>
      </c>
      <c r="AL1281" s="34" t="str">
        <f aca="false">IF($B1281="","",COUNTIF($F1281:$AJ1281,"A"))</f>
        <v/>
      </c>
      <c r="AM1281" s="34" t="str">
        <f aca="false">IF($B1281="","",COUNTIF($F1281:$AJ1281,"HA"))</f>
        <v/>
      </c>
      <c r="AN1281" s="34" t="str">
        <f aca="false">IF($B1281="","",COUNTIF($F1281:$AJ1281,"L"))</f>
        <v/>
      </c>
      <c r="AO1281" s="34" t="str">
        <f aca="false">IF($B1281="","",COUNTIF($F1281:$AJ1281,"PL"))</f>
        <v/>
      </c>
      <c r="AP1281" s="34" t="str">
        <f aca="false">IF($B1281="","",COUNTIF($F1281:$AJ1281,"CL"))</f>
        <v/>
      </c>
      <c r="AQ1281" s="34" t="str">
        <f aca="false">IF($B1281="","",COUNTIF($F1281:$AJ1281,"SL"))</f>
        <v/>
      </c>
      <c r="AR1281" s="34" t="str">
        <f aca="false">IF($B1281="","",COUNTIF($F1281:$AJ1281,"CO"))</f>
        <v/>
      </c>
      <c r="AS1281" s="34" t="str">
        <f aca="false">IF($B1281="","",COUNTIF($F1281:$AJ1281,"HPL"))</f>
        <v/>
      </c>
      <c r="AT1281" s="34" t="str">
        <f aca="false">IF($B1281="","",COUNTIF($F1281:$AJ1281,"HCL"))</f>
        <v/>
      </c>
      <c r="AU1281" s="34" t="str">
        <f aca="false">IF($B1281="","",COUNTIF($F1281:$AJ1281,"WO"))</f>
        <v/>
      </c>
      <c r="AV1281" s="34" t="str">
        <f aca="false">IF($B1281="","",COUNTIF($F1281:$AJ1281,"PH"))</f>
        <v/>
      </c>
      <c r="AW1281" s="34" t="str">
        <f aca="false">IF($B1281="","",COUNTIF($F1281:$AJ1281,"TR"))</f>
        <v/>
      </c>
      <c r="AX1281" s="35" t="str">
        <f aca="false">IF($B1281="","",AO1281+AS1281/2)</f>
        <v/>
      </c>
      <c r="AY1281" s="35" t="str">
        <f aca="false">IF($B1281="","",AQ1281)</f>
        <v/>
      </c>
      <c r="AZ1281" s="35" t="str">
        <f aca="false">IF($B1281="","",AP1281+AT1281/2)</f>
        <v/>
      </c>
      <c r="BA1281" s="35" t="str">
        <f aca="false">IF($B1281="","",AK1281+AN1281+AM1281/2+AO1281+AP1281+AQ1281+AR1281+AS1281+AT1281+AU1281+AV1281+AW1281)</f>
        <v/>
      </c>
      <c r="BB1281" s="35" t="str">
        <f aca="false">IF($B1281="","",MAX(0,AN1281-Settings!$C$16)*Settings!$C$17)</f>
        <v/>
      </c>
      <c r="BC1281" s="35" t="str">
        <f aca="false">IF($B1281="","",BA1281-BB1281)</f>
        <v/>
      </c>
      <c r="BD1281" s="35" t="str">
        <f aca="false">IF(OR($B1281="",$A1281=""),"",DAY(EOMONTH($A1281,0))-COUNTA($F1281:$AJ1281))</f>
        <v/>
      </c>
    </row>
    <row r="1282" customFormat="false" ht="15" hidden="false" customHeight="false" outlineLevel="0" collapsed="false">
      <c r="A1282" s="32"/>
      <c r="B1282" s="29"/>
      <c r="C1282" s="10" t="str">
        <f aca="false">IF($B1282="","",IFERROR(INDEX(M_name,MATCH($B1282,M_emp,0)),"Code not found"))</f>
        <v/>
      </c>
      <c r="D1282" s="10" t="str">
        <f aca="false">IF($B1282="","",IFERROR(INDEX(M_dept,MATCH($B1282,M_emp,0)),""))</f>
        <v/>
      </c>
      <c r="E1282" s="10" t="str">
        <f aca="false">IF($B1282="","",IFERROR(INDEX(M_loc,MATCH($B1282,M_emp,0)),""))</f>
        <v/>
      </c>
      <c r="F1282" s="33"/>
      <c r="G1282" s="33"/>
      <c r="H1282" s="33"/>
      <c r="I1282" s="33"/>
      <c r="J1282" s="33"/>
      <c r="K1282" s="33"/>
      <c r="L1282" s="33"/>
      <c r="M1282" s="33"/>
      <c r="N1282" s="33"/>
      <c r="O1282" s="33"/>
      <c r="P1282" s="33"/>
      <c r="Q1282" s="33"/>
      <c r="R1282" s="33"/>
      <c r="S1282" s="33"/>
      <c r="T1282" s="33"/>
      <c r="U1282" s="33"/>
      <c r="V1282" s="33"/>
      <c r="W1282" s="33"/>
      <c r="X1282" s="33"/>
      <c r="Y1282" s="33"/>
      <c r="Z1282" s="33"/>
      <c r="AA1282" s="33"/>
      <c r="AB1282" s="33"/>
      <c r="AC1282" s="33"/>
      <c r="AD1282" s="33"/>
      <c r="AE1282" s="33"/>
      <c r="AF1282" s="33"/>
      <c r="AG1282" s="33"/>
      <c r="AH1282" s="33"/>
      <c r="AI1282" s="33"/>
      <c r="AJ1282" s="33"/>
      <c r="AK1282" s="34" t="str">
        <f aca="false">IF($B1282="","",COUNTIF($F1282:$AJ1282,"P"))</f>
        <v/>
      </c>
      <c r="AL1282" s="34" t="str">
        <f aca="false">IF($B1282="","",COUNTIF($F1282:$AJ1282,"A"))</f>
        <v/>
      </c>
      <c r="AM1282" s="34" t="str">
        <f aca="false">IF($B1282="","",COUNTIF($F1282:$AJ1282,"HA"))</f>
        <v/>
      </c>
      <c r="AN1282" s="34" t="str">
        <f aca="false">IF($B1282="","",COUNTIF($F1282:$AJ1282,"L"))</f>
        <v/>
      </c>
      <c r="AO1282" s="34" t="str">
        <f aca="false">IF($B1282="","",COUNTIF($F1282:$AJ1282,"PL"))</f>
        <v/>
      </c>
      <c r="AP1282" s="34" t="str">
        <f aca="false">IF($B1282="","",COUNTIF($F1282:$AJ1282,"CL"))</f>
        <v/>
      </c>
      <c r="AQ1282" s="34" t="str">
        <f aca="false">IF($B1282="","",COUNTIF($F1282:$AJ1282,"SL"))</f>
        <v/>
      </c>
      <c r="AR1282" s="34" t="str">
        <f aca="false">IF($B1282="","",COUNTIF($F1282:$AJ1282,"CO"))</f>
        <v/>
      </c>
      <c r="AS1282" s="34" t="str">
        <f aca="false">IF($B1282="","",COUNTIF($F1282:$AJ1282,"HPL"))</f>
        <v/>
      </c>
      <c r="AT1282" s="34" t="str">
        <f aca="false">IF($B1282="","",COUNTIF($F1282:$AJ1282,"HCL"))</f>
        <v/>
      </c>
      <c r="AU1282" s="34" t="str">
        <f aca="false">IF($B1282="","",COUNTIF($F1282:$AJ1282,"WO"))</f>
        <v/>
      </c>
      <c r="AV1282" s="34" t="str">
        <f aca="false">IF($B1282="","",COUNTIF($F1282:$AJ1282,"PH"))</f>
        <v/>
      </c>
      <c r="AW1282" s="34" t="str">
        <f aca="false">IF($B1282="","",COUNTIF($F1282:$AJ1282,"TR"))</f>
        <v/>
      </c>
      <c r="AX1282" s="35" t="str">
        <f aca="false">IF($B1282="","",AO1282+AS1282/2)</f>
        <v/>
      </c>
      <c r="AY1282" s="35" t="str">
        <f aca="false">IF($B1282="","",AQ1282)</f>
        <v/>
      </c>
      <c r="AZ1282" s="35" t="str">
        <f aca="false">IF($B1282="","",AP1282+AT1282/2)</f>
        <v/>
      </c>
      <c r="BA1282" s="35" t="str">
        <f aca="false">IF($B1282="","",AK1282+AN1282+AM1282/2+AO1282+AP1282+AQ1282+AR1282+AS1282+AT1282+AU1282+AV1282+AW1282)</f>
        <v/>
      </c>
      <c r="BB1282" s="35" t="str">
        <f aca="false">IF($B1282="","",MAX(0,AN1282-Settings!$C$16)*Settings!$C$17)</f>
        <v/>
      </c>
      <c r="BC1282" s="35" t="str">
        <f aca="false">IF($B1282="","",BA1282-BB1282)</f>
        <v/>
      </c>
      <c r="BD1282" s="35" t="str">
        <f aca="false">IF(OR($B1282="",$A1282=""),"",DAY(EOMONTH($A1282,0))-COUNTA($F1282:$AJ1282))</f>
        <v/>
      </c>
    </row>
    <row r="1283" customFormat="false" ht="15" hidden="false" customHeight="false" outlineLevel="0" collapsed="false">
      <c r="A1283" s="32"/>
      <c r="B1283" s="29"/>
      <c r="C1283" s="10" t="str">
        <f aca="false">IF($B1283="","",IFERROR(INDEX(M_name,MATCH($B1283,M_emp,0)),"Code not found"))</f>
        <v/>
      </c>
      <c r="D1283" s="10" t="str">
        <f aca="false">IF($B1283="","",IFERROR(INDEX(M_dept,MATCH($B1283,M_emp,0)),""))</f>
        <v/>
      </c>
      <c r="E1283" s="10" t="str">
        <f aca="false">IF($B1283="","",IFERROR(INDEX(M_loc,MATCH($B1283,M_emp,0)),""))</f>
        <v/>
      </c>
      <c r="F1283" s="33"/>
      <c r="G1283" s="33"/>
      <c r="H1283" s="33"/>
      <c r="I1283" s="33"/>
      <c r="J1283" s="33"/>
      <c r="K1283" s="33"/>
      <c r="L1283" s="33"/>
      <c r="M1283" s="33"/>
      <c r="N1283" s="33"/>
      <c r="O1283" s="33"/>
      <c r="P1283" s="33"/>
      <c r="Q1283" s="33"/>
      <c r="R1283" s="33"/>
      <c r="S1283" s="33"/>
      <c r="T1283" s="33"/>
      <c r="U1283" s="33"/>
      <c r="V1283" s="33"/>
      <c r="W1283" s="33"/>
      <c r="X1283" s="33"/>
      <c r="Y1283" s="33"/>
      <c r="Z1283" s="33"/>
      <c r="AA1283" s="33"/>
      <c r="AB1283" s="33"/>
      <c r="AC1283" s="33"/>
      <c r="AD1283" s="33"/>
      <c r="AE1283" s="33"/>
      <c r="AF1283" s="33"/>
      <c r="AG1283" s="33"/>
      <c r="AH1283" s="33"/>
      <c r="AI1283" s="33"/>
      <c r="AJ1283" s="33"/>
      <c r="AK1283" s="34" t="str">
        <f aca="false">IF($B1283="","",COUNTIF($F1283:$AJ1283,"P"))</f>
        <v/>
      </c>
      <c r="AL1283" s="34" t="str">
        <f aca="false">IF($B1283="","",COUNTIF($F1283:$AJ1283,"A"))</f>
        <v/>
      </c>
      <c r="AM1283" s="34" t="str">
        <f aca="false">IF($B1283="","",COUNTIF($F1283:$AJ1283,"HA"))</f>
        <v/>
      </c>
      <c r="AN1283" s="34" t="str">
        <f aca="false">IF($B1283="","",COUNTIF($F1283:$AJ1283,"L"))</f>
        <v/>
      </c>
      <c r="AO1283" s="34" t="str">
        <f aca="false">IF($B1283="","",COUNTIF($F1283:$AJ1283,"PL"))</f>
        <v/>
      </c>
      <c r="AP1283" s="34" t="str">
        <f aca="false">IF($B1283="","",COUNTIF($F1283:$AJ1283,"CL"))</f>
        <v/>
      </c>
      <c r="AQ1283" s="34" t="str">
        <f aca="false">IF($B1283="","",COUNTIF($F1283:$AJ1283,"SL"))</f>
        <v/>
      </c>
      <c r="AR1283" s="34" t="str">
        <f aca="false">IF($B1283="","",COUNTIF($F1283:$AJ1283,"CO"))</f>
        <v/>
      </c>
      <c r="AS1283" s="34" t="str">
        <f aca="false">IF($B1283="","",COUNTIF($F1283:$AJ1283,"HPL"))</f>
        <v/>
      </c>
      <c r="AT1283" s="34" t="str">
        <f aca="false">IF($B1283="","",COUNTIF($F1283:$AJ1283,"HCL"))</f>
        <v/>
      </c>
      <c r="AU1283" s="34" t="str">
        <f aca="false">IF($B1283="","",COUNTIF($F1283:$AJ1283,"WO"))</f>
        <v/>
      </c>
      <c r="AV1283" s="34" t="str">
        <f aca="false">IF($B1283="","",COUNTIF($F1283:$AJ1283,"PH"))</f>
        <v/>
      </c>
      <c r="AW1283" s="34" t="str">
        <f aca="false">IF($B1283="","",COUNTIF($F1283:$AJ1283,"TR"))</f>
        <v/>
      </c>
      <c r="AX1283" s="35" t="str">
        <f aca="false">IF($B1283="","",AO1283+AS1283/2)</f>
        <v/>
      </c>
      <c r="AY1283" s="35" t="str">
        <f aca="false">IF($B1283="","",AQ1283)</f>
        <v/>
      </c>
      <c r="AZ1283" s="35" t="str">
        <f aca="false">IF($B1283="","",AP1283+AT1283/2)</f>
        <v/>
      </c>
      <c r="BA1283" s="35" t="str">
        <f aca="false">IF($B1283="","",AK1283+AN1283+AM1283/2+AO1283+AP1283+AQ1283+AR1283+AS1283+AT1283+AU1283+AV1283+AW1283)</f>
        <v/>
      </c>
      <c r="BB1283" s="35" t="str">
        <f aca="false">IF($B1283="","",MAX(0,AN1283-Settings!$C$16)*Settings!$C$17)</f>
        <v/>
      </c>
      <c r="BC1283" s="35" t="str">
        <f aca="false">IF($B1283="","",BA1283-BB1283)</f>
        <v/>
      </c>
      <c r="BD1283" s="35" t="str">
        <f aca="false">IF(OR($B1283="",$A1283=""),"",DAY(EOMONTH($A1283,0))-COUNTA($F1283:$AJ1283))</f>
        <v/>
      </c>
    </row>
    <row r="1284" customFormat="false" ht="15" hidden="false" customHeight="false" outlineLevel="0" collapsed="false">
      <c r="A1284" s="32"/>
      <c r="B1284" s="29"/>
      <c r="C1284" s="10" t="str">
        <f aca="false">IF($B1284="","",IFERROR(INDEX(M_name,MATCH($B1284,M_emp,0)),"Code not found"))</f>
        <v/>
      </c>
      <c r="D1284" s="10" t="str">
        <f aca="false">IF($B1284="","",IFERROR(INDEX(M_dept,MATCH($B1284,M_emp,0)),""))</f>
        <v/>
      </c>
      <c r="E1284" s="10" t="str">
        <f aca="false">IF($B1284="","",IFERROR(INDEX(M_loc,MATCH($B1284,M_emp,0)),""))</f>
        <v/>
      </c>
      <c r="F1284" s="33"/>
      <c r="G1284" s="33"/>
      <c r="H1284" s="33"/>
      <c r="I1284" s="33"/>
      <c r="J1284" s="33"/>
      <c r="K1284" s="33"/>
      <c r="L1284" s="33"/>
      <c r="M1284" s="33"/>
      <c r="N1284" s="33"/>
      <c r="O1284" s="33"/>
      <c r="P1284" s="33"/>
      <c r="Q1284" s="33"/>
      <c r="R1284" s="33"/>
      <c r="S1284" s="33"/>
      <c r="T1284" s="33"/>
      <c r="U1284" s="33"/>
      <c r="V1284" s="33"/>
      <c r="W1284" s="33"/>
      <c r="X1284" s="33"/>
      <c r="Y1284" s="33"/>
      <c r="Z1284" s="33"/>
      <c r="AA1284" s="33"/>
      <c r="AB1284" s="33"/>
      <c r="AC1284" s="33"/>
      <c r="AD1284" s="33"/>
      <c r="AE1284" s="33"/>
      <c r="AF1284" s="33"/>
      <c r="AG1284" s="33"/>
      <c r="AH1284" s="33"/>
      <c r="AI1284" s="33"/>
      <c r="AJ1284" s="33"/>
      <c r="AK1284" s="34" t="str">
        <f aca="false">IF($B1284="","",COUNTIF($F1284:$AJ1284,"P"))</f>
        <v/>
      </c>
      <c r="AL1284" s="34" t="str">
        <f aca="false">IF($B1284="","",COUNTIF($F1284:$AJ1284,"A"))</f>
        <v/>
      </c>
      <c r="AM1284" s="34" t="str">
        <f aca="false">IF($B1284="","",COUNTIF($F1284:$AJ1284,"HA"))</f>
        <v/>
      </c>
      <c r="AN1284" s="34" t="str">
        <f aca="false">IF($B1284="","",COUNTIF($F1284:$AJ1284,"L"))</f>
        <v/>
      </c>
      <c r="AO1284" s="34" t="str">
        <f aca="false">IF($B1284="","",COUNTIF($F1284:$AJ1284,"PL"))</f>
        <v/>
      </c>
      <c r="AP1284" s="34" t="str">
        <f aca="false">IF($B1284="","",COUNTIF($F1284:$AJ1284,"CL"))</f>
        <v/>
      </c>
      <c r="AQ1284" s="34" t="str">
        <f aca="false">IF($B1284="","",COUNTIF($F1284:$AJ1284,"SL"))</f>
        <v/>
      </c>
      <c r="AR1284" s="34" t="str">
        <f aca="false">IF($B1284="","",COUNTIF($F1284:$AJ1284,"CO"))</f>
        <v/>
      </c>
      <c r="AS1284" s="34" t="str">
        <f aca="false">IF($B1284="","",COUNTIF($F1284:$AJ1284,"HPL"))</f>
        <v/>
      </c>
      <c r="AT1284" s="34" t="str">
        <f aca="false">IF($B1284="","",COUNTIF($F1284:$AJ1284,"HCL"))</f>
        <v/>
      </c>
      <c r="AU1284" s="34" t="str">
        <f aca="false">IF($B1284="","",COUNTIF($F1284:$AJ1284,"WO"))</f>
        <v/>
      </c>
      <c r="AV1284" s="34" t="str">
        <f aca="false">IF($B1284="","",COUNTIF($F1284:$AJ1284,"PH"))</f>
        <v/>
      </c>
      <c r="AW1284" s="34" t="str">
        <f aca="false">IF($B1284="","",COUNTIF($F1284:$AJ1284,"TR"))</f>
        <v/>
      </c>
      <c r="AX1284" s="35" t="str">
        <f aca="false">IF($B1284="","",AO1284+AS1284/2)</f>
        <v/>
      </c>
      <c r="AY1284" s="35" t="str">
        <f aca="false">IF($B1284="","",AQ1284)</f>
        <v/>
      </c>
      <c r="AZ1284" s="35" t="str">
        <f aca="false">IF($B1284="","",AP1284+AT1284/2)</f>
        <v/>
      </c>
      <c r="BA1284" s="35" t="str">
        <f aca="false">IF($B1284="","",AK1284+AN1284+AM1284/2+AO1284+AP1284+AQ1284+AR1284+AS1284+AT1284+AU1284+AV1284+AW1284)</f>
        <v/>
      </c>
      <c r="BB1284" s="35" t="str">
        <f aca="false">IF($B1284="","",MAX(0,AN1284-Settings!$C$16)*Settings!$C$17)</f>
        <v/>
      </c>
      <c r="BC1284" s="35" t="str">
        <f aca="false">IF($B1284="","",BA1284-BB1284)</f>
        <v/>
      </c>
      <c r="BD1284" s="35" t="str">
        <f aca="false">IF(OR($B1284="",$A1284=""),"",DAY(EOMONTH($A1284,0))-COUNTA($F1284:$AJ1284))</f>
        <v/>
      </c>
    </row>
    <row r="1285" customFormat="false" ht="15" hidden="false" customHeight="false" outlineLevel="0" collapsed="false">
      <c r="A1285" s="32"/>
      <c r="B1285" s="29"/>
      <c r="C1285" s="10" t="str">
        <f aca="false">IF($B1285="","",IFERROR(INDEX(M_name,MATCH($B1285,M_emp,0)),"Code not found"))</f>
        <v/>
      </c>
      <c r="D1285" s="10" t="str">
        <f aca="false">IF($B1285="","",IFERROR(INDEX(M_dept,MATCH($B1285,M_emp,0)),""))</f>
        <v/>
      </c>
      <c r="E1285" s="10" t="str">
        <f aca="false">IF($B1285="","",IFERROR(INDEX(M_loc,MATCH($B1285,M_emp,0)),""))</f>
        <v/>
      </c>
      <c r="F1285" s="33"/>
      <c r="G1285" s="33"/>
      <c r="H1285" s="33"/>
      <c r="I1285" s="33"/>
      <c r="J1285" s="33"/>
      <c r="K1285" s="33"/>
      <c r="L1285" s="33"/>
      <c r="M1285" s="33"/>
      <c r="N1285" s="33"/>
      <c r="O1285" s="33"/>
      <c r="P1285" s="33"/>
      <c r="Q1285" s="33"/>
      <c r="R1285" s="33"/>
      <c r="S1285" s="33"/>
      <c r="T1285" s="33"/>
      <c r="U1285" s="33"/>
      <c r="V1285" s="33"/>
      <c r="W1285" s="33"/>
      <c r="X1285" s="33"/>
      <c r="Y1285" s="33"/>
      <c r="Z1285" s="33"/>
      <c r="AA1285" s="33"/>
      <c r="AB1285" s="33"/>
      <c r="AC1285" s="33"/>
      <c r="AD1285" s="33"/>
      <c r="AE1285" s="33"/>
      <c r="AF1285" s="33"/>
      <c r="AG1285" s="33"/>
      <c r="AH1285" s="33"/>
      <c r="AI1285" s="33"/>
      <c r="AJ1285" s="33"/>
      <c r="AK1285" s="34" t="str">
        <f aca="false">IF($B1285="","",COUNTIF($F1285:$AJ1285,"P"))</f>
        <v/>
      </c>
      <c r="AL1285" s="34" t="str">
        <f aca="false">IF($B1285="","",COUNTIF($F1285:$AJ1285,"A"))</f>
        <v/>
      </c>
      <c r="AM1285" s="34" t="str">
        <f aca="false">IF($B1285="","",COUNTIF($F1285:$AJ1285,"HA"))</f>
        <v/>
      </c>
      <c r="AN1285" s="34" t="str">
        <f aca="false">IF($B1285="","",COUNTIF($F1285:$AJ1285,"L"))</f>
        <v/>
      </c>
      <c r="AO1285" s="34" t="str">
        <f aca="false">IF($B1285="","",COUNTIF($F1285:$AJ1285,"PL"))</f>
        <v/>
      </c>
      <c r="AP1285" s="34" t="str">
        <f aca="false">IF($B1285="","",COUNTIF($F1285:$AJ1285,"CL"))</f>
        <v/>
      </c>
      <c r="AQ1285" s="34" t="str">
        <f aca="false">IF($B1285="","",COUNTIF($F1285:$AJ1285,"SL"))</f>
        <v/>
      </c>
      <c r="AR1285" s="34" t="str">
        <f aca="false">IF($B1285="","",COUNTIF($F1285:$AJ1285,"CO"))</f>
        <v/>
      </c>
      <c r="AS1285" s="34" t="str">
        <f aca="false">IF($B1285="","",COUNTIF($F1285:$AJ1285,"HPL"))</f>
        <v/>
      </c>
      <c r="AT1285" s="34" t="str">
        <f aca="false">IF($B1285="","",COUNTIF($F1285:$AJ1285,"HCL"))</f>
        <v/>
      </c>
      <c r="AU1285" s="34" t="str">
        <f aca="false">IF($B1285="","",COUNTIF($F1285:$AJ1285,"WO"))</f>
        <v/>
      </c>
      <c r="AV1285" s="34" t="str">
        <f aca="false">IF($B1285="","",COUNTIF($F1285:$AJ1285,"PH"))</f>
        <v/>
      </c>
      <c r="AW1285" s="34" t="str">
        <f aca="false">IF($B1285="","",COUNTIF($F1285:$AJ1285,"TR"))</f>
        <v/>
      </c>
      <c r="AX1285" s="35" t="str">
        <f aca="false">IF($B1285="","",AO1285+AS1285/2)</f>
        <v/>
      </c>
      <c r="AY1285" s="35" t="str">
        <f aca="false">IF($B1285="","",AQ1285)</f>
        <v/>
      </c>
      <c r="AZ1285" s="35" t="str">
        <f aca="false">IF($B1285="","",AP1285+AT1285/2)</f>
        <v/>
      </c>
      <c r="BA1285" s="35" t="str">
        <f aca="false">IF($B1285="","",AK1285+AN1285+AM1285/2+AO1285+AP1285+AQ1285+AR1285+AS1285+AT1285+AU1285+AV1285+AW1285)</f>
        <v/>
      </c>
      <c r="BB1285" s="35" t="str">
        <f aca="false">IF($B1285="","",MAX(0,AN1285-Settings!$C$16)*Settings!$C$17)</f>
        <v/>
      </c>
      <c r="BC1285" s="35" t="str">
        <f aca="false">IF($B1285="","",BA1285-BB1285)</f>
        <v/>
      </c>
      <c r="BD1285" s="35" t="str">
        <f aca="false">IF(OR($B1285="",$A1285=""),"",DAY(EOMONTH($A1285,0))-COUNTA($F1285:$AJ1285))</f>
        <v/>
      </c>
    </row>
    <row r="1286" customFormat="false" ht="15" hidden="false" customHeight="false" outlineLevel="0" collapsed="false">
      <c r="A1286" s="32"/>
      <c r="B1286" s="29"/>
      <c r="C1286" s="10" t="str">
        <f aca="false">IF($B1286="","",IFERROR(INDEX(M_name,MATCH($B1286,M_emp,0)),"Code not found"))</f>
        <v/>
      </c>
      <c r="D1286" s="10" t="str">
        <f aca="false">IF($B1286="","",IFERROR(INDEX(M_dept,MATCH($B1286,M_emp,0)),""))</f>
        <v/>
      </c>
      <c r="E1286" s="10" t="str">
        <f aca="false">IF($B1286="","",IFERROR(INDEX(M_loc,MATCH($B1286,M_emp,0)),""))</f>
        <v/>
      </c>
      <c r="F1286" s="33"/>
      <c r="G1286" s="33"/>
      <c r="H1286" s="33"/>
      <c r="I1286" s="33"/>
      <c r="J1286" s="33"/>
      <c r="K1286" s="33"/>
      <c r="L1286" s="33"/>
      <c r="M1286" s="33"/>
      <c r="N1286" s="33"/>
      <c r="O1286" s="33"/>
      <c r="P1286" s="33"/>
      <c r="Q1286" s="33"/>
      <c r="R1286" s="33"/>
      <c r="S1286" s="33"/>
      <c r="T1286" s="33"/>
      <c r="U1286" s="33"/>
      <c r="V1286" s="33"/>
      <c r="W1286" s="33"/>
      <c r="X1286" s="33"/>
      <c r="Y1286" s="33"/>
      <c r="Z1286" s="33"/>
      <c r="AA1286" s="33"/>
      <c r="AB1286" s="33"/>
      <c r="AC1286" s="33"/>
      <c r="AD1286" s="33"/>
      <c r="AE1286" s="33"/>
      <c r="AF1286" s="33"/>
      <c r="AG1286" s="33"/>
      <c r="AH1286" s="33"/>
      <c r="AI1286" s="33"/>
      <c r="AJ1286" s="33"/>
      <c r="AK1286" s="34" t="str">
        <f aca="false">IF($B1286="","",COUNTIF($F1286:$AJ1286,"P"))</f>
        <v/>
      </c>
      <c r="AL1286" s="34" t="str">
        <f aca="false">IF($B1286="","",COUNTIF($F1286:$AJ1286,"A"))</f>
        <v/>
      </c>
      <c r="AM1286" s="34" t="str">
        <f aca="false">IF($B1286="","",COUNTIF($F1286:$AJ1286,"HA"))</f>
        <v/>
      </c>
      <c r="AN1286" s="34" t="str">
        <f aca="false">IF($B1286="","",COUNTIF($F1286:$AJ1286,"L"))</f>
        <v/>
      </c>
      <c r="AO1286" s="34" t="str">
        <f aca="false">IF($B1286="","",COUNTIF($F1286:$AJ1286,"PL"))</f>
        <v/>
      </c>
      <c r="AP1286" s="34" t="str">
        <f aca="false">IF($B1286="","",COUNTIF($F1286:$AJ1286,"CL"))</f>
        <v/>
      </c>
      <c r="AQ1286" s="34" t="str">
        <f aca="false">IF($B1286="","",COUNTIF($F1286:$AJ1286,"SL"))</f>
        <v/>
      </c>
      <c r="AR1286" s="34" t="str">
        <f aca="false">IF($B1286="","",COUNTIF($F1286:$AJ1286,"CO"))</f>
        <v/>
      </c>
      <c r="AS1286" s="34" t="str">
        <f aca="false">IF($B1286="","",COUNTIF($F1286:$AJ1286,"HPL"))</f>
        <v/>
      </c>
      <c r="AT1286" s="34" t="str">
        <f aca="false">IF($B1286="","",COUNTIF($F1286:$AJ1286,"HCL"))</f>
        <v/>
      </c>
      <c r="AU1286" s="34" t="str">
        <f aca="false">IF($B1286="","",COUNTIF($F1286:$AJ1286,"WO"))</f>
        <v/>
      </c>
      <c r="AV1286" s="34" t="str">
        <f aca="false">IF($B1286="","",COUNTIF($F1286:$AJ1286,"PH"))</f>
        <v/>
      </c>
      <c r="AW1286" s="34" t="str">
        <f aca="false">IF($B1286="","",COUNTIF($F1286:$AJ1286,"TR"))</f>
        <v/>
      </c>
      <c r="AX1286" s="35" t="str">
        <f aca="false">IF($B1286="","",AO1286+AS1286/2)</f>
        <v/>
      </c>
      <c r="AY1286" s="35" t="str">
        <f aca="false">IF($B1286="","",AQ1286)</f>
        <v/>
      </c>
      <c r="AZ1286" s="35" t="str">
        <f aca="false">IF($B1286="","",AP1286+AT1286/2)</f>
        <v/>
      </c>
      <c r="BA1286" s="35" t="str">
        <f aca="false">IF($B1286="","",AK1286+AN1286+AM1286/2+AO1286+AP1286+AQ1286+AR1286+AS1286+AT1286+AU1286+AV1286+AW1286)</f>
        <v/>
      </c>
      <c r="BB1286" s="35" t="str">
        <f aca="false">IF($B1286="","",MAX(0,AN1286-Settings!$C$16)*Settings!$C$17)</f>
        <v/>
      </c>
      <c r="BC1286" s="35" t="str">
        <f aca="false">IF($B1286="","",BA1286-BB1286)</f>
        <v/>
      </c>
      <c r="BD1286" s="35" t="str">
        <f aca="false">IF(OR($B1286="",$A1286=""),"",DAY(EOMONTH($A1286,0))-COUNTA($F1286:$AJ1286))</f>
        <v/>
      </c>
    </row>
    <row r="1287" customFormat="false" ht="15" hidden="false" customHeight="false" outlineLevel="0" collapsed="false">
      <c r="A1287" s="32"/>
      <c r="B1287" s="29"/>
      <c r="C1287" s="10" t="str">
        <f aca="false">IF($B1287="","",IFERROR(INDEX(M_name,MATCH($B1287,M_emp,0)),"Code not found"))</f>
        <v/>
      </c>
      <c r="D1287" s="10" t="str">
        <f aca="false">IF($B1287="","",IFERROR(INDEX(M_dept,MATCH($B1287,M_emp,0)),""))</f>
        <v/>
      </c>
      <c r="E1287" s="10" t="str">
        <f aca="false">IF($B1287="","",IFERROR(INDEX(M_loc,MATCH($B1287,M_emp,0)),""))</f>
        <v/>
      </c>
      <c r="F1287" s="33"/>
      <c r="G1287" s="33"/>
      <c r="H1287" s="33"/>
      <c r="I1287" s="33"/>
      <c r="J1287" s="33"/>
      <c r="K1287" s="33"/>
      <c r="L1287" s="33"/>
      <c r="M1287" s="33"/>
      <c r="N1287" s="33"/>
      <c r="O1287" s="33"/>
      <c r="P1287" s="33"/>
      <c r="Q1287" s="33"/>
      <c r="R1287" s="33"/>
      <c r="S1287" s="33"/>
      <c r="T1287" s="33"/>
      <c r="U1287" s="33"/>
      <c r="V1287" s="33"/>
      <c r="W1287" s="33"/>
      <c r="X1287" s="33"/>
      <c r="Y1287" s="33"/>
      <c r="Z1287" s="33"/>
      <c r="AA1287" s="33"/>
      <c r="AB1287" s="33"/>
      <c r="AC1287" s="33"/>
      <c r="AD1287" s="33"/>
      <c r="AE1287" s="33"/>
      <c r="AF1287" s="33"/>
      <c r="AG1287" s="33"/>
      <c r="AH1287" s="33"/>
      <c r="AI1287" s="33"/>
      <c r="AJ1287" s="33"/>
      <c r="AK1287" s="34" t="str">
        <f aca="false">IF($B1287="","",COUNTIF($F1287:$AJ1287,"P"))</f>
        <v/>
      </c>
      <c r="AL1287" s="34" t="str">
        <f aca="false">IF($B1287="","",COUNTIF($F1287:$AJ1287,"A"))</f>
        <v/>
      </c>
      <c r="AM1287" s="34" t="str">
        <f aca="false">IF($B1287="","",COUNTIF($F1287:$AJ1287,"HA"))</f>
        <v/>
      </c>
      <c r="AN1287" s="34" t="str">
        <f aca="false">IF($B1287="","",COUNTIF($F1287:$AJ1287,"L"))</f>
        <v/>
      </c>
      <c r="AO1287" s="34" t="str">
        <f aca="false">IF($B1287="","",COUNTIF($F1287:$AJ1287,"PL"))</f>
        <v/>
      </c>
      <c r="AP1287" s="34" t="str">
        <f aca="false">IF($B1287="","",COUNTIF($F1287:$AJ1287,"CL"))</f>
        <v/>
      </c>
      <c r="AQ1287" s="34" t="str">
        <f aca="false">IF($B1287="","",COUNTIF($F1287:$AJ1287,"SL"))</f>
        <v/>
      </c>
      <c r="AR1287" s="34" t="str">
        <f aca="false">IF($B1287="","",COUNTIF($F1287:$AJ1287,"CO"))</f>
        <v/>
      </c>
      <c r="AS1287" s="34" t="str">
        <f aca="false">IF($B1287="","",COUNTIF($F1287:$AJ1287,"HPL"))</f>
        <v/>
      </c>
      <c r="AT1287" s="34" t="str">
        <f aca="false">IF($B1287="","",COUNTIF($F1287:$AJ1287,"HCL"))</f>
        <v/>
      </c>
      <c r="AU1287" s="34" t="str">
        <f aca="false">IF($B1287="","",COUNTIF($F1287:$AJ1287,"WO"))</f>
        <v/>
      </c>
      <c r="AV1287" s="34" t="str">
        <f aca="false">IF($B1287="","",COUNTIF($F1287:$AJ1287,"PH"))</f>
        <v/>
      </c>
      <c r="AW1287" s="34" t="str">
        <f aca="false">IF($B1287="","",COUNTIF($F1287:$AJ1287,"TR"))</f>
        <v/>
      </c>
      <c r="AX1287" s="35" t="str">
        <f aca="false">IF($B1287="","",AO1287+AS1287/2)</f>
        <v/>
      </c>
      <c r="AY1287" s="35" t="str">
        <f aca="false">IF($B1287="","",AQ1287)</f>
        <v/>
      </c>
      <c r="AZ1287" s="35" t="str">
        <f aca="false">IF($B1287="","",AP1287+AT1287/2)</f>
        <v/>
      </c>
      <c r="BA1287" s="35" t="str">
        <f aca="false">IF($B1287="","",AK1287+AN1287+AM1287/2+AO1287+AP1287+AQ1287+AR1287+AS1287+AT1287+AU1287+AV1287+AW1287)</f>
        <v/>
      </c>
      <c r="BB1287" s="35" t="str">
        <f aca="false">IF($B1287="","",MAX(0,AN1287-Settings!$C$16)*Settings!$C$17)</f>
        <v/>
      </c>
      <c r="BC1287" s="35" t="str">
        <f aca="false">IF($B1287="","",BA1287-BB1287)</f>
        <v/>
      </c>
      <c r="BD1287" s="35" t="str">
        <f aca="false">IF(OR($B1287="",$A1287=""),"",DAY(EOMONTH($A1287,0))-COUNTA($F1287:$AJ1287))</f>
        <v/>
      </c>
    </row>
    <row r="1288" customFormat="false" ht="15" hidden="false" customHeight="false" outlineLevel="0" collapsed="false">
      <c r="A1288" s="32"/>
      <c r="B1288" s="29"/>
      <c r="C1288" s="10" t="str">
        <f aca="false">IF($B1288="","",IFERROR(INDEX(M_name,MATCH($B1288,M_emp,0)),"Code not found"))</f>
        <v/>
      </c>
      <c r="D1288" s="10" t="str">
        <f aca="false">IF($B1288="","",IFERROR(INDEX(M_dept,MATCH($B1288,M_emp,0)),""))</f>
        <v/>
      </c>
      <c r="E1288" s="10" t="str">
        <f aca="false">IF($B1288="","",IFERROR(INDEX(M_loc,MATCH($B1288,M_emp,0)),""))</f>
        <v/>
      </c>
      <c r="F1288" s="33"/>
      <c r="G1288" s="33"/>
      <c r="H1288" s="33"/>
      <c r="I1288" s="33"/>
      <c r="J1288" s="33"/>
      <c r="K1288" s="33"/>
      <c r="L1288" s="33"/>
      <c r="M1288" s="33"/>
      <c r="N1288" s="33"/>
      <c r="O1288" s="33"/>
      <c r="P1288" s="33"/>
      <c r="Q1288" s="33"/>
      <c r="R1288" s="33"/>
      <c r="S1288" s="33"/>
      <c r="T1288" s="33"/>
      <c r="U1288" s="33"/>
      <c r="V1288" s="33"/>
      <c r="W1288" s="33"/>
      <c r="X1288" s="33"/>
      <c r="Y1288" s="33"/>
      <c r="Z1288" s="33"/>
      <c r="AA1288" s="33"/>
      <c r="AB1288" s="33"/>
      <c r="AC1288" s="33"/>
      <c r="AD1288" s="33"/>
      <c r="AE1288" s="33"/>
      <c r="AF1288" s="33"/>
      <c r="AG1288" s="33"/>
      <c r="AH1288" s="33"/>
      <c r="AI1288" s="33"/>
      <c r="AJ1288" s="33"/>
      <c r="AK1288" s="34" t="str">
        <f aca="false">IF($B1288="","",COUNTIF($F1288:$AJ1288,"P"))</f>
        <v/>
      </c>
      <c r="AL1288" s="34" t="str">
        <f aca="false">IF($B1288="","",COUNTIF($F1288:$AJ1288,"A"))</f>
        <v/>
      </c>
      <c r="AM1288" s="34" t="str">
        <f aca="false">IF($B1288="","",COUNTIF($F1288:$AJ1288,"HA"))</f>
        <v/>
      </c>
      <c r="AN1288" s="34" t="str">
        <f aca="false">IF($B1288="","",COUNTIF($F1288:$AJ1288,"L"))</f>
        <v/>
      </c>
      <c r="AO1288" s="34" t="str">
        <f aca="false">IF($B1288="","",COUNTIF($F1288:$AJ1288,"PL"))</f>
        <v/>
      </c>
      <c r="AP1288" s="34" t="str">
        <f aca="false">IF($B1288="","",COUNTIF($F1288:$AJ1288,"CL"))</f>
        <v/>
      </c>
      <c r="AQ1288" s="34" t="str">
        <f aca="false">IF($B1288="","",COUNTIF($F1288:$AJ1288,"SL"))</f>
        <v/>
      </c>
      <c r="AR1288" s="34" t="str">
        <f aca="false">IF($B1288="","",COUNTIF($F1288:$AJ1288,"CO"))</f>
        <v/>
      </c>
      <c r="AS1288" s="34" t="str">
        <f aca="false">IF($B1288="","",COUNTIF($F1288:$AJ1288,"HPL"))</f>
        <v/>
      </c>
      <c r="AT1288" s="34" t="str">
        <f aca="false">IF($B1288="","",COUNTIF($F1288:$AJ1288,"HCL"))</f>
        <v/>
      </c>
      <c r="AU1288" s="34" t="str">
        <f aca="false">IF($B1288="","",COUNTIF($F1288:$AJ1288,"WO"))</f>
        <v/>
      </c>
      <c r="AV1288" s="34" t="str">
        <f aca="false">IF($B1288="","",COUNTIF($F1288:$AJ1288,"PH"))</f>
        <v/>
      </c>
      <c r="AW1288" s="34" t="str">
        <f aca="false">IF($B1288="","",COUNTIF($F1288:$AJ1288,"TR"))</f>
        <v/>
      </c>
      <c r="AX1288" s="35" t="str">
        <f aca="false">IF($B1288="","",AO1288+AS1288/2)</f>
        <v/>
      </c>
      <c r="AY1288" s="35" t="str">
        <f aca="false">IF($B1288="","",AQ1288)</f>
        <v/>
      </c>
      <c r="AZ1288" s="35" t="str">
        <f aca="false">IF($B1288="","",AP1288+AT1288/2)</f>
        <v/>
      </c>
      <c r="BA1288" s="35" t="str">
        <f aca="false">IF($B1288="","",AK1288+AN1288+AM1288/2+AO1288+AP1288+AQ1288+AR1288+AS1288+AT1288+AU1288+AV1288+AW1288)</f>
        <v/>
      </c>
      <c r="BB1288" s="35" t="str">
        <f aca="false">IF($B1288="","",MAX(0,AN1288-Settings!$C$16)*Settings!$C$17)</f>
        <v/>
      </c>
      <c r="BC1288" s="35" t="str">
        <f aca="false">IF($B1288="","",BA1288-BB1288)</f>
        <v/>
      </c>
      <c r="BD1288" s="35" t="str">
        <f aca="false">IF(OR($B1288="",$A1288=""),"",DAY(EOMONTH($A1288,0))-COUNTA($F1288:$AJ1288))</f>
        <v/>
      </c>
    </row>
    <row r="1289" customFormat="false" ht="15" hidden="false" customHeight="false" outlineLevel="0" collapsed="false">
      <c r="A1289" s="32"/>
      <c r="B1289" s="29"/>
      <c r="C1289" s="10" t="str">
        <f aca="false">IF($B1289="","",IFERROR(INDEX(M_name,MATCH($B1289,M_emp,0)),"Code not found"))</f>
        <v/>
      </c>
      <c r="D1289" s="10" t="str">
        <f aca="false">IF($B1289="","",IFERROR(INDEX(M_dept,MATCH($B1289,M_emp,0)),""))</f>
        <v/>
      </c>
      <c r="E1289" s="10" t="str">
        <f aca="false">IF($B1289="","",IFERROR(INDEX(M_loc,MATCH($B1289,M_emp,0)),""))</f>
        <v/>
      </c>
      <c r="F1289" s="33"/>
      <c r="G1289" s="33"/>
      <c r="H1289" s="33"/>
      <c r="I1289" s="33"/>
      <c r="J1289" s="33"/>
      <c r="K1289" s="33"/>
      <c r="L1289" s="33"/>
      <c r="M1289" s="33"/>
      <c r="N1289" s="33"/>
      <c r="O1289" s="33"/>
      <c r="P1289" s="33"/>
      <c r="Q1289" s="33"/>
      <c r="R1289" s="33"/>
      <c r="S1289" s="33"/>
      <c r="T1289" s="33"/>
      <c r="U1289" s="33"/>
      <c r="V1289" s="33"/>
      <c r="W1289" s="33"/>
      <c r="X1289" s="33"/>
      <c r="Y1289" s="33"/>
      <c r="Z1289" s="33"/>
      <c r="AA1289" s="33"/>
      <c r="AB1289" s="33"/>
      <c r="AC1289" s="33"/>
      <c r="AD1289" s="33"/>
      <c r="AE1289" s="33"/>
      <c r="AF1289" s="33"/>
      <c r="AG1289" s="33"/>
      <c r="AH1289" s="33"/>
      <c r="AI1289" s="33"/>
      <c r="AJ1289" s="33"/>
      <c r="AK1289" s="34" t="str">
        <f aca="false">IF($B1289="","",COUNTIF($F1289:$AJ1289,"P"))</f>
        <v/>
      </c>
      <c r="AL1289" s="34" t="str">
        <f aca="false">IF($B1289="","",COUNTIF($F1289:$AJ1289,"A"))</f>
        <v/>
      </c>
      <c r="AM1289" s="34" t="str">
        <f aca="false">IF($B1289="","",COUNTIF($F1289:$AJ1289,"HA"))</f>
        <v/>
      </c>
      <c r="AN1289" s="34" t="str">
        <f aca="false">IF($B1289="","",COUNTIF($F1289:$AJ1289,"L"))</f>
        <v/>
      </c>
      <c r="AO1289" s="34" t="str">
        <f aca="false">IF($B1289="","",COUNTIF($F1289:$AJ1289,"PL"))</f>
        <v/>
      </c>
      <c r="AP1289" s="34" t="str">
        <f aca="false">IF($B1289="","",COUNTIF($F1289:$AJ1289,"CL"))</f>
        <v/>
      </c>
      <c r="AQ1289" s="34" t="str">
        <f aca="false">IF($B1289="","",COUNTIF($F1289:$AJ1289,"SL"))</f>
        <v/>
      </c>
      <c r="AR1289" s="34" t="str">
        <f aca="false">IF($B1289="","",COUNTIF($F1289:$AJ1289,"CO"))</f>
        <v/>
      </c>
      <c r="AS1289" s="34" t="str">
        <f aca="false">IF($B1289="","",COUNTIF($F1289:$AJ1289,"HPL"))</f>
        <v/>
      </c>
      <c r="AT1289" s="34" t="str">
        <f aca="false">IF($B1289="","",COUNTIF($F1289:$AJ1289,"HCL"))</f>
        <v/>
      </c>
      <c r="AU1289" s="34" t="str">
        <f aca="false">IF($B1289="","",COUNTIF($F1289:$AJ1289,"WO"))</f>
        <v/>
      </c>
      <c r="AV1289" s="34" t="str">
        <f aca="false">IF($B1289="","",COUNTIF($F1289:$AJ1289,"PH"))</f>
        <v/>
      </c>
      <c r="AW1289" s="34" t="str">
        <f aca="false">IF($B1289="","",COUNTIF($F1289:$AJ1289,"TR"))</f>
        <v/>
      </c>
      <c r="AX1289" s="35" t="str">
        <f aca="false">IF($B1289="","",AO1289+AS1289/2)</f>
        <v/>
      </c>
      <c r="AY1289" s="35" t="str">
        <f aca="false">IF($B1289="","",AQ1289)</f>
        <v/>
      </c>
      <c r="AZ1289" s="35" t="str">
        <f aca="false">IF($B1289="","",AP1289+AT1289/2)</f>
        <v/>
      </c>
      <c r="BA1289" s="35" t="str">
        <f aca="false">IF($B1289="","",AK1289+AN1289+AM1289/2+AO1289+AP1289+AQ1289+AR1289+AS1289+AT1289+AU1289+AV1289+AW1289)</f>
        <v/>
      </c>
      <c r="BB1289" s="35" t="str">
        <f aca="false">IF($B1289="","",MAX(0,AN1289-Settings!$C$16)*Settings!$C$17)</f>
        <v/>
      </c>
      <c r="BC1289" s="35" t="str">
        <f aca="false">IF($B1289="","",BA1289-BB1289)</f>
        <v/>
      </c>
      <c r="BD1289" s="35" t="str">
        <f aca="false">IF(OR($B1289="",$A1289=""),"",DAY(EOMONTH($A1289,0))-COUNTA($F1289:$AJ1289))</f>
        <v/>
      </c>
    </row>
    <row r="1290" customFormat="false" ht="15" hidden="false" customHeight="false" outlineLevel="0" collapsed="false">
      <c r="A1290" s="32"/>
      <c r="B1290" s="29"/>
      <c r="C1290" s="10" t="str">
        <f aca="false">IF($B1290="","",IFERROR(INDEX(M_name,MATCH($B1290,M_emp,0)),"Code not found"))</f>
        <v/>
      </c>
      <c r="D1290" s="10" t="str">
        <f aca="false">IF($B1290="","",IFERROR(INDEX(M_dept,MATCH($B1290,M_emp,0)),""))</f>
        <v/>
      </c>
      <c r="E1290" s="10" t="str">
        <f aca="false">IF($B1290="","",IFERROR(INDEX(M_loc,MATCH($B1290,M_emp,0)),""))</f>
        <v/>
      </c>
      <c r="F1290" s="33"/>
      <c r="G1290" s="33"/>
      <c r="H1290" s="33"/>
      <c r="I1290" s="33"/>
      <c r="J1290" s="33"/>
      <c r="K1290" s="33"/>
      <c r="L1290" s="33"/>
      <c r="M1290" s="33"/>
      <c r="N1290" s="33"/>
      <c r="O1290" s="33"/>
      <c r="P1290" s="33"/>
      <c r="Q1290" s="33"/>
      <c r="R1290" s="33"/>
      <c r="S1290" s="33"/>
      <c r="T1290" s="33"/>
      <c r="U1290" s="33"/>
      <c r="V1290" s="33"/>
      <c r="W1290" s="33"/>
      <c r="X1290" s="33"/>
      <c r="Y1290" s="33"/>
      <c r="Z1290" s="33"/>
      <c r="AA1290" s="33"/>
      <c r="AB1290" s="33"/>
      <c r="AC1290" s="33"/>
      <c r="AD1290" s="33"/>
      <c r="AE1290" s="33"/>
      <c r="AF1290" s="33"/>
      <c r="AG1290" s="33"/>
      <c r="AH1290" s="33"/>
      <c r="AI1290" s="33"/>
      <c r="AJ1290" s="33"/>
      <c r="AK1290" s="34" t="str">
        <f aca="false">IF($B1290="","",COUNTIF($F1290:$AJ1290,"P"))</f>
        <v/>
      </c>
      <c r="AL1290" s="34" t="str">
        <f aca="false">IF($B1290="","",COUNTIF($F1290:$AJ1290,"A"))</f>
        <v/>
      </c>
      <c r="AM1290" s="34" t="str">
        <f aca="false">IF($B1290="","",COUNTIF($F1290:$AJ1290,"HA"))</f>
        <v/>
      </c>
      <c r="AN1290" s="34" t="str">
        <f aca="false">IF($B1290="","",COUNTIF($F1290:$AJ1290,"L"))</f>
        <v/>
      </c>
      <c r="AO1290" s="34" t="str">
        <f aca="false">IF($B1290="","",COUNTIF($F1290:$AJ1290,"PL"))</f>
        <v/>
      </c>
      <c r="AP1290" s="34" t="str">
        <f aca="false">IF($B1290="","",COUNTIF($F1290:$AJ1290,"CL"))</f>
        <v/>
      </c>
      <c r="AQ1290" s="34" t="str">
        <f aca="false">IF($B1290="","",COUNTIF($F1290:$AJ1290,"SL"))</f>
        <v/>
      </c>
      <c r="AR1290" s="34" t="str">
        <f aca="false">IF($B1290="","",COUNTIF($F1290:$AJ1290,"CO"))</f>
        <v/>
      </c>
      <c r="AS1290" s="34" t="str">
        <f aca="false">IF($B1290="","",COUNTIF($F1290:$AJ1290,"HPL"))</f>
        <v/>
      </c>
      <c r="AT1290" s="34" t="str">
        <f aca="false">IF($B1290="","",COUNTIF($F1290:$AJ1290,"HCL"))</f>
        <v/>
      </c>
      <c r="AU1290" s="34" t="str">
        <f aca="false">IF($B1290="","",COUNTIF($F1290:$AJ1290,"WO"))</f>
        <v/>
      </c>
      <c r="AV1290" s="34" t="str">
        <f aca="false">IF($B1290="","",COUNTIF($F1290:$AJ1290,"PH"))</f>
        <v/>
      </c>
      <c r="AW1290" s="34" t="str">
        <f aca="false">IF($B1290="","",COUNTIF($F1290:$AJ1290,"TR"))</f>
        <v/>
      </c>
      <c r="AX1290" s="35" t="str">
        <f aca="false">IF($B1290="","",AO1290+AS1290/2)</f>
        <v/>
      </c>
      <c r="AY1290" s="35" t="str">
        <f aca="false">IF($B1290="","",AQ1290)</f>
        <v/>
      </c>
      <c r="AZ1290" s="35" t="str">
        <f aca="false">IF($B1290="","",AP1290+AT1290/2)</f>
        <v/>
      </c>
      <c r="BA1290" s="35" t="str">
        <f aca="false">IF($B1290="","",AK1290+AN1290+AM1290/2+AO1290+AP1290+AQ1290+AR1290+AS1290+AT1290+AU1290+AV1290+AW1290)</f>
        <v/>
      </c>
      <c r="BB1290" s="35" t="str">
        <f aca="false">IF($B1290="","",MAX(0,AN1290-Settings!$C$16)*Settings!$C$17)</f>
        <v/>
      </c>
      <c r="BC1290" s="35" t="str">
        <f aca="false">IF($B1290="","",BA1290-BB1290)</f>
        <v/>
      </c>
      <c r="BD1290" s="35" t="str">
        <f aca="false">IF(OR($B1290="",$A1290=""),"",DAY(EOMONTH($A1290,0))-COUNTA($F1290:$AJ1290))</f>
        <v/>
      </c>
    </row>
    <row r="1291" customFormat="false" ht="15" hidden="false" customHeight="false" outlineLevel="0" collapsed="false">
      <c r="A1291" s="32"/>
      <c r="B1291" s="29"/>
      <c r="C1291" s="10" t="str">
        <f aca="false">IF($B1291="","",IFERROR(INDEX(M_name,MATCH($B1291,M_emp,0)),"Code not found"))</f>
        <v/>
      </c>
      <c r="D1291" s="10" t="str">
        <f aca="false">IF($B1291="","",IFERROR(INDEX(M_dept,MATCH($B1291,M_emp,0)),""))</f>
        <v/>
      </c>
      <c r="E1291" s="10" t="str">
        <f aca="false">IF($B1291="","",IFERROR(INDEX(M_loc,MATCH($B1291,M_emp,0)),""))</f>
        <v/>
      </c>
      <c r="F1291" s="33"/>
      <c r="G1291" s="33"/>
      <c r="H1291" s="33"/>
      <c r="I1291" s="33"/>
      <c r="J1291" s="33"/>
      <c r="K1291" s="33"/>
      <c r="L1291" s="33"/>
      <c r="M1291" s="33"/>
      <c r="N1291" s="33"/>
      <c r="O1291" s="33"/>
      <c r="P1291" s="33"/>
      <c r="Q1291" s="33"/>
      <c r="R1291" s="33"/>
      <c r="S1291" s="33"/>
      <c r="T1291" s="33"/>
      <c r="U1291" s="33"/>
      <c r="V1291" s="33"/>
      <c r="W1291" s="33"/>
      <c r="X1291" s="33"/>
      <c r="Y1291" s="33"/>
      <c r="Z1291" s="33"/>
      <c r="AA1291" s="33"/>
      <c r="AB1291" s="33"/>
      <c r="AC1291" s="33"/>
      <c r="AD1291" s="33"/>
      <c r="AE1291" s="33"/>
      <c r="AF1291" s="33"/>
      <c r="AG1291" s="33"/>
      <c r="AH1291" s="33"/>
      <c r="AI1291" s="33"/>
      <c r="AJ1291" s="33"/>
      <c r="AK1291" s="34" t="str">
        <f aca="false">IF($B1291="","",COUNTIF($F1291:$AJ1291,"P"))</f>
        <v/>
      </c>
      <c r="AL1291" s="34" t="str">
        <f aca="false">IF($B1291="","",COUNTIF($F1291:$AJ1291,"A"))</f>
        <v/>
      </c>
      <c r="AM1291" s="34" t="str">
        <f aca="false">IF($B1291="","",COUNTIF($F1291:$AJ1291,"HA"))</f>
        <v/>
      </c>
      <c r="AN1291" s="34" t="str">
        <f aca="false">IF($B1291="","",COUNTIF($F1291:$AJ1291,"L"))</f>
        <v/>
      </c>
      <c r="AO1291" s="34" t="str">
        <f aca="false">IF($B1291="","",COUNTIF($F1291:$AJ1291,"PL"))</f>
        <v/>
      </c>
      <c r="AP1291" s="34" t="str">
        <f aca="false">IF($B1291="","",COUNTIF($F1291:$AJ1291,"CL"))</f>
        <v/>
      </c>
      <c r="AQ1291" s="34" t="str">
        <f aca="false">IF($B1291="","",COUNTIF($F1291:$AJ1291,"SL"))</f>
        <v/>
      </c>
      <c r="AR1291" s="34" t="str">
        <f aca="false">IF($B1291="","",COUNTIF($F1291:$AJ1291,"CO"))</f>
        <v/>
      </c>
      <c r="AS1291" s="34" t="str">
        <f aca="false">IF($B1291="","",COUNTIF($F1291:$AJ1291,"HPL"))</f>
        <v/>
      </c>
      <c r="AT1291" s="34" t="str">
        <f aca="false">IF($B1291="","",COUNTIF($F1291:$AJ1291,"HCL"))</f>
        <v/>
      </c>
      <c r="AU1291" s="34" t="str">
        <f aca="false">IF($B1291="","",COUNTIF($F1291:$AJ1291,"WO"))</f>
        <v/>
      </c>
      <c r="AV1291" s="34" t="str">
        <f aca="false">IF($B1291="","",COUNTIF($F1291:$AJ1291,"PH"))</f>
        <v/>
      </c>
      <c r="AW1291" s="34" t="str">
        <f aca="false">IF($B1291="","",COUNTIF($F1291:$AJ1291,"TR"))</f>
        <v/>
      </c>
      <c r="AX1291" s="35" t="str">
        <f aca="false">IF($B1291="","",AO1291+AS1291/2)</f>
        <v/>
      </c>
      <c r="AY1291" s="35" t="str">
        <f aca="false">IF($B1291="","",AQ1291)</f>
        <v/>
      </c>
      <c r="AZ1291" s="35" t="str">
        <f aca="false">IF($B1291="","",AP1291+AT1291/2)</f>
        <v/>
      </c>
      <c r="BA1291" s="35" t="str">
        <f aca="false">IF($B1291="","",AK1291+AN1291+AM1291/2+AO1291+AP1291+AQ1291+AR1291+AS1291+AT1291+AU1291+AV1291+AW1291)</f>
        <v/>
      </c>
      <c r="BB1291" s="35" t="str">
        <f aca="false">IF($B1291="","",MAX(0,AN1291-Settings!$C$16)*Settings!$C$17)</f>
        <v/>
      </c>
      <c r="BC1291" s="35" t="str">
        <f aca="false">IF($B1291="","",BA1291-BB1291)</f>
        <v/>
      </c>
      <c r="BD1291" s="35" t="str">
        <f aca="false">IF(OR($B1291="",$A1291=""),"",DAY(EOMONTH($A1291,0))-COUNTA($F1291:$AJ1291))</f>
        <v/>
      </c>
    </row>
    <row r="1292" customFormat="false" ht="15" hidden="false" customHeight="false" outlineLevel="0" collapsed="false">
      <c r="A1292" s="32"/>
      <c r="B1292" s="29"/>
      <c r="C1292" s="10" t="str">
        <f aca="false">IF($B1292="","",IFERROR(INDEX(M_name,MATCH($B1292,M_emp,0)),"Code not found"))</f>
        <v/>
      </c>
      <c r="D1292" s="10" t="str">
        <f aca="false">IF($B1292="","",IFERROR(INDEX(M_dept,MATCH($B1292,M_emp,0)),""))</f>
        <v/>
      </c>
      <c r="E1292" s="10" t="str">
        <f aca="false">IF($B1292="","",IFERROR(INDEX(M_loc,MATCH($B1292,M_emp,0)),""))</f>
        <v/>
      </c>
      <c r="F1292" s="33"/>
      <c r="G1292" s="33"/>
      <c r="H1292" s="33"/>
      <c r="I1292" s="33"/>
      <c r="J1292" s="33"/>
      <c r="K1292" s="33"/>
      <c r="L1292" s="33"/>
      <c r="M1292" s="33"/>
      <c r="N1292" s="33"/>
      <c r="O1292" s="33"/>
      <c r="P1292" s="33"/>
      <c r="Q1292" s="33"/>
      <c r="R1292" s="33"/>
      <c r="S1292" s="33"/>
      <c r="T1292" s="33"/>
      <c r="U1292" s="33"/>
      <c r="V1292" s="33"/>
      <c r="W1292" s="33"/>
      <c r="X1292" s="33"/>
      <c r="Y1292" s="33"/>
      <c r="Z1292" s="33"/>
      <c r="AA1292" s="33"/>
      <c r="AB1292" s="33"/>
      <c r="AC1292" s="33"/>
      <c r="AD1292" s="33"/>
      <c r="AE1292" s="33"/>
      <c r="AF1292" s="33"/>
      <c r="AG1292" s="33"/>
      <c r="AH1292" s="33"/>
      <c r="AI1292" s="33"/>
      <c r="AJ1292" s="33"/>
      <c r="AK1292" s="34" t="str">
        <f aca="false">IF($B1292="","",COUNTIF($F1292:$AJ1292,"P"))</f>
        <v/>
      </c>
      <c r="AL1292" s="34" t="str">
        <f aca="false">IF($B1292="","",COUNTIF($F1292:$AJ1292,"A"))</f>
        <v/>
      </c>
      <c r="AM1292" s="34" t="str">
        <f aca="false">IF($B1292="","",COUNTIF($F1292:$AJ1292,"HA"))</f>
        <v/>
      </c>
      <c r="AN1292" s="34" t="str">
        <f aca="false">IF($B1292="","",COUNTIF($F1292:$AJ1292,"L"))</f>
        <v/>
      </c>
      <c r="AO1292" s="34" t="str">
        <f aca="false">IF($B1292="","",COUNTIF($F1292:$AJ1292,"PL"))</f>
        <v/>
      </c>
      <c r="AP1292" s="34" t="str">
        <f aca="false">IF($B1292="","",COUNTIF($F1292:$AJ1292,"CL"))</f>
        <v/>
      </c>
      <c r="AQ1292" s="34" t="str">
        <f aca="false">IF($B1292="","",COUNTIF($F1292:$AJ1292,"SL"))</f>
        <v/>
      </c>
      <c r="AR1292" s="34" t="str">
        <f aca="false">IF($B1292="","",COUNTIF($F1292:$AJ1292,"CO"))</f>
        <v/>
      </c>
      <c r="AS1292" s="34" t="str">
        <f aca="false">IF($B1292="","",COUNTIF($F1292:$AJ1292,"HPL"))</f>
        <v/>
      </c>
      <c r="AT1292" s="34" t="str">
        <f aca="false">IF($B1292="","",COUNTIF($F1292:$AJ1292,"HCL"))</f>
        <v/>
      </c>
      <c r="AU1292" s="34" t="str">
        <f aca="false">IF($B1292="","",COUNTIF($F1292:$AJ1292,"WO"))</f>
        <v/>
      </c>
      <c r="AV1292" s="34" t="str">
        <f aca="false">IF($B1292="","",COUNTIF($F1292:$AJ1292,"PH"))</f>
        <v/>
      </c>
      <c r="AW1292" s="34" t="str">
        <f aca="false">IF($B1292="","",COUNTIF($F1292:$AJ1292,"TR"))</f>
        <v/>
      </c>
      <c r="AX1292" s="35" t="str">
        <f aca="false">IF($B1292="","",AO1292+AS1292/2)</f>
        <v/>
      </c>
      <c r="AY1292" s="35" t="str">
        <f aca="false">IF($B1292="","",AQ1292)</f>
        <v/>
      </c>
      <c r="AZ1292" s="35" t="str">
        <f aca="false">IF($B1292="","",AP1292+AT1292/2)</f>
        <v/>
      </c>
      <c r="BA1292" s="35" t="str">
        <f aca="false">IF($B1292="","",AK1292+AN1292+AM1292/2+AO1292+AP1292+AQ1292+AR1292+AS1292+AT1292+AU1292+AV1292+AW1292)</f>
        <v/>
      </c>
      <c r="BB1292" s="35" t="str">
        <f aca="false">IF($B1292="","",MAX(0,AN1292-Settings!$C$16)*Settings!$C$17)</f>
        <v/>
      </c>
      <c r="BC1292" s="35" t="str">
        <f aca="false">IF($B1292="","",BA1292-BB1292)</f>
        <v/>
      </c>
      <c r="BD1292" s="35" t="str">
        <f aca="false">IF(OR($B1292="",$A1292=""),"",DAY(EOMONTH($A1292,0))-COUNTA($F1292:$AJ1292))</f>
        <v/>
      </c>
    </row>
    <row r="1293" customFormat="false" ht="15" hidden="false" customHeight="false" outlineLevel="0" collapsed="false">
      <c r="A1293" s="32"/>
      <c r="B1293" s="29"/>
      <c r="C1293" s="10" t="str">
        <f aca="false">IF($B1293="","",IFERROR(INDEX(M_name,MATCH($B1293,M_emp,0)),"Code not found"))</f>
        <v/>
      </c>
      <c r="D1293" s="10" t="str">
        <f aca="false">IF($B1293="","",IFERROR(INDEX(M_dept,MATCH($B1293,M_emp,0)),""))</f>
        <v/>
      </c>
      <c r="E1293" s="10" t="str">
        <f aca="false">IF($B1293="","",IFERROR(INDEX(M_loc,MATCH($B1293,M_emp,0)),""))</f>
        <v/>
      </c>
      <c r="F1293" s="33"/>
      <c r="G1293" s="33"/>
      <c r="H1293" s="33"/>
      <c r="I1293" s="33"/>
      <c r="J1293" s="33"/>
      <c r="K1293" s="33"/>
      <c r="L1293" s="33"/>
      <c r="M1293" s="33"/>
      <c r="N1293" s="33"/>
      <c r="O1293" s="33"/>
      <c r="P1293" s="33"/>
      <c r="Q1293" s="33"/>
      <c r="R1293" s="33"/>
      <c r="S1293" s="33"/>
      <c r="T1293" s="33"/>
      <c r="U1293" s="33"/>
      <c r="V1293" s="33"/>
      <c r="W1293" s="33"/>
      <c r="X1293" s="33"/>
      <c r="Y1293" s="33"/>
      <c r="Z1293" s="33"/>
      <c r="AA1293" s="33"/>
      <c r="AB1293" s="33"/>
      <c r="AC1293" s="33"/>
      <c r="AD1293" s="33"/>
      <c r="AE1293" s="33"/>
      <c r="AF1293" s="33"/>
      <c r="AG1293" s="33"/>
      <c r="AH1293" s="33"/>
      <c r="AI1293" s="33"/>
      <c r="AJ1293" s="33"/>
      <c r="AK1293" s="34" t="str">
        <f aca="false">IF($B1293="","",COUNTIF($F1293:$AJ1293,"P"))</f>
        <v/>
      </c>
      <c r="AL1293" s="34" t="str">
        <f aca="false">IF($B1293="","",COUNTIF($F1293:$AJ1293,"A"))</f>
        <v/>
      </c>
      <c r="AM1293" s="34" t="str">
        <f aca="false">IF($B1293="","",COUNTIF($F1293:$AJ1293,"HA"))</f>
        <v/>
      </c>
      <c r="AN1293" s="34" t="str">
        <f aca="false">IF($B1293="","",COUNTIF($F1293:$AJ1293,"L"))</f>
        <v/>
      </c>
      <c r="AO1293" s="34" t="str">
        <f aca="false">IF($B1293="","",COUNTIF($F1293:$AJ1293,"PL"))</f>
        <v/>
      </c>
      <c r="AP1293" s="34" t="str">
        <f aca="false">IF($B1293="","",COUNTIF($F1293:$AJ1293,"CL"))</f>
        <v/>
      </c>
      <c r="AQ1293" s="34" t="str">
        <f aca="false">IF($B1293="","",COUNTIF($F1293:$AJ1293,"SL"))</f>
        <v/>
      </c>
      <c r="AR1293" s="34" t="str">
        <f aca="false">IF($B1293="","",COUNTIF($F1293:$AJ1293,"CO"))</f>
        <v/>
      </c>
      <c r="AS1293" s="34" t="str">
        <f aca="false">IF($B1293="","",COUNTIF($F1293:$AJ1293,"HPL"))</f>
        <v/>
      </c>
      <c r="AT1293" s="34" t="str">
        <f aca="false">IF($B1293="","",COUNTIF($F1293:$AJ1293,"HCL"))</f>
        <v/>
      </c>
      <c r="AU1293" s="34" t="str">
        <f aca="false">IF($B1293="","",COUNTIF($F1293:$AJ1293,"WO"))</f>
        <v/>
      </c>
      <c r="AV1293" s="34" t="str">
        <f aca="false">IF($B1293="","",COUNTIF($F1293:$AJ1293,"PH"))</f>
        <v/>
      </c>
      <c r="AW1293" s="34" t="str">
        <f aca="false">IF($B1293="","",COUNTIF($F1293:$AJ1293,"TR"))</f>
        <v/>
      </c>
      <c r="AX1293" s="35" t="str">
        <f aca="false">IF($B1293="","",AO1293+AS1293/2)</f>
        <v/>
      </c>
      <c r="AY1293" s="35" t="str">
        <f aca="false">IF($B1293="","",AQ1293)</f>
        <v/>
      </c>
      <c r="AZ1293" s="35" t="str">
        <f aca="false">IF($B1293="","",AP1293+AT1293/2)</f>
        <v/>
      </c>
      <c r="BA1293" s="35" t="str">
        <f aca="false">IF($B1293="","",AK1293+AN1293+AM1293/2+AO1293+AP1293+AQ1293+AR1293+AS1293+AT1293+AU1293+AV1293+AW1293)</f>
        <v/>
      </c>
      <c r="BB1293" s="35" t="str">
        <f aca="false">IF($B1293="","",MAX(0,AN1293-Settings!$C$16)*Settings!$C$17)</f>
        <v/>
      </c>
      <c r="BC1293" s="35" t="str">
        <f aca="false">IF($B1293="","",BA1293-BB1293)</f>
        <v/>
      </c>
      <c r="BD1293" s="35" t="str">
        <f aca="false">IF(OR($B1293="",$A1293=""),"",DAY(EOMONTH($A1293,0))-COUNTA($F1293:$AJ1293))</f>
        <v/>
      </c>
    </row>
    <row r="1294" customFormat="false" ht="15" hidden="false" customHeight="false" outlineLevel="0" collapsed="false">
      <c r="A1294" s="32"/>
      <c r="B1294" s="29"/>
      <c r="C1294" s="10" t="str">
        <f aca="false">IF($B1294="","",IFERROR(INDEX(M_name,MATCH($B1294,M_emp,0)),"Code not found"))</f>
        <v/>
      </c>
      <c r="D1294" s="10" t="str">
        <f aca="false">IF($B1294="","",IFERROR(INDEX(M_dept,MATCH($B1294,M_emp,0)),""))</f>
        <v/>
      </c>
      <c r="E1294" s="10" t="str">
        <f aca="false">IF($B1294="","",IFERROR(INDEX(M_loc,MATCH($B1294,M_emp,0)),""))</f>
        <v/>
      </c>
      <c r="F1294" s="33"/>
      <c r="G1294" s="33"/>
      <c r="H1294" s="33"/>
      <c r="I1294" s="33"/>
      <c r="J1294" s="33"/>
      <c r="K1294" s="33"/>
      <c r="L1294" s="33"/>
      <c r="M1294" s="33"/>
      <c r="N1294" s="33"/>
      <c r="O1294" s="33"/>
      <c r="P1294" s="33"/>
      <c r="Q1294" s="33"/>
      <c r="R1294" s="33"/>
      <c r="S1294" s="33"/>
      <c r="T1294" s="33"/>
      <c r="U1294" s="33"/>
      <c r="V1294" s="33"/>
      <c r="W1294" s="33"/>
      <c r="X1294" s="33"/>
      <c r="Y1294" s="33"/>
      <c r="Z1294" s="33"/>
      <c r="AA1294" s="33"/>
      <c r="AB1294" s="33"/>
      <c r="AC1294" s="33"/>
      <c r="AD1294" s="33"/>
      <c r="AE1294" s="33"/>
      <c r="AF1294" s="33"/>
      <c r="AG1294" s="33"/>
      <c r="AH1294" s="33"/>
      <c r="AI1294" s="33"/>
      <c r="AJ1294" s="33"/>
      <c r="AK1294" s="34" t="str">
        <f aca="false">IF($B1294="","",COUNTIF($F1294:$AJ1294,"P"))</f>
        <v/>
      </c>
      <c r="AL1294" s="34" t="str">
        <f aca="false">IF($B1294="","",COUNTIF($F1294:$AJ1294,"A"))</f>
        <v/>
      </c>
      <c r="AM1294" s="34" t="str">
        <f aca="false">IF($B1294="","",COUNTIF($F1294:$AJ1294,"HA"))</f>
        <v/>
      </c>
      <c r="AN1294" s="34" t="str">
        <f aca="false">IF($B1294="","",COUNTIF($F1294:$AJ1294,"L"))</f>
        <v/>
      </c>
      <c r="AO1294" s="34" t="str">
        <f aca="false">IF($B1294="","",COUNTIF($F1294:$AJ1294,"PL"))</f>
        <v/>
      </c>
      <c r="AP1294" s="34" t="str">
        <f aca="false">IF($B1294="","",COUNTIF($F1294:$AJ1294,"CL"))</f>
        <v/>
      </c>
      <c r="AQ1294" s="34" t="str">
        <f aca="false">IF($B1294="","",COUNTIF($F1294:$AJ1294,"SL"))</f>
        <v/>
      </c>
      <c r="AR1294" s="34" t="str">
        <f aca="false">IF($B1294="","",COUNTIF($F1294:$AJ1294,"CO"))</f>
        <v/>
      </c>
      <c r="AS1294" s="34" t="str">
        <f aca="false">IF($B1294="","",COUNTIF($F1294:$AJ1294,"HPL"))</f>
        <v/>
      </c>
      <c r="AT1294" s="34" t="str">
        <f aca="false">IF($B1294="","",COUNTIF($F1294:$AJ1294,"HCL"))</f>
        <v/>
      </c>
      <c r="AU1294" s="34" t="str">
        <f aca="false">IF($B1294="","",COUNTIF($F1294:$AJ1294,"WO"))</f>
        <v/>
      </c>
      <c r="AV1294" s="34" t="str">
        <f aca="false">IF($B1294="","",COUNTIF($F1294:$AJ1294,"PH"))</f>
        <v/>
      </c>
      <c r="AW1294" s="34" t="str">
        <f aca="false">IF($B1294="","",COUNTIF($F1294:$AJ1294,"TR"))</f>
        <v/>
      </c>
      <c r="AX1294" s="35" t="str">
        <f aca="false">IF($B1294="","",AO1294+AS1294/2)</f>
        <v/>
      </c>
      <c r="AY1294" s="35" t="str">
        <f aca="false">IF($B1294="","",AQ1294)</f>
        <v/>
      </c>
      <c r="AZ1294" s="35" t="str">
        <f aca="false">IF($B1294="","",AP1294+AT1294/2)</f>
        <v/>
      </c>
      <c r="BA1294" s="35" t="str">
        <f aca="false">IF($B1294="","",AK1294+AN1294+AM1294/2+AO1294+AP1294+AQ1294+AR1294+AS1294+AT1294+AU1294+AV1294+AW1294)</f>
        <v/>
      </c>
      <c r="BB1294" s="35" t="str">
        <f aca="false">IF($B1294="","",MAX(0,AN1294-Settings!$C$16)*Settings!$C$17)</f>
        <v/>
      </c>
      <c r="BC1294" s="35" t="str">
        <f aca="false">IF($B1294="","",BA1294-BB1294)</f>
        <v/>
      </c>
      <c r="BD1294" s="35" t="str">
        <f aca="false">IF(OR($B1294="",$A1294=""),"",DAY(EOMONTH($A1294,0))-COUNTA($F1294:$AJ1294))</f>
        <v/>
      </c>
    </row>
    <row r="1295" customFormat="false" ht="15" hidden="false" customHeight="false" outlineLevel="0" collapsed="false">
      <c r="A1295" s="32"/>
      <c r="B1295" s="29"/>
      <c r="C1295" s="10" t="str">
        <f aca="false">IF($B1295="","",IFERROR(INDEX(M_name,MATCH($B1295,M_emp,0)),"Code not found"))</f>
        <v/>
      </c>
      <c r="D1295" s="10" t="str">
        <f aca="false">IF($B1295="","",IFERROR(INDEX(M_dept,MATCH($B1295,M_emp,0)),""))</f>
        <v/>
      </c>
      <c r="E1295" s="10" t="str">
        <f aca="false">IF($B1295="","",IFERROR(INDEX(M_loc,MATCH($B1295,M_emp,0)),""))</f>
        <v/>
      </c>
      <c r="F1295" s="33"/>
      <c r="G1295" s="33"/>
      <c r="H1295" s="33"/>
      <c r="I1295" s="33"/>
      <c r="J1295" s="33"/>
      <c r="K1295" s="33"/>
      <c r="L1295" s="33"/>
      <c r="M1295" s="33"/>
      <c r="N1295" s="33"/>
      <c r="O1295" s="33"/>
      <c r="P1295" s="33"/>
      <c r="Q1295" s="33"/>
      <c r="R1295" s="33"/>
      <c r="S1295" s="33"/>
      <c r="T1295" s="33"/>
      <c r="U1295" s="33"/>
      <c r="V1295" s="33"/>
      <c r="W1295" s="33"/>
      <c r="X1295" s="33"/>
      <c r="Y1295" s="33"/>
      <c r="Z1295" s="33"/>
      <c r="AA1295" s="33"/>
      <c r="AB1295" s="33"/>
      <c r="AC1295" s="33"/>
      <c r="AD1295" s="33"/>
      <c r="AE1295" s="33"/>
      <c r="AF1295" s="33"/>
      <c r="AG1295" s="33"/>
      <c r="AH1295" s="33"/>
      <c r="AI1295" s="33"/>
      <c r="AJ1295" s="33"/>
      <c r="AK1295" s="34" t="str">
        <f aca="false">IF($B1295="","",COUNTIF($F1295:$AJ1295,"P"))</f>
        <v/>
      </c>
      <c r="AL1295" s="34" t="str">
        <f aca="false">IF($B1295="","",COUNTIF($F1295:$AJ1295,"A"))</f>
        <v/>
      </c>
      <c r="AM1295" s="34" t="str">
        <f aca="false">IF($B1295="","",COUNTIF($F1295:$AJ1295,"HA"))</f>
        <v/>
      </c>
      <c r="AN1295" s="34" t="str">
        <f aca="false">IF($B1295="","",COUNTIF($F1295:$AJ1295,"L"))</f>
        <v/>
      </c>
      <c r="AO1295" s="34" t="str">
        <f aca="false">IF($B1295="","",COUNTIF($F1295:$AJ1295,"PL"))</f>
        <v/>
      </c>
      <c r="AP1295" s="34" t="str">
        <f aca="false">IF($B1295="","",COUNTIF($F1295:$AJ1295,"CL"))</f>
        <v/>
      </c>
      <c r="AQ1295" s="34" t="str">
        <f aca="false">IF($B1295="","",COUNTIF($F1295:$AJ1295,"SL"))</f>
        <v/>
      </c>
      <c r="AR1295" s="34" t="str">
        <f aca="false">IF($B1295="","",COUNTIF($F1295:$AJ1295,"CO"))</f>
        <v/>
      </c>
      <c r="AS1295" s="34" t="str">
        <f aca="false">IF($B1295="","",COUNTIF($F1295:$AJ1295,"HPL"))</f>
        <v/>
      </c>
      <c r="AT1295" s="34" t="str">
        <f aca="false">IF($B1295="","",COUNTIF($F1295:$AJ1295,"HCL"))</f>
        <v/>
      </c>
      <c r="AU1295" s="34" t="str">
        <f aca="false">IF($B1295="","",COUNTIF($F1295:$AJ1295,"WO"))</f>
        <v/>
      </c>
      <c r="AV1295" s="34" t="str">
        <f aca="false">IF($B1295="","",COUNTIF($F1295:$AJ1295,"PH"))</f>
        <v/>
      </c>
      <c r="AW1295" s="34" t="str">
        <f aca="false">IF($B1295="","",COUNTIF($F1295:$AJ1295,"TR"))</f>
        <v/>
      </c>
      <c r="AX1295" s="35" t="str">
        <f aca="false">IF($B1295="","",AO1295+AS1295/2)</f>
        <v/>
      </c>
      <c r="AY1295" s="35" t="str">
        <f aca="false">IF($B1295="","",AQ1295)</f>
        <v/>
      </c>
      <c r="AZ1295" s="35" t="str">
        <f aca="false">IF($B1295="","",AP1295+AT1295/2)</f>
        <v/>
      </c>
      <c r="BA1295" s="35" t="str">
        <f aca="false">IF($B1295="","",AK1295+AN1295+AM1295/2+AO1295+AP1295+AQ1295+AR1295+AS1295+AT1295+AU1295+AV1295+AW1295)</f>
        <v/>
      </c>
      <c r="BB1295" s="35" t="str">
        <f aca="false">IF($B1295="","",MAX(0,AN1295-Settings!$C$16)*Settings!$C$17)</f>
        <v/>
      </c>
      <c r="BC1295" s="35" t="str">
        <f aca="false">IF($B1295="","",BA1295-BB1295)</f>
        <v/>
      </c>
      <c r="BD1295" s="35" t="str">
        <f aca="false">IF(OR($B1295="",$A1295=""),"",DAY(EOMONTH($A1295,0))-COUNTA($F1295:$AJ1295))</f>
        <v/>
      </c>
    </row>
    <row r="1296" customFormat="false" ht="15" hidden="false" customHeight="false" outlineLevel="0" collapsed="false">
      <c r="A1296" s="32"/>
      <c r="B1296" s="29"/>
      <c r="C1296" s="10" t="str">
        <f aca="false">IF($B1296="","",IFERROR(INDEX(M_name,MATCH($B1296,M_emp,0)),"Code not found"))</f>
        <v/>
      </c>
      <c r="D1296" s="10" t="str">
        <f aca="false">IF($B1296="","",IFERROR(INDEX(M_dept,MATCH($B1296,M_emp,0)),""))</f>
        <v/>
      </c>
      <c r="E1296" s="10" t="str">
        <f aca="false">IF($B1296="","",IFERROR(INDEX(M_loc,MATCH($B1296,M_emp,0)),""))</f>
        <v/>
      </c>
      <c r="F1296" s="33"/>
      <c r="G1296" s="33"/>
      <c r="H1296" s="33"/>
      <c r="I1296" s="33"/>
      <c r="J1296" s="33"/>
      <c r="K1296" s="33"/>
      <c r="L1296" s="33"/>
      <c r="M1296" s="33"/>
      <c r="N1296" s="33"/>
      <c r="O1296" s="33"/>
      <c r="P1296" s="33"/>
      <c r="Q1296" s="33"/>
      <c r="R1296" s="33"/>
      <c r="S1296" s="33"/>
      <c r="T1296" s="33"/>
      <c r="U1296" s="33"/>
      <c r="V1296" s="33"/>
      <c r="W1296" s="33"/>
      <c r="X1296" s="33"/>
      <c r="Y1296" s="33"/>
      <c r="Z1296" s="33"/>
      <c r="AA1296" s="33"/>
      <c r="AB1296" s="33"/>
      <c r="AC1296" s="33"/>
      <c r="AD1296" s="33"/>
      <c r="AE1296" s="33"/>
      <c r="AF1296" s="33"/>
      <c r="AG1296" s="33"/>
      <c r="AH1296" s="33"/>
      <c r="AI1296" s="33"/>
      <c r="AJ1296" s="33"/>
      <c r="AK1296" s="34" t="str">
        <f aca="false">IF($B1296="","",COUNTIF($F1296:$AJ1296,"P"))</f>
        <v/>
      </c>
      <c r="AL1296" s="34" t="str">
        <f aca="false">IF($B1296="","",COUNTIF($F1296:$AJ1296,"A"))</f>
        <v/>
      </c>
      <c r="AM1296" s="34" t="str">
        <f aca="false">IF($B1296="","",COUNTIF($F1296:$AJ1296,"HA"))</f>
        <v/>
      </c>
      <c r="AN1296" s="34" t="str">
        <f aca="false">IF($B1296="","",COUNTIF($F1296:$AJ1296,"L"))</f>
        <v/>
      </c>
      <c r="AO1296" s="34" t="str">
        <f aca="false">IF($B1296="","",COUNTIF($F1296:$AJ1296,"PL"))</f>
        <v/>
      </c>
      <c r="AP1296" s="34" t="str">
        <f aca="false">IF($B1296="","",COUNTIF($F1296:$AJ1296,"CL"))</f>
        <v/>
      </c>
      <c r="AQ1296" s="34" t="str">
        <f aca="false">IF($B1296="","",COUNTIF($F1296:$AJ1296,"SL"))</f>
        <v/>
      </c>
      <c r="AR1296" s="34" t="str">
        <f aca="false">IF($B1296="","",COUNTIF($F1296:$AJ1296,"CO"))</f>
        <v/>
      </c>
      <c r="AS1296" s="34" t="str">
        <f aca="false">IF($B1296="","",COUNTIF($F1296:$AJ1296,"HPL"))</f>
        <v/>
      </c>
      <c r="AT1296" s="34" t="str">
        <f aca="false">IF($B1296="","",COUNTIF($F1296:$AJ1296,"HCL"))</f>
        <v/>
      </c>
      <c r="AU1296" s="34" t="str">
        <f aca="false">IF($B1296="","",COUNTIF($F1296:$AJ1296,"WO"))</f>
        <v/>
      </c>
      <c r="AV1296" s="34" t="str">
        <f aca="false">IF($B1296="","",COUNTIF($F1296:$AJ1296,"PH"))</f>
        <v/>
      </c>
      <c r="AW1296" s="34" t="str">
        <f aca="false">IF($B1296="","",COUNTIF($F1296:$AJ1296,"TR"))</f>
        <v/>
      </c>
      <c r="AX1296" s="35" t="str">
        <f aca="false">IF($B1296="","",AO1296+AS1296/2)</f>
        <v/>
      </c>
      <c r="AY1296" s="35" t="str">
        <f aca="false">IF($B1296="","",AQ1296)</f>
        <v/>
      </c>
      <c r="AZ1296" s="35" t="str">
        <f aca="false">IF($B1296="","",AP1296+AT1296/2)</f>
        <v/>
      </c>
      <c r="BA1296" s="35" t="str">
        <f aca="false">IF($B1296="","",AK1296+AN1296+AM1296/2+AO1296+AP1296+AQ1296+AR1296+AS1296+AT1296+AU1296+AV1296+AW1296)</f>
        <v/>
      </c>
      <c r="BB1296" s="35" t="str">
        <f aca="false">IF($B1296="","",MAX(0,AN1296-Settings!$C$16)*Settings!$C$17)</f>
        <v/>
      </c>
      <c r="BC1296" s="35" t="str">
        <f aca="false">IF($B1296="","",BA1296-BB1296)</f>
        <v/>
      </c>
      <c r="BD1296" s="35" t="str">
        <f aca="false">IF(OR($B1296="",$A1296=""),"",DAY(EOMONTH($A1296,0))-COUNTA($F1296:$AJ1296))</f>
        <v/>
      </c>
    </row>
    <row r="1297" customFormat="false" ht="15" hidden="false" customHeight="false" outlineLevel="0" collapsed="false">
      <c r="A1297" s="32"/>
      <c r="B1297" s="29"/>
      <c r="C1297" s="10" t="str">
        <f aca="false">IF($B1297="","",IFERROR(INDEX(M_name,MATCH($B1297,M_emp,0)),"Code not found"))</f>
        <v/>
      </c>
      <c r="D1297" s="10" t="str">
        <f aca="false">IF($B1297="","",IFERROR(INDEX(M_dept,MATCH($B1297,M_emp,0)),""))</f>
        <v/>
      </c>
      <c r="E1297" s="10" t="str">
        <f aca="false">IF($B1297="","",IFERROR(INDEX(M_loc,MATCH($B1297,M_emp,0)),""))</f>
        <v/>
      </c>
      <c r="F1297" s="33"/>
      <c r="G1297" s="33"/>
      <c r="H1297" s="33"/>
      <c r="I1297" s="33"/>
      <c r="J1297" s="33"/>
      <c r="K1297" s="33"/>
      <c r="L1297" s="33"/>
      <c r="M1297" s="33"/>
      <c r="N1297" s="33"/>
      <c r="O1297" s="33"/>
      <c r="P1297" s="33"/>
      <c r="Q1297" s="33"/>
      <c r="R1297" s="33"/>
      <c r="S1297" s="33"/>
      <c r="T1297" s="33"/>
      <c r="U1297" s="33"/>
      <c r="V1297" s="33"/>
      <c r="W1297" s="33"/>
      <c r="X1297" s="33"/>
      <c r="Y1297" s="33"/>
      <c r="Z1297" s="33"/>
      <c r="AA1297" s="33"/>
      <c r="AB1297" s="33"/>
      <c r="AC1297" s="33"/>
      <c r="AD1297" s="33"/>
      <c r="AE1297" s="33"/>
      <c r="AF1297" s="33"/>
      <c r="AG1297" s="33"/>
      <c r="AH1297" s="33"/>
      <c r="AI1297" s="33"/>
      <c r="AJ1297" s="33"/>
      <c r="AK1297" s="34" t="str">
        <f aca="false">IF($B1297="","",COUNTIF($F1297:$AJ1297,"P"))</f>
        <v/>
      </c>
      <c r="AL1297" s="34" t="str">
        <f aca="false">IF($B1297="","",COUNTIF($F1297:$AJ1297,"A"))</f>
        <v/>
      </c>
      <c r="AM1297" s="34" t="str">
        <f aca="false">IF($B1297="","",COUNTIF($F1297:$AJ1297,"HA"))</f>
        <v/>
      </c>
      <c r="AN1297" s="34" t="str">
        <f aca="false">IF($B1297="","",COUNTIF($F1297:$AJ1297,"L"))</f>
        <v/>
      </c>
      <c r="AO1297" s="34" t="str">
        <f aca="false">IF($B1297="","",COUNTIF($F1297:$AJ1297,"PL"))</f>
        <v/>
      </c>
      <c r="AP1297" s="34" t="str">
        <f aca="false">IF($B1297="","",COUNTIF($F1297:$AJ1297,"CL"))</f>
        <v/>
      </c>
      <c r="AQ1297" s="34" t="str">
        <f aca="false">IF($B1297="","",COUNTIF($F1297:$AJ1297,"SL"))</f>
        <v/>
      </c>
      <c r="AR1297" s="34" t="str">
        <f aca="false">IF($B1297="","",COUNTIF($F1297:$AJ1297,"CO"))</f>
        <v/>
      </c>
      <c r="AS1297" s="34" t="str">
        <f aca="false">IF($B1297="","",COUNTIF($F1297:$AJ1297,"HPL"))</f>
        <v/>
      </c>
      <c r="AT1297" s="34" t="str">
        <f aca="false">IF($B1297="","",COUNTIF($F1297:$AJ1297,"HCL"))</f>
        <v/>
      </c>
      <c r="AU1297" s="34" t="str">
        <f aca="false">IF($B1297="","",COUNTIF($F1297:$AJ1297,"WO"))</f>
        <v/>
      </c>
      <c r="AV1297" s="34" t="str">
        <f aca="false">IF($B1297="","",COUNTIF($F1297:$AJ1297,"PH"))</f>
        <v/>
      </c>
      <c r="AW1297" s="34" t="str">
        <f aca="false">IF($B1297="","",COUNTIF($F1297:$AJ1297,"TR"))</f>
        <v/>
      </c>
      <c r="AX1297" s="35" t="str">
        <f aca="false">IF($B1297="","",AO1297+AS1297/2)</f>
        <v/>
      </c>
      <c r="AY1297" s="35" t="str">
        <f aca="false">IF($B1297="","",AQ1297)</f>
        <v/>
      </c>
      <c r="AZ1297" s="35" t="str">
        <f aca="false">IF($B1297="","",AP1297+AT1297/2)</f>
        <v/>
      </c>
      <c r="BA1297" s="35" t="str">
        <f aca="false">IF($B1297="","",AK1297+AN1297+AM1297/2+AO1297+AP1297+AQ1297+AR1297+AS1297+AT1297+AU1297+AV1297+AW1297)</f>
        <v/>
      </c>
      <c r="BB1297" s="35" t="str">
        <f aca="false">IF($B1297="","",MAX(0,AN1297-Settings!$C$16)*Settings!$C$17)</f>
        <v/>
      </c>
      <c r="BC1297" s="35" t="str">
        <f aca="false">IF($B1297="","",BA1297-BB1297)</f>
        <v/>
      </c>
      <c r="BD1297" s="35" t="str">
        <f aca="false">IF(OR($B1297="",$A1297=""),"",DAY(EOMONTH($A1297,0))-COUNTA($F1297:$AJ1297))</f>
        <v/>
      </c>
    </row>
    <row r="1298" customFormat="false" ht="15" hidden="false" customHeight="false" outlineLevel="0" collapsed="false">
      <c r="A1298" s="32"/>
      <c r="B1298" s="29"/>
      <c r="C1298" s="10" t="str">
        <f aca="false">IF($B1298="","",IFERROR(INDEX(M_name,MATCH($B1298,M_emp,0)),"Code not found"))</f>
        <v/>
      </c>
      <c r="D1298" s="10" t="str">
        <f aca="false">IF($B1298="","",IFERROR(INDEX(M_dept,MATCH($B1298,M_emp,0)),""))</f>
        <v/>
      </c>
      <c r="E1298" s="10" t="str">
        <f aca="false">IF($B1298="","",IFERROR(INDEX(M_loc,MATCH($B1298,M_emp,0)),""))</f>
        <v/>
      </c>
      <c r="F1298" s="33"/>
      <c r="G1298" s="33"/>
      <c r="H1298" s="33"/>
      <c r="I1298" s="33"/>
      <c r="J1298" s="33"/>
      <c r="K1298" s="33"/>
      <c r="L1298" s="33"/>
      <c r="M1298" s="33"/>
      <c r="N1298" s="33"/>
      <c r="O1298" s="33"/>
      <c r="P1298" s="33"/>
      <c r="Q1298" s="33"/>
      <c r="R1298" s="33"/>
      <c r="S1298" s="33"/>
      <c r="T1298" s="33"/>
      <c r="U1298" s="33"/>
      <c r="V1298" s="33"/>
      <c r="W1298" s="33"/>
      <c r="X1298" s="33"/>
      <c r="Y1298" s="33"/>
      <c r="Z1298" s="33"/>
      <c r="AA1298" s="33"/>
      <c r="AB1298" s="33"/>
      <c r="AC1298" s="33"/>
      <c r="AD1298" s="33"/>
      <c r="AE1298" s="33"/>
      <c r="AF1298" s="33"/>
      <c r="AG1298" s="33"/>
      <c r="AH1298" s="33"/>
      <c r="AI1298" s="33"/>
      <c r="AJ1298" s="33"/>
      <c r="AK1298" s="34" t="str">
        <f aca="false">IF($B1298="","",COUNTIF($F1298:$AJ1298,"P"))</f>
        <v/>
      </c>
      <c r="AL1298" s="34" t="str">
        <f aca="false">IF($B1298="","",COUNTIF($F1298:$AJ1298,"A"))</f>
        <v/>
      </c>
      <c r="AM1298" s="34" t="str">
        <f aca="false">IF($B1298="","",COUNTIF($F1298:$AJ1298,"HA"))</f>
        <v/>
      </c>
      <c r="AN1298" s="34" t="str">
        <f aca="false">IF($B1298="","",COUNTIF($F1298:$AJ1298,"L"))</f>
        <v/>
      </c>
      <c r="AO1298" s="34" t="str">
        <f aca="false">IF($B1298="","",COUNTIF($F1298:$AJ1298,"PL"))</f>
        <v/>
      </c>
      <c r="AP1298" s="34" t="str">
        <f aca="false">IF($B1298="","",COUNTIF($F1298:$AJ1298,"CL"))</f>
        <v/>
      </c>
      <c r="AQ1298" s="34" t="str">
        <f aca="false">IF($B1298="","",COUNTIF($F1298:$AJ1298,"SL"))</f>
        <v/>
      </c>
      <c r="AR1298" s="34" t="str">
        <f aca="false">IF($B1298="","",COUNTIF($F1298:$AJ1298,"CO"))</f>
        <v/>
      </c>
      <c r="AS1298" s="34" t="str">
        <f aca="false">IF($B1298="","",COUNTIF($F1298:$AJ1298,"HPL"))</f>
        <v/>
      </c>
      <c r="AT1298" s="34" t="str">
        <f aca="false">IF($B1298="","",COUNTIF($F1298:$AJ1298,"HCL"))</f>
        <v/>
      </c>
      <c r="AU1298" s="34" t="str">
        <f aca="false">IF($B1298="","",COUNTIF($F1298:$AJ1298,"WO"))</f>
        <v/>
      </c>
      <c r="AV1298" s="34" t="str">
        <f aca="false">IF($B1298="","",COUNTIF($F1298:$AJ1298,"PH"))</f>
        <v/>
      </c>
      <c r="AW1298" s="34" t="str">
        <f aca="false">IF($B1298="","",COUNTIF($F1298:$AJ1298,"TR"))</f>
        <v/>
      </c>
      <c r="AX1298" s="35" t="str">
        <f aca="false">IF($B1298="","",AO1298+AS1298/2)</f>
        <v/>
      </c>
      <c r="AY1298" s="35" t="str">
        <f aca="false">IF($B1298="","",AQ1298)</f>
        <v/>
      </c>
      <c r="AZ1298" s="35" t="str">
        <f aca="false">IF($B1298="","",AP1298+AT1298/2)</f>
        <v/>
      </c>
      <c r="BA1298" s="35" t="str">
        <f aca="false">IF($B1298="","",AK1298+AN1298+AM1298/2+AO1298+AP1298+AQ1298+AR1298+AS1298+AT1298+AU1298+AV1298+AW1298)</f>
        <v/>
      </c>
      <c r="BB1298" s="35" t="str">
        <f aca="false">IF($B1298="","",MAX(0,AN1298-Settings!$C$16)*Settings!$C$17)</f>
        <v/>
      </c>
      <c r="BC1298" s="35" t="str">
        <f aca="false">IF($B1298="","",BA1298-BB1298)</f>
        <v/>
      </c>
      <c r="BD1298" s="35" t="str">
        <f aca="false">IF(OR($B1298="",$A1298=""),"",DAY(EOMONTH($A1298,0))-COUNTA($F1298:$AJ1298))</f>
        <v/>
      </c>
    </row>
    <row r="1299" customFormat="false" ht="15" hidden="false" customHeight="false" outlineLevel="0" collapsed="false">
      <c r="A1299" s="32"/>
      <c r="B1299" s="29"/>
      <c r="C1299" s="10" t="str">
        <f aca="false">IF($B1299="","",IFERROR(INDEX(M_name,MATCH($B1299,M_emp,0)),"Code not found"))</f>
        <v/>
      </c>
      <c r="D1299" s="10" t="str">
        <f aca="false">IF($B1299="","",IFERROR(INDEX(M_dept,MATCH($B1299,M_emp,0)),""))</f>
        <v/>
      </c>
      <c r="E1299" s="10" t="str">
        <f aca="false">IF($B1299="","",IFERROR(INDEX(M_loc,MATCH($B1299,M_emp,0)),""))</f>
        <v/>
      </c>
      <c r="F1299" s="33"/>
      <c r="G1299" s="33"/>
      <c r="H1299" s="33"/>
      <c r="I1299" s="33"/>
      <c r="J1299" s="33"/>
      <c r="K1299" s="33"/>
      <c r="L1299" s="33"/>
      <c r="M1299" s="33"/>
      <c r="N1299" s="33"/>
      <c r="O1299" s="33"/>
      <c r="P1299" s="33"/>
      <c r="Q1299" s="33"/>
      <c r="R1299" s="33"/>
      <c r="S1299" s="33"/>
      <c r="T1299" s="33"/>
      <c r="U1299" s="33"/>
      <c r="V1299" s="33"/>
      <c r="W1299" s="33"/>
      <c r="X1299" s="33"/>
      <c r="Y1299" s="33"/>
      <c r="Z1299" s="33"/>
      <c r="AA1299" s="33"/>
      <c r="AB1299" s="33"/>
      <c r="AC1299" s="33"/>
      <c r="AD1299" s="33"/>
      <c r="AE1299" s="33"/>
      <c r="AF1299" s="33"/>
      <c r="AG1299" s="33"/>
      <c r="AH1299" s="33"/>
      <c r="AI1299" s="33"/>
      <c r="AJ1299" s="33"/>
      <c r="AK1299" s="34" t="str">
        <f aca="false">IF($B1299="","",COUNTIF($F1299:$AJ1299,"P"))</f>
        <v/>
      </c>
      <c r="AL1299" s="34" t="str">
        <f aca="false">IF($B1299="","",COUNTIF($F1299:$AJ1299,"A"))</f>
        <v/>
      </c>
      <c r="AM1299" s="34" t="str">
        <f aca="false">IF($B1299="","",COUNTIF($F1299:$AJ1299,"HA"))</f>
        <v/>
      </c>
      <c r="AN1299" s="34" t="str">
        <f aca="false">IF($B1299="","",COUNTIF($F1299:$AJ1299,"L"))</f>
        <v/>
      </c>
      <c r="AO1299" s="34" t="str">
        <f aca="false">IF($B1299="","",COUNTIF($F1299:$AJ1299,"PL"))</f>
        <v/>
      </c>
      <c r="AP1299" s="34" t="str">
        <f aca="false">IF($B1299="","",COUNTIF($F1299:$AJ1299,"CL"))</f>
        <v/>
      </c>
      <c r="AQ1299" s="34" t="str">
        <f aca="false">IF($B1299="","",COUNTIF($F1299:$AJ1299,"SL"))</f>
        <v/>
      </c>
      <c r="AR1299" s="34" t="str">
        <f aca="false">IF($B1299="","",COUNTIF($F1299:$AJ1299,"CO"))</f>
        <v/>
      </c>
      <c r="AS1299" s="34" t="str">
        <f aca="false">IF($B1299="","",COUNTIF($F1299:$AJ1299,"HPL"))</f>
        <v/>
      </c>
      <c r="AT1299" s="34" t="str">
        <f aca="false">IF($B1299="","",COUNTIF($F1299:$AJ1299,"HCL"))</f>
        <v/>
      </c>
      <c r="AU1299" s="34" t="str">
        <f aca="false">IF($B1299="","",COUNTIF($F1299:$AJ1299,"WO"))</f>
        <v/>
      </c>
      <c r="AV1299" s="34" t="str">
        <f aca="false">IF($B1299="","",COUNTIF($F1299:$AJ1299,"PH"))</f>
        <v/>
      </c>
      <c r="AW1299" s="34" t="str">
        <f aca="false">IF($B1299="","",COUNTIF($F1299:$AJ1299,"TR"))</f>
        <v/>
      </c>
      <c r="AX1299" s="35" t="str">
        <f aca="false">IF($B1299="","",AO1299+AS1299/2)</f>
        <v/>
      </c>
      <c r="AY1299" s="35" t="str">
        <f aca="false">IF($B1299="","",AQ1299)</f>
        <v/>
      </c>
      <c r="AZ1299" s="35" t="str">
        <f aca="false">IF($B1299="","",AP1299+AT1299/2)</f>
        <v/>
      </c>
      <c r="BA1299" s="35" t="str">
        <f aca="false">IF($B1299="","",AK1299+AN1299+AM1299/2+AO1299+AP1299+AQ1299+AR1299+AS1299+AT1299+AU1299+AV1299+AW1299)</f>
        <v/>
      </c>
      <c r="BB1299" s="35" t="str">
        <f aca="false">IF($B1299="","",MAX(0,AN1299-Settings!$C$16)*Settings!$C$17)</f>
        <v/>
      </c>
      <c r="BC1299" s="35" t="str">
        <f aca="false">IF($B1299="","",BA1299-BB1299)</f>
        <v/>
      </c>
      <c r="BD1299" s="35" t="str">
        <f aca="false">IF(OR($B1299="",$A1299=""),"",DAY(EOMONTH($A1299,0))-COUNTA($F1299:$AJ1299))</f>
        <v/>
      </c>
    </row>
    <row r="1300" customFormat="false" ht="15" hidden="false" customHeight="false" outlineLevel="0" collapsed="false">
      <c r="A1300" s="32"/>
      <c r="B1300" s="29"/>
      <c r="C1300" s="10" t="str">
        <f aca="false">IF($B1300="","",IFERROR(INDEX(M_name,MATCH($B1300,M_emp,0)),"Code not found"))</f>
        <v/>
      </c>
      <c r="D1300" s="10" t="str">
        <f aca="false">IF($B1300="","",IFERROR(INDEX(M_dept,MATCH($B1300,M_emp,0)),""))</f>
        <v/>
      </c>
      <c r="E1300" s="10" t="str">
        <f aca="false">IF($B1300="","",IFERROR(INDEX(M_loc,MATCH($B1300,M_emp,0)),""))</f>
        <v/>
      </c>
      <c r="F1300" s="33"/>
      <c r="G1300" s="33"/>
      <c r="H1300" s="33"/>
      <c r="I1300" s="33"/>
      <c r="J1300" s="33"/>
      <c r="K1300" s="33"/>
      <c r="L1300" s="33"/>
      <c r="M1300" s="33"/>
      <c r="N1300" s="33"/>
      <c r="O1300" s="33"/>
      <c r="P1300" s="33"/>
      <c r="Q1300" s="33"/>
      <c r="R1300" s="33"/>
      <c r="S1300" s="33"/>
      <c r="T1300" s="33"/>
      <c r="U1300" s="33"/>
      <c r="V1300" s="33"/>
      <c r="W1300" s="33"/>
      <c r="X1300" s="33"/>
      <c r="Y1300" s="33"/>
      <c r="Z1300" s="33"/>
      <c r="AA1300" s="33"/>
      <c r="AB1300" s="33"/>
      <c r="AC1300" s="33"/>
      <c r="AD1300" s="33"/>
      <c r="AE1300" s="33"/>
      <c r="AF1300" s="33"/>
      <c r="AG1300" s="33"/>
      <c r="AH1300" s="33"/>
      <c r="AI1300" s="33"/>
      <c r="AJ1300" s="33"/>
      <c r="AK1300" s="34" t="str">
        <f aca="false">IF($B1300="","",COUNTIF($F1300:$AJ1300,"P"))</f>
        <v/>
      </c>
      <c r="AL1300" s="34" t="str">
        <f aca="false">IF($B1300="","",COUNTIF($F1300:$AJ1300,"A"))</f>
        <v/>
      </c>
      <c r="AM1300" s="34" t="str">
        <f aca="false">IF($B1300="","",COUNTIF($F1300:$AJ1300,"HA"))</f>
        <v/>
      </c>
      <c r="AN1300" s="34" t="str">
        <f aca="false">IF($B1300="","",COUNTIF($F1300:$AJ1300,"L"))</f>
        <v/>
      </c>
      <c r="AO1300" s="34" t="str">
        <f aca="false">IF($B1300="","",COUNTIF($F1300:$AJ1300,"PL"))</f>
        <v/>
      </c>
      <c r="AP1300" s="34" t="str">
        <f aca="false">IF($B1300="","",COUNTIF($F1300:$AJ1300,"CL"))</f>
        <v/>
      </c>
      <c r="AQ1300" s="34" t="str">
        <f aca="false">IF($B1300="","",COUNTIF($F1300:$AJ1300,"SL"))</f>
        <v/>
      </c>
      <c r="AR1300" s="34" t="str">
        <f aca="false">IF($B1300="","",COUNTIF($F1300:$AJ1300,"CO"))</f>
        <v/>
      </c>
      <c r="AS1300" s="34" t="str">
        <f aca="false">IF($B1300="","",COUNTIF($F1300:$AJ1300,"HPL"))</f>
        <v/>
      </c>
      <c r="AT1300" s="34" t="str">
        <f aca="false">IF($B1300="","",COUNTIF($F1300:$AJ1300,"HCL"))</f>
        <v/>
      </c>
      <c r="AU1300" s="34" t="str">
        <f aca="false">IF($B1300="","",COUNTIF($F1300:$AJ1300,"WO"))</f>
        <v/>
      </c>
      <c r="AV1300" s="34" t="str">
        <f aca="false">IF($B1300="","",COUNTIF($F1300:$AJ1300,"PH"))</f>
        <v/>
      </c>
      <c r="AW1300" s="34" t="str">
        <f aca="false">IF($B1300="","",COUNTIF($F1300:$AJ1300,"TR"))</f>
        <v/>
      </c>
      <c r="AX1300" s="35" t="str">
        <f aca="false">IF($B1300="","",AO1300+AS1300/2)</f>
        <v/>
      </c>
      <c r="AY1300" s="35" t="str">
        <f aca="false">IF($B1300="","",AQ1300)</f>
        <v/>
      </c>
      <c r="AZ1300" s="35" t="str">
        <f aca="false">IF($B1300="","",AP1300+AT1300/2)</f>
        <v/>
      </c>
      <c r="BA1300" s="35" t="str">
        <f aca="false">IF($B1300="","",AK1300+AN1300+AM1300/2+AO1300+AP1300+AQ1300+AR1300+AS1300+AT1300+AU1300+AV1300+AW1300)</f>
        <v/>
      </c>
      <c r="BB1300" s="35" t="str">
        <f aca="false">IF($B1300="","",MAX(0,AN1300-Settings!$C$16)*Settings!$C$17)</f>
        <v/>
      </c>
      <c r="BC1300" s="35" t="str">
        <f aca="false">IF($B1300="","",BA1300-BB1300)</f>
        <v/>
      </c>
      <c r="BD1300" s="35" t="str">
        <f aca="false">IF(OR($B1300="",$A1300=""),"",DAY(EOMONTH($A1300,0))-COUNTA($F1300:$AJ1300))</f>
        <v/>
      </c>
    </row>
    <row r="1301" customFormat="false" ht="15" hidden="false" customHeight="false" outlineLevel="0" collapsed="false">
      <c r="A1301" s="32"/>
      <c r="B1301" s="29"/>
      <c r="C1301" s="10" t="str">
        <f aca="false">IF($B1301="","",IFERROR(INDEX(M_name,MATCH($B1301,M_emp,0)),"Code not found"))</f>
        <v/>
      </c>
      <c r="D1301" s="10" t="str">
        <f aca="false">IF($B1301="","",IFERROR(INDEX(M_dept,MATCH($B1301,M_emp,0)),""))</f>
        <v/>
      </c>
      <c r="E1301" s="10" t="str">
        <f aca="false">IF($B1301="","",IFERROR(INDEX(M_loc,MATCH($B1301,M_emp,0)),""))</f>
        <v/>
      </c>
      <c r="F1301" s="33"/>
      <c r="G1301" s="33"/>
      <c r="H1301" s="33"/>
      <c r="I1301" s="33"/>
      <c r="J1301" s="33"/>
      <c r="K1301" s="33"/>
      <c r="L1301" s="33"/>
      <c r="M1301" s="33"/>
      <c r="N1301" s="33"/>
      <c r="O1301" s="33"/>
      <c r="P1301" s="33"/>
      <c r="Q1301" s="33"/>
      <c r="R1301" s="33"/>
      <c r="S1301" s="33"/>
      <c r="T1301" s="33"/>
      <c r="U1301" s="33"/>
      <c r="V1301" s="33"/>
      <c r="W1301" s="33"/>
      <c r="X1301" s="33"/>
      <c r="Y1301" s="33"/>
      <c r="Z1301" s="33"/>
      <c r="AA1301" s="33"/>
      <c r="AB1301" s="33"/>
      <c r="AC1301" s="33"/>
      <c r="AD1301" s="33"/>
      <c r="AE1301" s="33"/>
      <c r="AF1301" s="33"/>
      <c r="AG1301" s="33"/>
      <c r="AH1301" s="33"/>
      <c r="AI1301" s="33"/>
      <c r="AJ1301" s="33"/>
      <c r="AK1301" s="34" t="str">
        <f aca="false">IF($B1301="","",COUNTIF($F1301:$AJ1301,"P"))</f>
        <v/>
      </c>
      <c r="AL1301" s="34" t="str">
        <f aca="false">IF($B1301="","",COUNTIF($F1301:$AJ1301,"A"))</f>
        <v/>
      </c>
      <c r="AM1301" s="34" t="str">
        <f aca="false">IF($B1301="","",COUNTIF($F1301:$AJ1301,"HA"))</f>
        <v/>
      </c>
      <c r="AN1301" s="34" t="str">
        <f aca="false">IF($B1301="","",COUNTIF($F1301:$AJ1301,"L"))</f>
        <v/>
      </c>
      <c r="AO1301" s="34" t="str">
        <f aca="false">IF($B1301="","",COUNTIF($F1301:$AJ1301,"PL"))</f>
        <v/>
      </c>
      <c r="AP1301" s="34" t="str">
        <f aca="false">IF($B1301="","",COUNTIF($F1301:$AJ1301,"CL"))</f>
        <v/>
      </c>
      <c r="AQ1301" s="34" t="str">
        <f aca="false">IF($B1301="","",COUNTIF($F1301:$AJ1301,"SL"))</f>
        <v/>
      </c>
      <c r="AR1301" s="34" t="str">
        <f aca="false">IF($B1301="","",COUNTIF($F1301:$AJ1301,"CO"))</f>
        <v/>
      </c>
      <c r="AS1301" s="34" t="str">
        <f aca="false">IF($B1301="","",COUNTIF($F1301:$AJ1301,"HPL"))</f>
        <v/>
      </c>
      <c r="AT1301" s="34" t="str">
        <f aca="false">IF($B1301="","",COUNTIF($F1301:$AJ1301,"HCL"))</f>
        <v/>
      </c>
      <c r="AU1301" s="34" t="str">
        <f aca="false">IF($B1301="","",COUNTIF($F1301:$AJ1301,"WO"))</f>
        <v/>
      </c>
      <c r="AV1301" s="34" t="str">
        <f aca="false">IF($B1301="","",COUNTIF($F1301:$AJ1301,"PH"))</f>
        <v/>
      </c>
      <c r="AW1301" s="34" t="str">
        <f aca="false">IF($B1301="","",COUNTIF($F1301:$AJ1301,"TR"))</f>
        <v/>
      </c>
      <c r="AX1301" s="35" t="str">
        <f aca="false">IF($B1301="","",AO1301+AS1301/2)</f>
        <v/>
      </c>
      <c r="AY1301" s="35" t="str">
        <f aca="false">IF($B1301="","",AQ1301)</f>
        <v/>
      </c>
      <c r="AZ1301" s="35" t="str">
        <f aca="false">IF($B1301="","",AP1301+AT1301/2)</f>
        <v/>
      </c>
      <c r="BA1301" s="35" t="str">
        <f aca="false">IF($B1301="","",AK1301+AN1301+AM1301/2+AO1301+AP1301+AQ1301+AR1301+AS1301+AT1301+AU1301+AV1301+AW1301)</f>
        <v/>
      </c>
      <c r="BB1301" s="35" t="str">
        <f aca="false">IF($B1301="","",MAX(0,AN1301-Settings!$C$16)*Settings!$C$17)</f>
        <v/>
      </c>
      <c r="BC1301" s="35" t="str">
        <f aca="false">IF($B1301="","",BA1301-BB1301)</f>
        <v/>
      </c>
      <c r="BD1301" s="35" t="str">
        <f aca="false">IF(OR($B1301="",$A1301=""),"",DAY(EOMONTH($A1301,0))-COUNTA($F1301:$AJ1301))</f>
        <v/>
      </c>
    </row>
    <row r="1302" customFormat="false" ht="15" hidden="false" customHeight="false" outlineLevel="0" collapsed="false">
      <c r="A1302" s="32"/>
      <c r="B1302" s="29"/>
      <c r="C1302" s="10" t="str">
        <f aca="false">IF($B1302="","",IFERROR(INDEX(M_name,MATCH($B1302,M_emp,0)),"Code not found"))</f>
        <v/>
      </c>
      <c r="D1302" s="10" t="str">
        <f aca="false">IF($B1302="","",IFERROR(INDEX(M_dept,MATCH($B1302,M_emp,0)),""))</f>
        <v/>
      </c>
      <c r="E1302" s="10" t="str">
        <f aca="false">IF($B1302="","",IFERROR(INDEX(M_loc,MATCH($B1302,M_emp,0)),""))</f>
        <v/>
      </c>
      <c r="F1302" s="33"/>
      <c r="G1302" s="33"/>
      <c r="H1302" s="33"/>
      <c r="I1302" s="33"/>
      <c r="J1302" s="33"/>
      <c r="K1302" s="33"/>
      <c r="L1302" s="33"/>
      <c r="M1302" s="33"/>
      <c r="N1302" s="33"/>
      <c r="O1302" s="33"/>
      <c r="P1302" s="33"/>
      <c r="Q1302" s="33"/>
      <c r="R1302" s="33"/>
      <c r="S1302" s="33"/>
      <c r="T1302" s="33"/>
      <c r="U1302" s="33"/>
      <c r="V1302" s="33"/>
      <c r="W1302" s="33"/>
      <c r="X1302" s="33"/>
      <c r="Y1302" s="33"/>
      <c r="Z1302" s="33"/>
      <c r="AA1302" s="33"/>
      <c r="AB1302" s="33"/>
      <c r="AC1302" s="33"/>
      <c r="AD1302" s="33"/>
      <c r="AE1302" s="33"/>
      <c r="AF1302" s="33"/>
      <c r="AG1302" s="33"/>
      <c r="AH1302" s="33"/>
      <c r="AI1302" s="33"/>
      <c r="AJ1302" s="33"/>
      <c r="AK1302" s="34" t="str">
        <f aca="false">IF($B1302="","",COUNTIF($F1302:$AJ1302,"P"))</f>
        <v/>
      </c>
      <c r="AL1302" s="34" t="str">
        <f aca="false">IF($B1302="","",COUNTIF($F1302:$AJ1302,"A"))</f>
        <v/>
      </c>
      <c r="AM1302" s="34" t="str">
        <f aca="false">IF($B1302="","",COUNTIF($F1302:$AJ1302,"HA"))</f>
        <v/>
      </c>
      <c r="AN1302" s="34" t="str">
        <f aca="false">IF($B1302="","",COUNTIF($F1302:$AJ1302,"L"))</f>
        <v/>
      </c>
      <c r="AO1302" s="34" t="str">
        <f aca="false">IF($B1302="","",COUNTIF($F1302:$AJ1302,"PL"))</f>
        <v/>
      </c>
      <c r="AP1302" s="34" t="str">
        <f aca="false">IF($B1302="","",COUNTIF($F1302:$AJ1302,"CL"))</f>
        <v/>
      </c>
      <c r="AQ1302" s="34" t="str">
        <f aca="false">IF($B1302="","",COUNTIF($F1302:$AJ1302,"SL"))</f>
        <v/>
      </c>
      <c r="AR1302" s="34" t="str">
        <f aca="false">IF($B1302="","",COUNTIF($F1302:$AJ1302,"CO"))</f>
        <v/>
      </c>
      <c r="AS1302" s="34" t="str">
        <f aca="false">IF($B1302="","",COUNTIF($F1302:$AJ1302,"HPL"))</f>
        <v/>
      </c>
      <c r="AT1302" s="34" t="str">
        <f aca="false">IF($B1302="","",COUNTIF($F1302:$AJ1302,"HCL"))</f>
        <v/>
      </c>
      <c r="AU1302" s="34" t="str">
        <f aca="false">IF($B1302="","",COUNTIF($F1302:$AJ1302,"WO"))</f>
        <v/>
      </c>
      <c r="AV1302" s="34" t="str">
        <f aca="false">IF($B1302="","",COUNTIF($F1302:$AJ1302,"PH"))</f>
        <v/>
      </c>
      <c r="AW1302" s="34" t="str">
        <f aca="false">IF($B1302="","",COUNTIF($F1302:$AJ1302,"TR"))</f>
        <v/>
      </c>
      <c r="AX1302" s="35" t="str">
        <f aca="false">IF($B1302="","",AO1302+AS1302/2)</f>
        <v/>
      </c>
      <c r="AY1302" s="35" t="str">
        <f aca="false">IF($B1302="","",AQ1302)</f>
        <v/>
      </c>
      <c r="AZ1302" s="35" t="str">
        <f aca="false">IF($B1302="","",AP1302+AT1302/2)</f>
        <v/>
      </c>
      <c r="BA1302" s="35" t="str">
        <f aca="false">IF($B1302="","",AK1302+AN1302+AM1302/2+AO1302+AP1302+AQ1302+AR1302+AS1302+AT1302+AU1302+AV1302+AW1302)</f>
        <v/>
      </c>
      <c r="BB1302" s="35" t="str">
        <f aca="false">IF($B1302="","",MAX(0,AN1302-Settings!$C$16)*Settings!$C$17)</f>
        <v/>
      </c>
      <c r="BC1302" s="35" t="str">
        <f aca="false">IF($B1302="","",BA1302-BB1302)</f>
        <v/>
      </c>
      <c r="BD1302" s="35" t="str">
        <f aca="false">IF(OR($B1302="",$A1302=""),"",DAY(EOMONTH($A1302,0))-COUNTA($F1302:$AJ1302))</f>
        <v/>
      </c>
    </row>
    <row r="1303" customFormat="false" ht="15" hidden="false" customHeight="false" outlineLevel="0" collapsed="false">
      <c r="A1303" s="32"/>
      <c r="B1303" s="29"/>
      <c r="C1303" s="10" t="str">
        <f aca="false">IF($B1303="","",IFERROR(INDEX(M_name,MATCH($B1303,M_emp,0)),"Code not found"))</f>
        <v/>
      </c>
      <c r="D1303" s="10" t="str">
        <f aca="false">IF($B1303="","",IFERROR(INDEX(M_dept,MATCH($B1303,M_emp,0)),""))</f>
        <v/>
      </c>
      <c r="E1303" s="10" t="str">
        <f aca="false">IF($B1303="","",IFERROR(INDEX(M_loc,MATCH($B1303,M_emp,0)),""))</f>
        <v/>
      </c>
      <c r="F1303" s="33"/>
      <c r="G1303" s="33"/>
      <c r="H1303" s="33"/>
      <c r="I1303" s="33"/>
      <c r="J1303" s="33"/>
      <c r="K1303" s="33"/>
      <c r="L1303" s="33"/>
      <c r="M1303" s="33"/>
      <c r="N1303" s="33"/>
      <c r="O1303" s="33"/>
      <c r="P1303" s="33"/>
      <c r="Q1303" s="33"/>
      <c r="R1303" s="33"/>
      <c r="S1303" s="33"/>
      <c r="T1303" s="33"/>
      <c r="U1303" s="33"/>
      <c r="V1303" s="33"/>
      <c r="W1303" s="33"/>
      <c r="X1303" s="33"/>
      <c r="Y1303" s="33"/>
      <c r="Z1303" s="33"/>
      <c r="AA1303" s="33"/>
      <c r="AB1303" s="33"/>
      <c r="AC1303" s="33"/>
      <c r="AD1303" s="33"/>
      <c r="AE1303" s="33"/>
      <c r="AF1303" s="33"/>
      <c r="AG1303" s="33"/>
      <c r="AH1303" s="33"/>
      <c r="AI1303" s="33"/>
      <c r="AJ1303" s="33"/>
      <c r="AK1303" s="34" t="str">
        <f aca="false">IF($B1303="","",COUNTIF($F1303:$AJ1303,"P"))</f>
        <v/>
      </c>
      <c r="AL1303" s="34" t="str">
        <f aca="false">IF($B1303="","",COUNTIF($F1303:$AJ1303,"A"))</f>
        <v/>
      </c>
      <c r="AM1303" s="34" t="str">
        <f aca="false">IF($B1303="","",COUNTIF($F1303:$AJ1303,"HA"))</f>
        <v/>
      </c>
      <c r="AN1303" s="34" t="str">
        <f aca="false">IF($B1303="","",COUNTIF($F1303:$AJ1303,"L"))</f>
        <v/>
      </c>
      <c r="AO1303" s="34" t="str">
        <f aca="false">IF($B1303="","",COUNTIF($F1303:$AJ1303,"PL"))</f>
        <v/>
      </c>
      <c r="AP1303" s="34" t="str">
        <f aca="false">IF($B1303="","",COUNTIF($F1303:$AJ1303,"CL"))</f>
        <v/>
      </c>
      <c r="AQ1303" s="34" t="str">
        <f aca="false">IF($B1303="","",COUNTIF($F1303:$AJ1303,"SL"))</f>
        <v/>
      </c>
      <c r="AR1303" s="34" t="str">
        <f aca="false">IF($B1303="","",COUNTIF($F1303:$AJ1303,"CO"))</f>
        <v/>
      </c>
      <c r="AS1303" s="34" t="str">
        <f aca="false">IF($B1303="","",COUNTIF($F1303:$AJ1303,"HPL"))</f>
        <v/>
      </c>
      <c r="AT1303" s="34" t="str">
        <f aca="false">IF($B1303="","",COUNTIF($F1303:$AJ1303,"HCL"))</f>
        <v/>
      </c>
      <c r="AU1303" s="34" t="str">
        <f aca="false">IF($B1303="","",COUNTIF($F1303:$AJ1303,"WO"))</f>
        <v/>
      </c>
      <c r="AV1303" s="34" t="str">
        <f aca="false">IF($B1303="","",COUNTIF($F1303:$AJ1303,"PH"))</f>
        <v/>
      </c>
      <c r="AW1303" s="34" t="str">
        <f aca="false">IF($B1303="","",COUNTIF($F1303:$AJ1303,"TR"))</f>
        <v/>
      </c>
      <c r="AX1303" s="35" t="str">
        <f aca="false">IF($B1303="","",AO1303+AS1303/2)</f>
        <v/>
      </c>
      <c r="AY1303" s="35" t="str">
        <f aca="false">IF($B1303="","",AQ1303)</f>
        <v/>
      </c>
      <c r="AZ1303" s="35" t="str">
        <f aca="false">IF($B1303="","",AP1303+AT1303/2)</f>
        <v/>
      </c>
      <c r="BA1303" s="35" t="str">
        <f aca="false">IF($B1303="","",AK1303+AN1303+AM1303/2+AO1303+AP1303+AQ1303+AR1303+AS1303+AT1303+AU1303+AV1303+AW1303)</f>
        <v/>
      </c>
      <c r="BB1303" s="35" t="str">
        <f aca="false">IF($B1303="","",MAX(0,AN1303-Settings!$C$16)*Settings!$C$17)</f>
        <v/>
      </c>
      <c r="BC1303" s="35" t="str">
        <f aca="false">IF($B1303="","",BA1303-BB1303)</f>
        <v/>
      </c>
      <c r="BD1303" s="35" t="str">
        <f aca="false">IF(OR($B1303="",$A1303=""),"",DAY(EOMONTH($A1303,0))-COUNTA($F1303:$AJ1303))</f>
        <v/>
      </c>
    </row>
    <row r="1304" customFormat="false" ht="15" hidden="false" customHeight="false" outlineLevel="0" collapsed="false">
      <c r="A1304" s="32"/>
      <c r="B1304" s="29"/>
      <c r="C1304" s="10" t="str">
        <f aca="false">IF($B1304="","",IFERROR(INDEX(M_name,MATCH($B1304,M_emp,0)),"Code not found"))</f>
        <v/>
      </c>
      <c r="D1304" s="10" t="str">
        <f aca="false">IF($B1304="","",IFERROR(INDEX(M_dept,MATCH($B1304,M_emp,0)),""))</f>
        <v/>
      </c>
      <c r="E1304" s="10" t="str">
        <f aca="false">IF($B1304="","",IFERROR(INDEX(M_loc,MATCH($B1304,M_emp,0)),""))</f>
        <v/>
      </c>
      <c r="F1304" s="33"/>
      <c r="G1304" s="33"/>
      <c r="H1304" s="33"/>
      <c r="I1304" s="33"/>
      <c r="J1304" s="33"/>
      <c r="K1304" s="33"/>
      <c r="L1304" s="33"/>
      <c r="M1304" s="33"/>
      <c r="N1304" s="33"/>
      <c r="O1304" s="33"/>
      <c r="P1304" s="33"/>
      <c r="Q1304" s="33"/>
      <c r="R1304" s="33"/>
      <c r="S1304" s="33"/>
      <c r="T1304" s="33"/>
      <c r="U1304" s="33"/>
      <c r="V1304" s="33"/>
      <c r="W1304" s="33"/>
      <c r="X1304" s="33"/>
      <c r="Y1304" s="33"/>
      <c r="Z1304" s="33"/>
      <c r="AA1304" s="33"/>
      <c r="AB1304" s="33"/>
      <c r="AC1304" s="33"/>
      <c r="AD1304" s="33"/>
      <c r="AE1304" s="33"/>
      <c r="AF1304" s="33"/>
      <c r="AG1304" s="33"/>
      <c r="AH1304" s="33"/>
      <c r="AI1304" s="33"/>
      <c r="AJ1304" s="33"/>
      <c r="AK1304" s="34" t="str">
        <f aca="false">IF($B1304="","",COUNTIF($F1304:$AJ1304,"P"))</f>
        <v/>
      </c>
      <c r="AL1304" s="34" t="str">
        <f aca="false">IF($B1304="","",COUNTIF($F1304:$AJ1304,"A"))</f>
        <v/>
      </c>
      <c r="AM1304" s="34" t="str">
        <f aca="false">IF($B1304="","",COUNTIF($F1304:$AJ1304,"HA"))</f>
        <v/>
      </c>
      <c r="AN1304" s="34" t="str">
        <f aca="false">IF($B1304="","",COUNTIF($F1304:$AJ1304,"L"))</f>
        <v/>
      </c>
      <c r="AO1304" s="34" t="str">
        <f aca="false">IF($B1304="","",COUNTIF($F1304:$AJ1304,"PL"))</f>
        <v/>
      </c>
      <c r="AP1304" s="34" t="str">
        <f aca="false">IF($B1304="","",COUNTIF($F1304:$AJ1304,"CL"))</f>
        <v/>
      </c>
      <c r="AQ1304" s="34" t="str">
        <f aca="false">IF($B1304="","",COUNTIF($F1304:$AJ1304,"SL"))</f>
        <v/>
      </c>
      <c r="AR1304" s="34" t="str">
        <f aca="false">IF($B1304="","",COUNTIF($F1304:$AJ1304,"CO"))</f>
        <v/>
      </c>
      <c r="AS1304" s="34" t="str">
        <f aca="false">IF($B1304="","",COUNTIF($F1304:$AJ1304,"HPL"))</f>
        <v/>
      </c>
      <c r="AT1304" s="34" t="str">
        <f aca="false">IF($B1304="","",COUNTIF($F1304:$AJ1304,"HCL"))</f>
        <v/>
      </c>
      <c r="AU1304" s="34" t="str">
        <f aca="false">IF($B1304="","",COUNTIF($F1304:$AJ1304,"WO"))</f>
        <v/>
      </c>
      <c r="AV1304" s="34" t="str">
        <f aca="false">IF($B1304="","",COUNTIF($F1304:$AJ1304,"PH"))</f>
        <v/>
      </c>
      <c r="AW1304" s="34" t="str">
        <f aca="false">IF($B1304="","",COUNTIF($F1304:$AJ1304,"TR"))</f>
        <v/>
      </c>
      <c r="AX1304" s="35" t="str">
        <f aca="false">IF($B1304="","",AO1304+AS1304/2)</f>
        <v/>
      </c>
      <c r="AY1304" s="35" t="str">
        <f aca="false">IF($B1304="","",AQ1304)</f>
        <v/>
      </c>
      <c r="AZ1304" s="35" t="str">
        <f aca="false">IF($B1304="","",AP1304+AT1304/2)</f>
        <v/>
      </c>
      <c r="BA1304" s="35" t="str">
        <f aca="false">IF($B1304="","",AK1304+AN1304+AM1304/2+AO1304+AP1304+AQ1304+AR1304+AS1304+AT1304+AU1304+AV1304+AW1304)</f>
        <v/>
      </c>
      <c r="BB1304" s="35" t="str">
        <f aca="false">IF($B1304="","",MAX(0,AN1304-Settings!$C$16)*Settings!$C$17)</f>
        <v/>
      </c>
      <c r="BC1304" s="35" t="str">
        <f aca="false">IF($B1304="","",BA1304-BB1304)</f>
        <v/>
      </c>
      <c r="BD1304" s="35" t="str">
        <f aca="false">IF(OR($B1304="",$A1304=""),"",DAY(EOMONTH($A1304,0))-COUNTA($F1304:$AJ1304))</f>
        <v/>
      </c>
    </row>
    <row r="1305" customFormat="false" ht="15" hidden="false" customHeight="false" outlineLevel="0" collapsed="false">
      <c r="A1305" s="32"/>
      <c r="B1305" s="29"/>
      <c r="C1305" s="10" t="str">
        <f aca="false">IF($B1305="","",IFERROR(INDEX(M_name,MATCH($B1305,M_emp,0)),"Code not found"))</f>
        <v/>
      </c>
      <c r="D1305" s="10" t="str">
        <f aca="false">IF($B1305="","",IFERROR(INDEX(M_dept,MATCH($B1305,M_emp,0)),""))</f>
        <v/>
      </c>
      <c r="E1305" s="10" t="str">
        <f aca="false">IF($B1305="","",IFERROR(INDEX(M_loc,MATCH($B1305,M_emp,0)),""))</f>
        <v/>
      </c>
      <c r="F1305" s="33"/>
      <c r="G1305" s="33"/>
      <c r="H1305" s="33"/>
      <c r="I1305" s="33"/>
      <c r="J1305" s="33"/>
      <c r="K1305" s="33"/>
      <c r="L1305" s="33"/>
      <c r="M1305" s="33"/>
      <c r="N1305" s="33"/>
      <c r="O1305" s="33"/>
      <c r="P1305" s="33"/>
      <c r="Q1305" s="33"/>
      <c r="R1305" s="33"/>
      <c r="S1305" s="33"/>
      <c r="T1305" s="33"/>
      <c r="U1305" s="33"/>
      <c r="V1305" s="33"/>
      <c r="W1305" s="33"/>
      <c r="X1305" s="33"/>
      <c r="Y1305" s="33"/>
      <c r="Z1305" s="33"/>
      <c r="AA1305" s="33"/>
      <c r="AB1305" s="33"/>
      <c r="AC1305" s="33"/>
      <c r="AD1305" s="33"/>
      <c r="AE1305" s="33"/>
      <c r="AF1305" s="33"/>
      <c r="AG1305" s="33"/>
      <c r="AH1305" s="33"/>
      <c r="AI1305" s="33"/>
      <c r="AJ1305" s="33"/>
      <c r="AK1305" s="34" t="str">
        <f aca="false">IF($B1305="","",COUNTIF($F1305:$AJ1305,"P"))</f>
        <v/>
      </c>
      <c r="AL1305" s="34" t="str">
        <f aca="false">IF($B1305="","",COUNTIF($F1305:$AJ1305,"A"))</f>
        <v/>
      </c>
      <c r="AM1305" s="34" t="str">
        <f aca="false">IF($B1305="","",COUNTIF($F1305:$AJ1305,"HA"))</f>
        <v/>
      </c>
      <c r="AN1305" s="34" t="str">
        <f aca="false">IF($B1305="","",COUNTIF($F1305:$AJ1305,"L"))</f>
        <v/>
      </c>
      <c r="AO1305" s="34" t="str">
        <f aca="false">IF($B1305="","",COUNTIF($F1305:$AJ1305,"PL"))</f>
        <v/>
      </c>
      <c r="AP1305" s="34" t="str">
        <f aca="false">IF($B1305="","",COUNTIF($F1305:$AJ1305,"CL"))</f>
        <v/>
      </c>
      <c r="AQ1305" s="34" t="str">
        <f aca="false">IF($B1305="","",COUNTIF($F1305:$AJ1305,"SL"))</f>
        <v/>
      </c>
      <c r="AR1305" s="34" t="str">
        <f aca="false">IF($B1305="","",COUNTIF($F1305:$AJ1305,"CO"))</f>
        <v/>
      </c>
      <c r="AS1305" s="34" t="str">
        <f aca="false">IF($B1305="","",COUNTIF($F1305:$AJ1305,"HPL"))</f>
        <v/>
      </c>
      <c r="AT1305" s="34" t="str">
        <f aca="false">IF($B1305="","",COUNTIF($F1305:$AJ1305,"HCL"))</f>
        <v/>
      </c>
      <c r="AU1305" s="34" t="str">
        <f aca="false">IF($B1305="","",COUNTIF($F1305:$AJ1305,"WO"))</f>
        <v/>
      </c>
      <c r="AV1305" s="34" t="str">
        <f aca="false">IF($B1305="","",COUNTIF($F1305:$AJ1305,"PH"))</f>
        <v/>
      </c>
      <c r="AW1305" s="34" t="str">
        <f aca="false">IF($B1305="","",COUNTIF($F1305:$AJ1305,"TR"))</f>
        <v/>
      </c>
      <c r="AX1305" s="35" t="str">
        <f aca="false">IF($B1305="","",AO1305+AS1305/2)</f>
        <v/>
      </c>
      <c r="AY1305" s="35" t="str">
        <f aca="false">IF($B1305="","",AQ1305)</f>
        <v/>
      </c>
      <c r="AZ1305" s="35" t="str">
        <f aca="false">IF($B1305="","",AP1305+AT1305/2)</f>
        <v/>
      </c>
      <c r="BA1305" s="35" t="str">
        <f aca="false">IF($B1305="","",AK1305+AN1305+AM1305/2+AO1305+AP1305+AQ1305+AR1305+AS1305+AT1305+AU1305+AV1305+AW1305)</f>
        <v/>
      </c>
      <c r="BB1305" s="35" t="str">
        <f aca="false">IF($B1305="","",MAX(0,AN1305-Settings!$C$16)*Settings!$C$17)</f>
        <v/>
      </c>
      <c r="BC1305" s="35" t="str">
        <f aca="false">IF($B1305="","",BA1305-BB1305)</f>
        <v/>
      </c>
      <c r="BD1305" s="35" t="str">
        <f aca="false">IF(OR($B1305="",$A1305=""),"",DAY(EOMONTH($A1305,0))-COUNTA($F1305:$AJ1305))</f>
        <v/>
      </c>
    </row>
    <row r="1306" customFormat="false" ht="15" hidden="false" customHeight="false" outlineLevel="0" collapsed="false">
      <c r="A1306" s="32"/>
      <c r="B1306" s="29"/>
      <c r="C1306" s="10" t="str">
        <f aca="false">IF($B1306="","",IFERROR(INDEX(M_name,MATCH($B1306,M_emp,0)),"Code not found"))</f>
        <v/>
      </c>
      <c r="D1306" s="10" t="str">
        <f aca="false">IF($B1306="","",IFERROR(INDEX(M_dept,MATCH($B1306,M_emp,0)),""))</f>
        <v/>
      </c>
      <c r="E1306" s="10" t="str">
        <f aca="false">IF($B1306="","",IFERROR(INDEX(M_loc,MATCH($B1306,M_emp,0)),""))</f>
        <v/>
      </c>
      <c r="F1306" s="33"/>
      <c r="G1306" s="33"/>
      <c r="H1306" s="33"/>
      <c r="I1306" s="33"/>
      <c r="J1306" s="33"/>
      <c r="K1306" s="33"/>
      <c r="L1306" s="33"/>
      <c r="M1306" s="33"/>
      <c r="N1306" s="33"/>
      <c r="O1306" s="33"/>
      <c r="P1306" s="33"/>
      <c r="Q1306" s="33"/>
      <c r="R1306" s="33"/>
      <c r="S1306" s="33"/>
      <c r="T1306" s="33"/>
      <c r="U1306" s="33"/>
      <c r="V1306" s="33"/>
      <c r="W1306" s="33"/>
      <c r="X1306" s="33"/>
      <c r="Y1306" s="33"/>
      <c r="Z1306" s="33"/>
      <c r="AA1306" s="33"/>
      <c r="AB1306" s="33"/>
      <c r="AC1306" s="33"/>
      <c r="AD1306" s="33"/>
      <c r="AE1306" s="33"/>
      <c r="AF1306" s="33"/>
      <c r="AG1306" s="33"/>
      <c r="AH1306" s="33"/>
      <c r="AI1306" s="33"/>
      <c r="AJ1306" s="33"/>
      <c r="AK1306" s="34" t="str">
        <f aca="false">IF($B1306="","",COUNTIF($F1306:$AJ1306,"P"))</f>
        <v/>
      </c>
      <c r="AL1306" s="34" t="str">
        <f aca="false">IF($B1306="","",COUNTIF($F1306:$AJ1306,"A"))</f>
        <v/>
      </c>
      <c r="AM1306" s="34" t="str">
        <f aca="false">IF($B1306="","",COUNTIF($F1306:$AJ1306,"HA"))</f>
        <v/>
      </c>
      <c r="AN1306" s="34" t="str">
        <f aca="false">IF($B1306="","",COUNTIF($F1306:$AJ1306,"L"))</f>
        <v/>
      </c>
      <c r="AO1306" s="34" t="str">
        <f aca="false">IF($B1306="","",COUNTIF($F1306:$AJ1306,"PL"))</f>
        <v/>
      </c>
      <c r="AP1306" s="34" t="str">
        <f aca="false">IF($B1306="","",COUNTIF($F1306:$AJ1306,"CL"))</f>
        <v/>
      </c>
      <c r="AQ1306" s="34" t="str">
        <f aca="false">IF($B1306="","",COUNTIF($F1306:$AJ1306,"SL"))</f>
        <v/>
      </c>
      <c r="AR1306" s="34" t="str">
        <f aca="false">IF($B1306="","",COUNTIF($F1306:$AJ1306,"CO"))</f>
        <v/>
      </c>
      <c r="AS1306" s="34" t="str">
        <f aca="false">IF($B1306="","",COUNTIF($F1306:$AJ1306,"HPL"))</f>
        <v/>
      </c>
      <c r="AT1306" s="34" t="str">
        <f aca="false">IF($B1306="","",COUNTIF($F1306:$AJ1306,"HCL"))</f>
        <v/>
      </c>
      <c r="AU1306" s="34" t="str">
        <f aca="false">IF($B1306="","",COUNTIF($F1306:$AJ1306,"WO"))</f>
        <v/>
      </c>
      <c r="AV1306" s="34" t="str">
        <f aca="false">IF($B1306="","",COUNTIF($F1306:$AJ1306,"PH"))</f>
        <v/>
      </c>
      <c r="AW1306" s="34" t="str">
        <f aca="false">IF($B1306="","",COUNTIF($F1306:$AJ1306,"TR"))</f>
        <v/>
      </c>
      <c r="AX1306" s="35" t="str">
        <f aca="false">IF($B1306="","",AO1306+AS1306/2)</f>
        <v/>
      </c>
      <c r="AY1306" s="35" t="str">
        <f aca="false">IF($B1306="","",AQ1306)</f>
        <v/>
      </c>
      <c r="AZ1306" s="35" t="str">
        <f aca="false">IF($B1306="","",AP1306+AT1306/2)</f>
        <v/>
      </c>
      <c r="BA1306" s="35" t="str">
        <f aca="false">IF($B1306="","",AK1306+AN1306+AM1306/2+AO1306+AP1306+AQ1306+AR1306+AS1306+AT1306+AU1306+AV1306+AW1306)</f>
        <v/>
      </c>
      <c r="BB1306" s="35" t="str">
        <f aca="false">IF($B1306="","",MAX(0,AN1306-Settings!$C$16)*Settings!$C$17)</f>
        <v/>
      </c>
      <c r="BC1306" s="35" t="str">
        <f aca="false">IF($B1306="","",BA1306-BB1306)</f>
        <v/>
      </c>
      <c r="BD1306" s="35" t="str">
        <f aca="false">IF(OR($B1306="",$A1306=""),"",DAY(EOMONTH($A1306,0))-COUNTA($F1306:$AJ1306))</f>
        <v/>
      </c>
    </row>
    <row r="1307" customFormat="false" ht="15" hidden="false" customHeight="false" outlineLevel="0" collapsed="false">
      <c r="A1307" s="32"/>
      <c r="B1307" s="29"/>
      <c r="C1307" s="10" t="str">
        <f aca="false">IF($B1307="","",IFERROR(INDEX(M_name,MATCH($B1307,M_emp,0)),"Code not found"))</f>
        <v/>
      </c>
      <c r="D1307" s="10" t="str">
        <f aca="false">IF($B1307="","",IFERROR(INDEX(M_dept,MATCH($B1307,M_emp,0)),""))</f>
        <v/>
      </c>
      <c r="E1307" s="10" t="str">
        <f aca="false">IF($B1307="","",IFERROR(INDEX(M_loc,MATCH($B1307,M_emp,0)),""))</f>
        <v/>
      </c>
      <c r="F1307" s="33"/>
      <c r="G1307" s="33"/>
      <c r="H1307" s="33"/>
      <c r="I1307" s="33"/>
      <c r="J1307" s="33"/>
      <c r="K1307" s="33"/>
      <c r="L1307" s="33"/>
      <c r="M1307" s="33"/>
      <c r="N1307" s="33"/>
      <c r="O1307" s="33"/>
      <c r="P1307" s="33"/>
      <c r="Q1307" s="33"/>
      <c r="R1307" s="33"/>
      <c r="S1307" s="33"/>
      <c r="T1307" s="33"/>
      <c r="U1307" s="33"/>
      <c r="V1307" s="33"/>
      <c r="W1307" s="33"/>
      <c r="X1307" s="33"/>
      <c r="Y1307" s="33"/>
      <c r="Z1307" s="33"/>
      <c r="AA1307" s="33"/>
      <c r="AB1307" s="33"/>
      <c r="AC1307" s="33"/>
      <c r="AD1307" s="33"/>
      <c r="AE1307" s="33"/>
      <c r="AF1307" s="33"/>
      <c r="AG1307" s="33"/>
      <c r="AH1307" s="33"/>
      <c r="AI1307" s="33"/>
      <c r="AJ1307" s="33"/>
      <c r="AK1307" s="34" t="str">
        <f aca="false">IF($B1307="","",COUNTIF($F1307:$AJ1307,"P"))</f>
        <v/>
      </c>
      <c r="AL1307" s="34" t="str">
        <f aca="false">IF($B1307="","",COUNTIF($F1307:$AJ1307,"A"))</f>
        <v/>
      </c>
      <c r="AM1307" s="34" t="str">
        <f aca="false">IF($B1307="","",COUNTIF($F1307:$AJ1307,"HA"))</f>
        <v/>
      </c>
      <c r="AN1307" s="34" t="str">
        <f aca="false">IF($B1307="","",COUNTIF($F1307:$AJ1307,"L"))</f>
        <v/>
      </c>
      <c r="AO1307" s="34" t="str">
        <f aca="false">IF($B1307="","",COUNTIF($F1307:$AJ1307,"PL"))</f>
        <v/>
      </c>
      <c r="AP1307" s="34" t="str">
        <f aca="false">IF($B1307="","",COUNTIF($F1307:$AJ1307,"CL"))</f>
        <v/>
      </c>
      <c r="AQ1307" s="34" t="str">
        <f aca="false">IF($B1307="","",COUNTIF($F1307:$AJ1307,"SL"))</f>
        <v/>
      </c>
      <c r="AR1307" s="34" t="str">
        <f aca="false">IF($B1307="","",COUNTIF($F1307:$AJ1307,"CO"))</f>
        <v/>
      </c>
      <c r="AS1307" s="34" t="str">
        <f aca="false">IF($B1307="","",COUNTIF($F1307:$AJ1307,"HPL"))</f>
        <v/>
      </c>
      <c r="AT1307" s="34" t="str">
        <f aca="false">IF($B1307="","",COUNTIF($F1307:$AJ1307,"HCL"))</f>
        <v/>
      </c>
      <c r="AU1307" s="34" t="str">
        <f aca="false">IF($B1307="","",COUNTIF($F1307:$AJ1307,"WO"))</f>
        <v/>
      </c>
      <c r="AV1307" s="34" t="str">
        <f aca="false">IF($B1307="","",COUNTIF($F1307:$AJ1307,"PH"))</f>
        <v/>
      </c>
      <c r="AW1307" s="34" t="str">
        <f aca="false">IF($B1307="","",COUNTIF($F1307:$AJ1307,"TR"))</f>
        <v/>
      </c>
      <c r="AX1307" s="35" t="str">
        <f aca="false">IF($B1307="","",AO1307+AS1307/2)</f>
        <v/>
      </c>
      <c r="AY1307" s="35" t="str">
        <f aca="false">IF($B1307="","",AQ1307)</f>
        <v/>
      </c>
      <c r="AZ1307" s="35" t="str">
        <f aca="false">IF($B1307="","",AP1307+AT1307/2)</f>
        <v/>
      </c>
      <c r="BA1307" s="35" t="str">
        <f aca="false">IF($B1307="","",AK1307+AN1307+AM1307/2+AO1307+AP1307+AQ1307+AR1307+AS1307+AT1307+AU1307+AV1307+AW1307)</f>
        <v/>
      </c>
      <c r="BB1307" s="35" t="str">
        <f aca="false">IF($B1307="","",MAX(0,AN1307-Settings!$C$16)*Settings!$C$17)</f>
        <v/>
      </c>
      <c r="BC1307" s="35" t="str">
        <f aca="false">IF($B1307="","",BA1307-BB1307)</f>
        <v/>
      </c>
      <c r="BD1307" s="35" t="str">
        <f aca="false">IF(OR($B1307="",$A1307=""),"",DAY(EOMONTH($A1307,0))-COUNTA($F1307:$AJ1307))</f>
        <v/>
      </c>
    </row>
    <row r="1308" customFormat="false" ht="15" hidden="false" customHeight="false" outlineLevel="0" collapsed="false">
      <c r="A1308" s="32"/>
      <c r="B1308" s="29"/>
      <c r="C1308" s="10" t="str">
        <f aca="false">IF($B1308="","",IFERROR(INDEX(M_name,MATCH($B1308,M_emp,0)),"Code not found"))</f>
        <v/>
      </c>
      <c r="D1308" s="10" t="str">
        <f aca="false">IF($B1308="","",IFERROR(INDEX(M_dept,MATCH($B1308,M_emp,0)),""))</f>
        <v/>
      </c>
      <c r="E1308" s="10" t="str">
        <f aca="false">IF($B1308="","",IFERROR(INDEX(M_loc,MATCH($B1308,M_emp,0)),""))</f>
        <v/>
      </c>
      <c r="F1308" s="33"/>
      <c r="G1308" s="33"/>
      <c r="H1308" s="33"/>
      <c r="I1308" s="33"/>
      <c r="J1308" s="33"/>
      <c r="K1308" s="33"/>
      <c r="L1308" s="33"/>
      <c r="M1308" s="33"/>
      <c r="N1308" s="33"/>
      <c r="O1308" s="33"/>
      <c r="P1308" s="33"/>
      <c r="Q1308" s="33"/>
      <c r="R1308" s="33"/>
      <c r="S1308" s="33"/>
      <c r="T1308" s="33"/>
      <c r="U1308" s="33"/>
      <c r="V1308" s="33"/>
      <c r="W1308" s="33"/>
      <c r="X1308" s="33"/>
      <c r="Y1308" s="33"/>
      <c r="Z1308" s="33"/>
      <c r="AA1308" s="33"/>
      <c r="AB1308" s="33"/>
      <c r="AC1308" s="33"/>
      <c r="AD1308" s="33"/>
      <c r="AE1308" s="33"/>
      <c r="AF1308" s="33"/>
      <c r="AG1308" s="33"/>
      <c r="AH1308" s="33"/>
      <c r="AI1308" s="33"/>
      <c r="AJ1308" s="33"/>
      <c r="AK1308" s="34" t="str">
        <f aca="false">IF($B1308="","",COUNTIF($F1308:$AJ1308,"P"))</f>
        <v/>
      </c>
      <c r="AL1308" s="34" t="str">
        <f aca="false">IF($B1308="","",COUNTIF($F1308:$AJ1308,"A"))</f>
        <v/>
      </c>
      <c r="AM1308" s="34" t="str">
        <f aca="false">IF($B1308="","",COUNTIF($F1308:$AJ1308,"HA"))</f>
        <v/>
      </c>
      <c r="AN1308" s="34" t="str">
        <f aca="false">IF($B1308="","",COUNTIF($F1308:$AJ1308,"L"))</f>
        <v/>
      </c>
      <c r="AO1308" s="34" t="str">
        <f aca="false">IF($B1308="","",COUNTIF($F1308:$AJ1308,"PL"))</f>
        <v/>
      </c>
      <c r="AP1308" s="34" t="str">
        <f aca="false">IF($B1308="","",COUNTIF($F1308:$AJ1308,"CL"))</f>
        <v/>
      </c>
      <c r="AQ1308" s="34" t="str">
        <f aca="false">IF($B1308="","",COUNTIF($F1308:$AJ1308,"SL"))</f>
        <v/>
      </c>
      <c r="AR1308" s="34" t="str">
        <f aca="false">IF($B1308="","",COUNTIF($F1308:$AJ1308,"CO"))</f>
        <v/>
      </c>
      <c r="AS1308" s="34" t="str">
        <f aca="false">IF($B1308="","",COUNTIF($F1308:$AJ1308,"HPL"))</f>
        <v/>
      </c>
      <c r="AT1308" s="34" t="str">
        <f aca="false">IF($B1308="","",COUNTIF($F1308:$AJ1308,"HCL"))</f>
        <v/>
      </c>
      <c r="AU1308" s="34" t="str">
        <f aca="false">IF($B1308="","",COUNTIF($F1308:$AJ1308,"WO"))</f>
        <v/>
      </c>
      <c r="AV1308" s="34" t="str">
        <f aca="false">IF($B1308="","",COUNTIF($F1308:$AJ1308,"PH"))</f>
        <v/>
      </c>
      <c r="AW1308" s="34" t="str">
        <f aca="false">IF($B1308="","",COUNTIF($F1308:$AJ1308,"TR"))</f>
        <v/>
      </c>
      <c r="AX1308" s="35" t="str">
        <f aca="false">IF($B1308="","",AO1308+AS1308/2)</f>
        <v/>
      </c>
      <c r="AY1308" s="35" t="str">
        <f aca="false">IF($B1308="","",AQ1308)</f>
        <v/>
      </c>
      <c r="AZ1308" s="35" t="str">
        <f aca="false">IF($B1308="","",AP1308+AT1308/2)</f>
        <v/>
      </c>
      <c r="BA1308" s="35" t="str">
        <f aca="false">IF($B1308="","",AK1308+AN1308+AM1308/2+AO1308+AP1308+AQ1308+AR1308+AS1308+AT1308+AU1308+AV1308+AW1308)</f>
        <v/>
      </c>
      <c r="BB1308" s="35" t="str">
        <f aca="false">IF($B1308="","",MAX(0,AN1308-Settings!$C$16)*Settings!$C$17)</f>
        <v/>
      </c>
      <c r="BC1308" s="35" t="str">
        <f aca="false">IF($B1308="","",BA1308-BB1308)</f>
        <v/>
      </c>
      <c r="BD1308" s="35" t="str">
        <f aca="false">IF(OR($B1308="",$A1308=""),"",DAY(EOMONTH($A1308,0))-COUNTA($F1308:$AJ1308))</f>
        <v/>
      </c>
    </row>
    <row r="1309" customFormat="false" ht="15" hidden="false" customHeight="false" outlineLevel="0" collapsed="false">
      <c r="A1309" s="32"/>
      <c r="B1309" s="29"/>
      <c r="C1309" s="10" t="str">
        <f aca="false">IF($B1309="","",IFERROR(INDEX(M_name,MATCH($B1309,M_emp,0)),"Code not found"))</f>
        <v/>
      </c>
      <c r="D1309" s="10" t="str">
        <f aca="false">IF($B1309="","",IFERROR(INDEX(M_dept,MATCH($B1309,M_emp,0)),""))</f>
        <v/>
      </c>
      <c r="E1309" s="10" t="str">
        <f aca="false">IF($B1309="","",IFERROR(INDEX(M_loc,MATCH($B1309,M_emp,0)),""))</f>
        <v/>
      </c>
      <c r="F1309" s="33"/>
      <c r="G1309" s="33"/>
      <c r="H1309" s="33"/>
      <c r="I1309" s="33"/>
      <c r="J1309" s="33"/>
      <c r="K1309" s="33"/>
      <c r="L1309" s="33"/>
      <c r="M1309" s="33"/>
      <c r="N1309" s="33"/>
      <c r="O1309" s="33"/>
      <c r="P1309" s="33"/>
      <c r="Q1309" s="33"/>
      <c r="R1309" s="33"/>
      <c r="S1309" s="33"/>
      <c r="T1309" s="33"/>
      <c r="U1309" s="33"/>
      <c r="V1309" s="33"/>
      <c r="W1309" s="33"/>
      <c r="X1309" s="33"/>
      <c r="Y1309" s="33"/>
      <c r="Z1309" s="33"/>
      <c r="AA1309" s="33"/>
      <c r="AB1309" s="33"/>
      <c r="AC1309" s="33"/>
      <c r="AD1309" s="33"/>
      <c r="AE1309" s="33"/>
      <c r="AF1309" s="33"/>
      <c r="AG1309" s="33"/>
      <c r="AH1309" s="33"/>
      <c r="AI1309" s="33"/>
      <c r="AJ1309" s="33"/>
      <c r="AK1309" s="34" t="str">
        <f aca="false">IF($B1309="","",COUNTIF($F1309:$AJ1309,"P"))</f>
        <v/>
      </c>
      <c r="AL1309" s="34" t="str">
        <f aca="false">IF($B1309="","",COUNTIF($F1309:$AJ1309,"A"))</f>
        <v/>
      </c>
      <c r="AM1309" s="34" t="str">
        <f aca="false">IF($B1309="","",COUNTIF($F1309:$AJ1309,"HA"))</f>
        <v/>
      </c>
      <c r="AN1309" s="34" t="str">
        <f aca="false">IF($B1309="","",COUNTIF($F1309:$AJ1309,"L"))</f>
        <v/>
      </c>
      <c r="AO1309" s="34" t="str">
        <f aca="false">IF($B1309="","",COUNTIF($F1309:$AJ1309,"PL"))</f>
        <v/>
      </c>
      <c r="AP1309" s="34" t="str">
        <f aca="false">IF($B1309="","",COUNTIF($F1309:$AJ1309,"CL"))</f>
        <v/>
      </c>
      <c r="AQ1309" s="34" t="str">
        <f aca="false">IF($B1309="","",COUNTIF($F1309:$AJ1309,"SL"))</f>
        <v/>
      </c>
      <c r="AR1309" s="34" t="str">
        <f aca="false">IF($B1309="","",COUNTIF($F1309:$AJ1309,"CO"))</f>
        <v/>
      </c>
      <c r="AS1309" s="34" t="str">
        <f aca="false">IF($B1309="","",COUNTIF($F1309:$AJ1309,"HPL"))</f>
        <v/>
      </c>
      <c r="AT1309" s="34" t="str">
        <f aca="false">IF($B1309="","",COUNTIF($F1309:$AJ1309,"HCL"))</f>
        <v/>
      </c>
      <c r="AU1309" s="34" t="str">
        <f aca="false">IF($B1309="","",COUNTIF($F1309:$AJ1309,"WO"))</f>
        <v/>
      </c>
      <c r="AV1309" s="34" t="str">
        <f aca="false">IF($B1309="","",COUNTIF($F1309:$AJ1309,"PH"))</f>
        <v/>
      </c>
      <c r="AW1309" s="34" t="str">
        <f aca="false">IF($B1309="","",COUNTIF($F1309:$AJ1309,"TR"))</f>
        <v/>
      </c>
      <c r="AX1309" s="35" t="str">
        <f aca="false">IF($B1309="","",AO1309+AS1309/2)</f>
        <v/>
      </c>
      <c r="AY1309" s="35" t="str">
        <f aca="false">IF($B1309="","",AQ1309)</f>
        <v/>
      </c>
      <c r="AZ1309" s="35" t="str">
        <f aca="false">IF($B1309="","",AP1309+AT1309/2)</f>
        <v/>
      </c>
      <c r="BA1309" s="35" t="str">
        <f aca="false">IF($B1309="","",AK1309+AN1309+AM1309/2+AO1309+AP1309+AQ1309+AR1309+AS1309+AT1309+AU1309+AV1309+AW1309)</f>
        <v/>
      </c>
      <c r="BB1309" s="35" t="str">
        <f aca="false">IF($B1309="","",MAX(0,AN1309-Settings!$C$16)*Settings!$C$17)</f>
        <v/>
      </c>
      <c r="BC1309" s="35" t="str">
        <f aca="false">IF($B1309="","",BA1309-BB1309)</f>
        <v/>
      </c>
      <c r="BD1309" s="35" t="str">
        <f aca="false">IF(OR($B1309="",$A1309=""),"",DAY(EOMONTH($A1309,0))-COUNTA($F1309:$AJ1309))</f>
        <v/>
      </c>
    </row>
    <row r="1310" customFormat="false" ht="15" hidden="false" customHeight="false" outlineLevel="0" collapsed="false">
      <c r="A1310" s="32"/>
      <c r="B1310" s="29"/>
      <c r="C1310" s="10" t="str">
        <f aca="false">IF($B1310="","",IFERROR(INDEX(M_name,MATCH($B1310,M_emp,0)),"Code not found"))</f>
        <v/>
      </c>
      <c r="D1310" s="10" t="str">
        <f aca="false">IF($B1310="","",IFERROR(INDEX(M_dept,MATCH($B1310,M_emp,0)),""))</f>
        <v/>
      </c>
      <c r="E1310" s="10" t="str">
        <f aca="false">IF($B1310="","",IFERROR(INDEX(M_loc,MATCH($B1310,M_emp,0)),""))</f>
        <v/>
      </c>
      <c r="F1310" s="33"/>
      <c r="G1310" s="33"/>
      <c r="H1310" s="33"/>
      <c r="I1310" s="33"/>
      <c r="J1310" s="33"/>
      <c r="K1310" s="33"/>
      <c r="L1310" s="33"/>
      <c r="M1310" s="33"/>
      <c r="N1310" s="33"/>
      <c r="O1310" s="33"/>
      <c r="P1310" s="33"/>
      <c r="Q1310" s="33"/>
      <c r="R1310" s="33"/>
      <c r="S1310" s="33"/>
      <c r="T1310" s="33"/>
      <c r="U1310" s="33"/>
      <c r="V1310" s="33"/>
      <c r="W1310" s="33"/>
      <c r="X1310" s="33"/>
      <c r="Y1310" s="33"/>
      <c r="Z1310" s="33"/>
      <c r="AA1310" s="33"/>
      <c r="AB1310" s="33"/>
      <c r="AC1310" s="33"/>
      <c r="AD1310" s="33"/>
      <c r="AE1310" s="33"/>
      <c r="AF1310" s="33"/>
      <c r="AG1310" s="33"/>
      <c r="AH1310" s="33"/>
      <c r="AI1310" s="33"/>
      <c r="AJ1310" s="33"/>
      <c r="AK1310" s="34" t="str">
        <f aca="false">IF($B1310="","",COUNTIF($F1310:$AJ1310,"P"))</f>
        <v/>
      </c>
      <c r="AL1310" s="34" t="str">
        <f aca="false">IF($B1310="","",COUNTIF($F1310:$AJ1310,"A"))</f>
        <v/>
      </c>
      <c r="AM1310" s="34" t="str">
        <f aca="false">IF($B1310="","",COUNTIF($F1310:$AJ1310,"HA"))</f>
        <v/>
      </c>
      <c r="AN1310" s="34" t="str">
        <f aca="false">IF($B1310="","",COUNTIF($F1310:$AJ1310,"L"))</f>
        <v/>
      </c>
      <c r="AO1310" s="34" t="str">
        <f aca="false">IF($B1310="","",COUNTIF($F1310:$AJ1310,"PL"))</f>
        <v/>
      </c>
      <c r="AP1310" s="34" t="str">
        <f aca="false">IF($B1310="","",COUNTIF($F1310:$AJ1310,"CL"))</f>
        <v/>
      </c>
      <c r="AQ1310" s="34" t="str">
        <f aca="false">IF($B1310="","",COUNTIF($F1310:$AJ1310,"SL"))</f>
        <v/>
      </c>
      <c r="AR1310" s="34" t="str">
        <f aca="false">IF($B1310="","",COUNTIF($F1310:$AJ1310,"CO"))</f>
        <v/>
      </c>
      <c r="AS1310" s="34" t="str">
        <f aca="false">IF($B1310="","",COUNTIF($F1310:$AJ1310,"HPL"))</f>
        <v/>
      </c>
      <c r="AT1310" s="34" t="str">
        <f aca="false">IF($B1310="","",COUNTIF($F1310:$AJ1310,"HCL"))</f>
        <v/>
      </c>
      <c r="AU1310" s="34" t="str">
        <f aca="false">IF($B1310="","",COUNTIF($F1310:$AJ1310,"WO"))</f>
        <v/>
      </c>
      <c r="AV1310" s="34" t="str">
        <f aca="false">IF($B1310="","",COUNTIF($F1310:$AJ1310,"PH"))</f>
        <v/>
      </c>
      <c r="AW1310" s="34" t="str">
        <f aca="false">IF($B1310="","",COUNTIF($F1310:$AJ1310,"TR"))</f>
        <v/>
      </c>
      <c r="AX1310" s="35" t="str">
        <f aca="false">IF($B1310="","",AO1310+AS1310/2)</f>
        <v/>
      </c>
      <c r="AY1310" s="35" t="str">
        <f aca="false">IF($B1310="","",AQ1310)</f>
        <v/>
      </c>
      <c r="AZ1310" s="35" t="str">
        <f aca="false">IF($B1310="","",AP1310+AT1310/2)</f>
        <v/>
      </c>
      <c r="BA1310" s="35" t="str">
        <f aca="false">IF($B1310="","",AK1310+AN1310+AM1310/2+AO1310+AP1310+AQ1310+AR1310+AS1310+AT1310+AU1310+AV1310+AW1310)</f>
        <v/>
      </c>
      <c r="BB1310" s="35" t="str">
        <f aca="false">IF($B1310="","",MAX(0,AN1310-Settings!$C$16)*Settings!$C$17)</f>
        <v/>
      </c>
      <c r="BC1310" s="35" t="str">
        <f aca="false">IF($B1310="","",BA1310-BB1310)</f>
        <v/>
      </c>
      <c r="BD1310" s="35" t="str">
        <f aca="false">IF(OR($B1310="",$A1310=""),"",DAY(EOMONTH($A1310,0))-COUNTA($F1310:$AJ1310))</f>
        <v/>
      </c>
    </row>
    <row r="1311" customFormat="false" ht="15" hidden="false" customHeight="false" outlineLevel="0" collapsed="false">
      <c r="A1311" s="32"/>
      <c r="B1311" s="29"/>
      <c r="C1311" s="10" t="str">
        <f aca="false">IF($B1311="","",IFERROR(INDEX(M_name,MATCH($B1311,M_emp,0)),"Code not found"))</f>
        <v/>
      </c>
      <c r="D1311" s="10" t="str">
        <f aca="false">IF($B1311="","",IFERROR(INDEX(M_dept,MATCH($B1311,M_emp,0)),""))</f>
        <v/>
      </c>
      <c r="E1311" s="10" t="str">
        <f aca="false">IF($B1311="","",IFERROR(INDEX(M_loc,MATCH($B1311,M_emp,0)),""))</f>
        <v/>
      </c>
      <c r="F1311" s="33"/>
      <c r="G1311" s="33"/>
      <c r="H1311" s="33"/>
      <c r="I1311" s="33"/>
      <c r="J1311" s="33"/>
      <c r="K1311" s="33"/>
      <c r="L1311" s="33"/>
      <c r="M1311" s="33"/>
      <c r="N1311" s="33"/>
      <c r="O1311" s="33"/>
      <c r="P1311" s="33"/>
      <c r="Q1311" s="33"/>
      <c r="R1311" s="33"/>
      <c r="S1311" s="33"/>
      <c r="T1311" s="33"/>
      <c r="U1311" s="33"/>
      <c r="V1311" s="33"/>
      <c r="W1311" s="33"/>
      <c r="X1311" s="33"/>
      <c r="Y1311" s="33"/>
      <c r="Z1311" s="33"/>
      <c r="AA1311" s="33"/>
      <c r="AB1311" s="33"/>
      <c r="AC1311" s="33"/>
      <c r="AD1311" s="33"/>
      <c r="AE1311" s="33"/>
      <c r="AF1311" s="33"/>
      <c r="AG1311" s="33"/>
      <c r="AH1311" s="33"/>
      <c r="AI1311" s="33"/>
      <c r="AJ1311" s="33"/>
      <c r="AK1311" s="34" t="str">
        <f aca="false">IF($B1311="","",COUNTIF($F1311:$AJ1311,"P"))</f>
        <v/>
      </c>
      <c r="AL1311" s="34" t="str">
        <f aca="false">IF($B1311="","",COUNTIF($F1311:$AJ1311,"A"))</f>
        <v/>
      </c>
      <c r="AM1311" s="34" t="str">
        <f aca="false">IF($B1311="","",COUNTIF($F1311:$AJ1311,"HA"))</f>
        <v/>
      </c>
      <c r="AN1311" s="34" t="str">
        <f aca="false">IF($B1311="","",COUNTIF($F1311:$AJ1311,"L"))</f>
        <v/>
      </c>
      <c r="AO1311" s="34" t="str">
        <f aca="false">IF($B1311="","",COUNTIF($F1311:$AJ1311,"PL"))</f>
        <v/>
      </c>
      <c r="AP1311" s="34" t="str">
        <f aca="false">IF($B1311="","",COUNTIF($F1311:$AJ1311,"CL"))</f>
        <v/>
      </c>
      <c r="AQ1311" s="34" t="str">
        <f aca="false">IF($B1311="","",COUNTIF($F1311:$AJ1311,"SL"))</f>
        <v/>
      </c>
      <c r="AR1311" s="34" t="str">
        <f aca="false">IF($B1311="","",COUNTIF($F1311:$AJ1311,"CO"))</f>
        <v/>
      </c>
      <c r="AS1311" s="34" t="str">
        <f aca="false">IF($B1311="","",COUNTIF($F1311:$AJ1311,"HPL"))</f>
        <v/>
      </c>
      <c r="AT1311" s="34" t="str">
        <f aca="false">IF($B1311="","",COUNTIF($F1311:$AJ1311,"HCL"))</f>
        <v/>
      </c>
      <c r="AU1311" s="34" t="str">
        <f aca="false">IF($B1311="","",COUNTIF($F1311:$AJ1311,"WO"))</f>
        <v/>
      </c>
      <c r="AV1311" s="34" t="str">
        <f aca="false">IF($B1311="","",COUNTIF($F1311:$AJ1311,"PH"))</f>
        <v/>
      </c>
      <c r="AW1311" s="34" t="str">
        <f aca="false">IF($B1311="","",COUNTIF($F1311:$AJ1311,"TR"))</f>
        <v/>
      </c>
      <c r="AX1311" s="35" t="str">
        <f aca="false">IF($B1311="","",AO1311+AS1311/2)</f>
        <v/>
      </c>
      <c r="AY1311" s="35" t="str">
        <f aca="false">IF($B1311="","",AQ1311)</f>
        <v/>
      </c>
      <c r="AZ1311" s="35" t="str">
        <f aca="false">IF($B1311="","",AP1311+AT1311/2)</f>
        <v/>
      </c>
      <c r="BA1311" s="35" t="str">
        <f aca="false">IF($B1311="","",AK1311+AN1311+AM1311/2+AO1311+AP1311+AQ1311+AR1311+AS1311+AT1311+AU1311+AV1311+AW1311)</f>
        <v/>
      </c>
      <c r="BB1311" s="35" t="str">
        <f aca="false">IF($B1311="","",MAX(0,AN1311-Settings!$C$16)*Settings!$C$17)</f>
        <v/>
      </c>
      <c r="BC1311" s="35" t="str">
        <f aca="false">IF($B1311="","",BA1311-BB1311)</f>
        <v/>
      </c>
      <c r="BD1311" s="35" t="str">
        <f aca="false">IF(OR($B1311="",$A1311=""),"",DAY(EOMONTH($A1311,0))-COUNTA($F1311:$AJ1311))</f>
        <v/>
      </c>
    </row>
    <row r="1312" customFormat="false" ht="15" hidden="false" customHeight="false" outlineLevel="0" collapsed="false">
      <c r="A1312" s="32"/>
      <c r="B1312" s="29"/>
      <c r="C1312" s="10" t="str">
        <f aca="false">IF($B1312="","",IFERROR(INDEX(M_name,MATCH($B1312,M_emp,0)),"Code not found"))</f>
        <v/>
      </c>
      <c r="D1312" s="10" t="str">
        <f aca="false">IF($B1312="","",IFERROR(INDEX(M_dept,MATCH($B1312,M_emp,0)),""))</f>
        <v/>
      </c>
      <c r="E1312" s="10" t="str">
        <f aca="false">IF($B1312="","",IFERROR(INDEX(M_loc,MATCH($B1312,M_emp,0)),""))</f>
        <v/>
      </c>
      <c r="F1312" s="33"/>
      <c r="G1312" s="33"/>
      <c r="H1312" s="33"/>
      <c r="I1312" s="33"/>
      <c r="J1312" s="33"/>
      <c r="K1312" s="33"/>
      <c r="L1312" s="33"/>
      <c r="M1312" s="33"/>
      <c r="N1312" s="33"/>
      <c r="O1312" s="33"/>
      <c r="P1312" s="33"/>
      <c r="Q1312" s="33"/>
      <c r="R1312" s="33"/>
      <c r="S1312" s="33"/>
      <c r="T1312" s="33"/>
      <c r="U1312" s="33"/>
      <c r="V1312" s="33"/>
      <c r="W1312" s="33"/>
      <c r="X1312" s="33"/>
      <c r="Y1312" s="33"/>
      <c r="Z1312" s="33"/>
      <c r="AA1312" s="33"/>
      <c r="AB1312" s="33"/>
      <c r="AC1312" s="33"/>
      <c r="AD1312" s="33"/>
      <c r="AE1312" s="33"/>
      <c r="AF1312" s="33"/>
      <c r="AG1312" s="33"/>
      <c r="AH1312" s="33"/>
      <c r="AI1312" s="33"/>
      <c r="AJ1312" s="33"/>
      <c r="AK1312" s="34" t="str">
        <f aca="false">IF($B1312="","",COUNTIF($F1312:$AJ1312,"P"))</f>
        <v/>
      </c>
      <c r="AL1312" s="34" t="str">
        <f aca="false">IF($B1312="","",COUNTIF($F1312:$AJ1312,"A"))</f>
        <v/>
      </c>
      <c r="AM1312" s="34" t="str">
        <f aca="false">IF($B1312="","",COUNTIF($F1312:$AJ1312,"HA"))</f>
        <v/>
      </c>
      <c r="AN1312" s="34" t="str">
        <f aca="false">IF($B1312="","",COUNTIF($F1312:$AJ1312,"L"))</f>
        <v/>
      </c>
      <c r="AO1312" s="34" t="str">
        <f aca="false">IF($B1312="","",COUNTIF($F1312:$AJ1312,"PL"))</f>
        <v/>
      </c>
      <c r="AP1312" s="34" t="str">
        <f aca="false">IF($B1312="","",COUNTIF($F1312:$AJ1312,"CL"))</f>
        <v/>
      </c>
      <c r="AQ1312" s="34" t="str">
        <f aca="false">IF($B1312="","",COUNTIF($F1312:$AJ1312,"SL"))</f>
        <v/>
      </c>
      <c r="AR1312" s="34" t="str">
        <f aca="false">IF($B1312="","",COUNTIF($F1312:$AJ1312,"CO"))</f>
        <v/>
      </c>
      <c r="AS1312" s="34" t="str">
        <f aca="false">IF($B1312="","",COUNTIF($F1312:$AJ1312,"HPL"))</f>
        <v/>
      </c>
      <c r="AT1312" s="34" t="str">
        <f aca="false">IF($B1312="","",COUNTIF($F1312:$AJ1312,"HCL"))</f>
        <v/>
      </c>
      <c r="AU1312" s="34" t="str">
        <f aca="false">IF($B1312="","",COUNTIF($F1312:$AJ1312,"WO"))</f>
        <v/>
      </c>
      <c r="AV1312" s="34" t="str">
        <f aca="false">IF($B1312="","",COUNTIF($F1312:$AJ1312,"PH"))</f>
        <v/>
      </c>
      <c r="AW1312" s="34" t="str">
        <f aca="false">IF($B1312="","",COUNTIF($F1312:$AJ1312,"TR"))</f>
        <v/>
      </c>
      <c r="AX1312" s="35" t="str">
        <f aca="false">IF($B1312="","",AO1312+AS1312/2)</f>
        <v/>
      </c>
      <c r="AY1312" s="35" t="str">
        <f aca="false">IF($B1312="","",AQ1312)</f>
        <v/>
      </c>
      <c r="AZ1312" s="35" t="str">
        <f aca="false">IF($B1312="","",AP1312+AT1312/2)</f>
        <v/>
      </c>
      <c r="BA1312" s="35" t="str">
        <f aca="false">IF($B1312="","",AK1312+AN1312+AM1312/2+AO1312+AP1312+AQ1312+AR1312+AS1312+AT1312+AU1312+AV1312+AW1312)</f>
        <v/>
      </c>
      <c r="BB1312" s="35" t="str">
        <f aca="false">IF($B1312="","",MAX(0,AN1312-Settings!$C$16)*Settings!$C$17)</f>
        <v/>
      </c>
      <c r="BC1312" s="35" t="str">
        <f aca="false">IF($B1312="","",BA1312-BB1312)</f>
        <v/>
      </c>
      <c r="BD1312" s="35" t="str">
        <f aca="false">IF(OR($B1312="",$A1312=""),"",DAY(EOMONTH($A1312,0))-COUNTA($F1312:$AJ1312))</f>
        <v/>
      </c>
    </row>
    <row r="1313" customFormat="false" ht="15" hidden="false" customHeight="false" outlineLevel="0" collapsed="false">
      <c r="A1313" s="32"/>
      <c r="B1313" s="29"/>
      <c r="C1313" s="10" t="str">
        <f aca="false">IF($B1313="","",IFERROR(INDEX(M_name,MATCH($B1313,M_emp,0)),"Code not found"))</f>
        <v/>
      </c>
      <c r="D1313" s="10" t="str">
        <f aca="false">IF($B1313="","",IFERROR(INDEX(M_dept,MATCH($B1313,M_emp,0)),""))</f>
        <v/>
      </c>
      <c r="E1313" s="10" t="str">
        <f aca="false">IF($B1313="","",IFERROR(INDEX(M_loc,MATCH($B1313,M_emp,0)),""))</f>
        <v/>
      </c>
      <c r="F1313" s="33"/>
      <c r="G1313" s="33"/>
      <c r="H1313" s="33"/>
      <c r="I1313" s="33"/>
      <c r="J1313" s="33"/>
      <c r="K1313" s="33"/>
      <c r="L1313" s="33"/>
      <c r="M1313" s="33"/>
      <c r="N1313" s="33"/>
      <c r="O1313" s="33"/>
      <c r="P1313" s="33"/>
      <c r="Q1313" s="33"/>
      <c r="R1313" s="33"/>
      <c r="S1313" s="33"/>
      <c r="T1313" s="33"/>
      <c r="U1313" s="33"/>
      <c r="V1313" s="33"/>
      <c r="W1313" s="33"/>
      <c r="X1313" s="33"/>
      <c r="Y1313" s="33"/>
      <c r="Z1313" s="33"/>
      <c r="AA1313" s="33"/>
      <c r="AB1313" s="33"/>
      <c r="AC1313" s="33"/>
      <c r="AD1313" s="33"/>
      <c r="AE1313" s="33"/>
      <c r="AF1313" s="33"/>
      <c r="AG1313" s="33"/>
      <c r="AH1313" s="33"/>
      <c r="AI1313" s="33"/>
      <c r="AJ1313" s="33"/>
      <c r="AK1313" s="34" t="str">
        <f aca="false">IF($B1313="","",COUNTIF($F1313:$AJ1313,"P"))</f>
        <v/>
      </c>
      <c r="AL1313" s="34" t="str">
        <f aca="false">IF($B1313="","",COUNTIF($F1313:$AJ1313,"A"))</f>
        <v/>
      </c>
      <c r="AM1313" s="34" t="str">
        <f aca="false">IF($B1313="","",COUNTIF($F1313:$AJ1313,"HA"))</f>
        <v/>
      </c>
      <c r="AN1313" s="34" t="str">
        <f aca="false">IF($B1313="","",COUNTIF($F1313:$AJ1313,"L"))</f>
        <v/>
      </c>
      <c r="AO1313" s="34" t="str">
        <f aca="false">IF($B1313="","",COUNTIF($F1313:$AJ1313,"PL"))</f>
        <v/>
      </c>
      <c r="AP1313" s="34" t="str">
        <f aca="false">IF($B1313="","",COUNTIF($F1313:$AJ1313,"CL"))</f>
        <v/>
      </c>
      <c r="AQ1313" s="34" t="str">
        <f aca="false">IF($B1313="","",COUNTIF($F1313:$AJ1313,"SL"))</f>
        <v/>
      </c>
      <c r="AR1313" s="34" t="str">
        <f aca="false">IF($B1313="","",COUNTIF($F1313:$AJ1313,"CO"))</f>
        <v/>
      </c>
      <c r="AS1313" s="34" t="str">
        <f aca="false">IF($B1313="","",COUNTIF($F1313:$AJ1313,"HPL"))</f>
        <v/>
      </c>
      <c r="AT1313" s="34" t="str">
        <f aca="false">IF($B1313="","",COUNTIF($F1313:$AJ1313,"HCL"))</f>
        <v/>
      </c>
      <c r="AU1313" s="34" t="str">
        <f aca="false">IF($B1313="","",COUNTIF($F1313:$AJ1313,"WO"))</f>
        <v/>
      </c>
      <c r="AV1313" s="34" t="str">
        <f aca="false">IF($B1313="","",COUNTIF($F1313:$AJ1313,"PH"))</f>
        <v/>
      </c>
      <c r="AW1313" s="34" t="str">
        <f aca="false">IF($B1313="","",COUNTIF($F1313:$AJ1313,"TR"))</f>
        <v/>
      </c>
      <c r="AX1313" s="35" t="str">
        <f aca="false">IF($B1313="","",AO1313+AS1313/2)</f>
        <v/>
      </c>
      <c r="AY1313" s="35" t="str">
        <f aca="false">IF($B1313="","",AQ1313)</f>
        <v/>
      </c>
      <c r="AZ1313" s="35" t="str">
        <f aca="false">IF($B1313="","",AP1313+AT1313/2)</f>
        <v/>
      </c>
      <c r="BA1313" s="35" t="str">
        <f aca="false">IF($B1313="","",AK1313+AN1313+AM1313/2+AO1313+AP1313+AQ1313+AR1313+AS1313+AT1313+AU1313+AV1313+AW1313)</f>
        <v/>
      </c>
      <c r="BB1313" s="35" t="str">
        <f aca="false">IF($B1313="","",MAX(0,AN1313-Settings!$C$16)*Settings!$C$17)</f>
        <v/>
      </c>
      <c r="BC1313" s="35" t="str">
        <f aca="false">IF($B1313="","",BA1313-BB1313)</f>
        <v/>
      </c>
      <c r="BD1313" s="35" t="str">
        <f aca="false">IF(OR($B1313="",$A1313=""),"",DAY(EOMONTH($A1313,0))-COUNTA($F1313:$AJ1313))</f>
        <v/>
      </c>
    </row>
    <row r="1314" customFormat="false" ht="15" hidden="false" customHeight="false" outlineLevel="0" collapsed="false">
      <c r="A1314" s="32"/>
      <c r="B1314" s="29"/>
      <c r="C1314" s="10" t="str">
        <f aca="false">IF($B1314="","",IFERROR(INDEX(M_name,MATCH($B1314,M_emp,0)),"Code not found"))</f>
        <v/>
      </c>
      <c r="D1314" s="10" t="str">
        <f aca="false">IF($B1314="","",IFERROR(INDEX(M_dept,MATCH($B1314,M_emp,0)),""))</f>
        <v/>
      </c>
      <c r="E1314" s="10" t="str">
        <f aca="false">IF($B1314="","",IFERROR(INDEX(M_loc,MATCH($B1314,M_emp,0)),""))</f>
        <v/>
      </c>
      <c r="F1314" s="33"/>
      <c r="G1314" s="33"/>
      <c r="H1314" s="33"/>
      <c r="I1314" s="33"/>
      <c r="J1314" s="33"/>
      <c r="K1314" s="33"/>
      <c r="L1314" s="33"/>
      <c r="M1314" s="33"/>
      <c r="N1314" s="33"/>
      <c r="O1314" s="33"/>
      <c r="P1314" s="33"/>
      <c r="Q1314" s="33"/>
      <c r="R1314" s="33"/>
      <c r="S1314" s="33"/>
      <c r="T1314" s="33"/>
      <c r="U1314" s="33"/>
      <c r="V1314" s="33"/>
      <c r="W1314" s="33"/>
      <c r="X1314" s="33"/>
      <c r="Y1314" s="33"/>
      <c r="Z1314" s="33"/>
      <c r="AA1314" s="33"/>
      <c r="AB1314" s="33"/>
      <c r="AC1314" s="33"/>
      <c r="AD1314" s="33"/>
      <c r="AE1314" s="33"/>
      <c r="AF1314" s="33"/>
      <c r="AG1314" s="33"/>
      <c r="AH1314" s="33"/>
      <c r="AI1314" s="33"/>
      <c r="AJ1314" s="33"/>
      <c r="AK1314" s="34" t="str">
        <f aca="false">IF($B1314="","",COUNTIF($F1314:$AJ1314,"P"))</f>
        <v/>
      </c>
      <c r="AL1314" s="34" t="str">
        <f aca="false">IF($B1314="","",COUNTIF($F1314:$AJ1314,"A"))</f>
        <v/>
      </c>
      <c r="AM1314" s="34" t="str">
        <f aca="false">IF($B1314="","",COUNTIF($F1314:$AJ1314,"HA"))</f>
        <v/>
      </c>
      <c r="AN1314" s="34" t="str">
        <f aca="false">IF($B1314="","",COUNTIF($F1314:$AJ1314,"L"))</f>
        <v/>
      </c>
      <c r="AO1314" s="34" t="str">
        <f aca="false">IF($B1314="","",COUNTIF($F1314:$AJ1314,"PL"))</f>
        <v/>
      </c>
      <c r="AP1314" s="34" t="str">
        <f aca="false">IF($B1314="","",COUNTIF($F1314:$AJ1314,"CL"))</f>
        <v/>
      </c>
      <c r="AQ1314" s="34" t="str">
        <f aca="false">IF($B1314="","",COUNTIF($F1314:$AJ1314,"SL"))</f>
        <v/>
      </c>
      <c r="AR1314" s="34" t="str">
        <f aca="false">IF($B1314="","",COUNTIF($F1314:$AJ1314,"CO"))</f>
        <v/>
      </c>
      <c r="AS1314" s="34" t="str">
        <f aca="false">IF($B1314="","",COUNTIF($F1314:$AJ1314,"HPL"))</f>
        <v/>
      </c>
      <c r="AT1314" s="34" t="str">
        <f aca="false">IF($B1314="","",COUNTIF($F1314:$AJ1314,"HCL"))</f>
        <v/>
      </c>
      <c r="AU1314" s="34" t="str">
        <f aca="false">IF($B1314="","",COUNTIF($F1314:$AJ1314,"WO"))</f>
        <v/>
      </c>
      <c r="AV1314" s="34" t="str">
        <f aca="false">IF($B1314="","",COUNTIF($F1314:$AJ1314,"PH"))</f>
        <v/>
      </c>
      <c r="AW1314" s="34" t="str">
        <f aca="false">IF($B1314="","",COUNTIF($F1314:$AJ1314,"TR"))</f>
        <v/>
      </c>
      <c r="AX1314" s="35" t="str">
        <f aca="false">IF($B1314="","",AO1314+AS1314/2)</f>
        <v/>
      </c>
      <c r="AY1314" s="35" t="str">
        <f aca="false">IF($B1314="","",AQ1314)</f>
        <v/>
      </c>
      <c r="AZ1314" s="35" t="str">
        <f aca="false">IF($B1314="","",AP1314+AT1314/2)</f>
        <v/>
      </c>
      <c r="BA1314" s="35" t="str">
        <f aca="false">IF($B1314="","",AK1314+AN1314+AM1314/2+AO1314+AP1314+AQ1314+AR1314+AS1314+AT1314+AU1314+AV1314+AW1314)</f>
        <v/>
      </c>
      <c r="BB1314" s="35" t="str">
        <f aca="false">IF($B1314="","",MAX(0,AN1314-Settings!$C$16)*Settings!$C$17)</f>
        <v/>
      </c>
      <c r="BC1314" s="35" t="str">
        <f aca="false">IF($B1314="","",BA1314-BB1314)</f>
        <v/>
      </c>
      <c r="BD1314" s="35" t="str">
        <f aca="false">IF(OR($B1314="",$A1314=""),"",DAY(EOMONTH($A1314,0))-COUNTA($F1314:$AJ1314))</f>
        <v/>
      </c>
    </row>
    <row r="1315" customFormat="false" ht="15" hidden="false" customHeight="false" outlineLevel="0" collapsed="false">
      <c r="A1315" s="32"/>
      <c r="B1315" s="29"/>
      <c r="C1315" s="10" t="str">
        <f aca="false">IF($B1315="","",IFERROR(INDEX(M_name,MATCH($B1315,M_emp,0)),"Code not found"))</f>
        <v/>
      </c>
      <c r="D1315" s="10" t="str">
        <f aca="false">IF($B1315="","",IFERROR(INDEX(M_dept,MATCH($B1315,M_emp,0)),""))</f>
        <v/>
      </c>
      <c r="E1315" s="10" t="str">
        <f aca="false">IF($B1315="","",IFERROR(INDEX(M_loc,MATCH($B1315,M_emp,0)),""))</f>
        <v/>
      </c>
      <c r="F1315" s="33"/>
      <c r="G1315" s="33"/>
      <c r="H1315" s="33"/>
      <c r="I1315" s="33"/>
      <c r="J1315" s="33"/>
      <c r="K1315" s="33"/>
      <c r="L1315" s="33"/>
      <c r="M1315" s="33"/>
      <c r="N1315" s="33"/>
      <c r="O1315" s="33"/>
      <c r="P1315" s="33"/>
      <c r="Q1315" s="33"/>
      <c r="R1315" s="33"/>
      <c r="S1315" s="33"/>
      <c r="T1315" s="33"/>
      <c r="U1315" s="33"/>
      <c r="V1315" s="33"/>
      <c r="W1315" s="33"/>
      <c r="X1315" s="33"/>
      <c r="Y1315" s="33"/>
      <c r="Z1315" s="33"/>
      <c r="AA1315" s="33"/>
      <c r="AB1315" s="33"/>
      <c r="AC1315" s="33"/>
      <c r="AD1315" s="33"/>
      <c r="AE1315" s="33"/>
      <c r="AF1315" s="33"/>
      <c r="AG1315" s="33"/>
      <c r="AH1315" s="33"/>
      <c r="AI1315" s="33"/>
      <c r="AJ1315" s="33"/>
      <c r="AK1315" s="34" t="str">
        <f aca="false">IF($B1315="","",COUNTIF($F1315:$AJ1315,"P"))</f>
        <v/>
      </c>
      <c r="AL1315" s="34" t="str">
        <f aca="false">IF($B1315="","",COUNTIF($F1315:$AJ1315,"A"))</f>
        <v/>
      </c>
      <c r="AM1315" s="34" t="str">
        <f aca="false">IF($B1315="","",COUNTIF($F1315:$AJ1315,"HA"))</f>
        <v/>
      </c>
      <c r="AN1315" s="34" t="str">
        <f aca="false">IF($B1315="","",COUNTIF($F1315:$AJ1315,"L"))</f>
        <v/>
      </c>
      <c r="AO1315" s="34" t="str">
        <f aca="false">IF($B1315="","",COUNTIF($F1315:$AJ1315,"PL"))</f>
        <v/>
      </c>
      <c r="AP1315" s="34" t="str">
        <f aca="false">IF($B1315="","",COUNTIF($F1315:$AJ1315,"CL"))</f>
        <v/>
      </c>
      <c r="AQ1315" s="34" t="str">
        <f aca="false">IF($B1315="","",COUNTIF($F1315:$AJ1315,"SL"))</f>
        <v/>
      </c>
      <c r="AR1315" s="34" t="str">
        <f aca="false">IF($B1315="","",COUNTIF($F1315:$AJ1315,"CO"))</f>
        <v/>
      </c>
      <c r="AS1315" s="34" t="str">
        <f aca="false">IF($B1315="","",COUNTIF($F1315:$AJ1315,"HPL"))</f>
        <v/>
      </c>
      <c r="AT1315" s="34" t="str">
        <f aca="false">IF($B1315="","",COUNTIF($F1315:$AJ1315,"HCL"))</f>
        <v/>
      </c>
      <c r="AU1315" s="34" t="str">
        <f aca="false">IF($B1315="","",COUNTIF($F1315:$AJ1315,"WO"))</f>
        <v/>
      </c>
      <c r="AV1315" s="34" t="str">
        <f aca="false">IF($B1315="","",COUNTIF($F1315:$AJ1315,"PH"))</f>
        <v/>
      </c>
      <c r="AW1315" s="34" t="str">
        <f aca="false">IF($B1315="","",COUNTIF($F1315:$AJ1315,"TR"))</f>
        <v/>
      </c>
      <c r="AX1315" s="35" t="str">
        <f aca="false">IF($B1315="","",AO1315+AS1315/2)</f>
        <v/>
      </c>
      <c r="AY1315" s="35" t="str">
        <f aca="false">IF($B1315="","",AQ1315)</f>
        <v/>
      </c>
      <c r="AZ1315" s="35" t="str">
        <f aca="false">IF($B1315="","",AP1315+AT1315/2)</f>
        <v/>
      </c>
      <c r="BA1315" s="35" t="str">
        <f aca="false">IF($B1315="","",AK1315+AN1315+AM1315/2+AO1315+AP1315+AQ1315+AR1315+AS1315+AT1315+AU1315+AV1315+AW1315)</f>
        <v/>
      </c>
      <c r="BB1315" s="35" t="str">
        <f aca="false">IF($B1315="","",MAX(0,AN1315-Settings!$C$16)*Settings!$C$17)</f>
        <v/>
      </c>
      <c r="BC1315" s="35" t="str">
        <f aca="false">IF($B1315="","",BA1315-BB1315)</f>
        <v/>
      </c>
      <c r="BD1315" s="35" t="str">
        <f aca="false">IF(OR($B1315="",$A1315=""),"",DAY(EOMONTH($A1315,0))-COUNTA($F1315:$AJ1315))</f>
        <v/>
      </c>
    </row>
    <row r="1316" customFormat="false" ht="15" hidden="false" customHeight="false" outlineLevel="0" collapsed="false">
      <c r="A1316" s="32"/>
      <c r="B1316" s="29"/>
      <c r="C1316" s="10" t="str">
        <f aca="false">IF($B1316="","",IFERROR(INDEX(M_name,MATCH($B1316,M_emp,0)),"Code not found"))</f>
        <v/>
      </c>
      <c r="D1316" s="10" t="str">
        <f aca="false">IF($B1316="","",IFERROR(INDEX(M_dept,MATCH($B1316,M_emp,0)),""))</f>
        <v/>
      </c>
      <c r="E1316" s="10" t="str">
        <f aca="false">IF($B1316="","",IFERROR(INDEX(M_loc,MATCH($B1316,M_emp,0)),""))</f>
        <v/>
      </c>
      <c r="F1316" s="33"/>
      <c r="G1316" s="33"/>
      <c r="H1316" s="33"/>
      <c r="I1316" s="33"/>
      <c r="J1316" s="33"/>
      <c r="K1316" s="33"/>
      <c r="L1316" s="33"/>
      <c r="M1316" s="33"/>
      <c r="N1316" s="33"/>
      <c r="O1316" s="33"/>
      <c r="P1316" s="33"/>
      <c r="Q1316" s="33"/>
      <c r="R1316" s="33"/>
      <c r="S1316" s="33"/>
      <c r="T1316" s="33"/>
      <c r="U1316" s="33"/>
      <c r="V1316" s="33"/>
      <c r="W1316" s="33"/>
      <c r="X1316" s="33"/>
      <c r="Y1316" s="33"/>
      <c r="Z1316" s="33"/>
      <c r="AA1316" s="33"/>
      <c r="AB1316" s="33"/>
      <c r="AC1316" s="33"/>
      <c r="AD1316" s="33"/>
      <c r="AE1316" s="33"/>
      <c r="AF1316" s="33"/>
      <c r="AG1316" s="33"/>
      <c r="AH1316" s="33"/>
      <c r="AI1316" s="33"/>
      <c r="AJ1316" s="33"/>
      <c r="AK1316" s="34" t="str">
        <f aca="false">IF($B1316="","",COUNTIF($F1316:$AJ1316,"P"))</f>
        <v/>
      </c>
      <c r="AL1316" s="34" t="str">
        <f aca="false">IF($B1316="","",COUNTIF($F1316:$AJ1316,"A"))</f>
        <v/>
      </c>
      <c r="AM1316" s="34" t="str">
        <f aca="false">IF($B1316="","",COUNTIF($F1316:$AJ1316,"HA"))</f>
        <v/>
      </c>
      <c r="AN1316" s="34" t="str">
        <f aca="false">IF($B1316="","",COUNTIF($F1316:$AJ1316,"L"))</f>
        <v/>
      </c>
      <c r="AO1316" s="34" t="str">
        <f aca="false">IF($B1316="","",COUNTIF($F1316:$AJ1316,"PL"))</f>
        <v/>
      </c>
      <c r="AP1316" s="34" t="str">
        <f aca="false">IF($B1316="","",COUNTIF($F1316:$AJ1316,"CL"))</f>
        <v/>
      </c>
      <c r="AQ1316" s="34" t="str">
        <f aca="false">IF($B1316="","",COUNTIF($F1316:$AJ1316,"SL"))</f>
        <v/>
      </c>
      <c r="AR1316" s="34" t="str">
        <f aca="false">IF($B1316="","",COUNTIF($F1316:$AJ1316,"CO"))</f>
        <v/>
      </c>
      <c r="AS1316" s="34" t="str">
        <f aca="false">IF($B1316="","",COUNTIF($F1316:$AJ1316,"HPL"))</f>
        <v/>
      </c>
      <c r="AT1316" s="34" t="str">
        <f aca="false">IF($B1316="","",COUNTIF($F1316:$AJ1316,"HCL"))</f>
        <v/>
      </c>
      <c r="AU1316" s="34" t="str">
        <f aca="false">IF($B1316="","",COUNTIF($F1316:$AJ1316,"WO"))</f>
        <v/>
      </c>
      <c r="AV1316" s="34" t="str">
        <f aca="false">IF($B1316="","",COUNTIF($F1316:$AJ1316,"PH"))</f>
        <v/>
      </c>
      <c r="AW1316" s="34" t="str">
        <f aca="false">IF($B1316="","",COUNTIF($F1316:$AJ1316,"TR"))</f>
        <v/>
      </c>
      <c r="AX1316" s="35" t="str">
        <f aca="false">IF($B1316="","",AO1316+AS1316/2)</f>
        <v/>
      </c>
      <c r="AY1316" s="35" t="str">
        <f aca="false">IF($B1316="","",AQ1316)</f>
        <v/>
      </c>
      <c r="AZ1316" s="35" t="str">
        <f aca="false">IF($B1316="","",AP1316+AT1316/2)</f>
        <v/>
      </c>
      <c r="BA1316" s="35" t="str">
        <f aca="false">IF($B1316="","",AK1316+AN1316+AM1316/2+AO1316+AP1316+AQ1316+AR1316+AS1316+AT1316+AU1316+AV1316+AW1316)</f>
        <v/>
      </c>
      <c r="BB1316" s="35" t="str">
        <f aca="false">IF($B1316="","",MAX(0,AN1316-Settings!$C$16)*Settings!$C$17)</f>
        <v/>
      </c>
      <c r="BC1316" s="35" t="str">
        <f aca="false">IF($B1316="","",BA1316-BB1316)</f>
        <v/>
      </c>
      <c r="BD1316" s="35" t="str">
        <f aca="false">IF(OR($B1316="",$A1316=""),"",DAY(EOMONTH($A1316,0))-COUNTA($F1316:$AJ1316))</f>
        <v/>
      </c>
    </row>
    <row r="1317" customFormat="false" ht="15" hidden="false" customHeight="false" outlineLevel="0" collapsed="false">
      <c r="A1317" s="32"/>
      <c r="B1317" s="29"/>
      <c r="C1317" s="10" t="str">
        <f aca="false">IF($B1317="","",IFERROR(INDEX(M_name,MATCH($B1317,M_emp,0)),"Code not found"))</f>
        <v/>
      </c>
      <c r="D1317" s="10" t="str">
        <f aca="false">IF($B1317="","",IFERROR(INDEX(M_dept,MATCH($B1317,M_emp,0)),""))</f>
        <v/>
      </c>
      <c r="E1317" s="10" t="str">
        <f aca="false">IF($B1317="","",IFERROR(INDEX(M_loc,MATCH($B1317,M_emp,0)),""))</f>
        <v/>
      </c>
      <c r="F1317" s="33"/>
      <c r="G1317" s="33"/>
      <c r="H1317" s="33"/>
      <c r="I1317" s="33"/>
      <c r="J1317" s="33"/>
      <c r="K1317" s="33"/>
      <c r="L1317" s="33"/>
      <c r="M1317" s="33"/>
      <c r="N1317" s="33"/>
      <c r="O1317" s="33"/>
      <c r="P1317" s="33"/>
      <c r="Q1317" s="33"/>
      <c r="R1317" s="33"/>
      <c r="S1317" s="33"/>
      <c r="T1317" s="33"/>
      <c r="U1317" s="33"/>
      <c r="V1317" s="33"/>
      <c r="W1317" s="33"/>
      <c r="X1317" s="33"/>
      <c r="Y1317" s="33"/>
      <c r="Z1317" s="33"/>
      <c r="AA1317" s="33"/>
      <c r="AB1317" s="33"/>
      <c r="AC1317" s="33"/>
      <c r="AD1317" s="33"/>
      <c r="AE1317" s="33"/>
      <c r="AF1317" s="33"/>
      <c r="AG1317" s="33"/>
      <c r="AH1317" s="33"/>
      <c r="AI1317" s="33"/>
      <c r="AJ1317" s="33"/>
      <c r="AK1317" s="34" t="str">
        <f aca="false">IF($B1317="","",COUNTIF($F1317:$AJ1317,"P"))</f>
        <v/>
      </c>
      <c r="AL1317" s="34" t="str">
        <f aca="false">IF($B1317="","",COUNTIF($F1317:$AJ1317,"A"))</f>
        <v/>
      </c>
      <c r="AM1317" s="34" t="str">
        <f aca="false">IF($B1317="","",COUNTIF($F1317:$AJ1317,"HA"))</f>
        <v/>
      </c>
      <c r="AN1317" s="34" t="str">
        <f aca="false">IF($B1317="","",COUNTIF($F1317:$AJ1317,"L"))</f>
        <v/>
      </c>
      <c r="AO1317" s="34" t="str">
        <f aca="false">IF($B1317="","",COUNTIF($F1317:$AJ1317,"PL"))</f>
        <v/>
      </c>
      <c r="AP1317" s="34" t="str">
        <f aca="false">IF($B1317="","",COUNTIF($F1317:$AJ1317,"CL"))</f>
        <v/>
      </c>
      <c r="AQ1317" s="34" t="str">
        <f aca="false">IF($B1317="","",COUNTIF($F1317:$AJ1317,"SL"))</f>
        <v/>
      </c>
      <c r="AR1317" s="34" t="str">
        <f aca="false">IF($B1317="","",COUNTIF($F1317:$AJ1317,"CO"))</f>
        <v/>
      </c>
      <c r="AS1317" s="34" t="str">
        <f aca="false">IF($B1317="","",COUNTIF($F1317:$AJ1317,"HPL"))</f>
        <v/>
      </c>
      <c r="AT1317" s="34" t="str">
        <f aca="false">IF($B1317="","",COUNTIF($F1317:$AJ1317,"HCL"))</f>
        <v/>
      </c>
      <c r="AU1317" s="34" t="str">
        <f aca="false">IF($B1317="","",COUNTIF($F1317:$AJ1317,"WO"))</f>
        <v/>
      </c>
      <c r="AV1317" s="34" t="str">
        <f aca="false">IF($B1317="","",COUNTIF($F1317:$AJ1317,"PH"))</f>
        <v/>
      </c>
      <c r="AW1317" s="34" t="str">
        <f aca="false">IF($B1317="","",COUNTIF($F1317:$AJ1317,"TR"))</f>
        <v/>
      </c>
      <c r="AX1317" s="35" t="str">
        <f aca="false">IF($B1317="","",AO1317+AS1317/2)</f>
        <v/>
      </c>
      <c r="AY1317" s="35" t="str">
        <f aca="false">IF($B1317="","",AQ1317)</f>
        <v/>
      </c>
      <c r="AZ1317" s="35" t="str">
        <f aca="false">IF($B1317="","",AP1317+AT1317/2)</f>
        <v/>
      </c>
      <c r="BA1317" s="35" t="str">
        <f aca="false">IF($B1317="","",AK1317+AN1317+AM1317/2+AO1317+AP1317+AQ1317+AR1317+AS1317+AT1317+AU1317+AV1317+AW1317)</f>
        <v/>
      </c>
      <c r="BB1317" s="35" t="str">
        <f aca="false">IF($B1317="","",MAX(0,AN1317-Settings!$C$16)*Settings!$C$17)</f>
        <v/>
      </c>
      <c r="BC1317" s="35" t="str">
        <f aca="false">IF($B1317="","",BA1317-BB1317)</f>
        <v/>
      </c>
      <c r="BD1317" s="35" t="str">
        <f aca="false">IF(OR($B1317="",$A1317=""),"",DAY(EOMONTH($A1317,0))-COUNTA($F1317:$AJ1317))</f>
        <v/>
      </c>
    </row>
    <row r="1318" customFormat="false" ht="15" hidden="false" customHeight="false" outlineLevel="0" collapsed="false">
      <c r="A1318" s="32"/>
      <c r="B1318" s="29"/>
      <c r="C1318" s="10" t="str">
        <f aca="false">IF($B1318="","",IFERROR(INDEX(M_name,MATCH($B1318,M_emp,0)),"Code not found"))</f>
        <v/>
      </c>
      <c r="D1318" s="10" t="str">
        <f aca="false">IF($B1318="","",IFERROR(INDEX(M_dept,MATCH($B1318,M_emp,0)),""))</f>
        <v/>
      </c>
      <c r="E1318" s="10" t="str">
        <f aca="false">IF($B1318="","",IFERROR(INDEX(M_loc,MATCH($B1318,M_emp,0)),""))</f>
        <v/>
      </c>
      <c r="F1318" s="33"/>
      <c r="G1318" s="33"/>
      <c r="H1318" s="33"/>
      <c r="I1318" s="33"/>
      <c r="J1318" s="33"/>
      <c r="K1318" s="33"/>
      <c r="L1318" s="33"/>
      <c r="M1318" s="33"/>
      <c r="N1318" s="33"/>
      <c r="O1318" s="33"/>
      <c r="P1318" s="33"/>
      <c r="Q1318" s="33"/>
      <c r="R1318" s="33"/>
      <c r="S1318" s="33"/>
      <c r="T1318" s="33"/>
      <c r="U1318" s="33"/>
      <c r="V1318" s="33"/>
      <c r="W1318" s="33"/>
      <c r="X1318" s="33"/>
      <c r="Y1318" s="33"/>
      <c r="Z1318" s="33"/>
      <c r="AA1318" s="33"/>
      <c r="AB1318" s="33"/>
      <c r="AC1318" s="33"/>
      <c r="AD1318" s="33"/>
      <c r="AE1318" s="33"/>
      <c r="AF1318" s="33"/>
      <c r="AG1318" s="33"/>
      <c r="AH1318" s="33"/>
      <c r="AI1318" s="33"/>
      <c r="AJ1318" s="33"/>
      <c r="AK1318" s="34" t="str">
        <f aca="false">IF($B1318="","",COUNTIF($F1318:$AJ1318,"P"))</f>
        <v/>
      </c>
      <c r="AL1318" s="34" t="str">
        <f aca="false">IF($B1318="","",COUNTIF($F1318:$AJ1318,"A"))</f>
        <v/>
      </c>
      <c r="AM1318" s="34" t="str">
        <f aca="false">IF($B1318="","",COUNTIF($F1318:$AJ1318,"HA"))</f>
        <v/>
      </c>
      <c r="AN1318" s="34" t="str">
        <f aca="false">IF($B1318="","",COUNTIF($F1318:$AJ1318,"L"))</f>
        <v/>
      </c>
      <c r="AO1318" s="34" t="str">
        <f aca="false">IF($B1318="","",COUNTIF($F1318:$AJ1318,"PL"))</f>
        <v/>
      </c>
      <c r="AP1318" s="34" t="str">
        <f aca="false">IF($B1318="","",COUNTIF($F1318:$AJ1318,"CL"))</f>
        <v/>
      </c>
      <c r="AQ1318" s="34" t="str">
        <f aca="false">IF($B1318="","",COUNTIF($F1318:$AJ1318,"SL"))</f>
        <v/>
      </c>
      <c r="AR1318" s="34" t="str">
        <f aca="false">IF($B1318="","",COUNTIF($F1318:$AJ1318,"CO"))</f>
        <v/>
      </c>
      <c r="AS1318" s="34" t="str">
        <f aca="false">IF($B1318="","",COUNTIF($F1318:$AJ1318,"HPL"))</f>
        <v/>
      </c>
      <c r="AT1318" s="34" t="str">
        <f aca="false">IF($B1318="","",COUNTIF($F1318:$AJ1318,"HCL"))</f>
        <v/>
      </c>
      <c r="AU1318" s="34" t="str">
        <f aca="false">IF($B1318="","",COUNTIF($F1318:$AJ1318,"WO"))</f>
        <v/>
      </c>
      <c r="AV1318" s="34" t="str">
        <f aca="false">IF($B1318="","",COUNTIF($F1318:$AJ1318,"PH"))</f>
        <v/>
      </c>
      <c r="AW1318" s="34" t="str">
        <f aca="false">IF($B1318="","",COUNTIF($F1318:$AJ1318,"TR"))</f>
        <v/>
      </c>
      <c r="AX1318" s="35" t="str">
        <f aca="false">IF($B1318="","",AO1318+AS1318/2)</f>
        <v/>
      </c>
      <c r="AY1318" s="35" t="str">
        <f aca="false">IF($B1318="","",AQ1318)</f>
        <v/>
      </c>
      <c r="AZ1318" s="35" t="str">
        <f aca="false">IF($B1318="","",AP1318+AT1318/2)</f>
        <v/>
      </c>
      <c r="BA1318" s="35" t="str">
        <f aca="false">IF($B1318="","",AK1318+AN1318+AM1318/2+AO1318+AP1318+AQ1318+AR1318+AS1318+AT1318+AU1318+AV1318+AW1318)</f>
        <v/>
      </c>
      <c r="BB1318" s="35" t="str">
        <f aca="false">IF($B1318="","",MAX(0,AN1318-Settings!$C$16)*Settings!$C$17)</f>
        <v/>
      </c>
      <c r="BC1318" s="35" t="str">
        <f aca="false">IF($B1318="","",BA1318-BB1318)</f>
        <v/>
      </c>
      <c r="BD1318" s="35" t="str">
        <f aca="false">IF(OR($B1318="",$A1318=""),"",DAY(EOMONTH($A1318,0))-COUNTA($F1318:$AJ1318))</f>
        <v/>
      </c>
    </row>
    <row r="1319" customFormat="false" ht="15" hidden="false" customHeight="false" outlineLevel="0" collapsed="false">
      <c r="A1319" s="32"/>
      <c r="B1319" s="29"/>
      <c r="C1319" s="10" t="str">
        <f aca="false">IF($B1319="","",IFERROR(INDEX(M_name,MATCH($B1319,M_emp,0)),"Code not found"))</f>
        <v/>
      </c>
      <c r="D1319" s="10" t="str">
        <f aca="false">IF($B1319="","",IFERROR(INDEX(M_dept,MATCH($B1319,M_emp,0)),""))</f>
        <v/>
      </c>
      <c r="E1319" s="10" t="str">
        <f aca="false">IF($B1319="","",IFERROR(INDEX(M_loc,MATCH($B1319,M_emp,0)),""))</f>
        <v/>
      </c>
      <c r="F1319" s="33"/>
      <c r="G1319" s="33"/>
      <c r="H1319" s="33"/>
      <c r="I1319" s="33"/>
      <c r="J1319" s="33"/>
      <c r="K1319" s="33"/>
      <c r="L1319" s="33"/>
      <c r="M1319" s="33"/>
      <c r="N1319" s="33"/>
      <c r="O1319" s="33"/>
      <c r="P1319" s="33"/>
      <c r="Q1319" s="33"/>
      <c r="R1319" s="33"/>
      <c r="S1319" s="33"/>
      <c r="T1319" s="33"/>
      <c r="U1319" s="33"/>
      <c r="V1319" s="33"/>
      <c r="W1319" s="33"/>
      <c r="X1319" s="33"/>
      <c r="Y1319" s="33"/>
      <c r="Z1319" s="33"/>
      <c r="AA1319" s="33"/>
      <c r="AB1319" s="33"/>
      <c r="AC1319" s="33"/>
      <c r="AD1319" s="33"/>
      <c r="AE1319" s="33"/>
      <c r="AF1319" s="33"/>
      <c r="AG1319" s="33"/>
      <c r="AH1319" s="33"/>
      <c r="AI1319" s="33"/>
      <c r="AJ1319" s="33"/>
      <c r="AK1319" s="34" t="str">
        <f aca="false">IF($B1319="","",COUNTIF($F1319:$AJ1319,"P"))</f>
        <v/>
      </c>
      <c r="AL1319" s="34" t="str">
        <f aca="false">IF($B1319="","",COUNTIF($F1319:$AJ1319,"A"))</f>
        <v/>
      </c>
      <c r="AM1319" s="34" t="str">
        <f aca="false">IF($B1319="","",COUNTIF($F1319:$AJ1319,"HA"))</f>
        <v/>
      </c>
      <c r="AN1319" s="34" t="str">
        <f aca="false">IF($B1319="","",COUNTIF($F1319:$AJ1319,"L"))</f>
        <v/>
      </c>
      <c r="AO1319" s="34" t="str">
        <f aca="false">IF($B1319="","",COUNTIF($F1319:$AJ1319,"PL"))</f>
        <v/>
      </c>
      <c r="AP1319" s="34" t="str">
        <f aca="false">IF($B1319="","",COUNTIF($F1319:$AJ1319,"CL"))</f>
        <v/>
      </c>
      <c r="AQ1319" s="34" t="str">
        <f aca="false">IF($B1319="","",COUNTIF($F1319:$AJ1319,"SL"))</f>
        <v/>
      </c>
      <c r="AR1319" s="34" t="str">
        <f aca="false">IF($B1319="","",COUNTIF($F1319:$AJ1319,"CO"))</f>
        <v/>
      </c>
      <c r="AS1319" s="34" t="str">
        <f aca="false">IF($B1319="","",COUNTIF($F1319:$AJ1319,"HPL"))</f>
        <v/>
      </c>
      <c r="AT1319" s="34" t="str">
        <f aca="false">IF($B1319="","",COUNTIF($F1319:$AJ1319,"HCL"))</f>
        <v/>
      </c>
      <c r="AU1319" s="34" t="str">
        <f aca="false">IF($B1319="","",COUNTIF($F1319:$AJ1319,"WO"))</f>
        <v/>
      </c>
      <c r="AV1319" s="34" t="str">
        <f aca="false">IF($B1319="","",COUNTIF($F1319:$AJ1319,"PH"))</f>
        <v/>
      </c>
      <c r="AW1319" s="34" t="str">
        <f aca="false">IF($B1319="","",COUNTIF($F1319:$AJ1319,"TR"))</f>
        <v/>
      </c>
      <c r="AX1319" s="35" t="str">
        <f aca="false">IF($B1319="","",AO1319+AS1319/2)</f>
        <v/>
      </c>
      <c r="AY1319" s="35" t="str">
        <f aca="false">IF($B1319="","",AQ1319)</f>
        <v/>
      </c>
      <c r="AZ1319" s="35" t="str">
        <f aca="false">IF($B1319="","",AP1319+AT1319/2)</f>
        <v/>
      </c>
      <c r="BA1319" s="35" t="str">
        <f aca="false">IF($B1319="","",AK1319+AN1319+AM1319/2+AO1319+AP1319+AQ1319+AR1319+AS1319+AT1319+AU1319+AV1319+AW1319)</f>
        <v/>
      </c>
      <c r="BB1319" s="35" t="str">
        <f aca="false">IF($B1319="","",MAX(0,AN1319-Settings!$C$16)*Settings!$C$17)</f>
        <v/>
      </c>
      <c r="BC1319" s="35" t="str">
        <f aca="false">IF($B1319="","",BA1319-BB1319)</f>
        <v/>
      </c>
      <c r="BD1319" s="35" t="str">
        <f aca="false">IF(OR($B1319="",$A1319=""),"",DAY(EOMONTH($A1319,0))-COUNTA($F1319:$AJ1319))</f>
        <v/>
      </c>
    </row>
    <row r="1320" customFormat="false" ht="15" hidden="false" customHeight="false" outlineLevel="0" collapsed="false">
      <c r="A1320" s="32"/>
      <c r="B1320" s="29"/>
      <c r="C1320" s="10" t="str">
        <f aca="false">IF($B1320="","",IFERROR(INDEX(M_name,MATCH($B1320,M_emp,0)),"Code not found"))</f>
        <v/>
      </c>
      <c r="D1320" s="10" t="str">
        <f aca="false">IF($B1320="","",IFERROR(INDEX(M_dept,MATCH($B1320,M_emp,0)),""))</f>
        <v/>
      </c>
      <c r="E1320" s="10" t="str">
        <f aca="false">IF($B1320="","",IFERROR(INDEX(M_loc,MATCH($B1320,M_emp,0)),""))</f>
        <v/>
      </c>
      <c r="F1320" s="33"/>
      <c r="G1320" s="33"/>
      <c r="H1320" s="33"/>
      <c r="I1320" s="33"/>
      <c r="J1320" s="33"/>
      <c r="K1320" s="33"/>
      <c r="L1320" s="33"/>
      <c r="M1320" s="33"/>
      <c r="N1320" s="33"/>
      <c r="O1320" s="33"/>
      <c r="P1320" s="33"/>
      <c r="Q1320" s="33"/>
      <c r="R1320" s="33"/>
      <c r="S1320" s="33"/>
      <c r="T1320" s="33"/>
      <c r="U1320" s="33"/>
      <c r="V1320" s="33"/>
      <c r="W1320" s="33"/>
      <c r="X1320" s="33"/>
      <c r="Y1320" s="33"/>
      <c r="Z1320" s="33"/>
      <c r="AA1320" s="33"/>
      <c r="AB1320" s="33"/>
      <c r="AC1320" s="33"/>
      <c r="AD1320" s="33"/>
      <c r="AE1320" s="33"/>
      <c r="AF1320" s="33"/>
      <c r="AG1320" s="33"/>
      <c r="AH1320" s="33"/>
      <c r="AI1320" s="33"/>
      <c r="AJ1320" s="33"/>
      <c r="AK1320" s="34" t="str">
        <f aca="false">IF($B1320="","",COUNTIF($F1320:$AJ1320,"P"))</f>
        <v/>
      </c>
      <c r="AL1320" s="34" t="str">
        <f aca="false">IF($B1320="","",COUNTIF($F1320:$AJ1320,"A"))</f>
        <v/>
      </c>
      <c r="AM1320" s="34" t="str">
        <f aca="false">IF($B1320="","",COUNTIF($F1320:$AJ1320,"HA"))</f>
        <v/>
      </c>
      <c r="AN1320" s="34" t="str">
        <f aca="false">IF($B1320="","",COUNTIF($F1320:$AJ1320,"L"))</f>
        <v/>
      </c>
      <c r="AO1320" s="34" t="str">
        <f aca="false">IF($B1320="","",COUNTIF($F1320:$AJ1320,"PL"))</f>
        <v/>
      </c>
      <c r="AP1320" s="34" t="str">
        <f aca="false">IF($B1320="","",COUNTIF($F1320:$AJ1320,"CL"))</f>
        <v/>
      </c>
      <c r="AQ1320" s="34" t="str">
        <f aca="false">IF($B1320="","",COUNTIF($F1320:$AJ1320,"SL"))</f>
        <v/>
      </c>
      <c r="AR1320" s="34" t="str">
        <f aca="false">IF($B1320="","",COUNTIF($F1320:$AJ1320,"CO"))</f>
        <v/>
      </c>
      <c r="AS1320" s="34" t="str">
        <f aca="false">IF($B1320="","",COUNTIF($F1320:$AJ1320,"HPL"))</f>
        <v/>
      </c>
      <c r="AT1320" s="34" t="str">
        <f aca="false">IF($B1320="","",COUNTIF($F1320:$AJ1320,"HCL"))</f>
        <v/>
      </c>
      <c r="AU1320" s="34" t="str">
        <f aca="false">IF($B1320="","",COUNTIF($F1320:$AJ1320,"WO"))</f>
        <v/>
      </c>
      <c r="AV1320" s="34" t="str">
        <f aca="false">IF($B1320="","",COUNTIF($F1320:$AJ1320,"PH"))</f>
        <v/>
      </c>
      <c r="AW1320" s="34" t="str">
        <f aca="false">IF($B1320="","",COUNTIF($F1320:$AJ1320,"TR"))</f>
        <v/>
      </c>
      <c r="AX1320" s="35" t="str">
        <f aca="false">IF($B1320="","",AO1320+AS1320/2)</f>
        <v/>
      </c>
      <c r="AY1320" s="35" t="str">
        <f aca="false">IF($B1320="","",AQ1320)</f>
        <v/>
      </c>
      <c r="AZ1320" s="35" t="str">
        <f aca="false">IF($B1320="","",AP1320+AT1320/2)</f>
        <v/>
      </c>
      <c r="BA1320" s="35" t="str">
        <f aca="false">IF($B1320="","",AK1320+AN1320+AM1320/2+AO1320+AP1320+AQ1320+AR1320+AS1320+AT1320+AU1320+AV1320+AW1320)</f>
        <v/>
      </c>
      <c r="BB1320" s="35" t="str">
        <f aca="false">IF($B1320="","",MAX(0,AN1320-Settings!$C$16)*Settings!$C$17)</f>
        <v/>
      </c>
      <c r="BC1320" s="35" t="str">
        <f aca="false">IF($B1320="","",BA1320-BB1320)</f>
        <v/>
      </c>
      <c r="BD1320" s="35" t="str">
        <f aca="false">IF(OR($B1320="",$A1320=""),"",DAY(EOMONTH($A1320,0))-COUNTA($F1320:$AJ1320))</f>
        <v/>
      </c>
    </row>
    <row r="1321" customFormat="false" ht="15" hidden="false" customHeight="false" outlineLevel="0" collapsed="false">
      <c r="A1321" s="32"/>
      <c r="B1321" s="29"/>
      <c r="C1321" s="10" t="str">
        <f aca="false">IF($B1321="","",IFERROR(INDEX(M_name,MATCH($B1321,M_emp,0)),"Code not found"))</f>
        <v/>
      </c>
      <c r="D1321" s="10" t="str">
        <f aca="false">IF($B1321="","",IFERROR(INDEX(M_dept,MATCH($B1321,M_emp,0)),""))</f>
        <v/>
      </c>
      <c r="E1321" s="10" t="str">
        <f aca="false">IF($B1321="","",IFERROR(INDEX(M_loc,MATCH($B1321,M_emp,0)),""))</f>
        <v/>
      </c>
      <c r="F1321" s="33"/>
      <c r="G1321" s="33"/>
      <c r="H1321" s="33"/>
      <c r="I1321" s="33"/>
      <c r="J1321" s="33"/>
      <c r="K1321" s="33"/>
      <c r="L1321" s="33"/>
      <c r="M1321" s="33"/>
      <c r="N1321" s="33"/>
      <c r="O1321" s="33"/>
      <c r="P1321" s="33"/>
      <c r="Q1321" s="33"/>
      <c r="R1321" s="33"/>
      <c r="S1321" s="33"/>
      <c r="T1321" s="33"/>
      <c r="U1321" s="33"/>
      <c r="V1321" s="33"/>
      <c r="W1321" s="33"/>
      <c r="X1321" s="33"/>
      <c r="Y1321" s="33"/>
      <c r="Z1321" s="33"/>
      <c r="AA1321" s="33"/>
      <c r="AB1321" s="33"/>
      <c r="AC1321" s="33"/>
      <c r="AD1321" s="33"/>
      <c r="AE1321" s="33"/>
      <c r="AF1321" s="33"/>
      <c r="AG1321" s="33"/>
      <c r="AH1321" s="33"/>
      <c r="AI1321" s="33"/>
      <c r="AJ1321" s="33"/>
      <c r="AK1321" s="34" t="str">
        <f aca="false">IF($B1321="","",COUNTIF($F1321:$AJ1321,"P"))</f>
        <v/>
      </c>
      <c r="AL1321" s="34" t="str">
        <f aca="false">IF($B1321="","",COUNTIF($F1321:$AJ1321,"A"))</f>
        <v/>
      </c>
      <c r="AM1321" s="34" t="str">
        <f aca="false">IF($B1321="","",COUNTIF($F1321:$AJ1321,"HA"))</f>
        <v/>
      </c>
      <c r="AN1321" s="34" t="str">
        <f aca="false">IF($B1321="","",COUNTIF($F1321:$AJ1321,"L"))</f>
        <v/>
      </c>
      <c r="AO1321" s="34" t="str">
        <f aca="false">IF($B1321="","",COUNTIF($F1321:$AJ1321,"PL"))</f>
        <v/>
      </c>
      <c r="AP1321" s="34" t="str">
        <f aca="false">IF($B1321="","",COUNTIF($F1321:$AJ1321,"CL"))</f>
        <v/>
      </c>
      <c r="AQ1321" s="34" t="str">
        <f aca="false">IF($B1321="","",COUNTIF($F1321:$AJ1321,"SL"))</f>
        <v/>
      </c>
      <c r="AR1321" s="34" t="str">
        <f aca="false">IF($B1321="","",COUNTIF($F1321:$AJ1321,"CO"))</f>
        <v/>
      </c>
      <c r="AS1321" s="34" t="str">
        <f aca="false">IF($B1321="","",COUNTIF($F1321:$AJ1321,"HPL"))</f>
        <v/>
      </c>
      <c r="AT1321" s="34" t="str">
        <f aca="false">IF($B1321="","",COUNTIF($F1321:$AJ1321,"HCL"))</f>
        <v/>
      </c>
      <c r="AU1321" s="34" t="str">
        <f aca="false">IF($B1321="","",COUNTIF($F1321:$AJ1321,"WO"))</f>
        <v/>
      </c>
      <c r="AV1321" s="34" t="str">
        <f aca="false">IF($B1321="","",COUNTIF($F1321:$AJ1321,"PH"))</f>
        <v/>
      </c>
      <c r="AW1321" s="34" t="str">
        <f aca="false">IF($B1321="","",COUNTIF($F1321:$AJ1321,"TR"))</f>
        <v/>
      </c>
      <c r="AX1321" s="35" t="str">
        <f aca="false">IF($B1321="","",AO1321+AS1321/2)</f>
        <v/>
      </c>
      <c r="AY1321" s="35" t="str">
        <f aca="false">IF($B1321="","",AQ1321)</f>
        <v/>
      </c>
      <c r="AZ1321" s="35" t="str">
        <f aca="false">IF($B1321="","",AP1321+AT1321/2)</f>
        <v/>
      </c>
      <c r="BA1321" s="35" t="str">
        <f aca="false">IF($B1321="","",AK1321+AN1321+AM1321/2+AO1321+AP1321+AQ1321+AR1321+AS1321+AT1321+AU1321+AV1321+AW1321)</f>
        <v/>
      </c>
      <c r="BB1321" s="35" t="str">
        <f aca="false">IF($B1321="","",MAX(0,AN1321-Settings!$C$16)*Settings!$C$17)</f>
        <v/>
      </c>
      <c r="BC1321" s="35" t="str">
        <f aca="false">IF($B1321="","",BA1321-BB1321)</f>
        <v/>
      </c>
      <c r="BD1321" s="35" t="str">
        <f aca="false">IF(OR($B1321="",$A1321=""),"",DAY(EOMONTH($A1321,0))-COUNTA($F1321:$AJ1321))</f>
        <v/>
      </c>
    </row>
    <row r="1322" customFormat="false" ht="15" hidden="false" customHeight="false" outlineLevel="0" collapsed="false">
      <c r="A1322" s="32"/>
      <c r="B1322" s="29"/>
      <c r="C1322" s="10" t="str">
        <f aca="false">IF($B1322="","",IFERROR(INDEX(M_name,MATCH($B1322,M_emp,0)),"Code not found"))</f>
        <v/>
      </c>
      <c r="D1322" s="10" t="str">
        <f aca="false">IF($B1322="","",IFERROR(INDEX(M_dept,MATCH($B1322,M_emp,0)),""))</f>
        <v/>
      </c>
      <c r="E1322" s="10" t="str">
        <f aca="false">IF($B1322="","",IFERROR(INDEX(M_loc,MATCH($B1322,M_emp,0)),""))</f>
        <v/>
      </c>
      <c r="F1322" s="33"/>
      <c r="G1322" s="33"/>
      <c r="H1322" s="33"/>
      <c r="I1322" s="33"/>
      <c r="J1322" s="33"/>
      <c r="K1322" s="33"/>
      <c r="L1322" s="33"/>
      <c r="M1322" s="33"/>
      <c r="N1322" s="33"/>
      <c r="O1322" s="33"/>
      <c r="P1322" s="33"/>
      <c r="Q1322" s="33"/>
      <c r="R1322" s="33"/>
      <c r="S1322" s="33"/>
      <c r="T1322" s="33"/>
      <c r="U1322" s="33"/>
      <c r="V1322" s="33"/>
      <c r="W1322" s="33"/>
      <c r="X1322" s="33"/>
      <c r="Y1322" s="33"/>
      <c r="Z1322" s="33"/>
      <c r="AA1322" s="33"/>
      <c r="AB1322" s="33"/>
      <c r="AC1322" s="33"/>
      <c r="AD1322" s="33"/>
      <c r="AE1322" s="33"/>
      <c r="AF1322" s="33"/>
      <c r="AG1322" s="33"/>
      <c r="AH1322" s="33"/>
      <c r="AI1322" s="33"/>
      <c r="AJ1322" s="33"/>
      <c r="AK1322" s="34" t="str">
        <f aca="false">IF($B1322="","",COUNTIF($F1322:$AJ1322,"P"))</f>
        <v/>
      </c>
      <c r="AL1322" s="34" t="str">
        <f aca="false">IF($B1322="","",COUNTIF($F1322:$AJ1322,"A"))</f>
        <v/>
      </c>
      <c r="AM1322" s="34" t="str">
        <f aca="false">IF($B1322="","",COUNTIF($F1322:$AJ1322,"HA"))</f>
        <v/>
      </c>
      <c r="AN1322" s="34" t="str">
        <f aca="false">IF($B1322="","",COUNTIF($F1322:$AJ1322,"L"))</f>
        <v/>
      </c>
      <c r="AO1322" s="34" t="str">
        <f aca="false">IF($B1322="","",COUNTIF($F1322:$AJ1322,"PL"))</f>
        <v/>
      </c>
      <c r="AP1322" s="34" t="str">
        <f aca="false">IF($B1322="","",COUNTIF($F1322:$AJ1322,"CL"))</f>
        <v/>
      </c>
      <c r="AQ1322" s="34" t="str">
        <f aca="false">IF($B1322="","",COUNTIF($F1322:$AJ1322,"SL"))</f>
        <v/>
      </c>
      <c r="AR1322" s="34" t="str">
        <f aca="false">IF($B1322="","",COUNTIF($F1322:$AJ1322,"CO"))</f>
        <v/>
      </c>
      <c r="AS1322" s="34" t="str">
        <f aca="false">IF($B1322="","",COUNTIF($F1322:$AJ1322,"HPL"))</f>
        <v/>
      </c>
      <c r="AT1322" s="34" t="str">
        <f aca="false">IF($B1322="","",COUNTIF($F1322:$AJ1322,"HCL"))</f>
        <v/>
      </c>
      <c r="AU1322" s="34" t="str">
        <f aca="false">IF($B1322="","",COUNTIF($F1322:$AJ1322,"WO"))</f>
        <v/>
      </c>
      <c r="AV1322" s="34" t="str">
        <f aca="false">IF($B1322="","",COUNTIF($F1322:$AJ1322,"PH"))</f>
        <v/>
      </c>
      <c r="AW1322" s="34" t="str">
        <f aca="false">IF($B1322="","",COUNTIF($F1322:$AJ1322,"TR"))</f>
        <v/>
      </c>
      <c r="AX1322" s="35" t="str">
        <f aca="false">IF($B1322="","",AO1322+AS1322/2)</f>
        <v/>
      </c>
      <c r="AY1322" s="35" t="str">
        <f aca="false">IF($B1322="","",AQ1322)</f>
        <v/>
      </c>
      <c r="AZ1322" s="35" t="str">
        <f aca="false">IF($B1322="","",AP1322+AT1322/2)</f>
        <v/>
      </c>
      <c r="BA1322" s="35" t="str">
        <f aca="false">IF($B1322="","",AK1322+AN1322+AM1322/2+AO1322+AP1322+AQ1322+AR1322+AS1322+AT1322+AU1322+AV1322+AW1322)</f>
        <v/>
      </c>
      <c r="BB1322" s="35" t="str">
        <f aca="false">IF($B1322="","",MAX(0,AN1322-Settings!$C$16)*Settings!$C$17)</f>
        <v/>
      </c>
      <c r="BC1322" s="35" t="str">
        <f aca="false">IF($B1322="","",BA1322-BB1322)</f>
        <v/>
      </c>
      <c r="BD1322" s="35" t="str">
        <f aca="false">IF(OR($B1322="",$A1322=""),"",DAY(EOMONTH($A1322,0))-COUNTA($F1322:$AJ1322))</f>
        <v/>
      </c>
    </row>
    <row r="1323" customFormat="false" ht="15" hidden="false" customHeight="false" outlineLevel="0" collapsed="false">
      <c r="A1323" s="32"/>
      <c r="B1323" s="29"/>
      <c r="C1323" s="10" t="str">
        <f aca="false">IF($B1323="","",IFERROR(INDEX(M_name,MATCH($B1323,M_emp,0)),"Code not found"))</f>
        <v/>
      </c>
      <c r="D1323" s="10" t="str">
        <f aca="false">IF($B1323="","",IFERROR(INDEX(M_dept,MATCH($B1323,M_emp,0)),""))</f>
        <v/>
      </c>
      <c r="E1323" s="10" t="str">
        <f aca="false">IF($B1323="","",IFERROR(INDEX(M_loc,MATCH($B1323,M_emp,0)),""))</f>
        <v/>
      </c>
      <c r="F1323" s="33"/>
      <c r="G1323" s="33"/>
      <c r="H1323" s="33"/>
      <c r="I1323" s="33"/>
      <c r="J1323" s="33"/>
      <c r="K1323" s="33"/>
      <c r="L1323" s="33"/>
      <c r="M1323" s="33"/>
      <c r="N1323" s="33"/>
      <c r="O1323" s="33"/>
      <c r="P1323" s="33"/>
      <c r="Q1323" s="33"/>
      <c r="R1323" s="33"/>
      <c r="S1323" s="33"/>
      <c r="T1323" s="33"/>
      <c r="U1323" s="33"/>
      <c r="V1323" s="33"/>
      <c r="W1323" s="33"/>
      <c r="X1323" s="33"/>
      <c r="Y1323" s="33"/>
      <c r="Z1323" s="33"/>
      <c r="AA1323" s="33"/>
      <c r="AB1323" s="33"/>
      <c r="AC1323" s="33"/>
      <c r="AD1323" s="33"/>
      <c r="AE1323" s="33"/>
      <c r="AF1323" s="33"/>
      <c r="AG1323" s="33"/>
      <c r="AH1323" s="33"/>
      <c r="AI1323" s="33"/>
      <c r="AJ1323" s="33"/>
      <c r="AK1323" s="34" t="str">
        <f aca="false">IF($B1323="","",COUNTIF($F1323:$AJ1323,"P"))</f>
        <v/>
      </c>
      <c r="AL1323" s="34" t="str">
        <f aca="false">IF($B1323="","",COUNTIF($F1323:$AJ1323,"A"))</f>
        <v/>
      </c>
      <c r="AM1323" s="34" t="str">
        <f aca="false">IF($B1323="","",COUNTIF($F1323:$AJ1323,"HA"))</f>
        <v/>
      </c>
      <c r="AN1323" s="34" t="str">
        <f aca="false">IF($B1323="","",COUNTIF($F1323:$AJ1323,"L"))</f>
        <v/>
      </c>
      <c r="AO1323" s="34" t="str">
        <f aca="false">IF($B1323="","",COUNTIF($F1323:$AJ1323,"PL"))</f>
        <v/>
      </c>
      <c r="AP1323" s="34" t="str">
        <f aca="false">IF($B1323="","",COUNTIF($F1323:$AJ1323,"CL"))</f>
        <v/>
      </c>
      <c r="AQ1323" s="34" t="str">
        <f aca="false">IF($B1323="","",COUNTIF($F1323:$AJ1323,"SL"))</f>
        <v/>
      </c>
      <c r="AR1323" s="34" t="str">
        <f aca="false">IF($B1323="","",COUNTIF($F1323:$AJ1323,"CO"))</f>
        <v/>
      </c>
      <c r="AS1323" s="34" t="str">
        <f aca="false">IF($B1323="","",COUNTIF($F1323:$AJ1323,"HPL"))</f>
        <v/>
      </c>
      <c r="AT1323" s="34" t="str">
        <f aca="false">IF($B1323="","",COUNTIF($F1323:$AJ1323,"HCL"))</f>
        <v/>
      </c>
      <c r="AU1323" s="34" t="str">
        <f aca="false">IF($B1323="","",COUNTIF($F1323:$AJ1323,"WO"))</f>
        <v/>
      </c>
      <c r="AV1323" s="34" t="str">
        <f aca="false">IF($B1323="","",COUNTIF($F1323:$AJ1323,"PH"))</f>
        <v/>
      </c>
      <c r="AW1323" s="34" t="str">
        <f aca="false">IF($B1323="","",COUNTIF($F1323:$AJ1323,"TR"))</f>
        <v/>
      </c>
      <c r="AX1323" s="35" t="str">
        <f aca="false">IF($B1323="","",AO1323+AS1323/2)</f>
        <v/>
      </c>
      <c r="AY1323" s="35" t="str">
        <f aca="false">IF($B1323="","",AQ1323)</f>
        <v/>
      </c>
      <c r="AZ1323" s="35" t="str">
        <f aca="false">IF($B1323="","",AP1323+AT1323/2)</f>
        <v/>
      </c>
      <c r="BA1323" s="35" t="str">
        <f aca="false">IF($B1323="","",AK1323+AN1323+AM1323/2+AO1323+AP1323+AQ1323+AR1323+AS1323+AT1323+AU1323+AV1323+AW1323)</f>
        <v/>
      </c>
      <c r="BB1323" s="35" t="str">
        <f aca="false">IF($B1323="","",MAX(0,AN1323-Settings!$C$16)*Settings!$C$17)</f>
        <v/>
      </c>
      <c r="BC1323" s="35" t="str">
        <f aca="false">IF($B1323="","",BA1323-BB1323)</f>
        <v/>
      </c>
      <c r="BD1323" s="35" t="str">
        <f aca="false">IF(OR($B1323="",$A1323=""),"",DAY(EOMONTH($A1323,0))-COUNTA($F1323:$AJ1323))</f>
        <v/>
      </c>
    </row>
    <row r="1324" customFormat="false" ht="15" hidden="false" customHeight="false" outlineLevel="0" collapsed="false">
      <c r="A1324" s="32"/>
      <c r="B1324" s="29"/>
      <c r="C1324" s="10" t="str">
        <f aca="false">IF($B1324="","",IFERROR(INDEX(M_name,MATCH($B1324,M_emp,0)),"Code not found"))</f>
        <v/>
      </c>
      <c r="D1324" s="10" t="str">
        <f aca="false">IF($B1324="","",IFERROR(INDEX(M_dept,MATCH($B1324,M_emp,0)),""))</f>
        <v/>
      </c>
      <c r="E1324" s="10" t="str">
        <f aca="false">IF($B1324="","",IFERROR(INDEX(M_loc,MATCH($B1324,M_emp,0)),""))</f>
        <v/>
      </c>
      <c r="F1324" s="33"/>
      <c r="G1324" s="33"/>
      <c r="H1324" s="33"/>
      <c r="I1324" s="33"/>
      <c r="J1324" s="33"/>
      <c r="K1324" s="33"/>
      <c r="L1324" s="33"/>
      <c r="M1324" s="33"/>
      <c r="N1324" s="33"/>
      <c r="O1324" s="33"/>
      <c r="P1324" s="33"/>
      <c r="Q1324" s="33"/>
      <c r="R1324" s="33"/>
      <c r="S1324" s="33"/>
      <c r="T1324" s="33"/>
      <c r="U1324" s="33"/>
      <c r="V1324" s="33"/>
      <c r="W1324" s="33"/>
      <c r="X1324" s="33"/>
      <c r="Y1324" s="33"/>
      <c r="Z1324" s="33"/>
      <c r="AA1324" s="33"/>
      <c r="AB1324" s="33"/>
      <c r="AC1324" s="33"/>
      <c r="AD1324" s="33"/>
      <c r="AE1324" s="33"/>
      <c r="AF1324" s="33"/>
      <c r="AG1324" s="33"/>
      <c r="AH1324" s="33"/>
      <c r="AI1324" s="33"/>
      <c r="AJ1324" s="33"/>
      <c r="AK1324" s="34" t="str">
        <f aca="false">IF($B1324="","",COUNTIF($F1324:$AJ1324,"P"))</f>
        <v/>
      </c>
      <c r="AL1324" s="34" t="str">
        <f aca="false">IF($B1324="","",COUNTIF($F1324:$AJ1324,"A"))</f>
        <v/>
      </c>
      <c r="AM1324" s="34" t="str">
        <f aca="false">IF($B1324="","",COUNTIF($F1324:$AJ1324,"HA"))</f>
        <v/>
      </c>
      <c r="AN1324" s="34" t="str">
        <f aca="false">IF($B1324="","",COUNTIF($F1324:$AJ1324,"L"))</f>
        <v/>
      </c>
      <c r="AO1324" s="34" t="str">
        <f aca="false">IF($B1324="","",COUNTIF($F1324:$AJ1324,"PL"))</f>
        <v/>
      </c>
      <c r="AP1324" s="34" t="str">
        <f aca="false">IF($B1324="","",COUNTIF($F1324:$AJ1324,"CL"))</f>
        <v/>
      </c>
      <c r="AQ1324" s="34" t="str">
        <f aca="false">IF($B1324="","",COUNTIF($F1324:$AJ1324,"SL"))</f>
        <v/>
      </c>
      <c r="AR1324" s="34" t="str">
        <f aca="false">IF($B1324="","",COUNTIF($F1324:$AJ1324,"CO"))</f>
        <v/>
      </c>
      <c r="AS1324" s="34" t="str">
        <f aca="false">IF($B1324="","",COUNTIF($F1324:$AJ1324,"HPL"))</f>
        <v/>
      </c>
      <c r="AT1324" s="34" t="str">
        <f aca="false">IF($B1324="","",COUNTIF($F1324:$AJ1324,"HCL"))</f>
        <v/>
      </c>
      <c r="AU1324" s="34" t="str">
        <f aca="false">IF($B1324="","",COUNTIF($F1324:$AJ1324,"WO"))</f>
        <v/>
      </c>
      <c r="AV1324" s="34" t="str">
        <f aca="false">IF($B1324="","",COUNTIF($F1324:$AJ1324,"PH"))</f>
        <v/>
      </c>
      <c r="AW1324" s="34" t="str">
        <f aca="false">IF($B1324="","",COUNTIF($F1324:$AJ1324,"TR"))</f>
        <v/>
      </c>
      <c r="AX1324" s="35" t="str">
        <f aca="false">IF($B1324="","",AO1324+AS1324/2)</f>
        <v/>
      </c>
      <c r="AY1324" s="35" t="str">
        <f aca="false">IF($B1324="","",AQ1324)</f>
        <v/>
      </c>
      <c r="AZ1324" s="35" t="str">
        <f aca="false">IF($B1324="","",AP1324+AT1324/2)</f>
        <v/>
      </c>
      <c r="BA1324" s="35" t="str">
        <f aca="false">IF($B1324="","",AK1324+AN1324+AM1324/2+AO1324+AP1324+AQ1324+AR1324+AS1324+AT1324+AU1324+AV1324+AW1324)</f>
        <v/>
      </c>
      <c r="BB1324" s="35" t="str">
        <f aca="false">IF($B1324="","",MAX(0,AN1324-Settings!$C$16)*Settings!$C$17)</f>
        <v/>
      </c>
      <c r="BC1324" s="35" t="str">
        <f aca="false">IF($B1324="","",BA1324-BB1324)</f>
        <v/>
      </c>
      <c r="BD1324" s="35" t="str">
        <f aca="false">IF(OR($B1324="",$A1324=""),"",DAY(EOMONTH($A1324,0))-COUNTA($F1324:$AJ1324))</f>
        <v/>
      </c>
    </row>
    <row r="1325" customFormat="false" ht="15" hidden="false" customHeight="false" outlineLevel="0" collapsed="false">
      <c r="A1325" s="32"/>
      <c r="B1325" s="29"/>
      <c r="C1325" s="10" t="str">
        <f aca="false">IF($B1325="","",IFERROR(INDEX(M_name,MATCH($B1325,M_emp,0)),"Code not found"))</f>
        <v/>
      </c>
      <c r="D1325" s="10" t="str">
        <f aca="false">IF($B1325="","",IFERROR(INDEX(M_dept,MATCH($B1325,M_emp,0)),""))</f>
        <v/>
      </c>
      <c r="E1325" s="10" t="str">
        <f aca="false">IF($B1325="","",IFERROR(INDEX(M_loc,MATCH($B1325,M_emp,0)),""))</f>
        <v/>
      </c>
      <c r="F1325" s="33"/>
      <c r="G1325" s="33"/>
      <c r="H1325" s="33"/>
      <c r="I1325" s="33"/>
      <c r="J1325" s="33"/>
      <c r="K1325" s="33"/>
      <c r="L1325" s="33"/>
      <c r="M1325" s="33"/>
      <c r="N1325" s="33"/>
      <c r="O1325" s="33"/>
      <c r="P1325" s="33"/>
      <c r="Q1325" s="33"/>
      <c r="R1325" s="33"/>
      <c r="S1325" s="33"/>
      <c r="T1325" s="33"/>
      <c r="U1325" s="33"/>
      <c r="V1325" s="33"/>
      <c r="W1325" s="33"/>
      <c r="X1325" s="33"/>
      <c r="Y1325" s="33"/>
      <c r="Z1325" s="33"/>
      <c r="AA1325" s="33"/>
      <c r="AB1325" s="33"/>
      <c r="AC1325" s="33"/>
      <c r="AD1325" s="33"/>
      <c r="AE1325" s="33"/>
      <c r="AF1325" s="33"/>
      <c r="AG1325" s="33"/>
      <c r="AH1325" s="33"/>
      <c r="AI1325" s="33"/>
      <c r="AJ1325" s="33"/>
      <c r="AK1325" s="34" t="str">
        <f aca="false">IF($B1325="","",COUNTIF($F1325:$AJ1325,"P"))</f>
        <v/>
      </c>
      <c r="AL1325" s="34" t="str">
        <f aca="false">IF($B1325="","",COUNTIF($F1325:$AJ1325,"A"))</f>
        <v/>
      </c>
      <c r="AM1325" s="34" t="str">
        <f aca="false">IF($B1325="","",COUNTIF($F1325:$AJ1325,"HA"))</f>
        <v/>
      </c>
      <c r="AN1325" s="34" t="str">
        <f aca="false">IF($B1325="","",COUNTIF($F1325:$AJ1325,"L"))</f>
        <v/>
      </c>
      <c r="AO1325" s="34" t="str">
        <f aca="false">IF($B1325="","",COUNTIF($F1325:$AJ1325,"PL"))</f>
        <v/>
      </c>
      <c r="AP1325" s="34" t="str">
        <f aca="false">IF($B1325="","",COUNTIF($F1325:$AJ1325,"CL"))</f>
        <v/>
      </c>
      <c r="AQ1325" s="34" t="str">
        <f aca="false">IF($B1325="","",COUNTIF($F1325:$AJ1325,"SL"))</f>
        <v/>
      </c>
      <c r="AR1325" s="34" t="str">
        <f aca="false">IF($B1325="","",COUNTIF($F1325:$AJ1325,"CO"))</f>
        <v/>
      </c>
      <c r="AS1325" s="34" t="str">
        <f aca="false">IF($B1325="","",COUNTIF($F1325:$AJ1325,"HPL"))</f>
        <v/>
      </c>
      <c r="AT1325" s="34" t="str">
        <f aca="false">IF($B1325="","",COUNTIF($F1325:$AJ1325,"HCL"))</f>
        <v/>
      </c>
      <c r="AU1325" s="34" t="str">
        <f aca="false">IF($B1325="","",COUNTIF($F1325:$AJ1325,"WO"))</f>
        <v/>
      </c>
      <c r="AV1325" s="34" t="str">
        <f aca="false">IF($B1325="","",COUNTIF($F1325:$AJ1325,"PH"))</f>
        <v/>
      </c>
      <c r="AW1325" s="34" t="str">
        <f aca="false">IF($B1325="","",COUNTIF($F1325:$AJ1325,"TR"))</f>
        <v/>
      </c>
      <c r="AX1325" s="35" t="str">
        <f aca="false">IF($B1325="","",AO1325+AS1325/2)</f>
        <v/>
      </c>
      <c r="AY1325" s="35" t="str">
        <f aca="false">IF($B1325="","",AQ1325)</f>
        <v/>
      </c>
      <c r="AZ1325" s="35" t="str">
        <f aca="false">IF($B1325="","",AP1325+AT1325/2)</f>
        <v/>
      </c>
      <c r="BA1325" s="35" t="str">
        <f aca="false">IF($B1325="","",AK1325+AN1325+AM1325/2+AO1325+AP1325+AQ1325+AR1325+AS1325+AT1325+AU1325+AV1325+AW1325)</f>
        <v/>
      </c>
      <c r="BB1325" s="35" t="str">
        <f aca="false">IF($B1325="","",MAX(0,AN1325-Settings!$C$16)*Settings!$C$17)</f>
        <v/>
      </c>
      <c r="BC1325" s="35" t="str">
        <f aca="false">IF($B1325="","",BA1325-BB1325)</f>
        <v/>
      </c>
      <c r="BD1325" s="35" t="str">
        <f aca="false">IF(OR($B1325="",$A1325=""),"",DAY(EOMONTH($A1325,0))-COUNTA($F1325:$AJ1325))</f>
        <v/>
      </c>
    </row>
    <row r="1326" customFormat="false" ht="15" hidden="false" customHeight="false" outlineLevel="0" collapsed="false">
      <c r="A1326" s="32"/>
      <c r="B1326" s="29"/>
      <c r="C1326" s="10" t="str">
        <f aca="false">IF($B1326="","",IFERROR(INDEX(M_name,MATCH($B1326,M_emp,0)),"Code not found"))</f>
        <v/>
      </c>
      <c r="D1326" s="10" t="str">
        <f aca="false">IF($B1326="","",IFERROR(INDEX(M_dept,MATCH($B1326,M_emp,0)),""))</f>
        <v/>
      </c>
      <c r="E1326" s="10" t="str">
        <f aca="false">IF($B1326="","",IFERROR(INDEX(M_loc,MATCH($B1326,M_emp,0)),""))</f>
        <v/>
      </c>
      <c r="F1326" s="33"/>
      <c r="G1326" s="33"/>
      <c r="H1326" s="33"/>
      <c r="I1326" s="33"/>
      <c r="J1326" s="33"/>
      <c r="K1326" s="33"/>
      <c r="L1326" s="33"/>
      <c r="M1326" s="33"/>
      <c r="N1326" s="33"/>
      <c r="O1326" s="33"/>
      <c r="P1326" s="33"/>
      <c r="Q1326" s="33"/>
      <c r="R1326" s="33"/>
      <c r="S1326" s="33"/>
      <c r="T1326" s="33"/>
      <c r="U1326" s="33"/>
      <c r="V1326" s="33"/>
      <c r="W1326" s="33"/>
      <c r="X1326" s="33"/>
      <c r="Y1326" s="33"/>
      <c r="Z1326" s="33"/>
      <c r="AA1326" s="33"/>
      <c r="AB1326" s="33"/>
      <c r="AC1326" s="33"/>
      <c r="AD1326" s="33"/>
      <c r="AE1326" s="33"/>
      <c r="AF1326" s="33"/>
      <c r="AG1326" s="33"/>
      <c r="AH1326" s="33"/>
      <c r="AI1326" s="33"/>
      <c r="AJ1326" s="33"/>
      <c r="AK1326" s="34" t="str">
        <f aca="false">IF($B1326="","",COUNTIF($F1326:$AJ1326,"P"))</f>
        <v/>
      </c>
      <c r="AL1326" s="34" t="str">
        <f aca="false">IF($B1326="","",COUNTIF($F1326:$AJ1326,"A"))</f>
        <v/>
      </c>
      <c r="AM1326" s="34" t="str">
        <f aca="false">IF($B1326="","",COUNTIF($F1326:$AJ1326,"HA"))</f>
        <v/>
      </c>
      <c r="AN1326" s="34" t="str">
        <f aca="false">IF($B1326="","",COUNTIF($F1326:$AJ1326,"L"))</f>
        <v/>
      </c>
      <c r="AO1326" s="34" t="str">
        <f aca="false">IF($B1326="","",COUNTIF($F1326:$AJ1326,"PL"))</f>
        <v/>
      </c>
      <c r="AP1326" s="34" t="str">
        <f aca="false">IF($B1326="","",COUNTIF($F1326:$AJ1326,"CL"))</f>
        <v/>
      </c>
      <c r="AQ1326" s="34" t="str">
        <f aca="false">IF($B1326="","",COUNTIF($F1326:$AJ1326,"SL"))</f>
        <v/>
      </c>
      <c r="AR1326" s="34" t="str">
        <f aca="false">IF($B1326="","",COUNTIF($F1326:$AJ1326,"CO"))</f>
        <v/>
      </c>
      <c r="AS1326" s="34" t="str">
        <f aca="false">IF($B1326="","",COUNTIF($F1326:$AJ1326,"HPL"))</f>
        <v/>
      </c>
      <c r="AT1326" s="34" t="str">
        <f aca="false">IF($B1326="","",COUNTIF($F1326:$AJ1326,"HCL"))</f>
        <v/>
      </c>
      <c r="AU1326" s="34" t="str">
        <f aca="false">IF($B1326="","",COUNTIF($F1326:$AJ1326,"WO"))</f>
        <v/>
      </c>
      <c r="AV1326" s="34" t="str">
        <f aca="false">IF($B1326="","",COUNTIF($F1326:$AJ1326,"PH"))</f>
        <v/>
      </c>
      <c r="AW1326" s="34" t="str">
        <f aca="false">IF($B1326="","",COUNTIF($F1326:$AJ1326,"TR"))</f>
        <v/>
      </c>
      <c r="AX1326" s="35" t="str">
        <f aca="false">IF($B1326="","",AO1326+AS1326/2)</f>
        <v/>
      </c>
      <c r="AY1326" s="35" t="str">
        <f aca="false">IF($B1326="","",AQ1326)</f>
        <v/>
      </c>
      <c r="AZ1326" s="35" t="str">
        <f aca="false">IF($B1326="","",AP1326+AT1326/2)</f>
        <v/>
      </c>
      <c r="BA1326" s="35" t="str">
        <f aca="false">IF($B1326="","",AK1326+AN1326+AM1326/2+AO1326+AP1326+AQ1326+AR1326+AS1326+AT1326+AU1326+AV1326+AW1326)</f>
        <v/>
      </c>
      <c r="BB1326" s="35" t="str">
        <f aca="false">IF($B1326="","",MAX(0,AN1326-Settings!$C$16)*Settings!$C$17)</f>
        <v/>
      </c>
      <c r="BC1326" s="35" t="str">
        <f aca="false">IF($B1326="","",BA1326-BB1326)</f>
        <v/>
      </c>
      <c r="BD1326" s="35" t="str">
        <f aca="false">IF(OR($B1326="",$A1326=""),"",DAY(EOMONTH($A1326,0))-COUNTA($F1326:$AJ1326))</f>
        <v/>
      </c>
    </row>
    <row r="1327" customFormat="false" ht="15" hidden="false" customHeight="false" outlineLevel="0" collapsed="false">
      <c r="A1327" s="32"/>
      <c r="B1327" s="29"/>
      <c r="C1327" s="10" t="str">
        <f aca="false">IF($B1327="","",IFERROR(INDEX(M_name,MATCH($B1327,M_emp,0)),"Code not found"))</f>
        <v/>
      </c>
      <c r="D1327" s="10" t="str">
        <f aca="false">IF($B1327="","",IFERROR(INDEX(M_dept,MATCH($B1327,M_emp,0)),""))</f>
        <v/>
      </c>
      <c r="E1327" s="10" t="str">
        <f aca="false">IF($B1327="","",IFERROR(INDEX(M_loc,MATCH($B1327,M_emp,0)),""))</f>
        <v/>
      </c>
      <c r="F1327" s="33"/>
      <c r="G1327" s="33"/>
      <c r="H1327" s="33"/>
      <c r="I1327" s="33"/>
      <c r="J1327" s="33"/>
      <c r="K1327" s="33"/>
      <c r="L1327" s="33"/>
      <c r="M1327" s="33"/>
      <c r="N1327" s="33"/>
      <c r="O1327" s="33"/>
      <c r="P1327" s="33"/>
      <c r="Q1327" s="33"/>
      <c r="R1327" s="33"/>
      <c r="S1327" s="33"/>
      <c r="T1327" s="33"/>
      <c r="U1327" s="33"/>
      <c r="V1327" s="33"/>
      <c r="W1327" s="33"/>
      <c r="X1327" s="33"/>
      <c r="Y1327" s="33"/>
      <c r="Z1327" s="33"/>
      <c r="AA1327" s="33"/>
      <c r="AB1327" s="33"/>
      <c r="AC1327" s="33"/>
      <c r="AD1327" s="33"/>
      <c r="AE1327" s="33"/>
      <c r="AF1327" s="33"/>
      <c r="AG1327" s="33"/>
      <c r="AH1327" s="33"/>
      <c r="AI1327" s="33"/>
      <c r="AJ1327" s="33"/>
      <c r="AK1327" s="34" t="str">
        <f aca="false">IF($B1327="","",COUNTIF($F1327:$AJ1327,"P"))</f>
        <v/>
      </c>
      <c r="AL1327" s="34" t="str">
        <f aca="false">IF($B1327="","",COUNTIF($F1327:$AJ1327,"A"))</f>
        <v/>
      </c>
      <c r="AM1327" s="34" t="str">
        <f aca="false">IF($B1327="","",COUNTIF($F1327:$AJ1327,"HA"))</f>
        <v/>
      </c>
      <c r="AN1327" s="34" t="str">
        <f aca="false">IF($B1327="","",COUNTIF($F1327:$AJ1327,"L"))</f>
        <v/>
      </c>
      <c r="AO1327" s="34" t="str">
        <f aca="false">IF($B1327="","",COUNTIF($F1327:$AJ1327,"PL"))</f>
        <v/>
      </c>
      <c r="AP1327" s="34" t="str">
        <f aca="false">IF($B1327="","",COUNTIF($F1327:$AJ1327,"CL"))</f>
        <v/>
      </c>
      <c r="AQ1327" s="34" t="str">
        <f aca="false">IF($B1327="","",COUNTIF($F1327:$AJ1327,"SL"))</f>
        <v/>
      </c>
      <c r="AR1327" s="34" t="str">
        <f aca="false">IF($B1327="","",COUNTIF($F1327:$AJ1327,"CO"))</f>
        <v/>
      </c>
      <c r="AS1327" s="34" t="str">
        <f aca="false">IF($B1327="","",COUNTIF($F1327:$AJ1327,"HPL"))</f>
        <v/>
      </c>
      <c r="AT1327" s="34" t="str">
        <f aca="false">IF($B1327="","",COUNTIF($F1327:$AJ1327,"HCL"))</f>
        <v/>
      </c>
      <c r="AU1327" s="34" t="str">
        <f aca="false">IF($B1327="","",COUNTIF($F1327:$AJ1327,"WO"))</f>
        <v/>
      </c>
      <c r="AV1327" s="34" t="str">
        <f aca="false">IF($B1327="","",COUNTIF($F1327:$AJ1327,"PH"))</f>
        <v/>
      </c>
      <c r="AW1327" s="34" t="str">
        <f aca="false">IF($B1327="","",COUNTIF($F1327:$AJ1327,"TR"))</f>
        <v/>
      </c>
      <c r="AX1327" s="35" t="str">
        <f aca="false">IF($B1327="","",AO1327+AS1327/2)</f>
        <v/>
      </c>
      <c r="AY1327" s="35" t="str">
        <f aca="false">IF($B1327="","",AQ1327)</f>
        <v/>
      </c>
      <c r="AZ1327" s="35" t="str">
        <f aca="false">IF($B1327="","",AP1327+AT1327/2)</f>
        <v/>
      </c>
      <c r="BA1327" s="35" t="str">
        <f aca="false">IF($B1327="","",AK1327+AN1327+AM1327/2+AO1327+AP1327+AQ1327+AR1327+AS1327+AT1327+AU1327+AV1327+AW1327)</f>
        <v/>
      </c>
      <c r="BB1327" s="35" t="str">
        <f aca="false">IF($B1327="","",MAX(0,AN1327-Settings!$C$16)*Settings!$C$17)</f>
        <v/>
      </c>
      <c r="BC1327" s="35" t="str">
        <f aca="false">IF($B1327="","",BA1327-BB1327)</f>
        <v/>
      </c>
      <c r="BD1327" s="35" t="str">
        <f aca="false">IF(OR($B1327="",$A1327=""),"",DAY(EOMONTH($A1327,0))-COUNTA($F1327:$AJ1327))</f>
        <v/>
      </c>
    </row>
    <row r="1328" customFormat="false" ht="15" hidden="false" customHeight="false" outlineLevel="0" collapsed="false">
      <c r="A1328" s="32"/>
      <c r="B1328" s="29"/>
      <c r="C1328" s="10" t="str">
        <f aca="false">IF($B1328="","",IFERROR(INDEX(M_name,MATCH($B1328,M_emp,0)),"Code not found"))</f>
        <v/>
      </c>
      <c r="D1328" s="10" t="str">
        <f aca="false">IF($B1328="","",IFERROR(INDEX(M_dept,MATCH($B1328,M_emp,0)),""))</f>
        <v/>
      </c>
      <c r="E1328" s="10" t="str">
        <f aca="false">IF($B1328="","",IFERROR(INDEX(M_loc,MATCH($B1328,M_emp,0)),""))</f>
        <v/>
      </c>
      <c r="F1328" s="33"/>
      <c r="G1328" s="33"/>
      <c r="H1328" s="33"/>
      <c r="I1328" s="33"/>
      <c r="J1328" s="33"/>
      <c r="K1328" s="33"/>
      <c r="L1328" s="33"/>
      <c r="M1328" s="33"/>
      <c r="N1328" s="33"/>
      <c r="O1328" s="33"/>
      <c r="P1328" s="33"/>
      <c r="Q1328" s="33"/>
      <c r="R1328" s="33"/>
      <c r="S1328" s="33"/>
      <c r="T1328" s="33"/>
      <c r="U1328" s="33"/>
      <c r="V1328" s="33"/>
      <c r="W1328" s="33"/>
      <c r="X1328" s="33"/>
      <c r="Y1328" s="33"/>
      <c r="Z1328" s="33"/>
      <c r="AA1328" s="33"/>
      <c r="AB1328" s="33"/>
      <c r="AC1328" s="33"/>
      <c r="AD1328" s="33"/>
      <c r="AE1328" s="33"/>
      <c r="AF1328" s="33"/>
      <c r="AG1328" s="33"/>
      <c r="AH1328" s="33"/>
      <c r="AI1328" s="33"/>
      <c r="AJ1328" s="33"/>
      <c r="AK1328" s="34" t="str">
        <f aca="false">IF($B1328="","",COUNTIF($F1328:$AJ1328,"P"))</f>
        <v/>
      </c>
      <c r="AL1328" s="34" t="str">
        <f aca="false">IF($B1328="","",COUNTIF($F1328:$AJ1328,"A"))</f>
        <v/>
      </c>
      <c r="AM1328" s="34" t="str">
        <f aca="false">IF($B1328="","",COUNTIF($F1328:$AJ1328,"HA"))</f>
        <v/>
      </c>
      <c r="AN1328" s="34" t="str">
        <f aca="false">IF($B1328="","",COUNTIF($F1328:$AJ1328,"L"))</f>
        <v/>
      </c>
      <c r="AO1328" s="34" t="str">
        <f aca="false">IF($B1328="","",COUNTIF($F1328:$AJ1328,"PL"))</f>
        <v/>
      </c>
      <c r="AP1328" s="34" t="str">
        <f aca="false">IF($B1328="","",COUNTIF($F1328:$AJ1328,"CL"))</f>
        <v/>
      </c>
      <c r="AQ1328" s="34" t="str">
        <f aca="false">IF($B1328="","",COUNTIF($F1328:$AJ1328,"SL"))</f>
        <v/>
      </c>
      <c r="AR1328" s="34" t="str">
        <f aca="false">IF($B1328="","",COUNTIF($F1328:$AJ1328,"CO"))</f>
        <v/>
      </c>
      <c r="AS1328" s="34" t="str">
        <f aca="false">IF($B1328="","",COUNTIF($F1328:$AJ1328,"HPL"))</f>
        <v/>
      </c>
      <c r="AT1328" s="34" t="str">
        <f aca="false">IF($B1328="","",COUNTIF($F1328:$AJ1328,"HCL"))</f>
        <v/>
      </c>
      <c r="AU1328" s="34" t="str">
        <f aca="false">IF($B1328="","",COUNTIF($F1328:$AJ1328,"WO"))</f>
        <v/>
      </c>
      <c r="AV1328" s="34" t="str">
        <f aca="false">IF($B1328="","",COUNTIF($F1328:$AJ1328,"PH"))</f>
        <v/>
      </c>
      <c r="AW1328" s="34" t="str">
        <f aca="false">IF($B1328="","",COUNTIF($F1328:$AJ1328,"TR"))</f>
        <v/>
      </c>
      <c r="AX1328" s="35" t="str">
        <f aca="false">IF($B1328="","",AO1328+AS1328/2)</f>
        <v/>
      </c>
      <c r="AY1328" s="35" t="str">
        <f aca="false">IF($B1328="","",AQ1328)</f>
        <v/>
      </c>
      <c r="AZ1328" s="35" t="str">
        <f aca="false">IF($B1328="","",AP1328+AT1328/2)</f>
        <v/>
      </c>
      <c r="BA1328" s="35" t="str">
        <f aca="false">IF($B1328="","",AK1328+AN1328+AM1328/2+AO1328+AP1328+AQ1328+AR1328+AS1328+AT1328+AU1328+AV1328+AW1328)</f>
        <v/>
      </c>
      <c r="BB1328" s="35" t="str">
        <f aca="false">IF($B1328="","",MAX(0,AN1328-Settings!$C$16)*Settings!$C$17)</f>
        <v/>
      </c>
      <c r="BC1328" s="35" t="str">
        <f aca="false">IF($B1328="","",BA1328-BB1328)</f>
        <v/>
      </c>
      <c r="BD1328" s="35" t="str">
        <f aca="false">IF(OR($B1328="",$A1328=""),"",DAY(EOMONTH($A1328,0))-COUNTA($F1328:$AJ1328))</f>
        <v/>
      </c>
    </row>
    <row r="1329" customFormat="false" ht="15" hidden="false" customHeight="false" outlineLevel="0" collapsed="false">
      <c r="A1329" s="32"/>
      <c r="B1329" s="29"/>
      <c r="C1329" s="10" t="str">
        <f aca="false">IF($B1329="","",IFERROR(INDEX(M_name,MATCH($B1329,M_emp,0)),"Code not found"))</f>
        <v/>
      </c>
      <c r="D1329" s="10" t="str">
        <f aca="false">IF($B1329="","",IFERROR(INDEX(M_dept,MATCH($B1329,M_emp,0)),""))</f>
        <v/>
      </c>
      <c r="E1329" s="10" t="str">
        <f aca="false">IF($B1329="","",IFERROR(INDEX(M_loc,MATCH($B1329,M_emp,0)),""))</f>
        <v/>
      </c>
      <c r="F1329" s="33"/>
      <c r="G1329" s="33"/>
      <c r="H1329" s="33"/>
      <c r="I1329" s="33"/>
      <c r="J1329" s="33"/>
      <c r="K1329" s="33"/>
      <c r="L1329" s="33"/>
      <c r="M1329" s="33"/>
      <c r="N1329" s="33"/>
      <c r="O1329" s="33"/>
      <c r="P1329" s="33"/>
      <c r="Q1329" s="33"/>
      <c r="R1329" s="33"/>
      <c r="S1329" s="33"/>
      <c r="T1329" s="33"/>
      <c r="U1329" s="33"/>
      <c r="V1329" s="33"/>
      <c r="W1329" s="33"/>
      <c r="X1329" s="33"/>
      <c r="Y1329" s="33"/>
      <c r="Z1329" s="33"/>
      <c r="AA1329" s="33"/>
      <c r="AB1329" s="33"/>
      <c r="AC1329" s="33"/>
      <c r="AD1329" s="33"/>
      <c r="AE1329" s="33"/>
      <c r="AF1329" s="33"/>
      <c r="AG1329" s="33"/>
      <c r="AH1329" s="33"/>
      <c r="AI1329" s="33"/>
      <c r="AJ1329" s="33"/>
      <c r="AK1329" s="34" t="str">
        <f aca="false">IF($B1329="","",COUNTIF($F1329:$AJ1329,"P"))</f>
        <v/>
      </c>
      <c r="AL1329" s="34" t="str">
        <f aca="false">IF($B1329="","",COUNTIF($F1329:$AJ1329,"A"))</f>
        <v/>
      </c>
      <c r="AM1329" s="34" t="str">
        <f aca="false">IF($B1329="","",COUNTIF($F1329:$AJ1329,"HA"))</f>
        <v/>
      </c>
      <c r="AN1329" s="34" t="str">
        <f aca="false">IF($B1329="","",COUNTIF($F1329:$AJ1329,"L"))</f>
        <v/>
      </c>
      <c r="AO1329" s="34" t="str">
        <f aca="false">IF($B1329="","",COUNTIF($F1329:$AJ1329,"PL"))</f>
        <v/>
      </c>
      <c r="AP1329" s="34" t="str">
        <f aca="false">IF($B1329="","",COUNTIF($F1329:$AJ1329,"CL"))</f>
        <v/>
      </c>
      <c r="AQ1329" s="34" t="str">
        <f aca="false">IF($B1329="","",COUNTIF($F1329:$AJ1329,"SL"))</f>
        <v/>
      </c>
      <c r="AR1329" s="34" t="str">
        <f aca="false">IF($B1329="","",COUNTIF($F1329:$AJ1329,"CO"))</f>
        <v/>
      </c>
      <c r="AS1329" s="34" t="str">
        <f aca="false">IF($B1329="","",COUNTIF($F1329:$AJ1329,"HPL"))</f>
        <v/>
      </c>
      <c r="AT1329" s="34" t="str">
        <f aca="false">IF($B1329="","",COUNTIF($F1329:$AJ1329,"HCL"))</f>
        <v/>
      </c>
      <c r="AU1329" s="34" t="str">
        <f aca="false">IF($B1329="","",COUNTIF($F1329:$AJ1329,"WO"))</f>
        <v/>
      </c>
      <c r="AV1329" s="34" t="str">
        <f aca="false">IF($B1329="","",COUNTIF($F1329:$AJ1329,"PH"))</f>
        <v/>
      </c>
      <c r="AW1329" s="34" t="str">
        <f aca="false">IF($B1329="","",COUNTIF($F1329:$AJ1329,"TR"))</f>
        <v/>
      </c>
      <c r="AX1329" s="35" t="str">
        <f aca="false">IF($B1329="","",AO1329+AS1329/2)</f>
        <v/>
      </c>
      <c r="AY1329" s="35" t="str">
        <f aca="false">IF($B1329="","",AQ1329)</f>
        <v/>
      </c>
      <c r="AZ1329" s="35" t="str">
        <f aca="false">IF($B1329="","",AP1329+AT1329/2)</f>
        <v/>
      </c>
      <c r="BA1329" s="35" t="str">
        <f aca="false">IF($B1329="","",AK1329+AN1329+AM1329/2+AO1329+AP1329+AQ1329+AR1329+AS1329+AT1329+AU1329+AV1329+AW1329)</f>
        <v/>
      </c>
      <c r="BB1329" s="35" t="str">
        <f aca="false">IF($B1329="","",MAX(0,AN1329-Settings!$C$16)*Settings!$C$17)</f>
        <v/>
      </c>
      <c r="BC1329" s="35" t="str">
        <f aca="false">IF($B1329="","",BA1329-BB1329)</f>
        <v/>
      </c>
      <c r="BD1329" s="35" t="str">
        <f aca="false">IF(OR($B1329="",$A1329=""),"",DAY(EOMONTH($A1329,0))-COUNTA($F1329:$AJ1329))</f>
        <v/>
      </c>
    </row>
    <row r="1330" customFormat="false" ht="15" hidden="false" customHeight="false" outlineLevel="0" collapsed="false">
      <c r="A1330" s="32"/>
      <c r="B1330" s="29"/>
      <c r="C1330" s="10" t="str">
        <f aca="false">IF($B1330="","",IFERROR(INDEX(M_name,MATCH($B1330,M_emp,0)),"Code not found"))</f>
        <v/>
      </c>
      <c r="D1330" s="10" t="str">
        <f aca="false">IF($B1330="","",IFERROR(INDEX(M_dept,MATCH($B1330,M_emp,0)),""))</f>
        <v/>
      </c>
      <c r="E1330" s="10" t="str">
        <f aca="false">IF($B1330="","",IFERROR(INDEX(M_loc,MATCH($B1330,M_emp,0)),""))</f>
        <v/>
      </c>
      <c r="F1330" s="33"/>
      <c r="G1330" s="33"/>
      <c r="H1330" s="33"/>
      <c r="I1330" s="33"/>
      <c r="J1330" s="33"/>
      <c r="K1330" s="33"/>
      <c r="L1330" s="33"/>
      <c r="M1330" s="33"/>
      <c r="N1330" s="33"/>
      <c r="O1330" s="33"/>
      <c r="P1330" s="33"/>
      <c r="Q1330" s="33"/>
      <c r="R1330" s="33"/>
      <c r="S1330" s="33"/>
      <c r="T1330" s="33"/>
      <c r="U1330" s="33"/>
      <c r="V1330" s="33"/>
      <c r="W1330" s="33"/>
      <c r="X1330" s="33"/>
      <c r="Y1330" s="33"/>
      <c r="Z1330" s="33"/>
      <c r="AA1330" s="33"/>
      <c r="AB1330" s="33"/>
      <c r="AC1330" s="33"/>
      <c r="AD1330" s="33"/>
      <c r="AE1330" s="33"/>
      <c r="AF1330" s="33"/>
      <c r="AG1330" s="33"/>
      <c r="AH1330" s="33"/>
      <c r="AI1330" s="33"/>
      <c r="AJ1330" s="33"/>
      <c r="AK1330" s="34" t="str">
        <f aca="false">IF($B1330="","",COUNTIF($F1330:$AJ1330,"P"))</f>
        <v/>
      </c>
      <c r="AL1330" s="34" t="str">
        <f aca="false">IF($B1330="","",COUNTIF($F1330:$AJ1330,"A"))</f>
        <v/>
      </c>
      <c r="AM1330" s="34" t="str">
        <f aca="false">IF($B1330="","",COUNTIF($F1330:$AJ1330,"HA"))</f>
        <v/>
      </c>
      <c r="AN1330" s="34" t="str">
        <f aca="false">IF($B1330="","",COUNTIF($F1330:$AJ1330,"L"))</f>
        <v/>
      </c>
      <c r="AO1330" s="34" t="str">
        <f aca="false">IF($B1330="","",COUNTIF($F1330:$AJ1330,"PL"))</f>
        <v/>
      </c>
      <c r="AP1330" s="34" t="str">
        <f aca="false">IF($B1330="","",COUNTIF($F1330:$AJ1330,"CL"))</f>
        <v/>
      </c>
      <c r="AQ1330" s="34" t="str">
        <f aca="false">IF($B1330="","",COUNTIF($F1330:$AJ1330,"SL"))</f>
        <v/>
      </c>
      <c r="AR1330" s="34" t="str">
        <f aca="false">IF($B1330="","",COUNTIF($F1330:$AJ1330,"CO"))</f>
        <v/>
      </c>
      <c r="AS1330" s="34" t="str">
        <f aca="false">IF($B1330="","",COUNTIF($F1330:$AJ1330,"HPL"))</f>
        <v/>
      </c>
      <c r="AT1330" s="34" t="str">
        <f aca="false">IF($B1330="","",COUNTIF($F1330:$AJ1330,"HCL"))</f>
        <v/>
      </c>
      <c r="AU1330" s="34" t="str">
        <f aca="false">IF($B1330="","",COUNTIF($F1330:$AJ1330,"WO"))</f>
        <v/>
      </c>
      <c r="AV1330" s="34" t="str">
        <f aca="false">IF($B1330="","",COUNTIF($F1330:$AJ1330,"PH"))</f>
        <v/>
      </c>
      <c r="AW1330" s="34" t="str">
        <f aca="false">IF($B1330="","",COUNTIF($F1330:$AJ1330,"TR"))</f>
        <v/>
      </c>
      <c r="AX1330" s="35" t="str">
        <f aca="false">IF($B1330="","",AO1330+AS1330/2)</f>
        <v/>
      </c>
      <c r="AY1330" s="35" t="str">
        <f aca="false">IF($B1330="","",AQ1330)</f>
        <v/>
      </c>
      <c r="AZ1330" s="35" t="str">
        <f aca="false">IF($B1330="","",AP1330+AT1330/2)</f>
        <v/>
      </c>
      <c r="BA1330" s="35" t="str">
        <f aca="false">IF($B1330="","",AK1330+AN1330+AM1330/2+AO1330+AP1330+AQ1330+AR1330+AS1330+AT1330+AU1330+AV1330+AW1330)</f>
        <v/>
      </c>
      <c r="BB1330" s="35" t="str">
        <f aca="false">IF($B1330="","",MAX(0,AN1330-Settings!$C$16)*Settings!$C$17)</f>
        <v/>
      </c>
      <c r="BC1330" s="35" t="str">
        <f aca="false">IF($B1330="","",BA1330-BB1330)</f>
        <v/>
      </c>
      <c r="BD1330" s="35" t="str">
        <f aca="false">IF(OR($B1330="",$A1330=""),"",DAY(EOMONTH($A1330,0))-COUNTA($F1330:$AJ1330))</f>
        <v/>
      </c>
    </row>
    <row r="1331" customFormat="false" ht="15" hidden="false" customHeight="false" outlineLevel="0" collapsed="false">
      <c r="A1331" s="32"/>
      <c r="B1331" s="29"/>
      <c r="C1331" s="10" t="str">
        <f aca="false">IF($B1331="","",IFERROR(INDEX(M_name,MATCH($B1331,M_emp,0)),"Code not found"))</f>
        <v/>
      </c>
      <c r="D1331" s="10" t="str">
        <f aca="false">IF($B1331="","",IFERROR(INDEX(M_dept,MATCH($B1331,M_emp,0)),""))</f>
        <v/>
      </c>
      <c r="E1331" s="10" t="str">
        <f aca="false">IF($B1331="","",IFERROR(INDEX(M_loc,MATCH($B1331,M_emp,0)),""))</f>
        <v/>
      </c>
      <c r="F1331" s="33"/>
      <c r="G1331" s="33"/>
      <c r="H1331" s="33"/>
      <c r="I1331" s="33"/>
      <c r="J1331" s="33"/>
      <c r="K1331" s="33"/>
      <c r="L1331" s="33"/>
      <c r="M1331" s="33"/>
      <c r="N1331" s="33"/>
      <c r="O1331" s="33"/>
      <c r="P1331" s="33"/>
      <c r="Q1331" s="33"/>
      <c r="R1331" s="33"/>
      <c r="S1331" s="33"/>
      <c r="T1331" s="33"/>
      <c r="U1331" s="33"/>
      <c r="V1331" s="33"/>
      <c r="W1331" s="33"/>
      <c r="X1331" s="33"/>
      <c r="Y1331" s="33"/>
      <c r="Z1331" s="33"/>
      <c r="AA1331" s="33"/>
      <c r="AB1331" s="33"/>
      <c r="AC1331" s="33"/>
      <c r="AD1331" s="33"/>
      <c r="AE1331" s="33"/>
      <c r="AF1331" s="33"/>
      <c r="AG1331" s="33"/>
      <c r="AH1331" s="33"/>
      <c r="AI1331" s="33"/>
      <c r="AJ1331" s="33"/>
      <c r="AK1331" s="34" t="str">
        <f aca="false">IF($B1331="","",COUNTIF($F1331:$AJ1331,"P"))</f>
        <v/>
      </c>
      <c r="AL1331" s="34" t="str">
        <f aca="false">IF($B1331="","",COUNTIF($F1331:$AJ1331,"A"))</f>
        <v/>
      </c>
      <c r="AM1331" s="34" t="str">
        <f aca="false">IF($B1331="","",COUNTIF($F1331:$AJ1331,"HA"))</f>
        <v/>
      </c>
      <c r="AN1331" s="34" t="str">
        <f aca="false">IF($B1331="","",COUNTIF($F1331:$AJ1331,"L"))</f>
        <v/>
      </c>
      <c r="AO1331" s="34" t="str">
        <f aca="false">IF($B1331="","",COUNTIF($F1331:$AJ1331,"PL"))</f>
        <v/>
      </c>
      <c r="AP1331" s="34" t="str">
        <f aca="false">IF($B1331="","",COUNTIF($F1331:$AJ1331,"CL"))</f>
        <v/>
      </c>
      <c r="AQ1331" s="34" t="str">
        <f aca="false">IF($B1331="","",COUNTIF($F1331:$AJ1331,"SL"))</f>
        <v/>
      </c>
      <c r="AR1331" s="34" t="str">
        <f aca="false">IF($B1331="","",COUNTIF($F1331:$AJ1331,"CO"))</f>
        <v/>
      </c>
      <c r="AS1331" s="34" t="str">
        <f aca="false">IF($B1331="","",COUNTIF($F1331:$AJ1331,"HPL"))</f>
        <v/>
      </c>
      <c r="AT1331" s="34" t="str">
        <f aca="false">IF($B1331="","",COUNTIF($F1331:$AJ1331,"HCL"))</f>
        <v/>
      </c>
      <c r="AU1331" s="34" t="str">
        <f aca="false">IF($B1331="","",COUNTIF($F1331:$AJ1331,"WO"))</f>
        <v/>
      </c>
      <c r="AV1331" s="34" t="str">
        <f aca="false">IF($B1331="","",COUNTIF($F1331:$AJ1331,"PH"))</f>
        <v/>
      </c>
      <c r="AW1331" s="34" t="str">
        <f aca="false">IF($B1331="","",COUNTIF($F1331:$AJ1331,"TR"))</f>
        <v/>
      </c>
      <c r="AX1331" s="35" t="str">
        <f aca="false">IF($B1331="","",AO1331+AS1331/2)</f>
        <v/>
      </c>
      <c r="AY1331" s="35" t="str">
        <f aca="false">IF($B1331="","",AQ1331)</f>
        <v/>
      </c>
      <c r="AZ1331" s="35" t="str">
        <f aca="false">IF($B1331="","",AP1331+AT1331/2)</f>
        <v/>
      </c>
      <c r="BA1331" s="35" t="str">
        <f aca="false">IF($B1331="","",AK1331+AN1331+AM1331/2+AO1331+AP1331+AQ1331+AR1331+AS1331+AT1331+AU1331+AV1331+AW1331)</f>
        <v/>
      </c>
      <c r="BB1331" s="35" t="str">
        <f aca="false">IF($B1331="","",MAX(0,AN1331-Settings!$C$16)*Settings!$C$17)</f>
        <v/>
      </c>
      <c r="BC1331" s="35" t="str">
        <f aca="false">IF($B1331="","",BA1331-BB1331)</f>
        <v/>
      </c>
      <c r="BD1331" s="35" t="str">
        <f aca="false">IF(OR($B1331="",$A1331=""),"",DAY(EOMONTH($A1331,0))-COUNTA($F1331:$AJ1331))</f>
        <v/>
      </c>
    </row>
    <row r="1332" customFormat="false" ht="15" hidden="false" customHeight="false" outlineLevel="0" collapsed="false">
      <c r="A1332" s="32"/>
      <c r="B1332" s="29"/>
      <c r="C1332" s="10" t="str">
        <f aca="false">IF($B1332="","",IFERROR(INDEX(M_name,MATCH($B1332,M_emp,0)),"Code not found"))</f>
        <v/>
      </c>
      <c r="D1332" s="10" t="str">
        <f aca="false">IF($B1332="","",IFERROR(INDEX(M_dept,MATCH($B1332,M_emp,0)),""))</f>
        <v/>
      </c>
      <c r="E1332" s="10" t="str">
        <f aca="false">IF($B1332="","",IFERROR(INDEX(M_loc,MATCH($B1332,M_emp,0)),""))</f>
        <v/>
      </c>
      <c r="F1332" s="33"/>
      <c r="G1332" s="33"/>
      <c r="H1332" s="33"/>
      <c r="I1332" s="33"/>
      <c r="J1332" s="33"/>
      <c r="K1332" s="33"/>
      <c r="L1332" s="33"/>
      <c r="M1332" s="33"/>
      <c r="N1332" s="33"/>
      <c r="O1332" s="33"/>
      <c r="P1332" s="33"/>
      <c r="Q1332" s="33"/>
      <c r="R1332" s="33"/>
      <c r="S1332" s="33"/>
      <c r="T1332" s="33"/>
      <c r="U1332" s="33"/>
      <c r="V1332" s="33"/>
      <c r="W1332" s="33"/>
      <c r="X1332" s="33"/>
      <c r="Y1332" s="33"/>
      <c r="Z1332" s="33"/>
      <c r="AA1332" s="33"/>
      <c r="AB1332" s="33"/>
      <c r="AC1332" s="33"/>
      <c r="AD1332" s="33"/>
      <c r="AE1332" s="33"/>
      <c r="AF1332" s="33"/>
      <c r="AG1332" s="33"/>
      <c r="AH1332" s="33"/>
      <c r="AI1332" s="33"/>
      <c r="AJ1332" s="33"/>
      <c r="AK1332" s="34" t="str">
        <f aca="false">IF($B1332="","",COUNTIF($F1332:$AJ1332,"P"))</f>
        <v/>
      </c>
      <c r="AL1332" s="34" t="str">
        <f aca="false">IF($B1332="","",COUNTIF($F1332:$AJ1332,"A"))</f>
        <v/>
      </c>
      <c r="AM1332" s="34" t="str">
        <f aca="false">IF($B1332="","",COUNTIF($F1332:$AJ1332,"HA"))</f>
        <v/>
      </c>
      <c r="AN1332" s="34" t="str">
        <f aca="false">IF($B1332="","",COUNTIF($F1332:$AJ1332,"L"))</f>
        <v/>
      </c>
      <c r="AO1332" s="34" t="str">
        <f aca="false">IF($B1332="","",COUNTIF($F1332:$AJ1332,"PL"))</f>
        <v/>
      </c>
      <c r="AP1332" s="34" t="str">
        <f aca="false">IF($B1332="","",COUNTIF($F1332:$AJ1332,"CL"))</f>
        <v/>
      </c>
      <c r="AQ1332" s="34" t="str">
        <f aca="false">IF($B1332="","",COUNTIF($F1332:$AJ1332,"SL"))</f>
        <v/>
      </c>
      <c r="AR1332" s="34" t="str">
        <f aca="false">IF($B1332="","",COUNTIF($F1332:$AJ1332,"CO"))</f>
        <v/>
      </c>
      <c r="AS1332" s="34" t="str">
        <f aca="false">IF($B1332="","",COUNTIF($F1332:$AJ1332,"HPL"))</f>
        <v/>
      </c>
      <c r="AT1332" s="34" t="str">
        <f aca="false">IF($B1332="","",COUNTIF($F1332:$AJ1332,"HCL"))</f>
        <v/>
      </c>
      <c r="AU1332" s="34" t="str">
        <f aca="false">IF($B1332="","",COUNTIF($F1332:$AJ1332,"WO"))</f>
        <v/>
      </c>
      <c r="AV1332" s="34" t="str">
        <f aca="false">IF($B1332="","",COUNTIF($F1332:$AJ1332,"PH"))</f>
        <v/>
      </c>
      <c r="AW1332" s="34" t="str">
        <f aca="false">IF($B1332="","",COUNTIF($F1332:$AJ1332,"TR"))</f>
        <v/>
      </c>
      <c r="AX1332" s="35" t="str">
        <f aca="false">IF($B1332="","",AO1332+AS1332/2)</f>
        <v/>
      </c>
      <c r="AY1332" s="35" t="str">
        <f aca="false">IF($B1332="","",AQ1332)</f>
        <v/>
      </c>
      <c r="AZ1332" s="35" t="str">
        <f aca="false">IF($B1332="","",AP1332+AT1332/2)</f>
        <v/>
      </c>
      <c r="BA1332" s="35" t="str">
        <f aca="false">IF($B1332="","",AK1332+AN1332+AM1332/2+AO1332+AP1332+AQ1332+AR1332+AS1332+AT1332+AU1332+AV1332+AW1332)</f>
        <v/>
      </c>
      <c r="BB1332" s="35" t="str">
        <f aca="false">IF($B1332="","",MAX(0,AN1332-Settings!$C$16)*Settings!$C$17)</f>
        <v/>
      </c>
      <c r="BC1332" s="35" t="str">
        <f aca="false">IF($B1332="","",BA1332-BB1332)</f>
        <v/>
      </c>
      <c r="BD1332" s="35" t="str">
        <f aca="false">IF(OR($B1332="",$A1332=""),"",DAY(EOMONTH($A1332,0))-COUNTA($F1332:$AJ1332))</f>
        <v/>
      </c>
    </row>
    <row r="1333" customFormat="false" ht="15" hidden="false" customHeight="false" outlineLevel="0" collapsed="false">
      <c r="A1333" s="32"/>
      <c r="B1333" s="29"/>
      <c r="C1333" s="10" t="str">
        <f aca="false">IF($B1333="","",IFERROR(INDEX(M_name,MATCH($B1333,M_emp,0)),"Code not found"))</f>
        <v/>
      </c>
      <c r="D1333" s="10" t="str">
        <f aca="false">IF($B1333="","",IFERROR(INDEX(M_dept,MATCH($B1333,M_emp,0)),""))</f>
        <v/>
      </c>
      <c r="E1333" s="10" t="str">
        <f aca="false">IF($B1333="","",IFERROR(INDEX(M_loc,MATCH($B1333,M_emp,0)),""))</f>
        <v/>
      </c>
      <c r="F1333" s="33"/>
      <c r="G1333" s="33"/>
      <c r="H1333" s="33"/>
      <c r="I1333" s="33"/>
      <c r="J1333" s="33"/>
      <c r="K1333" s="33"/>
      <c r="L1333" s="33"/>
      <c r="M1333" s="33"/>
      <c r="N1333" s="33"/>
      <c r="O1333" s="33"/>
      <c r="P1333" s="33"/>
      <c r="Q1333" s="33"/>
      <c r="R1333" s="33"/>
      <c r="S1333" s="33"/>
      <c r="T1333" s="33"/>
      <c r="U1333" s="33"/>
      <c r="V1333" s="33"/>
      <c r="W1333" s="33"/>
      <c r="X1333" s="33"/>
      <c r="Y1333" s="33"/>
      <c r="Z1333" s="33"/>
      <c r="AA1333" s="33"/>
      <c r="AB1333" s="33"/>
      <c r="AC1333" s="33"/>
      <c r="AD1333" s="33"/>
      <c r="AE1333" s="33"/>
      <c r="AF1333" s="33"/>
      <c r="AG1333" s="33"/>
      <c r="AH1333" s="33"/>
      <c r="AI1333" s="33"/>
      <c r="AJ1333" s="33"/>
      <c r="AK1333" s="34" t="str">
        <f aca="false">IF($B1333="","",COUNTIF($F1333:$AJ1333,"P"))</f>
        <v/>
      </c>
      <c r="AL1333" s="34" t="str">
        <f aca="false">IF($B1333="","",COUNTIF($F1333:$AJ1333,"A"))</f>
        <v/>
      </c>
      <c r="AM1333" s="34" t="str">
        <f aca="false">IF($B1333="","",COUNTIF($F1333:$AJ1333,"HA"))</f>
        <v/>
      </c>
      <c r="AN1333" s="34" t="str">
        <f aca="false">IF($B1333="","",COUNTIF($F1333:$AJ1333,"L"))</f>
        <v/>
      </c>
      <c r="AO1333" s="34" t="str">
        <f aca="false">IF($B1333="","",COUNTIF($F1333:$AJ1333,"PL"))</f>
        <v/>
      </c>
      <c r="AP1333" s="34" t="str">
        <f aca="false">IF($B1333="","",COUNTIF($F1333:$AJ1333,"CL"))</f>
        <v/>
      </c>
      <c r="AQ1333" s="34" t="str">
        <f aca="false">IF($B1333="","",COUNTIF($F1333:$AJ1333,"SL"))</f>
        <v/>
      </c>
      <c r="AR1333" s="34" t="str">
        <f aca="false">IF($B1333="","",COUNTIF($F1333:$AJ1333,"CO"))</f>
        <v/>
      </c>
      <c r="AS1333" s="34" t="str">
        <f aca="false">IF($B1333="","",COUNTIF($F1333:$AJ1333,"HPL"))</f>
        <v/>
      </c>
      <c r="AT1333" s="34" t="str">
        <f aca="false">IF($B1333="","",COUNTIF($F1333:$AJ1333,"HCL"))</f>
        <v/>
      </c>
      <c r="AU1333" s="34" t="str">
        <f aca="false">IF($B1333="","",COUNTIF($F1333:$AJ1333,"WO"))</f>
        <v/>
      </c>
      <c r="AV1333" s="34" t="str">
        <f aca="false">IF($B1333="","",COUNTIF($F1333:$AJ1333,"PH"))</f>
        <v/>
      </c>
      <c r="AW1333" s="34" t="str">
        <f aca="false">IF($B1333="","",COUNTIF($F1333:$AJ1333,"TR"))</f>
        <v/>
      </c>
      <c r="AX1333" s="35" t="str">
        <f aca="false">IF($B1333="","",AO1333+AS1333/2)</f>
        <v/>
      </c>
      <c r="AY1333" s="35" t="str">
        <f aca="false">IF($B1333="","",AQ1333)</f>
        <v/>
      </c>
      <c r="AZ1333" s="35" t="str">
        <f aca="false">IF($B1333="","",AP1333+AT1333/2)</f>
        <v/>
      </c>
      <c r="BA1333" s="35" t="str">
        <f aca="false">IF($B1333="","",AK1333+AN1333+AM1333/2+AO1333+AP1333+AQ1333+AR1333+AS1333+AT1333+AU1333+AV1333+AW1333)</f>
        <v/>
      </c>
      <c r="BB1333" s="35" t="str">
        <f aca="false">IF($B1333="","",MAX(0,AN1333-Settings!$C$16)*Settings!$C$17)</f>
        <v/>
      </c>
      <c r="BC1333" s="35" t="str">
        <f aca="false">IF($B1333="","",BA1333-BB1333)</f>
        <v/>
      </c>
      <c r="BD1333" s="35" t="str">
        <f aca="false">IF(OR($B1333="",$A1333=""),"",DAY(EOMONTH($A1333,0))-COUNTA($F1333:$AJ1333))</f>
        <v/>
      </c>
    </row>
    <row r="1334" customFormat="false" ht="15" hidden="false" customHeight="false" outlineLevel="0" collapsed="false">
      <c r="A1334" s="32"/>
      <c r="B1334" s="29"/>
      <c r="C1334" s="10" t="str">
        <f aca="false">IF($B1334="","",IFERROR(INDEX(M_name,MATCH($B1334,M_emp,0)),"Code not found"))</f>
        <v/>
      </c>
      <c r="D1334" s="10" t="str">
        <f aca="false">IF($B1334="","",IFERROR(INDEX(M_dept,MATCH($B1334,M_emp,0)),""))</f>
        <v/>
      </c>
      <c r="E1334" s="10" t="str">
        <f aca="false">IF($B1334="","",IFERROR(INDEX(M_loc,MATCH($B1334,M_emp,0)),""))</f>
        <v/>
      </c>
      <c r="F1334" s="33"/>
      <c r="G1334" s="33"/>
      <c r="H1334" s="33"/>
      <c r="I1334" s="33"/>
      <c r="J1334" s="33"/>
      <c r="K1334" s="33"/>
      <c r="L1334" s="33"/>
      <c r="M1334" s="33"/>
      <c r="N1334" s="33"/>
      <c r="O1334" s="33"/>
      <c r="P1334" s="33"/>
      <c r="Q1334" s="33"/>
      <c r="R1334" s="33"/>
      <c r="S1334" s="33"/>
      <c r="T1334" s="33"/>
      <c r="U1334" s="33"/>
      <c r="V1334" s="33"/>
      <c r="W1334" s="33"/>
      <c r="X1334" s="33"/>
      <c r="Y1334" s="33"/>
      <c r="Z1334" s="33"/>
      <c r="AA1334" s="33"/>
      <c r="AB1334" s="33"/>
      <c r="AC1334" s="33"/>
      <c r="AD1334" s="33"/>
      <c r="AE1334" s="33"/>
      <c r="AF1334" s="33"/>
      <c r="AG1334" s="33"/>
      <c r="AH1334" s="33"/>
      <c r="AI1334" s="33"/>
      <c r="AJ1334" s="33"/>
      <c r="AK1334" s="34" t="str">
        <f aca="false">IF($B1334="","",COUNTIF($F1334:$AJ1334,"P"))</f>
        <v/>
      </c>
      <c r="AL1334" s="34" t="str">
        <f aca="false">IF($B1334="","",COUNTIF($F1334:$AJ1334,"A"))</f>
        <v/>
      </c>
      <c r="AM1334" s="34" t="str">
        <f aca="false">IF($B1334="","",COUNTIF($F1334:$AJ1334,"HA"))</f>
        <v/>
      </c>
      <c r="AN1334" s="34" t="str">
        <f aca="false">IF($B1334="","",COUNTIF($F1334:$AJ1334,"L"))</f>
        <v/>
      </c>
      <c r="AO1334" s="34" t="str">
        <f aca="false">IF($B1334="","",COUNTIF($F1334:$AJ1334,"PL"))</f>
        <v/>
      </c>
      <c r="AP1334" s="34" t="str">
        <f aca="false">IF($B1334="","",COUNTIF($F1334:$AJ1334,"CL"))</f>
        <v/>
      </c>
      <c r="AQ1334" s="34" t="str">
        <f aca="false">IF($B1334="","",COUNTIF($F1334:$AJ1334,"SL"))</f>
        <v/>
      </c>
      <c r="AR1334" s="34" t="str">
        <f aca="false">IF($B1334="","",COUNTIF($F1334:$AJ1334,"CO"))</f>
        <v/>
      </c>
      <c r="AS1334" s="34" t="str">
        <f aca="false">IF($B1334="","",COUNTIF($F1334:$AJ1334,"HPL"))</f>
        <v/>
      </c>
      <c r="AT1334" s="34" t="str">
        <f aca="false">IF($B1334="","",COUNTIF($F1334:$AJ1334,"HCL"))</f>
        <v/>
      </c>
      <c r="AU1334" s="34" t="str">
        <f aca="false">IF($B1334="","",COUNTIF($F1334:$AJ1334,"WO"))</f>
        <v/>
      </c>
      <c r="AV1334" s="34" t="str">
        <f aca="false">IF($B1334="","",COUNTIF($F1334:$AJ1334,"PH"))</f>
        <v/>
      </c>
      <c r="AW1334" s="34" t="str">
        <f aca="false">IF($B1334="","",COUNTIF($F1334:$AJ1334,"TR"))</f>
        <v/>
      </c>
      <c r="AX1334" s="35" t="str">
        <f aca="false">IF($B1334="","",AO1334+AS1334/2)</f>
        <v/>
      </c>
      <c r="AY1334" s="35" t="str">
        <f aca="false">IF($B1334="","",AQ1334)</f>
        <v/>
      </c>
      <c r="AZ1334" s="35" t="str">
        <f aca="false">IF($B1334="","",AP1334+AT1334/2)</f>
        <v/>
      </c>
      <c r="BA1334" s="35" t="str">
        <f aca="false">IF($B1334="","",AK1334+AN1334+AM1334/2+AO1334+AP1334+AQ1334+AR1334+AS1334+AT1334+AU1334+AV1334+AW1334)</f>
        <v/>
      </c>
      <c r="BB1334" s="35" t="str">
        <f aca="false">IF($B1334="","",MAX(0,AN1334-Settings!$C$16)*Settings!$C$17)</f>
        <v/>
      </c>
      <c r="BC1334" s="35" t="str">
        <f aca="false">IF($B1334="","",BA1334-BB1334)</f>
        <v/>
      </c>
      <c r="BD1334" s="35" t="str">
        <f aca="false">IF(OR($B1334="",$A1334=""),"",DAY(EOMONTH($A1334,0))-COUNTA($F1334:$AJ1334))</f>
        <v/>
      </c>
    </row>
    <row r="1335" customFormat="false" ht="15" hidden="false" customHeight="false" outlineLevel="0" collapsed="false">
      <c r="A1335" s="32"/>
      <c r="B1335" s="29"/>
      <c r="C1335" s="10" t="str">
        <f aca="false">IF($B1335="","",IFERROR(INDEX(M_name,MATCH($B1335,M_emp,0)),"Code not found"))</f>
        <v/>
      </c>
      <c r="D1335" s="10" t="str">
        <f aca="false">IF($B1335="","",IFERROR(INDEX(M_dept,MATCH($B1335,M_emp,0)),""))</f>
        <v/>
      </c>
      <c r="E1335" s="10" t="str">
        <f aca="false">IF($B1335="","",IFERROR(INDEX(M_loc,MATCH($B1335,M_emp,0)),""))</f>
        <v/>
      </c>
      <c r="F1335" s="33"/>
      <c r="G1335" s="33"/>
      <c r="H1335" s="33"/>
      <c r="I1335" s="33"/>
      <c r="J1335" s="33"/>
      <c r="K1335" s="33"/>
      <c r="L1335" s="33"/>
      <c r="M1335" s="33"/>
      <c r="N1335" s="33"/>
      <c r="O1335" s="33"/>
      <c r="P1335" s="33"/>
      <c r="Q1335" s="33"/>
      <c r="R1335" s="33"/>
      <c r="S1335" s="33"/>
      <c r="T1335" s="33"/>
      <c r="U1335" s="33"/>
      <c r="V1335" s="33"/>
      <c r="W1335" s="33"/>
      <c r="X1335" s="33"/>
      <c r="Y1335" s="33"/>
      <c r="Z1335" s="33"/>
      <c r="AA1335" s="33"/>
      <c r="AB1335" s="33"/>
      <c r="AC1335" s="33"/>
      <c r="AD1335" s="33"/>
      <c r="AE1335" s="33"/>
      <c r="AF1335" s="33"/>
      <c r="AG1335" s="33"/>
      <c r="AH1335" s="33"/>
      <c r="AI1335" s="33"/>
      <c r="AJ1335" s="33"/>
      <c r="AK1335" s="34" t="str">
        <f aca="false">IF($B1335="","",COUNTIF($F1335:$AJ1335,"P"))</f>
        <v/>
      </c>
      <c r="AL1335" s="34" t="str">
        <f aca="false">IF($B1335="","",COUNTIF($F1335:$AJ1335,"A"))</f>
        <v/>
      </c>
      <c r="AM1335" s="34" t="str">
        <f aca="false">IF($B1335="","",COUNTIF($F1335:$AJ1335,"HA"))</f>
        <v/>
      </c>
      <c r="AN1335" s="34" t="str">
        <f aca="false">IF($B1335="","",COUNTIF($F1335:$AJ1335,"L"))</f>
        <v/>
      </c>
      <c r="AO1335" s="34" t="str">
        <f aca="false">IF($B1335="","",COUNTIF($F1335:$AJ1335,"PL"))</f>
        <v/>
      </c>
      <c r="AP1335" s="34" t="str">
        <f aca="false">IF($B1335="","",COUNTIF($F1335:$AJ1335,"CL"))</f>
        <v/>
      </c>
      <c r="AQ1335" s="34" t="str">
        <f aca="false">IF($B1335="","",COUNTIF($F1335:$AJ1335,"SL"))</f>
        <v/>
      </c>
      <c r="AR1335" s="34" t="str">
        <f aca="false">IF($B1335="","",COUNTIF($F1335:$AJ1335,"CO"))</f>
        <v/>
      </c>
      <c r="AS1335" s="34" t="str">
        <f aca="false">IF($B1335="","",COUNTIF($F1335:$AJ1335,"HPL"))</f>
        <v/>
      </c>
      <c r="AT1335" s="34" t="str">
        <f aca="false">IF($B1335="","",COUNTIF($F1335:$AJ1335,"HCL"))</f>
        <v/>
      </c>
      <c r="AU1335" s="34" t="str">
        <f aca="false">IF($B1335="","",COUNTIF($F1335:$AJ1335,"WO"))</f>
        <v/>
      </c>
      <c r="AV1335" s="34" t="str">
        <f aca="false">IF($B1335="","",COUNTIF($F1335:$AJ1335,"PH"))</f>
        <v/>
      </c>
      <c r="AW1335" s="34" t="str">
        <f aca="false">IF($B1335="","",COUNTIF($F1335:$AJ1335,"TR"))</f>
        <v/>
      </c>
      <c r="AX1335" s="35" t="str">
        <f aca="false">IF($B1335="","",AO1335+AS1335/2)</f>
        <v/>
      </c>
      <c r="AY1335" s="35" t="str">
        <f aca="false">IF($B1335="","",AQ1335)</f>
        <v/>
      </c>
      <c r="AZ1335" s="35" t="str">
        <f aca="false">IF($B1335="","",AP1335+AT1335/2)</f>
        <v/>
      </c>
      <c r="BA1335" s="35" t="str">
        <f aca="false">IF($B1335="","",AK1335+AN1335+AM1335/2+AO1335+AP1335+AQ1335+AR1335+AS1335+AT1335+AU1335+AV1335+AW1335)</f>
        <v/>
      </c>
      <c r="BB1335" s="35" t="str">
        <f aca="false">IF($B1335="","",MAX(0,AN1335-Settings!$C$16)*Settings!$C$17)</f>
        <v/>
      </c>
      <c r="BC1335" s="35" t="str">
        <f aca="false">IF($B1335="","",BA1335-BB1335)</f>
        <v/>
      </c>
      <c r="BD1335" s="35" t="str">
        <f aca="false">IF(OR($B1335="",$A1335=""),"",DAY(EOMONTH($A1335,0))-COUNTA($F1335:$AJ1335))</f>
        <v/>
      </c>
    </row>
    <row r="1336" customFormat="false" ht="15" hidden="false" customHeight="false" outlineLevel="0" collapsed="false">
      <c r="A1336" s="32"/>
      <c r="B1336" s="29"/>
      <c r="C1336" s="10" t="str">
        <f aca="false">IF($B1336="","",IFERROR(INDEX(M_name,MATCH($B1336,M_emp,0)),"Code not found"))</f>
        <v/>
      </c>
      <c r="D1336" s="10" t="str">
        <f aca="false">IF($B1336="","",IFERROR(INDEX(M_dept,MATCH($B1336,M_emp,0)),""))</f>
        <v/>
      </c>
      <c r="E1336" s="10" t="str">
        <f aca="false">IF($B1336="","",IFERROR(INDEX(M_loc,MATCH($B1336,M_emp,0)),""))</f>
        <v/>
      </c>
      <c r="F1336" s="33"/>
      <c r="G1336" s="33"/>
      <c r="H1336" s="33"/>
      <c r="I1336" s="33"/>
      <c r="J1336" s="33"/>
      <c r="K1336" s="33"/>
      <c r="L1336" s="33"/>
      <c r="M1336" s="33"/>
      <c r="N1336" s="33"/>
      <c r="O1336" s="33"/>
      <c r="P1336" s="33"/>
      <c r="Q1336" s="33"/>
      <c r="R1336" s="33"/>
      <c r="S1336" s="33"/>
      <c r="T1336" s="33"/>
      <c r="U1336" s="33"/>
      <c r="V1336" s="33"/>
      <c r="W1336" s="33"/>
      <c r="X1336" s="33"/>
      <c r="Y1336" s="33"/>
      <c r="Z1336" s="33"/>
      <c r="AA1336" s="33"/>
      <c r="AB1336" s="33"/>
      <c r="AC1336" s="33"/>
      <c r="AD1336" s="33"/>
      <c r="AE1336" s="33"/>
      <c r="AF1336" s="33"/>
      <c r="AG1336" s="33"/>
      <c r="AH1336" s="33"/>
      <c r="AI1336" s="33"/>
      <c r="AJ1336" s="33"/>
      <c r="AK1336" s="34" t="str">
        <f aca="false">IF($B1336="","",COUNTIF($F1336:$AJ1336,"P"))</f>
        <v/>
      </c>
      <c r="AL1336" s="34" t="str">
        <f aca="false">IF($B1336="","",COUNTIF($F1336:$AJ1336,"A"))</f>
        <v/>
      </c>
      <c r="AM1336" s="34" t="str">
        <f aca="false">IF($B1336="","",COUNTIF($F1336:$AJ1336,"HA"))</f>
        <v/>
      </c>
      <c r="AN1336" s="34" t="str">
        <f aca="false">IF($B1336="","",COUNTIF($F1336:$AJ1336,"L"))</f>
        <v/>
      </c>
      <c r="AO1336" s="34" t="str">
        <f aca="false">IF($B1336="","",COUNTIF($F1336:$AJ1336,"PL"))</f>
        <v/>
      </c>
      <c r="AP1336" s="34" t="str">
        <f aca="false">IF($B1336="","",COUNTIF($F1336:$AJ1336,"CL"))</f>
        <v/>
      </c>
      <c r="AQ1336" s="34" t="str">
        <f aca="false">IF($B1336="","",COUNTIF($F1336:$AJ1336,"SL"))</f>
        <v/>
      </c>
      <c r="AR1336" s="34" t="str">
        <f aca="false">IF($B1336="","",COUNTIF($F1336:$AJ1336,"CO"))</f>
        <v/>
      </c>
      <c r="AS1336" s="34" t="str">
        <f aca="false">IF($B1336="","",COUNTIF($F1336:$AJ1336,"HPL"))</f>
        <v/>
      </c>
      <c r="AT1336" s="34" t="str">
        <f aca="false">IF($B1336="","",COUNTIF($F1336:$AJ1336,"HCL"))</f>
        <v/>
      </c>
      <c r="AU1336" s="34" t="str">
        <f aca="false">IF($B1336="","",COUNTIF($F1336:$AJ1336,"WO"))</f>
        <v/>
      </c>
      <c r="AV1336" s="34" t="str">
        <f aca="false">IF($B1336="","",COUNTIF($F1336:$AJ1336,"PH"))</f>
        <v/>
      </c>
      <c r="AW1336" s="34" t="str">
        <f aca="false">IF($B1336="","",COUNTIF($F1336:$AJ1336,"TR"))</f>
        <v/>
      </c>
      <c r="AX1336" s="35" t="str">
        <f aca="false">IF($B1336="","",AO1336+AS1336/2)</f>
        <v/>
      </c>
      <c r="AY1336" s="35" t="str">
        <f aca="false">IF($B1336="","",AQ1336)</f>
        <v/>
      </c>
      <c r="AZ1336" s="35" t="str">
        <f aca="false">IF($B1336="","",AP1336+AT1336/2)</f>
        <v/>
      </c>
      <c r="BA1336" s="35" t="str">
        <f aca="false">IF($B1336="","",AK1336+AN1336+AM1336/2+AO1336+AP1336+AQ1336+AR1336+AS1336+AT1336+AU1336+AV1336+AW1336)</f>
        <v/>
      </c>
      <c r="BB1336" s="35" t="str">
        <f aca="false">IF($B1336="","",MAX(0,AN1336-Settings!$C$16)*Settings!$C$17)</f>
        <v/>
      </c>
      <c r="BC1336" s="35" t="str">
        <f aca="false">IF($B1336="","",BA1336-BB1336)</f>
        <v/>
      </c>
      <c r="BD1336" s="35" t="str">
        <f aca="false">IF(OR($B1336="",$A1336=""),"",DAY(EOMONTH($A1336,0))-COUNTA($F1336:$AJ1336))</f>
        <v/>
      </c>
    </row>
    <row r="1337" customFormat="false" ht="15" hidden="false" customHeight="false" outlineLevel="0" collapsed="false">
      <c r="A1337" s="32"/>
      <c r="B1337" s="29"/>
      <c r="C1337" s="10" t="str">
        <f aca="false">IF($B1337="","",IFERROR(INDEX(M_name,MATCH($B1337,M_emp,0)),"Code not found"))</f>
        <v/>
      </c>
      <c r="D1337" s="10" t="str">
        <f aca="false">IF($B1337="","",IFERROR(INDEX(M_dept,MATCH($B1337,M_emp,0)),""))</f>
        <v/>
      </c>
      <c r="E1337" s="10" t="str">
        <f aca="false">IF($B1337="","",IFERROR(INDEX(M_loc,MATCH($B1337,M_emp,0)),""))</f>
        <v/>
      </c>
      <c r="F1337" s="33"/>
      <c r="G1337" s="33"/>
      <c r="H1337" s="33"/>
      <c r="I1337" s="33"/>
      <c r="J1337" s="33"/>
      <c r="K1337" s="33"/>
      <c r="L1337" s="33"/>
      <c r="M1337" s="33"/>
      <c r="N1337" s="33"/>
      <c r="O1337" s="33"/>
      <c r="P1337" s="33"/>
      <c r="Q1337" s="33"/>
      <c r="R1337" s="33"/>
      <c r="S1337" s="33"/>
      <c r="T1337" s="33"/>
      <c r="U1337" s="33"/>
      <c r="V1337" s="33"/>
      <c r="W1337" s="33"/>
      <c r="X1337" s="33"/>
      <c r="Y1337" s="33"/>
      <c r="Z1337" s="33"/>
      <c r="AA1337" s="33"/>
      <c r="AB1337" s="33"/>
      <c r="AC1337" s="33"/>
      <c r="AD1337" s="33"/>
      <c r="AE1337" s="33"/>
      <c r="AF1337" s="33"/>
      <c r="AG1337" s="33"/>
      <c r="AH1337" s="33"/>
      <c r="AI1337" s="33"/>
      <c r="AJ1337" s="33"/>
      <c r="AK1337" s="34" t="str">
        <f aca="false">IF($B1337="","",COUNTIF($F1337:$AJ1337,"P"))</f>
        <v/>
      </c>
      <c r="AL1337" s="34" t="str">
        <f aca="false">IF($B1337="","",COUNTIF($F1337:$AJ1337,"A"))</f>
        <v/>
      </c>
      <c r="AM1337" s="34" t="str">
        <f aca="false">IF($B1337="","",COUNTIF($F1337:$AJ1337,"HA"))</f>
        <v/>
      </c>
      <c r="AN1337" s="34" t="str">
        <f aca="false">IF($B1337="","",COUNTIF($F1337:$AJ1337,"L"))</f>
        <v/>
      </c>
      <c r="AO1337" s="34" t="str">
        <f aca="false">IF($B1337="","",COUNTIF($F1337:$AJ1337,"PL"))</f>
        <v/>
      </c>
      <c r="AP1337" s="34" t="str">
        <f aca="false">IF($B1337="","",COUNTIF($F1337:$AJ1337,"CL"))</f>
        <v/>
      </c>
      <c r="AQ1337" s="34" t="str">
        <f aca="false">IF($B1337="","",COUNTIF($F1337:$AJ1337,"SL"))</f>
        <v/>
      </c>
      <c r="AR1337" s="34" t="str">
        <f aca="false">IF($B1337="","",COUNTIF($F1337:$AJ1337,"CO"))</f>
        <v/>
      </c>
      <c r="AS1337" s="34" t="str">
        <f aca="false">IF($B1337="","",COUNTIF($F1337:$AJ1337,"HPL"))</f>
        <v/>
      </c>
      <c r="AT1337" s="34" t="str">
        <f aca="false">IF($B1337="","",COUNTIF($F1337:$AJ1337,"HCL"))</f>
        <v/>
      </c>
      <c r="AU1337" s="34" t="str">
        <f aca="false">IF($B1337="","",COUNTIF($F1337:$AJ1337,"WO"))</f>
        <v/>
      </c>
      <c r="AV1337" s="34" t="str">
        <f aca="false">IF($B1337="","",COUNTIF($F1337:$AJ1337,"PH"))</f>
        <v/>
      </c>
      <c r="AW1337" s="34" t="str">
        <f aca="false">IF($B1337="","",COUNTIF($F1337:$AJ1337,"TR"))</f>
        <v/>
      </c>
      <c r="AX1337" s="35" t="str">
        <f aca="false">IF($B1337="","",AO1337+AS1337/2)</f>
        <v/>
      </c>
      <c r="AY1337" s="35" t="str">
        <f aca="false">IF($B1337="","",AQ1337)</f>
        <v/>
      </c>
      <c r="AZ1337" s="35" t="str">
        <f aca="false">IF($B1337="","",AP1337+AT1337/2)</f>
        <v/>
      </c>
      <c r="BA1337" s="35" t="str">
        <f aca="false">IF($B1337="","",AK1337+AN1337+AM1337/2+AO1337+AP1337+AQ1337+AR1337+AS1337+AT1337+AU1337+AV1337+AW1337)</f>
        <v/>
      </c>
      <c r="BB1337" s="35" t="str">
        <f aca="false">IF($B1337="","",MAX(0,AN1337-Settings!$C$16)*Settings!$C$17)</f>
        <v/>
      </c>
      <c r="BC1337" s="35" t="str">
        <f aca="false">IF($B1337="","",BA1337-BB1337)</f>
        <v/>
      </c>
      <c r="BD1337" s="35" t="str">
        <f aca="false">IF(OR($B1337="",$A1337=""),"",DAY(EOMONTH($A1337,0))-COUNTA($F1337:$AJ1337))</f>
        <v/>
      </c>
    </row>
    <row r="1338" customFormat="false" ht="15" hidden="false" customHeight="false" outlineLevel="0" collapsed="false">
      <c r="A1338" s="32"/>
      <c r="B1338" s="29"/>
      <c r="C1338" s="10" t="str">
        <f aca="false">IF($B1338="","",IFERROR(INDEX(M_name,MATCH($B1338,M_emp,0)),"Code not found"))</f>
        <v/>
      </c>
      <c r="D1338" s="10" t="str">
        <f aca="false">IF($B1338="","",IFERROR(INDEX(M_dept,MATCH($B1338,M_emp,0)),""))</f>
        <v/>
      </c>
      <c r="E1338" s="10" t="str">
        <f aca="false">IF($B1338="","",IFERROR(INDEX(M_loc,MATCH($B1338,M_emp,0)),""))</f>
        <v/>
      </c>
      <c r="F1338" s="33"/>
      <c r="G1338" s="33"/>
      <c r="H1338" s="33"/>
      <c r="I1338" s="33"/>
      <c r="J1338" s="33"/>
      <c r="K1338" s="33"/>
      <c r="L1338" s="33"/>
      <c r="M1338" s="33"/>
      <c r="N1338" s="33"/>
      <c r="O1338" s="33"/>
      <c r="P1338" s="33"/>
      <c r="Q1338" s="33"/>
      <c r="R1338" s="33"/>
      <c r="S1338" s="33"/>
      <c r="T1338" s="33"/>
      <c r="U1338" s="33"/>
      <c r="V1338" s="33"/>
      <c r="W1338" s="33"/>
      <c r="X1338" s="33"/>
      <c r="Y1338" s="33"/>
      <c r="Z1338" s="33"/>
      <c r="AA1338" s="33"/>
      <c r="AB1338" s="33"/>
      <c r="AC1338" s="33"/>
      <c r="AD1338" s="33"/>
      <c r="AE1338" s="33"/>
      <c r="AF1338" s="33"/>
      <c r="AG1338" s="33"/>
      <c r="AH1338" s="33"/>
      <c r="AI1338" s="33"/>
      <c r="AJ1338" s="33"/>
      <c r="AK1338" s="34" t="str">
        <f aca="false">IF($B1338="","",COUNTIF($F1338:$AJ1338,"P"))</f>
        <v/>
      </c>
      <c r="AL1338" s="34" t="str">
        <f aca="false">IF($B1338="","",COUNTIF($F1338:$AJ1338,"A"))</f>
        <v/>
      </c>
      <c r="AM1338" s="34" t="str">
        <f aca="false">IF($B1338="","",COUNTIF($F1338:$AJ1338,"HA"))</f>
        <v/>
      </c>
      <c r="AN1338" s="34" t="str">
        <f aca="false">IF($B1338="","",COUNTIF($F1338:$AJ1338,"L"))</f>
        <v/>
      </c>
      <c r="AO1338" s="34" t="str">
        <f aca="false">IF($B1338="","",COUNTIF($F1338:$AJ1338,"PL"))</f>
        <v/>
      </c>
      <c r="AP1338" s="34" t="str">
        <f aca="false">IF($B1338="","",COUNTIF($F1338:$AJ1338,"CL"))</f>
        <v/>
      </c>
      <c r="AQ1338" s="34" t="str">
        <f aca="false">IF($B1338="","",COUNTIF($F1338:$AJ1338,"SL"))</f>
        <v/>
      </c>
      <c r="AR1338" s="34" t="str">
        <f aca="false">IF($B1338="","",COUNTIF($F1338:$AJ1338,"CO"))</f>
        <v/>
      </c>
      <c r="AS1338" s="34" t="str">
        <f aca="false">IF($B1338="","",COUNTIF($F1338:$AJ1338,"HPL"))</f>
        <v/>
      </c>
      <c r="AT1338" s="34" t="str">
        <f aca="false">IF($B1338="","",COUNTIF($F1338:$AJ1338,"HCL"))</f>
        <v/>
      </c>
      <c r="AU1338" s="34" t="str">
        <f aca="false">IF($B1338="","",COUNTIF($F1338:$AJ1338,"WO"))</f>
        <v/>
      </c>
      <c r="AV1338" s="34" t="str">
        <f aca="false">IF($B1338="","",COUNTIF($F1338:$AJ1338,"PH"))</f>
        <v/>
      </c>
      <c r="AW1338" s="34" t="str">
        <f aca="false">IF($B1338="","",COUNTIF($F1338:$AJ1338,"TR"))</f>
        <v/>
      </c>
      <c r="AX1338" s="35" t="str">
        <f aca="false">IF($B1338="","",AO1338+AS1338/2)</f>
        <v/>
      </c>
      <c r="AY1338" s="35" t="str">
        <f aca="false">IF($B1338="","",AQ1338)</f>
        <v/>
      </c>
      <c r="AZ1338" s="35" t="str">
        <f aca="false">IF($B1338="","",AP1338+AT1338/2)</f>
        <v/>
      </c>
      <c r="BA1338" s="35" t="str">
        <f aca="false">IF($B1338="","",AK1338+AN1338+AM1338/2+AO1338+AP1338+AQ1338+AR1338+AS1338+AT1338+AU1338+AV1338+AW1338)</f>
        <v/>
      </c>
      <c r="BB1338" s="35" t="str">
        <f aca="false">IF($B1338="","",MAX(0,AN1338-Settings!$C$16)*Settings!$C$17)</f>
        <v/>
      </c>
      <c r="BC1338" s="35" t="str">
        <f aca="false">IF($B1338="","",BA1338-BB1338)</f>
        <v/>
      </c>
      <c r="BD1338" s="35" t="str">
        <f aca="false">IF(OR($B1338="",$A1338=""),"",DAY(EOMONTH($A1338,0))-COUNTA($F1338:$AJ1338))</f>
        <v/>
      </c>
    </row>
    <row r="1339" customFormat="false" ht="15" hidden="false" customHeight="false" outlineLevel="0" collapsed="false">
      <c r="A1339" s="32"/>
      <c r="B1339" s="29"/>
      <c r="C1339" s="10" t="str">
        <f aca="false">IF($B1339="","",IFERROR(INDEX(M_name,MATCH($B1339,M_emp,0)),"Code not found"))</f>
        <v/>
      </c>
      <c r="D1339" s="10" t="str">
        <f aca="false">IF($B1339="","",IFERROR(INDEX(M_dept,MATCH($B1339,M_emp,0)),""))</f>
        <v/>
      </c>
      <c r="E1339" s="10" t="str">
        <f aca="false">IF($B1339="","",IFERROR(INDEX(M_loc,MATCH($B1339,M_emp,0)),""))</f>
        <v/>
      </c>
      <c r="F1339" s="33"/>
      <c r="G1339" s="33"/>
      <c r="H1339" s="33"/>
      <c r="I1339" s="33"/>
      <c r="J1339" s="33"/>
      <c r="K1339" s="33"/>
      <c r="L1339" s="33"/>
      <c r="M1339" s="33"/>
      <c r="N1339" s="33"/>
      <c r="O1339" s="33"/>
      <c r="P1339" s="33"/>
      <c r="Q1339" s="33"/>
      <c r="R1339" s="33"/>
      <c r="S1339" s="33"/>
      <c r="T1339" s="33"/>
      <c r="U1339" s="33"/>
      <c r="V1339" s="33"/>
      <c r="W1339" s="33"/>
      <c r="X1339" s="33"/>
      <c r="Y1339" s="33"/>
      <c r="Z1339" s="33"/>
      <c r="AA1339" s="33"/>
      <c r="AB1339" s="33"/>
      <c r="AC1339" s="33"/>
      <c r="AD1339" s="33"/>
      <c r="AE1339" s="33"/>
      <c r="AF1339" s="33"/>
      <c r="AG1339" s="33"/>
      <c r="AH1339" s="33"/>
      <c r="AI1339" s="33"/>
      <c r="AJ1339" s="33"/>
      <c r="AK1339" s="34" t="str">
        <f aca="false">IF($B1339="","",COUNTIF($F1339:$AJ1339,"P"))</f>
        <v/>
      </c>
      <c r="AL1339" s="34" t="str">
        <f aca="false">IF($B1339="","",COUNTIF($F1339:$AJ1339,"A"))</f>
        <v/>
      </c>
      <c r="AM1339" s="34" t="str">
        <f aca="false">IF($B1339="","",COUNTIF($F1339:$AJ1339,"HA"))</f>
        <v/>
      </c>
      <c r="AN1339" s="34" t="str">
        <f aca="false">IF($B1339="","",COUNTIF($F1339:$AJ1339,"L"))</f>
        <v/>
      </c>
      <c r="AO1339" s="34" t="str">
        <f aca="false">IF($B1339="","",COUNTIF($F1339:$AJ1339,"PL"))</f>
        <v/>
      </c>
      <c r="AP1339" s="34" t="str">
        <f aca="false">IF($B1339="","",COUNTIF($F1339:$AJ1339,"CL"))</f>
        <v/>
      </c>
      <c r="AQ1339" s="34" t="str">
        <f aca="false">IF($B1339="","",COUNTIF($F1339:$AJ1339,"SL"))</f>
        <v/>
      </c>
      <c r="AR1339" s="34" t="str">
        <f aca="false">IF($B1339="","",COUNTIF($F1339:$AJ1339,"CO"))</f>
        <v/>
      </c>
      <c r="AS1339" s="34" t="str">
        <f aca="false">IF($B1339="","",COUNTIF($F1339:$AJ1339,"HPL"))</f>
        <v/>
      </c>
      <c r="AT1339" s="34" t="str">
        <f aca="false">IF($B1339="","",COUNTIF($F1339:$AJ1339,"HCL"))</f>
        <v/>
      </c>
      <c r="AU1339" s="34" t="str">
        <f aca="false">IF($B1339="","",COUNTIF($F1339:$AJ1339,"WO"))</f>
        <v/>
      </c>
      <c r="AV1339" s="34" t="str">
        <f aca="false">IF($B1339="","",COUNTIF($F1339:$AJ1339,"PH"))</f>
        <v/>
      </c>
      <c r="AW1339" s="34" t="str">
        <f aca="false">IF($B1339="","",COUNTIF($F1339:$AJ1339,"TR"))</f>
        <v/>
      </c>
      <c r="AX1339" s="35" t="str">
        <f aca="false">IF($B1339="","",AO1339+AS1339/2)</f>
        <v/>
      </c>
      <c r="AY1339" s="35" t="str">
        <f aca="false">IF($B1339="","",AQ1339)</f>
        <v/>
      </c>
      <c r="AZ1339" s="35" t="str">
        <f aca="false">IF($B1339="","",AP1339+AT1339/2)</f>
        <v/>
      </c>
      <c r="BA1339" s="35" t="str">
        <f aca="false">IF($B1339="","",AK1339+AN1339+AM1339/2+AO1339+AP1339+AQ1339+AR1339+AS1339+AT1339+AU1339+AV1339+AW1339)</f>
        <v/>
      </c>
      <c r="BB1339" s="35" t="str">
        <f aca="false">IF($B1339="","",MAX(0,AN1339-Settings!$C$16)*Settings!$C$17)</f>
        <v/>
      </c>
      <c r="BC1339" s="35" t="str">
        <f aca="false">IF($B1339="","",BA1339-BB1339)</f>
        <v/>
      </c>
      <c r="BD1339" s="35" t="str">
        <f aca="false">IF(OR($B1339="",$A1339=""),"",DAY(EOMONTH($A1339,0))-COUNTA($F1339:$AJ1339))</f>
        <v/>
      </c>
    </row>
    <row r="1340" customFormat="false" ht="15" hidden="false" customHeight="false" outlineLevel="0" collapsed="false">
      <c r="A1340" s="32"/>
      <c r="B1340" s="29"/>
      <c r="C1340" s="10" t="str">
        <f aca="false">IF($B1340="","",IFERROR(INDEX(M_name,MATCH($B1340,M_emp,0)),"Code not found"))</f>
        <v/>
      </c>
      <c r="D1340" s="10" t="str">
        <f aca="false">IF($B1340="","",IFERROR(INDEX(M_dept,MATCH($B1340,M_emp,0)),""))</f>
        <v/>
      </c>
      <c r="E1340" s="10" t="str">
        <f aca="false">IF($B1340="","",IFERROR(INDEX(M_loc,MATCH($B1340,M_emp,0)),""))</f>
        <v/>
      </c>
      <c r="F1340" s="33"/>
      <c r="G1340" s="33"/>
      <c r="H1340" s="33"/>
      <c r="I1340" s="33"/>
      <c r="J1340" s="33"/>
      <c r="K1340" s="33"/>
      <c r="L1340" s="33"/>
      <c r="M1340" s="33"/>
      <c r="N1340" s="33"/>
      <c r="O1340" s="33"/>
      <c r="P1340" s="33"/>
      <c r="Q1340" s="33"/>
      <c r="R1340" s="33"/>
      <c r="S1340" s="33"/>
      <c r="T1340" s="33"/>
      <c r="U1340" s="33"/>
      <c r="V1340" s="33"/>
      <c r="W1340" s="33"/>
      <c r="X1340" s="33"/>
      <c r="Y1340" s="33"/>
      <c r="Z1340" s="33"/>
      <c r="AA1340" s="33"/>
      <c r="AB1340" s="33"/>
      <c r="AC1340" s="33"/>
      <c r="AD1340" s="33"/>
      <c r="AE1340" s="33"/>
      <c r="AF1340" s="33"/>
      <c r="AG1340" s="33"/>
      <c r="AH1340" s="33"/>
      <c r="AI1340" s="33"/>
      <c r="AJ1340" s="33"/>
      <c r="AK1340" s="34" t="str">
        <f aca="false">IF($B1340="","",COUNTIF($F1340:$AJ1340,"P"))</f>
        <v/>
      </c>
      <c r="AL1340" s="34" t="str">
        <f aca="false">IF($B1340="","",COUNTIF($F1340:$AJ1340,"A"))</f>
        <v/>
      </c>
      <c r="AM1340" s="34" t="str">
        <f aca="false">IF($B1340="","",COUNTIF($F1340:$AJ1340,"HA"))</f>
        <v/>
      </c>
      <c r="AN1340" s="34" t="str">
        <f aca="false">IF($B1340="","",COUNTIF($F1340:$AJ1340,"L"))</f>
        <v/>
      </c>
      <c r="AO1340" s="34" t="str">
        <f aca="false">IF($B1340="","",COUNTIF($F1340:$AJ1340,"PL"))</f>
        <v/>
      </c>
      <c r="AP1340" s="34" t="str">
        <f aca="false">IF($B1340="","",COUNTIF($F1340:$AJ1340,"CL"))</f>
        <v/>
      </c>
      <c r="AQ1340" s="34" t="str">
        <f aca="false">IF($B1340="","",COUNTIF($F1340:$AJ1340,"SL"))</f>
        <v/>
      </c>
      <c r="AR1340" s="34" t="str">
        <f aca="false">IF($B1340="","",COUNTIF($F1340:$AJ1340,"CO"))</f>
        <v/>
      </c>
      <c r="AS1340" s="34" t="str">
        <f aca="false">IF($B1340="","",COUNTIF($F1340:$AJ1340,"HPL"))</f>
        <v/>
      </c>
      <c r="AT1340" s="34" t="str">
        <f aca="false">IF($B1340="","",COUNTIF($F1340:$AJ1340,"HCL"))</f>
        <v/>
      </c>
      <c r="AU1340" s="34" t="str">
        <f aca="false">IF($B1340="","",COUNTIF($F1340:$AJ1340,"WO"))</f>
        <v/>
      </c>
      <c r="AV1340" s="34" t="str">
        <f aca="false">IF($B1340="","",COUNTIF($F1340:$AJ1340,"PH"))</f>
        <v/>
      </c>
      <c r="AW1340" s="34" t="str">
        <f aca="false">IF($B1340="","",COUNTIF($F1340:$AJ1340,"TR"))</f>
        <v/>
      </c>
      <c r="AX1340" s="35" t="str">
        <f aca="false">IF($B1340="","",AO1340+AS1340/2)</f>
        <v/>
      </c>
      <c r="AY1340" s="35" t="str">
        <f aca="false">IF($B1340="","",AQ1340)</f>
        <v/>
      </c>
      <c r="AZ1340" s="35" t="str">
        <f aca="false">IF($B1340="","",AP1340+AT1340/2)</f>
        <v/>
      </c>
      <c r="BA1340" s="35" t="str">
        <f aca="false">IF($B1340="","",AK1340+AN1340+AM1340/2+AO1340+AP1340+AQ1340+AR1340+AS1340+AT1340+AU1340+AV1340+AW1340)</f>
        <v/>
      </c>
      <c r="BB1340" s="35" t="str">
        <f aca="false">IF($B1340="","",MAX(0,AN1340-Settings!$C$16)*Settings!$C$17)</f>
        <v/>
      </c>
      <c r="BC1340" s="35" t="str">
        <f aca="false">IF($B1340="","",BA1340-BB1340)</f>
        <v/>
      </c>
      <c r="BD1340" s="35" t="str">
        <f aca="false">IF(OR($B1340="",$A1340=""),"",DAY(EOMONTH($A1340,0))-COUNTA($F1340:$AJ1340))</f>
        <v/>
      </c>
    </row>
    <row r="1341" customFormat="false" ht="15" hidden="false" customHeight="false" outlineLevel="0" collapsed="false">
      <c r="A1341" s="32"/>
      <c r="B1341" s="29"/>
      <c r="C1341" s="10" t="str">
        <f aca="false">IF($B1341="","",IFERROR(INDEX(M_name,MATCH($B1341,M_emp,0)),"Code not found"))</f>
        <v/>
      </c>
      <c r="D1341" s="10" t="str">
        <f aca="false">IF($B1341="","",IFERROR(INDEX(M_dept,MATCH($B1341,M_emp,0)),""))</f>
        <v/>
      </c>
      <c r="E1341" s="10" t="str">
        <f aca="false">IF($B1341="","",IFERROR(INDEX(M_loc,MATCH($B1341,M_emp,0)),""))</f>
        <v/>
      </c>
      <c r="F1341" s="33"/>
      <c r="G1341" s="33"/>
      <c r="H1341" s="33"/>
      <c r="I1341" s="33"/>
      <c r="J1341" s="33"/>
      <c r="K1341" s="33"/>
      <c r="L1341" s="33"/>
      <c r="M1341" s="33"/>
      <c r="N1341" s="33"/>
      <c r="O1341" s="33"/>
      <c r="P1341" s="33"/>
      <c r="Q1341" s="33"/>
      <c r="R1341" s="33"/>
      <c r="S1341" s="33"/>
      <c r="T1341" s="33"/>
      <c r="U1341" s="33"/>
      <c r="V1341" s="33"/>
      <c r="W1341" s="33"/>
      <c r="X1341" s="33"/>
      <c r="Y1341" s="33"/>
      <c r="Z1341" s="33"/>
      <c r="AA1341" s="33"/>
      <c r="AB1341" s="33"/>
      <c r="AC1341" s="33"/>
      <c r="AD1341" s="33"/>
      <c r="AE1341" s="33"/>
      <c r="AF1341" s="33"/>
      <c r="AG1341" s="33"/>
      <c r="AH1341" s="33"/>
      <c r="AI1341" s="33"/>
      <c r="AJ1341" s="33"/>
      <c r="AK1341" s="34" t="str">
        <f aca="false">IF($B1341="","",COUNTIF($F1341:$AJ1341,"P"))</f>
        <v/>
      </c>
      <c r="AL1341" s="34" t="str">
        <f aca="false">IF($B1341="","",COUNTIF($F1341:$AJ1341,"A"))</f>
        <v/>
      </c>
      <c r="AM1341" s="34" t="str">
        <f aca="false">IF($B1341="","",COUNTIF($F1341:$AJ1341,"HA"))</f>
        <v/>
      </c>
      <c r="AN1341" s="34" t="str">
        <f aca="false">IF($B1341="","",COUNTIF($F1341:$AJ1341,"L"))</f>
        <v/>
      </c>
      <c r="AO1341" s="34" t="str">
        <f aca="false">IF($B1341="","",COUNTIF($F1341:$AJ1341,"PL"))</f>
        <v/>
      </c>
      <c r="AP1341" s="34" t="str">
        <f aca="false">IF($B1341="","",COUNTIF($F1341:$AJ1341,"CL"))</f>
        <v/>
      </c>
      <c r="AQ1341" s="34" t="str">
        <f aca="false">IF($B1341="","",COUNTIF($F1341:$AJ1341,"SL"))</f>
        <v/>
      </c>
      <c r="AR1341" s="34" t="str">
        <f aca="false">IF($B1341="","",COUNTIF($F1341:$AJ1341,"CO"))</f>
        <v/>
      </c>
      <c r="AS1341" s="34" t="str">
        <f aca="false">IF($B1341="","",COUNTIF($F1341:$AJ1341,"HPL"))</f>
        <v/>
      </c>
      <c r="AT1341" s="34" t="str">
        <f aca="false">IF($B1341="","",COUNTIF($F1341:$AJ1341,"HCL"))</f>
        <v/>
      </c>
      <c r="AU1341" s="34" t="str">
        <f aca="false">IF($B1341="","",COUNTIF($F1341:$AJ1341,"WO"))</f>
        <v/>
      </c>
      <c r="AV1341" s="34" t="str">
        <f aca="false">IF($B1341="","",COUNTIF($F1341:$AJ1341,"PH"))</f>
        <v/>
      </c>
      <c r="AW1341" s="34" t="str">
        <f aca="false">IF($B1341="","",COUNTIF($F1341:$AJ1341,"TR"))</f>
        <v/>
      </c>
      <c r="AX1341" s="35" t="str">
        <f aca="false">IF($B1341="","",AO1341+AS1341/2)</f>
        <v/>
      </c>
      <c r="AY1341" s="35" t="str">
        <f aca="false">IF($B1341="","",AQ1341)</f>
        <v/>
      </c>
      <c r="AZ1341" s="35" t="str">
        <f aca="false">IF($B1341="","",AP1341+AT1341/2)</f>
        <v/>
      </c>
      <c r="BA1341" s="35" t="str">
        <f aca="false">IF($B1341="","",AK1341+AN1341+AM1341/2+AO1341+AP1341+AQ1341+AR1341+AS1341+AT1341+AU1341+AV1341+AW1341)</f>
        <v/>
      </c>
      <c r="BB1341" s="35" t="str">
        <f aca="false">IF($B1341="","",MAX(0,AN1341-Settings!$C$16)*Settings!$C$17)</f>
        <v/>
      </c>
      <c r="BC1341" s="35" t="str">
        <f aca="false">IF($B1341="","",BA1341-BB1341)</f>
        <v/>
      </c>
      <c r="BD1341" s="35" t="str">
        <f aca="false">IF(OR($B1341="",$A1341=""),"",DAY(EOMONTH($A1341,0))-COUNTA($F1341:$AJ1341))</f>
        <v/>
      </c>
    </row>
    <row r="1342" customFormat="false" ht="15" hidden="false" customHeight="false" outlineLevel="0" collapsed="false">
      <c r="A1342" s="32"/>
      <c r="B1342" s="29"/>
      <c r="C1342" s="10" t="str">
        <f aca="false">IF($B1342="","",IFERROR(INDEX(M_name,MATCH($B1342,M_emp,0)),"Code not found"))</f>
        <v/>
      </c>
      <c r="D1342" s="10" t="str">
        <f aca="false">IF($B1342="","",IFERROR(INDEX(M_dept,MATCH($B1342,M_emp,0)),""))</f>
        <v/>
      </c>
      <c r="E1342" s="10" t="str">
        <f aca="false">IF($B1342="","",IFERROR(INDEX(M_loc,MATCH($B1342,M_emp,0)),""))</f>
        <v/>
      </c>
      <c r="F1342" s="33"/>
      <c r="G1342" s="33"/>
      <c r="H1342" s="33"/>
      <c r="I1342" s="33"/>
      <c r="J1342" s="33"/>
      <c r="K1342" s="33"/>
      <c r="L1342" s="33"/>
      <c r="M1342" s="33"/>
      <c r="N1342" s="33"/>
      <c r="O1342" s="33"/>
      <c r="P1342" s="33"/>
      <c r="Q1342" s="33"/>
      <c r="R1342" s="33"/>
      <c r="S1342" s="33"/>
      <c r="T1342" s="33"/>
      <c r="U1342" s="33"/>
      <c r="V1342" s="33"/>
      <c r="W1342" s="33"/>
      <c r="X1342" s="33"/>
      <c r="Y1342" s="33"/>
      <c r="Z1342" s="33"/>
      <c r="AA1342" s="33"/>
      <c r="AB1342" s="33"/>
      <c r="AC1342" s="33"/>
      <c r="AD1342" s="33"/>
      <c r="AE1342" s="33"/>
      <c r="AF1342" s="33"/>
      <c r="AG1342" s="33"/>
      <c r="AH1342" s="33"/>
      <c r="AI1342" s="33"/>
      <c r="AJ1342" s="33"/>
      <c r="AK1342" s="34" t="str">
        <f aca="false">IF($B1342="","",COUNTIF($F1342:$AJ1342,"P"))</f>
        <v/>
      </c>
      <c r="AL1342" s="34" t="str">
        <f aca="false">IF($B1342="","",COUNTIF($F1342:$AJ1342,"A"))</f>
        <v/>
      </c>
      <c r="AM1342" s="34" t="str">
        <f aca="false">IF($B1342="","",COUNTIF($F1342:$AJ1342,"HA"))</f>
        <v/>
      </c>
      <c r="AN1342" s="34" t="str">
        <f aca="false">IF($B1342="","",COUNTIF($F1342:$AJ1342,"L"))</f>
        <v/>
      </c>
      <c r="AO1342" s="34" t="str">
        <f aca="false">IF($B1342="","",COUNTIF($F1342:$AJ1342,"PL"))</f>
        <v/>
      </c>
      <c r="AP1342" s="34" t="str">
        <f aca="false">IF($B1342="","",COUNTIF($F1342:$AJ1342,"CL"))</f>
        <v/>
      </c>
      <c r="AQ1342" s="34" t="str">
        <f aca="false">IF($B1342="","",COUNTIF($F1342:$AJ1342,"SL"))</f>
        <v/>
      </c>
      <c r="AR1342" s="34" t="str">
        <f aca="false">IF($B1342="","",COUNTIF($F1342:$AJ1342,"CO"))</f>
        <v/>
      </c>
      <c r="AS1342" s="34" t="str">
        <f aca="false">IF($B1342="","",COUNTIF($F1342:$AJ1342,"HPL"))</f>
        <v/>
      </c>
      <c r="AT1342" s="34" t="str">
        <f aca="false">IF($B1342="","",COUNTIF($F1342:$AJ1342,"HCL"))</f>
        <v/>
      </c>
      <c r="AU1342" s="34" t="str">
        <f aca="false">IF($B1342="","",COUNTIF($F1342:$AJ1342,"WO"))</f>
        <v/>
      </c>
      <c r="AV1342" s="34" t="str">
        <f aca="false">IF($B1342="","",COUNTIF($F1342:$AJ1342,"PH"))</f>
        <v/>
      </c>
      <c r="AW1342" s="34" t="str">
        <f aca="false">IF($B1342="","",COUNTIF($F1342:$AJ1342,"TR"))</f>
        <v/>
      </c>
      <c r="AX1342" s="35" t="str">
        <f aca="false">IF($B1342="","",AO1342+AS1342/2)</f>
        <v/>
      </c>
      <c r="AY1342" s="35" t="str">
        <f aca="false">IF($B1342="","",AQ1342)</f>
        <v/>
      </c>
      <c r="AZ1342" s="35" t="str">
        <f aca="false">IF($B1342="","",AP1342+AT1342/2)</f>
        <v/>
      </c>
      <c r="BA1342" s="35" t="str">
        <f aca="false">IF($B1342="","",AK1342+AN1342+AM1342/2+AO1342+AP1342+AQ1342+AR1342+AS1342+AT1342+AU1342+AV1342+AW1342)</f>
        <v/>
      </c>
      <c r="BB1342" s="35" t="str">
        <f aca="false">IF($B1342="","",MAX(0,AN1342-Settings!$C$16)*Settings!$C$17)</f>
        <v/>
      </c>
      <c r="BC1342" s="35" t="str">
        <f aca="false">IF($B1342="","",BA1342-BB1342)</f>
        <v/>
      </c>
      <c r="BD1342" s="35" t="str">
        <f aca="false">IF(OR($B1342="",$A1342=""),"",DAY(EOMONTH($A1342,0))-COUNTA($F1342:$AJ1342))</f>
        <v/>
      </c>
    </row>
    <row r="1343" customFormat="false" ht="15" hidden="false" customHeight="false" outlineLevel="0" collapsed="false">
      <c r="A1343" s="32"/>
      <c r="B1343" s="29"/>
      <c r="C1343" s="10" t="str">
        <f aca="false">IF($B1343="","",IFERROR(INDEX(M_name,MATCH($B1343,M_emp,0)),"Code not found"))</f>
        <v/>
      </c>
      <c r="D1343" s="10" t="str">
        <f aca="false">IF($B1343="","",IFERROR(INDEX(M_dept,MATCH($B1343,M_emp,0)),""))</f>
        <v/>
      </c>
      <c r="E1343" s="10" t="str">
        <f aca="false">IF($B1343="","",IFERROR(INDEX(M_loc,MATCH($B1343,M_emp,0)),""))</f>
        <v/>
      </c>
      <c r="F1343" s="33"/>
      <c r="G1343" s="33"/>
      <c r="H1343" s="33"/>
      <c r="I1343" s="33"/>
      <c r="J1343" s="33"/>
      <c r="K1343" s="33"/>
      <c r="L1343" s="33"/>
      <c r="M1343" s="33"/>
      <c r="N1343" s="33"/>
      <c r="O1343" s="33"/>
      <c r="P1343" s="33"/>
      <c r="Q1343" s="33"/>
      <c r="R1343" s="33"/>
      <c r="S1343" s="33"/>
      <c r="T1343" s="33"/>
      <c r="U1343" s="33"/>
      <c r="V1343" s="33"/>
      <c r="W1343" s="33"/>
      <c r="X1343" s="33"/>
      <c r="Y1343" s="33"/>
      <c r="Z1343" s="33"/>
      <c r="AA1343" s="33"/>
      <c r="AB1343" s="33"/>
      <c r="AC1343" s="33"/>
      <c r="AD1343" s="33"/>
      <c r="AE1343" s="33"/>
      <c r="AF1343" s="33"/>
      <c r="AG1343" s="33"/>
      <c r="AH1343" s="33"/>
      <c r="AI1343" s="33"/>
      <c r="AJ1343" s="33"/>
      <c r="AK1343" s="34" t="str">
        <f aca="false">IF($B1343="","",COUNTIF($F1343:$AJ1343,"P"))</f>
        <v/>
      </c>
      <c r="AL1343" s="34" t="str">
        <f aca="false">IF($B1343="","",COUNTIF($F1343:$AJ1343,"A"))</f>
        <v/>
      </c>
      <c r="AM1343" s="34" t="str">
        <f aca="false">IF($B1343="","",COUNTIF($F1343:$AJ1343,"HA"))</f>
        <v/>
      </c>
      <c r="AN1343" s="34" t="str">
        <f aca="false">IF($B1343="","",COUNTIF($F1343:$AJ1343,"L"))</f>
        <v/>
      </c>
      <c r="AO1343" s="34" t="str">
        <f aca="false">IF($B1343="","",COUNTIF($F1343:$AJ1343,"PL"))</f>
        <v/>
      </c>
      <c r="AP1343" s="34" t="str">
        <f aca="false">IF($B1343="","",COUNTIF($F1343:$AJ1343,"CL"))</f>
        <v/>
      </c>
      <c r="AQ1343" s="34" t="str">
        <f aca="false">IF($B1343="","",COUNTIF($F1343:$AJ1343,"SL"))</f>
        <v/>
      </c>
      <c r="AR1343" s="34" t="str">
        <f aca="false">IF($B1343="","",COUNTIF($F1343:$AJ1343,"CO"))</f>
        <v/>
      </c>
      <c r="AS1343" s="34" t="str">
        <f aca="false">IF($B1343="","",COUNTIF($F1343:$AJ1343,"HPL"))</f>
        <v/>
      </c>
      <c r="AT1343" s="34" t="str">
        <f aca="false">IF($B1343="","",COUNTIF($F1343:$AJ1343,"HCL"))</f>
        <v/>
      </c>
      <c r="AU1343" s="34" t="str">
        <f aca="false">IF($B1343="","",COUNTIF($F1343:$AJ1343,"WO"))</f>
        <v/>
      </c>
      <c r="AV1343" s="34" t="str">
        <f aca="false">IF($B1343="","",COUNTIF($F1343:$AJ1343,"PH"))</f>
        <v/>
      </c>
      <c r="AW1343" s="34" t="str">
        <f aca="false">IF($B1343="","",COUNTIF($F1343:$AJ1343,"TR"))</f>
        <v/>
      </c>
      <c r="AX1343" s="35" t="str">
        <f aca="false">IF($B1343="","",AO1343+AS1343/2)</f>
        <v/>
      </c>
      <c r="AY1343" s="35" t="str">
        <f aca="false">IF($B1343="","",AQ1343)</f>
        <v/>
      </c>
      <c r="AZ1343" s="35" t="str">
        <f aca="false">IF($B1343="","",AP1343+AT1343/2)</f>
        <v/>
      </c>
      <c r="BA1343" s="35" t="str">
        <f aca="false">IF($B1343="","",AK1343+AN1343+AM1343/2+AO1343+AP1343+AQ1343+AR1343+AS1343+AT1343+AU1343+AV1343+AW1343)</f>
        <v/>
      </c>
      <c r="BB1343" s="35" t="str">
        <f aca="false">IF($B1343="","",MAX(0,AN1343-Settings!$C$16)*Settings!$C$17)</f>
        <v/>
      </c>
      <c r="BC1343" s="35" t="str">
        <f aca="false">IF($B1343="","",BA1343-BB1343)</f>
        <v/>
      </c>
      <c r="BD1343" s="35" t="str">
        <f aca="false">IF(OR($B1343="",$A1343=""),"",DAY(EOMONTH($A1343,0))-COUNTA($F1343:$AJ1343))</f>
        <v/>
      </c>
    </row>
    <row r="1344" customFormat="false" ht="15" hidden="false" customHeight="false" outlineLevel="0" collapsed="false">
      <c r="A1344" s="32"/>
      <c r="B1344" s="29"/>
      <c r="C1344" s="10" t="str">
        <f aca="false">IF($B1344="","",IFERROR(INDEX(M_name,MATCH($B1344,M_emp,0)),"Code not found"))</f>
        <v/>
      </c>
      <c r="D1344" s="10" t="str">
        <f aca="false">IF($B1344="","",IFERROR(INDEX(M_dept,MATCH($B1344,M_emp,0)),""))</f>
        <v/>
      </c>
      <c r="E1344" s="10" t="str">
        <f aca="false">IF($B1344="","",IFERROR(INDEX(M_loc,MATCH($B1344,M_emp,0)),""))</f>
        <v/>
      </c>
      <c r="F1344" s="33"/>
      <c r="G1344" s="33"/>
      <c r="H1344" s="33"/>
      <c r="I1344" s="33"/>
      <c r="J1344" s="33"/>
      <c r="K1344" s="33"/>
      <c r="L1344" s="33"/>
      <c r="M1344" s="33"/>
      <c r="N1344" s="33"/>
      <c r="O1344" s="33"/>
      <c r="P1344" s="33"/>
      <c r="Q1344" s="33"/>
      <c r="R1344" s="33"/>
      <c r="S1344" s="33"/>
      <c r="T1344" s="33"/>
      <c r="U1344" s="33"/>
      <c r="V1344" s="33"/>
      <c r="W1344" s="33"/>
      <c r="X1344" s="33"/>
      <c r="Y1344" s="33"/>
      <c r="Z1344" s="33"/>
      <c r="AA1344" s="33"/>
      <c r="AB1344" s="33"/>
      <c r="AC1344" s="33"/>
      <c r="AD1344" s="33"/>
      <c r="AE1344" s="33"/>
      <c r="AF1344" s="33"/>
      <c r="AG1344" s="33"/>
      <c r="AH1344" s="33"/>
      <c r="AI1344" s="33"/>
      <c r="AJ1344" s="33"/>
      <c r="AK1344" s="34" t="str">
        <f aca="false">IF($B1344="","",COUNTIF($F1344:$AJ1344,"P"))</f>
        <v/>
      </c>
      <c r="AL1344" s="34" t="str">
        <f aca="false">IF($B1344="","",COUNTIF($F1344:$AJ1344,"A"))</f>
        <v/>
      </c>
      <c r="AM1344" s="34" t="str">
        <f aca="false">IF($B1344="","",COUNTIF($F1344:$AJ1344,"HA"))</f>
        <v/>
      </c>
      <c r="AN1344" s="34" t="str">
        <f aca="false">IF($B1344="","",COUNTIF($F1344:$AJ1344,"L"))</f>
        <v/>
      </c>
      <c r="AO1344" s="34" t="str">
        <f aca="false">IF($B1344="","",COUNTIF($F1344:$AJ1344,"PL"))</f>
        <v/>
      </c>
      <c r="AP1344" s="34" t="str">
        <f aca="false">IF($B1344="","",COUNTIF($F1344:$AJ1344,"CL"))</f>
        <v/>
      </c>
      <c r="AQ1344" s="34" t="str">
        <f aca="false">IF($B1344="","",COUNTIF($F1344:$AJ1344,"SL"))</f>
        <v/>
      </c>
      <c r="AR1344" s="34" t="str">
        <f aca="false">IF($B1344="","",COUNTIF($F1344:$AJ1344,"CO"))</f>
        <v/>
      </c>
      <c r="AS1344" s="34" t="str">
        <f aca="false">IF($B1344="","",COUNTIF($F1344:$AJ1344,"HPL"))</f>
        <v/>
      </c>
      <c r="AT1344" s="34" t="str">
        <f aca="false">IF($B1344="","",COUNTIF($F1344:$AJ1344,"HCL"))</f>
        <v/>
      </c>
      <c r="AU1344" s="34" t="str">
        <f aca="false">IF($B1344="","",COUNTIF($F1344:$AJ1344,"WO"))</f>
        <v/>
      </c>
      <c r="AV1344" s="34" t="str">
        <f aca="false">IF($B1344="","",COUNTIF($F1344:$AJ1344,"PH"))</f>
        <v/>
      </c>
      <c r="AW1344" s="34" t="str">
        <f aca="false">IF($B1344="","",COUNTIF($F1344:$AJ1344,"TR"))</f>
        <v/>
      </c>
      <c r="AX1344" s="35" t="str">
        <f aca="false">IF($B1344="","",AO1344+AS1344/2)</f>
        <v/>
      </c>
      <c r="AY1344" s="35" t="str">
        <f aca="false">IF($B1344="","",AQ1344)</f>
        <v/>
      </c>
      <c r="AZ1344" s="35" t="str">
        <f aca="false">IF($B1344="","",AP1344+AT1344/2)</f>
        <v/>
      </c>
      <c r="BA1344" s="35" t="str">
        <f aca="false">IF($B1344="","",AK1344+AN1344+AM1344/2+AO1344+AP1344+AQ1344+AR1344+AS1344+AT1344+AU1344+AV1344+AW1344)</f>
        <v/>
      </c>
      <c r="BB1344" s="35" t="str">
        <f aca="false">IF($B1344="","",MAX(0,AN1344-Settings!$C$16)*Settings!$C$17)</f>
        <v/>
      </c>
      <c r="BC1344" s="35" t="str">
        <f aca="false">IF($B1344="","",BA1344-BB1344)</f>
        <v/>
      </c>
      <c r="BD1344" s="35" t="str">
        <f aca="false">IF(OR($B1344="",$A1344=""),"",DAY(EOMONTH($A1344,0))-COUNTA($F1344:$AJ1344))</f>
        <v/>
      </c>
    </row>
    <row r="1345" customFormat="false" ht="15" hidden="false" customHeight="false" outlineLevel="0" collapsed="false">
      <c r="A1345" s="32"/>
      <c r="B1345" s="29"/>
      <c r="C1345" s="10" t="str">
        <f aca="false">IF($B1345="","",IFERROR(INDEX(M_name,MATCH($B1345,M_emp,0)),"Code not found"))</f>
        <v/>
      </c>
      <c r="D1345" s="10" t="str">
        <f aca="false">IF($B1345="","",IFERROR(INDEX(M_dept,MATCH($B1345,M_emp,0)),""))</f>
        <v/>
      </c>
      <c r="E1345" s="10" t="str">
        <f aca="false">IF($B1345="","",IFERROR(INDEX(M_loc,MATCH($B1345,M_emp,0)),""))</f>
        <v/>
      </c>
      <c r="F1345" s="33"/>
      <c r="G1345" s="33"/>
      <c r="H1345" s="33"/>
      <c r="I1345" s="33"/>
      <c r="J1345" s="33"/>
      <c r="K1345" s="33"/>
      <c r="L1345" s="33"/>
      <c r="M1345" s="33"/>
      <c r="N1345" s="33"/>
      <c r="O1345" s="33"/>
      <c r="P1345" s="33"/>
      <c r="Q1345" s="33"/>
      <c r="R1345" s="33"/>
      <c r="S1345" s="33"/>
      <c r="T1345" s="33"/>
      <c r="U1345" s="33"/>
      <c r="V1345" s="33"/>
      <c r="W1345" s="33"/>
      <c r="X1345" s="33"/>
      <c r="Y1345" s="33"/>
      <c r="Z1345" s="33"/>
      <c r="AA1345" s="33"/>
      <c r="AB1345" s="33"/>
      <c r="AC1345" s="33"/>
      <c r="AD1345" s="33"/>
      <c r="AE1345" s="33"/>
      <c r="AF1345" s="33"/>
      <c r="AG1345" s="33"/>
      <c r="AH1345" s="33"/>
      <c r="AI1345" s="33"/>
      <c r="AJ1345" s="33"/>
      <c r="AK1345" s="34" t="str">
        <f aca="false">IF($B1345="","",COUNTIF($F1345:$AJ1345,"P"))</f>
        <v/>
      </c>
      <c r="AL1345" s="34" t="str">
        <f aca="false">IF($B1345="","",COUNTIF($F1345:$AJ1345,"A"))</f>
        <v/>
      </c>
      <c r="AM1345" s="34" t="str">
        <f aca="false">IF($B1345="","",COUNTIF($F1345:$AJ1345,"HA"))</f>
        <v/>
      </c>
      <c r="AN1345" s="34" t="str">
        <f aca="false">IF($B1345="","",COUNTIF($F1345:$AJ1345,"L"))</f>
        <v/>
      </c>
      <c r="AO1345" s="34" t="str">
        <f aca="false">IF($B1345="","",COUNTIF($F1345:$AJ1345,"PL"))</f>
        <v/>
      </c>
      <c r="AP1345" s="34" t="str">
        <f aca="false">IF($B1345="","",COUNTIF($F1345:$AJ1345,"CL"))</f>
        <v/>
      </c>
      <c r="AQ1345" s="34" t="str">
        <f aca="false">IF($B1345="","",COUNTIF($F1345:$AJ1345,"SL"))</f>
        <v/>
      </c>
      <c r="AR1345" s="34" t="str">
        <f aca="false">IF($B1345="","",COUNTIF($F1345:$AJ1345,"CO"))</f>
        <v/>
      </c>
      <c r="AS1345" s="34" t="str">
        <f aca="false">IF($B1345="","",COUNTIF($F1345:$AJ1345,"HPL"))</f>
        <v/>
      </c>
      <c r="AT1345" s="34" t="str">
        <f aca="false">IF($B1345="","",COUNTIF($F1345:$AJ1345,"HCL"))</f>
        <v/>
      </c>
      <c r="AU1345" s="34" t="str">
        <f aca="false">IF($B1345="","",COUNTIF($F1345:$AJ1345,"WO"))</f>
        <v/>
      </c>
      <c r="AV1345" s="34" t="str">
        <f aca="false">IF($B1345="","",COUNTIF($F1345:$AJ1345,"PH"))</f>
        <v/>
      </c>
      <c r="AW1345" s="34" t="str">
        <f aca="false">IF($B1345="","",COUNTIF($F1345:$AJ1345,"TR"))</f>
        <v/>
      </c>
      <c r="AX1345" s="35" t="str">
        <f aca="false">IF($B1345="","",AO1345+AS1345/2)</f>
        <v/>
      </c>
      <c r="AY1345" s="35" t="str">
        <f aca="false">IF($B1345="","",AQ1345)</f>
        <v/>
      </c>
      <c r="AZ1345" s="35" t="str">
        <f aca="false">IF($B1345="","",AP1345+AT1345/2)</f>
        <v/>
      </c>
      <c r="BA1345" s="35" t="str">
        <f aca="false">IF($B1345="","",AK1345+AN1345+AM1345/2+AO1345+AP1345+AQ1345+AR1345+AS1345+AT1345+AU1345+AV1345+AW1345)</f>
        <v/>
      </c>
      <c r="BB1345" s="35" t="str">
        <f aca="false">IF($B1345="","",MAX(0,AN1345-Settings!$C$16)*Settings!$C$17)</f>
        <v/>
      </c>
      <c r="BC1345" s="35" t="str">
        <f aca="false">IF($B1345="","",BA1345-BB1345)</f>
        <v/>
      </c>
      <c r="BD1345" s="35" t="str">
        <f aca="false">IF(OR($B1345="",$A1345=""),"",DAY(EOMONTH($A1345,0))-COUNTA($F1345:$AJ1345))</f>
        <v/>
      </c>
    </row>
    <row r="1346" customFormat="false" ht="15" hidden="false" customHeight="false" outlineLevel="0" collapsed="false">
      <c r="A1346" s="32"/>
      <c r="B1346" s="29"/>
      <c r="C1346" s="10" t="str">
        <f aca="false">IF($B1346="","",IFERROR(INDEX(M_name,MATCH($B1346,M_emp,0)),"Code not found"))</f>
        <v/>
      </c>
      <c r="D1346" s="10" t="str">
        <f aca="false">IF($B1346="","",IFERROR(INDEX(M_dept,MATCH($B1346,M_emp,0)),""))</f>
        <v/>
      </c>
      <c r="E1346" s="10" t="str">
        <f aca="false">IF($B1346="","",IFERROR(INDEX(M_loc,MATCH($B1346,M_emp,0)),""))</f>
        <v/>
      </c>
      <c r="F1346" s="33"/>
      <c r="G1346" s="33"/>
      <c r="H1346" s="33"/>
      <c r="I1346" s="33"/>
      <c r="J1346" s="33"/>
      <c r="K1346" s="33"/>
      <c r="L1346" s="33"/>
      <c r="M1346" s="33"/>
      <c r="N1346" s="33"/>
      <c r="O1346" s="33"/>
      <c r="P1346" s="33"/>
      <c r="Q1346" s="33"/>
      <c r="R1346" s="33"/>
      <c r="S1346" s="33"/>
      <c r="T1346" s="33"/>
      <c r="U1346" s="33"/>
      <c r="V1346" s="33"/>
      <c r="W1346" s="33"/>
      <c r="X1346" s="33"/>
      <c r="Y1346" s="33"/>
      <c r="Z1346" s="33"/>
      <c r="AA1346" s="33"/>
      <c r="AB1346" s="33"/>
      <c r="AC1346" s="33"/>
      <c r="AD1346" s="33"/>
      <c r="AE1346" s="33"/>
      <c r="AF1346" s="33"/>
      <c r="AG1346" s="33"/>
      <c r="AH1346" s="33"/>
      <c r="AI1346" s="33"/>
      <c r="AJ1346" s="33"/>
      <c r="AK1346" s="34" t="str">
        <f aca="false">IF($B1346="","",COUNTIF($F1346:$AJ1346,"P"))</f>
        <v/>
      </c>
      <c r="AL1346" s="34" t="str">
        <f aca="false">IF($B1346="","",COUNTIF($F1346:$AJ1346,"A"))</f>
        <v/>
      </c>
      <c r="AM1346" s="34" t="str">
        <f aca="false">IF($B1346="","",COUNTIF($F1346:$AJ1346,"HA"))</f>
        <v/>
      </c>
      <c r="AN1346" s="34" t="str">
        <f aca="false">IF($B1346="","",COUNTIF($F1346:$AJ1346,"L"))</f>
        <v/>
      </c>
      <c r="AO1346" s="34" t="str">
        <f aca="false">IF($B1346="","",COUNTIF($F1346:$AJ1346,"PL"))</f>
        <v/>
      </c>
      <c r="AP1346" s="34" t="str">
        <f aca="false">IF($B1346="","",COUNTIF($F1346:$AJ1346,"CL"))</f>
        <v/>
      </c>
      <c r="AQ1346" s="34" t="str">
        <f aca="false">IF($B1346="","",COUNTIF($F1346:$AJ1346,"SL"))</f>
        <v/>
      </c>
      <c r="AR1346" s="34" t="str">
        <f aca="false">IF($B1346="","",COUNTIF($F1346:$AJ1346,"CO"))</f>
        <v/>
      </c>
      <c r="AS1346" s="34" t="str">
        <f aca="false">IF($B1346="","",COUNTIF($F1346:$AJ1346,"HPL"))</f>
        <v/>
      </c>
      <c r="AT1346" s="34" t="str">
        <f aca="false">IF($B1346="","",COUNTIF($F1346:$AJ1346,"HCL"))</f>
        <v/>
      </c>
      <c r="AU1346" s="34" t="str">
        <f aca="false">IF($B1346="","",COUNTIF($F1346:$AJ1346,"WO"))</f>
        <v/>
      </c>
      <c r="AV1346" s="34" t="str">
        <f aca="false">IF($B1346="","",COUNTIF($F1346:$AJ1346,"PH"))</f>
        <v/>
      </c>
      <c r="AW1346" s="34" t="str">
        <f aca="false">IF($B1346="","",COUNTIF($F1346:$AJ1346,"TR"))</f>
        <v/>
      </c>
      <c r="AX1346" s="35" t="str">
        <f aca="false">IF($B1346="","",AO1346+AS1346/2)</f>
        <v/>
      </c>
      <c r="AY1346" s="35" t="str">
        <f aca="false">IF($B1346="","",AQ1346)</f>
        <v/>
      </c>
      <c r="AZ1346" s="35" t="str">
        <f aca="false">IF($B1346="","",AP1346+AT1346/2)</f>
        <v/>
      </c>
      <c r="BA1346" s="35" t="str">
        <f aca="false">IF($B1346="","",AK1346+AN1346+AM1346/2+AO1346+AP1346+AQ1346+AR1346+AS1346+AT1346+AU1346+AV1346+AW1346)</f>
        <v/>
      </c>
      <c r="BB1346" s="35" t="str">
        <f aca="false">IF($B1346="","",MAX(0,AN1346-Settings!$C$16)*Settings!$C$17)</f>
        <v/>
      </c>
      <c r="BC1346" s="35" t="str">
        <f aca="false">IF($B1346="","",BA1346-BB1346)</f>
        <v/>
      </c>
      <c r="BD1346" s="35" t="str">
        <f aca="false">IF(OR($B1346="",$A1346=""),"",DAY(EOMONTH($A1346,0))-COUNTA($F1346:$AJ1346))</f>
        <v/>
      </c>
    </row>
    <row r="1347" customFormat="false" ht="15" hidden="false" customHeight="false" outlineLevel="0" collapsed="false">
      <c r="A1347" s="32"/>
      <c r="B1347" s="29"/>
      <c r="C1347" s="10" t="str">
        <f aca="false">IF($B1347="","",IFERROR(INDEX(M_name,MATCH($B1347,M_emp,0)),"Code not found"))</f>
        <v/>
      </c>
      <c r="D1347" s="10" t="str">
        <f aca="false">IF($B1347="","",IFERROR(INDEX(M_dept,MATCH($B1347,M_emp,0)),""))</f>
        <v/>
      </c>
      <c r="E1347" s="10" t="str">
        <f aca="false">IF($B1347="","",IFERROR(INDEX(M_loc,MATCH($B1347,M_emp,0)),""))</f>
        <v/>
      </c>
      <c r="F1347" s="33"/>
      <c r="G1347" s="33"/>
      <c r="H1347" s="33"/>
      <c r="I1347" s="33"/>
      <c r="J1347" s="33"/>
      <c r="K1347" s="33"/>
      <c r="L1347" s="33"/>
      <c r="M1347" s="33"/>
      <c r="N1347" s="33"/>
      <c r="O1347" s="33"/>
      <c r="P1347" s="33"/>
      <c r="Q1347" s="33"/>
      <c r="R1347" s="33"/>
      <c r="S1347" s="33"/>
      <c r="T1347" s="33"/>
      <c r="U1347" s="33"/>
      <c r="V1347" s="33"/>
      <c r="W1347" s="33"/>
      <c r="X1347" s="33"/>
      <c r="Y1347" s="33"/>
      <c r="Z1347" s="33"/>
      <c r="AA1347" s="33"/>
      <c r="AB1347" s="33"/>
      <c r="AC1347" s="33"/>
      <c r="AD1347" s="33"/>
      <c r="AE1347" s="33"/>
      <c r="AF1347" s="33"/>
      <c r="AG1347" s="33"/>
      <c r="AH1347" s="33"/>
      <c r="AI1347" s="33"/>
      <c r="AJ1347" s="33"/>
      <c r="AK1347" s="34" t="str">
        <f aca="false">IF($B1347="","",COUNTIF($F1347:$AJ1347,"P"))</f>
        <v/>
      </c>
      <c r="AL1347" s="34" t="str">
        <f aca="false">IF($B1347="","",COUNTIF($F1347:$AJ1347,"A"))</f>
        <v/>
      </c>
      <c r="AM1347" s="34" t="str">
        <f aca="false">IF($B1347="","",COUNTIF($F1347:$AJ1347,"HA"))</f>
        <v/>
      </c>
      <c r="AN1347" s="34" t="str">
        <f aca="false">IF($B1347="","",COUNTIF($F1347:$AJ1347,"L"))</f>
        <v/>
      </c>
      <c r="AO1347" s="34" t="str">
        <f aca="false">IF($B1347="","",COUNTIF($F1347:$AJ1347,"PL"))</f>
        <v/>
      </c>
      <c r="AP1347" s="34" t="str">
        <f aca="false">IF($B1347="","",COUNTIF($F1347:$AJ1347,"CL"))</f>
        <v/>
      </c>
      <c r="AQ1347" s="34" t="str">
        <f aca="false">IF($B1347="","",COUNTIF($F1347:$AJ1347,"SL"))</f>
        <v/>
      </c>
      <c r="AR1347" s="34" t="str">
        <f aca="false">IF($B1347="","",COUNTIF($F1347:$AJ1347,"CO"))</f>
        <v/>
      </c>
      <c r="AS1347" s="34" t="str">
        <f aca="false">IF($B1347="","",COUNTIF($F1347:$AJ1347,"HPL"))</f>
        <v/>
      </c>
      <c r="AT1347" s="34" t="str">
        <f aca="false">IF($B1347="","",COUNTIF($F1347:$AJ1347,"HCL"))</f>
        <v/>
      </c>
      <c r="AU1347" s="34" t="str">
        <f aca="false">IF($B1347="","",COUNTIF($F1347:$AJ1347,"WO"))</f>
        <v/>
      </c>
      <c r="AV1347" s="34" t="str">
        <f aca="false">IF($B1347="","",COUNTIF($F1347:$AJ1347,"PH"))</f>
        <v/>
      </c>
      <c r="AW1347" s="34" t="str">
        <f aca="false">IF($B1347="","",COUNTIF($F1347:$AJ1347,"TR"))</f>
        <v/>
      </c>
      <c r="AX1347" s="35" t="str">
        <f aca="false">IF($B1347="","",AO1347+AS1347/2)</f>
        <v/>
      </c>
      <c r="AY1347" s="35" t="str">
        <f aca="false">IF($B1347="","",AQ1347)</f>
        <v/>
      </c>
      <c r="AZ1347" s="35" t="str">
        <f aca="false">IF($B1347="","",AP1347+AT1347/2)</f>
        <v/>
      </c>
      <c r="BA1347" s="35" t="str">
        <f aca="false">IF($B1347="","",AK1347+AN1347+AM1347/2+AO1347+AP1347+AQ1347+AR1347+AS1347+AT1347+AU1347+AV1347+AW1347)</f>
        <v/>
      </c>
      <c r="BB1347" s="35" t="str">
        <f aca="false">IF($B1347="","",MAX(0,AN1347-Settings!$C$16)*Settings!$C$17)</f>
        <v/>
      </c>
      <c r="BC1347" s="35" t="str">
        <f aca="false">IF($B1347="","",BA1347-BB1347)</f>
        <v/>
      </c>
      <c r="BD1347" s="35" t="str">
        <f aca="false">IF(OR($B1347="",$A1347=""),"",DAY(EOMONTH($A1347,0))-COUNTA($F1347:$AJ1347))</f>
        <v/>
      </c>
    </row>
    <row r="1348" customFormat="false" ht="15" hidden="false" customHeight="false" outlineLevel="0" collapsed="false">
      <c r="A1348" s="32"/>
      <c r="B1348" s="29"/>
      <c r="C1348" s="10" t="str">
        <f aca="false">IF($B1348="","",IFERROR(INDEX(M_name,MATCH($B1348,M_emp,0)),"Code not found"))</f>
        <v/>
      </c>
      <c r="D1348" s="10" t="str">
        <f aca="false">IF($B1348="","",IFERROR(INDEX(M_dept,MATCH($B1348,M_emp,0)),""))</f>
        <v/>
      </c>
      <c r="E1348" s="10" t="str">
        <f aca="false">IF($B1348="","",IFERROR(INDEX(M_loc,MATCH($B1348,M_emp,0)),""))</f>
        <v/>
      </c>
      <c r="F1348" s="33"/>
      <c r="G1348" s="33"/>
      <c r="H1348" s="33"/>
      <c r="I1348" s="33"/>
      <c r="J1348" s="33"/>
      <c r="K1348" s="33"/>
      <c r="L1348" s="33"/>
      <c r="M1348" s="33"/>
      <c r="N1348" s="33"/>
      <c r="O1348" s="33"/>
      <c r="P1348" s="33"/>
      <c r="Q1348" s="33"/>
      <c r="R1348" s="33"/>
      <c r="S1348" s="33"/>
      <c r="T1348" s="33"/>
      <c r="U1348" s="33"/>
      <c r="V1348" s="33"/>
      <c r="W1348" s="33"/>
      <c r="X1348" s="33"/>
      <c r="Y1348" s="33"/>
      <c r="Z1348" s="33"/>
      <c r="AA1348" s="33"/>
      <c r="AB1348" s="33"/>
      <c r="AC1348" s="33"/>
      <c r="AD1348" s="33"/>
      <c r="AE1348" s="33"/>
      <c r="AF1348" s="33"/>
      <c r="AG1348" s="33"/>
      <c r="AH1348" s="33"/>
      <c r="AI1348" s="33"/>
      <c r="AJ1348" s="33"/>
      <c r="AK1348" s="34" t="str">
        <f aca="false">IF($B1348="","",COUNTIF($F1348:$AJ1348,"P"))</f>
        <v/>
      </c>
      <c r="AL1348" s="34" t="str">
        <f aca="false">IF($B1348="","",COUNTIF($F1348:$AJ1348,"A"))</f>
        <v/>
      </c>
      <c r="AM1348" s="34" t="str">
        <f aca="false">IF($B1348="","",COUNTIF($F1348:$AJ1348,"HA"))</f>
        <v/>
      </c>
      <c r="AN1348" s="34" t="str">
        <f aca="false">IF($B1348="","",COUNTIF($F1348:$AJ1348,"L"))</f>
        <v/>
      </c>
      <c r="AO1348" s="34" t="str">
        <f aca="false">IF($B1348="","",COUNTIF($F1348:$AJ1348,"PL"))</f>
        <v/>
      </c>
      <c r="AP1348" s="34" t="str">
        <f aca="false">IF($B1348="","",COUNTIF($F1348:$AJ1348,"CL"))</f>
        <v/>
      </c>
      <c r="AQ1348" s="34" t="str">
        <f aca="false">IF($B1348="","",COUNTIF($F1348:$AJ1348,"SL"))</f>
        <v/>
      </c>
      <c r="AR1348" s="34" t="str">
        <f aca="false">IF($B1348="","",COUNTIF($F1348:$AJ1348,"CO"))</f>
        <v/>
      </c>
      <c r="AS1348" s="34" t="str">
        <f aca="false">IF($B1348="","",COUNTIF($F1348:$AJ1348,"HPL"))</f>
        <v/>
      </c>
      <c r="AT1348" s="34" t="str">
        <f aca="false">IF($B1348="","",COUNTIF($F1348:$AJ1348,"HCL"))</f>
        <v/>
      </c>
      <c r="AU1348" s="34" t="str">
        <f aca="false">IF($B1348="","",COUNTIF($F1348:$AJ1348,"WO"))</f>
        <v/>
      </c>
      <c r="AV1348" s="34" t="str">
        <f aca="false">IF($B1348="","",COUNTIF($F1348:$AJ1348,"PH"))</f>
        <v/>
      </c>
      <c r="AW1348" s="34" t="str">
        <f aca="false">IF($B1348="","",COUNTIF($F1348:$AJ1348,"TR"))</f>
        <v/>
      </c>
      <c r="AX1348" s="35" t="str">
        <f aca="false">IF($B1348="","",AO1348+AS1348/2)</f>
        <v/>
      </c>
      <c r="AY1348" s="35" t="str">
        <f aca="false">IF($B1348="","",AQ1348)</f>
        <v/>
      </c>
      <c r="AZ1348" s="35" t="str">
        <f aca="false">IF($B1348="","",AP1348+AT1348/2)</f>
        <v/>
      </c>
      <c r="BA1348" s="35" t="str">
        <f aca="false">IF($B1348="","",AK1348+AN1348+AM1348/2+AO1348+AP1348+AQ1348+AR1348+AS1348+AT1348+AU1348+AV1348+AW1348)</f>
        <v/>
      </c>
      <c r="BB1348" s="35" t="str">
        <f aca="false">IF($B1348="","",MAX(0,AN1348-Settings!$C$16)*Settings!$C$17)</f>
        <v/>
      </c>
      <c r="BC1348" s="35" t="str">
        <f aca="false">IF($B1348="","",BA1348-BB1348)</f>
        <v/>
      </c>
      <c r="BD1348" s="35" t="str">
        <f aca="false">IF(OR($B1348="",$A1348=""),"",DAY(EOMONTH($A1348,0))-COUNTA($F1348:$AJ1348))</f>
        <v/>
      </c>
    </row>
    <row r="1349" customFormat="false" ht="15" hidden="false" customHeight="false" outlineLevel="0" collapsed="false">
      <c r="A1349" s="32"/>
      <c r="B1349" s="29"/>
      <c r="C1349" s="10" t="str">
        <f aca="false">IF($B1349="","",IFERROR(INDEX(M_name,MATCH($B1349,M_emp,0)),"Code not found"))</f>
        <v/>
      </c>
      <c r="D1349" s="10" t="str">
        <f aca="false">IF($B1349="","",IFERROR(INDEX(M_dept,MATCH($B1349,M_emp,0)),""))</f>
        <v/>
      </c>
      <c r="E1349" s="10" t="str">
        <f aca="false">IF($B1349="","",IFERROR(INDEX(M_loc,MATCH($B1349,M_emp,0)),""))</f>
        <v/>
      </c>
      <c r="F1349" s="33"/>
      <c r="G1349" s="33"/>
      <c r="H1349" s="33"/>
      <c r="I1349" s="33"/>
      <c r="J1349" s="33"/>
      <c r="K1349" s="33"/>
      <c r="L1349" s="33"/>
      <c r="M1349" s="33"/>
      <c r="N1349" s="33"/>
      <c r="O1349" s="33"/>
      <c r="P1349" s="33"/>
      <c r="Q1349" s="33"/>
      <c r="R1349" s="33"/>
      <c r="S1349" s="33"/>
      <c r="T1349" s="33"/>
      <c r="U1349" s="33"/>
      <c r="V1349" s="33"/>
      <c r="W1349" s="33"/>
      <c r="X1349" s="33"/>
      <c r="Y1349" s="33"/>
      <c r="Z1349" s="33"/>
      <c r="AA1349" s="33"/>
      <c r="AB1349" s="33"/>
      <c r="AC1349" s="33"/>
      <c r="AD1349" s="33"/>
      <c r="AE1349" s="33"/>
      <c r="AF1349" s="33"/>
      <c r="AG1349" s="33"/>
      <c r="AH1349" s="33"/>
      <c r="AI1349" s="33"/>
      <c r="AJ1349" s="33"/>
      <c r="AK1349" s="34" t="str">
        <f aca="false">IF($B1349="","",COUNTIF($F1349:$AJ1349,"P"))</f>
        <v/>
      </c>
      <c r="AL1349" s="34" t="str">
        <f aca="false">IF($B1349="","",COUNTIF($F1349:$AJ1349,"A"))</f>
        <v/>
      </c>
      <c r="AM1349" s="34" t="str">
        <f aca="false">IF($B1349="","",COUNTIF($F1349:$AJ1349,"HA"))</f>
        <v/>
      </c>
      <c r="AN1349" s="34" t="str">
        <f aca="false">IF($B1349="","",COUNTIF($F1349:$AJ1349,"L"))</f>
        <v/>
      </c>
      <c r="AO1349" s="34" t="str">
        <f aca="false">IF($B1349="","",COUNTIF($F1349:$AJ1349,"PL"))</f>
        <v/>
      </c>
      <c r="AP1349" s="34" t="str">
        <f aca="false">IF($B1349="","",COUNTIF($F1349:$AJ1349,"CL"))</f>
        <v/>
      </c>
      <c r="AQ1349" s="34" t="str">
        <f aca="false">IF($B1349="","",COUNTIF($F1349:$AJ1349,"SL"))</f>
        <v/>
      </c>
      <c r="AR1349" s="34" t="str">
        <f aca="false">IF($B1349="","",COUNTIF($F1349:$AJ1349,"CO"))</f>
        <v/>
      </c>
      <c r="AS1349" s="34" t="str">
        <f aca="false">IF($B1349="","",COUNTIF($F1349:$AJ1349,"HPL"))</f>
        <v/>
      </c>
      <c r="AT1349" s="34" t="str">
        <f aca="false">IF($B1349="","",COUNTIF($F1349:$AJ1349,"HCL"))</f>
        <v/>
      </c>
      <c r="AU1349" s="34" t="str">
        <f aca="false">IF($B1349="","",COUNTIF($F1349:$AJ1349,"WO"))</f>
        <v/>
      </c>
      <c r="AV1349" s="34" t="str">
        <f aca="false">IF($B1349="","",COUNTIF($F1349:$AJ1349,"PH"))</f>
        <v/>
      </c>
      <c r="AW1349" s="34" t="str">
        <f aca="false">IF($B1349="","",COUNTIF($F1349:$AJ1349,"TR"))</f>
        <v/>
      </c>
      <c r="AX1349" s="35" t="str">
        <f aca="false">IF($B1349="","",AO1349+AS1349/2)</f>
        <v/>
      </c>
      <c r="AY1349" s="35" t="str">
        <f aca="false">IF($B1349="","",AQ1349)</f>
        <v/>
      </c>
      <c r="AZ1349" s="35" t="str">
        <f aca="false">IF($B1349="","",AP1349+AT1349/2)</f>
        <v/>
      </c>
      <c r="BA1349" s="35" t="str">
        <f aca="false">IF($B1349="","",AK1349+AN1349+AM1349/2+AO1349+AP1349+AQ1349+AR1349+AS1349+AT1349+AU1349+AV1349+AW1349)</f>
        <v/>
      </c>
      <c r="BB1349" s="35" t="str">
        <f aca="false">IF($B1349="","",MAX(0,AN1349-Settings!$C$16)*Settings!$C$17)</f>
        <v/>
      </c>
      <c r="BC1349" s="35" t="str">
        <f aca="false">IF($B1349="","",BA1349-BB1349)</f>
        <v/>
      </c>
      <c r="BD1349" s="35" t="str">
        <f aca="false">IF(OR($B1349="",$A1349=""),"",DAY(EOMONTH($A1349,0))-COUNTA($F1349:$AJ1349))</f>
        <v/>
      </c>
    </row>
    <row r="1350" customFormat="false" ht="15" hidden="false" customHeight="false" outlineLevel="0" collapsed="false">
      <c r="A1350" s="32"/>
      <c r="B1350" s="29"/>
      <c r="C1350" s="10" t="str">
        <f aca="false">IF($B1350="","",IFERROR(INDEX(M_name,MATCH($B1350,M_emp,0)),"Code not found"))</f>
        <v/>
      </c>
      <c r="D1350" s="10" t="str">
        <f aca="false">IF($B1350="","",IFERROR(INDEX(M_dept,MATCH($B1350,M_emp,0)),""))</f>
        <v/>
      </c>
      <c r="E1350" s="10" t="str">
        <f aca="false">IF($B1350="","",IFERROR(INDEX(M_loc,MATCH($B1350,M_emp,0)),""))</f>
        <v/>
      </c>
      <c r="F1350" s="33"/>
      <c r="G1350" s="33"/>
      <c r="H1350" s="33"/>
      <c r="I1350" s="33"/>
      <c r="J1350" s="33"/>
      <c r="K1350" s="33"/>
      <c r="L1350" s="33"/>
      <c r="M1350" s="33"/>
      <c r="N1350" s="33"/>
      <c r="O1350" s="33"/>
      <c r="P1350" s="33"/>
      <c r="Q1350" s="33"/>
      <c r="R1350" s="33"/>
      <c r="S1350" s="33"/>
      <c r="T1350" s="33"/>
      <c r="U1350" s="33"/>
      <c r="V1350" s="33"/>
      <c r="W1350" s="33"/>
      <c r="X1350" s="33"/>
      <c r="Y1350" s="33"/>
      <c r="Z1350" s="33"/>
      <c r="AA1350" s="33"/>
      <c r="AB1350" s="33"/>
      <c r="AC1350" s="33"/>
      <c r="AD1350" s="33"/>
      <c r="AE1350" s="33"/>
      <c r="AF1350" s="33"/>
      <c r="AG1350" s="33"/>
      <c r="AH1350" s="33"/>
      <c r="AI1350" s="33"/>
      <c r="AJ1350" s="33"/>
      <c r="AK1350" s="34" t="str">
        <f aca="false">IF($B1350="","",COUNTIF($F1350:$AJ1350,"P"))</f>
        <v/>
      </c>
      <c r="AL1350" s="34" t="str">
        <f aca="false">IF($B1350="","",COUNTIF($F1350:$AJ1350,"A"))</f>
        <v/>
      </c>
      <c r="AM1350" s="34" t="str">
        <f aca="false">IF($B1350="","",COUNTIF($F1350:$AJ1350,"HA"))</f>
        <v/>
      </c>
      <c r="AN1350" s="34" t="str">
        <f aca="false">IF($B1350="","",COUNTIF($F1350:$AJ1350,"L"))</f>
        <v/>
      </c>
      <c r="AO1350" s="34" t="str">
        <f aca="false">IF($B1350="","",COUNTIF($F1350:$AJ1350,"PL"))</f>
        <v/>
      </c>
      <c r="AP1350" s="34" t="str">
        <f aca="false">IF($B1350="","",COUNTIF($F1350:$AJ1350,"CL"))</f>
        <v/>
      </c>
      <c r="AQ1350" s="34" t="str">
        <f aca="false">IF($B1350="","",COUNTIF($F1350:$AJ1350,"SL"))</f>
        <v/>
      </c>
      <c r="AR1350" s="34" t="str">
        <f aca="false">IF($B1350="","",COUNTIF($F1350:$AJ1350,"CO"))</f>
        <v/>
      </c>
      <c r="AS1350" s="34" t="str">
        <f aca="false">IF($B1350="","",COUNTIF($F1350:$AJ1350,"HPL"))</f>
        <v/>
      </c>
      <c r="AT1350" s="34" t="str">
        <f aca="false">IF($B1350="","",COUNTIF($F1350:$AJ1350,"HCL"))</f>
        <v/>
      </c>
      <c r="AU1350" s="34" t="str">
        <f aca="false">IF($B1350="","",COUNTIF($F1350:$AJ1350,"WO"))</f>
        <v/>
      </c>
      <c r="AV1350" s="34" t="str">
        <f aca="false">IF($B1350="","",COUNTIF($F1350:$AJ1350,"PH"))</f>
        <v/>
      </c>
      <c r="AW1350" s="34" t="str">
        <f aca="false">IF($B1350="","",COUNTIF($F1350:$AJ1350,"TR"))</f>
        <v/>
      </c>
      <c r="AX1350" s="35" t="str">
        <f aca="false">IF($B1350="","",AO1350+AS1350/2)</f>
        <v/>
      </c>
      <c r="AY1350" s="35" t="str">
        <f aca="false">IF($B1350="","",AQ1350)</f>
        <v/>
      </c>
      <c r="AZ1350" s="35" t="str">
        <f aca="false">IF($B1350="","",AP1350+AT1350/2)</f>
        <v/>
      </c>
      <c r="BA1350" s="35" t="str">
        <f aca="false">IF($B1350="","",AK1350+AN1350+AM1350/2+AO1350+AP1350+AQ1350+AR1350+AS1350+AT1350+AU1350+AV1350+AW1350)</f>
        <v/>
      </c>
      <c r="BB1350" s="35" t="str">
        <f aca="false">IF($B1350="","",MAX(0,AN1350-Settings!$C$16)*Settings!$C$17)</f>
        <v/>
      </c>
      <c r="BC1350" s="35" t="str">
        <f aca="false">IF($B1350="","",BA1350-BB1350)</f>
        <v/>
      </c>
      <c r="BD1350" s="35" t="str">
        <f aca="false">IF(OR($B1350="",$A1350=""),"",DAY(EOMONTH($A1350,0))-COUNTA($F1350:$AJ1350))</f>
        <v/>
      </c>
    </row>
    <row r="1351" customFormat="false" ht="15" hidden="false" customHeight="false" outlineLevel="0" collapsed="false">
      <c r="A1351" s="32"/>
      <c r="B1351" s="29"/>
      <c r="C1351" s="10" t="str">
        <f aca="false">IF($B1351="","",IFERROR(INDEX(M_name,MATCH($B1351,M_emp,0)),"Code not found"))</f>
        <v/>
      </c>
      <c r="D1351" s="10" t="str">
        <f aca="false">IF($B1351="","",IFERROR(INDEX(M_dept,MATCH($B1351,M_emp,0)),""))</f>
        <v/>
      </c>
      <c r="E1351" s="10" t="str">
        <f aca="false">IF($B1351="","",IFERROR(INDEX(M_loc,MATCH($B1351,M_emp,0)),""))</f>
        <v/>
      </c>
      <c r="F1351" s="33"/>
      <c r="G1351" s="33"/>
      <c r="H1351" s="33"/>
      <c r="I1351" s="33"/>
      <c r="J1351" s="33"/>
      <c r="K1351" s="33"/>
      <c r="L1351" s="33"/>
      <c r="M1351" s="33"/>
      <c r="N1351" s="33"/>
      <c r="O1351" s="33"/>
      <c r="P1351" s="33"/>
      <c r="Q1351" s="33"/>
      <c r="R1351" s="33"/>
      <c r="S1351" s="33"/>
      <c r="T1351" s="33"/>
      <c r="U1351" s="33"/>
      <c r="V1351" s="33"/>
      <c r="W1351" s="33"/>
      <c r="X1351" s="33"/>
      <c r="Y1351" s="33"/>
      <c r="Z1351" s="33"/>
      <c r="AA1351" s="33"/>
      <c r="AB1351" s="33"/>
      <c r="AC1351" s="33"/>
      <c r="AD1351" s="33"/>
      <c r="AE1351" s="33"/>
      <c r="AF1351" s="33"/>
      <c r="AG1351" s="33"/>
      <c r="AH1351" s="33"/>
      <c r="AI1351" s="33"/>
      <c r="AJ1351" s="33"/>
      <c r="AK1351" s="34" t="str">
        <f aca="false">IF($B1351="","",COUNTIF($F1351:$AJ1351,"P"))</f>
        <v/>
      </c>
      <c r="AL1351" s="34" t="str">
        <f aca="false">IF($B1351="","",COUNTIF($F1351:$AJ1351,"A"))</f>
        <v/>
      </c>
      <c r="AM1351" s="34" t="str">
        <f aca="false">IF($B1351="","",COUNTIF($F1351:$AJ1351,"HA"))</f>
        <v/>
      </c>
      <c r="AN1351" s="34" t="str">
        <f aca="false">IF($B1351="","",COUNTIF($F1351:$AJ1351,"L"))</f>
        <v/>
      </c>
      <c r="AO1351" s="34" t="str">
        <f aca="false">IF($B1351="","",COUNTIF($F1351:$AJ1351,"PL"))</f>
        <v/>
      </c>
      <c r="AP1351" s="34" t="str">
        <f aca="false">IF($B1351="","",COUNTIF($F1351:$AJ1351,"CL"))</f>
        <v/>
      </c>
      <c r="AQ1351" s="34" t="str">
        <f aca="false">IF($B1351="","",COUNTIF($F1351:$AJ1351,"SL"))</f>
        <v/>
      </c>
      <c r="AR1351" s="34" t="str">
        <f aca="false">IF($B1351="","",COUNTIF($F1351:$AJ1351,"CO"))</f>
        <v/>
      </c>
      <c r="AS1351" s="34" t="str">
        <f aca="false">IF($B1351="","",COUNTIF($F1351:$AJ1351,"HPL"))</f>
        <v/>
      </c>
      <c r="AT1351" s="34" t="str">
        <f aca="false">IF($B1351="","",COUNTIF($F1351:$AJ1351,"HCL"))</f>
        <v/>
      </c>
      <c r="AU1351" s="34" t="str">
        <f aca="false">IF($B1351="","",COUNTIF($F1351:$AJ1351,"WO"))</f>
        <v/>
      </c>
      <c r="AV1351" s="34" t="str">
        <f aca="false">IF($B1351="","",COUNTIF($F1351:$AJ1351,"PH"))</f>
        <v/>
      </c>
      <c r="AW1351" s="34" t="str">
        <f aca="false">IF($B1351="","",COUNTIF($F1351:$AJ1351,"TR"))</f>
        <v/>
      </c>
      <c r="AX1351" s="35" t="str">
        <f aca="false">IF($B1351="","",AO1351+AS1351/2)</f>
        <v/>
      </c>
      <c r="AY1351" s="35" t="str">
        <f aca="false">IF($B1351="","",AQ1351)</f>
        <v/>
      </c>
      <c r="AZ1351" s="35" t="str">
        <f aca="false">IF($B1351="","",AP1351+AT1351/2)</f>
        <v/>
      </c>
      <c r="BA1351" s="35" t="str">
        <f aca="false">IF($B1351="","",AK1351+AN1351+AM1351/2+AO1351+AP1351+AQ1351+AR1351+AS1351+AT1351+AU1351+AV1351+AW1351)</f>
        <v/>
      </c>
      <c r="BB1351" s="35" t="str">
        <f aca="false">IF($B1351="","",MAX(0,AN1351-Settings!$C$16)*Settings!$C$17)</f>
        <v/>
      </c>
      <c r="BC1351" s="35" t="str">
        <f aca="false">IF($B1351="","",BA1351-BB1351)</f>
        <v/>
      </c>
      <c r="BD1351" s="35" t="str">
        <f aca="false">IF(OR($B1351="",$A1351=""),"",DAY(EOMONTH($A1351,0))-COUNTA($F1351:$AJ1351))</f>
        <v/>
      </c>
    </row>
    <row r="1352" customFormat="false" ht="15" hidden="false" customHeight="false" outlineLevel="0" collapsed="false">
      <c r="A1352" s="32"/>
      <c r="B1352" s="29"/>
      <c r="C1352" s="10" t="str">
        <f aca="false">IF($B1352="","",IFERROR(INDEX(M_name,MATCH($B1352,M_emp,0)),"Code not found"))</f>
        <v/>
      </c>
      <c r="D1352" s="10" t="str">
        <f aca="false">IF($B1352="","",IFERROR(INDEX(M_dept,MATCH($B1352,M_emp,0)),""))</f>
        <v/>
      </c>
      <c r="E1352" s="10" t="str">
        <f aca="false">IF($B1352="","",IFERROR(INDEX(M_loc,MATCH($B1352,M_emp,0)),""))</f>
        <v/>
      </c>
      <c r="F1352" s="33"/>
      <c r="G1352" s="33"/>
      <c r="H1352" s="33"/>
      <c r="I1352" s="33"/>
      <c r="J1352" s="33"/>
      <c r="K1352" s="33"/>
      <c r="L1352" s="33"/>
      <c r="M1352" s="33"/>
      <c r="N1352" s="33"/>
      <c r="O1352" s="33"/>
      <c r="P1352" s="33"/>
      <c r="Q1352" s="33"/>
      <c r="R1352" s="33"/>
      <c r="S1352" s="33"/>
      <c r="T1352" s="33"/>
      <c r="U1352" s="33"/>
      <c r="V1352" s="33"/>
      <c r="W1352" s="33"/>
      <c r="X1352" s="33"/>
      <c r="Y1352" s="33"/>
      <c r="Z1352" s="33"/>
      <c r="AA1352" s="33"/>
      <c r="AB1352" s="33"/>
      <c r="AC1352" s="33"/>
      <c r="AD1352" s="33"/>
      <c r="AE1352" s="33"/>
      <c r="AF1352" s="33"/>
      <c r="AG1352" s="33"/>
      <c r="AH1352" s="33"/>
      <c r="AI1352" s="33"/>
      <c r="AJ1352" s="33"/>
      <c r="AK1352" s="34" t="str">
        <f aca="false">IF($B1352="","",COUNTIF($F1352:$AJ1352,"P"))</f>
        <v/>
      </c>
      <c r="AL1352" s="34" t="str">
        <f aca="false">IF($B1352="","",COUNTIF($F1352:$AJ1352,"A"))</f>
        <v/>
      </c>
      <c r="AM1352" s="34" t="str">
        <f aca="false">IF($B1352="","",COUNTIF($F1352:$AJ1352,"HA"))</f>
        <v/>
      </c>
      <c r="AN1352" s="34" t="str">
        <f aca="false">IF($B1352="","",COUNTIF($F1352:$AJ1352,"L"))</f>
        <v/>
      </c>
      <c r="AO1352" s="34" t="str">
        <f aca="false">IF($B1352="","",COUNTIF($F1352:$AJ1352,"PL"))</f>
        <v/>
      </c>
      <c r="AP1352" s="34" t="str">
        <f aca="false">IF($B1352="","",COUNTIF($F1352:$AJ1352,"CL"))</f>
        <v/>
      </c>
      <c r="AQ1352" s="34" t="str">
        <f aca="false">IF($B1352="","",COUNTIF($F1352:$AJ1352,"SL"))</f>
        <v/>
      </c>
      <c r="AR1352" s="34" t="str">
        <f aca="false">IF($B1352="","",COUNTIF($F1352:$AJ1352,"CO"))</f>
        <v/>
      </c>
      <c r="AS1352" s="34" t="str">
        <f aca="false">IF($B1352="","",COUNTIF($F1352:$AJ1352,"HPL"))</f>
        <v/>
      </c>
      <c r="AT1352" s="34" t="str">
        <f aca="false">IF($B1352="","",COUNTIF($F1352:$AJ1352,"HCL"))</f>
        <v/>
      </c>
      <c r="AU1352" s="34" t="str">
        <f aca="false">IF($B1352="","",COUNTIF($F1352:$AJ1352,"WO"))</f>
        <v/>
      </c>
      <c r="AV1352" s="34" t="str">
        <f aca="false">IF($B1352="","",COUNTIF($F1352:$AJ1352,"PH"))</f>
        <v/>
      </c>
      <c r="AW1352" s="34" t="str">
        <f aca="false">IF($B1352="","",COUNTIF($F1352:$AJ1352,"TR"))</f>
        <v/>
      </c>
      <c r="AX1352" s="35" t="str">
        <f aca="false">IF($B1352="","",AO1352+AS1352/2)</f>
        <v/>
      </c>
      <c r="AY1352" s="35" t="str">
        <f aca="false">IF($B1352="","",AQ1352)</f>
        <v/>
      </c>
      <c r="AZ1352" s="35" t="str">
        <f aca="false">IF($B1352="","",AP1352+AT1352/2)</f>
        <v/>
      </c>
      <c r="BA1352" s="35" t="str">
        <f aca="false">IF($B1352="","",AK1352+AN1352+AM1352/2+AO1352+AP1352+AQ1352+AR1352+AS1352+AT1352+AU1352+AV1352+AW1352)</f>
        <v/>
      </c>
      <c r="BB1352" s="35" t="str">
        <f aca="false">IF($B1352="","",MAX(0,AN1352-Settings!$C$16)*Settings!$C$17)</f>
        <v/>
      </c>
      <c r="BC1352" s="35" t="str">
        <f aca="false">IF($B1352="","",BA1352-BB1352)</f>
        <v/>
      </c>
      <c r="BD1352" s="35" t="str">
        <f aca="false">IF(OR($B1352="",$A1352=""),"",DAY(EOMONTH($A1352,0))-COUNTA($F1352:$AJ1352))</f>
        <v/>
      </c>
    </row>
    <row r="1353" customFormat="false" ht="15" hidden="false" customHeight="false" outlineLevel="0" collapsed="false">
      <c r="A1353" s="32"/>
      <c r="B1353" s="29"/>
      <c r="C1353" s="10" t="str">
        <f aca="false">IF($B1353="","",IFERROR(INDEX(M_name,MATCH($B1353,M_emp,0)),"Code not found"))</f>
        <v/>
      </c>
      <c r="D1353" s="10" t="str">
        <f aca="false">IF($B1353="","",IFERROR(INDEX(M_dept,MATCH($B1353,M_emp,0)),""))</f>
        <v/>
      </c>
      <c r="E1353" s="10" t="str">
        <f aca="false">IF($B1353="","",IFERROR(INDEX(M_loc,MATCH($B1353,M_emp,0)),""))</f>
        <v/>
      </c>
      <c r="F1353" s="33"/>
      <c r="G1353" s="33"/>
      <c r="H1353" s="33"/>
      <c r="I1353" s="33"/>
      <c r="J1353" s="33"/>
      <c r="K1353" s="33"/>
      <c r="L1353" s="33"/>
      <c r="M1353" s="33"/>
      <c r="N1353" s="33"/>
      <c r="O1353" s="33"/>
      <c r="P1353" s="33"/>
      <c r="Q1353" s="33"/>
      <c r="R1353" s="33"/>
      <c r="S1353" s="33"/>
      <c r="T1353" s="33"/>
      <c r="U1353" s="33"/>
      <c r="V1353" s="33"/>
      <c r="W1353" s="33"/>
      <c r="X1353" s="33"/>
      <c r="Y1353" s="33"/>
      <c r="Z1353" s="33"/>
      <c r="AA1353" s="33"/>
      <c r="AB1353" s="33"/>
      <c r="AC1353" s="33"/>
      <c r="AD1353" s="33"/>
      <c r="AE1353" s="33"/>
      <c r="AF1353" s="33"/>
      <c r="AG1353" s="33"/>
      <c r="AH1353" s="33"/>
      <c r="AI1353" s="33"/>
      <c r="AJ1353" s="33"/>
      <c r="AK1353" s="34" t="str">
        <f aca="false">IF($B1353="","",COUNTIF($F1353:$AJ1353,"P"))</f>
        <v/>
      </c>
      <c r="AL1353" s="34" t="str">
        <f aca="false">IF($B1353="","",COUNTIF($F1353:$AJ1353,"A"))</f>
        <v/>
      </c>
      <c r="AM1353" s="34" t="str">
        <f aca="false">IF($B1353="","",COUNTIF($F1353:$AJ1353,"HA"))</f>
        <v/>
      </c>
      <c r="AN1353" s="34" t="str">
        <f aca="false">IF($B1353="","",COUNTIF($F1353:$AJ1353,"L"))</f>
        <v/>
      </c>
      <c r="AO1353" s="34" t="str">
        <f aca="false">IF($B1353="","",COUNTIF($F1353:$AJ1353,"PL"))</f>
        <v/>
      </c>
      <c r="AP1353" s="34" t="str">
        <f aca="false">IF($B1353="","",COUNTIF($F1353:$AJ1353,"CL"))</f>
        <v/>
      </c>
      <c r="AQ1353" s="34" t="str">
        <f aca="false">IF($B1353="","",COUNTIF($F1353:$AJ1353,"SL"))</f>
        <v/>
      </c>
      <c r="AR1353" s="34" t="str">
        <f aca="false">IF($B1353="","",COUNTIF($F1353:$AJ1353,"CO"))</f>
        <v/>
      </c>
      <c r="AS1353" s="34" t="str">
        <f aca="false">IF($B1353="","",COUNTIF($F1353:$AJ1353,"HPL"))</f>
        <v/>
      </c>
      <c r="AT1353" s="34" t="str">
        <f aca="false">IF($B1353="","",COUNTIF($F1353:$AJ1353,"HCL"))</f>
        <v/>
      </c>
      <c r="AU1353" s="34" t="str">
        <f aca="false">IF($B1353="","",COUNTIF($F1353:$AJ1353,"WO"))</f>
        <v/>
      </c>
      <c r="AV1353" s="34" t="str">
        <f aca="false">IF($B1353="","",COUNTIF($F1353:$AJ1353,"PH"))</f>
        <v/>
      </c>
      <c r="AW1353" s="34" t="str">
        <f aca="false">IF($B1353="","",COUNTIF($F1353:$AJ1353,"TR"))</f>
        <v/>
      </c>
      <c r="AX1353" s="35" t="str">
        <f aca="false">IF($B1353="","",AO1353+AS1353/2)</f>
        <v/>
      </c>
      <c r="AY1353" s="35" t="str">
        <f aca="false">IF($B1353="","",AQ1353)</f>
        <v/>
      </c>
      <c r="AZ1353" s="35" t="str">
        <f aca="false">IF($B1353="","",AP1353+AT1353/2)</f>
        <v/>
      </c>
      <c r="BA1353" s="35" t="str">
        <f aca="false">IF($B1353="","",AK1353+AN1353+AM1353/2+AO1353+AP1353+AQ1353+AR1353+AS1353+AT1353+AU1353+AV1353+AW1353)</f>
        <v/>
      </c>
      <c r="BB1353" s="35" t="str">
        <f aca="false">IF($B1353="","",MAX(0,AN1353-Settings!$C$16)*Settings!$C$17)</f>
        <v/>
      </c>
      <c r="BC1353" s="35" t="str">
        <f aca="false">IF($B1353="","",BA1353-BB1353)</f>
        <v/>
      </c>
      <c r="BD1353" s="35" t="str">
        <f aca="false">IF(OR($B1353="",$A1353=""),"",DAY(EOMONTH($A1353,0))-COUNTA($F1353:$AJ1353))</f>
        <v/>
      </c>
    </row>
    <row r="1354" customFormat="false" ht="15" hidden="false" customHeight="false" outlineLevel="0" collapsed="false">
      <c r="A1354" s="32"/>
      <c r="B1354" s="29"/>
      <c r="C1354" s="10" t="str">
        <f aca="false">IF($B1354="","",IFERROR(INDEX(M_name,MATCH($B1354,M_emp,0)),"Code not found"))</f>
        <v/>
      </c>
      <c r="D1354" s="10" t="str">
        <f aca="false">IF($B1354="","",IFERROR(INDEX(M_dept,MATCH($B1354,M_emp,0)),""))</f>
        <v/>
      </c>
      <c r="E1354" s="10" t="str">
        <f aca="false">IF($B1354="","",IFERROR(INDEX(M_loc,MATCH($B1354,M_emp,0)),""))</f>
        <v/>
      </c>
      <c r="F1354" s="33"/>
      <c r="G1354" s="33"/>
      <c r="H1354" s="33"/>
      <c r="I1354" s="33"/>
      <c r="J1354" s="33"/>
      <c r="K1354" s="33"/>
      <c r="L1354" s="33"/>
      <c r="M1354" s="33"/>
      <c r="N1354" s="33"/>
      <c r="O1354" s="33"/>
      <c r="P1354" s="33"/>
      <c r="Q1354" s="33"/>
      <c r="R1354" s="33"/>
      <c r="S1354" s="33"/>
      <c r="T1354" s="33"/>
      <c r="U1354" s="33"/>
      <c r="V1354" s="33"/>
      <c r="W1354" s="33"/>
      <c r="X1354" s="33"/>
      <c r="Y1354" s="33"/>
      <c r="Z1354" s="33"/>
      <c r="AA1354" s="33"/>
      <c r="AB1354" s="33"/>
      <c r="AC1354" s="33"/>
      <c r="AD1354" s="33"/>
      <c r="AE1354" s="33"/>
      <c r="AF1354" s="33"/>
      <c r="AG1354" s="33"/>
      <c r="AH1354" s="33"/>
      <c r="AI1354" s="33"/>
      <c r="AJ1354" s="33"/>
      <c r="AK1354" s="34" t="str">
        <f aca="false">IF($B1354="","",COUNTIF($F1354:$AJ1354,"P"))</f>
        <v/>
      </c>
      <c r="AL1354" s="34" t="str">
        <f aca="false">IF($B1354="","",COUNTIF($F1354:$AJ1354,"A"))</f>
        <v/>
      </c>
      <c r="AM1354" s="34" t="str">
        <f aca="false">IF($B1354="","",COUNTIF($F1354:$AJ1354,"HA"))</f>
        <v/>
      </c>
      <c r="AN1354" s="34" t="str">
        <f aca="false">IF($B1354="","",COUNTIF($F1354:$AJ1354,"L"))</f>
        <v/>
      </c>
      <c r="AO1354" s="34" t="str">
        <f aca="false">IF($B1354="","",COUNTIF($F1354:$AJ1354,"PL"))</f>
        <v/>
      </c>
      <c r="AP1354" s="34" t="str">
        <f aca="false">IF($B1354="","",COUNTIF($F1354:$AJ1354,"CL"))</f>
        <v/>
      </c>
      <c r="AQ1354" s="34" t="str">
        <f aca="false">IF($B1354="","",COUNTIF($F1354:$AJ1354,"SL"))</f>
        <v/>
      </c>
      <c r="AR1354" s="34" t="str">
        <f aca="false">IF($B1354="","",COUNTIF($F1354:$AJ1354,"CO"))</f>
        <v/>
      </c>
      <c r="AS1354" s="34" t="str">
        <f aca="false">IF($B1354="","",COUNTIF($F1354:$AJ1354,"HPL"))</f>
        <v/>
      </c>
      <c r="AT1354" s="34" t="str">
        <f aca="false">IF($B1354="","",COUNTIF($F1354:$AJ1354,"HCL"))</f>
        <v/>
      </c>
      <c r="AU1354" s="34" t="str">
        <f aca="false">IF($B1354="","",COUNTIF($F1354:$AJ1354,"WO"))</f>
        <v/>
      </c>
      <c r="AV1354" s="34" t="str">
        <f aca="false">IF($B1354="","",COUNTIF($F1354:$AJ1354,"PH"))</f>
        <v/>
      </c>
      <c r="AW1354" s="34" t="str">
        <f aca="false">IF($B1354="","",COUNTIF($F1354:$AJ1354,"TR"))</f>
        <v/>
      </c>
      <c r="AX1354" s="35" t="str">
        <f aca="false">IF($B1354="","",AO1354+AS1354/2)</f>
        <v/>
      </c>
      <c r="AY1354" s="35" t="str">
        <f aca="false">IF($B1354="","",AQ1354)</f>
        <v/>
      </c>
      <c r="AZ1354" s="35" t="str">
        <f aca="false">IF($B1354="","",AP1354+AT1354/2)</f>
        <v/>
      </c>
      <c r="BA1354" s="35" t="str">
        <f aca="false">IF($B1354="","",AK1354+AN1354+AM1354/2+AO1354+AP1354+AQ1354+AR1354+AS1354+AT1354+AU1354+AV1354+AW1354)</f>
        <v/>
      </c>
      <c r="BB1354" s="35" t="str">
        <f aca="false">IF($B1354="","",MAX(0,AN1354-Settings!$C$16)*Settings!$C$17)</f>
        <v/>
      </c>
      <c r="BC1354" s="35" t="str">
        <f aca="false">IF($B1354="","",BA1354-BB1354)</f>
        <v/>
      </c>
      <c r="BD1354" s="35" t="str">
        <f aca="false">IF(OR($B1354="",$A1354=""),"",DAY(EOMONTH($A1354,0))-COUNTA($F1354:$AJ1354))</f>
        <v/>
      </c>
    </row>
    <row r="1355" customFormat="false" ht="15" hidden="false" customHeight="false" outlineLevel="0" collapsed="false">
      <c r="A1355" s="32"/>
      <c r="B1355" s="29"/>
      <c r="C1355" s="10" t="str">
        <f aca="false">IF($B1355="","",IFERROR(INDEX(M_name,MATCH($B1355,M_emp,0)),"Code not found"))</f>
        <v/>
      </c>
      <c r="D1355" s="10" t="str">
        <f aca="false">IF($B1355="","",IFERROR(INDEX(M_dept,MATCH($B1355,M_emp,0)),""))</f>
        <v/>
      </c>
      <c r="E1355" s="10" t="str">
        <f aca="false">IF($B1355="","",IFERROR(INDEX(M_loc,MATCH($B1355,M_emp,0)),""))</f>
        <v/>
      </c>
      <c r="F1355" s="33"/>
      <c r="G1355" s="33"/>
      <c r="H1355" s="33"/>
      <c r="I1355" s="33"/>
      <c r="J1355" s="33"/>
      <c r="K1355" s="33"/>
      <c r="L1355" s="33"/>
      <c r="M1355" s="33"/>
      <c r="N1355" s="33"/>
      <c r="O1355" s="33"/>
      <c r="P1355" s="33"/>
      <c r="Q1355" s="33"/>
      <c r="R1355" s="33"/>
      <c r="S1355" s="33"/>
      <c r="T1355" s="33"/>
      <c r="U1355" s="33"/>
      <c r="V1355" s="33"/>
      <c r="W1355" s="33"/>
      <c r="X1355" s="33"/>
      <c r="Y1355" s="33"/>
      <c r="Z1355" s="33"/>
      <c r="AA1355" s="33"/>
      <c r="AB1355" s="33"/>
      <c r="AC1355" s="33"/>
      <c r="AD1355" s="33"/>
      <c r="AE1355" s="33"/>
      <c r="AF1355" s="33"/>
      <c r="AG1355" s="33"/>
      <c r="AH1355" s="33"/>
      <c r="AI1355" s="33"/>
      <c r="AJ1355" s="33"/>
      <c r="AK1355" s="34" t="str">
        <f aca="false">IF($B1355="","",COUNTIF($F1355:$AJ1355,"P"))</f>
        <v/>
      </c>
      <c r="AL1355" s="34" t="str">
        <f aca="false">IF($B1355="","",COUNTIF($F1355:$AJ1355,"A"))</f>
        <v/>
      </c>
      <c r="AM1355" s="34" t="str">
        <f aca="false">IF($B1355="","",COUNTIF($F1355:$AJ1355,"HA"))</f>
        <v/>
      </c>
      <c r="AN1355" s="34" t="str">
        <f aca="false">IF($B1355="","",COUNTIF($F1355:$AJ1355,"L"))</f>
        <v/>
      </c>
      <c r="AO1355" s="34" t="str">
        <f aca="false">IF($B1355="","",COUNTIF($F1355:$AJ1355,"PL"))</f>
        <v/>
      </c>
      <c r="AP1355" s="34" t="str">
        <f aca="false">IF($B1355="","",COUNTIF($F1355:$AJ1355,"CL"))</f>
        <v/>
      </c>
      <c r="AQ1355" s="34" t="str">
        <f aca="false">IF($B1355="","",COUNTIF($F1355:$AJ1355,"SL"))</f>
        <v/>
      </c>
      <c r="AR1355" s="34" t="str">
        <f aca="false">IF($B1355="","",COUNTIF($F1355:$AJ1355,"CO"))</f>
        <v/>
      </c>
      <c r="AS1355" s="34" t="str">
        <f aca="false">IF($B1355="","",COUNTIF($F1355:$AJ1355,"HPL"))</f>
        <v/>
      </c>
      <c r="AT1355" s="34" t="str">
        <f aca="false">IF($B1355="","",COUNTIF($F1355:$AJ1355,"HCL"))</f>
        <v/>
      </c>
      <c r="AU1355" s="34" t="str">
        <f aca="false">IF($B1355="","",COUNTIF($F1355:$AJ1355,"WO"))</f>
        <v/>
      </c>
      <c r="AV1355" s="34" t="str">
        <f aca="false">IF($B1355="","",COUNTIF($F1355:$AJ1355,"PH"))</f>
        <v/>
      </c>
      <c r="AW1355" s="34" t="str">
        <f aca="false">IF($B1355="","",COUNTIF($F1355:$AJ1355,"TR"))</f>
        <v/>
      </c>
      <c r="AX1355" s="35" t="str">
        <f aca="false">IF($B1355="","",AO1355+AS1355/2)</f>
        <v/>
      </c>
      <c r="AY1355" s="35" t="str">
        <f aca="false">IF($B1355="","",AQ1355)</f>
        <v/>
      </c>
      <c r="AZ1355" s="35" t="str">
        <f aca="false">IF($B1355="","",AP1355+AT1355/2)</f>
        <v/>
      </c>
      <c r="BA1355" s="35" t="str">
        <f aca="false">IF($B1355="","",AK1355+AN1355+AM1355/2+AO1355+AP1355+AQ1355+AR1355+AS1355+AT1355+AU1355+AV1355+AW1355)</f>
        <v/>
      </c>
      <c r="BB1355" s="35" t="str">
        <f aca="false">IF($B1355="","",MAX(0,AN1355-Settings!$C$16)*Settings!$C$17)</f>
        <v/>
      </c>
      <c r="BC1355" s="35" t="str">
        <f aca="false">IF($B1355="","",BA1355-BB1355)</f>
        <v/>
      </c>
      <c r="BD1355" s="35" t="str">
        <f aca="false">IF(OR($B1355="",$A1355=""),"",DAY(EOMONTH($A1355,0))-COUNTA($F1355:$AJ1355))</f>
        <v/>
      </c>
    </row>
    <row r="1356" customFormat="false" ht="15" hidden="false" customHeight="false" outlineLevel="0" collapsed="false">
      <c r="A1356" s="32"/>
      <c r="B1356" s="29"/>
      <c r="C1356" s="10" t="str">
        <f aca="false">IF($B1356="","",IFERROR(INDEX(M_name,MATCH($B1356,M_emp,0)),"Code not found"))</f>
        <v/>
      </c>
      <c r="D1356" s="10" t="str">
        <f aca="false">IF($B1356="","",IFERROR(INDEX(M_dept,MATCH($B1356,M_emp,0)),""))</f>
        <v/>
      </c>
      <c r="E1356" s="10" t="str">
        <f aca="false">IF($B1356="","",IFERROR(INDEX(M_loc,MATCH($B1356,M_emp,0)),""))</f>
        <v/>
      </c>
      <c r="F1356" s="33"/>
      <c r="G1356" s="33"/>
      <c r="H1356" s="33"/>
      <c r="I1356" s="33"/>
      <c r="J1356" s="33"/>
      <c r="K1356" s="33"/>
      <c r="L1356" s="33"/>
      <c r="M1356" s="33"/>
      <c r="N1356" s="33"/>
      <c r="O1356" s="33"/>
      <c r="P1356" s="33"/>
      <c r="Q1356" s="33"/>
      <c r="R1356" s="33"/>
      <c r="S1356" s="33"/>
      <c r="T1356" s="33"/>
      <c r="U1356" s="33"/>
      <c r="V1356" s="33"/>
      <c r="W1356" s="33"/>
      <c r="X1356" s="33"/>
      <c r="Y1356" s="33"/>
      <c r="Z1356" s="33"/>
      <c r="AA1356" s="33"/>
      <c r="AB1356" s="33"/>
      <c r="AC1356" s="33"/>
      <c r="AD1356" s="33"/>
      <c r="AE1356" s="33"/>
      <c r="AF1356" s="33"/>
      <c r="AG1356" s="33"/>
      <c r="AH1356" s="33"/>
      <c r="AI1356" s="33"/>
      <c r="AJ1356" s="33"/>
      <c r="AK1356" s="34" t="str">
        <f aca="false">IF($B1356="","",COUNTIF($F1356:$AJ1356,"P"))</f>
        <v/>
      </c>
      <c r="AL1356" s="34" t="str">
        <f aca="false">IF($B1356="","",COUNTIF($F1356:$AJ1356,"A"))</f>
        <v/>
      </c>
      <c r="AM1356" s="34" t="str">
        <f aca="false">IF($B1356="","",COUNTIF($F1356:$AJ1356,"HA"))</f>
        <v/>
      </c>
      <c r="AN1356" s="34" t="str">
        <f aca="false">IF($B1356="","",COUNTIF($F1356:$AJ1356,"L"))</f>
        <v/>
      </c>
      <c r="AO1356" s="34" t="str">
        <f aca="false">IF($B1356="","",COUNTIF($F1356:$AJ1356,"PL"))</f>
        <v/>
      </c>
      <c r="AP1356" s="34" t="str">
        <f aca="false">IF($B1356="","",COUNTIF($F1356:$AJ1356,"CL"))</f>
        <v/>
      </c>
      <c r="AQ1356" s="34" t="str">
        <f aca="false">IF($B1356="","",COUNTIF($F1356:$AJ1356,"SL"))</f>
        <v/>
      </c>
      <c r="AR1356" s="34" t="str">
        <f aca="false">IF($B1356="","",COUNTIF($F1356:$AJ1356,"CO"))</f>
        <v/>
      </c>
      <c r="AS1356" s="34" t="str">
        <f aca="false">IF($B1356="","",COUNTIF($F1356:$AJ1356,"HPL"))</f>
        <v/>
      </c>
      <c r="AT1356" s="34" t="str">
        <f aca="false">IF($B1356="","",COUNTIF($F1356:$AJ1356,"HCL"))</f>
        <v/>
      </c>
      <c r="AU1356" s="34" t="str">
        <f aca="false">IF($B1356="","",COUNTIF($F1356:$AJ1356,"WO"))</f>
        <v/>
      </c>
      <c r="AV1356" s="34" t="str">
        <f aca="false">IF($B1356="","",COUNTIF($F1356:$AJ1356,"PH"))</f>
        <v/>
      </c>
      <c r="AW1356" s="34" t="str">
        <f aca="false">IF($B1356="","",COUNTIF($F1356:$AJ1356,"TR"))</f>
        <v/>
      </c>
      <c r="AX1356" s="35" t="str">
        <f aca="false">IF($B1356="","",AO1356+AS1356/2)</f>
        <v/>
      </c>
      <c r="AY1356" s="35" t="str">
        <f aca="false">IF($B1356="","",AQ1356)</f>
        <v/>
      </c>
      <c r="AZ1356" s="35" t="str">
        <f aca="false">IF($B1356="","",AP1356+AT1356/2)</f>
        <v/>
      </c>
      <c r="BA1356" s="35" t="str">
        <f aca="false">IF($B1356="","",AK1356+AN1356+AM1356/2+AO1356+AP1356+AQ1356+AR1356+AS1356+AT1356+AU1356+AV1356+AW1356)</f>
        <v/>
      </c>
      <c r="BB1356" s="35" t="str">
        <f aca="false">IF($B1356="","",MAX(0,AN1356-Settings!$C$16)*Settings!$C$17)</f>
        <v/>
      </c>
      <c r="BC1356" s="35" t="str">
        <f aca="false">IF($B1356="","",BA1356-BB1356)</f>
        <v/>
      </c>
      <c r="BD1356" s="35" t="str">
        <f aca="false">IF(OR($B1356="",$A1356=""),"",DAY(EOMONTH($A1356,0))-COUNTA($F1356:$AJ1356))</f>
        <v/>
      </c>
    </row>
    <row r="1357" customFormat="false" ht="15" hidden="false" customHeight="false" outlineLevel="0" collapsed="false">
      <c r="A1357" s="32"/>
      <c r="B1357" s="29"/>
      <c r="C1357" s="10" t="str">
        <f aca="false">IF($B1357="","",IFERROR(INDEX(M_name,MATCH($B1357,M_emp,0)),"Code not found"))</f>
        <v/>
      </c>
      <c r="D1357" s="10" t="str">
        <f aca="false">IF($B1357="","",IFERROR(INDEX(M_dept,MATCH($B1357,M_emp,0)),""))</f>
        <v/>
      </c>
      <c r="E1357" s="10" t="str">
        <f aca="false">IF($B1357="","",IFERROR(INDEX(M_loc,MATCH($B1357,M_emp,0)),""))</f>
        <v/>
      </c>
      <c r="F1357" s="33"/>
      <c r="G1357" s="33"/>
      <c r="H1357" s="33"/>
      <c r="I1357" s="33"/>
      <c r="J1357" s="33"/>
      <c r="K1357" s="33"/>
      <c r="L1357" s="33"/>
      <c r="M1357" s="33"/>
      <c r="N1357" s="33"/>
      <c r="O1357" s="33"/>
      <c r="P1357" s="33"/>
      <c r="Q1357" s="33"/>
      <c r="R1357" s="33"/>
      <c r="S1357" s="33"/>
      <c r="T1357" s="33"/>
      <c r="U1357" s="33"/>
      <c r="V1357" s="33"/>
      <c r="W1357" s="33"/>
      <c r="X1357" s="33"/>
      <c r="Y1357" s="33"/>
      <c r="Z1357" s="33"/>
      <c r="AA1357" s="33"/>
      <c r="AB1357" s="33"/>
      <c r="AC1357" s="33"/>
      <c r="AD1357" s="33"/>
      <c r="AE1357" s="33"/>
      <c r="AF1357" s="33"/>
      <c r="AG1357" s="33"/>
      <c r="AH1357" s="33"/>
      <c r="AI1357" s="33"/>
      <c r="AJ1357" s="33"/>
      <c r="AK1357" s="34" t="str">
        <f aca="false">IF($B1357="","",COUNTIF($F1357:$AJ1357,"P"))</f>
        <v/>
      </c>
      <c r="AL1357" s="34" t="str">
        <f aca="false">IF($B1357="","",COUNTIF($F1357:$AJ1357,"A"))</f>
        <v/>
      </c>
      <c r="AM1357" s="34" t="str">
        <f aca="false">IF($B1357="","",COUNTIF($F1357:$AJ1357,"HA"))</f>
        <v/>
      </c>
      <c r="AN1357" s="34" t="str">
        <f aca="false">IF($B1357="","",COUNTIF($F1357:$AJ1357,"L"))</f>
        <v/>
      </c>
      <c r="AO1357" s="34" t="str">
        <f aca="false">IF($B1357="","",COUNTIF($F1357:$AJ1357,"PL"))</f>
        <v/>
      </c>
      <c r="AP1357" s="34" t="str">
        <f aca="false">IF($B1357="","",COUNTIF($F1357:$AJ1357,"CL"))</f>
        <v/>
      </c>
      <c r="AQ1357" s="34" t="str">
        <f aca="false">IF($B1357="","",COUNTIF($F1357:$AJ1357,"SL"))</f>
        <v/>
      </c>
      <c r="AR1357" s="34" t="str">
        <f aca="false">IF($B1357="","",COUNTIF($F1357:$AJ1357,"CO"))</f>
        <v/>
      </c>
      <c r="AS1357" s="34" t="str">
        <f aca="false">IF($B1357="","",COUNTIF($F1357:$AJ1357,"HPL"))</f>
        <v/>
      </c>
      <c r="AT1357" s="34" t="str">
        <f aca="false">IF($B1357="","",COUNTIF($F1357:$AJ1357,"HCL"))</f>
        <v/>
      </c>
      <c r="AU1357" s="34" t="str">
        <f aca="false">IF($B1357="","",COUNTIF($F1357:$AJ1357,"WO"))</f>
        <v/>
      </c>
      <c r="AV1357" s="34" t="str">
        <f aca="false">IF($B1357="","",COUNTIF($F1357:$AJ1357,"PH"))</f>
        <v/>
      </c>
      <c r="AW1357" s="34" t="str">
        <f aca="false">IF($B1357="","",COUNTIF($F1357:$AJ1357,"TR"))</f>
        <v/>
      </c>
      <c r="AX1357" s="35" t="str">
        <f aca="false">IF($B1357="","",AO1357+AS1357/2)</f>
        <v/>
      </c>
      <c r="AY1357" s="35" t="str">
        <f aca="false">IF($B1357="","",AQ1357)</f>
        <v/>
      </c>
      <c r="AZ1357" s="35" t="str">
        <f aca="false">IF($B1357="","",AP1357+AT1357/2)</f>
        <v/>
      </c>
      <c r="BA1357" s="35" t="str">
        <f aca="false">IF($B1357="","",AK1357+AN1357+AM1357/2+AO1357+AP1357+AQ1357+AR1357+AS1357+AT1357+AU1357+AV1357+AW1357)</f>
        <v/>
      </c>
      <c r="BB1357" s="35" t="str">
        <f aca="false">IF($B1357="","",MAX(0,AN1357-Settings!$C$16)*Settings!$C$17)</f>
        <v/>
      </c>
      <c r="BC1357" s="35" t="str">
        <f aca="false">IF($B1357="","",BA1357-BB1357)</f>
        <v/>
      </c>
      <c r="BD1357" s="35" t="str">
        <f aca="false">IF(OR($B1357="",$A1357=""),"",DAY(EOMONTH($A1357,0))-COUNTA($F1357:$AJ1357))</f>
        <v/>
      </c>
    </row>
    <row r="1358" customFormat="false" ht="15" hidden="false" customHeight="false" outlineLevel="0" collapsed="false">
      <c r="A1358" s="32"/>
      <c r="B1358" s="29"/>
      <c r="C1358" s="10" t="str">
        <f aca="false">IF($B1358="","",IFERROR(INDEX(M_name,MATCH($B1358,M_emp,0)),"Code not found"))</f>
        <v/>
      </c>
      <c r="D1358" s="10" t="str">
        <f aca="false">IF($B1358="","",IFERROR(INDEX(M_dept,MATCH($B1358,M_emp,0)),""))</f>
        <v/>
      </c>
      <c r="E1358" s="10" t="str">
        <f aca="false">IF($B1358="","",IFERROR(INDEX(M_loc,MATCH($B1358,M_emp,0)),""))</f>
        <v/>
      </c>
      <c r="F1358" s="33"/>
      <c r="G1358" s="33"/>
      <c r="H1358" s="33"/>
      <c r="I1358" s="33"/>
      <c r="J1358" s="33"/>
      <c r="K1358" s="33"/>
      <c r="L1358" s="33"/>
      <c r="M1358" s="33"/>
      <c r="N1358" s="33"/>
      <c r="O1358" s="33"/>
      <c r="P1358" s="33"/>
      <c r="Q1358" s="33"/>
      <c r="R1358" s="33"/>
      <c r="S1358" s="33"/>
      <c r="T1358" s="33"/>
      <c r="U1358" s="33"/>
      <c r="V1358" s="33"/>
      <c r="W1358" s="33"/>
      <c r="X1358" s="33"/>
      <c r="Y1358" s="33"/>
      <c r="Z1358" s="33"/>
      <c r="AA1358" s="33"/>
      <c r="AB1358" s="33"/>
      <c r="AC1358" s="33"/>
      <c r="AD1358" s="33"/>
      <c r="AE1358" s="33"/>
      <c r="AF1358" s="33"/>
      <c r="AG1358" s="33"/>
      <c r="AH1358" s="33"/>
      <c r="AI1358" s="33"/>
      <c r="AJ1358" s="33"/>
      <c r="AK1358" s="34" t="str">
        <f aca="false">IF($B1358="","",COUNTIF($F1358:$AJ1358,"P"))</f>
        <v/>
      </c>
      <c r="AL1358" s="34" t="str">
        <f aca="false">IF($B1358="","",COUNTIF($F1358:$AJ1358,"A"))</f>
        <v/>
      </c>
      <c r="AM1358" s="34" t="str">
        <f aca="false">IF($B1358="","",COUNTIF($F1358:$AJ1358,"HA"))</f>
        <v/>
      </c>
      <c r="AN1358" s="34" t="str">
        <f aca="false">IF($B1358="","",COUNTIF($F1358:$AJ1358,"L"))</f>
        <v/>
      </c>
      <c r="AO1358" s="34" t="str">
        <f aca="false">IF($B1358="","",COUNTIF($F1358:$AJ1358,"PL"))</f>
        <v/>
      </c>
      <c r="AP1358" s="34" t="str">
        <f aca="false">IF($B1358="","",COUNTIF($F1358:$AJ1358,"CL"))</f>
        <v/>
      </c>
      <c r="AQ1358" s="34" t="str">
        <f aca="false">IF($B1358="","",COUNTIF($F1358:$AJ1358,"SL"))</f>
        <v/>
      </c>
      <c r="AR1358" s="34" t="str">
        <f aca="false">IF($B1358="","",COUNTIF($F1358:$AJ1358,"CO"))</f>
        <v/>
      </c>
      <c r="AS1358" s="34" t="str">
        <f aca="false">IF($B1358="","",COUNTIF($F1358:$AJ1358,"HPL"))</f>
        <v/>
      </c>
      <c r="AT1358" s="34" t="str">
        <f aca="false">IF($B1358="","",COUNTIF($F1358:$AJ1358,"HCL"))</f>
        <v/>
      </c>
      <c r="AU1358" s="34" t="str">
        <f aca="false">IF($B1358="","",COUNTIF($F1358:$AJ1358,"WO"))</f>
        <v/>
      </c>
      <c r="AV1358" s="34" t="str">
        <f aca="false">IF($B1358="","",COUNTIF($F1358:$AJ1358,"PH"))</f>
        <v/>
      </c>
      <c r="AW1358" s="34" t="str">
        <f aca="false">IF($B1358="","",COUNTIF($F1358:$AJ1358,"TR"))</f>
        <v/>
      </c>
      <c r="AX1358" s="35" t="str">
        <f aca="false">IF($B1358="","",AO1358+AS1358/2)</f>
        <v/>
      </c>
      <c r="AY1358" s="35" t="str">
        <f aca="false">IF($B1358="","",AQ1358)</f>
        <v/>
      </c>
      <c r="AZ1358" s="35" t="str">
        <f aca="false">IF($B1358="","",AP1358+AT1358/2)</f>
        <v/>
      </c>
      <c r="BA1358" s="35" t="str">
        <f aca="false">IF($B1358="","",AK1358+AN1358+AM1358/2+AO1358+AP1358+AQ1358+AR1358+AS1358+AT1358+AU1358+AV1358+AW1358)</f>
        <v/>
      </c>
      <c r="BB1358" s="35" t="str">
        <f aca="false">IF($B1358="","",MAX(0,AN1358-Settings!$C$16)*Settings!$C$17)</f>
        <v/>
      </c>
      <c r="BC1358" s="35" t="str">
        <f aca="false">IF($B1358="","",BA1358-BB1358)</f>
        <v/>
      </c>
      <c r="BD1358" s="35" t="str">
        <f aca="false">IF(OR($B1358="",$A1358=""),"",DAY(EOMONTH($A1358,0))-COUNTA($F1358:$AJ1358))</f>
        <v/>
      </c>
    </row>
    <row r="1359" customFormat="false" ht="15" hidden="false" customHeight="false" outlineLevel="0" collapsed="false">
      <c r="A1359" s="32"/>
      <c r="B1359" s="29"/>
      <c r="C1359" s="10" t="str">
        <f aca="false">IF($B1359="","",IFERROR(INDEX(M_name,MATCH($B1359,M_emp,0)),"Code not found"))</f>
        <v/>
      </c>
      <c r="D1359" s="10" t="str">
        <f aca="false">IF($B1359="","",IFERROR(INDEX(M_dept,MATCH($B1359,M_emp,0)),""))</f>
        <v/>
      </c>
      <c r="E1359" s="10" t="str">
        <f aca="false">IF($B1359="","",IFERROR(INDEX(M_loc,MATCH($B1359,M_emp,0)),""))</f>
        <v/>
      </c>
      <c r="F1359" s="33"/>
      <c r="G1359" s="33"/>
      <c r="H1359" s="33"/>
      <c r="I1359" s="33"/>
      <c r="J1359" s="33"/>
      <c r="K1359" s="33"/>
      <c r="L1359" s="33"/>
      <c r="M1359" s="33"/>
      <c r="N1359" s="33"/>
      <c r="O1359" s="33"/>
      <c r="P1359" s="33"/>
      <c r="Q1359" s="33"/>
      <c r="R1359" s="33"/>
      <c r="S1359" s="33"/>
      <c r="T1359" s="33"/>
      <c r="U1359" s="33"/>
      <c r="V1359" s="33"/>
      <c r="W1359" s="33"/>
      <c r="X1359" s="33"/>
      <c r="Y1359" s="33"/>
      <c r="Z1359" s="33"/>
      <c r="AA1359" s="33"/>
      <c r="AB1359" s="33"/>
      <c r="AC1359" s="33"/>
      <c r="AD1359" s="33"/>
      <c r="AE1359" s="33"/>
      <c r="AF1359" s="33"/>
      <c r="AG1359" s="33"/>
      <c r="AH1359" s="33"/>
      <c r="AI1359" s="33"/>
      <c r="AJ1359" s="33"/>
      <c r="AK1359" s="34" t="str">
        <f aca="false">IF($B1359="","",COUNTIF($F1359:$AJ1359,"P"))</f>
        <v/>
      </c>
      <c r="AL1359" s="34" t="str">
        <f aca="false">IF($B1359="","",COUNTIF($F1359:$AJ1359,"A"))</f>
        <v/>
      </c>
      <c r="AM1359" s="34" t="str">
        <f aca="false">IF($B1359="","",COUNTIF($F1359:$AJ1359,"HA"))</f>
        <v/>
      </c>
      <c r="AN1359" s="34" t="str">
        <f aca="false">IF($B1359="","",COUNTIF($F1359:$AJ1359,"L"))</f>
        <v/>
      </c>
      <c r="AO1359" s="34" t="str">
        <f aca="false">IF($B1359="","",COUNTIF($F1359:$AJ1359,"PL"))</f>
        <v/>
      </c>
      <c r="AP1359" s="34" t="str">
        <f aca="false">IF($B1359="","",COUNTIF($F1359:$AJ1359,"CL"))</f>
        <v/>
      </c>
      <c r="AQ1359" s="34" t="str">
        <f aca="false">IF($B1359="","",COUNTIF($F1359:$AJ1359,"SL"))</f>
        <v/>
      </c>
      <c r="AR1359" s="34" t="str">
        <f aca="false">IF($B1359="","",COUNTIF($F1359:$AJ1359,"CO"))</f>
        <v/>
      </c>
      <c r="AS1359" s="34" t="str">
        <f aca="false">IF($B1359="","",COUNTIF($F1359:$AJ1359,"HPL"))</f>
        <v/>
      </c>
      <c r="AT1359" s="34" t="str">
        <f aca="false">IF($B1359="","",COUNTIF($F1359:$AJ1359,"HCL"))</f>
        <v/>
      </c>
      <c r="AU1359" s="34" t="str">
        <f aca="false">IF($B1359="","",COUNTIF($F1359:$AJ1359,"WO"))</f>
        <v/>
      </c>
      <c r="AV1359" s="34" t="str">
        <f aca="false">IF($B1359="","",COUNTIF($F1359:$AJ1359,"PH"))</f>
        <v/>
      </c>
      <c r="AW1359" s="34" t="str">
        <f aca="false">IF($B1359="","",COUNTIF($F1359:$AJ1359,"TR"))</f>
        <v/>
      </c>
      <c r="AX1359" s="35" t="str">
        <f aca="false">IF($B1359="","",AO1359+AS1359/2)</f>
        <v/>
      </c>
      <c r="AY1359" s="35" t="str">
        <f aca="false">IF($B1359="","",AQ1359)</f>
        <v/>
      </c>
      <c r="AZ1359" s="35" t="str">
        <f aca="false">IF($B1359="","",AP1359+AT1359/2)</f>
        <v/>
      </c>
      <c r="BA1359" s="35" t="str">
        <f aca="false">IF($B1359="","",AK1359+AN1359+AM1359/2+AO1359+AP1359+AQ1359+AR1359+AS1359+AT1359+AU1359+AV1359+AW1359)</f>
        <v/>
      </c>
      <c r="BB1359" s="35" t="str">
        <f aca="false">IF($B1359="","",MAX(0,AN1359-Settings!$C$16)*Settings!$C$17)</f>
        <v/>
      </c>
      <c r="BC1359" s="35" t="str">
        <f aca="false">IF($B1359="","",BA1359-BB1359)</f>
        <v/>
      </c>
      <c r="BD1359" s="35" t="str">
        <f aca="false">IF(OR($B1359="",$A1359=""),"",DAY(EOMONTH($A1359,0))-COUNTA($F1359:$AJ1359))</f>
        <v/>
      </c>
    </row>
    <row r="1360" customFormat="false" ht="15" hidden="false" customHeight="false" outlineLevel="0" collapsed="false">
      <c r="A1360" s="32"/>
      <c r="B1360" s="29"/>
      <c r="C1360" s="10" t="str">
        <f aca="false">IF($B1360="","",IFERROR(INDEX(M_name,MATCH($B1360,M_emp,0)),"Code not found"))</f>
        <v/>
      </c>
      <c r="D1360" s="10" t="str">
        <f aca="false">IF($B1360="","",IFERROR(INDEX(M_dept,MATCH($B1360,M_emp,0)),""))</f>
        <v/>
      </c>
      <c r="E1360" s="10" t="str">
        <f aca="false">IF($B1360="","",IFERROR(INDEX(M_loc,MATCH($B1360,M_emp,0)),""))</f>
        <v/>
      </c>
      <c r="F1360" s="33"/>
      <c r="G1360" s="33"/>
      <c r="H1360" s="33"/>
      <c r="I1360" s="33"/>
      <c r="J1360" s="33"/>
      <c r="K1360" s="33"/>
      <c r="L1360" s="33"/>
      <c r="M1360" s="33"/>
      <c r="N1360" s="33"/>
      <c r="O1360" s="33"/>
      <c r="P1360" s="33"/>
      <c r="Q1360" s="33"/>
      <c r="R1360" s="33"/>
      <c r="S1360" s="33"/>
      <c r="T1360" s="33"/>
      <c r="U1360" s="33"/>
      <c r="V1360" s="33"/>
      <c r="W1360" s="33"/>
      <c r="X1360" s="33"/>
      <c r="Y1360" s="33"/>
      <c r="Z1360" s="33"/>
      <c r="AA1360" s="33"/>
      <c r="AB1360" s="33"/>
      <c r="AC1360" s="33"/>
      <c r="AD1360" s="33"/>
      <c r="AE1360" s="33"/>
      <c r="AF1360" s="33"/>
      <c r="AG1360" s="33"/>
      <c r="AH1360" s="33"/>
      <c r="AI1360" s="33"/>
      <c r="AJ1360" s="33"/>
      <c r="AK1360" s="34" t="str">
        <f aca="false">IF($B1360="","",COUNTIF($F1360:$AJ1360,"P"))</f>
        <v/>
      </c>
      <c r="AL1360" s="34" t="str">
        <f aca="false">IF($B1360="","",COUNTIF($F1360:$AJ1360,"A"))</f>
        <v/>
      </c>
      <c r="AM1360" s="34" t="str">
        <f aca="false">IF($B1360="","",COUNTIF($F1360:$AJ1360,"HA"))</f>
        <v/>
      </c>
      <c r="AN1360" s="34" t="str">
        <f aca="false">IF($B1360="","",COUNTIF($F1360:$AJ1360,"L"))</f>
        <v/>
      </c>
      <c r="AO1360" s="34" t="str">
        <f aca="false">IF($B1360="","",COUNTIF($F1360:$AJ1360,"PL"))</f>
        <v/>
      </c>
      <c r="AP1360" s="34" t="str">
        <f aca="false">IF($B1360="","",COUNTIF($F1360:$AJ1360,"CL"))</f>
        <v/>
      </c>
      <c r="AQ1360" s="34" t="str">
        <f aca="false">IF($B1360="","",COUNTIF($F1360:$AJ1360,"SL"))</f>
        <v/>
      </c>
      <c r="AR1360" s="34" t="str">
        <f aca="false">IF($B1360="","",COUNTIF($F1360:$AJ1360,"CO"))</f>
        <v/>
      </c>
      <c r="AS1360" s="34" t="str">
        <f aca="false">IF($B1360="","",COUNTIF($F1360:$AJ1360,"HPL"))</f>
        <v/>
      </c>
      <c r="AT1360" s="34" t="str">
        <f aca="false">IF($B1360="","",COUNTIF($F1360:$AJ1360,"HCL"))</f>
        <v/>
      </c>
      <c r="AU1360" s="34" t="str">
        <f aca="false">IF($B1360="","",COUNTIF($F1360:$AJ1360,"WO"))</f>
        <v/>
      </c>
      <c r="AV1360" s="34" t="str">
        <f aca="false">IF($B1360="","",COUNTIF($F1360:$AJ1360,"PH"))</f>
        <v/>
      </c>
      <c r="AW1360" s="34" t="str">
        <f aca="false">IF($B1360="","",COUNTIF($F1360:$AJ1360,"TR"))</f>
        <v/>
      </c>
      <c r="AX1360" s="35" t="str">
        <f aca="false">IF($B1360="","",AO1360+AS1360/2)</f>
        <v/>
      </c>
      <c r="AY1360" s="35" t="str">
        <f aca="false">IF($B1360="","",AQ1360)</f>
        <v/>
      </c>
      <c r="AZ1360" s="35" t="str">
        <f aca="false">IF($B1360="","",AP1360+AT1360/2)</f>
        <v/>
      </c>
      <c r="BA1360" s="35" t="str">
        <f aca="false">IF($B1360="","",AK1360+AN1360+AM1360/2+AO1360+AP1360+AQ1360+AR1360+AS1360+AT1360+AU1360+AV1360+AW1360)</f>
        <v/>
      </c>
      <c r="BB1360" s="35" t="str">
        <f aca="false">IF($B1360="","",MAX(0,AN1360-Settings!$C$16)*Settings!$C$17)</f>
        <v/>
      </c>
      <c r="BC1360" s="35" t="str">
        <f aca="false">IF($B1360="","",BA1360-BB1360)</f>
        <v/>
      </c>
      <c r="BD1360" s="35" t="str">
        <f aca="false">IF(OR($B1360="",$A1360=""),"",DAY(EOMONTH($A1360,0))-COUNTA($F1360:$AJ1360))</f>
        <v/>
      </c>
    </row>
    <row r="1361" customFormat="false" ht="15" hidden="false" customHeight="false" outlineLevel="0" collapsed="false">
      <c r="A1361" s="32"/>
      <c r="B1361" s="29"/>
      <c r="C1361" s="10" t="str">
        <f aca="false">IF($B1361="","",IFERROR(INDEX(M_name,MATCH($B1361,M_emp,0)),"Code not found"))</f>
        <v/>
      </c>
      <c r="D1361" s="10" t="str">
        <f aca="false">IF($B1361="","",IFERROR(INDEX(M_dept,MATCH($B1361,M_emp,0)),""))</f>
        <v/>
      </c>
      <c r="E1361" s="10" t="str">
        <f aca="false">IF($B1361="","",IFERROR(INDEX(M_loc,MATCH($B1361,M_emp,0)),""))</f>
        <v/>
      </c>
      <c r="F1361" s="33"/>
      <c r="G1361" s="33"/>
      <c r="H1361" s="33"/>
      <c r="I1361" s="33"/>
      <c r="J1361" s="33"/>
      <c r="K1361" s="33"/>
      <c r="L1361" s="33"/>
      <c r="M1361" s="33"/>
      <c r="N1361" s="33"/>
      <c r="O1361" s="33"/>
      <c r="P1361" s="33"/>
      <c r="Q1361" s="33"/>
      <c r="R1361" s="33"/>
      <c r="S1361" s="33"/>
      <c r="T1361" s="33"/>
      <c r="U1361" s="33"/>
      <c r="V1361" s="33"/>
      <c r="W1361" s="33"/>
      <c r="X1361" s="33"/>
      <c r="Y1361" s="33"/>
      <c r="Z1361" s="33"/>
      <c r="AA1361" s="33"/>
      <c r="AB1361" s="33"/>
      <c r="AC1361" s="33"/>
      <c r="AD1361" s="33"/>
      <c r="AE1361" s="33"/>
      <c r="AF1361" s="33"/>
      <c r="AG1361" s="33"/>
      <c r="AH1361" s="33"/>
      <c r="AI1361" s="33"/>
      <c r="AJ1361" s="33"/>
      <c r="AK1361" s="34" t="str">
        <f aca="false">IF($B1361="","",COUNTIF($F1361:$AJ1361,"P"))</f>
        <v/>
      </c>
      <c r="AL1361" s="34" t="str">
        <f aca="false">IF($B1361="","",COUNTIF($F1361:$AJ1361,"A"))</f>
        <v/>
      </c>
      <c r="AM1361" s="34" t="str">
        <f aca="false">IF($B1361="","",COUNTIF($F1361:$AJ1361,"HA"))</f>
        <v/>
      </c>
      <c r="AN1361" s="34" t="str">
        <f aca="false">IF($B1361="","",COUNTIF($F1361:$AJ1361,"L"))</f>
        <v/>
      </c>
      <c r="AO1361" s="34" t="str">
        <f aca="false">IF($B1361="","",COUNTIF($F1361:$AJ1361,"PL"))</f>
        <v/>
      </c>
      <c r="AP1361" s="34" t="str">
        <f aca="false">IF($B1361="","",COUNTIF($F1361:$AJ1361,"CL"))</f>
        <v/>
      </c>
      <c r="AQ1361" s="34" t="str">
        <f aca="false">IF($B1361="","",COUNTIF($F1361:$AJ1361,"SL"))</f>
        <v/>
      </c>
      <c r="AR1361" s="34" t="str">
        <f aca="false">IF($B1361="","",COUNTIF($F1361:$AJ1361,"CO"))</f>
        <v/>
      </c>
      <c r="AS1361" s="34" t="str">
        <f aca="false">IF($B1361="","",COUNTIF($F1361:$AJ1361,"HPL"))</f>
        <v/>
      </c>
      <c r="AT1361" s="34" t="str">
        <f aca="false">IF($B1361="","",COUNTIF($F1361:$AJ1361,"HCL"))</f>
        <v/>
      </c>
      <c r="AU1361" s="34" t="str">
        <f aca="false">IF($B1361="","",COUNTIF($F1361:$AJ1361,"WO"))</f>
        <v/>
      </c>
      <c r="AV1361" s="34" t="str">
        <f aca="false">IF($B1361="","",COUNTIF($F1361:$AJ1361,"PH"))</f>
        <v/>
      </c>
      <c r="AW1361" s="34" t="str">
        <f aca="false">IF($B1361="","",COUNTIF($F1361:$AJ1361,"TR"))</f>
        <v/>
      </c>
      <c r="AX1361" s="35" t="str">
        <f aca="false">IF($B1361="","",AO1361+AS1361/2)</f>
        <v/>
      </c>
      <c r="AY1361" s="35" t="str">
        <f aca="false">IF($B1361="","",AQ1361)</f>
        <v/>
      </c>
      <c r="AZ1361" s="35" t="str">
        <f aca="false">IF($B1361="","",AP1361+AT1361/2)</f>
        <v/>
      </c>
      <c r="BA1361" s="35" t="str">
        <f aca="false">IF($B1361="","",AK1361+AN1361+AM1361/2+AO1361+AP1361+AQ1361+AR1361+AS1361+AT1361+AU1361+AV1361+AW1361)</f>
        <v/>
      </c>
      <c r="BB1361" s="35" t="str">
        <f aca="false">IF($B1361="","",MAX(0,AN1361-Settings!$C$16)*Settings!$C$17)</f>
        <v/>
      </c>
      <c r="BC1361" s="35" t="str">
        <f aca="false">IF($B1361="","",BA1361-BB1361)</f>
        <v/>
      </c>
      <c r="BD1361" s="35" t="str">
        <f aca="false">IF(OR($B1361="",$A1361=""),"",DAY(EOMONTH($A1361,0))-COUNTA($F1361:$AJ1361))</f>
        <v/>
      </c>
    </row>
    <row r="1362" customFormat="false" ht="15" hidden="false" customHeight="false" outlineLevel="0" collapsed="false">
      <c r="A1362" s="32"/>
      <c r="B1362" s="29"/>
      <c r="C1362" s="10" t="str">
        <f aca="false">IF($B1362="","",IFERROR(INDEX(M_name,MATCH($B1362,M_emp,0)),"Code not found"))</f>
        <v/>
      </c>
      <c r="D1362" s="10" t="str">
        <f aca="false">IF($B1362="","",IFERROR(INDEX(M_dept,MATCH($B1362,M_emp,0)),""))</f>
        <v/>
      </c>
      <c r="E1362" s="10" t="str">
        <f aca="false">IF($B1362="","",IFERROR(INDEX(M_loc,MATCH($B1362,M_emp,0)),""))</f>
        <v/>
      </c>
      <c r="F1362" s="33"/>
      <c r="G1362" s="33"/>
      <c r="H1362" s="33"/>
      <c r="I1362" s="33"/>
      <c r="J1362" s="33"/>
      <c r="K1362" s="33"/>
      <c r="L1362" s="33"/>
      <c r="M1362" s="33"/>
      <c r="N1362" s="33"/>
      <c r="O1362" s="33"/>
      <c r="P1362" s="33"/>
      <c r="Q1362" s="33"/>
      <c r="R1362" s="33"/>
      <c r="S1362" s="33"/>
      <c r="T1362" s="33"/>
      <c r="U1362" s="33"/>
      <c r="V1362" s="33"/>
      <c r="W1362" s="33"/>
      <c r="X1362" s="33"/>
      <c r="Y1362" s="33"/>
      <c r="Z1362" s="33"/>
      <c r="AA1362" s="33"/>
      <c r="AB1362" s="33"/>
      <c r="AC1362" s="33"/>
      <c r="AD1362" s="33"/>
      <c r="AE1362" s="33"/>
      <c r="AF1362" s="33"/>
      <c r="AG1362" s="33"/>
      <c r="AH1362" s="33"/>
      <c r="AI1362" s="33"/>
      <c r="AJ1362" s="33"/>
      <c r="AK1362" s="34" t="str">
        <f aca="false">IF($B1362="","",COUNTIF($F1362:$AJ1362,"P"))</f>
        <v/>
      </c>
      <c r="AL1362" s="34" t="str">
        <f aca="false">IF($B1362="","",COUNTIF($F1362:$AJ1362,"A"))</f>
        <v/>
      </c>
      <c r="AM1362" s="34" t="str">
        <f aca="false">IF($B1362="","",COUNTIF($F1362:$AJ1362,"HA"))</f>
        <v/>
      </c>
      <c r="AN1362" s="34" t="str">
        <f aca="false">IF($B1362="","",COUNTIF($F1362:$AJ1362,"L"))</f>
        <v/>
      </c>
      <c r="AO1362" s="34" t="str">
        <f aca="false">IF($B1362="","",COUNTIF($F1362:$AJ1362,"PL"))</f>
        <v/>
      </c>
      <c r="AP1362" s="34" t="str">
        <f aca="false">IF($B1362="","",COUNTIF($F1362:$AJ1362,"CL"))</f>
        <v/>
      </c>
      <c r="AQ1362" s="34" t="str">
        <f aca="false">IF($B1362="","",COUNTIF($F1362:$AJ1362,"SL"))</f>
        <v/>
      </c>
      <c r="AR1362" s="34" t="str">
        <f aca="false">IF($B1362="","",COUNTIF($F1362:$AJ1362,"CO"))</f>
        <v/>
      </c>
      <c r="AS1362" s="34" t="str">
        <f aca="false">IF($B1362="","",COUNTIF($F1362:$AJ1362,"HPL"))</f>
        <v/>
      </c>
      <c r="AT1362" s="34" t="str">
        <f aca="false">IF($B1362="","",COUNTIF($F1362:$AJ1362,"HCL"))</f>
        <v/>
      </c>
      <c r="AU1362" s="34" t="str">
        <f aca="false">IF($B1362="","",COUNTIF($F1362:$AJ1362,"WO"))</f>
        <v/>
      </c>
      <c r="AV1362" s="34" t="str">
        <f aca="false">IF($B1362="","",COUNTIF($F1362:$AJ1362,"PH"))</f>
        <v/>
      </c>
      <c r="AW1362" s="34" t="str">
        <f aca="false">IF($B1362="","",COUNTIF($F1362:$AJ1362,"TR"))</f>
        <v/>
      </c>
      <c r="AX1362" s="35" t="str">
        <f aca="false">IF($B1362="","",AO1362+AS1362/2)</f>
        <v/>
      </c>
      <c r="AY1362" s="35" t="str">
        <f aca="false">IF($B1362="","",AQ1362)</f>
        <v/>
      </c>
      <c r="AZ1362" s="35" t="str">
        <f aca="false">IF($B1362="","",AP1362+AT1362/2)</f>
        <v/>
      </c>
      <c r="BA1362" s="35" t="str">
        <f aca="false">IF($B1362="","",AK1362+AN1362+AM1362/2+AO1362+AP1362+AQ1362+AR1362+AS1362+AT1362+AU1362+AV1362+AW1362)</f>
        <v/>
      </c>
      <c r="BB1362" s="35" t="str">
        <f aca="false">IF($B1362="","",MAX(0,AN1362-Settings!$C$16)*Settings!$C$17)</f>
        <v/>
      </c>
      <c r="BC1362" s="35" t="str">
        <f aca="false">IF($B1362="","",BA1362-BB1362)</f>
        <v/>
      </c>
      <c r="BD1362" s="35" t="str">
        <f aca="false">IF(OR($B1362="",$A1362=""),"",DAY(EOMONTH($A1362,0))-COUNTA($F1362:$AJ1362))</f>
        <v/>
      </c>
    </row>
    <row r="1363" customFormat="false" ht="15" hidden="false" customHeight="false" outlineLevel="0" collapsed="false">
      <c r="A1363" s="32"/>
      <c r="B1363" s="29"/>
      <c r="C1363" s="10" t="str">
        <f aca="false">IF($B1363="","",IFERROR(INDEX(M_name,MATCH($B1363,M_emp,0)),"Code not found"))</f>
        <v/>
      </c>
      <c r="D1363" s="10" t="str">
        <f aca="false">IF($B1363="","",IFERROR(INDEX(M_dept,MATCH($B1363,M_emp,0)),""))</f>
        <v/>
      </c>
      <c r="E1363" s="10" t="str">
        <f aca="false">IF($B1363="","",IFERROR(INDEX(M_loc,MATCH($B1363,M_emp,0)),""))</f>
        <v/>
      </c>
      <c r="F1363" s="33"/>
      <c r="G1363" s="33"/>
      <c r="H1363" s="33"/>
      <c r="I1363" s="33"/>
      <c r="J1363" s="33"/>
      <c r="K1363" s="33"/>
      <c r="L1363" s="33"/>
      <c r="M1363" s="33"/>
      <c r="N1363" s="33"/>
      <c r="O1363" s="33"/>
      <c r="P1363" s="33"/>
      <c r="Q1363" s="33"/>
      <c r="R1363" s="33"/>
      <c r="S1363" s="33"/>
      <c r="T1363" s="33"/>
      <c r="U1363" s="33"/>
      <c r="V1363" s="33"/>
      <c r="W1363" s="33"/>
      <c r="X1363" s="33"/>
      <c r="Y1363" s="33"/>
      <c r="Z1363" s="33"/>
      <c r="AA1363" s="33"/>
      <c r="AB1363" s="33"/>
      <c r="AC1363" s="33"/>
      <c r="AD1363" s="33"/>
      <c r="AE1363" s="33"/>
      <c r="AF1363" s="33"/>
      <c r="AG1363" s="33"/>
      <c r="AH1363" s="33"/>
      <c r="AI1363" s="33"/>
      <c r="AJ1363" s="33"/>
      <c r="AK1363" s="34" t="str">
        <f aca="false">IF($B1363="","",COUNTIF($F1363:$AJ1363,"P"))</f>
        <v/>
      </c>
      <c r="AL1363" s="34" t="str">
        <f aca="false">IF($B1363="","",COUNTIF($F1363:$AJ1363,"A"))</f>
        <v/>
      </c>
      <c r="AM1363" s="34" t="str">
        <f aca="false">IF($B1363="","",COUNTIF($F1363:$AJ1363,"HA"))</f>
        <v/>
      </c>
      <c r="AN1363" s="34" t="str">
        <f aca="false">IF($B1363="","",COUNTIF($F1363:$AJ1363,"L"))</f>
        <v/>
      </c>
      <c r="AO1363" s="34" t="str">
        <f aca="false">IF($B1363="","",COUNTIF($F1363:$AJ1363,"PL"))</f>
        <v/>
      </c>
      <c r="AP1363" s="34" t="str">
        <f aca="false">IF($B1363="","",COUNTIF($F1363:$AJ1363,"CL"))</f>
        <v/>
      </c>
      <c r="AQ1363" s="34" t="str">
        <f aca="false">IF($B1363="","",COUNTIF($F1363:$AJ1363,"SL"))</f>
        <v/>
      </c>
      <c r="AR1363" s="34" t="str">
        <f aca="false">IF($B1363="","",COUNTIF($F1363:$AJ1363,"CO"))</f>
        <v/>
      </c>
      <c r="AS1363" s="34" t="str">
        <f aca="false">IF($B1363="","",COUNTIF($F1363:$AJ1363,"HPL"))</f>
        <v/>
      </c>
      <c r="AT1363" s="34" t="str">
        <f aca="false">IF($B1363="","",COUNTIF($F1363:$AJ1363,"HCL"))</f>
        <v/>
      </c>
      <c r="AU1363" s="34" t="str">
        <f aca="false">IF($B1363="","",COUNTIF($F1363:$AJ1363,"WO"))</f>
        <v/>
      </c>
      <c r="AV1363" s="34" t="str">
        <f aca="false">IF($B1363="","",COUNTIF($F1363:$AJ1363,"PH"))</f>
        <v/>
      </c>
      <c r="AW1363" s="34" t="str">
        <f aca="false">IF($B1363="","",COUNTIF($F1363:$AJ1363,"TR"))</f>
        <v/>
      </c>
      <c r="AX1363" s="35" t="str">
        <f aca="false">IF($B1363="","",AO1363+AS1363/2)</f>
        <v/>
      </c>
      <c r="AY1363" s="35" t="str">
        <f aca="false">IF($B1363="","",AQ1363)</f>
        <v/>
      </c>
      <c r="AZ1363" s="35" t="str">
        <f aca="false">IF($B1363="","",AP1363+AT1363/2)</f>
        <v/>
      </c>
      <c r="BA1363" s="35" t="str">
        <f aca="false">IF($B1363="","",AK1363+AN1363+AM1363/2+AO1363+AP1363+AQ1363+AR1363+AS1363+AT1363+AU1363+AV1363+AW1363)</f>
        <v/>
      </c>
      <c r="BB1363" s="35" t="str">
        <f aca="false">IF($B1363="","",MAX(0,AN1363-Settings!$C$16)*Settings!$C$17)</f>
        <v/>
      </c>
      <c r="BC1363" s="35" t="str">
        <f aca="false">IF($B1363="","",BA1363-BB1363)</f>
        <v/>
      </c>
      <c r="BD1363" s="35" t="str">
        <f aca="false">IF(OR($B1363="",$A1363=""),"",DAY(EOMONTH($A1363,0))-COUNTA($F1363:$AJ1363))</f>
        <v/>
      </c>
    </row>
    <row r="1364" customFormat="false" ht="15" hidden="false" customHeight="false" outlineLevel="0" collapsed="false">
      <c r="A1364" s="32"/>
      <c r="B1364" s="29"/>
      <c r="C1364" s="10" t="str">
        <f aca="false">IF($B1364="","",IFERROR(INDEX(M_name,MATCH($B1364,M_emp,0)),"Code not found"))</f>
        <v/>
      </c>
      <c r="D1364" s="10" t="str">
        <f aca="false">IF($B1364="","",IFERROR(INDEX(M_dept,MATCH($B1364,M_emp,0)),""))</f>
        <v/>
      </c>
      <c r="E1364" s="10" t="str">
        <f aca="false">IF($B1364="","",IFERROR(INDEX(M_loc,MATCH($B1364,M_emp,0)),""))</f>
        <v/>
      </c>
      <c r="F1364" s="33"/>
      <c r="G1364" s="33"/>
      <c r="H1364" s="33"/>
      <c r="I1364" s="33"/>
      <c r="J1364" s="33"/>
      <c r="K1364" s="33"/>
      <c r="L1364" s="33"/>
      <c r="M1364" s="33"/>
      <c r="N1364" s="33"/>
      <c r="O1364" s="33"/>
      <c r="P1364" s="33"/>
      <c r="Q1364" s="33"/>
      <c r="R1364" s="33"/>
      <c r="S1364" s="33"/>
      <c r="T1364" s="33"/>
      <c r="U1364" s="33"/>
      <c r="V1364" s="33"/>
      <c r="W1364" s="33"/>
      <c r="X1364" s="33"/>
      <c r="Y1364" s="33"/>
      <c r="Z1364" s="33"/>
      <c r="AA1364" s="33"/>
      <c r="AB1364" s="33"/>
      <c r="AC1364" s="33"/>
      <c r="AD1364" s="33"/>
      <c r="AE1364" s="33"/>
      <c r="AF1364" s="33"/>
      <c r="AG1364" s="33"/>
      <c r="AH1364" s="33"/>
      <c r="AI1364" s="33"/>
      <c r="AJ1364" s="33"/>
      <c r="AK1364" s="34" t="str">
        <f aca="false">IF($B1364="","",COUNTIF($F1364:$AJ1364,"P"))</f>
        <v/>
      </c>
      <c r="AL1364" s="34" t="str">
        <f aca="false">IF($B1364="","",COUNTIF($F1364:$AJ1364,"A"))</f>
        <v/>
      </c>
      <c r="AM1364" s="34" t="str">
        <f aca="false">IF($B1364="","",COUNTIF($F1364:$AJ1364,"HA"))</f>
        <v/>
      </c>
      <c r="AN1364" s="34" t="str">
        <f aca="false">IF($B1364="","",COUNTIF($F1364:$AJ1364,"L"))</f>
        <v/>
      </c>
      <c r="AO1364" s="34" t="str">
        <f aca="false">IF($B1364="","",COUNTIF($F1364:$AJ1364,"PL"))</f>
        <v/>
      </c>
      <c r="AP1364" s="34" t="str">
        <f aca="false">IF($B1364="","",COUNTIF($F1364:$AJ1364,"CL"))</f>
        <v/>
      </c>
      <c r="AQ1364" s="34" t="str">
        <f aca="false">IF($B1364="","",COUNTIF($F1364:$AJ1364,"SL"))</f>
        <v/>
      </c>
      <c r="AR1364" s="34" t="str">
        <f aca="false">IF($B1364="","",COUNTIF($F1364:$AJ1364,"CO"))</f>
        <v/>
      </c>
      <c r="AS1364" s="34" t="str">
        <f aca="false">IF($B1364="","",COUNTIF($F1364:$AJ1364,"HPL"))</f>
        <v/>
      </c>
      <c r="AT1364" s="34" t="str">
        <f aca="false">IF($B1364="","",COUNTIF($F1364:$AJ1364,"HCL"))</f>
        <v/>
      </c>
      <c r="AU1364" s="34" t="str">
        <f aca="false">IF($B1364="","",COUNTIF($F1364:$AJ1364,"WO"))</f>
        <v/>
      </c>
      <c r="AV1364" s="34" t="str">
        <f aca="false">IF($B1364="","",COUNTIF($F1364:$AJ1364,"PH"))</f>
        <v/>
      </c>
      <c r="AW1364" s="34" t="str">
        <f aca="false">IF($B1364="","",COUNTIF($F1364:$AJ1364,"TR"))</f>
        <v/>
      </c>
      <c r="AX1364" s="35" t="str">
        <f aca="false">IF($B1364="","",AO1364+AS1364/2)</f>
        <v/>
      </c>
      <c r="AY1364" s="35" t="str">
        <f aca="false">IF($B1364="","",AQ1364)</f>
        <v/>
      </c>
      <c r="AZ1364" s="35" t="str">
        <f aca="false">IF($B1364="","",AP1364+AT1364/2)</f>
        <v/>
      </c>
      <c r="BA1364" s="35" t="str">
        <f aca="false">IF($B1364="","",AK1364+AN1364+AM1364/2+AO1364+AP1364+AQ1364+AR1364+AS1364+AT1364+AU1364+AV1364+AW1364)</f>
        <v/>
      </c>
      <c r="BB1364" s="35" t="str">
        <f aca="false">IF($B1364="","",MAX(0,AN1364-Settings!$C$16)*Settings!$C$17)</f>
        <v/>
      </c>
      <c r="BC1364" s="35" t="str">
        <f aca="false">IF($B1364="","",BA1364-BB1364)</f>
        <v/>
      </c>
      <c r="BD1364" s="35" t="str">
        <f aca="false">IF(OR($B1364="",$A1364=""),"",DAY(EOMONTH($A1364,0))-COUNTA($F1364:$AJ1364))</f>
        <v/>
      </c>
    </row>
    <row r="1365" customFormat="false" ht="15" hidden="false" customHeight="false" outlineLevel="0" collapsed="false">
      <c r="A1365" s="32"/>
      <c r="B1365" s="29"/>
      <c r="C1365" s="10" t="str">
        <f aca="false">IF($B1365="","",IFERROR(INDEX(M_name,MATCH($B1365,M_emp,0)),"Code not found"))</f>
        <v/>
      </c>
      <c r="D1365" s="10" t="str">
        <f aca="false">IF($B1365="","",IFERROR(INDEX(M_dept,MATCH($B1365,M_emp,0)),""))</f>
        <v/>
      </c>
      <c r="E1365" s="10" t="str">
        <f aca="false">IF($B1365="","",IFERROR(INDEX(M_loc,MATCH($B1365,M_emp,0)),""))</f>
        <v/>
      </c>
      <c r="F1365" s="33"/>
      <c r="G1365" s="33"/>
      <c r="H1365" s="33"/>
      <c r="I1365" s="33"/>
      <c r="J1365" s="33"/>
      <c r="K1365" s="33"/>
      <c r="L1365" s="33"/>
      <c r="M1365" s="33"/>
      <c r="N1365" s="33"/>
      <c r="O1365" s="33"/>
      <c r="P1365" s="33"/>
      <c r="Q1365" s="33"/>
      <c r="R1365" s="33"/>
      <c r="S1365" s="33"/>
      <c r="T1365" s="33"/>
      <c r="U1365" s="33"/>
      <c r="V1365" s="33"/>
      <c r="W1365" s="33"/>
      <c r="X1365" s="33"/>
      <c r="Y1365" s="33"/>
      <c r="Z1365" s="33"/>
      <c r="AA1365" s="33"/>
      <c r="AB1365" s="33"/>
      <c r="AC1365" s="33"/>
      <c r="AD1365" s="33"/>
      <c r="AE1365" s="33"/>
      <c r="AF1365" s="33"/>
      <c r="AG1365" s="33"/>
      <c r="AH1365" s="33"/>
      <c r="AI1365" s="33"/>
      <c r="AJ1365" s="33"/>
      <c r="AK1365" s="34" t="str">
        <f aca="false">IF($B1365="","",COUNTIF($F1365:$AJ1365,"P"))</f>
        <v/>
      </c>
      <c r="AL1365" s="34" t="str">
        <f aca="false">IF($B1365="","",COUNTIF($F1365:$AJ1365,"A"))</f>
        <v/>
      </c>
      <c r="AM1365" s="34" t="str">
        <f aca="false">IF($B1365="","",COUNTIF($F1365:$AJ1365,"HA"))</f>
        <v/>
      </c>
      <c r="AN1365" s="34" t="str">
        <f aca="false">IF($B1365="","",COUNTIF($F1365:$AJ1365,"L"))</f>
        <v/>
      </c>
      <c r="AO1365" s="34" t="str">
        <f aca="false">IF($B1365="","",COUNTIF($F1365:$AJ1365,"PL"))</f>
        <v/>
      </c>
      <c r="AP1365" s="34" t="str">
        <f aca="false">IF($B1365="","",COUNTIF($F1365:$AJ1365,"CL"))</f>
        <v/>
      </c>
      <c r="AQ1365" s="34" t="str">
        <f aca="false">IF($B1365="","",COUNTIF($F1365:$AJ1365,"SL"))</f>
        <v/>
      </c>
      <c r="AR1365" s="34" t="str">
        <f aca="false">IF($B1365="","",COUNTIF($F1365:$AJ1365,"CO"))</f>
        <v/>
      </c>
      <c r="AS1365" s="34" t="str">
        <f aca="false">IF($B1365="","",COUNTIF($F1365:$AJ1365,"HPL"))</f>
        <v/>
      </c>
      <c r="AT1365" s="34" t="str">
        <f aca="false">IF($B1365="","",COUNTIF($F1365:$AJ1365,"HCL"))</f>
        <v/>
      </c>
      <c r="AU1365" s="34" t="str">
        <f aca="false">IF($B1365="","",COUNTIF($F1365:$AJ1365,"WO"))</f>
        <v/>
      </c>
      <c r="AV1365" s="34" t="str">
        <f aca="false">IF($B1365="","",COUNTIF($F1365:$AJ1365,"PH"))</f>
        <v/>
      </c>
      <c r="AW1365" s="34" t="str">
        <f aca="false">IF($B1365="","",COUNTIF($F1365:$AJ1365,"TR"))</f>
        <v/>
      </c>
      <c r="AX1365" s="35" t="str">
        <f aca="false">IF($B1365="","",AO1365+AS1365/2)</f>
        <v/>
      </c>
      <c r="AY1365" s="35" t="str">
        <f aca="false">IF($B1365="","",AQ1365)</f>
        <v/>
      </c>
      <c r="AZ1365" s="35" t="str">
        <f aca="false">IF($B1365="","",AP1365+AT1365/2)</f>
        <v/>
      </c>
      <c r="BA1365" s="35" t="str">
        <f aca="false">IF($B1365="","",AK1365+AN1365+AM1365/2+AO1365+AP1365+AQ1365+AR1365+AS1365+AT1365+AU1365+AV1365+AW1365)</f>
        <v/>
      </c>
      <c r="BB1365" s="35" t="str">
        <f aca="false">IF($B1365="","",MAX(0,AN1365-Settings!$C$16)*Settings!$C$17)</f>
        <v/>
      </c>
      <c r="BC1365" s="35" t="str">
        <f aca="false">IF($B1365="","",BA1365-BB1365)</f>
        <v/>
      </c>
      <c r="BD1365" s="35" t="str">
        <f aca="false">IF(OR($B1365="",$A1365=""),"",DAY(EOMONTH($A1365,0))-COUNTA($F1365:$AJ1365))</f>
        <v/>
      </c>
    </row>
    <row r="1366" customFormat="false" ht="15" hidden="false" customHeight="false" outlineLevel="0" collapsed="false">
      <c r="A1366" s="32"/>
      <c r="B1366" s="29"/>
      <c r="C1366" s="10" t="str">
        <f aca="false">IF($B1366="","",IFERROR(INDEX(M_name,MATCH($B1366,M_emp,0)),"Code not found"))</f>
        <v/>
      </c>
      <c r="D1366" s="10" t="str">
        <f aca="false">IF($B1366="","",IFERROR(INDEX(M_dept,MATCH($B1366,M_emp,0)),""))</f>
        <v/>
      </c>
      <c r="E1366" s="10" t="str">
        <f aca="false">IF($B1366="","",IFERROR(INDEX(M_loc,MATCH($B1366,M_emp,0)),""))</f>
        <v/>
      </c>
      <c r="F1366" s="33"/>
      <c r="G1366" s="33"/>
      <c r="H1366" s="33"/>
      <c r="I1366" s="33"/>
      <c r="J1366" s="33"/>
      <c r="K1366" s="33"/>
      <c r="L1366" s="33"/>
      <c r="M1366" s="33"/>
      <c r="N1366" s="33"/>
      <c r="O1366" s="33"/>
      <c r="P1366" s="33"/>
      <c r="Q1366" s="33"/>
      <c r="R1366" s="33"/>
      <c r="S1366" s="33"/>
      <c r="T1366" s="33"/>
      <c r="U1366" s="33"/>
      <c r="V1366" s="33"/>
      <c r="W1366" s="33"/>
      <c r="X1366" s="33"/>
      <c r="Y1366" s="33"/>
      <c r="Z1366" s="33"/>
      <c r="AA1366" s="33"/>
      <c r="AB1366" s="33"/>
      <c r="AC1366" s="33"/>
      <c r="AD1366" s="33"/>
      <c r="AE1366" s="33"/>
      <c r="AF1366" s="33"/>
      <c r="AG1366" s="33"/>
      <c r="AH1366" s="33"/>
      <c r="AI1366" s="33"/>
      <c r="AJ1366" s="33"/>
      <c r="AK1366" s="34" t="str">
        <f aca="false">IF($B1366="","",COUNTIF($F1366:$AJ1366,"P"))</f>
        <v/>
      </c>
      <c r="AL1366" s="34" t="str">
        <f aca="false">IF($B1366="","",COUNTIF($F1366:$AJ1366,"A"))</f>
        <v/>
      </c>
      <c r="AM1366" s="34" t="str">
        <f aca="false">IF($B1366="","",COUNTIF($F1366:$AJ1366,"HA"))</f>
        <v/>
      </c>
      <c r="AN1366" s="34" t="str">
        <f aca="false">IF($B1366="","",COUNTIF($F1366:$AJ1366,"L"))</f>
        <v/>
      </c>
      <c r="AO1366" s="34" t="str">
        <f aca="false">IF($B1366="","",COUNTIF($F1366:$AJ1366,"PL"))</f>
        <v/>
      </c>
      <c r="AP1366" s="34" t="str">
        <f aca="false">IF($B1366="","",COUNTIF($F1366:$AJ1366,"CL"))</f>
        <v/>
      </c>
      <c r="AQ1366" s="34" t="str">
        <f aca="false">IF($B1366="","",COUNTIF($F1366:$AJ1366,"SL"))</f>
        <v/>
      </c>
      <c r="AR1366" s="34" t="str">
        <f aca="false">IF($B1366="","",COUNTIF($F1366:$AJ1366,"CO"))</f>
        <v/>
      </c>
      <c r="AS1366" s="34" t="str">
        <f aca="false">IF($B1366="","",COUNTIF($F1366:$AJ1366,"HPL"))</f>
        <v/>
      </c>
      <c r="AT1366" s="34" t="str">
        <f aca="false">IF($B1366="","",COUNTIF($F1366:$AJ1366,"HCL"))</f>
        <v/>
      </c>
      <c r="AU1366" s="34" t="str">
        <f aca="false">IF($B1366="","",COUNTIF($F1366:$AJ1366,"WO"))</f>
        <v/>
      </c>
      <c r="AV1366" s="34" t="str">
        <f aca="false">IF($B1366="","",COUNTIF($F1366:$AJ1366,"PH"))</f>
        <v/>
      </c>
      <c r="AW1366" s="34" t="str">
        <f aca="false">IF($B1366="","",COUNTIF($F1366:$AJ1366,"TR"))</f>
        <v/>
      </c>
      <c r="AX1366" s="35" t="str">
        <f aca="false">IF($B1366="","",AO1366+AS1366/2)</f>
        <v/>
      </c>
      <c r="AY1366" s="35" t="str">
        <f aca="false">IF($B1366="","",AQ1366)</f>
        <v/>
      </c>
      <c r="AZ1366" s="35" t="str">
        <f aca="false">IF($B1366="","",AP1366+AT1366/2)</f>
        <v/>
      </c>
      <c r="BA1366" s="35" t="str">
        <f aca="false">IF($B1366="","",AK1366+AN1366+AM1366/2+AO1366+AP1366+AQ1366+AR1366+AS1366+AT1366+AU1366+AV1366+AW1366)</f>
        <v/>
      </c>
      <c r="BB1366" s="35" t="str">
        <f aca="false">IF($B1366="","",MAX(0,AN1366-Settings!$C$16)*Settings!$C$17)</f>
        <v/>
      </c>
      <c r="BC1366" s="35" t="str">
        <f aca="false">IF($B1366="","",BA1366-BB1366)</f>
        <v/>
      </c>
      <c r="BD1366" s="35" t="str">
        <f aca="false">IF(OR($B1366="",$A1366=""),"",DAY(EOMONTH($A1366,0))-COUNTA($F1366:$AJ1366))</f>
        <v/>
      </c>
    </row>
    <row r="1367" customFormat="false" ht="15" hidden="false" customHeight="false" outlineLevel="0" collapsed="false">
      <c r="A1367" s="32"/>
      <c r="B1367" s="29"/>
      <c r="C1367" s="10" t="str">
        <f aca="false">IF($B1367="","",IFERROR(INDEX(M_name,MATCH($B1367,M_emp,0)),"Code not found"))</f>
        <v/>
      </c>
      <c r="D1367" s="10" t="str">
        <f aca="false">IF($B1367="","",IFERROR(INDEX(M_dept,MATCH($B1367,M_emp,0)),""))</f>
        <v/>
      </c>
      <c r="E1367" s="10" t="str">
        <f aca="false">IF($B1367="","",IFERROR(INDEX(M_loc,MATCH($B1367,M_emp,0)),""))</f>
        <v/>
      </c>
      <c r="F1367" s="33"/>
      <c r="G1367" s="33"/>
      <c r="H1367" s="33"/>
      <c r="I1367" s="33"/>
      <c r="J1367" s="33"/>
      <c r="K1367" s="33"/>
      <c r="L1367" s="33"/>
      <c r="M1367" s="33"/>
      <c r="N1367" s="33"/>
      <c r="O1367" s="33"/>
      <c r="P1367" s="33"/>
      <c r="Q1367" s="33"/>
      <c r="R1367" s="33"/>
      <c r="S1367" s="33"/>
      <c r="T1367" s="33"/>
      <c r="U1367" s="33"/>
      <c r="V1367" s="33"/>
      <c r="W1367" s="33"/>
      <c r="X1367" s="33"/>
      <c r="Y1367" s="33"/>
      <c r="Z1367" s="33"/>
      <c r="AA1367" s="33"/>
      <c r="AB1367" s="33"/>
      <c r="AC1367" s="33"/>
      <c r="AD1367" s="33"/>
      <c r="AE1367" s="33"/>
      <c r="AF1367" s="33"/>
      <c r="AG1367" s="33"/>
      <c r="AH1367" s="33"/>
      <c r="AI1367" s="33"/>
      <c r="AJ1367" s="33"/>
      <c r="AK1367" s="34" t="str">
        <f aca="false">IF($B1367="","",COUNTIF($F1367:$AJ1367,"P"))</f>
        <v/>
      </c>
      <c r="AL1367" s="34" t="str">
        <f aca="false">IF($B1367="","",COUNTIF($F1367:$AJ1367,"A"))</f>
        <v/>
      </c>
      <c r="AM1367" s="34" t="str">
        <f aca="false">IF($B1367="","",COUNTIF($F1367:$AJ1367,"HA"))</f>
        <v/>
      </c>
      <c r="AN1367" s="34" t="str">
        <f aca="false">IF($B1367="","",COUNTIF($F1367:$AJ1367,"L"))</f>
        <v/>
      </c>
      <c r="AO1367" s="34" t="str">
        <f aca="false">IF($B1367="","",COUNTIF($F1367:$AJ1367,"PL"))</f>
        <v/>
      </c>
      <c r="AP1367" s="34" t="str">
        <f aca="false">IF($B1367="","",COUNTIF($F1367:$AJ1367,"CL"))</f>
        <v/>
      </c>
      <c r="AQ1367" s="34" t="str">
        <f aca="false">IF($B1367="","",COUNTIF($F1367:$AJ1367,"SL"))</f>
        <v/>
      </c>
      <c r="AR1367" s="34" t="str">
        <f aca="false">IF($B1367="","",COUNTIF($F1367:$AJ1367,"CO"))</f>
        <v/>
      </c>
      <c r="AS1367" s="34" t="str">
        <f aca="false">IF($B1367="","",COUNTIF($F1367:$AJ1367,"HPL"))</f>
        <v/>
      </c>
      <c r="AT1367" s="34" t="str">
        <f aca="false">IF($B1367="","",COUNTIF($F1367:$AJ1367,"HCL"))</f>
        <v/>
      </c>
      <c r="AU1367" s="34" t="str">
        <f aca="false">IF($B1367="","",COUNTIF($F1367:$AJ1367,"WO"))</f>
        <v/>
      </c>
      <c r="AV1367" s="34" t="str">
        <f aca="false">IF($B1367="","",COUNTIF($F1367:$AJ1367,"PH"))</f>
        <v/>
      </c>
      <c r="AW1367" s="34" t="str">
        <f aca="false">IF($B1367="","",COUNTIF($F1367:$AJ1367,"TR"))</f>
        <v/>
      </c>
      <c r="AX1367" s="35" t="str">
        <f aca="false">IF($B1367="","",AO1367+AS1367/2)</f>
        <v/>
      </c>
      <c r="AY1367" s="35" t="str">
        <f aca="false">IF($B1367="","",AQ1367)</f>
        <v/>
      </c>
      <c r="AZ1367" s="35" t="str">
        <f aca="false">IF($B1367="","",AP1367+AT1367/2)</f>
        <v/>
      </c>
      <c r="BA1367" s="35" t="str">
        <f aca="false">IF($B1367="","",AK1367+AN1367+AM1367/2+AO1367+AP1367+AQ1367+AR1367+AS1367+AT1367+AU1367+AV1367+AW1367)</f>
        <v/>
      </c>
      <c r="BB1367" s="35" t="str">
        <f aca="false">IF($B1367="","",MAX(0,AN1367-Settings!$C$16)*Settings!$C$17)</f>
        <v/>
      </c>
      <c r="BC1367" s="35" t="str">
        <f aca="false">IF($B1367="","",BA1367-BB1367)</f>
        <v/>
      </c>
      <c r="BD1367" s="35" t="str">
        <f aca="false">IF(OR($B1367="",$A1367=""),"",DAY(EOMONTH($A1367,0))-COUNTA($F1367:$AJ1367))</f>
        <v/>
      </c>
    </row>
    <row r="1368" customFormat="false" ht="15" hidden="false" customHeight="false" outlineLevel="0" collapsed="false">
      <c r="A1368" s="32"/>
      <c r="B1368" s="29"/>
      <c r="C1368" s="10" t="str">
        <f aca="false">IF($B1368="","",IFERROR(INDEX(M_name,MATCH($B1368,M_emp,0)),"Code not found"))</f>
        <v/>
      </c>
      <c r="D1368" s="10" t="str">
        <f aca="false">IF($B1368="","",IFERROR(INDEX(M_dept,MATCH($B1368,M_emp,0)),""))</f>
        <v/>
      </c>
      <c r="E1368" s="10" t="str">
        <f aca="false">IF($B1368="","",IFERROR(INDEX(M_loc,MATCH($B1368,M_emp,0)),""))</f>
        <v/>
      </c>
      <c r="F1368" s="33"/>
      <c r="G1368" s="33"/>
      <c r="H1368" s="33"/>
      <c r="I1368" s="33"/>
      <c r="J1368" s="33"/>
      <c r="K1368" s="33"/>
      <c r="L1368" s="33"/>
      <c r="M1368" s="33"/>
      <c r="N1368" s="33"/>
      <c r="O1368" s="33"/>
      <c r="P1368" s="33"/>
      <c r="Q1368" s="33"/>
      <c r="R1368" s="33"/>
      <c r="S1368" s="33"/>
      <c r="T1368" s="33"/>
      <c r="U1368" s="33"/>
      <c r="V1368" s="33"/>
      <c r="W1368" s="33"/>
      <c r="X1368" s="33"/>
      <c r="Y1368" s="33"/>
      <c r="Z1368" s="33"/>
      <c r="AA1368" s="33"/>
      <c r="AB1368" s="33"/>
      <c r="AC1368" s="33"/>
      <c r="AD1368" s="33"/>
      <c r="AE1368" s="33"/>
      <c r="AF1368" s="33"/>
      <c r="AG1368" s="33"/>
      <c r="AH1368" s="33"/>
      <c r="AI1368" s="33"/>
      <c r="AJ1368" s="33"/>
      <c r="AK1368" s="34" t="str">
        <f aca="false">IF($B1368="","",COUNTIF($F1368:$AJ1368,"P"))</f>
        <v/>
      </c>
      <c r="AL1368" s="34" t="str">
        <f aca="false">IF($B1368="","",COUNTIF($F1368:$AJ1368,"A"))</f>
        <v/>
      </c>
      <c r="AM1368" s="34" t="str">
        <f aca="false">IF($B1368="","",COUNTIF($F1368:$AJ1368,"HA"))</f>
        <v/>
      </c>
      <c r="AN1368" s="34" t="str">
        <f aca="false">IF($B1368="","",COUNTIF($F1368:$AJ1368,"L"))</f>
        <v/>
      </c>
      <c r="AO1368" s="34" t="str">
        <f aca="false">IF($B1368="","",COUNTIF($F1368:$AJ1368,"PL"))</f>
        <v/>
      </c>
      <c r="AP1368" s="34" t="str">
        <f aca="false">IF($B1368="","",COUNTIF($F1368:$AJ1368,"CL"))</f>
        <v/>
      </c>
      <c r="AQ1368" s="34" t="str">
        <f aca="false">IF($B1368="","",COUNTIF($F1368:$AJ1368,"SL"))</f>
        <v/>
      </c>
      <c r="AR1368" s="34" t="str">
        <f aca="false">IF($B1368="","",COUNTIF($F1368:$AJ1368,"CO"))</f>
        <v/>
      </c>
      <c r="AS1368" s="34" t="str">
        <f aca="false">IF($B1368="","",COUNTIF($F1368:$AJ1368,"HPL"))</f>
        <v/>
      </c>
      <c r="AT1368" s="34" t="str">
        <f aca="false">IF($B1368="","",COUNTIF($F1368:$AJ1368,"HCL"))</f>
        <v/>
      </c>
      <c r="AU1368" s="34" t="str">
        <f aca="false">IF($B1368="","",COUNTIF($F1368:$AJ1368,"WO"))</f>
        <v/>
      </c>
      <c r="AV1368" s="34" t="str">
        <f aca="false">IF($B1368="","",COUNTIF($F1368:$AJ1368,"PH"))</f>
        <v/>
      </c>
      <c r="AW1368" s="34" t="str">
        <f aca="false">IF($B1368="","",COUNTIF($F1368:$AJ1368,"TR"))</f>
        <v/>
      </c>
      <c r="AX1368" s="35" t="str">
        <f aca="false">IF($B1368="","",AO1368+AS1368/2)</f>
        <v/>
      </c>
      <c r="AY1368" s="35" t="str">
        <f aca="false">IF($B1368="","",AQ1368)</f>
        <v/>
      </c>
      <c r="AZ1368" s="35" t="str">
        <f aca="false">IF($B1368="","",AP1368+AT1368/2)</f>
        <v/>
      </c>
      <c r="BA1368" s="35" t="str">
        <f aca="false">IF($B1368="","",AK1368+AN1368+AM1368/2+AO1368+AP1368+AQ1368+AR1368+AS1368+AT1368+AU1368+AV1368+AW1368)</f>
        <v/>
      </c>
      <c r="BB1368" s="35" t="str">
        <f aca="false">IF($B1368="","",MAX(0,AN1368-Settings!$C$16)*Settings!$C$17)</f>
        <v/>
      </c>
      <c r="BC1368" s="35" t="str">
        <f aca="false">IF($B1368="","",BA1368-BB1368)</f>
        <v/>
      </c>
      <c r="BD1368" s="35" t="str">
        <f aca="false">IF(OR($B1368="",$A1368=""),"",DAY(EOMONTH($A1368,0))-COUNTA($F1368:$AJ1368))</f>
        <v/>
      </c>
    </row>
    <row r="1369" customFormat="false" ht="15" hidden="false" customHeight="false" outlineLevel="0" collapsed="false">
      <c r="A1369" s="32"/>
      <c r="B1369" s="29"/>
      <c r="C1369" s="10" t="str">
        <f aca="false">IF($B1369="","",IFERROR(INDEX(M_name,MATCH($B1369,M_emp,0)),"Code not found"))</f>
        <v/>
      </c>
      <c r="D1369" s="10" t="str">
        <f aca="false">IF($B1369="","",IFERROR(INDEX(M_dept,MATCH($B1369,M_emp,0)),""))</f>
        <v/>
      </c>
      <c r="E1369" s="10" t="str">
        <f aca="false">IF($B1369="","",IFERROR(INDEX(M_loc,MATCH($B1369,M_emp,0)),""))</f>
        <v/>
      </c>
      <c r="F1369" s="33"/>
      <c r="G1369" s="33"/>
      <c r="H1369" s="33"/>
      <c r="I1369" s="33"/>
      <c r="J1369" s="33"/>
      <c r="K1369" s="33"/>
      <c r="L1369" s="33"/>
      <c r="M1369" s="33"/>
      <c r="N1369" s="33"/>
      <c r="O1369" s="33"/>
      <c r="P1369" s="33"/>
      <c r="Q1369" s="33"/>
      <c r="R1369" s="33"/>
      <c r="S1369" s="33"/>
      <c r="T1369" s="33"/>
      <c r="U1369" s="33"/>
      <c r="V1369" s="33"/>
      <c r="W1369" s="33"/>
      <c r="X1369" s="33"/>
      <c r="Y1369" s="33"/>
      <c r="Z1369" s="33"/>
      <c r="AA1369" s="33"/>
      <c r="AB1369" s="33"/>
      <c r="AC1369" s="33"/>
      <c r="AD1369" s="33"/>
      <c r="AE1369" s="33"/>
      <c r="AF1369" s="33"/>
      <c r="AG1369" s="33"/>
      <c r="AH1369" s="33"/>
      <c r="AI1369" s="33"/>
      <c r="AJ1369" s="33"/>
      <c r="AK1369" s="34" t="str">
        <f aca="false">IF($B1369="","",COUNTIF($F1369:$AJ1369,"P"))</f>
        <v/>
      </c>
      <c r="AL1369" s="34" t="str">
        <f aca="false">IF($B1369="","",COUNTIF($F1369:$AJ1369,"A"))</f>
        <v/>
      </c>
      <c r="AM1369" s="34" t="str">
        <f aca="false">IF($B1369="","",COUNTIF($F1369:$AJ1369,"HA"))</f>
        <v/>
      </c>
      <c r="AN1369" s="34" t="str">
        <f aca="false">IF($B1369="","",COUNTIF($F1369:$AJ1369,"L"))</f>
        <v/>
      </c>
      <c r="AO1369" s="34" t="str">
        <f aca="false">IF($B1369="","",COUNTIF($F1369:$AJ1369,"PL"))</f>
        <v/>
      </c>
      <c r="AP1369" s="34" t="str">
        <f aca="false">IF($B1369="","",COUNTIF($F1369:$AJ1369,"CL"))</f>
        <v/>
      </c>
      <c r="AQ1369" s="34" t="str">
        <f aca="false">IF($B1369="","",COUNTIF($F1369:$AJ1369,"SL"))</f>
        <v/>
      </c>
      <c r="AR1369" s="34" t="str">
        <f aca="false">IF($B1369="","",COUNTIF($F1369:$AJ1369,"CO"))</f>
        <v/>
      </c>
      <c r="AS1369" s="34" t="str">
        <f aca="false">IF($B1369="","",COUNTIF($F1369:$AJ1369,"HPL"))</f>
        <v/>
      </c>
      <c r="AT1369" s="34" t="str">
        <f aca="false">IF($B1369="","",COUNTIF($F1369:$AJ1369,"HCL"))</f>
        <v/>
      </c>
      <c r="AU1369" s="34" t="str">
        <f aca="false">IF($B1369="","",COUNTIF($F1369:$AJ1369,"WO"))</f>
        <v/>
      </c>
      <c r="AV1369" s="34" t="str">
        <f aca="false">IF($B1369="","",COUNTIF($F1369:$AJ1369,"PH"))</f>
        <v/>
      </c>
      <c r="AW1369" s="34" t="str">
        <f aca="false">IF($B1369="","",COUNTIF($F1369:$AJ1369,"TR"))</f>
        <v/>
      </c>
      <c r="AX1369" s="35" t="str">
        <f aca="false">IF($B1369="","",AO1369+AS1369/2)</f>
        <v/>
      </c>
      <c r="AY1369" s="35" t="str">
        <f aca="false">IF($B1369="","",AQ1369)</f>
        <v/>
      </c>
      <c r="AZ1369" s="35" t="str">
        <f aca="false">IF($B1369="","",AP1369+AT1369/2)</f>
        <v/>
      </c>
      <c r="BA1369" s="35" t="str">
        <f aca="false">IF($B1369="","",AK1369+AN1369+AM1369/2+AO1369+AP1369+AQ1369+AR1369+AS1369+AT1369+AU1369+AV1369+AW1369)</f>
        <v/>
      </c>
      <c r="BB1369" s="35" t="str">
        <f aca="false">IF($B1369="","",MAX(0,AN1369-Settings!$C$16)*Settings!$C$17)</f>
        <v/>
      </c>
      <c r="BC1369" s="35" t="str">
        <f aca="false">IF($B1369="","",BA1369-BB1369)</f>
        <v/>
      </c>
      <c r="BD1369" s="35" t="str">
        <f aca="false">IF(OR($B1369="",$A1369=""),"",DAY(EOMONTH($A1369,0))-COUNTA($F1369:$AJ1369))</f>
        <v/>
      </c>
    </row>
    <row r="1370" customFormat="false" ht="15" hidden="false" customHeight="false" outlineLevel="0" collapsed="false">
      <c r="A1370" s="32"/>
      <c r="B1370" s="29"/>
      <c r="C1370" s="10" t="str">
        <f aca="false">IF($B1370="","",IFERROR(INDEX(M_name,MATCH($B1370,M_emp,0)),"Code not found"))</f>
        <v/>
      </c>
      <c r="D1370" s="10" t="str">
        <f aca="false">IF($B1370="","",IFERROR(INDEX(M_dept,MATCH($B1370,M_emp,0)),""))</f>
        <v/>
      </c>
      <c r="E1370" s="10" t="str">
        <f aca="false">IF($B1370="","",IFERROR(INDEX(M_loc,MATCH($B1370,M_emp,0)),""))</f>
        <v/>
      </c>
      <c r="F1370" s="33"/>
      <c r="G1370" s="33"/>
      <c r="H1370" s="33"/>
      <c r="I1370" s="33"/>
      <c r="J1370" s="33"/>
      <c r="K1370" s="33"/>
      <c r="L1370" s="33"/>
      <c r="M1370" s="33"/>
      <c r="N1370" s="33"/>
      <c r="O1370" s="33"/>
      <c r="P1370" s="33"/>
      <c r="Q1370" s="33"/>
      <c r="R1370" s="33"/>
      <c r="S1370" s="33"/>
      <c r="T1370" s="33"/>
      <c r="U1370" s="33"/>
      <c r="V1370" s="33"/>
      <c r="W1370" s="33"/>
      <c r="X1370" s="33"/>
      <c r="Y1370" s="33"/>
      <c r="Z1370" s="33"/>
      <c r="AA1370" s="33"/>
      <c r="AB1370" s="33"/>
      <c r="AC1370" s="33"/>
      <c r="AD1370" s="33"/>
      <c r="AE1370" s="33"/>
      <c r="AF1370" s="33"/>
      <c r="AG1370" s="33"/>
      <c r="AH1370" s="33"/>
      <c r="AI1370" s="33"/>
      <c r="AJ1370" s="33"/>
      <c r="AK1370" s="34" t="str">
        <f aca="false">IF($B1370="","",COUNTIF($F1370:$AJ1370,"P"))</f>
        <v/>
      </c>
      <c r="AL1370" s="34" t="str">
        <f aca="false">IF($B1370="","",COUNTIF($F1370:$AJ1370,"A"))</f>
        <v/>
      </c>
      <c r="AM1370" s="34" t="str">
        <f aca="false">IF($B1370="","",COUNTIF($F1370:$AJ1370,"HA"))</f>
        <v/>
      </c>
      <c r="AN1370" s="34" t="str">
        <f aca="false">IF($B1370="","",COUNTIF($F1370:$AJ1370,"L"))</f>
        <v/>
      </c>
      <c r="AO1370" s="34" t="str">
        <f aca="false">IF($B1370="","",COUNTIF($F1370:$AJ1370,"PL"))</f>
        <v/>
      </c>
      <c r="AP1370" s="34" t="str">
        <f aca="false">IF($B1370="","",COUNTIF($F1370:$AJ1370,"CL"))</f>
        <v/>
      </c>
      <c r="AQ1370" s="34" t="str">
        <f aca="false">IF($B1370="","",COUNTIF($F1370:$AJ1370,"SL"))</f>
        <v/>
      </c>
      <c r="AR1370" s="34" t="str">
        <f aca="false">IF($B1370="","",COUNTIF($F1370:$AJ1370,"CO"))</f>
        <v/>
      </c>
      <c r="AS1370" s="34" t="str">
        <f aca="false">IF($B1370="","",COUNTIF($F1370:$AJ1370,"HPL"))</f>
        <v/>
      </c>
      <c r="AT1370" s="34" t="str">
        <f aca="false">IF($B1370="","",COUNTIF($F1370:$AJ1370,"HCL"))</f>
        <v/>
      </c>
      <c r="AU1370" s="34" t="str">
        <f aca="false">IF($B1370="","",COUNTIF($F1370:$AJ1370,"WO"))</f>
        <v/>
      </c>
      <c r="AV1370" s="34" t="str">
        <f aca="false">IF($B1370="","",COUNTIF($F1370:$AJ1370,"PH"))</f>
        <v/>
      </c>
      <c r="AW1370" s="34" t="str">
        <f aca="false">IF($B1370="","",COUNTIF($F1370:$AJ1370,"TR"))</f>
        <v/>
      </c>
      <c r="AX1370" s="35" t="str">
        <f aca="false">IF($B1370="","",AO1370+AS1370/2)</f>
        <v/>
      </c>
      <c r="AY1370" s="35" t="str">
        <f aca="false">IF($B1370="","",AQ1370)</f>
        <v/>
      </c>
      <c r="AZ1370" s="35" t="str">
        <f aca="false">IF($B1370="","",AP1370+AT1370/2)</f>
        <v/>
      </c>
      <c r="BA1370" s="35" t="str">
        <f aca="false">IF($B1370="","",AK1370+AN1370+AM1370/2+AO1370+AP1370+AQ1370+AR1370+AS1370+AT1370+AU1370+AV1370+AW1370)</f>
        <v/>
      </c>
      <c r="BB1370" s="35" t="str">
        <f aca="false">IF($B1370="","",MAX(0,AN1370-Settings!$C$16)*Settings!$C$17)</f>
        <v/>
      </c>
      <c r="BC1370" s="35" t="str">
        <f aca="false">IF($B1370="","",BA1370-BB1370)</f>
        <v/>
      </c>
      <c r="BD1370" s="35" t="str">
        <f aca="false">IF(OR($B1370="",$A1370=""),"",DAY(EOMONTH($A1370,0))-COUNTA($F1370:$AJ1370))</f>
        <v/>
      </c>
    </row>
    <row r="1371" customFormat="false" ht="15" hidden="false" customHeight="false" outlineLevel="0" collapsed="false">
      <c r="A1371" s="32"/>
      <c r="B1371" s="29"/>
      <c r="C1371" s="10" t="str">
        <f aca="false">IF($B1371="","",IFERROR(INDEX(M_name,MATCH($B1371,M_emp,0)),"Code not found"))</f>
        <v/>
      </c>
      <c r="D1371" s="10" t="str">
        <f aca="false">IF($B1371="","",IFERROR(INDEX(M_dept,MATCH($B1371,M_emp,0)),""))</f>
        <v/>
      </c>
      <c r="E1371" s="10" t="str">
        <f aca="false">IF($B1371="","",IFERROR(INDEX(M_loc,MATCH($B1371,M_emp,0)),""))</f>
        <v/>
      </c>
      <c r="F1371" s="33"/>
      <c r="G1371" s="33"/>
      <c r="H1371" s="33"/>
      <c r="I1371" s="33"/>
      <c r="J1371" s="33"/>
      <c r="K1371" s="33"/>
      <c r="L1371" s="33"/>
      <c r="M1371" s="33"/>
      <c r="N1371" s="33"/>
      <c r="O1371" s="33"/>
      <c r="P1371" s="33"/>
      <c r="Q1371" s="33"/>
      <c r="R1371" s="33"/>
      <c r="S1371" s="33"/>
      <c r="T1371" s="33"/>
      <c r="U1371" s="33"/>
      <c r="V1371" s="33"/>
      <c r="W1371" s="33"/>
      <c r="X1371" s="33"/>
      <c r="Y1371" s="33"/>
      <c r="Z1371" s="33"/>
      <c r="AA1371" s="33"/>
      <c r="AB1371" s="33"/>
      <c r="AC1371" s="33"/>
      <c r="AD1371" s="33"/>
      <c r="AE1371" s="33"/>
      <c r="AF1371" s="33"/>
      <c r="AG1371" s="33"/>
      <c r="AH1371" s="33"/>
      <c r="AI1371" s="33"/>
      <c r="AJ1371" s="33"/>
      <c r="AK1371" s="34" t="str">
        <f aca="false">IF($B1371="","",COUNTIF($F1371:$AJ1371,"P"))</f>
        <v/>
      </c>
      <c r="AL1371" s="34" t="str">
        <f aca="false">IF($B1371="","",COUNTIF($F1371:$AJ1371,"A"))</f>
        <v/>
      </c>
      <c r="AM1371" s="34" t="str">
        <f aca="false">IF($B1371="","",COUNTIF($F1371:$AJ1371,"HA"))</f>
        <v/>
      </c>
      <c r="AN1371" s="34" t="str">
        <f aca="false">IF($B1371="","",COUNTIF($F1371:$AJ1371,"L"))</f>
        <v/>
      </c>
      <c r="AO1371" s="34" t="str">
        <f aca="false">IF($B1371="","",COUNTIF($F1371:$AJ1371,"PL"))</f>
        <v/>
      </c>
      <c r="AP1371" s="34" t="str">
        <f aca="false">IF($B1371="","",COUNTIF($F1371:$AJ1371,"CL"))</f>
        <v/>
      </c>
      <c r="AQ1371" s="34" t="str">
        <f aca="false">IF($B1371="","",COUNTIF($F1371:$AJ1371,"SL"))</f>
        <v/>
      </c>
      <c r="AR1371" s="34" t="str">
        <f aca="false">IF($B1371="","",COUNTIF($F1371:$AJ1371,"CO"))</f>
        <v/>
      </c>
      <c r="AS1371" s="34" t="str">
        <f aca="false">IF($B1371="","",COUNTIF($F1371:$AJ1371,"HPL"))</f>
        <v/>
      </c>
      <c r="AT1371" s="34" t="str">
        <f aca="false">IF($B1371="","",COUNTIF($F1371:$AJ1371,"HCL"))</f>
        <v/>
      </c>
      <c r="AU1371" s="34" t="str">
        <f aca="false">IF($B1371="","",COUNTIF($F1371:$AJ1371,"WO"))</f>
        <v/>
      </c>
      <c r="AV1371" s="34" t="str">
        <f aca="false">IF($B1371="","",COUNTIF($F1371:$AJ1371,"PH"))</f>
        <v/>
      </c>
      <c r="AW1371" s="34" t="str">
        <f aca="false">IF($B1371="","",COUNTIF($F1371:$AJ1371,"TR"))</f>
        <v/>
      </c>
      <c r="AX1371" s="35" t="str">
        <f aca="false">IF($B1371="","",AO1371+AS1371/2)</f>
        <v/>
      </c>
      <c r="AY1371" s="35" t="str">
        <f aca="false">IF($B1371="","",AQ1371)</f>
        <v/>
      </c>
      <c r="AZ1371" s="35" t="str">
        <f aca="false">IF($B1371="","",AP1371+AT1371/2)</f>
        <v/>
      </c>
      <c r="BA1371" s="35" t="str">
        <f aca="false">IF($B1371="","",AK1371+AN1371+AM1371/2+AO1371+AP1371+AQ1371+AR1371+AS1371+AT1371+AU1371+AV1371+AW1371)</f>
        <v/>
      </c>
      <c r="BB1371" s="35" t="str">
        <f aca="false">IF($B1371="","",MAX(0,AN1371-Settings!$C$16)*Settings!$C$17)</f>
        <v/>
      </c>
      <c r="BC1371" s="35" t="str">
        <f aca="false">IF($B1371="","",BA1371-BB1371)</f>
        <v/>
      </c>
      <c r="BD1371" s="35" t="str">
        <f aca="false">IF(OR($B1371="",$A1371=""),"",DAY(EOMONTH($A1371,0))-COUNTA($F1371:$AJ1371))</f>
        <v/>
      </c>
    </row>
    <row r="1372" customFormat="false" ht="15" hidden="false" customHeight="false" outlineLevel="0" collapsed="false">
      <c r="A1372" s="32"/>
      <c r="B1372" s="29"/>
      <c r="C1372" s="10" t="str">
        <f aca="false">IF($B1372="","",IFERROR(INDEX(M_name,MATCH($B1372,M_emp,0)),"Code not found"))</f>
        <v/>
      </c>
      <c r="D1372" s="10" t="str">
        <f aca="false">IF($B1372="","",IFERROR(INDEX(M_dept,MATCH($B1372,M_emp,0)),""))</f>
        <v/>
      </c>
      <c r="E1372" s="10" t="str">
        <f aca="false">IF($B1372="","",IFERROR(INDEX(M_loc,MATCH($B1372,M_emp,0)),""))</f>
        <v/>
      </c>
      <c r="F1372" s="33"/>
      <c r="G1372" s="33"/>
      <c r="H1372" s="33"/>
      <c r="I1372" s="33"/>
      <c r="J1372" s="33"/>
      <c r="K1372" s="33"/>
      <c r="L1372" s="33"/>
      <c r="M1372" s="33"/>
      <c r="N1372" s="33"/>
      <c r="O1372" s="33"/>
      <c r="P1372" s="33"/>
      <c r="Q1372" s="33"/>
      <c r="R1372" s="33"/>
      <c r="S1372" s="33"/>
      <c r="T1372" s="33"/>
      <c r="U1372" s="33"/>
      <c r="V1372" s="33"/>
      <c r="W1372" s="33"/>
      <c r="X1372" s="33"/>
      <c r="Y1372" s="33"/>
      <c r="Z1372" s="33"/>
      <c r="AA1372" s="33"/>
      <c r="AB1372" s="33"/>
      <c r="AC1372" s="33"/>
      <c r="AD1372" s="33"/>
      <c r="AE1372" s="33"/>
      <c r="AF1372" s="33"/>
      <c r="AG1372" s="33"/>
      <c r="AH1372" s="33"/>
      <c r="AI1372" s="33"/>
      <c r="AJ1372" s="33"/>
      <c r="AK1372" s="34" t="str">
        <f aca="false">IF($B1372="","",COUNTIF($F1372:$AJ1372,"P"))</f>
        <v/>
      </c>
      <c r="AL1372" s="34" t="str">
        <f aca="false">IF($B1372="","",COUNTIF($F1372:$AJ1372,"A"))</f>
        <v/>
      </c>
      <c r="AM1372" s="34" t="str">
        <f aca="false">IF($B1372="","",COUNTIF($F1372:$AJ1372,"HA"))</f>
        <v/>
      </c>
      <c r="AN1372" s="34" t="str">
        <f aca="false">IF($B1372="","",COUNTIF($F1372:$AJ1372,"L"))</f>
        <v/>
      </c>
      <c r="AO1372" s="34" t="str">
        <f aca="false">IF($B1372="","",COUNTIF($F1372:$AJ1372,"PL"))</f>
        <v/>
      </c>
      <c r="AP1372" s="34" t="str">
        <f aca="false">IF($B1372="","",COUNTIF($F1372:$AJ1372,"CL"))</f>
        <v/>
      </c>
      <c r="AQ1372" s="34" t="str">
        <f aca="false">IF($B1372="","",COUNTIF($F1372:$AJ1372,"SL"))</f>
        <v/>
      </c>
      <c r="AR1372" s="34" t="str">
        <f aca="false">IF($B1372="","",COUNTIF($F1372:$AJ1372,"CO"))</f>
        <v/>
      </c>
      <c r="AS1372" s="34" t="str">
        <f aca="false">IF($B1372="","",COUNTIF($F1372:$AJ1372,"HPL"))</f>
        <v/>
      </c>
      <c r="AT1372" s="34" t="str">
        <f aca="false">IF($B1372="","",COUNTIF($F1372:$AJ1372,"HCL"))</f>
        <v/>
      </c>
      <c r="AU1372" s="34" t="str">
        <f aca="false">IF($B1372="","",COUNTIF($F1372:$AJ1372,"WO"))</f>
        <v/>
      </c>
      <c r="AV1372" s="34" t="str">
        <f aca="false">IF($B1372="","",COUNTIF($F1372:$AJ1372,"PH"))</f>
        <v/>
      </c>
      <c r="AW1372" s="34" t="str">
        <f aca="false">IF($B1372="","",COUNTIF($F1372:$AJ1372,"TR"))</f>
        <v/>
      </c>
      <c r="AX1372" s="35" t="str">
        <f aca="false">IF($B1372="","",AO1372+AS1372/2)</f>
        <v/>
      </c>
      <c r="AY1372" s="35" t="str">
        <f aca="false">IF($B1372="","",AQ1372)</f>
        <v/>
      </c>
      <c r="AZ1372" s="35" t="str">
        <f aca="false">IF($B1372="","",AP1372+AT1372/2)</f>
        <v/>
      </c>
      <c r="BA1372" s="35" t="str">
        <f aca="false">IF($B1372="","",AK1372+AN1372+AM1372/2+AO1372+AP1372+AQ1372+AR1372+AS1372+AT1372+AU1372+AV1372+AW1372)</f>
        <v/>
      </c>
      <c r="BB1372" s="35" t="str">
        <f aca="false">IF($B1372="","",MAX(0,AN1372-Settings!$C$16)*Settings!$C$17)</f>
        <v/>
      </c>
      <c r="BC1372" s="35" t="str">
        <f aca="false">IF($B1372="","",BA1372-BB1372)</f>
        <v/>
      </c>
      <c r="BD1372" s="35" t="str">
        <f aca="false">IF(OR($B1372="",$A1372=""),"",DAY(EOMONTH($A1372,0))-COUNTA($F1372:$AJ1372))</f>
        <v/>
      </c>
    </row>
    <row r="1373" customFormat="false" ht="15" hidden="false" customHeight="false" outlineLevel="0" collapsed="false">
      <c r="A1373" s="32"/>
      <c r="B1373" s="29"/>
      <c r="C1373" s="10" t="str">
        <f aca="false">IF($B1373="","",IFERROR(INDEX(M_name,MATCH($B1373,M_emp,0)),"Code not found"))</f>
        <v/>
      </c>
      <c r="D1373" s="10" t="str">
        <f aca="false">IF($B1373="","",IFERROR(INDEX(M_dept,MATCH($B1373,M_emp,0)),""))</f>
        <v/>
      </c>
      <c r="E1373" s="10" t="str">
        <f aca="false">IF($B1373="","",IFERROR(INDEX(M_loc,MATCH($B1373,M_emp,0)),""))</f>
        <v/>
      </c>
      <c r="F1373" s="33"/>
      <c r="G1373" s="33"/>
      <c r="H1373" s="33"/>
      <c r="I1373" s="33"/>
      <c r="J1373" s="33"/>
      <c r="K1373" s="33"/>
      <c r="L1373" s="33"/>
      <c r="M1373" s="33"/>
      <c r="N1373" s="33"/>
      <c r="O1373" s="33"/>
      <c r="P1373" s="33"/>
      <c r="Q1373" s="33"/>
      <c r="R1373" s="33"/>
      <c r="S1373" s="33"/>
      <c r="T1373" s="33"/>
      <c r="U1373" s="33"/>
      <c r="V1373" s="33"/>
      <c r="W1373" s="33"/>
      <c r="X1373" s="33"/>
      <c r="Y1373" s="33"/>
      <c r="Z1373" s="33"/>
      <c r="AA1373" s="33"/>
      <c r="AB1373" s="33"/>
      <c r="AC1373" s="33"/>
      <c r="AD1373" s="33"/>
      <c r="AE1373" s="33"/>
      <c r="AF1373" s="33"/>
      <c r="AG1373" s="33"/>
      <c r="AH1373" s="33"/>
      <c r="AI1373" s="33"/>
      <c r="AJ1373" s="33"/>
      <c r="AK1373" s="34" t="str">
        <f aca="false">IF($B1373="","",COUNTIF($F1373:$AJ1373,"P"))</f>
        <v/>
      </c>
      <c r="AL1373" s="34" t="str">
        <f aca="false">IF($B1373="","",COUNTIF($F1373:$AJ1373,"A"))</f>
        <v/>
      </c>
      <c r="AM1373" s="34" t="str">
        <f aca="false">IF($B1373="","",COUNTIF($F1373:$AJ1373,"HA"))</f>
        <v/>
      </c>
      <c r="AN1373" s="34" t="str">
        <f aca="false">IF($B1373="","",COUNTIF($F1373:$AJ1373,"L"))</f>
        <v/>
      </c>
      <c r="AO1373" s="34" t="str">
        <f aca="false">IF($B1373="","",COUNTIF($F1373:$AJ1373,"PL"))</f>
        <v/>
      </c>
      <c r="AP1373" s="34" t="str">
        <f aca="false">IF($B1373="","",COUNTIF($F1373:$AJ1373,"CL"))</f>
        <v/>
      </c>
      <c r="AQ1373" s="34" t="str">
        <f aca="false">IF($B1373="","",COUNTIF($F1373:$AJ1373,"SL"))</f>
        <v/>
      </c>
      <c r="AR1373" s="34" t="str">
        <f aca="false">IF($B1373="","",COUNTIF($F1373:$AJ1373,"CO"))</f>
        <v/>
      </c>
      <c r="AS1373" s="34" t="str">
        <f aca="false">IF($B1373="","",COUNTIF($F1373:$AJ1373,"HPL"))</f>
        <v/>
      </c>
      <c r="AT1373" s="34" t="str">
        <f aca="false">IF($B1373="","",COUNTIF($F1373:$AJ1373,"HCL"))</f>
        <v/>
      </c>
      <c r="AU1373" s="34" t="str">
        <f aca="false">IF($B1373="","",COUNTIF($F1373:$AJ1373,"WO"))</f>
        <v/>
      </c>
      <c r="AV1373" s="34" t="str">
        <f aca="false">IF($B1373="","",COUNTIF($F1373:$AJ1373,"PH"))</f>
        <v/>
      </c>
      <c r="AW1373" s="34" t="str">
        <f aca="false">IF($B1373="","",COUNTIF($F1373:$AJ1373,"TR"))</f>
        <v/>
      </c>
      <c r="AX1373" s="35" t="str">
        <f aca="false">IF($B1373="","",AO1373+AS1373/2)</f>
        <v/>
      </c>
      <c r="AY1373" s="35" t="str">
        <f aca="false">IF($B1373="","",AQ1373)</f>
        <v/>
      </c>
      <c r="AZ1373" s="35" t="str">
        <f aca="false">IF($B1373="","",AP1373+AT1373/2)</f>
        <v/>
      </c>
      <c r="BA1373" s="35" t="str">
        <f aca="false">IF($B1373="","",AK1373+AN1373+AM1373/2+AO1373+AP1373+AQ1373+AR1373+AS1373+AT1373+AU1373+AV1373+AW1373)</f>
        <v/>
      </c>
      <c r="BB1373" s="35" t="str">
        <f aca="false">IF($B1373="","",MAX(0,AN1373-Settings!$C$16)*Settings!$C$17)</f>
        <v/>
      </c>
      <c r="BC1373" s="35" t="str">
        <f aca="false">IF($B1373="","",BA1373-BB1373)</f>
        <v/>
      </c>
      <c r="BD1373" s="35" t="str">
        <f aca="false">IF(OR($B1373="",$A1373=""),"",DAY(EOMONTH($A1373,0))-COUNTA($F1373:$AJ1373))</f>
        <v/>
      </c>
    </row>
    <row r="1374" customFormat="false" ht="15" hidden="false" customHeight="false" outlineLevel="0" collapsed="false">
      <c r="A1374" s="32"/>
      <c r="B1374" s="29"/>
      <c r="C1374" s="10" t="str">
        <f aca="false">IF($B1374="","",IFERROR(INDEX(M_name,MATCH($B1374,M_emp,0)),"Code not found"))</f>
        <v/>
      </c>
      <c r="D1374" s="10" t="str">
        <f aca="false">IF($B1374="","",IFERROR(INDEX(M_dept,MATCH($B1374,M_emp,0)),""))</f>
        <v/>
      </c>
      <c r="E1374" s="10" t="str">
        <f aca="false">IF($B1374="","",IFERROR(INDEX(M_loc,MATCH($B1374,M_emp,0)),""))</f>
        <v/>
      </c>
      <c r="F1374" s="33"/>
      <c r="G1374" s="33"/>
      <c r="H1374" s="33"/>
      <c r="I1374" s="33"/>
      <c r="J1374" s="33"/>
      <c r="K1374" s="33"/>
      <c r="L1374" s="33"/>
      <c r="M1374" s="33"/>
      <c r="N1374" s="33"/>
      <c r="O1374" s="33"/>
      <c r="P1374" s="33"/>
      <c r="Q1374" s="33"/>
      <c r="R1374" s="33"/>
      <c r="S1374" s="33"/>
      <c r="T1374" s="33"/>
      <c r="U1374" s="33"/>
      <c r="V1374" s="33"/>
      <c r="W1374" s="33"/>
      <c r="X1374" s="33"/>
      <c r="Y1374" s="33"/>
      <c r="Z1374" s="33"/>
      <c r="AA1374" s="33"/>
      <c r="AB1374" s="33"/>
      <c r="AC1374" s="33"/>
      <c r="AD1374" s="33"/>
      <c r="AE1374" s="33"/>
      <c r="AF1374" s="33"/>
      <c r="AG1374" s="33"/>
      <c r="AH1374" s="33"/>
      <c r="AI1374" s="33"/>
      <c r="AJ1374" s="33"/>
      <c r="AK1374" s="34" t="str">
        <f aca="false">IF($B1374="","",COUNTIF($F1374:$AJ1374,"P"))</f>
        <v/>
      </c>
      <c r="AL1374" s="34" t="str">
        <f aca="false">IF($B1374="","",COUNTIF($F1374:$AJ1374,"A"))</f>
        <v/>
      </c>
      <c r="AM1374" s="34" t="str">
        <f aca="false">IF($B1374="","",COUNTIF($F1374:$AJ1374,"HA"))</f>
        <v/>
      </c>
      <c r="AN1374" s="34" t="str">
        <f aca="false">IF($B1374="","",COUNTIF($F1374:$AJ1374,"L"))</f>
        <v/>
      </c>
      <c r="AO1374" s="34" t="str">
        <f aca="false">IF($B1374="","",COUNTIF($F1374:$AJ1374,"PL"))</f>
        <v/>
      </c>
      <c r="AP1374" s="34" t="str">
        <f aca="false">IF($B1374="","",COUNTIF($F1374:$AJ1374,"CL"))</f>
        <v/>
      </c>
      <c r="AQ1374" s="34" t="str">
        <f aca="false">IF($B1374="","",COUNTIF($F1374:$AJ1374,"SL"))</f>
        <v/>
      </c>
      <c r="AR1374" s="34" t="str">
        <f aca="false">IF($B1374="","",COUNTIF($F1374:$AJ1374,"CO"))</f>
        <v/>
      </c>
      <c r="AS1374" s="34" t="str">
        <f aca="false">IF($B1374="","",COUNTIF($F1374:$AJ1374,"HPL"))</f>
        <v/>
      </c>
      <c r="AT1374" s="34" t="str">
        <f aca="false">IF($B1374="","",COUNTIF($F1374:$AJ1374,"HCL"))</f>
        <v/>
      </c>
      <c r="AU1374" s="34" t="str">
        <f aca="false">IF($B1374="","",COUNTIF($F1374:$AJ1374,"WO"))</f>
        <v/>
      </c>
      <c r="AV1374" s="34" t="str">
        <f aca="false">IF($B1374="","",COUNTIF($F1374:$AJ1374,"PH"))</f>
        <v/>
      </c>
      <c r="AW1374" s="34" t="str">
        <f aca="false">IF($B1374="","",COUNTIF($F1374:$AJ1374,"TR"))</f>
        <v/>
      </c>
      <c r="AX1374" s="35" t="str">
        <f aca="false">IF($B1374="","",AO1374+AS1374/2)</f>
        <v/>
      </c>
      <c r="AY1374" s="35" t="str">
        <f aca="false">IF($B1374="","",AQ1374)</f>
        <v/>
      </c>
      <c r="AZ1374" s="35" t="str">
        <f aca="false">IF($B1374="","",AP1374+AT1374/2)</f>
        <v/>
      </c>
      <c r="BA1374" s="35" t="str">
        <f aca="false">IF($B1374="","",AK1374+AN1374+AM1374/2+AO1374+AP1374+AQ1374+AR1374+AS1374+AT1374+AU1374+AV1374+AW1374)</f>
        <v/>
      </c>
      <c r="BB1374" s="35" t="str">
        <f aca="false">IF($B1374="","",MAX(0,AN1374-Settings!$C$16)*Settings!$C$17)</f>
        <v/>
      </c>
      <c r="BC1374" s="35" t="str">
        <f aca="false">IF($B1374="","",BA1374-BB1374)</f>
        <v/>
      </c>
      <c r="BD1374" s="35" t="str">
        <f aca="false">IF(OR($B1374="",$A1374=""),"",DAY(EOMONTH($A1374,0))-COUNTA($F1374:$AJ1374))</f>
        <v/>
      </c>
    </row>
    <row r="1375" customFormat="false" ht="15" hidden="false" customHeight="false" outlineLevel="0" collapsed="false">
      <c r="A1375" s="32"/>
      <c r="B1375" s="29"/>
      <c r="C1375" s="10" t="str">
        <f aca="false">IF($B1375="","",IFERROR(INDEX(M_name,MATCH($B1375,M_emp,0)),"Code not found"))</f>
        <v/>
      </c>
      <c r="D1375" s="10" t="str">
        <f aca="false">IF($B1375="","",IFERROR(INDEX(M_dept,MATCH($B1375,M_emp,0)),""))</f>
        <v/>
      </c>
      <c r="E1375" s="10" t="str">
        <f aca="false">IF($B1375="","",IFERROR(INDEX(M_loc,MATCH($B1375,M_emp,0)),""))</f>
        <v/>
      </c>
      <c r="F1375" s="33"/>
      <c r="G1375" s="33"/>
      <c r="H1375" s="33"/>
      <c r="I1375" s="33"/>
      <c r="J1375" s="33"/>
      <c r="K1375" s="33"/>
      <c r="L1375" s="33"/>
      <c r="M1375" s="33"/>
      <c r="N1375" s="33"/>
      <c r="O1375" s="33"/>
      <c r="P1375" s="33"/>
      <c r="Q1375" s="33"/>
      <c r="R1375" s="33"/>
      <c r="S1375" s="33"/>
      <c r="T1375" s="33"/>
      <c r="U1375" s="33"/>
      <c r="V1375" s="33"/>
      <c r="W1375" s="33"/>
      <c r="X1375" s="33"/>
      <c r="Y1375" s="33"/>
      <c r="Z1375" s="33"/>
      <c r="AA1375" s="33"/>
      <c r="AB1375" s="33"/>
      <c r="AC1375" s="33"/>
      <c r="AD1375" s="33"/>
      <c r="AE1375" s="33"/>
      <c r="AF1375" s="33"/>
      <c r="AG1375" s="33"/>
      <c r="AH1375" s="33"/>
      <c r="AI1375" s="33"/>
      <c r="AJ1375" s="33"/>
      <c r="AK1375" s="34" t="str">
        <f aca="false">IF($B1375="","",COUNTIF($F1375:$AJ1375,"P"))</f>
        <v/>
      </c>
      <c r="AL1375" s="34" t="str">
        <f aca="false">IF($B1375="","",COUNTIF($F1375:$AJ1375,"A"))</f>
        <v/>
      </c>
      <c r="AM1375" s="34" t="str">
        <f aca="false">IF($B1375="","",COUNTIF($F1375:$AJ1375,"HA"))</f>
        <v/>
      </c>
      <c r="AN1375" s="34" t="str">
        <f aca="false">IF($B1375="","",COUNTIF($F1375:$AJ1375,"L"))</f>
        <v/>
      </c>
      <c r="AO1375" s="34" t="str">
        <f aca="false">IF($B1375="","",COUNTIF($F1375:$AJ1375,"PL"))</f>
        <v/>
      </c>
      <c r="AP1375" s="34" t="str">
        <f aca="false">IF($B1375="","",COUNTIF($F1375:$AJ1375,"CL"))</f>
        <v/>
      </c>
      <c r="AQ1375" s="34" t="str">
        <f aca="false">IF($B1375="","",COUNTIF($F1375:$AJ1375,"SL"))</f>
        <v/>
      </c>
      <c r="AR1375" s="34" t="str">
        <f aca="false">IF($B1375="","",COUNTIF($F1375:$AJ1375,"CO"))</f>
        <v/>
      </c>
      <c r="AS1375" s="34" t="str">
        <f aca="false">IF($B1375="","",COUNTIF($F1375:$AJ1375,"HPL"))</f>
        <v/>
      </c>
      <c r="AT1375" s="34" t="str">
        <f aca="false">IF($B1375="","",COUNTIF($F1375:$AJ1375,"HCL"))</f>
        <v/>
      </c>
      <c r="AU1375" s="34" t="str">
        <f aca="false">IF($B1375="","",COUNTIF($F1375:$AJ1375,"WO"))</f>
        <v/>
      </c>
      <c r="AV1375" s="34" t="str">
        <f aca="false">IF($B1375="","",COUNTIF($F1375:$AJ1375,"PH"))</f>
        <v/>
      </c>
      <c r="AW1375" s="34" t="str">
        <f aca="false">IF($B1375="","",COUNTIF($F1375:$AJ1375,"TR"))</f>
        <v/>
      </c>
      <c r="AX1375" s="35" t="str">
        <f aca="false">IF($B1375="","",AO1375+AS1375/2)</f>
        <v/>
      </c>
      <c r="AY1375" s="35" t="str">
        <f aca="false">IF($B1375="","",AQ1375)</f>
        <v/>
      </c>
      <c r="AZ1375" s="35" t="str">
        <f aca="false">IF($B1375="","",AP1375+AT1375/2)</f>
        <v/>
      </c>
      <c r="BA1375" s="35" t="str">
        <f aca="false">IF($B1375="","",AK1375+AN1375+AM1375/2+AO1375+AP1375+AQ1375+AR1375+AS1375+AT1375+AU1375+AV1375+AW1375)</f>
        <v/>
      </c>
      <c r="BB1375" s="35" t="str">
        <f aca="false">IF($B1375="","",MAX(0,AN1375-Settings!$C$16)*Settings!$C$17)</f>
        <v/>
      </c>
      <c r="BC1375" s="35" t="str">
        <f aca="false">IF($B1375="","",BA1375-BB1375)</f>
        <v/>
      </c>
      <c r="BD1375" s="35" t="str">
        <f aca="false">IF(OR($B1375="",$A1375=""),"",DAY(EOMONTH($A1375,0))-COUNTA($F1375:$AJ1375))</f>
        <v/>
      </c>
    </row>
    <row r="1376" customFormat="false" ht="15" hidden="false" customHeight="false" outlineLevel="0" collapsed="false">
      <c r="A1376" s="32"/>
      <c r="B1376" s="29"/>
      <c r="C1376" s="10" t="str">
        <f aca="false">IF($B1376="","",IFERROR(INDEX(M_name,MATCH($B1376,M_emp,0)),"Code not found"))</f>
        <v/>
      </c>
      <c r="D1376" s="10" t="str">
        <f aca="false">IF($B1376="","",IFERROR(INDEX(M_dept,MATCH($B1376,M_emp,0)),""))</f>
        <v/>
      </c>
      <c r="E1376" s="10" t="str">
        <f aca="false">IF($B1376="","",IFERROR(INDEX(M_loc,MATCH($B1376,M_emp,0)),""))</f>
        <v/>
      </c>
      <c r="F1376" s="33"/>
      <c r="G1376" s="33"/>
      <c r="H1376" s="33"/>
      <c r="I1376" s="33"/>
      <c r="J1376" s="33"/>
      <c r="K1376" s="33"/>
      <c r="L1376" s="33"/>
      <c r="M1376" s="33"/>
      <c r="N1376" s="33"/>
      <c r="O1376" s="33"/>
      <c r="P1376" s="33"/>
      <c r="Q1376" s="33"/>
      <c r="R1376" s="33"/>
      <c r="S1376" s="33"/>
      <c r="T1376" s="33"/>
      <c r="U1376" s="33"/>
      <c r="V1376" s="33"/>
      <c r="W1376" s="33"/>
      <c r="X1376" s="33"/>
      <c r="Y1376" s="33"/>
      <c r="Z1376" s="33"/>
      <c r="AA1376" s="33"/>
      <c r="AB1376" s="33"/>
      <c r="AC1376" s="33"/>
      <c r="AD1376" s="33"/>
      <c r="AE1376" s="33"/>
      <c r="AF1376" s="33"/>
      <c r="AG1376" s="33"/>
      <c r="AH1376" s="33"/>
      <c r="AI1376" s="33"/>
      <c r="AJ1376" s="33"/>
      <c r="AK1376" s="34" t="str">
        <f aca="false">IF($B1376="","",COUNTIF($F1376:$AJ1376,"P"))</f>
        <v/>
      </c>
      <c r="AL1376" s="34" t="str">
        <f aca="false">IF($B1376="","",COUNTIF($F1376:$AJ1376,"A"))</f>
        <v/>
      </c>
      <c r="AM1376" s="34" t="str">
        <f aca="false">IF($B1376="","",COUNTIF($F1376:$AJ1376,"HA"))</f>
        <v/>
      </c>
      <c r="AN1376" s="34" t="str">
        <f aca="false">IF($B1376="","",COUNTIF($F1376:$AJ1376,"L"))</f>
        <v/>
      </c>
      <c r="AO1376" s="34" t="str">
        <f aca="false">IF($B1376="","",COUNTIF($F1376:$AJ1376,"PL"))</f>
        <v/>
      </c>
      <c r="AP1376" s="34" t="str">
        <f aca="false">IF($B1376="","",COUNTIF($F1376:$AJ1376,"CL"))</f>
        <v/>
      </c>
      <c r="AQ1376" s="34" t="str">
        <f aca="false">IF($B1376="","",COUNTIF($F1376:$AJ1376,"SL"))</f>
        <v/>
      </c>
      <c r="AR1376" s="34" t="str">
        <f aca="false">IF($B1376="","",COUNTIF($F1376:$AJ1376,"CO"))</f>
        <v/>
      </c>
      <c r="AS1376" s="34" t="str">
        <f aca="false">IF($B1376="","",COUNTIF($F1376:$AJ1376,"HPL"))</f>
        <v/>
      </c>
      <c r="AT1376" s="34" t="str">
        <f aca="false">IF($B1376="","",COUNTIF($F1376:$AJ1376,"HCL"))</f>
        <v/>
      </c>
      <c r="AU1376" s="34" t="str">
        <f aca="false">IF($B1376="","",COUNTIF($F1376:$AJ1376,"WO"))</f>
        <v/>
      </c>
      <c r="AV1376" s="34" t="str">
        <f aca="false">IF($B1376="","",COUNTIF($F1376:$AJ1376,"PH"))</f>
        <v/>
      </c>
      <c r="AW1376" s="34" t="str">
        <f aca="false">IF($B1376="","",COUNTIF($F1376:$AJ1376,"TR"))</f>
        <v/>
      </c>
      <c r="AX1376" s="35" t="str">
        <f aca="false">IF($B1376="","",AO1376+AS1376/2)</f>
        <v/>
      </c>
      <c r="AY1376" s="35" t="str">
        <f aca="false">IF($B1376="","",AQ1376)</f>
        <v/>
      </c>
      <c r="AZ1376" s="35" t="str">
        <f aca="false">IF($B1376="","",AP1376+AT1376/2)</f>
        <v/>
      </c>
      <c r="BA1376" s="35" t="str">
        <f aca="false">IF($B1376="","",AK1376+AN1376+AM1376/2+AO1376+AP1376+AQ1376+AR1376+AS1376+AT1376+AU1376+AV1376+AW1376)</f>
        <v/>
      </c>
      <c r="BB1376" s="35" t="str">
        <f aca="false">IF($B1376="","",MAX(0,AN1376-Settings!$C$16)*Settings!$C$17)</f>
        <v/>
      </c>
      <c r="BC1376" s="35" t="str">
        <f aca="false">IF($B1376="","",BA1376-BB1376)</f>
        <v/>
      </c>
      <c r="BD1376" s="35" t="str">
        <f aca="false">IF(OR($B1376="",$A1376=""),"",DAY(EOMONTH($A1376,0))-COUNTA($F1376:$AJ1376))</f>
        <v/>
      </c>
    </row>
    <row r="1377" customFormat="false" ht="15" hidden="false" customHeight="false" outlineLevel="0" collapsed="false">
      <c r="A1377" s="32"/>
      <c r="B1377" s="29"/>
      <c r="C1377" s="10" t="str">
        <f aca="false">IF($B1377="","",IFERROR(INDEX(M_name,MATCH($B1377,M_emp,0)),"Code not found"))</f>
        <v/>
      </c>
      <c r="D1377" s="10" t="str">
        <f aca="false">IF($B1377="","",IFERROR(INDEX(M_dept,MATCH($B1377,M_emp,0)),""))</f>
        <v/>
      </c>
      <c r="E1377" s="10" t="str">
        <f aca="false">IF($B1377="","",IFERROR(INDEX(M_loc,MATCH($B1377,M_emp,0)),""))</f>
        <v/>
      </c>
      <c r="F1377" s="33"/>
      <c r="G1377" s="33"/>
      <c r="H1377" s="33"/>
      <c r="I1377" s="33"/>
      <c r="J1377" s="33"/>
      <c r="K1377" s="33"/>
      <c r="L1377" s="33"/>
      <c r="M1377" s="33"/>
      <c r="N1377" s="33"/>
      <c r="O1377" s="33"/>
      <c r="P1377" s="33"/>
      <c r="Q1377" s="33"/>
      <c r="R1377" s="33"/>
      <c r="S1377" s="33"/>
      <c r="T1377" s="33"/>
      <c r="U1377" s="33"/>
      <c r="V1377" s="33"/>
      <c r="W1377" s="33"/>
      <c r="X1377" s="33"/>
      <c r="Y1377" s="33"/>
      <c r="Z1377" s="33"/>
      <c r="AA1377" s="33"/>
      <c r="AB1377" s="33"/>
      <c r="AC1377" s="33"/>
      <c r="AD1377" s="33"/>
      <c r="AE1377" s="33"/>
      <c r="AF1377" s="33"/>
      <c r="AG1377" s="33"/>
      <c r="AH1377" s="33"/>
      <c r="AI1377" s="33"/>
      <c r="AJ1377" s="33"/>
      <c r="AK1377" s="34" t="str">
        <f aca="false">IF($B1377="","",COUNTIF($F1377:$AJ1377,"P"))</f>
        <v/>
      </c>
      <c r="AL1377" s="34" t="str">
        <f aca="false">IF($B1377="","",COUNTIF($F1377:$AJ1377,"A"))</f>
        <v/>
      </c>
      <c r="AM1377" s="34" t="str">
        <f aca="false">IF($B1377="","",COUNTIF($F1377:$AJ1377,"HA"))</f>
        <v/>
      </c>
      <c r="AN1377" s="34" t="str">
        <f aca="false">IF($B1377="","",COUNTIF($F1377:$AJ1377,"L"))</f>
        <v/>
      </c>
      <c r="AO1377" s="34" t="str">
        <f aca="false">IF($B1377="","",COUNTIF($F1377:$AJ1377,"PL"))</f>
        <v/>
      </c>
      <c r="AP1377" s="34" t="str">
        <f aca="false">IF($B1377="","",COUNTIF($F1377:$AJ1377,"CL"))</f>
        <v/>
      </c>
      <c r="AQ1377" s="34" t="str">
        <f aca="false">IF($B1377="","",COUNTIF($F1377:$AJ1377,"SL"))</f>
        <v/>
      </c>
      <c r="AR1377" s="34" t="str">
        <f aca="false">IF($B1377="","",COUNTIF($F1377:$AJ1377,"CO"))</f>
        <v/>
      </c>
      <c r="AS1377" s="34" t="str">
        <f aca="false">IF($B1377="","",COUNTIF($F1377:$AJ1377,"HPL"))</f>
        <v/>
      </c>
      <c r="AT1377" s="34" t="str">
        <f aca="false">IF($B1377="","",COUNTIF($F1377:$AJ1377,"HCL"))</f>
        <v/>
      </c>
      <c r="AU1377" s="34" t="str">
        <f aca="false">IF($B1377="","",COUNTIF($F1377:$AJ1377,"WO"))</f>
        <v/>
      </c>
      <c r="AV1377" s="34" t="str">
        <f aca="false">IF($B1377="","",COUNTIF($F1377:$AJ1377,"PH"))</f>
        <v/>
      </c>
      <c r="AW1377" s="34" t="str">
        <f aca="false">IF($B1377="","",COUNTIF($F1377:$AJ1377,"TR"))</f>
        <v/>
      </c>
      <c r="AX1377" s="35" t="str">
        <f aca="false">IF($B1377="","",AO1377+AS1377/2)</f>
        <v/>
      </c>
      <c r="AY1377" s="35" t="str">
        <f aca="false">IF($B1377="","",AQ1377)</f>
        <v/>
      </c>
      <c r="AZ1377" s="35" t="str">
        <f aca="false">IF($B1377="","",AP1377+AT1377/2)</f>
        <v/>
      </c>
      <c r="BA1377" s="35" t="str">
        <f aca="false">IF($B1377="","",AK1377+AN1377+AM1377/2+AO1377+AP1377+AQ1377+AR1377+AS1377+AT1377+AU1377+AV1377+AW1377)</f>
        <v/>
      </c>
      <c r="BB1377" s="35" t="str">
        <f aca="false">IF($B1377="","",MAX(0,AN1377-Settings!$C$16)*Settings!$C$17)</f>
        <v/>
      </c>
      <c r="BC1377" s="35" t="str">
        <f aca="false">IF($B1377="","",BA1377-BB1377)</f>
        <v/>
      </c>
      <c r="BD1377" s="35" t="str">
        <f aca="false">IF(OR($B1377="",$A1377=""),"",DAY(EOMONTH($A1377,0))-COUNTA($F1377:$AJ1377))</f>
        <v/>
      </c>
    </row>
    <row r="1378" customFormat="false" ht="15" hidden="false" customHeight="false" outlineLevel="0" collapsed="false">
      <c r="A1378" s="32"/>
      <c r="B1378" s="29"/>
      <c r="C1378" s="10" t="str">
        <f aca="false">IF($B1378="","",IFERROR(INDEX(M_name,MATCH($B1378,M_emp,0)),"Code not found"))</f>
        <v/>
      </c>
      <c r="D1378" s="10" t="str">
        <f aca="false">IF($B1378="","",IFERROR(INDEX(M_dept,MATCH($B1378,M_emp,0)),""))</f>
        <v/>
      </c>
      <c r="E1378" s="10" t="str">
        <f aca="false">IF($B1378="","",IFERROR(INDEX(M_loc,MATCH($B1378,M_emp,0)),""))</f>
        <v/>
      </c>
      <c r="F1378" s="33"/>
      <c r="G1378" s="33"/>
      <c r="H1378" s="33"/>
      <c r="I1378" s="33"/>
      <c r="J1378" s="33"/>
      <c r="K1378" s="33"/>
      <c r="L1378" s="33"/>
      <c r="M1378" s="33"/>
      <c r="N1378" s="33"/>
      <c r="O1378" s="33"/>
      <c r="P1378" s="33"/>
      <c r="Q1378" s="33"/>
      <c r="R1378" s="33"/>
      <c r="S1378" s="33"/>
      <c r="T1378" s="33"/>
      <c r="U1378" s="33"/>
      <c r="V1378" s="33"/>
      <c r="W1378" s="33"/>
      <c r="X1378" s="33"/>
      <c r="Y1378" s="33"/>
      <c r="Z1378" s="33"/>
      <c r="AA1378" s="33"/>
      <c r="AB1378" s="33"/>
      <c r="AC1378" s="33"/>
      <c r="AD1378" s="33"/>
      <c r="AE1378" s="33"/>
      <c r="AF1378" s="33"/>
      <c r="AG1378" s="33"/>
      <c r="AH1378" s="33"/>
      <c r="AI1378" s="33"/>
      <c r="AJ1378" s="33"/>
      <c r="AK1378" s="34" t="str">
        <f aca="false">IF($B1378="","",COUNTIF($F1378:$AJ1378,"P"))</f>
        <v/>
      </c>
      <c r="AL1378" s="34" t="str">
        <f aca="false">IF($B1378="","",COUNTIF($F1378:$AJ1378,"A"))</f>
        <v/>
      </c>
      <c r="AM1378" s="34" t="str">
        <f aca="false">IF($B1378="","",COUNTIF($F1378:$AJ1378,"HA"))</f>
        <v/>
      </c>
      <c r="AN1378" s="34" t="str">
        <f aca="false">IF($B1378="","",COUNTIF($F1378:$AJ1378,"L"))</f>
        <v/>
      </c>
      <c r="AO1378" s="34" t="str">
        <f aca="false">IF($B1378="","",COUNTIF($F1378:$AJ1378,"PL"))</f>
        <v/>
      </c>
      <c r="AP1378" s="34" t="str">
        <f aca="false">IF($B1378="","",COUNTIF($F1378:$AJ1378,"CL"))</f>
        <v/>
      </c>
      <c r="AQ1378" s="34" t="str">
        <f aca="false">IF($B1378="","",COUNTIF($F1378:$AJ1378,"SL"))</f>
        <v/>
      </c>
      <c r="AR1378" s="34" t="str">
        <f aca="false">IF($B1378="","",COUNTIF($F1378:$AJ1378,"CO"))</f>
        <v/>
      </c>
      <c r="AS1378" s="34" t="str">
        <f aca="false">IF($B1378="","",COUNTIF($F1378:$AJ1378,"HPL"))</f>
        <v/>
      </c>
      <c r="AT1378" s="34" t="str">
        <f aca="false">IF($B1378="","",COUNTIF($F1378:$AJ1378,"HCL"))</f>
        <v/>
      </c>
      <c r="AU1378" s="34" t="str">
        <f aca="false">IF($B1378="","",COUNTIF($F1378:$AJ1378,"WO"))</f>
        <v/>
      </c>
      <c r="AV1378" s="34" t="str">
        <f aca="false">IF($B1378="","",COUNTIF($F1378:$AJ1378,"PH"))</f>
        <v/>
      </c>
      <c r="AW1378" s="34" t="str">
        <f aca="false">IF($B1378="","",COUNTIF($F1378:$AJ1378,"TR"))</f>
        <v/>
      </c>
      <c r="AX1378" s="35" t="str">
        <f aca="false">IF($B1378="","",AO1378+AS1378/2)</f>
        <v/>
      </c>
      <c r="AY1378" s="35" t="str">
        <f aca="false">IF($B1378="","",AQ1378)</f>
        <v/>
      </c>
      <c r="AZ1378" s="35" t="str">
        <f aca="false">IF($B1378="","",AP1378+AT1378/2)</f>
        <v/>
      </c>
      <c r="BA1378" s="35" t="str">
        <f aca="false">IF($B1378="","",AK1378+AN1378+AM1378/2+AO1378+AP1378+AQ1378+AR1378+AS1378+AT1378+AU1378+AV1378+AW1378)</f>
        <v/>
      </c>
      <c r="BB1378" s="35" t="str">
        <f aca="false">IF($B1378="","",MAX(0,AN1378-Settings!$C$16)*Settings!$C$17)</f>
        <v/>
      </c>
      <c r="BC1378" s="35" t="str">
        <f aca="false">IF($B1378="","",BA1378-BB1378)</f>
        <v/>
      </c>
      <c r="BD1378" s="35" t="str">
        <f aca="false">IF(OR($B1378="",$A1378=""),"",DAY(EOMONTH($A1378,0))-COUNTA($F1378:$AJ1378))</f>
        <v/>
      </c>
    </row>
    <row r="1379" customFormat="false" ht="15" hidden="false" customHeight="false" outlineLevel="0" collapsed="false">
      <c r="A1379" s="32"/>
      <c r="B1379" s="29"/>
      <c r="C1379" s="10" t="str">
        <f aca="false">IF($B1379="","",IFERROR(INDEX(M_name,MATCH($B1379,M_emp,0)),"Code not found"))</f>
        <v/>
      </c>
      <c r="D1379" s="10" t="str">
        <f aca="false">IF($B1379="","",IFERROR(INDEX(M_dept,MATCH($B1379,M_emp,0)),""))</f>
        <v/>
      </c>
      <c r="E1379" s="10" t="str">
        <f aca="false">IF($B1379="","",IFERROR(INDEX(M_loc,MATCH($B1379,M_emp,0)),""))</f>
        <v/>
      </c>
      <c r="F1379" s="33"/>
      <c r="G1379" s="33"/>
      <c r="H1379" s="33"/>
      <c r="I1379" s="33"/>
      <c r="J1379" s="33"/>
      <c r="K1379" s="33"/>
      <c r="L1379" s="33"/>
      <c r="M1379" s="33"/>
      <c r="N1379" s="33"/>
      <c r="O1379" s="33"/>
      <c r="P1379" s="33"/>
      <c r="Q1379" s="33"/>
      <c r="R1379" s="33"/>
      <c r="S1379" s="33"/>
      <c r="T1379" s="33"/>
      <c r="U1379" s="33"/>
      <c r="V1379" s="33"/>
      <c r="W1379" s="33"/>
      <c r="X1379" s="33"/>
      <c r="Y1379" s="33"/>
      <c r="Z1379" s="33"/>
      <c r="AA1379" s="33"/>
      <c r="AB1379" s="33"/>
      <c r="AC1379" s="33"/>
      <c r="AD1379" s="33"/>
      <c r="AE1379" s="33"/>
      <c r="AF1379" s="33"/>
      <c r="AG1379" s="33"/>
      <c r="AH1379" s="33"/>
      <c r="AI1379" s="33"/>
      <c r="AJ1379" s="33"/>
      <c r="AK1379" s="34" t="str">
        <f aca="false">IF($B1379="","",COUNTIF($F1379:$AJ1379,"P"))</f>
        <v/>
      </c>
      <c r="AL1379" s="34" t="str">
        <f aca="false">IF($B1379="","",COUNTIF($F1379:$AJ1379,"A"))</f>
        <v/>
      </c>
      <c r="AM1379" s="34" t="str">
        <f aca="false">IF($B1379="","",COUNTIF($F1379:$AJ1379,"HA"))</f>
        <v/>
      </c>
      <c r="AN1379" s="34" t="str">
        <f aca="false">IF($B1379="","",COUNTIF($F1379:$AJ1379,"L"))</f>
        <v/>
      </c>
      <c r="AO1379" s="34" t="str">
        <f aca="false">IF($B1379="","",COUNTIF($F1379:$AJ1379,"PL"))</f>
        <v/>
      </c>
      <c r="AP1379" s="34" t="str">
        <f aca="false">IF($B1379="","",COUNTIF($F1379:$AJ1379,"CL"))</f>
        <v/>
      </c>
      <c r="AQ1379" s="34" t="str">
        <f aca="false">IF($B1379="","",COUNTIF($F1379:$AJ1379,"SL"))</f>
        <v/>
      </c>
      <c r="AR1379" s="34" t="str">
        <f aca="false">IF($B1379="","",COUNTIF($F1379:$AJ1379,"CO"))</f>
        <v/>
      </c>
      <c r="AS1379" s="34" t="str">
        <f aca="false">IF($B1379="","",COUNTIF($F1379:$AJ1379,"HPL"))</f>
        <v/>
      </c>
      <c r="AT1379" s="34" t="str">
        <f aca="false">IF($B1379="","",COUNTIF($F1379:$AJ1379,"HCL"))</f>
        <v/>
      </c>
      <c r="AU1379" s="34" t="str">
        <f aca="false">IF($B1379="","",COUNTIF($F1379:$AJ1379,"WO"))</f>
        <v/>
      </c>
      <c r="AV1379" s="34" t="str">
        <f aca="false">IF($B1379="","",COUNTIF($F1379:$AJ1379,"PH"))</f>
        <v/>
      </c>
      <c r="AW1379" s="34" t="str">
        <f aca="false">IF($B1379="","",COUNTIF($F1379:$AJ1379,"TR"))</f>
        <v/>
      </c>
      <c r="AX1379" s="35" t="str">
        <f aca="false">IF($B1379="","",AO1379+AS1379/2)</f>
        <v/>
      </c>
      <c r="AY1379" s="35" t="str">
        <f aca="false">IF($B1379="","",AQ1379)</f>
        <v/>
      </c>
      <c r="AZ1379" s="35" t="str">
        <f aca="false">IF($B1379="","",AP1379+AT1379/2)</f>
        <v/>
      </c>
      <c r="BA1379" s="35" t="str">
        <f aca="false">IF($B1379="","",AK1379+AN1379+AM1379/2+AO1379+AP1379+AQ1379+AR1379+AS1379+AT1379+AU1379+AV1379+AW1379)</f>
        <v/>
      </c>
      <c r="BB1379" s="35" t="str">
        <f aca="false">IF($B1379="","",MAX(0,AN1379-Settings!$C$16)*Settings!$C$17)</f>
        <v/>
      </c>
      <c r="BC1379" s="35" t="str">
        <f aca="false">IF($B1379="","",BA1379-BB1379)</f>
        <v/>
      </c>
      <c r="BD1379" s="35" t="str">
        <f aca="false">IF(OR($B1379="",$A1379=""),"",DAY(EOMONTH($A1379,0))-COUNTA($F1379:$AJ1379))</f>
        <v/>
      </c>
    </row>
    <row r="1380" customFormat="false" ht="15" hidden="false" customHeight="false" outlineLevel="0" collapsed="false">
      <c r="A1380" s="32"/>
      <c r="B1380" s="29"/>
      <c r="C1380" s="10" t="str">
        <f aca="false">IF($B1380="","",IFERROR(INDEX(M_name,MATCH($B1380,M_emp,0)),"Code not found"))</f>
        <v/>
      </c>
      <c r="D1380" s="10" t="str">
        <f aca="false">IF($B1380="","",IFERROR(INDEX(M_dept,MATCH($B1380,M_emp,0)),""))</f>
        <v/>
      </c>
      <c r="E1380" s="10" t="str">
        <f aca="false">IF($B1380="","",IFERROR(INDEX(M_loc,MATCH($B1380,M_emp,0)),""))</f>
        <v/>
      </c>
      <c r="F1380" s="33"/>
      <c r="G1380" s="33"/>
      <c r="H1380" s="33"/>
      <c r="I1380" s="33"/>
      <c r="J1380" s="33"/>
      <c r="K1380" s="33"/>
      <c r="L1380" s="33"/>
      <c r="M1380" s="33"/>
      <c r="N1380" s="33"/>
      <c r="O1380" s="33"/>
      <c r="P1380" s="33"/>
      <c r="Q1380" s="33"/>
      <c r="R1380" s="33"/>
      <c r="S1380" s="33"/>
      <c r="T1380" s="33"/>
      <c r="U1380" s="33"/>
      <c r="V1380" s="33"/>
      <c r="W1380" s="33"/>
      <c r="X1380" s="33"/>
      <c r="Y1380" s="33"/>
      <c r="Z1380" s="33"/>
      <c r="AA1380" s="33"/>
      <c r="AB1380" s="33"/>
      <c r="AC1380" s="33"/>
      <c r="AD1380" s="33"/>
      <c r="AE1380" s="33"/>
      <c r="AF1380" s="33"/>
      <c r="AG1380" s="33"/>
      <c r="AH1380" s="33"/>
      <c r="AI1380" s="33"/>
      <c r="AJ1380" s="33"/>
      <c r="AK1380" s="34" t="str">
        <f aca="false">IF($B1380="","",COUNTIF($F1380:$AJ1380,"P"))</f>
        <v/>
      </c>
      <c r="AL1380" s="34" t="str">
        <f aca="false">IF($B1380="","",COUNTIF($F1380:$AJ1380,"A"))</f>
        <v/>
      </c>
      <c r="AM1380" s="34" t="str">
        <f aca="false">IF($B1380="","",COUNTIF($F1380:$AJ1380,"HA"))</f>
        <v/>
      </c>
      <c r="AN1380" s="34" t="str">
        <f aca="false">IF($B1380="","",COUNTIF($F1380:$AJ1380,"L"))</f>
        <v/>
      </c>
      <c r="AO1380" s="34" t="str">
        <f aca="false">IF($B1380="","",COUNTIF($F1380:$AJ1380,"PL"))</f>
        <v/>
      </c>
      <c r="AP1380" s="34" t="str">
        <f aca="false">IF($B1380="","",COUNTIF($F1380:$AJ1380,"CL"))</f>
        <v/>
      </c>
      <c r="AQ1380" s="34" t="str">
        <f aca="false">IF($B1380="","",COUNTIF($F1380:$AJ1380,"SL"))</f>
        <v/>
      </c>
      <c r="AR1380" s="34" t="str">
        <f aca="false">IF($B1380="","",COUNTIF($F1380:$AJ1380,"CO"))</f>
        <v/>
      </c>
      <c r="AS1380" s="34" t="str">
        <f aca="false">IF($B1380="","",COUNTIF($F1380:$AJ1380,"HPL"))</f>
        <v/>
      </c>
      <c r="AT1380" s="34" t="str">
        <f aca="false">IF($B1380="","",COUNTIF($F1380:$AJ1380,"HCL"))</f>
        <v/>
      </c>
      <c r="AU1380" s="34" t="str">
        <f aca="false">IF($B1380="","",COUNTIF($F1380:$AJ1380,"WO"))</f>
        <v/>
      </c>
      <c r="AV1380" s="34" t="str">
        <f aca="false">IF($B1380="","",COUNTIF($F1380:$AJ1380,"PH"))</f>
        <v/>
      </c>
      <c r="AW1380" s="34" t="str">
        <f aca="false">IF($B1380="","",COUNTIF($F1380:$AJ1380,"TR"))</f>
        <v/>
      </c>
      <c r="AX1380" s="35" t="str">
        <f aca="false">IF($B1380="","",AO1380+AS1380/2)</f>
        <v/>
      </c>
      <c r="AY1380" s="35" t="str">
        <f aca="false">IF($B1380="","",AQ1380)</f>
        <v/>
      </c>
      <c r="AZ1380" s="35" t="str">
        <f aca="false">IF($B1380="","",AP1380+AT1380/2)</f>
        <v/>
      </c>
      <c r="BA1380" s="35" t="str">
        <f aca="false">IF($B1380="","",AK1380+AN1380+AM1380/2+AO1380+AP1380+AQ1380+AR1380+AS1380+AT1380+AU1380+AV1380+AW1380)</f>
        <v/>
      </c>
      <c r="BB1380" s="35" t="str">
        <f aca="false">IF($B1380="","",MAX(0,AN1380-Settings!$C$16)*Settings!$C$17)</f>
        <v/>
      </c>
      <c r="BC1380" s="35" t="str">
        <f aca="false">IF($B1380="","",BA1380-BB1380)</f>
        <v/>
      </c>
      <c r="BD1380" s="35" t="str">
        <f aca="false">IF(OR($B1380="",$A1380=""),"",DAY(EOMONTH($A1380,0))-COUNTA($F1380:$AJ1380))</f>
        <v/>
      </c>
    </row>
    <row r="1381" customFormat="false" ht="15" hidden="false" customHeight="false" outlineLevel="0" collapsed="false">
      <c r="A1381" s="32"/>
      <c r="B1381" s="29"/>
      <c r="C1381" s="10" t="str">
        <f aca="false">IF($B1381="","",IFERROR(INDEX(M_name,MATCH($B1381,M_emp,0)),"Code not found"))</f>
        <v/>
      </c>
      <c r="D1381" s="10" t="str">
        <f aca="false">IF($B1381="","",IFERROR(INDEX(M_dept,MATCH($B1381,M_emp,0)),""))</f>
        <v/>
      </c>
      <c r="E1381" s="10" t="str">
        <f aca="false">IF($B1381="","",IFERROR(INDEX(M_loc,MATCH($B1381,M_emp,0)),""))</f>
        <v/>
      </c>
      <c r="F1381" s="33"/>
      <c r="G1381" s="33"/>
      <c r="H1381" s="33"/>
      <c r="I1381" s="33"/>
      <c r="J1381" s="33"/>
      <c r="K1381" s="33"/>
      <c r="L1381" s="33"/>
      <c r="M1381" s="33"/>
      <c r="N1381" s="33"/>
      <c r="O1381" s="33"/>
      <c r="P1381" s="33"/>
      <c r="Q1381" s="33"/>
      <c r="R1381" s="33"/>
      <c r="S1381" s="33"/>
      <c r="T1381" s="33"/>
      <c r="U1381" s="33"/>
      <c r="V1381" s="33"/>
      <c r="W1381" s="33"/>
      <c r="X1381" s="33"/>
      <c r="Y1381" s="33"/>
      <c r="Z1381" s="33"/>
      <c r="AA1381" s="33"/>
      <c r="AB1381" s="33"/>
      <c r="AC1381" s="33"/>
      <c r="AD1381" s="33"/>
      <c r="AE1381" s="33"/>
      <c r="AF1381" s="33"/>
      <c r="AG1381" s="33"/>
      <c r="AH1381" s="33"/>
      <c r="AI1381" s="33"/>
      <c r="AJ1381" s="33"/>
      <c r="AK1381" s="34" t="str">
        <f aca="false">IF($B1381="","",COUNTIF($F1381:$AJ1381,"P"))</f>
        <v/>
      </c>
      <c r="AL1381" s="34" t="str">
        <f aca="false">IF($B1381="","",COUNTIF($F1381:$AJ1381,"A"))</f>
        <v/>
      </c>
      <c r="AM1381" s="34" t="str">
        <f aca="false">IF($B1381="","",COUNTIF($F1381:$AJ1381,"HA"))</f>
        <v/>
      </c>
      <c r="AN1381" s="34" t="str">
        <f aca="false">IF($B1381="","",COUNTIF($F1381:$AJ1381,"L"))</f>
        <v/>
      </c>
      <c r="AO1381" s="34" t="str">
        <f aca="false">IF($B1381="","",COUNTIF($F1381:$AJ1381,"PL"))</f>
        <v/>
      </c>
      <c r="AP1381" s="34" t="str">
        <f aca="false">IF($B1381="","",COUNTIF($F1381:$AJ1381,"CL"))</f>
        <v/>
      </c>
      <c r="AQ1381" s="34" t="str">
        <f aca="false">IF($B1381="","",COUNTIF($F1381:$AJ1381,"SL"))</f>
        <v/>
      </c>
      <c r="AR1381" s="34" t="str">
        <f aca="false">IF($B1381="","",COUNTIF($F1381:$AJ1381,"CO"))</f>
        <v/>
      </c>
      <c r="AS1381" s="34" t="str">
        <f aca="false">IF($B1381="","",COUNTIF($F1381:$AJ1381,"HPL"))</f>
        <v/>
      </c>
      <c r="AT1381" s="34" t="str">
        <f aca="false">IF($B1381="","",COUNTIF($F1381:$AJ1381,"HCL"))</f>
        <v/>
      </c>
      <c r="AU1381" s="34" t="str">
        <f aca="false">IF($B1381="","",COUNTIF($F1381:$AJ1381,"WO"))</f>
        <v/>
      </c>
      <c r="AV1381" s="34" t="str">
        <f aca="false">IF($B1381="","",COUNTIF($F1381:$AJ1381,"PH"))</f>
        <v/>
      </c>
      <c r="AW1381" s="34" t="str">
        <f aca="false">IF($B1381="","",COUNTIF($F1381:$AJ1381,"TR"))</f>
        <v/>
      </c>
      <c r="AX1381" s="35" t="str">
        <f aca="false">IF($B1381="","",AO1381+AS1381/2)</f>
        <v/>
      </c>
      <c r="AY1381" s="35" t="str">
        <f aca="false">IF($B1381="","",AQ1381)</f>
        <v/>
      </c>
      <c r="AZ1381" s="35" t="str">
        <f aca="false">IF($B1381="","",AP1381+AT1381/2)</f>
        <v/>
      </c>
      <c r="BA1381" s="35" t="str">
        <f aca="false">IF($B1381="","",AK1381+AN1381+AM1381/2+AO1381+AP1381+AQ1381+AR1381+AS1381+AT1381+AU1381+AV1381+AW1381)</f>
        <v/>
      </c>
      <c r="BB1381" s="35" t="str">
        <f aca="false">IF($B1381="","",MAX(0,AN1381-Settings!$C$16)*Settings!$C$17)</f>
        <v/>
      </c>
      <c r="BC1381" s="35" t="str">
        <f aca="false">IF($B1381="","",BA1381-BB1381)</f>
        <v/>
      </c>
      <c r="BD1381" s="35" t="str">
        <f aca="false">IF(OR($B1381="",$A1381=""),"",DAY(EOMONTH($A1381,0))-COUNTA($F1381:$AJ1381))</f>
        <v/>
      </c>
    </row>
    <row r="1382" customFormat="false" ht="15" hidden="false" customHeight="false" outlineLevel="0" collapsed="false">
      <c r="A1382" s="32"/>
      <c r="B1382" s="29"/>
      <c r="C1382" s="10" t="str">
        <f aca="false">IF($B1382="","",IFERROR(INDEX(M_name,MATCH($B1382,M_emp,0)),"Code not found"))</f>
        <v/>
      </c>
      <c r="D1382" s="10" t="str">
        <f aca="false">IF($B1382="","",IFERROR(INDEX(M_dept,MATCH($B1382,M_emp,0)),""))</f>
        <v/>
      </c>
      <c r="E1382" s="10" t="str">
        <f aca="false">IF($B1382="","",IFERROR(INDEX(M_loc,MATCH($B1382,M_emp,0)),""))</f>
        <v/>
      </c>
      <c r="F1382" s="33"/>
      <c r="G1382" s="33"/>
      <c r="H1382" s="33"/>
      <c r="I1382" s="33"/>
      <c r="J1382" s="33"/>
      <c r="K1382" s="33"/>
      <c r="L1382" s="33"/>
      <c r="M1382" s="33"/>
      <c r="N1382" s="33"/>
      <c r="O1382" s="33"/>
      <c r="P1382" s="33"/>
      <c r="Q1382" s="33"/>
      <c r="R1382" s="33"/>
      <c r="S1382" s="33"/>
      <c r="T1382" s="33"/>
      <c r="U1382" s="33"/>
      <c r="V1382" s="33"/>
      <c r="W1382" s="33"/>
      <c r="X1382" s="33"/>
      <c r="Y1382" s="33"/>
      <c r="Z1382" s="33"/>
      <c r="AA1382" s="33"/>
      <c r="AB1382" s="33"/>
      <c r="AC1382" s="33"/>
      <c r="AD1382" s="33"/>
      <c r="AE1382" s="33"/>
      <c r="AF1382" s="33"/>
      <c r="AG1382" s="33"/>
      <c r="AH1382" s="33"/>
      <c r="AI1382" s="33"/>
      <c r="AJ1382" s="33"/>
      <c r="AK1382" s="34" t="str">
        <f aca="false">IF($B1382="","",COUNTIF($F1382:$AJ1382,"P"))</f>
        <v/>
      </c>
      <c r="AL1382" s="34" t="str">
        <f aca="false">IF($B1382="","",COUNTIF($F1382:$AJ1382,"A"))</f>
        <v/>
      </c>
      <c r="AM1382" s="34" t="str">
        <f aca="false">IF($B1382="","",COUNTIF($F1382:$AJ1382,"HA"))</f>
        <v/>
      </c>
      <c r="AN1382" s="34" t="str">
        <f aca="false">IF($B1382="","",COUNTIF($F1382:$AJ1382,"L"))</f>
        <v/>
      </c>
      <c r="AO1382" s="34" t="str">
        <f aca="false">IF($B1382="","",COUNTIF($F1382:$AJ1382,"PL"))</f>
        <v/>
      </c>
      <c r="AP1382" s="34" t="str">
        <f aca="false">IF($B1382="","",COUNTIF($F1382:$AJ1382,"CL"))</f>
        <v/>
      </c>
      <c r="AQ1382" s="34" t="str">
        <f aca="false">IF($B1382="","",COUNTIF($F1382:$AJ1382,"SL"))</f>
        <v/>
      </c>
      <c r="AR1382" s="34" t="str">
        <f aca="false">IF($B1382="","",COUNTIF($F1382:$AJ1382,"CO"))</f>
        <v/>
      </c>
      <c r="AS1382" s="34" t="str">
        <f aca="false">IF($B1382="","",COUNTIF($F1382:$AJ1382,"HPL"))</f>
        <v/>
      </c>
      <c r="AT1382" s="34" t="str">
        <f aca="false">IF($B1382="","",COUNTIF($F1382:$AJ1382,"HCL"))</f>
        <v/>
      </c>
      <c r="AU1382" s="34" t="str">
        <f aca="false">IF($B1382="","",COUNTIF($F1382:$AJ1382,"WO"))</f>
        <v/>
      </c>
      <c r="AV1382" s="34" t="str">
        <f aca="false">IF($B1382="","",COUNTIF($F1382:$AJ1382,"PH"))</f>
        <v/>
      </c>
      <c r="AW1382" s="34" t="str">
        <f aca="false">IF($B1382="","",COUNTIF($F1382:$AJ1382,"TR"))</f>
        <v/>
      </c>
      <c r="AX1382" s="35" t="str">
        <f aca="false">IF($B1382="","",AO1382+AS1382/2)</f>
        <v/>
      </c>
      <c r="AY1382" s="35" t="str">
        <f aca="false">IF($B1382="","",AQ1382)</f>
        <v/>
      </c>
      <c r="AZ1382" s="35" t="str">
        <f aca="false">IF($B1382="","",AP1382+AT1382/2)</f>
        <v/>
      </c>
      <c r="BA1382" s="35" t="str">
        <f aca="false">IF($B1382="","",AK1382+AN1382+AM1382/2+AO1382+AP1382+AQ1382+AR1382+AS1382+AT1382+AU1382+AV1382+AW1382)</f>
        <v/>
      </c>
      <c r="BB1382" s="35" t="str">
        <f aca="false">IF($B1382="","",MAX(0,AN1382-Settings!$C$16)*Settings!$C$17)</f>
        <v/>
      </c>
      <c r="BC1382" s="35" t="str">
        <f aca="false">IF($B1382="","",BA1382-BB1382)</f>
        <v/>
      </c>
      <c r="BD1382" s="35" t="str">
        <f aca="false">IF(OR($B1382="",$A1382=""),"",DAY(EOMONTH($A1382,0))-COUNTA($F1382:$AJ1382))</f>
        <v/>
      </c>
    </row>
    <row r="1383" customFormat="false" ht="15" hidden="false" customHeight="false" outlineLevel="0" collapsed="false">
      <c r="A1383" s="32"/>
      <c r="B1383" s="29"/>
      <c r="C1383" s="10" t="str">
        <f aca="false">IF($B1383="","",IFERROR(INDEX(M_name,MATCH($B1383,M_emp,0)),"Code not found"))</f>
        <v/>
      </c>
      <c r="D1383" s="10" t="str">
        <f aca="false">IF($B1383="","",IFERROR(INDEX(M_dept,MATCH($B1383,M_emp,0)),""))</f>
        <v/>
      </c>
      <c r="E1383" s="10" t="str">
        <f aca="false">IF($B1383="","",IFERROR(INDEX(M_loc,MATCH($B1383,M_emp,0)),""))</f>
        <v/>
      </c>
      <c r="F1383" s="33"/>
      <c r="G1383" s="33"/>
      <c r="H1383" s="33"/>
      <c r="I1383" s="33"/>
      <c r="J1383" s="33"/>
      <c r="K1383" s="33"/>
      <c r="L1383" s="33"/>
      <c r="M1383" s="33"/>
      <c r="N1383" s="33"/>
      <c r="O1383" s="33"/>
      <c r="P1383" s="33"/>
      <c r="Q1383" s="33"/>
      <c r="R1383" s="33"/>
      <c r="S1383" s="33"/>
      <c r="T1383" s="33"/>
      <c r="U1383" s="33"/>
      <c r="V1383" s="33"/>
      <c r="W1383" s="33"/>
      <c r="X1383" s="33"/>
      <c r="Y1383" s="33"/>
      <c r="Z1383" s="33"/>
      <c r="AA1383" s="33"/>
      <c r="AB1383" s="33"/>
      <c r="AC1383" s="33"/>
      <c r="AD1383" s="33"/>
      <c r="AE1383" s="33"/>
      <c r="AF1383" s="33"/>
      <c r="AG1383" s="33"/>
      <c r="AH1383" s="33"/>
      <c r="AI1383" s="33"/>
      <c r="AJ1383" s="33"/>
      <c r="AK1383" s="34" t="str">
        <f aca="false">IF($B1383="","",COUNTIF($F1383:$AJ1383,"P"))</f>
        <v/>
      </c>
      <c r="AL1383" s="34" t="str">
        <f aca="false">IF($B1383="","",COUNTIF($F1383:$AJ1383,"A"))</f>
        <v/>
      </c>
      <c r="AM1383" s="34" t="str">
        <f aca="false">IF($B1383="","",COUNTIF($F1383:$AJ1383,"HA"))</f>
        <v/>
      </c>
      <c r="AN1383" s="34" t="str">
        <f aca="false">IF($B1383="","",COUNTIF($F1383:$AJ1383,"L"))</f>
        <v/>
      </c>
      <c r="AO1383" s="34" t="str">
        <f aca="false">IF($B1383="","",COUNTIF($F1383:$AJ1383,"PL"))</f>
        <v/>
      </c>
      <c r="AP1383" s="34" t="str">
        <f aca="false">IF($B1383="","",COUNTIF($F1383:$AJ1383,"CL"))</f>
        <v/>
      </c>
      <c r="AQ1383" s="34" t="str">
        <f aca="false">IF($B1383="","",COUNTIF($F1383:$AJ1383,"SL"))</f>
        <v/>
      </c>
      <c r="AR1383" s="34" t="str">
        <f aca="false">IF($B1383="","",COUNTIF($F1383:$AJ1383,"CO"))</f>
        <v/>
      </c>
      <c r="AS1383" s="34" t="str">
        <f aca="false">IF($B1383="","",COUNTIF($F1383:$AJ1383,"HPL"))</f>
        <v/>
      </c>
      <c r="AT1383" s="34" t="str">
        <f aca="false">IF($B1383="","",COUNTIF($F1383:$AJ1383,"HCL"))</f>
        <v/>
      </c>
      <c r="AU1383" s="34" t="str">
        <f aca="false">IF($B1383="","",COUNTIF($F1383:$AJ1383,"WO"))</f>
        <v/>
      </c>
      <c r="AV1383" s="34" t="str">
        <f aca="false">IF($B1383="","",COUNTIF($F1383:$AJ1383,"PH"))</f>
        <v/>
      </c>
      <c r="AW1383" s="34" t="str">
        <f aca="false">IF($B1383="","",COUNTIF($F1383:$AJ1383,"TR"))</f>
        <v/>
      </c>
      <c r="AX1383" s="35" t="str">
        <f aca="false">IF($B1383="","",AO1383+AS1383/2)</f>
        <v/>
      </c>
      <c r="AY1383" s="35" t="str">
        <f aca="false">IF($B1383="","",AQ1383)</f>
        <v/>
      </c>
      <c r="AZ1383" s="35" t="str">
        <f aca="false">IF($B1383="","",AP1383+AT1383/2)</f>
        <v/>
      </c>
      <c r="BA1383" s="35" t="str">
        <f aca="false">IF($B1383="","",AK1383+AN1383+AM1383/2+AO1383+AP1383+AQ1383+AR1383+AS1383+AT1383+AU1383+AV1383+AW1383)</f>
        <v/>
      </c>
      <c r="BB1383" s="35" t="str">
        <f aca="false">IF($B1383="","",MAX(0,AN1383-Settings!$C$16)*Settings!$C$17)</f>
        <v/>
      </c>
      <c r="BC1383" s="35" t="str">
        <f aca="false">IF($B1383="","",BA1383-BB1383)</f>
        <v/>
      </c>
      <c r="BD1383" s="35" t="str">
        <f aca="false">IF(OR($B1383="",$A1383=""),"",DAY(EOMONTH($A1383,0))-COUNTA($F1383:$AJ1383))</f>
        <v/>
      </c>
    </row>
    <row r="1384" customFormat="false" ht="15" hidden="false" customHeight="false" outlineLevel="0" collapsed="false">
      <c r="A1384" s="32"/>
      <c r="B1384" s="29"/>
      <c r="C1384" s="10" t="str">
        <f aca="false">IF($B1384="","",IFERROR(INDEX(M_name,MATCH($B1384,M_emp,0)),"Code not found"))</f>
        <v/>
      </c>
      <c r="D1384" s="10" t="str">
        <f aca="false">IF($B1384="","",IFERROR(INDEX(M_dept,MATCH($B1384,M_emp,0)),""))</f>
        <v/>
      </c>
      <c r="E1384" s="10" t="str">
        <f aca="false">IF($B1384="","",IFERROR(INDEX(M_loc,MATCH($B1384,M_emp,0)),""))</f>
        <v/>
      </c>
      <c r="F1384" s="33"/>
      <c r="G1384" s="33"/>
      <c r="H1384" s="33"/>
      <c r="I1384" s="33"/>
      <c r="J1384" s="33"/>
      <c r="K1384" s="33"/>
      <c r="L1384" s="33"/>
      <c r="M1384" s="33"/>
      <c r="N1384" s="33"/>
      <c r="O1384" s="33"/>
      <c r="P1384" s="33"/>
      <c r="Q1384" s="33"/>
      <c r="R1384" s="33"/>
      <c r="S1384" s="33"/>
      <c r="T1384" s="33"/>
      <c r="U1384" s="33"/>
      <c r="V1384" s="33"/>
      <c r="W1384" s="33"/>
      <c r="X1384" s="33"/>
      <c r="Y1384" s="33"/>
      <c r="Z1384" s="33"/>
      <c r="AA1384" s="33"/>
      <c r="AB1384" s="33"/>
      <c r="AC1384" s="33"/>
      <c r="AD1384" s="33"/>
      <c r="AE1384" s="33"/>
      <c r="AF1384" s="33"/>
      <c r="AG1384" s="33"/>
      <c r="AH1384" s="33"/>
      <c r="AI1384" s="33"/>
      <c r="AJ1384" s="33"/>
      <c r="AK1384" s="34" t="str">
        <f aca="false">IF($B1384="","",COUNTIF($F1384:$AJ1384,"P"))</f>
        <v/>
      </c>
      <c r="AL1384" s="34" t="str">
        <f aca="false">IF($B1384="","",COUNTIF($F1384:$AJ1384,"A"))</f>
        <v/>
      </c>
      <c r="AM1384" s="34" t="str">
        <f aca="false">IF($B1384="","",COUNTIF($F1384:$AJ1384,"HA"))</f>
        <v/>
      </c>
      <c r="AN1384" s="34" t="str">
        <f aca="false">IF($B1384="","",COUNTIF($F1384:$AJ1384,"L"))</f>
        <v/>
      </c>
      <c r="AO1384" s="34" t="str">
        <f aca="false">IF($B1384="","",COUNTIF($F1384:$AJ1384,"PL"))</f>
        <v/>
      </c>
      <c r="AP1384" s="34" t="str">
        <f aca="false">IF($B1384="","",COUNTIF($F1384:$AJ1384,"CL"))</f>
        <v/>
      </c>
      <c r="AQ1384" s="34" t="str">
        <f aca="false">IF($B1384="","",COUNTIF($F1384:$AJ1384,"SL"))</f>
        <v/>
      </c>
      <c r="AR1384" s="34" t="str">
        <f aca="false">IF($B1384="","",COUNTIF($F1384:$AJ1384,"CO"))</f>
        <v/>
      </c>
      <c r="AS1384" s="34" t="str">
        <f aca="false">IF($B1384="","",COUNTIF($F1384:$AJ1384,"HPL"))</f>
        <v/>
      </c>
      <c r="AT1384" s="34" t="str">
        <f aca="false">IF($B1384="","",COUNTIF($F1384:$AJ1384,"HCL"))</f>
        <v/>
      </c>
      <c r="AU1384" s="34" t="str">
        <f aca="false">IF($B1384="","",COUNTIF($F1384:$AJ1384,"WO"))</f>
        <v/>
      </c>
      <c r="AV1384" s="34" t="str">
        <f aca="false">IF($B1384="","",COUNTIF($F1384:$AJ1384,"PH"))</f>
        <v/>
      </c>
      <c r="AW1384" s="34" t="str">
        <f aca="false">IF($B1384="","",COUNTIF($F1384:$AJ1384,"TR"))</f>
        <v/>
      </c>
      <c r="AX1384" s="35" t="str">
        <f aca="false">IF($B1384="","",AO1384+AS1384/2)</f>
        <v/>
      </c>
      <c r="AY1384" s="35" t="str">
        <f aca="false">IF($B1384="","",AQ1384)</f>
        <v/>
      </c>
      <c r="AZ1384" s="35" t="str">
        <f aca="false">IF($B1384="","",AP1384+AT1384/2)</f>
        <v/>
      </c>
      <c r="BA1384" s="35" t="str">
        <f aca="false">IF($B1384="","",AK1384+AN1384+AM1384/2+AO1384+AP1384+AQ1384+AR1384+AS1384+AT1384+AU1384+AV1384+AW1384)</f>
        <v/>
      </c>
      <c r="BB1384" s="35" t="str">
        <f aca="false">IF($B1384="","",MAX(0,AN1384-Settings!$C$16)*Settings!$C$17)</f>
        <v/>
      </c>
      <c r="BC1384" s="35" t="str">
        <f aca="false">IF($B1384="","",BA1384-BB1384)</f>
        <v/>
      </c>
      <c r="BD1384" s="35" t="str">
        <f aca="false">IF(OR($B1384="",$A1384=""),"",DAY(EOMONTH($A1384,0))-COUNTA($F1384:$AJ1384))</f>
        <v/>
      </c>
    </row>
    <row r="1385" customFormat="false" ht="15" hidden="false" customHeight="false" outlineLevel="0" collapsed="false">
      <c r="A1385" s="32"/>
      <c r="B1385" s="29"/>
      <c r="C1385" s="10" t="str">
        <f aca="false">IF($B1385="","",IFERROR(INDEX(M_name,MATCH($B1385,M_emp,0)),"Code not found"))</f>
        <v/>
      </c>
      <c r="D1385" s="10" t="str">
        <f aca="false">IF($B1385="","",IFERROR(INDEX(M_dept,MATCH($B1385,M_emp,0)),""))</f>
        <v/>
      </c>
      <c r="E1385" s="10" t="str">
        <f aca="false">IF($B1385="","",IFERROR(INDEX(M_loc,MATCH($B1385,M_emp,0)),""))</f>
        <v/>
      </c>
      <c r="F1385" s="33"/>
      <c r="G1385" s="33"/>
      <c r="H1385" s="33"/>
      <c r="I1385" s="33"/>
      <c r="J1385" s="33"/>
      <c r="K1385" s="33"/>
      <c r="L1385" s="33"/>
      <c r="M1385" s="33"/>
      <c r="N1385" s="33"/>
      <c r="O1385" s="33"/>
      <c r="P1385" s="33"/>
      <c r="Q1385" s="33"/>
      <c r="R1385" s="33"/>
      <c r="S1385" s="33"/>
      <c r="T1385" s="33"/>
      <c r="U1385" s="33"/>
      <c r="V1385" s="33"/>
      <c r="W1385" s="33"/>
      <c r="X1385" s="33"/>
      <c r="Y1385" s="33"/>
      <c r="Z1385" s="33"/>
      <c r="AA1385" s="33"/>
      <c r="AB1385" s="33"/>
      <c r="AC1385" s="33"/>
      <c r="AD1385" s="33"/>
      <c r="AE1385" s="33"/>
      <c r="AF1385" s="33"/>
      <c r="AG1385" s="33"/>
      <c r="AH1385" s="33"/>
      <c r="AI1385" s="33"/>
      <c r="AJ1385" s="33"/>
      <c r="AK1385" s="34" t="str">
        <f aca="false">IF($B1385="","",COUNTIF($F1385:$AJ1385,"P"))</f>
        <v/>
      </c>
      <c r="AL1385" s="34" t="str">
        <f aca="false">IF($B1385="","",COUNTIF($F1385:$AJ1385,"A"))</f>
        <v/>
      </c>
      <c r="AM1385" s="34" t="str">
        <f aca="false">IF($B1385="","",COUNTIF($F1385:$AJ1385,"HA"))</f>
        <v/>
      </c>
      <c r="AN1385" s="34" t="str">
        <f aca="false">IF($B1385="","",COUNTIF($F1385:$AJ1385,"L"))</f>
        <v/>
      </c>
      <c r="AO1385" s="34" t="str">
        <f aca="false">IF($B1385="","",COUNTIF($F1385:$AJ1385,"PL"))</f>
        <v/>
      </c>
      <c r="AP1385" s="34" t="str">
        <f aca="false">IF($B1385="","",COUNTIF($F1385:$AJ1385,"CL"))</f>
        <v/>
      </c>
      <c r="AQ1385" s="34" t="str">
        <f aca="false">IF($B1385="","",COUNTIF($F1385:$AJ1385,"SL"))</f>
        <v/>
      </c>
      <c r="AR1385" s="34" t="str">
        <f aca="false">IF($B1385="","",COUNTIF($F1385:$AJ1385,"CO"))</f>
        <v/>
      </c>
      <c r="AS1385" s="34" t="str">
        <f aca="false">IF($B1385="","",COUNTIF($F1385:$AJ1385,"HPL"))</f>
        <v/>
      </c>
      <c r="AT1385" s="34" t="str">
        <f aca="false">IF($B1385="","",COUNTIF($F1385:$AJ1385,"HCL"))</f>
        <v/>
      </c>
      <c r="AU1385" s="34" t="str">
        <f aca="false">IF($B1385="","",COUNTIF($F1385:$AJ1385,"WO"))</f>
        <v/>
      </c>
      <c r="AV1385" s="34" t="str">
        <f aca="false">IF($B1385="","",COUNTIF($F1385:$AJ1385,"PH"))</f>
        <v/>
      </c>
      <c r="AW1385" s="34" t="str">
        <f aca="false">IF($B1385="","",COUNTIF($F1385:$AJ1385,"TR"))</f>
        <v/>
      </c>
      <c r="AX1385" s="35" t="str">
        <f aca="false">IF($B1385="","",AO1385+AS1385/2)</f>
        <v/>
      </c>
      <c r="AY1385" s="35" t="str">
        <f aca="false">IF($B1385="","",AQ1385)</f>
        <v/>
      </c>
      <c r="AZ1385" s="35" t="str">
        <f aca="false">IF($B1385="","",AP1385+AT1385/2)</f>
        <v/>
      </c>
      <c r="BA1385" s="35" t="str">
        <f aca="false">IF($B1385="","",AK1385+AN1385+AM1385/2+AO1385+AP1385+AQ1385+AR1385+AS1385+AT1385+AU1385+AV1385+AW1385)</f>
        <v/>
      </c>
      <c r="BB1385" s="35" t="str">
        <f aca="false">IF($B1385="","",MAX(0,AN1385-Settings!$C$16)*Settings!$C$17)</f>
        <v/>
      </c>
      <c r="BC1385" s="35" t="str">
        <f aca="false">IF($B1385="","",BA1385-BB1385)</f>
        <v/>
      </c>
      <c r="BD1385" s="35" t="str">
        <f aca="false">IF(OR($B1385="",$A1385=""),"",DAY(EOMONTH($A1385,0))-COUNTA($F1385:$AJ1385))</f>
        <v/>
      </c>
    </row>
    <row r="1386" customFormat="false" ht="15" hidden="false" customHeight="false" outlineLevel="0" collapsed="false">
      <c r="A1386" s="32"/>
      <c r="B1386" s="29"/>
      <c r="C1386" s="10" t="str">
        <f aca="false">IF($B1386="","",IFERROR(INDEX(M_name,MATCH($B1386,M_emp,0)),"Code not found"))</f>
        <v/>
      </c>
      <c r="D1386" s="10" t="str">
        <f aca="false">IF($B1386="","",IFERROR(INDEX(M_dept,MATCH($B1386,M_emp,0)),""))</f>
        <v/>
      </c>
      <c r="E1386" s="10" t="str">
        <f aca="false">IF($B1386="","",IFERROR(INDEX(M_loc,MATCH($B1386,M_emp,0)),""))</f>
        <v/>
      </c>
      <c r="F1386" s="33"/>
      <c r="G1386" s="33"/>
      <c r="H1386" s="33"/>
      <c r="I1386" s="33"/>
      <c r="J1386" s="33"/>
      <c r="K1386" s="33"/>
      <c r="L1386" s="33"/>
      <c r="M1386" s="33"/>
      <c r="N1386" s="33"/>
      <c r="O1386" s="33"/>
      <c r="P1386" s="33"/>
      <c r="Q1386" s="33"/>
      <c r="R1386" s="33"/>
      <c r="S1386" s="33"/>
      <c r="T1386" s="33"/>
      <c r="U1386" s="33"/>
      <c r="V1386" s="33"/>
      <c r="W1386" s="33"/>
      <c r="X1386" s="33"/>
      <c r="Y1386" s="33"/>
      <c r="Z1386" s="33"/>
      <c r="AA1386" s="33"/>
      <c r="AB1386" s="33"/>
      <c r="AC1386" s="33"/>
      <c r="AD1386" s="33"/>
      <c r="AE1386" s="33"/>
      <c r="AF1386" s="33"/>
      <c r="AG1386" s="33"/>
      <c r="AH1386" s="33"/>
      <c r="AI1386" s="33"/>
      <c r="AJ1386" s="33"/>
      <c r="AK1386" s="34" t="str">
        <f aca="false">IF($B1386="","",COUNTIF($F1386:$AJ1386,"P"))</f>
        <v/>
      </c>
      <c r="AL1386" s="34" t="str">
        <f aca="false">IF($B1386="","",COUNTIF($F1386:$AJ1386,"A"))</f>
        <v/>
      </c>
      <c r="AM1386" s="34" t="str">
        <f aca="false">IF($B1386="","",COUNTIF($F1386:$AJ1386,"HA"))</f>
        <v/>
      </c>
      <c r="AN1386" s="34" t="str">
        <f aca="false">IF($B1386="","",COUNTIF($F1386:$AJ1386,"L"))</f>
        <v/>
      </c>
      <c r="AO1386" s="34" t="str">
        <f aca="false">IF($B1386="","",COUNTIF($F1386:$AJ1386,"PL"))</f>
        <v/>
      </c>
      <c r="AP1386" s="34" t="str">
        <f aca="false">IF($B1386="","",COUNTIF($F1386:$AJ1386,"CL"))</f>
        <v/>
      </c>
      <c r="AQ1386" s="34" t="str">
        <f aca="false">IF($B1386="","",COUNTIF($F1386:$AJ1386,"SL"))</f>
        <v/>
      </c>
      <c r="AR1386" s="34" t="str">
        <f aca="false">IF($B1386="","",COUNTIF($F1386:$AJ1386,"CO"))</f>
        <v/>
      </c>
      <c r="AS1386" s="34" t="str">
        <f aca="false">IF($B1386="","",COUNTIF($F1386:$AJ1386,"HPL"))</f>
        <v/>
      </c>
      <c r="AT1386" s="34" t="str">
        <f aca="false">IF($B1386="","",COUNTIF($F1386:$AJ1386,"HCL"))</f>
        <v/>
      </c>
      <c r="AU1386" s="34" t="str">
        <f aca="false">IF($B1386="","",COUNTIF($F1386:$AJ1386,"WO"))</f>
        <v/>
      </c>
      <c r="AV1386" s="34" t="str">
        <f aca="false">IF($B1386="","",COUNTIF($F1386:$AJ1386,"PH"))</f>
        <v/>
      </c>
      <c r="AW1386" s="34" t="str">
        <f aca="false">IF($B1386="","",COUNTIF($F1386:$AJ1386,"TR"))</f>
        <v/>
      </c>
      <c r="AX1386" s="35" t="str">
        <f aca="false">IF($B1386="","",AO1386+AS1386/2)</f>
        <v/>
      </c>
      <c r="AY1386" s="35" t="str">
        <f aca="false">IF($B1386="","",AQ1386)</f>
        <v/>
      </c>
      <c r="AZ1386" s="35" t="str">
        <f aca="false">IF($B1386="","",AP1386+AT1386/2)</f>
        <v/>
      </c>
      <c r="BA1386" s="35" t="str">
        <f aca="false">IF($B1386="","",AK1386+AN1386+AM1386/2+AO1386+AP1386+AQ1386+AR1386+AS1386+AT1386+AU1386+AV1386+AW1386)</f>
        <v/>
      </c>
      <c r="BB1386" s="35" t="str">
        <f aca="false">IF($B1386="","",MAX(0,AN1386-Settings!$C$16)*Settings!$C$17)</f>
        <v/>
      </c>
      <c r="BC1386" s="35" t="str">
        <f aca="false">IF($B1386="","",BA1386-BB1386)</f>
        <v/>
      </c>
      <c r="BD1386" s="35" t="str">
        <f aca="false">IF(OR($B1386="",$A1386=""),"",DAY(EOMONTH($A1386,0))-COUNTA($F1386:$AJ1386))</f>
        <v/>
      </c>
    </row>
    <row r="1387" customFormat="false" ht="15" hidden="false" customHeight="false" outlineLevel="0" collapsed="false">
      <c r="A1387" s="32"/>
      <c r="B1387" s="29"/>
      <c r="C1387" s="10" t="str">
        <f aca="false">IF($B1387="","",IFERROR(INDEX(M_name,MATCH($B1387,M_emp,0)),"Code not found"))</f>
        <v/>
      </c>
      <c r="D1387" s="10" t="str">
        <f aca="false">IF($B1387="","",IFERROR(INDEX(M_dept,MATCH($B1387,M_emp,0)),""))</f>
        <v/>
      </c>
      <c r="E1387" s="10" t="str">
        <f aca="false">IF($B1387="","",IFERROR(INDEX(M_loc,MATCH($B1387,M_emp,0)),""))</f>
        <v/>
      </c>
      <c r="F1387" s="33"/>
      <c r="G1387" s="33"/>
      <c r="H1387" s="33"/>
      <c r="I1387" s="33"/>
      <c r="J1387" s="33"/>
      <c r="K1387" s="33"/>
      <c r="L1387" s="33"/>
      <c r="M1387" s="33"/>
      <c r="N1387" s="33"/>
      <c r="O1387" s="33"/>
      <c r="P1387" s="33"/>
      <c r="Q1387" s="33"/>
      <c r="R1387" s="33"/>
      <c r="S1387" s="33"/>
      <c r="T1387" s="33"/>
      <c r="U1387" s="33"/>
      <c r="V1387" s="33"/>
      <c r="W1387" s="33"/>
      <c r="X1387" s="33"/>
      <c r="Y1387" s="33"/>
      <c r="Z1387" s="33"/>
      <c r="AA1387" s="33"/>
      <c r="AB1387" s="33"/>
      <c r="AC1387" s="33"/>
      <c r="AD1387" s="33"/>
      <c r="AE1387" s="33"/>
      <c r="AF1387" s="33"/>
      <c r="AG1387" s="33"/>
      <c r="AH1387" s="33"/>
      <c r="AI1387" s="33"/>
      <c r="AJ1387" s="33"/>
      <c r="AK1387" s="34" t="str">
        <f aca="false">IF($B1387="","",COUNTIF($F1387:$AJ1387,"P"))</f>
        <v/>
      </c>
      <c r="AL1387" s="34" t="str">
        <f aca="false">IF($B1387="","",COUNTIF($F1387:$AJ1387,"A"))</f>
        <v/>
      </c>
      <c r="AM1387" s="34" t="str">
        <f aca="false">IF($B1387="","",COUNTIF($F1387:$AJ1387,"HA"))</f>
        <v/>
      </c>
      <c r="AN1387" s="34" t="str">
        <f aca="false">IF($B1387="","",COUNTIF($F1387:$AJ1387,"L"))</f>
        <v/>
      </c>
      <c r="AO1387" s="34" t="str">
        <f aca="false">IF($B1387="","",COUNTIF($F1387:$AJ1387,"PL"))</f>
        <v/>
      </c>
      <c r="AP1387" s="34" t="str">
        <f aca="false">IF($B1387="","",COUNTIF($F1387:$AJ1387,"CL"))</f>
        <v/>
      </c>
      <c r="AQ1387" s="34" t="str">
        <f aca="false">IF($B1387="","",COUNTIF($F1387:$AJ1387,"SL"))</f>
        <v/>
      </c>
      <c r="AR1387" s="34" t="str">
        <f aca="false">IF($B1387="","",COUNTIF($F1387:$AJ1387,"CO"))</f>
        <v/>
      </c>
      <c r="AS1387" s="34" t="str">
        <f aca="false">IF($B1387="","",COUNTIF($F1387:$AJ1387,"HPL"))</f>
        <v/>
      </c>
      <c r="AT1387" s="34" t="str">
        <f aca="false">IF($B1387="","",COUNTIF($F1387:$AJ1387,"HCL"))</f>
        <v/>
      </c>
      <c r="AU1387" s="34" t="str">
        <f aca="false">IF($B1387="","",COUNTIF($F1387:$AJ1387,"WO"))</f>
        <v/>
      </c>
      <c r="AV1387" s="34" t="str">
        <f aca="false">IF($B1387="","",COUNTIF($F1387:$AJ1387,"PH"))</f>
        <v/>
      </c>
      <c r="AW1387" s="34" t="str">
        <f aca="false">IF($B1387="","",COUNTIF($F1387:$AJ1387,"TR"))</f>
        <v/>
      </c>
      <c r="AX1387" s="35" t="str">
        <f aca="false">IF($B1387="","",AO1387+AS1387/2)</f>
        <v/>
      </c>
      <c r="AY1387" s="35" t="str">
        <f aca="false">IF($B1387="","",AQ1387)</f>
        <v/>
      </c>
      <c r="AZ1387" s="35" t="str">
        <f aca="false">IF($B1387="","",AP1387+AT1387/2)</f>
        <v/>
      </c>
      <c r="BA1387" s="35" t="str">
        <f aca="false">IF($B1387="","",AK1387+AN1387+AM1387/2+AO1387+AP1387+AQ1387+AR1387+AS1387+AT1387+AU1387+AV1387+AW1387)</f>
        <v/>
      </c>
      <c r="BB1387" s="35" t="str">
        <f aca="false">IF($B1387="","",MAX(0,AN1387-Settings!$C$16)*Settings!$C$17)</f>
        <v/>
      </c>
      <c r="BC1387" s="35" t="str">
        <f aca="false">IF($B1387="","",BA1387-BB1387)</f>
        <v/>
      </c>
      <c r="BD1387" s="35" t="str">
        <f aca="false">IF(OR($B1387="",$A1387=""),"",DAY(EOMONTH($A1387,0))-COUNTA($F1387:$AJ1387))</f>
        <v/>
      </c>
    </row>
    <row r="1388" customFormat="false" ht="15" hidden="false" customHeight="false" outlineLevel="0" collapsed="false">
      <c r="A1388" s="32"/>
      <c r="B1388" s="29"/>
      <c r="C1388" s="10" t="str">
        <f aca="false">IF($B1388="","",IFERROR(INDEX(M_name,MATCH($B1388,M_emp,0)),"Code not found"))</f>
        <v/>
      </c>
      <c r="D1388" s="10" t="str">
        <f aca="false">IF($B1388="","",IFERROR(INDEX(M_dept,MATCH($B1388,M_emp,0)),""))</f>
        <v/>
      </c>
      <c r="E1388" s="10" t="str">
        <f aca="false">IF($B1388="","",IFERROR(INDEX(M_loc,MATCH($B1388,M_emp,0)),""))</f>
        <v/>
      </c>
      <c r="F1388" s="33"/>
      <c r="G1388" s="33"/>
      <c r="H1388" s="33"/>
      <c r="I1388" s="33"/>
      <c r="J1388" s="33"/>
      <c r="K1388" s="33"/>
      <c r="L1388" s="33"/>
      <c r="M1388" s="33"/>
      <c r="N1388" s="33"/>
      <c r="O1388" s="33"/>
      <c r="P1388" s="33"/>
      <c r="Q1388" s="33"/>
      <c r="R1388" s="33"/>
      <c r="S1388" s="33"/>
      <c r="T1388" s="33"/>
      <c r="U1388" s="33"/>
      <c r="V1388" s="33"/>
      <c r="W1388" s="33"/>
      <c r="X1388" s="33"/>
      <c r="Y1388" s="33"/>
      <c r="Z1388" s="33"/>
      <c r="AA1388" s="33"/>
      <c r="AB1388" s="33"/>
      <c r="AC1388" s="33"/>
      <c r="AD1388" s="33"/>
      <c r="AE1388" s="33"/>
      <c r="AF1388" s="33"/>
      <c r="AG1388" s="33"/>
      <c r="AH1388" s="33"/>
      <c r="AI1388" s="33"/>
      <c r="AJ1388" s="33"/>
      <c r="AK1388" s="34" t="str">
        <f aca="false">IF($B1388="","",COUNTIF($F1388:$AJ1388,"P"))</f>
        <v/>
      </c>
      <c r="AL1388" s="34" t="str">
        <f aca="false">IF($B1388="","",COUNTIF($F1388:$AJ1388,"A"))</f>
        <v/>
      </c>
      <c r="AM1388" s="34" t="str">
        <f aca="false">IF($B1388="","",COUNTIF($F1388:$AJ1388,"HA"))</f>
        <v/>
      </c>
      <c r="AN1388" s="34" t="str">
        <f aca="false">IF($B1388="","",COUNTIF($F1388:$AJ1388,"L"))</f>
        <v/>
      </c>
      <c r="AO1388" s="34" t="str">
        <f aca="false">IF($B1388="","",COUNTIF($F1388:$AJ1388,"PL"))</f>
        <v/>
      </c>
      <c r="AP1388" s="34" t="str">
        <f aca="false">IF($B1388="","",COUNTIF($F1388:$AJ1388,"CL"))</f>
        <v/>
      </c>
      <c r="AQ1388" s="34" t="str">
        <f aca="false">IF($B1388="","",COUNTIF($F1388:$AJ1388,"SL"))</f>
        <v/>
      </c>
      <c r="AR1388" s="34" t="str">
        <f aca="false">IF($B1388="","",COUNTIF($F1388:$AJ1388,"CO"))</f>
        <v/>
      </c>
      <c r="AS1388" s="34" t="str">
        <f aca="false">IF($B1388="","",COUNTIF($F1388:$AJ1388,"HPL"))</f>
        <v/>
      </c>
      <c r="AT1388" s="34" t="str">
        <f aca="false">IF($B1388="","",COUNTIF($F1388:$AJ1388,"HCL"))</f>
        <v/>
      </c>
      <c r="AU1388" s="34" t="str">
        <f aca="false">IF($B1388="","",COUNTIF($F1388:$AJ1388,"WO"))</f>
        <v/>
      </c>
      <c r="AV1388" s="34" t="str">
        <f aca="false">IF($B1388="","",COUNTIF($F1388:$AJ1388,"PH"))</f>
        <v/>
      </c>
      <c r="AW1388" s="34" t="str">
        <f aca="false">IF($B1388="","",COUNTIF($F1388:$AJ1388,"TR"))</f>
        <v/>
      </c>
      <c r="AX1388" s="35" t="str">
        <f aca="false">IF($B1388="","",AO1388+AS1388/2)</f>
        <v/>
      </c>
      <c r="AY1388" s="35" t="str">
        <f aca="false">IF($B1388="","",AQ1388)</f>
        <v/>
      </c>
      <c r="AZ1388" s="35" t="str">
        <f aca="false">IF($B1388="","",AP1388+AT1388/2)</f>
        <v/>
      </c>
      <c r="BA1388" s="35" t="str">
        <f aca="false">IF($B1388="","",AK1388+AN1388+AM1388/2+AO1388+AP1388+AQ1388+AR1388+AS1388+AT1388+AU1388+AV1388+AW1388)</f>
        <v/>
      </c>
      <c r="BB1388" s="35" t="str">
        <f aca="false">IF($B1388="","",MAX(0,AN1388-Settings!$C$16)*Settings!$C$17)</f>
        <v/>
      </c>
      <c r="BC1388" s="35" t="str">
        <f aca="false">IF($B1388="","",BA1388-BB1388)</f>
        <v/>
      </c>
      <c r="BD1388" s="35" t="str">
        <f aca="false">IF(OR($B1388="",$A1388=""),"",DAY(EOMONTH($A1388,0))-COUNTA($F1388:$AJ1388))</f>
        <v/>
      </c>
    </row>
    <row r="1389" customFormat="false" ht="15" hidden="false" customHeight="false" outlineLevel="0" collapsed="false">
      <c r="A1389" s="32"/>
      <c r="B1389" s="29"/>
      <c r="C1389" s="10" t="str">
        <f aca="false">IF($B1389="","",IFERROR(INDEX(M_name,MATCH($B1389,M_emp,0)),"Code not found"))</f>
        <v/>
      </c>
      <c r="D1389" s="10" t="str">
        <f aca="false">IF($B1389="","",IFERROR(INDEX(M_dept,MATCH($B1389,M_emp,0)),""))</f>
        <v/>
      </c>
      <c r="E1389" s="10" t="str">
        <f aca="false">IF($B1389="","",IFERROR(INDEX(M_loc,MATCH($B1389,M_emp,0)),""))</f>
        <v/>
      </c>
      <c r="F1389" s="33"/>
      <c r="G1389" s="33"/>
      <c r="H1389" s="33"/>
      <c r="I1389" s="33"/>
      <c r="J1389" s="33"/>
      <c r="K1389" s="33"/>
      <c r="L1389" s="33"/>
      <c r="M1389" s="33"/>
      <c r="N1389" s="33"/>
      <c r="O1389" s="33"/>
      <c r="P1389" s="33"/>
      <c r="Q1389" s="33"/>
      <c r="R1389" s="33"/>
      <c r="S1389" s="33"/>
      <c r="T1389" s="33"/>
      <c r="U1389" s="33"/>
      <c r="V1389" s="33"/>
      <c r="W1389" s="33"/>
      <c r="X1389" s="33"/>
      <c r="Y1389" s="33"/>
      <c r="Z1389" s="33"/>
      <c r="AA1389" s="33"/>
      <c r="AB1389" s="33"/>
      <c r="AC1389" s="33"/>
      <c r="AD1389" s="33"/>
      <c r="AE1389" s="33"/>
      <c r="AF1389" s="33"/>
      <c r="AG1389" s="33"/>
      <c r="AH1389" s="33"/>
      <c r="AI1389" s="33"/>
      <c r="AJ1389" s="33"/>
      <c r="AK1389" s="34" t="str">
        <f aca="false">IF($B1389="","",COUNTIF($F1389:$AJ1389,"P"))</f>
        <v/>
      </c>
      <c r="AL1389" s="34" t="str">
        <f aca="false">IF($B1389="","",COUNTIF($F1389:$AJ1389,"A"))</f>
        <v/>
      </c>
      <c r="AM1389" s="34" t="str">
        <f aca="false">IF($B1389="","",COUNTIF($F1389:$AJ1389,"HA"))</f>
        <v/>
      </c>
      <c r="AN1389" s="34" t="str">
        <f aca="false">IF($B1389="","",COUNTIF($F1389:$AJ1389,"L"))</f>
        <v/>
      </c>
      <c r="AO1389" s="34" t="str">
        <f aca="false">IF($B1389="","",COUNTIF($F1389:$AJ1389,"PL"))</f>
        <v/>
      </c>
      <c r="AP1389" s="34" t="str">
        <f aca="false">IF($B1389="","",COUNTIF($F1389:$AJ1389,"CL"))</f>
        <v/>
      </c>
      <c r="AQ1389" s="34" t="str">
        <f aca="false">IF($B1389="","",COUNTIF($F1389:$AJ1389,"SL"))</f>
        <v/>
      </c>
      <c r="AR1389" s="34" t="str">
        <f aca="false">IF($B1389="","",COUNTIF($F1389:$AJ1389,"CO"))</f>
        <v/>
      </c>
      <c r="AS1389" s="34" t="str">
        <f aca="false">IF($B1389="","",COUNTIF($F1389:$AJ1389,"HPL"))</f>
        <v/>
      </c>
      <c r="AT1389" s="34" t="str">
        <f aca="false">IF($B1389="","",COUNTIF($F1389:$AJ1389,"HCL"))</f>
        <v/>
      </c>
      <c r="AU1389" s="34" t="str">
        <f aca="false">IF($B1389="","",COUNTIF($F1389:$AJ1389,"WO"))</f>
        <v/>
      </c>
      <c r="AV1389" s="34" t="str">
        <f aca="false">IF($B1389="","",COUNTIF($F1389:$AJ1389,"PH"))</f>
        <v/>
      </c>
      <c r="AW1389" s="34" t="str">
        <f aca="false">IF($B1389="","",COUNTIF($F1389:$AJ1389,"TR"))</f>
        <v/>
      </c>
      <c r="AX1389" s="35" t="str">
        <f aca="false">IF($B1389="","",AO1389+AS1389/2)</f>
        <v/>
      </c>
      <c r="AY1389" s="35" t="str">
        <f aca="false">IF($B1389="","",AQ1389)</f>
        <v/>
      </c>
      <c r="AZ1389" s="35" t="str">
        <f aca="false">IF($B1389="","",AP1389+AT1389/2)</f>
        <v/>
      </c>
      <c r="BA1389" s="35" t="str">
        <f aca="false">IF($B1389="","",AK1389+AN1389+AM1389/2+AO1389+AP1389+AQ1389+AR1389+AS1389+AT1389+AU1389+AV1389+AW1389)</f>
        <v/>
      </c>
      <c r="BB1389" s="35" t="str">
        <f aca="false">IF($B1389="","",MAX(0,AN1389-Settings!$C$16)*Settings!$C$17)</f>
        <v/>
      </c>
      <c r="BC1389" s="35" t="str">
        <f aca="false">IF($B1389="","",BA1389-BB1389)</f>
        <v/>
      </c>
      <c r="BD1389" s="35" t="str">
        <f aca="false">IF(OR($B1389="",$A1389=""),"",DAY(EOMONTH($A1389,0))-COUNTA($F1389:$AJ1389))</f>
        <v/>
      </c>
    </row>
    <row r="1390" customFormat="false" ht="15" hidden="false" customHeight="false" outlineLevel="0" collapsed="false">
      <c r="A1390" s="32"/>
      <c r="B1390" s="29"/>
      <c r="C1390" s="10" t="str">
        <f aca="false">IF($B1390="","",IFERROR(INDEX(M_name,MATCH($B1390,M_emp,0)),"Code not found"))</f>
        <v/>
      </c>
      <c r="D1390" s="10" t="str">
        <f aca="false">IF($B1390="","",IFERROR(INDEX(M_dept,MATCH($B1390,M_emp,0)),""))</f>
        <v/>
      </c>
      <c r="E1390" s="10" t="str">
        <f aca="false">IF($B1390="","",IFERROR(INDEX(M_loc,MATCH($B1390,M_emp,0)),""))</f>
        <v/>
      </c>
      <c r="F1390" s="33"/>
      <c r="G1390" s="33"/>
      <c r="H1390" s="33"/>
      <c r="I1390" s="33"/>
      <c r="J1390" s="33"/>
      <c r="K1390" s="33"/>
      <c r="L1390" s="33"/>
      <c r="M1390" s="33"/>
      <c r="N1390" s="33"/>
      <c r="O1390" s="33"/>
      <c r="P1390" s="33"/>
      <c r="Q1390" s="33"/>
      <c r="R1390" s="33"/>
      <c r="S1390" s="33"/>
      <c r="T1390" s="33"/>
      <c r="U1390" s="33"/>
      <c r="V1390" s="33"/>
      <c r="W1390" s="33"/>
      <c r="X1390" s="33"/>
      <c r="Y1390" s="33"/>
      <c r="Z1390" s="33"/>
      <c r="AA1390" s="33"/>
      <c r="AB1390" s="33"/>
      <c r="AC1390" s="33"/>
      <c r="AD1390" s="33"/>
      <c r="AE1390" s="33"/>
      <c r="AF1390" s="33"/>
      <c r="AG1390" s="33"/>
      <c r="AH1390" s="33"/>
      <c r="AI1390" s="33"/>
      <c r="AJ1390" s="33"/>
      <c r="AK1390" s="34" t="str">
        <f aca="false">IF($B1390="","",COUNTIF($F1390:$AJ1390,"P"))</f>
        <v/>
      </c>
      <c r="AL1390" s="34" t="str">
        <f aca="false">IF($B1390="","",COUNTIF($F1390:$AJ1390,"A"))</f>
        <v/>
      </c>
      <c r="AM1390" s="34" t="str">
        <f aca="false">IF($B1390="","",COUNTIF($F1390:$AJ1390,"HA"))</f>
        <v/>
      </c>
      <c r="AN1390" s="34" t="str">
        <f aca="false">IF($B1390="","",COUNTIF($F1390:$AJ1390,"L"))</f>
        <v/>
      </c>
      <c r="AO1390" s="34" t="str">
        <f aca="false">IF($B1390="","",COUNTIF($F1390:$AJ1390,"PL"))</f>
        <v/>
      </c>
      <c r="AP1390" s="34" t="str">
        <f aca="false">IF($B1390="","",COUNTIF($F1390:$AJ1390,"CL"))</f>
        <v/>
      </c>
      <c r="AQ1390" s="34" t="str">
        <f aca="false">IF($B1390="","",COUNTIF($F1390:$AJ1390,"SL"))</f>
        <v/>
      </c>
      <c r="AR1390" s="34" t="str">
        <f aca="false">IF($B1390="","",COUNTIF($F1390:$AJ1390,"CO"))</f>
        <v/>
      </c>
      <c r="AS1390" s="34" t="str">
        <f aca="false">IF($B1390="","",COUNTIF($F1390:$AJ1390,"HPL"))</f>
        <v/>
      </c>
      <c r="AT1390" s="34" t="str">
        <f aca="false">IF($B1390="","",COUNTIF($F1390:$AJ1390,"HCL"))</f>
        <v/>
      </c>
      <c r="AU1390" s="34" t="str">
        <f aca="false">IF($B1390="","",COUNTIF($F1390:$AJ1390,"WO"))</f>
        <v/>
      </c>
      <c r="AV1390" s="34" t="str">
        <f aca="false">IF($B1390="","",COUNTIF($F1390:$AJ1390,"PH"))</f>
        <v/>
      </c>
      <c r="AW1390" s="34" t="str">
        <f aca="false">IF($B1390="","",COUNTIF($F1390:$AJ1390,"TR"))</f>
        <v/>
      </c>
      <c r="AX1390" s="35" t="str">
        <f aca="false">IF($B1390="","",AO1390+AS1390/2)</f>
        <v/>
      </c>
      <c r="AY1390" s="35" t="str">
        <f aca="false">IF($B1390="","",AQ1390)</f>
        <v/>
      </c>
      <c r="AZ1390" s="35" t="str">
        <f aca="false">IF($B1390="","",AP1390+AT1390/2)</f>
        <v/>
      </c>
      <c r="BA1390" s="35" t="str">
        <f aca="false">IF($B1390="","",AK1390+AN1390+AM1390/2+AO1390+AP1390+AQ1390+AR1390+AS1390+AT1390+AU1390+AV1390+AW1390)</f>
        <v/>
      </c>
      <c r="BB1390" s="35" t="str">
        <f aca="false">IF($B1390="","",MAX(0,AN1390-Settings!$C$16)*Settings!$C$17)</f>
        <v/>
      </c>
      <c r="BC1390" s="35" t="str">
        <f aca="false">IF($B1390="","",BA1390-BB1390)</f>
        <v/>
      </c>
      <c r="BD1390" s="35" t="str">
        <f aca="false">IF(OR($B1390="",$A1390=""),"",DAY(EOMONTH($A1390,0))-COUNTA($F1390:$AJ1390))</f>
        <v/>
      </c>
    </row>
    <row r="1391" customFormat="false" ht="15" hidden="false" customHeight="false" outlineLevel="0" collapsed="false">
      <c r="A1391" s="32"/>
      <c r="B1391" s="29"/>
      <c r="C1391" s="10" t="str">
        <f aca="false">IF($B1391="","",IFERROR(INDEX(M_name,MATCH($B1391,M_emp,0)),"Code not found"))</f>
        <v/>
      </c>
      <c r="D1391" s="10" t="str">
        <f aca="false">IF($B1391="","",IFERROR(INDEX(M_dept,MATCH($B1391,M_emp,0)),""))</f>
        <v/>
      </c>
      <c r="E1391" s="10" t="str">
        <f aca="false">IF($B1391="","",IFERROR(INDEX(M_loc,MATCH($B1391,M_emp,0)),""))</f>
        <v/>
      </c>
      <c r="F1391" s="33"/>
      <c r="G1391" s="33"/>
      <c r="H1391" s="33"/>
      <c r="I1391" s="33"/>
      <c r="J1391" s="33"/>
      <c r="K1391" s="33"/>
      <c r="L1391" s="33"/>
      <c r="M1391" s="33"/>
      <c r="N1391" s="33"/>
      <c r="O1391" s="33"/>
      <c r="P1391" s="33"/>
      <c r="Q1391" s="33"/>
      <c r="R1391" s="33"/>
      <c r="S1391" s="33"/>
      <c r="T1391" s="33"/>
      <c r="U1391" s="33"/>
      <c r="V1391" s="33"/>
      <c r="W1391" s="33"/>
      <c r="X1391" s="33"/>
      <c r="Y1391" s="33"/>
      <c r="Z1391" s="33"/>
      <c r="AA1391" s="33"/>
      <c r="AB1391" s="33"/>
      <c r="AC1391" s="33"/>
      <c r="AD1391" s="33"/>
      <c r="AE1391" s="33"/>
      <c r="AF1391" s="33"/>
      <c r="AG1391" s="33"/>
      <c r="AH1391" s="33"/>
      <c r="AI1391" s="33"/>
      <c r="AJ1391" s="33"/>
      <c r="AK1391" s="34" t="str">
        <f aca="false">IF($B1391="","",COUNTIF($F1391:$AJ1391,"P"))</f>
        <v/>
      </c>
      <c r="AL1391" s="34" t="str">
        <f aca="false">IF($B1391="","",COUNTIF($F1391:$AJ1391,"A"))</f>
        <v/>
      </c>
      <c r="AM1391" s="34" t="str">
        <f aca="false">IF($B1391="","",COUNTIF($F1391:$AJ1391,"HA"))</f>
        <v/>
      </c>
      <c r="AN1391" s="34" t="str">
        <f aca="false">IF($B1391="","",COUNTIF($F1391:$AJ1391,"L"))</f>
        <v/>
      </c>
      <c r="AO1391" s="34" t="str">
        <f aca="false">IF($B1391="","",COUNTIF($F1391:$AJ1391,"PL"))</f>
        <v/>
      </c>
      <c r="AP1391" s="34" t="str">
        <f aca="false">IF($B1391="","",COUNTIF($F1391:$AJ1391,"CL"))</f>
        <v/>
      </c>
      <c r="AQ1391" s="34" t="str">
        <f aca="false">IF($B1391="","",COUNTIF($F1391:$AJ1391,"SL"))</f>
        <v/>
      </c>
      <c r="AR1391" s="34" t="str">
        <f aca="false">IF($B1391="","",COUNTIF($F1391:$AJ1391,"CO"))</f>
        <v/>
      </c>
      <c r="AS1391" s="34" t="str">
        <f aca="false">IF($B1391="","",COUNTIF($F1391:$AJ1391,"HPL"))</f>
        <v/>
      </c>
      <c r="AT1391" s="34" t="str">
        <f aca="false">IF($B1391="","",COUNTIF($F1391:$AJ1391,"HCL"))</f>
        <v/>
      </c>
      <c r="AU1391" s="34" t="str">
        <f aca="false">IF($B1391="","",COUNTIF($F1391:$AJ1391,"WO"))</f>
        <v/>
      </c>
      <c r="AV1391" s="34" t="str">
        <f aca="false">IF($B1391="","",COUNTIF($F1391:$AJ1391,"PH"))</f>
        <v/>
      </c>
      <c r="AW1391" s="34" t="str">
        <f aca="false">IF($B1391="","",COUNTIF($F1391:$AJ1391,"TR"))</f>
        <v/>
      </c>
      <c r="AX1391" s="35" t="str">
        <f aca="false">IF($B1391="","",AO1391+AS1391/2)</f>
        <v/>
      </c>
      <c r="AY1391" s="35" t="str">
        <f aca="false">IF($B1391="","",AQ1391)</f>
        <v/>
      </c>
      <c r="AZ1391" s="35" t="str">
        <f aca="false">IF($B1391="","",AP1391+AT1391/2)</f>
        <v/>
      </c>
      <c r="BA1391" s="35" t="str">
        <f aca="false">IF($B1391="","",AK1391+AN1391+AM1391/2+AO1391+AP1391+AQ1391+AR1391+AS1391+AT1391+AU1391+AV1391+AW1391)</f>
        <v/>
      </c>
      <c r="BB1391" s="35" t="str">
        <f aca="false">IF($B1391="","",MAX(0,AN1391-Settings!$C$16)*Settings!$C$17)</f>
        <v/>
      </c>
      <c r="BC1391" s="35" t="str">
        <f aca="false">IF($B1391="","",BA1391-BB1391)</f>
        <v/>
      </c>
      <c r="BD1391" s="35" t="str">
        <f aca="false">IF(OR($B1391="",$A1391=""),"",DAY(EOMONTH($A1391,0))-COUNTA($F1391:$AJ1391))</f>
        <v/>
      </c>
    </row>
    <row r="1392" customFormat="false" ht="15" hidden="false" customHeight="false" outlineLevel="0" collapsed="false">
      <c r="A1392" s="32"/>
      <c r="B1392" s="29"/>
      <c r="C1392" s="10" t="str">
        <f aca="false">IF($B1392="","",IFERROR(INDEX(M_name,MATCH($B1392,M_emp,0)),"Code not found"))</f>
        <v/>
      </c>
      <c r="D1392" s="10" t="str">
        <f aca="false">IF($B1392="","",IFERROR(INDEX(M_dept,MATCH($B1392,M_emp,0)),""))</f>
        <v/>
      </c>
      <c r="E1392" s="10" t="str">
        <f aca="false">IF($B1392="","",IFERROR(INDEX(M_loc,MATCH($B1392,M_emp,0)),""))</f>
        <v/>
      </c>
      <c r="F1392" s="33"/>
      <c r="G1392" s="33"/>
      <c r="H1392" s="33"/>
      <c r="I1392" s="33"/>
      <c r="J1392" s="33"/>
      <c r="K1392" s="33"/>
      <c r="L1392" s="33"/>
      <c r="M1392" s="33"/>
      <c r="N1392" s="33"/>
      <c r="O1392" s="33"/>
      <c r="P1392" s="33"/>
      <c r="Q1392" s="33"/>
      <c r="R1392" s="33"/>
      <c r="S1392" s="33"/>
      <c r="T1392" s="33"/>
      <c r="U1392" s="33"/>
      <c r="V1392" s="33"/>
      <c r="W1392" s="33"/>
      <c r="X1392" s="33"/>
      <c r="Y1392" s="33"/>
      <c r="Z1392" s="33"/>
      <c r="AA1392" s="33"/>
      <c r="AB1392" s="33"/>
      <c r="AC1392" s="33"/>
      <c r="AD1392" s="33"/>
      <c r="AE1392" s="33"/>
      <c r="AF1392" s="33"/>
      <c r="AG1392" s="33"/>
      <c r="AH1392" s="33"/>
      <c r="AI1392" s="33"/>
      <c r="AJ1392" s="33"/>
      <c r="AK1392" s="34" t="str">
        <f aca="false">IF($B1392="","",COUNTIF($F1392:$AJ1392,"P"))</f>
        <v/>
      </c>
      <c r="AL1392" s="34" t="str">
        <f aca="false">IF($B1392="","",COUNTIF($F1392:$AJ1392,"A"))</f>
        <v/>
      </c>
      <c r="AM1392" s="34" t="str">
        <f aca="false">IF($B1392="","",COUNTIF($F1392:$AJ1392,"HA"))</f>
        <v/>
      </c>
      <c r="AN1392" s="34" t="str">
        <f aca="false">IF($B1392="","",COUNTIF($F1392:$AJ1392,"L"))</f>
        <v/>
      </c>
      <c r="AO1392" s="34" t="str">
        <f aca="false">IF($B1392="","",COUNTIF($F1392:$AJ1392,"PL"))</f>
        <v/>
      </c>
      <c r="AP1392" s="34" t="str">
        <f aca="false">IF($B1392="","",COUNTIF($F1392:$AJ1392,"CL"))</f>
        <v/>
      </c>
      <c r="AQ1392" s="34" t="str">
        <f aca="false">IF($B1392="","",COUNTIF($F1392:$AJ1392,"SL"))</f>
        <v/>
      </c>
      <c r="AR1392" s="34" t="str">
        <f aca="false">IF($B1392="","",COUNTIF($F1392:$AJ1392,"CO"))</f>
        <v/>
      </c>
      <c r="AS1392" s="34" t="str">
        <f aca="false">IF($B1392="","",COUNTIF($F1392:$AJ1392,"HPL"))</f>
        <v/>
      </c>
      <c r="AT1392" s="34" t="str">
        <f aca="false">IF($B1392="","",COUNTIF($F1392:$AJ1392,"HCL"))</f>
        <v/>
      </c>
      <c r="AU1392" s="34" t="str">
        <f aca="false">IF($B1392="","",COUNTIF($F1392:$AJ1392,"WO"))</f>
        <v/>
      </c>
      <c r="AV1392" s="34" t="str">
        <f aca="false">IF($B1392="","",COUNTIF($F1392:$AJ1392,"PH"))</f>
        <v/>
      </c>
      <c r="AW1392" s="34" t="str">
        <f aca="false">IF($B1392="","",COUNTIF($F1392:$AJ1392,"TR"))</f>
        <v/>
      </c>
      <c r="AX1392" s="35" t="str">
        <f aca="false">IF($B1392="","",AO1392+AS1392/2)</f>
        <v/>
      </c>
      <c r="AY1392" s="35" t="str">
        <f aca="false">IF($B1392="","",AQ1392)</f>
        <v/>
      </c>
      <c r="AZ1392" s="35" t="str">
        <f aca="false">IF($B1392="","",AP1392+AT1392/2)</f>
        <v/>
      </c>
      <c r="BA1392" s="35" t="str">
        <f aca="false">IF($B1392="","",AK1392+AN1392+AM1392/2+AO1392+AP1392+AQ1392+AR1392+AS1392+AT1392+AU1392+AV1392+AW1392)</f>
        <v/>
      </c>
      <c r="BB1392" s="35" t="str">
        <f aca="false">IF($B1392="","",MAX(0,AN1392-Settings!$C$16)*Settings!$C$17)</f>
        <v/>
      </c>
      <c r="BC1392" s="35" t="str">
        <f aca="false">IF($B1392="","",BA1392-BB1392)</f>
        <v/>
      </c>
      <c r="BD1392" s="35" t="str">
        <f aca="false">IF(OR($B1392="",$A1392=""),"",DAY(EOMONTH($A1392,0))-COUNTA($F1392:$AJ1392))</f>
        <v/>
      </c>
    </row>
    <row r="1393" customFormat="false" ht="15" hidden="false" customHeight="false" outlineLevel="0" collapsed="false">
      <c r="A1393" s="32"/>
      <c r="B1393" s="29"/>
      <c r="C1393" s="10" t="str">
        <f aca="false">IF($B1393="","",IFERROR(INDEX(M_name,MATCH($B1393,M_emp,0)),"Code not found"))</f>
        <v/>
      </c>
      <c r="D1393" s="10" t="str">
        <f aca="false">IF($B1393="","",IFERROR(INDEX(M_dept,MATCH($B1393,M_emp,0)),""))</f>
        <v/>
      </c>
      <c r="E1393" s="10" t="str">
        <f aca="false">IF($B1393="","",IFERROR(INDEX(M_loc,MATCH($B1393,M_emp,0)),""))</f>
        <v/>
      </c>
      <c r="F1393" s="33"/>
      <c r="G1393" s="33"/>
      <c r="H1393" s="33"/>
      <c r="I1393" s="33"/>
      <c r="J1393" s="33"/>
      <c r="K1393" s="33"/>
      <c r="L1393" s="33"/>
      <c r="M1393" s="33"/>
      <c r="N1393" s="33"/>
      <c r="O1393" s="33"/>
      <c r="P1393" s="33"/>
      <c r="Q1393" s="33"/>
      <c r="R1393" s="33"/>
      <c r="S1393" s="33"/>
      <c r="T1393" s="33"/>
      <c r="U1393" s="33"/>
      <c r="V1393" s="33"/>
      <c r="W1393" s="33"/>
      <c r="X1393" s="33"/>
      <c r="Y1393" s="33"/>
      <c r="Z1393" s="33"/>
      <c r="AA1393" s="33"/>
      <c r="AB1393" s="33"/>
      <c r="AC1393" s="33"/>
      <c r="AD1393" s="33"/>
      <c r="AE1393" s="33"/>
      <c r="AF1393" s="33"/>
      <c r="AG1393" s="33"/>
      <c r="AH1393" s="33"/>
      <c r="AI1393" s="33"/>
      <c r="AJ1393" s="33"/>
      <c r="AK1393" s="34" t="str">
        <f aca="false">IF($B1393="","",COUNTIF($F1393:$AJ1393,"P"))</f>
        <v/>
      </c>
      <c r="AL1393" s="34" t="str">
        <f aca="false">IF($B1393="","",COUNTIF($F1393:$AJ1393,"A"))</f>
        <v/>
      </c>
      <c r="AM1393" s="34" t="str">
        <f aca="false">IF($B1393="","",COUNTIF($F1393:$AJ1393,"HA"))</f>
        <v/>
      </c>
      <c r="AN1393" s="34" t="str">
        <f aca="false">IF($B1393="","",COUNTIF($F1393:$AJ1393,"L"))</f>
        <v/>
      </c>
      <c r="AO1393" s="34" t="str">
        <f aca="false">IF($B1393="","",COUNTIF($F1393:$AJ1393,"PL"))</f>
        <v/>
      </c>
      <c r="AP1393" s="34" t="str">
        <f aca="false">IF($B1393="","",COUNTIF($F1393:$AJ1393,"CL"))</f>
        <v/>
      </c>
      <c r="AQ1393" s="34" t="str">
        <f aca="false">IF($B1393="","",COUNTIF($F1393:$AJ1393,"SL"))</f>
        <v/>
      </c>
      <c r="AR1393" s="34" t="str">
        <f aca="false">IF($B1393="","",COUNTIF($F1393:$AJ1393,"CO"))</f>
        <v/>
      </c>
      <c r="AS1393" s="34" t="str">
        <f aca="false">IF($B1393="","",COUNTIF($F1393:$AJ1393,"HPL"))</f>
        <v/>
      </c>
      <c r="AT1393" s="34" t="str">
        <f aca="false">IF($B1393="","",COUNTIF($F1393:$AJ1393,"HCL"))</f>
        <v/>
      </c>
      <c r="AU1393" s="34" t="str">
        <f aca="false">IF($B1393="","",COUNTIF($F1393:$AJ1393,"WO"))</f>
        <v/>
      </c>
      <c r="AV1393" s="34" t="str">
        <f aca="false">IF($B1393="","",COUNTIF($F1393:$AJ1393,"PH"))</f>
        <v/>
      </c>
      <c r="AW1393" s="34" t="str">
        <f aca="false">IF($B1393="","",COUNTIF($F1393:$AJ1393,"TR"))</f>
        <v/>
      </c>
      <c r="AX1393" s="35" t="str">
        <f aca="false">IF($B1393="","",AO1393+AS1393/2)</f>
        <v/>
      </c>
      <c r="AY1393" s="35" t="str">
        <f aca="false">IF($B1393="","",AQ1393)</f>
        <v/>
      </c>
      <c r="AZ1393" s="35" t="str">
        <f aca="false">IF($B1393="","",AP1393+AT1393/2)</f>
        <v/>
      </c>
      <c r="BA1393" s="35" t="str">
        <f aca="false">IF($B1393="","",AK1393+AN1393+AM1393/2+AO1393+AP1393+AQ1393+AR1393+AS1393+AT1393+AU1393+AV1393+AW1393)</f>
        <v/>
      </c>
      <c r="BB1393" s="35" t="str">
        <f aca="false">IF($B1393="","",MAX(0,AN1393-Settings!$C$16)*Settings!$C$17)</f>
        <v/>
      </c>
      <c r="BC1393" s="35" t="str">
        <f aca="false">IF($B1393="","",BA1393-BB1393)</f>
        <v/>
      </c>
      <c r="BD1393" s="35" t="str">
        <f aca="false">IF(OR($B1393="",$A1393=""),"",DAY(EOMONTH($A1393,0))-COUNTA($F1393:$AJ1393))</f>
        <v/>
      </c>
    </row>
    <row r="1394" customFormat="false" ht="15" hidden="false" customHeight="false" outlineLevel="0" collapsed="false">
      <c r="A1394" s="32"/>
      <c r="B1394" s="29"/>
      <c r="C1394" s="10" t="str">
        <f aca="false">IF($B1394="","",IFERROR(INDEX(M_name,MATCH($B1394,M_emp,0)),"Code not found"))</f>
        <v/>
      </c>
      <c r="D1394" s="10" t="str">
        <f aca="false">IF($B1394="","",IFERROR(INDEX(M_dept,MATCH($B1394,M_emp,0)),""))</f>
        <v/>
      </c>
      <c r="E1394" s="10" t="str">
        <f aca="false">IF($B1394="","",IFERROR(INDEX(M_loc,MATCH($B1394,M_emp,0)),""))</f>
        <v/>
      </c>
      <c r="F1394" s="33"/>
      <c r="G1394" s="33"/>
      <c r="H1394" s="33"/>
      <c r="I1394" s="33"/>
      <c r="J1394" s="33"/>
      <c r="K1394" s="33"/>
      <c r="L1394" s="33"/>
      <c r="M1394" s="33"/>
      <c r="N1394" s="33"/>
      <c r="O1394" s="33"/>
      <c r="P1394" s="33"/>
      <c r="Q1394" s="33"/>
      <c r="R1394" s="33"/>
      <c r="S1394" s="33"/>
      <c r="T1394" s="33"/>
      <c r="U1394" s="33"/>
      <c r="V1394" s="33"/>
      <c r="W1394" s="33"/>
      <c r="X1394" s="33"/>
      <c r="Y1394" s="33"/>
      <c r="Z1394" s="33"/>
      <c r="AA1394" s="33"/>
      <c r="AB1394" s="33"/>
      <c r="AC1394" s="33"/>
      <c r="AD1394" s="33"/>
      <c r="AE1394" s="33"/>
      <c r="AF1394" s="33"/>
      <c r="AG1394" s="33"/>
      <c r="AH1394" s="33"/>
      <c r="AI1394" s="33"/>
      <c r="AJ1394" s="33"/>
      <c r="AK1394" s="34" t="str">
        <f aca="false">IF($B1394="","",COUNTIF($F1394:$AJ1394,"P"))</f>
        <v/>
      </c>
      <c r="AL1394" s="34" t="str">
        <f aca="false">IF($B1394="","",COUNTIF($F1394:$AJ1394,"A"))</f>
        <v/>
      </c>
      <c r="AM1394" s="34" t="str">
        <f aca="false">IF($B1394="","",COUNTIF($F1394:$AJ1394,"HA"))</f>
        <v/>
      </c>
      <c r="AN1394" s="34" t="str">
        <f aca="false">IF($B1394="","",COUNTIF($F1394:$AJ1394,"L"))</f>
        <v/>
      </c>
      <c r="AO1394" s="34" t="str">
        <f aca="false">IF($B1394="","",COUNTIF($F1394:$AJ1394,"PL"))</f>
        <v/>
      </c>
      <c r="AP1394" s="34" t="str">
        <f aca="false">IF($B1394="","",COUNTIF($F1394:$AJ1394,"CL"))</f>
        <v/>
      </c>
      <c r="AQ1394" s="34" t="str">
        <f aca="false">IF($B1394="","",COUNTIF($F1394:$AJ1394,"SL"))</f>
        <v/>
      </c>
      <c r="AR1394" s="34" t="str">
        <f aca="false">IF($B1394="","",COUNTIF($F1394:$AJ1394,"CO"))</f>
        <v/>
      </c>
      <c r="AS1394" s="34" t="str">
        <f aca="false">IF($B1394="","",COUNTIF($F1394:$AJ1394,"HPL"))</f>
        <v/>
      </c>
      <c r="AT1394" s="34" t="str">
        <f aca="false">IF($B1394="","",COUNTIF($F1394:$AJ1394,"HCL"))</f>
        <v/>
      </c>
      <c r="AU1394" s="34" t="str">
        <f aca="false">IF($B1394="","",COUNTIF($F1394:$AJ1394,"WO"))</f>
        <v/>
      </c>
      <c r="AV1394" s="34" t="str">
        <f aca="false">IF($B1394="","",COUNTIF($F1394:$AJ1394,"PH"))</f>
        <v/>
      </c>
      <c r="AW1394" s="34" t="str">
        <f aca="false">IF($B1394="","",COUNTIF($F1394:$AJ1394,"TR"))</f>
        <v/>
      </c>
      <c r="AX1394" s="35" t="str">
        <f aca="false">IF($B1394="","",AO1394+AS1394/2)</f>
        <v/>
      </c>
      <c r="AY1394" s="35" t="str">
        <f aca="false">IF($B1394="","",AQ1394)</f>
        <v/>
      </c>
      <c r="AZ1394" s="35" t="str">
        <f aca="false">IF($B1394="","",AP1394+AT1394/2)</f>
        <v/>
      </c>
      <c r="BA1394" s="35" t="str">
        <f aca="false">IF($B1394="","",AK1394+AN1394+AM1394/2+AO1394+AP1394+AQ1394+AR1394+AS1394+AT1394+AU1394+AV1394+AW1394)</f>
        <v/>
      </c>
      <c r="BB1394" s="35" t="str">
        <f aca="false">IF($B1394="","",MAX(0,AN1394-Settings!$C$16)*Settings!$C$17)</f>
        <v/>
      </c>
      <c r="BC1394" s="35" t="str">
        <f aca="false">IF($B1394="","",BA1394-BB1394)</f>
        <v/>
      </c>
      <c r="BD1394" s="35" t="str">
        <f aca="false">IF(OR($B1394="",$A1394=""),"",DAY(EOMONTH($A1394,0))-COUNTA($F1394:$AJ1394))</f>
        <v/>
      </c>
    </row>
    <row r="1395" customFormat="false" ht="15" hidden="false" customHeight="false" outlineLevel="0" collapsed="false">
      <c r="A1395" s="32"/>
      <c r="B1395" s="29"/>
      <c r="C1395" s="10" t="str">
        <f aca="false">IF($B1395="","",IFERROR(INDEX(M_name,MATCH($B1395,M_emp,0)),"Code not found"))</f>
        <v/>
      </c>
      <c r="D1395" s="10" t="str">
        <f aca="false">IF($B1395="","",IFERROR(INDEX(M_dept,MATCH($B1395,M_emp,0)),""))</f>
        <v/>
      </c>
      <c r="E1395" s="10" t="str">
        <f aca="false">IF($B1395="","",IFERROR(INDEX(M_loc,MATCH($B1395,M_emp,0)),""))</f>
        <v/>
      </c>
      <c r="F1395" s="33"/>
      <c r="G1395" s="33"/>
      <c r="H1395" s="33"/>
      <c r="I1395" s="33"/>
      <c r="J1395" s="33"/>
      <c r="K1395" s="33"/>
      <c r="L1395" s="33"/>
      <c r="M1395" s="33"/>
      <c r="N1395" s="33"/>
      <c r="O1395" s="33"/>
      <c r="P1395" s="33"/>
      <c r="Q1395" s="33"/>
      <c r="R1395" s="33"/>
      <c r="S1395" s="33"/>
      <c r="T1395" s="33"/>
      <c r="U1395" s="33"/>
      <c r="V1395" s="33"/>
      <c r="W1395" s="33"/>
      <c r="X1395" s="33"/>
      <c r="Y1395" s="33"/>
      <c r="Z1395" s="33"/>
      <c r="AA1395" s="33"/>
      <c r="AB1395" s="33"/>
      <c r="AC1395" s="33"/>
      <c r="AD1395" s="33"/>
      <c r="AE1395" s="33"/>
      <c r="AF1395" s="33"/>
      <c r="AG1395" s="33"/>
      <c r="AH1395" s="33"/>
      <c r="AI1395" s="33"/>
      <c r="AJ1395" s="33"/>
      <c r="AK1395" s="34" t="str">
        <f aca="false">IF($B1395="","",COUNTIF($F1395:$AJ1395,"P"))</f>
        <v/>
      </c>
      <c r="AL1395" s="34" t="str">
        <f aca="false">IF($B1395="","",COUNTIF($F1395:$AJ1395,"A"))</f>
        <v/>
      </c>
      <c r="AM1395" s="34" t="str">
        <f aca="false">IF($B1395="","",COUNTIF($F1395:$AJ1395,"HA"))</f>
        <v/>
      </c>
      <c r="AN1395" s="34" t="str">
        <f aca="false">IF($B1395="","",COUNTIF($F1395:$AJ1395,"L"))</f>
        <v/>
      </c>
      <c r="AO1395" s="34" t="str">
        <f aca="false">IF($B1395="","",COUNTIF($F1395:$AJ1395,"PL"))</f>
        <v/>
      </c>
      <c r="AP1395" s="34" t="str">
        <f aca="false">IF($B1395="","",COUNTIF($F1395:$AJ1395,"CL"))</f>
        <v/>
      </c>
      <c r="AQ1395" s="34" t="str">
        <f aca="false">IF($B1395="","",COUNTIF($F1395:$AJ1395,"SL"))</f>
        <v/>
      </c>
      <c r="AR1395" s="34" t="str">
        <f aca="false">IF($B1395="","",COUNTIF($F1395:$AJ1395,"CO"))</f>
        <v/>
      </c>
      <c r="AS1395" s="34" t="str">
        <f aca="false">IF($B1395="","",COUNTIF($F1395:$AJ1395,"HPL"))</f>
        <v/>
      </c>
      <c r="AT1395" s="34" t="str">
        <f aca="false">IF($B1395="","",COUNTIF($F1395:$AJ1395,"HCL"))</f>
        <v/>
      </c>
      <c r="AU1395" s="34" t="str">
        <f aca="false">IF($B1395="","",COUNTIF($F1395:$AJ1395,"WO"))</f>
        <v/>
      </c>
      <c r="AV1395" s="34" t="str">
        <f aca="false">IF($B1395="","",COUNTIF($F1395:$AJ1395,"PH"))</f>
        <v/>
      </c>
      <c r="AW1395" s="34" t="str">
        <f aca="false">IF($B1395="","",COUNTIF($F1395:$AJ1395,"TR"))</f>
        <v/>
      </c>
      <c r="AX1395" s="35" t="str">
        <f aca="false">IF($B1395="","",AO1395+AS1395/2)</f>
        <v/>
      </c>
      <c r="AY1395" s="35" t="str">
        <f aca="false">IF($B1395="","",AQ1395)</f>
        <v/>
      </c>
      <c r="AZ1395" s="35" t="str">
        <f aca="false">IF($B1395="","",AP1395+AT1395/2)</f>
        <v/>
      </c>
      <c r="BA1395" s="35" t="str">
        <f aca="false">IF($B1395="","",AK1395+AN1395+AM1395/2+AO1395+AP1395+AQ1395+AR1395+AS1395+AT1395+AU1395+AV1395+AW1395)</f>
        <v/>
      </c>
      <c r="BB1395" s="35" t="str">
        <f aca="false">IF($B1395="","",MAX(0,AN1395-Settings!$C$16)*Settings!$C$17)</f>
        <v/>
      </c>
      <c r="BC1395" s="35" t="str">
        <f aca="false">IF($B1395="","",BA1395-BB1395)</f>
        <v/>
      </c>
      <c r="BD1395" s="35" t="str">
        <f aca="false">IF(OR($B1395="",$A1395=""),"",DAY(EOMONTH($A1395,0))-COUNTA($F1395:$AJ1395))</f>
        <v/>
      </c>
    </row>
    <row r="1396" customFormat="false" ht="15" hidden="false" customHeight="false" outlineLevel="0" collapsed="false">
      <c r="A1396" s="32"/>
      <c r="B1396" s="29"/>
      <c r="C1396" s="10" t="str">
        <f aca="false">IF($B1396="","",IFERROR(INDEX(M_name,MATCH($B1396,M_emp,0)),"Code not found"))</f>
        <v/>
      </c>
      <c r="D1396" s="10" t="str">
        <f aca="false">IF($B1396="","",IFERROR(INDEX(M_dept,MATCH($B1396,M_emp,0)),""))</f>
        <v/>
      </c>
      <c r="E1396" s="10" t="str">
        <f aca="false">IF($B1396="","",IFERROR(INDEX(M_loc,MATCH($B1396,M_emp,0)),""))</f>
        <v/>
      </c>
      <c r="F1396" s="33"/>
      <c r="G1396" s="33"/>
      <c r="H1396" s="33"/>
      <c r="I1396" s="33"/>
      <c r="J1396" s="33"/>
      <c r="K1396" s="33"/>
      <c r="L1396" s="33"/>
      <c r="M1396" s="33"/>
      <c r="N1396" s="33"/>
      <c r="O1396" s="33"/>
      <c r="P1396" s="33"/>
      <c r="Q1396" s="33"/>
      <c r="R1396" s="33"/>
      <c r="S1396" s="33"/>
      <c r="T1396" s="33"/>
      <c r="U1396" s="33"/>
      <c r="V1396" s="33"/>
      <c r="W1396" s="33"/>
      <c r="X1396" s="33"/>
      <c r="Y1396" s="33"/>
      <c r="Z1396" s="33"/>
      <c r="AA1396" s="33"/>
      <c r="AB1396" s="33"/>
      <c r="AC1396" s="33"/>
      <c r="AD1396" s="33"/>
      <c r="AE1396" s="33"/>
      <c r="AF1396" s="33"/>
      <c r="AG1396" s="33"/>
      <c r="AH1396" s="33"/>
      <c r="AI1396" s="33"/>
      <c r="AJ1396" s="33"/>
      <c r="AK1396" s="34" t="str">
        <f aca="false">IF($B1396="","",COUNTIF($F1396:$AJ1396,"P"))</f>
        <v/>
      </c>
      <c r="AL1396" s="34" t="str">
        <f aca="false">IF($B1396="","",COUNTIF($F1396:$AJ1396,"A"))</f>
        <v/>
      </c>
      <c r="AM1396" s="34" t="str">
        <f aca="false">IF($B1396="","",COUNTIF($F1396:$AJ1396,"HA"))</f>
        <v/>
      </c>
      <c r="AN1396" s="34" t="str">
        <f aca="false">IF($B1396="","",COUNTIF($F1396:$AJ1396,"L"))</f>
        <v/>
      </c>
      <c r="AO1396" s="34" t="str">
        <f aca="false">IF($B1396="","",COUNTIF($F1396:$AJ1396,"PL"))</f>
        <v/>
      </c>
      <c r="AP1396" s="34" t="str">
        <f aca="false">IF($B1396="","",COUNTIF($F1396:$AJ1396,"CL"))</f>
        <v/>
      </c>
      <c r="AQ1396" s="34" t="str">
        <f aca="false">IF($B1396="","",COUNTIF($F1396:$AJ1396,"SL"))</f>
        <v/>
      </c>
      <c r="AR1396" s="34" t="str">
        <f aca="false">IF($B1396="","",COUNTIF($F1396:$AJ1396,"CO"))</f>
        <v/>
      </c>
      <c r="AS1396" s="34" t="str">
        <f aca="false">IF($B1396="","",COUNTIF($F1396:$AJ1396,"HPL"))</f>
        <v/>
      </c>
      <c r="AT1396" s="34" t="str">
        <f aca="false">IF($B1396="","",COUNTIF($F1396:$AJ1396,"HCL"))</f>
        <v/>
      </c>
      <c r="AU1396" s="34" t="str">
        <f aca="false">IF($B1396="","",COUNTIF($F1396:$AJ1396,"WO"))</f>
        <v/>
      </c>
      <c r="AV1396" s="34" t="str">
        <f aca="false">IF($B1396="","",COUNTIF($F1396:$AJ1396,"PH"))</f>
        <v/>
      </c>
      <c r="AW1396" s="34" t="str">
        <f aca="false">IF($B1396="","",COUNTIF($F1396:$AJ1396,"TR"))</f>
        <v/>
      </c>
      <c r="AX1396" s="35" t="str">
        <f aca="false">IF($B1396="","",AO1396+AS1396/2)</f>
        <v/>
      </c>
      <c r="AY1396" s="35" t="str">
        <f aca="false">IF($B1396="","",AQ1396)</f>
        <v/>
      </c>
      <c r="AZ1396" s="35" t="str">
        <f aca="false">IF($B1396="","",AP1396+AT1396/2)</f>
        <v/>
      </c>
      <c r="BA1396" s="35" t="str">
        <f aca="false">IF($B1396="","",AK1396+AN1396+AM1396/2+AO1396+AP1396+AQ1396+AR1396+AS1396+AT1396+AU1396+AV1396+AW1396)</f>
        <v/>
      </c>
      <c r="BB1396" s="35" t="str">
        <f aca="false">IF($B1396="","",MAX(0,AN1396-Settings!$C$16)*Settings!$C$17)</f>
        <v/>
      </c>
      <c r="BC1396" s="35" t="str">
        <f aca="false">IF($B1396="","",BA1396-BB1396)</f>
        <v/>
      </c>
      <c r="BD1396" s="35" t="str">
        <f aca="false">IF(OR($B1396="",$A1396=""),"",DAY(EOMONTH($A1396,0))-COUNTA($F1396:$AJ1396))</f>
        <v/>
      </c>
    </row>
    <row r="1397" customFormat="false" ht="15" hidden="false" customHeight="false" outlineLevel="0" collapsed="false">
      <c r="A1397" s="32"/>
      <c r="B1397" s="29"/>
      <c r="C1397" s="10" t="str">
        <f aca="false">IF($B1397="","",IFERROR(INDEX(M_name,MATCH($B1397,M_emp,0)),"Code not found"))</f>
        <v/>
      </c>
      <c r="D1397" s="10" t="str">
        <f aca="false">IF($B1397="","",IFERROR(INDEX(M_dept,MATCH($B1397,M_emp,0)),""))</f>
        <v/>
      </c>
      <c r="E1397" s="10" t="str">
        <f aca="false">IF($B1397="","",IFERROR(INDEX(M_loc,MATCH($B1397,M_emp,0)),""))</f>
        <v/>
      </c>
      <c r="F1397" s="33"/>
      <c r="G1397" s="33"/>
      <c r="H1397" s="33"/>
      <c r="I1397" s="33"/>
      <c r="J1397" s="33"/>
      <c r="K1397" s="33"/>
      <c r="L1397" s="33"/>
      <c r="M1397" s="33"/>
      <c r="N1397" s="33"/>
      <c r="O1397" s="33"/>
      <c r="P1397" s="33"/>
      <c r="Q1397" s="33"/>
      <c r="R1397" s="33"/>
      <c r="S1397" s="33"/>
      <c r="T1397" s="33"/>
      <c r="U1397" s="33"/>
      <c r="V1397" s="33"/>
      <c r="W1397" s="33"/>
      <c r="X1397" s="33"/>
      <c r="Y1397" s="33"/>
      <c r="Z1397" s="33"/>
      <c r="AA1397" s="33"/>
      <c r="AB1397" s="33"/>
      <c r="AC1397" s="33"/>
      <c r="AD1397" s="33"/>
      <c r="AE1397" s="33"/>
      <c r="AF1397" s="33"/>
      <c r="AG1397" s="33"/>
      <c r="AH1397" s="33"/>
      <c r="AI1397" s="33"/>
      <c r="AJ1397" s="33"/>
      <c r="AK1397" s="34" t="str">
        <f aca="false">IF($B1397="","",COUNTIF($F1397:$AJ1397,"P"))</f>
        <v/>
      </c>
      <c r="AL1397" s="34" t="str">
        <f aca="false">IF($B1397="","",COUNTIF($F1397:$AJ1397,"A"))</f>
        <v/>
      </c>
      <c r="AM1397" s="34" t="str">
        <f aca="false">IF($B1397="","",COUNTIF($F1397:$AJ1397,"HA"))</f>
        <v/>
      </c>
      <c r="AN1397" s="34" t="str">
        <f aca="false">IF($B1397="","",COUNTIF($F1397:$AJ1397,"L"))</f>
        <v/>
      </c>
      <c r="AO1397" s="34" t="str">
        <f aca="false">IF($B1397="","",COUNTIF($F1397:$AJ1397,"PL"))</f>
        <v/>
      </c>
      <c r="AP1397" s="34" t="str">
        <f aca="false">IF($B1397="","",COUNTIF($F1397:$AJ1397,"CL"))</f>
        <v/>
      </c>
      <c r="AQ1397" s="34" t="str">
        <f aca="false">IF($B1397="","",COUNTIF($F1397:$AJ1397,"SL"))</f>
        <v/>
      </c>
      <c r="AR1397" s="34" t="str">
        <f aca="false">IF($B1397="","",COUNTIF($F1397:$AJ1397,"CO"))</f>
        <v/>
      </c>
      <c r="AS1397" s="34" t="str">
        <f aca="false">IF($B1397="","",COUNTIF($F1397:$AJ1397,"HPL"))</f>
        <v/>
      </c>
      <c r="AT1397" s="34" t="str">
        <f aca="false">IF($B1397="","",COUNTIF($F1397:$AJ1397,"HCL"))</f>
        <v/>
      </c>
      <c r="AU1397" s="34" t="str">
        <f aca="false">IF($B1397="","",COUNTIF($F1397:$AJ1397,"WO"))</f>
        <v/>
      </c>
      <c r="AV1397" s="34" t="str">
        <f aca="false">IF($B1397="","",COUNTIF($F1397:$AJ1397,"PH"))</f>
        <v/>
      </c>
      <c r="AW1397" s="34" t="str">
        <f aca="false">IF($B1397="","",COUNTIF($F1397:$AJ1397,"TR"))</f>
        <v/>
      </c>
      <c r="AX1397" s="35" t="str">
        <f aca="false">IF($B1397="","",AO1397+AS1397/2)</f>
        <v/>
      </c>
      <c r="AY1397" s="35" t="str">
        <f aca="false">IF($B1397="","",AQ1397)</f>
        <v/>
      </c>
      <c r="AZ1397" s="35" t="str">
        <f aca="false">IF($B1397="","",AP1397+AT1397/2)</f>
        <v/>
      </c>
      <c r="BA1397" s="35" t="str">
        <f aca="false">IF($B1397="","",AK1397+AN1397+AM1397/2+AO1397+AP1397+AQ1397+AR1397+AS1397+AT1397+AU1397+AV1397+AW1397)</f>
        <v/>
      </c>
      <c r="BB1397" s="35" t="str">
        <f aca="false">IF($B1397="","",MAX(0,AN1397-Settings!$C$16)*Settings!$C$17)</f>
        <v/>
      </c>
      <c r="BC1397" s="35" t="str">
        <f aca="false">IF($B1397="","",BA1397-BB1397)</f>
        <v/>
      </c>
      <c r="BD1397" s="35" t="str">
        <f aca="false">IF(OR($B1397="",$A1397=""),"",DAY(EOMONTH($A1397,0))-COUNTA($F1397:$AJ1397))</f>
        <v/>
      </c>
    </row>
    <row r="1398" customFormat="false" ht="15" hidden="false" customHeight="false" outlineLevel="0" collapsed="false">
      <c r="A1398" s="32"/>
      <c r="B1398" s="29"/>
      <c r="C1398" s="10" t="str">
        <f aca="false">IF($B1398="","",IFERROR(INDEX(M_name,MATCH($B1398,M_emp,0)),"Code not found"))</f>
        <v/>
      </c>
      <c r="D1398" s="10" t="str">
        <f aca="false">IF($B1398="","",IFERROR(INDEX(M_dept,MATCH($B1398,M_emp,0)),""))</f>
        <v/>
      </c>
      <c r="E1398" s="10" t="str">
        <f aca="false">IF($B1398="","",IFERROR(INDEX(M_loc,MATCH($B1398,M_emp,0)),""))</f>
        <v/>
      </c>
      <c r="F1398" s="33"/>
      <c r="G1398" s="33"/>
      <c r="H1398" s="33"/>
      <c r="I1398" s="33"/>
      <c r="J1398" s="33"/>
      <c r="K1398" s="33"/>
      <c r="L1398" s="33"/>
      <c r="M1398" s="33"/>
      <c r="N1398" s="33"/>
      <c r="O1398" s="33"/>
      <c r="P1398" s="33"/>
      <c r="Q1398" s="33"/>
      <c r="R1398" s="33"/>
      <c r="S1398" s="33"/>
      <c r="T1398" s="33"/>
      <c r="U1398" s="33"/>
      <c r="V1398" s="33"/>
      <c r="W1398" s="33"/>
      <c r="X1398" s="33"/>
      <c r="Y1398" s="33"/>
      <c r="Z1398" s="33"/>
      <c r="AA1398" s="33"/>
      <c r="AB1398" s="33"/>
      <c r="AC1398" s="33"/>
      <c r="AD1398" s="33"/>
      <c r="AE1398" s="33"/>
      <c r="AF1398" s="33"/>
      <c r="AG1398" s="33"/>
      <c r="AH1398" s="33"/>
      <c r="AI1398" s="33"/>
      <c r="AJ1398" s="33"/>
      <c r="AK1398" s="34" t="str">
        <f aca="false">IF($B1398="","",COUNTIF($F1398:$AJ1398,"P"))</f>
        <v/>
      </c>
      <c r="AL1398" s="34" t="str">
        <f aca="false">IF($B1398="","",COUNTIF($F1398:$AJ1398,"A"))</f>
        <v/>
      </c>
      <c r="AM1398" s="34" t="str">
        <f aca="false">IF($B1398="","",COUNTIF($F1398:$AJ1398,"HA"))</f>
        <v/>
      </c>
      <c r="AN1398" s="34" t="str">
        <f aca="false">IF($B1398="","",COUNTIF($F1398:$AJ1398,"L"))</f>
        <v/>
      </c>
      <c r="AO1398" s="34" t="str">
        <f aca="false">IF($B1398="","",COUNTIF($F1398:$AJ1398,"PL"))</f>
        <v/>
      </c>
      <c r="AP1398" s="34" t="str">
        <f aca="false">IF($B1398="","",COUNTIF($F1398:$AJ1398,"CL"))</f>
        <v/>
      </c>
      <c r="AQ1398" s="34" t="str">
        <f aca="false">IF($B1398="","",COUNTIF($F1398:$AJ1398,"SL"))</f>
        <v/>
      </c>
      <c r="AR1398" s="34" t="str">
        <f aca="false">IF($B1398="","",COUNTIF($F1398:$AJ1398,"CO"))</f>
        <v/>
      </c>
      <c r="AS1398" s="34" t="str">
        <f aca="false">IF($B1398="","",COUNTIF($F1398:$AJ1398,"HPL"))</f>
        <v/>
      </c>
      <c r="AT1398" s="34" t="str">
        <f aca="false">IF($B1398="","",COUNTIF($F1398:$AJ1398,"HCL"))</f>
        <v/>
      </c>
      <c r="AU1398" s="34" t="str">
        <f aca="false">IF($B1398="","",COUNTIF($F1398:$AJ1398,"WO"))</f>
        <v/>
      </c>
      <c r="AV1398" s="34" t="str">
        <f aca="false">IF($B1398="","",COUNTIF($F1398:$AJ1398,"PH"))</f>
        <v/>
      </c>
      <c r="AW1398" s="34" t="str">
        <f aca="false">IF($B1398="","",COUNTIF($F1398:$AJ1398,"TR"))</f>
        <v/>
      </c>
      <c r="AX1398" s="35" t="str">
        <f aca="false">IF($B1398="","",AO1398+AS1398/2)</f>
        <v/>
      </c>
      <c r="AY1398" s="35" t="str">
        <f aca="false">IF($B1398="","",AQ1398)</f>
        <v/>
      </c>
      <c r="AZ1398" s="35" t="str">
        <f aca="false">IF($B1398="","",AP1398+AT1398/2)</f>
        <v/>
      </c>
      <c r="BA1398" s="35" t="str">
        <f aca="false">IF($B1398="","",AK1398+AN1398+AM1398/2+AO1398+AP1398+AQ1398+AR1398+AS1398+AT1398+AU1398+AV1398+AW1398)</f>
        <v/>
      </c>
      <c r="BB1398" s="35" t="str">
        <f aca="false">IF($B1398="","",MAX(0,AN1398-Settings!$C$16)*Settings!$C$17)</f>
        <v/>
      </c>
      <c r="BC1398" s="35" t="str">
        <f aca="false">IF($B1398="","",BA1398-BB1398)</f>
        <v/>
      </c>
      <c r="BD1398" s="35" t="str">
        <f aca="false">IF(OR($B1398="",$A1398=""),"",DAY(EOMONTH($A1398,0))-COUNTA($F1398:$AJ1398))</f>
        <v/>
      </c>
    </row>
    <row r="1399" customFormat="false" ht="15" hidden="false" customHeight="false" outlineLevel="0" collapsed="false">
      <c r="A1399" s="32"/>
      <c r="B1399" s="29"/>
      <c r="C1399" s="10" t="str">
        <f aca="false">IF($B1399="","",IFERROR(INDEX(M_name,MATCH($B1399,M_emp,0)),"Code not found"))</f>
        <v/>
      </c>
      <c r="D1399" s="10" t="str">
        <f aca="false">IF($B1399="","",IFERROR(INDEX(M_dept,MATCH($B1399,M_emp,0)),""))</f>
        <v/>
      </c>
      <c r="E1399" s="10" t="str">
        <f aca="false">IF($B1399="","",IFERROR(INDEX(M_loc,MATCH($B1399,M_emp,0)),""))</f>
        <v/>
      </c>
      <c r="F1399" s="33"/>
      <c r="G1399" s="33"/>
      <c r="H1399" s="33"/>
      <c r="I1399" s="33"/>
      <c r="J1399" s="33"/>
      <c r="K1399" s="33"/>
      <c r="L1399" s="33"/>
      <c r="M1399" s="33"/>
      <c r="N1399" s="33"/>
      <c r="O1399" s="33"/>
      <c r="P1399" s="33"/>
      <c r="Q1399" s="33"/>
      <c r="R1399" s="33"/>
      <c r="S1399" s="33"/>
      <c r="T1399" s="33"/>
      <c r="U1399" s="33"/>
      <c r="V1399" s="33"/>
      <c r="W1399" s="33"/>
      <c r="X1399" s="33"/>
      <c r="Y1399" s="33"/>
      <c r="Z1399" s="33"/>
      <c r="AA1399" s="33"/>
      <c r="AB1399" s="33"/>
      <c r="AC1399" s="33"/>
      <c r="AD1399" s="33"/>
      <c r="AE1399" s="33"/>
      <c r="AF1399" s="33"/>
      <c r="AG1399" s="33"/>
      <c r="AH1399" s="33"/>
      <c r="AI1399" s="33"/>
      <c r="AJ1399" s="33"/>
      <c r="AK1399" s="34" t="str">
        <f aca="false">IF($B1399="","",COUNTIF($F1399:$AJ1399,"P"))</f>
        <v/>
      </c>
      <c r="AL1399" s="34" t="str">
        <f aca="false">IF($B1399="","",COUNTIF($F1399:$AJ1399,"A"))</f>
        <v/>
      </c>
      <c r="AM1399" s="34" t="str">
        <f aca="false">IF($B1399="","",COUNTIF($F1399:$AJ1399,"HA"))</f>
        <v/>
      </c>
      <c r="AN1399" s="34" t="str">
        <f aca="false">IF($B1399="","",COUNTIF($F1399:$AJ1399,"L"))</f>
        <v/>
      </c>
      <c r="AO1399" s="34" t="str">
        <f aca="false">IF($B1399="","",COUNTIF($F1399:$AJ1399,"PL"))</f>
        <v/>
      </c>
      <c r="AP1399" s="34" t="str">
        <f aca="false">IF($B1399="","",COUNTIF($F1399:$AJ1399,"CL"))</f>
        <v/>
      </c>
      <c r="AQ1399" s="34" t="str">
        <f aca="false">IF($B1399="","",COUNTIF($F1399:$AJ1399,"SL"))</f>
        <v/>
      </c>
      <c r="AR1399" s="34" t="str">
        <f aca="false">IF($B1399="","",COUNTIF($F1399:$AJ1399,"CO"))</f>
        <v/>
      </c>
      <c r="AS1399" s="34" t="str">
        <f aca="false">IF($B1399="","",COUNTIF($F1399:$AJ1399,"HPL"))</f>
        <v/>
      </c>
      <c r="AT1399" s="34" t="str">
        <f aca="false">IF($B1399="","",COUNTIF($F1399:$AJ1399,"HCL"))</f>
        <v/>
      </c>
      <c r="AU1399" s="34" t="str">
        <f aca="false">IF($B1399="","",COUNTIF($F1399:$AJ1399,"WO"))</f>
        <v/>
      </c>
      <c r="AV1399" s="34" t="str">
        <f aca="false">IF($B1399="","",COUNTIF($F1399:$AJ1399,"PH"))</f>
        <v/>
      </c>
      <c r="AW1399" s="34" t="str">
        <f aca="false">IF($B1399="","",COUNTIF($F1399:$AJ1399,"TR"))</f>
        <v/>
      </c>
      <c r="AX1399" s="35" t="str">
        <f aca="false">IF($B1399="","",AO1399+AS1399/2)</f>
        <v/>
      </c>
      <c r="AY1399" s="35" t="str">
        <f aca="false">IF($B1399="","",AQ1399)</f>
        <v/>
      </c>
      <c r="AZ1399" s="35" t="str">
        <f aca="false">IF($B1399="","",AP1399+AT1399/2)</f>
        <v/>
      </c>
      <c r="BA1399" s="35" t="str">
        <f aca="false">IF($B1399="","",AK1399+AN1399+AM1399/2+AO1399+AP1399+AQ1399+AR1399+AS1399+AT1399+AU1399+AV1399+AW1399)</f>
        <v/>
      </c>
      <c r="BB1399" s="35" t="str">
        <f aca="false">IF($B1399="","",MAX(0,AN1399-Settings!$C$16)*Settings!$C$17)</f>
        <v/>
      </c>
      <c r="BC1399" s="35" t="str">
        <f aca="false">IF($B1399="","",BA1399-BB1399)</f>
        <v/>
      </c>
      <c r="BD1399" s="35" t="str">
        <f aca="false">IF(OR($B1399="",$A1399=""),"",DAY(EOMONTH($A1399,0))-COUNTA($F1399:$AJ1399))</f>
        <v/>
      </c>
    </row>
    <row r="1400" customFormat="false" ht="15" hidden="false" customHeight="false" outlineLevel="0" collapsed="false">
      <c r="A1400" s="32"/>
      <c r="B1400" s="29"/>
      <c r="C1400" s="10" t="str">
        <f aca="false">IF($B1400="","",IFERROR(INDEX(M_name,MATCH($B1400,M_emp,0)),"Code not found"))</f>
        <v/>
      </c>
      <c r="D1400" s="10" t="str">
        <f aca="false">IF($B1400="","",IFERROR(INDEX(M_dept,MATCH($B1400,M_emp,0)),""))</f>
        <v/>
      </c>
      <c r="E1400" s="10" t="str">
        <f aca="false">IF($B1400="","",IFERROR(INDEX(M_loc,MATCH($B1400,M_emp,0)),""))</f>
        <v/>
      </c>
      <c r="F1400" s="33"/>
      <c r="G1400" s="33"/>
      <c r="H1400" s="33"/>
      <c r="I1400" s="33"/>
      <c r="J1400" s="33"/>
      <c r="K1400" s="33"/>
      <c r="L1400" s="33"/>
      <c r="M1400" s="33"/>
      <c r="N1400" s="33"/>
      <c r="O1400" s="33"/>
      <c r="P1400" s="33"/>
      <c r="Q1400" s="33"/>
      <c r="R1400" s="33"/>
      <c r="S1400" s="33"/>
      <c r="T1400" s="33"/>
      <c r="U1400" s="33"/>
      <c r="V1400" s="33"/>
      <c r="W1400" s="33"/>
      <c r="X1400" s="33"/>
      <c r="Y1400" s="33"/>
      <c r="Z1400" s="33"/>
      <c r="AA1400" s="33"/>
      <c r="AB1400" s="33"/>
      <c r="AC1400" s="33"/>
      <c r="AD1400" s="33"/>
      <c r="AE1400" s="33"/>
      <c r="AF1400" s="33"/>
      <c r="AG1400" s="33"/>
      <c r="AH1400" s="33"/>
      <c r="AI1400" s="33"/>
      <c r="AJ1400" s="33"/>
      <c r="AK1400" s="34" t="str">
        <f aca="false">IF($B1400="","",COUNTIF($F1400:$AJ1400,"P"))</f>
        <v/>
      </c>
      <c r="AL1400" s="34" t="str">
        <f aca="false">IF($B1400="","",COUNTIF($F1400:$AJ1400,"A"))</f>
        <v/>
      </c>
      <c r="AM1400" s="34" t="str">
        <f aca="false">IF($B1400="","",COUNTIF($F1400:$AJ1400,"HA"))</f>
        <v/>
      </c>
      <c r="AN1400" s="34" t="str">
        <f aca="false">IF($B1400="","",COUNTIF($F1400:$AJ1400,"L"))</f>
        <v/>
      </c>
      <c r="AO1400" s="34" t="str">
        <f aca="false">IF($B1400="","",COUNTIF($F1400:$AJ1400,"PL"))</f>
        <v/>
      </c>
      <c r="AP1400" s="34" t="str">
        <f aca="false">IF($B1400="","",COUNTIF($F1400:$AJ1400,"CL"))</f>
        <v/>
      </c>
      <c r="AQ1400" s="34" t="str">
        <f aca="false">IF($B1400="","",COUNTIF($F1400:$AJ1400,"SL"))</f>
        <v/>
      </c>
      <c r="AR1400" s="34" t="str">
        <f aca="false">IF($B1400="","",COUNTIF($F1400:$AJ1400,"CO"))</f>
        <v/>
      </c>
      <c r="AS1400" s="34" t="str">
        <f aca="false">IF($B1400="","",COUNTIF($F1400:$AJ1400,"HPL"))</f>
        <v/>
      </c>
      <c r="AT1400" s="34" t="str">
        <f aca="false">IF($B1400="","",COUNTIF($F1400:$AJ1400,"HCL"))</f>
        <v/>
      </c>
      <c r="AU1400" s="34" t="str">
        <f aca="false">IF($B1400="","",COUNTIF($F1400:$AJ1400,"WO"))</f>
        <v/>
      </c>
      <c r="AV1400" s="34" t="str">
        <f aca="false">IF($B1400="","",COUNTIF($F1400:$AJ1400,"PH"))</f>
        <v/>
      </c>
      <c r="AW1400" s="34" t="str">
        <f aca="false">IF($B1400="","",COUNTIF($F1400:$AJ1400,"TR"))</f>
        <v/>
      </c>
      <c r="AX1400" s="35" t="str">
        <f aca="false">IF($B1400="","",AO1400+AS1400/2)</f>
        <v/>
      </c>
      <c r="AY1400" s="35" t="str">
        <f aca="false">IF($B1400="","",AQ1400)</f>
        <v/>
      </c>
      <c r="AZ1400" s="35" t="str">
        <f aca="false">IF($B1400="","",AP1400+AT1400/2)</f>
        <v/>
      </c>
      <c r="BA1400" s="35" t="str">
        <f aca="false">IF($B1400="","",AK1400+AN1400+AM1400/2+AO1400+AP1400+AQ1400+AR1400+AS1400+AT1400+AU1400+AV1400+AW1400)</f>
        <v/>
      </c>
      <c r="BB1400" s="35" t="str">
        <f aca="false">IF($B1400="","",MAX(0,AN1400-Settings!$C$16)*Settings!$C$17)</f>
        <v/>
      </c>
      <c r="BC1400" s="35" t="str">
        <f aca="false">IF($B1400="","",BA1400-BB1400)</f>
        <v/>
      </c>
      <c r="BD1400" s="35" t="str">
        <f aca="false">IF(OR($B1400="",$A1400=""),"",DAY(EOMONTH($A1400,0))-COUNTA($F1400:$AJ1400))</f>
        <v/>
      </c>
    </row>
    <row r="1401" customFormat="false" ht="15" hidden="false" customHeight="false" outlineLevel="0" collapsed="false">
      <c r="A1401" s="32"/>
      <c r="B1401" s="29"/>
      <c r="C1401" s="10" t="str">
        <f aca="false">IF($B1401="","",IFERROR(INDEX(M_name,MATCH($B1401,M_emp,0)),"Code not found"))</f>
        <v/>
      </c>
      <c r="D1401" s="10" t="str">
        <f aca="false">IF($B1401="","",IFERROR(INDEX(M_dept,MATCH($B1401,M_emp,0)),""))</f>
        <v/>
      </c>
      <c r="E1401" s="10" t="str">
        <f aca="false">IF($B1401="","",IFERROR(INDEX(M_loc,MATCH($B1401,M_emp,0)),""))</f>
        <v/>
      </c>
      <c r="F1401" s="33"/>
      <c r="G1401" s="33"/>
      <c r="H1401" s="33"/>
      <c r="I1401" s="33"/>
      <c r="J1401" s="33"/>
      <c r="K1401" s="33"/>
      <c r="L1401" s="33"/>
      <c r="M1401" s="33"/>
      <c r="N1401" s="33"/>
      <c r="O1401" s="33"/>
      <c r="P1401" s="33"/>
      <c r="Q1401" s="33"/>
      <c r="R1401" s="33"/>
      <c r="S1401" s="33"/>
      <c r="T1401" s="33"/>
      <c r="U1401" s="33"/>
      <c r="V1401" s="33"/>
      <c r="W1401" s="33"/>
      <c r="X1401" s="33"/>
      <c r="Y1401" s="33"/>
      <c r="Z1401" s="33"/>
      <c r="AA1401" s="33"/>
      <c r="AB1401" s="33"/>
      <c r="AC1401" s="33"/>
      <c r="AD1401" s="33"/>
      <c r="AE1401" s="33"/>
      <c r="AF1401" s="33"/>
      <c r="AG1401" s="33"/>
      <c r="AH1401" s="33"/>
      <c r="AI1401" s="33"/>
      <c r="AJ1401" s="33"/>
      <c r="AK1401" s="34" t="str">
        <f aca="false">IF($B1401="","",COUNTIF($F1401:$AJ1401,"P"))</f>
        <v/>
      </c>
      <c r="AL1401" s="34" t="str">
        <f aca="false">IF($B1401="","",COUNTIF($F1401:$AJ1401,"A"))</f>
        <v/>
      </c>
      <c r="AM1401" s="34" t="str">
        <f aca="false">IF($B1401="","",COUNTIF($F1401:$AJ1401,"HA"))</f>
        <v/>
      </c>
      <c r="AN1401" s="34" t="str">
        <f aca="false">IF($B1401="","",COUNTIF($F1401:$AJ1401,"L"))</f>
        <v/>
      </c>
      <c r="AO1401" s="34" t="str">
        <f aca="false">IF($B1401="","",COUNTIF($F1401:$AJ1401,"PL"))</f>
        <v/>
      </c>
      <c r="AP1401" s="34" t="str">
        <f aca="false">IF($B1401="","",COUNTIF($F1401:$AJ1401,"CL"))</f>
        <v/>
      </c>
      <c r="AQ1401" s="34" t="str">
        <f aca="false">IF($B1401="","",COUNTIF($F1401:$AJ1401,"SL"))</f>
        <v/>
      </c>
      <c r="AR1401" s="34" t="str">
        <f aca="false">IF($B1401="","",COUNTIF($F1401:$AJ1401,"CO"))</f>
        <v/>
      </c>
      <c r="AS1401" s="34" t="str">
        <f aca="false">IF($B1401="","",COUNTIF($F1401:$AJ1401,"HPL"))</f>
        <v/>
      </c>
      <c r="AT1401" s="34" t="str">
        <f aca="false">IF($B1401="","",COUNTIF($F1401:$AJ1401,"HCL"))</f>
        <v/>
      </c>
      <c r="AU1401" s="34" t="str">
        <f aca="false">IF($B1401="","",COUNTIF($F1401:$AJ1401,"WO"))</f>
        <v/>
      </c>
      <c r="AV1401" s="34" t="str">
        <f aca="false">IF($B1401="","",COUNTIF($F1401:$AJ1401,"PH"))</f>
        <v/>
      </c>
      <c r="AW1401" s="34" t="str">
        <f aca="false">IF($B1401="","",COUNTIF($F1401:$AJ1401,"TR"))</f>
        <v/>
      </c>
      <c r="AX1401" s="35" t="str">
        <f aca="false">IF($B1401="","",AO1401+AS1401/2)</f>
        <v/>
      </c>
      <c r="AY1401" s="35" t="str">
        <f aca="false">IF($B1401="","",AQ1401)</f>
        <v/>
      </c>
      <c r="AZ1401" s="35" t="str">
        <f aca="false">IF($B1401="","",AP1401+AT1401/2)</f>
        <v/>
      </c>
      <c r="BA1401" s="35" t="str">
        <f aca="false">IF($B1401="","",AK1401+AN1401+AM1401/2+AO1401+AP1401+AQ1401+AR1401+AS1401+AT1401+AU1401+AV1401+AW1401)</f>
        <v/>
      </c>
      <c r="BB1401" s="35" t="str">
        <f aca="false">IF($B1401="","",MAX(0,AN1401-Settings!$C$16)*Settings!$C$17)</f>
        <v/>
      </c>
      <c r="BC1401" s="35" t="str">
        <f aca="false">IF($B1401="","",BA1401-BB1401)</f>
        <v/>
      </c>
      <c r="BD1401" s="35" t="str">
        <f aca="false">IF(OR($B1401="",$A1401=""),"",DAY(EOMONTH($A1401,0))-COUNTA($F1401:$AJ1401))</f>
        <v/>
      </c>
    </row>
    <row r="1402" customFormat="false" ht="15" hidden="false" customHeight="false" outlineLevel="0" collapsed="false">
      <c r="A1402" s="32"/>
      <c r="B1402" s="29"/>
      <c r="C1402" s="10" t="str">
        <f aca="false">IF($B1402="","",IFERROR(INDEX(M_name,MATCH($B1402,M_emp,0)),"Code not found"))</f>
        <v/>
      </c>
      <c r="D1402" s="10" t="str">
        <f aca="false">IF($B1402="","",IFERROR(INDEX(M_dept,MATCH($B1402,M_emp,0)),""))</f>
        <v/>
      </c>
      <c r="E1402" s="10" t="str">
        <f aca="false">IF($B1402="","",IFERROR(INDEX(M_loc,MATCH($B1402,M_emp,0)),""))</f>
        <v/>
      </c>
      <c r="F1402" s="33"/>
      <c r="G1402" s="33"/>
      <c r="H1402" s="33"/>
      <c r="I1402" s="33"/>
      <c r="J1402" s="33"/>
      <c r="K1402" s="33"/>
      <c r="L1402" s="33"/>
      <c r="M1402" s="33"/>
      <c r="N1402" s="33"/>
      <c r="O1402" s="33"/>
      <c r="P1402" s="33"/>
      <c r="Q1402" s="33"/>
      <c r="R1402" s="33"/>
      <c r="S1402" s="33"/>
      <c r="T1402" s="33"/>
      <c r="U1402" s="33"/>
      <c r="V1402" s="33"/>
      <c r="W1402" s="33"/>
      <c r="X1402" s="33"/>
      <c r="Y1402" s="33"/>
      <c r="Z1402" s="33"/>
      <c r="AA1402" s="33"/>
      <c r="AB1402" s="33"/>
      <c r="AC1402" s="33"/>
      <c r="AD1402" s="33"/>
      <c r="AE1402" s="33"/>
      <c r="AF1402" s="33"/>
      <c r="AG1402" s="33"/>
      <c r="AH1402" s="33"/>
      <c r="AI1402" s="33"/>
      <c r="AJ1402" s="33"/>
      <c r="AK1402" s="34" t="str">
        <f aca="false">IF($B1402="","",COUNTIF($F1402:$AJ1402,"P"))</f>
        <v/>
      </c>
      <c r="AL1402" s="34" t="str">
        <f aca="false">IF($B1402="","",COUNTIF($F1402:$AJ1402,"A"))</f>
        <v/>
      </c>
      <c r="AM1402" s="34" t="str">
        <f aca="false">IF($B1402="","",COUNTIF($F1402:$AJ1402,"HA"))</f>
        <v/>
      </c>
      <c r="AN1402" s="34" t="str">
        <f aca="false">IF($B1402="","",COUNTIF($F1402:$AJ1402,"L"))</f>
        <v/>
      </c>
      <c r="AO1402" s="34" t="str">
        <f aca="false">IF($B1402="","",COUNTIF($F1402:$AJ1402,"PL"))</f>
        <v/>
      </c>
      <c r="AP1402" s="34" t="str">
        <f aca="false">IF($B1402="","",COUNTIF($F1402:$AJ1402,"CL"))</f>
        <v/>
      </c>
      <c r="AQ1402" s="34" t="str">
        <f aca="false">IF($B1402="","",COUNTIF($F1402:$AJ1402,"SL"))</f>
        <v/>
      </c>
      <c r="AR1402" s="34" t="str">
        <f aca="false">IF($B1402="","",COUNTIF($F1402:$AJ1402,"CO"))</f>
        <v/>
      </c>
      <c r="AS1402" s="34" t="str">
        <f aca="false">IF($B1402="","",COUNTIF($F1402:$AJ1402,"HPL"))</f>
        <v/>
      </c>
      <c r="AT1402" s="34" t="str">
        <f aca="false">IF($B1402="","",COUNTIF($F1402:$AJ1402,"HCL"))</f>
        <v/>
      </c>
      <c r="AU1402" s="34" t="str">
        <f aca="false">IF($B1402="","",COUNTIF($F1402:$AJ1402,"WO"))</f>
        <v/>
      </c>
      <c r="AV1402" s="34" t="str">
        <f aca="false">IF($B1402="","",COUNTIF($F1402:$AJ1402,"PH"))</f>
        <v/>
      </c>
      <c r="AW1402" s="34" t="str">
        <f aca="false">IF($B1402="","",COUNTIF($F1402:$AJ1402,"TR"))</f>
        <v/>
      </c>
      <c r="AX1402" s="35" t="str">
        <f aca="false">IF($B1402="","",AO1402+AS1402/2)</f>
        <v/>
      </c>
      <c r="AY1402" s="35" t="str">
        <f aca="false">IF($B1402="","",AQ1402)</f>
        <v/>
      </c>
      <c r="AZ1402" s="35" t="str">
        <f aca="false">IF($B1402="","",AP1402+AT1402/2)</f>
        <v/>
      </c>
      <c r="BA1402" s="35" t="str">
        <f aca="false">IF($B1402="","",AK1402+AN1402+AM1402/2+AO1402+AP1402+AQ1402+AR1402+AS1402+AT1402+AU1402+AV1402+AW1402)</f>
        <v/>
      </c>
      <c r="BB1402" s="35" t="str">
        <f aca="false">IF($B1402="","",MAX(0,AN1402-Settings!$C$16)*Settings!$C$17)</f>
        <v/>
      </c>
      <c r="BC1402" s="35" t="str">
        <f aca="false">IF($B1402="","",BA1402-BB1402)</f>
        <v/>
      </c>
      <c r="BD1402" s="35" t="str">
        <f aca="false">IF(OR($B1402="",$A1402=""),"",DAY(EOMONTH($A1402,0))-COUNTA($F1402:$AJ1402))</f>
        <v/>
      </c>
    </row>
    <row r="1403" customFormat="false" ht="15" hidden="false" customHeight="false" outlineLevel="0" collapsed="false">
      <c r="A1403" s="32"/>
      <c r="B1403" s="29"/>
      <c r="C1403" s="10" t="str">
        <f aca="false">IF($B1403="","",IFERROR(INDEX(M_name,MATCH($B1403,M_emp,0)),"Code not found"))</f>
        <v/>
      </c>
      <c r="D1403" s="10" t="str">
        <f aca="false">IF($B1403="","",IFERROR(INDEX(M_dept,MATCH($B1403,M_emp,0)),""))</f>
        <v/>
      </c>
      <c r="E1403" s="10" t="str">
        <f aca="false">IF($B1403="","",IFERROR(INDEX(M_loc,MATCH($B1403,M_emp,0)),""))</f>
        <v/>
      </c>
      <c r="F1403" s="33"/>
      <c r="G1403" s="33"/>
      <c r="H1403" s="33"/>
      <c r="I1403" s="33"/>
      <c r="J1403" s="33"/>
      <c r="K1403" s="33"/>
      <c r="L1403" s="33"/>
      <c r="M1403" s="33"/>
      <c r="N1403" s="33"/>
      <c r="O1403" s="33"/>
      <c r="P1403" s="33"/>
      <c r="Q1403" s="33"/>
      <c r="R1403" s="33"/>
      <c r="S1403" s="33"/>
      <c r="T1403" s="33"/>
      <c r="U1403" s="33"/>
      <c r="V1403" s="33"/>
      <c r="W1403" s="33"/>
      <c r="X1403" s="33"/>
      <c r="Y1403" s="33"/>
      <c r="Z1403" s="33"/>
      <c r="AA1403" s="33"/>
      <c r="AB1403" s="33"/>
      <c r="AC1403" s="33"/>
      <c r="AD1403" s="33"/>
      <c r="AE1403" s="33"/>
      <c r="AF1403" s="33"/>
      <c r="AG1403" s="33"/>
      <c r="AH1403" s="33"/>
      <c r="AI1403" s="33"/>
      <c r="AJ1403" s="33"/>
      <c r="AK1403" s="34" t="str">
        <f aca="false">IF($B1403="","",COUNTIF($F1403:$AJ1403,"P"))</f>
        <v/>
      </c>
      <c r="AL1403" s="34" t="str">
        <f aca="false">IF($B1403="","",COUNTIF($F1403:$AJ1403,"A"))</f>
        <v/>
      </c>
      <c r="AM1403" s="34" t="str">
        <f aca="false">IF($B1403="","",COUNTIF($F1403:$AJ1403,"HA"))</f>
        <v/>
      </c>
      <c r="AN1403" s="34" t="str">
        <f aca="false">IF($B1403="","",COUNTIF($F1403:$AJ1403,"L"))</f>
        <v/>
      </c>
      <c r="AO1403" s="34" t="str">
        <f aca="false">IF($B1403="","",COUNTIF($F1403:$AJ1403,"PL"))</f>
        <v/>
      </c>
      <c r="AP1403" s="34" t="str">
        <f aca="false">IF($B1403="","",COUNTIF($F1403:$AJ1403,"CL"))</f>
        <v/>
      </c>
      <c r="AQ1403" s="34" t="str">
        <f aca="false">IF($B1403="","",COUNTIF($F1403:$AJ1403,"SL"))</f>
        <v/>
      </c>
      <c r="AR1403" s="34" t="str">
        <f aca="false">IF($B1403="","",COUNTIF($F1403:$AJ1403,"CO"))</f>
        <v/>
      </c>
      <c r="AS1403" s="34" t="str">
        <f aca="false">IF($B1403="","",COUNTIF($F1403:$AJ1403,"HPL"))</f>
        <v/>
      </c>
      <c r="AT1403" s="34" t="str">
        <f aca="false">IF($B1403="","",COUNTIF($F1403:$AJ1403,"HCL"))</f>
        <v/>
      </c>
      <c r="AU1403" s="34" t="str">
        <f aca="false">IF($B1403="","",COUNTIF($F1403:$AJ1403,"WO"))</f>
        <v/>
      </c>
      <c r="AV1403" s="34" t="str">
        <f aca="false">IF($B1403="","",COUNTIF($F1403:$AJ1403,"PH"))</f>
        <v/>
      </c>
      <c r="AW1403" s="34" t="str">
        <f aca="false">IF($B1403="","",COUNTIF($F1403:$AJ1403,"TR"))</f>
        <v/>
      </c>
      <c r="AX1403" s="35" t="str">
        <f aca="false">IF($B1403="","",AO1403+AS1403/2)</f>
        <v/>
      </c>
      <c r="AY1403" s="35" t="str">
        <f aca="false">IF($B1403="","",AQ1403)</f>
        <v/>
      </c>
      <c r="AZ1403" s="35" t="str">
        <f aca="false">IF($B1403="","",AP1403+AT1403/2)</f>
        <v/>
      </c>
      <c r="BA1403" s="35" t="str">
        <f aca="false">IF($B1403="","",AK1403+AN1403+AM1403/2+AO1403+AP1403+AQ1403+AR1403+AS1403+AT1403+AU1403+AV1403+AW1403)</f>
        <v/>
      </c>
      <c r="BB1403" s="35" t="str">
        <f aca="false">IF($B1403="","",MAX(0,AN1403-Settings!$C$16)*Settings!$C$17)</f>
        <v/>
      </c>
      <c r="BC1403" s="35" t="str">
        <f aca="false">IF($B1403="","",BA1403-BB1403)</f>
        <v/>
      </c>
      <c r="BD1403" s="35" t="str">
        <f aca="false">IF(OR($B1403="",$A1403=""),"",DAY(EOMONTH($A1403,0))-COUNTA($F1403:$AJ1403))</f>
        <v/>
      </c>
    </row>
    <row r="1404" customFormat="false" ht="15" hidden="false" customHeight="false" outlineLevel="0" collapsed="false">
      <c r="A1404" s="32"/>
      <c r="B1404" s="29"/>
      <c r="C1404" s="10" t="str">
        <f aca="false">IF($B1404="","",IFERROR(INDEX(M_name,MATCH($B1404,M_emp,0)),"Code not found"))</f>
        <v/>
      </c>
      <c r="D1404" s="10" t="str">
        <f aca="false">IF($B1404="","",IFERROR(INDEX(M_dept,MATCH($B1404,M_emp,0)),""))</f>
        <v/>
      </c>
      <c r="E1404" s="10" t="str">
        <f aca="false">IF($B1404="","",IFERROR(INDEX(M_loc,MATCH($B1404,M_emp,0)),""))</f>
        <v/>
      </c>
      <c r="F1404" s="33"/>
      <c r="G1404" s="33"/>
      <c r="H1404" s="33"/>
      <c r="I1404" s="33"/>
      <c r="J1404" s="33"/>
      <c r="K1404" s="33"/>
      <c r="L1404" s="33"/>
      <c r="M1404" s="33"/>
      <c r="N1404" s="33"/>
      <c r="O1404" s="33"/>
      <c r="P1404" s="33"/>
      <c r="Q1404" s="33"/>
      <c r="R1404" s="33"/>
      <c r="S1404" s="33"/>
      <c r="T1404" s="33"/>
      <c r="U1404" s="33"/>
      <c r="V1404" s="33"/>
      <c r="W1404" s="33"/>
      <c r="X1404" s="33"/>
      <c r="Y1404" s="33"/>
      <c r="Z1404" s="33"/>
      <c r="AA1404" s="33"/>
      <c r="AB1404" s="33"/>
      <c r="AC1404" s="33"/>
      <c r="AD1404" s="33"/>
      <c r="AE1404" s="33"/>
      <c r="AF1404" s="33"/>
      <c r="AG1404" s="33"/>
      <c r="AH1404" s="33"/>
      <c r="AI1404" s="33"/>
      <c r="AJ1404" s="33"/>
      <c r="AK1404" s="34" t="str">
        <f aca="false">IF($B1404="","",COUNTIF($F1404:$AJ1404,"P"))</f>
        <v/>
      </c>
      <c r="AL1404" s="34" t="str">
        <f aca="false">IF($B1404="","",COUNTIF($F1404:$AJ1404,"A"))</f>
        <v/>
      </c>
      <c r="AM1404" s="34" t="str">
        <f aca="false">IF($B1404="","",COUNTIF($F1404:$AJ1404,"HA"))</f>
        <v/>
      </c>
      <c r="AN1404" s="34" t="str">
        <f aca="false">IF($B1404="","",COUNTIF($F1404:$AJ1404,"L"))</f>
        <v/>
      </c>
      <c r="AO1404" s="34" t="str">
        <f aca="false">IF($B1404="","",COUNTIF($F1404:$AJ1404,"PL"))</f>
        <v/>
      </c>
      <c r="AP1404" s="34" t="str">
        <f aca="false">IF($B1404="","",COUNTIF($F1404:$AJ1404,"CL"))</f>
        <v/>
      </c>
      <c r="AQ1404" s="34" t="str">
        <f aca="false">IF($B1404="","",COUNTIF($F1404:$AJ1404,"SL"))</f>
        <v/>
      </c>
      <c r="AR1404" s="34" t="str">
        <f aca="false">IF($B1404="","",COUNTIF($F1404:$AJ1404,"CO"))</f>
        <v/>
      </c>
      <c r="AS1404" s="34" t="str">
        <f aca="false">IF($B1404="","",COUNTIF($F1404:$AJ1404,"HPL"))</f>
        <v/>
      </c>
      <c r="AT1404" s="34" t="str">
        <f aca="false">IF($B1404="","",COUNTIF($F1404:$AJ1404,"HCL"))</f>
        <v/>
      </c>
      <c r="AU1404" s="34" t="str">
        <f aca="false">IF($B1404="","",COUNTIF($F1404:$AJ1404,"WO"))</f>
        <v/>
      </c>
      <c r="AV1404" s="34" t="str">
        <f aca="false">IF($B1404="","",COUNTIF($F1404:$AJ1404,"PH"))</f>
        <v/>
      </c>
      <c r="AW1404" s="34" t="str">
        <f aca="false">IF($B1404="","",COUNTIF($F1404:$AJ1404,"TR"))</f>
        <v/>
      </c>
      <c r="AX1404" s="35" t="str">
        <f aca="false">IF($B1404="","",AO1404+AS1404/2)</f>
        <v/>
      </c>
      <c r="AY1404" s="35" t="str">
        <f aca="false">IF($B1404="","",AQ1404)</f>
        <v/>
      </c>
      <c r="AZ1404" s="35" t="str">
        <f aca="false">IF($B1404="","",AP1404+AT1404/2)</f>
        <v/>
      </c>
      <c r="BA1404" s="35" t="str">
        <f aca="false">IF($B1404="","",AK1404+AN1404+AM1404/2+AO1404+AP1404+AQ1404+AR1404+AS1404+AT1404+AU1404+AV1404+AW1404)</f>
        <v/>
      </c>
      <c r="BB1404" s="35" t="str">
        <f aca="false">IF($B1404="","",MAX(0,AN1404-Settings!$C$16)*Settings!$C$17)</f>
        <v/>
      </c>
      <c r="BC1404" s="35" t="str">
        <f aca="false">IF($B1404="","",BA1404-BB1404)</f>
        <v/>
      </c>
      <c r="BD1404" s="35" t="str">
        <f aca="false">IF(OR($B1404="",$A1404=""),"",DAY(EOMONTH($A1404,0))-COUNTA($F1404:$AJ1404))</f>
        <v/>
      </c>
    </row>
    <row r="1405" customFormat="false" ht="15" hidden="false" customHeight="false" outlineLevel="0" collapsed="false">
      <c r="A1405" s="32"/>
      <c r="B1405" s="29"/>
      <c r="C1405" s="10" t="str">
        <f aca="false">IF($B1405="","",IFERROR(INDEX(M_name,MATCH($B1405,M_emp,0)),"Code not found"))</f>
        <v/>
      </c>
      <c r="D1405" s="10" t="str">
        <f aca="false">IF($B1405="","",IFERROR(INDEX(M_dept,MATCH($B1405,M_emp,0)),""))</f>
        <v/>
      </c>
      <c r="E1405" s="10" t="str">
        <f aca="false">IF($B1405="","",IFERROR(INDEX(M_loc,MATCH($B1405,M_emp,0)),""))</f>
        <v/>
      </c>
      <c r="F1405" s="33"/>
      <c r="G1405" s="33"/>
      <c r="H1405" s="33"/>
      <c r="I1405" s="33"/>
      <c r="J1405" s="33"/>
      <c r="K1405" s="33"/>
      <c r="L1405" s="33"/>
      <c r="M1405" s="33"/>
      <c r="N1405" s="33"/>
      <c r="O1405" s="33"/>
      <c r="P1405" s="33"/>
      <c r="Q1405" s="33"/>
      <c r="R1405" s="33"/>
      <c r="S1405" s="33"/>
      <c r="T1405" s="33"/>
      <c r="U1405" s="33"/>
      <c r="V1405" s="33"/>
      <c r="W1405" s="33"/>
      <c r="X1405" s="33"/>
      <c r="Y1405" s="33"/>
      <c r="Z1405" s="33"/>
      <c r="AA1405" s="33"/>
      <c r="AB1405" s="33"/>
      <c r="AC1405" s="33"/>
      <c r="AD1405" s="33"/>
      <c r="AE1405" s="33"/>
      <c r="AF1405" s="33"/>
      <c r="AG1405" s="33"/>
      <c r="AH1405" s="33"/>
      <c r="AI1405" s="33"/>
      <c r="AJ1405" s="33"/>
      <c r="AK1405" s="34" t="str">
        <f aca="false">IF($B1405="","",COUNTIF($F1405:$AJ1405,"P"))</f>
        <v/>
      </c>
      <c r="AL1405" s="34" t="str">
        <f aca="false">IF($B1405="","",COUNTIF($F1405:$AJ1405,"A"))</f>
        <v/>
      </c>
      <c r="AM1405" s="34" t="str">
        <f aca="false">IF($B1405="","",COUNTIF($F1405:$AJ1405,"HA"))</f>
        <v/>
      </c>
      <c r="AN1405" s="34" t="str">
        <f aca="false">IF($B1405="","",COUNTIF($F1405:$AJ1405,"L"))</f>
        <v/>
      </c>
      <c r="AO1405" s="34" t="str">
        <f aca="false">IF($B1405="","",COUNTIF($F1405:$AJ1405,"PL"))</f>
        <v/>
      </c>
      <c r="AP1405" s="34" t="str">
        <f aca="false">IF($B1405="","",COUNTIF($F1405:$AJ1405,"CL"))</f>
        <v/>
      </c>
      <c r="AQ1405" s="34" t="str">
        <f aca="false">IF($B1405="","",COUNTIF($F1405:$AJ1405,"SL"))</f>
        <v/>
      </c>
      <c r="AR1405" s="34" t="str">
        <f aca="false">IF($B1405="","",COUNTIF($F1405:$AJ1405,"CO"))</f>
        <v/>
      </c>
      <c r="AS1405" s="34" t="str">
        <f aca="false">IF($B1405="","",COUNTIF($F1405:$AJ1405,"HPL"))</f>
        <v/>
      </c>
      <c r="AT1405" s="34" t="str">
        <f aca="false">IF($B1405="","",COUNTIF($F1405:$AJ1405,"HCL"))</f>
        <v/>
      </c>
      <c r="AU1405" s="34" t="str">
        <f aca="false">IF($B1405="","",COUNTIF($F1405:$AJ1405,"WO"))</f>
        <v/>
      </c>
      <c r="AV1405" s="34" t="str">
        <f aca="false">IF($B1405="","",COUNTIF($F1405:$AJ1405,"PH"))</f>
        <v/>
      </c>
      <c r="AW1405" s="34" t="str">
        <f aca="false">IF($B1405="","",COUNTIF($F1405:$AJ1405,"TR"))</f>
        <v/>
      </c>
      <c r="AX1405" s="35" t="str">
        <f aca="false">IF($B1405="","",AO1405+AS1405/2)</f>
        <v/>
      </c>
      <c r="AY1405" s="35" t="str">
        <f aca="false">IF($B1405="","",AQ1405)</f>
        <v/>
      </c>
      <c r="AZ1405" s="35" t="str">
        <f aca="false">IF($B1405="","",AP1405+AT1405/2)</f>
        <v/>
      </c>
      <c r="BA1405" s="35" t="str">
        <f aca="false">IF($B1405="","",AK1405+AN1405+AM1405/2+AO1405+AP1405+AQ1405+AR1405+AS1405+AT1405+AU1405+AV1405+AW1405)</f>
        <v/>
      </c>
      <c r="BB1405" s="35" t="str">
        <f aca="false">IF($B1405="","",MAX(0,AN1405-Settings!$C$16)*Settings!$C$17)</f>
        <v/>
      </c>
      <c r="BC1405" s="35" t="str">
        <f aca="false">IF($B1405="","",BA1405-BB1405)</f>
        <v/>
      </c>
      <c r="BD1405" s="35" t="str">
        <f aca="false">IF(OR($B1405="",$A1405=""),"",DAY(EOMONTH($A1405,0))-COUNTA($F1405:$AJ1405))</f>
        <v/>
      </c>
    </row>
    <row r="1406" customFormat="false" ht="15" hidden="false" customHeight="false" outlineLevel="0" collapsed="false">
      <c r="A1406" s="32"/>
      <c r="B1406" s="29"/>
      <c r="C1406" s="10" t="str">
        <f aca="false">IF($B1406="","",IFERROR(INDEX(M_name,MATCH($B1406,M_emp,0)),"Code not found"))</f>
        <v/>
      </c>
      <c r="D1406" s="10" t="str">
        <f aca="false">IF($B1406="","",IFERROR(INDEX(M_dept,MATCH($B1406,M_emp,0)),""))</f>
        <v/>
      </c>
      <c r="E1406" s="10" t="str">
        <f aca="false">IF($B1406="","",IFERROR(INDEX(M_loc,MATCH($B1406,M_emp,0)),""))</f>
        <v/>
      </c>
      <c r="F1406" s="33"/>
      <c r="G1406" s="33"/>
      <c r="H1406" s="33"/>
      <c r="I1406" s="33"/>
      <c r="J1406" s="33"/>
      <c r="K1406" s="33"/>
      <c r="L1406" s="33"/>
      <c r="M1406" s="33"/>
      <c r="N1406" s="33"/>
      <c r="O1406" s="33"/>
      <c r="P1406" s="33"/>
      <c r="Q1406" s="33"/>
      <c r="R1406" s="33"/>
      <c r="S1406" s="33"/>
      <c r="T1406" s="33"/>
      <c r="U1406" s="33"/>
      <c r="V1406" s="33"/>
      <c r="W1406" s="33"/>
      <c r="X1406" s="33"/>
      <c r="Y1406" s="33"/>
      <c r="Z1406" s="33"/>
      <c r="AA1406" s="33"/>
      <c r="AB1406" s="33"/>
      <c r="AC1406" s="33"/>
      <c r="AD1406" s="33"/>
      <c r="AE1406" s="33"/>
      <c r="AF1406" s="33"/>
      <c r="AG1406" s="33"/>
      <c r="AH1406" s="33"/>
      <c r="AI1406" s="33"/>
      <c r="AJ1406" s="33"/>
      <c r="AK1406" s="34" t="str">
        <f aca="false">IF($B1406="","",COUNTIF($F1406:$AJ1406,"P"))</f>
        <v/>
      </c>
      <c r="AL1406" s="34" t="str">
        <f aca="false">IF($B1406="","",COUNTIF($F1406:$AJ1406,"A"))</f>
        <v/>
      </c>
      <c r="AM1406" s="34" t="str">
        <f aca="false">IF($B1406="","",COUNTIF($F1406:$AJ1406,"HA"))</f>
        <v/>
      </c>
      <c r="AN1406" s="34" t="str">
        <f aca="false">IF($B1406="","",COUNTIF($F1406:$AJ1406,"L"))</f>
        <v/>
      </c>
      <c r="AO1406" s="34" t="str">
        <f aca="false">IF($B1406="","",COUNTIF($F1406:$AJ1406,"PL"))</f>
        <v/>
      </c>
      <c r="AP1406" s="34" t="str">
        <f aca="false">IF($B1406="","",COUNTIF($F1406:$AJ1406,"CL"))</f>
        <v/>
      </c>
      <c r="AQ1406" s="34" t="str">
        <f aca="false">IF($B1406="","",COUNTIF($F1406:$AJ1406,"SL"))</f>
        <v/>
      </c>
      <c r="AR1406" s="34" t="str">
        <f aca="false">IF($B1406="","",COUNTIF($F1406:$AJ1406,"CO"))</f>
        <v/>
      </c>
      <c r="AS1406" s="34" t="str">
        <f aca="false">IF($B1406="","",COUNTIF($F1406:$AJ1406,"HPL"))</f>
        <v/>
      </c>
      <c r="AT1406" s="34" t="str">
        <f aca="false">IF($B1406="","",COUNTIF($F1406:$AJ1406,"HCL"))</f>
        <v/>
      </c>
      <c r="AU1406" s="34" t="str">
        <f aca="false">IF($B1406="","",COUNTIF($F1406:$AJ1406,"WO"))</f>
        <v/>
      </c>
      <c r="AV1406" s="34" t="str">
        <f aca="false">IF($B1406="","",COUNTIF($F1406:$AJ1406,"PH"))</f>
        <v/>
      </c>
      <c r="AW1406" s="34" t="str">
        <f aca="false">IF($B1406="","",COUNTIF($F1406:$AJ1406,"TR"))</f>
        <v/>
      </c>
      <c r="AX1406" s="35" t="str">
        <f aca="false">IF($B1406="","",AO1406+AS1406/2)</f>
        <v/>
      </c>
      <c r="AY1406" s="35" t="str">
        <f aca="false">IF($B1406="","",AQ1406)</f>
        <v/>
      </c>
      <c r="AZ1406" s="35" t="str">
        <f aca="false">IF($B1406="","",AP1406+AT1406/2)</f>
        <v/>
      </c>
      <c r="BA1406" s="35" t="str">
        <f aca="false">IF($B1406="","",AK1406+AN1406+AM1406/2+AO1406+AP1406+AQ1406+AR1406+AS1406+AT1406+AU1406+AV1406+AW1406)</f>
        <v/>
      </c>
      <c r="BB1406" s="35" t="str">
        <f aca="false">IF($B1406="","",MAX(0,AN1406-Settings!$C$16)*Settings!$C$17)</f>
        <v/>
      </c>
      <c r="BC1406" s="35" t="str">
        <f aca="false">IF($B1406="","",BA1406-BB1406)</f>
        <v/>
      </c>
      <c r="BD1406" s="35" t="str">
        <f aca="false">IF(OR($B1406="",$A1406=""),"",DAY(EOMONTH($A1406,0))-COUNTA($F1406:$AJ1406))</f>
        <v/>
      </c>
    </row>
    <row r="1407" customFormat="false" ht="15" hidden="false" customHeight="false" outlineLevel="0" collapsed="false">
      <c r="A1407" s="32"/>
      <c r="B1407" s="29"/>
      <c r="C1407" s="10" t="str">
        <f aca="false">IF($B1407="","",IFERROR(INDEX(M_name,MATCH($B1407,M_emp,0)),"Code not found"))</f>
        <v/>
      </c>
      <c r="D1407" s="10" t="str">
        <f aca="false">IF($B1407="","",IFERROR(INDEX(M_dept,MATCH($B1407,M_emp,0)),""))</f>
        <v/>
      </c>
      <c r="E1407" s="10" t="str">
        <f aca="false">IF($B1407="","",IFERROR(INDEX(M_loc,MATCH($B1407,M_emp,0)),""))</f>
        <v/>
      </c>
      <c r="F1407" s="33"/>
      <c r="G1407" s="33"/>
      <c r="H1407" s="33"/>
      <c r="I1407" s="33"/>
      <c r="J1407" s="33"/>
      <c r="K1407" s="33"/>
      <c r="L1407" s="33"/>
      <c r="M1407" s="33"/>
      <c r="N1407" s="33"/>
      <c r="O1407" s="33"/>
      <c r="P1407" s="33"/>
      <c r="Q1407" s="33"/>
      <c r="R1407" s="33"/>
      <c r="S1407" s="33"/>
      <c r="T1407" s="33"/>
      <c r="U1407" s="33"/>
      <c r="V1407" s="33"/>
      <c r="W1407" s="33"/>
      <c r="X1407" s="33"/>
      <c r="Y1407" s="33"/>
      <c r="Z1407" s="33"/>
      <c r="AA1407" s="33"/>
      <c r="AB1407" s="33"/>
      <c r="AC1407" s="33"/>
      <c r="AD1407" s="33"/>
      <c r="AE1407" s="33"/>
      <c r="AF1407" s="33"/>
      <c r="AG1407" s="33"/>
      <c r="AH1407" s="33"/>
      <c r="AI1407" s="33"/>
      <c r="AJ1407" s="33"/>
      <c r="AK1407" s="34" t="str">
        <f aca="false">IF($B1407="","",COUNTIF($F1407:$AJ1407,"P"))</f>
        <v/>
      </c>
      <c r="AL1407" s="34" t="str">
        <f aca="false">IF($B1407="","",COUNTIF($F1407:$AJ1407,"A"))</f>
        <v/>
      </c>
      <c r="AM1407" s="34" t="str">
        <f aca="false">IF($B1407="","",COUNTIF($F1407:$AJ1407,"HA"))</f>
        <v/>
      </c>
      <c r="AN1407" s="34" t="str">
        <f aca="false">IF($B1407="","",COUNTIF($F1407:$AJ1407,"L"))</f>
        <v/>
      </c>
      <c r="AO1407" s="34" t="str">
        <f aca="false">IF($B1407="","",COUNTIF($F1407:$AJ1407,"PL"))</f>
        <v/>
      </c>
      <c r="AP1407" s="34" t="str">
        <f aca="false">IF($B1407="","",COUNTIF($F1407:$AJ1407,"CL"))</f>
        <v/>
      </c>
      <c r="AQ1407" s="34" t="str">
        <f aca="false">IF($B1407="","",COUNTIF($F1407:$AJ1407,"SL"))</f>
        <v/>
      </c>
      <c r="AR1407" s="34" t="str">
        <f aca="false">IF($B1407="","",COUNTIF($F1407:$AJ1407,"CO"))</f>
        <v/>
      </c>
      <c r="AS1407" s="34" t="str">
        <f aca="false">IF($B1407="","",COUNTIF($F1407:$AJ1407,"HPL"))</f>
        <v/>
      </c>
      <c r="AT1407" s="34" t="str">
        <f aca="false">IF($B1407="","",COUNTIF($F1407:$AJ1407,"HCL"))</f>
        <v/>
      </c>
      <c r="AU1407" s="34" t="str">
        <f aca="false">IF($B1407="","",COUNTIF($F1407:$AJ1407,"WO"))</f>
        <v/>
      </c>
      <c r="AV1407" s="34" t="str">
        <f aca="false">IF($B1407="","",COUNTIF($F1407:$AJ1407,"PH"))</f>
        <v/>
      </c>
      <c r="AW1407" s="34" t="str">
        <f aca="false">IF($B1407="","",COUNTIF($F1407:$AJ1407,"TR"))</f>
        <v/>
      </c>
      <c r="AX1407" s="35" t="str">
        <f aca="false">IF($B1407="","",AO1407+AS1407/2)</f>
        <v/>
      </c>
      <c r="AY1407" s="35" t="str">
        <f aca="false">IF($B1407="","",AQ1407)</f>
        <v/>
      </c>
      <c r="AZ1407" s="35" t="str">
        <f aca="false">IF($B1407="","",AP1407+AT1407/2)</f>
        <v/>
      </c>
      <c r="BA1407" s="35" t="str">
        <f aca="false">IF($B1407="","",AK1407+AN1407+AM1407/2+AO1407+AP1407+AQ1407+AR1407+AS1407+AT1407+AU1407+AV1407+AW1407)</f>
        <v/>
      </c>
      <c r="BB1407" s="35" t="str">
        <f aca="false">IF($B1407="","",MAX(0,AN1407-Settings!$C$16)*Settings!$C$17)</f>
        <v/>
      </c>
      <c r="BC1407" s="35" t="str">
        <f aca="false">IF($B1407="","",BA1407-BB1407)</f>
        <v/>
      </c>
      <c r="BD1407" s="35" t="str">
        <f aca="false">IF(OR($B1407="",$A1407=""),"",DAY(EOMONTH($A1407,0))-COUNTA($F1407:$AJ1407))</f>
        <v/>
      </c>
    </row>
    <row r="1408" customFormat="false" ht="15" hidden="false" customHeight="false" outlineLevel="0" collapsed="false">
      <c r="A1408" s="32"/>
      <c r="B1408" s="29"/>
      <c r="C1408" s="10" t="str">
        <f aca="false">IF($B1408="","",IFERROR(INDEX(M_name,MATCH($B1408,M_emp,0)),"Code not found"))</f>
        <v/>
      </c>
      <c r="D1408" s="10" t="str">
        <f aca="false">IF($B1408="","",IFERROR(INDEX(M_dept,MATCH($B1408,M_emp,0)),""))</f>
        <v/>
      </c>
      <c r="E1408" s="10" t="str">
        <f aca="false">IF($B1408="","",IFERROR(INDEX(M_loc,MATCH($B1408,M_emp,0)),""))</f>
        <v/>
      </c>
      <c r="F1408" s="33"/>
      <c r="G1408" s="33"/>
      <c r="H1408" s="33"/>
      <c r="I1408" s="33"/>
      <c r="J1408" s="33"/>
      <c r="K1408" s="33"/>
      <c r="L1408" s="33"/>
      <c r="M1408" s="33"/>
      <c r="N1408" s="33"/>
      <c r="O1408" s="33"/>
      <c r="P1408" s="33"/>
      <c r="Q1408" s="33"/>
      <c r="R1408" s="33"/>
      <c r="S1408" s="33"/>
      <c r="T1408" s="33"/>
      <c r="U1408" s="33"/>
      <c r="V1408" s="33"/>
      <c r="W1408" s="33"/>
      <c r="X1408" s="33"/>
      <c r="Y1408" s="33"/>
      <c r="Z1408" s="33"/>
      <c r="AA1408" s="33"/>
      <c r="AB1408" s="33"/>
      <c r="AC1408" s="33"/>
      <c r="AD1408" s="33"/>
      <c r="AE1408" s="33"/>
      <c r="AF1408" s="33"/>
      <c r="AG1408" s="33"/>
      <c r="AH1408" s="33"/>
      <c r="AI1408" s="33"/>
      <c r="AJ1408" s="33"/>
      <c r="AK1408" s="34" t="str">
        <f aca="false">IF($B1408="","",COUNTIF($F1408:$AJ1408,"P"))</f>
        <v/>
      </c>
      <c r="AL1408" s="34" t="str">
        <f aca="false">IF($B1408="","",COUNTIF($F1408:$AJ1408,"A"))</f>
        <v/>
      </c>
      <c r="AM1408" s="34" t="str">
        <f aca="false">IF($B1408="","",COUNTIF($F1408:$AJ1408,"HA"))</f>
        <v/>
      </c>
      <c r="AN1408" s="34" t="str">
        <f aca="false">IF($B1408="","",COUNTIF($F1408:$AJ1408,"L"))</f>
        <v/>
      </c>
      <c r="AO1408" s="34" t="str">
        <f aca="false">IF($B1408="","",COUNTIF($F1408:$AJ1408,"PL"))</f>
        <v/>
      </c>
      <c r="AP1408" s="34" t="str">
        <f aca="false">IF($B1408="","",COUNTIF($F1408:$AJ1408,"CL"))</f>
        <v/>
      </c>
      <c r="AQ1408" s="34" t="str">
        <f aca="false">IF($B1408="","",COUNTIF($F1408:$AJ1408,"SL"))</f>
        <v/>
      </c>
      <c r="AR1408" s="34" t="str">
        <f aca="false">IF($B1408="","",COUNTIF($F1408:$AJ1408,"CO"))</f>
        <v/>
      </c>
      <c r="AS1408" s="34" t="str">
        <f aca="false">IF($B1408="","",COUNTIF($F1408:$AJ1408,"HPL"))</f>
        <v/>
      </c>
      <c r="AT1408" s="34" t="str">
        <f aca="false">IF($B1408="","",COUNTIF($F1408:$AJ1408,"HCL"))</f>
        <v/>
      </c>
      <c r="AU1408" s="34" t="str">
        <f aca="false">IF($B1408="","",COUNTIF($F1408:$AJ1408,"WO"))</f>
        <v/>
      </c>
      <c r="AV1408" s="34" t="str">
        <f aca="false">IF($B1408="","",COUNTIF($F1408:$AJ1408,"PH"))</f>
        <v/>
      </c>
      <c r="AW1408" s="34" t="str">
        <f aca="false">IF($B1408="","",COUNTIF($F1408:$AJ1408,"TR"))</f>
        <v/>
      </c>
      <c r="AX1408" s="35" t="str">
        <f aca="false">IF($B1408="","",AO1408+AS1408/2)</f>
        <v/>
      </c>
      <c r="AY1408" s="35" t="str">
        <f aca="false">IF($B1408="","",AQ1408)</f>
        <v/>
      </c>
      <c r="AZ1408" s="35" t="str">
        <f aca="false">IF($B1408="","",AP1408+AT1408/2)</f>
        <v/>
      </c>
      <c r="BA1408" s="35" t="str">
        <f aca="false">IF($B1408="","",AK1408+AN1408+AM1408/2+AO1408+AP1408+AQ1408+AR1408+AS1408+AT1408+AU1408+AV1408+AW1408)</f>
        <v/>
      </c>
      <c r="BB1408" s="35" t="str">
        <f aca="false">IF($B1408="","",MAX(0,AN1408-Settings!$C$16)*Settings!$C$17)</f>
        <v/>
      </c>
      <c r="BC1408" s="35" t="str">
        <f aca="false">IF($B1408="","",BA1408-BB1408)</f>
        <v/>
      </c>
      <c r="BD1408" s="35" t="str">
        <f aca="false">IF(OR($B1408="",$A1408=""),"",DAY(EOMONTH($A1408,0))-COUNTA($F1408:$AJ1408))</f>
        <v/>
      </c>
    </row>
    <row r="1409" customFormat="false" ht="15" hidden="false" customHeight="false" outlineLevel="0" collapsed="false">
      <c r="A1409" s="32"/>
      <c r="B1409" s="29"/>
      <c r="C1409" s="10" t="str">
        <f aca="false">IF($B1409="","",IFERROR(INDEX(M_name,MATCH($B1409,M_emp,0)),"Code not found"))</f>
        <v/>
      </c>
      <c r="D1409" s="10" t="str">
        <f aca="false">IF($B1409="","",IFERROR(INDEX(M_dept,MATCH($B1409,M_emp,0)),""))</f>
        <v/>
      </c>
      <c r="E1409" s="10" t="str">
        <f aca="false">IF($B1409="","",IFERROR(INDEX(M_loc,MATCH($B1409,M_emp,0)),""))</f>
        <v/>
      </c>
      <c r="F1409" s="33"/>
      <c r="G1409" s="33"/>
      <c r="H1409" s="33"/>
      <c r="I1409" s="33"/>
      <c r="J1409" s="33"/>
      <c r="K1409" s="33"/>
      <c r="L1409" s="33"/>
      <c r="M1409" s="33"/>
      <c r="N1409" s="33"/>
      <c r="O1409" s="33"/>
      <c r="P1409" s="33"/>
      <c r="Q1409" s="33"/>
      <c r="R1409" s="33"/>
      <c r="S1409" s="33"/>
      <c r="T1409" s="33"/>
      <c r="U1409" s="33"/>
      <c r="V1409" s="33"/>
      <c r="W1409" s="33"/>
      <c r="X1409" s="33"/>
      <c r="Y1409" s="33"/>
      <c r="Z1409" s="33"/>
      <c r="AA1409" s="33"/>
      <c r="AB1409" s="33"/>
      <c r="AC1409" s="33"/>
      <c r="AD1409" s="33"/>
      <c r="AE1409" s="33"/>
      <c r="AF1409" s="33"/>
      <c r="AG1409" s="33"/>
      <c r="AH1409" s="33"/>
      <c r="AI1409" s="33"/>
      <c r="AJ1409" s="33"/>
      <c r="AK1409" s="34" t="str">
        <f aca="false">IF($B1409="","",COUNTIF($F1409:$AJ1409,"P"))</f>
        <v/>
      </c>
      <c r="AL1409" s="34" t="str">
        <f aca="false">IF($B1409="","",COUNTIF($F1409:$AJ1409,"A"))</f>
        <v/>
      </c>
      <c r="AM1409" s="34" t="str">
        <f aca="false">IF($B1409="","",COUNTIF($F1409:$AJ1409,"HA"))</f>
        <v/>
      </c>
      <c r="AN1409" s="34" t="str">
        <f aca="false">IF($B1409="","",COUNTIF($F1409:$AJ1409,"L"))</f>
        <v/>
      </c>
      <c r="AO1409" s="34" t="str">
        <f aca="false">IF($B1409="","",COUNTIF($F1409:$AJ1409,"PL"))</f>
        <v/>
      </c>
      <c r="AP1409" s="34" t="str">
        <f aca="false">IF($B1409="","",COUNTIF($F1409:$AJ1409,"CL"))</f>
        <v/>
      </c>
      <c r="AQ1409" s="34" t="str">
        <f aca="false">IF($B1409="","",COUNTIF($F1409:$AJ1409,"SL"))</f>
        <v/>
      </c>
      <c r="AR1409" s="34" t="str">
        <f aca="false">IF($B1409="","",COUNTIF($F1409:$AJ1409,"CO"))</f>
        <v/>
      </c>
      <c r="AS1409" s="34" t="str">
        <f aca="false">IF($B1409="","",COUNTIF($F1409:$AJ1409,"HPL"))</f>
        <v/>
      </c>
      <c r="AT1409" s="34" t="str">
        <f aca="false">IF($B1409="","",COUNTIF($F1409:$AJ1409,"HCL"))</f>
        <v/>
      </c>
      <c r="AU1409" s="34" t="str">
        <f aca="false">IF($B1409="","",COUNTIF($F1409:$AJ1409,"WO"))</f>
        <v/>
      </c>
      <c r="AV1409" s="34" t="str">
        <f aca="false">IF($B1409="","",COUNTIF($F1409:$AJ1409,"PH"))</f>
        <v/>
      </c>
      <c r="AW1409" s="34" t="str">
        <f aca="false">IF($B1409="","",COUNTIF($F1409:$AJ1409,"TR"))</f>
        <v/>
      </c>
      <c r="AX1409" s="35" t="str">
        <f aca="false">IF($B1409="","",AO1409+AS1409/2)</f>
        <v/>
      </c>
      <c r="AY1409" s="35" t="str">
        <f aca="false">IF($B1409="","",AQ1409)</f>
        <v/>
      </c>
      <c r="AZ1409" s="35" t="str">
        <f aca="false">IF($B1409="","",AP1409+AT1409/2)</f>
        <v/>
      </c>
      <c r="BA1409" s="35" t="str">
        <f aca="false">IF($B1409="","",AK1409+AN1409+AM1409/2+AO1409+AP1409+AQ1409+AR1409+AS1409+AT1409+AU1409+AV1409+AW1409)</f>
        <v/>
      </c>
      <c r="BB1409" s="35" t="str">
        <f aca="false">IF($B1409="","",MAX(0,AN1409-Settings!$C$16)*Settings!$C$17)</f>
        <v/>
      </c>
      <c r="BC1409" s="35" t="str">
        <f aca="false">IF($B1409="","",BA1409-BB1409)</f>
        <v/>
      </c>
      <c r="BD1409" s="35" t="str">
        <f aca="false">IF(OR($B1409="",$A1409=""),"",DAY(EOMONTH($A1409,0))-COUNTA($F1409:$AJ1409))</f>
        <v/>
      </c>
    </row>
    <row r="1410" customFormat="false" ht="15" hidden="false" customHeight="false" outlineLevel="0" collapsed="false">
      <c r="A1410" s="32"/>
      <c r="B1410" s="29"/>
      <c r="C1410" s="10" t="str">
        <f aca="false">IF($B1410="","",IFERROR(INDEX(M_name,MATCH($B1410,M_emp,0)),"Code not found"))</f>
        <v/>
      </c>
      <c r="D1410" s="10" t="str">
        <f aca="false">IF($B1410="","",IFERROR(INDEX(M_dept,MATCH($B1410,M_emp,0)),""))</f>
        <v/>
      </c>
      <c r="E1410" s="10" t="str">
        <f aca="false">IF($B1410="","",IFERROR(INDEX(M_loc,MATCH($B1410,M_emp,0)),""))</f>
        <v/>
      </c>
      <c r="F1410" s="33"/>
      <c r="G1410" s="33"/>
      <c r="H1410" s="33"/>
      <c r="I1410" s="33"/>
      <c r="J1410" s="33"/>
      <c r="K1410" s="33"/>
      <c r="L1410" s="33"/>
      <c r="M1410" s="33"/>
      <c r="N1410" s="33"/>
      <c r="O1410" s="33"/>
      <c r="P1410" s="33"/>
      <c r="Q1410" s="33"/>
      <c r="R1410" s="33"/>
      <c r="S1410" s="33"/>
      <c r="T1410" s="33"/>
      <c r="U1410" s="33"/>
      <c r="V1410" s="33"/>
      <c r="W1410" s="33"/>
      <c r="X1410" s="33"/>
      <c r="Y1410" s="33"/>
      <c r="Z1410" s="33"/>
      <c r="AA1410" s="33"/>
      <c r="AB1410" s="33"/>
      <c r="AC1410" s="33"/>
      <c r="AD1410" s="33"/>
      <c r="AE1410" s="33"/>
      <c r="AF1410" s="33"/>
      <c r="AG1410" s="33"/>
      <c r="AH1410" s="33"/>
      <c r="AI1410" s="33"/>
      <c r="AJ1410" s="33"/>
      <c r="AK1410" s="34" t="str">
        <f aca="false">IF($B1410="","",COUNTIF($F1410:$AJ1410,"P"))</f>
        <v/>
      </c>
      <c r="AL1410" s="34" t="str">
        <f aca="false">IF($B1410="","",COUNTIF($F1410:$AJ1410,"A"))</f>
        <v/>
      </c>
      <c r="AM1410" s="34" t="str">
        <f aca="false">IF($B1410="","",COUNTIF($F1410:$AJ1410,"HA"))</f>
        <v/>
      </c>
      <c r="AN1410" s="34" t="str">
        <f aca="false">IF($B1410="","",COUNTIF($F1410:$AJ1410,"L"))</f>
        <v/>
      </c>
      <c r="AO1410" s="34" t="str">
        <f aca="false">IF($B1410="","",COUNTIF($F1410:$AJ1410,"PL"))</f>
        <v/>
      </c>
      <c r="AP1410" s="34" t="str">
        <f aca="false">IF($B1410="","",COUNTIF($F1410:$AJ1410,"CL"))</f>
        <v/>
      </c>
      <c r="AQ1410" s="34" t="str">
        <f aca="false">IF($B1410="","",COUNTIF($F1410:$AJ1410,"SL"))</f>
        <v/>
      </c>
      <c r="AR1410" s="34" t="str">
        <f aca="false">IF($B1410="","",COUNTIF($F1410:$AJ1410,"CO"))</f>
        <v/>
      </c>
      <c r="AS1410" s="34" t="str">
        <f aca="false">IF($B1410="","",COUNTIF($F1410:$AJ1410,"HPL"))</f>
        <v/>
      </c>
      <c r="AT1410" s="34" t="str">
        <f aca="false">IF($B1410="","",COUNTIF($F1410:$AJ1410,"HCL"))</f>
        <v/>
      </c>
      <c r="AU1410" s="34" t="str">
        <f aca="false">IF($B1410="","",COUNTIF($F1410:$AJ1410,"WO"))</f>
        <v/>
      </c>
      <c r="AV1410" s="34" t="str">
        <f aca="false">IF($B1410="","",COUNTIF($F1410:$AJ1410,"PH"))</f>
        <v/>
      </c>
      <c r="AW1410" s="34" t="str">
        <f aca="false">IF($B1410="","",COUNTIF($F1410:$AJ1410,"TR"))</f>
        <v/>
      </c>
      <c r="AX1410" s="35" t="str">
        <f aca="false">IF($B1410="","",AO1410+AS1410/2)</f>
        <v/>
      </c>
      <c r="AY1410" s="35" t="str">
        <f aca="false">IF($B1410="","",AQ1410)</f>
        <v/>
      </c>
      <c r="AZ1410" s="35" t="str">
        <f aca="false">IF($B1410="","",AP1410+AT1410/2)</f>
        <v/>
      </c>
      <c r="BA1410" s="35" t="str">
        <f aca="false">IF($B1410="","",AK1410+AN1410+AM1410/2+AO1410+AP1410+AQ1410+AR1410+AS1410+AT1410+AU1410+AV1410+AW1410)</f>
        <v/>
      </c>
      <c r="BB1410" s="35" t="str">
        <f aca="false">IF($B1410="","",MAX(0,AN1410-Settings!$C$16)*Settings!$C$17)</f>
        <v/>
      </c>
      <c r="BC1410" s="35" t="str">
        <f aca="false">IF($B1410="","",BA1410-BB1410)</f>
        <v/>
      </c>
      <c r="BD1410" s="35" t="str">
        <f aca="false">IF(OR($B1410="",$A1410=""),"",DAY(EOMONTH($A1410,0))-COUNTA($F1410:$AJ1410))</f>
        <v/>
      </c>
    </row>
    <row r="1411" customFormat="false" ht="15" hidden="false" customHeight="false" outlineLevel="0" collapsed="false">
      <c r="A1411" s="32"/>
      <c r="B1411" s="29"/>
      <c r="C1411" s="10" t="str">
        <f aca="false">IF($B1411="","",IFERROR(INDEX(M_name,MATCH($B1411,M_emp,0)),"Code not found"))</f>
        <v/>
      </c>
      <c r="D1411" s="10" t="str">
        <f aca="false">IF($B1411="","",IFERROR(INDEX(M_dept,MATCH($B1411,M_emp,0)),""))</f>
        <v/>
      </c>
      <c r="E1411" s="10" t="str">
        <f aca="false">IF($B1411="","",IFERROR(INDEX(M_loc,MATCH($B1411,M_emp,0)),""))</f>
        <v/>
      </c>
      <c r="F1411" s="33"/>
      <c r="G1411" s="33"/>
      <c r="H1411" s="33"/>
      <c r="I1411" s="33"/>
      <c r="J1411" s="33"/>
      <c r="K1411" s="33"/>
      <c r="L1411" s="33"/>
      <c r="M1411" s="33"/>
      <c r="N1411" s="33"/>
      <c r="O1411" s="33"/>
      <c r="P1411" s="33"/>
      <c r="Q1411" s="33"/>
      <c r="R1411" s="33"/>
      <c r="S1411" s="33"/>
      <c r="T1411" s="33"/>
      <c r="U1411" s="33"/>
      <c r="V1411" s="33"/>
      <c r="W1411" s="33"/>
      <c r="X1411" s="33"/>
      <c r="Y1411" s="33"/>
      <c r="Z1411" s="33"/>
      <c r="AA1411" s="33"/>
      <c r="AB1411" s="33"/>
      <c r="AC1411" s="33"/>
      <c r="AD1411" s="33"/>
      <c r="AE1411" s="33"/>
      <c r="AF1411" s="33"/>
      <c r="AG1411" s="33"/>
      <c r="AH1411" s="33"/>
      <c r="AI1411" s="33"/>
      <c r="AJ1411" s="33"/>
      <c r="AK1411" s="34" t="str">
        <f aca="false">IF($B1411="","",COUNTIF($F1411:$AJ1411,"P"))</f>
        <v/>
      </c>
      <c r="AL1411" s="34" t="str">
        <f aca="false">IF($B1411="","",COUNTIF($F1411:$AJ1411,"A"))</f>
        <v/>
      </c>
      <c r="AM1411" s="34" t="str">
        <f aca="false">IF($B1411="","",COUNTIF($F1411:$AJ1411,"HA"))</f>
        <v/>
      </c>
      <c r="AN1411" s="34" t="str">
        <f aca="false">IF($B1411="","",COUNTIF($F1411:$AJ1411,"L"))</f>
        <v/>
      </c>
      <c r="AO1411" s="34" t="str">
        <f aca="false">IF($B1411="","",COUNTIF($F1411:$AJ1411,"PL"))</f>
        <v/>
      </c>
      <c r="AP1411" s="34" t="str">
        <f aca="false">IF($B1411="","",COUNTIF($F1411:$AJ1411,"CL"))</f>
        <v/>
      </c>
      <c r="AQ1411" s="34" t="str">
        <f aca="false">IF($B1411="","",COUNTIF($F1411:$AJ1411,"SL"))</f>
        <v/>
      </c>
      <c r="AR1411" s="34" t="str">
        <f aca="false">IF($B1411="","",COUNTIF($F1411:$AJ1411,"CO"))</f>
        <v/>
      </c>
      <c r="AS1411" s="34" t="str">
        <f aca="false">IF($B1411="","",COUNTIF($F1411:$AJ1411,"HPL"))</f>
        <v/>
      </c>
      <c r="AT1411" s="34" t="str">
        <f aca="false">IF($B1411="","",COUNTIF($F1411:$AJ1411,"HCL"))</f>
        <v/>
      </c>
      <c r="AU1411" s="34" t="str">
        <f aca="false">IF($B1411="","",COUNTIF($F1411:$AJ1411,"WO"))</f>
        <v/>
      </c>
      <c r="AV1411" s="34" t="str">
        <f aca="false">IF($B1411="","",COUNTIF($F1411:$AJ1411,"PH"))</f>
        <v/>
      </c>
      <c r="AW1411" s="34" t="str">
        <f aca="false">IF($B1411="","",COUNTIF($F1411:$AJ1411,"TR"))</f>
        <v/>
      </c>
      <c r="AX1411" s="35" t="str">
        <f aca="false">IF($B1411="","",AO1411+AS1411/2)</f>
        <v/>
      </c>
      <c r="AY1411" s="35" t="str">
        <f aca="false">IF($B1411="","",AQ1411)</f>
        <v/>
      </c>
      <c r="AZ1411" s="35" t="str">
        <f aca="false">IF($B1411="","",AP1411+AT1411/2)</f>
        <v/>
      </c>
      <c r="BA1411" s="35" t="str">
        <f aca="false">IF($B1411="","",AK1411+AN1411+AM1411/2+AO1411+AP1411+AQ1411+AR1411+AS1411+AT1411+AU1411+AV1411+AW1411)</f>
        <v/>
      </c>
      <c r="BB1411" s="35" t="str">
        <f aca="false">IF($B1411="","",MAX(0,AN1411-Settings!$C$16)*Settings!$C$17)</f>
        <v/>
      </c>
      <c r="BC1411" s="35" t="str">
        <f aca="false">IF($B1411="","",BA1411-BB1411)</f>
        <v/>
      </c>
      <c r="BD1411" s="35" t="str">
        <f aca="false">IF(OR($B1411="",$A1411=""),"",DAY(EOMONTH($A1411,0))-COUNTA($F1411:$AJ1411))</f>
        <v/>
      </c>
    </row>
    <row r="1412" customFormat="false" ht="15" hidden="false" customHeight="false" outlineLevel="0" collapsed="false">
      <c r="A1412" s="32"/>
      <c r="B1412" s="29"/>
      <c r="C1412" s="10" t="str">
        <f aca="false">IF($B1412="","",IFERROR(INDEX(M_name,MATCH($B1412,M_emp,0)),"Code not found"))</f>
        <v/>
      </c>
      <c r="D1412" s="10" t="str">
        <f aca="false">IF($B1412="","",IFERROR(INDEX(M_dept,MATCH($B1412,M_emp,0)),""))</f>
        <v/>
      </c>
      <c r="E1412" s="10" t="str">
        <f aca="false">IF($B1412="","",IFERROR(INDEX(M_loc,MATCH($B1412,M_emp,0)),""))</f>
        <v/>
      </c>
      <c r="F1412" s="33"/>
      <c r="G1412" s="33"/>
      <c r="H1412" s="33"/>
      <c r="I1412" s="33"/>
      <c r="J1412" s="33"/>
      <c r="K1412" s="33"/>
      <c r="L1412" s="33"/>
      <c r="M1412" s="33"/>
      <c r="N1412" s="33"/>
      <c r="O1412" s="33"/>
      <c r="P1412" s="33"/>
      <c r="Q1412" s="33"/>
      <c r="R1412" s="33"/>
      <c r="S1412" s="33"/>
      <c r="T1412" s="33"/>
      <c r="U1412" s="33"/>
      <c r="V1412" s="33"/>
      <c r="W1412" s="33"/>
      <c r="X1412" s="33"/>
      <c r="Y1412" s="33"/>
      <c r="Z1412" s="33"/>
      <c r="AA1412" s="33"/>
      <c r="AB1412" s="33"/>
      <c r="AC1412" s="33"/>
      <c r="AD1412" s="33"/>
      <c r="AE1412" s="33"/>
      <c r="AF1412" s="33"/>
      <c r="AG1412" s="33"/>
      <c r="AH1412" s="33"/>
      <c r="AI1412" s="33"/>
      <c r="AJ1412" s="33"/>
      <c r="AK1412" s="34" t="str">
        <f aca="false">IF($B1412="","",COUNTIF($F1412:$AJ1412,"P"))</f>
        <v/>
      </c>
      <c r="AL1412" s="34" t="str">
        <f aca="false">IF($B1412="","",COUNTIF($F1412:$AJ1412,"A"))</f>
        <v/>
      </c>
      <c r="AM1412" s="34" t="str">
        <f aca="false">IF($B1412="","",COUNTIF($F1412:$AJ1412,"HA"))</f>
        <v/>
      </c>
      <c r="AN1412" s="34" t="str">
        <f aca="false">IF($B1412="","",COUNTIF($F1412:$AJ1412,"L"))</f>
        <v/>
      </c>
      <c r="AO1412" s="34" t="str">
        <f aca="false">IF($B1412="","",COUNTIF($F1412:$AJ1412,"PL"))</f>
        <v/>
      </c>
      <c r="AP1412" s="34" t="str">
        <f aca="false">IF($B1412="","",COUNTIF($F1412:$AJ1412,"CL"))</f>
        <v/>
      </c>
      <c r="AQ1412" s="34" t="str">
        <f aca="false">IF($B1412="","",COUNTIF($F1412:$AJ1412,"SL"))</f>
        <v/>
      </c>
      <c r="AR1412" s="34" t="str">
        <f aca="false">IF($B1412="","",COUNTIF($F1412:$AJ1412,"CO"))</f>
        <v/>
      </c>
      <c r="AS1412" s="34" t="str">
        <f aca="false">IF($B1412="","",COUNTIF($F1412:$AJ1412,"HPL"))</f>
        <v/>
      </c>
      <c r="AT1412" s="34" t="str">
        <f aca="false">IF($B1412="","",COUNTIF($F1412:$AJ1412,"HCL"))</f>
        <v/>
      </c>
      <c r="AU1412" s="34" t="str">
        <f aca="false">IF($B1412="","",COUNTIF($F1412:$AJ1412,"WO"))</f>
        <v/>
      </c>
      <c r="AV1412" s="34" t="str">
        <f aca="false">IF($B1412="","",COUNTIF($F1412:$AJ1412,"PH"))</f>
        <v/>
      </c>
      <c r="AW1412" s="34" t="str">
        <f aca="false">IF($B1412="","",COUNTIF($F1412:$AJ1412,"TR"))</f>
        <v/>
      </c>
      <c r="AX1412" s="35" t="str">
        <f aca="false">IF($B1412="","",AO1412+AS1412/2)</f>
        <v/>
      </c>
      <c r="AY1412" s="35" t="str">
        <f aca="false">IF($B1412="","",AQ1412)</f>
        <v/>
      </c>
      <c r="AZ1412" s="35" t="str">
        <f aca="false">IF($B1412="","",AP1412+AT1412/2)</f>
        <v/>
      </c>
      <c r="BA1412" s="35" t="str">
        <f aca="false">IF($B1412="","",AK1412+AN1412+AM1412/2+AO1412+AP1412+AQ1412+AR1412+AS1412+AT1412+AU1412+AV1412+AW1412)</f>
        <v/>
      </c>
      <c r="BB1412" s="35" t="str">
        <f aca="false">IF($B1412="","",MAX(0,AN1412-Settings!$C$16)*Settings!$C$17)</f>
        <v/>
      </c>
      <c r="BC1412" s="35" t="str">
        <f aca="false">IF($B1412="","",BA1412-BB1412)</f>
        <v/>
      </c>
      <c r="BD1412" s="35" t="str">
        <f aca="false">IF(OR($B1412="",$A1412=""),"",DAY(EOMONTH($A1412,0))-COUNTA($F1412:$AJ1412))</f>
        <v/>
      </c>
    </row>
    <row r="1413" customFormat="false" ht="15" hidden="false" customHeight="false" outlineLevel="0" collapsed="false">
      <c r="A1413" s="32"/>
      <c r="B1413" s="29"/>
      <c r="C1413" s="10" t="str">
        <f aca="false">IF($B1413="","",IFERROR(INDEX(M_name,MATCH($B1413,M_emp,0)),"Code not found"))</f>
        <v/>
      </c>
      <c r="D1413" s="10" t="str">
        <f aca="false">IF($B1413="","",IFERROR(INDEX(M_dept,MATCH($B1413,M_emp,0)),""))</f>
        <v/>
      </c>
      <c r="E1413" s="10" t="str">
        <f aca="false">IF($B1413="","",IFERROR(INDEX(M_loc,MATCH($B1413,M_emp,0)),""))</f>
        <v/>
      </c>
      <c r="F1413" s="33"/>
      <c r="G1413" s="33"/>
      <c r="H1413" s="33"/>
      <c r="I1413" s="33"/>
      <c r="J1413" s="33"/>
      <c r="K1413" s="33"/>
      <c r="L1413" s="33"/>
      <c r="M1413" s="33"/>
      <c r="N1413" s="33"/>
      <c r="O1413" s="33"/>
      <c r="P1413" s="33"/>
      <c r="Q1413" s="33"/>
      <c r="R1413" s="33"/>
      <c r="S1413" s="33"/>
      <c r="T1413" s="33"/>
      <c r="U1413" s="33"/>
      <c r="V1413" s="33"/>
      <c r="W1413" s="33"/>
      <c r="X1413" s="33"/>
      <c r="Y1413" s="33"/>
      <c r="Z1413" s="33"/>
      <c r="AA1413" s="33"/>
      <c r="AB1413" s="33"/>
      <c r="AC1413" s="33"/>
      <c r="AD1413" s="33"/>
      <c r="AE1413" s="33"/>
      <c r="AF1413" s="33"/>
      <c r="AG1413" s="33"/>
      <c r="AH1413" s="33"/>
      <c r="AI1413" s="33"/>
      <c r="AJ1413" s="33"/>
      <c r="AK1413" s="34" t="str">
        <f aca="false">IF($B1413="","",COUNTIF($F1413:$AJ1413,"P"))</f>
        <v/>
      </c>
      <c r="AL1413" s="34" t="str">
        <f aca="false">IF($B1413="","",COUNTIF($F1413:$AJ1413,"A"))</f>
        <v/>
      </c>
      <c r="AM1413" s="34" t="str">
        <f aca="false">IF($B1413="","",COUNTIF($F1413:$AJ1413,"HA"))</f>
        <v/>
      </c>
      <c r="AN1413" s="34" t="str">
        <f aca="false">IF($B1413="","",COUNTIF($F1413:$AJ1413,"L"))</f>
        <v/>
      </c>
      <c r="AO1413" s="34" t="str">
        <f aca="false">IF($B1413="","",COUNTIF($F1413:$AJ1413,"PL"))</f>
        <v/>
      </c>
      <c r="AP1413" s="34" t="str">
        <f aca="false">IF($B1413="","",COUNTIF($F1413:$AJ1413,"CL"))</f>
        <v/>
      </c>
      <c r="AQ1413" s="34" t="str">
        <f aca="false">IF($B1413="","",COUNTIF($F1413:$AJ1413,"SL"))</f>
        <v/>
      </c>
      <c r="AR1413" s="34" t="str">
        <f aca="false">IF($B1413="","",COUNTIF($F1413:$AJ1413,"CO"))</f>
        <v/>
      </c>
      <c r="AS1413" s="34" t="str">
        <f aca="false">IF($B1413="","",COUNTIF($F1413:$AJ1413,"HPL"))</f>
        <v/>
      </c>
      <c r="AT1413" s="34" t="str">
        <f aca="false">IF($B1413="","",COUNTIF($F1413:$AJ1413,"HCL"))</f>
        <v/>
      </c>
      <c r="AU1413" s="34" t="str">
        <f aca="false">IF($B1413="","",COUNTIF($F1413:$AJ1413,"WO"))</f>
        <v/>
      </c>
      <c r="AV1413" s="34" t="str">
        <f aca="false">IF($B1413="","",COUNTIF($F1413:$AJ1413,"PH"))</f>
        <v/>
      </c>
      <c r="AW1413" s="34" t="str">
        <f aca="false">IF($B1413="","",COUNTIF($F1413:$AJ1413,"TR"))</f>
        <v/>
      </c>
      <c r="AX1413" s="35" t="str">
        <f aca="false">IF($B1413="","",AO1413+AS1413/2)</f>
        <v/>
      </c>
      <c r="AY1413" s="35" t="str">
        <f aca="false">IF($B1413="","",AQ1413)</f>
        <v/>
      </c>
      <c r="AZ1413" s="35" t="str">
        <f aca="false">IF($B1413="","",AP1413+AT1413/2)</f>
        <v/>
      </c>
      <c r="BA1413" s="35" t="str">
        <f aca="false">IF($B1413="","",AK1413+AN1413+AM1413/2+AO1413+AP1413+AQ1413+AR1413+AS1413+AT1413+AU1413+AV1413+AW1413)</f>
        <v/>
      </c>
      <c r="BB1413" s="35" t="str">
        <f aca="false">IF($B1413="","",MAX(0,AN1413-Settings!$C$16)*Settings!$C$17)</f>
        <v/>
      </c>
      <c r="BC1413" s="35" t="str">
        <f aca="false">IF($B1413="","",BA1413-BB1413)</f>
        <v/>
      </c>
      <c r="BD1413" s="35" t="str">
        <f aca="false">IF(OR($B1413="",$A1413=""),"",DAY(EOMONTH($A1413,0))-COUNTA($F1413:$AJ1413))</f>
        <v/>
      </c>
    </row>
    <row r="1414" customFormat="false" ht="15" hidden="false" customHeight="false" outlineLevel="0" collapsed="false">
      <c r="A1414" s="32"/>
      <c r="B1414" s="29"/>
      <c r="C1414" s="10" t="str">
        <f aca="false">IF($B1414="","",IFERROR(INDEX(M_name,MATCH($B1414,M_emp,0)),"Code not found"))</f>
        <v/>
      </c>
      <c r="D1414" s="10" t="str">
        <f aca="false">IF($B1414="","",IFERROR(INDEX(M_dept,MATCH($B1414,M_emp,0)),""))</f>
        <v/>
      </c>
      <c r="E1414" s="10" t="str">
        <f aca="false">IF($B1414="","",IFERROR(INDEX(M_loc,MATCH($B1414,M_emp,0)),""))</f>
        <v/>
      </c>
      <c r="F1414" s="33"/>
      <c r="G1414" s="33"/>
      <c r="H1414" s="33"/>
      <c r="I1414" s="33"/>
      <c r="J1414" s="33"/>
      <c r="K1414" s="33"/>
      <c r="L1414" s="33"/>
      <c r="M1414" s="33"/>
      <c r="N1414" s="33"/>
      <c r="O1414" s="33"/>
      <c r="P1414" s="33"/>
      <c r="Q1414" s="33"/>
      <c r="R1414" s="33"/>
      <c r="S1414" s="33"/>
      <c r="T1414" s="33"/>
      <c r="U1414" s="33"/>
      <c r="V1414" s="33"/>
      <c r="W1414" s="33"/>
      <c r="X1414" s="33"/>
      <c r="Y1414" s="33"/>
      <c r="Z1414" s="33"/>
      <c r="AA1414" s="33"/>
      <c r="AB1414" s="33"/>
      <c r="AC1414" s="33"/>
      <c r="AD1414" s="33"/>
      <c r="AE1414" s="33"/>
      <c r="AF1414" s="33"/>
      <c r="AG1414" s="33"/>
      <c r="AH1414" s="33"/>
      <c r="AI1414" s="33"/>
      <c r="AJ1414" s="33"/>
      <c r="AK1414" s="34" t="str">
        <f aca="false">IF($B1414="","",COUNTIF($F1414:$AJ1414,"P"))</f>
        <v/>
      </c>
      <c r="AL1414" s="34" t="str">
        <f aca="false">IF($B1414="","",COUNTIF($F1414:$AJ1414,"A"))</f>
        <v/>
      </c>
      <c r="AM1414" s="34" t="str">
        <f aca="false">IF($B1414="","",COUNTIF($F1414:$AJ1414,"HA"))</f>
        <v/>
      </c>
      <c r="AN1414" s="34" t="str">
        <f aca="false">IF($B1414="","",COUNTIF($F1414:$AJ1414,"L"))</f>
        <v/>
      </c>
      <c r="AO1414" s="34" t="str">
        <f aca="false">IF($B1414="","",COUNTIF($F1414:$AJ1414,"PL"))</f>
        <v/>
      </c>
      <c r="AP1414" s="34" t="str">
        <f aca="false">IF($B1414="","",COUNTIF($F1414:$AJ1414,"CL"))</f>
        <v/>
      </c>
      <c r="AQ1414" s="34" t="str">
        <f aca="false">IF($B1414="","",COUNTIF($F1414:$AJ1414,"SL"))</f>
        <v/>
      </c>
      <c r="AR1414" s="34" t="str">
        <f aca="false">IF($B1414="","",COUNTIF($F1414:$AJ1414,"CO"))</f>
        <v/>
      </c>
      <c r="AS1414" s="34" t="str">
        <f aca="false">IF($B1414="","",COUNTIF($F1414:$AJ1414,"HPL"))</f>
        <v/>
      </c>
      <c r="AT1414" s="34" t="str">
        <f aca="false">IF($B1414="","",COUNTIF($F1414:$AJ1414,"HCL"))</f>
        <v/>
      </c>
      <c r="AU1414" s="34" t="str">
        <f aca="false">IF($B1414="","",COUNTIF($F1414:$AJ1414,"WO"))</f>
        <v/>
      </c>
      <c r="AV1414" s="34" t="str">
        <f aca="false">IF($B1414="","",COUNTIF($F1414:$AJ1414,"PH"))</f>
        <v/>
      </c>
      <c r="AW1414" s="34" t="str">
        <f aca="false">IF($B1414="","",COUNTIF($F1414:$AJ1414,"TR"))</f>
        <v/>
      </c>
      <c r="AX1414" s="35" t="str">
        <f aca="false">IF($B1414="","",AO1414+AS1414/2)</f>
        <v/>
      </c>
      <c r="AY1414" s="35" t="str">
        <f aca="false">IF($B1414="","",AQ1414)</f>
        <v/>
      </c>
      <c r="AZ1414" s="35" t="str">
        <f aca="false">IF($B1414="","",AP1414+AT1414/2)</f>
        <v/>
      </c>
      <c r="BA1414" s="35" t="str">
        <f aca="false">IF($B1414="","",AK1414+AN1414+AM1414/2+AO1414+AP1414+AQ1414+AR1414+AS1414+AT1414+AU1414+AV1414+AW1414)</f>
        <v/>
      </c>
      <c r="BB1414" s="35" t="str">
        <f aca="false">IF($B1414="","",MAX(0,AN1414-Settings!$C$16)*Settings!$C$17)</f>
        <v/>
      </c>
      <c r="BC1414" s="35" t="str">
        <f aca="false">IF($B1414="","",BA1414-BB1414)</f>
        <v/>
      </c>
      <c r="BD1414" s="35" t="str">
        <f aca="false">IF(OR($B1414="",$A1414=""),"",DAY(EOMONTH($A1414,0))-COUNTA($F1414:$AJ1414))</f>
        <v/>
      </c>
    </row>
    <row r="1415" customFormat="false" ht="15" hidden="false" customHeight="false" outlineLevel="0" collapsed="false">
      <c r="A1415" s="32"/>
      <c r="B1415" s="29"/>
      <c r="C1415" s="10" t="str">
        <f aca="false">IF($B1415="","",IFERROR(INDEX(M_name,MATCH($B1415,M_emp,0)),"Code not found"))</f>
        <v/>
      </c>
      <c r="D1415" s="10" t="str">
        <f aca="false">IF($B1415="","",IFERROR(INDEX(M_dept,MATCH($B1415,M_emp,0)),""))</f>
        <v/>
      </c>
      <c r="E1415" s="10" t="str">
        <f aca="false">IF($B1415="","",IFERROR(INDEX(M_loc,MATCH($B1415,M_emp,0)),""))</f>
        <v/>
      </c>
      <c r="F1415" s="33"/>
      <c r="G1415" s="33"/>
      <c r="H1415" s="33"/>
      <c r="I1415" s="33"/>
      <c r="J1415" s="33"/>
      <c r="K1415" s="33"/>
      <c r="L1415" s="33"/>
      <c r="M1415" s="33"/>
      <c r="N1415" s="33"/>
      <c r="O1415" s="33"/>
      <c r="P1415" s="33"/>
      <c r="Q1415" s="33"/>
      <c r="R1415" s="33"/>
      <c r="S1415" s="33"/>
      <c r="T1415" s="33"/>
      <c r="U1415" s="33"/>
      <c r="V1415" s="33"/>
      <c r="W1415" s="33"/>
      <c r="X1415" s="33"/>
      <c r="Y1415" s="33"/>
      <c r="Z1415" s="33"/>
      <c r="AA1415" s="33"/>
      <c r="AB1415" s="33"/>
      <c r="AC1415" s="33"/>
      <c r="AD1415" s="33"/>
      <c r="AE1415" s="33"/>
      <c r="AF1415" s="33"/>
      <c r="AG1415" s="33"/>
      <c r="AH1415" s="33"/>
      <c r="AI1415" s="33"/>
      <c r="AJ1415" s="33"/>
      <c r="AK1415" s="34" t="str">
        <f aca="false">IF($B1415="","",COUNTIF($F1415:$AJ1415,"P"))</f>
        <v/>
      </c>
      <c r="AL1415" s="34" t="str">
        <f aca="false">IF($B1415="","",COUNTIF($F1415:$AJ1415,"A"))</f>
        <v/>
      </c>
      <c r="AM1415" s="34" t="str">
        <f aca="false">IF($B1415="","",COUNTIF($F1415:$AJ1415,"HA"))</f>
        <v/>
      </c>
      <c r="AN1415" s="34" t="str">
        <f aca="false">IF($B1415="","",COUNTIF($F1415:$AJ1415,"L"))</f>
        <v/>
      </c>
      <c r="AO1415" s="34" t="str">
        <f aca="false">IF($B1415="","",COUNTIF($F1415:$AJ1415,"PL"))</f>
        <v/>
      </c>
      <c r="AP1415" s="34" t="str">
        <f aca="false">IF($B1415="","",COUNTIF($F1415:$AJ1415,"CL"))</f>
        <v/>
      </c>
      <c r="AQ1415" s="34" t="str">
        <f aca="false">IF($B1415="","",COUNTIF($F1415:$AJ1415,"SL"))</f>
        <v/>
      </c>
      <c r="AR1415" s="34" t="str">
        <f aca="false">IF($B1415="","",COUNTIF($F1415:$AJ1415,"CO"))</f>
        <v/>
      </c>
      <c r="AS1415" s="34" t="str">
        <f aca="false">IF($B1415="","",COUNTIF($F1415:$AJ1415,"HPL"))</f>
        <v/>
      </c>
      <c r="AT1415" s="34" t="str">
        <f aca="false">IF($B1415="","",COUNTIF($F1415:$AJ1415,"HCL"))</f>
        <v/>
      </c>
      <c r="AU1415" s="34" t="str">
        <f aca="false">IF($B1415="","",COUNTIF($F1415:$AJ1415,"WO"))</f>
        <v/>
      </c>
      <c r="AV1415" s="34" t="str">
        <f aca="false">IF($B1415="","",COUNTIF($F1415:$AJ1415,"PH"))</f>
        <v/>
      </c>
      <c r="AW1415" s="34" t="str">
        <f aca="false">IF($B1415="","",COUNTIF($F1415:$AJ1415,"TR"))</f>
        <v/>
      </c>
      <c r="AX1415" s="35" t="str">
        <f aca="false">IF($B1415="","",AO1415+AS1415/2)</f>
        <v/>
      </c>
      <c r="AY1415" s="35" t="str">
        <f aca="false">IF($B1415="","",AQ1415)</f>
        <v/>
      </c>
      <c r="AZ1415" s="35" t="str">
        <f aca="false">IF($B1415="","",AP1415+AT1415/2)</f>
        <v/>
      </c>
      <c r="BA1415" s="35" t="str">
        <f aca="false">IF($B1415="","",AK1415+AN1415+AM1415/2+AO1415+AP1415+AQ1415+AR1415+AS1415+AT1415+AU1415+AV1415+AW1415)</f>
        <v/>
      </c>
      <c r="BB1415" s="35" t="str">
        <f aca="false">IF($B1415="","",MAX(0,AN1415-Settings!$C$16)*Settings!$C$17)</f>
        <v/>
      </c>
      <c r="BC1415" s="35" t="str">
        <f aca="false">IF($B1415="","",BA1415-BB1415)</f>
        <v/>
      </c>
      <c r="BD1415" s="35" t="str">
        <f aca="false">IF(OR($B1415="",$A1415=""),"",DAY(EOMONTH($A1415,0))-COUNTA($F1415:$AJ1415))</f>
        <v/>
      </c>
    </row>
    <row r="1416" customFormat="false" ht="15" hidden="false" customHeight="false" outlineLevel="0" collapsed="false">
      <c r="A1416" s="32"/>
      <c r="B1416" s="29"/>
      <c r="C1416" s="10" t="str">
        <f aca="false">IF($B1416="","",IFERROR(INDEX(M_name,MATCH($B1416,M_emp,0)),"Code not found"))</f>
        <v/>
      </c>
      <c r="D1416" s="10" t="str">
        <f aca="false">IF($B1416="","",IFERROR(INDEX(M_dept,MATCH($B1416,M_emp,0)),""))</f>
        <v/>
      </c>
      <c r="E1416" s="10" t="str">
        <f aca="false">IF($B1416="","",IFERROR(INDEX(M_loc,MATCH($B1416,M_emp,0)),""))</f>
        <v/>
      </c>
      <c r="F1416" s="33"/>
      <c r="G1416" s="33"/>
      <c r="H1416" s="33"/>
      <c r="I1416" s="33"/>
      <c r="J1416" s="33"/>
      <c r="K1416" s="33"/>
      <c r="L1416" s="33"/>
      <c r="M1416" s="33"/>
      <c r="N1416" s="33"/>
      <c r="O1416" s="33"/>
      <c r="P1416" s="33"/>
      <c r="Q1416" s="33"/>
      <c r="R1416" s="33"/>
      <c r="S1416" s="33"/>
      <c r="T1416" s="33"/>
      <c r="U1416" s="33"/>
      <c r="V1416" s="33"/>
      <c r="W1416" s="33"/>
      <c r="X1416" s="33"/>
      <c r="Y1416" s="33"/>
      <c r="Z1416" s="33"/>
      <c r="AA1416" s="33"/>
      <c r="AB1416" s="33"/>
      <c r="AC1416" s="33"/>
      <c r="AD1416" s="33"/>
      <c r="AE1416" s="33"/>
      <c r="AF1416" s="33"/>
      <c r="AG1416" s="33"/>
      <c r="AH1416" s="33"/>
      <c r="AI1416" s="33"/>
      <c r="AJ1416" s="33"/>
      <c r="AK1416" s="34" t="str">
        <f aca="false">IF($B1416="","",COUNTIF($F1416:$AJ1416,"P"))</f>
        <v/>
      </c>
      <c r="AL1416" s="34" t="str">
        <f aca="false">IF($B1416="","",COUNTIF($F1416:$AJ1416,"A"))</f>
        <v/>
      </c>
      <c r="AM1416" s="34" t="str">
        <f aca="false">IF($B1416="","",COUNTIF($F1416:$AJ1416,"HA"))</f>
        <v/>
      </c>
      <c r="AN1416" s="34" t="str">
        <f aca="false">IF($B1416="","",COUNTIF($F1416:$AJ1416,"L"))</f>
        <v/>
      </c>
      <c r="AO1416" s="34" t="str">
        <f aca="false">IF($B1416="","",COUNTIF($F1416:$AJ1416,"PL"))</f>
        <v/>
      </c>
      <c r="AP1416" s="34" t="str">
        <f aca="false">IF($B1416="","",COUNTIF($F1416:$AJ1416,"CL"))</f>
        <v/>
      </c>
      <c r="AQ1416" s="34" t="str">
        <f aca="false">IF($B1416="","",COUNTIF($F1416:$AJ1416,"SL"))</f>
        <v/>
      </c>
      <c r="AR1416" s="34" t="str">
        <f aca="false">IF($B1416="","",COUNTIF($F1416:$AJ1416,"CO"))</f>
        <v/>
      </c>
      <c r="AS1416" s="34" t="str">
        <f aca="false">IF($B1416="","",COUNTIF($F1416:$AJ1416,"HPL"))</f>
        <v/>
      </c>
      <c r="AT1416" s="34" t="str">
        <f aca="false">IF($B1416="","",COUNTIF($F1416:$AJ1416,"HCL"))</f>
        <v/>
      </c>
      <c r="AU1416" s="34" t="str">
        <f aca="false">IF($B1416="","",COUNTIF($F1416:$AJ1416,"WO"))</f>
        <v/>
      </c>
      <c r="AV1416" s="34" t="str">
        <f aca="false">IF($B1416="","",COUNTIF($F1416:$AJ1416,"PH"))</f>
        <v/>
      </c>
      <c r="AW1416" s="34" t="str">
        <f aca="false">IF($B1416="","",COUNTIF($F1416:$AJ1416,"TR"))</f>
        <v/>
      </c>
      <c r="AX1416" s="35" t="str">
        <f aca="false">IF($B1416="","",AO1416+AS1416/2)</f>
        <v/>
      </c>
      <c r="AY1416" s="35" t="str">
        <f aca="false">IF($B1416="","",AQ1416)</f>
        <v/>
      </c>
      <c r="AZ1416" s="35" t="str">
        <f aca="false">IF($B1416="","",AP1416+AT1416/2)</f>
        <v/>
      </c>
      <c r="BA1416" s="35" t="str">
        <f aca="false">IF($B1416="","",AK1416+AN1416+AM1416/2+AO1416+AP1416+AQ1416+AR1416+AS1416+AT1416+AU1416+AV1416+AW1416)</f>
        <v/>
      </c>
      <c r="BB1416" s="35" t="str">
        <f aca="false">IF($B1416="","",MAX(0,AN1416-Settings!$C$16)*Settings!$C$17)</f>
        <v/>
      </c>
      <c r="BC1416" s="35" t="str">
        <f aca="false">IF($B1416="","",BA1416-BB1416)</f>
        <v/>
      </c>
      <c r="BD1416" s="35" t="str">
        <f aca="false">IF(OR($B1416="",$A1416=""),"",DAY(EOMONTH($A1416,0))-COUNTA($F1416:$AJ1416))</f>
        <v/>
      </c>
    </row>
    <row r="1417" customFormat="false" ht="15" hidden="false" customHeight="false" outlineLevel="0" collapsed="false">
      <c r="A1417" s="32"/>
      <c r="B1417" s="29"/>
      <c r="C1417" s="10" t="str">
        <f aca="false">IF($B1417="","",IFERROR(INDEX(M_name,MATCH($B1417,M_emp,0)),"Code not found"))</f>
        <v/>
      </c>
      <c r="D1417" s="10" t="str">
        <f aca="false">IF($B1417="","",IFERROR(INDEX(M_dept,MATCH($B1417,M_emp,0)),""))</f>
        <v/>
      </c>
      <c r="E1417" s="10" t="str">
        <f aca="false">IF($B1417="","",IFERROR(INDEX(M_loc,MATCH($B1417,M_emp,0)),""))</f>
        <v/>
      </c>
      <c r="F1417" s="33"/>
      <c r="G1417" s="33"/>
      <c r="H1417" s="33"/>
      <c r="I1417" s="33"/>
      <c r="J1417" s="33"/>
      <c r="K1417" s="33"/>
      <c r="L1417" s="33"/>
      <c r="M1417" s="33"/>
      <c r="N1417" s="33"/>
      <c r="O1417" s="33"/>
      <c r="P1417" s="33"/>
      <c r="Q1417" s="33"/>
      <c r="R1417" s="33"/>
      <c r="S1417" s="33"/>
      <c r="T1417" s="33"/>
      <c r="U1417" s="33"/>
      <c r="V1417" s="33"/>
      <c r="W1417" s="33"/>
      <c r="X1417" s="33"/>
      <c r="Y1417" s="33"/>
      <c r="Z1417" s="33"/>
      <c r="AA1417" s="33"/>
      <c r="AB1417" s="33"/>
      <c r="AC1417" s="33"/>
      <c r="AD1417" s="33"/>
      <c r="AE1417" s="33"/>
      <c r="AF1417" s="33"/>
      <c r="AG1417" s="33"/>
      <c r="AH1417" s="33"/>
      <c r="AI1417" s="33"/>
      <c r="AJ1417" s="33"/>
      <c r="AK1417" s="34" t="str">
        <f aca="false">IF($B1417="","",COUNTIF($F1417:$AJ1417,"P"))</f>
        <v/>
      </c>
      <c r="AL1417" s="34" t="str">
        <f aca="false">IF($B1417="","",COUNTIF($F1417:$AJ1417,"A"))</f>
        <v/>
      </c>
      <c r="AM1417" s="34" t="str">
        <f aca="false">IF($B1417="","",COUNTIF($F1417:$AJ1417,"HA"))</f>
        <v/>
      </c>
      <c r="AN1417" s="34" t="str">
        <f aca="false">IF($B1417="","",COUNTIF($F1417:$AJ1417,"L"))</f>
        <v/>
      </c>
      <c r="AO1417" s="34" t="str">
        <f aca="false">IF($B1417="","",COUNTIF($F1417:$AJ1417,"PL"))</f>
        <v/>
      </c>
      <c r="AP1417" s="34" t="str">
        <f aca="false">IF($B1417="","",COUNTIF($F1417:$AJ1417,"CL"))</f>
        <v/>
      </c>
      <c r="AQ1417" s="34" t="str">
        <f aca="false">IF($B1417="","",COUNTIF($F1417:$AJ1417,"SL"))</f>
        <v/>
      </c>
      <c r="AR1417" s="34" t="str">
        <f aca="false">IF($B1417="","",COUNTIF($F1417:$AJ1417,"CO"))</f>
        <v/>
      </c>
      <c r="AS1417" s="34" t="str">
        <f aca="false">IF($B1417="","",COUNTIF($F1417:$AJ1417,"HPL"))</f>
        <v/>
      </c>
      <c r="AT1417" s="34" t="str">
        <f aca="false">IF($B1417="","",COUNTIF($F1417:$AJ1417,"HCL"))</f>
        <v/>
      </c>
      <c r="AU1417" s="34" t="str">
        <f aca="false">IF($B1417="","",COUNTIF($F1417:$AJ1417,"WO"))</f>
        <v/>
      </c>
      <c r="AV1417" s="34" t="str">
        <f aca="false">IF($B1417="","",COUNTIF($F1417:$AJ1417,"PH"))</f>
        <v/>
      </c>
      <c r="AW1417" s="34" t="str">
        <f aca="false">IF($B1417="","",COUNTIF($F1417:$AJ1417,"TR"))</f>
        <v/>
      </c>
      <c r="AX1417" s="35" t="str">
        <f aca="false">IF($B1417="","",AO1417+AS1417/2)</f>
        <v/>
      </c>
      <c r="AY1417" s="35" t="str">
        <f aca="false">IF($B1417="","",AQ1417)</f>
        <v/>
      </c>
      <c r="AZ1417" s="35" t="str">
        <f aca="false">IF($B1417="","",AP1417+AT1417/2)</f>
        <v/>
      </c>
      <c r="BA1417" s="35" t="str">
        <f aca="false">IF($B1417="","",AK1417+AN1417+AM1417/2+AO1417+AP1417+AQ1417+AR1417+AS1417+AT1417+AU1417+AV1417+AW1417)</f>
        <v/>
      </c>
      <c r="BB1417" s="35" t="str">
        <f aca="false">IF($B1417="","",MAX(0,AN1417-Settings!$C$16)*Settings!$C$17)</f>
        <v/>
      </c>
      <c r="BC1417" s="35" t="str">
        <f aca="false">IF($B1417="","",BA1417-BB1417)</f>
        <v/>
      </c>
      <c r="BD1417" s="35" t="str">
        <f aca="false">IF(OR($B1417="",$A1417=""),"",DAY(EOMONTH($A1417,0))-COUNTA($F1417:$AJ1417))</f>
        <v/>
      </c>
    </row>
    <row r="1418" customFormat="false" ht="15" hidden="false" customHeight="false" outlineLevel="0" collapsed="false">
      <c r="A1418" s="32"/>
      <c r="B1418" s="29"/>
      <c r="C1418" s="10" t="str">
        <f aca="false">IF($B1418="","",IFERROR(INDEX(M_name,MATCH($B1418,M_emp,0)),"Code not found"))</f>
        <v/>
      </c>
      <c r="D1418" s="10" t="str">
        <f aca="false">IF($B1418="","",IFERROR(INDEX(M_dept,MATCH($B1418,M_emp,0)),""))</f>
        <v/>
      </c>
      <c r="E1418" s="10" t="str">
        <f aca="false">IF($B1418="","",IFERROR(INDEX(M_loc,MATCH($B1418,M_emp,0)),""))</f>
        <v/>
      </c>
      <c r="F1418" s="33"/>
      <c r="G1418" s="33"/>
      <c r="H1418" s="33"/>
      <c r="I1418" s="33"/>
      <c r="J1418" s="33"/>
      <c r="K1418" s="33"/>
      <c r="L1418" s="33"/>
      <c r="M1418" s="33"/>
      <c r="N1418" s="33"/>
      <c r="O1418" s="33"/>
      <c r="P1418" s="33"/>
      <c r="Q1418" s="33"/>
      <c r="R1418" s="33"/>
      <c r="S1418" s="33"/>
      <c r="T1418" s="33"/>
      <c r="U1418" s="33"/>
      <c r="V1418" s="33"/>
      <c r="W1418" s="33"/>
      <c r="X1418" s="33"/>
      <c r="Y1418" s="33"/>
      <c r="Z1418" s="33"/>
      <c r="AA1418" s="33"/>
      <c r="AB1418" s="33"/>
      <c r="AC1418" s="33"/>
      <c r="AD1418" s="33"/>
      <c r="AE1418" s="33"/>
      <c r="AF1418" s="33"/>
      <c r="AG1418" s="33"/>
      <c r="AH1418" s="33"/>
      <c r="AI1418" s="33"/>
      <c r="AJ1418" s="33"/>
      <c r="AK1418" s="34" t="str">
        <f aca="false">IF($B1418="","",COUNTIF($F1418:$AJ1418,"P"))</f>
        <v/>
      </c>
      <c r="AL1418" s="34" t="str">
        <f aca="false">IF($B1418="","",COUNTIF($F1418:$AJ1418,"A"))</f>
        <v/>
      </c>
      <c r="AM1418" s="34" t="str">
        <f aca="false">IF($B1418="","",COUNTIF($F1418:$AJ1418,"HA"))</f>
        <v/>
      </c>
      <c r="AN1418" s="34" t="str">
        <f aca="false">IF($B1418="","",COUNTIF($F1418:$AJ1418,"L"))</f>
        <v/>
      </c>
      <c r="AO1418" s="34" t="str">
        <f aca="false">IF($B1418="","",COUNTIF($F1418:$AJ1418,"PL"))</f>
        <v/>
      </c>
      <c r="AP1418" s="34" t="str">
        <f aca="false">IF($B1418="","",COUNTIF($F1418:$AJ1418,"CL"))</f>
        <v/>
      </c>
      <c r="AQ1418" s="34" t="str">
        <f aca="false">IF($B1418="","",COUNTIF($F1418:$AJ1418,"SL"))</f>
        <v/>
      </c>
      <c r="AR1418" s="34" t="str">
        <f aca="false">IF($B1418="","",COUNTIF($F1418:$AJ1418,"CO"))</f>
        <v/>
      </c>
      <c r="AS1418" s="34" t="str">
        <f aca="false">IF($B1418="","",COUNTIF($F1418:$AJ1418,"HPL"))</f>
        <v/>
      </c>
      <c r="AT1418" s="34" t="str">
        <f aca="false">IF($B1418="","",COUNTIF($F1418:$AJ1418,"HCL"))</f>
        <v/>
      </c>
      <c r="AU1418" s="34" t="str">
        <f aca="false">IF($B1418="","",COUNTIF($F1418:$AJ1418,"WO"))</f>
        <v/>
      </c>
      <c r="AV1418" s="34" t="str">
        <f aca="false">IF($B1418="","",COUNTIF($F1418:$AJ1418,"PH"))</f>
        <v/>
      </c>
      <c r="AW1418" s="34" t="str">
        <f aca="false">IF($B1418="","",COUNTIF($F1418:$AJ1418,"TR"))</f>
        <v/>
      </c>
      <c r="AX1418" s="35" t="str">
        <f aca="false">IF($B1418="","",AO1418+AS1418/2)</f>
        <v/>
      </c>
      <c r="AY1418" s="35" t="str">
        <f aca="false">IF($B1418="","",AQ1418)</f>
        <v/>
      </c>
      <c r="AZ1418" s="35" t="str">
        <f aca="false">IF($B1418="","",AP1418+AT1418/2)</f>
        <v/>
      </c>
      <c r="BA1418" s="35" t="str">
        <f aca="false">IF($B1418="","",AK1418+AN1418+AM1418/2+AO1418+AP1418+AQ1418+AR1418+AS1418+AT1418+AU1418+AV1418+AW1418)</f>
        <v/>
      </c>
      <c r="BB1418" s="35" t="str">
        <f aca="false">IF($B1418="","",MAX(0,AN1418-Settings!$C$16)*Settings!$C$17)</f>
        <v/>
      </c>
      <c r="BC1418" s="35" t="str">
        <f aca="false">IF($B1418="","",BA1418-BB1418)</f>
        <v/>
      </c>
      <c r="BD1418" s="35" t="str">
        <f aca="false">IF(OR($B1418="",$A1418=""),"",DAY(EOMONTH($A1418,0))-COUNTA($F1418:$AJ1418))</f>
        <v/>
      </c>
    </row>
    <row r="1419" customFormat="false" ht="15" hidden="false" customHeight="false" outlineLevel="0" collapsed="false">
      <c r="A1419" s="32"/>
      <c r="B1419" s="29"/>
      <c r="C1419" s="10" t="str">
        <f aca="false">IF($B1419="","",IFERROR(INDEX(M_name,MATCH($B1419,M_emp,0)),"Code not found"))</f>
        <v/>
      </c>
      <c r="D1419" s="10" t="str">
        <f aca="false">IF($B1419="","",IFERROR(INDEX(M_dept,MATCH($B1419,M_emp,0)),""))</f>
        <v/>
      </c>
      <c r="E1419" s="10" t="str">
        <f aca="false">IF($B1419="","",IFERROR(INDEX(M_loc,MATCH($B1419,M_emp,0)),""))</f>
        <v/>
      </c>
      <c r="F1419" s="33"/>
      <c r="G1419" s="33"/>
      <c r="H1419" s="33"/>
      <c r="I1419" s="33"/>
      <c r="J1419" s="33"/>
      <c r="K1419" s="33"/>
      <c r="L1419" s="33"/>
      <c r="M1419" s="33"/>
      <c r="N1419" s="33"/>
      <c r="O1419" s="33"/>
      <c r="P1419" s="33"/>
      <c r="Q1419" s="33"/>
      <c r="R1419" s="33"/>
      <c r="S1419" s="33"/>
      <c r="T1419" s="33"/>
      <c r="U1419" s="33"/>
      <c r="V1419" s="33"/>
      <c r="W1419" s="33"/>
      <c r="X1419" s="33"/>
      <c r="Y1419" s="33"/>
      <c r="Z1419" s="33"/>
      <c r="AA1419" s="33"/>
      <c r="AB1419" s="33"/>
      <c r="AC1419" s="33"/>
      <c r="AD1419" s="33"/>
      <c r="AE1419" s="33"/>
      <c r="AF1419" s="33"/>
      <c r="AG1419" s="33"/>
      <c r="AH1419" s="33"/>
      <c r="AI1419" s="33"/>
      <c r="AJ1419" s="33"/>
      <c r="AK1419" s="34" t="str">
        <f aca="false">IF($B1419="","",COUNTIF($F1419:$AJ1419,"P"))</f>
        <v/>
      </c>
      <c r="AL1419" s="34" t="str">
        <f aca="false">IF($B1419="","",COUNTIF($F1419:$AJ1419,"A"))</f>
        <v/>
      </c>
      <c r="AM1419" s="34" t="str">
        <f aca="false">IF($B1419="","",COUNTIF($F1419:$AJ1419,"HA"))</f>
        <v/>
      </c>
      <c r="AN1419" s="34" t="str">
        <f aca="false">IF($B1419="","",COUNTIF($F1419:$AJ1419,"L"))</f>
        <v/>
      </c>
      <c r="AO1419" s="34" t="str">
        <f aca="false">IF($B1419="","",COUNTIF($F1419:$AJ1419,"PL"))</f>
        <v/>
      </c>
      <c r="AP1419" s="34" t="str">
        <f aca="false">IF($B1419="","",COUNTIF($F1419:$AJ1419,"CL"))</f>
        <v/>
      </c>
      <c r="AQ1419" s="34" t="str">
        <f aca="false">IF($B1419="","",COUNTIF($F1419:$AJ1419,"SL"))</f>
        <v/>
      </c>
      <c r="AR1419" s="34" t="str">
        <f aca="false">IF($B1419="","",COUNTIF($F1419:$AJ1419,"CO"))</f>
        <v/>
      </c>
      <c r="AS1419" s="34" t="str">
        <f aca="false">IF($B1419="","",COUNTIF($F1419:$AJ1419,"HPL"))</f>
        <v/>
      </c>
      <c r="AT1419" s="34" t="str">
        <f aca="false">IF($B1419="","",COUNTIF($F1419:$AJ1419,"HCL"))</f>
        <v/>
      </c>
      <c r="AU1419" s="34" t="str">
        <f aca="false">IF($B1419="","",COUNTIF($F1419:$AJ1419,"WO"))</f>
        <v/>
      </c>
      <c r="AV1419" s="34" t="str">
        <f aca="false">IF($B1419="","",COUNTIF($F1419:$AJ1419,"PH"))</f>
        <v/>
      </c>
      <c r="AW1419" s="34" t="str">
        <f aca="false">IF($B1419="","",COUNTIF($F1419:$AJ1419,"TR"))</f>
        <v/>
      </c>
      <c r="AX1419" s="35" t="str">
        <f aca="false">IF($B1419="","",AO1419+AS1419/2)</f>
        <v/>
      </c>
      <c r="AY1419" s="35" t="str">
        <f aca="false">IF($B1419="","",AQ1419)</f>
        <v/>
      </c>
      <c r="AZ1419" s="35" t="str">
        <f aca="false">IF($B1419="","",AP1419+AT1419/2)</f>
        <v/>
      </c>
      <c r="BA1419" s="35" t="str">
        <f aca="false">IF($B1419="","",AK1419+AN1419+AM1419/2+AO1419+AP1419+AQ1419+AR1419+AS1419+AT1419+AU1419+AV1419+AW1419)</f>
        <v/>
      </c>
      <c r="BB1419" s="35" t="str">
        <f aca="false">IF($B1419="","",MAX(0,AN1419-Settings!$C$16)*Settings!$C$17)</f>
        <v/>
      </c>
      <c r="BC1419" s="35" t="str">
        <f aca="false">IF($B1419="","",BA1419-BB1419)</f>
        <v/>
      </c>
      <c r="BD1419" s="35" t="str">
        <f aca="false">IF(OR($B1419="",$A1419=""),"",DAY(EOMONTH($A1419,0))-COUNTA($F1419:$AJ1419))</f>
        <v/>
      </c>
    </row>
    <row r="1420" customFormat="false" ht="15" hidden="false" customHeight="false" outlineLevel="0" collapsed="false">
      <c r="A1420" s="32"/>
      <c r="B1420" s="29"/>
      <c r="C1420" s="10" t="str">
        <f aca="false">IF($B1420="","",IFERROR(INDEX(M_name,MATCH($B1420,M_emp,0)),"Code not found"))</f>
        <v/>
      </c>
      <c r="D1420" s="10" t="str">
        <f aca="false">IF($B1420="","",IFERROR(INDEX(M_dept,MATCH($B1420,M_emp,0)),""))</f>
        <v/>
      </c>
      <c r="E1420" s="10" t="str">
        <f aca="false">IF($B1420="","",IFERROR(INDEX(M_loc,MATCH($B1420,M_emp,0)),""))</f>
        <v/>
      </c>
      <c r="F1420" s="33"/>
      <c r="G1420" s="33"/>
      <c r="H1420" s="33"/>
      <c r="I1420" s="33"/>
      <c r="J1420" s="33"/>
      <c r="K1420" s="33"/>
      <c r="L1420" s="33"/>
      <c r="M1420" s="33"/>
      <c r="N1420" s="33"/>
      <c r="O1420" s="33"/>
      <c r="P1420" s="33"/>
      <c r="Q1420" s="33"/>
      <c r="R1420" s="33"/>
      <c r="S1420" s="33"/>
      <c r="T1420" s="33"/>
      <c r="U1420" s="33"/>
      <c r="V1420" s="33"/>
      <c r="W1420" s="33"/>
      <c r="X1420" s="33"/>
      <c r="Y1420" s="33"/>
      <c r="Z1420" s="33"/>
      <c r="AA1420" s="33"/>
      <c r="AB1420" s="33"/>
      <c r="AC1420" s="33"/>
      <c r="AD1420" s="33"/>
      <c r="AE1420" s="33"/>
      <c r="AF1420" s="33"/>
      <c r="AG1420" s="33"/>
      <c r="AH1420" s="33"/>
      <c r="AI1420" s="33"/>
      <c r="AJ1420" s="33"/>
      <c r="AK1420" s="34" t="str">
        <f aca="false">IF($B1420="","",COUNTIF($F1420:$AJ1420,"P"))</f>
        <v/>
      </c>
      <c r="AL1420" s="34" t="str">
        <f aca="false">IF($B1420="","",COUNTIF($F1420:$AJ1420,"A"))</f>
        <v/>
      </c>
      <c r="AM1420" s="34" t="str">
        <f aca="false">IF($B1420="","",COUNTIF($F1420:$AJ1420,"HA"))</f>
        <v/>
      </c>
      <c r="AN1420" s="34" t="str">
        <f aca="false">IF($B1420="","",COUNTIF($F1420:$AJ1420,"L"))</f>
        <v/>
      </c>
      <c r="AO1420" s="34" t="str">
        <f aca="false">IF($B1420="","",COUNTIF($F1420:$AJ1420,"PL"))</f>
        <v/>
      </c>
      <c r="AP1420" s="34" t="str">
        <f aca="false">IF($B1420="","",COUNTIF($F1420:$AJ1420,"CL"))</f>
        <v/>
      </c>
      <c r="AQ1420" s="34" t="str">
        <f aca="false">IF($B1420="","",COUNTIF($F1420:$AJ1420,"SL"))</f>
        <v/>
      </c>
      <c r="AR1420" s="34" t="str">
        <f aca="false">IF($B1420="","",COUNTIF($F1420:$AJ1420,"CO"))</f>
        <v/>
      </c>
      <c r="AS1420" s="34" t="str">
        <f aca="false">IF($B1420="","",COUNTIF($F1420:$AJ1420,"HPL"))</f>
        <v/>
      </c>
      <c r="AT1420" s="34" t="str">
        <f aca="false">IF($B1420="","",COUNTIF($F1420:$AJ1420,"HCL"))</f>
        <v/>
      </c>
      <c r="AU1420" s="34" t="str">
        <f aca="false">IF($B1420="","",COUNTIF($F1420:$AJ1420,"WO"))</f>
        <v/>
      </c>
      <c r="AV1420" s="34" t="str">
        <f aca="false">IF($B1420="","",COUNTIF($F1420:$AJ1420,"PH"))</f>
        <v/>
      </c>
      <c r="AW1420" s="34" t="str">
        <f aca="false">IF($B1420="","",COUNTIF($F1420:$AJ1420,"TR"))</f>
        <v/>
      </c>
      <c r="AX1420" s="35" t="str">
        <f aca="false">IF($B1420="","",AO1420+AS1420/2)</f>
        <v/>
      </c>
      <c r="AY1420" s="35" t="str">
        <f aca="false">IF($B1420="","",AQ1420)</f>
        <v/>
      </c>
      <c r="AZ1420" s="35" t="str">
        <f aca="false">IF($B1420="","",AP1420+AT1420/2)</f>
        <v/>
      </c>
      <c r="BA1420" s="35" t="str">
        <f aca="false">IF($B1420="","",AK1420+AN1420+AM1420/2+AO1420+AP1420+AQ1420+AR1420+AS1420+AT1420+AU1420+AV1420+AW1420)</f>
        <v/>
      </c>
      <c r="BB1420" s="35" t="str">
        <f aca="false">IF($B1420="","",MAX(0,AN1420-Settings!$C$16)*Settings!$C$17)</f>
        <v/>
      </c>
      <c r="BC1420" s="35" t="str">
        <f aca="false">IF($B1420="","",BA1420-BB1420)</f>
        <v/>
      </c>
      <c r="BD1420" s="35" t="str">
        <f aca="false">IF(OR($B1420="",$A1420=""),"",DAY(EOMONTH($A1420,0))-COUNTA($F1420:$AJ1420))</f>
        <v/>
      </c>
    </row>
    <row r="1421" customFormat="false" ht="15" hidden="false" customHeight="false" outlineLevel="0" collapsed="false">
      <c r="A1421" s="32"/>
      <c r="B1421" s="29"/>
      <c r="C1421" s="10" t="str">
        <f aca="false">IF($B1421="","",IFERROR(INDEX(M_name,MATCH($B1421,M_emp,0)),"Code not found"))</f>
        <v/>
      </c>
      <c r="D1421" s="10" t="str">
        <f aca="false">IF($B1421="","",IFERROR(INDEX(M_dept,MATCH($B1421,M_emp,0)),""))</f>
        <v/>
      </c>
      <c r="E1421" s="10" t="str">
        <f aca="false">IF($B1421="","",IFERROR(INDEX(M_loc,MATCH($B1421,M_emp,0)),""))</f>
        <v/>
      </c>
      <c r="F1421" s="33"/>
      <c r="G1421" s="33"/>
      <c r="H1421" s="33"/>
      <c r="I1421" s="33"/>
      <c r="J1421" s="33"/>
      <c r="K1421" s="33"/>
      <c r="L1421" s="33"/>
      <c r="M1421" s="33"/>
      <c r="N1421" s="33"/>
      <c r="O1421" s="33"/>
      <c r="P1421" s="33"/>
      <c r="Q1421" s="33"/>
      <c r="R1421" s="33"/>
      <c r="S1421" s="33"/>
      <c r="T1421" s="33"/>
      <c r="U1421" s="33"/>
      <c r="V1421" s="33"/>
      <c r="W1421" s="33"/>
      <c r="X1421" s="33"/>
      <c r="Y1421" s="33"/>
      <c r="Z1421" s="33"/>
      <c r="AA1421" s="33"/>
      <c r="AB1421" s="33"/>
      <c r="AC1421" s="33"/>
      <c r="AD1421" s="33"/>
      <c r="AE1421" s="33"/>
      <c r="AF1421" s="33"/>
      <c r="AG1421" s="33"/>
      <c r="AH1421" s="33"/>
      <c r="AI1421" s="33"/>
      <c r="AJ1421" s="33"/>
      <c r="AK1421" s="34" t="str">
        <f aca="false">IF($B1421="","",COUNTIF($F1421:$AJ1421,"P"))</f>
        <v/>
      </c>
      <c r="AL1421" s="34" t="str">
        <f aca="false">IF($B1421="","",COUNTIF($F1421:$AJ1421,"A"))</f>
        <v/>
      </c>
      <c r="AM1421" s="34" t="str">
        <f aca="false">IF($B1421="","",COUNTIF($F1421:$AJ1421,"HA"))</f>
        <v/>
      </c>
      <c r="AN1421" s="34" t="str">
        <f aca="false">IF($B1421="","",COUNTIF($F1421:$AJ1421,"L"))</f>
        <v/>
      </c>
      <c r="AO1421" s="34" t="str">
        <f aca="false">IF($B1421="","",COUNTIF($F1421:$AJ1421,"PL"))</f>
        <v/>
      </c>
      <c r="AP1421" s="34" t="str">
        <f aca="false">IF($B1421="","",COUNTIF($F1421:$AJ1421,"CL"))</f>
        <v/>
      </c>
      <c r="AQ1421" s="34" t="str">
        <f aca="false">IF($B1421="","",COUNTIF($F1421:$AJ1421,"SL"))</f>
        <v/>
      </c>
      <c r="AR1421" s="34" t="str">
        <f aca="false">IF($B1421="","",COUNTIF($F1421:$AJ1421,"CO"))</f>
        <v/>
      </c>
      <c r="AS1421" s="34" t="str">
        <f aca="false">IF($B1421="","",COUNTIF($F1421:$AJ1421,"HPL"))</f>
        <v/>
      </c>
      <c r="AT1421" s="34" t="str">
        <f aca="false">IF($B1421="","",COUNTIF($F1421:$AJ1421,"HCL"))</f>
        <v/>
      </c>
      <c r="AU1421" s="34" t="str">
        <f aca="false">IF($B1421="","",COUNTIF($F1421:$AJ1421,"WO"))</f>
        <v/>
      </c>
      <c r="AV1421" s="34" t="str">
        <f aca="false">IF($B1421="","",COUNTIF($F1421:$AJ1421,"PH"))</f>
        <v/>
      </c>
      <c r="AW1421" s="34" t="str">
        <f aca="false">IF($B1421="","",COUNTIF($F1421:$AJ1421,"TR"))</f>
        <v/>
      </c>
      <c r="AX1421" s="35" t="str">
        <f aca="false">IF($B1421="","",AO1421+AS1421/2)</f>
        <v/>
      </c>
      <c r="AY1421" s="35" t="str">
        <f aca="false">IF($B1421="","",AQ1421)</f>
        <v/>
      </c>
      <c r="AZ1421" s="35" t="str">
        <f aca="false">IF($B1421="","",AP1421+AT1421/2)</f>
        <v/>
      </c>
      <c r="BA1421" s="35" t="str">
        <f aca="false">IF($B1421="","",AK1421+AN1421+AM1421/2+AO1421+AP1421+AQ1421+AR1421+AS1421+AT1421+AU1421+AV1421+AW1421)</f>
        <v/>
      </c>
      <c r="BB1421" s="35" t="str">
        <f aca="false">IF($B1421="","",MAX(0,AN1421-Settings!$C$16)*Settings!$C$17)</f>
        <v/>
      </c>
      <c r="BC1421" s="35" t="str">
        <f aca="false">IF($B1421="","",BA1421-BB1421)</f>
        <v/>
      </c>
      <c r="BD1421" s="35" t="str">
        <f aca="false">IF(OR($B1421="",$A1421=""),"",DAY(EOMONTH($A1421,0))-COUNTA($F1421:$AJ1421))</f>
        <v/>
      </c>
    </row>
    <row r="1422" customFormat="false" ht="15" hidden="false" customHeight="false" outlineLevel="0" collapsed="false">
      <c r="A1422" s="32"/>
      <c r="B1422" s="29"/>
      <c r="C1422" s="10" t="str">
        <f aca="false">IF($B1422="","",IFERROR(INDEX(M_name,MATCH($B1422,M_emp,0)),"Code not found"))</f>
        <v/>
      </c>
      <c r="D1422" s="10" t="str">
        <f aca="false">IF($B1422="","",IFERROR(INDEX(M_dept,MATCH($B1422,M_emp,0)),""))</f>
        <v/>
      </c>
      <c r="E1422" s="10" t="str">
        <f aca="false">IF($B1422="","",IFERROR(INDEX(M_loc,MATCH($B1422,M_emp,0)),""))</f>
        <v/>
      </c>
      <c r="F1422" s="33"/>
      <c r="G1422" s="33"/>
      <c r="H1422" s="33"/>
      <c r="I1422" s="33"/>
      <c r="J1422" s="33"/>
      <c r="K1422" s="33"/>
      <c r="L1422" s="33"/>
      <c r="M1422" s="33"/>
      <c r="N1422" s="33"/>
      <c r="O1422" s="33"/>
      <c r="P1422" s="33"/>
      <c r="Q1422" s="33"/>
      <c r="R1422" s="33"/>
      <c r="S1422" s="33"/>
      <c r="T1422" s="33"/>
      <c r="U1422" s="33"/>
      <c r="V1422" s="33"/>
      <c r="W1422" s="33"/>
      <c r="X1422" s="33"/>
      <c r="Y1422" s="33"/>
      <c r="Z1422" s="33"/>
      <c r="AA1422" s="33"/>
      <c r="AB1422" s="33"/>
      <c r="AC1422" s="33"/>
      <c r="AD1422" s="33"/>
      <c r="AE1422" s="33"/>
      <c r="AF1422" s="33"/>
      <c r="AG1422" s="33"/>
      <c r="AH1422" s="33"/>
      <c r="AI1422" s="33"/>
      <c r="AJ1422" s="33"/>
      <c r="AK1422" s="34" t="str">
        <f aca="false">IF($B1422="","",COUNTIF($F1422:$AJ1422,"P"))</f>
        <v/>
      </c>
      <c r="AL1422" s="34" t="str">
        <f aca="false">IF($B1422="","",COUNTIF($F1422:$AJ1422,"A"))</f>
        <v/>
      </c>
      <c r="AM1422" s="34" t="str">
        <f aca="false">IF($B1422="","",COUNTIF($F1422:$AJ1422,"HA"))</f>
        <v/>
      </c>
      <c r="AN1422" s="34" t="str">
        <f aca="false">IF($B1422="","",COUNTIF($F1422:$AJ1422,"L"))</f>
        <v/>
      </c>
      <c r="AO1422" s="34" t="str">
        <f aca="false">IF($B1422="","",COUNTIF($F1422:$AJ1422,"PL"))</f>
        <v/>
      </c>
      <c r="AP1422" s="34" t="str">
        <f aca="false">IF($B1422="","",COUNTIF($F1422:$AJ1422,"CL"))</f>
        <v/>
      </c>
      <c r="AQ1422" s="34" t="str">
        <f aca="false">IF($B1422="","",COUNTIF($F1422:$AJ1422,"SL"))</f>
        <v/>
      </c>
      <c r="AR1422" s="34" t="str">
        <f aca="false">IF($B1422="","",COUNTIF($F1422:$AJ1422,"CO"))</f>
        <v/>
      </c>
      <c r="AS1422" s="34" t="str">
        <f aca="false">IF($B1422="","",COUNTIF($F1422:$AJ1422,"HPL"))</f>
        <v/>
      </c>
      <c r="AT1422" s="34" t="str">
        <f aca="false">IF($B1422="","",COUNTIF($F1422:$AJ1422,"HCL"))</f>
        <v/>
      </c>
      <c r="AU1422" s="34" t="str">
        <f aca="false">IF($B1422="","",COUNTIF($F1422:$AJ1422,"WO"))</f>
        <v/>
      </c>
      <c r="AV1422" s="34" t="str">
        <f aca="false">IF($B1422="","",COUNTIF($F1422:$AJ1422,"PH"))</f>
        <v/>
      </c>
      <c r="AW1422" s="34" t="str">
        <f aca="false">IF($B1422="","",COUNTIF($F1422:$AJ1422,"TR"))</f>
        <v/>
      </c>
      <c r="AX1422" s="35" t="str">
        <f aca="false">IF($B1422="","",AO1422+AS1422/2)</f>
        <v/>
      </c>
      <c r="AY1422" s="35" t="str">
        <f aca="false">IF($B1422="","",AQ1422)</f>
        <v/>
      </c>
      <c r="AZ1422" s="35" t="str">
        <f aca="false">IF($B1422="","",AP1422+AT1422/2)</f>
        <v/>
      </c>
      <c r="BA1422" s="35" t="str">
        <f aca="false">IF($B1422="","",AK1422+AN1422+AM1422/2+AO1422+AP1422+AQ1422+AR1422+AS1422+AT1422+AU1422+AV1422+AW1422)</f>
        <v/>
      </c>
      <c r="BB1422" s="35" t="str">
        <f aca="false">IF($B1422="","",MAX(0,AN1422-Settings!$C$16)*Settings!$C$17)</f>
        <v/>
      </c>
      <c r="BC1422" s="35" t="str">
        <f aca="false">IF($B1422="","",BA1422-BB1422)</f>
        <v/>
      </c>
      <c r="BD1422" s="35" t="str">
        <f aca="false">IF(OR($B1422="",$A1422=""),"",DAY(EOMONTH($A1422,0))-COUNTA($F1422:$AJ1422))</f>
        <v/>
      </c>
    </row>
    <row r="1423" customFormat="false" ht="15" hidden="false" customHeight="false" outlineLevel="0" collapsed="false">
      <c r="A1423" s="32"/>
      <c r="B1423" s="29"/>
      <c r="C1423" s="10" t="str">
        <f aca="false">IF($B1423="","",IFERROR(INDEX(M_name,MATCH($B1423,M_emp,0)),"Code not found"))</f>
        <v/>
      </c>
      <c r="D1423" s="10" t="str">
        <f aca="false">IF($B1423="","",IFERROR(INDEX(M_dept,MATCH($B1423,M_emp,0)),""))</f>
        <v/>
      </c>
      <c r="E1423" s="10" t="str">
        <f aca="false">IF($B1423="","",IFERROR(INDEX(M_loc,MATCH($B1423,M_emp,0)),""))</f>
        <v/>
      </c>
      <c r="F1423" s="33"/>
      <c r="G1423" s="33"/>
      <c r="H1423" s="33"/>
      <c r="I1423" s="33"/>
      <c r="J1423" s="33"/>
      <c r="K1423" s="33"/>
      <c r="L1423" s="33"/>
      <c r="M1423" s="33"/>
      <c r="N1423" s="33"/>
      <c r="O1423" s="33"/>
      <c r="P1423" s="33"/>
      <c r="Q1423" s="33"/>
      <c r="R1423" s="33"/>
      <c r="S1423" s="33"/>
      <c r="T1423" s="33"/>
      <c r="U1423" s="33"/>
      <c r="V1423" s="33"/>
      <c r="W1423" s="33"/>
      <c r="X1423" s="33"/>
      <c r="Y1423" s="33"/>
      <c r="Z1423" s="33"/>
      <c r="AA1423" s="33"/>
      <c r="AB1423" s="33"/>
      <c r="AC1423" s="33"/>
      <c r="AD1423" s="33"/>
      <c r="AE1423" s="33"/>
      <c r="AF1423" s="33"/>
      <c r="AG1423" s="33"/>
      <c r="AH1423" s="33"/>
      <c r="AI1423" s="33"/>
      <c r="AJ1423" s="33"/>
      <c r="AK1423" s="34" t="str">
        <f aca="false">IF($B1423="","",COUNTIF($F1423:$AJ1423,"P"))</f>
        <v/>
      </c>
      <c r="AL1423" s="34" t="str">
        <f aca="false">IF($B1423="","",COUNTIF($F1423:$AJ1423,"A"))</f>
        <v/>
      </c>
      <c r="AM1423" s="34" t="str">
        <f aca="false">IF($B1423="","",COUNTIF($F1423:$AJ1423,"HA"))</f>
        <v/>
      </c>
      <c r="AN1423" s="34" t="str">
        <f aca="false">IF($B1423="","",COUNTIF($F1423:$AJ1423,"L"))</f>
        <v/>
      </c>
      <c r="AO1423" s="34" t="str">
        <f aca="false">IF($B1423="","",COUNTIF($F1423:$AJ1423,"PL"))</f>
        <v/>
      </c>
      <c r="AP1423" s="34" t="str">
        <f aca="false">IF($B1423="","",COUNTIF($F1423:$AJ1423,"CL"))</f>
        <v/>
      </c>
      <c r="AQ1423" s="34" t="str">
        <f aca="false">IF($B1423="","",COUNTIF($F1423:$AJ1423,"SL"))</f>
        <v/>
      </c>
      <c r="AR1423" s="34" t="str">
        <f aca="false">IF($B1423="","",COUNTIF($F1423:$AJ1423,"CO"))</f>
        <v/>
      </c>
      <c r="AS1423" s="34" t="str">
        <f aca="false">IF($B1423="","",COUNTIF($F1423:$AJ1423,"HPL"))</f>
        <v/>
      </c>
      <c r="AT1423" s="34" t="str">
        <f aca="false">IF($B1423="","",COUNTIF($F1423:$AJ1423,"HCL"))</f>
        <v/>
      </c>
      <c r="AU1423" s="34" t="str">
        <f aca="false">IF($B1423="","",COUNTIF($F1423:$AJ1423,"WO"))</f>
        <v/>
      </c>
      <c r="AV1423" s="34" t="str">
        <f aca="false">IF($B1423="","",COUNTIF($F1423:$AJ1423,"PH"))</f>
        <v/>
      </c>
      <c r="AW1423" s="34" t="str">
        <f aca="false">IF($B1423="","",COUNTIF($F1423:$AJ1423,"TR"))</f>
        <v/>
      </c>
      <c r="AX1423" s="35" t="str">
        <f aca="false">IF($B1423="","",AO1423+AS1423/2)</f>
        <v/>
      </c>
      <c r="AY1423" s="35" t="str">
        <f aca="false">IF($B1423="","",AQ1423)</f>
        <v/>
      </c>
      <c r="AZ1423" s="35" t="str">
        <f aca="false">IF($B1423="","",AP1423+AT1423/2)</f>
        <v/>
      </c>
      <c r="BA1423" s="35" t="str">
        <f aca="false">IF($B1423="","",AK1423+AN1423+AM1423/2+AO1423+AP1423+AQ1423+AR1423+AS1423+AT1423+AU1423+AV1423+AW1423)</f>
        <v/>
      </c>
      <c r="BB1423" s="35" t="str">
        <f aca="false">IF($B1423="","",MAX(0,AN1423-Settings!$C$16)*Settings!$C$17)</f>
        <v/>
      </c>
      <c r="BC1423" s="35" t="str">
        <f aca="false">IF($B1423="","",BA1423-BB1423)</f>
        <v/>
      </c>
      <c r="BD1423" s="35" t="str">
        <f aca="false">IF(OR($B1423="",$A1423=""),"",DAY(EOMONTH($A1423,0))-COUNTA($F1423:$AJ1423))</f>
        <v/>
      </c>
    </row>
    <row r="1424" customFormat="false" ht="15" hidden="false" customHeight="false" outlineLevel="0" collapsed="false">
      <c r="A1424" s="32"/>
      <c r="B1424" s="29"/>
      <c r="C1424" s="10" t="str">
        <f aca="false">IF($B1424="","",IFERROR(INDEX(M_name,MATCH($B1424,M_emp,0)),"Code not found"))</f>
        <v/>
      </c>
      <c r="D1424" s="10" t="str">
        <f aca="false">IF($B1424="","",IFERROR(INDEX(M_dept,MATCH($B1424,M_emp,0)),""))</f>
        <v/>
      </c>
      <c r="E1424" s="10" t="str">
        <f aca="false">IF($B1424="","",IFERROR(INDEX(M_loc,MATCH($B1424,M_emp,0)),""))</f>
        <v/>
      </c>
      <c r="F1424" s="33"/>
      <c r="G1424" s="33"/>
      <c r="H1424" s="33"/>
      <c r="I1424" s="33"/>
      <c r="J1424" s="33"/>
      <c r="K1424" s="33"/>
      <c r="L1424" s="33"/>
      <c r="M1424" s="33"/>
      <c r="N1424" s="33"/>
      <c r="O1424" s="33"/>
      <c r="P1424" s="33"/>
      <c r="Q1424" s="33"/>
      <c r="R1424" s="33"/>
      <c r="S1424" s="33"/>
      <c r="T1424" s="33"/>
      <c r="U1424" s="33"/>
      <c r="V1424" s="33"/>
      <c r="W1424" s="33"/>
      <c r="X1424" s="33"/>
      <c r="Y1424" s="33"/>
      <c r="Z1424" s="33"/>
      <c r="AA1424" s="33"/>
      <c r="AB1424" s="33"/>
      <c r="AC1424" s="33"/>
      <c r="AD1424" s="33"/>
      <c r="AE1424" s="33"/>
      <c r="AF1424" s="33"/>
      <c r="AG1424" s="33"/>
      <c r="AH1424" s="33"/>
      <c r="AI1424" s="33"/>
      <c r="AJ1424" s="33"/>
      <c r="AK1424" s="34" t="str">
        <f aca="false">IF($B1424="","",COUNTIF($F1424:$AJ1424,"P"))</f>
        <v/>
      </c>
      <c r="AL1424" s="34" t="str">
        <f aca="false">IF($B1424="","",COUNTIF($F1424:$AJ1424,"A"))</f>
        <v/>
      </c>
      <c r="AM1424" s="34" t="str">
        <f aca="false">IF($B1424="","",COUNTIF($F1424:$AJ1424,"HA"))</f>
        <v/>
      </c>
      <c r="AN1424" s="34" t="str">
        <f aca="false">IF($B1424="","",COUNTIF($F1424:$AJ1424,"L"))</f>
        <v/>
      </c>
      <c r="AO1424" s="34" t="str">
        <f aca="false">IF($B1424="","",COUNTIF($F1424:$AJ1424,"PL"))</f>
        <v/>
      </c>
      <c r="AP1424" s="34" t="str">
        <f aca="false">IF($B1424="","",COUNTIF($F1424:$AJ1424,"CL"))</f>
        <v/>
      </c>
      <c r="AQ1424" s="34" t="str">
        <f aca="false">IF($B1424="","",COUNTIF($F1424:$AJ1424,"SL"))</f>
        <v/>
      </c>
      <c r="AR1424" s="34" t="str">
        <f aca="false">IF($B1424="","",COUNTIF($F1424:$AJ1424,"CO"))</f>
        <v/>
      </c>
      <c r="AS1424" s="34" t="str">
        <f aca="false">IF($B1424="","",COUNTIF($F1424:$AJ1424,"HPL"))</f>
        <v/>
      </c>
      <c r="AT1424" s="34" t="str">
        <f aca="false">IF($B1424="","",COUNTIF($F1424:$AJ1424,"HCL"))</f>
        <v/>
      </c>
      <c r="AU1424" s="34" t="str">
        <f aca="false">IF($B1424="","",COUNTIF($F1424:$AJ1424,"WO"))</f>
        <v/>
      </c>
      <c r="AV1424" s="34" t="str">
        <f aca="false">IF($B1424="","",COUNTIF($F1424:$AJ1424,"PH"))</f>
        <v/>
      </c>
      <c r="AW1424" s="34" t="str">
        <f aca="false">IF($B1424="","",COUNTIF($F1424:$AJ1424,"TR"))</f>
        <v/>
      </c>
      <c r="AX1424" s="35" t="str">
        <f aca="false">IF($B1424="","",AO1424+AS1424/2)</f>
        <v/>
      </c>
      <c r="AY1424" s="35" t="str">
        <f aca="false">IF($B1424="","",AQ1424)</f>
        <v/>
      </c>
      <c r="AZ1424" s="35" t="str">
        <f aca="false">IF($B1424="","",AP1424+AT1424/2)</f>
        <v/>
      </c>
      <c r="BA1424" s="35" t="str">
        <f aca="false">IF($B1424="","",AK1424+AN1424+AM1424/2+AO1424+AP1424+AQ1424+AR1424+AS1424+AT1424+AU1424+AV1424+AW1424)</f>
        <v/>
      </c>
      <c r="BB1424" s="35" t="str">
        <f aca="false">IF($B1424="","",MAX(0,AN1424-Settings!$C$16)*Settings!$C$17)</f>
        <v/>
      </c>
      <c r="BC1424" s="35" t="str">
        <f aca="false">IF($B1424="","",BA1424-BB1424)</f>
        <v/>
      </c>
      <c r="BD1424" s="35" t="str">
        <f aca="false">IF(OR($B1424="",$A1424=""),"",DAY(EOMONTH($A1424,0))-COUNTA($F1424:$AJ1424))</f>
        <v/>
      </c>
    </row>
    <row r="1425" customFormat="false" ht="15" hidden="false" customHeight="false" outlineLevel="0" collapsed="false">
      <c r="A1425" s="32"/>
      <c r="B1425" s="29"/>
      <c r="C1425" s="10" t="str">
        <f aca="false">IF($B1425="","",IFERROR(INDEX(M_name,MATCH($B1425,M_emp,0)),"Code not found"))</f>
        <v/>
      </c>
      <c r="D1425" s="10" t="str">
        <f aca="false">IF($B1425="","",IFERROR(INDEX(M_dept,MATCH($B1425,M_emp,0)),""))</f>
        <v/>
      </c>
      <c r="E1425" s="10" t="str">
        <f aca="false">IF($B1425="","",IFERROR(INDEX(M_loc,MATCH($B1425,M_emp,0)),""))</f>
        <v/>
      </c>
      <c r="F1425" s="33"/>
      <c r="G1425" s="33"/>
      <c r="H1425" s="33"/>
      <c r="I1425" s="33"/>
      <c r="J1425" s="33"/>
      <c r="K1425" s="33"/>
      <c r="L1425" s="33"/>
      <c r="M1425" s="33"/>
      <c r="N1425" s="33"/>
      <c r="O1425" s="33"/>
      <c r="P1425" s="33"/>
      <c r="Q1425" s="33"/>
      <c r="R1425" s="33"/>
      <c r="S1425" s="33"/>
      <c r="T1425" s="33"/>
      <c r="U1425" s="33"/>
      <c r="V1425" s="33"/>
      <c r="W1425" s="33"/>
      <c r="X1425" s="33"/>
      <c r="Y1425" s="33"/>
      <c r="Z1425" s="33"/>
      <c r="AA1425" s="33"/>
      <c r="AB1425" s="33"/>
      <c r="AC1425" s="33"/>
      <c r="AD1425" s="33"/>
      <c r="AE1425" s="33"/>
      <c r="AF1425" s="33"/>
      <c r="AG1425" s="33"/>
      <c r="AH1425" s="33"/>
      <c r="AI1425" s="33"/>
      <c r="AJ1425" s="33"/>
      <c r="AK1425" s="34" t="str">
        <f aca="false">IF($B1425="","",COUNTIF($F1425:$AJ1425,"P"))</f>
        <v/>
      </c>
      <c r="AL1425" s="34" t="str">
        <f aca="false">IF($B1425="","",COUNTIF($F1425:$AJ1425,"A"))</f>
        <v/>
      </c>
      <c r="AM1425" s="34" t="str">
        <f aca="false">IF($B1425="","",COUNTIF($F1425:$AJ1425,"HA"))</f>
        <v/>
      </c>
      <c r="AN1425" s="34" t="str">
        <f aca="false">IF($B1425="","",COUNTIF($F1425:$AJ1425,"L"))</f>
        <v/>
      </c>
      <c r="AO1425" s="34" t="str">
        <f aca="false">IF($B1425="","",COUNTIF($F1425:$AJ1425,"PL"))</f>
        <v/>
      </c>
      <c r="AP1425" s="34" t="str">
        <f aca="false">IF($B1425="","",COUNTIF($F1425:$AJ1425,"CL"))</f>
        <v/>
      </c>
      <c r="AQ1425" s="34" t="str">
        <f aca="false">IF($B1425="","",COUNTIF($F1425:$AJ1425,"SL"))</f>
        <v/>
      </c>
      <c r="AR1425" s="34" t="str">
        <f aca="false">IF($B1425="","",COUNTIF($F1425:$AJ1425,"CO"))</f>
        <v/>
      </c>
      <c r="AS1425" s="34" t="str">
        <f aca="false">IF($B1425="","",COUNTIF($F1425:$AJ1425,"HPL"))</f>
        <v/>
      </c>
      <c r="AT1425" s="34" t="str">
        <f aca="false">IF($B1425="","",COUNTIF($F1425:$AJ1425,"HCL"))</f>
        <v/>
      </c>
      <c r="AU1425" s="34" t="str">
        <f aca="false">IF($B1425="","",COUNTIF($F1425:$AJ1425,"WO"))</f>
        <v/>
      </c>
      <c r="AV1425" s="34" t="str">
        <f aca="false">IF($B1425="","",COUNTIF($F1425:$AJ1425,"PH"))</f>
        <v/>
      </c>
      <c r="AW1425" s="34" t="str">
        <f aca="false">IF($B1425="","",COUNTIF($F1425:$AJ1425,"TR"))</f>
        <v/>
      </c>
      <c r="AX1425" s="35" t="str">
        <f aca="false">IF($B1425="","",AO1425+AS1425/2)</f>
        <v/>
      </c>
      <c r="AY1425" s="35" t="str">
        <f aca="false">IF($B1425="","",AQ1425)</f>
        <v/>
      </c>
      <c r="AZ1425" s="35" t="str">
        <f aca="false">IF($B1425="","",AP1425+AT1425/2)</f>
        <v/>
      </c>
      <c r="BA1425" s="35" t="str">
        <f aca="false">IF($B1425="","",AK1425+AN1425+AM1425/2+AO1425+AP1425+AQ1425+AR1425+AS1425+AT1425+AU1425+AV1425+AW1425)</f>
        <v/>
      </c>
      <c r="BB1425" s="35" t="str">
        <f aca="false">IF($B1425="","",MAX(0,AN1425-Settings!$C$16)*Settings!$C$17)</f>
        <v/>
      </c>
      <c r="BC1425" s="35" t="str">
        <f aca="false">IF($B1425="","",BA1425-BB1425)</f>
        <v/>
      </c>
      <c r="BD1425" s="35" t="str">
        <f aca="false">IF(OR($B1425="",$A1425=""),"",DAY(EOMONTH($A1425,0))-COUNTA($F1425:$AJ1425))</f>
        <v/>
      </c>
    </row>
    <row r="1426" customFormat="false" ht="15" hidden="false" customHeight="false" outlineLevel="0" collapsed="false">
      <c r="A1426" s="32"/>
      <c r="B1426" s="29"/>
      <c r="C1426" s="10" t="str">
        <f aca="false">IF($B1426="","",IFERROR(INDEX(M_name,MATCH($B1426,M_emp,0)),"Code not found"))</f>
        <v/>
      </c>
      <c r="D1426" s="10" t="str">
        <f aca="false">IF($B1426="","",IFERROR(INDEX(M_dept,MATCH($B1426,M_emp,0)),""))</f>
        <v/>
      </c>
      <c r="E1426" s="10" t="str">
        <f aca="false">IF($B1426="","",IFERROR(INDEX(M_loc,MATCH($B1426,M_emp,0)),""))</f>
        <v/>
      </c>
      <c r="F1426" s="33"/>
      <c r="G1426" s="33"/>
      <c r="H1426" s="33"/>
      <c r="I1426" s="33"/>
      <c r="J1426" s="33"/>
      <c r="K1426" s="33"/>
      <c r="L1426" s="33"/>
      <c r="M1426" s="33"/>
      <c r="N1426" s="33"/>
      <c r="O1426" s="33"/>
      <c r="P1426" s="33"/>
      <c r="Q1426" s="33"/>
      <c r="R1426" s="33"/>
      <c r="S1426" s="33"/>
      <c r="T1426" s="33"/>
      <c r="U1426" s="33"/>
      <c r="V1426" s="33"/>
      <c r="W1426" s="33"/>
      <c r="X1426" s="33"/>
      <c r="Y1426" s="33"/>
      <c r="Z1426" s="33"/>
      <c r="AA1426" s="33"/>
      <c r="AB1426" s="33"/>
      <c r="AC1426" s="33"/>
      <c r="AD1426" s="33"/>
      <c r="AE1426" s="33"/>
      <c r="AF1426" s="33"/>
      <c r="AG1426" s="33"/>
      <c r="AH1426" s="33"/>
      <c r="AI1426" s="33"/>
      <c r="AJ1426" s="33"/>
      <c r="AK1426" s="34" t="str">
        <f aca="false">IF($B1426="","",COUNTIF($F1426:$AJ1426,"P"))</f>
        <v/>
      </c>
      <c r="AL1426" s="34" t="str">
        <f aca="false">IF($B1426="","",COUNTIF($F1426:$AJ1426,"A"))</f>
        <v/>
      </c>
      <c r="AM1426" s="34" t="str">
        <f aca="false">IF($B1426="","",COUNTIF($F1426:$AJ1426,"HA"))</f>
        <v/>
      </c>
      <c r="AN1426" s="34" t="str">
        <f aca="false">IF($B1426="","",COUNTIF($F1426:$AJ1426,"L"))</f>
        <v/>
      </c>
      <c r="AO1426" s="34" t="str">
        <f aca="false">IF($B1426="","",COUNTIF($F1426:$AJ1426,"PL"))</f>
        <v/>
      </c>
      <c r="AP1426" s="34" t="str">
        <f aca="false">IF($B1426="","",COUNTIF($F1426:$AJ1426,"CL"))</f>
        <v/>
      </c>
      <c r="AQ1426" s="34" t="str">
        <f aca="false">IF($B1426="","",COUNTIF($F1426:$AJ1426,"SL"))</f>
        <v/>
      </c>
      <c r="AR1426" s="34" t="str">
        <f aca="false">IF($B1426="","",COUNTIF($F1426:$AJ1426,"CO"))</f>
        <v/>
      </c>
      <c r="AS1426" s="34" t="str">
        <f aca="false">IF($B1426="","",COUNTIF($F1426:$AJ1426,"HPL"))</f>
        <v/>
      </c>
      <c r="AT1426" s="34" t="str">
        <f aca="false">IF($B1426="","",COUNTIF($F1426:$AJ1426,"HCL"))</f>
        <v/>
      </c>
      <c r="AU1426" s="34" t="str">
        <f aca="false">IF($B1426="","",COUNTIF($F1426:$AJ1426,"WO"))</f>
        <v/>
      </c>
      <c r="AV1426" s="34" t="str">
        <f aca="false">IF($B1426="","",COUNTIF($F1426:$AJ1426,"PH"))</f>
        <v/>
      </c>
      <c r="AW1426" s="34" t="str">
        <f aca="false">IF($B1426="","",COUNTIF($F1426:$AJ1426,"TR"))</f>
        <v/>
      </c>
      <c r="AX1426" s="35" t="str">
        <f aca="false">IF($B1426="","",AO1426+AS1426/2)</f>
        <v/>
      </c>
      <c r="AY1426" s="35" t="str">
        <f aca="false">IF($B1426="","",AQ1426)</f>
        <v/>
      </c>
      <c r="AZ1426" s="35" t="str">
        <f aca="false">IF($B1426="","",AP1426+AT1426/2)</f>
        <v/>
      </c>
      <c r="BA1426" s="35" t="str">
        <f aca="false">IF($B1426="","",AK1426+AN1426+AM1426/2+AO1426+AP1426+AQ1426+AR1426+AS1426+AT1426+AU1426+AV1426+AW1426)</f>
        <v/>
      </c>
      <c r="BB1426" s="35" t="str">
        <f aca="false">IF($B1426="","",MAX(0,AN1426-Settings!$C$16)*Settings!$C$17)</f>
        <v/>
      </c>
      <c r="BC1426" s="35" t="str">
        <f aca="false">IF($B1426="","",BA1426-BB1426)</f>
        <v/>
      </c>
      <c r="BD1426" s="35" t="str">
        <f aca="false">IF(OR($B1426="",$A1426=""),"",DAY(EOMONTH($A1426,0))-COUNTA($F1426:$AJ1426))</f>
        <v/>
      </c>
    </row>
    <row r="1427" customFormat="false" ht="15" hidden="false" customHeight="false" outlineLevel="0" collapsed="false">
      <c r="A1427" s="32"/>
      <c r="B1427" s="29"/>
      <c r="C1427" s="10" t="str">
        <f aca="false">IF($B1427="","",IFERROR(INDEX(M_name,MATCH($B1427,M_emp,0)),"Code not found"))</f>
        <v/>
      </c>
      <c r="D1427" s="10" t="str">
        <f aca="false">IF($B1427="","",IFERROR(INDEX(M_dept,MATCH($B1427,M_emp,0)),""))</f>
        <v/>
      </c>
      <c r="E1427" s="10" t="str">
        <f aca="false">IF($B1427="","",IFERROR(INDEX(M_loc,MATCH($B1427,M_emp,0)),""))</f>
        <v/>
      </c>
      <c r="F1427" s="33"/>
      <c r="G1427" s="33"/>
      <c r="H1427" s="33"/>
      <c r="I1427" s="33"/>
      <c r="J1427" s="33"/>
      <c r="K1427" s="33"/>
      <c r="L1427" s="33"/>
      <c r="M1427" s="33"/>
      <c r="N1427" s="33"/>
      <c r="O1427" s="33"/>
      <c r="P1427" s="33"/>
      <c r="Q1427" s="33"/>
      <c r="R1427" s="33"/>
      <c r="S1427" s="33"/>
      <c r="T1427" s="33"/>
      <c r="U1427" s="33"/>
      <c r="V1427" s="33"/>
      <c r="W1427" s="33"/>
      <c r="X1427" s="33"/>
      <c r="Y1427" s="33"/>
      <c r="Z1427" s="33"/>
      <c r="AA1427" s="33"/>
      <c r="AB1427" s="33"/>
      <c r="AC1427" s="33"/>
      <c r="AD1427" s="33"/>
      <c r="AE1427" s="33"/>
      <c r="AF1427" s="33"/>
      <c r="AG1427" s="33"/>
      <c r="AH1427" s="33"/>
      <c r="AI1427" s="33"/>
      <c r="AJ1427" s="33"/>
      <c r="AK1427" s="34" t="str">
        <f aca="false">IF($B1427="","",COUNTIF($F1427:$AJ1427,"P"))</f>
        <v/>
      </c>
      <c r="AL1427" s="34" t="str">
        <f aca="false">IF($B1427="","",COUNTIF($F1427:$AJ1427,"A"))</f>
        <v/>
      </c>
      <c r="AM1427" s="34" t="str">
        <f aca="false">IF($B1427="","",COUNTIF($F1427:$AJ1427,"HA"))</f>
        <v/>
      </c>
      <c r="AN1427" s="34" t="str">
        <f aca="false">IF($B1427="","",COUNTIF($F1427:$AJ1427,"L"))</f>
        <v/>
      </c>
      <c r="AO1427" s="34" t="str">
        <f aca="false">IF($B1427="","",COUNTIF($F1427:$AJ1427,"PL"))</f>
        <v/>
      </c>
      <c r="AP1427" s="34" t="str">
        <f aca="false">IF($B1427="","",COUNTIF($F1427:$AJ1427,"CL"))</f>
        <v/>
      </c>
      <c r="AQ1427" s="34" t="str">
        <f aca="false">IF($B1427="","",COUNTIF($F1427:$AJ1427,"SL"))</f>
        <v/>
      </c>
      <c r="AR1427" s="34" t="str">
        <f aca="false">IF($B1427="","",COUNTIF($F1427:$AJ1427,"CO"))</f>
        <v/>
      </c>
      <c r="AS1427" s="34" t="str">
        <f aca="false">IF($B1427="","",COUNTIF($F1427:$AJ1427,"HPL"))</f>
        <v/>
      </c>
      <c r="AT1427" s="34" t="str">
        <f aca="false">IF($B1427="","",COUNTIF($F1427:$AJ1427,"HCL"))</f>
        <v/>
      </c>
      <c r="AU1427" s="34" t="str">
        <f aca="false">IF($B1427="","",COUNTIF($F1427:$AJ1427,"WO"))</f>
        <v/>
      </c>
      <c r="AV1427" s="34" t="str">
        <f aca="false">IF($B1427="","",COUNTIF($F1427:$AJ1427,"PH"))</f>
        <v/>
      </c>
      <c r="AW1427" s="34" t="str">
        <f aca="false">IF($B1427="","",COUNTIF($F1427:$AJ1427,"TR"))</f>
        <v/>
      </c>
      <c r="AX1427" s="35" t="str">
        <f aca="false">IF($B1427="","",AO1427+AS1427/2)</f>
        <v/>
      </c>
      <c r="AY1427" s="35" t="str">
        <f aca="false">IF($B1427="","",AQ1427)</f>
        <v/>
      </c>
      <c r="AZ1427" s="35" t="str">
        <f aca="false">IF($B1427="","",AP1427+AT1427/2)</f>
        <v/>
      </c>
      <c r="BA1427" s="35" t="str">
        <f aca="false">IF($B1427="","",AK1427+AN1427+AM1427/2+AO1427+AP1427+AQ1427+AR1427+AS1427+AT1427+AU1427+AV1427+AW1427)</f>
        <v/>
      </c>
      <c r="BB1427" s="35" t="str">
        <f aca="false">IF($B1427="","",MAX(0,AN1427-Settings!$C$16)*Settings!$C$17)</f>
        <v/>
      </c>
      <c r="BC1427" s="35" t="str">
        <f aca="false">IF($B1427="","",BA1427-BB1427)</f>
        <v/>
      </c>
      <c r="BD1427" s="35" t="str">
        <f aca="false">IF(OR($B1427="",$A1427=""),"",DAY(EOMONTH($A1427,0))-COUNTA($F1427:$AJ1427))</f>
        <v/>
      </c>
    </row>
    <row r="1428" customFormat="false" ht="15" hidden="false" customHeight="false" outlineLevel="0" collapsed="false">
      <c r="A1428" s="32"/>
      <c r="B1428" s="29"/>
      <c r="C1428" s="10" t="str">
        <f aca="false">IF($B1428="","",IFERROR(INDEX(M_name,MATCH($B1428,M_emp,0)),"Code not found"))</f>
        <v/>
      </c>
      <c r="D1428" s="10" t="str">
        <f aca="false">IF($B1428="","",IFERROR(INDEX(M_dept,MATCH($B1428,M_emp,0)),""))</f>
        <v/>
      </c>
      <c r="E1428" s="10" t="str">
        <f aca="false">IF($B1428="","",IFERROR(INDEX(M_loc,MATCH($B1428,M_emp,0)),""))</f>
        <v/>
      </c>
      <c r="F1428" s="33"/>
      <c r="G1428" s="33"/>
      <c r="H1428" s="33"/>
      <c r="I1428" s="33"/>
      <c r="J1428" s="33"/>
      <c r="K1428" s="33"/>
      <c r="L1428" s="33"/>
      <c r="M1428" s="33"/>
      <c r="N1428" s="33"/>
      <c r="O1428" s="33"/>
      <c r="P1428" s="33"/>
      <c r="Q1428" s="33"/>
      <c r="R1428" s="33"/>
      <c r="S1428" s="33"/>
      <c r="T1428" s="33"/>
      <c r="U1428" s="33"/>
      <c r="V1428" s="33"/>
      <c r="W1428" s="33"/>
      <c r="X1428" s="33"/>
      <c r="Y1428" s="33"/>
      <c r="Z1428" s="33"/>
      <c r="AA1428" s="33"/>
      <c r="AB1428" s="33"/>
      <c r="AC1428" s="33"/>
      <c r="AD1428" s="33"/>
      <c r="AE1428" s="33"/>
      <c r="AF1428" s="33"/>
      <c r="AG1428" s="33"/>
      <c r="AH1428" s="33"/>
      <c r="AI1428" s="33"/>
      <c r="AJ1428" s="33"/>
      <c r="AK1428" s="34" t="str">
        <f aca="false">IF($B1428="","",COUNTIF($F1428:$AJ1428,"P"))</f>
        <v/>
      </c>
      <c r="AL1428" s="34" t="str">
        <f aca="false">IF($B1428="","",COUNTIF($F1428:$AJ1428,"A"))</f>
        <v/>
      </c>
      <c r="AM1428" s="34" t="str">
        <f aca="false">IF($B1428="","",COUNTIF($F1428:$AJ1428,"HA"))</f>
        <v/>
      </c>
      <c r="AN1428" s="34" t="str">
        <f aca="false">IF($B1428="","",COUNTIF($F1428:$AJ1428,"L"))</f>
        <v/>
      </c>
      <c r="AO1428" s="34" t="str">
        <f aca="false">IF($B1428="","",COUNTIF($F1428:$AJ1428,"PL"))</f>
        <v/>
      </c>
      <c r="AP1428" s="34" t="str">
        <f aca="false">IF($B1428="","",COUNTIF($F1428:$AJ1428,"CL"))</f>
        <v/>
      </c>
      <c r="AQ1428" s="34" t="str">
        <f aca="false">IF($B1428="","",COUNTIF($F1428:$AJ1428,"SL"))</f>
        <v/>
      </c>
      <c r="AR1428" s="34" t="str">
        <f aca="false">IF($B1428="","",COUNTIF($F1428:$AJ1428,"CO"))</f>
        <v/>
      </c>
      <c r="AS1428" s="34" t="str">
        <f aca="false">IF($B1428="","",COUNTIF($F1428:$AJ1428,"HPL"))</f>
        <v/>
      </c>
      <c r="AT1428" s="34" t="str">
        <f aca="false">IF($B1428="","",COUNTIF($F1428:$AJ1428,"HCL"))</f>
        <v/>
      </c>
      <c r="AU1428" s="34" t="str">
        <f aca="false">IF($B1428="","",COUNTIF($F1428:$AJ1428,"WO"))</f>
        <v/>
      </c>
      <c r="AV1428" s="34" t="str">
        <f aca="false">IF($B1428="","",COUNTIF($F1428:$AJ1428,"PH"))</f>
        <v/>
      </c>
      <c r="AW1428" s="34" t="str">
        <f aca="false">IF($B1428="","",COUNTIF($F1428:$AJ1428,"TR"))</f>
        <v/>
      </c>
      <c r="AX1428" s="35" t="str">
        <f aca="false">IF($B1428="","",AO1428+AS1428/2)</f>
        <v/>
      </c>
      <c r="AY1428" s="35" t="str">
        <f aca="false">IF($B1428="","",AQ1428)</f>
        <v/>
      </c>
      <c r="AZ1428" s="35" t="str">
        <f aca="false">IF($B1428="","",AP1428+AT1428/2)</f>
        <v/>
      </c>
      <c r="BA1428" s="35" t="str">
        <f aca="false">IF($B1428="","",AK1428+AN1428+AM1428/2+AO1428+AP1428+AQ1428+AR1428+AS1428+AT1428+AU1428+AV1428+AW1428)</f>
        <v/>
      </c>
      <c r="BB1428" s="35" t="str">
        <f aca="false">IF($B1428="","",MAX(0,AN1428-Settings!$C$16)*Settings!$C$17)</f>
        <v/>
      </c>
      <c r="BC1428" s="35" t="str">
        <f aca="false">IF($B1428="","",BA1428-BB1428)</f>
        <v/>
      </c>
      <c r="BD1428" s="35" t="str">
        <f aca="false">IF(OR($B1428="",$A1428=""),"",DAY(EOMONTH($A1428,0))-COUNTA($F1428:$AJ1428))</f>
        <v/>
      </c>
    </row>
    <row r="1429" customFormat="false" ht="15" hidden="false" customHeight="false" outlineLevel="0" collapsed="false">
      <c r="A1429" s="32"/>
      <c r="B1429" s="29"/>
      <c r="C1429" s="10" t="str">
        <f aca="false">IF($B1429="","",IFERROR(INDEX(M_name,MATCH($B1429,M_emp,0)),"Code not found"))</f>
        <v/>
      </c>
      <c r="D1429" s="10" t="str">
        <f aca="false">IF($B1429="","",IFERROR(INDEX(M_dept,MATCH($B1429,M_emp,0)),""))</f>
        <v/>
      </c>
      <c r="E1429" s="10" t="str">
        <f aca="false">IF($B1429="","",IFERROR(INDEX(M_loc,MATCH($B1429,M_emp,0)),""))</f>
        <v/>
      </c>
      <c r="F1429" s="33"/>
      <c r="G1429" s="33"/>
      <c r="H1429" s="33"/>
      <c r="I1429" s="33"/>
      <c r="J1429" s="33"/>
      <c r="K1429" s="33"/>
      <c r="L1429" s="33"/>
      <c r="M1429" s="33"/>
      <c r="N1429" s="33"/>
      <c r="O1429" s="33"/>
      <c r="P1429" s="33"/>
      <c r="Q1429" s="33"/>
      <c r="R1429" s="33"/>
      <c r="S1429" s="33"/>
      <c r="T1429" s="33"/>
      <c r="U1429" s="33"/>
      <c r="V1429" s="33"/>
      <c r="W1429" s="33"/>
      <c r="X1429" s="33"/>
      <c r="Y1429" s="33"/>
      <c r="Z1429" s="33"/>
      <c r="AA1429" s="33"/>
      <c r="AB1429" s="33"/>
      <c r="AC1429" s="33"/>
      <c r="AD1429" s="33"/>
      <c r="AE1429" s="33"/>
      <c r="AF1429" s="33"/>
      <c r="AG1429" s="33"/>
      <c r="AH1429" s="33"/>
      <c r="AI1429" s="33"/>
      <c r="AJ1429" s="33"/>
      <c r="AK1429" s="34" t="str">
        <f aca="false">IF($B1429="","",COUNTIF($F1429:$AJ1429,"P"))</f>
        <v/>
      </c>
      <c r="AL1429" s="34" t="str">
        <f aca="false">IF($B1429="","",COUNTIF($F1429:$AJ1429,"A"))</f>
        <v/>
      </c>
      <c r="AM1429" s="34" t="str">
        <f aca="false">IF($B1429="","",COUNTIF($F1429:$AJ1429,"HA"))</f>
        <v/>
      </c>
      <c r="AN1429" s="34" t="str">
        <f aca="false">IF($B1429="","",COUNTIF($F1429:$AJ1429,"L"))</f>
        <v/>
      </c>
      <c r="AO1429" s="34" t="str">
        <f aca="false">IF($B1429="","",COUNTIF($F1429:$AJ1429,"PL"))</f>
        <v/>
      </c>
      <c r="AP1429" s="34" t="str">
        <f aca="false">IF($B1429="","",COUNTIF($F1429:$AJ1429,"CL"))</f>
        <v/>
      </c>
      <c r="AQ1429" s="34" t="str">
        <f aca="false">IF($B1429="","",COUNTIF($F1429:$AJ1429,"SL"))</f>
        <v/>
      </c>
      <c r="AR1429" s="34" t="str">
        <f aca="false">IF($B1429="","",COUNTIF($F1429:$AJ1429,"CO"))</f>
        <v/>
      </c>
      <c r="AS1429" s="34" t="str">
        <f aca="false">IF($B1429="","",COUNTIF($F1429:$AJ1429,"HPL"))</f>
        <v/>
      </c>
      <c r="AT1429" s="34" t="str">
        <f aca="false">IF($B1429="","",COUNTIF($F1429:$AJ1429,"HCL"))</f>
        <v/>
      </c>
      <c r="AU1429" s="34" t="str">
        <f aca="false">IF($B1429="","",COUNTIF($F1429:$AJ1429,"WO"))</f>
        <v/>
      </c>
      <c r="AV1429" s="34" t="str">
        <f aca="false">IF($B1429="","",COUNTIF($F1429:$AJ1429,"PH"))</f>
        <v/>
      </c>
      <c r="AW1429" s="34" t="str">
        <f aca="false">IF($B1429="","",COUNTIF($F1429:$AJ1429,"TR"))</f>
        <v/>
      </c>
      <c r="AX1429" s="35" t="str">
        <f aca="false">IF($B1429="","",AO1429+AS1429/2)</f>
        <v/>
      </c>
      <c r="AY1429" s="35" t="str">
        <f aca="false">IF($B1429="","",AQ1429)</f>
        <v/>
      </c>
      <c r="AZ1429" s="35" t="str">
        <f aca="false">IF($B1429="","",AP1429+AT1429/2)</f>
        <v/>
      </c>
      <c r="BA1429" s="35" t="str">
        <f aca="false">IF($B1429="","",AK1429+AN1429+AM1429/2+AO1429+AP1429+AQ1429+AR1429+AS1429+AT1429+AU1429+AV1429+AW1429)</f>
        <v/>
      </c>
      <c r="BB1429" s="35" t="str">
        <f aca="false">IF($B1429="","",MAX(0,AN1429-Settings!$C$16)*Settings!$C$17)</f>
        <v/>
      </c>
      <c r="BC1429" s="35" t="str">
        <f aca="false">IF($B1429="","",BA1429-BB1429)</f>
        <v/>
      </c>
      <c r="BD1429" s="35" t="str">
        <f aca="false">IF(OR($B1429="",$A1429=""),"",DAY(EOMONTH($A1429,0))-COUNTA($F1429:$AJ1429))</f>
        <v/>
      </c>
    </row>
    <row r="1430" customFormat="false" ht="15" hidden="false" customHeight="false" outlineLevel="0" collapsed="false">
      <c r="A1430" s="32"/>
      <c r="B1430" s="29"/>
      <c r="C1430" s="10" t="str">
        <f aca="false">IF($B1430="","",IFERROR(INDEX(M_name,MATCH($B1430,M_emp,0)),"Code not found"))</f>
        <v/>
      </c>
      <c r="D1430" s="10" t="str">
        <f aca="false">IF($B1430="","",IFERROR(INDEX(M_dept,MATCH($B1430,M_emp,0)),""))</f>
        <v/>
      </c>
      <c r="E1430" s="10" t="str">
        <f aca="false">IF($B1430="","",IFERROR(INDEX(M_loc,MATCH($B1430,M_emp,0)),""))</f>
        <v/>
      </c>
      <c r="F1430" s="33"/>
      <c r="G1430" s="33"/>
      <c r="H1430" s="33"/>
      <c r="I1430" s="33"/>
      <c r="J1430" s="33"/>
      <c r="K1430" s="33"/>
      <c r="L1430" s="33"/>
      <c r="M1430" s="33"/>
      <c r="N1430" s="33"/>
      <c r="O1430" s="33"/>
      <c r="P1430" s="33"/>
      <c r="Q1430" s="33"/>
      <c r="R1430" s="33"/>
      <c r="S1430" s="33"/>
      <c r="T1430" s="33"/>
      <c r="U1430" s="33"/>
      <c r="V1430" s="33"/>
      <c r="W1430" s="33"/>
      <c r="X1430" s="33"/>
      <c r="Y1430" s="33"/>
      <c r="Z1430" s="33"/>
      <c r="AA1430" s="33"/>
      <c r="AB1430" s="33"/>
      <c r="AC1430" s="33"/>
      <c r="AD1430" s="33"/>
      <c r="AE1430" s="33"/>
      <c r="AF1430" s="33"/>
      <c r="AG1430" s="33"/>
      <c r="AH1430" s="33"/>
      <c r="AI1430" s="33"/>
      <c r="AJ1430" s="33"/>
      <c r="AK1430" s="34" t="str">
        <f aca="false">IF($B1430="","",COUNTIF($F1430:$AJ1430,"P"))</f>
        <v/>
      </c>
      <c r="AL1430" s="34" t="str">
        <f aca="false">IF($B1430="","",COUNTIF($F1430:$AJ1430,"A"))</f>
        <v/>
      </c>
      <c r="AM1430" s="34" t="str">
        <f aca="false">IF($B1430="","",COUNTIF($F1430:$AJ1430,"HA"))</f>
        <v/>
      </c>
      <c r="AN1430" s="34" t="str">
        <f aca="false">IF($B1430="","",COUNTIF($F1430:$AJ1430,"L"))</f>
        <v/>
      </c>
      <c r="AO1430" s="34" t="str">
        <f aca="false">IF($B1430="","",COUNTIF($F1430:$AJ1430,"PL"))</f>
        <v/>
      </c>
      <c r="AP1430" s="34" t="str">
        <f aca="false">IF($B1430="","",COUNTIF($F1430:$AJ1430,"CL"))</f>
        <v/>
      </c>
      <c r="AQ1430" s="34" t="str">
        <f aca="false">IF($B1430="","",COUNTIF($F1430:$AJ1430,"SL"))</f>
        <v/>
      </c>
      <c r="AR1430" s="34" t="str">
        <f aca="false">IF($B1430="","",COUNTIF($F1430:$AJ1430,"CO"))</f>
        <v/>
      </c>
      <c r="AS1430" s="34" t="str">
        <f aca="false">IF($B1430="","",COUNTIF($F1430:$AJ1430,"HPL"))</f>
        <v/>
      </c>
      <c r="AT1430" s="34" t="str">
        <f aca="false">IF($B1430="","",COUNTIF($F1430:$AJ1430,"HCL"))</f>
        <v/>
      </c>
      <c r="AU1430" s="34" t="str">
        <f aca="false">IF($B1430="","",COUNTIF($F1430:$AJ1430,"WO"))</f>
        <v/>
      </c>
      <c r="AV1430" s="34" t="str">
        <f aca="false">IF($B1430="","",COUNTIF($F1430:$AJ1430,"PH"))</f>
        <v/>
      </c>
      <c r="AW1430" s="34" t="str">
        <f aca="false">IF($B1430="","",COUNTIF($F1430:$AJ1430,"TR"))</f>
        <v/>
      </c>
      <c r="AX1430" s="35" t="str">
        <f aca="false">IF($B1430="","",AO1430+AS1430/2)</f>
        <v/>
      </c>
      <c r="AY1430" s="35" t="str">
        <f aca="false">IF($B1430="","",AQ1430)</f>
        <v/>
      </c>
      <c r="AZ1430" s="35" t="str">
        <f aca="false">IF($B1430="","",AP1430+AT1430/2)</f>
        <v/>
      </c>
      <c r="BA1430" s="35" t="str">
        <f aca="false">IF($B1430="","",AK1430+AN1430+AM1430/2+AO1430+AP1430+AQ1430+AR1430+AS1430+AT1430+AU1430+AV1430+AW1430)</f>
        <v/>
      </c>
      <c r="BB1430" s="35" t="str">
        <f aca="false">IF($B1430="","",MAX(0,AN1430-Settings!$C$16)*Settings!$C$17)</f>
        <v/>
      </c>
      <c r="BC1430" s="35" t="str">
        <f aca="false">IF($B1430="","",BA1430-BB1430)</f>
        <v/>
      </c>
      <c r="BD1430" s="35" t="str">
        <f aca="false">IF(OR($B1430="",$A1430=""),"",DAY(EOMONTH($A1430,0))-COUNTA($F1430:$AJ1430))</f>
        <v/>
      </c>
    </row>
    <row r="1431" customFormat="false" ht="15" hidden="false" customHeight="false" outlineLevel="0" collapsed="false">
      <c r="A1431" s="32"/>
      <c r="B1431" s="29"/>
      <c r="C1431" s="10" t="str">
        <f aca="false">IF($B1431="","",IFERROR(INDEX(M_name,MATCH($B1431,M_emp,0)),"Code not found"))</f>
        <v/>
      </c>
      <c r="D1431" s="10" t="str">
        <f aca="false">IF($B1431="","",IFERROR(INDEX(M_dept,MATCH($B1431,M_emp,0)),""))</f>
        <v/>
      </c>
      <c r="E1431" s="10" t="str">
        <f aca="false">IF($B1431="","",IFERROR(INDEX(M_loc,MATCH($B1431,M_emp,0)),""))</f>
        <v/>
      </c>
      <c r="F1431" s="33"/>
      <c r="G1431" s="33"/>
      <c r="H1431" s="33"/>
      <c r="I1431" s="33"/>
      <c r="J1431" s="33"/>
      <c r="K1431" s="33"/>
      <c r="L1431" s="33"/>
      <c r="M1431" s="33"/>
      <c r="N1431" s="33"/>
      <c r="O1431" s="33"/>
      <c r="P1431" s="33"/>
      <c r="Q1431" s="33"/>
      <c r="R1431" s="33"/>
      <c r="S1431" s="33"/>
      <c r="T1431" s="33"/>
      <c r="U1431" s="33"/>
      <c r="V1431" s="33"/>
      <c r="W1431" s="33"/>
      <c r="X1431" s="33"/>
      <c r="Y1431" s="33"/>
      <c r="Z1431" s="33"/>
      <c r="AA1431" s="33"/>
      <c r="AB1431" s="33"/>
      <c r="AC1431" s="33"/>
      <c r="AD1431" s="33"/>
      <c r="AE1431" s="33"/>
      <c r="AF1431" s="33"/>
      <c r="AG1431" s="33"/>
      <c r="AH1431" s="33"/>
      <c r="AI1431" s="33"/>
      <c r="AJ1431" s="33"/>
      <c r="AK1431" s="34" t="str">
        <f aca="false">IF($B1431="","",COUNTIF($F1431:$AJ1431,"P"))</f>
        <v/>
      </c>
      <c r="AL1431" s="34" t="str">
        <f aca="false">IF($B1431="","",COUNTIF($F1431:$AJ1431,"A"))</f>
        <v/>
      </c>
      <c r="AM1431" s="34" t="str">
        <f aca="false">IF($B1431="","",COUNTIF($F1431:$AJ1431,"HA"))</f>
        <v/>
      </c>
      <c r="AN1431" s="34" t="str">
        <f aca="false">IF($B1431="","",COUNTIF($F1431:$AJ1431,"L"))</f>
        <v/>
      </c>
      <c r="AO1431" s="34" t="str">
        <f aca="false">IF($B1431="","",COUNTIF($F1431:$AJ1431,"PL"))</f>
        <v/>
      </c>
      <c r="AP1431" s="34" t="str">
        <f aca="false">IF($B1431="","",COUNTIF($F1431:$AJ1431,"CL"))</f>
        <v/>
      </c>
      <c r="AQ1431" s="34" t="str">
        <f aca="false">IF($B1431="","",COUNTIF($F1431:$AJ1431,"SL"))</f>
        <v/>
      </c>
      <c r="AR1431" s="34" t="str">
        <f aca="false">IF($B1431="","",COUNTIF($F1431:$AJ1431,"CO"))</f>
        <v/>
      </c>
      <c r="AS1431" s="34" t="str">
        <f aca="false">IF($B1431="","",COUNTIF($F1431:$AJ1431,"HPL"))</f>
        <v/>
      </c>
      <c r="AT1431" s="34" t="str">
        <f aca="false">IF($B1431="","",COUNTIF($F1431:$AJ1431,"HCL"))</f>
        <v/>
      </c>
      <c r="AU1431" s="34" t="str">
        <f aca="false">IF($B1431="","",COUNTIF($F1431:$AJ1431,"WO"))</f>
        <v/>
      </c>
      <c r="AV1431" s="34" t="str">
        <f aca="false">IF($B1431="","",COUNTIF($F1431:$AJ1431,"PH"))</f>
        <v/>
      </c>
      <c r="AW1431" s="34" t="str">
        <f aca="false">IF($B1431="","",COUNTIF($F1431:$AJ1431,"TR"))</f>
        <v/>
      </c>
      <c r="AX1431" s="35" t="str">
        <f aca="false">IF($B1431="","",AO1431+AS1431/2)</f>
        <v/>
      </c>
      <c r="AY1431" s="35" t="str">
        <f aca="false">IF($B1431="","",AQ1431)</f>
        <v/>
      </c>
      <c r="AZ1431" s="35" t="str">
        <f aca="false">IF($B1431="","",AP1431+AT1431/2)</f>
        <v/>
      </c>
      <c r="BA1431" s="35" t="str">
        <f aca="false">IF($B1431="","",AK1431+AN1431+AM1431/2+AO1431+AP1431+AQ1431+AR1431+AS1431+AT1431+AU1431+AV1431+AW1431)</f>
        <v/>
      </c>
      <c r="BB1431" s="35" t="str">
        <f aca="false">IF($B1431="","",MAX(0,AN1431-Settings!$C$16)*Settings!$C$17)</f>
        <v/>
      </c>
      <c r="BC1431" s="35" t="str">
        <f aca="false">IF($B1431="","",BA1431-BB1431)</f>
        <v/>
      </c>
      <c r="BD1431" s="35" t="str">
        <f aca="false">IF(OR($B1431="",$A1431=""),"",DAY(EOMONTH($A1431,0))-COUNTA($F1431:$AJ1431))</f>
        <v/>
      </c>
    </row>
    <row r="1432" customFormat="false" ht="15" hidden="false" customHeight="false" outlineLevel="0" collapsed="false">
      <c r="A1432" s="32"/>
      <c r="B1432" s="29"/>
      <c r="C1432" s="10" t="str">
        <f aca="false">IF($B1432="","",IFERROR(INDEX(M_name,MATCH($B1432,M_emp,0)),"Code not found"))</f>
        <v/>
      </c>
      <c r="D1432" s="10" t="str">
        <f aca="false">IF($B1432="","",IFERROR(INDEX(M_dept,MATCH($B1432,M_emp,0)),""))</f>
        <v/>
      </c>
      <c r="E1432" s="10" t="str">
        <f aca="false">IF($B1432="","",IFERROR(INDEX(M_loc,MATCH($B1432,M_emp,0)),""))</f>
        <v/>
      </c>
      <c r="F1432" s="33"/>
      <c r="G1432" s="33"/>
      <c r="H1432" s="33"/>
      <c r="I1432" s="33"/>
      <c r="J1432" s="33"/>
      <c r="K1432" s="33"/>
      <c r="L1432" s="33"/>
      <c r="M1432" s="33"/>
      <c r="N1432" s="33"/>
      <c r="O1432" s="33"/>
      <c r="P1432" s="33"/>
      <c r="Q1432" s="33"/>
      <c r="R1432" s="33"/>
      <c r="S1432" s="33"/>
      <c r="T1432" s="33"/>
      <c r="U1432" s="33"/>
      <c r="V1432" s="33"/>
      <c r="W1432" s="33"/>
      <c r="X1432" s="33"/>
      <c r="Y1432" s="33"/>
      <c r="Z1432" s="33"/>
      <c r="AA1432" s="33"/>
      <c r="AB1432" s="33"/>
      <c r="AC1432" s="33"/>
      <c r="AD1432" s="33"/>
      <c r="AE1432" s="33"/>
      <c r="AF1432" s="33"/>
      <c r="AG1432" s="33"/>
      <c r="AH1432" s="33"/>
      <c r="AI1432" s="33"/>
      <c r="AJ1432" s="33"/>
      <c r="AK1432" s="34" t="str">
        <f aca="false">IF($B1432="","",COUNTIF($F1432:$AJ1432,"P"))</f>
        <v/>
      </c>
      <c r="AL1432" s="34" t="str">
        <f aca="false">IF($B1432="","",COUNTIF($F1432:$AJ1432,"A"))</f>
        <v/>
      </c>
      <c r="AM1432" s="34" t="str">
        <f aca="false">IF($B1432="","",COUNTIF($F1432:$AJ1432,"HA"))</f>
        <v/>
      </c>
      <c r="AN1432" s="34" t="str">
        <f aca="false">IF($B1432="","",COUNTIF($F1432:$AJ1432,"L"))</f>
        <v/>
      </c>
      <c r="AO1432" s="34" t="str">
        <f aca="false">IF($B1432="","",COUNTIF($F1432:$AJ1432,"PL"))</f>
        <v/>
      </c>
      <c r="AP1432" s="34" t="str">
        <f aca="false">IF($B1432="","",COUNTIF($F1432:$AJ1432,"CL"))</f>
        <v/>
      </c>
      <c r="AQ1432" s="34" t="str">
        <f aca="false">IF($B1432="","",COUNTIF($F1432:$AJ1432,"SL"))</f>
        <v/>
      </c>
      <c r="AR1432" s="34" t="str">
        <f aca="false">IF($B1432="","",COUNTIF($F1432:$AJ1432,"CO"))</f>
        <v/>
      </c>
      <c r="AS1432" s="34" t="str">
        <f aca="false">IF($B1432="","",COUNTIF($F1432:$AJ1432,"HPL"))</f>
        <v/>
      </c>
      <c r="AT1432" s="34" t="str">
        <f aca="false">IF($B1432="","",COUNTIF($F1432:$AJ1432,"HCL"))</f>
        <v/>
      </c>
      <c r="AU1432" s="34" t="str">
        <f aca="false">IF($B1432="","",COUNTIF($F1432:$AJ1432,"WO"))</f>
        <v/>
      </c>
      <c r="AV1432" s="34" t="str">
        <f aca="false">IF($B1432="","",COUNTIF($F1432:$AJ1432,"PH"))</f>
        <v/>
      </c>
      <c r="AW1432" s="34" t="str">
        <f aca="false">IF($B1432="","",COUNTIF($F1432:$AJ1432,"TR"))</f>
        <v/>
      </c>
      <c r="AX1432" s="35" t="str">
        <f aca="false">IF($B1432="","",AO1432+AS1432/2)</f>
        <v/>
      </c>
      <c r="AY1432" s="35" t="str">
        <f aca="false">IF($B1432="","",AQ1432)</f>
        <v/>
      </c>
      <c r="AZ1432" s="35" t="str">
        <f aca="false">IF($B1432="","",AP1432+AT1432/2)</f>
        <v/>
      </c>
      <c r="BA1432" s="35" t="str">
        <f aca="false">IF($B1432="","",AK1432+AN1432+AM1432/2+AO1432+AP1432+AQ1432+AR1432+AS1432+AT1432+AU1432+AV1432+AW1432)</f>
        <v/>
      </c>
      <c r="BB1432" s="35" t="str">
        <f aca="false">IF($B1432="","",MAX(0,AN1432-Settings!$C$16)*Settings!$C$17)</f>
        <v/>
      </c>
      <c r="BC1432" s="35" t="str">
        <f aca="false">IF($B1432="","",BA1432-BB1432)</f>
        <v/>
      </c>
      <c r="BD1432" s="35" t="str">
        <f aca="false">IF(OR($B1432="",$A1432=""),"",DAY(EOMONTH($A1432,0))-COUNTA($F1432:$AJ1432))</f>
        <v/>
      </c>
    </row>
    <row r="1433" customFormat="false" ht="15" hidden="false" customHeight="false" outlineLevel="0" collapsed="false">
      <c r="A1433" s="32"/>
      <c r="B1433" s="29"/>
      <c r="C1433" s="10" t="str">
        <f aca="false">IF($B1433="","",IFERROR(INDEX(M_name,MATCH($B1433,M_emp,0)),"Code not found"))</f>
        <v/>
      </c>
      <c r="D1433" s="10" t="str">
        <f aca="false">IF($B1433="","",IFERROR(INDEX(M_dept,MATCH($B1433,M_emp,0)),""))</f>
        <v/>
      </c>
      <c r="E1433" s="10" t="str">
        <f aca="false">IF($B1433="","",IFERROR(INDEX(M_loc,MATCH($B1433,M_emp,0)),""))</f>
        <v/>
      </c>
      <c r="F1433" s="33"/>
      <c r="G1433" s="33"/>
      <c r="H1433" s="33"/>
      <c r="I1433" s="33"/>
      <c r="J1433" s="33"/>
      <c r="K1433" s="33"/>
      <c r="L1433" s="33"/>
      <c r="M1433" s="33"/>
      <c r="N1433" s="33"/>
      <c r="O1433" s="33"/>
      <c r="P1433" s="33"/>
      <c r="Q1433" s="33"/>
      <c r="R1433" s="33"/>
      <c r="S1433" s="33"/>
      <c r="T1433" s="33"/>
      <c r="U1433" s="33"/>
      <c r="V1433" s="33"/>
      <c r="W1433" s="33"/>
      <c r="X1433" s="33"/>
      <c r="Y1433" s="33"/>
      <c r="Z1433" s="33"/>
      <c r="AA1433" s="33"/>
      <c r="AB1433" s="33"/>
      <c r="AC1433" s="33"/>
      <c r="AD1433" s="33"/>
      <c r="AE1433" s="33"/>
      <c r="AF1433" s="33"/>
      <c r="AG1433" s="33"/>
      <c r="AH1433" s="33"/>
      <c r="AI1433" s="33"/>
      <c r="AJ1433" s="33"/>
      <c r="AK1433" s="34" t="str">
        <f aca="false">IF($B1433="","",COUNTIF($F1433:$AJ1433,"P"))</f>
        <v/>
      </c>
      <c r="AL1433" s="34" t="str">
        <f aca="false">IF($B1433="","",COUNTIF($F1433:$AJ1433,"A"))</f>
        <v/>
      </c>
      <c r="AM1433" s="34" t="str">
        <f aca="false">IF($B1433="","",COUNTIF($F1433:$AJ1433,"HA"))</f>
        <v/>
      </c>
      <c r="AN1433" s="34" t="str">
        <f aca="false">IF($B1433="","",COUNTIF($F1433:$AJ1433,"L"))</f>
        <v/>
      </c>
      <c r="AO1433" s="34" t="str">
        <f aca="false">IF($B1433="","",COUNTIF($F1433:$AJ1433,"PL"))</f>
        <v/>
      </c>
      <c r="AP1433" s="34" t="str">
        <f aca="false">IF($B1433="","",COUNTIF($F1433:$AJ1433,"CL"))</f>
        <v/>
      </c>
      <c r="AQ1433" s="34" t="str">
        <f aca="false">IF($B1433="","",COUNTIF($F1433:$AJ1433,"SL"))</f>
        <v/>
      </c>
      <c r="AR1433" s="34" t="str">
        <f aca="false">IF($B1433="","",COUNTIF($F1433:$AJ1433,"CO"))</f>
        <v/>
      </c>
      <c r="AS1433" s="34" t="str">
        <f aca="false">IF($B1433="","",COUNTIF($F1433:$AJ1433,"HPL"))</f>
        <v/>
      </c>
      <c r="AT1433" s="34" t="str">
        <f aca="false">IF($B1433="","",COUNTIF($F1433:$AJ1433,"HCL"))</f>
        <v/>
      </c>
      <c r="AU1433" s="34" t="str">
        <f aca="false">IF($B1433="","",COUNTIF($F1433:$AJ1433,"WO"))</f>
        <v/>
      </c>
      <c r="AV1433" s="34" t="str">
        <f aca="false">IF($B1433="","",COUNTIF($F1433:$AJ1433,"PH"))</f>
        <v/>
      </c>
      <c r="AW1433" s="34" t="str">
        <f aca="false">IF($B1433="","",COUNTIF($F1433:$AJ1433,"TR"))</f>
        <v/>
      </c>
      <c r="AX1433" s="35" t="str">
        <f aca="false">IF($B1433="","",AO1433+AS1433/2)</f>
        <v/>
      </c>
      <c r="AY1433" s="35" t="str">
        <f aca="false">IF($B1433="","",AQ1433)</f>
        <v/>
      </c>
      <c r="AZ1433" s="35" t="str">
        <f aca="false">IF($B1433="","",AP1433+AT1433/2)</f>
        <v/>
      </c>
      <c r="BA1433" s="35" t="str">
        <f aca="false">IF($B1433="","",AK1433+AN1433+AM1433/2+AO1433+AP1433+AQ1433+AR1433+AS1433+AT1433+AU1433+AV1433+AW1433)</f>
        <v/>
      </c>
      <c r="BB1433" s="35" t="str">
        <f aca="false">IF($B1433="","",MAX(0,AN1433-Settings!$C$16)*Settings!$C$17)</f>
        <v/>
      </c>
      <c r="BC1433" s="35" t="str">
        <f aca="false">IF($B1433="","",BA1433-BB1433)</f>
        <v/>
      </c>
      <c r="BD1433" s="35" t="str">
        <f aca="false">IF(OR($B1433="",$A1433=""),"",DAY(EOMONTH($A1433,0))-COUNTA($F1433:$AJ1433))</f>
        <v/>
      </c>
    </row>
    <row r="1434" customFormat="false" ht="15" hidden="false" customHeight="false" outlineLevel="0" collapsed="false">
      <c r="A1434" s="32"/>
      <c r="B1434" s="29"/>
      <c r="C1434" s="10" t="str">
        <f aca="false">IF($B1434="","",IFERROR(INDEX(M_name,MATCH($B1434,M_emp,0)),"Code not found"))</f>
        <v/>
      </c>
      <c r="D1434" s="10" t="str">
        <f aca="false">IF($B1434="","",IFERROR(INDEX(M_dept,MATCH($B1434,M_emp,0)),""))</f>
        <v/>
      </c>
      <c r="E1434" s="10" t="str">
        <f aca="false">IF($B1434="","",IFERROR(INDEX(M_loc,MATCH($B1434,M_emp,0)),""))</f>
        <v/>
      </c>
      <c r="F1434" s="33"/>
      <c r="G1434" s="33"/>
      <c r="H1434" s="33"/>
      <c r="I1434" s="33"/>
      <c r="J1434" s="33"/>
      <c r="K1434" s="33"/>
      <c r="L1434" s="33"/>
      <c r="M1434" s="33"/>
      <c r="N1434" s="33"/>
      <c r="O1434" s="33"/>
      <c r="P1434" s="33"/>
      <c r="Q1434" s="33"/>
      <c r="R1434" s="33"/>
      <c r="S1434" s="33"/>
      <c r="T1434" s="33"/>
      <c r="U1434" s="33"/>
      <c r="V1434" s="33"/>
      <c r="W1434" s="33"/>
      <c r="X1434" s="33"/>
      <c r="Y1434" s="33"/>
      <c r="Z1434" s="33"/>
      <c r="AA1434" s="33"/>
      <c r="AB1434" s="33"/>
      <c r="AC1434" s="33"/>
      <c r="AD1434" s="33"/>
      <c r="AE1434" s="33"/>
      <c r="AF1434" s="33"/>
      <c r="AG1434" s="33"/>
      <c r="AH1434" s="33"/>
      <c r="AI1434" s="33"/>
      <c r="AJ1434" s="33"/>
      <c r="AK1434" s="34" t="str">
        <f aca="false">IF($B1434="","",COUNTIF($F1434:$AJ1434,"P"))</f>
        <v/>
      </c>
      <c r="AL1434" s="34" t="str">
        <f aca="false">IF($B1434="","",COUNTIF($F1434:$AJ1434,"A"))</f>
        <v/>
      </c>
      <c r="AM1434" s="34" t="str">
        <f aca="false">IF($B1434="","",COUNTIF($F1434:$AJ1434,"HA"))</f>
        <v/>
      </c>
      <c r="AN1434" s="34" t="str">
        <f aca="false">IF($B1434="","",COUNTIF($F1434:$AJ1434,"L"))</f>
        <v/>
      </c>
      <c r="AO1434" s="34" t="str">
        <f aca="false">IF($B1434="","",COUNTIF($F1434:$AJ1434,"PL"))</f>
        <v/>
      </c>
      <c r="AP1434" s="34" t="str">
        <f aca="false">IF($B1434="","",COUNTIF($F1434:$AJ1434,"CL"))</f>
        <v/>
      </c>
      <c r="AQ1434" s="34" t="str">
        <f aca="false">IF($B1434="","",COUNTIF($F1434:$AJ1434,"SL"))</f>
        <v/>
      </c>
      <c r="AR1434" s="34" t="str">
        <f aca="false">IF($B1434="","",COUNTIF($F1434:$AJ1434,"CO"))</f>
        <v/>
      </c>
      <c r="AS1434" s="34" t="str">
        <f aca="false">IF($B1434="","",COUNTIF($F1434:$AJ1434,"HPL"))</f>
        <v/>
      </c>
      <c r="AT1434" s="34" t="str">
        <f aca="false">IF($B1434="","",COUNTIF($F1434:$AJ1434,"HCL"))</f>
        <v/>
      </c>
      <c r="AU1434" s="34" t="str">
        <f aca="false">IF($B1434="","",COUNTIF($F1434:$AJ1434,"WO"))</f>
        <v/>
      </c>
      <c r="AV1434" s="34" t="str">
        <f aca="false">IF($B1434="","",COUNTIF($F1434:$AJ1434,"PH"))</f>
        <v/>
      </c>
      <c r="AW1434" s="34" t="str">
        <f aca="false">IF($B1434="","",COUNTIF($F1434:$AJ1434,"TR"))</f>
        <v/>
      </c>
      <c r="AX1434" s="35" t="str">
        <f aca="false">IF($B1434="","",AO1434+AS1434/2)</f>
        <v/>
      </c>
      <c r="AY1434" s="35" t="str">
        <f aca="false">IF($B1434="","",AQ1434)</f>
        <v/>
      </c>
      <c r="AZ1434" s="35" t="str">
        <f aca="false">IF($B1434="","",AP1434+AT1434/2)</f>
        <v/>
      </c>
      <c r="BA1434" s="35" t="str">
        <f aca="false">IF($B1434="","",AK1434+AN1434+AM1434/2+AO1434+AP1434+AQ1434+AR1434+AS1434+AT1434+AU1434+AV1434+AW1434)</f>
        <v/>
      </c>
      <c r="BB1434" s="35" t="str">
        <f aca="false">IF($B1434="","",MAX(0,AN1434-Settings!$C$16)*Settings!$C$17)</f>
        <v/>
      </c>
      <c r="BC1434" s="35" t="str">
        <f aca="false">IF($B1434="","",BA1434-BB1434)</f>
        <v/>
      </c>
      <c r="BD1434" s="35" t="str">
        <f aca="false">IF(OR($B1434="",$A1434=""),"",DAY(EOMONTH($A1434,0))-COUNTA($F1434:$AJ1434))</f>
        <v/>
      </c>
    </row>
    <row r="1435" customFormat="false" ht="15" hidden="false" customHeight="false" outlineLevel="0" collapsed="false">
      <c r="A1435" s="32"/>
      <c r="B1435" s="29"/>
      <c r="C1435" s="10" t="str">
        <f aca="false">IF($B1435="","",IFERROR(INDEX(M_name,MATCH($B1435,M_emp,0)),"Code not found"))</f>
        <v/>
      </c>
      <c r="D1435" s="10" t="str">
        <f aca="false">IF($B1435="","",IFERROR(INDEX(M_dept,MATCH($B1435,M_emp,0)),""))</f>
        <v/>
      </c>
      <c r="E1435" s="10" t="str">
        <f aca="false">IF($B1435="","",IFERROR(INDEX(M_loc,MATCH($B1435,M_emp,0)),""))</f>
        <v/>
      </c>
      <c r="F1435" s="33"/>
      <c r="G1435" s="33"/>
      <c r="H1435" s="33"/>
      <c r="I1435" s="33"/>
      <c r="J1435" s="33"/>
      <c r="K1435" s="33"/>
      <c r="L1435" s="33"/>
      <c r="M1435" s="33"/>
      <c r="N1435" s="33"/>
      <c r="O1435" s="33"/>
      <c r="P1435" s="33"/>
      <c r="Q1435" s="33"/>
      <c r="R1435" s="33"/>
      <c r="S1435" s="33"/>
      <c r="T1435" s="33"/>
      <c r="U1435" s="33"/>
      <c r="V1435" s="33"/>
      <c r="W1435" s="33"/>
      <c r="X1435" s="33"/>
      <c r="Y1435" s="33"/>
      <c r="Z1435" s="33"/>
      <c r="AA1435" s="33"/>
      <c r="AB1435" s="33"/>
      <c r="AC1435" s="33"/>
      <c r="AD1435" s="33"/>
      <c r="AE1435" s="33"/>
      <c r="AF1435" s="33"/>
      <c r="AG1435" s="33"/>
      <c r="AH1435" s="33"/>
      <c r="AI1435" s="33"/>
      <c r="AJ1435" s="33"/>
      <c r="AK1435" s="34" t="str">
        <f aca="false">IF($B1435="","",COUNTIF($F1435:$AJ1435,"P"))</f>
        <v/>
      </c>
      <c r="AL1435" s="34" t="str">
        <f aca="false">IF($B1435="","",COUNTIF($F1435:$AJ1435,"A"))</f>
        <v/>
      </c>
      <c r="AM1435" s="34" t="str">
        <f aca="false">IF($B1435="","",COUNTIF($F1435:$AJ1435,"HA"))</f>
        <v/>
      </c>
      <c r="AN1435" s="34" t="str">
        <f aca="false">IF($B1435="","",COUNTIF($F1435:$AJ1435,"L"))</f>
        <v/>
      </c>
      <c r="AO1435" s="34" t="str">
        <f aca="false">IF($B1435="","",COUNTIF($F1435:$AJ1435,"PL"))</f>
        <v/>
      </c>
      <c r="AP1435" s="34" t="str">
        <f aca="false">IF($B1435="","",COUNTIF($F1435:$AJ1435,"CL"))</f>
        <v/>
      </c>
      <c r="AQ1435" s="34" t="str">
        <f aca="false">IF($B1435="","",COUNTIF($F1435:$AJ1435,"SL"))</f>
        <v/>
      </c>
      <c r="AR1435" s="34" t="str">
        <f aca="false">IF($B1435="","",COUNTIF($F1435:$AJ1435,"CO"))</f>
        <v/>
      </c>
      <c r="AS1435" s="34" t="str">
        <f aca="false">IF($B1435="","",COUNTIF($F1435:$AJ1435,"HPL"))</f>
        <v/>
      </c>
      <c r="AT1435" s="34" t="str">
        <f aca="false">IF($B1435="","",COUNTIF($F1435:$AJ1435,"HCL"))</f>
        <v/>
      </c>
      <c r="AU1435" s="34" t="str">
        <f aca="false">IF($B1435="","",COUNTIF($F1435:$AJ1435,"WO"))</f>
        <v/>
      </c>
      <c r="AV1435" s="34" t="str">
        <f aca="false">IF($B1435="","",COUNTIF($F1435:$AJ1435,"PH"))</f>
        <v/>
      </c>
      <c r="AW1435" s="34" t="str">
        <f aca="false">IF($B1435="","",COUNTIF($F1435:$AJ1435,"TR"))</f>
        <v/>
      </c>
      <c r="AX1435" s="35" t="str">
        <f aca="false">IF($B1435="","",AO1435+AS1435/2)</f>
        <v/>
      </c>
      <c r="AY1435" s="35" t="str">
        <f aca="false">IF($B1435="","",AQ1435)</f>
        <v/>
      </c>
      <c r="AZ1435" s="35" t="str">
        <f aca="false">IF($B1435="","",AP1435+AT1435/2)</f>
        <v/>
      </c>
      <c r="BA1435" s="35" t="str">
        <f aca="false">IF($B1435="","",AK1435+AN1435+AM1435/2+AO1435+AP1435+AQ1435+AR1435+AS1435+AT1435+AU1435+AV1435+AW1435)</f>
        <v/>
      </c>
      <c r="BB1435" s="35" t="str">
        <f aca="false">IF($B1435="","",MAX(0,AN1435-Settings!$C$16)*Settings!$C$17)</f>
        <v/>
      </c>
      <c r="BC1435" s="35" t="str">
        <f aca="false">IF($B1435="","",BA1435-BB1435)</f>
        <v/>
      </c>
      <c r="BD1435" s="35" t="str">
        <f aca="false">IF(OR($B1435="",$A1435=""),"",DAY(EOMONTH($A1435,0))-COUNTA($F1435:$AJ1435))</f>
        <v/>
      </c>
    </row>
    <row r="1436" customFormat="false" ht="15" hidden="false" customHeight="false" outlineLevel="0" collapsed="false">
      <c r="A1436" s="32"/>
      <c r="B1436" s="29"/>
      <c r="C1436" s="10" t="str">
        <f aca="false">IF($B1436="","",IFERROR(INDEX(M_name,MATCH($B1436,M_emp,0)),"Code not found"))</f>
        <v/>
      </c>
      <c r="D1436" s="10" t="str">
        <f aca="false">IF($B1436="","",IFERROR(INDEX(M_dept,MATCH($B1436,M_emp,0)),""))</f>
        <v/>
      </c>
      <c r="E1436" s="10" t="str">
        <f aca="false">IF($B1436="","",IFERROR(INDEX(M_loc,MATCH($B1436,M_emp,0)),""))</f>
        <v/>
      </c>
      <c r="F1436" s="33"/>
      <c r="G1436" s="33"/>
      <c r="H1436" s="33"/>
      <c r="I1436" s="33"/>
      <c r="J1436" s="33"/>
      <c r="K1436" s="33"/>
      <c r="L1436" s="33"/>
      <c r="M1436" s="33"/>
      <c r="N1436" s="33"/>
      <c r="O1436" s="33"/>
      <c r="P1436" s="33"/>
      <c r="Q1436" s="33"/>
      <c r="R1436" s="33"/>
      <c r="S1436" s="33"/>
      <c r="T1436" s="33"/>
      <c r="U1436" s="33"/>
      <c r="V1436" s="33"/>
      <c r="W1436" s="33"/>
      <c r="X1436" s="33"/>
      <c r="Y1436" s="33"/>
      <c r="Z1436" s="33"/>
      <c r="AA1436" s="33"/>
      <c r="AB1436" s="33"/>
      <c r="AC1436" s="33"/>
      <c r="AD1436" s="33"/>
      <c r="AE1436" s="33"/>
      <c r="AF1436" s="33"/>
      <c r="AG1436" s="33"/>
      <c r="AH1436" s="33"/>
      <c r="AI1436" s="33"/>
      <c r="AJ1436" s="33"/>
      <c r="AK1436" s="34" t="str">
        <f aca="false">IF($B1436="","",COUNTIF($F1436:$AJ1436,"P"))</f>
        <v/>
      </c>
      <c r="AL1436" s="34" t="str">
        <f aca="false">IF($B1436="","",COUNTIF($F1436:$AJ1436,"A"))</f>
        <v/>
      </c>
      <c r="AM1436" s="34" t="str">
        <f aca="false">IF($B1436="","",COUNTIF($F1436:$AJ1436,"HA"))</f>
        <v/>
      </c>
      <c r="AN1436" s="34" t="str">
        <f aca="false">IF($B1436="","",COUNTIF($F1436:$AJ1436,"L"))</f>
        <v/>
      </c>
      <c r="AO1436" s="34" t="str">
        <f aca="false">IF($B1436="","",COUNTIF($F1436:$AJ1436,"PL"))</f>
        <v/>
      </c>
      <c r="AP1436" s="34" t="str">
        <f aca="false">IF($B1436="","",COUNTIF($F1436:$AJ1436,"CL"))</f>
        <v/>
      </c>
      <c r="AQ1436" s="34" t="str">
        <f aca="false">IF($B1436="","",COUNTIF($F1436:$AJ1436,"SL"))</f>
        <v/>
      </c>
      <c r="AR1436" s="34" t="str">
        <f aca="false">IF($B1436="","",COUNTIF($F1436:$AJ1436,"CO"))</f>
        <v/>
      </c>
      <c r="AS1436" s="34" t="str">
        <f aca="false">IF($B1436="","",COUNTIF($F1436:$AJ1436,"HPL"))</f>
        <v/>
      </c>
      <c r="AT1436" s="34" t="str">
        <f aca="false">IF($B1436="","",COUNTIF($F1436:$AJ1436,"HCL"))</f>
        <v/>
      </c>
      <c r="AU1436" s="34" t="str">
        <f aca="false">IF($B1436="","",COUNTIF($F1436:$AJ1436,"WO"))</f>
        <v/>
      </c>
      <c r="AV1436" s="34" t="str">
        <f aca="false">IF($B1436="","",COUNTIF($F1436:$AJ1436,"PH"))</f>
        <v/>
      </c>
      <c r="AW1436" s="34" t="str">
        <f aca="false">IF($B1436="","",COUNTIF($F1436:$AJ1436,"TR"))</f>
        <v/>
      </c>
      <c r="AX1436" s="35" t="str">
        <f aca="false">IF($B1436="","",AO1436+AS1436/2)</f>
        <v/>
      </c>
      <c r="AY1436" s="35" t="str">
        <f aca="false">IF($B1436="","",AQ1436)</f>
        <v/>
      </c>
      <c r="AZ1436" s="35" t="str">
        <f aca="false">IF($B1436="","",AP1436+AT1436/2)</f>
        <v/>
      </c>
      <c r="BA1436" s="35" t="str">
        <f aca="false">IF($B1436="","",AK1436+AN1436+AM1436/2+AO1436+AP1436+AQ1436+AR1436+AS1436+AT1436+AU1436+AV1436+AW1436)</f>
        <v/>
      </c>
      <c r="BB1436" s="35" t="str">
        <f aca="false">IF($B1436="","",MAX(0,AN1436-Settings!$C$16)*Settings!$C$17)</f>
        <v/>
      </c>
      <c r="BC1436" s="35" t="str">
        <f aca="false">IF($B1436="","",BA1436-BB1436)</f>
        <v/>
      </c>
      <c r="BD1436" s="35" t="str">
        <f aca="false">IF(OR($B1436="",$A1436=""),"",DAY(EOMONTH($A1436,0))-COUNTA($F1436:$AJ1436))</f>
        <v/>
      </c>
    </row>
    <row r="1437" customFormat="false" ht="15" hidden="false" customHeight="false" outlineLevel="0" collapsed="false">
      <c r="A1437" s="32"/>
      <c r="B1437" s="29"/>
      <c r="C1437" s="10" t="str">
        <f aca="false">IF($B1437="","",IFERROR(INDEX(M_name,MATCH($B1437,M_emp,0)),"Code not found"))</f>
        <v/>
      </c>
      <c r="D1437" s="10" t="str">
        <f aca="false">IF($B1437="","",IFERROR(INDEX(M_dept,MATCH($B1437,M_emp,0)),""))</f>
        <v/>
      </c>
      <c r="E1437" s="10" t="str">
        <f aca="false">IF($B1437="","",IFERROR(INDEX(M_loc,MATCH($B1437,M_emp,0)),""))</f>
        <v/>
      </c>
      <c r="F1437" s="33"/>
      <c r="G1437" s="33"/>
      <c r="H1437" s="33"/>
      <c r="I1437" s="33"/>
      <c r="J1437" s="33"/>
      <c r="K1437" s="33"/>
      <c r="L1437" s="33"/>
      <c r="M1437" s="33"/>
      <c r="N1437" s="33"/>
      <c r="O1437" s="33"/>
      <c r="P1437" s="33"/>
      <c r="Q1437" s="33"/>
      <c r="R1437" s="33"/>
      <c r="S1437" s="33"/>
      <c r="T1437" s="33"/>
      <c r="U1437" s="33"/>
      <c r="V1437" s="33"/>
      <c r="W1437" s="33"/>
      <c r="X1437" s="33"/>
      <c r="Y1437" s="33"/>
      <c r="Z1437" s="33"/>
      <c r="AA1437" s="33"/>
      <c r="AB1437" s="33"/>
      <c r="AC1437" s="33"/>
      <c r="AD1437" s="33"/>
      <c r="AE1437" s="33"/>
      <c r="AF1437" s="33"/>
      <c r="AG1437" s="33"/>
      <c r="AH1437" s="33"/>
      <c r="AI1437" s="33"/>
      <c r="AJ1437" s="33"/>
      <c r="AK1437" s="34" t="str">
        <f aca="false">IF($B1437="","",COUNTIF($F1437:$AJ1437,"P"))</f>
        <v/>
      </c>
      <c r="AL1437" s="34" t="str">
        <f aca="false">IF($B1437="","",COUNTIF($F1437:$AJ1437,"A"))</f>
        <v/>
      </c>
      <c r="AM1437" s="34" t="str">
        <f aca="false">IF($B1437="","",COUNTIF($F1437:$AJ1437,"HA"))</f>
        <v/>
      </c>
      <c r="AN1437" s="34" t="str">
        <f aca="false">IF($B1437="","",COUNTIF($F1437:$AJ1437,"L"))</f>
        <v/>
      </c>
      <c r="AO1437" s="34" t="str">
        <f aca="false">IF($B1437="","",COUNTIF($F1437:$AJ1437,"PL"))</f>
        <v/>
      </c>
      <c r="AP1437" s="34" t="str">
        <f aca="false">IF($B1437="","",COUNTIF($F1437:$AJ1437,"CL"))</f>
        <v/>
      </c>
      <c r="AQ1437" s="34" t="str">
        <f aca="false">IF($B1437="","",COUNTIF($F1437:$AJ1437,"SL"))</f>
        <v/>
      </c>
      <c r="AR1437" s="34" t="str">
        <f aca="false">IF($B1437="","",COUNTIF($F1437:$AJ1437,"CO"))</f>
        <v/>
      </c>
      <c r="AS1437" s="34" t="str">
        <f aca="false">IF($B1437="","",COUNTIF($F1437:$AJ1437,"HPL"))</f>
        <v/>
      </c>
      <c r="AT1437" s="34" t="str">
        <f aca="false">IF($B1437="","",COUNTIF($F1437:$AJ1437,"HCL"))</f>
        <v/>
      </c>
      <c r="AU1437" s="34" t="str">
        <f aca="false">IF($B1437="","",COUNTIF($F1437:$AJ1437,"WO"))</f>
        <v/>
      </c>
      <c r="AV1437" s="34" t="str">
        <f aca="false">IF($B1437="","",COUNTIF($F1437:$AJ1437,"PH"))</f>
        <v/>
      </c>
      <c r="AW1437" s="34" t="str">
        <f aca="false">IF($B1437="","",COUNTIF($F1437:$AJ1437,"TR"))</f>
        <v/>
      </c>
      <c r="AX1437" s="35" t="str">
        <f aca="false">IF($B1437="","",AO1437+AS1437/2)</f>
        <v/>
      </c>
      <c r="AY1437" s="35" t="str">
        <f aca="false">IF($B1437="","",AQ1437)</f>
        <v/>
      </c>
      <c r="AZ1437" s="35" t="str">
        <f aca="false">IF($B1437="","",AP1437+AT1437/2)</f>
        <v/>
      </c>
      <c r="BA1437" s="35" t="str">
        <f aca="false">IF($B1437="","",AK1437+AN1437+AM1437/2+AO1437+AP1437+AQ1437+AR1437+AS1437+AT1437+AU1437+AV1437+AW1437)</f>
        <v/>
      </c>
      <c r="BB1437" s="35" t="str">
        <f aca="false">IF($B1437="","",MAX(0,AN1437-Settings!$C$16)*Settings!$C$17)</f>
        <v/>
      </c>
      <c r="BC1437" s="35" t="str">
        <f aca="false">IF($B1437="","",BA1437-BB1437)</f>
        <v/>
      </c>
      <c r="BD1437" s="35" t="str">
        <f aca="false">IF(OR($B1437="",$A1437=""),"",DAY(EOMONTH($A1437,0))-COUNTA($F1437:$AJ1437))</f>
        <v/>
      </c>
    </row>
    <row r="1438" customFormat="false" ht="15" hidden="false" customHeight="false" outlineLevel="0" collapsed="false">
      <c r="A1438" s="32"/>
      <c r="B1438" s="29"/>
      <c r="C1438" s="10" t="str">
        <f aca="false">IF($B1438="","",IFERROR(INDEX(M_name,MATCH($B1438,M_emp,0)),"Code not found"))</f>
        <v/>
      </c>
      <c r="D1438" s="10" t="str">
        <f aca="false">IF($B1438="","",IFERROR(INDEX(M_dept,MATCH($B1438,M_emp,0)),""))</f>
        <v/>
      </c>
      <c r="E1438" s="10" t="str">
        <f aca="false">IF($B1438="","",IFERROR(INDEX(M_loc,MATCH($B1438,M_emp,0)),""))</f>
        <v/>
      </c>
      <c r="F1438" s="33"/>
      <c r="G1438" s="33"/>
      <c r="H1438" s="33"/>
      <c r="I1438" s="33"/>
      <c r="J1438" s="33"/>
      <c r="K1438" s="33"/>
      <c r="L1438" s="33"/>
      <c r="M1438" s="33"/>
      <c r="N1438" s="33"/>
      <c r="O1438" s="33"/>
      <c r="P1438" s="33"/>
      <c r="Q1438" s="33"/>
      <c r="R1438" s="33"/>
      <c r="S1438" s="33"/>
      <c r="T1438" s="33"/>
      <c r="U1438" s="33"/>
      <c r="V1438" s="33"/>
      <c r="W1438" s="33"/>
      <c r="X1438" s="33"/>
      <c r="Y1438" s="33"/>
      <c r="Z1438" s="33"/>
      <c r="AA1438" s="33"/>
      <c r="AB1438" s="33"/>
      <c r="AC1438" s="33"/>
      <c r="AD1438" s="33"/>
      <c r="AE1438" s="33"/>
      <c r="AF1438" s="33"/>
      <c r="AG1438" s="33"/>
      <c r="AH1438" s="33"/>
      <c r="AI1438" s="33"/>
      <c r="AJ1438" s="33"/>
      <c r="AK1438" s="34" t="str">
        <f aca="false">IF($B1438="","",COUNTIF($F1438:$AJ1438,"P"))</f>
        <v/>
      </c>
      <c r="AL1438" s="34" t="str">
        <f aca="false">IF($B1438="","",COUNTIF($F1438:$AJ1438,"A"))</f>
        <v/>
      </c>
      <c r="AM1438" s="34" t="str">
        <f aca="false">IF($B1438="","",COUNTIF($F1438:$AJ1438,"HA"))</f>
        <v/>
      </c>
      <c r="AN1438" s="34" t="str">
        <f aca="false">IF($B1438="","",COUNTIF($F1438:$AJ1438,"L"))</f>
        <v/>
      </c>
      <c r="AO1438" s="34" t="str">
        <f aca="false">IF($B1438="","",COUNTIF($F1438:$AJ1438,"PL"))</f>
        <v/>
      </c>
      <c r="AP1438" s="34" t="str">
        <f aca="false">IF($B1438="","",COUNTIF($F1438:$AJ1438,"CL"))</f>
        <v/>
      </c>
      <c r="AQ1438" s="34" t="str">
        <f aca="false">IF($B1438="","",COUNTIF($F1438:$AJ1438,"SL"))</f>
        <v/>
      </c>
      <c r="AR1438" s="34" t="str">
        <f aca="false">IF($B1438="","",COUNTIF($F1438:$AJ1438,"CO"))</f>
        <v/>
      </c>
      <c r="AS1438" s="34" t="str">
        <f aca="false">IF($B1438="","",COUNTIF($F1438:$AJ1438,"HPL"))</f>
        <v/>
      </c>
      <c r="AT1438" s="34" t="str">
        <f aca="false">IF($B1438="","",COUNTIF($F1438:$AJ1438,"HCL"))</f>
        <v/>
      </c>
      <c r="AU1438" s="34" t="str">
        <f aca="false">IF($B1438="","",COUNTIF($F1438:$AJ1438,"WO"))</f>
        <v/>
      </c>
      <c r="AV1438" s="34" t="str">
        <f aca="false">IF($B1438="","",COUNTIF($F1438:$AJ1438,"PH"))</f>
        <v/>
      </c>
      <c r="AW1438" s="34" t="str">
        <f aca="false">IF($B1438="","",COUNTIF($F1438:$AJ1438,"TR"))</f>
        <v/>
      </c>
      <c r="AX1438" s="35" t="str">
        <f aca="false">IF($B1438="","",AO1438+AS1438/2)</f>
        <v/>
      </c>
      <c r="AY1438" s="35" t="str">
        <f aca="false">IF($B1438="","",AQ1438)</f>
        <v/>
      </c>
      <c r="AZ1438" s="35" t="str">
        <f aca="false">IF($B1438="","",AP1438+AT1438/2)</f>
        <v/>
      </c>
      <c r="BA1438" s="35" t="str">
        <f aca="false">IF($B1438="","",AK1438+AN1438+AM1438/2+AO1438+AP1438+AQ1438+AR1438+AS1438+AT1438+AU1438+AV1438+AW1438)</f>
        <v/>
      </c>
      <c r="BB1438" s="35" t="str">
        <f aca="false">IF($B1438="","",MAX(0,AN1438-Settings!$C$16)*Settings!$C$17)</f>
        <v/>
      </c>
      <c r="BC1438" s="35" t="str">
        <f aca="false">IF($B1438="","",BA1438-BB1438)</f>
        <v/>
      </c>
      <c r="BD1438" s="35" t="str">
        <f aca="false">IF(OR($B1438="",$A1438=""),"",DAY(EOMONTH($A1438,0))-COUNTA($F1438:$AJ1438))</f>
        <v/>
      </c>
    </row>
    <row r="1439" customFormat="false" ht="15" hidden="false" customHeight="false" outlineLevel="0" collapsed="false">
      <c r="A1439" s="32"/>
      <c r="B1439" s="29"/>
      <c r="C1439" s="10" t="str">
        <f aca="false">IF($B1439="","",IFERROR(INDEX(M_name,MATCH($B1439,M_emp,0)),"Code not found"))</f>
        <v/>
      </c>
      <c r="D1439" s="10" t="str">
        <f aca="false">IF($B1439="","",IFERROR(INDEX(M_dept,MATCH($B1439,M_emp,0)),""))</f>
        <v/>
      </c>
      <c r="E1439" s="10" t="str">
        <f aca="false">IF($B1439="","",IFERROR(INDEX(M_loc,MATCH($B1439,M_emp,0)),""))</f>
        <v/>
      </c>
      <c r="F1439" s="33"/>
      <c r="G1439" s="33"/>
      <c r="H1439" s="33"/>
      <c r="I1439" s="33"/>
      <c r="J1439" s="33"/>
      <c r="K1439" s="33"/>
      <c r="L1439" s="33"/>
      <c r="M1439" s="33"/>
      <c r="N1439" s="33"/>
      <c r="O1439" s="33"/>
      <c r="P1439" s="33"/>
      <c r="Q1439" s="33"/>
      <c r="R1439" s="33"/>
      <c r="S1439" s="33"/>
      <c r="T1439" s="33"/>
      <c r="U1439" s="33"/>
      <c r="V1439" s="33"/>
      <c r="W1439" s="33"/>
      <c r="X1439" s="33"/>
      <c r="Y1439" s="33"/>
      <c r="Z1439" s="33"/>
      <c r="AA1439" s="33"/>
      <c r="AB1439" s="33"/>
      <c r="AC1439" s="33"/>
      <c r="AD1439" s="33"/>
      <c r="AE1439" s="33"/>
      <c r="AF1439" s="33"/>
      <c r="AG1439" s="33"/>
      <c r="AH1439" s="33"/>
      <c r="AI1439" s="33"/>
      <c r="AJ1439" s="33"/>
      <c r="AK1439" s="34" t="str">
        <f aca="false">IF($B1439="","",COUNTIF($F1439:$AJ1439,"P"))</f>
        <v/>
      </c>
      <c r="AL1439" s="34" t="str">
        <f aca="false">IF($B1439="","",COUNTIF($F1439:$AJ1439,"A"))</f>
        <v/>
      </c>
      <c r="AM1439" s="34" t="str">
        <f aca="false">IF($B1439="","",COUNTIF($F1439:$AJ1439,"HA"))</f>
        <v/>
      </c>
      <c r="AN1439" s="34" t="str">
        <f aca="false">IF($B1439="","",COUNTIF($F1439:$AJ1439,"L"))</f>
        <v/>
      </c>
      <c r="AO1439" s="34" t="str">
        <f aca="false">IF($B1439="","",COUNTIF($F1439:$AJ1439,"PL"))</f>
        <v/>
      </c>
      <c r="AP1439" s="34" t="str">
        <f aca="false">IF($B1439="","",COUNTIF($F1439:$AJ1439,"CL"))</f>
        <v/>
      </c>
      <c r="AQ1439" s="34" t="str">
        <f aca="false">IF($B1439="","",COUNTIF($F1439:$AJ1439,"SL"))</f>
        <v/>
      </c>
      <c r="AR1439" s="34" t="str">
        <f aca="false">IF($B1439="","",COUNTIF($F1439:$AJ1439,"CO"))</f>
        <v/>
      </c>
      <c r="AS1439" s="34" t="str">
        <f aca="false">IF($B1439="","",COUNTIF($F1439:$AJ1439,"HPL"))</f>
        <v/>
      </c>
      <c r="AT1439" s="34" t="str">
        <f aca="false">IF($B1439="","",COUNTIF($F1439:$AJ1439,"HCL"))</f>
        <v/>
      </c>
      <c r="AU1439" s="34" t="str">
        <f aca="false">IF($B1439="","",COUNTIF($F1439:$AJ1439,"WO"))</f>
        <v/>
      </c>
      <c r="AV1439" s="34" t="str">
        <f aca="false">IF($B1439="","",COUNTIF($F1439:$AJ1439,"PH"))</f>
        <v/>
      </c>
      <c r="AW1439" s="34" t="str">
        <f aca="false">IF($B1439="","",COUNTIF($F1439:$AJ1439,"TR"))</f>
        <v/>
      </c>
      <c r="AX1439" s="35" t="str">
        <f aca="false">IF($B1439="","",AO1439+AS1439/2)</f>
        <v/>
      </c>
      <c r="AY1439" s="35" t="str">
        <f aca="false">IF($B1439="","",AQ1439)</f>
        <v/>
      </c>
      <c r="AZ1439" s="35" t="str">
        <f aca="false">IF($B1439="","",AP1439+AT1439/2)</f>
        <v/>
      </c>
      <c r="BA1439" s="35" t="str">
        <f aca="false">IF($B1439="","",AK1439+AN1439+AM1439/2+AO1439+AP1439+AQ1439+AR1439+AS1439+AT1439+AU1439+AV1439+AW1439)</f>
        <v/>
      </c>
      <c r="BB1439" s="35" t="str">
        <f aca="false">IF($B1439="","",MAX(0,AN1439-Settings!$C$16)*Settings!$C$17)</f>
        <v/>
      </c>
      <c r="BC1439" s="35" t="str">
        <f aca="false">IF($B1439="","",BA1439-BB1439)</f>
        <v/>
      </c>
      <c r="BD1439" s="35" t="str">
        <f aca="false">IF(OR($B1439="",$A1439=""),"",DAY(EOMONTH($A1439,0))-COUNTA($F1439:$AJ1439))</f>
        <v/>
      </c>
    </row>
    <row r="1440" customFormat="false" ht="15" hidden="false" customHeight="false" outlineLevel="0" collapsed="false">
      <c r="A1440" s="32"/>
      <c r="B1440" s="29"/>
      <c r="C1440" s="10" t="str">
        <f aca="false">IF($B1440="","",IFERROR(INDEX(M_name,MATCH($B1440,M_emp,0)),"Code not found"))</f>
        <v/>
      </c>
      <c r="D1440" s="10" t="str">
        <f aca="false">IF($B1440="","",IFERROR(INDEX(M_dept,MATCH($B1440,M_emp,0)),""))</f>
        <v/>
      </c>
      <c r="E1440" s="10" t="str">
        <f aca="false">IF($B1440="","",IFERROR(INDEX(M_loc,MATCH($B1440,M_emp,0)),""))</f>
        <v/>
      </c>
      <c r="F1440" s="33"/>
      <c r="G1440" s="33"/>
      <c r="H1440" s="33"/>
      <c r="I1440" s="33"/>
      <c r="J1440" s="33"/>
      <c r="K1440" s="33"/>
      <c r="L1440" s="33"/>
      <c r="M1440" s="33"/>
      <c r="N1440" s="33"/>
      <c r="O1440" s="33"/>
      <c r="P1440" s="33"/>
      <c r="Q1440" s="33"/>
      <c r="R1440" s="33"/>
      <c r="S1440" s="33"/>
      <c r="T1440" s="33"/>
      <c r="U1440" s="33"/>
      <c r="V1440" s="33"/>
      <c r="W1440" s="33"/>
      <c r="X1440" s="33"/>
      <c r="Y1440" s="33"/>
      <c r="Z1440" s="33"/>
      <c r="AA1440" s="33"/>
      <c r="AB1440" s="33"/>
      <c r="AC1440" s="33"/>
      <c r="AD1440" s="33"/>
      <c r="AE1440" s="33"/>
      <c r="AF1440" s="33"/>
      <c r="AG1440" s="33"/>
      <c r="AH1440" s="33"/>
      <c r="AI1440" s="33"/>
      <c r="AJ1440" s="33"/>
      <c r="AK1440" s="34" t="str">
        <f aca="false">IF($B1440="","",COUNTIF($F1440:$AJ1440,"P"))</f>
        <v/>
      </c>
      <c r="AL1440" s="34" t="str">
        <f aca="false">IF($B1440="","",COUNTIF($F1440:$AJ1440,"A"))</f>
        <v/>
      </c>
      <c r="AM1440" s="34" t="str">
        <f aca="false">IF($B1440="","",COUNTIF($F1440:$AJ1440,"HA"))</f>
        <v/>
      </c>
      <c r="AN1440" s="34" t="str">
        <f aca="false">IF($B1440="","",COUNTIF($F1440:$AJ1440,"L"))</f>
        <v/>
      </c>
      <c r="AO1440" s="34" t="str">
        <f aca="false">IF($B1440="","",COUNTIF($F1440:$AJ1440,"PL"))</f>
        <v/>
      </c>
      <c r="AP1440" s="34" t="str">
        <f aca="false">IF($B1440="","",COUNTIF($F1440:$AJ1440,"CL"))</f>
        <v/>
      </c>
      <c r="AQ1440" s="34" t="str">
        <f aca="false">IF($B1440="","",COUNTIF($F1440:$AJ1440,"SL"))</f>
        <v/>
      </c>
      <c r="AR1440" s="34" t="str">
        <f aca="false">IF($B1440="","",COUNTIF($F1440:$AJ1440,"CO"))</f>
        <v/>
      </c>
      <c r="AS1440" s="34" t="str">
        <f aca="false">IF($B1440="","",COUNTIF($F1440:$AJ1440,"HPL"))</f>
        <v/>
      </c>
      <c r="AT1440" s="34" t="str">
        <f aca="false">IF($B1440="","",COUNTIF($F1440:$AJ1440,"HCL"))</f>
        <v/>
      </c>
      <c r="AU1440" s="34" t="str">
        <f aca="false">IF($B1440="","",COUNTIF($F1440:$AJ1440,"WO"))</f>
        <v/>
      </c>
      <c r="AV1440" s="34" t="str">
        <f aca="false">IF($B1440="","",COUNTIF($F1440:$AJ1440,"PH"))</f>
        <v/>
      </c>
      <c r="AW1440" s="34" t="str">
        <f aca="false">IF($B1440="","",COUNTIF($F1440:$AJ1440,"TR"))</f>
        <v/>
      </c>
      <c r="AX1440" s="35" t="str">
        <f aca="false">IF($B1440="","",AO1440+AS1440/2)</f>
        <v/>
      </c>
      <c r="AY1440" s="35" t="str">
        <f aca="false">IF($B1440="","",AQ1440)</f>
        <v/>
      </c>
      <c r="AZ1440" s="35" t="str">
        <f aca="false">IF($B1440="","",AP1440+AT1440/2)</f>
        <v/>
      </c>
      <c r="BA1440" s="35" t="str">
        <f aca="false">IF($B1440="","",AK1440+AN1440+AM1440/2+AO1440+AP1440+AQ1440+AR1440+AS1440+AT1440+AU1440+AV1440+AW1440)</f>
        <v/>
      </c>
      <c r="BB1440" s="35" t="str">
        <f aca="false">IF($B1440="","",MAX(0,AN1440-Settings!$C$16)*Settings!$C$17)</f>
        <v/>
      </c>
      <c r="BC1440" s="35" t="str">
        <f aca="false">IF($B1440="","",BA1440-BB1440)</f>
        <v/>
      </c>
      <c r="BD1440" s="35" t="str">
        <f aca="false">IF(OR($B1440="",$A1440=""),"",DAY(EOMONTH($A1440,0))-COUNTA($F1440:$AJ1440))</f>
        <v/>
      </c>
    </row>
    <row r="1441" customFormat="false" ht="15" hidden="false" customHeight="false" outlineLevel="0" collapsed="false">
      <c r="A1441" s="32"/>
      <c r="B1441" s="29"/>
      <c r="C1441" s="10" t="str">
        <f aca="false">IF($B1441="","",IFERROR(INDEX(M_name,MATCH($B1441,M_emp,0)),"Code not found"))</f>
        <v/>
      </c>
      <c r="D1441" s="10" t="str">
        <f aca="false">IF($B1441="","",IFERROR(INDEX(M_dept,MATCH($B1441,M_emp,0)),""))</f>
        <v/>
      </c>
      <c r="E1441" s="10" t="str">
        <f aca="false">IF($B1441="","",IFERROR(INDEX(M_loc,MATCH($B1441,M_emp,0)),""))</f>
        <v/>
      </c>
      <c r="F1441" s="33"/>
      <c r="G1441" s="33"/>
      <c r="H1441" s="33"/>
      <c r="I1441" s="33"/>
      <c r="J1441" s="33"/>
      <c r="K1441" s="33"/>
      <c r="L1441" s="33"/>
      <c r="M1441" s="33"/>
      <c r="N1441" s="33"/>
      <c r="O1441" s="33"/>
      <c r="P1441" s="33"/>
      <c r="Q1441" s="33"/>
      <c r="R1441" s="33"/>
      <c r="S1441" s="33"/>
      <c r="T1441" s="33"/>
      <c r="U1441" s="33"/>
      <c r="V1441" s="33"/>
      <c r="W1441" s="33"/>
      <c r="X1441" s="33"/>
      <c r="Y1441" s="33"/>
      <c r="Z1441" s="33"/>
      <c r="AA1441" s="33"/>
      <c r="AB1441" s="33"/>
      <c r="AC1441" s="33"/>
      <c r="AD1441" s="33"/>
      <c r="AE1441" s="33"/>
      <c r="AF1441" s="33"/>
      <c r="AG1441" s="33"/>
      <c r="AH1441" s="33"/>
      <c r="AI1441" s="33"/>
      <c r="AJ1441" s="33"/>
      <c r="AK1441" s="34" t="str">
        <f aca="false">IF($B1441="","",COUNTIF($F1441:$AJ1441,"P"))</f>
        <v/>
      </c>
      <c r="AL1441" s="34" t="str">
        <f aca="false">IF($B1441="","",COUNTIF($F1441:$AJ1441,"A"))</f>
        <v/>
      </c>
      <c r="AM1441" s="34" t="str">
        <f aca="false">IF($B1441="","",COUNTIF($F1441:$AJ1441,"HA"))</f>
        <v/>
      </c>
      <c r="AN1441" s="34" t="str">
        <f aca="false">IF($B1441="","",COUNTIF($F1441:$AJ1441,"L"))</f>
        <v/>
      </c>
      <c r="AO1441" s="34" t="str">
        <f aca="false">IF($B1441="","",COUNTIF($F1441:$AJ1441,"PL"))</f>
        <v/>
      </c>
      <c r="AP1441" s="34" t="str">
        <f aca="false">IF($B1441="","",COUNTIF($F1441:$AJ1441,"CL"))</f>
        <v/>
      </c>
      <c r="AQ1441" s="34" t="str">
        <f aca="false">IF($B1441="","",COUNTIF($F1441:$AJ1441,"SL"))</f>
        <v/>
      </c>
      <c r="AR1441" s="34" t="str">
        <f aca="false">IF($B1441="","",COUNTIF($F1441:$AJ1441,"CO"))</f>
        <v/>
      </c>
      <c r="AS1441" s="34" t="str">
        <f aca="false">IF($B1441="","",COUNTIF($F1441:$AJ1441,"HPL"))</f>
        <v/>
      </c>
      <c r="AT1441" s="34" t="str">
        <f aca="false">IF($B1441="","",COUNTIF($F1441:$AJ1441,"HCL"))</f>
        <v/>
      </c>
      <c r="AU1441" s="34" t="str">
        <f aca="false">IF($B1441="","",COUNTIF($F1441:$AJ1441,"WO"))</f>
        <v/>
      </c>
      <c r="AV1441" s="34" t="str">
        <f aca="false">IF($B1441="","",COUNTIF($F1441:$AJ1441,"PH"))</f>
        <v/>
      </c>
      <c r="AW1441" s="34" t="str">
        <f aca="false">IF($B1441="","",COUNTIF($F1441:$AJ1441,"TR"))</f>
        <v/>
      </c>
      <c r="AX1441" s="35" t="str">
        <f aca="false">IF($B1441="","",AO1441+AS1441/2)</f>
        <v/>
      </c>
      <c r="AY1441" s="35" t="str">
        <f aca="false">IF($B1441="","",AQ1441)</f>
        <v/>
      </c>
      <c r="AZ1441" s="35" t="str">
        <f aca="false">IF($B1441="","",AP1441+AT1441/2)</f>
        <v/>
      </c>
      <c r="BA1441" s="35" t="str">
        <f aca="false">IF($B1441="","",AK1441+AN1441+AM1441/2+AO1441+AP1441+AQ1441+AR1441+AS1441+AT1441+AU1441+AV1441+AW1441)</f>
        <v/>
      </c>
      <c r="BB1441" s="35" t="str">
        <f aca="false">IF($B1441="","",MAX(0,AN1441-Settings!$C$16)*Settings!$C$17)</f>
        <v/>
      </c>
      <c r="BC1441" s="35" t="str">
        <f aca="false">IF($B1441="","",BA1441-BB1441)</f>
        <v/>
      </c>
      <c r="BD1441" s="35" t="str">
        <f aca="false">IF(OR($B1441="",$A1441=""),"",DAY(EOMONTH($A1441,0))-COUNTA($F1441:$AJ1441))</f>
        <v/>
      </c>
    </row>
    <row r="1442" customFormat="false" ht="15" hidden="false" customHeight="false" outlineLevel="0" collapsed="false">
      <c r="A1442" s="32"/>
      <c r="B1442" s="29"/>
      <c r="C1442" s="10" t="str">
        <f aca="false">IF($B1442="","",IFERROR(INDEX(M_name,MATCH($B1442,M_emp,0)),"Code not found"))</f>
        <v/>
      </c>
      <c r="D1442" s="10" t="str">
        <f aca="false">IF($B1442="","",IFERROR(INDEX(M_dept,MATCH($B1442,M_emp,0)),""))</f>
        <v/>
      </c>
      <c r="E1442" s="10" t="str">
        <f aca="false">IF($B1442="","",IFERROR(INDEX(M_loc,MATCH($B1442,M_emp,0)),""))</f>
        <v/>
      </c>
      <c r="F1442" s="33"/>
      <c r="G1442" s="33"/>
      <c r="H1442" s="33"/>
      <c r="I1442" s="33"/>
      <c r="J1442" s="33"/>
      <c r="K1442" s="33"/>
      <c r="L1442" s="33"/>
      <c r="M1442" s="33"/>
      <c r="N1442" s="33"/>
      <c r="O1442" s="33"/>
      <c r="P1442" s="33"/>
      <c r="Q1442" s="33"/>
      <c r="R1442" s="33"/>
      <c r="S1442" s="33"/>
      <c r="T1442" s="33"/>
      <c r="U1442" s="33"/>
      <c r="V1442" s="33"/>
      <c r="W1442" s="33"/>
      <c r="X1442" s="33"/>
      <c r="Y1442" s="33"/>
      <c r="Z1442" s="33"/>
      <c r="AA1442" s="33"/>
      <c r="AB1442" s="33"/>
      <c r="AC1442" s="33"/>
      <c r="AD1442" s="33"/>
      <c r="AE1442" s="33"/>
      <c r="AF1442" s="33"/>
      <c r="AG1442" s="33"/>
      <c r="AH1442" s="33"/>
      <c r="AI1442" s="33"/>
      <c r="AJ1442" s="33"/>
      <c r="AK1442" s="34" t="str">
        <f aca="false">IF($B1442="","",COUNTIF($F1442:$AJ1442,"P"))</f>
        <v/>
      </c>
      <c r="AL1442" s="34" t="str">
        <f aca="false">IF($B1442="","",COUNTIF($F1442:$AJ1442,"A"))</f>
        <v/>
      </c>
      <c r="AM1442" s="34" t="str">
        <f aca="false">IF($B1442="","",COUNTIF($F1442:$AJ1442,"HA"))</f>
        <v/>
      </c>
      <c r="AN1442" s="34" t="str">
        <f aca="false">IF($B1442="","",COUNTIF($F1442:$AJ1442,"L"))</f>
        <v/>
      </c>
      <c r="AO1442" s="34" t="str">
        <f aca="false">IF($B1442="","",COUNTIF($F1442:$AJ1442,"PL"))</f>
        <v/>
      </c>
      <c r="AP1442" s="34" t="str">
        <f aca="false">IF($B1442="","",COUNTIF($F1442:$AJ1442,"CL"))</f>
        <v/>
      </c>
      <c r="AQ1442" s="34" t="str">
        <f aca="false">IF($B1442="","",COUNTIF($F1442:$AJ1442,"SL"))</f>
        <v/>
      </c>
      <c r="AR1442" s="34" t="str">
        <f aca="false">IF($B1442="","",COUNTIF($F1442:$AJ1442,"CO"))</f>
        <v/>
      </c>
      <c r="AS1442" s="34" t="str">
        <f aca="false">IF($B1442="","",COUNTIF($F1442:$AJ1442,"HPL"))</f>
        <v/>
      </c>
      <c r="AT1442" s="34" t="str">
        <f aca="false">IF($B1442="","",COUNTIF($F1442:$AJ1442,"HCL"))</f>
        <v/>
      </c>
      <c r="AU1442" s="34" t="str">
        <f aca="false">IF($B1442="","",COUNTIF($F1442:$AJ1442,"WO"))</f>
        <v/>
      </c>
      <c r="AV1442" s="34" t="str">
        <f aca="false">IF($B1442="","",COUNTIF($F1442:$AJ1442,"PH"))</f>
        <v/>
      </c>
      <c r="AW1442" s="34" t="str">
        <f aca="false">IF($B1442="","",COUNTIF($F1442:$AJ1442,"TR"))</f>
        <v/>
      </c>
      <c r="AX1442" s="35" t="str">
        <f aca="false">IF($B1442="","",AO1442+AS1442/2)</f>
        <v/>
      </c>
      <c r="AY1442" s="35" t="str">
        <f aca="false">IF($B1442="","",AQ1442)</f>
        <v/>
      </c>
      <c r="AZ1442" s="35" t="str">
        <f aca="false">IF($B1442="","",AP1442+AT1442/2)</f>
        <v/>
      </c>
      <c r="BA1442" s="35" t="str">
        <f aca="false">IF($B1442="","",AK1442+AN1442+AM1442/2+AO1442+AP1442+AQ1442+AR1442+AS1442+AT1442+AU1442+AV1442+AW1442)</f>
        <v/>
      </c>
      <c r="BB1442" s="35" t="str">
        <f aca="false">IF($B1442="","",MAX(0,AN1442-Settings!$C$16)*Settings!$C$17)</f>
        <v/>
      </c>
      <c r="BC1442" s="35" t="str">
        <f aca="false">IF($B1442="","",BA1442-BB1442)</f>
        <v/>
      </c>
      <c r="BD1442" s="35" t="str">
        <f aca="false">IF(OR($B1442="",$A1442=""),"",DAY(EOMONTH($A1442,0))-COUNTA($F1442:$AJ1442))</f>
        <v/>
      </c>
    </row>
    <row r="1443" customFormat="false" ht="15" hidden="false" customHeight="false" outlineLevel="0" collapsed="false">
      <c r="A1443" s="32"/>
      <c r="B1443" s="29"/>
      <c r="C1443" s="10" t="str">
        <f aca="false">IF($B1443="","",IFERROR(INDEX(M_name,MATCH($B1443,M_emp,0)),"Code not found"))</f>
        <v/>
      </c>
      <c r="D1443" s="10" t="str">
        <f aca="false">IF($B1443="","",IFERROR(INDEX(M_dept,MATCH($B1443,M_emp,0)),""))</f>
        <v/>
      </c>
      <c r="E1443" s="10" t="str">
        <f aca="false">IF($B1443="","",IFERROR(INDEX(M_loc,MATCH($B1443,M_emp,0)),""))</f>
        <v/>
      </c>
      <c r="F1443" s="33"/>
      <c r="G1443" s="33"/>
      <c r="H1443" s="33"/>
      <c r="I1443" s="33"/>
      <c r="J1443" s="33"/>
      <c r="K1443" s="33"/>
      <c r="L1443" s="33"/>
      <c r="M1443" s="33"/>
      <c r="N1443" s="33"/>
      <c r="O1443" s="33"/>
      <c r="P1443" s="33"/>
      <c r="Q1443" s="33"/>
      <c r="R1443" s="33"/>
      <c r="S1443" s="33"/>
      <c r="T1443" s="33"/>
      <c r="U1443" s="33"/>
      <c r="V1443" s="33"/>
      <c r="W1443" s="33"/>
      <c r="X1443" s="33"/>
      <c r="Y1443" s="33"/>
      <c r="Z1443" s="33"/>
      <c r="AA1443" s="33"/>
      <c r="AB1443" s="33"/>
      <c r="AC1443" s="33"/>
      <c r="AD1443" s="33"/>
      <c r="AE1443" s="33"/>
      <c r="AF1443" s="33"/>
      <c r="AG1443" s="33"/>
      <c r="AH1443" s="33"/>
      <c r="AI1443" s="33"/>
      <c r="AJ1443" s="33"/>
      <c r="AK1443" s="34" t="str">
        <f aca="false">IF($B1443="","",COUNTIF($F1443:$AJ1443,"P"))</f>
        <v/>
      </c>
      <c r="AL1443" s="34" t="str">
        <f aca="false">IF($B1443="","",COUNTIF($F1443:$AJ1443,"A"))</f>
        <v/>
      </c>
      <c r="AM1443" s="34" t="str">
        <f aca="false">IF($B1443="","",COUNTIF($F1443:$AJ1443,"HA"))</f>
        <v/>
      </c>
      <c r="AN1443" s="34" t="str">
        <f aca="false">IF($B1443="","",COUNTIF($F1443:$AJ1443,"L"))</f>
        <v/>
      </c>
      <c r="AO1443" s="34" t="str">
        <f aca="false">IF($B1443="","",COUNTIF($F1443:$AJ1443,"PL"))</f>
        <v/>
      </c>
      <c r="AP1443" s="34" t="str">
        <f aca="false">IF($B1443="","",COUNTIF($F1443:$AJ1443,"CL"))</f>
        <v/>
      </c>
      <c r="AQ1443" s="34" t="str">
        <f aca="false">IF($B1443="","",COUNTIF($F1443:$AJ1443,"SL"))</f>
        <v/>
      </c>
      <c r="AR1443" s="34" t="str">
        <f aca="false">IF($B1443="","",COUNTIF($F1443:$AJ1443,"CO"))</f>
        <v/>
      </c>
      <c r="AS1443" s="34" t="str">
        <f aca="false">IF($B1443="","",COUNTIF($F1443:$AJ1443,"HPL"))</f>
        <v/>
      </c>
      <c r="AT1443" s="34" t="str">
        <f aca="false">IF($B1443="","",COUNTIF($F1443:$AJ1443,"HCL"))</f>
        <v/>
      </c>
      <c r="AU1443" s="34" t="str">
        <f aca="false">IF($B1443="","",COUNTIF($F1443:$AJ1443,"WO"))</f>
        <v/>
      </c>
      <c r="AV1443" s="34" t="str">
        <f aca="false">IF($B1443="","",COUNTIF($F1443:$AJ1443,"PH"))</f>
        <v/>
      </c>
      <c r="AW1443" s="34" t="str">
        <f aca="false">IF($B1443="","",COUNTIF($F1443:$AJ1443,"TR"))</f>
        <v/>
      </c>
      <c r="AX1443" s="35" t="str">
        <f aca="false">IF($B1443="","",AO1443+AS1443/2)</f>
        <v/>
      </c>
      <c r="AY1443" s="35" t="str">
        <f aca="false">IF($B1443="","",AQ1443)</f>
        <v/>
      </c>
      <c r="AZ1443" s="35" t="str">
        <f aca="false">IF($B1443="","",AP1443+AT1443/2)</f>
        <v/>
      </c>
      <c r="BA1443" s="35" t="str">
        <f aca="false">IF($B1443="","",AK1443+AN1443+AM1443/2+AO1443+AP1443+AQ1443+AR1443+AS1443+AT1443+AU1443+AV1443+AW1443)</f>
        <v/>
      </c>
      <c r="BB1443" s="35" t="str">
        <f aca="false">IF($B1443="","",MAX(0,AN1443-Settings!$C$16)*Settings!$C$17)</f>
        <v/>
      </c>
      <c r="BC1443" s="35" t="str">
        <f aca="false">IF($B1443="","",BA1443-BB1443)</f>
        <v/>
      </c>
      <c r="BD1443" s="35" t="str">
        <f aca="false">IF(OR($B1443="",$A1443=""),"",DAY(EOMONTH($A1443,0))-COUNTA($F1443:$AJ1443))</f>
        <v/>
      </c>
    </row>
    <row r="1444" customFormat="false" ht="15" hidden="false" customHeight="false" outlineLevel="0" collapsed="false">
      <c r="A1444" s="32"/>
      <c r="B1444" s="29"/>
      <c r="C1444" s="10" t="str">
        <f aca="false">IF($B1444="","",IFERROR(INDEX(M_name,MATCH($B1444,M_emp,0)),"Code not found"))</f>
        <v/>
      </c>
      <c r="D1444" s="10" t="str">
        <f aca="false">IF($B1444="","",IFERROR(INDEX(M_dept,MATCH($B1444,M_emp,0)),""))</f>
        <v/>
      </c>
      <c r="E1444" s="10" t="str">
        <f aca="false">IF($B1444="","",IFERROR(INDEX(M_loc,MATCH($B1444,M_emp,0)),""))</f>
        <v/>
      </c>
      <c r="F1444" s="33"/>
      <c r="G1444" s="33"/>
      <c r="H1444" s="33"/>
      <c r="I1444" s="33"/>
      <c r="J1444" s="33"/>
      <c r="K1444" s="33"/>
      <c r="L1444" s="33"/>
      <c r="M1444" s="33"/>
      <c r="N1444" s="33"/>
      <c r="O1444" s="33"/>
      <c r="P1444" s="33"/>
      <c r="Q1444" s="33"/>
      <c r="R1444" s="33"/>
      <c r="S1444" s="33"/>
      <c r="T1444" s="33"/>
      <c r="U1444" s="33"/>
      <c r="V1444" s="33"/>
      <c r="W1444" s="33"/>
      <c r="X1444" s="33"/>
      <c r="Y1444" s="33"/>
      <c r="Z1444" s="33"/>
      <c r="AA1444" s="33"/>
      <c r="AB1444" s="33"/>
      <c r="AC1444" s="33"/>
      <c r="AD1444" s="33"/>
      <c r="AE1444" s="33"/>
      <c r="AF1444" s="33"/>
      <c r="AG1444" s="33"/>
      <c r="AH1444" s="33"/>
      <c r="AI1444" s="33"/>
      <c r="AJ1444" s="33"/>
      <c r="AK1444" s="34" t="str">
        <f aca="false">IF($B1444="","",COUNTIF($F1444:$AJ1444,"P"))</f>
        <v/>
      </c>
      <c r="AL1444" s="34" t="str">
        <f aca="false">IF($B1444="","",COUNTIF($F1444:$AJ1444,"A"))</f>
        <v/>
      </c>
      <c r="AM1444" s="34" t="str">
        <f aca="false">IF($B1444="","",COUNTIF($F1444:$AJ1444,"HA"))</f>
        <v/>
      </c>
      <c r="AN1444" s="34" t="str">
        <f aca="false">IF($B1444="","",COUNTIF($F1444:$AJ1444,"L"))</f>
        <v/>
      </c>
      <c r="AO1444" s="34" t="str">
        <f aca="false">IF($B1444="","",COUNTIF($F1444:$AJ1444,"PL"))</f>
        <v/>
      </c>
      <c r="AP1444" s="34" t="str">
        <f aca="false">IF($B1444="","",COUNTIF($F1444:$AJ1444,"CL"))</f>
        <v/>
      </c>
      <c r="AQ1444" s="34" t="str">
        <f aca="false">IF($B1444="","",COUNTIF($F1444:$AJ1444,"SL"))</f>
        <v/>
      </c>
      <c r="AR1444" s="34" t="str">
        <f aca="false">IF($B1444="","",COUNTIF($F1444:$AJ1444,"CO"))</f>
        <v/>
      </c>
      <c r="AS1444" s="34" t="str">
        <f aca="false">IF($B1444="","",COUNTIF($F1444:$AJ1444,"HPL"))</f>
        <v/>
      </c>
      <c r="AT1444" s="34" t="str">
        <f aca="false">IF($B1444="","",COUNTIF($F1444:$AJ1444,"HCL"))</f>
        <v/>
      </c>
      <c r="AU1444" s="34" t="str">
        <f aca="false">IF($B1444="","",COUNTIF($F1444:$AJ1444,"WO"))</f>
        <v/>
      </c>
      <c r="AV1444" s="34" t="str">
        <f aca="false">IF($B1444="","",COUNTIF($F1444:$AJ1444,"PH"))</f>
        <v/>
      </c>
      <c r="AW1444" s="34" t="str">
        <f aca="false">IF($B1444="","",COUNTIF($F1444:$AJ1444,"TR"))</f>
        <v/>
      </c>
      <c r="AX1444" s="35" t="str">
        <f aca="false">IF($B1444="","",AO1444+AS1444/2)</f>
        <v/>
      </c>
      <c r="AY1444" s="35" t="str">
        <f aca="false">IF($B1444="","",AQ1444)</f>
        <v/>
      </c>
      <c r="AZ1444" s="35" t="str">
        <f aca="false">IF($B1444="","",AP1444+AT1444/2)</f>
        <v/>
      </c>
      <c r="BA1444" s="35" t="str">
        <f aca="false">IF($B1444="","",AK1444+AN1444+AM1444/2+AO1444+AP1444+AQ1444+AR1444+AS1444+AT1444+AU1444+AV1444+AW1444)</f>
        <v/>
      </c>
      <c r="BB1444" s="35" t="str">
        <f aca="false">IF($B1444="","",MAX(0,AN1444-Settings!$C$16)*Settings!$C$17)</f>
        <v/>
      </c>
      <c r="BC1444" s="35" t="str">
        <f aca="false">IF($B1444="","",BA1444-BB1444)</f>
        <v/>
      </c>
      <c r="BD1444" s="35" t="str">
        <f aca="false">IF(OR($B1444="",$A1444=""),"",DAY(EOMONTH($A1444,0))-COUNTA($F1444:$AJ1444))</f>
        <v/>
      </c>
    </row>
    <row r="1445" customFormat="false" ht="15" hidden="false" customHeight="false" outlineLevel="0" collapsed="false">
      <c r="A1445" s="32"/>
      <c r="B1445" s="29"/>
      <c r="C1445" s="10" t="str">
        <f aca="false">IF($B1445="","",IFERROR(INDEX(M_name,MATCH($B1445,M_emp,0)),"Code not found"))</f>
        <v/>
      </c>
      <c r="D1445" s="10" t="str">
        <f aca="false">IF($B1445="","",IFERROR(INDEX(M_dept,MATCH($B1445,M_emp,0)),""))</f>
        <v/>
      </c>
      <c r="E1445" s="10" t="str">
        <f aca="false">IF($B1445="","",IFERROR(INDEX(M_loc,MATCH($B1445,M_emp,0)),""))</f>
        <v/>
      </c>
      <c r="F1445" s="33"/>
      <c r="G1445" s="33"/>
      <c r="H1445" s="33"/>
      <c r="I1445" s="33"/>
      <c r="J1445" s="33"/>
      <c r="K1445" s="33"/>
      <c r="L1445" s="33"/>
      <c r="M1445" s="33"/>
      <c r="N1445" s="33"/>
      <c r="O1445" s="33"/>
      <c r="P1445" s="33"/>
      <c r="Q1445" s="33"/>
      <c r="R1445" s="33"/>
      <c r="S1445" s="33"/>
      <c r="T1445" s="33"/>
      <c r="U1445" s="33"/>
      <c r="V1445" s="33"/>
      <c r="W1445" s="33"/>
      <c r="X1445" s="33"/>
      <c r="Y1445" s="33"/>
      <c r="Z1445" s="33"/>
      <c r="AA1445" s="33"/>
      <c r="AB1445" s="33"/>
      <c r="AC1445" s="33"/>
      <c r="AD1445" s="33"/>
      <c r="AE1445" s="33"/>
      <c r="AF1445" s="33"/>
      <c r="AG1445" s="33"/>
      <c r="AH1445" s="33"/>
      <c r="AI1445" s="33"/>
      <c r="AJ1445" s="33"/>
      <c r="AK1445" s="34" t="str">
        <f aca="false">IF($B1445="","",COUNTIF($F1445:$AJ1445,"P"))</f>
        <v/>
      </c>
      <c r="AL1445" s="34" t="str">
        <f aca="false">IF($B1445="","",COUNTIF($F1445:$AJ1445,"A"))</f>
        <v/>
      </c>
      <c r="AM1445" s="34" t="str">
        <f aca="false">IF($B1445="","",COUNTIF($F1445:$AJ1445,"HA"))</f>
        <v/>
      </c>
      <c r="AN1445" s="34" t="str">
        <f aca="false">IF($B1445="","",COUNTIF($F1445:$AJ1445,"L"))</f>
        <v/>
      </c>
      <c r="AO1445" s="34" t="str">
        <f aca="false">IF($B1445="","",COUNTIF($F1445:$AJ1445,"PL"))</f>
        <v/>
      </c>
      <c r="AP1445" s="34" t="str">
        <f aca="false">IF($B1445="","",COUNTIF($F1445:$AJ1445,"CL"))</f>
        <v/>
      </c>
      <c r="AQ1445" s="34" t="str">
        <f aca="false">IF($B1445="","",COUNTIF($F1445:$AJ1445,"SL"))</f>
        <v/>
      </c>
      <c r="AR1445" s="34" t="str">
        <f aca="false">IF($B1445="","",COUNTIF($F1445:$AJ1445,"CO"))</f>
        <v/>
      </c>
      <c r="AS1445" s="34" t="str">
        <f aca="false">IF($B1445="","",COUNTIF($F1445:$AJ1445,"HPL"))</f>
        <v/>
      </c>
      <c r="AT1445" s="34" t="str">
        <f aca="false">IF($B1445="","",COUNTIF($F1445:$AJ1445,"HCL"))</f>
        <v/>
      </c>
      <c r="AU1445" s="34" t="str">
        <f aca="false">IF($B1445="","",COUNTIF($F1445:$AJ1445,"WO"))</f>
        <v/>
      </c>
      <c r="AV1445" s="34" t="str">
        <f aca="false">IF($B1445="","",COUNTIF($F1445:$AJ1445,"PH"))</f>
        <v/>
      </c>
      <c r="AW1445" s="34" t="str">
        <f aca="false">IF($B1445="","",COUNTIF($F1445:$AJ1445,"TR"))</f>
        <v/>
      </c>
      <c r="AX1445" s="35" t="str">
        <f aca="false">IF($B1445="","",AO1445+AS1445/2)</f>
        <v/>
      </c>
      <c r="AY1445" s="35" t="str">
        <f aca="false">IF($B1445="","",AQ1445)</f>
        <v/>
      </c>
      <c r="AZ1445" s="35" t="str">
        <f aca="false">IF($B1445="","",AP1445+AT1445/2)</f>
        <v/>
      </c>
      <c r="BA1445" s="35" t="str">
        <f aca="false">IF($B1445="","",AK1445+AN1445+AM1445/2+AO1445+AP1445+AQ1445+AR1445+AS1445+AT1445+AU1445+AV1445+AW1445)</f>
        <v/>
      </c>
      <c r="BB1445" s="35" t="str">
        <f aca="false">IF($B1445="","",MAX(0,AN1445-Settings!$C$16)*Settings!$C$17)</f>
        <v/>
      </c>
      <c r="BC1445" s="35" t="str">
        <f aca="false">IF($B1445="","",BA1445-BB1445)</f>
        <v/>
      </c>
      <c r="BD1445" s="35" t="str">
        <f aca="false">IF(OR($B1445="",$A1445=""),"",DAY(EOMONTH($A1445,0))-COUNTA($F1445:$AJ1445))</f>
        <v/>
      </c>
    </row>
    <row r="1446" customFormat="false" ht="15" hidden="false" customHeight="false" outlineLevel="0" collapsed="false">
      <c r="A1446" s="32"/>
      <c r="B1446" s="29"/>
      <c r="C1446" s="10" t="str">
        <f aca="false">IF($B1446="","",IFERROR(INDEX(M_name,MATCH($B1446,M_emp,0)),"Code not found"))</f>
        <v/>
      </c>
      <c r="D1446" s="10" t="str">
        <f aca="false">IF($B1446="","",IFERROR(INDEX(M_dept,MATCH($B1446,M_emp,0)),""))</f>
        <v/>
      </c>
      <c r="E1446" s="10" t="str">
        <f aca="false">IF($B1446="","",IFERROR(INDEX(M_loc,MATCH($B1446,M_emp,0)),""))</f>
        <v/>
      </c>
      <c r="F1446" s="33"/>
      <c r="G1446" s="33"/>
      <c r="H1446" s="33"/>
      <c r="I1446" s="33"/>
      <c r="J1446" s="33"/>
      <c r="K1446" s="33"/>
      <c r="L1446" s="33"/>
      <c r="M1446" s="33"/>
      <c r="N1446" s="33"/>
      <c r="O1446" s="33"/>
      <c r="P1446" s="33"/>
      <c r="Q1446" s="33"/>
      <c r="R1446" s="33"/>
      <c r="S1446" s="33"/>
      <c r="T1446" s="33"/>
      <c r="U1446" s="33"/>
      <c r="V1446" s="33"/>
      <c r="W1446" s="33"/>
      <c r="X1446" s="33"/>
      <c r="Y1446" s="33"/>
      <c r="Z1446" s="33"/>
      <c r="AA1446" s="33"/>
      <c r="AB1446" s="33"/>
      <c r="AC1446" s="33"/>
      <c r="AD1446" s="33"/>
      <c r="AE1446" s="33"/>
      <c r="AF1446" s="33"/>
      <c r="AG1446" s="33"/>
      <c r="AH1446" s="33"/>
      <c r="AI1446" s="33"/>
      <c r="AJ1446" s="33"/>
      <c r="AK1446" s="34" t="str">
        <f aca="false">IF($B1446="","",COUNTIF($F1446:$AJ1446,"P"))</f>
        <v/>
      </c>
      <c r="AL1446" s="34" t="str">
        <f aca="false">IF($B1446="","",COUNTIF($F1446:$AJ1446,"A"))</f>
        <v/>
      </c>
      <c r="AM1446" s="34" t="str">
        <f aca="false">IF($B1446="","",COUNTIF($F1446:$AJ1446,"HA"))</f>
        <v/>
      </c>
      <c r="AN1446" s="34" t="str">
        <f aca="false">IF($B1446="","",COUNTIF($F1446:$AJ1446,"L"))</f>
        <v/>
      </c>
      <c r="AO1446" s="34" t="str">
        <f aca="false">IF($B1446="","",COUNTIF($F1446:$AJ1446,"PL"))</f>
        <v/>
      </c>
      <c r="AP1446" s="34" t="str">
        <f aca="false">IF($B1446="","",COUNTIF($F1446:$AJ1446,"CL"))</f>
        <v/>
      </c>
      <c r="AQ1446" s="34" t="str">
        <f aca="false">IF($B1446="","",COUNTIF($F1446:$AJ1446,"SL"))</f>
        <v/>
      </c>
      <c r="AR1446" s="34" t="str">
        <f aca="false">IF($B1446="","",COUNTIF($F1446:$AJ1446,"CO"))</f>
        <v/>
      </c>
      <c r="AS1446" s="34" t="str">
        <f aca="false">IF($B1446="","",COUNTIF($F1446:$AJ1446,"HPL"))</f>
        <v/>
      </c>
      <c r="AT1446" s="34" t="str">
        <f aca="false">IF($B1446="","",COUNTIF($F1446:$AJ1446,"HCL"))</f>
        <v/>
      </c>
      <c r="AU1446" s="34" t="str">
        <f aca="false">IF($B1446="","",COUNTIF($F1446:$AJ1446,"WO"))</f>
        <v/>
      </c>
      <c r="AV1446" s="34" t="str">
        <f aca="false">IF($B1446="","",COUNTIF($F1446:$AJ1446,"PH"))</f>
        <v/>
      </c>
      <c r="AW1446" s="34" t="str">
        <f aca="false">IF($B1446="","",COUNTIF($F1446:$AJ1446,"TR"))</f>
        <v/>
      </c>
      <c r="AX1446" s="35" t="str">
        <f aca="false">IF($B1446="","",AO1446+AS1446/2)</f>
        <v/>
      </c>
      <c r="AY1446" s="35" t="str">
        <f aca="false">IF($B1446="","",AQ1446)</f>
        <v/>
      </c>
      <c r="AZ1446" s="35" t="str">
        <f aca="false">IF($B1446="","",AP1446+AT1446/2)</f>
        <v/>
      </c>
      <c r="BA1446" s="35" t="str">
        <f aca="false">IF($B1446="","",AK1446+AN1446+AM1446/2+AO1446+AP1446+AQ1446+AR1446+AS1446+AT1446+AU1446+AV1446+AW1446)</f>
        <v/>
      </c>
      <c r="BB1446" s="35" t="str">
        <f aca="false">IF($B1446="","",MAX(0,AN1446-Settings!$C$16)*Settings!$C$17)</f>
        <v/>
      </c>
      <c r="BC1446" s="35" t="str">
        <f aca="false">IF($B1446="","",BA1446-BB1446)</f>
        <v/>
      </c>
      <c r="BD1446" s="35" t="str">
        <f aca="false">IF(OR($B1446="",$A1446=""),"",DAY(EOMONTH($A1446,0))-COUNTA($F1446:$AJ1446))</f>
        <v/>
      </c>
    </row>
    <row r="1447" customFormat="false" ht="15" hidden="false" customHeight="false" outlineLevel="0" collapsed="false">
      <c r="A1447" s="32"/>
      <c r="B1447" s="29"/>
      <c r="C1447" s="10" t="str">
        <f aca="false">IF($B1447="","",IFERROR(INDEX(M_name,MATCH($B1447,M_emp,0)),"Code not found"))</f>
        <v/>
      </c>
      <c r="D1447" s="10" t="str">
        <f aca="false">IF($B1447="","",IFERROR(INDEX(M_dept,MATCH($B1447,M_emp,0)),""))</f>
        <v/>
      </c>
      <c r="E1447" s="10" t="str">
        <f aca="false">IF($B1447="","",IFERROR(INDEX(M_loc,MATCH($B1447,M_emp,0)),""))</f>
        <v/>
      </c>
      <c r="F1447" s="33"/>
      <c r="G1447" s="33"/>
      <c r="H1447" s="33"/>
      <c r="I1447" s="33"/>
      <c r="J1447" s="33"/>
      <c r="K1447" s="33"/>
      <c r="L1447" s="33"/>
      <c r="M1447" s="33"/>
      <c r="N1447" s="33"/>
      <c r="O1447" s="33"/>
      <c r="P1447" s="33"/>
      <c r="Q1447" s="33"/>
      <c r="R1447" s="33"/>
      <c r="S1447" s="33"/>
      <c r="T1447" s="33"/>
      <c r="U1447" s="33"/>
      <c r="V1447" s="33"/>
      <c r="W1447" s="33"/>
      <c r="X1447" s="33"/>
      <c r="Y1447" s="33"/>
      <c r="Z1447" s="33"/>
      <c r="AA1447" s="33"/>
      <c r="AB1447" s="33"/>
      <c r="AC1447" s="33"/>
      <c r="AD1447" s="33"/>
      <c r="AE1447" s="33"/>
      <c r="AF1447" s="33"/>
      <c r="AG1447" s="33"/>
      <c r="AH1447" s="33"/>
      <c r="AI1447" s="33"/>
      <c r="AJ1447" s="33"/>
      <c r="AK1447" s="34" t="str">
        <f aca="false">IF($B1447="","",COUNTIF($F1447:$AJ1447,"P"))</f>
        <v/>
      </c>
      <c r="AL1447" s="34" t="str">
        <f aca="false">IF($B1447="","",COUNTIF($F1447:$AJ1447,"A"))</f>
        <v/>
      </c>
      <c r="AM1447" s="34" t="str">
        <f aca="false">IF($B1447="","",COUNTIF($F1447:$AJ1447,"HA"))</f>
        <v/>
      </c>
      <c r="AN1447" s="34" t="str">
        <f aca="false">IF($B1447="","",COUNTIF($F1447:$AJ1447,"L"))</f>
        <v/>
      </c>
      <c r="AO1447" s="34" t="str">
        <f aca="false">IF($B1447="","",COUNTIF($F1447:$AJ1447,"PL"))</f>
        <v/>
      </c>
      <c r="AP1447" s="34" t="str">
        <f aca="false">IF($B1447="","",COUNTIF($F1447:$AJ1447,"CL"))</f>
        <v/>
      </c>
      <c r="AQ1447" s="34" t="str">
        <f aca="false">IF($B1447="","",COUNTIF($F1447:$AJ1447,"SL"))</f>
        <v/>
      </c>
      <c r="AR1447" s="34" t="str">
        <f aca="false">IF($B1447="","",COUNTIF($F1447:$AJ1447,"CO"))</f>
        <v/>
      </c>
      <c r="AS1447" s="34" t="str">
        <f aca="false">IF($B1447="","",COUNTIF($F1447:$AJ1447,"HPL"))</f>
        <v/>
      </c>
      <c r="AT1447" s="34" t="str">
        <f aca="false">IF($B1447="","",COUNTIF($F1447:$AJ1447,"HCL"))</f>
        <v/>
      </c>
      <c r="AU1447" s="34" t="str">
        <f aca="false">IF($B1447="","",COUNTIF($F1447:$AJ1447,"WO"))</f>
        <v/>
      </c>
      <c r="AV1447" s="34" t="str">
        <f aca="false">IF($B1447="","",COUNTIF($F1447:$AJ1447,"PH"))</f>
        <v/>
      </c>
      <c r="AW1447" s="34" t="str">
        <f aca="false">IF($B1447="","",COUNTIF($F1447:$AJ1447,"TR"))</f>
        <v/>
      </c>
      <c r="AX1447" s="35" t="str">
        <f aca="false">IF($B1447="","",AO1447+AS1447/2)</f>
        <v/>
      </c>
      <c r="AY1447" s="35" t="str">
        <f aca="false">IF($B1447="","",AQ1447)</f>
        <v/>
      </c>
      <c r="AZ1447" s="35" t="str">
        <f aca="false">IF($B1447="","",AP1447+AT1447/2)</f>
        <v/>
      </c>
      <c r="BA1447" s="35" t="str">
        <f aca="false">IF($B1447="","",AK1447+AN1447+AM1447/2+AO1447+AP1447+AQ1447+AR1447+AS1447+AT1447+AU1447+AV1447+AW1447)</f>
        <v/>
      </c>
      <c r="BB1447" s="35" t="str">
        <f aca="false">IF($B1447="","",MAX(0,AN1447-Settings!$C$16)*Settings!$C$17)</f>
        <v/>
      </c>
      <c r="BC1447" s="35" t="str">
        <f aca="false">IF($B1447="","",BA1447-BB1447)</f>
        <v/>
      </c>
      <c r="BD1447" s="35" t="str">
        <f aca="false">IF(OR($B1447="",$A1447=""),"",DAY(EOMONTH($A1447,0))-COUNTA($F1447:$AJ1447))</f>
        <v/>
      </c>
    </row>
    <row r="1448" customFormat="false" ht="15" hidden="false" customHeight="false" outlineLevel="0" collapsed="false">
      <c r="A1448" s="32"/>
      <c r="B1448" s="29"/>
      <c r="C1448" s="10" t="str">
        <f aca="false">IF($B1448="","",IFERROR(INDEX(M_name,MATCH($B1448,M_emp,0)),"Code not found"))</f>
        <v/>
      </c>
      <c r="D1448" s="10" t="str">
        <f aca="false">IF($B1448="","",IFERROR(INDEX(M_dept,MATCH($B1448,M_emp,0)),""))</f>
        <v/>
      </c>
      <c r="E1448" s="10" t="str">
        <f aca="false">IF($B1448="","",IFERROR(INDEX(M_loc,MATCH($B1448,M_emp,0)),""))</f>
        <v/>
      </c>
      <c r="F1448" s="33"/>
      <c r="G1448" s="33"/>
      <c r="H1448" s="33"/>
      <c r="I1448" s="33"/>
      <c r="J1448" s="33"/>
      <c r="K1448" s="33"/>
      <c r="L1448" s="33"/>
      <c r="M1448" s="33"/>
      <c r="N1448" s="33"/>
      <c r="O1448" s="33"/>
      <c r="P1448" s="33"/>
      <c r="Q1448" s="33"/>
      <c r="R1448" s="33"/>
      <c r="S1448" s="33"/>
      <c r="T1448" s="33"/>
      <c r="U1448" s="33"/>
      <c r="V1448" s="33"/>
      <c r="W1448" s="33"/>
      <c r="X1448" s="33"/>
      <c r="Y1448" s="33"/>
      <c r="Z1448" s="33"/>
      <c r="AA1448" s="33"/>
      <c r="AB1448" s="33"/>
      <c r="AC1448" s="33"/>
      <c r="AD1448" s="33"/>
      <c r="AE1448" s="33"/>
      <c r="AF1448" s="33"/>
      <c r="AG1448" s="33"/>
      <c r="AH1448" s="33"/>
      <c r="AI1448" s="33"/>
      <c r="AJ1448" s="33"/>
      <c r="AK1448" s="34" t="str">
        <f aca="false">IF($B1448="","",COUNTIF($F1448:$AJ1448,"P"))</f>
        <v/>
      </c>
      <c r="AL1448" s="34" t="str">
        <f aca="false">IF($B1448="","",COUNTIF($F1448:$AJ1448,"A"))</f>
        <v/>
      </c>
      <c r="AM1448" s="34" t="str">
        <f aca="false">IF($B1448="","",COUNTIF($F1448:$AJ1448,"HA"))</f>
        <v/>
      </c>
      <c r="AN1448" s="34" t="str">
        <f aca="false">IF($B1448="","",COUNTIF($F1448:$AJ1448,"L"))</f>
        <v/>
      </c>
      <c r="AO1448" s="34" t="str">
        <f aca="false">IF($B1448="","",COUNTIF($F1448:$AJ1448,"PL"))</f>
        <v/>
      </c>
      <c r="AP1448" s="34" t="str">
        <f aca="false">IF($B1448="","",COUNTIF($F1448:$AJ1448,"CL"))</f>
        <v/>
      </c>
      <c r="AQ1448" s="34" t="str">
        <f aca="false">IF($B1448="","",COUNTIF($F1448:$AJ1448,"SL"))</f>
        <v/>
      </c>
      <c r="AR1448" s="34" t="str">
        <f aca="false">IF($B1448="","",COUNTIF($F1448:$AJ1448,"CO"))</f>
        <v/>
      </c>
      <c r="AS1448" s="34" t="str">
        <f aca="false">IF($B1448="","",COUNTIF($F1448:$AJ1448,"HPL"))</f>
        <v/>
      </c>
      <c r="AT1448" s="34" t="str">
        <f aca="false">IF($B1448="","",COUNTIF($F1448:$AJ1448,"HCL"))</f>
        <v/>
      </c>
      <c r="AU1448" s="34" t="str">
        <f aca="false">IF($B1448="","",COUNTIF($F1448:$AJ1448,"WO"))</f>
        <v/>
      </c>
      <c r="AV1448" s="34" t="str">
        <f aca="false">IF($B1448="","",COUNTIF($F1448:$AJ1448,"PH"))</f>
        <v/>
      </c>
      <c r="AW1448" s="34" t="str">
        <f aca="false">IF($B1448="","",COUNTIF($F1448:$AJ1448,"TR"))</f>
        <v/>
      </c>
      <c r="AX1448" s="35" t="str">
        <f aca="false">IF($B1448="","",AO1448+AS1448/2)</f>
        <v/>
      </c>
      <c r="AY1448" s="35" t="str">
        <f aca="false">IF($B1448="","",AQ1448)</f>
        <v/>
      </c>
      <c r="AZ1448" s="35" t="str">
        <f aca="false">IF($B1448="","",AP1448+AT1448/2)</f>
        <v/>
      </c>
      <c r="BA1448" s="35" t="str">
        <f aca="false">IF($B1448="","",AK1448+AN1448+AM1448/2+AO1448+AP1448+AQ1448+AR1448+AS1448+AT1448+AU1448+AV1448+AW1448)</f>
        <v/>
      </c>
      <c r="BB1448" s="35" t="str">
        <f aca="false">IF($B1448="","",MAX(0,AN1448-Settings!$C$16)*Settings!$C$17)</f>
        <v/>
      </c>
      <c r="BC1448" s="35" t="str">
        <f aca="false">IF($B1448="","",BA1448-BB1448)</f>
        <v/>
      </c>
      <c r="BD1448" s="35" t="str">
        <f aca="false">IF(OR($B1448="",$A1448=""),"",DAY(EOMONTH($A1448,0))-COUNTA($F1448:$AJ1448))</f>
        <v/>
      </c>
    </row>
    <row r="1449" customFormat="false" ht="15" hidden="false" customHeight="false" outlineLevel="0" collapsed="false">
      <c r="A1449" s="32"/>
      <c r="B1449" s="29"/>
      <c r="C1449" s="10" t="str">
        <f aca="false">IF($B1449="","",IFERROR(INDEX(M_name,MATCH($B1449,M_emp,0)),"Code not found"))</f>
        <v/>
      </c>
      <c r="D1449" s="10" t="str">
        <f aca="false">IF($B1449="","",IFERROR(INDEX(M_dept,MATCH($B1449,M_emp,0)),""))</f>
        <v/>
      </c>
      <c r="E1449" s="10" t="str">
        <f aca="false">IF($B1449="","",IFERROR(INDEX(M_loc,MATCH($B1449,M_emp,0)),""))</f>
        <v/>
      </c>
      <c r="F1449" s="33"/>
      <c r="G1449" s="33"/>
      <c r="H1449" s="33"/>
      <c r="I1449" s="33"/>
      <c r="J1449" s="33"/>
      <c r="K1449" s="33"/>
      <c r="L1449" s="33"/>
      <c r="M1449" s="33"/>
      <c r="N1449" s="33"/>
      <c r="O1449" s="33"/>
      <c r="P1449" s="33"/>
      <c r="Q1449" s="33"/>
      <c r="R1449" s="33"/>
      <c r="S1449" s="33"/>
      <c r="T1449" s="33"/>
      <c r="U1449" s="33"/>
      <c r="V1449" s="33"/>
      <c r="W1449" s="33"/>
      <c r="X1449" s="33"/>
      <c r="Y1449" s="33"/>
      <c r="Z1449" s="33"/>
      <c r="AA1449" s="33"/>
      <c r="AB1449" s="33"/>
      <c r="AC1449" s="33"/>
      <c r="AD1449" s="33"/>
      <c r="AE1449" s="33"/>
      <c r="AF1449" s="33"/>
      <c r="AG1449" s="33"/>
      <c r="AH1449" s="33"/>
      <c r="AI1449" s="33"/>
      <c r="AJ1449" s="33"/>
      <c r="AK1449" s="34" t="str">
        <f aca="false">IF($B1449="","",COUNTIF($F1449:$AJ1449,"P"))</f>
        <v/>
      </c>
      <c r="AL1449" s="34" t="str">
        <f aca="false">IF($B1449="","",COUNTIF($F1449:$AJ1449,"A"))</f>
        <v/>
      </c>
      <c r="AM1449" s="34" t="str">
        <f aca="false">IF($B1449="","",COUNTIF($F1449:$AJ1449,"HA"))</f>
        <v/>
      </c>
      <c r="AN1449" s="34" t="str">
        <f aca="false">IF($B1449="","",COUNTIF($F1449:$AJ1449,"L"))</f>
        <v/>
      </c>
      <c r="AO1449" s="34" t="str">
        <f aca="false">IF($B1449="","",COUNTIF($F1449:$AJ1449,"PL"))</f>
        <v/>
      </c>
      <c r="AP1449" s="34" t="str">
        <f aca="false">IF($B1449="","",COUNTIF($F1449:$AJ1449,"CL"))</f>
        <v/>
      </c>
      <c r="AQ1449" s="34" t="str">
        <f aca="false">IF($B1449="","",COUNTIF($F1449:$AJ1449,"SL"))</f>
        <v/>
      </c>
      <c r="AR1449" s="34" t="str">
        <f aca="false">IF($B1449="","",COUNTIF($F1449:$AJ1449,"CO"))</f>
        <v/>
      </c>
      <c r="AS1449" s="34" t="str">
        <f aca="false">IF($B1449="","",COUNTIF($F1449:$AJ1449,"HPL"))</f>
        <v/>
      </c>
      <c r="AT1449" s="34" t="str">
        <f aca="false">IF($B1449="","",COUNTIF($F1449:$AJ1449,"HCL"))</f>
        <v/>
      </c>
      <c r="AU1449" s="34" t="str">
        <f aca="false">IF($B1449="","",COUNTIF($F1449:$AJ1449,"WO"))</f>
        <v/>
      </c>
      <c r="AV1449" s="34" t="str">
        <f aca="false">IF($B1449="","",COUNTIF($F1449:$AJ1449,"PH"))</f>
        <v/>
      </c>
      <c r="AW1449" s="34" t="str">
        <f aca="false">IF($B1449="","",COUNTIF($F1449:$AJ1449,"TR"))</f>
        <v/>
      </c>
      <c r="AX1449" s="35" t="str">
        <f aca="false">IF($B1449="","",AO1449+AS1449/2)</f>
        <v/>
      </c>
      <c r="AY1449" s="35" t="str">
        <f aca="false">IF($B1449="","",AQ1449)</f>
        <v/>
      </c>
      <c r="AZ1449" s="35" t="str">
        <f aca="false">IF($B1449="","",AP1449+AT1449/2)</f>
        <v/>
      </c>
      <c r="BA1449" s="35" t="str">
        <f aca="false">IF($B1449="","",AK1449+AN1449+AM1449/2+AO1449+AP1449+AQ1449+AR1449+AS1449+AT1449+AU1449+AV1449+AW1449)</f>
        <v/>
      </c>
      <c r="BB1449" s="35" t="str">
        <f aca="false">IF($B1449="","",MAX(0,AN1449-Settings!$C$16)*Settings!$C$17)</f>
        <v/>
      </c>
      <c r="BC1449" s="35" t="str">
        <f aca="false">IF($B1449="","",BA1449-BB1449)</f>
        <v/>
      </c>
      <c r="BD1449" s="35" t="str">
        <f aca="false">IF(OR($B1449="",$A1449=""),"",DAY(EOMONTH($A1449,0))-COUNTA($F1449:$AJ1449))</f>
        <v/>
      </c>
    </row>
    <row r="1450" customFormat="false" ht="15" hidden="false" customHeight="false" outlineLevel="0" collapsed="false">
      <c r="A1450" s="32"/>
      <c r="B1450" s="29"/>
      <c r="C1450" s="10" t="str">
        <f aca="false">IF($B1450="","",IFERROR(INDEX(M_name,MATCH($B1450,M_emp,0)),"Code not found"))</f>
        <v/>
      </c>
      <c r="D1450" s="10" t="str">
        <f aca="false">IF($B1450="","",IFERROR(INDEX(M_dept,MATCH($B1450,M_emp,0)),""))</f>
        <v/>
      </c>
      <c r="E1450" s="10" t="str">
        <f aca="false">IF($B1450="","",IFERROR(INDEX(M_loc,MATCH($B1450,M_emp,0)),""))</f>
        <v/>
      </c>
      <c r="F1450" s="33"/>
      <c r="G1450" s="33"/>
      <c r="H1450" s="33"/>
      <c r="I1450" s="33"/>
      <c r="J1450" s="33"/>
      <c r="K1450" s="33"/>
      <c r="L1450" s="33"/>
      <c r="M1450" s="33"/>
      <c r="N1450" s="33"/>
      <c r="O1450" s="33"/>
      <c r="P1450" s="33"/>
      <c r="Q1450" s="33"/>
      <c r="R1450" s="33"/>
      <c r="S1450" s="33"/>
      <c r="T1450" s="33"/>
      <c r="U1450" s="33"/>
      <c r="V1450" s="33"/>
      <c r="W1450" s="33"/>
      <c r="X1450" s="33"/>
      <c r="Y1450" s="33"/>
      <c r="Z1450" s="33"/>
      <c r="AA1450" s="33"/>
      <c r="AB1450" s="33"/>
      <c r="AC1450" s="33"/>
      <c r="AD1450" s="33"/>
      <c r="AE1450" s="33"/>
      <c r="AF1450" s="33"/>
      <c r="AG1450" s="33"/>
      <c r="AH1450" s="33"/>
      <c r="AI1450" s="33"/>
      <c r="AJ1450" s="33"/>
      <c r="AK1450" s="34" t="str">
        <f aca="false">IF($B1450="","",COUNTIF($F1450:$AJ1450,"P"))</f>
        <v/>
      </c>
      <c r="AL1450" s="34" t="str">
        <f aca="false">IF($B1450="","",COUNTIF($F1450:$AJ1450,"A"))</f>
        <v/>
      </c>
      <c r="AM1450" s="34" t="str">
        <f aca="false">IF($B1450="","",COUNTIF($F1450:$AJ1450,"HA"))</f>
        <v/>
      </c>
      <c r="AN1450" s="34" t="str">
        <f aca="false">IF($B1450="","",COUNTIF($F1450:$AJ1450,"L"))</f>
        <v/>
      </c>
      <c r="AO1450" s="34" t="str">
        <f aca="false">IF($B1450="","",COUNTIF($F1450:$AJ1450,"PL"))</f>
        <v/>
      </c>
      <c r="AP1450" s="34" t="str">
        <f aca="false">IF($B1450="","",COUNTIF($F1450:$AJ1450,"CL"))</f>
        <v/>
      </c>
      <c r="AQ1450" s="34" t="str">
        <f aca="false">IF($B1450="","",COUNTIF($F1450:$AJ1450,"SL"))</f>
        <v/>
      </c>
      <c r="AR1450" s="34" t="str">
        <f aca="false">IF($B1450="","",COUNTIF($F1450:$AJ1450,"CO"))</f>
        <v/>
      </c>
      <c r="AS1450" s="34" t="str">
        <f aca="false">IF($B1450="","",COUNTIF($F1450:$AJ1450,"HPL"))</f>
        <v/>
      </c>
      <c r="AT1450" s="34" t="str">
        <f aca="false">IF($B1450="","",COUNTIF($F1450:$AJ1450,"HCL"))</f>
        <v/>
      </c>
      <c r="AU1450" s="34" t="str">
        <f aca="false">IF($B1450="","",COUNTIF($F1450:$AJ1450,"WO"))</f>
        <v/>
      </c>
      <c r="AV1450" s="34" t="str">
        <f aca="false">IF($B1450="","",COUNTIF($F1450:$AJ1450,"PH"))</f>
        <v/>
      </c>
      <c r="AW1450" s="34" t="str">
        <f aca="false">IF($B1450="","",COUNTIF($F1450:$AJ1450,"TR"))</f>
        <v/>
      </c>
      <c r="AX1450" s="35" t="str">
        <f aca="false">IF($B1450="","",AO1450+AS1450/2)</f>
        <v/>
      </c>
      <c r="AY1450" s="35" t="str">
        <f aca="false">IF($B1450="","",AQ1450)</f>
        <v/>
      </c>
      <c r="AZ1450" s="35" t="str">
        <f aca="false">IF($B1450="","",AP1450+AT1450/2)</f>
        <v/>
      </c>
      <c r="BA1450" s="35" t="str">
        <f aca="false">IF($B1450="","",AK1450+AN1450+AM1450/2+AO1450+AP1450+AQ1450+AR1450+AS1450+AT1450+AU1450+AV1450+AW1450)</f>
        <v/>
      </c>
      <c r="BB1450" s="35" t="str">
        <f aca="false">IF($B1450="","",MAX(0,AN1450-Settings!$C$16)*Settings!$C$17)</f>
        <v/>
      </c>
      <c r="BC1450" s="35" t="str">
        <f aca="false">IF($B1450="","",BA1450-BB1450)</f>
        <v/>
      </c>
      <c r="BD1450" s="35" t="str">
        <f aca="false">IF(OR($B1450="",$A1450=""),"",DAY(EOMONTH($A1450,0))-COUNTA($F1450:$AJ1450))</f>
        <v/>
      </c>
    </row>
    <row r="1451" customFormat="false" ht="15" hidden="false" customHeight="false" outlineLevel="0" collapsed="false">
      <c r="A1451" s="32"/>
      <c r="B1451" s="29"/>
      <c r="C1451" s="10" t="str">
        <f aca="false">IF($B1451="","",IFERROR(INDEX(M_name,MATCH($B1451,M_emp,0)),"Code not found"))</f>
        <v/>
      </c>
      <c r="D1451" s="10" t="str">
        <f aca="false">IF($B1451="","",IFERROR(INDEX(M_dept,MATCH($B1451,M_emp,0)),""))</f>
        <v/>
      </c>
      <c r="E1451" s="10" t="str">
        <f aca="false">IF($B1451="","",IFERROR(INDEX(M_loc,MATCH($B1451,M_emp,0)),""))</f>
        <v/>
      </c>
      <c r="F1451" s="33"/>
      <c r="G1451" s="33"/>
      <c r="H1451" s="33"/>
      <c r="I1451" s="33"/>
      <c r="J1451" s="33"/>
      <c r="K1451" s="33"/>
      <c r="L1451" s="33"/>
      <c r="M1451" s="33"/>
      <c r="N1451" s="33"/>
      <c r="O1451" s="33"/>
      <c r="P1451" s="33"/>
      <c r="Q1451" s="33"/>
      <c r="R1451" s="33"/>
      <c r="S1451" s="33"/>
      <c r="T1451" s="33"/>
      <c r="U1451" s="33"/>
      <c r="V1451" s="33"/>
      <c r="W1451" s="33"/>
      <c r="X1451" s="33"/>
      <c r="Y1451" s="33"/>
      <c r="Z1451" s="33"/>
      <c r="AA1451" s="33"/>
      <c r="AB1451" s="33"/>
      <c r="AC1451" s="33"/>
      <c r="AD1451" s="33"/>
      <c r="AE1451" s="33"/>
      <c r="AF1451" s="33"/>
      <c r="AG1451" s="33"/>
      <c r="AH1451" s="33"/>
      <c r="AI1451" s="33"/>
      <c r="AJ1451" s="33"/>
      <c r="AK1451" s="34" t="str">
        <f aca="false">IF($B1451="","",COUNTIF($F1451:$AJ1451,"P"))</f>
        <v/>
      </c>
      <c r="AL1451" s="34" t="str">
        <f aca="false">IF($B1451="","",COUNTIF($F1451:$AJ1451,"A"))</f>
        <v/>
      </c>
      <c r="AM1451" s="34" t="str">
        <f aca="false">IF($B1451="","",COUNTIF($F1451:$AJ1451,"HA"))</f>
        <v/>
      </c>
      <c r="AN1451" s="34" t="str">
        <f aca="false">IF($B1451="","",COUNTIF($F1451:$AJ1451,"L"))</f>
        <v/>
      </c>
      <c r="AO1451" s="34" t="str">
        <f aca="false">IF($B1451="","",COUNTIF($F1451:$AJ1451,"PL"))</f>
        <v/>
      </c>
      <c r="AP1451" s="34" t="str">
        <f aca="false">IF($B1451="","",COUNTIF($F1451:$AJ1451,"CL"))</f>
        <v/>
      </c>
      <c r="AQ1451" s="34" t="str">
        <f aca="false">IF($B1451="","",COUNTIF($F1451:$AJ1451,"SL"))</f>
        <v/>
      </c>
      <c r="AR1451" s="34" t="str">
        <f aca="false">IF($B1451="","",COUNTIF($F1451:$AJ1451,"CO"))</f>
        <v/>
      </c>
      <c r="AS1451" s="34" t="str">
        <f aca="false">IF($B1451="","",COUNTIF($F1451:$AJ1451,"HPL"))</f>
        <v/>
      </c>
      <c r="AT1451" s="34" t="str">
        <f aca="false">IF($B1451="","",COUNTIF($F1451:$AJ1451,"HCL"))</f>
        <v/>
      </c>
      <c r="AU1451" s="34" t="str">
        <f aca="false">IF($B1451="","",COUNTIF($F1451:$AJ1451,"WO"))</f>
        <v/>
      </c>
      <c r="AV1451" s="34" t="str">
        <f aca="false">IF($B1451="","",COUNTIF($F1451:$AJ1451,"PH"))</f>
        <v/>
      </c>
      <c r="AW1451" s="34" t="str">
        <f aca="false">IF($B1451="","",COUNTIF($F1451:$AJ1451,"TR"))</f>
        <v/>
      </c>
      <c r="AX1451" s="35" t="str">
        <f aca="false">IF($B1451="","",AO1451+AS1451/2)</f>
        <v/>
      </c>
      <c r="AY1451" s="35" t="str">
        <f aca="false">IF($B1451="","",AQ1451)</f>
        <v/>
      </c>
      <c r="AZ1451" s="35" t="str">
        <f aca="false">IF($B1451="","",AP1451+AT1451/2)</f>
        <v/>
      </c>
      <c r="BA1451" s="35" t="str">
        <f aca="false">IF($B1451="","",AK1451+AN1451+AM1451/2+AO1451+AP1451+AQ1451+AR1451+AS1451+AT1451+AU1451+AV1451+AW1451)</f>
        <v/>
      </c>
      <c r="BB1451" s="35" t="str">
        <f aca="false">IF($B1451="","",MAX(0,AN1451-Settings!$C$16)*Settings!$C$17)</f>
        <v/>
      </c>
      <c r="BC1451" s="35" t="str">
        <f aca="false">IF($B1451="","",BA1451-BB1451)</f>
        <v/>
      </c>
      <c r="BD1451" s="35" t="str">
        <f aca="false">IF(OR($B1451="",$A1451=""),"",DAY(EOMONTH($A1451,0))-COUNTA($F1451:$AJ1451))</f>
        <v/>
      </c>
    </row>
    <row r="1452" customFormat="false" ht="15" hidden="false" customHeight="false" outlineLevel="0" collapsed="false">
      <c r="A1452" s="32"/>
      <c r="B1452" s="29"/>
      <c r="C1452" s="10" t="str">
        <f aca="false">IF($B1452="","",IFERROR(INDEX(M_name,MATCH($B1452,M_emp,0)),"Code not found"))</f>
        <v/>
      </c>
      <c r="D1452" s="10" t="str">
        <f aca="false">IF($B1452="","",IFERROR(INDEX(M_dept,MATCH($B1452,M_emp,0)),""))</f>
        <v/>
      </c>
      <c r="E1452" s="10" t="str">
        <f aca="false">IF($B1452="","",IFERROR(INDEX(M_loc,MATCH($B1452,M_emp,0)),""))</f>
        <v/>
      </c>
      <c r="F1452" s="33"/>
      <c r="G1452" s="33"/>
      <c r="H1452" s="33"/>
      <c r="I1452" s="33"/>
      <c r="J1452" s="33"/>
      <c r="K1452" s="33"/>
      <c r="L1452" s="33"/>
      <c r="M1452" s="33"/>
      <c r="N1452" s="33"/>
      <c r="O1452" s="33"/>
      <c r="P1452" s="33"/>
      <c r="Q1452" s="33"/>
      <c r="R1452" s="33"/>
      <c r="S1452" s="33"/>
      <c r="T1452" s="33"/>
      <c r="U1452" s="33"/>
      <c r="V1452" s="33"/>
      <c r="W1452" s="33"/>
      <c r="X1452" s="33"/>
      <c r="Y1452" s="33"/>
      <c r="Z1452" s="33"/>
      <c r="AA1452" s="33"/>
      <c r="AB1452" s="33"/>
      <c r="AC1452" s="33"/>
      <c r="AD1452" s="33"/>
      <c r="AE1452" s="33"/>
      <c r="AF1452" s="33"/>
      <c r="AG1452" s="33"/>
      <c r="AH1452" s="33"/>
      <c r="AI1452" s="33"/>
      <c r="AJ1452" s="33"/>
      <c r="AK1452" s="34" t="str">
        <f aca="false">IF($B1452="","",COUNTIF($F1452:$AJ1452,"P"))</f>
        <v/>
      </c>
      <c r="AL1452" s="34" t="str">
        <f aca="false">IF($B1452="","",COUNTIF($F1452:$AJ1452,"A"))</f>
        <v/>
      </c>
      <c r="AM1452" s="34" t="str">
        <f aca="false">IF($B1452="","",COUNTIF($F1452:$AJ1452,"HA"))</f>
        <v/>
      </c>
      <c r="AN1452" s="34" t="str">
        <f aca="false">IF($B1452="","",COUNTIF($F1452:$AJ1452,"L"))</f>
        <v/>
      </c>
      <c r="AO1452" s="34" t="str">
        <f aca="false">IF($B1452="","",COUNTIF($F1452:$AJ1452,"PL"))</f>
        <v/>
      </c>
      <c r="AP1452" s="34" t="str">
        <f aca="false">IF($B1452="","",COUNTIF($F1452:$AJ1452,"CL"))</f>
        <v/>
      </c>
      <c r="AQ1452" s="34" t="str">
        <f aca="false">IF($B1452="","",COUNTIF($F1452:$AJ1452,"SL"))</f>
        <v/>
      </c>
      <c r="AR1452" s="34" t="str">
        <f aca="false">IF($B1452="","",COUNTIF($F1452:$AJ1452,"CO"))</f>
        <v/>
      </c>
      <c r="AS1452" s="34" t="str">
        <f aca="false">IF($B1452="","",COUNTIF($F1452:$AJ1452,"HPL"))</f>
        <v/>
      </c>
      <c r="AT1452" s="34" t="str">
        <f aca="false">IF($B1452="","",COUNTIF($F1452:$AJ1452,"HCL"))</f>
        <v/>
      </c>
      <c r="AU1452" s="34" t="str">
        <f aca="false">IF($B1452="","",COUNTIF($F1452:$AJ1452,"WO"))</f>
        <v/>
      </c>
      <c r="AV1452" s="34" t="str">
        <f aca="false">IF($B1452="","",COUNTIF($F1452:$AJ1452,"PH"))</f>
        <v/>
      </c>
      <c r="AW1452" s="34" t="str">
        <f aca="false">IF($B1452="","",COUNTIF($F1452:$AJ1452,"TR"))</f>
        <v/>
      </c>
      <c r="AX1452" s="35" t="str">
        <f aca="false">IF($B1452="","",AO1452+AS1452/2)</f>
        <v/>
      </c>
      <c r="AY1452" s="35" t="str">
        <f aca="false">IF($B1452="","",AQ1452)</f>
        <v/>
      </c>
      <c r="AZ1452" s="35" t="str">
        <f aca="false">IF($B1452="","",AP1452+AT1452/2)</f>
        <v/>
      </c>
      <c r="BA1452" s="35" t="str">
        <f aca="false">IF($B1452="","",AK1452+AN1452+AM1452/2+AO1452+AP1452+AQ1452+AR1452+AS1452+AT1452+AU1452+AV1452+AW1452)</f>
        <v/>
      </c>
      <c r="BB1452" s="35" t="str">
        <f aca="false">IF($B1452="","",MAX(0,AN1452-Settings!$C$16)*Settings!$C$17)</f>
        <v/>
      </c>
      <c r="BC1452" s="35" t="str">
        <f aca="false">IF($B1452="","",BA1452-BB1452)</f>
        <v/>
      </c>
      <c r="BD1452" s="35" t="str">
        <f aca="false">IF(OR($B1452="",$A1452=""),"",DAY(EOMONTH($A1452,0))-COUNTA($F1452:$AJ1452))</f>
        <v/>
      </c>
    </row>
    <row r="1453" customFormat="false" ht="15" hidden="false" customHeight="false" outlineLevel="0" collapsed="false">
      <c r="A1453" s="32"/>
      <c r="B1453" s="29"/>
      <c r="C1453" s="10" t="str">
        <f aca="false">IF($B1453="","",IFERROR(INDEX(M_name,MATCH($B1453,M_emp,0)),"Code not found"))</f>
        <v/>
      </c>
      <c r="D1453" s="10" t="str">
        <f aca="false">IF($B1453="","",IFERROR(INDEX(M_dept,MATCH($B1453,M_emp,0)),""))</f>
        <v/>
      </c>
      <c r="E1453" s="10" t="str">
        <f aca="false">IF($B1453="","",IFERROR(INDEX(M_loc,MATCH($B1453,M_emp,0)),""))</f>
        <v/>
      </c>
      <c r="F1453" s="33"/>
      <c r="G1453" s="33"/>
      <c r="H1453" s="33"/>
      <c r="I1453" s="33"/>
      <c r="J1453" s="33"/>
      <c r="K1453" s="33"/>
      <c r="L1453" s="33"/>
      <c r="M1453" s="33"/>
      <c r="N1453" s="33"/>
      <c r="O1453" s="33"/>
      <c r="P1453" s="33"/>
      <c r="Q1453" s="33"/>
      <c r="R1453" s="33"/>
      <c r="S1453" s="33"/>
      <c r="T1453" s="33"/>
      <c r="U1453" s="33"/>
      <c r="V1453" s="33"/>
      <c r="W1453" s="33"/>
      <c r="X1453" s="33"/>
      <c r="Y1453" s="33"/>
      <c r="Z1453" s="33"/>
      <c r="AA1453" s="33"/>
      <c r="AB1453" s="33"/>
      <c r="AC1453" s="33"/>
      <c r="AD1453" s="33"/>
      <c r="AE1453" s="33"/>
      <c r="AF1453" s="33"/>
      <c r="AG1453" s="33"/>
      <c r="AH1453" s="33"/>
      <c r="AI1453" s="33"/>
      <c r="AJ1453" s="33"/>
      <c r="AK1453" s="34" t="str">
        <f aca="false">IF($B1453="","",COUNTIF($F1453:$AJ1453,"P"))</f>
        <v/>
      </c>
      <c r="AL1453" s="34" t="str">
        <f aca="false">IF($B1453="","",COUNTIF($F1453:$AJ1453,"A"))</f>
        <v/>
      </c>
      <c r="AM1453" s="34" t="str">
        <f aca="false">IF($B1453="","",COUNTIF($F1453:$AJ1453,"HA"))</f>
        <v/>
      </c>
      <c r="AN1453" s="34" t="str">
        <f aca="false">IF($B1453="","",COUNTIF($F1453:$AJ1453,"L"))</f>
        <v/>
      </c>
      <c r="AO1453" s="34" t="str">
        <f aca="false">IF($B1453="","",COUNTIF($F1453:$AJ1453,"PL"))</f>
        <v/>
      </c>
      <c r="AP1453" s="34" t="str">
        <f aca="false">IF($B1453="","",COUNTIF($F1453:$AJ1453,"CL"))</f>
        <v/>
      </c>
      <c r="AQ1453" s="34" t="str">
        <f aca="false">IF($B1453="","",COUNTIF($F1453:$AJ1453,"SL"))</f>
        <v/>
      </c>
      <c r="AR1453" s="34" t="str">
        <f aca="false">IF($B1453="","",COUNTIF($F1453:$AJ1453,"CO"))</f>
        <v/>
      </c>
      <c r="AS1453" s="34" t="str">
        <f aca="false">IF($B1453="","",COUNTIF($F1453:$AJ1453,"HPL"))</f>
        <v/>
      </c>
      <c r="AT1453" s="34" t="str">
        <f aca="false">IF($B1453="","",COUNTIF($F1453:$AJ1453,"HCL"))</f>
        <v/>
      </c>
      <c r="AU1453" s="34" t="str">
        <f aca="false">IF($B1453="","",COUNTIF($F1453:$AJ1453,"WO"))</f>
        <v/>
      </c>
      <c r="AV1453" s="34" t="str">
        <f aca="false">IF($B1453="","",COUNTIF($F1453:$AJ1453,"PH"))</f>
        <v/>
      </c>
      <c r="AW1453" s="34" t="str">
        <f aca="false">IF($B1453="","",COUNTIF($F1453:$AJ1453,"TR"))</f>
        <v/>
      </c>
      <c r="AX1453" s="35" t="str">
        <f aca="false">IF($B1453="","",AO1453+AS1453/2)</f>
        <v/>
      </c>
      <c r="AY1453" s="35" t="str">
        <f aca="false">IF($B1453="","",AQ1453)</f>
        <v/>
      </c>
      <c r="AZ1453" s="35" t="str">
        <f aca="false">IF($B1453="","",AP1453+AT1453/2)</f>
        <v/>
      </c>
      <c r="BA1453" s="35" t="str">
        <f aca="false">IF($B1453="","",AK1453+AN1453+AM1453/2+AO1453+AP1453+AQ1453+AR1453+AS1453+AT1453+AU1453+AV1453+AW1453)</f>
        <v/>
      </c>
      <c r="BB1453" s="35" t="str">
        <f aca="false">IF($B1453="","",MAX(0,AN1453-Settings!$C$16)*Settings!$C$17)</f>
        <v/>
      </c>
      <c r="BC1453" s="35" t="str">
        <f aca="false">IF($B1453="","",BA1453-BB1453)</f>
        <v/>
      </c>
      <c r="BD1453" s="35" t="str">
        <f aca="false">IF(OR($B1453="",$A1453=""),"",DAY(EOMONTH($A1453,0))-COUNTA($F1453:$AJ1453))</f>
        <v/>
      </c>
    </row>
    <row r="1454" customFormat="false" ht="15" hidden="false" customHeight="false" outlineLevel="0" collapsed="false">
      <c r="A1454" s="32"/>
      <c r="B1454" s="29"/>
      <c r="C1454" s="10" t="str">
        <f aca="false">IF($B1454="","",IFERROR(INDEX(M_name,MATCH($B1454,M_emp,0)),"Code not found"))</f>
        <v/>
      </c>
      <c r="D1454" s="10" t="str">
        <f aca="false">IF($B1454="","",IFERROR(INDEX(M_dept,MATCH($B1454,M_emp,0)),""))</f>
        <v/>
      </c>
      <c r="E1454" s="10" t="str">
        <f aca="false">IF($B1454="","",IFERROR(INDEX(M_loc,MATCH($B1454,M_emp,0)),""))</f>
        <v/>
      </c>
      <c r="F1454" s="33"/>
      <c r="G1454" s="33"/>
      <c r="H1454" s="33"/>
      <c r="I1454" s="33"/>
      <c r="J1454" s="33"/>
      <c r="K1454" s="33"/>
      <c r="L1454" s="33"/>
      <c r="M1454" s="33"/>
      <c r="N1454" s="33"/>
      <c r="O1454" s="33"/>
      <c r="P1454" s="33"/>
      <c r="Q1454" s="33"/>
      <c r="R1454" s="33"/>
      <c r="S1454" s="33"/>
      <c r="T1454" s="33"/>
      <c r="U1454" s="33"/>
      <c r="V1454" s="33"/>
      <c r="W1454" s="33"/>
      <c r="X1454" s="33"/>
      <c r="Y1454" s="33"/>
      <c r="Z1454" s="33"/>
      <c r="AA1454" s="33"/>
      <c r="AB1454" s="33"/>
      <c r="AC1454" s="33"/>
      <c r="AD1454" s="33"/>
      <c r="AE1454" s="33"/>
      <c r="AF1454" s="33"/>
      <c r="AG1454" s="33"/>
      <c r="AH1454" s="33"/>
      <c r="AI1454" s="33"/>
      <c r="AJ1454" s="33"/>
      <c r="AK1454" s="34" t="str">
        <f aca="false">IF($B1454="","",COUNTIF($F1454:$AJ1454,"P"))</f>
        <v/>
      </c>
      <c r="AL1454" s="34" t="str">
        <f aca="false">IF($B1454="","",COUNTIF($F1454:$AJ1454,"A"))</f>
        <v/>
      </c>
      <c r="AM1454" s="34" t="str">
        <f aca="false">IF($B1454="","",COUNTIF($F1454:$AJ1454,"HA"))</f>
        <v/>
      </c>
      <c r="AN1454" s="34" t="str">
        <f aca="false">IF($B1454="","",COUNTIF($F1454:$AJ1454,"L"))</f>
        <v/>
      </c>
      <c r="AO1454" s="34" t="str">
        <f aca="false">IF($B1454="","",COUNTIF($F1454:$AJ1454,"PL"))</f>
        <v/>
      </c>
      <c r="AP1454" s="34" t="str">
        <f aca="false">IF($B1454="","",COUNTIF($F1454:$AJ1454,"CL"))</f>
        <v/>
      </c>
      <c r="AQ1454" s="34" t="str">
        <f aca="false">IF($B1454="","",COUNTIF($F1454:$AJ1454,"SL"))</f>
        <v/>
      </c>
      <c r="AR1454" s="34" t="str">
        <f aca="false">IF($B1454="","",COUNTIF($F1454:$AJ1454,"CO"))</f>
        <v/>
      </c>
      <c r="AS1454" s="34" t="str">
        <f aca="false">IF($B1454="","",COUNTIF($F1454:$AJ1454,"HPL"))</f>
        <v/>
      </c>
      <c r="AT1454" s="34" t="str">
        <f aca="false">IF($B1454="","",COUNTIF($F1454:$AJ1454,"HCL"))</f>
        <v/>
      </c>
      <c r="AU1454" s="34" t="str">
        <f aca="false">IF($B1454="","",COUNTIF($F1454:$AJ1454,"WO"))</f>
        <v/>
      </c>
      <c r="AV1454" s="34" t="str">
        <f aca="false">IF($B1454="","",COUNTIF($F1454:$AJ1454,"PH"))</f>
        <v/>
      </c>
      <c r="AW1454" s="34" t="str">
        <f aca="false">IF($B1454="","",COUNTIF($F1454:$AJ1454,"TR"))</f>
        <v/>
      </c>
      <c r="AX1454" s="35" t="str">
        <f aca="false">IF($B1454="","",AO1454+AS1454/2)</f>
        <v/>
      </c>
      <c r="AY1454" s="35" t="str">
        <f aca="false">IF($B1454="","",AQ1454)</f>
        <v/>
      </c>
      <c r="AZ1454" s="35" t="str">
        <f aca="false">IF($B1454="","",AP1454+AT1454/2)</f>
        <v/>
      </c>
      <c r="BA1454" s="35" t="str">
        <f aca="false">IF($B1454="","",AK1454+AN1454+AM1454/2+AO1454+AP1454+AQ1454+AR1454+AS1454+AT1454+AU1454+AV1454+AW1454)</f>
        <v/>
      </c>
      <c r="BB1454" s="35" t="str">
        <f aca="false">IF($B1454="","",MAX(0,AN1454-Settings!$C$16)*Settings!$C$17)</f>
        <v/>
      </c>
      <c r="BC1454" s="35" t="str">
        <f aca="false">IF($B1454="","",BA1454-BB1454)</f>
        <v/>
      </c>
      <c r="BD1454" s="35" t="str">
        <f aca="false">IF(OR($B1454="",$A1454=""),"",DAY(EOMONTH($A1454,0))-COUNTA($F1454:$AJ1454))</f>
        <v/>
      </c>
    </row>
    <row r="1455" customFormat="false" ht="15" hidden="false" customHeight="false" outlineLevel="0" collapsed="false">
      <c r="A1455" s="32"/>
      <c r="B1455" s="29"/>
      <c r="C1455" s="10" t="str">
        <f aca="false">IF($B1455="","",IFERROR(INDEX(M_name,MATCH($B1455,M_emp,0)),"Code not found"))</f>
        <v/>
      </c>
      <c r="D1455" s="10" t="str">
        <f aca="false">IF($B1455="","",IFERROR(INDEX(M_dept,MATCH($B1455,M_emp,0)),""))</f>
        <v/>
      </c>
      <c r="E1455" s="10" t="str">
        <f aca="false">IF($B1455="","",IFERROR(INDEX(M_loc,MATCH($B1455,M_emp,0)),""))</f>
        <v/>
      </c>
      <c r="F1455" s="33"/>
      <c r="G1455" s="33"/>
      <c r="H1455" s="33"/>
      <c r="I1455" s="33"/>
      <c r="J1455" s="33"/>
      <c r="K1455" s="33"/>
      <c r="L1455" s="33"/>
      <c r="M1455" s="33"/>
      <c r="N1455" s="33"/>
      <c r="O1455" s="33"/>
      <c r="P1455" s="33"/>
      <c r="Q1455" s="33"/>
      <c r="R1455" s="33"/>
      <c r="S1455" s="33"/>
      <c r="T1455" s="33"/>
      <c r="U1455" s="33"/>
      <c r="V1455" s="33"/>
      <c r="W1455" s="33"/>
      <c r="X1455" s="33"/>
      <c r="Y1455" s="33"/>
      <c r="Z1455" s="33"/>
      <c r="AA1455" s="33"/>
      <c r="AB1455" s="33"/>
      <c r="AC1455" s="33"/>
      <c r="AD1455" s="33"/>
      <c r="AE1455" s="33"/>
      <c r="AF1455" s="33"/>
      <c r="AG1455" s="33"/>
      <c r="AH1455" s="33"/>
      <c r="AI1455" s="33"/>
      <c r="AJ1455" s="33"/>
      <c r="AK1455" s="34" t="str">
        <f aca="false">IF($B1455="","",COUNTIF($F1455:$AJ1455,"P"))</f>
        <v/>
      </c>
      <c r="AL1455" s="34" t="str">
        <f aca="false">IF($B1455="","",COUNTIF($F1455:$AJ1455,"A"))</f>
        <v/>
      </c>
      <c r="AM1455" s="34" t="str">
        <f aca="false">IF($B1455="","",COUNTIF($F1455:$AJ1455,"HA"))</f>
        <v/>
      </c>
      <c r="AN1455" s="34" t="str">
        <f aca="false">IF($B1455="","",COUNTIF($F1455:$AJ1455,"L"))</f>
        <v/>
      </c>
      <c r="AO1455" s="34" t="str">
        <f aca="false">IF($B1455="","",COUNTIF($F1455:$AJ1455,"PL"))</f>
        <v/>
      </c>
      <c r="AP1455" s="34" t="str">
        <f aca="false">IF($B1455="","",COUNTIF($F1455:$AJ1455,"CL"))</f>
        <v/>
      </c>
      <c r="AQ1455" s="34" t="str">
        <f aca="false">IF($B1455="","",COUNTIF($F1455:$AJ1455,"SL"))</f>
        <v/>
      </c>
      <c r="AR1455" s="34" t="str">
        <f aca="false">IF($B1455="","",COUNTIF($F1455:$AJ1455,"CO"))</f>
        <v/>
      </c>
      <c r="AS1455" s="34" t="str">
        <f aca="false">IF($B1455="","",COUNTIF($F1455:$AJ1455,"HPL"))</f>
        <v/>
      </c>
      <c r="AT1455" s="34" t="str">
        <f aca="false">IF($B1455="","",COUNTIF($F1455:$AJ1455,"HCL"))</f>
        <v/>
      </c>
      <c r="AU1455" s="34" t="str">
        <f aca="false">IF($B1455="","",COUNTIF($F1455:$AJ1455,"WO"))</f>
        <v/>
      </c>
      <c r="AV1455" s="34" t="str">
        <f aca="false">IF($B1455="","",COUNTIF($F1455:$AJ1455,"PH"))</f>
        <v/>
      </c>
      <c r="AW1455" s="34" t="str">
        <f aca="false">IF($B1455="","",COUNTIF($F1455:$AJ1455,"TR"))</f>
        <v/>
      </c>
      <c r="AX1455" s="35" t="str">
        <f aca="false">IF($B1455="","",AO1455+AS1455/2)</f>
        <v/>
      </c>
      <c r="AY1455" s="35" t="str">
        <f aca="false">IF($B1455="","",AQ1455)</f>
        <v/>
      </c>
      <c r="AZ1455" s="35" t="str">
        <f aca="false">IF($B1455="","",AP1455+AT1455/2)</f>
        <v/>
      </c>
      <c r="BA1455" s="35" t="str">
        <f aca="false">IF($B1455="","",AK1455+AN1455+AM1455/2+AO1455+AP1455+AQ1455+AR1455+AS1455+AT1455+AU1455+AV1455+AW1455)</f>
        <v/>
      </c>
      <c r="BB1455" s="35" t="str">
        <f aca="false">IF($B1455="","",MAX(0,AN1455-Settings!$C$16)*Settings!$C$17)</f>
        <v/>
      </c>
      <c r="BC1455" s="35" t="str">
        <f aca="false">IF($B1455="","",BA1455-BB1455)</f>
        <v/>
      </c>
      <c r="BD1455" s="35" t="str">
        <f aca="false">IF(OR($B1455="",$A1455=""),"",DAY(EOMONTH($A1455,0))-COUNTA($F1455:$AJ1455))</f>
        <v/>
      </c>
    </row>
    <row r="1456" customFormat="false" ht="15" hidden="false" customHeight="false" outlineLevel="0" collapsed="false">
      <c r="A1456" s="32"/>
      <c r="B1456" s="29"/>
      <c r="C1456" s="10" t="str">
        <f aca="false">IF($B1456="","",IFERROR(INDEX(M_name,MATCH($B1456,M_emp,0)),"Code not found"))</f>
        <v/>
      </c>
      <c r="D1456" s="10" t="str">
        <f aca="false">IF($B1456="","",IFERROR(INDEX(M_dept,MATCH($B1456,M_emp,0)),""))</f>
        <v/>
      </c>
      <c r="E1456" s="10" t="str">
        <f aca="false">IF($B1456="","",IFERROR(INDEX(M_loc,MATCH($B1456,M_emp,0)),""))</f>
        <v/>
      </c>
      <c r="F1456" s="33"/>
      <c r="G1456" s="33"/>
      <c r="H1456" s="33"/>
      <c r="I1456" s="33"/>
      <c r="J1456" s="33"/>
      <c r="K1456" s="33"/>
      <c r="L1456" s="33"/>
      <c r="M1456" s="33"/>
      <c r="N1456" s="33"/>
      <c r="O1456" s="33"/>
      <c r="P1456" s="33"/>
      <c r="Q1456" s="33"/>
      <c r="R1456" s="33"/>
      <c r="S1456" s="33"/>
      <c r="T1456" s="33"/>
      <c r="U1456" s="33"/>
      <c r="V1456" s="33"/>
      <c r="W1456" s="33"/>
      <c r="X1456" s="33"/>
      <c r="Y1456" s="33"/>
      <c r="Z1456" s="33"/>
      <c r="AA1456" s="33"/>
      <c r="AB1456" s="33"/>
      <c r="AC1456" s="33"/>
      <c r="AD1456" s="33"/>
      <c r="AE1456" s="33"/>
      <c r="AF1456" s="33"/>
      <c r="AG1456" s="33"/>
      <c r="AH1456" s="33"/>
      <c r="AI1456" s="33"/>
      <c r="AJ1456" s="33"/>
      <c r="AK1456" s="34" t="str">
        <f aca="false">IF($B1456="","",COUNTIF($F1456:$AJ1456,"P"))</f>
        <v/>
      </c>
      <c r="AL1456" s="34" t="str">
        <f aca="false">IF($B1456="","",COUNTIF($F1456:$AJ1456,"A"))</f>
        <v/>
      </c>
      <c r="AM1456" s="34" t="str">
        <f aca="false">IF($B1456="","",COUNTIF($F1456:$AJ1456,"HA"))</f>
        <v/>
      </c>
      <c r="AN1456" s="34" t="str">
        <f aca="false">IF($B1456="","",COUNTIF($F1456:$AJ1456,"L"))</f>
        <v/>
      </c>
      <c r="AO1456" s="34" t="str">
        <f aca="false">IF($B1456="","",COUNTIF($F1456:$AJ1456,"PL"))</f>
        <v/>
      </c>
      <c r="AP1456" s="34" t="str">
        <f aca="false">IF($B1456="","",COUNTIF($F1456:$AJ1456,"CL"))</f>
        <v/>
      </c>
      <c r="AQ1456" s="34" t="str">
        <f aca="false">IF($B1456="","",COUNTIF($F1456:$AJ1456,"SL"))</f>
        <v/>
      </c>
      <c r="AR1456" s="34" t="str">
        <f aca="false">IF($B1456="","",COUNTIF($F1456:$AJ1456,"CO"))</f>
        <v/>
      </c>
      <c r="AS1456" s="34" t="str">
        <f aca="false">IF($B1456="","",COUNTIF($F1456:$AJ1456,"HPL"))</f>
        <v/>
      </c>
      <c r="AT1456" s="34" t="str">
        <f aca="false">IF($B1456="","",COUNTIF($F1456:$AJ1456,"HCL"))</f>
        <v/>
      </c>
      <c r="AU1456" s="34" t="str">
        <f aca="false">IF($B1456="","",COUNTIF($F1456:$AJ1456,"WO"))</f>
        <v/>
      </c>
      <c r="AV1456" s="34" t="str">
        <f aca="false">IF($B1456="","",COUNTIF($F1456:$AJ1456,"PH"))</f>
        <v/>
      </c>
      <c r="AW1456" s="34" t="str">
        <f aca="false">IF($B1456="","",COUNTIF($F1456:$AJ1456,"TR"))</f>
        <v/>
      </c>
      <c r="AX1456" s="35" t="str">
        <f aca="false">IF($B1456="","",AO1456+AS1456/2)</f>
        <v/>
      </c>
      <c r="AY1456" s="35" t="str">
        <f aca="false">IF($B1456="","",AQ1456)</f>
        <v/>
      </c>
      <c r="AZ1456" s="35" t="str">
        <f aca="false">IF($B1456="","",AP1456+AT1456/2)</f>
        <v/>
      </c>
      <c r="BA1456" s="35" t="str">
        <f aca="false">IF($B1456="","",AK1456+AN1456+AM1456/2+AO1456+AP1456+AQ1456+AR1456+AS1456+AT1456+AU1456+AV1456+AW1456)</f>
        <v/>
      </c>
      <c r="BB1456" s="35" t="str">
        <f aca="false">IF($B1456="","",MAX(0,AN1456-Settings!$C$16)*Settings!$C$17)</f>
        <v/>
      </c>
      <c r="BC1456" s="35" t="str">
        <f aca="false">IF($B1456="","",BA1456-BB1456)</f>
        <v/>
      </c>
      <c r="BD1456" s="35" t="str">
        <f aca="false">IF(OR($B1456="",$A1456=""),"",DAY(EOMONTH($A1456,0))-COUNTA($F1456:$AJ1456))</f>
        <v/>
      </c>
    </row>
    <row r="1457" customFormat="false" ht="15" hidden="false" customHeight="false" outlineLevel="0" collapsed="false">
      <c r="A1457" s="32"/>
      <c r="B1457" s="29"/>
      <c r="C1457" s="10" t="str">
        <f aca="false">IF($B1457="","",IFERROR(INDEX(M_name,MATCH($B1457,M_emp,0)),"Code not found"))</f>
        <v/>
      </c>
      <c r="D1457" s="10" t="str">
        <f aca="false">IF($B1457="","",IFERROR(INDEX(M_dept,MATCH($B1457,M_emp,0)),""))</f>
        <v/>
      </c>
      <c r="E1457" s="10" t="str">
        <f aca="false">IF($B1457="","",IFERROR(INDEX(M_loc,MATCH($B1457,M_emp,0)),""))</f>
        <v/>
      </c>
      <c r="F1457" s="33"/>
      <c r="G1457" s="33"/>
      <c r="H1457" s="33"/>
      <c r="I1457" s="33"/>
      <c r="J1457" s="33"/>
      <c r="K1457" s="33"/>
      <c r="L1457" s="33"/>
      <c r="M1457" s="33"/>
      <c r="N1457" s="33"/>
      <c r="O1457" s="33"/>
      <c r="P1457" s="33"/>
      <c r="Q1457" s="33"/>
      <c r="R1457" s="33"/>
      <c r="S1457" s="33"/>
      <c r="T1457" s="33"/>
      <c r="U1457" s="33"/>
      <c r="V1457" s="33"/>
      <c r="W1457" s="33"/>
      <c r="X1457" s="33"/>
      <c r="Y1457" s="33"/>
      <c r="Z1457" s="33"/>
      <c r="AA1457" s="33"/>
      <c r="AB1457" s="33"/>
      <c r="AC1457" s="33"/>
      <c r="AD1457" s="33"/>
      <c r="AE1457" s="33"/>
      <c r="AF1457" s="33"/>
      <c r="AG1457" s="33"/>
      <c r="AH1457" s="33"/>
      <c r="AI1457" s="33"/>
      <c r="AJ1457" s="33"/>
      <c r="AK1457" s="34" t="str">
        <f aca="false">IF($B1457="","",COUNTIF($F1457:$AJ1457,"P"))</f>
        <v/>
      </c>
      <c r="AL1457" s="34" t="str">
        <f aca="false">IF($B1457="","",COUNTIF($F1457:$AJ1457,"A"))</f>
        <v/>
      </c>
      <c r="AM1457" s="34" t="str">
        <f aca="false">IF($B1457="","",COUNTIF($F1457:$AJ1457,"HA"))</f>
        <v/>
      </c>
      <c r="AN1457" s="34" t="str">
        <f aca="false">IF($B1457="","",COUNTIF($F1457:$AJ1457,"L"))</f>
        <v/>
      </c>
      <c r="AO1457" s="34" t="str">
        <f aca="false">IF($B1457="","",COUNTIF($F1457:$AJ1457,"PL"))</f>
        <v/>
      </c>
      <c r="AP1457" s="34" t="str">
        <f aca="false">IF($B1457="","",COUNTIF($F1457:$AJ1457,"CL"))</f>
        <v/>
      </c>
      <c r="AQ1457" s="34" t="str">
        <f aca="false">IF($B1457="","",COUNTIF($F1457:$AJ1457,"SL"))</f>
        <v/>
      </c>
      <c r="AR1457" s="34" t="str">
        <f aca="false">IF($B1457="","",COUNTIF($F1457:$AJ1457,"CO"))</f>
        <v/>
      </c>
      <c r="AS1457" s="34" t="str">
        <f aca="false">IF($B1457="","",COUNTIF($F1457:$AJ1457,"HPL"))</f>
        <v/>
      </c>
      <c r="AT1457" s="34" t="str">
        <f aca="false">IF($B1457="","",COUNTIF($F1457:$AJ1457,"HCL"))</f>
        <v/>
      </c>
      <c r="AU1457" s="34" t="str">
        <f aca="false">IF($B1457="","",COUNTIF($F1457:$AJ1457,"WO"))</f>
        <v/>
      </c>
      <c r="AV1457" s="34" t="str">
        <f aca="false">IF($B1457="","",COUNTIF($F1457:$AJ1457,"PH"))</f>
        <v/>
      </c>
      <c r="AW1457" s="34" t="str">
        <f aca="false">IF($B1457="","",COUNTIF($F1457:$AJ1457,"TR"))</f>
        <v/>
      </c>
      <c r="AX1457" s="35" t="str">
        <f aca="false">IF($B1457="","",AO1457+AS1457/2)</f>
        <v/>
      </c>
      <c r="AY1457" s="35" t="str">
        <f aca="false">IF($B1457="","",AQ1457)</f>
        <v/>
      </c>
      <c r="AZ1457" s="35" t="str">
        <f aca="false">IF($B1457="","",AP1457+AT1457/2)</f>
        <v/>
      </c>
      <c r="BA1457" s="35" t="str">
        <f aca="false">IF($B1457="","",AK1457+AN1457+AM1457/2+AO1457+AP1457+AQ1457+AR1457+AS1457+AT1457+AU1457+AV1457+AW1457)</f>
        <v/>
      </c>
      <c r="BB1457" s="35" t="str">
        <f aca="false">IF($B1457="","",MAX(0,AN1457-Settings!$C$16)*Settings!$C$17)</f>
        <v/>
      </c>
      <c r="BC1457" s="35" t="str">
        <f aca="false">IF($B1457="","",BA1457-BB1457)</f>
        <v/>
      </c>
      <c r="BD1457" s="35" t="str">
        <f aca="false">IF(OR($B1457="",$A1457=""),"",DAY(EOMONTH($A1457,0))-COUNTA($F1457:$AJ1457))</f>
        <v/>
      </c>
    </row>
    <row r="1458" customFormat="false" ht="15" hidden="false" customHeight="false" outlineLevel="0" collapsed="false">
      <c r="A1458" s="32"/>
      <c r="B1458" s="29"/>
      <c r="C1458" s="10" t="str">
        <f aca="false">IF($B1458="","",IFERROR(INDEX(M_name,MATCH($B1458,M_emp,0)),"Code not found"))</f>
        <v/>
      </c>
      <c r="D1458" s="10" t="str">
        <f aca="false">IF($B1458="","",IFERROR(INDEX(M_dept,MATCH($B1458,M_emp,0)),""))</f>
        <v/>
      </c>
      <c r="E1458" s="10" t="str">
        <f aca="false">IF($B1458="","",IFERROR(INDEX(M_loc,MATCH($B1458,M_emp,0)),""))</f>
        <v/>
      </c>
      <c r="F1458" s="33"/>
      <c r="G1458" s="33"/>
      <c r="H1458" s="33"/>
      <c r="I1458" s="33"/>
      <c r="J1458" s="33"/>
      <c r="K1458" s="33"/>
      <c r="L1458" s="33"/>
      <c r="M1458" s="33"/>
      <c r="N1458" s="33"/>
      <c r="O1458" s="33"/>
      <c r="P1458" s="33"/>
      <c r="Q1458" s="33"/>
      <c r="R1458" s="33"/>
      <c r="S1458" s="33"/>
      <c r="T1458" s="33"/>
      <c r="U1458" s="33"/>
      <c r="V1458" s="33"/>
      <c r="W1458" s="33"/>
      <c r="X1458" s="33"/>
      <c r="Y1458" s="33"/>
      <c r="Z1458" s="33"/>
      <c r="AA1458" s="33"/>
      <c r="AB1458" s="33"/>
      <c r="AC1458" s="33"/>
      <c r="AD1458" s="33"/>
      <c r="AE1458" s="33"/>
      <c r="AF1458" s="33"/>
      <c r="AG1458" s="33"/>
      <c r="AH1458" s="33"/>
      <c r="AI1458" s="33"/>
      <c r="AJ1458" s="33"/>
      <c r="AK1458" s="34" t="str">
        <f aca="false">IF($B1458="","",COUNTIF($F1458:$AJ1458,"P"))</f>
        <v/>
      </c>
      <c r="AL1458" s="34" t="str">
        <f aca="false">IF($B1458="","",COUNTIF($F1458:$AJ1458,"A"))</f>
        <v/>
      </c>
      <c r="AM1458" s="34" t="str">
        <f aca="false">IF($B1458="","",COUNTIF($F1458:$AJ1458,"HA"))</f>
        <v/>
      </c>
      <c r="AN1458" s="34" t="str">
        <f aca="false">IF($B1458="","",COUNTIF($F1458:$AJ1458,"L"))</f>
        <v/>
      </c>
      <c r="AO1458" s="34" t="str">
        <f aca="false">IF($B1458="","",COUNTIF($F1458:$AJ1458,"PL"))</f>
        <v/>
      </c>
      <c r="AP1458" s="34" t="str">
        <f aca="false">IF($B1458="","",COUNTIF($F1458:$AJ1458,"CL"))</f>
        <v/>
      </c>
      <c r="AQ1458" s="34" t="str">
        <f aca="false">IF($B1458="","",COUNTIF($F1458:$AJ1458,"SL"))</f>
        <v/>
      </c>
      <c r="AR1458" s="34" t="str">
        <f aca="false">IF($B1458="","",COUNTIF($F1458:$AJ1458,"CO"))</f>
        <v/>
      </c>
      <c r="AS1458" s="34" t="str">
        <f aca="false">IF($B1458="","",COUNTIF($F1458:$AJ1458,"HPL"))</f>
        <v/>
      </c>
      <c r="AT1458" s="34" t="str">
        <f aca="false">IF($B1458="","",COUNTIF($F1458:$AJ1458,"HCL"))</f>
        <v/>
      </c>
      <c r="AU1458" s="34" t="str">
        <f aca="false">IF($B1458="","",COUNTIF($F1458:$AJ1458,"WO"))</f>
        <v/>
      </c>
      <c r="AV1458" s="34" t="str">
        <f aca="false">IF($B1458="","",COUNTIF($F1458:$AJ1458,"PH"))</f>
        <v/>
      </c>
      <c r="AW1458" s="34" t="str">
        <f aca="false">IF($B1458="","",COUNTIF($F1458:$AJ1458,"TR"))</f>
        <v/>
      </c>
      <c r="AX1458" s="35" t="str">
        <f aca="false">IF($B1458="","",AO1458+AS1458/2)</f>
        <v/>
      </c>
      <c r="AY1458" s="35" t="str">
        <f aca="false">IF($B1458="","",AQ1458)</f>
        <v/>
      </c>
      <c r="AZ1458" s="35" t="str">
        <f aca="false">IF($B1458="","",AP1458+AT1458/2)</f>
        <v/>
      </c>
      <c r="BA1458" s="35" t="str">
        <f aca="false">IF($B1458="","",AK1458+AN1458+AM1458/2+AO1458+AP1458+AQ1458+AR1458+AS1458+AT1458+AU1458+AV1458+AW1458)</f>
        <v/>
      </c>
      <c r="BB1458" s="35" t="str">
        <f aca="false">IF($B1458="","",MAX(0,AN1458-Settings!$C$16)*Settings!$C$17)</f>
        <v/>
      </c>
      <c r="BC1458" s="35" t="str">
        <f aca="false">IF($B1458="","",BA1458-BB1458)</f>
        <v/>
      </c>
      <c r="BD1458" s="35" t="str">
        <f aca="false">IF(OR($B1458="",$A1458=""),"",DAY(EOMONTH($A1458,0))-COUNTA($F1458:$AJ1458))</f>
        <v/>
      </c>
    </row>
    <row r="1459" customFormat="false" ht="15" hidden="false" customHeight="false" outlineLevel="0" collapsed="false">
      <c r="A1459" s="32"/>
      <c r="B1459" s="29"/>
      <c r="C1459" s="10" t="str">
        <f aca="false">IF($B1459="","",IFERROR(INDEX(M_name,MATCH($B1459,M_emp,0)),"Code not found"))</f>
        <v/>
      </c>
      <c r="D1459" s="10" t="str">
        <f aca="false">IF($B1459="","",IFERROR(INDEX(M_dept,MATCH($B1459,M_emp,0)),""))</f>
        <v/>
      </c>
      <c r="E1459" s="10" t="str">
        <f aca="false">IF($B1459="","",IFERROR(INDEX(M_loc,MATCH($B1459,M_emp,0)),""))</f>
        <v/>
      </c>
      <c r="F1459" s="33"/>
      <c r="G1459" s="33"/>
      <c r="H1459" s="33"/>
      <c r="I1459" s="33"/>
      <c r="J1459" s="33"/>
      <c r="K1459" s="33"/>
      <c r="L1459" s="33"/>
      <c r="M1459" s="33"/>
      <c r="N1459" s="33"/>
      <c r="O1459" s="33"/>
      <c r="P1459" s="33"/>
      <c r="Q1459" s="33"/>
      <c r="R1459" s="33"/>
      <c r="S1459" s="33"/>
      <c r="T1459" s="33"/>
      <c r="U1459" s="33"/>
      <c r="V1459" s="33"/>
      <c r="W1459" s="33"/>
      <c r="X1459" s="33"/>
      <c r="Y1459" s="33"/>
      <c r="Z1459" s="33"/>
      <c r="AA1459" s="33"/>
      <c r="AB1459" s="33"/>
      <c r="AC1459" s="33"/>
      <c r="AD1459" s="33"/>
      <c r="AE1459" s="33"/>
      <c r="AF1459" s="33"/>
      <c r="AG1459" s="33"/>
      <c r="AH1459" s="33"/>
      <c r="AI1459" s="33"/>
      <c r="AJ1459" s="33"/>
      <c r="AK1459" s="34" t="str">
        <f aca="false">IF($B1459="","",COUNTIF($F1459:$AJ1459,"P"))</f>
        <v/>
      </c>
      <c r="AL1459" s="34" t="str">
        <f aca="false">IF($B1459="","",COUNTIF($F1459:$AJ1459,"A"))</f>
        <v/>
      </c>
      <c r="AM1459" s="34" t="str">
        <f aca="false">IF($B1459="","",COUNTIF($F1459:$AJ1459,"HA"))</f>
        <v/>
      </c>
      <c r="AN1459" s="34" t="str">
        <f aca="false">IF($B1459="","",COUNTIF($F1459:$AJ1459,"L"))</f>
        <v/>
      </c>
      <c r="AO1459" s="34" t="str">
        <f aca="false">IF($B1459="","",COUNTIF($F1459:$AJ1459,"PL"))</f>
        <v/>
      </c>
      <c r="AP1459" s="34" t="str">
        <f aca="false">IF($B1459="","",COUNTIF($F1459:$AJ1459,"CL"))</f>
        <v/>
      </c>
      <c r="AQ1459" s="34" t="str">
        <f aca="false">IF($B1459="","",COUNTIF($F1459:$AJ1459,"SL"))</f>
        <v/>
      </c>
      <c r="AR1459" s="34" t="str">
        <f aca="false">IF($B1459="","",COUNTIF($F1459:$AJ1459,"CO"))</f>
        <v/>
      </c>
      <c r="AS1459" s="34" t="str">
        <f aca="false">IF($B1459="","",COUNTIF($F1459:$AJ1459,"HPL"))</f>
        <v/>
      </c>
      <c r="AT1459" s="34" t="str">
        <f aca="false">IF($B1459="","",COUNTIF($F1459:$AJ1459,"HCL"))</f>
        <v/>
      </c>
      <c r="AU1459" s="34" t="str">
        <f aca="false">IF($B1459="","",COUNTIF($F1459:$AJ1459,"WO"))</f>
        <v/>
      </c>
      <c r="AV1459" s="34" t="str">
        <f aca="false">IF($B1459="","",COUNTIF($F1459:$AJ1459,"PH"))</f>
        <v/>
      </c>
      <c r="AW1459" s="34" t="str">
        <f aca="false">IF($B1459="","",COUNTIF($F1459:$AJ1459,"TR"))</f>
        <v/>
      </c>
      <c r="AX1459" s="35" t="str">
        <f aca="false">IF($B1459="","",AO1459+AS1459/2)</f>
        <v/>
      </c>
      <c r="AY1459" s="35" t="str">
        <f aca="false">IF($B1459="","",AQ1459)</f>
        <v/>
      </c>
      <c r="AZ1459" s="35" t="str">
        <f aca="false">IF($B1459="","",AP1459+AT1459/2)</f>
        <v/>
      </c>
      <c r="BA1459" s="35" t="str">
        <f aca="false">IF($B1459="","",AK1459+AN1459+AM1459/2+AO1459+AP1459+AQ1459+AR1459+AS1459+AT1459+AU1459+AV1459+AW1459)</f>
        <v/>
      </c>
      <c r="BB1459" s="35" t="str">
        <f aca="false">IF($B1459="","",MAX(0,AN1459-Settings!$C$16)*Settings!$C$17)</f>
        <v/>
      </c>
      <c r="BC1459" s="35" t="str">
        <f aca="false">IF($B1459="","",BA1459-BB1459)</f>
        <v/>
      </c>
      <c r="BD1459" s="35" t="str">
        <f aca="false">IF(OR($B1459="",$A1459=""),"",DAY(EOMONTH($A1459,0))-COUNTA($F1459:$AJ1459))</f>
        <v/>
      </c>
    </row>
    <row r="1460" customFormat="false" ht="15" hidden="false" customHeight="false" outlineLevel="0" collapsed="false">
      <c r="A1460" s="32"/>
      <c r="B1460" s="29"/>
      <c r="C1460" s="10" t="str">
        <f aca="false">IF($B1460="","",IFERROR(INDEX(M_name,MATCH($B1460,M_emp,0)),"Code not found"))</f>
        <v/>
      </c>
      <c r="D1460" s="10" t="str">
        <f aca="false">IF($B1460="","",IFERROR(INDEX(M_dept,MATCH($B1460,M_emp,0)),""))</f>
        <v/>
      </c>
      <c r="E1460" s="10" t="str">
        <f aca="false">IF($B1460="","",IFERROR(INDEX(M_loc,MATCH($B1460,M_emp,0)),""))</f>
        <v/>
      </c>
      <c r="F1460" s="33"/>
      <c r="G1460" s="33"/>
      <c r="H1460" s="33"/>
      <c r="I1460" s="33"/>
      <c r="J1460" s="33"/>
      <c r="K1460" s="33"/>
      <c r="L1460" s="33"/>
      <c r="M1460" s="33"/>
      <c r="N1460" s="33"/>
      <c r="O1460" s="33"/>
      <c r="P1460" s="33"/>
      <c r="Q1460" s="33"/>
      <c r="R1460" s="33"/>
      <c r="S1460" s="33"/>
      <c r="T1460" s="33"/>
      <c r="U1460" s="33"/>
      <c r="V1460" s="33"/>
      <c r="W1460" s="33"/>
      <c r="X1460" s="33"/>
      <c r="Y1460" s="33"/>
      <c r="Z1460" s="33"/>
      <c r="AA1460" s="33"/>
      <c r="AB1460" s="33"/>
      <c r="AC1460" s="33"/>
      <c r="AD1460" s="33"/>
      <c r="AE1460" s="33"/>
      <c r="AF1460" s="33"/>
      <c r="AG1460" s="33"/>
      <c r="AH1460" s="33"/>
      <c r="AI1460" s="33"/>
      <c r="AJ1460" s="33"/>
      <c r="AK1460" s="34" t="str">
        <f aca="false">IF($B1460="","",COUNTIF($F1460:$AJ1460,"P"))</f>
        <v/>
      </c>
      <c r="AL1460" s="34" t="str">
        <f aca="false">IF($B1460="","",COUNTIF($F1460:$AJ1460,"A"))</f>
        <v/>
      </c>
      <c r="AM1460" s="34" t="str">
        <f aca="false">IF($B1460="","",COUNTIF($F1460:$AJ1460,"HA"))</f>
        <v/>
      </c>
      <c r="AN1460" s="34" t="str">
        <f aca="false">IF($B1460="","",COUNTIF($F1460:$AJ1460,"L"))</f>
        <v/>
      </c>
      <c r="AO1460" s="34" t="str">
        <f aca="false">IF($B1460="","",COUNTIF($F1460:$AJ1460,"PL"))</f>
        <v/>
      </c>
      <c r="AP1460" s="34" t="str">
        <f aca="false">IF($B1460="","",COUNTIF($F1460:$AJ1460,"CL"))</f>
        <v/>
      </c>
      <c r="AQ1460" s="34" t="str">
        <f aca="false">IF($B1460="","",COUNTIF($F1460:$AJ1460,"SL"))</f>
        <v/>
      </c>
      <c r="AR1460" s="34" t="str">
        <f aca="false">IF($B1460="","",COUNTIF($F1460:$AJ1460,"CO"))</f>
        <v/>
      </c>
      <c r="AS1460" s="34" t="str">
        <f aca="false">IF($B1460="","",COUNTIF($F1460:$AJ1460,"HPL"))</f>
        <v/>
      </c>
      <c r="AT1460" s="34" t="str">
        <f aca="false">IF($B1460="","",COUNTIF($F1460:$AJ1460,"HCL"))</f>
        <v/>
      </c>
      <c r="AU1460" s="34" t="str">
        <f aca="false">IF($B1460="","",COUNTIF($F1460:$AJ1460,"WO"))</f>
        <v/>
      </c>
      <c r="AV1460" s="34" t="str">
        <f aca="false">IF($B1460="","",COUNTIF($F1460:$AJ1460,"PH"))</f>
        <v/>
      </c>
      <c r="AW1460" s="34" t="str">
        <f aca="false">IF($B1460="","",COUNTIF($F1460:$AJ1460,"TR"))</f>
        <v/>
      </c>
      <c r="AX1460" s="35" t="str">
        <f aca="false">IF($B1460="","",AO1460+AS1460/2)</f>
        <v/>
      </c>
      <c r="AY1460" s="35" t="str">
        <f aca="false">IF($B1460="","",AQ1460)</f>
        <v/>
      </c>
      <c r="AZ1460" s="35" t="str">
        <f aca="false">IF($B1460="","",AP1460+AT1460/2)</f>
        <v/>
      </c>
      <c r="BA1460" s="35" t="str">
        <f aca="false">IF($B1460="","",AK1460+AN1460+AM1460/2+AO1460+AP1460+AQ1460+AR1460+AS1460+AT1460+AU1460+AV1460+AW1460)</f>
        <v/>
      </c>
      <c r="BB1460" s="35" t="str">
        <f aca="false">IF($B1460="","",MAX(0,AN1460-Settings!$C$16)*Settings!$C$17)</f>
        <v/>
      </c>
      <c r="BC1460" s="35" t="str">
        <f aca="false">IF($B1460="","",BA1460-BB1460)</f>
        <v/>
      </c>
      <c r="BD1460" s="35" t="str">
        <f aca="false">IF(OR($B1460="",$A1460=""),"",DAY(EOMONTH($A1460,0))-COUNTA($F1460:$AJ1460))</f>
        <v/>
      </c>
    </row>
    <row r="1461" customFormat="false" ht="15" hidden="false" customHeight="false" outlineLevel="0" collapsed="false">
      <c r="A1461" s="32"/>
      <c r="B1461" s="29"/>
      <c r="C1461" s="10" t="str">
        <f aca="false">IF($B1461="","",IFERROR(INDEX(M_name,MATCH($B1461,M_emp,0)),"Code not found"))</f>
        <v/>
      </c>
      <c r="D1461" s="10" t="str">
        <f aca="false">IF($B1461="","",IFERROR(INDEX(M_dept,MATCH($B1461,M_emp,0)),""))</f>
        <v/>
      </c>
      <c r="E1461" s="10" t="str">
        <f aca="false">IF($B1461="","",IFERROR(INDEX(M_loc,MATCH($B1461,M_emp,0)),""))</f>
        <v/>
      </c>
      <c r="F1461" s="33"/>
      <c r="G1461" s="33"/>
      <c r="H1461" s="33"/>
      <c r="I1461" s="33"/>
      <c r="J1461" s="33"/>
      <c r="K1461" s="33"/>
      <c r="L1461" s="33"/>
      <c r="M1461" s="33"/>
      <c r="N1461" s="33"/>
      <c r="O1461" s="33"/>
      <c r="P1461" s="33"/>
      <c r="Q1461" s="33"/>
      <c r="R1461" s="33"/>
      <c r="S1461" s="33"/>
      <c r="T1461" s="33"/>
      <c r="U1461" s="33"/>
      <c r="V1461" s="33"/>
      <c r="W1461" s="33"/>
      <c r="X1461" s="33"/>
      <c r="Y1461" s="33"/>
      <c r="Z1461" s="33"/>
      <c r="AA1461" s="33"/>
      <c r="AB1461" s="33"/>
      <c r="AC1461" s="33"/>
      <c r="AD1461" s="33"/>
      <c r="AE1461" s="33"/>
      <c r="AF1461" s="33"/>
      <c r="AG1461" s="33"/>
      <c r="AH1461" s="33"/>
      <c r="AI1461" s="33"/>
      <c r="AJ1461" s="33"/>
      <c r="AK1461" s="34" t="str">
        <f aca="false">IF($B1461="","",COUNTIF($F1461:$AJ1461,"P"))</f>
        <v/>
      </c>
      <c r="AL1461" s="34" t="str">
        <f aca="false">IF($B1461="","",COUNTIF($F1461:$AJ1461,"A"))</f>
        <v/>
      </c>
      <c r="AM1461" s="34" t="str">
        <f aca="false">IF($B1461="","",COUNTIF($F1461:$AJ1461,"HA"))</f>
        <v/>
      </c>
      <c r="AN1461" s="34" t="str">
        <f aca="false">IF($B1461="","",COUNTIF($F1461:$AJ1461,"L"))</f>
        <v/>
      </c>
      <c r="AO1461" s="34" t="str">
        <f aca="false">IF($B1461="","",COUNTIF($F1461:$AJ1461,"PL"))</f>
        <v/>
      </c>
      <c r="AP1461" s="34" t="str">
        <f aca="false">IF($B1461="","",COUNTIF($F1461:$AJ1461,"CL"))</f>
        <v/>
      </c>
      <c r="AQ1461" s="34" t="str">
        <f aca="false">IF($B1461="","",COUNTIF($F1461:$AJ1461,"SL"))</f>
        <v/>
      </c>
      <c r="AR1461" s="34" t="str">
        <f aca="false">IF($B1461="","",COUNTIF($F1461:$AJ1461,"CO"))</f>
        <v/>
      </c>
      <c r="AS1461" s="34" t="str">
        <f aca="false">IF($B1461="","",COUNTIF($F1461:$AJ1461,"HPL"))</f>
        <v/>
      </c>
      <c r="AT1461" s="34" t="str">
        <f aca="false">IF($B1461="","",COUNTIF($F1461:$AJ1461,"HCL"))</f>
        <v/>
      </c>
      <c r="AU1461" s="34" t="str">
        <f aca="false">IF($B1461="","",COUNTIF($F1461:$AJ1461,"WO"))</f>
        <v/>
      </c>
      <c r="AV1461" s="34" t="str">
        <f aca="false">IF($B1461="","",COUNTIF($F1461:$AJ1461,"PH"))</f>
        <v/>
      </c>
      <c r="AW1461" s="34" t="str">
        <f aca="false">IF($B1461="","",COUNTIF($F1461:$AJ1461,"TR"))</f>
        <v/>
      </c>
      <c r="AX1461" s="35" t="str">
        <f aca="false">IF($B1461="","",AO1461+AS1461/2)</f>
        <v/>
      </c>
      <c r="AY1461" s="35" t="str">
        <f aca="false">IF($B1461="","",AQ1461)</f>
        <v/>
      </c>
      <c r="AZ1461" s="35" t="str">
        <f aca="false">IF($B1461="","",AP1461+AT1461/2)</f>
        <v/>
      </c>
      <c r="BA1461" s="35" t="str">
        <f aca="false">IF($B1461="","",AK1461+AN1461+AM1461/2+AO1461+AP1461+AQ1461+AR1461+AS1461+AT1461+AU1461+AV1461+AW1461)</f>
        <v/>
      </c>
      <c r="BB1461" s="35" t="str">
        <f aca="false">IF($B1461="","",MAX(0,AN1461-Settings!$C$16)*Settings!$C$17)</f>
        <v/>
      </c>
      <c r="BC1461" s="35" t="str">
        <f aca="false">IF($B1461="","",BA1461-BB1461)</f>
        <v/>
      </c>
      <c r="BD1461" s="35" t="str">
        <f aca="false">IF(OR($B1461="",$A1461=""),"",DAY(EOMONTH($A1461,0))-COUNTA($F1461:$AJ1461))</f>
        <v/>
      </c>
    </row>
    <row r="1462" customFormat="false" ht="15" hidden="false" customHeight="false" outlineLevel="0" collapsed="false">
      <c r="A1462" s="32"/>
      <c r="B1462" s="29"/>
      <c r="C1462" s="10" t="str">
        <f aca="false">IF($B1462="","",IFERROR(INDEX(M_name,MATCH($B1462,M_emp,0)),"Code not found"))</f>
        <v/>
      </c>
      <c r="D1462" s="10" t="str">
        <f aca="false">IF($B1462="","",IFERROR(INDEX(M_dept,MATCH($B1462,M_emp,0)),""))</f>
        <v/>
      </c>
      <c r="E1462" s="10" t="str">
        <f aca="false">IF($B1462="","",IFERROR(INDEX(M_loc,MATCH($B1462,M_emp,0)),""))</f>
        <v/>
      </c>
      <c r="F1462" s="33"/>
      <c r="G1462" s="33"/>
      <c r="H1462" s="33"/>
      <c r="I1462" s="33"/>
      <c r="J1462" s="33"/>
      <c r="K1462" s="33"/>
      <c r="L1462" s="33"/>
      <c r="M1462" s="33"/>
      <c r="N1462" s="33"/>
      <c r="O1462" s="33"/>
      <c r="P1462" s="33"/>
      <c r="Q1462" s="33"/>
      <c r="R1462" s="33"/>
      <c r="S1462" s="33"/>
      <c r="T1462" s="33"/>
      <c r="U1462" s="33"/>
      <c r="V1462" s="33"/>
      <c r="W1462" s="33"/>
      <c r="X1462" s="33"/>
      <c r="Y1462" s="33"/>
      <c r="Z1462" s="33"/>
      <c r="AA1462" s="33"/>
      <c r="AB1462" s="33"/>
      <c r="AC1462" s="33"/>
      <c r="AD1462" s="33"/>
      <c r="AE1462" s="33"/>
      <c r="AF1462" s="33"/>
      <c r="AG1462" s="33"/>
      <c r="AH1462" s="33"/>
      <c r="AI1462" s="33"/>
      <c r="AJ1462" s="33"/>
      <c r="AK1462" s="34" t="str">
        <f aca="false">IF($B1462="","",COUNTIF($F1462:$AJ1462,"P"))</f>
        <v/>
      </c>
      <c r="AL1462" s="34" t="str">
        <f aca="false">IF($B1462="","",COUNTIF($F1462:$AJ1462,"A"))</f>
        <v/>
      </c>
      <c r="AM1462" s="34" t="str">
        <f aca="false">IF($B1462="","",COUNTIF($F1462:$AJ1462,"HA"))</f>
        <v/>
      </c>
      <c r="AN1462" s="34" t="str">
        <f aca="false">IF($B1462="","",COUNTIF($F1462:$AJ1462,"L"))</f>
        <v/>
      </c>
      <c r="AO1462" s="34" t="str">
        <f aca="false">IF($B1462="","",COUNTIF($F1462:$AJ1462,"PL"))</f>
        <v/>
      </c>
      <c r="AP1462" s="34" t="str">
        <f aca="false">IF($B1462="","",COUNTIF($F1462:$AJ1462,"CL"))</f>
        <v/>
      </c>
      <c r="AQ1462" s="34" t="str">
        <f aca="false">IF($B1462="","",COUNTIF($F1462:$AJ1462,"SL"))</f>
        <v/>
      </c>
      <c r="AR1462" s="34" t="str">
        <f aca="false">IF($B1462="","",COUNTIF($F1462:$AJ1462,"CO"))</f>
        <v/>
      </c>
      <c r="AS1462" s="34" t="str">
        <f aca="false">IF($B1462="","",COUNTIF($F1462:$AJ1462,"HPL"))</f>
        <v/>
      </c>
      <c r="AT1462" s="34" t="str">
        <f aca="false">IF($B1462="","",COUNTIF($F1462:$AJ1462,"HCL"))</f>
        <v/>
      </c>
      <c r="AU1462" s="34" t="str">
        <f aca="false">IF($B1462="","",COUNTIF($F1462:$AJ1462,"WO"))</f>
        <v/>
      </c>
      <c r="AV1462" s="34" t="str">
        <f aca="false">IF($B1462="","",COUNTIF($F1462:$AJ1462,"PH"))</f>
        <v/>
      </c>
      <c r="AW1462" s="34" t="str">
        <f aca="false">IF($B1462="","",COUNTIF($F1462:$AJ1462,"TR"))</f>
        <v/>
      </c>
      <c r="AX1462" s="35" t="str">
        <f aca="false">IF($B1462="","",AO1462+AS1462/2)</f>
        <v/>
      </c>
      <c r="AY1462" s="35" t="str">
        <f aca="false">IF($B1462="","",AQ1462)</f>
        <v/>
      </c>
      <c r="AZ1462" s="35" t="str">
        <f aca="false">IF($B1462="","",AP1462+AT1462/2)</f>
        <v/>
      </c>
      <c r="BA1462" s="35" t="str">
        <f aca="false">IF($B1462="","",AK1462+AN1462+AM1462/2+AO1462+AP1462+AQ1462+AR1462+AS1462+AT1462+AU1462+AV1462+AW1462)</f>
        <v/>
      </c>
      <c r="BB1462" s="35" t="str">
        <f aca="false">IF($B1462="","",MAX(0,AN1462-Settings!$C$16)*Settings!$C$17)</f>
        <v/>
      </c>
      <c r="BC1462" s="35" t="str">
        <f aca="false">IF($B1462="","",BA1462-BB1462)</f>
        <v/>
      </c>
      <c r="BD1462" s="35" t="str">
        <f aca="false">IF(OR($B1462="",$A1462=""),"",DAY(EOMONTH($A1462,0))-COUNTA($F1462:$AJ1462))</f>
        <v/>
      </c>
    </row>
    <row r="1463" customFormat="false" ht="15" hidden="false" customHeight="false" outlineLevel="0" collapsed="false">
      <c r="A1463" s="32"/>
      <c r="B1463" s="29"/>
      <c r="C1463" s="10" t="str">
        <f aca="false">IF($B1463="","",IFERROR(INDEX(M_name,MATCH($B1463,M_emp,0)),"Code not found"))</f>
        <v/>
      </c>
      <c r="D1463" s="10" t="str">
        <f aca="false">IF($B1463="","",IFERROR(INDEX(M_dept,MATCH($B1463,M_emp,0)),""))</f>
        <v/>
      </c>
      <c r="E1463" s="10" t="str">
        <f aca="false">IF($B1463="","",IFERROR(INDEX(M_loc,MATCH($B1463,M_emp,0)),""))</f>
        <v/>
      </c>
      <c r="F1463" s="33"/>
      <c r="G1463" s="33"/>
      <c r="H1463" s="33"/>
      <c r="I1463" s="33"/>
      <c r="J1463" s="33"/>
      <c r="K1463" s="33"/>
      <c r="L1463" s="33"/>
      <c r="M1463" s="33"/>
      <c r="N1463" s="33"/>
      <c r="O1463" s="33"/>
      <c r="P1463" s="33"/>
      <c r="Q1463" s="33"/>
      <c r="R1463" s="33"/>
      <c r="S1463" s="33"/>
      <c r="T1463" s="33"/>
      <c r="U1463" s="33"/>
      <c r="V1463" s="33"/>
      <c r="W1463" s="33"/>
      <c r="X1463" s="33"/>
      <c r="Y1463" s="33"/>
      <c r="Z1463" s="33"/>
      <c r="AA1463" s="33"/>
      <c r="AB1463" s="33"/>
      <c r="AC1463" s="33"/>
      <c r="AD1463" s="33"/>
      <c r="AE1463" s="33"/>
      <c r="AF1463" s="33"/>
      <c r="AG1463" s="33"/>
      <c r="AH1463" s="33"/>
      <c r="AI1463" s="33"/>
      <c r="AJ1463" s="33"/>
      <c r="AK1463" s="34" t="str">
        <f aca="false">IF($B1463="","",COUNTIF($F1463:$AJ1463,"P"))</f>
        <v/>
      </c>
      <c r="AL1463" s="34" t="str">
        <f aca="false">IF($B1463="","",COUNTIF($F1463:$AJ1463,"A"))</f>
        <v/>
      </c>
      <c r="AM1463" s="34" t="str">
        <f aca="false">IF($B1463="","",COUNTIF($F1463:$AJ1463,"HA"))</f>
        <v/>
      </c>
      <c r="AN1463" s="34" t="str">
        <f aca="false">IF($B1463="","",COUNTIF($F1463:$AJ1463,"L"))</f>
        <v/>
      </c>
      <c r="AO1463" s="34" t="str">
        <f aca="false">IF($B1463="","",COUNTIF($F1463:$AJ1463,"PL"))</f>
        <v/>
      </c>
      <c r="AP1463" s="34" t="str">
        <f aca="false">IF($B1463="","",COUNTIF($F1463:$AJ1463,"CL"))</f>
        <v/>
      </c>
      <c r="AQ1463" s="34" t="str">
        <f aca="false">IF($B1463="","",COUNTIF($F1463:$AJ1463,"SL"))</f>
        <v/>
      </c>
      <c r="AR1463" s="34" t="str">
        <f aca="false">IF($B1463="","",COUNTIF($F1463:$AJ1463,"CO"))</f>
        <v/>
      </c>
      <c r="AS1463" s="34" t="str">
        <f aca="false">IF($B1463="","",COUNTIF($F1463:$AJ1463,"HPL"))</f>
        <v/>
      </c>
      <c r="AT1463" s="34" t="str">
        <f aca="false">IF($B1463="","",COUNTIF($F1463:$AJ1463,"HCL"))</f>
        <v/>
      </c>
      <c r="AU1463" s="34" t="str">
        <f aca="false">IF($B1463="","",COUNTIF($F1463:$AJ1463,"WO"))</f>
        <v/>
      </c>
      <c r="AV1463" s="34" t="str">
        <f aca="false">IF($B1463="","",COUNTIF($F1463:$AJ1463,"PH"))</f>
        <v/>
      </c>
      <c r="AW1463" s="34" t="str">
        <f aca="false">IF($B1463="","",COUNTIF($F1463:$AJ1463,"TR"))</f>
        <v/>
      </c>
      <c r="AX1463" s="35" t="str">
        <f aca="false">IF($B1463="","",AO1463+AS1463/2)</f>
        <v/>
      </c>
      <c r="AY1463" s="35" t="str">
        <f aca="false">IF($B1463="","",AQ1463)</f>
        <v/>
      </c>
      <c r="AZ1463" s="35" t="str">
        <f aca="false">IF($B1463="","",AP1463+AT1463/2)</f>
        <v/>
      </c>
      <c r="BA1463" s="35" t="str">
        <f aca="false">IF($B1463="","",AK1463+AN1463+AM1463/2+AO1463+AP1463+AQ1463+AR1463+AS1463+AT1463+AU1463+AV1463+AW1463)</f>
        <v/>
      </c>
      <c r="BB1463" s="35" t="str">
        <f aca="false">IF($B1463="","",MAX(0,AN1463-Settings!$C$16)*Settings!$C$17)</f>
        <v/>
      </c>
      <c r="BC1463" s="35" t="str">
        <f aca="false">IF($B1463="","",BA1463-BB1463)</f>
        <v/>
      </c>
      <c r="BD1463" s="35" t="str">
        <f aca="false">IF(OR($B1463="",$A1463=""),"",DAY(EOMONTH($A1463,0))-COUNTA($F1463:$AJ1463))</f>
        <v/>
      </c>
    </row>
    <row r="1464" customFormat="false" ht="15" hidden="false" customHeight="false" outlineLevel="0" collapsed="false">
      <c r="A1464" s="32"/>
      <c r="B1464" s="29"/>
      <c r="C1464" s="10" t="str">
        <f aca="false">IF($B1464="","",IFERROR(INDEX(M_name,MATCH($B1464,M_emp,0)),"Code not found"))</f>
        <v/>
      </c>
      <c r="D1464" s="10" t="str">
        <f aca="false">IF($B1464="","",IFERROR(INDEX(M_dept,MATCH($B1464,M_emp,0)),""))</f>
        <v/>
      </c>
      <c r="E1464" s="10" t="str">
        <f aca="false">IF($B1464="","",IFERROR(INDEX(M_loc,MATCH($B1464,M_emp,0)),""))</f>
        <v/>
      </c>
      <c r="F1464" s="33"/>
      <c r="G1464" s="33"/>
      <c r="H1464" s="33"/>
      <c r="I1464" s="33"/>
      <c r="J1464" s="33"/>
      <c r="K1464" s="33"/>
      <c r="L1464" s="33"/>
      <c r="M1464" s="33"/>
      <c r="N1464" s="33"/>
      <c r="O1464" s="33"/>
      <c r="P1464" s="33"/>
      <c r="Q1464" s="33"/>
      <c r="R1464" s="33"/>
      <c r="S1464" s="33"/>
      <c r="T1464" s="33"/>
      <c r="U1464" s="33"/>
      <c r="V1464" s="33"/>
      <c r="W1464" s="33"/>
      <c r="X1464" s="33"/>
      <c r="Y1464" s="33"/>
      <c r="Z1464" s="33"/>
      <c r="AA1464" s="33"/>
      <c r="AB1464" s="33"/>
      <c r="AC1464" s="33"/>
      <c r="AD1464" s="33"/>
      <c r="AE1464" s="33"/>
      <c r="AF1464" s="33"/>
      <c r="AG1464" s="33"/>
      <c r="AH1464" s="33"/>
      <c r="AI1464" s="33"/>
      <c r="AJ1464" s="33"/>
      <c r="AK1464" s="34" t="str">
        <f aca="false">IF($B1464="","",COUNTIF($F1464:$AJ1464,"P"))</f>
        <v/>
      </c>
      <c r="AL1464" s="34" t="str">
        <f aca="false">IF($B1464="","",COUNTIF($F1464:$AJ1464,"A"))</f>
        <v/>
      </c>
      <c r="AM1464" s="34" t="str">
        <f aca="false">IF($B1464="","",COUNTIF($F1464:$AJ1464,"HA"))</f>
        <v/>
      </c>
      <c r="AN1464" s="34" t="str">
        <f aca="false">IF($B1464="","",COUNTIF($F1464:$AJ1464,"L"))</f>
        <v/>
      </c>
      <c r="AO1464" s="34" t="str">
        <f aca="false">IF($B1464="","",COUNTIF($F1464:$AJ1464,"PL"))</f>
        <v/>
      </c>
      <c r="AP1464" s="34" t="str">
        <f aca="false">IF($B1464="","",COUNTIF($F1464:$AJ1464,"CL"))</f>
        <v/>
      </c>
      <c r="AQ1464" s="34" t="str">
        <f aca="false">IF($B1464="","",COUNTIF($F1464:$AJ1464,"SL"))</f>
        <v/>
      </c>
      <c r="AR1464" s="34" t="str">
        <f aca="false">IF($B1464="","",COUNTIF($F1464:$AJ1464,"CO"))</f>
        <v/>
      </c>
      <c r="AS1464" s="34" t="str">
        <f aca="false">IF($B1464="","",COUNTIF($F1464:$AJ1464,"HPL"))</f>
        <v/>
      </c>
      <c r="AT1464" s="34" t="str">
        <f aca="false">IF($B1464="","",COUNTIF($F1464:$AJ1464,"HCL"))</f>
        <v/>
      </c>
      <c r="AU1464" s="34" t="str">
        <f aca="false">IF($B1464="","",COUNTIF($F1464:$AJ1464,"WO"))</f>
        <v/>
      </c>
      <c r="AV1464" s="34" t="str">
        <f aca="false">IF($B1464="","",COUNTIF($F1464:$AJ1464,"PH"))</f>
        <v/>
      </c>
      <c r="AW1464" s="34" t="str">
        <f aca="false">IF($B1464="","",COUNTIF($F1464:$AJ1464,"TR"))</f>
        <v/>
      </c>
      <c r="AX1464" s="35" t="str">
        <f aca="false">IF($B1464="","",AO1464+AS1464/2)</f>
        <v/>
      </c>
      <c r="AY1464" s="35" t="str">
        <f aca="false">IF($B1464="","",AQ1464)</f>
        <v/>
      </c>
      <c r="AZ1464" s="35" t="str">
        <f aca="false">IF($B1464="","",AP1464+AT1464/2)</f>
        <v/>
      </c>
      <c r="BA1464" s="35" t="str">
        <f aca="false">IF($B1464="","",AK1464+AN1464+AM1464/2+AO1464+AP1464+AQ1464+AR1464+AS1464+AT1464+AU1464+AV1464+AW1464)</f>
        <v/>
      </c>
      <c r="BB1464" s="35" t="str">
        <f aca="false">IF($B1464="","",MAX(0,AN1464-Settings!$C$16)*Settings!$C$17)</f>
        <v/>
      </c>
      <c r="BC1464" s="35" t="str">
        <f aca="false">IF($B1464="","",BA1464-BB1464)</f>
        <v/>
      </c>
      <c r="BD1464" s="35" t="str">
        <f aca="false">IF(OR($B1464="",$A1464=""),"",DAY(EOMONTH($A1464,0))-COUNTA($F1464:$AJ1464))</f>
        <v/>
      </c>
    </row>
    <row r="1465" customFormat="false" ht="15" hidden="false" customHeight="false" outlineLevel="0" collapsed="false">
      <c r="A1465" s="32"/>
      <c r="B1465" s="29"/>
      <c r="C1465" s="10" t="str">
        <f aca="false">IF($B1465="","",IFERROR(INDEX(M_name,MATCH($B1465,M_emp,0)),"Code not found"))</f>
        <v/>
      </c>
      <c r="D1465" s="10" t="str">
        <f aca="false">IF($B1465="","",IFERROR(INDEX(M_dept,MATCH($B1465,M_emp,0)),""))</f>
        <v/>
      </c>
      <c r="E1465" s="10" t="str">
        <f aca="false">IF($B1465="","",IFERROR(INDEX(M_loc,MATCH($B1465,M_emp,0)),""))</f>
        <v/>
      </c>
      <c r="F1465" s="33"/>
      <c r="G1465" s="33"/>
      <c r="H1465" s="33"/>
      <c r="I1465" s="33"/>
      <c r="J1465" s="33"/>
      <c r="K1465" s="33"/>
      <c r="L1465" s="33"/>
      <c r="M1465" s="33"/>
      <c r="N1465" s="33"/>
      <c r="O1465" s="33"/>
      <c r="P1465" s="33"/>
      <c r="Q1465" s="33"/>
      <c r="R1465" s="33"/>
      <c r="S1465" s="33"/>
      <c r="T1465" s="33"/>
      <c r="U1465" s="33"/>
      <c r="V1465" s="33"/>
      <c r="W1465" s="33"/>
      <c r="X1465" s="33"/>
      <c r="Y1465" s="33"/>
      <c r="Z1465" s="33"/>
      <c r="AA1465" s="33"/>
      <c r="AB1465" s="33"/>
      <c r="AC1465" s="33"/>
      <c r="AD1465" s="33"/>
      <c r="AE1465" s="33"/>
      <c r="AF1465" s="33"/>
      <c r="AG1465" s="33"/>
      <c r="AH1465" s="33"/>
      <c r="AI1465" s="33"/>
      <c r="AJ1465" s="33"/>
      <c r="AK1465" s="34" t="str">
        <f aca="false">IF($B1465="","",COUNTIF($F1465:$AJ1465,"P"))</f>
        <v/>
      </c>
      <c r="AL1465" s="34" t="str">
        <f aca="false">IF($B1465="","",COUNTIF($F1465:$AJ1465,"A"))</f>
        <v/>
      </c>
      <c r="AM1465" s="34" t="str">
        <f aca="false">IF($B1465="","",COUNTIF($F1465:$AJ1465,"HA"))</f>
        <v/>
      </c>
      <c r="AN1465" s="34" t="str">
        <f aca="false">IF($B1465="","",COUNTIF($F1465:$AJ1465,"L"))</f>
        <v/>
      </c>
      <c r="AO1465" s="34" t="str">
        <f aca="false">IF($B1465="","",COUNTIF($F1465:$AJ1465,"PL"))</f>
        <v/>
      </c>
      <c r="AP1465" s="34" t="str">
        <f aca="false">IF($B1465="","",COUNTIF($F1465:$AJ1465,"CL"))</f>
        <v/>
      </c>
      <c r="AQ1465" s="34" t="str">
        <f aca="false">IF($B1465="","",COUNTIF($F1465:$AJ1465,"SL"))</f>
        <v/>
      </c>
      <c r="AR1465" s="34" t="str">
        <f aca="false">IF($B1465="","",COUNTIF($F1465:$AJ1465,"CO"))</f>
        <v/>
      </c>
      <c r="AS1465" s="34" t="str">
        <f aca="false">IF($B1465="","",COUNTIF($F1465:$AJ1465,"HPL"))</f>
        <v/>
      </c>
      <c r="AT1465" s="34" t="str">
        <f aca="false">IF($B1465="","",COUNTIF($F1465:$AJ1465,"HCL"))</f>
        <v/>
      </c>
      <c r="AU1465" s="34" t="str">
        <f aca="false">IF($B1465="","",COUNTIF($F1465:$AJ1465,"WO"))</f>
        <v/>
      </c>
      <c r="AV1465" s="34" t="str">
        <f aca="false">IF($B1465="","",COUNTIF($F1465:$AJ1465,"PH"))</f>
        <v/>
      </c>
      <c r="AW1465" s="34" t="str">
        <f aca="false">IF($B1465="","",COUNTIF($F1465:$AJ1465,"TR"))</f>
        <v/>
      </c>
      <c r="AX1465" s="35" t="str">
        <f aca="false">IF($B1465="","",AO1465+AS1465/2)</f>
        <v/>
      </c>
      <c r="AY1465" s="35" t="str">
        <f aca="false">IF($B1465="","",AQ1465)</f>
        <v/>
      </c>
      <c r="AZ1465" s="35" t="str">
        <f aca="false">IF($B1465="","",AP1465+AT1465/2)</f>
        <v/>
      </c>
      <c r="BA1465" s="35" t="str">
        <f aca="false">IF($B1465="","",AK1465+AN1465+AM1465/2+AO1465+AP1465+AQ1465+AR1465+AS1465+AT1465+AU1465+AV1465+AW1465)</f>
        <v/>
      </c>
      <c r="BB1465" s="35" t="str">
        <f aca="false">IF($B1465="","",MAX(0,AN1465-Settings!$C$16)*Settings!$C$17)</f>
        <v/>
      </c>
      <c r="BC1465" s="35" t="str">
        <f aca="false">IF($B1465="","",BA1465-BB1465)</f>
        <v/>
      </c>
      <c r="BD1465" s="35" t="str">
        <f aca="false">IF(OR($B1465="",$A1465=""),"",DAY(EOMONTH($A1465,0))-COUNTA($F1465:$AJ1465))</f>
        <v/>
      </c>
    </row>
    <row r="1466" customFormat="false" ht="15" hidden="false" customHeight="false" outlineLevel="0" collapsed="false">
      <c r="A1466" s="32"/>
      <c r="B1466" s="29"/>
      <c r="C1466" s="10" t="str">
        <f aca="false">IF($B1466="","",IFERROR(INDEX(M_name,MATCH($B1466,M_emp,0)),"Code not found"))</f>
        <v/>
      </c>
      <c r="D1466" s="10" t="str">
        <f aca="false">IF($B1466="","",IFERROR(INDEX(M_dept,MATCH($B1466,M_emp,0)),""))</f>
        <v/>
      </c>
      <c r="E1466" s="10" t="str">
        <f aca="false">IF($B1466="","",IFERROR(INDEX(M_loc,MATCH($B1466,M_emp,0)),""))</f>
        <v/>
      </c>
      <c r="F1466" s="33"/>
      <c r="G1466" s="33"/>
      <c r="H1466" s="33"/>
      <c r="I1466" s="33"/>
      <c r="J1466" s="33"/>
      <c r="K1466" s="33"/>
      <c r="L1466" s="33"/>
      <c r="M1466" s="33"/>
      <c r="N1466" s="33"/>
      <c r="O1466" s="33"/>
      <c r="P1466" s="33"/>
      <c r="Q1466" s="33"/>
      <c r="R1466" s="33"/>
      <c r="S1466" s="33"/>
      <c r="T1466" s="33"/>
      <c r="U1466" s="33"/>
      <c r="V1466" s="33"/>
      <c r="W1466" s="33"/>
      <c r="X1466" s="33"/>
      <c r="Y1466" s="33"/>
      <c r="Z1466" s="33"/>
      <c r="AA1466" s="33"/>
      <c r="AB1466" s="33"/>
      <c r="AC1466" s="33"/>
      <c r="AD1466" s="33"/>
      <c r="AE1466" s="33"/>
      <c r="AF1466" s="33"/>
      <c r="AG1466" s="33"/>
      <c r="AH1466" s="33"/>
      <c r="AI1466" s="33"/>
      <c r="AJ1466" s="33"/>
      <c r="AK1466" s="34" t="str">
        <f aca="false">IF($B1466="","",COUNTIF($F1466:$AJ1466,"P"))</f>
        <v/>
      </c>
      <c r="AL1466" s="34" t="str">
        <f aca="false">IF($B1466="","",COUNTIF($F1466:$AJ1466,"A"))</f>
        <v/>
      </c>
      <c r="AM1466" s="34" t="str">
        <f aca="false">IF($B1466="","",COUNTIF($F1466:$AJ1466,"HA"))</f>
        <v/>
      </c>
      <c r="AN1466" s="34" t="str">
        <f aca="false">IF($B1466="","",COUNTIF($F1466:$AJ1466,"L"))</f>
        <v/>
      </c>
      <c r="AO1466" s="34" t="str">
        <f aca="false">IF($B1466="","",COUNTIF($F1466:$AJ1466,"PL"))</f>
        <v/>
      </c>
      <c r="AP1466" s="34" t="str">
        <f aca="false">IF($B1466="","",COUNTIF($F1466:$AJ1466,"CL"))</f>
        <v/>
      </c>
      <c r="AQ1466" s="34" t="str">
        <f aca="false">IF($B1466="","",COUNTIF($F1466:$AJ1466,"SL"))</f>
        <v/>
      </c>
      <c r="AR1466" s="34" t="str">
        <f aca="false">IF($B1466="","",COUNTIF($F1466:$AJ1466,"CO"))</f>
        <v/>
      </c>
      <c r="AS1466" s="34" t="str">
        <f aca="false">IF($B1466="","",COUNTIF($F1466:$AJ1466,"HPL"))</f>
        <v/>
      </c>
      <c r="AT1466" s="34" t="str">
        <f aca="false">IF($B1466="","",COUNTIF($F1466:$AJ1466,"HCL"))</f>
        <v/>
      </c>
      <c r="AU1466" s="34" t="str">
        <f aca="false">IF($B1466="","",COUNTIF($F1466:$AJ1466,"WO"))</f>
        <v/>
      </c>
      <c r="AV1466" s="34" t="str">
        <f aca="false">IF($B1466="","",COUNTIF($F1466:$AJ1466,"PH"))</f>
        <v/>
      </c>
      <c r="AW1466" s="34" t="str">
        <f aca="false">IF($B1466="","",COUNTIF($F1466:$AJ1466,"TR"))</f>
        <v/>
      </c>
      <c r="AX1466" s="35" t="str">
        <f aca="false">IF($B1466="","",AO1466+AS1466/2)</f>
        <v/>
      </c>
      <c r="AY1466" s="35" t="str">
        <f aca="false">IF($B1466="","",AQ1466)</f>
        <v/>
      </c>
      <c r="AZ1466" s="35" t="str">
        <f aca="false">IF($B1466="","",AP1466+AT1466/2)</f>
        <v/>
      </c>
      <c r="BA1466" s="35" t="str">
        <f aca="false">IF($B1466="","",AK1466+AN1466+AM1466/2+AO1466+AP1466+AQ1466+AR1466+AS1466+AT1466+AU1466+AV1466+AW1466)</f>
        <v/>
      </c>
      <c r="BB1466" s="35" t="str">
        <f aca="false">IF($B1466="","",MAX(0,AN1466-Settings!$C$16)*Settings!$C$17)</f>
        <v/>
      </c>
      <c r="BC1466" s="35" t="str">
        <f aca="false">IF($B1466="","",BA1466-BB1466)</f>
        <v/>
      </c>
      <c r="BD1466" s="35" t="str">
        <f aca="false">IF(OR($B1466="",$A1466=""),"",DAY(EOMONTH($A1466,0))-COUNTA($F1466:$AJ1466))</f>
        <v/>
      </c>
    </row>
    <row r="1467" customFormat="false" ht="15" hidden="false" customHeight="false" outlineLevel="0" collapsed="false">
      <c r="A1467" s="32"/>
      <c r="B1467" s="29"/>
      <c r="C1467" s="10" t="str">
        <f aca="false">IF($B1467="","",IFERROR(INDEX(M_name,MATCH($B1467,M_emp,0)),"Code not found"))</f>
        <v/>
      </c>
      <c r="D1467" s="10" t="str">
        <f aca="false">IF($B1467="","",IFERROR(INDEX(M_dept,MATCH($B1467,M_emp,0)),""))</f>
        <v/>
      </c>
      <c r="E1467" s="10" t="str">
        <f aca="false">IF($B1467="","",IFERROR(INDEX(M_loc,MATCH($B1467,M_emp,0)),""))</f>
        <v/>
      </c>
      <c r="F1467" s="33"/>
      <c r="G1467" s="33"/>
      <c r="H1467" s="33"/>
      <c r="I1467" s="33"/>
      <c r="J1467" s="33"/>
      <c r="K1467" s="33"/>
      <c r="L1467" s="33"/>
      <c r="M1467" s="33"/>
      <c r="N1467" s="33"/>
      <c r="O1467" s="33"/>
      <c r="P1467" s="33"/>
      <c r="Q1467" s="33"/>
      <c r="R1467" s="33"/>
      <c r="S1467" s="33"/>
      <c r="T1467" s="33"/>
      <c r="U1467" s="33"/>
      <c r="V1467" s="33"/>
      <c r="W1467" s="33"/>
      <c r="X1467" s="33"/>
      <c r="Y1467" s="33"/>
      <c r="Z1467" s="33"/>
      <c r="AA1467" s="33"/>
      <c r="AB1467" s="33"/>
      <c r="AC1467" s="33"/>
      <c r="AD1467" s="33"/>
      <c r="AE1467" s="33"/>
      <c r="AF1467" s="33"/>
      <c r="AG1467" s="33"/>
      <c r="AH1467" s="33"/>
      <c r="AI1467" s="33"/>
      <c r="AJ1467" s="33"/>
      <c r="AK1467" s="34" t="str">
        <f aca="false">IF($B1467="","",COUNTIF($F1467:$AJ1467,"P"))</f>
        <v/>
      </c>
      <c r="AL1467" s="34" t="str">
        <f aca="false">IF($B1467="","",COUNTIF($F1467:$AJ1467,"A"))</f>
        <v/>
      </c>
      <c r="AM1467" s="34" t="str">
        <f aca="false">IF($B1467="","",COUNTIF($F1467:$AJ1467,"HA"))</f>
        <v/>
      </c>
      <c r="AN1467" s="34" t="str">
        <f aca="false">IF($B1467="","",COUNTIF($F1467:$AJ1467,"L"))</f>
        <v/>
      </c>
      <c r="AO1467" s="34" t="str">
        <f aca="false">IF($B1467="","",COUNTIF($F1467:$AJ1467,"PL"))</f>
        <v/>
      </c>
      <c r="AP1467" s="34" t="str">
        <f aca="false">IF($B1467="","",COUNTIF($F1467:$AJ1467,"CL"))</f>
        <v/>
      </c>
      <c r="AQ1467" s="34" t="str">
        <f aca="false">IF($B1467="","",COUNTIF($F1467:$AJ1467,"SL"))</f>
        <v/>
      </c>
      <c r="AR1467" s="34" t="str">
        <f aca="false">IF($B1467="","",COUNTIF($F1467:$AJ1467,"CO"))</f>
        <v/>
      </c>
      <c r="AS1467" s="34" t="str">
        <f aca="false">IF($B1467="","",COUNTIF($F1467:$AJ1467,"HPL"))</f>
        <v/>
      </c>
      <c r="AT1467" s="34" t="str">
        <f aca="false">IF($B1467="","",COUNTIF($F1467:$AJ1467,"HCL"))</f>
        <v/>
      </c>
      <c r="AU1467" s="34" t="str">
        <f aca="false">IF($B1467="","",COUNTIF($F1467:$AJ1467,"WO"))</f>
        <v/>
      </c>
      <c r="AV1467" s="34" t="str">
        <f aca="false">IF($B1467="","",COUNTIF($F1467:$AJ1467,"PH"))</f>
        <v/>
      </c>
      <c r="AW1467" s="34" t="str">
        <f aca="false">IF($B1467="","",COUNTIF($F1467:$AJ1467,"TR"))</f>
        <v/>
      </c>
      <c r="AX1467" s="35" t="str">
        <f aca="false">IF($B1467="","",AO1467+AS1467/2)</f>
        <v/>
      </c>
      <c r="AY1467" s="35" t="str">
        <f aca="false">IF($B1467="","",AQ1467)</f>
        <v/>
      </c>
      <c r="AZ1467" s="35" t="str">
        <f aca="false">IF($B1467="","",AP1467+AT1467/2)</f>
        <v/>
      </c>
      <c r="BA1467" s="35" t="str">
        <f aca="false">IF($B1467="","",AK1467+AN1467+AM1467/2+AO1467+AP1467+AQ1467+AR1467+AS1467+AT1467+AU1467+AV1467+AW1467)</f>
        <v/>
      </c>
      <c r="BB1467" s="35" t="str">
        <f aca="false">IF($B1467="","",MAX(0,AN1467-Settings!$C$16)*Settings!$C$17)</f>
        <v/>
      </c>
      <c r="BC1467" s="35" t="str">
        <f aca="false">IF($B1467="","",BA1467-BB1467)</f>
        <v/>
      </c>
      <c r="BD1467" s="35" t="str">
        <f aca="false">IF(OR($B1467="",$A1467=""),"",DAY(EOMONTH($A1467,0))-COUNTA($F1467:$AJ1467))</f>
        <v/>
      </c>
    </row>
    <row r="1468" customFormat="false" ht="15" hidden="false" customHeight="false" outlineLevel="0" collapsed="false">
      <c r="A1468" s="32"/>
      <c r="B1468" s="29"/>
      <c r="C1468" s="10" t="str">
        <f aca="false">IF($B1468="","",IFERROR(INDEX(M_name,MATCH($B1468,M_emp,0)),"Code not found"))</f>
        <v/>
      </c>
      <c r="D1468" s="10" t="str">
        <f aca="false">IF($B1468="","",IFERROR(INDEX(M_dept,MATCH($B1468,M_emp,0)),""))</f>
        <v/>
      </c>
      <c r="E1468" s="10" t="str">
        <f aca="false">IF($B1468="","",IFERROR(INDEX(M_loc,MATCH($B1468,M_emp,0)),""))</f>
        <v/>
      </c>
      <c r="F1468" s="33"/>
      <c r="G1468" s="33"/>
      <c r="H1468" s="33"/>
      <c r="I1468" s="33"/>
      <c r="J1468" s="33"/>
      <c r="K1468" s="33"/>
      <c r="L1468" s="33"/>
      <c r="M1468" s="33"/>
      <c r="N1468" s="33"/>
      <c r="O1468" s="33"/>
      <c r="P1468" s="33"/>
      <c r="Q1468" s="33"/>
      <c r="R1468" s="33"/>
      <c r="S1468" s="33"/>
      <c r="T1468" s="33"/>
      <c r="U1468" s="33"/>
      <c r="V1468" s="33"/>
      <c r="W1468" s="33"/>
      <c r="X1468" s="33"/>
      <c r="Y1468" s="33"/>
      <c r="Z1468" s="33"/>
      <c r="AA1468" s="33"/>
      <c r="AB1468" s="33"/>
      <c r="AC1468" s="33"/>
      <c r="AD1468" s="33"/>
      <c r="AE1468" s="33"/>
      <c r="AF1468" s="33"/>
      <c r="AG1468" s="33"/>
      <c r="AH1468" s="33"/>
      <c r="AI1468" s="33"/>
      <c r="AJ1468" s="33"/>
      <c r="AK1468" s="34" t="str">
        <f aca="false">IF($B1468="","",COUNTIF($F1468:$AJ1468,"P"))</f>
        <v/>
      </c>
      <c r="AL1468" s="34" t="str">
        <f aca="false">IF($B1468="","",COUNTIF($F1468:$AJ1468,"A"))</f>
        <v/>
      </c>
      <c r="AM1468" s="34" t="str">
        <f aca="false">IF($B1468="","",COUNTIF($F1468:$AJ1468,"HA"))</f>
        <v/>
      </c>
      <c r="AN1468" s="34" t="str">
        <f aca="false">IF($B1468="","",COUNTIF($F1468:$AJ1468,"L"))</f>
        <v/>
      </c>
      <c r="AO1468" s="34" t="str">
        <f aca="false">IF($B1468="","",COUNTIF($F1468:$AJ1468,"PL"))</f>
        <v/>
      </c>
      <c r="AP1468" s="34" t="str">
        <f aca="false">IF($B1468="","",COUNTIF($F1468:$AJ1468,"CL"))</f>
        <v/>
      </c>
      <c r="AQ1468" s="34" t="str">
        <f aca="false">IF($B1468="","",COUNTIF($F1468:$AJ1468,"SL"))</f>
        <v/>
      </c>
      <c r="AR1468" s="34" t="str">
        <f aca="false">IF($B1468="","",COUNTIF($F1468:$AJ1468,"CO"))</f>
        <v/>
      </c>
      <c r="AS1468" s="34" t="str">
        <f aca="false">IF($B1468="","",COUNTIF($F1468:$AJ1468,"HPL"))</f>
        <v/>
      </c>
      <c r="AT1468" s="34" t="str">
        <f aca="false">IF($B1468="","",COUNTIF($F1468:$AJ1468,"HCL"))</f>
        <v/>
      </c>
      <c r="AU1468" s="34" t="str">
        <f aca="false">IF($B1468="","",COUNTIF($F1468:$AJ1468,"WO"))</f>
        <v/>
      </c>
      <c r="AV1468" s="34" t="str">
        <f aca="false">IF($B1468="","",COUNTIF($F1468:$AJ1468,"PH"))</f>
        <v/>
      </c>
      <c r="AW1468" s="34" t="str">
        <f aca="false">IF($B1468="","",COUNTIF($F1468:$AJ1468,"TR"))</f>
        <v/>
      </c>
      <c r="AX1468" s="35" t="str">
        <f aca="false">IF($B1468="","",AO1468+AS1468/2)</f>
        <v/>
      </c>
      <c r="AY1468" s="35" t="str">
        <f aca="false">IF($B1468="","",AQ1468)</f>
        <v/>
      </c>
      <c r="AZ1468" s="35" t="str">
        <f aca="false">IF($B1468="","",AP1468+AT1468/2)</f>
        <v/>
      </c>
      <c r="BA1468" s="35" t="str">
        <f aca="false">IF($B1468="","",AK1468+AN1468+AM1468/2+AO1468+AP1468+AQ1468+AR1468+AS1468+AT1468+AU1468+AV1468+AW1468)</f>
        <v/>
      </c>
      <c r="BB1468" s="35" t="str">
        <f aca="false">IF($B1468="","",MAX(0,AN1468-Settings!$C$16)*Settings!$C$17)</f>
        <v/>
      </c>
      <c r="BC1468" s="35" t="str">
        <f aca="false">IF($B1468="","",BA1468-BB1468)</f>
        <v/>
      </c>
      <c r="BD1468" s="35" t="str">
        <f aca="false">IF(OR($B1468="",$A1468=""),"",DAY(EOMONTH($A1468,0))-COUNTA($F1468:$AJ1468))</f>
        <v/>
      </c>
    </row>
    <row r="1469" customFormat="false" ht="15" hidden="false" customHeight="false" outlineLevel="0" collapsed="false">
      <c r="A1469" s="32"/>
      <c r="B1469" s="29"/>
      <c r="C1469" s="10" t="str">
        <f aca="false">IF($B1469="","",IFERROR(INDEX(M_name,MATCH($B1469,M_emp,0)),"Code not found"))</f>
        <v/>
      </c>
      <c r="D1469" s="10" t="str">
        <f aca="false">IF($B1469="","",IFERROR(INDEX(M_dept,MATCH($B1469,M_emp,0)),""))</f>
        <v/>
      </c>
      <c r="E1469" s="10" t="str">
        <f aca="false">IF($B1469="","",IFERROR(INDEX(M_loc,MATCH($B1469,M_emp,0)),""))</f>
        <v/>
      </c>
      <c r="F1469" s="33"/>
      <c r="G1469" s="33"/>
      <c r="H1469" s="33"/>
      <c r="I1469" s="33"/>
      <c r="J1469" s="33"/>
      <c r="K1469" s="33"/>
      <c r="L1469" s="33"/>
      <c r="M1469" s="33"/>
      <c r="N1469" s="33"/>
      <c r="O1469" s="33"/>
      <c r="P1469" s="33"/>
      <c r="Q1469" s="33"/>
      <c r="R1469" s="33"/>
      <c r="S1469" s="33"/>
      <c r="T1469" s="33"/>
      <c r="U1469" s="33"/>
      <c r="V1469" s="33"/>
      <c r="W1469" s="33"/>
      <c r="X1469" s="33"/>
      <c r="Y1469" s="33"/>
      <c r="Z1469" s="33"/>
      <c r="AA1469" s="33"/>
      <c r="AB1469" s="33"/>
      <c r="AC1469" s="33"/>
      <c r="AD1469" s="33"/>
      <c r="AE1469" s="33"/>
      <c r="AF1469" s="33"/>
      <c r="AG1469" s="33"/>
      <c r="AH1469" s="33"/>
      <c r="AI1469" s="33"/>
      <c r="AJ1469" s="33"/>
      <c r="AK1469" s="34" t="str">
        <f aca="false">IF($B1469="","",COUNTIF($F1469:$AJ1469,"P"))</f>
        <v/>
      </c>
      <c r="AL1469" s="34" t="str">
        <f aca="false">IF($B1469="","",COUNTIF($F1469:$AJ1469,"A"))</f>
        <v/>
      </c>
      <c r="AM1469" s="34" t="str">
        <f aca="false">IF($B1469="","",COUNTIF($F1469:$AJ1469,"HA"))</f>
        <v/>
      </c>
      <c r="AN1469" s="34" t="str">
        <f aca="false">IF($B1469="","",COUNTIF($F1469:$AJ1469,"L"))</f>
        <v/>
      </c>
      <c r="AO1469" s="34" t="str">
        <f aca="false">IF($B1469="","",COUNTIF($F1469:$AJ1469,"PL"))</f>
        <v/>
      </c>
      <c r="AP1469" s="34" t="str">
        <f aca="false">IF($B1469="","",COUNTIF($F1469:$AJ1469,"CL"))</f>
        <v/>
      </c>
      <c r="AQ1469" s="34" t="str">
        <f aca="false">IF($B1469="","",COUNTIF($F1469:$AJ1469,"SL"))</f>
        <v/>
      </c>
      <c r="AR1469" s="34" t="str">
        <f aca="false">IF($B1469="","",COUNTIF($F1469:$AJ1469,"CO"))</f>
        <v/>
      </c>
      <c r="AS1469" s="34" t="str">
        <f aca="false">IF($B1469="","",COUNTIF($F1469:$AJ1469,"HPL"))</f>
        <v/>
      </c>
      <c r="AT1469" s="34" t="str">
        <f aca="false">IF($B1469="","",COUNTIF($F1469:$AJ1469,"HCL"))</f>
        <v/>
      </c>
      <c r="AU1469" s="34" t="str">
        <f aca="false">IF($B1469="","",COUNTIF($F1469:$AJ1469,"WO"))</f>
        <v/>
      </c>
      <c r="AV1469" s="34" t="str">
        <f aca="false">IF($B1469="","",COUNTIF($F1469:$AJ1469,"PH"))</f>
        <v/>
      </c>
      <c r="AW1469" s="34" t="str">
        <f aca="false">IF($B1469="","",COUNTIF($F1469:$AJ1469,"TR"))</f>
        <v/>
      </c>
      <c r="AX1469" s="35" t="str">
        <f aca="false">IF($B1469="","",AO1469+AS1469/2)</f>
        <v/>
      </c>
      <c r="AY1469" s="35" t="str">
        <f aca="false">IF($B1469="","",AQ1469)</f>
        <v/>
      </c>
      <c r="AZ1469" s="35" t="str">
        <f aca="false">IF($B1469="","",AP1469+AT1469/2)</f>
        <v/>
      </c>
      <c r="BA1469" s="35" t="str">
        <f aca="false">IF($B1469="","",AK1469+AN1469+AM1469/2+AO1469+AP1469+AQ1469+AR1469+AS1469+AT1469+AU1469+AV1469+AW1469)</f>
        <v/>
      </c>
      <c r="BB1469" s="35" t="str">
        <f aca="false">IF($B1469="","",MAX(0,AN1469-Settings!$C$16)*Settings!$C$17)</f>
        <v/>
      </c>
      <c r="BC1469" s="35" t="str">
        <f aca="false">IF($B1469="","",BA1469-BB1469)</f>
        <v/>
      </c>
      <c r="BD1469" s="35" t="str">
        <f aca="false">IF(OR($B1469="",$A1469=""),"",DAY(EOMONTH($A1469,0))-COUNTA($F1469:$AJ1469))</f>
        <v/>
      </c>
    </row>
    <row r="1470" customFormat="false" ht="15" hidden="false" customHeight="false" outlineLevel="0" collapsed="false">
      <c r="A1470" s="32"/>
      <c r="B1470" s="29"/>
      <c r="C1470" s="10" t="str">
        <f aca="false">IF($B1470="","",IFERROR(INDEX(M_name,MATCH($B1470,M_emp,0)),"Code not found"))</f>
        <v/>
      </c>
      <c r="D1470" s="10" t="str">
        <f aca="false">IF($B1470="","",IFERROR(INDEX(M_dept,MATCH($B1470,M_emp,0)),""))</f>
        <v/>
      </c>
      <c r="E1470" s="10" t="str">
        <f aca="false">IF($B1470="","",IFERROR(INDEX(M_loc,MATCH($B1470,M_emp,0)),""))</f>
        <v/>
      </c>
      <c r="F1470" s="33"/>
      <c r="G1470" s="33"/>
      <c r="H1470" s="33"/>
      <c r="I1470" s="33"/>
      <c r="J1470" s="33"/>
      <c r="K1470" s="33"/>
      <c r="L1470" s="33"/>
      <c r="M1470" s="33"/>
      <c r="N1470" s="33"/>
      <c r="O1470" s="33"/>
      <c r="P1470" s="33"/>
      <c r="Q1470" s="33"/>
      <c r="R1470" s="33"/>
      <c r="S1470" s="33"/>
      <c r="T1470" s="33"/>
      <c r="U1470" s="33"/>
      <c r="V1470" s="33"/>
      <c r="W1470" s="33"/>
      <c r="X1470" s="33"/>
      <c r="Y1470" s="33"/>
      <c r="Z1470" s="33"/>
      <c r="AA1470" s="33"/>
      <c r="AB1470" s="33"/>
      <c r="AC1470" s="33"/>
      <c r="AD1470" s="33"/>
      <c r="AE1470" s="33"/>
      <c r="AF1470" s="33"/>
      <c r="AG1470" s="33"/>
      <c r="AH1470" s="33"/>
      <c r="AI1470" s="33"/>
      <c r="AJ1470" s="33"/>
      <c r="AK1470" s="34" t="str">
        <f aca="false">IF($B1470="","",COUNTIF($F1470:$AJ1470,"P"))</f>
        <v/>
      </c>
      <c r="AL1470" s="34" t="str">
        <f aca="false">IF($B1470="","",COUNTIF($F1470:$AJ1470,"A"))</f>
        <v/>
      </c>
      <c r="AM1470" s="34" t="str">
        <f aca="false">IF($B1470="","",COUNTIF($F1470:$AJ1470,"HA"))</f>
        <v/>
      </c>
      <c r="AN1470" s="34" t="str">
        <f aca="false">IF($B1470="","",COUNTIF($F1470:$AJ1470,"L"))</f>
        <v/>
      </c>
      <c r="AO1470" s="34" t="str">
        <f aca="false">IF($B1470="","",COUNTIF($F1470:$AJ1470,"PL"))</f>
        <v/>
      </c>
      <c r="AP1470" s="34" t="str">
        <f aca="false">IF($B1470="","",COUNTIF($F1470:$AJ1470,"CL"))</f>
        <v/>
      </c>
      <c r="AQ1470" s="34" t="str">
        <f aca="false">IF($B1470="","",COUNTIF($F1470:$AJ1470,"SL"))</f>
        <v/>
      </c>
      <c r="AR1470" s="34" t="str">
        <f aca="false">IF($B1470="","",COUNTIF($F1470:$AJ1470,"CO"))</f>
        <v/>
      </c>
      <c r="AS1470" s="34" t="str">
        <f aca="false">IF($B1470="","",COUNTIF($F1470:$AJ1470,"HPL"))</f>
        <v/>
      </c>
      <c r="AT1470" s="34" t="str">
        <f aca="false">IF($B1470="","",COUNTIF($F1470:$AJ1470,"HCL"))</f>
        <v/>
      </c>
      <c r="AU1470" s="34" t="str">
        <f aca="false">IF($B1470="","",COUNTIF($F1470:$AJ1470,"WO"))</f>
        <v/>
      </c>
      <c r="AV1470" s="34" t="str">
        <f aca="false">IF($B1470="","",COUNTIF($F1470:$AJ1470,"PH"))</f>
        <v/>
      </c>
      <c r="AW1470" s="34" t="str">
        <f aca="false">IF($B1470="","",COUNTIF($F1470:$AJ1470,"TR"))</f>
        <v/>
      </c>
      <c r="AX1470" s="35" t="str">
        <f aca="false">IF($B1470="","",AO1470+AS1470/2)</f>
        <v/>
      </c>
      <c r="AY1470" s="35" t="str">
        <f aca="false">IF($B1470="","",AQ1470)</f>
        <v/>
      </c>
      <c r="AZ1470" s="35" t="str">
        <f aca="false">IF($B1470="","",AP1470+AT1470/2)</f>
        <v/>
      </c>
      <c r="BA1470" s="35" t="str">
        <f aca="false">IF($B1470="","",AK1470+AN1470+AM1470/2+AO1470+AP1470+AQ1470+AR1470+AS1470+AT1470+AU1470+AV1470+AW1470)</f>
        <v/>
      </c>
      <c r="BB1470" s="35" t="str">
        <f aca="false">IF($B1470="","",MAX(0,AN1470-Settings!$C$16)*Settings!$C$17)</f>
        <v/>
      </c>
      <c r="BC1470" s="35" t="str">
        <f aca="false">IF($B1470="","",BA1470-BB1470)</f>
        <v/>
      </c>
      <c r="BD1470" s="35" t="str">
        <f aca="false">IF(OR($B1470="",$A1470=""),"",DAY(EOMONTH($A1470,0))-COUNTA($F1470:$AJ1470))</f>
        <v/>
      </c>
    </row>
    <row r="1471" customFormat="false" ht="15" hidden="false" customHeight="false" outlineLevel="0" collapsed="false">
      <c r="A1471" s="32"/>
      <c r="B1471" s="29"/>
      <c r="C1471" s="10" t="str">
        <f aca="false">IF($B1471="","",IFERROR(INDEX(M_name,MATCH($B1471,M_emp,0)),"Code not found"))</f>
        <v/>
      </c>
      <c r="D1471" s="10" t="str">
        <f aca="false">IF($B1471="","",IFERROR(INDEX(M_dept,MATCH($B1471,M_emp,0)),""))</f>
        <v/>
      </c>
      <c r="E1471" s="10" t="str">
        <f aca="false">IF($B1471="","",IFERROR(INDEX(M_loc,MATCH($B1471,M_emp,0)),""))</f>
        <v/>
      </c>
      <c r="F1471" s="33"/>
      <c r="G1471" s="33"/>
      <c r="H1471" s="33"/>
      <c r="I1471" s="33"/>
      <c r="J1471" s="33"/>
      <c r="K1471" s="33"/>
      <c r="L1471" s="33"/>
      <c r="M1471" s="33"/>
      <c r="N1471" s="33"/>
      <c r="O1471" s="33"/>
      <c r="P1471" s="33"/>
      <c r="Q1471" s="33"/>
      <c r="R1471" s="33"/>
      <c r="S1471" s="33"/>
      <c r="T1471" s="33"/>
      <c r="U1471" s="33"/>
      <c r="V1471" s="33"/>
      <c r="W1471" s="33"/>
      <c r="X1471" s="33"/>
      <c r="Y1471" s="33"/>
      <c r="Z1471" s="33"/>
      <c r="AA1471" s="33"/>
      <c r="AB1471" s="33"/>
      <c r="AC1471" s="33"/>
      <c r="AD1471" s="33"/>
      <c r="AE1471" s="33"/>
      <c r="AF1471" s="33"/>
      <c r="AG1471" s="33"/>
      <c r="AH1471" s="33"/>
      <c r="AI1471" s="33"/>
      <c r="AJ1471" s="33"/>
      <c r="AK1471" s="34" t="str">
        <f aca="false">IF($B1471="","",COUNTIF($F1471:$AJ1471,"P"))</f>
        <v/>
      </c>
      <c r="AL1471" s="34" t="str">
        <f aca="false">IF($B1471="","",COUNTIF($F1471:$AJ1471,"A"))</f>
        <v/>
      </c>
      <c r="AM1471" s="34" t="str">
        <f aca="false">IF($B1471="","",COUNTIF($F1471:$AJ1471,"HA"))</f>
        <v/>
      </c>
      <c r="AN1471" s="34" t="str">
        <f aca="false">IF($B1471="","",COUNTIF($F1471:$AJ1471,"L"))</f>
        <v/>
      </c>
      <c r="AO1471" s="34" t="str">
        <f aca="false">IF($B1471="","",COUNTIF($F1471:$AJ1471,"PL"))</f>
        <v/>
      </c>
      <c r="AP1471" s="34" t="str">
        <f aca="false">IF($B1471="","",COUNTIF($F1471:$AJ1471,"CL"))</f>
        <v/>
      </c>
      <c r="AQ1471" s="34" t="str">
        <f aca="false">IF($B1471="","",COUNTIF($F1471:$AJ1471,"SL"))</f>
        <v/>
      </c>
      <c r="AR1471" s="34" t="str">
        <f aca="false">IF($B1471="","",COUNTIF($F1471:$AJ1471,"CO"))</f>
        <v/>
      </c>
      <c r="AS1471" s="34" t="str">
        <f aca="false">IF($B1471="","",COUNTIF($F1471:$AJ1471,"HPL"))</f>
        <v/>
      </c>
      <c r="AT1471" s="34" t="str">
        <f aca="false">IF($B1471="","",COUNTIF($F1471:$AJ1471,"HCL"))</f>
        <v/>
      </c>
      <c r="AU1471" s="34" t="str">
        <f aca="false">IF($B1471="","",COUNTIF($F1471:$AJ1471,"WO"))</f>
        <v/>
      </c>
      <c r="AV1471" s="34" t="str">
        <f aca="false">IF($B1471="","",COUNTIF($F1471:$AJ1471,"PH"))</f>
        <v/>
      </c>
      <c r="AW1471" s="34" t="str">
        <f aca="false">IF($B1471="","",COUNTIF($F1471:$AJ1471,"TR"))</f>
        <v/>
      </c>
      <c r="AX1471" s="35" t="str">
        <f aca="false">IF($B1471="","",AO1471+AS1471/2)</f>
        <v/>
      </c>
      <c r="AY1471" s="35" t="str">
        <f aca="false">IF($B1471="","",AQ1471)</f>
        <v/>
      </c>
      <c r="AZ1471" s="35" t="str">
        <f aca="false">IF($B1471="","",AP1471+AT1471/2)</f>
        <v/>
      </c>
      <c r="BA1471" s="35" t="str">
        <f aca="false">IF($B1471="","",AK1471+AN1471+AM1471/2+AO1471+AP1471+AQ1471+AR1471+AS1471+AT1471+AU1471+AV1471+AW1471)</f>
        <v/>
      </c>
      <c r="BB1471" s="35" t="str">
        <f aca="false">IF($B1471="","",MAX(0,AN1471-Settings!$C$16)*Settings!$C$17)</f>
        <v/>
      </c>
      <c r="BC1471" s="35" t="str">
        <f aca="false">IF($B1471="","",BA1471-BB1471)</f>
        <v/>
      </c>
      <c r="BD1471" s="35" t="str">
        <f aca="false">IF(OR($B1471="",$A1471=""),"",DAY(EOMONTH($A1471,0))-COUNTA($F1471:$AJ1471))</f>
        <v/>
      </c>
    </row>
    <row r="1472" customFormat="false" ht="15" hidden="false" customHeight="false" outlineLevel="0" collapsed="false">
      <c r="A1472" s="32"/>
      <c r="B1472" s="29"/>
      <c r="C1472" s="10" t="str">
        <f aca="false">IF($B1472="","",IFERROR(INDEX(M_name,MATCH($B1472,M_emp,0)),"Code not found"))</f>
        <v/>
      </c>
      <c r="D1472" s="10" t="str">
        <f aca="false">IF($B1472="","",IFERROR(INDEX(M_dept,MATCH($B1472,M_emp,0)),""))</f>
        <v/>
      </c>
      <c r="E1472" s="10" t="str">
        <f aca="false">IF($B1472="","",IFERROR(INDEX(M_loc,MATCH($B1472,M_emp,0)),""))</f>
        <v/>
      </c>
      <c r="F1472" s="33"/>
      <c r="G1472" s="33"/>
      <c r="H1472" s="33"/>
      <c r="I1472" s="33"/>
      <c r="J1472" s="33"/>
      <c r="K1472" s="33"/>
      <c r="L1472" s="33"/>
      <c r="M1472" s="33"/>
      <c r="N1472" s="33"/>
      <c r="O1472" s="33"/>
      <c r="P1472" s="33"/>
      <c r="Q1472" s="33"/>
      <c r="R1472" s="33"/>
      <c r="S1472" s="33"/>
      <c r="T1472" s="33"/>
      <c r="U1472" s="33"/>
      <c r="V1472" s="33"/>
      <c r="W1472" s="33"/>
      <c r="X1472" s="33"/>
      <c r="Y1472" s="33"/>
      <c r="Z1472" s="33"/>
      <c r="AA1472" s="33"/>
      <c r="AB1472" s="33"/>
      <c r="AC1472" s="33"/>
      <c r="AD1472" s="33"/>
      <c r="AE1472" s="33"/>
      <c r="AF1472" s="33"/>
      <c r="AG1472" s="33"/>
      <c r="AH1472" s="33"/>
      <c r="AI1472" s="33"/>
      <c r="AJ1472" s="33"/>
      <c r="AK1472" s="34" t="str">
        <f aca="false">IF($B1472="","",COUNTIF($F1472:$AJ1472,"P"))</f>
        <v/>
      </c>
      <c r="AL1472" s="34" t="str">
        <f aca="false">IF($B1472="","",COUNTIF($F1472:$AJ1472,"A"))</f>
        <v/>
      </c>
      <c r="AM1472" s="34" t="str">
        <f aca="false">IF($B1472="","",COUNTIF($F1472:$AJ1472,"HA"))</f>
        <v/>
      </c>
      <c r="AN1472" s="34" t="str">
        <f aca="false">IF($B1472="","",COUNTIF($F1472:$AJ1472,"L"))</f>
        <v/>
      </c>
      <c r="AO1472" s="34" t="str">
        <f aca="false">IF($B1472="","",COUNTIF($F1472:$AJ1472,"PL"))</f>
        <v/>
      </c>
      <c r="AP1472" s="34" t="str">
        <f aca="false">IF($B1472="","",COUNTIF($F1472:$AJ1472,"CL"))</f>
        <v/>
      </c>
      <c r="AQ1472" s="34" t="str">
        <f aca="false">IF($B1472="","",COUNTIF($F1472:$AJ1472,"SL"))</f>
        <v/>
      </c>
      <c r="AR1472" s="34" t="str">
        <f aca="false">IF($B1472="","",COUNTIF($F1472:$AJ1472,"CO"))</f>
        <v/>
      </c>
      <c r="AS1472" s="34" t="str">
        <f aca="false">IF($B1472="","",COUNTIF($F1472:$AJ1472,"HPL"))</f>
        <v/>
      </c>
      <c r="AT1472" s="34" t="str">
        <f aca="false">IF($B1472="","",COUNTIF($F1472:$AJ1472,"HCL"))</f>
        <v/>
      </c>
      <c r="AU1472" s="34" t="str">
        <f aca="false">IF($B1472="","",COUNTIF($F1472:$AJ1472,"WO"))</f>
        <v/>
      </c>
      <c r="AV1472" s="34" t="str">
        <f aca="false">IF($B1472="","",COUNTIF($F1472:$AJ1472,"PH"))</f>
        <v/>
      </c>
      <c r="AW1472" s="34" t="str">
        <f aca="false">IF($B1472="","",COUNTIF($F1472:$AJ1472,"TR"))</f>
        <v/>
      </c>
      <c r="AX1472" s="35" t="str">
        <f aca="false">IF($B1472="","",AO1472+AS1472/2)</f>
        <v/>
      </c>
      <c r="AY1472" s="35" t="str">
        <f aca="false">IF($B1472="","",AQ1472)</f>
        <v/>
      </c>
      <c r="AZ1472" s="35" t="str">
        <f aca="false">IF($B1472="","",AP1472+AT1472/2)</f>
        <v/>
      </c>
      <c r="BA1472" s="35" t="str">
        <f aca="false">IF($B1472="","",AK1472+AN1472+AM1472/2+AO1472+AP1472+AQ1472+AR1472+AS1472+AT1472+AU1472+AV1472+AW1472)</f>
        <v/>
      </c>
      <c r="BB1472" s="35" t="str">
        <f aca="false">IF($B1472="","",MAX(0,AN1472-Settings!$C$16)*Settings!$C$17)</f>
        <v/>
      </c>
      <c r="BC1472" s="35" t="str">
        <f aca="false">IF($B1472="","",BA1472-BB1472)</f>
        <v/>
      </c>
      <c r="BD1472" s="35" t="str">
        <f aca="false">IF(OR($B1472="",$A1472=""),"",DAY(EOMONTH($A1472,0))-COUNTA($F1472:$AJ1472))</f>
        <v/>
      </c>
    </row>
    <row r="1473" customFormat="false" ht="15" hidden="false" customHeight="false" outlineLevel="0" collapsed="false">
      <c r="A1473" s="32"/>
      <c r="B1473" s="29"/>
      <c r="C1473" s="10" t="str">
        <f aca="false">IF($B1473="","",IFERROR(INDEX(M_name,MATCH($B1473,M_emp,0)),"Code not found"))</f>
        <v/>
      </c>
      <c r="D1473" s="10" t="str">
        <f aca="false">IF($B1473="","",IFERROR(INDEX(M_dept,MATCH($B1473,M_emp,0)),""))</f>
        <v/>
      </c>
      <c r="E1473" s="10" t="str">
        <f aca="false">IF($B1473="","",IFERROR(INDEX(M_loc,MATCH($B1473,M_emp,0)),""))</f>
        <v/>
      </c>
      <c r="F1473" s="33"/>
      <c r="G1473" s="33"/>
      <c r="H1473" s="33"/>
      <c r="I1473" s="33"/>
      <c r="J1473" s="33"/>
      <c r="K1473" s="33"/>
      <c r="L1473" s="33"/>
      <c r="M1473" s="33"/>
      <c r="N1473" s="33"/>
      <c r="O1473" s="33"/>
      <c r="P1473" s="33"/>
      <c r="Q1473" s="33"/>
      <c r="R1473" s="33"/>
      <c r="S1473" s="33"/>
      <c r="T1473" s="33"/>
      <c r="U1473" s="33"/>
      <c r="V1473" s="33"/>
      <c r="W1473" s="33"/>
      <c r="X1473" s="33"/>
      <c r="Y1473" s="33"/>
      <c r="Z1473" s="33"/>
      <c r="AA1473" s="33"/>
      <c r="AB1473" s="33"/>
      <c r="AC1473" s="33"/>
      <c r="AD1473" s="33"/>
      <c r="AE1473" s="33"/>
      <c r="AF1473" s="33"/>
      <c r="AG1473" s="33"/>
      <c r="AH1473" s="33"/>
      <c r="AI1473" s="33"/>
      <c r="AJ1473" s="33"/>
      <c r="AK1473" s="34" t="str">
        <f aca="false">IF($B1473="","",COUNTIF($F1473:$AJ1473,"P"))</f>
        <v/>
      </c>
      <c r="AL1473" s="34" t="str">
        <f aca="false">IF($B1473="","",COUNTIF($F1473:$AJ1473,"A"))</f>
        <v/>
      </c>
      <c r="AM1473" s="34" t="str">
        <f aca="false">IF($B1473="","",COUNTIF($F1473:$AJ1473,"HA"))</f>
        <v/>
      </c>
      <c r="AN1473" s="34" t="str">
        <f aca="false">IF($B1473="","",COUNTIF($F1473:$AJ1473,"L"))</f>
        <v/>
      </c>
      <c r="AO1473" s="34" t="str">
        <f aca="false">IF($B1473="","",COUNTIF($F1473:$AJ1473,"PL"))</f>
        <v/>
      </c>
      <c r="AP1473" s="34" t="str">
        <f aca="false">IF($B1473="","",COUNTIF($F1473:$AJ1473,"CL"))</f>
        <v/>
      </c>
      <c r="AQ1473" s="34" t="str">
        <f aca="false">IF($B1473="","",COUNTIF($F1473:$AJ1473,"SL"))</f>
        <v/>
      </c>
      <c r="AR1473" s="34" t="str">
        <f aca="false">IF($B1473="","",COUNTIF($F1473:$AJ1473,"CO"))</f>
        <v/>
      </c>
      <c r="AS1473" s="34" t="str">
        <f aca="false">IF($B1473="","",COUNTIF($F1473:$AJ1473,"HPL"))</f>
        <v/>
      </c>
      <c r="AT1473" s="34" t="str">
        <f aca="false">IF($B1473="","",COUNTIF($F1473:$AJ1473,"HCL"))</f>
        <v/>
      </c>
      <c r="AU1473" s="34" t="str">
        <f aca="false">IF($B1473="","",COUNTIF($F1473:$AJ1473,"WO"))</f>
        <v/>
      </c>
      <c r="AV1473" s="34" t="str">
        <f aca="false">IF($B1473="","",COUNTIF($F1473:$AJ1473,"PH"))</f>
        <v/>
      </c>
      <c r="AW1473" s="34" t="str">
        <f aca="false">IF($B1473="","",COUNTIF($F1473:$AJ1473,"TR"))</f>
        <v/>
      </c>
      <c r="AX1473" s="35" t="str">
        <f aca="false">IF($B1473="","",AO1473+AS1473/2)</f>
        <v/>
      </c>
      <c r="AY1473" s="35" t="str">
        <f aca="false">IF($B1473="","",AQ1473)</f>
        <v/>
      </c>
      <c r="AZ1473" s="35" t="str">
        <f aca="false">IF($B1473="","",AP1473+AT1473/2)</f>
        <v/>
      </c>
      <c r="BA1473" s="35" t="str">
        <f aca="false">IF($B1473="","",AK1473+AN1473+AM1473/2+AO1473+AP1473+AQ1473+AR1473+AS1473+AT1473+AU1473+AV1473+AW1473)</f>
        <v/>
      </c>
      <c r="BB1473" s="35" t="str">
        <f aca="false">IF($B1473="","",MAX(0,AN1473-Settings!$C$16)*Settings!$C$17)</f>
        <v/>
      </c>
      <c r="BC1473" s="35" t="str">
        <f aca="false">IF($B1473="","",BA1473-BB1473)</f>
        <v/>
      </c>
      <c r="BD1473" s="35" t="str">
        <f aca="false">IF(OR($B1473="",$A1473=""),"",DAY(EOMONTH($A1473,0))-COUNTA($F1473:$AJ1473))</f>
        <v/>
      </c>
    </row>
    <row r="1474" customFormat="false" ht="15" hidden="false" customHeight="false" outlineLevel="0" collapsed="false">
      <c r="A1474" s="32"/>
      <c r="B1474" s="29"/>
      <c r="C1474" s="10" t="str">
        <f aca="false">IF($B1474="","",IFERROR(INDEX(M_name,MATCH($B1474,M_emp,0)),"Code not found"))</f>
        <v/>
      </c>
      <c r="D1474" s="10" t="str">
        <f aca="false">IF($B1474="","",IFERROR(INDEX(M_dept,MATCH($B1474,M_emp,0)),""))</f>
        <v/>
      </c>
      <c r="E1474" s="10" t="str">
        <f aca="false">IF($B1474="","",IFERROR(INDEX(M_loc,MATCH($B1474,M_emp,0)),""))</f>
        <v/>
      </c>
      <c r="F1474" s="33"/>
      <c r="G1474" s="33"/>
      <c r="H1474" s="33"/>
      <c r="I1474" s="33"/>
      <c r="J1474" s="33"/>
      <c r="K1474" s="33"/>
      <c r="L1474" s="33"/>
      <c r="M1474" s="33"/>
      <c r="N1474" s="33"/>
      <c r="O1474" s="33"/>
      <c r="P1474" s="33"/>
      <c r="Q1474" s="33"/>
      <c r="R1474" s="33"/>
      <c r="S1474" s="33"/>
      <c r="T1474" s="33"/>
      <c r="U1474" s="33"/>
      <c r="V1474" s="33"/>
      <c r="W1474" s="33"/>
      <c r="X1474" s="33"/>
      <c r="Y1474" s="33"/>
      <c r="Z1474" s="33"/>
      <c r="AA1474" s="33"/>
      <c r="AB1474" s="33"/>
      <c r="AC1474" s="33"/>
      <c r="AD1474" s="33"/>
      <c r="AE1474" s="33"/>
      <c r="AF1474" s="33"/>
      <c r="AG1474" s="33"/>
      <c r="AH1474" s="33"/>
      <c r="AI1474" s="33"/>
      <c r="AJ1474" s="33"/>
      <c r="AK1474" s="34" t="str">
        <f aca="false">IF($B1474="","",COUNTIF($F1474:$AJ1474,"P"))</f>
        <v/>
      </c>
      <c r="AL1474" s="34" t="str">
        <f aca="false">IF($B1474="","",COUNTIF($F1474:$AJ1474,"A"))</f>
        <v/>
      </c>
      <c r="AM1474" s="34" t="str">
        <f aca="false">IF($B1474="","",COUNTIF($F1474:$AJ1474,"HA"))</f>
        <v/>
      </c>
      <c r="AN1474" s="34" t="str">
        <f aca="false">IF($B1474="","",COUNTIF($F1474:$AJ1474,"L"))</f>
        <v/>
      </c>
      <c r="AO1474" s="34" t="str">
        <f aca="false">IF($B1474="","",COUNTIF($F1474:$AJ1474,"PL"))</f>
        <v/>
      </c>
      <c r="AP1474" s="34" t="str">
        <f aca="false">IF($B1474="","",COUNTIF($F1474:$AJ1474,"CL"))</f>
        <v/>
      </c>
      <c r="AQ1474" s="34" t="str">
        <f aca="false">IF($B1474="","",COUNTIF($F1474:$AJ1474,"SL"))</f>
        <v/>
      </c>
      <c r="AR1474" s="34" t="str">
        <f aca="false">IF($B1474="","",COUNTIF($F1474:$AJ1474,"CO"))</f>
        <v/>
      </c>
      <c r="AS1474" s="34" t="str">
        <f aca="false">IF($B1474="","",COUNTIF($F1474:$AJ1474,"HPL"))</f>
        <v/>
      </c>
      <c r="AT1474" s="34" t="str">
        <f aca="false">IF($B1474="","",COUNTIF($F1474:$AJ1474,"HCL"))</f>
        <v/>
      </c>
      <c r="AU1474" s="34" t="str">
        <f aca="false">IF($B1474="","",COUNTIF($F1474:$AJ1474,"WO"))</f>
        <v/>
      </c>
      <c r="AV1474" s="34" t="str">
        <f aca="false">IF($B1474="","",COUNTIF($F1474:$AJ1474,"PH"))</f>
        <v/>
      </c>
      <c r="AW1474" s="34" t="str">
        <f aca="false">IF($B1474="","",COUNTIF($F1474:$AJ1474,"TR"))</f>
        <v/>
      </c>
      <c r="AX1474" s="35" t="str">
        <f aca="false">IF($B1474="","",AO1474+AS1474/2)</f>
        <v/>
      </c>
      <c r="AY1474" s="35" t="str">
        <f aca="false">IF($B1474="","",AQ1474)</f>
        <v/>
      </c>
      <c r="AZ1474" s="35" t="str">
        <f aca="false">IF($B1474="","",AP1474+AT1474/2)</f>
        <v/>
      </c>
      <c r="BA1474" s="35" t="str">
        <f aca="false">IF($B1474="","",AK1474+AN1474+AM1474/2+AO1474+AP1474+AQ1474+AR1474+AS1474+AT1474+AU1474+AV1474+AW1474)</f>
        <v/>
      </c>
      <c r="BB1474" s="35" t="str">
        <f aca="false">IF($B1474="","",MAX(0,AN1474-Settings!$C$16)*Settings!$C$17)</f>
        <v/>
      </c>
      <c r="BC1474" s="35" t="str">
        <f aca="false">IF($B1474="","",BA1474-BB1474)</f>
        <v/>
      </c>
      <c r="BD1474" s="35" t="str">
        <f aca="false">IF(OR($B1474="",$A1474=""),"",DAY(EOMONTH($A1474,0))-COUNTA($F1474:$AJ1474))</f>
        <v/>
      </c>
    </row>
    <row r="1475" customFormat="false" ht="15" hidden="false" customHeight="false" outlineLevel="0" collapsed="false">
      <c r="A1475" s="32"/>
      <c r="B1475" s="29"/>
      <c r="C1475" s="10" t="str">
        <f aca="false">IF($B1475="","",IFERROR(INDEX(M_name,MATCH($B1475,M_emp,0)),"Code not found"))</f>
        <v/>
      </c>
      <c r="D1475" s="10" t="str">
        <f aca="false">IF($B1475="","",IFERROR(INDEX(M_dept,MATCH($B1475,M_emp,0)),""))</f>
        <v/>
      </c>
      <c r="E1475" s="10" t="str">
        <f aca="false">IF($B1475="","",IFERROR(INDEX(M_loc,MATCH($B1475,M_emp,0)),""))</f>
        <v/>
      </c>
      <c r="F1475" s="33"/>
      <c r="G1475" s="33"/>
      <c r="H1475" s="33"/>
      <c r="I1475" s="33"/>
      <c r="J1475" s="33"/>
      <c r="K1475" s="33"/>
      <c r="L1475" s="33"/>
      <c r="M1475" s="33"/>
      <c r="N1475" s="33"/>
      <c r="O1475" s="33"/>
      <c r="P1475" s="33"/>
      <c r="Q1475" s="33"/>
      <c r="R1475" s="33"/>
      <c r="S1475" s="33"/>
      <c r="T1475" s="33"/>
      <c r="U1475" s="33"/>
      <c r="V1475" s="33"/>
      <c r="W1475" s="33"/>
      <c r="X1475" s="33"/>
      <c r="Y1475" s="33"/>
      <c r="Z1475" s="33"/>
      <c r="AA1475" s="33"/>
      <c r="AB1475" s="33"/>
      <c r="AC1475" s="33"/>
      <c r="AD1475" s="33"/>
      <c r="AE1475" s="33"/>
      <c r="AF1475" s="33"/>
      <c r="AG1475" s="33"/>
      <c r="AH1475" s="33"/>
      <c r="AI1475" s="33"/>
      <c r="AJ1475" s="33"/>
      <c r="AK1475" s="34" t="str">
        <f aca="false">IF($B1475="","",COUNTIF($F1475:$AJ1475,"P"))</f>
        <v/>
      </c>
      <c r="AL1475" s="34" t="str">
        <f aca="false">IF($B1475="","",COUNTIF($F1475:$AJ1475,"A"))</f>
        <v/>
      </c>
      <c r="AM1475" s="34" t="str">
        <f aca="false">IF($B1475="","",COUNTIF($F1475:$AJ1475,"HA"))</f>
        <v/>
      </c>
      <c r="AN1475" s="34" t="str">
        <f aca="false">IF($B1475="","",COUNTIF($F1475:$AJ1475,"L"))</f>
        <v/>
      </c>
      <c r="AO1475" s="34" t="str">
        <f aca="false">IF($B1475="","",COUNTIF($F1475:$AJ1475,"PL"))</f>
        <v/>
      </c>
      <c r="AP1475" s="34" t="str">
        <f aca="false">IF($B1475="","",COUNTIF($F1475:$AJ1475,"CL"))</f>
        <v/>
      </c>
      <c r="AQ1475" s="34" t="str">
        <f aca="false">IF($B1475="","",COUNTIF($F1475:$AJ1475,"SL"))</f>
        <v/>
      </c>
      <c r="AR1475" s="34" t="str">
        <f aca="false">IF($B1475="","",COUNTIF($F1475:$AJ1475,"CO"))</f>
        <v/>
      </c>
      <c r="AS1475" s="34" t="str">
        <f aca="false">IF($B1475="","",COUNTIF($F1475:$AJ1475,"HPL"))</f>
        <v/>
      </c>
      <c r="AT1475" s="34" t="str">
        <f aca="false">IF($B1475="","",COUNTIF($F1475:$AJ1475,"HCL"))</f>
        <v/>
      </c>
      <c r="AU1475" s="34" t="str">
        <f aca="false">IF($B1475="","",COUNTIF($F1475:$AJ1475,"WO"))</f>
        <v/>
      </c>
      <c r="AV1475" s="34" t="str">
        <f aca="false">IF($B1475="","",COUNTIF($F1475:$AJ1475,"PH"))</f>
        <v/>
      </c>
      <c r="AW1475" s="34" t="str">
        <f aca="false">IF($B1475="","",COUNTIF($F1475:$AJ1475,"TR"))</f>
        <v/>
      </c>
      <c r="AX1475" s="35" t="str">
        <f aca="false">IF($B1475="","",AO1475+AS1475/2)</f>
        <v/>
      </c>
      <c r="AY1475" s="35" t="str">
        <f aca="false">IF($B1475="","",AQ1475)</f>
        <v/>
      </c>
      <c r="AZ1475" s="35" t="str">
        <f aca="false">IF($B1475="","",AP1475+AT1475/2)</f>
        <v/>
      </c>
      <c r="BA1475" s="35" t="str">
        <f aca="false">IF($B1475="","",AK1475+AN1475+AM1475/2+AO1475+AP1475+AQ1475+AR1475+AS1475+AT1475+AU1475+AV1475+AW1475)</f>
        <v/>
      </c>
      <c r="BB1475" s="35" t="str">
        <f aca="false">IF($B1475="","",MAX(0,AN1475-Settings!$C$16)*Settings!$C$17)</f>
        <v/>
      </c>
      <c r="BC1475" s="35" t="str">
        <f aca="false">IF($B1475="","",BA1475-BB1475)</f>
        <v/>
      </c>
      <c r="BD1475" s="35" t="str">
        <f aca="false">IF(OR($B1475="",$A1475=""),"",DAY(EOMONTH($A1475,0))-COUNTA($F1475:$AJ1475))</f>
        <v/>
      </c>
    </row>
    <row r="1476" customFormat="false" ht="15" hidden="false" customHeight="false" outlineLevel="0" collapsed="false">
      <c r="A1476" s="32"/>
      <c r="B1476" s="29"/>
      <c r="C1476" s="10" t="str">
        <f aca="false">IF($B1476="","",IFERROR(INDEX(M_name,MATCH($B1476,M_emp,0)),"Code not found"))</f>
        <v/>
      </c>
      <c r="D1476" s="10" t="str">
        <f aca="false">IF($B1476="","",IFERROR(INDEX(M_dept,MATCH($B1476,M_emp,0)),""))</f>
        <v/>
      </c>
      <c r="E1476" s="10" t="str">
        <f aca="false">IF($B1476="","",IFERROR(INDEX(M_loc,MATCH($B1476,M_emp,0)),""))</f>
        <v/>
      </c>
      <c r="F1476" s="33"/>
      <c r="G1476" s="33"/>
      <c r="H1476" s="33"/>
      <c r="I1476" s="33"/>
      <c r="J1476" s="33"/>
      <c r="K1476" s="33"/>
      <c r="L1476" s="33"/>
      <c r="M1476" s="33"/>
      <c r="N1476" s="33"/>
      <c r="O1476" s="33"/>
      <c r="P1476" s="33"/>
      <c r="Q1476" s="33"/>
      <c r="R1476" s="33"/>
      <c r="S1476" s="33"/>
      <c r="T1476" s="33"/>
      <c r="U1476" s="33"/>
      <c r="V1476" s="33"/>
      <c r="W1476" s="33"/>
      <c r="X1476" s="33"/>
      <c r="Y1476" s="33"/>
      <c r="Z1476" s="33"/>
      <c r="AA1476" s="33"/>
      <c r="AB1476" s="33"/>
      <c r="AC1476" s="33"/>
      <c r="AD1476" s="33"/>
      <c r="AE1476" s="33"/>
      <c r="AF1476" s="33"/>
      <c r="AG1476" s="33"/>
      <c r="AH1476" s="33"/>
      <c r="AI1476" s="33"/>
      <c r="AJ1476" s="33"/>
      <c r="AK1476" s="34" t="str">
        <f aca="false">IF($B1476="","",COUNTIF($F1476:$AJ1476,"P"))</f>
        <v/>
      </c>
      <c r="AL1476" s="34" t="str">
        <f aca="false">IF($B1476="","",COUNTIF($F1476:$AJ1476,"A"))</f>
        <v/>
      </c>
      <c r="AM1476" s="34" t="str">
        <f aca="false">IF($B1476="","",COUNTIF($F1476:$AJ1476,"HA"))</f>
        <v/>
      </c>
      <c r="AN1476" s="34" t="str">
        <f aca="false">IF($B1476="","",COUNTIF($F1476:$AJ1476,"L"))</f>
        <v/>
      </c>
      <c r="AO1476" s="34" t="str">
        <f aca="false">IF($B1476="","",COUNTIF($F1476:$AJ1476,"PL"))</f>
        <v/>
      </c>
      <c r="AP1476" s="34" t="str">
        <f aca="false">IF($B1476="","",COUNTIF($F1476:$AJ1476,"CL"))</f>
        <v/>
      </c>
      <c r="AQ1476" s="34" t="str">
        <f aca="false">IF($B1476="","",COUNTIF($F1476:$AJ1476,"SL"))</f>
        <v/>
      </c>
      <c r="AR1476" s="34" t="str">
        <f aca="false">IF($B1476="","",COUNTIF($F1476:$AJ1476,"CO"))</f>
        <v/>
      </c>
      <c r="AS1476" s="34" t="str">
        <f aca="false">IF($B1476="","",COUNTIF($F1476:$AJ1476,"HPL"))</f>
        <v/>
      </c>
      <c r="AT1476" s="34" t="str">
        <f aca="false">IF($B1476="","",COUNTIF($F1476:$AJ1476,"HCL"))</f>
        <v/>
      </c>
      <c r="AU1476" s="34" t="str">
        <f aca="false">IF($B1476="","",COUNTIF($F1476:$AJ1476,"WO"))</f>
        <v/>
      </c>
      <c r="AV1476" s="34" t="str">
        <f aca="false">IF($B1476="","",COUNTIF($F1476:$AJ1476,"PH"))</f>
        <v/>
      </c>
      <c r="AW1476" s="34" t="str">
        <f aca="false">IF($B1476="","",COUNTIF($F1476:$AJ1476,"TR"))</f>
        <v/>
      </c>
      <c r="AX1476" s="35" t="str">
        <f aca="false">IF($B1476="","",AO1476+AS1476/2)</f>
        <v/>
      </c>
      <c r="AY1476" s="35" t="str">
        <f aca="false">IF($B1476="","",AQ1476)</f>
        <v/>
      </c>
      <c r="AZ1476" s="35" t="str">
        <f aca="false">IF($B1476="","",AP1476+AT1476/2)</f>
        <v/>
      </c>
      <c r="BA1476" s="35" t="str">
        <f aca="false">IF($B1476="","",AK1476+AN1476+AM1476/2+AO1476+AP1476+AQ1476+AR1476+AS1476+AT1476+AU1476+AV1476+AW1476)</f>
        <v/>
      </c>
      <c r="BB1476" s="35" t="str">
        <f aca="false">IF($B1476="","",MAX(0,AN1476-Settings!$C$16)*Settings!$C$17)</f>
        <v/>
      </c>
      <c r="BC1476" s="35" t="str">
        <f aca="false">IF($B1476="","",BA1476-BB1476)</f>
        <v/>
      </c>
      <c r="BD1476" s="35" t="str">
        <f aca="false">IF(OR($B1476="",$A1476=""),"",DAY(EOMONTH($A1476,0))-COUNTA($F1476:$AJ1476))</f>
        <v/>
      </c>
    </row>
    <row r="1477" customFormat="false" ht="15" hidden="false" customHeight="false" outlineLevel="0" collapsed="false">
      <c r="A1477" s="32"/>
      <c r="B1477" s="29"/>
      <c r="C1477" s="10" t="str">
        <f aca="false">IF($B1477="","",IFERROR(INDEX(M_name,MATCH($B1477,M_emp,0)),"Code not found"))</f>
        <v/>
      </c>
      <c r="D1477" s="10" t="str">
        <f aca="false">IF($B1477="","",IFERROR(INDEX(M_dept,MATCH($B1477,M_emp,0)),""))</f>
        <v/>
      </c>
      <c r="E1477" s="10" t="str">
        <f aca="false">IF($B1477="","",IFERROR(INDEX(M_loc,MATCH($B1477,M_emp,0)),""))</f>
        <v/>
      </c>
      <c r="F1477" s="33"/>
      <c r="G1477" s="33"/>
      <c r="H1477" s="33"/>
      <c r="I1477" s="33"/>
      <c r="J1477" s="33"/>
      <c r="K1477" s="33"/>
      <c r="L1477" s="33"/>
      <c r="M1477" s="33"/>
      <c r="N1477" s="33"/>
      <c r="O1477" s="33"/>
      <c r="P1477" s="33"/>
      <c r="Q1477" s="33"/>
      <c r="R1477" s="33"/>
      <c r="S1477" s="33"/>
      <c r="T1477" s="33"/>
      <c r="U1477" s="33"/>
      <c r="V1477" s="33"/>
      <c r="W1477" s="33"/>
      <c r="X1477" s="33"/>
      <c r="Y1477" s="33"/>
      <c r="Z1477" s="33"/>
      <c r="AA1477" s="33"/>
      <c r="AB1477" s="33"/>
      <c r="AC1477" s="33"/>
      <c r="AD1477" s="33"/>
      <c r="AE1477" s="33"/>
      <c r="AF1477" s="33"/>
      <c r="AG1477" s="33"/>
      <c r="AH1477" s="33"/>
      <c r="AI1477" s="33"/>
      <c r="AJ1477" s="33"/>
      <c r="AK1477" s="34" t="str">
        <f aca="false">IF($B1477="","",COUNTIF($F1477:$AJ1477,"P"))</f>
        <v/>
      </c>
      <c r="AL1477" s="34" t="str">
        <f aca="false">IF($B1477="","",COUNTIF($F1477:$AJ1477,"A"))</f>
        <v/>
      </c>
      <c r="AM1477" s="34" t="str">
        <f aca="false">IF($B1477="","",COUNTIF($F1477:$AJ1477,"HA"))</f>
        <v/>
      </c>
      <c r="AN1477" s="34" t="str">
        <f aca="false">IF($B1477="","",COUNTIF($F1477:$AJ1477,"L"))</f>
        <v/>
      </c>
      <c r="AO1477" s="34" t="str">
        <f aca="false">IF($B1477="","",COUNTIF($F1477:$AJ1477,"PL"))</f>
        <v/>
      </c>
      <c r="AP1477" s="34" t="str">
        <f aca="false">IF($B1477="","",COUNTIF($F1477:$AJ1477,"CL"))</f>
        <v/>
      </c>
      <c r="AQ1477" s="34" t="str">
        <f aca="false">IF($B1477="","",COUNTIF($F1477:$AJ1477,"SL"))</f>
        <v/>
      </c>
      <c r="AR1477" s="34" t="str">
        <f aca="false">IF($B1477="","",COUNTIF($F1477:$AJ1477,"CO"))</f>
        <v/>
      </c>
      <c r="AS1477" s="34" t="str">
        <f aca="false">IF($B1477="","",COUNTIF($F1477:$AJ1477,"HPL"))</f>
        <v/>
      </c>
      <c r="AT1477" s="34" t="str">
        <f aca="false">IF($B1477="","",COUNTIF($F1477:$AJ1477,"HCL"))</f>
        <v/>
      </c>
      <c r="AU1477" s="34" t="str">
        <f aca="false">IF($B1477="","",COUNTIF($F1477:$AJ1477,"WO"))</f>
        <v/>
      </c>
      <c r="AV1477" s="34" t="str">
        <f aca="false">IF($B1477="","",COUNTIF($F1477:$AJ1477,"PH"))</f>
        <v/>
      </c>
      <c r="AW1477" s="34" t="str">
        <f aca="false">IF($B1477="","",COUNTIF($F1477:$AJ1477,"TR"))</f>
        <v/>
      </c>
      <c r="AX1477" s="35" t="str">
        <f aca="false">IF($B1477="","",AO1477+AS1477/2)</f>
        <v/>
      </c>
      <c r="AY1477" s="35" t="str">
        <f aca="false">IF($B1477="","",AQ1477)</f>
        <v/>
      </c>
      <c r="AZ1477" s="35" t="str">
        <f aca="false">IF($B1477="","",AP1477+AT1477/2)</f>
        <v/>
      </c>
      <c r="BA1477" s="35" t="str">
        <f aca="false">IF($B1477="","",AK1477+AN1477+AM1477/2+AO1477+AP1477+AQ1477+AR1477+AS1477+AT1477+AU1477+AV1477+AW1477)</f>
        <v/>
      </c>
      <c r="BB1477" s="35" t="str">
        <f aca="false">IF($B1477="","",MAX(0,AN1477-Settings!$C$16)*Settings!$C$17)</f>
        <v/>
      </c>
      <c r="BC1477" s="35" t="str">
        <f aca="false">IF($B1477="","",BA1477-BB1477)</f>
        <v/>
      </c>
      <c r="BD1477" s="35" t="str">
        <f aca="false">IF(OR($B1477="",$A1477=""),"",DAY(EOMONTH($A1477,0))-COUNTA($F1477:$AJ1477))</f>
        <v/>
      </c>
    </row>
    <row r="1478" customFormat="false" ht="15" hidden="false" customHeight="false" outlineLevel="0" collapsed="false">
      <c r="A1478" s="32"/>
      <c r="B1478" s="29"/>
      <c r="C1478" s="10" t="str">
        <f aca="false">IF($B1478="","",IFERROR(INDEX(M_name,MATCH($B1478,M_emp,0)),"Code not found"))</f>
        <v/>
      </c>
      <c r="D1478" s="10" t="str">
        <f aca="false">IF($B1478="","",IFERROR(INDEX(M_dept,MATCH($B1478,M_emp,0)),""))</f>
        <v/>
      </c>
      <c r="E1478" s="10" t="str">
        <f aca="false">IF($B1478="","",IFERROR(INDEX(M_loc,MATCH($B1478,M_emp,0)),""))</f>
        <v/>
      </c>
      <c r="F1478" s="33"/>
      <c r="G1478" s="33"/>
      <c r="H1478" s="33"/>
      <c r="I1478" s="33"/>
      <c r="J1478" s="33"/>
      <c r="K1478" s="33"/>
      <c r="L1478" s="33"/>
      <c r="M1478" s="33"/>
      <c r="N1478" s="33"/>
      <c r="O1478" s="33"/>
      <c r="P1478" s="33"/>
      <c r="Q1478" s="33"/>
      <c r="R1478" s="33"/>
      <c r="S1478" s="33"/>
      <c r="T1478" s="33"/>
      <c r="U1478" s="33"/>
      <c r="V1478" s="33"/>
      <c r="W1478" s="33"/>
      <c r="X1478" s="33"/>
      <c r="Y1478" s="33"/>
      <c r="Z1478" s="33"/>
      <c r="AA1478" s="33"/>
      <c r="AB1478" s="33"/>
      <c r="AC1478" s="33"/>
      <c r="AD1478" s="33"/>
      <c r="AE1478" s="33"/>
      <c r="AF1478" s="33"/>
      <c r="AG1478" s="33"/>
      <c r="AH1478" s="33"/>
      <c r="AI1478" s="33"/>
      <c r="AJ1478" s="33"/>
      <c r="AK1478" s="34" t="str">
        <f aca="false">IF($B1478="","",COUNTIF($F1478:$AJ1478,"P"))</f>
        <v/>
      </c>
      <c r="AL1478" s="34" t="str">
        <f aca="false">IF($B1478="","",COUNTIF($F1478:$AJ1478,"A"))</f>
        <v/>
      </c>
      <c r="AM1478" s="34" t="str">
        <f aca="false">IF($B1478="","",COUNTIF($F1478:$AJ1478,"HA"))</f>
        <v/>
      </c>
      <c r="AN1478" s="34" t="str">
        <f aca="false">IF($B1478="","",COUNTIF($F1478:$AJ1478,"L"))</f>
        <v/>
      </c>
      <c r="AO1478" s="34" t="str">
        <f aca="false">IF($B1478="","",COUNTIF($F1478:$AJ1478,"PL"))</f>
        <v/>
      </c>
      <c r="AP1478" s="34" t="str">
        <f aca="false">IF($B1478="","",COUNTIF($F1478:$AJ1478,"CL"))</f>
        <v/>
      </c>
      <c r="AQ1478" s="34" t="str">
        <f aca="false">IF($B1478="","",COUNTIF($F1478:$AJ1478,"SL"))</f>
        <v/>
      </c>
      <c r="AR1478" s="34" t="str">
        <f aca="false">IF($B1478="","",COUNTIF($F1478:$AJ1478,"CO"))</f>
        <v/>
      </c>
      <c r="AS1478" s="34" t="str">
        <f aca="false">IF($B1478="","",COUNTIF($F1478:$AJ1478,"HPL"))</f>
        <v/>
      </c>
      <c r="AT1478" s="34" t="str">
        <f aca="false">IF($B1478="","",COUNTIF($F1478:$AJ1478,"HCL"))</f>
        <v/>
      </c>
      <c r="AU1478" s="34" t="str">
        <f aca="false">IF($B1478="","",COUNTIF($F1478:$AJ1478,"WO"))</f>
        <v/>
      </c>
      <c r="AV1478" s="34" t="str">
        <f aca="false">IF($B1478="","",COUNTIF($F1478:$AJ1478,"PH"))</f>
        <v/>
      </c>
      <c r="AW1478" s="34" t="str">
        <f aca="false">IF($B1478="","",COUNTIF($F1478:$AJ1478,"TR"))</f>
        <v/>
      </c>
      <c r="AX1478" s="35" t="str">
        <f aca="false">IF($B1478="","",AO1478+AS1478/2)</f>
        <v/>
      </c>
      <c r="AY1478" s="35" t="str">
        <f aca="false">IF($B1478="","",AQ1478)</f>
        <v/>
      </c>
      <c r="AZ1478" s="35" t="str">
        <f aca="false">IF($B1478="","",AP1478+AT1478/2)</f>
        <v/>
      </c>
      <c r="BA1478" s="35" t="str">
        <f aca="false">IF($B1478="","",AK1478+AN1478+AM1478/2+AO1478+AP1478+AQ1478+AR1478+AS1478+AT1478+AU1478+AV1478+AW1478)</f>
        <v/>
      </c>
      <c r="BB1478" s="35" t="str">
        <f aca="false">IF($B1478="","",MAX(0,AN1478-Settings!$C$16)*Settings!$C$17)</f>
        <v/>
      </c>
      <c r="BC1478" s="35" t="str">
        <f aca="false">IF($B1478="","",BA1478-BB1478)</f>
        <v/>
      </c>
      <c r="BD1478" s="35" t="str">
        <f aca="false">IF(OR($B1478="",$A1478=""),"",DAY(EOMONTH($A1478,0))-COUNTA($F1478:$AJ1478))</f>
        <v/>
      </c>
    </row>
    <row r="1479" customFormat="false" ht="15" hidden="false" customHeight="false" outlineLevel="0" collapsed="false">
      <c r="A1479" s="32"/>
      <c r="B1479" s="29"/>
      <c r="C1479" s="10" t="str">
        <f aca="false">IF($B1479="","",IFERROR(INDEX(M_name,MATCH($B1479,M_emp,0)),"Code not found"))</f>
        <v/>
      </c>
      <c r="D1479" s="10" t="str">
        <f aca="false">IF($B1479="","",IFERROR(INDEX(M_dept,MATCH($B1479,M_emp,0)),""))</f>
        <v/>
      </c>
      <c r="E1479" s="10" t="str">
        <f aca="false">IF($B1479="","",IFERROR(INDEX(M_loc,MATCH($B1479,M_emp,0)),""))</f>
        <v/>
      </c>
      <c r="F1479" s="33"/>
      <c r="G1479" s="33"/>
      <c r="H1479" s="33"/>
      <c r="I1479" s="33"/>
      <c r="J1479" s="33"/>
      <c r="K1479" s="33"/>
      <c r="L1479" s="33"/>
      <c r="M1479" s="33"/>
      <c r="N1479" s="33"/>
      <c r="O1479" s="33"/>
      <c r="P1479" s="33"/>
      <c r="Q1479" s="33"/>
      <c r="R1479" s="33"/>
      <c r="S1479" s="33"/>
      <c r="T1479" s="33"/>
      <c r="U1479" s="33"/>
      <c r="V1479" s="33"/>
      <c r="W1479" s="33"/>
      <c r="X1479" s="33"/>
      <c r="Y1479" s="33"/>
      <c r="Z1479" s="33"/>
      <c r="AA1479" s="33"/>
      <c r="AB1479" s="33"/>
      <c r="AC1479" s="33"/>
      <c r="AD1479" s="33"/>
      <c r="AE1479" s="33"/>
      <c r="AF1479" s="33"/>
      <c r="AG1479" s="33"/>
      <c r="AH1479" s="33"/>
      <c r="AI1479" s="33"/>
      <c r="AJ1479" s="33"/>
      <c r="AK1479" s="34" t="str">
        <f aca="false">IF($B1479="","",COUNTIF($F1479:$AJ1479,"P"))</f>
        <v/>
      </c>
      <c r="AL1479" s="34" t="str">
        <f aca="false">IF($B1479="","",COUNTIF($F1479:$AJ1479,"A"))</f>
        <v/>
      </c>
      <c r="AM1479" s="34" t="str">
        <f aca="false">IF($B1479="","",COUNTIF($F1479:$AJ1479,"HA"))</f>
        <v/>
      </c>
      <c r="AN1479" s="34" t="str">
        <f aca="false">IF($B1479="","",COUNTIF($F1479:$AJ1479,"L"))</f>
        <v/>
      </c>
      <c r="AO1479" s="34" t="str">
        <f aca="false">IF($B1479="","",COUNTIF($F1479:$AJ1479,"PL"))</f>
        <v/>
      </c>
      <c r="AP1479" s="34" t="str">
        <f aca="false">IF($B1479="","",COUNTIF($F1479:$AJ1479,"CL"))</f>
        <v/>
      </c>
      <c r="AQ1479" s="34" t="str">
        <f aca="false">IF($B1479="","",COUNTIF($F1479:$AJ1479,"SL"))</f>
        <v/>
      </c>
      <c r="AR1479" s="34" t="str">
        <f aca="false">IF($B1479="","",COUNTIF($F1479:$AJ1479,"CO"))</f>
        <v/>
      </c>
      <c r="AS1479" s="34" t="str">
        <f aca="false">IF($B1479="","",COUNTIF($F1479:$AJ1479,"HPL"))</f>
        <v/>
      </c>
      <c r="AT1479" s="34" t="str">
        <f aca="false">IF($B1479="","",COUNTIF($F1479:$AJ1479,"HCL"))</f>
        <v/>
      </c>
      <c r="AU1479" s="34" t="str">
        <f aca="false">IF($B1479="","",COUNTIF($F1479:$AJ1479,"WO"))</f>
        <v/>
      </c>
      <c r="AV1479" s="34" t="str">
        <f aca="false">IF($B1479="","",COUNTIF($F1479:$AJ1479,"PH"))</f>
        <v/>
      </c>
      <c r="AW1479" s="34" t="str">
        <f aca="false">IF($B1479="","",COUNTIF($F1479:$AJ1479,"TR"))</f>
        <v/>
      </c>
      <c r="AX1479" s="35" t="str">
        <f aca="false">IF($B1479="","",AO1479+AS1479/2)</f>
        <v/>
      </c>
      <c r="AY1479" s="35" t="str">
        <f aca="false">IF($B1479="","",AQ1479)</f>
        <v/>
      </c>
      <c r="AZ1479" s="35" t="str">
        <f aca="false">IF($B1479="","",AP1479+AT1479/2)</f>
        <v/>
      </c>
      <c r="BA1479" s="35" t="str">
        <f aca="false">IF($B1479="","",AK1479+AN1479+AM1479/2+AO1479+AP1479+AQ1479+AR1479+AS1479+AT1479+AU1479+AV1479+AW1479)</f>
        <v/>
      </c>
      <c r="BB1479" s="35" t="str">
        <f aca="false">IF($B1479="","",MAX(0,AN1479-Settings!$C$16)*Settings!$C$17)</f>
        <v/>
      </c>
      <c r="BC1479" s="35" t="str">
        <f aca="false">IF($B1479="","",BA1479-BB1479)</f>
        <v/>
      </c>
      <c r="BD1479" s="35" t="str">
        <f aca="false">IF(OR($B1479="",$A1479=""),"",DAY(EOMONTH($A1479,0))-COUNTA($F1479:$AJ1479))</f>
        <v/>
      </c>
    </row>
    <row r="1480" customFormat="false" ht="15" hidden="false" customHeight="false" outlineLevel="0" collapsed="false">
      <c r="A1480" s="32"/>
      <c r="B1480" s="29"/>
      <c r="C1480" s="10" t="str">
        <f aca="false">IF($B1480="","",IFERROR(INDEX(M_name,MATCH($B1480,M_emp,0)),"Code not found"))</f>
        <v/>
      </c>
      <c r="D1480" s="10" t="str">
        <f aca="false">IF($B1480="","",IFERROR(INDEX(M_dept,MATCH($B1480,M_emp,0)),""))</f>
        <v/>
      </c>
      <c r="E1480" s="10" t="str">
        <f aca="false">IF($B1480="","",IFERROR(INDEX(M_loc,MATCH($B1480,M_emp,0)),""))</f>
        <v/>
      </c>
      <c r="F1480" s="33"/>
      <c r="G1480" s="33"/>
      <c r="H1480" s="33"/>
      <c r="I1480" s="33"/>
      <c r="J1480" s="33"/>
      <c r="K1480" s="33"/>
      <c r="L1480" s="33"/>
      <c r="M1480" s="33"/>
      <c r="N1480" s="33"/>
      <c r="O1480" s="33"/>
      <c r="P1480" s="33"/>
      <c r="Q1480" s="33"/>
      <c r="R1480" s="33"/>
      <c r="S1480" s="33"/>
      <c r="T1480" s="33"/>
      <c r="U1480" s="33"/>
      <c r="V1480" s="33"/>
      <c r="W1480" s="33"/>
      <c r="X1480" s="33"/>
      <c r="Y1480" s="33"/>
      <c r="Z1480" s="33"/>
      <c r="AA1480" s="33"/>
      <c r="AB1480" s="33"/>
      <c r="AC1480" s="33"/>
      <c r="AD1480" s="33"/>
      <c r="AE1480" s="33"/>
      <c r="AF1480" s="33"/>
      <c r="AG1480" s="33"/>
      <c r="AH1480" s="33"/>
      <c r="AI1480" s="33"/>
      <c r="AJ1480" s="33"/>
      <c r="AK1480" s="34" t="str">
        <f aca="false">IF($B1480="","",COUNTIF($F1480:$AJ1480,"P"))</f>
        <v/>
      </c>
      <c r="AL1480" s="34" t="str">
        <f aca="false">IF($B1480="","",COUNTIF($F1480:$AJ1480,"A"))</f>
        <v/>
      </c>
      <c r="AM1480" s="34" t="str">
        <f aca="false">IF($B1480="","",COUNTIF($F1480:$AJ1480,"HA"))</f>
        <v/>
      </c>
      <c r="AN1480" s="34" t="str">
        <f aca="false">IF($B1480="","",COUNTIF($F1480:$AJ1480,"L"))</f>
        <v/>
      </c>
      <c r="AO1480" s="34" t="str">
        <f aca="false">IF($B1480="","",COUNTIF($F1480:$AJ1480,"PL"))</f>
        <v/>
      </c>
      <c r="AP1480" s="34" t="str">
        <f aca="false">IF($B1480="","",COUNTIF($F1480:$AJ1480,"CL"))</f>
        <v/>
      </c>
      <c r="AQ1480" s="34" t="str">
        <f aca="false">IF($B1480="","",COUNTIF($F1480:$AJ1480,"SL"))</f>
        <v/>
      </c>
      <c r="AR1480" s="34" t="str">
        <f aca="false">IF($B1480="","",COUNTIF($F1480:$AJ1480,"CO"))</f>
        <v/>
      </c>
      <c r="AS1480" s="34" t="str">
        <f aca="false">IF($B1480="","",COUNTIF($F1480:$AJ1480,"HPL"))</f>
        <v/>
      </c>
      <c r="AT1480" s="34" t="str">
        <f aca="false">IF($B1480="","",COUNTIF($F1480:$AJ1480,"HCL"))</f>
        <v/>
      </c>
      <c r="AU1480" s="34" t="str">
        <f aca="false">IF($B1480="","",COUNTIF($F1480:$AJ1480,"WO"))</f>
        <v/>
      </c>
      <c r="AV1480" s="34" t="str">
        <f aca="false">IF($B1480="","",COUNTIF($F1480:$AJ1480,"PH"))</f>
        <v/>
      </c>
      <c r="AW1480" s="34" t="str">
        <f aca="false">IF($B1480="","",COUNTIF($F1480:$AJ1480,"TR"))</f>
        <v/>
      </c>
      <c r="AX1480" s="35" t="str">
        <f aca="false">IF($B1480="","",AO1480+AS1480/2)</f>
        <v/>
      </c>
      <c r="AY1480" s="35" t="str">
        <f aca="false">IF($B1480="","",AQ1480)</f>
        <v/>
      </c>
      <c r="AZ1480" s="35" t="str">
        <f aca="false">IF($B1480="","",AP1480+AT1480/2)</f>
        <v/>
      </c>
      <c r="BA1480" s="35" t="str">
        <f aca="false">IF($B1480="","",AK1480+AN1480+AM1480/2+AO1480+AP1480+AQ1480+AR1480+AS1480+AT1480+AU1480+AV1480+AW1480)</f>
        <v/>
      </c>
      <c r="BB1480" s="35" t="str">
        <f aca="false">IF($B1480="","",MAX(0,AN1480-Settings!$C$16)*Settings!$C$17)</f>
        <v/>
      </c>
      <c r="BC1480" s="35" t="str">
        <f aca="false">IF($B1480="","",BA1480-BB1480)</f>
        <v/>
      </c>
      <c r="BD1480" s="35" t="str">
        <f aca="false">IF(OR($B1480="",$A1480=""),"",DAY(EOMONTH($A1480,0))-COUNTA($F1480:$AJ1480))</f>
        <v/>
      </c>
    </row>
    <row r="1481" customFormat="false" ht="15" hidden="false" customHeight="false" outlineLevel="0" collapsed="false">
      <c r="A1481" s="32"/>
      <c r="B1481" s="29"/>
      <c r="C1481" s="10" t="str">
        <f aca="false">IF($B1481="","",IFERROR(INDEX(M_name,MATCH($B1481,M_emp,0)),"Code not found"))</f>
        <v/>
      </c>
      <c r="D1481" s="10" t="str">
        <f aca="false">IF($B1481="","",IFERROR(INDEX(M_dept,MATCH($B1481,M_emp,0)),""))</f>
        <v/>
      </c>
      <c r="E1481" s="10" t="str">
        <f aca="false">IF($B1481="","",IFERROR(INDEX(M_loc,MATCH($B1481,M_emp,0)),""))</f>
        <v/>
      </c>
      <c r="F1481" s="33"/>
      <c r="G1481" s="33"/>
      <c r="H1481" s="33"/>
      <c r="I1481" s="33"/>
      <c r="J1481" s="33"/>
      <c r="K1481" s="33"/>
      <c r="L1481" s="33"/>
      <c r="M1481" s="33"/>
      <c r="N1481" s="33"/>
      <c r="O1481" s="33"/>
      <c r="P1481" s="33"/>
      <c r="Q1481" s="33"/>
      <c r="R1481" s="33"/>
      <c r="S1481" s="33"/>
      <c r="T1481" s="33"/>
      <c r="U1481" s="33"/>
      <c r="V1481" s="33"/>
      <c r="W1481" s="33"/>
      <c r="X1481" s="33"/>
      <c r="Y1481" s="33"/>
      <c r="Z1481" s="33"/>
      <c r="AA1481" s="33"/>
      <c r="AB1481" s="33"/>
      <c r="AC1481" s="33"/>
      <c r="AD1481" s="33"/>
      <c r="AE1481" s="33"/>
      <c r="AF1481" s="33"/>
      <c r="AG1481" s="33"/>
      <c r="AH1481" s="33"/>
      <c r="AI1481" s="33"/>
      <c r="AJ1481" s="33"/>
      <c r="AK1481" s="34" t="str">
        <f aca="false">IF($B1481="","",COUNTIF($F1481:$AJ1481,"P"))</f>
        <v/>
      </c>
      <c r="AL1481" s="34" t="str">
        <f aca="false">IF($B1481="","",COUNTIF($F1481:$AJ1481,"A"))</f>
        <v/>
      </c>
      <c r="AM1481" s="34" t="str">
        <f aca="false">IF($B1481="","",COUNTIF($F1481:$AJ1481,"HA"))</f>
        <v/>
      </c>
      <c r="AN1481" s="34" t="str">
        <f aca="false">IF($B1481="","",COUNTIF($F1481:$AJ1481,"L"))</f>
        <v/>
      </c>
      <c r="AO1481" s="34" t="str">
        <f aca="false">IF($B1481="","",COUNTIF($F1481:$AJ1481,"PL"))</f>
        <v/>
      </c>
      <c r="AP1481" s="34" t="str">
        <f aca="false">IF($B1481="","",COUNTIF($F1481:$AJ1481,"CL"))</f>
        <v/>
      </c>
      <c r="AQ1481" s="34" t="str">
        <f aca="false">IF($B1481="","",COUNTIF($F1481:$AJ1481,"SL"))</f>
        <v/>
      </c>
      <c r="AR1481" s="34" t="str">
        <f aca="false">IF($B1481="","",COUNTIF($F1481:$AJ1481,"CO"))</f>
        <v/>
      </c>
      <c r="AS1481" s="34" t="str">
        <f aca="false">IF($B1481="","",COUNTIF($F1481:$AJ1481,"HPL"))</f>
        <v/>
      </c>
      <c r="AT1481" s="34" t="str">
        <f aca="false">IF($B1481="","",COUNTIF($F1481:$AJ1481,"HCL"))</f>
        <v/>
      </c>
      <c r="AU1481" s="34" t="str">
        <f aca="false">IF($B1481="","",COUNTIF($F1481:$AJ1481,"WO"))</f>
        <v/>
      </c>
      <c r="AV1481" s="34" t="str">
        <f aca="false">IF($B1481="","",COUNTIF($F1481:$AJ1481,"PH"))</f>
        <v/>
      </c>
      <c r="AW1481" s="34" t="str">
        <f aca="false">IF($B1481="","",COUNTIF($F1481:$AJ1481,"TR"))</f>
        <v/>
      </c>
      <c r="AX1481" s="35" t="str">
        <f aca="false">IF($B1481="","",AO1481+AS1481/2)</f>
        <v/>
      </c>
      <c r="AY1481" s="35" t="str">
        <f aca="false">IF($B1481="","",AQ1481)</f>
        <v/>
      </c>
      <c r="AZ1481" s="35" t="str">
        <f aca="false">IF($B1481="","",AP1481+AT1481/2)</f>
        <v/>
      </c>
      <c r="BA1481" s="35" t="str">
        <f aca="false">IF($B1481="","",AK1481+AN1481+AM1481/2+AO1481+AP1481+AQ1481+AR1481+AS1481+AT1481+AU1481+AV1481+AW1481)</f>
        <v/>
      </c>
      <c r="BB1481" s="35" t="str">
        <f aca="false">IF($B1481="","",MAX(0,AN1481-Settings!$C$16)*Settings!$C$17)</f>
        <v/>
      </c>
      <c r="BC1481" s="35" t="str">
        <f aca="false">IF($B1481="","",BA1481-BB1481)</f>
        <v/>
      </c>
      <c r="BD1481" s="35" t="str">
        <f aca="false">IF(OR($B1481="",$A1481=""),"",DAY(EOMONTH($A1481,0))-COUNTA($F1481:$AJ1481))</f>
        <v/>
      </c>
    </row>
    <row r="1482" customFormat="false" ht="15" hidden="false" customHeight="false" outlineLevel="0" collapsed="false">
      <c r="A1482" s="32"/>
      <c r="B1482" s="29"/>
      <c r="C1482" s="10" t="str">
        <f aca="false">IF($B1482="","",IFERROR(INDEX(M_name,MATCH($B1482,M_emp,0)),"Code not found"))</f>
        <v/>
      </c>
      <c r="D1482" s="10" t="str">
        <f aca="false">IF($B1482="","",IFERROR(INDEX(M_dept,MATCH($B1482,M_emp,0)),""))</f>
        <v/>
      </c>
      <c r="E1482" s="10" t="str">
        <f aca="false">IF($B1482="","",IFERROR(INDEX(M_loc,MATCH($B1482,M_emp,0)),""))</f>
        <v/>
      </c>
      <c r="F1482" s="33"/>
      <c r="G1482" s="33"/>
      <c r="H1482" s="33"/>
      <c r="I1482" s="33"/>
      <c r="J1482" s="33"/>
      <c r="K1482" s="33"/>
      <c r="L1482" s="33"/>
      <c r="M1482" s="33"/>
      <c r="N1482" s="33"/>
      <c r="O1482" s="33"/>
      <c r="P1482" s="33"/>
      <c r="Q1482" s="33"/>
      <c r="R1482" s="33"/>
      <c r="S1482" s="33"/>
      <c r="T1482" s="33"/>
      <c r="U1482" s="33"/>
      <c r="V1482" s="33"/>
      <c r="W1482" s="33"/>
      <c r="X1482" s="33"/>
      <c r="Y1482" s="33"/>
      <c r="Z1482" s="33"/>
      <c r="AA1482" s="33"/>
      <c r="AB1482" s="33"/>
      <c r="AC1482" s="33"/>
      <c r="AD1482" s="33"/>
      <c r="AE1482" s="33"/>
      <c r="AF1482" s="33"/>
      <c r="AG1482" s="33"/>
      <c r="AH1482" s="33"/>
      <c r="AI1482" s="33"/>
      <c r="AJ1482" s="33"/>
      <c r="AK1482" s="34" t="str">
        <f aca="false">IF($B1482="","",COUNTIF($F1482:$AJ1482,"P"))</f>
        <v/>
      </c>
      <c r="AL1482" s="34" t="str">
        <f aca="false">IF($B1482="","",COUNTIF($F1482:$AJ1482,"A"))</f>
        <v/>
      </c>
      <c r="AM1482" s="34" t="str">
        <f aca="false">IF($B1482="","",COUNTIF($F1482:$AJ1482,"HA"))</f>
        <v/>
      </c>
      <c r="AN1482" s="34" t="str">
        <f aca="false">IF($B1482="","",COUNTIF($F1482:$AJ1482,"L"))</f>
        <v/>
      </c>
      <c r="AO1482" s="34" t="str">
        <f aca="false">IF($B1482="","",COUNTIF($F1482:$AJ1482,"PL"))</f>
        <v/>
      </c>
      <c r="AP1482" s="34" t="str">
        <f aca="false">IF($B1482="","",COUNTIF($F1482:$AJ1482,"CL"))</f>
        <v/>
      </c>
      <c r="AQ1482" s="34" t="str">
        <f aca="false">IF($B1482="","",COUNTIF($F1482:$AJ1482,"SL"))</f>
        <v/>
      </c>
      <c r="AR1482" s="34" t="str">
        <f aca="false">IF($B1482="","",COUNTIF($F1482:$AJ1482,"CO"))</f>
        <v/>
      </c>
      <c r="AS1482" s="34" t="str">
        <f aca="false">IF($B1482="","",COUNTIF($F1482:$AJ1482,"HPL"))</f>
        <v/>
      </c>
      <c r="AT1482" s="34" t="str">
        <f aca="false">IF($B1482="","",COUNTIF($F1482:$AJ1482,"HCL"))</f>
        <v/>
      </c>
      <c r="AU1482" s="34" t="str">
        <f aca="false">IF($B1482="","",COUNTIF($F1482:$AJ1482,"WO"))</f>
        <v/>
      </c>
      <c r="AV1482" s="34" t="str">
        <f aca="false">IF($B1482="","",COUNTIF($F1482:$AJ1482,"PH"))</f>
        <v/>
      </c>
      <c r="AW1482" s="34" t="str">
        <f aca="false">IF($B1482="","",COUNTIF($F1482:$AJ1482,"TR"))</f>
        <v/>
      </c>
      <c r="AX1482" s="35" t="str">
        <f aca="false">IF($B1482="","",AO1482+AS1482/2)</f>
        <v/>
      </c>
      <c r="AY1482" s="35" t="str">
        <f aca="false">IF($B1482="","",AQ1482)</f>
        <v/>
      </c>
      <c r="AZ1482" s="35" t="str">
        <f aca="false">IF($B1482="","",AP1482+AT1482/2)</f>
        <v/>
      </c>
      <c r="BA1482" s="35" t="str">
        <f aca="false">IF($B1482="","",AK1482+AN1482+AM1482/2+AO1482+AP1482+AQ1482+AR1482+AS1482+AT1482+AU1482+AV1482+AW1482)</f>
        <v/>
      </c>
      <c r="BB1482" s="35" t="str">
        <f aca="false">IF($B1482="","",MAX(0,AN1482-Settings!$C$16)*Settings!$C$17)</f>
        <v/>
      </c>
      <c r="BC1482" s="35" t="str">
        <f aca="false">IF($B1482="","",BA1482-BB1482)</f>
        <v/>
      </c>
      <c r="BD1482" s="35" t="str">
        <f aca="false">IF(OR($B1482="",$A1482=""),"",DAY(EOMONTH($A1482,0))-COUNTA($F1482:$AJ1482))</f>
        <v/>
      </c>
    </row>
    <row r="1483" customFormat="false" ht="15" hidden="false" customHeight="false" outlineLevel="0" collapsed="false">
      <c r="A1483" s="32"/>
      <c r="B1483" s="29"/>
      <c r="C1483" s="10" t="str">
        <f aca="false">IF($B1483="","",IFERROR(INDEX(M_name,MATCH($B1483,M_emp,0)),"Code not found"))</f>
        <v/>
      </c>
      <c r="D1483" s="10" t="str">
        <f aca="false">IF($B1483="","",IFERROR(INDEX(M_dept,MATCH($B1483,M_emp,0)),""))</f>
        <v/>
      </c>
      <c r="E1483" s="10" t="str">
        <f aca="false">IF($B1483="","",IFERROR(INDEX(M_loc,MATCH($B1483,M_emp,0)),""))</f>
        <v/>
      </c>
      <c r="F1483" s="33"/>
      <c r="G1483" s="33"/>
      <c r="H1483" s="33"/>
      <c r="I1483" s="33"/>
      <c r="J1483" s="33"/>
      <c r="K1483" s="33"/>
      <c r="L1483" s="33"/>
      <c r="M1483" s="33"/>
      <c r="N1483" s="33"/>
      <c r="O1483" s="33"/>
      <c r="P1483" s="33"/>
      <c r="Q1483" s="33"/>
      <c r="R1483" s="33"/>
      <c r="S1483" s="33"/>
      <c r="T1483" s="33"/>
      <c r="U1483" s="33"/>
      <c r="V1483" s="33"/>
      <c r="W1483" s="33"/>
      <c r="X1483" s="33"/>
      <c r="Y1483" s="33"/>
      <c r="Z1483" s="33"/>
      <c r="AA1483" s="33"/>
      <c r="AB1483" s="33"/>
      <c r="AC1483" s="33"/>
      <c r="AD1483" s="33"/>
      <c r="AE1483" s="33"/>
      <c r="AF1483" s="33"/>
      <c r="AG1483" s="33"/>
      <c r="AH1483" s="33"/>
      <c r="AI1483" s="33"/>
      <c r="AJ1483" s="33"/>
      <c r="AK1483" s="34" t="str">
        <f aca="false">IF($B1483="","",COUNTIF($F1483:$AJ1483,"P"))</f>
        <v/>
      </c>
      <c r="AL1483" s="34" t="str">
        <f aca="false">IF($B1483="","",COUNTIF($F1483:$AJ1483,"A"))</f>
        <v/>
      </c>
      <c r="AM1483" s="34" t="str">
        <f aca="false">IF($B1483="","",COUNTIF($F1483:$AJ1483,"HA"))</f>
        <v/>
      </c>
      <c r="AN1483" s="34" t="str">
        <f aca="false">IF($B1483="","",COUNTIF($F1483:$AJ1483,"L"))</f>
        <v/>
      </c>
      <c r="AO1483" s="34" t="str">
        <f aca="false">IF($B1483="","",COUNTIF($F1483:$AJ1483,"PL"))</f>
        <v/>
      </c>
      <c r="AP1483" s="34" t="str">
        <f aca="false">IF($B1483="","",COUNTIF($F1483:$AJ1483,"CL"))</f>
        <v/>
      </c>
      <c r="AQ1483" s="34" t="str">
        <f aca="false">IF($B1483="","",COUNTIF($F1483:$AJ1483,"SL"))</f>
        <v/>
      </c>
      <c r="AR1483" s="34" t="str">
        <f aca="false">IF($B1483="","",COUNTIF($F1483:$AJ1483,"CO"))</f>
        <v/>
      </c>
      <c r="AS1483" s="34" t="str">
        <f aca="false">IF($B1483="","",COUNTIF($F1483:$AJ1483,"HPL"))</f>
        <v/>
      </c>
      <c r="AT1483" s="34" t="str">
        <f aca="false">IF($B1483="","",COUNTIF($F1483:$AJ1483,"HCL"))</f>
        <v/>
      </c>
      <c r="AU1483" s="34" t="str">
        <f aca="false">IF($B1483="","",COUNTIF($F1483:$AJ1483,"WO"))</f>
        <v/>
      </c>
      <c r="AV1483" s="34" t="str">
        <f aca="false">IF($B1483="","",COUNTIF($F1483:$AJ1483,"PH"))</f>
        <v/>
      </c>
      <c r="AW1483" s="34" t="str">
        <f aca="false">IF($B1483="","",COUNTIF($F1483:$AJ1483,"TR"))</f>
        <v/>
      </c>
      <c r="AX1483" s="35" t="str">
        <f aca="false">IF($B1483="","",AO1483+AS1483/2)</f>
        <v/>
      </c>
      <c r="AY1483" s="35" t="str">
        <f aca="false">IF($B1483="","",AQ1483)</f>
        <v/>
      </c>
      <c r="AZ1483" s="35" t="str">
        <f aca="false">IF($B1483="","",AP1483+AT1483/2)</f>
        <v/>
      </c>
      <c r="BA1483" s="35" t="str">
        <f aca="false">IF($B1483="","",AK1483+AN1483+AM1483/2+AO1483+AP1483+AQ1483+AR1483+AS1483+AT1483+AU1483+AV1483+AW1483)</f>
        <v/>
      </c>
      <c r="BB1483" s="35" t="str">
        <f aca="false">IF($B1483="","",MAX(0,AN1483-Settings!$C$16)*Settings!$C$17)</f>
        <v/>
      </c>
      <c r="BC1483" s="35" t="str">
        <f aca="false">IF($B1483="","",BA1483-BB1483)</f>
        <v/>
      </c>
      <c r="BD1483" s="35" t="str">
        <f aca="false">IF(OR($B1483="",$A1483=""),"",DAY(EOMONTH($A1483,0))-COUNTA($F1483:$AJ1483))</f>
        <v/>
      </c>
    </row>
    <row r="1484" customFormat="false" ht="15" hidden="false" customHeight="false" outlineLevel="0" collapsed="false">
      <c r="A1484" s="32"/>
      <c r="B1484" s="29"/>
      <c r="C1484" s="10" t="str">
        <f aca="false">IF($B1484="","",IFERROR(INDEX(M_name,MATCH($B1484,M_emp,0)),"Code not found"))</f>
        <v/>
      </c>
      <c r="D1484" s="10" t="str">
        <f aca="false">IF($B1484="","",IFERROR(INDEX(M_dept,MATCH($B1484,M_emp,0)),""))</f>
        <v/>
      </c>
      <c r="E1484" s="10" t="str">
        <f aca="false">IF($B1484="","",IFERROR(INDEX(M_loc,MATCH($B1484,M_emp,0)),""))</f>
        <v/>
      </c>
      <c r="F1484" s="33"/>
      <c r="G1484" s="33"/>
      <c r="H1484" s="33"/>
      <c r="I1484" s="33"/>
      <c r="J1484" s="33"/>
      <c r="K1484" s="33"/>
      <c r="L1484" s="33"/>
      <c r="M1484" s="33"/>
      <c r="N1484" s="33"/>
      <c r="O1484" s="33"/>
      <c r="P1484" s="33"/>
      <c r="Q1484" s="33"/>
      <c r="R1484" s="33"/>
      <c r="S1484" s="33"/>
      <c r="T1484" s="33"/>
      <c r="U1484" s="33"/>
      <c r="V1484" s="33"/>
      <c r="W1484" s="33"/>
      <c r="X1484" s="33"/>
      <c r="Y1484" s="33"/>
      <c r="Z1484" s="33"/>
      <c r="AA1484" s="33"/>
      <c r="AB1484" s="33"/>
      <c r="AC1484" s="33"/>
      <c r="AD1484" s="33"/>
      <c r="AE1484" s="33"/>
      <c r="AF1484" s="33"/>
      <c r="AG1484" s="33"/>
      <c r="AH1484" s="33"/>
      <c r="AI1484" s="33"/>
      <c r="AJ1484" s="33"/>
      <c r="AK1484" s="34" t="str">
        <f aca="false">IF($B1484="","",COUNTIF($F1484:$AJ1484,"P"))</f>
        <v/>
      </c>
      <c r="AL1484" s="34" t="str">
        <f aca="false">IF($B1484="","",COUNTIF($F1484:$AJ1484,"A"))</f>
        <v/>
      </c>
      <c r="AM1484" s="34" t="str">
        <f aca="false">IF($B1484="","",COUNTIF($F1484:$AJ1484,"HA"))</f>
        <v/>
      </c>
      <c r="AN1484" s="34" t="str">
        <f aca="false">IF($B1484="","",COUNTIF($F1484:$AJ1484,"L"))</f>
        <v/>
      </c>
      <c r="AO1484" s="34" t="str">
        <f aca="false">IF($B1484="","",COUNTIF($F1484:$AJ1484,"PL"))</f>
        <v/>
      </c>
      <c r="AP1484" s="34" t="str">
        <f aca="false">IF($B1484="","",COUNTIF($F1484:$AJ1484,"CL"))</f>
        <v/>
      </c>
      <c r="AQ1484" s="34" t="str">
        <f aca="false">IF($B1484="","",COUNTIF($F1484:$AJ1484,"SL"))</f>
        <v/>
      </c>
      <c r="AR1484" s="34" t="str">
        <f aca="false">IF($B1484="","",COUNTIF($F1484:$AJ1484,"CO"))</f>
        <v/>
      </c>
      <c r="AS1484" s="34" t="str">
        <f aca="false">IF($B1484="","",COUNTIF($F1484:$AJ1484,"HPL"))</f>
        <v/>
      </c>
      <c r="AT1484" s="34" t="str">
        <f aca="false">IF($B1484="","",COUNTIF($F1484:$AJ1484,"HCL"))</f>
        <v/>
      </c>
      <c r="AU1484" s="34" t="str">
        <f aca="false">IF($B1484="","",COUNTIF($F1484:$AJ1484,"WO"))</f>
        <v/>
      </c>
      <c r="AV1484" s="34" t="str">
        <f aca="false">IF($B1484="","",COUNTIF($F1484:$AJ1484,"PH"))</f>
        <v/>
      </c>
      <c r="AW1484" s="34" t="str">
        <f aca="false">IF($B1484="","",COUNTIF($F1484:$AJ1484,"TR"))</f>
        <v/>
      </c>
      <c r="AX1484" s="35" t="str">
        <f aca="false">IF($B1484="","",AO1484+AS1484/2)</f>
        <v/>
      </c>
      <c r="AY1484" s="35" t="str">
        <f aca="false">IF($B1484="","",AQ1484)</f>
        <v/>
      </c>
      <c r="AZ1484" s="35" t="str">
        <f aca="false">IF($B1484="","",AP1484+AT1484/2)</f>
        <v/>
      </c>
      <c r="BA1484" s="35" t="str">
        <f aca="false">IF($B1484="","",AK1484+AN1484+AM1484/2+AO1484+AP1484+AQ1484+AR1484+AS1484+AT1484+AU1484+AV1484+AW1484)</f>
        <v/>
      </c>
      <c r="BB1484" s="35" t="str">
        <f aca="false">IF($B1484="","",MAX(0,AN1484-Settings!$C$16)*Settings!$C$17)</f>
        <v/>
      </c>
      <c r="BC1484" s="35" t="str">
        <f aca="false">IF($B1484="","",BA1484-BB1484)</f>
        <v/>
      </c>
      <c r="BD1484" s="35" t="str">
        <f aca="false">IF(OR($B1484="",$A1484=""),"",DAY(EOMONTH($A1484,0))-COUNTA($F1484:$AJ1484))</f>
        <v/>
      </c>
    </row>
    <row r="1485" customFormat="false" ht="15" hidden="false" customHeight="false" outlineLevel="0" collapsed="false">
      <c r="A1485" s="32"/>
      <c r="B1485" s="29"/>
      <c r="C1485" s="10" t="str">
        <f aca="false">IF($B1485="","",IFERROR(INDEX(M_name,MATCH($B1485,M_emp,0)),"Code not found"))</f>
        <v/>
      </c>
      <c r="D1485" s="10" t="str">
        <f aca="false">IF($B1485="","",IFERROR(INDEX(M_dept,MATCH($B1485,M_emp,0)),""))</f>
        <v/>
      </c>
      <c r="E1485" s="10" t="str">
        <f aca="false">IF($B1485="","",IFERROR(INDEX(M_loc,MATCH($B1485,M_emp,0)),""))</f>
        <v/>
      </c>
      <c r="F1485" s="33"/>
      <c r="G1485" s="33"/>
      <c r="H1485" s="33"/>
      <c r="I1485" s="33"/>
      <c r="J1485" s="33"/>
      <c r="K1485" s="33"/>
      <c r="L1485" s="33"/>
      <c r="M1485" s="33"/>
      <c r="N1485" s="33"/>
      <c r="O1485" s="33"/>
      <c r="P1485" s="33"/>
      <c r="Q1485" s="33"/>
      <c r="R1485" s="33"/>
      <c r="S1485" s="33"/>
      <c r="T1485" s="33"/>
      <c r="U1485" s="33"/>
      <c r="V1485" s="33"/>
      <c r="W1485" s="33"/>
      <c r="X1485" s="33"/>
      <c r="Y1485" s="33"/>
      <c r="Z1485" s="33"/>
      <c r="AA1485" s="33"/>
      <c r="AB1485" s="33"/>
      <c r="AC1485" s="33"/>
      <c r="AD1485" s="33"/>
      <c r="AE1485" s="33"/>
      <c r="AF1485" s="33"/>
      <c r="AG1485" s="33"/>
      <c r="AH1485" s="33"/>
      <c r="AI1485" s="33"/>
      <c r="AJ1485" s="33"/>
      <c r="AK1485" s="34" t="str">
        <f aca="false">IF($B1485="","",COUNTIF($F1485:$AJ1485,"P"))</f>
        <v/>
      </c>
      <c r="AL1485" s="34" t="str">
        <f aca="false">IF($B1485="","",COUNTIF($F1485:$AJ1485,"A"))</f>
        <v/>
      </c>
      <c r="AM1485" s="34" t="str">
        <f aca="false">IF($B1485="","",COUNTIF($F1485:$AJ1485,"HA"))</f>
        <v/>
      </c>
      <c r="AN1485" s="34" t="str">
        <f aca="false">IF($B1485="","",COUNTIF($F1485:$AJ1485,"L"))</f>
        <v/>
      </c>
      <c r="AO1485" s="34" t="str">
        <f aca="false">IF($B1485="","",COUNTIF($F1485:$AJ1485,"PL"))</f>
        <v/>
      </c>
      <c r="AP1485" s="34" t="str">
        <f aca="false">IF($B1485="","",COUNTIF($F1485:$AJ1485,"CL"))</f>
        <v/>
      </c>
      <c r="AQ1485" s="34" t="str">
        <f aca="false">IF($B1485="","",COUNTIF($F1485:$AJ1485,"SL"))</f>
        <v/>
      </c>
      <c r="AR1485" s="34" t="str">
        <f aca="false">IF($B1485="","",COUNTIF($F1485:$AJ1485,"CO"))</f>
        <v/>
      </c>
      <c r="AS1485" s="34" t="str">
        <f aca="false">IF($B1485="","",COUNTIF($F1485:$AJ1485,"HPL"))</f>
        <v/>
      </c>
      <c r="AT1485" s="34" t="str">
        <f aca="false">IF($B1485="","",COUNTIF($F1485:$AJ1485,"HCL"))</f>
        <v/>
      </c>
      <c r="AU1485" s="34" t="str">
        <f aca="false">IF($B1485="","",COUNTIF($F1485:$AJ1485,"WO"))</f>
        <v/>
      </c>
      <c r="AV1485" s="34" t="str">
        <f aca="false">IF($B1485="","",COUNTIF($F1485:$AJ1485,"PH"))</f>
        <v/>
      </c>
      <c r="AW1485" s="34" t="str">
        <f aca="false">IF($B1485="","",COUNTIF($F1485:$AJ1485,"TR"))</f>
        <v/>
      </c>
      <c r="AX1485" s="35" t="str">
        <f aca="false">IF($B1485="","",AO1485+AS1485/2)</f>
        <v/>
      </c>
      <c r="AY1485" s="35" t="str">
        <f aca="false">IF($B1485="","",AQ1485)</f>
        <v/>
      </c>
      <c r="AZ1485" s="35" t="str">
        <f aca="false">IF($B1485="","",AP1485+AT1485/2)</f>
        <v/>
      </c>
      <c r="BA1485" s="35" t="str">
        <f aca="false">IF($B1485="","",AK1485+AN1485+AM1485/2+AO1485+AP1485+AQ1485+AR1485+AS1485+AT1485+AU1485+AV1485+AW1485)</f>
        <v/>
      </c>
      <c r="BB1485" s="35" t="str">
        <f aca="false">IF($B1485="","",MAX(0,AN1485-Settings!$C$16)*Settings!$C$17)</f>
        <v/>
      </c>
      <c r="BC1485" s="35" t="str">
        <f aca="false">IF($B1485="","",BA1485-BB1485)</f>
        <v/>
      </c>
      <c r="BD1485" s="35" t="str">
        <f aca="false">IF(OR($B1485="",$A1485=""),"",DAY(EOMONTH($A1485,0))-COUNTA($F1485:$AJ1485))</f>
        <v/>
      </c>
    </row>
    <row r="1486" customFormat="false" ht="15" hidden="false" customHeight="false" outlineLevel="0" collapsed="false">
      <c r="A1486" s="32"/>
      <c r="B1486" s="29"/>
      <c r="C1486" s="10" t="str">
        <f aca="false">IF($B1486="","",IFERROR(INDEX(M_name,MATCH($B1486,M_emp,0)),"Code not found"))</f>
        <v/>
      </c>
      <c r="D1486" s="10" t="str">
        <f aca="false">IF($B1486="","",IFERROR(INDEX(M_dept,MATCH($B1486,M_emp,0)),""))</f>
        <v/>
      </c>
      <c r="E1486" s="10" t="str">
        <f aca="false">IF($B1486="","",IFERROR(INDEX(M_loc,MATCH($B1486,M_emp,0)),""))</f>
        <v/>
      </c>
      <c r="F1486" s="33"/>
      <c r="G1486" s="33"/>
      <c r="H1486" s="33"/>
      <c r="I1486" s="33"/>
      <c r="J1486" s="33"/>
      <c r="K1486" s="33"/>
      <c r="L1486" s="33"/>
      <c r="M1486" s="33"/>
      <c r="N1486" s="33"/>
      <c r="O1486" s="33"/>
      <c r="P1486" s="33"/>
      <c r="Q1486" s="33"/>
      <c r="R1486" s="33"/>
      <c r="S1486" s="33"/>
      <c r="T1486" s="33"/>
      <c r="U1486" s="33"/>
      <c r="V1486" s="33"/>
      <c r="W1486" s="33"/>
      <c r="X1486" s="33"/>
      <c r="Y1486" s="33"/>
      <c r="Z1486" s="33"/>
      <c r="AA1486" s="33"/>
      <c r="AB1486" s="33"/>
      <c r="AC1486" s="33"/>
      <c r="AD1486" s="33"/>
      <c r="AE1486" s="33"/>
      <c r="AF1486" s="33"/>
      <c r="AG1486" s="33"/>
      <c r="AH1486" s="33"/>
      <c r="AI1486" s="33"/>
      <c r="AJ1486" s="33"/>
      <c r="AK1486" s="34" t="str">
        <f aca="false">IF($B1486="","",COUNTIF($F1486:$AJ1486,"P"))</f>
        <v/>
      </c>
      <c r="AL1486" s="34" t="str">
        <f aca="false">IF($B1486="","",COUNTIF($F1486:$AJ1486,"A"))</f>
        <v/>
      </c>
      <c r="AM1486" s="34" t="str">
        <f aca="false">IF($B1486="","",COUNTIF($F1486:$AJ1486,"HA"))</f>
        <v/>
      </c>
      <c r="AN1486" s="34" t="str">
        <f aca="false">IF($B1486="","",COUNTIF($F1486:$AJ1486,"L"))</f>
        <v/>
      </c>
      <c r="AO1486" s="34" t="str">
        <f aca="false">IF($B1486="","",COUNTIF($F1486:$AJ1486,"PL"))</f>
        <v/>
      </c>
      <c r="AP1486" s="34" t="str">
        <f aca="false">IF($B1486="","",COUNTIF($F1486:$AJ1486,"CL"))</f>
        <v/>
      </c>
      <c r="AQ1486" s="34" t="str">
        <f aca="false">IF($B1486="","",COUNTIF($F1486:$AJ1486,"SL"))</f>
        <v/>
      </c>
      <c r="AR1486" s="34" t="str">
        <f aca="false">IF($B1486="","",COUNTIF($F1486:$AJ1486,"CO"))</f>
        <v/>
      </c>
      <c r="AS1486" s="34" t="str">
        <f aca="false">IF($B1486="","",COUNTIF($F1486:$AJ1486,"HPL"))</f>
        <v/>
      </c>
      <c r="AT1486" s="34" t="str">
        <f aca="false">IF($B1486="","",COUNTIF($F1486:$AJ1486,"HCL"))</f>
        <v/>
      </c>
      <c r="AU1486" s="34" t="str">
        <f aca="false">IF($B1486="","",COUNTIF($F1486:$AJ1486,"WO"))</f>
        <v/>
      </c>
      <c r="AV1486" s="34" t="str">
        <f aca="false">IF($B1486="","",COUNTIF($F1486:$AJ1486,"PH"))</f>
        <v/>
      </c>
      <c r="AW1486" s="34" t="str">
        <f aca="false">IF($B1486="","",COUNTIF($F1486:$AJ1486,"TR"))</f>
        <v/>
      </c>
      <c r="AX1486" s="35" t="str">
        <f aca="false">IF($B1486="","",AO1486+AS1486/2)</f>
        <v/>
      </c>
      <c r="AY1486" s="35" t="str">
        <f aca="false">IF($B1486="","",AQ1486)</f>
        <v/>
      </c>
      <c r="AZ1486" s="35" t="str">
        <f aca="false">IF($B1486="","",AP1486+AT1486/2)</f>
        <v/>
      </c>
      <c r="BA1486" s="35" t="str">
        <f aca="false">IF($B1486="","",AK1486+AN1486+AM1486/2+AO1486+AP1486+AQ1486+AR1486+AS1486+AT1486+AU1486+AV1486+AW1486)</f>
        <v/>
      </c>
      <c r="BB1486" s="35" t="str">
        <f aca="false">IF($B1486="","",MAX(0,AN1486-Settings!$C$16)*Settings!$C$17)</f>
        <v/>
      </c>
      <c r="BC1486" s="35" t="str">
        <f aca="false">IF($B1486="","",BA1486-BB1486)</f>
        <v/>
      </c>
      <c r="BD1486" s="35" t="str">
        <f aca="false">IF(OR($B1486="",$A1486=""),"",DAY(EOMONTH($A1486,0))-COUNTA($F1486:$AJ1486))</f>
        <v/>
      </c>
    </row>
    <row r="1487" customFormat="false" ht="15" hidden="false" customHeight="false" outlineLevel="0" collapsed="false">
      <c r="A1487" s="32"/>
      <c r="B1487" s="29"/>
      <c r="C1487" s="10" t="str">
        <f aca="false">IF($B1487="","",IFERROR(INDEX(M_name,MATCH($B1487,M_emp,0)),"Code not found"))</f>
        <v/>
      </c>
      <c r="D1487" s="10" t="str">
        <f aca="false">IF($B1487="","",IFERROR(INDEX(M_dept,MATCH($B1487,M_emp,0)),""))</f>
        <v/>
      </c>
      <c r="E1487" s="10" t="str">
        <f aca="false">IF($B1487="","",IFERROR(INDEX(M_loc,MATCH($B1487,M_emp,0)),""))</f>
        <v/>
      </c>
      <c r="F1487" s="33"/>
      <c r="G1487" s="33"/>
      <c r="H1487" s="33"/>
      <c r="I1487" s="33"/>
      <c r="J1487" s="33"/>
      <c r="K1487" s="33"/>
      <c r="L1487" s="33"/>
      <c r="M1487" s="33"/>
      <c r="N1487" s="33"/>
      <c r="O1487" s="33"/>
      <c r="P1487" s="33"/>
      <c r="Q1487" s="33"/>
      <c r="R1487" s="33"/>
      <c r="S1487" s="33"/>
      <c r="T1487" s="33"/>
      <c r="U1487" s="33"/>
      <c r="V1487" s="33"/>
      <c r="W1487" s="33"/>
      <c r="X1487" s="33"/>
      <c r="Y1487" s="33"/>
      <c r="Z1487" s="33"/>
      <c r="AA1487" s="33"/>
      <c r="AB1487" s="33"/>
      <c r="AC1487" s="33"/>
      <c r="AD1487" s="33"/>
      <c r="AE1487" s="33"/>
      <c r="AF1487" s="33"/>
      <c r="AG1487" s="33"/>
      <c r="AH1487" s="33"/>
      <c r="AI1487" s="33"/>
      <c r="AJ1487" s="33"/>
      <c r="AK1487" s="34" t="str">
        <f aca="false">IF($B1487="","",COUNTIF($F1487:$AJ1487,"P"))</f>
        <v/>
      </c>
      <c r="AL1487" s="34" t="str">
        <f aca="false">IF($B1487="","",COUNTIF($F1487:$AJ1487,"A"))</f>
        <v/>
      </c>
      <c r="AM1487" s="34" t="str">
        <f aca="false">IF($B1487="","",COUNTIF($F1487:$AJ1487,"HA"))</f>
        <v/>
      </c>
      <c r="AN1487" s="34" t="str">
        <f aca="false">IF($B1487="","",COUNTIF($F1487:$AJ1487,"L"))</f>
        <v/>
      </c>
      <c r="AO1487" s="34" t="str">
        <f aca="false">IF($B1487="","",COUNTIF($F1487:$AJ1487,"PL"))</f>
        <v/>
      </c>
      <c r="AP1487" s="34" t="str">
        <f aca="false">IF($B1487="","",COUNTIF($F1487:$AJ1487,"CL"))</f>
        <v/>
      </c>
      <c r="AQ1487" s="34" t="str">
        <f aca="false">IF($B1487="","",COUNTIF($F1487:$AJ1487,"SL"))</f>
        <v/>
      </c>
      <c r="AR1487" s="34" t="str">
        <f aca="false">IF($B1487="","",COUNTIF($F1487:$AJ1487,"CO"))</f>
        <v/>
      </c>
      <c r="AS1487" s="34" t="str">
        <f aca="false">IF($B1487="","",COUNTIF($F1487:$AJ1487,"HPL"))</f>
        <v/>
      </c>
      <c r="AT1487" s="34" t="str">
        <f aca="false">IF($B1487="","",COUNTIF($F1487:$AJ1487,"HCL"))</f>
        <v/>
      </c>
      <c r="AU1487" s="34" t="str">
        <f aca="false">IF($B1487="","",COUNTIF($F1487:$AJ1487,"WO"))</f>
        <v/>
      </c>
      <c r="AV1487" s="34" t="str">
        <f aca="false">IF($B1487="","",COUNTIF($F1487:$AJ1487,"PH"))</f>
        <v/>
      </c>
      <c r="AW1487" s="34" t="str">
        <f aca="false">IF($B1487="","",COUNTIF($F1487:$AJ1487,"TR"))</f>
        <v/>
      </c>
      <c r="AX1487" s="35" t="str">
        <f aca="false">IF($B1487="","",AO1487+AS1487/2)</f>
        <v/>
      </c>
      <c r="AY1487" s="35" t="str">
        <f aca="false">IF($B1487="","",AQ1487)</f>
        <v/>
      </c>
      <c r="AZ1487" s="35" t="str">
        <f aca="false">IF($B1487="","",AP1487+AT1487/2)</f>
        <v/>
      </c>
      <c r="BA1487" s="35" t="str">
        <f aca="false">IF($B1487="","",AK1487+AN1487+AM1487/2+AO1487+AP1487+AQ1487+AR1487+AS1487+AT1487+AU1487+AV1487+AW1487)</f>
        <v/>
      </c>
      <c r="BB1487" s="35" t="str">
        <f aca="false">IF($B1487="","",MAX(0,AN1487-Settings!$C$16)*Settings!$C$17)</f>
        <v/>
      </c>
      <c r="BC1487" s="35" t="str">
        <f aca="false">IF($B1487="","",BA1487-BB1487)</f>
        <v/>
      </c>
      <c r="BD1487" s="35" t="str">
        <f aca="false">IF(OR($B1487="",$A1487=""),"",DAY(EOMONTH($A1487,0))-COUNTA($F1487:$AJ1487))</f>
        <v/>
      </c>
    </row>
    <row r="1488" customFormat="false" ht="15" hidden="false" customHeight="false" outlineLevel="0" collapsed="false">
      <c r="A1488" s="32"/>
      <c r="B1488" s="29"/>
      <c r="C1488" s="10" t="str">
        <f aca="false">IF($B1488="","",IFERROR(INDEX(M_name,MATCH($B1488,M_emp,0)),"Code not found"))</f>
        <v/>
      </c>
      <c r="D1488" s="10" t="str">
        <f aca="false">IF($B1488="","",IFERROR(INDEX(M_dept,MATCH($B1488,M_emp,0)),""))</f>
        <v/>
      </c>
      <c r="E1488" s="10" t="str">
        <f aca="false">IF($B1488="","",IFERROR(INDEX(M_loc,MATCH($B1488,M_emp,0)),""))</f>
        <v/>
      </c>
      <c r="F1488" s="33"/>
      <c r="G1488" s="33"/>
      <c r="H1488" s="33"/>
      <c r="I1488" s="33"/>
      <c r="J1488" s="33"/>
      <c r="K1488" s="33"/>
      <c r="L1488" s="33"/>
      <c r="M1488" s="33"/>
      <c r="N1488" s="33"/>
      <c r="O1488" s="33"/>
      <c r="P1488" s="33"/>
      <c r="Q1488" s="33"/>
      <c r="R1488" s="33"/>
      <c r="S1488" s="33"/>
      <c r="T1488" s="33"/>
      <c r="U1488" s="33"/>
      <c r="V1488" s="33"/>
      <c r="W1488" s="33"/>
      <c r="X1488" s="33"/>
      <c r="Y1488" s="33"/>
      <c r="Z1488" s="33"/>
      <c r="AA1488" s="33"/>
      <c r="AB1488" s="33"/>
      <c r="AC1488" s="33"/>
      <c r="AD1488" s="33"/>
      <c r="AE1488" s="33"/>
      <c r="AF1488" s="33"/>
      <c r="AG1488" s="33"/>
      <c r="AH1488" s="33"/>
      <c r="AI1488" s="33"/>
      <c r="AJ1488" s="33"/>
      <c r="AK1488" s="34" t="str">
        <f aca="false">IF($B1488="","",COUNTIF($F1488:$AJ1488,"P"))</f>
        <v/>
      </c>
      <c r="AL1488" s="34" t="str">
        <f aca="false">IF($B1488="","",COUNTIF($F1488:$AJ1488,"A"))</f>
        <v/>
      </c>
      <c r="AM1488" s="34" t="str">
        <f aca="false">IF($B1488="","",COUNTIF($F1488:$AJ1488,"HA"))</f>
        <v/>
      </c>
      <c r="AN1488" s="34" t="str">
        <f aca="false">IF($B1488="","",COUNTIF($F1488:$AJ1488,"L"))</f>
        <v/>
      </c>
      <c r="AO1488" s="34" t="str">
        <f aca="false">IF($B1488="","",COUNTIF($F1488:$AJ1488,"PL"))</f>
        <v/>
      </c>
      <c r="AP1488" s="34" t="str">
        <f aca="false">IF($B1488="","",COUNTIF($F1488:$AJ1488,"CL"))</f>
        <v/>
      </c>
      <c r="AQ1488" s="34" t="str">
        <f aca="false">IF($B1488="","",COUNTIF($F1488:$AJ1488,"SL"))</f>
        <v/>
      </c>
      <c r="AR1488" s="34" t="str">
        <f aca="false">IF($B1488="","",COUNTIF($F1488:$AJ1488,"CO"))</f>
        <v/>
      </c>
      <c r="AS1488" s="34" t="str">
        <f aca="false">IF($B1488="","",COUNTIF($F1488:$AJ1488,"HPL"))</f>
        <v/>
      </c>
      <c r="AT1488" s="34" t="str">
        <f aca="false">IF($B1488="","",COUNTIF($F1488:$AJ1488,"HCL"))</f>
        <v/>
      </c>
      <c r="AU1488" s="34" t="str">
        <f aca="false">IF($B1488="","",COUNTIF($F1488:$AJ1488,"WO"))</f>
        <v/>
      </c>
      <c r="AV1488" s="34" t="str">
        <f aca="false">IF($B1488="","",COUNTIF($F1488:$AJ1488,"PH"))</f>
        <v/>
      </c>
      <c r="AW1488" s="34" t="str">
        <f aca="false">IF($B1488="","",COUNTIF($F1488:$AJ1488,"TR"))</f>
        <v/>
      </c>
      <c r="AX1488" s="35" t="str">
        <f aca="false">IF($B1488="","",AO1488+AS1488/2)</f>
        <v/>
      </c>
      <c r="AY1488" s="35" t="str">
        <f aca="false">IF($B1488="","",AQ1488)</f>
        <v/>
      </c>
      <c r="AZ1488" s="35" t="str">
        <f aca="false">IF($B1488="","",AP1488+AT1488/2)</f>
        <v/>
      </c>
      <c r="BA1488" s="35" t="str">
        <f aca="false">IF($B1488="","",AK1488+AN1488+AM1488/2+AO1488+AP1488+AQ1488+AR1488+AS1488+AT1488+AU1488+AV1488+AW1488)</f>
        <v/>
      </c>
      <c r="BB1488" s="35" t="str">
        <f aca="false">IF($B1488="","",MAX(0,AN1488-Settings!$C$16)*Settings!$C$17)</f>
        <v/>
      </c>
      <c r="BC1488" s="35" t="str">
        <f aca="false">IF($B1488="","",BA1488-BB1488)</f>
        <v/>
      </c>
      <c r="BD1488" s="35" t="str">
        <f aca="false">IF(OR($B1488="",$A1488=""),"",DAY(EOMONTH($A1488,0))-COUNTA($F1488:$AJ1488))</f>
        <v/>
      </c>
    </row>
    <row r="1489" customFormat="false" ht="15" hidden="false" customHeight="false" outlineLevel="0" collapsed="false">
      <c r="A1489" s="32"/>
      <c r="B1489" s="29"/>
      <c r="C1489" s="10" t="str">
        <f aca="false">IF($B1489="","",IFERROR(INDEX(M_name,MATCH($B1489,M_emp,0)),"Code not found"))</f>
        <v/>
      </c>
      <c r="D1489" s="10" t="str">
        <f aca="false">IF($B1489="","",IFERROR(INDEX(M_dept,MATCH($B1489,M_emp,0)),""))</f>
        <v/>
      </c>
      <c r="E1489" s="10" t="str">
        <f aca="false">IF($B1489="","",IFERROR(INDEX(M_loc,MATCH($B1489,M_emp,0)),""))</f>
        <v/>
      </c>
      <c r="F1489" s="33"/>
      <c r="G1489" s="33"/>
      <c r="H1489" s="33"/>
      <c r="I1489" s="33"/>
      <c r="J1489" s="33"/>
      <c r="K1489" s="33"/>
      <c r="L1489" s="33"/>
      <c r="M1489" s="33"/>
      <c r="N1489" s="33"/>
      <c r="O1489" s="33"/>
      <c r="P1489" s="33"/>
      <c r="Q1489" s="33"/>
      <c r="R1489" s="33"/>
      <c r="S1489" s="33"/>
      <c r="T1489" s="33"/>
      <c r="U1489" s="33"/>
      <c r="V1489" s="33"/>
      <c r="W1489" s="33"/>
      <c r="X1489" s="33"/>
      <c r="Y1489" s="33"/>
      <c r="Z1489" s="33"/>
      <c r="AA1489" s="33"/>
      <c r="AB1489" s="33"/>
      <c r="AC1489" s="33"/>
      <c r="AD1489" s="33"/>
      <c r="AE1489" s="33"/>
      <c r="AF1489" s="33"/>
      <c r="AG1489" s="33"/>
      <c r="AH1489" s="33"/>
      <c r="AI1489" s="33"/>
      <c r="AJ1489" s="33"/>
      <c r="AK1489" s="34" t="str">
        <f aca="false">IF($B1489="","",COUNTIF($F1489:$AJ1489,"P"))</f>
        <v/>
      </c>
      <c r="AL1489" s="34" t="str">
        <f aca="false">IF($B1489="","",COUNTIF($F1489:$AJ1489,"A"))</f>
        <v/>
      </c>
      <c r="AM1489" s="34" t="str">
        <f aca="false">IF($B1489="","",COUNTIF($F1489:$AJ1489,"HA"))</f>
        <v/>
      </c>
      <c r="AN1489" s="34" t="str">
        <f aca="false">IF($B1489="","",COUNTIF($F1489:$AJ1489,"L"))</f>
        <v/>
      </c>
      <c r="AO1489" s="34" t="str">
        <f aca="false">IF($B1489="","",COUNTIF($F1489:$AJ1489,"PL"))</f>
        <v/>
      </c>
      <c r="AP1489" s="34" t="str">
        <f aca="false">IF($B1489="","",COUNTIF($F1489:$AJ1489,"CL"))</f>
        <v/>
      </c>
      <c r="AQ1489" s="34" t="str">
        <f aca="false">IF($B1489="","",COUNTIF($F1489:$AJ1489,"SL"))</f>
        <v/>
      </c>
      <c r="AR1489" s="34" t="str">
        <f aca="false">IF($B1489="","",COUNTIF($F1489:$AJ1489,"CO"))</f>
        <v/>
      </c>
      <c r="AS1489" s="34" t="str">
        <f aca="false">IF($B1489="","",COUNTIF($F1489:$AJ1489,"HPL"))</f>
        <v/>
      </c>
      <c r="AT1489" s="34" t="str">
        <f aca="false">IF($B1489="","",COUNTIF($F1489:$AJ1489,"HCL"))</f>
        <v/>
      </c>
      <c r="AU1489" s="34" t="str">
        <f aca="false">IF($B1489="","",COUNTIF($F1489:$AJ1489,"WO"))</f>
        <v/>
      </c>
      <c r="AV1489" s="34" t="str">
        <f aca="false">IF($B1489="","",COUNTIF($F1489:$AJ1489,"PH"))</f>
        <v/>
      </c>
      <c r="AW1489" s="34" t="str">
        <f aca="false">IF($B1489="","",COUNTIF($F1489:$AJ1489,"TR"))</f>
        <v/>
      </c>
      <c r="AX1489" s="35" t="str">
        <f aca="false">IF($B1489="","",AO1489+AS1489/2)</f>
        <v/>
      </c>
      <c r="AY1489" s="35" t="str">
        <f aca="false">IF($B1489="","",AQ1489)</f>
        <v/>
      </c>
      <c r="AZ1489" s="35" t="str">
        <f aca="false">IF($B1489="","",AP1489+AT1489/2)</f>
        <v/>
      </c>
      <c r="BA1489" s="35" t="str">
        <f aca="false">IF($B1489="","",AK1489+AN1489+AM1489/2+AO1489+AP1489+AQ1489+AR1489+AS1489+AT1489+AU1489+AV1489+AW1489)</f>
        <v/>
      </c>
      <c r="BB1489" s="35" t="str">
        <f aca="false">IF($B1489="","",MAX(0,AN1489-Settings!$C$16)*Settings!$C$17)</f>
        <v/>
      </c>
      <c r="BC1489" s="35" t="str">
        <f aca="false">IF($B1489="","",BA1489-BB1489)</f>
        <v/>
      </c>
      <c r="BD1489" s="35" t="str">
        <f aca="false">IF(OR($B1489="",$A1489=""),"",DAY(EOMONTH($A1489,0))-COUNTA($F1489:$AJ1489))</f>
        <v/>
      </c>
    </row>
    <row r="1490" customFormat="false" ht="15" hidden="false" customHeight="false" outlineLevel="0" collapsed="false">
      <c r="A1490" s="32"/>
      <c r="B1490" s="29"/>
      <c r="C1490" s="10" t="str">
        <f aca="false">IF($B1490="","",IFERROR(INDEX(M_name,MATCH($B1490,M_emp,0)),"Code not found"))</f>
        <v/>
      </c>
      <c r="D1490" s="10" t="str">
        <f aca="false">IF($B1490="","",IFERROR(INDEX(M_dept,MATCH($B1490,M_emp,0)),""))</f>
        <v/>
      </c>
      <c r="E1490" s="10" t="str">
        <f aca="false">IF($B1490="","",IFERROR(INDEX(M_loc,MATCH($B1490,M_emp,0)),""))</f>
        <v/>
      </c>
      <c r="F1490" s="33"/>
      <c r="G1490" s="33"/>
      <c r="H1490" s="33"/>
      <c r="I1490" s="33"/>
      <c r="J1490" s="33"/>
      <c r="K1490" s="33"/>
      <c r="L1490" s="33"/>
      <c r="M1490" s="33"/>
      <c r="N1490" s="33"/>
      <c r="O1490" s="33"/>
      <c r="P1490" s="33"/>
      <c r="Q1490" s="33"/>
      <c r="R1490" s="33"/>
      <c r="S1490" s="33"/>
      <c r="T1490" s="33"/>
      <c r="U1490" s="33"/>
      <c r="V1490" s="33"/>
      <c r="W1490" s="33"/>
      <c r="X1490" s="33"/>
      <c r="Y1490" s="33"/>
      <c r="Z1490" s="33"/>
      <c r="AA1490" s="33"/>
      <c r="AB1490" s="33"/>
      <c r="AC1490" s="33"/>
      <c r="AD1490" s="33"/>
      <c r="AE1490" s="33"/>
      <c r="AF1490" s="33"/>
      <c r="AG1490" s="33"/>
      <c r="AH1490" s="33"/>
      <c r="AI1490" s="33"/>
      <c r="AJ1490" s="33"/>
      <c r="AK1490" s="34" t="str">
        <f aca="false">IF($B1490="","",COUNTIF($F1490:$AJ1490,"P"))</f>
        <v/>
      </c>
      <c r="AL1490" s="34" t="str">
        <f aca="false">IF($B1490="","",COUNTIF($F1490:$AJ1490,"A"))</f>
        <v/>
      </c>
      <c r="AM1490" s="34" t="str">
        <f aca="false">IF($B1490="","",COUNTIF($F1490:$AJ1490,"HA"))</f>
        <v/>
      </c>
      <c r="AN1490" s="34" t="str">
        <f aca="false">IF($B1490="","",COUNTIF($F1490:$AJ1490,"L"))</f>
        <v/>
      </c>
      <c r="AO1490" s="34" t="str">
        <f aca="false">IF($B1490="","",COUNTIF($F1490:$AJ1490,"PL"))</f>
        <v/>
      </c>
      <c r="AP1490" s="34" t="str">
        <f aca="false">IF($B1490="","",COUNTIF($F1490:$AJ1490,"CL"))</f>
        <v/>
      </c>
      <c r="AQ1490" s="34" t="str">
        <f aca="false">IF($B1490="","",COUNTIF($F1490:$AJ1490,"SL"))</f>
        <v/>
      </c>
      <c r="AR1490" s="34" t="str">
        <f aca="false">IF($B1490="","",COUNTIF($F1490:$AJ1490,"CO"))</f>
        <v/>
      </c>
      <c r="AS1490" s="34" t="str">
        <f aca="false">IF($B1490="","",COUNTIF($F1490:$AJ1490,"HPL"))</f>
        <v/>
      </c>
      <c r="AT1490" s="34" t="str">
        <f aca="false">IF($B1490="","",COUNTIF($F1490:$AJ1490,"HCL"))</f>
        <v/>
      </c>
      <c r="AU1490" s="34" t="str">
        <f aca="false">IF($B1490="","",COUNTIF($F1490:$AJ1490,"WO"))</f>
        <v/>
      </c>
      <c r="AV1490" s="34" t="str">
        <f aca="false">IF($B1490="","",COUNTIF($F1490:$AJ1490,"PH"))</f>
        <v/>
      </c>
      <c r="AW1490" s="34" t="str">
        <f aca="false">IF($B1490="","",COUNTIF($F1490:$AJ1490,"TR"))</f>
        <v/>
      </c>
      <c r="AX1490" s="35" t="str">
        <f aca="false">IF($B1490="","",AO1490+AS1490/2)</f>
        <v/>
      </c>
      <c r="AY1490" s="35" t="str">
        <f aca="false">IF($B1490="","",AQ1490)</f>
        <v/>
      </c>
      <c r="AZ1490" s="35" t="str">
        <f aca="false">IF($B1490="","",AP1490+AT1490/2)</f>
        <v/>
      </c>
      <c r="BA1490" s="35" t="str">
        <f aca="false">IF($B1490="","",AK1490+AN1490+AM1490/2+AO1490+AP1490+AQ1490+AR1490+AS1490+AT1490+AU1490+AV1490+AW1490)</f>
        <v/>
      </c>
      <c r="BB1490" s="35" t="str">
        <f aca="false">IF($B1490="","",MAX(0,AN1490-Settings!$C$16)*Settings!$C$17)</f>
        <v/>
      </c>
      <c r="BC1490" s="35" t="str">
        <f aca="false">IF($B1490="","",BA1490-BB1490)</f>
        <v/>
      </c>
      <c r="BD1490" s="35" t="str">
        <f aca="false">IF(OR($B1490="",$A1490=""),"",DAY(EOMONTH($A1490,0))-COUNTA($F1490:$AJ1490))</f>
        <v/>
      </c>
    </row>
    <row r="1491" customFormat="false" ht="15" hidden="false" customHeight="false" outlineLevel="0" collapsed="false">
      <c r="A1491" s="32"/>
      <c r="B1491" s="29"/>
      <c r="C1491" s="10" t="str">
        <f aca="false">IF($B1491="","",IFERROR(INDEX(M_name,MATCH($B1491,M_emp,0)),"Code not found"))</f>
        <v/>
      </c>
      <c r="D1491" s="10" t="str">
        <f aca="false">IF($B1491="","",IFERROR(INDEX(M_dept,MATCH($B1491,M_emp,0)),""))</f>
        <v/>
      </c>
      <c r="E1491" s="10" t="str">
        <f aca="false">IF($B1491="","",IFERROR(INDEX(M_loc,MATCH($B1491,M_emp,0)),""))</f>
        <v/>
      </c>
      <c r="F1491" s="33"/>
      <c r="G1491" s="33"/>
      <c r="H1491" s="33"/>
      <c r="I1491" s="33"/>
      <c r="J1491" s="33"/>
      <c r="K1491" s="33"/>
      <c r="L1491" s="33"/>
      <c r="M1491" s="33"/>
      <c r="N1491" s="33"/>
      <c r="O1491" s="33"/>
      <c r="P1491" s="33"/>
      <c r="Q1491" s="33"/>
      <c r="R1491" s="33"/>
      <c r="S1491" s="33"/>
      <c r="T1491" s="33"/>
      <c r="U1491" s="33"/>
      <c r="V1491" s="33"/>
      <c r="W1491" s="33"/>
      <c r="X1491" s="33"/>
      <c r="Y1491" s="33"/>
      <c r="Z1491" s="33"/>
      <c r="AA1491" s="33"/>
      <c r="AB1491" s="33"/>
      <c r="AC1491" s="33"/>
      <c r="AD1491" s="33"/>
      <c r="AE1491" s="33"/>
      <c r="AF1491" s="33"/>
      <c r="AG1491" s="33"/>
      <c r="AH1491" s="33"/>
      <c r="AI1491" s="33"/>
      <c r="AJ1491" s="33"/>
      <c r="AK1491" s="34" t="str">
        <f aca="false">IF($B1491="","",COUNTIF($F1491:$AJ1491,"P"))</f>
        <v/>
      </c>
      <c r="AL1491" s="34" t="str">
        <f aca="false">IF($B1491="","",COUNTIF($F1491:$AJ1491,"A"))</f>
        <v/>
      </c>
      <c r="AM1491" s="34" t="str">
        <f aca="false">IF($B1491="","",COUNTIF($F1491:$AJ1491,"HA"))</f>
        <v/>
      </c>
      <c r="AN1491" s="34" t="str">
        <f aca="false">IF($B1491="","",COUNTIF($F1491:$AJ1491,"L"))</f>
        <v/>
      </c>
      <c r="AO1491" s="34" t="str">
        <f aca="false">IF($B1491="","",COUNTIF($F1491:$AJ1491,"PL"))</f>
        <v/>
      </c>
      <c r="AP1491" s="34" t="str">
        <f aca="false">IF($B1491="","",COUNTIF($F1491:$AJ1491,"CL"))</f>
        <v/>
      </c>
      <c r="AQ1491" s="34" t="str">
        <f aca="false">IF($B1491="","",COUNTIF($F1491:$AJ1491,"SL"))</f>
        <v/>
      </c>
      <c r="AR1491" s="34" t="str">
        <f aca="false">IF($B1491="","",COUNTIF($F1491:$AJ1491,"CO"))</f>
        <v/>
      </c>
      <c r="AS1491" s="34" t="str">
        <f aca="false">IF($B1491="","",COUNTIF($F1491:$AJ1491,"HPL"))</f>
        <v/>
      </c>
      <c r="AT1491" s="34" t="str">
        <f aca="false">IF($B1491="","",COUNTIF($F1491:$AJ1491,"HCL"))</f>
        <v/>
      </c>
      <c r="AU1491" s="34" t="str">
        <f aca="false">IF($B1491="","",COUNTIF($F1491:$AJ1491,"WO"))</f>
        <v/>
      </c>
      <c r="AV1491" s="34" t="str">
        <f aca="false">IF($B1491="","",COUNTIF($F1491:$AJ1491,"PH"))</f>
        <v/>
      </c>
      <c r="AW1491" s="34" t="str">
        <f aca="false">IF($B1491="","",COUNTIF($F1491:$AJ1491,"TR"))</f>
        <v/>
      </c>
      <c r="AX1491" s="35" t="str">
        <f aca="false">IF($B1491="","",AO1491+AS1491/2)</f>
        <v/>
      </c>
      <c r="AY1491" s="35" t="str">
        <f aca="false">IF($B1491="","",AQ1491)</f>
        <v/>
      </c>
      <c r="AZ1491" s="35" t="str">
        <f aca="false">IF($B1491="","",AP1491+AT1491/2)</f>
        <v/>
      </c>
      <c r="BA1491" s="35" t="str">
        <f aca="false">IF($B1491="","",AK1491+AN1491+AM1491/2+AO1491+AP1491+AQ1491+AR1491+AS1491+AT1491+AU1491+AV1491+AW1491)</f>
        <v/>
      </c>
      <c r="BB1491" s="35" t="str">
        <f aca="false">IF($B1491="","",MAX(0,AN1491-Settings!$C$16)*Settings!$C$17)</f>
        <v/>
      </c>
      <c r="BC1491" s="35" t="str">
        <f aca="false">IF($B1491="","",BA1491-BB1491)</f>
        <v/>
      </c>
      <c r="BD1491" s="35" t="str">
        <f aca="false">IF(OR($B1491="",$A1491=""),"",DAY(EOMONTH($A1491,0))-COUNTA($F1491:$AJ1491))</f>
        <v/>
      </c>
    </row>
    <row r="1492" customFormat="false" ht="15" hidden="false" customHeight="false" outlineLevel="0" collapsed="false">
      <c r="A1492" s="32"/>
      <c r="B1492" s="29"/>
      <c r="C1492" s="10" t="str">
        <f aca="false">IF($B1492="","",IFERROR(INDEX(M_name,MATCH($B1492,M_emp,0)),"Code not found"))</f>
        <v/>
      </c>
      <c r="D1492" s="10" t="str">
        <f aca="false">IF($B1492="","",IFERROR(INDEX(M_dept,MATCH($B1492,M_emp,0)),""))</f>
        <v/>
      </c>
      <c r="E1492" s="10" t="str">
        <f aca="false">IF($B1492="","",IFERROR(INDEX(M_loc,MATCH($B1492,M_emp,0)),""))</f>
        <v/>
      </c>
      <c r="F1492" s="33"/>
      <c r="G1492" s="33"/>
      <c r="H1492" s="33"/>
      <c r="I1492" s="33"/>
      <c r="J1492" s="33"/>
      <c r="K1492" s="33"/>
      <c r="L1492" s="33"/>
      <c r="M1492" s="33"/>
      <c r="N1492" s="33"/>
      <c r="O1492" s="33"/>
      <c r="P1492" s="33"/>
      <c r="Q1492" s="33"/>
      <c r="R1492" s="33"/>
      <c r="S1492" s="33"/>
      <c r="T1492" s="33"/>
      <c r="U1492" s="33"/>
      <c r="V1492" s="33"/>
      <c r="W1492" s="33"/>
      <c r="X1492" s="33"/>
      <c r="Y1492" s="33"/>
      <c r="Z1492" s="33"/>
      <c r="AA1492" s="33"/>
      <c r="AB1492" s="33"/>
      <c r="AC1492" s="33"/>
      <c r="AD1492" s="33"/>
      <c r="AE1492" s="33"/>
      <c r="AF1492" s="33"/>
      <c r="AG1492" s="33"/>
      <c r="AH1492" s="33"/>
      <c r="AI1492" s="33"/>
      <c r="AJ1492" s="33"/>
      <c r="AK1492" s="34" t="str">
        <f aca="false">IF($B1492="","",COUNTIF($F1492:$AJ1492,"P"))</f>
        <v/>
      </c>
      <c r="AL1492" s="34" t="str">
        <f aca="false">IF($B1492="","",COUNTIF($F1492:$AJ1492,"A"))</f>
        <v/>
      </c>
      <c r="AM1492" s="34" t="str">
        <f aca="false">IF($B1492="","",COUNTIF($F1492:$AJ1492,"HA"))</f>
        <v/>
      </c>
      <c r="AN1492" s="34" t="str">
        <f aca="false">IF($B1492="","",COUNTIF($F1492:$AJ1492,"L"))</f>
        <v/>
      </c>
      <c r="AO1492" s="34" t="str">
        <f aca="false">IF($B1492="","",COUNTIF($F1492:$AJ1492,"PL"))</f>
        <v/>
      </c>
      <c r="AP1492" s="34" t="str">
        <f aca="false">IF($B1492="","",COUNTIF($F1492:$AJ1492,"CL"))</f>
        <v/>
      </c>
      <c r="AQ1492" s="34" t="str">
        <f aca="false">IF($B1492="","",COUNTIF($F1492:$AJ1492,"SL"))</f>
        <v/>
      </c>
      <c r="AR1492" s="34" t="str">
        <f aca="false">IF($B1492="","",COUNTIF($F1492:$AJ1492,"CO"))</f>
        <v/>
      </c>
      <c r="AS1492" s="34" t="str">
        <f aca="false">IF($B1492="","",COUNTIF($F1492:$AJ1492,"HPL"))</f>
        <v/>
      </c>
      <c r="AT1492" s="34" t="str">
        <f aca="false">IF($B1492="","",COUNTIF($F1492:$AJ1492,"HCL"))</f>
        <v/>
      </c>
      <c r="AU1492" s="34" t="str">
        <f aca="false">IF($B1492="","",COUNTIF($F1492:$AJ1492,"WO"))</f>
        <v/>
      </c>
      <c r="AV1492" s="34" t="str">
        <f aca="false">IF($B1492="","",COUNTIF($F1492:$AJ1492,"PH"))</f>
        <v/>
      </c>
      <c r="AW1492" s="34" t="str">
        <f aca="false">IF($B1492="","",COUNTIF($F1492:$AJ1492,"TR"))</f>
        <v/>
      </c>
      <c r="AX1492" s="35" t="str">
        <f aca="false">IF($B1492="","",AO1492+AS1492/2)</f>
        <v/>
      </c>
      <c r="AY1492" s="35" t="str">
        <f aca="false">IF($B1492="","",AQ1492)</f>
        <v/>
      </c>
      <c r="AZ1492" s="35" t="str">
        <f aca="false">IF($B1492="","",AP1492+AT1492/2)</f>
        <v/>
      </c>
      <c r="BA1492" s="35" t="str">
        <f aca="false">IF($B1492="","",AK1492+AN1492+AM1492/2+AO1492+AP1492+AQ1492+AR1492+AS1492+AT1492+AU1492+AV1492+AW1492)</f>
        <v/>
      </c>
      <c r="BB1492" s="35" t="str">
        <f aca="false">IF($B1492="","",MAX(0,AN1492-Settings!$C$16)*Settings!$C$17)</f>
        <v/>
      </c>
      <c r="BC1492" s="35" t="str">
        <f aca="false">IF($B1492="","",BA1492-BB1492)</f>
        <v/>
      </c>
      <c r="BD1492" s="35" t="str">
        <f aca="false">IF(OR($B1492="",$A1492=""),"",DAY(EOMONTH($A1492,0))-COUNTA($F1492:$AJ1492))</f>
        <v/>
      </c>
    </row>
    <row r="1493" customFormat="false" ht="15" hidden="false" customHeight="false" outlineLevel="0" collapsed="false">
      <c r="A1493" s="32"/>
      <c r="B1493" s="29"/>
      <c r="C1493" s="10" t="str">
        <f aca="false">IF($B1493="","",IFERROR(INDEX(M_name,MATCH($B1493,M_emp,0)),"Code not found"))</f>
        <v/>
      </c>
      <c r="D1493" s="10" t="str">
        <f aca="false">IF($B1493="","",IFERROR(INDEX(M_dept,MATCH($B1493,M_emp,0)),""))</f>
        <v/>
      </c>
      <c r="E1493" s="10" t="str">
        <f aca="false">IF($B1493="","",IFERROR(INDEX(M_loc,MATCH($B1493,M_emp,0)),""))</f>
        <v/>
      </c>
      <c r="F1493" s="33"/>
      <c r="G1493" s="33"/>
      <c r="H1493" s="33"/>
      <c r="I1493" s="33"/>
      <c r="J1493" s="33"/>
      <c r="K1493" s="33"/>
      <c r="L1493" s="33"/>
      <c r="M1493" s="33"/>
      <c r="N1493" s="33"/>
      <c r="O1493" s="33"/>
      <c r="P1493" s="33"/>
      <c r="Q1493" s="33"/>
      <c r="R1493" s="33"/>
      <c r="S1493" s="33"/>
      <c r="T1493" s="33"/>
      <c r="U1493" s="33"/>
      <c r="V1493" s="33"/>
      <c r="W1493" s="33"/>
      <c r="X1493" s="33"/>
      <c r="Y1493" s="33"/>
      <c r="Z1493" s="33"/>
      <c r="AA1493" s="33"/>
      <c r="AB1493" s="33"/>
      <c r="AC1493" s="33"/>
      <c r="AD1493" s="33"/>
      <c r="AE1493" s="33"/>
      <c r="AF1493" s="33"/>
      <c r="AG1493" s="33"/>
      <c r="AH1493" s="33"/>
      <c r="AI1493" s="33"/>
      <c r="AJ1493" s="33"/>
      <c r="AK1493" s="34" t="str">
        <f aca="false">IF($B1493="","",COUNTIF($F1493:$AJ1493,"P"))</f>
        <v/>
      </c>
      <c r="AL1493" s="34" t="str">
        <f aca="false">IF($B1493="","",COUNTIF($F1493:$AJ1493,"A"))</f>
        <v/>
      </c>
      <c r="AM1493" s="34" t="str">
        <f aca="false">IF($B1493="","",COUNTIF($F1493:$AJ1493,"HA"))</f>
        <v/>
      </c>
      <c r="AN1493" s="34" t="str">
        <f aca="false">IF($B1493="","",COUNTIF($F1493:$AJ1493,"L"))</f>
        <v/>
      </c>
      <c r="AO1493" s="34" t="str">
        <f aca="false">IF($B1493="","",COUNTIF($F1493:$AJ1493,"PL"))</f>
        <v/>
      </c>
      <c r="AP1493" s="34" t="str">
        <f aca="false">IF($B1493="","",COUNTIF($F1493:$AJ1493,"CL"))</f>
        <v/>
      </c>
      <c r="AQ1493" s="34" t="str">
        <f aca="false">IF($B1493="","",COUNTIF($F1493:$AJ1493,"SL"))</f>
        <v/>
      </c>
      <c r="AR1493" s="34" t="str">
        <f aca="false">IF($B1493="","",COUNTIF($F1493:$AJ1493,"CO"))</f>
        <v/>
      </c>
      <c r="AS1493" s="34" t="str">
        <f aca="false">IF($B1493="","",COUNTIF($F1493:$AJ1493,"HPL"))</f>
        <v/>
      </c>
      <c r="AT1493" s="34" t="str">
        <f aca="false">IF($B1493="","",COUNTIF($F1493:$AJ1493,"HCL"))</f>
        <v/>
      </c>
      <c r="AU1493" s="34" t="str">
        <f aca="false">IF($B1493="","",COUNTIF($F1493:$AJ1493,"WO"))</f>
        <v/>
      </c>
      <c r="AV1493" s="34" t="str">
        <f aca="false">IF($B1493="","",COUNTIF($F1493:$AJ1493,"PH"))</f>
        <v/>
      </c>
      <c r="AW1493" s="34" t="str">
        <f aca="false">IF($B1493="","",COUNTIF($F1493:$AJ1493,"TR"))</f>
        <v/>
      </c>
      <c r="AX1493" s="35" t="str">
        <f aca="false">IF($B1493="","",AO1493+AS1493/2)</f>
        <v/>
      </c>
      <c r="AY1493" s="35" t="str">
        <f aca="false">IF($B1493="","",AQ1493)</f>
        <v/>
      </c>
      <c r="AZ1493" s="35" t="str">
        <f aca="false">IF($B1493="","",AP1493+AT1493/2)</f>
        <v/>
      </c>
      <c r="BA1493" s="35" t="str">
        <f aca="false">IF($B1493="","",AK1493+AN1493+AM1493/2+AO1493+AP1493+AQ1493+AR1493+AS1493+AT1493+AU1493+AV1493+AW1493)</f>
        <v/>
      </c>
      <c r="BB1493" s="35" t="str">
        <f aca="false">IF($B1493="","",MAX(0,AN1493-Settings!$C$16)*Settings!$C$17)</f>
        <v/>
      </c>
      <c r="BC1493" s="35" t="str">
        <f aca="false">IF($B1493="","",BA1493-BB1493)</f>
        <v/>
      </c>
      <c r="BD1493" s="35" t="str">
        <f aca="false">IF(OR($B1493="",$A1493=""),"",DAY(EOMONTH($A1493,0))-COUNTA($F1493:$AJ1493))</f>
        <v/>
      </c>
    </row>
    <row r="1494" customFormat="false" ht="15" hidden="false" customHeight="false" outlineLevel="0" collapsed="false">
      <c r="A1494" s="32"/>
      <c r="B1494" s="29"/>
      <c r="C1494" s="10" t="str">
        <f aca="false">IF($B1494="","",IFERROR(INDEX(M_name,MATCH($B1494,M_emp,0)),"Code not found"))</f>
        <v/>
      </c>
      <c r="D1494" s="10" t="str">
        <f aca="false">IF($B1494="","",IFERROR(INDEX(M_dept,MATCH($B1494,M_emp,0)),""))</f>
        <v/>
      </c>
      <c r="E1494" s="10" t="str">
        <f aca="false">IF($B1494="","",IFERROR(INDEX(M_loc,MATCH($B1494,M_emp,0)),""))</f>
        <v/>
      </c>
      <c r="F1494" s="33"/>
      <c r="G1494" s="33"/>
      <c r="H1494" s="33"/>
      <c r="I1494" s="33"/>
      <c r="J1494" s="33"/>
      <c r="K1494" s="33"/>
      <c r="L1494" s="33"/>
      <c r="M1494" s="33"/>
      <c r="N1494" s="33"/>
      <c r="O1494" s="33"/>
      <c r="P1494" s="33"/>
      <c r="Q1494" s="33"/>
      <c r="R1494" s="33"/>
      <c r="S1494" s="33"/>
      <c r="T1494" s="33"/>
      <c r="U1494" s="33"/>
      <c r="V1494" s="33"/>
      <c r="W1494" s="33"/>
      <c r="X1494" s="33"/>
      <c r="Y1494" s="33"/>
      <c r="Z1494" s="33"/>
      <c r="AA1494" s="33"/>
      <c r="AB1494" s="33"/>
      <c r="AC1494" s="33"/>
      <c r="AD1494" s="33"/>
      <c r="AE1494" s="33"/>
      <c r="AF1494" s="33"/>
      <c r="AG1494" s="33"/>
      <c r="AH1494" s="33"/>
      <c r="AI1494" s="33"/>
      <c r="AJ1494" s="33"/>
      <c r="AK1494" s="34" t="str">
        <f aca="false">IF($B1494="","",COUNTIF($F1494:$AJ1494,"P"))</f>
        <v/>
      </c>
      <c r="AL1494" s="34" t="str">
        <f aca="false">IF($B1494="","",COUNTIF($F1494:$AJ1494,"A"))</f>
        <v/>
      </c>
      <c r="AM1494" s="34" t="str">
        <f aca="false">IF($B1494="","",COUNTIF($F1494:$AJ1494,"HA"))</f>
        <v/>
      </c>
      <c r="AN1494" s="34" t="str">
        <f aca="false">IF($B1494="","",COUNTIF($F1494:$AJ1494,"L"))</f>
        <v/>
      </c>
      <c r="AO1494" s="34" t="str">
        <f aca="false">IF($B1494="","",COUNTIF($F1494:$AJ1494,"PL"))</f>
        <v/>
      </c>
      <c r="AP1494" s="34" t="str">
        <f aca="false">IF($B1494="","",COUNTIF($F1494:$AJ1494,"CL"))</f>
        <v/>
      </c>
      <c r="AQ1494" s="34" t="str">
        <f aca="false">IF($B1494="","",COUNTIF($F1494:$AJ1494,"SL"))</f>
        <v/>
      </c>
      <c r="AR1494" s="34" t="str">
        <f aca="false">IF($B1494="","",COUNTIF($F1494:$AJ1494,"CO"))</f>
        <v/>
      </c>
      <c r="AS1494" s="34" t="str">
        <f aca="false">IF($B1494="","",COUNTIF($F1494:$AJ1494,"HPL"))</f>
        <v/>
      </c>
      <c r="AT1494" s="34" t="str">
        <f aca="false">IF($B1494="","",COUNTIF($F1494:$AJ1494,"HCL"))</f>
        <v/>
      </c>
      <c r="AU1494" s="34" t="str">
        <f aca="false">IF($B1494="","",COUNTIF($F1494:$AJ1494,"WO"))</f>
        <v/>
      </c>
      <c r="AV1494" s="34" t="str">
        <f aca="false">IF($B1494="","",COUNTIF($F1494:$AJ1494,"PH"))</f>
        <v/>
      </c>
      <c r="AW1494" s="34" t="str">
        <f aca="false">IF($B1494="","",COUNTIF($F1494:$AJ1494,"TR"))</f>
        <v/>
      </c>
      <c r="AX1494" s="35" t="str">
        <f aca="false">IF($B1494="","",AO1494+AS1494/2)</f>
        <v/>
      </c>
      <c r="AY1494" s="35" t="str">
        <f aca="false">IF($B1494="","",AQ1494)</f>
        <v/>
      </c>
      <c r="AZ1494" s="35" t="str">
        <f aca="false">IF($B1494="","",AP1494+AT1494/2)</f>
        <v/>
      </c>
      <c r="BA1494" s="35" t="str">
        <f aca="false">IF($B1494="","",AK1494+AN1494+AM1494/2+AO1494+AP1494+AQ1494+AR1494+AS1494+AT1494+AU1494+AV1494+AW1494)</f>
        <v/>
      </c>
      <c r="BB1494" s="35" t="str">
        <f aca="false">IF($B1494="","",MAX(0,AN1494-Settings!$C$16)*Settings!$C$17)</f>
        <v/>
      </c>
      <c r="BC1494" s="35" t="str">
        <f aca="false">IF($B1494="","",BA1494-BB1494)</f>
        <v/>
      </c>
      <c r="BD1494" s="35" t="str">
        <f aca="false">IF(OR($B1494="",$A1494=""),"",DAY(EOMONTH($A1494,0))-COUNTA($F1494:$AJ1494))</f>
        <v/>
      </c>
    </row>
    <row r="1495" customFormat="false" ht="15" hidden="false" customHeight="false" outlineLevel="0" collapsed="false">
      <c r="A1495" s="32"/>
      <c r="B1495" s="29"/>
      <c r="C1495" s="10" t="str">
        <f aca="false">IF($B1495="","",IFERROR(INDEX(M_name,MATCH($B1495,M_emp,0)),"Code not found"))</f>
        <v/>
      </c>
      <c r="D1495" s="10" t="str">
        <f aca="false">IF($B1495="","",IFERROR(INDEX(M_dept,MATCH($B1495,M_emp,0)),""))</f>
        <v/>
      </c>
      <c r="E1495" s="10" t="str">
        <f aca="false">IF($B1495="","",IFERROR(INDEX(M_loc,MATCH($B1495,M_emp,0)),""))</f>
        <v/>
      </c>
      <c r="F1495" s="33"/>
      <c r="G1495" s="33"/>
      <c r="H1495" s="33"/>
      <c r="I1495" s="33"/>
      <c r="J1495" s="33"/>
      <c r="K1495" s="33"/>
      <c r="L1495" s="33"/>
      <c r="M1495" s="33"/>
      <c r="N1495" s="33"/>
      <c r="O1495" s="33"/>
      <c r="P1495" s="33"/>
      <c r="Q1495" s="33"/>
      <c r="R1495" s="33"/>
      <c r="S1495" s="33"/>
      <c r="T1495" s="33"/>
      <c r="U1495" s="33"/>
      <c r="V1495" s="33"/>
      <c r="W1495" s="33"/>
      <c r="X1495" s="33"/>
      <c r="Y1495" s="33"/>
      <c r="Z1495" s="33"/>
      <c r="AA1495" s="33"/>
      <c r="AB1495" s="33"/>
      <c r="AC1495" s="33"/>
      <c r="AD1495" s="33"/>
      <c r="AE1495" s="33"/>
      <c r="AF1495" s="33"/>
      <c r="AG1495" s="33"/>
      <c r="AH1495" s="33"/>
      <c r="AI1495" s="33"/>
      <c r="AJ1495" s="33"/>
      <c r="AK1495" s="34" t="str">
        <f aca="false">IF($B1495="","",COUNTIF($F1495:$AJ1495,"P"))</f>
        <v/>
      </c>
      <c r="AL1495" s="34" t="str">
        <f aca="false">IF($B1495="","",COUNTIF($F1495:$AJ1495,"A"))</f>
        <v/>
      </c>
      <c r="AM1495" s="34" t="str">
        <f aca="false">IF($B1495="","",COUNTIF($F1495:$AJ1495,"HA"))</f>
        <v/>
      </c>
      <c r="AN1495" s="34" t="str">
        <f aca="false">IF($B1495="","",COUNTIF($F1495:$AJ1495,"L"))</f>
        <v/>
      </c>
      <c r="AO1495" s="34" t="str">
        <f aca="false">IF($B1495="","",COUNTIF($F1495:$AJ1495,"PL"))</f>
        <v/>
      </c>
      <c r="AP1495" s="34" t="str">
        <f aca="false">IF($B1495="","",COUNTIF($F1495:$AJ1495,"CL"))</f>
        <v/>
      </c>
      <c r="AQ1495" s="34" t="str">
        <f aca="false">IF($B1495="","",COUNTIF($F1495:$AJ1495,"SL"))</f>
        <v/>
      </c>
      <c r="AR1495" s="34" t="str">
        <f aca="false">IF($B1495="","",COUNTIF($F1495:$AJ1495,"CO"))</f>
        <v/>
      </c>
      <c r="AS1495" s="34" t="str">
        <f aca="false">IF($B1495="","",COUNTIF($F1495:$AJ1495,"HPL"))</f>
        <v/>
      </c>
      <c r="AT1495" s="34" t="str">
        <f aca="false">IF($B1495="","",COUNTIF($F1495:$AJ1495,"HCL"))</f>
        <v/>
      </c>
      <c r="AU1495" s="34" t="str">
        <f aca="false">IF($B1495="","",COUNTIF($F1495:$AJ1495,"WO"))</f>
        <v/>
      </c>
      <c r="AV1495" s="34" t="str">
        <f aca="false">IF($B1495="","",COUNTIF($F1495:$AJ1495,"PH"))</f>
        <v/>
      </c>
      <c r="AW1495" s="34" t="str">
        <f aca="false">IF($B1495="","",COUNTIF($F1495:$AJ1495,"TR"))</f>
        <v/>
      </c>
      <c r="AX1495" s="35" t="str">
        <f aca="false">IF($B1495="","",AO1495+AS1495/2)</f>
        <v/>
      </c>
      <c r="AY1495" s="35" t="str">
        <f aca="false">IF($B1495="","",AQ1495)</f>
        <v/>
      </c>
      <c r="AZ1495" s="35" t="str">
        <f aca="false">IF($B1495="","",AP1495+AT1495/2)</f>
        <v/>
      </c>
      <c r="BA1495" s="35" t="str">
        <f aca="false">IF($B1495="","",AK1495+AN1495+AM1495/2+AO1495+AP1495+AQ1495+AR1495+AS1495+AT1495+AU1495+AV1495+AW1495)</f>
        <v/>
      </c>
      <c r="BB1495" s="35" t="str">
        <f aca="false">IF($B1495="","",MAX(0,AN1495-Settings!$C$16)*Settings!$C$17)</f>
        <v/>
      </c>
      <c r="BC1495" s="35" t="str">
        <f aca="false">IF($B1495="","",BA1495-BB1495)</f>
        <v/>
      </c>
      <c r="BD1495" s="35" t="str">
        <f aca="false">IF(OR($B1495="",$A1495=""),"",DAY(EOMONTH($A1495,0))-COUNTA($F1495:$AJ1495))</f>
        <v/>
      </c>
    </row>
    <row r="1496" customFormat="false" ht="15" hidden="false" customHeight="false" outlineLevel="0" collapsed="false">
      <c r="A1496" s="32"/>
      <c r="B1496" s="29"/>
      <c r="C1496" s="10" t="str">
        <f aca="false">IF($B1496="","",IFERROR(INDEX(M_name,MATCH($B1496,M_emp,0)),"Code not found"))</f>
        <v/>
      </c>
      <c r="D1496" s="10" t="str">
        <f aca="false">IF($B1496="","",IFERROR(INDEX(M_dept,MATCH($B1496,M_emp,0)),""))</f>
        <v/>
      </c>
      <c r="E1496" s="10" t="str">
        <f aca="false">IF($B1496="","",IFERROR(INDEX(M_loc,MATCH($B1496,M_emp,0)),""))</f>
        <v/>
      </c>
      <c r="F1496" s="33"/>
      <c r="G1496" s="33"/>
      <c r="H1496" s="33"/>
      <c r="I1496" s="33"/>
      <c r="J1496" s="33"/>
      <c r="K1496" s="33"/>
      <c r="L1496" s="33"/>
      <c r="M1496" s="33"/>
      <c r="N1496" s="33"/>
      <c r="O1496" s="33"/>
      <c r="P1496" s="33"/>
      <c r="Q1496" s="33"/>
      <c r="R1496" s="33"/>
      <c r="S1496" s="33"/>
      <c r="T1496" s="33"/>
      <c r="U1496" s="33"/>
      <c r="V1496" s="33"/>
      <c r="W1496" s="33"/>
      <c r="X1496" s="33"/>
      <c r="Y1496" s="33"/>
      <c r="Z1496" s="33"/>
      <c r="AA1496" s="33"/>
      <c r="AB1496" s="33"/>
      <c r="AC1496" s="33"/>
      <c r="AD1496" s="33"/>
      <c r="AE1496" s="33"/>
      <c r="AF1496" s="33"/>
      <c r="AG1496" s="33"/>
      <c r="AH1496" s="33"/>
      <c r="AI1496" s="33"/>
      <c r="AJ1496" s="33"/>
      <c r="AK1496" s="34" t="str">
        <f aca="false">IF($B1496="","",COUNTIF($F1496:$AJ1496,"P"))</f>
        <v/>
      </c>
      <c r="AL1496" s="34" t="str">
        <f aca="false">IF($B1496="","",COUNTIF($F1496:$AJ1496,"A"))</f>
        <v/>
      </c>
      <c r="AM1496" s="34" t="str">
        <f aca="false">IF($B1496="","",COUNTIF($F1496:$AJ1496,"HA"))</f>
        <v/>
      </c>
      <c r="AN1496" s="34" t="str">
        <f aca="false">IF($B1496="","",COUNTIF($F1496:$AJ1496,"L"))</f>
        <v/>
      </c>
      <c r="AO1496" s="34" t="str">
        <f aca="false">IF($B1496="","",COUNTIF($F1496:$AJ1496,"PL"))</f>
        <v/>
      </c>
      <c r="AP1496" s="34" t="str">
        <f aca="false">IF($B1496="","",COUNTIF($F1496:$AJ1496,"CL"))</f>
        <v/>
      </c>
      <c r="AQ1496" s="34" t="str">
        <f aca="false">IF($B1496="","",COUNTIF($F1496:$AJ1496,"SL"))</f>
        <v/>
      </c>
      <c r="AR1496" s="34" t="str">
        <f aca="false">IF($B1496="","",COUNTIF($F1496:$AJ1496,"CO"))</f>
        <v/>
      </c>
      <c r="AS1496" s="34" t="str">
        <f aca="false">IF($B1496="","",COUNTIF($F1496:$AJ1496,"HPL"))</f>
        <v/>
      </c>
      <c r="AT1496" s="34" t="str">
        <f aca="false">IF($B1496="","",COUNTIF($F1496:$AJ1496,"HCL"))</f>
        <v/>
      </c>
      <c r="AU1496" s="34" t="str">
        <f aca="false">IF($B1496="","",COUNTIF($F1496:$AJ1496,"WO"))</f>
        <v/>
      </c>
      <c r="AV1496" s="34" t="str">
        <f aca="false">IF($B1496="","",COUNTIF($F1496:$AJ1496,"PH"))</f>
        <v/>
      </c>
      <c r="AW1496" s="34" t="str">
        <f aca="false">IF($B1496="","",COUNTIF($F1496:$AJ1496,"TR"))</f>
        <v/>
      </c>
      <c r="AX1496" s="35" t="str">
        <f aca="false">IF($B1496="","",AO1496+AS1496/2)</f>
        <v/>
      </c>
      <c r="AY1496" s="35" t="str">
        <f aca="false">IF($B1496="","",AQ1496)</f>
        <v/>
      </c>
      <c r="AZ1496" s="35" t="str">
        <f aca="false">IF($B1496="","",AP1496+AT1496/2)</f>
        <v/>
      </c>
      <c r="BA1496" s="35" t="str">
        <f aca="false">IF($B1496="","",AK1496+AN1496+AM1496/2+AO1496+AP1496+AQ1496+AR1496+AS1496+AT1496+AU1496+AV1496+AW1496)</f>
        <v/>
      </c>
      <c r="BB1496" s="35" t="str">
        <f aca="false">IF($B1496="","",MAX(0,AN1496-Settings!$C$16)*Settings!$C$17)</f>
        <v/>
      </c>
      <c r="BC1496" s="35" t="str">
        <f aca="false">IF($B1496="","",BA1496-BB1496)</f>
        <v/>
      </c>
      <c r="BD1496" s="35" t="str">
        <f aca="false">IF(OR($B1496="",$A1496=""),"",DAY(EOMONTH($A1496,0))-COUNTA($F1496:$AJ1496))</f>
        <v/>
      </c>
    </row>
    <row r="1497" customFormat="false" ht="15" hidden="false" customHeight="false" outlineLevel="0" collapsed="false">
      <c r="A1497" s="32"/>
      <c r="B1497" s="29"/>
      <c r="C1497" s="10" t="str">
        <f aca="false">IF($B1497="","",IFERROR(INDEX(M_name,MATCH($B1497,M_emp,0)),"Code not found"))</f>
        <v/>
      </c>
      <c r="D1497" s="10" t="str">
        <f aca="false">IF($B1497="","",IFERROR(INDEX(M_dept,MATCH($B1497,M_emp,0)),""))</f>
        <v/>
      </c>
      <c r="E1497" s="10" t="str">
        <f aca="false">IF($B1497="","",IFERROR(INDEX(M_loc,MATCH($B1497,M_emp,0)),""))</f>
        <v/>
      </c>
      <c r="F1497" s="33"/>
      <c r="G1497" s="33"/>
      <c r="H1497" s="33"/>
      <c r="I1497" s="33"/>
      <c r="J1497" s="33"/>
      <c r="K1497" s="33"/>
      <c r="L1497" s="33"/>
      <c r="M1497" s="33"/>
      <c r="N1497" s="33"/>
      <c r="O1497" s="33"/>
      <c r="P1497" s="33"/>
      <c r="Q1497" s="33"/>
      <c r="R1497" s="33"/>
      <c r="S1497" s="33"/>
      <c r="T1497" s="33"/>
      <c r="U1497" s="33"/>
      <c r="V1497" s="33"/>
      <c r="W1497" s="33"/>
      <c r="X1497" s="33"/>
      <c r="Y1497" s="33"/>
      <c r="Z1497" s="33"/>
      <c r="AA1497" s="33"/>
      <c r="AB1497" s="33"/>
      <c r="AC1497" s="33"/>
      <c r="AD1497" s="33"/>
      <c r="AE1497" s="33"/>
      <c r="AF1497" s="33"/>
      <c r="AG1497" s="33"/>
      <c r="AH1497" s="33"/>
      <c r="AI1497" s="33"/>
      <c r="AJ1497" s="33"/>
      <c r="AK1497" s="34" t="str">
        <f aca="false">IF($B1497="","",COUNTIF($F1497:$AJ1497,"P"))</f>
        <v/>
      </c>
      <c r="AL1497" s="34" t="str">
        <f aca="false">IF($B1497="","",COUNTIF($F1497:$AJ1497,"A"))</f>
        <v/>
      </c>
      <c r="AM1497" s="34" t="str">
        <f aca="false">IF($B1497="","",COUNTIF($F1497:$AJ1497,"HA"))</f>
        <v/>
      </c>
      <c r="AN1497" s="34" t="str">
        <f aca="false">IF($B1497="","",COUNTIF($F1497:$AJ1497,"L"))</f>
        <v/>
      </c>
      <c r="AO1497" s="34" t="str">
        <f aca="false">IF($B1497="","",COUNTIF($F1497:$AJ1497,"PL"))</f>
        <v/>
      </c>
      <c r="AP1497" s="34" t="str">
        <f aca="false">IF($B1497="","",COUNTIF($F1497:$AJ1497,"CL"))</f>
        <v/>
      </c>
      <c r="AQ1497" s="34" t="str">
        <f aca="false">IF($B1497="","",COUNTIF($F1497:$AJ1497,"SL"))</f>
        <v/>
      </c>
      <c r="AR1497" s="34" t="str">
        <f aca="false">IF($B1497="","",COUNTIF($F1497:$AJ1497,"CO"))</f>
        <v/>
      </c>
      <c r="AS1497" s="34" t="str">
        <f aca="false">IF($B1497="","",COUNTIF($F1497:$AJ1497,"HPL"))</f>
        <v/>
      </c>
      <c r="AT1497" s="34" t="str">
        <f aca="false">IF($B1497="","",COUNTIF($F1497:$AJ1497,"HCL"))</f>
        <v/>
      </c>
      <c r="AU1497" s="34" t="str">
        <f aca="false">IF($B1497="","",COUNTIF($F1497:$AJ1497,"WO"))</f>
        <v/>
      </c>
      <c r="AV1497" s="34" t="str">
        <f aca="false">IF($B1497="","",COUNTIF($F1497:$AJ1497,"PH"))</f>
        <v/>
      </c>
      <c r="AW1497" s="34" t="str">
        <f aca="false">IF($B1497="","",COUNTIF($F1497:$AJ1497,"TR"))</f>
        <v/>
      </c>
      <c r="AX1497" s="35" t="str">
        <f aca="false">IF($B1497="","",AO1497+AS1497/2)</f>
        <v/>
      </c>
      <c r="AY1497" s="35" t="str">
        <f aca="false">IF($B1497="","",AQ1497)</f>
        <v/>
      </c>
      <c r="AZ1497" s="35" t="str">
        <f aca="false">IF($B1497="","",AP1497+AT1497/2)</f>
        <v/>
      </c>
      <c r="BA1497" s="35" t="str">
        <f aca="false">IF($B1497="","",AK1497+AN1497+AM1497/2+AO1497+AP1497+AQ1497+AR1497+AS1497+AT1497+AU1497+AV1497+AW1497)</f>
        <v/>
      </c>
      <c r="BB1497" s="35" t="str">
        <f aca="false">IF($B1497="","",MAX(0,AN1497-Settings!$C$16)*Settings!$C$17)</f>
        <v/>
      </c>
      <c r="BC1497" s="35" t="str">
        <f aca="false">IF($B1497="","",BA1497-BB1497)</f>
        <v/>
      </c>
      <c r="BD1497" s="35" t="str">
        <f aca="false">IF(OR($B1497="",$A1497=""),"",DAY(EOMONTH($A1497,0))-COUNTA($F1497:$AJ1497))</f>
        <v/>
      </c>
    </row>
    <row r="1498" customFormat="false" ht="15" hidden="false" customHeight="false" outlineLevel="0" collapsed="false">
      <c r="A1498" s="32"/>
      <c r="B1498" s="29"/>
      <c r="C1498" s="10" t="str">
        <f aca="false">IF($B1498="","",IFERROR(INDEX(M_name,MATCH($B1498,M_emp,0)),"Code not found"))</f>
        <v/>
      </c>
      <c r="D1498" s="10" t="str">
        <f aca="false">IF($B1498="","",IFERROR(INDEX(M_dept,MATCH($B1498,M_emp,0)),""))</f>
        <v/>
      </c>
      <c r="E1498" s="10" t="str">
        <f aca="false">IF($B1498="","",IFERROR(INDEX(M_loc,MATCH($B1498,M_emp,0)),""))</f>
        <v/>
      </c>
      <c r="F1498" s="33"/>
      <c r="G1498" s="33"/>
      <c r="H1498" s="33"/>
      <c r="I1498" s="33"/>
      <c r="J1498" s="33"/>
      <c r="K1498" s="33"/>
      <c r="L1498" s="33"/>
      <c r="M1498" s="33"/>
      <c r="N1498" s="33"/>
      <c r="O1498" s="33"/>
      <c r="P1498" s="33"/>
      <c r="Q1498" s="33"/>
      <c r="R1498" s="33"/>
      <c r="S1498" s="33"/>
      <c r="T1498" s="33"/>
      <c r="U1498" s="33"/>
      <c r="V1498" s="33"/>
      <c r="W1498" s="33"/>
      <c r="X1498" s="33"/>
      <c r="Y1498" s="33"/>
      <c r="Z1498" s="33"/>
      <c r="AA1498" s="33"/>
      <c r="AB1498" s="33"/>
      <c r="AC1498" s="33"/>
      <c r="AD1498" s="33"/>
      <c r="AE1498" s="33"/>
      <c r="AF1498" s="33"/>
      <c r="AG1498" s="33"/>
      <c r="AH1498" s="33"/>
      <c r="AI1498" s="33"/>
      <c r="AJ1498" s="33"/>
      <c r="AK1498" s="34" t="str">
        <f aca="false">IF($B1498="","",COUNTIF($F1498:$AJ1498,"P"))</f>
        <v/>
      </c>
      <c r="AL1498" s="34" t="str">
        <f aca="false">IF($B1498="","",COUNTIF($F1498:$AJ1498,"A"))</f>
        <v/>
      </c>
      <c r="AM1498" s="34" t="str">
        <f aca="false">IF($B1498="","",COUNTIF($F1498:$AJ1498,"HA"))</f>
        <v/>
      </c>
      <c r="AN1498" s="34" t="str">
        <f aca="false">IF($B1498="","",COUNTIF($F1498:$AJ1498,"L"))</f>
        <v/>
      </c>
      <c r="AO1498" s="34" t="str">
        <f aca="false">IF($B1498="","",COUNTIF($F1498:$AJ1498,"PL"))</f>
        <v/>
      </c>
      <c r="AP1498" s="34" t="str">
        <f aca="false">IF($B1498="","",COUNTIF($F1498:$AJ1498,"CL"))</f>
        <v/>
      </c>
      <c r="AQ1498" s="34" t="str">
        <f aca="false">IF($B1498="","",COUNTIF($F1498:$AJ1498,"SL"))</f>
        <v/>
      </c>
      <c r="AR1498" s="34" t="str">
        <f aca="false">IF($B1498="","",COUNTIF($F1498:$AJ1498,"CO"))</f>
        <v/>
      </c>
      <c r="AS1498" s="34" t="str">
        <f aca="false">IF($B1498="","",COUNTIF($F1498:$AJ1498,"HPL"))</f>
        <v/>
      </c>
      <c r="AT1498" s="34" t="str">
        <f aca="false">IF($B1498="","",COUNTIF($F1498:$AJ1498,"HCL"))</f>
        <v/>
      </c>
      <c r="AU1498" s="34" t="str">
        <f aca="false">IF($B1498="","",COUNTIF($F1498:$AJ1498,"WO"))</f>
        <v/>
      </c>
      <c r="AV1498" s="34" t="str">
        <f aca="false">IF($B1498="","",COUNTIF($F1498:$AJ1498,"PH"))</f>
        <v/>
      </c>
      <c r="AW1498" s="34" t="str">
        <f aca="false">IF($B1498="","",COUNTIF($F1498:$AJ1498,"TR"))</f>
        <v/>
      </c>
      <c r="AX1498" s="35" t="str">
        <f aca="false">IF($B1498="","",AO1498+AS1498/2)</f>
        <v/>
      </c>
      <c r="AY1498" s="35" t="str">
        <f aca="false">IF($B1498="","",AQ1498)</f>
        <v/>
      </c>
      <c r="AZ1498" s="35" t="str">
        <f aca="false">IF($B1498="","",AP1498+AT1498/2)</f>
        <v/>
      </c>
      <c r="BA1498" s="35" t="str">
        <f aca="false">IF($B1498="","",AK1498+AN1498+AM1498/2+AO1498+AP1498+AQ1498+AR1498+AS1498+AT1498+AU1498+AV1498+AW1498)</f>
        <v/>
      </c>
      <c r="BB1498" s="35" t="str">
        <f aca="false">IF($B1498="","",MAX(0,AN1498-Settings!$C$16)*Settings!$C$17)</f>
        <v/>
      </c>
      <c r="BC1498" s="35" t="str">
        <f aca="false">IF($B1498="","",BA1498-BB1498)</f>
        <v/>
      </c>
      <c r="BD1498" s="35" t="str">
        <f aca="false">IF(OR($B1498="",$A1498=""),"",DAY(EOMONTH($A1498,0))-COUNTA($F1498:$AJ1498))</f>
        <v/>
      </c>
    </row>
    <row r="1499" customFormat="false" ht="15" hidden="false" customHeight="false" outlineLevel="0" collapsed="false">
      <c r="A1499" s="32"/>
      <c r="B1499" s="29"/>
      <c r="C1499" s="10" t="str">
        <f aca="false">IF($B1499="","",IFERROR(INDEX(M_name,MATCH($B1499,M_emp,0)),"Code not found"))</f>
        <v/>
      </c>
      <c r="D1499" s="10" t="str">
        <f aca="false">IF($B1499="","",IFERROR(INDEX(M_dept,MATCH($B1499,M_emp,0)),""))</f>
        <v/>
      </c>
      <c r="E1499" s="10" t="str">
        <f aca="false">IF($B1499="","",IFERROR(INDEX(M_loc,MATCH($B1499,M_emp,0)),""))</f>
        <v/>
      </c>
      <c r="F1499" s="33"/>
      <c r="G1499" s="33"/>
      <c r="H1499" s="33"/>
      <c r="I1499" s="33"/>
      <c r="J1499" s="33"/>
      <c r="K1499" s="33"/>
      <c r="L1499" s="33"/>
      <c r="M1499" s="33"/>
      <c r="N1499" s="33"/>
      <c r="O1499" s="33"/>
      <c r="P1499" s="33"/>
      <c r="Q1499" s="33"/>
      <c r="R1499" s="33"/>
      <c r="S1499" s="33"/>
      <c r="T1499" s="33"/>
      <c r="U1499" s="33"/>
      <c r="V1499" s="33"/>
      <c r="W1499" s="33"/>
      <c r="X1499" s="33"/>
      <c r="Y1499" s="33"/>
      <c r="Z1499" s="33"/>
      <c r="AA1499" s="33"/>
      <c r="AB1499" s="33"/>
      <c r="AC1499" s="33"/>
      <c r="AD1499" s="33"/>
      <c r="AE1499" s="33"/>
      <c r="AF1499" s="33"/>
      <c r="AG1499" s="33"/>
      <c r="AH1499" s="33"/>
      <c r="AI1499" s="33"/>
      <c r="AJ1499" s="33"/>
      <c r="AK1499" s="34" t="str">
        <f aca="false">IF($B1499="","",COUNTIF($F1499:$AJ1499,"P"))</f>
        <v/>
      </c>
      <c r="AL1499" s="34" t="str">
        <f aca="false">IF($B1499="","",COUNTIF($F1499:$AJ1499,"A"))</f>
        <v/>
      </c>
      <c r="AM1499" s="34" t="str">
        <f aca="false">IF($B1499="","",COUNTIF($F1499:$AJ1499,"HA"))</f>
        <v/>
      </c>
      <c r="AN1499" s="34" t="str">
        <f aca="false">IF($B1499="","",COUNTIF($F1499:$AJ1499,"L"))</f>
        <v/>
      </c>
      <c r="AO1499" s="34" t="str">
        <f aca="false">IF($B1499="","",COUNTIF($F1499:$AJ1499,"PL"))</f>
        <v/>
      </c>
      <c r="AP1499" s="34" t="str">
        <f aca="false">IF($B1499="","",COUNTIF($F1499:$AJ1499,"CL"))</f>
        <v/>
      </c>
      <c r="AQ1499" s="34" t="str">
        <f aca="false">IF($B1499="","",COUNTIF($F1499:$AJ1499,"SL"))</f>
        <v/>
      </c>
      <c r="AR1499" s="34" t="str">
        <f aca="false">IF($B1499="","",COUNTIF($F1499:$AJ1499,"CO"))</f>
        <v/>
      </c>
      <c r="AS1499" s="34" t="str">
        <f aca="false">IF($B1499="","",COUNTIF($F1499:$AJ1499,"HPL"))</f>
        <v/>
      </c>
      <c r="AT1499" s="34" t="str">
        <f aca="false">IF($B1499="","",COUNTIF($F1499:$AJ1499,"HCL"))</f>
        <v/>
      </c>
      <c r="AU1499" s="34" t="str">
        <f aca="false">IF($B1499="","",COUNTIF($F1499:$AJ1499,"WO"))</f>
        <v/>
      </c>
      <c r="AV1499" s="34" t="str">
        <f aca="false">IF($B1499="","",COUNTIF($F1499:$AJ1499,"PH"))</f>
        <v/>
      </c>
      <c r="AW1499" s="34" t="str">
        <f aca="false">IF($B1499="","",COUNTIF($F1499:$AJ1499,"TR"))</f>
        <v/>
      </c>
      <c r="AX1499" s="35" t="str">
        <f aca="false">IF($B1499="","",AO1499+AS1499/2)</f>
        <v/>
      </c>
      <c r="AY1499" s="35" t="str">
        <f aca="false">IF($B1499="","",AQ1499)</f>
        <v/>
      </c>
      <c r="AZ1499" s="35" t="str">
        <f aca="false">IF($B1499="","",AP1499+AT1499/2)</f>
        <v/>
      </c>
      <c r="BA1499" s="35" t="str">
        <f aca="false">IF($B1499="","",AK1499+AN1499+AM1499/2+AO1499+AP1499+AQ1499+AR1499+AS1499+AT1499+AU1499+AV1499+AW1499)</f>
        <v/>
      </c>
      <c r="BB1499" s="35" t="str">
        <f aca="false">IF($B1499="","",MAX(0,AN1499-Settings!$C$16)*Settings!$C$17)</f>
        <v/>
      </c>
      <c r="BC1499" s="35" t="str">
        <f aca="false">IF($B1499="","",BA1499-BB1499)</f>
        <v/>
      </c>
      <c r="BD1499" s="35" t="str">
        <f aca="false">IF(OR($B1499="",$A1499=""),"",DAY(EOMONTH($A1499,0))-COUNTA($F1499:$AJ1499))</f>
        <v/>
      </c>
    </row>
    <row r="1500" customFormat="false" ht="15" hidden="false" customHeight="false" outlineLevel="0" collapsed="false">
      <c r="A1500" s="32"/>
      <c r="B1500" s="29"/>
      <c r="C1500" s="10" t="str">
        <f aca="false">IF($B1500="","",IFERROR(INDEX(M_name,MATCH($B1500,M_emp,0)),"Code not found"))</f>
        <v/>
      </c>
      <c r="D1500" s="10" t="str">
        <f aca="false">IF($B1500="","",IFERROR(INDEX(M_dept,MATCH($B1500,M_emp,0)),""))</f>
        <v/>
      </c>
      <c r="E1500" s="10" t="str">
        <f aca="false">IF($B1500="","",IFERROR(INDEX(M_loc,MATCH($B1500,M_emp,0)),""))</f>
        <v/>
      </c>
      <c r="F1500" s="33"/>
      <c r="G1500" s="33"/>
      <c r="H1500" s="33"/>
      <c r="I1500" s="33"/>
      <c r="J1500" s="33"/>
      <c r="K1500" s="33"/>
      <c r="L1500" s="33"/>
      <c r="M1500" s="33"/>
      <c r="N1500" s="33"/>
      <c r="O1500" s="33"/>
      <c r="P1500" s="33"/>
      <c r="Q1500" s="33"/>
      <c r="R1500" s="33"/>
      <c r="S1500" s="33"/>
      <c r="T1500" s="33"/>
      <c r="U1500" s="33"/>
      <c r="V1500" s="33"/>
      <c r="W1500" s="33"/>
      <c r="X1500" s="33"/>
      <c r="Y1500" s="33"/>
      <c r="Z1500" s="33"/>
      <c r="AA1500" s="33"/>
      <c r="AB1500" s="33"/>
      <c r="AC1500" s="33"/>
      <c r="AD1500" s="33"/>
      <c r="AE1500" s="33"/>
      <c r="AF1500" s="33"/>
      <c r="AG1500" s="33"/>
      <c r="AH1500" s="33"/>
      <c r="AI1500" s="33"/>
      <c r="AJ1500" s="33"/>
      <c r="AK1500" s="34" t="str">
        <f aca="false">IF($B1500="","",COUNTIF($F1500:$AJ1500,"P"))</f>
        <v/>
      </c>
      <c r="AL1500" s="34" t="str">
        <f aca="false">IF($B1500="","",COUNTIF($F1500:$AJ1500,"A"))</f>
        <v/>
      </c>
      <c r="AM1500" s="34" t="str">
        <f aca="false">IF($B1500="","",COUNTIF($F1500:$AJ1500,"HA"))</f>
        <v/>
      </c>
      <c r="AN1500" s="34" t="str">
        <f aca="false">IF($B1500="","",COUNTIF($F1500:$AJ1500,"L"))</f>
        <v/>
      </c>
      <c r="AO1500" s="34" t="str">
        <f aca="false">IF($B1500="","",COUNTIF($F1500:$AJ1500,"PL"))</f>
        <v/>
      </c>
      <c r="AP1500" s="34" t="str">
        <f aca="false">IF($B1500="","",COUNTIF($F1500:$AJ1500,"CL"))</f>
        <v/>
      </c>
      <c r="AQ1500" s="34" t="str">
        <f aca="false">IF($B1500="","",COUNTIF($F1500:$AJ1500,"SL"))</f>
        <v/>
      </c>
      <c r="AR1500" s="34" t="str">
        <f aca="false">IF($B1500="","",COUNTIF($F1500:$AJ1500,"CO"))</f>
        <v/>
      </c>
      <c r="AS1500" s="34" t="str">
        <f aca="false">IF($B1500="","",COUNTIF($F1500:$AJ1500,"HPL"))</f>
        <v/>
      </c>
      <c r="AT1500" s="34" t="str">
        <f aca="false">IF($B1500="","",COUNTIF($F1500:$AJ1500,"HCL"))</f>
        <v/>
      </c>
      <c r="AU1500" s="34" t="str">
        <f aca="false">IF($B1500="","",COUNTIF($F1500:$AJ1500,"WO"))</f>
        <v/>
      </c>
      <c r="AV1500" s="34" t="str">
        <f aca="false">IF($B1500="","",COUNTIF($F1500:$AJ1500,"PH"))</f>
        <v/>
      </c>
      <c r="AW1500" s="34" t="str">
        <f aca="false">IF($B1500="","",COUNTIF($F1500:$AJ1500,"TR"))</f>
        <v/>
      </c>
      <c r="AX1500" s="35" t="str">
        <f aca="false">IF($B1500="","",AO1500+AS1500/2)</f>
        <v/>
      </c>
      <c r="AY1500" s="35" t="str">
        <f aca="false">IF($B1500="","",AQ1500)</f>
        <v/>
      </c>
      <c r="AZ1500" s="35" t="str">
        <f aca="false">IF($B1500="","",AP1500+AT1500/2)</f>
        <v/>
      </c>
      <c r="BA1500" s="35" t="str">
        <f aca="false">IF($B1500="","",AK1500+AN1500+AM1500/2+AO1500+AP1500+AQ1500+AR1500+AS1500+AT1500+AU1500+AV1500+AW1500)</f>
        <v/>
      </c>
      <c r="BB1500" s="35" t="str">
        <f aca="false">IF($B1500="","",MAX(0,AN1500-Settings!$C$16)*Settings!$C$17)</f>
        <v/>
      </c>
      <c r="BC1500" s="35" t="str">
        <f aca="false">IF($B1500="","",BA1500-BB1500)</f>
        <v/>
      </c>
      <c r="BD1500" s="35" t="str">
        <f aca="false">IF(OR($B1500="",$A1500=""),"",DAY(EOMONTH($A1500,0))-COUNTA($F1500:$AJ1500))</f>
        <v/>
      </c>
    </row>
    <row r="1501" customFormat="false" ht="15" hidden="false" customHeight="false" outlineLevel="0" collapsed="false">
      <c r="A1501" s="32"/>
      <c r="B1501" s="29"/>
      <c r="C1501" s="10" t="str">
        <f aca="false">IF($B1501="","",IFERROR(INDEX(M_name,MATCH($B1501,M_emp,0)),"Code not found"))</f>
        <v/>
      </c>
      <c r="D1501" s="10" t="str">
        <f aca="false">IF($B1501="","",IFERROR(INDEX(M_dept,MATCH($B1501,M_emp,0)),""))</f>
        <v/>
      </c>
      <c r="E1501" s="10" t="str">
        <f aca="false">IF($B1501="","",IFERROR(INDEX(M_loc,MATCH($B1501,M_emp,0)),""))</f>
        <v/>
      </c>
      <c r="F1501" s="33"/>
      <c r="G1501" s="33"/>
      <c r="H1501" s="33"/>
      <c r="I1501" s="33"/>
      <c r="J1501" s="33"/>
      <c r="K1501" s="33"/>
      <c r="L1501" s="33"/>
      <c r="M1501" s="33"/>
      <c r="N1501" s="33"/>
      <c r="O1501" s="33"/>
      <c r="P1501" s="33"/>
      <c r="Q1501" s="33"/>
      <c r="R1501" s="33"/>
      <c r="S1501" s="33"/>
      <c r="T1501" s="33"/>
      <c r="U1501" s="33"/>
      <c r="V1501" s="33"/>
      <c r="W1501" s="33"/>
      <c r="X1501" s="33"/>
      <c r="Y1501" s="33"/>
      <c r="Z1501" s="33"/>
      <c r="AA1501" s="33"/>
      <c r="AB1501" s="33"/>
      <c r="AC1501" s="33"/>
      <c r="AD1501" s="33"/>
      <c r="AE1501" s="33"/>
      <c r="AF1501" s="33"/>
      <c r="AG1501" s="33"/>
      <c r="AH1501" s="33"/>
      <c r="AI1501" s="33"/>
      <c r="AJ1501" s="33"/>
      <c r="AK1501" s="34" t="str">
        <f aca="false">IF($B1501="","",COUNTIF($F1501:$AJ1501,"P"))</f>
        <v/>
      </c>
      <c r="AL1501" s="34" t="str">
        <f aca="false">IF($B1501="","",COUNTIF($F1501:$AJ1501,"A"))</f>
        <v/>
      </c>
      <c r="AM1501" s="34" t="str">
        <f aca="false">IF($B1501="","",COUNTIF($F1501:$AJ1501,"HA"))</f>
        <v/>
      </c>
      <c r="AN1501" s="34" t="str">
        <f aca="false">IF($B1501="","",COUNTIF($F1501:$AJ1501,"L"))</f>
        <v/>
      </c>
      <c r="AO1501" s="34" t="str">
        <f aca="false">IF($B1501="","",COUNTIF($F1501:$AJ1501,"PL"))</f>
        <v/>
      </c>
      <c r="AP1501" s="34" t="str">
        <f aca="false">IF($B1501="","",COUNTIF($F1501:$AJ1501,"CL"))</f>
        <v/>
      </c>
      <c r="AQ1501" s="34" t="str">
        <f aca="false">IF($B1501="","",COUNTIF($F1501:$AJ1501,"SL"))</f>
        <v/>
      </c>
      <c r="AR1501" s="34" t="str">
        <f aca="false">IF($B1501="","",COUNTIF($F1501:$AJ1501,"CO"))</f>
        <v/>
      </c>
      <c r="AS1501" s="34" t="str">
        <f aca="false">IF($B1501="","",COUNTIF($F1501:$AJ1501,"HPL"))</f>
        <v/>
      </c>
      <c r="AT1501" s="34" t="str">
        <f aca="false">IF($B1501="","",COUNTIF($F1501:$AJ1501,"HCL"))</f>
        <v/>
      </c>
      <c r="AU1501" s="34" t="str">
        <f aca="false">IF($B1501="","",COUNTIF($F1501:$AJ1501,"WO"))</f>
        <v/>
      </c>
      <c r="AV1501" s="34" t="str">
        <f aca="false">IF($B1501="","",COUNTIF($F1501:$AJ1501,"PH"))</f>
        <v/>
      </c>
      <c r="AW1501" s="34" t="str">
        <f aca="false">IF($B1501="","",COUNTIF($F1501:$AJ1501,"TR"))</f>
        <v/>
      </c>
      <c r="AX1501" s="35" t="str">
        <f aca="false">IF($B1501="","",AO1501+AS1501/2)</f>
        <v/>
      </c>
      <c r="AY1501" s="35" t="str">
        <f aca="false">IF($B1501="","",AQ1501)</f>
        <v/>
      </c>
      <c r="AZ1501" s="35" t="str">
        <f aca="false">IF($B1501="","",AP1501+AT1501/2)</f>
        <v/>
      </c>
      <c r="BA1501" s="35" t="str">
        <f aca="false">IF($B1501="","",AK1501+AN1501+AM1501/2+AO1501+AP1501+AQ1501+AR1501+AS1501+AT1501+AU1501+AV1501+AW1501)</f>
        <v/>
      </c>
      <c r="BB1501" s="35" t="str">
        <f aca="false">IF($B1501="","",MAX(0,AN1501-Settings!$C$16)*Settings!$C$17)</f>
        <v/>
      </c>
      <c r="BC1501" s="35" t="str">
        <f aca="false">IF($B1501="","",BA1501-BB1501)</f>
        <v/>
      </c>
      <c r="BD1501" s="35" t="str">
        <f aca="false">IF(OR($B1501="",$A1501=""),"",DAY(EOMONTH($A1501,0))-COUNTA($F1501:$AJ1501))</f>
        <v/>
      </c>
    </row>
    <row r="1502" customFormat="false" ht="15" hidden="false" customHeight="false" outlineLevel="0" collapsed="false">
      <c r="A1502" s="32"/>
      <c r="B1502" s="29"/>
      <c r="C1502" s="10" t="str">
        <f aca="false">IF($B1502="","",IFERROR(INDEX(M_name,MATCH($B1502,M_emp,0)),"Code not found"))</f>
        <v/>
      </c>
      <c r="D1502" s="10" t="str">
        <f aca="false">IF($B1502="","",IFERROR(INDEX(M_dept,MATCH($B1502,M_emp,0)),""))</f>
        <v/>
      </c>
      <c r="E1502" s="10" t="str">
        <f aca="false">IF($B1502="","",IFERROR(INDEX(M_loc,MATCH($B1502,M_emp,0)),""))</f>
        <v/>
      </c>
      <c r="F1502" s="33"/>
      <c r="G1502" s="33"/>
      <c r="H1502" s="33"/>
      <c r="I1502" s="33"/>
      <c r="J1502" s="33"/>
      <c r="K1502" s="33"/>
      <c r="L1502" s="33"/>
      <c r="M1502" s="33"/>
      <c r="N1502" s="33"/>
      <c r="O1502" s="33"/>
      <c r="P1502" s="33"/>
      <c r="Q1502" s="33"/>
      <c r="R1502" s="33"/>
      <c r="S1502" s="33"/>
      <c r="T1502" s="33"/>
      <c r="U1502" s="33"/>
      <c r="V1502" s="33"/>
      <c r="W1502" s="33"/>
      <c r="X1502" s="33"/>
      <c r="Y1502" s="33"/>
      <c r="Z1502" s="33"/>
      <c r="AA1502" s="33"/>
      <c r="AB1502" s="33"/>
      <c r="AC1502" s="33"/>
      <c r="AD1502" s="33"/>
      <c r="AE1502" s="33"/>
      <c r="AF1502" s="33"/>
      <c r="AG1502" s="33"/>
      <c r="AH1502" s="33"/>
      <c r="AI1502" s="33"/>
      <c r="AJ1502" s="33"/>
      <c r="AK1502" s="34" t="str">
        <f aca="false">IF($B1502="","",COUNTIF($F1502:$AJ1502,"P"))</f>
        <v/>
      </c>
      <c r="AL1502" s="34" t="str">
        <f aca="false">IF($B1502="","",COUNTIF($F1502:$AJ1502,"A"))</f>
        <v/>
      </c>
      <c r="AM1502" s="34" t="str">
        <f aca="false">IF($B1502="","",COUNTIF($F1502:$AJ1502,"HA"))</f>
        <v/>
      </c>
      <c r="AN1502" s="34" t="str">
        <f aca="false">IF($B1502="","",COUNTIF($F1502:$AJ1502,"L"))</f>
        <v/>
      </c>
      <c r="AO1502" s="34" t="str">
        <f aca="false">IF($B1502="","",COUNTIF($F1502:$AJ1502,"PL"))</f>
        <v/>
      </c>
      <c r="AP1502" s="34" t="str">
        <f aca="false">IF($B1502="","",COUNTIF($F1502:$AJ1502,"CL"))</f>
        <v/>
      </c>
      <c r="AQ1502" s="34" t="str">
        <f aca="false">IF($B1502="","",COUNTIF($F1502:$AJ1502,"SL"))</f>
        <v/>
      </c>
      <c r="AR1502" s="34" t="str">
        <f aca="false">IF($B1502="","",COUNTIF($F1502:$AJ1502,"CO"))</f>
        <v/>
      </c>
      <c r="AS1502" s="34" t="str">
        <f aca="false">IF($B1502="","",COUNTIF($F1502:$AJ1502,"HPL"))</f>
        <v/>
      </c>
      <c r="AT1502" s="34" t="str">
        <f aca="false">IF($B1502="","",COUNTIF($F1502:$AJ1502,"HCL"))</f>
        <v/>
      </c>
      <c r="AU1502" s="34" t="str">
        <f aca="false">IF($B1502="","",COUNTIF($F1502:$AJ1502,"WO"))</f>
        <v/>
      </c>
      <c r="AV1502" s="34" t="str">
        <f aca="false">IF($B1502="","",COUNTIF($F1502:$AJ1502,"PH"))</f>
        <v/>
      </c>
      <c r="AW1502" s="34" t="str">
        <f aca="false">IF($B1502="","",COUNTIF($F1502:$AJ1502,"TR"))</f>
        <v/>
      </c>
      <c r="AX1502" s="35" t="str">
        <f aca="false">IF($B1502="","",AO1502+AS1502/2)</f>
        <v/>
      </c>
      <c r="AY1502" s="35" t="str">
        <f aca="false">IF($B1502="","",AQ1502)</f>
        <v/>
      </c>
      <c r="AZ1502" s="35" t="str">
        <f aca="false">IF($B1502="","",AP1502+AT1502/2)</f>
        <v/>
      </c>
      <c r="BA1502" s="35" t="str">
        <f aca="false">IF($B1502="","",AK1502+AN1502+AM1502/2+AO1502+AP1502+AQ1502+AR1502+AS1502+AT1502+AU1502+AV1502+AW1502)</f>
        <v/>
      </c>
      <c r="BB1502" s="35" t="str">
        <f aca="false">IF($B1502="","",MAX(0,AN1502-Settings!$C$16)*Settings!$C$17)</f>
        <v/>
      </c>
      <c r="BC1502" s="35" t="str">
        <f aca="false">IF($B1502="","",BA1502-BB1502)</f>
        <v/>
      </c>
      <c r="BD1502" s="35" t="str">
        <f aca="false">IF(OR($B1502="",$A1502=""),"",DAY(EOMONTH($A1502,0))-COUNTA($F1502:$AJ1502))</f>
        <v/>
      </c>
    </row>
    <row r="1503" customFormat="false" ht="15" hidden="false" customHeight="false" outlineLevel="0" collapsed="false">
      <c r="A1503" s="32"/>
      <c r="B1503" s="29"/>
      <c r="C1503" s="10" t="str">
        <f aca="false">IF($B1503="","",IFERROR(INDEX(M_name,MATCH($B1503,M_emp,0)),"Code not found"))</f>
        <v/>
      </c>
      <c r="D1503" s="10" t="str">
        <f aca="false">IF($B1503="","",IFERROR(INDEX(M_dept,MATCH($B1503,M_emp,0)),""))</f>
        <v/>
      </c>
      <c r="E1503" s="10" t="str">
        <f aca="false">IF($B1503="","",IFERROR(INDEX(M_loc,MATCH($B1503,M_emp,0)),""))</f>
        <v/>
      </c>
      <c r="F1503" s="33"/>
      <c r="G1503" s="33"/>
      <c r="H1503" s="33"/>
      <c r="I1503" s="33"/>
      <c r="J1503" s="33"/>
      <c r="K1503" s="33"/>
      <c r="L1503" s="33"/>
      <c r="M1503" s="33"/>
      <c r="N1503" s="33"/>
      <c r="O1503" s="33"/>
      <c r="P1503" s="33"/>
      <c r="Q1503" s="33"/>
      <c r="R1503" s="33"/>
      <c r="S1503" s="33"/>
      <c r="T1503" s="33"/>
      <c r="U1503" s="33"/>
      <c r="V1503" s="33"/>
      <c r="W1503" s="33"/>
      <c r="X1503" s="33"/>
      <c r="Y1503" s="33"/>
      <c r="Z1503" s="33"/>
      <c r="AA1503" s="33"/>
      <c r="AB1503" s="33"/>
      <c r="AC1503" s="33"/>
      <c r="AD1503" s="33"/>
      <c r="AE1503" s="33"/>
      <c r="AF1503" s="33"/>
      <c r="AG1503" s="33"/>
      <c r="AH1503" s="33"/>
      <c r="AI1503" s="33"/>
      <c r="AJ1503" s="33"/>
      <c r="AK1503" s="34" t="str">
        <f aca="false">IF($B1503="","",COUNTIF($F1503:$AJ1503,"P"))</f>
        <v/>
      </c>
      <c r="AL1503" s="34" t="str">
        <f aca="false">IF($B1503="","",COUNTIF($F1503:$AJ1503,"A"))</f>
        <v/>
      </c>
      <c r="AM1503" s="34" t="str">
        <f aca="false">IF($B1503="","",COUNTIF($F1503:$AJ1503,"HA"))</f>
        <v/>
      </c>
      <c r="AN1503" s="34" t="str">
        <f aca="false">IF($B1503="","",COUNTIF($F1503:$AJ1503,"L"))</f>
        <v/>
      </c>
      <c r="AO1503" s="34" t="str">
        <f aca="false">IF($B1503="","",COUNTIF($F1503:$AJ1503,"PL"))</f>
        <v/>
      </c>
      <c r="AP1503" s="34" t="str">
        <f aca="false">IF($B1503="","",COUNTIF($F1503:$AJ1503,"CL"))</f>
        <v/>
      </c>
      <c r="AQ1503" s="34" t="str">
        <f aca="false">IF($B1503="","",COUNTIF($F1503:$AJ1503,"SL"))</f>
        <v/>
      </c>
      <c r="AR1503" s="34" t="str">
        <f aca="false">IF($B1503="","",COUNTIF($F1503:$AJ1503,"CO"))</f>
        <v/>
      </c>
      <c r="AS1503" s="34" t="str">
        <f aca="false">IF($B1503="","",COUNTIF($F1503:$AJ1503,"HPL"))</f>
        <v/>
      </c>
      <c r="AT1503" s="34" t="str">
        <f aca="false">IF($B1503="","",COUNTIF($F1503:$AJ1503,"HCL"))</f>
        <v/>
      </c>
      <c r="AU1503" s="34" t="str">
        <f aca="false">IF($B1503="","",COUNTIF($F1503:$AJ1503,"WO"))</f>
        <v/>
      </c>
      <c r="AV1503" s="34" t="str">
        <f aca="false">IF($B1503="","",COUNTIF($F1503:$AJ1503,"PH"))</f>
        <v/>
      </c>
      <c r="AW1503" s="34" t="str">
        <f aca="false">IF($B1503="","",COUNTIF($F1503:$AJ1503,"TR"))</f>
        <v/>
      </c>
      <c r="AX1503" s="35" t="str">
        <f aca="false">IF($B1503="","",AO1503+AS1503/2)</f>
        <v/>
      </c>
      <c r="AY1503" s="35" t="str">
        <f aca="false">IF($B1503="","",AQ1503)</f>
        <v/>
      </c>
      <c r="AZ1503" s="35" t="str">
        <f aca="false">IF($B1503="","",AP1503+AT1503/2)</f>
        <v/>
      </c>
      <c r="BA1503" s="35" t="str">
        <f aca="false">IF($B1503="","",AK1503+AN1503+AM1503/2+AO1503+AP1503+AQ1503+AR1503+AS1503+AT1503+AU1503+AV1503+AW1503)</f>
        <v/>
      </c>
      <c r="BB1503" s="35" t="str">
        <f aca="false">IF($B1503="","",MAX(0,AN1503-Settings!$C$16)*Settings!$C$17)</f>
        <v/>
      </c>
      <c r="BC1503" s="35" t="str">
        <f aca="false">IF($B1503="","",BA1503-BB1503)</f>
        <v/>
      </c>
      <c r="BD1503" s="35" t="str">
        <f aca="false">IF(OR($B1503="",$A1503=""),"",DAY(EOMONTH($A1503,0))-COUNTA($F1503:$AJ1503))</f>
        <v/>
      </c>
    </row>
    <row r="1504" customFormat="false" ht="15" hidden="false" customHeight="false" outlineLevel="0" collapsed="false">
      <c r="A1504" s="32"/>
      <c r="B1504" s="29"/>
      <c r="C1504" s="10" t="str">
        <f aca="false">IF($B1504="","",IFERROR(INDEX(M_name,MATCH($B1504,M_emp,0)),"Code not found"))</f>
        <v/>
      </c>
      <c r="D1504" s="10" t="str">
        <f aca="false">IF($B1504="","",IFERROR(INDEX(M_dept,MATCH($B1504,M_emp,0)),""))</f>
        <v/>
      </c>
      <c r="E1504" s="10" t="str">
        <f aca="false">IF($B1504="","",IFERROR(INDEX(M_loc,MATCH($B1504,M_emp,0)),""))</f>
        <v/>
      </c>
      <c r="F1504" s="33"/>
      <c r="G1504" s="33"/>
      <c r="H1504" s="33"/>
      <c r="I1504" s="33"/>
      <c r="J1504" s="33"/>
      <c r="K1504" s="33"/>
      <c r="L1504" s="33"/>
      <c r="M1504" s="33"/>
      <c r="N1504" s="33"/>
      <c r="O1504" s="33"/>
      <c r="P1504" s="33"/>
      <c r="Q1504" s="33"/>
      <c r="R1504" s="33"/>
      <c r="S1504" s="33"/>
      <c r="T1504" s="33"/>
      <c r="U1504" s="33"/>
      <c r="V1504" s="33"/>
      <c r="W1504" s="33"/>
      <c r="X1504" s="33"/>
      <c r="Y1504" s="33"/>
      <c r="Z1504" s="33"/>
      <c r="AA1504" s="33"/>
      <c r="AB1504" s="33"/>
      <c r="AC1504" s="33"/>
      <c r="AD1504" s="33"/>
      <c r="AE1504" s="33"/>
      <c r="AF1504" s="33"/>
      <c r="AG1504" s="33"/>
      <c r="AH1504" s="33"/>
      <c r="AI1504" s="33"/>
      <c r="AJ1504" s="33"/>
      <c r="AK1504" s="34" t="str">
        <f aca="false">IF($B1504="","",COUNTIF($F1504:$AJ1504,"P"))</f>
        <v/>
      </c>
      <c r="AL1504" s="34" t="str">
        <f aca="false">IF($B1504="","",COUNTIF($F1504:$AJ1504,"A"))</f>
        <v/>
      </c>
      <c r="AM1504" s="34" t="str">
        <f aca="false">IF($B1504="","",COUNTIF($F1504:$AJ1504,"HA"))</f>
        <v/>
      </c>
      <c r="AN1504" s="34" t="str">
        <f aca="false">IF($B1504="","",COUNTIF($F1504:$AJ1504,"L"))</f>
        <v/>
      </c>
      <c r="AO1504" s="34" t="str">
        <f aca="false">IF($B1504="","",COUNTIF($F1504:$AJ1504,"PL"))</f>
        <v/>
      </c>
      <c r="AP1504" s="34" t="str">
        <f aca="false">IF($B1504="","",COUNTIF($F1504:$AJ1504,"CL"))</f>
        <v/>
      </c>
      <c r="AQ1504" s="34" t="str">
        <f aca="false">IF($B1504="","",COUNTIF($F1504:$AJ1504,"SL"))</f>
        <v/>
      </c>
      <c r="AR1504" s="34" t="str">
        <f aca="false">IF($B1504="","",COUNTIF($F1504:$AJ1504,"CO"))</f>
        <v/>
      </c>
      <c r="AS1504" s="34" t="str">
        <f aca="false">IF($B1504="","",COUNTIF($F1504:$AJ1504,"HPL"))</f>
        <v/>
      </c>
      <c r="AT1504" s="34" t="str">
        <f aca="false">IF($B1504="","",COUNTIF($F1504:$AJ1504,"HCL"))</f>
        <v/>
      </c>
      <c r="AU1504" s="34" t="str">
        <f aca="false">IF($B1504="","",COUNTIF($F1504:$AJ1504,"WO"))</f>
        <v/>
      </c>
      <c r="AV1504" s="34" t="str">
        <f aca="false">IF($B1504="","",COUNTIF($F1504:$AJ1504,"PH"))</f>
        <v/>
      </c>
      <c r="AW1504" s="34" t="str">
        <f aca="false">IF($B1504="","",COUNTIF($F1504:$AJ1504,"TR"))</f>
        <v/>
      </c>
      <c r="AX1504" s="35" t="str">
        <f aca="false">IF($B1504="","",AO1504+AS1504/2)</f>
        <v/>
      </c>
      <c r="AY1504" s="35" t="str">
        <f aca="false">IF($B1504="","",AQ1504)</f>
        <v/>
      </c>
      <c r="AZ1504" s="35" t="str">
        <f aca="false">IF($B1504="","",AP1504+AT1504/2)</f>
        <v/>
      </c>
      <c r="BA1504" s="35" t="str">
        <f aca="false">IF($B1504="","",AK1504+AN1504+AM1504/2+AO1504+AP1504+AQ1504+AR1504+AS1504+AT1504+AU1504+AV1504+AW1504)</f>
        <v/>
      </c>
      <c r="BB1504" s="35" t="str">
        <f aca="false">IF($B1504="","",MAX(0,AN1504-Settings!$C$16)*Settings!$C$17)</f>
        <v/>
      </c>
      <c r="BC1504" s="35" t="str">
        <f aca="false">IF($B1504="","",BA1504-BB1504)</f>
        <v/>
      </c>
      <c r="BD1504" s="35" t="str">
        <f aca="false">IF(OR($B1504="",$A1504=""),"",DAY(EOMONTH($A1504,0))-COUNTA($F1504:$AJ1504))</f>
        <v/>
      </c>
    </row>
    <row r="1505" customFormat="false" ht="15" hidden="false" customHeight="false" outlineLevel="0" collapsed="false">
      <c r="A1505" s="32"/>
      <c r="B1505" s="29"/>
      <c r="C1505" s="10" t="str">
        <f aca="false">IF($B1505="","",IFERROR(INDEX(M_name,MATCH($B1505,M_emp,0)),"Code not found"))</f>
        <v/>
      </c>
      <c r="D1505" s="10" t="str">
        <f aca="false">IF($B1505="","",IFERROR(INDEX(M_dept,MATCH($B1505,M_emp,0)),""))</f>
        <v/>
      </c>
      <c r="E1505" s="10" t="str">
        <f aca="false">IF($B1505="","",IFERROR(INDEX(M_loc,MATCH($B1505,M_emp,0)),""))</f>
        <v/>
      </c>
      <c r="F1505" s="33"/>
      <c r="G1505" s="33"/>
      <c r="H1505" s="33"/>
      <c r="I1505" s="33"/>
      <c r="J1505" s="33"/>
      <c r="K1505" s="33"/>
      <c r="L1505" s="33"/>
      <c r="M1505" s="33"/>
      <c r="N1505" s="33"/>
      <c r="O1505" s="33"/>
      <c r="P1505" s="33"/>
      <c r="Q1505" s="33"/>
      <c r="R1505" s="33"/>
      <c r="S1505" s="33"/>
      <c r="T1505" s="33"/>
      <c r="U1505" s="33"/>
      <c r="V1505" s="33"/>
      <c r="W1505" s="33"/>
      <c r="X1505" s="33"/>
      <c r="Y1505" s="33"/>
      <c r="Z1505" s="33"/>
      <c r="AA1505" s="33"/>
      <c r="AB1505" s="33"/>
      <c r="AC1505" s="33"/>
      <c r="AD1505" s="33"/>
      <c r="AE1505" s="33"/>
      <c r="AF1505" s="33"/>
      <c r="AG1505" s="33"/>
      <c r="AH1505" s="33"/>
      <c r="AI1505" s="33"/>
      <c r="AJ1505" s="33"/>
      <c r="AK1505" s="34" t="str">
        <f aca="false">IF($B1505="","",COUNTIF($F1505:$AJ1505,"P"))</f>
        <v/>
      </c>
      <c r="AL1505" s="34" t="str">
        <f aca="false">IF($B1505="","",COUNTIF($F1505:$AJ1505,"A"))</f>
        <v/>
      </c>
      <c r="AM1505" s="34" t="str">
        <f aca="false">IF($B1505="","",COUNTIF($F1505:$AJ1505,"HA"))</f>
        <v/>
      </c>
      <c r="AN1505" s="34" t="str">
        <f aca="false">IF($B1505="","",COUNTIF($F1505:$AJ1505,"L"))</f>
        <v/>
      </c>
      <c r="AO1505" s="34" t="str">
        <f aca="false">IF($B1505="","",COUNTIF($F1505:$AJ1505,"PL"))</f>
        <v/>
      </c>
      <c r="AP1505" s="34" t="str">
        <f aca="false">IF($B1505="","",COUNTIF($F1505:$AJ1505,"CL"))</f>
        <v/>
      </c>
      <c r="AQ1505" s="34" t="str">
        <f aca="false">IF($B1505="","",COUNTIF($F1505:$AJ1505,"SL"))</f>
        <v/>
      </c>
      <c r="AR1505" s="34" t="str">
        <f aca="false">IF($B1505="","",COUNTIF($F1505:$AJ1505,"CO"))</f>
        <v/>
      </c>
      <c r="AS1505" s="34" t="str">
        <f aca="false">IF($B1505="","",COUNTIF($F1505:$AJ1505,"HPL"))</f>
        <v/>
      </c>
      <c r="AT1505" s="34" t="str">
        <f aca="false">IF($B1505="","",COUNTIF($F1505:$AJ1505,"HCL"))</f>
        <v/>
      </c>
      <c r="AU1505" s="34" t="str">
        <f aca="false">IF($B1505="","",COUNTIF($F1505:$AJ1505,"WO"))</f>
        <v/>
      </c>
      <c r="AV1505" s="34" t="str">
        <f aca="false">IF($B1505="","",COUNTIF($F1505:$AJ1505,"PH"))</f>
        <v/>
      </c>
      <c r="AW1505" s="34" t="str">
        <f aca="false">IF($B1505="","",COUNTIF($F1505:$AJ1505,"TR"))</f>
        <v/>
      </c>
      <c r="AX1505" s="35" t="str">
        <f aca="false">IF($B1505="","",AO1505+AS1505/2)</f>
        <v/>
      </c>
      <c r="AY1505" s="35" t="str">
        <f aca="false">IF($B1505="","",AQ1505)</f>
        <v/>
      </c>
      <c r="AZ1505" s="35" t="str">
        <f aca="false">IF($B1505="","",AP1505+AT1505/2)</f>
        <v/>
      </c>
      <c r="BA1505" s="35" t="str">
        <f aca="false">IF($B1505="","",AK1505+AN1505+AM1505/2+AO1505+AP1505+AQ1505+AR1505+AS1505+AT1505+AU1505+AV1505+AW1505)</f>
        <v/>
      </c>
      <c r="BB1505" s="35" t="str">
        <f aca="false">IF($B1505="","",MAX(0,AN1505-Settings!$C$16)*Settings!$C$17)</f>
        <v/>
      </c>
      <c r="BC1505" s="35" t="str">
        <f aca="false">IF($B1505="","",BA1505-BB1505)</f>
        <v/>
      </c>
      <c r="BD1505" s="35" t="str">
        <f aca="false">IF(OR($B1505="",$A1505=""),"",DAY(EOMONTH($A1505,0))-COUNTA($F1505:$AJ1505))</f>
        <v/>
      </c>
    </row>
    <row r="1506" customFormat="false" ht="15" hidden="false" customHeight="false" outlineLevel="0" collapsed="false">
      <c r="A1506" s="32"/>
      <c r="B1506" s="29"/>
      <c r="C1506" s="10" t="str">
        <f aca="false">IF($B1506="","",IFERROR(INDEX(M_name,MATCH($B1506,M_emp,0)),"Code not found"))</f>
        <v/>
      </c>
      <c r="D1506" s="10" t="str">
        <f aca="false">IF($B1506="","",IFERROR(INDEX(M_dept,MATCH($B1506,M_emp,0)),""))</f>
        <v/>
      </c>
      <c r="E1506" s="10" t="str">
        <f aca="false">IF($B1506="","",IFERROR(INDEX(M_loc,MATCH($B1506,M_emp,0)),""))</f>
        <v/>
      </c>
      <c r="F1506" s="33"/>
      <c r="G1506" s="33"/>
      <c r="H1506" s="33"/>
      <c r="I1506" s="33"/>
      <c r="J1506" s="33"/>
      <c r="K1506" s="33"/>
      <c r="L1506" s="33"/>
      <c r="M1506" s="33"/>
      <c r="N1506" s="33"/>
      <c r="O1506" s="33"/>
      <c r="P1506" s="33"/>
      <c r="Q1506" s="33"/>
      <c r="R1506" s="33"/>
      <c r="S1506" s="33"/>
      <c r="T1506" s="33"/>
      <c r="U1506" s="33"/>
      <c r="V1506" s="33"/>
      <c r="W1506" s="33"/>
      <c r="X1506" s="33"/>
      <c r="Y1506" s="33"/>
      <c r="Z1506" s="33"/>
      <c r="AA1506" s="33"/>
      <c r="AB1506" s="33"/>
      <c r="AC1506" s="33"/>
      <c r="AD1506" s="33"/>
      <c r="AE1506" s="33"/>
      <c r="AF1506" s="33"/>
      <c r="AG1506" s="33"/>
      <c r="AH1506" s="33"/>
      <c r="AI1506" s="33"/>
      <c r="AJ1506" s="33"/>
      <c r="AK1506" s="34" t="str">
        <f aca="false">IF($B1506="","",COUNTIF($F1506:$AJ1506,"P"))</f>
        <v/>
      </c>
      <c r="AL1506" s="34" t="str">
        <f aca="false">IF($B1506="","",COUNTIF($F1506:$AJ1506,"A"))</f>
        <v/>
      </c>
      <c r="AM1506" s="34" t="str">
        <f aca="false">IF($B1506="","",COUNTIF($F1506:$AJ1506,"HA"))</f>
        <v/>
      </c>
      <c r="AN1506" s="34" t="str">
        <f aca="false">IF($B1506="","",COUNTIF($F1506:$AJ1506,"L"))</f>
        <v/>
      </c>
      <c r="AO1506" s="34" t="str">
        <f aca="false">IF($B1506="","",COUNTIF($F1506:$AJ1506,"PL"))</f>
        <v/>
      </c>
      <c r="AP1506" s="34" t="str">
        <f aca="false">IF($B1506="","",COUNTIF($F1506:$AJ1506,"CL"))</f>
        <v/>
      </c>
      <c r="AQ1506" s="34" t="str">
        <f aca="false">IF($B1506="","",COUNTIF($F1506:$AJ1506,"SL"))</f>
        <v/>
      </c>
      <c r="AR1506" s="34" t="str">
        <f aca="false">IF($B1506="","",COUNTIF($F1506:$AJ1506,"CO"))</f>
        <v/>
      </c>
      <c r="AS1506" s="34" t="str">
        <f aca="false">IF($B1506="","",COUNTIF($F1506:$AJ1506,"HPL"))</f>
        <v/>
      </c>
      <c r="AT1506" s="34" t="str">
        <f aca="false">IF($B1506="","",COUNTIF($F1506:$AJ1506,"HCL"))</f>
        <v/>
      </c>
      <c r="AU1506" s="34" t="str">
        <f aca="false">IF($B1506="","",COUNTIF($F1506:$AJ1506,"WO"))</f>
        <v/>
      </c>
      <c r="AV1506" s="34" t="str">
        <f aca="false">IF($B1506="","",COUNTIF($F1506:$AJ1506,"PH"))</f>
        <v/>
      </c>
      <c r="AW1506" s="34" t="str">
        <f aca="false">IF($B1506="","",COUNTIF($F1506:$AJ1506,"TR"))</f>
        <v/>
      </c>
      <c r="AX1506" s="35" t="str">
        <f aca="false">IF($B1506="","",AO1506+AS1506/2)</f>
        <v/>
      </c>
      <c r="AY1506" s="35" t="str">
        <f aca="false">IF($B1506="","",AQ1506)</f>
        <v/>
      </c>
      <c r="AZ1506" s="35" t="str">
        <f aca="false">IF($B1506="","",AP1506+AT1506/2)</f>
        <v/>
      </c>
      <c r="BA1506" s="35" t="str">
        <f aca="false">IF($B1506="","",AK1506+AN1506+AM1506/2+AO1506+AP1506+AQ1506+AR1506+AS1506+AT1506+AU1506+AV1506+AW1506)</f>
        <v/>
      </c>
      <c r="BB1506" s="35" t="str">
        <f aca="false">IF($B1506="","",MAX(0,AN1506-Settings!$C$16)*Settings!$C$17)</f>
        <v/>
      </c>
      <c r="BC1506" s="35" t="str">
        <f aca="false">IF($B1506="","",BA1506-BB1506)</f>
        <v/>
      </c>
      <c r="BD1506" s="35" t="str">
        <f aca="false">IF(OR($B1506="",$A1506=""),"",DAY(EOMONTH($A1506,0))-COUNTA($F1506:$AJ1506))</f>
        <v/>
      </c>
    </row>
    <row r="1507" customFormat="false" ht="15" hidden="false" customHeight="false" outlineLevel="0" collapsed="false">
      <c r="A1507" s="32"/>
      <c r="B1507" s="29"/>
      <c r="C1507" s="10" t="str">
        <f aca="false">IF($B1507="","",IFERROR(INDEX(M_name,MATCH($B1507,M_emp,0)),"Code not found"))</f>
        <v/>
      </c>
      <c r="D1507" s="10" t="str">
        <f aca="false">IF($B1507="","",IFERROR(INDEX(M_dept,MATCH($B1507,M_emp,0)),""))</f>
        <v/>
      </c>
      <c r="E1507" s="10" t="str">
        <f aca="false">IF($B1507="","",IFERROR(INDEX(M_loc,MATCH($B1507,M_emp,0)),""))</f>
        <v/>
      </c>
      <c r="F1507" s="33"/>
      <c r="G1507" s="33"/>
      <c r="H1507" s="33"/>
      <c r="I1507" s="33"/>
      <c r="J1507" s="33"/>
      <c r="K1507" s="33"/>
      <c r="L1507" s="33"/>
      <c r="M1507" s="33"/>
      <c r="N1507" s="33"/>
      <c r="O1507" s="33"/>
      <c r="P1507" s="33"/>
      <c r="Q1507" s="33"/>
      <c r="R1507" s="33"/>
      <c r="S1507" s="33"/>
      <c r="T1507" s="33"/>
      <c r="U1507" s="33"/>
      <c r="V1507" s="33"/>
      <c r="W1507" s="33"/>
      <c r="X1507" s="33"/>
      <c r="Y1507" s="33"/>
      <c r="Z1507" s="33"/>
      <c r="AA1507" s="33"/>
      <c r="AB1507" s="33"/>
      <c r="AC1507" s="33"/>
      <c r="AD1507" s="33"/>
      <c r="AE1507" s="33"/>
      <c r="AF1507" s="33"/>
      <c r="AG1507" s="33"/>
      <c r="AH1507" s="33"/>
      <c r="AI1507" s="33"/>
      <c r="AJ1507" s="33"/>
      <c r="AK1507" s="34" t="str">
        <f aca="false">IF($B1507="","",COUNTIF($F1507:$AJ1507,"P"))</f>
        <v/>
      </c>
      <c r="AL1507" s="34" t="str">
        <f aca="false">IF($B1507="","",COUNTIF($F1507:$AJ1507,"A"))</f>
        <v/>
      </c>
      <c r="AM1507" s="34" t="str">
        <f aca="false">IF($B1507="","",COUNTIF($F1507:$AJ1507,"HA"))</f>
        <v/>
      </c>
      <c r="AN1507" s="34" t="str">
        <f aca="false">IF($B1507="","",COUNTIF($F1507:$AJ1507,"L"))</f>
        <v/>
      </c>
      <c r="AO1507" s="34" t="str">
        <f aca="false">IF($B1507="","",COUNTIF($F1507:$AJ1507,"PL"))</f>
        <v/>
      </c>
      <c r="AP1507" s="34" t="str">
        <f aca="false">IF($B1507="","",COUNTIF($F1507:$AJ1507,"CL"))</f>
        <v/>
      </c>
      <c r="AQ1507" s="34" t="str">
        <f aca="false">IF($B1507="","",COUNTIF($F1507:$AJ1507,"SL"))</f>
        <v/>
      </c>
      <c r="AR1507" s="34" t="str">
        <f aca="false">IF($B1507="","",COUNTIF($F1507:$AJ1507,"CO"))</f>
        <v/>
      </c>
      <c r="AS1507" s="34" t="str">
        <f aca="false">IF($B1507="","",COUNTIF($F1507:$AJ1507,"HPL"))</f>
        <v/>
      </c>
      <c r="AT1507" s="34" t="str">
        <f aca="false">IF($B1507="","",COUNTIF($F1507:$AJ1507,"HCL"))</f>
        <v/>
      </c>
      <c r="AU1507" s="34" t="str">
        <f aca="false">IF($B1507="","",COUNTIF($F1507:$AJ1507,"WO"))</f>
        <v/>
      </c>
      <c r="AV1507" s="34" t="str">
        <f aca="false">IF($B1507="","",COUNTIF($F1507:$AJ1507,"PH"))</f>
        <v/>
      </c>
      <c r="AW1507" s="34" t="str">
        <f aca="false">IF($B1507="","",COUNTIF($F1507:$AJ1507,"TR"))</f>
        <v/>
      </c>
      <c r="AX1507" s="35" t="str">
        <f aca="false">IF($B1507="","",AO1507+AS1507/2)</f>
        <v/>
      </c>
      <c r="AY1507" s="35" t="str">
        <f aca="false">IF($B1507="","",AQ1507)</f>
        <v/>
      </c>
      <c r="AZ1507" s="35" t="str">
        <f aca="false">IF($B1507="","",AP1507+AT1507/2)</f>
        <v/>
      </c>
      <c r="BA1507" s="35" t="str">
        <f aca="false">IF($B1507="","",AK1507+AN1507+AM1507/2+AO1507+AP1507+AQ1507+AR1507+AS1507+AT1507+AU1507+AV1507+AW1507)</f>
        <v/>
      </c>
      <c r="BB1507" s="35" t="str">
        <f aca="false">IF($B1507="","",MAX(0,AN1507-Settings!$C$16)*Settings!$C$17)</f>
        <v/>
      </c>
      <c r="BC1507" s="35" t="str">
        <f aca="false">IF($B1507="","",BA1507-BB1507)</f>
        <v/>
      </c>
      <c r="BD1507" s="35" t="str">
        <f aca="false">IF(OR($B1507="",$A1507=""),"",DAY(EOMONTH($A1507,0))-COUNTA($F1507:$AJ1507))</f>
        <v/>
      </c>
    </row>
    <row r="1508" customFormat="false" ht="15" hidden="false" customHeight="false" outlineLevel="0" collapsed="false">
      <c r="A1508" s="32"/>
      <c r="B1508" s="29"/>
      <c r="C1508" s="10" t="str">
        <f aca="false">IF($B1508="","",IFERROR(INDEX(M_name,MATCH($B1508,M_emp,0)),"Code not found"))</f>
        <v/>
      </c>
      <c r="D1508" s="10" t="str">
        <f aca="false">IF($B1508="","",IFERROR(INDEX(M_dept,MATCH($B1508,M_emp,0)),""))</f>
        <v/>
      </c>
      <c r="E1508" s="10" t="str">
        <f aca="false">IF($B1508="","",IFERROR(INDEX(M_loc,MATCH($B1508,M_emp,0)),""))</f>
        <v/>
      </c>
      <c r="F1508" s="33"/>
      <c r="G1508" s="33"/>
      <c r="H1508" s="33"/>
      <c r="I1508" s="33"/>
      <c r="J1508" s="33"/>
      <c r="K1508" s="33"/>
      <c r="L1508" s="33"/>
      <c r="M1508" s="33"/>
      <c r="N1508" s="33"/>
      <c r="O1508" s="33"/>
      <c r="P1508" s="33"/>
      <c r="Q1508" s="33"/>
      <c r="R1508" s="33"/>
      <c r="S1508" s="33"/>
      <c r="T1508" s="33"/>
      <c r="U1508" s="33"/>
      <c r="V1508" s="33"/>
      <c r="W1508" s="33"/>
      <c r="X1508" s="33"/>
      <c r="Y1508" s="33"/>
      <c r="Z1508" s="33"/>
      <c r="AA1508" s="33"/>
      <c r="AB1508" s="33"/>
      <c r="AC1508" s="33"/>
      <c r="AD1508" s="33"/>
      <c r="AE1508" s="33"/>
      <c r="AF1508" s="33"/>
      <c r="AG1508" s="33"/>
      <c r="AH1508" s="33"/>
      <c r="AI1508" s="33"/>
      <c r="AJ1508" s="33"/>
      <c r="AK1508" s="34" t="str">
        <f aca="false">IF($B1508="","",COUNTIF($F1508:$AJ1508,"P"))</f>
        <v/>
      </c>
      <c r="AL1508" s="34" t="str">
        <f aca="false">IF($B1508="","",COUNTIF($F1508:$AJ1508,"A"))</f>
        <v/>
      </c>
      <c r="AM1508" s="34" t="str">
        <f aca="false">IF($B1508="","",COUNTIF($F1508:$AJ1508,"HA"))</f>
        <v/>
      </c>
      <c r="AN1508" s="34" t="str">
        <f aca="false">IF($B1508="","",COUNTIF($F1508:$AJ1508,"L"))</f>
        <v/>
      </c>
      <c r="AO1508" s="34" t="str">
        <f aca="false">IF($B1508="","",COUNTIF($F1508:$AJ1508,"PL"))</f>
        <v/>
      </c>
      <c r="AP1508" s="34" t="str">
        <f aca="false">IF($B1508="","",COUNTIF($F1508:$AJ1508,"CL"))</f>
        <v/>
      </c>
      <c r="AQ1508" s="34" t="str">
        <f aca="false">IF($B1508="","",COUNTIF($F1508:$AJ1508,"SL"))</f>
        <v/>
      </c>
      <c r="AR1508" s="34" t="str">
        <f aca="false">IF($B1508="","",COUNTIF($F1508:$AJ1508,"CO"))</f>
        <v/>
      </c>
      <c r="AS1508" s="34" t="str">
        <f aca="false">IF($B1508="","",COUNTIF($F1508:$AJ1508,"HPL"))</f>
        <v/>
      </c>
      <c r="AT1508" s="34" t="str">
        <f aca="false">IF($B1508="","",COUNTIF($F1508:$AJ1508,"HCL"))</f>
        <v/>
      </c>
      <c r="AU1508" s="34" t="str">
        <f aca="false">IF($B1508="","",COUNTIF($F1508:$AJ1508,"WO"))</f>
        <v/>
      </c>
      <c r="AV1508" s="34" t="str">
        <f aca="false">IF($B1508="","",COUNTIF($F1508:$AJ1508,"PH"))</f>
        <v/>
      </c>
      <c r="AW1508" s="34" t="str">
        <f aca="false">IF($B1508="","",COUNTIF($F1508:$AJ1508,"TR"))</f>
        <v/>
      </c>
      <c r="AX1508" s="35" t="str">
        <f aca="false">IF($B1508="","",AO1508+AS1508/2)</f>
        <v/>
      </c>
      <c r="AY1508" s="35" t="str">
        <f aca="false">IF($B1508="","",AQ1508)</f>
        <v/>
      </c>
      <c r="AZ1508" s="35" t="str">
        <f aca="false">IF($B1508="","",AP1508+AT1508/2)</f>
        <v/>
      </c>
      <c r="BA1508" s="35" t="str">
        <f aca="false">IF($B1508="","",AK1508+AN1508+AM1508/2+AO1508+AP1508+AQ1508+AR1508+AS1508+AT1508+AU1508+AV1508+AW1508)</f>
        <v/>
      </c>
      <c r="BB1508" s="35" t="str">
        <f aca="false">IF($B1508="","",MAX(0,AN1508-Settings!$C$16)*Settings!$C$17)</f>
        <v/>
      </c>
      <c r="BC1508" s="35" t="str">
        <f aca="false">IF($B1508="","",BA1508-BB1508)</f>
        <v/>
      </c>
      <c r="BD1508" s="35" t="str">
        <f aca="false">IF(OR($B1508="",$A1508=""),"",DAY(EOMONTH($A1508,0))-COUNTA($F1508:$AJ1508))</f>
        <v/>
      </c>
    </row>
    <row r="1509" customFormat="false" ht="15" hidden="false" customHeight="false" outlineLevel="0" collapsed="false">
      <c r="A1509" s="32"/>
      <c r="B1509" s="29"/>
      <c r="C1509" s="10" t="str">
        <f aca="false">IF($B1509="","",IFERROR(INDEX(M_name,MATCH($B1509,M_emp,0)),"Code not found"))</f>
        <v/>
      </c>
      <c r="D1509" s="10" t="str">
        <f aca="false">IF($B1509="","",IFERROR(INDEX(M_dept,MATCH($B1509,M_emp,0)),""))</f>
        <v/>
      </c>
      <c r="E1509" s="10" t="str">
        <f aca="false">IF($B1509="","",IFERROR(INDEX(M_loc,MATCH($B1509,M_emp,0)),""))</f>
        <v/>
      </c>
      <c r="F1509" s="33"/>
      <c r="G1509" s="33"/>
      <c r="H1509" s="33"/>
      <c r="I1509" s="33"/>
      <c r="J1509" s="33"/>
      <c r="K1509" s="33"/>
      <c r="L1509" s="33"/>
      <c r="M1509" s="33"/>
      <c r="N1509" s="33"/>
      <c r="O1509" s="33"/>
      <c r="P1509" s="33"/>
      <c r="Q1509" s="33"/>
      <c r="R1509" s="33"/>
      <c r="S1509" s="33"/>
      <c r="T1509" s="33"/>
      <c r="U1509" s="33"/>
      <c r="V1509" s="33"/>
      <c r="W1509" s="33"/>
      <c r="X1509" s="33"/>
      <c r="Y1509" s="33"/>
      <c r="Z1509" s="33"/>
      <c r="AA1509" s="33"/>
      <c r="AB1509" s="33"/>
      <c r="AC1509" s="33"/>
      <c r="AD1509" s="33"/>
      <c r="AE1509" s="33"/>
      <c r="AF1509" s="33"/>
      <c r="AG1509" s="33"/>
      <c r="AH1509" s="33"/>
      <c r="AI1509" s="33"/>
      <c r="AJ1509" s="33"/>
      <c r="AK1509" s="34" t="str">
        <f aca="false">IF($B1509="","",COUNTIF($F1509:$AJ1509,"P"))</f>
        <v/>
      </c>
      <c r="AL1509" s="34" t="str">
        <f aca="false">IF($B1509="","",COUNTIF($F1509:$AJ1509,"A"))</f>
        <v/>
      </c>
      <c r="AM1509" s="34" t="str">
        <f aca="false">IF($B1509="","",COUNTIF($F1509:$AJ1509,"HA"))</f>
        <v/>
      </c>
      <c r="AN1509" s="34" t="str">
        <f aca="false">IF($B1509="","",COUNTIF($F1509:$AJ1509,"L"))</f>
        <v/>
      </c>
      <c r="AO1509" s="34" t="str">
        <f aca="false">IF($B1509="","",COUNTIF($F1509:$AJ1509,"PL"))</f>
        <v/>
      </c>
      <c r="AP1509" s="34" t="str">
        <f aca="false">IF($B1509="","",COUNTIF($F1509:$AJ1509,"CL"))</f>
        <v/>
      </c>
      <c r="AQ1509" s="34" t="str">
        <f aca="false">IF($B1509="","",COUNTIF($F1509:$AJ1509,"SL"))</f>
        <v/>
      </c>
      <c r="AR1509" s="34" t="str">
        <f aca="false">IF($B1509="","",COUNTIF($F1509:$AJ1509,"CO"))</f>
        <v/>
      </c>
      <c r="AS1509" s="34" t="str">
        <f aca="false">IF($B1509="","",COUNTIF($F1509:$AJ1509,"HPL"))</f>
        <v/>
      </c>
      <c r="AT1509" s="34" t="str">
        <f aca="false">IF($B1509="","",COUNTIF($F1509:$AJ1509,"HCL"))</f>
        <v/>
      </c>
      <c r="AU1509" s="34" t="str">
        <f aca="false">IF($B1509="","",COUNTIF($F1509:$AJ1509,"WO"))</f>
        <v/>
      </c>
      <c r="AV1509" s="34" t="str">
        <f aca="false">IF($B1509="","",COUNTIF($F1509:$AJ1509,"PH"))</f>
        <v/>
      </c>
      <c r="AW1509" s="34" t="str">
        <f aca="false">IF($B1509="","",COUNTIF($F1509:$AJ1509,"TR"))</f>
        <v/>
      </c>
      <c r="AX1509" s="35" t="str">
        <f aca="false">IF($B1509="","",AO1509+AS1509/2)</f>
        <v/>
      </c>
      <c r="AY1509" s="35" t="str">
        <f aca="false">IF($B1509="","",AQ1509)</f>
        <v/>
      </c>
      <c r="AZ1509" s="35" t="str">
        <f aca="false">IF($B1509="","",AP1509+AT1509/2)</f>
        <v/>
      </c>
      <c r="BA1509" s="35" t="str">
        <f aca="false">IF($B1509="","",AK1509+AN1509+AM1509/2+AO1509+AP1509+AQ1509+AR1509+AS1509+AT1509+AU1509+AV1509+AW1509)</f>
        <v/>
      </c>
      <c r="BB1509" s="35" t="str">
        <f aca="false">IF($B1509="","",MAX(0,AN1509-Settings!$C$16)*Settings!$C$17)</f>
        <v/>
      </c>
      <c r="BC1509" s="35" t="str">
        <f aca="false">IF($B1509="","",BA1509-BB1509)</f>
        <v/>
      </c>
      <c r="BD1509" s="35" t="str">
        <f aca="false">IF(OR($B1509="",$A1509=""),"",DAY(EOMONTH($A1509,0))-COUNTA($F1509:$AJ1509))</f>
        <v/>
      </c>
    </row>
    <row r="1510" customFormat="false" ht="15" hidden="false" customHeight="false" outlineLevel="0" collapsed="false">
      <c r="A1510" s="32"/>
      <c r="B1510" s="29"/>
      <c r="C1510" s="10" t="str">
        <f aca="false">IF($B1510="","",IFERROR(INDEX(M_name,MATCH($B1510,M_emp,0)),"Code not found"))</f>
        <v/>
      </c>
      <c r="D1510" s="10" t="str">
        <f aca="false">IF($B1510="","",IFERROR(INDEX(M_dept,MATCH($B1510,M_emp,0)),""))</f>
        <v/>
      </c>
      <c r="E1510" s="10" t="str">
        <f aca="false">IF($B1510="","",IFERROR(INDEX(M_loc,MATCH($B1510,M_emp,0)),""))</f>
        <v/>
      </c>
      <c r="F1510" s="33"/>
      <c r="G1510" s="33"/>
      <c r="H1510" s="33"/>
      <c r="I1510" s="33"/>
      <c r="J1510" s="33"/>
      <c r="K1510" s="33"/>
      <c r="L1510" s="33"/>
      <c r="M1510" s="33"/>
      <c r="N1510" s="33"/>
      <c r="O1510" s="33"/>
      <c r="P1510" s="33"/>
      <c r="Q1510" s="33"/>
      <c r="R1510" s="33"/>
      <c r="S1510" s="33"/>
      <c r="T1510" s="33"/>
      <c r="U1510" s="33"/>
      <c r="V1510" s="33"/>
      <c r="W1510" s="33"/>
      <c r="X1510" s="33"/>
      <c r="Y1510" s="33"/>
      <c r="Z1510" s="33"/>
      <c r="AA1510" s="33"/>
      <c r="AB1510" s="33"/>
      <c r="AC1510" s="33"/>
      <c r="AD1510" s="33"/>
      <c r="AE1510" s="33"/>
      <c r="AF1510" s="33"/>
      <c r="AG1510" s="33"/>
      <c r="AH1510" s="33"/>
      <c r="AI1510" s="33"/>
      <c r="AJ1510" s="33"/>
      <c r="AK1510" s="34" t="str">
        <f aca="false">IF($B1510="","",COUNTIF($F1510:$AJ1510,"P"))</f>
        <v/>
      </c>
      <c r="AL1510" s="34" t="str">
        <f aca="false">IF($B1510="","",COUNTIF($F1510:$AJ1510,"A"))</f>
        <v/>
      </c>
      <c r="AM1510" s="34" t="str">
        <f aca="false">IF($B1510="","",COUNTIF($F1510:$AJ1510,"HA"))</f>
        <v/>
      </c>
      <c r="AN1510" s="34" t="str">
        <f aca="false">IF($B1510="","",COUNTIF($F1510:$AJ1510,"L"))</f>
        <v/>
      </c>
      <c r="AO1510" s="34" t="str">
        <f aca="false">IF($B1510="","",COUNTIF($F1510:$AJ1510,"PL"))</f>
        <v/>
      </c>
      <c r="AP1510" s="34" t="str">
        <f aca="false">IF($B1510="","",COUNTIF($F1510:$AJ1510,"CL"))</f>
        <v/>
      </c>
      <c r="AQ1510" s="34" t="str">
        <f aca="false">IF($B1510="","",COUNTIF($F1510:$AJ1510,"SL"))</f>
        <v/>
      </c>
      <c r="AR1510" s="34" t="str">
        <f aca="false">IF($B1510="","",COUNTIF($F1510:$AJ1510,"CO"))</f>
        <v/>
      </c>
      <c r="AS1510" s="34" t="str">
        <f aca="false">IF($B1510="","",COUNTIF($F1510:$AJ1510,"HPL"))</f>
        <v/>
      </c>
      <c r="AT1510" s="34" t="str">
        <f aca="false">IF($B1510="","",COUNTIF($F1510:$AJ1510,"HCL"))</f>
        <v/>
      </c>
      <c r="AU1510" s="34" t="str">
        <f aca="false">IF($B1510="","",COUNTIF($F1510:$AJ1510,"WO"))</f>
        <v/>
      </c>
      <c r="AV1510" s="34" t="str">
        <f aca="false">IF($B1510="","",COUNTIF($F1510:$AJ1510,"PH"))</f>
        <v/>
      </c>
      <c r="AW1510" s="34" t="str">
        <f aca="false">IF($B1510="","",COUNTIF($F1510:$AJ1510,"TR"))</f>
        <v/>
      </c>
      <c r="AX1510" s="35" t="str">
        <f aca="false">IF($B1510="","",AO1510+AS1510/2)</f>
        <v/>
      </c>
      <c r="AY1510" s="35" t="str">
        <f aca="false">IF($B1510="","",AQ1510)</f>
        <v/>
      </c>
      <c r="AZ1510" s="35" t="str">
        <f aca="false">IF($B1510="","",AP1510+AT1510/2)</f>
        <v/>
      </c>
      <c r="BA1510" s="35" t="str">
        <f aca="false">IF($B1510="","",AK1510+AN1510+AM1510/2+AO1510+AP1510+AQ1510+AR1510+AS1510+AT1510+AU1510+AV1510+AW1510)</f>
        <v/>
      </c>
      <c r="BB1510" s="35" t="str">
        <f aca="false">IF($B1510="","",MAX(0,AN1510-Settings!$C$16)*Settings!$C$17)</f>
        <v/>
      </c>
      <c r="BC1510" s="35" t="str">
        <f aca="false">IF($B1510="","",BA1510-BB1510)</f>
        <v/>
      </c>
      <c r="BD1510" s="35" t="str">
        <f aca="false">IF(OR($B1510="",$A1510=""),"",DAY(EOMONTH($A1510,0))-COUNTA($F1510:$AJ1510))</f>
        <v/>
      </c>
    </row>
    <row r="1511" customFormat="false" ht="15" hidden="false" customHeight="false" outlineLevel="0" collapsed="false">
      <c r="A1511" s="32"/>
      <c r="B1511" s="29"/>
      <c r="C1511" s="10" t="str">
        <f aca="false">IF($B1511="","",IFERROR(INDEX(M_name,MATCH($B1511,M_emp,0)),"Code not found"))</f>
        <v/>
      </c>
      <c r="D1511" s="10" t="str">
        <f aca="false">IF($B1511="","",IFERROR(INDEX(M_dept,MATCH($B1511,M_emp,0)),""))</f>
        <v/>
      </c>
      <c r="E1511" s="10" t="str">
        <f aca="false">IF($B1511="","",IFERROR(INDEX(M_loc,MATCH($B1511,M_emp,0)),""))</f>
        <v/>
      </c>
      <c r="F1511" s="33"/>
      <c r="G1511" s="33"/>
      <c r="H1511" s="33"/>
      <c r="I1511" s="33"/>
      <c r="J1511" s="33"/>
      <c r="K1511" s="33"/>
      <c r="L1511" s="33"/>
      <c r="M1511" s="33"/>
      <c r="N1511" s="33"/>
      <c r="O1511" s="33"/>
      <c r="P1511" s="33"/>
      <c r="Q1511" s="33"/>
      <c r="R1511" s="33"/>
      <c r="S1511" s="33"/>
      <c r="T1511" s="33"/>
      <c r="U1511" s="33"/>
      <c r="V1511" s="33"/>
      <c r="W1511" s="33"/>
      <c r="X1511" s="33"/>
      <c r="Y1511" s="33"/>
      <c r="Z1511" s="33"/>
      <c r="AA1511" s="33"/>
      <c r="AB1511" s="33"/>
      <c r="AC1511" s="33"/>
      <c r="AD1511" s="33"/>
      <c r="AE1511" s="33"/>
      <c r="AF1511" s="33"/>
      <c r="AG1511" s="33"/>
      <c r="AH1511" s="33"/>
      <c r="AI1511" s="33"/>
      <c r="AJ1511" s="33"/>
      <c r="AK1511" s="34" t="str">
        <f aca="false">IF($B1511="","",COUNTIF($F1511:$AJ1511,"P"))</f>
        <v/>
      </c>
      <c r="AL1511" s="34" t="str">
        <f aca="false">IF($B1511="","",COUNTIF($F1511:$AJ1511,"A"))</f>
        <v/>
      </c>
      <c r="AM1511" s="34" t="str">
        <f aca="false">IF($B1511="","",COUNTIF($F1511:$AJ1511,"HA"))</f>
        <v/>
      </c>
      <c r="AN1511" s="34" t="str">
        <f aca="false">IF($B1511="","",COUNTIF($F1511:$AJ1511,"L"))</f>
        <v/>
      </c>
      <c r="AO1511" s="34" t="str">
        <f aca="false">IF($B1511="","",COUNTIF($F1511:$AJ1511,"PL"))</f>
        <v/>
      </c>
      <c r="AP1511" s="34" t="str">
        <f aca="false">IF($B1511="","",COUNTIF($F1511:$AJ1511,"CL"))</f>
        <v/>
      </c>
      <c r="AQ1511" s="34" t="str">
        <f aca="false">IF($B1511="","",COUNTIF($F1511:$AJ1511,"SL"))</f>
        <v/>
      </c>
      <c r="AR1511" s="34" t="str">
        <f aca="false">IF($B1511="","",COUNTIF($F1511:$AJ1511,"CO"))</f>
        <v/>
      </c>
      <c r="AS1511" s="34" t="str">
        <f aca="false">IF($B1511="","",COUNTIF($F1511:$AJ1511,"HPL"))</f>
        <v/>
      </c>
      <c r="AT1511" s="34" t="str">
        <f aca="false">IF($B1511="","",COUNTIF($F1511:$AJ1511,"HCL"))</f>
        <v/>
      </c>
      <c r="AU1511" s="34" t="str">
        <f aca="false">IF($B1511="","",COUNTIF($F1511:$AJ1511,"WO"))</f>
        <v/>
      </c>
      <c r="AV1511" s="34" t="str">
        <f aca="false">IF($B1511="","",COUNTIF($F1511:$AJ1511,"PH"))</f>
        <v/>
      </c>
      <c r="AW1511" s="34" t="str">
        <f aca="false">IF($B1511="","",COUNTIF($F1511:$AJ1511,"TR"))</f>
        <v/>
      </c>
      <c r="AX1511" s="35" t="str">
        <f aca="false">IF($B1511="","",AO1511+AS1511/2)</f>
        <v/>
      </c>
      <c r="AY1511" s="35" t="str">
        <f aca="false">IF($B1511="","",AQ1511)</f>
        <v/>
      </c>
      <c r="AZ1511" s="35" t="str">
        <f aca="false">IF($B1511="","",AP1511+AT1511/2)</f>
        <v/>
      </c>
      <c r="BA1511" s="35" t="str">
        <f aca="false">IF($B1511="","",AK1511+AN1511+AM1511/2+AO1511+AP1511+AQ1511+AR1511+AS1511+AT1511+AU1511+AV1511+AW1511)</f>
        <v/>
      </c>
      <c r="BB1511" s="35" t="str">
        <f aca="false">IF($B1511="","",MAX(0,AN1511-Settings!$C$16)*Settings!$C$17)</f>
        <v/>
      </c>
      <c r="BC1511" s="35" t="str">
        <f aca="false">IF($B1511="","",BA1511-BB1511)</f>
        <v/>
      </c>
      <c r="BD1511" s="35" t="str">
        <f aca="false">IF(OR($B1511="",$A1511=""),"",DAY(EOMONTH($A1511,0))-COUNTA($F1511:$AJ1511))</f>
        <v/>
      </c>
    </row>
    <row r="1512" customFormat="false" ht="15" hidden="false" customHeight="false" outlineLevel="0" collapsed="false">
      <c r="A1512" s="32"/>
      <c r="B1512" s="29"/>
      <c r="C1512" s="10" t="str">
        <f aca="false">IF($B1512="","",IFERROR(INDEX(M_name,MATCH($B1512,M_emp,0)),"Code not found"))</f>
        <v/>
      </c>
      <c r="D1512" s="10" t="str">
        <f aca="false">IF($B1512="","",IFERROR(INDEX(M_dept,MATCH($B1512,M_emp,0)),""))</f>
        <v/>
      </c>
      <c r="E1512" s="10" t="str">
        <f aca="false">IF($B1512="","",IFERROR(INDEX(M_loc,MATCH($B1512,M_emp,0)),""))</f>
        <v/>
      </c>
      <c r="F1512" s="33"/>
      <c r="G1512" s="33"/>
      <c r="H1512" s="33"/>
      <c r="I1512" s="33"/>
      <c r="J1512" s="33"/>
      <c r="K1512" s="33"/>
      <c r="L1512" s="33"/>
      <c r="M1512" s="33"/>
      <c r="N1512" s="33"/>
      <c r="O1512" s="33"/>
      <c r="P1512" s="33"/>
      <c r="Q1512" s="33"/>
      <c r="R1512" s="33"/>
      <c r="S1512" s="33"/>
      <c r="T1512" s="33"/>
      <c r="U1512" s="33"/>
      <c r="V1512" s="33"/>
      <c r="W1512" s="33"/>
      <c r="X1512" s="33"/>
      <c r="Y1512" s="33"/>
      <c r="Z1512" s="33"/>
      <c r="AA1512" s="33"/>
      <c r="AB1512" s="33"/>
      <c r="AC1512" s="33"/>
      <c r="AD1512" s="33"/>
      <c r="AE1512" s="33"/>
      <c r="AF1512" s="33"/>
      <c r="AG1512" s="33"/>
      <c r="AH1512" s="33"/>
      <c r="AI1512" s="33"/>
      <c r="AJ1512" s="33"/>
      <c r="AK1512" s="34" t="str">
        <f aca="false">IF($B1512="","",COUNTIF($F1512:$AJ1512,"P"))</f>
        <v/>
      </c>
      <c r="AL1512" s="34" t="str">
        <f aca="false">IF($B1512="","",COUNTIF($F1512:$AJ1512,"A"))</f>
        <v/>
      </c>
      <c r="AM1512" s="34" t="str">
        <f aca="false">IF($B1512="","",COUNTIF($F1512:$AJ1512,"HA"))</f>
        <v/>
      </c>
      <c r="AN1512" s="34" t="str">
        <f aca="false">IF($B1512="","",COUNTIF($F1512:$AJ1512,"L"))</f>
        <v/>
      </c>
      <c r="AO1512" s="34" t="str">
        <f aca="false">IF($B1512="","",COUNTIF($F1512:$AJ1512,"PL"))</f>
        <v/>
      </c>
      <c r="AP1512" s="34" t="str">
        <f aca="false">IF($B1512="","",COUNTIF($F1512:$AJ1512,"CL"))</f>
        <v/>
      </c>
      <c r="AQ1512" s="34" t="str">
        <f aca="false">IF($B1512="","",COUNTIF($F1512:$AJ1512,"SL"))</f>
        <v/>
      </c>
      <c r="AR1512" s="34" t="str">
        <f aca="false">IF($B1512="","",COUNTIF($F1512:$AJ1512,"CO"))</f>
        <v/>
      </c>
      <c r="AS1512" s="34" t="str">
        <f aca="false">IF($B1512="","",COUNTIF($F1512:$AJ1512,"HPL"))</f>
        <v/>
      </c>
      <c r="AT1512" s="34" t="str">
        <f aca="false">IF($B1512="","",COUNTIF($F1512:$AJ1512,"HCL"))</f>
        <v/>
      </c>
      <c r="AU1512" s="34" t="str">
        <f aca="false">IF($B1512="","",COUNTIF($F1512:$AJ1512,"WO"))</f>
        <v/>
      </c>
      <c r="AV1512" s="34" t="str">
        <f aca="false">IF($B1512="","",COUNTIF($F1512:$AJ1512,"PH"))</f>
        <v/>
      </c>
      <c r="AW1512" s="34" t="str">
        <f aca="false">IF($B1512="","",COUNTIF($F1512:$AJ1512,"TR"))</f>
        <v/>
      </c>
      <c r="AX1512" s="35" t="str">
        <f aca="false">IF($B1512="","",AO1512+AS1512/2)</f>
        <v/>
      </c>
      <c r="AY1512" s="35" t="str">
        <f aca="false">IF($B1512="","",AQ1512)</f>
        <v/>
      </c>
      <c r="AZ1512" s="35" t="str">
        <f aca="false">IF($B1512="","",AP1512+AT1512/2)</f>
        <v/>
      </c>
      <c r="BA1512" s="35" t="str">
        <f aca="false">IF($B1512="","",AK1512+AN1512+AM1512/2+AO1512+AP1512+AQ1512+AR1512+AS1512+AT1512+AU1512+AV1512+AW1512)</f>
        <v/>
      </c>
      <c r="BB1512" s="35" t="str">
        <f aca="false">IF($B1512="","",MAX(0,AN1512-Settings!$C$16)*Settings!$C$17)</f>
        <v/>
      </c>
      <c r="BC1512" s="35" t="str">
        <f aca="false">IF($B1512="","",BA1512-BB1512)</f>
        <v/>
      </c>
      <c r="BD1512" s="35" t="str">
        <f aca="false">IF(OR($B1512="",$A1512=""),"",DAY(EOMONTH($A1512,0))-COUNTA($F1512:$AJ1512))</f>
        <v/>
      </c>
    </row>
    <row r="1513" customFormat="false" ht="15" hidden="false" customHeight="false" outlineLevel="0" collapsed="false">
      <c r="A1513" s="32"/>
      <c r="B1513" s="29"/>
      <c r="C1513" s="10" t="str">
        <f aca="false">IF($B1513="","",IFERROR(INDEX(M_name,MATCH($B1513,M_emp,0)),"Code not found"))</f>
        <v/>
      </c>
      <c r="D1513" s="10" t="str">
        <f aca="false">IF($B1513="","",IFERROR(INDEX(M_dept,MATCH($B1513,M_emp,0)),""))</f>
        <v/>
      </c>
      <c r="E1513" s="10" t="str">
        <f aca="false">IF($B1513="","",IFERROR(INDEX(M_loc,MATCH($B1513,M_emp,0)),""))</f>
        <v/>
      </c>
      <c r="F1513" s="33"/>
      <c r="G1513" s="33"/>
      <c r="H1513" s="33"/>
      <c r="I1513" s="33"/>
      <c r="J1513" s="33"/>
      <c r="K1513" s="33"/>
      <c r="L1513" s="33"/>
      <c r="M1513" s="33"/>
      <c r="N1513" s="33"/>
      <c r="O1513" s="33"/>
      <c r="P1513" s="33"/>
      <c r="Q1513" s="33"/>
      <c r="R1513" s="33"/>
      <c r="S1513" s="33"/>
      <c r="T1513" s="33"/>
      <c r="U1513" s="33"/>
      <c r="V1513" s="33"/>
      <c r="W1513" s="33"/>
      <c r="X1513" s="33"/>
      <c r="Y1513" s="33"/>
      <c r="Z1513" s="33"/>
      <c r="AA1513" s="33"/>
      <c r="AB1513" s="33"/>
      <c r="AC1513" s="33"/>
      <c r="AD1513" s="33"/>
      <c r="AE1513" s="33"/>
      <c r="AF1513" s="33"/>
      <c r="AG1513" s="33"/>
      <c r="AH1513" s="33"/>
      <c r="AI1513" s="33"/>
      <c r="AJ1513" s="33"/>
      <c r="AK1513" s="34" t="str">
        <f aca="false">IF($B1513="","",COUNTIF($F1513:$AJ1513,"P"))</f>
        <v/>
      </c>
      <c r="AL1513" s="34" t="str">
        <f aca="false">IF($B1513="","",COUNTIF($F1513:$AJ1513,"A"))</f>
        <v/>
      </c>
      <c r="AM1513" s="34" t="str">
        <f aca="false">IF($B1513="","",COUNTIF($F1513:$AJ1513,"HA"))</f>
        <v/>
      </c>
      <c r="AN1513" s="34" t="str">
        <f aca="false">IF($B1513="","",COUNTIF($F1513:$AJ1513,"L"))</f>
        <v/>
      </c>
      <c r="AO1513" s="34" t="str">
        <f aca="false">IF($B1513="","",COUNTIF($F1513:$AJ1513,"PL"))</f>
        <v/>
      </c>
      <c r="AP1513" s="34" t="str">
        <f aca="false">IF($B1513="","",COUNTIF($F1513:$AJ1513,"CL"))</f>
        <v/>
      </c>
      <c r="AQ1513" s="34" t="str">
        <f aca="false">IF($B1513="","",COUNTIF($F1513:$AJ1513,"SL"))</f>
        <v/>
      </c>
      <c r="AR1513" s="34" t="str">
        <f aca="false">IF($B1513="","",COUNTIF($F1513:$AJ1513,"CO"))</f>
        <v/>
      </c>
      <c r="AS1513" s="34" t="str">
        <f aca="false">IF($B1513="","",COUNTIF($F1513:$AJ1513,"HPL"))</f>
        <v/>
      </c>
      <c r="AT1513" s="34" t="str">
        <f aca="false">IF($B1513="","",COUNTIF($F1513:$AJ1513,"HCL"))</f>
        <v/>
      </c>
      <c r="AU1513" s="34" t="str">
        <f aca="false">IF($B1513="","",COUNTIF($F1513:$AJ1513,"WO"))</f>
        <v/>
      </c>
      <c r="AV1513" s="34" t="str">
        <f aca="false">IF($B1513="","",COUNTIF($F1513:$AJ1513,"PH"))</f>
        <v/>
      </c>
      <c r="AW1513" s="34" t="str">
        <f aca="false">IF($B1513="","",COUNTIF($F1513:$AJ1513,"TR"))</f>
        <v/>
      </c>
      <c r="AX1513" s="35" t="str">
        <f aca="false">IF($B1513="","",AO1513+AS1513/2)</f>
        <v/>
      </c>
      <c r="AY1513" s="35" t="str">
        <f aca="false">IF($B1513="","",AQ1513)</f>
        <v/>
      </c>
      <c r="AZ1513" s="35" t="str">
        <f aca="false">IF($B1513="","",AP1513+AT1513/2)</f>
        <v/>
      </c>
      <c r="BA1513" s="35" t="str">
        <f aca="false">IF($B1513="","",AK1513+AN1513+AM1513/2+AO1513+AP1513+AQ1513+AR1513+AS1513+AT1513+AU1513+AV1513+AW1513)</f>
        <v/>
      </c>
      <c r="BB1513" s="35" t="str">
        <f aca="false">IF($B1513="","",MAX(0,AN1513-Settings!$C$16)*Settings!$C$17)</f>
        <v/>
      </c>
      <c r="BC1513" s="35" t="str">
        <f aca="false">IF($B1513="","",BA1513-BB1513)</f>
        <v/>
      </c>
      <c r="BD1513" s="35" t="str">
        <f aca="false">IF(OR($B1513="",$A1513=""),"",DAY(EOMONTH($A1513,0))-COUNTA($F1513:$AJ1513))</f>
        <v/>
      </c>
    </row>
    <row r="1514" customFormat="false" ht="15" hidden="false" customHeight="false" outlineLevel="0" collapsed="false">
      <c r="A1514" s="32"/>
      <c r="B1514" s="29"/>
      <c r="C1514" s="10" t="str">
        <f aca="false">IF($B1514="","",IFERROR(INDEX(M_name,MATCH($B1514,M_emp,0)),"Code not found"))</f>
        <v/>
      </c>
      <c r="D1514" s="10" t="str">
        <f aca="false">IF($B1514="","",IFERROR(INDEX(M_dept,MATCH($B1514,M_emp,0)),""))</f>
        <v/>
      </c>
      <c r="E1514" s="10" t="str">
        <f aca="false">IF($B1514="","",IFERROR(INDEX(M_loc,MATCH($B1514,M_emp,0)),""))</f>
        <v/>
      </c>
      <c r="F1514" s="33"/>
      <c r="G1514" s="33"/>
      <c r="H1514" s="33"/>
      <c r="I1514" s="33"/>
      <c r="J1514" s="33"/>
      <c r="K1514" s="33"/>
      <c r="L1514" s="33"/>
      <c r="M1514" s="33"/>
      <c r="N1514" s="33"/>
      <c r="O1514" s="33"/>
      <c r="P1514" s="33"/>
      <c r="Q1514" s="33"/>
      <c r="R1514" s="33"/>
      <c r="S1514" s="33"/>
      <c r="T1514" s="33"/>
      <c r="U1514" s="33"/>
      <c r="V1514" s="33"/>
      <c r="W1514" s="33"/>
      <c r="X1514" s="33"/>
      <c r="Y1514" s="33"/>
      <c r="Z1514" s="33"/>
      <c r="AA1514" s="33"/>
      <c r="AB1514" s="33"/>
      <c r="AC1514" s="33"/>
      <c r="AD1514" s="33"/>
      <c r="AE1514" s="33"/>
      <c r="AF1514" s="33"/>
      <c r="AG1514" s="33"/>
      <c r="AH1514" s="33"/>
      <c r="AI1514" s="33"/>
      <c r="AJ1514" s="33"/>
      <c r="AK1514" s="34" t="str">
        <f aca="false">IF($B1514="","",COUNTIF($F1514:$AJ1514,"P"))</f>
        <v/>
      </c>
      <c r="AL1514" s="34" t="str">
        <f aca="false">IF($B1514="","",COUNTIF($F1514:$AJ1514,"A"))</f>
        <v/>
      </c>
      <c r="AM1514" s="34" t="str">
        <f aca="false">IF($B1514="","",COUNTIF($F1514:$AJ1514,"HA"))</f>
        <v/>
      </c>
      <c r="AN1514" s="34" t="str">
        <f aca="false">IF($B1514="","",COUNTIF($F1514:$AJ1514,"L"))</f>
        <v/>
      </c>
      <c r="AO1514" s="34" t="str">
        <f aca="false">IF($B1514="","",COUNTIF($F1514:$AJ1514,"PL"))</f>
        <v/>
      </c>
      <c r="AP1514" s="34" t="str">
        <f aca="false">IF($B1514="","",COUNTIF($F1514:$AJ1514,"CL"))</f>
        <v/>
      </c>
      <c r="AQ1514" s="34" t="str">
        <f aca="false">IF($B1514="","",COUNTIF($F1514:$AJ1514,"SL"))</f>
        <v/>
      </c>
      <c r="AR1514" s="34" t="str">
        <f aca="false">IF($B1514="","",COUNTIF($F1514:$AJ1514,"CO"))</f>
        <v/>
      </c>
      <c r="AS1514" s="34" t="str">
        <f aca="false">IF($B1514="","",COUNTIF($F1514:$AJ1514,"HPL"))</f>
        <v/>
      </c>
      <c r="AT1514" s="34" t="str">
        <f aca="false">IF($B1514="","",COUNTIF($F1514:$AJ1514,"HCL"))</f>
        <v/>
      </c>
      <c r="AU1514" s="34" t="str">
        <f aca="false">IF($B1514="","",COUNTIF($F1514:$AJ1514,"WO"))</f>
        <v/>
      </c>
      <c r="AV1514" s="34" t="str">
        <f aca="false">IF($B1514="","",COUNTIF($F1514:$AJ1514,"PH"))</f>
        <v/>
      </c>
      <c r="AW1514" s="34" t="str">
        <f aca="false">IF($B1514="","",COUNTIF($F1514:$AJ1514,"TR"))</f>
        <v/>
      </c>
      <c r="AX1514" s="35" t="str">
        <f aca="false">IF($B1514="","",AO1514+AS1514/2)</f>
        <v/>
      </c>
      <c r="AY1514" s="35" t="str">
        <f aca="false">IF($B1514="","",AQ1514)</f>
        <v/>
      </c>
      <c r="AZ1514" s="35" t="str">
        <f aca="false">IF($B1514="","",AP1514+AT1514/2)</f>
        <v/>
      </c>
      <c r="BA1514" s="35" t="str">
        <f aca="false">IF($B1514="","",AK1514+AN1514+AM1514/2+AO1514+AP1514+AQ1514+AR1514+AS1514+AT1514+AU1514+AV1514+AW1514)</f>
        <v/>
      </c>
      <c r="BB1514" s="35" t="str">
        <f aca="false">IF($B1514="","",MAX(0,AN1514-Settings!$C$16)*Settings!$C$17)</f>
        <v/>
      </c>
      <c r="BC1514" s="35" t="str">
        <f aca="false">IF($B1514="","",BA1514-BB1514)</f>
        <v/>
      </c>
      <c r="BD1514" s="35" t="str">
        <f aca="false">IF(OR($B1514="",$A1514=""),"",DAY(EOMONTH($A1514,0))-COUNTA($F1514:$AJ1514))</f>
        <v/>
      </c>
    </row>
    <row r="1515" customFormat="false" ht="15" hidden="false" customHeight="false" outlineLevel="0" collapsed="false">
      <c r="A1515" s="32"/>
      <c r="B1515" s="29"/>
      <c r="C1515" s="10" t="str">
        <f aca="false">IF($B1515="","",IFERROR(INDEX(M_name,MATCH($B1515,M_emp,0)),"Code not found"))</f>
        <v/>
      </c>
      <c r="D1515" s="10" t="str">
        <f aca="false">IF($B1515="","",IFERROR(INDEX(M_dept,MATCH($B1515,M_emp,0)),""))</f>
        <v/>
      </c>
      <c r="E1515" s="10" t="str">
        <f aca="false">IF($B1515="","",IFERROR(INDEX(M_loc,MATCH($B1515,M_emp,0)),""))</f>
        <v/>
      </c>
      <c r="F1515" s="33"/>
      <c r="G1515" s="33"/>
      <c r="H1515" s="33"/>
      <c r="I1515" s="33"/>
      <c r="J1515" s="33"/>
      <c r="K1515" s="33"/>
      <c r="L1515" s="33"/>
      <c r="M1515" s="33"/>
      <c r="N1515" s="33"/>
      <c r="O1515" s="33"/>
      <c r="P1515" s="33"/>
      <c r="Q1515" s="33"/>
      <c r="R1515" s="33"/>
      <c r="S1515" s="33"/>
      <c r="T1515" s="33"/>
      <c r="U1515" s="33"/>
      <c r="V1515" s="33"/>
      <c r="W1515" s="33"/>
      <c r="X1515" s="33"/>
      <c r="Y1515" s="33"/>
      <c r="Z1515" s="33"/>
      <c r="AA1515" s="33"/>
      <c r="AB1515" s="33"/>
      <c r="AC1515" s="33"/>
      <c r="AD1515" s="33"/>
      <c r="AE1515" s="33"/>
      <c r="AF1515" s="33"/>
      <c r="AG1515" s="33"/>
      <c r="AH1515" s="33"/>
      <c r="AI1515" s="33"/>
      <c r="AJ1515" s="33"/>
      <c r="AK1515" s="34" t="str">
        <f aca="false">IF($B1515="","",COUNTIF($F1515:$AJ1515,"P"))</f>
        <v/>
      </c>
      <c r="AL1515" s="34" t="str">
        <f aca="false">IF($B1515="","",COUNTIF($F1515:$AJ1515,"A"))</f>
        <v/>
      </c>
      <c r="AM1515" s="34" t="str">
        <f aca="false">IF($B1515="","",COUNTIF($F1515:$AJ1515,"HA"))</f>
        <v/>
      </c>
      <c r="AN1515" s="34" t="str">
        <f aca="false">IF($B1515="","",COUNTIF($F1515:$AJ1515,"L"))</f>
        <v/>
      </c>
      <c r="AO1515" s="34" t="str">
        <f aca="false">IF($B1515="","",COUNTIF($F1515:$AJ1515,"PL"))</f>
        <v/>
      </c>
      <c r="AP1515" s="34" t="str">
        <f aca="false">IF($B1515="","",COUNTIF($F1515:$AJ1515,"CL"))</f>
        <v/>
      </c>
      <c r="AQ1515" s="34" t="str">
        <f aca="false">IF($B1515="","",COUNTIF($F1515:$AJ1515,"SL"))</f>
        <v/>
      </c>
      <c r="AR1515" s="34" t="str">
        <f aca="false">IF($B1515="","",COUNTIF($F1515:$AJ1515,"CO"))</f>
        <v/>
      </c>
      <c r="AS1515" s="34" t="str">
        <f aca="false">IF($B1515="","",COUNTIF($F1515:$AJ1515,"HPL"))</f>
        <v/>
      </c>
      <c r="AT1515" s="34" t="str">
        <f aca="false">IF($B1515="","",COUNTIF($F1515:$AJ1515,"HCL"))</f>
        <v/>
      </c>
      <c r="AU1515" s="34" t="str">
        <f aca="false">IF($B1515="","",COUNTIF($F1515:$AJ1515,"WO"))</f>
        <v/>
      </c>
      <c r="AV1515" s="34" t="str">
        <f aca="false">IF($B1515="","",COUNTIF($F1515:$AJ1515,"PH"))</f>
        <v/>
      </c>
      <c r="AW1515" s="34" t="str">
        <f aca="false">IF($B1515="","",COUNTIF($F1515:$AJ1515,"TR"))</f>
        <v/>
      </c>
      <c r="AX1515" s="35" t="str">
        <f aca="false">IF($B1515="","",AO1515+AS1515/2)</f>
        <v/>
      </c>
      <c r="AY1515" s="35" t="str">
        <f aca="false">IF($B1515="","",AQ1515)</f>
        <v/>
      </c>
      <c r="AZ1515" s="35" t="str">
        <f aca="false">IF($B1515="","",AP1515+AT1515/2)</f>
        <v/>
      </c>
      <c r="BA1515" s="35" t="str">
        <f aca="false">IF($B1515="","",AK1515+AN1515+AM1515/2+AO1515+AP1515+AQ1515+AR1515+AS1515+AT1515+AU1515+AV1515+AW1515)</f>
        <v/>
      </c>
      <c r="BB1515" s="35" t="str">
        <f aca="false">IF($B1515="","",MAX(0,AN1515-Settings!$C$16)*Settings!$C$17)</f>
        <v/>
      </c>
      <c r="BC1515" s="35" t="str">
        <f aca="false">IF($B1515="","",BA1515-BB1515)</f>
        <v/>
      </c>
      <c r="BD1515" s="35" t="str">
        <f aca="false">IF(OR($B1515="",$A1515=""),"",DAY(EOMONTH($A1515,0))-COUNTA($F1515:$AJ1515))</f>
        <v/>
      </c>
    </row>
    <row r="1516" customFormat="false" ht="15" hidden="false" customHeight="false" outlineLevel="0" collapsed="false">
      <c r="A1516" s="32"/>
      <c r="B1516" s="29"/>
      <c r="C1516" s="10" t="str">
        <f aca="false">IF($B1516="","",IFERROR(INDEX(M_name,MATCH($B1516,M_emp,0)),"Code not found"))</f>
        <v/>
      </c>
      <c r="D1516" s="10" t="str">
        <f aca="false">IF($B1516="","",IFERROR(INDEX(M_dept,MATCH($B1516,M_emp,0)),""))</f>
        <v/>
      </c>
      <c r="E1516" s="10" t="str">
        <f aca="false">IF($B1516="","",IFERROR(INDEX(M_loc,MATCH($B1516,M_emp,0)),""))</f>
        <v/>
      </c>
      <c r="F1516" s="33"/>
      <c r="G1516" s="33"/>
      <c r="H1516" s="33"/>
      <c r="I1516" s="33"/>
      <c r="J1516" s="33"/>
      <c r="K1516" s="33"/>
      <c r="L1516" s="33"/>
      <c r="M1516" s="33"/>
      <c r="N1516" s="33"/>
      <c r="O1516" s="33"/>
      <c r="P1516" s="33"/>
      <c r="Q1516" s="33"/>
      <c r="R1516" s="33"/>
      <c r="S1516" s="33"/>
      <c r="T1516" s="33"/>
      <c r="U1516" s="33"/>
      <c r="V1516" s="33"/>
      <c r="W1516" s="33"/>
      <c r="X1516" s="33"/>
      <c r="Y1516" s="33"/>
      <c r="Z1516" s="33"/>
      <c r="AA1516" s="33"/>
      <c r="AB1516" s="33"/>
      <c r="AC1516" s="33"/>
      <c r="AD1516" s="33"/>
      <c r="AE1516" s="33"/>
      <c r="AF1516" s="33"/>
      <c r="AG1516" s="33"/>
      <c r="AH1516" s="33"/>
      <c r="AI1516" s="33"/>
      <c r="AJ1516" s="33"/>
      <c r="AK1516" s="34" t="str">
        <f aca="false">IF($B1516="","",COUNTIF($F1516:$AJ1516,"P"))</f>
        <v/>
      </c>
      <c r="AL1516" s="34" t="str">
        <f aca="false">IF($B1516="","",COUNTIF($F1516:$AJ1516,"A"))</f>
        <v/>
      </c>
      <c r="AM1516" s="34" t="str">
        <f aca="false">IF($B1516="","",COUNTIF($F1516:$AJ1516,"HA"))</f>
        <v/>
      </c>
      <c r="AN1516" s="34" t="str">
        <f aca="false">IF($B1516="","",COUNTIF($F1516:$AJ1516,"L"))</f>
        <v/>
      </c>
      <c r="AO1516" s="34" t="str">
        <f aca="false">IF($B1516="","",COUNTIF($F1516:$AJ1516,"PL"))</f>
        <v/>
      </c>
      <c r="AP1516" s="34" t="str">
        <f aca="false">IF($B1516="","",COUNTIF($F1516:$AJ1516,"CL"))</f>
        <v/>
      </c>
      <c r="AQ1516" s="34" t="str">
        <f aca="false">IF($B1516="","",COUNTIF($F1516:$AJ1516,"SL"))</f>
        <v/>
      </c>
      <c r="AR1516" s="34" t="str">
        <f aca="false">IF($B1516="","",COUNTIF($F1516:$AJ1516,"CO"))</f>
        <v/>
      </c>
      <c r="AS1516" s="34" t="str">
        <f aca="false">IF($B1516="","",COUNTIF($F1516:$AJ1516,"HPL"))</f>
        <v/>
      </c>
      <c r="AT1516" s="34" t="str">
        <f aca="false">IF($B1516="","",COUNTIF($F1516:$AJ1516,"HCL"))</f>
        <v/>
      </c>
      <c r="AU1516" s="34" t="str">
        <f aca="false">IF($B1516="","",COUNTIF($F1516:$AJ1516,"WO"))</f>
        <v/>
      </c>
      <c r="AV1516" s="34" t="str">
        <f aca="false">IF($B1516="","",COUNTIF($F1516:$AJ1516,"PH"))</f>
        <v/>
      </c>
      <c r="AW1516" s="34" t="str">
        <f aca="false">IF($B1516="","",COUNTIF($F1516:$AJ1516,"TR"))</f>
        <v/>
      </c>
      <c r="AX1516" s="35" t="str">
        <f aca="false">IF($B1516="","",AO1516+AS1516/2)</f>
        <v/>
      </c>
      <c r="AY1516" s="35" t="str">
        <f aca="false">IF($B1516="","",AQ1516)</f>
        <v/>
      </c>
      <c r="AZ1516" s="35" t="str">
        <f aca="false">IF($B1516="","",AP1516+AT1516/2)</f>
        <v/>
      </c>
      <c r="BA1516" s="35" t="str">
        <f aca="false">IF($B1516="","",AK1516+AN1516+AM1516/2+AO1516+AP1516+AQ1516+AR1516+AS1516+AT1516+AU1516+AV1516+AW1516)</f>
        <v/>
      </c>
      <c r="BB1516" s="35" t="str">
        <f aca="false">IF($B1516="","",MAX(0,AN1516-Settings!$C$16)*Settings!$C$17)</f>
        <v/>
      </c>
      <c r="BC1516" s="35" t="str">
        <f aca="false">IF($B1516="","",BA1516-BB1516)</f>
        <v/>
      </c>
      <c r="BD1516" s="35" t="str">
        <f aca="false">IF(OR($B1516="",$A1516=""),"",DAY(EOMONTH($A1516,0))-COUNTA($F1516:$AJ1516))</f>
        <v/>
      </c>
    </row>
    <row r="1517" customFormat="false" ht="15" hidden="false" customHeight="false" outlineLevel="0" collapsed="false">
      <c r="A1517" s="32"/>
      <c r="B1517" s="29"/>
      <c r="C1517" s="10" t="str">
        <f aca="false">IF($B1517="","",IFERROR(INDEX(M_name,MATCH($B1517,M_emp,0)),"Code not found"))</f>
        <v/>
      </c>
      <c r="D1517" s="10" t="str">
        <f aca="false">IF($B1517="","",IFERROR(INDEX(M_dept,MATCH($B1517,M_emp,0)),""))</f>
        <v/>
      </c>
      <c r="E1517" s="10" t="str">
        <f aca="false">IF($B1517="","",IFERROR(INDEX(M_loc,MATCH($B1517,M_emp,0)),""))</f>
        <v/>
      </c>
      <c r="F1517" s="33"/>
      <c r="G1517" s="33"/>
      <c r="H1517" s="33"/>
      <c r="I1517" s="33"/>
      <c r="J1517" s="33"/>
      <c r="K1517" s="33"/>
      <c r="L1517" s="33"/>
      <c r="M1517" s="33"/>
      <c r="N1517" s="33"/>
      <c r="O1517" s="33"/>
      <c r="P1517" s="33"/>
      <c r="Q1517" s="33"/>
      <c r="R1517" s="33"/>
      <c r="S1517" s="33"/>
      <c r="T1517" s="33"/>
      <c r="U1517" s="33"/>
      <c r="V1517" s="33"/>
      <c r="W1517" s="33"/>
      <c r="X1517" s="33"/>
      <c r="Y1517" s="33"/>
      <c r="Z1517" s="33"/>
      <c r="AA1517" s="33"/>
      <c r="AB1517" s="33"/>
      <c r="AC1517" s="33"/>
      <c r="AD1517" s="33"/>
      <c r="AE1517" s="33"/>
      <c r="AF1517" s="33"/>
      <c r="AG1517" s="33"/>
      <c r="AH1517" s="33"/>
      <c r="AI1517" s="33"/>
      <c r="AJ1517" s="33"/>
      <c r="AK1517" s="34" t="str">
        <f aca="false">IF($B1517="","",COUNTIF($F1517:$AJ1517,"P"))</f>
        <v/>
      </c>
      <c r="AL1517" s="34" t="str">
        <f aca="false">IF($B1517="","",COUNTIF($F1517:$AJ1517,"A"))</f>
        <v/>
      </c>
      <c r="AM1517" s="34" t="str">
        <f aca="false">IF($B1517="","",COUNTIF($F1517:$AJ1517,"HA"))</f>
        <v/>
      </c>
      <c r="AN1517" s="34" t="str">
        <f aca="false">IF($B1517="","",COUNTIF($F1517:$AJ1517,"L"))</f>
        <v/>
      </c>
      <c r="AO1517" s="34" t="str">
        <f aca="false">IF($B1517="","",COUNTIF($F1517:$AJ1517,"PL"))</f>
        <v/>
      </c>
      <c r="AP1517" s="34" t="str">
        <f aca="false">IF($B1517="","",COUNTIF($F1517:$AJ1517,"CL"))</f>
        <v/>
      </c>
      <c r="AQ1517" s="34" t="str">
        <f aca="false">IF($B1517="","",COUNTIF($F1517:$AJ1517,"SL"))</f>
        <v/>
      </c>
      <c r="AR1517" s="34" t="str">
        <f aca="false">IF($B1517="","",COUNTIF($F1517:$AJ1517,"CO"))</f>
        <v/>
      </c>
      <c r="AS1517" s="34" t="str">
        <f aca="false">IF($B1517="","",COUNTIF($F1517:$AJ1517,"HPL"))</f>
        <v/>
      </c>
      <c r="AT1517" s="34" t="str">
        <f aca="false">IF($B1517="","",COUNTIF($F1517:$AJ1517,"HCL"))</f>
        <v/>
      </c>
      <c r="AU1517" s="34" t="str">
        <f aca="false">IF($B1517="","",COUNTIF($F1517:$AJ1517,"WO"))</f>
        <v/>
      </c>
      <c r="AV1517" s="34" t="str">
        <f aca="false">IF($B1517="","",COUNTIF($F1517:$AJ1517,"PH"))</f>
        <v/>
      </c>
      <c r="AW1517" s="34" t="str">
        <f aca="false">IF($B1517="","",COUNTIF($F1517:$AJ1517,"TR"))</f>
        <v/>
      </c>
      <c r="AX1517" s="35" t="str">
        <f aca="false">IF($B1517="","",AO1517+AS1517/2)</f>
        <v/>
      </c>
      <c r="AY1517" s="35" t="str">
        <f aca="false">IF($B1517="","",AQ1517)</f>
        <v/>
      </c>
      <c r="AZ1517" s="35" t="str">
        <f aca="false">IF($B1517="","",AP1517+AT1517/2)</f>
        <v/>
      </c>
      <c r="BA1517" s="35" t="str">
        <f aca="false">IF($B1517="","",AK1517+AN1517+AM1517/2+AO1517+AP1517+AQ1517+AR1517+AS1517+AT1517+AU1517+AV1517+AW1517)</f>
        <v/>
      </c>
      <c r="BB1517" s="35" t="str">
        <f aca="false">IF($B1517="","",MAX(0,AN1517-Settings!$C$16)*Settings!$C$17)</f>
        <v/>
      </c>
      <c r="BC1517" s="35" t="str">
        <f aca="false">IF($B1517="","",BA1517-BB1517)</f>
        <v/>
      </c>
      <c r="BD1517" s="35" t="str">
        <f aca="false">IF(OR($B1517="",$A1517=""),"",DAY(EOMONTH($A1517,0))-COUNTA($F1517:$AJ1517))</f>
        <v/>
      </c>
    </row>
    <row r="1518" customFormat="false" ht="15" hidden="false" customHeight="false" outlineLevel="0" collapsed="false">
      <c r="A1518" s="32"/>
      <c r="B1518" s="29"/>
      <c r="C1518" s="10" t="str">
        <f aca="false">IF($B1518="","",IFERROR(INDEX(M_name,MATCH($B1518,M_emp,0)),"Code not found"))</f>
        <v/>
      </c>
      <c r="D1518" s="10" t="str">
        <f aca="false">IF($B1518="","",IFERROR(INDEX(M_dept,MATCH($B1518,M_emp,0)),""))</f>
        <v/>
      </c>
      <c r="E1518" s="10" t="str">
        <f aca="false">IF($B1518="","",IFERROR(INDEX(M_loc,MATCH($B1518,M_emp,0)),""))</f>
        <v/>
      </c>
      <c r="F1518" s="33"/>
      <c r="G1518" s="33"/>
      <c r="H1518" s="33"/>
      <c r="I1518" s="33"/>
      <c r="J1518" s="33"/>
      <c r="K1518" s="33"/>
      <c r="L1518" s="33"/>
      <c r="M1518" s="33"/>
      <c r="N1518" s="33"/>
      <c r="O1518" s="33"/>
      <c r="P1518" s="33"/>
      <c r="Q1518" s="33"/>
      <c r="R1518" s="33"/>
      <c r="S1518" s="33"/>
      <c r="T1518" s="33"/>
      <c r="U1518" s="33"/>
      <c r="V1518" s="33"/>
      <c r="W1518" s="33"/>
      <c r="X1518" s="33"/>
      <c r="Y1518" s="33"/>
      <c r="Z1518" s="33"/>
      <c r="AA1518" s="33"/>
      <c r="AB1518" s="33"/>
      <c r="AC1518" s="33"/>
      <c r="AD1518" s="33"/>
      <c r="AE1518" s="33"/>
      <c r="AF1518" s="33"/>
      <c r="AG1518" s="33"/>
      <c r="AH1518" s="33"/>
      <c r="AI1518" s="33"/>
      <c r="AJ1518" s="33"/>
      <c r="AK1518" s="34" t="str">
        <f aca="false">IF($B1518="","",COUNTIF($F1518:$AJ1518,"P"))</f>
        <v/>
      </c>
      <c r="AL1518" s="34" t="str">
        <f aca="false">IF($B1518="","",COUNTIF($F1518:$AJ1518,"A"))</f>
        <v/>
      </c>
      <c r="AM1518" s="34" t="str">
        <f aca="false">IF($B1518="","",COUNTIF($F1518:$AJ1518,"HA"))</f>
        <v/>
      </c>
      <c r="AN1518" s="34" t="str">
        <f aca="false">IF($B1518="","",COUNTIF($F1518:$AJ1518,"L"))</f>
        <v/>
      </c>
      <c r="AO1518" s="34" t="str">
        <f aca="false">IF($B1518="","",COUNTIF($F1518:$AJ1518,"PL"))</f>
        <v/>
      </c>
      <c r="AP1518" s="34" t="str">
        <f aca="false">IF($B1518="","",COUNTIF($F1518:$AJ1518,"CL"))</f>
        <v/>
      </c>
      <c r="AQ1518" s="34" t="str">
        <f aca="false">IF($B1518="","",COUNTIF($F1518:$AJ1518,"SL"))</f>
        <v/>
      </c>
      <c r="AR1518" s="34" t="str">
        <f aca="false">IF($B1518="","",COUNTIF($F1518:$AJ1518,"CO"))</f>
        <v/>
      </c>
      <c r="AS1518" s="34" t="str">
        <f aca="false">IF($B1518="","",COUNTIF($F1518:$AJ1518,"HPL"))</f>
        <v/>
      </c>
      <c r="AT1518" s="34" t="str">
        <f aca="false">IF($B1518="","",COUNTIF($F1518:$AJ1518,"HCL"))</f>
        <v/>
      </c>
      <c r="AU1518" s="34" t="str">
        <f aca="false">IF($B1518="","",COUNTIF($F1518:$AJ1518,"WO"))</f>
        <v/>
      </c>
      <c r="AV1518" s="34" t="str">
        <f aca="false">IF($B1518="","",COUNTIF($F1518:$AJ1518,"PH"))</f>
        <v/>
      </c>
      <c r="AW1518" s="34" t="str">
        <f aca="false">IF($B1518="","",COUNTIF($F1518:$AJ1518,"TR"))</f>
        <v/>
      </c>
      <c r="AX1518" s="35" t="str">
        <f aca="false">IF($B1518="","",AO1518+AS1518/2)</f>
        <v/>
      </c>
      <c r="AY1518" s="35" t="str">
        <f aca="false">IF($B1518="","",AQ1518)</f>
        <v/>
      </c>
      <c r="AZ1518" s="35" t="str">
        <f aca="false">IF($B1518="","",AP1518+AT1518/2)</f>
        <v/>
      </c>
      <c r="BA1518" s="35" t="str">
        <f aca="false">IF($B1518="","",AK1518+AN1518+AM1518/2+AO1518+AP1518+AQ1518+AR1518+AS1518+AT1518+AU1518+AV1518+AW1518)</f>
        <v/>
      </c>
      <c r="BB1518" s="35" t="str">
        <f aca="false">IF($B1518="","",MAX(0,AN1518-Settings!$C$16)*Settings!$C$17)</f>
        <v/>
      </c>
      <c r="BC1518" s="35" t="str">
        <f aca="false">IF($B1518="","",BA1518-BB1518)</f>
        <v/>
      </c>
      <c r="BD1518" s="35" t="str">
        <f aca="false">IF(OR($B1518="",$A1518=""),"",DAY(EOMONTH($A1518,0))-COUNTA($F1518:$AJ1518))</f>
        <v/>
      </c>
    </row>
    <row r="1519" customFormat="false" ht="15" hidden="false" customHeight="false" outlineLevel="0" collapsed="false">
      <c r="A1519" s="32"/>
      <c r="B1519" s="29"/>
      <c r="C1519" s="10" t="str">
        <f aca="false">IF($B1519="","",IFERROR(INDEX(M_name,MATCH($B1519,M_emp,0)),"Code not found"))</f>
        <v/>
      </c>
      <c r="D1519" s="10" t="str">
        <f aca="false">IF($B1519="","",IFERROR(INDEX(M_dept,MATCH($B1519,M_emp,0)),""))</f>
        <v/>
      </c>
      <c r="E1519" s="10" t="str">
        <f aca="false">IF($B1519="","",IFERROR(INDEX(M_loc,MATCH($B1519,M_emp,0)),""))</f>
        <v/>
      </c>
      <c r="F1519" s="33"/>
      <c r="G1519" s="33"/>
      <c r="H1519" s="33"/>
      <c r="I1519" s="33"/>
      <c r="J1519" s="33"/>
      <c r="K1519" s="33"/>
      <c r="L1519" s="33"/>
      <c r="M1519" s="33"/>
      <c r="N1519" s="33"/>
      <c r="O1519" s="33"/>
      <c r="P1519" s="33"/>
      <c r="Q1519" s="33"/>
      <c r="R1519" s="33"/>
      <c r="S1519" s="33"/>
      <c r="T1519" s="33"/>
      <c r="U1519" s="33"/>
      <c r="V1519" s="33"/>
      <c r="W1519" s="33"/>
      <c r="X1519" s="33"/>
      <c r="Y1519" s="33"/>
      <c r="Z1519" s="33"/>
      <c r="AA1519" s="33"/>
      <c r="AB1519" s="33"/>
      <c r="AC1519" s="33"/>
      <c r="AD1519" s="33"/>
      <c r="AE1519" s="33"/>
      <c r="AF1519" s="33"/>
      <c r="AG1519" s="33"/>
      <c r="AH1519" s="33"/>
      <c r="AI1519" s="33"/>
      <c r="AJ1519" s="33"/>
      <c r="AK1519" s="34" t="str">
        <f aca="false">IF($B1519="","",COUNTIF($F1519:$AJ1519,"P"))</f>
        <v/>
      </c>
      <c r="AL1519" s="34" t="str">
        <f aca="false">IF($B1519="","",COUNTIF($F1519:$AJ1519,"A"))</f>
        <v/>
      </c>
      <c r="AM1519" s="34" t="str">
        <f aca="false">IF($B1519="","",COUNTIF($F1519:$AJ1519,"HA"))</f>
        <v/>
      </c>
      <c r="AN1519" s="34" t="str">
        <f aca="false">IF($B1519="","",COUNTIF($F1519:$AJ1519,"L"))</f>
        <v/>
      </c>
      <c r="AO1519" s="34" t="str">
        <f aca="false">IF($B1519="","",COUNTIF($F1519:$AJ1519,"PL"))</f>
        <v/>
      </c>
      <c r="AP1519" s="34" t="str">
        <f aca="false">IF($B1519="","",COUNTIF($F1519:$AJ1519,"CL"))</f>
        <v/>
      </c>
      <c r="AQ1519" s="34" t="str">
        <f aca="false">IF($B1519="","",COUNTIF($F1519:$AJ1519,"SL"))</f>
        <v/>
      </c>
      <c r="AR1519" s="34" t="str">
        <f aca="false">IF($B1519="","",COUNTIF($F1519:$AJ1519,"CO"))</f>
        <v/>
      </c>
      <c r="AS1519" s="34" t="str">
        <f aca="false">IF($B1519="","",COUNTIF($F1519:$AJ1519,"HPL"))</f>
        <v/>
      </c>
      <c r="AT1519" s="34" t="str">
        <f aca="false">IF($B1519="","",COUNTIF($F1519:$AJ1519,"HCL"))</f>
        <v/>
      </c>
      <c r="AU1519" s="34" t="str">
        <f aca="false">IF($B1519="","",COUNTIF($F1519:$AJ1519,"WO"))</f>
        <v/>
      </c>
      <c r="AV1519" s="34" t="str">
        <f aca="false">IF($B1519="","",COUNTIF($F1519:$AJ1519,"PH"))</f>
        <v/>
      </c>
      <c r="AW1519" s="34" t="str">
        <f aca="false">IF($B1519="","",COUNTIF($F1519:$AJ1519,"TR"))</f>
        <v/>
      </c>
      <c r="AX1519" s="35" t="str">
        <f aca="false">IF($B1519="","",AO1519+AS1519/2)</f>
        <v/>
      </c>
      <c r="AY1519" s="35" t="str">
        <f aca="false">IF($B1519="","",AQ1519)</f>
        <v/>
      </c>
      <c r="AZ1519" s="35" t="str">
        <f aca="false">IF($B1519="","",AP1519+AT1519/2)</f>
        <v/>
      </c>
      <c r="BA1519" s="35" t="str">
        <f aca="false">IF($B1519="","",AK1519+AN1519+AM1519/2+AO1519+AP1519+AQ1519+AR1519+AS1519+AT1519+AU1519+AV1519+AW1519)</f>
        <v/>
      </c>
      <c r="BB1519" s="35" t="str">
        <f aca="false">IF($B1519="","",MAX(0,AN1519-Settings!$C$16)*Settings!$C$17)</f>
        <v/>
      </c>
      <c r="BC1519" s="35" t="str">
        <f aca="false">IF($B1519="","",BA1519-BB1519)</f>
        <v/>
      </c>
      <c r="BD1519" s="35" t="str">
        <f aca="false">IF(OR($B1519="",$A1519=""),"",DAY(EOMONTH($A1519,0))-COUNTA($F1519:$AJ1519))</f>
        <v/>
      </c>
    </row>
    <row r="1520" customFormat="false" ht="15" hidden="false" customHeight="false" outlineLevel="0" collapsed="false">
      <c r="A1520" s="32"/>
      <c r="B1520" s="29"/>
      <c r="C1520" s="10" t="str">
        <f aca="false">IF($B1520="","",IFERROR(INDEX(M_name,MATCH($B1520,M_emp,0)),"Code not found"))</f>
        <v/>
      </c>
      <c r="D1520" s="10" t="str">
        <f aca="false">IF($B1520="","",IFERROR(INDEX(M_dept,MATCH($B1520,M_emp,0)),""))</f>
        <v/>
      </c>
      <c r="E1520" s="10" t="str">
        <f aca="false">IF($B1520="","",IFERROR(INDEX(M_loc,MATCH($B1520,M_emp,0)),""))</f>
        <v/>
      </c>
      <c r="F1520" s="33"/>
      <c r="G1520" s="33"/>
      <c r="H1520" s="33"/>
      <c r="I1520" s="33"/>
      <c r="J1520" s="33"/>
      <c r="K1520" s="33"/>
      <c r="L1520" s="33"/>
      <c r="M1520" s="33"/>
      <c r="N1520" s="33"/>
      <c r="O1520" s="33"/>
      <c r="P1520" s="33"/>
      <c r="Q1520" s="33"/>
      <c r="R1520" s="33"/>
      <c r="S1520" s="33"/>
      <c r="T1520" s="33"/>
      <c r="U1520" s="33"/>
      <c r="V1520" s="33"/>
      <c r="W1520" s="33"/>
      <c r="X1520" s="33"/>
      <c r="Y1520" s="33"/>
      <c r="Z1520" s="33"/>
      <c r="AA1520" s="33"/>
      <c r="AB1520" s="33"/>
      <c r="AC1520" s="33"/>
      <c r="AD1520" s="33"/>
      <c r="AE1520" s="33"/>
      <c r="AF1520" s="33"/>
      <c r="AG1520" s="33"/>
      <c r="AH1520" s="33"/>
      <c r="AI1520" s="33"/>
      <c r="AJ1520" s="33"/>
      <c r="AK1520" s="34" t="str">
        <f aca="false">IF($B1520="","",COUNTIF($F1520:$AJ1520,"P"))</f>
        <v/>
      </c>
      <c r="AL1520" s="34" t="str">
        <f aca="false">IF($B1520="","",COUNTIF($F1520:$AJ1520,"A"))</f>
        <v/>
      </c>
      <c r="AM1520" s="34" t="str">
        <f aca="false">IF($B1520="","",COUNTIF($F1520:$AJ1520,"HA"))</f>
        <v/>
      </c>
      <c r="AN1520" s="34" t="str">
        <f aca="false">IF($B1520="","",COUNTIF($F1520:$AJ1520,"L"))</f>
        <v/>
      </c>
      <c r="AO1520" s="34" t="str">
        <f aca="false">IF($B1520="","",COUNTIF($F1520:$AJ1520,"PL"))</f>
        <v/>
      </c>
      <c r="AP1520" s="34" t="str">
        <f aca="false">IF($B1520="","",COUNTIF($F1520:$AJ1520,"CL"))</f>
        <v/>
      </c>
      <c r="AQ1520" s="34" t="str">
        <f aca="false">IF($B1520="","",COUNTIF($F1520:$AJ1520,"SL"))</f>
        <v/>
      </c>
      <c r="AR1520" s="34" t="str">
        <f aca="false">IF($B1520="","",COUNTIF($F1520:$AJ1520,"CO"))</f>
        <v/>
      </c>
      <c r="AS1520" s="34" t="str">
        <f aca="false">IF($B1520="","",COUNTIF($F1520:$AJ1520,"HPL"))</f>
        <v/>
      </c>
      <c r="AT1520" s="34" t="str">
        <f aca="false">IF($B1520="","",COUNTIF($F1520:$AJ1520,"HCL"))</f>
        <v/>
      </c>
      <c r="AU1520" s="34" t="str">
        <f aca="false">IF($B1520="","",COUNTIF($F1520:$AJ1520,"WO"))</f>
        <v/>
      </c>
      <c r="AV1520" s="34" t="str">
        <f aca="false">IF($B1520="","",COUNTIF($F1520:$AJ1520,"PH"))</f>
        <v/>
      </c>
      <c r="AW1520" s="34" t="str">
        <f aca="false">IF($B1520="","",COUNTIF($F1520:$AJ1520,"TR"))</f>
        <v/>
      </c>
      <c r="AX1520" s="35" t="str">
        <f aca="false">IF($B1520="","",AO1520+AS1520/2)</f>
        <v/>
      </c>
      <c r="AY1520" s="35" t="str">
        <f aca="false">IF($B1520="","",AQ1520)</f>
        <v/>
      </c>
      <c r="AZ1520" s="35" t="str">
        <f aca="false">IF($B1520="","",AP1520+AT1520/2)</f>
        <v/>
      </c>
      <c r="BA1520" s="35" t="str">
        <f aca="false">IF($B1520="","",AK1520+AN1520+AM1520/2+AO1520+AP1520+AQ1520+AR1520+AS1520+AT1520+AU1520+AV1520+AW1520)</f>
        <v/>
      </c>
      <c r="BB1520" s="35" t="str">
        <f aca="false">IF($B1520="","",MAX(0,AN1520-Settings!$C$16)*Settings!$C$17)</f>
        <v/>
      </c>
      <c r="BC1520" s="35" t="str">
        <f aca="false">IF($B1520="","",BA1520-BB1520)</f>
        <v/>
      </c>
      <c r="BD1520" s="35" t="str">
        <f aca="false">IF(OR($B1520="",$A1520=""),"",DAY(EOMONTH($A1520,0))-COUNTA($F1520:$AJ1520))</f>
        <v/>
      </c>
    </row>
    <row r="1521" customFormat="false" ht="15" hidden="false" customHeight="false" outlineLevel="0" collapsed="false">
      <c r="A1521" s="32"/>
      <c r="B1521" s="29"/>
      <c r="C1521" s="10" t="str">
        <f aca="false">IF($B1521="","",IFERROR(INDEX(M_name,MATCH($B1521,M_emp,0)),"Code not found"))</f>
        <v/>
      </c>
      <c r="D1521" s="10" t="str">
        <f aca="false">IF($B1521="","",IFERROR(INDEX(M_dept,MATCH($B1521,M_emp,0)),""))</f>
        <v/>
      </c>
      <c r="E1521" s="10" t="str">
        <f aca="false">IF($B1521="","",IFERROR(INDEX(M_loc,MATCH($B1521,M_emp,0)),""))</f>
        <v/>
      </c>
      <c r="F1521" s="33"/>
      <c r="G1521" s="33"/>
      <c r="H1521" s="33"/>
      <c r="I1521" s="33"/>
      <c r="J1521" s="33"/>
      <c r="K1521" s="33"/>
      <c r="L1521" s="33"/>
      <c r="M1521" s="33"/>
      <c r="N1521" s="33"/>
      <c r="O1521" s="33"/>
      <c r="P1521" s="33"/>
      <c r="Q1521" s="33"/>
      <c r="R1521" s="33"/>
      <c r="S1521" s="33"/>
      <c r="T1521" s="33"/>
      <c r="U1521" s="33"/>
      <c r="V1521" s="33"/>
      <c r="W1521" s="33"/>
      <c r="X1521" s="33"/>
      <c r="Y1521" s="33"/>
      <c r="Z1521" s="33"/>
      <c r="AA1521" s="33"/>
      <c r="AB1521" s="33"/>
      <c r="AC1521" s="33"/>
      <c r="AD1521" s="33"/>
      <c r="AE1521" s="33"/>
      <c r="AF1521" s="33"/>
      <c r="AG1521" s="33"/>
      <c r="AH1521" s="33"/>
      <c r="AI1521" s="33"/>
      <c r="AJ1521" s="33"/>
      <c r="AK1521" s="34" t="str">
        <f aca="false">IF($B1521="","",COUNTIF($F1521:$AJ1521,"P"))</f>
        <v/>
      </c>
      <c r="AL1521" s="34" t="str">
        <f aca="false">IF($B1521="","",COUNTIF($F1521:$AJ1521,"A"))</f>
        <v/>
      </c>
      <c r="AM1521" s="34" t="str">
        <f aca="false">IF($B1521="","",COUNTIF($F1521:$AJ1521,"HA"))</f>
        <v/>
      </c>
      <c r="AN1521" s="34" t="str">
        <f aca="false">IF($B1521="","",COUNTIF($F1521:$AJ1521,"L"))</f>
        <v/>
      </c>
      <c r="AO1521" s="34" t="str">
        <f aca="false">IF($B1521="","",COUNTIF($F1521:$AJ1521,"PL"))</f>
        <v/>
      </c>
      <c r="AP1521" s="34" t="str">
        <f aca="false">IF($B1521="","",COUNTIF($F1521:$AJ1521,"CL"))</f>
        <v/>
      </c>
      <c r="AQ1521" s="34" t="str">
        <f aca="false">IF($B1521="","",COUNTIF($F1521:$AJ1521,"SL"))</f>
        <v/>
      </c>
      <c r="AR1521" s="34" t="str">
        <f aca="false">IF($B1521="","",COUNTIF($F1521:$AJ1521,"CO"))</f>
        <v/>
      </c>
      <c r="AS1521" s="34" t="str">
        <f aca="false">IF($B1521="","",COUNTIF($F1521:$AJ1521,"HPL"))</f>
        <v/>
      </c>
      <c r="AT1521" s="34" t="str">
        <f aca="false">IF($B1521="","",COUNTIF($F1521:$AJ1521,"HCL"))</f>
        <v/>
      </c>
      <c r="AU1521" s="34" t="str">
        <f aca="false">IF($B1521="","",COUNTIF($F1521:$AJ1521,"WO"))</f>
        <v/>
      </c>
      <c r="AV1521" s="34" t="str">
        <f aca="false">IF($B1521="","",COUNTIF($F1521:$AJ1521,"PH"))</f>
        <v/>
      </c>
      <c r="AW1521" s="34" t="str">
        <f aca="false">IF($B1521="","",COUNTIF($F1521:$AJ1521,"TR"))</f>
        <v/>
      </c>
      <c r="AX1521" s="35" t="str">
        <f aca="false">IF($B1521="","",AO1521+AS1521/2)</f>
        <v/>
      </c>
      <c r="AY1521" s="35" t="str">
        <f aca="false">IF($B1521="","",AQ1521)</f>
        <v/>
      </c>
      <c r="AZ1521" s="35" t="str">
        <f aca="false">IF($B1521="","",AP1521+AT1521/2)</f>
        <v/>
      </c>
      <c r="BA1521" s="35" t="str">
        <f aca="false">IF($B1521="","",AK1521+AN1521+AM1521/2+AO1521+AP1521+AQ1521+AR1521+AS1521+AT1521+AU1521+AV1521+AW1521)</f>
        <v/>
      </c>
      <c r="BB1521" s="35" t="str">
        <f aca="false">IF($B1521="","",MAX(0,AN1521-Settings!$C$16)*Settings!$C$17)</f>
        <v/>
      </c>
      <c r="BC1521" s="35" t="str">
        <f aca="false">IF($B1521="","",BA1521-BB1521)</f>
        <v/>
      </c>
      <c r="BD1521" s="35" t="str">
        <f aca="false">IF(OR($B1521="",$A1521=""),"",DAY(EOMONTH($A1521,0))-COUNTA($F1521:$AJ1521))</f>
        <v/>
      </c>
    </row>
    <row r="1522" customFormat="false" ht="15" hidden="false" customHeight="false" outlineLevel="0" collapsed="false">
      <c r="A1522" s="32"/>
      <c r="B1522" s="29"/>
      <c r="C1522" s="10" t="str">
        <f aca="false">IF($B1522="","",IFERROR(INDEX(M_name,MATCH($B1522,M_emp,0)),"Code not found"))</f>
        <v/>
      </c>
      <c r="D1522" s="10" t="str">
        <f aca="false">IF($B1522="","",IFERROR(INDEX(M_dept,MATCH($B1522,M_emp,0)),""))</f>
        <v/>
      </c>
      <c r="E1522" s="10" t="str">
        <f aca="false">IF($B1522="","",IFERROR(INDEX(M_loc,MATCH($B1522,M_emp,0)),""))</f>
        <v/>
      </c>
      <c r="F1522" s="33"/>
      <c r="G1522" s="33"/>
      <c r="H1522" s="33"/>
      <c r="I1522" s="33"/>
      <c r="J1522" s="33"/>
      <c r="K1522" s="33"/>
      <c r="L1522" s="33"/>
      <c r="M1522" s="33"/>
      <c r="N1522" s="33"/>
      <c r="O1522" s="33"/>
      <c r="P1522" s="33"/>
      <c r="Q1522" s="33"/>
      <c r="R1522" s="33"/>
      <c r="S1522" s="33"/>
      <c r="T1522" s="33"/>
      <c r="U1522" s="33"/>
      <c r="V1522" s="33"/>
      <c r="W1522" s="33"/>
      <c r="X1522" s="33"/>
      <c r="Y1522" s="33"/>
      <c r="Z1522" s="33"/>
      <c r="AA1522" s="33"/>
      <c r="AB1522" s="33"/>
      <c r="AC1522" s="33"/>
      <c r="AD1522" s="33"/>
      <c r="AE1522" s="33"/>
      <c r="AF1522" s="33"/>
      <c r="AG1522" s="33"/>
      <c r="AH1522" s="33"/>
      <c r="AI1522" s="33"/>
      <c r="AJ1522" s="33"/>
      <c r="AK1522" s="34" t="str">
        <f aca="false">IF($B1522="","",COUNTIF($F1522:$AJ1522,"P"))</f>
        <v/>
      </c>
      <c r="AL1522" s="34" t="str">
        <f aca="false">IF($B1522="","",COUNTIF($F1522:$AJ1522,"A"))</f>
        <v/>
      </c>
      <c r="AM1522" s="34" t="str">
        <f aca="false">IF($B1522="","",COUNTIF($F1522:$AJ1522,"HA"))</f>
        <v/>
      </c>
      <c r="AN1522" s="34" t="str">
        <f aca="false">IF($B1522="","",COUNTIF($F1522:$AJ1522,"L"))</f>
        <v/>
      </c>
      <c r="AO1522" s="34" t="str">
        <f aca="false">IF($B1522="","",COUNTIF($F1522:$AJ1522,"PL"))</f>
        <v/>
      </c>
      <c r="AP1522" s="34" t="str">
        <f aca="false">IF($B1522="","",COUNTIF($F1522:$AJ1522,"CL"))</f>
        <v/>
      </c>
      <c r="AQ1522" s="34" t="str">
        <f aca="false">IF($B1522="","",COUNTIF($F1522:$AJ1522,"SL"))</f>
        <v/>
      </c>
      <c r="AR1522" s="34" t="str">
        <f aca="false">IF($B1522="","",COUNTIF($F1522:$AJ1522,"CO"))</f>
        <v/>
      </c>
      <c r="AS1522" s="34" t="str">
        <f aca="false">IF($B1522="","",COUNTIF($F1522:$AJ1522,"HPL"))</f>
        <v/>
      </c>
      <c r="AT1522" s="34" t="str">
        <f aca="false">IF($B1522="","",COUNTIF($F1522:$AJ1522,"HCL"))</f>
        <v/>
      </c>
      <c r="AU1522" s="34" t="str">
        <f aca="false">IF($B1522="","",COUNTIF($F1522:$AJ1522,"WO"))</f>
        <v/>
      </c>
      <c r="AV1522" s="34" t="str">
        <f aca="false">IF($B1522="","",COUNTIF($F1522:$AJ1522,"PH"))</f>
        <v/>
      </c>
      <c r="AW1522" s="34" t="str">
        <f aca="false">IF($B1522="","",COUNTIF($F1522:$AJ1522,"TR"))</f>
        <v/>
      </c>
      <c r="AX1522" s="35" t="str">
        <f aca="false">IF($B1522="","",AO1522+AS1522/2)</f>
        <v/>
      </c>
      <c r="AY1522" s="35" t="str">
        <f aca="false">IF($B1522="","",AQ1522)</f>
        <v/>
      </c>
      <c r="AZ1522" s="35" t="str">
        <f aca="false">IF($B1522="","",AP1522+AT1522/2)</f>
        <v/>
      </c>
      <c r="BA1522" s="35" t="str">
        <f aca="false">IF($B1522="","",AK1522+AN1522+AM1522/2+AO1522+AP1522+AQ1522+AR1522+AS1522+AT1522+AU1522+AV1522+AW1522)</f>
        <v/>
      </c>
      <c r="BB1522" s="35" t="str">
        <f aca="false">IF($B1522="","",MAX(0,AN1522-Settings!$C$16)*Settings!$C$17)</f>
        <v/>
      </c>
      <c r="BC1522" s="35" t="str">
        <f aca="false">IF($B1522="","",BA1522-BB1522)</f>
        <v/>
      </c>
      <c r="BD1522" s="35" t="str">
        <f aca="false">IF(OR($B1522="",$A1522=""),"",DAY(EOMONTH($A1522,0))-COUNTA($F1522:$AJ1522))</f>
        <v/>
      </c>
    </row>
    <row r="1523" customFormat="false" ht="15" hidden="false" customHeight="false" outlineLevel="0" collapsed="false">
      <c r="A1523" s="32"/>
      <c r="B1523" s="29"/>
      <c r="C1523" s="10" t="str">
        <f aca="false">IF($B1523="","",IFERROR(INDEX(M_name,MATCH($B1523,M_emp,0)),"Code not found"))</f>
        <v/>
      </c>
      <c r="D1523" s="10" t="str">
        <f aca="false">IF($B1523="","",IFERROR(INDEX(M_dept,MATCH($B1523,M_emp,0)),""))</f>
        <v/>
      </c>
      <c r="E1523" s="10" t="str">
        <f aca="false">IF($B1523="","",IFERROR(INDEX(M_loc,MATCH($B1523,M_emp,0)),""))</f>
        <v/>
      </c>
      <c r="F1523" s="33"/>
      <c r="G1523" s="33"/>
      <c r="H1523" s="33"/>
      <c r="I1523" s="33"/>
      <c r="J1523" s="33"/>
      <c r="K1523" s="33"/>
      <c r="L1523" s="33"/>
      <c r="M1523" s="33"/>
      <c r="N1523" s="33"/>
      <c r="O1523" s="33"/>
      <c r="P1523" s="33"/>
      <c r="Q1523" s="33"/>
      <c r="R1523" s="33"/>
      <c r="S1523" s="33"/>
      <c r="T1523" s="33"/>
      <c r="U1523" s="33"/>
      <c r="V1523" s="33"/>
      <c r="W1523" s="33"/>
      <c r="X1523" s="33"/>
      <c r="Y1523" s="33"/>
      <c r="Z1523" s="33"/>
      <c r="AA1523" s="33"/>
      <c r="AB1523" s="33"/>
      <c r="AC1523" s="33"/>
      <c r="AD1523" s="33"/>
      <c r="AE1523" s="33"/>
      <c r="AF1523" s="33"/>
      <c r="AG1523" s="33"/>
      <c r="AH1523" s="33"/>
      <c r="AI1523" s="33"/>
      <c r="AJ1523" s="33"/>
      <c r="AK1523" s="34" t="str">
        <f aca="false">IF($B1523="","",COUNTIF($F1523:$AJ1523,"P"))</f>
        <v/>
      </c>
      <c r="AL1523" s="34" t="str">
        <f aca="false">IF($B1523="","",COUNTIF($F1523:$AJ1523,"A"))</f>
        <v/>
      </c>
      <c r="AM1523" s="34" t="str">
        <f aca="false">IF($B1523="","",COUNTIF($F1523:$AJ1523,"HA"))</f>
        <v/>
      </c>
      <c r="AN1523" s="34" t="str">
        <f aca="false">IF($B1523="","",COUNTIF($F1523:$AJ1523,"L"))</f>
        <v/>
      </c>
      <c r="AO1523" s="34" t="str">
        <f aca="false">IF($B1523="","",COUNTIF($F1523:$AJ1523,"PL"))</f>
        <v/>
      </c>
      <c r="AP1523" s="34" t="str">
        <f aca="false">IF($B1523="","",COUNTIF($F1523:$AJ1523,"CL"))</f>
        <v/>
      </c>
      <c r="AQ1523" s="34" t="str">
        <f aca="false">IF($B1523="","",COUNTIF($F1523:$AJ1523,"SL"))</f>
        <v/>
      </c>
      <c r="AR1523" s="34" t="str">
        <f aca="false">IF($B1523="","",COUNTIF($F1523:$AJ1523,"CO"))</f>
        <v/>
      </c>
      <c r="AS1523" s="34" t="str">
        <f aca="false">IF($B1523="","",COUNTIF($F1523:$AJ1523,"HPL"))</f>
        <v/>
      </c>
      <c r="AT1523" s="34" t="str">
        <f aca="false">IF($B1523="","",COUNTIF($F1523:$AJ1523,"HCL"))</f>
        <v/>
      </c>
      <c r="AU1523" s="34" t="str">
        <f aca="false">IF($B1523="","",COUNTIF($F1523:$AJ1523,"WO"))</f>
        <v/>
      </c>
      <c r="AV1523" s="34" t="str">
        <f aca="false">IF($B1523="","",COUNTIF($F1523:$AJ1523,"PH"))</f>
        <v/>
      </c>
      <c r="AW1523" s="34" t="str">
        <f aca="false">IF($B1523="","",COUNTIF($F1523:$AJ1523,"TR"))</f>
        <v/>
      </c>
      <c r="AX1523" s="35" t="str">
        <f aca="false">IF($B1523="","",AO1523+AS1523/2)</f>
        <v/>
      </c>
      <c r="AY1523" s="35" t="str">
        <f aca="false">IF($B1523="","",AQ1523)</f>
        <v/>
      </c>
      <c r="AZ1523" s="35" t="str">
        <f aca="false">IF($B1523="","",AP1523+AT1523/2)</f>
        <v/>
      </c>
      <c r="BA1523" s="35" t="str">
        <f aca="false">IF($B1523="","",AK1523+AN1523+AM1523/2+AO1523+AP1523+AQ1523+AR1523+AS1523+AT1523+AU1523+AV1523+AW1523)</f>
        <v/>
      </c>
      <c r="BB1523" s="35" t="str">
        <f aca="false">IF($B1523="","",MAX(0,AN1523-Settings!$C$16)*Settings!$C$17)</f>
        <v/>
      </c>
      <c r="BC1523" s="35" t="str">
        <f aca="false">IF($B1523="","",BA1523-BB1523)</f>
        <v/>
      </c>
      <c r="BD1523" s="35" t="str">
        <f aca="false">IF(OR($B1523="",$A1523=""),"",DAY(EOMONTH($A1523,0))-COUNTA($F1523:$AJ1523))</f>
        <v/>
      </c>
    </row>
    <row r="1524" customFormat="false" ht="15" hidden="false" customHeight="false" outlineLevel="0" collapsed="false">
      <c r="A1524" s="32"/>
      <c r="B1524" s="29"/>
      <c r="C1524" s="10" t="str">
        <f aca="false">IF($B1524="","",IFERROR(INDEX(M_name,MATCH($B1524,M_emp,0)),"Code not found"))</f>
        <v/>
      </c>
      <c r="D1524" s="10" t="str">
        <f aca="false">IF($B1524="","",IFERROR(INDEX(M_dept,MATCH($B1524,M_emp,0)),""))</f>
        <v/>
      </c>
      <c r="E1524" s="10" t="str">
        <f aca="false">IF($B1524="","",IFERROR(INDEX(M_loc,MATCH($B1524,M_emp,0)),""))</f>
        <v/>
      </c>
      <c r="F1524" s="33"/>
      <c r="G1524" s="33"/>
      <c r="H1524" s="33"/>
      <c r="I1524" s="33"/>
      <c r="J1524" s="33"/>
      <c r="K1524" s="33"/>
      <c r="L1524" s="33"/>
      <c r="M1524" s="33"/>
      <c r="N1524" s="33"/>
      <c r="O1524" s="33"/>
      <c r="P1524" s="33"/>
      <c r="Q1524" s="33"/>
      <c r="R1524" s="33"/>
      <c r="S1524" s="33"/>
      <c r="T1524" s="33"/>
      <c r="U1524" s="33"/>
      <c r="V1524" s="33"/>
      <c r="W1524" s="33"/>
      <c r="X1524" s="33"/>
      <c r="Y1524" s="33"/>
      <c r="Z1524" s="33"/>
      <c r="AA1524" s="33"/>
      <c r="AB1524" s="33"/>
      <c r="AC1524" s="33"/>
      <c r="AD1524" s="33"/>
      <c r="AE1524" s="33"/>
      <c r="AF1524" s="33"/>
      <c r="AG1524" s="33"/>
      <c r="AH1524" s="33"/>
      <c r="AI1524" s="33"/>
      <c r="AJ1524" s="33"/>
      <c r="AK1524" s="34" t="str">
        <f aca="false">IF($B1524="","",COUNTIF($F1524:$AJ1524,"P"))</f>
        <v/>
      </c>
      <c r="AL1524" s="34" t="str">
        <f aca="false">IF($B1524="","",COUNTIF($F1524:$AJ1524,"A"))</f>
        <v/>
      </c>
      <c r="AM1524" s="34" t="str">
        <f aca="false">IF($B1524="","",COUNTIF($F1524:$AJ1524,"HA"))</f>
        <v/>
      </c>
      <c r="AN1524" s="34" t="str">
        <f aca="false">IF($B1524="","",COUNTIF($F1524:$AJ1524,"L"))</f>
        <v/>
      </c>
      <c r="AO1524" s="34" t="str">
        <f aca="false">IF($B1524="","",COUNTIF($F1524:$AJ1524,"PL"))</f>
        <v/>
      </c>
      <c r="AP1524" s="34" t="str">
        <f aca="false">IF($B1524="","",COUNTIF($F1524:$AJ1524,"CL"))</f>
        <v/>
      </c>
      <c r="AQ1524" s="34" t="str">
        <f aca="false">IF($B1524="","",COUNTIF($F1524:$AJ1524,"SL"))</f>
        <v/>
      </c>
      <c r="AR1524" s="34" t="str">
        <f aca="false">IF($B1524="","",COUNTIF($F1524:$AJ1524,"CO"))</f>
        <v/>
      </c>
      <c r="AS1524" s="34" t="str">
        <f aca="false">IF($B1524="","",COUNTIF($F1524:$AJ1524,"HPL"))</f>
        <v/>
      </c>
      <c r="AT1524" s="34" t="str">
        <f aca="false">IF($B1524="","",COUNTIF($F1524:$AJ1524,"HCL"))</f>
        <v/>
      </c>
      <c r="AU1524" s="34" t="str">
        <f aca="false">IF($B1524="","",COUNTIF($F1524:$AJ1524,"WO"))</f>
        <v/>
      </c>
      <c r="AV1524" s="34" t="str">
        <f aca="false">IF($B1524="","",COUNTIF($F1524:$AJ1524,"PH"))</f>
        <v/>
      </c>
      <c r="AW1524" s="34" t="str">
        <f aca="false">IF($B1524="","",COUNTIF($F1524:$AJ1524,"TR"))</f>
        <v/>
      </c>
      <c r="AX1524" s="35" t="str">
        <f aca="false">IF($B1524="","",AO1524+AS1524/2)</f>
        <v/>
      </c>
      <c r="AY1524" s="35" t="str">
        <f aca="false">IF($B1524="","",AQ1524)</f>
        <v/>
      </c>
      <c r="AZ1524" s="35" t="str">
        <f aca="false">IF($B1524="","",AP1524+AT1524/2)</f>
        <v/>
      </c>
      <c r="BA1524" s="35" t="str">
        <f aca="false">IF($B1524="","",AK1524+AN1524+AM1524/2+AO1524+AP1524+AQ1524+AR1524+AS1524+AT1524+AU1524+AV1524+AW1524)</f>
        <v/>
      </c>
      <c r="BB1524" s="35" t="str">
        <f aca="false">IF($B1524="","",MAX(0,AN1524-Settings!$C$16)*Settings!$C$17)</f>
        <v/>
      </c>
      <c r="BC1524" s="35" t="str">
        <f aca="false">IF($B1524="","",BA1524-BB1524)</f>
        <v/>
      </c>
      <c r="BD1524" s="35" t="str">
        <f aca="false">IF(OR($B1524="",$A1524=""),"",DAY(EOMONTH($A1524,0))-COUNTA($F1524:$AJ1524))</f>
        <v/>
      </c>
    </row>
    <row r="1525" customFormat="false" ht="15" hidden="false" customHeight="false" outlineLevel="0" collapsed="false">
      <c r="A1525" s="32"/>
      <c r="B1525" s="29"/>
      <c r="C1525" s="10" t="str">
        <f aca="false">IF($B1525="","",IFERROR(INDEX(M_name,MATCH($B1525,M_emp,0)),"Code not found"))</f>
        <v/>
      </c>
      <c r="D1525" s="10" t="str">
        <f aca="false">IF($B1525="","",IFERROR(INDEX(M_dept,MATCH($B1525,M_emp,0)),""))</f>
        <v/>
      </c>
      <c r="E1525" s="10" t="str">
        <f aca="false">IF($B1525="","",IFERROR(INDEX(M_loc,MATCH($B1525,M_emp,0)),""))</f>
        <v/>
      </c>
      <c r="F1525" s="33"/>
      <c r="G1525" s="33"/>
      <c r="H1525" s="33"/>
      <c r="I1525" s="33"/>
      <c r="J1525" s="33"/>
      <c r="K1525" s="33"/>
      <c r="L1525" s="33"/>
      <c r="M1525" s="33"/>
      <c r="N1525" s="33"/>
      <c r="O1525" s="33"/>
      <c r="P1525" s="33"/>
      <c r="Q1525" s="33"/>
      <c r="R1525" s="33"/>
      <c r="S1525" s="33"/>
      <c r="T1525" s="33"/>
      <c r="U1525" s="33"/>
      <c r="V1525" s="33"/>
      <c r="W1525" s="33"/>
      <c r="X1525" s="33"/>
      <c r="Y1525" s="33"/>
      <c r="Z1525" s="33"/>
      <c r="AA1525" s="33"/>
      <c r="AB1525" s="33"/>
      <c r="AC1525" s="33"/>
      <c r="AD1525" s="33"/>
      <c r="AE1525" s="33"/>
      <c r="AF1525" s="33"/>
      <c r="AG1525" s="33"/>
      <c r="AH1525" s="33"/>
      <c r="AI1525" s="33"/>
      <c r="AJ1525" s="33"/>
      <c r="AK1525" s="34" t="str">
        <f aca="false">IF($B1525="","",COUNTIF($F1525:$AJ1525,"P"))</f>
        <v/>
      </c>
      <c r="AL1525" s="34" t="str">
        <f aca="false">IF($B1525="","",COUNTIF($F1525:$AJ1525,"A"))</f>
        <v/>
      </c>
      <c r="AM1525" s="34" t="str">
        <f aca="false">IF($B1525="","",COUNTIF($F1525:$AJ1525,"HA"))</f>
        <v/>
      </c>
      <c r="AN1525" s="34" t="str">
        <f aca="false">IF($B1525="","",COUNTIF($F1525:$AJ1525,"L"))</f>
        <v/>
      </c>
      <c r="AO1525" s="34" t="str">
        <f aca="false">IF($B1525="","",COUNTIF($F1525:$AJ1525,"PL"))</f>
        <v/>
      </c>
      <c r="AP1525" s="34" t="str">
        <f aca="false">IF($B1525="","",COUNTIF($F1525:$AJ1525,"CL"))</f>
        <v/>
      </c>
      <c r="AQ1525" s="34" t="str">
        <f aca="false">IF($B1525="","",COUNTIF($F1525:$AJ1525,"SL"))</f>
        <v/>
      </c>
      <c r="AR1525" s="34" t="str">
        <f aca="false">IF($B1525="","",COUNTIF($F1525:$AJ1525,"CO"))</f>
        <v/>
      </c>
      <c r="AS1525" s="34" t="str">
        <f aca="false">IF($B1525="","",COUNTIF($F1525:$AJ1525,"HPL"))</f>
        <v/>
      </c>
      <c r="AT1525" s="34" t="str">
        <f aca="false">IF($B1525="","",COUNTIF($F1525:$AJ1525,"HCL"))</f>
        <v/>
      </c>
      <c r="AU1525" s="34" t="str">
        <f aca="false">IF($B1525="","",COUNTIF($F1525:$AJ1525,"WO"))</f>
        <v/>
      </c>
      <c r="AV1525" s="34" t="str">
        <f aca="false">IF($B1525="","",COUNTIF($F1525:$AJ1525,"PH"))</f>
        <v/>
      </c>
      <c r="AW1525" s="34" t="str">
        <f aca="false">IF($B1525="","",COUNTIF($F1525:$AJ1525,"TR"))</f>
        <v/>
      </c>
      <c r="AX1525" s="35" t="str">
        <f aca="false">IF($B1525="","",AO1525+AS1525/2)</f>
        <v/>
      </c>
      <c r="AY1525" s="35" t="str">
        <f aca="false">IF($B1525="","",AQ1525)</f>
        <v/>
      </c>
      <c r="AZ1525" s="35" t="str">
        <f aca="false">IF($B1525="","",AP1525+AT1525/2)</f>
        <v/>
      </c>
      <c r="BA1525" s="35" t="str">
        <f aca="false">IF($B1525="","",AK1525+AN1525+AM1525/2+AO1525+AP1525+AQ1525+AR1525+AS1525+AT1525+AU1525+AV1525+AW1525)</f>
        <v/>
      </c>
      <c r="BB1525" s="35" t="str">
        <f aca="false">IF($B1525="","",MAX(0,AN1525-Settings!$C$16)*Settings!$C$17)</f>
        <v/>
      </c>
      <c r="BC1525" s="35" t="str">
        <f aca="false">IF($B1525="","",BA1525-BB1525)</f>
        <v/>
      </c>
      <c r="BD1525" s="35" t="str">
        <f aca="false">IF(OR($B1525="",$A1525=""),"",DAY(EOMONTH($A1525,0))-COUNTA($F1525:$AJ1525))</f>
        <v/>
      </c>
    </row>
    <row r="1526" customFormat="false" ht="15" hidden="false" customHeight="false" outlineLevel="0" collapsed="false">
      <c r="A1526" s="32"/>
      <c r="B1526" s="29"/>
      <c r="C1526" s="10" t="str">
        <f aca="false">IF($B1526="","",IFERROR(INDEX(M_name,MATCH($B1526,M_emp,0)),"Code not found"))</f>
        <v/>
      </c>
      <c r="D1526" s="10" t="str">
        <f aca="false">IF($B1526="","",IFERROR(INDEX(M_dept,MATCH($B1526,M_emp,0)),""))</f>
        <v/>
      </c>
      <c r="E1526" s="10" t="str">
        <f aca="false">IF($B1526="","",IFERROR(INDEX(M_loc,MATCH($B1526,M_emp,0)),""))</f>
        <v/>
      </c>
      <c r="F1526" s="33"/>
      <c r="G1526" s="33"/>
      <c r="H1526" s="33"/>
      <c r="I1526" s="33"/>
      <c r="J1526" s="33"/>
      <c r="K1526" s="33"/>
      <c r="L1526" s="33"/>
      <c r="M1526" s="33"/>
      <c r="N1526" s="33"/>
      <c r="O1526" s="33"/>
      <c r="P1526" s="33"/>
      <c r="Q1526" s="33"/>
      <c r="R1526" s="33"/>
      <c r="S1526" s="33"/>
      <c r="T1526" s="33"/>
      <c r="U1526" s="33"/>
      <c r="V1526" s="33"/>
      <c r="W1526" s="33"/>
      <c r="X1526" s="33"/>
      <c r="Y1526" s="33"/>
      <c r="Z1526" s="33"/>
      <c r="AA1526" s="33"/>
      <c r="AB1526" s="33"/>
      <c r="AC1526" s="33"/>
      <c r="AD1526" s="33"/>
      <c r="AE1526" s="33"/>
      <c r="AF1526" s="33"/>
      <c r="AG1526" s="33"/>
      <c r="AH1526" s="33"/>
      <c r="AI1526" s="33"/>
      <c r="AJ1526" s="33"/>
      <c r="AK1526" s="34" t="str">
        <f aca="false">IF($B1526="","",COUNTIF($F1526:$AJ1526,"P"))</f>
        <v/>
      </c>
      <c r="AL1526" s="34" t="str">
        <f aca="false">IF($B1526="","",COUNTIF($F1526:$AJ1526,"A"))</f>
        <v/>
      </c>
      <c r="AM1526" s="34" t="str">
        <f aca="false">IF($B1526="","",COUNTIF($F1526:$AJ1526,"HA"))</f>
        <v/>
      </c>
      <c r="AN1526" s="34" t="str">
        <f aca="false">IF($B1526="","",COUNTIF($F1526:$AJ1526,"L"))</f>
        <v/>
      </c>
      <c r="AO1526" s="34" t="str">
        <f aca="false">IF($B1526="","",COUNTIF($F1526:$AJ1526,"PL"))</f>
        <v/>
      </c>
      <c r="AP1526" s="34" t="str">
        <f aca="false">IF($B1526="","",COUNTIF($F1526:$AJ1526,"CL"))</f>
        <v/>
      </c>
      <c r="AQ1526" s="34" t="str">
        <f aca="false">IF($B1526="","",COUNTIF($F1526:$AJ1526,"SL"))</f>
        <v/>
      </c>
      <c r="AR1526" s="34" t="str">
        <f aca="false">IF($B1526="","",COUNTIF($F1526:$AJ1526,"CO"))</f>
        <v/>
      </c>
      <c r="AS1526" s="34" t="str">
        <f aca="false">IF($B1526="","",COUNTIF($F1526:$AJ1526,"HPL"))</f>
        <v/>
      </c>
      <c r="AT1526" s="34" t="str">
        <f aca="false">IF($B1526="","",COUNTIF($F1526:$AJ1526,"HCL"))</f>
        <v/>
      </c>
      <c r="AU1526" s="34" t="str">
        <f aca="false">IF($B1526="","",COUNTIF($F1526:$AJ1526,"WO"))</f>
        <v/>
      </c>
      <c r="AV1526" s="34" t="str">
        <f aca="false">IF($B1526="","",COUNTIF($F1526:$AJ1526,"PH"))</f>
        <v/>
      </c>
      <c r="AW1526" s="34" t="str">
        <f aca="false">IF($B1526="","",COUNTIF($F1526:$AJ1526,"TR"))</f>
        <v/>
      </c>
      <c r="AX1526" s="35" t="str">
        <f aca="false">IF($B1526="","",AO1526+AS1526/2)</f>
        <v/>
      </c>
      <c r="AY1526" s="35" t="str">
        <f aca="false">IF($B1526="","",AQ1526)</f>
        <v/>
      </c>
      <c r="AZ1526" s="35" t="str">
        <f aca="false">IF($B1526="","",AP1526+AT1526/2)</f>
        <v/>
      </c>
      <c r="BA1526" s="35" t="str">
        <f aca="false">IF($B1526="","",AK1526+AN1526+AM1526/2+AO1526+AP1526+AQ1526+AR1526+AS1526+AT1526+AU1526+AV1526+AW1526)</f>
        <v/>
      </c>
      <c r="BB1526" s="35" t="str">
        <f aca="false">IF($B1526="","",MAX(0,AN1526-Settings!$C$16)*Settings!$C$17)</f>
        <v/>
      </c>
      <c r="BC1526" s="35" t="str">
        <f aca="false">IF($B1526="","",BA1526-BB1526)</f>
        <v/>
      </c>
      <c r="BD1526" s="35" t="str">
        <f aca="false">IF(OR($B1526="",$A1526=""),"",DAY(EOMONTH($A1526,0))-COUNTA($F1526:$AJ1526))</f>
        <v/>
      </c>
    </row>
    <row r="1527" customFormat="false" ht="15" hidden="false" customHeight="false" outlineLevel="0" collapsed="false">
      <c r="A1527" s="32"/>
      <c r="B1527" s="29"/>
      <c r="C1527" s="10" t="str">
        <f aca="false">IF($B1527="","",IFERROR(INDEX(M_name,MATCH($B1527,M_emp,0)),"Code not found"))</f>
        <v/>
      </c>
      <c r="D1527" s="10" t="str">
        <f aca="false">IF($B1527="","",IFERROR(INDEX(M_dept,MATCH($B1527,M_emp,0)),""))</f>
        <v/>
      </c>
      <c r="E1527" s="10" t="str">
        <f aca="false">IF($B1527="","",IFERROR(INDEX(M_loc,MATCH($B1527,M_emp,0)),""))</f>
        <v/>
      </c>
      <c r="F1527" s="33"/>
      <c r="G1527" s="33"/>
      <c r="H1527" s="33"/>
      <c r="I1527" s="33"/>
      <c r="J1527" s="33"/>
      <c r="K1527" s="33"/>
      <c r="L1527" s="33"/>
      <c r="M1527" s="33"/>
      <c r="N1527" s="33"/>
      <c r="O1527" s="33"/>
      <c r="P1527" s="33"/>
      <c r="Q1527" s="33"/>
      <c r="R1527" s="33"/>
      <c r="S1527" s="33"/>
      <c r="T1527" s="33"/>
      <c r="U1527" s="33"/>
      <c r="V1527" s="33"/>
      <c r="W1527" s="33"/>
      <c r="X1527" s="33"/>
      <c r="Y1527" s="33"/>
      <c r="Z1527" s="33"/>
      <c r="AA1527" s="33"/>
      <c r="AB1527" s="33"/>
      <c r="AC1527" s="33"/>
      <c r="AD1527" s="33"/>
      <c r="AE1527" s="33"/>
      <c r="AF1527" s="33"/>
      <c r="AG1527" s="33"/>
      <c r="AH1527" s="33"/>
      <c r="AI1527" s="33"/>
      <c r="AJ1527" s="33"/>
      <c r="AK1527" s="34" t="str">
        <f aca="false">IF($B1527="","",COUNTIF($F1527:$AJ1527,"P"))</f>
        <v/>
      </c>
      <c r="AL1527" s="34" t="str">
        <f aca="false">IF($B1527="","",COUNTIF($F1527:$AJ1527,"A"))</f>
        <v/>
      </c>
      <c r="AM1527" s="34" t="str">
        <f aca="false">IF($B1527="","",COUNTIF($F1527:$AJ1527,"HA"))</f>
        <v/>
      </c>
      <c r="AN1527" s="34" t="str">
        <f aca="false">IF($B1527="","",COUNTIF($F1527:$AJ1527,"L"))</f>
        <v/>
      </c>
      <c r="AO1527" s="34" t="str">
        <f aca="false">IF($B1527="","",COUNTIF($F1527:$AJ1527,"PL"))</f>
        <v/>
      </c>
      <c r="AP1527" s="34" t="str">
        <f aca="false">IF($B1527="","",COUNTIF($F1527:$AJ1527,"CL"))</f>
        <v/>
      </c>
      <c r="AQ1527" s="34" t="str">
        <f aca="false">IF($B1527="","",COUNTIF($F1527:$AJ1527,"SL"))</f>
        <v/>
      </c>
      <c r="AR1527" s="34" t="str">
        <f aca="false">IF($B1527="","",COUNTIF($F1527:$AJ1527,"CO"))</f>
        <v/>
      </c>
      <c r="AS1527" s="34" t="str">
        <f aca="false">IF($B1527="","",COUNTIF($F1527:$AJ1527,"HPL"))</f>
        <v/>
      </c>
      <c r="AT1527" s="34" t="str">
        <f aca="false">IF($B1527="","",COUNTIF($F1527:$AJ1527,"HCL"))</f>
        <v/>
      </c>
      <c r="AU1527" s="34" t="str">
        <f aca="false">IF($B1527="","",COUNTIF($F1527:$AJ1527,"WO"))</f>
        <v/>
      </c>
      <c r="AV1527" s="34" t="str">
        <f aca="false">IF($B1527="","",COUNTIF($F1527:$AJ1527,"PH"))</f>
        <v/>
      </c>
      <c r="AW1527" s="34" t="str">
        <f aca="false">IF($B1527="","",COUNTIF($F1527:$AJ1527,"TR"))</f>
        <v/>
      </c>
      <c r="AX1527" s="35" t="str">
        <f aca="false">IF($B1527="","",AO1527+AS1527/2)</f>
        <v/>
      </c>
      <c r="AY1527" s="35" t="str">
        <f aca="false">IF($B1527="","",AQ1527)</f>
        <v/>
      </c>
      <c r="AZ1527" s="35" t="str">
        <f aca="false">IF($B1527="","",AP1527+AT1527/2)</f>
        <v/>
      </c>
      <c r="BA1527" s="35" t="str">
        <f aca="false">IF($B1527="","",AK1527+AN1527+AM1527/2+AO1527+AP1527+AQ1527+AR1527+AS1527+AT1527+AU1527+AV1527+AW1527)</f>
        <v/>
      </c>
      <c r="BB1527" s="35" t="str">
        <f aca="false">IF($B1527="","",MAX(0,AN1527-Settings!$C$16)*Settings!$C$17)</f>
        <v/>
      </c>
      <c r="BC1527" s="35" t="str">
        <f aca="false">IF($B1527="","",BA1527-BB1527)</f>
        <v/>
      </c>
      <c r="BD1527" s="35" t="str">
        <f aca="false">IF(OR($B1527="",$A1527=""),"",DAY(EOMONTH($A1527,0))-COUNTA($F1527:$AJ1527))</f>
        <v/>
      </c>
    </row>
    <row r="1528" customFormat="false" ht="15" hidden="false" customHeight="false" outlineLevel="0" collapsed="false">
      <c r="A1528" s="32"/>
      <c r="B1528" s="29"/>
      <c r="C1528" s="10" t="str">
        <f aca="false">IF($B1528="","",IFERROR(INDEX(M_name,MATCH($B1528,M_emp,0)),"Code not found"))</f>
        <v/>
      </c>
      <c r="D1528" s="10" t="str">
        <f aca="false">IF($B1528="","",IFERROR(INDEX(M_dept,MATCH($B1528,M_emp,0)),""))</f>
        <v/>
      </c>
      <c r="E1528" s="10" t="str">
        <f aca="false">IF($B1528="","",IFERROR(INDEX(M_loc,MATCH($B1528,M_emp,0)),""))</f>
        <v/>
      </c>
      <c r="F1528" s="33"/>
      <c r="G1528" s="33"/>
      <c r="H1528" s="33"/>
      <c r="I1528" s="33"/>
      <c r="J1528" s="33"/>
      <c r="K1528" s="33"/>
      <c r="L1528" s="33"/>
      <c r="M1528" s="33"/>
      <c r="N1528" s="33"/>
      <c r="O1528" s="33"/>
      <c r="P1528" s="33"/>
      <c r="Q1528" s="33"/>
      <c r="R1528" s="33"/>
      <c r="S1528" s="33"/>
      <c r="T1528" s="33"/>
      <c r="U1528" s="33"/>
      <c r="V1528" s="33"/>
      <c r="W1528" s="33"/>
      <c r="X1528" s="33"/>
      <c r="Y1528" s="33"/>
      <c r="Z1528" s="33"/>
      <c r="AA1528" s="33"/>
      <c r="AB1528" s="33"/>
      <c r="AC1528" s="33"/>
      <c r="AD1528" s="33"/>
      <c r="AE1528" s="33"/>
      <c r="AF1528" s="33"/>
      <c r="AG1528" s="33"/>
      <c r="AH1528" s="33"/>
      <c r="AI1528" s="33"/>
      <c r="AJ1528" s="33"/>
      <c r="AK1528" s="34" t="str">
        <f aca="false">IF($B1528="","",COUNTIF($F1528:$AJ1528,"P"))</f>
        <v/>
      </c>
      <c r="AL1528" s="34" t="str">
        <f aca="false">IF($B1528="","",COUNTIF($F1528:$AJ1528,"A"))</f>
        <v/>
      </c>
      <c r="AM1528" s="34" t="str">
        <f aca="false">IF($B1528="","",COUNTIF($F1528:$AJ1528,"HA"))</f>
        <v/>
      </c>
      <c r="AN1528" s="34" t="str">
        <f aca="false">IF($B1528="","",COUNTIF($F1528:$AJ1528,"L"))</f>
        <v/>
      </c>
      <c r="AO1528" s="34" t="str">
        <f aca="false">IF($B1528="","",COUNTIF($F1528:$AJ1528,"PL"))</f>
        <v/>
      </c>
      <c r="AP1528" s="34" t="str">
        <f aca="false">IF($B1528="","",COUNTIF($F1528:$AJ1528,"CL"))</f>
        <v/>
      </c>
      <c r="AQ1528" s="34" t="str">
        <f aca="false">IF($B1528="","",COUNTIF($F1528:$AJ1528,"SL"))</f>
        <v/>
      </c>
      <c r="AR1528" s="34" t="str">
        <f aca="false">IF($B1528="","",COUNTIF($F1528:$AJ1528,"CO"))</f>
        <v/>
      </c>
      <c r="AS1528" s="34" t="str">
        <f aca="false">IF($B1528="","",COUNTIF($F1528:$AJ1528,"HPL"))</f>
        <v/>
      </c>
      <c r="AT1528" s="34" t="str">
        <f aca="false">IF($B1528="","",COUNTIF($F1528:$AJ1528,"HCL"))</f>
        <v/>
      </c>
      <c r="AU1528" s="34" t="str">
        <f aca="false">IF($B1528="","",COUNTIF($F1528:$AJ1528,"WO"))</f>
        <v/>
      </c>
      <c r="AV1528" s="34" t="str">
        <f aca="false">IF($B1528="","",COUNTIF($F1528:$AJ1528,"PH"))</f>
        <v/>
      </c>
      <c r="AW1528" s="34" t="str">
        <f aca="false">IF($B1528="","",COUNTIF($F1528:$AJ1528,"TR"))</f>
        <v/>
      </c>
      <c r="AX1528" s="35" t="str">
        <f aca="false">IF($B1528="","",AO1528+AS1528/2)</f>
        <v/>
      </c>
      <c r="AY1528" s="35" t="str">
        <f aca="false">IF($B1528="","",AQ1528)</f>
        <v/>
      </c>
      <c r="AZ1528" s="35" t="str">
        <f aca="false">IF($B1528="","",AP1528+AT1528/2)</f>
        <v/>
      </c>
      <c r="BA1528" s="35" t="str">
        <f aca="false">IF($B1528="","",AK1528+AN1528+AM1528/2+AO1528+AP1528+AQ1528+AR1528+AS1528+AT1528+AU1528+AV1528+AW1528)</f>
        <v/>
      </c>
      <c r="BB1528" s="35" t="str">
        <f aca="false">IF($B1528="","",MAX(0,AN1528-Settings!$C$16)*Settings!$C$17)</f>
        <v/>
      </c>
      <c r="BC1528" s="35" t="str">
        <f aca="false">IF($B1528="","",BA1528-BB1528)</f>
        <v/>
      </c>
      <c r="BD1528" s="35" t="str">
        <f aca="false">IF(OR($B1528="",$A1528=""),"",DAY(EOMONTH($A1528,0))-COUNTA($F1528:$AJ1528))</f>
        <v/>
      </c>
    </row>
    <row r="1529" customFormat="false" ht="15" hidden="false" customHeight="false" outlineLevel="0" collapsed="false">
      <c r="A1529" s="32"/>
      <c r="B1529" s="29"/>
      <c r="C1529" s="10" t="str">
        <f aca="false">IF($B1529="","",IFERROR(INDEX(M_name,MATCH($B1529,M_emp,0)),"Code not found"))</f>
        <v/>
      </c>
      <c r="D1529" s="10" t="str">
        <f aca="false">IF($B1529="","",IFERROR(INDEX(M_dept,MATCH($B1529,M_emp,0)),""))</f>
        <v/>
      </c>
      <c r="E1529" s="10" t="str">
        <f aca="false">IF($B1529="","",IFERROR(INDEX(M_loc,MATCH($B1529,M_emp,0)),""))</f>
        <v/>
      </c>
      <c r="F1529" s="33"/>
      <c r="G1529" s="33"/>
      <c r="H1529" s="33"/>
      <c r="I1529" s="33"/>
      <c r="J1529" s="33"/>
      <c r="K1529" s="33"/>
      <c r="L1529" s="33"/>
      <c r="M1529" s="33"/>
      <c r="N1529" s="33"/>
      <c r="O1529" s="33"/>
      <c r="P1529" s="33"/>
      <c r="Q1529" s="33"/>
      <c r="R1529" s="33"/>
      <c r="S1529" s="33"/>
      <c r="T1529" s="33"/>
      <c r="U1529" s="33"/>
      <c r="V1529" s="33"/>
      <c r="W1529" s="33"/>
      <c r="X1529" s="33"/>
      <c r="Y1529" s="33"/>
      <c r="Z1529" s="33"/>
      <c r="AA1529" s="33"/>
      <c r="AB1529" s="33"/>
      <c r="AC1529" s="33"/>
      <c r="AD1529" s="33"/>
      <c r="AE1529" s="33"/>
      <c r="AF1529" s="33"/>
      <c r="AG1529" s="33"/>
      <c r="AH1529" s="33"/>
      <c r="AI1529" s="33"/>
      <c r="AJ1529" s="33"/>
      <c r="AK1529" s="34" t="str">
        <f aca="false">IF($B1529="","",COUNTIF($F1529:$AJ1529,"P"))</f>
        <v/>
      </c>
      <c r="AL1529" s="34" t="str">
        <f aca="false">IF($B1529="","",COUNTIF($F1529:$AJ1529,"A"))</f>
        <v/>
      </c>
      <c r="AM1529" s="34" t="str">
        <f aca="false">IF($B1529="","",COUNTIF($F1529:$AJ1529,"HA"))</f>
        <v/>
      </c>
      <c r="AN1529" s="34" t="str">
        <f aca="false">IF($B1529="","",COUNTIF($F1529:$AJ1529,"L"))</f>
        <v/>
      </c>
      <c r="AO1529" s="34" t="str">
        <f aca="false">IF($B1529="","",COUNTIF($F1529:$AJ1529,"PL"))</f>
        <v/>
      </c>
      <c r="AP1529" s="34" t="str">
        <f aca="false">IF($B1529="","",COUNTIF($F1529:$AJ1529,"CL"))</f>
        <v/>
      </c>
      <c r="AQ1529" s="34" t="str">
        <f aca="false">IF($B1529="","",COUNTIF($F1529:$AJ1529,"SL"))</f>
        <v/>
      </c>
      <c r="AR1529" s="34" t="str">
        <f aca="false">IF($B1529="","",COUNTIF($F1529:$AJ1529,"CO"))</f>
        <v/>
      </c>
      <c r="AS1529" s="34" t="str">
        <f aca="false">IF($B1529="","",COUNTIF($F1529:$AJ1529,"HPL"))</f>
        <v/>
      </c>
      <c r="AT1529" s="34" t="str">
        <f aca="false">IF($B1529="","",COUNTIF($F1529:$AJ1529,"HCL"))</f>
        <v/>
      </c>
      <c r="AU1529" s="34" t="str">
        <f aca="false">IF($B1529="","",COUNTIF($F1529:$AJ1529,"WO"))</f>
        <v/>
      </c>
      <c r="AV1529" s="34" t="str">
        <f aca="false">IF($B1529="","",COUNTIF($F1529:$AJ1529,"PH"))</f>
        <v/>
      </c>
      <c r="AW1529" s="34" t="str">
        <f aca="false">IF($B1529="","",COUNTIF($F1529:$AJ1529,"TR"))</f>
        <v/>
      </c>
      <c r="AX1529" s="35" t="str">
        <f aca="false">IF($B1529="","",AO1529+AS1529/2)</f>
        <v/>
      </c>
      <c r="AY1529" s="35" t="str">
        <f aca="false">IF($B1529="","",AQ1529)</f>
        <v/>
      </c>
      <c r="AZ1529" s="35" t="str">
        <f aca="false">IF($B1529="","",AP1529+AT1529/2)</f>
        <v/>
      </c>
      <c r="BA1529" s="35" t="str">
        <f aca="false">IF($B1529="","",AK1529+AN1529+AM1529/2+AO1529+AP1529+AQ1529+AR1529+AS1529+AT1529+AU1529+AV1529+AW1529)</f>
        <v/>
      </c>
      <c r="BB1529" s="35" t="str">
        <f aca="false">IF($B1529="","",MAX(0,AN1529-Settings!$C$16)*Settings!$C$17)</f>
        <v/>
      </c>
      <c r="BC1529" s="35" t="str">
        <f aca="false">IF($B1529="","",BA1529-BB1529)</f>
        <v/>
      </c>
      <c r="BD1529" s="35" t="str">
        <f aca="false">IF(OR($B1529="",$A1529=""),"",DAY(EOMONTH($A1529,0))-COUNTA($F1529:$AJ1529))</f>
        <v/>
      </c>
    </row>
    <row r="1530" customFormat="false" ht="15" hidden="false" customHeight="false" outlineLevel="0" collapsed="false">
      <c r="A1530" s="32"/>
      <c r="B1530" s="29"/>
      <c r="C1530" s="10" t="str">
        <f aca="false">IF($B1530="","",IFERROR(INDEX(M_name,MATCH($B1530,M_emp,0)),"Code not found"))</f>
        <v/>
      </c>
      <c r="D1530" s="10" t="str">
        <f aca="false">IF($B1530="","",IFERROR(INDEX(M_dept,MATCH($B1530,M_emp,0)),""))</f>
        <v/>
      </c>
      <c r="E1530" s="10" t="str">
        <f aca="false">IF($B1530="","",IFERROR(INDEX(M_loc,MATCH($B1530,M_emp,0)),""))</f>
        <v/>
      </c>
      <c r="F1530" s="33"/>
      <c r="G1530" s="33"/>
      <c r="H1530" s="33"/>
      <c r="I1530" s="33"/>
      <c r="J1530" s="33"/>
      <c r="K1530" s="33"/>
      <c r="L1530" s="33"/>
      <c r="M1530" s="33"/>
      <c r="N1530" s="33"/>
      <c r="O1530" s="33"/>
      <c r="P1530" s="33"/>
      <c r="Q1530" s="33"/>
      <c r="R1530" s="33"/>
      <c r="S1530" s="33"/>
      <c r="T1530" s="33"/>
      <c r="U1530" s="33"/>
      <c r="V1530" s="33"/>
      <c r="W1530" s="33"/>
      <c r="X1530" s="33"/>
      <c r="Y1530" s="33"/>
      <c r="Z1530" s="33"/>
      <c r="AA1530" s="33"/>
      <c r="AB1530" s="33"/>
      <c r="AC1530" s="33"/>
      <c r="AD1530" s="33"/>
      <c r="AE1530" s="33"/>
      <c r="AF1530" s="33"/>
      <c r="AG1530" s="33"/>
      <c r="AH1530" s="33"/>
      <c r="AI1530" s="33"/>
      <c r="AJ1530" s="33"/>
      <c r="AK1530" s="34" t="str">
        <f aca="false">IF($B1530="","",COUNTIF($F1530:$AJ1530,"P"))</f>
        <v/>
      </c>
      <c r="AL1530" s="34" t="str">
        <f aca="false">IF($B1530="","",COUNTIF($F1530:$AJ1530,"A"))</f>
        <v/>
      </c>
      <c r="AM1530" s="34" t="str">
        <f aca="false">IF($B1530="","",COUNTIF($F1530:$AJ1530,"HA"))</f>
        <v/>
      </c>
      <c r="AN1530" s="34" t="str">
        <f aca="false">IF($B1530="","",COUNTIF($F1530:$AJ1530,"L"))</f>
        <v/>
      </c>
      <c r="AO1530" s="34" t="str">
        <f aca="false">IF($B1530="","",COUNTIF($F1530:$AJ1530,"PL"))</f>
        <v/>
      </c>
      <c r="AP1530" s="34" t="str">
        <f aca="false">IF($B1530="","",COUNTIF($F1530:$AJ1530,"CL"))</f>
        <v/>
      </c>
      <c r="AQ1530" s="34" t="str">
        <f aca="false">IF($B1530="","",COUNTIF($F1530:$AJ1530,"SL"))</f>
        <v/>
      </c>
      <c r="AR1530" s="34" t="str">
        <f aca="false">IF($B1530="","",COUNTIF($F1530:$AJ1530,"CO"))</f>
        <v/>
      </c>
      <c r="AS1530" s="34" t="str">
        <f aca="false">IF($B1530="","",COUNTIF($F1530:$AJ1530,"HPL"))</f>
        <v/>
      </c>
      <c r="AT1530" s="34" t="str">
        <f aca="false">IF($B1530="","",COUNTIF($F1530:$AJ1530,"HCL"))</f>
        <v/>
      </c>
      <c r="AU1530" s="34" t="str">
        <f aca="false">IF($B1530="","",COUNTIF($F1530:$AJ1530,"WO"))</f>
        <v/>
      </c>
      <c r="AV1530" s="34" t="str">
        <f aca="false">IF($B1530="","",COUNTIF($F1530:$AJ1530,"PH"))</f>
        <v/>
      </c>
      <c r="AW1530" s="34" t="str">
        <f aca="false">IF($B1530="","",COUNTIF($F1530:$AJ1530,"TR"))</f>
        <v/>
      </c>
      <c r="AX1530" s="35" t="str">
        <f aca="false">IF($B1530="","",AO1530+AS1530/2)</f>
        <v/>
      </c>
      <c r="AY1530" s="35" t="str">
        <f aca="false">IF($B1530="","",AQ1530)</f>
        <v/>
      </c>
      <c r="AZ1530" s="35" t="str">
        <f aca="false">IF($B1530="","",AP1530+AT1530/2)</f>
        <v/>
      </c>
      <c r="BA1530" s="35" t="str">
        <f aca="false">IF($B1530="","",AK1530+AN1530+AM1530/2+AO1530+AP1530+AQ1530+AR1530+AS1530+AT1530+AU1530+AV1530+AW1530)</f>
        <v/>
      </c>
      <c r="BB1530" s="35" t="str">
        <f aca="false">IF($B1530="","",MAX(0,AN1530-Settings!$C$16)*Settings!$C$17)</f>
        <v/>
      </c>
      <c r="BC1530" s="35" t="str">
        <f aca="false">IF($B1530="","",BA1530-BB1530)</f>
        <v/>
      </c>
      <c r="BD1530" s="35" t="str">
        <f aca="false">IF(OR($B1530="",$A1530=""),"",DAY(EOMONTH($A1530,0))-COUNTA($F1530:$AJ1530))</f>
        <v/>
      </c>
    </row>
    <row r="1531" customFormat="false" ht="15" hidden="false" customHeight="false" outlineLevel="0" collapsed="false">
      <c r="A1531" s="32"/>
      <c r="B1531" s="29"/>
      <c r="C1531" s="10" t="str">
        <f aca="false">IF($B1531="","",IFERROR(INDEX(M_name,MATCH($B1531,M_emp,0)),"Code not found"))</f>
        <v/>
      </c>
      <c r="D1531" s="10" t="str">
        <f aca="false">IF($B1531="","",IFERROR(INDEX(M_dept,MATCH($B1531,M_emp,0)),""))</f>
        <v/>
      </c>
      <c r="E1531" s="10" t="str">
        <f aca="false">IF($B1531="","",IFERROR(INDEX(M_loc,MATCH($B1531,M_emp,0)),""))</f>
        <v/>
      </c>
      <c r="F1531" s="33"/>
      <c r="G1531" s="33"/>
      <c r="H1531" s="33"/>
      <c r="I1531" s="33"/>
      <c r="J1531" s="33"/>
      <c r="K1531" s="33"/>
      <c r="L1531" s="33"/>
      <c r="M1531" s="33"/>
      <c r="N1531" s="33"/>
      <c r="O1531" s="33"/>
      <c r="P1531" s="33"/>
      <c r="Q1531" s="33"/>
      <c r="R1531" s="33"/>
      <c r="S1531" s="33"/>
      <c r="T1531" s="33"/>
      <c r="U1531" s="33"/>
      <c r="V1531" s="33"/>
      <c r="W1531" s="33"/>
      <c r="X1531" s="33"/>
      <c r="Y1531" s="33"/>
      <c r="Z1531" s="33"/>
      <c r="AA1531" s="33"/>
      <c r="AB1531" s="33"/>
      <c r="AC1531" s="33"/>
      <c r="AD1531" s="33"/>
      <c r="AE1531" s="33"/>
      <c r="AF1531" s="33"/>
      <c r="AG1531" s="33"/>
      <c r="AH1531" s="33"/>
      <c r="AI1531" s="33"/>
      <c r="AJ1531" s="33"/>
      <c r="AK1531" s="34" t="str">
        <f aca="false">IF($B1531="","",COUNTIF($F1531:$AJ1531,"P"))</f>
        <v/>
      </c>
      <c r="AL1531" s="34" t="str">
        <f aca="false">IF($B1531="","",COUNTIF($F1531:$AJ1531,"A"))</f>
        <v/>
      </c>
      <c r="AM1531" s="34" t="str">
        <f aca="false">IF($B1531="","",COUNTIF($F1531:$AJ1531,"HA"))</f>
        <v/>
      </c>
      <c r="AN1531" s="34" t="str">
        <f aca="false">IF($B1531="","",COUNTIF($F1531:$AJ1531,"L"))</f>
        <v/>
      </c>
      <c r="AO1531" s="34" t="str">
        <f aca="false">IF($B1531="","",COUNTIF($F1531:$AJ1531,"PL"))</f>
        <v/>
      </c>
      <c r="AP1531" s="34" t="str">
        <f aca="false">IF($B1531="","",COUNTIF($F1531:$AJ1531,"CL"))</f>
        <v/>
      </c>
      <c r="AQ1531" s="34" t="str">
        <f aca="false">IF($B1531="","",COUNTIF($F1531:$AJ1531,"SL"))</f>
        <v/>
      </c>
      <c r="AR1531" s="34" t="str">
        <f aca="false">IF($B1531="","",COUNTIF($F1531:$AJ1531,"CO"))</f>
        <v/>
      </c>
      <c r="AS1531" s="34" t="str">
        <f aca="false">IF($B1531="","",COUNTIF($F1531:$AJ1531,"HPL"))</f>
        <v/>
      </c>
      <c r="AT1531" s="34" t="str">
        <f aca="false">IF($B1531="","",COUNTIF($F1531:$AJ1531,"HCL"))</f>
        <v/>
      </c>
      <c r="AU1531" s="34" t="str">
        <f aca="false">IF($B1531="","",COUNTIF($F1531:$AJ1531,"WO"))</f>
        <v/>
      </c>
      <c r="AV1531" s="34" t="str">
        <f aca="false">IF($B1531="","",COUNTIF($F1531:$AJ1531,"PH"))</f>
        <v/>
      </c>
      <c r="AW1531" s="34" t="str">
        <f aca="false">IF($B1531="","",COUNTIF($F1531:$AJ1531,"TR"))</f>
        <v/>
      </c>
      <c r="AX1531" s="35" t="str">
        <f aca="false">IF($B1531="","",AO1531+AS1531/2)</f>
        <v/>
      </c>
      <c r="AY1531" s="35" t="str">
        <f aca="false">IF($B1531="","",AQ1531)</f>
        <v/>
      </c>
      <c r="AZ1531" s="35" t="str">
        <f aca="false">IF($B1531="","",AP1531+AT1531/2)</f>
        <v/>
      </c>
      <c r="BA1531" s="35" t="str">
        <f aca="false">IF($B1531="","",AK1531+AN1531+AM1531/2+AO1531+AP1531+AQ1531+AR1531+AS1531+AT1531+AU1531+AV1531+AW1531)</f>
        <v/>
      </c>
      <c r="BB1531" s="35" t="str">
        <f aca="false">IF($B1531="","",MAX(0,AN1531-Settings!$C$16)*Settings!$C$17)</f>
        <v/>
      </c>
      <c r="BC1531" s="35" t="str">
        <f aca="false">IF($B1531="","",BA1531-BB1531)</f>
        <v/>
      </c>
      <c r="BD1531" s="35" t="str">
        <f aca="false">IF(OR($B1531="",$A1531=""),"",DAY(EOMONTH($A1531,0))-COUNTA($F1531:$AJ1531))</f>
        <v/>
      </c>
    </row>
    <row r="1532" customFormat="false" ht="15" hidden="false" customHeight="false" outlineLevel="0" collapsed="false">
      <c r="A1532" s="32"/>
      <c r="B1532" s="29"/>
      <c r="C1532" s="10" t="str">
        <f aca="false">IF($B1532="","",IFERROR(INDEX(M_name,MATCH($B1532,M_emp,0)),"Code not found"))</f>
        <v/>
      </c>
      <c r="D1532" s="10" t="str">
        <f aca="false">IF($B1532="","",IFERROR(INDEX(M_dept,MATCH($B1532,M_emp,0)),""))</f>
        <v/>
      </c>
      <c r="E1532" s="10" t="str">
        <f aca="false">IF($B1532="","",IFERROR(INDEX(M_loc,MATCH($B1532,M_emp,0)),""))</f>
        <v/>
      </c>
      <c r="F1532" s="33"/>
      <c r="G1532" s="33"/>
      <c r="H1532" s="33"/>
      <c r="I1532" s="33"/>
      <c r="J1532" s="33"/>
      <c r="K1532" s="33"/>
      <c r="L1532" s="33"/>
      <c r="M1532" s="33"/>
      <c r="N1532" s="33"/>
      <c r="O1532" s="33"/>
      <c r="P1532" s="33"/>
      <c r="Q1532" s="33"/>
      <c r="R1532" s="33"/>
      <c r="S1532" s="33"/>
      <c r="T1532" s="33"/>
      <c r="U1532" s="33"/>
      <c r="V1532" s="33"/>
      <c r="W1532" s="33"/>
      <c r="X1532" s="33"/>
      <c r="Y1532" s="33"/>
      <c r="Z1532" s="33"/>
      <c r="AA1532" s="33"/>
      <c r="AB1532" s="33"/>
      <c r="AC1532" s="33"/>
      <c r="AD1532" s="33"/>
      <c r="AE1532" s="33"/>
      <c r="AF1532" s="33"/>
      <c r="AG1532" s="33"/>
      <c r="AH1532" s="33"/>
      <c r="AI1532" s="33"/>
      <c r="AJ1532" s="33"/>
      <c r="AK1532" s="34" t="str">
        <f aca="false">IF($B1532="","",COUNTIF($F1532:$AJ1532,"P"))</f>
        <v/>
      </c>
      <c r="AL1532" s="34" t="str">
        <f aca="false">IF($B1532="","",COUNTIF($F1532:$AJ1532,"A"))</f>
        <v/>
      </c>
      <c r="AM1532" s="34" t="str">
        <f aca="false">IF($B1532="","",COUNTIF($F1532:$AJ1532,"HA"))</f>
        <v/>
      </c>
      <c r="AN1532" s="34" t="str">
        <f aca="false">IF($B1532="","",COUNTIF($F1532:$AJ1532,"L"))</f>
        <v/>
      </c>
      <c r="AO1532" s="34" t="str">
        <f aca="false">IF($B1532="","",COUNTIF($F1532:$AJ1532,"PL"))</f>
        <v/>
      </c>
      <c r="AP1532" s="34" t="str">
        <f aca="false">IF($B1532="","",COUNTIF($F1532:$AJ1532,"CL"))</f>
        <v/>
      </c>
      <c r="AQ1532" s="34" t="str">
        <f aca="false">IF($B1532="","",COUNTIF($F1532:$AJ1532,"SL"))</f>
        <v/>
      </c>
      <c r="AR1532" s="34" t="str">
        <f aca="false">IF($B1532="","",COUNTIF($F1532:$AJ1532,"CO"))</f>
        <v/>
      </c>
      <c r="AS1532" s="34" t="str">
        <f aca="false">IF($B1532="","",COUNTIF($F1532:$AJ1532,"HPL"))</f>
        <v/>
      </c>
      <c r="AT1532" s="34" t="str">
        <f aca="false">IF($B1532="","",COUNTIF($F1532:$AJ1532,"HCL"))</f>
        <v/>
      </c>
      <c r="AU1532" s="34" t="str">
        <f aca="false">IF($B1532="","",COUNTIF($F1532:$AJ1532,"WO"))</f>
        <v/>
      </c>
      <c r="AV1532" s="34" t="str">
        <f aca="false">IF($B1532="","",COUNTIF($F1532:$AJ1532,"PH"))</f>
        <v/>
      </c>
      <c r="AW1532" s="34" t="str">
        <f aca="false">IF($B1532="","",COUNTIF($F1532:$AJ1532,"TR"))</f>
        <v/>
      </c>
      <c r="AX1532" s="35" t="str">
        <f aca="false">IF($B1532="","",AO1532+AS1532/2)</f>
        <v/>
      </c>
      <c r="AY1532" s="35" t="str">
        <f aca="false">IF($B1532="","",AQ1532)</f>
        <v/>
      </c>
      <c r="AZ1532" s="35" t="str">
        <f aca="false">IF($B1532="","",AP1532+AT1532/2)</f>
        <v/>
      </c>
      <c r="BA1532" s="35" t="str">
        <f aca="false">IF($B1532="","",AK1532+AN1532+AM1532/2+AO1532+AP1532+AQ1532+AR1532+AS1532+AT1532+AU1532+AV1532+AW1532)</f>
        <v/>
      </c>
      <c r="BB1532" s="35" t="str">
        <f aca="false">IF($B1532="","",MAX(0,AN1532-Settings!$C$16)*Settings!$C$17)</f>
        <v/>
      </c>
      <c r="BC1532" s="35" t="str">
        <f aca="false">IF($B1532="","",BA1532-BB1532)</f>
        <v/>
      </c>
      <c r="BD1532" s="35" t="str">
        <f aca="false">IF(OR($B1532="",$A1532=""),"",DAY(EOMONTH($A1532,0))-COUNTA($F1532:$AJ1532))</f>
        <v/>
      </c>
    </row>
    <row r="1533" customFormat="false" ht="15" hidden="false" customHeight="false" outlineLevel="0" collapsed="false">
      <c r="A1533" s="32"/>
      <c r="B1533" s="29"/>
      <c r="C1533" s="10" t="str">
        <f aca="false">IF($B1533="","",IFERROR(INDEX(M_name,MATCH($B1533,M_emp,0)),"Code not found"))</f>
        <v/>
      </c>
      <c r="D1533" s="10" t="str">
        <f aca="false">IF($B1533="","",IFERROR(INDEX(M_dept,MATCH($B1533,M_emp,0)),""))</f>
        <v/>
      </c>
      <c r="E1533" s="10" t="str">
        <f aca="false">IF($B1533="","",IFERROR(INDEX(M_loc,MATCH($B1533,M_emp,0)),""))</f>
        <v/>
      </c>
      <c r="F1533" s="33"/>
      <c r="G1533" s="33"/>
      <c r="H1533" s="33"/>
      <c r="I1533" s="33"/>
      <c r="J1533" s="33"/>
      <c r="K1533" s="33"/>
      <c r="L1533" s="33"/>
      <c r="M1533" s="33"/>
      <c r="N1533" s="33"/>
      <c r="O1533" s="33"/>
      <c r="P1533" s="33"/>
      <c r="Q1533" s="33"/>
      <c r="R1533" s="33"/>
      <c r="S1533" s="33"/>
      <c r="T1533" s="33"/>
      <c r="U1533" s="33"/>
      <c r="V1533" s="33"/>
      <c r="W1533" s="33"/>
      <c r="X1533" s="33"/>
      <c r="Y1533" s="33"/>
      <c r="Z1533" s="33"/>
      <c r="AA1533" s="33"/>
      <c r="AB1533" s="33"/>
      <c r="AC1533" s="33"/>
      <c r="AD1533" s="33"/>
      <c r="AE1533" s="33"/>
      <c r="AF1533" s="33"/>
      <c r="AG1533" s="33"/>
      <c r="AH1533" s="33"/>
      <c r="AI1533" s="33"/>
      <c r="AJ1533" s="33"/>
      <c r="AK1533" s="34" t="str">
        <f aca="false">IF($B1533="","",COUNTIF($F1533:$AJ1533,"P"))</f>
        <v/>
      </c>
      <c r="AL1533" s="34" t="str">
        <f aca="false">IF($B1533="","",COUNTIF($F1533:$AJ1533,"A"))</f>
        <v/>
      </c>
      <c r="AM1533" s="34" t="str">
        <f aca="false">IF($B1533="","",COUNTIF($F1533:$AJ1533,"HA"))</f>
        <v/>
      </c>
      <c r="AN1533" s="34" t="str">
        <f aca="false">IF($B1533="","",COUNTIF($F1533:$AJ1533,"L"))</f>
        <v/>
      </c>
      <c r="AO1533" s="34" t="str">
        <f aca="false">IF($B1533="","",COUNTIF($F1533:$AJ1533,"PL"))</f>
        <v/>
      </c>
      <c r="AP1533" s="34" t="str">
        <f aca="false">IF($B1533="","",COUNTIF($F1533:$AJ1533,"CL"))</f>
        <v/>
      </c>
      <c r="AQ1533" s="34" t="str">
        <f aca="false">IF($B1533="","",COUNTIF($F1533:$AJ1533,"SL"))</f>
        <v/>
      </c>
      <c r="AR1533" s="34" t="str">
        <f aca="false">IF($B1533="","",COUNTIF($F1533:$AJ1533,"CO"))</f>
        <v/>
      </c>
      <c r="AS1533" s="34" t="str">
        <f aca="false">IF($B1533="","",COUNTIF($F1533:$AJ1533,"HPL"))</f>
        <v/>
      </c>
      <c r="AT1533" s="34" t="str">
        <f aca="false">IF($B1533="","",COUNTIF($F1533:$AJ1533,"HCL"))</f>
        <v/>
      </c>
      <c r="AU1533" s="34" t="str">
        <f aca="false">IF($B1533="","",COUNTIF($F1533:$AJ1533,"WO"))</f>
        <v/>
      </c>
      <c r="AV1533" s="34" t="str">
        <f aca="false">IF($B1533="","",COUNTIF($F1533:$AJ1533,"PH"))</f>
        <v/>
      </c>
      <c r="AW1533" s="34" t="str">
        <f aca="false">IF($B1533="","",COUNTIF($F1533:$AJ1533,"TR"))</f>
        <v/>
      </c>
      <c r="AX1533" s="35" t="str">
        <f aca="false">IF($B1533="","",AO1533+AS1533/2)</f>
        <v/>
      </c>
      <c r="AY1533" s="35" t="str">
        <f aca="false">IF($B1533="","",AQ1533)</f>
        <v/>
      </c>
      <c r="AZ1533" s="35" t="str">
        <f aca="false">IF($B1533="","",AP1533+AT1533/2)</f>
        <v/>
      </c>
      <c r="BA1533" s="35" t="str">
        <f aca="false">IF($B1533="","",AK1533+AN1533+AM1533/2+AO1533+AP1533+AQ1533+AR1533+AS1533+AT1533+AU1533+AV1533+AW1533)</f>
        <v/>
      </c>
      <c r="BB1533" s="35" t="str">
        <f aca="false">IF($B1533="","",MAX(0,AN1533-Settings!$C$16)*Settings!$C$17)</f>
        <v/>
      </c>
      <c r="BC1533" s="35" t="str">
        <f aca="false">IF($B1533="","",BA1533-BB1533)</f>
        <v/>
      </c>
      <c r="BD1533" s="35" t="str">
        <f aca="false">IF(OR($B1533="",$A1533=""),"",DAY(EOMONTH($A1533,0))-COUNTA($F1533:$AJ1533))</f>
        <v/>
      </c>
    </row>
    <row r="1534" customFormat="false" ht="15" hidden="false" customHeight="false" outlineLevel="0" collapsed="false">
      <c r="A1534" s="32"/>
      <c r="B1534" s="29"/>
      <c r="C1534" s="10" t="str">
        <f aca="false">IF($B1534="","",IFERROR(INDEX(M_name,MATCH($B1534,M_emp,0)),"Code not found"))</f>
        <v/>
      </c>
      <c r="D1534" s="10" t="str">
        <f aca="false">IF($B1534="","",IFERROR(INDEX(M_dept,MATCH($B1534,M_emp,0)),""))</f>
        <v/>
      </c>
      <c r="E1534" s="10" t="str">
        <f aca="false">IF($B1534="","",IFERROR(INDEX(M_loc,MATCH($B1534,M_emp,0)),""))</f>
        <v/>
      </c>
      <c r="F1534" s="33"/>
      <c r="G1534" s="33"/>
      <c r="H1534" s="33"/>
      <c r="I1534" s="33"/>
      <c r="J1534" s="33"/>
      <c r="K1534" s="33"/>
      <c r="L1534" s="33"/>
      <c r="M1534" s="33"/>
      <c r="N1534" s="33"/>
      <c r="O1534" s="33"/>
      <c r="P1534" s="33"/>
      <c r="Q1534" s="33"/>
      <c r="R1534" s="33"/>
      <c r="S1534" s="33"/>
      <c r="T1534" s="33"/>
      <c r="U1534" s="33"/>
      <c r="V1534" s="33"/>
      <c r="W1534" s="33"/>
      <c r="X1534" s="33"/>
      <c r="Y1534" s="33"/>
      <c r="Z1534" s="33"/>
      <c r="AA1534" s="33"/>
      <c r="AB1534" s="33"/>
      <c r="AC1534" s="33"/>
      <c r="AD1534" s="33"/>
      <c r="AE1534" s="33"/>
      <c r="AF1534" s="33"/>
      <c r="AG1534" s="33"/>
      <c r="AH1534" s="33"/>
      <c r="AI1534" s="33"/>
      <c r="AJ1534" s="33"/>
      <c r="AK1534" s="34" t="str">
        <f aca="false">IF($B1534="","",COUNTIF($F1534:$AJ1534,"P"))</f>
        <v/>
      </c>
      <c r="AL1534" s="34" t="str">
        <f aca="false">IF($B1534="","",COUNTIF($F1534:$AJ1534,"A"))</f>
        <v/>
      </c>
      <c r="AM1534" s="34" t="str">
        <f aca="false">IF($B1534="","",COUNTIF($F1534:$AJ1534,"HA"))</f>
        <v/>
      </c>
      <c r="AN1534" s="34" t="str">
        <f aca="false">IF($B1534="","",COUNTIF($F1534:$AJ1534,"L"))</f>
        <v/>
      </c>
      <c r="AO1534" s="34" t="str">
        <f aca="false">IF($B1534="","",COUNTIF($F1534:$AJ1534,"PL"))</f>
        <v/>
      </c>
      <c r="AP1534" s="34" t="str">
        <f aca="false">IF($B1534="","",COUNTIF($F1534:$AJ1534,"CL"))</f>
        <v/>
      </c>
      <c r="AQ1534" s="34" t="str">
        <f aca="false">IF($B1534="","",COUNTIF($F1534:$AJ1534,"SL"))</f>
        <v/>
      </c>
      <c r="AR1534" s="34" t="str">
        <f aca="false">IF($B1534="","",COUNTIF($F1534:$AJ1534,"CO"))</f>
        <v/>
      </c>
      <c r="AS1534" s="34" t="str">
        <f aca="false">IF($B1534="","",COUNTIF($F1534:$AJ1534,"HPL"))</f>
        <v/>
      </c>
      <c r="AT1534" s="34" t="str">
        <f aca="false">IF($B1534="","",COUNTIF($F1534:$AJ1534,"HCL"))</f>
        <v/>
      </c>
      <c r="AU1534" s="34" t="str">
        <f aca="false">IF($B1534="","",COUNTIF($F1534:$AJ1534,"WO"))</f>
        <v/>
      </c>
      <c r="AV1534" s="34" t="str">
        <f aca="false">IF($B1534="","",COUNTIF($F1534:$AJ1534,"PH"))</f>
        <v/>
      </c>
      <c r="AW1534" s="34" t="str">
        <f aca="false">IF($B1534="","",COUNTIF($F1534:$AJ1534,"TR"))</f>
        <v/>
      </c>
      <c r="AX1534" s="35" t="str">
        <f aca="false">IF($B1534="","",AO1534+AS1534/2)</f>
        <v/>
      </c>
      <c r="AY1534" s="35" t="str">
        <f aca="false">IF($B1534="","",AQ1534)</f>
        <v/>
      </c>
      <c r="AZ1534" s="35" t="str">
        <f aca="false">IF($B1534="","",AP1534+AT1534/2)</f>
        <v/>
      </c>
      <c r="BA1534" s="35" t="str">
        <f aca="false">IF($B1534="","",AK1534+AN1534+AM1534/2+AO1534+AP1534+AQ1534+AR1534+AS1534+AT1534+AU1534+AV1534+AW1534)</f>
        <v/>
      </c>
      <c r="BB1534" s="35" t="str">
        <f aca="false">IF($B1534="","",MAX(0,AN1534-Settings!$C$16)*Settings!$C$17)</f>
        <v/>
      </c>
      <c r="BC1534" s="35" t="str">
        <f aca="false">IF($B1534="","",BA1534-BB1534)</f>
        <v/>
      </c>
      <c r="BD1534" s="35" t="str">
        <f aca="false">IF(OR($B1534="",$A1534=""),"",DAY(EOMONTH($A1534,0))-COUNTA($F1534:$AJ1534))</f>
        <v/>
      </c>
    </row>
    <row r="1535" customFormat="false" ht="15" hidden="false" customHeight="false" outlineLevel="0" collapsed="false">
      <c r="A1535" s="32"/>
      <c r="B1535" s="29"/>
      <c r="C1535" s="10" t="str">
        <f aca="false">IF($B1535="","",IFERROR(INDEX(M_name,MATCH($B1535,M_emp,0)),"Code not found"))</f>
        <v/>
      </c>
      <c r="D1535" s="10" t="str">
        <f aca="false">IF($B1535="","",IFERROR(INDEX(M_dept,MATCH($B1535,M_emp,0)),""))</f>
        <v/>
      </c>
      <c r="E1535" s="10" t="str">
        <f aca="false">IF($B1535="","",IFERROR(INDEX(M_loc,MATCH($B1535,M_emp,0)),""))</f>
        <v/>
      </c>
      <c r="F1535" s="33"/>
      <c r="G1535" s="33"/>
      <c r="H1535" s="33"/>
      <c r="I1535" s="33"/>
      <c r="J1535" s="33"/>
      <c r="K1535" s="33"/>
      <c r="L1535" s="33"/>
      <c r="M1535" s="33"/>
      <c r="N1535" s="33"/>
      <c r="O1535" s="33"/>
      <c r="P1535" s="33"/>
      <c r="Q1535" s="33"/>
      <c r="R1535" s="33"/>
      <c r="S1535" s="33"/>
      <c r="T1535" s="33"/>
      <c r="U1535" s="33"/>
      <c r="V1535" s="33"/>
      <c r="W1535" s="33"/>
      <c r="X1535" s="33"/>
      <c r="Y1535" s="33"/>
      <c r="Z1535" s="33"/>
      <c r="AA1535" s="33"/>
      <c r="AB1535" s="33"/>
      <c r="AC1535" s="33"/>
      <c r="AD1535" s="33"/>
      <c r="AE1535" s="33"/>
      <c r="AF1535" s="33"/>
      <c r="AG1535" s="33"/>
      <c r="AH1535" s="33"/>
      <c r="AI1535" s="33"/>
      <c r="AJ1535" s="33"/>
      <c r="AK1535" s="34" t="str">
        <f aca="false">IF($B1535="","",COUNTIF($F1535:$AJ1535,"P"))</f>
        <v/>
      </c>
      <c r="AL1535" s="34" t="str">
        <f aca="false">IF($B1535="","",COUNTIF($F1535:$AJ1535,"A"))</f>
        <v/>
      </c>
      <c r="AM1535" s="34" t="str">
        <f aca="false">IF($B1535="","",COUNTIF($F1535:$AJ1535,"HA"))</f>
        <v/>
      </c>
      <c r="AN1535" s="34" t="str">
        <f aca="false">IF($B1535="","",COUNTIF($F1535:$AJ1535,"L"))</f>
        <v/>
      </c>
      <c r="AO1535" s="34" t="str">
        <f aca="false">IF($B1535="","",COUNTIF($F1535:$AJ1535,"PL"))</f>
        <v/>
      </c>
      <c r="AP1535" s="34" t="str">
        <f aca="false">IF($B1535="","",COUNTIF($F1535:$AJ1535,"CL"))</f>
        <v/>
      </c>
      <c r="AQ1535" s="34" t="str">
        <f aca="false">IF($B1535="","",COUNTIF($F1535:$AJ1535,"SL"))</f>
        <v/>
      </c>
      <c r="AR1535" s="34" t="str">
        <f aca="false">IF($B1535="","",COUNTIF($F1535:$AJ1535,"CO"))</f>
        <v/>
      </c>
      <c r="AS1535" s="34" t="str">
        <f aca="false">IF($B1535="","",COUNTIF($F1535:$AJ1535,"HPL"))</f>
        <v/>
      </c>
      <c r="AT1535" s="34" t="str">
        <f aca="false">IF($B1535="","",COUNTIF($F1535:$AJ1535,"HCL"))</f>
        <v/>
      </c>
      <c r="AU1535" s="34" t="str">
        <f aca="false">IF($B1535="","",COUNTIF($F1535:$AJ1535,"WO"))</f>
        <v/>
      </c>
      <c r="AV1535" s="34" t="str">
        <f aca="false">IF($B1535="","",COUNTIF($F1535:$AJ1535,"PH"))</f>
        <v/>
      </c>
      <c r="AW1535" s="34" t="str">
        <f aca="false">IF($B1535="","",COUNTIF($F1535:$AJ1535,"TR"))</f>
        <v/>
      </c>
      <c r="AX1535" s="35" t="str">
        <f aca="false">IF($B1535="","",AO1535+AS1535/2)</f>
        <v/>
      </c>
      <c r="AY1535" s="35" t="str">
        <f aca="false">IF($B1535="","",AQ1535)</f>
        <v/>
      </c>
      <c r="AZ1535" s="35" t="str">
        <f aca="false">IF($B1535="","",AP1535+AT1535/2)</f>
        <v/>
      </c>
      <c r="BA1535" s="35" t="str">
        <f aca="false">IF($B1535="","",AK1535+AN1535+AM1535/2+AO1535+AP1535+AQ1535+AR1535+AS1535+AT1535+AU1535+AV1535+AW1535)</f>
        <v/>
      </c>
      <c r="BB1535" s="35" t="str">
        <f aca="false">IF($B1535="","",MAX(0,AN1535-Settings!$C$16)*Settings!$C$17)</f>
        <v/>
      </c>
      <c r="BC1535" s="35" t="str">
        <f aca="false">IF($B1535="","",BA1535-BB1535)</f>
        <v/>
      </c>
      <c r="BD1535" s="35" t="str">
        <f aca="false">IF(OR($B1535="",$A1535=""),"",DAY(EOMONTH($A1535,0))-COUNTA($F1535:$AJ1535))</f>
        <v/>
      </c>
    </row>
    <row r="1536" customFormat="false" ht="15" hidden="false" customHeight="false" outlineLevel="0" collapsed="false">
      <c r="A1536" s="32"/>
      <c r="B1536" s="29"/>
      <c r="C1536" s="10" t="str">
        <f aca="false">IF($B1536="","",IFERROR(INDEX(M_name,MATCH($B1536,M_emp,0)),"Code not found"))</f>
        <v/>
      </c>
      <c r="D1536" s="10" t="str">
        <f aca="false">IF($B1536="","",IFERROR(INDEX(M_dept,MATCH($B1536,M_emp,0)),""))</f>
        <v/>
      </c>
      <c r="E1536" s="10" t="str">
        <f aca="false">IF($B1536="","",IFERROR(INDEX(M_loc,MATCH($B1536,M_emp,0)),""))</f>
        <v/>
      </c>
      <c r="F1536" s="33"/>
      <c r="G1536" s="33"/>
      <c r="H1536" s="33"/>
      <c r="I1536" s="33"/>
      <c r="J1536" s="33"/>
      <c r="K1536" s="33"/>
      <c r="L1536" s="33"/>
      <c r="M1536" s="33"/>
      <c r="N1536" s="33"/>
      <c r="O1536" s="33"/>
      <c r="P1536" s="33"/>
      <c r="Q1536" s="33"/>
      <c r="R1536" s="33"/>
      <c r="S1536" s="33"/>
      <c r="T1536" s="33"/>
      <c r="U1536" s="33"/>
      <c r="V1536" s="33"/>
      <c r="W1536" s="33"/>
      <c r="X1536" s="33"/>
      <c r="Y1536" s="33"/>
      <c r="Z1536" s="33"/>
      <c r="AA1536" s="33"/>
      <c r="AB1536" s="33"/>
      <c r="AC1536" s="33"/>
      <c r="AD1536" s="33"/>
      <c r="AE1536" s="33"/>
      <c r="AF1536" s="33"/>
      <c r="AG1536" s="33"/>
      <c r="AH1536" s="33"/>
      <c r="AI1536" s="33"/>
      <c r="AJ1536" s="33"/>
      <c r="AK1536" s="34" t="str">
        <f aca="false">IF($B1536="","",COUNTIF($F1536:$AJ1536,"P"))</f>
        <v/>
      </c>
      <c r="AL1536" s="34" t="str">
        <f aca="false">IF($B1536="","",COUNTIF($F1536:$AJ1536,"A"))</f>
        <v/>
      </c>
      <c r="AM1536" s="34" t="str">
        <f aca="false">IF($B1536="","",COUNTIF($F1536:$AJ1536,"HA"))</f>
        <v/>
      </c>
      <c r="AN1536" s="34" t="str">
        <f aca="false">IF($B1536="","",COUNTIF($F1536:$AJ1536,"L"))</f>
        <v/>
      </c>
      <c r="AO1536" s="34" t="str">
        <f aca="false">IF($B1536="","",COUNTIF($F1536:$AJ1536,"PL"))</f>
        <v/>
      </c>
      <c r="AP1536" s="34" t="str">
        <f aca="false">IF($B1536="","",COUNTIF($F1536:$AJ1536,"CL"))</f>
        <v/>
      </c>
      <c r="AQ1536" s="34" t="str">
        <f aca="false">IF($B1536="","",COUNTIF($F1536:$AJ1536,"SL"))</f>
        <v/>
      </c>
      <c r="AR1536" s="34" t="str">
        <f aca="false">IF($B1536="","",COUNTIF($F1536:$AJ1536,"CO"))</f>
        <v/>
      </c>
      <c r="AS1536" s="34" t="str">
        <f aca="false">IF($B1536="","",COUNTIF($F1536:$AJ1536,"HPL"))</f>
        <v/>
      </c>
      <c r="AT1536" s="34" t="str">
        <f aca="false">IF($B1536="","",COUNTIF($F1536:$AJ1536,"HCL"))</f>
        <v/>
      </c>
      <c r="AU1536" s="34" t="str">
        <f aca="false">IF($B1536="","",COUNTIF($F1536:$AJ1536,"WO"))</f>
        <v/>
      </c>
      <c r="AV1536" s="34" t="str">
        <f aca="false">IF($B1536="","",COUNTIF($F1536:$AJ1536,"PH"))</f>
        <v/>
      </c>
      <c r="AW1536" s="34" t="str">
        <f aca="false">IF($B1536="","",COUNTIF($F1536:$AJ1536,"TR"))</f>
        <v/>
      </c>
      <c r="AX1536" s="35" t="str">
        <f aca="false">IF($B1536="","",AO1536+AS1536/2)</f>
        <v/>
      </c>
      <c r="AY1536" s="35" t="str">
        <f aca="false">IF($B1536="","",AQ1536)</f>
        <v/>
      </c>
      <c r="AZ1536" s="35" t="str">
        <f aca="false">IF($B1536="","",AP1536+AT1536/2)</f>
        <v/>
      </c>
      <c r="BA1536" s="35" t="str">
        <f aca="false">IF($B1536="","",AK1536+AN1536+AM1536/2+AO1536+AP1536+AQ1536+AR1536+AS1536+AT1536+AU1536+AV1536+AW1536)</f>
        <v/>
      </c>
      <c r="BB1536" s="35" t="str">
        <f aca="false">IF($B1536="","",MAX(0,AN1536-Settings!$C$16)*Settings!$C$17)</f>
        <v/>
      </c>
      <c r="BC1536" s="35" t="str">
        <f aca="false">IF($B1536="","",BA1536-BB1536)</f>
        <v/>
      </c>
      <c r="BD1536" s="35" t="str">
        <f aca="false">IF(OR($B1536="",$A1536=""),"",DAY(EOMONTH($A1536,0))-COUNTA($F1536:$AJ1536))</f>
        <v/>
      </c>
    </row>
    <row r="1537" customFormat="false" ht="15" hidden="false" customHeight="false" outlineLevel="0" collapsed="false">
      <c r="A1537" s="32"/>
      <c r="B1537" s="29"/>
      <c r="C1537" s="10" t="str">
        <f aca="false">IF($B1537="","",IFERROR(INDEX(M_name,MATCH($B1537,M_emp,0)),"Code not found"))</f>
        <v/>
      </c>
      <c r="D1537" s="10" t="str">
        <f aca="false">IF($B1537="","",IFERROR(INDEX(M_dept,MATCH($B1537,M_emp,0)),""))</f>
        <v/>
      </c>
      <c r="E1537" s="10" t="str">
        <f aca="false">IF($B1537="","",IFERROR(INDEX(M_loc,MATCH($B1537,M_emp,0)),""))</f>
        <v/>
      </c>
      <c r="F1537" s="33"/>
      <c r="G1537" s="33"/>
      <c r="H1537" s="33"/>
      <c r="I1537" s="33"/>
      <c r="J1537" s="33"/>
      <c r="K1537" s="33"/>
      <c r="L1537" s="33"/>
      <c r="M1537" s="33"/>
      <c r="N1537" s="33"/>
      <c r="O1537" s="33"/>
      <c r="P1537" s="33"/>
      <c r="Q1537" s="33"/>
      <c r="R1537" s="33"/>
      <c r="S1537" s="33"/>
      <c r="T1537" s="33"/>
      <c r="U1537" s="33"/>
      <c r="V1537" s="33"/>
      <c r="W1537" s="33"/>
      <c r="X1537" s="33"/>
      <c r="Y1537" s="33"/>
      <c r="Z1537" s="33"/>
      <c r="AA1537" s="33"/>
      <c r="AB1537" s="33"/>
      <c r="AC1537" s="33"/>
      <c r="AD1537" s="33"/>
      <c r="AE1537" s="33"/>
      <c r="AF1537" s="33"/>
      <c r="AG1537" s="33"/>
      <c r="AH1537" s="33"/>
      <c r="AI1537" s="33"/>
      <c r="AJ1537" s="33"/>
      <c r="AK1537" s="34" t="str">
        <f aca="false">IF($B1537="","",COUNTIF($F1537:$AJ1537,"P"))</f>
        <v/>
      </c>
      <c r="AL1537" s="34" t="str">
        <f aca="false">IF($B1537="","",COUNTIF($F1537:$AJ1537,"A"))</f>
        <v/>
      </c>
      <c r="AM1537" s="34" t="str">
        <f aca="false">IF($B1537="","",COUNTIF($F1537:$AJ1537,"HA"))</f>
        <v/>
      </c>
      <c r="AN1537" s="34" t="str">
        <f aca="false">IF($B1537="","",COUNTIF($F1537:$AJ1537,"L"))</f>
        <v/>
      </c>
      <c r="AO1537" s="34" t="str">
        <f aca="false">IF($B1537="","",COUNTIF($F1537:$AJ1537,"PL"))</f>
        <v/>
      </c>
      <c r="AP1537" s="34" t="str">
        <f aca="false">IF($B1537="","",COUNTIF($F1537:$AJ1537,"CL"))</f>
        <v/>
      </c>
      <c r="AQ1537" s="34" t="str">
        <f aca="false">IF($B1537="","",COUNTIF($F1537:$AJ1537,"SL"))</f>
        <v/>
      </c>
      <c r="AR1537" s="34" t="str">
        <f aca="false">IF($B1537="","",COUNTIF($F1537:$AJ1537,"CO"))</f>
        <v/>
      </c>
      <c r="AS1537" s="34" t="str">
        <f aca="false">IF($B1537="","",COUNTIF($F1537:$AJ1537,"HPL"))</f>
        <v/>
      </c>
      <c r="AT1537" s="34" t="str">
        <f aca="false">IF($B1537="","",COUNTIF($F1537:$AJ1537,"HCL"))</f>
        <v/>
      </c>
      <c r="AU1537" s="34" t="str">
        <f aca="false">IF($B1537="","",COUNTIF($F1537:$AJ1537,"WO"))</f>
        <v/>
      </c>
      <c r="AV1537" s="34" t="str">
        <f aca="false">IF($B1537="","",COUNTIF($F1537:$AJ1537,"PH"))</f>
        <v/>
      </c>
      <c r="AW1537" s="34" t="str">
        <f aca="false">IF($B1537="","",COUNTIF($F1537:$AJ1537,"TR"))</f>
        <v/>
      </c>
      <c r="AX1537" s="35" t="str">
        <f aca="false">IF($B1537="","",AO1537+AS1537/2)</f>
        <v/>
      </c>
      <c r="AY1537" s="35" t="str">
        <f aca="false">IF($B1537="","",AQ1537)</f>
        <v/>
      </c>
      <c r="AZ1537" s="35" t="str">
        <f aca="false">IF($B1537="","",AP1537+AT1537/2)</f>
        <v/>
      </c>
      <c r="BA1537" s="35" t="str">
        <f aca="false">IF($B1537="","",AK1537+AN1537+AM1537/2+AO1537+AP1537+AQ1537+AR1537+AS1537+AT1537+AU1537+AV1537+AW1537)</f>
        <v/>
      </c>
      <c r="BB1537" s="35" t="str">
        <f aca="false">IF($B1537="","",MAX(0,AN1537-Settings!$C$16)*Settings!$C$17)</f>
        <v/>
      </c>
      <c r="BC1537" s="35" t="str">
        <f aca="false">IF($B1537="","",BA1537-BB1537)</f>
        <v/>
      </c>
      <c r="BD1537" s="35" t="str">
        <f aca="false">IF(OR($B1537="",$A1537=""),"",DAY(EOMONTH($A1537,0))-COUNTA($F1537:$AJ1537))</f>
        <v/>
      </c>
    </row>
    <row r="1538" customFormat="false" ht="15" hidden="false" customHeight="false" outlineLevel="0" collapsed="false">
      <c r="A1538" s="32"/>
      <c r="B1538" s="29"/>
      <c r="C1538" s="10" t="str">
        <f aca="false">IF($B1538="","",IFERROR(INDEX(M_name,MATCH($B1538,M_emp,0)),"Code not found"))</f>
        <v/>
      </c>
      <c r="D1538" s="10" t="str">
        <f aca="false">IF($B1538="","",IFERROR(INDEX(M_dept,MATCH($B1538,M_emp,0)),""))</f>
        <v/>
      </c>
      <c r="E1538" s="10" t="str">
        <f aca="false">IF($B1538="","",IFERROR(INDEX(M_loc,MATCH($B1538,M_emp,0)),""))</f>
        <v/>
      </c>
      <c r="F1538" s="33"/>
      <c r="G1538" s="33"/>
      <c r="H1538" s="33"/>
      <c r="I1538" s="33"/>
      <c r="J1538" s="33"/>
      <c r="K1538" s="33"/>
      <c r="L1538" s="33"/>
      <c r="M1538" s="33"/>
      <c r="N1538" s="33"/>
      <c r="O1538" s="33"/>
      <c r="P1538" s="33"/>
      <c r="Q1538" s="33"/>
      <c r="R1538" s="33"/>
      <c r="S1538" s="33"/>
      <c r="T1538" s="33"/>
      <c r="U1538" s="33"/>
      <c r="V1538" s="33"/>
      <c r="W1538" s="33"/>
      <c r="X1538" s="33"/>
      <c r="Y1538" s="33"/>
      <c r="Z1538" s="33"/>
      <c r="AA1538" s="33"/>
      <c r="AB1538" s="33"/>
      <c r="AC1538" s="33"/>
      <c r="AD1538" s="33"/>
      <c r="AE1538" s="33"/>
      <c r="AF1538" s="33"/>
      <c r="AG1538" s="33"/>
      <c r="AH1538" s="33"/>
      <c r="AI1538" s="33"/>
      <c r="AJ1538" s="33"/>
      <c r="AK1538" s="34" t="str">
        <f aca="false">IF($B1538="","",COUNTIF($F1538:$AJ1538,"P"))</f>
        <v/>
      </c>
      <c r="AL1538" s="34" t="str">
        <f aca="false">IF($B1538="","",COUNTIF($F1538:$AJ1538,"A"))</f>
        <v/>
      </c>
      <c r="AM1538" s="34" t="str">
        <f aca="false">IF($B1538="","",COUNTIF($F1538:$AJ1538,"HA"))</f>
        <v/>
      </c>
      <c r="AN1538" s="34" t="str">
        <f aca="false">IF($B1538="","",COUNTIF($F1538:$AJ1538,"L"))</f>
        <v/>
      </c>
      <c r="AO1538" s="34" t="str">
        <f aca="false">IF($B1538="","",COUNTIF($F1538:$AJ1538,"PL"))</f>
        <v/>
      </c>
      <c r="AP1538" s="34" t="str">
        <f aca="false">IF($B1538="","",COUNTIF($F1538:$AJ1538,"CL"))</f>
        <v/>
      </c>
      <c r="AQ1538" s="34" t="str">
        <f aca="false">IF($B1538="","",COUNTIF($F1538:$AJ1538,"SL"))</f>
        <v/>
      </c>
      <c r="AR1538" s="34" t="str">
        <f aca="false">IF($B1538="","",COUNTIF($F1538:$AJ1538,"CO"))</f>
        <v/>
      </c>
      <c r="AS1538" s="34" t="str">
        <f aca="false">IF($B1538="","",COUNTIF($F1538:$AJ1538,"HPL"))</f>
        <v/>
      </c>
      <c r="AT1538" s="34" t="str">
        <f aca="false">IF($B1538="","",COUNTIF($F1538:$AJ1538,"HCL"))</f>
        <v/>
      </c>
      <c r="AU1538" s="34" t="str">
        <f aca="false">IF($B1538="","",COUNTIF($F1538:$AJ1538,"WO"))</f>
        <v/>
      </c>
      <c r="AV1538" s="34" t="str">
        <f aca="false">IF($B1538="","",COUNTIF($F1538:$AJ1538,"PH"))</f>
        <v/>
      </c>
      <c r="AW1538" s="34" t="str">
        <f aca="false">IF($B1538="","",COUNTIF($F1538:$AJ1538,"TR"))</f>
        <v/>
      </c>
      <c r="AX1538" s="35" t="str">
        <f aca="false">IF($B1538="","",AO1538+AS1538/2)</f>
        <v/>
      </c>
      <c r="AY1538" s="35" t="str">
        <f aca="false">IF($B1538="","",AQ1538)</f>
        <v/>
      </c>
      <c r="AZ1538" s="35" t="str">
        <f aca="false">IF($B1538="","",AP1538+AT1538/2)</f>
        <v/>
      </c>
      <c r="BA1538" s="35" t="str">
        <f aca="false">IF($B1538="","",AK1538+AN1538+AM1538/2+AO1538+AP1538+AQ1538+AR1538+AS1538+AT1538+AU1538+AV1538+AW1538)</f>
        <v/>
      </c>
      <c r="BB1538" s="35" t="str">
        <f aca="false">IF($B1538="","",MAX(0,AN1538-Settings!$C$16)*Settings!$C$17)</f>
        <v/>
      </c>
      <c r="BC1538" s="35" t="str">
        <f aca="false">IF($B1538="","",BA1538-BB1538)</f>
        <v/>
      </c>
      <c r="BD1538" s="35" t="str">
        <f aca="false">IF(OR($B1538="",$A1538=""),"",DAY(EOMONTH($A1538,0))-COUNTA($F1538:$AJ1538))</f>
        <v/>
      </c>
    </row>
    <row r="1539" customFormat="false" ht="15" hidden="false" customHeight="false" outlineLevel="0" collapsed="false">
      <c r="A1539" s="32"/>
      <c r="B1539" s="29"/>
      <c r="C1539" s="10" t="str">
        <f aca="false">IF($B1539="","",IFERROR(INDEX(M_name,MATCH($B1539,M_emp,0)),"Code not found"))</f>
        <v/>
      </c>
      <c r="D1539" s="10" t="str">
        <f aca="false">IF($B1539="","",IFERROR(INDEX(M_dept,MATCH($B1539,M_emp,0)),""))</f>
        <v/>
      </c>
      <c r="E1539" s="10" t="str">
        <f aca="false">IF($B1539="","",IFERROR(INDEX(M_loc,MATCH($B1539,M_emp,0)),""))</f>
        <v/>
      </c>
      <c r="F1539" s="33"/>
      <c r="G1539" s="33"/>
      <c r="H1539" s="33"/>
      <c r="I1539" s="33"/>
      <c r="J1539" s="33"/>
      <c r="K1539" s="33"/>
      <c r="L1539" s="33"/>
      <c r="M1539" s="33"/>
      <c r="N1539" s="33"/>
      <c r="O1539" s="33"/>
      <c r="P1539" s="33"/>
      <c r="Q1539" s="33"/>
      <c r="R1539" s="33"/>
      <c r="S1539" s="33"/>
      <c r="T1539" s="33"/>
      <c r="U1539" s="33"/>
      <c r="V1539" s="33"/>
      <c r="W1539" s="33"/>
      <c r="X1539" s="33"/>
      <c r="Y1539" s="33"/>
      <c r="Z1539" s="33"/>
      <c r="AA1539" s="33"/>
      <c r="AB1539" s="33"/>
      <c r="AC1539" s="33"/>
      <c r="AD1539" s="33"/>
      <c r="AE1539" s="33"/>
      <c r="AF1539" s="33"/>
      <c r="AG1539" s="33"/>
      <c r="AH1539" s="33"/>
      <c r="AI1539" s="33"/>
      <c r="AJ1539" s="33"/>
      <c r="AK1539" s="34" t="str">
        <f aca="false">IF($B1539="","",COUNTIF($F1539:$AJ1539,"P"))</f>
        <v/>
      </c>
      <c r="AL1539" s="34" t="str">
        <f aca="false">IF($B1539="","",COUNTIF($F1539:$AJ1539,"A"))</f>
        <v/>
      </c>
      <c r="AM1539" s="34" t="str">
        <f aca="false">IF($B1539="","",COUNTIF($F1539:$AJ1539,"HA"))</f>
        <v/>
      </c>
      <c r="AN1539" s="34" t="str">
        <f aca="false">IF($B1539="","",COUNTIF($F1539:$AJ1539,"L"))</f>
        <v/>
      </c>
      <c r="AO1539" s="34" t="str">
        <f aca="false">IF($B1539="","",COUNTIF($F1539:$AJ1539,"PL"))</f>
        <v/>
      </c>
      <c r="AP1539" s="34" t="str">
        <f aca="false">IF($B1539="","",COUNTIF($F1539:$AJ1539,"CL"))</f>
        <v/>
      </c>
      <c r="AQ1539" s="34" t="str">
        <f aca="false">IF($B1539="","",COUNTIF($F1539:$AJ1539,"SL"))</f>
        <v/>
      </c>
      <c r="AR1539" s="34" t="str">
        <f aca="false">IF($B1539="","",COUNTIF($F1539:$AJ1539,"CO"))</f>
        <v/>
      </c>
      <c r="AS1539" s="34" t="str">
        <f aca="false">IF($B1539="","",COUNTIF($F1539:$AJ1539,"HPL"))</f>
        <v/>
      </c>
      <c r="AT1539" s="34" t="str">
        <f aca="false">IF($B1539="","",COUNTIF($F1539:$AJ1539,"HCL"))</f>
        <v/>
      </c>
      <c r="AU1539" s="34" t="str">
        <f aca="false">IF($B1539="","",COUNTIF($F1539:$AJ1539,"WO"))</f>
        <v/>
      </c>
      <c r="AV1539" s="34" t="str">
        <f aca="false">IF($B1539="","",COUNTIF($F1539:$AJ1539,"PH"))</f>
        <v/>
      </c>
      <c r="AW1539" s="34" t="str">
        <f aca="false">IF($B1539="","",COUNTIF($F1539:$AJ1539,"TR"))</f>
        <v/>
      </c>
      <c r="AX1539" s="35" t="str">
        <f aca="false">IF($B1539="","",AO1539+AS1539/2)</f>
        <v/>
      </c>
      <c r="AY1539" s="35" t="str">
        <f aca="false">IF($B1539="","",AQ1539)</f>
        <v/>
      </c>
      <c r="AZ1539" s="35" t="str">
        <f aca="false">IF($B1539="","",AP1539+AT1539/2)</f>
        <v/>
      </c>
      <c r="BA1539" s="35" t="str">
        <f aca="false">IF($B1539="","",AK1539+AN1539+AM1539/2+AO1539+AP1539+AQ1539+AR1539+AS1539+AT1539+AU1539+AV1539+AW1539)</f>
        <v/>
      </c>
      <c r="BB1539" s="35" t="str">
        <f aca="false">IF($B1539="","",MAX(0,AN1539-Settings!$C$16)*Settings!$C$17)</f>
        <v/>
      </c>
      <c r="BC1539" s="35" t="str">
        <f aca="false">IF($B1539="","",BA1539-BB1539)</f>
        <v/>
      </c>
      <c r="BD1539" s="35" t="str">
        <f aca="false">IF(OR($B1539="",$A1539=""),"",DAY(EOMONTH($A1539,0))-COUNTA($F1539:$AJ1539))</f>
        <v/>
      </c>
    </row>
    <row r="1540" customFormat="false" ht="15" hidden="false" customHeight="false" outlineLevel="0" collapsed="false">
      <c r="A1540" s="32"/>
      <c r="B1540" s="29"/>
      <c r="C1540" s="10" t="str">
        <f aca="false">IF($B1540="","",IFERROR(INDEX(M_name,MATCH($B1540,M_emp,0)),"Code not found"))</f>
        <v/>
      </c>
      <c r="D1540" s="10" t="str">
        <f aca="false">IF($B1540="","",IFERROR(INDEX(M_dept,MATCH($B1540,M_emp,0)),""))</f>
        <v/>
      </c>
      <c r="E1540" s="10" t="str">
        <f aca="false">IF($B1540="","",IFERROR(INDEX(M_loc,MATCH($B1540,M_emp,0)),""))</f>
        <v/>
      </c>
      <c r="F1540" s="33"/>
      <c r="G1540" s="33"/>
      <c r="H1540" s="33"/>
      <c r="I1540" s="33"/>
      <c r="J1540" s="33"/>
      <c r="K1540" s="33"/>
      <c r="L1540" s="33"/>
      <c r="M1540" s="33"/>
      <c r="N1540" s="33"/>
      <c r="O1540" s="33"/>
      <c r="P1540" s="33"/>
      <c r="Q1540" s="33"/>
      <c r="R1540" s="33"/>
      <c r="S1540" s="33"/>
      <c r="T1540" s="33"/>
      <c r="U1540" s="33"/>
      <c r="V1540" s="33"/>
      <c r="W1540" s="33"/>
      <c r="X1540" s="33"/>
      <c r="Y1540" s="33"/>
      <c r="Z1540" s="33"/>
      <c r="AA1540" s="33"/>
      <c r="AB1540" s="33"/>
      <c r="AC1540" s="33"/>
      <c r="AD1540" s="33"/>
      <c r="AE1540" s="33"/>
      <c r="AF1540" s="33"/>
      <c r="AG1540" s="33"/>
      <c r="AH1540" s="33"/>
      <c r="AI1540" s="33"/>
      <c r="AJ1540" s="33"/>
      <c r="AK1540" s="34" t="str">
        <f aca="false">IF($B1540="","",COUNTIF($F1540:$AJ1540,"P"))</f>
        <v/>
      </c>
      <c r="AL1540" s="34" t="str">
        <f aca="false">IF($B1540="","",COUNTIF($F1540:$AJ1540,"A"))</f>
        <v/>
      </c>
      <c r="AM1540" s="34" t="str">
        <f aca="false">IF($B1540="","",COUNTIF($F1540:$AJ1540,"HA"))</f>
        <v/>
      </c>
      <c r="AN1540" s="34" t="str">
        <f aca="false">IF($B1540="","",COUNTIF($F1540:$AJ1540,"L"))</f>
        <v/>
      </c>
      <c r="AO1540" s="34" t="str">
        <f aca="false">IF($B1540="","",COUNTIF($F1540:$AJ1540,"PL"))</f>
        <v/>
      </c>
      <c r="AP1540" s="34" t="str">
        <f aca="false">IF($B1540="","",COUNTIF($F1540:$AJ1540,"CL"))</f>
        <v/>
      </c>
      <c r="AQ1540" s="34" t="str">
        <f aca="false">IF($B1540="","",COUNTIF($F1540:$AJ1540,"SL"))</f>
        <v/>
      </c>
      <c r="AR1540" s="34" t="str">
        <f aca="false">IF($B1540="","",COUNTIF($F1540:$AJ1540,"CO"))</f>
        <v/>
      </c>
      <c r="AS1540" s="34" t="str">
        <f aca="false">IF($B1540="","",COUNTIF($F1540:$AJ1540,"HPL"))</f>
        <v/>
      </c>
      <c r="AT1540" s="34" t="str">
        <f aca="false">IF($B1540="","",COUNTIF($F1540:$AJ1540,"HCL"))</f>
        <v/>
      </c>
      <c r="AU1540" s="34" t="str">
        <f aca="false">IF($B1540="","",COUNTIF($F1540:$AJ1540,"WO"))</f>
        <v/>
      </c>
      <c r="AV1540" s="34" t="str">
        <f aca="false">IF($B1540="","",COUNTIF($F1540:$AJ1540,"PH"))</f>
        <v/>
      </c>
      <c r="AW1540" s="34" t="str">
        <f aca="false">IF($B1540="","",COUNTIF($F1540:$AJ1540,"TR"))</f>
        <v/>
      </c>
      <c r="AX1540" s="35" t="str">
        <f aca="false">IF($B1540="","",AO1540+AS1540/2)</f>
        <v/>
      </c>
      <c r="AY1540" s="35" t="str">
        <f aca="false">IF($B1540="","",AQ1540)</f>
        <v/>
      </c>
      <c r="AZ1540" s="35" t="str">
        <f aca="false">IF($B1540="","",AP1540+AT1540/2)</f>
        <v/>
      </c>
      <c r="BA1540" s="35" t="str">
        <f aca="false">IF($B1540="","",AK1540+AN1540+AM1540/2+AO1540+AP1540+AQ1540+AR1540+AS1540+AT1540+AU1540+AV1540+AW1540)</f>
        <v/>
      </c>
      <c r="BB1540" s="35" t="str">
        <f aca="false">IF($B1540="","",MAX(0,AN1540-Settings!$C$16)*Settings!$C$17)</f>
        <v/>
      </c>
      <c r="BC1540" s="35" t="str">
        <f aca="false">IF($B1540="","",BA1540-BB1540)</f>
        <v/>
      </c>
      <c r="BD1540" s="35" t="str">
        <f aca="false">IF(OR($B1540="",$A1540=""),"",DAY(EOMONTH($A1540,0))-COUNTA($F1540:$AJ1540))</f>
        <v/>
      </c>
    </row>
    <row r="1541" customFormat="false" ht="15" hidden="false" customHeight="false" outlineLevel="0" collapsed="false">
      <c r="A1541" s="32"/>
      <c r="B1541" s="29"/>
      <c r="C1541" s="10" t="str">
        <f aca="false">IF($B1541="","",IFERROR(INDEX(M_name,MATCH($B1541,M_emp,0)),"Code not found"))</f>
        <v/>
      </c>
      <c r="D1541" s="10" t="str">
        <f aca="false">IF($B1541="","",IFERROR(INDEX(M_dept,MATCH($B1541,M_emp,0)),""))</f>
        <v/>
      </c>
      <c r="E1541" s="10" t="str">
        <f aca="false">IF($B1541="","",IFERROR(INDEX(M_loc,MATCH($B1541,M_emp,0)),""))</f>
        <v/>
      </c>
      <c r="F1541" s="33"/>
      <c r="G1541" s="33"/>
      <c r="H1541" s="33"/>
      <c r="I1541" s="33"/>
      <c r="J1541" s="33"/>
      <c r="K1541" s="33"/>
      <c r="L1541" s="33"/>
      <c r="M1541" s="33"/>
      <c r="N1541" s="33"/>
      <c r="O1541" s="33"/>
      <c r="P1541" s="33"/>
      <c r="Q1541" s="33"/>
      <c r="R1541" s="33"/>
      <c r="S1541" s="33"/>
      <c r="T1541" s="33"/>
      <c r="U1541" s="33"/>
      <c r="V1541" s="33"/>
      <c r="W1541" s="33"/>
      <c r="X1541" s="33"/>
      <c r="Y1541" s="33"/>
      <c r="Z1541" s="33"/>
      <c r="AA1541" s="33"/>
      <c r="AB1541" s="33"/>
      <c r="AC1541" s="33"/>
      <c r="AD1541" s="33"/>
      <c r="AE1541" s="33"/>
      <c r="AF1541" s="33"/>
      <c r="AG1541" s="33"/>
      <c r="AH1541" s="33"/>
      <c r="AI1541" s="33"/>
      <c r="AJ1541" s="33"/>
      <c r="AK1541" s="34" t="str">
        <f aca="false">IF($B1541="","",COUNTIF($F1541:$AJ1541,"P"))</f>
        <v/>
      </c>
      <c r="AL1541" s="34" t="str">
        <f aca="false">IF($B1541="","",COUNTIF($F1541:$AJ1541,"A"))</f>
        <v/>
      </c>
      <c r="AM1541" s="34" t="str">
        <f aca="false">IF($B1541="","",COUNTIF($F1541:$AJ1541,"HA"))</f>
        <v/>
      </c>
      <c r="AN1541" s="34" t="str">
        <f aca="false">IF($B1541="","",COUNTIF($F1541:$AJ1541,"L"))</f>
        <v/>
      </c>
      <c r="AO1541" s="34" t="str">
        <f aca="false">IF($B1541="","",COUNTIF($F1541:$AJ1541,"PL"))</f>
        <v/>
      </c>
      <c r="AP1541" s="34" t="str">
        <f aca="false">IF($B1541="","",COUNTIF($F1541:$AJ1541,"CL"))</f>
        <v/>
      </c>
      <c r="AQ1541" s="34" t="str">
        <f aca="false">IF($B1541="","",COUNTIF($F1541:$AJ1541,"SL"))</f>
        <v/>
      </c>
      <c r="AR1541" s="34" t="str">
        <f aca="false">IF($B1541="","",COUNTIF($F1541:$AJ1541,"CO"))</f>
        <v/>
      </c>
      <c r="AS1541" s="34" t="str">
        <f aca="false">IF($B1541="","",COUNTIF($F1541:$AJ1541,"HPL"))</f>
        <v/>
      </c>
      <c r="AT1541" s="34" t="str">
        <f aca="false">IF($B1541="","",COUNTIF($F1541:$AJ1541,"HCL"))</f>
        <v/>
      </c>
      <c r="AU1541" s="34" t="str">
        <f aca="false">IF($B1541="","",COUNTIF($F1541:$AJ1541,"WO"))</f>
        <v/>
      </c>
      <c r="AV1541" s="34" t="str">
        <f aca="false">IF($B1541="","",COUNTIF($F1541:$AJ1541,"PH"))</f>
        <v/>
      </c>
      <c r="AW1541" s="34" t="str">
        <f aca="false">IF($B1541="","",COUNTIF($F1541:$AJ1541,"TR"))</f>
        <v/>
      </c>
      <c r="AX1541" s="35" t="str">
        <f aca="false">IF($B1541="","",AO1541+AS1541/2)</f>
        <v/>
      </c>
      <c r="AY1541" s="35" t="str">
        <f aca="false">IF($B1541="","",AQ1541)</f>
        <v/>
      </c>
      <c r="AZ1541" s="35" t="str">
        <f aca="false">IF($B1541="","",AP1541+AT1541/2)</f>
        <v/>
      </c>
      <c r="BA1541" s="35" t="str">
        <f aca="false">IF($B1541="","",AK1541+AN1541+AM1541/2+AO1541+AP1541+AQ1541+AR1541+AS1541+AT1541+AU1541+AV1541+AW1541)</f>
        <v/>
      </c>
      <c r="BB1541" s="35" t="str">
        <f aca="false">IF($B1541="","",MAX(0,AN1541-Settings!$C$16)*Settings!$C$17)</f>
        <v/>
      </c>
      <c r="BC1541" s="35" t="str">
        <f aca="false">IF($B1541="","",BA1541-BB1541)</f>
        <v/>
      </c>
      <c r="BD1541" s="35" t="str">
        <f aca="false">IF(OR($B1541="",$A1541=""),"",DAY(EOMONTH($A1541,0))-COUNTA($F1541:$AJ1541))</f>
        <v/>
      </c>
    </row>
    <row r="1542" customFormat="false" ht="15" hidden="false" customHeight="false" outlineLevel="0" collapsed="false">
      <c r="A1542" s="32"/>
      <c r="B1542" s="29"/>
      <c r="C1542" s="10" t="str">
        <f aca="false">IF($B1542="","",IFERROR(INDEX(M_name,MATCH($B1542,M_emp,0)),"Code not found"))</f>
        <v/>
      </c>
      <c r="D1542" s="10" t="str">
        <f aca="false">IF($B1542="","",IFERROR(INDEX(M_dept,MATCH($B1542,M_emp,0)),""))</f>
        <v/>
      </c>
      <c r="E1542" s="10" t="str">
        <f aca="false">IF($B1542="","",IFERROR(INDEX(M_loc,MATCH($B1542,M_emp,0)),""))</f>
        <v/>
      </c>
      <c r="F1542" s="33"/>
      <c r="G1542" s="33"/>
      <c r="H1542" s="33"/>
      <c r="I1542" s="33"/>
      <c r="J1542" s="33"/>
      <c r="K1542" s="33"/>
      <c r="L1542" s="33"/>
      <c r="M1542" s="33"/>
      <c r="N1542" s="33"/>
      <c r="O1542" s="33"/>
      <c r="P1542" s="33"/>
      <c r="Q1542" s="33"/>
      <c r="R1542" s="33"/>
      <c r="S1542" s="33"/>
      <c r="T1542" s="33"/>
      <c r="U1542" s="33"/>
      <c r="V1542" s="33"/>
      <c r="W1542" s="33"/>
      <c r="X1542" s="33"/>
      <c r="Y1542" s="33"/>
      <c r="Z1542" s="33"/>
      <c r="AA1542" s="33"/>
      <c r="AB1542" s="33"/>
      <c r="AC1542" s="33"/>
      <c r="AD1542" s="33"/>
      <c r="AE1542" s="33"/>
      <c r="AF1542" s="33"/>
      <c r="AG1542" s="33"/>
      <c r="AH1542" s="33"/>
      <c r="AI1542" s="33"/>
      <c r="AJ1542" s="33"/>
      <c r="AK1542" s="34" t="str">
        <f aca="false">IF($B1542="","",COUNTIF($F1542:$AJ1542,"P"))</f>
        <v/>
      </c>
      <c r="AL1542" s="34" t="str">
        <f aca="false">IF($B1542="","",COUNTIF($F1542:$AJ1542,"A"))</f>
        <v/>
      </c>
      <c r="AM1542" s="34" t="str">
        <f aca="false">IF($B1542="","",COUNTIF($F1542:$AJ1542,"HA"))</f>
        <v/>
      </c>
      <c r="AN1542" s="34" t="str">
        <f aca="false">IF($B1542="","",COUNTIF($F1542:$AJ1542,"L"))</f>
        <v/>
      </c>
      <c r="AO1542" s="34" t="str">
        <f aca="false">IF($B1542="","",COUNTIF($F1542:$AJ1542,"PL"))</f>
        <v/>
      </c>
      <c r="AP1542" s="34" t="str">
        <f aca="false">IF($B1542="","",COUNTIF($F1542:$AJ1542,"CL"))</f>
        <v/>
      </c>
      <c r="AQ1542" s="34" t="str">
        <f aca="false">IF($B1542="","",COUNTIF($F1542:$AJ1542,"SL"))</f>
        <v/>
      </c>
      <c r="AR1542" s="34" t="str">
        <f aca="false">IF($B1542="","",COUNTIF($F1542:$AJ1542,"CO"))</f>
        <v/>
      </c>
      <c r="AS1542" s="34" t="str">
        <f aca="false">IF($B1542="","",COUNTIF($F1542:$AJ1542,"HPL"))</f>
        <v/>
      </c>
      <c r="AT1542" s="34" t="str">
        <f aca="false">IF($B1542="","",COUNTIF($F1542:$AJ1542,"HCL"))</f>
        <v/>
      </c>
      <c r="AU1542" s="34" t="str">
        <f aca="false">IF($B1542="","",COUNTIF($F1542:$AJ1542,"WO"))</f>
        <v/>
      </c>
      <c r="AV1542" s="34" t="str">
        <f aca="false">IF($B1542="","",COUNTIF($F1542:$AJ1542,"PH"))</f>
        <v/>
      </c>
      <c r="AW1542" s="34" t="str">
        <f aca="false">IF($B1542="","",COUNTIF($F1542:$AJ1542,"TR"))</f>
        <v/>
      </c>
      <c r="AX1542" s="35" t="str">
        <f aca="false">IF($B1542="","",AO1542+AS1542/2)</f>
        <v/>
      </c>
      <c r="AY1542" s="35" t="str">
        <f aca="false">IF($B1542="","",AQ1542)</f>
        <v/>
      </c>
      <c r="AZ1542" s="35" t="str">
        <f aca="false">IF($B1542="","",AP1542+AT1542/2)</f>
        <v/>
      </c>
      <c r="BA1542" s="35" t="str">
        <f aca="false">IF($B1542="","",AK1542+AN1542+AM1542/2+AO1542+AP1542+AQ1542+AR1542+AS1542+AT1542+AU1542+AV1542+AW1542)</f>
        <v/>
      </c>
      <c r="BB1542" s="35" t="str">
        <f aca="false">IF($B1542="","",MAX(0,AN1542-Settings!$C$16)*Settings!$C$17)</f>
        <v/>
      </c>
      <c r="BC1542" s="35" t="str">
        <f aca="false">IF($B1542="","",BA1542-BB1542)</f>
        <v/>
      </c>
      <c r="BD1542" s="35" t="str">
        <f aca="false">IF(OR($B1542="",$A1542=""),"",DAY(EOMONTH($A1542,0))-COUNTA($F1542:$AJ1542))</f>
        <v/>
      </c>
    </row>
    <row r="1543" customFormat="false" ht="15" hidden="false" customHeight="false" outlineLevel="0" collapsed="false">
      <c r="A1543" s="32"/>
      <c r="B1543" s="29"/>
      <c r="C1543" s="10" t="str">
        <f aca="false">IF($B1543="","",IFERROR(INDEX(M_name,MATCH($B1543,M_emp,0)),"Code not found"))</f>
        <v/>
      </c>
      <c r="D1543" s="10" t="str">
        <f aca="false">IF($B1543="","",IFERROR(INDEX(M_dept,MATCH($B1543,M_emp,0)),""))</f>
        <v/>
      </c>
      <c r="E1543" s="10" t="str">
        <f aca="false">IF($B1543="","",IFERROR(INDEX(M_loc,MATCH($B1543,M_emp,0)),""))</f>
        <v/>
      </c>
      <c r="F1543" s="33"/>
      <c r="G1543" s="33"/>
      <c r="H1543" s="33"/>
      <c r="I1543" s="33"/>
      <c r="J1543" s="33"/>
      <c r="K1543" s="33"/>
      <c r="L1543" s="33"/>
      <c r="M1543" s="33"/>
      <c r="N1543" s="33"/>
      <c r="O1543" s="33"/>
      <c r="P1543" s="33"/>
      <c r="Q1543" s="33"/>
      <c r="R1543" s="33"/>
      <c r="S1543" s="33"/>
      <c r="T1543" s="33"/>
      <c r="U1543" s="33"/>
      <c r="V1543" s="33"/>
      <c r="W1543" s="33"/>
      <c r="X1543" s="33"/>
      <c r="Y1543" s="33"/>
      <c r="Z1543" s="33"/>
      <c r="AA1543" s="33"/>
      <c r="AB1543" s="33"/>
      <c r="AC1543" s="33"/>
      <c r="AD1543" s="33"/>
      <c r="AE1543" s="33"/>
      <c r="AF1543" s="33"/>
      <c r="AG1543" s="33"/>
      <c r="AH1543" s="33"/>
      <c r="AI1543" s="33"/>
      <c r="AJ1543" s="33"/>
      <c r="AK1543" s="34" t="str">
        <f aca="false">IF($B1543="","",COUNTIF($F1543:$AJ1543,"P"))</f>
        <v/>
      </c>
      <c r="AL1543" s="34" t="str">
        <f aca="false">IF($B1543="","",COUNTIF($F1543:$AJ1543,"A"))</f>
        <v/>
      </c>
      <c r="AM1543" s="34" t="str">
        <f aca="false">IF($B1543="","",COUNTIF($F1543:$AJ1543,"HA"))</f>
        <v/>
      </c>
      <c r="AN1543" s="34" t="str">
        <f aca="false">IF($B1543="","",COUNTIF($F1543:$AJ1543,"L"))</f>
        <v/>
      </c>
      <c r="AO1543" s="34" t="str">
        <f aca="false">IF($B1543="","",COUNTIF($F1543:$AJ1543,"PL"))</f>
        <v/>
      </c>
      <c r="AP1543" s="34" t="str">
        <f aca="false">IF($B1543="","",COUNTIF($F1543:$AJ1543,"CL"))</f>
        <v/>
      </c>
      <c r="AQ1543" s="34" t="str">
        <f aca="false">IF($B1543="","",COUNTIF($F1543:$AJ1543,"SL"))</f>
        <v/>
      </c>
      <c r="AR1543" s="34" t="str">
        <f aca="false">IF($B1543="","",COUNTIF($F1543:$AJ1543,"CO"))</f>
        <v/>
      </c>
      <c r="AS1543" s="34" t="str">
        <f aca="false">IF($B1543="","",COUNTIF($F1543:$AJ1543,"HPL"))</f>
        <v/>
      </c>
      <c r="AT1543" s="34" t="str">
        <f aca="false">IF($B1543="","",COUNTIF($F1543:$AJ1543,"HCL"))</f>
        <v/>
      </c>
      <c r="AU1543" s="34" t="str">
        <f aca="false">IF($B1543="","",COUNTIF($F1543:$AJ1543,"WO"))</f>
        <v/>
      </c>
      <c r="AV1543" s="34" t="str">
        <f aca="false">IF($B1543="","",COUNTIF($F1543:$AJ1543,"PH"))</f>
        <v/>
      </c>
      <c r="AW1543" s="34" t="str">
        <f aca="false">IF($B1543="","",COUNTIF($F1543:$AJ1543,"TR"))</f>
        <v/>
      </c>
      <c r="AX1543" s="35" t="str">
        <f aca="false">IF($B1543="","",AO1543+AS1543/2)</f>
        <v/>
      </c>
      <c r="AY1543" s="35" t="str">
        <f aca="false">IF($B1543="","",AQ1543)</f>
        <v/>
      </c>
      <c r="AZ1543" s="35" t="str">
        <f aca="false">IF($B1543="","",AP1543+AT1543/2)</f>
        <v/>
      </c>
      <c r="BA1543" s="35" t="str">
        <f aca="false">IF($B1543="","",AK1543+AN1543+AM1543/2+AO1543+AP1543+AQ1543+AR1543+AS1543+AT1543+AU1543+AV1543+AW1543)</f>
        <v/>
      </c>
      <c r="BB1543" s="35" t="str">
        <f aca="false">IF($B1543="","",MAX(0,AN1543-Settings!$C$16)*Settings!$C$17)</f>
        <v/>
      </c>
      <c r="BC1543" s="35" t="str">
        <f aca="false">IF($B1543="","",BA1543-BB1543)</f>
        <v/>
      </c>
      <c r="BD1543" s="35" t="str">
        <f aca="false">IF(OR($B1543="",$A1543=""),"",DAY(EOMONTH($A1543,0))-COUNTA($F1543:$AJ1543))</f>
        <v/>
      </c>
    </row>
    <row r="1544" customFormat="false" ht="15" hidden="false" customHeight="false" outlineLevel="0" collapsed="false">
      <c r="A1544" s="32"/>
      <c r="B1544" s="29"/>
      <c r="C1544" s="10" t="str">
        <f aca="false">IF($B1544="","",IFERROR(INDEX(M_name,MATCH($B1544,M_emp,0)),"Code not found"))</f>
        <v/>
      </c>
      <c r="D1544" s="10" t="str">
        <f aca="false">IF($B1544="","",IFERROR(INDEX(M_dept,MATCH($B1544,M_emp,0)),""))</f>
        <v/>
      </c>
      <c r="E1544" s="10" t="str">
        <f aca="false">IF($B1544="","",IFERROR(INDEX(M_loc,MATCH($B1544,M_emp,0)),""))</f>
        <v/>
      </c>
      <c r="F1544" s="33"/>
      <c r="G1544" s="33"/>
      <c r="H1544" s="33"/>
      <c r="I1544" s="33"/>
      <c r="J1544" s="33"/>
      <c r="K1544" s="33"/>
      <c r="L1544" s="33"/>
      <c r="M1544" s="33"/>
      <c r="N1544" s="33"/>
      <c r="O1544" s="33"/>
      <c r="P1544" s="33"/>
      <c r="Q1544" s="33"/>
      <c r="R1544" s="33"/>
      <c r="S1544" s="33"/>
      <c r="T1544" s="33"/>
      <c r="U1544" s="33"/>
      <c r="V1544" s="33"/>
      <c r="W1544" s="33"/>
      <c r="X1544" s="33"/>
      <c r="Y1544" s="33"/>
      <c r="Z1544" s="33"/>
      <c r="AA1544" s="33"/>
      <c r="AB1544" s="33"/>
      <c r="AC1544" s="33"/>
      <c r="AD1544" s="33"/>
      <c r="AE1544" s="33"/>
      <c r="AF1544" s="33"/>
      <c r="AG1544" s="33"/>
      <c r="AH1544" s="33"/>
      <c r="AI1544" s="33"/>
      <c r="AJ1544" s="33"/>
      <c r="AK1544" s="34" t="str">
        <f aca="false">IF($B1544="","",COUNTIF($F1544:$AJ1544,"P"))</f>
        <v/>
      </c>
      <c r="AL1544" s="34" t="str">
        <f aca="false">IF($B1544="","",COUNTIF($F1544:$AJ1544,"A"))</f>
        <v/>
      </c>
      <c r="AM1544" s="34" t="str">
        <f aca="false">IF($B1544="","",COUNTIF($F1544:$AJ1544,"HA"))</f>
        <v/>
      </c>
      <c r="AN1544" s="34" t="str">
        <f aca="false">IF($B1544="","",COUNTIF($F1544:$AJ1544,"L"))</f>
        <v/>
      </c>
      <c r="AO1544" s="34" t="str">
        <f aca="false">IF($B1544="","",COUNTIF($F1544:$AJ1544,"PL"))</f>
        <v/>
      </c>
      <c r="AP1544" s="34" t="str">
        <f aca="false">IF($B1544="","",COUNTIF($F1544:$AJ1544,"CL"))</f>
        <v/>
      </c>
      <c r="AQ1544" s="34" t="str">
        <f aca="false">IF($B1544="","",COUNTIF($F1544:$AJ1544,"SL"))</f>
        <v/>
      </c>
      <c r="AR1544" s="34" t="str">
        <f aca="false">IF($B1544="","",COUNTIF($F1544:$AJ1544,"CO"))</f>
        <v/>
      </c>
      <c r="AS1544" s="34" t="str">
        <f aca="false">IF($B1544="","",COUNTIF($F1544:$AJ1544,"HPL"))</f>
        <v/>
      </c>
      <c r="AT1544" s="34" t="str">
        <f aca="false">IF($B1544="","",COUNTIF($F1544:$AJ1544,"HCL"))</f>
        <v/>
      </c>
      <c r="AU1544" s="34" t="str">
        <f aca="false">IF($B1544="","",COUNTIF($F1544:$AJ1544,"WO"))</f>
        <v/>
      </c>
      <c r="AV1544" s="34" t="str">
        <f aca="false">IF($B1544="","",COUNTIF($F1544:$AJ1544,"PH"))</f>
        <v/>
      </c>
      <c r="AW1544" s="34" t="str">
        <f aca="false">IF($B1544="","",COUNTIF($F1544:$AJ1544,"TR"))</f>
        <v/>
      </c>
      <c r="AX1544" s="35" t="str">
        <f aca="false">IF($B1544="","",AO1544+AS1544/2)</f>
        <v/>
      </c>
      <c r="AY1544" s="35" t="str">
        <f aca="false">IF($B1544="","",AQ1544)</f>
        <v/>
      </c>
      <c r="AZ1544" s="35" t="str">
        <f aca="false">IF($B1544="","",AP1544+AT1544/2)</f>
        <v/>
      </c>
      <c r="BA1544" s="35" t="str">
        <f aca="false">IF($B1544="","",AK1544+AN1544+AM1544/2+AO1544+AP1544+AQ1544+AR1544+AS1544+AT1544+AU1544+AV1544+AW1544)</f>
        <v/>
      </c>
      <c r="BB1544" s="35" t="str">
        <f aca="false">IF($B1544="","",MAX(0,AN1544-Settings!$C$16)*Settings!$C$17)</f>
        <v/>
      </c>
      <c r="BC1544" s="35" t="str">
        <f aca="false">IF($B1544="","",BA1544-BB1544)</f>
        <v/>
      </c>
      <c r="BD1544" s="35" t="str">
        <f aca="false">IF(OR($B1544="",$A1544=""),"",DAY(EOMONTH($A1544,0))-COUNTA($F1544:$AJ1544))</f>
        <v/>
      </c>
    </row>
    <row r="1545" customFormat="false" ht="15" hidden="false" customHeight="false" outlineLevel="0" collapsed="false">
      <c r="A1545" s="32"/>
      <c r="B1545" s="29"/>
      <c r="C1545" s="10" t="str">
        <f aca="false">IF($B1545="","",IFERROR(INDEX(M_name,MATCH($B1545,M_emp,0)),"Code not found"))</f>
        <v/>
      </c>
      <c r="D1545" s="10" t="str">
        <f aca="false">IF($B1545="","",IFERROR(INDEX(M_dept,MATCH($B1545,M_emp,0)),""))</f>
        <v/>
      </c>
      <c r="E1545" s="10" t="str">
        <f aca="false">IF($B1545="","",IFERROR(INDEX(M_loc,MATCH($B1545,M_emp,0)),""))</f>
        <v/>
      </c>
      <c r="F1545" s="33"/>
      <c r="G1545" s="33"/>
      <c r="H1545" s="33"/>
      <c r="I1545" s="33"/>
      <c r="J1545" s="33"/>
      <c r="K1545" s="33"/>
      <c r="L1545" s="33"/>
      <c r="M1545" s="33"/>
      <c r="N1545" s="33"/>
      <c r="O1545" s="33"/>
      <c r="P1545" s="33"/>
      <c r="Q1545" s="33"/>
      <c r="R1545" s="33"/>
      <c r="S1545" s="33"/>
      <c r="T1545" s="33"/>
      <c r="U1545" s="33"/>
      <c r="V1545" s="33"/>
      <c r="W1545" s="33"/>
      <c r="X1545" s="33"/>
      <c r="Y1545" s="33"/>
      <c r="Z1545" s="33"/>
      <c r="AA1545" s="33"/>
      <c r="AB1545" s="33"/>
      <c r="AC1545" s="33"/>
      <c r="AD1545" s="33"/>
      <c r="AE1545" s="33"/>
      <c r="AF1545" s="33"/>
      <c r="AG1545" s="33"/>
      <c r="AH1545" s="33"/>
      <c r="AI1545" s="33"/>
      <c r="AJ1545" s="33"/>
      <c r="AK1545" s="34" t="str">
        <f aca="false">IF($B1545="","",COUNTIF($F1545:$AJ1545,"P"))</f>
        <v/>
      </c>
      <c r="AL1545" s="34" t="str">
        <f aca="false">IF($B1545="","",COUNTIF($F1545:$AJ1545,"A"))</f>
        <v/>
      </c>
      <c r="AM1545" s="34" t="str">
        <f aca="false">IF($B1545="","",COUNTIF($F1545:$AJ1545,"HA"))</f>
        <v/>
      </c>
      <c r="AN1545" s="34" t="str">
        <f aca="false">IF($B1545="","",COUNTIF($F1545:$AJ1545,"L"))</f>
        <v/>
      </c>
      <c r="AO1545" s="34" t="str">
        <f aca="false">IF($B1545="","",COUNTIF($F1545:$AJ1545,"PL"))</f>
        <v/>
      </c>
      <c r="AP1545" s="34" t="str">
        <f aca="false">IF($B1545="","",COUNTIF($F1545:$AJ1545,"CL"))</f>
        <v/>
      </c>
      <c r="AQ1545" s="34" t="str">
        <f aca="false">IF($B1545="","",COUNTIF($F1545:$AJ1545,"SL"))</f>
        <v/>
      </c>
      <c r="AR1545" s="34" t="str">
        <f aca="false">IF($B1545="","",COUNTIF($F1545:$AJ1545,"CO"))</f>
        <v/>
      </c>
      <c r="AS1545" s="34" t="str">
        <f aca="false">IF($B1545="","",COUNTIF($F1545:$AJ1545,"HPL"))</f>
        <v/>
      </c>
      <c r="AT1545" s="34" t="str">
        <f aca="false">IF($B1545="","",COUNTIF($F1545:$AJ1545,"HCL"))</f>
        <v/>
      </c>
      <c r="AU1545" s="34" t="str">
        <f aca="false">IF($B1545="","",COUNTIF($F1545:$AJ1545,"WO"))</f>
        <v/>
      </c>
      <c r="AV1545" s="34" t="str">
        <f aca="false">IF($B1545="","",COUNTIF($F1545:$AJ1545,"PH"))</f>
        <v/>
      </c>
      <c r="AW1545" s="34" t="str">
        <f aca="false">IF($B1545="","",COUNTIF($F1545:$AJ1545,"TR"))</f>
        <v/>
      </c>
      <c r="AX1545" s="35" t="str">
        <f aca="false">IF($B1545="","",AO1545+AS1545/2)</f>
        <v/>
      </c>
      <c r="AY1545" s="35" t="str">
        <f aca="false">IF($B1545="","",AQ1545)</f>
        <v/>
      </c>
      <c r="AZ1545" s="35" t="str">
        <f aca="false">IF($B1545="","",AP1545+AT1545/2)</f>
        <v/>
      </c>
      <c r="BA1545" s="35" t="str">
        <f aca="false">IF($B1545="","",AK1545+AN1545+AM1545/2+AO1545+AP1545+AQ1545+AR1545+AS1545+AT1545+AU1545+AV1545+AW1545)</f>
        <v/>
      </c>
      <c r="BB1545" s="35" t="str">
        <f aca="false">IF($B1545="","",MAX(0,AN1545-Settings!$C$16)*Settings!$C$17)</f>
        <v/>
      </c>
      <c r="BC1545" s="35" t="str">
        <f aca="false">IF($B1545="","",BA1545-BB1545)</f>
        <v/>
      </c>
      <c r="BD1545" s="35" t="str">
        <f aca="false">IF(OR($B1545="",$A1545=""),"",DAY(EOMONTH($A1545,0))-COUNTA($F1545:$AJ1545))</f>
        <v/>
      </c>
    </row>
    <row r="1546" customFormat="false" ht="15" hidden="false" customHeight="false" outlineLevel="0" collapsed="false">
      <c r="A1546" s="32"/>
      <c r="B1546" s="29"/>
      <c r="C1546" s="10" t="str">
        <f aca="false">IF($B1546="","",IFERROR(INDEX(M_name,MATCH($B1546,M_emp,0)),"Code not found"))</f>
        <v/>
      </c>
      <c r="D1546" s="10" t="str">
        <f aca="false">IF($B1546="","",IFERROR(INDEX(M_dept,MATCH($B1546,M_emp,0)),""))</f>
        <v/>
      </c>
      <c r="E1546" s="10" t="str">
        <f aca="false">IF($B1546="","",IFERROR(INDEX(M_loc,MATCH($B1546,M_emp,0)),""))</f>
        <v/>
      </c>
      <c r="F1546" s="33"/>
      <c r="G1546" s="33"/>
      <c r="H1546" s="33"/>
      <c r="I1546" s="33"/>
      <c r="J1546" s="33"/>
      <c r="K1546" s="33"/>
      <c r="L1546" s="33"/>
      <c r="M1546" s="33"/>
      <c r="N1546" s="33"/>
      <c r="O1546" s="33"/>
      <c r="P1546" s="33"/>
      <c r="Q1546" s="33"/>
      <c r="R1546" s="33"/>
      <c r="S1546" s="33"/>
      <c r="T1546" s="33"/>
      <c r="U1546" s="33"/>
      <c r="V1546" s="33"/>
      <c r="W1546" s="33"/>
      <c r="X1546" s="33"/>
      <c r="Y1546" s="33"/>
      <c r="Z1546" s="33"/>
      <c r="AA1546" s="33"/>
      <c r="AB1546" s="33"/>
      <c r="AC1546" s="33"/>
      <c r="AD1546" s="33"/>
      <c r="AE1546" s="33"/>
      <c r="AF1546" s="33"/>
      <c r="AG1546" s="33"/>
      <c r="AH1546" s="33"/>
      <c r="AI1546" s="33"/>
      <c r="AJ1546" s="33"/>
      <c r="AK1546" s="34" t="str">
        <f aca="false">IF($B1546="","",COUNTIF($F1546:$AJ1546,"P"))</f>
        <v/>
      </c>
      <c r="AL1546" s="34" t="str">
        <f aca="false">IF($B1546="","",COUNTIF($F1546:$AJ1546,"A"))</f>
        <v/>
      </c>
      <c r="AM1546" s="34" t="str">
        <f aca="false">IF($B1546="","",COUNTIF($F1546:$AJ1546,"HA"))</f>
        <v/>
      </c>
      <c r="AN1546" s="34" t="str">
        <f aca="false">IF($B1546="","",COUNTIF($F1546:$AJ1546,"L"))</f>
        <v/>
      </c>
      <c r="AO1546" s="34" t="str">
        <f aca="false">IF($B1546="","",COUNTIF($F1546:$AJ1546,"PL"))</f>
        <v/>
      </c>
      <c r="AP1546" s="34" t="str">
        <f aca="false">IF($B1546="","",COUNTIF($F1546:$AJ1546,"CL"))</f>
        <v/>
      </c>
      <c r="AQ1546" s="34" t="str">
        <f aca="false">IF($B1546="","",COUNTIF($F1546:$AJ1546,"SL"))</f>
        <v/>
      </c>
      <c r="AR1546" s="34" t="str">
        <f aca="false">IF($B1546="","",COUNTIF($F1546:$AJ1546,"CO"))</f>
        <v/>
      </c>
      <c r="AS1546" s="34" t="str">
        <f aca="false">IF($B1546="","",COUNTIF($F1546:$AJ1546,"HPL"))</f>
        <v/>
      </c>
      <c r="AT1546" s="34" t="str">
        <f aca="false">IF($B1546="","",COUNTIF($F1546:$AJ1546,"HCL"))</f>
        <v/>
      </c>
      <c r="AU1546" s="34" t="str">
        <f aca="false">IF($B1546="","",COUNTIF($F1546:$AJ1546,"WO"))</f>
        <v/>
      </c>
      <c r="AV1546" s="34" t="str">
        <f aca="false">IF($B1546="","",COUNTIF($F1546:$AJ1546,"PH"))</f>
        <v/>
      </c>
      <c r="AW1546" s="34" t="str">
        <f aca="false">IF($B1546="","",COUNTIF($F1546:$AJ1546,"TR"))</f>
        <v/>
      </c>
      <c r="AX1546" s="35" t="str">
        <f aca="false">IF($B1546="","",AO1546+AS1546/2)</f>
        <v/>
      </c>
      <c r="AY1546" s="35" t="str">
        <f aca="false">IF($B1546="","",AQ1546)</f>
        <v/>
      </c>
      <c r="AZ1546" s="35" t="str">
        <f aca="false">IF($B1546="","",AP1546+AT1546/2)</f>
        <v/>
      </c>
      <c r="BA1546" s="35" t="str">
        <f aca="false">IF($B1546="","",AK1546+AN1546+AM1546/2+AO1546+AP1546+AQ1546+AR1546+AS1546+AT1546+AU1546+AV1546+AW1546)</f>
        <v/>
      </c>
      <c r="BB1546" s="35" t="str">
        <f aca="false">IF($B1546="","",MAX(0,AN1546-Settings!$C$16)*Settings!$C$17)</f>
        <v/>
      </c>
      <c r="BC1546" s="35" t="str">
        <f aca="false">IF($B1546="","",BA1546-BB1546)</f>
        <v/>
      </c>
      <c r="BD1546" s="35" t="str">
        <f aca="false">IF(OR($B1546="",$A1546=""),"",DAY(EOMONTH($A1546,0))-COUNTA($F1546:$AJ1546))</f>
        <v/>
      </c>
    </row>
    <row r="1547" customFormat="false" ht="15" hidden="false" customHeight="false" outlineLevel="0" collapsed="false">
      <c r="A1547" s="32"/>
      <c r="B1547" s="29"/>
      <c r="C1547" s="10" t="str">
        <f aca="false">IF($B1547="","",IFERROR(INDEX(M_name,MATCH($B1547,M_emp,0)),"Code not found"))</f>
        <v/>
      </c>
      <c r="D1547" s="10" t="str">
        <f aca="false">IF($B1547="","",IFERROR(INDEX(M_dept,MATCH($B1547,M_emp,0)),""))</f>
        <v/>
      </c>
      <c r="E1547" s="10" t="str">
        <f aca="false">IF($B1547="","",IFERROR(INDEX(M_loc,MATCH($B1547,M_emp,0)),""))</f>
        <v/>
      </c>
      <c r="F1547" s="33"/>
      <c r="G1547" s="33"/>
      <c r="H1547" s="33"/>
      <c r="I1547" s="33"/>
      <c r="J1547" s="33"/>
      <c r="K1547" s="33"/>
      <c r="L1547" s="33"/>
      <c r="M1547" s="33"/>
      <c r="N1547" s="33"/>
      <c r="O1547" s="33"/>
      <c r="P1547" s="33"/>
      <c r="Q1547" s="33"/>
      <c r="R1547" s="33"/>
      <c r="S1547" s="33"/>
      <c r="T1547" s="33"/>
      <c r="U1547" s="33"/>
      <c r="V1547" s="33"/>
      <c r="W1547" s="33"/>
      <c r="X1547" s="33"/>
      <c r="Y1547" s="33"/>
      <c r="Z1547" s="33"/>
      <c r="AA1547" s="33"/>
      <c r="AB1547" s="33"/>
      <c r="AC1547" s="33"/>
      <c r="AD1547" s="33"/>
      <c r="AE1547" s="33"/>
      <c r="AF1547" s="33"/>
      <c r="AG1547" s="33"/>
      <c r="AH1547" s="33"/>
      <c r="AI1547" s="33"/>
      <c r="AJ1547" s="33"/>
      <c r="AK1547" s="34" t="str">
        <f aca="false">IF($B1547="","",COUNTIF($F1547:$AJ1547,"P"))</f>
        <v/>
      </c>
      <c r="AL1547" s="34" t="str">
        <f aca="false">IF($B1547="","",COUNTIF($F1547:$AJ1547,"A"))</f>
        <v/>
      </c>
      <c r="AM1547" s="34" t="str">
        <f aca="false">IF($B1547="","",COUNTIF($F1547:$AJ1547,"HA"))</f>
        <v/>
      </c>
      <c r="AN1547" s="34" t="str">
        <f aca="false">IF($B1547="","",COUNTIF($F1547:$AJ1547,"L"))</f>
        <v/>
      </c>
      <c r="AO1547" s="34" t="str">
        <f aca="false">IF($B1547="","",COUNTIF($F1547:$AJ1547,"PL"))</f>
        <v/>
      </c>
      <c r="AP1547" s="34" t="str">
        <f aca="false">IF($B1547="","",COUNTIF($F1547:$AJ1547,"CL"))</f>
        <v/>
      </c>
      <c r="AQ1547" s="34" t="str">
        <f aca="false">IF($B1547="","",COUNTIF($F1547:$AJ1547,"SL"))</f>
        <v/>
      </c>
      <c r="AR1547" s="34" t="str">
        <f aca="false">IF($B1547="","",COUNTIF($F1547:$AJ1547,"CO"))</f>
        <v/>
      </c>
      <c r="AS1547" s="34" t="str">
        <f aca="false">IF($B1547="","",COUNTIF($F1547:$AJ1547,"HPL"))</f>
        <v/>
      </c>
      <c r="AT1547" s="34" t="str">
        <f aca="false">IF($B1547="","",COUNTIF($F1547:$AJ1547,"HCL"))</f>
        <v/>
      </c>
      <c r="AU1547" s="34" t="str">
        <f aca="false">IF($B1547="","",COUNTIF($F1547:$AJ1547,"WO"))</f>
        <v/>
      </c>
      <c r="AV1547" s="34" t="str">
        <f aca="false">IF($B1547="","",COUNTIF($F1547:$AJ1547,"PH"))</f>
        <v/>
      </c>
      <c r="AW1547" s="34" t="str">
        <f aca="false">IF($B1547="","",COUNTIF($F1547:$AJ1547,"TR"))</f>
        <v/>
      </c>
      <c r="AX1547" s="35" t="str">
        <f aca="false">IF($B1547="","",AO1547+AS1547/2)</f>
        <v/>
      </c>
      <c r="AY1547" s="35" t="str">
        <f aca="false">IF($B1547="","",AQ1547)</f>
        <v/>
      </c>
      <c r="AZ1547" s="35" t="str">
        <f aca="false">IF($B1547="","",AP1547+AT1547/2)</f>
        <v/>
      </c>
      <c r="BA1547" s="35" t="str">
        <f aca="false">IF($B1547="","",AK1547+AN1547+AM1547/2+AO1547+AP1547+AQ1547+AR1547+AS1547+AT1547+AU1547+AV1547+AW1547)</f>
        <v/>
      </c>
      <c r="BB1547" s="35" t="str">
        <f aca="false">IF($B1547="","",MAX(0,AN1547-Settings!$C$16)*Settings!$C$17)</f>
        <v/>
      </c>
      <c r="BC1547" s="35" t="str">
        <f aca="false">IF($B1547="","",BA1547-BB1547)</f>
        <v/>
      </c>
      <c r="BD1547" s="35" t="str">
        <f aca="false">IF(OR($B1547="",$A1547=""),"",DAY(EOMONTH($A1547,0))-COUNTA($F1547:$AJ1547))</f>
        <v/>
      </c>
    </row>
    <row r="1548" customFormat="false" ht="15" hidden="false" customHeight="false" outlineLevel="0" collapsed="false">
      <c r="A1548" s="32"/>
      <c r="B1548" s="29"/>
      <c r="C1548" s="10" t="str">
        <f aca="false">IF($B1548="","",IFERROR(INDEX(M_name,MATCH($B1548,M_emp,0)),"Code not found"))</f>
        <v/>
      </c>
      <c r="D1548" s="10" t="str">
        <f aca="false">IF($B1548="","",IFERROR(INDEX(M_dept,MATCH($B1548,M_emp,0)),""))</f>
        <v/>
      </c>
      <c r="E1548" s="10" t="str">
        <f aca="false">IF($B1548="","",IFERROR(INDEX(M_loc,MATCH($B1548,M_emp,0)),""))</f>
        <v/>
      </c>
      <c r="F1548" s="33"/>
      <c r="G1548" s="33"/>
      <c r="H1548" s="33"/>
      <c r="I1548" s="33"/>
      <c r="J1548" s="33"/>
      <c r="K1548" s="33"/>
      <c r="L1548" s="33"/>
      <c r="M1548" s="33"/>
      <c r="N1548" s="33"/>
      <c r="O1548" s="33"/>
      <c r="P1548" s="33"/>
      <c r="Q1548" s="33"/>
      <c r="R1548" s="33"/>
      <c r="S1548" s="33"/>
      <c r="T1548" s="33"/>
      <c r="U1548" s="33"/>
      <c r="V1548" s="33"/>
      <c r="W1548" s="33"/>
      <c r="X1548" s="33"/>
      <c r="Y1548" s="33"/>
      <c r="Z1548" s="33"/>
      <c r="AA1548" s="33"/>
      <c r="AB1548" s="33"/>
      <c r="AC1548" s="33"/>
      <c r="AD1548" s="33"/>
      <c r="AE1548" s="33"/>
      <c r="AF1548" s="33"/>
      <c r="AG1548" s="33"/>
      <c r="AH1548" s="33"/>
      <c r="AI1548" s="33"/>
      <c r="AJ1548" s="33"/>
      <c r="AK1548" s="34" t="str">
        <f aca="false">IF($B1548="","",COUNTIF($F1548:$AJ1548,"P"))</f>
        <v/>
      </c>
      <c r="AL1548" s="34" t="str">
        <f aca="false">IF($B1548="","",COUNTIF($F1548:$AJ1548,"A"))</f>
        <v/>
      </c>
      <c r="AM1548" s="34" t="str">
        <f aca="false">IF($B1548="","",COUNTIF($F1548:$AJ1548,"HA"))</f>
        <v/>
      </c>
      <c r="AN1548" s="34" t="str">
        <f aca="false">IF($B1548="","",COUNTIF($F1548:$AJ1548,"L"))</f>
        <v/>
      </c>
      <c r="AO1548" s="34" t="str">
        <f aca="false">IF($B1548="","",COUNTIF($F1548:$AJ1548,"PL"))</f>
        <v/>
      </c>
      <c r="AP1548" s="34" t="str">
        <f aca="false">IF($B1548="","",COUNTIF($F1548:$AJ1548,"CL"))</f>
        <v/>
      </c>
      <c r="AQ1548" s="34" t="str">
        <f aca="false">IF($B1548="","",COUNTIF($F1548:$AJ1548,"SL"))</f>
        <v/>
      </c>
      <c r="AR1548" s="34" t="str">
        <f aca="false">IF($B1548="","",COUNTIF($F1548:$AJ1548,"CO"))</f>
        <v/>
      </c>
      <c r="AS1548" s="34" t="str">
        <f aca="false">IF($B1548="","",COUNTIF($F1548:$AJ1548,"HPL"))</f>
        <v/>
      </c>
      <c r="AT1548" s="34" t="str">
        <f aca="false">IF($B1548="","",COUNTIF($F1548:$AJ1548,"HCL"))</f>
        <v/>
      </c>
      <c r="AU1548" s="34" t="str">
        <f aca="false">IF($B1548="","",COUNTIF($F1548:$AJ1548,"WO"))</f>
        <v/>
      </c>
      <c r="AV1548" s="34" t="str">
        <f aca="false">IF($B1548="","",COUNTIF($F1548:$AJ1548,"PH"))</f>
        <v/>
      </c>
      <c r="AW1548" s="34" t="str">
        <f aca="false">IF($B1548="","",COUNTIF($F1548:$AJ1548,"TR"))</f>
        <v/>
      </c>
      <c r="AX1548" s="35" t="str">
        <f aca="false">IF($B1548="","",AO1548+AS1548/2)</f>
        <v/>
      </c>
      <c r="AY1548" s="35" t="str">
        <f aca="false">IF($B1548="","",AQ1548)</f>
        <v/>
      </c>
      <c r="AZ1548" s="35" t="str">
        <f aca="false">IF($B1548="","",AP1548+AT1548/2)</f>
        <v/>
      </c>
      <c r="BA1548" s="35" t="str">
        <f aca="false">IF($B1548="","",AK1548+AN1548+AM1548/2+AO1548+AP1548+AQ1548+AR1548+AS1548+AT1548+AU1548+AV1548+AW1548)</f>
        <v/>
      </c>
      <c r="BB1548" s="35" t="str">
        <f aca="false">IF($B1548="","",MAX(0,AN1548-Settings!$C$16)*Settings!$C$17)</f>
        <v/>
      </c>
      <c r="BC1548" s="35" t="str">
        <f aca="false">IF($B1548="","",BA1548-BB1548)</f>
        <v/>
      </c>
      <c r="BD1548" s="35" t="str">
        <f aca="false">IF(OR($B1548="",$A1548=""),"",DAY(EOMONTH($A1548,0))-COUNTA($F1548:$AJ1548))</f>
        <v/>
      </c>
    </row>
    <row r="1549" customFormat="false" ht="15" hidden="false" customHeight="false" outlineLevel="0" collapsed="false">
      <c r="A1549" s="32"/>
      <c r="B1549" s="29"/>
      <c r="C1549" s="10" t="str">
        <f aca="false">IF($B1549="","",IFERROR(INDEX(M_name,MATCH($B1549,M_emp,0)),"Code not found"))</f>
        <v/>
      </c>
      <c r="D1549" s="10" t="str">
        <f aca="false">IF($B1549="","",IFERROR(INDEX(M_dept,MATCH($B1549,M_emp,0)),""))</f>
        <v/>
      </c>
      <c r="E1549" s="10" t="str">
        <f aca="false">IF($B1549="","",IFERROR(INDEX(M_loc,MATCH($B1549,M_emp,0)),""))</f>
        <v/>
      </c>
      <c r="F1549" s="33"/>
      <c r="G1549" s="33"/>
      <c r="H1549" s="33"/>
      <c r="I1549" s="33"/>
      <c r="J1549" s="33"/>
      <c r="K1549" s="33"/>
      <c r="L1549" s="33"/>
      <c r="M1549" s="33"/>
      <c r="N1549" s="33"/>
      <c r="O1549" s="33"/>
      <c r="P1549" s="33"/>
      <c r="Q1549" s="33"/>
      <c r="R1549" s="33"/>
      <c r="S1549" s="33"/>
      <c r="T1549" s="33"/>
      <c r="U1549" s="33"/>
      <c r="V1549" s="33"/>
      <c r="W1549" s="33"/>
      <c r="X1549" s="33"/>
      <c r="Y1549" s="33"/>
      <c r="Z1549" s="33"/>
      <c r="AA1549" s="33"/>
      <c r="AB1549" s="33"/>
      <c r="AC1549" s="33"/>
      <c r="AD1549" s="33"/>
      <c r="AE1549" s="33"/>
      <c r="AF1549" s="33"/>
      <c r="AG1549" s="33"/>
      <c r="AH1549" s="33"/>
      <c r="AI1549" s="33"/>
      <c r="AJ1549" s="33"/>
      <c r="AK1549" s="34" t="str">
        <f aca="false">IF($B1549="","",COUNTIF($F1549:$AJ1549,"P"))</f>
        <v/>
      </c>
      <c r="AL1549" s="34" t="str">
        <f aca="false">IF($B1549="","",COUNTIF($F1549:$AJ1549,"A"))</f>
        <v/>
      </c>
      <c r="AM1549" s="34" t="str">
        <f aca="false">IF($B1549="","",COUNTIF($F1549:$AJ1549,"HA"))</f>
        <v/>
      </c>
      <c r="AN1549" s="34" t="str">
        <f aca="false">IF($B1549="","",COUNTIF($F1549:$AJ1549,"L"))</f>
        <v/>
      </c>
      <c r="AO1549" s="34" t="str">
        <f aca="false">IF($B1549="","",COUNTIF($F1549:$AJ1549,"PL"))</f>
        <v/>
      </c>
      <c r="AP1549" s="34" t="str">
        <f aca="false">IF($B1549="","",COUNTIF($F1549:$AJ1549,"CL"))</f>
        <v/>
      </c>
      <c r="AQ1549" s="34" t="str">
        <f aca="false">IF($B1549="","",COUNTIF($F1549:$AJ1549,"SL"))</f>
        <v/>
      </c>
      <c r="AR1549" s="34" t="str">
        <f aca="false">IF($B1549="","",COUNTIF($F1549:$AJ1549,"CO"))</f>
        <v/>
      </c>
      <c r="AS1549" s="34" t="str">
        <f aca="false">IF($B1549="","",COUNTIF($F1549:$AJ1549,"HPL"))</f>
        <v/>
      </c>
      <c r="AT1549" s="34" t="str">
        <f aca="false">IF($B1549="","",COUNTIF($F1549:$AJ1549,"HCL"))</f>
        <v/>
      </c>
      <c r="AU1549" s="34" t="str">
        <f aca="false">IF($B1549="","",COUNTIF($F1549:$AJ1549,"WO"))</f>
        <v/>
      </c>
      <c r="AV1549" s="34" t="str">
        <f aca="false">IF($B1549="","",COUNTIF($F1549:$AJ1549,"PH"))</f>
        <v/>
      </c>
      <c r="AW1549" s="34" t="str">
        <f aca="false">IF($B1549="","",COUNTIF($F1549:$AJ1549,"TR"))</f>
        <v/>
      </c>
      <c r="AX1549" s="35" t="str">
        <f aca="false">IF($B1549="","",AO1549+AS1549/2)</f>
        <v/>
      </c>
      <c r="AY1549" s="35" t="str">
        <f aca="false">IF($B1549="","",AQ1549)</f>
        <v/>
      </c>
      <c r="AZ1549" s="35" t="str">
        <f aca="false">IF($B1549="","",AP1549+AT1549/2)</f>
        <v/>
      </c>
      <c r="BA1549" s="35" t="str">
        <f aca="false">IF($B1549="","",AK1549+AN1549+AM1549/2+AO1549+AP1549+AQ1549+AR1549+AS1549+AT1549+AU1549+AV1549+AW1549)</f>
        <v/>
      </c>
      <c r="BB1549" s="35" t="str">
        <f aca="false">IF($B1549="","",MAX(0,AN1549-Settings!$C$16)*Settings!$C$17)</f>
        <v/>
      </c>
      <c r="BC1549" s="35" t="str">
        <f aca="false">IF($B1549="","",BA1549-BB1549)</f>
        <v/>
      </c>
      <c r="BD1549" s="35" t="str">
        <f aca="false">IF(OR($B1549="",$A1549=""),"",DAY(EOMONTH($A1549,0))-COUNTA($F1549:$AJ1549))</f>
        <v/>
      </c>
    </row>
    <row r="1550" customFormat="false" ht="15" hidden="false" customHeight="false" outlineLevel="0" collapsed="false">
      <c r="A1550" s="32"/>
      <c r="B1550" s="29"/>
      <c r="C1550" s="10" t="str">
        <f aca="false">IF($B1550="","",IFERROR(INDEX(M_name,MATCH($B1550,M_emp,0)),"Code not found"))</f>
        <v/>
      </c>
      <c r="D1550" s="10" t="str">
        <f aca="false">IF($B1550="","",IFERROR(INDEX(M_dept,MATCH($B1550,M_emp,0)),""))</f>
        <v/>
      </c>
      <c r="E1550" s="10" t="str">
        <f aca="false">IF($B1550="","",IFERROR(INDEX(M_loc,MATCH($B1550,M_emp,0)),""))</f>
        <v/>
      </c>
      <c r="F1550" s="33"/>
      <c r="G1550" s="33"/>
      <c r="H1550" s="33"/>
      <c r="I1550" s="33"/>
      <c r="J1550" s="33"/>
      <c r="K1550" s="33"/>
      <c r="L1550" s="33"/>
      <c r="M1550" s="33"/>
      <c r="N1550" s="33"/>
      <c r="O1550" s="33"/>
      <c r="P1550" s="33"/>
      <c r="Q1550" s="33"/>
      <c r="R1550" s="33"/>
      <c r="S1550" s="33"/>
      <c r="T1550" s="33"/>
      <c r="U1550" s="33"/>
      <c r="V1550" s="33"/>
      <c r="W1550" s="33"/>
      <c r="X1550" s="33"/>
      <c r="Y1550" s="33"/>
      <c r="Z1550" s="33"/>
      <c r="AA1550" s="33"/>
      <c r="AB1550" s="33"/>
      <c r="AC1550" s="33"/>
      <c r="AD1550" s="33"/>
      <c r="AE1550" s="33"/>
      <c r="AF1550" s="33"/>
      <c r="AG1550" s="33"/>
      <c r="AH1550" s="33"/>
      <c r="AI1550" s="33"/>
      <c r="AJ1550" s="33"/>
      <c r="AK1550" s="34" t="str">
        <f aca="false">IF($B1550="","",COUNTIF($F1550:$AJ1550,"P"))</f>
        <v/>
      </c>
      <c r="AL1550" s="34" t="str">
        <f aca="false">IF($B1550="","",COUNTIF($F1550:$AJ1550,"A"))</f>
        <v/>
      </c>
      <c r="AM1550" s="34" t="str">
        <f aca="false">IF($B1550="","",COUNTIF($F1550:$AJ1550,"HA"))</f>
        <v/>
      </c>
      <c r="AN1550" s="34" t="str">
        <f aca="false">IF($B1550="","",COUNTIF($F1550:$AJ1550,"L"))</f>
        <v/>
      </c>
      <c r="AO1550" s="34" t="str">
        <f aca="false">IF($B1550="","",COUNTIF($F1550:$AJ1550,"PL"))</f>
        <v/>
      </c>
      <c r="AP1550" s="34" t="str">
        <f aca="false">IF($B1550="","",COUNTIF($F1550:$AJ1550,"CL"))</f>
        <v/>
      </c>
      <c r="AQ1550" s="34" t="str">
        <f aca="false">IF($B1550="","",COUNTIF($F1550:$AJ1550,"SL"))</f>
        <v/>
      </c>
      <c r="AR1550" s="34" t="str">
        <f aca="false">IF($B1550="","",COUNTIF($F1550:$AJ1550,"CO"))</f>
        <v/>
      </c>
      <c r="AS1550" s="34" t="str">
        <f aca="false">IF($B1550="","",COUNTIF($F1550:$AJ1550,"HPL"))</f>
        <v/>
      </c>
      <c r="AT1550" s="34" t="str">
        <f aca="false">IF($B1550="","",COUNTIF($F1550:$AJ1550,"HCL"))</f>
        <v/>
      </c>
      <c r="AU1550" s="34" t="str">
        <f aca="false">IF($B1550="","",COUNTIF($F1550:$AJ1550,"WO"))</f>
        <v/>
      </c>
      <c r="AV1550" s="34" t="str">
        <f aca="false">IF($B1550="","",COUNTIF($F1550:$AJ1550,"PH"))</f>
        <v/>
      </c>
      <c r="AW1550" s="34" t="str">
        <f aca="false">IF($B1550="","",COUNTIF($F1550:$AJ1550,"TR"))</f>
        <v/>
      </c>
      <c r="AX1550" s="35" t="str">
        <f aca="false">IF($B1550="","",AO1550+AS1550/2)</f>
        <v/>
      </c>
      <c r="AY1550" s="35" t="str">
        <f aca="false">IF($B1550="","",AQ1550)</f>
        <v/>
      </c>
      <c r="AZ1550" s="35" t="str">
        <f aca="false">IF($B1550="","",AP1550+AT1550/2)</f>
        <v/>
      </c>
      <c r="BA1550" s="35" t="str">
        <f aca="false">IF($B1550="","",AK1550+AN1550+AM1550/2+AO1550+AP1550+AQ1550+AR1550+AS1550+AT1550+AU1550+AV1550+AW1550)</f>
        <v/>
      </c>
      <c r="BB1550" s="35" t="str">
        <f aca="false">IF($B1550="","",MAX(0,AN1550-Settings!$C$16)*Settings!$C$17)</f>
        <v/>
      </c>
      <c r="BC1550" s="35" t="str">
        <f aca="false">IF($B1550="","",BA1550-BB1550)</f>
        <v/>
      </c>
      <c r="BD1550" s="35" t="str">
        <f aca="false">IF(OR($B1550="",$A1550=""),"",DAY(EOMONTH($A1550,0))-COUNTA($F1550:$AJ1550))</f>
        <v/>
      </c>
    </row>
    <row r="1551" customFormat="false" ht="15" hidden="false" customHeight="false" outlineLevel="0" collapsed="false">
      <c r="A1551" s="32"/>
      <c r="B1551" s="29"/>
      <c r="C1551" s="10" t="str">
        <f aca="false">IF($B1551="","",IFERROR(INDEX(M_name,MATCH($B1551,M_emp,0)),"Code not found"))</f>
        <v/>
      </c>
      <c r="D1551" s="10" t="str">
        <f aca="false">IF($B1551="","",IFERROR(INDEX(M_dept,MATCH($B1551,M_emp,0)),""))</f>
        <v/>
      </c>
      <c r="E1551" s="10" t="str">
        <f aca="false">IF($B1551="","",IFERROR(INDEX(M_loc,MATCH($B1551,M_emp,0)),""))</f>
        <v/>
      </c>
      <c r="F1551" s="33"/>
      <c r="G1551" s="33"/>
      <c r="H1551" s="33"/>
      <c r="I1551" s="33"/>
      <c r="J1551" s="33"/>
      <c r="K1551" s="33"/>
      <c r="L1551" s="33"/>
      <c r="M1551" s="33"/>
      <c r="N1551" s="33"/>
      <c r="O1551" s="33"/>
      <c r="P1551" s="33"/>
      <c r="Q1551" s="33"/>
      <c r="R1551" s="33"/>
      <c r="S1551" s="33"/>
      <c r="T1551" s="33"/>
      <c r="U1551" s="33"/>
      <c r="V1551" s="33"/>
      <c r="W1551" s="33"/>
      <c r="X1551" s="33"/>
      <c r="Y1551" s="33"/>
      <c r="Z1551" s="33"/>
      <c r="AA1551" s="33"/>
      <c r="AB1551" s="33"/>
      <c r="AC1551" s="33"/>
      <c r="AD1551" s="33"/>
      <c r="AE1551" s="33"/>
      <c r="AF1551" s="33"/>
      <c r="AG1551" s="33"/>
      <c r="AH1551" s="33"/>
      <c r="AI1551" s="33"/>
      <c r="AJ1551" s="33"/>
      <c r="AK1551" s="34" t="str">
        <f aca="false">IF($B1551="","",COUNTIF($F1551:$AJ1551,"P"))</f>
        <v/>
      </c>
      <c r="AL1551" s="34" t="str">
        <f aca="false">IF($B1551="","",COUNTIF($F1551:$AJ1551,"A"))</f>
        <v/>
      </c>
      <c r="AM1551" s="34" t="str">
        <f aca="false">IF($B1551="","",COUNTIF($F1551:$AJ1551,"HA"))</f>
        <v/>
      </c>
      <c r="AN1551" s="34" t="str">
        <f aca="false">IF($B1551="","",COUNTIF($F1551:$AJ1551,"L"))</f>
        <v/>
      </c>
      <c r="AO1551" s="34" t="str">
        <f aca="false">IF($B1551="","",COUNTIF($F1551:$AJ1551,"PL"))</f>
        <v/>
      </c>
      <c r="AP1551" s="34" t="str">
        <f aca="false">IF($B1551="","",COUNTIF($F1551:$AJ1551,"CL"))</f>
        <v/>
      </c>
      <c r="AQ1551" s="34" t="str">
        <f aca="false">IF($B1551="","",COUNTIF($F1551:$AJ1551,"SL"))</f>
        <v/>
      </c>
      <c r="AR1551" s="34" t="str">
        <f aca="false">IF($B1551="","",COUNTIF($F1551:$AJ1551,"CO"))</f>
        <v/>
      </c>
      <c r="AS1551" s="34" t="str">
        <f aca="false">IF($B1551="","",COUNTIF($F1551:$AJ1551,"HPL"))</f>
        <v/>
      </c>
      <c r="AT1551" s="34" t="str">
        <f aca="false">IF($B1551="","",COUNTIF($F1551:$AJ1551,"HCL"))</f>
        <v/>
      </c>
      <c r="AU1551" s="34" t="str">
        <f aca="false">IF($B1551="","",COUNTIF($F1551:$AJ1551,"WO"))</f>
        <v/>
      </c>
      <c r="AV1551" s="34" t="str">
        <f aca="false">IF($B1551="","",COUNTIF($F1551:$AJ1551,"PH"))</f>
        <v/>
      </c>
      <c r="AW1551" s="34" t="str">
        <f aca="false">IF($B1551="","",COUNTIF($F1551:$AJ1551,"TR"))</f>
        <v/>
      </c>
      <c r="AX1551" s="35" t="str">
        <f aca="false">IF($B1551="","",AO1551+AS1551/2)</f>
        <v/>
      </c>
      <c r="AY1551" s="35" t="str">
        <f aca="false">IF($B1551="","",AQ1551)</f>
        <v/>
      </c>
      <c r="AZ1551" s="35" t="str">
        <f aca="false">IF($B1551="","",AP1551+AT1551/2)</f>
        <v/>
      </c>
      <c r="BA1551" s="35" t="str">
        <f aca="false">IF($B1551="","",AK1551+AN1551+AM1551/2+AO1551+AP1551+AQ1551+AR1551+AS1551+AT1551+AU1551+AV1551+AW1551)</f>
        <v/>
      </c>
      <c r="BB1551" s="35" t="str">
        <f aca="false">IF($B1551="","",MAX(0,AN1551-Settings!$C$16)*Settings!$C$17)</f>
        <v/>
      </c>
      <c r="BC1551" s="35" t="str">
        <f aca="false">IF($B1551="","",BA1551-BB1551)</f>
        <v/>
      </c>
      <c r="BD1551" s="35" t="str">
        <f aca="false">IF(OR($B1551="",$A1551=""),"",DAY(EOMONTH($A1551,0))-COUNTA($F1551:$AJ1551))</f>
        <v/>
      </c>
    </row>
    <row r="1552" customFormat="false" ht="15" hidden="false" customHeight="false" outlineLevel="0" collapsed="false">
      <c r="A1552" s="32"/>
      <c r="B1552" s="29"/>
      <c r="C1552" s="10" t="str">
        <f aca="false">IF($B1552="","",IFERROR(INDEX(M_name,MATCH($B1552,M_emp,0)),"Code not found"))</f>
        <v/>
      </c>
      <c r="D1552" s="10" t="str">
        <f aca="false">IF($B1552="","",IFERROR(INDEX(M_dept,MATCH($B1552,M_emp,0)),""))</f>
        <v/>
      </c>
      <c r="E1552" s="10" t="str">
        <f aca="false">IF($B1552="","",IFERROR(INDEX(M_loc,MATCH($B1552,M_emp,0)),""))</f>
        <v/>
      </c>
      <c r="F1552" s="33"/>
      <c r="G1552" s="33"/>
      <c r="H1552" s="33"/>
      <c r="I1552" s="33"/>
      <c r="J1552" s="33"/>
      <c r="K1552" s="33"/>
      <c r="L1552" s="33"/>
      <c r="M1552" s="33"/>
      <c r="N1552" s="33"/>
      <c r="O1552" s="33"/>
      <c r="P1552" s="33"/>
      <c r="Q1552" s="33"/>
      <c r="R1552" s="33"/>
      <c r="S1552" s="33"/>
      <c r="T1552" s="33"/>
      <c r="U1552" s="33"/>
      <c r="V1552" s="33"/>
      <c r="W1552" s="33"/>
      <c r="X1552" s="33"/>
      <c r="Y1552" s="33"/>
      <c r="Z1552" s="33"/>
      <c r="AA1552" s="33"/>
      <c r="AB1552" s="33"/>
      <c r="AC1552" s="33"/>
      <c r="AD1552" s="33"/>
      <c r="AE1552" s="33"/>
      <c r="AF1552" s="33"/>
      <c r="AG1552" s="33"/>
      <c r="AH1552" s="33"/>
      <c r="AI1552" s="33"/>
      <c r="AJ1552" s="33"/>
      <c r="AK1552" s="34" t="str">
        <f aca="false">IF($B1552="","",COUNTIF($F1552:$AJ1552,"P"))</f>
        <v/>
      </c>
      <c r="AL1552" s="34" t="str">
        <f aca="false">IF($B1552="","",COUNTIF($F1552:$AJ1552,"A"))</f>
        <v/>
      </c>
      <c r="AM1552" s="34" t="str">
        <f aca="false">IF($B1552="","",COUNTIF($F1552:$AJ1552,"HA"))</f>
        <v/>
      </c>
      <c r="AN1552" s="34" t="str">
        <f aca="false">IF($B1552="","",COUNTIF($F1552:$AJ1552,"L"))</f>
        <v/>
      </c>
      <c r="AO1552" s="34" t="str">
        <f aca="false">IF($B1552="","",COUNTIF($F1552:$AJ1552,"PL"))</f>
        <v/>
      </c>
      <c r="AP1552" s="34" t="str">
        <f aca="false">IF($B1552="","",COUNTIF($F1552:$AJ1552,"CL"))</f>
        <v/>
      </c>
      <c r="AQ1552" s="34" t="str">
        <f aca="false">IF($B1552="","",COUNTIF($F1552:$AJ1552,"SL"))</f>
        <v/>
      </c>
      <c r="AR1552" s="34" t="str">
        <f aca="false">IF($B1552="","",COUNTIF($F1552:$AJ1552,"CO"))</f>
        <v/>
      </c>
      <c r="AS1552" s="34" t="str">
        <f aca="false">IF($B1552="","",COUNTIF($F1552:$AJ1552,"HPL"))</f>
        <v/>
      </c>
      <c r="AT1552" s="34" t="str">
        <f aca="false">IF($B1552="","",COUNTIF($F1552:$AJ1552,"HCL"))</f>
        <v/>
      </c>
      <c r="AU1552" s="34" t="str">
        <f aca="false">IF($B1552="","",COUNTIF($F1552:$AJ1552,"WO"))</f>
        <v/>
      </c>
      <c r="AV1552" s="34" t="str">
        <f aca="false">IF($B1552="","",COUNTIF($F1552:$AJ1552,"PH"))</f>
        <v/>
      </c>
      <c r="AW1552" s="34" t="str">
        <f aca="false">IF($B1552="","",COUNTIF($F1552:$AJ1552,"TR"))</f>
        <v/>
      </c>
      <c r="AX1552" s="35" t="str">
        <f aca="false">IF($B1552="","",AO1552+AS1552/2)</f>
        <v/>
      </c>
      <c r="AY1552" s="35" t="str">
        <f aca="false">IF($B1552="","",AQ1552)</f>
        <v/>
      </c>
      <c r="AZ1552" s="35" t="str">
        <f aca="false">IF($B1552="","",AP1552+AT1552/2)</f>
        <v/>
      </c>
      <c r="BA1552" s="35" t="str">
        <f aca="false">IF($B1552="","",AK1552+AN1552+AM1552/2+AO1552+AP1552+AQ1552+AR1552+AS1552+AT1552+AU1552+AV1552+AW1552)</f>
        <v/>
      </c>
      <c r="BB1552" s="35" t="str">
        <f aca="false">IF($B1552="","",MAX(0,AN1552-Settings!$C$16)*Settings!$C$17)</f>
        <v/>
      </c>
      <c r="BC1552" s="35" t="str">
        <f aca="false">IF($B1552="","",BA1552-BB1552)</f>
        <v/>
      </c>
      <c r="BD1552" s="35" t="str">
        <f aca="false">IF(OR($B1552="",$A1552=""),"",DAY(EOMONTH($A1552,0))-COUNTA($F1552:$AJ1552))</f>
        <v/>
      </c>
    </row>
    <row r="1553" customFormat="false" ht="15" hidden="false" customHeight="false" outlineLevel="0" collapsed="false">
      <c r="A1553" s="32"/>
      <c r="B1553" s="29"/>
      <c r="C1553" s="10" t="str">
        <f aca="false">IF($B1553="","",IFERROR(INDEX(M_name,MATCH($B1553,M_emp,0)),"Code not found"))</f>
        <v/>
      </c>
      <c r="D1553" s="10" t="str">
        <f aca="false">IF($B1553="","",IFERROR(INDEX(M_dept,MATCH($B1553,M_emp,0)),""))</f>
        <v/>
      </c>
      <c r="E1553" s="10" t="str">
        <f aca="false">IF($B1553="","",IFERROR(INDEX(M_loc,MATCH($B1553,M_emp,0)),""))</f>
        <v/>
      </c>
      <c r="F1553" s="33"/>
      <c r="G1553" s="33"/>
      <c r="H1553" s="33"/>
      <c r="I1553" s="33"/>
      <c r="J1553" s="33"/>
      <c r="K1553" s="33"/>
      <c r="L1553" s="33"/>
      <c r="M1553" s="33"/>
      <c r="N1553" s="33"/>
      <c r="O1553" s="33"/>
      <c r="P1553" s="33"/>
      <c r="Q1553" s="33"/>
      <c r="R1553" s="33"/>
      <c r="S1553" s="33"/>
      <c r="T1553" s="33"/>
      <c r="U1553" s="33"/>
      <c r="V1553" s="33"/>
      <c r="W1553" s="33"/>
      <c r="X1553" s="33"/>
      <c r="Y1553" s="33"/>
      <c r="Z1553" s="33"/>
      <c r="AA1553" s="33"/>
      <c r="AB1553" s="33"/>
      <c r="AC1553" s="33"/>
      <c r="AD1553" s="33"/>
      <c r="AE1553" s="33"/>
      <c r="AF1553" s="33"/>
      <c r="AG1553" s="33"/>
      <c r="AH1553" s="33"/>
      <c r="AI1553" s="33"/>
      <c r="AJ1553" s="33"/>
      <c r="AK1553" s="34" t="str">
        <f aca="false">IF($B1553="","",COUNTIF($F1553:$AJ1553,"P"))</f>
        <v/>
      </c>
      <c r="AL1553" s="34" t="str">
        <f aca="false">IF($B1553="","",COUNTIF($F1553:$AJ1553,"A"))</f>
        <v/>
      </c>
      <c r="AM1553" s="34" t="str">
        <f aca="false">IF($B1553="","",COUNTIF($F1553:$AJ1553,"HA"))</f>
        <v/>
      </c>
      <c r="AN1553" s="34" t="str">
        <f aca="false">IF($B1553="","",COUNTIF($F1553:$AJ1553,"L"))</f>
        <v/>
      </c>
      <c r="AO1553" s="34" t="str">
        <f aca="false">IF($B1553="","",COUNTIF($F1553:$AJ1553,"PL"))</f>
        <v/>
      </c>
      <c r="AP1553" s="34" t="str">
        <f aca="false">IF($B1553="","",COUNTIF($F1553:$AJ1553,"CL"))</f>
        <v/>
      </c>
      <c r="AQ1553" s="34" t="str">
        <f aca="false">IF($B1553="","",COUNTIF($F1553:$AJ1553,"SL"))</f>
        <v/>
      </c>
      <c r="AR1553" s="34" t="str">
        <f aca="false">IF($B1553="","",COUNTIF($F1553:$AJ1553,"CO"))</f>
        <v/>
      </c>
      <c r="AS1553" s="34" t="str">
        <f aca="false">IF($B1553="","",COUNTIF($F1553:$AJ1553,"HPL"))</f>
        <v/>
      </c>
      <c r="AT1553" s="34" t="str">
        <f aca="false">IF($B1553="","",COUNTIF($F1553:$AJ1553,"HCL"))</f>
        <v/>
      </c>
      <c r="AU1553" s="34" t="str">
        <f aca="false">IF($B1553="","",COUNTIF($F1553:$AJ1553,"WO"))</f>
        <v/>
      </c>
      <c r="AV1553" s="34" t="str">
        <f aca="false">IF($B1553="","",COUNTIF($F1553:$AJ1553,"PH"))</f>
        <v/>
      </c>
      <c r="AW1553" s="34" t="str">
        <f aca="false">IF($B1553="","",COUNTIF($F1553:$AJ1553,"TR"))</f>
        <v/>
      </c>
      <c r="AX1553" s="35" t="str">
        <f aca="false">IF($B1553="","",AO1553+AS1553/2)</f>
        <v/>
      </c>
      <c r="AY1553" s="35" t="str">
        <f aca="false">IF($B1553="","",AQ1553)</f>
        <v/>
      </c>
      <c r="AZ1553" s="35" t="str">
        <f aca="false">IF($B1553="","",AP1553+AT1553/2)</f>
        <v/>
      </c>
      <c r="BA1553" s="35" t="str">
        <f aca="false">IF($B1553="","",AK1553+AN1553+AM1553/2+AO1553+AP1553+AQ1553+AR1553+AS1553+AT1553+AU1553+AV1553+AW1553)</f>
        <v/>
      </c>
      <c r="BB1553" s="35" t="str">
        <f aca="false">IF($B1553="","",MAX(0,AN1553-Settings!$C$16)*Settings!$C$17)</f>
        <v/>
      </c>
      <c r="BC1553" s="35" t="str">
        <f aca="false">IF($B1553="","",BA1553-BB1553)</f>
        <v/>
      </c>
      <c r="BD1553" s="35" t="str">
        <f aca="false">IF(OR($B1553="",$A1553=""),"",DAY(EOMONTH($A1553,0))-COUNTA($F1553:$AJ1553))</f>
        <v/>
      </c>
    </row>
    <row r="1554" customFormat="false" ht="15" hidden="false" customHeight="false" outlineLevel="0" collapsed="false">
      <c r="A1554" s="32"/>
      <c r="B1554" s="29"/>
      <c r="C1554" s="10" t="str">
        <f aca="false">IF($B1554="","",IFERROR(INDEX(M_name,MATCH($B1554,M_emp,0)),"Code not found"))</f>
        <v/>
      </c>
      <c r="D1554" s="10" t="str">
        <f aca="false">IF($B1554="","",IFERROR(INDEX(M_dept,MATCH($B1554,M_emp,0)),""))</f>
        <v/>
      </c>
      <c r="E1554" s="10" t="str">
        <f aca="false">IF($B1554="","",IFERROR(INDEX(M_loc,MATCH($B1554,M_emp,0)),""))</f>
        <v/>
      </c>
      <c r="F1554" s="33"/>
      <c r="G1554" s="33"/>
      <c r="H1554" s="33"/>
      <c r="I1554" s="33"/>
      <c r="J1554" s="33"/>
      <c r="K1554" s="33"/>
      <c r="L1554" s="33"/>
      <c r="M1554" s="33"/>
      <c r="N1554" s="33"/>
      <c r="O1554" s="33"/>
      <c r="P1554" s="33"/>
      <c r="Q1554" s="33"/>
      <c r="R1554" s="33"/>
      <c r="S1554" s="33"/>
      <c r="T1554" s="33"/>
      <c r="U1554" s="33"/>
      <c r="V1554" s="33"/>
      <c r="W1554" s="33"/>
      <c r="X1554" s="33"/>
      <c r="Y1554" s="33"/>
      <c r="Z1554" s="33"/>
      <c r="AA1554" s="33"/>
      <c r="AB1554" s="33"/>
      <c r="AC1554" s="33"/>
      <c r="AD1554" s="33"/>
      <c r="AE1554" s="33"/>
      <c r="AF1554" s="33"/>
      <c r="AG1554" s="33"/>
      <c r="AH1554" s="33"/>
      <c r="AI1554" s="33"/>
      <c r="AJ1554" s="33"/>
      <c r="AK1554" s="34" t="str">
        <f aca="false">IF($B1554="","",COUNTIF($F1554:$AJ1554,"P"))</f>
        <v/>
      </c>
      <c r="AL1554" s="34" t="str">
        <f aca="false">IF($B1554="","",COUNTIF($F1554:$AJ1554,"A"))</f>
        <v/>
      </c>
      <c r="AM1554" s="34" t="str">
        <f aca="false">IF($B1554="","",COUNTIF($F1554:$AJ1554,"HA"))</f>
        <v/>
      </c>
      <c r="AN1554" s="34" t="str">
        <f aca="false">IF($B1554="","",COUNTIF($F1554:$AJ1554,"L"))</f>
        <v/>
      </c>
      <c r="AO1554" s="34" t="str">
        <f aca="false">IF($B1554="","",COUNTIF($F1554:$AJ1554,"PL"))</f>
        <v/>
      </c>
      <c r="AP1554" s="34" t="str">
        <f aca="false">IF($B1554="","",COUNTIF($F1554:$AJ1554,"CL"))</f>
        <v/>
      </c>
      <c r="AQ1554" s="34" t="str">
        <f aca="false">IF($B1554="","",COUNTIF($F1554:$AJ1554,"SL"))</f>
        <v/>
      </c>
      <c r="AR1554" s="34" t="str">
        <f aca="false">IF($B1554="","",COUNTIF($F1554:$AJ1554,"CO"))</f>
        <v/>
      </c>
      <c r="AS1554" s="34" t="str">
        <f aca="false">IF($B1554="","",COUNTIF($F1554:$AJ1554,"HPL"))</f>
        <v/>
      </c>
      <c r="AT1554" s="34" t="str">
        <f aca="false">IF($B1554="","",COUNTIF($F1554:$AJ1554,"HCL"))</f>
        <v/>
      </c>
      <c r="AU1554" s="34" t="str">
        <f aca="false">IF($B1554="","",COUNTIF($F1554:$AJ1554,"WO"))</f>
        <v/>
      </c>
      <c r="AV1554" s="34" t="str">
        <f aca="false">IF($B1554="","",COUNTIF($F1554:$AJ1554,"PH"))</f>
        <v/>
      </c>
      <c r="AW1554" s="34" t="str">
        <f aca="false">IF($B1554="","",COUNTIF($F1554:$AJ1554,"TR"))</f>
        <v/>
      </c>
      <c r="AX1554" s="35" t="str">
        <f aca="false">IF($B1554="","",AO1554+AS1554/2)</f>
        <v/>
      </c>
      <c r="AY1554" s="35" t="str">
        <f aca="false">IF($B1554="","",AQ1554)</f>
        <v/>
      </c>
      <c r="AZ1554" s="35" t="str">
        <f aca="false">IF($B1554="","",AP1554+AT1554/2)</f>
        <v/>
      </c>
      <c r="BA1554" s="35" t="str">
        <f aca="false">IF($B1554="","",AK1554+AN1554+AM1554/2+AO1554+AP1554+AQ1554+AR1554+AS1554+AT1554+AU1554+AV1554+AW1554)</f>
        <v/>
      </c>
      <c r="BB1554" s="35" t="str">
        <f aca="false">IF($B1554="","",MAX(0,AN1554-Settings!$C$16)*Settings!$C$17)</f>
        <v/>
      </c>
      <c r="BC1554" s="35" t="str">
        <f aca="false">IF($B1554="","",BA1554-BB1554)</f>
        <v/>
      </c>
      <c r="BD1554" s="35" t="str">
        <f aca="false">IF(OR($B1554="",$A1554=""),"",DAY(EOMONTH($A1554,0))-COUNTA($F1554:$AJ1554))</f>
        <v/>
      </c>
    </row>
    <row r="1555" customFormat="false" ht="15" hidden="false" customHeight="false" outlineLevel="0" collapsed="false">
      <c r="A1555" s="32"/>
      <c r="B1555" s="29"/>
      <c r="C1555" s="10" t="str">
        <f aca="false">IF($B1555="","",IFERROR(INDEX(M_name,MATCH($B1555,M_emp,0)),"Code not found"))</f>
        <v/>
      </c>
      <c r="D1555" s="10" t="str">
        <f aca="false">IF($B1555="","",IFERROR(INDEX(M_dept,MATCH($B1555,M_emp,0)),""))</f>
        <v/>
      </c>
      <c r="E1555" s="10" t="str">
        <f aca="false">IF($B1555="","",IFERROR(INDEX(M_loc,MATCH($B1555,M_emp,0)),""))</f>
        <v/>
      </c>
      <c r="F1555" s="33"/>
      <c r="G1555" s="33"/>
      <c r="H1555" s="33"/>
      <c r="I1555" s="33"/>
      <c r="J1555" s="33"/>
      <c r="K1555" s="33"/>
      <c r="L1555" s="33"/>
      <c r="M1555" s="33"/>
      <c r="N1555" s="33"/>
      <c r="O1555" s="33"/>
      <c r="P1555" s="33"/>
      <c r="Q1555" s="33"/>
      <c r="R1555" s="33"/>
      <c r="S1555" s="33"/>
      <c r="T1555" s="33"/>
      <c r="U1555" s="33"/>
      <c r="V1555" s="33"/>
      <c r="W1555" s="33"/>
      <c r="X1555" s="33"/>
      <c r="Y1555" s="33"/>
      <c r="Z1555" s="33"/>
      <c r="AA1555" s="33"/>
      <c r="AB1555" s="33"/>
      <c r="AC1555" s="33"/>
      <c r="AD1555" s="33"/>
      <c r="AE1555" s="33"/>
      <c r="AF1555" s="33"/>
      <c r="AG1555" s="33"/>
      <c r="AH1555" s="33"/>
      <c r="AI1555" s="33"/>
      <c r="AJ1555" s="33"/>
      <c r="AK1555" s="34" t="str">
        <f aca="false">IF($B1555="","",COUNTIF($F1555:$AJ1555,"P"))</f>
        <v/>
      </c>
      <c r="AL1555" s="34" t="str">
        <f aca="false">IF($B1555="","",COUNTIF($F1555:$AJ1555,"A"))</f>
        <v/>
      </c>
      <c r="AM1555" s="34" t="str">
        <f aca="false">IF($B1555="","",COUNTIF($F1555:$AJ1555,"HA"))</f>
        <v/>
      </c>
      <c r="AN1555" s="34" t="str">
        <f aca="false">IF($B1555="","",COUNTIF($F1555:$AJ1555,"L"))</f>
        <v/>
      </c>
      <c r="AO1555" s="34" t="str">
        <f aca="false">IF($B1555="","",COUNTIF($F1555:$AJ1555,"PL"))</f>
        <v/>
      </c>
      <c r="AP1555" s="34" t="str">
        <f aca="false">IF($B1555="","",COUNTIF($F1555:$AJ1555,"CL"))</f>
        <v/>
      </c>
      <c r="AQ1555" s="34" t="str">
        <f aca="false">IF($B1555="","",COUNTIF($F1555:$AJ1555,"SL"))</f>
        <v/>
      </c>
      <c r="AR1555" s="34" t="str">
        <f aca="false">IF($B1555="","",COUNTIF($F1555:$AJ1555,"CO"))</f>
        <v/>
      </c>
      <c r="AS1555" s="34" t="str">
        <f aca="false">IF($B1555="","",COUNTIF($F1555:$AJ1555,"HPL"))</f>
        <v/>
      </c>
      <c r="AT1555" s="34" t="str">
        <f aca="false">IF($B1555="","",COUNTIF($F1555:$AJ1555,"HCL"))</f>
        <v/>
      </c>
      <c r="AU1555" s="34" t="str">
        <f aca="false">IF($B1555="","",COUNTIF($F1555:$AJ1555,"WO"))</f>
        <v/>
      </c>
      <c r="AV1555" s="34" t="str">
        <f aca="false">IF($B1555="","",COUNTIF($F1555:$AJ1555,"PH"))</f>
        <v/>
      </c>
      <c r="AW1555" s="34" t="str">
        <f aca="false">IF($B1555="","",COUNTIF($F1555:$AJ1555,"TR"))</f>
        <v/>
      </c>
      <c r="AX1555" s="35" t="str">
        <f aca="false">IF($B1555="","",AO1555+AS1555/2)</f>
        <v/>
      </c>
      <c r="AY1555" s="35" t="str">
        <f aca="false">IF($B1555="","",AQ1555)</f>
        <v/>
      </c>
      <c r="AZ1555" s="35" t="str">
        <f aca="false">IF($B1555="","",AP1555+AT1555/2)</f>
        <v/>
      </c>
      <c r="BA1555" s="35" t="str">
        <f aca="false">IF($B1555="","",AK1555+AN1555+AM1555/2+AO1555+AP1555+AQ1555+AR1555+AS1555+AT1555+AU1555+AV1555+AW1555)</f>
        <v/>
      </c>
      <c r="BB1555" s="35" t="str">
        <f aca="false">IF($B1555="","",MAX(0,AN1555-Settings!$C$16)*Settings!$C$17)</f>
        <v/>
      </c>
      <c r="BC1555" s="35" t="str">
        <f aca="false">IF($B1555="","",BA1555-BB1555)</f>
        <v/>
      </c>
      <c r="BD1555" s="35" t="str">
        <f aca="false">IF(OR($B1555="",$A1555=""),"",DAY(EOMONTH($A1555,0))-COUNTA($F1555:$AJ1555))</f>
        <v/>
      </c>
    </row>
    <row r="1556" customFormat="false" ht="15" hidden="false" customHeight="false" outlineLevel="0" collapsed="false">
      <c r="A1556" s="32"/>
      <c r="B1556" s="29"/>
      <c r="C1556" s="10" t="str">
        <f aca="false">IF($B1556="","",IFERROR(INDEX(M_name,MATCH($B1556,M_emp,0)),"Code not found"))</f>
        <v/>
      </c>
      <c r="D1556" s="10" t="str">
        <f aca="false">IF($B1556="","",IFERROR(INDEX(M_dept,MATCH($B1556,M_emp,0)),""))</f>
        <v/>
      </c>
      <c r="E1556" s="10" t="str">
        <f aca="false">IF($B1556="","",IFERROR(INDEX(M_loc,MATCH($B1556,M_emp,0)),""))</f>
        <v/>
      </c>
      <c r="F1556" s="33"/>
      <c r="G1556" s="33"/>
      <c r="H1556" s="33"/>
      <c r="I1556" s="33"/>
      <c r="J1556" s="33"/>
      <c r="K1556" s="33"/>
      <c r="L1556" s="33"/>
      <c r="M1556" s="33"/>
      <c r="N1556" s="33"/>
      <c r="O1556" s="33"/>
      <c r="P1556" s="33"/>
      <c r="Q1556" s="33"/>
      <c r="R1556" s="33"/>
      <c r="S1556" s="33"/>
      <c r="T1556" s="33"/>
      <c r="U1556" s="33"/>
      <c r="V1556" s="33"/>
      <c r="W1556" s="33"/>
      <c r="X1556" s="33"/>
      <c r="Y1556" s="33"/>
      <c r="Z1556" s="33"/>
      <c r="AA1556" s="33"/>
      <c r="AB1556" s="33"/>
      <c r="AC1556" s="33"/>
      <c r="AD1556" s="33"/>
      <c r="AE1556" s="33"/>
      <c r="AF1556" s="33"/>
      <c r="AG1556" s="33"/>
      <c r="AH1556" s="33"/>
      <c r="AI1556" s="33"/>
      <c r="AJ1556" s="33"/>
      <c r="AK1556" s="34" t="str">
        <f aca="false">IF($B1556="","",COUNTIF($F1556:$AJ1556,"P"))</f>
        <v/>
      </c>
      <c r="AL1556" s="34" t="str">
        <f aca="false">IF($B1556="","",COUNTIF($F1556:$AJ1556,"A"))</f>
        <v/>
      </c>
      <c r="AM1556" s="34" t="str">
        <f aca="false">IF($B1556="","",COUNTIF($F1556:$AJ1556,"HA"))</f>
        <v/>
      </c>
      <c r="AN1556" s="34" t="str">
        <f aca="false">IF($B1556="","",COUNTIF($F1556:$AJ1556,"L"))</f>
        <v/>
      </c>
      <c r="AO1556" s="34" t="str">
        <f aca="false">IF($B1556="","",COUNTIF($F1556:$AJ1556,"PL"))</f>
        <v/>
      </c>
      <c r="AP1556" s="34" t="str">
        <f aca="false">IF($B1556="","",COUNTIF($F1556:$AJ1556,"CL"))</f>
        <v/>
      </c>
      <c r="AQ1556" s="34" t="str">
        <f aca="false">IF($B1556="","",COUNTIF($F1556:$AJ1556,"SL"))</f>
        <v/>
      </c>
      <c r="AR1556" s="34" t="str">
        <f aca="false">IF($B1556="","",COUNTIF($F1556:$AJ1556,"CO"))</f>
        <v/>
      </c>
      <c r="AS1556" s="34" t="str">
        <f aca="false">IF($B1556="","",COUNTIF($F1556:$AJ1556,"HPL"))</f>
        <v/>
      </c>
      <c r="AT1556" s="34" t="str">
        <f aca="false">IF($B1556="","",COUNTIF($F1556:$AJ1556,"HCL"))</f>
        <v/>
      </c>
      <c r="AU1556" s="34" t="str">
        <f aca="false">IF($B1556="","",COUNTIF($F1556:$AJ1556,"WO"))</f>
        <v/>
      </c>
      <c r="AV1556" s="34" t="str">
        <f aca="false">IF($B1556="","",COUNTIF($F1556:$AJ1556,"PH"))</f>
        <v/>
      </c>
      <c r="AW1556" s="34" t="str">
        <f aca="false">IF($B1556="","",COUNTIF($F1556:$AJ1556,"TR"))</f>
        <v/>
      </c>
      <c r="AX1556" s="35" t="str">
        <f aca="false">IF($B1556="","",AO1556+AS1556/2)</f>
        <v/>
      </c>
      <c r="AY1556" s="35" t="str">
        <f aca="false">IF($B1556="","",AQ1556)</f>
        <v/>
      </c>
      <c r="AZ1556" s="35" t="str">
        <f aca="false">IF($B1556="","",AP1556+AT1556/2)</f>
        <v/>
      </c>
      <c r="BA1556" s="35" t="str">
        <f aca="false">IF($B1556="","",AK1556+AN1556+AM1556/2+AO1556+AP1556+AQ1556+AR1556+AS1556+AT1556+AU1556+AV1556+AW1556)</f>
        <v/>
      </c>
      <c r="BB1556" s="35" t="str">
        <f aca="false">IF($B1556="","",MAX(0,AN1556-Settings!$C$16)*Settings!$C$17)</f>
        <v/>
      </c>
      <c r="BC1556" s="35" t="str">
        <f aca="false">IF($B1556="","",BA1556-BB1556)</f>
        <v/>
      </c>
      <c r="BD1556" s="35" t="str">
        <f aca="false">IF(OR($B1556="",$A1556=""),"",DAY(EOMONTH($A1556,0))-COUNTA($F1556:$AJ1556))</f>
        <v/>
      </c>
    </row>
    <row r="1557" customFormat="false" ht="15" hidden="false" customHeight="false" outlineLevel="0" collapsed="false">
      <c r="A1557" s="32"/>
      <c r="B1557" s="29"/>
      <c r="C1557" s="10" t="str">
        <f aca="false">IF($B1557="","",IFERROR(INDEX(M_name,MATCH($B1557,M_emp,0)),"Code not found"))</f>
        <v/>
      </c>
      <c r="D1557" s="10" t="str">
        <f aca="false">IF($B1557="","",IFERROR(INDEX(M_dept,MATCH($B1557,M_emp,0)),""))</f>
        <v/>
      </c>
      <c r="E1557" s="10" t="str">
        <f aca="false">IF($B1557="","",IFERROR(INDEX(M_loc,MATCH($B1557,M_emp,0)),""))</f>
        <v/>
      </c>
      <c r="F1557" s="33"/>
      <c r="G1557" s="33"/>
      <c r="H1557" s="33"/>
      <c r="I1557" s="33"/>
      <c r="J1557" s="33"/>
      <c r="K1557" s="33"/>
      <c r="L1557" s="33"/>
      <c r="M1557" s="33"/>
      <c r="N1557" s="33"/>
      <c r="O1557" s="33"/>
      <c r="P1557" s="33"/>
      <c r="Q1557" s="33"/>
      <c r="R1557" s="33"/>
      <c r="S1557" s="33"/>
      <c r="T1557" s="33"/>
      <c r="U1557" s="33"/>
      <c r="V1557" s="33"/>
      <c r="W1557" s="33"/>
      <c r="X1557" s="33"/>
      <c r="Y1557" s="33"/>
      <c r="Z1557" s="33"/>
      <c r="AA1557" s="33"/>
      <c r="AB1557" s="33"/>
      <c r="AC1557" s="33"/>
      <c r="AD1557" s="33"/>
      <c r="AE1557" s="33"/>
      <c r="AF1557" s="33"/>
      <c r="AG1557" s="33"/>
      <c r="AH1557" s="33"/>
      <c r="AI1557" s="33"/>
      <c r="AJ1557" s="33"/>
      <c r="AK1557" s="34" t="str">
        <f aca="false">IF($B1557="","",COUNTIF($F1557:$AJ1557,"P"))</f>
        <v/>
      </c>
      <c r="AL1557" s="34" t="str">
        <f aca="false">IF($B1557="","",COUNTIF($F1557:$AJ1557,"A"))</f>
        <v/>
      </c>
      <c r="AM1557" s="34" t="str">
        <f aca="false">IF($B1557="","",COUNTIF($F1557:$AJ1557,"HA"))</f>
        <v/>
      </c>
      <c r="AN1557" s="34" t="str">
        <f aca="false">IF($B1557="","",COUNTIF($F1557:$AJ1557,"L"))</f>
        <v/>
      </c>
      <c r="AO1557" s="34" t="str">
        <f aca="false">IF($B1557="","",COUNTIF($F1557:$AJ1557,"PL"))</f>
        <v/>
      </c>
      <c r="AP1557" s="34" t="str">
        <f aca="false">IF($B1557="","",COUNTIF($F1557:$AJ1557,"CL"))</f>
        <v/>
      </c>
      <c r="AQ1557" s="34" t="str">
        <f aca="false">IF($B1557="","",COUNTIF($F1557:$AJ1557,"SL"))</f>
        <v/>
      </c>
      <c r="AR1557" s="34" t="str">
        <f aca="false">IF($B1557="","",COUNTIF($F1557:$AJ1557,"CO"))</f>
        <v/>
      </c>
      <c r="AS1557" s="34" t="str">
        <f aca="false">IF($B1557="","",COUNTIF($F1557:$AJ1557,"HPL"))</f>
        <v/>
      </c>
      <c r="AT1557" s="34" t="str">
        <f aca="false">IF($B1557="","",COUNTIF($F1557:$AJ1557,"HCL"))</f>
        <v/>
      </c>
      <c r="AU1557" s="34" t="str">
        <f aca="false">IF($B1557="","",COUNTIF($F1557:$AJ1557,"WO"))</f>
        <v/>
      </c>
      <c r="AV1557" s="34" t="str">
        <f aca="false">IF($B1557="","",COUNTIF($F1557:$AJ1557,"PH"))</f>
        <v/>
      </c>
      <c r="AW1557" s="34" t="str">
        <f aca="false">IF($B1557="","",COUNTIF($F1557:$AJ1557,"TR"))</f>
        <v/>
      </c>
      <c r="AX1557" s="35" t="str">
        <f aca="false">IF($B1557="","",AO1557+AS1557/2)</f>
        <v/>
      </c>
      <c r="AY1557" s="35" t="str">
        <f aca="false">IF($B1557="","",AQ1557)</f>
        <v/>
      </c>
      <c r="AZ1557" s="35" t="str">
        <f aca="false">IF($B1557="","",AP1557+AT1557/2)</f>
        <v/>
      </c>
      <c r="BA1557" s="35" t="str">
        <f aca="false">IF($B1557="","",AK1557+AN1557+AM1557/2+AO1557+AP1557+AQ1557+AR1557+AS1557+AT1557+AU1557+AV1557+AW1557)</f>
        <v/>
      </c>
      <c r="BB1557" s="35" t="str">
        <f aca="false">IF($B1557="","",MAX(0,AN1557-Settings!$C$16)*Settings!$C$17)</f>
        <v/>
      </c>
      <c r="BC1557" s="35" t="str">
        <f aca="false">IF($B1557="","",BA1557-BB1557)</f>
        <v/>
      </c>
      <c r="BD1557" s="35" t="str">
        <f aca="false">IF(OR($B1557="",$A1557=""),"",DAY(EOMONTH($A1557,0))-COUNTA($F1557:$AJ1557))</f>
        <v/>
      </c>
    </row>
    <row r="1558" customFormat="false" ht="15" hidden="false" customHeight="false" outlineLevel="0" collapsed="false">
      <c r="A1558" s="32"/>
      <c r="B1558" s="29"/>
      <c r="C1558" s="10" t="str">
        <f aca="false">IF($B1558="","",IFERROR(INDEX(M_name,MATCH($B1558,M_emp,0)),"Code not found"))</f>
        <v/>
      </c>
      <c r="D1558" s="10" t="str">
        <f aca="false">IF($B1558="","",IFERROR(INDEX(M_dept,MATCH($B1558,M_emp,0)),""))</f>
        <v/>
      </c>
      <c r="E1558" s="10" t="str">
        <f aca="false">IF($B1558="","",IFERROR(INDEX(M_loc,MATCH($B1558,M_emp,0)),""))</f>
        <v/>
      </c>
      <c r="F1558" s="33"/>
      <c r="G1558" s="33"/>
      <c r="H1558" s="33"/>
      <c r="I1558" s="33"/>
      <c r="J1558" s="33"/>
      <c r="K1558" s="33"/>
      <c r="L1558" s="33"/>
      <c r="M1558" s="33"/>
      <c r="N1558" s="33"/>
      <c r="O1558" s="33"/>
      <c r="P1558" s="33"/>
      <c r="Q1558" s="33"/>
      <c r="R1558" s="33"/>
      <c r="S1558" s="33"/>
      <c r="T1558" s="33"/>
      <c r="U1558" s="33"/>
      <c r="V1558" s="33"/>
      <c r="W1558" s="33"/>
      <c r="X1558" s="33"/>
      <c r="Y1558" s="33"/>
      <c r="Z1558" s="33"/>
      <c r="AA1558" s="33"/>
      <c r="AB1558" s="33"/>
      <c r="AC1558" s="33"/>
      <c r="AD1558" s="33"/>
      <c r="AE1558" s="33"/>
      <c r="AF1558" s="33"/>
      <c r="AG1558" s="33"/>
      <c r="AH1558" s="33"/>
      <c r="AI1558" s="33"/>
      <c r="AJ1558" s="33"/>
      <c r="AK1558" s="34" t="str">
        <f aca="false">IF($B1558="","",COUNTIF($F1558:$AJ1558,"P"))</f>
        <v/>
      </c>
      <c r="AL1558" s="34" t="str">
        <f aca="false">IF($B1558="","",COUNTIF($F1558:$AJ1558,"A"))</f>
        <v/>
      </c>
      <c r="AM1558" s="34" t="str">
        <f aca="false">IF($B1558="","",COUNTIF($F1558:$AJ1558,"HA"))</f>
        <v/>
      </c>
      <c r="AN1558" s="34" t="str">
        <f aca="false">IF($B1558="","",COUNTIF($F1558:$AJ1558,"L"))</f>
        <v/>
      </c>
      <c r="AO1558" s="34" t="str">
        <f aca="false">IF($B1558="","",COUNTIF($F1558:$AJ1558,"PL"))</f>
        <v/>
      </c>
      <c r="AP1558" s="34" t="str">
        <f aca="false">IF($B1558="","",COUNTIF($F1558:$AJ1558,"CL"))</f>
        <v/>
      </c>
      <c r="AQ1558" s="34" t="str">
        <f aca="false">IF($B1558="","",COUNTIF($F1558:$AJ1558,"SL"))</f>
        <v/>
      </c>
      <c r="AR1558" s="34" t="str">
        <f aca="false">IF($B1558="","",COUNTIF($F1558:$AJ1558,"CO"))</f>
        <v/>
      </c>
      <c r="AS1558" s="34" t="str">
        <f aca="false">IF($B1558="","",COUNTIF($F1558:$AJ1558,"HPL"))</f>
        <v/>
      </c>
      <c r="AT1558" s="34" t="str">
        <f aca="false">IF($B1558="","",COUNTIF($F1558:$AJ1558,"HCL"))</f>
        <v/>
      </c>
      <c r="AU1558" s="34" t="str">
        <f aca="false">IF($B1558="","",COUNTIF($F1558:$AJ1558,"WO"))</f>
        <v/>
      </c>
      <c r="AV1558" s="34" t="str">
        <f aca="false">IF($B1558="","",COUNTIF($F1558:$AJ1558,"PH"))</f>
        <v/>
      </c>
      <c r="AW1558" s="34" t="str">
        <f aca="false">IF($B1558="","",COUNTIF($F1558:$AJ1558,"TR"))</f>
        <v/>
      </c>
      <c r="AX1558" s="35" t="str">
        <f aca="false">IF($B1558="","",AO1558+AS1558/2)</f>
        <v/>
      </c>
      <c r="AY1558" s="35" t="str">
        <f aca="false">IF($B1558="","",AQ1558)</f>
        <v/>
      </c>
      <c r="AZ1558" s="35" t="str">
        <f aca="false">IF($B1558="","",AP1558+AT1558/2)</f>
        <v/>
      </c>
      <c r="BA1558" s="35" t="str">
        <f aca="false">IF($B1558="","",AK1558+AN1558+AM1558/2+AO1558+AP1558+AQ1558+AR1558+AS1558+AT1558+AU1558+AV1558+AW1558)</f>
        <v/>
      </c>
      <c r="BB1558" s="35" t="str">
        <f aca="false">IF($B1558="","",MAX(0,AN1558-Settings!$C$16)*Settings!$C$17)</f>
        <v/>
      </c>
      <c r="BC1558" s="35" t="str">
        <f aca="false">IF($B1558="","",BA1558-BB1558)</f>
        <v/>
      </c>
      <c r="BD1558" s="35" t="str">
        <f aca="false">IF(OR($B1558="",$A1558=""),"",DAY(EOMONTH($A1558,0))-COUNTA($F1558:$AJ1558))</f>
        <v/>
      </c>
    </row>
    <row r="1559" customFormat="false" ht="15" hidden="false" customHeight="false" outlineLevel="0" collapsed="false">
      <c r="A1559" s="32"/>
      <c r="B1559" s="29"/>
      <c r="C1559" s="10" t="str">
        <f aca="false">IF($B1559="","",IFERROR(INDEX(M_name,MATCH($B1559,M_emp,0)),"Code not found"))</f>
        <v/>
      </c>
      <c r="D1559" s="10" t="str">
        <f aca="false">IF($B1559="","",IFERROR(INDEX(M_dept,MATCH($B1559,M_emp,0)),""))</f>
        <v/>
      </c>
      <c r="E1559" s="10" t="str">
        <f aca="false">IF($B1559="","",IFERROR(INDEX(M_loc,MATCH($B1559,M_emp,0)),""))</f>
        <v/>
      </c>
      <c r="F1559" s="33"/>
      <c r="G1559" s="33"/>
      <c r="H1559" s="33"/>
      <c r="I1559" s="33"/>
      <c r="J1559" s="33"/>
      <c r="K1559" s="33"/>
      <c r="L1559" s="33"/>
      <c r="M1559" s="33"/>
      <c r="N1559" s="33"/>
      <c r="O1559" s="33"/>
      <c r="P1559" s="33"/>
      <c r="Q1559" s="33"/>
      <c r="R1559" s="33"/>
      <c r="S1559" s="33"/>
      <c r="T1559" s="33"/>
      <c r="U1559" s="33"/>
      <c r="V1559" s="33"/>
      <c r="W1559" s="33"/>
      <c r="X1559" s="33"/>
      <c r="Y1559" s="33"/>
      <c r="Z1559" s="33"/>
      <c r="AA1559" s="33"/>
      <c r="AB1559" s="33"/>
      <c r="AC1559" s="33"/>
      <c r="AD1559" s="33"/>
      <c r="AE1559" s="33"/>
      <c r="AF1559" s="33"/>
      <c r="AG1559" s="33"/>
      <c r="AH1559" s="33"/>
      <c r="AI1559" s="33"/>
      <c r="AJ1559" s="33"/>
      <c r="AK1559" s="34" t="str">
        <f aca="false">IF($B1559="","",COUNTIF($F1559:$AJ1559,"P"))</f>
        <v/>
      </c>
      <c r="AL1559" s="34" t="str">
        <f aca="false">IF($B1559="","",COUNTIF($F1559:$AJ1559,"A"))</f>
        <v/>
      </c>
      <c r="AM1559" s="34" t="str">
        <f aca="false">IF($B1559="","",COUNTIF($F1559:$AJ1559,"HA"))</f>
        <v/>
      </c>
      <c r="AN1559" s="34" t="str">
        <f aca="false">IF($B1559="","",COUNTIF($F1559:$AJ1559,"L"))</f>
        <v/>
      </c>
      <c r="AO1559" s="34" t="str">
        <f aca="false">IF($B1559="","",COUNTIF($F1559:$AJ1559,"PL"))</f>
        <v/>
      </c>
      <c r="AP1559" s="34" t="str">
        <f aca="false">IF($B1559="","",COUNTIF($F1559:$AJ1559,"CL"))</f>
        <v/>
      </c>
      <c r="AQ1559" s="34" t="str">
        <f aca="false">IF($B1559="","",COUNTIF($F1559:$AJ1559,"SL"))</f>
        <v/>
      </c>
      <c r="AR1559" s="34" t="str">
        <f aca="false">IF($B1559="","",COUNTIF($F1559:$AJ1559,"CO"))</f>
        <v/>
      </c>
      <c r="AS1559" s="34" t="str">
        <f aca="false">IF($B1559="","",COUNTIF($F1559:$AJ1559,"HPL"))</f>
        <v/>
      </c>
      <c r="AT1559" s="34" t="str">
        <f aca="false">IF($B1559="","",COUNTIF($F1559:$AJ1559,"HCL"))</f>
        <v/>
      </c>
      <c r="AU1559" s="34" t="str">
        <f aca="false">IF($B1559="","",COUNTIF($F1559:$AJ1559,"WO"))</f>
        <v/>
      </c>
      <c r="AV1559" s="34" t="str">
        <f aca="false">IF($B1559="","",COUNTIF($F1559:$AJ1559,"PH"))</f>
        <v/>
      </c>
      <c r="AW1559" s="34" t="str">
        <f aca="false">IF($B1559="","",COUNTIF($F1559:$AJ1559,"TR"))</f>
        <v/>
      </c>
      <c r="AX1559" s="35" t="str">
        <f aca="false">IF($B1559="","",AO1559+AS1559/2)</f>
        <v/>
      </c>
      <c r="AY1559" s="35" t="str">
        <f aca="false">IF($B1559="","",AQ1559)</f>
        <v/>
      </c>
      <c r="AZ1559" s="35" t="str">
        <f aca="false">IF($B1559="","",AP1559+AT1559/2)</f>
        <v/>
      </c>
      <c r="BA1559" s="35" t="str">
        <f aca="false">IF($B1559="","",AK1559+AN1559+AM1559/2+AO1559+AP1559+AQ1559+AR1559+AS1559+AT1559+AU1559+AV1559+AW1559)</f>
        <v/>
      </c>
      <c r="BB1559" s="35" t="str">
        <f aca="false">IF($B1559="","",MAX(0,AN1559-Settings!$C$16)*Settings!$C$17)</f>
        <v/>
      </c>
      <c r="BC1559" s="35" t="str">
        <f aca="false">IF($B1559="","",BA1559-BB1559)</f>
        <v/>
      </c>
      <c r="BD1559" s="35" t="str">
        <f aca="false">IF(OR($B1559="",$A1559=""),"",DAY(EOMONTH($A1559,0))-COUNTA($F1559:$AJ1559))</f>
        <v/>
      </c>
    </row>
    <row r="1560" customFormat="false" ht="15" hidden="false" customHeight="false" outlineLevel="0" collapsed="false">
      <c r="A1560" s="32"/>
      <c r="B1560" s="29"/>
      <c r="C1560" s="10" t="str">
        <f aca="false">IF($B1560="","",IFERROR(INDEX(M_name,MATCH($B1560,M_emp,0)),"Code not found"))</f>
        <v/>
      </c>
      <c r="D1560" s="10" t="str">
        <f aca="false">IF($B1560="","",IFERROR(INDEX(M_dept,MATCH($B1560,M_emp,0)),""))</f>
        <v/>
      </c>
      <c r="E1560" s="10" t="str">
        <f aca="false">IF($B1560="","",IFERROR(INDEX(M_loc,MATCH($B1560,M_emp,0)),""))</f>
        <v/>
      </c>
      <c r="F1560" s="33"/>
      <c r="G1560" s="33"/>
      <c r="H1560" s="33"/>
      <c r="I1560" s="33"/>
      <c r="J1560" s="33"/>
      <c r="K1560" s="33"/>
      <c r="L1560" s="33"/>
      <c r="M1560" s="33"/>
      <c r="N1560" s="33"/>
      <c r="O1560" s="33"/>
      <c r="P1560" s="33"/>
      <c r="Q1560" s="33"/>
      <c r="R1560" s="33"/>
      <c r="S1560" s="33"/>
      <c r="T1560" s="33"/>
      <c r="U1560" s="33"/>
      <c r="V1560" s="33"/>
      <c r="W1560" s="33"/>
      <c r="X1560" s="33"/>
      <c r="Y1560" s="33"/>
      <c r="Z1560" s="33"/>
      <c r="AA1560" s="33"/>
      <c r="AB1560" s="33"/>
      <c r="AC1560" s="33"/>
      <c r="AD1560" s="33"/>
      <c r="AE1560" s="33"/>
      <c r="AF1560" s="33"/>
      <c r="AG1560" s="33"/>
      <c r="AH1560" s="33"/>
      <c r="AI1560" s="33"/>
      <c r="AJ1560" s="33"/>
      <c r="AK1560" s="34" t="str">
        <f aca="false">IF($B1560="","",COUNTIF($F1560:$AJ1560,"P"))</f>
        <v/>
      </c>
      <c r="AL1560" s="34" t="str">
        <f aca="false">IF($B1560="","",COUNTIF($F1560:$AJ1560,"A"))</f>
        <v/>
      </c>
      <c r="AM1560" s="34" t="str">
        <f aca="false">IF($B1560="","",COUNTIF($F1560:$AJ1560,"HA"))</f>
        <v/>
      </c>
      <c r="AN1560" s="34" t="str">
        <f aca="false">IF($B1560="","",COUNTIF($F1560:$AJ1560,"L"))</f>
        <v/>
      </c>
      <c r="AO1560" s="34" t="str">
        <f aca="false">IF($B1560="","",COUNTIF($F1560:$AJ1560,"PL"))</f>
        <v/>
      </c>
      <c r="AP1560" s="34" t="str">
        <f aca="false">IF($B1560="","",COUNTIF($F1560:$AJ1560,"CL"))</f>
        <v/>
      </c>
      <c r="AQ1560" s="34" t="str">
        <f aca="false">IF($B1560="","",COUNTIF($F1560:$AJ1560,"SL"))</f>
        <v/>
      </c>
      <c r="AR1560" s="34" t="str">
        <f aca="false">IF($B1560="","",COUNTIF($F1560:$AJ1560,"CO"))</f>
        <v/>
      </c>
      <c r="AS1560" s="34" t="str">
        <f aca="false">IF($B1560="","",COUNTIF($F1560:$AJ1560,"HPL"))</f>
        <v/>
      </c>
      <c r="AT1560" s="34" t="str">
        <f aca="false">IF($B1560="","",COUNTIF($F1560:$AJ1560,"HCL"))</f>
        <v/>
      </c>
      <c r="AU1560" s="34" t="str">
        <f aca="false">IF($B1560="","",COUNTIF($F1560:$AJ1560,"WO"))</f>
        <v/>
      </c>
      <c r="AV1560" s="34" t="str">
        <f aca="false">IF($B1560="","",COUNTIF($F1560:$AJ1560,"PH"))</f>
        <v/>
      </c>
      <c r="AW1560" s="34" t="str">
        <f aca="false">IF($B1560="","",COUNTIF($F1560:$AJ1560,"TR"))</f>
        <v/>
      </c>
      <c r="AX1560" s="35" t="str">
        <f aca="false">IF($B1560="","",AO1560+AS1560/2)</f>
        <v/>
      </c>
      <c r="AY1560" s="35" t="str">
        <f aca="false">IF($B1560="","",AQ1560)</f>
        <v/>
      </c>
      <c r="AZ1560" s="35" t="str">
        <f aca="false">IF($B1560="","",AP1560+AT1560/2)</f>
        <v/>
      </c>
      <c r="BA1560" s="35" t="str">
        <f aca="false">IF($B1560="","",AK1560+AN1560+AM1560/2+AO1560+AP1560+AQ1560+AR1560+AS1560+AT1560+AU1560+AV1560+AW1560)</f>
        <v/>
      </c>
      <c r="BB1560" s="35" t="str">
        <f aca="false">IF($B1560="","",MAX(0,AN1560-Settings!$C$16)*Settings!$C$17)</f>
        <v/>
      </c>
      <c r="BC1560" s="35" t="str">
        <f aca="false">IF($B1560="","",BA1560-BB1560)</f>
        <v/>
      </c>
      <c r="BD1560" s="35" t="str">
        <f aca="false">IF(OR($B1560="",$A1560=""),"",DAY(EOMONTH($A1560,0))-COUNTA($F1560:$AJ1560))</f>
        <v/>
      </c>
    </row>
    <row r="1561" customFormat="false" ht="15" hidden="false" customHeight="false" outlineLevel="0" collapsed="false">
      <c r="A1561" s="32"/>
      <c r="B1561" s="29"/>
      <c r="C1561" s="10" t="str">
        <f aca="false">IF($B1561="","",IFERROR(INDEX(M_name,MATCH($B1561,M_emp,0)),"Code not found"))</f>
        <v/>
      </c>
      <c r="D1561" s="10" t="str">
        <f aca="false">IF($B1561="","",IFERROR(INDEX(M_dept,MATCH($B1561,M_emp,0)),""))</f>
        <v/>
      </c>
      <c r="E1561" s="10" t="str">
        <f aca="false">IF($B1561="","",IFERROR(INDEX(M_loc,MATCH($B1561,M_emp,0)),""))</f>
        <v/>
      </c>
      <c r="F1561" s="33"/>
      <c r="G1561" s="33"/>
      <c r="H1561" s="33"/>
      <c r="I1561" s="33"/>
      <c r="J1561" s="33"/>
      <c r="K1561" s="33"/>
      <c r="L1561" s="33"/>
      <c r="M1561" s="33"/>
      <c r="N1561" s="33"/>
      <c r="O1561" s="33"/>
      <c r="P1561" s="33"/>
      <c r="Q1561" s="33"/>
      <c r="R1561" s="33"/>
      <c r="S1561" s="33"/>
      <c r="T1561" s="33"/>
      <c r="U1561" s="33"/>
      <c r="V1561" s="33"/>
      <c r="W1561" s="33"/>
      <c r="X1561" s="33"/>
      <c r="Y1561" s="33"/>
      <c r="Z1561" s="33"/>
      <c r="AA1561" s="33"/>
      <c r="AB1561" s="33"/>
      <c r="AC1561" s="33"/>
      <c r="AD1561" s="33"/>
      <c r="AE1561" s="33"/>
      <c r="AF1561" s="33"/>
      <c r="AG1561" s="33"/>
      <c r="AH1561" s="33"/>
      <c r="AI1561" s="33"/>
      <c r="AJ1561" s="33"/>
      <c r="AK1561" s="34" t="str">
        <f aca="false">IF($B1561="","",COUNTIF($F1561:$AJ1561,"P"))</f>
        <v/>
      </c>
      <c r="AL1561" s="34" t="str">
        <f aca="false">IF($B1561="","",COUNTIF($F1561:$AJ1561,"A"))</f>
        <v/>
      </c>
      <c r="AM1561" s="34" t="str">
        <f aca="false">IF($B1561="","",COUNTIF($F1561:$AJ1561,"HA"))</f>
        <v/>
      </c>
      <c r="AN1561" s="34" t="str">
        <f aca="false">IF($B1561="","",COUNTIF($F1561:$AJ1561,"L"))</f>
        <v/>
      </c>
      <c r="AO1561" s="34" t="str">
        <f aca="false">IF($B1561="","",COUNTIF($F1561:$AJ1561,"PL"))</f>
        <v/>
      </c>
      <c r="AP1561" s="34" t="str">
        <f aca="false">IF($B1561="","",COUNTIF($F1561:$AJ1561,"CL"))</f>
        <v/>
      </c>
      <c r="AQ1561" s="34" t="str">
        <f aca="false">IF($B1561="","",COUNTIF($F1561:$AJ1561,"SL"))</f>
        <v/>
      </c>
      <c r="AR1561" s="34" t="str">
        <f aca="false">IF($B1561="","",COUNTIF($F1561:$AJ1561,"CO"))</f>
        <v/>
      </c>
      <c r="AS1561" s="34" t="str">
        <f aca="false">IF($B1561="","",COUNTIF($F1561:$AJ1561,"HPL"))</f>
        <v/>
      </c>
      <c r="AT1561" s="34" t="str">
        <f aca="false">IF($B1561="","",COUNTIF($F1561:$AJ1561,"HCL"))</f>
        <v/>
      </c>
      <c r="AU1561" s="34" t="str">
        <f aca="false">IF($B1561="","",COUNTIF($F1561:$AJ1561,"WO"))</f>
        <v/>
      </c>
      <c r="AV1561" s="34" t="str">
        <f aca="false">IF($B1561="","",COUNTIF($F1561:$AJ1561,"PH"))</f>
        <v/>
      </c>
      <c r="AW1561" s="34" t="str">
        <f aca="false">IF($B1561="","",COUNTIF($F1561:$AJ1561,"TR"))</f>
        <v/>
      </c>
      <c r="AX1561" s="35" t="str">
        <f aca="false">IF($B1561="","",AO1561+AS1561/2)</f>
        <v/>
      </c>
      <c r="AY1561" s="35" t="str">
        <f aca="false">IF($B1561="","",AQ1561)</f>
        <v/>
      </c>
      <c r="AZ1561" s="35" t="str">
        <f aca="false">IF($B1561="","",AP1561+AT1561/2)</f>
        <v/>
      </c>
      <c r="BA1561" s="35" t="str">
        <f aca="false">IF($B1561="","",AK1561+AN1561+AM1561/2+AO1561+AP1561+AQ1561+AR1561+AS1561+AT1561+AU1561+AV1561+AW1561)</f>
        <v/>
      </c>
      <c r="BB1561" s="35" t="str">
        <f aca="false">IF($B1561="","",MAX(0,AN1561-Settings!$C$16)*Settings!$C$17)</f>
        <v/>
      </c>
      <c r="BC1561" s="35" t="str">
        <f aca="false">IF($B1561="","",BA1561-BB1561)</f>
        <v/>
      </c>
      <c r="BD1561" s="35" t="str">
        <f aca="false">IF(OR($B1561="",$A1561=""),"",DAY(EOMONTH($A1561,0))-COUNTA($F1561:$AJ1561))</f>
        <v/>
      </c>
    </row>
    <row r="1562" customFormat="false" ht="15" hidden="false" customHeight="false" outlineLevel="0" collapsed="false">
      <c r="A1562" s="32"/>
      <c r="B1562" s="29"/>
      <c r="C1562" s="10" t="str">
        <f aca="false">IF($B1562="","",IFERROR(INDEX(M_name,MATCH($B1562,M_emp,0)),"Code not found"))</f>
        <v/>
      </c>
      <c r="D1562" s="10" t="str">
        <f aca="false">IF($B1562="","",IFERROR(INDEX(M_dept,MATCH($B1562,M_emp,0)),""))</f>
        <v/>
      </c>
      <c r="E1562" s="10" t="str">
        <f aca="false">IF($B1562="","",IFERROR(INDEX(M_loc,MATCH($B1562,M_emp,0)),""))</f>
        <v/>
      </c>
      <c r="F1562" s="33"/>
      <c r="G1562" s="33"/>
      <c r="H1562" s="33"/>
      <c r="I1562" s="33"/>
      <c r="J1562" s="33"/>
      <c r="K1562" s="33"/>
      <c r="L1562" s="33"/>
      <c r="M1562" s="33"/>
      <c r="N1562" s="33"/>
      <c r="O1562" s="33"/>
      <c r="P1562" s="33"/>
      <c r="Q1562" s="33"/>
      <c r="R1562" s="33"/>
      <c r="S1562" s="33"/>
      <c r="T1562" s="33"/>
      <c r="U1562" s="33"/>
      <c r="V1562" s="33"/>
      <c r="W1562" s="33"/>
      <c r="X1562" s="33"/>
      <c r="Y1562" s="33"/>
      <c r="Z1562" s="33"/>
      <c r="AA1562" s="33"/>
      <c r="AB1562" s="33"/>
      <c r="AC1562" s="33"/>
      <c r="AD1562" s="33"/>
      <c r="AE1562" s="33"/>
      <c r="AF1562" s="33"/>
      <c r="AG1562" s="33"/>
      <c r="AH1562" s="33"/>
      <c r="AI1562" s="33"/>
      <c r="AJ1562" s="33"/>
      <c r="AK1562" s="34" t="str">
        <f aca="false">IF($B1562="","",COUNTIF($F1562:$AJ1562,"P"))</f>
        <v/>
      </c>
      <c r="AL1562" s="34" t="str">
        <f aca="false">IF($B1562="","",COUNTIF($F1562:$AJ1562,"A"))</f>
        <v/>
      </c>
      <c r="AM1562" s="34" t="str">
        <f aca="false">IF($B1562="","",COUNTIF($F1562:$AJ1562,"HA"))</f>
        <v/>
      </c>
      <c r="AN1562" s="34" t="str">
        <f aca="false">IF($B1562="","",COUNTIF($F1562:$AJ1562,"L"))</f>
        <v/>
      </c>
      <c r="AO1562" s="34" t="str">
        <f aca="false">IF($B1562="","",COUNTIF($F1562:$AJ1562,"PL"))</f>
        <v/>
      </c>
      <c r="AP1562" s="34" t="str">
        <f aca="false">IF($B1562="","",COUNTIF($F1562:$AJ1562,"CL"))</f>
        <v/>
      </c>
      <c r="AQ1562" s="34" t="str">
        <f aca="false">IF($B1562="","",COUNTIF($F1562:$AJ1562,"SL"))</f>
        <v/>
      </c>
      <c r="AR1562" s="34" t="str">
        <f aca="false">IF($B1562="","",COUNTIF($F1562:$AJ1562,"CO"))</f>
        <v/>
      </c>
      <c r="AS1562" s="34" t="str">
        <f aca="false">IF($B1562="","",COUNTIF($F1562:$AJ1562,"HPL"))</f>
        <v/>
      </c>
      <c r="AT1562" s="34" t="str">
        <f aca="false">IF($B1562="","",COUNTIF($F1562:$AJ1562,"HCL"))</f>
        <v/>
      </c>
      <c r="AU1562" s="34" t="str">
        <f aca="false">IF($B1562="","",COUNTIF($F1562:$AJ1562,"WO"))</f>
        <v/>
      </c>
      <c r="AV1562" s="34" t="str">
        <f aca="false">IF($B1562="","",COUNTIF($F1562:$AJ1562,"PH"))</f>
        <v/>
      </c>
      <c r="AW1562" s="34" t="str">
        <f aca="false">IF($B1562="","",COUNTIF($F1562:$AJ1562,"TR"))</f>
        <v/>
      </c>
      <c r="AX1562" s="35" t="str">
        <f aca="false">IF($B1562="","",AO1562+AS1562/2)</f>
        <v/>
      </c>
      <c r="AY1562" s="35" t="str">
        <f aca="false">IF($B1562="","",AQ1562)</f>
        <v/>
      </c>
      <c r="AZ1562" s="35" t="str">
        <f aca="false">IF($B1562="","",AP1562+AT1562/2)</f>
        <v/>
      </c>
      <c r="BA1562" s="35" t="str">
        <f aca="false">IF($B1562="","",AK1562+AN1562+AM1562/2+AO1562+AP1562+AQ1562+AR1562+AS1562+AT1562+AU1562+AV1562+AW1562)</f>
        <v/>
      </c>
      <c r="BB1562" s="35" t="str">
        <f aca="false">IF($B1562="","",MAX(0,AN1562-Settings!$C$16)*Settings!$C$17)</f>
        <v/>
      </c>
      <c r="BC1562" s="35" t="str">
        <f aca="false">IF($B1562="","",BA1562-BB1562)</f>
        <v/>
      </c>
      <c r="BD1562" s="35" t="str">
        <f aca="false">IF(OR($B1562="",$A1562=""),"",DAY(EOMONTH($A1562,0))-COUNTA($F1562:$AJ1562))</f>
        <v/>
      </c>
    </row>
    <row r="1563" customFormat="false" ht="15" hidden="false" customHeight="false" outlineLevel="0" collapsed="false">
      <c r="A1563" s="32"/>
      <c r="B1563" s="29"/>
      <c r="C1563" s="10" t="str">
        <f aca="false">IF($B1563="","",IFERROR(INDEX(M_name,MATCH($B1563,M_emp,0)),"Code not found"))</f>
        <v/>
      </c>
      <c r="D1563" s="10" t="str">
        <f aca="false">IF($B1563="","",IFERROR(INDEX(M_dept,MATCH($B1563,M_emp,0)),""))</f>
        <v/>
      </c>
      <c r="E1563" s="10" t="str">
        <f aca="false">IF($B1563="","",IFERROR(INDEX(M_loc,MATCH($B1563,M_emp,0)),""))</f>
        <v/>
      </c>
      <c r="F1563" s="33"/>
      <c r="G1563" s="33"/>
      <c r="H1563" s="33"/>
      <c r="I1563" s="33"/>
      <c r="J1563" s="33"/>
      <c r="K1563" s="33"/>
      <c r="L1563" s="33"/>
      <c r="M1563" s="33"/>
      <c r="N1563" s="33"/>
      <c r="O1563" s="33"/>
      <c r="P1563" s="33"/>
      <c r="Q1563" s="33"/>
      <c r="R1563" s="33"/>
      <c r="S1563" s="33"/>
      <c r="T1563" s="33"/>
      <c r="U1563" s="33"/>
      <c r="V1563" s="33"/>
      <c r="W1563" s="33"/>
      <c r="X1563" s="33"/>
      <c r="Y1563" s="33"/>
      <c r="Z1563" s="33"/>
      <c r="AA1563" s="33"/>
      <c r="AB1563" s="33"/>
      <c r="AC1563" s="33"/>
      <c r="AD1563" s="33"/>
      <c r="AE1563" s="33"/>
      <c r="AF1563" s="33"/>
      <c r="AG1563" s="33"/>
      <c r="AH1563" s="33"/>
      <c r="AI1563" s="33"/>
      <c r="AJ1563" s="33"/>
      <c r="AK1563" s="34" t="str">
        <f aca="false">IF($B1563="","",COUNTIF($F1563:$AJ1563,"P"))</f>
        <v/>
      </c>
      <c r="AL1563" s="34" t="str">
        <f aca="false">IF($B1563="","",COUNTIF($F1563:$AJ1563,"A"))</f>
        <v/>
      </c>
      <c r="AM1563" s="34" t="str">
        <f aca="false">IF($B1563="","",COUNTIF($F1563:$AJ1563,"HA"))</f>
        <v/>
      </c>
      <c r="AN1563" s="34" t="str">
        <f aca="false">IF($B1563="","",COUNTIF($F1563:$AJ1563,"L"))</f>
        <v/>
      </c>
      <c r="AO1563" s="34" t="str">
        <f aca="false">IF($B1563="","",COUNTIF($F1563:$AJ1563,"PL"))</f>
        <v/>
      </c>
      <c r="AP1563" s="34" t="str">
        <f aca="false">IF($B1563="","",COUNTIF($F1563:$AJ1563,"CL"))</f>
        <v/>
      </c>
      <c r="AQ1563" s="34" t="str">
        <f aca="false">IF($B1563="","",COUNTIF($F1563:$AJ1563,"SL"))</f>
        <v/>
      </c>
      <c r="AR1563" s="34" t="str">
        <f aca="false">IF($B1563="","",COUNTIF($F1563:$AJ1563,"CO"))</f>
        <v/>
      </c>
      <c r="AS1563" s="34" t="str">
        <f aca="false">IF($B1563="","",COUNTIF($F1563:$AJ1563,"HPL"))</f>
        <v/>
      </c>
      <c r="AT1563" s="34" t="str">
        <f aca="false">IF($B1563="","",COUNTIF($F1563:$AJ1563,"HCL"))</f>
        <v/>
      </c>
      <c r="AU1563" s="34" t="str">
        <f aca="false">IF($B1563="","",COUNTIF($F1563:$AJ1563,"WO"))</f>
        <v/>
      </c>
      <c r="AV1563" s="34" t="str">
        <f aca="false">IF($B1563="","",COUNTIF($F1563:$AJ1563,"PH"))</f>
        <v/>
      </c>
      <c r="AW1563" s="34" t="str">
        <f aca="false">IF($B1563="","",COUNTIF($F1563:$AJ1563,"TR"))</f>
        <v/>
      </c>
      <c r="AX1563" s="35" t="str">
        <f aca="false">IF($B1563="","",AO1563+AS1563/2)</f>
        <v/>
      </c>
      <c r="AY1563" s="35" t="str">
        <f aca="false">IF($B1563="","",AQ1563)</f>
        <v/>
      </c>
      <c r="AZ1563" s="35" t="str">
        <f aca="false">IF($B1563="","",AP1563+AT1563/2)</f>
        <v/>
      </c>
      <c r="BA1563" s="35" t="str">
        <f aca="false">IF($B1563="","",AK1563+AN1563+AM1563/2+AO1563+AP1563+AQ1563+AR1563+AS1563+AT1563+AU1563+AV1563+AW1563)</f>
        <v/>
      </c>
      <c r="BB1563" s="35" t="str">
        <f aca="false">IF($B1563="","",MAX(0,AN1563-Settings!$C$16)*Settings!$C$17)</f>
        <v/>
      </c>
      <c r="BC1563" s="35" t="str">
        <f aca="false">IF($B1563="","",BA1563-BB1563)</f>
        <v/>
      </c>
      <c r="BD1563" s="35" t="str">
        <f aca="false">IF(OR($B1563="",$A1563=""),"",DAY(EOMONTH($A1563,0))-COUNTA($F1563:$AJ1563))</f>
        <v/>
      </c>
    </row>
    <row r="1564" customFormat="false" ht="15" hidden="false" customHeight="false" outlineLevel="0" collapsed="false">
      <c r="A1564" s="32"/>
      <c r="B1564" s="29"/>
      <c r="C1564" s="10" t="str">
        <f aca="false">IF($B1564="","",IFERROR(INDEX(M_name,MATCH($B1564,M_emp,0)),"Code not found"))</f>
        <v/>
      </c>
      <c r="D1564" s="10" t="str">
        <f aca="false">IF($B1564="","",IFERROR(INDEX(M_dept,MATCH($B1564,M_emp,0)),""))</f>
        <v/>
      </c>
      <c r="E1564" s="10" t="str">
        <f aca="false">IF($B1564="","",IFERROR(INDEX(M_loc,MATCH($B1564,M_emp,0)),""))</f>
        <v/>
      </c>
      <c r="F1564" s="33"/>
      <c r="G1564" s="33"/>
      <c r="H1564" s="33"/>
      <c r="I1564" s="33"/>
      <c r="J1564" s="33"/>
      <c r="K1564" s="33"/>
      <c r="L1564" s="33"/>
      <c r="M1564" s="33"/>
      <c r="N1564" s="33"/>
      <c r="O1564" s="33"/>
      <c r="P1564" s="33"/>
      <c r="Q1564" s="33"/>
      <c r="R1564" s="33"/>
      <c r="S1564" s="33"/>
      <c r="T1564" s="33"/>
      <c r="U1564" s="33"/>
      <c r="V1564" s="33"/>
      <c r="W1564" s="33"/>
      <c r="X1564" s="33"/>
      <c r="Y1564" s="33"/>
      <c r="Z1564" s="33"/>
      <c r="AA1564" s="33"/>
      <c r="AB1564" s="33"/>
      <c r="AC1564" s="33"/>
      <c r="AD1564" s="33"/>
      <c r="AE1564" s="33"/>
      <c r="AF1564" s="33"/>
      <c r="AG1564" s="33"/>
      <c r="AH1564" s="33"/>
      <c r="AI1564" s="33"/>
      <c r="AJ1564" s="33"/>
      <c r="AK1564" s="34" t="str">
        <f aca="false">IF($B1564="","",COUNTIF($F1564:$AJ1564,"P"))</f>
        <v/>
      </c>
      <c r="AL1564" s="34" t="str">
        <f aca="false">IF($B1564="","",COUNTIF($F1564:$AJ1564,"A"))</f>
        <v/>
      </c>
      <c r="AM1564" s="34" t="str">
        <f aca="false">IF($B1564="","",COUNTIF($F1564:$AJ1564,"HA"))</f>
        <v/>
      </c>
      <c r="AN1564" s="34" t="str">
        <f aca="false">IF($B1564="","",COUNTIF($F1564:$AJ1564,"L"))</f>
        <v/>
      </c>
      <c r="AO1564" s="34" t="str">
        <f aca="false">IF($B1564="","",COUNTIF($F1564:$AJ1564,"PL"))</f>
        <v/>
      </c>
      <c r="AP1564" s="34" t="str">
        <f aca="false">IF($B1564="","",COUNTIF($F1564:$AJ1564,"CL"))</f>
        <v/>
      </c>
      <c r="AQ1564" s="34" t="str">
        <f aca="false">IF($B1564="","",COUNTIF($F1564:$AJ1564,"SL"))</f>
        <v/>
      </c>
      <c r="AR1564" s="34" t="str">
        <f aca="false">IF($B1564="","",COUNTIF($F1564:$AJ1564,"CO"))</f>
        <v/>
      </c>
      <c r="AS1564" s="34" t="str">
        <f aca="false">IF($B1564="","",COUNTIF($F1564:$AJ1564,"HPL"))</f>
        <v/>
      </c>
      <c r="AT1564" s="34" t="str">
        <f aca="false">IF($B1564="","",COUNTIF($F1564:$AJ1564,"HCL"))</f>
        <v/>
      </c>
      <c r="AU1564" s="34" t="str">
        <f aca="false">IF($B1564="","",COUNTIF($F1564:$AJ1564,"WO"))</f>
        <v/>
      </c>
      <c r="AV1564" s="34" t="str">
        <f aca="false">IF($B1564="","",COUNTIF($F1564:$AJ1564,"PH"))</f>
        <v/>
      </c>
      <c r="AW1564" s="34" t="str">
        <f aca="false">IF($B1564="","",COUNTIF($F1564:$AJ1564,"TR"))</f>
        <v/>
      </c>
      <c r="AX1564" s="35" t="str">
        <f aca="false">IF($B1564="","",AO1564+AS1564/2)</f>
        <v/>
      </c>
      <c r="AY1564" s="35" t="str">
        <f aca="false">IF($B1564="","",AQ1564)</f>
        <v/>
      </c>
      <c r="AZ1564" s="35" t="str">
        <f aca="false">IF($B1564="","",AP1564+AT1564/2)</f>
        <v/>
      </c>
      <c r="BA1564" s="35" t="str">
        <f aca="false">IF($B1564="","",AK1564+AN1564+AM1564/2+AO1564+AP1564+AQ1564+AR1564+AS1564+AT1564+AU1564+AV1564+AW1564)</f>
        <v/>
      </c>
      <c r="BB1564" s="35" t="str">
        <f aca="false">IF($B1564="","",MAX(0,AN1564-Settings!$C$16)*Settings!$C$17)</f>
        <v/>
      </c>
      <c r="BC1564" s="35" t="str">
        <f aca="false">IF($B1564="","",BA1564-BB1564)</f>
        <v/>
      </c>
      <c r="BD1564" s="35" t="str">
        <f aca="false">IF(OR($B1564="",$A1564=""),"",DAY(EOMONTH($A1564,0))-COUNTA($F1564:$AJ1564))</f>
        <v/>
      </c>
    </row>
    <row r="1565" customFormat="false" ht="15" hidden="false" customHeight="false" outlineLevel="0" collapsed="false">
      <c r="A1565" s="32"/>
      <c r="B1565" s="29"/>
      <c r="C1565" s="10" t="str">
        <f aca="false">IF($B1565="","",IFERROR(INDEX(M_name,MATCH($B1565,M_emp,0)),"Code not found"))</f>
        <v/>
      </c>
      <c r="D1565" s="10" t="str">
        <f aca="false">IF($B1565="","",IFERROR(INDEX(M_dept,MATCH($B1565,M_emp,0)),""))</f>
        <v/>
      </c>
      <c r="E1565" s="10" t="str">
        <f aca="false">IF($B1565="","",IFERROR(INDEX(M_loc,MATCH($B1565,M_emp,0)),""))</f>
        <v/>
      </c>
      <c r="F1565" s="33"/>
      <c r="G1565" s="33"/>
      <c r="H1565" s="33"/>
      <c r="I1565" s="33"/>
      <c r="J1565" s="33"/>
      <c r="K1565" s="33"/>
      <c r="L1565" s="33"/>
      <c r="M1565" s="33"/>
      <c r="N1565" s="33"/>
      <c r="O1565" s="33"/>
      <c r="P1565" s="33"/>
      <c r="Q1565" s="33"/>
      <c r="R1565" s="33"/>
      <c r="S1565" s="33"/>
      <c r="T1565" s="33"/>
      <c r="U1565" s="33"/>
      <c r="V1565" s="33"/>
      <c r="W1565" s="33"/>
      <c r="X1565" s="33"/>
      <c r="Y1565" s="33"/>
      <c r="Z1565" s="33"/>
      <c r="AA1565" s="33"/>
      <c r="AB1565" s="33"/>
      <c r="AC1565" s="33"/>
      <c r="AD1565" s="33"/>
      <c r="AE1565" s="33"/>
      <c r="AF1565" s="33"/>
      <c r="AG1565" s="33"/>
      <c r="AH1565" s="33"/>
      <c r="AI1565" s="33"/>
      <c r="AJ1565" s="33"/>
      <c r="AK1565" s="34" t="str">
        <f aca="false">IF($B1565="","",COUNTIF($F1565:$AJ1565,"P"))</f>
        <v/>
      </c>
      <c r="AL1565" s="34" t="str">
        <f aca="false">IF($B1565="","",COUNTIF($F1565:$AJ1565,"A"))</f>
        <v/>
      </c>
      <c r="AM1565" s="34" t="str">
        <f aca="false">IF($B1565="","",COUNTIF($F1565:$AJ1565,"HA"))</f>
        <v/>
      </c>
      <c r="AN1565" s="34" t="str">
        <f aca="false">IF($B1565="","",COUNTIF($F1565:$AJ1565,"L"))</f>
        <v/>
      </c>
      <c r="AO1565" s="34" t="str">
        <f aca="false">IF($B1565="","",COUNTIF($F1565:$AJ1565,"PL"))</f>
        <v/>
      </c>
      <c r="AP1565" s="34" t="str">
        <f aca="false">IF($B1565="","",COUNTIF($F1565:$AJ1565,"CL"))</f>
        <v/>
      </c>
      <c r="AQ1565" s="34" t="str">
        <f aca="false">IF($B1565="","",COUNTIF($F1565:$AJ1565,"SL"))</f>
        <v/>
      </c>
      <c r="AR1565" s="34" t="str">
        <f aca="false">IF($B1565="","",COUNTIF($F1565:$AJ1565,"CO"))</f>
        <v/>
      </c>
      <c r="AS1565" s="34" t="str">
        <f aca="false">IF($B1565="","",COUNTIF($F1565:$AJ1565,"HPL"))</f>
        <v/>
      </c>
      <c r="AT1565" s="34" t="str">
        <f aca="false">IF($B1565="","",COUNTIF($F1565:$AJ1565,"HCL"))</f>
        <v/>
      </c>
      <c r="AU1565" s="34" t="str">
        <f aca="false">IF($B1565="","",COUNTIF($F1565:$AJ1565,"WO"))</f>
        <v/>
      </c>
      <c r="AV1565" s="34" t="str">
        <f aca="false">IF($B1565="","",COUNTIF($F1565:$AJ1565,"PH"))</f>
        <v/>
      </c>
      <c r="AW1565" s="34" t="str">
        <f aca="false">IF($B1565="","",COUNTIF($F1565:$AJ1565,"TR"))</f>
        <v/>
      </c>
      <c r="AX1565" s="35" t="str">
        <f aca="false">IF($B1565="","",AO1565+AS1565/2)</f>
        <v/>
      </c>
      <c r="AY1565" s="35" t="str">
        <f aca="false">IF($B1565="","",AQ1565)</f>
        <v/>
      </c>
      <c r="AZ1565" s="35" t="str">
        <f aca="false">IF($B1565="","",AP1565+AT1565/2)</f>
        <v/>
      </c>
      <c r="BA1565" s="35" t="str">
        <f aca="false">IF($B1565="","",AK1565+AN1565+AM1565/2+AO1565+AP1565+AQ1565+AR1565+AS1565+AT1565+AU1565+AV1565+AW1565)</f>
        <v/>
      </c>
      <c r="BB1565" s="35" t="str">
        <f aca="false">IF($B1565="","",MAX(0,AN1565-Settings!$C$16)*Settings!$C$17)</f>
        <v/>
      </c>
      <c r="BC1565" s="35" t="str">
        <f aca="false">IF($B1565="","",BA1565-BB1565)</f>
        <v/>
      </c>
      <c r="BD1565" s="35" t="str">
        <f aca="false">IF(OR($B1565="",$A1565=""),"",DAY(EOMONTH($A1565,0))-COUNTA($F1565:$AJ1565))</f>
        <v/>
      </c>
    </row>
    <row r="1566" customFormat="false" ht="15" hidden="false" customHeight="false" outlineLevel="0" collapsed="false">
      <c r="A1566" s="32"/>
      <c r="B1566" s="29"/>
      <c r="C1566" s="10" t="str">
        <f aca="false">IF($B1566="","",IFERROR(INDEX(M_name,MATCH($B1566,M_emp,0)),"Code not found"))</f>
        <v/>
      </c>
      <c r="D1566" s="10" t="str">
        <f aca="false">IF($B1566="","",IFERROR(INDEX(M_dept,MATCH($B1566,M_emp,0)),""))</f>
        <v/>
      </c>
      <c r="E1566" s="10" t="str">
        <f aca="false">IF($B1566="","",IFERROR(INDEX(M_loc,MATCH($B1566,M_emp,0)),""))</f>
        <v/>
      </c>
      <c r="F1566" s="33"/>
      <c r="G1566" s="33"/>
      <c r="H1566" s="33"/>
      <c r="I1566" s="33"/>
      <c r="J1566" s="33"/>
      <c r="K1566" s="33"/>
      <c r="L1566" s="33"/>
      <c r="M1566" s="33"/>
      <c r="N1566" s="33"/>
      <c r="O1566" s="33"/>
      <c r="P1566" s="33"/>
      <c r="Q1566" s="33"/>
      <c r="R1566" s="33"/>
      <c r="S1566" s="33"/>
      <c r="T1566" s="33"/>
      <c r="U1566" s="33"/>
      <c r="V1566" s="33"/>
      <c r="W1566" s="33"/>
      <c r="X1566" s="33"/>
      <c r="Y1566" s="33"/>
      <c r="Z1566" s="33"/>
      <c r="AA1566" s="33"/>
      <c r="AB1566" s="33"/>
      <c r="AC1566" s="33"/>
      <c r="AD1566" s="33"/>
      <c r="AE1566" s="33"/>
      <c r="AF1566" s="33"/>
      <c r="AG1566" s="33"/>
      <c r="AH1566" s="33"/>
      <c r="AI1566" s="33"/>
      <c r="AJ1566" s="33"/>
      <c r="AK1566" s="34" t="str">
        <f aca="false">IF($B1566="","",COUNTIF($F1566:$AJ1566,"P"))</f>
        <v/>
      </c>
      <c r="AL1566" s="34" t="str">
        <f aca="false">IF($B1566="","",COUNTIF($F1566:$AJ1566,"A"))</f>
        <v/>
      </c>
      <c r="AM1566" s="34" t="str">
        <f aca="false">IF($B1566="","",COUNTIF($F1566:$AJ1566,"HA"))</f>
        <v/>
      </c>
      <c r="AN1566" s="34" t="str">
        <f aca="false">IF($B1566="","",COUNTIF($F1566:$AJ1566,"L"))</f>
        <v/>
      </c>
      <c r="AO1566" s="34" t="str">
        <f aca="false">IF($B1566="","",COUNTIF($F1566:$AJ1566,"PL"))</f>
        <v/>
      </c>
      <c r="AP1566" s="34" t="str">
        <f aca="false">IF($B1566="","",COUNTIF($F1566:$AJ1566,"CL"))</f>
        <v/>
      </c>
      <c r="AQ1566" s="34" t="str">
        <f aca="false">IF($B1566="","",COUNTIF($F1566:$AJ1566,"SL"))</f>
        <v/>
      </c>
      <c r="AR1566" s="34" t="str">
        <f aca="false">IF($B1566="","",COUNTIF($F1566:$AJ1566,"CO"))</f>
        <v/>
      </c>
      <c r="AS1566" s="34" t="str">
        <f aca="false">IF($B1566="","",COUNTIF($F1566:$AJ1566,"HPL"))</f>
        <v/>
      </c>
      <c r="AT1566" s="34" t="str">
        <f aca="false">IF($B1566="","",COUNTIF($F1566:$AJ1566,"HCL"))</f>
        <v/>
      </c>
      <c r="AU1566" s="34" t="str">
        <f aca="false">IF($B1566="","",COUNTIF($F1566:$AJ1566,"WO"))</f>
        <v/>
      </c>
      <c r="AV1566" s="34" t="str">
        <f aca="false">IF($B1566="","",COUNTIF($F1566:$AJ1566,"PH"))</f>
        <v/>
      </c>
      <c r="AW1566" s="34" t="str">
        <f aca="false">IF($B1566="","",COUNTIF($F1566:$AJ1566,"TR"))</f>
        <v/>
      </c>
      <c r="AX1566" s="35" t="str">
        <f aca="false">IF($B1566="","",AO1566+AS1566/2)</f>
        <v/>
      </c>
      <c r="AY1566" s="35" t="str">
        <f aca="false">IF($B1566="","",AQ1566)</f>
        <v/>
      </c>
      <c r="AZ1566" s="35" t="str">
        <f aca="false">IF($B1566="","",AP1566+AT1566/2)</f>
        <v/>
      </c>
      <c r="BA1566" s="35" t="str">
        <f aca="false">IF($B1566="","",AK1566+AN1566+AM1566/2+AO1566+AP1566+AQ1566+AR1566+AS1566+AT1566+AU1566+AV1566+AW1566)</f>
        <v/>
      </c>
      <c r="BB1566" s="35" t="str">
        <f aca="false">IF($B1566="","",MAX(0,AN1566-Settings!$C$16)*Settings!$C$17)</f>
        <v/>
      </c>
      <c r="BC1566" s="35" t="str">
        <f aca="false">IF($B1566="","",BA1566-BB1566)</f>
        <v/>
      </c>
      <c r="BD1566" s="35" t="str">
        <f aca="false">IF(OR($B1566="",$A1566=""),"",DAY(EOMONTH($A1566,0))-COUNTA($F1566:$AJ1566))</f>
        <v/>
      </c>
    </row>
    <row r="1567" customFormat="false" ht="15" hidden="false" customHeight="false" outlineLevel="0" collapsed="false">
      <c r="A1567" s="32"/>
      <c r="B1567" s="29"/>
      <c r="C1567" s="10" t="str">
        <f aca="false">IF($B1567="","",IFERROR(INDEX(M_name,MATCH($B1567,M_emp,0)),"Code not found"))</f>
        <v/>
      </c>
      <c r="D1567" s="10" t="str">
        <f aca="false">IF($B1567="","",IFERROR(INDEX(M_dept,MATCH($B1567,M_emp,0)),""))</f>
        <v/>
      </c>
      <c r="E1567" s="10" t="str">
        <f aca="false">IF($B1567="","",IFERROR(INDEX(M_loc,MATCH($B1567,M_emp,0)),""))</f>
        <v/>
      </c>
      <c r="F1567" s="33"/>
      <c r="G1567" s="33"/>
      <c r="H1567" s="33"/>
      <c r="I1567" s="33"/>
      <c r="J1567" s="33"/>
      <c r="K1567" s="33"/>
      <c r="L1567" s="33"/>
      <c r="M1567" s="33"/>
      <c r="N1567" s="33"/>
      <c r="O1567" s="33"/>
      <c r="P1567" s="33"/>
      <c r="Q1567" s="33"/>
      <c r="R1567" s="33"/>
      <c r="S1567" s="33"/>
      <c r="T1567" s="33"/>
      <c r="U1567" s="33"/>
      <c r="V1567" s="33"/>
      <c r="W1567" s="33"/>
      <c r="X1567" s="33"/>
      <c r="Y1567" s="33"/>
      <c r="Z1567" s="33"/>
      <c r="AA1567" s="33"/>
      <c r="AB1567" s="33"/>
      <c r="AC1567" s="33"/>
      <c r="AD1567" s="33"/>
      <c r="AE1567" s="33"/>
      <c r="AF1567" s="33"/>
      <c r="AG1567" s="33"/>
      <c r="AH1567" s="33"/>
      <c r="AI1567" s="33"/>
      <c r="AJ1567" s="33"/>
      <c r="AK1567" s="34" t="str">
        <f aca="false">IF($B1567="","",COUNTIF($F1567:$AJ1567,"P"))</f>
        <v/>
      </c>
      <c r="AL1567" s="34" t="str">
        <f aca="false">IF($B1567="","",COUNTIF($F1567:$AJ1567,"A"))</f>
        <v/>
      </c>
      <c r="AM1567" s="34" t="str">
        <f aca="false">IF($B1567="","",COUNTIF($F1567:$AJ1567,"HA"))</f>
        <v/>
      </c>
      <c r="AN1567" s="34" t="str">
        <f aca="false">IF($B1567="","",COUNTIF($F1567:$AJ1567,"L"))</f>
        <v/>
      </c>
      <c r="AO1567" s="34" t="str">
        <f aca="false">IF($B1567="","",COUNTIF($F1567:$AJ1567,"PL"))</f>
        <v/>
      </c>
      <c r="AP1567" s="34" t="str">
        <f aca="false">IF($B1567="","",COUNTIF($F1567:$AJ1567,"CL"))</f>
        <v/>
      </c>
      <c r="AQ1567" s="34" t="str">
        <f aca="false">IF($B1567="","",COUNTIF($F1567:$AJ1567,"SL"))</f>
        <v/>
      </c>
      <c r="AR1567" s="34" t="str">
        <f aca="false">IF($B1567="","",COUNTIF($F1567:$AJ1567,"CO"))</f>
        <v/>
      </c>
      <c r="AS1567" s="34" t="str">
        <f aca="false">IF($B1567="","",COUNTIF($F1567:$AJ1567,"HPL"))</f>
        <v/>
      </c>
      <c r="AT1567" s="34" t="str">
        <f aca="false">IF($B1567="","",COUNTIF($F1567:$AJ1567,"HCL"))</f>
        <v/>
      </c>
      <c r="AU1567" s="34" t="str">
        <f aca="false">IF($B1567="","",COUNTIF($F1567:$AJ1567,"WO"))</f>
        <v/>
      </c>
      <c r="AV1567" s="34" t="str">
        <f aca="false">IF($B1567="","",COUNTIF($F1567:$AJ1567,"PH"))</f>
        <v/>
      </c>
      <c r="AW1567" s="34" t="str">
        <f aca="false">IF($B1567="","",COUNTIF($F1567:$AJ1567,"TR"))</f>
        <v/>
      </c>
      <c r="AX1567" s="35" t="str">
        <f aca="false">IF($B1567="","",AO1567+AS1567/2)</f>
        <v/>
      </c>
      <c r="AY1567" s="35" t="str">
        <f aca="false">IF($B1567="","",AQ1567)</f>
        <v/>
      </c>
      <c r="AZ1567" s="35" t="str">
        <f aca="false">IF($B1567="","",AP1567+AT1567/2)</f>
        <v/>
      </c>
      <c r="BA1567" s="35" t="str">
        <f aca="false">IF($B1567="","",AK1567+AN1567+AM1567/2+AO1567+AP1567+AQ1567+AR1567+AS1567+AT1567+AU1567+AV1567+AW1567)</f>
        <v/>
      </c>
      <c r="BB1567" s="35" t="str">
        <f aca="false">IF($B1567="","",MAX(0,AN1567-Settings!$C$16)*Settings!$C$17)</f>
        <v/>
      </c>
      <c r="BC1567" s="35" t="str">
        <f aca="false">IF($B1567="","",BA1567-BB1567)</f>
        <v/>
      </c>
      <c r="BD1567" s="35" t="str">
        <f aca="false">IF(OR($B1567="",$A1567=""),"",DAY(EOMONTH($A1567,0))-COUNTA($F1567:$AJ1567))</f>
        <v/>
      </c>
    </row>
    <row r="1568" customFormat="false" ht="15" hidden="false" customHeight="false" outlineLevel="0" collapsed="false">
      <c r="A1568" s="32"/>
      <c r="B1568" s="29"/>
      <c r="C1568" s="10" t="str">
        <f aca="false">IF($B1568="","",IFERROR(INDEX(M_name,MATCH($B1568,M_emp,0)),"Code not found"))</f>
        <v/>
      </c>
      <c r="D1568" s="10" t="str">
        <f aca="false">IF($B1568="","",IFERROR(INDEX(M_dept,MATCH($B1568,M_emp,0)),""))</f>
        <v/>
      </c>
      <c r="E1568" s="10" t="str">
        <f aca="false">IF($B1568="","",IFERROR(INDEX(M_loc,MATCH($B1568,M_emp,0)),""))</f>
        <v/>
      </c>
      <c r="F1568" s="33"/>
      <c r="G1568" s="33"/>
      <c r="H1568" s="33"/>
      <c r="I1568" s="33"/>
      <c r="J1568" s="33"/>
      <c r="K1568" s="33"/>
      <c r="L1568" s="33"/>
      <c r="M1568" s="33"/>
      <c r="N1568" s="33"/>
      <c r="O1568" s="33"/>
      <c r="P1568" s="33"/>
      <c r="Q1568" s="33"/>
      <c r="R1568" s="33"/>
      <c r="S1568" s="33"/>
      <c r="T1568" s="33"/>
      <c r="U1568" s="33"/>
      <c r="V1568" s="33"/>
      <c r="W1568" s="33"/>
      <c r="X1568" s="33"/>
      <c r="Y1568" s="33"/>
      <c r="Z1568" s="33"/>
      <c r="AA1568" s="33"/>
      <c r="AB1568" s="33"/>
      <c r="AC1568" s="33"/>
      <c r="AD1568" s="33"/>
      <c r="AE1568" s="33"/>
      <c r="AF1568" s="33"/>
      <c r="AG1568" s="33"/>
      <c r="AH1568" s="33"/>
      <c r="AI1568" s="33"/>
      <c r="AJ1568" s="33"/>
      <c r="AK1568" s="34" t="str">
        <f aca="false">IF($B1568="","",COUNTIF($F1568:$AJ1568,"P"))</f>
        <v/>
      </c>
      <c r="AL1568" s="34" t="str">
        <f aca="false">IF($B1568="","",COUNTIF($F1568:$AJ1568,"A"))</f>
        <v/>
      </c>
      <c r="AM1568" s="34" t="str">
        <f aca="false">IF($B1568="","",COUNTIF($F1568:$AJ1568,"HA"))</f>
        <v/>
      </c>
      <c r="AN1568" s="34" t="str">
        <f aca="false">IF($B1568="","",COUNTIF($F1568:$AJ1568,"L"))</f>
        <v/>
      </c>
      <c r="AO1568" s="34" t="str">
        <f aca="false">IF($B1568="","",COUNTIF($F1568:$AJ1568,"PL"))</f>
        <v/>
      </c>
      <c r="AP1568" s="34" t="str">
        <f aca="false">IF($B1568="","",COUNTIF($F1568:$AJ1568,"CL"))</f>
        <v/>
      </c>
      <c r="AQ1568" s="34" t="str">
        <f aca="false">IF($B1568="","",COUNTIF($F1568:$AJ1568,"SL"))</f>
        <v/>
      </c>
      <c r="AR1568" s="34" t="str">
        <f aca="false">IF($B1568="","",COUNTIF($F1568:$AJ1568,"CO"))</f>
        <v/>
      </c>
      <c r="AS1568" s="34" t="str">
        <f aca="false">IF($B1568="","",COUNTIF($F1568:$AJ1568,"HPL"))</f>
        <v/>
      </c>
      <c r="AT1568" s="34" t="str">
        <f aca="false">IF($B1568="","",COUNTIF($F1568:$AJ1568,"HCL"))</f>
        <v/>
      </c>
      <c r="AU1568" s="34" t="str">
        <f aca="false">IF($B1568="","",COUNTIF($F1568:$AJ1568,"WO"))</f>
        <v/>
      </c>
      <c r="AV1568" s="34" t="str">
        <f aca="false">IF($B1568="","",COUNTIF($F1568:$AJ1568,"PH"))</f>
        <v/>
      </c>
      <c r="AW1568" s="34" t="str">
        <f aca="false">IF($B1568="","",COUNTIF($F1568:$AJ1568,"TR"))</f>
        <v/>
      </c>
      <c r="AX1568" s="35" t="str">
        <f aca="false">IF($B1568="","",AO1568+AS1568/2)</f>
        <v/>
      </c>
      <c r="AY1568" s="35" t="str">
        <f aca="false">IF($B1568="","",AQ1568)</f>
        <v/>
      </c>
      <c r="AZ1568" s="35" t="str">
        <f aca="false">IF($B1568="","",AP1568+AT1568/2)</f>
        <v/>
      </c>
      <c r="BA1568" s="35" t="str">
        <f aca="false">IF($B1568="","",AK1568+AN1568+AM1568/2+AO1568+AP1568+AQ1568+AR1568+AS1568+AT1568+AU1568+AV1568+AW1568)</f>
        <v/>
      </c>
      <c r="BB1568" s="35" t="str">
        <f aca="false">IF($B1568="","",MAX(0,AN1568-Settings!$C$16)*Settings!$C$17)</f>
        <v/>
      </c>
      <c r="BC1568" s="35" t="str">
        <f aca="false">IF($B1568="","",BA1568-BB1568)</f>
        <v/>
      </c>
      <c r="BD1568" s="35" t="str">
        <f aca="false">IF(OR($B1568="",$A1568=""),"",DAY(EOMONTH($A1568,0))-COUNTA($F1568:$AJ1568))</f>
        <v/>
      </c>
    </row>
    <row r="1569" customFormat="false" ht="15" hidden="false" customHeight="false" outlineLevel="0" collapsed="false">
      <c r="A1569" s="32"/>
      <c r="B1569" s="29"/>
      <c r="C1569" s="10" t="str">
        <f aca="false">IF($B1569="","",IFERROR(INDEX(M_name,MATCH($B1569,M_emp,0)),"Code not found"))</f>
        <v/>
      </c>
      <c r="D1569" s="10" t="str">
        <f aca="false">IF($B1569="","",IFERROR(INDEX(M_dept,MATCH($B1569,M_emp,0)),""))</f>
        <v/>
      </c>
      <c r="E1569" s="10" t="str">
        <f aca="false">IF($B1569="","",IFERROR(INDEX(M_loc,MATCH($B1569,M_emp,0)),""))</f>
        <v/>
      </c>
      <c r="F1569" s="33"/>
      <c r="G1569" s="33"/>
      <c r="H1569" s="33"/>
      <c r="I1569" s="33"/>
      <c r="J1569" s="33"/>
      <c r="K1569" s="33"/>
      <c r="L1569" s="33"/>
      <c r="M1569" s="33"/>
      <c r="N1569" s="33"/>
      <c r="O1569" s="33"/>
      <c r="P1569" s="33"/>
      <c r="Q1569" s="33"/>
      <c r="R1569" s="33"/>
      <c r="S1569" s="33"/>
      <c r="T1569" s="33"/>
      <c r="U1569" s="33"/>
      <c r="V1569" s="33"/>
      <c r="W1569" s="33"/>
      <c r="X1569" s="33"/>
      <c r="Y1569" s="33"/>
      <c r="Z1569" s="33"/>
      <c r="AA1569" s="33"/>
      <c r="AB1569" s="33"/>
      <c r="AC1569" s="33"/>
      <c r="AD1569" s="33"/>
      <c r="AE1569" s="33"/>
      <c r="AF1569" s="33"/>
      <c r="AG1569" s="33"/>
      <c r="AH1569" s="33"/>
      <c r="AI1569" s="33"/>
      <c r="AJ1569" s="33"/>
      <c r="AK1569" s="34" t="str">
        <f aca="false">IF($B1569="","",COUNTIF($F1569:$AJ1569,"P"))</f>
        <v/>
      </c>
      <c r="AL1569" s="34" t="str">
        <f aca="false">IF($B1569="","",COUNTIF($F1569:$AJ1569,"A"))</f>
        <v/>
      </c>
      <c r="AM1569" s="34" t="str">
        <f aca="false">IF($B1569="","",COUNTIF($F1569:$AJ1569,"HA"))</f>
        <v/>
      </c>
      <c r="AN1569" s="34" t="str">
        <f aca="false">IF($B1569="","",COUNTIF($F1569:$AJ1569,"L"))</f>
        <v/>
      </c>
      <c r="AO1569" s="34" t="str">
        <f aca="false">IF($B1569="","",COUNTIF($F1569:$AJ1569,"PL"))</f>
        <v/>
      </c>
      <c r="AP1569" s="34" t="str">
        <f aca="false">IF($B1569="","",COUNTIF($F1569:$AJ1569,"CL"))</f>
        <v/>
      </c>
      <c r="AQ1569" s="34" t="str">
        <f aca="false">IF($B1569="","",COUNTIF($F1569:$AJ1569,"SL"))</f>
        <v/>
      </c>
      <c r="AR1569" s="34" t="str">
        <f aca="false">IF($B1569="","",COUNTIF($F1569:$AJ1569,"CO"))</f>
        <v/>
      </c>
      <c r="AS1569" s="34" t="str">
        <f aca="false">IF($B1569="","",COUNTIF($F1569:$AJ1569,"HPL"))</f>
        <v/>
      </c>
      <c r="AT1569" s="34" t="str">
        <f aca="false">IF($B1569="","",COUNTIF($F1569:$AJ1569,"HCL"))</f>
        <v/>
      </c>
      <c r="AU1569" s="34" t="str">
        <f aca="false">IF($B1569="","",COUNTIF($F1569:$AJ1569,"WO"))</f>
        <v/>
      </c>
      <c r="AV1569" s="34" t="str">
        <f aca="false">IF($B1569="","",COUNTIF($F1569:$AJ1569,"PH"))</f>
        <v/>
      </c>
      <c r="AW1569" s="34" t="str">
        <f aca="false">IF($B1569="","",COUNTIF($F1569:$AJ1569,"TR"))</f>
        <v/>
      </c>
      <c r="AX1569" s="35" t="str">
        <f aca="false">IF($B1569="","",AO1569+AS1569/2)</f>
        <v/>
      </c>
      <c r="AY1569" s="35" t="str">
        <f aca="false">IF($B1569="","",AQ1569)</f>
        <v/>
      </c>
      <c r="AZ1569" s="35" t="str">
        <f aca="false">IF($B1569="","",AP1569+AT1569/2)</f>
        <v/>
      </c>
      <c r="BA1569" s="35" t="str">
        <f aca="false">IF($B1569="","",AK1569+AN1569+AM1569/2+AO1569+AP1569+AQ1569+AR1569+AS1569+AT1569+AU1569+AV1569+AW1569)</f>
        <v/>
      </c>
      <c r="BB1569" s="35" t="str">
        <f aca="false">IF($B1569="","",MAX(0,AN1569-Settings!$C$16)*Settings!$C$17)</f>
        <v/>
      </c>
      <c r="BC1569" s="35" t="str">
        <f aca="false">IF($B1569="","",BA1569-BB1569)</f>
        <v/>
      </c>
      <c r="BD1569" s="35" t="str">
        <f aca="false">IF(OR($B1569="",$A1569=""),"",DAY(EOMONTH($A1569,0))-COUNTA($F1569:$AJ1569))</f>
        <v/>
      </c>
    </row>
    <row r="1570" customFormat="false" ht="15" hidden="false" customHeight="false" outlineLevel="0" collapsed="false">
      <c r="A1570" s="32"/>
      <c r="B1570" s="29"/>
      <c r="C1570" s="10" t="str">
        <f aca="false">IF($B1570="","",IFERROR(INDEX(M_name,MATCH($B1570,M_emp,0)),"Code not found"))</f>
        <v/>
      </c>
      <c r="D1570" s="10" t="str">
        <f aca="false">IF($B1570="","",IFERROR(INDEX(M_dept,MATCH($B1570,M_emp,0)),""))</f>
        <v/>
      </c>
      <c r="E1570" s="10" t="str">
        <f aca="false">IF($B1570="","",IFERROR(INDEX(M_loc,MATCH($B1570,M_emp,0)),""))</f>
        <v/>
      </c>
      <c r="F1570" s="33"/>
      <c r="G1570" s="33"/>
      <c r="H1570" s="33"/>
      <c r="I1570" s="33"/>
      <c r="J1570" s="33"/>
      <c r="K1570" s="33"/>
      <c r="L1570" s="33"/>
      <c r="M1570" s="33"/>
      <c r="N1570" s="33"/>
      <c r="O1570" s="33"/>
      <c r="P1570" s="33"/>
      <c r="Q1570" s="33"/>
      <c r="R1570" s="33"/>
      <c r="S1570" s="33"/>
      <c r="T1570" s="33"/>
      <c r="U1570" s="33"/>
      <c r="V1570" s="33"/>
      <c r="W1570" s="33"/>
      <c r="X1570" s="33"/>
      <c r="Y1570" s="33"/>
      <c r="Z1570" s="33"/>
      <c r="AA1570" s="33"/>
      <c r="AB1570" s="33"/>
      <c r="AC1570" s="33"/>
      <c r="AD1570" s="33"/>
      <c r="AE1570" s="33"/>
      <c r="AF1570" s="33"/>
      <c r="AG1570" s="33"/>
      <c r="AH1570" s="33"/>
      <c r="AI1570" s="33"/>
      <c r="AJ1570" s="33"/>
      <c r="AK1570" s="34" t="str">
        <f aca="false">IF($B1570="","",COUNTIF($F1570:$AJ1570,"P"))</f>
        <v/>
      </c>
      <c r="AL1570" s="34" t="str">
        <f aca="false">IF($B1570="","",COUNTIF($F1570:$AJ1570,"A"))</f>
        <v/>
      </c>
      <c r="AM1570" s="34" t="str">
        <f aca="false">IF($B1570="","",COUNTIF($F1570:$AJ1570,"HA"))</f>
        <v/>
      </c>
      <c r="AN1570" s="34" t="str">
        <f aca="false">IF($B1570="","",COUNTIF($F1570:$AJ1570,"L"))</f>
        <v/>
      </c>
      <c r="AO1570" s="34" t="str">
        <f aca="false">IF($B1570="","",COUNTIF($F1570:$AJ1570,"PL"))</f>
        <v/>
      </c>
      <c r="AP1570" s="34" t="str">
        <f aca="false">IF($B1570="","",COUNTIF($F1570:$AJ1570,"CL"))</f>
        <v/>
      </c>
      <c r="AQ1570" s="34" t="str">
        <f aca="false">IF($B1570="","",COUNTIF($F1570:$AJ1570,"SL"))</f>
        <v/>
      </c>
      <c r="AR1570" s="34" t="str">
        <f aca="false">IF($B1570="","",COUNTIF($F1570:$AJ1570,"CO"))</f>
        <v/>
      </c>
      <c r="AS1570" s="34" t="str">
        <f aca="false">IF($B1570="","",COUNTIF($F1570:$AJ1570,"HPL"))</f>
        <v/>
      </c>
      <c r="AT1570" s="34" t="str">
        <f aca="false">IF($B1570="","",COUNTIF($F1570:$AJ1570,"HCL"))</f>
        <v/>
      </c>
      <c r="AU1570" s="34" t="str">
        <f aca="false">IF($B1570="","",COUNTIF($F1570:$AJ1570,"WO"))</f>
        <v/>
      </c>
      <c r="AV1570" s="34" t="str">
        <f aca="false">IF($B1570="","",COUNTIF($F1570:$AJ1570,"PH"))</f>
        <v/>
      </c>
      <c r="AW1570" s="34" t="str">
        <f aca="false">IF($B1570="","",COUNTIF($F1570:$AJ1570,"TR"))</f>
        <v/>
      </c>
      <c r="AX1570" s="35" t="str">
        <f aca="false">IF($B1570="","",AO1570+AS1570/2)</f>
        <v/>
      </c>
      <c r="AY1570" s="35" t="str">
        <f aca="false">IF($B1570="","",AQ1570)</f>
        <v/>
      </c>
      <c r="AZ1570" s="35" t="str">
        <f aca="false">IF($B1570="","",AP1570+AT1570/2)</f>
        <v/>
      </c>
      <c r="BA1570" s="35" t="str">
        <f aca="false">IF($B1570="","",AK1570+AN1570+AM1570/2+AO1570+AP1570+AQ1570+AR1570+AS1570+AT1570+AU1570+AV1570+AW1570)</f>
        <v/>
      </c>
      <c r="BB1570" s="35" t="str">
        <f aca="false">IF($B1570="","",MAX(0,AN1570-Settings!$C$16)*Settings!$C$17)</f>
        <v/>
      </c>
      <c r="BC1570" s="35" t="str">
        <f aca="false">IF($B1570="","",BA1570-BB1570)</f>
        <v/>
      </c>
      <c r="BD1570" s="35" t="str">
        <f aca="false">IF(OR($B1570="",$A1570=""),"",DAY(EOMONTH($A1570,0))-COUNTA($F1570:$AJ1570))</f>
        <v/>
      </c>
    </row>
    <row r="1571" customFormat="false" ht="15" hidden="false" customHeight="false" outlineLevel="0" collapsed="false">
      <c r="A1571" s="32"/>
      <c r="B1571" s="29"/>
      <c r="C1571" s="10" t="str">
        <f aca="false">IF($B1571="","",IFERROR(INDEX(M_name,MATCH($B1571,M_emp,0)),"Code not found"))</f>
        <v/>
      </c>
      <c r="D1571" s="10" t="str">
        <f aca="false">IF($B1571="","",IFERROR(INDEX(M_dept,MATCH($B1571,M_emp,0)),""))</f>
        <v/>
      </c>
      <c r="E1571" s="10" t="str">
        <f aca="false">IF($B1571="","",IFERROR(INDEX(M_loc,MATCH($B1571,M_emp,0)),""))</f>
        <v/>
      </c>
      <c r="F1571" s="33"/>
      <c r="G1571" s="33"/>
      <c r="H1571" s="33"/>
      <c r="I1571" s="33"/>
      <c r="J1571" s="33"/>
      <c r="K1571" s="33"/>
      <c r="L1571" s="33"/>
      <c r="M1571" s="33"/>
      <c r="N1571" s="33"/>
      <c r="O1571" s="33"/>
      <c r="P1571" s="33"/>
      <c r="Q1571" s="33"/>
      <c r="R1571" s="33"/>
      <c r="S1571" s="33"/>
      <c r="T1571" s="33"/>
      <c r="U1571" s="33"/>
      <c r="V1571" s="33"/>
      <c r="W1571" s="33"/>
      <c r="X1571" s="33"/>
      <c r="Y1571" s="33"/>
      <c r="Z1571" s="33"/>
      <c r="AA1571" s="33"/>
      <c r="AB1571" s="33"/>
      <c r="AC1571" s="33"/>
      <c r="AD1571" s="33"/>
      <c r="AE1571" s="33"/>
      <c r="AF1571" s="33"/>
      <c r="AG1571" s="33"/>
      <c r="AH1571" s="33"/>
      <c r="AI1571" s="33"/>
      <c r="AJ1571" s="33"/>
      <c r="AK1571" s="34" t="str">
        <f aca="false">IF($B1571="","",COUNTIF($F1571:$AJ1571,"P"))</f>
        <v/>
      </c>
      <c r="AL1571" s="34" t="str">
        <f aca="false">IF($B1571="","",COUNTIF($F1571:$AJ1571,"A"))</f>
        <v/>
      </c>
      <c r="AM1571" s="34" t="str">
        <f aca="false">IF($B1571="","",COUNTIF($F1571:$AJ1571,"HA"))</f>
        <v/>
      </c>
      <c r="AN1571" s="34" t="str">
        <f aca="false">IF($B1571="","",COUNTIF($F1571:$AJ1571,"L"))</f>
        <v/>
      </c>
      <c r="AO1571" s="34" t="str">
        <f aca="false">IF($B1571="","",COUNTIF($F1571:$AJ1571,"PL"))</f>
        <v/>
      </c>
      <c r="AP1571" s="34" t="str">
        <f aca="false">IF($B1571="","",COUNTIF($F1571:$AJ1571,"CL"))</f>
        <v/>
      </c>
      <c r="AQ1571" s="34" t="str">
        <f aca="false">IF($B1571="","",COUNTIF($F1571:$AJ1571,"SL"))</f>
        <v/>
      </c>
      <c r="AR1571" s="34" t="str">
        <f aca="false">IF($B1571="","",COUNTIF($F1571:$AJ1571,"CO"))</f>
        <v/>
      </c>
      <c r="AS1571" s="34" t="str">
        <f aca="false">IF($B1571="","",COUNTIF($F1571:$AJ1571,"HPL"))</f>
        <v/>
      </c>
      <c r="AT1571" s="34" t="str">
        <f aca="false">IF($B1571="","",COUNTIF($F1571:$AJ1571,"HCL"))</f>
        <v/>
      </c>
      <c r="AU1571" s="34" t="str">
        <f aca="false">IF($B1571="","",COUNTIF($F1571:$AJ1571,"WO"))</f>
        <v/>
      </c>
      <c r="AV1571" s="34" t="str">
        <f aca="false">IF($B1571="","",COUNTIF($F1571:$AJ1571,"PH"))</f>
        <v/>
      </c>
      <c r="AW1571" s="34" t="str">
        <f aca="false">IF($B1571="","",COUNTIF($F1571:$AJ1571,"TR"))</f>
        <v/>
      </c>
      <c r="AX1571" s="35" t="str">
        <f aca="false">IF($B1571="","",AO1571+AS1571/2)</f>
        <v/>
      </c>
      <c r="AY1571" s="35" t="str">
        <f aca="false">IF($B1571="","",AQ1571)</f>
        <v/>
      </c>
      <c r="AZ1571" s="35" t="str">
        <f aca="false">IF($B1571="","",AP1571+AT1571/2)</f>
        <v/>
      </c>
      <c r="BA1571" s="35" t="str">
        <f aca="false">IF($B1571="","",AK1571+AN1571+AM1571/2+AO1571+AP1571+AQ1571+AR1571+AS1571+AT1571+AU1571+AV1571+AW1571)</f>
        <v/>
      </c>
      <c r="BB1571" s="35" t="str">
        <f aca="false">IF($B1571="","",MAX(0,AN1571-Settings!$C$16)*Settings!$C$17)</f>
        <v/>
      </c>
      <c r="BC1571" s="35" t="str">
        <f aca="false">IF($B1571="","",BA1571-BB1571)</f>
        <v/>
      </c>
      <c r="BD1571" s="35" t="str">
        <f aca="false">IF(OR($B1571="",$A1571=""),"",DAY(EOMONTH($A1571,0))-COUNTA($F1571:$AJ1571))</f>
        <v/>
      </c>
    </row>
    <row r="1572" customFormat="false" ht="15" hidden="false" customHeight="false" outlineLevel="0" collapsed="false">
      <c r="A1572" s="32"/>
      <c r="B1572" s="29"/>
      <c r="C1572" s="10" t="str">
        <f aca="false">IF($B1572="","",IFERROR(INDEX(M_name,MATCH($B1572,M_emp,0)),"Code not found"))</f>
        <v/>
      </c>
      <c r="D1572" s="10" t="str">
        <f aca="false">IF($B1572="","",IFERROR(INDEX(M_dept,MATCH($B1572,M_emp,0)),""))</f>
        <v/>
      </c>
      <c r="E1572" s="10" t="str">
        <f aca="false">IF($B1572="","",IFERROR(INDEX(M_loc,MATCH($B1572,M_emp,0)),""))</f>
        <v/>
      </c>
      <c r="F1572" s="33"/>
      <c r="G1572" s="33"/>
      <c r="H1572" s="33"/>
      <c r="I1572" s="33"/>
      <c r="J1572" s="33"/>
      <c r="K1572" s="33"/>
      <c r="L1572" s="33"/>
      <c r="M1572" s="33"/>
      <c r="N1572" s="33"/>
      <c r="O1572" s="33"/>
      <c r="P1572" s="33"/>
      <c r="Q1572" s="33"/>
      <c r="R1572" s="33"/>
      <c r="S1572" s="33"/>
      <c r="T1572" s="33"/>
      <c r="U1572" s="33"/>
      <c r="V1572" s="33"/>
      <c r="W1572" s="33"/>
      <c r="X1572" s="33"/>
      <c r="Y1572" s="33"/>
      <c r="Z1572" s="33"/>
      <c r="AA1572" s="33"/>
      <c r="AB1572" s="33"/>
      <c r="AC1572" s="33"/>
      <c r="AD1572" s="33"/>
      <c r="AE1572" s="33"/>
      <c r="AF1572" s="33"/>
      <c r="AG1572" s="33"/>
      <c r="AH1572" s="33"/>
      <c r="AI1572" s="33"/>
      <c r="AJ1572" s="33"/>
      <c r="AK1572" s="34" t="str">
        <f aca="false">IF($B1572="","",COUNTIF($F1572:$AJ1572,"P"))</f>
        <v/>
      </c>
      <c r="AL1572" s="34" t="str">
        <f aca="false">IF($B1572="","",COUNTIF($F1572:$AJ1572,"A"))</f>
        <v/>
      </c>
      <c r="AM1572" s="34" t="str">
        <f aca="false">IF($B1572="","",COUNTIF($F1572:$AJ1572,"HA"))</f>
        <v/>
      </c>
      <c r="AN1572" s="34" t="str">
        <f aca="false">IF($B1572="","",COUNTIF($F1572:$AJ1572,"L"))</f>
        <v/>
      </c>
      <c r="AO1572" s="34" t="str">
        <f aca="false">IF($B1572="","",COUNTIF($F1572:$AJ1572,"PL"))</f>
        <v/>
      </c>
      <c r="AP1572" s="34" t="str">
        <f aca="false">IF($B1572="","",COUNTIF($F1572:$AJ1572,"CL"))</f>
        <v/>
      </c>
      <c r="AQ1572" s="34" t="str">
        <f aca="false">IF($B1572="","",COUNTIF($F1572:$AJ1572,"SL"))</f>
        <v/>
      </c>
      <c r="AR1572" s="34" t="str">
        <f aca="false">IF($B1572="","",COUNTIF($F1572:$AJ1572,"CO"))</f>
        <v/>
      </c>
      <c r="AS1572" s="34" t="str">
        <f aca="false">IF($B1572="","",COUNTIF($F1572:$AJ1572,"HPL"))</f>
        <v/>
      </c>
      <c r="AT1572" s="34" t="str">
        <f aca="false">IF($B1572="","",COUNTIF($F1572:$AJ1572,"HCL"))</f>
        <v/>
      </c>
      <c r="AU1572" s="34" t="str">
        <f aca="false">IF($B1572="","",COUNTIF($F1572:$AJ1572,"WO"))</f>
        <v/>
      </c>
      <c r="AV1572" s="34" t="str">
        <f aca="false">IF($B1572="","",COUNTIF($F1572:$AJ1572,"PH"))</f>
        <v/>
      </c>
      <c r="AW1572" s="34" t="str">
        <f aca="false">IF($B1572="","",COUNTIF($F1572:$AJ1572,"TR"))</f>
        <v/>
      </c>
      <c r="AX1572" s="35" t="str">
        <f aca="false">IF($B1572="","",AO1572+AS1572/2)</f>
        <v/>
      </c>
      <c r="AY1572" s="35" t="str">
        <f aca="false">IF($B1572="","",AQ1572)</f>
        <v/>
      </c>
      <c r="AZ1572" s="35" t="str">
        <f aca="false">IF($B1572="","",AP1572+AT1572/2)</f>
        <v/>
      </c>
      <c r="BA1572" s="35" t="str">
        <f aca="false">IF($B1572="","",AK1572+AN1572+AM1572/2+AO1572+AP1572+AQ1572+AR1572+AS1572+AT1572+AU1572+AV1572+AW1572)</f>
        <v/>
      </c>
      <c r="BB1572" s="35" t="str">
        <f aca="false">IF($B1572="","",MAX(0,AN1572-Settings!$C$16)*Settings!$C$17)</f>
        <v/>
      </c>
      <c r="BC1572" s="35" t="str">
        <f aca="false">IF($B1572="","",BA1572-BB1572)</f>
        <v/>
      </c>
      <c r="BD1572" s="35" t="str">
        <f aca="false">IF(OR($B1572="",$A1572=""),"",DAY(EOMONTH($A1572,0))-COUNTA($F1572:$AJ1572))</f>
        <v/>
      </c>
    </row>
    <row r="1573" customFormat="false" ht="15" hidden="false" customHeight="false" outlineLevel="0" collapsed="false">
      <c r="A1573" s="32"/>
      <c r="B1573" s="29"/>
      <c r="C1573" s="10" t="str">
        <f aca="false">IF($B1573="","",IFERROR(INDEX(M_name,MATCH($B1573,M_emp,0)),"Code not found"))</f>
        <v/>
      </c>
      <c r="D1573" s="10" t="str">
        <f aca="false">IF($B1573="","",IFERROR(INDEX(M_dept,MATCH($B1573,M_emp,0)),""))</f>
        <v/>
      </c>
      <c r="E1573" s="10" t="str">
        <f aca="false">IF($B1573="","",IFERROR(INDEX(M_loc,MATCH($B1573,M_emp,0)),""))</f>
        <v/>
      </c>
      <c r="F1573" s="33"/>
      <c r="G1573" s="33"/>
      <c r="H1573" s="33"/>
      <c r="I1573" s="33"/>
      <c r="J1573" s="33"/>
      <c r="K1573" s="33"/>
      <c r="L1573" s="33"/>
      <c r="M1573" s="33"/>
      <c r="N1573" s="33"/>
      <c r="O1573" s="33"/>
      <c r="P1573" s="33"/>
      <c r="Q1573" s="33"/>
      <c r="R1573" s="33"/>
      <c r="S1573" s="33"/>
      <c r="T1573" s="33"/>
      <c r="U1573" s="33"/>
      <c r="V1573" s="33"/>
      <c r="W1573" s="33"/>
      <c r="X1573" s="33"/>
      <c r="Y1573" s="33"/>
      <c r="Z1573" s="33"/>
      <c r="AA1573" s="33"/>
      <c r="AB1573" s="33"/>
      <c r="AC1573" s="33"/>
      <c r="AD1573" s="33"/>
      <c r="AE1573" s="33"/>
      <c r="AF1573" s="33"/>
      <c r="AG1573" s="33"/>
      <c r="AH1573" s="33"/>
      <c r="AI1573" s="33"/>
      <c r="AJ1573" s="33"/>
      <c r="AK1573" s="34" t="str">
        <f aca="false">IF($B1573="","",COUNTIF($F1573:$AJ1573,"P"))</f>
        <v/>
      </c>
      <c r="AL1573" s="34" t="str">
        <f aca="false">IF($B1573="","",COUNTIF($F1573:$AJ1573,"A"))</f>
        <v/>
      </c>
      <c r="AM1573" s="34" t="str">
        <f aca="false">IF($B1573="","",COUNTIF($F1573:$AJ1573,"HA"))</f>
        <v/>
      </c>
      <c r="AN1573" s="34" t="str">
        <f aca="false">IF($B1573="","",COUNTIF($F1573:$AJ1573,"L"))</f>
        <v/>
      </c>
      <c r="AO1573" s="34" t="str">
        <f aca="false">IF($B1573="","",COUNTIF($F1573:$AJ1573,"PL"))</f>
        <v/>
      </c>
      <c r="AP1573" s="34" t="str">
        <f aca="false">IF($B1573="","",COUNTIF($F1573:$AJ1573,"CL"))</f>
        <v/>
      </c>
      <c r="AQ1573" s="34" t="str">
        <f aca="false">IF($B1573="","",COUNTIF($F1573:$AJ1573,"SL"))</f>
        <v/>
      </c>
      <c r="AR1573" s="34" t="str">
        <f aca="false">IF($B1573="","",COUNTIF($F1573:$AJ1573,"CO"))</f>
        <v/>
      </c>
      <c r="AS1573" s="34" t="str">
        <f aca="false">IF($B1573="","",COUNTIF($F1573:$AJ1573,"HPL"))</f>
        <v/>
      </c>
      <c r="AT1573" s="34" t="str">
        <f aca="false">IF($B1573="","",COUNTIF($F1573:$AJ1573,"HCL"))</f>
        <v/>
      </c>
      <c r="AU1573" s="34" t="str">
        <f aca="false">IF($B1573="","",COUNTIF($F1573:$AJ1573,"WO"))</f>
        <v/>
      </c>
      <c r="AV1573" s="34" t="str">
        <f aca="false">IF($B1573="","",COUNTIF($F1573:$AJ1573,"PH"))</f>
        <v/>
      </c>
      <c r="AW1573" s="34" t="str">
        <f aca="false">IF($B1573="","",COUNTIF($F1573:$AJ1573,"TR"))</f>
        <v/>
      </c>
      <c r="AX1573" s="35" t="str">
        <f aca="false">IF($B1573="","",AO1573+AS1573/2)</f>
        <v/>
      </c>
      <c r="AY1573" s="35" t="str">
        <f aca="false">IF($B1573="","",AQ1573)</f>
        <v/>
      </c>
      <c r="AZ1573" s="35" t="str">
        <f aca="false">IF($B1573="","",AP1573+AT1573/2)</f>
        <v/>
      </c>
      <c r="BA1573" s="35" t="str">
        <f aca="false">IF($B1573="","",AK1573+AN1573+AM1573/2+AO1573+AP1573+AQ1573+AR1573+AS1573+AT1573+AU1573+AV1573+AW1573)</f>
        <v/>
      </c>
      <c r="BB1573" s="35" t="str">
        <f aca="false">IF($B1573="","",MAX(0,AN1573-Settings!$C$16)*Settings!$C$17)</f>
        <v/>
      </c>
      <c r="BC1573" s="35" t="str">
        <f aca="false">IF($B1573="","",BA1573-BB1573)</f>
        <v/>
      </c>
      <c r="BD1573" s="35" t="str">
        <f aca="false">IF(OR($B1573="",$A1573=""),"",DAY(EOMONTH($A1573,0))-COUNTA($F1573:$AJ1573))</f>
        <v/>
      </c>
    </row>
    <row r="1574" customFormat="false" ht="15" hidden="false" customHeight="false" outlineLevel="0" collapsed="false">
      <c r="A1574" s="32"/>
      <c r="B1574" s="29"/>
      <c r="C1574" s="10" t="str">
        <f aca="false">IF($B1574="","",IFERROR(INDEX(M_name,MATCH($B1574,M_emp,0)),"Code not found"))</f>
        <v/>
      </c>
      <c r="D1574" s="10" t="str">
        <f aca="false">IF($B1574="","",IFERROR(INDEX(M_dept,MATCH($B1574,M_emp,0)),""))</f>
        <v/>
      </c>
      <c r="E1574" s="10" t="str">
        <f aca="false">IF($B1574="","",IFERROR(INDEX(M_loc,MATCH($B1574,M_emp,0)),""))</f>
        <v/>
      </c>
      <c r="F1574" s="33"/>
      <c r="G1574" s="33"/>
      <c r="H1574" s="33"/>
      <c r="I1574" s="33"/>
      <c r="J1574" s="33"/>
      <c r="K1574" s="33"/>
      <c r="L1574" s="33"/>
      <c r="M1574" s="33"/>
      <c r="N1574" s="33"/>
      <c r="O1574" s="33"/>
      <c r="P1574" s="33"/>
      <c r="Q1574" s="33"/>
      <c r="R1574" s="33"/>
      <c r="S1574" s="33"/>
      <c r="T1574" s="33"/>
      <c r="U1574" s="33"/>
      <c r="V1574" s="33"/>
      <c r="W1574" s="33"/>
      <c r="X1574" s="33"/>
      <c r="Y1574" s="33"/>
      <c r="Z1574" s="33"/>
      <c r="AA1574" s="33"/>
      <c r="AB1574" s="33"/>
      <c r="AC1574" s="33"/>
      <c r="AD1574" s="33"/>
      <c r="AE1574" s="33"/>
      <c r="AF1574" s="33"/>
      <c r="AG1574" s="33"/>
      <c r="AH1574" s="33"/>
      <c r="AI1574" s="33"/>
      <c r="AJ1574" s="33"/>
      <c r="AK1574" s="34" t="str">
        <f aca="false">IF($B1574="","",COUNTIF($F1574:$AJ1574,"P"))</f>
        <v/>
      </c>
      <c r="AL1574" s="34" t="str">
        <f aca="false">IF($B1574="","",COUNTIF($F1574:$AJ1574,"A"))</f>
        <v/>
      </c>
      <c r="AM1574" s="34" t="str">
        <f aca="false">IF($B1574="","",COUNTIF($F1574:$AJ1574,"HA"))</f>
        <v/>
      </c>
      <c r="AN1574" s="34" t="str">
        <f aca="false">IF($B1574="","",COUNTIF($F1574:$AJ1574,"L"))</f>
        <v/>
      </c>
      <c r="AO1574" s="34" t="str">
        <f aca="false">IF($B1574="","",COUNTIF($F1574:$AJ1574,"PL"))</f>
        <v/>
      </c>
      <c r="AP1574" s="34" t="str">
        <f aca="false">IF($B1574="","",COUNTIF($F1574:$AJ1574,"CL"))</f>
        <v/>
      </c>
      <c r="AQ1574" s="34" t="str">
        <f aca="false">IF($B1574="","",COUNTIF($F1574:$AJ1574,"SL"))</f>
        <v/>
      </c>
      <c r="AR1574" s="34" t="str">
        <f aca="false">IF($B1574="","",COUNTIF($F1574:$AJ1574,"CO"))</f>
        <v/>
      </c>
      <c r="AS1574" s="34" t="str">
        <f aca="false">IF($B1574="","",COUNTIF($F1574:$AJ1574,"HPL"))</f>
        <v/>
      </c>
      <c r="AT1574" s="34" t="str">
        <f aca="false">IF($B1574="","",COUNTIF($F1574:$AJ1574,"HCL"))</f>
        <v/>
      </c>
      <c r="AU1574" s="34" t="str">
        <f aca="false">IF($B1574="","",COUNTIF($F1574:$AJ1574,"WO"))</f>
        <v/>
      </c>
      <c r="AV1574" s="34" t="str">
        <f aca="false">IF($B1574="","",COUNTIF($F1574:$AJ1574,"PH"))</f>
        <v/>
      </c>
      <c r="AW1574" s="34" t="str">
        <f aca="false">IF($B1574="","",COUNTIF($F1574:$AJ1574,"TR"))</f>
        <v/>
      </c>
      <c r="AX1574" s="35" t="str">
        <f aca="false">IF($B1574="","",AO1574+AS1574/2)</f>
        <v/>
      </c>
      <c r="AY1574" s="35" t="str">
        <f aca="false">IF($B1574="","",AQ1574)</f>
        <v/>
      </c>
      <c r="AZ1574" s="35" t="str">
        <f aca="false">IF($B1574="","",AP1574+AT1574/2)</f>
        <v/>
      </c>
      <c r="BA1574" s="35" t="str">
        <f aca="false">IF($B1574="","",AK1574+AN1574+AM1574/2+AO1574+AP1574+AQ1574+AR1574+AS1574+AT1574+AU1574+AV1574+AW1574)</f>
        <v/>
      </c>
      <c r="BB1574" s="35" t="str">
        <f aca="false">IF($B1574="","",MAX(0,AN1574-Settings!$C$16)*Settings!$C$17)</f>
        <v/>
      </c>
      <c r="BC1574" s="35" t="str">
        <f aca="false">IF($B1574="","",BA1574-BB1574)</f>
        <v/>
      </c>
      <c r="BD1574" s="35" t="str">
        <f aca="false">IF(OR($B1574="",$A1574=""),"",DAY(EOMONTH($A1574,0))-COUNTA($F1574:$AJ1574))</f>
        <v/>
      </c>
    </row>
    <row r="1575" customFormat="false" ht="15" hidden="false" customHeight="false" outlineLevel="0" collapsed="false">
      <c r="A1575" s="32"/>
      <c r="B1575" s="29"/>
      <c r="C1575" s="10" t="str">
        <f aca="false">IF($B1575="","",IFERROR(INDEX(M_name,MATCH($B1575,M_emp,0)),"Code not found"))</f>
        <v/>
      </c>
      <c r="D1575" s="10" t="str">
        <f aca="false">IF($B1575="","",IFERROR(INDEX(M_dept,MATCH($B1575,M_emp,0)),""))</f>
        <v/>
      </c>
      <c r="E1575" s="10" t="str">
        <f aca="false">IF($B1575="","",IFERROR(INDEX(M_loc,MATCH($B1575,M_emp,0)),""))</f>
        <v/>
      </c>
      <c r="F1575" s="33"/>
      <c r="G1575" s="33"/>
      <c r="H1575" s="33"/>
      <c r="I1575" s="33"/>
      <c r="J1575" s="33"/>
      <c r="K1575" s="33"/>
      <c r="L1575" s="33"/>
      <c r="M1575" s="33"/>
      <c r="N1575" s="33"/>
      <c r="O1575" s="33"/>
      <c r="P1575" s="33"/>
      <c r="Q1575" s="33"/>
      <c r="R1575" s="33"/>
      <c r="S1575" s="33"/>
      <c r="T1575" s="33"/>
      <c r="U1575" s="33"/>
      <c r="V1575" s="33"/>
      <c r="W1575" s="33"/>
      <c r="X1575" s="33"/>
      <c r="Y1575" s="33"/>
      <c r="Z1575" s="33"/>
      <c r="AA1575" s="33"/>
      <c r="AB1575" s="33"/>
      <c r="AC1575" s="33"/>
      <c r="AD1575" s="33"/>
      <c r="AE1575" s="33"/>
      <c r="AF1575" s="33"/>
      <c r="AG1575" s="33"/>
      <c r="AH1575" s="33"/>
      <c r="AI1575" s="33"/>
      <c r="AJ1575" s="33"/>
      <c r="AK1575" s="34" t="str">
        <f aca="false">IF($B1575="","",COUNTIF($F1575:$AJ1575,"P"))</f>
        <v/>
      </c>
      <c r="AL1575" s="34" t="str">
        <f aca="false">IF($B1575="","",COUNTIF($F1575:$AJ1575,"A"))</f>
        <v/>
      </c>
      <c r="AM1575" s="34" t="str">
        <f aca="false">IF($B1575="","",COUNTIF($F1575:$AJ1575,"HA"))</f>
        <v/>
      </c>
      <c r="AN1575" s="34" t="str">
        <f aca="false">IF($B1575="","",COUNTIF($F1575:$AJ1575,"L"))</f>
        <v/>
      </c>
      <c r="AO1575" s="34" t="str">
        <f aca="false">IF($B1575="","",COUNTIF($F1575:$AJ1575,"PL"))</f>
        <v/>
      </c>
      <c r="AP1575" s="34" t="str">
        <f aca="false">IF($B1575="","",COUNTIF($F1575:$AJ1575,"CL"))</f>
        <v/>
      </c>
      <c r="AQ1575" s="34" t="str">
        <f aca="false">IF($B1575="","",COUNTIF($F1575:$AJ1575,"SL"))</f>
        <v/>
      </c>
      <c r="AR1575" s="34" t="str">
        <f aca="false">IF($B1575="","",COUNTIF($F1575:$AJ1575,"CO"))</f>
        <v/>
      </c>
      <c r="AS1575" s="34" t="str">
        <f aca="false">IF($B1575="","",COUNTIF($F1575:$AJ1575,"HPL"))</f>
        <v/>
      </c>
      <c r="AT1575" s="34" t="str">
        <f aca="false">IF($B1575="","",COUNTIF($F1575:$AJ1575,"HCL"))</f>
        <v/>
      </c>
      <c r="AU1575" s="34" t="str">
        <f aca="false">IF($B1575="","",COUNTIF($F1575:$AJ1575,"WO"))</f>
        <v/>
      </c>
      <c r="AV1575" s="34" t="str">
        <f aca="false">IF($B1575="","",COUNTIF($F1575:$AJ1575,"PH"))</f>
        <v/>
      </c>
      <c r="AW1575" s="34" t="str">
        <f aca="false">IF($B1575="","",COUNTIF($F1575:$AJ1575,"TR"))</f>
        <v/>
      </c>
      <c r="AX1575" s="35" t="str">
        <f aca="false">IF($B1575="","",AO1575+AS1575/2)</f>
        <v/>
      </c>
      <c r="AY1575" s="35" t="str">
        <f aca="false">IF($B1575="","",AQ1575)</f>
        <v/>
      </c>
      <c r="AZ1575" s="35" t="str">
        <f aca="false">IF($B1575="","",AP1575+AT1575/2)</f>
        <v/>
      </c>
      <c r="BA1575" s="35" t="str">
        <f aca="false">IF($B1575="","",AK1575+AN1575+AM1575/2+AO1575+AP1575+AQ1575+AR1575+AS1575+AT1575+AU1575+AV1575+AW1575)</f>
        <v/>
      </c>
      <c r="BB1575" s="35" t="str">
        <f aca="false">IF($B1575="","",MAX(0,AN1575-Settings!$C$16)*Settings!$C$17)</f>
        <v/>
      </c>
      <c r="BC1575" s="35" t="str">
        <f aca="false">IF($B1575="","",BA1575-BB1575)</f>
        <v/>
      </c>
      <c r="BD1575" s="35" t="str">
        <f aca="false">IF(OR($B1575="",$A1575=""),"",DAY(EOMONTH($A1575,0))-COUNTA($F1575:$AJ1575))</f>
        <v/>
      </c>
    </row>
    <row r="1576" customFormat="false" ht="15" hidden="false" customHeight="false" outlineLevel="0" collapsed="false">
      <c r="A1576" s="32"/>
      <c r="B1576" s="29"/>
      <c r="C1576" s="10" t="str">
        <f aca="false">IF($B1576="","",IFERROR(INDEX(M_name,MATCH($B1576,M_emp,0)),"Code not found"))</f>
        <v/>
      </c>
      <c r="D1576" s="10" t="str">
        <f aca="false">IF($B1576="","",IFERROR(INDEX(M_dept,MATCH($B1576,M_emp,0)),""))</f>
        <v/>
      </c>
      <c r="E1576" s="10" t="str">
        <f aca="false">IF($B1576="","",IFERROR(INDEX(M_loc,MATCH($B1576,M_emp,0)),""))</f>
        <v/>
      </c>
      <c r="F1576" s="33"/>
      <c r="G1576" s="33"/>
      <c r="H1576" s="33"/>
      <c r="I1576" s="33"/>
      <c r="J1576" s="33"/>
      <c r="K1576" s="33"/>
      <c r="L1576" s="33"/>
      <c r="M1576" s="33"/>
      <c r="N1576" s="33"/>
      <c r="O1576" s="33"/>
      <c r="P1576" s="33"/>
      <c r="Q1576" s="33"/>
      <c r="R1576" s="33"/>
      <c r="S1576" s="33"/>
      <c r="T1576" s="33"/>
      <c r="U1576" s="33"/>
      <c r="V1576" s="33"/>
      <c r="W1576" s="33"/>
      <c r="X1576" s="33"/>
      <c r="Y1576" s="33"/>
      <c r="Z1576" s="33"/>
      <c r="AA1576" s="33"/>
      <c r="AB1576" s="33"/>
      <c r="AC1576" s="33"/>
      <c r="AD1576" s="33"/>
      <c r="AE1576" s="33"/>
      <c r="AF1576" s="33"/>
      <c r="AG1576" s="33"/>
      <c r="AH1576" s="33"/>
      <c r="AI1576" s="33"/>
      <c r="AJ1576" s="33"/>
      <c r="AK1576" s="34" t="str">
        <f aca="false">IF($B1576="","",COUNTIF($F1576:$AJ1576,"P"))</f>
        <v/>
      </c>
      <c r="AL1576" s="34" t="str">
        <f aca="false">IF($B1576="","",COUNTIF($F1576:$AJ1576,"A"))</f>
        <v/>
      </c>
      <c r="AM1576" s="34" t="str">
        <f aca="false">IF($B1576="","",COUNTIF($F1576:$AJ1576,"HA"))</f>
        <v/>
      </c>
      <c r="AN1576" s="34" t="str">
        <f aca="false">IF($B1576="","",COUNTIF($F1576:$AJ1576,"L"))</f>
        <v/>
      </c>
      <c r="AO1576" s="34" t="str">
        <f aca="false">IF($B1576="","",COUNTIF($F1576:$AJ1576,"PL"))</f>
        <v/>
      </c>
      <c r="AP1576" s="34" t="str">
        <f aca="false">IF($B1576="","",COUNTIF($F1576:$AJ1576,"CL"))</f>
        <v/>
      </c>
      <c r="AQ1576" s="34" t="str">
        <f aca="false">IF($B1576="","",COUNTIF($F1576:$AJ1576,"SL"))</f>
        <v/>
      </c>
      <c r="AR1576" s="34" t="str">
        <f aca="false">IF($B1576="","",COUNTIF($F1576:$AJ1576,"CO"))</f>
        <v/>
      </c>
      <c r="AS1576" s="34" t="str">
        <f aca="false">IF($B1576="","",COUNTIF($F1576:$AJ1576,"HPL"))</f>
        <v/>
      </c>
      <c r="AT1576" s="34" t="str">
        <f aca="false">IF($B1576="","",COUNTIF($F1576:$AJ1576,"HCL"))</f>
        <v/>
      </c>
      <c r="AU1576" s="34" t="str">
        <f aca="false">IF($B1576="","",COUNTIF($F1576:$AJ1576,"WO"))</f>
        <v/>
      </c>
      <c r="AV1576" s="34" t="str">
        <f aca="false">IF($B1576="","",COUNTIF($F1576:$AJ1576,"PH"))</f>
        <v/>
      </c>
      <c r="AW1576" s="34" t="str">
        <f aca="false">IF($B1576="","",COUNTIF($F1576:$AJ1576,"TR"))</f>
        <v/>
      </c>
      <c r="AX1576" s="35" t="str">
        <f aca="false">IF($B1576="","",AO1576+AS1576/2)</f>
        <v/>
      </c>
      <c r="AY1576" s="35" t="str">
        <f aca="false">IF($B1576="","",AQ1576)</f>
        <v/>
      </c>
      <c r="AZ1576" s="35" t="str">
        <f aca="false">IF($B1576="","",AP1576+AT1576/2)</f>
        <v/>
      </c>
      <c r="BA1576" s="35" t="str">
        <f aca="false">IF($B1576="","",AK1576+AN1576+AM1576/2+AO1576+AP1576+AQ1576+AR1576+AS1576+AT1576+AU1576+AV1576+AW1576)</f>
        <v/>
      </c>
      <c r="BB1576" s="35" t="str">
        <f aca="false">IF($B1576="","",MAX(0,AN1576-Settings!$C$16)*Settings!$C$17)</f>
        <v/>
      </c>
      <c r="BC1576" s="35" t="str">
        <f aca="false">IF($B1576="","",BA1576-BB1576)</f>
        <v/>
      </c>
      <c r="BD1576" s="35" t="str">
        <f aca="false">IF(OR($B1576="",$A1576=""),"",DAY(EOMONTH($A1576,0))-COUNTA($F1576:$AJ1576))</f>
        <v/>
      </c>
    </row>
    <row r="1577" customFormat="false" ht="15" hidden="false" customHeight="false" outlineLevel="0" collapsed="false">
      <c r="A1577" s="32"/>
      <c r="B1577" s="29"/>
      <c r="C1577" s="10" t="str">
        <f aca="false">IF($B1577="","",IFERROR(INDEX(M_name,MATCH($B1577,M_emp,0)),"Code not found"))</f>
        <v/>
      </c>
      <c r="D1577" s="10" t="str">
        <f aca="false">IF($B1577="","",IFERROR(INDEX(M_dept,MATCH($B1577,M_emp,0)),""))</f>
        <v/>
      </c>
      <c r="E1577" s="10" t="str">
        <f aca="false">IF($B1577="","",IFERROR(INDEX(M_loc,MATCH($B1577,M_emp,0)),""))</f>
        <v/>
      </c>
      <c r="F1577" s="33"/>
      <c r="G1577" s="33"/>
      <c r="H1577" s="33"/>
      <c r="I1577" s="33"/>
      <c r="J1577" s="33"/>
      <c r="K1577" s="33"/>
      <c r="L1577" s="33"/>
      <c r="M1577" s="33"/>
      <c r="N1577" s="33"/>
      <c r="O1577" s="33"/>
      <c r="P1577" s="33"/>
      <c r="Q1577" s="33"/>
      <c r="R1577" s="33"/>
      <c r="S1577" s="33"/>
      <c r="T1577" s="33"/>
      <c r="U1577" s="33"/>
      <c r="V1577" s="33"/>
      <c r="W1577" s="33"/>
      <c r="X1577" s="33"/>
      <c r="Y1577" s="33"/>
      <c r="Z1577" s="33"/>
      <c r="AA1577" s="33"/>
      <c r="AB1577" s="33"/>
      <c r="AC1577" s="33"/>
      <c r="AD1577" s="33"/>
      <c r="AE1577" s="33"/>
      <c r="AF1577" s="33"/>
      <c r="AG1577" s="33"/>
      <c r="AH1577" s="33"/>
      <c r="AI1577" s="33"/>
      <c r="AJ1577" s="33"/>
      <c r="AK1577" s="34" t="str">
        <f aca="false">IF($B1577="","",COUNTIF($F1577:$AJ1577,"P"))</f>
        <v/>
      </c>
      <c r="AL1577" s="34" t="str">
        <f aca="false">IF($B1577="","",COUNTIF($F1577:$AJ1577,"A"))</f>
        <v/>
      </c>
      <c r="AM1577" s="34" t="str">
        <f aca="false">IF($B1577="","",COUNTIF($F1577:$AJ1577,"HA"))</f>
        <v/>
      </c>
      <c r="AN1577" s="34" t="str">
        <f aca="false">IF($B1577="","",COUNTIF($F1577:$AJ1577,"L"))</f>
        <v/>
      </c>
      <c r="AO1577" s="34" t="str">
        <f aca="false">IF($B1577="","",COUNTIF($F1577:$AJ1577,"PL"))</f>
        <v/>
      </c>
      <c r="AP1577" s="34" t="str">
        <f aca="false">IF($B1577="","",COUNTIF($F1577:$AJ1577,"CL"))</f>
        <v/>
      </c>
      <c r="AQ1577" s="34" t="str">
        <f aca="false">IF($B1577="","",COUNTIF($F1577:$AJ1577,"SL"))</f>
        <v/>
      </c>
      <c r="AR1577" s="34" t="str">
        <f aca="false">IF($B1577="","",COUNTIF($F1577:$AJ1577,"CO"))</f>
        <v/>
      </c>
      <c r="AS1577" s="34" t="str">
        <f aca="false">IF($B1577="","",COUNTIF($F1577:$AJ1577,"HPL"))</f>
        <v/>
      </c>
      <c r="AT1577" s="34" t="str">
        <f aca="false">IF($B1577="","",COUNTIF($F1577:$AJ1577,"HCL"))</f>
        <v/>
      </c>
      <c r="AU1577" s="34" t="str">
        <f aca="false">IF($B1577="","",COUNTIF($F1577:$AJ1577,"WO"))</f>
        <v/>
      </c>
      <c r="AV1577" s="34" t="str">
        <f aca="false">IF($B1577="","",COUNTIF($F1577:$AJ1577,"PH"))</f>
        <v/>
      </c>
      <c r="AW1577" s="34" t="str">
        <f aca="false">IF($B1577="","",COUNTIF($F1577:$AJ1577,"TR"))</f>
        <v/>
      </c>
      <c r="AX1577" s="35" t="str">
        <f aca="false">IF($B1577="","",AO1577+AS1577/2)</f>
        <v/>
      </c>
      <c r="AY1577" s="35" t="str">
        <f aca="false">IF($B1577="","",AQ1577)</f>
        <v/>
      </c>
      <c r="AZ1577" s="35" t="str">
        <f aca="false">IF($B1577="","",AP1577+AT1577/2)</f>
        <v/>
      </c>
      <c r="BA1577" s="35" t="str">
        <f aca="false">IF($B1577="","",AK1577+AN1577+AM1577/2+AO1577+AP1577+AQ1577+AR1577+AS1577+AT1577+AU1577+AV1577+AW1577)</f>
        <v/>
      </c>
      <c r="BB1577" s="35" t="str">
        <f aca="false">IF($B1577="","",MAX(0,AN1577-Settings!$C$16)*Settings!$C$17)</f>
        <v/>
      </c>
      <c r="BC1577" s="35" t="str">
        <f aca="false">IF($B1577="","",BA1577-BB1577)</f>
        <v/>
      </c>
      <c r="BD1577" s="35" t="str">
        <f aca="false">IF(OR($B1577="",$A1577=""),"",DAY(EOMONTH($A1577,0))-COUNTA($F1577:$AJ1577))</f>
        <v/>
      </c>
    </row>
    <row r="1578" customFormat="false" ht="15" hidden="false" customHeight="false" outlineLevel="0" collapsed="false">
      <c r="A1578" s="32"/>
      <c r="B1578" s="29"/>
      <c r="C1578" s="10" t="str">
        <f aca="false">IF($B1578="","",IFERROR(INDEX(M_name,MATCH($B1578,M_emp,0)),"Code not found"))</f>
        <v/>
      </c>
      <c r="D1578" s="10" t="str">
        <f aca="false">IF($B1578="","",IFERROR(INDEX(M_dept,MATCH($B1578,M_emp,0)),""))</f>
        <v/>
      </c>
      <c r="E1578" s="10" t="str">
        <f aca="false">IF($B1578="","",IFERROR(INDEX(M_loc,MATCH($B1578,M_emp,0)),""))</f>
        <v/>
      </c>
      <c r="F1578" s="33"/>
      <c r="G1578" s="33"/>
      <c r="H1578" s="33"/>
      <c r="I1578" s="33"/>
      <c r="J1578" s="33"/>
      <c r="K1578" s="33"/>
      <c r="L1578" s="33"/>
      <c r="M1578" s="33"/>
      <c r="N1578" s="33"/>
      <c r="O1578" s="33"/>
      <c r="P1578" s="33"/>
      <c r="Q1578" s="33"/>
      <c r="R1578" s="33"/>
      <c r="S1578" s="33"/>
      <c r="T1578" s="33"/>
      <c r="U1578" s="33"/>
      <c r="V1578" s="33"/>
      <c r="W1578" s="33"/>
      <c r="X1578" s="33"/>
      <c r="Y1578" s="33"/>
      <c r="Z1578" s="33"/>
      <c r="AA1578" s="33"/>
      <c r="AB1578" s="33"/>
      <c r="AC1578" s="33"/>
      <c r="AD1578" s="33"/>
      <c r="AE1578" s="33"/>
      <c r="AF1578" s="33"/>
      <c r="AG1578" s="33"/>
      <c r="AH1578" s="33"/>
      <c r="AI1578" s="33"/>
      <c r="AJ1578" s="33"/>
      <c r="AK1578" s="34" t="str">
        <f aca="false">IF($B1578="","",COUNTIF($F1578:$AJ1578,"P"))</f>
        <v/>
      </c>
      <c r="AL1578" s="34" t="str">
        <f aca="false">IF($B1578="","",COUNTIF($F1578:$AJ1578,"A"))</f>
        <v/>
      </c>
      <c r="AM1578" s="34" t="str">
        <f aca="false">IF($B1578="","",COUNTIF($F1578:$AJ1578,"HA"))</f>
        <v/>
      </c>
      <c r="AN1578" s="34" t="str">
        <f aca="false">IF($B1578="","",COUNTIF($F1578:$AJ1578,"L"))</f>
        <v/>
      </c>
      <c r="AO1578" s="34" t="str">
        <f aca="false">IF($B1578="","",COUNTIF($F1578:$AJ1578,"PL"))</f>
        <v/>
      </c>
      <c r="AP1578" s="34" t="str">
        <f aca="false">IF($B1578="","",COUNTIF($F1578:$AJ1578,"CL"))</f>
        <v/>
      </c>
      <c r="AQ1578" s="34" t="str">
        <f aca="false">IF($B1578="","",COUNTIF($F1578:$AJ1578,"SL"))</f>
        <v/>
      </c>
      <c r="AR1578" s="34" t="str">
        <f aca="false">IF($B1578="","",COUNTIF($F1578:$AJ1578,"CO"))</f>
        <v/>
      </c>
      <c r="AS1578" s="34" t="str">
        <f aca="false">IF($B1578="","",COUNTIF($F1578:$AJ1578,"HPL"))</f>
        <v/>
      </c>
      <c r="AT1578" s="34" t="str">
        <f aca="false">IF($B1578="","",COUNTIF($F1578:$AJ1578,"HCL"))</f>
        <v/>
      </c>
      <c r="AU1578" s="34" t="str">
        <f aca="false">IF($B1578="","",COUNTIF($F1578:$AJ1578,"WO"))</f>
        <v/>
      </c>
      <c r="AV1578" s="34" t="str">
        <f aca="false">IF($B1578="","",COUNTIF($F1578:$AJ1578,"PH"))</f>
        <v/>
      </c>
      <c r="AW1578" s="34" t="str">
        <f aca="false">IF($B1578="","",COUNTIF($F1578:$AJ1578,"TR"))</f>
        <v/>
      </c>
      <c r="AX1578" s="35" t="str">
        <f aca="false">IF($B1578="","",AO1578+AS1578/2)</f>
        <v/>
      </c>
      <c r="AY1578" s="35" t="str">
        <f aca="false">IF($B1578="","",AQ1578)</f>
        <v/>
      </c>
      <c r="AZ1578" s="35" t="str">
        <f aca="false">IF($B1578="","",AP1578+AT1578/2)</f>
        <v/>
      </c>
      <c r="BA1578" s="35" t="str">
        <f aca="false">IF($B1578="","",AK1578+AN1578+AM1578/2+AO1578+AP1578+AQ1578+AR1578+AS1578+AT1578+AU1578+AV1578+AW1578)</f>
        <v/>
      </c>
      <c r="BB1578" s="35" t="str">
        <f aca="false">IF($B1578="","",MAX(0,AN1578-Settings!$C$16)*Settings!$C$17)</f>
        <v/>
      </c>
      <c r="BC1578" s="35" t="str">
        <f aca="false">IF($B1578="","",BA1578-BB1578)</f>
        <v/>
      </c>
      <c r="BD1578" s="35" t="str">
        <f aca="false">IF(OR($B1578="",$A1578=""),"",DAY(EOMONTH($A1578,0))-COUNTA($F1578:$AJ1578))</f>
        <v/>
      </c>
    </row>
    <row r="1579" customFormat="false" ht="15" hidden="false" customHeight="false" outlineLevel="0" collapsed="false">
      <c r="A1579" s="32"/>
      <c r="B1579" s="29"/>
      <c r="C1579" s="10" t="str">
        <f aca="false">IF($B1579="","",IFERROR(INDEX(M_name,MATCH($B1579,M_emp,0)),"Code not found"))</f>
        <v/>
      </c>
      <c r="D1579" s="10" t="str">
        <f aca="false">IF($B1579="","",IFERROR(INDEX(M_dept,MATCH($B1579,M_emp,0)),""))</f>
        <v/>
      </c>
      <c r="E1579" s="10" t="str">
        <f aca="false">IF($B1579="","",IFERROR(INDEX(M_loc,MATCH($B1579,M_emp,0)),""))</f>
        <v/>
      </c>
      <c r="F1579" s="33"/>
      <c r="G1579" s="33"/>
      <c r="H1579" s="33"/>
      <c r="I1579" s="33"/>
      <c r="J1579" s="33"/>
      <c r="K1579" s="33"/>
      <c r="L1579" s="33"/>
      <c r="M1579" s="33"/>
      <c r="N1579" s="33"/>
      <c r="O1579" s="33"/>
      <c r="P1579" s="33"/>
      <c r="Q1579" s="33"/>
      <c r="R1579" s="33"/>
      <c r="S1579" s="33"/>
      <c r="T1579" s="33"/>
      <c r="U1579" s="33"/>
      <c r="V1579" s="33"/>
      <c r="W1579" s="33"/>
      <c r="X1579" s="33"/>
      <c r="Y1579" s="33"/>
      <c r="Z1579" s="33"/>
      <c r="AA1579" s="33"/>
      <c r="AB1579" s="33"/>
      <c r="AC1579" s="33"/>
      <c r="AD1579" s="33"/>
      <c r="AE1579" s="33"/>
      <c r="AF1579" s="33"/>
      <c r="AG1579" s="33"/>
      <c r="AH1579" s="33"/>
      <c r="AI1579" s="33"/>
      <c r="AJ1579" s="33"/>
      <c r="AK1579" s="34" t="str">
        <f aca="false">IF($B1579="","",COUNTIF($F1579:$AJ1579,"P"))</f>
        <v/>
      </c>
      <c r="AL1579" s="34" t="str">
        <f aca="false">IF($B1579="","",COUNTIF($F1579:$AJ1579,"A"))</f>
        <v/>
      </c>
      <c r="AM1579" s="34" t="str">
        <f aca="false">IF($B1579="","",COUNTIF($F1579:$AJ1579,"HA"))</f>
        <v/>
      </c>
      <c r="AN1579" s="34" t="str">
        <f aca="false">IF($B1579="","",COUNTIF($F1579:$AJ1579,"L"))</f>
        <v/>
      </c>
      <c r="AO1579" s="34" t="str">
        <f aca="false">IF($B1579="","",COUNTIF($F1579:$AJ1579,"PL"))</f>
        <v/>
      </c>
      <c r="AP1579" s="34" t="str">
        <f aca="false">IF($B1579="","",COUNTIF($F1579:$AJ1579,"CL"))</f>
        <v/>
      </c>
      <c r="AQ1579" s="34" t="str">
        <f aca="false">IF($B1579="","",COUNTIF($F1579:$AJ1579,"SL"))</f>
        <v/>
      </c>
      <c r="AR1579" s="34" t="str">
        <f aca="false">IF($B1579="","",COUNTIF($F1579:$AJ1579,"CO"))</f>
        <v/>
      </c>
      <c r="AS1579" s="34" t="str">
        <f aca="false">IF($B1579="","",COUNTIF($F1579:$AJ1579,"HPL"))</f>
        <v/>
      </c>
      <c r="AT1579" s="34" t="str">
        <f aca="false">IF($B1579="","",COUNTIF($F1579:$AJ1579,"HCL"))</f>
        <v/>
      </c>
      <c r="AU1579" s="34" t="str">
        <f aca="false">IF($B1579="","",COUNTIF($F1579:$AJ1579,"WO"))</f>
        <v/>
      </c>
      <c r="AV1579" s="34" t="str">
        <f aca="false">IF($B1579="","",COUNTIF($F1579:$AJ1579,"PH"))</f>
        <v/>
      </c>
      <c r="AW1579" s="34" t="str">
        <f aca="false">IF($B1579="","",COUNTIF($F1579:$AJ1579,"TR"))</f>
        <v/>
      </c>
      <c r="AX1579" s="35" t="str">
        <f aca="false">IF($B1579="","",AO1579+AS1579/2)</f>
        <v/>
      </c>
      <c r="AY1579" s="35" t="str">
        <f aca="false">IF($B1579="","",AQ1579)</f>
        <v/>
      </c>
      <c r="AZ1579" s="35" t="str">
        <f aca="false">IF($B1579="","",AP1579+AT1579/2)</f>
        <v/>
      </c>
      <c r="BA1579" s="35" t="str">
        <f aca="false">IF($B1579="","",AK1579+AN1579+AM1579/2+AO1579+AP1579+AQ1579+AR1579+AS1579+AT1579+AU1579+AV1579+AW1579)</f>
        <v/>
      </c>
      <c r="BB1579" s="35" t="str">
        <f aca="false">IF($B1579="","",MAX(0,AN1579-Settings!$C$16)*Settings!$C$17)</f>
        <v/>
      </c>
      <c r="BC1579" s="35" t="str">
        <f aca="false">IF($B1579="","",BA1579-BB1579)</f>
        <v/>
      </c>
      <c r="BD1579" s="35" t="str">
        <f aca="false">IF(OR($B1579="",$A1579=""),"",DAY(EOMONTH($A1579,0))-COUNTA($F1579:$AJ1579))</f>
        <v/>
      </c>
    </row>
    <row r="1580" customFormat="false" ht="15" hidden="false" customHeight="false" outlineLevel="0" collapsed="false">
      <c r="A1580" s="32"/>
      <c r="B1580" s="29"/>
      <c r="C1580" s="10" t="str">
        <f aca="false">IF($B1580="","",IFERROR(INDEX(M_name,MATCH($B1580,M_emp,0)),"Code not found"))</f>
        <v/>
      </c>
      <c r="D1580" s="10" t="str">
        <f aca="false">IF($B1580="","",IFERROR(INDEX(M_dept,MATCH($B1580,M_emp,0)),""))</f>
        <v/>
      </c>
      <c r="E1580" s="10" t="str">
        <f aca="false">IF($B1580="","",IFERROR(INDEX(M_loc,MATCH($B1580,M_emp,0)),""))</f>
        <v/>
      </c>
      <c r="F1580" s="33"/>
      <c r="G1580" s="33"/>
      <c r="H1580" s="33"/>
      <c r="I1580" s="33"/>
      <c r="J1580" s="33"/>
      <c r="K1580" s="33"/>
      <c r="L1580" s="33"/>
      <c r="M1580" s="33"/>
      <c r="N1580" s="33"/>
      <c r="O1580" s="33"/>
      <c r="P1580" s="33"/>
      <c r="Q1580" s="33"/>
      <c r="R1580" s="33"/>
      <c r="S1580" s="33"/>
      <c r="T1580" s="33"/>
      <c r="U1580" s="33"/>
      <c r="V1580" s="33"/>
      <c r="W1580" s="33"/>
      <c r="X1580" s="33"/>
      <c r="Y1580" s="33"/>
      <c r="Z1580" s="33"/>
      <c r="AA1580" s="33"/>
      <c r="AB1580" s="33"/>
      <c r="AC1580" s="33"/>
      <c r="AD1580" s="33"/>
      <c r="AE1580" s="33"/>
      <c r="AF1580" s="33"/>
      <c r="AG1580" s="33"/>
      <c r="AH1580" s="33"/>
      <c r="AI1580" s="33"/>
      <c r="AJ1580" s="33"/>
      <c r="AK1580" s="34" t="str">
        <f aca="false">IF($B1580="","",COUNTIF($F1580:$AJ1580,"P"))</f>
        <v/>
      </c>
      <c r="AL1580" s="34" t="str">
        <f aca="false">IF($B1580="","",COUNTIF($F1580:$AJ1580,"A"))</f>
        <v/>
      </c>
      <c r="AM1580" s="34" t="str">
        <f aca="false">IF($B1580="","",COUNTIF($F1580:$AJ1580,"HA"))</f>
        <v/>
      </c>
      <c r="AN1580" s="34" t="str">
        <f aca="false">IF($B1580="","",COUNTIF($F1580:$AJ1580,"L"))</f>
        <v/>
      </c>
      <c r="AO1580" s="34" t="str">
        <f aca="false">IF($B1580="","",COUNTIF($F1580:$AJ1580,"PL"))</f>
        <v/>
      </c>
      <c r="AP1580" s="34" t="str">
        <f aca="false">IF($B1580="","",COUNTIF($F1580:$AJ1580,"CL"))</f>
        <v/>
      </c>
      <c r="AQ1580" s="34" t="str">
        <f aca="false">IF($B1580="","",COUNTIF($F1580:$AJ1580,"SL"))</f>
        <v/>
      </c>
      <c r="AR1580" s="34" t="str">
        <f aca="false">IF($B1580="","",COUNTIF($F1580:$AJ1580,"CO"))</f>
        <v/>
      </c>
      <c r="AS1580" s="34" t="str">
        <f aca="false">IF($B1580="","",COUNTIF($F1580:$AJ1580,"HPL"))</f>
        <v/>
      </c>
      <c r="AT1580" s="34" t="str">
        <f aca="false">IF($B1580="","",COUNTIF($F1580:$AJ1580,"HCL"))</f>
        <v/>
      </c>
      <c r="AU1580" s="34" t="str">
        <f aca="false">IF($B1580="","",COUNTIF($F1580:$AJ1580,"WO"))</f>
        <v/>
      </c>
      <c r="AV1580" s="34" t="str">
        <f aca="false">IF($B1580="","",COUNTIF($F1580:$AJ1580,"PH"))</f>
        <v/>
      </c>
      <c r="AW1580" s="34" t="str">
        <f aca="false">IF($B1580="","",COUNTIF($F1580:$AJ1580,"TR"))</f>
        <v/>
      </c>
      <c r="AX1580" s="35" t="str">
        <f aca="false">IF($B1580="","",AO1580+AS1580/2)</f>
        <v/>
      </c>
      <c r="AY1580" s="35" t="str">
        <f aca="false">IF($B1580="","",AQ1580)</f>
        <v/>
      </c>
      <c r="AZ1580" s="35" t="str">
        <f aca="false">IF($B1580="","",AP1580+AT1580/2)</f>
        <v/>
      </c>
      <c r="BA1580" s="35" t="str">
        <f aca="false">IF($B1580="","",AK1580+AN1580+AM1580/2+AO1580+AP1580+AQ1580+AR1580+AS1580+AT1580+AU1580+AV1580+AW1580)</f>
        <v/>
      </c>
      <c r="BB1580" s="35" t="str">
        <f aca="false">IF($B1580="","",MAX(0,AN1580-Settings!$C$16)*Settings!$C$17)</f>
        <v/>
      </c>
      <c r="BC1580" s="35" t="str">
        <f aca="false">IF($B1580="","",BA1580-BB1580)</f>
        <v/>
      </c>
      <c r="BD1580" s="35" t="str">
        <f aca="false">IF(OR($B1580="",$A1580=""),"",DAY(EOMONTH($A1580,0))-COUNTA($F1580:$AJ1580))</f>
        <v/>
      </c>
    </row>
    <row r="1581" customFormat="false" ht="15" hidden="false" customHeight="false" outlineLevel="0" collapsed="false">
      <c r="A1581" s="32"/>
      <c r="B1581" s="29"/>
      <c r="C1581" s="10" t="str">
        <f aca="false">IF($B1581="","",IFERROR(INDEX(M_name,MATCH($B1581,M_emp,0)),"Code not found"))</f>
        <v/>
      </c>
      <c r="D1581" s="10" t="str">
        <f aca="false">IF($B1581="","",IFERROR(INDEX(M_dept,MATCH($B1581,M_emp,0)),""))</f>
        <v/>
      </c>
      <c r="E1581" s="10" t="str">
        <f aca="false">IF($B1581="","",IFERROR(INDEX(M_loc,MATCH($B1581,M_emp,0)),""))</f>
        <v/>
      </c>
      <c r="F1581" s="33"/>
      <c r="G1581" s="33"/>
      <c r="H1581" s="33"/>
      <c r="I1581" s="33"/>
      <c r="J1581" s="33"/>
      <c r="K1581" s="33"/>
      <c r="L1581" s="33"/>
      <c r="M1581" s="33"/>
      <c r="N1581" s="33"/>
      <c r="O1581" s="33"/>
      <c r="P1581" s="33"/>
      <c r="Q1581" s="33"/>
      <c r="R1581" s="33"/>
      <c r="S1581" s="33"/>
      <c r="T1581" s="33"/>
      <c r="U1581" s="33"/>
      <c r="V1581" s="33"/>
      <c r="W1581" s="33"/>
      <c r="X1581" s="33"/>
      <c r="Y1581" s="33"/>
      <c r="Z1581" s="33"/>
      <c r="AA1581" s="33"/>
      <c r="AB1581" s="33"/>
      <c r="AC1581" s="33"/>
      <c r="AD1581" s="33"/>
      <c r="AE1581" s="33"/>
      <c r="AF1581" s="33"/>
      <c r="AG1581" s="33"/>
      <c r="AH1581" s="33"/>
      <c r="AI1581" s="33"/>
      <c r="AJ1581" s="33"/>
      <c r="AK1581" s="34" t="str">
        <f aca="false">IF($B1581="","",COUNTIF($F1581:$AJ1581,"P"))</f>
        <v/>
      </c>
      <c r="AL1581" s="34" t="str">
        <f aca="false">IF($B1581="","",COUNTIF($F1581:$AJ1581,"A"))</f>
        <v/>
      </c>
      <c r="AM1581" s="34" t="str">
        <f aca="false">IF($B1581="","",COUNTIF($F1581:$AJ1581,"HA"))</f>
        <v/>
      </c>
      <c r="AN1581" s="34" t="str">
        <f aca="false">IF($B1581="","",COUNTIF($F1581:$AJ1581,"L"))</f>
        <v/>
      </c>
      <c r="AO1581" s="34" t="str">
        <f aca="false">IF($B1581="","",COUNTIF($F1581:$AJ1581,"PL"))</f>
        <v/>
      </c>
      <c r="AP1581" s="34" t="str">
        <f aca="false">IF($B1581="","",COUNTIF($F1581:$AJ1581,"CL"))</f>
        <v/>
      </c>
      <c r="AQ1581" s="34" t="str">
        <f aca="false">IF($B1581="","",COUNTIF($F1581:$AJ1581,"SL"))</f>
        <v/>
      </c>
      <c r="AR1581" s="34" t="str">
        <f aca="false">IF($B1581="","",COUNTIF($F1581:$AJ1581,"CO"))</f>
        <v/>
      </c>
      <c r="AS1581" s="34" t="str">
        <f aca="false">IF($B1581="","",COUNTIF($F1581:$AJ1581,"HPL"))</f>
        <v/>
      </c>
      <c r="AT1581" s="34" t="str">
        <f aca="false">IF($B1581="","",COUNTIF($F1581:$AJ1581,"HCL"))</f>
        <v/>
      </c>
      <c r="AU1581" s="34" t="str">
        <f aca="false">IF($B1581="","",COUNTIF($F1581:$AJ1581,"WO"))</f>
        <v/>
      </c>
      <c r="AV1581" s="34" t="str">
        <f aca="false">IF($B1581="","",COUNTIF($F1581:$AJ1581,"PH"))</f>
        <v/>
      </c>
      <c r="AW1581" s="34" t="str">
        <f aca="false">IF($B1581="","",COUNTIF($F1581:$AJ1581,"TR"))</f>
        <v/>
      </c>
      <c r="AX1581" s="35" t="str">
        <f aca="false">IF($B1581="","",AO1581+AS1581/2)</f>
        <v/>
      </c>
      <c r="AY1581" s="35" t="str">
        <f aca="false">IF($B1581="","",AQ1581)</f>
        <v/>
      </c>
      <c r="AZ1581" s="35" t="str">
        <f aca="false">IF($B1581="","",AP1581+AT1581/2)</f>
        <v/>
      </c>
      <c r="BA1581" s="35" t="str">
        <f aca="false">IF($B1581="","",AK1581+AN1581+AM1581/2+AO1581+AP1581+AQ1581+AR1581+AS1581+AT1581+AU1581+AV1581+AW1581)</f>
        <v/>
      </c>
      <c r="BB1581" s="35" t="str">
        <f aca="false">IF($B1581="","",MAX(0,AN1581-Settings!$C$16)*Settings!$C$17)</f>
        <v/>
      </c>
      <c r="BC1581" s="35" t="str">
        <f aca="false">IF($B1581="","",BA1581-BB1581)</f>
        <v/>
      </c>
      <c r="BD1581" s="35" t="str">
        <f aca="false">IF(OR($B1581="",$A1581=""),"",DAY(EOMONTH($A1581,0))-COUNTA($F1581:$AJ1581))</f>
        <v/>
      </c>
    </row>
    <row r="1582" customFormat="false" ht="15" hidden="false" customHeight="false" outlineLevel="0" collapsed="false">
      <c r="A1582" s="32"/>
      <c r="B1582" s="29"/>
      <c r="C1582" s="10" t="str">
        <f aca="false">IF($B1582="","",IFERROR(INDEX(M_name,MATCH($B1582,M_emp,0)),"Code not found"))</f>
        <v/>
      </c>
      <c r="D1582" s="10" t="str">
        <f aca="false">IF($B1582="","",IFERROR(INDEX(M_dept,MATCH($B1582,M_emp,0)),""))</f>
        <v/>
      </c>
      <c r="E1582" s="10" t="str">
        <f aca="false">IF($B1582="","",IFERROR(INDEX(M_loc,MATCH($B1582,M_emp,0)),""))</f>
        <v/>
      </c>
      <c r="F1582" s="33"/>
      <c r="G1582" s="33"/>
      <c r="H1582" s="33"/>
      <c r="I1582" s="33"/>
      <c r="J1582" s="33"/>
      <c r="K1582" s="33"/>
      <c r="L1582" s="33"/>
      <c r="M1582" s="33"/>
      <c r="N1582" s="33"/>
      <c r="O1582" s="33"/>
      <c r="P1582" s="33"/>
      <c r="Q1582" s="33"/>
      <c r="R1582" s="33"/>
      <c r="S1582" s="33"/>
      <c r="T1582" s="33"/>
      <c r="U1582" s="33"/>
      <c r="V1582" s="33"/>
      <c r="W1582" s="33"/>
      <c r="X1582" s="33"/>
      <c r="Y1582" s="33"/>
      <c r="Z1582" s="33"/>
      <c r="AA1582" s="33"/>
      <c r="AB1582" s="33"/>
      <c r="AC1582" s="33"/>
      <c r="AD1582" s="33"/>
      <c r="AE1582" s="33"/>
      <c r="AF1582" s="33"/>
      <c r="AG1582" s="33"/>
      <c r="AH1582" s="33"/>
      <c r="AI1582" s="33"/>
      <c r="AJ1582" s="33"/>
      <c r="AK1582" s="34" t="str">
        <f aca="false">IF($B1582="","",COUNTIF($F1582:$AJ1582,"P"))</f>
        <v/>
      </c>
      <c r="AL1582" s="34" t="str">
        <f aca="false">IF($B1582="","",COUNTIF($F1582:$AJ1582,"A"))</f>
        <v/>
      </c>
      <c r="AM1582" s="34" t="str">
        <f aca="false">IF($B1582="","",COUNTIF($F1582:$AJ1582,"HA"))</f>
        <v/>
      </c>
      <c r="AN1582" s="34" t="str">
        <f aca="false">IF($B1582="","",COUNTIF($F1582:$AJ1582,"L"))</f>
        <v/>
      </c>
      <c r="AO1582" s="34" t="str">
        <f aca="false">IF($B1582="","",COUNTIF($F1582:$AJ1582,"PL"))</f>
        <v/>
      </c>
      <c r="AP1582" s="34" t="str">
        <f aca="false">IF($B1582="","",COUNTIF($F1582:$AJ1582,"CL"))</f>
        <v/>
      </c>
      <c r="AQ1582" s="34" t="str">
        <f aca="false">IF($B1582="","",COUNTIF($F1582:$AJ1582,"SL"))</f>
        <v/>
      </c>
      <c r="AR1582" s="34" t="str">
        <f aca="false">IF($B1582="","",COUNTIF($F1582:$AJ1582,"CO"))</f>
        <v/>
      </c>
      <c r="AS1582" s="34" t="str">
        <f aca="false">IF($B1582="","",COUNTIF($F1582:$AJ1582,"HPL"))</f>
        <v/>
      </c>
      <c r="AT1582" s="34" t="str">
        <f aca="false">IF($B1582="","",COUNTIF($F1582:$AJ1582,"HCL"))</f>
        <v/>
      </c>
      <c r="AU1582" s="34" t="str">
        <f aca="false">IF($B1582="","",COUNTIF($F1582:$AJ1582,"WO"))</f>
        <v/>
      </c>
      <c r="AV1582" s="34" t="str">
        <f aca="false">IF($B1582="","",COUNTIF($F1582:$AJ1582,"PH"))</f>
        <v/>
      </c>
      <c r="AW1582" s="34" t="str">
        <f aca="false">IF($B1582="","",COUNTIF($F1582:$AJ1582,"TR"))</f>
        <v/>
      </c>
      <c r="AX1582" s="35" t="str">
        <f aca="false">IF($B1582="","",AO1582+AS1582/2)</f>
        <v/>
      </c>
      <c r="AY1582" s="35" t="str">
        <f aca="false">IF($B1582="","",AQ1582)</f>
        <v/>
      </c>
      <c r="AZ1582" s="35" t="str">
        <f aca="false">IF($B1582="","",AP1582+AT1582/2)</f>
        <v/>
      </c>
      <c r="BA1582" s="35" t="str">
        <f aca="false">IF($B1582="","",AK1582+AN1582+AM1582/2+AO1582+AP1582+AQ1582+AR1582+AS1582+AT1582+AU1582+AV1582+AW1582)</f>
        <v/>
      </c>
      <c r="BB1582" s="35" t="str">
        <f aca="false">IF($B1582="","",MAX(0,AN1582-Settings!$C$16)*Settings!$C$17)</f>
        <v/>
      </c>
      <c r="BC1582" s="35" t="str">
        <f aca="false">IF($B1582="","",BA1582-BB1582)</f>
        <v/>
      </c>
      <c r="BD1582" s="35" t="str">
        <f aca="false">IF(OR($B1582="",$A1582=""),"",DAY(EOMONTH($A1582,0))-COUNTA($F1582:$AJ1582))</f>
        <v/>
      </c>
    </row>
    <row r="1583" customFormat="false" ht="15" hidden="false" customHeight="false" outlineLevel="0" collapsed="false">
      <c r="A1583" s="32"/>
      <c r="B1583" s="29"/>
      <c r="C1583" s="10" t="str">
        <f aca="false">IF($B1583="","",IFERROR(INDEX(M_name,MATCH($B1583,M_emp,0)),"Code not found"))</f>
        <v/>
      </c>
      <c r="D1583" s="10" t="str">
        <f aca="false">IF($B1583="","",IFERROR(INDEX(M_dept,MATCH($B1583,M_emp,0)),""))</f>
        <v/>
      </c>
      <c r="E1583" s="10" t="str">
        <f aca="false">IF($B1583="","",IFERROR(INDEX(M_loc,MATCH($B1583,M_emp,0)),""))</f>
        <v/>
      </c>
      <c r="F1583" s="33"/>
      <c r="G1583" s="33"/>
      <c r="H1583" s="33"/>
      <c r="I1583" s="33"/>
      <c r="J1583" s="33"/>
      <c r="K1583" s="33"/>
      <c r="L1583" s="33"/>
      <c r="M1583" s="33"/>
      <c r="N1583" s="33"/>
      <c r="O1583" s="33"/>
      <c r="P1583" s="33"/>
      <c r="Q1583" s="33"/>
      <c r="R1583" s="33"/>
      <c r="S1583" s="33"/>
      <c r="T1583" s="33"/>
      <c r="U1583" s="33"/>
      <c r="V1583" s="33"/>
      <c r="W1583" s="33"/>
      <c r="X1583" s="33"/>
      <c r="Y1583" s="33"/>
      <c r="Z1583" s="33"/>
      <c r="AA1583" s="33"/>
      <c r="AB1583" s="33"/>
      <c r="AC1583" s="33"/>
      <c r="AD1583" s="33"/>
      <c r="AE1583" s="33"/>
      <c r="AF1583" s="33"/>
      <c r="AG1583" s="33"/>
      <c r="AH1583" s="33"/>
      <c r="AI1583" s="33"/>
      <c r="AJ1583" s="33"/>
      <c r="AK1583" s="34" t="str">
        <f aca="false">IF($B1583="","",COUNTIF($F1583:$AJ1583,"P"))</f>
        <v/>
      </c>
      <c r="AL1583" s="34" t="str">
        <f aca="false">IF($B1583="","",COUNTIF($F1583:$AJ1583,"A"))</f>
        <v/>
      </c>
      <c r="AM1583" s="34" t="str">
        <f aca="false">IF($B1583="","",COUNTIF($F1583:$AJ1583,"HA"))</f>
        <v/>
      </c>
      <c r="AN1583" s="34" t="str">
        <f aca="false">IF($B1583="","",COUNTIF($F1583:$AJ1583,"L"))</f>
        <v/>
      </c>
      <c r="AO1583" s="34" t="str">
        <f aca="false">IF($B1583="","",COUNTIF($F1583:$AJ1583,"PL"))</f>
        <v/>
      </c>
      <c r="AP1583" s="34" t="str">
        <f aca="false">IF($B1583="","",COUNTIF($F1583:$AJ1583,"CL"))</f>
        <v/>
      </c>
      <c r="AQ1583" s="34" t="str">
        <f aca="false">IF($B1583="","",COUNTIF($F1583:$AJ1583,"SL"))</f>
        <v/>
      </c>
      <c r="AR1583" s="34" t="str">
        <f aca="false">IF($B1583="","",COUNTIF($F1583:$AJ1583,"CO"))</f>
        <v/>
      </c>
      <c r="AS1583" s="34" t="str">
        <f aca="false">IF($B1583="","",COUNTIF($F1583:$AJ1583,"HPL"))</f>
        <v/>
      </c>
      <c r="AT1583" s="34" t="str">
        <f aca="false">IF($B1583="","",COUNTIF($F1583:$AJ1583,"HCL"))</f>
        <v/>
      </c>
      <c r="AU1583" s="34" t="str">
        <f aca="false">IF($B1583="","",COUNTIF($F1583:$AJ1583,"WO"))</f>
        <v/>
      </c>
      <c r="AV1583" s="34" t="str">
        <f aca="false">IF($B1583="","",COUNTIF($F1583:$AJ1583,"PH"))</f>
        <v/>
      </c>
      <c r="AW1583" s="34" t="str">
        <f aca="false">IF($B1583="","",COUNTIF($F1583:$AJ1583,"TR"))</f>
        <v/>
      </c>
      <c r="AX1583" s="35" t="str">
        <f aca="false">IF($B1583="","",AO1583+AS1583/2)</f>
        <v/>
      </c>
      <c r="AY1583" s="35" t="str">
        <f aca="false">IF($B1583="","",AQ1583)</f>
        <v/>
      </c>
      <c r="AZ1583" s="35" t="str">
        <f aca="false">IF($B1583="","",AP1583+AT1583/2)</f>
        <v/>
      </c>
      <c r="BA1583" s="35" t="str">
        <f aca="false">IF($B1583="","",AK1583+AN1583+AM1583/2+AO1583+AP1583+AQ1583+AR1583+AS1583+AT1583+AU1583+AV1583+AW1583)</f>
        <v/>
      </c>
      <c r="BB1583" s="35" t="str">
        <f aca="false">IF($B1583="","",MAX(0,AN1583-Settings!$C$16)*Settings!$C$17)</f>
        <v/>
      </c>
      <c r="BC1583" s="35" t="str">
        <f aca="false">IF($B1583="","",BA1583-BB1583)</f>
        <v/>
      </c>
      <c r="BD1583" s="35" t="str">
        <f aca="false">IF(OR($B1583="",$A1583=""),"",DAY(EOMONTH($A1583,0))-COUNTA($F1583:$AJ1583))</f>
        <v/>
      </c>
    </row>
    <row r="1584" customFormat="false" ht="15" hidden="false" customHeight="false" outlineLevel="0" collapsed="false">
      <c r="A1584" s="32"/>
      <c r="B1584" s="29"/>
      <c r="C1584" s="10" t="str">
        <f aca="false">IF($B1584="","",IFERROR(INDEX(M_name,MATCH($B1584,M_emp,0)),"Code not found"))</f>
        <v/>
      </c>
      <c r="D1584" s="10" t="str">
        <f aca="false">IF($B1584="","",IFERROR(INDEX(M_dept,MATCH($B1584,M_emp,0)),""))</f>
        <v/>
      </c>
      <c r="E1584" s="10" t="str">
        <f aca="false">IF($B1584="","",IFERROR(INDEX(M_loc,MATCH($B1584,M_emp,0)),""))</f>
        <v/>
      </c>
      <c r="F1584" s="33"/>
      <c r="G1584" s="33"/>
      <c r="H1584" s="33"/>
      <c r="I1584" s="33"/>
      <c r="J1584" s="33"/>
      <c r="K1584" s="33"/>
      <c r="L1584" s="33"/>
      <c r="M1584" s="33"/>
      <c r="N1584" s="33"/>
      <c r="O1584" s="33"/>
      <c r="P1584" s="33"/>
      <c r="Q1584" s="33"/>
      <c r="R1584" s="33"/>
      <c r="S1584" s="33"/>
      <c r="T1584" s="33"/>
      <c r="U1584" s="33"/>
      <c r="V1584" s="33"/>
      <c r="W1584" s="33"/>
      <c r="X1584" s="33"/>
      <c r="Y1584" s="33"/>
      <c r="Z1584" s="33"/>
      <c r="AA1584" s="33"/>
      <c r="AB1584" s="33"/>
      <c r="AC1584" s="33"/>
      <c r="AD1584" s="33"/>
      <c r="AE1584" s="33"/>
      <c r="AF1584" s="33"/>
      <c r="AG1584" s="33"/>
      <c r="AH1584" s="33"/>
      <c r="AI1584" s="33"/>
      <c r="AJ1584" s="33"/>
      <c r="AK1584" s="34" t="str">
        <f aca="false">IF($B1584="","",COUNTIF($F1584:$AJ1584,"P"))</f>
        <v/>
      </c>
      <c r="AL1584" s="34" t="str">
        <f aca="false">IF($B1584="","",COUNTIF($F1584:$AJ1584,"A"))</f>
        <v/>
      </c>
      <c r="AM1584" s="34" t="str">
        <f aca="false">IF($B1584="","",COUNTIF($F1584:$AJ1584,"HA"))</f>
        <v/>
      </c>
      <c r="AN1584" s="34" t="str">
        <f aca="false">IF($B1584="","",COUNTIF($F1584:$AJ1584,"L"))</f>
        <v/>
      </c>
      <c r="AO1584" s="34" t="str">
        <f aca="false">IF($B1584="","",COUNTIF($F1584:$AJ1584,"PL"))</f>
        <v/>
      </c>
      <c r="AP1584" s="34" t="str">
        <f aca="false">IF($B1584="","",COUNTIF($F1584:$AJ1584,"CL"))</f>
        <v/>
      </c>
      <c r="AQ1584" s="34" t="str">
        <f aca="false">IF($B1584="","",COUNTIF($F1584:$AJ1584,"SL"))</f>
        <v/>
      </c>
      <c r="AR1584" s="34" t="str">
        <f aca="false">IF($B1584="","",COUNTIF($F1584:$AJ1584,"CO"))</f>
        <v/>
      </c>
      <c r="AS1584" s="34" t="str">
        <f aca="false">IF($B1584="","",COUNTIF($F1584:$AJ1584,"HPL"))</f>
        <v/>
      </c>
      <c r="AT1584" s="34" t="str">
        <f aca="false">IF($B1584="","",COUNTIF($F1584:$AJ1584,"HCL"))</f>
        <v/>
      </c>
      <c r="AU1584" s="34" t="str">
        <f aca="false">IF($B1584="","",COUNTIF($F1584:$AJ1584,"WO"))</f>
        <v/>
      </c>
      <c r="AV1584" s="34" t="str">
        <f aca="false">IF($B1584="","",COUNTIF($F1584:$AJ1584,"PH"))</f>
        <v/>
      </c>
      <c r="AW1584" s="34" t="str">
        <f aca="false">IF($B1584="","",COUNTIF($F1584:$AJ1584,"TR"))</f>
        <v/>
      </c>
      <c r="AX1584" s="35" t="str">
        <f aca="false">IF($B1584="","",AO1584+AS1584/2)</f>
        <v/>
      </c>
      <c r="AY1584" s="35" t="str">
        <f aca="false">IF($B1584="","",AQ1584)</f>
        <v/>
      </c>
      <c r="AZ1584" s="35" t="str">
        <f aca="false">IF($B1584="","",AP1584+AT1584/2)</f>
        <v/>
      </c>
      <c r="BA1584" s="35" t="str">
        <f aca="false">IF($B1584="","",AK1584+AN1584+AM1584/2+AO1584+AP1584+AQ1584+AR1584+AS1584+AT1584+AU1584+AV1584+AW1584)</f>
        <v/>
      </c>
      <c r="BB1584" s="35" t="str">
        <f aca="false">IF($B1584="","",MAX(0,AN1584-Settings!$C$16)*Settings!$C$17)</f>
        <v/>
      </c>
      <c r="BC1584" s="35" t="str">
        <f aca="false">IF($B1584="","",BA1584-BB1584)</f>
        <v/>
      </c>
      <c r="BD1584" s="35" t="str">
        <f aca="false">IF(OR($B1584="",$A1584=""),"",DAY(EOMONTH($A1584,0))-COUNTA($F1584:$AJ1584))</f>
        <v/>
      </c>
    </row>
    <row r="1585" customFormat="false" ht="15" hidden="false" customHeight="false" outlineLevel="0" collapsed="false">
      <c r="A1585" s="32"/>
      <c r="B1585" s="29"/>
      <c r="C1585" s="10" t="str">
        <f aca="false">IF($B1585="","",IFERROR(INDEX(M_name,MATCH($B1585,M_emp,0)),"Code not found"))</f>
        <v/>
      </c>
      <c r="D1585" s="10" t="str">
        <f aca="false">IF($B1585="","",IFERROR(INDEX(M_dept,MATCH($B1585,M_emp,0)),""))</f>
        <v/>
      </c>
      <c r="E1585" s="10" t="str">
        <f aca="false">IF($B1585="","",IFERROR(INDEX(M_loc,MATCH($B1585,M_emp,0)),""))</f>
        <v/>
      </c>
      <c r="F1585" s="33"/>
      <c r="G1585" s="33"/>
      <c r="H1585" s="33"/>
      <c r="I1585" s="33"/>
      <c r="J1585" s="33"/>
      <c r="K1585" s="33"/>
      <c r="L1585" s="33"/>
      <c r="M1585" s="33"/>
      <c r="N1585" s="33"/>
      <c r="O1585" s="33"/>
      <c r="P1585" s="33"/>
      <c r="Q1585" s="33"/>
      <c r="R1585" s="33"/>
      <c r="S1585" s="33"/>
      <c r="T1585" s="33"/>
      <c r="U1585" s="33"/>
      <c r="V1585" s="33"/>
      <c r="W1585" s="33"/>
      <c r="X1585" s="33"/>
      <c r="Y1585" s="33"/>
      <c r="Z1585" s="33"/>
      <c r="AA1585" s="33"/>
      <c r="AB1585" s="33"/>
      <c r="AC1585" s="33"/>
      <c r="AD1585" s="33"/>
      <c r="AE1585" s="33"/>
      <c r="AF1585" s="33"/>
      <c r="AG1585" s="33"/>
      <c r="AH1585" s="33"/>
      <c r="AI1585" s="33"/>
      <c r="AJ1585" s="33"/>
      <c r="AK1585" s="34" t="str">
        <f aca="false">IF($B1585="","",COUNTIF($F1585:$AJ1585,"P"))</f>
        <v/>
      </c>
      <c r="AL1585" s="34" t="str">
        <f aca="false">IF($B1585="","",COUNTIF($F1585:$AJ1585,"A"))</f>
        <v/>
      </c>
      <c r="AM1585" s="34" t="str">
        <f aca="false">IF($B1585="","",COUNTIF($F1585:$AJ1585,"HA"))</f>
        <v/>
      </c>
      <c r="AN1585" s="34" t="str">
        <f aca="false">IF($B1585="","",COUNTIF($F1585:$AJ1585,"L"))</f>
        <v/>
      </c>
      <c r="AO1585" s="34" t="str">
        <f aca="false">IF($B1585="","",COUNTIF($F1585:$AJ1585,"PL"))</f>
        <v/>
      </c>
      <c r="AP1585" s="34" t="str">
        <f aca="false">IF($B1585="","",COUNTIF($F1585:$AJ1585,"CL"))</f>
        <v/>
      </c>
      <c r="AQ1585" s="34" t="str">
        <f aca="false">IF($B1585="","",COUNTIF($F1585:$AJ1585,"SL"))</f>
        <v/>
      </c>
      <c r="AR1585" s="34" t="str">
        <f aca="false">IF($B1585="","",COUNTIF($F1585:$AJ1585,"CO"))</f>
        <v/>
      </c>
      <c r="AS1585" s="34" t="str">
        <f aca="false">IF($B1585="","",COUNTIF($F1585:$AJ1585,"HPL"))</f>
        <v/>
      </c>
      <c r="AT1585" s="34" t="str">
        <f aca="false">IF($B1585="","",COUNTIF($F1585:$AJ1585,"HCL"))</f>
        <v/>
      </c>
      <c r="AU1585" s="34" t="str">
        <f aca="false">IF($B1585="","",COUNTIF($F1585:$AJ1585,"WO"))</f>
        <v/>
      </c>
      <c r="AV1585" s="34" t="str">
        <f aca="false">IF($B1585="","",COUNTIF($F1585:$AJ1585,"PH"))</f>
        <v/>
      </c>
      <c r="AW1585" s="34" t="str">
        <f aca="false">IF($B1585="","",COUNTIF($F1585:$AJ1585,"TR"))</f>
        <v/>
      </c>
      <c r="AX1585" s="35" t="str">
        <f aca="false">IF($B1585="","",AO1585+AS1585/2)</f>
        <v/>
      </c>
      <c r="AY1585" s="35" t="str">
        <f aca="false">IF($B1585="","",AQ1585)</f>
        <v/>
      </c>
      <c r="AZ1585" s="35" t="str">
        <f aca="false">IF($B1585="","",AP1585+AT1585/2)</f>
        <v/>
      </c>
      <c r="BA1585" s="35" t="str">
        <f aca="false">IF($B1585="","",AK1585+AN1585+AM1585/2+AO1585+AP1585+AQ1585+AR1585+AS1585+AT1585+AU1585+AV1585+AW1585)</f>
        <v/>
      </c>
      <c r="BB1585" s="35" t="str">
        <f aca="false">IF($B1585="","",MAX(0,AN1585-Settings!$C$16)*Settings!$C$17)</f>
        <v/>
      </c>
      <c r="BC1585" s="35" t="str">
        <f aca="false">IF($B1585="","",BA1585-BB1585)</f>
        <v/>
      </c>
      <c r="BD1585" s="35" t="str">
        <f aca="false">IF(OR($B1585="",$A1585=""),"",DAY(EOMONTH($A1585,0))-COUNTA($F1585:$AJ1585))</f>
        <v/>
      </c>
    </row>
    <row r="1586" customFormat="false" ht="15" hidden="false" customHeight="false" outlineLevel="0" collapsed="false">
      <c r="A1586" s="32"/>
      <c r="B1586" s="29"/>
      <c r="C1586" s="10" t="str">
        <f aca="false">IF($B1586="","",IFERROR(INDEX(M_name,MATCH($B1586,M_emp,0)),"Code not found"))</f>
        <v/>
      </c>
      <c r="D1586" s="10" t="str">
        <f aca="false">IF($B1586="","",IFERROR(INDEX(M_dept,MATCH($B1586,M_emp,0)),""))</f>
        <v/>
      </c>
      <c r="E1586" s="10" t="str">
        <f aca="false">IF($B1586="","",IFERROR(INDEX(M_loc,MATCH($B1586,M_emp,0)),""))</f>
        <v/>
      </c>
      <c r="F1586" s="33"/>
      <c r="G1586" s="33"/>
      <c r="H1586" s="33"/>
      <c r="I1586" s="33"/>
      <c r="J1586" s="33"/>
      <c r="K1586" s="33"/>
      <c r="L1586" s="33"/>
      <c r="M1586" s="33"/>
      <c r="N1586" s="33"/>
      <c r="O1586" s="33"/>
      <c r="P1586" s="33"/>
      <c r="Q1586" s="33"/>
      <c r="R1586" s="33"/>
      <c r="S1586" s="33"/>
      <c r="T1586" s="33"/>
      <c r="U1586" s="33"/>
      <c r="V1586" s="33"/>
      <c r="W1586" s="33"/>
      <c r="X1586" s="33"/>
      <c r="Y1586" s="33"/>
      <c r="Z1586" s="33"/>
      <c r="AA1586" s="33"/>
      <c r="AB1586" s="33"/>
      <c r="AC1586" s="33"/>
      <c r="AD1586" s="33"/>
      <c r="AE1586" s="33"/>
      <c r="AF1586" s="33"/>
      <c r="AG1586" s="33"/>
      <c r="AH1586" s="33"/>
      <c r="AI1586" s="33"/>
      <c r="AJ1586" s="33"/>
      <c r="AK1586" s="34" t="str">
        <f aca="false">IF($B1586="","",COUNTIF($F1586:$AJ1586,"P"))</f>
        <v/>
      </c>
      <c r="AL1586" s="34" t="str">
        <f aca="false">IF($B1586="","",COUNTIF($F1586:$AJ1586,"A"))</f>
        <v/>
      </c>
      <c r="AM1586" s="34" t="str">
        <f aca="false">IF($B1586="","",COUNTIF($F1586:$AJ1586,"HA"))</f>
        <v/>
      </c>
      <c r="AN1586" s="34" t="str">
        <f aca="false">IF($B1586="","",COUNTIF($F1586:$AJ1586,"L"))</f>
        <v/>
      </c>
      <c r="AO1586" s="34" t="str">
        <f aca="false">IF($B1586="","",COUNTIF($F1586:$AJ1586,"PL"))</f>
        <v/>
      </c>
      <c r="AP1586" s="34" t="str">
        <f aca="false">IF($B1586="","",COUNTIF($F1586:$AJ1586,"CL"))</f>
        <v/>
      </c>
      <c r="AQ1586" s="34" t="str">
        <f aca="false">IF($B1586="","",COUNTIF($F1586:$AJ1586,"SL"))</f>
        <v/>
      </c>
      <c r="AR1586" s="34" t="str">
        <f aca="false">IF($B1586="","",COUNTIF($F1586:$AJ1586,"CO"))</f>
        <v/>
      </c>
      <c r="AS1586" s="34" t="str">
        <f aca="false">IF($B1586="","",COUNTIF($F1586:$AJ1586,"HPL"))</f>
        <v/>
      </c>
      <c r="AT1586" s="34" t="str">
        <f aca="false">IF($B1586="","",COUNTIF($F1586:$AJ1586,"HCL"))</f>
        <v/>
      </c>
      <c r="AU1586" s="34" t="str">
        <f aca="false">IF($B1586="","",COUNTIF($F1586:$AJ1586,"WO"))</f>
        <v/>
      </c>
      <c r="AV1586" s="34" t="str">
        <f aca="false">IF($B1586="","",COUNTIF($F1586:$AJ1586,"PH"))</f>
        <v/>
      </c>
      <c r="AW1586" s="34" t="str">
        <f aca="false">IF($B1586="","",COUNTIF($F1586:$AJ1586,"TR"))</f>
        <v/>
      </c>
      <c r="AX1586" s="35" t="str">
        <f aca="false">IF($B1586="","",AO1586+AS1586/2)</f>
        <v/>
      </c>
      <c r="AY1586" s="35" t="str">
        <f aca="false">IF($B1586="","",AQ1586)</f>
        <v/>
      </c>
      <c r="AZ1586" s="35" t="str">
        <f aca="false">IF($B1586="","",AP1586+AT1586/2)</f>
        <v/>
      </c>
      <c r="BA1586" s="35" t="str">
        <f aca="false">IF($B1586="","",AK1586+AN1586+AM1586/2+AO1586+AP1586+AQ1586+AR1586+AS1586+AT1586+AU1586+AV1586+AW1586)</f>
        <v/>
      </c>
      <c r="BB1586" s="35" t="str">
        <f aca="false">IF($B1586="","",MAX(0,AN1586-Settings!$C$16)*Settings!$C$17)</f>
        <v/>
      </c>
      <c r="BC1586" s="35" t="str">
        <f aca="false">IF($B1586="","",BA1586-BB1586)</f>
        <v/>
      </c>
      <c r="BD1586" s="35" t="str">
        <f aca="false">IF(OR($B1586="",$A1586=""),"",DAY(EOMONTH($A1586,0))-COUNTA($F1586:$AJ1586))</f>
        <v/>
      </c>
    </row>
    <row r="1587" customFormat="false" ht="15" hidden="false" customHeight="false" outlineLevel="0" collapsed="false">
      <c r="A1587" s="32"/>
      <c r="B1587" s="29"/>
      <c r="C1587" s="10" t="str">
        <f aca="false">IF($B1587="","",IFERROR(INDEX(M_name,MATCH($B1587,M_emp,0)),"Code not found"))</f>
        <v/>
      </c>
      <c r="D1587" s="10" t="str">
        <f aca="false">IF($B1587="","",IFERROR(INDEX(M_dept,MATCH($B1587,M_emp,0)),""))</f>
        <v/>
      </c>
      <c r="E1587" s="10" t="str">
        <f aca="false">IF($B1587="","",IFERROR(INDEX(M_loc,MATCH($B1587,M_emp,0)),""))</f>
        <v/>
      </c>
      <c r="F1587" s="33"/>
      <c r="G1587" s="33"/>
      <c r="H1587" s="33"/>
      <c r="I1587" s="33"/>
      <c r="J1587" s="33"/>
      <c r="K1587" s="33"/>
      <c r="L1587" s="33"/>
      <c r="M1587" s="33"/>
      <c r="N1587" s="33"/>
      <c r="O1587" s="33"/>
      <c r="P1587" s="33"/>
      <c r="Q1587" s="33"/>
      <c r="R1587" s="33"/>
      <c r="S1587" s="33"/>
      <c r="T1587" s="33"/>
      <c r="U1587" s="33"/>
      <c r="V1587" s="33"/>
      <c r="W1587" s="33"/>
      <c r="X1587" s="33"/>
      <c r="Y1587" s="33"/>
      <c r="Z1587" s="33"/>
      <c r="AA1587" s="33"/>
      <c r="AB1587" s="33"/>
      <c r="AC1587" s="33"/>
      <c r="AD1587" s="33"/>
      <c r="AE1587" s="33"/>
      <c r="AF1587" s="33"/>
      <c r="AG1587" s="33"/>
      <c r="AH1587" s="33"/>
      <c r="AI1587" s="33"/>
      <c r="AJ1587" s="33"/>
      <c r="AK1587" s="34" t="str">
        <f aca="false">IF($B1587="","",COUNTIF($F1587:$AJ1587,"P"))</f>
        <v/>
      </c>
      <c r="AL1587" s="34" t="str">
        <f aca="false">IF($B1587="","",COUNTIF($F1587:$AJ1587,"A"))</f>
        <v/>
      </c>
      <c r="AM1587" s="34" t="str">
        <f aca="false">IF($B1587="","",COUNTIF($F1587:$AJ1587,"HA"))</f>
        <v/>
      </c>
      <c r="AN1587" s="34" t="str">
        <f aca="false">IF($B1587="","",COUNTIF($F1587:$AJ1587,"L"))</f>
        <v/>
      </c>
      <c r="AO1587" s="34" t="str">
        <f aca="false">IF($B1587="","",COUNTIF($F1587:$AJ1587,"PL"))</f>
        <v/>
      </c>
      <c r="AP1587" s="34" t="str">
        <f aca="false">IF($B1587="","",COUNTIF($F1587:$AJ1587,"CL"))</f>
        <v/>
      </c>
      <c r="AQ1587" s="34" t="str">
        <f aca="false">IF($B1587="","",COUNTIF($F1587:$AJ1587,"SL"))</f>
        <v/>
      </c>
      <c r="AR1587" s="34" t="str">
        <f aca="false">IF($B1587="","",COUNTIF($F1587:$AJ1587,"CO"))</f>
        <v/>
      </c>
      <c r="AS1587" s="34" t="str">
        <f aca="false">IF($B1587="","",COUNTIF($F1587:$AJ1587,"HPL"))</f>
        <v/>
      </c>
      <c r="AT1587" s="34" t="str">
        <f aca="false">IF($B1587="","",COUNTIF($F1587:$AJ1587,"HCL"))</f>
        <v/>
      </c>
      <c r="AU1587" s="34" t="str">
        <f aca="false">IF($B1587="","",COUNTIF($F1587:$AJ1587,"WO"))</f>
        <v/>
      </c>
      <c r="AV1587" s="34" t="str">
        <f aca="false">IF($B1587="","",COUNTIF($F1587:$AJ1587,"PH"))</f>
        <v/>
      </c>
      <c r="AW1587" s="34" t="str">
        <f aca="false">IF($B1587="","",COUNTIF($F1587:$AJ1587,"TR"))</f>
        <v/>
      </c>
      <c r="AX1587" s="35" t="str">
        <f aca="false">IF($B1587="","",AO1587+AS1587/2)</f>
        <v/>
      </c>
      <c r="AY1587" s="35" t="str">
        <f aca="false">IF($B1587="","",AQ1587)</f>
        <v/>
      </c>
      <c r="AZ1587" s="35" t="str">
        <f aca="false">IF($B1587="","",AP1587+AT1587/2)</f>
        <v/>
      </c>
      <c r="BA1587" s="35" t="str">
        <f aca="false">IF($B1587="","",AK1587+AN1587+AM1587/2+AO1587+AP1587+AQ1587+AR1587+AS1587+AT1587+AU1587+AV1587+AW1587)</f>
        <v/>
      </c>
      <c r="BB1587" s="35" t="str">
        <f aca="false">IF($B1587="","",MAX(0,AN1587-Settings!$C$16)*Settings!$C$17)</f>
        <v/>
      </c>
      <c r="BC1587" s="35" t="str">
        <f aca="false">IF($B1587="","",BA1587-BB1587)</f>
        <v/>
      </c>
      <c r="BD1587" s="35" t="str">
        <f aca="false">IF(OR($B1587="",$A1587=""),"",DAY(EOMONTH($A1587,0))-COUNTA($F1587:$AJ1587))</f>
        <v/>
      </c>
    </row>
    <row r="1588" customFormat="false" ht="15" hidden="false" customHeight="false" outlineLevel="0" collapsed="false">
      <c r="A1588" s="32"/>
      <c r="B1588" s="29"/>
      <c r="C1588" s="10" t="str">
        <f aca="false">IF($B1588="","",IFERROR(INDEX(M_name,MATCH($B1588,M_emp,0)),"Code not found"))</f>
        <v/>
      </c>
      <c r="D1588" s="10" t="str">
        <f aca="false">IF($B1588="","",IFERROR(INDEX(M_dept,MATCH($B1588,M_emp,0)),""))</f>
        <v/>
      </c>
      <c r="E1588" s="10" t="str">
        <f aca="false">IF($B1588="","",IFERROR(INDEX(M_loc,MATCH($B1588,M_emp,0)),""))</f>
        <v/>
      </c>
      <c r="F1588" s="33"/>
      <c r="G1588" s="33"/>
      <c r="H1588" s="33"/>
      <c r="I1588" s="33"/>
      <c r="J1588" s="33"/>
      <c r="K1588" s="33"/>
      <c r="L1588" s="33"/>
      <c r="M1588" s="33"/>
      <c r="N1588" s="33"/>
      <c r="O1588" s="33"/>
      <c r="P1588" s="33"/>
      <c r="Q1588" s="33"/>
      <c r="R1588" s="33"/>
      <c r="S1588" s="33"/>
      <c r="T1588" s="33"/>
      <c r="U1588" s="33"/>
      <c r="V1588" s="33"/>
      <c r="W1588" s="33"/>
      <c r="X1588" s="33"/>
      <c r="Y1588" s="33"/>
      <c r="Z1588" s="33"/>
      <c r="AA1588" s="33"/>
      <c r="AB1588" s="33"/>
      <c r="AC1588" s="33"/>
      <c r="AD1588" s="33"/>
      <c r="AE1588" s="33"/>
      <c r="AF1588" s="33"/>
      <c r="AG1588" s="33"/>
      <c r="AH1588" s="33"/>
      <c r="AI1588" s="33"/>
      <c r="AJ1588" s="33"/>
      <c r="AK1588" s="34" t="str">
        <f aca="false">IF($B1588="","",COUNTIF($F1588:$AJ1588,"P"))</f>
        <v/>
      </c>
      <c r="AL1588" s="34" t="str">
        <f aca="false">IF($B1588="","",COUNTIF($F1588:$AJ1588,"A"))</f>
        <v/>
      </c>
      <c r="AM1588" s="34" t="str">
        <f aca="false">IF($B1588="","",COUNTIF($F1588:$AJ1588,"HA"))</f>
        <v/>
      </c>
      <c r="AN1588" s="34" t="str">
        <f aca="false">IF($B1588="","",COUNTIF($F1588:$AJ1588,"L"))</f>
        <v/>
      </c>
      <c r="AO1588" s="34" t="str">
        <f aca="false">IF($B1588="","",COUNTIF($F1588:$AJ1588,"PL"))</f>
        <v/>
      </c>
      <c r="AP1588" s="34" t="str">
        <f aca="false">IF($B1588="","",COUNTIF($F1588:$AJ1588,"CL"))</f>
        <v/>
      </c>
      <c r="AQ1588" s="34" t="str">
        <f aca="false">IF($B1588="","",COUNTIF($F1588:$AJ1588,"SL"))</f>
        <v/>
      </c>
      <c r="AR1588" s="34" t="str">
        <f aca="false">IF($B1588="","",COUNTIF($F1588:$AJ1588,"CO"))</f>
        <v/>
      </c>
      <c r="AS1588" s="34" t="str">
        <f aca="false">IF($B1588="","",COUNTIF($F1588:$AJ1588,"HPL"))</f>
        <v/>
      </c>
      <c r="AT1588" s="34" t="str">
        <f aca="false">IF($B1588="","",COUNTIF($F1588:$AJ1588,"HCL"))</f>
        <v/>
      </c>
      <c r="AU1588" s="34" t="str">
        <f aca="false">IF($B1588="","",COUNTIF($F1588:$AJ1588,"WO"))</f>
        <v/>
      </c>
      <c r="AV1588" s="34" t="str">
        <f aca="false">IF($B1588="","",COUNTIF($F1588:$AJ1588,"PH"))</f>
        <v/>
      </c>
      <c r="AW1588" s="34" t="str">
        <f aca="false">IF($B1588="","",COUNTIF($F1588:$AJ1588,"TR"))</f>
        <v/>
      </c>
      <c r="AX1588" s="35" t="str">
        <f aca="false">IF($B1588="","",AO1588+AS1588/2)</f>
        <v/>
      </c>
      <c r="AY1588" s="35" t="str">
        <f aca="false">IF($B1588="","",AQ1588)</f>
        <v/>
      </c>
      <c r="AZ1588" s="35" t="str">
        <f aca="false">IF($B1588="","",AP1588+AT1588/2)</f>
        <v/>
      </c>
      <c r="BA1588" s="35" t="str">
        <f aca="false">IF($B1588="","",AK1588+AN1588+AM1588/2+AO1588+AP1588+AQ1588+AR1588+AS1588+AT1588+AU1588+AV1588+AW1588)</f>
        <v/>
      </c>
      <c r="BB1588" s="35" t="str">
        <f aca="false">IF($B1588="","",MAX(0,AN1588-Settings!$C$16)*Settings!$C$17)</f>
        <v/>
      </c>
      <c r="BC1588" s="35" t="str">
        <f aca="false">IF($B1588="","",BA1588-BB1588)</f>
        <v/>
      </c>
      <c r="BD1588" s="35" t="str">
        <f aca="false">IF(OR($B1588="",$A1588=""),"",DAY(EOMONTH($A1588,0))-COUNTA($F1588:$AJ1588))</f>
        <v/>
      </c>
    </row>
    <row r="1589" customFormat="false" ht="15" hidden="false" customHeight="false" outlineLevel="0" collapsed="false">
      <c r="A1589" s="32"/>
      <c r="B1589" s="29"/>
      <c r="C1589" s="10" t="str">
        <f aca="false">IF($B1589="","",IFERROR(INDEX(M_name,MATCH($B1589,M_emp,0)),"Code not found"))</f>
        <v/>
      </c>
      <c r="D1589" s="10" t="str">
        <f aca="false">IF($B1589="","",IFERROR(INDEX(M_dept,MATCH($B1589,M_emp,0)),""))</f>
        <v/>
      </c>
      <c r="E1589" s="10" t="str">
        <f aca="false">IF($B1589="","",IFERROR(INDEX(M_loc,MATCH($B1589,M_emp,0)),""))</f>
        <v/>
      </c>
      <c r="F1589" s="33"/>
      <c r="G1589" s="33"/>
      <c r="H1589" s="33"/>
      <c r="I1589" s="33"/>
      <c r="J1589" s="33"/>
      <c r="K1589" s="33"/>
      <c r="L1589" s="33"/>
      <c r="M1589" s="33"/>
      <c r="N1589" s="33"/>
      <c r="O1589" s="33"/>
      <c r="P1589" s="33"/>
      <c r="Q1589" s="33"/>
      <c r="R1589" s="33"/>
      <c r="S1589" s="33"/>
      <c r="T1589" s="33"/>
      <c r="U1589" s="33"/>
      <c r="V1589" s="33"/>
      <c r="W1589" s="33"/>
      <c r="X1589" s="33"/>
      <c r="Y1589" s="33"/>
      <c r="Z1589" s="33"/>
      <c r="AA1589" s="33"/>
      <c r="AB1589" s="33"/>
      <c r="AC1589" s="33"/>
      <c r="AD1589" s="33"/>
      <c r="AE1589" s="33"/>
      <c r="AF1589" s="33"/>
      <c r="AG1589" s="33"/>
      <c r="AH1589" s="33"/>
      <c r="AI1589" s="33"/>
      <c r="AJ1589" s="33"/>
      <c r="AK1589" s="34" t="str">
        <f aca="false">IF($B1589="","",COUNTIF($F1589:$AJ1589,"P"))</f>
        <v/>
      </c>
      <c r="AL1589" s="34" t="str">
        <f aca="false">IF($B1589="","",COUNTIF($F1589:$AJ1589,"A"))</f>
        <v/>
      </c>
      <c r="AM1589" s="34" t="str">
        <f aca="false">IF($B1589="","",COUNTIF($F1589:$AJ1589,"HA"))</f>
        <v/>
      </c>
      <c r="AN1589" s="34" t="str">
        <f aca="false">IF($B1589="","",COUNTIF($F1589:$AJ1589,"L"))</f>
        <v/>
      </c>
      <c r="AO1589" s="34" t="str">
        <f aca="false">IF($B1589="","",COUNTIF($F1589:$AJ1589,"PL"))</f>
        <v/>
      </c>
      <c r="AP1589" s="34" t="str">
        <f aca="false">IF($B1589="","",COUNTIF($F1589:$AJ1589,"CL"))</f>
        <v/>
      </c>
      <c r="AQ1589" s="34" t="str">
        <f aca="false">IF($B1589="","",COUNTIF($F1589:$AJ1589,"SL"))</f>
        <v/>
      </c>
      <c r="AR1589" s="34" t="str">
        <f aca="false">IF($B1589="","",COUNTIF($F1589:$AJ1589,"CO"))</f>
        <v/>
      </c>
      <c r="AS1589" s="34" t="str">
        <f aca="false">IF($B1589="","",COUNTIF($F1589:$AJ1589,"HPL"))</f>
        <v/>
      </c>
      <c r="AT1589" s="34" t="str">
        <f aca="false">IF($B1589="","",COUNTIF($F1589:$AJ1589,"HCL"))</f>
        <v/>
      </c>
      <c r="AU1589" s="34" t="str">
        <f aca="false">IF($B1589="","",COUNTIF($F1589:$AJ1589,"WO"))</f>
        <v/>
      </c>
      <c r="AV1589" s="34" t="str">
        <f aca="false">IF($B1589="","",COUNTIF($F1589:$AJ1589,"PH"))</f>
        <v/>
      </c>
      <c r="AW1589" s="34" t="str">
        <f aca="false">IF($B1589="","",COUNTIF($F1589:$AJ1589,"TR"))</f>
        <v/>
      </c>
      <c r="AX1589" s="35" t="str">
        <f aca="false">IF($B1589="","",AO1589+AS1589/2)</f>
        <v/>
      </c>
      <c r="AY1589" s="35" t="str">
        <f aca="false">IF($B1589="","",AQ1589)</f>
        <v/>
      </c>
      <c r="AZ1589" s="35" t="str">
        <f aca="false">IF($B1589="","",AP1589+AT1589/2)</f>
        <v/>
      </c>
      <c r="BA1589" s="35" t="str">
        <f aca="false">IF($B1589="","",AK1589+AN1589+AM1589/2+AO1589+AP1589+AQ1589+AR1589+AS1589+AT1589+AU1589+AV1589+AW1589)</f>
        <v/>
      </c>
      <c r="BB1589" s="35" t="str">
        <f aca="false">IF($B1589="","",MAX(0,AN1589-Settings!$C$16)*Settings!$C$17)</f>
        <v/>
      </c>
      <c r="BC1589" s="35" t="str">
        <f aca="false">IF($B1589="","",BA1589-BB1589)</f>
        <v/>
      </c>
      <c r="BD1589" s="35" t="str">
        <f aca="false">IF(OR($B1589="",$A1589=""),"",DAY(EOMONTH($A1589,0))-COUNTA($F1589:$AJ1589))</f>
        <v/>
      </c>
    </row>
    <row r="1590" customFormat="false" ht="15" hidden="false" customHeight="false" outlineLevel="0" collapsed="false">
      <c r="A1590" s="32"/>
      <c r="B1590" s="29"/>
      <c r="C1590" s="10" t="str">
        <f aca="false">IF($B1590="","",IFERROR(INDEX(M_name,MATCH($B1590,M_emp,0)),"Code not found"))</f>
        <v/>
      </c>
      <c r="D1590" s="10" t="str">
        <f aca="false">IF($B1590="","",IFERROR(INDEX(M_dept,MATCH($B1590,M_emp,0)),""))</f>
        <v/>
      </c>
      <c r="E1590" s="10" t="str">
        <f aca="false">IF($B1590="","",IFERROR(INDEX(M_loc,MATCH($B1590,M_emp,0)),""))</f>
        <v/>
      </c>
      <c r="F1590" s="33"/>
      <c r="G1590" s="33"/>
      <c r="H1590" s="33"/>
      <c r="I1590" s="33"/>
      <c r="J1590" s="33"/>
      <c r="K1590" s="33"/>
      <c r="L1590" s="33"/>
      <c r="M1590" s="33"/>
      <c r="N1590" s="33"/>
      <c r="O1590" s="33"/>
      <c r="P1590" s="33"/>
      <c r="Q1590" s="33"/>
      <c r="R1590" s="33"/>
      <c r="S1590" s="33"/>
      <c r="T1590" s="33"/>
      <c r="U1590" s="33"/>
      <c r="V1590" s="33"/>
      <c r="W1590" s="33"/>
      <c r="X1590" s="33"/>
      <c r="Y1590" s="33"/>
      <c r="Z1590" s="33"/>
      <c r="AA1590" s="33"/>
      <c r="AB1590" s="33"/>
      <c r="AC1590" s="33"/>
      <c r="AD1590" s="33"/>
      <c r="AE1590" s="33"/>
      <c r="AF1590" s="33"/>
      <c r="AG1590" s="33"/>
      <c r="AH1590" s="33"/>
      <c r="AI1590" s="33"/>
      <c r="AJ1590" s="33"/>
      <c r="AK1590" s="34" t="str">
        <f aca="false">IF($B1590="","",COUNTIF($F1590:$AJ1590,"P"))</f>
        <v/>
      </c>
      <c r="AL1590" s="34" t="str">
        <f aca="false">IF($B1590="","",COUNTIF($F1590:$AJ1590,"A"))</f>
        <v/>
      </c>
      <c r="AM1590" s="34" t="str">
        <f aca="false">IF($B1590="","",COUNTIF($F1590:$AJ1590,"HA"))</f>
        <v/>
      </c>
      <c r="AN1590" s="34" t="str">
        <f aca="false">IF($B1590="","",COUNTIF($F1590:$AJ1590,"L"))</f>
        <v/>
      </c>
      <c r="AO1590" s="34" t="str">
        <f aca="false">IF($B1590="","",COUNTIF($F1590:$AJ1590,"PL"))</f>
        <v/>
      </c>
      <c r="AP1590" s="34" t="str">
        <f aca="false">IF($B1590="","",COUNTIF($F1590:$AJ1590,"CL"))</f>
        <v/>
      </c>
      <c r="AQ1590" s="34" t="str">
        <f aca="false">IF($B1590="","",COUNTIF($F1590:$AJ1590,"SL"))</f>
        <v/>
      </c>
      <c r="AR1590" s="34" t="str">
        <f aca="false">IF($B1590="","",COUNTIF($F1590:$AJ1590,"CO"))</f>
        <v/>
      </c>
      <c r="AS1590" s="34" t="str">
        <f aca="false">IF($B1590="","",COUNTIF($F1590:$AJ1590,"HPL"))</f>
        <v/>
      </c>
      <c r="AT1590" s="34" t="str">
        <f aca="false">IF($B1590="","",COUNTIF($F1590:$AJ1590,"HCL"))</f>
        <v/>
      </c>
      <c r="AU1590" s="34" t="str">
        <f aca="false">IF($B1590="","",COUNTIF($F1590:$AJ1590,"WO"))</f>
        <v/>
      </c>
      <c r="AV1590" s="34" t="str">
        <f aca="false">IF($B1590="","",COUNTIF($F1590:$AJ1590,"PH"))</f>
        <v/>
      </c>
      <c r="AW1590" s="34" t="str">
        <f aca="false">IF($B1590="","",COUNTIF($F1590:$AJ1590,"TR"))</f>
        <v/>
      </c>
      <c r="AX1590" s="35" t="str">
        <f aca="false">IF($B1590="","",AO1590+AS1590/2)</f>
        <v/>
      </c>
      <c r="AY1590" s="35" t="str">
        <f aca="false">IF($B1590="","",AQ1590)</f>
        <v/>
      </c>
      <c r="AZ1590" s="35" t="str">
        <f aca="false">IF($B1590="","",AP1590+AT1590/2)</f>
        <v/>
      </c>
      <c r="BA1590" s="35" t="str">
        <f aca="false">IF($B1590="","",AK1590+AN1590+AM1590/2+AO1590+AP1590+AQ1590+AR1590+AS1590+AT1590+AU1590+AV1590+AW1590)</f>
        <v/>
      </c>
      <c r="BB1590" s="35" t="str">
        <f aca="false">IF($B1590="","",MAX(0,AN1590-Settings!$C$16)*Settings!$C$17)</f>
        <v/>
      </c>
      <c r="BC1590" s="35" t="str">
        <f aca="false">IF($B1590="","",BA1590-BB1590)</f>
        <v/>
      </c>
      <c r="BD1590" s="35" t="str">
        <f aca="false">IF(OR($B1590="",$A1590=""),"",DAY(EOMONTH($A1590,0))-COUNTA($F1590:$AJ1590))</f>
        <v/>
      </c>
    </row>
    <row r="1591" customFormat="false" ht="15" hidden="false" customHeight="false" outlineLevel="0" collapsed="false">
      <c r="A1591" s="32"/>
      <c r="B1591" s="29"/>
      <c r="C1591" s="10" t="str">
        <f aca="false">IF($B1591="","",IFERROR(INDEX(M_name,MATCH($B1591,M_emp,0)),"Code not found"))</f>
        <v/>
      </c>
      <c r="D1591" s="10" t="str">
        <f aca="false">IF($B1591="","",IFERROR(INDEX(M_dept,MATCH($B1591,M_emp,0)),""))</f>
        <v/>
      </c>
      <c r="E1591" s="10" t="str">
        <f aca="false">IF($B1591="","",IFERROR(INDEX(M_loc,MATCH($B1591,M_emp,0)),""))</f>
        <v/>
      </c>
      <c r="F1591" s="33"/>
      <c r="G1591" s="33"/>
      <c r="H1591" s="33"/>
      <c r="I1591" s="33"/>
      <c r="J1591" s="33"/>
      <c r="K1591" s="33"/>
      <c r="L1591" s="33"/>
      <c r="M1591" s="33"/>
      <c r="N1591" s="33"/>
      <c r="O1591" s="33"/>
      <c r="P1591" s="33"/>
      <c r="Q1591" s="33"/>
      <c r="R1591" s="33"/>
      <c r="S1591" s="33"/>
      <c r="T1591" s="33"/>
      <c r="U1591" s="33"/>
      <c r="V1591" s="33"/>
      <c r="W1591" s="33"/>
      <c r="X1591" s="33"/>
      <c r="Y1591" s="33"/>
      <c r="Z1591" s="33"/>
      <c r="AA1591" s="33"/>
      <c r="AB1591" s="33"/>
      <c r="AC1591" s="33"/>
      <c r="AD1591" s="33"/>
      <c r="AE1591" s="33"/>
      <c r="AF1591" s="33"/>
      <c r="AG1591" s="33"/>
      <c r="AH1591" s="33"/>
      <c r="AI1591" s="33"/>
      <c r="AJ1591" s="33"/>
      <c r="AK1591" s="34" t="str">
        <f aca="false">IF($B1591="","",COUNTIF($F1591:$AJ1591,"P"))</f>
        <v/>
      </c>
      <c r="AL1591" s="34" t="str">
        <f aca="false">IF($B1591="","",COUNTIF($F1591:$AJ1591,"A"))</f>
        <v/>
      </c>
      <c r="AM1591" s="34" t="str">
        <f aca="false">IF($B1591="","",COUNTIF($F1591:$AJ1591,"HA"))</f>
        <v/>
      </c>
      <c r="AN1591" s="34" t="str">
        <f aca="false">IF($B1591="","",COUNTIF($F1591:$AJ1591,"L"))</f>
        <v/>
      </c>
      <c r="AO1591" s="34" t="str">
        <f aca="false">IF($B1591="","",COUNTIF($F1591:$AJ1591,"PL"))</f>
        <v/>
      </c>
      <c r="AP1591" s="34" t="str">
        <f aca="false">IF($B1591="","",COUNTIF($F1591:$AJ1591,"CL"))</f>
        <v/>
      </c>
      <c r="AQ1591" s="34" t="str">
        <f aca="false">IF($B1591="","",COUNTIF($F1591:$AJ1591,"SL"))</f>
        <v/>
      </c>
      <c r="AR1591" s="34" t="str">
        <f aca="false">IF($B1591="","",COUNTIF($F1591:$AJ1591,"CO"))</f>
        <v/>
      </c>
      <c r="AS1591" s="34" t="str">
        <f aca="false">IF($B1591="","",COUNTIF($F1591:$AJ1591,"HPL"))</f>
        <v/>
      </c>
      <c r="AT1591" s="34" t="str">
        <f aca="false">IF($B1591="","",COUNTIF($F1591:$AJ1591,"HCL"))</f>
        <v/>
      </c>
      <c r="AU1591" s="34" t="str">
        <f aca="false">IF($B1591="","",COUNTIF($F1591:$AJ1591,"WO"))</f>
        <v/>
      </c>
      <c r="AV1591" s="34" t="str">
        <f aca="false">IF($B1591="","",COUNTIF($F1591:$AJ1591,"PH"))</f>
        <v/>
      </c>
      <c r="AW1591" s="34" t="str">
        <f aca="false">IF($B1591="","",COUNTIF($F1591:$AJ1591,"TR"))</f>
        <v/>
      </c>
      <c r="AX1591" s="35" t="str">
        <f aca="false">IF($B1591="","",AO1591+AS1591/2)</f>
        <v/>
      </c>
      <c r="AY1591" s="35" t="str">
        <f aca="false">IF($B1591="","",AQ1591)</f>
        <v/>
      </c>
      <c r="AZ1591" s="35" t="str">
        <f aca="false">IF($B1591="","",AP1591+AT1591/2)</f>
        <v/>
      </c>
      <c r="BA1591" s="35" t="str">
        <f aca="false">IF($B1591="","",AK1591+AN1591+AM1591/2+AO1591+AP1591+AQ1591+AR1591+AS1591+AT1591+AU1591+AV1591+AW1591)</f>
        <v/>
      </c>
      <c r="BB1591" s="35" t="str">
        <f aca="false">IF($B1591="","",MAX(0,AN1591-Settings!$C$16)*Settings!$C$17)</f>
        <v/>
      </c>
      <c r="BC1591" s="35" t="str">
        <f aca="false">IF($B1591="","",BA1591-BB1591)</f>
        <v/>
      </c>
      <c r="BD1591" s="35" t="str">
        <f aca="false">IF(OR($B1591="",$A1591=""),"",DAY(EOMONTH($A1591,0))-COUNTA($F1591:$AJ1591))</f>
        <v/>
      </c>
    </row>
    <row r="1592" customFormat="false" ht="15" hidden="false" customHeight="false" outlineLevel="0" collapsed="false">
      <c r="A1592" s="32"/>
      <c r="B1592" s="29"/>
      <c r="C1592" s="10" t="str">
        <f aca="false">IF($B1592="","",IFERROR(INDEX(M_name,MATCH($B1592,M_emp,0)),"Code not found"))</f>
        <v/>
      </c>
      <c r="D1592" s="10" t="str">
        <f aca="false">IF($B1592="","",IFERROR(INDEX(M_dept,MATCH($B1592,M_emp,0)),""))</f>
        <v/>
      </c>
      <c r="E1592" s="10" t="str">
        <f aca="false">IF($B1592="","",IFERROR(INDEX(M_loc,MATCH($B1592,M_emp,0)),""))</f>
        <v/>
      </c>
      <c r="F1592" s="33"/>
      <c r="G1592" s="33"/>
      <c r="H1592" s="33"/>
      <c r="I1592" s="33"/>
      <c r="J1592" s="33"/>
      <c r="K1592" s="33"/>
      <c r="L1592" s="33"/>
      <c r="M1592" s="33"/>
      <c r="N1592" s="33"/>
      <c r="O1592" s="33"/>
      <c r="P1592" s="33"/>
      <c r="Q1592" s="33"/>
      <c r="R1592" s="33"/>
      <c r="S1592" s="33"/>
      <c r="T1592" s="33"/>
      <c r="U1592" s="33"/>
      <c r="V1592" s="33"/>
      <c r="W1592" s="33"/>
      <c r="X1592" s="33"/>
      <c r="Y1592" s="33"/>
      <c r="Z1592" s="33"/>
      <c r="AA1592" s="33"/>
      <c r="AB1592" s="33"/>
      <c r="AC1592" s="33"/>
      <c r="AD1592" s="33"/>
      <c r="AE1592" s="33"/>
      <c r="AF1592" s="33"/>
      <c r="AG1592" s="33"/>
      <c r="AH1592" s="33"/>
      <c r="AI1592" s="33"/>
      <c r="AJ1592" s="33"/>
      <c r="AK1592" s="34" t="str">
        <f aca="false">IF($B1592="","",COUNTIF($F1592:$AJ1592,"P"))</f>
        <v/>
      </c>
      <c r="AL1592" s="34" t="str">
        <f aca="false">IF($B1592="","",COUNTIF($F1592:$AJ1592,"A"))</f>
        <v/>
      </c>
      <c r="AM1592" s="34" t="str">
        <f aca="false">IF($B1592="","",COUNTIF($F1592:$AJ1592,"HA"))</f>
        <v/>
      </c>
      <c r="AN1592" s="34" t="str">
        <f aca="false">IF($B1592="","",COUNTIF($F1592:$AJ1592,"L"))</f>
        <v/>
      </c>
      <c r="AO1592" s="34" t="str">
        <f aca="false">IF($B1592="","",COUNTIF($F1592:$AJ1592,"PL"))</f>
        <v/>
      </c>
      <c r="AP1592" s="34" t="str">
        <f aca="false">IF($B1592="","",COUNTIF($F1592:$AJ1592,"CL"))</f>
        <v/>
      </c>
      <c r="AQ1592" s="34" t="str">
        <f aca="false">IF($B1592="","",COUNTIF($F1592:$AJ1592,"SL"))</f>
        <v/>
      </c>
      <c r="AR1592" s="34" t="str">
        <f aca="false">IF($B1592="","",COUNTIF($F1592:$AJ1592,"CO"))</f>
        <v/>
      </c>
      <c r="AS1592" s="34" t="str">
        <f aca="false">IF($B1592="","",COUNTIF($F1592:$AJ1592,"HPL"))</f>
        <v/>
      </c>
      <c r="AT1592" s="34" t="str">
        <f aca="false">IF($B1592="","",COUNTIF($F1592:$AJ1592,"HCL"))</f>
        <v/>
      </c>
      <c r="AU1592" s="34" t="str">
        <f aca="false">IF($B1592="","",COUNTIF($F1592:$AJ1592,"WO"))</f>
        <v/>
      </c>
      <c r="AV1592" s="34" t="str">
        <f aca="false">IF($B1592="","",COUNTIF($F1592:$AJ1592,"PH"))</f>
        <v/>
      </c>
      <c r="AW1592" s="34" t="str">
        <f aca="false">IF($B1592="","",COUNTIF($F1592:$AJ1592,"TR"))</f>
        <v/>
      </c>
      <c r="AX1592" s="35" t="str">
        <f aca="false">IF($B1592="","",AO1592+AS1592/2)</f>
        <v/>
      </c>
      <c r="AY1592" s="35" t="str">
        <f aca="false">IF($B1592="","",AQ1592)</f>
        <v/>
      </c>
      <c r="AZ1592" s="35" t="str">
        <f aca="false">IF($B1592="","",AP1592+AT1592/2)</f>
        <v/>
      </c>
      <c r="BA1592" s="35" t="str">
        <f aca="false">IF($B1592="","",AK1592+AN1592+AM1592/2+AO1592+AP1592+AQ1592+AR1592+AS1592+AT1592+AU1592+AV1592+AW1592)</f>
        <v/>
      </c>
      <c r="BB1592" s="35" t="str">
        <f aca="false">IF($B1592="","",MAX(0,AN1592-Settings!$C$16)*Settings!$C$17)</f>
        <v/>
      </c>
      <c r="BC1592" s="35" t="str">
        <f aca="false">IF($B1592="","",BA1592-BB1592)</f>
        <v/>
      </c>
      <c r="BD1592" s="35" t="str">
        <f aca="false">IF(OR($B1592="",$A1592=""),"",DAY(EOMONTH($A1592,0))-COUNTA($F1592:$AJ1592))</f>
        <v/>
      </c>
    </row>
    <row r="1593" customFormat="false" ht="15" hidden="false" customHeight="false" outlineLevel="0" collapsed="false">
      <c r="A1593" s="32"/>
      <c r="B1593" s="29"/>
      <c r="C1593" s="10" t="str">
        <f aca="false">IF($B1593="","",IFERROR(INDEX(M_name,MATCH($B1593,M_emp,0)),"Code not found"))</f>
        <v/>
      </c>
      <c r="D1593" s="10" t="str">
        <f aca="false">IF($B1593="","",IFERROR(INDEX(M_dept,MATCH($B1593,M_emp,0)),""))</f>
        <v/>
      </c>
      <c r="E1593" s="10" t="str">
        <f aca="false">IF($B1593="","",IFERROR(INDEX(M_loc,MATCH($B1593,M_emp,0)),""))</f>
        <v/>
      </c>
      <c r="F1593" s="33"/>
      <c r="G1593" s="33"/>
      <c r="H1593" s="33"/>
      <c r="I1593" s="33"/>
      <c r="J1593" s="33"/>
      <c r="K1593" s="33"/>
      <c r="L1593" s="33"/>
      <c r="M1593" s="33"/>
      <c r="N1593" s="33"/>
      <c r="O1593" s="33"/>
      <c r="P1593" s="33"/>
      <c r="Q1593" s="33"/>
      <c r="R1593" s="33"/>
      <c r="S1593" s="33"/>
      <c r="T1593" s="33"/>
      <c r="U1593" s="33"/>
      <c r="V1593" s="33"/>
      <c r="W1593" s="33"/>
      <c r="X1593" s="33"/>
      <c r="Y1593" s="33"/>
      <c r="Z1593" s="33"/>
      <c r="AA1593" s="33"/>
      <c r="AB1593" s="33"/>
      <c r="AC1593" s="33"/>
      <c r="AD1593" s="33"/>
      <c r="AE1593" s="33"/>
      <c r="AF1593" s="33"/>
      <c r="AG1593" s="33"/>
      <c r="AH1593" s="33"/>
      <c r="AI1593" s="33"/>
      <c r="AJ1593" s="33"/>
      <c r="AK1593" s="34" t="str">
        <f aca="false">IF($B1593="","",COUNTIF($F1593:$AJ1593,"P"))</f>
        <v/>
      </c>
      <c r="AL1593" s="34" t="str">
        <f aca="false">IF($B1593="","",COUNTIF($F1593:$AJ1593,"A"))</f>
        <v/>
      </c>
      <c r="AM1593" s="34" t="str">
        <f aca="false">IF($B1593="","",COUNTIF($F1593:$AJ1593,"HA"))</f>
        <v/>
      </c>
      <c r="AN1593" s="34" t="str">
        <f aca="false">IF($B1593="","",COUNTIF($F1593:$AJ1593,"L"))</f>
        <v/>
      </c>
      <c r="AO1593" s="34" t="str">
        <f aca="false">IF($B1593="","",COUNTIF($F1593:$AJ1593,"PL"))</f>
        <v/>
      </c>
      <c r="AP1593" s="34" t="str">
        <f aca="false">IF($B1593="","",COUNTIF($F1593:$AJ1593,"CL"))</f>
        <v/>
      </c>
      <c r="AQ1593" s="34" t="str">
        <f aca="false">IF($B1593="","",COUNTIF($F1593:$AJ1593,"SL"))</f>
        <v/>
      </c>
      <c r="AR1593" s="34" t="str">
        <f aca="false">IF($B1593="","",COUNTIF($F1593:$AJ1593,"CO"))</f>
        <v/>
      </c>
      <c r="AS1593" s="34" t="str">
        <f aca="false">IF($B1593="","",COUNTIF($F1593:$AJ1593,"HPL"))</f>
        <v/>
      </c>
      <c r="AT1593" s="34" t="str">
        <f aca="false">IF($B1593="","",COUNTIF($F1593:$AJ1593,"HCL"))</f>
        <v/>
      </c>
      <c r="AU1593" s="34" t="str">
        <f aca="false">IF($B1593="","",COUNTIF($F1593:$AJ1593,"WO"))</f>
        <v/>
      </c>
      <c r="AV1593" s="34" t="str">
        <f aca="false">IF($B1593="","",COUNTIF($F1593:$AJ1593,"PH"))</f>
        <v/>
      </c>
      <c r="AW1593" s="34" t="str">
        <f aca="false">IF($B1593="","",COUNTIF($F1593:$AJ1593,"TR"))</f>
        <v/>
      </c>
      <c r="AX1593" s="35" t="str">
        <f aca="false">IF($B1593="","",AO1593+AS1593/2)</f>
        <v/>
      </c>
      <c r="AY1593" s="35" t="str">
        <f aca="false">IF($B1593="","",AQ1593)</f>
        <v/>
      </c>
      <c r="AZ1593" s="35" t="str">
        <f aca="false">IF($B1593="","",AP1593+AT1593/2)</f>
        <v/>
      </c>
      <c r="BA1593" s="35" t="str">
        <f aca="false">IF($B1593="","",AK1593+AN1593+AM1593/2+AO1593+AP1593+AQ1593+AR1593+AS1593+AT1593+AU1593+AV1593+AW1593)</f>
        <v/>
      </c>
      <c r="BB1593" s="35" t="str">
        <f aca="false">IF($B1593="","",MAX(0,AN1593-Settings!$C$16)*Settings!$C$17)</f>
        <v/>
      </c>
      <c r="BC1593" s="35" t="str">
        <f aca="false">IF($B1593="","",BA1593-BB1593)</f>
        <v/>
      </c>
      <c r="BD1593" s="35" t="str">
        <f aca="false">IF(OR($B1593="",$A1593=""),"",DAY(EOMONTH($A1593,0))-COUNTA($F1593:$AJ1593))</f>
        <v/>
      </c>
    </row>
    <row r="1594" customFormat="false" ht="15" hidden="false" customHeight="false" outlineLevel="0" collapsed="false">
      <c r="A1594" s="32"/>
      <c r="B1594" s="29"/>
      <c r="C1594" s="10" t="str">
        <f aca="false">IF($B1594="","",IFERROR(INDEX(M_name,MATCH($B1594,M_emp,0)),"Code not found"))</f>
        <v/>
      </c>
      <c r="D1594" s="10" t="str">
        <f aca="false">IF($B1594="","",IFERROR(INDEX(M_dept,MATCH($B1594,M_emp,0)),""))</f>
        <v/>
      </c>
      <c r="E1594" s="10" t="str">
        <f aca="false">IF($B1594="","",IFERROR(INDEX(M_loc,MATCH($B1594,M_emp,0)),""))</f>
        <v/>
      </c>
      <c r="F1594" s="33"/>
      <c r="G1594" s="33"/>
      <c r="H1594" s="33"/>
      <c r="I1594" s="33"/>
      <c r="J1594" s="33"/>
      <c r="K1594" s="33"/>
      <c r="L1594" s="33"/>
      <c r="M1594" s="33"/>
      <c r="N1594" s="33"/>
      <c r="O1594" s="33"/>
      <c r="P1594" s="33"/>
      <c r="Q1594" s="33"/>
      <c r="R1594" s="33"/>
      <c r="S1594" s="33"/>
      <c r="T1594" s="33"/>
      <c r="U1594" s="33"/>
      <c r="V1594" s="33"/>
      <c r="W1594" s="33"/>
      <c r="X1594" s="33"/>
      <c r="Y1594" s="33"/>
      <c r="Z1594" s="33"/>
      <c r="AA1594" s="33"/>
      <c r="AB1594" s="33"/>
      <c r="AC1594" s="33"/>
      <c r="AD1594" s="33"/>
      <c r="AE1594" s="33"/>
      <c r="AF1594" s="33"/>
      <c r="AG1594" s="33"/>
      <c r="AH1594" s="33"/>
      <c r="AI1594" s="33"/>
      <c r="AJ1594" s="33"/>
      <c r="AK1594" s="34" t="str">
        <f aca="false">IF($B1594="","",COUNTIF($F1594:$AJ1594,"P"))</f>
        <v/>
      </c>
      <c r="AL1594" s="34" t="str">
        <f aca="false">IF($B1594="","",COUNTIF($F1594:$AJ1594,"A"))</f>
        <v/>
      </c>
      <c r="AM1594" s="34" t="str">
        <f aca="false">IF($B1594="","",COUNTIF($F1594:$AJ1594,"HA"))</f>
        <v/>
      </c>
      <c r="AN1594" s="34" t="str">
        <f aca="false">IF($B1594="","",COUNTIF($F1594:$AJ1594,"L"))</f>
        <v/>
      </c>
      <c r="AO1594" s="34" t="str">
        <f aca="false">IF($B1594="","",COUNTIF($F1594:$AJ1594,"PL"))</f>
        <v/>
      </c>
      <c r="AP1594" s="34" t="str">
        <f aca="false">IF($B1594="","",COUNTIF($F1594:$AJ1594,"CL"))</f>
        <v/>
      </c>
      <c r="AQ1594" s="34" t="str">
        <f aca="false">IF($B1594="","",COUNTIF($F1594:$AJ1594,"SL"))</f>
        <v/>
      </c>
      <c r="AR1594" s="34" t="str">
        <f aca="false">IF($B1594="","",COUNTIF($F1594:$AJ1594,"CO"))</f>
        <v/>
      </c>
      <c r="AS1594" s="34" t="str">
        <f aca="false">IF($B1594="","",COUNTIF($F1594:$AJ1594,"HPL"))</f>
        <v/>
      </c>
      <c r="AT1594" s="34" t="str">
        <f aca="false">IF($B1594="","",COUNTIF($F1594:$AJ1594,"HCL"))</f>
        <v/>
      </c>
      <c r="AU1594" s="34" t="str">
        <f aca="false">IF($B1594="","",COUNTIF($F1594:$AJ1594,"WO"))</f>
        <v/>
      </c>
      <c r="AV1594" s="34" t="str">
        <f aca="false">IF($B1594="","",COUNTIF($F1594:$AJ1594,"PH"))</f>
        <v/>
      </c>
      <c r="AW1594" s="34" t="str">
        <f aca="false">IF($B1594="","",COUNTIF($F1594:$AJ1594,"TR"))</f>
        <v/>
      </c>
      <c r="AX1594" s="35" t="str">
        <f aca="false">IF($B1594="","",AO1594+AS1594/2)</f>
        <v/>
      </c>
      <c r="AY1594" s="35" t="str">
        <f aca="false">IF($B1594="","",AQ1594)</f>
        <v/>
      </c>
      <c r="AZ1594" s="35" t="str">
        <f aca="false">IF($B1594="","",AP1594+AT1594/2)</f>
        <v/>
      </c>
      <c r="BA1594" s="35" t="str">
        <f aca="false">IF($B1594="","",AK1594+AN1594+AM1594/2+AO1594+AP1594+AQ1594+AR1594+AS1594+AT1594+AU1594+AV1594+AW1594)</f>
        <v/>
      </c>
      <c r="BB1594" s="35" t="str">
        <f aca="false">IF($B1594="","",MAX(0,AN1594-Settings!$C$16)*Settings!$C$17)</f>
        <v/>
      </c>
      <c r="BC1594" s="35" t="str">
        <f aca="false">IF($B1594="","",BA1594-BB1594)</f>
        <v/>
      </c>
      <c r="BD1594" s="35" t="str">
        <f aca="false">IF(OR($B1594="",$A1594=""),"",DAY(EOMONTH($A1594,0))-COUNTA($F1594:$AJ1594))</f>
        <v/>
      </c>
    </row>
    <row r="1595" customFormat="false" ht="15" hidden="false" customHeight="false" outlineLevel="0" collapsed="false">
      <c r="A1595" s="32"/>
      <c r="B1595" s="29"/>
      <c r="C1595" s="10" t="str">
        <f aca="false">IF($B1595="","",IFERROR(INDEX(M_name,MATCH($B1595,M_emp,0)),"Code not found"))</f>
        <v/>
      </c>
      <c r="D1595" s="10" t="str">
        <f aca="false">IF($B1595="","",IFERROR(INDEX(M_dept,MATCH($B1595,M_emp,0)),""))</f>
        <v/>
      </c>
      <c r="E1595" s="10" t="str">
        <f aca="false">IF($B1595="","",IFERROR(INDEX(M_loc,MATCH($B1595,M_emp,0)),""))</f>
        <v/>
      </c>
      <c r="F1595" s="33"/>
      <c r="G1595" s="33"/>
      <c r="H1595" s="33"/>
      <c r="I1595" s="33"/>
      <c r="J1595" s="33"/>
      <c r="K1595" s="33"/>
      <c r="L1595" s="33"/>
      <c r="M1595" s="33"/>
      <c r="N1595" s="33"/>
      <c r="O1595" s="33"/>
      <c r="P1595" s="33"/>
      <c r="Q1595" s="33"/>
      <c r="R1595" s="33"/>
      <c r="S1595" s="33"/>
      <c r="T1595" s="33"/>
      <c r="U1595" s="33"/>
      <c r="V1595" s="33"/>
      <c r="W1595" s="33"/>
      <c r="X1595" s="33"/>
      <c r="Y1595" s="33"/>
      <c r="Z1595" s="33"/>
      <c r="AA1595" s="33"/>
      <c r="AB1595" s="33"/>
      <c r="AC1595" s="33"/>
      <c r="AD1595" s="33"/>
      <c r="AE1595" s="33"/>
      <c r="AF1595" s="33"/>
      <c r="AG1595" s="33"/>
      <c r="AH1595" s="33"/>
      <c r="AI1595" s="33"/>
      <c r="AJ1595" s="33"/>
      <c r="AK1595" s="34" t="str">
        <f aca="false">IF($B1595="","",COUNTIF($F1595:$AJ1595,"P"))</f>
        <v/>
      </c>
      <c r="AL1595" s="34" t="str">
        <f aca="false">IF($B1595="","",COUNTIF($F1595:$AJ1595,"A"))</f>
        <v/>
      </c>
      <c r="AM1595" s="34" t="str">
        <f aca="false">IF($B1595="","",COUNTIF($F1595:$AJ1595,"HA"))</f>
        <v/>
      </c>
      <c r="AN1595" s="34" t="str">
        <f aca="false">IF($B1595="","",COUNTIF($F1595:$AJ1595,"L"))</f>
        <v/>
      </c>
      <c r="AO1595" s="34" t="str">
        <f aca="false">IF($B1595="","",COUNTIF($F1595:$AJ1595,"PL"))</f>
        <v/>
      </c>
      <c r="AP1595" s="34" t="str">
        <f aca="false">IF($B1595="","",COUNTIF($F1595:$AJ1595,"CL"))</f>
        <v/>
      </c>
      <c r="AQ1595" s="34" t="str">
        <f aca="false">IF($B1595="","",COUNTIF($F1595:$AJ1595,"SL"))</f>
        <v/>
      </c>
      <c r="AR1595" s="34" t="str">
        <f aca="false">IF($B1595="","",COUNTIF($F1595:$AJ1595,"CO"))</f>
        <v/>
      </c>
      <c r="AS1595" s="34" t="str">
        <f aca="false">IF($B1595="","",COUNTIF($F1595:$AJ1595,"HPL"))</f>
        <v/>
      </c>
      <c r="AT1595" s="34" t="str">
        <f aca="false">IF($B1595="","",COUNTIF($F1595:$AJ1595,"HCL"))</f>
        <v/>
      </c>
      <c r="AU1595" s="34" t="str">
        <f aca="false">IF($B1595="","",COUNTIF($F1595:$AJ1595,"WO"))</f>
        <v/>
      </c>
      <c r="AV1595" s="34" t="str">
        <f aca="false">IF($B1595="","",COUNTIF($F1595:$AJ1595,"PH"))</f>
        <v/>
      </c>
      <c r="AW1595" s="34" t="str">
        <f aca="false">IF($B1595="","",COUNTIF($F1595:$AJ1595,"TR"))</f>
        <v/>
      </c>
      <c r="AX1595" s="35" t="str">
        <f aca="false">IF($B1595="","",AO1595+AS1595/2)</f>
        <v/>
      </c>
      <c r="AY1595" s="35" t="str">
        <f aca="false">IF($B1595="","",AQ1595)</f>
        <v/>
      </c>
      <c r="AZ1595" s="35" t="str">
        <f aca="false">IF($B1595="","",AP1595+AT1595/2)</f>
        <v/>
      </c>
      <c r="BA1595" s="35" t="str">
        <f aca="false">IF($B1595="","",AK1595+AN1595+AM1595/2+AO1595+AP1595+AQ1595+AR1595+AS1595+AT1595+AU1595+AV1595+AW1595)</f>
        <v/>
      </c>
      <c r="BB1595" s="35" t="str">
        <f aca="false">IF($B1595="","",MAX(0,AN1595-Settings!$C$16)*Settings!$C$17)</f>
        <v/>
      </c>
      <c r="BC1595" s="35" t="str">
        <f aca="false">IF($B1595="","",BA1595-BB1595)</f>
        <v/>
      </c>
      <c r="BD1595" s="35" t="str">
        <f aca="false">IF(OR($B1595="",$A1595=""),"",DAY(EOMONTH($A1595,0))-COUNTA($F1595:$AJ1595))</f>
        <v/>
      </c>
    </row>
    <row r="1596" customFormat="false" ht="15" hidden="false" customHeight="false" outlineLevel="0" collapsed="false">
      <c r="A1596" s="32"/>
      <c r="B1596" s="29"/>
      <c r="C1596" s="10" t="str">
        <f aca="false">IF($B1596="","",IFERROR(INDEX(M_name,MATCH($B1596,M_emp,0)),"Code not found"))</f>
        <v/>
      </c>
      <c r="D1596" s="10" t="str">
        <f aca="false">IF($B1596="","",IFERROR(INDEX(M_dept,MATCH($B1596,M_emp,0)),""))</f>
        <v/>
      </c>
      <c r="E1596" s="10" t="str">
        <f aca="false">IF($B1596="","",IFERROR(INDEX(M_loc,MATCH($B1596,M_emp,0)),""))</f>
        <v/>
      </c>
      <c r="F1596" s="33"/>
      <c r="G1596" s="33"/>
      <c r="H1596" s="33"/>
      <c r="I1596" s="33"/>
      <c r="J1596" s="33"/>
      <c r="K1596" s="33"/>
      <c r="L1596" s="33"/>
      <c r="M1596" s="33"/>
      <c r="N1596" s="33"/>
      <c r="O1596" s="33"/>
      <c r="P1596" s="33"/>
      <c r="Q1596" s="33"/>
      <c r="R1596" s="33"/>
      <c r="S1596" s="33"/>
      <c r="T1596" s="33"/>
      <c r="U1596" s="33"/>
      <c r="V1596" s="33"/>
      <c r="W1596" s="33"/>
      <c r="X1596" s="33"/>
      <c r="Y1596" s="33"/>
      <c r="Z1596" s="33"/>
      <c r="AA1596" s="33"/>
      <c r="AB1596" s="33"/>
      <c r="AC1596" s="33"/>
      <c r="AD1596" s="33"/>
      <c r="AE1596" s="33"/>
      <c r="AF1596" s="33"/>
      <c r="AG1596" s="33"/>
      <c r="AH1596" s="33"/>
      <c r="AI1596" s="33"/>
      <c r="AJ1596" s="33"/>
      <c r="AK1596" s="34" t="str">
        <f aca="false">IF($B1596="","",COUNTIF($F1596:$AJ1596,"P"))</f>
        <v/>
      </c>
      <c r="AL1596" s="34" t="str">
        <f aca="false">IF($B1596="","",COUNTIF($F1596:$AJ1596,"A"))</f>
        <v/>
      </c>
      <c r="AM1596" s="34" t="str">
        <f aca="false">IF($B1596="","",COUNTIF($F1596:$AJ1596,"HA"))</f>
        <v/>
      </c>
      <c r="AN1596" s="34" t="str">
        <f aca="false">IF($B1596="","",COUNTIF($F1596:$AJ1596,"L"))</f>
        <v/>
      </c>
      <c r="AO1596" s="34" t="str">
        <f aca="false">IF($B1596="","",COUNTIF($F1596:$AJ1596,"PL"))</f>
        <v/>
      </c>
      <c r="AP1596" s="34" t="str">
        <f aca="false">IF($B1596="","",COUNTIF($F1596:$AJ1596,"CL"))</f>
        <v/>
      </c>
      <c r="AQ1596" s="34" t="str">
        <f aca="false">IF($B1596="","",COUNTIF($F1596:$AJ1596,"SL"))</f>
        <v/>
      </c>
      <c r="AR1596" s="34" t="str">
        <f aca="false">IF($B1596="","",COUNTIF($F1596:$AJ1596,"CO"))</f>
        <v/>
      </c>
      <c r="AS1596" s="34" t="str">
        <f aca="false">IF($B1596="","",COUNTIF($F1596:$AJ1596,"HPL"))</f>
        <v/>
      </c>
      <c r="AT1596" s="34" t="str">
        <f aca="false">IF($B1596="","",COUNTIF($F1596:$AJ1596,"HCL"))</f>
        <v/>
      </c>
      <c r="AU1596" s="34" t="str">
        <f aca="false">IF($B1596="","",COUNTIF($F1596:$AJ1596,"WO"))</f>
        <v/>
      </c>
      <c r="AV1596" s="34" t="str">
        <f aca="false">IF($B1596="","",COUNTIF($F1596:$AJ1596,"PH"))</f>
        <v/>
      </c>
      <c r="AW1596" s="34" t="str">
        <f aca="false">IF($B1596="","",COUNTIF($F1596:$AJ1596,"TR"))</f>
        <v/>
      </c>
      <c r="AX1596" s="35" t="str">
        <f aca="false">IF($B1596="","",AO1596+AS1596/2)</f>
        <v/>
      </c>
      <c r="AY1596" s="35" t="str">
        <f aca="false">IF($B1596="","",AQ1596)</f>
        <v/>
      </c>
      <c r="AZ1596" s="35" t="str">
        <f aca="false">IF($B1596="","",AP1596+AT1596/2)</f>
        <v/>
      </c>
      <c r="BA1596" s="35" t="str">
        <f aca="false">IF($B1596="","",AK1596+AN1596+AM1596/2+AO1596+AP1596+AQ1596+AR1596+AS1596+AT1596+AU1596+AV1596+AW1596)</f>
        <v/>
      </c>
      <c r="BB1596" s="35" t="str">
        <f aca="false">IF($B1596="","",MAX(0,AN1596-Settings!$C$16)*Settings!$C$17)</f>
        <v/>
      </c>
      <c r="BC1596" s="35" t="str">
        <f aca="false">IF($B1596="","",BA1596-BB1596)</f>
        <v/>
      </c>
      <c r="BD1596" s="35" t="str">
        <f aca="false">IF(OR($B1596="",$A1596=""),"",DAY(EOMONTH($A1596,0))-COUNTA($F1596:$AJ1596))</f>
        <v/>
      </c>
    </row>
    <row r="1597" customFormat="false" ht="15" hidden="false" customHeight="false" outlineLevel="0" collapsed="false">
      <c r="A1597" s="32"/>
      <c r="B1597" s="29"/>
      <c r="C1597" s="10" t="str">
        <f aca="false">IF($B1597="","",IFERROR(INDEX(M_name,MATCH($B1597,M_emp,0)),"Code not found"))</f>
        <v/>
      </c>
      <c r="D1597" s="10" t="str">
        <f aca="false">IF($B1597="","",IFERROR(INDEX(M_dept,MATCH($B1597,M_emp,0)),""))</f>
        <v/>
      </c>
      <c r="E1597" s="10" t="str">
        <f aca="false">IF($B1597="","",IFERROR(INDEX(M_loc,MATCH($B1597,M_emp,0)),""))</f>
        <v/>
      </c>
      <c r="F1597" s="33"/>
      <c r="G1597" s="33"/>
      <c r="H1597" s="33"/>
      <c r="I1597" s="33"/>
      <c r="J1597" s="33"/>
      <c r="K1597" s="33"/>
      <c r="L1597" s="33"/>
      <c r="M1597" s="33"/>
      <c r="N1597" s="33"/>
      <c r="O1597" s="33"/>
      <c r="P1597" s="33"/>
      <c r="Q1597" s="33"/>
      <c r="R1597" s="33"/>
      <c r="S1597" s="33"/>
      <c r="T1597" s="33"/>
      <c r="U1597" s="33"/>
      <c r="V1597" s="33"/>
      <c r="W1597" s="33"/>
      <c r="X1597" s="33"/>
      <c r="Y1597" s="33"/>
      <c r="Z1597" s="33"/>
      <c r="AA1597" s="33"/>
      <c r="AB1597" s="33"/>
      <c r="AC1597" s="33"/>
      <c r="AD1597" s="33"/>
      <c r="AE1597" s="33"/>
      <c r="AF1597" s="33"/>
      <c r="AG1597" s="33"/>
      <c r="AH1597" s="33"/>
      <c r="AI1597" s="33"/>
      <c r="AJ1597" s="33"/>
      <c r="AK1597" s="34" t="str">
        <f aca="false">IF($B1597="","",COUNTIF($F1597:$AJ1597,"P"))</f>
        <v/>
      </c>
      <c r="AL1597" s="34" t="str">
        <f aca="false">IF($B1597="","",COUNTIF($F1597:$AJ1597,"A"))</f>
        <v/>
      </c>
      <c r="AM1597" s="34" t="str">
        <f aca="false">IF($B1597="","",COUNTIF($F1597:$AJ1597,"HA"))</f>
        <v/>
      </c>
      <c r="AN1597" s="34" t="str">
        <f aca="false">IF($B1597="","",COUNTIF($F1597:$AJ1597,"L"))</f>
        <v/>
      </c>
      <c r="AO1597" s="34" t="str">
        <f aca="false">IF($B1597="","",COUNTIF($F1597:$AJ1597,"PL"))</f>
        <v/>
      </c>
      <c r="AP1597" s="34" t="str">
        <f aca="false">IF($B1597="","",COUNTIF($F1597:$AJ1597,"CL"))</f>
        <v/>
      </c>
      <c r="AQ1597" s="34" t="str">
        <f aca="false">IF($B1597="","",COUNTIF($F1597:$AJ1597,"SL"))</f>
        <v/>
      </c>
      <c r="AR1597" s="34" t="str">
        <f aca="false">IF($B1597="","",COUNTIF($F1597:$AJ1597,"CO"))</f>
        <v/>
      </c>
      <c r="AS1597" s="34" t="str">
        <f aca="false">IF($B1597="","",COUNTIF($F1597:$AJ1597,"HPL"))</f>
        <v/>
      </c>
      <c r="AT1597" s="34" t="str">
        <f aca="false">IF($B1597="","",COUNTIF($F1597:$AJ1597,"HCL"))</f>
        <v/>
      </c>
      <c r="AU1597" s="34" t="str">
        <f aca="false">IF($B1597="","",COUNTIF($F1597:$AJ1597,"WO"))</f>
        <v/>
      </c>
      <c r="AV1597" s="34" t="str">
        <f aca="false">IF($B1597="","",COUNTIF($F1597:$AJ1597,"PH"))</f>
        <v/>
      </c>
      <c r="AW1597" s="34" t="str">
        <f aca="false">IF($B1597="","",COUNTIF($F1597:$AJ1597,"TR"))</f>
        <v/>
      </c>
      <c r="AX1597" s="35" t="str">
        <f aca="false">IF($B1597="","",AO1597+AS1597/2)</f>
        <v/>
      </c>
      <c r="AY1597" s="35" t="str">
        <f aca="false">IF($B1597="","",AQ1597)</f>
        <v/>
      </c>
      <c r="AZ1597" s="35" t="str">
        <f aca="false">IF($B1597="","",AP1597+AT1597/2)</f>
        <v/>
      </c>
      <c r="BA1597" s="35" t="str">
        <f aca="false">IF($B1597="","",AK1597+AN1597+AM1597/2+AO1597+AP1597+AQ1597+AR1597+AS1597+AT1597+AU1597+AV1597+AW1597)</f>
        <v/>
      </c>
      <c r="BB1597" s="35" t="str">
        <f aca="false">IF($B1597="","",MAX(0,AN1597-Settings!$C$16)*Settings!$C$17)</f>
        <v/>
      </c>
      <c r="BC1597" s="35" t="str">
        <f aca="false">IF($B1597="","",BA1597-BB1597)</f>
        <v/>
      </c>
      <c r="BD1597" s="35" t="str">
        <f aca="false">IF(OR($B1597="",$A1597=""),"",DAY(EOMONTH($A1597,0))-COUNTA($F1597:$AJ1597))</f>
        <v/>
      </c>
    </row>
    <row r="1598" customFormat="false" ht="15" hidden="false" customHeight="false" outlineLevel="0" collapsed="false">
      <c r="A1598" s="32"/>
      <c r="B1598" s="29"/>
      <c r="C1598" s="10" t="str">
        <f aca="false">IF($B1598="","",IFERROR(INDEX(M_name,MATCH($B1598,M_emp,0)),"Code not found"))</f>
        <v/>
      </c>
      <c r="D1598" s="10" t="str">
        <f aca="false">IF($B1598="","",IFERROR(INDEX(M_dept,MATCH($B1598,M_emp,0)),""))</f>
        <v/>
      </c>
      <c r="E1598" s="10" t="str">
        <f aca="false">IF($B1598="","",IFERROR(INDEX(M_loc,MATCH($B1598,M_emp,0)),""))</f>
        <v/>
      </c>
      <c r="F1598" s="33"/>
      <c r="G1598" s="33"/>
      <c r="H1598" s="33"/>
      <c r="I1598" s="33"/>
      <c r="J1598" s="33"/>
      <c r="K1598" s="33"/>
      <c r="L1598" s="33"/>
      <c r="M1598" s="33"/>
      <c r="N1598" s="33"/>
      <c r="O1598" s="33"/>
      <c r="P1598" s="33"/>
      <c r="Q1598" s="33"/>
      <c r="R1598" s="33"/>
      <c r="S1598" s="33"/>
      <c r="T1598" s="33"/>
      <c r="U1598" s="33"/>
      <c r="V1598" s="33"/>
      <c r="W1598" s="33"/>
      <c r="X1598" s="33"/>
      <c r="Y1598" s="33"/>
      <c r="Z1598" s="33"/>
      <c r="AA1598" s="33"/>
      <c r="AB1598" s="33"/>
      <c r="AC1598" s="33"/>
      <c r="AD1598" s="33"/>
      <c r="AE1598" s="33"/>
      <c r="AF1598" s="33"/>
      <c r="AG1598" s="33"/>
      <c r="AH1598" s="33"/>
      <c r="AI1598" s="33"/>
      <c r="AJ1598" s="33"/>
      <c r="AK1598" s="34" t="str">
        <f aca="false">IF($B1598="","",COUNTIF($F1598:$AJ1598,"P"))</f>
        <v/>
      </c>
      <c r="AL1598" s="34" t="str">
        <f aca="false">IF($B1598="","",COUNTIF($F1598:$AJ1598,"A"))</f>
        <v/>
      </c>
      <c r="AM1598" s="34" t="str">
        <f aca="false">IF($B1598="","",COUNTIF($F1598:$AJ1598,"HA"))</f>
        <v/>
      </c>
      <c r="AN1598" s="34" t="str">
        <f aca="false">IF($B1598="","",COUNTIF($F1598:$AJ1598,"L"))</f>
        <v/>
      </c>
      <c r="AO1598" s="34" t="str">
        <f aca="false">IF($B1598="","",COUNTIF($F1598:$AJ1598,"PL"))</f>
        <v/>
      </c>
      <c r="AP1598" s="34" t="str">
        <f aca="false">IF($B1598="","",COUNTIF($F1598:$AJ1598,"CL"))</f>
        <v/>
      </c>
      <c r="AQ1598" s="34" t="str">
        <f aca="false">IF($B1598="","",COUNTIF($F1598:$AJ1598,"SL"))</f>
        <v/>
      </c>
      <c r="AR1598" s="34" t="str">
        <f aca="false">IF($B1598="","",COUNTIF($F1598:$AJ1598,"CO"))</f>
        <v/>
      </c>
      <c r="AS1598" s="34" t="str">
        <f aca="false">IF($B1598="","",COUNTIF($F1598:$AJ1598,"HPL"))</f>
        <v/>
      </c>
      <c r="AT1598" s="34" t="str">
        <f aca="false">IF($B1598="","",COUNTIF($F1598:$AJ1598,"HCL"))</f>
        <v/>
      </c>
      <c r="AU1598" s="34" t="str">
        <f aca="false">IF($B1598="","",COUNTIF($F1598:$AJ1598,"WO"))</f>
        <v/>
      </c>
      <c r="AV1598" s="34" t="str">
        <f aca="false">IF($B1598="","",COUNTIF($F1598:$AJ1598,"PH"))</f>
        <v/>
      </c>
      <c r="AW1598" s="34" t="str">
        <f aca="false">IF($B1598="","",COUNTIF($F1598:$AJ1598,"TR"))</f>
        <v/>
      </c>
      <c r="AX1598" s="35" t="str">
        <f aca="false">IF($B1598="","",AO1598+AS1598/2)</f>
        <v/>
      </c>
      <c r="AY1598" s="35" t="str">
        <f aca="false">IF($B1598="","",AQ1598)</f>
        <v/>
      </c>
      <c r="AZ1598" s="35" t="str">
        <f aca="false">IF($B1598="","",AP1598+AT1598/2)</f>
        <v/>
      </c>
      <c r="BA1598" s="35" t="str">
        <f aca="false">IF($B1598="","",AK1598+AN1598+AM1598/2+AO1598+AP1598+AQ1598+AR1598+AS1598+AT1598+AU1598+AV1598+AW1598)</f>
        <v/>
      </c>
      <c r="BB1598" s="35" t="str">
        <f aca="false">IF($B1598="","",MAX(0,AN1598-Settings!$C$16)*Settings!$C$17)</f>
        <v/>
      </c>
      <c r="BC1598" s="35" t="str">
        <f aca="false">IF($B1598="","",BA1598-BB1598)</f>
        <v/>
      </c>
      <c r="BD1598" s="35" t="str">
        <f aca="false">IF(OR($B1598="",$A1598=""),"",DAY(EOMONTH($A1598,0))-COUNTA($F1598:$AJ1598))</f>
        <v/>
      </c>
    </row>
    <row r="1599" customFormat="false" ht="15" hidden="false" customHeight="false" outlineLevel="0" collapsed="false">
      <c r="A1599" s="32"/>
      <c r="B1599" s="29"/>
      <c r="C1599" s="10" t="str">
        <f aca="false">IF($B1599="","",IFERROR(INDEX(M_name,MATCH($B1599,M_emp,0)),"Code not found"))</f>
        <v/>
      </c>
      <c r="D1599" s="10" t="str">
        <f aca="false">IF($B1599="","",IFERROR(INDEX(M_dept,MATCH($B1599,M_emp,0)),""))</f>
        <v/>
      </c>
      <c r="E1599" s="10" t="str">
        <f aca="false">IF($B1599="","",IFERROR(INDEX(M_loc,MATCH($B1599,M_emp,0)),""))</f>
        <v/>
      </c>
      <c r="F1599" s="33"/>
      <c r="G1599" s="33"/>
      <c r="H1599" s="33"/>
      <c r="I1599" s="33"/>
      <c r="J1599" s="33"/>
      <c r="K1599" s="33"/>
      <c r="L1599" s="33"/>
      <c r="M1599" s="33"/>
      <c r="N1599" s="33"/>
      <c r="O1599" s="33"/>
      <c r="P1599" s="33"/>
      <c r="Q1599" s="33"/>
      <c r="R1599" s="33"/>
      <c r="S1599" s="33"/>
      <c r="T1599" s="33"/>
      <c r="U1599" s="33"/>
      <c r="V1599" s="33"/>
      <c r="W1599" s="33"/>
      <c r="X1599" s="33"/>
      <c r="Y1599" s="33"/>
      <c r="Z1599" s="33"/>
      <c r="AA1599" s="33"/>
      <c r="AB1599" s="33"/>
      <c r="AC1599" s="33"/>
      <c r="AD1599" s="33"/>
      <c r="AE1599" s="33"/>
      <c r="AF1599" s="33"/>
      <c r="AG1599" s="33"/>
      <c r="AH1599" s="33"/>
      <c r="AI1599" s="33"/>
      <c r="AJ1599" s="33"/>
      <c r="AK1599" s="34" t="str">
        <f aca="false">IF($B1599="","",COUNTIF($F1599:$AJ1599,"P"))</f>
        <v/>
      </c>
      <c r="AL1599" s="34" t="str">
        <f aca="false">IF($B1599="","",COUNTIF($F1599:$AJ1599,"A"))</f>
        <v/>
      </c>
      <c r="AM1599" s="34" t="str">
        <f aca="false">IF($B1599="","",COUNTIF($F1599:$AJ1599,"HA"))</f>
        <v/>
      </c>
      <c r="AN1599" s="34" t="str">
        <f aca="false">IF($B1599="","",COUNTIF($F1599:$AJ1599,"L"))</f>
        <v/>
      </c>
      <c r="AO1599" s="34" t="str">
        <f aca="false">IF($B1599="","",COUNTIF($F1599:$AJ1599,"PL"))</f>
        <v/>
      </c>
      <c r="AP1599" s="34" t="str">
        <f aca="false">IF($B1599="","",COUNTIF($F1599:$AJ1599,"CL"))</f>
        <v/>
      </c>
      <c r="AQ1599" s="34" t="str">
        <f aca="false">IF($B1599="","",COUNTIF($F1599:$AJ1599,"SL"))</f>
        <v/>
      </c>
      <c r="AR1599" s="34" t="str">
        <f aca="false">IF($B1599="","",COUNTIF($F1599:$AJ1599,"CO"))</f>
        <v/>
      </c>
      <c r="AS1599" s="34" t="str">
        <f aca="false">IF($B1599="","",COUNTIF($F1599:$AJ1599,"HPL"))</f>
        <v/>
      </c>
      <c r="AT1599" s="34" t="str">
        <f aca="false">IF($B1599="","",COUNTIF($F1599:$AJ1599,"HCL"))</f>
        <v/>
      </c>
      <c r="AU1599" s="34" t="str">
        <f aca="false">IF($B1599="","",COUNTIF($F1599:$AJ1599,"WO"))</f>
        <v/>
      </c>
      <c r="AV1599" s="34" t="str">
        <f aca="false">IF($B1599="","",COUNTIF($F1599:$AJ1599,"PH"))</f>
        <v/>
      </c>
      <c r="AW1599" s="34" t="str">
        <f aca="false">IF($B1599="","",COUNTIF($F1599:$AJ1599,"TR"))</f>
        <v/>
      </c>
      <c r="AX1599" s="35" t="str">
        <f aca="false">IF($B1599="","",AO1599+AS1599/2)</f>
        <v/>
      </c>
      <c r="AY1599" s="35" t="str">
        <f aca="false">IF($B1599="","",AQ1599)</f>
        <v/>
      </c>
      <c r="AZ1599" s="35" t="str">
        <f aca="false">IF($B1599="","",AP1599+AT1599/2)</f>
        <v/>
      </c>
      <c r="BA1599" s="35" t="str">
        <f aca="false">IF($B1599="","",AK1599+AN1599+AM1599/2+AO1599+AP1599+AQ1599+AR1599+AS1599+AT1599+AU1599+AV1599+AW1599)</f>
        <v/>
      </c>
      <c r="BB1599" s="35" t="str">
        <f aca="false">IF($B1599="","",MAX(0,AN1599-Settings!$C$16)*Settings!$C$17)</f>
        <v/>
      </c>
      <c r="BC1599" s="35" t="str">
        <f aca="false">IF($B1599="","",BA1599-BB1599)</f>
        <v/>
      </c>
      <c r="BD1599" s="35" t="str">
        <f aca="false">IF(OR($B1599="",$A1599=""),"",DAY(EOMONTH($A1599,0))-COUNTA($F1599:$AJ1599))</f>
        <v/>
      </c>
    </row>
    <row r="1600" customFormat="false" ht="15" hidden="false" customHeight="false" outlineLevel="0" collapsed="false">
      <c r="A1600" s="32"/>
      <c r="B1600" s="29"/>
      <c r="C1600" s="10" t="str">
        <f aca="false">IF($B1600="","",IFERROR(INDEX(M_name,MATCH($B1600,M_emp,0)),"Code not found"))</f>
        <v/>
      </c>
      <c r="D1600" s="10" t="str">
        <f aca="false">IF($B1600="","",IFERROR(INDEX(M_dept,MATCH($B1600,M_emp,0)),""))</f>
        <v/>
      </c>
      <c r="E1600" s="10" t="str">
        <f aca="false">IF($B1600="","",IFERROR(INDEX(M_loc,MATCH($B1600,M_emp,0)),""))</f>
        <v/>
      </c>
      <c r="F1600" s="33"/>
      <c r="G1600" s="33"/>
      <c r="H1600" s="33"/>
      <c r="I1600" s="33"/>
      <c r="J1600" s="33"/>
      <c r="K1600" s="33"/>
      <c r="L1600" s="33"/>
      <c r="M1600" s="33"/>
      <c r="N1600" s="33"/>
      <c r="O1600" s="33"/>
      <c r="P1600" s="33"/>
      <c r="Q1600" s="33"/>
      <c r="R1600" s="33"/>
      <c r="S1600" s="33"/>
      <c r="T1600" s="33"/>
      <c r="U1600" s="33"/>
      <c r="V1600" s="33"/>
      <c r="W1600" s="33"/>
      <c r="X1600" s="33"/>
      <c r="Y1600" s="33"/>
      <c r="Z1600" s="33"/>
      <c r="AA1600" s="33"/>
      <c r="AB1600" s="33"/>
      <c r="AC1600" s="33"/>
      <c r="AD1600" s="33"/>
      <c r="AE1600" s="33"/>
      <c r="AF1600" s="33"/>
      <c r="AG1600" s="33"/>
      <c r="AH1600" s="33"/>
      <c r="AI1600" s="33"/>
      <c r="AJ1600" s="33"/>
      <c r="AK1600" s="34" t="str">
        <f aca="false">IF($B1600="","",COUNTIF($F1600:$AJ1600,"P"))</f>
        <v/>
      </c>
      <c r="AL1600" s="34" t="str">
        <f aca="false">IF($B1600="","",COUNTIF($F1600:$AJ1600,"A"))</f>
        <v/>
      </c>
      <c r="AM1600" s="34" t="str">
        <f aca="false">IF($B1600="","",COUNTIF($F1600:$AJ1600,"HA"))</f>
        <v/>
      </c>
      <c r="AN1600" s="34" t="str">
        <f aca="false">IF($B1600="","",COUNTIF($F1600:$AJ1600,"L"))</f>
        <v/>
      </c>
      <c r="AO1600" s="34" t="str">
        <f aca="false">IF($B1600="","",COUNTIF($F1600:$AJ1600,"PL"))</f>
        <v/>
      </c>
      <c r="AP1600" s="34" t="str">
        <f aca="false">IF($B1600="","",COUNTIF($F1600:$AJ1600,"CL"))</f>
        <v/>
      </c>
      <c r="AQ1600" s="34" t="str">
        <f aca="false">IF($B1600="","",COUNTIF($F1600:$AJ1600,"SL"))</f>
        <v/>
      </c>
      <c r="AR1600" s="34" t="str">
        <f aca="false">IF($B1600="","",COUNTIF($F1600:$AJ1600,"CO"))</f>
        <v/>
      </c>
      <c r="AS1600" s="34" t="str">
        <f aca="false">IF($B1600="","",COUNTIF($F1600:$AJ1600,"HPL"))</f>
        <v/>
      </c>
      <c r="AT1600" s="34" t="str">
        <f aca="false">IF($B1600="","",COUNTIF($F1600:$AJ1600,"HCL"))</f>
        <v/>
      </c>
      <c r="AU1600" s="34" t="str">
        <f aca="false">IF($B1600="","",COUNTIF($F1600:$AJ1600,"WO"))</f>
        <v/>
      </c>
      <c r="AV1600" s="34" t="str">
        <f aca="false">IF($B1600="","",COUNTIF($F1600:$AJ1600,"PH"))</f>
        <v/>
      </c>
      <c r="AW1600" s="34" t="str">
        <f aca="false">IF($B1600="","",COUNTIF($F1600:$AJ1600,"TR"))</f>
        <v/>
      </c>
      <c r="AX1600" s="35" t="str">
        <f aca="false">IF($B1600="","",AO1600+AS1600/2)</f>
        <v/>
      </c>
      <c r="AY1600" s="35" t="str">
        <f aca="false">IF($B1600="","",AQ1600)</f>
        <v/>
      </c>
      <c r="AZ1600" s="35" t="str">
        <f aca="false">IF($B1600="","",AP1600+AT1600/2)</f>
        <v/>
      </c>
      <c r="BA1600" s="35" t="str">
        <f aca="false">IF($B1600="","",AK1600+AN1600+AM1600/2+AO1600+AP1600+AQ1600+AR1600+AS1600+AT1600+AU1600+AV1600+AW1600)</f>
        <v/>
      </c>
      <c r="BB1600" s="35" t="str">
        <f aca="false">IF($B1600="","",MAX(0,AN1600-Settings!$C$16)*Settings!$C$17)</f>
        <v/>
      </c>
      <c r="BC1600" s="35" t="str">
        <f aca="false">IF($B1600="","",BA1600-BB1600)</f>
        <v/>
      </c>
      <c r="BD1600" s="35" t="str">
        <f aca="false">IF(OR($B1600="",$A1600=""),"",DAY(EOMONTH($A1600,0))-COUNTA($F1600:$AJ1600))</f>
        <v/>
      </c>
    </row>
    <row r="1601" customFormat="false" ht="15" hidden="false" customHeight="false" outlineLevel="0" collapsed="false">
      <c r="A1601" s="32"/>
      <c r="B1601" s="29"/>
      <c r="C1601" s="10" t="str">
        <f aca="false">IF($B1601="","",IFERROR(INDEX(M_name,MATCH($B1601,M_emp,0)),"Code not found"))</f>
        <v/>
      </c>
      <c r="D1601" s="10" t="str">
        <f aca="false">IF($B1601="","",IFERROR(INDEX(M_dept,MATCH($B1601,M_emp,0)),""))</f>
        <v/>
      </c>
      <c r="E1601" s="10" t="str">
        <f aca="false">IF($B1601="","",IFERROR(INDEX(M_loc,MATCH($B1601,M_emp,0)),""))</f>
        <v/>
      </c>
      <c r="F1601" s="33"/>
      <c r="G1601" s="33"/>
      <c r="H1601" s="33"/>
      <c r="I1601" s="33"/>
      <c r="J1601" s="33"/>
      <c r="K1601" s="33"/>
      <c r="L1601" s="33"/>
      <c r="M1601" s="33"/>
      <c r="N1601" s="33"/>
      <c r="O1601" s="33"/>
      <c r="P1601" s="33"/>
      <c r="Q1601" s="33"/>
      <c r="R1601" s="33"/>
      <c r="S1601" s="33"/>
      <c r="T1601" s="33"/>
      <c r="U1601" s="33"/>
      <c r="V1601" s="33"/>
      <c r="W1601" s="33"/>
      <c r="X1601" s="33"/>
      <c r="Y1601" s="33"/>
      <c r="Z1601" s="33"/>
      <c r="AA1601" s="33"/>
      <c r="AB1601" s="33"/>
      <c r="AC1601" s="33"/>
      <c r="AD1601" s="33"/>
      <c r="AE1601" s="33"/>
      <c r="AF1601" s="33"/>
      <c r="AG1601" s="33"/>
      <c r="AH1601" s="33"/>
      <c r="AI1601" s="33"/>
      <c r="AJ1601" s="33"/>
      <c r="AK1601" s="34" t="str">
        <f aca="false">IF($B1601="","",COUNTIF($F1601:$AJ1601,"P"))</f>
        <v/>
      </c>
      <c r="AL1601" s="34" t="str">
        <f aca="false">IF($B1601="","",COUNTIF($F1601:$AJ1601,"A"))</f>
        <v/>
      </c>
      <c r="AM1601" s="34" t="str">
        <f aca="false">IF($B1601="","",COUNTIF($F1601:$AJ1601,"HA"))</f>
        <v/>
      </c>
      <c r="AN1601" s="34" t="str">
        <f aca="false">IF($B1601="","",COUNTIF($F1601:$AJ1601,"L"))</f>
        <v/>
      </c>
      <c r="AO1601" s="34" t="str">
        <f aca="false">IF($B1601="","",COUNTIF($F1601:$AJ1601,"PL"))</f>
        <v/>
      </c>
      <c r="AP1601" s="34" t="str">
        <f aca="false">IF($B1601="","",COUNTIF($F1601:$AJ1601,"CL"))</f>
        <v/>
      </c>
      <c r="AQ1601" s="34" t="str">
        <f aca="false">IF($B1601="","",COUNTIF($F1601:$AJ1601,"SL"))</f>
        <v/>
      </c>
      <c r="AR1601" s="34" t="str">
        <f aca="false">IF($B1601="","",COUNTIF($F1601:$AJ1601,"CO"))</f>
        <v/>
      </c>
      <c r="AS1601" s="34" t="str">
        <f aca="false">IF($B1601="","",COUNTIF($F1601:$AJ1601,"HPL"))</f>
        <v/>
      </c>
      <c r="AT1601" s="34" t="str">
        <f aca="false">IF($B1601="","",COUNTIF($F1601:$AJ1601,"HCL"))</f>
        <v/>
      </c>
      <c r="AU1601" s="34" t="str">
        <f aca="false">IF($B1601="","",COUNTIF($F1601:$AJ1601,"WO"))</f>
        <v/>
      </c>
      <c r="AV1601" s="34" t="str">
        <f aca="false">IF($B1601="","",COUNTIF($F1601:$AJ1601,"PH"))</f>
        <v/>
      </c>
      <c r="AW1601" s="34" t="str">
        <f aca="false">IF($B1601="","",COUNTIF($F1601:$AJ1601,"TR"))</f>
        <v/>
      </c>
      <c r="AX1601" s="35" t="str">
        <f aca="false">IF($B1601="","",AO1601+AS1601/2)</f>
        <v/>
      </c>
      <c r="AY1601" s="35" t="str">
        <f aca="false">IF($B1601="","",AQ1601)</f>
        <v/>
      </c>
      <c r="AZ1601" s="35" t="str">
        <f aca="false">IF($B1601="","",AP1601+AT1601/2)</f>
        <v/>
      </c>
      <c r="BA1601" s="35" t="str">
        <f aca="false">IF($B1601="","",AK1601+AN1601+AM1601/2+AO1601+AP1601+AQ1601+AR1601+AS1601+AT1601+AU1601+AV1601+AW1601)</f>
        <v/>
      </c>
      <c r="BB1601" s="35" t="str">
        <f aca="false">IF($B1601="","",MAX(0,AN1601-Settings!$C$16)*Settings!$C$17)</f>
        <v/>
      </c>
      <c r="BC1601" s="35" t="str">
        <f aca="false">IF($B1601="","",BA1601-BB1601)</f>
        <v/>
      </c>
      <c r="BD1601" s="35" t="str">
        <f aca="false">IF(OR($B1601="",$A1601=""),"",DAY(EOMONTH($A1601,0))-COUNTA($F1601:$AJ1601))</f>
        <v/>
      </c>
    </row>
    <row r="1602" customFormat="false" ht="15" hidden="false" customHeight="false" outlineLevel="0" collapsed="false">
      <c r="A1602" s="32"/>
      <c r="B1602" s="29"/>
      <c r="C1602" s="10" t="str">
        <f aca="false">IF($B1602="","",IFERROR(INDEX(M_name,MATCH($B1602,M_emp,0)),"Code not found"))</f>
        <v/>
      </c>
      <c r="D1602" s="10" t="str">
        <f aca="false">IF($B1602="","",IFERROR(INDEX(M_dept,MATCH($B1602,M_emp,0)),""))</f>
        <v/>
      </c>
      <c r="E1602" s="10" t="str">
        <f aca="false">IF($B1602="","",IFERROR(INDEX(M_loc,MATCH($B1602,M_emp,0)),""))</f>
        <v/>
      </c>
      <c r="F1602" s="33"/>
      <c r="G1602" s="33"/>
      <c r="H1602" s="33"/>
      <c r="I1602" s="33"/>
      <c r="J1602" s="33"/>
      <c r="K1602" s="33"/>
      <c r="L1602" s="33"/>
      <c r="M1602" s="33"/>
      <c r="N1602" s="33"/>
      <c r="O1602" s="33"/>
      <c r="P1602" s="33"/>
      <c r="Q1602" s="33"/>
      <c r="R1602" s="33"/>
      <c r="S1602" s="33"/>
      <c r="T1602" s="33"/>
      <c r="U1602" s="33"/>
      <c r="V1602" s="33"/>
      <c r="W1602" s="33"/>
      <c r="X1602" s="33"/>
      <c r="Y1602" s="33"/>
      <c r="Z1602" s="33"/>
      <c r="AA1602" s="33"/>
      <c r="AB1602" s="33"/>
      <c r="AC1602" s="33"/>
      <c r="AD1602" s="33"/>
      <c r="AE1602" s="33"/>
      <c r="AF1602" s="33"/>
      <c r="AG1602" s="33"/>
      <c r="AH1602" s="33"/>
      <c r="AI1602" s="33"/>
      <c r="AJ1602" s="33"/>
      <c r="AK1602" s="34" t="str">
        <f aca="false">IF($B1602="","",COUNTIF($F1602:$AJ1602,"P"))</f>
        <v/>
      </c>
      <c r="AL1602" s="34" t="str">
        <f aca="false">IF($B1602="","",COUNTIF($F1602:$AJ1602,"A"))</f>
        <v/>
      </c>
      <c r="AM1602" s="34" t="str">
        <f aca="false">IF($B1602="","",COUNTIF($F1602:$AJ1602,"HA"))</f>
        <v/>
      </c>
      <c r="AN1602" s="34" t="str">
        <f aca="false">IF($B1602="","",COUNTIF($F1602:$AJ1602,"L"))</f>
        <v/>
      </c>
      <c r="AO1602" s="34" t="str">
        <f aca="false">IF($B1602="","",COUNTIF($F1602:$AJ1602,"PL"))</f>
        <v/>
      </c>
      <c r="AP1602" s="34" t="str">
        <f aca="false">IF($B1602="","",COUNTIF($F1602:$AJ1602,"CL"))</f>
        <v/>
      </c>
      <c r="AQ1602" s="34" t="str">
        <f aca="false">IF($B1602="","",COUNTIF($F1602:$AJ1602,"SL"))</f>
        <v/>
      </c>
      <c r="AR1602" s="34" t="str">
        <f aca="false">IF($B1602="","",COUNTIF($F1602:$AJ1602,"CO"))</f>
        <v/>
      </c>
      <c r="AS1602" s="34" t="str">
        <f aca="false">IF($B1602="","",COUNTIF($F1602:$AJ1602,"HPL"))</f>
        <v/>
      </c>
      <c r="AT1602" s="34" t="str">
        <f aca="false">IF($B1602="","",COUNTIF($F1602:$AJ1602,"HCL"))</f>
        <v/>
      </c>
      <c r="AU1602" s="34" t="str">
        <f aca="false">IF($B1602="","",COUNTIF($F1602:$AJ1602,"WO"))</f>
        <v/>
      </c>
      <c r="AV1602" s="34" t="str">
        <f aca="false">IF($B1602="","",COUNTIF($F1602:$AJ1602,"PH"))</f>
        <v/>
      </c>
      <c r="AW1602" s="34" t="str">
        <f aca="false">IF($B1602="","",COUNTIF($F1602:$AJ1602,"TR"))</f>
        <v/>
      </c>
      <c r="AX1602" s="35" t="str">
        <f aca="false">IF($B1602="","",AO1602+AS1602/2)</f>
        <v/>
      </c>
      <c r="AY1602" s="35" t="str">
        <f aca="false">IF($B1602="","",AQ1602)</f>
        <v/>
      </c>
      <c r="AZ1602" s="35" t="str">
        <f aca="false">IF($B1602="","",AP1602+AT1602/2)</f>
        <v/>
      </c>
      <c r="BA1602" s="35" t="str">
        <f aca="false">IF($B1602="","",AK1602+AN1602+AM1602/2+AO1602+AP1602+AQ1602+AR1602+AS1602+AT1602+AU1602+AV1602+AW1602)</f>
        <v/>
      </c>
      <c r="BB1602" s="35" t="str">
        <f aca="false">IF($B1602="","",MAX(0,AN1602-Settings!$C$16)*Settings!$C$17)</f>
        <v/>
      </c>
      <c r="BC1602" s="35" t="str">
        <f aca="false">IF($B1602="","",BA1602-BB1602)</f>
        <v/>
      </c>
      <c r="BD1602" s="35" t="str">
        <f aca="false">IF(OR($B1602="",$A1602=""),"",DAY(EOMONTH($A1602,0))-COUNTA($F1602:$AJ1602))</f>
        <v/>
      </c>
    </row>
    <row r="1603" customFormat="false" ht="15" hidden="false" customHeight="false" outlineLevel="0" collapsed="false">
      <c r="A1603" s="32"/>
      <c r="B1603" s="29"/>
      <c r="C1603" s="10" t="str">
        <f aca="false">IF($B1603="","",IFERROR(INDEX(M_name,MATCH($B1603,M_emp,0)),"Code not found"))</f>
        <v/>
      </c>
      <c r="D1603" s="10" t="str">
        <f aca="false">IF($B1603="","",IFERROR(INDEX(M_dept,MATCH($B1603,M_emp,0)),""))</f>
        <v/>
      </c>
      <c r="E1603" s="10" t="str">
        <f aca="false">IF($B1603="","",IFERROR(INDEX(M_loc,MATCH($B1603,M_emp,0)),""))</f>
        <v/>
      </c>
      <c r="F1603" s="33"/>
      <c r="G1603" s="33"/>
      <c r="H1603" s="33"/>
      <c r="I1603" s="33"/>
      <c r="J1603" s="33"/>
      <c r="K1603" s="33"/>
      <c r="L1603" s="33"/>
      <c r="M1603" s="33"/>
      <c r="N1603" s="33"/>
      <c r="O1603" s="33"/>
      <c r="P1603" s="33"/>
      <c r="Q1603" s="33"/>
      <c r="R1603" s="33"/>
      <c r="S1603" s="33"/>
      <c r="T1603" s="33"/>
      <c r="U1603" s="33"/>
      <c r="V1603" s="33"/>
      <c r="W1603" s="33"/>
      <c r="X1603" s="33"/>
      <c r="Y1603" s="33"/>
      <c r="Z1603" s="33"/>
      <c r="AA1603" s="33"/>
      <c r="AB1603" s="33"/>
      <c r="AC1603" s="33"/>
      <c r="AD1603" s="33"/>
      <c r="AE1603" s="33"/>
      <c r="AF1603" s="33"/>
      <c r="AG1603" s="33"/>
      <c r="AH1603" s="33"/>
      <c r="AI1603" s="33"/>
      <c r="AJ1603" s="33"/>
      <c r="AK1603" s="34" t="str">
        <f aca="false">IF($B1603="","",COUNTIF($F1603:$AJ1603,"P"))</f>
        <v/>
      </c>
      <c r="AL1603" s="34" t="str">
        <f aca="false">IF($B1603="","",COUNTIF($F1603:$AJ1603,"A"))</f>
        <v/>
      </c>
      <c r="AM1603" s="34" t="str">
        <f aca="false">IF($B1603="","",COUNTIF($F1603:$AJ1603,"HA"))</f>
        <v/>
      </c>
      <c r="AN1603" s="34" t="str">
        <f aca="false">IF($B1603="","",COUNTIF($F1603:$AJ1603,"L"))</f>
        <v/>
      </c>
      <c r="AO1603" s="34" t="str">
        <f aca="false">IF($B1603="","",COUNTIF($F1603:$AJ1603,"PL"))</f>
        <v/>
      </c>
      <c r="AP1603" s="34" t="str">
        <f aca="false">IF($B1603="","",COUNTIF($F1603:$AJ1603,"CL"))</f>
        <v/>
      </c>
      <c r="AQ1603" s="34" t="str">
        <f aca="false">IF($B1603="","",COUNTIF($F1603:$AJ1603,"SL"))</f>
        <v/>
      </c>
      <c r="AR1603" s="34" t="str">
        <f aca="false">IF($B1603="","",COUNTIF($F1603:$AJ1603,"CO"))</f>
        <v/>
      </c>
      <c r="AS1603" s="34" t="str">
        <f aca="false">IF($B1603="","",COUNTIF($F1603:$AJ1603,"HPL"))</f>
        <v/>
      </c>
      <c r="AT1603" s="34" t="str">
        <f aca="false">IF($B1603="","",COUNTIF($F1603:$AJ1603,"HCL"))</f>
        <v/>
      </c>
      <c r="AU1603" s="34" t="str">
        <f aca="false">IF($B1603="","",COUNTIF($F1603:$AJ1603,"WO"))</f>
        <v/>
      </c>
      <c r="AV1603" s="34" t="str">
        <f aca="false">IF($B1603="","",COUNTIF($F1603:$AJ1603,"PH"))</f>
        <v/>
      </c>
      <c r="AW1603" s="34" t="str">
        <f aca="false">IF($B1603="","",COUNTIF($F1603:$AJ1603,"TR"))</f>
        <v/>
      </c>
      <c r="AX1603" s="35" t="str">
        <f aca="false">IF($B1603="","",AO1603+AS1603/2)</f>
        <v/>
      </c>
      <c r="AY1603" s="35" t="str">
        <f aca="false">IF($B1603="","",AQ1603)</f>
        <v/>
      </c>
      <c r="AZ1603" s="35" t="str">
        <f aca="false">IF($B1603="","",AP1603+AT1603/2)</f>
        <v/>
      </c>
      <c r="BA1603" s="35" t="str">
        <f aca="false">IF($B1603="","",AK1603+AN1603+AM1603/2+AO1603+AP1603+AQ1603+AR1603+AS1603+AT1603+AU1603+AV1603+AW1603)</f>
        <v/>
      </c>
      <c r="BB1603" s="35" t="str">
        <f aca="false">IF($B1603="","",MAX(0,AN1603-Settings!$C$16)*Settings!$C$17)</f>
        <v/>
      </c>
      <c r="BC1603" s="35" t="str">
        <f aca="false">IF($B1603="","",BA1603-BB1603)</f>
        <v/>
      </c>
      <c r="BD1603" s="35" t="str">
        <f aca="false">IF(OR($B1603="",$A1603=""),"",DAY(EOMONTH($A1603,0))-COUNTA($F1603:$AJ1603))</f>
        <v/>
      </c>
    </row>
    <row r="1604" customFormat="false" ht="15" hidden="false" customHeight="false" outlineLevel="0" collapsed="false">
      <c r="A1604" s="32"/>
      <c r="B1604" s="29"/>
      <c r="C1604" s="10" t="str">
        <f aca="false">IF($B1604="","",IFERROR(INDEX(M_name,MATCH($B1604,M_emp,0)),"Code not found"))</f>
        <v/>
      </c>
      <c r="D1604" s="10" t="str">
        <f aca="false">IF($B1604="","",IFERROR(INDEX(M_dept,MATCH($B1604,M_emp,0)),""))</f>
        <v/>
      </c>
      <c r="E1604" s="10" t="str">
        <f aca="false">IF($B1604="","",IFERROR(INDEX(M_loc,MATCH($B1604,M_emp,0)),""))</f>
        <v/>
      </c>
      <c r="F1604" s="33"/>
      <c r="G1604" s="33"/>
      <c r="H1604" s="33"/>
      <c r="I1604" s="33"/>
      <c r="J1604" s="33"/>
      <c r="K1604" s="33"/>
      <c r="L1604" s="33"/>
      <c r="M1604" s="33"/>
      <c r="N1604" s="33"/>
      <c r="O1604" s="33"/>
      <c r="P1604" s="33"/>
      <c r="Q1604" s="33"/>
      <c r="R1604" s="33"/>
      <c r="S1604" s="33"/>
      <c r="T1604" s="33"/>
      <c r="U1604" s="33"/>
      <c r="V1604" s="33"/>
      <c r="W1604" s="33"/>
      <c r="X1604" s="33"/>
      <c r="Y1604" s="33"/>
      <c r="Z1604" s="33"/>
      <c r="AA1604" s="33"/>
      <c r="AB1604" s="33"/>
      <c r="AC1604" s="33"/>
      <c r="AD1604" s="33"/>
      <c r="AE1604" s="33"/>
      <c r="AF1604" s="33"/>
      <c r="AG1604" s="33"/>
      <c r="AH1604" s="33"/>
      <c r="AI1604" s="33"/>
      <c r="AJ1604" s="33"/>
      <c r="AK1604" s="34" t="str">
        <f aca="false">IF($B1604="","",COUNTIF($F1604:$AJ1604,"P"))</f>
        <v/>
      </c>
      <c r="AL1604" s="34" t="str">
        <f aca="false">IF($B1604="","",COUNTIF($F1604:$AJ1604,"A"))</f>
        <v/>
      </c>
      <c r="AM1604" s="34" t="str">
        <f aca="false">IF($B1604="","",COUNTIF($F1604:$AJ1604,"HA"))</f>
        <v/>
      </c>
      <c r="AN1604" s="34" t="str">
        <f aca="false">IF($B1604="","",COUNTIF($F1604:$AJ1604,"L"))</f>
        <v/>
      </c>
      <c r="AO1604" s="34" t="str">
        <f aca="false">IF($B1604="","",COUNTIF($F1604:$AJ1604,"PL"))</f>
        <v/>
      </c>
      <c r="AP1604" s="34" t="str">
        <f aca="false">IF($B1604="","",COUNTIF($F1604:$AJ1604,"CL"))</f>
        <v/>
      </c>
      <c r="AQ1604" s="34" t="str">
        <f aca="false">IF($B1604="","",COUNTIF($F1604:$AJ1604,"SL"))</f>
        <v/>
      </c>
      <c r="AR1604" s="34" t="str">
        <f aca="false">IF($B1604="","",COUNTIF($F1604:$AJ1604,"CO"))</f>
        <v/>
      </c>
      <c r="AS1604" s="34" t="str">
        <f aca="false">IF($B1604="","",COUNTIF($F1604:$AJ1604,"HPL"))</f>
        <v/>
      </c>
      <c r="AT1604" s="34" t="str">
        <f aca="false">IF($B1604="","",COUNTIF($F1604:$AJ1604,"HCL"))</f>
        <v/>
      </c>
      <c r="AU1604" s="34" t="str">
        <f aca="false">IF($B1604="","",COUNTIF($F1604:$AJ1604,"WO"))</f>
        <v/>
      </c>
      <c r="AV1604" s="34" t="str">
        <f aca="false">IF($B1604="","",COUNTIF($F1604:$AJ1604,"PH"))</f>
        <v/>
      </c>
      <c r="AW1604" s="34" t="str">
        <f aca="false">IF($B1604="","",COUNTIF($F1604:$AJ1604,"TR"))</f>
        <v/>
      </c>
      <c r="AX1604" s="35" t="str">
        <f aca="false">IF($B1604="","",AO1604+AS1604/2)</f>
        <v/>
      </c>
      <c r="AY1604" s="35" t="str">
        <f aca="false">IF($B1604="","",AQ1604)</f>
        <v/>
      </c>
      <c r="AZ1604" s="35" t="str">
        <f aca="false">IF($B1604="","",AP1604+AT1604/2)</f>
        <v/>
      </c>
      <c r="BA1604" s="35" t="str">
        <f aca="false">IF($B1604="","",AK1604+AN1604+AM1604/2+AO1604+AP1604+AQ1604+AR1604+AS1604+AT1604+AU1604+AV1604+AW1604)</f>
        <v/>
      </c>
      <c r="BB1604" s="35" t="str">
        <f aca="false">IF($B1604="","",MAX(0,AN1604-Settings!$C$16)*Settings!$C$17)</f>
        <v/>
      </c>
      <c r="BC1604" s="35" t="str">
        <f aca="false">IF($B1604="","",BA1604-BB1604)</f>
        <v/>
      </c>
      <c r="BD1604" s="35" t="str">
        <f aca="false">IF(OR($B1604="",$A1604=""),"",DAY(EOMONTH($A1604,0))-COUNTA($F1604:$AJ1604))</f>
        <v/>
      </c>
    </row>
    <row r="1605" customFormat="false" ht="15" hidden="false" customHeight="false" outlineLevel="0" collapsed="false">
      <c r="A1605" s="32"/>
      <c r="B1605" s="29"/>
      <c r="C1605" s="10" t="str">
        <f aca="false">IF($B1605="","",IFERROR(INDEX(M_name,MATCH($B1605,M_emp,0)),"Code not found"))</f>
        <v/>
      </c>
      <c r="D1605" s="10" t="str">
        <f aca="false">IF($B1605="","",IFERROR(INDEX(M_dept,MATCH($B1605,M_emp,0)),""))</f>
        <v/>
      </c>
      <c r="E1605" s="10" t="str">
        <f aca="false">IF($B1605="","",IFERROR(INDEX(M_loc,MATCH($B1605,M_emp,0)),""))</f>
        <v/>
      </c>
      <c r="F1605" s="33"/>
      <c r="G1605" s="33"/>
      <c r="H1605" s="33"/>
      <c r="I1605" s="33"/>
      <c r="J1605" s="33"/>
      <c r="K1605" s="33"/>
      <c r="L1605" s="33"/>
      <c r="M1605" s="33"/>
      <c r="N1605" s="33"/>
      <c r="O1605" s="33"/>
      <c r="P1605" s="33"/>
      <c r="Q1605" s="33"/>
      <c r="R1605" s="33"/>
      <c r="S1605" s="33"/>
      <c r="T1605" s="33"/>
      <c r="U1605" s="33"/>
      <c r="V1605" s="33"/>
      <c r="W1605" s="33"/>
      <c r="X1605" s="33"/>
      <c r="Y1605" s="33"/>
      <c r="Z1605" s="33"/>
      <c r="AA1605" s="33"/>
      <c r="AB1605" s="33"/>
      <c r="AC1605" s="33"/>
      <c r="AD1605" s="33"/>
      <c r="AE1605" s="33"/>
      <c r="AF1605" s="33"/>
      <c r="AG1605" s="33"/>
      <c r="AH1605" s="33"/>
      <c r="AI1605" s="33"/>
      <c r="AJ1605" s="33"/>
      <c r="AK1605" s="34" t="str">
        <f aca="false">IF($B1605="","",COUNTIF($F1605:$AJ1605,"P"))</f>
        <v/>
      </c>
      <c r="AL1605" s="34" t="str">
        <f aca="false">IF($B1605="","",COUNTIF($F1605:$AJ1605,"A"))</f>
        <v/>
      </c>
      <c r="AM1605" s="34" t="str">
        <f aca="false">IF($B1605="","",COUNTIF($F1605:$AJ1605,"HA"))</f>
        <v/>
      </c>
      <c r="AN1605" s="34" t="str">
        <f aca="false">IF($B1605="","",COUNTIF($F1605:$AJ1605,"L"))</f>
        <v/>
      </c>
      <c r="AO1605" s="34" t="str">
        <f aca="false">IF($B1605="","",COUNTIF($F1605:$AJ1605,"PL"))</f>
        <v/>
      </c>
      <c r="AP1605" s="34" t="str">
        <f aca="false">IF($B1605="","",COUNTIF($F1605:$AJ1605,"CL"))</f>
        <v/>
      </c>
      <c r="AQ1605" s="34" t="str">
        <f aca="false">IF($B1605="","",COUNTIF($F1605:$AJ1605,"SL"))</f>
        <v/>
      </c>
      <c r="AR1605" s="34" t="str">
        <f aca="false">IF($B1605="","",COUNTIF($F1605:$AJ1605,"CO"))</f>
        <v/>
      </c>
      <c r="AS1605" s="34" t="str">
        <f aca="false">IF($B1605="","",COUNTIF($F1605:$AJ1605,"HPL"))</f>
        <v/>
      </c>
      <c r="AT1605" s="34" t="str">
        <f aca="false">IF($B1605="","",COUNTIF($F1605:$AJ1605,"HCL"))</f>
        <v/>
      </c>
      <c r="AU1605" s="34" t="str">
        <f aca="false">IF($B1605="","",COUNTIF($F1605:$AJ1605,"WO"))</f>
        <v/>
      </c>
      <c r="AV1605" s="34" t="str">
        <f aca="false">IF($B1605="","",COUNTIF($F1605:$AJ1605,"PH"))</f>
        <v/>
      </c>
      <c r="AW1605" s="34" t="str">
        <f aca="false">IF($B1605="","",COUNTIF($F1605:$AJ1605,"TR"))</f>
        <v/>
      </c>
      <c r="AX1605" s="35" t="str">
        <f aca="false">IF($B1605="","",AO1605+AS1605/2)</f>
        <v/>
      </c>
      <c r="AY1605" s="35" t="str">
        <f aca="false">IF($B1605="","",AQ1605)</f>
        <v/>
      </c>
      <c r="AZ1605" s="35" t="str">
        <f aca="false">IF($B1605="","",AP1605+AT1605/2)</f>
        <v/>
      </c>
      <c r="BA1605" s="35" t="str">
        <f aca="false">IF($B1605="","",AK1605+AN1605+AM1605/2+AO1605+AP1605+AQ1605+AR1605+AS1605+AT1605+AU1605+AV1605+AW1605)</f>
        <v/>
      </c>
      <c r="BB1605" s="35" t="str">
        <f aca="false">IF($B1605="","",MAX(0,AN1605-Settings!$C$16)*Settings!$C$17)</f>
        <v/>
      </c>
      <c r="BC1605" s="35" t="str">
        <f aca="false">IF($B1605="","",BA1605-BB1605)</f>
        <v/>
      </c>
      <c r="BD1605" s="35" t="str">
        <f aca="false">IF(OR($B1605="",$A1605=""),"",DAY(EOMONTH($A1605,0))-COUNTA($F1605:$AJ1605))</f>
        <v/>
      </c>
    </row>
    <row r="1606" customFormat="false" ht="15" hidden="false" customHeight="false" outlineLevel="0" collapsed="false">
      <c r="A1606" s="32"/>
      <c r="B1606" s="29"/>
      <c r="C1606" s="10" t="str">
        <f aca="false">IF($B1606="","",IFERROR(INDEX(M_name,MATCH($B1606,M_emp,0)),"Code not found"))</f>
        <v/>
      </c>
      <c r="D1606" s="10" t="str">
        <f aca="false">IF($B1606="","",IFERROR(INDEX(M_dept,MATCH($B1606,M_emp,0)),""))</f>
        <v/>
      </c>
      <c r="E1606" s="10" t="str">
        <f aca="false">IF($B1606="","",IFERROR(INDEX(M_loc,MATCH($B1606,M_emp,0)),""))</f>
        <v/>
      </c>
      <c r="F1606" s="33"/>
      <c r="G1606" s="33"/>
      <c r="H1606" s="33"/>
      <c r="I1606" s="33"/>
      <c r="J1606" s="33"/>
      <c r="K1606" s="33"/>
      <c r="L1606" s="33"/>
      <c r="M1606" s="33"/>
      <c r="N1606" s="33"/>
      <c r="O1606" s="33"/>
      <c r="P1606" s="33"/>
      <c r="Q1606" s="33"/>
      <c r="R1606" s="33"/>
      <c r="S1606" s="33"/>
      <c r="T1606" s="33"/>
      <c r="U1606" s="33"/>
      <c r="V1606" s="33"/>
      <c r="W1606" s="33"/>
      <c r="X1606" s="33"/>
      <c r="Y1606" s="33"/>
      <c r="Z1606" s="33"/>
      <c r="AA1606" s="33"/>
      <c r="AB1606" s="33"/>
      <c r="AC1606" s="33"/>
      <c r="AD1606" s="33"/>
      <c r="AE1606" s="33"/>
      <c r="AF1606" s="33"/>
      <c r="AG1606" s="33"/>
      <c r="AH1606" s="33"/>
      <c r="AI1606" s="33"/>
      <c r="AJ1606" s="33"/>
      <c r="AK1606" s="34" t="str">
        <f aca="false">IF($B1606="","",COUNTIF($F1606:$AJ1606,"P"))</f>
        <v/>
      </c>
      <c r="AL1606" s="34" t="str">
        <f aca="false">IF($B1606="","",COUNTIF($F1606:$AJ1606,"A"))</f>
        <v/>
      </c>
      <c r="AM1606" s="34" t="str">
        <f aca="false">IF($B1606="","",COUNTIF($F1606:$AJ1606,"HA"))</f>
        <v/>
      </c>
      <c r="AN1606" s="34" t="str">
        <f aca="false">IF($B1606="","",COUNTIF($F1606:$AJ1606,"L"))</f>
        <v/>
      </c>
      <c r="AO1606" s="34" t="str">
        <f aca="false">IF($B1606="","",COUNTIF($F1606:$AJ1606,"PL"))</f>
        <v/>
      </c>
      <c r="AP1606" s="34" t="str">
        <f aca="false">IF($B1606="","",COUNTIF($F1606:$AJ1606,"CL"))</f>
        <v/>
      </c>
      <c r="AQ1606" s="34" t="str">
        <f aca="false">IF($B1606="","",COUNTIF($F1606:$AJ1606,"SL"))</f>
        <v/>
      </c>
      <c r="AR1606" s="34" t="str">
        <f aca="false">IF($B1606="","",COUNTIF($F1606:$AJ1606,"CO"))</f>
        <v/>
      </c>
      <c r="AS1606" s="34" t="str">
        <f aca="false">IF($B1606="","",COUNTIF($F1606:$AJ1606,"HPL"))</f>
        <v/>
      </c>
      <c r="AT1606" s="34" t="str">
        <f aca="false">IF($B1606="","",COUNTIF($F1606:$AJ1606,"HCL"))</f>
        <v/>
      </c>
      <c r="AU1606" s="34" t="str">
        <f aca="false">IF($B1606="","",COUNTIF($F1606:$AJ1606,"WO"))</f>
        <v/>
      </c>
      <c r="AV1606" s="34" t="str">
        <f aca="false">IF($B1606="","",COUNTIF($F1606:$AJ1606,"PH"))</f>
        <v/>
      </c>
      <c r="AW1606" s="34" t="str">
        <f aca="false">IF($B1606="","",COUNTIF($F1606:$AJ1606,"TR"))</f>
        <v/>
      </c>
      <c r="AX1606" s="35" t="str">
        <f aca="false">IF($B1606="","",AO1606+AS1606/2)</f>
        <v/>
      </c>
      <c r="AY1606" s="35" t="str">
        <f aca="false">IF($B1606="","",AQ1606)</f>
        <v/>
      </c>
      <c r="AZ1606" s="35" t="str">
        <f aca="false">IF($B1606="","",AP1606+AT1606/2)</f>
        <v/>
      </c>
      <c r="BA1606" s="35" t="str">
        <f aca="false">IF($B1606="","",AK1606+AN1606+AM1606/2+AO1606+AP1606+AQ1606+AR1606+AS1606+AT1606+AU1606+AV1606+AW1606)</f>
        <v/>
      </c>
      <c r="BB1606" s="35" t="str">
        <f aca="false">IF($B1606="","",MAX(0,AN1606-Settings!$C$16)*Settings!$C$17)</f>
        <v/>
      </c>
      <c r="BC1606" s="35" t="str">
        <f aca="false">IF($B1606="","",BA1606-BB1606)</f>
        <v/>
      </c>
      <c r="BD1606" s="35" t="str">
        <f aca="false">IF(OR($B1606="",$A1606=""),"",DAY(EOMONTH($A1606,0))-COUNTA($F1606:$AJ1606))</f>
        <v/>
      </c>
    </row>
    <row r="1607" customFormat="false" ht="15" hidden="false" customHeight="false" outlineLevel="0" collapsed="false">
      <c r="A1607" s="32"/>
      <c r="B1607" s="29"/>
      <c r="C1607" s="10" t="str">
        <f aca="false">IF($B1607="","",IFERROR(INDEX(M_name,MATCH($B1607,M_emp,0)),"Code not found"))</f>
        <v/>
      </c>
      <c r="D1607" s="10" t="str">
        <f aca="false">IF($B1607="","",IFERROR(INDEX(M_dept,MATCH($B1607,M_emp,0)),""))</f>
        <v/>
      </c>
      <c r="E1607" s="10" t="str">
        <f aca="false">IF($B1607="","",IFERROR(INDEX(M_loc,MATCH($B1607,M_emp,0)),""))</f>
        <v/>
      </c>
      <c r="F1607" s="33"/>
      <c r="G1607" s="33"/>
      <c r="H1607" s="33"/>
      <c r="I1607" s="33"/>
      <c r="J1607" s="33"/>
      <c r="K1607" s="33"/>
      <c r="L1607" s="33"/>
      <c r="M1607" s="33"/>
      <c r="N1607" s="33"/>
      <c r="O1607" s="33"/>
      <c r="P1607" s="33"/>
      <c r="Q1607" s="33"/>
      <c r="R1607" s="33"/>
      <c r="S1607" s="33"/>
      <c r="T1607" s="33"/>
      <c r="U1607" s="33"/>
      <c r="V1607" s="33"/>
      <c r="W1607" s="33"/>
      <c r="X1607" s="33"/>
      <c r="Y1607" s="33"/>
      <c r="Z1607" s="33"/>
      <c r="AA1607" s="33"/>
      <c r="AB1607" s="33"/>
      <c r="AC1607" s="33"/>
      <c r="AD1607" s="33"/>
      <c r="AE1607" s="33"/>
      <c r="AF1607" s="33"/>
      <c r="AG1607" s="33"/>
      <c r="AH1607" s="33"/>
      <c r="AI1607" s="33"/>
      <c r="AJ1607" s="33"/>
      <c r="AK1607" s="34" t="str">
        <f aca="false">IF($B1607="","",COUNTIF($F1607:$AJ1607,"P"))</f>
        <v/>
      </c>
      <c r="AL1607" s="34" t="str">
        <f aca="false">IF($B1607="","",COUNTIF($F1607:$AJ1607,"A"))</f>
        <v/>
      </c>
      <c r="AM1607" s="34" t="str">
        <f aca="false">IF($B1607="","",COUNTIF($F1607:$AJ1607,"HA"))</f>
        <v/>
      </c>
      <c r="AN1607" s="34" t="str">
        <f aca="false">IF($B1607="","",COUNTIF($F1607:$AJ1607,"L"))</f>
        <v/>
      </c>
      <c r="AO1607" s="34" t="str">
        <f aca="false">IF($B1607="","",COUNTIF($F1607:$AJ1607,"PL"))</f>
        <v/>
      </c>
      <c r="AP1607" s="34" t="str">
        <f aca="false">IF($B1607="","",COUNTIF($F1607:$AJ1607,"CL"))</f>
        <v/>
      </c>
      <c r="AQ1607" s="34" t="str">
        <f aca="false">IF($B1607="","",COUNTIF($F1607:$AJ1607,"SL"))</f>
        <v/>
      </c>
      <c r="AR1607" s="34" t="str">
        <f aca="false">IF($B1607="","",COUNTIF($F1607:$AJ1607,"CO"))</f>
        <v/>
      </c>
      <c r="AS1607" s="34" t="str">
        <f aca="false">IF($B1607="","",COUNTIF($F1607:$AJ1607,"HPL"))</f>
        <v/>
      </c>
      <c r="AT1607" s="34" t="str">
        <f aca="false">IF($B1607="","",COUNTIF($F1607:$AJ1607,"HCL"))</f>
        <v/>
      </c>
      <c r="AU1607" s="34" t="str">
        <f aca="false">IF($B1607="","",COUNTIF($F1607:$AJ1607,"WO"))</f>
        <v/>
      </c>
      <c r="AV1607" s="34" t="str">
        <f aca="false">IF($B1607="","",COUNTIF($F1607:$AJ1607,"PH"))</f>
        <v/>
      </c>
      <c r="AW1607" s="34" t="str">
        <f aca="false">IF($B1607="","",COUNTIF($F1607:$AJ1607,"TR"))</f>
        <v/>
      </c>
      <c r="AX1607" s="35" t="str">
        <f aca="false">IF($B1607="","",AO1607+AS1607/2)</f>
        <v/>
      </c>
      <c r="AY1607" s="35" t="str">
        <f aca="false">IF($B1607="","",AQ1607)</f>
        <v/>
      </c>
      <c r="AZ1607" s="35" t="str">
        <f aca="false">IF($B1607="","",AP1607+AT1607/2)</f>
        <v/>
      </c>
      <c r="BA1607" s="35" t="str">
        <f aca="false">IF($B1607="","",AK1607+AN1607+AM1607/2+AO1607+AP1607+AQ1607+AR1607+AS1607+AT1607+AU1607+AV1607+AW1607)</f>
        <v/>
      </c>
      <c r="BB1607" s="35" t="str">
        <f aca="false">IF($B1607="","",MAX(0,AN1607-Settings!$C$16)*Settings!$C$17)</f>
        <v/>
      </c>
      <c r="BC1607" s="35" t="str">
        <f aca="false">IF($B1607="","",BA1607-BB1607)</f>
        <v/>
      </c>
      <c r="BD1607" s="35" t="str">
        <f aca="false">IF(OR($B1607="",$A1607=""),"",DAY(EOMONTH($A1607,0))-COUNTA($F1607:$AJ1607))</f>
        <v/>
      </c>
    </row>
    <row r="1608" customFormat="false" ht="15" hidden="false" customHeight="false" outlineLevel="0" collapsed="false">
      <c r="A1608" s="32"/>
      <c r="B1608" s="29"/>
      <c r="C1608" s="10" t="str">
        <f aca="false">IF($B1608="","",IFERROR(INDEX(M_name,MATCH($B1608,M_emp,0)),"Code not found"))</f>
        <v/>
      </c>
      <c r="D1608" s="10" t="str">
        <f aca="false">IF($B1608="","",IFERROR(INDEX(M_dept,MATCH($B1608,M_emp,0)),""))</f>
        <v/>
      </c>
      <c r="E1608" s="10" t="str">
        <f aca="false">IF($B1608="","",IFERROR(INDEX(M_loc,MATCH($B1608,M_emp,0)),""))</f>
        <v/>
      </c>
      <c r="F1608" s="33"/>
      <c r="G1608" s="33"/>
      <c r="H1608" s="33"/>
      <c r="I1608" s="33"/>
      <c r="J1608" s="33"/>
      <c r="K1608" s="33"/>
      <c r="L1608" s="33"/>
      <c r="M1608" s="33"/>
      <c r="N1608" s="33"/>
      <c r="O1608" s="33"/>
      <c r="P1608" s="33"/>
      <c r="Q1608" s="33"/>
      <c r="R1608" s="33"/>
      <c r="S1608" s="33"/>
      <c r="T1608" s="33"/>
      <c r="U1608" s="33"/>
      <c r="V1608" s="33"/>
      <c r="W1608" s="33"/>
      <c r="X1608" s="33"/>
      <c r="Y1608" s="33"/>
      <c r="Z1608" s="33"/>
      <c r="AA1608" s="33"/>
      <c r="AB1608" s="33"/>
      <c r="AC1608" s="33"/>
      <c r="AD1608" s="33"/>
      <c r="AE1608" s="33"/>
      <c r="AF1608" s="33"/>
      <c r="AG1608" s="33"/>
      <c r="AH1608" s="33"/>
      <c r="AI1608" s="33"/>
      <c r="AJ1608" s="33"/>
      <c r="AK1608" s="34" t="str">
        <f aca="false">IF($B1608="","",COUNTIF($F1608:$AJ1608,"P"))</f>
        <v/>
      </c>
      <c r="AL1608" s="34" t="str">
        <f aca="false">IF($B1608="","",COUNTIF($F1608:$AJ1608,"A"))</f>
        <v/>
      </c>
      <c r="AM1608" s="34" t="str">
        <f aca="false">IF($B1608="","",COUNTIF($F1608:$AJ1608,"HA"))</f>
        <v/>
      </c>
      <c r="AN1608" s="34" t="str">
        <f aca="false">IF($B1608="","",COUNTIF($F1608:$AJ1608,"L"))</f>
        <v/>
      </c>
      <c r="AO1608" s="34" t="str">
        <f aca="false">IF($B1608="","",COUNTIF($F1608:$AJ1608,"PL"))</f>
        <v/>
      </c>
      <c r="AP1608" s="34" t="str">
        <f aca="false">IF($B1608="","",COUNTIF($F1608:$AJ1608,"CL"))</f>
        <v/>
      </c>
      <c r="AQ1608" s="34" t="str">
        <f aca="false">IF($B1608="","",COUNTIF($F1608:$AJ1608,"SL"))</f>
        <v/>
      </c>
      <c r="AR1608" s="34" t="str">
        <f aca="false">IF($B1608="","",COUNTIF($F1608:$AJ1608,"CO"))</f>
        <v/>
      </c>
      <c r="AS1608" s="34" t="str">
        <f aca="false">IF($B1608="","",COUNTIF($F1608:$AJ1608,"HPL"))</f>
        <v/>
      </c>
      <c r="AT1608" s="34" t="str">
        <f aca="false">IF($B1608="","",COUNTIF($F1608:$AJ1608,"HCL"))</f>
        <v/>
      </c>
      <c r="AU1608" s="34" t="str">
        <f aca="false">IF($B1608="","",COUNTIF($F1608:$AJ1608,"WO"))</f>
        <v/>
      </c>
      <c r="AV1608" s="34" t="str">
        <f aca="false">IF($B1608="","",COUNTIF($F1608:$AJ1608,"PH"))</f>
        <v/>
      </c>
      <c r="AW1608" s="34" t="str">
        <f aca="false">IF($B1608="","",COUNTIF($F1608:$AJ1608,"TR"))</f>
        <v/>
      </c>
      <c r="AX1608" s="35" t="str">
        <f aca="false">IF($B1608="","",AO1608+AS1608/2)</f>
        <v/>
      </c>
      <c r="AY1608" s="35" t="str">
        <f aca="false">IF($B1608="","",AQ1608)</f>
        <v/>
      </c>
      <c r="AZ1608" s="35" t="str">
        <f aca="false">IF($B1608="","",AP1608+AT1608/2)</f>
        <v/>
      </c>
      <c r="BA1608" s="35" t="str">
        <f aca="false">IF($B1608="","",AK1608+AN1608+AM1608/2+AO1608+AP1608+AQ1608+AR1608+AS1608+AT1608+AU1608+AV1608+AW1608)</f>
        <v/>
      </c>
      <c r="BB1608" s="35" t="str">
        <f aca="false">IF($B1608="","",MAX(0,AN1608-Settings!$C$16)*Settings!$C$17)</f>
        <v/>
      </c>
      <c r="BC1608" s="35" t="str">
        <f aca="false">IF($B1608="","",BA1608-BB1608)</f>
        <v/>
      </c>
      <c r="BD1608" s="35" t="str">
        <f aca="false">IF(OR($B1608="",$A1608=""),"",DAY(EOMONTH($A1608,0))-COUNTA($F1608:$AJ1608))</f>
        <v/>
      </c>
    </row>
    <row r="1609" customFormat="false" ht="15" hidden="false" customHeight="false" outlineLevel="0" collapsed="false">
      <c r="A1609" s="32"/>
      <c r="B1609" s="29"/>
      <c r="C1609" s="10" t="str">
        <f aca="false">IF($B1609="","",IFERROR(INDEX(M_name,MATCH($B1609,M_emp,0)),"Code not found"))</f>
        <v/>
      </c>
      <c r="D1609" s="10" t="str">
        <f aca="false">IF($B1609="","",IFERROR(INDEX(M_dept,MATCH($B1609,M_emp,0)),""))</f>
        <v/>
      </c>
      <c r="E1609" s="10" t="str">
        <f aca="false">IF($B1609="","",IFERROR(INDEX(M_loc,MATCH($B1609,M_emp,0)),""))</f>
        <v/>
      </c>
      <c r="F1609" s="33"/>
      <c r="G1609" s="33"/>
      <c r="H1609" s="33"/>
      <c r="I1609" s="33"/>
      <c r="J1609" s="33"/>
      <c r="K1609" s="33"/>
      <c r="L1609" s="33"/>
      <c r="M1609" s="33"/>
      <c r="N1609" s="33"/>
      <c r="O1609" s="33"/>
      <c r="P1609" s="33"/>
      <c r="Q1609" s="33"/>
      <c r="R1609" s="33"/>
      <c r="S1609" s="33"/>
      <c r="T1609" s="33"/>
      <c r="U1609" s="33"/>
      <c r="V1609" s="33"/>
      <c r="W1609" s="33"/>
      <c r="X1609" s="33"/>
      <c r="Y1609" s="33"/>
      <c r="Z1609" s="33"/>
      <c r="AA1609" s="33"/>
      <c r="AB1609" s="33"/>
      <c r="AC1609" s="33"/>
      <c r="AD1609" s="33"/>
      <c r="AE1609" s="33"/>
      <c r="AF1609" s="33"/>
      <c r="AG1609" s="33"/>
      <c r="AH1609" s="33"/>
      <c r="AI1609" s="33"/>
      <c r="AJ1609" s="33"/>
      <c r="AK1609" s="34" t="str">
        <f aca="false">IF($B1609="","",COUNTIF($F1609:$AJ1609,"P"))</f>
        <v/>
      </c>
      <c r="AL1609" s="34" t="str">
        <f aca="false">IF($B1609="","",COUNTIF($F1609:$AJ1609,"A"))</f>
        <v/>
      </c>
      <c r="AM1609" s="34" t="str">
        <f aca="false">IF($B1609="","",COUNTIF($F1609:$AJ1609,"HA"))</f>
        <v/>
      </c>
      <c r="AN1609" s="34" t="str">
        <f aca="false">IF($B1609="","",COUNTIF($F1609:$AJ1609,"L"))</f>
        <v/>
      </c>
      <c r="AO1609" s="34" t="str">
        <f aca="false">IF($B1609="","",COUNTIF($F1609:$AJ1609,"PL"))</f>
        <v/>
      </c>
      <c r="AP1609" s="34" t="str">
        <f aca="false">IF($B1609="","",COUNTIF($F1609:$AJ1609,"CL"))</f>
        <v/>
      </c>
      <c r="AQ1609" s="34" t="str">
        <f aca="false">IF($B1609="","",COUNTIF($F1609:$AJ1609,"SL"))</f>
        <v/>
      </c>
      <c r="AR1609" s="34" t="str">
        <f aca="false">IF($B1609="","",COUNTIF($F1609:$AJ1609,"CO"))</f>
        <v/>
      </c>
      <c r="AS1609" s="34" t="str">
        <f aca="false">IF($B1609="","",COUNTIF($F1609:$AJ1609,"HPL"))</f>
        <v/>
      </c>
      <c r="AT1609" s="34" t="str">
        <f aca="false">IF($B1609="","",COUNTIF($F1609:$AJ1609,"HCL"))</f>
        <v/>
      </c>
      <c r="AU1609" s="34" t="str">
        <f aca="false">IF($B1609="","",COUNTIF($F1609:$AJ1609,"WO"))</f>
        <v/>
      </c>
      <c r="AV1609" s="34" t="str">
        <f aca="false">IF($B1609="","",COUNTIF($F1609:$AJ1609,"PH"))</f>
        <v/>
      </c>
      <c r="AW1609" s="34" t="str">
        <f aca="false">IF($B1609="","",COUNTIF($F1609:$AJ1609,"TR"))</f>
        <v/>
      </c>
      <c r="AX1609" s="35" t="str">
        <f aca="false">IF($B1609="","",AO1609+AS1609/2)</f>
        <v/>
      </c>
      <c r="AY1609" s="35" t="str">
        <f aca="false">IF($B1609="","",AQ1609)</f>
        <v/>
      </c>
      <c r="AZ1609" s="35" t="str">
        <f aca="false">IF($B1609="","",AP1609+AT1609/2)</f>
        <v/>
      </c>
      <c r="BA1609" s="35" t="str">
        <f aca="false">IF($B1609="","",AK1609+AN1609+AM1609/2+AO1609+AP1609+AQ1609+AR1609+AS1609+AT1609+AU1609+AV1609+AW1609)</f>
        <v/>
      </c>
      <c r="BB1609" s="35" t="str">
        <f aca="false">IF($B1609="","",MAX(0,AN1609-Settings!$C$16)*Settings!$C$17)</f>
        <v/>
      </c>
      <c r="BC1609" s="35" t="str">
        <f aca="false">IF($B1609="","",BA1609-BB1609)</f>
        <v/>
      </c>
      <c r="BD1609" s="35" t="str">
        <f aca="false">IF(OR($B1609="",$A1609=""),"",DAY(EOMONTH($A1609,0))-COUNTA($F1609:$AJ1609))</f>
        <v/>
      </c>
    </row>
    <row r="1610" customFormat="false" ht="15" hidden="false" customHeight="false" outlineLevel="0" collapsed="false">
      <c r="A1610" s="32"/>
      <c r="B1610" s="29"/>
      <c r="C1610" s="10" t="str">
        <f aca="false">IF($B1610="","",IFERROR(INDEX(M_name,MATCH($B1610,M_emp,0)),"Code not found"))</f>
        <v/>
      </c>
      <c r="D1610" s="10" t="str">
        <f aca="false">IF($B1610="","",IFERROR(INDEX(M_dept,MATCH($B1610,M_emp,0)),""))</f>
        <v/>
      </c>
      <c r="E1610" s="10" t="str">
        <f aca="false">IF($B1610="","",IFERROR(INDEX(M_loc,MATCH($B1610,M_emp,0)),""))</f>
        <v/>
      </c>
      <c r="F1610" s="33"/>
      <c r="G1610" s="33"/>
      <c r="H1610" s="33"/>
      <c r="I1610" s="33"/>
      <c r="J1610" s="33"/>
      <c r="K1610" s="33"/>
      <c r="L1610" s="33"/>
      <c r="M1610" s="33"/>
      <c r="N1610" s="33"/>
      <c r="O1610" s="33"/>
      <c r="P1610" s="33"/>
      <c r="Q1610" s="33"/>
      <c r="R1610" s="33"/>
      <c r="S1610" s="33"/>
      <c r="T1610" s="33"/>
      <c r="U1610" s="33"/>
      <c r="V1610" s="33"/>
      <c r="W1610" s="33"/>
      <c r="X1610" s="33"/>
      <c r="Y1610" s="33"/>
      <c r="Z1610" s="33"/>
      <c r="AA1610" s="33"/>
      <c r="AB1610" s="33"/>
      <c r="AC1610" s="33"/>
      <c r="AD1610" s="33"/>
      <c r="AE1610" s="33"/>
      <c r="AF1610" s="33"/>
      <c r="AG1610" s="33"/>
      <c r="AH1610" s="33"/>
      <c r="AI1610" s="33"/>
      <c r="AJ1610" s="33"/>
      <c r="AK1610" s="34" t="str">
        <f aca="false">IF($B1610="","",COUNTIF($F1610:$AJ1610,"P"))</f>
        <v/>
      </c>
      <c r="AL1610" s="34" t="str">
        <f aca="false">IF($B1610="","",COUNTIF($F1610:$AJ1610,"A"))</f>
        <v/>
      </c>
      <c r="AM1610" s="34" t="str">
        <f aca="false">IF($B1610="","",COUNTIF($F1610:$AJ1610,"HA"))</f>
        <v/>
      </c>
      <c r="AN1610" s="34" t="str">
        <f aca="false">IF($B1610="","",COUNTIF($F1610:$AJ1610,"L"))</f>
        <v/>
      </c>
      <c r="AO1610" s="34" t="str">
        <f aca="false">IF($B1610="","",COUNTIF($F1610:$AJ1610,"PL"))</f>
        <v/>
      </c>
      <c r="AP1610" s="34" t="str">
        <f aca="false">IF($B1610="","",COUNTIF($F1610:$AJ1610,"CL"))</f>
        <v/>
      </c>
      <c r="AQ1610" s="34" t="str">
        <f aca="false">IF($B1610="","",COUNTIF($F1610:$AJ1610,"SL"))</f>
        <v/>
      </c>
      <c r="AR1610" s="34" t="str">
        <f aca="false">IF($B1610="","",COUNTIF($F1610:$AJ1610,"CO"))</f>
        <v/>
      </c>
      <c r="AS1610" s="34" t="str">
        <f aca="false">IF($B1610="","",COUNTIF($F1610:$AJ1610,"HPL"))</f>
        <v/>
      </c>
      <c r="AT1610" s="34" t="str">
        <f aca="false">IF($B1610="","",COUNTIF($F1610:$AJ1610,"HCL"))</f>
        <v/>
      </c>
      <c r="AU1610" s="34" t="str">
        <f aca="false">IF($B1610="","",COUNTIF($F1610:$AJ1610,"WO"))</f>
        <v/>
      </c>
      <c r="AV1610" s="34" t="str">
        <f aca="false">IF($B1610="","",COUNTIF($F1610:$AJ1610,"PH"))</f>
        <v/>
      </c>
      <c r="AW1610" s="34" t="str">
        <f aca="false">IF($B1610="","",COUNTIF($F1610:$AJ1610,"TR"))</f>
        <v/>
      </c>
      <c r="AX1610" s="35" t="str">
        <f aca="false">IF($B1610="","",AO1610+AS1610/2)</f>
        <v/>
      </c>
      <c r="AY1610" s="35" t="str">
        <f aca="false">IF($B1610="","",AQ1610)</f>
        <v/>
      </c>
      <c r="AZ1610" s="35" t="str">
        <f aca="false">IF($B1610="","",AP1610+AT1610/2)</f>
        <v/>
      </c>
      <c r="BA1610" s="35" t="str">
        <f aca="false">IF($B1610="","",AK1610+AN1610+AM1610/2+AO1610+AP1610+AQ1610+AR1610+AS1610+AT1610+AU1610+AV1610+AW1610)</f>
        <v/>
      </c>
      <c r="BB1610" s="35" t="str">
        <f aca="false">IF($B1610="","",MAX(0,AN1610-Settings!$C$16)*Settings!$C$17)</f>
        <v/>
      </c>
      <c r="BC1610" s="35" t="str">
        <f aca="false">IF($B1610="","",BA1610-BB1610)</f>
        <v/>
      </c>
      <c r="BD1610" s="35" t="str">
        <f aca="false">IF(OR($B1610="",$A1610=""),"",DAY(EOMONTH($A1610,0))-COUNTA($F1610:$AJ1610))</f>
        <v/>
      </c>
    </row>
    <row r="1611" customFormat="false" ht="15" hidden="false" customHeight="false" outlineLevel="0" collapsed="false">
      <c r="A1611" s="32"/>
      <c r="B1611" s="29"/>
      <c r="C1611" s="10" t="str">
        <f aca="false">IF($B1611="","",IFERROR(INDEX(M_name,MATCH($B1611,M_emp,0)),"Code not found"))</f>
        <v/>
      </c>
      <c r="D1611" s="10" t="str">
        <f aca="false">IF($B1611="","",IFERROR(INDEX(M_dept,MATCH($B1611,M_emp,0)),""))</f>
        <v/>
      </c>
      <c r="E1611" s="10" t="str">
        <f aca="false">IF($B1611="","",IFERROR(INDEX(M_loc,MATCH($B1611,M_emp,0)),""))</f>
        <v/>
      </c>
      <c r="F1611" s="33"/>
      <c r="G1611" s="33"/>
      <c r="H1611" s="33"/>
      <c r="I1611" s="33"/>
      <c r="J1611" s="33"/>
      <c r="K1611" s="33"/>
      <c r="L1611" s="33"/>
      <c r="M1611" s="33"/>
      <c r="N1611" s="33"/>
      <c r="O1611" s="33"/>
      <c r="P1611" s="33"/>
      <c r="Q1611" s="33"/>
      <c r="R1611" s="33"/>
      <c r="S1611" s="33"/>
      <c r="T1611" s="33"/>
      <c r="U1611" s="33"/>
      <c r="V1611" s="33"/>
      <c r="W1611" s="33"/>
      <c r="X1611" s="33"/>
      <c r="Y1611" s="33"/>
      <c r="Z1611" s="33"/>
      <c r="AA1611" s="33"/>
      <c r="AB1611" s="33"/>
      <c r="AC1611" s="33"/>
      <c r="AD1611" s="33"/>
      <c r="AE1611" s="33"/>
      <c r="AF1611" s="33"/>
      <c r="AG1611" s="33"/>
      <c r="AH1611" s="33"/>
      <c r="AI1611" s="33"/>
      <c r="AJ1611" s="33"/>
      <c r="AK1611" s="34" t="str">
        <f aca="false">IF($B1611="","",COUNTIF($F1611:$AJ1611,"P"))</f>
        <v/>
      </c>
      <c r="AL1611" s="34" t="str">
        <f aca="false">IF($B1611="","",COUNTIF($F1611:$AJ1611,"A"))</f>
        <v/>
      </c>
      <c r="AM1611" s="34" t="str">
        <f aca="false">IF($B1611="","",COUNTIF($F1611:$AJ1611,"HA"))</f>
        <v/>
      </c>
      <c r="AN1611" s="34" t="str">
        <f aca="false">IF($B1611="","",COUNTIF($F1611:$AJ1611,"L"))</f>
        <v/>
      </c>
      <c r="AO1611" s="34" t="str">
        <f aca="false">IF($B1611="","",COUNTIF($F1611:$AJ1611,"PL"))</f>
        <v/>
      </c>
      <c r="AP1611" s="34" t="str">
        <f aca="false">IF($B1611="","",COUNTIF($F1611:$AJ1611,"CL"))</f>
        <v/>
      </c>
      <c r="AQ1611" s="34" t="str">
        <f aca="false">IF($B1611="","",COUNTIF($F1611:$AJ1611,"SL"))</f>
        <v/>
      </c>
      <c r="AR1611" s="34" t="str">
        <f aca="false">IF($B1611="","",COUNTIF($F1611:$AJ1611,"CO"))</f>
        <v/>
      </c>
      <c r="AS1611" s="34" t="str">
        <f aca="false">IF($B1611="","",COUNTIF($F1611:$AJ1611,"HPL"))</f>
        <v/>
      </c>
      <c r="AT1611" s="34" t="str">
        <f aca="false">IF($B1611="","",COUNTIF($F1611:$AJ1611,"HCL"))</f>
        <v/>
      </c>
      <c r="AU1611" s="34" t="str">
        <f aca="false">IF($B1611="","",COUNTIF($F1611:$AJ1611,"WO"))</f>
        <v/>
      </c>
      <c r="AV1611" s="34" t="str">
        <f aca="false">IF($B1611="","",COUNTIF($F1611:$AJ1611,"PH"))</f>
        <v/>
      </c>
      <c r="AW1611" s="34" t="str">
        <f aca="false">IF($B1611="","",COUNTIF($F1611:$AJ1611,"TR"))</f>
        <v/>
      </c>
      <c r="AX1611" s="35" t="str">
        <f aca="false">IF($B1611="","",AO1611+AS1611/2)</f>
        <v/>
      </c>
      <c r="AY1611" s="35" t="str">
        <f aca="false">IF($B1611="","",AQ1611)</f>
        <v/>
      </c>
      <c r="AZ1611" s="35" t="str">
        <f aca="false">IF($B1611="","",AP1611+AT1611/2)</f>
        <v/>
      </c>
      <c r="BA1611" s="35" t="str">
        <f aca="false">IF($B1611="","",AK1611+AN1611+AM1611/2+AO1611+AP1611+AQ1611+AR1611+AS1611+AT1611+AU1611+AV1611+AW1611)</f>
        <v/>
      </c>
      <c r="BB1611" s="35" t="str">
        <f aca="false">IF($B1611="","",MAX(0,AN1611-Settings!$C$16)*Settings!$C$17)</f>
        <v/>
      </c>
      <c r="BC1611" s="35" t="str">
        <f aca="false">IF($B1611="","",BA1611-BB1611)</f>
        <v/>
      </c>
      <c r="BD1611" s="35" t="str">
        <f aca="false">IF(OR($B1611="",$A1611=""),"",DAY(EOMONTH($A1611,0))-COUNTA($F1611:$AJ1611))</f>
        <v/>
      </c>
    </row>
    <row r="1612" customFormat="false" ht="15" hidden="false" customHeight="false" outlineLevel="0" collapsed="false">
      <c r="A1612" s="32"/>
      <c r="B1612" s="29"/>
      <c r="C1612" s="10" t="str">
        <f aca="false">IF($B1612="","",IFERROR(INDEX(M_name,MATCH($B1612,M_emp,0)),"Code not found"))</f>
        <v/>
      </c>
      <c r="D1612" s="10" t="str">
        <f aca="false">IF($B1612="","",IFERROR(INDEX(M_dept,MATCH($B1612,M_emp,0)),""))</f>
        <v/>
      </c>
      <c r="E1612" s="10" t="str">
        <f aca="false">IF($B1612="","",IFERROR(INDEX(M_loc,MATCH($B1612,M_emp,0)),""))</f>
        <v/>
      </c>
      <c r="F1612" s="33"/>
      <c r="G1612" s="33"/>
      <c r="H1612" s="33"/>
      <c r="I1612" s="33"/>
      <c r="J1612" s="33"/>
      <c r="K1612" s="33"/>
      <c r="L1612" s="33"/>
      <c r="M1612" s="33"/>
      <c r="N1612" s="33"/>
      <c r="O1612" s="33"/>
      <c r="P1612" s="33"/>
      <c r="Q1612" s="33"/>
      <c r="R1612" s="33"/>
      <c r="S1612" s="33"/>
      <c r="T1612" s="33"/>
      <c r="U1612" s="33"/>
      <c r="V1612" s="33"/>
      <c r="W1612" s="33"/>
      <c r="X1612" s="33"/>
      <c r="Y1612" s="33"/>
      <c r="Z1612" s="33"/>
      <c r="AA1612" s="33"/>
      <c r="AB1612" s="33"/>
      <c r="AC1612" s="33"/>
      <c r="AD1612" s="33"/>
      <c r="AE1612" s="33"/>
      <c r="AF1612" s="33"/>
      <c r="AG1612" s="33"/>
      <c r="AH1612" s="33"/>
      <c r="AI1612" s="33"/>
      <c r="AJ1612" s="33"/>
      <c r="AK1612" s="34" t="str">
        <f aca="false">IF($B1612="","",COUNTIF($F1612:$AJ1612,"P"))</f>
        <v/>
      </c>
      <c r="AL1612" s="34" t="str">
        <f aca="false">IF($B1612="","",COUNTIF($F1612:$AJ1612,"A"))</f>
        <v/>
      </c>
      <c r="AM1612" s="34" t="str">
        <f aca="false">IF($B1612="","",COUNTIF($F1612:$AJ1612,"HA"))</f>
        <v/>
      </c>
      <c r="AN1612" s="34" t="str">
        <f aca="false">IF($B1612="","",COUNTIF($F1612:$AJ1612,"L"))</f>
        <v/>
      </c>
      <c r="AO1612" s="34" t="str">
        <f aca="false">IF($B1612="","",COUNTIF($F1612:$AJ1612,"PL"))</f>
        <v/>
      </c>
      <c r="AP1612" s="34" t="str">
        <f aca="false">IF($B1612="","",COUNTIF($F1612:$AJ1612,"CL"))</f>
        <v/>
      </c>
      <c r="AQ1612" s="34" t="str">
        <f aca="false">IF($B1612="","",COUNTIF($F1612:$AJ1612,"SL"))</f>
        <v/>
      </c>
      <c r="AR1612" s="34" t="str">
        <f aca="false">IF($B1612="","",COUNTIF($F1612:$AJ1612,"CO"))</f>
        <v/>
      </c>
      <c r="AS1612" s="34" t="str">
        <f aca="false">IF($B1612="","",COUNTIF($F1612:$AJ1612,"HPL"))</f>
        <v/>
      </c>
      <c r="AT1612" s="34" t="str">
        <f aca="false">IF($B1612="","",COUNTIF($F1612:$AJ1612,"HCL"))</f>
        <v/>
      </c>
      <c r="AU1612" s="34" t="str">
        <f aca="false">IF($B1612="","",COUNTIF($F1612:$AJ1612,"WO"))</f>
        <v/>
      </c>
      <c r="AV1612" s="34" t="str">
        <f aca="false">IF($B1612="","",COUNTIF($F1612:$AJ1612,"PH"))</f>
        <v/>
      </c>
      <c r="AW1612" s="34" t="str">
        <f aca="false">IF($B1612="","",COUNTIF($F1612:$AJ1612,"TR"))</f>
        <v/>
      </c>
      <c r="AX1612" s="35" t="str">
        <f aca="false">IF($B1612="","",AO1612+AS1612/2)</f>
        <v/>
      </c>
      <c r="AY1612" s="35" t="str">
        <f aca="false">IF($B1612="","",AQ1612)</f>
        <v/>
      </c>
      <c r="AZ1612" s="35" t="str">
        <f aca="false">IF($B1612="","",AP1612+AT1612/2)</f>
        <v/>
      </c>
      <c r="BA1612" s="35" t="str">
        <f aca="false">IF($B1612="","",AK1612+AN1612+AM1612/2+AO1612+AP1612+AQ1612+AR1612+AS1612+AT1612+AU1612+AV1612+AW1612)</f>
        <v/>
      </c>
      <c r="BB1612" s="35" t="str">
        <f aca="false">IF($B1612="","",MAX(0,AN1612-Settings!$C$16)*Settings!$C$17)</f>
        <v/>
      </c>
      <c r="BC1612" s="35" t="str">
        <f aca="false">IF($B1612="","",BA1612-BB1612)</f>
        <v/>
      </c>
      <c r="BD1612" s="35" t="str">
        <f aca="false">IF(OR($B1612="",$A1612=""),"",DAY(EOMONTH($A1612,0))-COUNTA($F1612:$AJ1612))</f>
        <v/>
      </c>
    </row>
    <row r="1613" customFormat="false" ht="15" hidden="false" customHeight="false" outlineLevel="0" collapsed="false">
      <c r="A1613" s="32"/>
      <c r="B1613" s="29"/>
      <c r="C1613" s="10" t="str">
        <f aca="false">IF($B1613="","",IFERROR(INDEX(M_name,MATCH($B1613,M_emp,0)),"Code not found"))</f>
        <v/>
      </c>
      <c r="D1613" s="10" t="str">
        <f aca="false">IF($B1613="","",IFERROR(INDEX(M_dept,MATCH($B1613,M_emp,0)),""))</f>
        <v/>
      </c>
      <c r="E1613" s="10" t="str">
        <f aca="false">IF($B1613="","",IFERROR(INDEX(M_loc,MATCH($B1613,M_emp,0)),""))</f>
        <v/>
      </c>
      <c r="F1613" s="33"/>
      <c r="G1613" s="33"/>
      <c r="H1613" s="33"/>
      <c r="I1613" s="33"/>
      <c r="J1613" s="33"/>
      <c r="K1613" s="33"/>
      <c r="L1613" s="33"/>
      <c r="M1613" s="33"/>
      <c r="N1613" s="33"/>
      <c r="O1613" s="33"/>
      <c r="P1613" s="33"/>
      <c r="Q1613" s="33"/>
      <c r="R1613" s="33"/>
      <c r="S1613" s="33"/>
      <c r="T1613" s="33"/>
      <c r="U1613" s="33"/>
      <c r="V1613" s="33"/>
      <c r="W1613" s="33"/>
      <c r="X1613" s="33"/>
      <c r="Y1613" s="33"/>
      <c r="Z1613" s="33"/>
      <c r="AA1613" s="33"/>
      <c r="AB1613" s="33"/>
      <c r="AC1613" s="33"/>
      <c r="AD1613" s="33"/>
      <c r="AE1613" s="33"/>
      <c r="AF1613" s="33"/>
      <c r="AG1613" s="33"/>
      <c r="AH1613" s="33"/>
      <c r="AI1613" s="33"/>
      <c r="AJ1613" s="33"/>
      <c r="AK1613" s="34" t="str">
        <f aca="false">IF($B1613="","",COUNTIF($F1613:$AJ1613,"P"))</f>
        <v/>
      </c>
      <c r="AL1613" s="34" t="str">
        <f aca="false">IF($B1613="","",COUNTIF($F1613:$AJ1613,"A"))</f>
        <v/>
      </c>
      <c r="AM1613" s="34" t="str">
        <f aca="false">IF($B1613="","",COUNTIF($F1613:$AJ1613,"HA"))</f>
        <v/>
      </c>
      <c r="AN1613" s="34" t="str">
        <f aca="false">IF($B1613="","",COUNTIF($F1613:$AJ1613,"L"))</f>
        <v/>
      </c>
      <c r="AO1613" s="34" t="str">
        <f aca="false">IF($B1613="","",COUNTIF($F1613:$AJ1613,"PL"))</f>
        <v/>
      </c>
      <c r="AP1613" s="34" t="str">
        <f aca="false">IF($B1613="","",COUNTIF($F1613:$AJ1613,"CL"))</f>
        <v/>
      </c>
      <c r="AQ1613" s="34" t="str">
        <f aca="false">IF($B1613="","",COUNTIF($F1613:$AJ1613,"SL"))</f>
        <v/>
      </c>
      <c r="AR1613" s="34" t="str">
        <f aca="false">IF($B1613="","",COUNTIF($F1613:$AJ1613,"CO"))</f>
        <v/>
      </c>
      <c r="AS1613" s="34" t="str">
        <f aca="false">IF($B1613="","",COUNTIF($F1613:$AJ1613,"HPL"))</f>
        <v/>
      </c>
      <c r="AT1613" s="34" t="str">
        <f aca="false">IF($B1613="","",COUNTIF($F1613:$AJ1613,"HCL"))</f>
        <v/>
      </c>
      <c r="AU1613" s="34" t="str">
        <f aca="false">IF($B1613="","",COUNTIF($F1613:$AJ1613,"WO"))</f>
        <v/>
      </c>
      <c r="AV1613" s="34" t="str">
        <f aca="false">IF($B1613="","",COUNTIF($F1613:$AJ1613,"PH"))</f>
        <v/>
      </c>
      <c r="AW1613" s="34" t="str">
        <f aca="false">IF($B1613="","",COUNTIF($F1613:$AJ1613,"TR"))</f>
        <v/>
      </c>
      <c r="AX1613" s="35" t="str">
        <f aca="false">IF($B1613="","",AO1613+AS1613/2)</f>
        <v/>
      </c>
      <c r="AY1613" s="35" t="str">
        <f aca="false">IF($B1613="","",AQ1613)</f>
        <v/>
      </c>
      <c r="AZ1613" s="35" t="str">
        <f aca="false">IF($B1613="","",AP1613+AT1613/2)</f>
        <v/>
      </c>
      <c r="BA1613" s="35" t="str">
        <f aca="false">IF($B1613="","",AK1613+AN1613+AM1613/2+AO1613+AP1613+AQ1613+AR1613+AS1613+AT1613+AU1613+AV1613+AW1613)</f>
        <v/>
      </c>
      <c r="BB1613" s="35" t="str">
        <f aca="false">IF($B1613="","",MAX(0,AN1613-Settings!$C$16)*Settings!$C$17)</f>
        <v/>
      </c>
      <c r="BC1613" s="35" t="str">
        <f aca="false">IF($B1613="","",BA1613-BB1613)</f>
        <v/>
      </c>
      <c r="BD1613" s="35" t="str">
        <f aca="false">IF(OR($B1613="",$A1613=""),"",DAY(EOMONTH($A1613,0))-COUNTA($F1613:$AJ1613))</f>
        <v/>
      </c>
    </row>
    <row r="1614" customFormat="false" ht="15" hidden="false" customHeight="false" outlineLevel="0" collapsed="false">
      <c r="A1614" s="32"/>
      <c r="B1614" s="29"/>
      <c r="C1614" s="10" t="str">
        <f aca="false">IF($B1614="","",IFERROR(INDEX(M_name,MATCH($B1614,M_emp,0)),"Code not found"))</f>
        <v/>
      </c>
      <c r="D1614" s="10" t="str">
        <f aca="false">IF($B1614="","",IFERROR(INDEX(M_dept,MATCH($B1614,M_emp,0)),""))</f>
        <v/>
      </c>
      <c r="E1614" s="10" t="str">
        <f aca="false">IF($B1614="","",IFERROR(INDEX(M_loc,MATCH($B1614,M_emp,0)),""))</f>
        <v/>
      </c>
      <c r="F1614" s="33"/>
      <c r="G1614" s="33"/>
      <c r="H1614" s="33"/>
      <c r="I1614" s="33"/>
      <c r="J1614" s="33"/>
      <c r="K1614" s="33"/>
      <c r="L1614" s="33"/>
      <c r="M1614" s="33"/>
      <c r="N1614" s="33"/>
      <c r="O1614" s="33"/>
      <c r="P1614" s="33"/>
      <c r="Q1614" s="33"/>
      <c r="R1614" s="33"/>
      <c r="S1614" s="33"/>
      <c r="T1614" s="33"/>
      <c r="U1614" s="33"/>
      <c r="V1614" s="33"/>
      <c r="W1614" s="33"/>
      <c r="X1614" s="33"/>
      <c r="Y1614" s="33"/>
      <c r="Z1614" s="33"/>
      <c r="AA1614" s="33"/>
      <c r="AB1614" s="33"/>
      <c r="AC1614" s="33"/>
      <c r="AD1614" s="33"/>
      <c r="AE1614" s="33"/>
      <c r="AF1614" s="33"/>
      <c r="AG1614" s="33"/>
      <c r="AH1614" s="33"/>
      <c r="AI1614" s="33"/>
      <c r="AJ1614" s="33"/>
      <c r="AK1614" s="34" t="str">
        <f aca="false">IF($B1614="","",COUNTIF($F1614:$AJ1614,"P"))</f>
        <v/>
      </c>
      <c r="AL1614" s="34" t="str">
        <f aca="false">IF($B1614="","",COUNTIF($F1614:$AJ1614,"A"))</f>
        <v/>
      </c>
      <c r="AM1614" s="34" t="str">
        <f aca="false">IF($B1614="","",COUNTIF($F1614:$AJ1614,"HA"))</f>
        <v/>
      </c>
      <c r="AN1614" s="34" t="str">
        <f aca="false">IF($B1614="","",COUNTIF($F1614:$AJ1614,"L"))</f>
        <v/>
      </c>
      <c r="AO1614" s="34" t="str">
        <f aca="false">IF($B1614="","",COUNTIF($F1614:$AJ1614,"PL"))</f>
        <v/>
      </c>
      <c r="AP1614" s="34" t="str">
        <f aca="false">IF($B1614="","",COUNTIF($F1614:$AJ1614,"CL"))</f>
        <v/>
      </c>
      <c r="AQ1614" s="34" t="str">
        <f aca="false">IF($B1614="","",COUNTIF($F1614:$AJ1614,"SL"))</f>
        <v/>
      </c>
      <c r="AR1614" s="34" t="str">
        <f aca="false">IF($B1614="","",COUNTIF($F1614:$AJ1614,"CO"))</f>
        <v/>
      </c>
      <c r="AS1614" s="34" t="str">
        <f aca="false">IF($B1614="","",COUNTIF($F1614:$AJ1614,"HPL"))</f>
        <v/>
      </c>
      <c r="AT1614" s="34" t="str">
        <f aca="false">IF($B1614="","",COUNTIF($F1614:$AJ1614,"HCL"))</f>
        <v/>
      </c>
      <c r="AU1614" s="34" t="str">
        <f aca="false">IF($B1614="","",COUNTIF($F1614:$AJ1614,"WO"))</f>
        <v/>
      </c>
      <c r="AV1614" s="34" t="str">
        <f aca="false">IF($B1614="","",COUNTIF($F1614:$AJ1614,"PH"))</f>
        <v/>
      </c>
      <c r="AW1614" s="34" t="str">
        <f aca="false">IF($B1614="","",COUNTIF($F1614:$AJ1614,"TR"))</f>
        <v/>
      </c>
      <c r="AX1614" s="35" t="str">
        <f aca="false">IF($B1614="","",AO1614+AS1614/2)</f>
        <v/>
      </c>
      <c r="AY1614" s="35" t="str">
        <f aca="false">IF($B1614="","",AQ1614)</f>
        <v/>
      </c>
      <c r="AZ1614" s="35" t="str">
        <f aca="false">IF($B1614="","",AP1614+AT1614/2)</f>
        <v/>
      </c>
      <c r="BA1614" s="35" t="str">
        <f aca="false">IF($B1614="","",AK1614+AN1614+AM1614/2+AO1614+AP1614+AQ1614+AR1614+AS1614+AT1614+AU1614+AV1614+AW1614)</f>
        <v/>
      </c>
      <c r="BB1614" s="35" t="str">
        <f aca="false">IF($B1614="","",MAX(0,AN1614-Settings!$C$16)*Settings!$C$17)</f>
        <v/>
      </c>
      <c r="BC1614" s="35" t="str">
        <f aca="false">IF($B1614="","",BA1614-BB1614)</f>
        <v/>
      </c>
      <c r="BD1614" s="35" t="str">
        <f aca="false">IF(OR($B1614="",$A1614=""),"",DAY(EOMONTH($A1614,0))-COUNTA($F1614:$AJ1614))</f>
        <v/>
      </c>
    </row>
    <row r="1615" customFormat="false" ht="15" hidden="false" customHeight="false" outlineLevel="0" collapsed="false">
      <c r="A1615" s="32"/>
      <c r="B1615" s="29"/>
      <c r="C1615" s="10" t="str">
        <f aca="false">IF($B1615="","",IFERROR(INDEX(M_name,MATCH($B1615,M_emp,0)),"Code not found"))</f>
        <v/>
      </c>
      <c r="D1615" s="10" t="str">
        <f aca="false">IF($B1615="","",IFERROR(INDEX(M_dept,MATCH($B1615,M_emp,0)),""))</f>
        <v/>
      </c>
      <c r="E1615" s="10" t="str">
        <f aca="false">IF($B1615="","",IFERROR(INDEX(M_loc,MATCH($B1615,M_emp,0)),""))</f>
        <v/>
      </c>
      <c r="F1615" s="33"/>
      <c r="G1615" s="33"/>
      <c r="H1615" s="33"/>
      <c r="I1615" s="33"/>
      <c r="J1615" s="33"/>
      <c r="K1615" s="33"/>
      <c r="L1615" s="33"/>
      <c r="M1615" s="33"/>
      <c r="N1615" s="33"/>
      <c r="O1615" s="33"/>
      <c r="P1615" s="33"/>
      <c r="Q1615" s="33"/>
      <c r="R1615" s="33"/>
      <c r="S1615" s="33"/>
      <c r="T1615" s="33"/>
      <c r="U1615" s="33"/>
      <c r="V1615" s="33"/>
      <c r="W1615" s="33"/>
      <c r="X1615" s="33"/>
      <c r="Y1615" s="33"/>
      <c r="Z1615" s="33"/>
      <c r="AA1615" s="33"/>
      <c r="AB1615" s="33"/>
      <c r="AC1615" s="33"/>
      <c r="AD1615" s="33"/>
      <c r="AE1615" s="33"/>
      <c r="AF1615" s="33"/>
      <c r="AG1615" s="33"/>
      <c r="AH1615" s="33"/>
      <c r="AI1615" s="33"/>
      <c r="AJ1615" s="33"/>
      <c r="AK1615" s="34" t="str">
        <f aca="false">IF($B1615="","",COUNTIF($F1615:$AJ1615,"P"))</f>
        <v/>
      </c>
      <c r="AL1615" s="34" t="str">
        <f aca="false">IF($B1615="","",COUNTIF($F1615:$AJ1615,"A"))</f>
        <v/>
      </c>
      <c r="AM1615" s="34" t="str">
        <f aca="false">IF($B1615="","",COUNTIF($F1615:$AJ1615,"HA"))</f>
        <v/>
      </c>
      <c r="AN1615" s="34" t="str">
        <f aca="false">IF($B1615="","",COUNTIF($F1615:$AJ1615,"L"))</f>
        <v/>
      </c>
      <c r="AO1615" s="34" t="str">
        <f aca="false">IF($B1615="","",COUNTIF($F1615:$AJ1615,"PL"))</f>
        <v/>
      </c>
      <c r="AP1615" s="34" t="str">
        <f aca="false">IF($B1615="","",COUNTIF($F1615:$AJ1615,"CL"))</f>
        <v/>
      </c>
      <c r="AQ1615" s="34" t="str">
        <f aca="false">IF($B1615="","",COUNTIF($F1615:$AJ1615,"SL"))</f>
        <v/>
      </c>
      <c r="AR1615" s="34" t="str">
        <f aca="false">IF($B1615="","",COUNTIF($F1615:$AJ1615,"CO"))</f>
        <v/>
      </c>
      <c r="AS1615" s="34" t="str">
        <f aca="false">IF($B1615="","",COUNTIF($F1615:$AJ1615,"HPL"))</f>
        <v/>
      </c>
      <c r="AT1615" s="34" t="str">
        <f aca="false">IF($B1615="","",COUNTIF($F1615:$AJ1615,"HCL"))</f>
        <v/>
      </c>
      <c r="AU1615" s="34" t="str">
        <f aca="false">IF($B1615="","",COUNTIF($F1615:$AJ1615,"WO"))</f>
        <v/>
      </c>
      <c r="AV1615" s="34" t="str">
        <f aca="false">IF($B1615="","",COUNTIF($F1615:$AJ1615,"PH"))</f>
        <v/>
      </c>
      <c r="AW1615" s="34" t="str">
        <f aca="false">IF($B1615="","",COUNTIF($F1615:$AJ1615,"TR"))</f>
        <v/>
      </c>
      <c r="AX1615" s="35" t="str">
        <f aca="false">IF($B1615="","",AO1615+AS1615/2)</f>
        <v/>
      </c>
      <c r="AY1615" s="35" t="str">
        <f aca="false">IF($B1615="","",AQ1615)</f>
        <v/>
      </c>
      <c r="AZ1615" s="35" t="str">
        <f aca="false">IF($B1615="","",AP1615+AT1615/2)</f>
        <v/>
      </c>
      <c r="BA1615" s="35" t="str">
        <f aca="false">IF($B1615="","",AK1615+AN1615+AM1615/2+AO1615+AP1615+AQ1615+AR1615+AS1615+AT1615+AU1615+AV1615+AW1615)</f>
        <v/>
      </c>
      <c r="BB1615" s="35" t="str">
        <f aca="false">IF($B1615="","",MAX(0,AN1615-Settings!$C$16)*Settings!$C$17)</f>
        <v/>
      </c>
      <c r="BC1615" s="35" t="str">
        <f aca="false">IF($B1615="","",BA1615-BB1615)</f>
        <v/>
      </c>
      <c r="BD1615" s="35" t="str">
        <f aca="false">IF(OR($B1615="",$A1615=""),"",DAY(EOMONTH($A1615,0))-COUNTA($F1615:$AJ1615))</f>
        <v/>
      </c>
    </row>
    <row r="1616" customFormat="false" ht="15" hidden="false" customHeight="false" outlineLevel="0" collapsed="false">
      <c r="A1616" s="32"/>
      <c r="B1616" s="29"/>
      <c r="C1616" s="10" t="str">
        <f aca="false">IF($B1616="","",IFERROR(INDEX(M_name,MATCH($B1616,M_emp,0)),"Code not found"))</f>
        <v/>
      </c>
      <c r="D1616" s="10" t="str">
        <f aca="false">IF($B1616="","",IFERROR(INDEX(M_dept,MATCH($B1616,M_emp,0)),""))</f>
        <v/>
      </c>
      <c r="E1616" s="10" t="str">
        <f aca="false">IF($B1616="","",IFERROR(INDEX(M_loc,MATCH($B1616,M_emp,0)),""))</f>
        <v/>
      </c>
      <c r="F1616" s="33"/>
      <c r="G1616" s="33"/>
      <c r="H1616" s="33"/>
      <c r="I1616" s="33"/>
      <c r="J1616" s="33"/>
      <c r="K1616" s="33"/>
      <c r="L1616" s="33"/>
      <c r="M1616" s="33"/>
      <c r="N1616" s="33"/>
      <c r="O1616" s="33"/>
      <c r="P1616" s="33"/>
      <c r="Q1616" s="33"/>
      <c r="R1616" s="33"/>
      <c r="S1616" s="33"/>
      <c r="T1616" s="33"/>
      <c r="U1616" s="33"/>
      <c r="V1616" s="33"/>
      <c r="W1616" s="33"/>
      <c r="X1616" s="33"/>
      <c r="Y1616" s="33"/>
      <c r="Z1616" s="33"/>
      <c r="AA1616" s="33"/>
      <c r="AB1616" s="33"/>
      <c r="AC1616" s="33"/>
      <c r="AD1616" s="33"/>
      <c r="AE1616" s="33"/>
      <c r="AF1616" s="33"/>
      <c r="AG1616" s="33"/>
      <c r="AH1616" s="33"/>
      <c r="AI1616" s="33"/>
      <c r="AJ1616" s="33"/>
      <c r="AK1616" s="34" t="str">
        <f aca="false">IF($B1616="","",COUNTIF($F1616:$AJ1616,"P"))</f>
        <v/>
      </c>
      <c r="AL1616" s="34" t="str">
        <f aca="false">IF($B1616="","",COUNTIF($F1616:$AJ1616,"A"))</f>
        <v/>
      </c>
      <c r="AM1616" s="34" t="str">
        <f aca="false">IF($B1616="","",COUNTIF($F1616:$AJ1616,"HA"))</f>
        <v/>
      </c>
      <c r="AN1616" s="34" t="str">
        <f aca="false">IF($B1616="","",COUNTIF($F1616:$AJ1616,"L"))</f>
        <v/>
      </c>
      <c r="AO1616" s="34" t="str">
        <f aca="false">IF($B1616="","",COUNTIF($F1616:$AJ1616,"PL"))</f>
        <v/>
      </c>
      <c r="AP1616" s="34" t="str">
        <f aca="false">IF($B1616="","",COUNTIF($F1616:$AJ1616,"CL"))</f>
        <v/>
      </c>
      <c r="AQ1616" s="34" t="str">
        <f aca="false">IF($B1616="","",COUNTIF($F1616:$AJ1616,"SL"))</f>
        <v/>
      </c>
      <c r="AR1616" s="34" t="str">
        <f aca="false">IF($B1616="","",COUNTIF($F1616:$AJ1616,"CO"))</f>
        <v/>
      </c>
      <c r="AS1616" s="34" t="str">
        <f aca="false">IF($B1616="","",COUNTIF($F1616:$AJ1616,"HPL"))</f>
        <v/>
      </c>
      <c r="AT1616" s="34" t="str">
        <f aca="false">IF($B1616="","",COUNTIF($F1616:$AJ1616,"HCL"))</f>
        <v/>
      </c>
      <c r="AU1616" s="34" t="str">
        <f aca="false">IF($B1616="","",COUNTIF($F1616:$AJ1616,"WO"))</f>
        <v/>
      </c>
      <c r="AV1616" s="34" t="str">
        <f aca="false">IF($B1616="","",COUNTIF($F1616:$AJ1616,"PH"))</f>
        <v/>
      </c>
      <c r="AW1616" s="34" t="str">
        <f aca="false">IF($B1616="","",COUNTIF($F1616:$AJ1616,"TR"))</f>
        <v/>
      </c>
      <c r="AX1616" s="35" t="str">
        <f aca="false">IF($B1616="","",AO1616+AS1616/2)</f>
        <v/>
      </c>
      <c r="AY1616" s="35" t="str">
        <f aca="false">IF($B1616="","",AQ1616)</f>
        <v/>
      </c>
      <c r="AZ1616" s="35" t="str">
        <f aca="false">IF($B1616="","",AP1616+AT1616/2)</f>
        <v/>
      </c>
      <c r="BA1616" s="35" t="str">
        <f aca="false">IF($B1616="","",AK1616+AN1616+AM1616/2+AO1616+AP1616+AQ1616+AR1616+AS1616+AT1616+AU1616+AV1616+AW1616)</f>
        <v/>
      </c>
      <c r="BB1616" s="35" t="str">
        <f aca="false">IF($B1616="","",MAX(0,AN1616-Settings!$C$16)*Settings!$C$17)</f>
        <v/>
      </c>
      <c r="BC1616" s="35" t="str">
        <f aca="false">IF($B1616="","",BA1616-BB1616)</f>
        <v/>
      </c>
      <c r="BD1616" s="35" t="str">
        <f aca="false">IF(OR($B1616="",$A1616=""),"",DAY(EOMONTH($A1616,0))-COUNTA($F1616:$AJ1616))</f>
        <v/>
      </c>
    </row>
    <row r="1617" customFormat="false" ht="15" hidden="false" customHeight="false" outlineLevel="0" collapsed="false">
      <c r="A1617" s="32"/>
      <c r="B1617" s="29"/>
      <c r="C1617" s="10" t="str">
        <f aca="false">IF($B1617="","",IFERROR(INDEX(M_name,MATCH($B1617,M_emp,0)),"Code not found"))</f>
        <v/>
      </c>
      <c r="D1617" s="10" t="str">
        <f aca="false">IF($B1617="","",IFERROR(INDEX(M_dept,MATCH($B1617,M_emp,0)),""))</f>
        <v/>
      </c>
      <c r="E1617" s="10" t="str">
        <f aca="false">IF($B1617="","",IFERROR(INDEX(M_loc,MATCH($B1617,M_emp,0)),""))</f>
        <v/>
      </c>
      <c r="F1617" s="33"/>
      <c r="G1617" s="33"/>
      <c r="H1617" s="33"/>
      <c r="I1617" s="33"/>
      <c r="J1617" s="33"/>
      <c r="K1617" s="33"/>
      <c r="L1617" s="33"/>
      <c r="M1617" s="33"/>
      <c r="N1617" s="33"/>
      <c r="O1617" s="33"/>
      <c r="P1617" s="33"/>
      <c r="Q1617" s="33"/>
      <c r="R1617" s="33"/>
      <c r="S1617" s="33"/>
      <c r="T1617" s="33"/>
      <c r="U1617" s="33"/>
      <c r="V1617" s="33"/>
      <c r="W1617" s="33"/>
      <c r="X1617" s="33"/>
      <c r="Y1617" s="33"/>
      <c r="Z1617" s="33"/>
      <c r="AA1617" s="33"/>
      <c r="AB1617" s="33"/>
      <c r="AC1617" s="33"/>
      <c r="AD1617" s="33"/>
      <c r="AE1617" s="33"/>
      <c r="AF1617" s="33"/>
      <c r="AG1617" s="33"/>
      <c r="AH1617" s="33"/>
      <c r="AI1617" s="33"/>
      <c r="AJ1617" s="33"/>
      <c r="AK1617" s="34" t="str">
        <f aca="false">IF($B1617="","",COUNTIF($F1617:$AJ1617,"P"))</f>
        <v/>
      </c>
      <c r="AL1617" s="34" t="str">
        <f aca="false">IF($B1617="","",COUNTIF($F1617:$AJ1617,"A"))</f>
        <v/>
      </c>
      <c r="AM1617" s="34" t="str">
        <f aca="false">IF($B1617="","",COUNTIF($F1617:$AJ1617,"HA"))</f>
        <v/>
      </c>
      <c r="AN1617" s="34" t="str">
        <f aca="false">IF($B1617="","",COUNTIF($F1617:$AJ1617,"L"))</f>
        <v/>
      </c>
      <c r="AO1617" s="34" t="str">
        <f aca="false">IF($B1617="","",COUNTIF($F1617:$AJ1617,"PL"))</f>
        <v/>
      </c>
      <c r="AP1617" s="34" t="str">
        <f aca="false">IF($B1617="","",COUNTIF($F1617:$AJ1617,"CL"))</f>
        <v/>
      </c>
      <c r="AQ1617" s="34" t="str">
        <f aca="false">IF($B1617="","",COUNTIF($F1617:$AJ1617,"SL"))</f>
        <v/>
      </c>
      <c r="AR1617" s="34" t="str">
        <f aca="false">IF($B1617="","",COUNTIF($F1617:$AJ1617,"CO"))</f>
        <v/>
      </c>
      <c r="AS1617" s="34" t="str">
        <f aca="false">IF($B1617="","",COUNTIF($F1617:$AJ1617,"HPL"))</f>
        <v/>
      </c>
      <c r="AT1617" s="34" t="str">
        <f aca="false">IF($B1617="","",COUNTIF($F1617:$AJ1617,"HCL"))</f>
        <v/>
      </c>
      <c r="AU1617" s="34" t="str">
        <f aca="false">IF($B1617="","",COUNTIF($F1617:$AJ1617,"WO"))</f>
        <v/>
      </c>
      <c r="AV1617" s="34" t="str">
        <f aca="false">IF($B1617="","",COUNTIF($F1617:$AJ1617,"PH"))</f>
        <v/>
      </c>
      <c r="AW1617" s="34" t="str">
        <f aca="false">IF($B1617="","",COUNTIF($F1617:$AJ1617,"TR"))</f>
        <v/>
      </c>
      <c r="AX1617" s="35" t="str">
        <f aca="false">IF($B1617="","",AO1617+AS1617/2)</f>
        <v/>
      </c>
      <c r="AY1617" s="35" t="str">
        <f aca="false">IF($B1617="","",AQ1617)</f>
        <v/>
      </c>
      <c r="AZ1617" s="35" t="str">
        <f aca="false">IF($B1617="","",AP1617+AT1617/2)</f>
        <v/>
      </c>
      <c r="BA1617" s="35" t="str">
        <f aca="false">IF($B1617="","",AK1617+AN1617+AM1617/2+AO1617+AP1617+AQ1617+AR1617+AS1617+AT1617+AU1617+AV1617+AW1617)</f>
        <v/>
      </c>
      <c r="BB1617" s="35" t="str">
        <f aca="false">IF($B1617="","",MAX(0,AN1617-Settings!$C$16)*Settings!$C$17)</f>
        <v/>
      </c>
      <c r="BC1617" s="35" t="str">
        <f aca="false">IF($B1617="","",BA1617-BB1617)</f>
        <v/>
      </c>
      <c r="BD1617" s="35" t="str">
        <f aca="false">IF(OR($B1617="",$A1617=""),"",DAY(EOMONTH($A1617,0))-COUNTA($F1617:$AJ1617))</f>
        <v/>
      </c>
    </row>
    <row r="1618" customFormat="false" ht="15" hidden="false" customHeight="false" outlineLevel="0" collapsed="false">
      <c r="A1618" s="32"/>
      <c r="B1618" s="29"/>
      <c r="C1618" s="10" t="str">
        <f aca="false">IF($B1618="","",IFERROR(INDEX(M_name,MATCH($B1618,M_emp,0)),"Code not found"))</f>
        <v/>
      </c>
      <c r="D1618" s="10" t="str">
        <f aca="false">IF($B1618="","",IFERROR(INDEX(M_dept,MATCH($B1618,M_emp,0)),""))</f>
        <v/>
      </c>
      <c r="E1618" s="10" t="str">
        <f aca="false">IF($B1618="","",IFERROR(INDEX(M_loc,MATCH($B1618,M_emp,0)),""))</f>
        <v/>
      </c>
      <c r="F1618" s="33"/>
      <c r="G1618" s="33"/>
      <c r="H1618" s="33"/>
      <c r="I1618" s="33"/>
      <c r="J1618" s="33"/>
      <c r="K1618" s="33"/>
      <c r="L1618" s="33"/>
      <c r="M1618" s="33"/>
      <c r="N1618" s="33"/>
      <c r="O1618" s="33"/>
      <c r="P1618" s="33"/>
      <c r="Q1618" s="33"/>
      <c r="R1618" s="33"/>
      <c r="S1618" s="33"/>
      <c r="T1618" s="33"/>
      <c r="U1618" s="33"/>
      <c r="V1618" s="33"/>
      <c r="W1618" s="33"/>
      <c r="X1618" s="33"/>
      <c r="Y1618" s="33"/>
      <c r="Z1618" s="33"/>
      <c r="AA1618" s="33"/>
      <c r="AB1618" s="33"/>
      <c r="AC1618" s="33"/>
      <c r="AD1618" s="33"/>
      <c r="AE1618" s="33"/>
      <c r="AF1618" s="33"/>
      <c r="AG1618" s="33"/>
      <c r="AH1618" s="33"/>
      <c r="AI1618" s="33"/>
      <c r="AJ1618" s="33"/>
      <c r="AK1618" s="34" t="str">
        <f aca="false">IF($B1618="","",COUNTIF($F1618:$AJ1618,"P"))</f>
        <v/>
      </c>
      <c r="AL1618" s="34" t="str">
        <f aca="false">IF($B1618="","",COUNTIF($F1618:$AJ1618,"A"))</f>
        <v/>
      </c>
      <c r="AM1618" s="34" t="str">
        <f aca="false">IF($B1618="","",COUNTIF($F1618:$AJ1618,"HA"))</f>
        <v/>
      </c>
      <c r="AN1618" s="34" t="str">
        <f aca="false">IF($B1618="","",COUNTIF($F1618:$AJ1618,"L"))</f>
        <v/>
      </c>
      <c r="AO1618" s="34" t="str">
        <f aca="false">IF($B1618="","",COUNTIF($F1618:$AJ1618,"PL"))</f>
        <v/>
      </c>
      <c r="AP1618" s="34" t="str">
        <f aca="false">IF($B1618="","",COUNTIF($F1618:$AJ1618,"CL"))</f>
        <v/>
      </c>
      <c r="AQ1618" s="34" t="str">
        <f aca="false">IF($B1618="","",COUNTIF($F1618:$AJ1618,"SL"))</f>
        <v/>
      </c>
      <c r="AR1618" s="34" t="str">
        <f aca="false">IF($B1618="","",COUNTIF($F1618:$AJ1618,"CO"))</f>
        <v/>
      </c>
      <c r="AS1618" s="34" t="str">
        <f aca="false">IF($B1618="","",COUNTIF($F1618:$AJ1618,"HPL"))</f>
        <v/>
      </c>
      <c r="AT1618" s="34" t="str">
        <f aca="false">IF($B1618="","",COUNTIF($F1618:$AJ1618,"HCL"))</f>
        <v/>
      </c>
      <c r="AU1618" s="34" t="str">
        <f aca="false">IF($B1618="","",COUNTIF($F1618:$AJ1618,"WO"))</f>
        <v/>
      </c>
      <c r="AV1618" s="34" t="str">
        <f aca="false">IF($B1618="","",COUNTIF($F1618:$AJ1618,"PH"))</f>
        <v/>
      </c>
      <c r="AW1618" s="34" t="str">
        <f aca="false">IF($B1618="","",COUNTIF($F1618:$AJ1618,"TR"))</f>
        <v/>
      </c>
      <c r="AX1618" s="35" t="str">
        <f aca="false">IF($B1618="","",AO1618+AS1618/2)</f>
        <v/>
      </c>
      <c r="AY1618" s="35" t="str">
        <f aca="false">IF($B1618="","",AQ1618)</f>
        <v/>
      </c>
      <c r="AZ1618" s="35" t="str">
        <f aca="false">IF($B1618="","",AP1618+AT1618/2)</f>
        <v/>
      </c>
      <c r="BA1618" s="35" t="str">
        <f aca="false">IF($B1618="","",AK1618+AN1618+AM1618/2+AO1618+AP1618+AQ1618+AR1618+AS1618+AT1618+AU1618+AV1618+AW1618)</f>
        <v/>
      </c>
      <c r="BB1618" s="35" t="str">
        <f aca="false">IF($B1618="","",MAX(0,AN1618-Settings!$C$16)*Settings!$C$17)</f>
        <v/>
      </c>
      <c r="BC1618" s="35" t="str">
        <f aca="false">IF($B1618="","",BA1618-BB1618)</f>
        <v/>
      </c>
      <c r="BD1618" s="35" t="str">
        <f aca="false">IF(OR($B1618="",$A1618=""),"",DAY(EOMONTH($A1618,0))-COUNTA($F1618:$AJ1618))</f>
        <v/>
      </c>
    </row>
    <row r="1619" customFormat="false" ht="15" hidden="false" customHeight="false" outlineLevel="0" collapsed="false">
      <c r="A1619" s="32"/>
      <c r="B1619" s="29"/>
      <c r="C1619" s="10" t="str">
        <f aca="false">IF($B1619="","",IFERROR(INDEX(M_name,MATCH($B1619,M_emp,0)),"Code not found"))</f>
        <v/>
      </c>
      <c r="D1619" s="10" t="str">
        <f aca="false">IF($B1619="","",IFERROR(INDEX(M_dept,MATCH($B1619,M_emp,0)),""))</f>
        <v/>
      </c>
      <c r="E1619" s="10" t="str">
        <f aca="false">IF($B1619="","",IFERROR(INDEX(M_loc,MATCH($B1619,M_emp,0)),""))</f>
        <v/>
      </c>
      <c r="F1619" s="33"/>
      <c r="G1619" s="33"/>
      <c r="H1619" s="33"/>
      <c r="I1619" s="33"/>
      <c r="J1619" s="33"/>
      <c r="K1619" s="33"/>
      <c r="L1619" s="33"/>
      <c r="M1619" s="33"/>
      <c r="N1619" s="33"/>
      <c r="O1619" s="33"/>
      <c r="P1619" s="33"/>
      <c r="Q1619" s="33"/>
      <c r="R1619" s="33"/>
      <c r="S1619" s="33"/>
      <c r="T1619" s="33"/>
      <c r="U1619" s="33"/>
      <c r="V1619" s="33"/>
      <c r="W1619" s="33"/>
      <c r="X1619" s="33"/>
      <c r="Y1619" s="33"/>
      <c r="Z1619" s="33"/>
      <c r="AA1619" s="33"/>
      <c r="AB1619" s="33"/>
      <c r="AC1619" s="33"/>
      <c r="AD1619" s="33"/>
      <c r="AE1619" s="33"/>
      <c r="AF1619" s="33"/>
      <c r="AG1619" s="33"/>
      <c r="AH1619" s="33"/>
      <c r="AI1619" s="33"/>
      <c r="AJ1619" s="33"/>
      <c r="AK1619" s="34" t="str">
        <f aca="false">IF($B1619="","",COUNTIF($F1619:$AJ1619,"P"))</f>
        <v/>
      </c>
      <c r="AL1619" s="34" t="str">
        <f aca="false">IF($B1619="","",COUNTIF($F1619:$AJ1619,"A"))</f>
        <v/>
      </c>
      <c r="AM1619" s="34" t="str">
        <f aca="false">IF($B1619="","",COUNTIF($F1619:$AJ1619,"HA"))</f>
        <v/>
      </c>
      <c r="AN1619" s="34" t="str">
        <f aca="false">IF($B1619="","",COUNTIF($F1619:$AJ1619,"L"))</f>
        <v/>
      </c>
      <c r="AO1619" s="34" t="str">
        <f aca="false">IF($B1619="","",COUNTIF($F1619:$AJ1619,"PL"))</f>
        <v/>
      </c>
      <c r="AP1619" s="34" t="str">
        <f aca="false">IF($B1619="","",COUNTIF($F1619:$AJ1619,"CL"))</f>
        <v/>
      </c>
      <c r="AQ1619" s="34" t="str">
        <f aca="false">IF($B1619="","",COUNTIF($F1619:$AJ1619,"SL"))</f>
        <v/>
      </c>
      <c r="AR1619" s="34" t="str">
        <f aca="false">IF($B1619="","",COUNTIF($F1619:$AJ1619,"CO"))</f>
        <v/>
      </c>
      <c r="AS1619" s="34" t="str">
        <f aca="false">IF($B1619="","",COUNTIF($F1619:$AJ1619,"HPL"))</f>
        <v/>
      </c>
      <c r="AT1619" s="34" t="str">
        <f aca="false">IF($B1619="","",COUNTIF($F1619:$AJ1619,"HCL"))</f>
        <v/>
      </c>
      <c r="AU1619" s="34" t="str">
        <f aca="false">IF($B1619="","",COUNTIF($F1619:$AJ1619,"WO"))</f>
        <v/>
      </c>
      <c r="AV1619" s="34" t="str">
        <f aca="false">IF($B1619="","",COUNTIF($F1619:$AJ1619,"PH"))</f>
        <v/>
      </c>
      <c r="AW1619" s="34" t="str">
        <f aca="false">IF($B1619="","",COUNTIF($F1619:$AJ1619,"TR"))</f>
        <v/>
      </c>
      <c r="AX1619" s="35" t="str">
        <f aca="false">IF($B1619="","",AO1619+AS1619/2)</f>
        <v/>
      </c>
      <c r="AY1619" s="35" t="str">
        <f aca="false">IF($B1619="","",AQ1619)</f>
        <v/>
      </c>
      <c r="AZ1619" s="35" t="str">
        <f aca="false">IF($B1619="","",AP1619+AT1619/2)</f>
        <v/>
      </c>
      <c r="BA1619" s="35" t="str">
        <f aca="false">IF($B1619="","",AK1619+AN1619+AM1619/2+AO1619+AP1619+AQ1619+AR1619+AS1619+AT1619+AU1619+AV1619+AW1619)</f>
        <v/>
      </c>
      <c r="BB1619" s="35" t="str">
        <f aca="false">IF($B1619="","",MAX(0,AN1619-Settings!$C$16)*Settings!$C$17)</f>
        <v/>
      </c>
      <c r="BC1619" s="35" t="str">
        <f aca="false">IF($B1619="","",BA1619-BB1619)</f>
        <v/>
      </c>
      <c r="BD1619" s="35" t="str">
        <f aca="false">IF(OR($B1619="",$A1619=""),"",DAY(EOMONTH($A1619,0))-COUNTA($F1619:$AJ1619))</f>
        <v/>
      </c>
    </row>
    <row r="1620" customFormat="false" ht="15" hidden="false" customHeight="false" outlineLevel="0" collapsed="false">
      <c r="A1620" s="32"/>
      <c r="B1620" s="29"/>
      <c r="C1620" s="10" t="str">
        <f aca="false">IF($B1620="","",IFERROR(INDEX(M_name,MATCH($B1620,M_emp,0)),"Code not found"))</f>
        <v/>
      </c>
      <c r="D1620" s="10" t="str">
        <f aca="false">IF($B1620="","",IFERROR(INDEX(M_dept,MATCH($B1620,M_emp,0)),""))</f>
        <v/>
      </c>
      <c r="E1620" s="10" t="str">
        <f aca="false">IF($B1620="","",IFERROR(INDEX(M_loc,MATCH($B1620,M_emp,0)),""))</f>
        <v/>
      </c>
      <c r="F1620" s="33"/>
      <c r="G1620" s="33"/>
      <c r="H1620" s="33"/>
      <c r="I1620" s="33"/>
      <c r="J1620" s="33"/>
      <c r="K1620" s="33"/>
      <c r="L1620" s="33"/>
      <c r="M1620" s="33"/>
      <c r="N1620" s="33"/>
      <c r="O1620" s="33"/>
      <c r="P1620" s="33"/>
      <c r="Q1620" s="33"/>
      <c r="R1620" s="33"/>
      <c r="S1620" s="33"/>
      <c r="T1620" s="33"/>
      <c r="U1620" s="33"/>
      <c r="V1620" s="33"/>
      <c r="W1620" s="33"/>
      <c r="X1620" s="33"/>
      <c r="Y1620" s="33"/>
      <c r="Z1620" s="33"/>
      <c r="AA1620" s="33"/>
      <c r="AB1620" s="33"/>
      <c r="AC1620" s="33"/>
      <c r="AD1620" s="33"/>
      <c r="AE1620" s="33"/>
      <c r="AF1620" s="33"/>
      <c r="AG1620" s="33"/>
      <c r="AH1620" s="33"/>
      <c r="AI1620" s="33"/>
      <c r="AJ1620" s="33"/>
      <c r="AK1620" s="34" t="str">
        <f aca="false">IF($B1620="","",COUNTIF($F1620:$AJ1620,"P"))</f>
        <v/>
      </c>
      <c r="AL1620" s="34" t="str">
        <f aca="false">IF($B1620="","",COUNTIF($F1620:$AJ1620,"A"))</f>
        <v/>
      </c>
      <c r="AM1620" s="34" t="str">
        <f aca="false">IF($B1620="","",COUNTIF($F1620:$AJ1620,"HA"))</f>
        <v/>
      </c>
      <c r="AN1620" s="34" t="str">
        <f aca="false">IF($B1620="","",COUNTIF($F1620:$AJ1620,"L"))</f>
        <v/>
      </c>
      <c r="AO1620" s="34" t="str">
        <f aca="false">IF($B1620="","",COUNTIF($F1620:$AJ1620,"PL"))</f>
        <v/>
      </c>
      <c r="AP1620" s="34" t="str">
        <f aca="false">IF($B1620="","",COUNTIF($F1620:$AJ1620,"CL"))</f>
        <v/>
      </c>
      <c r="AQ1620" s="34" t="str">
        <f aca="false">IF($B1620="","",COUNTIF($F1620:$AJ1620,"SL"))</f>
        <v/>
      </c>
      <c r="AR1620" s="34" t="str">
        <f aca="false">IF($B1620="","",COUNTIF($F1620:$AJ1620,"CO"))</f>
        <v/>
      </c>
      <c r="AS1620" s="34" t="str">
        <f aca="false">IF($B1620="","",COUNTIF($F1620:$AJ1620,"HPL"))</f>
        <v/>
      </c>
      <c r="AT1620" s="34" t="str">
        <f aca="false">IF($B1620="","",COUNTIF($F1620:$AJ1620,"HCL"))</f>
        <v/>
      </c>
      <c r="AU1620" s="34" t="str">
        <f aca="false">IF($B1620="","",COUNTIF($F1620:$AJ1620,"WO"))</f>
        <v/>
      </c>
      <c r="AV1620" s="34" t="str">
        <f aca="false">IF($B1620="","",COUNTIF($F1620:$AJ1620,"PH"))</f>
        <v/>
      </c>
      <c r="AW1620" s="34" t="str">
        <f aca="false">IF($B1620="","",COUNTIF($F1620:$AJ1620,"TR"))</f>
        <v/>
      </c>
      <c r="AX1620" s="35" t="str">
        <f aca="false">IF($B1620="","",AO1620+AS1620/2)</f>
        <v/>
      </c>
      <c r="AY1620" s="35" t="str">
        <f aca="false">IF($B1620="","",AQ1620)</f>
        <v/>
      </c>
      <c r="AZ1620" s="35" t="str">
        <f aca="false">IF($B1620="","",AP1620+AT1620/2)</f>
        <v/>
      </c>
      <c r="BA1620" s="35" t="str">
        <f aca="false">IF($B1620="","",AK1620+AN1620+AM1620/2+AO1620+AP1620+AQ1620+AR1620+AS1620+AT1620+AU1620+AV1620+AW1620)</f>
        <v/>
      </c>
      <c r="BB1620" s="35" t="str">
        <f aca="false">IF($B1620="","",MAX(0,AN1620-Settings!$C$16)*Settings!$C$17)</f>
        <v/>
      </c>
      <c r="BC1620" s="35" t="str">
        <f aca="false">IF($B1620="","",BA1620-BB1620)</f>
        <v/>
      </c>
      <c r="BD1620" s="35" t="str">
        <f aca="false">IF(OR($B1620="",$A1620=""),"",DAY(EOMONTH($A1620,0))-COUNTA($F1620:$AJ1620))</f>
        <v/>
      </c>
    </row>
    <row r="1621" customFormat="false" ht="15" hidden="false" customHeight="false" outlineLevel="0" collapsed="false">
      <c r="A1621" s="32"/>
      <c r="B1621" s="29"/>
      <c r="C1621" s="10" t="str">
        <f aca="false">IF($B1621="","",IFERROR(INDEX(M_name,MATCH($B1621,M_emp,0)),"Code not found"))</f>
        <v/>
      </c>
      <c r="D1621" s="10" t="str">
        <f aca="false">IF($B1621="","",IFERROR(INDEX(M_dept,MATCH($B1621,M_emp,0)),""))</f>
        <v/>
      </c>
      <c r="E1621" s="10" t="str">
        <f aca="false">IF($B1621="","",IFERROR(INDEX(M_loc,MATCH($B1621,M_emp,0)),""))</f>
        <v/>
      </c>
      <c r="F1621" s="33"/>
      <c r="G1621" s="33"/>
      <c r="H1621" s="33"/>
      <c r="I1621" s="33"/>
      <c r="J1621" s="33"/>
      <c r="K1621" s="33"/>
      <c r="L1621" s="33"/>
      <c r="M1621" s="33"/>
      <c r="N1621" s="33"/>
      <c r="O1621" s="33"/>
      <c r="P1621" s="33"/>
      <c r="Q1621" s="33"/>
      <c r="R1621" s="33"/>
      <c r="S1621" s="33"/>
      <c r="T1621" s="33"/>
      <c r="U1621" s="33"/>
      <c r="V1621" s="33"/>
      <c r="W1621" s="33"/>
      <c r="X1621" s="33"/>
      <c r="Y1621" s="33"/>
      <c r="Z1621" s="33"/>
      <c r="AA1621" s="33"/>
      <c r="AB1621" s="33"/>
      <c r="AC1621" s="33"/>
      <c r="AD1621" s="33"/>
      <c r="AE1621" s="33"/>
      <c r="AF1621" s="33"/>
      <c r="AG1621" s="33"/>
      <c r="AH1621" s="33"/>
      <c r="AI1621" s="33"/>
      <c r="AJ1621" s="33"/>
      <c r="AK1621" s="34" t="str">
        <f aca="false">IF($B1621="","",COUNTIF($F1621:$AJ1621,"P"))</f>
        <v/>
      </c>
      <c r="AL1621" s="34" t="str">
        <f aca="false">IF($B1621="","",COUNTIF($F1621:$AJ1621,"A"))</f>
        <v/>
      </c>
      <c r="AM1621" s="34" t="str">
        <f aca="false">IF($B1621="","",COUNTIF($F1621:$AJ1621,"HA"))</f>
        <v/>
      </c>
      <c r="AN1621" s="34" t="str">
        <f aca="false">IF($B1621="","",COUNTIF($F1621:$AJ1621,"L"))</f>
        <v/>
      </c>
      <c r="AO1621" s="34" t="str">
        <f aca="false">IF($B1621="","",COUNTIF($F1621:$AJ1621,"PL"))</f>
        <v/>
      </c>
      <c r="AP1621" s="34" t="str">
        <f aca="false">IF($B1621="","",COUNTIF($F1621:$AJ1621,"CL"))</f>
        <v/>
      </c>
      <c r="AQ1621" s="34" t="str">
        <f aca="false">IF($B1621="","",COUNTIF($F1621:$AJ1621,"SL"))</f>
        <v/>
      </c>
      <c r="AR1621" s="34" t="str">
        <f aca="false">IF($B1621="","",COUNTIF($F1621:$AJ1621,"CO"))</f>
        <v/>
      </c>
      <c r="AS1621" s="34" t="str">
        <f aca="false">IF($B1621="","",COUNTIF($F1621:$AJ1621,"HPL"))</f>
        <v/>
      </c>
      <c r="AT1621" s="34" t="str">
        <f aca="false">IF($B1621="","",COUNTIF($F1621:$AJ1621,"HCL"))</f>
        <v/>
      </c>
      <c r="AU1621" s="34" t="str">
        <f aca="false">IF($B1621="","",COUNTIF($F1621:$AJ1621,"WO"))</f>
        <v/>
      </c>
      <c r="AV1621" s="34" t="str">
        <f aca="false">IF($B1621="","",COUNTIF($F1621:$AJ1621,"PH"))</f>
        <v/>
      </c>
      <c r="AW1621" s="34" t="str">
        <f aca="false">IF($B1621="","",COUNTIF($F1621:$AJ1621,"TR"))</f>
        <v/>
      </c>
      <c r="AX1621" s="35" t="str">
        <f aca="false">IF($B1621="","",AO1621+AS1621/2)</f>
        <v/>
      </c>
      <c r="AY1621" s="35" t="str">
        <f aca="false">IF($B1621="","",AQ1621)</f>
        <v/>
      </c>
      <c r="AZ1621" s="35" t="str">
        <f aca="false">IF($B1621="","",AP1621+AT1621/2)</f>
        <v/>
      </c>
      <c r="BA1621" s="35" t="str">
        <f aca="false">IF($B1621="","",AK1621+AN1621+AM1621/2+AO1621+AP1621+AQ1621+AR1621+AS1621+AT1621+AU1621+AV1621+AW1621)</f>
        <v/>
      </c>
      <c r="BB1621" s="35" t="str">
        <f aca="false">IF($B1621="","",MAX(0,AN1621-Settings!$C$16)*Settings!$C$17)</f>
        <v/>
      </c>
      <c r="BC1621" s="35" t="str">
        <f aca="false">IF($B1621="","",BA1621-BB1621)</f>
        <v/>
      </c>
      <c r="BD1621" s="35" t="str">
        <f aca="false">IF(OR($B1621="",$A1621=""),"",DAY(EOMONTH($A1621,0))-COUNTA($F1621:$AJ1621))</f>
        <v/>
      </c>
    </row>
    <row r="1622" customFormat="false" ht="15" hidden="false" customHeight="false" outlineLevel="0" collapsed="false">
      <c r="A1622" s="32"/>
      <c r="B1622" s="29"/>
      <c r="C1622" s="10" t="str">
        <f aca="false">IF($B1622="","",IFERROR(INDEX(M_name,MATCH($B1622,M_emp,0)),"Code not found"))</f>
        <v/>
      </c>
      <c r="D1622" s="10" t="str">
        <f aca="false">IF($B1622="","",IFERROR(INDEX(M_dept,MATCH($B1622,M_emp,0)),""))</f>
        <v/>
      </c>
      <c r="E1622" s="10" t="str">
        <f aca="false">IF($B1622="","",IFERROR(INDEX(M_loc,MATCH($B1622,M_emp,0)),""))</f>
        <v/>
      </c>
      <c r="F1622" s="33"/>
      <c r="G1622" s="33"/>
      <c r="H1622" s="33"/>
      <c r="I1622" s="33"/>
      <c r="J1622" s="33"/>
      <c r="K1622" s="33"/>
      <c r="L1622" s="33"/>
      <c r="M1622" s="33"/>
      <c r="N1622" s="33"/>
      <c r="O1622" s="33"/>
      <c r="P1622" s="33"/>
      <c r="Q1622" s="33"/>
      <c r="R1622" s="33"/>
      <c r="S1622" s="33"/>
      <c r="T1622" s="33"/>
      <c r="U1622" s="33"/>
      <c r="V1622" s="33"/>
      <c r="W1622" s="33"/>
      <c r="X1622" s="33"/>
      <c r="Y1622" s="33"/>
      <c r="Z1622" s="33"/>
      <c r="AA1622" s="33"/>
      <c r="AB1622" s="33"/>
      <c r="AC1622" s="33"/>
      <c r="AD1622" s="33"/>
      <c r="AE1622" s="33"/>
      <c r="AF1622" s="33"/>
      <c r="AG1622" s="33"/>
      <c r="AH1622" s="33"/>
      <c r="AI1622" s="33"/>
      <c r="AJ1622" s="33"/>
      <c r="AK1622" s="34" t="str">
        <f aca="false">IF($B1622="","",COUNTIF($F1622:$AJ1622,"P"))</f>
        <v/>
      </c>
      <c r="AL1622" s="34" t="str">
        <f aca="false">IF($B1622="","",COUNTIF($F1622:$AJ1622,"A"))</f>
        <v/>
      </c>
      <c r="AM1622" s="34" t="str">
        <f aca="false">IF($B1622="","",COUNTIF($F1622:$AJ1622,"HA"))</f>
        <v/>
      </c>
      <c r="AN1622" s="34" t="str">
        <f aca="false">IF($B1622="","",COUNTIF($F1622:$AJ1622,"L"))</f>
        <v/>
      </c>
      <c r="AO1622" s="34" t="str">
        <f aca="false">IF($B1622="","",COUNTIF($F1622:$AJ1622,"PL"))</f>
        <v/>
      </c>
      <c r="AP1622" s="34" t="str">
        <f aca="false">IF($B1622="","",COUNTIF($F1622:$AJ1622,"CL"))</f>
        <v/>
      </c>
      <c r="AQ1622" s="34" t="str">
        <f aca="false">IF($B1622="","",COUNTIF($F1622:$AJ1622,"SL"))</f>
        <v/>
      </c>
      <c r="AR1622" s="34" t="str">
        <f aca="false">IF($B1622="","",COUNTIF($F1622:$AJ1622,"CO"))</f>
        <v/>
      </c>
      <c r="AS1622" s="34" t="str">
        <f aca="false">IF($B1622="","",COUNTIF($F1622:$AJ1622,"HPL"))</f>
        <v/>
      </c>
      <c r="AT1622" s="34" t="str">
        <f aca="false">IF($B1622="","",COUNTIF($F1622:$AJ1622,"HCL"))</f>
        <v/>
      </c>
      <c r="AU1622" s="34" t="str">
        <f aca="false">IF($B1622="","",COUNTIF($F1622:$AJ1622,"WO"))</f>
        <v/>
      </c>
      <c r="AV1622" s="34" t="str">
        <f aca="false">IF($B1622="","",COUNTIF($F1622:$AJ1622,"PH"))</f>
        <v/>
      </c>
      <c r="AW1622" s="34" t="str">
        <f aca="false">IF($B1622="","",COUNTIF($F1622:$AJ1622,"TR"))</f>
        <v/>
      </c>
      <c r="AX1622" s="35" t="str">
        <f aca="false">IF($B1622="","",AO1622+AS1622/2)</f>
        <v/>
      </c>
      <c r="AY1622" s="35" t="str">
        <f aca="false">IF($B1622="","",AQ1622)</f>
        <v/>
      </c>
      <c r="AZ1622" s="35" t="str">
        <f aca="false">IF($B1622="","",AP1622+AT1622/2)</f>
        <v/>
      </c>
      <c r="BA1622" s="35" t="str">
        <f aca="false">IF($B1622="","",AK1622+AN1622+AM1622/2+AO1622+AP1622+AQ1622+AR1622+AS1622+AT1622+AU1622+AV1622+AW1622)</f>
        <v/>
      </c>
      <c r="BB1622" s="35" t="str">
        <f aca="false">IF($B1622="","",MAX(0,AN1622-Settings!$C$16)*Settings!$C$17)</f>
        <v/>
      </c>
      <c r="BC1622" s="35" t="str">
        <f aca="false">IF($B1622="","",BA1622-BB1622)</f>
        <v/>
      </c>
      <c r="BD1622" s="35" t="str">
        <f aca="false">IF(OR($B1622="",$A1622=""),"",DAY(EOMONTH($A1622,0))-COUNTA($F1622:$AJ1622))</f>
        <v/>
      </c>
    </row>
    <row r="1623" customFormat="false" ht="15" hidden="false" customHeight="false" outlineLevel="0" collapsed="false">
      <c r="A1623" s="32"/>
      <c r="B1623" s="29"/>
      <c r="C1623" s="10" t="str">
        <f aca="false">IF($B1623="","",IFERROR(INDEX(M_name,MATCH($B1623,M_emp,0)),"Code not found"))</f>
        <v/>
      </c>
      <c r="D1623" s="10" t="str">
        <f aca="false">IF($B1623="","",IFERROR(INDEX(M_dept,MATCH($B1623,M_emp,0)),""))</f>
        <v/>
      </c>
      <c r="E1623" s="10" t="str">
        <f aca="false">IF($B1623="","",IFERROR(INDEX(M_loc,MATCH($B1623,M_emp,0)),""))</f>
        <v/>
      </c>
      <c r="F1623" s="33"/>
      <c r="G1623" s="33"/>
      <c r="H1623" s="33"/>
      <c r="I1623" s="33"/>
      <c r="J1623" s="33"/>
      <c r="K1623" s="33"/>
      <c r="L1623" s="33"/>
      <c r="M1623" s="33"/>
      <c r="N1623" s="33"/>
      <c r="O1623" s="33"/>
      <c r="P1623" s="33"/>
      <c r="Q1623" s="33"/>
      <c r="R1623" s="33"/>
      <c r="S1623" s="33"/>
      <c r="T1623" s="33"/>
      <c r="U1623" s="33"/>
      <c r="V1623" s="33"/>
      <c r="W1623" s="33"/>
      <c r="X1623" s="33"/>
      <c r="Y1623" s="33"/>
      <c r="Z1623" s="33"/>
      <c r="AA1623" s="33"/>
      <c r="AB1623" s="33"/>
      <c r="AC1623" s="33"/>
      <c r="AD1623" s="33"/>
      <c r="AE1623" s="33"/>
      <c r="AF1623" s="33"/>
      <c r="AG1623" s="33"/>
      <c r="AH1623" s="33"/>
      <c r="AI1623" s="33"/>
      <c r="AJ1623" s="33"/>
      <c r="AK1623" s="34" t="str">
        <f aca="false">IF($B1623="","",COUNTIF($F1623:$AJ1623,"P"))</f>
        <v/>
      </c>
      <c r="AL1623" s="34" t="str">
        <f aca="false">IF($B1623="","",COUNTIF($F1623:$AJ1623,"A"))</f>
        <v/>
      </c>
      <c r="AM1623" s="34" t="str">
        <f aca="false">IF($B1623="","",COUNTIF($F1623:$AJ1623,"HA"))</f>
        <v/>
      </c>
      <c r="AN1623" s="34" t="str">
        <f aca="false">IF($B1623="","",COUNTIF($F1623:$AJ1623,"L"))</f>
        <v/>
      </c>
      <c r="AO1623" s="34" t="str">
        <f aca="false">IF($B1623="","",COUNTIF($F1623:$AJ1623,"PL"))</f>
        <v/>
      </c>
      <c r="AP1623" s="34" t="str">
        <f aca="false">IF($B1623="","",COUNTIF($F1623:$AJ1623,"CL"))</f>
        <v/>
      </c>
      <c r="AQ1623" s="34" t="str">
        <f aca="false">IF($B1623="","",COUNTIF($F1623:$AJ1623,"SL"))</f>
        <v/>
      </c>
      <c r="AR1623" s="34" t="str">
        <f aca="false">IF($B1623="","",COUNTIF($F1623:$AJ1623,"CO"))</f>
        <v/>
      </c>
      <c r="AS1623" s="34" t="str">
        <f aca="false">IF($B1623="","",COUNTIF($F1623:$AJ1623,"HPL"))</f>
        <v/>
      </c>
      <c r="AT1623" s="34" t="str">
        <f aca="false">IF($B1623="","",COUNTIF($F1623:$AJ1623,"HCL"))</f>
        <v/>
      </c>
      <c r="AU1623" s="34" t="str">
        <f aca="false">IF($B1623="","",COUNTIF($F1623:$AJ1623,"WO"))</f>
        <v/>
      </c>
      <c r="AV1623" s="34" t="str">
        <f aca="false">IF($B1623="","",COUNTIF($F1623:$AJ1623,"PH"))</f>
        <v/>
      </c>
      <c r="AW1623" s="34" t="str">
        <f aca="false">IF($B1623="","",COUNTIF($F1623:$AJ1623,"TR"))</f>
        <v/>
      </c>
      <c r="AX1623" s="35" t="str">
        <f aca="false">IF($B1623="","",AO1623+AS1623/2)</f>
        <v/>
      </c>
      <c r="AY1623" s="35" t="str">
        <f aca="false">IF($B1623="","",AQ1623)</f>
        <v/>
      </c>
      <c r="AZ1623" s="35" t="str">
        <f aca="false">IF($B1623="","",AP1623+AT1623/2)</f>
        <v/>
      </c>
      <c r="BA1623" s="35" t="str">
        <f aca="false">IF($B1623="","",AK1623+AN1623+AM1623/2+AO1623+AP1623+AQ1623+AR1623+AS1623+AT1623+AU1623+AV1623+AW1623)</f>
        <v/>
      </c>
      <c r="BB1623" s="35" t="str">
        <f aca="false">IF($B1623="","",MAX(0,AN1623-Settings!$C$16)*Settings!$C$17)</f>
        <v/>
      </c>
      <c r="BC1623" s="35" t="str">
        <f aca="false">IF($B1623="","",BA1623-BB1623)</f>
        <v/>
      </c>
      <c r="BD1623" s="35" t="str">
        <f aca="false">IF(OR($B1623="",$A1623=""),"",DAY(EOMONTH($A1623,0))-COUNTA($F1623:$AJ1623))</f>
        <v/>
      </c>
    </row>
    <row r="1624" customFormat="false" ht="15" hidden="false" customHeight="false" outlineLevel="0" collapsed="false">
      <c r="A1624" s="32"/>
      <c r="B1624" s="29"/>
      <c r="C1624" s="10" t="str">
        <f aca="false">IF($B1624="","",IFERROR(INDEX(M_name,MATCH($B1624,M_emp,0)),"Code not found"))</f>
        <v/>
      </c>
      <c r="D1624" s="10" t="str">
        <f aca="false">IF($B1624="","",IFERROR(INDEX(M_dept,MATCH($B1624,M_emp,0)),""))</f>
        <v/>
      </c>
      <c r="E1624" s="10" t="str">
        <f aca="false">IF($B1624="","",IFERROR(INDEX(M_loc,MATCH($B1624,M_emp,0)),""))</f>
        <v/>
      </c>
      <c r="F1624" s="33"/>
      <c r="G1624" s="33"/>
      <c r="H1624" s="33"/>
      <c r="I1624" s="33"/>
      <c r="J1624" s="33"/>
      <c r="K1624" s="33"/>
      <c r="L1624" s="33"/>
      <c r="M1624" s="33"/>
      <c r="N1624" s="33"/>
      <c r="O1624" s="33"/>
      <c r="P1624" s="33"/>
      <c r="Q1624" s="33"/>
      <c r="R1624" s="33"/>
      <c r="S1624" s="33"/>
      <c r="T1624" s="33"/>
      <c r="U1624" s="33"/>
      <c r="V1624" s="33"/>
      <c r="W1624" s="33"/>
      <c r="X1624" s="33"/>
      <c r="Y1624" s="33"/>
      <c r="Z1624" s="33"/>
      <c r="AA1624" s="33"/>
      <c r="AB1624" s="33"/>
      <c r="AC1624" s="33"/>
      <c r="AD1624" s="33"/>
      <c r="AE1624" s="33"/>
      <c r="AF1624" s="33"/>
      <c r="AG1624" s="33"/>
      <c r="AH1624" s="33"/>
      <c r="AI1624" s="33"/>
      <c r="AJ1624" s="33"/>
      <c r="AK1624" s="34" t="str">
        <f aca="false">IF($B1624="","",COUNTIF($F1624:$AJ1624,"P"))</f>
        <v/>
      </c>
      <c r="AL1624" s="34" t="str">
        <f aca="false">IF($B1624="","",COUNTIF($F1624:$AJ1624,"A"))</f>
        <v/>
      </c>
      <c r="AM1624" s="34" t="str">
        <f aca="false">IF($B1624="","",COUNTIF($F1624:$AJ1624,"HA"))</f>
        <v/>
      </c>
      <c r="AN1624" s="34" t="str">
        <f aca="false">IF($B1624="","",COUNTIF($F1624:$AJ1624,"L"))</f>
        <v/>
      </c>
      <c r="AO1624" s="34" t="str">
        <f aca="false">IF($B1624="","",COUNTIF($F1624:$AJ1624,"PL"))</f>
        <v/>
      </c>
      <c r="AP1624" s="34" t="str">
        <f aca="false">IF($B1624="","",COUNTIF($F1624:$AJ1624,"CL"))</f>
        <v/>
      </c>
      <c r="AQ1624" s="34" t="str">
        <f aca="false">IF($B1624="","",COUNTIF($F1624:$AJ1624,"SL"))</f>
        <v/>
      </c>
      <c r="AR1624" s="34" t="str">
        <f aca="false">IF($B1624="","",COUNTIF($F1624:$AJ1624,"CO"))</f>
        <v/>
      </c>
      <c r="AS1624" s="34" t="str">
        <f aca="false">IF($B1624="","",COUNTIF($F1624:$AJ1624,"HPL"))</f>
        <v/>
      </c>
      <c r="AT1624" s="34" t="str">
        <f aca="false">IF($B1624="","",COUNTIF($F1624:$AJ1624,"HCL"))</f>
        <v/>
      </c>
      <c r="AU1624" s="34" t="str">
        <f aca="false">IF($B1624="","",COUNTIF($F1624:$AJ1624,"WO"))</f>
        <v/>
      </c>
      <c r="AV1624" s="34" t="str">
        <f aca="false">IF($B1624="","",COUNTIF($F1624:$AJ1624,"PH"))</f>
        <v/>
      </c>
      <c r="AW1624" s="34" t="str">
        <f aca="false">IF($B1624="","",COUNTIF($F1624:$AJ1624,"TR"))</f>
        <v/>
      </c>
      <c r="AX1624" s="35" t="str">
        <f aca="false">IF($B1624="","",AO1624+AS1624/2)</f>
        <v/>
      </c>
      <c r="AY1624" s="35" t="str">
        <f aca="false">IF($B1624="","",AQ1624)</f>
        <v/>
      </c>
      <c r="AZ1624" s="35" t="str">
        <f aca="false">IF($B1624="","",AP1624+AT1624/2)</f>
        <v/>
      </c>
      <c r="BA1624" s="35" t="str">
        <f aca="false">IF($B1624="","",AK1624+AN1624+AM1624/2+AO1624+AP1624+AQ1624+AR1624+AS1624+AT1624+AU1624+AV1624+AW1624)</f>
        <v/>
      </c>
      <c r="BB1624" s="35" t="str">
        <f aca="false">IF($B1624="","",MAX(0,AN1624-Settings!$C$16)*Settings!$C$17)</f>
        <v/>
      </c>
      <c r="BC1624" s="35" t="str">
        <f aca="false">IF($B1624="","",BA1624-BB1624)</f>
        <v/>
      </c>
      <c r="BD1624" s="35" t="str">
        <f aca="false">IF(OR($B1624="",$A1624=""),"",DAY(EOMONTH($A1624,0))-COUNTA($F1624:$AJ1624))</f>
        <v/>
      </c>
    </row>
    <row r="1625" customFormat="false" ht="15" hidden="false" customHeight="false" outlineLevel="0" collapsed="false">
      <c r="A1625" s="32"/>
      <c r="B1625" s="29"/>
      <c r="C1625" s="10" t="str">
        <f aca="false">IF($B1625="","",IFERROR(INDEX(M_name,MATCH($B1625,M_emp,0)),"Code not found"))</f>
        <v/>
      </c>
      <c r="D1625" s="10" t="str">
        <f aca="false">IF($B1625="","",IFERROR(INDEX(M_dept,MATCH($B1625,M_emp,0)),""))</f>
        <v/>
      </c>
      <c r="E1625" s="10" t="str">
        <f aca="false">IF($B1625="","",IFERROR(INDEX(M_loc,MATCH($B1625,M_emp,0)),""))</f>
        <v/>
      </c>
      <c r="F1625" s="33"/>
      <c r="G1625" s="33"/>
      <c r="H1625" s="33"/>
      <c r="I1625" s="33"/>
      <c r="J1625" s="33"/>
      <c r="K1625" s="33"/>
      <c r="L1625" s="33"/>
      <c r="M1625" s="33"/>
      <c r="N1625" s="33"/>
      <c r="O1625" s="33"/>
      <c r="P1625" s="33"/>
      <c r="Q1625" s="33"/>
      <c r="R1625" s="33"/>
      <c r="S1625" s="33"/>
      <c r="T1625" s="33"/>
      <c r="U1625" s="33"/>
      <c r="V1625" s="33"/>
      <c r="W1625" s="33"/>
      <c r="X1625" s="33"/>
      <c r="Y1625" s="33"/>
      <c r="Z1625" s="33"/>
      <c r="AA1625" s="33"/>
      <c r="AB1625" s="33"/>
      <c r="AC1625" s="33"/>
      <c r="AD1625" s="33"/>
      <c r="AE1625" s="33"/>
      <c r="AF1625" s="33"/>
      <c r="AG1625" s="33"/>
      <c r="AH1625" s="33"/>
      <c r="AI1625" s="33"/>
      <c r="AJ1625" s="33"/>
      <c r="AK1625" s="34" t="str">
        <f aca="false">IF($B1625="","",COUNTIF($F1625:$AJ1625,"P"))</f>
        <v/>
      </c>
      <c r="AL1625" s="34" t="str">
        <f aca="false">IF($B1625="","",COUNTIF($F1625:$AJ1625,"A"))</f>
        <v/>
      </c>
      <c r="AM1625" s="34" t="str">
        <f aca="false">IF($B1625="","",COUNTIF($F1625:$AJ1625,"HA"))</f>
        <v/>
      </c>
      <c r="AN1625" s="34" t="str">
        <f aca="false">IF($B1625="","",COUNTIF($F1625:$AJ1625,"L"))</f>
        <v/>
      </c>
      <c r="AO1625" s="34" t="str">
        <f aca="false">IF($B1625="","",COUNTIF($F1625:$AJ1625,"PL"))</f>
        <v/>
      </c>
      <c r="AP1625" s="34" t="str">
        <f aca="false">IF($B1625="","",COUNTIF($F1625:$AJ1625,"CL"))</f>
        <v/>
      </c>
      <c r="AQ1625" s="34" t="str">
        <f aca="false">IF($B1625="","",COUNTIF($F1625:$AJ1625,"SL"))</f>
        <v/>
      </c>
      <c r="AR1625" s="34" t="str">
        <f aca="false">IF($B1625="","",COUNTIF($F1625:$AJ1625,"CO"))</f>
        <v/>
      </c>
      <c r="AS1625" s="34" t="str">
        <f aca="false">IF($B1625="","",COUNTIF($F1625:$AJ1625,"HPL"))</f>
        <v/>
      </c>
      <c r="AT1625" s="34" t="str">
        <f aca="false">IF($B1625="","",COUNTIF($F1625:$AJ1625,"HCL"))</f>
        <v/>
      </c>
      <c r="AU1625" s="34" t="str">
        <f aca="false">IF($B1625="","",COUNTIF($F1625:$AJ1625,"WO"))</f>
        <v/>
      </c>
      <c r="AV1625" s="34" t="str">
        <f aca="false">IF($B1625="","",COUNTIF($F1625:$AJ1625,"PH"))</f>
        <v/>
      </c>
      <c r="AW1625" s="34" t="str">
        <f aca="false">IF($B1625="","",COUNTIF($F1625:$AJ1625,"TR"))</f>
        <v/>
      </c>
      <c r="AX1625" s="35" t="str">
        <f aca="false">IF($B1625="","",AO1625+AS1625/2)</f>
        <v/>
      </c>
      <c r="AY1625" s="35" t="str">
        <f aca="false">IF($B1625="","",AQ1625)</f>
        <v/>
      </c>
      <c r="AZ1625" s="35" t="str">
        <f aca="false">IF($B1625="","",AP1625+AT1625/2)</f>
        <v/>
      </c>
      <c r="BA1625" s="35" t="str">
        <f aca="false">IF($B1625="","",AK1625+AN1625+AM1625/2+AO1625+AP1625+AQ1625+AR1625+AS1625+AT1625+AU1625+AV1625+AW1625)</f>
        <v/>
      </c>
      <c r="BB1625" s="35" t="str">
        <f aca="false">IF($B1625="","",MAX(0,AN1625-Settings!$C$16)*Settings!$C$17)</f>
        <v/>
      </c>
      <c r="BC1625" s="35" t="str">
        <f aca="false">IF($B1625="","",BA1625-BB1625)</f>
        <v/>
      </c>
      <c r="BD1625" s="35" t="str">
        <f aca="false">IF(OR($B1625="",$A1625=""),"",DAY(EOMONTH($A1625,0))-COUNTA($F1625:$AJ1625))</f>
        <v/>
      </c>
    </row>
    <row r="1626" customFormat="false" ht="15" hidden="false" customHeight="false" outlineLevel="0" collapsed="false">
      <c r="A1626" s="32"/>
      <c r="B1626" s="29"/>
      <c r="C1626" s="10" t="str">
        <f aca="false">IF($B1626="","",IFERROR(INDEX(M_name,MATCH($B1626,M_emp,0)),"Code not found"))</f>
        <v/>
      </c>
      <c r="D1626" s="10" t="str">
        <f aca="false">IF($B1626="","",IFERROR(INDEX(M_dept,MATCH($B1626,M_emp,0)),""))</f>
        <v/>
      </c>
      <c r="E1626" s="10" t="str">
        <f aca="false">IF($B1626="","",IFERROR(INDEX(M_loc,MATCH($B1626,M_emp,0)),""))</f>
        <v/>
      </c>
      <c r="F1626" s="33"/>
      <c r="G1626" s="33"/>
      <c r="H1626" s="33"/>
      <c r="I1626" s="33"/>
      <c r="J1626" s="33"/>
      <c r="K1626" s="33"/>
      <c r="L1626" s="33"/>
      <c r="M1626" s="33"/>
      <c r="N1626" s="33"/>
      <c r="O1626" s="33"/>
      <c r="P1626" s="33"/>
      <c r="Q1626" s="33"/>
      <c r="R1626" s="33"/>
      <c r="S1626" s="33"/>
      <c r="T1626" s="33"/>
      <c r="U1626" s="33"/>
      <c r="V1626" s="33"/>
      <c r="W1626" s="33"/>
      <c r="X1626" s="33"/>
      <c r="Y1626" s="33"/>
      <c r="Z1626" s="33"/>
      <c r="AA1626" s="33"/>
      <c r="AB1626" s="33"/>
      <c r="AC1626" s="33"/>
      <c r="AD1626" s="33"/>
      <c r="AE1626" s="33"/>
      <c r="AF1626" s="33"/>
      <c r="AG1626" s="33"/>
      <c r="AH1626" s="33"/>
      <c r="AI1626" s="33"/>
      <c r="AJ1626" s="33"/>
      <c r="AK1626" s="34" t="str">
        <f aca="false">IF($B1626="","",COUNTIF($F1626:$AJ1626,"P"))</f>
        <v/>
      </c>
      <c r="AL1626" s="34" t="str">
        <f aca="false">IF($B1626="","",COUNTIF($F1626:$AJ1626,"A"))</f>
        <v/>
      </c>
      <c r="AM1626" s="34" t="str">
        <f aca="false">IF($B1626="","",COUNTIF($F1626:$AJ1626,"HA"))</f>
        <v/>
      </c>
      <c r="AN1626" s="34" t="str">
        <f aca="false">IF($B1626="","",COUNTIF($F1626:$AJ1626,"L"))</f>
        <v/>
      </c>
      <c r="AO1626" s="34" t="str">
        <f aca="false">IF($B1626="","",COUNTIF($F1626:$AJ1626,"PL"))</f>
        <v/>
      </c>
      <c r="AP1626" s="34" t="str">
        <f aca="false">IF($B1626="","",COUNTIF($F1626:$AJ1626,"CL"))</f>
        <v/>
      </c>
      <c r="AQ1626" s="34" t="str">
        <f aca="false">IF($B1626="","",COUNTIF($F1626:$AJ1626,"SL"))</f>
        <v/>
      </c>
      <c r="AR1626" s="34" t="str">
        <f aca="false">IF($B1626="","",COUNTIF($F1626:$AJ1626,"CO"))</f>
        <v/>
      </c>
      <c r="AS1626" s="34" t="str">
        <f aca="false">IF($B1626="","",COUNTIF($F1626:$AJ1626,"HPL"))</f>
        <v/>
      </c>
      <c r="AT1626" s="34" t="str">
        <f aca="false">IF($B1626="","",COUNTIF($F1626:$AJ1626,"HCL"))</f>
        <v/>
      </c>
      <c r="AU1626" s="34" t="str">
        <f aca="false">IF($B1626="","",COUNTIF($F1626:$AJ1626,"WO"))</f>
        <v/>
      </c>
      <c r="AV1626" s="34" t="str">
        <f aca="false">IF($B1626="","",COUNTIF($F1626:$AJ1626,"PH"))</f>
        <v/>
      </c>
      <c r="AW1626" s="34" t="str">
        <f aca="false">IF($B1626="","",COUNTIF($F1626:$AJ1626,"TR"))</f>
        <v/>
      </c>
      <c r="AX1626" s="35" t="str">
        <f aca="false">IF($B1626="","",AO1626+AS1626/2)</f>
        <v/>
      </c>
      <c r="AY1626" s="35" t="str">
        <f aca="false">IF($B1626="","",AQ1626)</f>
        <v/>
      </c>
      <c r="AZ1626" s="35" t="str">
        <f aca="false">IF($B1626="","",AP1626+AT1626/2)</f>
        <v/>
      </c>
      <c r="BA1626" s="35" t="str">
        <f aca="false">IF($B1626="","",AK1626+AN1626+AM1626/2+AO1626+AP1626+AQ1626+AR1626+AS1626+AT1626+AU1626+AV1626+AW1626)</f>
        <v/>
      </c>
      <c r="BB1626" s="35" t="str">
        <f aca="false">IF($B1626="","",MAX(0,AN1626-Settings!$C$16)*Settings!$C$17)</f>
        <v/>
      </c>
      <c r="BC1626" s="35" t="str">
        <f aca="false">IF($B1626="","",BA1626-BB1626)</f>
        <v/>
      </c>
      <c r="BD1626" s="35" t="str">
        <f aca="false">IF(OR($B1626="",$A1626=""),"",DAY(EOMONTH($A1626,0))-COUNTA($F1626:$AJ1626))</f>
        <v/>
      </c>
    </row>
    <row r="1627" customFormat="false" ht="15" hidden="false" customHeight="false" outlineLevel="0" collapsed="false">
      <c r="A1627" s="32"/>
      <c r="B1627" s="29"/>
      <c r="C1627" s="10" t="str">
        <f aca="false">IF($B1627="","",IFERROR(INDEX(M_name,MATCH($B1627,M_emp,0)),"Code not found"))</f>
        <v/>
      </c>
      <c r="D1627" s="10" t="str">
        <f aca="false">IF($B1627="","",IFERROR(INDEX(M_dept,MATCH($B1627,M_emp,0)),""))</f>
        <v/>
      </c>
      <c r="E1627" s="10" t="str">
        <f aca="false">IF($B1627="","",IFERROR(INDEX(M_loc,MATCH($B1627,M_emp,0)),""))</f>
        <v/>
      </c>
      <c r="F1627" s="33"/>
      <c r="G1627" s="33"/>
      <c r="H1627" s="33"/>
      <c r="I1627" s="33"/>
      <c r="J1627" s="33"/>
      <c r="K1627" s="33"/>
      <c r="L1627" s="33"/>
      <c r="M1627" s="33"/>
      <c r="N1627" s="33"/>
      <c r="O1627" s="33"/>
      <c r="P1627" s="33"/>
      <c r="Q1627" s="33"/>
      <c r="R1627" s="33"/>
      <c r="S1627" s="33"/>
      <c r="T1627" s="33"/>
      <c r="U1627" s="33"/>
      <c r="V1627" s="33"/>
      <c r="W1627" s="33"/>
      <c r="X1627" s="33"/>
      <c r="Y1627" s="33"/>
      <c r="Z1627" s="33"/>
      <c r="AA1627" s="33"/>
      <c r="AB1627" s="33"/>
      <c r="AC1627" s="33"/>
      <c r="AD1627" s="33"/>
      <c r="AE1627" s="33"/>
      <c r="AF1627" s="33"/>
      <c r="AG1627" s="33"/>
      <c r="AH1627" s="33"/>
      <c r="AI1627" s="33"/>
      <c r="AJ1627" s="33"/>
      <c r="AK1627" s="34" t="str">
        <f aca="false">IF($B1627="","",COUNTIF($F1627:$AJ1627,"P"))</f>
        <v/>
      </c>
      <c r="AL1627" s="34" t="str">
        <f aca="false">IF($B1627="","",COUNTIF($F1627:$AJ1627,"A"))</f>
        <v/>
      </c>
      <c r="AM1627" s="34" t="str">
        <f aca="false">IF($B1627="","",COUNTIF($F1627:$AJ1627,"HA"))</f>
        <v/>
      </c>
      <c r="AN1627" s="34" t="str">
        <f aca="false">IF($B1627="","",COUNTIF($F1627:$AJ1627,"L"))</f>
        <v/>
      </c>
      <c r="AO1627" s="34" t="str">
        <f aca="false">IF($B1627="","",COUNTIF($F1627:$AJ1627,"PL"))</f>
        <v/>
      </c>
      <c r="AP1627" s="34" t="str">
        <f aca="false">IF($B1627="","",COUNTIF($F1627:$AJ1627,"CL"))</f>
        <v/>
      </c>
      <c r="AQ1627" s="34" t="str">
        <f aca="false">IF($B1627="","",COUNTIF($F1627:$AJ1627,"SL"))</f>
        <v/>
      </c>
      <c r="AR1627" s="34" t="str">
        <f aca="false">IF($B1627="","",COUNTIF($F1627:$AJ1627,"CO"))</f>
        <v/>
      </c>
      <c r="AS1627" s="34" t="str">
        <f aca="false">IF($B1627="","",COUNTIF($F1627:$AJ1627,"HPL"))</f>
        <v/>
      </c>
      <c r="AT1627" s="34" t="str">
        <f aca="false">IF($B1627="","",COUNTIF($F1627:$AJ1627,"HCL"))</f>
        <v/>
      </c>
      <c r="AU1627" s="34" t="str">
        <f aca="false">IF($B1627="","",COUNTIF($F1627:$AJ1627,"WO"))</f>
        <v/>
      </c>
      <c r="AV1627" s="34" t="str">
        <f aca="false">IF($B1627="","",COUNTIF($F1627:$AJ1627,"PH"))</f>
        <v/>
      </c>
      <c r="AW1627" s="34" t="str">
        <f aca="false">IF($B1627="","",COUNTIF($F1627:$AJ1627,"TR"))</f>
        <v/>
      </c>
      <c r="AX1627" s="35" t="str">
        <f aca="false">IF($B1627="","",AO1627+AS1627/2)</f>
        <v/>
      </c>
      <c r="AY1627" s="35" t="str">
        <f aca="false">IF($B1627="","",AQ1627)</f>
        <v/>
      </c>
      <c r="AZ1627" s="35" t="str">
        <f aca="false">IF($B1627="","",AP1627+AT1627/2)</f>
        <v/>
      </c>
      <c r="BA1627" s="35" t="str">
        <f aca="false">IF($B1627="","",AK1627+AN1627+AM1627/2+AO1627+AP1627+AQ1627+AR1627+AS1627+AT1627+AU1627+AV1627+AW1627)</f>
        <v/>
      </c>
      <c r="BB1627" s="35" t="str">
        <f aca="false">IF($B1627="","",MAX(0,AN1627-Settings!$C$16)*Settings!$C$17)</f>
        <v/>
      </c>
      <c r="BC1627" s="35" t="str">
        <f aca="false">IF($B1627="","",BA1627-BB1627)</f>
        <v/>
      </c>
      <c r="BD1627" s="35" t="str">
        <f aca="false">IF(OR($B1627="",$A1627=""),"",DAY(EOMONTH($A1627,0))-COUNTA($F1627:$AJ1627))</f>
        <v/>
      </c>
    </row>
    <row r="1628" customFormat="false" ht="15" hidden="false" customHeight="false" outlineLevel="0" collapsed="false">
      <c r="A1628" s="32"/>
      <c r="B1628" s="29"/>
      <c r="C1628" s="10" t="str">
        <f aca="false">IF($B1628="","",IFERROR(INDEX(M_name,MATCH($B1628,M_emp,0)),"Code not found"))</f>
        <v/>
      </c>
      <c r="D1628" s="10" t="str">
        <f aca="false">IF($B1628="","",IFERROR(INDEX(M_dept,MATCH($B1628,M_emp,0)),""))</f>
        <v/>
      </c>
      <c r="E1628" s="10" t="str">
        <f aca="false">IF($B1628="","",IFERROR(INDEX(M_loc,MATCH($B1628,M_emp,0)),""))</f>
        <v/>
      </c>
      <c r="F1628" s="33"/>
      <c r="G1628" s="33"/>
      <c r="H1628" s="33"/>
      <c r="I1628" s="33"/>
      <c r="J1628" s="33"/>
      <c r="K1628" s="33"/>
      <c r="L1628" s="33"/>
      <c r="M1628" s="33"/>
      <c r="N1628" s="33"/>
      <c r="O1628" s="33"/>
      <c r="P1628" s="33"/>
      <c r="Q1628" s="33"/>
      <c r="R1628" s="33"/>
      <c r="S1628" s="33"/>
      <c r="T1628" s="33"/>
      <c r="U1628" s="33"/>
      <c r="V1628" s="33"/>
      <c r="W1628" s="33"/>
      <c r="X1628" s="33"/>
      <c r="Y1628" s="33"/>
      <c r="Z1628" s="33"/>
      <c r="AA1628" s="33"/>
      <c r="AB1628" s="33"/>
      <c r="AC1628" s="33"/>
      <c r="AD1628" s="33"/>
      <c r="AE1628" s="33"/>
      <c r="AF1628" s="33"/>
      <c r="AG1628" s="33"/>
      <c r="AH1628" s="33"/>
      <c r="AI1628" s="33"/>
      <c r="AJ1628" s="33"/>
      <c r="AK1628" s="34" t="str">
        <f aca="false">IF($B1628="","",COUNTIF($F1628:$AJ1628,"P"))</f>
        <v/>
      </c>
      <c r="AL1628" s="34" t="str">
        <f aca="false">IF($B1628="","",COUNTIF($F1628:$AJ1628,"A"))</f>
        <v/>
      </c>
      <c r="AM1628" s="34" t="str">
        <f aca="false">IF($B1628="","",COUNTIF($F1628:$AJ1628,"HA"))</f>
        <v/>
      </c>
      <c r="AN1628" s="34" t="str">
        <f aca="false">IF($B1628="","",COUNTIF($F1628:$AJ1628,"L"))</f>
        <v/>
      </c>
      <c r="AO1628" s="34" t="str">
        <f aca="false">IF($B1628="","",COUNTIF($F1628:$AJ1628,"PL"))</f>
        <v/>
      </c>
      <c r="AP1628" s="34" t="str">
        <f aca="false">IF($B1628="","",COUNTIF($F1628:$AJ1628,"CL"))</f>
        <v/>
      </c>
      <c r="AQ1628" s="34" t="str">
        <f aca="false">IF($B1628="","",COUNTIF($F1628:$AJ1628,"SL"))</f>
        <v/>
      </c>
      <c r="AR1628" s="34" t="str">
        <f aca="false">IF($B1628="","",COUNTIF($F1628:$AJ1628,"CO"))</f>
        <v/>
      </c>
      <c r="AS1628" s="34" t="str">
        <f aca="false">IF($B1628="","",COUNTIF($F1628:$AJ1628,"HPL"))</f>
        <v/>
      </c>
      <c r="AT1628" s="34" t="str">
        <f aca="false">IF($B1628="","",COUNTIF($F1628:$AJ1628,"HCL"))</f>
        <v/>
      </c>
      <c r="AU1628" s="34" t="str">
        <f aca="false">IF($B1628="","",COUNTIF($F1628:$AJ1628,"WO"))</f>
        <v/>
      </c>
      <c r="AV1628" s="34" t="str">
        <f aca="false">IF($B1628="","",COUNTIF($F1628:$AJ1628,"PH"))</f>
        <v/>
      </c>
      <c r="AW1628" s="34" t="str">
        <f aca="false">IF($B1628="","",COUNTIF($F1628:$AJ1628,"TR"))</f>
        <v/>
      </c>
      <c r="AX1628" s="35" t="str">
        <f aca="false">IF($B1628="","",AO1628+AS1628/2)</f>
        <v/>
      </c>
      <c r="AY1628" s="35" t="str">
        <f aca="false">IF($B1628="","",AQ1628)</f>
        <v/>
      </c>
      <c r="AZ1628" s="35" t="str">
        <f aca="false">IF($B1628="","",AP1628+AT1628/2)</f>
        <v/>
      </c>
      <c r="BA1628" s="35" t="str">
        <f aca="false">IF($B1628="","",AK1628+AN1628+AM1628/2+AO1628+AP1628+AQ1628+AR1628+AS1628+AT1628+AU1628+AV1628+AW1628)</f>
        <v/>
      </c>
      <c r="BB1628" s="35" t="str">
        <f aca="false">IF($B1628="","",MAX(0,AN1628-Settings!$C$16)*Settings!$C$17)</f>
        <v/>
      </c>
      <c r="BC1628" s="35" t="str">
        <f aca="false">IF($B1628="","",BA1628-BB1628)</f>
        <v/>
      </c>
      <c r="BD1628" s="35" t="str">
        <f aca="false">IF(OR($B1628="",$A1628=""),"",DAY(EOMONTH($A1628,0))-COUNTA($F1628:$AJ1628))</f>
        <v/>
      </c>
    </row>
    <row r="1629" customFormat="false" ht="15" hidden="false" customHeight="false" outlineLevel="0" collapsed="false">
      <c r="A1629" s="32"/>
      <c r="B1629" s="29"/>
      <c r="C1629" s="10" t="str">
        <f aca="false">IF($B1629="","",IFERROR(INDEX(M_name,MATCH($B1629,M_emp,0)),"Code not found"))</f>
        <v/>
      </c>
      <c r="D1629" s="10" t="str">
        <f aca="false">IF($B1629="","",IFERROR(INDEX(M_dept,MATCH($B1629,M_emp,0)),""))</f>
        <v/>
      </c>
      <c r="E1629" s="10" t="str">
        <f aca="false">IF($B1629="","",IFERROR(INDEX(M_loc,MATCH($B1629,M_emp,0)),""))</f>
        <v/>
      </c>
      <c r="F1629" s="33"/>
      <c r="G1629" s="33"/>
      <c r="H1629" s="33"/>
      <c r="I1629" s="33"/>
      <c r="J1629" s="33"/>
      <c r="K1629" s="33"/>
      <c r="L1629" s="33"/>
      <c r="M1629" s="33"/>
      <c r="N1629" s="33"/>
      <c r="O1629" s="33"/>
      <c r="P1629" s="33"/>
      <c r="Q1629" s="33"/>
      <c r="R1629" s="33"/>
      <c r="S1629" s="33"/>
      <c r="T1629" s="33"/>
      <c r="U1629" s="33"/>
      <c r="V1629" s="33"/>
      <c r="W1629" s="33"/>
      <c r="X1629" s="33"/>
      <c r="Y1629" s="33"/>
      <c r="Z1629" s="33"/>
      <c r="AA1629" s="33"/>
      <c r="AB1629" s="33"/>
      <c r="AC1629" s="33"/>
      <c r="AD1629" s="33"/>
      <c r="AE1629" s="33"/>
      <c r="AF1629" s="33"/>
      <c r="AG1629" s="33"/>
      <c r="AH1629" s="33"/>
      <c r="AI1629" s="33"/>
      <c r="AJ1629" s="33"/>
      <c r="AK1629" s="34" t="str">
        <f aca="false">IF($B1629="","",COUNTIF($F1629:$AJ1629,"P"))</f>
        <v/>
      </c>
      <c r="AL1629" s="34" t="str">
        <f aca="false">IF($B1629="","",COUNTIF($F1629:$AJ1629,"A"))</f>
        <v/>
      </c>
      <c r="AM1629" s="34" t="str">
        <f aca="false">IF($B1629="","",COUNTIF($F1629:$AJ1629,"HA"))</f>
        <v/>
      </c>
      <c r="AN1629" s="34" t="str">
        <f aca="false">IF($B1629="","",COUNTIF($F1629:$AJ1629,"L"))</f>
        <v/>
      </c>
      <c r="AO1629" s="34" t="str">
        <f aca="false">IF($B1629="","",COUNTIF($F1629:$AJ1629,"PL"))</f>
        <v/>
      </c>
      <c r="AP1629" s="34" t="str">
        <f aca="false">IF($B1629="","",COUNTIF($F1629:$AJ1629,"CL"))</f>
        <v/>
      </c>
      <c r="AQ1629" s="34" t="str">
        <f aca="false">IF($B1629="","",COUNTIF($F1629:$AJ1629,"SL"))</f>
        <v/>
      </c>
      <c r="AR1629" s="34" t="str">
        <f aca="false">IF($B1629="","",COUNTIF($F1629:$AJ1629,"CO"))</f>
        <v/>
      </c>
      <c r="AS1629" s="34" t="str">
        <f aca="false">IF($B1629="","",COUNTIF($F1629:$AJ1629,"HPL"))</f>
        <v/>
      </c>
      <c r="AT1629" s="34" t="str">
        <f aca="false">IF($B1629="","",COUNTIF($F1629:$AJ1629,"HCL"))</f>
        <v/>
      </c>
      <c r="AU1629" s="34" t="str">
        <f aca="false">IF($B1629="","",COUNTIF($F1629:$AJ1629,"WO"))</f>
        <v/>
      </c>
      <c r="AV1629" s="34" t="str">
        <f aca="false">IF($B1629="","",COUNTIF($F1629:$AJ1629,"PH"))</f>
        <v/>
      </c>
      <c r="AW1629" s="34" t="str">
        <f aca="false">IF($B1629="","",COUNTIF($F1629:$AJ1629,"TR"))</f>
        <v/>
      </c>
      <c r="AX1629" s="35" t="str">
        <f aca="false">IF($B1629="","",AO1629+AS1629/2)</f>
        <v/>
      </c>
      <c r="AY1629" s="35" t="str">
        <f aca="false">IF($B1629="","",AQ1629)</f>
        <v/>
      </c>
      <c r="AZ1629" s="35" t="str">
        <f aca="false">IF($B1629="","",AP1629+AT1629/2)</f>
        <v/>
      </c>
      <c r="BA1629" s="35" t="str">
        <f aca="false">IF($B1629="","",AK1629+AN1629+AM1629/2+AO1629+AP1629+AQ1629+AR1629+AS1629+AT1629+AU1629+AV1629+AW1629)</f>
        <v/>
      </c>
      <c r="BB1629" s="35" t="str">
        <f aca="false">IF($B1629="","",MAX(0,AN1629-Settings!$C$16)*Settings!$C$17)</f>
        <v/>
      </c>
      <c r="BC1629" s="35" t="str">
        <f aca="false">IF($B1629="","",BA1629-BB1629)</f>
        <v/>
      </c>
      <c r="BD1629" s="35" t="str">
        <f aca="false">IF(OR($B1629="",$A1629=""),"",DAY(EOMONTH($A1629,0))-COUNTA($F1629:$AJ1629))</f>
        <v/>
      </c>
    </row>
    <row r="1630" customFormat="false" ht="15" hidden="false" customHeight="false" outlineLevel="0" collapsed="false">
      <c r="A1630" s="32"/>
      <c r="B1630" s="29"/>
      <c r="C1630" s="10" t="str">
        <f aca="false">IF($B1630="","",IFERROR(INDEX(M_name,MATCH($B1630,M_emp,0)),"Code not found"))</f>
        <v/>
      </c>
      <c r="D1630" s="10" t="str">
        <f aca="false">IF($B1630="","",IFERROR(INDEX(M_dept,MATCH($B1630,M_emp,0)),""))</f>
        <v/>
      </c>
      <c r="E1630" s="10" t="str">
        <f aca="false">IF($B1630="","",IFERROR(INDEX(M_loc,MATCH($B1630,M_emp,0)),""))</f>
        <v/>
      </c>
      <c r="F1630" s="33"/>
      <c r="G1630" s="33"/>
      <c r="H1630" s="33"/>
      <c r="I1630" s="33"/>
      <c r="J1630" s="33"/>
      <c r="K1630" s="33"/>
      <c r="L1630" s="33"/>
      <c r="M1630" s="33"/>
      <c r="N1630" s="33"/>
      <c r="O1630" s="33"/>
      <c r="P1630" s="33"/>
      <c r="Q1630" s="33"/>
      <c r="R1630" s="33"/>
      <c r="S1630" s="33"/>
      <c r="T1630" s="33"/>
      <c r="U1630" s="33"/>
      <c r="V1630" s="33"/>
      <c r="W1630" s="33"/>
      <c r="X1630" s="33"/>
      <c r="Y1630" s="33"/>
      <c r="Z1630" s="33"/>
      <c r="AA1630" s="33"/>
      <c r="AB1630" s="33"/>
      <c r="AC1630" s="33"/>
      <c r="AD1630" s="33"/>
      <c r="AE1630" s="33"/>
      <c r="AF1630" s="33"/>
      <c r="AG1630" s="33"/>
      <c r="AH1630" s="33"/>
      <c r="AI1630" s="33"/>
      <c r="AJ1630" s="33"/>
      <c r="AK1630" s="34" t="str">
        <f aca="false">IF($B1630="","",COUNTIF($F1630:$AJ1630,"P"))</f>
        <v/>
      </c>
      <c r="AL1630" s="34" t="str">
        <f aca="false">IF($B1630="","",COUNTIF($F1630:$AJ1630,"A"))</f>
        <v/>
      </c>
      <c r="AM1630" s="34" t="str">
        <f aca="false">IF($B1630="","",COUNTIF($F1630:$AJ1630,"HA"))</f>
        <v/>
      </c>
      <c r="AN1630" s="34" t="str">
        <f aca="false">IF($B1630="","",COUNTIF($F1630:$AJ1630,"L"))</f>
        <v/>
      </c>
      <c r="AO1630" s="34" t="str">
        <f aca="false">IF($B1630="","",COUNTIF($F1630:$AJ1630,"PL"))</f>
        <v/>
      </c>
      <c r="AP1630" s="34" t="str">
        <f aca="false">IF($B1630="","",COUNTIF($F1630:$AJ1630,"CL"))</f>
        <v/>
      </c>
      <c r="AQ1630" s="34" t="str">
        <f aca="false">IF($B1630="","",COUNTIF($F1630:$AJ1630,"SL"))</f>
        <v/>
      </c>
      <c r="AR1630" s="34" t="str">
        <f aca="false">IF($B1630="","",COUNTIF($F1630:$AJ1630,"CO"))</f>
        <v/>
      </c>
      <c r="AS1630" s="34" t="str">
        <f aca="false">IF($B1630="","",COUNTIF($F1630:$AJ1630,"HPL"))</f>
        <v/>
      </c>
      <c r="AT1630" s="34" t="str">
        <f aca="false">IF($B1630="","",COUNTIF($F1630:$AJ1630,"HCL"))</f>
        <v/>
      </c>
      <c r="AU1630" s="34" t="str">
        <f aca="false">IF($B1630="","",COUNTIF($F1630:$AJ1630,"WO"))</f>
        <v/>
      </c>
      <c r="AV1630" s="34" t="str">
        <f aca="false">IF($B1630="","",COUNTIF($F1630:$AJ1630,"PH"))</f>
        <v/>
      </c>
      <c r="AW1630" s="34" t="str">
        <f aca="false">IF($B1630="","",COUNTIF($F1630:$AJ1630,"TR"))</f>
        <v/>
      </c>
      <c r="AX1630" s="35" t="str">
        <f aca="false">IF($B1630="","",AO1630+AS1630/2)</f>
        <v/>
      </c>
      <c r="AY1630" s="35" t="str">
        <f aca="false">IF($B1630="","",AQ1630)</f>
        <v/>
      </c>
      <c r="AZ1630" s="35" t="str">
        <f aca="false">IF($B1630="","",AP1630+AT1630/2)</f>
        <v/>
      </c>
      <c r="BA1630" s="35" t="str">
        <f aca="false">IF($B1630="","",AK1630+AN1630+AM1630/2+AO1630+AP1630+AQ1630+AR1630+AS1630+AT1630+AU1630+AV1630+AW1630)</f>
        <v/>
      </c>
      <c r="BB1630" s="35" t="str">
        <f aca="false">IF($B1630="","",MAX(0,AN1630-Settings!$C$16)*Settings!$C$17)</f>
        <v/>
      </c>
      <c r="BC1630" s="35" t="str">
        <f aca="false">IF($B1630="","",BA1630-BB1630)</f>
        <v/>
      </c>
      <c r="BD1630" s="35" t="str">
        <f aca="false">IF(OR($B1630="",$A1630=""),"",DAY(EOMONTH($A1630,0))-COUNTA($F1630:$AJ1630))</f>
        <v/>
      </c>
    </row>
    <row r="1631" customFormat="false" ht="15" hidden="false" customHeight="false" outlineLevel="0" collapsed="false">
      <c r="A1631" s="32"/>
      <c r="B1631" s="29"/>
      <c r="C1631" s="10" t="str">
        <f aca="false">IF($B1631="","",IFERROR(INDEX(M_name,MATCH($B1631,M_emp,0)),"Code not found"))</f>
        <v/>
      </c>
      <c r="D1631" s="10" t="str">
        <f aca="false">IF($B1631="","",IFERROR(INDEX(M_dept,MATCH($B1631,M_emp,0)),""))</f>
        <v/>
      </c>
      <c r="E1631" s="10" t="str">
        <f aca="false">IF($B1631="","",IFERROR(INDEX(M_loc,MATCH($B1631,M_emp,0)),""))</f>
        <v/>
      </c>
      <c r="F1631" s="33"/>
      <c r="G1631" s="33"/>
      <c r="H1631" s="33"/>
      <c r="I1631" s="33"/>
      <c r="J1631" s="33"/>
      <c r="K1631" s="33"/>
      <c r="L1631" s="33"/>
      <c r="M1631" s="33"/>
      <c r="N1631" s="33"/>
      <c r="O1631" s="33"/>
      <c r="P1631" s="33"/>
      <c r="Q1631" s="33"/>
      <c r="R1631" s="33"/>
      <c r="S1631" s="33"/>
      <c r="T1631" s="33"/>
      <c r="U1631" s="33"/>
      <c r="V1631" s="33"/>
      <c r="W1631" s="33"/>
      <c r="X1631" s="33"/>
      <c r="Y1631" s="33"/>
      <c r="Z1631" s="33"/>
      <c r="AA1631" s="33"/>
      <c r="AB1631" s="33"/>
      <c r="AC1631" s="33"/>
      <c r="AD1631" s="33"/>
      <c r="AE1631" s="33"/>
      <c r="AF1631" s="33"/>
      <c r="AG1631" s="33"/>
      <c r="AH1631" s="33"/>
      <c r="AI1631" s="33"/>
      <c r="AJ1631" s="33"/>
      <c r="AK1631" s="34" t="str">
        <f aca="false">IF($B1631="","",COUNTIF($F1631:$AJ1631,"P"))</f>
        <v/>
      </c>
      <c r="AL1631" s="34" t="str">
        <f aca="false">IF($B1631="","",COUNTIF($F1631:$AJ1631,"A"))</f>
        <v/>
      </c>
      <c r="AM1631" s="34" t="str">
        <f aca="false">IF($B1631="","",COUNTIF($F1631:$AJ1631,"HA"))</f>
        <v/>
      </c>
      <c r="AN1631" s="34" t="str">
        <f aca="false">IF($B1631="","",COUNTIF($F1631:$AJ1631,"L"))</f>
        <v/>
      </c>
      <c r="AO1631" s="34" t="str">
        <f aca="false">IF($B1631="","",COUNTIF($F1631:$AJ1631,"PL"))</f>
        <v/>
      </c>
      <c r="AP1631" s="34" t="str">
        <f aca="false">IF($B1631="","",COUNTIF($F1631:$AJ1631,"CL"))</f>
        <v/>
      </c>
      <c r="AQ1631" s="34" t="str">
        <f aca="false">IF($B1631="","",COUNTIF($F1631:$AJ1631,"SL"))</f>
        <v/>
      </c>
      <c r="AR1631" s="34" t="str">
        <f aca="false">IF($B1631="","",COUNTIF($F1631:$AJ1631,"CO"))</f>
        <v/>
      </c>
      <c r="AS1631" s="34" t="str">
        <f aca="false">IF($B1631="","",COUNTIF($F1631:$AJ1631,"HPL"))</f>
        <v/>
      </c>
      <c r="AT1631" s="34" t="str">
        <f aca="false">IF($B1631="","",COUNTIF($F1631:$AJ1631,"HCL"))</f>
        <v/>
      </c>
      <c r="AU1631" s="34" t="str">
        <f aca="false">IF($B1631="","",COUNTIF($F1631:$AJ1631,"WO"))</f>
        <v/>
      </c>
      <c r="AV1631" s="34" t="str">
        <f aca="false">IF($B1631="","",COUNTIF($F1631:$AJ1631,"PH"))</f>
        <v/>
      </c>
      <c r="AW1631" s="34" t="str">
        <f aca="false">IF($B1631="","",COUNTIF($F1631:$AJ1631,"TR"))</f>
        <v/>
      </c>
      <c r="AX1631" s="35" t="str">
        <f aca="false">IF($B1631="","",AO1631+AS1631/2)</f>
        <v/>
      </c>
      <c r="AY1631" s="35" t="str">
        <f aca="false">IF($B1631="","",AQ1631)</f>
        <v/>
      </c>
      <c r="AZ1631" s="35" t="str">
        <f aca="false">IF($B1631="","",AP1631+AT1631/2)</f>
        <v/>
      </c>
      <c r="BA1631" s="35" t="str">
        <f aca="false">IF($B1631="","",AK1631+AN1631+AM1631/2+AO1631+AP1631+AQ1631+AR1631+AS1631+AT1631+AU1631+AV1631+AW1631)</f>
        <v/>
      </c>
      <c r="BB1631" s="35" t="str">
        <f aca="false">IF($B1631="","",MAX(0,AN1631-Settings!$C$16)*Settings!$C$17)</f>
        <v/>
      </c>
      <c r="BC1631" s="35" t="str">
        <f aca="false">IF($B1631="","",BA1631-BB1631)</f>
        <v/>
      </c>
      <c r="BD1631" s="35" t="str">
        <f aca="false">IF(OR($B1631="",$A1631=""),"",DAY(EOMONTH($A1631,0))-COUNTA($F1631:$AJ1631))</f>
        <v/>
      </c>
    </row>
    <row r="1632" customFormat="false" ht="15" hidden="false" customHeight="false" outlineLevel="0" collapsed="false">
      <c r="A1632" s="32"/>
      <c r="B1632" s="29"/>
      <c r="C1632" s="10" t="str">
        <f aca="false">IF($B1632="","",IFERROR(INDEX(M_name,MATCH($B1632,M_emp,0)),"Code not found"))</f>
        <v/>
      </c>
      <c r="D1632" s="10" t="str">
        <f aca="false">IF($B1632="","",IFERROR(INDEX(M_dept,MATCH($B1632,M_emp,0)),""))</f>
        <v/>
      </c>
      <c r="E1632" s="10" t="str">
        <f aca="false">IF($B1632="","",IFERROR(INDEX(M_loc,MATCH($B1632,M_emp,0)),""))</f>
        <v/>
      </c>
      <c r="F1632" s="33"/>
      <c r="G1632" s="33"/>
      <c r="H1632" s="33"/>
      <c r="I1632" s="33"/>
      <c r="J1632" s="33"/>
      <c r="K1632" s="33"/>
      <c r="L1632" s="33"/>
      <c r="M1632" s="33"/>
      <c r="N1632" s="33"/>
      <c r="O1632" s="33"/>
      <c r="P1632" s="33"/>
      <c r="Q1632" s="33"/>
      <c r="R1632" s="33"/>
      <c r="S1632" s="33"/>
      <c r="T1632" s="33"/>
      <c r="U1632" s="33"/>
      <c r="V1632" s="33"/>
      <c r="W1632" s="33"/>
      <c r="X1632" s="33"/>
      <c r="Y1632" s="33"/>
      <c r="Z1632" s="33"/>
      <c r="AA1632" s="33"/>
      <c r="AB1632" s="33"/>
      <c r="AC1632" s="33"/>
      <c r="AD1632" s="33"/>
      <c r="AE1632" s="33"/>
      <c r="AF1632" s="33"/>
      <c r="AG1632" s="33"/>
      <c r="AH1632" s="33"/>
      <c r="AI1632" s="33"/>
      <c r="AJ1632" s="33"/>
      <c r="AK1632" s="34" t="str">
        <f aca="false">IF($B1632="","",COUNTIF($F1632:$AJ1632,"P"))</f>
        <v/>
      </c>
      <c r="AL1632" s="34" t="str">
        <f aca="false">IF($B1632="","",COUNTIF($F1632:$AJ1632,"A"))</f>
        <v/>
      </c>
      <c r="AM1632" s="34" t="str">
        <f aca="false">IF($B1632="","",COUNTIF($F1632:$AJ1632,"HA"))</f>
        <v/>
      </c>
      <c r="AN1632" s="34" t="str">
        <f aca="false">IF($B1632="","",COUNTIF($F1632:$AJ1632,"L"))</f>
        <v/>
      </c>
      <c r="AO1632" s="34" t="str">
        <f aca="false">IF($B1632="","",COUNTIF($F1632:$AJ1632,"PL"))</f>
        <v/>
      </c>
      <c r="AP1632" s="34" t="str">
        <f aca="false">IF($B1632="","",COUNTIF($F1632:$AJ1632,"CL"))</f>
        <v/>
      </c>
      <c r="AQ1632" s="34" t="str">
        <f aca="false">IF($B1632="","",COUNTIF($F1632:$AJ1632,"SL"))</f>
        <v/>
      </c>
      <c r="AR1632" s="34" t="str">
        <f aca="false">IF($B1632="","",COUNTIF($F1632:$AJ1632,"CO"))</f>
        <v/>
      </c>
      <c r="AS1632" s="34" t="str">
        <f aca="false">IF($B1632="","",COUNTIF($F1632:$AJ1632,"HPL"))</f>
        <v/>
      </c>
      <c r="AT1632" s="34" t="str">
        <f aca="false">IF($B1632="","",COUNTIF($F1632:$AJ1632,"HCL"))</f>
        <v/>
      </c>
      <c r="AU1632" s="34" t="str">
        <f aca="false">IF($B1632="","",COUNTIF($F1632:$AJ1632,"WO"))</f>
        <v/>
      </c>
      <c r="AV1632" s="34" t="str">
        <f aca="false">IF($B1632="","",COUNTIF($F1632:$AJ1632,"PH"))</f>
        <v/>
      </c>
      <c r="AW1632" s="34" t="str">
        <f aca="false">IF($B1632="","",COUNTIF($F1632:$AJ1632,"TR"))</f>
        <v/>
      </c>
      <c r="AX1632" s="35" t="str">
        <f aca="false">IF($B1632="","",AO1632+AS1632/2)</f>
        <v/>
      </c>
      <c r="AY1632" s="35" t="str">
        <f aca="false">IF($B1632="","",AQ1632)</f>
        <v/>
      </c>
      <c r="AZ1632" s="35" t="str">
        <f aca="false">IF($B1632="","",AP1632+AT1632/2)</f>
        <v/>
      </c>
      <c r="BA1632" s="35" t="str">
        <f aca="false">IF($B1632="","",AK1632+AN1632+AM1632/2+AO1632+AP1632+AQ1632+AR1632+AS1632+AT1632+AU1632+AV1632+AW1632)</f>
        <v/>
      </c>
      <c r="BB1632" s="35" t="str">
        <f aca="false">IF($B1632="","",MAX(0,AN1632-Settings!$C$16)*Settings!$C$17)</f>
        <v/>
      </c>
      <c r="BC1632" s="35" t="str">
        <f aca="false">IF($B1632="","",BA1632-BB1632)</f>
        <v/>
      </c>
      <c r="BD1632" s="35" t="str">
        <f aca="false">IF(OR($B1632="",$A1632=""),"",DAY(EOMONTH($A1632,0))-COUNTA($F1632:$AJ1632))</f>
        <v/>
      </c>
    </row>
    <row r="1633" customFormat="false" ht="15" hidden="false" customHeight="false" outlineLevel="0" collapsed="false">
      <c r="A1633" s="32"/>
      <c r="B1633" s="29"/>
      <c r="C1633" s="10" t="str">
        <f aca="false">IF($B1633="","",IFERROR(INDEX(M_name,MATCH($B1633,M_emp,0)),"Code not found"))</f>
        <v/>
      </c>
      <c r="D1633" s="10" t="str">
        <f aca="false">IF($B1633="","",IFERROR(INDEX(M_dept,MATCH($B1633,M_emp,0)),""))</f>
        <v/>
      </c>
      <c r="E1633" s="10" t="str">
        <f aca="false">IF($B1633="","",IFERROR(INDEX(M_loc,MATCH($B1633,M_emp,0)),""))</f>
        <v/>
      </c>
      <c r="F1633" s="33"/>
      <c r="G1633" s="33"/>
      <c r="H1633" s="33"/>
      <c r="I1633" s="33"/>
      <c r="J1633" s="33"/>
      <c r="K1633" s="33"/>
      <c r="L1633" s="33"/>
      <c r="M1633" s="33"/>
      <c r="N1633" s="33"/>
      <c r="O1633" s="33"/>
      <c r="P1633" s="33"/>
      <c r="Q1633" s="33"/>
      <c r="R1633" s="33"/>
      <c r="S1633" s="33"/>
      <c r="T1633" s="33"/>
      <c r="U1633" s="33"/>
      <c r="V1633" s="33"/>
      <c r="W1633" s="33"/>
      <c r="X1633" s="33"/>
      <c r="Y1633" s="33"/>
      <c r="Z1633" s="33"/>
      <c r="AA1633" s="33"/>
      <c r="AB1633" s="33"/>
      <c r="AC1633" s="33"/>
      <c r="AD1633" s="33"/>
      <c r="AE1633" s="33"/>
      <c r="AF1633" s="33"/>
      <c r="AG1633" s="33"/>
      <c r="AH1633" s="33"/>
      <c r="AI1633" s="33"/>
      <c r="AJ1633" s="33"/>
      <c r="AK1633" s="34" t="str">
        <f aca="false">IF($B1633="","",COUNTIF($F1633:$AJ1633,"P"))</f>
        <v/>
      </c>
      <c r="AL1633" s="34" t="str">
        <f aca="false">IF($B1633="","",COUNTIF($F1633:$AJ1633,"A"))</f>
        <v/>
      </c>
      <c r="AM1633" s="34" t="str">
        <f aca="false">IF($B1633="","",COUNTIF($F1633:$AJ1633,"HA"))</f>
        <v/>
      </c>
      <c r="AN1633" s="34" t="str">
        <f aca="false">IF($B1633="","",COUNTIF($F1633:$AJ1633,"L"))</f>
        <v/>
      </c>
      <c r="AO1633" s="34" t="str">
        <f aca="false">IF($B1633="","",COUNTIF($F1633:$AJ1633,"PL"))</f>
        <v/>
      </c>
      <c r="AP1633" s="34" t="str">
        <f aca="false">IF($B1633="","",COUNTIF($F1633:$AJ1633,"CL"))</f>
        <v/>
      </c>
      <c r="AQ1633" s="34" t="str">
        <f aca="false">IF($B1633="","",COUNTIF($F1633:$AJ1633,"SL"))</f>
        <v/>
      </c>
      <c r="AR1633" s="34" t="str">
        <f aca="false">IF($B1633="","",COUNTIF($F1633:$AJ1633,"CO"))</f>
        <v/>
      </c>
      <c r="AS1633" s="34" t="str">
        <f aca="false">IF($B1633="","",COUNTIF($F1633:$AJ1633,"HPL"))</f>
        <v/>
      </c>
      <c r="AT1633" s="34" t="str">
        <f aca="false">IF($B1633="","",COUNTIF($F1633:$AJ1633,"HCL"))</f>
        <v/>
      </c>
      <c r="AU1633" s="34" t="str">
        <f aca="false">IF($B1633="","",COUNTIF($F1633:$AJ1633,"WO"))</f>
        <v/>
      </c>
      <c r="AV1633" s="34" t="str">
        <f aca="false">IF($B1633="","",COUNTIF($F1633:$AJ1633,"PH"))</f>
        <v/>
      </c>
      <c r="AW1633" s="34" t="str">
        <f aca="false">IF($B1633="","",COUNTIF($F1633:$AJ1633,"TR"))</f>
        <v/>
      </c>
      <c r="AX1633" s="35" t="str">
        <f aca="false">IF($B1633="","",AO1633+AS1633/2)</f>
        <v/>
      </c>
      <c r="AY1633" s="35" t="str">
        <f aca="false">IF($B1633="","",AQ1633)</f>
        <v/>
      </c>
      <c r="AZ1633" s="35" t="str">
        <f aca="false">IF($B1633="","",AP1633+AT1633/2)</f>
        <v/>
      </c>
      <c r="BA1633" s="35" t="str">
        <f aca="false">IF($B1633="","",AK1633+AN1633+AM1633/2+AO1633+AP1633+AQ1633+AR1633+AS1633+AT1633+AU1633+AV1633+AW1633)</f>
        <v/>
      </c>
      <c r="BB1633" s="35" t="str">
        <f aca="false">IF($B1633="","",MAX(0,AN1633-Settings!$C$16)*Settings!$C$17)</f>
        <v/>
      </c>
      <c r="BC1633" s="35" t="str">
        <f aca="false">IF($B1633="","",BA1633-BB1633)</f>
        <v/>
      </c>
      <c r="BD1633" s="35" t="str">
        <f aca="false">IF(OR($B1633="",$A1633=""),"",DAY(EOMONTH($A1633,0))-COUNTA($F1633:$AJ1633))</f>
        <v/>
      </c>
    </row>
    <row r="1634" customFormat="false" ht="15" hidden="false" customHeight="false" outlineLevel="0" collapsed="false">
      <c r="A1634" s="32"/>
      <c r="B1634" s="29"/>
      <c r="C1634" s="10" t="str">
        <f aca="false">IF($B1634="","",IFERROR(INDEX(M_name,MATCH($B1634,M_emp,0)),"Code not found"))</f>
        <v/>
      </c>
      <c r="D1634" s="10" t="str">
        <f aca="false">IF($B1634="","",IFERROR(INDEX(M_dept,MATCH($B1634,M_emp,0)),""))</f>
        <v/>
      </c>
      <c r="E1634" s="10" t="str">
        <f aca="false">IF($B1634="","",IFERROR(INDEX(M_loc,MATCH($B1634,M_emp,0)),""))</f>
        <v/>
      </c>
      <c r="F1634" s="33"/>
      <c r="G1634" s="33"/>
      <c r="H1634" s="33"/>
      <c r="I1634" s="33"/>
      <c r="J1634" s="33"/>
      <c r="K1634" s="33"/>
      <c r="L1634" s="33"/>
      <c r="M1634" s="33"/>
      <c r="N1634" s="33"/>
      <c r="O1634" s="33"/>
      <c r="P1634" s="33"/>
      <c r="Q1634" s="33"/>
      <c r="R1634" s="33"/>
      <c r="S1634" s="33"/>
      <c r="T1634" s="33"/>
      <c r="U1634" s="33"/>
      <c r="V1634" s="33"/>
      <c r="W1634" s="33"/>
      <c r="X1634" s="33"/>
      <c r="Y1634" s="33"/>
      <c r="Z1634" s="33"/>
      <c r="AA1634" s="33"/>
      <c r="AB1634" s="33"/>
      <c r="AC1634" s="33"/>
      <c r="AD1634" s="33"/>
      <c r="AE1634" s="33"/>
      <c r="AF1634" s="33"/>
      <c r="AG1634" s="33"/>
      <c r="AH1634" s="33"/>
      <c r="AI1634" s="33"/>
      <c r="AJ1634" s="33"/>
      <c r="AK1634" s="34" t="str">
        <f aca="false">IF($B1634="","",COUNTIF($F1634:$AJ1634,"P"))</f>
        <v/>
      </c>
      <c r="AL1634" s="34" t="str">
        <f aca="false">IF($B1634="","",COUNTIF($F1634:$AJ1634,"A"))</f>
        <v/>
      </c>
      <c r="AM1634" s="34" t="str">
        <f aca="false">IF($B1634="","",COUNTIF($F1634:$AJ1634,"HA"))</f>
        <v/>
      </c>
      <c r="AN1634" s="34" t="str">
        <f aca="false">IF($B1634="","",COUNTIF($F1634:$AJ1634,"L"))</f>
        <v/>
      </c>
      <c r="AO1634" s="34" t="str">
        <f aca="false">IF($B1634="","",COUNTIF($F1634:$AJ1634,"PL"))</f>
        <v/>
      </c>
      <c r="AP1634" s="34" t="str">
        <f aca="false">IF($B1634="","",COUNTIF($F1634:$AJ1634,"CL"))</f>
        <v/>
      </c>
      <c r="AQ1634" s="34" t="str">
        <f aca="false">IF($B1634="","",COUNTIF($F1634:$AJ1634,"SL"))</f>
        <v/>
      </c>
      <c r="AR1634" s="34" t="str">
        <f aca="false">IF($B1634="","",COUNTIF($F1634:$AJ1634,"CO"))</f>
        <v/>
      </c>
      <c r="AS1634" s="34" t="str">
        <f aca="false">IF($B1634="","",COUNTIF($F1634:$AJ1634,"HPL"))</f>
        <v/>
      </c>
      <c r="AT1634" s="34" t="str">
        <f aca="false">IF($B1634="","",COUNTIF($F1634:$AJ1634,"HCL"))</f>
        <v/>
      </c>
      <c r="AU1634" s="34" t="str">
        <f aca="false">IF($B1634="","",COUNTIF($F1634:$AJ1634,"WO"))</f>
        <v/>
      </c>
      <c r="AV1634" s="34" t="str">
        <f aca="false">IF($B1634="","",COUNTIF($F1634:$AJ1634,"PH"))</f>
        <v/>
      </c>
      <c r="AW1634" s="34" t="str">
        <f aca="false">IF($B1634="","",COUNTIF($F1634:$AJ1634,"TR"))</f>
        <v/>
      </c>
      <c r="AX1634" s="35" t="str">
        <f aca="false">IF($B1634="","",AO1634+AS1634/2)</f>
        <v/>
      </c>
      <c r="AY1634" s="35" t="str">
        <f aca="false">IF($B1634="","",AQ1634)</f>
        <v/>
      </c>
      <c r="AZ1634" s="35" t="str">
        <f aca="false">IF($B1634="","",AP1634+AT1634/2)</f>
        <v/>
      </c>
      <c r="BA1634" s="35" t="str">
        <f aca="false">IF($B1634="","",AK1634+AN1634+AM1634/2+AO1634+AP1634+AQ1634+AR1634+AS1634+AT1634+AU1634+AV1634+AW1634)</f>
        <v/>
      </c>
      <c r="BB1634" s="35" t="str">
        <f aca="false">IF($B1634="","",MAX(0,AN1634-Settings!$C$16)*Settings!$C$17)</f>
        <v/>
      </c>
      <c r="BC1634" s="35" t="str">
        <f aca="false">IF($B1634="","",BA1634-BB1634)</f>
        <v/>
      </c>
      <c r="BD1634" s="35" t="str">
        <f aca="false">IF(OR($B1634="",$A1634=""),"",DAY(EOMONTH($A1634,0))-COUNTA($F1634:$AJ1634))</f>
        <v/>
      </c>
    </row>
    <row r="1635" customFormat="false" ht="15" hidden="false" customHeight="false" outlineLevel="0" collapsed="false">
      <c r="A1635" s="32"/>
      <c r="B1635" s="29"/>
      <c r="C1635" s="10" t="str">
        <f aca="false">IF($B1635="","",IFERROR(INDEX(M_name,MATCH($B1635,M_emp,0)),"Code not found"))</f>
        <v/>
      </c>
      <c r="D1635" s="10" t="str">
        <f aca="false">IF($B1635="","",IFERROR(INDEX(M_dept,MATCH($B1635,M_emp,0)),""))</f>
        <v/>
      </c>
      <c r="E1635" s="10" t="str">
        <f aca="false">IF($B1635="","",IFERROR(INDEX(M_loc,MATCH($B1635,M_emp,0)),""))</f>
        <v/>
      </c>
      <c r="F1635" s="33"/>
      <c r="G1635" s="33"/>
      <c r="H1635" s="33"/>
      <c r="I1635" s="33"/>
      <c r="J1635" s="33"/>
      <c r="K1635" s="33"/>
      <c r="L1635" s="33"/>
      <c r="M1635" s="33"/>
      <c r="N1635" s="33"/>
      <c r="O1635" s="33"/>
      <c r="P1635" s="33"/>
      <c r="Q1635" s="33"/>
      <c r="R1635" s="33"/>
      <c r="S1635" s="33"/>
      <c r="T1635" s="33"/>
      <c r="U1635" s="33"/>
      <c r="V1635" s="33"/>
      <c r="W1635" s="33"/>
      <c r="X1635" s="33"/>
      <c r="Y1635" s="33"/>
      <c r="Z1635" s="33"/>
      <c r="AA1635" s="33"/>
      <c r="AB1635" s="33"/>
      <c r="AC1635" s="33"/>
      <c r="AD1635" s="33"/>
      <c r="AE1635" s="33"/>
      <c r="AF1635" s="33"/>
      <c r="AG1635" s="33"/>
      <c r="AH1635" s="33"/>
      <c r="AI1635" s="33"/>
      <c r="AJ1635" s="33"/>
      <c r="AK1635" s="34" t="str">
        <f aca="false">IF($B1635="","",COUNTIF($F1635:$AJ1635,"P"))</f>
        <v/>
      </c>
      <c r="AL1635" s="34" t="str">
        <f aca="false">IF($B1635="","",COUNTIF($F1635:$AJ1635,"A"))</f>
        <v/>
      </c>
      <c r="AM1635" s="34" t="str">
        <f aca="false">IF($B1635="","",COUNTIF($F1635:$AJ1635,"HA"))</f>
        <v/>
      </c>
      <c r="AN1635" s="34" t="str">
        <f aca="false">IF($B1635="","",COUNTIF($F1635:$AJ1635,"L"))</f>
        <v/>
      </c>
      <c r="AO1635" s="34" t="str">
        <f aca="false">IF($B1635="","",COUNTIF($F1635:$AJ1635,"PL"))</f>
        <v/>
      </c>
      <c r="AP1635" s="34" t="str">
        <f aca="false">IF($B1635="","",COUNTIF($F1635:$AJ1635,"CL"))</f>
        <v/>
      </c>
      <c r="AQ1635" s="34" t="str">
        <f aca="false">IF($B1635="","",COUNTIF($F1635:$AJ1635,"SL"))</f>
        <v/>
      </c>
      <c r="AR1635" s="34" t="str">
        <f aca="false">IF($B1635="","",COUNTIF($F1635:$AJ1635,"CO"))</f>
        <v/>
      </c>
      <c r="AS1635" s="34" t="str">
        <f aca="false">IF($B1635="","",COUNTIF($F1635:$AJ1635,"HPL"))</f>
        <v/>
      </c>
      <c r="AT1635" s="34" t="str">
        <f aca="false">IF($B1635="","",COUNTIF($F1635:$AJ1635,"HCL"))</f>
        <v/>
      </c>
      <c r="AU1635" s="34" t="str">
        <f aca="false">IF($B1635="","",COUNTIF($F1635:$AJ1635,"WO"))</f>
        <v/>
      </c>
      <c r="AV1635" s="34" t="str">
        <f aca="false">IF($B1635="","",COUNTIF($F1635:$AJ1635,"PH"))</f>
        <v/>
      </c>
      <c r="AW1635" s="34" t="str">
        <f aca="false">IF($B1635="","",COUNTIF($F1635:$AJ1635,"TR"))</f>
        <v/>
      </c>
      <c r="AX1635" s="35" t="str">
        <f aca="false">IF($B1635="","",AO1635+AS1635/2)</f>
        <v/>
      </c>
      <c r="AY1635" s="35" t="str">
        <f aca="false">IF($B1635="","",AQ1635)</f>
        <v/>
      </c>
      <c r="AZ1635" s="35" t="str">
        <f aca="false">IF($B1635="","",AP1635+AT1635/2)</f>
        <v/>
      </c>
      <c r="BA1635" s="35" t="str">
        <f aca="false">IF($B1635="","",AK1635+AN1635+AM1635/2+AO1635+AP1635+AQ1635+AR1635+AS1635+AT1635+AU1635+AV1635+AW1635)</f>
        <v/>
      </c>
      <c r="BB1635" s="35" t="str">
        <f aca="false">IF($B1635="","",MAX(0,AN1635-Settings!$C$16)*Settings!$C$17)</f>
        <v/>
      </c>
      <c r="BC1635" s="35" t="str">
        <f aca="false">IF($B1635="","",BA1635-BB1635)</f>
        <v/>
      </c>
      <c r="BD1635" s="35" t="str">
        <f aca="false">IF(OR($B1635="",$A1635=""),"",DAY(EOMONTH($A1635,0))-COUNTA($F1635:$AJ1635))</f>
        <v/>
      </c>
    </row>
    <row r="1636" customFormat="false" ht="15" hidden="false" customHeight="false" outlineLevel="0" collapsed="false">
      <c r="A1636" s="32"/>
      <c r="B1636" s="29"/>
      <c r="C1636" s="10" t="str">
        <f aca="false">IF($B1636="","",IFERROR(INDEX(M_name,MATCH($B1636,M_emp,0)),"Code not found"))</f>
        <v/>
      </c>
      <c r="D1636" s="10" t="str">
        <f aca="false">IF($B1636="","",IFERROR(INDEX(M_dept,MATCH($B1636,M_emp,0)),""))</f>
        <v/>
      </c>
      <c r="E1636" s="10" t="str">
        <f aca="false">IF($B1636="","",IFERROR(INDEX(M_loc,MATCH($B1636,M_emp,0)),""))</f>
        <v/>
      </c>
      <c r="F1636" s="33"/>
      <c r="G1636" s="33"/>
      <c r="H1636" s="33"/>
      <c r="I1636" s="33"/>
      <c r="J1636" s="33"/>
      <c r="K1636" s="33"/>
      <c r="L1636" s="33"/>
      <c r="M1636" s="33"/>
      <c r="N1636" s="33"/>
      <c r="O1636" s="33"/>
      <c r="P1636" s="33"/>
      <c r="Q1636" s="33"/>
      <c r="R1636" s="33"/>
      <c r="S1636" s="33"/>
      <c r="T1636" s="33"/>
      <c r="U1636" s="33"/>
      <c r="V1636" s="33"/>
      <c r="W1636" s="33"/>
      <c r="X1636" s="33"/>
      <c r="Y1636" s="33"/>
      <c r="Z1636" s="33"/>
      <c r="AA1636" s="33"/>
      <c r="AB1636" s="33"/>
      <c r="AC1636" s="33"/>
      <c r="AD1636" s="33"/>
      <c r="AE1636" s="33"/>
      <c r="AF1636" s="33"/>
      <c r="AG1636" s="33"/>
      <c r="AH1636" s="33"/>
      <c r="AI1636" s="33"/>
      <c r="AJ1636" s="33"/>
      <c r="AK1636" s="34" t="str">
        <f aca="false">IF($B1636="","",COUNTIF($F1636:$AJ1636,"P"))</f>
        <v/>
      </c>
      <c r="AL1636" s="34" t="str">
        <f aca="false">IF($B1636="","",COUNTIF($F1636:$AJ1636,"A"))</f>
        <v/>
      </c>
      <c r="AM1636" s="34" t="str">
        <f aca="false">IF($B1636="","",COUNTIF($F1636:$AJ1636,"HA"))</f>
        <v/>
      </c>
      <c r="AN1636" s="34" t="str">
        <f aca="false">IF($B1636="","",COUNTIF($F1636:$AJ1636,"L"))</f>
        <v/>
      </c>
      <c r="AO1636" s="34" t="str">
        <f aca="false">IF($B1636="","",COUNTIF($F1636:$AJ1636,"PL"))</f>
        <v/>
      </c>
      <c r="AP1636" s="34" t="str">
        <f aca="false">IF($B1636="","",COUNTIF($F1636:$AJ1636,"CL"))</f>
        <v/>
      </c>
      <c r="AQ1636" s="34" t="str">
        <f aca="false">IF($B1636="","",COUNTIF($F1636:$AJ1636,"SL"))</f>
        <v/>
      </c>
      <c r="AR1636" s="34" t="str">
        <f aca="false">IF($B1636="","",COUNTIF($F1636:$AJ1636,"CO"))</f>
        <v/>
      </c>
      <c r="AS1636" s="34" t="str">
        <f aca="false">IF($B1636="","",COUNTIF($F1636:$AJ1636,"HPL"))</f>
        <v/>
      </c>
      <c r="AT1636" s="34" t="str">
        <f aca="false">IF($B1636="","",COUNTIF($F1636:$AJ1636,"HCL"))</f>
        <v/>
      </c>
      <c r="AU1636" s="34" t="str">
        <f aca="false">IF($B1636="","",COUNTIF($F1636:$AJ1636,"WO"))</f>
        <v/>
      </c>
      <c r="AV1636" s="34" t="str">
        <f aca="false">IF($B1636="","",COUNTIF($F1636:$AJ1636,"PH"))</f>
        <v/>
      </c>
      <c r="AW1636" s="34" t="str">
        <f aca="false">IF($B1636="","",COUNTIF($F1636:$AJ1636,"TR"))</f>
        <v/>
      </c>
      <c r="AX1636" s="35" t="str">
        <f aca="false">IF($B1636="","",AO1636+AS1636/2)</f>
        <v/>
      </c>
      <c r="AY1636" s="35" t="str">
        <f aca="false">IF($B1636="","",AQ1636)</f>
        <v/>
      </c>
      <c r="AZ1636" s="35" t="str">
        <f aca="false">IF($B1636="","",AP1636+AT1636/2)</f>
        <v/>
      </c>
      <c r="BA1636" s="35" t="str">
        <f aca="false">IF($B1636="","",AK1636+AN1636+AM1636/2+AO1636+AP1636+AQ1636+AR1636+AS1636+AT1636+AU1636+AV1636+AW1636)</f>
        <v/>
      </c>
      <c r="BB1636" s="35" t="str">
        <f aca="false">IF($B1636="","",MAX(0,AN1636-Settings!$C$16)*Settings!$C$17)</f>
        <v/>
      </c>
      <c r="BC1636" s="35" t="str">
        <f aca="false">IF($B1636="","",BA1636-BB1636)</f>
        <v/>
      </c>
      <c r="BD1636" s="35" t="str">
        <f aca="false">IF(OR($B1636="",$A1636=""),"",DAY(EOMONTH($A1636,0))-COUNTA($F1636:$AJ1636))</f>
        <v/>
      </c>
    </row>
    <row r="1637" customFormat="false" ht="15" hidden="false" customHeight="false" outlineLevel="0" collapsed="false">
      <c r="A1637" s="32"/>
      <c r="B1637" s="29"/>
      <c r="C1637" s="10" t="str">
        <f aca="false">IF($B1637="","",IFERROR(INDEX(M_name,MATCH($B1637,M_emp,0)),"Code not found"))</f>
        <v/>
      </c>
      <c r="D1637" s="10" t="str">
        <f aca="false">IF($B1637="","",IFERROR(INDEX(M_dept,MATCH($B1637,M_emp,0)),""))</f>
        <v/>
      </c>
      <c r="E1637" s="10" t="str">
        <f aca="false">IF($B1637="","",IFERROR(INDEX(M_loc,MATCH($B1637,M_emp,0)),""))</f>
        <v/>
      </c>
      <c r="F1637" s="33"/>
      <c r="G1637" s="33"/>
      <c r="H1637" s="33"/>
      <c r="I1637" s="33"/>
      <c r="J1637" s="33"/>
      <c r="K1637" s="33"/>
      <c r="L1637" s="33"/>
      <c r="M1637" s="33"/>
      <c r="N1637" s="33"/>
      <c r="O1637" s="33"/>
      <c r="P1637" s="33"/>
      <c r="Q1637" s="33"/>
      <c r="R1637" s="33"/>
      <c r="S1637" s="33"/>
      <c r="T1637" s="33"/>
      <c r="U1637" s="33"/>
      <c r="V1637" s="33"/>
      <c r="W1637" s="33"/>
      <c r="X1637" s="33"/>
      <c r="Y1637" s="33"/>
      <c r="Z1637" s="33"/>
      <c r="AA1637" s="33"/>
      <c r="AB1637" s="33"/>
      <c r="AC1637" s="33"/>
      <c r="AD1637" s="33"/>
      <c r="AE1637" s="33"/>
      <c r="AF1637" s="33"/>
      <c r="AG1637" s="33"/>
      <c r="AH1637" s="33"/>
      <c r="AI1637" s="33"/>
      <c r="AJ1637" s="33"/>
      <c r="AK1637" s="34" t="str">
        <f aca="false">IF($B1637="","",COUNTIF($F1637:$AJ1637,"P"))</f>
        <v/>
      </c>
      <c r="AL1637" s="34" t="str">
        <f aca="false">IF($B1637="","",COUNTIF($F1637:$AJ1637,"A"))</f>
        <v/>
      </c>
      <c r="AM1637" s="34" t="str">
        <f aca="false">IF($B1637="","",COUNTIF($F1637:$AJ1637,"HA"))</f>
        <v/>
      </c>
      <c r="AN1637" s="34" t="str">
        <f aca="false">IF($B1637="","",COUNTIF($F1637:$AJ1637,"L"))</f>
        <v/>
      </c>
      <c r="AO1637" s="34" t="str">
        <f aca="false">IF($B1637="","",COUNTIF($F1637:$AJ1637,"PL"))</f>
        <v/>
      </c>
      <c r="AP1637" s="34" t="str">
        <f aca="false">IF($B1637="","",COUNTIF($F1637:$AJ1637,"CL"))</f>
        <v/>
      </c>
      <c r="AQ1637" s="34" t="str">
        <f aca="false">IF($B1637="","",COUNTIF($F1637:$AJ1637,"SL"))</f>
        <v/>
      </c>
      <c r="AR1637" s="34" t="str">
        <f aca="false">IF($B1637="","",COUNTIF($F1637:$AJ1637,"CO"))</f>
        <v/>
      </c>
      <c r="AS1637" s="34" t="str">
        <f aca="false">IF($B1637="","",COUNTIF($F1637:$AJ1637,"HPL"))</f>
        <v/>
      </c>
      <c r="AT1637" s="34" t="str">
        <f aca="false">IF($B1637="","",COUNTIF($F1637:$AJ1637,"HCL"))</f>
        <v/>
      </c>
      <c r="AU1637" s="34" t="str">
        <f aca="false">IF($B1637="","",COUNTIF($F1637:$AJ1637,"WO"))</f>
        <v/>
      </c>
      <c r="AV1637" s="34" t="str">
        <f aca="false">IF($B1637="","",COUNTIF($F1637:$AJ1637,"PH"))</f>
        <v/>
      </c>
      <c r="AW1637" s="34" t="str">
        <f aca="false">IF($B1637="","",COUNTIF($F1637:$AJ1637,"TR"))</f>
        <v/>
      </c>
      <c r="AX1637" s="35" t="str">
        <f aca="false">IF($B1637="","",AO1637+AS1637/2)</f>
        <v/>
      </c>
      <c r="AY1637" s="35" t="str">
        <f aca="false">IF($B1637="","",AQ1637)</f>
        <v/>
      </c>
      <c r="AZ1637" s="35" t="str">
        <f aca="false">IF($B1637="","",AP1637+AT1637/2)</f>
        <v/>
      </c>
      <c r="BA1637" s="35" t="str">
        <f aca="false">IF($B1637="","",AK1637+AN1637+AM1637/2+AO1637+AP1637+AQ1637+AR1637+AS1637+AT1637+AU1637+AV1637+AW1637)</f>
        <v/>
      </c>
      <c r="BB1637" s="35" t="str">
        <f aca="false">IF($B1637="","",MAX(0,AN1637-Settings!$C$16)*Settings!$C$17)</f>
        <v/>
      </c>
      <c r="BC1637" s="35" t="str">
        <f aca="false">IF($B1637="","",BA1637-BB1637)</f>
        <v/>
      </c>
      <c r="BD1637" s="35" t="str">
        <f aca="false">IF(OR($B1637="",$A1637=""),"",DAY(EOMONTH($A1637,0))-COUNTA($F1637:$AJ1637))</f>
        <v/>
      </c>
    </row>
    <row r="1638" customFormat="false" ht="15" hidden="false" customHeight="false" outlineLevel="0" collapsed="false">
      <c r="A1638" s="32"/>
      <c r="B1638" s="29"/>
      <c r="C1638" s="10" t="str">
        <f aca="false">IF($B1638="","",IFERROR(INDEX(M_name,MATCH($B1638,M_emp,0)),"Code not found"))</f>
        <v/>
      </c>
      <c r="D1638" s="10" t="str">
        <f aca="false">IF($B1638="","",IFERROR(INDEX(M_dept,MATCH($B1638,M_emp,0)),""))</f>
        <v/>
      </c>
      <c r="E1638" s="10" t="str">
        <f aca="false">IF($B1638="","",IFERROR(INDEX(M_loc,MATCH($B1638,M_emp,0)),""))</f>
        <v/>
      </c>
      <c r="F1638" s="33"/>
      <c r="G1638" s="33"/>
      <c r="H1638" s="33"/>
      <c r="I1638" s="33"/>
      <c r="J1638" s="33"/>
      <c r="K1638" s="33"/>
      <c r="L1638" s="33"/>
      <c r="M1638" s="33"/>
      <c r="N1638" s="33"/>
      <c r="O1638" s="33"/>
      <c r="P1638" s="33"/>
      <c r="Q1638" s="33"/>
      <c r="R1638" s="33"/>
      <c r="S1638" s="33"/>
      <c r="T1638" s="33"/>
      <c r="U1638" s="33"/>
      <c r="V1638" s="33"/>
      <c r="W1638" s="33"/>
      <c r="X1638" s="33"/>
      <c r="Y1638" s="33"/>
      <c r="Z1638" s="33"/>
      <c r="AA1638" s="33"/>
      <c r="AB1638" s="33"/>
      <c r="AC1638" s="33"/>
      <c r="AD1638" s="33"/>
      <c r="AE1638" s="33"/>
      <c r="AF1638" s="33"/>
      <c r="AG1638" s="33"/>
      <c r="AH1638" s="33"/>
      <c r="AI1638" s="33"/>
      <c r="AJ1638" s="33"/>
      <c r="AK1638" s="34" t="str">
        <f aca="false">IF($B1638="","",COUNTIF($F1638:$AJ1638,"P"))</f>
        <v/>
      </c>
      <c r="AL1638" s="34" t="str">
        <f aca="false">IF($B1638="","",COUNTIF($F1638:$AJ1638,"A"))</f>
        <v/>
      </c>
      <c r="AM1638" s="34" t="str">
        <f aca="false">IF($B1638="","",COUNTIF($F1638:$AJ1638,"HA"))</f>
        <v/>
      </c>
      <c r="AN1638" s="34" t="str">
        <f aca="false">IF($B1638="","",COUNTIF($F1638:$AJ1638,"L"))</f>
        <v/>
      </c>
      <c r="AO1638" s="34" t="str">
        <f aca="false">IF($B1638="","",COUNTIF($F1638:$AJ1638,"PL"))</f>
        <v/>
      </c>
      <c r="AP1638" s="34" t="str">
        <f aca="false">IF($B1638="","",COUNTIF($F1638:$AJ1638,"CL"))</f>
        <v/>
      </c>
      <c r="AQ1638" s="34" t="str">
        <f aca="false">IF($B1638="","",COUNTIF($F1638:$AJ1638,"SL"))</f>
        <v/>
      </c>
      <c r="AR1638" s="34" t="str">
        <f aca="false">IF($B1638="","",COUNTIF($F1638:$AJ1638,"CO"))</f>
        <v/>
      </c>
      <c r="AS1638" s="34" t="str">
        <f aca="false">IF($B1638="","",COUNTIF($F1638:$AJ1638,"HPL"))</f>
        <v/>
      </c>
      <c r="AT1638" s="34" t="str">
        <f aca="false">IF($B1638="","",COUNTIF($F1638:$AJ1638,"HCL"))</f>
        <v/>
      </c>
      <c r="AU1638" s="34" t="str">
        <f aca="false">IF($B1638="","",COUNTIF($F1638:$AJ1638,"WO"))</f>
        <v/>
      </c>
      <c r="AV1638" s="34" t="str">
        <f aca="false">IF($B1638="","",COUNTIF($F1638:$AJ1638,"PH"))</f>
        <v/>
      </c>
      <c r="AW1638" s="34" t="str">
        <f aca="false">IF($B1638="","",COUNTIF($F1638:$AJ1638,"TR"))</f>
        <v/>
      </c>
      <c r="AX1638" s="35" t="str">
        <f aca="false">IF($B1638="","",AO1638+AS1638/2)</f>
        <v/>
      </c>
      <c r="AY1638" s="35" t="str">
        <f aca="false">IF($B1638="","",AQ1638)</f>
        <v/>
      </c>
      <c r="AZ1638" s="35" t="str">
        <f aca="false">IF($B1638="","",AP1638+AT1638/2)</f>
        <v/>
      </c>
      <c r="BA1638" s="35" t="str">
        <f aca="false">IF($B1638="","",AK1638+AN1638+AM1638/2+AO1638+AP1638+AQ1638+AR1638+AS1638+AT1638+AU1638+AV1638+AW1638)</f>
        <v/>
      </c>
      <c r="BB1638" s="35" t="str">
        <f aca="false">IF($B1638="","",MAX(0,AN1638-Settings!$C$16)*Settings!$C$17)</f>
        <v/>
      </c>
      <c r="BC1638" s="35" t="str">
        <f aca="false">IF($B1638="","",BA1638-BB1638)</f>
        <v/>
      </c>
      <c r="BD1638" s="35" t="str">
        <f aca="false">IF(OR($B1638="",$A1638=""),"",DAY(EOMONTH($A1638,0))-COUNTA($F1638:$AJ1638))</f>
        <v/>
      </c>
    </row>
    <row r="1639" customFormat="false" ht="15" hidden="false" customHeight="false" outlineLevel="0" collapsed="false">
      <c r="A1639" s="32"/>
      <c r="B1639" s="29"/>
      <c r="C1639" s="10" t="str">
        <f aca="false">IF($B1639="","",IFERROR(INDEX(M_name,MATCH($B1639,M_emp,0)),"Code not found"))</f>
        <v/>
      </c>
      <c r="D1639" s="10" t="str">
        <f aca="false">IF($B1639="","",IFERROR(INDEX(M_dept,MATCH($B1639,M_emp,0)),""))</f>
        <v/>
      </c>
      <c r="E1639" s="10" t="str">
        <f aca="false">IF($B1639="","",IFERROR(INDEX(M_loc,MATCH($B1639,M_emp,0)),""))</f>
        <v/>
      </c>
      <c r="F1639" s="33"/>
      <c r="G1639" s="33"/>
      <c r="H1639" s="33"/>
      <c r="I1639" s="33"/>
      <c r="J1639" s="33"/>
      <c r="K1639" s="33"/>
      <c r="L1639" s="33"/>
      <c r="M1639" s="33"/>
      <c r="N1639" s="33"/>
      <c r="O1639" s="33"/>
      <c r="P1639" s="33"/>
      <c r="Q1639" s="33"/>
      <c r="R1639" s="33"/>
      <c r="S1639" s="33"/>
      <c r="T1639" s="33"/>
      <c r="U1639" s="33"/>
      <c r="V1639" s="33"/>
      <c r="W1639" s="33"/>
      <c r="X1639" s="33"/>
      <c r="Y1639" s="33"/>
      <c r="Z1639" s="33"/>
      <c r="AA1639" s="33"/>
      <c r="AB1639" s="33"/>
      <c r="AC1639" s="33"/>
      <c r="AD1639" s="33"/>
      <c r="AE1639" s="33"/>
      <c r="AF1639" s="33"/>
      <c r="AG1639" s="33"/>
      <c r="AH1639" s="33"/>
      <c r="AI1639" s="33"/>
      <c r="AJ1639" s="33"/>
      <c r="AK1639" s="34" t="str">
        <f aca="false">IF($B1639="","",COUNTIF($F1639:$AJ1639,"P"))</f>
        <v/>
      </c>
      <c r="AL1639" s="34" t="str">
        <f aca="false">IF($B1639="","",COUNTIF($F1639:$AJ1639,"A"))</f>
        <v/>
      </c>
      <c r="AM1639" s="34" t="str">
        <f aca="false">IF($B1639="","",COUNTIF($F1639:$AJ1639,"HA"))</f>
        <v/>
      </c>
      <c r="AN1639" s="34" t="str">
        <f aca="false">IF($B1639="","",COUNTIF($F1639:$AJ1639,"L"))</f>
        <v/>
      </c>
      <c r="AO1639" s="34" t="str">
        <f aca="false">IF($B1639="","",COUNTIF($F1639:$AJ1639,"PL"))</f>
        <v/>
      </c>
      <c r="AP1639" s="34" t="str">
        <f aca="false">IF($B1639="","",COUNTIF($F1639:$AJ1639,"CL"))</f>
        <v/>
      </c>
      <c r="AQ1639" s="34" t="str">
        <f aca="false">IF($B1639="","",COUNTIF($F1639:$AJ1639,"SL"))</f>
        <v/>
      </c>
      <c r="AR1639" s="34" t="str">
        <f aca="false">IF($B1639="","",COUNTIF($F1639:$AJ1639,"CO"))</f>
        <v/>
      </c>
      <c r="AS1639" s="34" t="str">
        <f aca="false">IF($B1639="","",COUNTIF($F1639:$AJ1639,"HPL"))</f>
        <v/>
      </c>
      <c r="AT1639" s="34" t="str">
        <f aca="false">IF($B1639="","",COUNTIF($F1639:$AJ1639,"HCL"))</f>
        <v/>
      </c>
      <c r="AU1639" s="34" t="str">
        <f aca="false">IF($B1639="","",COUNTIF($F1639:$AJ1639,"WO"))</f>
        <v/>
      </c>
      <c r="AV1639" s="34" t="str">
        <f aca="false">IF($B1639="","",COUNTIF($F1639:$AJ1639,"PH"))</f>
        <v/>
      </c>
      <c r="AW1639" s="34" t="str">
        <f aca="false">IF($B1639="","",COUNTIF($F1639:$AJ1639,"TR"))</f>
        <v/>
      </c>
      <c r="AX1639" s="35" t="str">
        <f aca="false">IF($B1639="","",AO1639+AS1639/2)</f>
        <v/>
      </c>
      <c r="AY1639" s="35" t="str">
        <f aca="false">IF($B1639="","",AQ1639)</f>
        <v/>
      </c>
      <c r="AZ1639" s="35" t="str">
        <f aca="false">IF($B1639="","",AP1639+AT1639/2)</f>
        <v/>
      </c>
      <c r="BA1639" s="35" t="str">
        <f aca="false">IF($B1639="","",AK1639+AN1639+AM1639/2+AO1639+AP1639+AQ1639+AR1639+AS1639+AT1639+AU1639+AV1639+AW1639)</f>
        <v/>
      </c>
      <c r="BB1639" s="35" t="str">
        <f aca="false">IF($B1639="","",MAX(0,AN1639-Settings!$C$16)*Settings!$C$17)</f>
        <v/>
      </c>
      <c r="BC1639" s="35" t="str">
        <f aca="false">IF($B1639="","",BA1639-BB1639)</f>
        <v/>
      </c>
      <c r="BD1639" s="35" t="str">
        <f aca="false">IF(OR($B1639="",$A1639=""),"",DAY(EOMONTH($A1639,0))-COUNTA($F1639:$AJ1639))</f>
        <v/>
      </c>
    </row>
    <row r="1640" customFormat="false" ht="15" hidden="false" customHeight="false" outlineLevel="0" collapsed="false">
      <c r="A1640" s="32"/>
      <c r="B1640" s="29"/>
      <c r="C1640" s="10" t="str">
        <f aca="false">IF($B1640="","",IFERROR(INDEX(M_name,MATCH($B1640,M_emp,0)),"Code not found"))</f>
        <v/>
      </c>
      <c r="D1640" s="10" t="str">
        <f aca="false">IF($B1640="","",IFERROR(INDEX(M_dept,MATCH($B1640,M_emp,0)),""))</f>
        <v/>
      </c>
      <c r="E1640" s="10" t="str">
        <f aca="false">IF($B1640="","",IFERROR(INDEX(M_loc,MATCH($B1640,M_emp,0)),""))</f>
        <v/>
      </c>
      <c r="F1640" s="33"/>
      <c r="G1640" s="33"/>
      <c r="H1640" s="33"/>
      <c r="I1640" s="33"/>
      <c r="J1640" s="33"/>
      <c r="K1640" s="33"/>
      <c r="L1640" s="33"/>
      <c r="M1640" s="33"/>
      <c r="N1640" s="33"/>
      <c r="O1640" s="33"/>
      <c r="P1640" s="33"/>
      <c r="Q1640" s="33"/>
      <c r="R1640" s="33"/>
      <c r="S1640" s="33"/>
      <c r="T1640" s="33"/>
      <c r="U1640" s="33"/>
      <c r="V1640" s="33"/>
      <c r="W1640" s="33"/>
      <c r="X1640" s="33"/>
      <c r="Y1640" s="33"/>
      <c r="Z1640" s="33"/>
      <c r="AA1640" s="33"/>
      <c r="AB1640" s="33"/>
      <c r="AC1640" s="33"/>
      <c r="AD1640" s="33"/>
      <c r="AE1640" s="33"/>
      <c r="AF1640" s="33"/>
      <c r="AG1640" s="33"/>
      <c r="AH1640" s="33"/>
      <c r="AI1640" s="33"/>
      <c r="AJ1640" s="33"/>
      <c r="AK1640" s="34" t="str">
        <f aca="false">IF($B1640="","",COUNTIF($F1640:$AJ1640,"P"))</f>
        <v/>
      </c>
      <c r="AL1640" s="34" t="str">
        <f aca="false">IF($B1640="","",COUNTIF($F1640:$AJ1640,"A"))</f>
        <v/>
      </c>
      <c r="AM1640" s="34" t="str">
        <f aca="false">IF($B1640="","",COUNTIF($F1640:$AJ1640,"HA"))</f>
        <v/>
      </c>
      <c r="AN1640" s="34" t="str">
        <f aca="false">IF($B1640="","",COUNTIF($F1640:$AJ1640,"L"))</f>
        <v/>
      </c>
      <c r="AO1640" s="34" t="str">
        <f aca="false">IF($B1640="","",COUNTIF($F1640:$AJ1640,"PL"))</f>
        <v/>
      </c>
      <c r="AP1640" s="34" t="str">
        <f aca="false">IF($B1640="","",COUNTIF($F1640:$AJ1640,"CL"))</f>
        <v/>
      </c>
      <c r="AQ1640" s="34" t="str">
        <f aca="false">IF($B1640="","",COUNTIF($F1640:$AJ1640,"SL"))</f>
        <v/>
      </c>
      <c r="AR1640" s="34" t="str">
        <f aca="false">IF($B1640="","",COUNTIF($F1640:$AJ1640,"CO"))</f>
        <v/>
      </c>
      <c r="AS1640" s="34" t="str">
        <f aca="false">IF($B1640="","",COUNTIF($F1640:$AJ1640,"HPL"))</f>
        <v/>
      </c>
      <c r="AT1640" s="34" t="str">
        <f aca="false">IF($B1640="","",COUNTIF($F1640:$AJ1640,"HCL"))</f>
        <v/>
      </c>
      <c r="AU1640" s="34" t="str">
        <f aca="false">IF($B1640="","",COUNTIF($F1640:$AJ1640,"WO"))</f>
        <v/>
      </c>
      <c r="AV1640" s="34" t="str">
        <f aca="false">IF($B1640="","",COUNTIF($F1640:$AJ1640,"PH"))</f>
        <v/>
      </c>
      <c r="AW1640" s="34" t="str">
        <f aca="false">IF($B1640="","",COUNTIF($F1640:$AJ1640,"TR"))</f>
        <v/>
      </c>
      <c r="AX1640" s="35" t="str">
        <f aca="false">IF($B1640="","",AO1640+AS1640/2)</f>
        <v/>
      </c>
      <c r="AY1640" s="35" t="str">
        <f aca="false">IF($B1640="","",AQ1640)</f>
        <v/>
      </c>
      <c r="AZ1640" s="35" t="str">
        <f aca="false">IF($B1640="","",AP1640+AT1640/2)</f>
        <v/>
      </c>
      <c r="BA1640" s="35" t="str">
        <f aca="false">IF($B1640="","",AK1640+AN1640+AM1640/2+AO1640+AP1640+AQ1640+AR1640+AS1640+AT1640+AU1640+AV1640+AW1640)</f>
        <v/>
      </c>
      <c r="BB1640" s="35" t="str">
        <f aca="false">IF($B1640="","",MAX(0,AN1640-Settings!$C$16)*Settings!$C$17)</f>
        <v/>
      </c>
      <c r="BC1640" s="35" t="str">
        <f aca="false">IF($B1640="","",BA1640-BB1640)</f>
        <v/>
      </c>
      <c r="BD1640" s="35" t="str">
        <f aca="false">IF(OR($B1640="",$A1640=""),"",DAY(EOMONTH($A1640,0))-COUNTA($F1640:$AJ1640))</f>
        <v/>
      </c>
    </row>
    <row r="1641" customFormat="false" ht="15" hidden="false" customHeight="false" outlineLevel="0" collapsed="false">
      <c r="A1641" s="32"/>
      <c r="B1641" s="29"/>
      <c r="C1641" s="10" t="str">
        <f aca="false">IF($B1641="","",IFERROR(INDEX(M_name,MATCH($B1641,M_emp,0)),"Code not found"))</f>
        <v/>
      </c>
      <c r="D1641" s="10" t="str">
        <f aca="false">IF($B1641="","",IFERROR(INDEX(M_dept,MATCH($B1641,M_emp,0)),""))</f>
        <v/>
      </c>
      <c r="E1641" s="10" t="str">
        <f aca="false">IF($B1641="","",IFERROR(INDEX(M_loc,MATCH($B1641,M_emp,0)),""))</f>
        <v/>
      </c>
      <c r="F1641" s="33"/>
      <c r="G1641" s="33"/>
      <c r="H1641" s="33"/>
      <c r="I1641" s="33"/>
      <c r="J1641" s="33"/>
      <c r="K1641" s="33"/>
      <c r="L1641" s="33"/>
      <c r="M1641" s="33"/>
      <c r="N1641" s="33"/>
      <c r="O1641" s="33"/>
      <c r="P1641" s="33"/>
      <c r="Q1641" s="33"/>
      <c r="R1641" s="33"/>
      <c r="S1641" s="33"/>
      <c r="T1641" s="33"/>
      <c r="U1641" s="33"/>
      <c r="V1641" s="33"/>
      <c r="W1641" s="33"/>
      <c r="X1641" s="33"/>
      <c r="Y1641" s="33"/>
      <c r="Z1641" s="33"/>
      <c r="AA1641" s="33"/>
      <c r="AB1641" s="33"/>
      <c r="AC1641" s="33"/>
      <c r="AD1641" s="33"/>
      <c r="AE1641" s="33"/>
      <c r="AF1641" s="33"/>
      <c r="AG1641" s="33"/>
      <c r="AH1641" s="33"/>
      <c r="AI1641" s="33"/>
      <c r="AJ1641" s="33"/>
      <c r="AK1641" s="34" t="str">
        <f aca="false">IF($B1641="","",COUNTIF($F1641:$AJ1641,"P"))</f>
        <v/>
      </c>
      <c r="AL1641" s="34" t="str">
        <f aca="false">IF($B1641="","",COUNTIF($F1641:$AJ1641,"A"))</f>
        <v/>
      </c>
      <c r="AM1641" s="34" t="str">
        <f aca="false">IF($B1641="","",COUNTIF($F1641:$AJ1641,"HA"))</f>
        <v/>
      </c>
      <c r="AN1641" s="34" t="str">
        <f aca="false">IF($B1641="","",COUNTIF($F1641:$AJ1641,"L"))</f>
        <v/>
      </c>
      <c r="AO1641" s="34" t="str">
        <f aca="false">IF($B1641="","",COUNTIF($F1641:$AJ1641,"PL"))</f>
        <v/>
      </c>
      <c r="AP1641" s="34" t="str">
        <f aca="false">IF($B1641="","",COUNTIF($F1641:$AJ1641,"CL"))</f>
        <v/>
      </c>
      <c r="AQ1641" s="34" t="str">
        <f aca="false">IF($B1641="","",COUNTIF($F1641:$AJ1641,"SL"))</f>
        <v/>
      </c>
      <c r="AR1641" s="34" t="str">
        <f aca="false">IF($B1641="","",COUNTIF($F1641:$AJ1641,"CO"))</f>
        <v/>
      </c>
      <c r="AS1641" s="34" t="str">
        <f aca="false">IF($B1641="","",COUNTIF($F1641:$AJ1641,"HPL"))</f>
        <v/>
      </c>
      <c r="AT1641" s="34" t="str">
        <f aca="false">IF($B1641="","",COUNTIF($F1641:$AJ1641,"HCL"))</f>
        <v/>
      </c>
      <c r="AU1641" s="34" t="str">
        <f aca="false">IF($B1641="","",COUNTIF($F1641:$AJ1641,"WO"))</f>
        <v/>
      </c>
      <c r="AV1641" s="34" t="str">
        <f aca="false">IF($B1641="","",COUNTIF($F1641:$AJ1641,"PH"))</f>
        <v/>
      </c>
      <c r="AW1641" s="34" t="str">
        <f aca="false">IF($B1641="","",COUNTIF($F1641:$AJ1641,"TR"))</f>
        <v/>
      </c>
      <c r="AX1641" s="35" t="str">
        <f aca="false">IF($B1641="","",AO1641+AS1641/2)</f>
        <v/>
      </c>
      <c r="AY1641" s="35" t="str">
        <f aca="false">IF($B1641="","",AQ1641)</f>
        <v/>
      </c>
      <c r="AZ1641" s="35" t="str">
        <f aca="false">IF($B1641="","",AP1641+AT1641/2)</f>
        <v/>
      </c>
      <c r="BA1641" s="35" t="str">
        <f aca="false">IF($B1641="","",AK1641+AN1641+AM1641/2+AO1641+AP1641+AQ1641+AR1641+AS1641+AT1641+AU1641+AV1641+AW1641)</f>
        <v/>
      </c>
      <c r="BB1641" s="35" t="str">
        <f aca="false">IF($B1641="","",MAX(0,AN1641-Settings!$C$16)*Settings!$C$17)</f>
        <v/>
      </c>
      <c r="BC1641" s="35" t="str">
        <f aca="false">IF($B1641="","",BA1641-BB1641)</f>
        <v/>
      </c>
      <c r="BD1641" s="35" t="str">
        <f aca="false">IF(OR($B1641="",$A1641=""),"",DAY(EOMONTH($A1641,0))-COUNTA($F1641:$AJ1641))</f>
        <v/>
      </c>
    </row>
    <row r="1642" customFormat="false" ht="15" hidden="false" customHeight="false" outlineLevel="0" collapsed="false">
      <c r="A1642" s="32"/>
      <c r="B1642" s="29"/>
      <c r="C1642" s="10" t="str">
        <f aca="false">IF($B1642="","",IFERROR(INDEX(M_name,MATCH($B1642,M_emp,0)),"Code not found"))</f>
        <v/>
      </c>
      <c r="D1642" s="10" t="str">
        <f aca="false">IF($B1642="","",IFERROR(INDEX(M_dept,MATCH($B1642,M_emp,0)),""))</f>
        <v/>
      </c>
      <c r="E1642" s="10" t="str">
        <f aca="false">IF($B1642="","",IFERROR(INDEX(M_loc,MATCH($B1642,M_emp,0)),""))</f>
        <v/>
      </c>
      <c r="F1642" s="33"/>
      <c r="G1642" s="33"/>
      <c r="H1642" s="33"/>
      <c r="I1642" s="33"/>
      <c r="J1642" s="33"/>
      <c r="K1642" s="33"/>
      <c r="L1642" s="33"/>
      <c r="M1642" s="33"/>
      <c r="N1642" s="33"/>
      <c r="O1642" s="33"/>
      <c r="P1642" s="33"/>
      <c r="Q1642" s="33"/>
      <c r="R1642" s="33"/>
      <c r="S1642" s="33"/>
      <c r="T1642" s="33"/>
      <c r="U1642" s="33"/>
      <c r="V1642" s="33"/>
      <c r="W1642" s="33"/>
      <c r="X1642" s="33"/>
      <c r="Y1642" s="33"/>
      <c r="Z1642" s="33"/>
      <c r="AA1642" s="33"/>
      <c r="AB1642" s="33"/>
      <c r="AC1642" s="33"/>
      <c r="AD1642" s="33"/>
      <c r="AE1642" s="33"/>
      <c r="AF1642" s="33"/>
      <c r="AG1642" s="33"/>
      <c r="AH1642" s="33"/>
      <c r="AI1642" s="33"/>
      <c r="AJ1642" s="33"/>
      <c r="AK1642" s="34" t="str">
        <f aca="false">IF($B1642="","",COUNTIF($F1642:$AJ1642,"P"))</f>
        <v/>
      </c>
      <c r="AL1642" s="34" t="str">
        <f aca="false">IF($B1642="","",COUNTIF($F1642:$AJ1642,"A"))</f>
        <v/>
      </c>
      <c r="AM1642" s="34" t="str">
        <f aca="false">IF($B1642="","",COUNTIF($F1642:$AJ1642,"HA"))</f>
        <v/>
      </c>
      <c r="AN1642" s="34" t="str">
        <f aca="false">IF($B1642="","",COUNTIF($F1642:$AJ1642,"L"))</f>
        <v/>
      </c>
      <c r="AO1642" s="34" t="str">
        <f aca="false">IF($B1642="","",COUNTIF($F1642:$AJ1642,"PL"))</f>
        <v/>
      </c>
      <c r="AP1642" s="34" t="str">
        <f aca="false">IF($B1642="","",COUNTIF($F1642:$AJ1642,"CL"))</f>
        <v/>
      </c>
      <c r="AQ1642" s="34" t="str">
        <f aca="false">IF($B1642="","",COUNTIF($F1642:$AJ1642,"SL"))</f>
        <v/>
      </c>
      <c r="AR1642" s="34" t="str">
        <f aca="false">IF($B1642="","",COUNTIF($F1642:$AJ1642,"CO"))</f>
        <v/>
      </c>
      <c r="AS1642" s="34" t="str">
        <f aca="false">IF($B1642="","",COUNTIF($F1642:$AJ1642,"HPL"))</f>
        <v/>
      </c>
      <c r="AT1642" s="34" t="str">
        <f aca="false">IF($B1642="","",COUNTIF($F1642:$AJ1642,"HCL"))</f>
        <v/>
      </c>
      <c r="AU1642" s="34" t="str">
        <f aca="false">IF($B1642="","",COUNTIF($F1642:$AJ1642,"WO"))</f>
        <v/>
      </c>
      <c r="AV1642" s="34" t="str">
        <f aca="false">IF($B1642="","",COUNTIF($F1642:$AJ1642,"PH"))</f>
        <v/>
      </c>
      <c r="AW1642" s="34" t="str">
        <f aca="false">IF($B1642="","",COUNTIF($F1642:$AJ1642,"TR"))</f>
        <v/>
      </c>
      <c r="AX1642" s="35" t="str">
        <f aca="false">IF($B1642="","",AO1642+AS1642/2)</f>
        <v/>
      </c>
      <c r="AY1642" s="35" t="str">
        <f aca="false">IF($B1642="","",AQ1642)</f>
        <v/>
      </c>
      <c r="AZ1642" s="35" t="str">
        <f aca="false">IF($B1642="","",AP1642+AT1642/2)</f>
        <v/>
      </c>
      <c r="BA1642" s="35" t="str">
        <f aca="false">IF($B1642="","",AK1642+AN1642+AM1642/2+AO1642+AP1642+AQ1642+AR1642+AS1642+AT1642+AU1642+AV1642+AW1642)</f>
        <v/>
      </c>
      <c r="BB1642" s="35" t="str">
        <f aca="false">IF($B1642="","",MAX(0,AN1642-Settings!$C$16)*Settings!$C$17)</f>
        <v/>
      </c>
      <c r="BC1642" s="35" t="str">
        <f aca="false">IF($B1642="","",BA1642-BB1642)</f>
        <v/>
      </c>
      <c r="BD1642" s="35" t="str">
        <f aca="false">IF(OR($B1642="",$A1642=""),"",DAY(EOMONTH($A1642,0))-COUNTA($F1642:$AJ1642))</f>
        <v/>
      </c>
    </row>
    <row r="1643" customFormat="false" ht="15" hidden="false" customHeight="false" outlineLevel="0" collapsed="false">
      <c r="A1643" s="32"/>
      <c r="B1643" s="29"/>
      <c r="C1643" s="10" t="str">
        <f aca="false">IF($B1643="","",IFERROR(INDEX(M_name,MATCH($B1643,M_emp,0)),"Code not found"))</f>
        <v/>
      </c>
      <c r="D1643" s="10" t="str">
        <f aca="false">IF($B1643="","",IFERROR(INDEX(M_dept,MATCH($B1643,M_emp,0)),""))</f>
        <v/>
      </c>
      <c r="E1643" s="10" t="str">
        <f aca="false">IF($B1643="","",IFERROR(INDEX(M_loc,MATCH($B1643,M_emp,0)),""))</f>
        <v/>
      </c>
      <c r="F1643" s="33"/>
      <c r="G1643" s="33"/>
      <c r="H1643" s="33"/>
      <c r="I1643" s="33"/>
      <c r="J1643" s="33"/>
      <c r="K1643" s="33"/>
      <c r="L1643" s="33"/>
      <c r="M1643" s="33"/>
      <c r="N1643" s="33"/>
      <c r="O1643" s="33"/>
      <c r="P1643" s="33"/>
      <c r="Q1643" s="33"/>
      <c r="R1643" s="33"/>
      <c r="S1643" s="33"/>
      <c r="T1643" s="33"/>
      <c r="U1643" s="33"/>
      <c r="V1643" s="33"/>
      <c r="W1643" s="33"/>
      <c r="X1643" s="33"/>
      <c r="Y1643" s="33"/>
      <c r="Z1643" s="33"/>
      <c r="AA1643" s="33"/>
      <c r="AB1643" s="33"/>
      <c r="AC1643" s="33"/>
      <c r="AD1643" s="33"/>
      <c r="AE1643" s="33"/>
      <c r="AF1643" s="33"/>
      <c r="AG1643" s="33"/>
      <c r="AH1643" s="33"/>
      <c r="AI1643" s="33"/>
      <c r="AJ1643" s="33"/>
      <c r="AK1643" s="34" t="str">
        <f aca="false">IF($B1643="","",COUNTIF($F1643:$AJ1643,"P"))</f>
        <v/>
      </c>
      <c r="AL1643" s="34" t="str">
        <f aca="false">IF($B1643="","",COUNTIF($F1643:$AJ1643,"A"))</f>
        <v/>
      </c>
      <c r="AM1643" s="34" t="str">
        <f aca="false">IF($B1643="","",COUNTIF($F1643:$AJ1643,"HA"))</f>
        <v/>
      </c>
      <c r="AN1643" s="34" t="str">
        <f aca="false">IF($B1643="","",COUNTIF($F1643:$AJ1643,"L"))</f>
        <v/>
      </c>
      <c r="AO1643" s="34" t="str">
        <f aca="false">IF($B1643="","",COUNTIF($F1643:$AJ1643,"PL"))</f>
        <v/>
      </c>
      <c r="AP1643" s="34" t="str">
        <f aca="false">IF($B1643="","",COUNTIF($F1643:$AJ1643,"CL"))</f>
        <v/>
      </c>
      <c r="AQ1643" s="34" t="str">
        <f aca="false">IF($B1643="","",COUNTIF($F1643:$AJ1643,"SL"))</f>
        <v/>
      </c>
      <c r="AR1643" s="34" t="str">
        <f aca="false">IF($B1643="","",COUNTIF($F1643:$AJ1643,"CO"))</f>
        <v/>
      </c>
      <c r="AS1643" s="34" t="str">
        <f aca="false">IF($B1643="","",COUNTIF($F1643:$AJ1643,"HPL"))</f>
        <v/>
      </c>
      <c r="AT1643" s="34" t="str">
        <f aca="false">IF($B1643="","",COUNTIF($F1643:$AJ1643,"HCL"))</f>
        <v/>
      </c>
      <c r="AU1643" s="34" t="str">
        <f aca="false">IF($B1643="","",COUNTIF($F1643:$AJ1643,"WO"))</f>
        <v/>
      </c>
      <c r="AV1643" s="34" t="str">
        <f aca="false">IF($B1643="","",COUNTIF($F1643:$AJ1643,"PH"))</f>
        <v/>
      </c>
      <c r="AW1643" s="34" t="str">
        <f aca="false">IF($B1643="","",COUNTIF($F1643:$AJ1643,"TR"))</f>
        <v/>
      </c>
      <c r="AX1643" s="35" t="str">
        <f aca="false">IF($B1643="","",AO1643+AS1643/2)</f>
        <v/>
      </c>
      <c r="AY1643" s="35" t="str">
        <f aca="false">IF($B1643="","",AQ1643)</f>
        <v/>
      </c>
      <c r="AZ1643" s="35" t="str">
        <f aca="false">IF($B1643="","",AP1643+AT1643/2)</f>
        <v/>
      </c>
      <c r="BA1643" s="35" t="str">
        <f aca="false">IF($B1643="","",AK1643+AN1643+AM1643/2+AO1643+AP1643+AQ1643+AR1643+AS1643+AT1643+AU1643+AV1643+AW1643)</f>
        <v/>
      </c>
      <c r="BB1643" s="35" t="str">
        <f aca="false">IF($B1643="","",MAX(0,AN1643-Settings!$C$16)*Settings!$C$17)</f>
        <v/>
      </c>
      <c r="BC1643" s="35" t="str">
        <f aca="false">IF($B1643="","",BA1643-BB1643)</f>
        <v/>
      </c>
      <c r="BD1643" s="35" t="str">
        <f aca="false">IF(OR($B1643="",$A1643=""),"",DAY(EOMONTH($A1643,0))-COUNTA($F1643:$AJ1643))</f>
        <v/>
      </c>
    </row>
    <row r="1644" customFormat="false" ht="15" hidden="false" customHeight="false" outlineLevel="0" collapsed="false">
      <c r="A1644" s="32"/>
      <c r="B1644" s="29"/>
      <c r="C1644" s="10" t="str">
        <f aca="false">IF($B1644="","",IFERROR(INDEX(M_name,MATCH($B1644,M_emp,0)),"Code not found"))</f>
        <v/>
      </c>
      <c r="D1644" s="10" t="str">
        <f aca="false">IF($B1644="","",IFERROR(INDEX(M_dept,MATCH($B1644,M_emp,0)),""))</f>
        <v/>
      </c>
      <c r="E1644" s="10" t="str">
        <f aca="false">IF($B1644="","",IFERROR(INDEX(M_loc,MATCH($B1644,M_emp,0)),""))</f>
        <v/>
      </c>
      <c r="F1644" s="33"/>
      <c r="G1644" s="33"/>
      <c r="H1644" s="33"/>
      <c r="I1644" s="33"/>
      <c r="J1644" s="33"/>
      <c r="K1644" s="33"/>
      <c r="L1644" s="33"/>
      <c r="M1644" s="33"/>
      <c r="N1644" s="33"/>
      <c r="O1644" s="33"/>
      <c r="P1644" s="33"/>
      <c r="Q1644" s="33"/>
      <c r="R1644" s="33"/>
      <c r="S1644" s="33"/>
      <c r="T1644" s="33"/>
      <c r="U1644" s="33"/>
      <c r="V1644" s="33"/>
      <c r="W1644" s="33"/>
      <c r="X1644" s="33"/>
      <c r="Y1644" s="33"/>
      <c r="Z1644" s="33"/>
      <c r="AA1644" s="33"/>
      <c r="AB1644" s="33"/>
      <c r="AC1644" s="33"/>
      <c r="AD1644" s="33"/>
      <c r="AE1644" s="33"/>
      <c r="AF1644" s="33"/>
      <c r="AG1644" s="33"/>
      <c r="AH1644" s="33"/>
      <c r="AI1644" s="33"/>
      <c r="AJ1644" s="33"/>
      <c r="AK1644" s="34" t="str">
        <f aca="false">IF($B1644="","",COUNTIF($F1644:$AJ1644,"P"))</f>
        <v/>
      </c>
      <c r="AL1644" s="34" t="str">
        <f aca="false">IF($B1644="","",COUNTIF($F1644:$AJ1644,"A"))</f>
        <v/>
      </c>
      <c r="AM1644" s="34" t="str">
        <f aca="false">IF($B1644="","",COUNTIF($F1644:$AJ1644,"HA"))</f>
        <v/>
      </c>
      <c r="AN1644" s="34" t="str">
        <f aca="false">IF($B1644="","",COUNTIF($F1644:$AJ1644,"L"))</f>
        <v/>
      </c>
      <c r="AO1644" s="34" t="str">
        <f aca="false">IF($B1644="","",COUNTIF($F1644:$AJ1644,"PL"))</f>
        <v/>
      </c>
      <c r="AP1644" s="34" t="str">
        <f aca="false">IF($B1644="","",COUNTIF($F1644:$AJ1644,"CL"))</f>
        <v/>
      </c>
      <c r="AQ1644" s="34" t="str">
        <f aca="false">IF($B1644="","",COUNTIF($F1644:$AJ1644,"SL"))</f>
        <v/>
      </c>
      <c r="AR1644" s="34" t="str">
        <f aca="false">IF($B1644="","",COUNTIF($F1644:$AJ1644,"CO"))</f>
        <v/>
      </c>
      <c r="AS1644" s="34" t="str">
        <f aca="false">IF($B1644="","",COUNTIF($F1644:$AJ1644,"HPL"))</f>
        <v/>
      </c>
      <c r="AT1644" s="34" t="str">
        <f aca="false">IF($B1644="","",COUNTIF($F1644:$AJ1644,"HCL"))</f>
        <v/>
      </c>
      <c r="AU1644" s="34" t="str">
        <f aca="false">IF($B1644="","",COUNTIF($F1644:$AJ1644,"WO"))</f>
        <v/>
      </c>
      <c r="AV1644" s="34" t="str">
        <f aca="false">IF($B1644="","",COUNTIF($F1644:$AJ1644,"PH"))</f>
        <v/>
      </c>
      <c r="AW1644" s="34" t="str">
        <f aca="false">IF($B1644="","",COUNTIF($F1644:$AJ1644,"TR"))</f>
        <v/>
      </c>
      <c r="AX1644" s="35" t="str">
        <f aca="false">IF($B1644="","",AO1644+AS1644/2)</f>
        <v/>
      </c>
      <c r="AY1644" s="35" t="str">
        <f aca="false">IF($B1644="","",AQ1644)</f>
        <v/>
      </c>
      <c r="AZ1644" s="35" t="str">
        <f aca="false">IF($B1644="","",AP1644+AT1644/2)</f>
        <v/>
      </c>
      <c r="BA1644" s="35" t="str">
        <f aca="false">IF($B1644="","",AK1644+AN1644+AM1644/2+AO1644+AP1644+AQ1644+AR1644+AS1644+AT1644+AU1644+AV1644+AW1644)</f>
        <v/>
      </c>
      <c r="BB1644" s="35" t="str">
        <f aca="false">IF($B1644="","",MAX(0,AN1644-Settings!$C$16)*Settings!$C$17)</f>
        <v/>
      </c>
      <c r="BC1644" s="35" t="str">
        <f aca="false">IF($B1644="","",BA1644-BB1644)</f>
        <v/>
      </c>
      <c r="BD1644" s="35" t="str">
        <f aca="false">IF(OR($B1644="",$A1644=""),"",DAY(EOMONTH($A1644,0))-COUNTA($F1644:$AJ1644))</f>
        <v/>
      </c>
    </row>
    <row r="1645" customFormat="false" ht="15" hidden="false" customHeight="false" outlineLevel="0" collapsed="false">
      <c r="A1645" s="32"/>
      <c r="B1645" s="29"/>
      <c r="C1645" s="10" t="str">
        <f aca="false">IF($B1645="","",IFERROR(INDEX(M_name,MATCH($B1645,M_emp,0)),"Code not found"))</f>
        <v/>
      </c>
      <c r="D1645" s="10" t="str">
        <f aca="false">IF($B1645="","",IFERROR(INDEX(M_dept,MATCH($B1645,M_emp,0)),""))</f>
        <v/>
      </c>
      <c r="E1645" s="10" t="str">
        <f aca="false">IF($B1645="","",IFERROR(INDEX(M_loc,MATCH($B1645,M_emp,0)),""))</f>
        <v/>
      </c>
      <c r="F1645" s="33"/>
      <c r="G1645" s="33"/>
      <c r="H1645" s="33"/>
      <c r="I1645" s="33"/>
      <c r="J1645" s="33"/>
      <c r="K1645" s="33"/>
      <c r="L1645" s="33"/>
      <c r="M1645" s="33"/>
      <c r="N1645" s="33"/>
      <c r="O1645" s="33"/>
      <c r="P1645" s="33"/>
      <c r="Q1645" s="33"/>
      <c r="R1645" s="33"/>
      <c r="S1645" s="33"/>
      <c r="T1645" s="33"/>
      <c r="U1645" s="33"/>
      <c r="V1645" s="33"/>
      <c r="W1645" s="33"/>
      <c r="X1645" s="33"/>
      <c r="Y1645" s="33"/>
      <c r="Z1645" s="33"/>
      <c r="AA1645" s="33"/>
      <c r="AB1645" s="33"/>
      <c r="AC1645" s="33"/>
      <c r="AD1645" s="33"/>
      <c r="AE1645" s="33"/>
      <c r="AF1645" s="33"/>
      <c r="AG1645" s="33"/>
      <c r="AH1645" s="33"/>
      <c r="AI1645" s="33"/>
      <c r="AJ1645" s="33"/>
      <c r="AK1645" s="34" t="str">
        <f aca="false">IF($B1645="","",COUNTIF($F1645:$AJ1645,"P"))</f>
        <v/>
      </c>
      <c r="AL1645" s="34" t="str">
        <f aca="false">IF($B1645="","",COUNTIF($F1645:$AJ1645,"A"))</f>
        <v/>
      </c>
      <c r="AM1645" s="34" t="str">
        <f aca="false">IF($B1645="","",COUNTIF($F1645:$AJ1645,"HA"))</f>
        <v/>
      </c>
      <c r="AN1645" s="34" t="str">
        <f aca="false">IF($B1645="","",COUNTIF($F1645:$AJ1645,"L"))</f>
        <v/>
      </c>
      <c r="AO1645" s="34" t="str">
        <f aca="false">IF($B1645="","",COUNTIF($F1645:$AJ1645,"PL"))</f>
        <v/>
      </c>
      <c r="AP1645" s="34" t="str">
        <f aca="false">IF($B1645="","",COUNTIF($F1645:$AJ1645,"CL"))</f>
        <v/>
      </c>
      <c r="AQ1645" s="34" t="str">
        <f aca="false">IF($B1645="","",COUNTIF($F1645:$AJ1645,"SL"))</f>
        <v/>
      </c>
      <c r="AR1645" s="34" t="str">
        <f aca="false">IF($B1645="","",COUNTIF($F1645:$AJ1645,"CO"))</f>
        <v/>
      </c>
      <c r="AS1645" s="34" t="str">
        <f aca="false">IF($B1645="","",COUNTIF($F1645:$AJ1645,"HPL"))</f>
        <v/>
      </c>
      <c r="AT1645" s="34" t="str">
        <f aca="false">IF($B1645="","",COUNTIF($F1645:$AJ1645,"HCL"))</f>
        <v/>
      </c>
      <c r="AU1645" s="34" t="str">
        <f aca="false">IF($B1645="","",COUNTIF($F1645:$AJ1645,"WO"))</f>
        <v/>
      </c>
      <c r="AV1645" s="34" t="str">
        <f aca="false">IF($B1645="","",COUNTIF($F1645:$AJ1645,"PH"))</f>
        <v/>
      </c>
      <c r="AW1645" s="34" t="str">
        <f aca="false">IF($B1645="","",COUNTIF($F1645:$AJ1645,"TR"))</f>
        <v/>
      </c>
      <c r="AX1645" s="35" t="str">
        <f aca="false">IF($B1645="","",AO1645+AS1645/2)</f>
        <v/>
      </c>
      <c r="AY1645" s="35" t="str">
        <f aca="false">IF($B1645="","",AQ1645)</f>
        <v/>
      </c>
      <c r="AZ1645" s="35" t="str">
        <f aca="false">IF($B1645="","",AP1645+AT1645/2)</f>
        <v/>
      </c>
      <c r="BA1645" s="35" t="str">
        <f aca="false">IF($B1645="","",AK1645+AN1645+AM1645/2+AO1645+AP1645+AQ1645+AR1645+AS1645+AT1645+AU1645+AV1645+AW1645)</f>
        <v/>
      </c>
      <c r="BB1645" s="35" t="str">
        <f aca="false">IF($B1645="","",MAX(0,AN1645-Settings!$C$16)*Settings!$C$17)</f>
        <v/>
      </c>
      <c r="BC1645" s="35" t="str">
        <f aca="false">IF($B1645="","",BA1645-BB1645)</f>
        <v/>
      </c>
      <c r="BD1645" s="35" t="str">
        <f aca="false">IF(OR($B1645="",$A1645=""),"",DAY(EOMONTH($A1645,0))-COUNTA($F1645:$AJ1645))</f>
        <v/>
      </c>
    </row>
    <row r="1646" customFormat="false" ht="15" hidden="false" customHeight="false" outlineLevel="0" collapsed="false">
      <c r="A1646" s="32"/>
      <c r="B1646" s="29"/>
      <c r="C1646" s="10" t="str">
        <f aca="false">IF($B1646="","",IFERROR(INDEX(M_name,MATCH($B1646,M_emp,0)),"Code not found"))</f>
        <v/>
      </c>
      <c r="D1646" s="10" t="str">
        <f aca="false">IF($B1646="","",IFERROR(INDEX(M_dept,MATCH($B1646,M_emp,0)),""))</f>
        <v/>
      </c>
      <c r="E1646" s="10" t="str">
        <f aca="false">IF($B1646="","",IFERROR(INDEX(M_loc,MATCH($B1646,M_emp,0)),""))</f>
        <v/>
      </c>
      <c r="F1646" s="33"/>
      <c r="G1646" s="33"/>
      <c r="H1646" s="33"/>
      <c r="I1646" s="33"/>
      <c r="J1646" s="33"/>
      <c r="K1646" s="33"/>
      <c r="L1646" s="33"/>
      <c r="M1646" s="33"/>
      <c r="N1646" s="33"/>
      <c r="O1646" s="33"/>
      <c r="P1646" s="33"/>
      <c r="Q1646" s="33"/>
      <c r="R1646" s="33"/>
      <c r="S1646" s="33"/>
      <c r="T1646" s="33"/>
      <c r="U1646" s="33"/>
      <c r="V1646" s="33"/>
      <c r="W1646" s="33"/>
      <c r="X1646" s="33"/>
      <c r="Y1646" s="33"/>
      <c r="Z1646" s="33"/>
      <c r="AA1646" s="33"/>
      <c r="AB1646" s="33"/>
      <c r="AC1646" s="33"/>
      <c r="AD1646" s="33"/>
      <c r="AE1646" s="33"/>
      <c r="AF1646" s="33"/>
      <c r="AG1646" s="33"/>
      <c r="AH1646" s="33"/>
      <c r="AI1646" s="33"/>
      <c r="AJ1646" s="33"/>
      <c r="AK1646" s="34" t="str">
        <f aca="false">IF($B1646="","",COUNTIF($F1646:$AJ1646,"P"))</f>
        <v/>
      </c>
      <c r="AL1646" s="34" t="str">
        <f aca="false">IF($B1646="","",COUNTIF($F1646:$AJ1646,"A"))</f>
        <v/>
      </c>
      <c r="AM1646" s="34" t="str">
        <f aca="false">IF($B1646="","",COUNTIF($F1646:$AJ1646,"HA"))</f>
        <v/>
      </c>
      <c r="AN1646" s="34" t="str">
        <f aca="false">IF($B1646="","",COUNTIF($F1646:$AJ1646,"L"))</f>
        <v/>
      </c>
      <c r="AO1646" s="34" t="str">
        <f aca="false">IF($B1646="","",COUNTIF($F1646:$AJ1646,"PL"))</f>
        <v/>
      </c>
      <c r="AP1646" s="34" t="str">
        <f aca="false">IF($B1646="","",COUNTIF($F1646:$AJ1646,"CL"))</f>
        <v/>
      </c>
      <c r="AQ1646" s="34" t="str">
        <f aca="false">IF($B1646="","",COUNTIF($F1646:$AJ1646,"SL"))</f>
        <v/>
      </c>
      <c r="AR1646" s="34" t="str">
        <f aca="false">IF($B1646="","",COUNTIF($F1646:$AJ1646,"CO"))</f>
        <v/>
      </c>
      <c r="AS1646" s="34" t="str">
        <f aca="false">IF($B1646="","",COUNTIF($F1646:$AJ1646,"HPL"))</f>
        <v/>
      </c>
      <c r="AT1646" s="34" t="str">
        <f aca="false">IF($B1646="","",COUNTIF($F1646:$AJ1646,"HCL"))</f>
        <v/>
      </c>
      <c r="AU1646" s="34" t="str">
        <f aca="false">IF($B1646="","",COUNTIF($F1646:$AJ1646,"WO"))</f>
        <v/>
      </c>
      <c r="AV1646" s="34" t="str">
        <f aca="false">IF($B1646="","",COUNTIF($F1646:$AJ1646,"PH"))</f>
        <v/>
      </c>
      <c r="AW1646" s="34" t="str">
        <f aca="false">IF($B1646="","",COUNTIF($F1646:$AJ1646,"TR"))</f>
        <v/>
      </c>
      <c r="AX1646" s="35" t="str">
        <f aca="false">IF($B1646="","",AO1646+AS1646/2)</f>
        <v/>
      </c>
      <c r="AY1646" s="35" t="str">
        <f aca="false">IF($B1646="","",AQ1646)</f>
        <v/>
      </c>
      <c r="AZ1646" s="35" t="str">
        <f aca="false">IF($B1646="","",AP1646+AT1646/2)</f>
        <v/>
      </c>
      <c r="BA1646" s="35" t="str">
        <f aca="false">IF($B1646="","",AK1646+AN1646+AM1646/2+AO1646+AP1646+AQ1646+AR1646+AS1646+AT1646+AU1646+AV1646+AW1646)</f>
        <v/>
      </c>
      <c r="BB1646" s="35" t="str">
        <f aca="false">IF($B1646="","",MAX(0,AN1646-Settings!$C$16)*Settings!$C$17)</f>
        <v/>
      </c>
      <c r="BC1646" s="35" t="str">
        <f aca="false">IF($B1646="","",BA1646-BB1646)</f>
        <v/>
      </c>
      <c r="BD1646" s="35" t="str">
        <f aca="false">IF(OR($B1646="",$A1646=""),"",DAY(EOMONTH($A1646,0))-COUNTA($F1646:$AJ1646))</f>
        <v/>
      </c>
    </row>
    <row r="1647" customFormat="false" ht="15" hidden="false" customHeight="false" outlineLevel="0" collapsed="false">
      <c r="A1647" s="32"/>
      <c r="B1647" s="29"/>
      <c r="C1647" s="10" t="str">
        <f aca="false">IF($B1647="","",IFERROR(INDEX(M_name,MATCH($B1647,M_emp,0)),"Code not found"))</f>
        <v/>
      </c>
      <c r="D1647" s="10" t="str">
        <f aca="false">IF($B1647="","",IFERROR(INDEX(M_dept,MATCH($B1647,M_emp,0)),""))</f>
        <v/>
      </c>
      <c r="E1647" s="10" t="str">
        <f aca="false">IF($B1647="","",IFERROR(INDEX(M_loc,MATCH($B1647,M_emp,0)),""))</f>
        <v/>
      </c>
      <c r="F1647" s="33"/>
      <c r="G1647" s="33"/>
      <c r="H1647" s="33"/>
      <c r="I1647" s="33"/>
      <c r="J1647" s="33"/>
      <c r="K1647" s="33"/>
      <c r="L1647" s="33"/>
      <c r="M1647" s="33"/>
      <c r="N1647" s="33"/>
      <c r="O1647" s="33"/>
      <c r="P1647" s="33"/>
      <c r="Q1647" s="33"/>
      <c r="R1647" s="33"/>
      <c r="S1647" s="33"/>
      <c r="T1647" s="33"/>
      <c r="U1647" s="33"/>
      <c r="V1647" s="33"/>
      <c r="W1647" s="33"/>
      <c r="X1647" s="33"/>
      <c r="Y1647" s="33"/>
      <c r="Z1647" s="33"/>
      <c r="AA1647" s="33"/>
      <c r="AB1647" s="33"/>
      <c r="AC1647" s="33"/>
      <c r="AD1647" s="33"/>
      <c r="AE1647" s="33"/>
      <c r="AF1647" s="33"/>
      <c r="AG1647" s="33"/>
      <c r="AH1647" s="33"/>
      <c r="AI1647" s="33"/>
      <c r="AJ1647" s="33"/>
      <c r="AK1647" s="34" t="str">
        <f aca="false">IF($B1647="","",COUNTIF($F1647:$AJ1647,"P"))</f>
        <v/>
      </c>
      <c r="AL1647" s="34" t="str">
        <f aca="false">IF($B1647="","",COUNTIF($F1647:$AJ1647,"A"))</f>
        <v/>
      </c>
      <c r="AM1647" s="34" t="str">
        <f aca="false">IF($B1647="","",COUNTIF($F1647:$AJ1647,"HA"))</f>
        <v/>
      </c>
      <c r="AN1647" s="34" t="str">
        <f aca="false">IF($B1647="","",COUNTIF($F1647:$AJ1647,"L"))</f>
        <v/>
      </c>
      <c r="AO1647" s="34" t="str">
        <f aca="false">IF($B1647="","",COUNTIF($F1647:$AJ1647,"PL"))</f>
        <v/>
      </c>
      <c r="AP1647" s="34" t="str">
        <f aca="false">IF($B1647="","",COUNTIF($F1647:$AJ1647,"CL"))</f>
        <v/>
      </c>
      <c r="AQ1647" s="34" t="str">
        <f aca="false">IF($B1647="","",COUNTIF($F1647:$AJ1647,"SL"))</f>
        <v/>
      </c>
      <c r="AR1647" s="34" t="str">
        <f aca="false">IF($B1647="","",COUNTIF($F1647:$AJ1647,"CO"))</f>
        <v/>
      </c>
      <c r="AS1647" s="34" t="str">
        <f aca="false">IF($B1647="","",COUNTIF($F1647:$AJ1647,"HPL"))</f>
        <v/>
      </c>
      <c r="AT1647" s="34" t="str">
        <f aca="false">IF($B1647="","",COUNTIF($F1647:$AJ1647,"HCL"))</f>
        <v/>
      </c>
      <c r="AU1647" s="34" t="str">
        <f aca="false">IF($B1647="","",COUNTIF($F1647:$AJ1647,"WO"))</f>
        <v/>
      </c>
      <c r="AV1647" s="34" t="str">
        <f aca="false">IF($B1647="","",COUNTIF($F1647:$AJ1647,"PH"))</f>
        <v/>
      </c>
      <c r="AW1647" s="34" t="str">
        <f aca="false">IF($B1647="","",COUNTIF($F1647:$AJ1647,"TR"))</f>
        <v/>
      </c>
      <c r="AX1647" s="35" t="str">
        <f aca="false">IF($B1647="","",AO1647+AS1647/2)</f>
        <v/>
      </c>
      <c r="AY1647" s="35" t="str">
        <f aca="false">IF($B1647="","",AQ1647)</f>
        <v/>
      </c>
      <c r="AZ1647" s="35" t="str">
        <f aca="false">IF($B1647="","",AP1647+AT1647/2)</f>
        <v/>
      </c>
      <c r="BA1647" s="35" t="str">
        <f aca="false">IF($B1647="","",AK1647+AN1647+AM1647/2+AO1647+AP1647+AQ1647+AR1647+AS1647+AT1647+AU1647+AV1647+AW1647)</f>
        <v/>
      </c>
      <c r="BB1647" s="35" t="str">
        <f aca="false">IF($B1647="","",MAX(0,AN1647-Settings!$C$16)*Settings!$C$17)</f>
        <v/>
      </c>
      <c r="BC1647" s="35" t="str">
        <f aca="false">IF($B1647="","",BA1647-BB1647)</f>
        <v/>
      </c>
      <c r="BD1647" s="35" t="str">
        <f aca="false">IF(OR($B1647="",$A1647=""),"",DAY(EOMONTH($A1647,0))-COUNTA($F1647:$AJ1647))</f>
        <v/>
      </c>
    </row>
    <row r="1648" customFormat="false" ht="15" hidden="false" customHeight="false" outlineLevel="0" collapsed="false">
      <c r="A1648" s="32"/>
      <c r="B1648" s="29"/>
      <c r="C1648" s="10" t="str">
        <f aca="false">IF($B1648="","",IFERROR(INDEX(M_name,MATCH($B1648,M_emp,0)),"Code not found"))</f>
        <v/>
      </c>
      <c r="D1648" s="10" t="str">
        <f aca="false">IF($B1648="","",IFERROR(INDEX(M_dept,MATCH($B1648,M_emp,0)),""))</f>
        <v/>
      </c>
      <c r="E1648" s="10" t="str">
        <f aca="false">IF($B1648="","",IFERROR(INDEX(M_loc,MATCH($B1648,M_emp,0)),""))</f>
        <v/>
      </c>
      <c r="F1648" s="33"/>
      <c r="G1648" s="33"/>
      <c r="H1648" s="33"/>
      <c r="I1648" s="33"/>
      <c r="J1648" s="33"/>
      <c r="K1648" s="33"/>
      <c r="L1648" s="33"/>
      <c r="M1648" s="33"/>
      <c r="N1648" s="33"/>
      <c r="O1648" s="33"/>
      <c r="P1648" s="33"/>
      <c r="Q1648" s="33"/>
      <c r="R1648" s="33"/>
      <c r="S1648" s="33"/>
      <c r="T1648" s="33"/>
      <c r="U1648" s="33"/>
      <c r="V1648" s="33"/>
      <c r="W1648" s="33"/>
      <c r="X1648" s="33"/>
      <c r="Y1648" s="33"/>
      <c r="Z1648" s="33"/>
      <c r="AA1648" s="33"/>
      <c r="AB1648" s="33"/>
      <c r="AC1648" s="33"/>
      <c r="AD1648" s="33"/>
      <c r="AE1648" s="33"/>
      <c r="AF1648" s="33"/>
      <c r="AG1648" s="33"/>
      <c r="AH1648" s="33"/>
      <c r="AI1648" s="33"/>
      <c r="AJ1648" s="33"/>
      <c r="AK1648" s="34" t="str">
        <f aca="false">IF($B1648="","",COUNTIF($F1648:$AJ1648,"P"))</f>
        <v/>
      </c>
      <c r="AL1648" s="34" t="str">
        <f aca="false">IF($B1648="","",COUNTIF($F1648:$AJ1648,"A"))</f>
        <v/>
      </c>
      <c r="AM1648" s="34" t="str">
        <f aca="false">IF($B1648="","",COUNTIF($F1648:$AJ1648,"HA"))</f>
        <v/>
      </c>
      <c r="AN1648" s="34" t="str">
        <f aca="false">IF($B1648="","",COUNTIF($F1648:$AJ1648,"L"))</f>
        <v/>
      </c>
      <c r="AO1648" s="34" t="str">
        <f aca="false">IF($B1648="","",COUNTIF($F1648:$AJ1648,"PL"))</f>
        <v/>
      </c>
      <c r="AP1648" s="34" t="str">
        <f aca="false">IF($B1648="","",COUNTIF($F1648:$AJ1648,"CL"))</f>
        <v/>
      </c>
      <c r="AQ1648" s="34" t="str">
        <f aca="false">IF($B1648="","",COUNTIF($F1648:$AJ1648,"SL"))</f>
        <v/>
      </c>
      <c r="AR1648" s="34" t="str">
        <f aca="false">IF($B1648="","",COUNTIF($F1648:$AJ1648,"CO"))</f>
        <v/>
      </c>
      <c r="AS1648" s="34" t="str">
        <f aca="false">IF($B1648="","",COUNTIF($F1648:$AJ1648,"HPL"))</f>
        <v/>
      </c>
      <c r="AT1648" s="34" t="str">
        <f aca="false">IF($B1648="","",COUNTIF($F1648:$AJ1648,"HCL"))</f>
        <v/>
      </c>
      <c r="AU1648" s="34" t="str">
        <f aca="false">IF($B1648="","",COUNTIF($F1648:$AJ1648,"WO"))</f>
        <v/>
      </c>
      <c r="AV1648" s="34" t="str">
        <f aca="false">IF($B1648="","",COUNTIF($F1648:$AJ1648,"PH"))</f>
        <v/>
      </c>
      <c r="AW1648" s="34" t="str">
        <f aca="false">IF($B1648="","",COUNTIF($F1648:$AJ1648,"TR"))</f>
        <v/>
      </c>
      <c r="AX1648" s="35" t="str">
        <f aca="false">IF($B1648="","",AO1648+AS1648/2)</f>
        <v/>
      </c>
      <c r="AY1648" s="35" t="str">
        <f aca="false">IF($B1648="","",AQ1648)</f>
        <v/>
      </c>
      <c r="AZ1648" s="35" t="str">
        <f aca="false">IF($B1648="","",AP1648+AT1648/2)</f>
        <v/>
      </c>
      <c r="BA1648" s="35" t="str">
        <f aca="false">IF($B1648="","",AK1648+AN1648+AM1648/2+AO1648+AP1648+AQ1648+AR1648+AS1648+AT1648+AU1648+AV1648+AW1648)</f>
        <v/>
      </c>
      <c r="BB1648" s="35" t="str">
        <f aca="false">IF($B1648="","",MAX(0,AN1648-Settings!$C$16)*Settings!$C$17)</f>
        <v/>
      </c>
      <c r="BC1648" s="35" t="str">
        <f aca="false">IF($B1648="","",BA1648-BB1648)</f>
        <v/>
      </c>
      <c r="BD1648" s="35" t="str">
        <f aca="false">IF(OR($B1648="",$A1648=""),"",DAY(EOMONTH($A1648,0))-COUNTA($F1648:$AJ1648))</f>
        <v/>
      </c>
    </row>
    <row r="1649" customFormat="false" ht="15" hidden="false" customHeight="false" outlineLevel="0" collapsed="false">
      <c r="A1649" s="32"/>
      <c r="B1649" s="29"/>
      <c r="C1649" s="10" t="str">
        <f aca="false">IF($B1649="","",IFERROR(INDEX(M_name,MATCH($B1649,M_emp,0)),"Code not found"))</f>
        <v/>
      </c>
      <c r="D1649" s="10" t="str">
        <f aca="false">IF($B1649="","",IFERROR(INDEX(M_dept,MATCH($B1649,M_emp,0)),""))</f>
        <v/>
      </c>
      <c r="E1649" s="10" t="str">
        <f aca="false">IF($B1649="","",IFERROR(INDEX(M_loc,MATCH($B1649,M_emp,0)),""))</f>
        <v/>
      </c>
      <c r="F1649" s="33"/>
      <c r="G1649" s="33"/>
      <c r="H1649" s="33"/>
      <c r="I1649" s="33"/>
      <c r="J1649" s="33"/>
      <c r="K1649" s="33"/>
      <c r="L1649" s="33"/>
      <c r="M1649" s="33"/>
      <c r="N1649" s="33"/>
      <c r="O1649" s="33"/>
      <c r="P1649" s="33"/>
      <c r="Q1649" s="33"/>
      <c r="R1649" s="33"/>
      <c r="S1649" s="33"/>
      <c r="T1649" s="33"/>
      <c r="U1649" s="33"/>
      <c r="V1649" s="33"/>
      <c r="W1649" s="33"/>
      <c r="X1649" s="33"/>
      <c r="Y1649" s="33"/>
      <c r="Z1649" s="33"/>
      <c r="AA1649" s="33"/>
      <c r="AB1649" s="33"/>
      <c r="AC1649" s="33"/>
      <c r="AD1649" s="33"/>
      <c r="AE1649" s="33"/>
      <c r="AF1649" s="33"/>
      <c r="AG1649" s="33"/>
      <c r="AH1649" s="33"/>
      <c r="AI1649" s="33"/>
      <c r="AJ1649" s="33"/>
      <c r="AK1649" s="34" t="str">
        <f aca="false">IF($B1649="","",COUNTIF($F1649:$AJ1649,"P"))</f>
        <v/>
      </c>
      <c r="AL1649" s="34" t="str">
        <f aca="false">IF($B1649="","",COUNTIF($F1649:$AJ1649,"A"))</f>
        <v/>
      </c>
      <c r="AM1649" s="34" t="str">
        <f aca="false">IF($B1649="","",COUNTIF($F1649:$AJ1649,"HA"))</f>
        <v/>
      </c>
      <c r="AN1649" s="34" t="str">
        <f aca="false">IF($B1649="","",COUNTIF($F1649:$AJ1649,"L"))</f>
        <v/>
      </c>
      <c r="AO1649" s="34" t="str">
        <f aca="false">IF($B1649="","",COUNTIF($F1649:$AJ1649,"PL"))</f>
        <v/>
      </c>
      <c r="AP1649" s="34" t="str">
        <f aca="false">IF($B1649="","",COUNTIF($F1649:$AJ1649,"CL"))</f>
        <v/>
      </c>
      <c r="AQ1649" s="34" t="str">
        <f aca="false">IF($B1649="","",COUNTIF($F1649:$AJ1649,"SL"))</f>
        <v/>
      </c>
      <c r="AR1649" s="34" t="str">
        <f aca="false">IF($B1649="","",COUNTIF($F1649:$AJ1649,"CO"))</f>
        <v/>
      </c>
      <c r="AS1649" s="34" t="str">
        <f aca="false">IF($B1649="","",COUNTIF($F1649:$AJ1649,"HPL"))</f>
        <v/>
      </c>
      <c r="AT1649" s="34" t="str">
        <f aca="false">IF($B1649="","",COUNTIF($F1649:$AJ1649,"HCL"))</f>
        <v/>
      </c>
      <c r="AU1649" s="34" t="str">
        <f aca="false">IF($B1649="","",COUNTIF($F1649:$AJ1649,"WO"))</f>
        <v/>
      </c>
      <c r="AV1649" s="34" t="str">
        <f aca="false">IF($B1649="","",COUNTIF($F1649:$AJ1649,"PH"))</f>
        <v/>
      </c>
      <c r="AW1649" s="34" t="str">
        <f aca="false">IF($B1649="","",COUNTIF($F1649:$AJ1649,"TR"))</f>
        <v/>
      </c>
      <c r="AX1649" s="35" t="str">
        <f aca="false">IF($B1649="","",AO1649+AS1649/2)</f>
        <v/>
      </c>
      <c r="AY1649" s="35" t="str">
        <f aca="false">IF($B1649="","",AQ1649)</f>
        <v/>
      </c>
      <c r="AZ1649" s="35" t="str">
        <f aca="false">IF($B1649="","",AP1649+AT1649/2)</f>
        <v/>
      </c>
      <c r="BA1649" s="35" t="str">
        <f aca="false">IF($B1649="","",AK1649+AN1649+AM1649/2+AO1649+AP1649+AQ1649+AR1649+AS1649+AT1649+AU1649+AV1649+AW1649)</f>
        <v/>
      </c>
      <c r="BB1649" s="35" t="str">
        <f aca="false">IF($B1649="","",MAX(0,AN1649-Settings!$C$16)*Settings!$C$17)</f>
        <v/>
      </c>
      <c r="BC1649" s="35" t="str">
        <f aca="false">IF($B1649="","",BA1649-BB1649)</f>
        <v/>
      </c>
      <c r="BD1649" s="35" t="str">
        <f aca="false">IF(OR($B1649="",$A1649=""),"",DAY(EOMONTH($A1649,0))-COUNTA($F1649:$AJ1649))</f>
        <v/>
      </c>
    </row>
    <row r="1650" customFormat="false" ht="15" hidden="false" customHeight="false" outlineLevel="0" collapsed="false">
      <c r="A1650" s="32"/>
      <c r="B1650" s="29"/>
      <c r="C1650" s="10" t="str">
        <f aca="false">IF($B1650="","",IFERROR(INDEX(M_name,MATCH($B1650,M_emp,0)),"Code not found"))</f>
        <v/>
      </c>
      <c r="D1650" s="10" t="str">
        <f aca="false">IF($B1650="","",IFERROR(INDEX(M_dept,MATCH($B1650,M_emp,0)),""))</f>
        <v/>
      </c>
      <c r="E1650" s="10" t="str">
        <f aca="false">IF($B1650="","",IFERROR(INDEX(M_loc,MATCH($B1650,M_emp,0)),""))</f>
        <v/>
      </c>
      <c r="F1650" s="33"/>
      <c r="G1650" s="33"/>
      <c r="H1650" s="33"/>
      <c r="I1650" s="33"/>
      <c r="J1650" s="33"/>
      <c r="K1650" s="33"/>
      <c r="L1650" s="33"/>
      <c r="M1650" s="33"/>
      <c r="N1650" s="33"/>
      <c r="O1650" s="33"/>
      <c r="P1650" s="33"/>
      <c r="Q1650" s="33"/>
      <c r="R1650" s="33"/>
      <c r="S1650" s="33"/>
      <c r="T1650" s="33"/>
      <c r="U1650" s="33"/>
      <c r="V1650" s="33"/>
      <c r="W1650" s="33"/>
      <c r="X1650" s="33"/>
      <c r="Y1650" s="33"/>
      <c r="Z1650" s="33"/>
      <c r="AA1650" s="33"/>
      <c r="AB1650" s="33"/>
      <c r="AC1650" s="33"/>
      <c r="AD1650" s="33"/>
      <c r="AE1650" s="33"/>
      <c r="AF1650" s="33"/>
      <c r="AG1650" s="33"/>
      <c r="AH1650" s="33"/>
      <c r="AI1650" s="33"/>
      <c r="AJ1650" s="33"/>
      <c r="AK1650" s="34" t="str">
        <f aca="false">IF($B1650="","",COUNTIF($F1650:$AJ1650,"P"))</f>
        <v/>
      </c>
      <c r="AL1650" s="34" t="str">
        <f aca="false">IF($B1650="","",COUNTIF($F1650:$AJ1650,"A"))</f>
        <v/>
      </c>
      <c r="AM1650" s="34" t="str">
        <f aca="false">IF($B1650="","",COUNTIF($F1650:$AJ1650,"HA"))</f>
        <v/>
      </c>
      <c r="AN1650" s="34" t="str">
        <f aca="false">IF($B1650="","",COUNTIF($F1650:$AJ1650,"L"))</f>
        <v/>
      </c>
      <c r="AO1650" s="34" t="str">
        <f aca="false">IF($B1650="","",COUNTIF($F1650:$AJ1650,"PL"))</f>
        <v/>
      </c>
      <c r="AP1650" s="34" t="str">
        <f aca="false">IF($B1650="","",COUNTIF($F1650:$AJ1650,"CL"))</f>
        <v/>
      </c>
      <c r="AQ1650" s="34" t="str">
        <f aca="false">IF($B1650="","",COUNTIF($F1650:$AJ1650,"SL"))</f>
        <v/>
      </c>
      <c r="AR1650" s="34" t="str">
        <f aca="false">IF($B1650="","",COUNTIF($F1650:$AJ1650,"CO"))</f>
        <v/>
      </c>
      <c r="AS1650" s="34" t="str">
        <f aca="false">IF($B1650="","",COUNTIF($F1650:$AJ1650,"HPL"))</f>
        <v/>
      </c>
      <c r="AT1650" s="34" t="str">
        <f aca="false">IF($B1650="","",COUNTIF($F1650:$AJ1650,"HCL"))</f>
        <v/>
      </c>
      <c r="AU1650" s="34" t="str">
        <f aca="false">IF($B1650="","",COUNTIF($F1650:$AJ1650,"WO"))</f>
        <v/>
      </c>
      <c r="AV1650" s="34" t="str">
        <f aca="false">IF($B1650="","",COUNTIF($F1650:$AJ1650,"PH"))</f>
        <v/>
      </c>
      <c r="AW1650" s="34" t="str">
        <f aca="false">IF($B1650="","",COUNTIF($F1650:$AJ1650,"TR"))</f>
        <v/>
      </c>
      <c r="AX1650" s="35" t="str">
        <f aca="false">IF($B1650="","",AO1650+AS1650/2)</f>
        <v/>
      </c>
      <c r="AY1650" s="35" t="str">
        <f aca="false">IF($B1650="","",AQ1650)</f>
        <v/>
      </c>
      <c r="AZ1650" s="35" t="str">
        <f aca="false">IF($B1650="","",AP1650+AT1650/2)</f>
        <v/>
      </c>
      <c r="BA1650" s="35" t="str">
        <f aca="false">IF($B1650="","",AK1650+AN1650+AM1650/2+AO1650+AP1650+AQ1650+AR1650+AS1650+AT1650+AU1650+AV1650+AW1650)</f>
        <v/>
      </c>
      <c r="BB1650" s="35" t="str">
        <f aca="false">IF($B1650="","",MAX(0,AN1650-Settings!$C$16)*Settings!$C$17)</f>
        <v/>
      </c>
      <c r="BC1650" s="35" t="str">
        <f aca="false">IF($B1650="","",BA1650-BB1650)</f>
        <v/>
      </c>
      <c r="BD1650" s="35" t="str">
        <f aca="false">IF(OR($B1650="",$A1650=""),"",DAY(EOMONTH($A1650,0))-COUNTA($F1650:$AJ1650))</f>
        <v/>
      </c>
    </row>
    <row r="1651" customFormat="false" ht="15" hidden="false" customHeight="false" outlineLevel="0" collapsed="false">
      <c r="A1651" s="32"/>
      <c r="B1651" s="29"/>
      <c r="C1651" s="10" t="str">
        <f aca="false">IF($B1651="","",IFERROR(INDEX(M_name,MATCH($B1651,M_emp,0)),"Code not found"))</f>
        <v/>
      </c>
      <c r="D1651" s="10" t="str">
        <f aca="false">IF($B1651="","",IFERROR(INDEX(M_dept,MATCH($B1651,M_emp,0)),""))</f>
        <v/>
      </c>
      <c r="E1651" s="10" t="str">
        <f aca="false">IF($B1651="","",IFERROR(INDEX(M_loc,MATCH($B1651,M_emp,0)),""))</f>
        <v/>
      </c>
      <c r="F1651" s="33"/>
      <c r="G1651" s="33"/>
      <c r="H1651" s="33"/>
      <c r="I1651" s="33"/>
      <c r="J1651" s="33"/>
      <c r="K1651" s="33"/>
      <c r="L1651" s="33"/>
      <c r="M1651" s="33"/>
      <c r="N1651" s="33"/>
      <c r="O1651" s="33"/>
      <c r="P1651" s="33"/>
      <c r="Q1651" s="33"/>
      <c r="R1651" s="33"/>
      <c r="S1651" s="33"/>
      <c r="T1651" s="33"/>
      <c r="U1651" s="33"/>
      <c r="V1651" s="33"/>
      <c r="W1651" s="33"/>
      <c r="X1651" s="33"/>
      <c r="Y1651" s="33"/>
      <c r="Z1651" s="33"/>
      <c r="AA1651" s="33"/>
      <c r="AB1651" s="33"/>
      <c r="AC1651" s="33"/>
      <c r="AD1651" s="33"/>
      <c r="AE1651" s="33"/>
      <c r="AF1651" s="33"/>
      <c r="AG1651" s="33"/>
      <c r="AH1651" s="33"/>
      <c r="AI1651" s="33"/>
      <c r="AJ1651" s="33"/>
      <c r="AK1651" s="34" t="str">
        <f aca="false">IF($B1651="","",COUNTIF($F1651:$AJ1651,"P"))</f>
        <v/>
      </c>
      <c r="AL1651" s="34" t="str">
        <f aca="false">IF($B1651="","",COUNTIF($F1651:$AJ1651,"A"))</f>
        <v/>
      </c>
      <c r="AM1651" s="34" t="str">
        <f aca="false">IF($B1651="","",COUNTIF($F1651:$AJ1651,"HA"))</f>
        <v/>
      </c>
      <c r="AN1651" s="34" t="str">
        <f aca="false">IF($B1651="","",COUNTIF($F1651:$AJ1651,"L"))</f>
        <v/>
      </c>
      <c r="AO1651" s="34" t="str">
        <f aca="false">IF($B1651="","",COUNTIF($F1651:$AJ1651,"PL"))</f>
        <v/>
      </c>
      <c r="AP1651" s="34" t="str">
        <f aca="false">IF($B1651="","",COUNTIF($F1651:$AJ1651,"CL"))</f>
        <v/>
      </c>
      <c r="AQ1651" s="34" t="str">
        <f aca="false">IF($B1651="","",COUNTIF($F1651:$AJ1651,"SL"))</f>
        <v/>
      </c>
      <c r="AR1651" s="34" t="str">
        <f aca="false">IF($B1651="","",COUNTIF($F1651:$AJ1651,"CO"))</f>
        <v/>
      </c>
      <c r="AS1651" s="34" t="str">
        <f aca="false">IF($B1651="","",COUNTIF($F1651:$AJ1651,"HPL"))</f>
        <v/>
      </c>
      <c r="AT1651" s="34" t="str">
        <f aca="false">IF($B1651="","",COUNTIF($F1651:$AJ1651,"HCL"))</f>
        <v/>
      </c>
      <c r="AU1651" s="34" t="str">
        <f aca="false">IF($B1651="","",COUNTIF($F1651:$AJ1651,"WO"))</f>
        <v/>
      </c>
      <c r="AV1651" s="34" t="str">
        <f aca="false">IF($B1651="","",COUNTIF($F1651:$AJ1651,"PH"))</f>
        <v/>
      </c>
      <c r="AW1651" s="34" t="str">
        <f aca="false">IF($B1651="","",COUNTIF($F1651:$AJ1651,"TR"))</f>
        <v/>
      </c>
      <c r="AX1651" s="35" t="str">
        <f aca="false">IF($B1651="","",AO1651+AS1651/2)</f>
        <v/>
      </c>
      <c r="AY1651" s="35" t="str">
        <f aca="false">IF($B1651="","",AQ1651)</f>
        <v/>
      </c>
      <c r="AZ1651" s="35" t="str">
        <f aca="false">IF($B1651="","",AP1651+AT1651/2)</f>
        <v/>
      </c>
      <c r="BA1651" s="35" t="str">
        <f aca="false">IF($B1651="","",AK1651+AN1651+AM1651/2+AO1651+AP1651+AQ1651+AR1651+AS1651+AT1651+AU1651+AV1651+AW1651)</f>
        <v/>
      </c>
      <c r="BB1651" s="35" t="str">
        <f aca="false">IF($B1651="","",MAX(0,AN1651-Settings!$C$16)*Settings!$C$17)</f>
        <v/>
      </c>
      <c r="BC1651" s="35" t="str">
        <f aca="false">IF($B1651="","",BA1651-BB1651)</f>
        <v/>
      </c>
      <c r="BD1651" s="35" t="str">
        <f aca="false">IF(OR($B1651="",$A1651=""),"",DAY(EOMONTH($A1651,0))-COUNTA($F1651:$AJ1651))</f>
        <v/>
      </c>
    </row>
    <row r="1652" customFormat="false" ht="15" hidden="false" customHeight="false" outlineLevel="0" collapsed="false">
      <c r="A1652" s="32"/>
      <c r="B1652" s="29"/>
      <c r="C1652" s="10" t="str">
        <f aca="false">IF($B1652="","",IFERROR(INDEX(M_name,MATCH($B1652,M_emp,0)),"Code not found"))</f>
        <v/>
      </c>
      <c r="D1652" s="10" t="str">
        <f aca="false">IF($B1652="","",IFERROR(INDEX(M_dept,MATCH($B1652,M_emp,0)),""))</f>
        <v/>
      </c>
      <c r="E1652" s="10" t="str">
        <f aca="false">IF($B1652="","",IFERROR(INDEX(M_loc,MATCH($B1652,M_emp,0)),""))</f>
        <v/>
      </c>
      <c r="F1652" s="33"/>
      <c r="G1652" s="33"/>
      <c r="H1652" s="33"/>
      <c r="I1652" s="33"/>
      <c r="J1652" s="33"/>
      <c r="K1652" s="33"/>
      <c r="L1652" s="33"/>
      <c r="M1652" s="33"/>
      <c r="N1652" s="33"/>
      <c r="O1652" s="33"/>
      <c r="P1652" s="33"/>
      <c r="Q1652" s="33"/>
      <c r="R1652" s="33"/>
      <c r="S1652" s="33"/>
      <c r="T1652" s="33"/>
      <c r="U1652" s="33"/>
      <c r="V1652" s="33"/>
      <c r="W1652" s="33"/>
      <c r="X1652" s="33"/>
      <c r="Y1652" s="33"/>
      <c r="Z1652" s="33"/>
      <c r="AA1652" s="33"/>
      <c r="AB1652" s="33"/>
      <c r="AC1652" s="33"/>
      <c r="AD1652" s="33"/>
      <c r="AE1652" s="33"/>
      <c r="AF1652" s="33"/>
      <c r="AG1652" s="33"/>
      <c r="AH1652" s="33"/>
      <c r="AI1652" s="33"/>
      <c r="AJ1652" s="33"/>
      <c r="AK1652" s="34" t="str">
        <f aca="false">IF($B1652="","",COUNTIF($F1652:$AJ1652,"P"))</f>
        <v/>
      </c>
      <c r="AL1652" s="34" t="str">
        <f aca="false">IF($B1652="","",COUNTIF($F1652:$AJ1652,"A"))</f>
        <v/>
      </c>
      <c r="AM1652" s="34" t="str">
        <f aca="false">IF($B1652="","",COUNTIF($F1652:$AJ1652,"HA"))</f>
        <v/>
      </c>
      <c r="AN1652" s="34" t="str">
        <f aca="false">IF($B1652="","",COUNTIF($F1652:$AJ1652,"L"))</f>
        <v/>
      </c>
      <c r="AO1652" s="34" t="str">
        <f aca="false">IF($B1652="","",COUNTIF($F1652:$AJ1652,"PL"))</f>
        <v/>
      </c>
      <c r="AP1652" s="34" t="str">
        <f aca="false">IF($B1652="","",COUNTIF($F1652:$AJ1652,"CL"))</f>
        <v/>
      </c>
      <c r="AQ1652" s="34" t="str">
        <f aca="false">IF($B1652="","",COUNTIF($F1652:$AJ1652,"SL"))</f>
        <v/>
      </c>
      <c r="AR1652" s="34" t="str">
        <f aca="false">IF($B1652="","",COUNTIF($F1652:$AJ1652,"CO"))</f>
        <v/>
      </c>
      <c r="AS1652" s="34" t="str">
        <f aca="false">IF($B1652="","",COUNTIF($F1652:$AJ1652,"HPL"))</f>
        <v/>
      </c>
      <c r="AT1652" s="34" t="str">
        <f aca="false">IF($B1652="","",COUNTIF($F1652:$AJ1652,"HCL"))</f>
        <v/>
      </c>
      <c r="AU1652" s="34" t="str">
        <f aca="false">IF($B1652="","",COUNTIF($F1652:$AJ1652,"WO"))</f>
        <v/>
      </c>
      <c r="AV1652" s="34" t="str">
        <f aca="false">IF($B1652="","",COUNTIF($F1652:$AJ1652,"PH"))</f>
        <v/>
      </c>
      <c r="AW1652" s="34" t="str">
        <f aca="false">IF($B1652="","",COUNTIF($F1652:$AJ1652,"TR"))</f>
        <v/>
      </c>
      <c r="AX1652" s="35" t="str">
        <f aca="false">IF($B1652="","",AO1652+AS1652/2)</f>
        <v/>
      </c>
      <c r="AY1652" s="35" t="str">
        <f aca="false">IF($B1652="","",AQ1652)</f>
        <v/>
      </c>
      <c r="AZ1652" s="35" t="str">
        <f aca="false">IF($B1652="","",AP1652+AT1652/2)</f>
        <v/>
      </c>
      <c r="BA1652" s="35" t="str">
        <f aca="false">IF($B1652="","",AK1652+AN1652+AM1652/2+AO1652+AP1652+AQ1652+AR1652+AS1652+AT1652+AU1652+AV1652+AW1652)</f>
        <v/>
      </c>
      <c r="BB1652" s="35" t="str">
        <f aca="false">IF($B1652="","",MAX(0,AN1652-Settings!$C$16)*Settings!$C$17)</f>
        <v/>
      </c>
      <c r="BC1652" s="35" t="str">
        <f aca="false">IF($B1652="","",BA1652-BB1652)</f>
        <v/>
      </c>
      <c r="BD1652" s="35" t="str">
        <f aca="false">IF(OR($B1652="",$A1652=""),"",DAY(EOMONTH($A1652,0))-COUNTA($F1652:$AJ1652))</f>
        <v/>
      </c>
    </row>
    <row r="1653" customFormat="false" ht="15" hidden="false" customHeight="false" outlineLevel="0" collapsed="false">
      <c r="A1653" s="32"/>
      <c r="B1653" s="29"/>
      <c r="C1653" s="10" t="str">
        <f aca="false">IF($B1653="","",IFERROR(INDEX(M_name,MATCH($B1653,M_emp,0)),"Code not found"))</f>
        <v/>
      </c>
      <c r="D1653" s="10" t="str">
        <f aca="false">IF($B1653="","",IFERROR(INDEX(M_dept,MATCH($B1653,M_emp,0)),""))</f>
        <v/>
      </c>
      <c r="E1653" s="10" t="str">
        <f aca="false">IF($B1653="","",IFERROR(INDEX(M_loc,MATCH($B1653,M_emp,0)),""))</f>
        <v/>
      </c>
      <c r="F1653" s="33"/>
      <c r="G1653" s="33"/>
      <c r="H1653" s="33"/>
      <c r="I1653" s="33"/>
      <c r="J1653" s="33"/>
      <c r="K1653" s="33"/>
      <c r="L1653" s="33"/>
      <c r="M1653" s="33"/>
      <c r="N1653" s="33"/>
      <c r="O1653" s="33"/>
      <c r="P1653" s="33"/>
      <c r="Q1653" s="33"/>
      <c r="R1653" s="33"/>
      <c r="S1653" s="33"/>
      <c r="T1653" s="33"/>
      <c r="U1653" s="33"/>
      <c r="V1653" s="33"/>
      <c r="W1653" s="33"/>
      <c r="X1653" s="33"/>
      <c r="Y1653" s="33"/>
      <c r="Z1653" s="33"/>
      <c r="AA1653" s="33"/>
      <c r="AB1653" s="33"/>
      <c r="AC1653" s="33"/>
      <c r="AD1653" s="33"/>
      <c r="AE1653" s="33"/>
      <c r="AF1653" s="33"/>
      <c r="AG1653" s="33"/>
      <c r="AH1653" s="33"/>
      <c r="AI1653" s="33"/>
      <c r="AJ1653" s="33"/>
      <c r="AK1653" s="34" t="str">
        <f aca="false">IF($B1653="","",COUNTIF($F1653:$AJ1653,"P"))</f>
        <v/>
      </c>
      <c r="AL1653" s="34" t="str">
        <f aca="false">IF($B1653="","",COUNTIF($F1653:$AJ1653,"A"))</f>
        <v/>
      </c>
      <c r="AM1653" s="34" t="str">
        <f aca="false">IF($B1653="","",COUNTIF($F1653:$AJ1653,"HA"))</f>
        <v/>
      </c>
      <c r="AN1653" s="34" t="str">
        <f aca="false">IF($B1653="","",COUNTIF($F1653:$AJ1653,"L"))</f>
        <v/>
      </c>
      <c r="AO1653" s="34" t="str">
        <f aca="false">IF($B1653="","",COUNTIF($F1653:$AJ1653,"PL"))</f>
        <v/>
      </c>
      <c r="AP1653" s="34" t="str">
        <f aca="false">IF($B1653="","",COUNTIF($F1653:$AJ1653,"CL"))</f>
        <v/>
      </c>
      <c r="AQ1653" s="34" t="str">
        <f aca="false">IF($B1653="","",COUNTIF($F1653:$AJ1653,"SL"))</f>
        <v/>
      </c>
      <c r="AR1653" s="34" t="str">
        <f aca="false">IF($B1653="","",COUNTIF($F1653:$AJ1653,"CO"))</f>
        <v/>
      </c>
      <c r="AS1653" s="34" t="str">
        <f aca="false">IF($B1653="","",COUNTIF($F1653:$AJ1653,"HPL"))</f>
        <v/>
      </c>
      <c r="AT1653" s="34" t="str">
        <f aca="false">IF($B1653="","",COUNTIF($F1653:$AJ1653,"HCL"))</f>
        <v/>
      </c>
      <c r="AU1653" s="34" t="str">
        <f aca="false">IF($B1653="","",COUNTIF($F1653:$AJ1653,"WO"))</f>
        <v/>
      </c>
      <c r="AV1653" s="34" t="str">
        <f aca="false">IF($B1653="","",COUNTIF($F1653:$AJ1653,"PH"))</f>
        <v/>
      </c>
      <c r="AW1653" s="34" t="str">
        <f aca="false">IF($B1653="","",COUNTIF($F1653:$AJ1653,"TR"))</f>
        <v/>
      </c>
      <c r="AX1653" s="35" t="str">
        <f aca="false">IF($B1653="","",AO1653+AS1653/2)</f>
        <v/>
      </c>
      <c r="AY1653" s="35" t="str">
        <f aca="false">IF($B1653="","",AQ1653)</f>
        <v/>
      </c>
      <c r="AZ1653" s="35" t="str">
        <f aca="false">IF($B1653="","",AP1653+AT1653/2)</f>
        <v/>
      </c>
      <c r="BA1653" s="35" t="str">
        <f aca="false">IF($B1653="","",AK1653+AN1653+AM1653/2+AO1653+AP1653+AQ1653+AR1653+AS1653+AT1653+AU1653+AV1653+AW1653)</f>
        <v/>
      </c>
      <c r="BB1653" s="35" t="str">
        <f aca="false">IF($B1653="","",MAX(0,AN1653-Settings!$C$16)*Settings!$C$17)</f>
        <v/>
      </c>
      <c r="BC1653" s="35" t="str">
        <f aca="false">IF($B1653="","",BA1653-BB1653)</f>
        <v/>
      </c>
      <c r="BD1653" s="35" t="str">
        <f aca="false">IF(OR($B1653="",$A1653=""),"",DAY(EOMONTH($A1653,0))-COUNTA($F1653:$AJ1653))</f>
        <v/>
      </c>
    </row>
    <row r="1654" customFormat="false" ht="15" hidden="false" customHeight="false" outlineLevel="0" collapsed="false">
      <c r="A1654" s="32"/>
      <c r="B1654" s="29"/>
      <c r="C1654" s="10" t="str">
        <f aca="false">IF($B1654="","",IFERROR(INDEX(M_name,MATCH($B1654,M_emp,0)),"Code not found"))</f>
        <v/>
      </c>
      <c r="D1654" s="10" t="str">
        <f aca="false">IF($B1654="","",IFERROR(INDEX(M_dept,MATCH($B1654,M_emp,0)),""))</f>
        <v/>
      </c>
      <c r="E1654" s="10" t="str">
        <f aca="false">IF($B1654="","",IFERROR(INDEX(M_loc,MATCH($B1654,M_emp,0)),""))</f>
        <v/>
      </c>
      <c r="F1654" s="33"/>
      <c r="G1654" s="33"/>
      <c r="H1654" s="33"/>
      <c r="I1654" s="33"/>
      <c r="J1654" s="33"/>
      <c r="K1654" s="33"/>
      <c r="L1654" s="33"/>
      <c r="M1654" s="33"/>
      <c r="N1654" s="33"/>
      <c r="O1654" s="33"/>
      <c r="P1654" s="33"/>
      <c r="Q1654" s="33"/>
      <c r="R1654" s="33"/>
      <c r="S1654" s="33"/>
      <c r="T1654" s="33"/>
      <c r="U1654" s="33"/>
      <c r="V1654" s="33"/>
      <c r="W1654" s="33"/>
      <c r="X1654" s="33"/>
      <c r="Y1654" s="33"/>
      <c r="Z1654" s="33"/>
      <c r="AA1654" s="33"/>
      <c r="AB1654" s="33"/>
      <c r="AC1654" s="33"/>
      <c r="AD1654" s="33"/>
      <c r="AE1654" s="33"/>
      <c r="AF1654" s="33"/>
      <c r="AG1654" s="33"/>
      <c r="AH1654" s="33"/>
      <c r="AI1654" s="33"/>
      <c r="AJ1654" s="33"/>
      <c r="AK1654" s="34" t="str">
        <f aca="false">IF($B1654="","",COUNTIF($F1654:$AJ1654,"P"))</f>
        <v/>
      </c>
      <c r="AL1654" s="34" t="str">
        <f aca="false">IF($B1654="","",COUNTIF($F1654:$AJ1654,"A"))</f>
        <v/>
      </c>
      <c r="AM1654" s="34" t="str">
        <f aca="false">IF($B1654="","",COUNTIF($F1654:$AJ1654,"HA"))</f>
        <v/>
      </c>
      <c r="AN1654" s="34" t="str">
        <f aca="false">IF($B1654="","",COUNTIF($F1654:$AJ1654,"L"))</f>
        <v/>
      </c>
      <c r="AO1654" s="34" t="str">
        <f aca="false">IF($B1654="","",COUNTIF($F1654:$AJ1654,"PL"))</f>
        <v/>
      </c>
      <c r="AP1654" s="34" t="str">
        <f aca="false">IF($B1654="","",COUNTIF($F1654:$AJ1654,"CL"))</f>
        <v/>
      </c>
      <c r="AQ1654" s="34" t="str">
        <f aca="false">IF($B1654="","",COUNTIF($F1654:$AJ1654,"SL"))</f>
        <v/>
      </c>
      <c r="AR1654" s="34" t="str">
        <f aca="false">IF($B1654="","",COUNTIF($F1654:$AJ1654,"CO"))</f>
        <v/>
      </c>
      <c r="AS1654" s="34" t="str">
        <f aca="false">IF($B1654="","",COUNTIF($F1654:$AJ1654,"HPL"))</f>
        <v/>
      </c>
      <c r="AT1654" s="34" t="str">
        <f aca="false">IF($B1654="","",COUNTIF($F1654:$AJ1654,"HCL"))</f>
        <v/>
      </c>
      <c r="AU1654" s="34" t="str">
        <f aca="false">IF($B1654="","",COUNTIF($F1654:$AJ1654,"WO"))</f>
        <v/>
      </c>
      <c r="AV1654" s="34" t="str">
        <f aca="false">IF($B1654="","",COUNTIF($F1654:$AJ1654,"PH"))</f>
        <v/>
      </c>
      <c r="AW1654" s="34" t="str">
        <f aca="false">IF($B1654="","",COUNTIF($F1654:$AJ1654,"TR"))</f>
        <v/>
      </c>
      <c r="AX1654" s="35" t="str">
        <f aca="false">IF($B1654="","",AO1654+AS1654/2)</f>
        <v/>
      </c>
      <c r="AY1654" s="35" t="str">
        <f aca="false">IF($B1654="","",AQ1654)</f>
        <v/>
      </c>
      <c r="AZ1654" s="35" t="str">
        <f aca="false">IF($B1654="","",AP1654+AT1654/2)</f>
        <v/>
      </c>
      <c r="BA1654" s="35" t="str">
        <f aca="false">IF($B1654="","",AK1654+AN1654+AM1654/2+AO1654+AP1654+AQ1654+AR1654+AS1654+AT1654+AU1654+AV1654+AW1654)</f>
        <v/>
      </c>
      <c r="BB1654" s="35" t="str">
        <f aca="false">IF($B1654="","",MAX(0,AN1654-Settings!$C$16)*Settings!$C$17)</f>
        <v/>
      </c>
      <c r="BC1654" s="35" t="str">
        <f aca="false">IF($B1654="","",BA1654-BB1654)</f>
        <v/>
      </c>
      <c r="BD1654" s="35" t="str">
        <f aca="false">IF(OR($B1654="",$A1654=""),"",DAY(EOMONTH($A1654,0))-COUNTA($F1654:$AJ1654))</f>
        <v/>
      </c>
    </row>
    <row r="1655" customFormat="false" ht="15" hidden="false" customHeight="false" outlineLevel="0" collapsed="false">
      <c r="A1655" s="32"/>
      <c r="B1655" s="29"/>
      <c r="C1655" s="10" t="str">
        <f aca="false">IF($B1655="","",IFERROR(INDEX(M_name,MATCH($B1655,M_emp,0)),"Code not found"))</f>
        <v/>
      </c>
      <c r="D1655" s="10" t="str">
        <f aca="false">IF($B1655="","",IFERROR(INDEX(M_dept,MATCH($B1655,M_emp,0)),""))</f>
        <v/>
      </c>
      <c r="E1655" s="10" t="str">
        <f aca="false">IF($B1655="","",IFERROR(INDEX(M_loc,MATCH($B1655,M_emp,0)),""))</f>
        <v/>
      </c>
      <c r="F1655" s="33"/>
      <c r="G1655" s="33"/>
      <c r="H1655" s="33"/>
      <c r="I1655" s="33"/>
      <c r="J1655" s="33"/>
      <c r="K1655" s="33"/>
      <c r="L1655" s="33"/>
      <c r="M1655" s="33"/>
      <c r="N1655" s="33"/>
      <c r="O1655" s="33"/>
      <c r="P1655" s="33"/>
      <c r="Q1655" s="33"/>
      <c r="R1655" s="33"/>
      <c r="S1655" s="33"/>
      <c r="T1655" s="33"/>
      <c r="U1655" s="33"/>
      <c r="V1655" s="33"/>
      <c r="W1655" s="33"/>
      <c r="X1655" s="33"/>
      <c r="Y1655" s="33"/>
      <c r="Z1655" s="33"/>
      <c r="AA1655" s="33"/>
      <c r="AB1655" s="33"/>
      <c r="AC1655" s="33"/>
      <c r="AD1655" s="33"/>
      <c r="AE1655" s="33"/>
      <c r="AF1655" s="33"/>
      <c r="AG1655" s="33"/>
      <c r="AH1655" s="33"/>
      <c r="AI1655" s="33"/>
      <c r="AJ1655" s="33"/>
      <c r="AK1655" s="34" t="str">
        <f aca="false">IF($B1655="","",COUNTIF($F1655:$AJ1655,"P"))</f>
        <v/>
      </c>
      <c r="AL1655" s="34" t="str">
        <f aca="false">IF($B1655="","",COUNTIF($F1655:$AJ1655,"A"))</f>
        <v/>
      </c>
      <c r="AM1655" s="34" t="str">
        <f aca="false">IF($B1655="","",COUNTIF($F1655:$AJ1655,"HA"))</f>
        <v/>
      </c>
      <c r="AN1655" s="34" t="str">
        <f aca="false">IF($B1655="","",COUNTIF($F1655:$AJ1655,"L"))</f>
        <v/>
      </c>
      <c r="AO1655" s="34" t="str">
        <f aca="false">IF($B1655="","",COUNTIF($F1655:$AJ1655,"PL"))</f>
        <v/>
      </c>
      <c r="AP1655" s="34" t="str">
        <f aca="false">IF($B1655="","",COUNTIF($F1655:$AJ1655,"CL"))</f>
        <v/>
      </c>
      <c r="AQ1655" s="34" t="str">
        <f aca="false">IF($B1655="","",COUNTIF($F1655:$AJ1655,"SL"))</f>
        <v/>
      </c>
      <c r="AR1655" s="34" t="str">
        <f aca="false">IF($B1655="","",COUNTIF($F1655:$AJ1655,"CO"))</f>
        <v/>
      </c>
      <c r="AS1655" s="34" t="str">
        <f aca="false">IF($B1655="","",COUNTIF($F1655:$AJ1655,"HPL"))</f>
        <v/>
      </c>
      <c r="AT1655" s="34" t="str">
        <f aca="false">IF($B1655="","",COUNTIF($F1655:$AJ1655,"HCL"))</f>
        <v/>
      </c>
      <c r="AU1655" s="34" t="str">
        <f aca="false">IF($B1655="","",COUNTIF($F1655:$AJ1655,"WO"))</f>
        <v/>
      </c>
      <c r="AV1655" s="34" t="str">
        <f aca="false">IF($B1655="","",COUNTIF($F1655:$AJ1655,"PH"))</f>
        <v/>
      </c>
      <c r="AW1655" s="34" t="str">
        <f aca="false">IF($B1655="","",COUNTIF($F1655:$AJ1655,"TR"))</f>
        <v/>
      </c>
      <c r="AX1655" s="35" t="str">
        <f aca="false">IF($B1655="","",AO1655+AS1655/2)</f>
        <v/>
      </c>
      <c r="AY1655" s="35" t="str">
        <f aca="false">IF($B1655="","",AQ1655)</f>
        <v/>
      </c>
      <c r="AZ1655" s="35" t="str">
        <f aca="false">IF($B1655="","",AP1655+AT1655/2)</f>
        <v/>
      </c>
      <c r="BA1655" s="35" t="str">
        <f aca="false">IF($B1655="","",AK1655+AN1655+AM1655/2+AO1655+AP1655+AQ1655+AR1655+AS1655+AT1655+AU1655+AV1655+AW1655)</f>
        <v/>
      </c>
      <c r="BB1655" s="35" t="str">
        <f aca="false">IF($B1655="","",MAX(0,AN1655-Settings!$C$16)*Settings!$C$17)</f>
        <v/>
      </c>
      <c r="BC1655" s="35" t="str">
        <f aca="false">IF($B1655="","",BA1655-BB1655)</f>
        <v/>
      </c>
      <c r="BD1655" s="35" t="str">
        <f aca="false">IF(OR($B1655="",$A1655=""),"",DAY(EOMONTH($A1655,0))-COUNTA($F1655:$AJ1655))</f>
        <v/>
      </c>
    </row>
    <row r="1656" customFormat="false" ht="15" hidden="false" customHeight="false" outlineLevel="0" collapsed="false">
      <c r="A1656" s="32"/>
      <c r="B1656" s="29"/>
      <c r="C1656" s="10" t="str">
        <f aca="false">IF($B1656="","",IFERROR(INDEX(M_name,MATCH($B1656,M_emp,0)),"Code not found"))</f>
        <v/>
      </c>
      <c r="D1656" s="10" t="str">
        <f aca="false">IF($B1656="","",IFERROR(INDEX(M_dept,MATCH($B1656,M_emp,0)),""))</f>
        <v/>
      </c>
      <c r="E1656" s="10" t="str">
        <f aca="false">IF($B1656="","",IFERROR(INDEX(M_loc,MATCH($B1656,M_emp,0)),""))</f>
        <v/>
      </c>
      <c r="F1656" s="33"/>
      <c r="G1656" s="33"/>
      <c r="H1656" s="33"/>
      <c r="I1656" s="33"/>
      <c r="J1656" s="33"/>
      <c r="K1656" s="33"/>
      <c r="L1656" s="33"/>
      <c r="M1656" s="33"/>
      <c r="N1656" s="33"/>
      <c r="O1656" s="33"/>
      <c r="P1656" s="33"/>
      <c r="Q1656" s="33"/>
      <c r="R1656" s="33"/>
      <c r="S1656" s="33"/>
      <c r="T1656" s="33"/>
      <c r="U1656" s="33"/>
      <c r="V1656" s="33"/>
      <c r="W1656" s="33"/>
      <c r="X1656" s="33"/>
      <c r="Y1656" s="33"/>
      <c r="Z1656" s="33"/>
      <c r="AA1656" s="33"/>
      <c r="AB1656" s="33"/>
      <c r="AC1656" s="33"/>
      <c r="AD1656" s="33"/>
      <c r="AE1656" s="33"/>
      <c r="AF1656" s="33"/>
      <c r="AG1656" s="33"/>
      <c r="AH1656" s="33"/>
      <c r="AI1656" s="33"/>
      <c r="AJ1656" s="33"/>
      <c r="AK1656" s="34" t="str">
        <f aca="false">IF($B1656="","",COUNTIF($F1656:$AJ1656,"P"))</f>
        <v/>
      </c>
      <c r="AL1656" s="34" t="str">
        <f aca="false">IF($B1656="","",COUNTIF($F1656:$AJ1656,"A"))</f>
        <v/>
      </c>
      <c r="AM1656" s="34" t="str">
        <f aca="false">IF($B1656="","",COUNTIF($F1656:$AJ1656,"HA"))</f>
        <v/>
      </c>
      <c r="AN1656" s="34" t="str">
        <f aca="false">IF($B1656="","",COUNTIF($F1656:$AJ1656,"L"))</f>
        <v/>
      </c>
      <c r="AO1656" s="34" t="str">
        <f aca="false">IF($B1656="","",COUNTIF($F1656:$AJ1656,"PL"))</f>
        <v/>
      </c>
      <c r="AP1656" s="34" t="str">
        <f aca="false">IF($B1656="","",COUNTIF($F1656:$AJ1656,"CL"))</f>
        <v/>
      </c>
      <c r="AQ1656" s="34" t="str">
        <f aca="false">IF($B1656="","",COUNTIF($F1656:$AJ1656,"SL"))</f>
        <v/>
      </c>
      <c r="AR1656" s="34" t="str">
        <f aca="false">IF($B1656="","",COUNTIF($F1656:$AJ1656,"CO"))</f>
        <v/>
      </c>
      <c r="AS1656" s="34" t="str">
        <f aca="false">IF($B1656="","",COUNTIF($F1656:$AJ1656,"HPL"))</f>
        <v/>
      </c>
      <c r="AT1656" s="34" t="str">
        <f aca="false">IF($B1656="","",COUNTIF($F1656:$AJ1656,"HCL"))</f>
        <v/>
      </c>
      <c r="AU1656" s="34" t="str">
        <f aca="false">IF($B1656="","",COUNTIF($F1656:$AJ1656,"WO"))</f>
        <v/>
      </c>
      <c r="AV1656" s="34" t="str">
        <f aca="false">IF($B1656="","",COUNTIF($F1656:$AJ1656,"PH"))</f>
        <v/>
      </c>
      <c r="AW1656" s="34" t="str">
        <f aca="false">IF($B1656="","",COUNTIF($F1656:$AJ1656,"TR"))</f>
        <v/>
      </c>
      <c r="AX1656" s="35" t="str">
        <f aca="false">IF($B1656="","",AO1656+AS1656/2)</f>
        <v/>
      </c>
      <c r="AY1656" s="35" t="str">
        <f aca="false">IF($B1656="","",AQ1656)</f>
        <v/>
      </c>
      <c r="AZ1656" s="35" t="str">
        <f aca="false">IF($B1656="","",AP1656+AT1656/2)</f>
        <v/>
      </c>
      <c r="BA1656" s="35" t="str">
        <f aca="false">IF($B1656="","",AK1656+AN1656+AM1656/2+AO1656+AP1656+AQ1656+AR1656+AS1656+AT1656+AU1656+AV1656+AW1656)</f>
        <v/>
      </c>
      <c r="BB1656" s="35" t="str">
        <f aca="false">IF($B1656="","",MAX(0,AN1656-Settings!$C$16)*Settings!$C$17)</f>
        <v/>
      </c>
      <c r="BC1656" s="35" t="str">
        <f aca="false">IF($B1656="","",BA1656-BB1656)</f>
        <v/>
      </c>
      <c r="BD1656" s="35" t="str">
        <f aca="false">IF(OR($B1656="",$A1656=""),"",DAY(EOMONTH($A1656,0))-COUNTA($F1656:$AJ1656))</f>
        <v/>
      </c>
    </row>
    <row r="1657" customFormat="false" ht="15" hidden="false" customHeight="false" outlineLevel="0" collapsed="false">
      <c r="A1657" s="32"/>
      <c r="B1657" s="29"/>
      <c r="C1657" s="10" t="str">
        <f aca="false">IF($B1657="","",IFERROR(INDEX(M_name,MATCH($B1657,M_emp,0)),"Code not found"))</f>
        <v/>
      </c>
      <c r="D1657" s="10" t="str">
        <f aca="false">IF($B1657="","",IFERROR(INDEX(M_dept,MATCH($B1657,M_emp,0)),""))</f>
        <v/>
      </c>
      <c r="E1657" s="10" t="str">
        <f aca="false">IF($B1657="","",IFERROR(INDEX(M_loc,MATCH($B1657,M_emp,0)),""))</f>
        <v/>
      </c>
      <c r="F1657" s="33"/>
      <c r="G1657" s="33"/>
      <c r="H1657" s="33"/>
      <c r="I1657" s="33"/>
      <c r="J1657" s="33"/>
      <c r="K1657" s="33"/>
      <c r="L1657" s="33"/>
      <c r="M1657" s="33"/>
      <c r="N1657" s="33"/>
      <c r="O1657" s="33"/>
      <c r="P1657" s="33"/>
      <c r="Q1657" s="33"/>
      <c r="R1657" s="33"/>
      <c r="S1657" s="33"/>
      <c r="T1657" s="33"/>
      <c r="U1657" s="33"/>
      <c r="V1657" s="33"/>
      <c r="W1657" s="33"/>
      <c r="X1657" s="33"/>
      <c r="Y1657" s="33"/>
      <c r="Z1657" s="33"/>
      <c r="AA1657" s="33"/>
      <c r="AB1657" s="33"/>
      <c r="AC1657" s="33"/>
      <c r="AD1657" s="33"/>
      <c r="AE1657" s="33"/>
      <c r="AF1657" s="33"/>
      <c r="AG1657" s="33"/>
      <c r="AH1657" s="33"/>
      <c r="AI1657" s="33"/>
      <c r="AJ1657" s="33"/>
      <c r="AK1657" s="34" t="str">
        <f aca="false">IF($B1657="","",COUNTIF($F1657:$AJ1657,"P"))</f>
        <v/>
      </c>
      <c r="AL1657" s="34" t="str">
        <f aca="false">IF($B1657="","",COUNTIF($F1657:$AJ1657,"A"))</f>
        <v/>
      </c>
      <c r="AM1657" s="34" t="str">
        <f aca="false">IF($B1657="","",COUNTIF($F1657:$AJ1657,"HA"))</f>
        <v/>
      </c>
      <c r="AN1657" s="34" t="str">
        <f aca="false">IF($B1657="","",COUNTIF($F1657:$AJ1657,"L"))</f>
        <v/>
      </c>
      <c r="AO1657" s="34" t="str">
        <f aca="false">IF($B1657="","",COUNTIF($F1657:$AJ1657,"PL"))</f>
        <v/>
      </c>
      <c r="AP1657" s="34" t="str">
        <f aca="false">IF($B1657="","",COUNTIF($F1657:$AJ1657,"CL"))</f>
        <v/>
      </c>
      <c r="AQ1657" s="34" t="str">
        <f aca="false">IF($B1657="","",COUNTIF($F1657:$AJ1657,"SL"))</f>
        <v/>
      </c>
      <c r="AR1657" s="34" t="str">
        <f aca="false">IF($B1657="","",COUNTIF($F1657:$AJ1657,"CO"))</f>
        <v/>
      </c>
      <c r="AS1657" s="34" t="str">
        <f aca="false">IF($B1657="","",COUNTIF($F1657:$AJ1657,"HPL"))</f>
        <v/>
      </c>
      <c r="AT1657" s="34" t="str">
        <f aca="false">IF($B1657="","",COUNTIF($F1657:$AJ1657,"HCL"))</f>
        <v/>
      </c>
      <c r="AU1657" s="34" t="str">
        <f aca="false">IF($B1657="","",COUNTIF($F1657:$AJ1657,"WO"))</f>
        <v/>
      </c>
      <c r="AV1657" s="34" t="str">
        <f aca="false">IF($B1657="","",COUNTIF($F1657:$AJ1657,"PH"))</f>
        <v/>
      </c>
      <c r="AW1657" s="34" t="str">
        <f aca="false">IF($B1657="","",COUNTIF($F1657:$AJ1657,"TR"))</f>
        <v/>
      </c>
      <c r="AX1657" s="35" t="str">
        <f aca="false">IF($B1657="","",AO1657+AS1657/2)</f>
        <v/>
      </c>
      <c r="AY1657" s="35" t="str">
        <f aca="false">IF($B1657="","",AQ1657)</f>
        <v/>
      </c>
      <c r="AZ1657" s="35" t="str">
        <f aca="false">IF($B1657="","",AP1657+AT1657/2)</f>
        <v/>
      </c>
      <c r="BA1657" s="35" t="str">
        <f aca="false">IF($B1657="","",AK1657+AN1657+AM1657/2+AO1657+AP1657+AQ1657+AR1657+AS1657+AT1657+AU1657+AV1657+AW1657)</f>
        <v/>
      </c>
      <c r="BB1657" s="35" t="str">
        <f aca="false">IF($B1657="","",MAX(0,AN1657-Settings!$C$16)*Settings!$C$17)</f>
        <v/>
      </c>
      <c r="BC1657" s="35" t="str">
        <f aca="false">IF($B1657="","",BA1657-BB1657)</f>
        <v/>
      </c>
      <c r="BD1657" s="35" t="str">
        <f aca="false">IF(OR($B1657="",$A1657=""),"",DAY(EOMONTH($A1657,0))-COUNTA($F1657:$AJ1657))</f>
        <v/>
      </c>
    </row>
    <row r="1658" customFormat="false" ht="15" hidden="false" customHeight="false" outlineLevel="0" collapsed="false">
      <c r="A1658" s="32"/>
      <c r="B1658" s="29"/>
      <c r="C1658" s="10" t="str">
        <f aca="false">IF($B1658="","",IFERROR(INDEX(M_name,MATCH($B1658,M_emp,0)),"Code not found"))</f>
        <v/>
      </c>
      <c r="D1658" s="10" t="str">
        <f aca="false">IF($B1658="","",IFERROR(INDEX(M_dept,MATCH($B1658,M_emp,0)),""))</f>
        <v/>
      </c>
      <c r="E1658" s="10" t="str">
        <f aca="false">IF($B1658="","",IFERROR(INDEX(M_loc,MATCH($B1658,M_emp,0)),""))</f>
        <v/>
      </c>
      <c r="F1658" s="33"/>
      <c r="G1658" s="33"/>
      <c r="H1658" s="33"/>
      <c r="I1658" s="33"/>
      <c r="J1658" s="33"/>
      <c r="K1658" s="33"/>
      <c r="L1658" s="33"/>
      <c r="M1658" s="33"/>
      <c r="N1658" s="33"/>
      <c r="O1658" s="33"/>
      <c r="P1658" s="33"/>
      <c r="Q1658" s="33"/>
      <c r="R1658" s="33"/>
      <c r="S1658" s="33"/>
      <c r="T1658" s="33"/>
      <c r="U1658" s="33"/>
      <c r="V1658" s="33"/>
      <c r="W1658" s="33"/>
      <c r="X1658" s="33"/>
      <c r="Y1658" s="33"/>
      <c r="Z1658" s="33"/>
      <c r="AA1658" s="33"/>
      <c r="AB1658" s="33"/>
      <c r="AC1658" s="33"/>
      <c r="AD1658" s="33"/>
      <c r="AE1658" s="33"/>
      <c r="AF1658" s="33"/>
      <c r="AG1658" s="33"/>
      <c r="AH1658" s="33"/>
      <c r="AI1658" s="33"/>
      <c r="AJ1658" s="33"/>
      <c r="AK1658" s="34" t="str">
        <f aca="false">IF($B1658="","",COUNTIF($F1658:$AJ1658,"P"))</f>
        <v/>
      </c>
      <c r="AL1658" s="34" t="str">
        <f aca="false">IF($B1658="","",COUNTIF($F1658:$AJ1658,"A"))</f>
        <v/>
      </c>
      <c r="AM1658" s="34" t="str">
        <f aca="false">IF($B1658="","",COUNTIF($F1658:$AJ1658,"HA"))</f>
        <v/>
      </c>
      <c r="AN1658" s="34" t="str">
        <f aca="false">IF($B1658="","",COUNTIF($F1658:$AJ1658,"L"))</f>
        <v/>
      </c>
      <c r="AO1658" s="34" t="str">
        <f aca="false">IF($B1658="","",COUNTIF($F1658:$AJ1658,"PL"))</f>
        <v/>
      </c>
      <c r="AP1658" s="34" t="str">
        <f aca="false">IF($B1658="","",COUNTIF($F1658:$AJ1658,"CL"))</f>
        <v/>
      </c>
      <c r="AQ1658" s="34" t="str">
        <f aca="false">IF($B1658="","",COUNTIF($F1658:$AJ1658,"SL"))</f>
        <v/>
      </c>
      <c r="AR1658" s="34" t="str">
        <f aca="false">IF($B1658="","",COUNTIF($F1658:$AJ1658,"CO"))</f>
        <v/>
      </c>
      <c r="AS1658" s="34" t="str">
        <f aca="false">IF($B1658="","",COUNTIF($F1658:$AJ1658,"HPL"))</f>
        <v/>
      </c>
      <c r="AT1658" s="34" t="str">
        <f aca="false">IF($B1658="","",COUNTIF($F1658:$AJ1658,"HCL"))</f>
        <v/>
      </c>
      <c r="AU1658" s="34" t="str">
        <f aca="false">IF($B1658="","",COUNTIF($F1658:$AJ1658,"WO"))</f>
        <v/>
      </c>
      <c r="AV1658" s="34" t="str">
        <f aca="false">IF($B1658="","",COUNTIF($F1658:$AJ1658,"PH"))</f>
        <v/>
      </c>
      <c r="AW1658" s="34" t="str">
        <f aca="false">IF($B1658="","",COUNTIF($F1658:$AJ1658,"TR"))</f>
        <v/>
      </c>
      <c r="AX1658" s="35" t="str">
        <f aca="false">IF($B1658="","",AO1658+AS1658/2)</f>
        <v/>
      </c>
      <c r="AY1658" s="35" t="str">
        <f aca="false">IF($B1658="","",AQ1658)</f>
        <v/>
      </c>
      <c r="AZ1658" s="35" t="str">
        <f aca="false">IF($B1658="","",AP1658+AT1658/2)</f>
        <v/>
      </c>
      <c r="BA1658" s="35" t="str">
        <f aca="false">IF($B1658="","",AK1658+AN1658+AM1658/2+AO1658+AP1658+AQ1658+AR1658+AS1658+AT1658+AU1658+AV1658+AW1658)</f>
        <v/>
      </c>
      <c r="BB1658" s="35" t="str">
        <f aca="false">IF($B1658="","",MAX(0,AN1658-Settings!$C$16)*Settings!$C$17)</f>
        <v/>
      </c>
      <c r="BC1658" s="35" t="str">
        <f aca="false">IF($B1658="","",BA1658-BB1658)</f>
        <v/>
      </c>
      <c r="BD1658" s="35" t="str">
        <f aca="false">IF(OR($B1658="",$A1658=""),"",DAY(EOMONTH($A1658,0))-COUNTA($F1658:$AJ1658))</f>
        <v/>
      </c>
    </row>
    <row r="1659" customFormat="false" ht="15" hidden="false" customHeight="false" outlineLevel="0" collapsed="false">
      <c r="A1659" s="32"/>
      <c r="B1659" s="29"/>
      <c r="C1659" s="10" t="str">
        <f aca="false">IF($B1659="","",IFERROR(INDEX(M_name,MATCH($B1659,M_emp,0)),"Code not found"))</f>
        <v/>
      </c>
      <c r="D1659" s="10" t="str">
        <f aca="false">IF($B1659="","",IFERROR(INDEX(M_dept,MATCH($B1659,M_emp,0)),""))</f>
        <v/>
      </c>
      <c r="E1659" s="10" t="str">
        <f aca="false">IF($B1659="","",IFERROR(INDEX(M_loc,MATCH($B1659,M_emp,0)),""))</f>
        <v/>
      </c>
      <c r="F1659" s="33"/>
      <c r="G1659" s="33"/>
      <c r="H1659" s="33"/>
      <c r="I1659" s="33"/>
      <c r="J1659" s="33"/>
      <c r="K1659" s="33"/>
      <c r="L1659" s="33"/>
      <c r="M1659" s="33"/>
      <c r="N1659" s="33"/>
      <c r="O1659" s="33"/>
      <c r="P1659" s="33"/>
      <c r="Q1659" s="33"/>
      <c r="R1659" s="33"/>
      <c r="S1659" s="33"/>
      <c r="T1659" s="33"/>
      <c r="U1659" s="33"/>
      <c r="V1659" s="33"/>
      <c r="W1659" s="33"/>
      <c r="X1659" s="33"/>
      <c r="Y1659" s="33"/>
      <c r="Z1659" s="33"/>
      <c r="AA1659" s="33"/>
      <c r="AB1659" s="33"/>
      <c r="AC1659" s="33"/>
      <c r="AD1659" s="33"/>
      <c r="AE1659" s="33"/>
      <c r="AF1659" s="33"/>
      <c r="AG1659" s="33"/>
      <c r="AH1659" s="33"/>
      <c r="AI1659" s="33"/>
      <c r="AJ1659" s="33"/>
      <c r="AK1659" s="34" t="str">
        <f aca="false">IF($B1659="","",COUNTIF($F1659:$AJ1659,"P"))</f>
        <v/>
      </c>
      <c r="AL1659" s="34" t="str">
        <f aca="false">IF($B1659="","",COUNTIF($F1659:$AJ1659,"A"))</f>
        <v/>
      </c>
      <c r="AM1659" s="34" t="str">
        <f aca="false">IF($B1659="","",COUNTIF($F1659:$AJ1659,"HA"))</f>
        <v/>
      </c>
      <c r="AN1659" s="34" t="str">
        <f aca="false">IF($B1659="","",COUNTIF($F1659:$AJ1659,"L"))</f>
        <v/>
      </c>
      <c r="AO1659" s="34" t="str">
        <f aca="false">IF($B1659="","",COUNTIF($F1659:$AJ1659,"PL"))</f>
        <v/>
      </c>
      <c r="AP1659" s="34" t="str">
        <f aca="false">IF($B1659="","",COUNTIF($F1659:$AJ1659,"CL"))</f>
        <v/>
      </c>
      <c r="AQ1659" s="34" t="str">
        <f aca="false">IF($B1659="","",COUNTIF($F1659:$AJ1659,"SL"))</f>
        <v/>
      </c>
      <c r="AR1659" s="34" t="str">
        <f aca="false">IF($B1659="","",COUNTIF($F1659:$AJ1659,"CO"))</f>
        <v/>
      </c>
      <c r="AS1659" s="34" t="str">
        <f aca="false">IF($B1659="","",COUNTIF($F1659:$AJ1659,"HPL"))</f>
        <v/>
      </c>
      <c r="AT1659" s="34" t="str">
        <f aca="false">IF($B1659="","",COUNTIF($F1659:$AJ1659,"HCL"))</f>
        <v/>
      </c>
      <c r="AU1659" s="34" t="str">
        <f aca="false">IF($B1659="","",COUNTIF($F1659:$AJ1659,"WO"))</f>
        <v/>
      </c>
      <c r="AV1659" s="34" t="str">
        <f aca="false">IF($B1659="","",COUNTIF($F1659:$AJ1659,"PH"))</f>
        <v/>
      </c>
      <c r="AW1659" s="34" t="str">
        <f aca="false">IF($B1659="","",COUNTIF($F1659:$AJ1659,"TR"))</f>
        <v/>
      </c>
      <c r="AX1659" s="35" t="str">
        <f aca="false">IF($B1659="","",AO1659+AS1659/2)</f>
        <v/>
      </c>
      <c r="AY1659" s="35" t="str">
        <f aca="false">IF($B1659="","",AQ1659)</f>
        <v/>
      </c>
      <c r="AZ1659" s="35" t="str">
        <f aca="false">IF($B1659="","",AP1659+AT1659/2)</f>
        <v/>
      </c>
      <c r="BA1659" s="35" t="str">
        <f aca="false">IF($B1659="","",AK1659+AN1659+AM1659/2+AO1659+AP1659+AQ1659+AR1659+AS1659+AT1659+AU1659+AV1659+AW1659)</f>
        <v/>
      </c>
      <c r="BB1659" s="35" t="str">
        <f aca="false">IF($B1659="","",MAX(0,AN1659-Settings!$C$16)*Settings!$C$17)</f>
        <v/>
      </c>
      <c r="BC1659" s="35" t="str">
        <f aca="false">IF($B1659="","",BA1659-BB1659)</f>
        <v/>
      </c>
      <c r="BD1659" s="35" t="str">
        <f aca="false">IF(OR($B1659="",$A1659=""),"",DAY(EOMONTH($A1659,0))-COUNTA($F1659:$AJ1659))</f>
        <v/>
      </c>
    </row>
    <row r="1660" customFormat="false" ht="15" hidden="false" customHeight="false" outlineLevel="0" collapsed="false">
      <c r="A1660" s="32"/>
      <c r="B1660" s="29"/>
      <c r="C1660" s="10" t="str">
        <f aca="false">IF($B1660="","",IFERROR(INDEX(M_name,MATCH($B1660,M_emp,0)),"Code not found"))</f>
        <v/>
      </c>
      <c r="D1660" s="10" t="str">
        <f aca="false">IF($B1660="","",IFERROR(INDEX(M_dept,MATCH($B1660,M_emp,0)),""))</f>
        <v/>
      </c>
      <c r="E1660" s="10" t="str">
        <f aca="false">IF($B1660="","",IFERROR(INDEX(M_loc,MATCH($B1660,M_emp,0)),""))</f>
        <v/>
      </c>
      <c r="F1660" s="33"/>
      <c r="G1660" s="33"/>
      <c r="H1660" s="33"/>
      <c r="I1660" s="33"/>
      <c r="J1660" s="33"/>
      <c r="K1660" s="33"/>
      <c r="L1660" s="33"/>
      <c r="M1660" s="33"/>
      <c r="N1660" s="33"/>
      <c r="O1660" s="33"/>
      <c r="P1660" s="33"/>
      <c r="Q1660" s="33"/>
      <c r="R1660" s="33"/>
      <c r="S1660" s="33"/>
      <c r="T1660" s="33"/>
      <c r="U1660" s="33"/>
      <c r="V1660" s="33"/>
      <c r="W1660" s="33"/>
      <c r="X1660" s="33"/>
      <c r="Y1660" s="33"/>
      <c r="Z1660" s="33"/>
      <c r="AA1660" s="33"/>
      <c r="AB1660" s="33"/>
      <c r="AC1660" s="33"/>
      <c r="AD1660" s="33"/>
      <c r="AE1660" s="33"/>
      <c r="AF1660" s="33"/>
      <c r="AG1660" s="33"/>
      <c r="AH1660" s="33"/>
      <c r="AI1660" s="33"/>
      <c r="AJ1660" s="33"/>
      <c r="AK1660" s="34" t="str">
        <f aca="false">IF($B1660="","",COUNTIF($F1660:$AJ1660,"P"))</f>
        <v/>
      </c>
      <c r="AL1660" s="34" t="str">
        <f aca="false">IF($B1660="","",COUNTIF($F1660:$AJ1660,"A"))</f>
        <v/>
      </c>
      <c r="AM1660" s="34" t="str">
        <f aca="false">IF($B1660="","",COUNTIF($F1660:$AJ1660,"HA"))</f>
        <v/>
      </c>
      <c r="AN1660" s="34" t="str">
        <f aca="false">IF($B1660="","",COUNTIF($F1660:$AJ1660,"L"))</f>
        <v/>
      </c>
      <c r="AO1660" s="34" t="str">
        <f aca="false">IF($B1660="","",COUNTIF($F1660:$AJ1660,"PL"))</f>
        <v/>
      </c>
      <c r="AP1660" s="34" t="str">
        <f aca="false">IF($B1660="","",COUNTIF($F1660:$AJ1660,"CL"))</f>
        <v/>
      </c>
      <c r="AQ1660" s="34" t="str">
        <f aca="false">IF($B1660="","",COUNTIF($F1660:$AJ1660,"SL"))</f>
        <v/>
      </c>
      <c r="AR1660" s="34" t="str">
        <f aca="false">IF($B1660="","",COUNTIF($F1660:$AJ1660,"CO"))</f>
        <v/>
      </c>
      <c r="AS1660" s="34" t="str">
        <f aca="false">IF($B1660="","",COUNTIF($F1660:$AJ1660,"HPL"))</f>
        <v/>
      </c>
      <c r="AT1660" s="34" t="str">
        <f aca="false">IF($B1660="","",COUNTIF($F1660:$AJ1660,"HCL"))</f>
        <v/>
      </c>
      <c r="AU1660" s="34" t="str">
        <f aca="false">IF($B1660="","",COUNTIF($F1660:$AJ1660,"WO"))</f>
        <v/>
      </c>
      <c r="AV1660" s="34" t="str">
        <f aca="false">IF($B1660="","",COUNTIF($F1660:$AJ1660,"PH"))</f>
        <v/>
      </c>
      <c r="AW1660" s="34" t="str">
        <f aca="false">IF($B1660="","",COUNTIF($F1660:$AJ1660,"TR"))</f>
        <v/>
      </c>
      <c r="AX1660" s="35" t="str">
        <f aca="false">IF($B1660="","",AO1660+AS1660/2)</f>
        <v/>
      </c>
      <c r="AY1660" s="35" t="str">
        <f aca="false">IF($B1660="","",AQ1660)</f>
        <v/>
      </c>
      <c r="AZ1660" s="35" t="str">
        <f aca="false">IF($B1660="","",AP1660+AT1660/2)</f>
        <v/>
      </c>
      <c r="BA1660" s="35" t="str">
        <f aca="false">IF($B1660="","",AK1660+AN1660+AM1660/2+AO1660+AP1660+AQ1660+AR1660+AS1660+AT1660+AU1660+AV1660+AW1660)</f>
        <v/>
      </c>
      <c r="BB1660" s="35" t="str">
        <f aca="false">IF($B1660="","",MAX(0,AN1660-Settings!$C$16)*Settings!$C$17)</f>
        <v/>
      </c>
      <c r="BC1660" s="35" t="str">
        <f aca="false">IF($B1660="","",BA1660-BB1660)</f>
        <v/>
      </c>
      <c r="BD1660" s="35" t="str">
        <f aca="false">IF(OR($B1660="",$A1660=""),"",DAY(EOMONTH($A1660,0))-COUNTA($F1660:$AJ1660))</f>
        <v/>
      </c>
    </row>
    <row r="1661" customFormat="false" ht="15" hidden="false" customHeight="false" outlineLevel="0" collapsed="false">
      <c r="A1661" s="32"/>
      <c r="B1661" s="29"/>
      <c r="C1661" s="10" t="str">
        <f aca="false">IF($B1661="","",IFERROR(INDEX(M_name,MATCH($B1661,M_emp,0)),"Code not found"))</f>
        <v/>
      </c>
      <c r="D1661" s="10" t="str">
        <f aca="false">IF($B1661="","",IFERROR(INDEX(M_dept,MATCH($B1661,M_emp,0)),""))</f>
        <v/>
      </c>
      <c r="E1661" s="10" t="str">
        <f aca="false">IF($B1661="","",IFERROR(INDEX(M_loc,MATCH($B1661,M_emp,0)),""))</f>
        <v/>
      </c>
      <c r="F1661" s="33"/>
      <c r="G1661" s="33"/>
      <c r="H1661" s="33"/>
      <c r="I1661" s="33"/>
      <c r="J1661" s="33"/>
      <c r="K1661" s="33"/>
      <c r="L1661" s="33"/>
      <c r="M1661" s="33"/>
      <c r="N1661" s="33"/>
      <c r="O1661" s="33"/>
      <c r="P1661" s="33"/>
      <c r="Q1661" s="33"/>
      <c r="R1661" s="33"/>
      <c r="S1661" s="33"/>
      <c r="T1661" s="33"/>
      <c r="U1661" s="33"/>
      <c r="V1661" s="33"/>
      <c r="W1661" s="33"/>
      <c r="X1661" s="33"/>
      <c r="Y1661" s="33"/>
      <c r="Z1661" s="33"/>
      <c r="AA1661" s="33"/>
      <c r="AB1661" s="33"/>
      <c r="AC1661" s="33"/>
      <c r="AD1661" s="33"/>
      <c r="AE1661" s="33"/>
      <c r="AF1661" s="33"/>
      <c r="AG1661" s="33"/>
      <c r="AH1661" s="33"/>
      <c r="AI1661" s="33"/>
      <c r="AJ1661" s="33"/>
      <c r="AK1661" s="34" t="str">
        <f aca="false">IF($B1661="","",COUNTIF($F1661:$AJ1661,"P"))</f>
        <v/>
      </c>
      <c r="AL1661" s="34" t="str">
        <f aca="false">IF($B1661="","",COUNTIF($F1661:$AJ1661,"A"))</f>
        <v/>
      </c>
      <c r="AM1661" s="34" t="str">
        <f aca="false">IF($B1661="","",COUNTIF($F1661:$AJ1661,"HA"))</f>
        <v/>
      </c>
      <c r="AN1661" s="34" t="str">
        <f aca="false">IF($B1661="","",COUNTIF($F1661:$AJ1661,"L"))</f>
        <v/>
      </c>
      <c r="AO1661" s="34" t="str">
        <f aca="false">IF($B1661="","",COUNTIF($F1661:$AJ1661,"PL"))</f>
        <v/>
      </c>
      <c r="AP1661" s="34" t="str">
        <f aca="false">IF($B1661="","",COUNTIF($F1661:$AJ1661,"CL"))</f>
        <v/>
      </c>
      <c r="AQ1661" s="34" t="str">
        <f aca="false">IF($B1661="","",COUNTIF($F1661:$AJ1661,"SL"))</f>
        <v/>
      </c>
      <c r="AR1661" s="34" t="str">
        <f aca="false">IF($B1661="","",COUNTIF($F1661:$AJ1661,"CO"))</f>
        <v/>
      </c>
      <c r="AS1661" s="34" t="str">
        <f aca="false">IF($B1661="","",COUNTIF($F1661:$AJ1661,"HPL"))</f>
        <v/>
      </c>
      <c r="AT1661" s="34" t="str">
        <f aca="false">IF($B1661="","",COUNTIF($F1661:$AJ1661,"HCL"))</f>
        <v/>
      </c>
      <c r="AU1661" s="34" t="str">
        <f aca="false">IF($B1661="","",COUNTIF($F1661:$AJ1661,"WO"))</f>
        <v/>
      </c>
      <c r="AV1661" s="34" t="str">
        <f aca="false">IF($B1661="","",COUNTIF($F1661:$AJ1661,"PH"))</f>
        <v/>
      </c>
      <c r="AW1661" s="34" t="str">
        <f aca="false">IF($B1661="","",COUNTIF($F1661:$AJ1661,"TR"))</f>
        <v/>
      </c>
      <c r="AX1661" s="35" t="str">
        <f aca="false">IF($B1661="","",AO1661+AS1661/2)</f>
        <v/>
      </c>
      <c r="AY1661" s="35" t="str">
        <f aca="false">IF($B1661="","",AQ1661)</f>
        <v/>
      </c>
      <c r="AZ1661" s="35" t="str">
        <f aca="false">IF($B1661="","",AP1661+AT1661/2)</f>
        <v/>
      </c>
      <c r="BA1661" s="35" t="str">
        <f aca="false">IF($B1661="","",AK1661+AN1661+AM1661/2+AO1661+AP1661+AQ1661+AR1661+AS1661+AT1661+AU1661+AV1661+AW1661)</f>
        <v/>
      </c>
      <c r="BB1661" s="35" t="str">
        <f aca="false">IF($B1661="","",MAX(0,AN1661-Settings!$C$16)*Settings!$C$17)</f>
        <v/>
      </c>
      <c r="BC1661" s="35" t="str">
        <f aca="false">IF($B1661="","",BA1661-BB1661)</f>
        <v/>
      </c>
      <c r="BD1661" s="35" t="str">
        <f aca="false">IF(OR($B1661="",$A1661=""),"",DAY(EOMONTH($A1661,0))-COUNTA($F1661:$AJ1661))</f>
        <v/>
      </c>
    </row>
    <row r="1662" customFormat="false" ht="15" hidden="false" customHeight="false" outlineLevel="0" collapsed="false">
      <c r="A1662" s="32"/>
      <c r="B1662" s="29"/>
      <c r="C1662" s="10" t="str">
        <f aca="false">IF($B1662="","",IFERROR(INDEX(M_name,MATCH($B1662,M_emp,0)),"Code not found"))</f>
        <v/>
      </c>
      <c r="D1662" s="10" t="str">
        <f aca="false">IF($B1662="","",IFERROR(INDEX(M_dept,MATCH($B1662,M_emp,0)),""))</f>
        <v/>
      </c>
      <c r="E1662" s="10" t="str">
        <f aca="false">IF($B1662="","",IFERROR(INDEX(M_loc,MATCH($B1662,M_emp,0)),""))</f>
        <v/>
      </c>
      <c r="F1662" s="33"/>
      <c r="G1662" s="33"/>
      <c r="H1662" s="33"/>
      <c r="I1662" s="33"/>
      <c r="J1662" s="33"/>
      <c r="K1662" s="33"/>
      <c r="L1662" s="33"/>
      <c r="M1662" s="33"/>
      <c r="N1662" s="33"/>
      <c r="O1662" s="33"/>
      <c r="P1662" s="33"/>
      <c r="Q1662" s="33"/>
      <c r="R1662" s="33"/>
      <c r="S1662" s="33"/>
      <c r="T1662" s="33"/>
      <c r="U1662" s="33"/>
      <c r="V1662" s="33"/>
      <c r="W1662" s="33"/>
      <c r="X1662" s="33"/>
      <c r="Y1662" s="33"/>
      <c r="Z1662" s="33"/>
      <c r="AA1662" s="33"/>
      <c r="AB1662" s="33"/>
      <c r="AC1662" s="33"/>
      <c r="AD1662" s="33"/>
      <c r="AE1662" s="33"/>
      <c r="AF1662" s="33"/>
      <c r="AG1662" s="33"/>
      <c r="AH1662" s="33"/>
      <c r="AI1662" s="33"/>
      <c r="AJ1662" s="33"/>
      <c r="AK1662" s="34" t="str">
        <f aca="false">IF($B1662="","",COUNTIF($F1662:$AJ1662,"P"))</f>
        <v/>
      </c>
      <c r="AL1662" s="34" t="str">
        <f aca="false">IF($B1662="","",COUNTIF($F1662:$AJ1662,"A"))</f>
        <v/>
      </c>
      <c r="AM1662" s="34" t="str">
        <f aca="false">IF($B1662="","",COUNTIF($F1662:$AJ1662,"HA"))</f>
        <v/>
      </c>
      <c r="AN1662" s="34" t="str">
        <f aca="false">IF($B1662="","",COUNTIF($F1662:$AJ1662,"L"))</f>
        <v/>
      </c>
      <c r="AO1662" s="34" t="str">
        <f aca="false">IF($B1662="","",COUNTIF($F1662:$AJ1662,"PL"))</f>
        <v/>
      </c>
      <c r="AP1662" s="34" t="str">
        <f aca="false">IF($B1662="","",COUNTIF($F1662:$AJ1662,"CL"))</f>
        <v/>
      </c>
      <c r="AQ1662" s="34" t="str">
        <f aca="false">IF($B1662="","",COUNTIF($F1662:$AJ1662,"SL"))</f>
        <v/>
      </c>
      <c r="AR1662" s="34" t="str">
        <f aca="false">IF($B1662="","",COUNTIF($F1662:$AJ1662,"CO"))</f>
        <v/>
      </c>
      <c r="AS1662" s="34" t="str">
        <f aca="false">IF($B1662="","",COUNTIF($F1662:$AJ1662,"HPL"))</f>
        <v/>
      </c>
      <c r="AT1662" s="34" t="str">
        <f aca="false">IF($B1662="","",COUNTIF($F1662:$AJ1662,"HCL"))</f>
        <v/>
      </c>
      <c r="AU1662" s="34" t="str">
        <f aca="false">IF($B1662="","",COUNTIF($F1662:$AJ1662,"WO"))</f>
        <v/>
      </c>
      <c r="AV1662" s="34" t="str">
        <f aca="false">IF($B1662="","",COUNTIF($F1662:$AJ1662,"PH"))</f>
        <v/>
      </c>
      <c r="AW1662" s="34" t="str">
        <f aca="false">IF($B1662="","",COUNTIF($F1662:$AJ1662,"TR"))</f>
        <v/>
      </c>
      <c r="AX1662" s="35" t="str">
        <f aca="false">IF($B1662="","",AO1662+AS1662/2)</f>
        <v/>
      </c>
      <c r="AY1662" s="35" t="str">
        <f aca="false">IF($B1662="","",AQ1662)</f>
        <v/>
      </c>
      <c r="AZ1662" s="35" t="str">
        <f aca="false">IF($B1662="","",AP1662+AT1662/2)</f>
        <v/>
      </c>
      <c r="BA1662" s="35" t="str">
        <f aca="false">IF($B1662="","",AK1662+AN1662+AM1662/2+AO1662+AP1662+AQ1662+AR1662+AS1662+AT1662+AU1662+AV1662+AW1662)</f>
        <v/>
      </c>
      <c r="BB1662" s="35" t="str">
        <f aca="false">IF($B1662="","",MAX(0,AN1662-Settings!$C$16)*Settings!$C$17)</f>
        <v/>
      </c>
      <c r="BC1662" s="35" t="str">
        <f aca="false">IF($B1662="","",BA1662-BB1662)</f>
        <v/>
      </c>
      <c r="BD1662" s="35" t="str">
        <f aca="false">IF(OR($B1662="",$A1662=""),"",DAY(EOMONTH($A1662,0))-COUNTA($F1662:$AJ1662))</f>
        <v/>
      </c>
    </row>
    <row r="1663" customFormat="false" ht="15" hidden="false" customHeight="false" outlineLevel="0" collapsed="false">
      <c r="A1663" s="32"/>
      <c r="B1663" s="29"/>
      <c r="C1663" s="10" t="str">
        <f aca="false">IF($B1663="","",IFERROR(INDEX(M_name,MATCH($B1663,M_emp,0)),"Code not found"))</f>
        <v/>
      </c>
      <c r="D1663" s="10" t="str">
        <f aca="false">IF($B1663="","",IFERROR(INDEX(M_dept,MATCH($B1663,M_emp,0)),""))</f>
        <v/>
      </c>
      <c r="E1663" s="10" t="str">
        <f aca="false">IF($B1663="","",IFERROR(INDEX(M_loc,MATCH($B1663,M_emp,0)),""))</f>
        <v/>
      </c>
      <c r="F1663" s="33"/>
      <c r="G1663" s="33"/>
      <c r="H1663" s="33"/>
      <c r="I1663" s="33"/>
      <c r="J1663" s="33"/>
      <c r="K1663" s="33"/>
      <c r="L1663" s="33"/>
      <c r="M1663" s="33"/>
      <c r="N1663" s="33"/>
      <c r="O1663" s="33"/>
      <c r="P1663" s="33"/>
      <c r="Q1663" s="33"/>
      <c r="R1663" s="33"/>
      <c r="S1663" s="33"/>
      <c r="T1663" s="33"/>
      <c r="U1663" s="33"/>
      <c r="V1663" s="33"/>
      <c r="W1663" s="33"/>
      <c r="X1663" s="33"/>
      <c r="Y1663" s="33"/>
      <c r="Z1663" s="33"/>
      <c r="AA1663" s="33"/>
      <c r="AB1663" s="33"/>
      <c r="AC1663" s="33"/>
      <c r="AD1663" s="33"/>
      <c r="AE1663" s="33"/>
      <c r="AF1663" s="33"/>
      <c r="AG1663" s="33"/>
      <c r="AH1663" s="33"/>
      <c r="AI1663" s="33"/>
      <c r="AJ1663" s="33"/>
      <c r="AK1663" s="34" t="str">
        <f aca="false">IF($B1663="","",COUNTIF($F1663:$AJ1663,"P"))</f>
        <v/>
      </c>
      <c r="AL1663" s="34" t="str">
        <f aca="false">IF($B1663="","",COUNTIF($F1663:$AJ1663,"A"))</f>
        <v/>
      </c>
      <c r="AM1663" s="34" t="str">
        <f aca="false">IF($B1663="","",COUNTIF($F1663:$AJ1663,"HA"))</f>
        <v/>
      </c>
      <c r="AN1663" s="34" t="str">
        <f aca="false">IF($B1663="","",COUNTIF($F1663:$AJ1663,"L"))</f>
        <v/>
      </c>
      <c r="AO1663" s="34" t="str">
        <f aca="false">IF($B1663="","",COUNTIF($F1663:$AJ1663,"PL"))</f>
        <v/>
      </c>
      <c r="AP1663" s="34" t="str">
        <f aca="false">IF($B1663="","",COUNTIF($F1663:$AJ1663,"CL"))</f>
        <v/>
      </c>
      <c r="AQ1663" s="34" t="str">
        <f aca="false">IF($B1663="","",COUNTIF($F1663:$AJ1663,"SL"))</f>
        <v/>
      </c>
      <c r="AR1663" s="34" t="str">
        <f aca="false">IF($B1663="","",COUNTIF($F1663:$AJ1663,"CO"))</f>
        <v/>
      </c>
      <c r="AS1663" s="34" t="str">
        <f aca="false">IF($B1663="","",COUNTIF($F1663:$AJ1663,"HPL"))</f>
        <v/>
      </c>
      <c r="AT1663" s="34" t="str">
        <f aca="false">IF($B1663="","",COUNTIF($F1663:$AJ1663,"HCL"))</f>
        <v/>
      </c>
      <c r="AU1663" s="34" t="str">
        <f aca="false">IF($B1663="","",COUNTIF($F1663:$AJ1663,"WO"))</f>
        <v/>
      </c>
      <c r="AV1663" s="34" t="str">
        <f aca="false">IF($B1663="","",COUNTIF($F1663:$AJ1663,"PH"))</f>
        <v/>
      </c>
      <c r="AW1663" s="34" t="str">
        <f aca="false">IF($B1663="","",COUNTIF($F1663:$AJ1663,"TR"))</f>
        <v/>
      </c>
      <c r="AX1663" s="35" t="str">
        <f aca="false">IF($B1663="","",AO1663+AS1663/2)</f>
        <v/>
      </c>
      <c r="AY1663" s="35" t="str">
        <f aca="false">IF($B1663="","",AQ1663)</f>
        <v/>
      </c>
      <c r="AZ1663" s="35" t="str">
        <f aca="false">IF($B1663="","",AP1663+AT1663/2)</f>
        <v/>
      </c>
      <c r="BA1663" s="35" t="str">
        <f aca="false">IF($B1663="","",AK1663+AN1663+AM1663/2+AO1663+AP1663+AQ1663+AR1663+AS1663+AT1663+AU1663+AV1663+AW1663)</f>
        <v/>
      </c>
      <c r="BB1663" s="35" t="str">
        <f aca="false">IF($B1663="","",MAX(0,AN1663-Settings!$C$16)*Settings!$C$17)</f>
        <v/>
      </c>
      <c r="BC1663" s="35" t="str">
        <f aca="false">IF($B1663="","",BA1663-BB1663)</f>
        <v/>
      </c>
      <c r="BD1663" s="35" t="str">
        <f aca="false">IF(OR($B1663="",$A1663=""),"",DAY(EOMONTH($A1663,0))-COUNTA($F1663:$AJ1663))</f>
        <v/>
      </c>
    </row>
    <row r="1664" customFormat="false" ht="15" hidden="false" customHeight="false" outlineLevel="0" collapsed="false">
      <c r="A1664" s="32"/>
      <c r="B1664" s="29"/>
      <c r="C1664" s="10" t="str">
        <f aca="false">IF($B1664="","",IFERROR(INDEX(M_name,MATCH($B1664,M_emp,0)),"Code not found"))</f>
        <v/>
      </c>
      <c r="D1664" s="10" t="str">
        <f aca="false">IF($B1664="","",IFERROR(INDEX(M_dept,MATCH($B1664,M_emp,0)),""))</f>
        <v/>
      </c>
      <c r="E1664" s="10" t="str">
        <f aca="false">IF($B1664="","",IFERROR(INDEX(M_loc,MATCH($B1664,M_emp,0)),""))</f>
        <v/>
      </c>
      <c r="F1664" s="33"/>
      <c r="G1664" s="33"/>
      <c r="H1664" s="33"/>
      <c r="I1664" s="33"/>
      <c r="J1664" s="33"/>
      <c r="K1664" s="33"/>
      <c r="L1664" s="33"/>
      <c r="M1664" s="33"/>
      <c r="N1664" s="33"/>
      <c r="O1664" s="33"/>
      <c r="P1664" s="33"/>
      <c r="Q1664" s="33"/>
      <c r="R1664" s="33"/>
      <c r="S1664" s="33"/>
      <c r="T1664" s="33"/>
      <c r="U1664" s="33"/>
      <c r="V1664" s="33"/>
      <c r="W1664" s="33"/>
      <c r="X1664" s="33"/>
      <c r="Y1664" s="33"/>
      <c r="Z1664" s="33"/>
      <c r="AA1664" s="33"/>
      <c r="AB1664" s="33"/>
      <c r="AC1664" s="33"/>
      <c r="AD1664" s="33"/>
      <c r="AE1664" s="33"/>
      <c r="AF1664" s="33"/>
      <c r="AG1664" s="33"/>
      <c r="AH1664" s="33"/>
      <c r="AI1664" s="33"/>
      <c r="AJ1664" s="33"/>
      <c r="AK1664" s="34" t="str">
        <f aca="false">IF($B1664="","",COUNTIF($F1664:$AJ1664,"P"))</f>
        <v/>
      </c>
      <c r="AL1664" s="34" t="str">
        <f aca="false">IF($B1664="","",COUNTIF($F1664:$AJ1664,"A"))</f>
        <v/>
      </c>
      <c r="AM1664" s="34" t="str">
        <f aca="false">IF($B1664="","",COUNTIF($F1664:$AJ1664,"HA"))</f>
        <v/>
      </c>
      <c r="AN1664" s="34" t="str">
        <f aca="false">IF($B1664="","",COUNTIF($F1664:$AJ1664,"L"))</f>
        <v/>
      </c>
      <c r="AO1664" s="34" t="str">
        <f aca="false">IF($B1664="","",COUNTIF($F1664:$AJ1664,"PL"))</f>
        <v/>
      </c>
      <c r="AP1664" s="34" t="str">
        <f aca="false">IF($B1664="","",COUNTIF($F1664:$AJ1664,"CL"))</f>
        <v/>
      </c>
      <c r="AQ1664" s="34" t="str">
        <f aca="false">IF($B1664="","",COUNTIF($F1664:$AJ1664,"SL"))</f>
        <v/>
      </c>
      <c r="AR1664" s="34" t="str">
        <f aca="false">IF($B1664="","",COUNTIF($F1664:$AJ1664,"CO"))</f>
        <v/>
      </c>
      <c r="AS1664" s="34" t="str">
        <f aca="false">IF($B1664="","",COUNTIF($F1664:$AJ1664,"HPL"))</f>
        <v/>
      </c>
      <c r="AT1664" s="34" t="str">
        <f aca="false">IF($B1664="","",COUNTIF($F1664:$AJ1664,"HCL"))</f>
        <v/>
      </c>
      <c r="AU1664" s="34" t="str">
        <f aca="false">IF($B1664="","",COUNTIF($F1664:$AJ1664,"WO"))</f>
        <v/>
      </c>
      <c r="AV1664" s="34" t="str">
        <f aca="false">IF($B1664="","",COUNTIF($F1664:$AJ1664,"PH"))</f>
        <v/>
      </c>
      <c r="AW1664" s="34" t="str">
        <f aca="false">IF($B1664="","",COUNTIF($F1664:$AJ1664,"TR"))</f>
        <v/>
      </c>
      <c r="AX1664" s="35" t="str">
        <f aca="false">IF($B1664="","",AO1664+AS1664/2)</f>
        <v/>
      </c>
      <c r="AY1664" s="35" t="str">
        <f aca="false">IF($B1664="","",AQ1664)</f>
        <v/>
      </c>
      <c r="AZ1664" s="35" t="str">
        <f aca="false">IF($B1664="","",AP1664+AT1664/2)</f>
        <v/>
      </c>
      <c r="BA1664" s="35" t="str">
        <f aca="false">IF($B1664="","",AK1664+AN1664+AM1664/2+AO1664+AP1664+AQ1664+AR1664+AS1664+AT1664+AU1664+AV1664+AW1664)</f>
        <v/>
      </c>
      <c r="BB1664" s="35" t="str">
        <f aca="false">IF($B1664="","",MAX(0,AN1664-Settings!$C$16)*Settings!$C$17)</f>
        <v/>
      </c>
      <c r="BC1664" s="35" t="str">
        <f aca="false">IF($B1664="","",BA1664-BB1664)</f>
        <v/>
      </c>
      <c r="BD1664" s="35" t="str">
        <f aca="false">IF(OR($B1664="",$A1664=""),"",DAY(EOMONTH($A1664,0))-COUNTA($F1664:$AJ1664))</f>
        <v/>
      </c>
    </row>
    <row r="1665" customFormat="false" ht="15" hidden="false" customHeight="false" outlineLevel="0" collapsed="false">
      <c r="A1665" s="32"/>
      <c r="B1665" s="29"/>
      <c r="C1665" s="10" t="str">
        <f aca="false">IF($B1665="","",IFERROR(INDEX(M_name,MATCH($B1665,M_emp,0)),"Code not found"))</f>
        <v/>
      </c>
      <c r="D1665" s="10" t="str">
        <f aca="false">IF($B1665="","",IFERROR(INDEX(M_dept,MATCH($B1665,M_emp,0)),""))</f>
        <v/>
      </c>
      <c r="E1665" s="10" t="str">
        <f aca="false">IF($B1665="","",IFERROR(INDEX(M_loc,MATCH($B1665,M_emp,0)),""))</f>
        <v/>
      </c>
      <c r="F1665" s="33"/>
      <c r="G1665" s="33"/>
      <c r="H1665" s="33"/>
      <c r="I1665" s="33"/>
      <c r="J1665" s="33"/>
      <c r="K1665" s="33"/>
      <c r="L1665" s="33"/>
      <c r="M1665" s="33"/>
      <c r="N1665" s="33"/>
      <c r="O1665" s="33"/>
      <c r="P1665" s="33"/>
      <c r="Q1665" s="33"/>
      <c r="R1665" s="33"/>
      <c r="S1665" s="33"/>
      <c r="T1665" s="33"/>
      <c r="U1665" s="33"/>
      <c r="V1665" s="33"/>
      <c r="W1665" s="33"/>
      <c r="X1665" s="33"/>
      <c r="Y1665" s="33"/>
      <c r="Z1665" s="33"/>
      <c r="AA1665" s="33"/>
      <c r="AB1665" s="33"/>
      <c r="AC1665" s="33"/>
      <c r="AD1665" s="33"/>
      <c r="AE1665" s="33"/>
      <c r="AF1665" s="33"/>
      <c r="AG1665" s="33"/>
      <c r="AH1665" s="33"/>
      <c r="AI1665" s="33"/>
      <c r="AJ1665" s="33"/>
      <c r="AK1665" s="34" t="str">
        <f aca="false">IF($B1665="","",COUNTIF($F1665:$AJ1665,"P"))</f>
        <v/>
      </c>
      <c r="AL1665" s="34" t="str">
        <f aca="false">IF($B1665="","",COUNTIF($F1665:$AJ1665,"A"))</f>
        <v/>
      </c>
      <c r="AM1665" s="34" t="str">
        <f aca="false">IF($B1665="","",COUNTIF($F1665:$AJ1665,"HA"))</f>
        <v/>
      </c>
      <c r="AN1665" s="34" t="str">
        <f aca="false">IF($B1665="","",COUNTIF($F1665:$AJ1665,"L"))</f>
        <v/>
      </c>
      <c r="AO1665" s="34" t="str">
        <f aca="false">IF($B1665="","",COUNTIF($F1665:$AJ1665,"PL"))</f>
        <v/>
      </c>
      <c r="AP1665" s="34" t="str">
        <f aca="false">IF($B1665="","",COUNTIF($F1665:$AJ1665,"CL"))</f>
        <v/>
      </c>
      <c r="AQ1665" s="34" t="str">
        <f aca="false">IF($B1665="","",COUNTIF($F1665:$AJ1665,"SL"))</f>
        <v/>
      </c>
      <c r="AR1665" s="34" t="str">
        <f aca="false">IF($B1665="","",COUNTIF($F1665:$AJ1665,"CO"))</f>
        <v/>
      </c>
      <c r="AS1665" s="34" t="str">
        <f aca="false">IF($B1665="","",COUNTIF($F1665:$AJ1665,"HPL"))</f>
        <v/>
      </c>
      <c r="AT1665" s="34" t="str">
        <f aca="false">IF($B1665="","",COUNTIF($F1665:$AJ1665,"HCL"))</f>
        <v/>
      </c>
      <c r="AU1665" s="34" t="str">
        <f aca="false">IF($B1665="","",COUNTIF($F1665:$AJ1665,"WO"))</f>
        <v/>
      </c>
      <c r="AV1665" s="34" t="str">
        <f aca="false">IF($B1665="","",COUNTIF($F1665:$AJ1665,"PH"))</f>
        <v/>
      </c>
      <c r="AW1665" s="34" t="str">
        <f aca="false">IF($B1665="","",COUNTIF($F1665:$AJ1665,"TR"))</f>
        <v/>
      </c>
      <c r="AX1665" s="35" t="str">
        <f aca="false">IF($B1665="","",AO1665+AS1665/2)</f>
        <v/>
      </c>
      <c r="AY1665" s="35" t="str">
        <f aca="false">IF($B1665="","",AQ1665)</f>
        <v/>
      </c>
      <c r="AZ1665" s="35" t="str">
        <f aca="false">IF($B1665="","",AP1665+AT1665/2)</f>
        <v/>
      </c>
      <c r="BA1665" s="35" t="str">
        <f aca="false">IF($B1665="","",AK1665+AN1665+AM1665/2+AO1665+AP1665+AQ1665+AR1665+AS1665+AT1665+AU1665+AV1665+AW1665)</f>
        <v/>
      </c>
      <c r="BB1665" s="35" t="str">
        <f aca="false">IF($B1665="","",MAX(0,AN1665-Settings!$C$16)*Settings!$C$17)</f>
        <v/>
      </c>
      <c r="BC1665" s="35" t="str">
        <f aca="false">IF($B1665="","",BA1665-BB1665)</f>
        <v/>
      </c>
      <c r="BD1665" s="35" t="str">
        <f aca="false">IF(OR($B1665="",$A1665=""),"",DAY(EOMONTH($A1665,0))-COUNTA($F1665:$AJ1665))</f>
        <v/>
      </c>
    </row>
    <row r="1666" customFormat="false" ht="15" hidden="false" customHeight="false" outlineLevel="0" collapsed="false">
      <c r="A1666" s="32"/>
      <c r="B1666" s="29"/>
      <c r="C1666" s="10" t="str">
        <f aca="false">IF($B1666="","",IFERROR(INDEX(M_name,MATCH($B1666,M_emp,0)),"Code not found"))</f>
        <v/>
      </c>
      <c r="D1666" s="10" t="str">
        <f aca="false">IF($B1666="","",IFERROR(INDEX(M_dept,MATCH($B1666,M_emp,0)),""))</f>
        <v/>
      </c>
      <c r="E1666" s="10" t="str">
        <f aca="false">IF($B1666="","",IFERROR(INDEX(M_loc,MATCH($B1666,M_emp,0)),""))</f>
        <v/>
      </c>
      <c r="F1666" s="33"/>
      <c r="G1666" s="33"/>
      <c r="H1666" s="33"/>
      <c r="I1666" s="33"/>
      <c r="J1666" s="33"/>
      <c r="K1666" s="33"/>
      <c r="L1666" s="33"/>
      <c r="M1666" s="33"/>
      <c r="N1666" s="33"/>
      <c r="O1666" s="33"/>
      <c r="P1666" s="33"/>
      <c r="Q1666" s="33"/>
      <c r="R1666" s="33"/>
      <c r="S1666" s="33"/>
      <c r="T1666" s="33"/>
      <c r="U1666" s="33"/>
      <c r="V1666" s="33"/>
      <c r="W1666" s="33"/>
      <c r="X1666" s="33"/>
      <c r="Y1666" s="33"/>
      <c r="Z1666" s="33"/>
      <c r="AA1666" s="33"/>
      <c r="AB1666" s="33"/>
      <c r="AC1666" s="33"/>
      <c r="AD1666" s="33"/>
      <c r="AE1666" s="33"/>
      <c r="AF1666" s="33"/>
      <c r="AG1666" s="33"/>
      <c r="AH1666" s="33"/>
      <c r="AI1666" s="33"/>
      <c r="AJ1666" s="33"/>
      <c r="AK1666" s="34" t="str">
        <f aca="false">IF($B1666="","",COUNTIF($F1666:$AJ1666,"P"))</f>
        <v/>
      </c>
      <c r="AL1666" s="34" t="str">
        <f aca="false">IF($B1666="","",COUNTIF($F1666:$AJ1666,"A"))</f>
        <v/>
      </c>
      <c r="AM1666" s="34" t="str">
        <f aca="false">IF($B1666="","",COUNTIF($F1666:$AJ1666,"HA"))</f>
        <v/>
      </c>
      <c r="AN1666" s="34" t="str">
        <f aca="false">IF($B1666="","",COUNTIF($F1666:$AJ1666,"L"))</f>
        <v/>
      </c>
      <c r="AO1666" s="34" t="str">
        <f aca="false">IF($B1666="","",COUNTIF($F1666:$AJ1666,"PL"))</f>
        <v/>
      </c>
      <c r="AP1666" s="34" t="str">
        <f aca="false">IF($B1666="","",COUNTIF($F1666:$AJ1666,"CL"))</f>
        <v/>
      </c>
      <c r="AQ1666" s="34" t="str">
        <f aca="false">IF($B1666="","",COUNTIF($F1666:$AJ1666,"SL"))</f>
        <v/>
      </c>
      <c r="AR1666" s="34" t="str">
        <f aca="false">IF($B1666="","",COUNTIF($F1666:$AJ1666,"CO"))</f>
        <v/>
      </c>
      <c r="AS1666" s="34" t="str">
        <f aca="false">IF($B1666="","",COUNTIF($F1666:$AJ1666,"HPL"))</f>
        <v/>
      </c>
      <c r="AT1666" s="34" t="str">
        <f aca="false">IF($B1666="","",COUNTIF($F1666:$AJ1666,"HCL"))</f>
        <v/>
      </c>
      <c r="AU1666" s="34" t="str">
        <f aca="false">IF($B1666="","",COUNTIF($F1666:$AJ1666,"WO"))</f>
        <v/>
      </c>
      <c r="AV1666" s="34" t="str">
        <f aca="false">IF($B1666="","",COUNTIF($F1666:$AJ1666,"PH"))</f>
        <v/>
      </c>
      <c r="AW1666" s="34" t="str">
        <f aca="false">IF($B1666="","",COUNTIF($F1666:$AJ1666,"TR"))</f>
        <v/>
      </c>
      <c r="AX1666" s="35" t="str">
        <f aca="false">IF($B1666="","",AO1666+AS1666/2)</f>
        <v/>
      </c>
      <c r="AY1666" s="35" t="str">
        <f aca="false">IF($B1666="","",AQ1666)</f>
        <v/>
      </c>
      <c r="AZ1666" s="35" t="str">
        <f aca="false">IF($B1666="","",AP1666+AT1666/2)</f>
        <v/>
      </c>
      <c r="BA1666" s="35" t="str">
        <f aca="false">IF($B1666="","",AK1666+AN1666+AM1666/2+AO1666+AP1666+AQ1666+AR1666+AS1666+AT1666+AU1666+AV1666+AW1666)</f>
        <v/>
      </c>
      <c r="BB1666" s="35" t="str">
        <f aca="false">IF($B1666="","",MAX(0,AN1666-Settings!$C$16)*Settings!$C$17)</f>
        <v/>
      </c>
      <c r="BC1666" s="35" t="str">
        <f aca="false">IF($B1666="","",BA1666-BB1666)</f>
        <v/>
      </c>
      <c r="BD1666" s="35" t="str">
        <f aca="false">IF(OR($B1666="",$A1666=""),"",DAY(EOMONTH($A1666,0))-COUNTA($F1666:$AJ1666))</f>
        <v/>
      </c>
    </row>
    <row r="1667" customFormat="false" ht="15" hidden="false" customHeight="false" outlineLevel="0" collapsed="false">
      <c r="A1667" s="32"/>
      <c r="B1667" s="29"/>
      <c r="C1667" s="10" t="str">
        <f aca="false">IF($B1667="","",IFERROR(INDEX(M_name,MATCH($B1667,M_emp,0)),"Code not found"))</f>
        <v/>
      </c>
      <c r="D1667" s="10" t="str">
        <f aca="false">IF($B1667="","",IFERROR(INDEX(M_dept,MATCH($B1667,M_emp,0)),""))</f>
        <v/>
      </c>
      <c r="E1667" s="10" t="str">
        <f aca="false">IF($B1667="","",IFERROR(INDEX(M_loc,MATCH($B1667,M_emp,0)),""))</f>
        <v/>
      </c>
      <c r="F1667" s="33"/>
      <c r="G1667" s="33"/>
      <c r="H1667" s="33"/>
      <c r="I1667" s="33"/>
      <c r="J1667" s="33"/>
      <c r="K1667" s="33"/>
      <c r="L1667" s="33"/>
      <c r="M1667" s="33"/>
      <c r="N1667" s="33"/>
      <c r="O1667" s="33"/>
      <c r="P1667" s="33"/>
      <c r="Q1667" s="33"/>
      <c r="R1667" s="33"/>
      <c r="S1667" s="33"/>
      <c r="T1667" s="33"/>
      <c r="U1667" s="33"/>
      <c r="V1667" s="33"/>
      <c r="W1667" s="33"/>
      <c r="X1667" s="33"/>
      <c r="Y1667" s="33"/>
      <c r="Z1667" s="33"/>
      <c r="AA1667" s="33"/>
      <c r="AB1667" s="33"/>
      <c r="AC1667" s="33"/>
      <c r="AD1667" s="33"/>
      <c r="AE1667" s="33"/>
      <c r="AF1667" s="33"/>
      <c r="AG1667" s="33"/>
      <c r="AH1667" s="33"/>
      <c r="AI1667" s="33"/>
      <c r="AJ1667" s="33"/>
      <c r="AK1667" s="34" t="str">
        <f aca="false">IF($B1667="","",COUNTIF($F1667:$AJ1667,"P"))</f>
        <v/>
      </c>
      <c r="AL1667" s="34" t="str">
        <f aca="false">IF($B1667="","",COUNTIF($F1667:$AJ1667,"A"))</f>
        <v/>
      </c>
      <c r="AM1667" s="34" t="str">
        <f aca="false">IF($B1667="","",COUNTIF($F1667:$AJ1667,"HA"))</f>
        <v/>
      </c>
      <c r="AN1667" s="34" t="str">
        <f aca="false">IF($B1667="","",COUNTIF($F1667:$AJ1667,"L"))</f>
        <v/>
      </c>
      <c r="AO1667" s="34" t="str">
        <f aca="false">IF($B1667="","",COUNTIF($F1667:$AJ1667,"PL"))</f>
        <v/>
      </c>
      <c r="AP1667" s="34" t="str">
        <f aca="false">IF($B1667="","",COUNTIF($F1667:$AJ1667,"CL"))</f>
        <v/>
      </c>
      <c r="AQ1667" s="34" t="str">
        <f aca="false">IF($B1667="","",COUNTIF($F1667:$AJ1667,"SL"))</f>
        <v/>
      </c>
      <c r="AR1667" s="34" t="str">
        <f aca="false">IF($B1667="","",COUNTIF($F1667:$AJ1667,"CO"))</f>
        <v/>
      </c>
      <c r="AS1667" s="34" t="str">
        <f aca="false">IF($B1667="","",COUNTIF($F1667:$AJ1667,"HPL"))</f>
        <v/>
      </c>
      <c r="AT1667" s="34" t="str">
        <f aca="false">IF($B1667="","",COUNTIF($F1667:$AJ1667,"HCL"))</f>
        <v/>
      </c>
      <c r="AU1667" s="34" t="str">
        <f aca="false">IF($B1667="","",COUNTIF($F1667:$AJ1667,"WO"))</f>
        <v/>
      </c>
      <c r="AV1667" s="34" t="str">
        <f aca="false">IF($B1667="","",COUNTIF($F1667:$AJ1667,"PH"))</f>
        <v/>
      </c>
      <c r="AW1667" s="34" t="str">
        <f aca="false">IF($B1667="","",COUNTIF($F1667:$AJ1667,"TR"))</f>
        <v/>
      </c>
      <c r="AX1667" s="35" t="str">
        <f aca="false">IF($B1667="","",AO1667+AS1667/2)</f>
        <v/>
      </c>
      <c r="AY1667" s="35" t="str">
        <f aca="false">IF($B1667="","",AQ1667)</f>
        <v/>
      </c>
      <c r="AZ1667" s="35" t="str">
        <f aca="false">IF($B1667="","",AP1667+AT1667/2)</f>
        <v/>
      </c>
      <c r="BA1667" s="35" t="str">
        <f aca="false">IF($B1667="","",AK1667+AN1667+AM1667/2+AO1667+AP1667+AQ1667+AR1667+AS1667+AT1667+AU1667+AV1667+AW1667)</f>
        <v/>
      </c>
      <c r="BB1667" s="35" t="str">
        <f aca="false">IF($B1667="","",MAX(0,AN1667-Settings!$C$16)*Settings!$C$17)</f>
        <v/>
      </c>
      <c r="BC1667" s="35" t="str">
        <f aca="false">IF($B1667="","",BA1667-BB1667)</f>
        <v/>
      </c>
      <c r="BD1667" s="35" t="str">
        <f aca="false">IF(OR($B1667="",$A1667=""),"",DAY(EOMONTH($A1667,0))-COUNTA($F1667:$AJ1667))</f>
        <v/>
      </c>
    </row>
    <row r="1668" customFormat="false" ht="15" hidden="false" customHeight="false" outlineLevel="0" collapsed="false">
      <c r="A1668" s="32"/>
      <c r="B1668" s="29"/>
      <c r="C1668" s="10" t="str">
        <f aca="false">IF($B1668="","",IFERROR(INDEX(M_name,MATCH($B1668,M_emp,0)),"Code not found"))</f>
        <v/>
      </c>
      <c r="D1668" s="10" t="str">
        <f aca="false">IF($B1668="","",IFERROR(INDEX(M_dept,MATCH($B1668,M_emp,0)),""))</f>
        <v/>
      </c>
      <c r="E1668" s="10" t="str">
        <f aca="false">IF($B1668="","",IFERROR(INDEX(M_loc,MATCH($B1668,M_emp,0)),""))</f>
        <v/>
      </c>
      <c r="F1668" s="33"/>
      <c r="G1668" s="33"/>
      <c r="H1668" s="33"/>
      <c r="I1668" s="33"/>
      <c r="J1668" s="33"/>
      <c r="K1668" s="33"/>
      <c r="L1668" s="33"/>
      <c r="M1668" s="33"/>
      <c r="N1668" s="33"/>
      <c r="O1668" s="33"/>
      <c r="P1668" s="33"/>
      <c r="Q1668" s="33"/>
      <c r="R1668" s="33"/>
      <c r="S1668" s="33"/>
      <c r="T1668" s="33"/>
      <c r="U1668" s="33"/>
      <c r="V1668" s="33"/>
      <c r="W1668" s="33"/>
      <c r="X1668" s="33"/>
      <c r="Y1668" s="33"/>
      <c r="Z1668" s="33"/>
      <c r="AA1668" s="33"/>
      <c r="AB1668" s="33"/>
      <c r="AC1668" s="33"/>
      <c r="AD1668" s="33"/>
      <c r="AE1668" s="33"/>
      <c r="AF1668" s="33"/>
      <c r="AG1668" s="33"/>
      <c r="AH1668" s="33"/>
      <c r="AI1668" s="33"/>
      <c r="AJ1668" s="33"/>
      <c r="AK1668" s="34" t="str">
        <f aca="false">IF($B1668="","",COUNTIF($F1668:$AJ1668,"P"))</f>
        <v/>
      </c>
      <c r="AL1668" s="34" t="str">
        <f aca="false">IF($B1668="","",COUNTIF($F1668:$AJ1668,"A"))</f>
        <v/>
      </c>
      <c r="AM1668" s="34" t="str">
        <f aca="false">IF($B1668="","",COUNTIF($F1668:$AJ1668,"HA"))</f>
        <v/>
      </c>
      <c r="AN1668" s="34" t="str">
        <f aca="false">IF($B1668="","",COUNTIF($F1668:$AJ1668,"L"))</f>
        <v/>
      </c>
      <c r="AO1668" s="34" t="str">
        <f aca="false">IF($B1668="","",COUNTIF($F1668:$AJ1668,"PL"))</f>
        <v/>
      </c>
      <c r="AP1668" s="34" t="str">
        <f aca="false">IF($B1668="","",COUNTIF($F1668:$AJ1668,"CL"))</f>
        <v/>
      </c>
      <c r="AQ1668" s="34" t="str">
        <f aca="false">IF($B1668="","",COUNTIF($F1668:$AJ1668,"SL"))</f>
        <v/>
      </c>
      <c r="AR1668" s="34" t="str">
        <f aca="false">IF($B1668="","",COUNTIF($F1668:$AJ1668,"CO"))</f>
        <v/>
      </c>
      <c r="AS1668" s="34" t="str">
        <f aca="false">IF($B1668="","",COUNTIF($F1668:$AJ1668,"HPL"))</f>
        <v/>
      </c>
      <c r="AT1668" s="34" t="str">
        <f aca="false">IF($B1668="","",COUNTIF($F1668:$AJ1668,"HCL"))</f>
        <v/>
      </c>
      <c r="AU1668" s="34" t="str">
        <f aca="false">IF($B1668="","",COUNTIF($F1668:$AJ1668,"WO"))</f>
        <v/>
      </c>
      <c r="AV1668" s="34" t="str">
        <f aca="false">IF($B1668="","",COUNTIF($F1668:$AJ1668,"PH"))</f>
        <v/>
      </c>
      <c r="AW1668" s="34" t="str">
        <f aca="false">IF($B1668="","",COUNTIF($F1668:$AJ1668,"TR"))</f>
        <v/>
      </c>
      <c r="AX1668" s="35" t="str">
        <f aca="false">IF($B1668="","",AO1668+AS1668/2)</f>
        <v/>
      </c>
      <c r="AY1668" s="35" t="str">
        <f aca="false">IF($B1668="","",AQ1668)</f>
        <v/>
      </c>
      <c r="AZ1668" s="35" t="str">
        <f aca="false">IF($B1668="","",AP1668+AT1668/2)</f>
        <v/>
      </c>
      <c r="BA1668" s="35" t="str">
        <f aca="false">IF($B1668="","",AK1668+AN1668+AM1668/2+AO1668+AP1668+AQ1668+AR1668+AS1668+AT1668+AU1668+AV1668+AW1668)</f>
        <v/>
      </c>
      <c r="BB1668" s="35" t="str">
        <f aca="false">IF($B1668="","",MAX(0,AN1668-Settings!$C$16)*Settings!$C$17)</f>
        <v/>
      </c>
      <c r="BC1668" s="35" t="str">
        <f aca="false">IF($B1668="","",BA1668-BB1668)</f>
        <v/>
      </c>
      <c r="BD1668" s="35" t="str">
        <f aca="false">IF(OR($B1668="",$A1668=""),"",DAY(EOMONTH($A1668,0))-COUNTA($F1668:$AJ1668))</f>
        <v/>
      </c>
    </row>
    <row r="1669" customFormat="false" ht="15" hidden="false" customHeight="false" outlineLevel="0" collapsed="false">
      <c r="A1669" s="32"/>
      <c r="B1669" s="29"/>
      <c r="C1669" s="10" t="str">
        <f aca="false">IF($B1669="","",IFERROR(INDEX(M_name,MATCH($B1669,M_emp,0)),"Code not found"))</f>
        <v/>
      </c>
      <c r="D1669" s="10" t="str">
        <f aca="false">IF($B1669="","",IFERROR(INDEX(M_dept,MATCH($B1669,M_emp,0)),""))</f>
        <v/>
      </c>
      <c r="E1669" s="10" t="str">
        <f aca="false">IF($B1669="","",IFERROR(INDEX(M_loc,MATCH($B1669,M_emp,0)),""))</f>
        <v/>
      </c>
      <c r="F1669" s="33"/>
      <c r="G1669" s="33"/>
      <c r="H1669" s="33"/>
      <c r="I1669" s="33"/>
      <c r="J1669" s="33"/>
      <c r="K1669" s="33"/>
      <c r="L1669" s="33"/>
      <c r="M1669" s="33"/>
      <c r="N1669" s="33"/>
      <c r="O1669" s="33"/>
      <c r="P1669" s="33"/>
      <c r="Q1669" s="33"/>
      <c r="R1669" s="33"/>
      <c r="S1669" s="33"/>
      <c r="T1669" s="33"/>
      <c r="U1669" s="33"/>
      <c r="V1669" s="33"/>
      <c r="W1669" s="33"/>
      <c r="X1669" s="33"/>
      <c r="Y1669" s="33"/>
      <c r="Z1669" s="33"/>
      <c r="AA1669" s="33"/>
      <c r="AB1669" s="33"/>
      <c r="AC1669" s="33"/>
      <c r="AD1669" s="33"/>
      <c r="AE1669" s="33"/>
      <c r="AF1669" s="33"/>
      <c r="AG1669" s="33"/>
      <c r="AH1669" s="33"/>
      <c r="AI1669" s="33"/>
      <c r="AJ1669" s="33"/>
      <c r="AK1669" s="34" t="str">
        <f aca="false">IF($B1669="","",COUNTIF($F1669:$AJ1669,"P"))</f>
        <v/>
      </c>
      <c r="AL1669" s="34" t="str">
        <f aca="false">IF($B1669="","",COUNTIF($F1669:$AJ1669,"A"))</f>
        <v/>
      </c>
      <c r="AM1669" s="34" t="str">
        <f aca="false">IF($B1669="","",COUNTIF($F1669:$AJ1669,"HA"))</f>
        <v/>
      </c>
      <c r="AN1669" s="34" t="str">
        <f aca="false">IF($B1669="","",COUNTIF($F1669:$AJ1669,"L"))</f>
        <v/>
      </c>
      <c r="AO1669" s="34" t="str">
        <f aca="false">IF($B1669="","",COUNTIF($F1669:$AJ1669,"PL"))</f>
        <v/>
      </c>
      <c r="AP1669" s="34" t="str">
        <f aca="false">IF($B1669="","",COUNTIF($F1669:$AJ1669,"CL"))</f>
        <v/>
      </c>
      <c r="AQ1669" s="34" t="str">
        <f aca="false">IF($B1669="","",COUNTIF($F1669:$AJ1669,"SL"))</f>
        <v/>
      </c>
      <c r="AR1669" s="34" t="str">
        <f aca="false">IF($B1669="","",COUNTIF($F1669:$AJ1669,"CO"))</f>
        <v/>
      </c>
      <c r="AS1669" s="34" t="str">
        <f aca="false">IF($B1669="","",COUNTIF($F1669:$AJ1669,"HPL"))</f>
        <v/>
      </c>
      <c r="AT1669" s="34" t="str">
        <f aca="false">IF($B1669="","",COUNTIF($F1669:$AJ1669,"HCL"))</f>
        <v/>
      </c>
      <c r="AU1669" s="34" t="str">
        <f aca="false">IF($B1669="","",COUNTIF($F1669:$AJ1669,"WO"))</f>
        <v/>
      </c>
      <c r="AV1669" s="34" t="str">
        <f aca="false">IF($B1669="","",COUNTIF($F1669:$AJ1669,"PH"))</f>
        <v/>
      </c>
      <c r="AW1669" s="34" t="str">
        <f aca="false">IF($B1669="","",COUNTIF($F1669:$AJ1669,"TR"))</f>
        <v/>
      </c>
      <c r="AX1669" s="35" t="str">
        <f aca="false">IF($B1669="","",AO1669+AS1669/2)</f>
        <v/>
      </c>
      <c r="AY1669" s="35" t="str">
        <f aca="false">IF($B1669="","",AQ1669)</f>
        <v/>
      </c>
      <c r="AZ1669" s="35" t="str">
        <f aca="false">IF($B1669="","",AP1669+AT1669/2)</f>
        <v/>
      </c>
      <c r="BA1669" s="35" t="str">
        <f aca="false">IF($B1669="","",AK1669+AN1669+AM1669/2+AO1669+AP1669+AQ1669+AR1669+AS1669+AT1669+AU1669+AV1669+AW1669)</f>
        <v/>
      </c>
      <c r="BB1669" s="35" t="str">
        <f aca="false">IF($B1669="","",MAX(0,AN1669-Settings!$C$16)*Settings!$C$17)</f>
        <v/>
      </c>
      <c r="BC1669" s="35" t="str">
        <f aca="false">IF($B1669="","",BA1669-BB1669)</f>
        <v/>
      </c>
      <c r="BD1669" s="35" t="str">
        <f aca="false">IF(OR($B1669="",$A1669=""),"",DAY(EOMONTH($A1669,0))-COUNTA($F1669:$AJ1669))</f>
        <v/>
      </c>
    </row>
    <row r="1670" customFormat="false" ht="15" hidden="false" customHeight="false" outlineLevel="0" collapsed="false">
      <c r="A1670" s="32"/>
      <c r="B1670" s="29"/>
      <c r="C1670" s="10" t="str">
        <f aca="false">IF($B1670="","",IFERROR(INDEX(M_name,MATCH($B1670,M_emp,0)),"Code not found"))</f>
        <v/>
      </c>
      <c r="D1670" s="10" t="str">
        <f aca="false">IF($B1670="","",IFERROR(INDEX(M_dept,MATCH($B1670,M_emp,0)),""))</f>
        <v/>
      </c>
      <c r="E1670" s="10" t="str">
        <f aca="false">IF($B1670="","",IFERROR(INDEX(M_loc,MATCH($B1670,M_emp,0)),""))</f>
        <v/>
      </c>
      <c r="F1670" s="33"/>
      <c r="G1670" s="33"/>
      <c r="H1670" s="33"/>
      <c r="I1670" s="33"/>
      <c r="J1670" s="33"/>
      <c r="K1670" s="33"/>
      <c r="L1670" s="33"/>
      <c r="M1670" s="33"/>
      <c r="N1670" s="33"/>
      <c r="O1670" s="33"/>
      <c r="P1670" s="33"/>
      <c r="Q1670" s="33"/>
      <c r="R1670" s="33"/>
      <c r="S1670" s="33"/>
      <c r="T1670" s="33"/>
      <c r="U1670" s="33"/>
      <c r="V1670" s="33"/>
      <c r="W1670" s="33"/>
      <c r="X1670" s="33"/>
      <c r="Y1670" s="33"/>
      <c r="Z1670" s="33"/>
      <c r="AA1670" s="33"/>
      <c r="AB1670" s="33"/>
      <c r="AC1670" s="33"/>
      <c r="AD1670" s="33"/>
      <c r="AE1670" s="33"/>
      <c r="AF1670" s="33"/>
      <c r="AG1670" s="33"/>
      <c r="AH1670" s="33"/>
      <c r="AI1670" s="33"/>
      <c r="AJ1670" s="33"/>
      <c r="AK1670" s="34" t="str">
        <f aca="false">IF($B1670="","",COUNTIF($F1670:$AJ1670,"P"))</f>
        <v/>
      </c>
      <c r="AL1670" s="34" t="str">
        <f aca="false">IF($B1670="","",COUNTIF($F1670:$AJ1670,"A"))</f>
        <v/>
      </c>
      <c r="AM1670" s="34" t="str">
        <f aca="false">IF($B1670="","",COUNTIF($F1670:$AJ1670,"HA"))</f>
        <v/>
      </c>
      <c r="AN1670" s="34" t="str">
        <f aca="false">IF($B1670="","",COUNTIF($F1670:$AJ1670,"L"))</f>
        <v/>
      </c>
      <c r="AO1670" s="34" t="str">
        <f aca="false">IF($B1670="","",COUNTIF($F1670:$AJ1670,"PL"))</f>
        <v/>
      </c>
      <c r="AP1670" s="34" t="str">
        <f aca="false">IF($B1670="","",COUNTIF($F1670:$AJ1670,"CL"))</f>
        <v/>
      </c>
      <c r="AQ1670" s="34" t="str">
        <f aca="false">IF($B1670="","",COUNTIF($F1670:$AJ1670,"SL"))</f>
        <v/>
      </c>
      <c r="AR1670" s="34" t="str">
        <f aca="false">IF($B1670="","",COUNTIF($F1670:$AJ1670,"CO"))</f>
        <v/>
      </c>
      <c r="AS1670" s="34" t="str">
        <f aca="false">IF($B1670="","",COUNTIF($F1670:$AJ1670,"HPL"))</f>
        <v/>
      </c>
      <c r="AT1670" s="34" t="str">
        <f aca="false">IF($B1670="","",COUNTIF($F1670:$AJ1670,"HCL"))</f>
        <v/>
      </c>
      <c r="AU1670" s="34" t="str">
        <f aca="false">IF($B1670="","",COUNTIF($F1670:$AJ1670,"WO"))</f>
        <v/>
      </c>
      <c r="AV1670" s="34" t="str">
        <f aca="false">IF($B1670="","",COUNTIF($F1670:$AJ1670,"PH"))</f>
        <v/>
      </c>
      <c r="AW1670" s="34" t="str">
        <f aca="false">IF($B1670="","",COUNTIF($F1670:$AJ1670,"TR"))</f>
        <v/>
      </c>
      <c r="AX1670" s="35" t="str">
        <f aca="false">IF($B1670="","",AO1670+AS1670/2)</f>
        <v/>
      </c>
      <c r="AY1670" s="35" t="str">
        <f aca="false">IF($B1670="","",AQ1670)</f>
        <v/>
      </c>
      <c r="AZ1670" s="35" t="str">
        <f aca="false">IF($B1670="","",AP1670+AT1670/2)</f>
        <v/>
      </c>
      <c r="BA1670" s="35" t="str">
        <f aca="false">IF($B1670="","",AK1670+AN1670+AM1670/2+AO1670+AP1670+AQ1670+AR1670+AS1670+AT1670+AU1670+AV1670+AW1670)</f>
        <v/>
      </c>
      <c r="BB1670" s="35" t="str">
        <f aca="false">IF($B1670="","",MAX(0,AN1670-Settings!$C$16)*Settings!$C$17)</f>
        <v/>
      </c>
      <c r="BC1670" s="35" t="str">
        <f aca="false">IF($B1670="","",BA1670-BB1670)</f>
        <v/>
      </c>
      <c r="BD1670" s="35" t="str">
        <f aca="false">IF(OR($B1670="",$A1670=""),"",DAY(EOMONTH($A1670,0))-COUNTA($F1670:$AJ1670))</f>
        <v/>
      </c>
    </row>
    <row r="1671" customFormat="false" ht="15" hidden="false" customHeight="false" outlineLevel="0" collapsed="false">
      <c r="A1671" s="32"/>
      <c r="B1671" s="29"/>
      <c r="C1671" s="10" t="str">
        <f aca="false">IF($B1671="","",IFERROR(INDEX(M_name,MATCH($B1671,M_emp,0)),"Code not found"))</f>
        <v/>
      </c>
      <c r="D1671" s="10" t="str">
        <f aca="false">IF($B1671="","",IFERROR(INDEX(M_dept,MATCH($B1671,M_emp,0)),""))</f>
        <v/>
      </c>
      <c r="E1671" s="10" t="str">
        <f aca="false">IF($B1671="","",IFERROR(INDEX(M_loc,MATCH($B1671,M_emp,0)),""))</f>
        <v/>
      </c>
      <c r="F1671" s="33"/>
      <c r="G1671" s="33"/>
      <c r="H1671" s="33"/>
      <c r="I1671" s="33"/>
      <c r="J1671" s="33"/>
      <c r="K1671" s="33"/>
      <c r="L1671" s="33"/>
      <c r="M1671" s="33"/>
      <c r="N1671" s="33"/>
      <c r="O1671" s="33"/>
      <c r="P1671" s="33"/>
      <c r="Q1671" s="33"/>
      <c r="R1671" s="33"/>
      <c r="S1671" s="33"/>
      <c r="T1671" s="33"/>
      <c r="U1671" s="33"/>
      <c r="V1671" s="33"/>
      <c r="W1671" s="33"/>
      <c r="X1671" s="33"/>
      <c r="Y1671" s="33"/>
      <c r="Z1671" s="33"/>
      <c r="AA1671" s="33"/>
      <c r="AB1671" s="33"/>
      <c r="AC1671" s="33"/>
      <c r="AD1671" s="33"/>
      <c r="AE1671" s="33"/>
      <c r="AF1671" s="33"/>
      <c r="AG1671" s="33"/>
      <c r="AH1671" s="33"/>
      <c r="AI1671" s="33"/>
      <c r="AJ1671" s="33"/>
      <c r="AK1671" s="34" t="str">
        <f aca="false">IF($B1671="","",COUNTIF($F1671:$AJ1671,"P"))</f>
        <v/>
      </c>
      <c r="AL1671" s="34" t="str">
        <f aca="false">IF($B1671="","",COUNTIF($F1671:$AJ1671,"A"))</f>
        <v/>
      </c>
      <c r="AM1671" s="34" t="str">
        <f aca="false">IF($B1671="","",COUNTIF($F1671:$AJ1671,"HA"))</f>
        <v/>
      </c>
      <c r="AN1671" s="34" t="str">
        <f aca="false">IF($B1671="","",COUNTIF($F1671:$AJ1671,"L"))</f>
        <v/>
      </c>
      <c r="AO1671" s="34" t="str">
        <f aca="false">IF($B1671="","",COUNTIF($F1671:$AJ1671,"PL"))</f>
        <v/>
      </c>
      <c r="AP1671" s="34" t="str">
        <f aca="false">IF($B1671="","",COUNTIF($F1671:$AJ1671,"CL"))</f>
        <v/>
      </c>
      <c r="AQ1671" s="34" t="str">
        <f aca="false">IF($B1671="","",COUNTIF($F1671:$AJ1671,"SL"))</f>
        <v/>
      </c>
      <c r="AR1671" s="34" t="str">
        <f aca="false">IF($B1671="","",COUNTIF($F1671:$AJ1671,"CO"))</f>
        <v/>
      </c>
      <c r="AS1671" s="34" t="str">
        <f aca="false">IF($B1671="","",COUNTIF($F1671:$AJ1671,"HPL"))</f>
        <v/>
      </c>
      <c r="AT1671" s="34" t="str">
        <f aca="false">IF($B1671="","",COUNTIF($F1671:$AJ1671,"HCL"))</f>
        <v/>
      </c>
      <c r="AU1671" s="34" t="str">
        <f aca="false">IF($B1671="","",COUNTIF($F1671:$AJ1671,"WO"))</f>
        <v/>
      </c>
      <c r="AV1671" s="34" t="str">
        <f aca="false">IF($B1671="","",COUNTIF($F1671:$AJ1671,"PH"))</f>
        <v/>
      </c>
      <c r="AW1671" s="34" t="str">
        <f aca="false">IF($B1671="","",COUNTIF($F1671:$AJ1671,"TR"))</f>
        <v/>
      </c>
      <c r="AX1671" s="35" t="str">
        <f aca="false">IF($B1671="","",AO1671+AS1671/2)</f>
        <v/>
      </c>
      <c r="AY1671" s="35" t="str">
        <f aca="false">IF($B1671="","",AQ1671)</f>
        <v/>
      </c>
      <c r="AZ1671" s="35" t="str">
        <f aca="false">IF($B1671="","",AP1671+AT1671/2)</f>
        <v/>
      </c>
      <c r="BA1671" s="35" t="str">
        <f aca="false">IF($B1671="","",AK1671+AN1671+AM1671/2+AO1671+AP1671+AQ1671+AR1671+AS1671+AT1671+AU1671+AV1671+AW1671)</f>
        <v/>
      </c>
      <c r="BB1671" s="35" t="str">
        <f aca="false">IF($B1671="","",MAX(0,AN1671-Settings!$C$16)*Settings!$C$17)</f>
        <v/>
      </c>
      <c r="BC1671" s="35" t="str">
        <f aca="false">IF($B1671="","",BA1671-BB1671)</f>
        <v/>
      </c>
      <c r="BD1671" s="35" t="str">
        <f aca="false">IF(OR($B1671="",$A1671=""),"",DAY(EOMONTH($A1671,0))-COUNTA($F1671:$AJ1671))</f>
        <v/>
      </c>
    </row>
    <row r="1672" customFormat="false" ht="15" hidden="false" customHeight="false" outlineLevel="0" collapsed="false">
      <c r="A1672" s="32"/>
      <c r="B1672" s="29"/>
      <c r="C1672" s="10" t="str">
        <f aca="false">IF($B1672="","",IFERROR(INDEX(M_name,MATCH($B1672,M_emp,0)),"Code not found"))</f>
        <v/>
      </c>
      <c r="D1672" s="10" t="str">
        <f aca="false">IF($B1672="","",IFERROR(INDEX(M_dept,MATCH($B1672,M_emp,0)),""))</f>
        <v/>
      </c>
      <c r="E1672" s="10" t="str">
        <f aca="false">IF($B1672="","",IFERROR(INDEX(M_loc,MATCH($B1672,M_emp,0)),""))</f>
        <v/>
      </c>
      <c r="F1672" s="33"/>
      <c r="G1672" s="33"/>
      <c r="H1672" s="33"/>
      <c r="I1672" s="33"/>
      <c r="J1672" s="33"/>
      <c r="K1672" s="33"/>
      <c r="L1672" s="33"/>
      <c r="M1672" s="33"/>
      <c r="N1672" s="33"/>
      <c r="O1672" s="33"/>
      <c r="P1672" s="33"/>
      <c r="Q1672" s="33"/>
      <c r="R1672" s="33"/>
      <c r="S1672" s="33"/>
      <c r="T1672" s="33"/>
      <c r="U1672" s="33"/>
      <c r="V1672" s="33"/>
      <c r="W1672" s="33"/>
      <c r="X1672" s="33"/>
      <c r="Y1672" s="33"/>
      <c r="Z1672" s="33"/>
      <c r="AA1672" s="33"/>
      <c r="AB1672" s="33"/>
      <c r="AC1672" s="33"/>
      <c r="AD1672" s="33"/>
      <c r="AE1672" s="33"/>
      <c r="AF1672" s="33"/>
      <c r="AG1672" s="33"/>
      <c r="AH1672" s="33"/>
      <c r="AI1672" s="33"/>
      <c r="AJ1672" s="33"/>
      <c r="AK1672" s="34" t="str">
        <f aca="false">IF($B1672="","",COUNTIF($F1672:$AJ1672,"P"))</f>
        <v/>
      </c>
      <c r="AL1672" s="34" t="str">
        <f aca="false">IF($B1672="","",COUNTIF($F1672:$AJ1672,"A"))</f>
        <v/>
      </c>
      <c r="AM1672" s="34" t="str">
        <f aca="false">IF($B1672="","",COUNTIF($F1672:$AJ1672,"HA"))</f>
        <v/>
      </c>
      <c r="AN1672" s="34" t="str">
        <f aca="false">IF($B1672="","",COUNTIF($F1672:$AJ1672,"L"))</f>
        <v/>
      </c>
      <c r="AO1672" s="34" t="str">
        <f aca="false">IF($B1672="","",COUNTIF($F1672:$AJ1672,"PL"))</f>
        <v/>
      </c>
      <c r="AP1672" s="34" t="str">
        <f aca="false">IF($B1672="","",COUNTIF($F1672:$AJ1672,"CL"))</f>
        <v/>
      </c>
      <c r="AQ1672" s="34" t="str">
        <f aca="false">IF($B1672="","",COUNTIF($F1672:$AJ1672,"SL"))</f>
        <v/>
      </c>
      <c r="AR1672" s="34" t="str">
        <f aca="false">IF($B1672="","",COUNTIF($F1672:$AJ1672,"CO"))</f>
        <v/>
      </c>
      <c r="AS1672" s="34" t="str">
        <f aca="false">IF($B1672="","",COUNTIF($F1672:$AJ1672,"HPL"))</f>
        <v/>
      </c>
      <c r="AT1672" s="34" t="str">
        <f aca="false">IF($B1672="","",COUNTIF($F1672:$AJ1672,"HCL"))</f>
        <v/>
      </c>
      <c r="AU1672" s="34" t="str">
        <f aca="false">IF($B1672="","",COUNTIF($F1672:$AJ1672,"WO"))</f>
        <v/>
      </c>
      <c r="AV1672" s="34" t="str">
        <f aca="false">IF($B1672="","",COUNTIF($F1672:$AJ1672,"PH"))</f>
        <v/>
      </c>
      <c r="AW1672" s="34" t="str">
        <f aca="false">IF($B1672="","",COUNTIF($F1672:$AJ1672,"TR"))</f>
        <v/>
      </c>
      <c r="AX1672" s="35" t="str">
        <f aca="false">IF($B1672="","",AO1672+AS1672/2)</f>
        <v/>
      </c>
      <c r="AY1672" s="35" t="str">
        <f aca="false">IF($B1672="","",AQ1672)</f>
        <v/>
      </c>
      <c r="AZ1672" s="35" t="str">
        <f aca="false">IF($B1672="","",AP1672+AT1672/2)</f>
        <v/>
      </c>
      <c r="BA1672" s="35" t="str">
        <f aca="false">IF($B1672="","",AK1672+AN1672+AM1672/2+AO1672+AP1672+AQ1672+AR1672+AS1672+AT1672+AU1672+AV1672+AW1672)</f>
        <v/>
      </c>
      <c r="BB1672" s="35" t="str">
        <f aca="false">IF($B1672="","",MAX(0,AN1672-Settings!$C$16)*Settings!$C$17)</f>
        <v/>
      </c>
      <c r="BC1672" s="35" t="str">
        <f aca="false">IF($B1672="","",BA1672-BB1672)</f>
        <v/>
      </c>
      <c r="BD1672" s="35" t="str">
        <f aca="false">IF(OR($B1672="",$A1672=""),"",DAY(EOMONTH($A1672,0))-COUNTA($F1672:$AJ1672))</f>
        <v/>
      </c>
    </row>
    <row r="1673" customFormat="false" ht="15" hidden="false" customHeight="false" outlineLevel="0" collapsed="false">
      <c r="A1673" s="32"/>
      <c r="B1673" s="29"/>
      <c r="C1673" s="10" t="str">
        <f aca="false">IF($B1673="","",IFERROR(INDEX(M_name,MATCH($B1673,M_emp,0)),"Code not found"))</f>
        <v/>
      </c>
      <c r="D1673" s="10" t="str">
        <f aca="false">IF($B1673="","",IFERROR(INDEX(M_dept,MATCH($B1673,M_emp,0)),""))</f>
        <v/>
      </c>
      <c r="E1673" s="10" t="str">
        <f aca="false">IF($B1673="","",IFERROR(INDEX(M_loc,MATCH($B1673,M_emp,0)),""))</f>
        <v/>
      </c>
      <c r="F1673" s="33"/>
      <c r="G1673" s="33"/>
      <c r="H1673" s="33"/>
      <c r="I1673" s="33"/>
      <c r="J1673" s="33"/>
      <c r="K1673" s="33"/>
      <c r="L1673" s="33"/>
      <c r="M1673" s="33"/>
      <c r="N1673" s="33"/>
      <c r="O1673" s="33"/>
      <c r="P1673" s="33"/>
      <c r="Q1673" s="33"/>
      <c r="R1673" s="33"/>
      <c r="S1673" s="33"/>
      <c r="T1673" s="33"/>
      <c r="U1673" s="33"/>
      <c r="V1673" s="33"/>
      <c r="W1673" s="33"/>
      <c r="X1673" s="33"/>
      <c r="Y1673" s="33"/>
      <c r="Z1673" s="33"/>
      <c r="AA1673" s="33"/>
      <c r="AB1673" s="33"/>
      <c r="AC1673" s="33"/>
      <c r="AD1673" s="33"/>
      <c r="AE1673" s="33"/>
      <c r="AF1673" s="33"/>
      <c r="AG1673" s="33"/>
      <c r="AH1673" s="33"/>
      <c r="AI1673" s="33"/>
      <c r="AJ1673" s="33"/>
      <c r="AK1673" s="34" t="str">
        <f aca="false">IF($B1673="","",COUNTIF($F1673:$AJ1673,"P"))</f>
        <v/>
      </c>
      <c r="AL1673" s="34" t="str">
        <f aca="false">IF($B1673="","",COUNTIF($F1673:$AJ1673,"A"))</f>
        <v/>
      </c>
      <c r="AM1673" s="34" t="str">
        <f aca="false">IF($B1673="","",COUNTIF($F1673:$AJ1673,"HA"))</f>
        <v/>
      </c>
      <c r="AN1673" s="34" t="str">
        <f aca="false">IF($B1673="","",COUNTIF($F1673:$AJ1673,"L"))</f>
        <v/>
      </c>
      <c r="AO1673" s="34" t="str">
        <f aca="false">IF($B1673="","",COUNTIF($F1673:$AJ1673,"PL"))</f>
        <v/>
      </c>
      <c r="AP1673" s="34" t="str">
        <f aca="false">IF($B1673="","",COUNTIF($F1673:$AJ1673,"CL"))</f>
        <v/>
      </c>
      <c r="AQ1673" s="34" t="str">
        <f aca="false">IF($B1673="","",COUNTIF($F1673:$AJ1673,"SL"))</f>
        <v/>
      </c>
      <c r="AR1673" s="34" t="str">
        <f aca="false">IF($B1673="","",COUNTIF($F1673:$AJ1673,"CO"))</f>
        <v/>
      </c>
      <c r="AS1673" s="34" t="str">
        <f aca="false">IF($B1673="","",COUNTIF($F1673:$AJ1673,"HPL"))</f>
        <v/>
      </c>
      <c r="AT1673" s="34" t="str">
        <f aca="false">IF($B1673="","",COUNTIF($F1673:$AJ1673,"HCL"))</f>
        <v/>
      </c>
      <c r="AU1673" s="34" t="str">
        <f aca="false">IF($B1673="","",COUNTIF($F1673:$AJ1673,"WO"))</f>
        <v/>
      </c>
      <c r="AV1673" s="34" t="str">
        <f aca="false">IF($B1673="","",COUNTIF($F1673:$AJ1673,"PH"))</f>
        <v/>
      </c>
      <c r="AW1673" s="34" t="str">
        <f aca="false">IF($B1673="","",COUNTIF($F1673:$AJ1673,"TR"))</f>
        <v/>
      </c>
      <c r="AX1673" s="35" t="str">
        <f aca="false">IF($B1673="","",AO1673+AS1673/2)</f>
        <v/>
      </c>
      <c r="AY1673" s="35" t="str">
        <f aca="false">IF($B1673="","",AQ1673)</f>
        <v/>
      </c>
      <c r="AZ1673" s="35" t="str">
        <f aca="false">IF($B1673="","",AP1673+AT1673/2)</f>
        <v/>
      </c>
      <c r="BA1673" s="35" t="str">
        <f aca="false">IF($B1673="","",AK1673+AN1673+AM1673/2+AO1673+AP1673+AQ1673+AR1673+AS1673+AT1673+AU1673+AV1673+AW1673)</f>
        <v/>
      </c>
      <c r="BB1673" s="35" t="str">
        <f aca="false">IF($B1673="","",MAX(0,AN1673-Settings!$C$16)*Settings!$C$17)</f>
        <v/>
      </c>
      <c r="BC1673" s="35" t="str">
        <f aca="false">IF($B1673="","",BA1673-BB1673)</f>
        <v/>
      </c>
      <c r="BD1673" s="35" t="str">
        <f aca="false">IF(OR($B1673="",$A1673=""),"",DAY(EOMONTH($A1673,0))-COUNTA($F1673:$AJ1673))</f>
        <v/>
      </c>
    </row>
    <row r="1674" customFormat="false" ht="15" hidden="false" customHeight="false" outlineLevel="0" collapsed="false">
      <c r="A1674" s="32"/>
      <c r="B1674" s="29"/>
      <c r="C1674" s="10" t="str">
        <f aca="false">IF($B1674="","",IFERROR(INDEX(M_name,MATCH($B1674,M_emp,0)),"Code not found"))</f>
        <v/>
      </c>
      <c r="D1674" s="10" t="str">
        <f aca="false">IF($B1674="","",IFERROR(INDEX(M_dept,MATCH($B1674,M_emp,0)),""))</f>
        <v/>
      </c>
      <c r="E1674" s="10" t="str">
        <f aca="false">IF($B1674="","",IFERROR(INDEX(M_loc,MATCH($B1674,M_emp,0)),""))</f>
        <v/>
      </c>
      <c r="F1674" s="33"/>
      <c r="G1674" s="33"/>
      <c r="H1674" s="33"/>
      <c r="I1674" s="33"/>
      <c r="J1674" s="33"/>
      <c r="K1674" s="33"/>
      <c r="L1674" s="33"/>
      <c r="M1674" s="33"/>
      <c r="N1674" s="33"/>
      <c r="O1674" s="33"/>
      <c r="P1674" s="33"/>
      <c r="Q1674" s="33"/>
      <c r="R1674" s="33"/>
      <c r="S1674" s="33"/>
      <c r="T1674" s="33"/>
      <c r="U1674" s="33"/>
      <c r="V1674" s="33"/>
      <c r="W1674" s="33"/>
      <c r="X1674" s="33"/>
      <c r="Y1674" s="33"/>
      <c r="Z1674" s="33"/>
      <c r="AA1674" s="33"/>
      <c r="AB1674" s="33"/>
      <c r="AC1674" s="33"/>
      <c r="AD1674" s="33"/>
      <c r="AE1674" s="33"/>
      <c r="AF1674" s="33"/>
      <c r="AG1674" s="33"/>
      <c r="AH1674" s="33"/>
      <c r="AI1674" s="33"/>
      <c r="AJ1674" s="33"/>
      <c r="AK1674" s="34" t="str">
        <f aca="false">IF($B1674="","",COUNTIF($F1674:$AJ1674,"P"))</f>
        <v/>
      </c>
      <c r="AL1674" s="34" t="str">
        <f aca="false">IF($B1674="","",COUNTIF($F1674:$AJ1674,"A"))</f>
        <v/>
      </c>
      <c r="AM1674" s="34" t="str">
        <f aca="false">IF($B1674="","",COUNTIF($F1674:$AJ1674,"HA"))</f>
        <v/>
      </c>
      <c r="AN1674" s="34" t="str">
        <f aca="false">IF($B1674="","",COUNTIF($F1674:$AJ1674,"L"))</f>
        <v/>
      </c>
      <c r="AO1674" s="34" t="str">
        <f aca="false">IF($B1674="","",COUNTIF($F1674:$AJ1674,"PL"))</f>
        <v/>
      </c>
      <c r="AP1674" s="34" t="str">
        <f aca="false">IF($B1674="","",COUNTIF($F1674:$AJ1674,"CL"))</f>
        <v/>
      </c>
      <c r="AQ1674" s="34" t="str">
        <f aca="false">IF($B1674="","",COUNTIF($F1674:$AJ1674,"SL"))</f>
        <v/>
      </c>
      <c r="AR1674" s="34" t="str">
        <f aca="false">IF($B1674="","",COUNTIF($F1674:$AJ1674,"CO"))</f>
        <v/>
      </c>
      <c r="AS1674" s="34" t="str">
        <f aca="false">IF($B1674="","",COUNTIF($F1674:$AJ1674,"HPL"))</f>
        <v/>
      </c>
      <c r="AT1674" s="34" t="str">
        <f aca="false">IF($B1674="","",COUNTIF($F1674:$AJ1674,"HCL"))</f>
        <v/>
      </c>
      <c r="AU1674" s="34" t="str">
        <f aca="false">IF($B1674="","",COUNTIF($F1674:$AJ1674,"WO"))</f>
        <v/>
      </c>
      <c r="AV1674" s="34" t="str">
        <f aca="false">IF($B1674="","",COUNTIF($F1674:$AJ1674,"PH"))</f>
        <v/>
      </c>
      <c r="AW1674" s="34" t="str">
        <f aca="false">IF($B1674="","",COUNTIF($F1674:$AJ1674,"TR"))</f>
        <v/>
      </c>
      <c r="AX1674" s="35" t="str">
        <f aca="false">IF($B1674="","",AO1674+AS1674/2)</f>
        <v/>
      </c>
      <c r="AY1674" s="35" t="str">
        <f aca="false">IF($B1674="","",AQ1674)</f>
        <v/>
      </c>
      <c r="AZ1674" s="35" t="str">
        <f aca="false">IF($B1674="","",AP1674+AT1674/2)</f>
        <v/>
      </c>
      <c r="BA1674" s="35" t="str">
        <f aca="false">IF($B1674="","",AK1674+AN1674+AM1674/2+AO1674+AP1674+AQ1674+AR1674+AS1674+AT1674+AU1674+AV1674+AW1674)</f>
        <v/>
      </c>
      <c r="BB1674" s="35" t="str">
        <f aca="false">IF($B1674="","",MAX(0,AN1674-Settings!$C$16)*Settings!$C$17)</f>
        <v/>
      </c>
      <c r="BC1674" s="35" t="str">
        <f aca="false">IF($B1674="","",BA1674-BB1674)</f>
        <v/>
      </c>
      <c r="BD1674" s="35" t="str">
        <f aca="false">IF(OR($B1674="",$A1674=""),"",DAY(EOMONTH($A1674,0))-COUNTA($F1674:$AJ1674))</f>
        <v/>
      </c>
    </row>
    <row r="1675" customFormat="false" ht="15" hidden="false" customHeight="false" outlineLevel="0" collapsed="false">
      <c r="A1675" s="32"/>
      <c r="B1675" s="29"/>
      <c r="C1675" s="10" t="str">
        <f aca="false">IF($B1675="","",IFERROR(INDEX(M_name,MATCH($B1675,M_emp,0)),"Code not found"))</f>
        <v/>
      </c>
      <c r="D1675" s="10" t="str">
        <f aca="false">IF($B1675="","",IFERROR(INDEX(M_dept,MATCH($B1675,M_emp,0)),""))</f>
        <v/>
      </c>
      <c r="E1675" s="10" t="str">
        <f aca="false">IF($B1675="","",IFERROR(INDEX(M_loc,MATCH($B1675,M_emp,0)),""))</f>
        <v/>
      </c>
      <c r="F1675" s="33"/>
      <c r="G1675" s="33"/>
      <c r="H1675" s="33"/>
      <c r="I1675" s="33"/>
      <c r="J1675" s="33"/>
      <c r="K1675" s="33"/>
      <c r="L1675" s="33"/>
      <c r="M1675" s="33"/>
      <c r="N1675" s="33"/>
      <c r="O1675" s="33"/>
      <c r="P1675" s="33"/>
      <c r="Q1675" s="33"/>
      <c r="R1675" s="33"/>
      <c r="S1675" s="33"/>
      <c r="T1675" s="33"/>
      <c r="U1675" s="33"/>
      <c r="V1675" s="33"/>
      <c r="W1675" s="33"/>
      <c r="X1675" s="33"/>
      <c r="Y1675" s="33"/>
      <c r="Z1675" s="33"/>
      <c r="AA1675" s="33"/>
      <c r="AB1675" s="33"/>
      <c r="AC1675" s="33"/>
      <c r="AD1675" s="33"/>
      <c r="AE1675" s="33"/>
      <c r="AF1675" s="33"/>
      <c r="AG1675" s="33"/>
      <c r="AH1675" s="33"/>
      <c r="AI1675" s="33"/>
      <c r="AJ1675" s="33"/>
      <c r="AK1675" s="34" t="str">
        <f aca="false">IF($B1675="","",COUNTIF($F1675:$AJ1675,"P"))</f>
        <v/>
      </c>
      <c r="AL1675" s="34" t="str">
        <f aca="false">IF($B1675="","",COUNTIF($F1675:$AJ1675,"A"))</f>
        <v/>
      </c>
      <c r="AM1675" s="34" t="str">
        <f aca="false">IF($B1675="","",COUNTIF($F1675:$AJ1675,"HA"))</f>
        <v/>
      </c>
      <c r="AN1675" s="34" t="str">
        <f aca="false">IF($B1675="","",COUNTIF($F1675:$AJ1675,"L"))</f>
        <v/>
      </c>
      <c r="AO1675" s="34" t="str">
        <f aca="false">IF($B1675="","",COUNTIF($F1675:$AJ1675,"PL"))</f>
        <v/>
      </c>
      <c r="AP1675" s="34" t="str">
        <f aca="false">IF($B1675="","",COUNTIF($F1675:$AJ1675,"CL"))</f>
        <v/>
      </c>
      <c r="AQ1675" s="34" t="str">
        <f aca="false">IF($B1675="","",COUNTIF($F1675:$AJ1675,"SL"))</f>
        <v/>
      </c>
      <c r="AR1675" s="34" t="str">
        <f aca="false">IF($B1675="","",COUNTIF($F1675:$AJ1675,"CO"))</f>
        <v/>
      </c>
      <c r="AS1675" s="34" t="str">
        <f aca="false">IF($B1675="","",COUNTIF($F1675:$AJ1675,"HPL"))</f>
        <v/>
      </c>
      <c r="AT1675" s="34" t="str">
        <f aca="false">IF($B1675="","",COUNTIF($F1675:$AJ1675,"HCL"))</f>
        <v/>
      </c>
      <c r="AU1675" s="34" t="str">
        <f aca="false">IF($B1675="","",COUNTIF($F1675:$AJ1675,"WO"))</f>
        <v/>
      </c>
      <c r="AV1675" s="34" t="str">
        <f aca="false">IF($B1675="","",COUNTIF($F1675:$AJ1675,"PH"))</f>
        <v/>
      </c>
      <c r="AW1675" s="34" t="str">
        <f aca="false">IF($B1675="","",COUNTIF($F1675:$AJ1675,"TR"))</f>
        <v/>
      </c>
      <c r="AX1675" s="35" t="str">
        <f aca="false">IF($B1675="","",AO1675+AS1675/2)</f>
        <v/>
      </c>
      <c r="AY1675" s="35" t="str">
        <f aca="false">IF($B1675="","",AQ1675)</f>
        <v/>
      </c>
      <c r="AZ1675" s="35" t="str">
        <f aca="false">IF($B1675="","",AP1675+AT1675/2)</f>
        <v/>
      </c>
      <c r="BA1675" s="35" t="str">
        <f aca="false">IF($B1675="","",AK1675+AN1675+AM1675/2+AO1675+AP1675+AQ1675+AR1675+AS1675+AT1675+AU1675+AV1675+AW1675)</f>
        <v/>
      </c>
      <c r="BB1675" s="35" t="str">
        <f aca="false">IF($B1675="","",MAX(0,AN1675-Settings!$C$16)*Settings!$C$17)</f>
        <v/>
      </c>
      <c r="BC1675" s="35" t="str">
        <f aca="false">IF($B1675="","",BA1675-BB1675)</f>
        <v/>
      </c>
      <c r="BD1675" s="35" t="str">
        <f aca="false">IF(OR($B1675="",$A1675=""),"",DAY(EOMONTH($A1675,0))-COUNTA($F1675:$AJ1675))</f>
        <v/>
      </c>
    </row>
    <row r="1676" customFormat="false" ht="15" hidden="false" customHeight="false" outlineLevel="0" collapsed="false">
      <c r="A1676" s="32"/>
      <c r="B1676" s="29"/>
      <c r="C1676" s="10" t="str">
        <f aca="false">IF($B1676="","",IFERROR(INDEX(M_name,MATCH($B1676,M_emp,0)),"Code not found"))</f>
        <v/>
      </c>
      <c r="D1676" s="10" t="str">
        <f aca="false">IF($B1676="","",IFERROR(INDEX(M_dept,MATCH($B1676,M_emp,0)),""))</f>
        <v/>
      </c>
      <c r="E1676" s="10" t="str">
        <f aca="false">IF($B1676="","",IFERROR(INDEX(M_loc,MATCH($B1676,M_emp,0)),""))</f>
        <v/>
      </c>
      <c r="F1676" s="33"/>
      <c r="G1676" s="33"/>
      <c r="H1676" s="33"/>
      <c r="I1676" s="33"/>
      <c r="J1676" s="33"/>
      <c r="K1676" s="33"/>
      <c r="L1676" s="33"/>
      <c r="M1676" s="33"/>
      <c r="N1676" s="33"/>
      <c r="O1676" s="33"/>
      <c r="P1676" s="33"/>
      <c r="Q1676" s="33"/>
      <c r="R1676" s="33"/>
      <c r="S1676" s="33"/>
      <c r="T1676" s="33"/>
      <c r="U1676" s="33"/>
      <c r="V1676" s="33"/>
      <c r="W1676" s="33"/>
      <c r="X1676" s="33"/>
      <c r="Y1676" s="33"/>
      <c r="Z1676" s="33"/>
      <c r="AA1676" s="33"/>
      <c r="AB1676" s="33"/>
      <c r="AC1676" s="33"/>
      <c r="AD1676" s="33"/>
      <c r="AE1676" s="33"/>
      <c r="AF1676" s="33"/>
      <c r="AG1676" s="33"/>
      <c r="AH1676" s="33"/>
      <c r="AI1676" s="33"/>
      <c r="AJ1676" s="33"/>
      <c r="AK1676" s="34" t="str">
        <f aca="false">IF($B1676="","",COUNTIF($F1676:$AJ1676,"P"))</f>
        <v/>
      </c>
      <c r="AL1676" s="34" t="str">
        <f aca="false">IF($B1676="","",COUNTIF($F1676:$AJ1676,"A"))</f>
        <v/>
      </c>
      <c r="AM1676" s="34" t="str">
        <f aca="false">IF($B1676="","",COUNTIF($F1676:$AJ1676,"HA"))</f>
        <v/>
      </c>
      <c r="AN1676" s="34" t="str">
        <f aca="false">IF($B1676="","",COUNTIF($F1676:$AJ1676,"L"))</f>
        <v/>
      </c>
      <c r="AO1676" s="34" t="str">
        <f aca="false">IF($B1676="","",COUNTIF($F1676:$AJ1676,"PL"))</f>
        <v/>
      </c>
      <c r="AP1676" s="34" t="str">
        <f aca="false">IF($B1676="","",COUNTIF($F1676:$AJ1676,"CL"))</f>
        <v/>
      </c>
      <c r="AQ1676" s="34" t="str">
        <f aca="false">IF($B1676="","",COUNTIF($F1676:$AJ1676,"SL"))</f>
        <v/>
      </c>
      <c r="AR1676" s="34" t="str">
        <f aca="false">IF($B1676="","",COUNTIF($F1676:$AJ1676,"CO"))</f>
        <v/>
      </c>
      <c r="AS1676" s="34" t="str">
        <f aca="false">IF($B1676="","",COUNTIF($F1676:$AJ1676,"HPL"))</f>
        <v/>
      </c>
      <c r="AT1676" s="34" t="str">
        <f aca="false">IF($B1676="","",COUNTIF($F1676:$AJ1676,"HCL"))</f>
        <v/>
      </c>
      <c r="AU1676" s="34" t="str">
        <f aca="false">IF($B1676="","",COUNTIF($F1676:$AJ1676,"WO"))</f>
        <v/>
      </c>
      <c r="AV1676" s="34" t="str">
        <f aca="false">IF($B1676="","",COUNTIF($F1676:$AJ1676,"PH"))</f>
        <v/>
      </c>
      <c r="AW1676" s="34" t="str">
        <f aca="false">IF($B1676="","",COUNTIF($F1676:$AJ1676,"TR"))</f>
        <v/>
      </c>
      <c r="AX1676" s="35" t="str">
        <f aca="false">IF($B1676="","",AO1676+AS1676/2)</f>
        <v/>
      </c>
      <c r="AY1676" s="35" t="str">
        <f aca="false">IF($B1676="","",AQ1676)</f>
        <v/>
      </c>
      <c r="AZ1676" s="35" t="str">
        <f aca="false">IF($B1676="","",AP1676+AT1676/2)</f>
        <v/>
      </c>
      <c r="BA1676" s="35" t="str">
        <f aca="false">IF($B1676="","",AK1676+AN1676+AM1676/2+AO1676+AP1676+AQ1676+AR1676+AS1676+AT1676+AU1676+AV1676+AW1676)</f>
        <v/>
      </c>
      <c r="BB1676" s="35" t="str">
        <f aca="false">IF($B1676="","",MAX(0,AN1676-Settings!$C$16)*Settings!$C$17)</f>
        <v/>
      </c>
      <c r="BC1676" s="35" t="str">
        <f aca="false">IF($B1676="","",BA1676-BB1676)</f>
        <v/>
      </c>
      <c r="BD1676" s="35" t="str">
        <f aca="false">IF(OR($B1676="",$A1676=""),"",DAY(EOMONTH($A1676,0))-COUNTA($F1676:$AJ1676))</f>
        <v/>
      </c>
    </row>
    <row r="1677" customFormat="false" ht="15" hidden="false" customHeight="false" outlineLevel="0" collapsed="false">
      <c r="A1677" s="32"/>
      <c r="B1677" s="29"/>
      <c r="C1677" s="10" t="str">
        <f aca="false">IF($B1677="","",IFERROR(INDEX(M_name,MATCH($B1677,M_emp,0)),"Code not found"))</f>
        <v/>
      </c>
      <c r="D1677" s="10" t="str">
        <f aca="false">IF($B1677="","",IFERROR(INDEX(M_dept,MATCH($B1677,M_emp,0)),""))</f>
        <v/>
      </c>
      <c r="E1677" s="10" t="str">
        <f aca="false">IF($B1677="","",IFERROR(INDEX(M_loc,MATCH($B1677,M_emp,0)),""))</f>
        <v/>
      </c>
      <c r="F1677" s="33"/>
      <c r="G1677" s="33"/>
      <c r="H1677" s="33"/>
      <c r="I1677" s="33"/>
      <c r="J1677" s="33"/>
      <c r="K1677" s="33"/>
      <c r="L1677" s="33"/>
      <c r="M1677" s="33"/>
      <c r="N1677" s="33"/>
      <c r="O1677" s="33"/>
      <c r="P1677" s="33"/>
      <c r="Q1677" s="33"/>
      <c r="R1677" s="33"/>
      <c r="S1677" s="33"/>
      <c r="T1677" s="33"/>
      <c r="U1677" s="33"/>
      <c r="V1677" s="33"/>
      <c r="W1677" s="33"/>
      <c r="X1677" s="33"/>
      <c r="Y1677" s="33"/>
      <c r="Z1677" s="33"/>
      <c r="AA1677" s="33"/>
      <c r="AB1677" s="33"/>
      <c r="AC1677" s="33"/>
      <c r="AD1677" s="33"/>
      <c r="AE1677" s="33"/>
      <c r="AF1677" s="33"/>
      <c r="AG1677" s="33"/>
      <c r="AH1677" s="33"/>
      <c r="AI1677" s="33"/>
      <c r="AJ1677" s="33"/>
      <c r="AK1677" s="34" t="str">
        <f aca="false">IF($B1677="","",COUNTIF($F1677:$AJ1677,"P"))</f>
        <v/>
      </c>
      <c r="AL1677" s="34" t="str">
        <f aca="false">IF($B1677="","",COUNTIF($F1677:$AJ1677,"A"))</f>
        <v/>
      </c>
      <c r="AM1677" s="34" t="str">
        <f aca="false">IF($B1677="","",COUNTIF($F1677:$AJ1677,"HA"))</f>
        <v/>
      </c>
      <c r="AN1677" s="34" t="str">
        <f aca="false">IF($B1677="","",COUNTIF($F1677:$AJ1677,"L"))</f>
        <v/>
      </c>
      <c r="AO1677" s="34" t="str">
        <f aca="false">IF($B1677="","",COUNTIF($F1677:$AJ1677,"PL"))</f>
        <v/>
      </c>
      <c r="AP1677" s="34" t="str">
        <f aca="false">IF($B1677="","",COUNTIF($F1677:$AJ1677,"CL"))</f>
        <v/>
      </c>
      <c r="AQ1677" s="34" t="str">
        <f aca="false">IF($B1677="","",COUNTIF($F1677:$AJ1677,"SL"))</f>
        <v/>
      </c>
      <c r="AR1677" s="34" t="str">
        <f aca="false">IF($B1677="","",COUNTIF($F1677:$AJ1677,"CO"))</f>
        <v/>
      </c>
      <c r="AS1677" s="34" t="str">
        <f aca="false">IF($B1677="","",COUNTIF($F1677:$AJ1677,"HPL"))</f>
        <v/>
      </c>
      <c r="AT1677" s="34" t="str">
        <f aca="false">IF($B1677="","",COUNTIF($F1677:$AJ1677,"HCL"))</f>
        <v/>
      </c>
      <c r="AU1677" s="34" t="str">
        <f aca="false">IF($B1677="","",COUNTIF($F1677:$AJ1677,"WO"))</f>
        <v/>
      </c>
      <c r="AV1677" s="34" t="str">
        <f aca="false">IF($B1677="","",COUNTIF($F1677:$AJ1677,"PH"))</f>
        <v/>
      </c>
      <c r="AW1677" s="34" t="str">
        <f aca="false">IF($B1677="","",COUNTIF($F1677:$AJ1677,"TR"))</f>
        <v/>
      </c>
      <c r="AX1677" s="35" t="str">
        <f aca="false">IF($B1677="","",AO1677+AS1677/2)</f>
        <v/>
      </c>
      <c r="AY1677" s="35" t="str">
        <f aca="false">IF($B1677="","",AQ1677)</f>
        <v/>
      </c>
      <c r="AZ1677" s="35" t="str">
        <f aca="false">IF($B1677="","",AP1677+AT1677/2)</f>
        <v/>
      </c>
      <c r="BA1677" s="35" t="str">
        <f aca="false">IF($B1677="","",AK1677+AN1677+AM1677/2+AO1677+AP1677+AQ1677+AR1677+AS1677+AT1677+AU1677+AV1677+AW1677)</f>
        <v/>
      </c>
      <c r="BB1677" s="35" t="str">
        <f aca="false">IF($B1677="","",MAX(0,AN1677-Settings!$C$16)*Settings!$C$17)</f>
        <v/>
      </c>
      <c r="BC1677" s="35" t="str">
        <f aca="false">IF($B1677="","",BA1677-BB1677)</f>
        <v/>
      </c>
      <c r="BD1677" s="35" t="str">
        <f aca="false">IF(OR($B1677="",$A1677=""),"",DAY(EOMONTH($A1677,0))-COUNTA($F1677:$AJ1677))</f>
        <v/>
      </c>
    </row>
    <row r="1678" customFormat="false" ht="15" hidden="false" customHeight="false" outlineLevel="0" collapsed="false">
      <c r="A1678" s="32"/>
      <c r="B1678" s="29"/>
      <c r="C1678" s="10" t="str">
        <f aca="false">IF($B1678="","",IFERROR(INDEX(M_name,MATCH($B1678,M_emp,0)),"Code not found"))</f>
        <v/>
      </c>
      <c r="D1678" s="10" t="str">
        <f aca="false">IF($B1678="","",IFERROR(INDEX(M_dept,MATCH($B1678,M_emp,0)),""))</f>
        <v/>
      </c>
      <c r="E1678" s="10" t="str">
        <f aca="false">IF($B1678="","",IFERROR(INDEX(M_loc,MATCH($B1678,M_emp,0)),""))</f>
        <v/>
      </c>
      <c r="F1678" s="33"/>
      <c r="G1678" s="33"/>
      <c r="H1678" s="33"/>
      <c r="I1678" s="33"/>
      <c r="J1678" s="33"/>
      <c r="K1678" s="33"/>
      <c r="L1678" s="33"/>
      <c r="M1678" s="33"/>
      <c r="N1678" s="33"/>
      <c r="O1678" s="33"/>
      <c r="P1678" s="33"/>
      <c r="Q1678" s="33"/>
      <c r="R1678" s="33"/>
      <c r="S1678" s="33"/>
      <c r="T1678" s="33"/>
      <c r="U1678" s="33"/>
      <c r="V1678" s="33"/>
      <c r="W1678" s="33"/>
      <c r="X1678" s="33"/>
      <c r="Y1678" s="33"/>
      <c r="Z1678" s="33"/>
      <c r="AA1678" s="33"/>
      <c r="AB1678" s="33"/>
      <c r="AC1678" s="33"/>
      <c r="AD1678" s="33"/>
      <c r="AE1678" s="33"/>
      <c r="AF1678" s="33"/>
      <c r="AG1678" s="33"/>
      <c r="AH1678" s="33"/>
      <c r="AI1678" s="33"/>
      <c r="AJ1678" s="33"/>
      <c r="AK1678" s="34" t="str">
        <f aca="false">IF($B1678="","",COUNTIF($F1678:$AJ1678,"P"))</f>
        <v/>
      </c>
      <c r="AL1678" s="34" t="str">
        <f aca="false">IF($B1678="","",COUNTIF($F1678:$AJ1678,"A"))</f>
        <v/>
      </c>
      <c r="AM1678" s="34" t="str">
        <f aca="false">IF($B1678="","",COUNTIF($F1678:$AJ1678,"HA"))</f>
        <v/>
      </c>
      <c r="AN1678" s="34" t="str">
        <f aca="false">IF($B1678="","",COUNTIF($F1678:$AJ1678,"L"))</f>
        <v/>
      </c>
      <c r="AO1678" s="34" t="str">
        <f aca="false">IF($B1678="","",COUNTIF($F1678:$AJ1678,"PL"))</f>
        <v/>
      </c>
      <c r="AP1678" s="34" t="str">
        <f aca="false">IF($B1678="","",COUNTIF($F1678:$AJ1678,"CL"))</f>
        <v/>
      </c>
      <c r="AQ1678" s="34" t="str">
        <f aca="false">IF($B1678="","",COUNTIF($F1678:$AJ1678,"SL"))</f>
        <v/>
      </c>
      <c r="AR1678" s="34" t="str">
        <f aca="false">IF($B1678="","",COUNTIF($F1678:$AJ1678,"CO"))</f>
        <v/>
      </c>
      <c r="AS1678" s="34" t="str">
        <f aca="false">IF($B1678="","",COUNTIF($F1678:$AJ1678,"HPL"))</f>
        <v/>
      </c>
      <c r="AT1678" s="34" t="str">
        <f aca="false">IF($B1678="","",COUNTIF($F1678:$AJ1678,"HCL"))</f>
        <v/>
      </c>
      <c r="AU1678" s="34" t="str">
        <f aca="false">IF($B1678="","",COUNTIF($F1678:$AJ1678,"WO"))</f>
        <v/>
      </c>
      <c r="AV1678" s="34" t="str">
        <f aca="false">IF($B1678="","",COUNTIF($F1678:$AJ1678,"PH"))</f>
        <v/>
      </c>
      <c r="AW1678" s="34" t="str">
        <f aca="false">IF($B1678="","",COUNTIF($F1678:$AJ1678,"TR"))</f>
        <v/>
      </c>
      <c r="AX1678" s="35" t="str">
        <f aca="false">IF($B1678="","",AO1678+AS1678/2)</f>
        <v/>
      </c>
      <c r="AY1678" s="35" t="str">
        <f aca="false">IF($B1678="","",AQ1678)</f>
        <v/>
      </c>
      <c r="AZ1678" s="35" t="str">
        <f aca="false">IF($B1678="","",AP1678+AT1678/2)</f>
        <v/>
      </c>
      <c r="BA1678" s="35" t="str">
        <f aca="false">IF($B1678="","",AK1678+AN1678+AM1678/2+AO1678+AP1678+AQ1678+AR1678+AS1678+AT1678+AU1678+AV1678+AW1678)</f>
        <v/>
      </c>
      <c r="BB1678" s="35" t="str">
        <f aca="false">IF($B1678="","",MAX(0,AN1678-Settings!$C$16)*Settings!$C$17)</f>
        <v/>
      </c>
      <c r="BC1678" s="35" t="str">
        <f aca="false">IF($B1678="","",BA1678-BB1678)</f>
        <v/>
      </c>
      <c r="BD1678" s="35" t="str">
        <f aca="false">IF(OR($B1678="",$A1678=""),"",DAY(EOMONTH($A1678,0))-COUNTA($F1678:$AJ1678))</f>
        <v/>
      </c>
    </row>
    <row r="1679" customFormat="false" ht="15" hidden="false" customHeight="false" outlineLevel="0" collapsed="false">
      <c r="A1679" s="32"/>
      <c r="B1679" s="29"/>
      <c r="C1679" s="10" t="str">
        <f aca="false">IF($B1679="","",IFERROR(INDEX(M_name,MATCH($B1679,M_emp,0)),"Code not found"))</f>
        <v/>
      </c>
      <c r="D1679" s="10" t="str">
        <f aca="false">IF($B1679="","",IFERROR(INDEX(M_dept,MATCH($B1679,M_emp,0)),""))</f>
        <v/>
      </c>
      <c r="E1679" s="10" t="str">
        <f aca="false">IF($B1679="","",IFERROR(INDEX(M_loc,MATCH($B1679,M_emp,0)),""))</f>
        <v/>
      </c>
      <c r="F1679" s="33"/>
      <c r="G1679" s="33"/>
      <c r="H1679" s="33"/>
      <c r="I1679" s="33"/>
      <c r="J1679" s="33"/>
      <c r="K1679" s="33"/>
      <c r="L1679" s="33"/>
      <c r="M1679" s="33"/>
      <c r="N1679" s="33"/>
      <c r="O1679" s="33"/>
      <c r="P1679" s="33"/>
      <c r="Q1679" s="33"/>
      <c r="R1679" s="33"/>
      <c r="S1679" s="33"/>
      <c r="T1679" s="33"/>
      <c r="U1679" s="33"/>
      <c r="V1679" s="33"/>
      <c r="W1679" s="33"/>
      <c r="X1679" s="33"/>
      <c r="Y1679" s="33"/>
      <c r="Z1679" s="33"/>
      <c r="AA1679" s="33"/>
      <c r="AB1679" s="33"/>
      <c r="AC1679" s="33"/>
      <c r="AD1679" s="33"/>
      <c r="AE1679" s="33"/>
      <c r="AF1679" s="33"/>
      <c r="AG1679" s="33"/>
      <c r="AH1679" s="33"/>
      <c r="AI1679" s="33"/>
      <c r="AJ1679" s="33"/>
      <c r="AK1679" s="34" t="str">
        <f aca="false">IF($B1679="","",COUNTIF($F1679:$AJ1679,"P"))</f>
        <v/>
      </c>
      <c r="AL1679" s="34" t="str">
        <f aca="false">IF($B1679="","",COUNTIF($F1679:$AJ1679,"A"))</f>
        <v/>
      </c>
      <c r="AM1679" s="34" t="str">
        <f aca="false">IF($B1679="","",COUNTIF($F1679:$AJ1679,"HA"))</f>
        <v/>
      </c>
      <c r="AN1679" s="34" t="str">
        <f aca="false">IF($B1679="","",COUNTIF($F1679:$AJ1679,"L"))</f>
        <v/>
      </c>
      <c r="AO1679" s="34" t="str">
        <f aca="false">IF($B1679="","",COUNTIF($F1679:$AJ1679,"PL"))</f>
        <v/>
      </c>
      <c r="AP1679" s="34" t="str">
        <f aca="false">IF($B1679="","",COUNTIF($F1679:$AJ1679,"CL"))</f>
        <v/>
      </c>
      <c r="AQ1679" s="34" t="str">
        <f aca="false">IF($B1679="","",COUNTIF($F1679:$AJ1679,"SL"))</f>
        <v/>
      </c>
      <c r="AR1679" s="34" t="str">
        <f aca="false">IF($B1679="","",COUNTIF($F1679:$AJ1679,"CO"))</f>
        <v/>
      </c>
      <c r="AS1679" s="34" t="str">
        <f aca="false">IF($B1679="","",COUNTIF($F1679:$AJ1679,"HPL"))</f>
        <v/>
      </c>
      <c r="AT1679" s="34" t="str">
        <f aca="false">IF($B1679="","",COUNTIF($F1679:$AJ1679,"HCL"))</f>
        <v/>
      </c>
      <c r="AU1679" s="34" t="str">
        <f aca="false">IF($B1679="","",COUNTIF($F1679:$AJ1679,"WO"))</f>
        <v/>
      </c>
      <c r="AV1679" s="34" t="str">
        <f aca="false">IF($B1679="","",COUNTIF($F1679:$AJ1679,"PH"))</f>
        <v/>
      </c>
      <c r="AW1679" s="34" t="str">
        <f aca="false">IF($B1679="","",COUNTIF($F1679:$AJ1679,"TR"))</f>
        <v/>
      </c>
      <c r="AX1679" s="35" t="str">
        <f aca="false">IF($B1679="","",AO1679+AS1679/2)</f>
        <v/>
      </c>
      <c r="AY1679" s="35" t="str">
        <f aca="false">IF($B1679="","",AQ1679)</f>
        <v/>
      </c>
      <c r="AZ1679" s="35" t="str">
        <f aca="false">IF($B1679="","",AP1679+AT1679/2)</f>
        <v/>
      </c>
      <c r="BA1679" s="35" t="str">
        <f aca="false">IF($B1679="","",AK1679+AN1679+AM1679/2+AO1679+AP1679+AQ1679+AR1679+AS1679+AT1679+AU1679+AV1679+AW1679)</f>
        <v/>
      </c>
      <c r="BB1679" s="35" t="str">
        <f aca="false">IF($B1679="","",MAX(0,AN1679-Settings!$C$16)*Settings!$C$17)</f>
        <v/>
      </c>
      <c r="BC1679" s="35" t="str">
        <f aca="false">IF($B1679="","",BA1679-BB1679)</f>
        <v/>
      </c>
      <c r="BD1679" s="35" t="str">
        <f aca="false">IF(OR($B1679="",$A1679=""),"",DAY(EOMONTH($A1679,0))-COUNTA($F1679:$AJ1679))</f>
        <v/>
      </c>
    </row>
    <row r="1680" customFormat="false" ht="15" hidden="false" customHeight="false" outlineLevel="0" collapsed="false">
      <c r="A1680" s="32"/>
      <c r="B1680" s="29"/>
      <c r="C1680" s="10" t="str">
        <f aca="false">IF($B1680="","",IFERROR(INDEX(M_name,MATCH($B1680,M_emp,0)),"Code not found"))</f>
        <v/>
      </c>
      <c r="D1680" s="10" t="str">
        <f aca="false">IF($B1680="","",IFERROR(INDEX(M_dept,MATCH($B1680,M_emp,0)),""))</f>
        <v/>
      </c>
      <c r="E1680" s="10" t="str">
        <f aca="false">IF($B1680="","",IFERROR(INDEX(M_loc,MATCH($B1680,M_emp,0)),""))</f>
        <v/>
      </c>
      <c r="F1680" s="33"/>
      <c r="G1680" s="33"/>
      <c r="H1680" s="33"/>
      <c r="I1680" s="33"/>
      <c r="J1680" s="33"/>
      <c r="K1680" s="33"/>
      <c r="L1680" s="33"/>
      <c r="M1680" s="33"/>
      <c r="N1680" s="33"/>
      <c r="O1680" s="33"/>
      <c r="P1680" s="33"/>
      <c r="Q1680" s="33"/>
      <c r="R1680" s="33"/>
      <c r="S1680" s="33"/>
      <c r="T1680" s="33"/>
      <c r="U1680" s="33"/>
      <c r="V1680" s="33"/>
      <c r="W1680" s="33"/>
      <c r="X1680" s="33"/>
      <c r="Y1680" s="33"/>
      <c r="Z1680" s="33"/>
      <c r="AA1680" s="33"/>
      <c r="AB1680" s="33"/>
      <c r="AC1680" s="33"/>
      <c r="AD1680" s="33"/>
      <c r="AE1680" s="33"/>
      <c r="AF1680" s="33"/>
      <c r="AG1680" s="33"/>
      <c r="AH1680" s="33"/>
      <c r="AI1680" s="33"/>
      <c r="AJ1680" s="33"/>
      <c r="AK1680" s="34" t="str">
        <f aca="false">IF($B1680="","",COUNTIF($F1680:$AJ1680,"P"))</f>
        <v/>
      </c>
      <c r="AL1680" s="34" t="str">
        <f aca="false">IF($B1680="","",COUNTIF($F1680:$AJ1680,"A"))</f>
        <v/>
      </c>
      <c r="AM1680" s="34" t="str">
        <f aca="false">IF($B1680="","",COUNTIF($F1680:$AJ1680,"HA"))</f>
        <v/>
      </c>
      <c r="AN1680" s="34" t="str">
        <f aca="false">IF($B1680="","",COUNTIF($F1680:$AJ1680,"L"))</f>
        <v/>
      </c>
      <c r="AO1680" s="34" t="str">
        <f aca="false">IF($B1680="","",COUNTIF($F1680:$AJ1680,"PL"))</f>
        <v/>
      </c>
      <c r="AP1680" s="34" t="str">
        <f aca="false">IF($B1680="","",COUNTIF($F1680:$AJ1680,"CL"))</f>
        <v/>
      </c>
      <c r="AQ1680" s="34" t="str">
        <f aca="false">IF($B1680="","",COUNTIF($F1680:$AJ1680,"SL"))</f>
        <v/>
      </c>
      <c r="AR1680" s="34" t="str">
        <f aca="false">IF($B1680="","",COUNTIF($F1680:$AJ1680,"CO"))</f>
        <v/>
      </c>
      <c r="AS1680" s="34" t="str">
        <f aca="false">IF($B1680="","",COUNTIF($F1680:$AJ1680,"HPL"))</f>
        <v/>
      </c>
      <c r="AT1680" s="34" t="str">
        <f aca="false">IF($B1680="","",COUNTIF($F1680:$AJ1680,"HCL"))</f>
        <v/>
      </c>
      <c r="AU1680" s="34" t="str">
        <f aca="false">IF($B1680="","",COUNTIF($F1680:$AJ1680,"WO"))</f>
        <v/>
      </c>
      <c r="AV1680" s="34" t="str">
        <f aca="false">IF($B1680="","",COUNTIF($F1680:$AJ1680,"PH"))</f>
        <v/>
      </c>
      <c r="AW1680" s="34" t="str">
        <f aca="false">IF($B1680="","",COUNTIF($F1680:$AJ1680,"TR"))</f>
        <v/>
      </c>
      <c r="AX1680" s="35" t="str">
        <f aca="false">IF($B1680="","",AO1680+AS1680/2)</f>
        <v/>
      </c>
      <c r="AY1680" s="35" t="str">
        <f aca="false">IF($B1680="","",AQ1680)</f>
        <v/>
      </c>
      <c r="AZ1680" s="35" t="str">
        <f aca="false">IF($B1680="","",AP1680+AT1680/2)</f>
        <v/>
      </c>
      <c r="BA1680" s="35" t="str">
        <f aca="false">IF($B1680="","",AK1680+AN1680+AM1680/2+AO1680+AP1680+AQ1680+AR1680+AS1680+AT1680+AU1680+AV1680+AW1680)</f>
        <v/>
      </c>
      <c r="BB1680" s="35" t="str">
        <f aca="false">IF($B1680="","",MAX(0,AN1680-Settings!$C$16)*Settings!$C$17)</f>
        <v/>
      </c>
      <c r="BC1680" s="35" t="str">
        <f aca="false">IF($B1680="","",BA1680-BB1680)</f>
        <v/>
      </c>
      <c r="BD1680" s="35" t="str">
        <f aca="false">IF(OR($B1680="",$A1680=""),"",DAY(EOMONTH($A1680,0))-COUNTA($F1680:$AJ1680))</f>
        <v/>
      </c>
    </row>
    <row r="1681" customFormat="false" ht="15" hidden="false" customHeight="false" outlineLevel="0" collapsed="false">
      <c r="A1681" s="32"/>
      <c r="B1681" s="29"/>
      <c r="C1681" s="10" t="str">
        <f aca="false">IF($B1681="","",IFERROR(INDEX(M_name,MATCH($B1681,M_emp,0)),"Code not found"))</f>
        <v/>
      </c>
      <c r="D1681" s="10" t="str">
        <f aca="false">IF($B1681="","",IFERROR(INDEX(M_dept,MATCH($B1681,M_emp,0)),""))</f>
        <v/>
      </c>
      <c r="E1681" s="10" t="str">
        <f aca="false">IF($B1681="","",IFERROR(INDEX(M_loc,MATCH($B1681,M_emp,0)),""))</f>
        <v/>
      </c>
      <c r="F1681" s="33"/>
      <c r="G1681" s="33"/>
      <c r="H1681" s="33"/>
      <c r="I1681" s="33"/>
      <c r="J1681" s="33"/>
      <c r="K1681" s="33"/>
      <c r="L1681" s="33"/>
      <c r="M1681" s="33"/>
      <c r="N1681" s="33"/>
      <c r="O1681" s="33"/>
      <c r="P1681" s="33"/>
      <c r="Q1681" s="33"/>
      <c r="R1681" s="33"/>
      <c r="S1681" s="33"/>
      <c r="T1681" s="33"/>
      <c r="U1681" s="33"/>
      <c r="V1681" s="33"/>
      <c r="W1681" s="33"/>
      <c r="X1681" s="33"/>
      <c r="Y1681" s="33"/>
      <c r="Z1681" s="33"/>
      <c r="AA1681" s="33"/>
      <c r="AB1681" s="33"/>
      <c r="AC1681" s="33"/>
      <c r="AD1681" s="33"/>
      <c r="AE1681" s="33"/>
      <c r="AF1681" s="33"/>
      <c r="AG1681" s="33"/>
      <c r="AH1681" s="33"/>
      <c r="AI1681" s="33"/>
      <c r="AJ1681" s="33"/>
      <c r="AK1681" s="34" t="str">
        <f aca="false">IF($B1681="","",COUNTIF($F1681:$AJ1681,"P"))</f>
        <v/>
      </c>
      <c r="AL1681" s="34" t="str">
        <f aca="false">IF($B1681="","",COUNTIF($F1681:$AJ1681,"A"))</f>
        <v/>
      </c>
      <c r="AM1681" s="34" t="str">
        <f aca="false">IF($B1681="","",COUNTIF($F1681:$AJ1681,"HA"))</f>
        <v/>
      </c>
      <c r="AN1681" s="34" t="str">
        <f aca="false">IF($B1681="","",COUNTIF($F1681:$AJ1681,"L"))</f>
        <v/>
      </c>
      <c r="AO1681" s="34" t="str">
        <f aca="false">IF($B1681="","",COUNTIF($F1681:$AJ1681,"PL"))</f>
        <v/>
      </c>
      <c r="AP1681" s="34" t="str">
        <f aca="false">IF($B1681="","",COUNTIF($F1681:$AJ1681,"CL"))</f>
        <v/>
      </c>
      <c r="AQ1681" s="34" t="str">
        <f aca="false">IF($B1681="","",COUNTIF($F1681:$AJ1681,"SL"))</f>
        <v/>
      </c>
      <c r="AR1681" s="34" t="str">
        <f aca="false">IF($B1681="","",COUNTIF($F1681:$AJ1681,"CO"))</f>
        <v/>
      </c>
      <c r="AS1681" s="34" t="str">
        <f aca="false">IF($B1681="","",COUNTIF($F1681:$AJ1681,"HPL"))</f>
        <v/>
      </c>
      <c r="AT1681" s="34" t="str">
        <f aca="false">IF($B1681="","",COUNTIF($F1681:$AJ1681,"HCL"))</f>
        <v/>
      </c>
      <c r="AU1681" s="34" t="str">
        <f aca="false">IF($B1681="","",COUNTIF($F1681:$AJ1681,"WO"))</f>
        <v/>
      </c>
      <c r="AV1681" s="34" t="str">
        <f aca="false">IF($B1681="","",COUNTIF($F1681:$AJ1681,"PH"))</f>
        <v/>
      </c>
      <c r="AW1681" s="34" t="str">
        <f aca="false">IF($B1681="","",COUNTIF($F1681:$AJ1681,"TR"))</f>
        <v/>
      </c>
      <c r="AX1681" s="35" t="str">
        <f aca="false">IF($B1681="","",AO1681+AS1681/2)</f>
        <v/>
      </c>
      <c r="AY1681" s="35" t="str">
        <f aca="false">IF($B1681="","",AQ1681)</f>
        <v/>
      </c>
      <c r="AZ1681" s="35" t="str">
        <f aca="false">IF($B1681="","",AP1681+AT1681/2)</f>
        <v/>
      </c>
      <c r="BA1681" s="35" t="str">
        <f aca="false">IF($B1681="","",AK1681+AN1681+AM1681/2+AO1681+AP1681+AQ1681+AR1681+AS1681+AT1681+AU1681+AV1681+AW1681)</f>
        <v/>
      </c>
      <c r="BB1681" s="35" t="str">
        <f aca="false">IF($B1681="","",MAX(0,AN1681-Settings!$C$16)*Settings!$C$17)</f>
        <v/>
      </c>
      <c r="BC1681" s="35" t="str">
        <f aca="false">IF($B1681="","",BA1681-BB1681)</f>
        <v/>
      </c>
      <c r="BD1681" s="35" t="str">
        <f aca="false">IF(OR($B1681="",$A1681=""),"",DAY(EOMONTH($A1681,0))-COUNTA($F1681:$AJ1681))</f>
        <v/>
      </c>
    </row>
    <row r="1682" customFormat="false" ht="15" hidden="false" customHeight="false" outlineLevel="0" collapsed="false">
      <c r="A1682" s="32"/>
      <c r="B1682" s="29"/>
      <c r="C1682" s="10" t="str">
        <f aca="false">IF($B1682="","",IFERROR(INDEX(M_name,MATCH($B1682,M_emp,0)),"Code not found"))</f>
        <v/>
      </c>
      <c r="D1682" s="10" t="str">
        <f aca="false">IF($B1682="","",IFERROR(INDEX(M_dept,MATCH($B1682,M_emp,0)),""))</f>
        <v/>
      </c>
      <c r="E1682" s="10" t="str">
        <f aca="false">IF($B1682="","",IFERROR(INDEX(M_loc,MATCH($B1682,M_emp,0)),""))</f>
        <v/>
      </c>
      <c r="F1682" s="33"/>
      <c r="G1682" s="33"/>
      <c r="H1682" s="33"/>
      <c r="I1682" s="33"/>
      <c r="J1682" s="33"/>
      <c r="K1682" s="33"/>
      <c r="L1682" s="33"/>
      <c r="M1682" s="33"/>
      <c r="N1682" s="33"/>
      <c r="O1682" s="33"/>
      <c r="P1682" s="33"/>
      <c r="Q1682" s="33"/>
      <c r="R1682" s="33"/>
      <c r="S1682" s="33"/>
      <c r="T1682" s="33"/>
      <c r="U1682" s="33"/>
      <c r="V1682" s="33"/>
      <c r="W1682" s="33"/>
      <c r="X1682" s="33"/>
      <c r="Y1682" s="33"/>
      <c r="Z1682" s="33"/>
      <c r="AA1682" s="33"/>
      <c r="AB1682" s="33"/>
      <c r="AC1682" s="33"/>
      <c r="AD1682" s="33"/>
      <c r="AE1682" s="33"/>
      <c r="AF1682" s="33"/>
      <c r="AG1682" s="33"/>
      <c r="AH1682" s="33"/>
      <c r="AI1682" s="33"/>
      <c r="AJ1682" s="33"/>
      <c r="AK1682" s="34" t="str">
        <f aca="false">IF($B1682="","",COUNTIF($F1682:$AJ1682,"P"))</f>
        <v/>
      </c>
      <c r="AL1682" s="34" t="str">
        <f aca="false">IF($B1682="","",COUNTIF($F1682:$AJ1682,"A"))</f>
        <v/>
      </c>
      <c r="AM1682" s="34" t="str">
        <f aca="false">IF($B1682="","",COUNTIF($F1682:$AJ1682,"HA"))</f>
        <v/>
      </c>
      <c r="AN1682" s="34" t="str">
        <f aca="false">IF($B1682="","",COUNTIF($F1682:$AJ1682,"L"))</f>
        <v/>
      </c>
      <c r="AO1682" s="34" t="str">
        <f aca="false">IF($B1682="","",COUNTIF($F1682:$AJ1682,"PL"))</f>
        <v/>
      </c>
      <c r="AP1682" s="34" t="str">
        <f aca="false">IF($B1682="","",COUNTIF($F1682:$AJ1682,"CL"))</f>
        <v/>
      </c>
      <c r="AQ1682" s="34" t="str">
        <f aca="false">IF($B1682="","",COUNTIF($F1682:$AJ1682,"SL"))</f>
        <v/>
      </c>
      <c r="AR1682" s="34" t="str">
        <f aca="false">IF($B1682="","",COUNTIF($F1682:$AJ1682,"CO"))</f>
        <v/>
      </c>
      <c r="AS1682" s="34" t="str">
        <f aca="false">IF($B1682="","",COUNTIF($F1682:$AJ1682,"HPL"))</f>
        <v/>
      </c>
      <c r="AT1682" s="34" t="str">
        <f aca="false">IF($B1682="","",COUNTIF($F1682:$AJ1682,"HCL"))</f>
        <v/>
      </c>
      <c r="AU1682" s="34" t="str">
        <f aca="false">IF($B1682="","",COUNTIF($F1682:$AJ1682,"WO"))</f>
        <v/>
      </c>
      <c r="AV1682" s="34" t="str">
        <f aca="false">IF($B1682="","",COUNTIF($F1682:$AJ1682,"PH"))</f>
        <v/>
      </c>
      <c r="AW1682" s="34" t="str">
        <f aca="false">IF($B1682="","",COUNTIF($F1682:$AJ1682,"TR"))</f>
        <v/>
      </c>
      <c r="AX1682" s="35" t="str">
        <f aca="false">IF($B1682="","",AO1682+AS1682/2)</f>
        <v/>
      </c>
      <c r="AY1682" s="35" t="str">
        <f aca="false">IF($B1682="","",AQ1682)</f>
        <v/>
      </c>
      <c r="AZ1682" s="35" t="str">
        <f aca="false">IF($B1682="","",AP1682+AT1682/2)</f>
        <v/>
      </c>
      <c r="BA1682" s="35" t="str">
        <f aca="false">IF($B1682="","",AK1682+AN1682+AM1682/2+AO1682+AP1682+AQ1682+AR1682+AS1682+AT1682+AU1682+AV1682+AW1682)</f>
        <v/>
      </c>
      <c r="BB1682" s="35" t="str">
        <f aca="false">IF($B1682="","",MAX(0,AN1682-Settings!$C$16)*Settings!$C$17)</f>
        <v/>
      </c>
      <c r="BC1682" s="35" t="str">
        <f aca="false">IF($B1682="","",BA1682-BB1682)</f>
        <v/>
      </c>
      <c r="BD1682" s="35" t="str">
        <f aca="false">IF(OR($B1682="",$A1682=""),"",DAY(EOMONTH($A1682,0))-COUNTA($F1682:$AJ1682))</f>
        <v/>
      </c>
    </row>
    <row r="1683" customFormat="false" ht="15" hidden="false" customHeight="false" outlineLevel="0" collapsed="false">
      <c r="A1683" s="32"/>
      <c r="B1683" s="29"/>
      <c r="C1683" s="10" t="str">
        <f aca="false">IF($B1683="","",IFERROR(INDEX(M_name,MATCH($B1683,M_emp,0)),"Code not found"))</f>
        <v/>
      </c>
      <c r="D1683" s="10" t="str">
        <f aca="false">IF($B1683="","",IFERROR(INDEX(M_dept,MATCH($B1683,M_emp,0)),""))</f>
        <v/>
      </c>
      <c r="E1683" s="10" t="str">
        <f aca="false">IF($B1683="","",IFERROR(INDEX(M_loc,MATCH($B1683,M_emp,0)),""))</f>
        <v/>
      </c>
      <c r="F1683" s="33"/>
      <c r="G1683" s="33"/>
      <c r="H1683" s="33"/>
      <c r="I1683" s="33"/>
      <c r="J1683" s="33"/>
      <c r="K1683" s="33"/>
      <c r="L1683" s="33"/>
      <c r="M1683" s="33"/>
      <c r="N1683" s="33"/>
      <c r="O1683" s="33"/>
      <c r="P1683" s="33"/>
      <c r="Q1683" s="33"/>
      <c r="R1683" s="33"/>
      <c r="S1683" s="33"/>
      <c r="T1683" s="33"/>
      <c r="U1683" s="33"/>
      <c r="V1683" s="33"/>
      <c r="W1683" s="33"/>
      <c r="X1683" s="33"/>
      <c r="Y1683" s="33"/>
      <c r="Z1683" s="33"/>
      <c r="AA1683" s="33"/>
      <c r="AB1683" s="33"/>
      <c r="AC1683" s="33"/>
      <c r="AD1683" s="33"/>
      <c r="AE1683" s="33"/>
      <c r="AF1683" s="33"/>
      <c r="AG1683" s="33"/>
      <c r="AH1683" s="33"/>
      <c r="AI1683" s="33"/>
      <c r="AJ1683" s="33"/>
      <c r="AK1683" s="34" t="str">
        <f aca="false">IF($B1683="","",COUNTIF($F1683:$AJ1683,"P"))</f>
        <v/>
      </c>
      <c r="AL1683" s="34" t="str">
        <f aca="false">IF($B1683="","",COUNTIF($F1683:$AJ1683,"A"))</f>
        <v/>
      </c>
      <c r="AM1683" s="34" t="str">
        <f aca="false">IF($B1683="","",COUNTIF($F1683:$AJ1683,"HA"))</f>
        <v/>
      </c>
      <c r="AN1683" s="34" t="str">
        <f aca="false">IF($B1683="","",COUNTIF($F1683:$AJ1683,"L"))</f>
        <v/>
      </c>
      <c r="AO1683" s="34" t="str">
        <f aca="false">IF($B1683="","",COUNTIF($F1683:$AJ1683,"PL"))</f>
        <v/>
      </c>
      <c r="AP1683" s="34" t="str">
        <f aca="false">IF($B1683="","",COUNTIF($F1683:$AJ1683,"CL"))</f>
        <v/>
      </c>
      <c r="AQ1683" s="34" t="str">
        <f aca="false">IF($B1683="","",COUNTIF($F1683:$AJ1683,"SL"))</f>
        <v/>
      </c>
      <c r="AR1683" s="34" t="str">
        <f aca="false">IF($B1683="","",COUNTIF($F1683:$AJ1683,"CO"))</f>
        <v/>
      </c>
      <c r="AS1683" s="34" t="str">
        <f aca="false">IF($B1683="","",COUNTIF($F1683:$AJ1683,"HPL"))</f>
        <v/>
      </c>
      <c r="AT1683" s="34" t="str">
        <f aca="false">IF($B1683="","",COUNTIF($F1683:$AJ1683,"HCL"))</f>
        <v/>
      </c>
      <c r="AU1683" s="34" t="str">
        <f aca="false">IF($B1683="","",COUNTIF($F1683:$AJ1683,"WO"))</f>
        <v/>
      </c>
      <c r="AV1683" s="34" t="str">
        <f aca="false">IF($B1683="","",COUNTIF($F1683:$AJ1683,"PH"))</f>
        <v/>
      </c>
      <c r="AW1683" s="34" t="str">
        <f aca="false">IF($B1683="","",COUNTIF($F1683:$AJ1683,"TR"))</f>
        <v/>
      </c>
      <c r="AX1683" s="35" t="str">
        <f aca="false">IF($B1683="","",AO1683+AS1683/2)</f>
        <v/>
      </c>
      <c r="AY1683" s="35" t="str">
        <f aca="false">IF($B1683="","",AQ1683)</f>
        <v/>
      </c>
      <c r="AZ1683" s="35" t="str">
        <f aca="false">IF($B1683="","",AP1683+AT1683/2)</f>
        <v/>
      </c>
      <c r="BA1683" s="35" t="str">
        <f aca="false">IF($B1683="","",AK1683+AN1683+AM1683/2+AO1683+AP1683+AQ1683+AR1683+AS1683+AT1683+AU1683+AV1683+AW1683)</f>
        <v/>
      </c>
      <c r="BB1683" s="35" t="str">
        <f aca="false">IF($B1683="","",MAX(0,AN1683-Settings!$C$16)*Settings!$C$17)</f>
        <v/>
      </c>
      <c r="BC1683" s="35" t="str">
        <f aca="false">IF($B1683="","",BA1683-BB1683)</f>
        <v/>
      </c>
      <c r="BD1683" s="35" t="str">
        <f aca="false">IF(OR($B1683="",$A1683=""),"",DAY(EOMONTH($A1683,0))-COUNTA($F1683:$AJ1683))</f>
        <v/>
      </c>
    </row>
    <row r="1684" customFormat="false" ht="15" hidden="false" customHeight="false" outlineLevel="0" collapsed="false">
      <c r="A1684" s="32"/>
      <c r="B1684" s="29"/>
      <c r="C1684" s="10" t="str">
        <f aca="false">IF($B1684="","",IFERROR(INDEX(M_name,MATCH($B1684,M_emp,0)),"Code not found"))</f>
        <v/>
      </c>
      <c r="D1684" s="10" t="str">
        <f aca="false">IF($B1684="","",IFERROR(INDEX(M_dept,MATCH($B1684,M_emp,0)),""))</f>
        <v/>
      </c>
      <c r="E1684" s="10" t="str">
        <f aca="false">IF($B1684="","",IFERROR(INDEX(M_loc,MATCH($B1684,M_emp,0)),""))</f>
        <v/>
      </c>
      <c r="F1684" s="33"/>
      <c r="G1684" s="33"/>
      <c r="H1684" s="33"/>
      <c r="I1684" s="33"/>
      <c r="J1684" s="33"/>
      <c r="K1684" s="33"/>
      <c r="L1684" s="33"/>
      <c r="M1684" s="33"/>
      <c r="N1684" s="33"/>
      <c r="O1684" s="33"/>
      <c r="P1684" s="33"/>
      <c r="Q1684" s="33"/>
      <c r="R1684" s="33"/>
      <c r="S1684" s="33"/>
      <c r="T1684" s="33"/>
      <c r="U1684" s="33"/>
      <c r="V1684" s="33"/>
      <c r="W1684" s="33"/>
      <c r="X1684" s="33"/>
      <c r="Y1684" s="33"/>
      <c r="Z1684" s="33"/>
      <c r="AA1684" s="33"/>
      <c r="AB1684" s="33"/>
      <c r="AC1684" s="33"/>
      <c r="AD1684" s="33"/>
      <c r="AE1684" s="33"/>
      <c r="AF1684" s="33"/>
      <c r="AG1684" s="33"/>
      <c r="AH1684" s="33"/>
      <c r="AI1684" s="33"/>
      <c r="AJ1684" s="33"/>
      <c r="AK1684" s="34" t="str">
        <f aca="false">IF($B1684="","",COUNTIF($F1684:$AJ1684,"P"))</f>
        <v/>
      </c>
      <c r="AL1684" s="34" t="str">
        <f aca="false">IF($B1684="","",COUNTIF($F1684:$AJ1684,"A"))</f>
        <v/>
      </c>
      <c r="AM1684" s="34" t="str">
        <f aca="false">IF($B1684="","",COUNTIF($F1684:$AJ1684,"HA"))</f>
        <v/>
      </c>
      <c r="AN1684" s="34" t="str">
        <f aca="false">IF($B1684="","",COUNTIF($F1684:$AJ1684,"L"))</f>
        <v/>
      </c>
      <c r="AO1684" s="34" t="str">
        <f aca="false">IF($B1684="","",COUNTIF($F1684:$AJ1684,"PL"))</f>
        <v/>
      </c>
      <c r="AP1684" s="34" t="str">
        <f aca="false">IF($B1684="","",COUNTIF($F1684:$AJ1684,"CL"))</f>
        <v/>
      </c>
      <c r="AQ1684" s="34" t="str">
        <f aca="false">IF($B1684="","",COUNTIF($F1684:$AJ1684,"SL"))</f>
        <v/>
      </c>
      <c r="AR1684" s="34" t="str">
        <f aca="false">IF($B1684="","",COUNTIF($F1684:$AJ1684,"CO"))</f>
        <v/>
      </c>
      <c r="AS1684" s="34" t="str">
        <f aca="false">IF($B1684="","",COUNTIF($F1684:$AJ1684,"HPL"))</f>
        <v/>
      </c>
      <c r="AT1684" s="34" t="str">
        <f aca="false">IF($B1684="","",COUNTIF($F1684:$AJ1684,"HCL"))</f>
        <v/>
      </c>
      <c r="AU1684" s="34" t="str">
        <f aca="false">IF($B1684="","",COUNTIF($F1684:$AJ1684,"WO"))</f>
        <v/>
      </c>
      <c r="AV1684" s="34" t="str">
        <f aca="false">IF($B1684="","",COUNTIF($F1684:$AJ1684,"PH"))</f>
        <v/>
      </c>
      <c r="AW1684" s="34" t="str">
        <f aca="false">IF($B1684="","",COUNTIF($F1684:$AJ1684,"TR"))</f>
        <v/>
      </c>
      <c r="AX1684" s="35" t="str">
        <f aca="false">IF($B1684="","",AO1684+AS1684/2)</f>
        <v/>
      </c>
      <c r="AY1684" s="35" t="str">
        <f aca="false">IF($B1684="","",AQ1684)</f>
        <v/>
      </c>
      <c r="AZ1684" s="35" t="str">
        <f aca="false">IF($B1684="","",AP1684+AT1684/2)</f>
        <v/>
      </c>
      <c r="BA1684" s="35" t="str">
        <f aca="false">IF($B1684="","",AK1684+AN1684+AM1684/2+AO1684+AP1684+AQ1684+AR1684+AS1684+AT1684+AU1684+AV1684+AW1684)</f>
        <v/>
      </c>
      <c r="BB1684" s="35" t="str">
        <f aca="false">IF($B1684="","",MAX(0,AN1684-Settings!$C$16)*Settings!$C$17)</f>
        <v/>
      </c>
      <c r="BC1684" s="35" t="str">
        <f aca="false">IF($B1684="","",BA1684-BB1684)</f>
        <v/>
      </c>
      <c r="BD1684" s="35" t="str">
        <f aca="false">IF(OR($B1684="",$A1684=""),"",DAY(EOMONTH($A1684,0))-COUNTA($F1684:$AJ1684))</f>
        <v/>
      </c>
    </row>
    <row r="1685" customFormat="false" ht="15" hidden="false" customHeight="false" outlineLevel="0" collapsed="false">
      <c r="A1685" s="32"/>
      <c r="B1685" s="29"/>
      <c r="C1685" s="10" t="str">
        <f aca="false">IF($B1685="","",IFERROR(INDEX(M_name,MATCH($B1685,M_emp,0)),"Code not found"))</f>
        <v/>
      </c>
      <c r="D1685" s="10" t="str">
        <f aca="false">IF($B1685="","",IFERROR(INDEX(M_dept,MATCH($B1685,M_emp,0)),""))</f>
        <v/>
      </c>
      <c r="E1685" s="10" t="str">
        <f aca="false">IF($B1685="","",IFERROR(INDEX(M_loc,MATCH($B1685,M_emp,0)),""))</f>
        <v/>
      </c>
      <c r="F1685" s="33"/>
      <c r="G1685" s="33"/>
      <c r="H1685" s="33"/>
      <c r="I1685" s="33"/>
      <c r="J1685" s="33"/>
      <c r="K1685" s="33"/>
      <c r="L1685" s="33"/>
      <c r="M1685" s="33"/>
      <c r="N1685" s="33"/>
      <c r="O1685" s="33"/>
      <c r="P1685" s="33"/>
      <c r="Q1685" s="33"/>
      <c r="R1685" s="33"/>
      <c r="S1685" s="33"/>
      <c r="T1685" s="33"/>
      <c r="U1685" s="33"/>
      <c r="V1685" s="33"/>
      <c r="W1685" s="33"/>
      <c r="X1685" s="33"/>
      <c r="Y1685" s="33"/>
      <c r="Z1685" s="33"/>
      <c r="AA1685" s="33"/>
      <c r="AB1685" s="33"/>
      <c r="AC1685" s="33"/>
      <c r="AD1685" s="33"/>
      <c r="AE1685" s="33"/>
      <c r="AF1685" s="33"/>
      <c r="AG1685" s="33"/>
      <c r="AH1685" s="33"/>
      <c r="AI1685" s="33"/>
      <c r="AJ1685" s="33"/>
      <c r="AK1685" s="34" t="str">
        <f aca="false">IF($B1685="","",COUNTIF($F1685:$AJ1685,"P"))</f>
        <v/>
      </c>
      <c r="AL1685" s="34" t="str">
        <f aca="false">IF($B1685="","",COUNTIF($F1685:$AJ1685,"A"))</f>
        <v/>
      </c>
      <c r="AM1685" s="34" t="str">
        <f aca="false">IF($B1685="","",COUNTIF($F1685:$AJ1685,"HA"))</f>
        <v/>
      </c>
      <c r="AN1685" s="34" t="str">
        <f aca="false">IF($B1685="","",COUNTIF($F1685:$AJ1685,"L"))</f>
        <v/>
      </c>
      <c r="AO1685" s="34" t="str">
        <f aca="false">IF($B1685="","",COUNTIF($F1685:$AJ1685,"PL"))</f>
        <v/>
      </c>
      <c r="AP1685" s="34" t="str">
        <f aca="false">IF($B1685="","",COUNTIF($F1685:$AJ1685,"CL"))</f>
        <v/>
      </c>
      <c r="AQ1685" s="34" t="str">
        <f aca="false">IF($B1685="","",COUNTIF($F1685:$AJ1685,"SL"))</f>
        <v/>
      </c>
      <c r="AR1685" s="34" t="str">
        <f aca="false">IF($B1685="","",COUNTIF($F1685:$AJ1685,"CO"))</f>
        <v/>
      </c>
      <c r="AS1685" s="34" t="str">
        <f aca="false">IF($B1685="","",COUNTIF($F1685:$AJ1685,"HPL"))</f>
        <v/>
      </c>
      <c r="AT1685" s="34" t="str">
        <f aca="false">IF($B1685="","",COUNTIF($F1685:$AJ1685,"HCL"))</f>
        <v/>
      </c>
      <c r="AU1685" s="34" t="str">
        <f aca="false">IF($B1685="","",COUNTIF($F1685:$AJ1685,"WO"))</f>
        <v/>
      </c>
      <c r="AV1685" s="34" t="str">
        <f aca="false">IF($B1685="","",COUNTIF($F1685:$AJ1685,"PH"))</f>
        <v/>
      </c>
      <c r="AW1685" s="34" t="str">
        <f aca="false">IF($B1685="","",COUNTIF($F1685:$AJ1685,"TR"))</f>
        <v/>
      </c>
      <c r="AX1685" s="35" t="str">
        <f aca="false">IF($B1685="","",AO1685+AS1685/2)</f>
        <v/>
      </c>
      <c r="AY1685" s="35" t="str">
        <f aca="false">IF($B1685="","",AQ1685)</f>
        <v/>
      </c>
      <c r="AZ1685" s="35" t="str">
        <f aca="false">IF($B1685="","",AP1685+AT1685/2)</f>
        <v/>
      </c>
      <c r="BA1685" s="35" t="str">
        <f aca="false">IF($B1685="","",AK1685+AN1685+AM1685/2+AO1685+AP1685+AQ1685+AR1685+AS1685+AT1685+AU1685+AV1685+AW1685)</f>
        <v/>
      </c>
      <c r="BB1685" s="35" t="str">
        <f aca="false">IF($B1685="","",MAX(0,AN1685-Settings!$C$16)*Settings!$C$17)</f>
        <v/>
      </c>
      <c r="BC1685" s="35" t="str">
        <f aca="false">IF($B1685="","",BA1685-BB1685)</f>
        <v/>
      </c>
      <c r="BD1685" s="35" t="str">
        <f aca="false">IF(OR($B1685="",$A1685=""),"",DAY(EOMONTH($A1685,0))-COUNTA($F1685:$AJ1685))</f>
        <v/>
      </c>
    </row>
    <row r="1686" customFormat="false" ht="15" hidden="false" customHeight="false" outlineLevel="0" collapsed="false">
      <c r="A1686" s="32"/>
      <c r="B1686" s="29"/>
      <c r="C1686" s="10" t="str">
        <f aca="false">IF($B1686="","",IFERROR(INDEX(M_name,MATCH($B1686,M_emp,0)),"Code not found"))</f>
        <v/>
      </c>
      <c r="D1686" s="10" t="str">
        <f aca="false">IF($B1686="","",IFERROR(INDEX(M_dept,MATCH($B1686,M_emp,0)),""))</f>
        <v/>
      </c>
      <c r="E1686" s="10" t="str">
        <f aca="false">IF($B1686="","",IFERROR(INDEX(M_loc,MATCH($B1686,M_emp,0)),""))</f>
        <v/>
      </c>
      <c r="F1686" s="33"/>
      <c r="G1686" s="33"/>
      <c r="H1686" s="33"/>
      <c r="I1686" s="33"/>
      <c r="J1686" s="33"/>
      <c r="K1686" s="33"/>
      <c r="L1686" s="33"/>
      <c r="M1686" s="33"/>
      <c r="N1686" s="33"/>
      <c r="O1686" s="33"/>
      <c r="P1686" s="33"/>
      <c r="Q1686" s="33"/>
      <c r="R1686" s="33"/>
      <c r="S1686" s="33"/>
      <c r="T1686" s="33"/>
      <c r="U1686" s="33"/>
      <c r="V1686" s="33"/>
      <c r="W1686" s="33"/>
      <c r="X1686" s="33"/>
      <c r="Y1686" s="33"/>
      <c r="Z1686" s="33"/>
      <c r="AA1686" s="33"/>
      <c r="AB1686" s="33"/>
      <c r="AC1686" s="33"/>
      <c r="AD1686" s="33"/>
      <c r="AE1686" s="33"/>
      <c r="AF1686" s="33"/>
      <c r="AG1686" s="33"/>
      <c r="AH1686" s="33"/>
      <c r="AI1686" s="33"/>
      <c r="AJ1686" s="33"/>
      <c r="AK1686" s="34" t="str">
        <f aca="false">IF($B1686="","",COUNTIF($F1686:$AJ1686,"P"))</f>
        <v/>
      </c>
      <c r="AL1686" s="34" t="str">
        <f aca="false">IF($B1686="","",COUNTIF($F1686:$AJ1686,"A"))</f>
        <v/>
      </c>
      <c r="AM1686" s="34" t="str">
        <f aca="false">IF($B1686="","",COUNTIF($F1686:$AJ1686,"HA"))</f>
        <v/>
      </c>
      <c r="AN1686" s="34" t="str">
        <f aca="false">IF($B1686="","",COUNTIF($F1686:$AJ1686,"L"))</f>
        <v/>
      </c>
      <c r="AO1686" s="34" t="str">
        <f aca="false">IF($B1686="","",COUNTIF($F1686:$AJ1686,"PL"))</f>
        <v/>
      </c>
      <c r="AP1686" s="34" t="str">
        <f aca="false">IF($B1686="","",COUNTIF($F1686:$AJ1686,"CL"))</f>
        <v/>
      </c>
      <c r="AQ1686" s="34" t="str">
        <f aca="false">IF($B1686="","",COUNTIF($F1686:$AJ1686,"SL"))</f>
        <v/>
      </c>
      <c r="AR1686" s="34" t="str">
        <f aca="false">IF($B1686="","",COUNTIF($F1686:$AJ1686,"CO"))</f>
        <v/>
      </c>
      <c r="AS1686" s="34" t="str">
        <f aca="false">IF($B1686="","",COUNTIF($F1686:$AJ1686,"HPL"))</f>
        <v/>
      </c>
      <c r="AT1686" s="34" t="str">
        <f aca="false">IF($B1686="","",COUNTIF($F1686:$AJ1686,"HCL"))</f>
        <v/>
      </c>
      <c r="AU1686" s="34" t="str">
        <f aca="false">IF($B1686="","",COUNTIF($F1686:$AJ1686,"WO"))</f>
        <v/>
      </c>
      <c r="AV1686" s="34" t="str">
        <f aca="false">IF($B1686="","",COUNTIF($F1686:$AJ1686,"PH"))</f>
        <v/>
      </c>
      <c r="AW1686" s="34" t="str">
        <f aca="false">IF($B1686="","",COUNTIF($F1686:$AJ1686,"TR"))</f>
        <v/>
      </c>
      <c r="AX1686" s="35" t="str">
        <f aca="false">IF($B1686="","",AO1686+AS1686/2)</f>
        <v/>
      </c>
      <c r="AY1686" s="35" t="str">
        <f aca="false">IF($B1686="","",AQ1686)</f>
        <v/>
      </c>
      <c r="AZ1686" s="35" t="str">
        <f aca="false">IF($B1686="","",AP1686+AT1686/2)</f>
        <v/>
      </c>
      <c r="BA1686" s="35" t="str">
        <f aca="false">IF($B1686="","",AK1686+AN1686+AM1686/2+AO1686+AP1686+AQ1686+AR1686+AS1686+AT1686+AU1686+AV1686+AW1686)</f>
        <v/>
      </c>
      <c r="BB1686" s="35" t="str">
        <f aca="false">IF($B1686="","",MAX(0,AN1686-Settings!$C$16)*Settings!$C$17)</f>
        <v/>
      </c>
      <c r="BC1686" s="35" t="str">
        <f aca="false">IF($B1686="","",BA1686-BB1686)</f>
        <v/>
      </c>
      <c r="BD1686" s="35" t="str">
        <f aca="false">IF(OR($B1686="",$A1686=""),"",DAY(EOMONTH($A1686,0))-COUNTA($F1686:$AJ1686))</f>
        <v/>
      </c>
    </row>
    <row r="1687" customFormat="false" ht="15" hidden="false" customHeight="false" outlineLevel="0" collapsed="false">
      <c r="A1687" s="32"/>
      <c r="B1687" s="29"/>
      <c r="C1687" s="10" t="str">
        <f aca="false">IF($B1687="","",IFERROR(INDEX(M_name,MATCH($B1687,M_emp,0)),"Code not found"))</f>
        <v/>
      </c>
      <c r="D1687" s="10" t="str">
        <f aca="false">IF($B1687="","",IFERROR(INDEX(M_dept,MATCH($B1687,M_emp,0)),""))</f>
        <v/>
      </c>
      <c r="E1687" s="10" t="str">
        <f aca="false">IF($B1687="","",IFERROR(INDEX(M_loc,MATCH($B1687,M_emp,0)),""))</f>
        <v/>
      </c>
      <c r="F1687" s="33"/>
      <c r="G1687" s="33"/>
      <c r="H1687" s="33"/>
      <c r="I1687" s="33"/>
      <c r="J1687" s="33"/>
      <c r="K1687" s="33"/>
      <c r="L1687" s="33"/>
      <c r="M1687" s="33"/>
      <c r="N1687" s="33"/>
      <c r="O1687" s="33"/>
      <c r="P1687" s="33"/>
      <c r="Q1687" s="33"/>
      <c r="R1687" s="33"/>
      <c r="S1687" s="33"/>
      <c r="T1687" s="33"/>
      <c r="U1687" s="33"/>
      <c r="V1687" s="33"/>
      <c r="W1687" s="33"/>
      <c r="X1687" s="33"/>
      <c r="Y1687" s="33"/>
      <c r="Z1687" s="33"/>
      <c r="AA1687" s="33"/>
      <c r="AB1687" s="33"/>
      <c r="AC1687" s="33"/>
      <c r="AD1687" s="33"/>
      <c r="AE1687" s="33"/>
      <c r="AF1687" s="33"/>
      <c r="AG1687" s="33"/>
      <c r="AH1687" s="33"/>
      <c r="AI1687" s="33"/>
      <c r="AJ1687" s="33"/>
      <c r="AK1687" s="34" t="str">
        <f aca="false">IF($B1687="","",COUNTIF($F1687:$AJ1687,"P"))</f>
        <v/>
      </c>
      <c r="AL1687" s="34" t="str">
        <f aca="false">IF($B1687="","",COUNTIF($F1687:$AJ1687,"A"))</f>
        <v/>
      </c>
      <c r="AM1687" s="34" t="str">
        <f aca="false">IF($B1687="","",COUNTIF($F1687:$AJ1687,"HA"))</f>
        <v/>
      </c>
      <c r="AN1687" s="34" t="str">
        <f aca="false">IF($B1687="","",COUNTIF($F1687:$AJ1687,"L"))</f>
        <v/>
      </c>
      <c r="AO1687" s="34" t="str">
        <f aca="false">IF($B1687="","",COUNTIF($F1687:$AJ1687,"PL"))</f>
        <v/>
      </c>
      <c r="AP1687" s="34" t="str">
        <f aca="false">IF($B1687="","",COUNTIF($F1687:$AJ1687,"CL"))</f>
        <v/>
      </c>
      <c r="AQ1687" s="34" t="str">
        <f aca="false">IF($B1687="","",COUNTIF($F1687:$AJ1687,"SL"))</f>
        <v/>
      </c>
      <c r="AR1687" s="34" t="str">
        <f aca="false">IF($B1687="","",COUNTIF($F1687:$AJ1687,"CO"))</f>
        <v/>
      </c>
      <c r="AS1687" s="34" t="str">
        <f aca="false">IF($B1687="","",COUNTIF($F1687:$AJ1687,"HPL"))</f>
        <v/>
      </c>
      <c r="AT1687" s="34" t="str">
        <f aca="false">IF($B1687="","",COUNTIF($F1687:$AJ1687,"HCL"))</f>
        <v/>
      </c>
      <c r="AU1687" s="34" t="str">
        <f aca="false">IF($B1687="","",COUNTIF($F1687:$AJ1687,"WO"))</f>
        <v/>
      </c>
      <c r="AV1687" s="34" t="str">
        <f aca="false">IF($B1687="","",COUNTIF($F1687:$AJ1687,"PH"))</f>
        <v/>
      </c>
      <c r="AW1687" s="34" t="str">
        <f aca="false">IF($B1687="","",COUNTIF($F1687:$AJ1687,"TR"))</f>
        <v/>
      </c>
      <c r="AX1687" s="35" t="str">
        <f aca="false">IF($B1687="","",AO1687+AS1687/2)</f>
        <v/>
      </c>
      <c r="AY1687" s="35" t="str">
        <f aca="false">IF($B1687="","",AQ1687)</f>
        <v/>
      </c>
      <c r="AZ1687" s="35" t="str">
        <f aca="false">IF($B1687="","",AP1687+AT1687/2)</f>
        <v/>
      </c>
      <c r="BA1687" s="35" t="str">
        <f aca="false">IF($B1687="","",AK1687+AN1687+AM1687/2+AO1687+AP1687+AQ1687+AR1687+AS1687+AT1687+AU1687+AV1687+AW1687)</f>
        <v/>
      </c>
      <c r="BB1687" s="35" t="str">
        <f aca="false">IF($B1687="","",MAX(0,AN1687-Settings!$C$16)*Settings!$C$17)</f>
        <v/>
      </c>
      <c r="BC1687" s="35" t="str">
        <f aca="false">IF($B1687="","",BA1687-BB1687)</f>
        <v/>
      </c>
      <c r="BD1687" s="35" t="str">
        <f aca="false">IF(OR($B1687="",$A1687=""),"",DAY(EOMONTH($A1687,0))-COUNTA($F1687:$AJ1687))</f>
        <v/>
      </c>
    </row>
    <row r="1688" customFormat="false" ht="15" hidden="false" customHeight="false" outlineLevel="0" collapsed="false">
      <c r="A1688" s="32"/>
      <c r="B1688" s="29"/>
      <c r="C1688" s="10" t="str">
        <f aca="false">IF($B1688="","",IFERROR(INDEX(M_name,MATCH($B1688,M_emp,0)),"Code not found"))</f>
        <v/>
      </c>
      <c r="D1688" s="10" t="str">
        <f aca="false">IF($B1688="","",IFERROR(INDEX(M_dept,MATCH($B1688,M_emp,0)),""))</f>
        <v/>
      </c>
      <c r="E1688" s="10" t="str">
        <f aca="false">IF($B1688="","",IFERROR(INDEX(M_loc,MATCH($B1688,M_emp,0)),""))</f>
        <v/>
      </c>
      <c r="F1688" s="33"/>
      <c r="G1688" s="33"/>
      <c r="H1688" s="33"/>
      <c r="I1688" s="33"/>
      <c r="J1688" s="33"/>
      <c r="K1688" s="33"/>
      <c r="L1688" s="33"/>
      <c r="M1688" s="33"/>
      <c r="N1688" s="33"/>
      <c r="O1688" s="33"/>
      <c r="P1688" s="33"/>
      <c r="Q1688" s="33"/>
      <c r="R1688" s="33"/>
      <c r="S1688" s="33"/>
      <c r="T1688" s="33"/>
      <c r="U1688" s="33"/>
      <c r="V1688" s="33"/>
      <c r="W1688" s="33"/>
      <c r="X1688" s="33"/>
      <c r="Y1688" s="33"/>
      <c r="Z1688" s="33"/>
      <c r="AA1688" s="33"/>
      <c r="AB1688" s="33"/>
      <c r="AC1688" s="33"/>
      <c r="AD1688" s="33"/>
      <c r="AE1688" s="33"/>
      <c r="AF1688" s="33"/>
      <c r="AG1688" s="33"/>
      <c r="AH1688" s="33"/>
      <c r="AI1688" s="33"/>
      <c r="AJ1688" s="33"/>
      <c r="AK1688" s="34" t="str">
        <f aca="false">IF($B1688="","",COUNTIF($F1688:$AJ1688,"P"))</f>
        <v/>
      </c>
      <c r="AL1688" s="34" t="str">
        <f aca="false">IF($B1688="","",COUNTIF($F1688:$AJ1688,"A"))</f>
        <v/>
      </c>
      <c r="AM1688" s="34" t="str">
        <f aca="false">IF($B1688="","",COUNTIF($F1688:$AJ1688,"HA"))</f>
        <v/>
      </c>
      <c r="AN1688" s="34" t="str">
        <f aca="false">IF($B1688="","",COUNTIF($F1688:$AJ1688,"L"))</f>
        <v/>
      </c>
      <c r="AO1688" s="34" t="str">
        <f aca="false">IF($B1688="","",COUNTIF($F1688:$AJ1688,"PL"))</f>
        <v/>
      </c>
      <c r="AP1688" s="34" t="str">
        <f aca="false">IF($B1688="","",COUNTIF($F1688:$AJ1688,"CL"))</f>
        <v/>
      </c>
      <c r="AQ1688" s="34" t="str">
        <f aca="false">IF($B1688="","",COUNTIF($F1688:$AJ1688,"SL"))</f>
        <v/>
      </c>
      <c r="AR1688" s="34" t="str">
        <f aca="false">IF($B1688="","",COUNTIF($F1688:$AJ1688,"CO"))</f>
        <v/>
      </c>
      <c r="AS1688" s="34" t="str">
        <f aca="false">IF($B1688="","",COUNTIF($F1688:$AJ1688,"HPL"))</f>
        <v/>
      </c>
      <c r="AT1688" s="34" t="str">
        <f aca="false">IF($B1688="","",COUNTIF($F1688:$AJ1688,"HCL"))</f>
        <v/>
      </c>
      <c r="AU1688" s="34" t="str">
        <f aca="false">IF($B1688="","",COUNTIF($F1688:$AJ1688,"WO"))</f>
        <v/>
      </c>
      <c r="AV1688" s="34" t="str">
        <f aca="false">IF($B1688="","",COUNTIF($F1688:$AJ1688,"PH"))</f>
        <v/>
      </c>
      <c r="AW1688" s="34" t="str">
        <f aca="false">IF($B1688="","",COUNTIF($F1688:$AJ1688,"TR"))</f>
        <v/>
      </c>
      <c r="AX1688" s="35" t="str">
        <f aca="false">IF($B1688="","",AO1688+AS1688/2)</f>
        <v/>
      </c>
      <c r="AY1688" s="35" t="str">
        <f aca="false">IF($B1688="","",AQ1688)</f>
        <v/>
      </c>
      <c r="AZ1688" s="35" t="str">
        <f aca="false">IF($B1688="","",AP1688+AT1688/2)</f>
        <v/>
      </c>
      <c r="BA1688" s="35" t="str">
        <f aca="false">IF($B1688="","",AK1688+AN1688+AM1688/2+AO1688+AP1688+AQ1688+AR1688+AS1688+AT1688+AU1688+AV1688+AW1688)</f>
        <v/>
      </c>
      <c r="BB1688" s="35" t="str">
        <f aca="false">IF($B1688="","",MAX(0,AN1688-Settings!$C$16)*Settings!$C$17)</f>
        <v/>
      </c>
      <c r="BC1688" s="35" t="str">
        <f aca="false">IF($B1688="","",BA1688-BB1688)</f>
        <v/>
      </c>
      <c r="BD1688" s="35" t="str">
        <f aca="false">IF(OR($B1688="",$A1688=""),"",DAY(EOMONTH($A1688,0))-COUNTA($F1688:$AJ1688))</f>
        <v/>
      </c>
    </row>
    <row r="1689" customFormat="false" ht="15" hidden="false" customHeight="false" outlineLevel="0" collapsed="false">
      <c r="A1689" s="32"/>
      <c r="B1689" s="29"/>
      <c r="C1689" s="10" t="str">
        <f aca="false">IF($B1689="","",IFERROR(INDEX(M_name,MATCH($B1689,M_emp,0)),"Code not found"))</f>
        <v/>
      </c>
      <c r="D1689" s="10" t="str">
        <f aca="false">IF($B1689="","",IFERROR(INDEX(M_dept,MATCH($B1689,M_emp,0)),""))</f>
        <v/>
      </c>
      <c r="E1689" s="10" t="str">
        <f aca="false">IF($B1689="","",IFERROR(INDEX(M_loc,MATCH($B1689,M_emp,0)),""))</f>
        <v/>
      </c>
      <c r="F1689" s="33"/>
      <c r="G1689" s="33"/>
      <c r="H1689" s="33"/>
      <c r="I1689" s="33"/>
      <c r="J1689" s="33"/>
      <c r="K1689" s="33"/>
      <c r="L1689" s="33"/>
      <c r="M1689" s="33"/>
      <c r="N1689" s="33"/>
      <c r="O1689" s="33"/>
      <c r="P1689" s="33"/>
      <c r="Q1689" s="33"/>
      <c r="R1689" s="33"/>
      <c r="S1689" s="33"/>
      <c r="T1689" s="33"/>
      <c r="U1689" s="33"/>
      <c r="V1689" s="33"/>
      <c r="W1689" s="33"/>
      <c r="X1689" s="33"/>
      <c r="Y1689" s="33"/>
      <c r="Z1689" s="33"/>
      <c r="AA1689" s="33"/>
      <c r="AB1689" s="33"/>
      <c r="AC1689" s="33"/>
      <c r="AD1689" s="33"/>
      <c r="AE1689" s="33"/>
      <c r="AF1689" s="33"/>
      <c r="AG1689" s="33"/>
      <c r="AH1689" s="33"/>
      <c r="AI1689" s="33"/>
      <c r="AJ1689" s="33"/>
      <c r="AK1689" s="34" t="str">
        <f aca="false">IF($B1689="","",COUNTIF($F1689:$AJ1689,"P"))</f>
        <v/>
      </c>
      <c r="AL1689" s="34" t="str">
        <f aca="false">IF($B1689="","",COUNTIF($F1689:$AJ1689,"A"))</f>
        <v/>
      </c>
      <c r="AM1689" s="34" t="str">
        <f aca="false">IF($B1689="","",COUNTIF($F1689:$AJ1689,"HA"))</f>
        <v/>
      </c>
      <c r="AN1689" s="34" t="str">
        <f aca="false">IF($B1689="","",COUNTIF($F1689:$AJ1689,"L"))</f>
        <v/>
      </c>
      <c r="AO1689" s="34" t="str">
        <f aca="false">IF($B1689="","",COUNTIF($F1689:$AJ1689,"PL"))</f>
        <v/>
      </c>
      <c r="AP1689" s="34" t="str">
        <f aca="false">IF($B1689="","",COUNTIF($F1689:$AJ1689,"CL"))</f>
        <v/>
      </c>
      <c r="AQ1689" s="34" t="str">
        <f aca="false">IF($B1689="","",COUNTIF($F1689:$AJ1689,"SL"))</f>
        <v/>
      </c>
      <c r="AR1689" s="34" t="str">
        <f aca="false">IF($B1689="","",COUNTIF($F1689:$AJ1689,"CO"))</f>
        <v/>
      </c>
      <c r="AS1689" s="34" t="str">
        <f aca="false">IF($B1689="","",COUNTIF($F1689:$AJ1689,"HPL"))</f>
        <v/>
      </c>
      <c r="AT1689" s="34" t="str">
        <f aca="false">IF($B1689="","",COUNTIF($F1689:$AJ1689,"HCL"))</f>
        <v/>
      </c>
      <c r="AU1689" s="34" t="str">
        <f aca="false">IF($B1689="","",COUNTIF($F1689:$AJ1689,"WO"))</f>
        <v/>
      </c>
      <c r="AV1689" s="34" t="str">
        <f aca="false">IF($B1689="","",COUNTIF($F1689:$AJ1689,"PH"))</f>
        <v/>
      </c>
      <c r="AW1689" s="34" t="str">
        <f aca="false">IF($B1689="","",COUNTIF($F1689:$AJ1689,"TR"))</f>
        <v/>
      </c>
      <c r="AX1689" s="35" t="str">
        <f aca="false">IF($B1689="","",AO1689+AS1689/2)</f>
        <v/>
      </c>
      <c r="AY1689" s="35" t="str">
        <f aca="false">IF($B1689="","",AQ1689)</f>
        <v/>
      </c>
      <c r="AZ1689" s="35" t="str">
        <f aca="false">IF($B1689="","",AP1689+AT1689/2)</f>
        <v/>
      </c>
      <c r="BA1689" s="35" t="str">
        <f aca="false">IF($B1689="","",AK1689+AN1689+AM1689/2+AO1689+AP1689+AQ1689+AR1689+AS1689+AT1689+AU1689+AV1689+AW1689)</f>
        <v/>
      </c>
      <c r="BB1689" s="35" t="str">
        <f aca="false">IF($B1689="","",MAX(0,AN1689-Settings!$C$16)*Settings!$C$17)</f>
        <v/>
      </c>
      <c r="BC1689" s="35" t="str">
        <f aca="false">IF($B1689="","",BA1689-BB1689)</f>
        <v/>
      </c>
      <c r="BD1689" s="35" t="str">
        <f aca="false">IF(OR($B1689="",$A1689=""),"",DAY(EOMONTH($A1689,0))-COUNTA($F1689:$AJ1689))</f>
        <v/>
      </c>
    </row>
    <row r="1690" customFormat="false" ht="15" hidden="false" customHeight="false" outlineLevel="0" collapsed="false">
      <c r="A1690" s="32"/>
      <c r="B1690" s="29"/>
      <c r="C1690" s="10" t="str">
        <f aca="false">IF($B1690="","",IFERROR(INDEX(M_name,MATCH($B1690,M_emp,0)),"Code not found"))</f>
        <v/>
      </c>
      <c r="D1690" s="10" t="str">
        <f aca="false">IF($B1690="","",IFERROR(INDEX(M_dept,MATCH($B1690,M_emp,0)),""))</f>
        <v/>
      </c>
      <c r="E1690" s="10" t="str">
        <f aca="false">IF($B1690="","",IFERROR(INDEX(M_loc,MATCH($B1690,M_emp,0)),""))</f>
        <v/>
      </c>
      <c r="F1690" s="33"/>
      <c r="G1690" s="33"/>
      <c r="H1690" s="33"/>
      <c r="I1690" s="33"/>
      <c r="J1690" s="33"/>
      <c r="K1690" s="33"/>
      <c r="L1690" s="33"/>
      <c r="M1690" s="33"/>
      <c r="N1690" s="33"/>
      <c r="O1690" s="33"/>
      <c r="P1690" s="33"/>
      <c r="Q1690" s="33"/>
      <c r="R1690" s="33"/>
      <c r="S1690" s="33"/>
      <c r="T1690" s="33"/>
      <c r="U1690" s="33"/>
      <c r="V1690" s="33"/>
      <c r="W1690" s="33"/>
      <c r="X1690" s="33"/>
      <c r="Y1690" s="33"/>
      <c r="Z1690" s="33"/>
      <c r="AA1690" s="33"/>
      <c r="AB1690" s="33"/>
      <c r="AC1690" s="33"/>
      <c r="AD1690" s="33"/>
      <c r="AE1690" s="33"/>
      <c r="AF1690" s="33"/>
      <c r="AG1690" s="33"/>
      <c r="AH1690" s="33"/>
      <c r="AI1690" s="33"/>
      <c r="AJ1690" s="33"/>
      <c r="AK1690" s="34" t="str">
        <f aca="false">IF($B1690="","",COUNTIF($F1690:$AJ1690,"P"))</f>
        <v/>
      </c>
      <c r="AL1690" s="34" t="str">
        <f aca="false">IF($B1690="","",COUNTIF($F1690:$AJ1690,"A"))</f>
        <v/>
      </c>
      <c r="AM1690" s="34" t="str">
        <f aca="false">IF($B1690="","",COUNTIF($F1690:$AJ1690,"HA"))</f>
        <v/>
      </c>
      <c r="AN1690" s="34" t="str">
        <f aca="false">IF($B1690="","",COUNTIF($F1690:$AJ1690,"L"))</f>
        <v/>
      </c>
      <c r="AO1690" s="34" t="str">
        <f aca="false">IF($B1690="","",COUNTIF($F1690:$AJ1690,"PL"))</f>
        <v/>
      </c>
      <c r="AP1690" s="34" t="str">
        <f aca="false">IF($B1690="","",COUNTIF($F1690:$AJ1690,"CL"))</f>
        <v/>
      </c>
      <c r="AQ1690" s="34" t="str">
        <f aca="false">IF($B1690="","",COUNTIF($F1690:$AJ1690,"SL"))</f>
        <v/>
      </c>
      <c r="AR1690" s="34" t="str">
        <f aca="false">IF($B1690="","",COUNTIF($F1690:$AJ1690,"CO"))</f>
        <v/>
      </c>
      <c r="AS1690" s="34" t="str">
        <f aca="false">IF($B1690="","",COUNTIF($F1690:$AJ1690,"HPL"))</f>
        <v/>
      </c>
      <c r="AT1690" s="34" t="str">
        <f aca="false">IF($B1690="","",COUNTIF($F1690:$AJ1690,"HCL"))</f>
        <v/>
      </c>
      <c r="AU1690" s="34" t="str">
        <f aca="false">IF($B1690="","",COUNTIF($F1690:$AJ1690,"WO"))</f>
        <v/>
      </c>
      <c r="AV1690" s="34" t="str">
        <f aca="false">IF($B1690="","",COUNTIF($F1690:$AJ1690,"PH"))</f>
        <v/>
      </c>
      <c r="AW1690" s="34" t="str">
        <f aca="false">IF($B1690="","",COUNTIF($F1690:$AJ1690,"TR"))</f>
        <v/>
      </c>
      <c r="AX1690" s="35" t="str">
        <f aca="false">IF($B1690="","",AO1690+AS1690/2)</f>
        <v/>
      </c>
      <c r="AY1690" s="35" t="str">
        <f aca="false">IF($B1690="","",AQ1690)</f>
        <v/>
      </c>
      <c r="AZ1690" s="35" t="str">
        <f aca="false">IF($B1690="","",AP1690+AT1690/2)</f>
        <v/>
      </c>
      <c r="BA1690" s="35" t="str">
        <f aca="false">IF($B1690="","",AK1690+AN1690+AM1690/2+AO1690+AP1690+AQ1690+AR1690+AS1690+AT1690+AU1690+AV1690+AW1690)</f>
        <v/>
      </c>
      <c r="BB1690" s="35" t="str">
        <f aca="false">IF($B1690="","",MAX(0,AN1690-Settings!$C$16)*Settings!$C$17)</f>
        <v/>
      </c>
      <c r="BC1690" s="35" t="str">
        <f aca="false">IF($B1690="","",BA1690-BB1690)</f>
        <v/>
      </c>
      <c r="BD1690" s="35" t="str">
        <f aca="false">IF(OR($B1690="",$A1690=""),"",DAY(EOMONTH($A1690,0))-COUNTA($F1690:$AJ1690))</f>
        <v/>
      </c>
    </row>
    <row r="1691" customFormat="false" ht="15" hidden="false" customHeight="false" outlineLevel="0" collapsed="false">
      <c r="A1691" s="32"/>
      <c r="B1691" s="29"/>
      <c r="C1691" s="10" t="str">
        <f aca="false">IF($B1691="","",IFERROR(INDEX(M_name,MATCH($B1691,M_emp,0)),"Code not found"))</f>
        <v/>
      </c>
      <c r="D1691" s="10" t="str">
        <f aca="false">IF($B1691="","",IFERROR(INDEX(M_dept,MATCH($B1691,M_emp,0)),""))</f>
        <v/>
      </c>
      <c r="E1691" s="10" t="str">
        <f aca="false">IF($B1691="","",IFERROR(INDEX(M_loc,MATCH($B1691,M_emp,0)),""))</f>
        <v/>
      </c>
      <c r="F1691" s="33"/>
      <c r="G1691" s="33"/>
      <c r="H1691" s="33"/>
      <c r="I1691" s="33"/>
      <c r="J1691" s="33"/>
      <c r="K1691" s="33"/>
      <c r="L1691" s="33"/>
      <c r="M1691" s="33"/>
      <c r="N1691" s="33"/>
      <c r="O1691" s="33"/>
      <c r="P1691" s="33"/>
      <c r="Q1691" s="33"/>
      <c r="R1691" s="33"/>
      <c r="S1691" s="33"/>
      <c r="T1691" s="33"/>
      <c r="U1691" s="33"/>
      <c r="V1691" s="33"/>
      <c r="W1691" s="33"/>
      <c r="X1691" s="33"/>
      <c r="Y1691" s="33"/>
      <c r="Z1691" s="33"/>
      <c r="AA1691" s="33"/>
      <c r="AB1691" s="33"/>
      <c r="AC1691" s="33"/>
      <c r="AD1691" s="33"/>
      <c r="AE1691" s="33"/>
      <c r="AF1691" s="33"/>
      <c r="AG1691" s="33"/>
      <c r="AH1691" s="33"/>
      <c r="AI1691" s="33"/>
      <c r="AJ1691" s="33"/>
      <c r="AK1691" s="34" t="str">
        <f aca="false">IF($B1691="","",COUNTIF($F1691:$AJ1691,"P"))</f>
        <v/>
      </c>
      <c r="AL1691" s="34" t="str">
        <f aca="false">IF($B1691="","",COUNTIF($F1691:$AJ1691,"A"))</f>
        <v/>
      </c>
      <c r="AM1691" s="34" t="str">
        <f aca="false">IF($B1691="","",COUNTIF($F1691:$AJ1691,"HA"))</f>
        <v/>
      </c>
      <c r="AN1691" s="34" t="str">
        <f aca="false">IF($B1691="","",COUNTIF($F1691:$AJ1691,"L"))</f>
        <v/>
      </c>
      <c r="AO1691" s="34" t="str">
        <f aca="false">IF($B1691="","",COUNTIF($F1691:$AJ1691,"PL"))</f>
        <v/>
      </c>
      <c r="AP1691" s="34" t="str">
        <f aca="false">IF($B1691="","",COUNTIF($F1691:$AJ1691,"CL"))</f>
        <v/>
      </c>
      <c r="AQ1691" s="34" t="str">
        <f aca="false">IF($B1691="","",COUNTIF($F1691:$AJ1691,"SL"))</f>
        <v/>
      </c>
      <c r="AR1691" s="34" t="str">
        <f aca="false">IF($B1691="","",COUNTIF($F1691:$AJ1691,"CO"))</f>
        <v/>
      </c>
      <c r="AS1691" s="34" t="str">
        <f aca="false">IF($B1691="","",COUNTIF($F1691:$AJ1691,"HPL"))</f>
        <v/>
      </c>
      <c r="AT1691" s="34" t="str">
        <f aca="false">IF($B1691="","",COUNTIF($F1691:$AJ1691,"HCL"))</f>
        <v/>
      </c>
      <c r="AU1691" s="34" t="str">
        <f aca="false">IF($B1691="","",COUNTIF($F1691:$AJ1691,"WO"))</f>
        <v/>
      </c>
      <c r="AV1691" s="34" t="str">
        <f aca="false">IF($B1691="","",COUNTIF($F1691:$AJ1691,"PH"))</f>
        <v/>
      </c>
      <c r="AW1691" s="34" t="str">
        <f aca="false">IF($B1691="","",COUNTIF($F1691:$AJ1691,"TR"))</f>
        <v/>
      </c>
      <c r="AX1691" s="35" t="str">
        <f aca="false">IF($B1691="","",AO1691+AS1691/2)</f>
        <v/>
      </c>
      <c r="AY1691" s="35" t="str">
        <f aca="false">IF($B1691="","",AQ1691)</f>
        <v/>
      </c>
      <c r="AZ1691" s="35" t="str">
        <f aca="false">IF($B1691="","",AP1691+AT1691/2)</f>
        <v/>
      </c>
      <c r="BA1691" s="35" t="str">
        <f aca="false">IF($B1691="","",AK1691+AN1691+AM1691/2+AO1691+AP1691+AQ1691+AR1691+AS1691+AT1691+AU1691+AV1691+AW1691)</f>
        <v/>
      </c>
      <c r="BB1691" s="35" t="str">
        <f aca="false">IF($B1691="","",MAX(0,AN1691-Settings!$C$16)*Settings!$C$17)</f>
        <v/>
      </c>
      <c r="BC1691" s="35" t="str">
        <f aca="false">IF($B1691="","",BA1691-BB1691)</f>
        <v/>
      </c>
      <c r="BD1691" s="35" t="str">
        <f aca="false">IF(OR($B1691="",$A1691=""),"",DAY(EOMONTH($A1691,0))-COUNTA($F1691:$AJ1691))</f>
        <v/>
      </c>
    </row>
    <row r="1692" customFormat="false" ht="15" hidden="false" customHeight="false" outlineLevel="0" collapsed="false">
      <c r="A1692" s="32"/>
      <c r="B1692" s="29"/>
      <c r="C1692" s="10" t="str">
        <f aca="false">IF($B1692="","",IFERROR(INDEX(M_name,MATCH($B1692,M_emp,0)),"Code not found"))</f>
        <v/>
      </c>
      <c r="D1692" s="10" t="str">
        <f aca="false">IF($B1692="","",IFERROR(INDEX(M_dept,MATCH($B1692,M_emp,0)),""))</f>
        <v/>
      </c>
      <c r="E1692" s="10" t="str">
        <f aca="false">IF($B1692="","",IFERROR(INDEX(M_loc,MATCH($B1692,M_emp,0)),""))</f>
        <v/>
      </c>
      <c r="F1692" s="33"/>
      <c r="G1692" s="33"/>
      <c r="H1692" s="33"/>
      <c r="I1692" s="33"/>
      <c r="J1692" s="33"/>
      <c r="K1692" s="33"/>
      <c r="L1692" s="33"/>
      <c r="M1692" s="33"/>
      <c r="N1692" s="33"/>
      <c r="O1692" s="33"/>
      <c r="P1692" s="33"/>
      <c r="Q1692" s="33"/>
      <c r="R1692" s="33"/>
      <c r="S1692" s="33"/>
      <c r="T1692" s="33"/>
      <c r="U1692" s="33"/>
      <c r="V1692" s="33"/>
      <c r="W1692" s="33"/>
      <c r="X1692" s="33"/>
      <c r="Y1692" s="33"/>
      <c r="Z1692" s="33"/>
      <c r="AA1692" s="33"/>
      <c r="AB1692" s="33"/>
      <c r="AC1692" s="33"/>
      <c r="AD1692" s="33"/>
      <c r="AE1692" s="33"/>
      <c r="AF1692" s="33"/>
      <c r="AG1692" s="33"/>
      <c r="AH1692" s="33"/>
      <c r="AI1692" s="33"/>
      <c r="AJ1692" s="33"/>
      <c r="AK1692" s="34" t="str">
        <f aca="false">IF($B1692="","",COUNTIF($F1692:$AJ1692,"P"))</f>
        <v/>
      </c>
      <c r="AL1692" s="34" t="str">
        <f aca="false">IF($B1692="","",COUNTIF($F1692:$AJ1692,"A"))</f>
        <v/>
      </c>
      <c r="AM1692" s="34" t="str">
        <f aca="false">IF($B1692="","",COUNTIF($F1692:$AJ1692,"HA"))</f>
        <v/>
      </c>
      <c r="AN1692" s="34" t="str">
        <f aca="false">IF($B1692="","",COUNTIF($F1692:$AJ1692,"L"))</f>
        <v/>
      </c>
      <c r="AO1692" s="34" t="str">
        <f aca="false">IF($B1692="","",COUNTIF($F1692:$AJ1692,"PL"))</f>
        <v/>
      </c>
      <c r="AP1692" s="34" t="str">
        <f aca="false">IF($B1692="","",COUNTIF($F1692:$AJ1692,"CL"))</f>
        <v/>
      </c>
      <c r="AQ1692" s="34" t="str">
        <f aca="false">IF($B1692="","",COUNTIF($F1692:$AJ1692,"SL"))</f>
        <v/>
      </c>
      <c r="AR1692" s="34" t="str">
        <f aca="false">IF($B1692="","",COUNTIF($F1692:$AJ1692,"CO"))</f>
        <v/>
      </c>
      <c r="AS1692" s="34" t="str">
        <f aca="false">IF($B1692="","",COUNTIF($F1692:$AJ1692,"HPL"))</f>
        <v/>
      </c>
      <c r="AT1692" s="34" t="str">
        <f aca="false">IF($B1692="","",COUNTIF($F1692:$AJ1692,"HCL"))</f>
        <v/>
      </c>
      <c r="AU1692" s="34" t="str">
        <f aca="false">IF($B1692="","",COUNTIF($F1692:$AJ1692,"WO"))</f>
        <v/>
      </c>
      <c r="AV1692" s="34" t="str">
        <f aca="false">IF($B1692="","",COUNTIF($F1692:$AJ1692,"PH"))</f>
        <v/>
      </c>
      <c r="AW1692" s="34" t="str">
        <f aca="false">IF($B1692="","",COUNTIF($F1692:$AJ1692,"TR"))</f>
        <v/>
      </c>
      <c r="AX1692" s="35" t="str">
        <f aca="false">IF($B1692="","",AO1692+AS1692/2)</f>
        <v/>
      </c>
      <c r="AY1692" s="35" t="str">
        <f aca="false">IF($B1692="","",AQ1692)</f>
        <v/>
      </c>
      <c r="AZ1692" s="35" t="str">
        <f aca="false">IF($B1692="","",AP1692+AT1692/2)</f>
        <v/>
      </c>
      <c r="BA1692" s="35" t="str">
        <f aca="false">IF($B1692="","",AK1692+AN1692+AM1692/2+AO1692+AP1692+AQ1692+AR1692+AS1692+AT1692+AU1692+AV1692+AW1692)</f>
        <v/>
      </c>
      <c r="BB1692" s="35" t="str">
        <f aca="false">IF($B1692="","",MAX(0,AN1692-Settings!$C$16)*Settings!$C$17)</f>
        <v/>
      </c>
      <c r="BC1692" s="35" t="str">
        <f aca="false">IF($B1692="","",BA1692-BB1692)</f>
        <v/>
      </c>
      <c r="BD1692" s="35" t="str">
        <f aca="false">IF(OR($B1692="",$A1692=""),"",DAY(EOMONTH($A1692,0))-COUNTA($F1692:$AJ1692))</f>
        <v/>
      </c>
    </row>
    <row r="1693" customFormat="false" ht="15" hidden="false" customHeight="false" outlineLevel="0" collapsed="false">
      <c r="A1693" s="32"/>
      <c r="B1693" s="29"/>
      <c r="C1693" s="10" t="str">
        <f aca="false">IF($B1693="","",IFERROR(INDEX(M_name,MATCH($B1693,M_emp,0)),"Code not found"))</f>
        <v/>
      </c>
      <c r="D1693" s="10" t="str">
        <f aca="false">IF($B1693="","",IFERROR(INDEX(M_dept,MATCH($B1693,M_emp,0)),""))</f>
        <v/>
      </c>
      <c r="E1693" s="10" t="str">
        <f aca="false">IF($B1693="","",IFERROR(INDEX(M_loc,MATCH($B1693,M_emp,0)),""))</f>
        <v/>
      </c>
      <c r="F1693" s="33"/>
      <c r="G1693" s="33"/>
      <c r="H1693" s="33"/>
      <c r="I1693" s="33"/>
      <c r="J1693" s="33"/>
      <c r="K1693" s="33"/>
      <c r="L1693" s="33"/>
      <c r="M1693" s="33"/>
      <c r="N1693" s="33"/>
      <c r="O1693" s="33"/>
      <c r="P1693" s="33"/>
      <c r="Q1693" s="33"/>
      <c r="R1693" s="33"/>
      <c r="S1693" s="33"/>
      <c r="T1693" s="33"/>
      <c r="U1693" s="33"/>
      <c r="V1693" s="33"/>
      <c r="W1693" s="33"/>
      <c r="X1693" s="33"/>
      <c r="Y1693" s="33"/>
      <c r="Z1693" s="33"/>
      <c r="AA1693" s="33"/>
      <c r="AB1693" s="33"/>
      <c r="AC1693" s="33"/>
      <c r="AD1693" s="33"/>
      <c r="AE1693" s="33"/>
      <c r="AF1693" s="33"/>
      <c r="AG1693" s="33"/>
      <c r="AH1693" s="33"/>
      <c r="AI1693" s="33"/>
      <c r="AJ1693" s="33"/>
      <c r="AK1693" s="34" t="str">
        <f aca="false">IF($B1693="","",COUNTIF($F1693:$AJ1693,"P"))</f>
        <v/>
      </c>
      <c r="AL1693" s="34" t="str">
        <f aca="false">IF($B1693="","",COUNTIF($F1693:$AJ1693,"A"))</f>
        <v/>
      </c>
      <c r="AM1693" s="34" t="str">
        <f aca="false">IF($B1693="","",COUNTIF($F1693:$AJ1693,"HA"))</f>
        <v/>
      </c>
      <c r="AN1693" s="34" t="str">
        <f aca="false">IF($B1693="","",COUNTIF($F1693:$AJ1693,"L"))</f>
        <v/>
      </c>
      <c r="AO1693" s="34" t="str">
        <f aca="false">IF($B1693="","",COUNTIF($F1693:$AJ1693,"PL"))</f>
        <v/>
      </c>
      <c r="AP1693" s="34" t="str">
        <f aca="false">IF($B1693="","",COUNTIF($F1693:$AJ1693,"CL"))</f>
        <v/>
      </c>
      <c r="AQ1693" s="34" t="str">
        <f aca="false">IF($B1693="","",COUNTIF($F1693:$AJ1693,"SL"))</f>
        <v/>
      </c>
      <c r="AR1693" s="34" t="str">
        <f aca="false">IF($B1693="","",COUNTIF($F1693:$AJ1693,"CO"))</f>
        <v/>
      </c>
      <c r="AS1693" s="34" t="str">
        <f aca="false">IF($B1693="","",COUNTIF($F1693:$AJ1693,"HPL"))</f>
        <v/>
      </c>
      <c r="AT1693" s="34" t="str">
        <f aca="false">IF($B1693="","",COUNTIF($F1693:$AJ1693,"HCL"))</f>
        <v/>
      </c>
      <c r="AU1693" s="34" t="str">
        <f aca="false">IF($B1693="","",COUNTIF($F1693:$AJ1693,"WO"))</f>
        <v/>
      </c>
      <c r="AV1693" s="34" t="str">
        <f aca="false">IF($B1693="","",COUNTIF($F1693:$AJ1693,"PH"))</f>
        <v/>
      </c>
      <c r="AW1693" s="34" t="str">
        <f aca="false">IF($B1693="","",COUNTIF($F1693:$AJ1693,"TR"))</f>
        <v/>
      </c>
      <c r="AX1693" s="35" t="str">
        <f aca="false">IF($B1693="","",AO1693+AS1693/2)</f>
        <v/>
      </c>
      <c r="AY1693" s="35" t="str">
        <f aca="false">IF($B1693="","",AQ1693)</f>
        <v/>
      </c>
      <c r="AZ1693" s="35" t="str">
        <f aca="false">IF($B1693="","",AP1693+AT1693/2)</f>
        <v/>
      </c>
      <c r="BA1693" s="35" t="str">
        <f aca="false">IF($B1693="","",AK1693+AN1693+AM1693/2+AO1693+AP1693+AQ1693+AR1693+AS1693+AT1693+AU1693+AV1693+AW1693)</f>
        <v/>
      </c>
      <c r="BB1693" s="35" t="str">
        <f aca="false">IF($B1693="","",MAX(0,AN1693-Settings!$C$16)*Settings!$C$17)</f>
        <v/>
      </c>
      <c r="BC1693" s="35" t="str">
        <f aca="false">IF($B1693="","",BA1693-BB1693)</f>
        <v/>
      </c>
      <c r="BD1693" s="35" t="str">
        <f aca="false">IF(OR($B1693="",$A1693=""),"",DAY(EOMONTH($A1693,0))-COUNTA($F1693:$AJ1693))</f>
        <v/>
      </c>
    </row>
    <row r="1694" customFormat="false" ht="15" hidden="false" customHeight="false" outlineLevel="0" collapsed="false">
      <c r="A1694" s="32"/>
      <c r="B1694" s="29"/>
      <c r="C1694" s="10" t="str">
        <f aca="false">IF($B1694="","",IFERROR(INDEX(M_name,MATCH($B1694,M_emp,0)),"Code not found"))</f>
        <v/>
      </c>
      <c r="D1694" s="10" t="str">
        <f aca="false">IF($B1694="","",IFERROR(INDEX(M_dept,MATCH($B1694,M_emp,0)),""))</f>
        <v/>
      </c>
      <c r="E1694" s="10" t="str">
        <f aca="false">IF($B1694="","",IFERROR(INDEX(M_loc,MATCH($B1694,M_emp,0)),""))</f>
        <v/>
      </c>
      <c r="F1694" s="33"/>
      <c r="G1694" s="33"/>
      <c r="H1694" s="33"/>
      <c r="I1694" s="33"/>
      <c r="J1694" s="33"/>
      <c r="K1694" s="33"/>
      <c r="L1694" s="33"/>
      <c r="M1694" s="33"/>
      <c r="N1694" s="33"/>
      <c r="O1694" s="33"/>
      <c r="P1694" s="33"/>
      <c r="Q1694" s="33"/>
      <c r="R1694" s="33"/>
      <c r="S1694" s="33"/>
      <c r="T1694" s="33"/>
      <c r="U1694" s="33"/>
      <c r="V1694" s="33"/>
      <c r="W1694" s="33"/>
      <c r="X1694" s="33"/>
      <c r="Y1694" s="33"/>
      <c r="Z1694" s="33"/>
      <c r="AA1694" s="33"/>
      <c r="AB1694" s="33"/>
      <c r="AC1694" s="33"/>
      <c r="AD1694" s="33"/>
      <c r="AE1694" s="33"/>
      <c r="AF1694" s="33"/>
      <c r="AG1694" s="33"/>
      <c r="AH1694" s="33"/>
      <c r="AI1694" s="33"/>
      <c r="AJ1694" s="33"/>
      <c r="AK1694" s="34" t="str">
        <f aca="false">IF($B1694="","",COUNTIF($F1694:$AJ1694,"P"))</f>
        <v/>
      </c>
      <c r="AL1694" s="34" t="str">
        <f aca="false">IF($B1694="","",COUNTIF($F1694:$AJ1694,"A"))</f>
        <v/>
      </c>
      <c r="AM1694" s="34" t="str">
        <f aca="false">IF($B1694="","",COUNTIF($F1694:$AJ1694,"HA"))</f>
        <v/>
      </c>
      <c r="AN1694" s="34" t="str">
        <f aca="false">IF($B1694="","",COUNTIF($F1694:$AJ1694,"L"))</f>
        <v/>
      </c>
      <c r="AO1694" s="34" t="str">
        <f aca="false">IF($B1694="","",COUNTIF($F1694:$AJ1694,"PL"))</f>
        <v/>
      </c>
      <c r="AP1694" s="34" t="str">
        <f aca="false">IF($B1694="","",COUNTIF($F1694:$AJ1694,"CL"))</f>
        <v/>
      </c>
      <c r="AQ1694" s="34" t="str">
        <f aca="false">IF($B1694="","",COUNTIF($F1694:$AJ1694,"SL"))</f>
        <v/>
      </c>
      <c r="AR1694" s="34" t="str">
        <f aca="false">IF($B1694="","",COUNTIF($F1694:$AJ1694,"CO"))</f>
        <v/>
      </c>
      <c r="AS1694" s="34" t="str">
        <f aca="false">IF($B1694="","",COUNTIF($F1694:$AJ1694,"HPL"))</f>
        <v/>
      </c>
      <c r="AT1694" s="34" t="str">
        <f aca="false">IF($B1694="","",COUNTIF($F1694:$AJ1694,"HCL"))</f>
        <v/>
      </c>
      <c r="AU1694" s="34" t="str">
        <f aca="false">IF($B1694="","",COUNTIF($F1694:$AJ1694,"WO"))</f>
        <v/>
      </c>
      <c r="AV1694" s="34" t="str">
        <f aca="false">IF($B1694="","",COUNTIF($F1694:$AJ1694,"PH"))</f>
        <v/>
      </c>
      <c r="AW1694" s="34" t="str">
        <f aca="false">IF($B1694="","",COUNTIF($F1694:$AJ1694,"TR"))</f>
        <v/>
      </c>
      <c r="AX1694" s="35" t="str">
        <f aca="false">IF($B1694="","",AO1694+AS1694/2)</f>
        <v/>
      </c>
      <c r="AY1694" s="35" t="str">
        <f aca="false">IF($B1694="","",AQ1694)</f>
        <v/>
      </c>
      <c r="AZ1694" s="35" t="str">
        <f aca="false">IF($B1694="","",AP1694+AT1694/2)</f>
        <v/>
      </c>
      <c r="BA1694" s="35" t="str">
        <f aca="false">IF($B1694="","",AK1694+AN1694+AM1694/2+AO1694+AP1694+AQ1694+AR1694+AS1694+AT1694+AU1694+AV1694+AW1694)</f>
        <v/>
      </c>
      <c r="BB1694" s="35" t="str">
        <f aca="false">IF($B1694="","",MAX(0,AN1694-Settings!$C$16)*Settings!$C$17)</f>
        <v/>
      </c>
      <c r="BC1694" s="35" t="str">
        <f aca="false">IF($B1694="","",BA1694-BB1694)</f>
        <v/>
      </c>
      <c r="BD1694" s="35" t="str">
        <f aca="false">IF(OR($B1694="",$A1694=""),"",DAY(EOMONTH($A1694,0))-COUNTA($F1694:$AJ1694))</f>
        <v/>
      </c>
    </row>
    <row r="1695" customFormat="false" ht="15" hidden="false" customHeight="false" outlineLevel="0" collapsed="false">
      <c r="A1695" s="32"/>
      <c r="B1695" s="29"/>
      <c r="C1695" s="10" t="str">
        <f aca="false">IF($B1695="","",IFERROR(INDEX(M_name,MATCH($B1695,M_emp,0)),"Code not found"))</f>
        <v/>
      </c>
      <c r="D1695" s="10" t="str">
        <f aca="false">IF($B1695="","",IFERROR(INDEX(M_dept,MATCH($B1695,M_emp,0)),""))</f>
        <v/>
      </c>
      <c r="E1695" s="10" t="str">
        <f aca="false">IF($B1695="","",IFERROR(INDEX(M_loc,MATCH($B1695,M_emp,0)),""))</f>
        <v/>
      </c>
      <c r="F1695" s="33"/>
      <c r="G1695" s="33"/>
      <c r="H1695" s="33"/>
      <c r="I1695" s="33"/>
      <c r="J1695" s="33"/>
      <c r="K1695" s="33"/>
      <c r="L1695" s="33"/>
      <c r="M1695" s="33"/>
      <c r="N1695" s="33"/>
      <c r="O1695" s="33"/>
      <c r="P1695" s="33"/>
      <c r="Q1695" s="33"/>
      <c r="R1695" s="33"/>
      <c r="S1695" s="33"/>
      <c r="T1695" s="33"/>
      <c r="U1695" s="33"/>
      <c r="V1695" s="33"/>
      <c r="W1695" s="33"/>
      <c r="X1695" s="33"/>
      <c r="Y1695" s="33"/>
      <c r="Z1695" s="33"/>
      <c r="AA1695" s="33"/>
      <c r="AB1695" s="33"/>
      <c r="AC1695" s="33"/>
      <c r="AD1695" s="33"/>
      <c r="AE1695" s="33"/>
      <c r="AF1695" s="33"/>
      <c r="AG1695" s="33"/>
      <c r="AH1695" s="33"/>
      <c r="AI1695" s="33"/>
      <c r="AJ1695" s="33"/>
      <c r="AK1695" s="34" t="str">
        <f aca="false">IF($B1695="","",COUNTIF($F1695:$AJ1695,"P"))</f>
        <v/>
      </c>
      <c r="AL1695" s="34" t="str">
        <f aca="false">IF($B1695="","",COUNTIF($F1695:$AJ1695,"A"))</f>
        <v/>
      </c>
      <c r="AM1695" s="34" t="str">
        <f aca="false">IF($B1695="","",COUNTIF($F1695:$AJ1695,"HA"))</f>
        <v/>
      </c>
      <c r="AN1695" s="34" t="str">
        <f aca="false">IF($B1695="","",COUNTIF($F1695:$AJ1695,"L"))</f>
        <v/>
      </c>
      <c r="AO1695" s="34" t="str">
        <f aca="false">IF($B1695="","",COUNTIF($F1695:$AJ1695,"PL"))</f>
        <v/>
      </c>
      <c r="AP1695" s="34" t="str">
        <f aca="false">IF($B1695="","",COUNTIF($F1695:$AJ1695,"CL"))</f>
        <v/>
      </c>
      <c r="AQ1695" s="34" t="str">
        <f aca="false">IF($B1695="","",COUNTIF($F1695:$AJ1695,"SL"))</f>
        <v/>
      </c>
      <c r="AR1695" s="34" t="str">
        <f aca="false">IF($B1695="","",COUNTIF($F1695:$AJ1695,"CO"))</f>
        <v/>
      </c>
      <c r="AS1695" s="34" t="str">
        <f aca="false">IF($B1695="","",COUNTIF($F1695:$AJ1695,"HPL"))</f>
        <v/>
      </c>
      <c r="AT1695" s="34" t="str">
        <f aca="false">IF($B1695="","",COUNTIF($F1695:$AJ1695,"HCL"))</f>
        <v/>
      </c>
      <c r="AU1695" s="34" t="str">
        <f aca="false">IF($B1695="","",COUNTIF($F1695:$AJ1695,"WO"))</f>
        <v/>
      </c>
      <c r="AV1695" s="34" t="str">
        <f aca="false">IF($B1695="","",COUNTIF($F1695:$AJ1695,"PH"))</f>
        <v/>
      </c>
      <c r="AW1695" s="34" t="str">
        <f aca="false">IF($B1695="","",COUNTIF($F1695:$AJ1695,"TR"))</f>
        <v/>
      </c>
      <c r="AX1695" s="35" t="str">
        <f aca="false">IF($B1695="","",AO1695+AS1695/2)</f>
        <v/>
      </c>
      <c r="AY1695" s="35" t="str">
        <f aca="false">IF($B1695="","",AQ1695)</f>
        <v/>
      </c>
      <c r="AZ1695" s="35" t="str">
        <f aca="false">IF($B1695="","",AP1695+AT1695/2)</f>
        <v/>
      </c>
      <c r="BA1695" s="35" t="str">
        <f aca="false">IF($B1695="","",AK1695+AN1695+AM1695/2+AO1695+AP1695+AQ1695+AR1695+AS1695+AT1695+AU1695+AV1695+AW1695)</f>
        <v/>
      </c>
      <c r="BB1695" s="35" t="str">
        <f aca="false">IF($B1695="","",MAX(0,AN1695-Settings!$C$16)*Settings!$C$17)</f>
        <v/>
      </c>
      <c r="BC1695" s="35" t="str">
        <f aca="false">IF($B1695="","",BA1695-BB1695)</f>
        <v/>
      </c>
      <c r="BD1695" s="35" t="str">
        <f aca="false">IF(OR($B1695="",$A1695=""),"",DAY(EOMONTH($A1695,0))-COUNTA($F1695:$AJ1695))</f>
        <v/>
      </c>
    </row>
    <row r="1696" customFormat="false" ht="15" hidden="false" customHeight="false" outlineLevel="0" collapsed="false">
      <c r="A1696" s="32"/>
      <c r="B1696" s="29"/>
      <c r="C1696" s="10" t="str">
        <f aca="false">IF($B1696="","",IFERROR(INDEX(M_name,MATCH($B1696,M_emp,0)),"Code not found"))</f>
        <v/>
      </c>
      <c r="D1696" s="10" t="str">
        <f aca="false">IF($B1696="","",IFERROR(INDEX(M_dept,MATCH($B1696,M_emp,0)),""))</f>
        <v/>
      </c>
      <c r="E1696" s="10" t="str">
        <f aca="false">IF($B1696="","",IFERROR(INDEX(M_loc,MATCH($B1696,M_emp,0)),""))</f>
        <v/>
      </c>
      <c r="F1696" s="33"/>
      <c r="G1696" s="33"/>
      <c r="H1696" s="33"/>
      <c r="I1696" s="33"/>
      <c r="J1696" s="33"/>
      <c r="K1696" s="33"/>
      <c r="L1696" s="33"/>
      <c r="M1696" s="33"/>
      <c r="N1696" s="33"/>
      <c r="O1696" s="33"/>
      <c r="P1696" s="33"/>
      <c r="Q1696" s="33"/>
      <c r="R1696" s="33"/>
      <c r="S1696" s="33"/>
      <c r="T1696" s="33"/>
      <c r="U1696" s="33"/>
      <c r="V1696" s="33"/>
      <c r="W1696" s="33"/>
      <c r="X1696" s="33"/>
      <c r="Y1696" s="33"/>
      <c r="Z1696" s="33"/>
      <c r="AA1696" s="33"/>
      <c r="AB1696" s="33"/>
      <c r="AC1696" s="33"/>
      <c r="AD1696" s="33"/>
      <c r="AE1696" s="33"/>
      <c r="AF1696" s="33"/>
      <c r="AG1696" s="33"/>
      <c r="AH1696" s="33"/>
      <c r="AI1696" s="33"/>
      <c r="AJ1696" s="33"/>
      <c r="AK1696" s="34" t="str">
        <f aca="false">IF($B1696="","",COUNTIF($F1696:$AJ1696,"P"))</f>
        <v/>
      </c>
      <c r="AL1696" s="34" t="str">
        <f aca="false">IF($B1696="","",COUNTIF($F1696:$AJ1696,"A"))</f>
        <v/>
      </c>
      <c r="AM1696" s="34" t="str">
        <f aca="false">IF($B1696="","",COUNTIF($F1696:$AJ1696,"HA"))</f>
        <v/>
      </c>
      <c r="AN1696" s="34" t="str">
        <f aca="false">IF($B1696="","",COUNTIF($F1696:$AJ1696,"L"))</f>
        <v/>
      </c>
      <c r="AO1696" s="34" t="str">
        <f aca="false">IF($B1696="","",COUNTIF($F1696:$AJ1696,"PL"))</f>
        <v/>
      </c>
      <c r="AP1696" s="34" t="str">
        <f aca="false">IF($B1696="","",COUNTIF($F1696:$AJ1696,"CL"))</f>
        <v/>
      </c>
      <c r="AQ1696" s="34" t="str">
        <f aca="false">IF($B1696="","",COUNTIF($F1696:$AJ1696,"SL"))</f>
        <v/>
      </c>
      <c r="AR1696" s="34" t="str">
        <f aca="false">IF($B1696="","",COUNTIF($F1696:$AJ1696,"CO"))</f>
        <v/>
      </c>
      <c r="AS1696" s="34" t="str">
        <f aca="false">IF($B1696="","",COUNTIF($F1696:$AJ1696,"HPL"))</f>
        <v/>
      </c>
      <c r="AT1696" s="34" t="str">
        <f aca="false">IF($B1696="","",COUNTIF($F1696:$AJ1696,"HCL"))</f>
        <v/>
      </c>
      <c r="AU1696" s="34" t="str">
        <f aca="false">IF($B1696="","",COUNTIF($F1696:$AJ1696,"WO"))</f>
        <v/>
      </c>
      <c r="AV1696" s="34" t="str">
        <f aca="false">IF($B1696="","",COUNTIF($F1696:$AJ1696,"PH"))</f>
        <v/>
      </c>
      <c r="AW1696" s="34" t="str">
        <f aca="false">IF($B1696="","",COUNTIF($F1696:$AJ1696,"TR"))</f>
        <v/>
      </c>
      <c r="AX1696" s="35" t="str">
        <f aca="false">IF($B1696="","",AO1696+AS1696/2)</f>
        <v/>
      </c>
      <c r="AY1696" s="35" t="str">
        <f aca="false">IF($B1696="","",AQ1696)</f>
        <v/>
      </c>
      <c r="AZ1696" s="35" t="str">
        <f aca="false">IF($B1696="","",AP1696+AT1696/2)</f>
        <v/>
      </c>
      <c r="BA1696" s="35" t="str">
        <f aca="false">IF($B1696="","",AK1696+AN1696+AM1696/2+AO1696+AP1696+AQ1696+AR1696+AS1696+AT1696+AU1696+AV1696+AW1696)</f>
        <v/>
      </c>
      <c r="BB1696" s="35" t="str">
        <f aca="false">IF($B1696="","",MAX(0,AN1696-Settings!$C$16)*Settings!$C$17)</f>
        <v/>
      </c>
      <c r="BC1696" s="35" t="str">
        <f aca="false">IF($B1696="","",BA1696-BB1696)</f>
        <v/>
      </c>
      <c r="BD1696" s="35" t="str">
        <f aca="false">IF(OR($B1696="",$A1696=""),"",DAY(EOMONTH($A1696,0))-COUNTA($F1696:$AJ1696))</f>
        <v/>
      </c>
    </row>
    <row r="1697" customFormat="false" ht="15" hidden="false" customHeight="false" outlineLevel="0" collapsed="false">
      <c r="A1697" s="32"/>
      <c r="B1697" s="29"/>
      <c r="C1697" s="10" t="str">
        <f aca="false">IF($B1697="","",IFERROR(INDEX(M_name,MATCH($B1697,M_emp,0)),"Code not found"))</f>
        <v/>
      </c>
      <c r="D1697" s="10" t="str">
        <f aca="false">IF($B1697="","",IFERROR(INDEX(M_dept,MATCH($B1697,M_emp,0)),""))</f>
        <v/>
      </c>
      <c r="E1697" s="10" t="str">
        <f aca="false">IF($B1697="","",IFERROR(INDEX(M_loc,MATCH($B1697,M_emp,0)),""))</f>
        <v/>
      </c>
      <c r="F1697" s="33"/>
      <c r="G1697" s="33"/>
      <c r="H1697" s="33"/>
      <c r="I1697" s="33"/>
      <c r="J1697" s="33"/>
      <c r="K1697" s="33"/>
      <c r="L1697" s="33"/>
      <c r="M1697" s="33"/>
      <c r="N1697" s="33"/>
      <c r="O1697" s="33"/>
      <c r="P1697" s="33"/>
      <c r="Q1697" s="33"/>
      <c r="R1697" s="33"/>
      <c r="S1697" s="33"/>
      <c r="T1697" s="33"/>
      <c r="U1697" s="33"/>
      <c r="V1697" s="33"/>
      <c r="W1697" s="33"/>
      <c r="X1697" s="33"/>
      <c r="Y1697" s="33"/>
      <c r="Z1697" s="33"/>
      <c r="AA1697" s="33"/>
      <c r="AB1697" s="33"/>
      <c r="AC1697" s="33"/>
      <c r="AD1697" s="33"/>
      <c r="AE1697" s="33"/>
      <c r="AF1697" s="33"/>
      <c r="AG1697" s="33"/>
      <c r="AH1697" s="33"/>
      <c r="AI1697" s="33"/>
      <c r="AJ1697" s="33"/>
      <c r="AK1697" s="34" t="str">
        <f aca="false">IF($B1697="","",COUNTIF($F1697:$AJ1697,"P"))</f>
        <v/>
      </c>
      <c r="AL1697" s="34" t="str">
        <f aca="false">IF($B1697="","",COUNTIF($F1697:$AJ1697,"A"))</f>
        <v/>
      </c>
      <c r="AM1697" s="34" t="str">
        <f aca="false">IF($B1697="","",COUNTIF($F1697:$AJ1697,"HA"))</f>
        <v/>
      </c>
      <c r="AN1697" s="34" t="str">
        <f aca="false">IF($B1697="","",COUNTIF($F1697:$AJ1697,"L"))</f>
        <v/>
      </c>
      <c r="AO1697" s="34" t="str">
        <f aca="false">IF($B1697="","",COUNTIF($F1697:$AJ1697,"PL"))</f>
        <v/>
      </c>
      <c r="AP1697" s="34" t="str">
        <f aca="false">IF($B1697="","",COUNTIF($F1697:$AJ1697,"CL"))</f>
        <v/>
      </c>
      <c r="AQ1697" s="34" t="str">
        <f aca="false">IF($B1697="","",COUNTIF($F1697:$AJ1697,"SL"))</f>
        <v/>
      </c>
      <c r="AR1697" s="34" t="str">
        <f aca="false">IF($B1697="","",COUNTIF($F1697:$AJ1697,"CO"))</f>
        <v/>
      </c>
      <c r="AS1697" s="34" t="str">
        <f aca="false">IF($B1697="","",COUNTIF($F1697:$AJ1697,"HPL"))</f>
        <v/>
      </c>
      <c r="AT1697" s="34" t="str">
        <f aca="false">IF($B1697="","",COUNTIF($F1697:$AJ1697,"HCL"))</f>
        <v/>
      </c>
      <c r="AU1697" s="34" t="str">
        <f aca="false">IF($B1697="","",COUNTIF($F1697:$AJ1697,"WO"))</f>
        <v/>
      </c>
      <c r="AV1697" s="34" t="str">
        <f aca="false">IF($B1697="","",COUNTIF($F1697:$AJ1697,"PH"))</f>
        <v/>
      </c>
      <c r="AW1697" s="34" t="str">
        <f aca="false">IF($B1697="","",COUNTIF($F1697:$AJ1697,"TR"))</f>
        <v/>
      </c>
      <c r="AX1697" s="35" t="str">
        <f aca="false">IF($B1697="","",AO1697+AS1697/2)</f>
        <v/>
      </c>
      <c r="AY1697" s="35" t="str">
        <f aca="false">IF($B1697="","",AQ1697)</f>
        <v/>
      </c>
      <c r="AZ1697" s="35" t="str">
        <f aca="false">IF($B1697="","",AP1697+AT1697/2)</f>
        <v/>
      </c>
      <c r="BA1697" s="35" t="str">
        <f aca="false">IF($B1697="","",AK1697+AN1697+AM1697/2+AO1697+AP1697+AQ1697+AR1697+AS1697+AT1697+AU1697+AV1697+AW1697)</f>
        <v/>
      </c>
      <c r="BB1697" s="35" t="str">
        <f aca="false">IF($B1697="","",MAX(0,AN1697-Settings!$C$16)*Settings!$C$17)</f>
        <v/>
      </c>
      <c r="BC1697" s="35" t="str">
        <f aca="false">IF($B1697="","",BA1697-BB1697)</f>
        <v/>
      </c>
      <c r="BD1697" s="35" t="str">
        <f aca="false">IF(OR($B1697="",$A1697=""),"",DAY(EOMONTH($A1697,0))-COUNTA($F1697:$AJ1697))</f>
        <v/>
      </c>
    </row>
    <row r="1698" customFormat="false" ht="15" hidden="false" customHeight="false" outlineLevel="0" collapsed="false">
      <c r="A1698" s="32"/>
      <c r="B1698" s="29"/>
      <c r="C1698" s="10" t="str">
        <f aca="false">IF($B1698="","",IFERROR(INDEX(M_name,MATCH($B1698,M_emp,0)),"Code not found"))</f>
        <v/>
      </c>
      <c r="D1698" s="10" t="str">
        <f aca="false">IF($B1698="","",IFERROR(INDEX(M_dept,MATCH($B1698,M_emp,0)),""))</f>
        <v/>
      </c>
      <c r="E1698" s="10" t="str">
        <f aca="false">IF($B1698="","",IFERROR(INDEX(M_loc,MATCH($B1698,M_emp,0)),""))</f>
        <v/>
      </c>
      <c r="F1698" s="33"/>
      <c r="G1698" s="33"/>
      <c r="H1698" s="33"/>
      <c r="I1698" s="33"/>
      <c r="J1698" s="33"/>
      <c r="K1698" s="33"/>
      <c r="L1698" s="33"/>
      <c r="M1698" s="33"/>
      <c r="N1698" s="33"/>
      <c r="O1698" s="33"/>
      <c r="P1698" s="33"/>
      <c r="Q1698" s="33"/>
      <c r="R1698" s="33"/>
      <c r="S1698" s="33"/>
      <c r="T1698" s="33"/>
      <c r="U1698" s="33"/>
      <c r="V1698" s="33"/>
      <c r="W1698" s="33"/>
      <c r="X1698" s="33"/>
      <c r="Y1698" s="33"/>
      <c r="Z1698" s="33"/>
      <c r="AA1698" s="33"/>
      <c r="AB1698" s="33"/>
      <c r="AC1698" s="33"/>
      <c r="AD1698" s="33"/>
      <c r="AE1698" s="33"/>
      <c r="AF1698" s="33"/>
      <c r="AG1698" s="33"/>
      <c r="AH1698" s="33"/>
      <c r="AI1698" s="33"/>
      <c r="AJ1698" s="33"/>
      <c r="AK1698" s="34" t="str">
        <f aca="false">IF($B1698="","",COUNTIF($F1698:$AJ1698,"P"))</f>
        <v/>
      </c>
      <c r="AL1698" s="34" t="str">
        <f aca="false">IF($B1698="","",COUNTIF($F1698:$AJ1698,"A"))</f>
        <v/>
      </c>
      <c r="AM1698" s="34" t="str">
        <f aca="false">IF($B1698="","",COUNTIF($F1698:$AJ1698,"HA"))</f>
        <v/>
      </c>
      <c r="AN1698" s="34" t="str">
        <f aca="false">IF($B1698="","",COUNTIF($F1698:$AJ1698,"L"))</f>
        <v/>
      </c>
      <c r="AO1698" s="34" t="str">
        <f aca="false">IF($B1698="","",COUNTIF($F1698:$AJ1698,"PL"))</f>
        <v/>
      </c>
      <c r="AP1698" s="34" t="str">
        <f aca="false">IF($B1698="","",COUNTIF($F1698:$AJ1698,"CL"))</f>
        <v/>
      </c>
      <c r="AQ1698" s="34" t="str">
        <f aca="false">IF($B1698="","",COUNTIF($F1698:$AJ1698,"SL"))</f>
        <v/>
      </c>
      <c r="AR1698" s="34" t="str">
        <f aca="false">IF($B1698="","",COUNTIF($F1698:$AJ1698,"CO"))</f>
        <v/>
      </c>
      <c r="AS1698" s="34" t="str">
        <f aca="false">IF($B1698="","",COUNTIF($F1698:$AJ1698,"HPL"))</f>
        <v/>
      </c>
      <c r="AT1698" s="34" t="str">
        <f aca="false">IF($B1698="","",COUNTIF($F1698:$AJ1698,"HCL"))</f>
        <v/>
      </c>
      <c r="AU1698" s="34" t="str">
        <f aca="false">IF($B1698="","",COUNTIF($F1698:$AJ1698,"WO"))</f>
        <v/>
      </c>
      <c r="AV1698" s="34" t="str">
        <f aca="false">IF($B1698="","",COUNTIF($F1698:$AJ1698,"PH"))</f>
        <v/>
      </c>
      <c r="AW1698" s="34" t="str">
        <f aca="false">IF($B1698="","",COUNTIF($F1698:$AJ1698,"TR"))</f>
        <v/>
      </c>
      <c r="AX1698" s="35" t="str">
        <f aca="false">IF($B1698="","",AO1698+AS1698/2)</f>
        <v/>
      </c>
      <c r="AY1698" s="35" t="str">
        <f aca="false">IF($B1698="","",AQ1698)</f>
        <v/>
      </c>
      <c r="AZ1698" s="35" t="str">
        <f aca="false">IF($B1698="","",AP1698+AT1698/2)</f>
        <v/>
      </c>
      <c r="BA1698" s="35" t="str">
        <f aca="false">IF($B1698="","",AK1698+AN1698+AM1698/2+AO1698+AP1698+AQ1698+AR1698+AS1698+AT1698+AU1698+AV1698+AW1698)</f>
        <v/>
      </c>
      <c r="BB1698" s="35" t="str">
        <f aca="false">IF($B1698="","",MAX(0,AN1698-Settings!$C$16)*Settings!$C$17)</f>
        <v/>
      </c>
      <c r="BC1698" s="35" t="str">
        <f aca="false">IF($B1698="","",BA1698-BB1698)</f>
        <v/>
      </c>
      <c r="BD1698" s="35" t="str">
        <f aca="false">IF(OR($B1698="",$A1698=""),"",DAY(EOMONTH($A1698,0))-COUNTA($F1698:$AJ1698))</f>
        <v/>
      </c>
    </row>
    <row r="1699" customFormat="false" ht="15" hidden="false" customHeight="false" outlineLevel="0" collapsed="false">
      <c r="A1699" s="32"/>
      <c r="B1699" s="29"/>
      <c r="C1699" s="10" t="str">
        <f aca="false">IF($B1699="","",IFERROR(INDEX(M_name,MATCH($B1699,M_emp,0)),"Code not found"))</f>
        <v/>
      </c>
      <c r="D1699" s="10" t="str">
        <f aca="false">IF($B1699="","",IFERROR(INDEX(M_dept,MATCH($B1699,M_emp,0)),""))</f>
        <v/>
      </c>
      <c r="E1699" s="10" t="str">
        <f aca="false">IF($B1699="","",IFERROR(INDEX(M_loc,MATCH($B1699,M_emp,0)),""))</f>
        <v/>
      </c>
      <c r="F1699" s="33"/>
      <c r="G1699" s="33"/>
      <c r="H1699" s="33"/>
      <c r="I1699" s="33"/>
      <c r="J1699" s="33"/>
      <c r="K1699" s="33"/>
      <c r="L1699" s="33"/>
      <c r="M1699" s="33"/>
      <c r="N1699" s="33"/>
      <c r="O1699" s="33"/>
      <c r="P1699" s="33"/>
      <c r="Q1699" s="33"/>
      <c r="R1699" s="33"/>
      <c r="S1699" s="33"/>
      <c r="T1699" s="33"/>
      <c r="U1699" s="33"/>
      <c r="V1699" s="33"/>
      <c r="W1699" s="33"/>
      <c r="X1699" s="33"/>
      <c r="Y1699" s="33"/>
      <c r="Z1699" s="33"/>
      <c r="AA1699" s="33"/>
      <c r="AB1699" s="33"/>
      <c r="AC1699" s="33"/>
      <c r="AD1699" s="33"/>
      <c r="AE1699" s="33"/>
      <c r="AF1699" s="33"/>
      <c r="AG1699" s="33"/>
      <c r="AH1699" s="33"/>
      <c r="AI1699" s="33"/>
      <c r="AJ1699" s="33"/>
      <c r="AK1699" s="34" t="str">
        <f aca="false">IF($B1699="","",COUNTIF($F1699:$AJ1699,"P"))</f>
        <v/>
      </c>
      <c r="AL1699" s="34" t="str">
        <f aca="false">IF($B1699="","",COUNTIF($F1699:$AJ1699,"A"))</f>
        <v/>
      </c>
      <c r="AM1699" s="34" t="str">
        <f aca="false">IF($B1699="","",COUNTIF($F1699:$AJ1699,"HA"))</f>
        <v/>
      </c>
      <c r="AN1699" s="34" t="str">
        <f aca="false">IF($B1699="","",COUNTIF($F1699:$AJ1699,"L"))</f>
        <v/>
      </c>
      <c r="AO1699" s="34" t="str">
        <f aca="false">IF($B1699="","",COUNTIF($F1699:$AJ1699,"PL"))</f>
        <v/>
      </c>
      <c r="AP1699" s="34" t="str">
        <f aca="false">IF($B1699="","",COUNTIF($F1699:$AJ1699,"CL"))</f>
        <v/>
      </c>
      <c r="AQ1699" s="34" t="str">
        <f aca="false">IF($B1699="","",COUNTIF($F1699:$AJ1699,"SL"))</f>
        <v/>
      </c>
      <c r="AR1699" s="34" t="str">
        <f aca="false">IF($B1699="","",COUNTIF($F1699:$AJ1699,"CO"))</f>
        <v/>
      </c>
      <c r="AS1699" s="34" t="str">
        <f aca="false">IF($B1699="","",COUNTIF($F1699:$AJ1699,"HPL"))</f>
        <v/>
      </c>
      <c r="AT1699" s="34" t="str">
        <f aca="false">IF($B1699="","",COUNTIF($F1699:$AJ1699,"HCL"))</f>
        <v/>
      </c>
      <c r="AU1699" s="34" t="str">
        <f aca="false">IF($B1699="","",COUNTIF($F1699:$AJ1699,"WO"))</f>
        <v/>
      </c>
      <c r="AV1699" s="34" t="str">
        <f aca="false">IF($B1699="","",COUNTIF($F1699:$AJ1699,"PH"))</f>
        <v/>
      </c>
      <c r="AW1699" s="34" t="str">
        <f aca="false">IF($B1699="","",COUNTIF($F1699:$AJ1699,"TR"))</f>
        <v/>
      </c>
      <c r="AX1699" s="35" t="str">
        <f aca="false">IF($B1699="","",AO1699+AS1699/2)</f>
        <v/>
      </c>
      <c r="AY1699" s="35" t="str">
        <f aca="false">IF($B1699="","",AQ1699)</f>
        <v/>
      </c>
      <c r="AZ1699" s="35" t="str">
        <f aca="false">IF($B1699="","",AP1699+AT1699/2)</f>
        <v/>
      </c>
      <c r="BA1699" s="35" t="str">
        <f aca="false">IF($B1699="","",AK1699+AN1699+AM1699/2+AO1699+AP1699+AQ1699+AR1699+AS1699+AT1699+AU1699+AV1699+AW1699)</f>
        <v/>
      </c>
      <c r="BB1699" s="35" t="str">
        <f aca="false">IF($B1699="","",MAX(0,AN1699-Settings!$C$16)*Settings!$C$17)</f>
        <v/>
      </c>
      <c r="BC1699" s="35" t="str">
        <f aca="false">IF($B1699="","",BA1699-BB1699)</f>
        <v/>
      </c>
      <c r="BD1699" s="35" t="str">
        <f aca="false">IF(OR($B1699="",$A1699=""),"",DAY(EOMONTH($A1699,0))-COUNTA($F1699:$AJ1699))</f>
        <v/>
      </c>
    </row>
    <row r="1700" customFormat="false" ht="15" hidden="false" customHeight="false" outlineLevel="0" collapsed="false">
      <c r="A1700" s="32"/>
      <c r="B1700" s="29"/>
      <c r="C1700" s="10" t="str">
        <f aca="false">IF($B1700="","",IFERROR(INDEX(M_name,MATCH($B1700,M_emp,0)),"Code not found"))</f>
        <v/>
      </c>
      <c r="D1700" s="10" t="str">
        <f aca="false">IF($B1700="","",IFERROR(INDEX(M_dept,MATCH($B1700,M_emp,0)),""))</f>
        <v/>
      </c>
      <c r="E1700" s="10" t="str">
        <f aca="false">IF($B1700="","",IFERROR(INDEX(M_loc,MATCH($B1700,M_emp,0)),""))</f>
        <v/>
      </c>
      <c r="F1700" s="33"/>
      <c r="G1700" s="33"/>
      <c r="H1700" s="33"/>
      <c r="I1700" s="33"/>
      <c r="J1700" s="33"/>
      <c r="K1700" s="33"/>
      <c r="L1700" s="33"/>
      <c r="M1700" s="33"/>
      <c r="N1700" s="33"/>
      <c r="O1700" s="33"/>
      <c r="P1700" s="33"/>
      <c r="Q1700" s="33"/>
      <c r="R1700" s="33"/>
      <c r="S1700" s="33"/>
      <c r="T1700" s="33"/>
      <c r="U1700" s="33"/>
      <c r="V1700" s="33"/>
      <c r="W1700" s="33"/>
      <c r="X1700" s="33"/>
      <c r="Y1700" s="33"/>
      <c r="Z1700" s="33"/>
      <c r="AA1700" s="33"/>
      <c r="AB1700" s="33"/>
      <c r="AC1700" s="33"/>
      <c r="AD1700" s="33"/>
      <c r="AE1700" s="33"/>
      <c r="AF1700" s="33"/>
      <c r="AG1700" s="33"/>
      <c r="AH1700" s="33"/>
      <c r="AI1700" s="33"/>
      <c r="AJ1700" s="33"/>
      <c r="AK1700" s="34" t="str">
        <f aca="false">IF($B1700="","",COUNTIF($F1700:$AJ1700,"P"))</f>
        <v/>
      </c>
      <c r="AL1700" s="34" t="str">
        <f aca="false">IF($B1700="","",COUNTIF($F1700:$AJ1700,"A"))</f>
        <v/>
      </c>
      <c r="AM1700" s="34" t="str">
        <f aca="false">IF($B1700="","",COUNTIF($F1700:$AJ1700,"HA"))</f>
        <v/>
      </c>
      <c r="AN1700" s="34" t="str">
        <f aca="false">IF($B1700="","",COUNTIF($F1700:$AJ1700,"L"))</f>
        <v/>
      </c>
      <c r="AO1700" s="34" t="str">
        <f aca="false">IF($B1700="","",COUNTIF($F1700:$AJ1700,"PL"))</f>
        <v/>
      </c>
      <c r="AP1700" s="34" t="str">
        <f aca="false">IF($B1700="","",COUNTIF($F1700:$AJ1700,"CL"))</f>
        <v/>
      </c>
      <c r="AQ1700" s="34" t="str">
        <f aca="false">IF($B1700="","",COUNTIF($F1700:$AJ1700,"SL"))</f>
        <v/>
      </c>
      <c r="AR1700" s="34" t="str">
        <f aca="false">IF($B1700="","",COUNTIF($F1700:$AJ1700,"CO"))</f>
        <v/>
      </c>
      <c r="AS1700" s="34" t="str">
        <f aca="false">IF($B1700="","",COUNTIF($F1700:$AJ1700,"HPL"))</f>
        <v/>
      </c>
      <c r="AT1700" s="34" t="str">
        <f aca="false">IF($B1700="","",COUNTIF($F1700:$AJ1700,"HCL"))</f>
        <v/>
      </c>
      <c r="AU1700" s="34" t="str">
        <f aca="false">IF($B1700="","",COUNTIF($F1700:$AJ1700,"WO"))</f>
        <v/>
      </c>
      <c r="AV1700" s="34" t="str">
        <f aca="false">IF($B1700="","",COUNTIF($F1700:$AJ1700,"PH"))</f>
        <v/>
      </c>
      <c r="AW1700" s="34" t="str">
        <f aca="false">IF($B1700="","",COUNTIF($F1700:$AJ1700,"TR"))</f>
        <v/>
      </c>
      <c r="AX1700" s="35" t="str">
        <f aca="false">IF($B1700="","",AO1700+AS1700/2)</f>
        <v/>
      </c>
      <c r="AY1700" s="35" t="str">
        <f aca="false">IF($B1700="","",AQ1700)</f>
        <v/>
      </c>
      <c r="AZ1700" s="35" t="str">
        <f aca="false">IF($B1700="","",AP1700+AT1700/2)</f>
        <v/>
      </c>
      <c r="BA1700" s="35" t="str">
        <f aca="false">IF($B1700="","",AK1700+AN1700+AM1700/2+AO1700+AP1700+AQ1700+AR1700+AS1700+AT1700+AU1700+AV1700+AW1700)</f>
        <v/>
      </c>
      <c r="BB1700" s="35" t="str">
        <f aca="false">IF($B1700="","",MAX(0,AN1700-Settings!$C$16)*Settings!$C$17)</f>
        <v/>
      </c>
      <c r="BC1700" s="35" t="str">
        <f aca="false">IF($B1700="","",BA1700-BB1700)</f>
        <v/>
      </c>
      <c r="BD1700" s="35" t="str">
        <f aca="false">IF(OR($B1700="",$A1700=""),"",DAY(EOMONTH($A1700,0))-COUNTA($F1700:$AJ1700))</f>
        <v/>
      </c>
    </row>
    <row r="1701" customFormat="false" ht="15" hidden="false" customHeight="false" outlineLevel="0" collapsed="false">
      <c r="A1701" s="32"/>
      <c r="B1701" s="29"/>
      <c r="C1701" s="10" t="str">
        <f aca="false">IF($B1701="","",IFERROR(INDEX(M_name,MATCH($B1701,M_emp,0)),"Code not found"))</f>
        <v/>
      </c>
      <c r="D1701" s="10" t="str">
        <f aca="false">IF($B1701="","",IFERROR(INDEX(M_dept,MATCH($B1701,M_emp,0)),""))</f>
        <v/>
      </c>
      <c r="E1701" s="10" t="str">
        <f aca="false">IF($B1701="","",IFERROR(INDEX(M_loc,MATCH($B1701,M_emp,0)),""))</f>
        <v/>
      </c>
      <c r="F1701" s="33"/>
      <c r="G1701" s="33"/>
      <c r="H1701" s="33"/>
      <c r="I1701" s="33"/>
      <c r="J1701" s="33"/>
      <c r="K1701" s="33"/>
      <c r="L1701" s="33"/>
      <c r="M1701" s="33"/>
      <c r="N1701" s="33"/>
      <c r="O1701" s="33"/>
      <c r="P1701" s="33"/>
      <c r="Q1701" s="33"/>
      <c r="R1701" s="33"/>
      <c r="S1701" s="33"/>
      <c r="T1701" s="33"/>
      <c r="U1701" s="33"/>
      <c r="V1701" s="33"/>
      <c r="W1701" s="33"/>
      <c r="X1701" s="33"/>
      <c r="Y1701" s="33"/>
      <c r="Z1701" s="33"/>
      <c r="AA1701" s="33"/>
      <c r="AB1701" s="33"/>
      <c r="AC1701" s="33"/>
      <c r="AD1701" s="33"/>
      <c r="AE1701" s="33"/>
      <c r="AF1701" s="33"/>
      <c r="AG1701" s="33"/>
      <c r="AH1701" s="33"/>
      <c r="AI1701" s="33"/>
      <c r="AJ1701" s="33"/>
      <c r="AK1701" s="34" t="str">
        <f aca="false">IF($B1701="","",COUNTIF($F1701:$AJ1701,"P"))</f>
        <v/>
      </c>
      <c r="AL1701" s="34" t="str">
        <f aca="false">IF($B1701="","",COUNTIF($F1701:$AJ1701,"A"))</f>
        <v/>
      </c>
      <c r="AM1701" s="34" t="str">
        <f aca="false">IF($B1701="","",COUNTIF($F1701:$AJ1701,"HA"))</f>
        <v/>
      </c>
      <c r="AN1701" s="34" t="str">
        <f aca="false">IF($B1701="","",COUNTIF($F1701:$AJ1701,"L"))</f>
        <v/>
      </c>
      <c r="AO1701" s="34" t="str">
        <f aca="false">IF($B1701="","",COUNTIF($F1701:$AJ1701,"PL"))</f>
        <v/>
      </c>
      <c r="AP1701" s="34" t="str">
        <f aca="false">IF($B1701="","",COUNTIF($F1701:$AJ1701,"CL"))</f>
        <v/>
      </c>
      <c r="AQ1701" s="34" t="str">
        <f aca="false">IF($B1701="","",COUNTIF($F1701:$AJ1701,"SL"))</f>
        <v/>
      </c>
      <c r="AR1701" s="34" t="str">
        <f aca="false">IF($B1701="","",COUNTIF($F1701:$AJ1701,"CO"))</f>
        <v/>
      </c>
      <c r="AS1701" s="34" t="str">
        <f aca="false">IF($B1701="","",COUNTIF($F1701:$AJ1701,"HPL"))</f>
        <v/>
      </c>
      <c r="AT1701" s="34" t="str">
        <f aca="false">IF($B1701="","",COUNTIF($F1701:$AJ1701,"HCL"))</f>
        <v/>
      </c>
      <c r="AU1701" s="34" t="str">
        <f aca="false">IF($B1701="","",COUNTIF($F1701:$AJ1701,"WO"))</f>
        <v/>
      </c>
      <c r="AV1701" s="34" t="str">
        <f aca="false">IF($B1701="","",COUNTIF($F1701:$AJ1701,"PH"))</f>
        <v/>
      </c>
      <c r="AW1701" s="34" t="str">
        <f aca="false">IF($B1701="","",COUNTIF($F1701:$AJ1701,"TR"))</f>
        <v/>
      </c>
      <c r="AX1701" s="35" t="str">
        <f aca="false">IF($B1701="","",AO1701+AS1701/2)</f>
        <v/>
      </c>
      <c r="AY1701" s="35" t="str">
        <f aca="false">IF($B1701="","",AQ1701)</f>
        <v/>
      </c>
      <c r="AZ1701" s="35" t="str">
        <f aca="false">IF($B1701="","",AP1701+AT1701/2)</f>
        <v/>
      </c>
      <c r="BA1701" s="35" t="str">
        <f aca="false">IF($B1701="","",AK1701+AN1701+AM1701/2+AO1701+AP1701+AQ1701+AR1701+AS1701+AT1701+AU1701+AV1701+AW1701)</f>
        <v/>
      </c>
      <c r="BB1701" s="35" t="str">
        <f aca="false">IF($B1701="","",MAX(0,AN1701-Settings!$C$16)*Settings!$C$17)</f>
        <v/>
      </c>
      <c r="BC1701" s="35" t="str">
        <f aca="false">IF($B1701="","",BA1701-BB1701)</f>
        <v/>
      </c>
      <c r="BD1701" s="35" t="str">
        <f aca="false">IF(OR($B1701="",$A1701=""),"",DAY(EOMONTH($A1701,0))-COUNTA($F1701:$AJ1701))</f>
        <v/>
      </c>
    </row>
    <row r="1702" customFormat="false" ht="15" hidden="false" customHeight="false" outlineLevel="0" collapsed="false">
      <c r="A1702" s="32"/>
      <c r="B1702" s="29"/>
      <c r="C1702" s="10" t="str">
        <f aca="false">IF($B1702="","",IFERROR(INDEX(M_name,MATCH($B1702,M_emp,0)),"Code not found"))</f>
        <v/>
      </c>
      <c r="D1702" s="10" t="str">
        <f aca="false">IF($B1702="","",IFERROR(INDEX(M_dept,MATCH($B1702,M_emp,0)),""))</f>
        <v/>
      </c>
      <c r="E1702" s="10" t="str">
        <f aca="false">IF($B1702="","",IFERROR(INDEX(M_loc,MATCH($B1702,M_emp,0)),""))</f>
        <v/>
      </c>
      <c r="F1702" s="33"/>
      <c r="G1702" s="33"/>
      <c r="H1702" s="33"/>
      <c r="I1702" s="33"/>
      <c r="J1702" s="33"/>
      <c r="K1702" s="33"/>
      <c r="L1702" s="33"/>
      <c r="M1702" s="33"/>
      <c r="N1702" s="33"/>
      <c r="O1702" s="33"/>
      <c r="P1702" s="33"/>
      <c r="Q1702" s="33"/>
      <c r="R1702" s="33"/>
      <c r="S1702" s="33"/>
      <c r="T1702" s="33"/>
      <c r="U1702" s="33"/>
      <c r="V1702" s="33"/>
      <c r="W1702" s="33"/>
      <c r="X1702" s="33"/>
      <c r="Y1702" s="33"/>
      <c r="Z1702" s="33"/>
      <c r="AA1702" s="33"/>
      <c r="AB1702" s="33"/>
      <c r="AC1702" s="33"/>
      <c r="AD1702" s="33"/>
      <c r="AE1702" s="33"/>
      <c r="AF1702" s="33"/>
      <c r="AG1702" s="33"/>
      <c r="AH1702" s="33"/>
      <c r="AI1702" s="33"/>
      <c r="AJ1702" s="33"/>
      <c r="AK1702" s="34" t="str">
        <f aca="false">IF($B1702="","",COUNTIF($F1702:$AJ1702,"P"))</f>
        <v/>
      </c>
      <c r="AL1702" s="34" t="str">
        <f aca="false">IF($B1702="","",COUNTIF($F1702:$AJ1702,"A"))</f>
        <v/>
      </c>
      <c r="AM1702" s="34" t="str">
        <f aca="false">IF($B1702="","",COUNTIF($F1702:$AJ1702,"HA"))</f>
        <v/>
      </c>
      <c r="AN1702" s="34" t="str">
        <f aca="false">IF($B1702="","",COUNTIF($F1702:$AJ1702,"L"))</f>
        <v/>
      </c>
      <c r="AO1702" s="34" t="str">
        <f aca="false">IF($B1702="","",COUNTIF($F1702:$AJ1702,"PL"))</f>
        <v/>
      </c>
      <c r="AP1702" s="34" t="str">
        <f aca="false">IF($B1702="","",COUNTIF($F1702:$AJ1702,"CL"))</f>
        <v/>
      </c>
      <c r="AQ1702" s="34" t="str">
        <f aca="false">IF($B1702="","",COUNTIF($F1702:$AJ1702,"SL"))</f>
        <v/>
      </c>
      <c r="AR1702" s="34" t="str">
        <f aca="false">IF($B1702="","",COUNTIF($F1702:$AJ1702,"CO"))</f>
        <v/>
      </c>
      <c r="AS1702" s="34" t="str">
        <f aca="false">IF($B1702="","",COUNTIF($F1702:$AJ1702,"HPL"))</f>
        <v/>
      </c>
      <c r="AT1702" s="34" t="str">
        <f aca="false">IF($B1702="","",COUNTIF($F1702:$AJ1702,"HCL"))</f>
        <v/>
      </c>
      <c r="AU1702" s="34" t="str">
        <f aca="false">IF($B1702="","",COUNTIF($F1702:$AJ1702,"WO"))</f>
        <v/>
      </c>
      <c r="AV1702" s="34" t="str">
        <f aca="false">IF($B1702="","",COUNTIF($F1702:$AJ1702,"PH"))</f>
        <v/>
      </c>
      <c r="AW1702" s="34" t="str">
        <f aca="false">IF($B1702="","",COUNTIF($F1702:$AJ1702,"TR"))</f>
        <v/>
      </c>
      <c r="AX1702" s="35" t="str">
        <f aca="false">IF($B1702="","",AO1702+AS1702/2)</f>
        <v/>
      </c>
      <c r="AY1702" s="35" t="str">
        <f aca="false">IF($B1702="","",AQ1702)</f>
        <v/>
      </c>
      <c r="AZ1702" s="35" t="str">
        <f aca="false">IF($B1702="","",AP1702+AT1702/2)</f>
        <v/>
      </c>
      <c r="BA1702" s="35" t="str">
        <f aca="false">IF($B1702="","",AK1702+AN1702+AM1702/2+AO1702+AP1702+AQ1702+AR1702+AS1702+AT1702+AU1702+AV1702+AW1702)</f>
        <v/>
      </c>
      <c r="BB1702" s="35" t="str">
        <f aca="false">IF($B1702="","",MAX(0,AN1702-Settings!$C$16)*Settings!$C$17)</f>
        <v/>
      </c>
      <c r="BC1702" s="35" t="str">
        <f aca="false">IF($B1702="","",BA1702-BB1702)</f>
        <v/>
      </c>
      <c r="BD1702" s="35" t="str">
        <f aca="false">IF(OR($B1702="",$A1702=""),"",DAY(EOMONTH($A1702,0))-COUNTA($F1702:$AJ1702))</f>
        <v/>
      </c>
    </row>
    <row r="1703" customFormat="false" ht="15" hidden="false" customHeight="false" outlineLevel="0" collapsed="false">
      <c r="A1703" s="32"/>
      <c r="B1703" s="29"/>
      <c r="C1703" s="10" t="str">
        <f aca="false">IF($B1703="","",IFERROR(INDEX(M_name,MATCH($B1703,M_emp,0)),"Code not found"))</f>
        <v/>
      </c>
      <c r="D1703" s="10" t="str">
        <f aca="false">IF($B1703="","",IFERROR(INDEX(M_dept,MATCH($B1703,M_emp,0)),""))</f>
        <v/>
      </c>
      <c r="E1703" s="10" t="str">
        <f aca="false">IF($B1703="","",IFERROR(INDEX(M_loc,MATCH($B1703,M_emp,0)),""))</f>
        <v/>
      </c>
      <c r="F1703" s="33"/>
      <c r="G1703" s="33"/>
      <c r="H1703" s="33"/>
      <c r="I1703" s="33"/>
      <c r="J1703" s="33"/>
      <c r="K1703" s="33"/>
      <c r="L1703" s="33"/>
      <c r="M1703" s="33"/>
      <c r="N1703" s="33"/>
      <c r="O1703" s="33"/>
      <c r="P1703" s="33"/>
      <c r="Q1703" s="33"/>
      <c r="R1703" s="33"/>
      <c r="S1703" s="33"/>
      <c r="T1703" s="33"/>
      <c r="U1703" s="33"/>
      <c r="V1703" s="33"/>
      <c r="W1703" s="33"/>
      <c r="X1703" s="33"/>
      <c r="Y1703" s="33"/>
      <c r="Z1703" s="33"/>
      <c r="AA1703" s="33"/>
      <c r="AB1703" s="33"/>
      <c r="AC1703" s="33"/>
      <c r="AD1703" s="33"/>
      <c r="AE1703" s="33"/>
      <c r="AF1703" s="33"/>
      <c r="AG1703" s="33"/>
      <c r="AH1703" s="33"/>
      <c r="AI1703" s="33"/>
      <c r="AJ1703" s="33"/>
      <c r="AK1703" s="34" t="str">
        <f aca="false">IF($B1703="","",COUNTIF($F1703:$AJ1703,"P"))</f>
        <v/>
      </c>
      <c r="AL1703" s="34" t="str">
        <f aca="false">IF($B1703="","",COUNTIF($F1703:$AJ1703,"A"))</f>
        <v/>
      </c>
      <c r="AM1703" s="34" t="str">
        <f aca="false">IF($B1703="","",COUNTIF($F1703:$AJ1703,"HA"))</f>
        <v/>
      </c>
      <c r="AN1703" s="34" t="str">
        <f aca="false">IF($B1703="","",COUNTIF($F1703:$AJ1703,"L"))</f>
        <v/>
      </c>
      <c r="AO1703" s="34" t="str">
        <f aca="false">IF($B1703="","",COUNTIF($F1703:$AJ1703,"PL"))</f>
        <v/>
      </c>
      <c r="AP1703" s="34" t="str">
        <f aca="false">IF($B1703="","",COUNTIF($F1703:$AJ1703,"CL"))</f>
        <v/>
      </c>
      <c r="AQ1703" s="34" t="str">
        <f aca="false">IF($B1703="","",COUNTIF($F1703:$AJ1703,"SL"))</f>
        <v/>
      </c>
      <c r="AR1703" s="34" t="str">
        <f aca="false">IF($B1703="","",COUNTIF($F1703:$AJ1703,"CO"))</f>
        <v/>
      </c>
      <c r="AS1703" s="34" t="str">
        <f aca="false">IF($B1703="","",COUNTIF($F1703:$AJ1703,"HPL"))</f>
        <v/>
      </c>
      <c r="AT1703" s="34" t="str">
        <f aca="false">IF($B1703="","",COUNTIF($F1703:$AJ1703,"HCL"))</f>
        <v/>
      </c>
      <c r="AU1703" s="34" t="str">
        <f aca="false">IF($B1703="","",COUNTIF($F1703:$AJ1703,"WO"))</f>
        <v/>
      </c>
      <c r="AV1703" s="34" t="str">
        <f aca="false">IF($B1703="","",COUNTIF($F1703:$AJ1703,"PH"))</f>
        <v/>
      </c>
      <c r="AW1703" s="34" t="str">
        <f aca="false">IF($B1703="","",COUNTIF($F1703:$AJ1703,"TR"))</f>
        <v/>
      </c>
      <c r="AX1703" s="35" t="str">
        <f aca="false">IF($B1703="","",AO1703+AS1703/2)</f>
        <v/>
      </c>
      <c r="AY1703" s="35" t="str">
        <f aca="false">IF($B1703="","",AQ1703)</f>
        <v/>
      </c>
      <c r="AZ1703" s="35" t="str">
        <f aca="false">IF($B1703="","",AP1703+AT1703/2)</f>
        <v/>
      </c>
      <c r="BA1703" s="35" t="str">
        <f aca="false">IF($B1703="","",AK1703+AN1703+AM1703/2+AO1703+AP1703+AQ1703+AR1703+AS1703+AT1703+AU1703+AV1703+AW1703)</f>
        <v/>
      </c>
      <c r="BB1703" s="35" t="str">
        <f aca="false">IF($B1703="","",MAX(0,AN1703-Settings!$C$16)*Settings!$C$17)</f>
        <v/>
      </c>
      <c r="BC1703" s="35" t="str">
        <f aca="false">IF($B1703="","",BA1703-BB1703)</f>
        <v/>
      </c>
      <c r="BD1703" s="35" t="str">
        <f aca="false">IF(OR($B1703="",$A1703=""),"",DAY(EOMONTH($A1703,0))-COUNTA($F1703:$AJ1703))</f>
        <v/>
      </c>
    </row>
    <row r="1704" customFormat="false" ht="15" hidden="false" customHeight="false" outlineLevel="0" collapsed="false">
      <c r="A1704" s="32"/>
      <c r="B1704" s="29"/>
      <c r="C1704" s="10" t="str">
        <f aca="false">IF($B1704="","",IFERROR(INDEX(M_name,MATCH($B1704,M_emp,0)),"Code not found"))</f>
        <v/>
      </c>
      <c r="D1704" s="10" t="str">
        <f aca="false">IF($B1704="","",IFERROR(INDEX(M_dept,MATCH($B1704,M_emp,0)),""))</f>
        <v/>
      </c>
      <c r="E1704" s="10" t="str">
        <f aca="false">IF($B1704="","",IFERROR(INDEX(M_loc,MATCH($B1704,M_emp,0)),""))</f>
        <v/>
      </c>
      <c r="F1704" s="33"/>
      <c r="G1704" s="33"/>
      <c r="H1704" s="33"/>
      <c r="I1704" s="33"/>
      <c r="J1704" s="33"/>
      <c r="K1704" s="33"/>
      <c r="L1704" s="33"/>
      <c r="M1704" s="33"/>
      <c r="N1704" s="33"/>
      <c r="O1704" s="33"/>
      <c r="P1704" s="33"/>
      <c r="Q1704" s="33"/>
      <c r="R1704" s="33"/>
      <c r="S1704" s="33"/>
      <c r="T1704" s="33"/>
      <c r="U1704" s="33"/>
      <c r="V1704" s="33"/>
      <c r="W1704" s="33"/>
      <c r="X1704" s="33"/>
      <c r="Y1704" s="33"/>
      <c r="Z1704" s="33"/>
      <c r="AA1704" s="33"/>
      <c r="AB1704" s="33"/>
      <c r="AC1704" s="33"/>
      <c r="AD1704" s="33"/>
      <c r="AE1704" s="33"/>
      <c r="AF1704" s="33"/>
      <c r="AG1704" s="33"/>
      <c r="AH1704" s="33"/>
      <c r="AI1704" s="33"/>
      <c r="AJ1704" s="33"/>
      <c r="AK1704" s="34" t="str">
        <f aca="false">IF($B1704="","",COUNTIF($F1704:$AJ1704,"P"))</f>
        <v/>
      </c>
      <c r="AL1704" s="34" t="str">
        <f aca="false">IF($B1704="","",COUNTIF($F1704:$AJ1704,"A"))</f>
        <v/>
      </c>
      <c r="AM1704" s="34" t="str">
        <f aca="false">IF($B1704="","",COUNTIF($F1704:$AJ1704,"HA"))</f>
        <v/>
      </c>
      <c r="AN1704" s="34" t="str">
        <f aca="false">IF($B1704="","",COUNTIF($F1704:$AJ1704,"L"))</f>
        <v/>
      </c>
      <c r="AO1704" s="34" t="str">
        <f aca="false">IF($B1704="","",COUNTIF($F1704:$AJ1704,"PL"))</f>
        <v/>
      </c>
      <c r="AP1704" s="34" t="str">
        <f aca="false">IF($B1704="","",COUNTIF($F1704:$AJ1704,"CL"))</f>
        <v/>
      </c>
      <c r="AQ1704" s="34" t="str">
        <f aca="false">IF($B1704="","",COUNTIF($F1704:$AJ1704,"SL"))</f>
        <v/>
      </c>
      <c r="AR1704" s="34" t="str">
        <f aca="false">IF($B1704="","",COUNTIF($F1704:$AJ1704,"CO"))</f>
        <v/>
      </c>
      <c r="AS1704" s="34" t="str">
        <f aca="false">IF($B1704="","",COUNTIF($F1704:$AJ1704,"HPL"))</f>
        <v/>
      </c>
      <c r="AT1704" s="34" t="str">
        <f aca="false">IF($B1704="","",COUNTIF($F1704:$AJ1704,"HCL"))</f>
        <v/>
      </c>
      <c r="AU1704" s="34" t="str">
        <f aca="false">IF($B1704="","",COUNTIF($F1704:$AJ1704,"WO"))</f>
        <v/>
      </c>
      <c r="AV1704" s="34" t="str">
        <f aca="false">IF($B1704="","",COUNTIF($F1704:$AJ1704,"PH"))</f>
        <v/>
      </c>
      <c r="AW1704" s="34" t="str">
        <f aca="false">IF($B1704="","",COUNTIF($F1704:$AJ1704,"TR"))</f>
        <v/>
      </c>
      <c r="AX1704" s="35" t="str">
        <f aca="false">IF($B1704="","",AO1704+AS1704/2)</f>
        <v/>
      </c>
      <c r="AY1704" s="35" t="str">
        <f aca="false">IF($B1704="","",AQ1704)</f>
        <v/>
      </c>
      <c r="AZ1704" s="35" t="str">
        <f aca="false">IF($B1704="","",AP1704+AT1704/2)</f>
        <v/>
      </c>
      <c r="BA1704" s="35" t="str">
        <f aca="false">IF($B1704="","",AK1704+AN1704+AM1704/2+AO1704+AP1704+AQ1704+AR1704+AS1704+AT1704+AU1704+AV1704+AW1704)</f>
        <v/>
      </c>
      <c r="BB1704" s="35" t="str">
        <f aca="false">IF($B1704="","",MAX(0,AN1704-Settings!$C$16)*Settings!$C$17)</f>
        <v/>
      </c>
      <c r="BC1704" s="35" t="str">
        <f aca="false">IF($B1704="","",BA1704-BB1704)</f>
        <v/>
      </c>
      <c r="BD1704" s="35" t="str">
        <f aca="false">IF(OR($B1704="",$A1704=""),"",DAY(EOMONTH($A1704,0))-COUNTA($F1704:$AJ1704))</f>
        <v/>
      </c>
    </row>
    <row r="1705" customFormat="false" ht="15" hidden="false" customHeight="false" outlineLevel="0" collapsed="false">
      <c r="A1705" s="32"/>
      <c r="B1705" s="29"/>
      <c r="C1705" s="10" t="str">
        <f aca="false">IF($B1705="","",IFERROR(INDEX(M_name,MATCH($B1705,M_emp,0)),"Code not found"))</f>
        <v/>
      </c>
      <c r="D1705" s="10" t="str">
        <f aca="false">IF($B1705="","",IFERROR(INDEX(M_dept,MATCH($B1705,M_emp,0)),""))</f>
        <v/>
      </c>
      <c r="E1705" s="10" t="str">
        <f aca="false">IF($B1705="","",IFERROR(INDEX(M_loc,MATCH($B1705,M_emp,0)),""))</f>
        <v/>
      </c>
      <c r="F1705" s="33"/>
      <c r="G1705" s="33"/>
      <c r="H1705" s="33"/>
      <c r="I1705" s="33"/>
      <c r="J1705" s="33"/>
      <c r="K1705" s="33"/>
      <c r="L1705" s="33"/>
      <c r="M1705" s="33"/>
      <c r="N1705" s="33"/>
      <c r="O1705" s="33"/>
      <c r="P1705" s="33"/>
      <c r="Q1705" s="33"/>
      <c r="R1705" s="33"/>
      <c r="S1705" s="33"/>
      <c r="T1705" s="33"/>
      <c r="U1705" s="33"/>
      <c r="V1705" s="33"/>
      <c r="W1705" s="33"/>
      <c r="X1705" s="33"/>
      <c r="Y1705" s="33"/>
      <c r="Z1705" s="33"/>
      <c r="AA1705" s="33"/>
      <c r="AB1705" s="33"/>
      <c r="AC1705" s="33"/>
      <c r="AD1705" s="33"/>
      <c r="AE1705" s="33"/>
      <c r="AF1705" s="33"/>
      <c r="AG1705" s="33"/>
      <c r="AH1705" s="33"/>
      <c r="AI1705" s="33"/>
      <c r="AJ1705" s="33"/>
      <c r="AK1705" s="34" t="str">
        <f aca="false">IF($B1705="","",COUNTIF($F1705:$AJ1705,"P"))</f>
        <v/>
      </c>
      <c r="AL1705" s="34" t="str">
        <f aca="false">IF($B1705="","",COUNTIF($F1705:$AJ1705,"A"))</f>
        <v/>
      </c>
      <c r="AM1705" s="34" t="str">
        <f aca="false">IF($B1705="","",COUNTIF($F1705:$AJ1705,"HA"))</f>
        <v/>
      </c>
      <c r="AN1705" s="34" t="str">
        <f aca="false">IF($B1705="","",COUNTIF($F1705:$AJ1705,"L"))</f>
        <v/>
      </c>
      <c r="AO1705" s="34" t="str">
        <f aca="false">IF($B1705="","",COUNTIF($F1705:$AJ1705,"PL"))</f>
        <v/>
      </c>
      <c r="AP1705" s="34" t="str">
        <f aca="false">IF($B1705="","",COUNTIF($F1705:$AJ1705,"CL"))</f>
        <v/>
      </c>
      <c r="AQ1705" s="34" t="str">
        <f aca="false">IF($B1705="","",COUNTIF($F1705:$AJ1705,"SL"))</f>
        <v/>
      </c>
      <c r="AR1705" s="34" t="str">
        <f aca="false">IF($B1705="","",COUNTIF($F1705:$AJ1705,"CO"))</f>
        <v/>
      </c>
      <c r="AS1705" s="34" t="str">
        <f aca="false">IF($B1705="","",COUNTIF($F1705:$AJ1705,"HPL"))</f>
        <v/>
      </c>
      <c r="AT1705" s="34" t="str">
        <f aca="false">IF($B1705="","",COUNTIF($F1705:$AJ1705,"HCL"))</f>
        <v/>
      </c>
      <c r="AU1705" s="34" t="str">
        <f aca="false">IF($B1705="","",COUNTIF($F1705:$AJ1705,"WO"))</f>
        <v/>
      </c>
      <c r="AV1705" s="34" t="str">
        <f aca="false">IF($B1705="","",COUNTIF($F1705:$AJ1705,"PH"))</f>
        <v/>
      </c>
      <c r="AW1705" s="34" t="str">
        <f aca="false">IF($B1705="","",COUNTIF($F1705:$AJ1705,"TR"))</f>
        <v/>
      </c>
      <c r="AX1705" s="35" t="str">
        <f aca="false">IF($B1705="","",AO1705+AS1705/2)</f>
        <v/>
      </c>
      <c r="AY1705" s="35" t="str">
        <f aca="false">IF($B1705="","",AQ1705)</f>
        <v/>
      </c>
      <c r="AZ1705" s="35" t="str">
        <f aca="false">IF($B1705="","",AP1705+AT1705/2)</f>
        <v/>
      </c>
      <c r="BA1705" s="35" t="str">
        <f aca="false">IF($B1705="","",AK1705+AN1705+AM1705/2+AO1705+AP1705+AQ1705+AR1705+AS1705+AT1705+AU1705+AV1705+AW1705)</f>
        <v/>
      </c>
      <c r="BB1705" s="35" t="str">
        <f aca="false">IF($B1705="","",MAX(0,AN1705-Settings!$C$16)*Settings!$C$17)</f>
        <v/>
      </c>
      <c r="BC1705" s="35" t="str">
        <f aca="false">IF($B1705="","",BA1705-BB1705)</f>
        <v/>
      </c>
      <c r="BD1705" s="35" t="str">
        <f aca="false">IF(OR($B1705="",$A1705=""),"",DAY(EOMONTH($A1705,0))-COUNTA($F1705:$AJ1705))</f>
        <v/>
      </c>
    </row>
    <row r="1706" customFormat="false" ht="15" hidden="false" customHeight="false" outlineLevel="0" collapsed="false">
      <c r="A1706" s="32"/>
      <c r="B1706" s="29"/>
      <c r="C1706" s="10" t="str">
        <f aca="false">IF($B1706="","",IFERROR(INDEX(M_name,MATCH($B1706,M_emp,0)),"Code not found"))</f>
        <v/>
      </c>
      <c r="D1706" s="10" t="str">
        <f aca="false">IF($B1706="","",IFERROR(INDEX(M_dept,MATCH($B1706,M_emp,0)),""))</f>
        <v/>
      </c>
      <c r="E1706" s="10" t="str">
        <f aca="false">IF($B1706="","",IFERROR(INDEX(M_loc,MATCH($B1706,M_emp,0)),""))</f>
        <v/>
      </c>
      <c r="F1706" s="33"/>
      <c r="G1706" s="33"/>
      <c r="H1706" s="33"/>
      <c r="I1706" s="33"/>
      <c r="J1706" s="33"/>
      <c r="K1706" s="33"/>
      <c r="L1706" s="33"/>
      <c r="M1706" s="33"/>
      <c r="N1706" s="33"/>
      <c r="O1706" s="33"/>
      <c r="P1706" s="33"/>
      <c r="Q1706" s="33"/>
      <c r="R1706" s="33"/>
      <c r="S1706" s="33"/>
      <c r="T1706" s="33"/>
      <c r="U1706" s="33"/>
      <c r="V1706" s="33"/>
      <c r="W1706" s="33"/>
      <c r="X1706" s="33"/>
      <c r="Y1706" s="33"/>
      <c r="Z1706" s="33"/>
      <c r="AA1706" s="33"/>
      <c r="AB1706" s="33"/>
      <c r="AC1706" s="33"/>
      <c r="AD1706" s="33"/>
      <c r="AE1706" s="33"/>
      <c r="AF1706" s="33"/>
      <c r="AG1706" s="33"/>
      <c r="AH1706" s="33"/>
      <c r="AI1706" s="33"/>
      <c r="AJ1706" s="33"/>
      <c r="AK1706" s="34" t="str">
        <f aca="false">IF($B1706="","",COUNTIF($F1706:$AJ1706,"P"))</f>
        <v/>
      </c>
      <c r="AL1706" s="34" t="str">
        <f aca="false">IF($B1706="","",COUNTIF($F1706:$AJ1706,"A"))</f>
        <v/>
      </c>
      <c r="AM1706" s="34" t="str">
        <f aca="false">IF($B1706="","",COUNTIF($F1706:$AJ1706,"HA"))</f>
        <v/>
      </c>
      <c r="AN1706" s="34" t="str">
        <f aca="false">IF($B1706="","",COUNTIF($F1706:$AJ1706,"L"))</f>
        <v/>
      </c>
      <c r="AO1706" s="34" t="str">
        <f aca="false">IF($B1706="","",COUNTIF($F1706:$AJ1706,"PL"))</f>
        <v/>
      </c>
      <c r="AP1706" s="34" t="str">
        <f aca="false">IF($B1706="","",COUNTIF($F1706:$AJ1706,"CL"))</f>
        <v/>
      </c>
      <c r="AQ1706" s="34" t="str">
        <f aca="false">IF($B1706="","",COUNTIF($F1706:$AJ1706,"SL"))</f>
        <v/>
      </c>
      <c r="AR1706" s="34" t="str">
        <f aca="false">IF($B1706="","",COUNTIF($F1706:$AJ1706,"CO"))</f>
        <v/>
      </c>
      <c r="AS1706" s="34" t="str">
        <f aca="false">IF($B1706="","",COUNTIF($F1706:$AJ1706,"HPL"))</f>
        <v/>
      </c>
      <c r="AT1706" s="34" t="str">
        <f aca="false">IF($B1706="","",COUNTIF($F1706:$AJ1706,"HCL"))</f>
        <v/>
      </c>
      <c r="AU1706" s="34" t="str">
        <f aca="false">IF($B1706="","",COUNTIF($F1706:$AJ1706,"WO"))</f>
        <v/>
      </c>
      <c r="AV1706" s="34" t="str">
        <f aca="false">IF($B1706="","",COUNTIF($F1706:$AJ1706,"PH"))</f>
        <v/>
      </c>
      <c r="AW1706" s="34" t="str">
        <f aca="false">IF($B1706="","",COUNTIF($F1706:$AJ1706,"TR"))</f>
        <v/>
      </c>
      <c r="AX1706" s="35" t="str">
        <f aca="false">IF($B1706="","",AO1706+AS1706/2)</f>
        <v/>
      </c>
      <c r="AY1706" s="35" t="str">
        <f aca="false">IF($B1706="","",AQ1706)</f>
        <v/>
      </c>
      <c r="AZ1706" s="35" t="str">
        <f aca="false">IF($B1706="","",AP1706+AT1706/2)</f>
        <v/>
      </c>
      <c r="BA1706" s="35" t="str">
        <f aca="false">IF($B1706="","",AK1706+AN1706+AM1706/2+AO1706+AP1706+AQ1706+AR1706+AS1706+AT1706+AU1706+AV1706+AW1706)</f>
        <v/>
      </c>
      <c r="BB1706" s="35" t="str">
        <f aca="false">IF($B1706="","",MAX(0,AN1706-Settings!$C$16)*Settings!$C$17)</f>
        <v/>
      </c>
      <c r="BC1706" s="35" t="str">
        <f aca="false">IF($B1706="","",BA1706-BB1706)</f>
        <v/>
      </c>
      <c r="BD1706" s="35" t="str">
        <f aca="false">IF(OR($B1706="",$A1706=""),"",DAY(EOMONTH($A1706,0))-COUNTA($F1706:$AJ1706))</f>
        <v/>
      </c>
    </row>
    <row r="1707" customFormat="false" ht="15" hidden="false" customHeight="false" outlineLevel="0" collapsed="false">
      <c r="A1707" s="32"/>
      <c r="B1707" s="29"/>
      <c r="C1707" s="10" t="str">
        <f aca="false">IF($B1707="","",IFERROR(INDEX(M_name,MATCH($B1707,M_emp,0)),"Code not found"))</f>
        <v/>
      </c>
      <c r="D1707" s="10" t="str">
        <f aca="false">IF($B1707="","",IFERROR(INDEX(M_dept,MATCH($B1707,M_emp,0)),""))</f>
        <v/>
      </c>
      <c r="E1707" s="10" t="str">
        <f aca="false">IF($B1707="","",IFERROR(INDEX(M_loc,MATCH($B1707,M_emp,0)),""))</f>
        <v/>
      </c>
      <c r="F1707" s="33"/>
      <c r="G1707" s="33"/>
      <c r="H1707" s="33"/>
      <c r="I1707" s="33"/>
      <c r="J1707" s="33"/>
      <c r="K1707" s="33"/>
      <c r="L1707" s="33"/>
      <c r="M1707" s="33"/>
      <c r="N1707" s="33"/>
      <c r="O1707" s="33"/>
      <c r="P1707" s="33"/>
      <c r="Q1707" s="33"/>
      <c r="R1707" s="33"/>
      <c r="S1707" s="33"/>
      <c r="T1707" s="33"/>
      <c r="U1707" s="33"/>
      <c r="V1707" s="33"/>
      <c r="W1707" s="33"/>
      <c r="X1707" s="33"/>
      <c r="Y1707" s="33"/>
      <c r="Z1707" s="33"/>
      <c r="AA1707" s="33"/>
      <c r="AB1707" s="33"/>
      <c r="AC1707" s="33"/>
      <c r="AD1707" s="33"/>
      <c r="AE1707" s="33"/>
      <c r="AF1707" s="33"/>
      <c r="AG1707" s="33"/>
      <c r="AH1707" s="33"/>
      <c r="AI1707" s="33"/>
      <c r="AJ1707" s="33"/>
      <c r="AK1707" s="34" t="str">
        <f aca="false">IF($B1707="","",COUNTIF($F1707:$AJ1707,"P"))</f>
        <v/>
      </c>
      <c r="AL1707" s="34" t="str">
        <f aca="false">IF($B1707="","",COUNTIF($F1707:$AJ1707,"A"))</f>
        <v/>
      </c>
      <c r="AM1707" s="34" t="str">
        <f aca="false">IF($B1707="","",COUNTIF($F1707:$AJ1707,"HA"))</f>
        <v/>
      </c>
      <c r="AN1707" s="34" t="str">
        <f aca="false">IF($B1707="","",COUNTIF($F1707:$AJ1707,"L"))</f>
        <v/>
      </c>
      <c r="AO1707" s="34" t="str">
        <f aca="false">IF($B1707="","",COUNTIF($F1707:$AJ1707,"PL"))</f>
        <v/>
      </c>
      <c r="AP1707" s="34" t="str">
        <f aca="false">IF($B1707="","",COUNTIF($F1707:$AJ1707,"CL"))</f>
        <v/>
      </c>
      <c r="AQ1707" s="34" t="str">
        <f aca="false">IF($B1707="","",COUNTIF($F1707:$AJ1707,"SL"))</f>
        <v/>
      </c>
      <c r="AR1707" s="34" t="str">
        <f aca="false">IF($B1707="","",COUNTIF($F1707:$AJ1707,"CO"))</f>
        <v/>
      </c>
      <c r="AS1707" s="34" t="str">
        <f aca="false">IF($B1707="","",COUNTIF($F1707:$AJ1707,"HPL"))</f>
        <v/>
      </c>
      <c r="AT1707" s="34" t="str">
        <f aca="false">IF($B1707="","",COUNTIF($F1707:$AJ1707,"HCL"))</f>
        <v/>
      </c>
      <c r="AU1707" s="34" t="str">
        <f aca="false">IF($B1707="","",COUNTIF($F1707:$AJ1707,"WO"))</f>
        <v/>
      </c>
      <c r="AV1707" s="34" t="str">
        <f aca="false">IF($B1707="","",COUNTIF($F1707:$AJ1707,"PH"))</f>
        <v/>
      </c>
      <c r="AW1707" s="34" t="str">
        <f aca="false">IF($B1707="","",COUNTIF($F1707:$AJ1707,"TR"))</f>
        <v/>
      </c>
      <c r="AX1707" s="35" t="str">
        <f aca="false">IF($B1707="","",AO1707+AS1707/2)</f>
        <v/>
      </c>
      <c r="AY1707" s="35" t="str">
        <f aca="false">IF($B1707="","",AQ1707)</f>
        <v/>
      </c>
      <c r="AZ1707" s="35" t="str">
        <f aca="false">IF($B1707="","",AP1707+AT1707/2)</f>
        <v/>
      </c>
      <c r="BA1707" s="35" t="str">
        <f aca="false">IF($B1707="","",AK1707+AN1707+AM1707/2+AO1707+AP1707+AQ1707+AR1707+AS1707+AT1707+AU1707+AV1707+AW1707)</f>
        <v/>
      </c>
      <c r="BB1707" s="35" t="str">
        <f aca="false">IF($B1707="","",MAX(0,AN1707-Settings!$C$16)*Settings!$C$17)</f>
        <v/>
      </c>
      <c r="BC1707" s="35" t="str">
        <f aca="false">IF($B1707="","",BA1707-BB1707)</f>
        <v/>
      </c>
      <c r="BD1707" s="35" t="str">
        <f aca="false">IF(OR($B1707="",$A1707=""),"",DAY(EOMONTH($A1707,0))-COUNTA($F1707:$AJ1707))</f>
        <v/>
      </c>
    </row>
    <row r="1708" customFormat="false" ht="15" hidden="false" customHeight="false" outlineLevel="0" collapsed="false">
      <c r="A1708" s="32"/>
      <c r="B1708" s="29"/>
      <c r="C1708" s="10" t="str">
        <f aca="false">IF($B1708="","",IFERROR(INDEX(M_name,MATCH($B1708,M_emp,0)),"Code not found"))</f>
        <v/>
      </c>
      <c r="D1708" s="10" t="str">
        <f aca="false">IF($B1708="","",IFERROR(INDEX(M_dept,MATCH($B1708,M_emp,0)),""))</f>
        <v/>
      </c>
      <c r="E1708" s="10" t="str">
        <f aca="false">IF($B1708="","",IFERROR(INDEX(M_loc,MATCH($B1708,M_emp,0)),""))</f>
        <v/>
      </c>
      <c r="F1708" s="33"/>
      <c r="G1708" s="33"/>
      <c r="H1708" s="33"/>
      <c r="I1708" s="33"/>
      <c r="J1708" s="33"/>
      <c r="K1708" s="33"/>
      <c r="L1708" s="33"/>
      <c r="M1708" s="33"/>
      <c r="N1708" s="33"/>
      <c r="O1708" s="33"/>
      <c r="P1708" s="33"/>
      <c r="Q1708" s="33"/>
      <c r="R1708" s="33"/>
      <c r="S1708" s="33"/>
      <c r="T1708" s="33"/>
      <c r="U1708" s="33"/>
      <c r="V1708" s="33"/>
      <c r="W1708" s="33"/>
      <c r="X1708" s="33"/>
      <c r="Y1708" s="33"/>
      <c r="Z1708" s="33"/>
      <c r="AA1708" s="33"/>
      <c r="AB1708" s="33"/>
      <c r="AC1708" s="33"/>
      <c r="AD1708" s="33"/>
      <c r="AE1708" s="33"/>
      <c r="AF1708" s="33"/>
      <c r="AG1708" s="33"/>
      <c r="AH1708" s="33"/>
      <c r="AI1708" s="33"/>
      <c r="AJ1708" s="33"/>
      <c r="AK1708" s="34" t="str">
        <f aca="false">IF($B1708="","",COUNTIF($F1708:$AJ1708,"P"))</f>
        <v/>
      </c>
      <c r="AL1708" s="34" t="str">
        <f aca="false">IF($B1708="","",COUNTIF($F1708:$AJ1708,"A"))</f>
        <v/>
      </c>
      <c r="AM1708" s="34" t="str">
        <f aca="false">IF($B1708="","",COUNTIF($F1708:$AJ1708,"HA"))</f>
        <v/>
      </c>
      <c r="AN1708" s="34" t="str">
        <f aca="false">IF($B1708="","",COUNTIF($F1708:$AJ1708,"L"))</f>
        <v/>
      </c>
      <c r="AO1708" s="34" t="str">
        <f aca="false">IF($B1708="","",COUNTIF($F1708:$AJ1708,"PL"))</f>
        <v/>
      </c>
      <c r="AP1708" s="34" t="str">
        <f aca="false">IF($B1708="","",COUNTIF($F1708:$AJ1708,"CL"))</f>
        <v/>
      </c>
      <c r="AQ1708" s="34" t="str">
        <f aca="false">IF($B1708="","",COUNTIF($F1708:$AJ1708,"SL"))</f>
        <v/>
      </c>
      <c r="AR1708" s="34" t="str">
        <f aca="false">IF($B1708="","",COUNTIF($F1708:$AJ1708,"CO"))</f>
        <v/>
      </c>
      <c r="AS1708" s="34" t="str">
        <f aca="false">IF($B1708="","",COUNTIF($F1708:$AJ1708,"HPL"))</f>
        <v/>
      </c>
      <c r="AT1708" s="34" t="str">
        <f aca="false">IF($B1708="","",COUNTIF($F1708:$AJ1708,"HCL"))</f>
        <v/>
      </c>
      <c r="AU1708" s="34" t="str">
        <f aca="false">IF($B1708="","",COUNTIF($F1708:$AJ1708,"WO"))</f>
        <v/>
      </c>
      <c r="AV1708" s="34" t="str">
        <f aca="false">IF($B1708="","",COUNTIF($F1708:$AJ1708,"PH"))</f>
        <v/>
      </c>
      <c r="AW1708" s="34" t="str">
        <f aca="false">IF($B1708="","",COUNTIF($F1708:$AJ1708,"TR"))</f>
        <v/>
      </c>
      <c r="AX1708" s="35" t="str">
        <f aca="false">IF($B1708="","",AO1708+AS1708/2)</f>
        <v/>
      </c>
      <c r="AY1708" s="35" t="str">
        <f aca="false">IF($B1708="","",AQ1708)</f>
        <v/>
      </c>
      <c r="AZ1708" s="35" t="str">
        <f aca="false">IF($B1708="","",AP1708+AT1708/2)</f>
        <v/>
      </c>
      <c r="BA1708" s="35" t="str">
        <f aca="false">IF($B1708="","",AK1708+AN1708+AM1708/2+AO1708+AP1708+AQ1708+AR1708+AS1708+AT1708+AU1708+AV1708+AW1708)</f>
        <v/>
      </c>
      <c r="BB1708" s="35" t="str">
        <f aca="false">IF($B1708="","",MAX(0,AN1708-Settings!$C$16)*Settings!$C$17)</f>
        <v/>
      </c>
      <c r="BC1708" s="35" t="str">
        <f aca="false">IF($B1708="","",BA1708-BB1708)</f>
        <v/>
      </c>
      <c r="BD1708" s="35" t="str">
        <f aca="false">IF(OR($B1708="",$A1708=""),"",DAY(EOMONTH($A1708,0))-COUNTA($F1708:$AJ1708))</f>
        <v/>
      </c>
    </row>
    <row r="1709" customFormat="false" ht="15" hidden="false" customHeight="false" outlineLevel="0" collapsed="false">
      <c r="A1709" s="32"/>
      <c r="B1709" s="29"/>
      <c r="C1709" s="10" t="str">
        <f aca="false">IF($B1709="","",IFERROR(INDEX(M_name,MATCH($B1709,M_emp,0)),"Code not found"))</f>
        <v/>
      </c>
      <c r="D1709" s="10" t="str">
        <f aca="false">IF($B1709="","",IFERROR(INDEX(M_dept,MATCH($B1709,M_emp,0)),""))</f>
        <v/>
      </c>
      <c r="E1709" s="10" t="str">
        <f aca="false">IF($B1709="","",IFERROR(INDEX(M_loc,MATCH($B1709,M_emp,0)),""))</f>
        <v/>
      </c>
      <c r="F1709" s="33"/>
      <c r="G1709" s="33"/>
      <c r="H1709" s="33"/>
      <c r="I1709" s="33"/>
      <c r="J1709" s="33"/>
      <c r="K1709" s="33"/>
      <c r="L1709" s="33"/>
      <c r="M1709" s="33"/>
      <c r="N1709" s="33"/>
      <c r="O1709" s="33"/>
      <c r="P1709" s="33"/>
      <c r="Q1709" s="33"/>
      <c r="R1709" s="33"/>
      <c r="S1709" s="33"/>
      <c r="T1709" s="33"/>
      <c r="U1709" s="33"/>
      <c r="V1709" s="33"/>
      <c r="W1709" s="33"/>
      <c r="X1709" s="33"/>
      <c r="Y1709" s="33"/>
      <c r="Z1709" s="33"/>
      <c r="AA1709" s="33"/>
      <c r="AB1709" s="33"/>
      <c r="AC1709" s="33"/>
      <c r="AD1709" s="33"/>
      <c r="AE1709" s="33"/>
      <c r="AF1709" s="33"/>
      <c r="AG1709" s="33"/>
      <c r="AH1709" s="33"/>
      <c r="AI1709" s="33"/>
      <c r="AJ1709" s="33"/>
      <c r="AK1709" s="34" t="str">
        <f aca="false">IF($B1709="","",COUNTIF($F1709:$AJ1709,"P"))</f>
        <v/>
      </c>
      <c r="AL1709" s="34" t="str">
        <f aca="false">IF($B1709="","",COUNTIF($F1709:$AJ1709,"A"))</f>
        <v/>
      </c>
      <c r="AM1709" s="34" t="str">
        <f aca="false">IF($B1709="","",COUNTIF($F1709:$AJ1709,"HA"))</f>
        <v/>
      </c>
      <c r="AN1709" s="34" t="str">
        <f aca="false">IF($B1709="","",COUNTIF($F1709:$AJ1709,"L"))</f>
        <v/>
      </c>
      <c r="AO1709" s="34" t="str">
        <f aca="false">IF($B1709="","",COUNTIF($F1709:$AJ1709,"PL"))</f>
        <v/>
      </c>
      <c r="AP1709" s="34" t="str">
        <f aca="false">IF($B1709="","",COUNTIF($F1709:$AJ1709,"CL"))</f>
        <v/>
      </c>
      <c r="AQ1709" s="34" t="str">
        <f aca="false">IF($B1709="","",COUNTIF($F1709:$AJ1709,"SL"))</f>
        <v/>
      </c>
      <c r="AR1709" s="34" t="str">
        <f aca="false">IF($B1709="","",COUNTIF($F1709:$AJ1709,"CO"))</f>
        <v/>
      </c>
      <c r="AS1709" s="34" t="str">
        <f aca="false">IF($B1709="","",COUNTIF($F1709:$AJ1709,"HPL"))</f>
        <v/>
      </c>
      <c r="AT1709" s="34" t="str">
        <f aca="false">IF($B1709="","",COUNTIF($F1709:$AJ1709,"HCL"))</f>
        <v/>
      </c>
      <c r="AU1709" s="34" t="str">
        <f aca="false">IF($B1709="","",COUNTIF($F1709:$AJ1709,"WO"))</f>
        <v/>
      </c>
      <c r="AV1709" s="34" t="str">
        <f aca="false">IF($B1709="","",COUNTIF($F1709:$AJ1709,"PH"))</f>
        <v/>
      </c>
      <c r="AW1709" s="34" t="str">
        <f aca="false">IF($B1709="","",COUNTIF($F1709:$AJ1709,"TR"))</f>
        <v/>
      </c>
      <c r="AX1709" s="35" t="str">
        <f aca="false">IF($B1709="","",AO1709+AS1709/2)</f>
        <v/>
      </c>
      <c r="AY1709" s="35" t="str">
        <f aca="false">IF($B1709="","",AQ1709)</f>
        <v/>
      </c>
      <c r="AZ1709" s="35" t="str">
        <f aca="false">IF($B1709="","",AP1709+AT1709/2)</f>
        <v/>
      </c>
      <c r="BA1709" s="35" t="str">
        <f aca="false">IF($B1709="","",AK1709+AN1709+AM1709/2+AO1709+AP1709+AQ1709+AR1709+AS1709+AT1709+AU1709+AV1709+AW1709)</f>
        <v/>
      </c>
      <c r="BB1709" s="35" t="str">
        <f aca="false">IF($B1709="","",MAX(0,AN1709-Settings!$C$16)*Settings!$C$17)</f>
        <v/>
      </c>
      <c r="BC1709" s="35" t="str">
        <f aca="false">IF($B1709="","",BA1709-BB1709)</f>
        <v/>
      </c>
      <c r="BD1709" s="35" t="str">
        <f aca="false">IF(OR($B1709="",$A1709=""),"",DAY(EOMONTH($A1709,0))-COUNTA($F1709:$AJ1709))</f>
        <v/>
      </c>
    </row>
    <row r="1710" customFormat="false" ht="15" hidden="false" customHeight="false" outlineLevel="0" collapsed="false">
      <c r="A1710" s="32"/>
      <c r="B1710" s="29"/>
      <c r="C1710" s="10" t="str">
        <f aca="false">IF($B1710="","",IFERROR(INDEX(M_name,MATCH($B1710,M_emp,0)),"Code not found"))</f>
        <v/>
      </c>
      <c r="D1710" s="10" t="str">
        <f aca="false">IF($B1710="","",IFERROR(INDEX(M_dept,MATCH($B1710,M_emp,0)),""))</f>
        <v/>
      </c>
      <c r="E1710" s="10" t="str">
        <f aca="false">IF($B1710="","",IFERROR(INDEX(M_loc,MATCH($B1710,M_emp,0)),""))</f>
        <v/>
      </c>
      <c r="F1710" s="33"/>
      <c r="G1710" s="33"/>
      <c r="H1710" s="33"/>
      <c r="I1710" s="33"/>
      <c r="J1710" s="33"/>
      <c r="K1710" s="33"/>
      <c r="L1710" s="33"/>
      <c r="M1710" s="33"/>
      <c r="N1710" s="33"/>
      <c r="O1710" s="33"/>
      <c r="P1710" s="33"/>
      <c r="Q1710" s="33"/>
      <c r="R1710" s="33"/>
      <c r="S1710" s="33"/>
      <c r="T1710" s="33"/>
      <c r="U1710" s="33"/>
      <c r="V1710" s="33"/>
      <c r="W1710" s="33"/>
      <c r="X1710" s="33"/>
      <c r="Y1710" s="33"/>
      <c r="Z1710" s="33"/>
      <c r="AA1710" s="33"/>
      <c r="AB1710" s="33"/>
      <c r="AC1710" s="33"/>
      <c r="AD1710" s="33"/>
      <c r="AE1710" s="33"/>
      <c r="AF1710" s="33"/>
      <c r="AG1710" s="33"/>
      <c r="AH1710" s="33"/>
      <c r="AI1710" s="33"/>
      <c r="AJ1710" s="33"/>
      <c r="AK1710" s="34" t="str">
        <f aca="false">IF($B1710="","",COUNTIF($F1710:$AJ1710,"P"))</f>
        <v/>
      </c>
      <c r="AL1710" s="34" t="str">
        <f aca="false">IF($B1710="","",COUNTIF($F1710:$AJ1710,"A"))</f>
        <v/>
      </c>
      <c r="AM1710" s="34" t="str">
        <f aca="false">IF($B1710="","",COUNTIF($F1710:$AJ1710,"HA"))</f>
        <v/>
      </c>
      <c r="AN1710" s="34" t="str">
        <f aca="false">IF($B1710="","",COUNTIF($F1710:$AJ1710,"L"))</f>
        <v/>
      </c>
      <c r="AO1710" s="34" t="str">
        <f aca="false">IF($B1710="","",COUNTIF($F1710:$AJ1710,"PL"))</f>
        <v/>
      </c>
      <c r="AP1710" s="34" t="str">
        <f aca="false">IF($B1710="","",COUNTIF($F1710:$AJ1710,"CL"))</f>
        <v/>
      </c>
      <c r="AQ1710" s="34" t="str">
        <f aca="false">IF($B1710="","",COUNTIF($F1710:$AJ1710,"SL"))</f>
        <v/>
      </c>
      <c r="AR1710" s="34" t="str">
        <f aca="false">IF($B1710="","",COUNTIF($F1710:$AJ1710,"CO"))</f>
        <v/>
      </c>
      <c r="AS1710" s="34" t="str">
        <f aca="false">IF($B1710="","",COUNTIF($F1710:$AJ1710,"HPL"))</f>
        <v/>
      </c>
      <c r="AT1710" s="34" t="str">
        <f aca="false">IF($B1710="","",COUNTIF($F1710:$AJ1710,"HCL"))</f>
        <v/>
      </c>
      <c r="AU1710" s="34" t="str">
        <f aca="false">IF($B1710="","",COUNTIF($F1710:$AJ1710,"WO"))</f>
        <v/>
      </c>
      <c r="AV1710" s="34" t="str">
        <f aca="false">IF($B1710="","",COUNTIF($F1710:$AJ1710,"PH"))</f>
        <v/>
      </c>
      <c r="AW1710" s="34" t="str">
        <f aca="false">IF($B1710="","",COUNTIF($F1710:$AJ1710,"TR"))</f>
        <v/>
      </c>
      <c r="AX1710" s="35" t="str">
        <f aca="false">IF($B1710="","",AO1710+AS1710/2)</f>
        <v/>
      </c>
      <c r="AY1710" s="35" t="str">
        <f aca="false">IF($B1710="","",AQ1710)</f>
        <v/>
      </c>
      <c r="AZ1710" s="35" t="str">
        <f aca="false">IF($B1710="","",AP1710+AT1710/2)</f>
        <v/>
      </c>
      <c r="BA1710" s="35" t="str">
        <f aca="false">IF($B1710="","",AK1710+AN1710+AM1710/2+AO1710+AP1710+AQ1710+AR1710+AS1710+AT1710+AU1710+AV1710+AW1710)</f>
        <v/>
      </c>
      <c r="BB1710" s="35" t="str">
        <f aca="false">IF($B1710="","",MAX(0,AN1710-Settings!$C$16)*Settings!$C$17)</f>
        <v/>
      </c>
      <c r="BC1710" s="35" t="str">
        <f aca="false">IF($B1710="","",BA1710-BB1710)</f>
        <v/>
      </c>
      <c r="BD1710" s="35" t="str">
        <f aca="false">IF(OR($B1710="",$A1710=""),"",DAY(EOMONTH($A1710,0))-COUNTA($F1710:$AJ1710))</f>
        <v/>
      </c>
    </row>
    <row r="1711" customFormat="false" ht="15" hidden="false" customHeight="false" outlineLevel="0" collapsed="false">
      <c r="A1711" s="32"/>
      <c r="B1711" s="29"/>
      <c r="C1711" s="10" t="str">
        <f aca="false">IF($B1711="","",IFERROR(INDEX(M_name,MATCH($B1711,M_emp,0)),"Code not found"))</f>
        <v/>
      </c>
      <c r="D1711" s="10" t="str">
        <f aca="false">IF($B1711="","",IFERROR(INDEX(M_dept,MATCH($B1711,M_emp,0)),""))</f>
        <v/>
      </c>
      <c r="E1711" s="10" t="str">
        <f aca="false">IF($B1711="","",IFERROR(INDEX(M_loc,MATCH($B1711,M_emp,0)),""))</f>
        <v/>
      </c>
      <c r="F1711" s="33"/>
      <c r="G1711" s="33"/>
      <c r="H1711" s="33"/>
      <c r="I1711" s="33"/>
      <c r="J1711" s="33"/>
      <c r="K1711" s="33"/>
      <c r="L1711" s="33"/>
      <c r="M1711" s="33"/>
      <c r="N1711" s="33"/>
      <c r="O1711" s="33"/>
      <c r="P1711" s="33"/>
      <c r="Q1711" s="33"/>
      <c r="R1711" s="33"/>
      <c r="S1711" s="33"/>
      <c r="T1711" s="33"/>
      <c r="U1711" s="33"/>
      <c r="V1711" s="33"/>
      <c r="W1711" s="33"/>
      <c r="X1711" s="33"/>
      <c r="Y1711" s="33"/>
      <c r="Z1711" s="33"/>
      <c r="AA1711" s="33"/>
      <c r="AB1711" s="33"/>
      <c r="AC1711" s="33"/>
      <c r="AD1711" s="33"/>
      <c r="AE1711" s="33"/>
      <c r="AF1711" s="33"/>
      <c r="AG1711" s="33"/>
      <c r="AH1711" s="33"/>
      <c r="AI1711" s="33"/>
      <c r="AJ1711" s="33"/>
      <c r="AK1711" s="34" t="str">
        <f aca="false">IF($B1711="","",COUNTIF($F1711:$AJ1711,"P"))</f>
        <v/>
      </c>
      <c r="AL1711" s="34" t="str">
        <f aca="false">IF($B1711="","",COUNTIF($F1711:$AJ1711,"A"))</f>
        <v/>
      </c>
      <c r="AM1711" s="34" t="str">
        <f aca="false">IF($B1711="","",COUNTIF($F1711:$AJ1711,"HA"))</f>
        <v/>
      </c>
      <c r="AN1711" s="34" t="str">
        <f aca="false">IF($B1711="","",COUNTIF($F1711:$AJ1711,"L"))</f>
        <v/>
      </c>
      <c r="AO1711" s="34" t="str">
        <f aca="false">IF($B1711="","",COUNTIF($F1711:$AJ1711,"PL"))</f>
        <v/>
      </c>
      <c r="AP1711" s="34" t="str">
        <f aca="false">IF($B1711="","",COUNTIF($F1711:$AJ1711,"CL"))</f>
        <v/>
      </c>
      <c r="AQ1711" s="34" t="str">
        <f aca="false">IF($B1711="","",COUNTIF($F1711:$AJ1711,"SL"))</f>
        <v/>
      </c>
      <c r="AR1711" s="34" t="str">
        <f aca="false">IF($B1711="","",COUNTIF($F1711:$AJ1711,"CO"))</f>
        <v/>
      </c>
      <c r="AS1711" s="34" t="str">
        <f aca="false">IF($B1711="","",COUNTIF($F1711:$AJ1711,"HPL"))</f>
        <v/>
      </c>
      <c r="AT1711" s="34" t="str">
        <f aca="false">IF($B1711="","",COUNTIF($F1711:$AJ1711,"HCL"))</f>
        <v/>
      </c>
      <c r="AU1711" s="34" t="str">
        <f aca="false">IF($B1711="","",COUNTIF($F1711:$AJ1711,"WO"))</f>
        <v/>
      </c>
      <c r="AV1711" s="34" t="str">
        <f aca="false">IF($B1711="","",COUNTIF($F1711:$AJ1711,"PH"))</f>
        <v/>
      </c>
      <c r="AW1711" s="34" t="str">
        <f aca="false">IF($B1711="","",COUNTIF($F1711:$AJ1711,"TR"))</f>
        <v/>
      </c>
      <c r="AX1711" s="35" t="str">
        <f aca="false">IF($B1711="","",AO1711+AS1711/2)</f>
        <v/>
      </c>
      <c r="AY1711" s="35" t="str">
        <f aca="false">IF($B1711="","",AQ1711)</f>
        <v/>
      </c>
      <c r="AZ1711" s="35" t="str">
        <f aca="false">IF($B1711="","",AP1711+AT1711/2)</f>
        <v/>
      </c>
      <c r="BA1711" s="35" t="str">
        <f aca="false">IF($B1711="","",AK1711+AN1711+AM1711/2+AO1711+AP1711+AQ1711+AR1711+AS1711+AT1711+AU1711+AV1711+AW1711)</f>
        <v/>
      </c>
      <c r="BB1711" s="35" t="str">
        <f aca="false">IF($B1711="","",MAX(0,AN1711-Settings!$C$16)*Settings!$C$17)</f>
        <v/>
      </c>
      <c r="BC1711" s="35" t="str">
        <f aca="false">IF($B1711="","",BA1711-BB1711)</f>
        <v/>
      </c>
      <c r="BD1711" s="35" t="str">
        <f aca="false">IF(OR($B1711="",$A1711=""),"",DAY(EOMONTH($A1711,0))-COUNTA($F1711:$AJ1711))</f>
        <v/>
      </c>
    </row>
    <row r="1712" customFormat="false" ht="15" hidden="false" customHeight="false" outlineLevel="0" collapsed="false">
      <c r="A1712" s="32"/>
      <c r="B1712" s="29"/>
      <c r="C1712" s="10" t="str">
        <f aca="false">IF($B1712="","",IFERROR(INDEX(M_name,MATCH($B1712,M_emp,0)),"Code not found"))</f>
        <v/>
      </c>
      <c r="D1712" s="10" t="str">
        <f aca="false">IF($B1712="","",IFERROR(INDEX(M_dept,MATCH($B1712,M_emp,0)),""))</f>
        <v/>
      </c>
      <c r="E1712" s="10" t="str">
        <f aca="false">IF($B1712="","",IFERROR(INDEX(M_loc,MATCH($B1712,M_emp,0)),""))</f>
        <v/>
      </c>
      <c r="F1712" s="33"/>
      <c r="G1712" s="33"/>
      <c r="H1712" s="33"/>
      <c r="I1712" s="33"/>
      <c r="J1712" s="33"/>
      <c r="K1712" s="33"/>
      <c r="L1712" s="33"/>
      <c r="M1712" s="33"/>
      <c r="N1712" s="33"/>
      <c r="O1712" s="33"/>
      <c r="P1712" s="33"/>
      <c r="Q1712" s="33"/>
      <c r="R1712" s="33"/>
      <c r="S1712" s="33"/>
      <c r="T1712" s="33"/>
      <c r="U1712" s="33"/>
      <c r="V1712" s="33"/>
      <c r="W1712" s="33"/>
      <c r="X1712" s="33"/>
      <c r="Y1712" s="33"/>
      <c r="Z1712" s="33"/>
      <c r="AA1712" s="33"/>
      <c r="AB1712" s="33"/>
      <c r="AC1712" s="33"/>
      <c r="AD1712" s="33"/>
      <c r="AE1712" s="33"/>
      <c r="AF1712" s="33"/>
      <c r="AG1712" s="33"/>
      <c r="AH1712" s="33"/>
      <c r="AI1712" s="33"/>
      <c r="AJ1712" s="33"/>
      <c r="AK1712" s="34" t="str">
        <f aca="false">IF($B1712="","",COUNTIF($F1712:$AJ1712,"P"))</f>
        <v/>
      </c>
      <c r="AL1712" s="34" t="str">
        <f aca="false">IF($B1712="","",COUNTIF($F1712:$AJ1712,"A"))</f>
        <v/>
      </c>
      <c r="AM1712" s="34" t="str">
        <f aca="false">IF($B1712="","",COUNTIF($F1712:$AJ1712,"HA"))</f>
        <v/>
      </c>
      <c r="AN1712" s="34" t="str">
        <f aca="false">IF($B1712="","",COUNTIF($F1712:$AJ1712,"L"))</f>
        <v/>
      </c>
      <c r="AO1712" s="34" t="str">
        <f aca="false">IF($B1712="","",COUNTIF($F1712:$AJ1712,"PL"))</f>
        <v/>
      </c>
      <c r="AP1712" s="34" t="str">
        <f aca="false">IF($B1712="","",COUNTIF($F1712:$AJ1712,"CL"))</f>
        <v/>
      </c>
      <c r="AQ1712" s="34" t="str">
        <f aca="false">IF($B1712="","",COUNTIF($F1712:$AJ1712,"SL"))</f>
        <v/>
      </c>
      <c r="AR1712" s="34" t="str">
        <f aca="false">IF($B1712="","",COUNTIF($F1712:$AJ1712,"CO"))</f>
        <v/>
      </c>
      <c r="AS1712" s="34" t="str">
        <f aca="false">IF($B1712="","",COUNTIF($F1712:$AJ1712,"HPL"))</f>
        <v/>
      </c>
      <c r="AT1712" s="34" t="str">
        <f aca="false">IF($B1712="","",COUNTIF($F1712:$AJ1712,"HCL"))</f>
        <v/>
      </c>
      <c r="AU1712" s="34" t="str">
        <f aca="false">IF($B1712="","",COUNTIF($F1712:$AJ1712,"WO"))</f>
        <v/>
      </c>
      <c r="AV1712" s="34" t="str">
        <f aca="false">IF($B1712="","",COUNTIF($F1712:$AJ1712,"PH"))</f>
        <v/>
      </c>
      <c r="AW1712" s="34" t="str">
        <f aca="false">IF($B1712="","",COUNTIF($F1712:$AJ1712,"TR"))</f>
        <v/>
      </c>
      <c r="AX1712" s="35" t="str">
        <f aca="false">IF($B1712="","",AO1712+AS1712/2)</f>
        <v/>
      </c>
      <c r="AY1712" s="35" t="str">
        <f aca="false">IF($B1712="","",AQ1712)</f>
        <v/>
      </c>
      <c r="AZ1712" s="35" t="str">
        <f aca="false">IF($B1712="","",AP1712+AT1712/2)</f>
        <v/>
      </c>
      <c r="BA1712" s="35" t="str">
        <f aca="false">IF($B1712="","",AK1712+AN1712+AM1712/2+AO1712+AP1712+AQ1712+AR1712+AS1712+AT1712+AU1712+AV1712+AW1712)</f>
        <v/>
      </c>
      <c r="BB1712" s="35" t="str">
        <f aca="false">IF($B1712="","",MAX(0,AN1712-Settings!$C$16)*Settings!$C$17)</f>
        <v/>
      </c>
      <c r="BC1712" s="35" t="str">
        <f aca="false">IF($B1712="","",BA1712-BB1712)</f>
        <v/>
      </c>
      <c r="BD1712" s="35" t="str">
        <f aca="false">IF(OR($B1712="",$A1712=""),"",DAY(EOMONTH($A1712,0))-COUNTA($F1712:$AJ1712))</f>
        <v/>
      </c>
    </row>
    <row r="1713" customFormat="false" ht="15" hidden="false" customHeight="false" outlineLevel="0" collapsed="false">
      <c r="A1713" s="32"/>
      <c r="B1713" s="29"/>
      <c r="C1713" s="10" t="str">
        <f aca="false">IF($B1713="","",IFERROR(INDEX(M_name,MATCH($B1713,M_emp,0)),"Code not found"))</f>
        <v/>
      </c>
      <c r="D1713" s="10" t="str">
        <f aca="false">IF($B1713="","",IFERROR(INDEX(M_dept,MATCH($B1713,M_emp,0)),""))</f>
        <v/>
      </c>
      <c r="E1713" s="10" t="str">
        <f aca="false">IF($B1713="","",IFERROR(INDEX(M_loc,MATCH($B1713,M_emp,0)),""))</f>
        <v/>
      </c>
      <c r="F1713" s="33"/>
      <c r="G1713" s="33"/>
      <c r="H1713" s="33"/>
      <c r="I1713" s="33"/>
      <c r="J1713" s="33"/>
      <c r="K1713" s="33"/>
      <c r="L1713" s="33"/>
      <c r="M1713" s="33"/>
      <c r="N1713" s="33"/>
      <c r="O1713" s="33"/>
      <c r="P1713" s="33"/>
      <c r="Q1713" s="33"/>
      <c r="R1713" s="33"/>
      <c r="S1713" s="33"/>
      <c r="T1713" s="33"/>
      <c r="U1713" s="33"/>
      <c r="V1713" s="33"/>
      <c r="W1713" s="33"/>
      <c r="X1713" s="33"/>
      <c r="Y1713" s="33"/>
      <c r="Z1713" s="33"/>
      <c r="AA1713" s="33"/>
      <c r="AB1713" s="33"/>
      <c r="AC1713" s="33"/>
      <c r="AD1713" s="33"/>
      <c r="AE1713" s="33"/>
      <c r="AF1713" s="33"/>
      <c r="AG1713" s="33"/>
      <c r="AH1713" s="33"/>
      <c r="AI1713" s="33"/>
      <c r="AJ1713" s="33"/>
      <c r="AK1713" s="34" t="str">
        <f aca="false">IF($B1713="","",COUNTIF($F1713:$AJ1713,"P"))</f>
        <v/>
      </c>
      <c r="AL1713" s="34" t="str">
        <f aca="false">IF($B1713="","",COUNTIF($F1713:$AJ1713,"A"))</f>
        <v/>
      </c>
      <c r="AM1713" s="34" t="str">
        <f aca="false">IF($B1713="","",COUNTIF($F1713:$AJ1713,"HA"))</f>
        <v/>
      </c>
      <c r="AN1713" s="34" t="str">
        <f aca="false">IF($B1713="","",COUNTIF($F1713:$AJ1713,"L"))</f>
        <v/>
      </c>
      <c r="AO1713" s="34" t="str">
        <f aca="false">IF($B1713="","",COUNTIF($F1713:$AJ1713,"PL"))</f>
        <v/>
      </c>
      <c r="AP1713" s="34" t="str">
        <f aca="false">IF($B1713="","",COUNTIF($F1713:$AJ1713,"CL"))</f>
        <v/>
      </c>
      <c r="AQ1713" s="34" t="str">
        <f aca="false">IF($B1713="","",COUNTIF($F1713:$AJ1713,"SL"))</f>
        <v/>
      </c>
      <c r="AR1713" s="34" t="str">
        <f aca="false">IF($B1713="","",COUNTIF($F1713:$AJ1713,"CO"))</f>
        <v/>
      </c>
      <c r="AS1713" s="34" t="str">
        <f aca="false">IF($B1713="","",COUNTIF($F1713:$AJ1713,"HPL"))</f>
        <v/>
      </c>
      <c r="AT1713" s="34" t="str">
        <f aca="false">IF($B1713="","",COUNTIF($F1713:$AJ1713,"HCL"))</f>
        <v/>
      </c>
      <c r="AU1713" s="34" t="str">
        <f aca="false">IF($B1713="","",COUNTIF($F1713:$AJ1713,"WO"))</f>
        <v/>
      </c>
      <c r="AV1713" s="34" t="str">
        <f aca="false">IF($B1713="","",COUNTIF($F1713:$AJ1713,"PH"))</f>
        <v/>
      </c>
      <c r="AW1713" s="34" t="str">
        <f aca="false">IF($B1713="","",COUNTIF($F1713:$AJ1713,"TR"))</f>
        <v/>
      </c>
      <c r="AX1713" s="35" t="str">
        <f aca="false">IF($B1713="","",AO1713+AS1713/2)</f>
        <v/>
      </c>
      <c r="AY1713" s="35" t="str">
        <f aca="false">IF($B1713="","",AQ1713)</f>
        <v/>
      </c>
      <c r="AZ1713" s="35" t="str">
        <f aca="false">IF($B1713="","",AP1713+AT1713/2)</f>
        <v/>
      </c>
      <c r="BA1713" s="35" t="str">
        <f aca="false">IF($B1713="","",AK1713+AN1713+AM1713/2+AO1713+AP1713+AQ1713+AR1713+AS1713+AT1713+AU1713+AV1713+AW1713)</f>
        <v/>
      </c>
      <c r="BB1713" s="35" t="str">
        <f aca="false">IF($B1713="","",MAX(0,AN1713-Settings!$C$16)*Settings!$C$17)</f>
        <v/>
      </c>
      <c r="BC1713" s="35" t="str">
        <f aca="false">IF($B1713="","",BA1713-BB1713)</f>
        <v/>
      </c>
      <c r="BD1713" s="35" t="str">
        <f aca="false">IF(OR($B1713="",$A1713=""),"",DAY(EOMONTH($A1713,0))-COUNTA($F1713:$AJ1713))</f>
        <v/>
      </c>
    </row>
    <row r="1714" customFormat="false" ht="15" hidden="false" customHeight="false" outlineLevel="0" collapsed="false">
      <c r="A1714" s="32"/>
      <c r="B1714" s="29"/>
      <c r="C1714" s="10" t="str">
        <f aca="false">IF($B1714="","",IFERROR(INDEX(M_name,MATCH($B1714,M_emp,0)),"Code not found"))</f>
        <v/>
      </c>
      <c r="D1714" s="10" t="str">
        <f aca="false">IF($B1714="","",IFERROR(INDEX(M_dept,MATCH($B1714,M_emp,0)),""))</f>
        <v/>
      </c>
      <c r="E1714" s="10" t="str">
        <f aca="false">IF($B1714="","",IFERROR(INDEX(M_loc,MATCH($B1714,M_emp,0)),""))</f>
        <v/>
      </c>
      <c r="F1714" s="33"/>
      <c r="G1714" s="33"/>
      <c r="H1714" s="33"/>
      <c r="I1714" s="33"/>
      <c r="J1714" s="33"/>
      <c r="K1714" s="33"/>
      <c r="L1714" s="33"/>
      <c r="M1714" s="33"/>
      <c r="N1714" s="33"/>
      <c r="O1714" s="33"/>
      <c r="P1714" s="33"/>
      <c r="Q1714" s="33"/>
      <c r="R1714" s="33"/>
      <c r="S1714" s="33"/>
      <c r="T1714" s="33"/>
      <c r="U1714" s="33"/>
      <c r="V1714" s="33"/>
      <c r="W1714" s="33"/>
      <c r="X1714" s="33"/>
      <c r="Y1714" s="33"/>
      <c r="Z1714" s="33"/>
      <c r="AA1714" s="33"/>
      <c r="AB1714" s="33"/>
      <c r="AC1714" s="33"/>
      <c r="AD1714" s="33"/>
      <c r="AE1714" s="33"/>
      <c r="AF1714" s="33"/>
      <c r="AG1714" s="33"/>
      <c r="AH1714" s="33"/>
      <c r="AI1714" s="33"/>
      <c r="AJ1714" s="33"/>
      <c r="AK1714" s="34" t="str">
        <f aca="false">IF($B1714="","",COUNTIF($F1714:$AJ1714,"P"))</f>
        <v/>
      </c>
      <c r="AL1714" s="34" t="str">
        <f aca="false">IF($B1714="","",COUNTIF($F1714:$AJ1714,"A"))</f>
        <v/>
      </c>
      <c r="AM1714" s="34" t="str">
        <f aca="false">IF($B1714="","",COUNTIF($F1714:$AJ1714,"HA"))</f>
        <v/>
      </c>
      <c r="AN1714" s="34" t="str">
        <f aca="false">IF($B1714="","",COUNTIF($F1714:$AJ1714,"L"))</f>
        <v/>
      </c>
      <c r="AO1714" s="34" t="str">
        <f aca="false">IF($B1714="","",COUNTIF($F1714:$AJ1714,"PL"))</f>
        <v/>
      </c>
      <c r="AP1714" s="34" t="str">
        <f aca="false">IF($B1714="","",COUNTIF($F1714:$AJ1714,"CL"))</f>
        <v/>
      </c>
      <c r="AQ1714" s="34" t="str">
        <f aca="false">IF($B1714="","",COUNTIF($F1714:$AJ1714,"SL"))</f>
        <v/>
      </c>
      <c r="AR1714" s="34" t="str">
        <f aca="false">IF($B1714="","",COUNTIF($F1714:$AJ1714,"CO"))</f>
        <v/>
      </c>
      <c r="AS1714" s="34" t="str">
        <f aca="false">IF($B1714="","",COUNTIF($F1714:$AJ1714,"HPL"))</f>
        <v/>
      </c>
      <c r="AT1714" s="34" t="str">
        <f aca="false">IF($B1714="","",COUNTIF($F1714:$AJ1714,"HCL"))</f>
        <v/>
      </c>
      <c r="AU1714" s="34" t="str">
        <f aca="false">IF($B1714="","",COUNTIF($F1714:$AJ1714,"WO"))</f>
        <v/>
      </c>
      <c r="AV1714" s="34" t="str">
        <f aca="false">IF($B1714="","",COUNTIF($F1714:$AJ1714,"PH"))</f>
        <v/>
      </c>
      <c r="AW1714" s="34" t="str">
        <f aca="false">IF($B1714="","",COUNTIF($F1714:$AJ1714,"TR"))</f>
        <v/>
      </c>
      <c r="AX1714" s="35" t="str">
        <f aca="false">IF($B1714="","",AO1714+AS1714/2)</f>
        <v/>
      </c>
      <c r="AY1714" s="35" t="str">
        <f aca="false">IF($B1714="","",AQ1714)</f>
        <v/>
      </c>
      <c r="AZ1714" s="35" t="str">
        <f aca="false">IF($B1714="","",AP1714+AT1714/2)</f>
        <v/>
      </c>
      <c r="BA1714" s="35" t="str">
        <f aca="false">IF($B1714="","",AK1714+AN1714+AM1714/2+AO1714+AP1714+AQ1714+AR1714+AS1714+AT1714+AU1714+AV1714+AW1714)</f>
        <v/>
      </c>
      <c r="BB1714" s="35" t="str">
        <f aca="false">IF($B1714="","",MAX(0,AN1714-Settings!$C$16)*Settings!$C$17)</f>
        <v/>
      </c>
      <c r="BC1714" s="35" t="str">
        <f aca="false">IF($B1714="","",BA1714-BB1714)</f>
        <v/>
      </c>
      <c r="BD1714" s="35" t="str">
        <f aca="false">IF(OR($B1714="",$A1714=""),"",DAY(EOMONTH($A1714,0))-COUNTA($F1714:$AJ1714))</f>
        <v/>
      </c>
    </row>
    <row r="1715" customFormat="false" ht="15" hidden="false" customHeight="false" outlineLevel="0" collapsed="false">
      <c r="A1715" s="32"/>
      <c r="B1715" s="29"/>
      <c r="C1715" s="10" t="str">
        <f aca="false">IF($B1715="","",IFERROR(INDEX(M_name,MATCH($B1715,M_emp,0)),"Code not found"))</f>
        <v/>
      </c>
      <c r="D1715" s="10" t="str">
        <f aca="false">IF($B1715="","",IFERROR(INDEX(M_dept,MATCH($B1715,M_emp,0)),""))</f>
        <v/>
      </c>
      <c r="E1715" s="10" t="str">
        <f aca="false">IF($B1715="","",IFERROR(INDEX(M_loc,MATCH($B1715,M_emp,0)),""))</f>
        <v/>
      </c>
      <c r="F1715" s="33"/>
      <c r="G1715" s="33"/>
      <c r="H1715" s="33"/>
      <c r="I1715" s="33"/>
      <c r="J1715" s="33"/>
      <c r="K1715" s="33"/>
      <c r="L1715" s="33"/>
      <c r="M1715" s="33"/>
      <c r="N1715" s="33"/>
      <c r="O1715" s="33"/>
      <c r="P1715" s="33"/>
      <c r="Q1715" s="33"/>
      <c r="R1715" s="33"/>
      <c r="S1715" s="33"/>
      <c r="T1715" s="33"/>
      <c r="U1715" s="33"/>
      <c r="V1715" s="33"/>
      <c r="W1715" s="33"/>
      <c r="X1715" s="33"/>
      <c r="Y1715" s="33"/>
      <c r="Z1715" s="33"/>
      <c r="AA1715" s="33"/>
      <c r="AB1715" s="33"/>
      <c r="AC1715" s="33"/>
      <c r="AD1715" s="33"/>
      <c r="AE1715" s="33"/>
      <c r="AF1715" s="33"/>
      <c r="AG1715" s="33"/>
      <c r="AH1715" s="33"/>
      <c r="AI1715" s="33"/>
      <c r="AJ1715" s="33"/>
      <c r="AK1715" s="34" t="str">
        <f aca="false">IF($B1715="","",COUNTIF($F1715:$AJ1715,"P"))</f>
        <v/>
      </c>
      <c r="AL1715" s="34" t="str">
        <f aca="false">IF($B1715="","",COUNTIF($F1715:$AJ1715,"A"))</f>
        <v/>
      </c>
      <c r="AM1715" s="34" t="str">
        <f aca="false">IF($B1715="","",COUNTIF($F1715:$AJ1715,"HA"))</f>
        <v/>
      </c>
      <c r="AN1715" s="34" t="str">
        <f aca="false">IF($B1715="","",COUNTIF($F1715:$AJ1715,"L"))</f>
        <v/>
      </c>
      <c r="AO1715" s="34" t="str">
        <f aca="false">IF($B1715="","",COUNTIF($F1715:$AJ1715,"PL"))</f>
        <v/>
      </c>
      <c r="AP1715" s="34" t="str">
        <f aca="false">IF($B1715="","",COUNTIF($F1715:$AJ1715,"CL"))</f>
        <v/>
      </c>
      <c r="AQ1715" s="34" t="str">
        <f aca="false">IF($B1715="","",COUNTIF($F1715:$AJ1715,"SL"))</f>
        <v/>
      </c>
      <c r="AR1715" s="34" t="str">
        <f aca="false">IF($B1715="","",COUNTIF($F1715:$AJ1715,"CO"))</f>
        <v/>
      </c>
      <c r="AS1715" s="34" t="str">
        <f aca="false">IF($B1715="","",COUNTIF($F1715:$AJ1715,"HPL"))</f>
        <v/>
      </c>
      <c r="AT1715" s="34" t="str">
        <f aca="false">IF($B1715="","",COUNTIF($F1715:$AJ1715,"HCL"))</f>
        <v/>
      </c>
      <c r="AU1715" s="34" t="str">
        <f aca="false">IF($B1715="","",COUNTIF($F1715:$AJ1715,"WO"))</f>
        <v/>
      </c>
      <c r="AV1715" s="34" t="str">
        <f aca="false">IF($B1715="","",COUNTIF($F1715:$AJ1715,"PH"))</f>
        <v/>
      </c>
      <c r="AW1715" s="34" t="str">
        <f aca="false">IF($B1715="","",COUNTIF($F1715:$AJ1715,"TR"))</f>
        <v/>
      </c>
      <c r="AX1715" s="35" t="str">
        <f aca="false">IF($B1715="","",AO1715+AS1715/2)</f>
        <v/>
      </c>
      <c r="AY1715" s="35" t="str">
        <f aca="false">IF($B1715="","",AQ1715)</f>
        <v/>
      </c>
      <c r="AZ1715" s="35" t="str">
        <f aca="false">IF($B1715="","",AP1715+AT1715/2)</f>
        <v/>
      </c>
      <c r="BA1715" s="35" t="str">
        <f aca="false">IF($B1715="","",AK1715+AN1715+AM1715/2+AO1715+AP1715+AQ1715+AR1715+AS1715+AT1715+AU1715+AV1715+AW1715)</f>
        <v/>
      </c>
      <c r="BB1715" s="35" t="str">
        <f aca="false">IF($B1715="","",MAX(0,AN1715-Settings!$C$16)*Settings!$C$17)</f>
        <v/>
      </c>
      <c r="BC1715" s="35" t="str">
        <f aca="false">IF($B1715="","",BA1715-BB1715)</f>
        <v/>
      </c>
      <c r="BD1715" s="35" t="str">
        <f aca="false">IF(OR($B1715="",$A1715=""),"",DAY(EOMONTH($A1715,0))-COUNTA($F1715:$AJ1715))</f>
        <v/>
      </c>
    </row>
    <row r="1716" customFormat="false" ht="15" hidden="false" customHeight="false" outlineLevel="0" collapsed="false">
      <c r="A1716" s="32"/>
      <c r="B1716" s="29"/>
      <c r="C1716" s="10" t="str">
        <f aca="false">IF($B1716="","",IFERROR(INDEX(M_name,MATCH($B1716,M_emp,0)),"Code not found"))</f>
        <v/>
      </c>
      <c r="D1716" s="10" t="str">
        <f aca="false">IF($B1716="","",IFERROR(INDEX(M_dept,MATCH($B1716,M_emp,0)),""))</f>
        <v/>
      </c>
      <c r="E1716" s="10" t="str">
        <f aca="false">IF($B1716="","",IFERROR(INDEX(M_loc,MATCH($B1716,M_emp,0)),""))</f>
        <v/>
      </c>
      <c r="F1716" s="33"/>
      <c r="G1716" s="33"/>
      <c r="H1716" s="33"/>
      <c r="I1716" s="33"/>
      <c r="J1716" s="33"/>
      <c r="K1716" s="33"/>
      <c r="L1716" s="33"/>
      <c r="M1716" s="33"/>
      <c r="N1716" s="33"/>
      <c r="O1716" s="33"/>
      <c r="P1716" s="33"/>
      <c r="Q1716" s="33"/>
      <c r="R1716" s="33"/>
      <c r="S1716" s="33"/>
      <c r="T1716" s="33"/>
      <c r="U1716" s="33"/>
      <c r="V1716" s="33"/>
      <c r="W1716" s="33"/>
      <c r="X1716" s="33"/>
      <c r="Y1716" s="33"/>
      <c r="Z1716" s="33"/>
      <c r="AA1716" s="33"/>
      <c r="AB1716" s="33"/>
      <c r="AC1716" s="33"/>
      <c r="AD1716" s="33"/>
      <c r="AE1716" s="33"/>
      <c r="AF1716" s="33"/>
      <c r="AG1716" s="33"/>
      <c r="AH1716" s="33"/>
      <c r="AI1716" s="33"/>
      <c r="AJ1716" s="33"/>
      <c r="AK1716" s="34" t="str">
        <f aca="false">IF($B1716="","",COUNTIF($F1716:$AJ1716,"P"))</f>
        <v/>
      </c>
      <c r="AL1716" s="34" t="str">
        <f aca="false">IF($B1716="","",COUNTIF($F1716:$AJ1716,"A"))</f>
        <v/>
      </c>
      <c r="AM1716" s="34" t="str">
        <f aca="false">IF($B1716="","",COUNTIF($F1716:$AJ1716,"HA"))</f>
        <v/>
      </c>
      <c r="AN1716" s="34" t="str">
        <f aca="false">IF($B1716="","",COUNTIF($F1716:$AJ1716,"L"))</f>
        <v/>
      </c>
      <c r="AO1716" s="34" t="str">
        <f aca="false">IF($B1716="","",COUNTIF($F1716:$AJ1716,"PL"))</f>
        <v/>
      </c>
      <c r="AP1716" s="34" t="str">
        <f aca="false">IF($B1716="","",COUNTIF($F1716:$AJ1716,"CL"))</f>
        <v/>
      </c>
      <c r="AQ1716" s="34" t="str">
        <f aca="false">IF($B1716="","",COUNTIF($F1716:$AJ1716,"SL"))</f>
        <v/>
      </c>
      <c r="AR1716" s="34" t="str">
        <f aca="false">IF($B1716="","",COUNTIF($F1716:$AJ1716,"CO"))</f>
        <v/>
      </c>
      <c r="AS1716" s="34" t="str">
        <f aca="false">IF($B1716="","",COUNTIF($F1716:$AJ1716,"HPL"))</f>
        <v/>
      </c>
      <c r="AT1716" s="34" t="str">
        <f aca="false">IF($B1716="","",COUNTIF($F1716:$AJ1716,"HCL"))</f>
        <v/>
      </c>
      <c r="AU1716" s="34" t="str">
        <f aca="false">IF($B1716="","",COUNTIF($F1716:$AJ1716,"WO"))</f>
        <v/>
      </c>
      <c r="AV1716" s="34" t="str">
        <f aca="false">IF($B1716="","",COUNTIF($F1716:$AJ1716,"PH"))</f>
        <v/>
      </c>
      <c r="AW1716" s="34" t="str">
        <f aca="false">IF($B1716="","",COUNTIF($F1716:$AJ1716,"TR"))</f>
        <v/>
      </c>
      <c r="AX1716" s="35" t="str">
        <f aca="false">IF($B1716="","",AO1716+AS1716/2)</f>
        <v/>
      </c>
      <c r="AY1716" s="35" t="str">
        <f aca="false">IF($B1716="","",AQ1716)</f>
        <v/>
      </c>
      <c r="AZ1716" s="35" t="str">
        <f aca="false">IF($B1716="","",AP1716+AT1716/2)</f>
        <v/>
      </c>
      <c r="BA1716" s="35" t="str">
        <f aca="false">IF($B1716="","",AK1716+AN1716+AM1716/2+AO1716+AP1716+AQ1716+AR1716+AS1716+AT1716+AU1716+AV1716+AW1716)</f>
        <v/>
      </c>
      <c r="BB1716" s="35" t="str">
        <f aca="false">IF($B1716="","",MAX(0,AN1716-Settings!$C$16)*Settings!$C$17)</f>
        <v/>
      </c>
      <c r="BC1716" s="35" t="str">
        <f aca="false">IF($B1716="","",BA1716-BB1716)</f>
        <v/>
      </c>
      <c r="BD1716" s="35" t="str">
        <f aca="false">IF(OR($B1716="",$A1716=""),"",DAY(EOMONTH($A1716,0))-COUNTA($F1716:$AJ1716))</f>
        <v/>
      </c>
    </row>
    <row r="1717" customFormat="false" ht="15" hidden="false" customHeight="false" outlineLevel="0" collapsed="false">
      <c r="A1717" s="32"/>
      <c r="B1717" s="29"/>
      <c r="C1717" s="10" t="str">
        <f aca="false">IF($B1717="","",IFERROR(INDEX(M_name,MATCH($B1717,M_emp,0)),"Code not found"))</f>
        <v/>
      </c>
      <c r="D1717" s="10" t="str">
        <f aca="false">IF($B1717="","",IFERROR(INDEX(M_dept,MATCH($B1717,M_emp,0)),""))</f>
        <v/>
      </c>
      <c r="E1717" s="10" t="str">
        <f aca="false">IF($B1717="","",IFERROR(INDEX(M_loc,MATCH($B1717,M_emp,0)),""))</f>
        <v/>
      </c>
      <c r="F1717" s="33"/>
      <c r="G1717" s="33"/>
      <c r="H1717" s="33"/>
      <c r="I1717" s="33"/>
      <c r="J1717" s="33"/>
      <c r="K1717" s="33"/>
      <c r="L1717" s="33"/>
      <c r="M1717" s="33"/>
      <c r="N1717" s="33"/>
      <c r="O1717" s="33"/>
      <c r="P1717" s="33"/>
      <c r="Q1717" s="33"/>
      <c r="R1717" s="33"/>
      <c r="S1717" s="33"/>
      <c r="T1717" s="33"/>
      <c r="U1717" s="33"/>
      <c r="V1717" s="33"/>
      <c r="W1717" s="33"/>
      <c r="X1717" s="33"/>
      <c r="Y1717" s="33"/>
      <c r="Z1717" s="33"/>
      <c r="AA1717" s="33"/>
      <c r="AB1717" s="33"/>
      <c r="AC1717" s="33"/>
      <c r="AD1717" s="33"/>
      <c r="AE1717" s="33"/>
      <c r="AF1717" s="33"/>
      <c r="AG1717" s="33"/>
      <c r="AH1717" s="33"/>
      <c r="AI1717" s="33"/>
      <c r="AJ1717" s="33"/>
      <c r="AK1717" s="34" t="str">
        <f aca="false">IF($B1717="","",COUNTIF($F1717:$AJ1717,"P"))</f>
        <v/>
      </c>
      <c r="AL1717" s="34" t="str">
        <f aca="false">IF($B1717="","",COUNTIF($F1717:$AJ1717,"A"))</f>
        <v/>
      </c>
      <c r="AM1717" s="34" t="str">
        <f aca="false">IF($B1717="","",COUNTIF($F1717:$AJ1717,"HA"))</f>
        <v/>
      </c>
      <c r="AN1717" s="34" t="str">
        <f aca="false">IF($B1717="","",COUNTIF($F1717:$AJ1717,"L"))</f>
        <v/>
      </c>
      <c r="AO1717" s="34" t="str">
        <f aca="false">IF($B1717="","",COUNTIF($F1717:$AJ1717,"PL"))</f>
        <v/>
      </c>
      <c r="AP1717" s="34" t="str">
        <f aca="false">IF($B1717="","",COUNTIF($F1717:$AJ1717,"CL"))</f>
        <v/>
      </c>
      <c r="AQ1717" s="34" t="str">
        <f aca="false">IF($B1717="","",COUNTIF($F1717:$AJ1717,"SL"))</f>
        <v/>
      </c>
      <c r="AR1717" s="34" t="str">
        <f aca="false">IF($B1717="","",COUNTIF($F1717:$AJ1717,"CO"))</f>
        <v/>
      </c>
      <c r="AS1717" s="34" t="str">
        <f aca="false">IF($B1717="","",COUNTIF($F1717:$AJ1717,"HPL"))</f>
        <v/>
      </c>
      <c r="AT1717" s="34" t="str">
        <f aca="false">IF($B1717="","",COUNTIF($F1717:$AJ1717,"HCL"))</f>
        <v/>
      </c>
      <c r="AU1717" s="34" t="str">
        <f aca="false">IF($B1717="","",COUNTIF($F1717:$AJ1717,"WO"))</f>
        <v/>
      </c>
      <c r="AV1717" s="34" t="str">
        <f aca="false">IF($B1717="","",COUNTIF($F1717:$AJ1717,"PH"))</f>
        <v/>
      </c>
      <c r="AW1717" s="34" t="str">
        <f aca="false">IF($B1717="","",COUNTIF($F1717:$AJ1717,"TR"))</f>
        <v/>
      </c>
      <c r="AX1717" s="35" t="str">
        <f aca="false">IF($B1717="","",AO1717+AS1717/2)</f>
        <v/>
      </c>
      <c r="AY1717" s="35" t="str">
        <f aca="false">IF($B1717="","",AQ1717)</f>
        <v/>
      </c>
      <c r="AZ1717" s="35" t="str">
        <f aca="false">IF($B1717="","",AP1717+AT1717/2)</f>
        <v/>
      </c>
      <c r="BA1717" s="35" t="str">
        <f aca="false">IF($B1717="","",AK1717+AN1717+AM1717/2+AO1717+AP1717+AQ1717+AR1717+AS1717+AT1717+AU1717+AV1717+AW1717)</f>
        <v/>
      </c>
      <c r="BB1717" s="35" t="str">
        <f aca="false">IF($B1717="","",MAX(0,AN1717-Settings!$C$16)*Settings!$C$17)</f>
        <v/>
      </c>
      <c r="BC1717" s="35" t="str">
        <f aca="false">IF($B1717="","",BA1717-BB1717)</f>
        <v/>
      </c>
      <c r="BD1717" s="35" t="str">
        <f aca="false">IF(OR($B1717="",$A1717=""),"",DAY(EOMONTH($A1717,0))-COUNTA($F1717:$AJ1717))</f>
        <v/>
      </c>
    </row>
    <row r="1718" customFormat="false" ht="15" hidden="false" customHeight="false" outlineLevel="0" collapsed="false">
      <c r="A1718" s="32"/>
      <c r="B1718" s="29"/>
      <c r="C1718" s="10" t="str">
        <f aca="false">IF($B1718="","",IFERROR(INDEX(M_name,MATCH($B1718,M_emp,0)),"Code not found"))</f>
        <v/>
      </c>
      <c r="D1718" s="10" t="str">
        <f aca="false">IF($B1718="","",IFERROR(INDEX(M_dept,MATCH($B1718,M_emp,0)),""))</f>
        <v/>
      </c>
      <c r="E1718" s="10" t="str">
        <f aca="false">IF($B1718="","",IFERROR(INDEX(M_loc,MATCH($B1718,M_emp,0)),""))</f>
        <v/>
      </c>
      <c r="F1718" s="33"/>
      <c r="G1718" s="33"/>
      <c r="H1718" s="33"/>
      <c r="I1718" s="33"/>
      <c r="J1718" s="33"/>
      <c r="K1718" s="33"/>
      <c r="L1718" s="33"/>
      <c r="M1718" s="33"/>
      <c r="N1718" s="33"/>
      <c r="O1718" s="33"/>
      <c r="P1718" s="33"/>
      <c r="Q1718" s="33"/>
      <c r="R1718" s="33"/>
      <c r="S1718" s="33"/>
      <c r="T1718" s="33"/>
      <c r="U1718" s="33"/>
      <c r="V1718" s="33"/>
      <c r="W1718" s="33"/>
      <c r="X1718" s="33"/>
      <c r="Y1718" s="33"/>
      <c r="Z1718" s="33"/>
      <c r="AA1718" s="33"/>
      <c r="AB1718" s="33"/>
      <c r="AC1718" s="33"/>
      <c r="AD1718" s="33"/>
      <c r="AE1718" s="33"/>
      <c r="AF1718" s="33"/>
      <c r="AG1718" s="33"/>
      <c r="AH1718" s="33"/>
      <c r="AI1718" s="33"/>
      <c r="AJ1718" s="33"/>
      <c r="AK1718" s="34" t="str">
        <f aca="false">IF($B1718="","",COUNTIF($F1718:$AJ1718,"P"))</f>
        <v/>
      </c>
      <c r="AL1718" s="34" t="str">
        <f aca="false">IF($B1718="","",COUNTIF($F1718:$AJ1718,"A"))</f>
        <v/>
      </c>
      <c r="AM1718" s="34" t="str">
        <f aca="false">IF($B1718="","",COUNTIF($F1718:$AJ1718,"HA"))</f>
        <v/>
      </c>
      <c r="AN1718" s="34" t="str">
        <f aca="false">IF($B1718="","",COUNTIF($F1718:$AJ1718,"L"))</f>
        <v/>
      </c>
      <c r="AO1718" s="34" t="str">
        <f aca="false">IF($B1718="","",COUNTIF($F1718:$AJ1718,"PL"))</f>
        <v/>
      </c>
      <c r="AP1718" s="34" t="str">
        <f aca="false">IF($B1718="","",COUNTIF($F1718:$AJ1718,"CL"))</f>
        <v/>
      </c>
      <c r="AQ1718" s="34" t="str">
        <f aca="false">IF($B1718="","",COUNTIF($F1718:$AJ1718,"SL"))</f>
        <v/>
      </c>
      <c r="AR1718" s="34" t="str">
        <f aca="false">IF($B1718="","",COUNTIF($F1718:$AJ1718,"CO"))</f>
        <v/>
      </c>
      <c r="AS1718" s="34" t="str">
        <f aca="false">IF($B1718="","",COUNTIF($F1718:$AJ1718,"HPL"))</f>
        <v/>
      </c>
      <c r="AT1718" s="34" t="str">
        <f aca="false">IF($B1718="","",COUNTIF($F1718:$AJ1718,"HCL"))</f>
        <v/>
      </c>
      <c r="AU1718" s="34" t="str">
        <f aca="false">IF($B1718="","",COUNTIF($F1718:$AJ1718,"WO"))</f>
        <v/>
      </c>
      <c r="AV1718" s="34" t="str">
        <f aca="false">IF($B1718="","",COUNTIF($F1718:$AJ1718,"PH"))</f>
        <v/>
      </c>
      <c r="AW1718" s="34" t="str">
        <f aca="false">IF($B1718="","",COUNTIF($F1718:$AJ1718,"TR"))</f>
        <v/>
      </c>
      <c r="AX1718" s="35" t="str">
        <f aca="false">IF($B1718="","",AO1718+AS1718/2)</f>
        <v/>
      </c>
      <c r="AY1718" s="35" t="str">
        <f aca="false">IF($B1718="","",AQ1718)</f>
        <v/>
      </c>
      <c r="AZ1718" s="35" t="str">
        <f aca="false">IF($B1718="","",AP1718+AT1718/2)</f>
        <v/>
      </c>
      <c r="BA1718" s="35" t="str">
        <f aca="false">IF($B1718="","",AK1718+AN1718+AM1718/2+AO1718+AP1718+AQ1718+AR1718+AS1718+AT1718+AU1718+AV1718+AW1718)</f>
        <v/>
      </c>
      <c r="BB1718" s="35" t="str">
        <f aca="false">IF($B1718="","",MAX(0,AN1718-Settings!$C$16)*Settings!$C$17)</f>
        <v/>
      </c>
      <c r="BC1718" s="35" t="str">
        <f aca="false">IF($B1718="","",BA1718-BB1718)</f>
        <v/>
      </c>
      <c r="BD1718" s="35" t="str">
        <f aca="false">IF(OR($B1718="",$A1718=""),"",DAY(EOMONTH($A1718,0))-COUNTA($F1718:$AJ1718))</f>
        <v/>
      </c>
    </row>
    <row r="1719" customFormat="false" ht="15" hidden="false" customHeight="false" outlineLevel="0" collapsed="false">
      <c r="A1719" s="32"/>
      <c r="B1719" s="29"/>
      <c r="C1719" s="10" t="str">
        <f aca="false">IF($B1719="","",IFERROR(INDEX(M_name,MATCH($B1719,M_emp,0)),"Code not found"))</f>
        <v/>
      </c>
      <c r="D1719" s="10" t="str">
        <f aca="false">IF($B1719="","",IFERROR(INDEX(M_dept,MATCH($B1719,M_emp,0)),""))</f>
        <v/>
      </c>
      <c r="E1719" s="10" t="str">
        <f aca="false">IF($B1719="","",IFERROR(INDEX(M_loc,MATCH($B1719,M_emp,0)),""))</f>
        <v/>
      </c>
      <c r="F1719" s="33"/>
      <c r="G1719" s="33"/>
      <c r="H1719" s="33"/>
      <c r="I1719" s="33"/>
      <c r="J1719" s="33"/>
      <c r="K1719" s="33"/>
      <c r="L1719" s="33"/>
      <c r="M1719" s="33"/>
      <c r="N1719" s="33"/>
      <c r="O1719" s="33"/>
      <c r="P1719" s="33"/>
      <c r="Q1719" s="33"/>
      <c r="R1719" s="33"/>
      <c r="S1719" s="33"/>
      <c r="T1719" s="33"/>
      <c r="U1719" s="33"/>
      <c r="V1719" s="33"/>
      <c r="W1719" s="33"/>
      <c r="X1719" s="33"/>
      <c r="Y1719" s="33"/>
      <c r="Z1719" s="33"/>
      <c r="AA1719" s="33"/>
      <c r="AB1719" s="33"/>
      <c r="AC1719" s="33"/>
      <c r="AD1719" s="33"/>
      <c r="AE1719" s="33"/>
      <c r="AF1719" s="33"/>
      <c r="AG1719" s="33"/>
      <c r="AH1719" s="33"/>
      <c r="AI1719" s="33"/>
      <c r="AJ1719" s="33"/>
      <c r="AK1719" s="34" t="str">
        <f aca="false">IF($B1719="","",COUNTIF($F1719:$AJ1719,"P"))</f>
        <v/>
      </c>
      <c r="AL1719" s="34" t="str">
        <f aca="false">IF($B1719="","",COUNTIF($F1719:$AJ1719,"A"))</f>
        <v/>
      </c>
      <c r="AM1719" s="34" t="str">
        <f aca="false">IF($B1719="","",COUNTIF($F1719:$AJ1719,"HA"))</f>
        <v/>
      </c>
      <c r="AN1719" s="34" t="str">
        <f aca="false">IF($B1719="","",COUNTIF($F1719:$AJ1719,"L"))</f>
        <v/>
      </c>
      <c r="AO1719" s="34" t="str">
        <f aca="false">IF($B1719="","",COUNTIF($F1719:$AJ1719,"PL"))</f>
        <v/>
      </c>
      <c r="AP1719" s="34" t="str">
        <f aca="false">IF($B1719="","",COUNTIF($F1719:$AJ1719,"CL"))</f>
        <v/>
      </c>
      <c r="AQ1719" s="34" t="str">
        <f aca="false">IF($B1719="","",COUNTIF($F1719:$AJ1719,"SL"))</f>
        <v/>
      </c>
      <c r="AR1719" s="34" t="str">
        <f aca="false">IF($B1719="","",COUNTIF($F1719:$AJ1719,"CO"))</f>
        <v/>
      </c>
      <c r="AS1719" s="34" t="str">
        <f aca="false">IF($B1719="","",COUNTIF($F1719:$AJ1719,"HPL"))</f>
        <v/>
      </c>
      <c r="AT1719" s="34" t="str">
        <f aca="false">IF($B1719="","",COUNTIF($F1719:$AJ1719,"HCL"))</f>
        <v/>
      </c>
      <c r="AU1719" s="34" t="str">
        <f aca="false">IF($B1719="","",COUNTIF($F1719:$AJ1719,"WO"))</f>
        <v/>
      </c>
      <c r="AV1719" s="34" t="str">
        <f aca="false">IF($B1719="","",COUNTIF($F1719:$AJ1719,"PH"))</f>
        <v/>
      </c>
      <c r="AW1719" s="34" t="str">
        <f aca="false">IF($B1719="","",COUNTIF($F1719:$AJ1719,"TR"))</f>
        <v/>
      </c>
      <c r="AX1719" s="35" t="str">
        <f aca="false">IF($B1719="","",AO1719+AS1719/2)</f>
        <v/>
      </c>
      <c r="AY1719" s="35" t="str">
        <f aca="false">IF($B1719="","",AQ1719)</f>
        <v/>
      </c>
      <c r="AZ1719" s="35" t="str">
        <f aca="false">IF($B1719="","",AP1719+AT1719/2)</f>
        <v/>
      </c>
      <c r="BA1719" s="35" t="str">
        <f aca="false">IF($B1719="","",AK1719+AN1719+AM1719/2+AO1719+AP1719+AQ1719+AR1719+AS1719+AT1719+AU1719+AV1719+AW1719)</f>
        <v/>
      </c>
      <c r="BB1719" s="35" t="str">
        <f aca="false">IF($B1719="","",MAX(0,AN1719-Settings!$C$16)*Settings!$C$17)</f>
        <v/>
      </c>
      <c r="BC1719" s="35" t="str">
        <f aca="false">IF($B1719="","",BA1719-BB1719)</f>
        <v/>
      </c>
      <c r="BD1719" s="35" t="str">
        <f aca="false">IF(OR($B1719="",$A1719=""),"",DAY(EOMONTH($A1719,0))-COUNTA($F1719:$AJ1719))</f>
        <v/>
      </c>
    </row>
    <row r="1720" customFormat="false" ht="15" hidden="false" customHeight="false" outlineLevel="0" collapsed="false">
      <c r="A1720" s="32"/>
      <c r="B1720" s="29"/>
      <c r="C1720" s="10" t="str">
        <f aca="false">IF($B1720="","",IFERROR(INDEX(M_name,MATCH($B1720,M_emp,0)),"Code not found"))</f>
        <v/>
      </c>
      <c r="D1720" s="10" t="str">
        <f aca="false">IF($B1720="","",IFERROR(INDEX(M_dept,MATCH($B1720,M_emp,0)),""))</f>
        <v/>
      </c>
      <c r="E1720" s="10" t="str">
        <f aca="false">IF($B1720="","",IFERROR(INDEX(M_loc,MATCH($B1720,M_emp,0)),""))</f>
        <v/>
      </c>
      <c r="F1720" s="33"/>
      <c r="G1720" s="33"/>
      <c r="H1720" s="33"/>
      <c r="I1720" s="33"/>
      <c r="J1720" s="33"/>
      <c r="K1720" s="33"/>
      <c r="L1720" s="33"/>
      <c r="M1720" s="33"/>
      <c r="N1720" s="33"/>
      <c r="O1720" s="33"/>
      <c r="P1720" s="33"/>
      <c r="Q1720" s="33"/>
      <c r="R1720" s="33"/>
      <c r="S1720" s="33"/>
      <c r="T1720" s="33"/>
      <c r="U1720" s="33"/>
      <c r="V1720" s="33"/>
      <c r="W1720" s="33"/>
      <c r="X1720" s="33"/>
      <c r="Y1720" s="33"/>
      <c r="Z1720" s="33"/>
      <c r="AA1720" s="33"/>
      <c r="AB1720" s="33"/>
      <c r="AC1720" s="33"/>
      <c r="AD1720" s="33"/>
      <c r="AE1720" s="33"/>
      <c r="AF1720" s="33"/>
      <c r="AG1720" s="33"/>
      <c r="AH1720" s="33"/>
      <c r="AI1720" s="33"/>
      <c r="AJ1720" s="33"/>
      <c r="AK1720" s="34" t="str">
        <f aca="false">IF($B1720="","",COUNTIF($F1720:$AJ1720,"P"))</f>
        <v/>
      </c>
      <c r="AL1720" s="34" t="str">
        <f aca="false">IF($B1720="","",COUNTIF($F1720:$AJ1720,"A"))</f>
        <v/>
      </c>
      <c r="AM1720" s="34" t="str">
        <f aca="false">IF($B1720="","",COUNTIF($F1720:$AJ1720,"HA"))</f>
        <v/>
      </c>
      <c r="AN1720" s="34" t="str">
        <f aca="false">IF($B1720="","",COUNTIF($F1720:$AJ1720,"L"))</f>
        <v/>
      </c>
      <c r="AO1720" s="34" t="str">
        <f aca="false">IF($B1720="","",COUNTIF($F1720:$AJ1720,"PL"))</f>
        <v/>
      </c>
      <c r="AP1720" s="34" t="str">
        <f aca="false">IF($B1720="","",COUNTIF($F1720:$AJ1720,"CL"))</f>
        <v/>
      </c>
      <c r="AQ1720" s="34" t="str">
        <f aca="false">IF($B1720="","",COUNTIF($F1720:$AJ1720,"SL"))</f>
        <v/>
      </c>
      <c r="AR1720" s="34" t="str">
        <f aca="false">IF($B1720="","",COUNTIF($F1720:$AJ1720,"CO"))</f>
        <v/>
      </c>
      <c r="AS1720" s="34" t="str">
        <f aca="false">IF($B1720="","",COUNTIF($F1720:$AJ1720,"HPL"))</f>
        <v/>
      </c>
      <c r="AT1720" s="34" t="str">
        <f aca="false">IF($B1720="","",COUNTIF($F1720:$AJ1720,"HCL"))</f>
        <v/>
      </c>
      <c r="AU1720" s="34" t="str">
        <f aca="false">IF($B1720="","",COUNTIF($F1720:$AJ1720,"WO"))</f>
        <v/>
      </c>
      <c r="AV1720" s="34" t="str">
        <f aca="false">IF($B1720="","",COUNTIF($F1720:$AJ1720,"PH"))</f>
        <v/>
      </c>
      <c r="AW1720" s="34" t="str">
        <f aca="false">IF($B1720="","",COUNTIF($F1720:$AJ1720,"TR"))</f>
        <v/>
      </c>
      <c r="AX1720" s="35" t="str">
        <f aca="false">IF($B1720="","",AO1720+AS1720/2)</f>
        <v/>
      </c>
      <c r="AY1720" s="35" t="str">
        <f aca="false">IF($B1720="","",AQ1720)</f>
        <v/>
      </c>
      <c r="AZ1720" s="35" t="str">
        <f aca="false">IF($B1720="","",AP1720+AT1720/2)</f>
        <v/>
      </c>
      <c r="BA1720" s="35" t="str">
        <f aca="false">IF($B1720="","",AK1720+AN1720+AM1720/2+AO1720+AP1720+AQ1720+AR1720+AS1720+AT1720+AU1720+AV1720+AW1720)</f>
        <v/>
      </c>
      <c r="BB1720" s="35" t="str">
        <f aca="false">IF($B1720="","",MAX(0,AN1720-Settings!$C$16)*Settings!$C$17)</f>
        <v/>
      </c>
      <c r="BC1720" s="35" t="str">
        <f aca="false">IF($B1720="","",BA1720-BB1720)</f>
        <v/>
      </c>
      <c r="BD1720" s="35" t="str">
        <f aca="false">IF(OR($B1720="",$A1720=""),"",DAY(EOMONTH($A1720,0))-COUNTA($F1720:$AJ1720))</f>
        <v/>
      </c>
    </row>
    <row r="1721" customFormat="false" ht="15" hidden="false" customHeight="false" outlineLevel="0" collapsed="false">
      <c r="A1721" s="32"/>
      <c r="B1721" s="29"/>
      <c r="C1721" s="10" t="str">
        <f aca="false">IF($B1721="","",IFERROR(INDEX(M_name,MATCH($B1721,M_emp,0)),"Code not found"))</f>
        <v/>
      </c>
      <c r="D1721" s="10" t="str">
        <f aca="false">IF($B1721="","",IFERROR(INDEX(M_dept,MATCH($B1721,M_emp,0)),""))</f>
        <v/>
      </c>
      <c r="E1721" s="10" t="str">
        <f aca="false">IF($B1721="","",IFERROR(INDEX(M_loc,MATCH($B1721,M_emp,0)),""))</f>
        <v/>
      </c>
      <c r="F1721" s="33"/>
      <c r="G1721" s="33"/>
      <c r="H1721" s="33"/>
      <c r="I1721" s="33"/>
      <c r="J1721" s="33"/>
      <c r="K1721" s="33"/>
      <c r="L1721" s="33"/>
      <c r="M1721" s="33"/>
      <c r="N1721" s="33"/>
      <c r="O1721" s="33"/>
      <c r="P1721" s="33"/>
      <c r="Q1721" s="33"/>
      <c r="R1721" s="33"/>
      <c r="S1721" s="33"/>
      <c r="T1721" s="33"/>
      <c r="U1721" s="33"/>
      <c r="V1721" s="33"/>
      <c r="W1721" s="33"/>
      <c r="X1721" s="33"/>
      <c r="Y1721" s="33"/>
      <c r="Z1721" s="33"/>
      <c r="AA1721" s="33"/>
      <c r="AB1721" s="33"/>
      <c r="AC1721" s="33"/>
      <c r="AD1721" s="33"/>
      <c r="AE1721" s="33"/>
      <c r="AF1721" s="33"/>
      <c r="AG1721" s="33"/>
      <c r="AH1721" s="33"/>
      <c r="AI1721" s="33"/>
      <c r="AJ1721" s="33"/>
      <c r="AK1721" s="34" t="str">
        <f aca="false">IF($B1721="","",COUNTIF($F1721:$AJ1721,"P"))</f>
        <v/>
      </c>
      <c r="AL1721" s="34" t="str">
        <f aca="false">IF($B1721="","",COUNTIF($F1721:$AJ1721,"A"))</f>
        <v/>
      </c>
      <c r="AM1721" s="34" t="str">
        <f aca="false">IF($B1721="","",COUNTIF($F1721:$AJ1721,"HA"))</f>
        <v/>
      </c>
      <c r="AN1721" s="34" t="str">
        <f aca="false">IF($B1721="","",COUNTIF($F1721:$AJ1721,"L"))</f>
        <v/>
      </c>
      <c r="AO1721" s="34" t="str">
        <f aca="false">IF($B1721="","",COUNTIF($F1721:$AJ1721,"PL"))</f>
        <v/>
      </c>
      <c r="AP1721" s="34" t="str">
        <f aca="false">IF($B1721="","",COUNTIF($F1721:$AJ1721,"CL"))</f>
        <v/>
      </c>
      <c r="AQ1721" s="34" t="str">
        <f aca="false">IF($B1721="","",COUNTIF($F1721:$AJ1721,"SL"))</f>
        <v/>
      </c>
      <c r="AR1721" s="34" t="str">
        <f aca="false">IF($B1721="","",COUNTIF($F1721:$AJ1721,"CO"))</f>
        <v/>
      </c>
      <c r="AS1721" s="34" t="str">
        <f aca="false">IF($B1721="","",COUNTIF($F1721:$AJ1721,"HPL"))</f>
        <v/>
      </c>
      <c r="AT1721" s="34" t="str">
        <f aca="false">IF($B1721="","",COUNTIF($F1721:$AJ1721,"HCL"))</f>
        <v/>
      </c>
      <c r="AU1721" s="34" t="str">
        <f aca="false">IF($B1721="","",COUNTIF($F1721:$AJ1721,"WO"))</f>
        <v/>
      </c>
      <c r="AV1721" s="34" t="str">
        <f aca="false">IF($B1721="","",COUNTIF($F1721:$AJ1721,"PH"))</f>
        <v/>
      </c>
      <c r="AW1721" s="34" t="str">
        <f aca="false">IF($B1721="","",COUNTIF($F1721:$AJ1721,"TR"))</f>
        <v/>
      </c>
      <c r="AX1721" s="35" t="str">
        <f aca="false">IF($B1721="","",AO1721+AS1721/2)</f>
        <v/>
      </c>
      <c r="AY1721" s="35" t="str">
        <f aca="false">IF($B1721="","",AQ1721)</f>
        <v/>
      </c>
      <c r="AZ1721" s="35" t="str">
        <f aca="false">IF($B1721="","",AP1721+AT1721/2)</f>
        <v/>
      </c>
      <c r="BA1721" s="35" t="str">
        <f aca="false">IF($B1721="","",AK1721+AN1721+AM1721/2+AO1721+AP1721+AQ1721+AR1721+AS1721+AT1721+AU1721+AV1721+AW1721)</f>
        <v/>
      </c>
      <c r="BB1721" s="35" t="str">
        <f aca="false">IF($B1721="","",MAX(0,AN1721-Settings!$C$16)*Settings!$C$17)</f>
        <v/>
      </c>
      <c r="BC1721" s="35" t="str">
        <f aca="false">IF($B1721="","",BA1721-BB1721)</f>
        <v/>
      </c>
      <c r="BD1721" s="35" t="str">
        <f aca="false">IF(OR($B1721="",$A1721=""),"",DAY(EOMONTH($A1721,0))-COUNTA($F1721:$AJ1721))</f>
        <v/>
      </c>
    </row>
    <row r="1722" customFormat="false" ht="15" hidden="false" customHeight="false" outlineLevel="0" collapsed="false">
      <c r="A1722" s="32"/>
      <c r="B1722" s="29"/>
      <c r="C1722" s="10" t="str">
        <f aca="false">IF($B1722="","",IFERROR(INDEX(M_name,MATCH($B1722,M_emp,0)),"Code not found"))</f>
        <v/>
      </c>
      <c r="D1722" s="10" t="str">
        <f aca="false">IF($B1722="","",IFERROR(INDEX(M_dept,MATCH($B1722,M_emp,0)),""))</f>
        <v/>
      </c>
      <c r="E1722" s="10" t="str">
        <f aca="false">IF($B1722="","",IFERROR(INDEX(M_loc,MATCH($B1722,M_emp,0)),""))</f>
        <v/>
      </c>
      <c r="F1722" s="33"/>
      <c r="G1722" s="33"/>
      <c r="H1722" s="33"/>
      <c r="I1722" s="33"/>
      <c r="J1722" s="33"/>
      <c r="K1722" s="33"/>
      <c r="L1722" s="33"/>
      <c r="M1722" s="33"/>
      <c r="N1722" s="33"/>
      <c r="O1722" s="33"/>
      <c r="P1722" s="33"/>
      <c r="Q1722" s="33"/>
      <c r="R1722" s="33"/>
      <c r="S1722" s="33"/>
      <c r="T1722" s="33"/>
      <c r="U1722" s="33"/>
      <c r="V1722" s="33"/>
      <c r="W1722" s="33"/>
      <c r="X1722" s="33"/>
      <c r="Y1722" s="33"/>
      <c r="Z1722" s="33"/>
      <c r="AA1722" s="33"/>
      <c r="AB1722" s="33"/>
      <c r="AC1722" s="33"/>
      <c r="AD1722" s="33"/>
      <c r="AE1722" s="33"/>
      <c r="AF1722" s="33"/>
      <c r="AG1722" s="33"/>
      <c r="AH1722" s="33"/>
      <c r="AI1722" s="33"/>
      <c r="AJ1722" s="33"/>
      <c r="AK1722" s="34" t="str">
        <f aca="false">IF($B1722="","",COUNTIF($F1722:$AJ1722,"P"))</f>
        <v/>
      </c>
      <c r="AL1722" s="34" t="str">
        <f aca="false">IF($B1722="","",COUNTIF($F1722:$AJ1722,"A"))</f>
        <v/>
      </c>
      <c r="AM1722" s="34" t="str">
        <f aca="false">IF($B1722="","",COUNTIF($F1722:$AJ1722,"HA"))</f>
        <v/>
      </c>
      <c r="AN1722" s="34" t="str">
        <f aca="false">IF($B1722="","",COUNTIF($F1722:$AJ1722,"L"))</f>
        <v/>
      </c>
      <c r="AO1722" s="34" t="str">
        <f aca="false">IF($B1722="","",COUNTIF($F1722:$AJ1722,"PL"))</f>
        <v/>
      </c>
      <c r="AP1722" s="34" t="str">
        <f aca="false">IF($B1722="","",COUNTIF($F1722:$AJ1722,"CL"))</f>
        <v/>
      </c>
      <c r="AQ1722" s="34" t="str">
        <f aca="false">IF($B1722="","",COUNTIF($F1722:$AJ1722,"SL"))</f>
        <v/>
      </c>
      <c r="AR1722" s="34" t="str">
        <f aca="false">IF($B1722="","",COUNTIF($F1722:$AJ1722,"CO"))</f>
        <v/>
      </c>
      <c r="AS1722" s="34" t="str">
        <f aca="false">IF($B1722="","",COUNTIF($F1722:$AJ1722,"HPL"))</f>
        <v/>
      </c>
      <c r="AT1722" s="34" t="str">
        <f aca="false">IF($B1722="","",COUNTIF($F1722:$AJ1722,"HCL"))</f>
        <v/>
      </c>
      <c r="AU1722" s="34" t="str">
        <f aca="false">IF($B1722="","",COUNTIF($F1722:$AJ1722,"WO"))</f>
        <v/>
      </c>
      <c r="AV1722" s="34" t="str">
        <f aca="false">IF($B1722="","",COUNTIF($F1722:$AJ1722,"PH"))</f>
        <v/>
      </c>
      <c r="AW1722" s="34" t="str">
        <f aca="false">IF($B1722="","",COUNTIF($F1722:$AJ1722,"TR"))</f>
        <v/>
      </c>
      <c r="AX1722" s="35" t="str">
        <f aca="false">IF($B1722="","",AO1722+AS1722/2)</f>
        <v/>
      </c>
      <c r="AY1722" s="35" t="str">
        <f aca="false">IF($B1722="","",AQ1722)</f>
        <v/>
      </c>
      <c r="AZ1722" s="35" t="str">
        <f aca="false">IF($B1722="","",AP1722+AT1722/2)</f>
        <v/>
      </c>
      <c r="BA1722" s="35" t="str">
        <f aca="false">IF($B1722="","",AK1722+AN1722+AM1722/2+AO1722+AP1722+AQ1722+AR1722+AS1722+AT1722+AU1722+AV1722+AW1722)</f>
        <v/>
      </c>
      <c r="BB1722" s="35" t="str">
        <f aca="false">IF($B1722="","",MAX(0,AN1722-Settings!$C$16)*Settings!$C$17)</f>
        <v/>
      </c>
      <c r="BC1722" s="35" t="str">
        <f aca="false">IF($B1722="","",BA1722-BB1722)</f>
        <v/>
      </c>
      <c r="BD1722" s="35" t="str">
        <f aca="false">IF(OR($B1722="",$A1722=""),"",DAY(EOMONTH($A1722,0))-COUNTA($F1722:$AJ1722))</f>
        <v/>
      </c>
    </row>
    <row r="1723" customFormat="false" ht="15" hidden="false" customHeight="false" outlineLevel="0" collapsed="false">
      <c r="A1723" s="32"/>
      <c r="B1723" s="29"/>
      <c r="C1723" s="10" t="str">
        <f aca="false">IF($B1723="","",IFERROR(INDEX(M_name,MATCH($B1723,M_emp,0)),"Code not found"))</f>
        <v/>
      </c>
      <c r="D1723" s="10" t="str">
        <f aca="false">IF($B1723="","",IFERROR(INDEX(M_dept,MATCH($B1723,M_emp,0)),""))</f>
        <v/>
      </c>
      <c r="E1723" s="10" t="str">
        <f aca="false">IF($B1723="","",IFERROR(INDEX(M_loc,MATCH($B1723,M_emp,0)),""))</f>
        <v/>
      </c>
      <c r="F1723" s="33"/>
      <c r="G1723" s="33"/>
      <c r="H1723" s="33"/>
      <c r="I1723" s="33"/>
      <c r="J1723" s="33"/>
      <c r="K1723" s="33"/>
      <c r="L1723" s="33"/>
      <c r="M1723" s="33"/>
      <c r="N1723" s="33"/>
      <c r="O1723" s="33"/>
      <c r="P1723" s="33"/>
      <c r="Q1723" s="33"/>
      <c r="R1723" s="33"/>
      <c r="S1723" s="33"/>
      <c r="T1723" s="33"/>
      <c r="U1723" s="33"/>
      <c r="V1723" s="33"/>
      <c r="W1723" s="33"/>
      <c r="X1723" s="33"/>
      <c r="Y1723" s="33"/>
      <c r="Z1723" s="33"/>
      <c r="AA1723" s="33"/>
      <c r="AB1723" s="33"/>
      <c r="AC1723" s="33"/>
      <c r="AD1723" s="33"/>
      <c r="AE1723" s="33"/>
      <c r="AF1723" s="33"/>
      <c r="AG1723" s="33"/>
      <c r="AH1723" s="33"/>
      <c r="AI1723" s="33"/>
      <c r="AJ1723" s="33"/>
      <c r="AK1723" s="34" t="str">
        <f aca="false">IF($B1723="","",COUNTIF($F1723:$AJ1723,"P"))</f>
        <v/>
      </c>
      <c r="AL1723" s="34" t="str">
        <f aca="false">IF($B1723="","",COUNTIF($F1723:$AJ1723,"A"))</f>
        <v/>
      </c>
      <c r="AM1723" s="34" t="str">
        <f aca="false">IF($B1723="","",COUNTIF($F1723:$AJ1723,"HA"))</f>
        <v/>
      </c>
      <c r="AN1723" s="34" t="str">
        <f aca="false">IF($B1723="","",COUNTIF($F1723:$AJ1723,"L"))</f>
        <v/>
      </c>
      <c r="AO1723" s="34" t="str">
        <f aca="false">IF($B1723="","",COUNTIF($F1723:$AJ1723,"PL"))</f>
        <v/>
      </c>
      <c r="AP1723" s="34" t="str">
        <f aca="false">IF($B1723="","",COUNTIF($F1723:$AJ1723,"CL"))</f>
        <v/>
      </c>
      <c r="AQ1723" s="34" t="str">
        <f aca="false">IF($B1723="","",COUNTIF($F1723:$AJ1723,"SL"))</f>
        <v/>
      </c>
      <c r="AR1723" s="34" t="str">
        <f aca="false">IF($B1723="","",COUNTIF($F1723:$AJ1723,"CO"))</f>
        <v/>
      </c>
      <c r="AS1723" s="34" t="str">
        <f aca="false">IF($B1723="","",COUNTIF($F1723:$AJ1723,"HPL"))</f>
        <v/>
      </c>
      <c r="AT1723" s="34" t="str">
        <f aca="false">IF($B1723="","",COUNTIF($F1723:$AJ1723,"HCL"))</f>
        <v/>
      </c>
      <c r="AU1723" s="34" t="str">
        <f aca="false">IF($B1723="","",COUNTIF($F1723:$AJ1723,"WO"))</f>
        <v/>
      </c>
      <c r="AV1723" s="34" t="str">
        <f aca="false">IF($B1723="","",COUNTIF($F1723:$AJ1723,"PH"))</f>
        <v/>
      </c>
      <c r="AW1723" s="34" t="str">
        <f aca="false">IF($B1723="","",COUNTIF($F1723:$AJ1723,"TR"))</f>
        <v/>
      </c>
      <c r="AX1723" s="35" t="str">
        <f aca="false">IF($B1723="","",AO1723+AS1723/2)</f>
        <v/>
      </c>
      <c r="AY1723" s="35" t="str">
        <f aca="false">IF($B1723="","",AQ1723)</f>
        <v/>
      </c>
      <c r="AZ1723" s="35" t="str">
        <f aca="false">IF($B1723="","",AP1723+AT1723/2)</f>
        <v/>
      </c>
      <c r="BA1723" s="35" t="str">
        <f aca="false">IF($B1723="","",AK1723+AN1723+AM1723/2+AO1723+AP1723+AQ1723+AR1723+AS1723+AT1723+AU1723+AV1723+AW1723)</f>
        <v/>
      </c>
      <c r="BB1723" s="35" t="str">
        <f aca="false">IF($B1723="","",MAX(0,AN1723-Settings!$C$16)*Settings!$C$17)</f>
        <v/>
      </c>
      <c r="BC1723" s="35" t="str">
        <f aca="false">IF($B1723="","",BA1723-BB1723)</f>
        <v/>
      </c>
      <c r="BD1723" s="35" t="str">
        <f aca="false">IF(OR($B1723="",$A1723=""),"",DAY(EOMONTH($A1723,0))-COUNTA($F1723:$AJ1723))</f>
        <v/>
      </c>
    </row>
    <row r="1724" customFormat="false" ht="15" hidden="false" customHeight="false" outlineLevel="0" collapsed="false">
      <c r="A1724" s="32"/>
      <c r="B1724" s="29"/>
      <c r="C1724" s="10" t="str">
        <f aca="false">IF($B1724="","",IFERROR(INDEX(M_name,MATCH($B1724,M_emp,0)),"Code not found"))</f>
        <v/>
      </c>
      <c r="D1724" s="10" t="str">
        <f aca="false">IF($B1724="","",IFERROR(INDEX(M_dept,MATCH($B1724,M_emp,0)),""))</f>
        <v/>
      </c>
      <c r="E1724" s="10" t="str">
        <f aca="false">IF($B1724="","",IFERROR(INDEX(M_loc,MATCH($B1724,M_emp,0)),""))</f>
        <v/>
      </c>
      <c r="F1724" s="33"/>
      <c r="G1724" s="33"/>
      <c r="H1724" s="33"/>
      <c r="I1724" s="33"/>
      <c r="J1724" s="33"/>
      <c r="K1724" s="33"/>
      <c r="L1724" s="33"/>
      <c r="M1724" s="33"/>
      <c r="N1724" s="33"/>
      <c r="O1724" s="33"/>
      <c r="P1724" s="33"/>
      <c r="Q1724" s="33"/>
      <c r="R1724" s="33"/>
      <c r="S1724" s="33"/>
      <c r="T1724" s="33"/>
      <c r="U1724" s="33"/>
      <c r="V1724" s="33"/>
      <c r="W1724" s="33"/>
      <c r="X1724" s="33"/>
      <c r="Y1724" s="33"/>
      <c r="Z1724" s="33"/>
      <c r="AA1724" s="33"/>
      <c r="AB1724" s="33"/>
      <c r="AC1724" s="33"/>
      <c r="AD1724" s="33"/>
      <c r="AE1724" s="33"/>
      <c r="AF1724" s="33"/>
      <c r="AG1724" s="33"/>
      <c r="AH1724" s="33"/>
      <c r="AI1724" s="33"/>
      <c r="AJ1724" s="33"/>
      <c r="AK1724" s="34" t="str">
        <f aca="false">IF($B1724="","",COUNTIF($F1724:$AJ1724,"P"))</f>
        <v/>
      </c>
      <c r="AL1724" s="34" t="str">
        <f aca="false">IF($B1724="","",COUNTIF($F1724:$AJ1724,"A"))</f>
        <v/>
      </c>
      <c r="AM1724" s="34" t="str">
        <f aca="false">IF($B1724="","",COUNTIF($F1724:$AJ1724,"HA"))</f>
        <v/>
      </c>
      <c r="AN1724" s="34" t="str">
        <f aca="false">IF($B1724="","",COUNTIF($F1724:$AJ1724,"L"))</f>
        <v/>
      </c>
      <c r="AO1724" s="34" t="str">
        <f aca="false">IF($B1724="","",COUNTIF($F1724:$AJ1724,"PL"))</f>
        <v/>
      </c>
      <c r="AP1724" s="34" t="str">
        <f aca="false">IF($B1724="","",COUNTIF($F1724:$AJ1724,"CL"))</f>
        <v/>
      </c>
      <c r="AQ1724" s="34" t="str">
        <f aca="false">IF($B1724="","",COUNTIF($F1724:$AJ1724,"SL"))</f>
        <v/>
      </c>
      <c r="AR1724" s="34" t="str">
        <f aca="false">IF($B1724="","",COUNTIF($F1724:$AJ1724,"CO"))</f>
        <v/>
      </c>
      <c r="AS1724" s="34" t="str">
        <f aca="false">IF($B1724="","",COUNTIF($F1724:$AJ1724,"HPL"))</f>
        <v/>
      </c>
      <c r="AT1724" s="34" t="str">
        <f aca="false">IF($B1724="","",COUNTIF($F1724:$AJ1724,"HCL"))</f>
        <v/>
      </c>
      <c r="AU1724" s="34" t="str">
        <f aca="false">IF($B1724="","",COUNTIF($F1724:$AJ1724,"WO"))</f>
        <v/>
      </c>
      <c r="AV1724" s="34" t="str">
        <f aca="false">IF($B1724="","",COUNTIF($F1724:$AJ1724,"PH"))</f>
        <v/>
      </c>
      <c r="AW1724" s="34" t="str">
        <f aca="false">IF($B1724="","",COUNTIF($F1724:$AJ1724,"TR"))</f>
        <v/>
      </c>
      <c r="AX1724" s="35" t="str">
        <f aca="false">IF($B1724="","",AO1724+AS1724/2)</f>
        <v/>
      </c>
      <c r="AY1724" s="35" t="str">
        <f aca="false">IF($B1724="","",AQ1724)</f>
        <v/>
      </c>
      <c r="AZ1724" s="35" t="str">
        <f aca="false">IF($B1724="","",AP1724+AT1724/2)</f>
        <v/>
      </c>
      <c r="BA1724" s="35" t="str">
        <f aca="false">IF($B1724="","",AK1724+AN1724+AM1724/2+AO1724+AP1724+AQ1724+AR1724+AS1724+AT1724+AU1724+AV1724+AW1724)</f>
        <v/>
      </c>
      <c r="BB1724" s="35" t="str">
        <f aca="false">IF($B1724="","",MAX(0,AN1724-Settings!$C$16)*Settings!$C$17)</f>
        <v/>
      </c>
      <c r="BC1724" s="35" t="str">
        <f aca="false">IF($B1724="","",BA1724-BB1724)</f>
        <v/>
      </c>
      <c r="BD1724" s="35" t="str">
        <f aca="false">IF(OR($B1724="",$A1724=""),"",DAY(EOMONTH($A1724,0))-COUNTA($F1724:$AJ1724))</f>
        <v/>
      </c>
    </row>
    <row r="1725" customFormat="false" ht="15" hidden="false" customHeight="false" outlineLevel="0" collapsed="false">
      <c r="A1725" s="32"/>
      <c r="B1725" s="29"/>
      <c r="C1725" s="10" t="str">
        <f aca="false">IF($B1725="","",IFERROR(INDEX(M_name,MATCH($B1725,M_emp,0)),"Code not found"))</f>
        <v/>
      </c>
      <c r="D1725" s="10" t="str">
        <f aca="false">IF($B1725="","",IFERROR(INDEX(M_dept,MATCH($B1725,M_emp,0)),""))</f>
        <v/>
      </c>
      <c r="E1725" s="10" t="str">
        <f aca="false">IF($B1725="","",IFERROR(INDEX(M_loc,MATCH($B1725,M_emp,0)),""))</f>
        <v/>
      </c>
      <c r="F1725" s="33"/>
      <c r="G1725" s="33"/>
      <c r="H1725" s="33"/>
      <c r="I1725" s="33"/>
      <c r="J1725" s="33"/>
      <c r="K1725" s="33"/>
      <c r="L1725" s="33"/>
      <c r="M1725" s="33"/>
      <c r="N1725" s="33"/>
      <c r="O1725" s="33"/>
      <c r="P1725" s="33"/>
      <c r="Q1725" s="33"/>
      <c r="R1725" s="33"/>
      <c r="S1725" s="33"/>
      <c r="T1725" s="33"/>
      <c r="U1725" s="33"/>
      <c r="V1725" s="33"/>
      <c r="W1725" s="33"/>
      <c r="X1725" s="33"/>
      <c r="Y1725" s="33"/>
      <c r="Z1725" s="33"/>
      <c r="AA1725" s="33"/>
      <c r="AB1725" s="33"/>
      <c r="AC1725" s="33"/>
      <c r="AD1725" s="33"/>
      <c r="AE1725" s="33"/>
      <c r="AF1725" s="33"/>
      <c r="AG1725" s="33"/>
      <c r="AH1725" s="33"/>
      <c r="AI1725" s="33"/>
      <c r="AJ1725" s="33"/>
      <c r="AK1725" s="34" t="str">
        <f aca="false">IF($B1725="","",COUNTIF($F1725:$AJ1725,"P"))</f>
        <v/>
      </c>
      <c r="AL1725" s="34" t="str">
        <f aca="false">IF($B1725="","",COUNTIF($F1725:$AJ1725,"A"))</f>
        <v/>
      </c>
      <c r="AM1725" s="34" t="str">
        <f aca="false">IF($B1725="","",COUNTIF($F1725:$AJ1725,"HA"))</f>
        <v/>
      </c>
      <c r="AN1725" s="34" t="str">
        <f aca="false">IF($B1725="","",COUNTIF($F1725:$AJ1725,"L"))</f>
        <v/>
      </c>
      <c r="AO1725" s="34" t="str">
        <f aca="false">IF($B1725="","",COUNTIF($F1725:$AJ1725,"PL"))</f>
        <v/>
      </c>
      <c r="AP1725" s="34" t="str">
        <f aca="false">IF($B1725="","",COUNTIF($F1725:$AJ1725,"CL"))</f>
        <v/>
      </c>
      <c r="AQ1725" s="34" t="str">
        <f aca="false">IF($B1725="","",COUNTIF($F1725:$AJ1725,"SL"))</f>
        <v/>
      </c>
      <c r="AR1725" s="34" t="str">
        <f aca="false">IF($B1725="","",COUNTIF($F1725:$AJ1725,"CO"))</f>
        <v/>
      </c>
      <c r="AS1725" s="34" t="str">
        <f aca="false">IF($B1725="","",COUNTIF($F1725:$AJ1725,"HPL"))</f>
        <v/>
      </c>
      <c r="AT1725" s="34" t="str">
        <f aca="false">IF($B1725="","",COUNTIF($F1725:$AJ1725,"HCL"))</f>
        <v/>
      </c>
      <c r="AU1725" s="34" t="str">
        <f aca="false">IF($B1725="","",COUNTIF($F1725:$AJ1725,"WO"))</f>
        <v/>
      </c>
      <c r="AV1725" s="34" t="str">
        <f aca="false">IF($B1725="","",COUNTIF($F1725:$AJ1725,"PH"))</f>
        <v/>
      </c>
      <c r="AW1725" s="34" t="str">
        <f aca="false">IF($B1725="","",COUNTIF($F1725:$AJ1725,"TR"))</f>
        <v/>
      </c>
      <c r="AX1725" s="35" t="str">
        <f aca="false">IF($B1725="","",AO1725+AS1725/2)</f>
        <v/>
      </c>
      <c r="AY1725" s="35" t="str">
        <f aca="false">IF($B1725="","",AQ1725)</f>
        <v/>
      </c>
      <c r="AZ1725" s="35" t="str">
        <f aca="false">IF($B1725="","",AP1725+AT1725/2)</f>
        <v/>
      </c>
      <c r="BA1725" s="35" t="str">
        <f aca="false">IF($B1725="","",AK1725+AN1725+AM1725/2+AO1725+AP1725+AQ1725+AR1725+AS1725+AT1725+AU1725+AV1725+AW1725)</f>
        <v/>
      </c>
      <c r="BB1725" s="35" t="str">
        <f aca="false">IF($B1725="","",MAX(0,AN1725-Settings!$C$16)*Settings!$C$17)</f>
        <v/>
      </c>
      <c r="BC1725" s="35" t="str">
        <f aca="false">IF($B1725="","",BA1725-BB1725)</f>
        <v/>
      </c>
      <c r="BD1725" s="35" t="str">
        <f aca="false">IF(OR($B1725="",$A1725=""),"",DAY(EOMONTH($A1725,0))-COUNTA($F1725:$AJ1725))</f>
        <v/>
      </c>
    </row>
    <row r="1726" customFormat="false" ht="15" hidden="false" customHeight="false" outlineLevel="0" collapsed="false">
      <c r="A1726" s="32"/>
      <c r="B1726" s="29"/>
      <c r="C1726" s="10" t="str">
        <f aca="false">IF($B1726="","",IFERROR(INDEX(M_name,MATCH($B1726,M_emp,0)),"Code not found"))</f>
        <v/>
      </c>
      <c r="D1726" s="10" t="str">
        <f aca="false">IF($B1726="","",IFERROR(INDEX(M_dept,MATCH($B1726,M_emp,0)),""))</f>
        <v/>
      </c>
      <c r="E1726" s="10" t="str">
        <f aca="false">IF($B1726="","",IFERROR(INDEX(M_loc,MATCH($B1726,M_emp,0)),""))</f>
        <v/>
      </c>
      <c r="F1726" s="33"/>
      <c r="G1726" s="33"/>
      <c r="H1726" s="33"/>
      <c r="I1726" s="33"/>
      <c r="J1726" s="33"/>
      <c r="K1726" s="33"/>
      <c r="L1726" s="33"/>
      <c r="M1726" s="33"/>
      <c r="N1726" s="33"/>
      <c r="O1726" s="33"/>
      <c r="P1726" s="33"/>
      <c r="Q1726" s="33"/>
      <c r="R1726" s="33"/>
      <c r="S1726" s="33"/>
      <c r="T1726" s="33"/>
      <c r="U1726" s="33"/>
      <c r="V1726" s="33"/>
      <c r="W1726" s="33"/>
      <c r="X1726" s="33"/>
      <c r="Y1726" s="33"/>
      <c r="Z1726" s="33"/>
      <c r="AA1726" s="33"/>
      <c r="AB1726" s="33"/>
      <c r="AC1726" s="33"/>
      <c r="AD1726" s="33"/>
      <c r="AE1726" s="33"/>
      <c r="AF1726" s="33"/>
      <c r="AG1726" s="33"/>
      <c r="AH1726" s="33"/>
      <c r="AI1726" s="33"/>
      <c r="AJ1726" s="33"/>
      <c r="AK1726" s="34" t="str">
        <f aca="false">IF($B1726="","",COUNTIF($F1726:$AJ1726,"P"))</f>
        <v/>
      </c>
      <c r="AL1726" s="34" t="str">
        <f aca="false">IF($B1726="","",COUNTIF($F1726:$AJ1726,"A"))</f>
        <v/>
      </c>
      <c r="AM1726" s="34" t="str">
        <f aca="false">IF($B1726="","",COUNTIF($F1726:$AJ1726,"HA"))</f>
        <v/>
      </c>
      <c r="AN1726" s="34" t="str">
        <f aca="false">IF($B1726="","",COUNTIF($F1726:$AJ1726,"L"))</f>
        <v/>
      </c>
      <c r="AO1726" s="34" t="str">
        <f aca="false">IF($B1726="","",COUNTIF($F1726:$AJ1726,"PL"))</f>
        <v/>
      </c>
      <c r="AP1726" s="34" t="str">
        <f aca="false">IF($B1726="","",COUNTIF($F1726:$AJ1726,"CL"))</f>
        <v/>
      </c>
      <c r="AQ1726" s="34" t="str">
        <f aca="false">IF($B1726="","",COUNTIF($F1726:$AJ1726,"SL"))</f>
        <v/>
      </c>
      <c r="AR1726" s="34" t="str">
        <f aca="false">IF($B1726="","",COUNTIF($F1726:$AJ1726,"CO"))</f>
        <v/>
      </c>
      <c r="AS1726" s="34" t="str">
        <f aca="false">IF($B1726="","",COUNTIF($F1726:$AJ1726,"HPL"))</f>
        <v/>
      </c>
      <c r="AT1726" s="34" t="str">
        <f aca="false">IF($B1726="","",COUNTIF($F1726:$AJ1726,"HCL"))</f>
        <v/>
      </c>
      <c r="AU1726" s="34" t="str">
        <f aca="false">IF($B1726="","",COUNTIF($F1726:$AJ1726,"WO"))</f>
        <v/>
      </c>
      <c r="AV1726" s="34" t="str">
        <f aca="false">IF($B1726="","",COUNTIF($F1726:$AJ1726,"PH"))</f>
        <v/>
      </c>
      <c r="AW1726" s="34" t="str">
        <f aca="false">IF($B1726="","",COUNTIF($F1726:$AJ1726,"TR"))</f>
        <v/>
      </c>
      <c r="AX1726" s="35" t="str">
        <f aca="false">IF($B1726="","",AO1726+AS1726/2)</f>
        <v/>
      </c>
      <c r="AY1726" s="35" t="str">
        <f aca="false">IF($B1726="","",AQ1726)</f>
        <v/>
      </c>
      <c r="AZ1726" s="35" t="str">
        <f aca="false">IF($B1726="","",AP1726+AT1726/2)</f>
        <v/>
      </c>
      <c r="BA1726" s="35" t="str">
        <f aca="false">IF($B1726="","",AK1726+AN1726+AM1726/2+AO1726+AP1726+AQ1726+AR1726+AS1726+AT1726+AU1726+AV1726+AW1726)</f>
        <v/>
      </c>
      <c r="BB1726" s="35" t="str">
        <f aca="false">IF($B1726="","",MAX(0,AN1726-Settings!$C$16)*Settings!$C$17)</f>
        <v/>
      </c>
      <c r="BC1726" s="35" t="str">
        <f aca="false">IF($B1726="","",BA1726-BB1726)</f>
        <v/>
      </c>
      <c r="BD1726" s="35" t="str">
        <f aca="false">IF(OR($B1726="",$A1726=""),"",DAY(EOMONTH($A1726,0))-COUNTA($F1726:$AJ1726))</f>
        <v/>
      </c>
    </row>
    <row r="1727" customFormat="false" ht="15" hidden="false" customHeight="false" outlineLevel="0" collapsed="false">
      <c r="A1727" s="32"/>
      <c r="B1727" s="29"/>
      <c r="C1727" s="10" t="str">
        <f aca="false">IF($B1727="","",IFERROR(INDEX(M_name,MATCH($B1727,M_emp,0)),"Code not found"))</f>
        <v/>
      </c>
      <c r="D1727" s="10" t="str">
        <f aca="false">IF($B1727="","",IFERROR(INDEX(M_dept,MATCH($B1727,M_emp,0)),""))</f>
        <v/>
      </c>
      <c r="E1727" s="10" t="str">
        <f aca="false">IF($B1727="","",IFERROR(INDEX(M_loc,MATCH($B1727,M_emp,0)),""))</f>
        <v/>
      </c>
      <c r="F1727" s="33"/>
      <c r="G1727" s="33"/>
      <c r="H1727" s="33"/>
      <c r="I1727" s="33"/>
      <c r="J1727" s="33"/>
      <c r="K1727" s="33"/>
      <c r="L1727" s="33"/>
      <c r="M1727" s="33"/>
      <c r="N1727" s="33"/>
      <c r="O1727" s="33"/>
      <c r="P1727" s="33"/>
      <c r="Q1727" s="33"/>
      <c r="R1727" s="33"/>
      <c r="S1727" s="33"/>
      <c r="T1727" s="33"/>
      <c r="U1727" s="33"/>
      <c r="V1727" s="33"/>
      <c r="W1727" s="33"/>
      <c r="X1727" s="33"/>
      <c r="Y1727" s="33"/>
      <c r="Z1727" s="33"/>
      <c r="AA1727" s="33"/>
      <c r="AB1727" s="33"/>
      <c r="AC1727" s="33"/>
      <c r="AD1727" s="33"/>
      <c r="AE1727" s="33"/>
      <c r="AF1727" s="33"/>
      <c r="AG1727" s="33"/>
      <c r="AH1727" s="33"/>
      <c r="AI1727" s="33"/>
      <c r="AJ1727" s="33"/>
      <c r="AK1727" s="34" t="str">
        <f aca="false">IF($B1727="","",COUNTIF($F1727:$AJ1727,"P"))</f>
        <v/>
      </c>
      <c r="AL1727" s="34" t="str">
        <f aca="false">IF($B1727="","",COUNTIF($F1727:$AJ1727,"A"))</f>
        <v/>
      </c>
      <c r="AM1727" s="34" t="str">
        <f aca="false">IF($B1727="","",COUNTIF($F1727:$AJ1727,"HA"))</f>
        <v/>
      </c>
      <c r="AN1727" s="34" t="str">
        <f aca="false">IF($B1727="","",COUNTIF($F1727:$AJ1727,"L"))</f>
        <v/>
      </c>
      <c r="AO1727" s="34" t="str">
        <f aca="false">IF($B1727="","",COUNTIF($F1727:$AJ1727,"PL"))</f>
        <v/>
      </c>
      <c r="AP1727" s="34" t="str">
        <f aca="false">IF($B1727="","",COUNTIF($F1727:$AJ1727,"CL"))</f>
        <v/>
      </c>
      <c r="AQ1727" s="34" t="str">
        <f aca="false">IF($B1727="","",COUNTIF($F1727:$AJ1727,"SL"))</f>
        <v/>
      </c>
      <c r="AR1727" s="34" t="str">
        <f aca="false">IF($B1727="","",COUNTIF($F1727:$AJ1727,"CO"))</f>
        <v/>
      </c>
      <c r="AS1727" s="34" t="str">
        <f aca="false">IF($B1727="","",COUNTIF($F1727:$AJ1727,"HPL"))</f>
        <v/>
      </c>
      <c r="AT1727" s="34" t="str">
        <f aca="false">IF($B1727="","",COUNTIF($F1727:$AJ1727,"HCL"))</f>
        <v/>
      </c>
      <c r="AU1727" s="34" t="str">
        <f aca="false">IF($B1727="","",COUNTIF($F1727:$AJ1727,"WO"))</f>
        <v/>
      </c>
      <c r="AV1727" s="34" t="str">
        <f aca="false">IF($B1727="","",COUNTIF($F1727:$AJ1727,"PH"))</f>
        <v/>
      </c>
      <c r="AW1727" s="34" t="str">
        <f aca="false">IF($B1727="","",COUNTIF($F1727:$AJ1727,"TR"))</f>
        <v/>
      </c>
      <c r="AX1727" s="35" t="str">
        <f aca="false">IF($B1727="","",AO1727+AS1727/2)</f>
        <v/>
      </c>
      <c r="AY1727" s="35" t="str">
        <f aca="false">IF($B1727="","",AQ1727)</f>
        <v/>
      </c>
      <c r="AZ1727" s="35" t="str">
        <f aca="false">IF($B1727="","",AP1727+AT1727/2)</f>
        <v/>
      </c>
      <c r="BA1727" s="35" t="str">
        <f aca="false">IF($B1727="","",AK1727+AN1727+AM1727/2+AO1727+AP1727+AQ1727+AR1727+AS1727+AT1727+AU1727+AV1727+AW1727)</f>
        <v/>
      </c>
      <c r="BB1727" s="35" t="str">
        <f aca="false">IF($B1727="","",MAX(0,AN1727-Settings!$C$16)*Settings!$C$17)</f>
        <v/>
      </c>
      <c r="BC1727" s="35" t="str">
        <f aca="false">IF($B1727="","",BA1727-BB1727)</f>
        <v/>
      </c>
      <c r="BD1727" s="35" t="str">
        <f aca="false">IF(OR($B1727="",$A1727=""),"",DAY(EOMONTH($A1727,0))-COUNTA($F1727:$AJ1727))</f>
        <v/>
      </c>
    </row>
    <row r="1728" customFormat="false" ht="15" hidden="false" customHeight="false" outlineLevel="0" collapsed="false">
      <c r="A1728" s="32"/>
      <c r="B1728" s="29"/>
      <c r="C1728" s="10" t="str">
        <f aca="false">IF($B1728="","",IFERROR(INDEX(M_name,MATCH($B1728,M_emp,0)),"Code not found"))</f>
        <v/>
      </c>
      <c r="D1728" s="10" t="str">
        <f aca="false">IF($B1728="","",IFERROR(INDEX(M_dept,MATCH($B1728,M_emp,0)),""))</f>
        <v/>
      </c>
      <c r="E1728" s="10" t="str">
        <f aca="false">IF($B1728="","",IFERROR(INDEX(M_loc,MATCH($B1728,M_emp,0)),""))</f>
        <v/>
      </c>
      <c r="F1728" s="33"/>
      <c r="G1728" s="33"/>
      <c r="H1728" s="33"/>
      <c r="I1728" s="33"/>
      <c r="J1728" s="33"/>
      <c r="K1728" s="33"/>
      <c r="L1728" s="33"/>
      <c r="M1728" s="33"/>
      <c r="N1728" s="33"/>
      <c r="O1728" s="33"/>
      <c r="P1728" s="33"/>
      <c r="Q1728" s="33"/>
      <c r="R1728" s="33"/>
      <c r="S1728" s="33"/>
      <c r="T1728" s="33"/>
      <c r="U1728" s="33"/>
      <c r="V1728" s="33"/>
      <c r="W1728" s="33"/>
      <c r="X1728" s="33"/>
      <c r="Y1728" s="33"/>
      <c r="Z1728" s="33"/>
      <c r="AA1728" s="33"/>
      <c r="AB1728" s="33"/>
      <c r="AC1728" s="33"/>
      <c r="AD1728" s="33"/>
      <c r="AE1728" s="33"/>
      <c r="AF1728" s="33"/>
      <c r="AG1728" s="33"/>
      <c r="AH1728" s="33"/>
      <c r="AI1728" s="33"/>
      <c r="AJ1728" s="33"/>
      <c r="AK1728" s="34" t="str">
        <f aca="false">IF($B1728="","",COUNTIF($F1728:$AJ1728,"P"))</f>
        <v/>
      </c>
      <c r="AL1728" s="34" t="str">
        <f aca="false">IF($B1728="","",COUNTIF($F1728:$AJ1728,"A"))</f>
        <v/>
      </c>
      <c r="AM1728" s="34" t="str">
        <f aca="false">IF($B1728="","",COUNTIF($F1728:$AJ1728,"HA"))</f>
        <v/>
      </c>
      <c r="AN1728" s="34" t="str">
        <f aca="false">IF($B1728="","",COUNTIF($F1728:$AJ1728,"L"))</f>
        <v/>
      </c>
      <c r="AO1728" s="34" t="str">
        <f aca="false">IF($B1728="","",COUNTIF($F1728:$AJ1728,"PL"))</f>
        <v/>
      </c>
      <c r="AP1728" s="34" t="str">
        <f aca="false">IF($B1728="","",COUNTIF($F1728:$AJ1728,"CL"))</f>
        <v/>
      </c>
      <c r="AQ1728" s="34" t="str">
        <f aca="false">IF($B1728="","",COUNTIF($F1728:$AJ1728,"SL"))</f>
        <v/>
      </c>
      <c r="AR1728" s="34" t="str">
        <f aca="false">IF($B1728="","",COUNTIF($F1728:$AJ1728,"CO"))</f>
        <v/>
      </c>
      <c r="AS1728" s="34" t="str">
        <f aca="false">IF($B1728="","",COUNTIF($F1728:$AJ1728,"HPL"))</f>
        <v/>
      </c>
      <c r="AT1728" s="34" t="str">
        <f aca="false">IF($B1728="","",COUNTIF($F1728:$AJ1728,"HCL"))</f>
        <v/>
      </c>
      <c r="AU1728" s="34" t="str">
        <f aca="false">IF($B1728="","",COUNTIF($F1728:$AJ1728,"WO"))</f>
        <v/>
      </c>
      <c r="AV1728" s="34" t="str">
        <f aca="false">IF($B1728="","",COUNTIF($F1728:$AJ1728,"PH"))</f>
        <v/>
      </c>
      <c r="AW1728" s="34" t="str">
        <f aca="false">IF($B1728="","",COUNTIF($F1728:$AJ1728,"TR"))</f>
        <v/>
      </c>
      <c r="AX1728" s="35" t="str">
        <f aca="false">IF($B1728="","",AO1728+AS1728/2)</f>
        <v/>
      </c>
      <c r="AY1728" s="35" t="str">
        <f aca="false">IF($B1728="","",AQ1728)</f>
        <v/>
      </c>
      <c r="AZ1728" s="35" t="str">
        <f aca="false">IF($B1728="","",AP1728+AT1728/2)</f>
        <v/>
      </c>
      <c r="BA1728" s="35" t="str">
        <f aca="false">IF($B1728="","",AK1728+AN1728+AM1728/2+AO1728+AP1728+AQ1728+AR1728+AS1728+AT1728+AU1728+AV1728+AW1728)</f>
        <v/>
      </c>
      <c r="BB1728" s="35" t="str">
        <f aca="false">IF($B1728="","",MAX(0,AN1728-Settings!$C$16)*Settings!$C$17)</f>
        <v/>
      </c>
      <c r="BC1728" s="35" t="str">
        <f aca="false">IF($B1728="","",BA1728-BB1728)</f>
        <v/>
      </c>
      <c r="BD1728" s="35" t="str">
        <f aca="false">IF(OR($B1728="",$A1728=""),"",DAY(EOMONTH($A1728,0))-COUNTA($F1728:$AJ1728))</f>
        <v/>
      </c>
    </row>
    <row r="1729" customFormat="false" ht="15" hidden="false" customHeight="false" outlineLevel="0" collapsed="false">
      <c r="A1729" s="32"/>
      <c r="B1729" s="29"/>
      <c r="C1729" s="10" t="str">
        <f aca="false">IF($B1729="","",IFERROR(INDEX(M_name,MATCH($B1729,M_emp,0)),"Code not found"))</f>
        <v/>
      </c>
      <c r="D1729" s="10" t="str">
        <f aca="false">IF($B1729="","",IFERROR(INDEX(M_dept,MATCH($B1729,M_emp,0)),""))</f>
        <v/>
      </c>
      <c r="E1729" s="10" t="str">
        <f aca="false">IF($B1729="","",IFERROR(INDEX(M_loc,MATCH($B1729,M_emp,0)),""))</f>
        <v/>
      </c>
      <c r="F1729" s="33"/>
      <c r="G1729" s="33"/>
      <c r="H1729" s="33"/>
      <c r="I1729" s="33"/>
      <c r="J1729" s="33"/>
      <c r="K1729" s="33"/>
      <c r="L1729" s="33"/>
      <c r="M1729" s="33"/>
      <c r="N1729" s="33"/>
      <c r="O1729" s="33"/>
      <c r="P1729" s="33"/>
      <c r="Q1729" s="33"/>
      <c r="R1729" s="33"/>
      <c r="S1729" s="33"/>
      <c r="T1729" s="33"/>
      <c r="U1729" s="33"/>
      <c r="V1729" s="33"/>
      <c r="W1729" s="33"/>
      <c r="X1729" s="33"/>
      <c r="Y1729" s="33"/>
      <c r="Z1729" s="33"/>
      <c r="AA1729" s="33"/>
      <c r="AB1729" s="33"/>
      <c r="AC1729" s="33"/>
      <c r="AD1729" s="33"/>
      <c r="AE1729" s="33"/>
      <c r="AF1729" s="33"/>
      <c r="AG1729" s="33"/>
      <c r="AH1729" s="33"/>
      <c r="AI1729" s="33"/>
      <c r="AJ1729" s="33"/>
      <c r="AK1729" s="34" t="str">
        <f aca="false">IF($B1729="","",COUNTIF($F1729:$AJ1729,"P"))</f>
        <v/>
      </c>
      <c r="AL1729" s="34" t="str">
        <f aca="false">IF($B1729="","",COUNTIF($F1729:$AJ1729,"A"))</f>
        <v/>
      </c>
      <c r="AM1729" s="34" t="str">
        <f aca="false">IF($B1729="","",COUNTIF($F1729:$AJ1729,"HA"))</f>
        <v/>
      </c>
      <c r="AN1729" s="34" t="str">
        <f aca="false">IF($B1729="","",COUNTIF($F1729:$AJ1729,"L"))</f>
        <v/>
      </c>
      <c r="AO1729" s="34" t="str">
        <f aca="false">IF($B1729="","",COUNTIF($F1729:$AJ1729,"PL"))</f>
        <v/>
      </c>
      <c r="AP1729" s="34" t="str">
        <f aca="false">IF($B1729="","",COUNTIF($F1729:$AJ1729,"CL"))</f>
        <v/>
      </c>
      <c r="AQ1729" s="34" t="str">
        <f aca="false">IF($B1729="","",COUNTIF($F1729:$AJ1729,"SL"))</f>
        <v/>
      </c>
      <c r="AR1729" s="34" t="str">
        <f aca="false">IF($B1729="","",COUNTIF($F1729:$AJ1729,"CO"))</f>
        <v/>
      </c>
      <c r="AS1729" s="34" t="str">
        <f aca="false">IF($B1729="","",COUNTIF($F1729:$AJ1729,"HPL"))</f>
        <v/>
      </c>
      <c r="AT1729" s="34" t="str">
        <f aca="false">IF($B1729="","",COUNTIF($F1729:$AJ1729,"HCL"))</f>
        <v/>
      </c>
      <c r="AU1729" s="34" t="str">
        <f aca="false">IF($B1729="","",COUNTIF($F1729:$AJ1729,"WO"))</f>
        <v/>
      </c>
      <c r="AV1729" s="34" t="str">
        <f aca="false">IF($B1729="","",COUNTIF($F1729:$AJ1729,"PH"))</f>
        <v/>
      </c>
      <c r="AW1729" s="34" t="str">
        <f aca="false">IF($B1729="","",COUNTIF($F1729:$AJ1729,"TR"))</f>
        <v/>
      </c>
      <c r="AX1729" s="35" t="str">
        <f aca="false">IF($B1729="","",AO1729+AS1729/2)</f>
        <v/>
      </c>
      <c r="AY1729" s="35" t="str">
        <f aca="false">IF($B1729="","",AQ1729)</f>
        <v/>
      </c>
      <c r="AZ1729" s="35" t="str">
        <f aca="false">IF($B1729="","",AP1729+AT1729/2)</f>
        <v/>
      </c>
      <c r="BA1729" s="35" t="str">
        <f aca="false">IF($B1729="","",AK1729+AN1729+AM1729/2+AO1729+AP1729+AQ1729+AR1729+AS1729+AT1729+AU1729+AV1729+AW1729)</f>
        <v/>
      </c>
      <c r="BB1729" s="35" t="str">
        <f aca="false">IF($B1729="","",MAX(0,AN1729-Settings!$C$16)*Settings!$C$17)</f>
        <v/>
      </c>
      <c r="BC1729" s="35" t="str">
        <f aca="false">IF($B1729="","",BA1729-BB1729)</f>
        <v/>
      </c>
      <c r="BD1729" s="35" t="str">
        <f aca="false">IF(OR($B1729="",$A1729=""),"",DAY(EOMONTH($A1729,0))-COUNTA($F1729:$AJ1729))</f>
        <v/>
      </c>
    </row>
    <row r="1730" customFormat="false" ht="15" hidden="false" customHeight="false" outlineLevel="0" collapsed="false">
      <c r="A1730" s="32"/>
      <c r="B1730" s="29"/>
      <c r="C1730" s="10" t="str">
        <f aca="false">IF($B1730="","",IFERROR(INDEX(M_name,MATCH($B1730,M_emp,0)),"Code not found"))</f>
        <v/>
      </c>
      <c r="D1730" s="10" t="str">
        <f aca="false">IF($B1730="","",IFERROR(INDEX(M_dept,MATCH($B1730,M_emp,0)),""))</f>
        <v/>
      </c>
      <c r="E1730" s="10" t="str">
        <f aca="false">IF($B1730="","",IFERROR(INDEX(M_loc,MATCH($B1730,M_emp,0)),""))</f>
        <v/>
      </c>
      <c r="F1730" s="33"/>
      <c r="G1730" s="33"/>
      <c r="H1730" s="33"/>
      <c r="I1730" s="33"/>
      <c r="J1730" s="33"/>
      <c r="K1730" s="33"/>
      <c r="L1730" s="33"/>
      <c r="M1730" s="33"/>
      <c r="N1730" s="33"/>
      <c r="O1730" s="33"/>
      <c r="P1730" s="33"/>
      <c r="Q1730" s="33"/>
      <c r="R1730" s="33"/>
      <c r="S1730" s="33"/>
      <c r="T1730" s="33"/>
      <c r="U1730" s="33"/>
      <c r="V1730" s="33"/>
      <c r="W1730" s="33"/>
      <c r="X1730" s="33"/>
      <c r="Y1730" s="33"/>
      <c r="Z1730" s="33"/>
      <c r="AA1730" s="33"/>
      <c r="AB1730" s="33"/>
      <c r="AC1730" s="33"/>
      <c r="AD1730" s="33"/>
      <c r="AE1730" s="33"/>
      <c r="AF1730" s="33"/>
      <c r="AG1730" s="33"/>
      <c r="AH1730" s="33"/>
      <c r="AI1730" s="33"/>
      <c r="AJ1730" s="33"/>
      <c r="AK1730" s="34" t="str">
        <f aca="false">IF($B1730="","",COUNTIF($F1730:$AJ1730,"P"))</f>
        <v/>
      </c>
      <c r="AL1730" s="34" t="str">
        <f aca="false">IF($B1730="","",COUNTIF($F1730:$AJ1730,"A"))</f>
        <v/>
      </c>
      <c r="AM1730" s="34" t="str">
        <f aca="false">IF($B1730="","",COUNTIF($F1730:$AJ1730,"HA"))</f>
        <v/>
      </c>
      <c r="AN1730" s="34" t="str">
        <f aca="false">IF($B1730="","",COUNTIF($F1730:$AJ1730,"L"))</f>
        <v/>
      </c>
      <c r="AO1730" s="34" t="str">
        <f aca="false">IF($B1730="","",COUNTIF($F1730:$AJ1730,"PL"))</f>
        <v/>
      </c>
      <c r="AP1730" s="34" t="str">
        <f aca="false">IF($B1730="","",COUNTIF($F1730:$AJ1730,"CL"))</f>
        <v/>
      </c>
      <c r="AQ1730" s="34" t="str">
        <f aca="false">IF($B1730="","",COUNTIF($F1730:$AJ1730,"SL"))</f>
        <v/>
      </c>
      <c r="AR1730" s="34" t="str">
        <f aca="false">IF($B1730="","",COUNTIF($F1730:$AJ1730,"CO"))</f>
        <v/>
      </c>
      <c r="AS1730" s="34" t="str">
        <f aca="false">IF($B1730="","",COUNTIF($F1730:$AJ1730,"HPL"))</f>
        <v/>
      </c>
      <c r="AT1730" s="34" t="str">
        <f aca="false">IF($B1730="","",COUNTIF($F1730:$AJ1730,"HCL"))</f>
        <v/>
      </c>
      <c r="AU1730" s="34" t="str">
        <f aca="false">IF($B1730="","",COUNTIF($F1730:$AJ1730,"WO"))</f>
        <v/>
      </c>
      <c r="AV1730" s="34" t="str">
        <f aca="false">IF($B1730="","",COUNTIF($F1730:$AJ1730,"PH"))</f>
        <v/>
      </c>
      <c r="AW1730" s="34" t="str">
        <f aca="false">IF($B1730="","",COUNTIF($F1730:$AJ1730,"TR"))</f>
        <v/>
      </c>
      <c r="AX1730" s="35" t="str">
        <f aca="false">IF($B1730="","",AO1730+AS1730/2)</f>
        <v/>
      </c>
      <c r="AY1730" s="35" t="str">
        <f aca="false">IF($B1730="","",AQ1730)</f>
        <v/>
      </c>
      <c r="AZ1730" s="35" t="str">
        <f aca="false">IF($B1730="","",AP1730+AT1730/2)</f>
        <v/>
      </c>
      <c r="BA1730" s="35" t="str">
        <f aca="false">IF($B1730="","",AK1730+AN1730+AM1730/2+AO1730+AP1730+AQ1730+AR1730+AS1730+AT1730+AU1730+AV1730+AW1730)</f>
        <v/>
      </c>
      <c r="BB1730" s="35" t="str">
        <f aca="false">IF($B1730="","",MAX(0,AN1730-Settings!$C$16)*Settings!$C$17)</f>
        <v/>
      </c>
      <c r="BC1730" s="35" t="str">
        <f aca="false">IF($B1730="","",BA1730-BB1730)</f>
        <v/>
      </c>
      <c r="BD1730" s="35" t="str">
        <f aca="false">IF(OR($B1730="",$A1730=""),"",DAY(EOMONTH($A1730,0))-COUNTA($F1730:$AJ1730))</f>
        <v/>
      </c>
    </row>
    <row r="1731" customFormat="false" ht="15" hidden="false" customHeight="false" outlineLevel="0" collapsed="false">
      <c r="A1731" s="32"/>
      <c r="B1731" s="29"/>
      <c r="C1731" s="10" t="str">
        <f aca="false">IF($B1731="","",IFERROR(INDEX(M_name,MATCH($B1731,M_emp,0)),"Code not found"))</f>
        <v/>
      </c>
      <c r="D1731" s="10" t="str">
        <f aca="false">IF($B1731="","",IFERROR(INDEX(M_dept,MATCH($B1731,M_emp,0)),""))</f>
        <v/>
      </c>
      <c r="E1731" s="10" t="str">
        <f aca="false">IF($B1731="","",IFERROR(INDEX(M_loc,MATCH($B1731,M_emp,0)),""))</f>
        <v/>
      </c>
      <c r="F1731" s="33"/>
      <c r="G1731" s="33"/>
      <c r="H1731" s="33"/>
      <c r="I1731" s="33"/>
      <c r="J1731" s="33"/>
      <c r="K1731" s="33"/>
      <c r="L1731" s="33"/>
      <c r="M1731" s="33"/>
      <c r="N1731" s="33"/>
      <c r="O1731" s="33"/>
      <c r="P1731" s="33"/>
      <c r="Q1731" s="33"/>
      <c r="R1731" s="33"/>
      <c r="S1731" s="33"/>
      <c r="T1731" s="33"/>
      <c r="U1731" s="33"/>
      <c r="V1731" s="33"/>
      <c r="W1731" s="33"/>
      <c r="X1731" s="33"/>
      <c r="Y1731" s="33"/>
      <c r="Z1731" s="33"/>
      <c r="AA1731" s="33"/>
      <c r="AB1731" s="33"/>
      <c r="AC1731" s="33"/>
      <c r="AD1731" s="33"/>
      <c r="AE1731" s="33"/>
      <c r="AF1731" s="33"/>
      <c r="AG1731" s="33"/>
      <c r="AH1731" s="33"/>
      <c r="AI1731" s="33"/>
      <c r="AJ1731" s="33"/>
      <c r="AK1731" s="34" t="str">
        <f aca="false">IF($B1731="","",COUNTIF($F1731:$AJ1731,"P"))</f>
        <v/>
      </c>
      <c r="AL1731" s="34" t="str">
        <f aca="false">IF($B1731="","",COUNTIF($F1731:$AJ1731,"A"))</f>
        <v/>
      </c>
      <c r="AM1731" s="34" t="str">
        <f aca="false">IF($B1731="","",COUNTIF($F1731:$AJ1731,"HA"))</f>
        <v/>
      </c>
      <c r="AN1731" s="34" t="str">
        <f aca="false">IF($B1731="","",COUNTIF($F1731:$AJ1731,"L"))</f>
        <v/>
      </c>
      <c r="AO1731" s="34" t="str">
        <f aca="false">IF($B1731="","",COUNTIF($F1731:$AJ1731,"PL"))</f>
        <v/>
      </c>
      <c r="AP1731" s="34" t="str">
        <f aca="false">IF($B1731="","",COUNTIF($F1731:$AJ1731,"CL"))</f>
        <v/>
      </c>
      <c r="AQ1731" s="34" t="str">
        <f aca="false">IF($B1731="","",COUNTIF($F1731:$AJ1731,"SL"))</f>
        <v/>
      </c>
      <c r="AR1731" s="34" t="str">
        <f aca="false">IF($B1731="","",COUNTIF($F1731:$AJ1731,"CO"))</f>
        <v/>
      </c>
      <c r="AS1731" s="34" t="str">
        <f aca="false">IF($B1731="","",COUNTIF($F1731:$AJ1731,"HPL"))</f>
        <v/>
      </c>
      <c r="AT1731" s="34" t="str">
        <f aca="false">IF($B1731="","",COUNTIF($F1731:$AJ1731,"HCL"))</f>
        <v/>
      </c>
      <c r="AU1731" s="34" t="str">
        <f aca="false">IF($B1731="","",COUNTIF($F1731:$AJ1731,"WO"))</f>
        <v/>
      </c>
      <c r="AV1731" s="34" t="str">
        <f aca="false">IF($B1731="","",COUNTIF($F1731:$AJ1731,"PH"))</f>
        <v/>
      </c>
      <c r="AW1731" s="34" t="str">
        <f aca="false">IF($B1731="","",COUNTIF($F1731:$AJ1731,"TR"))</f>
        <v/>
      </c>
      <c r="AX1731" s="35" t="str">
        <f aca="false">IF($B1731="","",AO1731+AS1731/2)</f>
        <v/>
      </c>
      <c r="AY1731" s="35" t="str">
        <f aca="false">IF($B1731="","",AQ1731)</f>
        <v/>
      </c>
      <c r="AZ1731" s="35" t="str">
        <f aca="false">IF($B1731="","",AP1731+AT1731/2)</f>
        <v/>
      </c>
      <c r="BA1731" s="35" t="str">
        <f aca="false">IF($B1731="","",AK1731+AN1731+AM1731/2+AO1731+AP1731+AQ1731+AR1731+AS1731+AT1731+AU1731+AV1731+AW1731)</f>
        <v/>
      </c>
      <c r="BB1731" s="35" t="str">
        <f aca="false">IF($B1731="","",MAX(0,AN1731-Settings!$C$16)*Settings!$C$17)</f>
        <v/>
      </c>
      <c r="BC1731" s="35" t="str">
        <f aca="false">IF($B1731="","",BA1731-BB1731)</f>
        <v/>
      </c>
      <c r="BD1731" s="35" t="str">
        <f aca="false">IF(OR($B1731="",$A1731=""),"",DAY(EOMONTH($A1731,0))-COUNTA($F1731:$AJ1731))</f>
        <v/>
      </c>
    </row>
    <row r="1732" customFormat="false" ht="15" hidden="false" customHeight="false" outlineLevel="0" collapsed="false">
      <c r="A1732" s="32"/>
      <c r="B1732" s="29"/>
      <c r="C1732" s="10" t="str">
        <f aca="false">IF($B1732="","",IFERROR(INDEX(M_name,MATCH($B1732,M_emp,0)),"Code not found"))</f>
        <v/>
      </c>
      <c r="D1732" s="10" t="str">
        <f aca="false">IF($B1732="","",IFERROR(INDEX(M_dept,MATCH($B1732,M_emp,0)),""))</f>
        <v/>
      </c>
      <c r="E1732" s="10" t="str">
        <f aca="false">IF($B1732="","",IFERROR(INDEX(M_loc,MATCH($B1732,M_emp,0)),""))</f>
        <v/>
      </c>
      <c r="F1732" s="33"/>
      <c r="G1732" s="33"/>
      <c r="H1732" s="33"/>
      <c r="I1732" s="33"/>
      <c r="J1732" s="33"/>
      <c r="K1732" s="33"/>
      <c r="L1732" s="33"/>
      <c r="M1732" s="33"/>
      <c r="N1732" s="33"/>
      <c r="O1732" s="33"/>
      <c r="P1732" s="33"/>
      <c r="Q1732" s="33"/>
      <c r="R1732" s="33"/>
      <c r="S1732" s="33"/>
      <c r="T1732" s="33"/>
      <c r="U1732" s="33"/>
      <c r="V1732" s="33"/>
      <c r="W1732" s="33"/>
      <c r="X1732" s="33"/>
      <c r="Y1732" s="33"/>
      <c r="Z1732" s="33"/>
      <c r="AA1732" s="33"/>
      <c r="AB1732" s="33"/>
      <c r="AC1732" s="33"/>
      <c r="AD1732" s="33"/>
      <c r="AE1732" s="33"/>
      <c r="AF1732" s="33"/>
      <c r="AG1732" s="33"/>
      <c r="AH1732" s="33"/>
      <c r="AI1732" s="33"/>
      <c r="AJ1732" s="33"/>
      <c r="AK1732" s="34" t="str">
        <f aca="false">IF($B1732="","",COUNTIF($F1732:$AJ1732,"P"))</f>
        <v/>
      </c>
      <c r="AL1732" s="34" t="str">
        <f aca="false">IF($B1732="","",COUNTIF($F1732:$AJ1732,"A"))</f>
        <v/>
      </c>
      <c r="AM1732" s="34" t="str">
        <f aca="false">IF($B1732="","",COUNTIF($F1732:$AJ1732,"HA"))</f>
        <v/>
      </c>
      <c r="AN1732" s="34" t="str">
        <f aca="false">IF($B1732="","",COUNTIF($F1732:$AJ1732,"L"))</f>
        <v/>
      </c>
      <c r="AO1732" s="34" t="str">
        <f aca="false">IF($B1732="","",COUNTIF($F1732:$AJ1732,"PL"))</f>
        <v/>
      </c>
      <c r="AP1732" s="34" t="str">
        <f aca="false">IF($B1732="","",COUNTIF($F1732:$AJ1732,"CL"))</f>
        <v/>
      </c>
      <c r="AQ1732" s="34" t="str">
        <f aca="false">IF($B1732="","",COUNTIF($F1732:$AJ1732,"SL"))</f>
        <v/>
      </c>
      <c r="AR1732" s="34" t="str">
        <f aca="false">IF($B1732="","",COUNTIF($F1732:$AJ1732,"CO"))</f>
        <v/>
      </c>
      <c r="AS1732" s="34" t="str">
        <f aca="false">IF($B1732="","",COUNTIF($F1732:$AJ1732,"HPL"))</f>
        <v/>
      </c>
      <c r="AT1732" s="34" t="str">
        <f aca="false">IF($B1732="","",COUNTIF($F1732:$AJ1732,"HCL"))</f>
        <v/>
      </c>
      <c r="AU1732" s="34" t="str">
        <f aca="false">IF($B1732="","",COUNTIF($F1732:$AJ1732,"WO"))</f>
        <v/>
      </c>
      <c r="AV1732" s="34" t="str">
        <f aca="false">IF($B1732="","",COUNTIF($F1732:$AJ1732,"PH"))</f>
        <v/>
      </c>
      <c r="AW1732" s="34" t="str">
        <f aca="false">IF($B1732="","",COUNTIF($F1732:$AJ1732,"TR"))</f>
        <v/>
      </c>
      <c r="AX1732" s="35" t="str">
        <f aca="false">IF($B1732="","",AO1732+AS1732/2)</f>
        <v/>
      </c>
      <c r="AY1732" s="35" t="str">
        <f aca="false">IF($B1732="","",AQ1732)</f>
        <v/>
      </c>
      <c r="AZ1732" s="35" t="str">
        <f aca="false">IF($B1732="","",AP1732+AT1732/2)</f>
        <v/>
      </c>
      <c r="BA1732" s="35" t="str">
        <f aca="false">IF($B1732="","",AK1732+AN1732+AM1732/2+AO1732+AP1732+AQ1732+AR1732+AS1732+AT1732+AU1732+AV1732+AW1732)</f>
        <v/>
      </c>
      <c r="BB1732" s="35" t="str">
        <f aca="false">IF($B1732="","",MAX(0,AN1732-Settings!$C$16)*Settings!$C$17)</f>
        <v/>
      </c>
      <c r="BC1732" s="35" t="str">
        <f aca="false">IF($B1732="","",BA1732-BB1732)</f>
        <v/>
      </c>
      <c r="BD1732" s="35" t="str">
        <f aca="false">IF(OR($B1732="",$A1732=""),"",DAY(EOMONTH($A1732,0))-COUNTA($F1732:$AJ1732))</f>
        <v/>
      </c>
    </row>
    <row r="1733" customFormat="false" ht="15" hidden="false" customHeight="false" outlineLevel="0" collapsed="false">
      <c r="A1733" s="32"/>
      <c r="B1733" s="29"/>
      <c r="C1733" s="10" t="str">
        <f aca="false">IF($B1733="","",IFERROR(INDEX(M_name,MATCH($B1733,M_emp,0)),"Code not found"))</f>
        <v/>
      </c>
      <c r="D1733" s="10" t="str">
        <f aca="false">IF($B1733="","",IFERROR(INDEX(M_dept,MATCH($B1733,M_emp,0)),""))</f>
        <v/>
      </c>
      <c r="E1733" s="10" t="str">
        <f aca="false">IF($B1733="","",IFERROR(INDEX(M_loc,MATCH($B1733,M_emp,0)),""))</f>
        <v/>
      </c>
      <c r="F1733" s="33"/>
      <c r="G1733" s="33"/>
      <c r="H1733" s="33"/>
      <c r="I1733" s="33"/>
      <c r="J1733" s="33"/>
      <c r="K1733" s="33"/>
      <c r="L1733" s="33"/>
      <c r="M1733" s="33"/>
      <c r="N1733" s="33"/>
      <c r="O1733" s="33"/>
      <c r="P1733" s="33"/>
      <c r="Q1733" s="33"/>
      <c r="R1733" s="33"/>
      <c r="S1733" s="33"/>
      <c r="T1733" s="33"/>
      <c r="U1733" s="33"/>
      <c r="V1733" s="33"/>
      <c r="W1733" s="33"/>
      <c r="X1733" s="33"/>
      <c r="Y1733" s="33"/>
      <c r="Z1733" s="33"/>
      <c r="AA1733" s="33"/>
      <c r="AB1733" s="33"/>
      <c r="AC1733" s="33"/>
      <c r="AD1733" s="33"/>
      <c r="AE1733" s="33"/>
      <c r="AF1733" s="33"/>
      <c r="AG1733" s="33"/>
      <c r="AH1733" s="33"/>
      <c r="AI1733" s="33"/>
      <c r="AJ1733" s="33"/>
      <c r="AK1733" s="34" t="str">
        <f aca="false">IF($B1733="","",COUNTIF($F1733:$AJ1733,"P"))</f>
        <v/>
      </c>
      <c r="AL1733" s="34" t="str">
        <f aca="false">IF($B1733="","",COUNTIF($F1733:$AJ1733,"A"))</f>
        <v/>
      </c>
      <c r="AM1733" s="34" t="str">
        <f aca="false">IF($B1733="","",COUNTIF($F1733:$AJ1733,"HA"))</f>
        <v/>
      </c>
      <c r="AN1733" s="34" t="str">
        <f aca="false">IF($B1733="","",COUNTIF($F1733:$AJ1733,"L"))</f>
        <v/>
      </c>
      <c r="AO1733" s="34" t="str">
        <f aca="false">IF($B1733="","",COUNTIF($F1733:$AJ1733,"PL"))</f>
        <v/>
      </c>
      <c r="AP1733" s="34" t="str">
        <f aca="false">IF($B1733="","",COUNTIF($F1733:$AJ1733,"CL"))</f>
        <v/>
      </c>
      <c r="AQ1733" s="34" t="str">
        <f aca="false">IF($B1733="","",COUNTIF($F1733:$AJ1733,"SL"))</f>
        <v/>
      </c>
      <c r="AR1733" s="34" t="str">
        <f aca="false">IF($B1733="","",COUNTIF($F1733:$AJ1733,"CO"))</f>
        <v/>
      </c>
      <c r="AS1733" s="34" t="str">
        <f aca="false">IF($B1733="","",COUNTIF($F1733:$AJ1733,"HPL"))</f>
        <v/>
      </c>
      <c r="AT1733" s="34" t="str">
        <f aca="false">IF($B1733="","",COUNTIF($F1733:$AJ1733,"HCL"))</f>
        <v/>
      </c>
      <c r="AU1733" s="34" t="str">
        <f aca="false">IF($B1733="","",COUNTIF($F1733:$AJ1733,"WO"))</f>
        <v/>
      </c>
      <c r="AV1733" s="34" t="str">
        <f aca="false">IF($B1733="","",COUNTIF($F1733:$AJ1733,"PH"))</f>
        <v/>
      </c>
      <c r="AW1733" s="34" t="str">
        <f aca="false">IF($B1733="","",COUNTIF($F1733:$AJ1733,"TR"))</f>
        <v/>
      </c>
      <c r="AX1733" s="35" t="str">
        <f aca="false">IF($B1733="","",AO1733+AS1733/2)</f>
        <v/>
      </c>
      <c r="AY1733" s="35" t="str">
        <f aca="false">IF($B1733="","",AQ1733)</f>
        <v/>
      </c>
      <c r="AZ1733" s="35" t="str">
        <f aca="false">IF($B1733="","",AP1733+AT1733/2)</f>
        <v/>
      </c>
      <c r="BA1733" s="35" t="str">
        <f aca="false">IF($B1733="","",AK1733+AN1733+AM1733/2+AO1733+AP1733+AQ1733+AR1733+AS1733+AT1733+AU1733+AV1733+AW1733)</f>
        <v/>
      </c>
      <c r="BB1733" s="35" t="str">
        <f aca="false">IF($B1733="","",MAX(0,AN1733-Settings!$C$16)*Settings!$C$17)</f>
        <v/>
      </c>
      <c r="BC1733" s="35" t="str">
        <f aca="false">IF($B1733="","",BA1733-BB1733)</f>
        <v/>
      </c>
      <c r="BD1733" s="35" t="str">
        <f aca="false">IF(OR($B1733="",$A1733=""),"",DAY(EOMONTH($A1733,0))-COUNTA($F1733:$AJ1733))</f>
        <v/>
      </c>
    </row>
    <row r="1734" customFormat="false" ht="15" hidden="false" customHeight="false" outlineLevel="0" collapsed="false">
      <c r="A1734" s="32"/>
      <c r="B1734" s="29"/>
      <c r="C1734" s="10" t="str">
        <f aca="false">IF($B1734="","",IFERROR(INDEX(M_name,MATCH($B1734,M_emp,0)),"Code not found"))</f>
        <v/>
      </c>
      <c r="D1734" s="10" t="str">
        <f aca="false">IF($B1734="","",IFERROR(INDEX(M_dept,MATCH($B1734,M_emp,0)),""))</f>
        <v/>
      </c>
      <c r="E1734" s="10" t="str">
        <f aca="false">IF($B1734="","",IFERROR(INDEX(M_loc,MATCH($B1734,M_emp,0)),""))</f>
        <v/>
      </c>
      <c r="F1734" s="33"/>
      <c r="G1734" s="33"/>
      <c r="H1734" s="33"/>
      <c r="I1734" s="33"/>
      <c r="J1734" s="33"/>
      <c r="K1734" s="33"/>
      <c r="L1734" s="33"/>
      <c r="M1734" s="33"/>
      <c r="N1734" s="33"/>
      <c r="O1734" s="33"/>
      <c r="P1734" s="33"/>
      <c r="Q1734" s="33"/>
      <c r="R1734" s="33"/>
      <c r="S1734" s="33"/>
      <c r="T1734" s="33"/>
      <c r="U1734" s="33"/>
      <c r="V1734" s="33"/>
      <c r="W1734" s="33"/>
      <c r="X1734" s="33"/>
      <c r="Y1734" s="33"/>
      <c r="Z1734" s="33"/>
      <c r="AA1734" s="33"/>
      <c r="AB1734" s="33"/>
      <c r="AC1734" s="33"/>
      <c r="AD1734" s="33"/>
      <c r="AE1734" s="33"/>
      <c r="AF1734" s="33"/>
      <c r="AG1734" s="33"/>
      <c r="AH1734" s="33"/>
      <c r="AI1734" s="33"/>
      <c r="AJ1734" s="33"/>
      <c r="AK1734" s="34" t="str">
        <f aca="false">IF($B1734="","",COUNTIF($F1734:$AJ1734,"P"))</f>
        <v/>
      </c>
      <c r="AL1734" s="34" t="str">
        <f aca="false">IF($B1734="","",COUNTIF($F1734:$AJ1734,"A"))</f>
        <v/>
      </c>
      <c r="AM1734" s="34" t="str">
        <f aca="false">IF($B1734="","",COUNTIF($F1734:$AJ1734,"HA"))</f>
        <v/>
      </c>
      <c r="AN1734" s="34" t="str">
        <f aca="false">IF($B1734="","",COUNTIF($F1734:$AJ1734,"L"))</f>
        <v/>
      </c>
      <c r="AO1734" s="34" t="str">
        <f aca="false">IF($B1734="","",COUNTIF($F1734:$AJ1734,"PL"))</f>
        <v/>
      </c>
      <c r="AP1734" s="34" t="str">
        <f aca="false">IF($B1734="","",COUNTIF($F1734:$AJ1734,"CL"))</f>
        <v/>
      </c>
      <c r="AQ1734" s="34" t="str">
        <f aca="false">IF($B1734="","",COUNTIF($F1734:$AJ1734,"SL"))</f>
        <v/>
      </c>
      <c r="AR1734" s="34" t="str">
        <f aca="false">IF($B1734="","",COUNTIF($F1734:$AJ1734,"CO"))</f>
        <v/>
      </c>
      <c r="AS1734" s="34" t="str">
        <f aca="false">IF($B1734="","",COUNTIF($F1734:$AJ1734,"HPL"))</f>
        <v/>
      </c>
      <c r="AT1734" s="34" t="str">
        <f aca="false">IF($B1734="","",COUNTIF($F1734:$AJ1734,"HCL"))</f>
        <v/>
      </c>
      <c r="AU1734" s="34" t="str">
        <f aca="false">IF($B1734="","",COUNTIF($F1734:$AJ1734,"WO"))</f>
        <v/>
      </c>
      <c r="AV1734" s="34" t="str">
        <f aca="false">IF($B1734="","",COUNTIF($F1734:$AJ1734,"PH"))</f>
        <v/>
      </c>
      <c r="AW1734" s="34" t="str">
        <f aca="false">IF($B1734="","",COUNTIF($F1734:$AJ1734,"TR"))</f>
        <v/>
      </c>
      <c r="AX1734" s="35" t="str">
        <f aca="false">IF($B1734="","",AO1734+AS1734/2)</f>
        <v/>
      </c>
      <c r="AY1734" s="35" t="str">
        <f aca="false">IF($B1734="","",AQ1734)</f>
        <v/>
      </c>
      <c r="AZ1734" s="35" t="str">
        <f aca="false">IF($B1734="","",AP1734+AT1734/2)</f>
        <v/>
      </c>
      <c r="BA1734" s="35" t="str">
        <f aca="false">IF($B1734="","",AK1734+AN1734+AM1734/2+AO1734+AP1734+AQ1734+AR1734+AS1734+AT1734+AU1734+AV1734+AW1734)</f>
        <v/>
      </c>
      <c r="BB1734" s="35" t="str">
        <f aca="false">IF($B1734="","",MAX(0,AN1734-Settings!$C$16)*Settings!$C$17)</f>
        <v/>
      </c>
      <c r="BC1734" s="35" t="str">
        <f aca="false">IF($B1734="","",BA1734-BB1734)</f>
        <v/>
      </c>
      <c r="BD1734" s="35" t="str">
        <f aca="false">IF(OR($B1734="",$A1734=""),"",DAY(EOMONTH($A1734,0))-COUNTA($F1734:$AJ1734))</f>
        <v/>
      </c>
    </row>
    <row r="1735" customFormat="false" ht="15" hidden="false" customHeight="false" outlineLevel="0" collapsed="false">
      <c r="A1735" s="32"/>
      <c r="B1735" s="29"/>
      <c r="C1735" s="10" t="str">
        <f aca="false">IF($B1735="","",IFERROR(INDEX(M_name,MATCH($B1735,M_emp,0)),"Code not found"))</f>
        <v/>
      </c>
      <c r="D1735" s="10" t="str">
        <f aca="false">IF($B1735="","",IFERROR(INDEX(M_dept,MATCH($B1735,M_emp,0)),""))</f>
        <v/>
      </c>
      <c r="E1735" s="10" t="str">
        <f aca="false">IF($B1735="","",IFERROR(INDEX(M_loc,MATCH($B1735,M_emp,0)),""))</f>
        <v/>
      </c>
      <c r="F1735" s="33"/>
      <c r="G1735" s="33"/>
      <c r="H1735" s="33"/>
      <c r="I1735" s="33"/>
      <c r="J1735" s="33"/>
      <c r="K1735" s="33"/>
      <c r="L1735" s="33"/>
      <c r="M1735" s="33"/>
      <c r="N1735" s="33"/>
      <c r="O1735" s="33"/>
      <c r="P1735" s="33"/>
      <c r="Q1735" s="33"/>
      <c r="R1735" s="33"/>
      <c r="S1735" s="33"/>
      <c r="T1735" s="33"/>
      <c r="U1735" s="33"/>
      <c r="V1735" s="33"/>
      <c r="W1735" s="33"/>
      <c r="X1735" s="33"/>
      <c r="Y1735" s="33"/>
      <c r="Z1735" s="33"/>
      <c r="AA1735" s="33"/>
      <c r="AB1735" s="33"/>
      <c r="AC1735" s="33"/>
      <c r="AD1735" s="33"/>
      <c r="AE1735" s="33"/>
      <c r="AF1735" s="33"/>
      <c r="AG1735" s="33"/>
      <c r="AH1735" s="33"/>
      <c r="AI1735" s="33"/>
      <c r="AJ1735" s="33"/>
      <c r="AK1735" s="34" t="str">
        <f aca="false">IF($B1735="","",COUNTIF($F1735:$AJ1735,"P"))</f>
        <v/>
      </c>
      <c r="AL1735" s="34" t="str">
        <f aca="false">IF($B1735="","",COUNTIF($F1735:$AJ1735,"A"))</f>
        <v/>
      </c>
      <c r="AM1735" s="34" t="str">
        <f aca="false">IF($B1735="","",COUNTIF($F1735:$AJ1735,"HA"))</f>
        <v/>
      </c>
      <c r="AN1735" s="34" t="str">
        <f aca="false">IF($B1735="","",COUNTIF($F1735:$AJ1735,"L"))</f>
        <v/>
      </c>
      <c r="AO1735" s="34" t="str">
        <f aca="false">IF($B1735="","",COUNTIF($F1735:$AJ1735,"PL"))</f>
        <v/>
      </c>
      <c r="AP1735" s="34" t="str">
        <f aca="false">IF($B1735="","",COUNTIF($F1735:$AJ1735,"CL"))</f>
        <v/>
      </c>
      <c r="AQ1735" s="34" t="str">
        <f aca="false">IF($B1735="","",COUNTIF($F1735:$AJ1735,"SL"))</f>
        <v/>
      </c>
      <c r="AR1735" s="34" t="str">
        <f aca="false">IF($B1735="","",COUNTIF($F1735:$AJ1735,"CO"))</f>
        <v/>
      </c>
      <c r="AS1735" s="34" t="str">
        <f aca="false">IF($B1735="","",COUNTIF($F1735:$AJ1735,"HPL"))</f>
        <v/>
      </c>
      <c r="AT1735" s="34" t="str">
        <f aca="false">IF($B1735="","",COUNTIF($F1735:$AJ1735,"HCL"))</f>
        <v/>
      </c>
      <c r="AU1735" s="34" t="str">
        <f aca="false">IF($B1735="","",COUNTIF($F1735:$AJ1735,"WO"))</f>
        <v/>
      </c>
      <c r="AV1735" s="34" t="str">
        <f aca="false">IF($B1735="","",COUNTIF($F1735:$AJ1735,"PH"))</f>
        <v/>
      </c>
      <c r="AW1735" s="34" t="str">
        <f aca="false">IF($B1735="","",COUNTIF($F1735:$AJ1735,"TR"))</f>
        <v/>
      </c>
      <c r="AX1735" s="35" t="str">
        <f aca="false">IF($B1735="","",AO1735+AS1735/2)</f>
        <v/>
      </c>
      <c r="AY1735" s="35" t="str">
        <f aca="false">IF($B1735="","",AQ1735)</f>
        <v/>
      </c>
      <c r="AZ1735" s="35" t="str">
        <f aca="false">IF($B1735="","",AP1735+AT1735/2)</f>
        <v/>
      </c>
      <c r="BA1735" s="35" t="str">
        <f aca="false">IF($B1735="","",AK1735+AN1735+AM1735/2+AO1735+AP1735+AQ1735+AR1735+AS1735+AT1735+AU1735+AV1735+AW1735)</f>
        <v/>
      </c>
      <c r="BB1735" s="35" t="str">
        <f aca="false">IF($B1735="","",MAX(0,AN1735-Settings!$C$16)*Settings!$C$17)</f>
        <v/>
      </c>
      <c r="BC1735" s="35" t="str">
        <f aca="false">IF($B1735="","",BA1735-BB1735)</f>
        <v/>
      </c>
      <c r="BD1735" s="35" t="str">
        <f aca="false">IF(OR($B1735="",$A1735=""),"",DAY(EOMONTH($A1735,0))-COUNTA($F1735:$AJ1735))</f>
        <v/>
      </c>
    </row>
    <row r="1736" customFormat="false" ht="15" hidden="false" customHeight="false" outlineLevel="0" collapsed="false">
      <c r="A1736" s="32"/>
      <c r="B1736" s="29"/>
      <c r="C1736" s="10" t="str">
        <f aca="false">IF($B1736="","",IFERROR(INDEX(M_name,MATCH($B1736,M_emp,0)),"Code not found"))</f>
        <v/>
      </c>
      <c r="D1736" s="10" t="str">
        <f aca="false">IF($B1736="","",IFERROR(INDEX(M_dept,MATCH($B1736,M_emp,0)),""))</f>
        <v/>
      </c>
      <c r="E1736" s="10" t="str">
        <f aca="false">IF($B1736="","",IFERROR(INDEX(M_loc,MATCH($B1736,M_emp,0)),""))</f>
        <v/>
      </c>
      <c r="F1736" s="33"/>
      <c r="G1736" s="33"/>
      <c r="H1736" s="33"/>
      <c r="I1736" s="33"/>
      <c r="J1736" s="33"/>
      <c r="K1736" s="33"/>
      <c r="L1736" s="33"/>
      <c r="M1736" s="33"/>
      <c r="N1736" s="33"/>
      <c r="O1736" s="33"/>
      <c r="P1736" s="33"/>
      <c r="Q1736" s="33"/>
      <c r="R1736" s="33"/>
      <c r="S1736" s="33"/>
      <c r="T1736" s="33"/>
      <c r="U1736" s="33"/>
      <c r="V1736" s="33"/>
      <c r="W1736" s="33"/>
      <c r="X1736" s="33"/>
      <c r="Y1736" s="33"/>
      <c r="Z1736" s="33"/>
      <c r="AA1736" s="33"/>
      <c r="AB1736" s="33"/>
      <c r="AC1736" s="33"/>
      <c r="AD1736" s="33"/>
      <c r="AE1736" s="33"/>
      <c r="AF1736" s="33"/>
      <c r="AG1736" s="33"/>
      <c r="AH1736" s="33"/>
      <c r="AI1736" s="33"/>
      <c r="AJ1736" s="33"/>
      <c r="AK1736" s="34" t="str">
        <f aca="false">IF($B1736="","",COUNTIF($F1736:$AJ1736,"P"))</f>
        <v/>
      </c>
      <c r="AL1736" s="34" t="str">
        <f aca="false">IF($B1736="","",COUNTIF($F1736:$AJ1736,"A"))</f>
        <v/>
      </c>
      <c r="AM1736" s="34" t="str">
        <f aca="false">IF($B1736="","",COUNTIF($F1736:$AJ1736,"HA"))</f>
        <v/>
      </c>
      <c r="AN1736" s="34" t="str">
        <f aca="false">IF($B1736="","",COUNTIF($F1736:$AJ1736,"L"))</f>
        <v/>
      </c>
      <c r="AO1736" s="34" t="str">
        <f aca="false">IF($B1736="","",COUNTIF($F1736:$AJ1736,"PL"))</f>
        <v/>
      </c>
      <c r="AP1736" s="34" t="str">
        <f aca="false">IF($B1736="","",COUNTIF($F1736:$AJ1736,"CL"))</f>
        <v/>
      </c>
      <c r="AQ1736" s="34" t="str">
        <f aca="false">IF($B1736="","",COUNTIF($F1736:$AJ1736,"SL"))</f>
        <v/>
      </c>
      <c r="AR1736" s="34" t="str">
        <f aca="false">IF($B1736="","",COUNTIF($F1736:$AJ1736,"CO"))</f>
        <v/>
      </c>
      <c r="AS1736" s="34" t="str">
        <f aca="false">IF($B1736="","",COUNTIF($F1736:$AJ1736,"HPL"))</f>
        <v/>
      </c>
      <c r="AT1736" s="34" t="str">
        <f aca="false">IF($B1736="","",COUNTIF($F1736:$AJ1736,"HCL"))</f>
        <v/>
      </c>
      <c r="AU1736" s="34" t="str">
        <f aca="false">IF($B1736="","",COUNTIF($F1736:$AJ1736,"WO"))</f>
        <v/>
      </c>
      <c r="AV1736" s="34" t="str">
        <f aca="false">IF($B1736="","",COUNTIF($F1736:$AJ1736,"PH"))</f>
        <v/>
      </c>
      <c r="AW1736" s="34" t="str">
        <f aca="false">IF($B1736="","",COUNTIF($F1736:$AJ1736,"TR"))</f>
        <v/>
      </c>
      <c r="AX1736" s="35" t="str">
        <f aca="false">IF($B1736="","",AO1736+AS1736/2)</f>
        <v/>
      </c>
      <c r="AY1736" s="35" t="str">
        <f aca="false">IF($B1736="","",AQ1736)</f>
        <v/>
      </c>
      <c r="AZ1736" s="35" t="str">
        <f aca="false">IF($B1736="","",AP1736+AT1736/2)</f>
        <v/>
      </c>
      <c r="BA1736" s="35" t="str">
        <f aca="false">IF($B1736="","",AK1736+AN1736+AM1736/2+AO1736+AP1736+AQ1736+AR1736+AS1736+AT1736+AU1736+AV1736+AW1736)</f>
        <v/>
      </c>
      <c r="BB1736" s="35" t="str">
        <f aca="false">IF($B1736="","",MAX(0,AN1736-Settings!$C$16)*Settings!$C$17)</f>
        <v/>
      </c>
      <c r="BC1736" s="35" t="str">
        <f aca="false">IF($B1736="","",BA1736-BB1736)</f>
        <v/>
      </c>
      <c r="BD1736" s="35" t="str">
        <f aca="false">IF(OR($B1736="",$A1736=""),"",DAY(EOMONTH($A1736,0))-COUNTA($F1736:$AJ1736))</f>
        <v/>
      </c>
    </row>
    <row r="1737" customFormat="false" ht="15" hidden="false" customHeight="false" outlineLevel="0" collapsed="false">
      <c r="A1737" s="32"/>
      <c r="B1737" s="29"/>
      <c r="C1737" s="10" t="str">
        <f aca="false">IF($B1737="","",IFERROR(INDEX(M_name,MATCH($B1737,M_emp,0)),"Code not found"))</f>
        <v/>
      </c>
      <c r="D1737" s="10" t="str">
        <f aca="false">IF($B1737="","",IFERROR(INDEX(M_dept,MATCH($B1737,M_emp,0)),""))</f>
        <v/>
      </c>
      <c r="E1737" s="10" t="str">
        <f aca="false">IF($B1737="","",IFERROR(INDEX(M_loc,MATCH($B1737,M_emp,0)),""))</f>
        <v/>
      </c>
      <c r="F1737" s="33"/>
      <c r="G1737" s="33"/>
      <c r="H1737" s="33"/>
      <c r="I1737" s="33"/>
      <c r="J1737" s="33"/>
      <c r="K1737" s="33"/>
      <c r="L1737" s="33"/>
      <c r="M1737" s="33"/>
      <c r="N1737" s="33"/>
      <c r="O1737" s="33"/>
      <c r="P1737" s="33"/>
      <c r="Q1737" s="33"/>
      <c r="R1737" s="33"/>
      <c r="S1737" s="33"/>
      <c r="T1737" s="33"/>
      <c r="U1737" s="33"/>
      <c r="V1737" s="33"/>
      <c r="W1737" s="33"/>
      <c r="X1737" s="33"/>
      <c r="Y1737" s="33"/>
      <c r="Z1737" s="33"/>
      <c r="AA1737" s="33"/>
      <c r="AB1737" s="33"/>
      <c r="AC1737" s="33"/>
      <c r="AD1737" s="33"/>
      <c r="AE1737" s="33"/>
      <c r="AF1737" s="33"/>
      <c r="AG1737" s="33"/>
      <c r="AH1737" s="33"/>
      <c r="AI1737" s="33"/>
      <c r="AJ1737" s="33"/>
      <c r="AK1737" s="34" t="str">
        <f aca="false">IF($B1737="","",COUNTIF($F1737:$AJ1737,"P"))</f>
        <v/>
      </c>
      <c r="AL1737" s="34" t="str">
        <f aca="false">IF($B1737="","",COUNTIF($F1737:$AJ1737,"A"))</f>
        <v/>
      </c>
      <c r="AM1737" s="34" t="str">
        <f aca="false">IF($B1737="","",COUNTIF($F1737:$AJ1737,"HA"))</f>
        <v/>
      </c>
      <c r="AN1737" s="34" t="str">
        <f aca="false">IF($B1737="","",COUNTIF($F1737:$AJ1737,"L"))</f>
        <v/>
      </c>
      <c r="AO1737" s="34" t="str">
        <f aca="false">IF($B1737="","",COUNTIF($F1737:$AJ1737,"PL"))</f>
        <v/>
      </c>
      <c r="AP1737" s="34" t="str">
        <f aca="false">IF($B1737="","",COUNTIF($F1737:$AJ1737,"CL"))</f>
        <v/>
      </c>
      <c r="AQ1737" s="34" t="str">
        <f aca="false">IF($B1737="","",COUNTIF($F1737:$AJ1737,"SL"))</f>
        <v/>
      </c>
      <c r="AR1737" s="34" t="str">
        <f aca="false">IF($B1737="","",COUNTIF($F1737:$AJ1737,"CO"))</f>
        <v/>
      </c>
      <c r="AS1737" s="34" t="str">
        <f aca="false">IF($B1737="","",COUNTIF($F1737:$AJ1737,"HPL"))</f>
        <v/>
      </c>
      <c r="AT1737" s="34" t="str">
        <f aca="false">IF($B1737="","",COUNTIF($F1737:$AJ1737,"HCL"))</f>
        <v/>
      </c>
      <c r="AU1737" s="34" t="str">
        <f aca="false">IF($B1737="","",COUNTIF($F1737:$AJ1737,"WO"))</f>
        <v/>
      </c>
      <c r="AV1737" s="34" t="str">
        <f aca="false">IF($B1737="","",COUNTIF($F1737:$AJ1737,"PH"))</f>
        <v/>
      </c>
      <c r="AW1737" s="34" t="str">
        <f aca="false">IF($B1737="","",COUNTIF($F1737:$AJ1737,"TR"))</f>
        <v/>
      </c>
      <c r="AX1737" s="35" t="str">
        <f aca="false">IF($B1737="","",AO1737+AS1737/2)</f>
        <v/>
      </c>
      <c r="AY1737" s="35" t="str">
        <f aca="false">IF($B1737="","",AQ1737)</f>
        <v/>
      </c>
      <c r="AZ1737" s="35" t="str">
        <f aca="false">IF($B1737="","",AP1737+AT1737/2)</f>
        <v/>
      </c>
      <c r="BA1737" s="35" t="str">
        <f aca="false">IF($B1737="","",AK1737+AN1737+AM1737/2+AO1737+AP1737+AQ1737+AR1737+AS1737+AT1737+AU1737+AV1737+AW1737)</f>
        <v/>
      </c>
      <c r="BB1737" s="35" t="str">
        <f aca="false">IF($B1737="","",MAX(0,AN1737-Settings!$C$16)*Settings!$C$17)</f>
        <v/>
      </c>
      <c r="BC1737" s="35" t="str">
        <f aca="false">IF($B1737="","",BA1737-BB1737)</f>
        <v/>
      </c>
      <c r="BD1737" s="35" t="str">
        <f aca="false">IF(OR($B1737="",$A1737=""),"",DAY(EOMONTH($A1737,0))-COUNTA($F1737:$AJ1737))</f>
        <v/>
      </c>
    </row>
    <row r="1738" customFormat="false" ht="15" hidden="false" customHeight="false" outlineLevel="0" collapsed="false">
      <c r="A1738" s="32"/>
      <c r="B1738" s="29"/>
      <c r="C1738" s="10" t="str">
        <f aca="false">IF($B1738="","",IFERROR(INDEX(M_name,MATCH($B1738,M_emp,0)),"Code not found"))</f>
        <v/>
      </c>
      <c r="D1738" s="10" t="str">
        <f aca="false">IF($B1738="","",IFERROR(INDEX(M_dept,MATCH($B1738,M_emp,0)),""))</f>
        <v/>
      </c>
      <c r="E1738" s="10" t="str">
        <f aca="false">IF($B1738="","",IFERROR(INDEX(M_loc,MATCH($B1738,M_emp,0)),""))</f>
        <v/>
      </c>
      <c r="F1738" s="33"/>
      <c r="G1738" s="33"/>
      <c r="H1738" s="33"/>
      <c r="I1738" s="33"/>
      <c r="J1738" s="33"/>
      <c r="K1738" s="33"/>
      <c r="L1738" s="33"/>
      <c r="M1738" s="33"/>
      <c r="N1738" s="33"/>
      <c r="O1738" s="33"/>
      <c r="P1738" s="33"/>
      <c r="Q1738" s="33"/>
      <c r="R1738" s="33"/>
      <c r="S1738" s="33"/>
      <c r="T1738" s="33"/>
      <c r="U1738" s="33"/>
      <c r="V1738" s="33"/>
      <c r="W1738" s="33"/>
      <c r="X1738" s="33"/>
      <c r="Y1738" s="33"/>
      <c r="Z1738" s="33"/>
      <c r="AA1738" s="33"/>
      <c r="AB1738" s="33"/>
      <c r="AC1738" s="33"/>
      <c r="AD1738" s="33"/>
      <c r="AE1738" s="33"/>
      <c r="AF1738" s="33"/>
      <c r="AG1738" s="33"/>
      <c r="AH1738" s="33"/>
      <c r="AI1738" s="33"/>
      <c r="AJ1738" s="33"/>
      <c r="AK1738" s="34" t="str">
        <f aca="false">IF($B1738="","",COUNTIF($F1738:$AJ1738,"P"))</f>
        <v/>
      </c>
      <c r="AL1738" s="34" t="str">
        <f aca="false">IF($B1738="","",COUNTIF($F1738:$AJ1738,"A"))</f>
        <v/>
      </c>
      <c r="AM1738" s="34" t="str">
        <f aca="false">IF($B1738="","",COUNTIF($F1738:$AJ1738,"HA"))</f>
        <v/>
      </c>
      <c r="AN1738" s="34" t="str">
        <f aca="false">IF($B1738="","",COUNTIF($F1738:$AJ1738,"L"))</f>
        <v/>
      </c>
      <c r="AO1738" s="34" t="str">
        <f aca="false">IF($B1738="","",COUNTIF($F1738:$AJ1738,"PL"))</f>
        <v/>
      </c>
      <c r="AP1738" s="34" t="str">
        <f aca="false">IF($B1738="","",COUNTIF($F1738:$AJ1738,"CL"))</f>
        <v/>
      </c>
      <c r="AQ1738" s="34" t="str">
        <f aca="false">IF($B1738="","",COUNTIF($F1738:$AJ1738,"SL"))</f>
        <v/>
      </c>
      <c r="AR1738" s="34" t="str">
        <f aca="false">IF($B1738="","",COUNTIF($F1738:$AJ1738,"CO"))</f>
        <v/>
      </c>
      <c r="AS1738" s="34" t="str">
        <f aca="false">IF($B1738="","",COUNTIF($F1738:$AJ1738,"HPL"))</f>
        <v/>
      </c>
      <c r="AT1738" s="34" t="str">
        <f aca="false">IF($B1738="","",COUNTIF($F1738:$AJ1738,"HCL"))</f>
        <v/>
      </c>
      <c r="AU1738" s="34" t="str">
        <f aca="false">IF($B1738="","",COUNTIF($F1738:$AJ1738,"WO"))</f>
        <v/>
      </c>
      <c r="AV1738" s="34" t="str">
        <f aca="false">IF($B1738="","",COUNTIF($F1738:$AJ1738,"PH"))</f>
        <v/>
      </c>
      <c r="AW1738" s="34" t="str">
        <f aca="false">IF($B1738="","",COUNTIF($F1738:$AJ1738,"TR"))</f>
        <v/>
      </c>
      <c r="AX1738" s="35" t="str">
        <f aca="false">IF($B1738="","",AO1738+AS1738/2)</f>
        <v/>
      </c>
      <c r="AY1738" s="35" t="str">
        <f aca="false">IF($B1738="","",AQ1738)</f>
        <v/>
      </c>
      <c r="AZ1738" s="35" t="str">
        <f aca="false">IF($B1738="","",AP1738+AT1738/2)</f>
        <v/>
      </c>
      <c r="BA1738" s="35" t="str">
        <f aca="false">IF($B1738="","",AK1738+AN1738+AM1738/2+AO1738+AP1738+AQ1738+AR1738+AS1738+AT1738+AU1738+AV1738+AW1738)</f>
        <v/>
      </c>
      <c r="BB1738" s="35" t="str">
        <f aca="false">IF($B1738="","",MAX(0,AN1738-Settings!$C$16)*Settings!$C$17)</f>
        <v/>
      </c>
      <c r="BC1738" s="35" t="str">
        <f aca="false">IF($B1738="","",BA1738-BB1738)</f>
        <v/>
      </c>
      <c r="BD1738" s="35" t="str">
        <f aca="false">IF(OR($B1738="",$A1738=""),"",DAY(EOMONTH($A1738,0))-COUNTA($F1738:$AJ1738))</f>
        <v/>
      </c>
    </row>
    <row r="1739" customFormat="false" ht="15" hidden="false" customHeight="false" outlineLevel="0" collapsed="false">
      <c r="A1739" s="32"/>
      <c r="B1739" s="29"/>
      <c r="C1739" s="10" t="str">
        <f aca="false">IF($B1739="","",IFERROR(INDEX(M_name,MATCH($B1739,M_emp,0)),"Code not found"))</f>
        <v/>
      </c>
      <c r="D1739" s="10" t="str">
        <f aca="false">IF($B1739="","",IFERROR(INDEX(M_dept,MATCH($B1739,M_emp,0)),""))</f>
        <v/>
      </c>
      <c r="E1739" s="10" t="str">
        <f aca="false">IF($B1739="","",IFERROR(INDEX(M_loc,MATCH($B1739,M_emp,0)),""))</f>
        <v/>
      </c>
      <c r="F1739" s="33"/>
      <c r="G1739" s="33"/>
      <c r="H1739" s="33"/>
      <c r="I1739" s="33"/>
      <c r="J1739" s="33"/>
      <c r="K1739" s="33"/>
      <c r="L1739" s="33"/>
      <c r="M1739" s="33"/>
      <c r="N1739" s="33"/>
      <c r="O1739" s="33"/>
      <c r="P1739" s="33"/>
      <c r="Q1739" s="33"/>
      <c r="R1739" s="33"/>
      <c r="S1739" s="33"/>
      <c r="T1739" s="33"/>
      <c r="U1739" s="33"/>
      <c r="V1739" s="33"/>
      <c r="W1739" s="33"/>
      <c r="X1739" s="33"/>
      <c r="Y1739" s="33"/>
      <c r="Z1739" s="33"/>
      <c r="AA1739" s="33"/>
      <c r="AB1739" s="33"/>
      <c r="AC1739" s="33"/>
      <c r="AD1739" s="33"/>
      <c r="AE1739" s="33"/>
      <c r="AF1739" s="33"/>
      <c r="AG1739" s="33"/>
      <c r="AH1739" s="33"/>
      <c r="AI1739" s="33"/>
      <c r="AJ1739" s="33"/>
      <c r="AK1739" s="34" t="str">
        <f aca="false">IF($B1739="","",COUNTIF($F1739:$AJ1739,"P"))</f>
        <v/>
      </c>
      <c r="AL1739" s="34" t="str">
        <f aca="false">IF($B1739="","",COUNTIF($F1739:$AJ1739,"A"))</f>
        <v/>
      </c>
      <c r="AM1739" s="34" t="str">
        <f aca="false">IF($B1739="","",COUNTIF($F1739:$AJ1739,"HA"))</f>
        <v/>
      </c>
      <c r="AN1739" s="34" t="str">
        <f aca="false">IF($B1739="","",COUNTIF($F1739:$AJ1739,"L"))</f>
        <v/>
      </c>
      <c r="AO1739" s="34" t="str">
        <f aca="false">IF($B1739="","",COUNTIF($F1739:$AJ1739,"PL"))</f>
        <v/>
      </c>
      <c r="AP1739" s="34" t="str">
        <f aca="false">IF($B1739="","",COUNTIF($F1739:$AJ1739,"CL"))</f>
        <v/>
      </c>
      <c r="AQ1739" s="34" t="str">
        <f aca="false">IF($B1739="","",COUNTIF($F1739:$AJ1739,"SL"))</f>
        <v/>
      </c>
      <c r="AR1739" s="34" t="str">
        <f aca="false">IF($B1739="","",COUNTIF($F1739:$AJ1739,"CO"))</f>
        <v/>
      </c>
      <c r="AS1739" s="34" t="str">
        <f aca="false">IF($B1739="","",COUNTIF($F1739:$AJ1739,"HPL"))</f>
        <v/>
      </c>
      <c r="AT1739" s="34" t="str">
        <f aca="false">IF($B1739="","",COUNTIF($F1739:$AJ1739,"HCL"))</f>
        <v/>
      </c>
      <c r="AU1739" s="34" t="str">
        <f aca="false">IF($B1739="","",COUNTIF($F1739:$AJ1739,"WO"))</f>
        <v/>
      </c>
      <c r="AV1739" s="34" t="str">
        <f aca="false">IF($B1739="","",COUNTIF($F1739:$AJ1739,"PH"))</f>
        <v/>
      </c>
      <c r="AW1739" s="34" t="str">
        <f aca="false">IF($B1739="","",COUNTIF($F1739:$AJ1739,"TR"))</f>
        <v/>
      </c>
      <c r="AX1739" s="35" t="str">
        <f aca="false">IF($B1739="","",AO1739+AS1739/2)</f>
        <v/>
      </c>
      <c r="AY1739" s="35" t="str">
        <f aca="false">IF($B1739="","",AQ1739)</f>
        <v/>
      </c>
      <c r="AZ1739" s="35" t="str">
        <f aca="false">IF($B1739="","",AP1739+AT1739/2)</f>
        <v/>
      </c>
      <c r="BA1739" s="35" t="str">
        <f aca="false">IF($B1739="","",AK1739+AN1739+AM1739/2+AO1739+AP1739+AQ1739+AR1739+AS1739+AT1739+AU1739+AV1739+AW1739)</f>
        <v/>
      </c>
      <c r="BB1739" s="35" t="str">
        <f aca="false">IF($B1739="","",MAX(0,AN1739-Settings!$C$16)*Settings!$C$17)</f>
        <v/>
      </c>
      <c r="BC1739" s="35" t="str">
        <f aca="false">IF($B1739="","",BA1739-BB1739)</f>
        <v/>
      </c>
      <c r="BD1739" s="35" t="str">
        <f aca="false">IF(OR($B1739="",$A1739=""),"",DAY(EOMONTH($A1739,0))-COUNTA($F1739:$AJ1739))</f>
        <v/>
      </c>
    </row>
    <row r="1740" customFormat="false" ht="15" hidden="false" customHeight="false" outlineLevel="0" collapsed="false">
      <c r="A1740" s="32"/>
      <c r="B1740" s="29"/>
      <c r="C1740" s="10" t="str">
        <f aca="false">IF($B1740="","",IFERROR(INDEX(M_name,MATCH($B1740,M_emp,0)),"Code not found"))</f>
        <v/>
      </c>
      <c r="D1740" s="10" t="str">
        <f aca="false">IF($B1740="","",IFERROR(INDEX(M_dept,MATCH($B1740,M_emp,0)),""))</f>
        <v/>
      </c>
      <c r="E1740" s="10" t="str">
        <f aca="false">IF($B1740="","",IFERROR(INDEX(M_loc,MATCH($B1740,M_emp,0)),""))</f>
        <v/>
      </c>
      <c r="F1740" s="33"/>
      <c r="G1740" s="33"/>
      <c r="H1740" s="33"/>
      <c r="I1740" s="33"/>
      <c r="J1740" s="33"/>
      <c r="K1740" s="33"/>
      <c r="L1740" s="33"/>
      <c r="M1740" s="33"/>
      <c r="N1740" s="33"/>
      <c r="O1740" s="33"/>
      <c r="P1740" s="33"/>
      <c r="Q1740" s="33"/>
      <c r="R1740" s="33"/>
      <c r="S1740" s="33"/>
      <c r="T1740" s="33"/>
      <c r="U1740" s="33"/>
      <c r="V1740" s="33"/>
      <c r="W1740" s="33"/>
      <c r="X1740" s="33"/>
      <c r="Y1740" s="33"/>
      <c r="Z1740" s="33"/>
      <c r="AA1740" s="33"/>
      <c r="AB1740" s="33"/>
      <c r="AC1740" s="33"/>
      <c r="AD1740" s="33"/>
      <c r="AE1740" s="33"/>
      <c r="AF1740" s="33"/>
      <c r="AG1740" s="33"/>
      <c r="AH1740" s="33"/>
      <c r="AI1740" s="33"/>
      <c r="AJ1740" s="33"/>
      <c r="AK1740" s="34" t="str">
        <f aca="false">IF($B1740="","",COUNTIF($F1740:$AJ1740,"P"))</f>
        <v/>
      </c>
      <c r="AL1740" s="34" t="str">
        <f aca="false">IF($B1740="","",COUNTIF($F1740:$AJ1740,"A"))</f>
        <v/>
      </c>
      <c r="AM1740" s="34" t="str">
        <f aca="false">IF($B1740="","",COUNTIF($F1740:$AJ1740,"HA"))</f>
        <v/>
      </c>
      <c r="AN1740" s="34" t="str">
        <f aca="false">IF($B1740="","",COUNTIF($F1740:$AJ1740,"L"))</f>
        <v/>
      </c>
      <c r="AO1740" s="34" t="str">
        <f aca="false">IF($B1740="","",COUNTIF($F1740:$AJ1740,"PL"))</f>
        <v/>
      </c>
      <c r="AP1740" s="34" t="str">
        <f aca="false">IF($B1740="","",COUNTIF($F1740:$AJ1740,"CL"))</f>
        <v/>
      </c>
      <c r="AQ1740" s="34" t="str">
        <f aca="false">IF($B1740="","",COUNTIF($F1740:$AJ1740,"SL"))</f>
        <v/>
      </c>
      <c r="AR1740" s="34" t="str">
        <f aca="false">IF($B1740="","",COUNTIF($F1740:$AJ1740,"CO"))</f>
        <v/>
      </c>
      <c r="AS1740" s="34" t="str">
        <f aca="false">IF($B1740="","",COUNTIF($F1740:$AJ1740,"HPL"))</f>
        <v/>
      </c>
      <c r="AT1740" s="34" t="str">
        <f aca="false">IF($B1740="","",COUNTIF($F1740:$AJ1740,"HCL"))</f>
        <v/>
      </c>
      <c r="AU1740" s="34" t="str">
        <f aca="false">IF($B1740="","",COUNTIF($F1740:$AJ1740,"WO"))</f>
        <v/>
      </c>
      <c r="AV1740" s="34" t="str">
        <f aca="false">IF($B1740="","",COUNTIF($F1740:$AJ1740,"PH"))</f>
        <v/>
      </c>
      <c r="AW1740" s="34" t="str">
        <f aca="false">IF($B1740="","",COUNTIF($F1740:$AJ1740,"TR"))</f>
        <v/>
      </c>
      <c r="AX1740" s="35" t="str">
        <f aca="false">IF($B1740="","",AO1740+AS1740/2)</f>
        <v/>
      </c>
      <c r="AY1740" s="35" t="str">
        <f aca="false">IF($B1740="","",AQ1740)</f>
        <v/>
      </c>
      <c r="AZ1740" s="35" t="str">
        <f aca="false">IF($B1740="","",AP1740+AT1740/2)</f>
        <v/>
      </c>
      <c r="BA1740" s="35" t="str">
        <f aca="false">IF($B1740="","",AK1740+AN1740+AM1740/2+AO1740+AP1740+AQ1740+AR1740+AS1740+AT1740+AU1740+AV1740+AW1740)</f>
        <v/>
      </c>
      <c r="BB1740" s="35" t="str">
        <f aca="false">IF($B1740="","",MAX(0,AN1740-Settings!$C$16)*Settings!$C$17)</f>
        <v/>
      </c>
      <c r="BC1740" s="35" t="str">
        <f aca="false">IF($B1740="","",BA1740-BB1740)</f>
        <v/>
      </c>
      <c r="BD1740" s="35" t="str">
        <f aca="false">IF(OR($B1740="",$A1740=""),"",DAY(EOMONTH($A1740,0))-COUNTA($F1740:$AJ1740))</f>
        <v/>
      </c>
    </row>
    <row r="1741" customFormat="false" ht="15" hidden="false" customHeight="false" outlineLevel="0" collapsed="false">
      <c r="A1741" s="32"/>
      <c r="B1741" s="29"/>
      <c r="C1741" s="10" t="str">
        <f aca="false">IF($B1741="","",IFERROR(INDEX(M_name,MATCH($B1741,M_emp,0)),"Code not found"))</f>
        <v/>
      </c>
      <c r="D1741" s="10" t="str">
        <f aca="false">IF($B1741="","",IFERROR(INDEX(M_dept,MATCH($B1741,M_emp,0)),""))</f>
        <v/>
      </c>
      <c r="E1741" s="10" t="str">
        <f aca="false">IF($B1741="","",IFERROR(INDEX(M_loc,MATCH($B1741,M_emp,0)),""))</f>
        <v/>
      </c>
      <c r="F1741" s="33"/>
      <c r="G1741" s="33"/>
      <c r="H1741" s="33"/>
      <c r="I1741" s="33"/>
      <c r="J1741" s="33"/>
      <c r="K1741" s="33"/>
      <c r="L1741" s="33"/>
      <c r="M1741" s="33"/>
      <c r="N1741" s="33"/>
      <c r="O1741" s="33"/>
      <c r="P1741" s="33"/>
      <c r="Q1741" s="33"/>
      <c r="R1741" s="33"/>
      <c r="S1741" s="33"/>
      <c r="T1741" s="33"/>
      <c r="U1741" s="33"/>
      <c r="V1741" s="33"/>
      <c r="W1741" s="33"/>
      <c r="X1741" s="33"/>
      <c r="Y1741" s="33"/>
      <c r="Z1741" s="33"/>
      <c r="AA1741" s="33"/>
      <c r="AB1741" s="33"/>
      <c r="AC1741" s="33"/>
      <c r="AD1741" s="33"/>
      <c r="AE1741" s="33"/>
      <c r="AF1741" s="33"/>
      <c r="AG1741" s="33"/>
      <c r="AH1741" s="33"/>
      <c r="AI1741" s="33"/>
      <c r="AJ1741" s="33"/>
      <c r="AK1741" s="34" t="str">
        <f aca="false">IF($B1741="","",COUNTIF($F1741:$AJ1741,"P"))</f>
        <v/>
      </c>
      <c r="AL1741" s="34" t="str">
        <f aca="false">IF($B1741="","",COUNTIF($F1741:$AJ1741,"A"))</f>
        <v/>
      </c>
      <c r="AM1741" s="34" t="str">
        <f aca="false">IF($B1741="","",COUNTIF($F1741:$AJ1741,"HA"))</f>
        <v/>
      </c>
      <c r="AN1741" s="34" t="str">
        <f aca="false">IF($B1741="","",COUNTIF($F1741:$AJ1741,"L"))</f>
        <v/>
      </c>
      <c r="AO1741" s="34" t="str">
        <f aca="false">IF($B1741="","",COUNTIF($F1741:$AJ1741,"PL"))</f>
        <v/>
      </c>
      <c r="AP1741" s="34" t="str">
        <f aca="false">IF($B1741="","",COUNTIF($F1741:$AJ1741,"CL"))</f>
        <v/>
      </c>
      <c r="AQ1741" s="34" t="str">
        <f aca="false">IF($B1741="","",COUNTIF($F1741:$AJ1741,"SL"))</f>
        <v/>
      </c>
      <c r="AR1741" s="34" t="str">
        <f aca="false">IF($B1741="","",COUNTIF($F1741:$AJ1741,"CO"))</f>
        <v/>
      </c>
      <c r="AS1741" s="34" t="str">
        <f aca="false">IF($B1741="","",COUNTIF($F1741:$AJ1741,"HPL"))</f>
        <v/>
      </c>
      <c r="AT1741" s="34" t="str">
        <f aca="false">IF($B1741="","",COUNTIF($F1741:$AJ1741,"HCL"))</f>
        <v/>
      </c>
      <c r="AU1741" s="34" t="str">
        <f aca="false">IF($B1741="","",COUNTIF($F1741:$AJ1741,"WO"))</f>
        <v/>
      </c>
      <c r="AV1741" s="34" t="str">
        <f aca="false">IF($B1741="","",COUNTIF($F1741:$AJ1741,"PH"))</f>
        <v/>
      </c>
      <c r="AW1741" s="34" t="str">
        <f aca="false">IF($B1741="","",COUNTIF($F1741:$AJ1741,"TR"))</f>
        <v/>
      </c>
      <c r="AX1741" s="35" t="str">
        <f aca="false">IF($B1741="","",AO1741+AS1741/2)</f>
        <v/>
      </c>
      <c r="AY1741" s="35" t="str">
        <f aca="false">IF($B1741="","",AQ1741)</f>
        <v/>
      </c>
      <c r="AZ1741" s="35" t="str">
        <f aca="false">IF($B1741="","",AP1741+AT1741/2)</f>
        <v/>
      </c>
      <c r="BA1741" s="35" t="str">
        <f aca="false">IF($B1741="","",AK1741+AN1741+AM1741/2+AO1741+AP1741+AQ1741+AR1741+AS1741+AT1741+AU1741+AV1741+AW1741)</f>
        <v/>
      </c>
      <c r="BB1741" s="35" t="str">
        <f aca="false">IF($B1741="","",MAX(0,AN1741-Settings!$C$16)*Settings!$C$17)</f>
        <v/>
      </c>
      <c r="BC1741" s="35" t="str">
        <f aca="false">IF($B1741="","",BA1741-BB1741)</f>
        <v/>
      </c>
      <c r="BD1741" s="35" t="str">
        <f aca="false">IF(OR($B1741="",$A1741=""),"",DAY(EOMONTH($A1741,0))-COUNTA($F1741:$AJ1741))</f>
        <v/>
      </c>
    </row>
    <row r="1742" customFormat="false" ht="15" hidden="false" customHeight="false" outlineLevel="0" collapsed="false">
      <c r="A1742" s="32"/>
      <c r="B1742" s="29"/>
      <c r="C1742" s="10" t="str">
        <f aca="false">IF($B1742="","",IFERROR(INDEX(M_name,MATCH($B1742,M_emp,0)),"Code not found"))</f>
        <v/>
      </c>
      <c r="D1742" s="10" t="str">
        <f aca="false">IF($B1742="","",IFERROR(INDEX(M_dept,MATCH($B1742,M_emp,0)),""))</f>
        <v/>
      </c>
      <c r="E1742" s="10" t="str">
        <f aca="false">IF($B1742="","",IFERROR(INDEX(M_loc,MATCH($B1742,M_emp,0)),""))</f>
        <v/>
      </c>
      <c r="F1742" s="33"/>
      <c r="G1742" s="33"/>
      <c r="H1742" s="33"/>
      <c r="I1742" s="33"/>
      <c r="J1742" s="33"/>
      <c r="K1742" s="33"/>
      <c r="L1742" s="33"/>
      <c r="M1742" s="33"/>
      <c r="N1742" s="33"/>
      <c r="O1742" s="33"/>
      <c r="P1742" s="33"/>
      <c r="Q1742" s="33"/>
      <c r="R1742" s="33"/>
      <c r="S1742" s="33"/>
      <c r="T1742" s="33"/>
      <c r="U1742" s="33"/>
      <c r="V1742" s="33"/>
      <c r="W1742" s="33"/>
      <c r="X1742" s="33"/>
      <c r="Y1742" s="33"/>
      <c r="Z1742" s="33"/>
      <c r="AA1742" s="33"/>
      <c r="AB1742" s="33"/>
      <c r="AC1742" s="33"/>
      <c r="AD1742" s="33"/>
      <c r="AE1742" s="33"/>
      <c r="AF1742" s="33"/>
      <c r="AG1742" s="33"/>
      <c r="AH1742" s="33"/>
      <c r="AI1742" s="33"/>
      <c r="AJ1742" s="33"/>
      <c r="AK1742" s="34" t="str">
        <f aca="false">IF($B1742="","",COUNTIF($F1742:$AJ1742,"P"))</f>
        <v/>
      </c>
      <c r="AL1742" s="34" t="str">
        <f aca="false">IF($B1742="","",COUNTIF($F1742:$AJ1742,"A"))</f>
        <v/>
      </c>
      <c r="AM1742" s="34" t="str">
        <f aca="false">IF($B1742="","",COUNTIF($F1742:$AJ1742,"HA"))</f>
        <v/>
      </c>
      <c r="AN1742" s="34" t="str">
        <f aca="false">IF($B1742="","",COUNTIF($F1742:$AJ1742,"L"))</f>
        <v/>
      </c>
      <c r="AO1742" s="34" t="str">
        <f aca="false">IF($B1742="","",COUNTIF($F1742:$AJ1742,"PL"))</f>
        <v/>
      </c>
      <c r="AP1742" s="34" t="str">
        <f aca="false">IF($B1742="","",COUNTIF($F1742:$AJ1742,"CL"))</f>
        <v/>
      </c>
      <c r="AQ1742" s="34" t="str">
        <f aca="false">IF($B1742="","",COUNTIF($F1742:$AJ1742,"SL"))</f>
        <v/>
      </c>
      <c r="AR1742" s="34" t="str">
        <f aca="false">IF($B1742="","",COUNTIF($F1742:$AJ1742,"CO"))</f>
        <v/>
      </c>
      <c r="AS1742" s="34" t="str">
        <f aca="false">IF($B1742="","",COUNTIF($F1742:$AJ1742,"HPL"))</f>
        <v/>
      </c>
      <c r="AT1742" s="34" t="str">
        <f aca="false">IF($B1742="","",COUNTIF($F1742:$AJ1742,"HCL"))</f>
        <v/>
      </c>
      <c r="AU1742" s="34" t="str">
        <f aca="false">IF($B1742="","",COUNTIF($F1742:$AJ1742,"WO"))</f>
        <v/>
      </c>
      <c r="AV1742" s="34" t="str">
        <f aca="false">IF($B1742="","",COUNTIF($F1742:$AJ1742,"PH"))</f>
        <v/>
      </c>
      <c r="AW1742" s="34" t="str">
        <f aca="false">IF($B1742="","",COUNTIF($F1742:$AJ1742,"TR"))</f>
        <v/>
      </c>
      <c r="AX1742" s="35" t="str">
        <f aca="false">IF($B1742="","",AO1742+AS1742/2)</f>
        <v/>
      </c>
      <c r="AY1742" s="35" t="str">
        <f aca="false">IF($B1742="","",AQ1742)</f>
        <v/>
      </c>
      <c r="AZ1742" s="35" t="str">
        <f aca="false">IF($B1742="","",AP1742+AT1742/2)</f>
        <v/>
      </c>
      <c r="BA1742" s="35" t="str">
        <f aca="false">IF($B1742="","",AK1742+AN1742+AM1742/2+AO1742+AP1742+AQ1742+AR1742+AS1742+AT1742+AU1742+AV1742+AW1742)</f>
        <v/>
      </c>
      <c r="BB1742" s="35" t="str">
        <f aca="false">IF($B1742="","",MAX(0,AN1742-Settings!$C$16)*Settings!$C$17)</f>
        <v/>
      </c>
      <c r="BC1742" s="35" t="str">
        <f aca="false">IF($B1742="","",BA1742-BB1742)</f>
        <v/>
      </c>
      <c r="BD1742" s="35" t="str">
        <f aca="false">IF(OR($B1742="",$A1742=""),"",DAY(EOMONTH($A1742,0))-COUNTA($F1742:$AJ1742))</f>
        <v/>
      </c>
    </row>
    <row r="1743" customFormat="false" ht="15" hidden="false" customHeight="false" outlineLevel="0" collapsed="false">
      <c r="A1743" s="32"/>
      <c r="B1743" s="29"/>
      <c r="C1743" s="10" t="str">
        <f aca="false">IF($B1743="","",IFERROR(INDEX(M_name,MATCH($B1743,M_emp,0)),"Code not found"))</f>
        <v/>
      </c>
      <c r="D1743" s="10" t="str">
        <f aca="false">IF($B1743="","",IFERROR(INDEX(M_dept,MATCH($B1743,M_emp,0)),""))</f>
        <v/>
      </c>
      <c r="E1743" s="10" t="str">
        <f aca="false">IF($B1743="","",IFERROR(INDEX(M_loc,MATCH($B1743,M_emp,0)),""))</f>
        <v/>
      </c>
      <c r="F1743" s="33"/>
      <c r="G1743" s="33"/>
      <c r="H1743" s="33"/>
      <c r="I1743" s="33"/>
      <c r="J1743" s="33"/>
      <c r="K1743" s="33"/>
      <c r="L1743" s="33"/>
      <c r="M1743" s="33"/>
      <c r="N1743" s="33"/>
      <c r="O1743" s="33"/>
      <c r="P1743" s="33"/>
      <c r="Q1743" s="33"/>
      <c r="R1743" s="33"/>
      <c r="S1743" s="33"/>
      <c r="T1743" s="33"/>
      <c r="U1743" s="33"/>
      <c r="V1743" s="33"/>
      <c r="W1743" s="33"/>
      <c r="X1743" s="33"/>
      <c r="Y1743" s="33"/>
      <c r="Z1743" s="33"/>
      <c r="AA1743" s="33"/>
      <c r="AB1743" s="33"/>
      <c r="AC1743" s="33"/>
      <c r="AD1743" s="33"/>
      <c r="AE1743" s="33"/>
      <c r="AF1743" s="33"/>
      <c r="AG1743" s="33"/>
      <c r="AH1743" s="33"/>
      <c r="AI1743" s="33"/>
      <c r="AJ1743" s="33"/>
      <c r="AK1743" s="34" t="str">
        <f aca="false">IF($B1743="","",COUNTIF($F1743:$AJ1743,"P"))</f>
        <v/>
      </c>
      <c r="AL1743" s="34" t="str">
        <f aca="false">IF($B1743="","",COUNTIF($F1743:$AJ1743,"A"))</f>
        <v/>
      </c>
      <c r="AM1743" s="34" t="str">
        <f aca="false">IF($B1743="","",COUNTIF($F1743:$AJ1743,"HA"))</f>
        <v/>
      </c>
      <c r="AN1743" s="34" t="str">
        <f aca="false">IF($B1743="","",COUNTIF($F1743:$AJ1743,"L"))</f>
        <v/>
      </c>
      <c r="AO1743" s="34" t="str">
        <f aca="false">IF($B1743="","",COUNTIF($F1743:$AJ1743,"PL"))</f>
        <v/>
      </c>
      <c r="AP1743" s="34" t="str">
        <f aca="false">IF($B1743="","",COUNTIF($F1743:$AJ1743,"CL"))</f>
        <v/>
      </c>
      <c r="AQ1743" s="34" t="str">
        <f aca="false">IF($B1743="","",COUNTIF($F1743:$AJ1743,"SL"))</f>
        <v/>
      </c>
      <c r="AR1743" s="34" t="str">
        <f aca="false">IF($B1743="","",COUNTIF($F1743:$AJ1743,"CO"))</f>
        <v/>
      </c>
      <c r="AS1743" s="34" t="str">
        <f aca="false">IF($B1743="","",COUNTIF($F1743:$AJ1743,"HPL"))</f>
        <v/>
      </c>
      <c r="AT1743" s="34" t="str">
        <f aca="false">IF($B1743="","",COUNTIF($F1743:$AJ1743,"HCL"))</f>
        <v/>
      </c>
      <c r="AU1743" s="34" t="str">
        <f aca="false">IF($B1743="","",COUNTIF($F1743:$AJ1743,"WO"))</f>
        <v/>
      </c>
      <c r="AV1743" s="34" t="str">
        <f aca="false">IF($B1743="","",COUNTIF($F1743:$AJ1743,"PH"))</f>
        <v/>
      </c>
      <c r="AW1743" s="34" t="str">
        <f aca="false">IF($B1743="","",COUNTIF($F1743:$AJ1743,"TR"))</f>
        <v/>
      </c>
      <c r="AX1743" s="35" t="str">
        <f aca="false">IF($B1743="","",AO1743+AS1743/2)</f>
        <v/>
      </c>
      <c r="AY1743" s="35" t="str">
        <f aca="false">IF($B1743="","",AQ1743)</f>
        <v/>
      </c>
      <c r="AZ1743" s="35" t="str">
        <f aca="false">IF($B1743="","",AP1743+AT1743/2)</f>
        <v/>
      </c>
      <c r="BA1743" s="35" t="str">
        <f aca="false">IF($B1743="","",AK1743+AN1743+AM1743/2+AO1743+AP1743+AQ1743+AR1743+AS1743+AT1743+AU1743+AV1743+AW1743)</f>
        <v/>
      </c>
      <c r="BB1743" s="35" t="str">
        <f aca="false">IF($B1743="","",MAX(0,AN1743-Settings!$C$16)*Settings!$C$17)</f>
        <v/>
      </c>
      <c r="BC1743" s="35" t="str">
        <f aca="false">IF($B1743="","",BA1743-BB1743)</f>
        <v/>
      </c>
      <c r="BD1743" s="35" t="str">
        <f aca="false">IF(OR($B1743="",$A1743=""),"",DAY(EOMONTH($A1743,0))-COUNTA($F1743:$AJ1743))</f>
        <v/>
      </c>
    </row>
    <row r="1744" customFormat="false" ht="15" hidden="false" customHeight="false" outlineLevel="0" collapsed="false">
      <c r="A1744" s="32"/>
      <c r="B1744" s="29"/>
      <c r="C1744" s="10" t="str">
        <f aca="false">IF($B1744="","",IFERROR(INDEX(M_name,MATCH($B1744,M_emp,0)),"Code not found"))</f>
        <v/>
      </c>
      <c r="D1744" s="10" t="str">
        <f aca="false">IF($B1744="","",IFERROR(INDEX(M_dept,MATCH($B1744,M_emp,0)),""))</f>
        <v/>
      </c>
      <c r="E1744" s="10" t="str">
        <f aca="false">IF($B1744="","",IFERROR(INDEX(M_loc,MATCH($B1744,M_emp,0)),""))</f>
        <v/>
      </c>
      <c r="F1744" s="33"/>
      <c r="G1744" s="33"/>
      <c r="H1744" s="33"/>
      <c r="I1744" s="33"/>
      <c r="J1744" s="33"/>
      <c r="K1744" s="33"/>
      <c r="L1744" s="33"/>
      <c r="M1744" s="33"/>
      <c r="N1744" s="33"/>
      <c r="O1744" s="33"/>
      <c r="P1744" s="33"/>
      <c r="Q1744" s="33"/>
      <c r="R1744" s="33"/>
      <c r="S1744" s="33"/>
      <c r="T1744" s="33"/>
      <c r="U1744" s="33"/>
      <c r="V1744" s="33"/>
      <c r="W1744" s="33"/>
      <c r="X1744" s="33"/>
      <c r="Y1744" s="33"/>
      <c r="Z1744" s="33"/>
      <c r="AA1744" s="33"/>
      <c r="AB1744" s="33"/>
      <c r="AC1744" s="33"/>
      <c r="AD1744" s="33"/>
      <c r="AE1744" s="33"/>
      <c r="AF1744" s="33"/>
      <c r="AG1744" s="33"/>
      <c r="AH1744" s="33"/>
      <c r="AI1744" s="33"/>
      <c r="AJ1744" s="33"/>
      <c r="AK1744" s="34" t="str">
        <f aca="false">IF($B1744="","",COUNTIF($F1744:$AJ1744,"P"))</f>
        <v/>
      </c>
      <c r="AL1744" s="34" t="str">
        <f aca="false">IF($B1744="","",COUNTIF($F1744:$AJ1744,"A"))</f>
        <v/>
      </c>
      <c r="AM1744" s="34" t="str">
        <f aca="false">IF($B1744="","",COUNTIF($F1744:$AJ1744,"HA"))</f>
        <v/>
      </c>
      <c r="AN1744" s="34" t="str">
        <f aca="false">IF($B1744="","",COUNTIF($F1744:$AJ1744,"L"))</f>
        <v/>
      </c>
      <c r="AO1744" s="34" t="str">
        <f aca="false">IF($B1744="","",COUNTIF($F1744:$AJ1744,"PL"))</f>
        <v/>
      </c>
      <c r="AP1744" s="34" t="str">
        <f aca="false">IF($B1744="","",COUNTIF($F1744:$AJ1744,"CL"))</f>
        <v/>
      </c>
      <c r="AQ1744" s="34" t="str">
        <f aca="false">IF($B1744="","",COUNTIF($F1744:$AJ1744,"SL"))</f>
        <v/>
      </c>
      <c r="AR1744" s="34" t="str">
        <f aca="false">IF($B1744="","",COUNTIF($F1744:$AJ1744,"CO"))</f>
        <v/>
      </c>
      <c r="AS1744" s="34" t="str">
        <f aca="false">IF($B1744="","",COUNTIF($F1744:$AJ1744,"HPL"))</f>
        <v/>
      </c>
      <c r="AT1744" s="34" t="str">
        <f aca="false">IF($B1744="","",COUNTIF($F1744:$AJ1744,"HCL"))</f>
        <v/>
      </c>
      <c r="AU1744" s="34" t="str">
        <f aca="false">IF($B1744="","",COUNTIF($F1744:$AJ1744,"WO"))</f>
        <v/>
      </c>
      <c r="AV1744" s="34" t="str">
        <f aca="false">IF($B1744="","",COUNTIF($F1744:$AJ1744,"PH"))</f>
        <v/>
      </c>
      <c r="AW1744" s="34" t="str">
        <f aca="false">IF($B1744="","",COUNTIF($F1744:$AJ1744,"TR"))</f>
        <v/>
      </c>
      <c r="AX1744" s="35" t="str">
        <f aca="false">IF($B1744="","",AO1744+AS1744/2)</f>
        <v/>
      </c>
      <c r="AY1744" s="35" t="str">
        <f aca="false">IF($B1744="","",AQ1744)</f>
        <v/>
      </c>
      <c r="AZ1744" s="35" t="str">
        <f aca="false">IF($B1744="","",AP1744+AT1744/2)</f>
        <v/>
      </c>
      <c r="BA1744" s="35" t="str">
        <f aca="false">IF($B1744="","",AK1744+AN1744+AM1744/2+AO1744+AP1744+AQ1744+AR1744+AS1744+AT1744+AU1744+AV1744+AW1744)</f>
        <v/>
      </c>
      <c r="BB1744" s="35" t="str">
        <f aca="false">IF($B1744="","",MAX(0,AN1744-Settings!$C$16)*Settings!$C$17)</f>
        <v/>
      </c>
      <c r="BC1744" s="35" t="str">
        <f aca="false">IF($B1744="","",BA1744-BB1744)</f>
        <v/>
      </c>
      <c r="BD1744" s="35" t="str">
        <f aca="false">IF(OR($B1744="",$A1744=""),"",DAY(EOMONTH($A1744,0))-COUNTA($F1744:$AJ1744))</f>
        <v/>
      </c>
    </row>
    <row r="1745" customFormat="false" ht="15" hidden="false" customHeight="false" outlineLevel="0" collapsed="false">
      <c r="A1745" s="32"/>
      <c r="B1745" s="29"/>
      <c r="C1745" s="10" t="str">
        <f aca="false">IF($B1745="","",IFERROR(INDEX(M_name,MATCH($B1745,M_emp,0)),"Code not found"))</f>
        <v/>
      </c>
      <c r="D1745" s="10" t="str">
        <f aca="false">IF($B1745="","",IFERROR(INDEX(M_dept,MATCH($B1745,M_emp,0)),""))</f>
        <v/>
      </c>
      <c r="E1745" s="10" t="str">
        <f aca="false">IF($B1745="","",IFERROR(INDEX(M_loc,MATCH($B1745,M_emp,0)),""))</f>
        <v/>
      </c>
      <c r="F1745" s="33"/>
      <c r="G1745" s="33"/>
      <c r="H1745" s="33"/>
      <c r="I1745" s="33"/>
      <c r="J1745" s="33"/>
      <c r="K1745" s="33"/>
      <c r="L1745" s="33"/>
      <c r="M1745" s="33"/>
      <c r="N1745" s="33"/>
      <c r="O1745" s="33"/>
      <c r="P1745" s="33"/>
      <c r="Q1745" s="33"/>
      <c r="R1745" s="33"/>
      <c r="S1745" s="33"/>
      <c r="T1745" s="33"/>
      <c r="U1745" s="33"/>
      <c r="V1745" s="33"/>
      <c r="W1745" s="33"/>
      <c r="X1745" s="33"/>
      <c r="Y1745" s="33"/>
      <c r="Z1745" s="33"/>
      <c r="AA1745" s="33"/>
      <c r="AB1745" s="33"/>
      <c r="AC1745" s="33"/>
      <c r="AD1745" s="33"/>
      <c r="AE1745" s="33"/>
      <c r="AF1745" s="33"/>
      <c r="AG1745" s="33"/>
      <c r="AH1745" s="33"/>
      <c r="AI1745" s="33"/>
      <c r="AJ1745" s="33"/>
      <c r="AK1745" s="34" t="str">
        <f aca="false">IF($B1745="","",COUNTIF($F1745:$AJ1745,"P"))</f>
        <v/>
      </c>
      <c r="AL1745" s="34" t="str">
        <f aca="false">IF($B1745="","",COUNTIF($F1745:$AJ1745,"A"))</f>
        <v/>
      </c>
      <c r="AM1745" s="34" t="str">
        <f aca="false">IF($B1745="","",COUNTIF($F1745:$AJ1745,"HA"))</f>
        <v/>
      </c>
      <c r="AN1745" s="34" t="str">
        <f aca="false">IF($B1745="","",COUNTIF($F1745:$AJ1745,"L"))</f>
        <v/>
      </c>
      <c r="AO1745" s="34" t="str">
        <f aca="false">IF($B1745="","",COUNTIF($F1745:$AJ1745,"PL"))</f>
        <v/>
      </c>
      <c r="AP1745" s="34" t="str">
        <f aca="false">IF($B1745="","",COUNTIF($F1745:$AJ1745,"CL"))</f>
        <v/>
      </c>
      <c r="AQ1745" s="34" t="str">
        <f aca="false">IF($B1745="","",COUNTIF($F1745:$AJ1745,"SL"))</f>
        <v/>
      </c>
      <c r="AR1745" s="34" t="str">
        <f aca="false">IF($B1745="","",COUNTIF($F1745:$AJ1745,"CO"))</f>
        <v/>
      </c>
      <c r="AS1745" s="34" t="str">
        <f aca="false">IF($B1745="","",COUNTIF($F1745:$AJ1745,"HPL"))</f>
        <v/>
      </c>
      <c r="AT1745" s="34" t="str">
        <f aca="false">IF($B1745="","",COUNTIF($F1745:$AJ1745,"HCL"))</f>
        <v/>
      </c>
      <c r="AU1745" s="34" t="str">
        <f aca="false">IF($B1745="","",COUNTIF($F1745:$AJ1745,"WO"))</f>
        <v/>
      </c>
      <c r="AV1745" s="34" t="str">
        <f aca="false">IF($B1745="","",COUNTIF($F1745:$AJ1745,"PH"))</f>
        <v/>
      </c>
      <c r="AW1745" s="34" t="str">
        <f aca="false">IF($B1745="","",COUNTIF($F1745:$AJ1745,"TR"))</f>
        <v/>
      </c>
      <c r="AX1745" s="35" t="str">
        <f aca="false">IF($B1745="","",AO1745+AS1745/2)</f>
        <v/>
      </c>
      <c r="AY1745" s="35" t="str">
        <f aca="false">IF($B1745="","",AQ1745)</f>
        <v/>
      </c>
      <c r="AZ1745" s="35" t="str">
        <f aca="false">IF($B1745="","",AP1745+AT1745/2)</f>
        <v/>
      </c>
      <c r="BA1745" s="35" t="str">
        <f aca="false">IF($B1745="","",AK1745+AN1745+AM1745/2+AO1745+AP1745+AQ1745+AR1745+AS1745+AT1745+AU1745+AV1745+AW1745)</f>
        <v/>
      </c>
      <c r="BB1745" s="35" t="str">
        <f aca="false">IF($B1745="","",MAX(0,AN1745-Settings!$C$16)*Settings!$C$17)</f>
        <v/>
      </c>
      <c r="BC1745" s="35" t="str">
        <f aca="false">IF($B1745="","",BA1745-BB1745)</f>
        <v/>
      </c>
      <c r="BD1745" s="35" t="str">
        <f aca="false">IF(OR($B1745="",$A1745=""),"",DAY(EOMONTH($A1745,0))-COUNTA($F1745:$AJ1745))</f>
        <v/>
      </c>
    </row>
    <row r="1746" customFormat="false" ht="15" hidden="false" customHeight="false" outlineLevel="0" collapsed="false">
      <c r="A1746" s="32"/>
      <c r="B1746" s="29"/>
      <c r="C1746" s="10" t="str">
        <f aca="false">IF($B1746="","",IFERROR(INDEX(M_name,MATCH($B1746,M_emp,0)),"Code not found"))</f>
        <v/>
      </c>
      <c r="D1746" s="10" t="str">
        <f aca="false">IF($B1746="","",IFERROR(INDEX(M_dept,MATCH($B1746,M_emp,0)),""))</f>
        <v/>
      </c>
      <c r="E1746" s="10" t="str">
        <f aca="false">IF($B1746="","",IFERROR(INDEX(M_loc,MATCH($B1746,M_emp,0)),""))</f>
        <v/>
      </c>
      <c r="F1746" s="33"/>
      <c r="G1746" s="33"/>
      <c r="H1746" s="33"/>
      <c r="I1746" s="33"/>
      <c r="J1746" s="33"/>
      <c r="K1746" s="33"/>
      <c r="L1746" s="33"/>
      <c r="M1746" s="33"/>
      <c r="N1746" s="33"/>
      <c r="O1746" s="33"/>
      <c r="P1746" s="33"/>
      <c r="Q1746" s="33"/>
      <c r="R1746" s="33"/>
      <c r="S1746" s="33"/>
      <c r="T1746" s="33"/>
      <c r="U1746" s="33"/>
      <c r="V1746" s="33"/>
      <c r="W1746" s="33"/>
      <c r="X1746" s="33"/>
      <c r="Y1746" s="33"/>
      <c r="Z1746" s="33"/>
      <c r="AA1746" s="33"/>
      <c r="AB1746" s="33"/>
      <c r="AC1746" s="33"/>
      <c r="AD1746" s="33"/>
      <c r="AE1746" s="33"/>
      <c r="AF1746" s="33"/>
      <c r="AG1746" s="33"/>
      <c r="AH1746" s="33"/>
      <c r="AI1746" s="33"/>
      <c r="AJ1746" s="33"/>
      <c r="AK1746" s="34" t="str">
        <f aca="false">IF($B1746="","",COUNTIF($F1746:$AJ1746,"P"))</f>
        <v/>
      </c>
      <c r="AL1746" s="34" t="str">
        <f aca="false">IF($B1746="","",COUNTIF($F1746:$AJ1746,"A"))</f>
        <v/>
      </c>
      <c r="AM1746" s="34" t="str">
        <f aca="false">IF($B1746="","",COUNTIF($F1746:$AJ1746,"HA"))</f>
        <v/>
      </c>
      <c r="AN1746" s="34" t="str">
        <f aca="false">IF($B1746="","",COUNTIF($F1746:$AJ1746,"L"))</f>
        <v/>
      </c>
      <c r="AO1746" s="34" t="str">
        <f aca="false">IF($B1746="","",COUNTIF($F1746:$AJ1746,"PL"))</f>
        <v/>
      </c>
      <c r="AP1746" s="34" t="str">
        <f aca="false">IF($B1746="","",COUNTIF($F1746:$AJ1746,"CL"))</f>
        <v/>
      </c>
      <c r="AQ1746" s="34" t="str">
        <f aca="false">IF($B1746="","",COUNTIF($F1746:$AJ1746,"SL"))</f>
        <v/>
      </c>
      <c r="AR1746" s="34" t="str">
        <f aca="false">IF($B1746="","",COUNTIF($F1746:$AJ1746,"CO"))</f>
        <v/>
      </c>
      <c r="AS1746" s="34" t="str">
        <f aca="false">IF($B1746="","",COUNTIF($F1746:$AJ1746,"HPL"))</f>
        <v/>
      </c>
      <c r="AT1746" s="34" t="str">
        <f aca="false">IF($B1746="","",COUNTIF($F1746:$AJ1746,"HCL"))</f>
        <v/>
      </c>
      <c r="AU1746" s="34" t="str">
        <f aca="false">IF($B1746="","",COUNTIF($F1746:$AJ1746,"WO"))</f>
        <v/>
      </c>
      <c r="AV1746" s="34" t="str">
        <f aca="false">IF($B1746="","",COUNTIF($F1746:$AJ1746,"PH"))</f>
        <v/>
      </c>
      <c r="AW1746" s="34" t="str">
        <f aca="false">IF($B1746="","",COUNTIF($F1746:$AJ1746,"TR"))</f>
        <v/>
      </c>
      <c r="AX1746" s="35" t="str">
        <f aca="false">IF($B1746="","",AO1746+AS1746/2)</f>
        <v/>
      </c>
      <c r="AY1746" s="35" t="str">
        <f aca="false">IF($B1746="","",AQ1746)</f>
        <v/>
      </c>
      <c r="AZ1746" s="35" t="str">
        <f aca="false">IF($B1746="","",AP1746+AT1746/2)</f>
        <v/>
      </c>
      <c r="BA1746" s="35" t="str">
        <f aca="false">IF($B1746="","",AK1746+AN1746+AM1746/2+AO1746+AP1746+AQ1746+AR1746+AS1746+AT1746+AU1746+AV1746+AW1746)</f>
        <v/>
      </c>
      <c r="BB1746" s="35" t="str">
        <f aca="false">IF($B1746="","",MAX(0,AN1746-Settings!$C$16)*Settings!$C$17)</f>
        <v/>
      </c>
      <c r="BC1746" s="35" t="str">
        <f aca="false">IF($B1746="","",BA1746-BB1746)</f>
        <v/>
      </c>
      <c r="BD1746" s="35" t="str">
        <f aca="false">IF(OR($B1746="",$A1746=""),"",DAY(EOMONTH($A1746,0))-COUNTA($F1746:$AJ1746))</f>
        <v/>
      </c>
    </row>
    <row r="1747" customFormat="false" ht="15" hidden="false" customHeight="false" outlineLevel="0" collapsed="false">
      <c r="A1747" s="32"/>
      <c r="B1747" s="29"/>
      <c r="C1747" s="10" t="str">
        <f aca="false">IF($B1747="","",IFERROR(INDEX(M_name,MATCH($B1747,M_emp,0)),"Code not found"))</f>
        <v/>
      </c>
      <c r="D1747" s="10" t="str">
        <f aca="false">IF($B1747="","",IFERROR(INDEX(M_dept,MATCH($B1747,M_emp,0)),""))</f>
        <v/>
      </c>
      <c r="E1747" s="10" t="str">
        <f aca="false">IF($B1747="","",IFERROR(INDEX(M_loc,MATCH($B1747,M_emp,0)),""))</f>
        <v/>
      </c>
      <c r="F1747" s="33"/>
      <c r="G1747" s="33"/>
      <c r="H1747" s="33"/>
      <c r="I1747" s="33"/>
      <c r="J1747" s="33"/>
      <c r="K1747" s="33"/>
      <c r="L1747" s="33"/>
      <c r="M1747" s="33"/>
      <c r="N1747" s="33"/>
      <c r="O1747" s="33"/>
      <c r="P1747" s="33"/>
      <c r="Q1747" s="33"/>
      <c r="R1747" s="33"/>
      <c r="S1747" s="33"/>
      <c r="T1747" s="33"/>
      <c r="U1747" s="33"/>
      <c r="V1747" s="33"/>
      <c r="W1747" s="33"/>
      <c r="X1747" s="33"/>
      <c r="Y1747" s="33"/>
      <c r="Z1747" s="33"/>
      <c r="AA1747" s="33"/>
      <c r="AB1747" s="33"/>
      <c r="AC1747" s="33"/>
      <c r="AD1747" s="33"/>
      <c r="AE1747" s="33"/>
      <c r="AF1747" s="33"/>
      <c r="AG1747" s="33"/>
      <c r="AH1747" s="33"/>
      <c r="AI1747" s="33"/>
      <c r="AJ1747" s="33"/>
      <c r="AK1747" s="34" t="str">
        <f aca="false">IF($B1747="","",COUNTIF($F1747:$AJ1747,"P"))</f>
        <v/>
      </c>
      <c r="AL1747" s="34" t="str">
        <f aca="false">IF($B1747="","",COUNTIF($F1747:$AJ1747,"A"))</f>
        <v/>
      </c>
      <c r="AM1747" s="34" t="str">
        <f aca="false">IF($B1747="","",COUNTIF($F1747:$AJ1747,"HA"))</f>
        <v/>
      </c>
      <c r="AN1747" s="34" t="str">
        <f aca="false">IF($B1747="","",COUNTIF($F1747:$AJ1747,"L"))</f>
        <v/>
      </c>
      <c r="AO1747" s="34" t="str">
        <f aca="false">IF($B1747="","",COUNTIF($F1747:$AJ1747,"PL"))</f>
        <v/>
      </c>
      <c r="AP1747" s="34" t="str">
        <f aca="false">IF($B1747="","",COUNTIF($F1747:$AJ1747,"CL"))</f>
        <v/>
      </c>
      <c r="AQ1747" s="34" t="str">
        <f aca="false">IF($B1747="","",COUNTIF($F1747:$AJ1747,"SL"))</f>
        <v/>
      </c>
      <c r="AR1747" s="34" t="str">
        <f aca="false">IF($B1747="","",COUNTIF($F1747:$AJ1747,"CO"))</f>
        <v/>
      </c>
      <c r="AS1747" s="34" t="str">
        <f aca="false">IF($B1747="","",COUNTIF($F1747:$AJ1747,"HPL"))</f>
        <v/>
      </c>
      <c r="AT1747" s="34" t="str">
        <f aca="false">IF($B1747="","",COUNTIF($F1747:$AJ1747,"HCL"))</f>
        <v/>
      </c>
      <c r="AU1747" s="34" t="str">
        <f aca="false">IF($B1747="","",COUNTIF($F1747:$AJ1747,"WO"))</f>
        <v/>
      </c>
      <c r="AV1747" s="34" t="str">
        <f aca="false">IF($B1747="","",COUNTIF($F1747:$AJ1747,"PH"))</f>
        <v/>
      </c>
      <c r="AW1747" s="34" t="str">
        <f aca="false">IF($B1747="","",COUNTIF($F1747:$AJ1747,"TR"))</f>
        <v/>
      </c>
      <c r="AX1747" s="35" t="str">
        <f aca="false">IF($B1747="","",AO1747+AS1747/2)</f>
        <v/>
      </c>
      <c r="AY1747" s="35" t="str">
        <f aca="false">IF($B1747="","",AQ1747)</f>
        <v/>
      </c>
      <c r="AZ1747" s="35" t="str">
        <f aca="false">IF($B1747="","",AP1747+AT1747/2)</f>
        <v/>
      </c>
      <c r="BA1747" s="35" t="str">
        <f aca="false">IF($B1747="","",AK1747+AN1747+AM1747/2+AO1747+AP1747+AQ1747+AR1747+AS1747+AT1747+AU1747+AV1747+AW1747)</f>
        <v/>
      </c>
      <c r="BB1747" s="35" t="str">
        <f aca="false">IF($B1747="","",MAX(0,AN1747-Settings!$C$16)*Settings!$C$17)</f>
        <v/>
      </c>
      <c r="BC1747" s="35" t="str">
        <f aca="false">IF($B1747="","",BA1747-BB1747)</f>
        <v/>
      </c>
      <c r="BD1747" s="35" t="str">
        <f aca="false">IF(OR($B1747="",$A1747=""),"",DAY(EOMONTH($A1747,0))-COUNTA($F1747:$AJ1747))</f>
        <v/>
      </c>
    </row>
    <row r="1748" customFormat="false" ht="15" hidden="false" customHeight="false" outlineLevel="0" collapsed="false">
      <c r="A1748" s="32"/>
      <c r="B1748" s="29"/>
      <c r="C1748" s="10" t="str">
        <f aca="false">IF($B1748="","",IFERROR(INDEX(M_name,MATCH($B1748,M_emp,0)),"Code not found"))</f>
        <v/>
      </c>
      <c r="D1748" s="10" t="str">
        <f aca="false">IF($B1748="","",IFERROR(INDEX(M_dept,MATCH($B1748,M_emp,0)),""))</f>
        <v/>
      </c>
      <c r="E1748" s="10" t="str">
        <f aca="false">IF($B1748="","",IFERROR(INDEX(M_loc,MATCH($B1748,M_emp,0)),""))</f>
        <v/>
      </c>
      <c r="F1748" s="33"/>
      <c r="G1748" s="33"/>
      <c r="H1748" s="33"/>
      <c r="I1748" s="33"/>
      <c r="J1748" s="33"/>
      <c r="K1748" s="33"/>
      <c r="L1748" s="33"/>
      <c r="M1748" s="33"/>
      <c r="N1748" s="33"/>
      <c r="O1748" s="33"/>
      <c r="P1748" s="33"/>
      <c r="Q1748" s="33"/>
      <c r="R1748" s="33"/>
      <c r="S1748" s="33"/>
      <c r="T1748" s="33"/>
      <c r="U1748" s="33"/>
      <c r="V1748" s="33"/>
      <c r="W1748" s="33"/>
      <c r="X1748" s="33"/>
      <c r="Y1748" s="33"/>
      <c r="Z1748" s="33"/>
      <c r="AA1748" s="33"/>
      <c r="AB1748" s="33"/>
      <c r="AC1748" s="33"/>
      <c r="AD1748" s="33"/>
      <c r="AE1748" s="33"/>
      <c r="AF1748" s="33"/>
      <c r="AG1748" s="33"/>
      <c r="AH1748" s="33"/>
      <c r="AI1748" s="33"/>
      <c r="AJ1748" s="33"/>
      <c r="AK1748" s="34" t="str">
        <f aca="false">IF($B1748="","",COUNTIF($F1748:$AJ1748,"P"))</f>
        <v/>
      </c>
      <c r="AL1748" s="34" t="str">
        <f aca="false">IF($B1748="","",COUNTIF($F1748:$AJ1748,"A"))</f>
        <v/>
      </c>
      <c r="AM1748" s="34" t="str">
        <f aca="false">IF($B1748="","",COUNTIF($F1748:$AJ1748,"HA"))</f>
        <v/>
      </c>
      <c r="AN1748" s="34" t="str">
        <f aca="false">IF($B1748="","",COUNTIF($F1748:$AJ1748,"L"))</f>
        <v/>
      </c>
      <c r="AO1748" s="34" t="str">
        <f aca="false">IF($B1748="","",COUNTIF($F1748:$AJ1748,"PL"))</f>
        <v/>
      </c>
      <c r="AP1748" s="34" t="str">
        <f aca="false">IF($B1748="","",COUNTIF($F1748:$AJ1748,"CL"))</f>
        <v/>
      </c>
      <c r="AQ1748" s="34" t="str">
        <f aca="false">IF($B1748="","",COUNTIF($F1748:$AJ1748,"SL"))</f>
        <v/>
      </c>
      <c r="AR1748" s="34" t="str">
        <f aca="false">IF($B1748="","",COUNTIF($F1748:$AJ1748,"CO"))</f>
        <v/>
      </c>
      <c r="AS1748" s="34" t="str">
        <f aca="false">IF($B1748="","",COUNTIF($F1748:$AJ1748,"HPL"))</f>
        <v/>
      </c>
      <c r="AT1748" s="34" t="str">
        <f aca="false">IF($B1748="","",COUNTIF($F1748:$AJ1748,"HCL"))</f>
        <v/>
      </c>
      <c r="AU1748" s="34" t="str">
        <f aca="false">IF($B1748="","",COUNTIF($F1748:$AJ1748,"WO"))</f>
        <v/>
      </c>
      <c r="AV1748" s="34" t="str">
        <f aca="false">IF($B1748="","",COUNTIF($F1748:$AJ1748,"PH"))</f>
        <v/>
      </c>
      <c r="AW1748" s="34" t="str">
        <f aca="false">IF($B1748="","",COUNTIF($F1748:$AJ1748,"TR"))</f>
        <v/>
      </c>
      <c r="AX1748" s="35" t="str">
        <f aca="false">IF($B1748="","",AO1748+AS1748/2)</f>
        <v/>
      </c>
      <c r="AY1748" s="35" t="str">
        <f aca="false">IF($B1748="","",AQ1748)</f>
        <v/>
      </c>
      <c r="AZ1748" s="35" t="str">
        <f aca="false">IF($B1748="","",AP1748+AT1748/2)</f>
        <v/>
      </c>
      <c r="BA1748" s="35" t="str">
        <f aca="false">IF($B1748="","",AK1748+AN1748+AM1748/2+AO1748+AP1748+AQ1748+AR1748+AS1748+AT1748+AU1748+AV1748+AW1748)</f>
        <v/>
      </c>
      <c r="BB1748" s="35" t="str">
        <f aca="false">IF($B1748="","",MAX(0,AN1748-Settings!$C$16)*Settings!$C$17)</f>
        <v/>
      </c>
      <c r="BC1748" s="35" t="str">
        <f aca="false">IF($B1748="","",BA1748-BB1748)</f>
        <v/>
      </c>
      <c r="BD1748" s="35" t="str">
        <f aca="false">IF(OR($B1748="",$A1748=""),"",DAY(EOMONTH($A1748,0))-COUNTA($F1748:$AJ1748))</f>
        <v/>
      </c>
    </row>
    <row r="1749" customFormat="false" ht="15" hidden="false" customHeight="false" outlineLevel="0" collapsed="false">
      <c r="A1749" s="32"/>
      <c r="B1749" s="29"/>
      <c r="C1749" s="10" t="str">
        <f aca="false">IF($B1749="","",IFERROR(INDEX(M_name,MATCH($B1749,M_emp,0)),"Code not found"))</f>
        <v/>
      </c>
      <c r="D1749" s="10" t="str">
        <f aca="false">IF($B1749="","",IFERROR(INDEX(M_dept,MATCH($B1749,M_emp,0)),""))</f>
        <v/>
      </c>
      <c r="E1749" s="10" t="str">
        <f aca="false">IF($B1749="","",IFERROR(INDEX(M_loc,MATCH($B1749,M_emp,0)),""))</f>
        <v/>
      </c>
      <c r="F1749" s="33"/>
      <c r="G1749" s="33"/>
      <c r="H1749" s="33"/>
      <c r="I1749" s="33"/>
      <c r="J1749" s="33"/>
      <c r="K1749" s="33"/>
      <c r="L1749" s="33"/>
      <c r="M1749" s="33"/>
      <c r="N1749" s="33"/>
      <c r="O1749" s="33"/>
      <c r="P1749" s="33"/>
      <c r="Q1749" s="33"/>
      <c r="R1749" s="33"/>
      <c r="S1749" s="33"/>
      <c r="T1749" s="33"/>
      <c r="U1749" s="33"/>
      <c r="V1749" s="33"/>
      <c r="W1749" s="33"/>
      <c r="X1749" s="33"/>
      <c r="Y1749" s="33"/>
      <c r="Z1749" s="33"/>
      <c r="AA1749" s="33"/>
      <c r="AB1749" s="33"/>
      <c r="AC1749" s="33"/>
      <c r="AD1749" s="33"/>
      <c r="AE1749" s="33"/>
      <c r="AF1749" s="33"/>
      <c r="AG1749" s="33"/>
      <c r="AH1749" s="33"/>
      <c r="AI1749" s="33"/>
      <c r="AJ1749" s="33"/>
      <c r="AK1749" s="34" t="str">
        <f aca="false">IF($B1749="","",COUNTIF($F1749:$AJ1749,"P"))</f>
        <v/>
      </c>
      <c r="AL1749" s="34" t="str">
        <f aca="false">IF($B1749="","",COUNTIF($F1749:$AJ1749,"A"))</f>
        <v/>
      </c>
      <c r="AM1749" s="34" t="str">
        <f aca="false">IF($B1749="","",COUNTIF($F1749:$AJ1749,"HA"))</f>
        <v/>
      </c>
      <c r="AN1749" s="34" t="str">
        <f aca="false">IF($B1749="","",COUNTIF($F1749:$AJ1749,"L"))</f>
        <v/>
      </c>
      <c r="AO1749" s="34" t="str">
        <f aca="false">IF($B1749="","",COUNTIF($F1749:$AJ1749,"PL"))</f>
        <v/>
      </c>
      <c r="AP1749" s="34" t="str">
        <f aca="false">IF($B1749="","",COUNTIF($F1749:$AJ1749,"CL"))</f>
        <v/>
      </c>
      <c r="AQ1749" s="34" t="str">
        <f aca="false">IF($B1749="","",COUNTIF($F1749:$AJ1749,"SL"))</f>
        <v/>
      </c>
      <c r="AR1749" s="34" t="str">
        <f aca="false">IF($B1749="","",COUNTIF($F1749:$AJ1749,"CO"))</f>
        <v/>
      </c>
      <c r="AS1749" s="34" t="str">
        <f aca="false">IF($B1749="","",COUNTIF($F1749:$AJ1749,"HPL"))</f>
        <v/>
      </c>
      <c r="AT1749" s="34" t="str">
        <f aca="false">IF($B1749="","",COUNTIF($F1749:$AJ1749,"HCL"))</f>
        <v/>
      </c>
      <c r="AU1749" s="34" t="str">
        <f aca="false">IF($B1749="","",COUNTIF($F1749:$AJ1749,"WO"))</f>
        <v/>
      </c>
      <c r="AV1749" s="34" t="str">
        <f aca="false">IF($B1749="","",COUNTIF($F1749:$AJ1749,"PH"))</f>
        <v/>
      </c>
      <c r="AW1749" s="34" t="str">
        <f aca="false">IF($B1749="","",COUNTIF($F1749:$AJ1749,"TR"))</f>
        <v/>
      </c>
      <c r="AX1749" s="35" t="str">
        <f aca="false">IF($B1749="","",AO1749+AS1749/2)</f>
        <v/>
      </c>
      <c r="AY1749" s="35" t="str">
        <f aca="false">IF($B1749="","",AQ1749)</f>
        <v/>
      </c>
      <c r="AZ1749" s="35" t="str">
        <f aca="false">IF($B1749="","",AP1749+AT1749/2)</f>
        <v/>
      </c>
      <c r="BA1749" s="35" t="str">
        <f aca="false">IF($B1749="","",AK1749+AN1749+AM1749/2+AO1749+AP1749+AQ1749+AR1749+AS1749+AT1749+AU1749+AV1749+AW1749)</f>
        <v/>
      </c>
      <c r="BB1749" s="35" t="str">
        <f aca="false">IF($B1749="","",MAX(0,AN1749-Settings!$C$16)*Settings!$C$17)</f>
        <v/>
      </c>
      <c r="BC1749" s="35" t="str">
        <f aca="false">IF($B1749="","",BA1749-BB1749)</f>
        <v/>
      </c>
      <c r="BD1749" s="35" t="str">
        <f aca="false">IF(OR($B1749="",$A1749=""),"",DAY(EOMONTH($A1749,0))-COUNTA($F1749:$AJ1749))</f>
        <v/>
      </c>
    </row>
    <row r="1750" customFormat="false" ht="15" hidden="false" customHeight="false" outlineLevel="0" collapsed="false">
      <c r="A1750" s="32"/>
      <c r="B1750" s="29"/>
      <c r="C1750" s="10" t="str">
        <f aca="false">IF($B1750="","",IFERROR(INDEX(M_name,MATCH($B1750,M_emp,0)),"Code not found"))</f>
        <v/>
      </c>
      <c r="D1750" s="10" t="str">
        <f aca="false">IF($B1750="","",IFERROR(INDEX(M_dept,MATCH($B1750,M_emp,0)),""))</f>
        <v/>
      </c>
      <c r="E1750" s="10" t="str">
        <f aca="false">IF($B1750="","",IFERROR(INDEX(M_loc,MATCH($B1750,M_emp,0)),""))</f>
        <v/>
      </c>
      <c r="F1750" s="33"/>
      <c r="G1750" s="33"/>
      <c r="H1750" s="33"/>
      <c r="I1750" s="33"/>
      <c r="J1750" s="33"/>
      <c r="K1750" s="33"/>
      <c r="L1750" s="33"/>
      <c r="M1750" s="33"/>
      <c r="N1750" s="33"/>
      <c r="O1750" s="33"/>
      <c r="P1750" s="33"/>
      <c r="Q1750" s="33"/>
      <c r="R1750" s="33"/>
      <c r="S1750" s="33"/>
      <c r="T1750" s="33"/>
      <c r="U1750" s="33"/>
      <c r="V1750" s="33"/>
      <c r="W1750" s="33"/>
      <c r="X1750" s="33"/>
      <c r="Y1750" s="33"/>
      <c r="Z1750" s="33"/>
      <c r="AA1750" s="33"/>
      <c r="AB1750" s="33"/>
      <c r="AC1750" s="33"/>
      <c r="AD1750" s="33"/>
      <c r="AE1750" s="33"/>
      <c r="AF1750" s="33"/>
      <c r="AG1750" s="33"/>
      <c r="AH1750" s="33"/>
      <c r="AI1750" s="33"/>
      <c r="AJ1750" s="33"/>
      <c r="AK1750" s="34" t="str">
        <f aca="false">IF($B1750="","",COUNTIF($F1750:$AJ1750,"P"))</f>
        <v/>
      </c>
      <c r="AL1750" s="34" t="str">
        <f aca="false">IF($B1750="","",COUNTIF($F1750:$AJ1750,"A"))</f>
        <v/>
      </c>
      <c r="AM1750" s="34" t="str">
        <f aca="false">IF($B1750="","",COUNTIF($F1750:$AJ1750,"HA"))</f>
        <v/>
      </c>
      <c r="AN1750" s="34" t="str">
        <f aca="false">IF($B1750="","",COUNTIF($F1750:$AJ1750,"L"))</f>
        <v/>
      </c>
      <c r="AO1750" s="34" t="str">
        <f aca="false">IF($B1750="","",COUNTIF($F1750:$AJ1750,"PL"))</f>
        <v/>
      </c>
      <c r="AP1750" s="34" t="str">
        <f aca="false">IF($B1750="","",COUNTIF($F1750:$AJ1750,"CL"))</f>
        <v/>
      </c>
      <c r="AQ1750" s="34" t="str">
        <f aca="false">IF($B1750="","",COUNTIF($F1750:$AJ1750,"SL"))</f>
        <v/>
      </c>
      <c r="AR1750" s="34" t="str">
        <f aca="false">IF($B1750="","",COUNTIF($F1750:$AJ1750,"CO"))</f>
        <v/>
      </c>
      <c r="AS1750" s="34" t="str">
        <f aca="false">IF($B1750="","",COUNTIF($F1750:$AJ1750,"HPL"))</f>
        <v/>
      </c>
      <c r="AT1750" s="34" t="str">
        <f aca="false">IF($B1750="","",COUNTIF($F1750:$AJ1750,"HCL"))</f>
        <v/>
      </c>
      <c r="AU1750" s="34" t="str">
        <f aca="false">IF($B1750="","",COUNTIF($F1750:$AJ1750,"WO"))</f>
        <v/>
      </c>
      <c r="AV1750" s="34" t="str">
        <f aca="false">IF($B1750="","",COUNTIF($F1750:$AJ1750,"PH"))</f>
        <v/>
      </c>
      <c r="AW1750" s="34" t="str">
        <f aca="false">IF($B1750="","",COUNTIF($F1750:$AJ1750,"TR"))</f>
        <v/>
      </c>
      <c r="AX1750" s="35" t="str">
        <f aca="false">IF($B1750="","",AO1750+AS1750/2)</f>
        <v/>
      </c>
      <c r="AY1750" s="35" t="str">
        <f aca="false">IF($B1750="","",AQ1750)</f>
        <v/>
      </c>
      <c r="AZ1750" s="35" t="str">
        <f aca="false">IF($B1750="","",AP1750+AT1750/2)</f>
        <v/>
      </c>
      <c r="BA1750" s="35" t="str">
        <f aca="false">IF($B1750="","",AK1750+AN1750+AM1750/2+AO1750+AP1750+AQ1750+AR1750+AS1750+AT1750+AU1750+AV1750+AW1750)</f>
        <v/>
      </c>
      <c r="BB1750" s="35" t="str">
        <f aca="false">IF($B1750="","",MAX(0,AN1750-Settings!$C$16)*Settings!$C$17)</f>
        <v/>
      </c>
      <c r="BC1750" s="35" t="str">
        <f aca="false">IF($B1750="","",BA1750-BB1750)</f>
        <v/>
      </c>
      <c r="BD1750" s="35" t="str">
        <f aca="false">IF(OR($B1750="",$A1750=""),"",DAY(EOMONTH($A1750,0))-COUNTA($F1750:$AJ1750))</f>
        <v/>
      </c>
    </row>
    <row r="1751" customFormat="false" ht="15" hidden="false" customHeight="false" outlineLevel="0" collapsed="false">
      <c r="A1751" s="32"/>
      <c r="B1751" s="29"/>
      <c r="C1751" s="10" t="str">
        <f aca="false">IF($B1751="","",IFERROR(INDEX(M_name,MATCH($B1751,M_emp,0)),"Code not found"))</f>
        <v/>
      </c>
      <c r="D1751" s="10" t="str">
        <f aca="false">IF($B1751="","",IFERROR(INDEX(M_dept,MATCH($B1751,M_emp,0)),""))</f>
        <v/>
      </c>
      <c r="E1751" s="10" t="str">
        <f aca="false">IF($B1751="","",IFERROR(INDEX(M_loc,MATCH($B1751,M_emp,0)),""))</f>
        <v/>
      </c>
      <c r="F1751" s="33"/>
      <c r="G1751" s="33"/>
      <c r="H1751" s="33"/>
      <c r="I1751" s="33"/>
      <c r="J1751" s="33"/>
      <c r="K1751" s="33"/>
      <c r="L1751" s="33"/>
      <c r="M1751" s="33"/>
      <c r="N1751" s="33"/>
      <c r="O1751" s="33"/>
      <c r="P1751" s="33"/>
      <c r="Q1751" s="33"/>
      <c r="R1751" s="33"/>
      <c r="S1751" s="33"/>
      <c r="T1751" s="33"/>
      <c r="U1751" s="33"/>
      <c r="V1751" s="33"/>
      <c r="W1751" s="33"/>
      <c r="X1751" s="33"/>
      <c r="Y1751" s="33"/>
      <c r="Z1751" s="33"/>
      <c r="AA1751" s="33"/>
      <c r="AB1751" s="33"/>
      <c r="AC1751" s="33"/>
      <c r="AD1751" s="33"/>
      <c r="AE1751" s="33"/>
      <c r="AF1751" s="33"/>
      <c r="AG1751" s="33"/>
      <c r="AH1751" s="33"/>
      <c r="AI1751" s="33"/>
      <c r="AJ1751" s="33"/>
      <c r="AK1751" s="34" t="str">
        <f aca="false">IF($B1751="","",COUNTIF($F1751:$AJ1751,"P"))</f>
        <v/>
      </c>
      <c r="AL1751" s="34" t="str">
        <f aca="false">IF($B1751="","",COUNTIF($F1751:$AJ1751,"A"))</f>
        <v/>
      </c>
      <c r="AM1751" s="34" t="str">
        <f aca="false">IF($B1751="","",COUNTIF($F1751:$AJ1751,"HA"))</f>
        <v/>
      </c>
      <c r="AN1751" s="34" t="str">
        <f aca="false">IF($B1751="","",COUNTIF($F1751:$AJ1751,"L"))</f>
        <v/>
      </c>
      <c r="AO1751" s="34" t="str">
        <f aca="false">IF($B1751="","",COUNTIF($F1751:$AJ1751,"PL"))</f>
        <v/>
      </c>
      <c r="AP1751" s="34" t="str">
        <f aca="false">IF($B1751="","",COUNTIF($F1751:$AJ1751,"CL"))</f>
        <v/>
      </c>
      <c r="AQ1751" s="34" t="str">
        <f aca="false">IF($B1751="","",COUNTIF($F1751:$AJ1751,"SL"))</f>
        <v/>
      </c>
      <c r="AR1751" s="34" t="str">
        <f aca="false">IF($B1751="","",COUNTIF($F1751:$AJ1751,"CO"))</f>
        <v/>
      </c>
      <c r="AS1751" s="34" t="str">
        <f aca="false">IF($B1751="","",COUNTIF($F1751:$AJ1751,"HPL"))</f>
        <v/>
      </c>
      <c r="AT1751" s="34" t="str">
        <f aca="false">IF($B1751="","",COUNTIF($F1751:$AJ1751,"HCL"))</f>
        <v/>
      </c>
      <c r="AU1751" s="34" t="str">
        <f aca="false">IF($B1751="","",COUNTIF($F1751:$AJ1751,"WO"))</f>
        <v/>
      </c>
      <c r="AV1751" s="34" t="str">
        <f aca="false">IF($B1751="","",COUNTIF($F1751:$AJ1751,"PH"))</f>
        <v/>
      </c>
      <c r="AW1751" s="34" t="str">
        <f aca="false">IF($B1751="","",COUNTIF($F1751:$AJ1751,"TR"))</f>
        <v/>
      </c>
      <c r="AX1751" s="35" t="str">
        <f aca="false">IF($B1751="","",AO1751+AS1751/2)</f>
        <v/>
      </c>
      <c r="AY1751" s="35" t="str">
        <f aca="false">IF($B1751="","",AQ1751)</f>
        <v/>
      </c>
      <c r="AZ1751" s="35" t="str">
        <f aca="false">IF($B1751="","",AP1751+AT1751/2)</f>
        <v/>
      </c>
      <c r="BA1751" s="35" t="str">
        <f aca="false">IF($B1751="","",AK1751+AN1751+AM1751/2+AO1751+AP1751+AQ1751+AR1751+AS1751+AT1751+AU1751+AV1751+AW1751)</f>
        <v/>
      </c>
      <c r="BB1751" s="35" t="str">
        <f aca="false">IF($B1751="","",MAX(0,AN1751-Settings!$C$16)*Settings!$C$17)</f>
        <v/>
      </c>
      <c r="BC1751" s="35" t="str">
        <f aca="false">IF($B1751="","",BA1751-BB1751)</f>
        <v/>
      </c>
      <c r="BD1751" s="35" t="str">
        <f aca="false">IF(OR($B1751="",$A1751=""),"",DAY(EOMONTH($A1751,0))-COUNTA($F1751:$AJ1751))</f>
        <v/>
      </c>
    </row>
    <row r="1752" customFormat="false" ht="15" hidden="false" customHeight="false" outlineLevel="0" collapsed="false">
      <c r="A1752" s="32"/>
      <c r="B1752" s="29"/>
      <c r="C1752" s="10" t="str">
        <f aca="false">IF($B1752="","",IFERROR(INDEX(M_name,MATCH($B1752,M_emp,0)),"Code not found"))</f>
        <v/>
      </c>
      <c r="D1752" s="10" t="str">
        <f aca="false">IF($B1752="","",IFERROR(INDEX(M_dept,MATCH($B1752,M_emp,0)),""))</f>
        <v/>
      </c>
      <c r="E1752" s="10" t="str">
        <f aca="false">IF($B1752="","",IFERROR(INDEX(M_loc,MATCH($B1752,M_emp,0)),""))</f>
        <v/>
      </c>
      <c r="F1752" s="33"/>
      <c r="G1752" s="33"/>
      <c r="H1752" s="33"/>
      <c r="I1752" s="33"/>
      <c r="J1752" s="33"/>
      <c r="K1752" s="33"/>
      <c r="L1752" s="33"/>
      <c r="M1752" s="33"/>
      <c r="N1752" s="33"/>
      <c r="O1752" s="33"/>
      <c r="P1752" s="33"/>
      <c r="Q1752" s="33"/>
      <c r="R1752" s="33"/>
      <c r="S1752" s="33"/>
      <c r="T1752" s="33"/>
      <c r="U1752" s="33"/>
      <c r="V1752" s="33"/>
      <c r="W1752" s="33"/>
      <c r="X1752" s="33"/>
      <c r="Y1752" s="33"/>
      <c r="Z1752" s="33"/>
      <c r="AA1752" s="33"/>
      <c r="AB1752" s="33"/>
      <c r="AC1752" s="33"/>
      <c r="AD1752" s="33"/>
      <c r="AE1752" s="33"/>
      <c r="AF1752" s="33"/>
      <c r="AG1752" s="33"/>
      <c r="AH1752" s="33"/>
      <c r="AI1752" s="33"/>
      <c r="AJ1752" s="33"/>
      <c r="AK1752" s="34" t="str">
        <f aca="false">IF($B1752="","",COUNTIF($F1752:$AJ1752,"P"))</f>
        <v/>
      </c>
      <c r="AL1752" s="34" t="str">
        <f aca="false">IF($B1752="","",COUNTIF($F1752:$AJ1752,"A"))</f>
        <v/>
      </c>
      <c r="AM1752" s="34" t="str">
        <f aca="false">IF($B1752="","",COUNTIF($F1752:$AJ1752,"HA"))</f>
        <v/>
      </c>
      <c r="AN1752" s="34" t="str">
        <f aca="false">IF($B1752="","",COUNTIF($F1752:$AJ1752,"L"))</f>
        <v/>
      </c>
      <c r="AO1752" s="34" t="str">
        <f aca="false">IF($B1752="","",COUNTIF($F1752:$AJ1752,"PL"))</f>
        <v/>
      </c>
      <c r="AP1752" s="34" t="str">
        <f aca="false">IF($B1752="","",COUNTIF($F1752:$AJ1752,"CL"))</f>
        <v/>
      </c>
      <c r="AQ1752" s="34" t="str">
        <f aca="false">IF($B1752="","",COUNTIF($F1752:$AJ1752,"SL"))</f>
        <v/>
      </c>
      <c r="AR1752" s="34" t="str">
        <f aca="false">IF($B1752="","",COUNTIF($F1752:$AJ1752,"CO"))</f>
        <v/>
      </c>
      <c r="AS1752" s="34" t="str">
        <f aca="false">IF($B1752="","",COUNTIF($F1752:$AJ1752,"HPL"))</f>
        <v/>
      </c>
      <c r="AT1752" s="34" t="str">
        <f aca="false">IF($B1752="","",COUNTIF($F1752:$AJ1752,"HCL"))</f>
        <v/>
      </c>
      <c r="AU1752" s="34" t="str">
        <f aca="false">IF($B1752="","",COUNTIF($F1752:$AJ1752,"WO"))</f>
        <v/>
      </c>
      <c r="AV1752" s="34" t="str">
        <f aca="false">IF($B1752="","",COUNTIF($F1752:$AJ1752,"PH"))</f>
        <v/>
      </c>
      <c r="AW1752" s="34" t="str">
        <f aca="false">IF($B1752="","",COUNTIF($F1752:$AJ1752,"TR"))</f>
        <v/>
      </c>
      <c r="AX1752" s="35" t="str">
        <f aca="false">IF($B1752="","",AO1752+AS1752/2)</f>
        <v/>
      </c>
      <c r="AY1752" s="35" t="str">
        <f aca="false">IF($B1752="","",AQ1752)</f>
        <v/>
      </c>
      <c r="AZ1752" s="35" t="str">
        <f aca="false">IF($B1752="","",AP1752+AT1752/2)</f>
        <v/>
      </c>
      <c r="BA1752" s="35" t="str">
        <f aca="false">IF($B1752="","",AK1752+AN1752+AM1752/2+AO1752+AP1752+AQ1752+AR1752+AS1752+AT1752+AU1752+AV1752+AW1752)</f>
        <v/>
      </c>
      <c r="BB1752" s="35" t="str">
        <f aca="false">IF($B1752="","",MAX(0,AN1752-Settings!$C$16)*Settings!$C$17)</f>
        <v/>
      </c>
      <c r="BC1752" s="35" t="str">
        <f aca="false">IF($B1752="","",BA1752-BB1752)</f>
        <v/>
      </c>
      <c r="BD1752" s="35" t="str">
        <f aca="false">IF(OR($B1752="",$A1752=""),"",DAY(EOMONTH($A1752,0))-COUNTA($F1752:$AJ1752))</f>
        <v/>
      </c>
    </row>
    <row r="1753" customFormat="false" ht="15" hidden="false" customHeight="false" outlineLevel="0" collapsed="false">
      <c r="A1753" s="32"/>
      <c r="B1753" s="29"/>
      <c r="C1753" s="10" t="str">
        <f aca="false">IF($B1753="","",IFERROR(INDEX(M_name,MATCH($B1753,M_emp,0)),"Code not found"))</f>
        <v/>
      </c>
      <c r="D1753" s="10" t="str">
        <f aca="false">IF($B1753="","",IFERROR(INDEX(M_dept,MATCH($B1753,M_emp,0)),""))</f>
        <v/>
      </c>
      <c r="E1753" s="10" t="str">
        <f aca="false">IF($B1753="","",IFERROR(INDEX(M_loc,MATCH($B1753,M_emp,0)),""))</f>
        <v/>
      </c>
      <c r="F1753" s="33"/>
      <c r="G1753" s="33"/>
      <c r="H1753" s="33"/>
      <c r="I1753" s="33"/>
      <c r="J1753" s="33"/>
      <c r="K1753" s="33"/>
      <c r="L1753" s="33"/>
      <c r="M1753" s="33"/>
      <c r="N1753" s="33"/>
      <c r="O1753" s="33"/>
      <c r="P1753" s="33"/>
      <c r="Q1753" s="33"/>
      <c r="R1753" s="33"/>
      <c r="S1753" s="33"/>
      <c r="T1753" s="33"/>
      <c r="U1753" s="33"/>
      <c r="V1753" s="33"/>
      <c r="W1753" s="33"/>
      <c r="X1753" s="33"/>
      <c r="Y1753" s="33"/>
      <c r="Z1753" s="33"/>
      <c r="AA1753" s="33"/>
      <c r="AB1753" s="33"/>
      <c r="AC1753" s="33"/>
      <c r="AD1753" s="33"/>
      <c r="AE1753" s="33"/>
      <c r="AF1753" s="33"/>
      <c r="AG1753" s="33"/>
      <c r="AH1753" s="33"/>
      <c r="AI1753" s="33"/>
      <c r="AJ1753" s="33"/>
      <c r="AK1753" s="34" t="str">
        <f aca="false">IF($B1753="","",COUNTIF($F1753:$AJ1753,"P"))</f>
        <v/>
      </c>
      <c r="AL1753" s="34" t="str">
        <f aca="false">IF($B1753="","",COUNTIF($F1753:$AJ1753,"A"))</f>
        <v/>
      </c>
      <c r="AM1753" s="34" t="str">
        <f aca="false">IF($B1753="","",COUNTIF($F1753:$AJ1753,"HA"))</f>
        <v/>
      </c>
      <c r="AN1753" s="34" t="str">
        <f aca="false">IF($B1753="","",COUNTIF($F1753:$AJ1753,"L"))</f>
        <v/>
      </c>
      <c r="AO1753" s="34" t="str">
        <f aca="false">IF($B1753="","",COUNTIF($F1753:$AJ1753,"PL"))</f>
        <v/>
      </c>
      <c r="AP1753" s="34" t="str">
        <f aca="false">IF($B1753="","",COUNTIF($F1753:$AJ1753,"CL"))</f>
        <v/>
      </c>
      <c r="AQ1753" s="34" t="str">
        <f aca="false">IF($B1753="","",COUNTIF($F1753:$AJ1753,"SL"))</f>
        <v/>
      </c>
      <c r="AR1753" s="34" t="str">
        <f aca="false">IF($B1753="","",COUNTIF($F1753:$AJ1753,"CO"))</f>
        <v/>
      </c>
      <c r="AS1753" s="34" t="str">
        <f aca="false">IF($B1753="","",COUNTIF($F1753:$AJ1753,"HPL"))</f>
        <v/>
      </c>
      <c r="AT1753" s="34" t="str">
        <f aca="false">IF($B1753="","",COUNTIF($F1753:$AJ1753,"HCL"))</f>
        <v/>
      </c>
      <c r="AU1753" s="34" t="str">
        <f aca="false">IF($B1753="","",COUNTIF($F1753:$AJ1753,"WO"))</f>
        <v/>
      </c>
      <c r="AV1753" s="34" t="str">
        <f aca="false">IF($B1753="","",COUNTIF($F1753:$AJ1753,"PH"))</f>
        <v/>
      </c>
      <c r="AW1753" s="34" t="str">
        <f aca="false">IF($B1753="","",COUNTIF($F1753:$AJ1753,"TR"))</f>
        <v/>
      </c>
      <c r="AX1753" s="35" t="str">
        <f aca="false">IF($B1753="","",AO1753+AS1753/2)</f>
        <v/>
      </c>
      <c r="AY1753" s="35" t="str">
        <f aca="false">IF($B1753="","",AQ1753)</f>
        <v/>
      </c>
      <c r="AZ1753" s="35" t="str">
        <f aca="false">IF($B1753="","",AP1753+AT1753/2)</f>
        <v/>
      </c>
      <c r="BA1753" s="35" t="str">
        <f aca="false">IF($B1753="","",AK1753+AN1753+AM1753/2+AO1753+AP1753+AQ1753+AR1753+AS1753+AT1753+AU1753+AV1753+AW1753)</f>
        <v/>
      </c>
      <c r="BB1753" s="35" t="str">
        <f aca="false">IF($B1753="","",MAX(0,AN1753-Settings!$C$16)*Settings!$C$17)</f>
        <v/>
      </c>
      <c r="BC1753" s="35" t="str">
        <f aca="false">IF($B1753="","",BA1753-BB1753)</f>
        <v/>
      </c>
      <c r="BD1753" s="35" t="str">
        <f aca="false">IF(OR($B1753="",$A1753=""),"",DAY(EOMONTH($A1753,0))-COUNTA($F1753:$AJ1753))</f>
        <v/>
      </c>
    </row>
    <row r="1754" customFormat="false" ht="15" hidden="false" customHeight="false" outlineLevel="0" collapsed="false">
      <c r="A1754" s="32"/>
      <c r="B1754" s="29"/>
      <c r="C1754" s="10" t="str">
        <f aca="false">IF($B1754="","",IFERROR(INDEX(M_name,MATCH($B1754,M_emp,0)),"Code not found"))</f>
        <v/>
      </c>
      <c r="D1754" s="10" t="str">
        <f aca="false">IF($B1754="","",IFERROR(INDEX(M_dept,MATCH($B1754,M_emp,0)),""))</f>
        <v/>
      </c>
      <c r="E1754" s="10" t="str">
        <f aca="false">IF($B1754="","",IFERROR(INDEX(M_loc,MATCH($B1754,M_emp,0)),""))</f>
        <v/>
      </c>
      <c r="F1754" s="33"/>
      <c r="G1754" s="33"/>
      <c r="H1754" s="33"/>
      <c r="I1754" s="33"/>
      <c r="J1754" s="33"/>
      <c r="K1754" s="33"/>
      <c r="L1754" s="33"/>
      <c r="M1754" s="33"/>
      <c r="N1754" s="33"/>
      <c r="O1754" s="33"/>
      <c r="P1754" s="33"/>
      <c r="Q1754" s="33"/>
      <c r="R1754" s="33"/>
      <c r="S1754" s="33"/>
      <c r="T1754" s="33"/>
      <c r="U1754" s="33"/>
      <c r="V1754" s="33"/>
      <c r="W1754" s="33"/>
      <c r="X1754" s="33"/>
      <c r="Y1754" s="33"/>
      <c r="Z1754" s="33"/>
      <c r="AA1754" s="33"/>
      <c r="AB1754" s="33"/>
      <c r="AC1754" s="33"/>
      <c r="AD1754" s="33"/>
      <c r="AE1754" s="33"/>
      <c r="AF1754" s="33"/>
      <c r="AG1754" s="33"/>
      <c r="AH1754" s="33"/>
      <c r="AI1754" s="33"/>
      <c r="AJ1754" s="33"/>
      <c r="AK1754" s="34" t="str">
        <f aca="false">IF($B1754="","",COUNTIF($F1754:$AJ1754,"P"))</f>
        <v/>
      </c>
      <c r="AL1754" s="34" t="str">
        <f aca="false">IF($B1754="","",COUNTIF($F1754:$AJ1754,"A"))</f>
        <v/>
      </c>
      <c r="AM1754" s="34" t="str">
        <f aca="false">IF($B1754="","",COUNTIF($F1754:$AJ1754,"HA"))</f>
        <v/>
      </c>
      <c r="AN1754" s="34" t="str">
        <f aca="false">IF($B1754="","",COUNTIF($F1754:$AJ1754,"L"))</f>
        <v/>
      </c>
      <c r="AO1754" s="34" t="str">
        <f aca="false">IF($B1754="","",COUNTIF($F1754:$AJ1754,"PL"))</f>
        <v/>
      </c>
      <c r="AP1754" s="34" t="str">
        <f aca="false">IF($B1754="","",COUNTIF($F1754:$AJ1754,"CL"))</f>
        <v/>
      </c>
      <c r="AQ1754" s="34" t="str">
        <f aca="false">IF($B1754="","",COUNTIF($F1754:$AJ1754,"SL"))</f>
        <v/>
      </c>
      <c r="AR1754" s="34" t="str">
        <f aca="false">IF($B1754="","",COUNTIF($F1754:$AJ1754,"CO"))</f>
        <v/>
      </c>
      <c r="AS1754" s="34" t="str">
        <f aca="false">IF($B1754="","",COUNTIF($F1754:$AJ1754,"HPL"))</f>
        <v/>
      </c>
      <c r="AT1754" s="34" t="str">
        <f aca="false">IF($B1754="","",COUNTIF($F1754:$AJ1754,"HCL"))</f>
        <v/>
      </c>
      <c r="AU1754" s="34" t="str">
        <f aca="false">IF($B1754="","",COUNTIF($F1754:$AJ1754,"WO"))</f>
        <v/>
      </c>
      <c r="AV1754" s="34" t="str">
        <f aca="false">IF($B1754="","",COUNTIF($F1754:$AJ1754,"PH"))</f>
        <v/>
      </c>
      <c r="AW1754" s="34" t="str">
        <f aca="false">IF($B1754="","",COUNTIF($F1754:$AJ1754,"TR"))</f>
        <v/>
      </c>
      <c r="AX1754" s="35" t="str">
        <f aca="false">IF($B1754="","",AO1754+AS1754/2)</f>
        <v/>
      </c>
      <c r="AY1754" s="35" t="str">
        <f aca="false">IF($B1754="","",AQ1754)</f>
        <v/>
      </c>
      <c r="AZ1754" s="35" t="str">
        <f aca="false">IF($B1754="","",AP1754+AT1754/2)</f>
        <v/>
      </c>
      <c r="BA1754" s="35" t="str">
        <f aca="false">IF($B1754="","",AK1754+AN1754+AM1754/2+AO1754+AP1754+AQ1754+AR1754+AS1754+AT1754+AU1754+AV1754+AW1754)</f>
        <v/>
      </c>
      <c r="BB1754" s="35" t="str">
        <f aca="false">IF($B1754="","",MAX(0,AN1754-Settings!$C$16)*Settings!$C$17)</f>
        <v/>
      </c>
      <c r="BC1754" s="35" t="str">
        <f aca="false">IF($B1754="","",BA1754-BB1754)</f>
        <v/>
      </c>
      <c r="BD1754" s="35" t="str">
        <f aca="false">IF(OR($B1754="",$A1754=""),"",DAY(EOMONTH($A1754,0))-COUNTA($F1754:$AJ1754))</f>
        <v/>
      </c>
    </row>
    <row r="1755" customFormat="false" ht="15" hidden="false" customHeight="false" outlineLevel="0" collapsed="false">
      <c r="A1755" s="32"/>
      <c r="B1755" s="29"/>
      <c r="C1755" s="10" t="str">
        <f aca="false">IF($B1755="","",IFERROR(INDEX(M_name,MATCH($B1755,M_emp,0)),"Code not found"))</f>
        <v/>
      </c>
      <c r="D1755" s="10" t="str">
        <f aca="false">IF($B1755="","",IFERROR(INDEX(M_dept,MATCH($B1755,M_emp,0)),""))</f>
        <v/>
      </c>
      <c r="E1755" s="10" t="str">
        <f aca="false">IF($B1755="","",IFERROR(INDEX(M_loc,MATCH($B1755,M_emp,0)),""))</f>
        <v/>
      </c>
      <c r="F1755" s="33"/>
      <c r="G1755" s="33"/>
      <c r="H1755" s="33"/>
      <c r="I1755" s="33"/>
      <c r="J1755" s="33"/>
      <c r="K1755" s="33"/>
      <c r="L1755" s="33"/>
      <c r="M1755" s="33"/>
      <c r="N1755" s="33"/>
      <c r="O1755" s="33"/>
      <c r="P1755" s="33"/>
      <c r="Q1755" s="33"/>
      <c r="R1755" s="33"/>
      <c r="S1755" s="33"/>
      <c r="T1755" s="33"/>
      <c r="U1755" s="33"/>
      <c r="V1755" s="33"/>
      <c r="W1755" s="33"/>
      <c r="X1755" s="33"/>
      <c r="Y1755" s="33"/>
      <c r="Z1755" s="33"/>
      <c r="AA1755" s="33"/>
      <c r="AB1755" s="33"/>
      <c r="AC1755" s="33"/>
      <c r="AD1755" s="33"/>
      <c r="AE1755" s="33"/>
      <c r="AF1755" s="33"/>
      <c r="AG1755" s="33"/>
      <c r="AH1755" s="33"/>
      <c r="AI1755" s="33"/>
      <c r="AJ1755" s="33"/>
      <c r="AK1755" s="34" t="str">
        <f aca="false">IF($B1755="","",COUNTIF($F1755:$AJ1755,"P"))</f>
        <v/>
      </c>
      <c r="AL1755" s="34" t="str">
        <f aca="false">IF($B1755="","",COUNTIF($F1755:$AJ1755,"A"))</f>
        <v/>
      </c>
      <c r="AM1755" s="34" t="str">
        <f aca="false">IF($B1755="","",COUNTIF($F1755:$AJ1755,"HA"))</f>
        <v/>
      </c>
      <c r="AN1755" s="34" t="str">
        <f aca="false">IF($B1755="","",COUNTIF($F1755:$AJ1755,"L"))</f>
        <v/>
      </c>
      <c r="AO1755" s="34" t="str">
        <f aca="false">IF($B1755="","",COUNTIF($F1755:$AJ1755,"PL"))</f>
        <v/>
      </c>
      <c r="AP1755" s="34" t="str">
        <f aca="false">IF($B1755="","",COUNTIF($F1755:$AJ1755,"CL"))</f>
        <v/>
      </c>
      <c r="AQ1755" s="34" t="str">
        <f aca="false">IF($B1755="","",COUNTIF($F1755:$AJ1755,"SL"))</f>
        <v/>
      </c>
      <c r="AR1755" s="34" t="str">
        <f aca="false">IF($B1755="","",COUNTIF($F1755:$AJ1755,"CO"))</f>
        <v/>
      </c>
      <c r="AS1755" s="34" t="str">
        <f aca="false">IF($B1755="","",COUNTIF($F1755:$AJ1755,"HPL"))</f>
        <v/>
      </c>
      <c r="AT1755" s="34" t="str">
        <f aca="false">IF($B1755="","",COUNTIF($F1755:$AJ1755,"HCL"))</f>
        <v/>
      </c>
      <c r="AU1755" s="34" t="str">
        <f aca="false">IF($B1755="","",COUNTIF($F1755:$AJ1755,"WO"))</f>
        <v/>
      </c>
      <c r="AV1755" s="34" t="str">
        <f aca="false">IF($B1755="","",COUNTIF($F1755:$AJ1755,"PH"))</f>
        <v/>
      </c>
      <c r="AW1755" s="34" t="str">
        <f aca="false">IF($B1755="","",COUNTIF($F1755:$AJ1755,"TR"))</f>
        <v/>
      </c>
      <c r="AX1755" s="35" t="str">
        <f aca="false">IF($B1755="","",AO1755+AS1755/2)</f>
        <v/>
      </c>
      <c r="AY1755" s="35" t="str">
        <f aca="false">IF($B1755="","",AQ1755)</f>
        <v/>
      </c>
      <c r="AZ1755" s="35" t="str">
        <f aca="false">IF($B1755="","",AP1755+AT1755/2)</f>
        <v/>
      </c>
      <c r="BA1755" s="35" t="str">
        <f aca="false">IF($B1755="","",AK1755+AN1755+AM1755/2+AO1755+AP1755+AQ1755+AR1755+AS1755+AT1755+AU1755+AV1755+AW1755)</f>
        <v/>
      </c>
      <c r="BB1755" s="35" t="str">
        <f aca="false">IF($B1755="","",MAX(0,AN1755-Settings!$C$16)*Settings!$C$17)</f>
        <v/>
      </c>
      <c r="BC1755" s="35" t="str">
        <f aca="false">IF($B1755="","",BA1755-BB1755)</f>
        <v/>
      </c>
      <c r="BD1755" s="35" t="str">
        <f aca="false">IF(OR($B1755="",$A1755=""),"",DAY(EOMONTH($A1755,0))-COUNTA($F1755:$AJ1755))</f>
        <v/>
      </c>
    </row>
    <row r="1756" customFormat="false" ht="15" hidden="false" customHeight="false" outlineLevel="0" collapsed="false">
      <c r="A1756" s="32"/>
      <c r="B1756" s="29"/>
      <c r="C1756" s="10" t="str">
        <f aca="false">IF($B1756="","",IFERROR(INDEX(M_name,MATCH($B1756,M_emp,0)),"Code not found"))</f>
        <v/>
      </c>
      <c r="D1756" s="10" t="str">
        <f aca="false">IF($B1756="","",IFERROR(INDEX(M_dept,MATCH($B1756,M_emp,0)),""))</f>
        <v/>
      </c>
      <c r="E1756" s="10" t="str">
        <f aca="false">IF($B1756="","",IFERROR(INDEX(M_loc,MATCH($B1756,M_emp,0)),""))</f>
        <v/>
      </c>
      <c r="F1756" s="33"/>
      <c r="G1756" s="33"/>
      <c r="H1756" s="33"/>
      <c r="I1756" s="33"/>
      <c r="J1756" s="33"/>
      <c r="K1756" s="33"/>
      <c r="L1756" s="33"/>
      <c r="M1756" s="33"/>
      <c r="N1756" s="33"/>
      <c r="O1756" s="33"/>
      <c r="P1756" s="33"/>
      <c r="Q1756" s="33"/>
      <c r="R1756" s="33"/>
      <c r="S1756" s="33"/>
      <c r="T1756" s="33"/>
      <c r="U1756" s="33"/>
      <c r="V1756" s="33"/>
      <c r="W1756" s="33"/>
      <c r="X1756" s="33"/>
      <c r="Y1756" s="33"/>
      <c r="Z1756" s="33"/>
      <c r="AA1756" s="33"/>
      <c r="AB1756" s="33"/>
      <c r="AC1756" s="33"/>
      <c r="AD1756" s="33"/>
      <c r="AE1756" s="33"/>
      <c r="AF1756" s="33"/>
      <c r="AG1756" s="33"/>
      <c r="AH1756" s="33"/>
      <c r="AI1756" s="33"/>
      <c r="AJ1756" s="33"/>
      <c r="AK1756" s="34" t="str">
        <f aca="false">IF($B1756="","",COUNTIF($F1756:$AJ1756,"P"))</f>
        <v/>
      </c>
      <c r="AL1756" s="34" t="str">
        <f aca="false">IF($B1756="","",COUNTIF($F1756:$AJ1756,"A"))</f>
        <v/>
      </c>
      <c r="AM1756" s="34" t="str">
        <f aca="false">IF($B1756="","",COUNTIF($F1756:$AJ1756,"HA"))</f>
        <v/>
      </c>
      <c r="AN1756" s="34" t="str">
        <f aca="false">IF($B1756="","",COUNTIF($F1756:$AJ1756,"L"))</f>
        <v/>
      </c>
      <c r="AO1756" s="34" t="str">
        <f aca="false">IF($B1756="","",COUNTIF($F1756:$AJ1756,"PL"))</f>
        <v/>
      </c>
      <c r="AP1756" s="34" t="str">
        <f aca="false">IF($B1756="","",COUNTIF($F1756:$AJ1756,"CL"))</f>
        <v/>
      </c>
      <c r="AQ1756" s="34" t="str">
        <f aca="false">IF($B1756="","",COUNTIF($F1756:$AJ1756,"SL"))</f>
        <v/>
      </c>
      <c r="AR1756" s="34" t="str">
        <f aca="false">IF($B1756="","",COUNTIF($F1756:$AJ1756,"CO"))</f>
        <v/>
      </c>
      <c r="AS1756" s="34" t="str">
        <f aca="false">IF($B1756="","",COUNTIF($F1756:$AJ1756,"HPL"))</f>
        <v/>
      </c>
      <c r="AT1756" s="34" t="str">
        <f aca="false">IF($B1756="","",COUNTIF($F1756:$AJ1756,"HCL"))</f>
        <v/>
      </c>
      <c r="AU1756" s="34" t="str">
        <f aca="false">IF($B1756="","",COUNTIF($F1756:$AJ1756,"WO"))</f>
        <v/>
      </c>
      <c r="AV1756" s="34" t="str">
        <f aca="false">IF($B1756="","",COUNTIF($F1756:$AJ1756,"PH"))</f>
        <v/>
      </c>
      <c r="AW1756" s="34" t="str">
        <f aca="false">IF($B1756="","",COUNTIF($F1756:$AJ1756,"TR"))</f>
        <v/>
      </c>
      <c r="AX1756" s="35" t="str">
        <f aca="false">IF($B1756="","",AO1756+AS1756/2)</f>
        <v/>
      </c>
      <c r="AY1756" s="35" t="str">
        <f aca="false">IF($B1756="","",AQ1756)</f>
        <v/>
      </c>
      <c r="AZ1756" s="35" t="str">
        <f aca="false">IF($B1756="","",AP1756+AT1756/2)</f>
        <v/>
      </c>
      <c r="BA1756" s="35" t="str">
        <f aca="false">IF($B1756="","",AK1756+AN1756+AM1756/2+AO1756+AP1756+AQ1756+AR1756+AS1756+AT1756+AU1756+AV1756+AW1756)</f>
        <v/>
      </c>
      <c r="BB1756" s="35" t="str">
        <f aca="false">IF($B1756="","",MAX(0,AN1756-Settings!$C$16)*Settings!$C$17)</f>
        <v/>
      </c>
      <c r="BC1756" s="35" t="str">
        <f aca="false">IF($B1756="","",BA1756-BB1756)</f>
        <v/>
      </c>
      <c r="BD1756" s="35" t="str">
        <f aca="false">IF(OR($B1756="",$A1756=""),"",DAY(EOMONTH($A1756,0))-COUNTA($F1756:$AJ1756))</f>
        <v/>
      </c>
    </row>
    <row r="1757" customFormat="false" ht="15" hidden="false" customHeight="false" outlineLevel="0" collapsed="false">
      <c r="A1757" s="32"/>
      <c r="B1757" s="29"/>
      <c r="C1757" s="10" t="str">
        <f aca="false">IF($B1757="","",IFERROR(INDEX(M_name,MATCH($B1757,M_emp,0)),"Code not found"))</f>
        <v/>
      </c>
      <c r="D1757" s="10" t="str">
        <f aca="false">IF($B1757="","",IFERROR(INDEX(M_dept,MATCH($B1757,M_emp,0)),""))</f>
        <v/>
      </c>
      <c r="E1757" s="10" t="str">
        <f aca="false">IF($B1757="","",IFERROR(INDEX(M_loc,MATCH($B1757,M_emp,0)),""))</f>
        <v/>
      </c>
      <c r="F1757" s="33"/>
      <c r="G1757" s="33"/>
      <c r="H1757" s="33"/>
      <c r="I1757" s="33"/>
      <c r="J1757" s="33"/>
      <c r="K1757" s="33"/>
      <c r="L1757" s="33"/>
      <c r="M1757" s="33"/>
      <c r="N1757" s="33"/>
      <c r="O1757" s="33"/>
      <c r="P1757" s="33"/>
      <c r="Q1757" s="33"/>
      <c r="R1757" s="33"/>
      <c r="S1757" s="33"/>
      <c r="T1757" s="33"/>
      <c r="U1757" s="33"/>
      <c r="V1757" s="33"/>
      <c r="W1757" s="33"/>
      <c r="X1757" s="33"/>
      <c r="Y1757" s="33"/>
      <c r="Z1757" s="33"/>
      <c r="AA1757" s="33"/>
      <c r="AB1757" s="33"/>
      <c r="AC1757" s="33"/>
      <c r="AD1757" s="33"/>
      <c r="AE1757" s="33"/>
      <c r="AF1757" s="33"/>
      <c r="AG1757" s="33"/>
      <c r="AH1757" s="33"/>
      <c r="AI1757" s="33"/>
      <c r="AJ1757" s="33"/>
      <c r="AK1757" s="34" t="str">
        <f aca="false">IF($B1757="","",COUNTIF($F1757:$AJ1757,"P"))</f>
        <v/>
      </c>
      <c r="AL1757" s="34" t="str">
        <f aca="false">IF($B1757="","",COUNTIF($F1757:$AJ1757,"A"))</f>
        <v/>
      </c>
      <c r="AM1757" s="34" t="str">
        <f aca="false">IF($B1757="","",COUNTIF($F1757:$AJ1757,"HA"))</f>
        <v/>
      </c>
      <c r="AN1757" s="34" t="str">
        <f aca="false">IF($B1757="","",COUNTIF($F1757:$AJ1757,"L"))</f>
        <v/>
      </c>
      <c r="AO1757" s="34" t="str">
        <f aca="false">IF($B1757="","",COUNTIF($F1757:$AJ1757,"PL"))</f>
        <v/>
      </c>
      <c r="AP1757" s="34" t="str">
        <f aca="false">IF($B1757="","",COUNTIF($F1757:$AJ1757,"CL"))</f>
        <v/>
      </c>
      <c r="AQ1757" s="34" t="str">
        <f aca="false">IF($B1757="","",COUNTIF($F1757:$AJ1757,"SL"))</f>
        <v/>
      </c>
      <c r="AR1757" s="34" t="str">
        <f aca="false">IF($B1757="","",COUNTIF($F1757:$AJ1757,"CO"))</f>
        <v/>
      </c>
      <c r="AS1757" s="34" t="str">
        <f aca="false">IF($B1757="","",COUNTIF($F1757:$AJ1757,"HPL"))</f>
        <v/>
      </c>
      <c r="AT1757" s="34" t="str">
        <f aca="false">IF($B1757="","",COUNTIF($F1757:$AJ1757,"HCL"))</f>
        <v/>
      </c>
      <c r="AU1757" s="34" t="str">
        <f aca="false">IF($B1757="","",COUNTIF($F1757:$AJ1757,"WO"))</f>
        <v/>
      </c>
      <c r="AV1757" s="34" t="str">
        <f aca="false">IF($B1757="","",COUNTIF($F1757:$AJ1757,"PH"))</f>
        <v/>
      </c>
      <c r="AW1757" s="34" t="str">
        <f aca="false">IF($B1757="","",COUNTIF($F1757:$AJ1757,"TR"))</f>
        <v/>
      </c>
      <c r="AX1757" s="35" t="str">
        <f aca="false">IF($B1757="","",AO1757+AS1757/2)</f>
        <v/>
      </c>
      <c r="AY1757" s="35" t="str">
        <f aca="false">IF($B1757="","",AQ1757)</f>
        <v/>
      </c>
      <c r="AZ1757" s="35" t="str">
        <f aca="false">IF($B1757="","",AP1757+AT1757/2)</f>
        <v/>
      </c>
      <c r="BA1757" s="35" t="str">
        <f aca="false">IF($B1757="","",AK1757+AN1757+AM1757/2+AO1757+AP1757+AQ1757+AR1757+AS1757+AT1757+AU1757+AV1757+AW1757)</f>
        <v/>
      </c>
      <c r="BB1757" s="35" t="str">
        <f aca="false">IF($B1757="","",MAX(0,AN1757-Settings!$C$16)*Settings!$C$17)</f>
        <v/>
      </c>
      <c r="BC1757" s="35" t="str">
        <f aca="false">IF($B1757="","",BA1757-BB1757)</f>
        <v/>
      </c>
      <c r="BD1757" s="35" t="str">
        <f aca="false">IF(OR($B1757="",$A1757=""),"",DAY(EOMONTH($A1757,0))-COUNTA($F1757:$AJ1757))</f>
        <v/>
      </c>
    </row>
    <row r="1758" customFormat="false" ht="15" hidden="false" customHeight="false" outlineLevel="0" collapsed="false">
      <c r="A1758" s="32"/>
      <c r="B1758" s="29"/>
      <c r="C1758" s="10" t="str">
        <f aca="false">IF($B1758="","",IFERROR(INDEX(M_name,MATCH($B1758,M_emp,0)),"Code not found"))</f>
        <v/>
      </c>
      <c r="D1758" s="10" t="str">
        <f aca="false">IF($B1758="","",IFERROR(INDEX(M_dept,MATCH($B1758,M_emp,0)),""))</f>
        <v/>
      </c>
      <c r="E1758" s="10" t="str">
        <f aca="false">IF($B1758="","",IFERROR(INDEX(M_loc,MATCH($B1758,M_emp,0)),""))</f>
        <v/>
      </c>
      <c r="F1758" s="33"/>
      <c r="G1758" s="33"/>
      <c r="H1758" s="33"/>
      <c r="I1758" s="33"/>
      <c r="J1758" s="33"/>
      <c r="K1758" s="33"/>
      <c r="L1758" s="33"/>
      <c r="M1758" s="33"/>
      <c r="N1758" s="33"/>
      <c r="O1758" s="33"/>
      <c r="P1758" s="33"/>
      <c r="Q1758" s="33"/>
      <c r="R1758" s="33"/>
      <c r="S1758" s="33"/>
      <c r="T1758" s="33"/>
      <c r="U1758" s="33"/>
      <c r="V1758" s="33"/>
      <c r="W1758" s="33"/>
      <c r="X1758" s="33"/>
      <c r="Y1758" s="33"/>
      <c r="Z1758" s="33"/>
      <c r="AA1758" s="33"/>
      <c r="AB1758" s="33"/>
      <c r="AC1758" s="33"/>
      <c r="AD1758" s="33"/>
      <c r="AE1758" s="33"/>
      <c r="AF1758" s="33"/>
      <c r="AG1758" s="33"/>
      <c r="AH1758" s="33"/>
      <c r="AI1758" s="33"/>
      <c r="AJ1758" s="33"/>
      <c r="AK1758" s="34" t="str">
        <f aca="false">IF($B1758="","",COUNTIF($F1758:$AJ1758,"P"))</f>
        <v/>
      </c>
      <c r="AL1758" s="34" t="str">
        <f aca="false">IF($B1758="","",COUNTIF($F1758:$AJ1758,"A"))</f>
        <v/>
      </c>
      <c r="AM1758" s="34" t="str">
        <f aca="false">IF($B1758="","",COUNTIF($F1758:$AJ1758,"HA"))</f>
        <v/>
      </c>
      <c r="AN1758" s="34" t="str">
        <f aca="false">IF($B1758="","",COUNTIF($F1758:$AJ1758,"L"))</f>
        <v/>
      </c>
      <c r="AO1758" s="34" t="str">
        <f aca="false">IF($B1758="","",COUNTIF($F1758:$AJ1758,"PL"))</f>
        <v/>
      </c>
      <c r="AP1758" s="34" t="str">
        <f aca="false">IF($B1758="","",COUNTIF($F1758:$AJ1758,"CL"))</f>
        <v/>
      </c>
      <c r="AQ1758" s="34" t="str">
        <f aca="false">IF($B1758="","",COUNTIF($F1758:$AJ1758,"SL"))</f>
        <v/>
      </c>
      <c r="AR1758" s="34" t="str">
        <f aca="false">IF($B1758="","",COUNTIF($F1758:$AJ1758,"CO"))</f>
        <v/>
      </c>
      <c r="AS1758" s="34" t="str">
        <f aca="false">IF($B1758="","",COUNTIF($F1758:$AJ1758,"HPL"))</f>
        <v/>
      </c>
      <c r="AT1758" s="34" t="str">
        <f aca="false">IF($B1758="","",COUNTIF($F1758:$AJ1758,"HCL"))</f>
        <v/>
      </c>
      <c r="AU1758" s="34" t="str">
        <f aca="false">IF($B1758="","",COUNTIF($F1758:$AJ1758,"WO"))</f>
        <v/>
      </c>
      <c r="AV1758" s="34" t="str">
        <f aca="false">IF($B1758="","",COUNTIF($F1758:$AJ1758,"PH"))</f>
        <v/>
      </c>
      <c r="AW1758" s="34" t="str">
        <f aca="false">IF($B1758="","",COUNTIF($F1758:$AJ1758,"TR"))</f>
        <v/>
      </c>
      <c r="AX1758" s="35" t="str">
        <f aca="false">IF($B1758="","",AO1758+AS1758/2)</f>
        <v/>
      </c>
      <c r="AY1758" s="35" t="str">
        <f aca="false">IF($B1758="","",AQ1758)</f>
        <v/>
      </c>
      <c r="AZ1758" s="35" t="str">
        <f aca="false">IF($B1758="","",AP1758+AT1758/2)</f>
        <v/>
      </c>
      <c r="BA1758" s="35" t="str">
        <f aca="false">IF($B1758="","",AK1758+AN1758+AM1758/2+AO1758+AP1758+AQ1758+AR1758+AS1758+AT1758+AU1758+AV1758+AW1758)</f>
        <v/>
      </c>
      <c r="BB1758" s="35" t="str">
        <f aca="false">IF($B1758="","",MAX(0,AN1758-Settings!$C$16)*Settings!$C$17)</f>
        <v/>
      </c>
      <c r="BC1758" s="35" t="str">
        <f aca="false">IF($B1758="","",BA1758-BB1758)</f>
        <v/>
      </c>
      <c r="BD1758" s="35" t="str">
        <f aca="false">IF(OR($B1758="",$A1758=""),"",DAY(EOMONTH($A1758,0))-COUNTA($F1758:$AJ1758))</f>
        <v/>
      </c>
    </row>
    <row r="1759" customFormat="false" ht="15" hidden="false" customHeight="false" outlineLevel="0" collapsed="false">
      <c r="A1759" s="32"/>
      <c r="B1759" s="29"/>
      <c r="C1759" s="10" t="str">
        <f aca="false">IF($B1759="","",IFERROR(INDEX(M_name,MATCH($B1759,M_emp,0)),"Code not found"))</f>
        <v/>
      </c>
      <c r="D1759" s="10" t="str">
        <f aca="false">IF($B1759="","",IFERROR(INDEX(M_dept,MATCH($B1759,M_emp,0)),""))</f>
        <v/>
      </c>
      <c r="E1759" s="10" t="str">
        <f aca="false">IF($B1759="","",IFERROR(INDEX(M_loc,MATCH($B1759,M_emp,0)),""))</f>
        <v/>
      </c>
      <c r="F1759" s="33"/>
      <c r="G1759" s="33"/>
      <c r="H1759" s="33"/>
      <c r="I1759" s="33"/>
      <c r="J1759" s="33"/>
      <c r="K1759" s="33"/>
      <c r="L1759" s="33"/>
      <c r="M1759" s="33"/>
      <c r="N1759" s="33"/>
      <c r="O1759" s="33"/>
      <c r="P1759" s="33"/>
      <c r="Q1759" s="33"/>
      <c r="R1759" s="33"/>
      <c r="S1759" s="33"/>
      <c r="T1759" s="33"/>
      <c r="U1759" s="33"/>
      <c r="V1759" s="33"/>
      <c r="W1759" s="33"/>
      <c r="X1759" s="33"/>
      <c r="Y1759" s="33"/>
      <c r="Z1759" s="33"/>
      <c r="AA1759" s="33"/>
      <c r="AB1759" s="33"/>
      <c r="AC1759" s="33"/>
      <c r="AD1759" s="33"/>
      <c r="AE1759" s="33"/>
      <c r="AF1759" s="33"/>
      <c r="AG1759" s="33"/>
      <c r="AH1759" s="33"/>
      <c r="AI1759" s="33"/>
      <c r="AJ1759" s="33"/>
      <c r="AK1759" s="34" t="str">
        <f aca="false">IF($B1759="","",COUNTIF($F1759:$AJ1759,"P"))</f>
        <v/>
      </c>
      <c r="AL1759" s="34" t="str">
        <f aca="false">IF($B1759="","",COUNTIF($F1759:$AJ1759,"A"))</f>
        <v/>
      </c>
      <c r="AM1759" s="34" t="str">
        <f aca="false">IF($B1759="","",COUNTIF($F1759:$AJ1759,"HA"))</f>
        <v/>
      </c>
      <c r="AN1759" s="34" t="str">
        <f aca="false">IF($B1759="","",COUNTIF($F1759:$AJ1759,"L"))</f>
        <v/>
      </c>
      <c r="AO1759" s="34" t="str">
        <f aca="false">IF($B1759="","",COUNTIF($F1759:$AJ1759,"PL"))</f>
        <v/>
      </c>
      <c r="AP1759" s="34" t="str">
        <f aca="false">IF($B1759="","",COUNTIF($F1759:$AJ1759,"CL"))</f>
        <v/>
      </c>
      <c r="AQ1759" s="34" t="str">
        <f aca="false">IF($B1759="","",COUNTIF($F1759:$AJ1759,"SL"))</f>
        <v/>
      </c>
      <c r="AR1759" s="34" t="str">
        <f aca="false">IF($B1759="","",COUNTIF($F1759:$AJ1759,"CO"))</f>
        <v/>
      </c>
      <c r="AS1759" s="34" t="str">
        <f aca="false">IF($B1759="","",COUNTIF($F1759:$AJ1759,"HPL"))</f>
        <v/>
      </c>
      <c r="AT1759" s="34" t="str">
        <f aca="false">IF($B1759="","",COUNTIF($F1759:$AJ1759,"HCL"))</f>
        <v/>
      </c>
      <c r="AU1759" s="34" t="str">
        <f aca="false">IF($B1759="","",COUNTIF($F1759:$AJ1759,"WO"))</f>
        <v/>
      </c>
      <c r="AV1759" s="34" t="str">
        <f aca="false">IF($B1759="","",COUNTIF($F1759:$AJ1759,"PH"))</f>
        <v/>
      </c>
      <c r="AW1759" s="34" t="str">
        <f aca="false">IF($B1759="","",COUNTIF($F1759:$AJ1759,"TR"))</f>
        <v/>
      </c>
      <c r="AX1759" s="35" t="str">
        <f aca="false">IF($B1759="","",AO1759+AS1759/2)</f>
        <v/>
      </c>
      <c r="AY1759" s="35" t="str">
        <f aca="false">IF($B1759="","",AQ1759)</f>
        <v/>
      </c>
      <c r="AZ1759" s="35" t="str">
        <f aca="false">IF($B1759="","",AP1759+AT1759/2)</f>
        <v/>
      </c>
      <c r="BA1759" s="35" t="str">
        <f aca="false">IF($B1759="","",AK1759+AN1759+AM1759/2+AO1759+AP1759+AQ1759+AR1759+AS1759+AT1759+AU1759+AV1759+AW1759)</f>
        <v/>
      </c>
      <c r="BB1759" s="35" t="str">
        <f aca="false">IF($B1759="","",MAX(0,AN1759-Settings!$C$16)*Settings!$C$17)</f>
        <v/>
      </c>
      <c r="BC1759" s="35" t="str">
        <f aca="false">IF($B1759="","",BA1759-BB1759)</f>
        <v/>
      </c>
      <c r="BD1759" s="35" t="str">
        <f aca="false">IF(OR($B1759="",$A1759=""),"",DAY(EOMONTH($A1759,0))-COUNTA($F1759:$AJ1759))</f>
        <v/>
      </c>
    </row>
    <row r="1760" customFormat="false" ht="15" hidden="false" customHeight="false" outlineLevel="0" collapsed="false">
      <c r="A1760" s="32"/>
      <c r="B1760" s="29"/>
      <c r="C1760" s="10" t="str">
        <f aca="false">IF($B1760="","",IFERROR(INDEX(M_name,MATCH($B1760,M_emp,0)),"Code not found"))</f>
        <v/>
      </c>
      <c r="D1760" s="10" t="str">
        <f aca="false">IF($B1760="","",IFERROR(INDEX(M_dept,MATCH($B1760,M_emp,0)),""))</f>
        <v/>
      </c>
      <c r="E1760" s="10" t="str">
        <f aca="false">IF($B1760="","",IFERROR(INDEX(M_loc,MATCH($B1760,M_emp,0)),""))</f>
        <v/>
      </c>
      <c r="F1760" s="33"/>
      <c r="G1760" s="33"/>
      <c r="H1760" s="33"/>
      <c r="I1760" s="33"/>
      <c r="J1760" s="33"/>
      <c r="K1760" s="33"/>
      <c r="L1760" s="33"/>
      <c r="M1760" s="33"/>
      <c r="N1760" s="33"/>
      <c r="O1760" s="33"/>
      <c r="P1760" s="33"/>
      <c r="Q1760" s="33"/>
      <c r="R1760" s="33"/>
      <c r="S1760" s="33"/>
      <c r="T1760" s="33"/>
      <c r="U1760" s="33"/>
      <c r="V1760" s="33"/>
      <c r="W1760" s="33"/>
      <c r="X1760" s="33"/>
      <c r="Y1760" s="33"/>
      <c r="Z1760" s="33"/>
      <c r="AA1760" s="33"/>
      <c r="AB1760" s="33"/>
      <c r="AC1760" s="33"/>
      <c r="AD1760" s="33"/>
      <c r="AE1760" s="33"/>
      <c r="AF1760" s="33"/>
      <c r="AG1760" s="33"/>
      <c r="AH1760" s="33"/>
      <c r="AI1760" s="33"/>
      <c r="AJ1760" s="33"/>
      <c r="AK1760" s="34" t="str">
        <f aca="false">IF($B1760="","",COUNTIF($F1760:$AJ1760,"P"))</f>
        <v/>
      </c>
      <c r="AL1760" s="34" t="str">
        <f aca="false">IF($B1760="","",COUNTIF($F1760:$AJ1760,"A"))</f>
        <v/>
      </c>
      <c r="AM1760" s="34" t="str">
        <f aca="false">IF($B1760="","",COUNTIF($F1760:$AJ1760,"HA"))</f>
        <v/>
      </c>
      <c r="AN1760" s="34" t="str">
        <f aca="false">IF($B1760="","",COUNTIF($F1760:$AJ1760,"L"))</f>
        <v/>
      </c>
      <c r="AO1760" s="34" t="str">
        <f aca="false">IF($B1760="","",COUNTIF($F1760:$AJ1760,"PL"))</f>
        <v/>
      </c>
      <c r="AP1760" s="34" t="str">
        <f aca="false">IF($B1760="","",COUNTIF($F1760:$AJ1760,"CL"))</f>
        <v/>
      </c>
      <c r="AQ1760" s="34" t="str">
        <f aca="false">IF($B1760="","",COUNTIF($F1760:$AJ1760,"SL"))</f>
        <v/>
      </c>
      <c r="AR1760" s="34" t="str">
        <f aca="false">IF($B1760="","",COUNTIF($F1760:$AJ1760,"CO"))</f>
        <v/>
      </c>
      <c r="AS1760" s="34" t="str">
        <f aca="false">IF($B1760="","",COUNTIF($F1760:$AJ1760,"HPL"))</f>
        <v/>
      </c>
      <c r="AT1760" s="34" t="str">
        <f aca="false">IF($B1760="","",COUNTIF($F1760:$AJ1760,"HCL"))</f>
        <v/>
      </c>
      <c r="AU1760" s="34" t="str">
        <f aca="false">IF($B1760="","",COUNTIF($F1760:$AJ1760,"WO"))</f>
        <v/>
      </c>
      <c r="AV1760" s="34" t="str">
        <f aca="false">IF($B1760="","",COUNTIF($F1760:$AJ1760,"PH"))</f>
        <v/>
      </c>
      <c r="AW1760" s="34" t="str">
        <f aca="false">IF($B1760="","",COUNTIF($F1760:$AJ1760,"TR"))</f>
        <v/>
      </c>
      <c r="AX1760" s="35" t="str">
        <f aca="false">IF($B1760="","",AO1760+AS1760/2)</f>
        <v/>
      </c>
      <c r="AY1760" s="35" t="str">
        <f aca="false">IF($B1760="","",AQ1760)</f>
        <v/>
      </c>
      <c r="AZ1760" s="35" t="str">
        <f aca="false">IF($B1760="","",AP1760+AT1760/2)</f>
        <v/>
      </c>
      <c r="BA1760" s="35" t="str">
        <f aca="false">IF($B1760="","",AK1760+AN1760+AM1760/2+AO1760+AP1760+AQ1760+AR1760+AS1760+AT1760+AU1760+AV1760+AW1760)</f>
        <v/>
      </c>
      <c r="BB1760" s="35" t="str">
        <f aca="false">IF($B1760="","",MAX(0,AN1760-Settings!$C$16)*Settings!$C$17)</f>
        <v/>
      </c>
      <c r="BC1760" s="35" t="str">
        <f aca="false">IF($B1760="","",BA1760-BB1760)</f>
        <v/>
      </c>
      <c r="BD1760" s="35" t="str">
        <f aca="false">IF(OR($B1760="",$A1760=""),"",DAY(EOMONTH($A1760,0))-COUNTA($F1760:$AJ1760))</f>
        <v/>
      </c>
    </row>
    <row r="1761" customFormat="false" ht="15" hidden="false" customHeight="false" outlineLevel="0" collapsed="false">
      <c r="A1761" s="32"/>
      <c r="B1761" s="29"/>
      <c r="C1761" s="10" t="str">
        <f aca="false">IF($B1761="","",IFERROR(INDEX(M_name,MATCH($B1761,M_emp,0)),"Code not found"))</f>
        <v/>
      </c>
      <c r="D1761" s="10" t="str">
        <f aca="false">IF($B1761="","",IFERROR(INDEX(M_dept,MATCH($B1761,M_emp,0)),""))</f>
        <v/>
      </c>
      <c r="E1761" s="10" t="str">
        <f aca="false">IF($B1761="","",IFERROR(INDEX(M_loc,MATCH($B1761,M_emp,0)),""))</f>
        <v/>
      </c>
      <c r="F1761" s="33"/>
      <c r="G1761" s="33"/>
      <c r="H1761" s="33"/>
      <c r="I1761" s="33"/>
      <c r="J1761" s="33"/>
      <c r="K1761" s="33"/>
      <c r="L1761" s="33"/>
      <c r="M1761" s="33"/>
      <c r="N1761" s="33"/>
      <c r="O1761" s="33"/>
      <c r="P1761" s="33"/>
      <c r="Q1761" s="33"/>
      <c r="R1761" s="33"/>
      <c r="S1761" s="33"/>
      <c r="T1761" s="33"/>
      <c r="U1761" s="33"/>
      <c r="V1761" s="33"/>
      <c r="W1761" s="33"/>
      <c r="X1761" s="33"/>
      <c r="Y1761" s="33"/>
      <c r="Z1761" s="33"/>
      <c r="AA1761" s="33"/>
      <c r="AB1761" s="33"/>
      <c r="AC1761" s="33"/>
      <c r="AD1761" s="33"/>
      <c r="AE1761" s="33"/>
      <c r="AF1761" s="33"/>
      <c r="AG1761" s="33"/>
      <c r="AH1761" s="33"/>
      <c r="AI1761" s="33"/>
      <c r="AJ1761" s="33"/>
      <c r="AK1761" s="34" t="str">
        <f aca="false">IF($B1761="","",COUNTIF($F1761:$AJ1761,"P"))</f>
        <v/>
      </c>
      <c r="AL1761" s="34" t="str">
        <f aca="false">IF($B1761="","",COUNTIF($F1761:$AJ1761,"A"))</f>
        <v/>
      </c>
      <c r="AM1761" s="34" t="str">
        <f aca="false">IF($B1761="","",COUNTIF($F1761:$AJ1761,"HA"))</f>
        <v/>
      </c>
      <c r="AN1761" s="34" t="str">
        <f aca="false">IF($B1761="","",COUNTIF($F1761:$AJ1761,"L"))</f>
        <v/>
      </c>
      <c r="AO1761" s="34" t="str">
        <f aca="false">IF($B1761="","",COUNTIF($F1761:$AJ1761,"PL"))</f>
        <v/>
      </c>
      <c r="AP1761" s="34" t="str">
        <f aca="false">IF($B1761="","",COUNTIF($F1761:$AJ1761,"CL"))</f>
        <v/>
      </c>
      <c r="AQ1761" s="34" t="str">
        <f aca="false">IF($B1761="","",COUNTIF($F1761:$AJ1761,"SL"))</f>
        <v/>
      </c>
      <c r="AR1761" s="34" t="str">
        <f aca="false">IF($B1761="","",COUNTIF($F1761:$AJ1761,"CO"))</f>
        <v/>
      </c>
      <c r="AS1761" s="34" t="str">
        <f aca="false">IF($B1761="","",COUNTIF($F1761:$AJ1761,"HPL"))</f>
        <v/>
      </c>
      <c r="AT1761" s="34" t="str">
        <f aca="false">IF($B1761="","",COUNTIF($F1761:$AJ1761,"HCL"))</f>
        <v/>
      </c>
      <c r="AU1761" s="34" t="str">
        <f aca="false">IF($B1761="","",COUNTIF($F1761:$AJ1761,"WO"))</f>
        <v/>
      </c>
      <c r="AV1761" s="34" t="str">
        <f aca="false">IF($B1761="","",COUNTIF($F1761:$AJ1761,"PH"))</f>
        <v/>
      </c>
      <c r="AW1761" s="34" t="str">
        <f aca="false">IF($B1761="","",COUNTIF($F1761:$AJ1761,"TR"))</f>
        <v/>
      </c>
      <c r="AX1761" s="35" t="str">
        <f aca="false">IF($B1761="","",AO1761+AS1761/2)</f>
        <v/>
      </c>
      <c r="AY1761" s="35" t="str">
        <f aca="false">IF($B1761="","",AQ1761)</f>
        <v/>
      </c>
      <c r="AZ1761" s="35" t="str">
        <f aca="false">IF($B1761="","",AP1761+AT1761/2)</f>
        <v/>
      </c>
      <c r="BA1761" s="35" t="str">
        <f aca="false">IF($B1761="","",AK1761+AN1761+AM1761/2+AO1761+AP1761+AQ1761+AR1761+AS1761+AT1761+AU1761+AV1761+AW1761)</f>
        <v/>
      </c>
      <c r="BB1761" s="35" t="str">
        <f aca="false">IF($B1761="","",MAX(0,AN1761-Settings!$C$16)*Settings!$C$17)</f>
        <v/>
      </c>
      <c r="BC1761" s="35" t="str">
        <f aca="false">IF($B1761="","",BA1761-BB1761)</f>
        <v/>
      </c>
      <c r="BD1761" s="35" t="str">
        <f aca="false">IF(OR($B1761="",$A1761=""),"",DAY(EOMONTH($A1761,0))-COUNTA($F1761:$AJ1761))</f>
        <v/>
      </c>
    </row>
    <row r="1762" customFormat="false" ht="15" hidden="false" customHeight="false" outlineLevel="0" collapsed="false">
      <c r="A1762" s="32"/>
      <c r="B1762" s="29"/>
      <c r="C1762" s="10" t="str">
        <f aca="false">IF($B1762="","",IFERROR(INDEX(M_name,MATCH($B1762,M_emp,0)),"Code not found"))</f>
        <v/>
      </c>
      <c r="D1762" s="10" t="str">
        <f aca="false">IF($B1762="","",IFERROR(INDEX(M_dept,MATCH($B1762,M_emp,0)),""))</f>
        <v/>
      </c>
      <c r="E1762" s="10" t="str">
        <f aca="false">IF($B1762="","",IFERROR(INDEX(M_loc,MATCH($B1762,M_emp,0)),""))</f>
        <v/>
      </c>
      <c r="F1762" s="33"/>
      <c r="G1762" s="33"/>
      <c r="H1762" s="33"/>
      <c r="I1762" s="33"/>
      <c r="J1762" s="33"/>
      <c r="K1762" s="33"/>
      <c r="L1762" s="33"/>
      <c r="M1762" s="33"/>
      <c r="N1762" s="33"/>
      <c r="O1762" s="33"/>
      <c r="P1762" s="33"/>
      <c r="Q1762" s="33"/>
      <c r="R1762" s="33"/>
      <c r="S1762" s="33"/>
      <c r="T1762" s="33"/>
      <c r="U1762" s="33"/>
      <c r="V1762" s="33"/>
      <c r="W1762" s="33"/>
      <c r="X1762" s="33"/>
      <c r="Y1762" s="33"/>
      <c r="Z1762" s="33"/>
      <c r="AA1762" s="33"/>
      <c r="AB1762" s="33"/>
      <c r="AC1762" s="33"/>
      <c r="AD1762" s="33"/>
      <c r="AE1762" s="33"/>
      <c r="AF1762" s="33"/>
      <c r="AG1762" s="33"/>
      <c r="AH1762" s="33"/>
      <c r="AI1762" s="33"/>
      <c r="AJ1762" s="33"/>
      <c r="AK1762" s="34" t="str">
        <f aca="false">IF($B1762="","",COUNTIF($F1762:$AJ1762,"P"))</f>
        <v/>
      </c>
      <c r="AL1762" s="34" t="str">
        <f aca="false">IF($B1762="","",COUNTIF($F1762:$AJ1762,"A"))</f>
        <v/>
      </c>
      <c r="AM1762" s="34" t="str">
        <f aca="false">IF($B1762="","",COUNTIF($F1762:$AJ1762,"HA"))</f>
        <v/>
      </c>
      <c r="AN1762" s="34" t="str">
        <f aca="false">IF($B1762="","",COUNTIF($F1762:$AJ1762,"L"))</f>
        <v/>
      </c>
      <c r="AO1762" s="34" t="str">
        <f aca="false">IF($B1762="","",COUNTIF($F1762:$AJ1762,"PL"))</f>
        <v/>
      </c>
      <c r="AP1762" s="34" t="str">
        <f aca="false">IF($B1762="","",COUNTIF($F1762:$AJ1762,"CL"))</f>
        <v/>
      </c>
      <c r="AQ1762" s="34" t="str">
        <f aca="false">IF($B1762="","",COUNTIF($F1762:$AJ1762,"SL"))</f>
        <v/>
      </c>
      <c r="AR1762" s="34" t="str">
        <f aca="false">IF($B1762="","",COUNTIF($F1762:$AJ1762,"CO"))</f>
        <v/>
      </c>
      <c r="AS1762" s="34" t="str">
        <f aca="false">IF($B1762="","",COUNTIF($F1762:$AJ1762,"HPL"))</f>
        <v/>
      </c>
      <c r="AT1762" s="34" t="str">
        <f aca="false">IF($B1762="","",COUNTIF($F1762:$AJ1762,"HCL"))</f>
        <v/>
      </c>
      <c r="AU1762" s="34" t="str">
        <f aca="false">IF($B1762="","",COUNTIF($F1762:$AJ1762,"WO"))</f>
        <v/>
      </c>
      <c r="AV1762" s="34" t="str">
        <f aca="false">IF($B1762="","",COUNTIF($F1762:$AJ1762,"PH"))</f>
        <v/>
      </c>
      <c r="AW1762" s="34" t="str">
        <f aca="false">IF($B1762="","",COUNTIF($F1762:$AJ1762,"TR"))</f>
        <v/>
      </c>
      <c r="AX1762" s="35" t="str">
        <f aca="false">IF($B1762="","",AO1762+AS1762/2)</f>
        <v/>
      </c>
      <c r="AY1762" s="35" t="str">
        <f aca="false">IF($B1762="","",AQ1762)</f>
        <v/>
      </c>
      <c r="AZ1762" s="35" t="str">
        <f aca="false">IF($B1762="","",AP1762+AT1762/2)</f>
        <v/>
      </c>
      <c r="BA1762" s="35" t="str">
        <f aca="false">IF($B1762="","",AK1762+AN1762+AM1762/2+AO1762+AP1762+AQ1762+AR1762+AS1762+AT1762+AU1762+AV1762+AW1762)</f>
        <v/>
      </c>
      <c r="BB1762" s="35" t="str">
        <f aca="false">IF($B1762="","",MAX(0,AN1762-Settings!$C$16)*Settings!$C$17)</f>
        <v/>
      </c>
      <c r="BC1762" s="35" t="str">
        <f aca="false">IF($B1762="","",BA1762-BB1762)</f>
        <v/>
      </c>
      <c r="BD1762" s="35" t="str">
        <f aca="false">IF(OR($B1762="",$A1762=""),"",DAY(EOMONTH($A1762,0))-COUNTA($F1762:$AJ1762))</f>
        <v/>
      </c>
    </row>
    <row r="1763" customFormat="false" ht="15" hidden="false" customHeight="false" outlineLevel="0" collapsed="false">
      <c r="A1763" s="32"/>
      <c r="B1763" s="29"/>
      <c r="C1763" s="10" t="str">
        <f aca="false">IF($B1763="","",IFERROR(INDEX(M_name,MATCH($B1763,M_emp,0)),"Code not found"))</f>
        <v/>
      </c>
      <c r="D1763" s="10" t="str">
        <f aca="false">IF($B1763="","",IFERROR(INDEX(M_dept,MATCH($B1763,M_emp,0)),""))</f>
        <v/>
      </c>
      <c r="E1763" s="10" t="str">
        <f aca="false">IF($B1763="","",IFERROR(INDEX(M_loc,MATCH($B1763,M_emp,0)),""))</f>
        <v/>
      </c>
      <c r="F1763" s="33"/>
      <c r="G1763" s="33"/>
      <c r="H1763" s="33"/>
      <c r="I1763" s="33"/>
      <c r="J1763" s="33"/>
      <c r="K1763" s="33"/>
      <c r="L1763" s="33"/>
      <c r="M1763" s="33"/>
      <c r="N1763" s="33"/>
      <c r="O1763" s="33"/>
      <c r="P1763" s="33"/>
      <c r="Q1763" s="33"/>
      <c r="R1763" s="33"/>
      <c r="S1763" s="33"/>
      <c r="T1763" s="33"/>
      <c r="U1763" s="33"/>
      <c r="V1763" s="33"/>
      <c r="W1763" s="33"/>
      <c r="X1763" s="33"/>
      <c r="Y1763" s="33"/>
      <c r="Z1763" s="33"/>
      <c r="AA1763" s="33"/>
      <c r="AB1763" s="33"/>
      <c r="AC1763" s="33"/>
      <c r="AD1763" s="33"/>
      <c r="AE1763" s="33"/>
      <c r="AF1763" s="33"/>
      <c r="AG1763" s="33"/>
      <c r="AH1763" s="33"/>
      <c r="AI1763" s="33"/>
      <c r="AJ1763" s="33"/>
      <c r="AK1763" s="34" t="str">
        <f aca="false">IF($B1763="","",COUNTIF($F1763:$AJ1763,"P"))</f>
        <v/>
      </c>
      <c r="AL1763" s="34" t="str">
        <f aca="false">IF($B1763="","",COUNTIF($F1763:$AJ1763,"A"))</f>
        <v/>
      </c>
      <c r="AM1763" s="34" t="str">
        <f aca="false">IF($B1763="","",COUNTIF($F1763:$AJ1763,"HA"))</f>
        <v/>
      </c>
      <c r="AN1763" s="34" t="str">
        <f aca="false">IF($B1763="","",COUNTIF($F1763:$AJ1763,"L"))</f>
        <v/>
      </c>
      <c r="AO1763" s="34" t="str">
        <f aca="false">IF($B1763="","",COUNTIF($F1763:$AJ1763,"PL"))</f>
        <v/>
      </c>
      <c r="AP1763" s="34" t="str">
        <f aca="false">IF($B1763="","",COUNTIF($F1763:$AJ1763,"CL"))</f>
        <v/>
      </c>
      <c r="AQ1763" s="34" t="str">
        <f aca="false">IF($B1763="","",COUNTIF($F1763:$AJ1763,"SL"))</f>
        <v/>
      </c>
      <c r="AR1763" s="34" t="str">
        <f aca="false">IF($B1763="","",COUNTIF($F1763:$AJ1763,"CO"))</f>
        <v/>
      </c>
      <c r="AS1763" s="34" t="str">
        <f aca="false">IF($B1763="","",COUNTIF($F1763:$AJ1763,"HPL"))</f>
        <v/>
      </c>
      <c r="AT1763" s="34" t="str">
        <f aca="false">IF($B1763="","",COUNTIF($F1763:$AJ1763,"HCL"))</f>
        <v/>
      </c>
      <c r="AU1763" s="34" t="str">
        <f aca="false">IF($B1763="","",COUNTIF($F1763:$AJ1763,"WO"))</f>
        <v/>
      </c>
      <c r="AV1763" s="34" t="str">
        <f aca="false">IF($B1763="","",COUNTIF($F1763:$AJ1763,"PH"))</f>
        <v/>
      </c>
      <c r="AW1763" s="34" t="str">
        <f aca="false">IF($B1763="","",COUNTIF($F1763:$AJ1763,"TR"))</f>
        <v/>
      </c>
      <c r="AX1763" s="35" t="str">
        <f aca="false">IF($B1763="","",AO1763+AS1763/2)</f>
        <v/>
      </c>
      <c r="AY1763" s="35" t="str">
        <f aca="false">IF($B1763="","",AQ1763)</f>
        <v/>
      </c>
      <c r="AZ1763" s="35" t="str">
        <f aca="false">IF($B1763="","",AP1763+AT1763/2)</f>
        <v/>
      </c>
      <c r="BA1763" s="35" t="str">
        <f aca="false">IF($B1763="","",AK1763+AN1763+AM1763/2+AO1763+AP1763+AQ1763+AR1763+AS1763+AT1763+AU1763+AV1763+AW1763)</f>
        <v/>
      </c>
      <c r="BB1763" s="35" t="str">
        <f aca="false">IF($B1763="","",MAX(0,AN1763-Settings!$C$16)*Settings!$C$17)</f>
        <v/>
      </c>
      <c r="BC1763" s="35" t="str">
        <f aca="false">IF($B1763="","",BA1763-BB1763)</f>
        <v/>
      </c>
      <c r="BD1763" s="35" t="str">
        <f aca="false">IF(OR($B1763="",$A1763=""),"",DAY(EOMONTH($A1763,0))-COUNTA($F1763:$AJ1763))</f>
        <v/>
      </c>
    </row>
    <row r="1764" customFormat="false" ht="15" hidden="false" customHeight="false" outlineLevel="0" collapsed="false">
      <c r="A1764" s="32"/>
      <c r="B1764" s="29"/>
      <c r="C1764" s="10" t="str">
        <f aca="false">IF($B1764="","",IFERROR(INDEX(M_name,MATCH($B1764,M_emp,0)),"Code not found"))</f>
        <v/>
      </c>
      <c r="D1764" s="10" t="str">
        <f aca="false">IF($B1764="","",IFERROR(INDEX(M_dept,MATCH($B1764,M_emp,0)),""))</f>
        <v/>
      </c>
      <c r="E1764" s="10" t="str">
        <f aca="false">IF($B1764="","",IFERROR(INDEX(M_loc,MATCH($B1764,M_emp,0)),""))</f>
        <v/>
      </c>
      <c r="F1764" s="33"/>
      <c r="G1764" s="33"/>
      <c r="H1764" s="33"/>
      <c r="I1764" s="33"/>
      <c r="J1764" s="33"/>
      <c r="K1764" s="33"/>
      <c r="L1764" s="33"/>
      <c r="M1764" s="33"/>
      <c r="N1764" s="33"/>
      <c r="O1764" s="33"/>
      <c r="P1764" s="33"/>
      <c r="Q1764" s="33"/>
      <c r="R1764" s="33"/>
      <c r="S1764" s="33"/>
      <c r="T1764" s="33"/>
      <c r="U1764" s="33"/>
      <c r="V1764" s="33"/>
      <c r="W1764" s="33"/>
      <c r="X1764" s="33"/>
      <c r="Y1764" s="33"/>
      <c r="Z1764" s="33"/>
      <c r="AA1764" s="33"/>
      <c r="AB1764" s="33"/>
      <c r="AC1764" s="33"/>
      <c r="AD1764" s="33"/>
      <c r="AE1764" s="33"/>
      <c r="AF1764" s="33"/>
      <c r="AG1764" s="33"/>
      <c r="AH1764" s="33"/>
      <c r="AI1764" s="33"/>
      <c r="AJ1764" s="33"/>
      <c r="AK1764" s="34" t="str">
        <f aca="false">IF($B1764="","",COUNTIF($F1764:$AJ1764,"P"))</f>
        <v/>
      </c>
      <c r="AL1764" s="34" t="str">
        <f aca="false">IF($B1764="","",COUNTIF($F1764:$AJ1764,"A"))</f>
        <v/>
      </c>
      <c r="AM1764" s="34" t="str">
        <f aca="false">IF($B1764="","",COUNTIF($F1764:$AJ1764,"HA"))</f>
        <v/>
      </c>
      <c r="AN1764" s="34" t="str">
        <f aca="false">IF($B1764="","",COUNTIF($F1764:$AJ1764,"L"))</f>
        <v/>
      </c>
      <c r="AO1764" s="34" t="str">
        <f aca="false">IF($B1764="","",COUNTIF($F1764:$AJ1764,"PL"))</f>
        <v/>
      </c>
      <c r="AP1764" s="34" t="str">
        <f aca="false">IF($B1764="","",COUNTIF($F1764:$AJ1764,"CL"))</f>
        <v/>
      </c>
      <c r="AQ1764" s="34" t="str">
        <f aca="false">IF($B1764="","",COUNTIF($F1764:$AJ1764,"SL"))</f>
        <v/>
      </c>
      <c r="AR1764" s="34" t="str">
        <f aca="false">IF($B1764="","",COUNTIF($F1764:$AJ1764,"CO"))</f>
        <v/>
      </c>
      <c r="AS1764" s="34" t="str">
        <f aca="false">IF($B1764="","",COUNTIF($F1764:$AJ1764,"HPL"))</f>
        <v/>
      </c>
      <c r="AT1764" s="34" t="str">
        <f aca="false">IF($B1764="","",COUNTIF($F1764:$AJ1764,"HCL"))</f>
        <v/>
      </c>
      <c r="AU1764" s="34" t="str">
        <f aca="false">IF($B1764="","",COUNTIF($F1764:$AJ1764,"WO"))</f>
        <v/>
      </c>
      <c r="AV1764" s="34" t="str">
        <f aca="false">IF($B1764="","",COUNTIF($F1764:$AJ1764,"PH"))</f>
        <v/>
      </c>
      <c r="AW1764" s="34" t="str">
        <f aca="false">IF($B1764="","",COUNTIF($F1764:$AJ1764,"TR"))</f>
        <v/>
      </c>
      <c r="AX1764" s="35" t="str">
        <f aca="false">IF($B1764="","",AO1764+AS1764/2)</f>
        <v/>
      </c>
      <c r="AY1764" s="35" t="str">
        <f aca="false">IF($B1764="","",AQ1764)</f>
        <v/>
      </c>
      <c r="AZ1764" s="35" t="str">
        <f aca="false">IF($B1764="","",AP1764+AT1764/2)</f>
        <v/>
      </c>
      <c r="BA1764" s="35" t="str">
        <f aca="false">IF($B1764="","",AK1764+AN1764+AM1764/2+AO1764+AP1764+AQ1764+AR1764+AS1764+AT1764+AU1764+AV1764+AW1764)</f>
        <v/>
      </c>
      <c r="BB1764" s="35" t="str">
        <f aca="false">IF($B1764="","",MAX(0,AN1764-Settings!$C$16)*Settings!$C$17)</f>
        <v/>
      </c>
      <c r="BC1764" s="35" t="str">
        <f aca="false">IF($B1764="","",BA1764-BB1764)</f>
        <v/>
      </c>
      <c r="BD1764" s="35" t="str">
        <f aca="false">IF(OR($B1764="",$A1764=""),"",DAY(EOMONTH($A1764,0))-COUNTA($F1764:$AJ1764))</f>
        <v/>
      </c>
    </row>
    <row r="1765" customFormat="false" ht="15" hidden="false" customHeight="false" outlineLevel="0" collapsed="false">
      <c r="A1765" s="32"/>
      <c r="B1765" s="29"/>
      <c r="C1765" s="10" t="str">
        <f aca="false">IF($B1765="","",IFERROR(INDEX(M_name,MATCH($B1765,M_emp,0)),"Code not found"))</f>
        <v/>
      </c>
      <c r="D1765" s="10" t="str">
        <f aca="false">IF($B1765="","",IFERROR(INDEX(M_dept,MATCH($B1765,M_emp,0)),""))</f>
        <v/>
      </c>
      <c r="E1765" s="10" t="str">
        <f aca="false">IF($B1765="","",IFERROR(INDEX(M_loc,MATCH($B1765,M_emp,0)),""))</f>
        <v/>
      </c>
      <c r="F1765" s="33"/>
      <c r="G1765" s="33"/>
      <c r="H1765" s="33"/>
      <c r="I1765" s="33"/>
      <c r="J1765" s="33"/>
      <c r="K1765" s="33"/>
      <c r="L1765" s="33"/>
      <c r="M1765" s="33"/>
      <c r="N1765" s="33"/>
      <c r="O1765" s="33"/>
      <c r="P1765" s="33"/>
      <c r="Q1765" s="33"/>
      <c r="R1765" s="33"/>
      <c r="S1765" s="33"/>
      <c r="T1765" s="33"/>
      <c r="U1765" s="33"/>
      <c r="V1765" s="33"/>
      <c r="W1765" s="33"/>
      <c r="X1765" s="33"/>
      <c r="Y1765" s="33"/>
      <c r="Z1765" s="33"/>
      <c r="AA1765" s="33"/>
      <c r="AB1765" s="33"/>
      <c r="AC1765" s="33"/>
      <c r="AD1765" s="33"/>
      <c r="AE1765" s="33"/>
      <c r="AF1765" s="33"/>
      <c r="AG1765" s="33"/>
      <c r="AH1765" s="33"/>
      <c r="AI1765" s="33"/>
      <c r="AJ1765" s="33"/>
      <c r="AK1765" s="34" t="str">
        <f aca="false">IF($B1765="","",COUNTIF($F1765:$AJ1765,"P"))</f>
        <v/>
      </c>
      <c r="AL1765" s="34" t="str">
        <f aca="false">IF($B1765="","",COUNTIF($F1765:$AJ1765,"A"))</f>
        <v/>
      </c>
      <c r="AM1765" s="34" t="str">
        <f aca="false">IF($B1765="","",COUNTIF($F1765:$AJ1765,"HA"))</f>
        <v/>
      </c>
      <c r="AN1765" s="34" t="str">
        <f aca="false">IF($B1765="","",COUNTIF($F1765:$AJ1765,"L"))</f>
        <v/>
      </c>
      <c r="AO1765" s="34" t="str">
        <f aca="false">IF($B1765="","",COUNTIF($F1765:$AJ1765,"PL"))</f>
        <v/>
      </c>
      <c r="AP1765" s="34" t="str">
        <f aca="false">IF($B1765="","",COUNTIF($F1765:$AJ1765,"CL"))</f>
        <v/>
      </c>
      <c r="AQ1765" s="34" t="str">
        <f aca="false">IF($B1765="","",COUNTIF($F1765:$AJ1765,"SL"))</f>
        <v/>
      </c>
      <c r="AR1765" s="34" t="str">
        <f aca="false">IF($B1765="","",COUNTIF($F1765:$AJ1765,"CO"))</f>
        <v/>
      </c>
      <c r="AS1765" s="34" t="str">
        <f aca="false">IF($B1765="","",COUNTIF($F1765:$AJ1765,"HPL"))</f>
        <v/>
      </c>
      <c r="AT1765" s="34" t="str">
        <f aca="false">IF($B1765="","",COUNTIF($F1765:$AJ1765,"HCL"))</f>
        <v/>
      </c>
      <c r="AU1765" s="34" t="str">
        <f aca="false">IF($B1765="","",COUNTIF($F1765:$AJ1765,"WO"))</f>
        <v/>
      </c>
      <c r="AV1765" s="34" t="str">
        <f aca="false">IF($B1765="","",COUNTIF($F1765:$AJ1765,"PH"))</f>
        <v/>
      </c>
      <c r="AW1765" s="34" t="str">
        <f aca="false">IF($B1765="","",COUNTIF($F1765:$AJ1765,"TR"))</f>
        <v/>
      </c>
      <c r="AX1765" s="35" t="str">
        <f aca="false">IF($B1765="","",AO1765+AS1765/2)</f>
        <v/>
      </c>
      <c r="AY1765" s="35" t="str">
        <f aca="false">IF($B1765="","",AQ1765)</f>
        <v/>
      </c>
      <c r="AZ1765" s="35" t="str">
        <f aca="false">IF($B1765="","",AP1765+AT1765/2)</f>
        <v/>
      </c>
      <c r="BA1765" s="35" t="str">
        <f aca="false">IF($B1765="","",AK1765+AN1765+AM1765/2+AO1765+AP1765+AQ1765+AR1765+AS1765+AT1765+AU1765+AV1765+AW1765)</f>
        <v/>
      </c>
      <c r="BB1765" s="35" t="str">
        <f aca="false">IF($B1765="","",MAX(0,AN1765-Settings!$C$16)*Settings!$C$17)</f>
        <v/>
      </c>
      <c r="BC1765" s="35" t="str">
        <f aca="false">IF($B1765="","",BA1765-BB1765)</f>
        <v/>
      </c>
      <c r="BD1765" s="35" t="str">
        <f aca="false">IF(OR($B1765="",$A1765=""),"",DAY(EOMONTH($A1765,0))-COUNTA($F1765:$AJ1765))</f>
        <v/>
      </c>
    </row>
    <row r="1766" customFormat="false" ht="15" hidden="false" customHeight="false" outlineLevel="0" collapsed="false">
      <c r="A1766" s="32"/>
      <c r="B1766" s="29"/>
      <c r="C1766" s="10" t="str">
        <f aca="false">IF($B1766="","",IFERROR(INDEX(M_name,MATCH($B1766,M_emp,0)),"Code not found"))</f>
        <v/>
      </c>
      <c r="D1766" s="10" t="str">
        <f aca="false">IF($B1766="","",IFERROR(INDEX(M_dept,MATCH($B1766,M_emp,0)),""))</f>
        <v/>
      </c>
      <c r="E1766" s="10" t="str">
        <f aca="false">IF($B1766="","",IFERROR(INDEX(M_loc,MATCH($B1766,M_emp,0)),""))</f>
        <v/>
      </c>
      <c r="F1766" s="33"/>
      <c r="G1766" s="33"/>
      <c r="H1766" s="33"/>
      <c r="I1766" s="33"/>
      <c r="J1766" s="33"/>
      <c r="K1766" s="33"/>
      <c r="L1766" s="33"/>
      <c r="M1766" s="33"/>
      <c r="N1766" s="33"/>
      <c r="O1766" s="33"/>
      <c r="P1766" s="33"/>
      <c r="Q1766" s="33"/>
      <c r="R1766" s="33"/>
      <c r="S1766" s="33"/>
      <c r="T1766" s="33"/>
      <c r="U1766" s="33"/>
      <c r="V1766" s="33"/>
      <c r="W1766" s="33"/>
      <c r="X1766" s="33"/>
      <c r="Y1766" s="33"/>
      <c r="Z1766" s="33"/>
      <c r="AA1766" s="33"/>
      <c r="AB1766" s="33"/>
      <c r="AC1766" s="33"/>
      <c r="AD1766" s="33"/>
      <c r="AE1766" s="33"/>
      <c r="AF1766" s="33"/>
      <c r="AG1766" s="33"/>
      <c r="AH1766" s="33"/>
      <c r="AI1766" s="33"/>
      <c r="AJ1766" s="33"/>
      <c r="AK1766" s="34" t="str">
        <f aca="false">IF($B1766="","",COUNTIF($F1766:$AJ1766,"P"))</f>
        <v/>
      </c>
      <c r="AL1766" s="34" t="str">
        <f aca="false">IF($B1766="","",COUNTIF($F1766:$AJ1766,"A"))</f>
        <v/>
      </c>
      <c r="AM1766" s="34" t="str">
        <f aca="false">IF($B1766="","",COUNTIF($F1766:$AJ1766,"HA"))</f>
        <v/>
      </c>
      <c r="AN1766" s="34" t="str">
        <f aca="false">IF($B1766="","",COUNTIF($F1766:$AJ1766,"L"))</f>
        <v/>
      </c>
      <c r="AO1766" s="34" t="str">
        <f aca="false">IF($B1766="","",COUNTIF($F1766:$AJ1766,"PL"))</f>
        <v/>
      </c>
      <c r="AP1766" s="34" t="str">
        <f aca="false">IF($B1766="","",COUNTIF($F1766:$AJ1766,"CL"))</f>
        <v/>
      </c>
      <c r="AQ1766" s="34" t="str">
        <f aca="false">IF($B1766="","",COUNTIF($F1766:$AJ1766,"SL"))</f>
        <v/>
      </c>
      <c r="AR1766" s="34" t="str">
        <f aca="false">IF($B1766="","",COUNTIF($F1766:$AJ1766,"CO"))</f>
        <v/>
      </c>
      <c r="AS1766" s="34" t="str">
        <f aca="false">IF($B1766="","",COUNTIF($F1766:$AJ1766,"HPL"))</f>
        <v/>
      </c>
      <c r="AT1766" s="34" t="str">
        <f aca="false">IF($B1766="","",COUNTIF($F1766:$AJ1766,"HCL"))</f>
        <v/>
      </c>
      <c r="AU1766" s="34" t="str">
        <f aca="false">IF($B1766="","",COUNTIF($F1766:$AJ1766,"WO"))</f>
        <v/>
      </c>
      <c r="AV1766" s="34" t="str">
        <f aca="false">IF($B1766="","",COUNTIF($F1766:$AJ1766,"PH"))</f>
        <v/>
      </c>
      <c r="AW1766" s="34" t="str">
        <f aca="false">IF($B1766="","",COUNTIF($F1766:$AJ1766,"TR"))</f>
        <v/>
      </c>
      <c r="AX1766" s="35" t="str">
        <f aca="false">IF($B1766="","",AO1766+AS1766/2)</f>
        <v/>
      </c>
      <c r="AY1766" s="35" t="str">
        <f aca="false">IF($B1766="","",AQ1766)</f>
        <v/>
      </c>
      <c r="AZ1766" s="35" t="str">
        <f aca="false">IF($B1766="","",AP1766+AT1766/2)</f>
        <v/>
      </c>
      <c r="BA1766" s="35" t="str">
        <f aca="false">IF($B1766="","",AK1766+AN1766+AM1766/2+AO1766+AP1766+AQ1766+AR1766+AS1766+AT1766+AU1766+AV1766+AW1766)</f>
        <v/>
      </c>
      <c r="BB1766" s="35" t="str">
        <f aca="false">IF($B1766="","",MAX(0,AN1766-Settings!$C$16)*Settings!$C$17)</f>
        <v/>
      </c>
      <c r="BC1766" s="35" t="str">
        <f aca="false">IF($B1766="","",BA1766-BB1766)</f>
        <v/>
      </c>
      <c r="BD1766" s="35" t="str">
        <f aca="false">IF(OR($B1766="",$A1766=""),"",DAY(EOMONTH($A1766,0))-COUNTA($F1766:$AJ1766))</f>
        <v/>
      </c>
    </row>
    <row r="1767" customFormat="false" ht="15" hidden="false" customHeight="false" outlineLevel="0" collapsed="false">
      <c r="A1767" s="32"/>
      <c r="B1767" s="29"/>
      <c r="C1767" s="10" t="str">
        <f aca="false">IF($B1767="","",IFERROR(INDEX(M_name,MATCH($B1767,M_emp,0)),"Code not found"))</f>
        <v/>
      </c>
      <c r="D1767" s="10" t="str">
        <f aca="false">IF($B1767="","",IFERROR(INDEX(M_dept,MATCH($B1767,M_emp,0)),""))</f>
        <v/>
      </c>
      <c r="E1767" s="10" t="str">
        <f aca="false">IF($B1767="","",IFERROR(INDEX(M_loc,MATCH($B1767,M_emp,0)),""))</f>
        <v/>
      </c>
      <c r="F1767" s="33"/>
      <c r="G1767" s="33"/>
      <c r="H1767" s="33"/>
      <c r="I1767" s="33"/>
      <c r="J1767" s="33"/>
      <c r="K1767" s="33"/>
      <c r="L1767" s="33"/>
      <c r="M1767" s="33"/>
      <c r="N1767" s="33"/>
      <c r="O1767" s="33"/>
      <c r="P1767" s="33"/>
      <c r="Q1767" s="33"/>
      <c r="R1767" s="33"/>
      <c r="S1767" s="33"/>
      <c r="T1767" s="33"/>
      <c r="U1767" s="33"/>
      <c r="V1767" s="33"/>
      <c r="W1767" s="33"/>
      <c r="X1767" s="33"/>
      <c r="Y1767" s="33"/>
      <c r="Z1767" s="33"/>
      <c r="AA1767" s="33"/>
      <c r="AB1767" s="33"/>
      <c r="AC1767" s="33"/>
      <c r="AD1767" s="33"/>
      <c r="AE1767" s="33"/>
      <c r="AF1767" s="33"/>
      <c r="AG1767" s="33"/>
      <c r="AH1767" s="33"/>
      <c r="AI1767" s="33"/>
      <c r="AJ1767" s="33"/>
      <c r="AK1767" s="34" t="str">
        <f aca="false">IF($B1767="","",COUNTIF($F1767:$AJ1767,"P"))</f>
        <v/>
      </c>
      <c r="AL1767" s="34" t="str">
        <f aca="false">IF($B1767="","",COUNTIF($F1767:$AJ1767,"A"))</f>
        <v/>
      </c>
      <c r="AM1767" s="34" t="str">
        <f aca="false">IF($B1767="","",COUNTIF($F1767:$AJ1767,"HA"))</f>
        <v/>
      </c>
      <c r="AN1767" s="34" t="str">
        <f aca="false">IF($B1767="","",COUNTIF($F1767:$AJ1767,"L"))</f>
        <v/>
      </c>
      <c r="AO1767" s="34" t="str">
        <f aca="false">IF($B1767="","",COUNTIF($F1767:$AJ1767,"PL"))</f>
        <v/>
      </c>
      <c r="AP1767" s="34" t="str">
        <f aca="false">IF($B1767="","",COUNTIF($F1767:$AJ1767,"CL"))</f>
        <v/>
      </c>
      <c r="AQ1767" s="34" t="str">
        <f aca="false">IF($B1767="","",COUNTIF($F1767:$AJ1767,"SL"))</f>
        <v/>
      </c>
      <c r="AR1767" s="34" t="str">
        <f aca="false">IF($B1767="","",COUNTIF($F1767:$AJ1767,"CO"))</f>
        <v/>
      </c>
      <c r="AS1767" s="34" t="str">
        <f aca="false">IF($B1767="","",COUNTIF($F1767:$AJ1767,"HPL"))</f>
        <v/>
      </c>
      <c r="AT1767" s="34" t="str">
        <f aca="false">IF($B1767="","",COUNTIF($F1767:$AJ1767,"HCL"))</f>
        <v/>
      </c>
      <c r="AU1767" s="34" t="str">
        <f aca="false">IF($B1767="","",COUNTIF($F1767:$AJ1767,"WO"))</f>
        <v/>
      </c>
      <c r="AV1767" s="34" t="str">
        <f aca="false">IF($B1767="","",COUNTIF($F1767:$AJ1767,"PH"))</f>
        <v/>
      </c>
      <c r="AW1767" s="34" t="str">
        <f aca="false">IF($B1767="","",COUNTIF($F1767:$AJ1767,"TR"))</f>
        <v/>
      </c>
      <c r="AX1767" s="35" t="str">
        <f aca="false">IF($B1767="","",AO1767+AS1767/2)</f>
        <v/>
      </c>
      <c r="AY1767" s="35" t="str">
        <f aca="false">IF($B1767="","",AQ1767)</f>
        <v/>
      </c>
      <c r="AZ1767" s="35" t="str">
        <f aca="false">IF($B1767="","",AP1767+AT1767/2)</f>
        <v/>
      </c>
      <c r="BA1767" s="35" t="str">
        <f aca="false">IF($B1767="","",AK1767+AN1767+AM1767/2+AO1767+AP1767+AQ1767+AR1767+AS1767+AT1767+AU1767+AV1767+AW1767)</f>
        <v/>
      </c>
      <c r="BB1767" s="35" t="str">
        <f aca="false">IF($B1767="","",MAX(0,AN1767-Settings!$C$16)*Settings!$C$17)</f>
        <v/>
      </c>
      <c r="BC1767" s="35" t="str">
        <f aca="false">IF($B1767="","",BA1767-BB1767)</f>
        <v/>
      </c>
      <c r="BD1767" s="35" t="str">
        <f aca="false">IF(OR($B1767="",$A1767=""),"",DAY(EOMONTH($A1767,0))-COUNTA($F1767:$AJ1767))</f>
        <v/>
      </c>
    </row>
    <row r="1768" customFormat="false" ht="15" hidden="false" customHeight="false" outlineLevel="0" collapsed="false">
      <c r="A1768" s="32"/>
      <c r="B1768" s="29"/>
      <c r="C1768" s="10" t="str">
        <f aca="false">IF($B1768="","",IFERROR(INDEX(M_name,MATCH($B1768,M_emp,0)),"Code not found"))</f>
        <v/>
      </c>
      <c r="D1768" s="10" t="str">
        <f aca="false">IF($B1768="","",IFERROR(INDEX(M_dept,MATCH($B1768,M_emp,0)),""))</f>
        <v/>
      </c>
      <c r="E1768" s="10" t="str">
        <f aca="false">IF($B1768="","",IFERROR(INDEX(M_loc,MATCH($B1768,M_emp,0)),""))</f>
        <v/>
      </c>
      <c r="F1768" s="33"/>
      <c r="G1768" s="33"/>
      <c r="H1768" s="33"/>
      <c r="I1768" s="33"/>
      <c r="J1768" s="33"/>
      <c r="K1768" s="33"/>
      <c r="L1768" s="33"/>
      <c r="M1768" s="33"/>
      <c r="N1768" s="33"/>
      <c r="O1768" s="33"/>
      <c r="P1768" s="33"/>
      <c r="Q1768" s="33"/>
      <c r="R1768" s="33"/>
      <c r="S1768" s="33"/>
      <c r="T1768" s="33"/>
      <c r="U1768" s="33"/>
      <c r="V1768" s="33"/>
      <c r="W1768" s="33"/>
      <c r="X1768" s="33"/>
      <c r="Y1768" s="33"/>
      <c r="Z1768" s="33"/>
      <c r="AA1768" s="33"/>
      <c r="AB1768" s="33"/>
      <c r="AC1768" s="33"/>
      <c r="AD1768" s="33"/>
      <c r="AE1768" s="33"/>
      <c r="AF1768" s="33"/>
      <c r="AG1768" s="33"/>
      <c r="AH1768" s="33"/>
      <c r="AI1768" s="33"/>
      <c r="AJ1768" s="33"/>
      <c r="AK1768" s="34" t="str">
        <f aca="false">IF($B1768="","",COUNTIF($F1768:$AJ1768,"P"))</f>
        <v/>
      </c>
      <c r="AL1768" s="34" t="str">
        <f aca="false">IF($B1768="","",COUNTIF($F1768:$AJ1768,"A"))</f>
        <v/>
      </c>
      <c r="AM1768" s="34" t="str">
        <f aca="false">IF($B1768="","",COUNTIF($F1768:$AJ1768,"HA"))</f>
        <v/>
      </c>
      <c r="AN1768" s="34" t="str">
        <f aca="false">IF($B1768="","",COUNTIF($F1768:$AJ1768,"L"))</f>
        <v/>
      </c>
      <c r="AO1768" s="34" t="str">
        <f aca="false">IF($B1768="","",COUNTIF($F1768:$AJ1768,"PL"))</f>
        <v/>
      </c>
      <c r="AP1768" s="34" t="str">
        <f aca="false">IF($B1768="","",COUNTIF($F1768:$AJ1768,"CL"))</f>
        <v/>
      </c>
      <c r="AQ1768" s="34" t="str">
        <f aca="false">IF($B1768="","",COUNTIF($F1768:$AJ1768,"SL"))</f>
        <v/>
      </c>
      <c r="AR1768" s="34" t="str">
        <f aca="false">IF($B1768="","",COUNTIF($F1768:$AJ1768,"CO"))</f>
        <v/>
      </c>
      <c r="AS1768" s="34" t="str">
        <f aca="false">IF($B1768="","",COUNTIF($F1768:$AJ1768,"HPL"))</f>
        <v/>
      </c>
      <c r="AT1768" s="34" t="str">
        <f aca="false">IF($B1768="","",COUNTIF($F1768:$AJ1768,"HCL"))</f>
        <v/>
      </c>
      <c r="AU1768" s="34" t="str">
        <f aca="false">IF($B1768="","",COUNTIF($F1768:$AJ1768,"WO"))</f>
        <v/>
      </c>
      <c r="AV1768" s="34" t="str">
        <f aca="false">IF($B1768="","",COUNTIF($F1768:$AJ1768,"PH"))</f>
        <v/>
      </c>
      <c r="AW1768" s="34" t="str">
        <f aca="false">IF($B1768="","",COUNTIF($F1768:$AJ1768,"TR"))</f>
        <v/>
      </c>
      <c r="AX1768" s="35" t="str">
        <f aca="false">IF($B1768="","",AO1768+AS1768/2)</f>
        <v/>
      </c>
      <c r="AY1768" s="35" t="str">
        <f aca="false">IF($B1768="","",AQ1768)</f>
        <v/>
      </c>
      <c r="AZ1768" s="35" t="str">
        <f aca="false">IF($B1768="","",AP1768+AT1768/2)</f>
        <v/>
      </c>
      <c r="BA1768" s="35" t="str">
        <f aca="false">IF($B1768="","",AK1768+AN1768+AM1768/2+AO1768+AP1768+AQ1768+AR1768+AS1768+AT1768+AU1768+AV1768+AW1768)</f>
        <v/>
      </c>
      <c r="BB1768" s="35" t="str">
        <f aca="false">IF($B1768="","",MAX(0,AN1768-Settings!$C$16)*Settings!$C$17)</f>
        <v/>
      </c>
      <c r="BC1768" s="35" t="str">
        <f aca="false">IF($B1768="","",BA1768-BB1768)</f>
        <v/>
      </c>
      <c r="BD1768" s="35" t="str">
        <f aca="false">IF(OR($B1768="",$A1768=""),"",DAY(EOMONTH($A1768,0))-COUNTA($F1768:$AJ1768))</f>
        <v/>
      </c>
    </row>
    <row r="1769" customFormat="false" ht="15" hidden="false" customHeight="false" outlineLevel="0" collapsed="false">
      <c r="A1769" s="32"/>
      <c r="B1769" s="29"/>
      <c r="C1769" s="10" t="str">
        <f aca="false">IF($B1769="","",IFERROR(INDEX(M_name,MATCH($B1769,M_emp,0)),"Code not found"))</f>
        <v/>
      </c>
      <c r="D1769" s="10" t="str">
        <f aca="false">IF($B1769="","",IFERROR(INDEX(M_dept,MATCH($B1769,M_emp,0)),""))</f>
        <v/>
      </c>
      <c r="E1769" s="10" t="str">
        <f aca="false">IF($B1769="","",IFERROR(INDEX(M_loc,MATCH($B1769,M_emp,0)),""))</f>
        <v/>
      </c>
      <c r="F1769" s="33"/>
      <c r="G1769" s="33"/>
      <c r="H1769" s="33"/>
      <c r="I1769" s="33"/>
      <c r="J1769" s="33"/>
      <c r="K1769" s="33"/>
      <c r="L1769" s="33"/>
      <c r="M1769" s="33"/>
      <c r="N1769" s="33"/>
      <c r="O1769" s="33"/>
      <c r="P1769" s="33"/>
      <c r="Q1769" s="33"/>
      <c r="R1769" s="33"/>
      <c r="S1769" s="33"/>
      <c r="T1769" s="33"/>
      <c r="U1769" s="33"/>
      <c r="V1769" s="33"/>
      <c r="W1769" s="33"/>
      <c r="X1769" s="33"/>
      <c r="Y1769" s="33"/>
      <c r="Z1769" s="33"/>
      <c r="AA1769" s="33"/>
      <c r="AB1769" s="33"/>
      <c r="AC1769" s="33"/>
      <c r="AD1769" s="33"/>
      <c r="AE1769" s="33"/>
      <c r="AF1769" s="33"/>
      <c r="AG1769" s="33"/>
      <c r="AH1769" s="33"/>
      <c r="AI1769" s="33"/>
      <c r="AJ1769" s="33"/>
      <c r="AK1769" s="34" t="str">
        <f aca="false">IF($B1769="","",COUNTIF($F1769:$AJ1769,"P"))</f>
        <v/>
      </c>
      <c r="AL1769" s="34" t="str">
        <f aca="false">IF($B1769="","",COUNTIF($F1769:$AJ1769,"A"))</f>
        <v/>
      </c>
      <c r="AM1769" s="34" t="str">
        <f aca="false">IF($B1769="","",COUNTIF($F1769:$AJ1769,"HA"))</f>
        <v/>
      </c>
      <c r="AN1769" s="34" t="str">
        <f aca="false">IF($B1769="","",COUNTIF($F1769:$AJ1769,"L"))</f>
        <v/>
      </c>
      <c r="AO1769" s="34" t="str">
        <f aca="false">IF($B1769="","",COUNTIF($F1769:$AJ1769,"PL"))</f>
        <v/>
      </c>
      <c r="AP1769" s="34" t="str">
        <f aca="false">IF($B1769="","",COUNTIF($F1769:$AJ1769,"CL"))</f>
        <v/>
      </c>
      <c r="AQ1769" s="34" t="str">
        <f aca="false">IF($B1769="","",COUNTIF($F1769:$AJ1769,"SL"))</f>
        <v/>
      </c>
      <c r="AR1769" s="34" t="str">
        <f aca="false">IF($B1769="","",COUNTIF($F1769:$AJ1769,"CO"))</f>
        <v/>
      </c>
      <c r="AS1769" s="34" t="str">
        <f aca="false">IF($B1769="","",COUNTIF($F1769:$AJ1769,"HPL"))</f>
        <v/>
      </c>
      <c r="AT1769" s="34" t="str">
        <f aca="false">IF($B1769="","",COUNTIF($F1769:$AJ1769,"HCL"))</f>
        <v/>
      </c>
      <c r="AU1769" s="34" t="str">
        <f aca="false">IF($B1769="","",COUNTIF($F1769:$AJ1769,"WO"))</f>
        <v/>
      </c>
      <c r="AV1769" s="34" t="str">
        <f aca="false">IF($B1769="","",COUNTIF($F1769:$AJ1769,"PH"))</f>
        <v/>
      </c>
      <c r="AW1769" s="34" t="str">
        <f aca="false">IF($B1769="","",COUNTIF($F1769:$AJ1769,"TR"))</f>
        <v/>
      </c>
      <c r="AX1769" s="35" t="str">
        <f aca="false">IF($B1769="","",AO1769+AS1769/2)</f>
        <v/>
      </c>
      <c r="AY1769" s="35" t="str">
        <f aca="false">IF($B1769="","",AQ1769)</f>
        <v/>
      </c>
      <c r="AZ1769" s="35" t="str">
        <f aca="false">IF($B1769="","",AP1769+AT1769/2)</f>
        <v/>
      </c>
      <c r="BA1769" s="35" t="str">
        <f aca="false">IF($B1769="","",AK1769+AN1769+AM1769/2+AO1769+AP1769+AQ1769+AR1769+AS1769+AT1769+AU1769+AV1769+AW1769)</f>
        <v/>
      </c>
      <c r="BB1769" s="35" t="str">
        <f aca="false">IF($B1769="","",MAX(0,AN1769-Settings!$C$16)*Settings!$C$17)</f>
        <v/>
      </c>
      <c r="BC1769" s="35" t="str">
        <f aca="false">IF($B1769="","",BA1769-BB1769)</f>
        <v/>
      </c>
      <c r="BD1769" s="35" t="str">
        <f aca="false">IF(OR($B1769="",$A1769=""),"",DAY(EOMONTH($A1769,0))-COUNTA($F1769:$AJ1769))</f>
        <v/>
      </c>
    </row>
    <row r="1770" customFormat="false" ht="15" hidden="false" customHeight="false" outlineLevel="0" collapsed="false">
      <c r="A1770" s="32"/>
      <c r="B1770" s="29"/>
      <c r="C1770" s="10" t="str">
        <f aca="false">IF($B1770="","",IFERROR(INDEX(M_name,MATCH($B1770,M_emp,0)),"Code not found"))</f>
        <v/>
      </c>
      <c r="D1770" s="10" t="str">
        <f aca="false">IF($B1770="","",IFERROR(INDEX(M_dept,MATCH($B1770,M_emp,0)),""))</f>
        <v/>
      </c>
      <c r="E1770" s="10" t="str">
        <f aca="false">IF($B1770="","",IFERROR(INDEX(M_loc,MATCH($B1770,M_emp,0)),""))</f>
        <v/>
      </c>
      <c r="F1770" s="33"/>
      <c r="G1770" s="33"/>
      <c r="H1770" s="33"/>
      <c r="I1770" s="33"/>
      <c r="J1770" s="33"/>
      <c r="K1770" s="33"/>
      <c r="L1770" s="33"/>
      <c r="M1770" s="33"/>
      <c r="N1770" s="33"/>
      <c r="O1770" s="33"/>
      <c r="P1770" s="33"/>
      <c r="Q1770" s="33"/>
      <c r="R1770" s="33"/>
      <c r="S1770" s="33"/>
      <c r="T1770" s="33"/>
      <c r="U1770" s="33"/>
      <c r="V1770" s="33"/>
      <c r="W1770" s="33"/>
      <c r="X1770" s="33"/>
      <c r="Y1770" s="33"/>
      <c r="Z1770" s="33"/>
      <c r="AA1770" s="33"/>
      <c r="AB1770" s="33"/>
      <c r="AC1770" s="33"/>
      <c r="AD1770" s="33"/>
      <c r="AE1770" s="33"/>
      <c r="AF1770" s="33"/>
      <c r="AG1770" s="33"/>
      <c r="AH1770" s="33"/>
      <c r="AI1770" s="33"/>
      <c r="AJ1770" s="33"/>
      <c r="AK1770" s="34" t="str">
        <f aca="false">IF($B1770="","",COUNTIF($F1770:$AJ1770,"P"))</f>
        <v/>
      </c>
      <c r="AL1770" s="34" t="str">
        <f aca="false">IF($B1770="","",COUNTIF($F1770:$AJ1770,"A"))</f>
        <v/>
      </c>
      <c r="AM1770" s="34" t="str">
        <f aca="false">IF($B1770="","",COUNTIF($F1770:$AJ1770,"HA"))</f>
        <v/>
      </c>
      <c r="AN1770" s="34" t="str">
        <f aca="false">IF($B1770="","",COUNTIF($F1770:$AJ1770,"L"))</f>
        <v/>
      </c>
      <c r="AO1770" s="34" t="str">
        <f aca="false">IF($B1770="","",COUNTIF($F1770:$AJ1770,"PL"))</f>
        <v/>
      </c>
      <c r="AP1770" s="34" t="str">
        <f aca="false">IF($B1770="","",COUNTIF($F1770:$AJ1770,"CL"))</f>
        <v/>
      </c>
      <c r="AQ1770" s="34" t="str">
        <f aca="false">IF($B1770="","",COUNTIF($F1770:$AJ1770,"SL"))</f>
        <v/>
      </c>
      <c r="AR1770" s="34" t="str">
        <f aca="false">IF($B1770="","",COUNTIF($F1770:$AJ1770,"CO"))</f>
        <v/>
      </c>
      <c r="AS1770" s="34" t="str">
        <f aca="false">IF($B1770="","",COUNTIF($F1770:$AJ1770,"HPL"))</f>
        <v/>
      </c>
      <c r="AT1770" s="34" t="str">
        <f aca="false">IF($B1770="","",COUNTIF($F1770:$AJ1770,"HCL"))</f>
        <v/>
      </c>
      <c r="AU1770" s="34" t="str">
        <f aca="false">IF($B1770="","",COUNTIF($F1770:$AJ1770,"WO"))</f>
        <v/>
      </c>
      <c r="AV1770" s="34" t="str">
        <f aca="false">IF($B1770="","",COUNTIF($F1770:$AJ1770,"PH"))</f>
        <v/>
      </c>
      <c r="AW1770" s="34" t="str">
        <f aca="false">IF($B1770="","",COUNTIF($F1770:$AJ1770,"TR"))</f>
        <v/>
      </c>
      <c r="AX1770" s="35" t="str">
        <f aca="false">IF($B1770="","",AO1770+AS1770/2)</f>
        <v/>
      </c>
      <c r="AY1770" s="35" t="str">
        <f aca="false">IF($B1770="","",AQ1770)</f>
        <v/>
      </c>
      <c r="AZ1770" s="35" t="str">
        <f aca="false">IF($B1770="","",AP1770+AT1770/2)</f>
        <v/>
      </c>
      <c r="BA1770" s="35" t="str">
        <f aca="false">IF($B1770="","",AK1770+AN1770+AM1770/2+AO1770+AP1770+AQ1770+AR1770+AS1770+AT1770+AU1770+AV1770+AW1770)</f>
        <v/>
      </c>
      <c r="BB1770" s="35" t="str">
        <f aca="false">IF($B1770="","",MAX(0,AN1770-Settings!$C$16)*Settings!$C$17)</f>
        <v/>
      </c>
      <c r="BC1770" s="35" t="str">
        <f aca="false">IF($B1770="","",BA1770-BB1770)</f>
        <v/>
      </c>
      <c r="BD1770" s="35" t="str">
        <f aca="false">IF(OR($B1770="",$A1770=""),"",DAY(EOMONTH($A1770,0))-COUNTA($F1770:$AJ1770))</f>
        <v/>
      </c>
    </row>
    <row r="1771" customFormat="false" ht="15" hidden="false" customHeight="false" outlineLevel="0" collapsed="false">
      <c r="A1771" s="32"/>
      <c r="B1771" s="29"/>
      <c r="C1771" s="10" t="str">
        <f aca="false">IF($B1771="","",IFERROR(INDEX(M_name,MATCH($B1771,M_emp,0)),"Code not found"))</f>
        <v/>
      </c>
      <c r="D1771" s="10" t="str">
        <f aca="false">IF($B1771="","",IFERROR(INDEX(M_dept,MATCH($B1771,M_emp,0)),""))</f>
        <v/>
      </c>
      <c r="E1771" s="10" t="str">
        <f aca="false">IF($B1771="","",IFERROR(INDEX(M_loc,MATCH($B1771,M_emp,0)),""))</f>
        <v/>
      </c>
      <c r="F1771" s="33"/>
      <c r="G1771" s="33"/>
      <c r="H1771" s="33"/>
      <c r="I1771" s="33"/>
      <c r="J1771" s="33"/>
      <c r="K1771" s="33"/>
      <c r="L1771" s="33"/>
      <c r="M1771" s="33"/>
      <c r="N1771" s="33"/>
      <c r="O1771" s="33"/>
      <c r="P1771" s="33"/>
      <c r="Q1771" s="33"/>
      <c r="R1771" s="33"/>
      <c r="S1771" s="33"/>
      <c r="T1771" s="33"/>
      <c r="U1771" s="33"/>
      <c r="V1771" s="33"/>
      <c r="W1771" s="33"/>
      <c r="X1771" s="33"/>
      <c r="Y1771" s="33"/>
      <c r="Z1771" s="33"/>
      <c r="AA1771" s="33"/>
      <c r="AB1771" s="33"/>
      <c r="AC1771" s="33"/>
      <c r="AD1771" s="33"/>
      <c r="AE1771" s="33"/>
      <c r="AF1771" s="33"/>
      <c r="AG1771" s="33"/>
      <c r="AH1771" s="33"/>
      <c r="AI1771" s="33"/>
      <c r="AJ1771" s="33"/>
      <c r="AK1771" s="34" t="str">
        <f aca="false">IF($B1771="","",COUNTIF($F1771:$AJ1771,"P"))</f>
        <v/>
      </c>
      <c r="AL1771" s="34" t="str">
        <f aca="false">IF($B1771="","",COUNTIF($F1771:$AJ1771,"A"))</f>
        <v/>
      </c>
      <c r="AM1771" s="34" t="str">
        <f aca="false">IF($B1771="","",COUNTIF($F1771:$AJ1771,"HA"))</f>
        <v/>
      </c>
      <c r="AN1771" s="34" t="str">
        <f aca="false">IF($B1771="","",COUNTIF($F1771:$AJ1771,"L"))</f>
        <v/>
      </c>
      <c r="AO1771" s="34" t="str">
        <f aca="false">IF($B1771="","",COUNTIF($F1771:$AJ1771,"PL"))</f>
        <v/>
      </c>
      <c r="AP1771" s="34" t="str">
        <f aca="false">IF($B1771="","",COUNTIF($F1771:$AJ1771,"CL"))</f>
        <v/>
      </c>
      <c r="AQ1771" s="34" t="str">
        <f aca="false">IF($B1771="","",COUNTIF($F1771:$AJ1771,"SL"))</f>
        <v/>
      </c>
      <c r="AR1771" s="34" t="str">
        <f aca="false">IF($B1771="","",COUNTIF($F1771:$AJ1771,"CO"))</f>
        <v/>
      </c>
      <c r="AS1771" s="34" t="str">
        <f aca="false">IF($B1771="","",COUNTIF($F1771:$AJ1771,"HPL"))</f>
        <v/>
      </c>
      <c r="AT1771" s="34" t="str">
        <f aca="false">IF($B1771="","",COUNTIF($F1771:$AJ1771,"HCL"))</f>
        <v/>
      </c>
      <c r="AU1771" s="34" t="str">
        <f aca="false">IF($B1771="","",COUNTIF($F1771:$AJ1771,"WO"))</f>
        <v/>
      </c>
      <c r="AV1771" s="34" t="str">
        <f aca="false">IF($B1771="","",COUNTIF($F1771:$AJ1771,"PH"))</f>
        <v/>
      </c>
      <c r="AW1771" s="34" t="str">
        <f aca="false">IF($B1771="","",COUNTIF($F1771:$AJ1771,"TR"))</f>
        <v/>
      </c>
      <c r="AX1771" s="35" t="str">
        <f aca="false">IF($B1771="","",AO1771+AS1771/2)</f>
        <v/>
      </c>
      <c r="AY1771" s="35" t="str">
        <f aca="false">IF($B1771="","",AQ1771)</f>
        <v/>
      </c>
      <c r="AZ1771" s="35" t="str">
        <f aca="false">IF($B1771="","",AP1771+AT1771/2)</f>
        <v/>
      </c>
      <c r="BA1771" s="35" t="str">
        <f aca="false">IF($B1771="","",AK1771+AN1771+AM1771/2+AO1771+AP1771+AQ1771+AR1771+AS1771+AT1771+AU1771+AV1771+AW1771)</f>
        <v/>
      </c>
      <c r="BB1771" s="35" t="str">
        <f aca="false">IF($B1771="","",MAX(0,AN1771-Settings!$C$16)*Settings!$C$17)</f>
        <v/>
      </c>
      <c r="BC1771" s="35" t="str">
        <f aca="false">IF($B1771="","",BA1771-BB1771)</f>
        <v/>
      </c>
      <c r="BD1771" s="35" t="str">
        <f aca="false">IF(OR($B1771="",$A1771=""),"",DAY(EOMONTH($A1771,0))-COUNTA($F1771:$AJ1771))</f>
        <v/>
      </c>
    </row>
    <row r="1772" customFormat="false" ht="15" hidden="false" customHeight="false" outlineLevel="0" collapsed="false">
      <c r="A1772" s="32"/>
      <c r="B1772" s="29"/>
      <c r="C1772" s="10" t="str">
        <f aca="false">IF($B1772="","",IFERROR(INDEX(M_name,MATCH($B1772,M_emp,0)),"Code not found"))</f>
        <v/>
      </c>
      <c r="D1772" s="10" t="str">
        <f aca="false">IF($B1772="","",IFERROR(INDEX(M_dept,MATCH($B1772,M_emp,0)),""))</f>
        <v/>
      </c>
      <c r="E1772" s="10" t="str">
        <f aca="false">IF($B1772="","",IFERROR(INDEX(M_loc,MATCH($B1772,M_emp,0)),""))</f>
        <v/>
      </c>
      <c r="F1772" s="33"/>
      <c r="G1772" s="33"/>
      <c r="H1772" s="33"/>
      <c r="I1772" s="33"/>
      <c r="J1772" s="33"/>
      <c r="K1772" s="33"/>
      <c r="L1772" s="33"/>
      <c r="M1772" s="33"/>
      <c r="N1772" s="33"/>
      <c r="O1772" s="33"/>
      <c r="P1772" s="33"/>
      <c r="Q1772" s="33"/>
      <c r="R1772" s="33"/>
      <c r="S1772" s="33"/>
      <c r="T1772" s="33"/>
      <c r="U1772" s="33"/>
      <c r="V1772" s="33"/>
      <c r="W1772" s="33"/>
      <c r="X1772" s="33"/>
      <c r="Y1772" s="33"/>
      <c r="Z1772" s="33"/>
      <c r="AA1772" s="33"/>
      <c r="AB1772" s="33"/>
      <c r="AC1772" s="33"/>
      <c r="AD1772" s="33"/>
      <c r="AE1772" s="33"/>
      <c r="AF1772" s="33"/>
      <c r="AG1772" s="33"/>
      <c r="AH1772" s="33"/>
      <c r="AI1772" s="33"/>
      <c r="AJ1772" s="33"/>
      <c r="AK1772" s="34" t="str">
        <f aca="false">IF($B1772="","",COUNTIF($F1772:$AJ1772,"P"))</f>
        <v/>
      </c>
      <c r="AL1772" s="34" t="str">
        <f aca="false">IF($B1772="","",COUNTIF($F1772:$AJ1772,"A"))</f>
        <v/>
      </c>
      <c r="AM1772" s="34" t="str">
        <f aca="false">IF($B1772="","",COUNTIF($F1772:$AJ1772,"HA"))</f>
        <v/>
      </c>
      <c r="AN1772" s="34" t="str">
        <f aca="false">IF($B1772="","",COUNTIF($F1772:$AJ1772,"L"))</f>
        <v/>
      </c>
      <c r="AO1772" s="34" t="str">
        <f aca="false">IF($B1772="","",COUNTIF($F1772:$AJ1772,"PL"))</f>
        <v/>
      </c>
      <c r="AP1772" s="34" t="str">
        <f aca="false">IF($B1772="","",COUNTIF($F1772:$AJ1772,"CL"))</f>
        <v/>
      </c>
      <c r="AQ1772" s="34" t="str">
        <f aca="false">IF($B1772="","",COUNTIF($F1772:$AJ1772,"SL"))</f>
        <v/>
      </c>
      <c r="AR1772" s="34" t="str">
        <f aca="false">IF($B1772="","",COUNTIF($F1772:$AJ1772,"CO"))</f>
        <v/>
      </c>
      <c r="AS1772" s="34" t="str">
        <f aca="false">IF($B1772="","",COUNTIF($F1772:$AJ1772,"HPL"))</f>
        <v/>
      </c>
      <c r="AT1772" s="34" t="str">
        <f aca="false">IF($B1772="","",COUNTIF($F1772:$AJ1772,"HCL"))</f>
        <v/>
      </c>
      <c r="AU1772" s="34" t="str">
        <f aca="false">IF($B1772="","",COUNTIF($F1772:$AJ1772,"WO"))</f>
        <v/>
      </c>
      <c r="AV1772" s="34" t="str">
        <f aca="false">IF($B1772="","",COUNTIF($F1772:$AJ1772,"PH"))</f>
        <v/>
      </c>
      <c r="AW1772" s="34" t="str">
        <f aca="false">IF($B1772="","",COUNTIF($F1772:$AJ1772,"TR"))</f>
        <v/>
      </c>
      <c r="AX1772" s="35" t="str">
        <f aca="false">IF($B1772="","",AO1772+AS1772/2)</f>
        <v/>
      </c>
      <c r="AY1772" s="35" t="str">
        <f aca="false">IF($B1772="","",AQ1772)</f>
        <v/>
      </c>
      <c r="AZ1772" s="35" t="str">
        <f aca="false">IF($B1772="","",AP1772+AT1772/2)</f>
        <v/>
      </c>
      <c r="BA1772" s="35" t="str">
        <f aca="false">IF($B1772="","",AK1772+AN1772+AM1772/2+AO1772+AP1772+AQ1772+AR1772+AS1772+AT1772+AU1772+AV1772+AW1772)</f>
        <v/>
      </c>
      <c r="BB1772" s="35" t="str">
        <f aca="false">IF($B1772="","",MAX(0,AN1772-Settings!$C$16)*Settings!$C$17)</f>
        <v/>
      </c>
      <c r="BC1772" s="35" t="str">
        <f aca="false">IF($B1772="","",BA1772-BB1772)</f>
        <v/>
      </c>
      <c r="BD1772" s="35" t="str">
        <f aca="false">IF(OR($B1772="",$A1772=""),"",DAY(EOMONTH($A1772,0))-COUNTA($F1772:$AJ1772))</f>
        <v/>
      </c>
    </row>
    <row r="1773" customFormat="false" ht="15" hidden="false" customHeight="false" outlineLevel="0" collapsed="false">
      <c r="A1773" s="32"/>
      <c r="B1773" s="29"/>
      <c r="C1773" s="10" t="str">
        <f aca="false">IF($B1773="","",IFERROR(INDEX(M_name,MATCH($B1773,M_emp,0)),"Code not found"))</f>
        <v/>
      </c>
      <c r="D1773" s="10" t="str">
        <f aca="false">IF($B1773="","",IFERROR(INDEX(M_dept,MATCH($B1773,M_emp,0)),""))</f>
        <v/>
      </c>
      <c r="E1773" s="10" t="str">
        <f aca="false">IF($B1773="","",IFERROR(INDEX(M_loc,MATCH($B1773,M_emp,0)),""))</f>
        <v/>
      </c>
      <c r="F1773" s="33"/>
      <c r="G1773" s="33"/>
      <c r="H1773" s="33"/>
      <c r="I1773" s="33"/>
      <c r="J1773" s="33"/>
      <c r="K1773" s="33"/>
      <c r="L1773" s="33"/>
      <c r="M1773" s="33"/>
      <c r="N1773" s="33"/>
      <c r="O1773" s="33"/>
      <c r="P1773" s="33"/>
      <c r="Q1773" s="33"/>
      <c r="R1773" s="33"/>
      <c r="S1773" s="33"/>
      <c r="T1773" s="33"/>
      <c r="U1773" s="33"/>
      <c r="V1773" s="33"/>
      <c r="W1773" s="33"/>
      <c r="X1773" s="33"/>
      <c r="Y1773" s="33"/>
      <c r="Z1773" s="33"/>
      <c r="AA1773" s="33"/>
      <c r="AB1773" s="33"/>
      <c r="AC1773" s="33"/>
      <c r="AD1773" s="33"/>
      <c r="AE1773" s="33"/>
      <c r="AF1773" s="33"/>
      <c r="AG1773" s="33"/>
      <c r="AH1773" s="33"/>
      <c r="AI1773" s="33"/>
      <c r="AJ1773" s="33"/>
      <c r="AK1773" s="34" t="str">
        <f aca="false">IF($B1773="","",COUNTIF($F1773:$AJ1773,"P"))</f>
        <v/>
      </c>
      <c r="AL1773" s="34" t="str">
        <f aca="false">IF($B1773="","",COUNTIF($F1773:$AJ1773,"A"))</f>
        <v/>
      </c>
      <c r="AM1773" s="34" t="str">
        <f aca="false">IF($B1773="","",COUNTIF($F1773:$AJ1773,"HA"))</f>
        <v/>
      </c>
      <c r="AN1773" s="34" t="str">
        <f aca="false">IF($B1773="","",COUNTIF($F1773:$AJ1773,"L"))</f>
        <v/>
      </c>
      <c r="AO1773" s="34" t="str">
        <f aca="false">IF($B1773="","",COUNTIF($F1773:$AJ1773,"PL"))</f>
        <v/>
      </c>
      <c r="AP1773" s="34" t="str">
        <f aca="false">IF($B1773="","",COUNTIF($F1773:$AJ1773,"CL"))</f>
        <v/>
      </c>
      <c r="AQ1773" s="34" t="str">
        <f aca="false">IF($B1773="","",COUNTIF($F1773:$AJ1773,"SL"))</f>
        <v/>
      </c>
      <c r="AR1773" s="34" t="str">
        <f aca="false">IF($B1773="","",COUNTIF($F1773:$AJ1773,"CO"))</f>
        <v/>
      </c>
      <c r="AS1773" s="34" t="str">
        <f aca="false">IF($B1773="","",COUNTIF($F1773:$AJ1773,"HPL"))</f>
        <v/>
      </c>
      <c r="AT1773" s="34" t="str">
        <f aca="false">IF($B1773="","",COUNTIF($F1773:$AJ1773,"HCL"))</f>
        <v/>
      </c>
      <c r="AU1773" s="34" t="str">
        <f aca="false">IF($B1773="","",COUNTIF($F1773:$AJ1773,"WO"))</f>
        <v/>
      </c>
      <c r="AV1773" s="34" t="str">
        <f aca="false">IF($B1773="","",COUNTIF($F1773:$AJ1773,"PH"))</f>
        <v/>
      </c>
      <c r="AW1773" s="34" t="str">
        <f aca="false">IF($B1773="","",COUNTIF($F1773:$AJ1773,"TR"))</f>
        <v/>
      </c>
      <c r="AX1773" s="35" t="str">
        <f aca="false">IF($B1773="","",AO1773+AS1773/2)</f>
        <v/>
      </c>
      <c r="AY1773" s="35" t="str">
        <f aca="false">IF($B1773="","",AQ1773)</f>
        <v/>
      </c>
      <c r="AZ1773" s="35" t="str">
        <f aca="false">IF($B1773="","",AP1773+AT1773/2)</f>
        <v/>
      </c>
      <c r="BA1773" s="35" t="str">
        <f aca="false">IF($B1773="","",AK1773+AN1773+AM1773/2+AO1773+AP1773+AQ1773+AR1773+AS1773+AT1773+AU1773+AV1773+AW1773)</f>
        <v/>
      </c>
      <c r="BB1773" s="35" t="str">
        <f aca="false">IF($B1773="","",MAX(0,AN1773-Settings!$C$16)*Settings!$C$17)</f>
        <v/>
      </c>
      <c r="BC1773" s="35" t="str">
        <f aca="false">IF($B1773="","",BA1773-BB1773)</f>
        <v/>
      </c>
      <c r="BD1773" s="35" t="str">
        <f aca="false">IF(OR($B1773="",$A1773=""),"",DAY(EOMONTH($A1773,0))-COUNTA($F1773:$AJ1773))</f>
        <v/>
      </c>
    </row>
    <row r="1774" customFormat="false" ht="15" hidden="false" customHeight="false" outlineLevel="0" collapsed="false">
      <c r="A1774" s="32"/>
      <c r="B1774" s="29"/>
      <c r="C1774" s="10" t="str">
        <f aca="false">IF($B1774="","",IFERROR(INDEX(M_name,MATCH($B1774,M_emp,0)),"Code not found"))</f>
        <v/>
      </c>
      <c r="D1774" s="10" t="str">
        <f aca="false">IF($B1774="","",IFERROR(INDEX(M_dept,MATCH($B1774,M_emp,0)),""))</f>
        <v/>
      </c>
      <c r="E1774" s="10" t="str">
        <f aca="false">IF($B1774="","",IFERROR(INDEX(M_loc,MATCH($B1774,M_emp,0)),""))</f>
        <v/>
      </c>
      <c r="F1774" s="33"/>
      <c r="G1774" s="33"/>
      <c r="H1774" s="33"/>
      <c r="I1774" s="33"/>
      <c r="J1774" s="33"/>
      <c r="K1774" s="33"/>
      <c r="L1774" s="33"/>
      <c r="M1774" s="33"/>
      <c r="N1774" s="33"/>
      <c r="O1774" s="33"/>
      <c r="P1774" s="33"/>
      <c r="Q1774" s="33"/>
      <c r="R1774" s="33"/>
      <c r="S1774" s="33"/>
      <c r="T1774" s="33"/>
      <c r="U1774" s="33"/>
      <c r="V1774" s="33"/>
      <c r="W1774" s="33"/>
      <c r="X1774" s="33"/>
      <c r="Y1774" s="33"/>
      <c r="Z1774" s="33"/>
      <c r="AA1774" s="33"/>
      <c r="AB1774" s="33"/>
      <c r="AC1774" s="33"/>
      <c r="AD1774" s="33"/>
      <c r="AE1774" s="33"/>
      <c r="AF1774" s="33"/>
      <c r="AG1774" s="33"/>
      <c r="AH1774" s="33"/>
      <c r="AI1774" s="33"/>
      <c r="AJ1774" s="33"/>
      <c r="AK1774" s="34" t="str">
        <f aca="false">IF($B1774="","",COUNTIF($F1774:$AJ1774,"P"))</f>
        <v/>
      </c>
      <c r="AL1774" s="34" t="str">
        <f aca="false">IF($B1774="","",COUNTIF($F1774:$AJ1774,"A"))</f>
        <v/>
      </c>
      <c r="AM1774" s="34" t="str">
        <f aca="false">IF($B1774="","",COUNTIF($F1774:$AJ1774,"HA"))</f>
        <v/>
      </c>
      <c r="AN1774" s="34" t="str">
        <f aca="false">IF($B1774="","",COUNTIF($F1774:$AJ1774,"L"))</f>
        <v/>
      </c>
      <c r="AO1774" s="34" t="str">
        <f aca="false">IF($B1774="","",COUNTIF($F1774:$AJ1774,"PL"))</f>
        <v/>
      </c>
      <c r="AP1774" s="34" t="str">
        <f aca="false">IF($B1774="","",COUNTIF($F1774:$AJ1774,"CL"))</f>
        <v/>
      </c>
      <c r="AQ1774" s="34" t="str">
        <f aca="false">IF($B1774="","",COUNTIF($F1774:$AJ1774,"SL"))</f>
        <v/>
      </c>
      <c r="AR1774" s="34" t="str">
        <f aca="false">IF($B1774="","",COUNTIF($F1774:$AJ1774,"CO"))</f>
        <v/>
      </c>
      <c r="AS1774" s="34" t="str">
        <f aca="false">IF($B1774="","",COUNTIF($F1774:$AJ1774,"HPL"))</f>
        <v/>
      </c>
      <c r="AT1774" s="34" t="str">
        <f aca="false">IF($B1774="","",COUNTIF($F1774:$AJ1774,"HCL"))</f>
        <v/>
      </c>
      <c r="AU1774" s="34" t="str">
        <f aca="false">IF($B1774="","",COUNTIF($F1774:$AJ1774,"WO"))</f>
        <v/>
      </c>
      <c r="AV1774" s="34" t="str">
        <f aca="false">IF($B1774="","",COUNTIF($F1774:$AJ1774,"PH"))</f>
        <v/>
      </c>
      <c r="AW1774" s="34" t="str">
        <f aca="false">IF($B1774="","",COUNTIF($F1774:$AJ1774,"TR"))</f>
        <v/>
      </c>
      <c r="AX1774" s="35" t="str">
        <f aca="false">IF($B1774="","",AO1774+AS1774/2)</f>
        <v/>
      </c>
      <c r="AY1774" s="35" t="str">
        <f aca="false">IF($B1774="","",AQ1774)</f>
        <v/>
      </c>
      <c r="AZ1774" s="35" t="str">
        <f aca="false">IF($B1774="","",AP1774+AT1774/2)</f>
        <v/>
      </c>
      <c r="BA1774" s="35" t="str">
        <f aca="false">IF($B1774="","",AK1774+AN1774+AM1774/2+AO1774+AP1774+AQ1774+AR1774+AS1774+AT1774+AU1774+AV1774+AW1774)</f>
        <v/>
      </c>
      <c r="BB1774" s="35" t="str">
        <f aca="false">IF($B1774="","",MAX(0,AN1774-Settings!$C$16)*Settings!$C$17)</f>
        <v/>
      </c>
      <c r="BC1774" s="35" t="str">
        <f aca="false">IF($B1774="","",BA1774-BB1774)</f>
        <v/>
      </c>
      <c r="BD1774" s="35" t="str">
        <f aca="false">IF(OR($B1774="",$A1774=""),"",DAY(EOMONTH($A1774,0))-COUNTA($F1774:$AJ1774))</f>
        <v/>
      </c>
    </row>
    <row r="1775" customFormat="false" ht="15" hidden="false" customHeight="false" outlineLevel="0" collapsed="false">
      <c r="A1775" s="32"/>
      <c r="B1775" s="29"/>
      <c r="C1775" s="10" t="str">
        <f aca="false">IF($B1775="","",IFERROR(INDEX(M_name,MATCH($B1775,M_emp,0)),"Code not found"))</f>
        <v/>
      </c>
      <c r="D1775" s="10" t="str">
        <f aca="false">IF($B1775="","",IFERROR(INDEX(M_dept,MATCH($B1775,M_emp,0)),""))</f>
        <v/>
      </c>
      <c r="E1775" s="10" t="str">
        <f aca="false">IF($B1775="","",IFERROR(INDEX(M_loc,MATCH($B1775,M_emp,0)),""))</f>
        <v/>
      </c>
      <c r="F1775" s="33"/>
      <c r="G1775" s="33"/>
      <c r="H1775" s="33"/>
      <c r="I1775" s="33"/>
      <c r="J1775" s="33"/>
      <c r="K1775" s="33"/>
      <c r="L1775" s="33"/>
      <c r="M1775" s="33"/>
      <c r="N1775" s="33"/>
      <c r="O1775" s="33"/>
      <c r="P1775" s="33"/>
      <c r="Q1775" s="33"/>
      <c r="R1775" s="33"/>
      <c r="S1775" s="33"/>
      <c r="T1775" s="33"/>
      <c r="U1775" s="33"/>
      <c r="V1775" s="33"/>
      <c r="W1775" s="33"/>
      <c r="X1775" s="33"/>
      <c r="Y1775" s="33"/>
      <c r="Z1775" s="33"/>
      <c r="AA1775" s="33"/>
      <c r="AB1775" s="33"/>
      <c r="AC1775" s="33"/>
      <c r="AD1775" s="33"/>
      <c r="AE1775" s="33"/>
      <c r="AF1775" s="33"/>
      <c r="AG1775" s="33"/>
      <c r="AH1775" s="33"/>
      <c r="AI1775" s="33"/>
      <c r="AJ1775" s="33"/>
      <c r="AK1775" s="34" t="str">
        <f aca="false">IF($B1775="","",COUNTIF($F1775:$AJ1775,"P"))</f>
        <v/>
      </c>
      <c r="AL1775" s="34" t="str">
        <f aca="false">IF($B1775="","",COUNTIF($F1775:$AJ1775,"A"))</f>
        <v/>
      </c>
      <c r="AM1775" s="34" t="str">
        <f aca="false">IF($B1775="","",COUNTIF($F1775:$AJ1775,"HA"))</f>
        <v/>
      </c>
      <c r="AN1775" s="34" t="str">
        <f aca="false">IF($B1775="","",COUNTIF($F1775:$AJ1775,"L"))</f>
        <v/>
      </c>
      <c r="AO1775" s="34" t="str">
        <f aca="false">IF($B1775="","",COUNTIF($F1775:$AJ1775,"PL"))</f>
        <v/>
      </c>
      <c r="AP1775" s="34" t="str">
        <f aca="false">IF($B1775="","",COUNTIF($F1775:$AJ1775,"CL"))</f>
        <v/>
      </c>
      <c r="AQ1775" s="34" t="str">
        <f aca="false">IF($B1775="","",COUNTIF($F1775:$AJ1775,"SL"))</f>
        <v/>
      </c>
      <c r="AR1775" s="34" t="str">
        <f aca="false">IF($B1775="","",COUNTIF($F1775:$AJ1775,"CO"))</f>
        <v/>
      </c>
      <c r="AS1775" s="34" t="str">
        <f aca="false">IF($B1775="","",COUNTIF($F1775:$AJ1775,"HPL"))</f>
        <v/>
      </c>
      <c r="AT1775" s="34" t="str">
        <f aca="false">IF($B1775="","",COUNTIF($F1775:$AJ1775,"HCL"))</f>
        <v/>
      </c>
      <c r="AU1775" s="34" t="str">
        <f aca="false">IF($B1775="","",COUNTIF($F1775:$AJ1775,"WO"))</f>
        <v/>
      </c>
      <c r="AV1775" s="34" t="str">
        <f aca="false">IF($B1775="","",COUNTIF($F1775:$AJ1775,"PH"))</f>
        <v/>
      </c>
      <c r="AW1775" s="34" t="str">
        <f aca="false">IF($B1775="","",COUNTIF($F1775:$AJ1775,"TR"))</f>
        <v/>
      </c>
      <c r="AX1775" s="35" t="str">
        <f aca="false">IF($B1775="","",AO1775+AS1775/2)</f>
        <v/>
      </c>
      <c r="AY1775" s="35" t="str">
        <f aca="false">IF($B1775="","",AQ1775)</f>
        <v/>
      </c>
      <c r="AZ1775" s="35" t="str">
        <f aca="false">IF($B1775="","",AP1775+AT1775/2)</f>
        <v/>
      </c>
      <c r="BA1775" s="35" t="str">
        <f aca="false">IF($B1775="","",AK1775+AN1775+AM1775/2+AO1775+AP1775+AQ1775+AR1775+AS1775+AT1775+AU1775+AV1775+AW1775)</f>
        <v/>
      </c>
      <c r="BB1775" s="35" t="str">
        <f aca="false">IF($B1775="","",MAX(0,AN1775-Settings!$C$16)*Settings!$C$17)</f>
        <v/>
      </c>
      <c r="BC1775" s="35" t="str">
        <f aca="false">IF($B1775="","",BA1775-BB1775)</f>
        <v/>
      </c>
      <c r="BD1775" s="35" t="str">
        <f aca="false">IF(OR($B1775="",$A1775=""),"",DAY(EOMONTH($A1775,0))-COUNTA($F1775:$AJ1775))</f>
        <v/>
      </c>
    </row>
    <row r="1776" customFormat="false" ht="15" hidden="false" customHeight="false" outlineLevel="0" collapsed="false">
      <c r="A1776" s="32"/>
      <c r="B1776" s="29"/>
      <c r="C1776" s="10" t="str">
        <f aca="false">IF($B1776="","",IFERROR(INDEX(M_name,MATCH($B1776,M_emp,0)),"Code not found"))</f>
        <v/>
      </c>
      <c r="D1776" s="10" t="str">
        <f aca="false">IF($B1776="","",IFERROR(INDEX(M_dept,MATCH($B1776,M_emp,0)),""))</f>
        <v/>
      </c>
      <c r="E1776" s="10" t="str">
        <f aca="false">IF($B1776="","",IFERROR(INDEX(M_loc,MATCH($B1776,M_emp,0)),""))</f>
        <v/>
      </c>
      <c r="F1776" s="33"/>
      <c r="G1776" s="33"/>
      <c r="H1776" s="33"/>
      <c r="I1776" s="33"/>
      <c r="J1776" s="33"/>
      <c r="K1776" s="33"/>
      <c r="L1776" s="33"/>
      <c r="M1776" s="33"/>
      <c r="N1776" s="33"/>
      <c r="O1776" s="33"/>
      <c r="P1776" s="33"/>
      <c r="Q1776" s="33"/>
      <c r="R1776" s="33"/>
      <c r="S1776" s="33"/>
      <c r="T1776" s="33"/>
      <c r="U1776" s="33"/>
      <c r="V1776" s="33"/>
      <c r="W1776" s="33"/>
      <c r="X1776" s="33"/>
      <c r="Y1776" s="33"/>
      <c r="Z1776" s="33"/>
      <c r="AA1776" s="33"/>
      <c r="AB1776" s="33"/>
      <c r="AC1776" s="33"/>
      <c r="AD1776" s="33"/>
      <c r="AE1776" s="33"/>
      <c r="AF1776" s="33"/>
      <c r="AG1776" s="33"/>
      <c r="AH1776" s="33"/>
      <c r="AI1776" s="33"/>
      <c r="AJ1776" s="33"/>
      <c r="AK1776" s="34" t="str">
        <f aca="false">IF($B1776="","",COUNTIF($F1776:$AJ1776,"P"))</f>
        <v/>
      </c>
      <c r="AL1776" s="34" t="str">
        <f aca="false">IF($B1776="","",COUNTIF($F1776:$AJ1776,"A"))</f>
        <v/>
      </c>
      <c r="AM1776" s="34" t="str">
        <f aca="false">IF($B1776="","",COUNTIF($F1776:$AJ1776,"HA"))</f>
        <v/>
      </c>
      <c r="AN1776" s="34" t="str">
        <f aca="false">IF($B1776="","",COUNTIF($F1776:$AJ1776,"L"))</f>
        <v/>
      </c>
      <c r="AO1776" s="34" t="str">
        <f aca="false">IF($B1776="","",COUNTIF($F1776:$AJ1776,"PL"))</f>
        <v/>
      </c>
      <c r="AP1776" s="34" t="str">
        <f aca="false">IF($B1776="","",COUNTIF($F1776:$AJ1776,"CL"))</f>
        <v/>
      </c>
      <c r="AQ1776" s="34" t="str">
        <f aca="false">IF($B1776="","",COUNTIF($F1776:$AJ1776,"SL"))</f>
        <v/>
      </c>
      <c r="AR1776" s="34" t="str">
        <f aca="false">IF($B1776="","",COUNTIF($F1776:$AJ1776,"CO"))</f>
        <v/>
      </c>
      <c r="AS1776" s="34" t="str">
        <f aca="false">IF($B1776="","",COUNTIF($F1776:$AJ1776,"HPL"))</f>
        <v/>
      </c>
      <c r="AT1776" s="34" t="str">
        <f aca="false">IF($B1776="","",COUNTIF($F1776:$AJ1776,"HCL"))</f>
        <v/>
      </c>
      <c r="AU1776" s="34" t="str">
        <f aca="false">IF($B1776="","",COUNTIF($F1776:$AJ1776,"WO"))</f>
        <v/>
      </c>
      <c r="AV1776" s="34" t="str">
        <f aca="false">IF($B1776="","",COUNTIF($F1776:$AJ1776,"PH"))</f>
        <v/>
      </c>
      <c r="AW1776" s="34" t="str">
        <f aca="false">IF($B1776="","",COUNTIF($F1776:$AJ1776,"TR"))</f>
        <v/>
      </c>
      <c r="AX1776" s="35" t="str">
        <f aca="false">IF($B1776="","",AO1776+AS1776/2)</f>
        <v/>
      </c>
      <c r="AY1776" s="35" t="str">
        <f aca="false">IF($B1776="","",AQ1776)</f>
        <v/>
      </c>
      <c r="AZ1776" s="35" t="str">
        <f aca="false">IF($B1776="","",AP1776+AT1776/2)</f>
        <v/>
      </c>
      <c r="BA1776" s="35" t="str">
        <f aca="false">IF($B1776="","",AK1776+AN1776+AM1776/2+AO1776+AP1776+AQ1776+AR1776+AS1776+AT1776+AU1776+AV1776+AW1776)</f>
        <v/>
      </c>
      <c r="BB1776" s="35" t="str">
        <f aca="false">IF($B1776="","",MAX(0,AN1776-Settings!$C$16)*Settings!$C$17)</f>
        <v/>
      </c>
      <c r="BC1776" s="35" t="str">
        <f aca="false">IF($B1776="","",BA1776-BB1776)</f>
        <v/>
      </c>
      <c r="BD1776" s="35" t="str">
        <f aca="false">IF(OR($B1776="",$A1776=""),"",DAY(EOMONTH($A1776,0))-COUNTA($F1776:$AJ1776))</f>
        <v/>
      </c>
    </row>
    <row r="1777" customFormat="false" ht="15" hidden="false" customHeight="false" outlineLevel="0" collapsed="false">
      <c r="A1777" s="32"/>
      <c r="B1777" s="29"/>
      <c r="C1777" s="10" t="str">
        <f aca="false">IF($B1777="","",IFERROR(INDEX(M_name,MATCH($B1777,M_emp,0)),"Code not found"))</f>
        <v/>
      </c>
      <c r="D1777" s="10" t="str">
        <f aca="false">IF($B1777="","",IFERROR(INDEX(M_dept,MATCH($B1777,M_emp,0)),""))</f>
        <v/>
      </c>
      <c r="E1777" s="10" t="str">
        <f aca="false">IF($B1777="","",IFERROR(INDEX(M_loc,MATCH($B1777,M_emp,0)),""))</f>
        <v/>
      </c>
      <c r="F1777" s="33"/>
      <c r="G1777" s="33"/>
      <c r="H1777" s="33"/>
      <c r="I1777" s="33"/>
      <c r="J1777" s="33"/>
      <c r="K1777" s="33"/>
      <c r="L1777" s="33"/>
      <c r="M1777" s="33"/>
      <c r="N1777" s="33"/>
      <c r="O1777" s="33"/>
      <c r="P1777" s="33"/>
      <c r="Q1777" s="33"/>
      <c r="R1777" s="33"/>
      <c r="S1777" s="33"/>
      <c r="T1777" s="33"/>
      <c r="U1777" s="33"/>
      <c r="V1777" s="33"/>
      <c r="W1777" s="33"/>
      <c r="X1777" s="33"/>
      <c r="Y1777" s="33"/>
      <c r="Z1777" s="33"/>
      <c r="AA1777" s="33"/>
      <c r="AB1777" s="33"/>
      <c r="AC1777" s="33"/>
      <c r="AD1777" s="33"/>
      <c r="AE1777" s="33"/>
      <c r="AF1777" s="33"/>
      <c r="AG1777" s="33"/>
      <c r="AH1777" s="33"/>
      <c r="AI1777" s="33"/>
      <c r="AJ1777" s="33"/>
      <c r="AK1777" s="34" t="str">
        <f aca="false">IF($B1777="","",COUNTIF($F1777:$AJ1777,"P"))</f>
        <v/>
      </c>
      <c r="AL1777" s="34" t="str">
        <f aca="false">IF($B1777="","",COUNTIF($F1777:$AJ1777,"A"))</f>
        <v/>
      </c>
      <c r="AM1777" s="34" t="str">
        <f aca="false">IF($B1777="","",COUNTIF($F1777:$AJ1777,"HA"))</f>
        <v/>
      </c>
      <c r="AN1777" s="34" t="str">
        <f aca="false">IF($B1777="","",COUNTIF($F1777:$AJ1777,"L"))</f>
        <v/>
      </c>
      <c r="AO1777" s="34" t="str">
        <f aca="false">IF($B1777="","",COUNTIF($F1777:$AJ1777,"PL"))</f>
        <v/>
      </c>
      <c r="AP1777" s="34" t="str">
        <f aca="false">IF($B1777="","",COUNTIF($F1777:$AJ1777,"CL"))</f>
        <v/>
      </c>
      <c r="AQ1777" s="34" t="str">
        <f aca="false">IF($B1777="","",COUNTIF($F1777:$AJ1777,"SL"))</f>
        <v/>
      </c>
      <c r="AR1777" s="34" t="str">
        <f aca="false">IF($B1777="","",COUNTIF($F1777:$AJ1777,"CO"))</f>
        <v/>
      </c>
      <c r="AS1777" s="34" t="str">
        <f aca="false">IF($B1777="","",COUNTIF($F1777:$AJ1777,"HPL"))</f>
        <v/>
      </c>
      <c r="AT1777" s="34" t="str">
        <f aca="false">IF($B1777="","",COUNTIF($F1777:$AJ1777,"HCL"))</f>
        <v/>
      </c>
      <c r="AU1777" s="34" t="str">
        <f aca="false">IF($B1777="","",COUNTIF($F1777:$AJ1777,"WO"))</f>
        <v/>
      </c>
      <c r="AV1777" s="34" t="str">
        <f aca="false">IF($B1777="","",COUNTIF($F1777:$AJ1777,"PH"))</f>
        <v/>
      </c>
      <c r="AW1777" s="34" t="str">
        <f aca="false">IF($B1777="","",COUNTIF($F1777:$AJ1777,"TR"))</f>
        <v/>
      </c>
      <c r="AX1777" s="35" t="str">
        <f aca="false">IF($B1777="","",AO1777+AS1777/2)</f>
        <v/>
      </c>
      <c r="AY1777" s="35" t="str">
        <f aca="false">IF($B1777="","",AQ1777)</f>
        <v/>
      </c>
      <c r="AZ1777" s="35" t="str">
        <f aca="false">IF($B1777="","",AP1777+AT1777/2)</f>
        <v/>
      </c>
      <c r="BA1777" s="35" t="str">
        <f aca="false">IF($B1777="","",AK1777+AN1777+AM1777/2+AO1777+AP1777+AQ1777+AR1777+AS1777+AT1777+AU1777+AV1777+AW1777)</f>
        <v/>
      </c>
      <c r="BB1777" s="35" t="str">
        <f aca="false">IF($B1777="","",MAX(0,AN1777-Settings!$C$16)*Settings!$C$17)</f>
        <v/>
      </c>
      <c r="BC1777" s="35" t="str">
        <f aca="false">IF($B1777="","",BA1777-BB1777)</f>
        <v/>
      </c>
      <c r="BD1777" s="35" t="str">
        <f aca="false">IF(OR($B1777="",$A1777=""),"",DAY(EOMONTH($A1777,0))-COUNTA($F1777:$AJ1777))</f>
        <v/>
      </c>
    </row>
    <row r="1778" customFormat="false" ht="15" hidden="false" customHeight="false" outlineLevel="0" collapsed="false">
      <c r="A1778" s="32"/>
      <c r="B1778" s="29"/>
      <c r="C1778" s="10" t="str">
        <f aca="false">IF($B1778="","",IFERROR(INDEX(M_name,MATCH($B1778,M_emp,0)),"Code not found"))</f>
        <v/>
      </c>
      <c r="D1778" s="10" t="str">
        <f aca="false">IF($B1778="","",IFERROR(INDEX(M_dept,MATCH($B1778,M_emp,0)),""))</f>
        <v/>
      </c>
      <c r="E1778" s="10" t="str">
        <f aca="false">IF($B1778="","",IFERROR(INDEX(M_loc,MATCH($B1778,M_emp,0)),""))</f>
        <v/>
      </c>
      <c r="F1778" s="33"/>
      <c r="G1778" s="33"/>
      <c r="H1778" s="33"/>
      <c r="I1778" s="33"/>
      <c r="J1778" s="33"/>
      <c r="K1778" s="33"/>
      <c r="L1778" s="33"/>
      <c r="M1778" s="33"/>
      <c r="N1778" s="33"/>
      <c r="O1778" s="33"/>
      <c r="P1778" s="33"/>
      <c r="Q1778" s="33"/>
      <c r="R1778" s="33"/>
      <c r="S1778" s="33"/>
      <c r="T1778" s="33"/>
      <c r="U1778" s="33"/>
      <c r="V1778" s="33"/>
      <c r="W1778" s="33"/>
      <c r="X1778" s="33"/>
      <c r="Y1778" s="33"/>
      <c r="Z1778" s="33"/>
      <c r="AA1778" s="33"/>
      <c r="AB1778" s="33"/>
      <c r="AC1778" s="33"/>
      <c r="AD1778" s="33"/>
      <c r="AE1778" s="33"/>
      <c r="AF1778" s="33"/>
      <c r="AG1778" s="33"/>
      <c r="AH1778" s="33"/>
      <c r="AI1778" s="33"/>
      <c r="AJ1778" s="33"/>
      <c r="AK1778" s="34" t="str">
        <f aca="false">IF($B1778="","",COUNTIF($F1778:$AJ1778,"P"))</f>
        <v/>
      </c>
      <c r="AL1778" s="34" t="str">
        <f aca="false">IF($B1778="","",COUNTIF($F1778:$AJ1778,"A"))</f>
        <v/>
      </c>
      <c r="AM1778" s="34" t="str">
        <f aca="false">IF($B1778="","",COUNTIF($F1778:$AJ1778,"HA"))</f>
        <v/>
      </c>
      <c r="AN1778" s="34" t="str">
        <f aca="false">IF($B1778="","",COUNTIF($F1778:$AJ1778,"L"))</f>
        <v/>
      </c>
      <c r="AO1778" s="34" t="str">
        <f aca="false">IF($B1778="","",COUNTIF($F1778:$AJ1778,"PL"))</f>
        <v/>
      </c>
      <c r="AP1778" s="34" t="str">
        <f aca="false">IF($B1778="","",COUNTIF($F1778:$AJ1778,"CL"))</f>
        <v/>
      </c>
      <c r="AQ1778" s="34" t="str">
        <f aca="false">IF($B1778="","",COUNTIF($F1778:$AJ1778,"SL"))</f>
        <v/>
      </c>
      <c r="AR1778" s="34" t="str">
        <f aca="false">IF($B1778="","",COUNTIF($F1778:$AJ1778,"CO"))</f>
        <v/>
      </c>
      <c r="AS1778" s="34" t="str">
        <f aca="false">IF($B1778="","",COUNTIF($F1778:$AJ1778,"HPL"))</f>
        <v/>
      </c>
      <c r="AT1778" s="34" t="str">
        <f aca="false">IF($B1778="","",COUNTIF($F1778:$AJ1778,"HCL"))</f>
        <v/>
      </c>
      <c r="AU1778" s="34" t="str">
        <f aca="false">IF($B1778="","",COUNTIF($F1778:$AJ1778,"WO"))</f>
        <v/>
      </c>
      <c r="AV1778" s="34" t="str">
        <f aca="false">IF($B1778="","",COUNTIF($F1778:$AJ1778,"PH"))</f>
        <v/>
      </c>
      <c r="AW1778" s="34" t="str">
        <f aca="false">IF($B1778="","",COUNTIF($F1778:$AJ1778,"TR"))</f>
        <v/>
      </c>
      <c r="AX1778" s="35" t="str">
        <f aca="false">IF($B1778="","",AO1778+AS1778/2)</f>
        <v/>
      </c>
      <c r="AY1778" s="35" t="str">
        <f aca="false">IF($B1778="","",AQ1778)</f>
        <v/>
      </c>
      <c r="AZ1778" s="35" t="str">
        <f aca="false">IF($B1778="","",AP1778+AT1778/2)</f>
        <v/>
      </c>
      <c r="BA1778" s="35" t="str">
        <f aca="false">IF($B1778="","",AK1778+AN1778+AM1778/2+AO1778+AP1778+AQ1778+AR1778+AS1778+AT1778+AU1778+AV1778+AW1778)</f>
        <v/>
      </c>
      <c r="BB1778" s="35" t="str">
        <f aca="false">IF($B1778="","",MAX(0,AN1778-Settings!$C$16)*Settings!$C$17)</f>
        <v/>
      </c>
      <c r="BC1778" s="35" t="str">
        <f aca="false">IF($B1778="","",BA1778-BB1778)</f>
        <v/>
      </c>
      <c r="BD1778" s="35" t="str">
        <f aca="false">IF(OR($B1778="",$A1778=""),"",DAY(EOMONTH($A1778,0))-COUNTA($F1778:$AJ1778))</f>
        <v/>
      </c>
    </row>
    <row r="1779" customFormat="false" ht="15" hidden="false" customHeight="false" outlineLevel="0" collapsed="false">
      <c r="A1779" s="32"/>
      <c r="B1779" s="29"/>
      <c r="C1779" s="10" t="str">
        <f aca="false">IF($B1779="","",IFERROR(INDEX(M_name,MATCH($B1779,M_emp,0)),"Code not found"))</f>
        <v/>
      </c>
      <c r="D1779" s="10" t="str">
        <f aca="false">IF($B1779="","",IFERROR(INDEX(M_dept,MATCH($B1779,M_emp,0)),""))</f>
        <v/>
      </c>
      <c r="E1779" s="10" t="str">
        <f aca="false">IF($B1779="","",IFERROR(INDEX(M_loc,MATCH($B1779,M_emp,0)),""))</f>
        <v/>
      </c>
      <c r="F1779" s="33"/>
      <c r="G1779" s="33"/>
      <c r="H1779" s="33"/>
      <c r="I1779" s="33"/>
      <c r="J1779" s="33"/>
      <c r="K1779" s="33"/>
      <c r="L1779" s="33"/>
      <c r="M1779" s="33"/>
      <c r="N1779" s="33"/>
      <c r="O1779" s="33"/>
      <c r="P1779" s="33"/>
      <c r="Q1779" s="33"/>
      <c r="R1779" s="33"/>
      <c r="S1779" s="33"/>
      <c r="T1779" s="33"/>
      <c r="U1779" s="33"/>
      <c r="V1779" s="33"/>
      <c r="W1779" s="33"/>
      <c r="X1779" s="33"/>
      <c r="Y1779" s="33"/>
      <c r="Z1779" s="33"/>
      <c r="AA1779" s="33"/>
      <c r="AB1779" s="33"/>
      <c r="AC1779" s="33"/>
      <c r="AD1779" s="33"/>
      <c r="AE1779" s="33"/>
      <c r="AF1779" s="33"/>
      <c r="AG1779" s="33"/>
      <c r="AH1779" s="33"/>
      <c r="AI1779" s="33"/>
      <c r="AJ1779" s="33"/>
      <c r="AK1779" s="34" t="str">
        <f aca="false">IF($B1779="","",COUNTIF($F1779:$AJ1779,"P"))</f>
        <v/>
      </c>
      <c r="AL1779" s="34" t="str">
        <f aca="false">IF($B1779="","",COUNTIF($F1779:$AJ1779,"A"))</f>
        <v/>
      </c>
      <c r="AM1779" s="34" t="str">
        <f aca="false">IF($B1779="","",COUNTIF($F1779:$AJ1779,"HA"))</f>
        <v/>
      </c>
      <c r="AN1779" s="34" t="str">
        <f aca="false">IF($B1779="","",COUNTIF($F1779:$AJ1779,"L"))</f>
        <v/>
      </c>
      <c r="AO1779" s="34" t="str">
        <f aca="false">IF($B1779="","",COUNTIF($F1779:$AJ1779,"PL"))</f>
        <v/>
      </c>
      <c r="AP1779" s="34" t="str">
        <f aca="false">IF($B1779="","",COUNTIF($F1779:$AJ1779,"CL"))</f>
        <v/>
      </c>
      <c r="AQ1779" s="34" t="str">
        <f aca="false">IF($B1779="","",COUNTIF($F1779:$AJ1779,"SL"))</f>
        <v/>
      </c>
      <c r="AR1779" s="34" t="str">
        <f aca="false">IF($B1779="","",COUNTIF($F1779:$AJ1779,"CO"))</f>
        <v/>
      </c>
      <c r="AS1779" s="34" t="str">
        <f aca="false">IF($B1779="","",COUNTIF($F1779:$AJ1779,"HPL"))</f>
        <v/>
      </c>
      <c r="AT1779" s="34" t="str">
        <f aca="false">IF($B1779="","",COUNTIF($F1779:$AJ1779,"HCL"))</f>
        <v/>
      </c>
      <c r="AU1779" s="34" t="str">
        <f aca="false">IF($B1779="","",COUNTIF($F1779:$AJ1779,"WO"))</f>
        <v/>
      </c>
      <c r="AV1779" s="34" t="str">
        <f aca="false">IF($B1779="","",COUNTIF($F1779:$AJ1779,"PH"))</f>
        <v/>
      </c>
      <c r="AW1779" s="34" t="str">
        <f aca="false">IF($B1779="","",COUNTIF($F1779:$AJ1779,"TR"))</f>
        <v/>
      </c>
      <c r="AX1779" s="35" t="str">
        <f aca="false">IF($B1779="","",AO1779+AS1779/2)</f>
        <v/>
      </c>
      <c r="AY1779" s="35" t="str">
        <f aca="false">IF($B1779="","",AQ1779)</f>
        <v/>
      </c>
      <c r="AZ1779" s="35" t="str">
        <f aca="false">IF($B1779="","",AP1779+AT1779/2)</f>
        <v/>
      </c>
      <c r="BA1779" s="35" t="str">
        <f aca="false">IF($B1779="","",AK1779+AN1779+AM1779/2+AO1779+AP1779+AQ1779+AR1779+AS1779+AT1779+AU1779+AV1779+AW1779)</f>
        <v/>
      </c>
      <c r="BB1779" s="35" t="str">
        <f aca="false">IF($B1779="","",MAX(0,AN1779-Settings!$C$16)*Settings!$C$17)</f>
        <v/>
      </c>
      <c r="BC1779" s="35" t="str">
        <f aca="false">IF($B1779="","",BA1779-BB1779)</f>
        <v/>
      </c>
      <c r="BD1779" s="35" t="str">
        <f aca="false">IF(OR($B1779="",$A1779=""),"",DAY(EOMONTH($A1779,0))-COUNTA($F1779:$AJ1779))</f>
        <v/>
      </c>
    </row>
    <row r="1780" customFormat="false" ht="15" hidden="false" customHeight="false" outlineLevel="0" collapsed="false">
      <c r="A1780" s="32"/>
      <c r="B1780" s="29"/>
      <c r="C1780" s="10" t="str">
        <f aca="false">IF($B1780="","",IFERROR(INDEX(M_name,MATCH($B1780,M_emp,0)),"Code not found"))</f>
        <v/>
      </c>
      <c r="D1780" s="10" t="str">
        <f aca="false">IF($B1780="","",IFERROR(INDEX(M_dept,MATCH($B1780,M_emp,0)),""))</f>
        <v/>
      </c>
      <c r="E1780" s="10" t="str">
        <f aca="false">IF($B1780="","",IFERROR(INDEX(M_loc,MATCH($B1780,M_emp,0)),""))</f>
        <v/>
      </c>
      <c r="F1780" s="33"/>
      <c r="G1780" s="33"/>
      <c r="H1780" s="33"/>
      <c r="I1780" s="33"/>
      <c r="J1780" s="33"/>
      <c r="K1780" s="33"/>
      <c r="L1780" s="33"/>
      <c r="M1780" s="33"/>
      <c r="N1780" s="33"/>
      <c r="O1780" s="33"/>
      <c r="P1780" s="33"/>
      <c r="Q1780" s="33"/>
      <c r="R1780" s="33"/>
      <c r="S1780" s="33"/>
      <c r="T1780" s="33"/>
      <c r="U1780" s="33"/>
      <c r="V1780" s="33"/>
      <c r="W1780" s="33"/>
      <c r="X1780" s="33"/>
      <c r="Y1780" s="33"/>
      <c r="Z1780" s="33"/>
      <c r="AA1780" s="33"/>
      <c r="AB1780" s="33"/>
      <c r="AC1780" s="33"/>
      <c r="AD1780" s="33"/>
      <c r="AE1780" s="33"/>
      <c r="AF1780" s="33"/>
      <c r="AG1780" s="33"/>
      <c r="AH1780" s="33"/>
      <c r="AI1780" s="33"/>
      <c r="AJ1780" s="33"/>
      <c r="AK1780" s="34" t="str">
        <f aca="false">IF($B1780="","",COUNTIF($F1780:$AJ1780,"P"))</f>
        <v/>
      </c>
      <c r="AL1780" s="34" t="str">
        <f aca="false">IF($B1780="","",COUNTIF($F1780:$AJ1780,"A"))</f>
        <v/>
      </c>
      <c r="AM1780" s="34" t="str">
        <f aca="false">IF($B1780="","",COUNTIF($F1780:$AJ1780,"HA"))</f>
        <v/>
      </c>
      <c r="AN1780" s="34" t="str">
        <f aca="false">IF($B1780="","",COUNTIF($F1780:$AJ1780,"L"))</f>
        <v/>
      </c>
      <c r="AO1780" s="34" t="str">
        <f aca="false">IF($B1780="","",COUNTIF($F1780:$AJ1780,"PL"))</f>
        <v/>
      </c>
      <c r="AP1780" s="34" t="str">
        <f aca="false">IF($B1780="","",COUNTIF($F1780:$AJ1780,"CL"))</f>
        <v/>
      </c>
      <c r="AQ1780" s="34" t="str">
        <f aca="false">IF($B1780="","",COUNTIF($F1780:$AJ1780,"SL"))</f>
        <v/>
      </c>
      <c r="AR1780" s="34" t="str">
        <f aca="false">IF($B1780="","",COUNTIF($F1780:$AJ1780,"CO"))</f>
        <v/>
      </c>
      <c r="AS1780" s="34" t="str">
        <f aca="false">IF($B1780="","",COUNTIF($F1780:$AJ1780,"HPL"))</f>
        <v/>
      </c>
      <c r="AT1780" s="34" t="str">
        <f aca="false">IF($B1780="","",COUNTIF($F1780:$AJ1780,"HCL"))</f>
        <v/>
      </c>
      <c r="AU1780" s="34" t="str">
        <f aca="false">IF($B1780="","",COUNTIF($F1780:$AJ1780,"WO"))</f>
        <v/>
      </c>
      <c r="AV1780" s="34" t="str">
        <f aca="false">IF($B1780="","",COUNTIF($F1780:$AJ1780,"PH"))</f>
        <v/>
      </c>
      <c r="AW1780" s="34" t="str">
        <f aca="false">IF($B1780="","",COUNTIF($F1780:$AJ1780,"TR"))</f>
        <v/>
      </c>
      <c r="AX1780" s="35" t="str">
        <f aca="false">IF($B1780="","",AO1780+AS1780/2)</f>
        <v/>
      </c>
      <c r="AY1780" s="35" t="str">
        <f aca="false">IF($B1780="","",AQ1780)</f>
        <v/>
      </c>
      <c r="AZ1780" s="35" t="str">
        <f aca="false">IF($B1780="","",AP1780+AT1780/2)</f>
        <v/>
      </c>
      <c r="BA1780" s="35" t="str">
        <f aca="false">IF($B1780="","",AK1780+AN1780+AM1780/2+AO1780+AP1780+AQ1780+AR1780+AS1780+AT1780+AU1780+AV1780+AW1780)</f>
        <v/>
      </c>
      <c r="BB1780" s="35" t="str">
        <f aca="false">IF($B1780="","",MAX(0,AN1780-Settings!$C$16)*Settings!$C$17)</f>
        <v/>
      </c>
      <c r="BC1780" s="35" t="str">
        <f aca="false">IF($B1780="","",BA1780-BB1780)</f>
        <v/>
      </c>
      <c r="BD1780" s="35" t="str">
        <f aca="false">IF(OR($B1780="",$A1780=""),"",DAY(EOMONTH($A1780,0))-COUNTA($F1780:$AJ1780))</f>
        <v/>
      </c>
    </row>
    <row r="1781" customFormat="false" ht="15" hidden="false" customHeight="false" outlineLevel="0" collapsed="false">
      <c r="A1781" s="32"/>
      <c r="B1781" s="29"/>
      <c r="C1781" s="10" t="str">
        <f aca="false">IF($B1781="","",IFERROR(INDEX(M_name,MATCH($B1781,M_emp,0)),"Code not found"))</f>
        <v/>
      </c>
      <c r="D1781" s="10" t="str">
        <f aca="false">IF($B1781="","",IFERROR(INDEX(M_dept,MATCH($B1781,M_emp,0)),""))</f>
        <v/>
      </c>
      <c r="E1781" s="10" t="str">
        <f aca="false">IF($B1781="","",IFERROR(INDEX(M_loc,MATCH($B1781,M_emp,0)),""))</f>
        <v/>
      </c>
      <c r="F1781" s="33"/>
      <c r="G1781" s="33"/>
      <c r="H1781" s="33"/>
      <c r="I1781" s="33"/>
      <c r="J1781" s="33"/>
      <c r="K1781" s="33"/>
      <c r="L1781" s="33"/>
      <c r="M1781" s="33"/>
      <c r="N1781" s="33"/>
      <c r="O1781" s="33"/>
      <c r="P1781" s="33"/>
      <c r="Q1781" s="33"/>
      <c r="R1781" s="33"/>
      <c r="S1781" s="33"/>
      <c r="T1781" s="33"/>
      <c r="U1781" s="33"/>
      <c r="V1781" s="33"/>
      <c r="W1781" s="33"/>
      <c r="X1781" s="33"/>
      <c r="Y1781" s="33"/>
      <c r="Z1781" s="33"/>
      <c r="AA1781" s="33"/>
      <c r="AB1781" s="33"/>
      <c r="AC1781" s="33"/>
      <c r="AD1781" s="33"/>
      <c r="AE1781" s="33"/>
      <c r="AF1781" s="33"/>
      <c r="AG1781" s="33"/>
      <c r="AH1781" s="33"/>
      <c r="AI1781" s="33"/>
      <c r="AJ1781" s="33"/>
      <c r="AK1781" s="34" t="str">
        <f aca="false">IF($B1781="","",COUNTIF($F1781:$AJ1781,"P"))</f>
        <v/>
      </c>
      <c r="AL1781" s="34" t="str">
        <f aca="false">IF($B1781="","",COUNTIF($F1781:$AJ1781,"A"))</f>
        <v/>
      </c>
      <c r="AM1781" s="34" t="str">
        <f aca="false">IF($B1781="","",COUNTIF($F1781:$AJ1781,"HA"))</f>
        <v/>
      </c>
      <c r="AN1781" s="34" t="str">
        <f aca="false">IF($B1781="","",COUNTIF($F1781:$AJ1781,"L"))</f>
        <v/>
      </c>
      <c r="AO1781" s="34" t="str">
        <f aca="false">IF($B1781="","",COUNTIF($F1781:$AJ1781,"PL"))</f>
        <v/>
      </c>
      <c r="AP1781" s="34" t="str">
        <f aca="false">IF($B1781="","",COUNTIF($F1781:$AJ1781,"CL"))</f>
        <v/>
      </c>
      <c r="AQ1781" s="34" t="str">
        <f aca="false">IF($B1781="","",COUNTIF($F1781:$AJ1781,"SL"))</f>
        <v/>
      </c>
      <c r="AR1781" s="34" t="str">
        <f aca="false">IF($B1781="","",COUNTIF($F1781:$AJ1781,"CO"))</f>
        <v/>
      </c>
      <c r="AS1781" s="34" t="str">
        <f aca="false">IF($B1781="","",COUNTIF($F1781:$AJ1781,"HPL"))</f>
        <v/>
      </c>
      <c r="AT1781" s="34" t="str">
        <f aca="false">IF($B1781="","",COUNTIF($F1781:$AJ1781,"HCL"))</f>
        <v/>
      </c>
      <c r="AU1781" s="34" t="str">
        <f aca="false">IF($B1781="","",COUNTIF($F1781:$AJ1781,"WO"))</f>
        <v/>
      </c>
      <c r="AV1781" s="34" t="str">
        <f aca="false">IF($B1781="","",COUNTIF($F1781:$AJ1781,"PH"))</f>
        <v/>
      </c>
      <c r="AW1781" s="34" t="str">
        <f aca="false">IF($B1781="","",COUNTIF($F1781:$AJ1781,"TR"))</f>
        <v/>
      </c>
      <c r="AX1781" s="35" t="str">
        <f aca="false">IF($B1781="","",AO1781+AS1781/2)</f>
        <v/>
      </c>
      <c r="AY1781" s="35" t="str">
        <f aca="false">IF($B1781="","",AQ1781)</f>
        <v/>
      </c>
      <c r="AZ1781" s="35" t="str">
        <f aca="false">IF($B1781="","",AP1781+AT1781/2)</f>
        <v/>
      </c>
      <c r="BA1781" s="35" t="str">
        <f aca="false">IF($B1781="","",AK1781+AN1781+AM1781/2+AO1781+AP1781+AQ1781+AR1781+AS1781+AT1781+AU1781+AV1781+AW1781)</f>
        <v/>
      </c>
      <c r="BB1781" s="35" t="str">
        <f aca="false">IF($B1781="","",MAX(0,AN1781-Settings!$C$16)*Settings!$C$17)</f>
        <v/>
      </c>
      <c r="BC1781" s="35" t="str">
        <f aca="false">IF($B1781="","",BA1781-BB1781)</f>
        <v/>
      </c>
      <c r="BD1781" s="35" t="str">
        <f aca="false">IF(OR($B1781="",$A1781=""),"",DAY(EOMONTH($A1781,0))-COUNTA($F1781:$AJ1781))</f>
        <v/>
      </c>
    </row>
    <row r="1782" customFormat="false" ht="15" hidden="false" customHeight="false" outlineLevel="0" collapsed="false">
      <c r="A1782" s="32"/>
      <c r="B1782" s="29"/>
      <c r="C1782" s="10" t="str">
        <f aca="false">IF($B1782="","",IFERROR(INDEX(M_name,MATCH($B1782,M_emp,0)),"Code not found"))</f>
        <v/>
      </c>
      <c r="D1782" s="10" t="str">
        <f aca="false">IF($B1782="","",IFERROR(INDEX(M_dept,MATCH($B1782,M_emp,0)),""))</f>
        <v/>
      </c>
      <c r="E1782" s="10" t="str">
        <f aca="false">IF($B1782="","",IFERROR(INDEX(M_loc,MATCH($B1782,M_emp,0)),""))</f>
        <v/>
      </c>
      <c r="F1782" s="33"/>
      <c r="G1782" s="33"/>
      <c r="H1782" s="33"/>
      <c r="I1782" s="33"/>
      <c r="J1782" s="33"/>
      <c r="K1782" s="33"/>
      <c r="L1782" s="33"/>
      <c r="M1782" s="33"/>
      <c r="N1782" s="33"/>
      <c r="O1782" s="33"/>
      <c r="P1782" s="33"/>
      <c r="Q1782" s="33"/>
      <c r="R1782" s="33"/>
      <c r="S1782" s="33"/>
      <c r="T1782" s="33"/>
      <c r="U1782" s="33"/>
      <c r="V1782" s="33"/>
      <c r="W1782" s="33"/>
      <c r="X1782" s="33"/>
      <c r="Y1782" s="33"/>
      <c r="Z1782" s="33"/>
      <c r="AA1782" s="33"/>
      <c r="AB1782" s="33"/>
      <c r="AC1782" s="33"/>
      <c r="AD1782" s="33"/>
      <c r="AE1782" s="33"/>
      <c r="AF1782" s="33"/>
      <c r="AG1782" s="33"/>
      <c r="AH1782" s="33"/>
      <c r="AI1782" s="33"/>
      <c r="AJ1782" s="33"/>
      <c r="AK1782" s="34" t="str">
        <f aca="false">IF($B1782="","",COUNTIF($F1782:$AJ1782,"P"))</f>
        <v/>
      </c>
      <c r="AL1782" s="34" t="str">
        <f aca="false">IF($B1782="","",COUNTIF($F1782:$AJ1782,"A"))</f>
        <v/>
      </c>
      <c r="AM1782" s="34" t="str">
        <f aca="false">IF($B1782="","",COUNTIF($F1782:$AJ1782,"HA"))</f>
        <v/>
      </c>
      <c r="AN1782" s="34" t="str">
        <f aca="false">IF($B1782="","",COUNTIF($F1782:$AJ1782,"L"))</f>
        <v/>
      </c>
      <c r="AO1782" s="34" t="str">
        <f aca="false">IF($B1782="","",COUNTIF($F1782:$AJ1782,"PL"))</f>
        <v/>
      </c>
      <c r="AP1782" s="34" t="str">
        <f aca="false">IF($B1782="","",COUNTIF($F1782:$AJ1782,"CL"))</f>
        <v/>
      </c>
      <c r="AQ1782" s="34" t="str">
        <f aca="false">IF($B1782="","",COUNTIF($F1782:$AJ1782,"SL"))</f>
        <v/>
      </c>
      <c r="AR1782" s="34" t="str">
        <f aca="false">IF($B1782="","",COUNTIF($F1782:$AJ1782,"CO"))</f>
        <v/>
      </c>
      <c r="AS1782" s="34" t="str">
        <f aca="false">IF($B1782="","",COUNTIF($F1782:$AJ1782,"HPL"))</f>
        <v/>
      </c>
      <c r="AT1782" s="34" t="str">
        <f aca="false">IF($B1782="","",COUNTIF($F1782:$AJ1782,"HCL"))</f>
        <v/>
      </c>
      <c r="AU1782" s="34" t="str">
        <f aca="false">IF($B1782="","",COUNTIF($F1782:$AJ1782,"WO"))</f>
        <v/>
      </c>
      <c r="AV1782" s="34" t="str">
        <f aca="false">IF($B1782="","",COUNTIF($F1782:$AJ1782,"PH"))</f>
        <v/>
      </c>
      <c r="AW1782" s="34" t="str">
        <f aca="false">IF($B1782="","",COUNTIF($F1782:$AJ1782,"TR"))</f>
        <v/>
      </c>
      <c r="AX1782" s="35" t="str">
        <f aca="false">IF($B1782="","",AO1782+AS1782/2)</f>
        <v/>
      </c>
      <c r="AY1782" s="35" t="str">
        <f aca="false">IF($B1782="","",AQ1782)</f>
        <v/>
      </c>
      <c r="AZ1782" s="35" t="str">
        <f aca="false">IF($B1782="","",AP1782+AT1782/2)</f>
        <v/>
      </c>
      <c r="BA1782" s="35" t="str">
        <f aca="false">IF($B1782="","",AK1782+AN1782+AM1782/2+AO1782+AP1782+AQ1782+AR1782+AS1782+AT1782+AU1782+AV1782+AW1782)</f>
        <v/>
      </c>
      <c r="BB1782" s="35" t="str">
        <f aca="false">IF($B1782="","",MAX(0,AN1782-Settings!$C$16)*Settings!$C$17)</f>
        <v/>
      </c>
      <c r="BC1782" s="35" t="str">
        <f aca="false">IF($B1782="","",BA1782-BB1782)</f>
        <v/>
      </c>
      <c r="BD1782" s="35" t="str">
        <f aca="false">IF(OR($B1782="",$A1782=""),"",DAY(EOMONTH($A1782,0))-COUNTA($F1782:$AJ1782))</f>
        <v/>
      </c>
    </row>
    <row r="1783" customFormat="false" ht="15" hidden="false" customHeight="false" outlineLevel="0" collapsed="false">
      <c r="A1783" s="32"/>
      <c r="B1783" s="29"/>
      <c r="C1783" s="10" t="str">
        <f aca="false">IF($B1783="","",IFERROR(INDEX(M_name,MATCH($B1783,M_emp,0)),"Code not found"))</f>
        <v/>
      </c>
      <c r="D1783" s="10" t="str">
        <f aca="false">IF($B1783="","",IFERROR(INDEX(M_dept,MATCH($B1783,M_emp,0)),""))</f>
        <v/>
      </c>
      <c r="E1783" s="10" t="str">
        <f aca="false">IF($B1783="","",IFERROR(INDEX(M_loc,MATCH($B1783,M_emp,0)),""))</f>
        <v/>
      </c>
      <c r="F1783" s="33"/>
      <c r="G1783" s="33"/>
      <c r="H1783" s="33"/>
      <c r="I1783" s="33"/>
      <c r="J1783" s="33"/>
      <c r="K1783" s="33"/>
      <c r="L1783" s="33"/>
      <c r="M1783" s="33"/>
      <c r="N1783" s="33"/>
      <c r="O1783" s="33"/>
      <c r="P1783" s="33"/>
      <c r="Q1783" s="33"/>
      <c r="R1783" s="33"/>
      <c r="S1783" s="33"/>
      <c r="T1783" s="33"/>
      <c r="U1783" s="33"/>
      <c r="V1783" s="33"/>
      <c r="W1783" s="33"/>
      <c r="X1783" s="33"/>
      <c r="Y1783" s="33"/>
      <c r="Z1783" s="33"/>
      <c r="AA1783" s="33"/>
      <c r="AB1783" s="33"/>
      <c r="AC1783" s="33"/>
      <c r="AD1783" s="33"/>
      <c r="AE1783" s="33"/>
      <c r="AF1783" s="33"/>
      <c r="AG1783" s="33"/>
      <c r="AH1783" s="33"/>
      <c r="AI1783" s="33"/>
      <c r="AJ1783" s="33"/>
      <c r="AK1783" s="34" t="str">
        <f aca="false">IF($B1783="","",COUNTIF($F1783:$AJ1783,"P"))</f>
        <v/>
      </c>
      <c r="AL1783" s="34" t="str">
        <f aca="false">IF($B1783="","",COUNTIF($F1783:$AJ1783,"A"))</f>
        <v/>
      </c>
      <c r="AM1783" s="34" t="str">
        <f aca="false">IF($B1783="","",COUNTIF($F1783:$AJ1783,"HA"))</f>
        <v/>
      </c>
      <c r="AN1783" s="34" t="str">
        <f aca="false">IF($B1783="","",COUNTIF($F1783:$AJ1783,"L"))</f>
        <v/>
      </c>
      <c r="AO1783" s="34" t="str">
        <f aca="false">IF($B1783="","",COUNTIF($F1783:$AJ1783,"PL"))</f>
        <v/>
      </c>
      <c r="AP1783" s="34" t="str">
        <f aca="false">IF($B1783="","",COUNTIF($F1783:$AJ1783,"CL"))</f>
        <v/>
      </c>
      <c r="AQ1783" s="34" t="str">
        <f aca="false">IF($B1783="","",COUNTIF($F1783:$AJ1783,"SL"))</f>
        <v/>
      </c>
      <c r="AR1783" s="34" t="str">
        <f aca="false">IF($B1783="","",COUNTIF($F1783:$AJ1783,"CO"))</f>
        <v/>
      </c>
      <c r="AS1783" s="34" t="str">
        <f aca="false">IF($B1783="","",COUNTIF($F1783:$AJ1783,"HPL"))</f>
        <v/>
      </c>
      <c r="AT1783" s="34" t="str">
        <f aca="false">IF($B1783="","",COUNTIF($F1783:$AJ1783,"HCL"))</f>
        <v/>
      </c>
      <c r="AU1783" s="34" t="str">
        <f aca="false">IF($B1783="","",COUNTIF($F1783:$AJ1783,"WO"))</f>
        <v/>
      </c>
      <c r="AV1783" s="34" t="str">
        <f aca="false">IF($B1783="","",COUNTIF($F1783:$AJ1783,"PH"))</f>
        <v/>
      </c>
      <c r="AW1783" s="34" t="str">
        <f aca="false">IF($B1783="","",COUNTIF($F1783:$AJ1783,"TR"))</f>
        <v/>
      </c>
      <c r="AX1783" s="35" t="str">
        <f aca="false">IF($B1783="","",AO1783+AS1783/2)</f>
        <v/>
      </c>
      <c r="AY1783" s="35" t="str">
        <f aca="false">IF($B1783="","",AQ1783)</f>
        <v/>
      </c>
      <c r="AZ1783" s="35" t="str">
        <f aca="false">IF($B1783="","",AP1783+AT1783/2)</f>
        <v/>
      </c>
      <c r="BA1783" s="35" t="str">
        <f aca="false">IF($B1783="","",AK1783+AN1783+AM1783/2+AO1783+AP1783+AQ1783+AR1783+AS1783+AT1783+AU1783+AV1783+AW1783)</f>
        <v/>
      </c>
      <c r="BB1783" s="35" t="str">
        <f aca="false">IF($B1783="","",MAX(0,AN1783-Settings!$C$16)*Settings!$C$17)</f>
        <v/>
      </c>
      <c r="BC1783" s="35" t="str">
        <f aca="false">IF($B1783="","",BA1783-BB1783)</f>
        <v/>
      </c>
      <c r="BD1783" s="35" t="str">
        <f aca="false">IF(OR($B1783="",$A1783=""),"",DAY(EOMONTH($A1783,0))-COUNTA($F1783:$AJ1783))</f>
        <v/>
      </c>
    </row>
    <row r="1784" customFormat="false" ht="15" hidden="false" customHeight="false" outlineLevel="0" collapsed="false">
      <c r="A1784" s="32"/>
      <c r="B1784" s="29"/>
      <c r="C1784" s="10" t="str">
        <f aca="false">IF($B1784="","",IFERROR(INDEX(M_name,MATCH($B1784,M_emp,0)),"Code not found"))</f>
        <v/>
      </c>
      <c r="D1784" s="10" t="str">
        <f aca="false">IF($B1784="","",IFERROR(INDEX(M_dept,MATCH($B1784,M_emp,0)),""))</f>
        <v/>
      </c>
      <c r="E1784" s="10" t="str">
        <f aca="false">IF($B1784="","",IFERROR(INDEX(M_loc,MATCH($B1784,M_emp,0)),""))</f>
        <v/>
      </c>
      <c r="F1784" s="33"/>
      <c r="G1784" s="33"/>
      <c r="H1784" s="33"/>
      <c r="I1784" s="33"/>
      <c r="J1784" s="33"/>
      <c r="K1784" s="33"/>
      <c r="L1784" s="33"/>
      <c r="M1784" s="33"/>
      <c r="N1784" s="33"/>
      <c r="O1784" s="33"/>
      <c r="P1784" s="33"/>
      <c r="Q1784" s="33"/>
      <c r="R1784" s="33"/>
      <c r="S1784" s="33"/>
      <c r="T1784" s="33"/>
      <c r="U1784" s="33"/>
      <c r="V1784" s="33"/>
      <c r="W1784" s="33"/>
      <c r="X1784" s="33"/>
      <c r="Y1784" s="33"/>
      <c r="Z1784" s="33"/>
      <c r="AA1784" s="33"/>
      <c r="AB1784" s="33"/>
      <c r="AC1784" s="33"/>
      <c r="AD1784" s="33"/>
      <c r="AE1784" s="33"/>
      <c r="AF1784" s="33"/>
      <c r="AG1784" s="33"/>
      <c r="AH1784" s="33"/>
      <c r="AI1784" s="33"/>
      <c r="AJ1784" s="33"/>
      <c r="AK1784" s="34" t="str">
        <f aca="false">IF($B1784="","",COUNTIF($F1784:$AJ1784,"P"))</f>
        <v/>
      </c>
      <c r="AL1784" s="34" t="str">
        <f aca="false">IF($B1784="","",COUNTIF($F1784:$AJ1784,"A"))</f>
        <v/>
      </c>
      <c r="AM1784" s="34" t="str">
        <f aca="false">IF($B1784="","",COUNTIF($F1784:$AJ1784,"HA"))</f>
        <v/>
      </c>
      <c r="AN1784" s="34" t="str">
        <f aca="false">IF($B1784="","",COUNTIF($F1784:$AJ1784,"L"))</f>
        <v/>
      </c>
      <c r="AO1784" s="34" t="str">
        <f aca="false">IF($B1784="","",COUNTIF($F1784:$AJ1784,"PL"))</f>
        <v/>
      </c>
      <c r="AP1784" s="34" t="str">
        <f aca="false">IF($B1784="","",COUNTIF($F1784:$AJ1784,"CL"))</f>
        <v/>
      </c>
      <c r="AQ1784" s="34" t="str">
        <f aca="false">IF($B1784="","",COUNTIF($F1784:$AJ1784,"SL"))</f>
        <v/>
      </c>
      <c r="AR1784" s="34" t="str">
        <f aca="false">IF($B1784="","",COUNTIF($F1784:$AJ1784,"CO"))</f>
        <v/>
      </c>
      <c r="AS1784" s="34" t="str">
        <f aca="false">IF($B1784="","",COUNTIF($F1784:$AJ1784,"HPL"))</f>
        <v/>
      </c>
      <c r="AT1784" s="34" t="str">
        <f aca="false">IF($B1784="","",COUNTIF($F1784:$AJ1784,"HCL"))</f>
        <v/>
      </c>
      <c r="AU1784" s="34" t="str">
        <f aca="false">IF($B1784="","",COUNTIF($F1784:$AJ1784,"WO"))</f>
        <v/>
      </c>
      <c r="AV1784" s="34" t="str">
        <f aca="false">IF($B1784="","",COUNTIF($F1784:$AJ1784,"PH"))</f>
        <v/>
      </c>
      <c r="AW1784" s="34" t="str">
        <f aca="false">IF($B1784="","",COUNTIF($F1784:$AJ1784,"TR"))</f>
        <v/>
      </c>
      <c r="AX1784" s="35" t="str">
        <f aca="false">IF($B1784="","",AO1784+AS1784/2)</f>
        <v/>
      </c>
      <c r="AY1784" s="35" t="str">
        <f aca="false">IF($B1784="","",AQ1784)</f>
        <v/>
      </c>
      <c r="AZ1784" s="35" t="str">
        <f aca="false">IF($B1784="","",AP1784+AT1784/2)</f>
        <v/>
      </c>
      <c r="BA1784" s="35" t="str">
        <f aca="false">IF($B1784="","",AK1784+AN1784+AM1784/2+AO1784+AP1784+AQ1784+AR1784+AS1784+AT1784+AU1784+AV1784+AW1784)</f>
        <v/>
      </c>
      <c r="BB1784" s="35" t="str">
        <f aca="false">IF($B1784="","",MAX(0,AN1784-Settings!$C$16)*Settings!$C$17)</f>
        <v/>
      </c>
      <c r="BC1784" s="35" t="str">
        <f aca="false">IF($B1784="","",BA1784-BB1784)</f>
        <v/>
      </c>
      <c r="BD1784" s="35" t="str">
        <f aca="false">IF(OR($B1784="",$A1784=""),"",DAY(EOMONTH($A1784,0))-COUNTA($F1784:$AJ1784))</f>
        <v/>
      </c>
    </row>
    <row r="1785" customFormat="false" ht="15" hidden="false" customHeight="false" outlineLevel="0" collapsed="false">
      <c r="A1785" s="32"/>
      <c r="B1785" s="29"/>
      <c r="C1785" s="10" t="str">
        <f aca="false">IF($B1785="","",IFERROR(INDEX(M_name,MATCH($B1785,M_emp,0)),"Code not found"))</f>
        <v/>
      </c>
      <c r="D1785" s="10" t="str">
        <f aca="false">IF($B1785="","",IFERROR(INDEX(M_dept,MATCH($B1785,M_emp,0)),""))</f>
        <v/>
      </c>
      <c r="E1785" s="10" t="str">
        <f aca="false">IF($B1785="","",IFERROR(INDEX(M_loc,MATCH($B1785,M_emp,0)),""))</f>
        <v/>
      </c>
      <c r="F1785" s="33"/>
      <c r="G1785" s="33"/>
      <c r="H1785" s="33"/>
      <c r="I1785" s="33"/>
      <c r="J1785" s="33"/>
      <c r="K1785" s="33"/>
      <c r="L1785" s="33"/>
      <c r="M1785" s="33"/>
      <c r="N1785" s="33"/>
      <c r="O1785" s="33"/>
      <c r="P1785" s="33"/>
      <c r="Q1785" s="33"/>
      <c r="R1785" s="33"/>
      <c r="S1785" s="33"/>
      <c r="T1785" s="33"/>
      <c r="U1785" s="33"/>
      <c r="V1785" s="33"/>
      <c r="W1785" s="33"/>
      <c r="X1785" s="33"/>
      <c r="Y1785" s="33"/>
      <c r="Z1785" s="33"/>
      <c r="AA1785" s="33"/>
      <c r="AB1785" s="33"/>
      <c r="AC1785" s="33"/>
      <c r="AD1785" s="33"/>
      <c r="AE1785" s="33"/>
      <c r="AF1785" s="33"/>
      <c r="AG1785" s="33"/>
      <c r="AH1785" s="33"/>
      <c r="AI1785" s="33"/>
      <c r="AJ1785" s="33"/>
      <c r="AK1785" s="34" t="str">
        <f aca="false">IF($B1785="","",COUNTIF($F1785:$AJ1785,"P"))</f>
        <v/>
      </c>
      <c r="AL1785" s="34" t="str">
        <f aca="false">IF($B1785="","",COUNTIF($F1785:$AJ1785,"A"))</f>
        <v/>
      </c>
      <c r="AM1785" s="34" t="str">
        <f aca="false">IF($B1785="","",COUNTIF($F1785:$AJ1785,"HA"))</f>
        <v/>
      </c>
      <c r="AN1785" s="34" t="str">
        <f aca="false">IF($B1785="","",COUNTIF($F1785:$AJ1785,"L"))</f>
        <v/>
      </c>
      <c r="AO1785" s="34" t="str">
        <f aca="false">IF($B1785="","",COUNTIF($F1785:$AJ1785,"PL"))</f>
        <v/>
      </c>
      <c r="AP1785" s="34" t="str">
        <f aca="false">IF($B1785="","",COUNTIF($F1785:$AJ1785,"CL"))</f>
        <v/>
      </c>
      <c r="AQ1785" s="34" t="str">
        <f aca="false">IF($B1785="","",COUNTIF($F1785:$AJ1785,"SL"))</f>
        <v/>
      </c>
      <c r="AR1785" s="34" t="str">
        <f aca="false">IF($B1785="","",COUNTIF($F1785:$AJ1785,"CO"))</f>
        <v/>
      </c>
      <c r="AS1785" s="34" t="str">
        <f aca="false">IF($B1785="","",COUNTIF($F1785:$AJ1785,"HPL"))</f>
        <v/>
      </c>
      <c r="AT1785" s="34" t="str">
        <f aca="false">IF($B1785="","",COUNTIF($F1785:$AJ1785,"HCL"))</f>
        <v/>
      </c>
      <c r="AU1785" s="34" t="str">
        <f aca="false">IF($B1785="","",COUNTIF($F1785:$AJ1785,"WO"))</f>
        <v/>
      </c>
      <c r="AV1785" s="34" t="str">
        <f aca="false">IF($B1785="","",COUNTIF($F1785:$AJ1785,"PH"))</f>
        <v/>
      </c>
      <c r="AW1785" s="34" t="str">
        <f aca="false">IF($B1785="","",COUNTIF($F1785:$AJ1785,"TR"))</f>
        <v/>
      </c>
      <c r="AX1785" s="35" t="str">
        <f aca="false">IF($B1785="","",AO1785+AS1785/2)</f>
        <v/>
      </c>
      <c r="AY1785" s="35" t="str">
        <f aca="false">IF($B1785="","",AQ1785)</f>
        <v/>
      </c>
      <c r="AZ1785" s="35" t="str">
        <f aca="false">IF($B1785="","",AP1785+AT1785/2)</f>
        <v/>
      </c>
      <c r="BA1785" s="35" t="str">
        <f aca="false">IF($B1785="","",AK1785+AN1785+AM1785/2+AO1785+AP1785+AQ1785+AR1785+AS1785+AT1785+AU1785+AV1785+AW1785)</f>
        <v/>
      </c>
      <c r="BB1785" s="35" t="str">
        <f aca="false">IF($B1785="","",MAX(0,AN1785-Settings!$C$16)*Settings!$C$17)</f>
        <v/>
      </c>
      <c r="BC1785" s="35" t="str">
        <f aca="false">IF($B1785="","",BA1785-BB1785)</f>
        <v/>
      </c>
      <c r="BD1785" s="35" t="str">
        <f aca="false">IF(OR($B1785="",$A1785=""),"",DAY(EOMONTH($A1785,0))-COUNTA($F1785:$AJ1785))</f>
        <v/>
      </c>
    </row>
    <row r="1786" customFormat="false" ht="15" hidden="false" customHeight="false" outlineLevel="0" collapsed="false">
      <c r="A1786" s="32"/>
      <c r="B1786" s="29"/>
      <c r="C1786" s="10" t="str">
        <f aca="false">IF($B1786="","",IFERROR(INDEX(M_name,MATCH($B1786,M_emp,0)),"Code not found"))</f>
        <v/>
      </c>
      <c r="D1786" s="10" t="str">
        <f aca="false">IF($B1786="","",IFERROR(INDEX(M_dept,MATCH($B1786,M_emp,0)),""))</f>
        <v/>
      </c>
      <c r="E1786" s="10" t="str">
        <f aca="false">IF($B1786="","",IFERROR(INDEX(M_loc,MATCH($B1786,M_emp,0)),""))</f>
        <v/>
      </c>
      <c r="F1786" s="33"/>
      <c r="G1786" s="33"/>
      <c r="H1786" s="33"/>
      <c r="I1786" s="33"/>
      <c r="J1786" s="33"/>
      <c r="K1786" s="33"/>
      <c r="L1786" s="33"/>
      <c r="M1786" s="33"/>
      <c r="N1786" s="33"/>
      <c r="O1786" s="33"/>
      <c r="P1786" s="33"/>
      <c r="Q1786" s="33"/>
      <c r="R1786" s="33"/>
      <c r="S1786" s="33"/>
      <c r="T1786" s="33"/>
      <c r="U1786" s="33"/>
      <c r="V1786" s="33"/>
      <c r="W1786" s="33"/>
      <c r="X1786" s="33"/>
      <c r="Y1786" s="33"/>
      <c r="Z1786" s="33"/>
      <c r="AA1786" s="33"/>
      <c r="AB1786" s="33"/>
      <c r="AC1786" s="33"/>
      <c r="AD1786" s="33"/>
      <c r="AE1786" s="33"/>
      <c r="AF1786" s="33"/>
      <c r="AG1786" s="33"/>
      <c r="AH1786" s="33"/>
      <c r="AI1786" s="33"/>
      <c r="AJ1786" s="33"/>
      <c r="AK1786" s="34" t="str">
        <f aca="false">IF($B1786="","",COUNTIF($F1786:$AJ1786,"P"))</f>
        <v/>
      </c>
      <c r="AL1786" s="34" t="str">
        <f aca="false">IF($B1786="","",COUNTIF($F1786:$AJ1786,"A"))</f>
        <v/>
      </c>
      <c r="AM1786" s="34" t="str">
        <f aca="false">IF($B1786="","",COUNTIF($F1786:$AJ1786,"HA"))</f>
        <v/>
      </c>
      <c r="AN1786" s="34" t="str">
        <f aca="false">IF($B1786="","",COUNTIF($F1786:$AJ1786,"L"))</f>
        <v/>
      </c>
      <c r="AO1786" s="34" t="str">
        <f aca="false">IF($B1786="","",COUNTIF($F1786:$AJ1786,"PL"))</f>
        <v/>
      </c>
      <c r="AP1786" s="34" t="str">
        <f aca="false">IF($B1786="","",COUNTIF($F1786:$AJ1786,"CL"))</f>
        <v/>
      </c>
      <c r="AQ1786" s="34" t="str">
        <f aca="false">IF($B1786="","",COUNTIF($F1786:$AJ1786,"SL"))</f>
        <v/>
      </c>
      <c r="AR1786" s="34" t="str">
        <f aca="false">IF($B1786="","",COUNTIF($F1786:$AJ1786,"CO"))</f>
        <v/>
      </c>
      <c r="AS1786" s="34" t="str">
        <f aca="false">IF($B1786="","",COUNTIF($F1786:$AJ1786,"HPL"))</f>
        <v/>
      </c>
      <c r="AT1786" s="34" t="str">
        <f aca="false">IF($B1786="","",COUNTIF($F1786:$AJ1786,"HCL"))</f>
        <v/>
      </c>
      <c r="AU1786" s="34" t="str">
        <f aca="false">IF($B1786="","",COUNTIF($F1786:$AJ1786,"WO"))</f>
        <v/>
      </c>
      <c r="AV1786" s="34" t="str">
        <f aca="false">IF($B1786="","",COUNTIF($F1786:$AJ1786,"PH"))</f>
        <v/>
      </c>
      <c r="AW1786" s="34" t="str">
        <f aca="false">IF($B1786="","",COUNTIF($F1786:$AJ1786,"TR"))</f>
        <v/>
      </c>
      <c r="AX1786" s="35" t="str">
        <f aca="false">IF($B1786="","",AO1786+AS1786/2)</f>
        <v/>
      </c>
      <c r="AY1786" s="35" t="str">
        <f aca="false">IF($B1786="","",AQ1786)</f>
        <v/>
      </c>
      <c r="AZ1786" s="35" t="str">
        <f aca="false">IF($B1786="","",AP1786+AT1786/2)</f>
        <v/>
      </c>
      <c r="BA1786" s="35" t="str">
        <f aca="false">IF($B1786="","",AK1786+AN1786+AM1786/2+AO1786+AP1786+AQ1786+AR1786+AS1786+AT1786+AU1786+AV1786+AW1786)</f>
        <v/>
      </c>
      <c r="BB1786" s="35" t="str">
        <f aca="false">IF($B1786="","",MAX(0,AN1786-Settings!$C$16)*Settings!$C$17)</f>
        <v/>
      </c>
      <c r="BC1786" s="35" t="str">
        <f aca="false">IF($B1786="","",BA1786-BB1786)</f>
        <v/>
      </c>
      <c r="BD1786" s="35" t="str">
        <f aca="false">IF(OR($B1786="",$A1786=""),"",DAY(EOMONTH($A1786,0))-COUNTA($F1786:$AJ1786))</f>
        <v/>
      </c>
    </row>
    <row r="1787" customFormat="false" ht="15" hidden="false" customHeight="false" outlineLevel="0" collapsed="false">
      <c r="A1787" s="32"/>
      <c r="B1787" s="29"/>
      <c r="C1787" s="10" t="str">
        <f aca="false">IF($B1787="","",IFERROR(INDEX(M_name,MATCH($B1787,M_emp,0)),"Code not found"))</f>
        <v/>
      </c>
      <c r="D1787" s="10" t="str">
        <f aca="false">IF($B1787="","",IFERROR(INDEX(M_dept,MATCH($B1787,M_emp,0)),""))</f>
        <v/>
      </c>
      <c r="E1787" s="10" t="str">
        <f aca="false">IF($B1787="","",IFERROR(INDEX(M_loc,MATCH($B1787,M_emp,0)),""))</f>
        <v/>
      </c>
      <c r="F1787" s="33"/>
      <c r="G1787" s="33"/>
      <c r="H1787" s="33"/>
      <c r="I1787" s="33"/>
      <c r="J1787" s="33"/>
      <c r="K1787" s="33"/>
      <c r="L1787" s="33"/>
      <c r="M1787" s="33"/>
      <c r="N1787" s="33"/>
      <c r="O1787" s="33"/>
      <c r="P1787" s="33"/>
      <c r="Q1787" s="33"/>
      <c r="R1787" s="33"/>
      <c r="S1787" s="33"/>
      <c r="T1787" s="33"/>
      <c r="U1787" s="33"/>
      <c r="V1787" s="33"/>
      <c r="W1787" s="33"/>
      <c r="X1787" s="33"/>
      <c r="Y1787" s="33"/>
      <c r="Z1787" s="33"/>
      <c r="AA1787" s="33"/>
      <c r="AB1787" s="33"/>
      <c r="AC1787" s="33"/>
      <c r="AD1787" s="33"/>
      <c r="AE1787" s="33"/>
      <c r="AF1787" s="33"/>
      <c r="AG1787" s="33"/>
      <c r="AH1787" s="33"/>
      <c r="AI1787" s="33"/>
      <c r="AJ1787" s="33"/>
      <c r="AK1787" s="34" t="str">
        <f aca="false">IF($B1787="","",COUNTIF($F1787:$AJ1787,"P"))</f>
        <v/>
      </c>
      <c r="AL1787" s="34" t="str">
        <f aca="false">IF($B1787="","",COUNTIF($F1787:$AJ1787,"A"))</f>
        <v/>
      </c>
      <c r="AM1787" s="34" t="str">
        <f aca="false">IF($B1787="","",COUNTIF($F1787:$AJ1787,"HA"))</f>
        <v/>
      </c>
      <c r="AN1787" s="34" t="str">
        <f aca="false">IF($B1787="","",COUNTIF($F1787:$AJ1787,"L"))</f>
        <v/>
      </c>
      <c r="AO1787" s="34" t="str">
        <f aca="false">IF($B1787="","",COUNTIF($F1787:$AJ1787,"PL"))</f>
        <v/>
      </c>
      <c r="AP1787" s="34" t="str">
        <f aca="false">IF($B1787="","",COUNTIF($F1787:$AJ1787,"CL"))</f>
        <v/>
      </c>
      <c r="AQ1787" s="34" t="str">
        <f aca="false">IF($B1787="","",COUNTIF($F1787:$AJ1787,"SL"))</f>
        <v/>
      </c>
      <c r="AR1787" s="34" t="str">
        <f aca="false">IF($B1787="","",COUNTIF($F1787:$AJ1787,"CO"))</f>
        <v/>
      </c>
      <c r="AS1787" s="34" t="str">
        <f aca="false">IF($B1787="","",COUNTIF($F1787:$AJ1787,"HPL"))</f>
        <v/>
      </c>
      <c r="AT1787" s="34" t="str">
        <f aca="false">IF($B1787="","",COUNTIF($F1787:$AJ1787,"HCL"))</f>
        <v/>
      </c>
      <c r="AU1787" s="34" t="str">
        <f aca="false">IF($B1787="","",COUNTIF($F1787:$AJ1787,"WO"))</f>
        <v/>
      </c>
      <c r="AV1787" s="34" t="str">
        <f aca="false">IF($B1787="","",COUNTIF($F1787:$AJ1787,"PH"))</f>
        <v/>
      </c>
      <c r="AW1787" s="34" t="str">
        <f aca="false">IF($B1787="","",COUNTIF($F1787:$AJ1787,"TR"))</f>
        <v/>
      </c>
      <c r="AX1787" s="35" t="str">
        <f aca="false">IF($B1787="","",AO1787+AS1787/2)</f>
        <v/>
      </c>
      <c r="AY1787" s="35" t="str">
        <f aca="false">IF($B1787="","",AQ1787)</f>
        <v/>
      </c>
      <c r="AZ1787" s="35" t="str">
        <f aca="false">IF($B1787="","",AP1787+AT1787/2)</f>
        <v/>
      </c>
      <c r="BA1787" s="35" t="str">
        <f aca="false">IF($B1787="","",AK1787+AN1787+AM1787/2+AO1787+AP1787+AQ1787+AR1787+AS1787+AT1787+AU1787+AV1787+AW1787)</f>
        <v/>
      </c>
      <c r="BB1787" s="35" t="str">
        <f aca="false">IF($B1787="","",MAX(0,AN1787-Settings!$C$16)*Settings!$C$17)</f>
        <v/>
      </c>
      <c r="BC1787" s="35" t="str">
        <f aca="false">IF($B1787="","",BA1787-BB1787)</f>
        <v/>
      </c>
      <c r="BD1787" s="35" t="str">
        <f aca="false">IF(OR($B1787="",$A1787=""),"",DAY(EOMONTH($A1787,0))-COUNTA($F1787:$AJ1787))</f>
        <v/>
      </c>
    </row>
    <row r="1788" customFormat="false" ht="15" hidden="false" customHeight="false" outlineLevel="0" collapsed="false">
      <c r="A1788" s="32"/>
      <c r="B1788" s="29"/>
      <c r="C1788" s="10" t="str">
        <f aca="false">IF($B1788="","",IFERROR(INDEX(M_name,MATCH($B1788,M_emp,0)),"Code not found"))</f>
        <v/>
      </c>
      <c r="D1788" s="10" t="str">
        <f aca="false">IF($B1788="","",IFERROR(INDEX(M_dept,MATCH($B1788,M_emp,0)),""))</f>
        <v/>
      </c>
      <c r="E1788" s="10" t="str">
        <f aca="false">IF($B1788="","",IFERROR(INDEX(M_loc,MATCH($B1788,M_emp,0)),""))</f>
        <v/>
      </c>
      <c r="F1788" s="33"/>
      <c r="G1788" s="33"/>
      <c r="H1788" s="33"/>
      <c r="I1788" s="33"/>
      <c r="J1788" s="33"/>
      <c r="K1788" s="33"/>
      <c r="L1788" s="33"/>
      <c r="M1788" s="33"/>
      <c r="N1788" s="33"/>
      <c r="O1788" s="33"/>
      <c r="P1788" s="33"/>
      <c r="Q1788" s="33"/>
      <c r="R1788" s="33"/>
      <c r="S1788" s="33"/>
      <c r="T1788" s="33"/>
      <c r="U1788" s="33"/>
      <c r="V1788" s="33"/>
      <c r="W1788" s="33"/>
      <c r="X1788" s="33"/>
      <c r="Y1788" s="33"/>
      <c r="Z1788" s="33"/>
      <c r="AA1788" s="33"/>
      <c r="AB1788" s="33"/>
      <c r="AC1788" s="33"/>
      <c r="AD1788" s="33"/>
      <c r="AE1788" s="33"/>
      <c r="AF1788" s="33"/>
      <c r="AG1788" s="33"/>
      <c r="AH1788" s="33"/>
      <c r="AI1788" s="33"/>
      <c r="AJ1788" s="33"/>
      <c r="AK1788" s="34" t="str">
        <f aca="false">IF($B1788="","",COUNTIF($F1788:$AJ1788,"P"))</f>
        <v/>
      </c>
      <c r="AL1788" s="34" t="str">
        <f aca="false">IF($B1788="","",COUNTIF($F1788:$AJ1788,"A"))</f>
        <v/>
      </c>
      <c r="AM1788" s="34" t="str">
        <f aca="false">IF($B1788="","",COUNTIF($F1788:$AJ1788,"HA"))</f>
        <v/>
      </c>
      <c r="AN1788" s="34" t="str">
        <f aca="false">IF($B1788="","",COUNTIF($F1788:$AJ1788,"L"))</f>
        <v/>
      </c>
      <c r="AO1788" s="34" t="str">
        <f aca="false">IF($B1788="","",COUNTIF($F1788:$AJ1788,"PL"))</f>
        <v/>
      </c>
      <c r="AP1788" s="34" t="str">
        <f aca="false">IF($B1788="","",COUNTIF($F1788:$AJ1788,"CL"))</f>
        <v/>
      </c>
      <c r="AQ1788" s="34" t="str">
        <f aca="false">IF($B1788="","",COUNTIF($F1788:$AJ1788,"SL"))</f>
        <v/>
      </c>
      <c r="AR1788" s="34" t="str">
        <f aca="false">IF($B1788="","",COUNTIF($F1788:$AJ1788,"CO"))</f>
        <v/>
      </c>
      <c r="AS1788" s="34" t="str">
        <f aca="false">IF($B1788="","",COUNTIF($F1788:$AJ1788,"HPL"))</f>
        <v/>
      </c>
      <c r="AT1788" s="34" t="str">
        <f aca="false">IF($B1788="","",COUNTIF($F1788:$AJ1788,"HCL"))</f>
        <v/>
      </c>
      <c r="AU1788" s="34" t="str">
        <f aca="false">IF($B1788="","",COUNTIF($F1788:$AJ1788,"WO"))</f>
        <v/>
      </c>
      <c r="AV1788" s="34" t="str">
        <f aca="false">IF($B1788="","",COUNTIF($F1788:$AJ1788,"PH"))</f>
        <v/>
      </c>
      <c r="AW1788" s="34" t="str">
        <f aca="false">IF($B1788="","",COUNTIF($F1788:$AJ1788,"TR"))</f>
        <v/>
      </c>
      <c r="AX1788" s="35" t="str">
        <f aca="false">IF($B1788="","",AO1788+AS1788/2)</f>
        <v/>
      </c>
      <c r="AY1788" s="35" t="str">
        <f aca="false">IF($B1788="","",AQ1788)</f>
        <v/>
      </c>
      <c r="AZ1788" s="35" t="str">
        <f aca="false">IF($B1788="","",AP1788+AT1788/2)</f>
        <v/>
      </c>
      <c r="BA1788" s="35" t="str">
        <f aca="false">IF($B1788="","",AK1788+AN1788+AM1788/2+AO1788+AP1788+AQ1788+AR1788+AS1788+AT1788+AU1788+AV1788+AW1788)</f>
        <v/>
      </c>
      <c r="BB1788" s="35" t="str">
        <f aca="false">IF($B1788="","",MAX(0,AN1788-Settings!$C$16)*Settings!$C$17)</f>
        <v/>
      </c>
      <c r="BC1788" s="35" t="str">
        <f aca="false">IF($B1788="","",BA1788-BB1788)</f>
        <v/>
      </c>
      <c r="BD1788" s="35" t="str">
        <f aca="false">IF(OR($B1788="",$A1788=""),"",DAY(EOMONTH($A1788,0))-COUNTA($F1788:$AJ1788))</f>
        <v/>
      </c>
    </row>
    <row r="1789" customFormat="false" ht="15" hidden="false" customHeight="false" outlineLevel="0" collapsed="false">
      <c r="A1789" s="32"/>
      <c r="B1789" s="29"/>
      <c r="C1789" s="10" t="str">
        <f aca="false">IF($B1789="","",IFERROR(INDEX(M_name,MATCH($B1789,M_emp,0)),"Code not found"))</f>
        <v/>
      </c>
      <c r="D1789" s="10" t="str">
        <f aca="false">IF($B1789="","",IFERROR(INDEX(M_dept,MATCH($B1789,M_emp,0)),""))</f>
        <v/>
      </c>
      <c r="E1789" s="10" t="str">
        <f aca="false">IF($B1789="","",IFERROR(INDEX(M_loc,MATCH($B1789,M_emp,0)),""))</f>
        <v/>
      </c>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c r="AB1789" s="33"/>
      <c r="AC1789" s="33"/>
      <c r="AD1789" s="33"/>
      <c r="AE1789" s="33"/>
      <c r="AF1789" s="33"/>
      <c r="AG1789" s="33"/>
      <c r="AH1789" s="33"/>
      <c r="AI1789" s="33"/>
      <c r="AJ1789" s="33"/>
      <c r="AK1789" s="34" t="str">
        <f aca="false">IF($B1789="","",COUNTIF($F1789:$AJ1789,"P"))</f>
        <v/>
      </c>
      <c r="AL1789" s="34" t="str">
        <f aca="false">IF($B1789="","",COUNTIF($F1789:$AJ1789,"A"))</f>
        <v/>
      </c>
      <c r="AM1789" s="34" t="str">
        <f aca="false">IF($B1789="","",COUNTIF($F1789:$AJ1789,"HA"))</f>
        <v/>
      </c>
      <c r="AN1789" s="34" t="str">
        <f aca="false">IF($B1789="","",COUNTIF($F1789:$AJ1789,"L"))</f>
        <v/>
      </c>
      <c r="AO1789" s="34" t="str">
        <f aca="false">IF($B1789="","",COUNTIF($F1789:$AJ1789,"PL"))</f>
        <v/>
      </c>
      <c r="AP1789" s="34" t="str">
        <f aca="false">IF($B1789="","",COUNTIF($F1789:$AJ1789,"CL"))</f>
        <v/>
      </c>
      <c r="AQ1789" s="34" t="str">
        <f aca="false">IF($B1789="","",COUNTIF($F1789:$AJ1789,"SL"))</f>
        <v/>
      </c>
      <c r="AR1789" s="34" t="str">
        <f aca="false">IF($B1789="","",COUNTIF($F1789:$AJ1789,"CO"))</f>
        <v/>
      </c>
      <c r="AS1789" s="34" t="str">
        <f aca="false">IF($B1789="","",COUNTIF($F1789:$AJ1789,"HPL"))</f>
        <v/>
      </c>
      <c r="AT1789" s="34" t="str">
        <f aca="false">IF($B1789="","",COUNTIF($F1789:$AJ1789,"HCL"))</f>
        <v/>
      </c>
      <c r="AU1789" s="34" t="str">
        <f aca="false">IF($B1789="","",COUNTIF($F1789:$AJ1789,"WO"))</f>
        <v/>
      </c>
      <c r="AV1789" s="34" t="str">
        <f aca="false">IF($B1789="","",COUNTIF($F1789:$AJ1789,"PH"))</f>
        <v/>
      </c>
      <c r="AW1789" s="34" t="str">
        <f aca="false">IF($B1789="","",COUNTIF($F1789:$AJ1789,"TR"))</f>
        <v/>
      </c>
      <c r="AX1789" s="35" t="str">
        <f aca="false">IF($B1789="","",AO1789+AS1789/2)</f>
        <v/>
      </c>
      <c r="AY1789" s="35" t="str">
        <f aca="false">IF($B1789="","",AQ1789)</f>
        <v/>
      </c>
      <c r="AZ1789" s="35" t="str">
        <f aca="false">IF($B1789="","",AP1789+AT1789/2)</f>
        <v/>
      </c>
      <c r="BA1789" s="35" t="str">
        <f aca="false">IF($B1789="","",AK1789+AN1789+AM1789/2+AO1789+AP1789+AQ1789+AR1789+AS1789+AT1789+AU1789+AV1789+AW1789)</f>
        <v/>
      </c>
      <c r="BB1789" s="35" t="str">
        <f aca="false">IF($B1789="","",MAX(0,AN1789-Settings!$C$16)*Settings!$C$17)</f>
        <v/>
      </c>
      <c r="BC1789" s="35" t="str">
        <f aca="false">IF($B1789="","",BA1789-BB1789)</f>
        <v/>
      </c>
      <c r="BD1789" s="35" t="str">
        <f aca="false">IF(OR($B1789="",$A1789=""),"",DAY(EOMONTH($A1789,0))-COUNTA($F1789:$AJ1789))</f>
        <v/>
      </c>
    </row>
    <row r="1790" customFormat="false" ht="15" hidden="false" customHeight="false" outlineLevel="0" collapsed="false">
      <c r="A1790" s="32"/>
      <c r="B1790" s="29"/>
      <c r="C1790" s="10" t="str">
        <f aca="false">IF($B1790="","",IFERROR(INDEX(M_name,MATCH($B1790,M_emp,0)),"Code not found"))</f>
        <v/>
      </c>
      <c r="D1790" s="10" t="str">
        <f aca="false">IF($B1790="","",IFERROR(INDEX(M_dept,MATCH($B1790,M_emp,0)),""))</f>
        <v/>
      </c>
      <c r="E1790" s="10" t="str">
        <f aca="false">IF($B1790="","",IFERROR(INDEX(M_loc,MATCH($B1790,M_emp,0)),""))</f>
        <v/>
      </c>
      <c r="F1790" s="33"/>
      <c r="G1790" s="33"/>
      <c r="H1790" s="33"/>
      <c r="I1790" s="33"/>
      <c r="J1790" s="33"/>
      <c r="K1790" s="33"/>
      <c r="L1790" s="33"/>
      <c r="M1790" s="33"/>
      <c r="N1790" s="33"/>
      <c r="O1790" s="33"/>
      <c r="P1790" s="33"/>
      <c r="Q1790" s="33"/>
      <c r="R1790" s="33"/>
      <c r="S1790" s="33"/>
      <c r="T1790" s="33"/>
      <c r="U1790" s="33"/>
      <c r="V1790" s="33"/>
      <c r="W1790" s="33"/>
      <c r="X1790" s="33"/>
      <c r="Y1790" s="33"/>
      <c r="Z1790" s="33"/>
      <c r="AA1790" s="33"/>
      <c r="AB1790" s="33"/>
      <c r="AC1790" s="33"/>
      <c r="AD1790" s="33"/>
      <c r="AE1790" s="33"/>
      <c r="AF1790" s="33"/>
      <c r="AG1790" s="33"/>
      <c r="AH1790" s="33"/>
      <c r="AI1790" s="33"/>
      <c r="AJ1790" s="33"/>
      <c r="AK1790" s="34" t="str">
        <f aca="false">IF($B1790="","",COUNTIF($F1790:$AJ1790,"P"))</f>
        <v/>
      </c>
      <c r="AL1790" s="34" t="str">
        <f aca="false">IF($B1790="","",COUNTIF($F1790:$AJ1790,"A"))</f>
        <v/>
      </c>
      <c r="AM1790" s="34" t="str">
        <f aca="false">IF($B1790="","",COUNTIF($F1790:$AJ1790,"HA"))</f>
        <v/>
      </c>
      <c r="AN1790" s="34" t="str">
        <f aca="false">IF($B1790="","",COUNTIF($F1790:$AJ1790,"L"))</f>
        <v/>
      </c>
      <c r="AO1790" s="34" t="str">
        <f aca="false">IF($B1790="","",COUNTIF($F1790:$AJ1790,"PL"))</f>
        <v/>
      </c>
      <c r="AP1790" s="34" t="str">
        <f aca="false">IF($B1790="","",COUNTIF($F1790:$AJ1790,"CL"))</f>
        <v/>
      </c>
      <c r="AQ1790" s="34" t="str">
        <f aca="false">IF($B1790="","",COUNTIF($F1790:$AJ1790,"SL"))</f>
        <v/>
      </c>
      <c r="AR1790" s="34" t="str">
        <f aca="false">IF($B1790="","",COUNTIF($F1790:$AJ1790,"CO"))</f>
        <v/>
      </c>
      <c r="AS1790" s="34" t="str">
        <f aca="false">IF($B1790="","",COUNTIF($F1790:$AJ1790,"HPL"))</f>
        <v/>
      </c>
      <c r="AT1790" s="34" t="str">
        <f aca="false">IF($B1790="","",COUNTIF($F1790:$AJ1790,"HCL"))</f>
        <v/>
      </c>
      <c r="AU1790" s="34" t="str">
        <f aca="false">IF($B1790="","",COUNTIF($F1790:$AJ1790,"WO"))</f>
        <v/>
      </c>
      <c r="AV1790" s="34" t="str">
        <f aca="false">IF($B1790="","",COUNTIF($F1790:$AJ1790,"PH"))</f>
        <v/>
      </c>
      <c r="AW1790" s="34" t="str">
        <f aca="false">IF($B1790="","",COUNTIF($F1790:$AJ1790,"TR"))</f>
        <v/>
      </c>
      <c r="AX1790" s="35" t="str">
        <f aca="false">IF($B1790="","",AO1790+AS1790/2)</f>
        <v/>
      </c>
      <c r="AY1790" s="35" t="str">
        <f aca="false">IF($B1790="","",AQ1790)</f>
        <v/>
      </c>
      <c r="AZ1790" s="35" t="str">
        <f aca="false">IF($B1790="","",AP1790+AT1790/2)</f>
        <v/>
      </c>
      <c r="BA1790" s="35" t="str">
        <f aca="false">IF($B1790="","",AK1790+AN1790+AM1790/2+AO1790+AP1790+AQ1790+AR1790+AS1790+AT1790+AU1790+AV1790+AW1790)</f>
        <v/>
      </c>
      <c r="BB1790" s="35" t="str">
        <f aca="false">IF($B1790="","",MAX(0,AN1790-Settings!$C$16)*Settings!$C$17)</f>
        <v/>
      </c>
      <c r="BC1790" s="35" t="str">
        <f aca="false">IF($B1790="","",BA1790-BB1790)</f>
        <v/>
      </c>
      <c r="BD1790" s="35" t="str">
        <f aca="false">IF(OR($B1790="",$A1790=""),"",DAY(EOMONTH($A1790,0))-COUNTA($F1790:$AJ1790))</f>
        <v/>
      </c>
    </row>
    <row r="1791" customFormat="false" ht="15" hidden="false" customHeight="false" outlineLevel="0" collapsed="false">
      <c r="A1791" s="32"/>
      <c r="B1791" s="29"/>
      <c r="C1791" s="10" t="str">
        <f aca="false">IF($B1791="","",IFERROR(INDEX(M_name,MATCH($B1791,M_emp,0)),"Code not found"))</f>
        <v/>
      </c>
      <c r="D1791" s="10" t="str">
        <f aca="false">IF($B1791="","",IFERROR(INDEX(M_dept,MATCH($B1791,M_emp,0)),""))</f>
        <v/>
      </c>
      <c r="E1791" s="10" t="str">
        <f aca="false">IF($B1791="","",IFERROR(INDEX(M_loc,MATCH($B1791,M_emp,0)),""))</f>
        <v/>
      </c>
      <c r="F1791" s="33"/>
      <c r="G1791" s="33"/>
      <c r="H1791" s="33"/>
      <c r="I1791" s="33"/>
      <c r="J1791" s="33"/>
      <c r="K1791" s="33"/>
      <c r="L1791" s="33"/>
      <c r="M1791" s="33"/>
      <c r="N1791" s="33"/>
      <c r="O1791" s="33"/>
      <c r="P1791" s="33"/>
      <c r="Q1791" s="33"/>
      <c r="R1791" s="33"/>
      <c r="S1791" s="33"/>
      <c r="T1791" s="33"/>
      <c r="U1791" s="33"/>
      <c r="V1791" s="33"/>
      <c r="W1791" s="33"/>
      <c r="X1791" s="33"/>
      <c r="Y1791" s="33"/>
      <c r="Z1791" s="33"/>
      <c r="AA1791" s="33"/>
      <c r="AB1791" s="33"/>
      <c r="AC1791" s="33"/>
      <c r="AD1791" s="33"/>
      <c r="AE1791" s="33"/>
      <c r="AF1791" s="33"/>
      <c r="AG1791" s="33"/>
      <c r="AH1791" s="33"/>
      <c r="AI1791" s="33"/>
      <c r="AJ1791" s="33"/>
      <c r="AK1791" s="34" t="str">
        <f aca="false">IF($B1791="","",COUNTIF($F1791:$AJ1791,"P"))</f>
        <v/>
      </c>
      <c r="AL1791" s="34" t="str">
        <f aca="false">IF($B1791="","",COUNTIF($F1791:$AJ1791,"A"))</f>
        <v/>
      </c>
      <c r="AM1791" s="34" t="str">
        <f aca="false">IF($B1791="","",COUNTIF($F1791:$AJ1791,"HA"))</f>
        <v/>
      </c>
      <c r="AN1791" s="34" t="str">
        <f aca="false">IF($B1791="","",COUNTIF($F1791:$AJ1791,"L"))</f>
        <v/>
      </c>
      <c r="AO1791" s="34" t="str">
        <f aca="false">IF($B1791="","",COUNTIF($F1791:$AJ1791,"PL"))</f>
        <v/>
      </c>
      <c r="AP1791" s="34" t="str">
        <f aca="false">IF($B1791="","",COUNTIF($F1791:$AJ1791,"CL"))</f>
        <v/>
      </c>
      <c r="AQ1791" s="34" t="str">
        <f aca="false">IF($B1791="","",COUNTIF($F1791:$AJ1791,"SL"))</f>
        <v/>
      </c>
      <c r="AR1791" s="34" t="str">
        <f aca="false">IF($B1791="","",COUNTIF($F1791:$AJ1791,"CO"))</f>
        <v/>
      </c>
      <c r="AS1791" s="34" t="str">
        <f aca="false">IF($B1791="","",COUNTIF($F1791:$AJ1791,"HPL"))</f>
        <v/>
      </c>
      <c r="AT1791" s="34" t="str">
        <f aca="false">IF($B1791="","",COUNTIF($F1791:$AJ1791,"HCL"))</f>
        <v/>
      </c>
      <c r="AU1791" s="34" t="str">
        <f aca="false">IF($B1791="","",COUNTIF($F1791:$AJ1791,"WO"))</f>
        <v/>
      </c>
      <c r="AV1791" s="34" t="str">
        <f aca="false">IF($B1791="","",COUNTIF($F1791:$AJ1791,"PH"))</f>
        <v/>
      </c>
      <c r="AW1791" s="34" t="str">
        <f aca="false">IF($B1791="","",COUNTIF($F1791:$AJ1791,"TR"))</f>
        <v/>
      </c>
      <c r="AX1791" s="35" t="str">
        <f aca="false">IF($B1791="","",AO1791+AS1791/2)</f>
        <v/>
      </c>
      <c r="AY1791" s="35" t="str">
        <f aca="false">IF($B1791="","",AQ1791)</f>
        <v/>
      </c>
      <c r="AZ1791" s="35" t="str">
        <f aca="false">IF($B1791="","",AP1791+AT1791/2)</f>
        <v/>
      </c>
      <c r="BA1791" s="35" t="str">
        <f aca="false">IF($B1791="","",AK1791+AN1791+AM1791/2+AO1791+AP1791+AQ1791+AR1791+AS1791+AT1791+AU1791+AV1791+AW1791)</f>
        <v/>
      </c>
      <c r="BB1791" s="35" t="str">
        <f aca="false">IF($B1791="","",MAX(0,AN1791-Settings!$C$16)*Settings!$C$17)</f>
        <v/>
      </c>
      <c r="BC1791" s="35" t="str">
        <f aca="false">IF($B1791="","",BA1791-BB1791)</f>
        <v/>
      </c>
      <c r="BD1791" s="35" t="str">
        <f aca="false">IF(OR($B1791="",$A1791=""),"",DAY(EOMONTH($A1791,0))-COUNTA($F1791:$AJ1791))</f>
        <v/>
      </c>
    </row>
    <row r="1792" customFormat="false" ht="15" hidden="false" customHeight="false" outlineLevel="0" collapsed="false">
      <c r="A1792" s="32"/>
      <c r="B1792" s="29"/>
      <c r="C1792" s="10" t="str">
        <f aca="false">IF($B1792="","",IFERROR(INDEX(M_name,MATCH($B1792,M_emp,0)),"Code not found"))</f>
        <v/>
      </c>
      <c r="D1792" s="10" t="str">
        <f aca="false">IF($B1792="","",IFERROR(INDEX(M_dept,MATCH($B1792,M_emp,0)),""))</f>
        <v/>
      </c>
      <c r="E1792" s="10" t="str">
        <f aca="false">IF($B1792="","",IFERROR(INDEX(M_loc,MATCH($B1792,M_emp,0)),""))</f>
        <v/>
      </c>
      <c r="F1792" s="33"/>
      <c r="G1792" s="33"/>
      <c r="H1792" s="33"/>
      <c r="I1792" s="33"/>
      <c r="J1792" s="33"/>
      <c r="K1792" s="33"/>
      <c r="L1792" s="33"/>
      <c r="M1792" s="33"/>
      <c r="N1792" s="33"/>
      <c r="O1792" s="33"/>
      <c r="P1792" s="33"/>
      <c r="Q1792" s="33"/>
      <c r="R1792" s="33"/>
      <c r="S1792" s="33"/>
      <c r="T1792" s="33"/>
      <c r="U1792" s="33"/>
      <c r="V1792" s="33"/>
      <c r="W1792" s="33"/>
      <c r="X1792" s="33"/>
      <c r="Y1792" s="33"/>
      <c r="Z1792" s="33"/>
      <c r="AA1792" s="33"/>
      <c r="AB1792" s="33"/>
      <c r="AC1792" s="33"/>
      <c r="AD1792" s="33"/>
      <c r="AE1792" s="33"/>
      <c r="AF1792" s="33"/>
      <c r="AG1792" s="33"/>
      <c r="AH1792" s="33"/>
      <c r="AI1792" s="33"/>
      <c r="AJ1792" s="33"/>
      <c r="AK1792" s="34" t="str">
        <f aca="false">IF($B1792="","",COUNTIF($F1792:$AJ1792,"P"))</f>
        <v/>
      </c>
      <c r="AL1792" s="34" t="str">
        <f aca="false">IF($B1792="","",COUNTIF($F1792:$AJ1792,"A"))</f>
        <v/>
      </c>
      <c r="AM1792" s="34" t="str">
        <f aca="false">IF($B1792="","",COUNTIF($F1792:$AJ1792,"HA"))</f>
        <v/>
      </c>
      <c r="AN1792" s="34" t="str">
        <f aca="false">IF($B1792="","",COUNTIF($F1792:$AJ1792,"L"))</f>
        <v/>
      </c>
      <c r="AO1792" s="34" t="str">
        <f aca="false">IF($B1792="","",COUNTIF($F1792:$AJ1792,"PL"))</f>
        <v/>
      </c>
      <c r="AP1792" s="34" t="str">
        <f aca="false">IF($B1792="","",COUNTIF($F1792:$AJ1792,"CL"))</f>
        <v/>
      </c>
      <c r="AQ1792" s="34" t="str">
        <f aca="false">IF($B1792="","",COUNTIF($F1792:$AJ1792,"SL"))</f>
        <v/>
      </c>
      <c r="AR1792" s="34" t="str">
        <f aca="false">IF($B1792="","",COUNTIF($F1792:$AJ1792,"CO"))</f>
        <v/>
      </c>
      <c r="AS1792" s="34" t="str">
        <f aca="false">IF($B1792="","",COUNTIF($F1792:$AJ1792,"HPL"))</f>
        <v/>
      </c>
      <c r="AT1792" s="34" t="str">
        <f aca="false">IF($B1792="","",COUNTIF($F1792:$AJ1792,"HCL"))</f>
        <v/>
      </c>
      <c r="AU1792" s="34" t="str">
        <f aca="false">IF($B1792="","",COUNTIF($F1792:$AJ1792,"WO"))</f>
        <v/>
      </c>
      <c r="AV1792" s="34" t="str">
        <f aca="false">IF($B1792="","",COUNTIF($F1792:$AJ1792,"PH"))</f>
        <v/>
      </c>
      <c r="AW1792" s="34" t="str">
        <f aca="false">IF($B1792="","",COUNTIF($F1792:$AJ1792,"TR"))</f>
        <v/>
      </c>
      <c r="AX1792" s="35" t="str">
        <f aca="false">IF($B1792="","",AO1792+AS1792/2)</f>
        <v/>
      </c>
      <c r="AY1792" s="35" t="str">
        <f aca="false">IF($B1792="","",AQ1792)</f>
        <v/>
      </c>
      <c r="AZ1792" s="35" t="str">
        <f aca="false">IF($B1792="","",AP1792+AT1792/2)</f>
        <v/>
      </c>
      <c r="BA1792" s="35" t="str">
        <f aca="false">IF($B1792="","",AK1792+AN1792+AM1792/2+AO1792+AP1792+AQ1792+AR1792+AS1792+AT1792+AU1792+AV1792+AW1792)</f>
        <v/>
      </c>
      <c r="BB1792" s="35" t="str">
        <f aca="false">IF($B1792="","",MAX(0,AN1792-Settings!$C$16)*Settings!$C$17)</f>
        <v/>
      </c>
      <c r="BC1792" s="35" t="str">
        <f aca="false">IF($B1792="","",BA1792-BB1792)</f>
        <v/>
      </c>
      <c r="BD1792" s="35" t="str">
        <f aca="false">IF(OR($B1792="",$A1792=""),"",DAY(EOMONTH($A1792,0))-COUNTA($F1792:$AJ1792))</f>
        <v/>
      </c>
    </row>
    <row r="1793" customFormat="false" ht="15" hidden="false" customHeight="false" outlineLevel="0" collapsed="false">
      <c r="A1793" s="32"/>
      <c r="B1793" s="29"/>
      <c r="C1793" s="10" t="str">
        <f aca="false">IF($B1793="","",IFERROR(INDEX(M_name,MATCH($B1793,M_emp,0)),"Code not found"))</f>
        <v/>
      </c>
      <c r="D1793" s="10" t="str">
        <f aca="false">IF($B1793="","",IFERROR(INDEX(M_dept,MATCH($B1793,M_emp,0)),""))</f>
        <v/>
      </c>
      <c r="E1793" s="10" t="str">
        <f aca="false">IF($B1793="","",IFERROR(INDEX(M_loc,MATCH($B1793,M_emp,0)),""))</f>
        <v/>
      </c>
      <c r="F1793" s="33"/>
      <c r="G1793" s="33"/>
      <c r="H1793" s="33"/>
      <c r="I1793" s="33"/>
      <c r="J1793" s="33"/>
      <c r="K1793" s="33"/>
      <c r="L1793" s="33"/>
      <c r="M1793" s="33"/>
      <c r="N1793" s="33"/>
      <c r="O1793" s="33"/>
      <c r="P1793" s="33"/>
      <c r="Q1793" s="33"/>
      <c r="R1793" s="33"/>
      <c r="S1793" s="33"/>
      <c r="T1793" s="33"/>
      <c r="U1793" s="33"/>
      <c r="V1793" s="33"/>
      <c r="W1793" s="33"/>
      <c r="X1793" s="33"/>
      <c r="Y1793" s="33"/>
      <c r="Z1793" s="33"/>
      <c r="AA1793" s="33"/>
      <c r="AB1793" s="33"/>
      <c r="AC1793" s="33"/>
      <c r="AD1793" s="33"/>
      <c r="AE1793" s="33"/>
      <c r="AF1793" s="33"/>
      <c r="AG1793" s="33"/>
      <c r="AH1793" s="33"/>
      <c r="AI1793" s="33"/>
      <c r="AJ1793" s="33"/>
      <c r="AK1793" s="34" t="str">
        <f aca="false">IF($B1793="","",COUNTIF($F1793:$AJ1793,"P"))</f>
        <v/>
      </c>
      <c r="AL1793" s="34" t="str">
        <f aca="false">IF($B1793="","",COUNTIF($F1793:$AJ1793,"A"))</f>
        <v/>
      </c>
      <c r="AM1793" s="34" t="str">
        <f aca="false">IF($B1793="","",COUNTIF($F1793:$AJ1793,"HA"))</f>
        <v/>
      </c>
      <c r="AN1793" s="34" t="str">
        <f aca="false">IF($B1793="","",COUNTIF($F1793:$AJ1793,"L"))</f>
        <v/>
      </c>
      <c r="AO1793" s="34" t="str">
        <f aca="false">IF($B1793="","",COUNTIF($F1793:$AJ1793,"PL"))</f>
        <v/>
      </c>
      <c r="AP1793" s="34" t="str">
        <f aca="false">IF($B1793="","",COUNTIF($F1793:$AJ1793,"CL"))</f>
        <v/>
      </c>
      <c r="AQ1793" s="34" t="str">
        <f aca="false">IF($B1793="","",COUNTIF($F1793:$AJ1793,"SL"))</f>
        <v/>
      </c>
      <c r="AR1793" s="34" t="str">
        <f aca="false">IF($B1793="","",COUNTIF($F1793:$AJ1793,"CO"))</f>
        <v/>
      </c>
      <c r="AS1793" s="34" t="str">
        <f aca="false">IF($B1793="","",COUNTIF($F1793:$AJ1793,"HPL"))</f>
        <v/>
      </c>
      <c r="AT1793" s="34" t="str">
        <f aca="false">IF($B1793="","",COUNTIF($F1793:$AJ1793,"HCL"))</f>
        <v/>
      </c>
      <c r="AU1793" s="34" t="str">
        <f aca="false">IF($B1793="","",COUNTIF($F1793:$AJ1793,"WO"))</f>
        <v/>
      </c>
      <c r="AV1793" s="34" t="str">
        <f aca="false">IF($B1793="","",COUNTIF($F1793:$AJ1793,"PH"))</f>
        <v/>
      </c>
      <c r="AW1793" s="34" t="str">
        <f aca="false">IF($B1793="","",COUNTIF($F1793:$AJ1793,"TR"))</f>
        <v/>
      </c>
      <c r="AX1793" s="35" t="str">
        <f aca="false">IF($B1793="","",AO1793+AS1793/2)</f>
        <v/>
      </c>
      <c r="AY1793" s="35" t="str">
        <f aca="false">IF($B1793="","",AQ1793)</f>
        <v/>
      </c>
      <c r="AZ1793" s="35" t="str">
        <f aca="false">IF($B1793="","",AP1793+AT1793/2)</f>
        <v/>
      </c>
      <c r="BA1793" s="35" t="str">
        <f aca="false">IF($B1793="","",AK1793+AN1793+AM1793/2+AO1793+AP1793+AQ1793+AR1793+AS1793+AT1793+AU1793+AV1793+AW1793)</f>
        <v/>
      </c>
      <c r="BB1793" s="35" t="str">
        <f aca="false">IF($B1793="","",MAX(0,AN1793-Settings!$C$16)*Settings!$C$17)</f>
        <v/>
      </c>
      <c r="BC1793" s="35" t="str">
        <f aca="false">IF($B1793="","",BA1793-BB1793)</f>
        <v/>
      </c>
      <c r="BD1793" s="35" t="str">
        <f aca="false">IF(OR($B1793="",$A1793=""),"",DAY(EOMONTH($A1793,0))-COUNTA($F1793:$AJ1793))</f>
        <v/>
      </c>
    </row>
    <row r="1794" customFormat="false" ht="15" hidden="false" customHeight="false" outlineLevel="0" collapsed="false">
      <c r="A1794" s="32"/>
      <c r="B1794" s="29"/>
      <c r="C1794" s="10" t="str">
        <f aca="false">IF($B1794="","",IFERROR(INDEX(M_name,MATCH($B1794,M_emp,0)),"Code not found"))</f>
        <v/>
      </c>
      <c r="D1794" s="10" t="str">
        <f aca="false">IF($B1794="","",IFERROR(INDEX(M_dept,MATCH($B1794,M_emp,0)),""))</f>
        <v/>
      </c>
      <c r="E1794" s="10" t="str">
        <f aca="false">IF($B1794="","",IFERROR(INDEX(M_loc,MATCH($B1794,M_emp,0)),""))</f>
        <v/>
      </c>
      <c r="F1794" s="33"/>
      <c r="G1794" s="33"/>
      <c r="H1794" s="33"/>
      <c r="I1794" s="33"/>
      <c r="J1794" s="33"/>
      <c r="K1794" s="33"/>
      <c r="L1794" s="33"/>
      <c r="M1794" s="33"/>
      <c r="N1794" s="33"/>
      <c r="O1794" s="33"/>
      <c r="P1794" s="33"/>
      <c r="Q1794" s="33"/>
      <c r="R1794" s="33"/>
      <c r="S1794" s="33"/>
      <c r="T1794" s="33"/>
      <c r="U1794" s="33"/>
      <c r="V1794" s="33"/>
      <c r="W1794" s="33"/>
      <c r="X1794" s="33"/>
      <c r="Y1794" s="33"/>
      <c r="Z1794" s="33"/>
      <c r="AA1794" s="33"/>
      <c r="AB1794" s="33"/>
      <c r="AC1794" s="33"/>
      <c r="AD1794" s="33"/>
      <c r="AE1794" s="33"/>
      <c r="AF1794" s="33"/>
      <c r="AG1794" s="33"/>
      <c r="AH1794" s="33"/>
      <c r="AI1794" s="33"/>
      <c r="AJ1794" s="33"/>
      <c r="AK1794" s="34" t="str">
        <f aca="false">IF($B1794="","",COUNTIF($F1794:$AJ1794,"P"))</f>
        <v/>
      </c>
      <c r="AL1794" s="34" t="str">
        <f aca="false">IF($B1794="","",COUNTIF($F1794:$AJ1794,"A"))</f>
        <v/>
      </c>
      <c r="AM1794" s="34" t="str">
        <f aca="false">IF($B1794="","",COUNTIF($F1794:$AJ1794,"HA"))</f>
        <v/>
      </c>
      <c r="AN1794" s="34" t="str">
        <f aca="false">IF($B1794="","",COUNTIF($F1794:$AJ1794,"L"))</f>
        <v/>
      </c>
      <c r="AO1794" s="34" t="str">
        <f aca="false">IF($B1794="","",COUNTIF($F1794:$AJ1794,"PL"))</f>
        <v/>
      </c>
      <c r="AP1794" s="34" t="str">
        <f aca="false">IF($B1794="","",COUNTIF($F1794:$AJ1794,"CL"))</f>
        <v/>
      </c>
      <c r="AQ1794" s="34" t="str">
        <f aca="false">IF($B1794="","",COUNTIF($F1794:$AJ1794,"SL"))</f>
        <v/>
      </c>
      <c r="AR1794" s="34" t="str">
        <f aca="false">IF($B1794="","",COUNTIF($F1794:$AJ1794,"CO"))</f>
        <v/>
      </c>
      <c r="AS1794" s="34" t="str">
        <f aca="false">IF($B1794="","",COUNTIF($F1794:$AJ1794,"HPL"))</f>
        <v/>
      </c>
      <c r="AT1794" s="34" t="str">
        <f aca="false">IF($B1794="","",COUNTIF($F1794:$AJ1794,"HCL"))</f>
        <v/>
      </c>
      <c r="AU1794" s="34" t="str">
        <f aca="false">IF($B1794="","",COUNTIF($F1794:$AJ1794,"WO"))</f>
        <v/>
      </c>
      <c r="AV1794" s="34" t="str">
        <f aca="false">IF($B1794="","",COUNTIF($F1794:$AJ1794,"PH"))</f>
        <v/>
      </c>
      <c r="AW1794" s="34" t="str">
        <f aca="false">IF($B1794="","",COUNTIF($F1794:$AJ1794,"TR"))</f>
        <v/>
      </c>
      <c r="AX1794" s="35" t="str">
        <f aca="false">IF($B1794="","",AO1794+AS1794/2)</f>
        <v/>
      </c>
      <c r="AY1794" s="35" t="str">
        <f aca="false">IF($B1794="","",AQ1794)</f>
        <v/>
      </c>
      <c r="AZ1794" s="35" t="str">
        <f aca="false">IF($B1794="","",AP1794+AT1794/2)</f>
        <v/>
      </c>
      <c r="BA1794" s="35" t="str">
        <f aca="false">IF($B1794="","",AK1794+AN1794+AM1794/2+AO1794+AP1794+AQ1794+AR1794+AS1794+AT1794+AU1794+AV1794+AW1794)</f>
        <v/>
      </c>
      <c r="BB1794" s="35" t="str">
        <f aca="false">IF($B1794="","",MAX(0,AN1794-Settings!$C$16)*Settings!$C$17)</f>
        <v/>
      </c>
      <c r="BC1794" s="35" t="str">
        <f aca="false">IF($B1794="","",BA1794-BB1794)</f>
        <v/>
      </c>
      <c r="BD1794" s="35" t="str">
        <f aca="false">IF(OR($B1794="",$A1794=""),"",DAY(EOMONTH($A1794,0))-COUNTA($F1794:$AJ1794))</f>
        <v/>
      </c>
    </row>
    <row r="1795" customFormat="false" ht="15" hidden="false" customHeight="false" outlineLevel="0" collapsed="false">
      <c r="A1795" s="32"/>
      <c r="B1795" s="29"/>
      <c r="C1795" s="10" t="str">
        <f aca="false">IF($B1795="","",IFERROR(INDEX(M_name,MATCH($B1795,M_emp,0)),"Code not found"))</f>
        <v/>
      </c>
      <c r="D1795" s="10" t="str">
        <f aca="false">IF($B1795="","",IFERROR(INDEX(M_dept,MATCH($B1795,M_emp,0)),""))</f>
        <v/>
      </c>
      <c r="E1795" s="10" t="str">
        <f aca="false">IF($B1795="","",IFERROR(INDEX(M_loc,MATCH($B1795,M_emp,0)),""))</f>
        <v/>
      </c>
      <c r="F1795" s="33"/>
      <c r="G1795" s="33"/>
      <c r="H1795" s="33"/>
      <c r="I1795" s="33"/>
      <c r="J1795" s="33"/>
      <c r="K1795" s="33"/>
      <c r="L1795" s="33"/>
      <c r="M1795" s="33"/>
      <c r="N1795" s="33"/>
      <c r="O1795" s="33"/>
      <c r="P1795" s="33"/>
      <c r="Q1795" s="33"/>
      <c r="R1795" s="33"/>
      <c r="S1795" s="33"/>
      <c r="T1795" s="33"/>
      <c r="U1795" s="33"/>
      <c r="V1795" s="33"/>
      <c r="W1795" s="33"/>
      <c r="X1795" s="33"/>
      <c r="Y1795" s="33"/>
      <c r="Z1795" s="33"/>
      <c r="AA1795" s="33"/>
      <c r="AB1795" s="33"/>
      <c r="AC1795" s="33"/>
      <c r="AD1795" s="33"/>
      <c r="AE1795" s="33"/>
      <c r="AF1795" s="33"/>
      <c r="AG1795" s="33"/>
      <c r="AH1795" s="33"/>
      <c r="AI1795" s="33"/>
      <c r="AJ1795" s="33"/>
      <c r="AK1795" s="34" t="str">
        <f aca="false">IF($B1795="","",COUNTIF($F1795:$AJ1795,"P"))</f>
        <v/>
      </c>
      <c r="AL1795" s="34" t="str">
        <f aca="false">IF($B1795="","",COUNTIF($F1795:$AJ1795,"A"))</f>
        <v/>
      </c>
      <c r="AM1795" s="34" t="str">
        <f aca="false">IF($B1795="","",COUNTIF($F1795:$AJ1795,"HA"))</f>
        <v/>
      </c>
      <c r="AN1795" s="34" t="str">
        <f aca="false">IF($B1795="","",COUNTIF($F1795:$AJ1795,"L"))</f>
        <v/>
      </c>
      <c r="AO1795" s="34" t="str">
        <f aca="false">IF($B1795="","",COUNTIF($F1795:$AJ1795,"PL"))</f>
        <v/>
      </c>
      <c r="AP1795" s="34" t="str">
        <f aca="false">IF($B1795="","",COUNTIF($F1795:$AJ1795,"CL"))</f>
        <v/>
      </c>
      <c r="AQ1795" s="34" t="str">
        <f aca="false">IF($B1795="","",COUNTIF($F1795:$AJ1795,"SL"))</f>
        <v/>
      </c>
      <c r="AR1795" s="34" t="str">
        <f aca="false">IF($B1795="","",COUNTIF($F1795:$AJ1795,"CO"))</f>
        <v/>
      </c>
      <c r="AS1795" s="34" t="str">
        <f aca="false">IF($B1795="","",COUNTIF($F1795:$AJ1795,"HPL"))</f>
        <v/>
      </c>
      <c r="AT1795" s="34" t="str">
        <f aca="false">IF($B1795="","",COUNTIF($F1795:$AJ1795,"HCL"))</f>
        <v/>
      </c>
      <c r="AU1795" s="34" t="str">
        <f aca="false">IF($B1795="","",COUNTIF($F1795:$AJ1795,"WO"))</f>
        <v/>
      </c>
      <c r="AV1795" s="34" t="str">
        <f aca="false">IF($B1795="","",COUNTIF($F1795:$AJ1795,"PH"))</f>
        <v/>
      </c>
      <c r="AW1795" s="34" t="str">
        <f aca="false">IF($B1795="","",COUNTIF($F1795:$AJ1795,"TR"))</f>
        <v/>
      </c>
      <c r="AX1795" s="35" t="str">
        <f aca="false">IF($B1795="","",AO1795+AS1795/2)</f>
        <v/>
      </c>
      <c r="AY1795" s="35" t="str">
        <f aca="false">IF($B1795="","",AQ1795)</f>
        <v/>
      </c>
      <c r="AZ1795" s="35" t="str">
        <f aca="false">IF($B1795="","",AP1795+AT1795/2)</f>
        <v/>
      </c>
      <c r="BA1795" s="35" t="str">
        <f aca="false">IF($B1795="","",AK1795+AN1795+AM1795/2+AO1795+AP1795+AQ1795+AR1795+AS1795+AT1795+AU1795+AV1795+AW1795)</f>
        <v/>
      </c>
      <c r="BB1795" s="35" t="str">
        <f aca="false">IF($B1795="","",MAX(0,AN1795-Settings!$C$16)*Settings!$C$17)</f>
        <v/>
      </c>
      <c r="BC1795" s="35" t="str">
        <f aca="false">IF($B1795="","",BA1795-BB1795)</f>
        <v/>
      </c>
      <c r="BD1795" s="35" t="str">
        <f aca="false">IF(OR($B1795="",$A1795=""),"",DAY(EOMONTH($A1795,0))-COUNTA($F1795:$AJ1795))</f>
        <v/>
      </c>
    </row>
    <row r="1796" customFormat="false" ht="15" hidden="false" customHeight="false" outlineLevel="0" collapsed="false">
      <c r="A1796" s="32"/>
      <c r="B1796" s="29"/>
      <c r="C1796" s="10" t="str">
        <f aca="false">IF($B1796="","",IFERROR(INDEX(M_name,MATCH($B1796,M_emp,0)),"Code not found"))</f>
        <v/>
      </c>
      <c r="D1796" s="10" t="str">
        <f aca="false">IF($B1796="","",IFERROR(INDEX(M_dept,MATCH($B1796,M_emp,0)),""))</f>
        <v/>
      </c>
      <c r="E1796" s="10" t="str">
        <f aca="false">IF($B1796="","",IFERROR(INDEX(M_loc,MATCH($B1796,M_emp,0)),""))</f>
        <v/>
      </c>
      <c r="F1796" s="33"/>
      <c r="G1796" s="33"/>
      <c r="H1796" s="33"/>
      <c r="I1796" s="33"/>
      <c r="J1796" s="33"/>
      <c r="K1796" s="33"/>
      <c r="L1796" s="33"/>
      <c r="M1796" s="33"/>
      <c r="N1796" s="33"/>
      <c r="O1796" s="33"/>
      <c r="P1796" s="33"/>
      <c r="Q1796" s="33"/>
      <c r="R1796" s="33"/>
      <c r="S1796" s="33"/>
      <c r="T1796" s="33"/>
      <c r="U1796" s="33"/>
      <c r="V1796" s="33"/>
      <c r="W1796" s="33"/>
      <c r="X1796" s="33"/>
      <c r="Y1796" s="33"/>
      <c r="Z1796" s="33"/>
      <c r="AA1796" s="33"/>
      <c r="AB1796" s="33"/>
      <c r="AC1796" s="33"/>
      <c r="AD1796" s="33"/>
      <c r="AE1796" s="33"/>
      <c r="AF1796" s="33"/>
      <c r="AG1796" s="33"/>
      <c r="AH1796" s="33"/>
      <c r="AI1796" s="33"/>
      <c r="AJ1796" s="33"/>
      <c r="AK1796" s="34" t="str">
        <f aca="false">IF($B1796="","",COUNTIF($F1796:$AJ1796,"P"))</f>
        <v/>
      </c>
      <c r="AL1796" s="34" t="str">
        <f aca="false">IF($B1796="","",COUNTIF($F1796:$AJ1796,"A"))</f>
        <v/>
      </c>
      <c r="AM1796" s="34" t="str">
        <f aca="false">IF($B1796="","",COUNTIF($F1796:$AJ1796,"HA"))</f>
        <v/>
      </c>
      <c r="AN1796" s="34" t="str">
        <f aca="false">IF($B1796="","",COUNTIF($F1796:$AJ1796,"L"))</f>
        <v/>
      </c>
      <c r="AO1796" s="34" t="str">
        <f aca="false">IF($B1796="","",COUNTIF($F1796:$AJ1796,"PL"))</f>
        <v/>
      </c>
      <c r="AP1796" s="34" t="str">
        <f aca="false">IF($B1796="","",COUNTIF($F1796:$AJ1796,"CL"))</f>
        <v/>
      </c>
      <c r="AQ1796" s="34" t="str">
        <f aca="false">IF($B1796="","",COUNTIF($F1796:$AJ1796,"SL"))</f>
        <v/>
      </c>
      <c r="AR1796" s="34" t="str">
        <f aca="false">IF($B1796="","",COUNTIF($F1796:$AJ1796,"CO"))</f>
        <v/>
      </c>
      <c r="AS1796" s="34" t="str">
        <f aca="false">IF($B1796="","",COUNTIF($F1796:$AJ1796,"HPL"))</f>
        <v/>
      </c>
      <c r="AT1796" s="34" t="str">
        <f aca="false">IF($B1796="","",COUNTIF($F1796:$AJ1796,"HCL"))</f>
        <v/>
      </c>
      <c r="AU1796" s="34" t="str">
        <f aca="false">IF($B1796="","",COUNTIF($F1796:$AJ1796,"WO"))</f>
        <v/>
      </c>
      <c r="AV1796" s="34" t="str">
        <f aca="false">IF($B1796="","",COUNTIF($F1796:$AJ1796,"PH"))</f>
        <v/>
      </c>
      <c r="AW1796" s="34" t="str">
        <f aca="false">IF($B1796="","",COUNTIF($F1796:$AJ1796,"TR"))</f>
        <v/>
      </c>
      <c r="AX1796" s="35" t="str">
        <f aca="false">IF($B1796="","",AO1796+AS1796/2)</f>
        <v/>
      </c>
      <c r="AY1796" s="35" t="str">
        <f aca="false">IF($B1796="","",AQ1796)</f>
        <v/>
      </c>
      <c r="AZ1796" s="35" t="str">
        <f aca="false">IF($B1796="","",AP1796+AT1796/2)</f>
        <v/>
      </c>
      <c r="BA1796" s="35" t="str">
        <f aca="false">IF($B1796="","",AK1796+AN1796+AM1796/2+AO1796+AP1796+AQ1796+AR1796+AS1796+AT1796+AU1796+AV1796+AW1796)</f>
        <v/>
      </c>
      <c r="BB1796" s="35" t="str">
        <f aca="false">IF($B1796="","",MAX(0,AN1796-Settings!$C$16)*Settings!$C$17)</f>
        <v/>
      </c>
      <c r="BC1796" s="35" t="str">
        <f aca="false">IF($B1796="","",BA1796-BB1796)</f>
        <v/>
      </c>
      <c r="BD1796" s="35" t="str">
        <f aca="false">IF(OR($B1796="",$A1796=""),"",DAY(EOMONTH($A1796,0))-COUNTA($F1796:$AJ1796))</f>
        <v/>
      </c>
    </row>
    <row r="1797" customFormat="false" ht="15" hidden="false" customHeight="false" outlineLevel="0" collapsed="false">
      <c r="A1797" s="32"/>
      <c r="B1797" s="29"/>
      <c r="C1797" s="10" t="str">
        <f aca="false">IF($B1797="","",IFERROR(INDEX(M_name,MATCH($B1797,M_emp,0)),"Code not found"))</f>
        <v/>
      </c>
      <c r="D1797" s="10" t="str">
        <f aca="false">IF($B1797="","",IFERROR(INDEX(M_dept,MATCH($B1797,M_emp,0)),""))</f>
        <v/>
      </c>
      <c r="E1797" s="10" t="str">
        <f aca="false">IF($B1797="","",IFERROR(INDEX(M_loc,MATCH($B1797,M_emp,0)),""))</f>
        <v/>
      </c>
      <c r="F1797" s="33"/>
      <c r="G1797" s="33"/>
      <c r="H1797" s="33"/>
      <c r="I1797" s="33"/>
      <c r="J1797" s="33"/>
      <c r="K1797" s="33"/>
      <c r="L1797" s="33"/>
      <c r="M1797" s="33"/>
      <c r="N1797" s="33"/>
      <c r="O1797" s="33"/>
      <c r="P1797" s="33"/>
      <c r="Q1797" s="33"/>
      <c r="R1797" s="33"/>
      <c r="S1797" s="33"/>
      <c r="T1797" s="33"/>
      <c r="U1797" s="33"/>
      <c r="V1797" s="33"/>
      <c r="W1797" s="33"/>
      <c r="X1797" s="33"/>
      <c r="Y1797" s="33"/>
      <c r="Z1797" s="33"/>
      <c r="AA1797" s="33"/>
      <c r="AB1797" s="33"/>
      <c r="AC1797" s="33"/>
      <c r="AD1797" s="33"/>
      <c r="AE1797" s="33"/>
      <c r="AF1797" s="33"/>
      <c r="AG1797" s="33"/>
      <c r="AH1797" s="33"/>
      <c r="AI1797" s="33"/>
      <c r="AJ1797" s="33"/>
      <c r="AK1797" s="34" t="str">
        <f aca="false">IF($B1797="","",COUNTIF($F1797:$AJ1797,"P"))</f>
        <v/>
      </c>
      <c r="AL1797" s="34" t="str">
        <f aca="false">IF($B1797="","",COUNTIF($F1797:$AJ1797,"A"))</f>
        <v/>
      </c>
      <c r="AM1797" s="34" t="str">
        <f aca="false">IF($B1797="","",COUNTIF($F1797:$AJ1797,"HA"))</f>
        <v/>
      </c>
      <c r="AN1797" s="34" t="str">
        <f aca="false">IF($B1797="","",COUNTIF($F1797:$AJ1797,"L"))</f>
        <v/>
      </c>
      <c r="AO1797" s="34" t="str">
        <f aca="false">IF($B1797="","",COUNTIF($F1797:$AJ1797,"PL"))</f>
        <v/>
      </c>
      <c r="AP1797" s="34" t="str">
        <f aca="false">IF($B1797="","",COUNTIF($F1797:$AJ1797,"CL"))</f>
        <v/>
      </c>
      <c r="AQ1797" s="34" t="str">
        <f aca="false">IF($B1797="","",COUNTIF($F1797:$AJ1797,"SL"))</f>
        <v/>
      </c>
      <c r="AR1797" s="34" t="str">
        <f aca="false">IF($B1797="","",COUNTIF($F1797:$AJ1797,"CO"))</f>
        <v/>
      </c>
      <c r="AS1797" s="34" t="str">
        <f aca="false">IF($B1797="","",COUNTIF($F1797:$AJ1797,"HPL"))</f>
        <v/>
      </c>
      <c r="AT1797" s="34" t="str">
        <f aca="false">IF($B1797="","",COUNTIF($F1797:$AJ1797,"HCL"))</f>
        <v/>
      </c>
      <c r="AU1797" s="34" t="str">
        <f aca="false">IF($B1797="","",COUNTIF($F1797:$AJ1797,"WO"))</f>
        <v/>
      </c>
      <c r="AV1797" s="34" t="str">
        <f aca="false">IF($B1797="","",COUNTIF($F1797:$AJ1797,"PH"))</f>
        <v/>
      </c>
      <c r="AW1797" s="34" t="str">
        <f aca="false">IF($B1797="","",COUNTIF($F1797:$AJ1797,"TR"))</f>
        <v/>
      </c>
      <c r="AX1797" s="35" t="str">
        <f aca="false">IF($B1797="","",AO1797+AS1797/2)</f>
        <v/>
      </c>
      <c r="AY1797" s="35" t="str">
        <f aca="false">IF($B1797="","",AQ1797)</f>
        <v/>
      </c>
      <c r="AZ1797" s="35" t="str">
        <f aca="false">IF($B1797="","",AP1797+AT1797/2)</f>
        <v/>
      </c>
      <c r="BA1797" s="35" t="str">
        <f aca="false">IF($B1797="","",AK1797+AN1797+AM1797/2+AO1797+AP1797+AQ1797+AR1797+AS1797+AT1797+AU1797+AV1797+AW1797)</f>
        <v/>
      </c>
      <c r="BB1797" s="35" t="str">
        <f aca="false">IF($B1797="","",MAX(0,AN1797-Settings!$C$16)*Settings!$C$17)</f>
        <v/>
      </c>
      <c r="BC1797" s="35" t="str">
        <f aca="false">IF($B1797="","",BA1797-BB1797)</f>
        <v/>
      </c>
      <c r="BD1797" s="35" t="str">
        <f aca="false">IF(OR($B1797="",$A1797=""),"",DAY(EOMONTH($A1797,0))-COUNTA($F1797:$AJ1797))</f>
        <v/>
      </c>
    </row>
    <row r="1798" customFormat="false" ht="15" hidden="false" customHeight="false" outlineLevel="0" collapsed="false">
      <c r="A1798" s="32"/>
      <c r="B1798" s="29"/>
      <c r="C1798" s="10" t="str">
        <f aca="false">IF($B1798="","",IFERROR(INDEX(M_name,MATCH($B1798,M_emp,0)),"Code not found"))</f>
        <v/>
      </c>
      <c r="D1798" s="10" t="str">
        <f aca="false">IF($B1798="","",IFERROR(INDEX(M_dept,MATCH($B1798,M_emp,0)),""))</f>
        <v/>
      </c>
      <c r="E1798" s="10" t="str">
        <f aca="false">IF($B1798="","",IFERROR(INDEX(M_loc,MATCH($B1798,M_emp,0)),""))</f>
        <v/>
      </c>
      <c r="F1798" s="33"/>
      <c r="G1798" s="33"/>
      <c r="H1798" s="33"/>
      <c r="I1798" s="33"/>
      <c r="J1798" s="33"/>
      <c r="K1798" s="33"/>
      <c r="L1798" s="33"/>
      <c r="M1798" s="33"/>
      <c r="N1798" s="33"/>
      <c r="O1798" s="33"/>
      <c r="P1798" s="33"/>
      <c r="Q1798" s="33"/>
      <c r="R1798" s="33"/>
      <c r="S1798" s="33"/>
      <c r="T1798" s="33"/>
      <c r="U1798" s="33"/>
      <c r="V1798" s="33"/>
      <c r="W1798" s="33"/>
      <c r="X1798" s="33"/>
      <c r="Y1798" s="33"/>
      <c r="Z1798" s="33"/>
      <c r="AA1798" s="33"/>
      <c r="AB1798" s="33"/>
      <c r="AC1798" s="33"/>
      <c r="AD1798" s="33"/>
      <c r="AE1798" s="33"/>
      <c r="AF1798" s="33"/>
      <c r="AG1798" s="33"/>
      <c r="AH1798" s="33"/>
      <c r="AI1798" s="33"/>
      <c r="AJ1798" s="33"/>
      <c r="AK1798" s="34" t="str">
        <f aca="false">IF($B1798="","",COUNTIF($F1798:$AJ1798,"P"))</f>
        <v/>
      </c>
      <c r="AL1798" s="34" t="str">
        <f aca="false">IF($B1798="","",COUNTIF($F1798:$AJ1798,"A"))</f>
        <v/>
      </c>
      <c r="AM1798" s="34" t="str">
        <f aca="false">IF($B1798="","",COUNTIF($F1798:$AJ1798,"HA"))</f>
        <v/>
      </c>
      <c r="AN1798" s="34" t="str">
        <f aca="false">IF($B1798="","",COUNTIF($F1798:$AJ1798,"L"))</f>
        <v/>
      </c>
      <c r="AO1798" s="34" t="str">
        <f aca="false">IF($B1798="","",COUNTIF($F1798:$AJ1798,"PL"))</f>
        <v/>
      </c>
      <c r="AP1798" s="34" t="str">
        <f aca="false">IF($B1798="","",COUNTIF($F1798:$AJ1798,"CL"))</f>
        <v/>
      </c>
      <c r="AQ1798" s="34" t="str">
        <f aca="false">IF($B1798="","",COUNTIF($F1798:$AJ1798,"SL"))</f>
        <v/>
      </c>
      <c r="AR1798" s="34" t="str">
        <f aca="false">IF($B1798="","",COUNTIF($F1798:$AJ1798,"CO"))</f>
        <v/>
      </c>
      <c r="AS1798" s="34" t="str">
        <f aca="false">IF($B1798="","",COUNTIF($F1798:$AJ1798,"HPL"))</f>
        <v/>
      </c>
      <c r="AT1798" s="34" t="str">
        <f aca="false">IF($B1798="","",COUNTIF($F1798:$AJ1798,"HCL"))</f>
        <v/>
      </c>
      <c r="AU1798" s="34" t="str">
        <f aca="false">IF($B1798="","",COUNTIF($F1798:$AJ1798,"WO"))</f>
        <v/>
      </c>
      <c r="AV1798" s="34" t="str">
        <f aca="false">IF($B1798="","",COUNTIF($F1798:$AJ1798,"PH"))</f>
        <v/>
      </c>
      <c r="AW1798" s="34" t="str">
        <f aca="false">IF($B1798="","",COUNTIF($F1798:$AJ1798,"TR"))</f>
        <v/>
      </c>
      <c r="AX1798" s="35" t="str">
        <f aca="false">IF($B1798="","",AO1798+AS1798/2)</f>
        <v/>
      </c>
      <c r="AY1798" s="35" t="str">
        <f aca="false">IF($B1798="","",AQ1798)</f>
        <v/>
      </c>
      <c r="AZ1798" s="35" t="str">
        <f aca="false">IF($B1798="","",AP1798+AT1798/2)</f>
        <v/>
      </c>
      <c r="BA1798" s="35" t="str">
        <f aca="false">IF($B1798="","",AK1798+AN1798+AM1798/2+AO1798+AP1798+AQ1798+AR1798+AS1798+AT1798+AU1798+AV1798+AW1798)</f>
        <v/>
      </c>
      <c r="BB1798" s="35" t="str">
        <f aca="false">IF($B1798="","",MAX(0,AN1798-Settings!$C$16)*Settings!$C$17)</f>
        <v/>
      </c>
      <c r="BC1798" s="35" t="str">
        <f aca="false">IF($B1798="","",BA1798-BB1798)</f>
        <v/>
      </c>
      <c r="BD1798" s="35" t="str">
        <f aca="false">IF(OR($B1798="",$A1798=""),"",DAY(EOMONTH($A1798,0))-COUNTA($F1798:$AJ1798))</f>
        <v/>
      </c>
    </row>
    <row r="1799" customFormat="false" ht="15" hidden="false" customHeight="false" outlineLevel="0" collapsed="false">
      <c r="A1799" s="32"/>
      <c r="B1799" s="29"/>
      <c r="C1799" s="10" t="str">
        <f aca="false">IF($B1799="","",IFERROR(INDEX(M_name,MATCH($B1799,M_emp,0)),"Code not found"))</f>
        <v/>
      </c>
      <c r="D1799" s="10" t="str">
        <f aca="false">IF($B1799="","",IFERROR(INDEX(M_dept,MATCH($B1799,M_emp,0)),""))</f>
        <v/>
      </c>
      <c r="E1799" s="10" t="str">
        <f aca="false">IF($B1799="","",IFERROR(INDEX(M_loc,MATCH($B1799,M_emp,0)),""))</f>
        <v/>
      </c>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c r="AB1799" s="33"/>
      <c r="AC1799" s="33"/>
      <c r="AD1799" s="33"/>
      <c r="AE1799" s="33"/>
      <c r="AF1799" s="33"/>
      <c r="AG1799" s="33"/>
      <c r="AH1799" s="33"/>
      <c r="AI1799" s="33"/>
      <c r="AJ1799" s="33"/>
      <c r="AK1799" s="34" t="str">
        <f aca="false">IF($B1799="","",COUNTIF($F1799:$AJ1799,"P"))</f>
        <v/>
      </c>
      <c r="AL1799" s="34" t="str">
        <f aca="false">IF($B1799="","",COUNTIF($F1799:$AJ1799,"A"))</f>
        <v/>
      </c>
      <c r="AM1799" s="34" t="str">
        <f aca="false">IF($B1799="","",COUNTIF($F1799:$AJ1799,"HA"))</f>
        <v/>
      </c>
      <c r="AN1799" s="34" t="str">
        <f aca="false">IF($B1799="","",COUNTIF($F1799:$AJ1799,"L"))</f>
        <v/>
      </c>
      <c r="AO1799" s="34" t="str">
        <f aca="false">IF($B1799="","",COUNTIF($F1799:$AJ1799,"PL"))</f>
        <v/>
      </c>
      <c r="AP1799" s="34" t="str">
        <f aca="false">IF($B1799="","",COUNTIF($F1799:$AJ1799,"CL"))</f>
        <v/>
      </c>
      <c r="AQ1799" s="34" t="str">
        <f aca="false">IF($B1799="","",COUNTIF($F1799:$AJ1799,"SL"))</f>
        <v/>
      </c>
      <c r="AR1799" s="34" t="str">
        <f aca="false">IF($B1799="","",COUNTIF($F1799:$AJ1799,"CO"))</f>
        <v/>
      </c>
      <c r="AS1799" s="34" t="str">
        <f aca="false">IF($B1799="","",COUNTIF($F1799:$AJ1799,"HPL"))</f>
        <v/>
      </c>
      <c r="AT1799" s="34" t="str">
        <f aca="false">IF($B1799="","",COUNTIF($F1799:$AJ1799,"HCL"))</f>
        <v/>
      </c>
      <c r="AU1799" s="34" t="str">
        <f aca="false">IF($B1799="","",COUNTIF($F1799:$AJ1799,"WO"))</f>
        <v/>
      </c>
      <c r="AV1799" s="34" t="str">
        <f aca="false">IF($B1799="","",COUNTIF($F1799:$AJ1799,"PH"))</f>
        <v/>
      </c>
      <c r="AW1799" s="34" t="str">
        <f aca="false">IF($B1799="","",COUNTIF($F1799:$AJ1799,"TR"))</f>
        <v/>
      </c>
      <c r="AX1799" s="35" t="str">
        <f aca="false">IF($B1799="","",AO1799+AS1799/2)</f>
        <v/>
      </c>
      <c r="AY1799" s="35" t="str">
        <f aca="false">IF($B1799="","",AQ1799)</f>
        <v/>
      </c>
      <c r="AZ1799" s="35" t="str">
        <f aca="false">IF($B1799="","",AP1799+AT1799/2)</f>
        <v/>
      </c>
      <c r="BA1799" s="35" t="str">
        <f aca="false">IF($B1799="","",AK1799+AN1799+AM1799/2+AO1799+AP1799+AQ1799+AR1799+AS1799+AT1799+AU1799+AV1799+AW1799)</f>
        <v/>
      </c>
      <c r="BB1799" s="35" t="str">
        <f aca="false">IF($B1799="","",MAX(0,AN1799-Settings!$C$16)*Settings!$C$17)</f>
        <v/>
      </c>
      <c r="BC1799" s="35" t="str">
        <f aca="false">IF($B1799="","",BA1799-BB1799)</f>
        <v/>
      </c>
      <c r="BD1799" s="35" t="str">
        <f aca="false">IF(OR($B1799="",$A1799=""),"",DAY(EOMONTH($A1799,0))-COUNTA($F1799:$AJ1799))</f>
        <v/>
      </c>
    </row>
    <row r="1800" customFormat="false" ht="15" hidden="false" customHeight="false" outlineLevel="0" collapsed="false">
      <c r="A1800" s="32"/>
      <c r="B1800" s="29"/>
      <c r="C1800" s="10" t="str">
        <f aca="false">IF($B1800="","",IFERROR(INDEX(M_name,MATCH($B1800,M_emp,0)),"Code not found"))</f>
        <v/>
      </c>
      <c r="D1800" s="10" t="str">
        <f aca="false">IF($B1800="","",IFERROR(INDEX(M_dept,MATCH($B1800,M_emp,0)),""))</f>
        <v/>
      </c>
      <c r="E1800" s="10" t="str">
        <f aca="false">IF($B1800="","",IFERROR(INDEX(M_loc,MATCH($B1800,M_emp,0)),""))</f>
        <v/>
      </c>
      <c r="F1800" s="33"/>
      <c r="G1800" s="33"/>
      <c r="H1800" s="33"/>
      <c r="I1800" s="33"/>
      <c r="J1800" s="33"/>
      <c r="K1800" s="33"/>
      <c r="L1800" s="33"/>
      <c r="M1800" s="33"/>
      <c r="N1800" s="33"/>
      <c r="O1800" s="33"/>
      <c r="P1800" s="33"/>
      <c r="Q1800" s="33"/>
      <c r="R1800" s="33"/>
      <c r="S1800" s="33"/>
      <c r="T1800" s="33"/>
      <c r="U1800" s="33"/>
      <c r="V1800" s="33"/>
      <c r="W1800" s="33"/>
      <c r="X1800" s="33"/>
      <c r="Y1800" s="33"/>
      <c r="Z1800" s="33"/>
      <c r="AA1800" s="33"/>
      <c r="AB1800" s="33"/>
      <c r="AC1800" s="33"/>
      <c r="AD1800" s="33"/>
      <c r="AE1800" s="33"/>
      <c r="AF1800" s="33"/>
      <c r="AG1800" s="33"/>
      <c r="AH1800" s="33"/>
      <c r="AI1800" s="33"/>
      <c r="AJ1800" s="33"/>
      <c r="AK1800" s="34" t="str">
        <f aca="false">IF($B1800="","",COUNTIF($F1800:$AJ1800,"P"))</f>
        <v/>
      </c>
      <c r="AL1800" s="34" t="str">
        <f aca="false">IF($B1800="","",COUNTIF($F1800:$AJ1800,"A"))</f>
        <v/>
      </c>
      <c r="AM1800" s="34" t="str">
        <f aca="false">IF($B1800="","",COUNTIF($F1800:$AJ1800,"HA"))</f>
        <v/>
      </c>
      <c r="AN1800" s="34" t="str">
        <f aca="false">IF($B1800="","",COUNTIF($F1800:$AJ1800,"L"))</f>
        <v/>
      </c>
      <c r="AO1800" s="34" t="str">
        <f aca="false">IF($B1800="","",COUNTIF($F1800:$AJ1800,"PL"))</f>
        <v/>
      </c>
      <c r="AP1800" s="34" t="str">
        <f aca="false">IF($B1800="","",COUNTIF($F1800:$AJ1800,"CL"))</f>
        <v/>
      </c>
      <c r="AQ1800" s="34" t="str">
        <f aca="false">IF($B1800="","",COUNTIF($F1800:$AJ1800,"SL"))</f>
        <v/>
      </c>
      <c r="AR1800" s="34" t="str">
        <f aca="false">IF($B1800="","",COUNTIF($F1800:$AJ1800,"CO"))</f>
        <v/>
      </c>
      <c r="AS1800" s="34" t="str">
        <f aca="false">IF($B1800="","",COUNTIF($F1800:$AJ1800,"HPL"))</f>
        <v/>
      </c>
      <c r="AT1800" s="34" t="str">
        <f aca="false">IF($B1800="","",COUNTIF($F1800:$AJ1800,"HCL"))</f>
        <v/>
      </c>
      <c r="AU1800" s="34" t="str">
        <f aca="false">IF($B1800="","",COUNTIF($F1800:$AJ1800,"WO"))</f>
        <v/>
      </c>
      <c r="AV1800" s="34" t="str">
        <f aca="false">IF($B1800="","",COUNTIF($F1800:$AJ1800,"PH"))</f>
        <v/>
      </c>
      <c r="AW1800" s="34" t="str">
        <f aca="false">IF($B1800="","",COUNTIF($F1800:$AJ1800,"TR"))</f>
        <v/>
      </c>
      <c r="AX1800" s="35" t="str">
        <f aca="false">IF($B1800="","",AO1800+AS1800/2)</f>
        <v/>
      </c>
      <c r="AY1800" s="35" t="str">
        <f aca="false">IF($B1800="","",AQ1800)</f>
        <v/>
      </c>
      <c r="AZ1800" s="35" t="str">
        <f aca="false">IF($B1800="","",AP1800+AT1800/2)</f>
        <v/>
      </c>
      <c r="BA1800" s="35" t="str">
        <f aca="false">IF($B1800="","",AK1800+AN1800+AM1800/2+AO1800+AP1800+AQ1800+AR1800+AS1800+AT1800+AU1800+AV1800+AW1800)</f>
        <v/>
      </c>
      <c r="BB1800" s="35" t="str">
        <f aca="false">IF($B1800="","",MAX(0,AN1800-Settings!$C$16)*Settings!$C$17)</f>
        <v/>
      </c>
      <c r="BC1800" s="35" t="str">
        <f aca="false">IF($B1800="","",BA1800-BB1800)</f>
        <v/>
      </c>
      <c r="BD1800" s="35" t="str">
        <f aca="false">IF(OR($B1800="",$A1800=""),"",DAY(EOMONTH($A1800,0))-COUNTA($F1800:$AJ1800))</f>
        <v/>
      </c>
    </row>
    <row r="1801" customFormat="false" ht="15" hidden="false" customHeight="false" outlineLevel="0" collapsed="false">
      <c r="A1801" s="32"/>
      <c r="B1801" s="29"/>
      <c r="C1801" s="10" t="str">
        <f aca="false">IF($B1801="","",IFERROR(INDEX(M_name,MATCH($B1801,M_emp,0)),"Code not found"))</f>
        <v/>
      </c>
      <c r="D1801" s="10" t="str">
        <f aca="false">IF($B1801="","",IFERROR(INDEX(M_dept,MATCH($B1801,M_emp,0)),""))</f>
        <v/>
      </c>
      <c r="E1801" s="10" t="str">
        <f aca="false">IF($B1801="","",IFERROR(INDEX(M_loc,MATCH($B1801,M_emp,0)),""))</f>
        <v/>
      </c>
      <c r="F1801" s="33"/>
      <c r="G1801" s="33"/>
      <c r="H1801" s="33"/>
      <c r="I1801" s="33"/>
      <c r="J1801" s="33"/>
      <c r="K1801" s="33"/>
      <c r="L1801" s="33"/>
      <c r="M1801" s="33"/>
      <c r="N1801" s="33"/>
      <c r="O1801" s="33"/>
      <c r="P1801" s="33"/>
      <c r="Q1801" s="33"/>
      <c r="R1801" s="33"/>
      <c r="S1801" s="33"/>
      <c r="T1801" s="33"/>
      <c r="U1801" s="33"/>
      <c r="V1801" s="33"/>
      <c r="W1801" s="33"/>
      <c r="X1801" s="33"/>
      <c r="Y1801" s="33"/>
      <c r="Z1801" s="33"/>
      <c r="AA1801" s="33"/>
      <c r="AB1801" s="33"/>
      <c r="AC1801" s="33"/>
      <c r="AD1801" s="33"/>
      <c r="AE1801" s="33"/>
      <c r="AF1801" s="33"/>
      <c r="AG1801" s="33"/>
      <c r="AH1801" s="33"/>
      <c r="AI1801" s="33"/>
      <c r="AJ1801" s="33"/>
      <c r="AK1801" s="34" t="str">
        <f aca="false">IF($B1801="","",COUNTIF($F1801:$AJ1801,"P"))</f>
        <v/>
      </c>
      <c r="AL1801" s="34" t="str">
        <f aca="false">IF($B1801="","",COUNTIF($F1801:$AJ1801,"A"))</f>
        <v/>
      </c>
      <c r="AM1801" s="34" t="str">
        <f aca="false">IF($B1801="","",COUNTIF($F1801:$AJ1801,"HA"))</f>
        <v/>
      </c>
      <c r="AN1801" s="34" t="str">
        <f aca="false">IF($B1801="","",COUNTIF($F1801:$AJ1801,"L"))</f>
        <v/>
      </c>
      <c r="AO1801" s="34" t="str">
        <f aca="false">IF($B1801="","",COUNTIF($F1801:$AJ1801,"PL"))</f>
        <v/>
      </c>
      <c r="AP1801" s="34" t="str">
        <f aca="false">IF($B1801="","",COUNTIF($F1801:$AJ1801,"CL"))</f>
        <v/>
      </c>
      <c r="AQ1801" s="34" t="str">
        <f aca="false">IF($B1801="","",COUNTIF($F1801:$AJ1801,"SL"))</f>
        <v/>
      </c>
      <c r="AR1801" s="34" t="str">
        <f aca="false">IF($B1801="","",COUNTIF($F1801:$AJ1801,"CO"))</f>
        <v/>
      </c>
      <c r="AS1801" s="34" t="str">
        <f aca="false">IF($B1801="","",COUNTIF($F1801:$AJ1801,"HPL"))</f>
        <v/>
      </c>
      <c r="AT1801" s="34" t="str">
        <f aca="false">IF($B1801="","",COUNTIF($F1801:$AJ1801,"HCL"))</f>
        <v/>
      </c>
      <c r="AU1801" s="34" t="str">
        <f aca="false">IF($B1801="","",COUNTIF($F1801:$AJ1801,"WO"))</f>
        <v/>
      </c>
      <c r="AV1801" s="34" t="str">
        <f aca="false">IF($B1801="","",COUNTIF($F1801:$AJ1801,"PH"))</f>
        <v/>
      </c>
      <c r="AW1801" s="34" t="str">
        <f aca="false">IF($B1801="","",COUNTIF($F1801:$AJ1801,"TR"))</f>
        <v/>
      </c>
      <c r="AX1801" s="35" t="str">
        <f aca="false">IF($B1801="","",AO1801+AS1801/2)</f>
        <v/>
      </c>
      <c r="AY1801" s="35" t="str">
        <f aca="false">IF($B1801="","",AQ1801)</f>
        <v/>
      </c>
      <c r="AZ1801" s="35" t="str">
        <f aca="false">IF($B1801="","",AP1801+AT1801/2)</f>
        <v/>
      </c>
      <c r="BA1801" s="35" t="str">
        <f aca="false">IF($B1801="","",AK1801+AN1801+AM1801/2+AO1801+AP1801+AQ1801+AR1801+AS1801+AT1801+AU1801+AV1801+AW1801)</f>
        <v/>
      </c>
      <c r="BB1801" s="35" t="str">
        <f aca="false">IF($B1801="","",MAX(0,AN1801-Settings!$C$16)*Settings!$C$17)</f>
        <v/>
      </c>
      <c r="BC1801" s="35" t="str">
        <f aca="false">IF($B1801="","",BA1801-BB1801)</f>
        <v/>
      </c>
      <c r="BD1801" s="35" t="str">
        <f aca="false">IF(OR($B1801="",$A1801=""),"",DAY(EOMONTH($A1801,0))-COUNTA($F1801:$AJ1801))</f>
        <v/>
      </c>
    </row>
    <row r="1802" customFormat="false" ht="15" hidden="false" customHeight="false" outlineLevel="0" collapsed="false">
      <c r="A1802" s="32"/>
      <c r="B1802" s="29"/>
      <c r="C1802" s="10" t="str">
        <f aca="false">IF($B1802="","",IFERROR(INDEX(M_name,MATCH($B1802,M_emp,0)),"Code not found"))</f>
        <v/>
      </c>
      <c r="D1802" s="10" t="str">
        <f aca="false">IF($B1802="","",IFERROR(INDEX(M_dept,MATCH($B1802,M_emp,0)),""))</f>
        <v/>
      </c>
      <c r="E1802" s="10" t="str">
        <f aca="false">IF($B1802="","",IFERROR(INDEX(M_loc,MATCH($B1802,M_emp,0)),""))</f>
        <v/>
      </c>
      <c r="F1802" s="33"/>
      <c r="G1802" s="33"/>
      <c r="H1802" s="33"/>
      <c r="I1802" s="33"/>
      <c r="J1802" s="33"/>
      <c r="K1802" s="33"/>
      <c r="L1802" s="33"/>
      <c r="M1802" s="33"/>
      <c r="N1802" s="33"/>
      <c r="O1802" s="33"/>
      <c r="P1802" s="33"/>
      <c r="Q1802" s="33"/>
      <c r="R1802" s="33"/>
      <c r="S1802" s="33"/>
      <c r="T1802" s="33"/>
      <c r="U1802" s="33"/>
      <c r="V1802" s="33"/>
      <c r="W1802" s="33"/>
      <c r="X1802" s="33"/>
      <c r="Y1802" s="33"/>
      <c r="Z1802" s="33"/>
      <c r="AA1802" s="33"/>
      <c r="AB1802" s="33"/>
      <c r="AC1802" s="33"/>
      <c r="AD1802" s="33"/>
      <c r="AE1802" s="33"/>
      <c r="AF1802" s="33"/>
      <c r="AG1802" s="33"/>
      <c r="AH1802" s="33"/>
      <c r="AI1802" s="33"/>
      <c r="AJ1802" s="33"/>
      <c r="AK1802" s="34" t="str">
        <f aca="false">IF($B1802="","",COUNTIF($F1802:$AJ1802,"P"))</f>
        <v/>
      </c>
      <c r="AL1802" s="34" t="str">
        <f aca="false">IF($B1802="","",COUNTIF($F1802:$AJ1802,"A"))</f>
        <v/>
      </c>
      <c r="AM1802" s="34" t="str">
        <f aca="false">IF($B1802="","",COUNTIF($F1802:$AJ1802,"HA"))</f>
        <v/>
      </c>
      <c r="AN1802" s="34" t="str">
        <f aca="false">IF($B1802="","",COUNTIF($F1802:$AJ1802,"L"))</f>
        <v/>
      </c>
      <c r="AO1802" s="34" t="str">
        <f aca="false">IF($B1802="","",COUNTIF($F1802:$AJ1802,"PL"))</f>
        <v/>
      </c>
      <c r="AP1802" s="34" t="str">
        <f aca="false">IF($B1802="","",COUNTIF($F1802:$AJ1802,"CL"))</f>
        <v/>
      </c>
      <c r="AQ1802" s="34" t="str">
        <f aca="false">IF($B1802="","",COUNTIF($F1802:$AJ1802,"SL"))</f>
        <v/>
      </c>
      <c r="AR1802" s="34" t="str">
        <f aca="false">IF($B1802="","",COUNTIF($F1802:$AJ1802,"CO"))</f>
        <v/>
      </c>
      <c r="AS1802" s="34" t="str">
        <f aca="false">IF($B1802="","",COUNTIF($F1802:$AJ1802,"HPL"))</f>
        <v/>
      </c>
      <c r="AT1802" s="34" t="str">
        <f aca="false">IF($B1802="","",COUNTIF($F1802:$AJ1802,"HCL"))</f>
        <v/>
      </c>
      <c r="AU1802" s="34" t="str">
        <f aca="false">IF($B1802="","",COUNTIF($F1802:$AJ1802,"WO"))</f>
        <v/>
      </c>
      <c r="AV1802" s="34" t="str">
        <f aca="false">IF($B1802="","",COUNTIF($F1802:$AJ1802,"PH"))</f>
        <v/>
      </c>
      <c r="AW1802" s="34" t="str">
        <f aca="false">IF($B1802="","",COUNTIF($F1802:$AJ1802,"TR"))</f>
        <v/>
      </c>
      <c r="AX1802" s="35" t="str">
        <f aca="false">IF($B1802="","",AO1802+AS1802/2)</f>
        <v/>
      </c>
      <c r="AY1802" s="35" t="str">
        <f aca="false">IF($B1802="","",AQ1802)</f>
        <v/>
      </c>
      <c r="AZ1802" s="35" t="str">
        <f aca="false">IF($B1802="","",AP1802+AT1802/2)</f>
        <v/>
      </c>
      <c r="BA1802" s="35" t="str">
        <f aca="false">IF($B1802="","",AK1802+AN1802+AM1802/2+AO1802+AP1802+AQ1802+AR1802+AS1802+AT1802+AU1802+AV1802+AW1802)</f>
        <v/>
      </c>
      <c r="BB1802" s="35" t="str">
        <f aca="false">IF($B1802="","",MAX(0,AN1802-Settings!$C$16)*Settings!$C$17)</f>
        <v/>
      </c>
      <c r="BC1802" s="35" t="str">
        <f aca="false">IF($B1802="","",BA1802-BB1802)</f>
        <v/>
      </c>
      <c r="BD1802" s="35" t="str">
        <f aca="false">IF(OR($B1802="",$A1802=""),"",DAY(EOMONTH($A1802,0))-COUNTA($F1802:$AJ1802))</f>
        <v/>
      </c>
    </row>
    <row r="1803" customFormat="false" ht="15" hidden="false" customHeight="false" outlineLevel="0" collapsed="false">
      <c r="A1803" s="32"/>
      <c r="B1803" s="29"/>
      <c r="C1803" s="10" t="str">
        <f aca="false">IF($B1803="","",IFERROR(INDEX(M_name,MATCH($B1803,M_emp,0)),"Code not found"))</f>
        <v/>
      </c>
      <c r="D1803" s="10" t="str">
        <f aca="false">IF($B1803="","",IFERROR(INDEX(M_dept,MATCH($B1803,M_emp,0)),""))</f>
        <v/>
      </c>
      <c r="E1803" s="10" t="str">
        <f aca="false">IF($B1803="","",IFERROR(INDEX(M_loc,MATCH($B1803,M_emp,0)),""))</f>
        <v/>
      </c>
      <c r="F1803" s="33"/>
      <c r="G1803" s="33"/>
      <c r="H1803" s="33"/>
      <c r="I1803" s="33"/>
      <c r="J1803" s="33"/>
      <c r="K1803" s="33"/>
      <c r="L1803" s="33"/>
      <c r="M1803" s="33"/>
      <c r="N1803" s="33"/>
      <c r="O1803" s="33"/>
      <c r="P1803" s="33"/>
      <c r="Q1803" s="33"/>
      <c r="R1803" s="33"/>
      <c r="S1803" s="33"/>
      <c r="T1803" s="33"/>
      <c r="U1803" s="33"/>
      <c r="V1803" s="33"/>
      <c r="W1803" s="33"/>
      <c r="X1803" s="33"/>
      <c r="Y1803" s="33"/>
      <c r="Z1803" s="33"/>
      <c r="AA1803" s="33"/>
      <c r="AB1803" s="33"/>
      <c r="AC1803" s="33"/>
      <c r="AD1803" s="33"/>
      <c r="AE1803" s="33"/>
      <c r="AF1803" s="33"/>
      <c r="AG1803" s="33"/>
      <c r="AH1803" s="33"/>
      <c r="AI1803" s="33"/>
      <c r="AJ1803" s="33"/>
      <c r="AK1803" s="34" t="str">
        <f aca="false">IF($B1803="","",COUNTIF($F1803:$AJ1803,"P"))</f>
        <v/>
      </c>
      <c r="AL1803" s="34" t="str">
        <f aca="false">IF($B1803="","",COUNTIF($F1803:$AJ1803,"A"))</f>
        <v/>
      </c>
      <c r="AM1803" s="34" t="str">
        <f aca="false">IF($B1803="","",COUNTIF($F1803:$AJ1803,"HA"))</f>
        <v/>
      </c>
      <c r="AN1803" s="34" t="str">
        <f aca="false">IF($B1803="","",COUNTIF($F1803:$AJ1803,"L"))</f>
        <v/>
      </c>
      <c r="AO1803" s="34" t="str">
        <f aca="false">IF($B1803="","",COUNTIF($F1803:$AJ1803,"PL"))</f>
        <v/>
      </c>
      <c r="AP1803" s="34" t="str">
        <f aca="false">IF($B1803="","",COUNTIF($F1803:$AJ1803,"CL"))</f>
        <v/>
      </c>
      <c r="AQ1803" s="34" t="str">
        <f aca="false">IF($B1803="","",COUNTIF($F1803:$AJ1803,"SL"))</f>
        <v/>
      </c>
      <c r="AR1803" s="34" t="str">
        <f aca="false">IF($B1803="","",COUNTIF($F1803:$AJ1803,"CO"))</f>
        <v/>
      </c>
      <c r="AS1803" s="34" t="str">
        <f aca="false">IF($B1803="","",COUNTIF($F1803:$AJ1803,"HPL"))</f>
        <v/>
      </c>
      <c r="AT1803" s="34" t="str">
        <f aca="false">IF($B1803="","",COUNTIF($F1803:$AJ1803,"HCL"))</f>
        <v/>
      </c>
      <c r="AU1803" s="34" t="str">
        <f aca="false">IF($B1803="","",COUNTIF($F1803:$AJ1803,"WO"))</f>
        <v/>
      </c>
      <c r="AV1803" s="34" t="str">
        <f aca="false">IF($B1803="","",COUNTIF($F1803:$AJ1803,"PH"))</f>
        <v/>
      </c>
      <c r="AW1803" s="34" t="str">
        <f aca="false">IF($B1803="","",COUNTIF($F1803:$AJ1803,"TR"))</f>
        <v/>
      </c>
      <c r="AX1803" s="35" t="str">
        <f aca="false">IF($B1803="","",AO1803+AS1803/2)</f>
        <v/>
      </c>
      <c r="AY1803" s="35" t="str">
        <f aca="false">IF($B1803="","",AQ1803)</f>
        <v/>
      </c>
      <c r="AZ1803" s="35" t="str">
        <f aca="false">IF($B1803="","",AP1803+AT1803/2)</f>
        <v/>
      </c>
      <c r="BA1803" s="35" t="str">
        <f aca="false">IF($B1803="","",AK1803+AN1803+AM1803/2+AO1803+AP1803+AQ1803+AR1803+AS1803+AT1803+AU1803+AV1803+AW1803)</f>
        <v/>
      </c>
      <c r="BB1803" s="35" t="str">
        <f aca="false">IF($B1803="","",MAX(0,AN1803-Settings!$C$16)*Settings!$C$17)</f>
        <v/>
      </c>
      <c r="BC1803" s="35" t="str">
        <f aca="false">IF($B1803="","",BA1803-BB1803)</f>
        <v/>
      </c>
      <c r="BD1803" s="35" t="str">
        <f aca="false">IF(OR($B1803="",$A1803=""),"",DAY(EOMONTH($A1803,0))-COUNTA($F1803:$AJ1803))</f>
        <v/>
      </c>
    </row>
    <row r="1804" customFormat="false" ht="15" hidden="false" customHeight="false" outlineLevel="0" collapsed="false">
      <c r="A1804" s="32"/>
      <c r="B1804" s="29"/>
      <c r="C1804" s="10" t="str">
        <f aca="false">IF($B1804="","",IFERROR(INDEX(M_name,MATCH($B1804,M_emp,0)),"Code not found"))</f>
        <v/>
      </c>
      <c r="D1804" s="10" t="str">
        <f aca="false">IF($B1804="","",IFERROR(INDEX(M_dept,MATCH($B1804,M_emp,0)),""))</f>
        <v/>
      </c>
      <c r="E1804" s="10" t="str">
        <f aca="false">IF($B1804="","",IFERROR(INDEX(M_loc,MATCH($B1804,M_emp,0)),""))</f>
        <v/>
      </c>
      <c r="F1804" s="33"/>
      <c r="G1804" s="33"/>
      <c r="H1804" s="33"/>
      <c r="I1804" s="33"/>
      <c r="J1804" s="33"/>
      <c r="K1804" s="33"/>
      <c r="L1804" s="33"/>
      <c r="M1804" s="33"/>
      <c r="N1804" s="33"/>
      <c r="O1804" s="33"/>
      <c r="P1804" s="33"/>
      <c r="Q1804" s="33"/>
      <c r="R1804" s="33"/>
      <c r="S1804" s="33"/>
      <c r="T1804" s="33"/>
      <c r="U1804" s="33"/>
      <c r="V1804" s="33"/>
      <c r="W1804" s="33"/>
      <c r="X1804" s="33"/>
      <c r="Y1804" s="33"/>
      <c r="Z1804" s="33"/>
      <c r="AA1804" s="33"/>
      <c r="AB1804" s="33"/>
      <c r="AC1804" s="33"/>
      <c r="AD1804" s="33"/>
      <c r="AE1804" s="33"/>
      <c r="AF1804" s="33"/>
      <c r="AG1804" s="33"/>
      <c r="AH1804" s="33"/>
      <c r="AI1804" s="33"/>
      <c r="AJ1804" s="33"/>
      <c r="AK1804" s="34" t="str">
        <f aca="false">IF($B1804="","",COUNTIF($F1804:$AJ1804,"P"))</f>
        <v/>
      </c>
      <c r="AL1804" s="34" t="str">
        <f aca="false">IF($B1804="","",COUNTIF($F1804:$AJ1804,"A"))</f>
        <v/>
      </c>
      <c r="AM1804" s="34" t="str">
        <f aca="false">IF($B1804="","",COUNTIF($F1804:$AJ1804,"HA"))</f>
        <v/>
      </c>
      <c r="AN1804" s="34" t="str">
        <f aca="false">IF($B1804="","",COUNTIF($F1804:$AJ1804,"L"))</f>
        <v/>
      </c>
      <c r="AO1804" s="34" t="str">
        <f aca="false">IF($B1804="","",COUNTIF($F1804:$AJ1804,"PL"))</f>
        <v/>
      </c>
      <c r="AP1804" s="34" t="str">
        <f aca="false">IF($B1804="","",COUNTIF($F1804:$AJ1804,"CL"))</f>
        <v/>
      </c>
      <c r="AQ1804" s="34" t="str">
        <f aca="false">IF($B1804="","",COUNTIF($F1804:$AJ1804,"SL"))</f>
        <v/>
      </c>
      <c r="AR1804" s="34" t="str">
        <f aca="false">IF($B1804="","",COUNTIF($F1804:$AJ1804,"CO"))</f>
        <v/>
      </c>
      <c r="AS1804" s="34" t="str">
        <f aca="false">IF($B1804="","",COUNTIF($F1804:$AJ1804,"HPL"))</f>
        <v/>
      </c>
      <c r="AT1804" s="34" t="str">
        <f aca="false">IF($B1804="","",COUNTIF($F1804:$AJ1804,"HCL"))</f>
        <v/>
      </c>
      <c r="AU1804" s="34" t="str">
        <f aca="false">IF($B1804="","",COUNTIF($F1804:$AJ1804,"WO"))</f>
        <v/>
      </c>
      <c r="AV1804" s="34" t="str">
        <f aca="false">IF($B1804="","",COUNTIF($F1804:$AJ1804,"PH"))</f>
        <v/>
      </c>
      <c r="AW1804" s="34" t="str">
        <f aca="false">IF($B1804="","",COUNTIF($F1804:$AJ1804,"TR"))</f>
        <v/>
      </c>
      <c r="AX1804" s="35" t="str">
        <f aca="false">IF($B1804="","",AO1804+AS1804/2)</f>
        <v/>
      </c>
      <c r="AY1804" s="35" t="str">
        <f aca="false">IF($B1804="","",AQ1804)</f>
        <v/>
      </c>
      <c r="AZ1804" s="35" t="str">
        <f aca="false">IF($B1804="","",AP1804+AT1804/2)</f>
        <v/>
      </c>
      <c r="BA1804" s="35" t="str">
        <f aca="false">IF($B1804="","",AK1804+AN1804+AM1804/2+AO1804+AP1804+AQ1804+AR1804+AS1804+AT1804+AU1804+AV1804+AW1804)</f>
        <v/>
      </c>
      <c r="BB1804" s="35" t="str">
        <f aca="false">IF($B1804="","",MAX(0,AN1804-Settings!$C$16)*Settings!$C$17)</f>
        <v/>
      </c>
      <c r="BC1804" s="35" t="str">
        <f aca="false">IF($B1804="","",BA1804-BB1804)</f>
        <v/>
      </c>
      <c r="BD1804" s="35" t="str">
        <f aca="false">IF(OR($B1804="",$A1804=""),"",DAY(EOMONTH($A1804,0))-COUNTA($F1804:$AJ1804))</f>
        <v/>
      </c>
    </row>
    <row r="1805" customFormat="false" ht="15" hidden="false" customHeight="false" outlineLevel="0" collapsed="false">
      <c r="A1805" s="32"/>
      <c r="B1805" s="29"/>
      <c r="C1805" s="10" t="str">
        <f aca="false">IF($B1805="","",IFERROR(INDEX(M_name,MATCH($B1805,M_emp,0)),"Code not found"))</f>
        <v/>
      </c>
      <c r="D1805" s="10" t="str">
        <f aca="false">IF($B1805="","",IFERROR(INDEX(M_dept,MATCH($B1805,M_emp,0)),""))</f>
        <v/>
      </c>
      <c r="E1805" s="10" t="str">
        <f aca="false">IF($B1805="","",IFERROR(INDEX(M_loc,MATCH($B1805,M_emp,0)),""))</f>
        <v/>
      </c>
      <c r="F1805" s="33"/>
      <c r="G1805" s="33"/>
      <c r="H1805" s="33"/>
      <c r="I1805" s="33"/>
      <c r="J1805" s="33"/>
      <c r="K1805" s="33"/>
      <c r="L1805" s="33"/>
      <c r="M1805" s="33"/>
      <c r="N1805" s="33"/>
      <c r="O1805" s="33"/>
      <c r="P1805" s="33"/>
      <c r="Q1805" s="33"/>
      <c r="R1805" s="33"/>
      <c r="S1805" s="33"/>
      <c r="T1805" s="33"/>
      <c r="U1805" s="33"/>
      <c r="V1805" s="33"/>
      <c r="W1805" s="33"/>
      <c r="X1805" s="33"/>
      <c r="Y1805" s="33"/>
      <c r="Z1805" s="33"/>
      <c r="AA1805" s="33"/>
      <c r="AB1805" s="33"/>
      <c r="AC1805" s="33"/>
      <c r="AD1805" s="33"/>
      <c r="AE1805" s="33"/>
      <c r="AF1805" s="33"/>
      <c r="AG1805" s="33"/>
      <c r="AH1805" s="33"/>
      <c r="AI1805" s="33"/>
      <c r="AJ1805" s="33"/>
      <c r="AK1805" s="34" t="str">
        <f aca="false">IF($B1805="","",COUNTIF($F1805:$AJ1805,"P"))</f>
        <v/>
      </c>
      <c r="AL1805" s="34" t="str">
        <f aca="false">IF($B1805="","",COUNTIF($F1805:$AJ1805,"A"))</f>
        <v/>
      </c>
      <c r="AM1805" s="34" t="str">
        <f aca="false">IF($B1805="","",COUNTIF($F1805:$AJ1805,"HA"))</f>
        <v/>
      </c>
      <c r="AN1805" s="34" t="str">
        <f aca="false">IF($B1805="","",COUNTIF($F1805:$AJ1805,"L"))</f>
        <v/>
      </c>
      <c r="AO1805" s="34" t="str">
        <f aca="false">IF($B1805="","",COUNTIF($F1805:$AJ1805,"PL"))</f>
        <v/>
      </c>
      <c r="AP1805" s="34" t="str">
        <f aca="false">IF($B1805="","",COUNTIF($F1805:$AJ1805,"CL"))</f>
        <v/>
      </c>
      <c r="AQ1805" s="34" t="str">
        <f aca="false">IF($B1805="","",COUNTIF($F1805:$AJ1805,"SL"))</f>
        <v/>
      </c>
      <c r="AR1805" s="34" t="str">
        <f aca="false">IF($B1805="","",COUNTIF($F1805:$AJ1805,"CO"))</f>
        <v/>
      </c>
      <c r="AS1805" s="34" t="str">
        <f aca="false">IF($B1805="","",COUNTIF($F1805:$AJ1805,"HPL"))</f>
        <v/>
      </c>
      <c r="AT1805" s="34" t="str">
        <f aca="false">IF($B1805="","",COUNTIF($F1805:$AJ1805,"HCL"))</f>
        <v/>
      </c>
      <c r="AU1805" s="34" t="str">
        <f aca="false">IF($B1805="","",COUNTIF($F1805:$AJ1805,"WO"))</f>
        <v/>
      </c>
      <c r="AV1805" s="34" t="str">
        <f aca="false">IF($B1805="","",COUNTIF($F1805:$AJ1805,"PH"))</f>
        <v/>
      </c>
      <c r="AW1805" s="34" t="str">
        <f aca="false">IF($B1805="","",COUNTIF($F1805:$AJ1805,"TR"))</f>
        <v/>
      </c>
      <c r="AX1805" s="35" t="str">
        <f aca="false">IF($B1805="","",AO1805+AS1805/2)</f>
        <v/>
      </c>
      <c r="AY1805" s="35" t="str">
        <f aca="false">IF($B1805="","",AQ1805)</f>
        <v/>
      </c>
      <c r="AZ1805" s="35" t="str">
        <f aca="false">IF($B1805="","",AP1805+AT1805/2)</f>
        <v/>
      </c>
      <c r="BA1805" s="35" t="str">
        <f aca="false">IF($B1805="","",AK1805+AN1805+AM1805/2+AO1805+AP1805+AQ1805+AR1805+AS1805+AT1805+AU1805+AV1805+AW1805)</f>
        <v/>
      </c>
      <c r="BB1805" s="35" t="str">
        <f aca="false">IF($B1805="","",MAX(0,AN1805-Settings!$C$16)*Settings!$C$17)</f>
        <v/>
      </c>
      <c r="BC1805" s="35" t="str">
        <f aca="false">IF($B1805="","",BA1805-BB1805)</f>
        <v/>
      </c>
      <c r="BD1805" s="35" t="str">
        <f aca="false">IF(OR($B1805="",$A1805=""),"",DAY(EOMONTH($A1805,0))-COUNTA($F1805:$AJ1805))</f>
        <v/>
      </c>
    </row>
    <row r="1806" customFormat="false" ht="15" hidden="false" customHeight="false" outlineLevel="0" collapsed="false">
      <c r="A1806" s="32"/>
      <c r="B1806" s="29"/>
      <c r="C1806" s="10" t="str">
        <f aca="false">IF($B1806="","",IFERROR(INDEX(M_name,MATCH($B1806,M_emp,0)),"Code not found"))</f>
        <v/>
      </c>
      <c r="D1806" s="10" t="str">
        <f aca="false">IF($B1806="","",IFERROR(INDEX(M_dept,MATCH($B1806,M_emp,0)),""))</f>
        <v/>
      </c>
      <c r="E1806" s="10" t="str">
        <f aca="false">IF($B1806="","",IFERROR(INDEX(M_loc,MATCH($B1806,M_emp,0)),""))</f>
        <v/>
      </c>
      <c r="F1806" s="33"/>
      <c r="G1806" s="33"/>
      <c r="H1806" s="33"/>
      <c r="I1806" s="33"/>
      <c r="J1806" s="33"/>
      <c r="K1806" s="33"/>
      <c r="L1806" s="33"/>
      <c r="M1806" s="33"/>
      <c r="N1806" s="33"/>
      <c r="O1806" s="33"/>
      <c r="P1806" s="33"/>
      <c r="Q1806" s="33"/>
      <c r="R1806" s="33"/>
      <c r="S1806" s="33"/>
      <c r="T1806" s="33"/>
      <c r="U1806" s="33"/>
      <c r="V1806" s="33"/>
      <c r="W1806" s="33"/>
      <c r="X1806" s="33"/>
      <c r="Y1806" s="33"/>
      <c r="Z1806" s="33"/>
      <c r="AA1806" s="33"/>
      <c r="AB1806" s="33"/>
      <c r="AC1806" s="33"/>
      <c r="AD1806" s="33"/>
      <c r="AE1806" s="33"/>
      <c r="AF1806" s="33"/>
      <c r="AG1806" s="33"/>
      <c r="AH1806" s="33"/>
      <c r="AI1806" s="33"/>
      <c r="AJ1806" s="33"/>
      <c r="AK1806" s="34" t="str">
        <f aca="false">IF($B1806="","",COUNTIF($F1806:$AJ1806,"P"))</f>
        <v/>
      </c>
      <c r="AL1806" s="34" t="str">
        <f aca="false">IF($B1806="","",COUNTIF($F1806:$AJ1806,"A"))</f>
        <v/>
      </c>
      <c r="AM1806" s="34" t="str">
        <f aca="false">IF($B1806="","",COUNTIF($F1806:$AJ1806,"HA"))</f>
        <v/>
      </c>
      <c r="AN1806" s="34" t="str">
        <f aca="false">IF($B1806="","",COUNTIF($F1806:$AJ1806,"L"))</f>
        <v/>
      </c>
      <c r="AO1806" s="34" t="str">
        <f aca="false">IF($B1806="","",COUNTIF($F1806:$AJ1806,"PL"))</f>
        <v/>
      </c>
      <c r="AP1806" s="34" t="str">
        <f aca="false">IF($B1806="","",COUNTIF($F1806:$AJ1806,"CL"))</f>
        <v/>
      </c>
      <c r="AQ1806" s="34" t="str">
        <f aca="false">IF($B1806="","",COUNTIF($F1806:$AJ1806,"SL"))</f>
        <v/>
      </c>
      <c r="AR1806" s="34" t="str">
        <f aca="false">IF($B1806="","",COUNTIF($F1806:$AJ1806,"CO"))</f>
        <v/>
      </c>
      <c r="AS1806" s="34" t="str">
        <f aca="false">IF($B1806="","",COUNTIF($F1806:$AJ1806,"HPL"))</f>
        <v/>
      </c>
      <c r="AT1806" s="34" t="str">
        <f aca="false">IF($B1806="","",COUNTIF($F1806:$AJ1806,"HCL"))</f>
        <v/>
      </c>
      <c r="AU1806" s="34" t="str">
        <f aca="false">IF($B1806="","",COUNTIF($F1806:$AJ1806,"WO"))</f>
        <v/>
      </c>
      <c r="AV1806" s="34" t="str">
        <f aca="false">IF($B1806="","",COUNTIF($F1806:$AJ1806,"PH"))</f>
        <v/>
      </c>
      <c r="AW1806" s="34" t="str">
        <f aca="false">IF($B1806="","",COUNTIF($F1806:$AJ1806,"TR"))</f>
        <v/>
      </c>
      <c r="AX1806" s="35" t="str">
        <f aca="false">IF($B1806="","",AO1806+AS1806/2)</f>
        <v/>
      </c>
      <c r="AY1806" s="35" t="str">
        <f aca="false">IF($B1806="","",AQ1806)</f>
        <v/>
      </c>
      <c r="AZ1806" s="35" t="str">
        <f aca="false">IF($B1806="","",AP1806+AT1806/2)</f>
        <v/>
      </c>
      <c r="BA1806" s="35" t="str">
        <f aca="false">IF($B1806="","",AK1806+AN1806+AM1806/2+AO1806+AP1806+AQ1806+AR1806+AS1806+AT1806+AU1806+AV1806+AW1806)</f>
        <v/>
      </c>
      <c r="BB1806" s="35" t="str">
        <f aca="false">IF($B1806="","",MAX(0,AN1806-Settings!$C$16)*Settings!$C$17)</f>
        <v/>
      </c>
      <c r="BC1806" s="35" t="str">
        <f aca="false">IF($B1806="","",BA1806-BB1806)</f>
        <v/>
      </c>
      <c r="BD1806" s="35" t="str">
        <f aca="false">IF(OR($B1806="",$A1806=""),"",DAY(EOMONTH($A1806,0))-COUNTA($F1806:$AJ1806))</f>
        <v/>
      </c>
    </row>
    <row r="1807" customFormat="false" ht="15" hidden="false" customHeight="false" outlineLevel="0" collapsed="false">
      <c r="A1807" s="32"/>
      <c r="B1807" s="29"/>
      <c r="C1807" s="10" t="str">
        <f aca="false">IF($B1807="","",IFERROR(INDEX(M_name,MATCH($B1807,M_emp,0)),"Code not found"))</f>
        <v/>
      </c>
      <c r="D1807" s="10" t="str">
        <f aca="false">IF($B1807="","",IFERROR(INDEX(M_dept,MATCH($B1807,M_emp,0)),""))</f>
        <v/>
      </c>
      <c r="E1807" s="10" t="str">
        <f aca="false">IF($B1807="","",IFERROR(INDEX(M_loc,MATCH($B1807,M_emp,0)),""))</f>
        <v/>
      </c>
      <c r="F1807" s="33"/>
      <c r="G1807" s="33"/>
      <c r="H1807" s="33"/>
      <c r="I1807" s="33"/>
      <c r="J1807" s="33"/>
      <c r="K1807" s="33"/>
      <c r="L1807" s="33"/>
      <c r="M1807" s="33"/>
      <c r="N1807" s="33"/>
      <c r="O1807" s="33"/>
      <c r="P1807" s="33"/>
      <c r="Q1807" s="33"/>
      <c r="R1807" s="33"/>
      <c r="S1807" s="33"/>
      <c r="T1807" s="33"/>
      <c r="U1807" s="33"/>
      <c r="V1807" s="33"/>
      <c r="W1807" s="33"/>
      <c r="X1807" s="33"/>
      <c r="Y1807" s="33"/>
      <c r="Z1807" s="33"/>
      <c r="AA1807" s="33"/>
      <c r="AB1807" s="33"/>
      <c r="AC1807" s="33"/>
      <c r="AD1807" s="33"/>
      <c r="AE1807" s="33"/>
      <c r="AF1807" s="33"/>
      <c r="AG1807" s="33"/>
      <c r="AH1807" s="33"/>
      <c r="AI1807" s="33"/>
      <c r="AJ1807" s="33"/>
      <c r="AK1807" s="34" t="str">
        <f aca="false">IF($B1807="","",COUNTIF($F1807:$AJ1807,"P"))</f>
        <v/>
      </c>
      <c r="AL1807" s="34" t="str">
        <f aca="false">IF($B1807="","",COUNTIF($F1807:$AJ1807,"A"))</f>
        <v/>
      </c>
      <c r="AM1807" s="34" t="str">
        <f aca="false">IF($B1807="","",COUNTIF($F1807:$AJ1807,"HA"))</f>
        <v/>
      </c>
      <c r="AN1807" s="34" t="str">
        <f aca="false">IF($B1807="","",COUNTIF($F1807:$AJ1807,"L"))</f>
        <v/>
      </c>
      <c r="AO1807" s="34" t="str">
        <f aca="false">IF($B1807="","",COUNTIF($F1807:$AJ1807,"PL"))</f>
        <v/>
      </c>
      <c r="AP1807" s="34" t="str">
        <f aca="false">IF($B1807="","",COUNTIF($F1807:$AJ1807,"CL"))</f>
        <v/>
      </c>
      <c r="AQ1807" s="34" t="str">
        <f aca="false">IF($B1807="","",COUNTIF($F1807:$AJ1807,"SL"))</f>
        <v/>
      </c>
      <c r="AR1807" s="34" t="str">
        <f aca="false">IF($B1807="","",COUNTIF($F1807:$AJ1807,"CO"))</f>
        <v/>
      </c>
      <c r="AS1807" s="34" t="str">
        <f aca="false">IF($B1807="","",COUNTIF($F1807:$AJ1807,"HPL"))</f>
        <v/>
      </c>
      <c r="AT1807" s="34" t="str">
        <f aca="false">IF($B1807="","",COUNTIF($F1807:$AJ1807,"HCL"))</f>
        <v/>
      </c>
      <c r="AU1807" s="34" t="str">
        <f aca="false">IF($B1807="","",COUNTIF($F1807:$AJ1807,"WO"))</f>
        <v/>
      </c>
      <c r="AV1807" s="34" t="str">
        <f aca="false">IF($B1807="","",COUNTIF($F1807:$AJ1807,"PH"))</f>
        <v/>
      </c>
      <c r="AW1807" s="34" t="str">
        <f aca="false">IF($B1807="","",COUNTIF($F1807:$AJ1807,"TR"))</f>
        <v/>
      </c>
      <c r="AX1807" s="35" t="str">
        <f aca="false">IF($B1807="","",AO1807+AS1807/2)</f>
        <v/>
      </c>
      <c r="AY1807" s="35" t="str">
        <f aca="false">IF($B1807="","",AQ1807)</f>
        <v/>
      </c>
      <c r="AZ1807" s="35" t="str">
        <f aca="false">IF($B1807="","",AP1807+AT1807/2)</f>
        <v/>
      </c>
      <c r="BA1807" s="35" t="str">
        <f aca="false">IF($B1807="","",AK1807+AN1807+AM1807/2+AO1807+AP1807+AQ1807+AR1807+AS1807+AT1807+AU1807+AV1807+AW1807)</f>
        <v/>
      </c>
      <c r="BB1807" s="35" t="str">
        <f aca="false">IF($B1807="","",MAX(0,AN1807-Settings!$C$16)*Settings!$C$17)</f>
        <v/>
      </c>
      <c r="BC1807" s="35" t="str">
        <f aca="false">IF($B1807="","",BA1807-BB1807)</f>
        <v/>
      </c>
      <c r="BD1807" s="35" t="str">
        <f aca="false">IF(OR($B1807="",$A1807=""),"",DAY(EOMONTH($A1807,0))-COUNTA($F1807:$AJ1807))</f>
        <v/>
      </c>
    </row>
    <row r="1808" customFormat="false" ht="15" hidden="false" customHeight="false" outlineLevel="0" collapsed="false">
      <c r="A1808" s="32"/>
      <c r="B1808" s="29"/>
      <c r="C1808" s="10" t="str">
        <f aca="false">IF($B1808="","",IFERROR(INDEX(M_name,MATCH($B1808,M_emp,0)),"Code not found"))</f>
        <v/>
      </c>
      <c r="D1808" s="10" t="str">
        <f aca="false">IF($B1808="","",IFERROR(INDEX(M_dept,MATCH($B1808,M_emp,0)),""))</f>
        <v/>
      </c>
      <c r="E1808" s="10" t="str">
        <f aca="false">IF($B1808="","",IFERROR(INDEX(M_loc,MATCH($B1808,M_emp,0)),""))</f>
        <v/>
      </c>
      <c r="F1808" s="33"/>
      <c r="G1808" s="33"/>
      <c r="H1808" s="33"/>
      <c r="I1808" s="33"/>
      <c r="J1808" s="33"/>
      <c r="K1808" s="33"/>
      <c r="L1808" s="33"/>
      <c r="M1808" s="33"/>
      <c r="N1808" s="33"/>
      <c r="O1808" s="33"/>
      <c r="P1808" s="33"/>
      <c r="Q1808" s="33"/>
      <c r="R1808" s="33"/>
      <c r="S1808" s="33"/>
      <c r="T1808" s="33"/>
      <c r="U1808" s="33"/>
      <c r="V1808" s="33"/>
      <c r="W1808" s="33"/>
      <c r="X1808" s="33"/>
      <c r="Y1808" s="33"/>
      <c r="Z1808" s="33"/>
      <c r="AA1808" s="33"/>
      <c r="AB1808" s="33"/>
      <c r="AC1808" s="33"/>
      <c r="AD1808" s="33"/>
      <c r="AE1808" s="33"/>
      <c r="AF1808" s="33"/>
      <c r="AG1808" s="33"/>
      <c r="AH1808" s="33"/>
      <c r="AI1808" s="33"/>
      <c r="AJ1808" s="33"/>
      <c r="AK1808" s="34" t="str">
        <f aca="false">IF($B1808="","",COUNTIF($F1808:$AJ1808,"P"))</f>
        <v/>
      </c>
      <c r="AL1808" s="34" t="str">
        <f aca="false">IF($B1808="","",COUNTIF($F1808:$AJ1808,"A"))</f>
        <v/>
      </c>
      <c r="AM1808" s="34" t="str">
        <f aca="false">IF($B1808="","",COUNTIF($F1808:$AJ1808,"HA"))</f>
        <v/>
      </c>
      <c r="AN1808" s="34" t="str">
        <f aca="false">IF($B1808="","",COUNTIF($F1808:$AJ1808,"L"))</f>
        <v/>
      </c>
      <c r="AO1808" s="34" t="str">
        <f aca="false">IF($B1808="","",COUNTIF($F1808:$AJ1808,"PL"))</f>
        <v/>
      </c>
      <c r="AP1808" s="34" t="str">
        <f aca="false">IF($B1808="","",COUNTIF($F1808:$AJ1808,"CL"))</f>
        <v/>
      </c>
      <c r="AQ1808" s="34" t="str">
        <f aca="false">IF($B1808="","",COUNTIF($F1808:$AJ1808,"SL"))</f>
        <v/>
      </c>
      <c r="AR1808" s="34" t="str">
        <f aca="false">IF($B1808="","",COUNTIF($F1808:$AJ1808,"CO"))</f>
        <v/>
      </c>
      <c r="AS1808" s="34" t="str">
        <f aca="false">IF($B1808="","",COUNTIF($F1808:$AJ1808,"HPL"))</f>
        <v/>
      </c>
      <c r="AT1808" s="34" t="str">
        <f aca="false">IF($B1808="","",COUNTIF($F1808:$AJ1808,"HCL"))</f>
        <v/>
      </c>
      <c r="AU1808" s="34" t="str">
        <f aca="false">IF($B1808="","",COUNTIF($F1808:$AJ1808,"WO"))</f>
        <v/>
      </c>
      <c r="AV1808" s="34" t="str">
        <f aca="false">IF($B1808="","",COUNTIF($F1808:$AJ1808,"PH"))</f>
        <v/>
      </c>
      <c r="AW1808" s="34" t="str">
        <f aca="false">IF($B1808="","",COUNTIF($F1808:$AJ1808,"TR"))</f>
        <v/>
      </c>
      <c r="AX1808" s="35" t="str">
        <f aca="false">IF($B1808="","",AO1808+AS1808/2)</f>
        <v/>
      </c>
      <c r="AY1808" s="35" t="str">
        <f aca="false">IF($B1808="","",AQ1808)</f>
        <v/>
      </c>
      <c r="AZ1808" s="35" t="str">
        <f aca="false">IF($B1808="","",AP1808+AT1808/2)</f>
        <v/>
      </c>
      <c r="BA1808" s="35" t="str">
        <f aca="false">IF($B1808="","",AK1808+AN1808+AM1808/2+AO1808+AP1808+AQ1808+AR1808+AS1808+AT1808+AU1808+AV1808+AW1808)</f>
        <v/>
      </c>
      <c r="BB1808" s="35" t="str">
        <f aca="false">IF($B1808="","",MAX(0,AN1808-Settings!$C$16)*Settings!$C$17)</f>
        <v/>
      </c>
      <c r="BC1808" s="35" t="str">
        <f aca="false">IF($B1808="","",BA1808-BB1808)</f>
        <v/>
      </c>
      <c r="BD1808" s="35" t="str">
        <f aca="false">IF(OR($B1808="",$A1808=""),"",DAY(EOMONTH($A1808,0))-COUNTA($F1808:$AJ1808))</f>
        <v/>
      </c>
    </row>
    <row r="1809" customFormat="false" ht="15" hidden="false" customHeight="false" outlineLevel="0" collapsed="false">
      <c r="A1809" s="32"/>
      <c r="B1809" s="29"/>
      <c r="C1809" s="10" t="str">
        <f aca="false">IF($B1809="","",IFERROR(INDEX(M_name,MATCH($B1809,M_emp,0)),"Code not found"))</f>
        <v/>
      </c>
      <c r="D1809" s="10" t="str">
        <f aca="false">IF($B1809="","",IFERROR(INDEX(M_dept,MATCH($B1809,M_emp,0)),""))</f>
        <v/>
      </c>
      <c r="E1809" s="10" t="str">
        <f aca="false">IF($B1809="","",IFERROR(INDEX(M_loc,MATCH($B1809,M_emp,0)),""))</f>
        <v/>
      </c>
      <c r="F1809" s="33"/>
      <c r="G1809" s="33"/>
      <c r="H1809" s="33"/>
      <c r="I1809" s="33"/>
      <c r="J1809" s="33"/>
      <c r="K1809" s="33"/>
      <c r="L1809" s="33"/>
      <c r="M1809" s="33"/>
      <c r="N1809" s="33"/>
      <c r="O1809" s="33"/>
      <c r="P1809" s="33"/>
      <c r="Q1809" s="33"/>
      <c r="R1809" s="33"/>
      <c r="S1809" s="33"/>
      <c r="T1809" s="33"/>
      <c r="U1809" s="33"/>
      <c r="V1809" s="33"/>
      <c r="W1809" s="33"/>
      <c r="X1809" s="33"/>
      <c r="Y1809" s="33"/>
      <c r="Z1809" s="33"/>
      <c r="AA1809" s="33"/>
      <c r="AB1809" s="33"/>
      <c r="AC1809" s="33"/>
      <c r="AD1809" s="33"/>
      <c r="AE1809" s="33"/>
      <c r="AF1809" s="33"/>
      <c r="AG1809" s="33"/>
      <c r="AH1809" s="33"/>
      <c r="AI1809" s="33"/>
      <c r="AJ1809" s="33"/>
      <c r="AK1809" s="34" t="str">
        <f aca="false">IF($B1809="","",COUNTIF($F1809:$AJ1809,"P"))</f>
        <v/>
      </c>
      <c r="AL1809" s="34" t="str">
        <f aca="false">IF($B1809="","",COUNTIF($F1809:$AJ1809,"A"))</f>
        <v/>
      </c>
      <c r="AM1809" s="34" t="str">
        <f aca="false">IF($B1809="","",COUNTIF($F1809:$AJ1809,"HA"))</f>
        <v/>
      </c>
      <c r="AN1809" s="34" t="str">
        <f aca="false">IF($B1809="","",COUNTIF($F1809:$AJ1809,"L"))</f>
        <v/>
      </c>
      <c r="AO1809" s="34" t="str">
        <f aca="false">IF($B1809="","",COUNTIF($F1809:$AJ1809,"PL"))</f>
        <v/>
      </c>
      <c r="AP1809" s="34" t="str">
        <f aca="false">IF($B1809="","",COUNTIF($F1809:$AJ1809,"CL"))</f>
        <v/>
      </c>
      <c r="AQ1809" s="34" t="str">
        <f aca="false">IF($B1809="","",COUNTIF($F1809:$AJ1809,"SL"))</f>
        <v/>
      </c>
      <c r="AR1809" s="34" t="str">
        <f aca="false">IF($B1809="","",COUNTIF($F1809:$AJ1809,"CO"))</f>
        <v/>
      </c>
      <c r="AS1809" s="34" t="str">
        <f aca="false">IF($B1809="","",COUNTIF($F1809:$AJ1809,"HPL"))</f>
        <v/>
      </c>
      <c r="AT1809" s="34" t="str">
        <f aca="false">IF($B1809="","",COUNTIF($F1809:$AJ1809,"HCL"))</f>
        <v/>
      </c>
      <c r="AU1809" s="34" t="str">
        <f aca="false">IF($B1809="","",COUNTIF($F1809:$AJ1809,"WO"))</f>
        <v/>
      </c>
      <c r="AV1809" s="34" t="str">
        <f aca="false">IF($B1809="","",COUNTIF($F1809:$AJ1809,"PH"))</f>
        <v/>
      </c>
      <c r="AW1809" s="34" t="str">
        <f aca="false">IF($B1809="","",COUNTIF($F1809:$AJ1809,"TR"))</f>
        <v/>
      </c>
      <c r="AX1809" s="35" t="str">
        <f aca="false">IF($B1809="","",AO1809+AS1809/2)</f>
        <v/>
      </c>
      <c r="AY1809" s="35" t="str">
        <f aca="false">IF($B1809="","",AQ1809)</f>
        <v/>
      </c>
      <c r="AZ1809" s="35" t="str">
        <f aca="false">IF($B1809="","",AP1809+AT1809/2)</f>
        <v/>
      </c>
      <c r="BA1809" s="35" t="str">
        <f aca="false">IF($B1809="","",AK1809+AN1809+AM1809/2+AO1809+AP1809+AQ1809+AR1809+AS1809+AT1809+AU1809+AV1809+AW1809)</f>
        <v/>
      </c>
      <c r="BB1809" s="35" t="str">
        <f aca="false">IF($B1809="","",MAX(0,AN1809-Settings!$C$16)*Settings!$C$17)</f>
        <v/>
      </c>
      <c r="BC1809" s="35" t="str">
        <f aca="false">IF($B1809="","",BA1809-BB1809)</f>
        <v/>
      </c>
      <c r="BD1809" s="35" t="str">
        <f aca="false">IF(OR($B1809="",$A1809=""),"",DAY(EOMONTH($A1809,0))-COUNTA($F1809:$AJ1809))</f>
        <v/>
      </c>
    </row>
    <row r="1810" customFormat="false" ht="15" hidden="false" customHeight="false" outlineLevel="0" collapsed="false">
      <c r="A1810" s="32"/>
      <c r="B1810" s="29"/>
      <c r="C1810" s="10" t="str">
        <f aca="false">IF($B1810="","",IFERROR(INDEX(M_name,MATCH($B1810,M_emp,0)),"Code not found"))</f>
        <v/>
      </c>
      <c r="D1810" s="10" t="str">
        <f aca="false">IF($B1810="","",IFERROR(INDEX(M_dept,MATCH($B1810,M_emp,0)),""))</f>
        <v/>
      </c>
      <c r="E1810" s="10" t="str">
        <f aca="false">IF($B1810="","",IFERROR(INDEX(M_loc,MATCH($B1810,M_emp,0)),""))</f>
        <v/>
      </c>
      <c r="F1810" s="33"/>
      <c r="G1810" s="33"/>
      <c r="H1810" s="33"/>
      <c r="I1810" s="33"/>
      <c r="J1810" s="33"/>
      <c r="K1810" s="33"/>
      <c r="L1810" s="33"/>
      <c r="M1810" s="33"/>
      <c r="N1810" s="33"/>
      <c r="O1810" s="33"/>
      <c r="P1810" s="33"/>
      <c r="Q1810" s="33"/>
      <c r="R1810" s="33"/>
      <c r="S1810" s="33"/>
      <c r="T1810" s="33"/>
      <c r="U1810" s="33"/>
      <c r="V1810" s="33"/>
      <c r="W1810" s="33"/>
      <c r="X1810" s="33"/>
      <c r="Y1810" s="33"/>
      <c r="Z1810" s="33"/>
      <c r="AA1810" s="33"/>
      <c r="AB1810" s="33"/>
      <c r="AC1810" s="33"/>
      <c r="AD1810" s="33"/>
      <c r="AE1810" s="33"/>
      <c r="AF1810" s="33"/>
      <c r="AG1810" s="33"/>
      <c r="AH1810" s="33"/>
      <c r="AI1810" s="33"/>
      <c r="AJ1810" s="33"/>
      <c r="AK1810" s="34" t="str">
        <f aca="false">IF($B1810="","",COUNTIF($F1810:$AJ1810,"P"))</f>
        <v/>
      </c>
      <c r="AL1810" s="34" t="str">
        <f aca="false">IF($B1810="","",COUNTIF($F1810:$AJ1810,"A"))</f>
        <v/>
      </c>
      <c r="AM1810" s="34" t="str">
        <f aca="false">IF($B1810="","",COUNTIF($F1810:$AJ1810,"HA"))</f>
        <v/>
      </c>
      <c r="AN1810" s="34" t="str">
        <f aca="false">IF($B1810="","",COUNTIF($F1810:$AJ1810,"L"))</f>
        <v/>
      </c>
      <c r="AO1810" s="34" t="str">
        <f aca="false">IF($B1810="","",COUNTIF($F1810:$AJ1810,"PL"))</f>
        <v/>
      </c>
      <c r="AP1810" s="34" t="str">
        <f aca="false">IF($B1810="","",COUNTIF($F1810:$AJ1810,"CL"))</f>
        <v/>
      </c>
      <c r="AQ1810" s="34" t="str">
        <f aca="false">IF($B1810="","",COUNTIF($F1810:$AJ1810,"SL"))</f>
        <v/>
      </c>
      <c r="AR1810" s="34" t="str">
        <f aca="false">IF($B1810="","",COUNTIF($F1810:$AJ1810,"CO"))</f>
        <v/>
      </c>
      <c r="AS1810" s="34" t="str">
        <f aca="false">IF($B1810="","",COUNTIF($F1810:$AJ1810,"HPL"))</f>
        <v/>
      </c>
      <c r="AT1810" s="34" t="str">
        <f aca="false">IF($B1810="","",COUNTIF($F1810:$AJ1810,"HCL"))</f>
        <v/>
      </c>
      <c r="AU1810" s="34" t="str">
        <f aca="false">IF($B1810="","",COUNTIF($F1810:$AJ1810,"WO"))</f>
        <v/>
      </c>
      <c r="AV1810" s="34" t="str">
        <f aca="false">IF($B1810="","",COUNTIF($F1810:$AJ1810,"PH"))</f>
        <v/>
      </c>
      <c r="AW1810" s="34" t="str">
        <f aca="false">IF($B1810="","",COUNTIF($F1810:$AJ1810,"TR"))</f>
        <v/>
      </c>
      <c r="AX1810" s="35" t="str">
        <f aca="false">IF($B1810="","",AO1810+AS1810/2)</f>
        <v/>
      </c>
      <c r="AY1810" s="35" t="str">
        <f aca="false">IF($B1810="","",AQ1810)</f>
        <v/>
      </c>
      <c r="AZ1810" s="35" t="str">
        <f aca="false">IF($B1810="","",AP1810+AT1810/2)</f>
        <v/>
      </c>
      <c r="BA1810" s="35" t="str">
        <f aca="false">IF($B1810="","",AK1810+AN1810+AM1810/2+AO1810+AP1810+AQ1810+AR1810+AS1810+AT1810+AU1810+AV1810+AW1810)</f>
        <v/>
      </c>
      <c r="BB1810" s="35" t="str">
        <f aca="false">IF($B1810="","",MAX(0,AN1810-Settings!$C$16)*Settings!$C$17)</f>
        <v/>
      </c>
      <c r="BC1810" s="35" t="str">
        <f aca="false">IF($B1810="","",BA1810-BB1810)</f>
        <v/>
      </c>
      <c r="BD1810" s="35" t="str">
        <f aca="false">IF(OR($B1810="",$A1810=""),"",DAY(EOMONTH($A1810,0))-COUNTA($F1810:$AJ1810))</f>
        <v/>
      </c>
    </row>
    <row r="1811" customFormat="false" ht="15" hidden="false" customHeight="false" outlineLevel="0" collapsed="false">
      <c r="A1811" s="32"/>
      <c r="B1811" s="29"/>
      <c r="C1811" s="10" t="str">
        <f aca="false">IF($B1811="","",IFERROR(INDEX(M_name,MATCH($B1811,M_emp,0)),"Code not found"))</f>
        <v/>
      </c>
      <c r="D1811" s="10" t="str">
        <f aca="false">IF($B1811="","",IFERROR(INDEX(M_dept,MATCH($B1811,M_emp,0)),""))</f>
        <v/>
      </c>
      <c r="E1811" s="10" t="str">
        <f aca="false">IF($B1811="","",IFERROR(INDEX(M_loc,MATCH($B1811,M_emp,0)),""))</f>
        <v/>
      </c>
      <c r="F1811" s="33"/>
      <c r="G1811" s="33"/>
      <c r="H1811" s="33"/>
      <c r="I1811" s="33"/>
      <c r="J1811" s="33"/>
      <c r="K1811" s="33"/>
      <c r="L1811" s="33"/>
      <c r="M1811" s="33"/>
      <c r="N1811" s="33"/>
      <c r="O1811" s="33"/>
      <c r="P1811" s="33"/>
      <c r="Q1811" s="33"/>
      <c r="R1811" s="33"/>
      <c r="S1811" s="33"/>
      <c r="T1811" s="33"/>
      <c r="U1811" s="33"/>
      <c r="V1811" s="33"/>
      <c r="W1811" s="33"/>
      <c r="X1811" s="33"/>
      <c r="Y1811" s="33"/>
      <c r="Z1811" s="33"/>
      <c r="AA1811" s="33"/>
      <c r="AB1811" s="33"/>
      <c r="AC1811" s="33"/>
      <c r="AD1811" s="33"/>
      <c r="AE1811" s="33"/>
      <c r="AF1811" s="33"/>
      <c r="AG1811" s="33"/>
      <c r="AH1811" s="33"/>
      <c r="AI1811" s="33"/>
      <c r="AJ1811" s="33"/>
      <c r="AK1811" s="34" t="str">
        <f aca="false">IF($B1811="","",COUNTIF($F1811:$AJ1811,"P"))</f>
        <v/>
      </c>
      <c r="AL1811" s="34" t="str">
        <f aca="false">IF($B1811="","",COUNTIF($F1811:$AJ1811,"A"))</f>
        <v/>
      </c>
      <c r="AM1811" s="34" t="str">
        <f aca="false">IF($B1811="","",COUNTIF($F1811:$AJ1811,"HA"))</f>
        <v/>
      </c>
      <c r="AN1811" s="34" t="str">
        <f aca="false">IF($B1811="","",COUNTIF($F1811:$AJ1811,"L"))</f>
        <v/>
      </c>
      <c r="AO1811" s="34" t="str">
        <f aca="false">IF($B1811="","",COUNTIF($F1811:$AJ1811,"PL"))</f>
        <v/>
      </c>
      <c r="AP1811" s="34" t="str">
        <f aca="false">IF($B1811="","",COUNTIF($F1811:$AJ1811,"CL"))</f>
        <v/>
      </c>
      <c r="AQ1811" s="34" t="str">
        <f aca="false">IF($B1811="","",COUNTIF($F1811:$AJ1811,"SL"))</f>
        <v/>
      </c>
      <c r="AR1811" s="34" t="str">
        <f aca="false">IF($B1811="","",COUNTIF($F1811:$AJ1811,"CO"))</f>
        <v/>
      </c>
      <c r="AS1811" s="34" t="str">
        <f aca="false">IF($B1811="","",COUNTIF($F1811:$AJ1811,"HPL"))</f>
        <v/>
      </c>
      <c r="AT1811" s="34" t="str">
        <f aca="false">IF($B1811="","",COUNTIF($F1811:$AJ1811,"HCL"))</f>
        <v/>
      </c>
      <c r="AU1811" s="34" t="str">
        <f aca="false">IF($B1811="","",COUNTIF($F1811:$AJ1811,"WO"))</f>
        <v/>
      </c>
      <c r="AV1811" s="34" t="str">
        <f aca="false">IF($B1811="","",COUNTIF($F1811:$AJ1811,"PH"))</f>
        <v/>
      </c>
      <c r="AW1811" s="34" t="str">
        <f aca="false">IF($B1811="","",COUNTIF($F1811:$AJ1811,"TR"))</f>
        <v/>
      </c>
      <c r="AX1811" s="35" t="str">
        <f aca="false">IF($B1811="","",AO1811+AS1811/2)</f>
        <v/>
      </c>
      <c r="AY1811" s="35" t="str">
        <f aca="false">IF($B1811="","",AQ1811)</f>
        <v/>
      </c>
      <c r="AZ1811" s="35" t="str">
        <f aca="false">IF($B1811="","",AP1811+AT1811/2)</f>
        <v/>
      </c>
      <c r="BA1811" s="35" t="str">
        <f aca="false">IF($B1811="","",AK1811+AN1811+AM1811/2+AO1811+AP1811+AQ1811+AR1811+AS1811+AT1811+AU1811+AV1811+AW1811)</f>
        <v/>
      </c>
      <c r="BB1811" s="35" t="str">
        <f aca="false">IF($B1811="","",MAX(0,AN1811-Settings!$C$16)*Settings!$C$17)</f>
        <v/>
      </c>
      <c r="BC1811" s="35" t="str">
        <f aca="false">IF($B1811="","",BA1811-BB1811)</f>
        <v/>
      </c>
      <c r="BD1811" s="35" t="str">
        <f aca="false">IF(OR($B1811="",$A1811=""),"",DAY(EOMONTH($A1811,0))-COUNTA($F1811:$AJ1811))</f>
        <v/>
      </c>
    </row>
    <row r="1812" customFormat="false" ht="15" hidden="false" customHeight="false" outlineLevel="0" collapsed="false">
      <c r="A1812" s="32"/>
      <c r="B1812" s="29"/>
      <c r="C1812" s="10" t="str">
        <f aca="false">IF($B1812="","",IFERROR(INDEX(M_name,MATCH($B1812,M_emp,0)),"Code not found"))</f>
        <v/>
      </c>
      <c r="D1812" s="10" t="str">
        <f aca="false">IF($B1812="","",IFERROR(INDEX(M_dept,MATCH($B1812,M_emp,0)),""))</f>
        <v/>
      </c>
      <c r="E1812" s="10" t="str">
        <f aca="false">IF($B1812="","",IFERROR(INDEX(M_loc,MATCH($B1812,M_emp,0)),""))</f>
        <v/>
      </c>
      <c r="F1812" s="33"/>
      <c r="G1812" s="33"/>
      <c r="H1812" s="33"/>
      <c r="I1812" s="33"/>
      <c r="J1812" s="33"/>
      <c r="K1812" s="33"/>
      <c r="L1812" s="33"/>
      <c r="M1812" s="33"/>
      <c r="N1812" s="33"/>
      <c r="O1812" s="33"/>
      <c r="P1812" s="33"/>
      <c r="Q1812" s="33"/>
      <c r="R1812" s="33"/>
      <c r="S1812" s="33"/>
      <c r="T1812" s="33"/>
      <c r="U1812" s="33"/>
      <c r="V1812" s="33"/>
      <c r="W1812" s="33"/>
      <c r="X1812" s="33"/>
      <c r="Y1812" s="33"/>
      <c r="Z1812" s="33"/>
      <c r="AA1812" s="33"/>
      <c r="AB1812" s="33"/>
      <c r="AC1812" s="33"/>
      <c r="AD1812" s="33"/>
      <c r="AE1812" s="33"/>
      <c r="AF1812" s="33"/>
      <c r="AG1812" s="33"/>
      <c r="AH1812" s="33"/>
      <c r="AI1812" s="33"/>
      <c r="AJ1812" s="33"/>
      <c r="AK1812" s="34" t="str">
        <f aca="false">IF($B1812="","",COUNTIF($F1812:$AJ1812,"P"))</f>
        <v/>
      </c>
      <c r="AL1812" s="34" t="str">
        <f aca="false">IF($B1812="","",COUNTIF($F1812:$AJ1812,"A"))</f>
        <v/>
      </c>
      <c r="AM1812" s="34" t="str">
        <f aca="false">IF($B1812="","",COUNTIF($F1812:$AJ1812,"HA"))</f>
        <v/>
      </c>
      <c r="AN1812" s="34" t="str">
        <f aca="false">IF($B1812="","",COUNTIF($F1812:$AJ1812,"L"))</f>
        <v/>
      </c>
      <c r="AO1812" s="34" t="str">
        <f aca="false">IF($B1812="","",COUNTIF($F1812:$AJ1812,"PL"))</f>
        <v/>
      </c>
      <c r="AP1812" s="34" t="str">
        <f aca="false">IF($B1812="","",COUNTIF($F1812:$AJ1812,"CL"))</f>
        <v/>
      </c>
      <c r="AQ1812" s="34" t="str">
        <f aca="false">IF($B1812="","",COUNTIF($F1812:$AJ1812,"SL"))</f>
        <v/>
      </c>
      <c r="AR1812" s="34" t="str">
        <f aca="false">IF($B1812="","",COUNTIF($F1812:$AJ1812,"CO"))</f>
        <v/>
      </c>
      <c r="AS1812" s="34" t="str">
        <f aca="false">IF($B1812="","",COUNTIF($F1812:$AJ1812,"HPL"))</f>
        <v/>
      </c>
      <c r="AT1812" s="34" t="str">
        <f aca="false">IF($B1812="","",COUNTIF($F1812:$AJ1812,"HCL"))</f>
        <v/>
      </c>
      <c r="AU1812" s="34" t="str">
        <f aca="false">IF($B1812="","",COUNTIF($F1812:$AJ1812,"WO"))</f>
        <v/>
      </c>
      <c r="AV1812" s="34" t="str">
        <f aca="false">IF($B1812="","",COUNTIF($F1812:$AJ1812,"PH"))</f>
        <v/>
      </c>
      <c r="AW1812" s="34" t="str">
        <f aca="false">IF($B1812="","",COUNTIF($F1812:$AJ1812,"TR"))</f>
        <v/>
      </c>
      <c r="AX1812" s="35" t="str">
        <f aca="false">IF($B1812="","",AO1812+AS1812/2)</f>
        <v/>
      </c>
      <c r="AY1812" s="35" t="str">
        <f aca="false">IF($B1812="","",AQ1812)</f>
        <v/>
      </c>
      <c r="AZ1812" s="35" t="str">
        <f aca="false">IF($B1812="","",AP1812+AT1812/2)</f>
        <v/>
      </c>
      <c r="BA1812" s="35" t="str">
        <f aca="false">IF($B1812="","",AK1812+AN1812+AM1812/2+AO1812+AP1812+AQ1812+AR1812+AS1812+AT1812+AU1812+AV1812+AW1812)</f>
        <v/>
      </c>
      <c r="BB1812" s="35" t="str">
        <f aca="false">IF($B1812="","",MAX(0,AN1812-Settings!$C$16)*Settings!$C$17)</f>
        <v/>
      </c>
      <c r="BC1812" s="35" t="str">
        <f aca="false">IF($B1812="","",BA1812-BB1812)</f>
        <v/>
      </c>
      <c r="BD1812" s="35" t="str">
        <f aca="false">IF(OR($B1812="",$A1812=""),"",DAY(EOMONTH($A1812,0))-COUNTA($F1812:$AJ1812))</f>
        <v/>
      </c>
    </row>
    <row r="1813" customFormat="false" ht="15" hidden="false" customHeight="false" outlineLevel="0" collapsed="false">
      <c r="A1813" s="32"/>
      <c r="B1813" s="29"/>
      <c r="C1813" s="10" t="str">
        <f aca="false">IF($B1813="","",IFERROR(INDEX(M_name,MATCH($B1813,M_emp,0)),"Code not found"))</f>
        <v/>
      </c>
      <c r="D1813" s="10" t="str">
        <f aca="false">IF($B1813="","",IFERROR(INDEX(M_dept,MATCH($B1813,M_emp,0)),""))</f>
        <v/>
      </c>
      <c r="E1813" s="10" t="str">
        <f aca="false">IF($B1813="","",IFERROR(INDEX(M_loc,MATCH($B1813,M_emp,0)),""))</f>
        <v/>
      </c>
      <c r="F1813" s="33"/>
      <c r="G1813" s="33"/>
      <c r="H1813" s="33"/>
      <c r="I1813" s="33"/>
      <c r="J1813" s="33"/>
      <c r="K1813" s="33"/>
      <c r="L1813" s="33"/>
      <c r="M1813" s="33"/>
      <c r="N1813" s="33"/>
      <c r="O1813" s="33"/>
      <c r="P1813" s="33"/>
      <c r="Q1813" s="33"/>
      <c r="R1813" s="33"/>
      <c r="S1813" s="33"/>
      <c r="T1813" s="33"/>
      <c r="U1813" s="33"/>
      <c r="V1813" s="33"/>
      <c r="W1813" s="33"/>
      <c r="X1813" s="33"/>
      <c r="Y1813" s="33"/>
      <c r="Z1813" s="33"/>
      <c r="AA1813" s="33"/>
      <c r="AB1813" s="33"/>
      <c r="AC1813" s="33"/>
      <c r="AD1813" s="33"/>
      <c r="AE1813" s="33"/>
      <c r="AF1813" s="33"/>
      <c r="AG1813" s="33"/>
      <c r="AH1813" s="33"/>
      <c r="AI1813" s="33"/>
      <c r="AJ1813" s="33"/>
      <c r="AK1813" s="34" t="str">
        <f aca="false">IF($B1813="","",COUNTIF($F1813:$AJ1813,"P"))</f>
        <v/>
      </c>
      <c r="AL1813" s="34" t="str">
        <f aca="false">IF($B1813="","",COUNTIF($F1813:$AJ1813,"A"))</f>
        <v/>
      </c>
      <c r="AM1813" s="34" t="str">
        <f aca="false">IF($B1813="","",COUNTIF($F1813:$AJ1813,"HA"))</f>
        <v/>
      </c>
      <c r="AN1813" s="34" t="str">
        <f aca="false">IF($B1813="","",COUNTIF($F1813:$AJ1813,"L"))</f>
        <v/>
      </c>
      <c r="AO1813" s="34" t="str">
        <f aca="false">IF($B1813="","",COUNTIF($F1813:$AJ1813,"PL"))</f>
        <v/>
      </c>
      <c r="AP1813" s="34" t="str">
        <f aca="false">IF($B1813="","",COUNTIF($F1813:$AJ1813,"CL"))</f>
        <v/>
      </c>
      <c r="AQ1813" s="34" t="str">
        <f aca="false">IF($B1813="","",COUNTIF($F1813:$AJ1813,"SL"))</f>
        <v/>
      </c>
      <c r="AR1813" s="34" t="str">
        <f aca="false">IF($B1813="","",COUNTIF($F1813:$AJ1813,"CO"))</f>
        <v/>
      </c>
      <c r="AS1813" s="34" t="str">
        <f aca="false">IF($B1813="","",COUNTIF($F1813:$AJ1813,"HPL"))</f>
        <v/>
      </c>
      <c r="AT1813" s="34" t="str">
        <f aca="false">IF($B1813="","",COUNTIF($F1813:$AJ1813,"HCL"))</f>
        <v/>
      </c>
      <c r="AU1813" s="34" t="str">
        <f aca="false">IF($B1813="","",COUNTIF($F1813:$AJ1813,"WO"))</f>
        <v/>
      </c>
      <c r="AV1813" s="34" t="str">
        <f aca="false">IF($B1813="","",COUNTIF($F1813:$AJ1813,"PH"))</f>
        <v/>
      </c>
      <c r="AW1813" s="34" t="str">
        <f aca="false">IF($B1813="","",COUNTIF($F1813:$AJ1813,"TR"))</f>
        <v/>
      </c>
      <c r="AX1813" s="35" t="str">
        <f aca="false">IF($B1813="","",AO1813+AS1813/2)</f>
        <v/>
      </c>
      <c r="AY1813" s="35" t="str">
        <f aca="false">IF($B1813="","",AQ1813)</f>
        <v/>
      </c>
      <c r="AZ1813" s="35" t="str">
        <f aca="false">IF($B1813="","",AP1813+AT1813/2)</f>
        <v/>
      </c>
      <c r="BA1813" s="35" t="str">
        <f aca="false">IF($B1813="","",AK1813+AN1813+AM1813/2+AO1813+AP1813+AQ1813+AR1813+AS1813+AT1813+AU1813+AV1813+AW1813)</f>
        <v/>
      </c>
      <c r="BB1813" s="35" t="str">
        <f aca="false">IF($B1813="","",MAX(0,AN1813-Settings!$C$16)*Settings!$C$17)</f>
        <v/>
      </c>
      <c r="BC1813" s="35" t="str">
        <f aca="false">IF($B1813="","",BA1813-BB1813)</f>
        <v/>
      </c>
      <c r="BD1813" s="35" t="str">
        <f aca="false">IF(OR($B1813="",$A1813=""),"",DAY(EOMONTH($A1813,0))-COUNTA($F1813:$AJ1813))</f>
        <v/>
      </c>
    </row>
    <row r="1814" customFormat="false" ht="15" hidden="false" customHeight="false" outlineLevel="0" collapsed="false">
      <c r="A1814" s="32"/>
      <c r="B1814" s="29"/>
      <c r="C1814" s="10" t="str">
        <f aca="false">IF($B1814="","",IFERROR(INDEX(M_name,MATCH($B1814,M_emp,0)),"Code not found"))</f>
        <v/>
      </c>
      <c r="D1814" s="10" t="str">
        <f aca="false">IF($B1814="","",IFERROR(INDEX(M_dept,MATCH($B1814,M_emp,0)),""))</f>
        <v/>
      </c>
      <c r="E1814" s="10" t="str">
        <f aca="false">IF($B1814="","",IFERROR(INDEX(M_loc,MATCH($B1814,M_emp,0)),""))</f>
        <v/>
      </c>
      <c r="F1814" s="33"/>
      <c r="G1814" s="33"/>
      <c r="H1814" s="33"/>
      <c r="I1814" s="33"/>
      <c r="J1814" s="33"/>
      <c r="K1814" s="33"/>
      <c r="L1814" s="33"/>
      <c r="M1814" s="33"/>
      <c r="N1814" s="33"/>
      <c r="O1814" s="33"/>
      <c r="P1814" s="33"/>
      <c r="Q1814" s="33"/>
      <c r="R1814" s="33"/>
      <c r="S1814" s="33"/>
      <c r="T1814" s="33"/>
      <c r="U1814" s="33"/>
      <c r="V1814" s="33"/>
      <c r="W1814" s="33"/>
      <c r="X1814" s="33"/>
      <c r="Y1814" s="33"/>
      <c r="Z1814" s="33"/>
      <c r="AA1814" s="33"/>
      <c r="AB1814" s="33"/>
      <c r="AC1814" s="33"/>
      <c r="AD1814" s="33"/>
      <c r="AE1814" s="33"/>
      <c r="AF1814" s="33"/>
      <c r="AG1814" s="33"/>
      <c r="AH1814" s="33"/>
      <c r="AI1814" s="33"/>
      <c r="AJ1814" s="33"/>
      <c r="AK1814" s="34" t="str">
        <f aca="false">IF($B1814="","",COUNTIF($F1814:$AJ1814,"P"))</f>
        <v/>
      </c>
      <c r="AL1814" s="34" t="str">
        <f aca="false">IF($B1814="","",COUNTIF($F1814:$AJ1814,"A"))</f>
        <v/>
      </c>
      <c r="AM1814" s="34" t="str">
        <f aca="false">IF($B1814="","",COUNTIF($F1814:$AJ1814,"HA"))</f>
        <v/>
      </c>
      <c r="AN1814" s="34" t="str">
        <f aca="false">IF($B1814="","",COUNTIF($F1814:$AJ1814,"L"))</f>
        <v/>
      </c>
      <c r="AO1814" s="34" t="str">
        <f aca="false">IF($B1814="","",COUNTIF($F1814:$AJ1814,"PL"))</f>
        <v/>
      </c>
      <c r="AP1814" s="34" t="str">
        <f aca="false">IF($B1814="","",COUNTIF($F1814:$AJ1814,"CL"))</f>
        <v/>
      </c>
      <c r="AQ1814" s="34" t="str">
        <f aca="false">IF($B1814="","",COUNTIF($F1814:$AJ1814,"SL"))</f>
        <v/>
      </c>
      <c r="AR1814" s="34" t="str">
        <f aca="false">IF($B1814="","",COUNTIF($F1814:$AJ1814,"CO"))</f>
        <v/>
      </c>
      <c r="AS1814" s="34" t="str">
        <f aca="false">IF($B1814="","",COUNTIF($F1814:$AJ1814,"HPL"))</f>
        <v/>
      </c>
      <c r="AT1814" s="34" t="str">
        <f aca="false">IF($B1814="","",COUNTIF($F1814:$AJ1814,"HCL"))</f>
        <v/>
      </c>
      <c r="AU1814" s="34" t="str">
        <f aca="false">IF($B1814="","",COUNTIF($F1814:$AJ1814,"WO"))</f>
        <v/>
      </c>
      <c r="AV1814" s="34" t="str">
        <f aca="false">IF($B1814="","",COUNTIF($F1814:$AJ1814,"PH"))</f>
        <v/>
      </c>
      <c r="AW1814" s="34" t="str">
        <f aca="false">IF($B1814="","",COUNTIF($F1814:$AJ1814,"TR"))</f>
        <v/>
      </c>
      <c r="AX1814" s="35" t="str">
        <f aca="false">IF($B1814="","",AO1814+AS1814/2)</f>
        <v/>
      </c>
      <c r="AY1814" s="35" t="str">
        <f aca="false">IF($B1814="","",AQ1814)</f>
        <v/>
      </c>
      <c r="AZ1814" s="35" t="str">
        <f aca="false">IF($B1814="","",AP1814+AT1814/2)</f>
        <v/>
      </c>
      <c r="BA1814" s="35" t="str">
        <f aca="false">IF($B1814="","",AK1814+AN1814+AM1814/2+AO1814+AP1814+AQ1814+AR1814+AS1814+AT1814+AU1814+AV1814+AW1814)</f>
        <v/>
      </c>
      <c r="BB1814" s="35" t="str">
        <f aca="false">IF($B1814="","",MAX(0,AN1814-Settings!$C$16)*Settings!$C$17)</f>
        <v/>
      </c>
      <c r="BC1814" s="35" t="str">
        <f aca="false">IF($B1814="","",BA1814-BB1814)</f>
        <v/>
      </c>
      <c r="BD1814" s="35" t="str">
        <f aca="false">IF(OR($B1814="",$A1814=""),"",DAY(EOMONTH($A1814,0))-COUNTA($F1814:$AJ1814))</f>
        <v/>
      </c>
    </row>
    <row r="1815" customFormat="false" ht="15" hidden="false" customHeight="false" outlineLevel="0" collapsed="false">
      <c r="A1815" s="32"/>
      <c r="B1815" s="29"/>
      <c r="C1815" s="10" t="str">
        <f aca="false">IF($B1815="","",IFERROR(INDEX(M_name,MATCH($B1815,M_emp,0)),"Code not found"))</f>
        <v/>
      </c>
      <c r="D1815" s="10" t="str">
        <f aca="false">IF($B1815="","",IFERROR(INDEX(M_dept,MATCH($B1815,M_emp,0)),""))</f>
        <v/>
      </c>
      <c r="E1815" s="10" t="str">
        <f aca="false">IF($B1815="","",IFERROR(INDEX(M_loc,MATCH($B1815,M_emp,0)),""))</f>
        <v/>
      </c>
      <c r="F1815" s="33"/>
      <c r="G1815" s="33"/>
      <c r="H1815" s="33"/>
      <c r="I1815" s="33"/>
      <c r="J1815" s="33"/>
      <c r="K1815" s="33"/>
      <c r="L1815" s="33"/>
      <c r="M1815" s="33"/>
      <c r="N1815" s="33"/>
      <c r="O1815" s="33"/>
      <c r="P1815" s="33"/>
      <c r="Q1815" s="33"/>
      <c r="R1815" s="33"/>
      <c r="S1815" s="33"/>
      <c r="T1815" s="33"/>
      <c r="U1815" s="33"/>
      <c r="V1815" s="33"/>
      <c r="W1815" s="33"/>
      <c r="X1815" s="33"/>
      <c r="Y1815" s="33"/>
      <c r="Z1815" s="33"/>
      <c r="AA1815" s="33"/>
      <c r="AB1815" s="33"/>
      <c r="AC1815" s="33"/>
      <c r="AD1815" s="33"/>
      <c r="AE1815" s="33"/>
      <c r="AF1815" s="33"/>
      <c r="AG1815" s="33"/>
      <c r="AH1815" s="33"/>
      <c r="AI1815" s="33"/>
      <c r="AJ1815" s="33"/>
      <c r="AK1815" s="34" t="str">
        <f aca="false">IF($B1815="","",COUNTIF($F1815:$AJ1815,"P"))</f>
        <v/>
      </c>
      <c r="AL1815" s="34" t="str">
        <f aca="false">IF($B1815="","",COUNTIF($F1815:$AJ1815,"A"))</f>
        <v/>
      </c>
      <c r="AM1815" s="34" t="str">
        <f aca="false">IF($B1815="","",COUNTIF($F1815:$AJ1815,"HA"))</f>
        <v/>
      </c>
      <c r="AN1815" s="34" t="str">
        <f aca="false">IF($B1815="","",COUNTIF($F1815:$AJ1815,"L"))</f>
        <v/>
      </c>
      <c r="AO1815" s="34" t="str">
        <f aca="false">IF($B1815="","",COUNTIF($F1815:$AJ1815,"PL"))</f>
        <v/>
      </c>
      <c r="AP1815" s="34" t="str">
        <f aca="false">IF($B1815="","",COUNTIF($F1815:$AJ1815,"CL"))</f>
        <v/>
      </c>
      <c r="AQ1815" s="34" t="str">
        <f aca="false">IF($B1815="","",COUNTIF($F1815:$AJ1815,"SL"))</f>
        <v/>
      </c>
      <c r="AR1815" s="34" t="str">
        <f aca="false">IF($B1815="","",COUNTIF($F1815:$AJ1815,"CO"))</f>
        <v/>
      </c>
      <c r="AS1815" s="34" t="str">
        <f aca="false">IF($B1815="","",COUNTIF($F1815:$AJ1815,"HPL"))</f>
        <v/>
      </c>
      <c r="AT1815" s="34" t="str">
        <f aca="false">IF($B1815="","",COUNTIF($F1815:$AJ1815,"HCL"))</f>
        <v/>
      </c>
      <c r="AU1815" s="34" t="str">
        <f aca="false">IF($B1815="","",COUNTIF($F1815:$AJ1815,"WO"))</f>
        <v/>
      </c>
      <c r="AV1815" s="34" t="str">
        <f aca="false">IF($B1815="","",COUNTIF($F1815:$AJ1815,"PH"))</f>
        <v/>
      </c>
      <c r="AW1815" s="34" t="str">
        <f aca="false">IF($B1815="","",COUNTIF($F1815:$AJ1815,"TR"))</f>
        <v/>
      </c>
      <c r="AX1815" s="35" t="str">
        <f aca="false">IF($B1815="","",AO1815+AS1815/2)</f>
        <v/>
      </c>
      <c r="AY1815" s="35" t="str">
        <f aca="false">IF($B1815="","",AQ1815)</f>
        <v/>
      </c>
      <c r="AZ1815" s="35" t="str">
        <f aca="false">IF($B1815="","",AP1815+AT1815/2)</f>
        <v/>
      </c>
      <c r="BA1815" s="35" t="str">
        <f aca="false">IF($B1815="","",AK1815+AN1815+AM1815/2+AO1815+AP1815+AQ1815+AR1815+AS1815+AT1815+AU1815+AV1815+AW1815)</f>
        <v/>
      </c>
      <c r="BB1815" s="35" t="str">
        <f aca="false">IF($B1815="","",MAX(0,AN1815-Settings!$C$16)*Settings!$C$17)</f>
        <v/>
      </c>
      <c r="BC1815" s="35" t="str">
        <f aca="false">IF($B1815="","",BA1815-BB1815)</f>
        <v/>
      </c>
      <c r="BD1815" s="35" t="str">
        <f aca="false">IF(OR($B1815="",$A1815=""),"",DAY(EOMONTH($A1815,0))-COUNTA($F1815:$AJ1815))</f>
        <v/>
      </c>
    </row>
    <row r="1816" customFormat="false" ht="15" hidden="false" customHeight="false" outlineLevel="0" collapsed="false">
      <c r="A1816" s="32"/>
      <c r="B1816" s="29"/>
      <c r="C1816" s="10" t="str">
        <f aca="false">IF($B1816="","",IFERROR(INDEX(M_name,MATCH($B1816,M_emp,0)),"Code not found"))</f>
        <v/>
      </c>
      <c r="D1816" s="10" t="str">
        <f aca="false">IF($B1816="","",IFERROR(INDEX(M_dept,MATCH($B1816,M_emp,0)),""))</f>
        <v/>
      </c>
      <c r="E1816" s="10" t="str">
        <f aca="false">IF($B1816="","",IFERROR(INDEX(M_loc,MATCH($B1816,M_emp,0)),""))</f>
        <v/>
      </c>
      <c r="F1816" s="33"/>
      <c r="G1816" s="33"/>
      <c r="H1816" s="33"/>
      <c r="I1816" s="33"/>
      <c r="J1816" s="33"/>
      <c r="K1816" s="33"/>
      <c r="L1816" s="33"/>
      <c r="M1816" s="33"/>
      <c r="N1816" s="33"/>
      <c r="O1816" s="33"/>
      <c r="P1816" s="33"/>
      <c r="Q1816" s="33"/>
      <c r="R1816" s="33"/>
      <c r="S1816" s="33"/>
      <c r="T1816" s="33"/>
      <c r="U1816" s="33"/>
      <c r="V1816" s="33"/>
      <c r="W1816" s="33"/>
      <c r="X1816" s="33"/>
      <c r="Y1816" s="33"/>
      <c r="Z1816" s="33"/>
      <c r="AA1816" s="33"/>
      <c r="AB1816" s="33"/>
      <c r="AC1816" s="33"/>
      <c r="AD1816" s="33"/>
      <c r="AE1816" s="33"/>
      <c r="AF1816" s="33"/>
      <c r="AG1816" s="33"/>
      <c r="AH1816" s="33"/>
      <c r="AI1816" s="33"/>
      <c r="AJ1816" s="33"/>
      <c r="AK1816" s="34" t="str">
        <f aca="false">IF($B1816="","",COUNTIF($F1816:$AJ1816,"P"))</f>
        <v/>
      </c>
      <c r="AL1816" s="34" t="str">
        <f aca="false">IF($B1816="","",COUNTIF($F1816:$AJ1816,"A"))</f>
        <v/>
      </c>
      <c r="AM1816" s="34" t="str">
        <f aca="false">IF($B1816="","",COUNTIF($F1816:$AJ1816,"HA"))</f>
        <v/>
      </c>
      <c r="AN1816" s="34" t="str">
        <f aca="false">IF($B1816="","",COUNTIF($F1816:$AJ1816,"L"))</f>
        <v/>
      </c>
      <c r="AO1816" s="34" t="str">
        <f aca="false">IF($B1816="","",COUNTIF($F1816:$AJ1816,"PL"))</f>
        <v/>
      </c>
      <c r="AP1816" s="34" t="str">
        <f aca="false">IF($B1816="","",COUNTIF($F1816:$AJ1816,"CL"))</f>
        <v/>
      </c>
      <c r="AQ1816" s="34" t="str">
        <f aca="false">IF($B1816="","",COUNTIF($F1816:$AJ1816,"SL"))</f>
        <v/>
      </c>
      <c r="AR1816" s="34" t="str">
        <f aca="false">IF($B1816="","",COUNTIF($F1816:$AJ1816,"CO"))</f>
        <v/>
      </c>
      <c r="AS1816" s="34" t="str">
        <f aca="false">IF($B1816="","",COUNTIF($F1816:$AJ1816,"HPL"))</f>
        <v/>
      </c>
      <c r="AT1816" s="34" t="str">
        <f aca="false">IF($B1816="","",COUNTIF($F1816:$AJ1816,"HCL"))</f>
        <v/>
      </c>
      <c r="AU1816" s="34" t="str">
        <f aca="false">IF($B1816="","",COUNTIF($F1816:$AJ1816,"WO"))</f>
        <v/>
      </c>
      <c r="AV1816" s="34" t="str">
        <f aca="false">IF($B1816="","",COUNTIF($F1816:$AJ1816,"PH"))</f>
        <v/>
      </c>
      <c r="AW1816" s="34" t="str">
        <f aca="false">IF($B1816="","",COUNTIF($F1816:$AJ1816,"TR"))</f>
        <v/>
      </c>
      <c r="AX1816" s="35" t="str">
        <f aca="false">IF($B1816="","",AO1816+AS1816/2)</f>
        <v/>
      </c>
      <c r="AY1816" s="35" t="str">
        <f aca="false">IF($B1816="","",AQ1816)</f>
        <v/>
      </c>
      <c r="AZ1816" s="35" t="str">
        <f aca="false">IF($B1816="","",AP1816+AT1816/2)</f>
        <v/>
      </c>
      <c r="BA1816" s="35" t="str">
        <f aca="false">IF($B1816="","",AK1816+AN1816+AM1816/2+AO1816+AP1816+AQ1816+AR1816+AS1816+AT1816+AU1816+AV1816+AW1816)</f>
        <v/>
      </c>
      <c r="BB1816" s="35" t="str">
        <f aca="false">IF($B1816="","",MAX(0,AN1816-Settings!$C$16)*Settings!$C$17)</f>
        <v/>
      </c>
      <c r="BC1816" s="35" t="str">
        <f aca="false">IF($B1816="","",BA1816-BB1816)</f>
        <v/>
      </c>
      <c r="BD1816" s="35" t="str">
        <f aca="false">IF(OR($B1816="",$A1816=""),"",DAY(EOMONTH($A1816,0))-COUNTA($F1816:$AJ1816))</f>
        <v/>
      </c>
    </row>
    <row r="1817" customFormat="false" ht="15" hidden="false" customHeight="false" outlineLevel="0" collapsed="false">
      <c r="A1817" s="32"/>
      <c r="B1817" s="29"/>
      <c r="C1817" s="10" t="str">
        <f aca="false">IF($B1817="","",IFERROR(INDEX(M_name,MATCH($B1817,M_emp,0)),"Code not found"))</f>
        <v/>
      </c>
      <c r="D1817" s="10" t="str">
        <f aca="false">IF($B1817="","",IFERROR(INDEX(M_dept,MATCH($B1817,M_emp,0)),""))</f>
        <v/>
      </c>
      <c r="E1817" s="10" t="str">
        <f aca="false">IF($B1817="","",IFERROR(INDEX(M_loc,MATCH($B1817,M_emp,0)),""))</f>
        <v/>
      </c>
      <c r="F1817" s="33"/>
      <c r="G1817" s="33"/>
      <c r="H1817" s="33"/>
      <c r="I1817" s="33"/>
      <c r="J1817" s="33"/>
      <c r="K1817" s="33"/>
      <c r="L1817" s="33"/>
      <c r="M1817" s="33"/>
      <c r="N1817" s="33"/>
      <c r="O1817" s="33"/>
      <c r="P1817" s="33"/>
      <c r="Q1817" s="33"/>
      <c r="R1817" s="33"/>
      <c r="S1817" s="33"/>
      <c r="T1817" s="33"/>
      <c r="U1817" s="33"/>
      <c r="V1817" s="33"/>
      <c r="W1817" s="33"/>
      <c r="X1817" s="33"/>
      <c r="Y1817" s="33"/>
      <c r="Z1817" s="33"/>
      <c r="AA1817" s="33"/>
      <c r="AB1817" s="33"/>
      <c r="AC1817" s="33"/>
      <c r="AD1817" s="33"/>
      <c r="AE1817" s="33"/>
      <c r="AF1817" s="33"/>
      <c r="AG1817" s="33"/>
      <c r="AH1817" s="33"/>
      <c r="AI1817" s="33"/>
      <c r="AJ1817" s="33"/>
      <c r="AK1817" s="34" t="str">
        <f aca="false">IF($B1817="","",COUNTIF($F1817:$AJ1817,"P"))</f>
        <v/>
      </c>
      <c r="AL1817" s="34" t="str">
        <f aca="false">IF($B1817="","",COUNTIF($F1817:$AJ1817,"A"))</f>
        <v/>
      </c>
      <c r="AM1817" s="34" t="str">
        <f aca="false">IF($B1817="","",COUNTIF($F1817:$AJ1817,"HA"))</f>
        <v/>
      </c>
      <c r="AN1817" s="34" t="str">
        <f aca="false">IF($B1817="","",COUNTIF($F1817:$AJ1817,"L"))</f>
        <v/>
      </c>
      <c r="AO1817" s="34" t="str">
        <f aca="false">IF($B1817="","",COUNTIF($F1817:$AJ1817,"PL"))</f>
        <v/>
      </c>
      <c r="AP1817" s="34" t="str">
        <f aca="false">IF($B1817="","",COUNTIF($F1817:$AJ1817,"CL"))</f>
        <v/>
      </c>
      <c r="AQ1817" s="34" t="str">
        <f aca="false">IF($B1817="","",COUNTIF($F1817:$AJ1817,"SL"))</f>
        <v/>
      </c>
      <c r="AR1817" s="34" t="str">
        <f aca="false">IF($B1817="","",COUNTIF($F1817:$AJ1817,"CO"))</f>
        <v/>
      </c>
      <c r="AS1817" s="34" t="str">
        <f aca="false">IF($B1817="","",COUNTIF($F1817:$AJ1817,"HPL"))</f>
        <v/>
      </c>
      <c r="AT1817" s="34" t="str">
        <f aca="false">IF($B1817="","",COUNTIF($F1817:$AJ1817,"HCL"))</f>
        <v/>
      </c>
      <c r="AU1817" s="34" t="str">
        <f aca="false">IF($B1817="","",COUNTIF($F1817:$AJ1817,"WO"))</f>
        <v/>
      </c>
      <c r="AV1817" s="34" t="str">
        <f aca="false">IF($B1817="","",COUNTIF($F1817:$AJ1817,"PH"))</f>
        <v/>
      </c>
      <c r="AW1817" s="34" t="str">
        <f aca="false">IF($B1817="","",COUNTIF($F1817:$AJ1817,"TR"))</f>
        <v/>
      </c>
      <c r="AX1817" s="35" t="str">
        <f aca="false">IF($B1817="","",AO1817+AS1817/2)</f>
        <v/>
      </c>
      <c r="AY1817" s="35" t="str">
        <f aca="false">IF($B1817="","",AQ1817)</f>
        <v/>
      </c>
      <c r="AZ1817" s="35" t="str">
        <f aca="false">IF($B1817="","",AP1817+AT1817/2)</f>
        <v/>
      </c>
      <c r="BA1817" s="35" t="str">
        <f aca="false">IF($B1817="","",AK1817+AN1817+AM1817/2+AO1817+AP1817+AQ1817+AR1817+AS1817+AT1817+AU1817+AV1817+AW1817)</f>
        <v/>
      </c>
      <c r="BB1817" s="35" t="str">
        <f aca="false">IF($B1817="","",MAX(0,AN1817-Settings!$C$16)*Settings!$C$17)</f>
        <v/>
      </c>
      <c r="BC1817" s="35" t="str">
        <f aca="false">IF($B1817="","",BA1817-BB1817)</f>
        <v/>
      </c>
      <c r="BD1817" s="35" t="str">
        <f aca="false">IF(OR($B1817="",$A1817=""),"",DAY(EOMONTH($A1817,0))-COUNTA($F1817:$AJ1817))</f>
        <v/>
      </c>
    </row>
    <row r="1818" customFormat="false" ht="15" hidden="false" customHeight="false" outlineLevel="0" collapsed="false">
      <c r="A1818" s="32"/>
      <c r="B1818" s="29"/>
      <c r="C1818" s="10" t="str">
        <f aca="false">IF($B1818="","",IFERROR(INDEX(M_name,MATCH($B1818,M_emp,0)),"Code not found"))</f>
        <v/>
      </c>
      <c r="D1818" s="10" t="str">
        <f aca="false">IF($B1818="","",IFERROR(INDEX(M_dept,MATCH($B1818,M_emp,0)),""))</f>
        <v/>
      </c>
      <c r="E1818" s="10" t="str">
        <f aca="false">IF($B1818="","",IFERROR(INDEX(M_loc,MATCH($B1818,M_emp,0)),""))</f>
        <v/>
      </c>
      <c r="F1818" s="33"/>
      <c r="G1818" s="33"/>
      <c r="H1818" s="33"/>
      <c r="I1818" s="33"/>
      <c r="J1818" s="33"/>
      <c r="K1818" s="33"/>
      <c r="L1818" s="33"/>
      <c r="M1818" s="33"/>
      <c r="N1818" s="33"/>
      <c r="O1818" s="33"/>
      <c r="P1818" s="33"/>
      <c r="Q1818" s="33"/>
      <c r="R1818" s="33"/>
      <c r="S1818" s="33"/>
      <c r="T1818" s="33"/>
      <c r="U1818" s="33"/>
      <c r="V1818" s="33"/>
      <c r="W1818" s="33"/>
      <c r="X1818" s="33"/>
      <c r="Y1818" s="33"/>
      <c r="Z1818" s="33"/>
      <c r="AA1818" s="33"/>
      <c r="AB1818" s="33"/>
      <c r="AC1818" s="33"/>
      <c r="AD1818" s="33"/>
      <c r="AE1818" s="33"/>
      <c r="AF1818" s="33"/>
      <c r="AG1818" s="33"/>
      <c r="AH1818" s="33"/>
      <c r="AI1818" s="33"/>
      <c r="AJ1818" s="33"/>
      <c r="AK1818" s="34" t="str">
        <f aca="false">IF($B1818="","",COUNTIF($F1818:$AJ1818,"P"))</f>
        <v/>
      </c>
      <c r="AL1818" s="34" t="str">
        <f aca="false">IF($B1818="","",COUNTIF($F1818:$AJ1818,"A"))</f>
        <v/>
      </c>
      <c r="AM1818" s="34" t="str">
        <f aca="false">IF($B1818="","",COUNTIF($F1818:$AJ1818,"HA"))</f>
        <v/>
      </c>
      <c r="AN1818" s="34" t="str">
        <f aca="false">IF($B1818="","",COUNTIF($F1818:$AJ1818,"L"))</f>
        <v/>
      </c>
      <c r="AO1818" s="34" t="str">
        <f aca="false">IF($B1818="","",COUNTIF($F1818:$AJ1818,"PL"))</f>
        <v/>
      </c>
      <c r="AP1818" s="34" t="str">
        <f aca="false">IF($B1818="","",COUNTIF($F1818:$AJ1818,"CL"))</f>
        <v/>
      </c>
      <c r="AQ1818" s="34" t="str">
        <f aca="false">IF($B1818="","",COUNTIF($F1818:$AJ1818,"SL"))</f>
        <v/>
      </c>
      <c r="AR1818" s="34" t="str">
        <f aca="false">IF($B1818="","",COUNTIF($F1818:$AJ1818,"CO"))</f>
        <v/>
      </c>
      <c r="AS1818" s="34" t="str">
        <f aca="false">IF($B1818="","",COUNTIF($F1818:$AJ1818,"HPL"))</f>
        <v/>
      </c>
      <c r="AT1818" s="34" t="str">
        <f aca="false">IF($B1818="","",COUNTIF($F1818:$AJ1818,"HCL"))</f>
        <v/>
      </c>
      <c r="AU1818" s="34" t="str">
        <f aca="false">IF($B1818="","",COUNTIF($F1818:$AJ1818,"WO"))</f>
        <v/>
      </c>
      <c r="AV1818" s="34" t="str">
        <f aca="false">IF($B1818="","",COUNTIF($F1818:$AJ1818,"PH"))</f>
        <v/>
      </c>
      <c r="AW1818" s="34" t="str">
        <f aca="false">IF($B1818="","",COUNTIF($F1818:$AJ1818,"TR"))</f>
        <v/>
      </c>
      <c r="AX1818" s="35" t="str">
        <f aca="false">IF($B1818="","",AO1818+AS1818/2)</f>
        <v/>
      </c>
      <c r="AY1818" s="35" t="str">
        <f aca="false">IF($B1818="","",AQ1818)</f>
        <v/>
      </c>
      <c r="AZ1818" s="35" t="str">
        <f aca="false">IF($B1818="","",AP1818+AT1818/2)</f>
        <v/>
      </c>
      <c r="BA1818" s="35" t="str">
        <f aca="false">IF($B1818="","",AK1818+AN1818+AM1818/2+AO1818+AP1818+AQ1818+AR1818+AS1818+AT1818+AU1818+AV1818+AW1818)</f>
        <v/>
      </c>
      <c r="BB1818" s="35" t="str">
        <f aca="false">IF($B1818="","",MAX(0,AN1818-Settings!$C$16)*Settings!$C$17)</f>
        <v/>
      </c>
      <c r="BC1818" s="35" t="str">
        <f aca="false">IF($B1818="","",BA1818-BB1818)</f>
        <v/>
      </c>
      <c r="BD1818" s="35" t="str">
        <f aca="false">IF(OR($B1818="",$A1818=""),"",DAY(EOMONTH($A1818,0))-COUNTA($F1818:$AJ1818))</f>
        <v/>
      </c>
    </row>
    <row r="1819" customFormat="false" ht="15" hidden="false" customHeight="false" outlineLevel="0" collapsed="false">
      <c r="A1819" s="32"/>
      <c r="B1819" s="29"/>
      <c r="C1819" s="10" t="str">
        <f aca="false">IF($B1819="","",IFERROR(INDEX(M_name,MATCH($B1819,M_emp,0)),"Code not found"))</f>
        <v/>
      </c>
      <c r="D1819" s="10" t="str">
        <f aca="false">IF($B1819="","",IFERROR(INDEX(M_dept,MATCH($B1819,M_emp,0)),""))</f>
        <v/>
      </c>
      <c r="E1819" s="10" t="str">
        <f aca="false">IF($B1819="","",IFERROR(INDEX(M_loc,MATCH($B1819,M_emp,0)),""))</f>
        <v/>
      </c>
      <c r="F1819" s="33"/>
      <c r="G1819" s="33"/>
      <c r="H1819" s="33"/>
      <c r="I1819" s="33"/>
      <c r="J1819" s="33"/>
      <c r="K1819" s="33"/>
      <c r="L1819" s="33"/>
      <c r="M1819" s="33"/>
      <c r="N1819" s="33"/>
      <c r="O1819" s="33"/>
      <c r="P1819" s="33"/>
      <c r="Q1819" s="33"/>
      <c r="R1819" s="33"/>
      <c r="S1819" s="33"/>
      <c r="T1819" s="33"/>
      <c r="U1819" s="33"/>
      <c r="V1819" s="33"/>
      <c r="W1819" s="33"/>
      <c r="X1819" s="33"/>
      <c r="Y1819" s="33"/>
      <c r="Z1819" s="33"/>
      <c r="AA1819" s="33"/>
      <c r="AB1819" s="33"/>
      <c r="AC1819" s="33"/>
      <c r="AD1819" s="33"/>
      <c r="AE1819" s="33"/>
      <c r="AF1819" s="33"/>
      <c r="AG1819" s="33"/>
      <c r="AH1819" s="33"/>
      <c r="AI1819" s="33"/>
      <c r="AJ1819" s="33"/>
      <c r="AK1819" s="34" t="str">
        <f aca="false">IF($B1819="","",COUNTIF($F1819:$AJ1819,"P"))</f>
        <v/>
      </c>
      <c r="AL1819" s="34" t="str">
        <f aca="false">IF($B1819="","",COUNTIF($F1819:$AJ1819,"A"))</f>
        <v/>
      </c>
      <c r="AM1819" s="34" t="str">
        <f aca="false">IF($B1819="","",COUNTIF($F1819:$AJ1819,"HA"))</f>
        <v/>
      </c>
      <c r="AN1819" s="34" t="str">
        <f aca="false">IF($B1819="","",COUNTIF($F1819:$AJ1819,"L"))</f>
        <v/>
      </c>
      <c r="AO1819" s="34" t="str">
        <f aca="false">IF($B1819="","",COUNTIF($F1819:$AJ1819,"PL"))</f>
        <v/>
      </c>
      <c r="AP1819" s="34" t="str">
        <f aca="false">IF($B1819="","",COUNTIF($F1819:$AJ1819,"CL"))</f>
        <v/>
      </c>
      <c r="AQ1819" s="34" t="str">
        <f aca="false">IF($B1819="","",COUNTIF($F1819:$AJ1819,"SL"))</f>
        <v/>
      </c>
      <c r="AR1819" s="34" t="str">
        <f aca="false">IF($B1819="","",COUNTIF($F1819:$AJ1819,"CO"))</f>
        <v/>
      </c>
      <c r="AS1819" s="34" t="str">
        <f aca="false">IF($B1819="","",COUNTIF($F1819:$AJ1819,"HPL"))</f>
        <v/>
      </c>
      <c r="AT1819" s="34" t="str">
        <f aca="false">IF($B1819="","",COUNTIF($F1819:$AJ1819,"HCL"))</f>
        <v/>
      </c>
      <c r="AU1819" s="34" t="str">
        <f aca="false">IF($B1819="","",COUNTIF($F1819:$AJ1819,"WO"))</f>
        <v/>
      </c>
      <c r="AV1819" s="34" t="str">
        <f aca="false">IF($B1819="","",COUNTIF($F1819:$AJ1819,"PH"))</f>
        <v/>
      </c>
      <c r="AW1819" s="34" t="str">
        <f aca="false">IF($B1819="","",COUNTIF($F1819:$AJ1819,"TR"))</f>
        <v/>
      </c>
      <c r="AX1819" s="35" t="str">
        <f aca="false">IF($B1819="","",AO1819+AS1819/2)</f>
        <v/>
      </c>
      <c r="AY1819" s="35" t="str">
        <f aca="false">IF($B1819="","",AQ1819)</f>
        <v/>
      </c>
      <c r="AZ1819" s="35" t="str">
        <f aca="false">IF($B1819="","",AP1819+AT1819/2)</f>
        <v/>
      </c>
      <c r="BA1819" s="35" t="str">
        <f aca="false">IF($B1819="","",AK1819+AN1819+AM1819/2+AO1819+AP1819+AQ1819+AR1819+AS1819+AT1819+AU1819+AV1819+AW1819)</f>
        <v/>
      </c>
      <c r="BB1819" s="35" t="str">
        <f aca="false">IF($B1819="","",MAX(0,AN1819-Settings!$C$16)*Settings!$C$17)</f>
        <v/>
      </c>
      <c r="BC1819" s="35" t="str">
        <f aca="false">IF($B1819="","",BA1819-BB1819)</f>
        <v/>
      </c>
      <c r="BD1819" s="35" t="str">
        <f aca="false">IF(OR($B1819="",$A1819=""),"",DAY(EOMONTH($A1819,0))-COUNTA($F1819:$AJ1819))</f>
        <v/>
      </c>
    </row>
    <row r="1820" customFormat="false" ht="15" hidden="false" customHeight="false" outlineLevel="0" collapsed="false">
      <c r="A1820" s="32"/>
      <c r="B1820" s="29"/>
      <c r="C1820" s="10" t="str">
        <f aca="false">IF($B1820="","",IFERROR(INDEX(M_name,MATCH($B1820,M_emp,0)),"Code not found"))</f>
        <v/>
      </c>
      <c r="D1820" s="10" t="str">
        <f aca="false">IF($B1820="","",IFERROR(INDEX(M_dept,MATCH($B1820,M_emp,0)),""))</f>
        <v/>
      </c>
      <c r="E1820" s="10" t="str">
        <f aca="false">IF($B1820="","",IFERROR(INDEX(M_loc,MATCH($B1820,M_emp,0)),""))</f>
        <v/>
      </c>
      <c r="F1820" s="33"/>
      <c r="G1820" s="33"/>
      <c r="H1820" s="33"/>
      <c r="I1820" s="33"/>
      <c r="J1820" s="33"/>
      <c r="K1820" s="33"/>
      <c r="L1820" s="33"/>
      <c r="M1820" s="33"/>
      <c r="N1820" s="33"/>
      <c r="O1820" s="33"/>
      <c r="P1820" s="33"/>
      <c r="Q1820" s="33"/>
      <c r="R1820" s="33"/>
      <c r="S1820" s="33"/>
      <c r="T1820" s="33"/>
      <c r="U1820" s="33"/>
      <c r="V1820" s="33"/>
      <c r="W1820" s="33"/>
      <c r="X1820" s="33"/>
      <c r="Y1820" s="33"/>
      <c r="Z1820" s="33"/>
      <c r="AA1820" s="33"/>
      <c r="AB1820" s="33"/>
      <c r="AC1820" s="33"/>
      <c r="AD1820" s="33"/>
      <c r="AE1820" s="33"/>
      <c r="AF1820" s="33"/>
      <c r="AG1820" s="33"/>
      <c r="AH1820" s="33"/>
      <c r="AI1820" s="33"/>
      <c r="AJ1820" s="33"/>
      <c r="AK1820" s="34" t="str">
        <f aca="false">IF($B1820="","",COUNTIF($F1820:$AJ1820,"P"))</f>
        <v/>
      </c>
      <c r="AL1820" s="34" t="str">
        <f aca="false">IF($B1820="","",COUNTIF($F1820:$AJ1820,"A"))</f>
        <v/>
      </c>
      <c r="AM1820" s="34" t="str">
        <f aca="false">IF($B1820="","",COUNTIF($F1820:$AJ1820,"HA"))</f>
        <v/>
      </c>
      <c r="AN1820" s="34" t="str">
        <f aca="false">IF($B1820="","",COUNTIF($F1820:$AJ1820,"L"))</f>
        <v/>
      </c>
      <c r="AO1820" s="34" t="str">
        <f aca="false">IF($B1820="","",COUNTIF($F1820:$AJ1820,"PL"))</f>
        <v/>
      </c>
      <c r="AP1820" s="34" t="str">
        <f aca="false">IF($B1820="","",COUNTIF($F1820:$AJ1820,"CL"))</f>
        <v/>
      </c>
      <c r="AQ1820" s="34" t="str">
        <f aca="false">IF($B1820="","",COUNTIF($F1820:$AJ1820,"SL"))</f>
        <v/>
      </c>
      <c r="AR1820" s="34" t="str">
        <f aca="false">IF($B1820="","",COUNTIF($F1820:$AJ1820,"CO"))</f>
        <v/>
      </c>
      <c r="AS1820" s="34" t="str">
        <f aca="false">IF($B1820="","",COUNTIF($F1820:$AJ1820,"HPL"))</f>
        <v/>
      </c>
      <c r="AT1820" s="34" t="str">
        <f aca="false">IF($B1820="","",COUNTIF($F1820:$AJ1820,"HCL"))</f>
        <v/>
      </c>
      <c r="AU1820" s="34" t="str">
        <f aca="false">IF($B1820="","",COUNTIF($F1820:$AJ1820,"WO"))</f>
        <v/>
      </c>
      <c r="AV1820" s="34" t="str">
        <f aca="false">IF($B1820="","",COUNTIF($F1820:$AJ1820,"PH"))</f>
        <v/>
      </c>
      <c r="AW1820" s="34" t="str">
        <f aca="false">IF($B1820="","",COUNTIF($F1820:$AJ1820,"TR"))</f>
        <v/>
      </c>
      <c r="AX1820" s="35" t="str">
        <f aca="false">IF($B1820="","",AO1820+AS1820/2)</f>
        <v/>
      </c>
      <c r="AY1820" s="35" t="str">
        <f aca="false">IF($B1820="","",AQ1820)</f>
        <v/>
      </c>
      <c r="AZ1820" s="35" t="str">
        <f aca="false">IF($B1820="","",AP1820+AT1820/2)</f>
        <v/>
      </c>
      <c r="BA1820" s="35" t="str">
        <f aca="false">IF($B1820="","",AK1820+AN1820+AM1820/2+AO1820+AP1820+AQ1820+AR1820+AS1820+AT1820+AU1820+AV1820+AW1820)</f>
        <v/>
      </c>
      <c r="BB1820" s="35" t="str">
        <f aca="false">IF($B1820="","",MAX(0,AN1820-Settings!$C$16)*Settings!$C$17)</f>
        <v/>
      </c>
      <c r="BC1820" s="35" t="str">
        <f aca="false">IF($B1820="","",BA1820-BB1820)</f>
        <v/>
      </c>
      <c r="BD1820" s="35" t="str">
        <f aca="false">IF(OR($B1820="",$A1820=""),"",DAY(EOMONTH($A1820,0))-COUNTA($F1820:$AJ1820))</f>
        <v/>
      </c>
    </row>
    <row r="1821" customFormat="false" ht="15" hidden="false" customHeight="false" outlineLevel="0" collapsed="false">
      <c r="A1821" s="32"/>
      <c r="B1821" s="29"/>
      <c r="C1821" s="10" t="str">
        <f aca="false">IF($B1821="","",IFERROR(INDEX(M_name,MATCH($B1821,M_emp,0)),"Code not found"))</f>
        <v/>
      </c>
      <c r="D1821" s="10" t="str">
        <f aca="false">IF($B1821="","",IFERROR(INDEX(M_dept,MATCH($B1821,M_emp,0)),""))</f>
        <v/>
      </c>
      <c r="E1821" s="10" t="str">
        <f aca="false">IF($B1821="","",IFERROR(INDEX(M_loc,MATCH($B1821,M_emp,0)),""))</f>
        <v/>
      </c>
      <c r="F1821" s="33"/>
      <c r="G1821" s="33"/>
      <c r="H1821" s="33"/>
      <c r="I1821" s="33"/>
      <c r="J1821" s="33"/>
      <c r="K1821" s="33"/>
      <c r="L1821" s="33"/>
      <c r="M1821" s="33"/>
      <c r="N1821" s="33"/>
      <c r="O1821" s="33"/>
      <c r="P1821" s="33"/>
      <c r="Q1821" s="33"/>
      <c r="R1821" s="33"/>
      <c r="S1821" s="33"/>
      <c r="T1821" s="33"/>
      <c r="U1821" s="33"/>
      <c r="V1821" s="33"/>
      <c r="W1821" s="33"/>
      <c r="X1821" s="33"/>
      <c r="Y1821" s="33"/>
      <c r="Z1821" s="33"/>
      <c r="AA1821" s="33"/>
      <c r="AB1821" s="33"/>
      <c r="AC1821" s="33"/>
      <c r="AD1821" s="33"/>
      <c r="AE1821" s="33"/>
      <c r="AF1821" s="33"/>
      <c r="AG1821" s="33"/>
      <c r="AH1821" s="33"/>
      <c r="AI1821" s="33"/>
      <c r="AJ1821" s="33"/>
      <c r="AK1821" s="34" t="str">
        <f aca="false">IF($B1821="","",COUNTIF($F1821:$AJ1821,"P"))</f>
        <v/>
      </c>
      <c r="AL1821" s="34" t="str">
        <f aca="false">IF($B1821="","",COUNTIF($F1821:$AJ1821,"A"))</f>
        <v/>
      </c>
      <c r="AM1821" s="34" t="str">
        <f aca="false">IF($B1821="","",COUNTIF($F1821:$AJ1821,"HA"))</f>
        <v/>
      </c>
      <c r="AN1821" s="34" t="str">
        <f aca="false">IF($B1821="","",COUNTIF($F1821:$AJ1821,"L"))</f>
        <v/>
      </c>
      <c r="AO1821" s="34" t="str">
        <f aca="false">IF($B1821="","",COUNTIF($F1821:$AJ1821,"PL"))</f>
        <v/>
      </c>
      <c r="AP1821" s="34" t="str">
        <f aca="false">IF($B1821="","",COUNTIF($F1821:$AJ1821,"CL"))</f>
        <v/>
      </c>
      <c r="AQ1821" s="34" t="str">
        <f aca="false">IF($B1821="","",COUNTIF($F1821:$AJ1821,"SL"))</f>
        <v/>
      </c>
      <c r="AR1821" s="34" t="str">
        <f aca="false">IF($B1821="","",COUNTIF($F1821:$AJ1821,"CO"))</f>
        <v/>
      </c>
      <c r="AS1821" s="34" t="str">
        <f aca="false">IF($B1821="","",COUNTIF($F1821:$AJ1821,"HPL"))</f>
        <v/>
      </c>
      <c r="AT1821" s="34" t="str">
        <f aca="false">IF($B1821="","",COUNTIF($F1821:$AJ1821,"HCL"))</f>
        <v/>
      </c>
      <c r="AU1821" s="34" t="str">
        <f aca="false">IF($B1821="","",COUNTIF($F1821:$AJ1821,"WO"))</f>
        <v/>
      </c>
      <c r="AV1821" s="34" t="str">
        <f aca="false">IF($B1821="","",COUNTIF($F1821:$AJ1821,"PH"))</f>
        <v/>
      </c>
      <c r="AW1821" s="34" t="str">
        <f aca="false">IF($B1821="","",COUNTIF($F1821:$AJ1821,"TR"))</f>
        <v/>
      </c>
      <c r="AX1821" s="35" t="str">
        <f aca="false">IF($B1821="","",AO1821+AS1821/2)</f>
        <v/>
      </c>
      <c r="AY1821" s="35" t="str">
        <f aca="false">IF($B1821="","",AQ1821)</f>
        <v/>
      </c>
      <c r="AZ1821" s="35" t="str">
        <f aca="false">IF($B1821="","",AP1821+AT1821/2)</f>
        <v/>
      </c>
      <c r="BA1821" s="35" t="str">
        <f aca="false">IF($B1821="","",AK1821+AN1821+AM1821/2+AO1821+AP1821+AQ1821+AR1821+AS1821+AT1821+AU1821+AV1821+AW1821)</f>
        <v/>
      </c>
      <c r="BB1821" s="35" t="str">
        <f aca="false">IF($B1821="","",MAX(0,AN1821-Settings!$C$16)*Settings!$C$17)</f>
        <v/>
      </c>
      <c r="BC1821" s="35" t="str">
        <f aca="false">IF($B1821="","",BA1821-BB1821)</f>
        <v/>
      </c>
      <c r="BD1821" s="35" t="str">
        <f aca="false">IF(OR($B1821="",$A1821=""),"",DAY(EOMONTH($A1821,0))-COUNTA($F1821:$AJ1821))</f>
        <v/>
      </c>
    </row>
    <row r="1822" customFormat="false" ht="15" hidden="false" customHeight="false" outlineLevel="0" collapsed="false">
      <c r="A1822" s="32"/>
      <c r="B1822" s="29"/>
      <c r="C1822" s="10" t="str">
        <f aca="false">IF($B1822="","",IFERROR(INDEX(M_name,MATCH($B1822,M_emp,0)),"Code not found"))</f>
        <v/>
      </c>
      <c r="D1822" s="10" t="str">
        <f aca="false">IF($B1822="","",IFERROR(INDEX(M_dept,MATCH($B1822,M_emp,0)),""))</f>
        <v/>
      </c>
      <c r="E1822" s="10" t="str">
        <f aca="false">IF($B1822="","",IFERROR(INDEX(M_loc,MATCH($B1822,M_emp,0)),""))</f>
        <v/>
      </c>
      <c r="F1822" s="33"/>
      <c r="G1822" s="33"/>
      <c r="H1822" s="33"/>
      <c r="I1822" s="33"/>
      <c r="J1822" s="33"/>
      <c r="K1822" s="33"/>
      <c r="L1822" s="33"/>
      <c r="M1822" s="33"/>
      <c r="N1822" s="33"/>
      <c r="O1822" s="33"/>
      <c r="P1822" s="33"/>
      <c r="Q1822" s="33"/>
      <c r="R1822" s="33"/>
      <c r="S1822" s="33"/>
      <c r="T1822" s="33"/>
      <c r="U1822" s="33"/>
      <c r="V1822" s="33"/>
      <c r="W1822" s="33"/>
      <c r="X1822" s="33"/>
      <c r="Y1822" s="33"/>
      <c r="Z1822" s="33"/>
      <c r="AA1822" s="33"/>
      <c r="AB1822" s="33"/>
      <c r="AC1822" s="33"/>
      <c r="AD1822" s="33"/>
      <c r="AE1822" s="33"/>
      <c r="AF1822" s="33"/>
      <c r="AG1822" s="33"/>
      <c r="AH1822" s="33"/>
      <c r="AI1822" s="33"/>
      <c r="AJ1822" s="33"/>
      <c r="AK1822" s="34" t="str">
        <f aca="false">IF($B1822="","",COUNTIF($F1822:$AJ1822,"P"))</f>
        <v/>
      </c>
      <c r="AL1822" s="34" t="str">
        <f aca="false">IF($B1822="","",COUNTIF($F1822:$AJ1822,"A"))</f>
        <v/>
      </c>
      <c r="AM1822" s="34" t="str">
        <f aca="false">IF($B1822="","",COUNTIF($F1822:$AJ1822,"HA"))</f>
        <v/>
      </c>
      <c r="AN1822" s="34" t="str">
        <f aca="false">IF($B1822="","",COUNTIF($F1822:$AJ1822,"L"))</f>
        <v/>
      </c>
      <c r="AO1822" s="34" t="str">
        <f aca="false">IF($B1822="","",COUNTIF($F1822:$AJ1822,"PL"))</f>
        <v/>
      </c>
      <c r="AP1822" s="34" t="str">
        <f aca="false">IF($B1822="","",COUNTIF($F1822:$AJ1822,"CL"))</f>
        <v/>
      </c>
      <c r="AQ1822" s="34" t="str">
        <f aca="false">IF($B1822="","",COUNTIF($F1822:$AJ1822,"SL"))</f>
        <v/>
      </c>
      <c r="AR1822" s="34" t="str">
        <f aca="false">IF($B1822="","",COUNTIF($F1822:$AJ1822,"CO"))</f>
        <v/>
      </c>
      <c r="AS1822" s="34" t="str">
        <f aca="false">IF($B1822="","",COUNTIF($F1822:$AJ1822,"HPL"))</f>
        <v/>
      </c>
      <c r="AT1822" s="34" t="str">
        <f aca="false">IF($B1822="","",COUNTIF($F1822:$AJ1822,"HCL"))</f>
        <v/>
      </c>
      <c r="AU1822" s="34" t="str">
        <f aca="false">IF($B1822="","",COUNTIF($F1822:$AJ1822,"WO"))</f>
        <v/>
      </c>
      <c r="AV1822" s="34" t="str">
        <f aca="false">IF($B1822="","",COUNTIF($F1822:$AJ1822,"PH"))</f>
        <v/>
      </c>
      <c r="AW1822" s="34" t="str">
        <f aca="false">IF($B1822="","",COUNTIF($F1822:$AJ1822,"TR"))</f>
        <v/>
      </c>
      <c r="AX1822" s="35" t="str">
        <f aca="false">IF($B1822="","",AO1822+AS1822/2)</f>
        <v/>
      </c>
      <c r="AY1822" s="35" t="str">
        <f aca="false">IF($B1822="","",AQ1822)</f>
        <v/>
      </c>
      <c r="AZ1822" s="35" t="str">
        <f aca="false">IF($B1822="","",AP1822+AT1822/2)</f>
        <v/>
      </c>
      <c r="BA1822" s="35" t="str">
        <f aca="false">IF($B1822="","",AK1822+AN1822+AM1822/2+AO1822+AP1822+AQ1822+AR1822+AS1822+AT1822+AU1822+AV1822+AW1822)</f>
        <v/>
      </c>
      <c r="BB1822" s="35" t="str">
        <f aca="false">IF($B1822="","",MAX(0,AN1822-Settings!$C$16)*Settings!$C$17)</f>
        <v/>
      </c>
      <c r="BC1822" s="35" t="str">
        <f aca="false">IF($B1822="","",BA1822-BB1822)</f>
        <v/>
      </c>
      <c r="BD1822" s="35" t="str">
        <f aca="false">IF(OR($B1822="",$A1822=""),"",DAY(EOMONTH($A1822,0))-COUNTA($F1822:$AJ1822))</f>
        <v/>
      </c>
    </row>
    <row r="1823" customFormat="false" ht="15" hidden="false" customHeight="false" outlineLevel="0" collapsed="false">
      <c r="A1823" s="32"/>
      <c r="B1823" s="29"/>
      <c r="C1823" s="10" t="str">
        <f aca="false">IF($B1823="","",IFERROR(INDEX(M_name,MATCH($B1823,M_emp,0)),"Code not found"))</f>
        <v/>
      </c>
      <c r="D1823" s="10" t="str">
        <f aca="false">IF($B1823="","",IFERROR(INDEX(M_dept,MATCH($B1823,M_emp,0)),""))</f>
        <v/>
      </c>
      <c r="E1823" s="10" t="str">
        <f aca="false">IF($B1823="","",IFERROR(INDEX(M_loc,MATCH($B1823,M_emp,0)),""))</f>
        <v/>
      </c>
      <c r="F1823" s="33"/>
      <c r="G1823" s="33"/>
      <c r="H1823" s="33"/>
      <c r="I1823" s="33"/>
      <c r="J1823" s="33"/>
      <c r="K1823" s="33"/>
      <c r="L1823" s="33"/>
      <c r="M1823" s="33"/>
      <c r="N1823" s="33"/>
      <c r="O1823" s="33"/>
      <c r="P1823" s="33"/>
      <c r="Q1823" s="33"/>
      <c r="R1823" s="33"/>
      <c r="S1823" s="33"/>
      <c r="T1823" s="33"/>
      <c r="U1823" s="33"/>
      <c r="V1823" s="33"/>
      <c r="W1823" s="33"/>
      <c r="X1823" s="33"/>
      <c r="Y1823" s="33"/>
      <c r="Z1823" s="33"/>
      <c r="AA1823" s="33"/>
      <c r="AB1823" s="33"/>
      <c r="AC1823" s="33"/>
      <c r="AD1823" s="33"/>
      <c r="AE1823" s="33"/>
      <c r="AF1823" s="33"/>
      <c r="AG1823" s="33"/>
      <c r="AH1823" s="33"/>
      <c r="AI1823" s="33"/>
      <c r="AJ1823" s="33"/>
      <c r="AK1823" s="34" t="str">
        <f aca="false">IF($B1823="","",COUNTIF($F1823:$AJ1823,"P"))</f>
        <v/>
      </c>
      <c r="AL1823" s="34" t="str">
        <f aca="false">IF($B1823="","",COUNTIF($F1823:$AJ1823,"A"))</f>
        <v/>
      </c>
      <c r="AM1823" s="34" t="str">
        <f aca="false">IF($B1823="","",COUNTIF($F1823:$AJ1823,"HA"))</f>
        <v/>
      </c>
      <c r="AN1823" s="34" t="str">
        <f aca="false">IF($B1823="","",COUNTIF($F1823:$AJ1823,"L"))</f>
        <v/>
      </c>
      <c r="AO1823" s="34" t="str">
        <f aca="false">IF($B1823="","",COUNTIF($F1823:$AJ1823,"PL"))</f>
        <v/>
      </c>
      <c r="AP1823" s="34" t="str">
        <f aca="false">IF($B1823="","",COUNTIF($F1823:$AJ1823,"CL"))</f>
        <v/>
      </c>
      <c r="AQ1823" s="34" t="str">
        <f aca="false">IF($B1823="","",COUNTIF($F1823:$AJ1823,"SL"))</f>
        <v/>
      </c>
      <c r="AR1823" s="34" t="str">
        <f aca="false">IF($B1823="","",COUNTIF($F1823:$AJ1823,"CO"))</f>
        <v/>
      </c>
      <c r="AS1823" s="34" t="str">
        <f aca="false">IF($B1823="","",COUNTIF($F1823:$AJ1823,"HPL"))</f>
        <v/>
      </c>
      <c r="AT1823" s="34" t="str">
        <f aca="false">IF($B1823="","",COUNTIF($F1823:$AJ1823,"HCL"))</f>
        <v/>
      </c>
      <c r="AU1823" s="34" t="str">
        <f aca="false">IF($B1823="","",COUNTIF($F1823:$AJ1823,"WO"))</f>
        <v/>
      </c>
      <c r="AV1823" s="34" t="str">
        <f aca="false">IF($B1823="","",COUNTIF($F1823:$AJ1823,"PH"))</f>
        <v/>
      </c>
      <c r="AW1823" s="34" t="str">
        <f aca="false">IF($B1823="","",COUNTIF($F1823:$AJ1823,"TR"))</f>
        <v/>
      </c>
      <c r="AX1823" s="35" t="str">
        <f aca="false">IF($B1823="","",AO1823+AS1823/2)</f>
        <v/>
      </c>
      <c r="AY1823" s="35" t="str">
        <f aca="false">IF($B1823="","",AQ1823)</f>
        <v/>
      </c>
      <c r="AZ1823" s="35" t="str">
        <f aca="false">IF($B1823="","",AP1823+AT1823/2)</f>
        <v/>
      </c>
      <c r="BA1823" s="35" t="str">
        <f aca="false">IF($B1823="","",AK1823+AN1823+AM1823/2+AO1823+AP1823+AQ1823+AR1823+AS1823+AT1823+AU1823+AV1823+AW1823)</f>
        <v/>
      </c>
      <c r="BB1823" s="35" t="str">
        <f aca="false">IF($B1823="","",MAX(0,AN1823-Settings!$C$16)*Settings!$C$17)</f>
        <v/>
      </c>
      <c r="BC1823" s="35" t="str">
        <f aca="false">IF($B1823="","",BA1823-BB1823)</f>
        <v/>
      </c>
      <c r="BD1823" s="35" t="str">
        <f aca="false">IF(OR($B1823="",$A1823=""),"",DAY(EOMONTH($A1823,0))-COUNTA($F1823:$AJ1823))</f>
        <v/>
      </c>
    </row>
    <row r="1824" customFormat="false" ht="15" hidden="false" customHeight="false" outlineLevel="0" collapsed="false">
      <c r="A1824" s="32"/>
      <c r="B1824" s="29"/>
      <c r="C1824" s="10" t="str">
        <f aca="false">IF($B1824="","",IFERROR(INDEX(M_name,MATCH($B1824,M_emp,0)),"Code not found"))</f>
        <v/>
      </c>
      <c r="D1824" s="10" t="str">
        <f aca="false">IF($B1824="","",IFERROR(INDEX(M_dept,MATCH($B1824,M_emp,0)),""))</f>
        <v/>
      </c>
      <c r="E1824" s="10" t="str">
        <f aca="false">IF($B1824="","",IFERROR(INDEX(M_loc,MATCH($B1824,M_emp,0)),""))</f>
        <v/>
      </c>
      <c r="F1824" s="33"/>
      <c r="G1824" s="33"/>
      <c r="H1824" s="33"/>
      <c r="I1824" s="33"/>
      <c r="J1824" s="33"/>
      <c r="K1824" s="33"/>
      <c r="L1824" s="33"/>
      <c r="M1824" s="33"/>
      <c r="N1824" s="33"/>
      <c r="O1824" s="33"/>
      <c r="P1824" s="33"/>
      <c r="Q1824" s="33"/>
      <c r="R1824" s="33"/>
      <c r="S1824" s="33"/>
      <c r="T1824" s="33"/>
      <c r="U1824" s="33"/>
      <c r="V1824" s="33"/>
      <c r="W1824" s="33"/>
      <c r="X1824" s="33"/>
      <c r="Y1824" s="33"/>
      <c r="Z1824" s="33"/>
      <c r="AA1824" s="33"/>
      <c r="AB1824" s="33"/>
      <c r="AC1824" s="33"/>
      <c r="AD1824" s="33"/>
      <c r="AE1824" s="33"/>
      <c r="AF1824" s="33"/>
      <c r="AG1824" s="33"/>
      <c r="AH1824" s="33"/>
      <c r="AI1824" s="33"/>
      <c r="AJ1824" s="33"/>
      <c r="AK1824" s="34" t="str">
        <f aca="false">IF($B1824="","",COUNTIF($F1824:$AJ1824,"P"))</f>
        <v/>
      </c>
      <c r="AL1824" s="34" t="str">
        <f aca="false">IF($B1824="","",COUNTIF($F1824:$AJ1824,"A"))</f>
        <v/>
      </c>
      <c r="AM1824" s="34" t="str">
        <f aca="false">IF($B1824="","",COUNTIF($F1824:$AJ1824,"HA"))</f>
        <v/>
      </c>
      <c r="AN1824" s="34" t="str">
        <f aca="false">IF($B1824="","",COUNTIF($F1824:$AJ1824,"L"))</f>
        <v/>
      </c>
      <c r="AO1824" s="34" t="str">
        <f aca="false">IF($B1824="","",COUNTIF($F1824:$AJ1824,"PL"))</f>
        <v/>
      </c>
      <c r="AP1824" s="34" t="str">
        <f aca="false">IF($B1824="","",COUNTIF($F1824:$AJ1824,"CL"))</f>
        <v/>
      </c>
      <c r="AQ1824" s="34" t="str">
        <f aca="false">IF($B1824="","",COUNTIF($F1824:$AJ1824,"SL"))</f>
        <v/>
      </c>
      <c r="AR1824" s="34" t="str">
        <f aca="false">IF($B1824="","",COUNTIF($F1824:$AJ1824,"CO"))</f>
        <v/>
      </c>
      <c r="AS1824" s="34" t="str">
        <f aca="false">IF($B1824="","",COUNTIF($F1824:$AJ1824,"HPL"))</f>
        <v/>
      </c>
      <c r="AT1824" s="34" t="str">
        <f aca="false">IF($B1824="","",COUNTIF($F1824:$AJ1824,"HCL"))</f>
        <v/>
      </c>
      <c r="AU1824" s="34" t="str">
        <f aca="false">IF($B1824="","",COUNTIF($F1824:$AJ1824,"WO"))</f>
        <v/>
      </c>
      <c r="AV1824" s="34" t="str">
        <f aca="false">IF($B1824="","",COUNTIF($F1824:$AJ1824,"PH"))</f>
        <v/>
      </c>
      <c r="AW1824" s="34" t="str">
        <f aca="false">IF($B1824="","",COUNTIF($F1824:$AJ1824,"TR"))</f>
        <v/>
      </c>
      <c r="AX1824" s="35" t="str">
        <f aca="false">IF($B1824="","",AO1824+AS1824/2)</f>
        <v/>
      </c>
      <c r="AY1824" s="35" t="str">
        <f aca="false">IF($B1824="","",AQ1824)</f>
        <v/>
      </c>
      <c r="AZ1824" s="35" t="str">
        <f aca="false">IF($B1824="","",AP1824+AT1824/2)</f>
        <v/>
      </c>
      <c r="BA1824" s="35" t="str">
        <f aca="false">IF($B1824="","",AK1824+AN1824+AM1824/2+AO1824+AP1824+AQ1824+AR1824+AS1824+AT1824+AU1824+AV1824+AW1824)</f>
        <v/>
      </c>
      <c r="BB1824" s="35" t="str">
        <f aca="false">IF($B1824="","",MAX(0,AN1824-Settings!$C$16)*Settings!$C$17)</f>
        <v/>
      </c>
      <c r="BC1824" s="35" t="str">
        <f aca="false">IF($B1824="","",BA1824-BB1824)</f>
        <v/>
      </c>
      <c r="BD1824" s="35" t="str">
        <f aca="false">IF(OR($B1824="",$A1824=""),"",DAY(EOMONTH($A1824,0))-COUNTA($F1824:$AJ1824))</f>
        <v/>
      </c>
    </row>
    <row r="1825" customFormat="false" ht="15" hidden="false" customHeight="false" outlineLevel="0" collapsed="false">
      <c r="A1825" s="32"/>
      <c r="B1825" s="29"/>
      <c r="C1825" s="10" t="str">
        <f aca="false">IF($B1825="","",IFERROR(INDEX(M_name,MATCH($B1825,M_emp,0)),"Code not found"))</f>
        <v/>
      </c>
      <c r="D1825" s="10" t="str">
        <f aca="false">IF($B1825="","",IFERROR(INDEX(M_dept,MATCH($B1825,M_emp,0)),""))</f>
        <v/>
      </c>
      <c r="E1825" s="10" t="str">
        <f aca="false">IF($B1825="","",IFERROR(INDEX(M_loc,MATCH($B1825,M_emp,0)),""))</f>
        <v/>
      </c>
      <c r="F1825" s="33"/>
      <c r="G1825" s="33"/>
      <c r="H1825" s="33"/>
      <c r="I1825" s="33"/>
      <c r="J1825" s="33"/>
      <c r="K1825" s="33"/>
      <c r="L1825" s="33"/>
      <c r="M1825" s="33"/>
      <c r="N1825" s="33"/>
      <c r="O1825" s="33"/>
      <c r="P1825" s="33"/>
      <c r="Q1825" s="33"/>
      <c r="R1825" s="33"/>
      <c r="S1825" s="33"/>
      <c r="T1825" s="33"/>
      <c r="U1825" s="33"/>
      <c r="V1825" s="33"/>
      <c r="W1825" s="33"/>
      <c r="X1825" s="33"/>
      <c r="Y1825" s="33"/>
      <c r="Z1825" s="33"/>
      <c r="AA1825" s="33"/>
      <c r="AB1825" s="33"/>
      <c r="AC1825" s="33"/>
      <c r="AD1825" s="33"/>
      <c r="AE1825" s="33"/>
      <c r="AF1825" s="33"/>
      <c r="AG1825" s="33"/>
      <c r="AH1825" s="33"/>
      <c r="AI1825" s="33"/>
      <c r="AJ1825" s="33"/>
      <c r="AK1825" s="34" t="str">
        <f aca="false">IF($B1825="","",COUNTIF($F1825:$AJ1825,"P"))</f>
        <v/>
      </c>
      <c r="AL1825" s="34" t="str">
        <f aca="false">IF($B1825="","",COUNTIF($F1825:$AJ1825,"A"))</f>
        <v/>
      </c>
      <c r="AM1825" s="34" t="str">
        <f aca="false">IF($B1825="","",COUNTIF($F1825:$AJ1825,"HA"))</f>
        <v/>
      </c>
      <c r="AN1825" s="34" t="str">
        <f aca="false">IF($B1825="","",COUNTIF($F1825:$AJ1825,"L"))</f>
        <v/>
      </c>
      <c r="AO1825" s="34" t="str">
        <f aca="false">IF($B1825="","",COUNTIF($F1825:$AJ1825,"PL"))</f>
        <v/>
      </c>
      <c r="AP1825" s="34" t="str">
        <f aca="false">IF($B1825="","",COUNTIF($F1825:$AJ1825,"CL"))</f>
        <v/>
      </c>
      <c r="AQ1825" s="34" t="str">
        <f aca="false">IF($B1825="","",COUNTIF($F1825:$AJ1825,"SL"))</f>
        <v/>
      </c>
      <c r="AR1825" s="34" t="str">
        <f aca="false">IF($B1825="","",COUNTIF($F1825:$AJ1825,"CO"))</f>
        <v/>
      </c>
      <c r="AS1825" s="34" t="str">
        <f aca="false">IF($B1825="","",COUNTIF($F1825:$AJ1825,"HPL"))</f>
        <v/>
      </c>
      <c r="AT1825" s="34" t="str">
        <f aca="false">IF($B1825="","",COUNTIF($F1825:$AJ1825,"HCL"))</f>
        <v/>
      </c>
      <c r="AU1825" s="34" t="str">
        <f aca="false">IF($B1825="","",COUNTIF($F1825:$AJ1825,"WO"))</f>
        <v/>
      </c>
      <c r="AV1825" s="34" t="str">
        <f aca="false">IF($B1825="","",COUNTIF($F1825:$AJ1825,"PH"))</f>
        <v/>
      </c>
      <c r="AW1825" s="34" t="str">
        <f aca="false">IF($B1825="","",COUNTIF($F1825:$AJ1825,"TR"))</f>
        <v/>
      </c>
      <c r="AX1825" s="35" t="str">
        <f aca="false">IF($B1825="","",AO1825+AS1825/2)</f>
        <v/>
      </c>
      <c r="AY1825" s="35" t="str">
        <f aca="false">IF($B1825="","",AQ1825)</f>
        <v/>
      </c>
      <c r="AZ1825" s="35" t="str">
        <f aca="false">IF($B1825="","",AP1825+AT1825/2)</f>
        <v/>
      </c>
      <c r="BA1825" s="35" t="str">
        <f aca="false">IF($B1825="","",AK1825+AN1825+AM1825/2+AO1825+AP1825+AQ1825+AR1825+AS1825+AT1825+AU1825+AV1825+AW1825)</f>
        <v/>
      </c>
      <c r="BB1825" s="35" t="str">
        <f aca="false">IF($B1825="","",MAX(0,AN1825-Settings!$C$16)*Settings!$C$17)</f>
        <v/>
      </c>
      <c r="BC1825" s="35" t="str">
        <f aca="false">IF($B1825="","",BA1825-BB1825)</f>
        <v/>
      </c>
      <c r="BD1825" s="35" t="str">
        <f aca="false">IF(OR($B1825="",$A1825=""),"",DAY(EOMONTH($A1825,0))-COUNTA($F1825:$AJ1825))</f>
        <v/>
      </c>
    </row>
    <row r="1826" customFormat="false" ht="15" hidden="false" customHeight="false" outlineLevel="0" collapsed="false">
      <c r="A1826" s="32"/>
      <c r="B1826" s="29"/>
      <c r="C1826" s="10" t="str">
        <f aca="false">IF($B1826="","",IFERROR(INDEX(M_name,MATCH($B1826,M_emp,0)),"Code not found"))</f>
        <v/>
      </c>
      <c r="D1826" s="10" t="str">
        <f aca="false">IF($B1826="","",IFERROR(INDEX(M_dept,MATCH($B1826,M_emp,0)),""))</f>
        <v/>
      </c>
      <c r="E1826" s="10" t="str">
        <f aca="false">IF($B1826="","",IFERROR(INDEX(M_loc,MATCH($B1826,M_emp,0)),""))</f>
        <v/>
      </c>
      <c r="F1826" s="33"/>
      <c r="G1826" s="33"/>
      <c r="H1826" s="33"/>
      <c r="I1826" s="33"/>
      <c r="J1826" s="33"/>
      <c r="K1826" s="33"/>
      <c r="L1826" s="33"/>
      <c r="M1826" s="33"/>
      <c r="N1826" s="33"/>
      <c r="O1826" s="33"/>
      <c r="P1826" s="33"/>
      <c r="Q1826" s="33"/>
      <c r="R1826" s="33"/>
      <c r="S1826" s="33"/>
      <c r="T1826" s="33"/>
      <c r="U1826" s="33"/>
      <c r="V1826" s="33"/>
      <c r="W1826" s="33"/>
      <c r="X1826" s="33"/>
      <c r="Y1826" s="33"/>
      <c r="Z1826" s="33"/>
      <c r="AA1826" s="33"/>
      <c r="AB1826" s="33"/>
      <c r="AC1826" s="33"/>
      <c r="AD1826" s="33"/>
      <c r="AE1826" s="33"/>
      <c r="AF1826" s="33"/>
      <c r="AG1826" s="33"/>
      <c r="AH1826" s="33"/>
      <c r="AI1826" s="33"/>
      <c r="AJ1826" s="33"/>
      <c r="AK1826" s="34" t="str">
        <f aca="false">IF($B1826="","",COUNTIF($F1826:$AJ1826,"P"))</f>
        <v/>
      </c>
      <c r="AL1826" s="34" t="str">
        <f aca="false">IF($B1826="","",COUNTIF($F1826:$AJ1826,"A"))</f>
        <v/>
      </c>
      <c r="AM1826" s="34" t="str">
        <f aca="false">IF($B1826="","",COUNTIF($F1826:$AJ1826,"HA"))</f>
        <v/>
      </c>
      <c r="AN1826" s="34" t="str">
        <f aca="false">IF($B1826="","",COUNTIF($F1826:$AJ1826,"L"))</f>
        <v/>
      </c>
      <c r="AO1826" s="34" t="str">
        <f aca="false">IF($B1826="","",COUNTIF($F1826:$AJ1826,"PL"))</f>
        <v/>
      </c>
      <c r="AP1826" s="34" t="str">
        <f aca="false">IF($B1826="","",COUNTIF($F1826:$AJ1826,"CL"))</f>
        <v/>
      </c>
      <c r="AQ1826" s="34" t="str">
        <f aca="false">IF($B1826="","",COUNTIF($F1826:$AJ1826,"SL"))</f>
        <v/>
      </c>
      <c r="AR1826" s="34" t="str">
        <f aca="false">IF($B1826="","",COUNTIF($F1826:$AJ1826,"CO"))</f>
        <v/>
      </c>
      <c r="AS1826" s="34" t="str">
        <f aca="false">IF($B1826="","",COUNTIF($F1826:$AJ1826,"HPL"))</f>
        <v/>
      </c>
      <c r="AT1826" s="34" t="str">
        <f aca="false">IF($B1826="","",COUNTIF($F1826:$AJ1826,"HCL"))</f>
        <v/>
      </c>
      <c r="AU1826" s="34" t="str">
        <f aca="false">IF($B1826="","",COUNTIF($F1826:$AJ1826,"WO"))</f>
        <v/>
      </c>
      <c r="AV1826" s="34" t="str">
        <f aca="false">IF($B1826="","",COUNTIF($F1826:$AJ1826,"PH"))</f>
        <v/>
      </c>
      <c r="AW1826" s="34" t="str">
        <f aca="false">IF($B1826="","",COUNTIF($F1826:$AJ1826,"TR"))</f>
        <v/>
      </c>
      <c r="AX1826" s="35" t="str">
        <f aca="false">IF($B1826="","",AO1826+AS1826/2)</f>
        <v/>
      </c>
      <c r="AY1826" s="35" t="str">
        <f aca="false">IF($B1826="","",AQ1826)</f>
        <v/>
      </c>
      <c r="AZ1826" s="35" t="str">
        <f aca="false">IF($B1826="","",AP1826+AT1826/2)</f>
        <v/>
      </c>
      <c r="BA1826" s="35" t="str">
        <f aca="false">IF($B1826="","",AK1826+AN1826+AM1826/2+AO1826+AP1826+AQ1826+AR1826+AS1826+AT1826+AU1826+AV1826+AW1826)</f>
        <v/>
      </c>
      <c r="BB1826" s="35" t="str">
        <f aca="false">IF($B1826="","",MAX(0,AN1826-Settings!$C$16)*Settings!$C$17)</f>
        <v/>
      </c>
      <c r="BC1826" s="35" t="str">
        <f aca="false">IF($B1826="","",BA1826-BB1826)</f>
        <v/>
      </c>
      <c r="BD1826" s="35" t="str">
        <f aca="false">IF(OR($B1826="",$A1826=""),"",DAY(EOMONTH($A1826,0))-COUNTA($F1826:$AJ1826))</f>
        <v/>
      </c>
    </row>
    <row r="1827" customFormat="false" ht="15" hidden="false" customHeight="false" outlineLevel="0" collapsed="false">
      <c r="A1827" s="32"/>
      <c r="B1827" s="29"/>
      <c r="C1827" s="10" t="str">
        <f aca="false">IF($B1827="","",IFERROR(INDEX(M_name,MATCH($B1827,M_emp,0)),"Code not found"))</f>
        <v/>
      </c>
      <c r="D1827" s="10" t="str">
        <f aca="false">IF($B1827="","",IFERROR(INDEX(M_dept,MATCH($B1827,M_emp,0)),""))</f>
        <v/>
      </c>
      <c r="E1827" s="10" t="str">
        <f aca="false">IF($B1827="","",IFERROR(INDEX(M_loc,MATCH($B1827,M_emp,0)),""))</f>
        <v/>
      </c>
      <c r="F1827" s="33"/>
      <c r="G1827" s="33"/>
      <c r="H1827" s="33"/>
      <c r="I1827" s="33"/>
      <c r="J1827" s="33"/>
      <c r="K1827" s="33"/>
      <c r="L1827" s="33"/>
      <c r="M1827" s="33"/>
      <c r="N1827" s="33"/>
      <c r="O1827" s="33"/>
      <c r="P1827" s="33"/>
      <c r="Q1827" s="33"/>
      <c r="R1827" s="33"/>
      <c r="S1827" s="33"/>
      <c r="T1827" s="33"/>
      <c r="U1827" s="33"/>
      <c r="V1827" s="33"/>
      <c r="W1827" s="33"/>
      <c r="X1827" s="33"/>
      <c r="Y1827" s="33"/>
      <c r="Z1827" s="33"/>
      <c r="AA1827" s="33"/>
      <c r="AB1827" s="33"/>
      <c r="AC1827" s="33"/>
      <c r="AD1827" s="33"/>
      <c r="AE1827" s="33"/>
      <c r="AF1827" s="33"/>
      <c r="AG1827" s="33"/>
      <c r="AH1827" s="33"/>
      <c r="AI1827" s="33"/>
      <c r="AJ1827" s="33"/>
      <c r="AK1827" s="34" t="str">
        <f aca="false">IF($B1827="","",COUNTIF($F1827:$AJ1827,"P"))</f>
        <v/>
      </c>
      <c r="AL1827" s="34" t="str">
        <f aca="false">IF($B1827="","",COUNTIF($F1827:$AJ1827,"A"))</f>
        <v/>
      </c>
      <c r="AM1827" s="34" t="str">
        <f aca="false">IF($B1827="","",COUNTIF($F1827:$AJ1827,"HA"))</f>
        <v/>
      </c>
      <c r="AN1827" s="34" t="str">
        <f aca="false">IF($B1827="","",COUNTIF($F1827:$AJ1827,"L"))</f>
        <v/>
      </c>
      <c r="AO1827" s="34" t="str">
        <f aca="false">IF($B1827="","",COUNTIF($F1827:$AJ1827,"PL"))</f>
        <v/>
      </c>
      <c r="AP1827" s="34" t="str">
        <f aca="false">IF($B1827="","",COUNTIF($F1827:$AJ1827,"CL"))</f>
        <v/>
      </c>
      <c r="AQ1827" s="34" t="str">
        <f aca="false">IF($B1827="","",COUNTIF($F1827:$AJ1827,"SL"))</f>
        <v/>
      </c>
      <c r="AR1827" s="34" t="str">
        <f aca="false">IF($B1827="","",COUNTIF($F1827:$AJ1827,"CO"))</f>
        <v/>
      </c>
      <c r="AS1827" s="34" t="str">
        <f aca="false">IF($B1827="","",COUNTIF($F1827:$AJ1827,"HPL"))</f>
        <v/>
      </c>
      <c r="AT1827" s="34" t="str">
        <f aca="false">IF($B1827="","",COUNTIF($F1827:$AJ1827,"HCL"))</f>
        <v/>
      </c>
      <c r="AU1827" s="34" t="str">
        <f aca="false">IF($B1827="","",COUNTIF($F1827:$AJ1827,"WO"))</f>
        <v/>
      </c>
      <c r="AV1827" s="34" t="str">
        <f aca="false">IF($B1827="","",COUNTIF($F1827:$AJ1827,"PH"))</f>
        <v/>
      </c>
      <c r="AW1827" s="34" t="str">
        <f aca="false">IF($B1827="","",COUNTIF($F1827:$AJ1827,"TR"))</f>
        <v/>
      </c>
      <c r="AX1827" s="35" t="str">
        <f aca="false">IF($B1827="","",AO1827+AS1827/2)</f>
        <v/>
      </c>
      <c r="AY1827" s="35" t="str">
        <f aca="false">IF($B1827="","",AQ1827)</f>
        <v/>
      </c>
      <c r="AZ1827" s="35" t="str">
        <f aca="false">IF($B1827="","",AP1827+AT1827/2)</f>
        <v/>
      </c>
      <c r="BA1827" s="35" t="str">
        <f aca="false">IF($B1827="","",AK1827+AN1827+AM1827/2+AO1827+AP1827+AQ1827+AR1827+AS1827+AT1827+AU1827+AV1827+AW1827)</f>
        <v/>
      </c>
      <c r="BB1827" s="35" t="str">
        <f aca="false">IF($B1827="","",MAX(0,AN1827-Settings!$C$16)*Settings!$C$17)</f>
        <v/>
      </c>
      <c r="BC1827" s="35" t="str">
        <f aca="false">IF($B1827="","",BA1827-BB1827)</f>
        <v/>
      </c>
      <c r="BD1827" s="35" t="str">
        <f aca="false">IF(OR($B1827="",$A1827=""),"",DAY(EOMONTH($A1827,0))-COUNTA($F1827:$AJ1827))</f>
        <v/>
      </c>
    </row>
    <row r="1828" customFormat="false" ht="15" hidden="false" customHeight="false" outlineLevel="0" collapsed="false">
      <c r="A1828" s="32"/>
      <c r="B1828" s="29"/>
      <c r="C1828" s="10" t="str">
        <f aca="false">IF($B1828="","",IFERROR(INDEX(M_name,MATCH($B1828,M_emp,0)),"Code not found"))</f>
        <v/>
      </c>
      <c r="D1828" s="10" t="str">
        <f aca="false">IF($B1828="","",IFERROR(INDEX(M_dept,MATCH($B1828,M_emp,0)),""))</f>
        <v/>
      </c>
      <c r="E1828" s="10" t="str">
        <f aca="false">IF($B1828="","",IFERROR(INDEX(M_loc,MATCH($B1828,M_emp,0)),""))</f>
        <v/>
      </c>
      <c r="F1828" s="33"/>
      <c r="G1828" s="33"/>
      <c r="H1828" s="33"/>
      <c r="I1828" s="33"/>
      <c r="J1828" s="33"/>
      <c r="K1828" s="33"/>
      <c r="L1828" s="33"/>
      <c r="M1828" s="33"/>
      <c r="N1828" s="33"/>
      <c r="O1828" s="33"/>
      <c r="P1828" s="33"/>
      <c r="Q1828" s="33"/>
      <c r="R1828" s="33"/>
      <c r="S1828" s="33"/>
      <c r="T1828" s="33"/>
      <c r="U1828" s="33"/>
      <c r="V1828" s="33"/>
      <c r="W1828" s="33"/>
      <c r="X1828" s="33"/>
      <c r="Y1828" s="33"/>
      <c r="Z1828" s="33"/>
      <c r="AA1828" s="33"/>
      <c r="AB1828" s="33"/>
      <c r="AC1828" s="33"/>
      <c r="AD1828" s="33"/>
      <c r="AE1828" s="33"/>
      <c r="AF1828" s="33"/>
      <c r="AG1828" s="33"/>
      <c r="AH1828" s="33"/>
      <c r="AI1828" s="33"/>
      <c r="AJ1828" s="33"/>
      <c r="AK1828" s="34" t="str">
        <f aca="false">IF($B1828="","",COUNTIF($F1828:$AJ1828,"P"))</f>
        <v/>
      </c>
      <c r="AL1828" s="34" t="str">
        <f aca="false">IF($B1828="","",COUNTIF($F1828:$AJ1828,"A"))</f>
        <v/>
      </c>
      <c r="AM1828" s="34" t="str">
        <f aca="false">IF($B1828="","",COUNTIF($F1828:$AJ1828,"HA"))</f>
        <v/>
      </c>
      <c r="AN1828" s="34" t="str">
        <f aca="false">IF($B1828="","",COUNTIF($F1828:$AJ1828,"L"))</f>
        <v/>
      </c>
      <c r="AO1828" s="34" t="str">
        <f aca="false">IF($B1828="","",COUNTIF($F1828:$AJ1828,"PL"))</f>
        <v/>
      </c>
      <c r="AP1828" s="34" t="str">
        <f aca="false">IF($B1828="","",COUNTIF($F1828:$AJ1828,"CL"))</f>
        <v/>
      </c>
      <c r="AQ1828" s="34" t="str">
        <f aca="false">IF($B1828="","",COUNTIF($F1828:$AJ1828,"SL"))</f>
        <v/>
      </c>
      <c r="AR1828" s="34" t="str">
        <f aca="false">IF($B1828="","",COUNTIF($F1828:$AJ1828,"CO"))</f>
        <v/>
      </c>
      <c r="AS1828" s="34" t="str">
        <f aca="false">IF($B1828="","",COUNTIF($F1828:$AJ1828,"HPL"))</f>
        <v/>
      </c>
      <c r="AT1828" s="34" t="str">
        <f aca="false">IF($B1828="","",COUNTIF($F1828:$AJ1828,"HCL"))</f>
        <v/>
      </c>
      <c r="AU1828" s="34" t="str">
        <f aca="false">IF($B1828="","",COUNTIF($F1828:$AJ1828,"WO"))</f>
        <v/>
      </c>
      <c r="AV1828" s="34" t="str">
        <f aca="false">IF($B1828="","",COUNTIF($F1828:$AJ1828,"PH"))</f>
        <v/>
      </c>
      <c r="AW1828" s="34" t="str">
        <f aca="false">IF($B1828="","",COUNTIF($F1828:$AJ1828,"TR"))</f>
        <v/>
      </c>
      <c r="AX1828" s="35" t="str">
        <f aca="false">IF($B1828="","",AO1828+AS1828/2)</f>
        <v/>
      </c>
      <c r="AY1828" s="35" t="str">
        <f aca="false">IF($B1828="","",AQ1828)</f>
        <v/>
      </c>
      <c r="AZ1828" s="35" t="str">
        <f aca="false">IF($B1828="","",AP1828+AT1828/2)</f>
        <v/>
      </c>
      <c r="BA1828" s="35" t="str">
        <f aca="false">IF($B1828="","",AK1828+AN1828+AM1828/2+AO1828+AP1828+AQ1828+AR1828+AS1828+AT1828+AU1828+AV1828+AW1828)</f>
        <v/>
      </c>
      <c r="BB1828" s="35" t="str">
        <f aca="false">IF($B1828="","",MAX(0,AN1828-Settings!$C$16)*Settings!$C$17)</f>
        <v/>
      </c>
      <c r="BC1828" s="35" t="str">
        <f aca="false">IF($B1828="","",BA1828-BB1828)</f>
        <v/>
      </c>
      <c r="BD1828" s="35" t="str">
        <f aca="false">IF(OR($B1828="",$A1828=""),"",DAY(EOMONTH($A1828,0))-COUNTA($F1828:$AJ1828))</f>
        <v/>
      </c>
    </row>
    <row r="1829" customFormat="false" ht="15" hidden="false" customHeight="false" outlineLevel="0" collapsed="false">
      <c r="A1829" s="32"/>
      <c r="B1829" s="29"/>
      <c r="C1829" s="10" t="str">
        <f aca="false">IF($B1829="","",IFERROR(INDEX(M_name,MATCH($B1829,M_emp,0)),"Code not found"))</f>
        <v/>
      </c>
      <c r="D1829" s="10" t="str">
        <f aca="false">IF($B1829="","",IFERROR(INDEX(M_dept,MATCH($B1829,M_emp,0)),""))</f>
        <v/>
      </c>
      <c r="E1829" s="10" t="str">
        <f aca="false">IF($B1829="","",IFERROR(INDEX(M_loc,MATCH($B1829,M_emp,0)),""))</f>
        <v/>
      </c>
      <c r="F1829" s="33"/>
      <c r="G1829" s="33"/>
      <c r="H1829" s="33"/>
      <c r="I1829" s="33"/>
      <c r="J1829" s="33"/>
      <c r="K1829" s="33"/>
      <c r="L1829" s="33"/>
      <c r="M1829" s="33"/>
      <c r="N1829" s="33"/>
      <c r="O1829" s="33"/>
      <c r="P1829" s="33"/>
      <c r="Q1829" s="33"/>
      <c r="R1829" s="33"/>
      <c r="S1829" s="33"/>
      <c r="T1829" s="33"/>
      <c r="U1829" s="33"/>
      <c r="V1829" s="33"/>
      <c r="W1829" s="33"/>
      <c r="X1829" s="33"/>
      <c r="Y1829" s="33"/>
      <c r="Z1829" s="33"/>
      <c r="AA1829" s="33"/>
      <c r="AB1829" s="33"/>
      <c r="AC1829" s="33"/>
      <c r="AD1829" s="33"/>
      <c r="AE1829" s="33"/>
      <c r="AF1829" s="33"/>
      <c r="AG1829" s="33"/>
      <c r="AH1829" s="33"/>
      <c r="AI1829" s="33"/>
      <c r="AJ1829" s="33"/>
      <c r="AK1829" s="34" t="str">
        <f aca="false">IF($B1829="","",COUNTIF($F1829:$AJ1829,"P"))</f>
        <v/>
      </c>
      <c r="AL1829" s="34" t="str">
        <f aca="false">IF($B1829="","",COUNTIF($F1829:$AJ1829,"A"))</f>
        <v/>
      </c>
      <c r="AM1829" s="34" t="str">
        <f aca="false">IF($B1829="","",COUNTIF($F1829:$AJ1829,"HA"))</f>
        <v/>
      </c>
      <c r="AN1829" s="34" t="str">
        <f aca="false">IF($B1829="","",COUNTIF($F1829:$AJ1829,"L"))</f>
        <v/>
      </c>
      <c r="AO1829" s="34" t="str">
        <f aca="false">IF($B1829="","",COUNTIF($F1829:$AJ1829,"PL"))</f>
        <v/>
      </c>
      <c r="AP1829" s="34" t="str">
        <f aca="false">IF($B1829="","",COUNTIF($F1829:$AJ1829,"CL"))</f>
        <v/>
      </c>
      <c r="AQ1829" s="34" t="str">
        <f aca="false">IF($B1829="","",COUNTIF($F1829:$AJ1829,"SL"))</f>
        <v/>
      </c>
      <c r="AR1829" s="34" t="str">
        <f aca="false">IF($B1829="","",COUNTIF($F1829:$AJ1829,"CO"))</f>
        <v/>
      </c>
      <c r="AS1829" s="34" t="str">
        <f aca="false">IF($B1829="","",COUNTIF($F1829:$AJ1829,"HPL"))</f>
        <v/>
      </c>
      <c r="AT1829" s="34" t="str">
        <f aca="false">IF($B1829="","",COUNTIF($F1829:$AJ1829,"HCL"))</f>
        <v/>
      </c>
      <c r="AU1829" s="34" t="str">
        <f aca="false">IF($B1829="","",COUNTIF($F1829:$AJ1829,"WO"))</f>
        <v/>
      </c>
      <c r="AV1829" s="34" t="str">
        <f aca="false">IF($B1829="","",COUNTIF($F1829:$AJ1829,"PH"))</f>
        <v/>
      </c>
      <c r="AW1829" s="34" t="str">
        <f aca="false">IF($B1829="","",COUNTIF($F1829:$AJ1829,"TR"))</f>
        <v/>
      </c>
      <c r="AX1829" s="35" t="str">
        <f aca="false">IF($B1829="","",AO1829+AS1829/2)</f>
        <v/>
      </c>
      <c r="AY1829" s="35" t="str">
        <f aca="false">IF($B1829="","",AQ1829)</f>
        <v/>
      </c>
      <c r="AZ1829" s="35" t="str">
        <f aca="false">IF($B1829="","",AP1829+AT1829/2)</f>
        <v/>
      </c>
      <c r="BA1829" s="35" t="str">
        <f aca="false">IF($B1829="","",AK1829+AN1829+AM1829/2+AO1829+AP1829+AQ1829+AR1829+AS1829+AT1829+AU1829+AV1829+AW1829)</f>
        <v/>
      </c>
      <c r="BB1829" s="35" t="str">
        <f aca="false">IF($B1829="","",MAX(0,AN1829-Settings!$C$16)*Settings!$C$17)</f>
        <v/>
      </c>
      <c r="BC1829" s="35" t="str">
        <f aca="false">IF($B1829="","",BA1829-BB1829)</f>
        <v/>
      </c>
      <c r="BD1829" s="35" t="str">
        <f aca="false">IF(OR($B1829="",$A1829=""),"",DAY(EOMONTH($A1829,0))-COUNTA($F1829:$AJ1829))</f>
        <v/>
      </c>
    </row>
    <row r="1830" customFormat="false" ht="15" hidden="false" customHeight="false" outlineLevel="0" collapsed="false">
      <c r="A1830" s="32"/>
      <c r="B1830" s="29"/>
      <c r="C1830" s="10" t="str">
        <f aca="false">IF($B1830="","",IFERROR(INDEX(M_name,MATCH($B1830,M_emp,0)),"Code not found"))</f>
        <v/>
      </c>
      <c r="D1830" s="10" t="str">
        <f aca="false">IF($B1830="","",IFERROR(INDEX(M_dept,MATCH($B1830,M_emp,0)),""))</f>
        <v/>
      </c>
      <c r="E1830" s="10" t="str">
        <f aca="false">IF($B1830="","",IFERROR(INDEX(M_loc,MATCH($B1830,M_emp,0)),""))</f>
        <v/>
      </c>
      <c r="F1830" s="33"/>
      <c r="G1830" s="33"/>
      <c r="H1830" s="33"/>
      <c r="I1830" s="33"/>
      <c r="J1830" s="33"/>
      <c r="K1830" s="33"/>
      <c r="L1830" s="33"/>
      <c r="M1830" s="33"/>
      <c r="N1830" s="33"/>
      <c r="O1830" s="33"/>
      <c r="P1830" s="33"/>
      <c r="Q1830" s="33"/>
      <c r="R1830" s="33"/>
      <c r="S1830" s="33"/>
      <c r="T1830" s="33"/>
      <c r="U1830" s="33"/>
      <c r="V1830" s="33"/>
      <c r="W1830" s="33"/>
      <c r="X1830" s="33"/>
      <c r="Y1830" s="33"/>
      <c r="Z1830" s="33"/>
      <c r="AA1830" s="33"/>
      <c r="AB1830" s="33"/>
      <c r="AC1830" s="33"/>
      <c r="AD1830" s="33"/>
      <c r="AE1830" s="33"/>
      <c r="AF1830" s="33"/>
      <c r="AG1830" s="33"/>
      <c r="AH1830" s="33"/>
      <c r="AI1830" s="33"/>
      <c r="AJ1830" s="33"/>
      <c r="AK1830" s="34" t="str">
        <f aca="false">IF($B1830="","",COUNTIF($F1830:$AJ1830,"P"))</f>
        <v/>
      </c>
      <c r="AL1830" s="34" t="str">
        <f aca="false">IF($B1830="","",COUNTIF($F1830:$AJ1830,"A"))</f>
        <v/>
      </c>
      <c r="AM1830" s="34" t="str">
        <f aca="false">IF($B1830="","",COUNTIF($F1830:$AJ1830,"HA"))</f>
        <v/>
      </c>
      <c r="AN1830" s="34" t="str">
        <f aca="false">IF($B1830="","",COUNTIF($F1830:$AJ1830,"L"))</f>
        <v/>
      </c>
      <c r="AO1830" s="34" t="str">
        <f aca="false">IF($B1830="","",COUNTIF($F1830:$AJ1830,"PL"))</f>
        <v/>
      </c>
      <c r="AP1830" s="34" t="str">
        <f aca="false">IF($B1830="","",COUNTIF($F1830:$AJ1830,"CL"))</f>
        <v/>
      </c>
      <c r="AQ1830" s="34" t="str">
        <f aca="false">IF($B1830="","",COUNTIF($F1830:$AJ1830,"SL"))</f>
        <v/>
      </c>
      <c r="AR1830" s="34" t="str">
        <f aca="false">IF($B1830="","",COUNTIF($F1830:$AJ1830,"CO"))</f>
        <v/>
      </c>
      <c r="AS1830" s="34" t="str">
        <f aca="false">IF($B1830="","",COUNTIF($F1830:$AJ1830,"HPL"))</f>
        <v/>
      </c>
      <c r="AT1830" s="34" t="str">
        <f aca="false">IF($B1830="","",COUNTIF($F1830:$AJ1830,"HCL"))</f>
        <v/>
      </c>
      <c r="AU1830" s="34" t="str">
        <f aca="false">IF($B1830="","",COUNTIF($F1830:$AJ1830,"WO"))</f>
        <v/>
      </c>
      <c r="AV1830" s="34" t="str">
        <f aca="false">IF($B1830="","",COUNTIF($F1830:$AJ1830,"PH"))</f>
        <v/>
      </c>
      <c r="AW1830" s="34" t="str">
        <f aca="false">IF($B1830="","",COUNTIF($F1830:$AJ1830,"TR"))</f>
        <v/>
      </c>
      <c r="AX1830" s="35" t="str">
        <f aca="false">IF($B1830="","",AO1830+AS1830/2)</f>
        <v/>
      </c>
      <c r="AY1830" s="35" t="str">
        <f aca="false">IF($B1830="","",AQ1830)</f>
        <v/>
      </c>
      <c r="AZ1830" s="35" t="str">
        <f aca="false">IF($B1830="","",AP1830+AT1830/2)</f>
        <v/>
      </c>
      <c r="BA1830" s="35" t="str">
        <f aca="false">IF($B1830="","",AK1830+AN1830+AM1830/2+AO1830+AP1830+AQ1830+AR1830+AS1830+AT1830+AU1830+AV1830+AW1830)</f>
        <v/>
      </c>
      <c r="BB1830" s="35" t="str">
        <f aca="false">IF($B1830="","",MAX(0,AN1830-Settings!$C$16)*Settings!$C$17)</f>
        <v/>
      </c>
      <c r="BC1830" s="35" t="str">
        <f aca="false">IF($B1830="","",BA1830-BB1830)</f>
        <v/>
      </c>
      <c r="BD1830" s="35" t="str">
        <f aca="false">IF(OR($B1830="",$A1830=""),"",DAY(EOMONTH($A1830,0))-COUNTA($F1830:$AJ1830))</f>
        <v/>
      </c>
    </row>
    <row r="1831" customFormat="false" ht="15" hidden="false" customHeight="false" outlineLevel="0" collapsed="false">
      <c r="A1831" s="32"/>
      <c r="B1831" s="29"/>
      <c r="C1831" s="10" t="str">
        <f aca="false">IF($B1831="","",IFERROR(INDEX(M_name,MATCH($B1831,M_emp,0)),"Code not found"))</f>
        <v/>
      </c>
      <c r="D1831" s="10" t="str">
        <f aca="false">IF($B1831="","",IFERROR(INDEX(M_dept,MATCH($B1831,M_emp,0)),""))</f>
        <v/>
      </c>
      <c r="E1831" s="10" t="str">
        <f aca="false">IF($B1831="","",IFERROR(INDEX(M_loc,MATCH($B1831,M_emp,0)),""))</f>
        <v/>
      </c>
      <c r="F1831" s="33"/>
      <c r="G1831" s="33"/>
      <c r="H1831" s="33"/>
      <c r="I1831" s="33"/>
      <c r="J1831" s="33"/>
      <c r="K1831" s="33"/>
      <c r="L1831" s="33"/>
      <c r="M1831" s="33"/>
      <c r="N1831" s="33"/>
      <c r="O1831" s="33"/>
      <c r="P1831" s="33"/>
      <c r="Q1831" s="33"/>
      <c r="R1831" s="33"/>
      <c r="S1831" s="33"/>
      <c r="T1831" s="33"/>
      <c r="U1831" s="33"/>
      <c r="V1831" s="33"/>
      <c r="W1831" s="33"/>
      <c r="X1831" s="33"/>
      <c r="Y1831" s="33"/>
      <c r="Z1831" s="33"/>
      <c r="AA1831" s="33"/>
      <c r="AB1831" s="33"/>
      <c r="AC1831" s="33"/>
      <c r="AD1831" s="33"/>
      <c r="AE1831" s="33"/>
      <c r="AF1831" s="33"/>
      <c r="AG1831" s="33"/>
      <c r="AH1831" s="33"/>
      <c r="AI1831" s="33"/>
      <c r="AJ1831" s="33"/>
      <c r="AK1831" s="34" t="str">
        <f aca="false">IF($B1831="","",COUNTIF($F1831:$AJ1831,"P"))</f>
        <v/>
      </c>
      <c r="AL1831" s="34" t="str">
        <f aca="false">IF($B1831="","",COUNTIF($F1831:$AJ1831,"A"))</f>
        <v/>
      </c>
      <c r="AM1831" s="34" t="str">
        <f aca="false">IF($B1831="","",COUNTIF($F1831:$AJ1831,"HA"))</f>
        <v/>
      </c>
      <c r="AN1831" s="34" t="str">
        <f aca="false">IF($B1831="","",COUNTIF($F1831:$AJ1831,"L"))</f>
        <v/>
      </c>
      <c r="AO1831" s="34" t="str">
        <f aca="false">IF($B1831="","",COUNTIF($F1831:$AJ1831,"PL"))</f>
        <v/>
      </c>
      <c r="AP1831" s="34" t="str">
        <f aca="false">IF($B1831="","",COUNTIF($F1831:$AJ1831,"CL"))</f>
        <v/>
      </c>
      <c r="AQ1831" s="34" t="str">
        <f aca="false">IF($B1831="","",COUNTIF($F1831:$AJ1831,"SL"))</f>
        <v/>
      </c>
      <c r="AR1831" s="34" t="str">
        <f aca="false">IF($B1831="","",COUNTIF($F1831:$AJ1831,"CO"))</f>
        <v/>
      </c>
      <c r="AS1831" s="34" t="str">
        <f aca="false">IF($B1831="","",COUNTIF($F1831:$AJ1831,"HPL"))</f>
        <v/>
      </c>
      <c r="AT1831" s="34" t="str">
        <f aca="false">IF($B1831="","",COUNTIF($F1831:$AJ1831,"HCL"))</f>
        <v/>
      </c>
      <c r="AU1831" s="34" t="str">
        <f aca="false">IF($B1831="","",COUNTIF($F1831:$AJ1831,"WO"))</f>
        <v/>
      </c>
      <c r="AV1831" s="34" t="str">
        <f aca="false">IF($B1831="","",COUNTIF($F1831:$AJ1831,"PH"))</f>
        <v/>
      </c>
      <c r="AW1831" s="34" t="str">
        <f aca="false">IF($B1831="","",COUNTIF($F1831:$AJ1831,"TR"))</f>
        <v/>
      </c>
      <c r="AX1831" s="35" t="str">
        <f aca="false">IF($B1831="","",AO1831+AS1831/2)</f>
        <v/>
      </c>
      <c r="AY1831" s="35" t="str">
        <f aca="false">IF($B1831="","",AQ1831)</f>
        <v/>
      </c>
      <c r="AZ1831" s="35" t="str">
        <f aca="false">IF($B1831="","",AP1831+AT1831/2)</f>
        <v/>
      </c>
      <c r="BA1831" s="35" t="str">
        <f aca="false">IF($B1831="","",AK1831+AN1831+AM1831/2+AO1831+AP1831+AQ1831+AR1831+AS1831+AT1831+AU1831+AV1831+AW1831)</f>
        <v/>
      </c>
      <c r="BB1831" s="35" t="str">
        <f aca="false">IF($B1831="","",MAX(0,AN1831-Settings!$C$16)*Settings!$C$17)</f>
        <v/>
      </c>
      <c r="BC1831" s="35" t="str">
        <f aca="false">IF($B1831="","",BA1831-BB1831)</f>
        <v/>
      </c>
      <c r="BD1831" s="35" t="str">
        <f aca="false">IF(OR($B1831="",$A1831=""),"",DAY(EOMONTH($A1831,0))-COUNTA($F1831:$AJ1831))</f>
        <v/>
      </c>
    </row>
    <row r="1832" customFormat="false" ht="15" hidden="false" customHeight="false" outlineLevel="0" collapsed="false">
      <c r="A1832" s="32"/>
      <c r="B1832" s="29"/>
      <c r="C1832" s="10" t="str">
        <f aca="false">IF($B1832="","",IFERROR(INDEX(M_name,MATCH($B1832,M_emp,0)),"Code not found"))</f>
        <v/>
      </c>
      <c r="D1832" s="10" t="str">
        <f aca="false">IF($B1832="","",IFERROR(INDEX(M_dept,MATCH($B1832,M_emp,0)),""))</f>
        <v/>
      </c>
      <c r="E1832" s="10" t="str">
        <f aca="false">IF($B1832="","",IFERROR(INDEX(M_loc,MATCH($B1832,M_emp,0)),""))</f>
        <v/>
      </c>
      <c r="F1832" s="33"/>
      <c r="G1832" s="33"/>
      <c r="H1832" s="33"/>
      <c r="I1832" s="33"/>
      <c r="J1832" s="33"/>
      <c r="K1832" s="33"/>
      <c r="L1832" s="33"/>
      <c r="M1832" s="33"/>
      <c r="N1832" s="33"/>
      <c r="O1832" s="33"/>
      <c r="P1832" s="33"/>
      <c r="Q1832" s="33"/>
      <c r="R1832" s="33"/>
      <c r="S1832" s="33"/>
      <c r="T1832" s="33"/>
      <c r="U1832" s="33"/>
      <c r="V1832" s="33"/>
      <c r="W1832" s="33"/>
      <c r="X1832" s="33"/>
      <c r="Y1832" s="33"/>
      <c r="Z1832" s="33"/>
      <c r="AA1832" s="33"/>
      <c r="AB1832" s="33"/>
      <c r="AC1832" s="33"/>
      <c r="AD1832" s="33"/>
      <c r="AE1832" s="33"/>
      <c r="AF1832" s="33"/>
      <c r="AG1832" s="33"/>
      <c r="AH1832" s="33"/>
      <c r="AI1832" s="33"/>
      <c r="AJ1832" s="33"/>
      <c r="AK1832" s="34" t="str">
        <f aca="false">IF($B1832="","",COUNTIF($F1832:$AJ1832,"P"))</f>
        <v/>
      </c>
      <c r="AL1832" s="34" t="str">
        <f aca="false">IF($B1832="","",COUNTIF($F1832:$AJ1832,"A"))</f>
        <v/>
      </c>
      <c r="AM1832" s="34" t="str">
        <f aca="false">IF($B1832="","",COUNTIF($F1832:$AJ1832,"HA"))</f>
        <v/>
      </c>
      <c r="AN1832" s="34" t="str">
        <f aca="false">IF($B1832="","",COUNTIF($F1832:$AJ1832,"L"))</f>
        <v/>
      </c>
      <c r="AO1832" s="34" t="str">
        <f aca="false">IF($B1832="","",COUNTIF($F1832:$AJ1832,"PL"))</f>
        <v/>
      </c>
      <c r="AP1832" s="34" t="str">
        <f aca="false">IF($B1832="","",COUNTIF($F1832:$AJ1832,"CL"))</f>
        <v/>
      </c>
      <c r="AQ1832" s="34" t="str">
        <f aca="false">IF($B1832="","",COUNTIF($F1832:$AJ1832,"SL"))</f>
        <v/>
      </c>
      <c r="AR1832" s="34" t="str">
        <f aca="false">IF($B1832="","",COUNTIF($F1832:$AJ1832,"CO"))</f>
        <v/>
      </c>
      <c r="AS1832" s="34" t="str">
        <f aca="false">IF($B1832="","",COUNTIF($F1832:$AJ1832,"HPL"))</f>
        <v/>
      </c>
      <c r="AT1832" s="34" t="str">
        <f aca="false">IF($B1832="","",COUNTIF($F1832:$AJ1832,"HCL"))</f>
        <v/>
      </c>
      <c r="AU1832" s="34" t="str">
        <f aca="false">IF($B1832="","",COUNTIF($F1832:$AJ1832,"WO"))</f>
        <v/>
      </c>
      <c r="AV1832" s="34" t="str">
        <f aca="false">IF($B1832="","",COUNTIF($F1832:$AJ1832,"PH"))</f>
        <v/>
      </c>
      <c r="AW1832" s="34" t="str">
        <f aca="false">IF($B1832="","",COUNTIF($F1832:$AJ1832,"TR"))</f>
        <v/>
      </c>
      <c r="AX1832" s="35" t="str">
        <f aca="false">IF($B1832="","",AO1832+AS1832/2)</f>
        <v/>
      </c>
      <c r="AY1832" s="35" t="str">
        <f aca="false">IF($B1832="","",AQ1832)</f>
        <v/>
      </c>
      <c r="AZ1832" s="35" t="str">
        <f aca="false">IF($B1832="","",AP1832+AT1832/2)</f>
        <v/>
      </c>
      <c r="BA1832" s="35" t="str">
        <f aca="false">IF($B1832="","",AK1832+AN1832+AM1832/2+AO1832+AP1832+AQ1832+AR1832+AS1832+AT1832+AU1832+AV1832+AW1832)</f>
        <v/>
      </c>
      <c r="BB1832" s="35" t="str">
        <f aca="false">IF($B1832="","",MAX(0,AN1832-Settings!$C$16)*Settings!$C$17)</f>
        <v/>
      </c>
      <c r="BC1832" s="35" t="str">
        <f aca="false">IF($B1832="","",BA1832-BB1832)</f>
        <v/>
      </c>
      <c r="BD1832" s="35" t="str">
        <f aca="false">IF(OR($B1832="",$A1832=""),"",DAY(EOMONTH($A1832,0))-COUNTA($F1832:$AJ1832))</f>
        <v/>
      </c>
    </row>
    <row r="1833" customFormat="false" ht="15" hidden="false" customHeight="false" outlineLevel="0" collapsed="false">
      <c r="A1833" s="32"/>
      <c r="B1833" s="29"/>
      <c r="C1833" s="10" t="str">
        <f aca="false">IF($B1833="","",IFERROR(INDEX(M_name,MATCH($B1833,M_emp,0)),"Code not found"))</f>
        <v/>
      </c>
      <c r="D1833" s="10" t="str">
        <f aca="false">IF($B1833="","",IFERROR(INDEX(M_dept,MATCH($B1833,M_emp,0)),""))</f>
        <v/>
      </c>
      <c r="E1833" s="10" t="str">
        <f aca="false">IF($B1833="","",IFERROR(INDEX(M_loc,MATCH($B1833,M_emp,0)),""))</f>
        <v/>
      </c>
      <c r="F1833" s="33"/>
      <c r="G1833" s="33"/>
      <c r="H1833" s="33"/>
      <c r="I1833" s="33"/>
      <c r="J1833" s="33"/>
      <c r="K1833" s="33"/>
      <c r="L1833" s="33"/>
      <c r="M1833" s="33"/>
      <c r="N1833" s="33"/>
      <c r="O1833" s="33"/>
      <c r="P1833" s="33"/>
      <c r="Q1833" s="33"/>
      <c r="R1833" s="33"/>
      <c r="S1833" s="33"/>
      <c r="T1833" s="33"/>
      <c r="U1833" s="33"/>
      <c r="V1833" s="33"/>
      <c r="W1833" s="33"/>
      <c r="X1833" s="33"/>
      <c r="Y1833" s="33"/>
      <c r="Z1833" s="33"/>
      <c r="AA1833" s="33"/>
      <c r="AB1833" s="33"/>
      <c r="AC1833" s="33"/>
      <c r="AD1833" s="33"/>
      <c r="AE1833" s="33"/>
      <c r="AF1833" s="33"/>
      <c r="AG1833" s="33"/>
      <c r="AH1833" s="33"/>
      <c r="AI1833" s="33"/>
      <c r="AJ1833" s="33"/>
      <c r="AK1833" s="34" t="str">
        <f aca="false">IF($B1833="","",COUNTIF($F1833:$AJ1833,"P"))</f>
        <v/>
      </c>
      <c r="AL1833" s="34" t="str">
        <f aca="false">IF($B1833="","",COUNTIF($F1833:$AJ1833,"A"))</f>
        <v/>
      </c>
      <c r="AM1833" s="34" t="str">
        <f aca="false">IF($B1833="","",COUNTIF($F1833:$AJ1833,"HA"))</f>
        <v/>
      </c>
      <c r="AN1833" s="34" t="str">
        <f aca="false">IF($B1833="","",COUNTIF($F1833:$AJ1833,"L"))</f>
        <v/>
      </c>
      <c r="AO1833" s="34" t="str">
        <f aca="false">IF($B1833="","",COUNTIF($F1833:$AJ1833,"PL"))</f>
        <v/>
      </c>
      <c r="AP1833" s="34" t="str">
        <f aca="false">IF($B1833="","",COUNTIF($F1833:$AJ1833,"CL"))</f>
        <v/>
      </c>
      <c r="AQ1833" s="34" t="str">
        <f aca="false">IF($B1833="","",COUNTIF($F1833:$AJ1833,"SL"))</f>
        <v/>
      </c>
      <c r="AR1833" s="34" t="str">
        <f aca="false">IF($B1833="","",COUNTIF($F1833:$AJ1833,"CO"))</f>
        <v/>
      </c>
      <c r="AS1833" s="34" t="str">
        <f aca="false">IF($B1833="","",COUNTIF($F1833:$AJ1833,"HPL"))</f>
        <v/>
      </c>
      <c r="AT1833" s="34" t="str">
        <f aca="false">IF($B1833="","",COUNTIF($F1833:$AJ1833,"HCL"))</f>
        <v/>
      </c>
      <c r="AU1833" s="34" t="str">
        <f aca="false">IF($B1833="","",COUNTIF($F1833:$AJ1833,"WO"))</f>
        <v/>
      </c>
      <c r="AV1833" s="34" t="str">
        <f aca="false">IF($B1833="","",COUNTIF($F1833:$AJ1833,"PH"))</f>
        <v/>
      </c>
      <c r="AW1833" s="34" t="str">
        <f aca="false">IF($B1833="","",COUNTIF($F1833:$AJ1833,"TR"))</f>
        <v/>
      </c>
      <c r="AX1833" s="35" t="str">
        <f aca="false">IF($B1833="","",AO1833+AS1833/2)</f>
        <v/>
      </c>
      <c r="AY1833" s="35" t="str">
        <f aca="false">IF($B1833="","",AQ1833)</f>
        <v/>
      </c>
      <c r="AZ1833" s="35" t="str">
        <f aca="false">IF($B1833="","",AP1833+AT1833/2)</f>
        <v/>
      </c>
      <c r="BA1833" s="35" t="str">
        <f aca="false">IF($B1833="","",AK1833+AN1833+AM1833/2+AO1833+AP1833+AQ1833+AR1833+AS1833+AT1833+AU1833+AV1833+AW1833)</f>
        <v/>
      </c>
      <c r="BB1833" s="35" t="str">
        <f aca="false">IF($B1833="","",MAX(0,AN1833-Settings!$C$16)*Settings!$C$17)</f>
        <v/>
      </c>
      <c r="BC1833" s="35" t="str">
        <f aca="false">IF($B1833="","",BA1833-BB1833)</f>
        <v/>
      </c>
      <c r="BD1833" s="35" t="str">
        <f aca="false">IF(OR($B1833="",$A1833=""),"",DAY(EOMONTH($A1833,0))-COUNTA($F1833:$AJ1833))</f>
        <v/>
      </c>
    </row>
    <row r="1834" customFormat="false" ht="15" hidden="false" customHeight="false" outlineLevel="0" collapsed="false">
      <c r="A1834" s="32"/>
      <c r="B1834" s="29"/>
      <c r="C1834" s="10" t="str">
        <f aca="false">IF($B1834="","",IFERROR(INDEX(M_name,MATCH($B1834,M_emp,0)),"Code not found"))</f>
        <v/>
      </c>
      <c r="D1834" s="10" t="str">
        <f aca="false">IF($B1834="","",IFERROR(INDEX(M_dept,MATCH($B1834,M_emp,0)),""))</f>
        <v/>
      </c>
      <c r="E1834" s="10" t="str">
        <f aca="false">IF($B1834="","",IFERROR(INDEX(M_loc,MATCH($B1834,M_emp,0)),""))</f>
        <v/>
      </c>
      <c r="F1834" s="33"/>
      <c r="G1834" s="33"/>
      <c r="H1834" s="33"/>
      <c r="I1834" s="33"/>
      <c r="J1834" s="33"/>
      <c r="K1834" s="33"/>
      <c r="L1834" s="33"/>
      <c r="M1834" s="33"/>
      <c r="N1834" s="33"/>
      <c r="O1834" s="33"/>
      <c r="P1834" s="33"/>
      <c r="Q1834" s="33"/>
      <c r="R1834" s="33"/>
      <c r="S1834" s="33"/>
      <c r="T1834" s="33"/>
      <c r="U1834" s="33"/>
      <c r="V1834" s="33"/>
      <c r="W1834" s="33"/>
      <c r="X1834" s="33"/>
      <c r="Y1834" s="33"/>
      <c r="Z1834" s="33"/>
      <c r="AA1834" s="33"/>
      <c r="AB1834" s="33"/>
      <c r="AC1834" s="33"/>
      <c r="AD1834" s="33"/>
      <c r="AE1834" s="33"/>
      <c r="AF1834" s="33"/>
      <c r="AG1834" s="33"/>
      <c r="AH1834" s="33"/>
      <c r="AI1834" s="33"/>
      <c r="AJ1834" s="33"/>
      <c r="AK1834" s="34" t="str">
        <f aca="false">IF($B1834="","",COUNTIF($F1834:$AJ1834,"P"))</f>
        <v/>
      </c>
      <c r="AL1834" s="34" t="str">
        <f aca="false">IF($B1834="","",COUNTIF($F1834:$AJ1834,"A"))</f>
        <v/>
      </c>
      <c r="AM1834" s="34" t="str">
        <f aca="false">IF($B1834="","",COUNTIF($F1834:$AJ1834,"HA"))</f>
        <v/>
      </c>
      <c r="AN1834" s="34" t="str">
        <f aca="false">IF($B1834="","",COUNTIF($F1834:$AJ1834,"L"))</f>
        <v/>
      </c>
      <c r="AO1834" s="34" t="str">
        <f aca="false">IF($B1834="","",COUNTIF($F1834:$AJ1834,"PL"))</f>
        <v/>
      </c>
      <c r="AP1834" s="34" t="str">
        <f aca="false">IF($B1834="","",COUNTIF($F1834:$AJ1834,"CL"))</f>
        <v/>
      </c>
      <c r="AQ1834" s="34" t="str">
        <f aca="false">IF($B1834="","",COUNTIF($F1834:$AJ1834,"SL"))</f>
        <v/>
      </c>
      <c r="AR1834" s="34" t="str">
        <f aca="false">IF($B1834="","",COUNTIF($F1834:$AJ1834,"CO"))</f>
        <v/>
      </c>
      <c r="AS1834" s="34" t="str">
        <f aca="false">IF($B1834="","",COUNTIF($F1834:$AJ1834,"HPL"))</f>
        <v/>
      </c>
      <c r="AT1834" s="34" t="str">
        <f aca="false">IF($B1834="","",COUNTIF($F1834:$AJ1834,"HCL"))</f>
        <v/>
      </c>
      <c r="AU1834" s="34" t="str">
        <f aca="false">IF($B1834="","",COUNTIF($F1834:$AJ1834,"WO"))</f>
        <v/>
      </c>
      <c r="AV1834" s="34" t="str">
        <f aca="false">IF($B1834="","",COUNTIF($F1834:$AJ1834,"PH"))</f>
        <v/>
      </c>
      <c r="AW1834" s="34" t="str">
        <f aca="false">IF($B1834="","",COUNTIF($F1834:$AJ1834,"TR"))</f>
        <v/>
      </c>
      <c r="AX1834" s="35" t="str">
        <f aca="false">IF($B1834="","",AO1834+AS1834/2)</f>
        <v/>
      </c>
      <c r="AY1834" s="35" t="str">
        <f aca="false">IF($B1834="","",AQ1834)</f>
        <v/>
      </c>
      <c r="AZ1834" s="35" t="str">
        <f aca="false">IF($B1834="","",AP1834+AT1834/2)</f>
        <v/>
      </c>
      <c r="BA1834" s="35" t="str">
        <f aca="false">IF($B1834="","",AK1834+AN1834+AM1834/2+AO1834+AP1834+AQ1834+AR1834+AS1834+AT1834+AU1834+AV1834+AW1834)</f>
        <v/>
      </c>
      <c r="BB1834" s="35" t="str">
        <f aca="false">IF($B1834="","",MAX(0,AN1834-Settings!$C$16)*Settings!$C$17)</f>
        <v/>
      </c>
      <c r="BC1834" s="35" t="str">
        <f aca="false">IF($B1834="","",BA1834-BB1834)</f>
        <v/>
      </c>
      <c r="BD1834" s="35" t="str">
        <f aca="false">IF(OR($B1834="",$A1834=""),"",DAY(EOMONTH($A1834,0))-COUNTA($F1834:$AJ1834))</f>
        <v/>
      </c>
    </row>
    <row r="1835" customFormat="false" ht="15" hidden="false" customHeight="false" outlineLevel="0" collapsed="false">
      <c r="A1835" s="32"/>
      <c r="B1835" s="29"/>
      <c r="C1835" s="10" t="str">
        <f aca="false">IF($B1835="","",IFERROR(INDEX(M_name,MATCH($B1835,M_emp,0)),"Code not found"))</f>
        <v/>
      </c>
      <c r="D1835" s="10" t="str">
        <f aca="false">IF($B1835="","",IFERROR(INDEX(M_dept,MATCH($B1835,M_emp,0)),""))</f>
        <v/>
      </c>
      <c r="E1835" s="10" t="str">
        <f aca="false">IF($B1835="","",IFERROR(INDEX(M_loc,MATCH($B1835,M_emp,0)),""))</f>
        <v/>
      </c>
      <c r="F1835" s="33"/>
      <c r="G1835" s="33"/>
      <c r="H1835" s="33"/>
      <c r="I1835" s="33"/>
      <c r="J1835" s="33"/>
      <c r="K1835" s="33"/>
      <c r="L1835" s="33"/>
      <c r="M1835" s="33"/>
      <c r="N1835" s="33"/>
      <c r="O1835" s="33"/>
      <c r="P1835" s="33"/>
      <c r="Q1835" s="33"/>
      <c r="R1835" s="33"/>
      <c r="S1835" s="33"/>
      <c r="T1835" s="33"/>
      <c r="U1835" s="33"/>
      <c r="V1835" s="33"/>
      <c r="W1835" s="33"/>
      <c r="X1835" s="33"/>
      <c r="Y1835" s="33"/>
      <c r="Z1835" s="33"/>
      <c r="AA1835" s="33"/>
      <c r="AB1835" s="33"/>
      <c r="AC1835" s="33"/>
      <c r="AD1835" s="33"/>
      <c r="AE1835" s="33"/>
      <c r="AF1835" s="33"/>
      <c r="AG1835" s="33"/>
      <c r="AH1835" s="33"/>
      <c r="AI1835" s="33"/>
      <c r="AJ1835" s="33"/>
      <c r="AK1835" s="34" t="str">
        <f aca="false">IF($B1835="","",COUNTIF($F1835:$AJ1835,"P"))</f>
        <v/>
      </c>
      <c r="AL1835" s="34" t="str">
        <f aca="false">IF($B1835="","",COUNTIF($F1835:$AJ1835,"A"))</f>
        <v/>
      </c>
      <c r="AM1835" s="34" t="str">
        <f aca="false">IF($B1835="","",COUNTIF($F1835:$AJ1835,"HA"))</f>
        <v/>
      </c>
      <c r="AN1835" s="34" t="str">
        <f aca="false">IF($B1835="","",COUNTIF($F1835:$AJ1835,"L"))</f>
        <v/>
      </c>
      <c r="AO1835" s="34" t="str">
        <f aca="false">IF($B1835="","",COUNTIF($F1835:$AJ1835,"PL"))</f>
        <v/>
      </c>
      <c r="AP1835" s="34" t="str">
        <f aca="false">IF($B1835="","",COUNTIF($F1835:$AJ1835,"CL"))</f>
        <v/>
      </c>
      <c r="AQ1835" s="34" t="str">
        <f aca="false">IF($B1835="","",COUNTIF($F1835:$AJ1835,"SL"))</f>
        <v/>
      </c>
      <c r="AR1835" s="34" t="str">
        <f aca="false">IF($B1835="","",COUNTIF($F1835:$AJ1835,"CO"))</f>
        <v/>
      </c>
      <c r="AS1835" s="34" t="str">
        <f aca="false">IF($B1835="","",COUNTIF($F1835:$AJ1835,"HPL"))</f>
        <v/>
      </c>
      <c r="AT1835" s="34" t="str">
        <f aca="false">IF($B1835="","",COUNTIF($F1835:$AJ1835,"HCL"))</f>
        <v/>
      </c>
      <c r="AU1835" s="34" t="str">
        <f aca="false">IF($B1835="","",COUNTIF($F1835:$AJ1835,"WO"))</f>
        <v/>
      </c>
      <c r="AV1835" s="34" t="str">
        <f aca="false">IF($B1835="","",COUNTIF($F1835:$AJ1835,"PH"))</f>
        <v/>
      </c>
      <c r="AW1835" s="34" t="str">
        <f aca="false">IF($B1835="","",COUNTIF($F1835:$AJ1835,"TR"))</f>
        <v/>
      </c>
      <c r="AX1835" s="35" t="str">
        <f aca="false">IF($B1835="","",AO1835+AS1835/2)</f>
        <v/>
      </c>
      <c r="AY1835" s="35" t="str">
        <f aca="false">IF($B1835="","",AQ1835)</f>
        <v/>
      </c>
      <c r="AZ1835" s="35" t="str">
        <f aca="false">IF($B1835="","",AP1835+AT1835/2)</f>
        <v/>
      </c>
      <c r="BA1835" s="35" t="str">
        <f aca="false">IF($B1835="","",AK1835+AN1835+AM1835/2+AO1835+AP1835+AQ1835+AR1835+AS1835+AT1835+AU1835+AV1835+AW1835)</f>
        <v/>
      </c>
      <c r="BB1835" s="35" t="str">
        <f aca="false">IF($B1835="","",MAX(0,AN1835-Settings!$C$16)*Settings!$C$17)</f>
        <v/>
      </c>
      <c r="BC1835" s="35" t="str">
        <f aca="false">IF($B1835="","",BA1835-BB1835)</f>
        <v/>
      </c>
      <c r="BD1835" s="35" t="str">
        <f aca="false">IF(OR($B1835="",$A1835=""),"",DAY(EOMONTH($A1835,0))-COUNTA($F1835:$AJ1835))</f>
        <v/>
      </c>
    </row>
    <row r="1836" customFormat="false" ht="15" hidden="false" customHeight="false" outlineLevel="0" collapsed="false">
      <c r="A1836" s="32"/>
      <c r="B1836" s="29"/>
      <c r="C1836" s="10" t="str">
        <f aca="false">IF($B1836="","",IFERROR(INDEX(M_name,MATCH($B1836,M_emp,0)),"Code not found"))</f>
        <v/>
      </c>
      <c r="D1836" s="10" t="str">
        <f aca="false">IF($B1836="","",IFERROR(INDEX(M_dept,MATCH($B1836,M_emp,0)),""))</f>
        <v/>
      </c>
      <c r="E1836" s="10" t="str">
        <f aca="false">IF($B1836="","",IFERROR(INDEX(M_loc,MATCH($B1836,M_emp,0)),""))</f>
        <v/>
      </c>
      <c r="F1836" s="33"/>
      <c r="G1836" s="33"/>
      <c r="H1836" s="33"/>
      <c r="I1836" s="33"/>
      <c r="J1836" s="33"/>
      <c r="K1836" s="33"/>
      <c r="L1836" s="33"/>
      <c r="M1836" s="33"/>
      <c r="N1836" s="33"/>
      <c r="O1836" s="33"/>
      <c r="P1836" s="33"/>
      <c r="Q1836" s="33"/>
      <c r="R1836" s="33"/>
      <c r="S1836" s="33"/>
      <c r="T1836" s="33"/>
      <c r="U1836" s="33"/>
      <c r="V1836" s="33"/>
      <c r="W1836" s="33"/>
      <c r="X1836" s="33"/>
      <c r="Y1836" s="33"/>
      <c r="Z1836" s="33"/>
      <c r="AA1836" s="33"/>
      <c r="AB1836" s="33"/>
      <c r="AC1836" s="33"/>
      <c r="AD1836" s="33"/>
      <c r="AE1836" s="33"/>
      <c r="AF1836" s="33"/>
      <c r="AG1836" s="33"/>
      <c r="AH1836" s="33"/>
      <c r="AI1836" s="33"/>
      <c r="AJ1836" s="33"/>
      <c r="AK1836" s="34" t="str">
        <f aca="false">IF($B1836="","",COUNTIF($F1836:$AJ1836,"P"))</f>
        <v/>
      </c>
      <c r="AL1836" s="34" t="str">
        <f aca="false">IF($B1836="","",COUNTIF($F1836:$AJ1836,"A"))</f>
        <v/>
      </c>
      <c r="AM1836" s="34" t="str">
        <f aca="false">IF($B1836="","",COUNTIF($F1836:$AJ1836,"HA"))</f>
        <v/>
      </c>
      <c r="AN1836" s="34" t="str">
        <f aca="false">IF($B1836="","",COUNTIF($F1836:$AJ1836,"L"))</f>
        <v/>
      </c>
      <c r="AO1836" s="34" t="str">
        <f aca="false">IF($B1836="","",COUNTIF($F1836:$AJ1836,"PL"))</f>
        <v/>
      </c>
      <c r="AP1836" s="34" t="str">
        <f aca="false">IF($B1836="","",COUNTIF($F1836:$AJ1836,"CL"))</f>
        <v/>
      </c>
      <c r="AQ1836" s="34" t="str">
        <f aca="false">IF($B1836="","",COUNTIF($F1836:$AJ1836,"SL"))</f>
        <v/>
      </c>
      <c r="AR1836" s="34" t="str">
        <f aca="false">IF($B1836="","",COUNTIF($F1836:$AJ1836,"CO"))</f>
        <v/>
      </c>
      <c r="AS1836" s="34" t="str">
        <f aca="false">IF($B1836="","",COUNTIF($F1836:$AJ1836,"HPL"))</f>
        <v/>
      </c>
      <c r="AT1836" s="34" t="str">
        <f aca="false">IF($B1836="","",COUNTIF($F1836:$AJ1836,"HCL"))</f>
        <v/>
      </c>
      <c r="AU1836" s="34" t="str">
        <f aca="false">IF($B1836="","",COUNTIF($F1836:$AJ1836,"WO"))</f>
        <v/>
      </c>
      <c r="AV1836" s="34" t="str">
        <f aca="false">IF($B1836="","",COUNTIF($F1836:$AJ1836,"PH"))</f>
        <v/>
      </c>
      <c r="AW1836" s="34" t="str">
        <f aca="false">IF($B1836="","",COUNTIF($F1836:$AJ1836,"TR"))</f>
        <v/>
      </c>
      <c r="AX1836" s="35" t="str">
        <f aca="false">IF($B1836="","",AO1836+AS1836/2)</f>
        <v/>
      </c>
      <c r="AY1836" s="35" t="str">
        <f aca="false">IF($B1836="","",AQ1836)</f>
        <v/>
      </c>
      <c r="AZ1836" s="35" t="str">
        <f aca="false">IF($B1836="","",AP1836+AT1836/2)</f>
        <v/>
      </c>
      <c r="BA1836" s="35" t="str">
        <f aca="false">IF($B1836="","",AK1836+AN1836+AM1836/2+AO1836+AP1836+AQ1836+AR1836+AS1836+AT1836+AU1836+AV1836+AW1836)</f>
        <v/>
      </c>
      <c r="BB1836" s="35" t="str">
        <f aca="false">IF($B1836="","",MAX(0,AN1836-Settings!$C$16)*Settings!$C$17)</f>
        <v/>
      </c>
      <c r="BC1836" s="35" t="str">
        <f aca="false">IF($B1836="","",BA1836-BB1836)</f>
        <v/>
      </c>
      <c r="BD1836" s="35" t="str">
        <f aca="false">IF(OR($B1836="",$A1836=""),"",DAY(EOMONTH($A1836,0))-COUNTA($F1836:$AJ1836))</f>
        <v/>
      </c>
    </row>
    <row r="1837" customFormat="false" ht="15" hidden="false" customHeight="false" outlineLevel="0" collapsed="false">
      <c r="A1837" s="32"/>
      <c r="B1837" s="29"/>
      <c r="C1837" s="10" t="str">
        <f aca="false">IF($B1837="","",IFERROR(INDEX(M_name,MATCH($B1837,M_emp,0)),"Code not found"))</f>
        <v/>
      </c>
      <c r="D1837" s="10" t="str">
        <f aca="false">IF($B1837="","",IFERROR(INDEX(M_dept,MATCH($B1837,M_emp,0)),""))</f>
        <v/>
      </c>
      <c r="E1837" s="10" t="str">
        <f aca="false">IF($B1837="","",IFERROR(INDEX(M_loc,MATCH($B1837,M_emp,0)),""))</f>
        <v/>
      </c>
      <c r="F1837" s="33"/>
      <c r="G1837" s="33"/>
      <c r="H1837" s="33"/>
      <c r="I1837" s="33"/>
      <c r="J1837" s="33"/>
      <c r="K1837" s="33"/>
      <c r="L1837" s="33"/>
      <c r="M1837" s="33"/>
      <c r="N1837" s="33"/>
      <c r="O1837" s="33"/>
      <c r="P1837" s="33"/>
      <c r="Q1837" s="33"/>
      <c r="R1837" s="33"/>
      <c r="S1837" s="33"/>
      <c r="T1837" s="33"/>
      <c r="U1837" s="33"/>
      <c r="V1837" s="33"/>
      <c r="W1837" s="33"/>
      <c r="X1837" s="33"/>
      <c r="Y1837" s="33"/>
      <c r="Z1837" s="33"/>
      <c r="AA1837" s="33"/>
      <c r="AB1837" s="33"/>
      <c r="AC1837" s="33"/>
      <c r="AD1837" s="33"/>
      <c r="AE1837" s="33"/>
      <c r="AF1837" s="33"/>
      <c r="AG1837" s="33"/>
      <c r="AH1837" s="33"/>
      <c r="AI1837" s="33"/>
      <c r="AJ1837" s="33"/>
      <c r="AK1837" s="34" t="str">
        <f aca="false">IF($B1837="","",COUNTIF($F1837:$AJ1837,"P"))</f>
        <v/>
      </c>
      <c r="AL1837" s="34" t="str">
        <f aca="false">IF($B1837="","",COUNTIF($F1837:$AJ1837,"A"))</f>
        <v/>
      </c>
      <c r="AM1837" s="34" t="str">
        <f aca="false">IF($B1837="","",COUNTIF($F1837:$AJ1837,"HA"))</f>
        <v/>
      </c>
      <c r="AN1837" s="34" t="str">
        <f aca="false">IF($B1837="","",COUNTIF($F1837:$AJ1837,"L"))</f>
        <v/>
      </c>
      <c r="AO1837" s="34" t="str">
        <f aca="false">IF($B1837="","",COUNTIF($F1837:$AJ1837,"PL"))</f>
        <v/>
      </c>
      <c r="AP1837" s="34" t="str">
        <f aca="false">IF($B1837="","",COUNTIF($F1837:$AJ1837,"CL"))</f>
        <v/>
      </c>
      <c r="AQ1837" s="34" t="str">
        <f aca="false">IF($B1837="","",COUNTIF($F1837:$AJ1837,"SL"))</f>
        <v/>
      </c>
      <c r="AR1837" s="34" t="str">
        <f aca="false">IF($B1837="","",COUNTIF($F1837:$AJ1837,"CO"))</f>
        <v/>
      </c>
      <c r="AS1837" s="34" t="str">
        <f aca="false">IF($B1837="","",COUNTIF($F1837:$AJ1837,"HPL"))</f>
        <v/>
      </c>
      <c r="AT1837" s="34" t="str">
        <f aca="false">IF($B1837="","",COUNTIF($F1837:$AJ1837,"HCL"))</f>
        <v/>
      </c>
      <c r="AU1837" s="34" t="str">
        <f aca="false">IF($B1837="","",COUNTIF($F1837:$AJ1837,"WO"))</f>
        <v/>
      </c>
      <c r="AV1837" s="34" t="str">
        <f aca="false">IF($B1837="","",COUNTIF($F1837:$AJ1837,"PH"))</f>
        <v/>
      </c>
      <c r="AW1837" s="34" t="str">
        <f aca="false">IF($B1837="","",COUNTIF($F1837:$AJ1837,"TR"))</f>
        <v/>
      </c>
      <c r="AX1837" s="35" t="str">
        <f aca="false">IF($B1837="","",AO1837+AS1837/2)</f>
        <v/>
      </c>
      <c r="AY1837" s="35" t="str">
        <f aca="false">IF($B1837="","",AQ1837)</f>
        <v/>
      </c>
      <c r="AZ1837" s="35" t="str">
        <f aca="false">IF($B1837="","",AP1837+AT1837/2)</f>
        <v/>
      </c>
      <c r="BA1837" s="35" t="str">
        <f aca="false">IF($B1837="","",AK1837+AN1837+AM1837/2+AO1837+AP1837+AQ1837+AR1837+AS1837+AT1837+AU1837+AV1837+AW1837)</f>
        <v/>
      </c>
      <c r="BB1837" s="35" t="str">
        <f aca="false">IF($B1837="","",MAX(0,AN1837-Settings!$C$16)*Settings!$C$17)</f>
        <v/>
      </c>
      <c r="BC1837" s="35" t="str">
        <f aca="false">IF($B1837="","",BA1837-BB1837)</f>
        <v/>
      </c>
      <c r="BD1837" s="35" t="str">
        <f aca="false">IF(OR($B1837="",$A1837=""),"",DAY(EOMONTH($A1837,0))-COUNTA($F1837:$AJ1837))</f>
        <v/>
      </c>
    </row>
    <row r="1838" customFormat="false" ht="15" hidden="false" customHeight="false" outlineLevel="0" collapsed="false">
      <c r="A1838" s="32"/>
      <c r="B1838" s="29"/>
      <c r="C1838" s="10" t="str">
        <f aca="false">IF($B1838="","",IFERROR(INDEX(M_name,MATCH($B1838,M_emp,0)),"Code not found"))</f>
        <v/>
      </c>
      <c r="D1838" s="10" t="str">
        <f aca="false">IF($B1838="","",IFERROR(INDEX(M_dept,MATCH($B1838,M_emp,0)),""))</f>
        <v/>
      </c>
      <c r="E1838" s="10" t="str">
        <f aca="false">IF($B1838="","",IFERROR(INDEX(M_loc,MATCH($B1838,M_emp,0)),""))</f>
        <v/>
      </c>
      <c r="F1838" s="33"/>
      <c r="G1838" s="33"/>
      <c r="H1838" s="33"/>
      <c r="I1838" s="33"/>
      <c r="J1838" s="33"/>
      <c r="K1838" s="33"/>
      <c r="L1838" s="33"/>
      <c r="M1838" s="33"/>
      <c r="N1838" s="33"/>
      <c r="O1838" s="33"/>
      <c r="P1838" s="33"/>
      <c r="Q1838" s="33"/>
      <c r="R1838" s="33"/>
      <c r="S1838" s="33"/>
      <c r="T1838" s="33"/>
      <c r="U1838" s="33"/>
      <c r="V1838" s="33"/>
      <c r="W1838" s="33"/>
      <c r="X1838" s="33"/>
      <c r="Y1838" s="33"/>
      <c r="Z1838" s="33"/>
      <c r="AA1838" s="33"/>
      <c r="AB1838" s="33"/>
      <c r="AC1838" s="33"/>
      <c r="AD1838" s="33"/>
      <c r="AE1838" s="33"/>
      <c r="AF1838" s="33"/>
      <c r="AG1838" s="33"/>
      <c r="AH1838" s="33"/>
      <c r="AI1838" s="33"/>
      <c r="AJ1838" s="33"/>
      <c r="AK1838" s="34" t="str">
        <f aca="false">IF($B1838="","",COUNTIF($F1838:$AJ1838,"P"))</f>
        <v/>
      </c>
      <c r="AL1838" s="34" t="str">
        <f aca="false">IF($B1838="","",COUNTIF($F1838:$AJ1838,"A"))</f>
        <v/>
      </c>
      <c r="AM1838" s="34" t="str">
        <f aca="false">IF($B1838="","",COUNTIF($F1838:$AJ1838,"HA"))</f>
        <v/>
      </c>
      <c r="AN1838" s="34" t="str">
        <f aca="false">IF($B1838="","",COUNTIF($F1838:$AJ1838,"L"))</f>
        <v/>
      </c>
      <c r="AO1838" s="34" t="str">
        <f aca="false">IF($B1838="","",COUNTIF($F1838:$AJ1838,"PL"))</f>
        <v/>
      </c>
      <c r="AP1838" s="34" t="str">
        <f aca="false">IF($B1838="","",COUNTIF($F1838:$AJ1838,"CL"))</f>
        <v/>
      </c>
      <c r="AQ1838" s="34" t="str">
        <f aca="false">IF($B1838="","",COUNTIF($F1838:$AJ1838,"SL"))</f>
        <v/>
      </c>
      <c r="AR1838" s="34" t="str">
        <f aca="false">IF($B1838="","",COUNTIF($F1838:$AJ1838,"CO"))</f>
        <v/>
      </c>
      <c r="AS1838" s="34" t="str">
        <f aca="false">IF($B1838="","",COUNTIF($F1838:$AJ1838,"HPL"))</f>
        <v/>
      </c>
      <c r="AT1838" s="34" t="str">
        <f aca="false">IF($B1838="","",COUNTIF($F1838:$AJ1838,"HCL"))</f>
        <v/>
      </c>
      <c r="AU1838" s="34" t="str">
        <f aca="false">IF($B1838="","",COUNTIF($F1838:$AJ1838,"WO"))</f>
        <v/>
      </c>
      <c r="AV1838" s="34" t="str">
        <f aca="false">IF($B1838="","",COUNTIF($F1838:$AJ1838,"PH"))</f>
        <v/>
      </c>
      <c r="AW1838" s="34" t="str">
        <f aca="false">IF($B1838="","",COUNTIF($F1838:$AJ1838,"TR"))</f>
        <v/>
      </c>
      <c r="AX1838" s="35" t="str">
        <f aca="false">IF($B1838="","",AO1838+AS1838/2)</f>
        <v/>
      </c>
      <c r="AY1838" s="35" t="str">
        <f aca="false">IF($B1838="","",AQ1838)</f>
        <v/>
      </c>
      <c r="AZ1838" s="35" t="str">
        <f aca="false">IF($B1838="","",AP1838+AT1838/2)</f>
        <v/>
      </c>
      <c r="BA1838" s="35" t="str">
        <f aca="false">IF($B1838="","",AK1838+AN1838+AM1838/2+AO1838+AP1838+AQ1838+AR1838+AS1838+AT1838+AU1838+AV1838+AW1838)</f>
        <v/>
      </c>
      <c r="BB1838" s="35" t="str">
        <f aca="false">IF($B1838="","",MAX(0,AN1838-Settings!$C$16)*Settings!$C$17)</f>
        <v/>
      </c>
      <c r="BC1838" s="35" t="str">
        <f aca="false">IF($B1838="","",BA1838-BB1838)</f>
        <v/>
      </c>
      <c r="BD1838" s="35" t="str">
        <f aca="false">IF(OR($B1838="",$A1838=""),"",DAY(EOMONTH($A1838,0))-COUNTA($F1838:$AJ1838))</f>
        <v/>
      </c>
    </row>
    <row r="1839" customFormat="false" ht="15" hidden="false" customHeight="false" outlineLevel="0" collapsed="false">
      <c r="A1839" s="32"/>
      <c r="B1839" s="29"/>
      <c r="C1839" s="10" t="str">
        <f aca="false">IF($B1839="","",IFERROR(INDEX(M_name,MATCH($B1839,M_emp,0)),"Code not found"))</f>
        <v/>
      </c>
      <c r="D1839" s="10" t="str">
        <f aca="false">IF($B1839="","",IFERROR(INDEX(M_dept,MATCH($B1839,M_emp,0)),""))</f>
        <v/>
      </c>
      <c r="E1839" s="10" t="str">
        <f aca="false">IF($B1839="","",IFERROR(INDEX(M_loc,MATCH($B1839,M_emp,0)),""))</f>
        <v/>
      </c>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c r="AB1839" s="33"/>
      <c r="AC1839" s="33"/>
      <c r="AD1839" s="33"/>
      <c r="AE1839" s="33"/>
      <c r="AF1839" s="33"/>
      <c r="AG1839" s="33"/>
      <c r="AH1839" s="33"/>
      <c r="AI1839" s="33"/>
      <c r="AJ1839" s="33"/>
      <c r="AK1839" s="34" t="str">
        <f aca="false">IF($B1839="","",COUNTIF($F1839:$AJ1839,"P"))</f>
        <v/>
      </c>
      <c r="AL1839" s="34" t="str">
        <f aca="false">IF($B1839="","",COUNTIF($F1839:$AJ1839,"A"))</f>
        <v/>
      </c>
      <c r="AM1839" s="34" t="str">
        <f aca="false">IF($B1839="","",COUNTIF($F1839:$AJ1839,"HA"))</f>
        <v/>
      </c>
      <c r="AN1839" s="34" t="str">
        <f aca="false">IF($B1839="","",COUNTIF($F1839:$AJ1839,"L"))</f>
        <v/>
      </c>
      <c r="AO1839" s="34" t="str">
        <f aca="false">IF($B1839="","",COUNTIF($F1839:$AJ1839,"PL"))</f>
        <v/>
      </c>
      <c r="AP1839" s="34" t="str">
        <f aca="false">IF($B1839="","",COUNTIF($F1839:$AJ1839,"CL"))</f>
        <v/>
      </c>
      <c r="AQ1839" s="34" t="str">
        <f aca="false">IF($B1839="","",COUNTIF($F1839:$AJ1839,"SL"))</f>
        <v/>
      </c>
      <c r="AR1839" s="34" t="str">
        <f aca="false">IF($B1839="","",COUNTIF($F1839:$AJ1839,"CO"))</f>
        <v/>
      </c>
      <c r="AS1839" s="34" t="str">
        <f aca="false">IF($B1839="","",COUNTIF($F1839:$AJ1839,"HPL"))</f>
        <v/>
      </c>
      <c r="AT1839" s="34" t="str">
        <f aca="false">IF($B1839="","",COUNTIF($F1839:$AJ1839,"HCL"))</f>
        <v/>
      </c>
      <c r="AU1839" s="34" t="str">
        <f aca="false">IF($B1839="","",COUNTIF($F1839:$AJ1839,"WO"))</f>
        <v/>
      </c>
      <c r="AV1839" s="34" t="str">
        <f aca="false">IF($B1839="","",COUNTIF($F1839:$AJ1839,"PH"))</f>
        <v/>
      </c>
      <c r="AW1839" s="34" t="str">
        <f aca="false">IF($B1839="","",COUNTIF($F1839:$AJ1839,"TR"))</f>
        <v/>
      </c>
      <c r="AX1839" s="35" t="str">
        <f aca="false">IF($B1839="","",AO1839+AS1839/2)</f>
        <v/>
      </c>
      <c r="AY1839" s="35" t="str">
        <f aca="false">IF($B1839="","",AQ1839)</f>
        <v/>
      </c>
      <c r="AZ1839" s="35" t="str">
        <f aca="false">IF($B1839="","",AP1839+AT1839/2)</f>
        <v/>
      </c>
      <c r="BA1839" s="35" t="str">
        <f aca="false">IF($B1839="","",AK1839+AN1839+AM1839/2+AO1839+AP1839+AQ1839+AR1839+AS1839+AT1839+AU1839+AV1839+AW1839)</f>
        <v/>
      </c>
      <c r="BB1839" s="35" t="str">
        <f aca="false">IF($B1839="","",MAX(0,AN1839-Settings!$C$16)*Settings!$C$17)</f>
        <v/>
      </c>
      <c r="BC1839" s="35" t="str">
        <f aca="false">IF($B1839="","",BA1839-BB1839)</f>
        <v/>
      </c>
      <c r="BD1839" s="35" t="str">
        <f aca="false">IF(OR($B1839="",$A1839=""),"",DAY(EOMONTH($A1839,0))-COUNTA($F1839:$AJ1839))</f>
        <v/>
      </c>
    </row>
    <row r="1840" customFormat="false" ht="15" hidden="false" customHeight="false" outlineLevel="0" collapsed="false">
      <c r="A1840" s="32"/>
      <c r="B1840" s="29"/>
      <c r="C1840" s="10" t="str">
        <f aca="false">IF($B1840="","",IFERROR(INDEX(M_name,MATCH($B1840,M_emp,0)),"Code not found"))</f>
        <v/>
      </c>
      <c r="D1840" s="10" t="str">
        <f aca="false">IF($B1840="","",IFERROR(INDEX(M_dept,MATCH($B1840,M_emp,0)),""))</f>
        <v/>
      </c>
      <c r="E1840" s="10" t="str">
        <f aca="false">IF($B1840="","",IFERROR(INDEX(M_loc,MATCH($B1840,M_emp,0)),""))</f>
        <v/>
      </c>
      <c r="F1840" s="33"/>
      <c r="G1840" s="33"/>
      <c r="H1840" s="33"/>
      <c r="I1840" s="33"/>
      <c r="J1840" s="33"/>
      <c r="K1840" s="33"/>
      <c r="L1840" s="33"/>
      <c r="M1840" s="33"/>
      <c r="N1840" s="33"/>
      <c r="O1840" s="33"/>
      <c r="P1840" s="33"/>
      <c r="Q1840" s="33"/>
      <c r="R1840" s="33"/>
      <c r="S1840" s="33"/>
      <c r="T1840" s="33"/>
      <c r="U1840" s="33"/>
      <c r="V1840" s="33"/>
      <c r="W1840" s="33"/>
      <c r="X1840" s="33"/>
      <c r="Y1840" s="33"/>
      <c r="Z1840" s="33"/>
      <c r="AA1840" s="33"/>
      <c r="AB1840" s="33"/>
      <c r="AC1840" s="33"/>
      <c r="AD1840" s="33"/>
      <c r="AE1840" s="33"/>
      <c r="AF1840" s="33"/>
      <c r="AG1840" s="33"/>
      <c r="AH1840" s="33"/>
      <c r="AI1840" s="33"/>
      <c r="AJ1840" s="33"/>
      <c r="AK1840" s="34" t="str">
        <f aca="false">IF($B1840="","",COUNTIF($F1840:$AJ1840,"P"))</f>
        <v/>
      </c>
      <c r="AL1840" s="34" t="str">
        <f aca="false">IF($B1840="","",COUNTIF($F1840:$AJ1840,"A"))</f>
        <v/>
      </c>
      <c r="AM1840" s="34" t="str">
        <f aca="false">IF($B1840="","",COUNTIF($F1840:$AJ1840,"HA"))</f>
        <v/>
      </c>
      <c r="AN1840" s="34" t="str">
        <f aca="false">IF($B1840="","",COUNTIF($F1840:$AJ1840,"L"))</f>
        <v/>
      </c>
      <c r="AO1840" s="34" t="str">
        <f aca="false">IF($B1840="","",COUNTIF($F1840:$AJ1840,"PL"))</f>
        <v/>
      </c>
      <c r="AP1840" s="34" t="str">
        <f aca="false">IF($B1840="","",COUNTIF($F1840:$AJ1840,"CL"))</f>
        <v/>
      </c>
      <c r="AQ1840" s="34" t="str">
        <f aca="false">IF($B1840="","",COUNTIF($F1840:$AJ1840,"SL"))</f>
        <v/>
      </c>
      <c r="AR1840" s="34" t="str">
        <f aca="false">IF($B1840="","",COUNTIF($F1840:$AJ1840,"CO"))</f>
        <v/>
      </c>
      <c r="AS1840" s="34" t="str">
        <f aca="false">IF($B1840="","",COUNTIF($F1840:$AJ1840,"HPL"))</f>
        <v/>
      </c>
      <c r="AT1840" s="34" t="str">
        <f aca="false">IF($B1840="","",COUNTIF($F1840:$AJ1840,"HCL"))</f>
        <v/>
      </c>
      <c r="AU1840" s="34" t="str">
        <f aca="false">IF($B1840="","",COUNTIF($F1840:$AJ1840,"WO"))</f>
        <v/>
      </c>
      <c r="AV1840" s="34" t="str">
        <f aca="false">IF($B1840="","",COUNTIF($F1840:$AJ1840,"PH"))</f>
        <v/>
      </c>
      <c r="AW1840" s="34" t="str">
        <f aca="false">IF($B1840="","",COUNTIF($F1840:$AJ1840,"TR"))</f>
        <v/>
      </c>
      <c r="AX1840" s="35" t="str">
        <f aca="false">IF($B1840="","",AO1840+AS1840/2)</f>
        <v/>
      </c>
      <c r="AY1840" s="35" t="str">
        <f aca="false">IF($B1840="","",AQ1840)</f>
        <v/>
      </c>
      <c r="AZ1840" s="35" t="str">
        <f aca="false">IF($B1840="","",AP1840+AT1840/2)</f>
        <v/>
      </c>
      <c r="BA1840" s="35" t="str">
        <f aca="false">IF($B1840="","",AK1840+AN1840+AM1840/2+AO1840+AP1840+AQ1840+AR1840+AS1840+AT1840+AU1840+AV1840+AW1840)</f>
        <v/>
      </c>
      <c r="BB1840" s="35" t="str">
        <f aca="false">IF($B1840="","",MAX(0,AN1840-Settings!$C$16)*Settings!$C$17)</f>
        <v/>
      </c>
      <c r="BC1840" s="35" t="str">
        <f aca="false">IF($B1840="","",BA1840-BB1840)</f>
        <v/>
      </c>
      <c r="BD1840" s="35" t="str">
        <f aca="false">IF(OR($B1840="",$A1840=""),"",DAY(EOMONTH($A1840,0))-COUNTA($F1840:$AJ1840))</f>
        <v/>
      </c>
    </row>
    <row r="1841" customFormat="false" ht="15" hidden="false" customHeight="false" outlineLevel="0" collapsed="false">
      <c r="A1841" s="32"/>
      <c r="B1841" s="29"/>
      <c r="C1841" s="10" t="str">
        <f aca="false">IF($B1841="","",IFERROR(INDEX(M_name,MATCH($B1841,M_emp,0)),"Code not found"))</f>
        <v/>
      </c>
      <c r="D1841" s="10" t="str">
        <f aca="false">IF($B1841="","",IFERROR(INDEX(M_dept,MATCH($B1841,M_emp,0)),""))</f>
        <v/>
      </c>
      <c r="E1841" s="10" t="str">
        <f aca="false">IF($B1841="","",IFERROR(INDEX(M_loc,MATCH($B1841,M_emp,0)),""))</f>
        <v/>
      </c>
      <c r="F1841" s="33"/>
      <c r="G1841" s="33"/>
      <c r="H1841" s="33"/>
      <c r="I1841" s="33"/>
      <c r="J1841" s="33"/>
      <c r="K1841" s="33"/>
      <c r="L1841" s="33"/>
      <c r="M1841" s="33"/>
      <c r="N1841" s="33"/>
      <c r="O1841" s="33"/>
      <c r="P1841" s="33"/>
      <c r="Q1841" s="33"/>
      <c r="R1841" s="33"/>
      <c r="S1841" s="33"/>
      <c r="T1841" s="33"/>
      <c r="U1841" s="33"/>
      <c r="V1841" s="33"/>
      <c r="W1841" s="33"/>
      <c r="X1841" s="33"/>
      <c r="Y1841" s="33"/>
      <c r="Z1841" s="33"/>
      <c r="AA1841" s="33"/>
      <c r="AB1841" s="33"/>
      <c r="AC1841" s="33"/>
      <c r="AD1841" s="33"/>
      <c r="AE1841" s="33"/>
      <c r="AF1841" s="33"/>
      <c r="AG1841" s="33"/>
      <c r="AH1841" s="33"/>
      <c r="AI1841" s="33"/>
      <c r="AJ1841" s="33"/>
      <c r="AK1841" s="34" t="str">
        <f aca="false">IF($B1841="","",COUNTIF($F1841:$AJ1841,"P"))</f>
        <v/>
      </c>
      <c r="AL1841" s="34" t="str">
        <f aca="false">IF($B1841="","",COUNTIF($F1841:$AJ1841,"A"))</f>
        <v/>
      </c>
      <c r="AM1841" s="34" t="str">
        <f aca="false">IF($B1841="","",COUNTIF($F1841:$AJ1841,"HA"))</f>
        <v/>
      </c>
      <c r="AN1841" s="34" t="str">
        <f aca="false">IF($B1841="","",COUNTIF($F1841:$AJ1841,"L"))</f>
        <v/>
      </c>
      <c r="AO1841" s="34" t="str">
        <f aca="false">IF($B1841="","",COUNTIF($F1841:$AJ1841,"PL"))</f>
        <v/>
      </c>
      <c r="AP1841" s="34" t="str">
        <f aca="false">IF($B1841="","",COUNTIF($F1841:$AJ1841,"CL"))</f>
        <v/>
      </c>
      <c r="AQ1841" s="34" t="str">
        <f aca="false">IF($B1841="","",COUNTIF($F1841:$AJ1841,"SL"))</f>
        <v/>
      </c>
      <c r="AR1841" s="34" t="str">
        <f aca="false">IF($B1841="","",COUNTIF($F1841:$AJ1841,"CO"))</f>
        <v/>
      </c>
      <c r="AS1841" s="34" t="str">
        <f aca="false">IF($B1841="","",COUNTIF($F1841:$AJ1841,"HPL"))</f>
        <v/>
      </c>
      <c r="AT1841" s="34" t="str">
        <f aca="false">IF($B1841="","",COUNTIF($F1841:$AJ1841,"HCL"))</f>
        <v/>
      </c>
      <c r="AU1841" s="34" t="str">
        <f aca="false">IF($B1841="","",COUNTIF($F1841:$AJ1841,"WO"))</f>
        <v/>
      </c>
      <c r="AV1841" s="34" t="str">
        <f aca="false">IF($B1841="","",COUNTIF($F1841:$AJ1841,"PH"))</f>
        <v/>
      </c>
      <c r="AW1841" s="34" t="str">
        <f aca="false">IF($B1841="","",COUNTIF($F1841:$AJ1841,"TR"))</f>
        <v/>
      </c>
      <c r="AX1841" s="35" t="str">
        <f aca="false">IF($B1841="","",AO1841+AS1841/2)</f>
        <v/>
      </c>
      <c r="AY1841" s="35" t="str">
        <f aca="false">IF($B1841="","",AQ1841)</f>
        <v/>
      </c>
      <c r="AZ1841" s="35" t="str">
        <f aca="false">IF($B1841="","",AP1841+AT1841/2)</f>
        <v/>
      </c>
      <c r="BA1841" s="35" t="str">
        <f aca="false">IF($B1841="","",AK1841+AN1841+AM1841/2+AO1841+AP1841+AQ1841+AR1841+AS1841+AT1841+AU1841+AV1841+AW1841)</f>
        <v/>
      </c>
      <c r="BB1841" s="35" t="str">
        <f aca="false">IF($B1841="","",MAX(0,AN1841-Settings!$C$16)*Settings!$C$17)</f>
        <v/>
      </c>
      <c r="BC1841" s="35" t="str">
        <f aca="false">IF($B1841="","",BA1841-BB1841)</f>
        <v/>
      </c>
      <c r="BD1841" s="35" t="str">
        <f aca="false">IF(OR($B1841="",$A1841=""),"",DAY(EOMONTH($A1841,0))-COUNTA($F1841:$AJ1841))</f>
        <v/>
      </c>
    </row>
    <row r="1842" customFormat="false" ht="15" hidden="false" customHeight="false" outlineLevel="0" collapsed="false">
      <c r="A1842" s="32"/>
      <c r="B1842" s="29"/>
      <c r="C1842" s="10" t="str">
        <f aca="false">IF($B1842="","",IFERROR(INDEX(M_name,MATCH($B1842,M_emp,0)),"Code not found"))</f>
        <v/>
      </c>
      <c r="D1842" s="10" t="str">
        <f aca="false">IF($B1842="","",IFERROR(INDEX(M_dept,MATCH($B1842,M_emp,0)),""))</f>
        <v/>
      </c>
      <c r="E1842" s="10" t="str">
        <f aca="false">IF($B1842="","",IFERROR(INDEX(M_loc,MATCH($B1842,M_emp,0)),""))</f>
        <v/>
      </c>
      <c r="F1842" s="33"/>
      <c r="G1842" s="33"/>
      <c r="H1842" s="33"/>
      <c r="I1842" s="33"/>
      <c r="J1842" s="33"/>
      <c r="K1842" s="33"/>
      <c r="L1842" s="33"/>
      <c r="M1842" s="33"/>
      <c r="N1842" s="33"/>
      <c r="O1842" s="33"/>
      <c r="P1842" s="33"/>
      <c r="Q1842" s="33"/>
      <c r="R1842" s="33"/>
      <c r="S1842" s="33"/>
      <c r="T1842" s="33"/>
      <c r="U1842" s="33"/>
      <c r="V1842" s="33"/>
      <c r="W1842" s="33"/>
      <c r="X1842" s="33"/>
      <c r="Y1842" s="33"/>
      <c r="Z1842" s="33"/>
      <c r="AA1842" s="33"/>
      <c r="AB1842" s="33"/>
      <c r="AC1842" s="33"/>
      <c r="AD1842" s="33"/>
      <c r="AE1842" s="33"/>
      <c r="AF1842" s="33"/>
      <c r="AG1842" s="33"/>
      <c r="AH1842" s="33"/>
      <c r="AI1842" s="33"/>
      <c r="AJ1842" s="33"/>
      <c r="AK1842" s="34" t="str">
        <f aca="false">IF($B1842="","",COUNTIF($F1842:$AJ1842,"P"))</f>
        <v/>
      </c>
      <c r="AL1842" s="34" t="str">
        <f aca="false">IF($B1842="","",COUNTIF($F1842:$AJ1842,"A"))</f>
        <v/>
      </c>
      <c r="AM1842" s="34" t="str">
        <f aca="false">IF($B1842="","",COUNTIF($F1842:$AJ1842,"HA"))</f>
        <v/>
      </c>
      <c r="AN1842" s="34" t="str">
        <f aca="false">IF($B1842="","",COUNTIF($F1842:$AJ1842,"L"))</f>
        <v/>
      </c>
      <c r="AO1842" s="34" t="str">
        <f aca="false">IF($B1842="","",COUNTIF($F1842:$AJ1842,"PL"))</f>
        <v/>
      </c>
      <c r="AP1842" s="34" t="str">
        <f aca="false">IF($B1842="","",COUNTIF($F1842:$AJ1842,"CL"))</f>
        <v/>
      </c>
      <c r="AQ1842" s="34" t="str">
        <f aca="false">IF($B1842="","",COUNTIF($F1842:$AJ1842,"SL"))</f>
        <v/>
      </c>
      <c r="AR1842" s="34" t="str">
        <f aca="false">IF($B1842="","",COUNTIF($F1842:$AJ1842,"CO"))</f>
        <v/>
      </c>
      <c r="AS1842" s="34" t="str">
        <f aca="false">IF($B1842="","",COUNTIF($F1842:$AJ1842,"HPL"))</f>
        <v/>
      </c>
      <c r="AT1842" s="34" t="str">
        <f aca="false">IF($B1842="","",COUNTIF($F1842:$AJ1842,"HCL"))</f>
        <v/>
      </c>
      <c r="AU1842" s="34" t="str">
        <f aca="false">IF($B1842="","",COUNTIF($F1842:$AJ1842,"WO"))</f>
        <v/>
      </c>
      <c r="AV1842" s="34" t="str">
        <f aca="false">IF($B1842="","",COUNTIF($F1842:$AJ1842,"PH"))</f>
        <v/>
      </c>
      <c r="AW1842" s="34" t="str">
        <f aca="false">IF($B1842="","",COUNTIF($F1842:$AJ1842,"TR"))</f>
        <v/>
      </c>
      <c r="AX1842" s="35" t="str">
        <f aca="false">IF($B1842="","",AO1842+AS1842/2)</f>
        <v/>
      </c>
      <c r="AY1842" s="35" t="str">
        <f aca="false">IF($B1842="","",AQ1842)</f>
        <v/>
      </c>
      <c r="AZ1842" s="35" t="str">
        <f aca="false">IF($B1842="","",AP1842+AT1842/2)</f>
        <v/>
      </c>
      <c r="BA1842" s="35" t="str">
        <f aca="false">IF($B1842="","",AK1842+AN1842+AM1842/2+AO1842+AP1842+AQ1842+AR1842+AS1842+AT1842+AU1842+AV1842+AW1842)</f>
        <v/>
      </c>
      <c r="BB1842" s="35" t="str">
        <f aca="false">IF($B1842="","",MAX(0,AN1842-Settings!$C$16)*Settings!$C$17)</f>
        <v/>
      </c>
      <c r="BC1842" s="35" t="str">
        <f aca="false">IF($B1842="","",BA1842-BB1842)</f>
        <v/>
      </c>
      <c r="BD1842" s="35" t="str">
        <f aca="false">IF(OR($B1842="",$A1842=""),"",DAY(EOMONTH($A1842,0))-COUNTA($F1842:$AJ1842))</f>
        <v/>
      </c>
    </row>
    <row r="1843" customFormat="false" ht="15" hidden="false" customHeight="false" outlineLevel="0" collapsed="false">
      <c r="A1843" s="32"/>
      <c r="B1843" s="29"/>
      <c r="C1843" s="10" t="str">
        <f aca="false">IF($B1843="","",IFERROR(INDEX(M_name,MATCH($B1843,M_emp,0)),"Code not found"))</f>
        <v/>
      </c>
      <c r="D1843" s="10" t="str">
        <f aca="false">IF($B1843="","",IFERROR(INDEX(M_dept,MATCH($B1843,M_emp,0)),""))</f>
        <v/>
      </c>
      <c r="E1843" s="10" t="str">
        <f aca="false">IF($B1843="","",IFERROR(INDEX(M_loc,MATCH($B1843,M_emp,0)),""))</f>
        <v/>
      </c>
      <c r="F1843" s="33"/>
      <c r="G1843" s="33"/>
      <c r="H1843" s="33"/>
      <c r="I1843" s="33"/>
      <c r="J1843" s="33"/>
      <c r="K1843" s="33"/>
      <c r="L1843" s="33"/>
      <c r="M1843" s="33"/>
      <c r="N1843" s="33"/>
      <c r="O1843" s="33"/>
      <c r="P1843" s="33"/>
      <c r="Q1843" s="33"/>
      <c r="R1843" s="33"/>
      <c r="S1843" s="33"/>
      <c r="T1843" s="33"/>
      <c r="U1843" s="33"/>
      <c r="V1843" s="33"/>
      <c r="W1843" s="33"/>
      <c r="X1843" s="33"/>
      <c r="Y1843" s="33"/>
      <c r="Z1843" s="33"/>
      <c r="AA1843" s="33"/>
      <c r="AB1843" s="33"/>
      <c r="AC1843" s="33"/>
      <c r="AD1843" s="33"/>
      <c r="AE1843" s="33"/>
      <c r="AF1843" s="33"/>
      <c r="AG1843" s="33"/>
      <c r="AH1843" s="33"/>
      <c r="AI1843" s="33"/>
      <c r="AJ1843" s="33"/>
      <c r="AK1843" s="34" t="str">
        <f aca="false">IF($B1843="","",COUNTIF($F1843:$AJ1843,"P"))</f>
        <v/>
      </c>
      <c r="AL1843" s="34" t="str">
        <f aca="false">IF($B1843="","",COUNTIF($F1843:$AJ1843,"A"))</f>
        <v/>
      </c>
      <c r="AM1843" s="34" t="str">
        <f aca="false">IF($B1843="","",COUNTIF($F1843:$AJ1843,"HA"))</f>
        <v/>
      </c>
      <c r="AN1843" s="34" t="str">
        <f aca="false">IF($B1843="","",COUNTIF($F1843:$AJ1843,"L"))</f>
        <v/>
      </c>
      <c r="AO1843" s="34" t="str">
        <f aca="false">IF($B1843="","",COUNTIF($F1843:$AJ1843,"PL"))</f>
        <v/>
      </c>
      <c r="AP1843" s="34" t="str">
        <f aca="false">IF($B1843="","",COUNTIF($F1843:$AJ1843,"CL"))</f>
        <v/>
      </c>
      <c r="AQ1843" s="34" t="str">
        <f aca="false">IF($B1843="","",COUNTIF($F1843:$AJ1843,"SL"))</f>
        <v/>
      </c>
      <c r="AR1843" s="34" t="str">
        <f aca="false">IF($B1843="","",COUNTIF($F1843:$AJ1843,"CO"))</f>
        <v/>
      </c>
      <c r="AS1843" s="34" t="str">
        <f aca="false">IF($B1843="","",COUNTIF($F1843:$AJ1843,"HPL"))</f>
        <v/>
      </c>
      <c r="AT1843" s="34" t="str">
        <f aca="false">IF($B1843="","",COUNTIF($F1843:$AJ1843,"HCL"))</f>
        <v/>
      </c>
      <c r="AU1843" s="34" t="str">
        <f aca="false">IF($B1843="","",COUNTIF($F1843:$AJ1843,"WO"))</f>
        <v/>
      </c>
      <c r="AV1843" s="34" t="str">
        <f aca="false">IF($B1843="","",COUNTIF($F1843:$AJ1843,"PH"))</f>
        <v/>
      </c>
      <c r="AW1843" s="34" t="str">
        <f aca="false">IF($B1843="","",COUNTIF($F1843:$AJ1843,"TR"))</f>
        <v/>
      </c>
      <c r="AX1843" s="35" t="str">
        <f aca="false">IF($B1843="","",AO1843+AS1843/2)</f>
        <v/>
      </c>
      <c r="AY1843" s="35" t="str">
        <f aca="false">IF($B1843="","",AQ1843)</f>
        <v/>
      </c>
      <c r="AZ1843" s="35" t="str">
        <f aca="false">IF($B1843="","",AP1843+AT1843/2)</f>
        <v/>
      </c>
      <c r="BA1843" s="35" t="str">
        <f aca="false">IF($B1843="","",AK1843+AN1843+AM1843/2+AO1843+AP1843+AQ1843+AR1843+AS1843+AT1843+AU1843+AV1843+AW1843)</f>
        <v/>
      </c>
      <c r="BB1843" s="35" t="str">
        <f aca="false">IF($B1843="","",MAX(0,AN1843-Settings!$C$16)*Settings!$C$17)</f>
        <v/>
      </c>
      <c r="BC1843" s="35" t="str">
        <f aca="false">IF($B1843="","",BA1843-BB1843)</f>
        <v/>
      </c>
      <c r="BD1843" s="35" t="str">
        <f aca="false">IF(OR($B1843="",$A1843=""),"",DAY(EOMONTH($A1843,0))-COUNTA($F1843:$AJ1843))</f>
        <v/>
      </c>
    </row>
    <row r="1844" customFormat="false" ht="15" hidden="false" customHeight="false" outlineLevel="0" collapsed="false">
      <c r="A1844" s="32"/>
      <c r="B1844" s="29"/>
      <c r="C1844" s="10" t="str">
        <f aca="false">IF($B1844="","",IFERROR(INDEX(M_name,MATCH($B1844,M_emp,0)),"Code not found"))</f>
        <v/>
      </c>
      <c r="D1844" s="10" t="str">
        <f aca="false">IF($B1844="","",IFERROR(INDEX(M_dept,MATCH($B1844,M_emp,0)),""))</f>
        <v/>
      </c>
      <c r="E1844" s="10" t="str">
        <f aca="false">IF($B1844="","",IFERROR(INDEX(M_loc,MATCH($B1844,M_emp,0)),""))</f>
        <v/>
      </c>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c r="AB1844" s="33"/>
      <c r="AC1844" s="33"/>
      <c r="AD1844" s="33"/>
      <c r="AE1844" s="33"/>
      <c r="AF1844" s="33"/>
      <c r="AG1844" s="33"/>
      <c r="AH1844" s="33"/>
      <c r="AI1844" s="33"/>
      <c r="AJ1844" s="33"/>
      <c r="AK1844" s="34" t="str">
        <f aca="false">IF($B1844="","",COUNTIF($F1844:$AJ1844,"P"))</f>
        <v/>
      </c>
      <c r="AL1844" s="34" t="str">
        <f aca="false">IF($B1844="","",COUNTIF($F1844:$AJ1844,"A"))</f>
        <v/>
      </c>
      <c r="AM1844" s="34" t="str">
        <f aca="false">IF($B1844="","",COUNTIF($F1844:$AJ1844,"HA"))</f>
        <v/>
      </c>
      <c r="AN1844" s="34" t="str">
        <f aca="false">IF($B1844="","",COUNTIF($F1844:$AJ1844,"L"))</f>
        <v/>
      </c>
      <c r="AO1844" s="34" t="str">
        <f aca="false">IF($B1844="","",COUNTIF($F1844:$AJ1844,"PL"))</f>
        <v/>
      </c>
      <c r="AP1844" s="34" t="str">
        <f aca="false">IF($B1844="","",COUNTIF($F1844:$AJ1844,"CL"))</f>
        <v/>
      </c>
      <c r="AQ1844" s="34" t="str">
        <f aca="false">IF($B1844="","",COUNTIF($F1844:$AJ1844,"SL"))</f>
        <v/>
      </c>
      <c r="AR1844" s="34" t="str">
        <f aca="false">IF($B1844="","",COUNTIF($F1844:$AJ1844,"CO"))</f>
        <v/>
      </c>
      <c r="AS1844" s="34" t="str">
        <f aca="false">IF($B1844="","",COUNTIF($F1844:$AJ1844,"HPL"))</f>
        <v/>
      </c>
      <c r="AT1844" s="34" t="str">
        <f aca="false">IF($B1844="","",COUNTIF($F1844:$AJ1844,"HCL"))</f>
        <v/>
      </c>
      <c r="AU1844" s="34" t="str">
        <f aca="false">IF($B1844="","",COUNTIF($F1844:$AJ1844,"WO"))</f>
        <v/>
      </c>
      <c r="AV1844" s="34" t="str">
        <f aca="false">IF($B1844="","",COUNTIF($F1844:$AJ1844,"PH"))</f>
        <v/>
      </c>
      <c r="AW1844" s="34" t="str">
        <f aca="false">IF($B1844="","",COUNTIF($F1844:$AJ1844,"TR"))</f>
        <v/>
      </c>
      <c r="AX1844" s="35" t="str">
        <f aca="false">IF($B1844="","",AO1844+AS1844/2)</f>
        <v/>
      </c>
      <c r="AY1844" s="35" t="str">
        <f aca="false">IF($B1844="","",AQ1844)</f>
        <v/>
      </c>
      <c r="AZ1844" s="35" t="str">
        <f aca="false">IF($B1844="","",AP1844+AT1844/2)</f>
        <v/>
      </c>
      <c r="BA1844" s="35" t="str">
        <f aca="false">IF($B1844="","",AK1844+AN1844+AM1844/2+AO1844+AP1844+AQ1844+AR1844+AS1844+AT1844+AU1844+AV1844+AW1844)</f>
        <v/>
      </c>
      <c r="BB1844" s="35" t="str">
        <f aca="false">IF($B1844="","",MAX(0,AN1844-Settings!$C$16)*Settings!$C$17)</f>
        <v/>
      </c>
      <c r="BC1844" s="35" t="str">
        <f aca="false">IF($B1844="","",BA1844-BB1844)</f>
        <v/>
      </c>
      <c r="BD1844" s="35" t="str">
        <f aca="false">IF(OR($B1844="",$A1844=""),"",DAY(EOMONTH($A1844,0))-COUNTA($F1844:$AJ1844))</f>
        <v/>
      </c>
    </row>
    <row r="1845" customFormat="false" ht="15" hidden="false" customHeight="false" outlineLevel="0" collapsed="false">
      <c r="A1845" s="32"/>
      <c r="B1845" s="29"/>
      <c r="C1845" s="10" t="str">
        <f aca="false">IF($B1845="","",IFERROR(INDEX(M_name,MATCH($B1845,M_emp,0)),"Code not found"))</f>
        <v/>
      </c>
      <c r="D1845" s="10" t="str">
        <f aca="false">IF($B1845="","",IFERROR(INDEX(M_dept,MATCH($B1845,M_emp,0)),""))</f>
        <v/>
      </c>
      <c r="E1845" s="10" t="str">
        <f aca="false">IF($B1845="","",IFERROR(INDEX(M_loc,MATCH($B1845,M_emp,0)),""))</f>
        <v/>
      </c>
      <c r="F1845" s="33"/>
      <c r="G1845" s="33"/>
      <c r="H1845" s="33"/>
      <c r="I1845" s="33"/>
      <c r="J1845" s="33"/>
      <c r="K1845" s="33"/>
      <c r="L1845" s="33"/>
      <c r="M1845" s="33"/>
      <c r="N1845" s="33"/>
      <c r="O1845" s="33"/>
      <c r="P1845" s="33"/>
      <c r="Q1845" s="33"/>
      <c r="R1845" s="33"/>
      <c r="S1845" s="33"/>
      <c r="T1845" s="33"/>
      <c r="U1845" s="33"/>
      <c r="V1845" s="33"/>
      <c r="W1845" s="33"/>
      <c r="X1845" s="33"/>
      <c r="Y1845" s="33"/>
      <c r="Z1845" s="33"/>
      <c r="AA1845" s="33"/>
      <c r="AB1845" s="33"/>
      <c r="AC1845" s="33"/>
      <c r="AD1845" s="33"/>
      <c r="AE1845" s="33"/>
      <c r="AF1845" s="33"/>
      <c r="AG1845" s="33"/>
      <c r="AH1845" s="33"/>
      <c r="AI1845" s="33"/>
      <c r="AJ1845" s="33"/>
      <c r="AK1845" s="34" t="str">
        <f aca="false">IF($B1845="","",COUNTIF($F1845:$AJ1845,"P"))</f>
        <v/>
      </c>
      <c r="AL1845" s="34" t="str">
        <f aca="false">IF($B1845="","",COUNTIF($F1845:$AJ1845,"A"))</f>
        <v/>
      </c>
      <c r="AM1845" s="34" t="str">
        <f aca="false">IF($B1845="","",COUNTIF($F1845:$AJ1845,"HA"))</f>
        <v/>
      </c>
      <c r="AN1845" s="34" t="str">
        <f aca="false">IF($B1845="","",COUNTIF($F1845:$AJ1845,"L"))</f>
        <v/>
      </c>
      <c r="AO1845" s="34" t="str">
        <f aca="false">IF($B1845="","",COUNTIF($F1845:$AJ1845,"PL"))</f>
        <v/>
      </c>
      <c r="AP1845" s="34" t="str">
        <f aca="false">IF($B1845="","",COUNTIF($F1845:$AJ1845,"CL"))</f>
        <v/>
      </c>
      <c r="AQ1845" s="34" t="str">
        <f aca="false">IF($B1845="","",COUNTIF($F1845:$AJ1845,"SL"))</f>
        <v/>
      </c>
      <c r="AR1845" s="34" t="str">
        <f aca="false">IF($B1845="","",COUNTIF($F1845:$AJ1845,"CO"))</f>
        <v/>
      </c>
      <c r="AS1845" s="34" t="str">
        <f aca="false">IF($B1845="","",COUNTIF($F1845:$AJ1845,"HPL"))</f>
        <v/>
      </c>
      <c r="AT1845" s="34" t="str">
        <f aca="false">IF($B1845="","",COUNTIF($F1845:$AJ1845,"HCL"))</f>
        <v/>
      </c>
      <c r="AU1845" s="34" t="str">
        <f aca="false">IF($B1845="","",COUNTIF($F1845:$AJ1845,"WO"))</f>
        <v/>
      </c>
      <c r="AV1845" s="34" t="str">
        <f aca="false">IF($B1845="","",COUNTIF($F1845:$AJ1845,"PH"))</f>
        <v/>
      </c>
      <c r="AW1845" s="34" t="str">
        <f aca="false">IF($B1845="","",COUNTIF($F1845:$AJ1845,"TR"))</f>
        <v/>
      </c>
      <c r="AX1845" s="35" t="str">
        <f aca="false">IF($B1845="","",AO1845+AS1845/2)</f>
        <v/>
      </c>
      <c r="AY1845" s="35" t="str">
        <f aca="false">IF($B1845="","",AQ1845)</f>
        <v/>
      </c>
      <c r="AZ1845" s="35" t="str">
        <f aca="false">IF($B1845="","",AP1845+AT1845/2)</f>
        <v/>
      </c>
      <c r="BA1845" s="35" t="str">
        <f aca="false">IF($B1845="","",AK1845+AN1845+AM1845/2+AO1845+AP1845+AQ1845+AR1845+AS1845+AT1845+AU1845+AV1845+AW1845)</f>
        <v/>
      </c>
      <c r="BB1845" s="35" t="str">
        <f aca="false">IF($B1845="","",MAX(0,AN1845-Settings!$C$16)*Settings!$C$17)</f>
        <v/>
      </c>
      <c r="BC1845" s="35" t="str">
        <f aca="false">IF($B1845="","",BA1845-BB1845)</f>
        <v/>
      </c>
      <c r="BD1845" s="35" t="str">
        <f aca="false">IF(OR($B1845="",$A1845=""),"",DAY(EOMONTH($A1845,0))-COUNTA($F1845:$AJ1845))</f>
        <v/>
      </c>
    </row>
    <row r="1846" customFormat="false" ht="15" hidden="false" customHeight="false" outlineLevel="0" collapsed="false">
      <c r="A1846" s="32"/>
      <c r="B1846" s="29"/>
      <c r="C1846" s="10" t="str">
        <f aca="false">IF($B1846="","",IFERROR(INDEX(M_name,MATCH($B1846,M_emp,0)),"Code not found"))</f>
        <v/>
      </c>
      <c r="D1846" s="10" t="str">
        <f aca="false">IF($B1846="","",IFERROR(INDEX(M_dept,MATCH($B1846,M_emp,0)),""))</f>
        <v/>
      </c>
      <c r="E1846" s="10" t="str">
        <f aca="false">IF($B1846="","",IFERROR(INDEX(M_loc,MATCH($B1846,M_emp,0)),""))</f>
        <v/>
      </c>
      <c r="F1846" s="33"/>
      <c r="G1846" s="33"/>
      <c r="H1846" s="33"/>
      <c r="I1846" s="33"/>
      <c r="J1846" s="33"/>
      <c r="K1846" s="33"/>
      <c r="L1846" s="33"/>
      <c r="M1846" s="33"/>
      <c r="N1846" s="33"/>
      <c r="O1846" s="33"/>
      <c r="P1846" s="33"/>
      <c r="Q1846" s="33"/>
      <c r="R1846" s="33"/>
      <c r="S1846" s="33"/>
      <c r="T1846" s="33"/>
      <c r="U1846" s="33"/>
      <c r="V1846" s="33"/>
      <c r="W1846" s="33"/>
      <c r="X1846" s="33"/>
      <c r="Y1846" s="33"/>
      <c r="Z1846" s="33"/>
      <c r="AA1846" s="33"/>
      <c r="AB1846" s="33"/>
      <c r="AC1846" s="33"/>
      <c r="AD1846" s="33"/>
      <c r="AE1846" s="33"/>
      <c r="AF1846" s="33"/>
      <c r="AG1846" s="33"/>
      <c r="AH1846" s="33"/>
      <c r="AI1846" s="33"/>
      <c r="AJ1846" s="33"/>
      <c r="AK1846" s="34" t="str">
        <f aca="false">IF($B1846="","",COUNTIF($F1846:$AJ1846,"P"))</f>
        <v/>
      </c>
      <c r="AL1846" s="34" t="str">
        <f aca="false">IF($B1846="","",COUNTIF($F1846:$AJ1846,"A"))</f>
        <v/>
      </c>
      <c r="AM1846" s="34" t="str">
        <f aca="false">IF($B1846="","",COUNTIF($F1846:$AJ1846,"HA"))</f>
        <v/>
      </c>
      <c r="AN1846" s="34" t="str">
        <f aca="false">IF($B1846="","",COUNTIF($F1846:$AJ1846,"L"))</f>
        <v/>
      </c>
      <c r="AO1846" s="34" t="str">
        <f aca="false">IF($B1846="","",COUNTIF($F1846:$AJ1846,"PL"))</f>
        <v/>
      </c>
      <c r="AP1846" s="34" t="str">
        <f aca="false">IF($B1846="","",COUNTIF($F1846:$AJ1846,"CL"))</f>
        <v/>
      </c>
      <c r="AQ1846" s="34" t="str">
        <f aca="false">IF($B1846="","",COUNTIF($F1846:$AJ1846,"SL"))</f>
        <v/>
      </c>
      <c r="AR1846" s="34" t="str">
        <f aca="false">IF($B1846="","",COUNTIF($F1846:$AJ1846,"CO"))</f>
        <v/>
      </c>
      <c r="AS1846" s="34" t="str">
        <f aca="false">IF($B1846="","",COUNTIF($F1846:$AJ1846,"HPL"))</f>
        <v/>
      </c>
      <c r="AT1846" s="34" t="str">
        <f aca="false">IF($B1846="","",COUNTIF($F1846:$AJ1846,"HCL"))</f>
        <v/>
      </c>
      <c r="AU1846" s="34" t="str">
        <f aca="false">IF($B1846="","",COUNTIF($F1846:$AJ1846,"WO"))</f>
        <v/>
      </c>
      <c r="AV1846" s="34" t="str">
        <f aca="false">IF($B1846="","",COUNTIF($F1846:$AJ1846,"PH"))</f>
        <v/>
      </c>
      <c r="AW1846" s="34" t="str">
        <f aca="false">IF($B1846="","",COUNTIF($F1846:$AJ1846,"TR"))</f>
        <v/>
      </c>
      <c r="AX1846" s="35" t="str">
        <f aca="false">IF($B1846="","",AO1846+AS1846/2)</f>
        <v/>
      </c>
      <c r="AY1846" s="35" t="str">
        <f aca="false">IF($B1846="","",AQ1846)</f>
        <v/>
      </c>
      <c r="AZ1846" s="35" t="str">
        <f aca="false">IF($B1846="","",AP1846+AT1846/2)</f>
        <v/>
      </c>
      <c r="BA1846" s="35" t="str">
        <f aca="false">IF($B1846="","",AK1846+AN1846+AM1846/2+AO1846+AP1846+AQ1846+AR1846+AS1846+AT1846+AU1846+AV1846+AW1846)</f>
        <v/>
      </c>
      <c r="BB1846" s="35" t="str">
        <f aca="false">IF($B1846="","",MAX(0,AN1846-Settings!$C$16)*Settings!$C$17)</f>
        <v/>
      </c>
      <c r="BC1846" s="35" t="str">
        <f aca="false">IF($B1846="","",BA1846-BB1846)</f>
        <v/>
      </c>
      <c r="BD1846" s="35" t="str">
        <f aca="false">IF(OR($B1846="",$A1846=""),"",DAY(EOMONTH($A1846,0))-COUNTA($F1846:$AJ1846))</f>
        <v/>
      </c>
    </row>
    <row r="1847" customFormat="false" ht="15" hidden="false" customHeight="false" outlineLevel="0" collapsed="false">
      <c r="A1847" s="32"/>
      <c r="B1847" s="29"/>
      <c r="C1847" s="10" t="str">
        <f aca="false">IF($B1847="","",IFERROR(INDEX(M_name,MATCH($B1847,M_emp,0)),"Code not found"))</f>
        <v/>
      </c>
      <c r="D1847" s="10" t="str">
        <f aca="false">IF($B1847="","",IFERROR(INDEX(M_dept,MATCH($B1847,M_emp,0)),""))</f>
        <v/>
      </c>
      <c r="E1847" s="10" t="str">
        <f aca="false">IF($B1847="","",IFERROR(INDEX(M_loc,MATCH($B1847,M_emp,0)),""))</f>
        <v/>
      </c>
      <c r="F1847" s="33"/>
      <c r="G1847" s="33"/>
      <c r="H1847" s="33"/>
      <c r="I1847" s="33"/>
      <c r="J1847" s="33"/>
      <c r="K1847" s="33"/>
      <c r="L1847" s="33"/>
      <c r="M1847" s="33"/>
      <c r="N1847" s="33"/>
      <c r="O1847" s="33"/>
      <c r="P1847" s="33"/>
      <c r="Q1847" s="33"/>
      <c r="R1847" s="33"/>
      <c r="S1847" s="33"/>
      <c r="T1847" s="33"/>
      <c r="U1847" s="33"/>
      <c r="V1847" s="33"/>
      <c r="W1847" s="33"/>
      <c r="X1847" s="33"/>
      <c r="Y1847" s="33"/>
      <c r="Z1847" s="33"/>
      <c r="AA1847" s="33"/>
      <c r="AB1847" s="33"/>
      <c r="AC1847" s="33"/>
      <c r="AD1847" s="33"/>
      <c r="AE1847" s="33"/>
      <c r="AF1847" s="33"/>
      <c r="AG1847" s="33"/>
      <c r="AH1847" s="33"/>
      <c r="AI1847" s="33"/>
      <c r="AJ1847" s="33"/>
      <c r="AK1847" s="34" t="str">
        <f aca="false">IF($B1847="","",COUNTIF($F1847:$AJ1847,"P"))</f>
        <v/>
      </c>
      <c r="AL1847" s="34" t="str">
        <f aca="false">IF($B1847="","",COUNTIF($F1847:$AJ1847,"A"))</f>
        <v/>
      </c>
      <c r="AM1847" s="34" t="str">
        <f aca="false">IF($B1847="","",COUNTIF($F1847:$AJ1847,"HA"))</f>
        <v/>
      </c>
      <c r="AN1847" s="34" t="str">
        <f aca="false">IF($B1847="","",COUNTIF($F1847:$AJ1847,"L"))</f>
        <v/>
      </c>
      <c r="AO1847" s="34" t="str">
        <f aca="false">IF($B1847="","",COUNTIF($F1847:$AJ1847,"PL"))</f>
        <v/>
      </c>
      <c r="AP1847" s="34" t="str">
        <f aca="false">IF($B1847="","",COUNTIF($F1847:$AJ1847,"CL"))</f>
        <v/>
      </c>
      <c r="AQ1847" s="34" t="str">
        <f aca="false">IF($B1847="","",COUNTIF($F1847:$AJ1847,"SL"))</f>
        <v/>
      </c>
      <c r="AR1847" s="34" t="str">
        <f aca="false">IF($B1847="","",COUNTIF($F1847:$AJ1847,"CO"))</f>
        <v/>
      </c>
      <c r="AS1847" s="34" t="str">
        <f aca="false">IF($B1847="","",COUNTIF($F1847:$AJ1847,"HPL"))</f>
        <v/>
      </c>
      <c r="AT1847" s="34" t="str">
        <f aca="false">IF($B1847="","",COUNTIF($F1847:$AJ1847,"HCL"))</f>
        <v/>
      </c>
      <c r="AU1847" s="34" t="str">
        <f aca="false">IF($B1847="","",COUNTIF($F1847:$AJ1847,"WO"))</f>
        <v/>
      </c>
      <c r="AV1847" s="34" t="str">
        <f aca="false">IF($B1847="","",COUNTIF($F1847:$AJ1847,"PH"))</f>
        <v/>
      </c>
      <c r="AW1847" s="34" t="str">
        <f aca="false">IF($B1847="","",COUNTIF($F1847:$AJ1847,"TR"))</f>
        <v/>
      </c>
      <c r="AX1847" s="35" t="str">
        <f aca="false">IF($B1847="","",AO1847+AS1847/2)</f>
        <v/>
      </c>
      <c r="AY1847" s="35" t="str">
        <f aca="false">IF($B1847="","",AQ1847)</f>
        <v/>
      </c>
      <c r="AZ1847" s="35" t="str">
        <f aca="false">IF($B1847="","",AP1847+AT1847/2)</f>
        <v/>
      </c>
      <c r="BA1847" s="35" t="str">
        <f aca="false">IF($B1847="","",AK1847+AN1847+AM1847/2+AO1847+AP1847+AQ1847+AR1847+AS1847+AT1847+AU1847+AV1847+AW1847)</f>
        <v/>
      </c>
      <c r="BB1847" s="35" t="str">
        <f aca="false">IF($B1847="","",MAX(0,AN1847-Settings!$C$16)*Settings!$C$17)</f>
        <v/>
      </c>
      <c r="BC1847" s="35" t="str">
        <f aca="false">IF($B1847="","",BA1847-BB1847)</f>
        <v/>
      </c>
      <c r="BD1847" s="35" t="str">
        <f aca="false">IF(OR($B1847="",$A1847=""),"",DAY(EOMONTH($A1847,0))-COUNTA($F1847:$AJ1847))</f>
        <v/>
      </c>
    </row>
    <row r="1848" customFormat="false" ht="15" hidden="false" customHeight="false" outlineLevel="0" collapsed="false">
      <c r="A1848" s="32"/>
      <c r="B1848" s="29"/>
      <c r="C1848" s="10" t="str">
        <f aca="false">IF($B1848="","",IFERROR(INDEX(M_name,MATCH($B1848,M_emp,0)),"Code not found"))</f>
        <v/>
      </c>
      <c r="D1848" s="10" t="str">
        <f aca="false">IF($B1848="","",IFERROR(INDEX(M_dept,MATCH($B1848,M_emp,0)),""))</f>
        <v/>
      </c>
      <c r="E1848" s="10" t="str">
        <f aca="false">IF($B1848="","",IFERROR(INDEX(M_loc,MATCH($B1848,M_emp,0)),""))</f>
        <v/>
      </c>
      <c r="F1848" s="33"/>
      <c r="G1848" s="33"/>
      <c r="H1848" s="33"/>
      <c r="I1848" s="33"/>
      <c r="J1848" s="33"/>
      <c r="K1848" s="33"/>
      <c r="L1848" s="33"/>
      <c r="M1848" s="33"/>
      <c r="N1848" s="33"/>
      <c r="O1848" s="33"/>
      <c r="P1848" s="33"/>
      <c r="Q1848" s="33"/>
      <c r="R1848" s="33"/>
      <c r="S1848" s="33"/>
      <c r="T1848" s="33"/>
      <c r="U1848" s="33"/>
      <c r="V1848" s="33"/>
      <c r="W1848" s="33"/>
      <c r="X1848" s="33"/>
      <c r="Y1848" s="33"/>
      <c r="Z1848" s="33"/>
      <c r="AA1848" s="33"/>
      <c r="AB1848" s="33"/>
      <c r="AC1848" s="33"/>
      <c r="AD1848" s="33"/>
      <c r="AE1848" s="33"/>
      <c r="AF1848" s="33"/>
      <c r="AG1848" s="33"/>
      <c r="AH1848" s="33"/>
      <c r="AI1848" s="33"/>
      <c r="AJ1848" s="33"/>
      <c r="AK1848" s="34" t="str">
        <f aca="false">IF($B1848="","",COUNTIF($F1848:$AJ1848,"P"))</f>
        <v/>
      </c>
      <c r="AL1848" s="34" t="str">
        <f aca="false">IF($B1848="","",COUNTIF($F1848:$AJ1848,"A"))</f>
        <v/>
      </c>
      <c r="AM1848" s="34" t="str">
        <f aca="false">IF($B1848="","",COUNTIF($F1848:$AJ1848,"HA"))</f>
        <v/>
      </c>
      <c r="AN1848" s="34" t="str">
        <f aca="false">IF($B1848="","",COUNTIF($F1848:$AJ1848,"L"))</f>
        <v/>
      </c>
      <c r="AO1848" s="34" t="str">
        <f aca="false">IF($B1848="","",COUNTIF($F1848:$AJ1848,"PL"))</f>
        <v/>
      </c>
      <c r="AP1848" s="34" t="str">
        <f aca="false">IF($B1848="","",COUNTIF($F1848:$AJ1848,"CL"))</f>
        <v/>
      </c>
      <c r="AQ1848" s="34" t="str">
        <f aca="false">IF($B1848="","",COUNTIF($F1848:$AJ1848,"SL"))</f>
        <v/>
      </c>
      <c r="AR1848" s="34" t="str">
        <f aca="false">IF($B1848="","",COUNTIF($F1848:$AJ1848,"CO"))</f>
        <v/>
      </c>
      <c r="AS1848" s="34" t="str">
        <f aca="false">IF($B1848="","",COUNTIF($F1848:$AJ1848,"HPL"))</f>
        <v/>
      </c>
      <c r="AT1848" s="34" t="str">
        <f aca="false">IF($B1848="","",COUNTIF($F1848:$AJ1848,"HCL"))</f>
        <v/>
      </c>
      <c r="AU1848" s="34" t="str">
        <f aca="false">IF($B1848="","",COUNTIF($F1848:$AJ1848,"WO"))</f>
        <v/>
      </c>
      <c r="AV1848" s="34" t="str">
        <f aca="false">IF($B1848="","",COUNTIF($F1848:$AJ1848,"PH"))</f>
        <v/>
      </c>
      <c r="AW1848" s="34" t="str">
        <f aca="false">IF($B1848="","",COUNTIF($F1848:$AJ1848,"TR"))</f>
        <v/>
      </c>
      <c r="AX1848" s="35" t="str">
        <f aca="false">IF($B1848="","",AO1848+AS1848/2)</f>
        <v/>
      </c>
      <c r="AY1848" s="35" t="str">
        <f aca="false">IF($B1848="","",AQ1848)</f>
        <v/>
      </c>
      <c r="AZ1848" s="35" t="str">
        <f aca="false">IF($B1848="","",AP1848+AT1848/2)</f>
        <v/>
      </c>
      <c r="BA1848" s="35" t="str">
        <f aca="false">IF($B1848="","",AK1848+AN1848+AM1848/2+AO1848+AP1848+AQ1848+AR1848+AS1848+AT1848+AU1848+AV1848+AW1848)</f>
        <v/>
      </c>
      <c r="BB1848" s="35" t="str">
        <f aca="false">IF($B1848="","",MAX(0,AN1848-Settings!$C$16)*Settings!$C$17)</f>
        <v/>
      </c>
      <c r="BC1848" s="35" t="str">
        <f aca="false">IF($B1848="","",BA1848-BB1848)</f>
        <v/>
      </c>
      <c r="BD1848" s="35" t="str">
        <f aca="false">IF(OR($B1848="",$A1848=""),"",DAY(EOMONTH($A1848,0))-COUNTA($F1848:$AJ1848))</f>
        <v/>
      </c>
    </row>
    <row r="1849" customFormat="false" ht="15" hidden="false" customHeight="false" outlineLevel="0" collapsed="false">
      <c r="A1849" s="32"/>
      <c r="B1849" s="29"/>
      <c r="C1849" s="10" t="str">
        <f aca="false">IF($B1849="","",IFERROR(INDEX(M_name,MATCH($B1849,M_emp,0)),"Code not found"))</f>
        <v/>
      </c>
      <c r="D1849" s="10" t="str">
        <f aca="false">IF($B1849="","",IFERROR(INDEX(M_dept,MATCH($B1849,M_emp,0)),""))</f>
        <v/>
      </c>
      <c r="E1849" s="10" t="str">
        <f aca="false">IF($B1849="","",IFERROR(INDEX(M_loc,MATCH($B1849,M_emp,0)),""))</f>
        <v/>
      </c>
      <c r="F1849" s="33"/>
      <c r="G1849" s="33"/>
      <c r="H1849" s="33"/>
      <c r="I1849" s="33"/>
      <c r="J1849" s="33"/>
      <c r="K1849" s="33"/>
      <c r="L1849" s="33"/>
      <c r="M1849" s="33"/>
      <c r="N1849" s="33"/>
      <c r="O1849" s="33"/>
      <c r="P1849" s="33"/>
      <c r="Q1849" s="33"/>
      <c r="R1849" s="33"/>
      <c r="S1849" s="33"/>
      <c r="T1849" s="33"/>
      <c r="U1849" s="33"/>
      <c r="V1849" s="33"/>
      <c r="W1849" s="33"/>
      <c r="X1849" s="33"/>
      <c r="Y1849" s="33"/>
      <c r="Z1849" s="33"/>
      <c r="AA1849" s="33"/>
      <c r="AB1849" s="33"/>
      <c r="AC1849" s="33"/>
      <c r="AD1849" s="33"/>
      <c r="AE1849" s="33"/>
      <c r="AF1849" s="33"/>
      <c r="AG1849" s="33"/>
      <c r="AH1849" s="33"/>
      <c r="AI1849" s="33"/>
      <c r="AJ1849" s="33"/>
      <c r="AK1849" s="34" t="str">
        <f aca="false">IF($B1849="","",COUNTIF($F1849:$AJ1849,"P"))</f>
        <v/>
      </c>
      <c r="AL1849" s="34" t="str">
        <f aca="false">IF($B1849="","",COUNTIF($F1849:$AJ1849,"A"))</f>
        <v/>
      </c>
      <c r="AM1849" s="34" t="str">
        <f aca="false">IF($B1849="","",COUNTIF($F1849:$AJ1849,"HA"))</f>
        <v/>
      </c>
      <c r="AN1849" s="34" t="str">
        <f aca="false">IF($B1849="","",COUNTIF($F1849:$AJ1849,"L"))</f>
        <v/>
      </c>
      <c r="AO1849" s="34" t="str">
        <f aca="false">IF($B1849="","",COUNTIF($F1849:$AJ1849,"PL"))</f>
        <v/>
      </c>
      <c r="AP1849" s="34" t="str">
        <f aca="false">IF($B1849="","",COUNTIF($F1849:$AJ1849,"CL"))</f>
        <v/>
      </c>
      <c r="AQ1849" s="34" t="str">
        <f aca="false">IF($B1849="","",COUNTIF($F1849:$AJ1849,"SL"))</f>
        <v/>
      </c>
      <c r="AR1849" s="34" t="str">
        <f aca="false">IF($B1849="","",COUNTIF($F1849:$AJ1849,"CO"))</f>
        <v/>
      </c>
      <c r="AS1849" s="34" t="str">
        <f aca="false">IF($B1849="","",COUNTIF($F1849:$AJ1849,"HPL"))</f>
        <v/>
      </c>
      <c r="AT1849" s="34" t="str">
        <f aca="false">IF($B1849="","",COUNTIF($F1849:$AJ1849,"HCL"))</f>
        <v/>
      </c>
      <c r="AU1849" s="34" t="str">
        <f aca="false">IF($B1849="","",COUNTIF($F1849:$AJ1849,"WO"))</f>
        <v/>
      </c>
      <c r="AV1849" s="34" t="str">
        <f aca="false">IF($B1849="","",COUNTIF($F1849:$AJ1849,"PH"))</f>
        <v/>
      </c>
      <c r="AW1849" s="34" t="str">
        <f aca="false">IF($B1849="","",COUNTIF($F1849:$AJ1849,"TR"))</f>
        <v/>
      </c>
      <c r="AX1849" s="35" t="str">
        <f aca="false">IF($B1849="","",AO1849+AS1849/2)</f>
        <v/>
      </c>
      <c r="AY1849" s="35" t="str">
        <f aca="false">IF($B1849="","",AQ1849)</f>
        <v/>
      </c>
      <c r="AZ1849" s="35" t="str">
        <f aca="false">IF($B1849="","",AP1849+AT1849/2)</f>
        <v/>
      </c>
      <c r="BA1849" s="35" t="str">
        <f aca="false">IF($B1849="","",AK1849+AN1849+AM1849/2+AO1849+AP1849+AQ1849+AR1849+AS1849+AT1849+AU1849+AV1849+AW1849)</f>
        <v/>
      </c>
      <c r="BB1849" s="35" t="str">
        <f aca="false">IF($B1849="","",MAX(0,AN1849-Settings!$C$16)*Settings!$C$17)</f>
        <v/>
      </c>
      <c r="BC1849" s="35" t="str">
        <f aca="false">IF($B1849="","",BA1849-BB1849)</f>
        <v/>
      </c>
      <c r="BD1849" s="35" t="str">
        <f aca="false">IF(OR($B1849="",$A1849=""),"",DAY(EOMONTH($A1849,0))-COUNTA($F1849:$AJ1849))</f>
        <v/>
      </c>
    </row>
    <row r="1850" customFormat="false" ht="15" hidden="false" customHeight="false" outlineLevel="0" collapsed="false">
      <c r="A1850" s="32"/>
      <c r="B1850" s="29"/>
      <c r="C1850" s="10" t="str">
        <f aca="false">IF($B1850="","",IFERROR(INDEX(M_name,MATCH($B1850,M_emp,0)),"Code not found"))</f>
        <v/>
      </c>
      <c r="D1850" s="10" t="str">
        <f aca="false">IF($B1850="","",IFERROR(INDEX(M_dept,MATCH($B1850,M_emp,0)),""))</f>
        <v/>
      </c>
      <c r="E1850" s="10" t="str">
        <f aca="false">IF($B1850="","",IFERROR(INDEX(M_loc,MATCH($B1850,M_emp,0)),""))</f>
        <v/>
      </c>
      <c r="F1850" s="33"/>
      <c r="G1850" s="33"/>
      <c r="H1850" s="33"/>
      <c r="I1850" s="33"/>
      <c r="J1850" s="33"/>
      <c r="K1850" s="33"/>
      <c r="L1850" s="33"/>
      <c r="M1850" s="33"/>
      <c r="N1850" s="33"/>
      <c r="O1850" s="33"/>
      <c r="P1850" s="33"/>
      <c r="Q1850" s="33"/>
      <c r="R1850" s="33"/>
      <c r="S1850" s="33"/>
      <c r="T1850" s="33"/>
      <c r="U1850" s="33"/>
      <c r="V1850" s="33"/>
      <c r="W1850" s="33"/>
      <c r="X1850" s="33"/>
      <c r="Y1850" s="33"/>
      <c r="Z1850" s="33"/>
      <c r="AA1850" s="33"/>
      <c r="AB1850" s="33"/>
      <c r="AC1850" s="33"/>
      <c r="AD1850" s="33"/>
      <c r="AE1850" s="33"/>
      <c r="AF1850" s="33"/>
      <c r="AG1850" s="33"/>
      <c r="AH1850" s="33"/>
      <c r="AI1850" s="33"/>
      <c r="AJ1850" s="33"/>
      <c r="AK1850" s="34" t="str">
        <f aca="false">IF($B1850="","",COUNTIF($F1850:$AJ1850,"P"))</f>
        <v/>
      </c>
      <c r="AL1850" s="34" t="str">
        <f aca="false">IF($B1850="","",COUNTIF($F1850:$AJ1850,"A"))</f>
        <v/>
      </c>
      <c r="AM1850" s="34" t="str">
        <f aca="false">IF($B1850="","",COUNTIF($F1850:$AJ1850,"HA"))</f>
        <v/>
      </c>
      <c r="AN1850" s="34" t="str">
        <f aca="false">IF($B1850="","",COUNTIF($F1850:$AJ1850,"L"))</f>
        <v/>
      </c>
      <c r="AO1850" s="34" t="str">
        <f aca="false">IF($B1850="","",COUNTIF($F1850:$AJ1850,"PL"))</f>
        <v/>
      </c>
      <c r="AP1850" s="34" t="str">
        <f aca="false">IF($B1850="","",COUNTIF($F1850:$AJ1850,"CL"))</f>
        <v/>
      </c>
      <c r="AQ1850" s="34" t="str">
        <f aca="false">IF($B1850="","",COUNTIF($F1850:$AJ1850,"SL"))</f>
        <v/>
      </c>
      <c r="AR1850" s="34" t="str">
        <f aca="false">IF($B1850="","",COUNTIF($F1850:$AJ1850,"CO"))</f>
        <v/>
      </c>
      <c r="AS1850" s="34" t="str">
        <f aca="false">IF($B1850="","",COUNTIF($F1850:$AJ1850,"HPL"))</f>
        <v/>
      </c>
      <c r="AT1850" s="34" t="str">
        <f aca="false">IF($B1850="","",COUNTIF($F1850:$AJ1850,"HCL"))</f>
        <v/>
      </c>
      <c r="AU1850" s="34" t="str">
        <f aca="false">IF($B1850="","",COUNTIF($F1850:$AJ1850,"WO"))</f>
        <v/>
      </c>
      <c r="AV1850" s="34" t="str">
        <f aca="false">IF($B1850="","",COUNTIF($F1850:$AJ1850,"PH"))</f>
        <v/>
      </c>
      <c r="AW1850" s="34" t="str">
        <f aca="false">IF($B1850="","",COUNTIF($F1850:$AJ1850,"TR"))</f>
        <v/>
      </c>
      <c r="AX1850" s="35" t="str">
        <f aca="false">IF($B1850="","",AO1850+AS1850/2)</f>
        <v/>
      </c>
      <c r="AY1850" s="35" t="str">
        <f aca="false">IF($B1850="","",AQ1850)</f>
        <v/>
      </c>
      <c r="AZ1850" s="35" t="str">
        <f aca="false">IF($B1850="","",AP1850+AT1850/2)</f>
        <v/>
      </c>
      <c r="BA1850" s="35" t="str">
        <f aca="false">IF($B1850="","",AK1850+AN1850+AM1850/2+AO1850+AP1850+AQ1850+AR1850+AS1850+AT1850+AU1850+AV1850+AW1850)</f>
        <v/>
      </c>
      <c r="BB1850" s="35" t="str">
        <f aca="false">IF($B1850="","",MAX(0,AN1850-Settings!$C$16)*Settings!$C$17)</f>
        <v/>
      </c>
      <c r="BC1850" s="35" t="str">
        <f aca="false">IF($B1850="","",BA1850-BB1850)</f>
        <v/>
      </c>
      <c r="BD1850" s="35" t="str">
        <f aca="false">IF(OR($B1850="",$A1850=""),"",DAY(EOMONTH($A1850,0))-COUNTA($F1850:$AJ1850))</f>
        <v/>
      </c>
    </row>
    <row r="1851" customFormat="false" ht="15" hidden="false" customHeight="false" outlineLevel="0" collapsed="false">
      <c r="A1851" s="32"/>
      <c r="B1851" s="29"/>
      <c r="C1851" s="10" t="str">
        <f aca="false">IF($B1851="","",IFERROR(INDEX(M_name,MATCH($B1851,M_emp,0)),"Code not found"))</f>
        <v/>
      </c>
      <c r="D1851" s="10" t="str">
        <f aca="false">IF($B1851="","",IFERROR(INDEX(M_dept,MATCH($B1851,M_emp,0)),""))</f>
        <v/>
      </c>
      <c r="E1851" s="10" t="str">
        <f aca="false">IF($B1851="","",IFERROR(INDEX(M_loc,MATCH($B1851,M_emp,0)),""))</f>
        <v/>
      </c>
      <c r="F1851" s="33"/>
      <c r="G1851" s="33"/>
      <c r="H1851" s="33"/>
      <c r="I1851" s="33"/>
      <c r="J1851" s="33"/>
      <c r="K1851" s="33"/>
      <c r="L1851" s="33"/>
      <c r="M1851" s="33"/>
      <c r="N1851" s="33"/>
      <c r="O1851" s="33"/>
      <c r="P1851" s="33"/>
      <c r="Q1851" s="33"/>
      <c r="R1851" s="33"/>
      <c r="S1851" s="33"/>
      <c r="T1851" s="33"/>
      <c r="U1851" s="33"/>
      <c r="V1851" s="33"/>
      <c r="W1851" s="33"/>
      <c r="X1851" s="33"/>
      <c r="Y1851" s="33"/>
      <c r="Z1851" s="33"/>
      <c r="AA1851" s="33"/>
      <c r="AB1851" s="33"/>
      <c r="AC1851" s="33"/>
      <c r="AD1851" s="33"/>
      <c r="AE1851" s="33"/>
      <c r="AF1851" s="33"/>
      <c r="AG1851" s="33"/>
      <c r="AH1851" s="33"/>
      <c r="AI1851" s="33"/>
      <c r="AJ1851" s="33"/>
      <c r="AK1851" s="34" t="str">
        <f aca="false">IF($B1851="","",COUNTIF($F1851:$AJ1851,"P"))</f>
        <v/>
      </c>
      <c r="AL1851" s="34" t="str">
        <f aca="false">IF($B1851="","",COUNTIF($F1851:$AJ1851,"A"))</f>
        <v/>
      </c>
      <c r="AM1851" s="34" t="str">
        <f aca="false">IF($B1851="","",COUNTIF($F1851:$AJ1851,"HA"))</f>
        <v/>
      </c>
      <c r="AN1851" s="34" t="str">
        <f aca="false">IF($B1851="","",COUNTIF($F1851:$AJ1851,"L"))</f>
        <v/>
      </c>
      <c r="AO1851" s="34" t="str">
        <f aca="false">IF($B1851="","",COUNTIF($F1851:$AJ1851,"PL"))</f>
        <v/>
      </c>
      <c r="AP1851" s="34" t="str">
        <f aca="false">IF($B1851="","",COUNTIF($F1851:$AJ1851,"CL"))</f>
        <v/>
      </c>
      <c r="AQ1851" s="34" t="str">
        <f aca="false">IF($B1851="","",COUNTIF($F1851:$AJ1851,"SL"))</f>
        <v/>
      </c>
      <c r="AR1851" s="34" t="str">
        <f aca="false">IF($B1851="","",COUNTIF($F1851:$AJ1851,"CO"))</f>
        <v/>
      </c>
      <c r="AS1851" s="34" t="str">
        <f aca="false">IF($B1851="","",COUNTIF($F1851:$AJ1851,"HPL"))</f>
        <v/>
      </c>
      <c r="AT1851" s="34" t="str">
        <f aca="false">IF($B1851="","",COUNTIF($F1851:$AJ1851,"HCL"))</f>
        <v/>
      </c>
      <c r="AU1851" s="34" t="str">
        <f aca="false">IF($B1851="","",COUNTIF($F1851:$AJ1851,"WO"))</f>
        <v/>
      </c>
      <c r="AV1851" s="34" t="str">
        <f aca="false">IF($B1851="","",COUNTIF($F1851:$AJ1851,"PH"))</f>
        <v/>
      </c>
      <c r="AW1851" s="34" t="str">
        <f aca="false">IF($B1851="","",COUNTIF($F1851:$AJ1851,"TR"))</f>
        <v/>
      </c>
      <c r="AX1851" s="35" t="str">
        <f aca="false">IF($B1851="","",AO1851+AS1851/2)</f>
        <v/>
      </c>
      <c r="AY1851" s="35" t="str">
        <f aca="false">IF($B1851="","",AQ1851)</f>
        <v/>
      </c>
      <c r="AZ1851" s="35" t="str">
        <f aca="false">IF($B1851="","",AP1851+AT1851/2)</f>
        <v/>
      </c>
      <c r="BA1851" s="35" t="str">
        <f aca="false">IF($B1851="","",AK1851+AN1851+AM1851/2+AO1851+AP1851+AQ1851+AR1851+AS1851+AT1851+AU1851+AV1851+AW1851)</f>
        <v/>
      </c>
      <c r="BB1851" s="35" t="str">
        <f aca="false">IF($B1851="","",MAX(0,AN1851-Settings!$C$16)*Settings!$C$17)</f>
        <v/>
      </c>
      <c r="BC1851" s="35" t="str">
        <f aca="false">IF($B1851="","",BA1851-BB1851)</f>
        <v/>
      </c>
      <c r="BD1851" s="35" t="str">
        <f aca="false">IF(OR($B1851="",$A1851=""),"",DAY(EOMONTH($A1851,0))-COUNTA($F1851:$AJ1851))</f>
        <v/>
      </c>
    </row>
    <row r="1852" customFormat="false" ht="15" hidden="false" customHeight="false" outlineLevel="0" collapsed="false">
      <c r="A1852" s="32"/>
      <c r="B1852" s="29"/>
      <c r="C1852" s="10" t="str">
        <f aca="false">IF($B1852="","",IFERROR(INDEX(M_name,MATCH($B1852,M_emp,0)),"Code not found"))</f>
        <v/>
      </c>
      <c r="D1852" s="10" t="str">
        <f aca="false">IF($B1852="","",IFERROR(INDEX(M_dept,MATCH($B1852,M_emp,0)),""))</f>
        <v/>
      </c>
      <c r="E1852" s="10" t="str">
        <f aca="false">IF($B1852="","",IFERROR(INDEX(M_loc,MATCH($B1852,M_emp,0)),""))</f>
        <v/>
      </c>
      <c r="F1852" s="33"/>
      <c r="G1852" s="33"/>
      <c r="H1852" s="33"/>
      <c r="I1852" s="33"/>
      <c r="J1852" s="33"/>
      <c r="K1852" s="33"/>
      <c r="L1852" s="33"/>
      <c r="M1852" s="33"/>
      <c r="N1852" s="33"/>
      <c r="O1852" s="33"/>
      <c r="P1852" s="33"/>
      <c r="Q1852" s="33"/>
      <c r="R1852" s="33"/>
      <c r="S1852" s="33"/>
      <c r="T1852" s="33"/>
      <c r="U1852" s="33"/>
      <c r="V1852" s="33"/>
      <c r="W1852" s="33"/>
      <c r="X1852" s="33"/>
      <c r="Y1852" s="33"/>
      <c r="Z1852" s="33"/>
      <c r="AA1852" s="33"/>
      <c r="AB1852" s="33"/>
      <c r="AC1852" s="33"/>
      <c r="AD1852" s="33"/>
      <c r="AE1852" s="33"/>
      <c r="AF1852" s="33"/>
      <c r="AG1852" s="33"/>
      <c r="AH1852" s="33"/>
      <c r="AI1852" s="33"/>
      <c r="AJ1852" s="33"/>
      <c r="AK1852" s="34" t="str">
        <f aca="false">IF($B1852="","",COUNTIF($F1852:$AJ1852,"P"))</f>
        <v/>
      </c>
      <c r="AL1852" s="34" t="str">
        <f aca="false">IF($B1852="","",COUNTIF($F1852:$AJ1852,"A"))</f>
        <v/>
      </c>
      <c r="AM1852" s="34" t="str">
        <f aca="false">IF($B1852="","",COUNTIF($F1852:$AJ1852,"HA"))</f>
        <v/>
      </c>
      <c r="AN1852" s="34" t="str">
        <f aca="false">IF($B1852="","",COUNTIF($F1852:$AJ1852,"L"))</f>
        <v/>
      </c>
      <c r="AO1852" s="34" t="str">
        <f aca="false">IF($B1852="","",COUNTIF($F1852:$AJ1852,"PL"))</f>
        <v/>
      </c>
      <c r="AP1852" s="34" t="str">
        <f aca="false">IF($B1852="","",COUNTIF($F1852:$AJ1852,"CL"))</f>
        <v/>
      </c>
      <c r="AQ1852" s="34" t="str">
        <f aca="false">IF($B1852="","",COUNTIF($F1852:$AJ1852,"SL"))</f>
        <v/>
      </c>
      <c r="AR1852" s="34" t="str">
        <f aca="false">IF($B1852="","",COUNTIF($F1852:$AJ1852,"CO"))</f>
        <v/>
      </c>
      <c r="AS1852" s="34" t="str">
        <f aca="false">IF($B1852="","",COUNTIF($F1852:$AJ1852,"HPL"))</f>
        <v/>
      </c>
      <c r="AT1852" s="34" t="str">
        <f aca="false">IF($B1852="","",COUNTIF($F1852:$AJ1852,"HCL"))</f>
        <v/>
      </c>
      <c r="AU1852" s="34" t="str">
        <f aca="false">IF($B1852="","",COUNTIF($F1852:$AJ1852,"WO"))</f>
        <v/>
      </c>
      <c r="AV1852" s="34" t="str">
        <f aca="false">IF($B1852="","",COUNTIF($F1852:$AJ1852,"PH"))</f>
        <v/>
      </c>
      <c r="AW1852" s="34" t="str">
        <f aca="false">IF($B1852="","",COUNTIF($F1852:$AJ1852,"TR"))</f>
        <v/>
      </c>
      <c r="AX1852" s="35" t="str">
        <f aca="false">IF($B1852="","",AO1852+AS1852/2)</f>
        <v/>
      </c>
      <c r="AY1852" s="35" t="str">
        <f aca="false">IF($B1852="","",AQ1852)</f>
        <v/>
      </c>
      <c r="AZ1852" s="35" t="str">
        <f aca="false">IF($B1852="","",AP1852+AT1852/2)</f>
        <v/>
      </c>
      <c r="BA1852" s="35" t="str">
        <f aca="false">IF($B1852="","",AK1852+AN1852+AM1852/2+AO1852+AP1852+AQ1852+AR1852+AS1852+AT1852+AU1852+AV1852+AW1852)</f>
        <v/>
      </c>
      <c r="BB1852" s="35" t="str">
        <f aca="false">IF($B1852="","",MAX(0,AN1852-Settings!$C$16)*Settings!$C$17)</f>
        <v/>
      </c>
      <c r="BC1852" s="35" t="str">
        <f aca="false">IF($B1852="","",BA1852-BB1852)</f>
        <v/>
      </c>
      <c r="BD1852" s="35" t="str">
        <f aca="false">IF(OR($B1852="",$A1852=""),"",DAY(EOMONTH($A1852,0))-COUNTA($F1852:$AJ1852))</f>
        <v/>
      </c>
    </row>
    <row r="1853" customFormat="false" ht="15" hidden="false" customHeight="false" outlineLevel="0" collapsed="false">
      <c r="A1853" s="32"/>
      <c r="B1853" s="29"/>
      <c r="C1853" s="10" t="str">
        <f aca="false">IF($B1853="","",IFERROR(INDEX(M_name,MATCH($B1853,M_emp,0)),"Code not found"))</f>
        <v/>
      </c>
      <c r="D1853" s="10" t="str">
        <f aca="false">IF($B1853="","",IFERROR(INDEX(M_dept,MATCH($B1853,M_emp,0)),""))</f>
        <v/>
      </c>
      <c r="E1853" s="10" t="str">
        <f aca="false">IF($B1853="","",IFERROR(INDEX(M_loc,MATCH($B1853,M_emp,0)),""))</f>
        <v/>
      </c>
      <c r="F1853" s="33"/>
      <c r="G1853" s="33"/>
      <c r="H1853" s="33"/>
      <c r="I1853" s="33"/>
      <c r="J1853" s="33"/>
      <c r="K1853" s="33"/>
      <c r="L1853" s="33"/>
      <c r="M1853" s="33"/>
      <c r="N1853" s="33"/>
      <c r="O1853" s="33"/>
      <c r="P1853" s="33"/>
      <c r="Q1853" s="33"/>
      <c r="R1853" s="33"/>
      <c r="S1853" s="33"/>
      <c r="T1853" s="33"/>
      <c r="U1853" s="33"/>
      <c r="V1853" s="33"/>
      <c r="W1853" s="33"/>
      <c r="X1853" s="33"/>
      <c r="Y1853" s="33"/>
      <c r="Z1853" s="33"/>
      <c r="AA1853" s="33"/>
      <c r="AB1853" s="33"/>
      <c r="AC1853" s="33"/>
      <c r="AD1853" s="33"/>
      <c r="AE1853" s="33"/>
      <c r="AF1853" s="33"/>
      <c r="AG1853" s="33"/>
      <c r="AH1853" s="33"/>
      <c r="AI1853" s="33"/>
      <c r="AJ1853" s="33"/>
      <c r="AK1853" s="34" t="str">
        <f aca="false">IF($B1853="","",COUNTIF($F1853:$AJ1853,"P"))</f>
        <v/>
      </c>
      <c r="AL1853" s="34" t="str">
        <f aca="false">IF($B1853="","",COUNTIF($F1853:$AJ1853,"A"))</f>
        <v/>
      </c>
      <c r="AM1853" s="34" t="str">
        <f aca="false">IF($B1853="","",COUNTIF($F1853:$AJ1853,"HA"))</f>
        <v/>
      </c>
      <c r="AN1853" s="34" t="str">
        <f aca="false">IF($B1853="","",COUNTIF($F1853:$AJ1853,"L"))</f>
        <v/>
      </c>
      <c r="AO1853" s="34" t="str">
        <f aca="false">IF($B1853="","",COUNTIF($F1853:$AJ1853,"PL"))</f>
        <v/>
      </c>
      <c r="AP1853" s="34" t="str">
        <f aca="false">IF($B1853="","",COUNTIF($F1853:$AJ1853,"CL"))</f>
        <v/>
      </c>
      <c r="AQ1853" s="34" t="str">
        <f aca="false">IF($B1853="","",COUNTIF($F1853:$AJ1853,"SL"))</f>
        <v/>
      </c>
      <c r="AR1853" s="34" t="str">
        <f aca="false">IF($B1853="","",COUNTIF($F1853:$AJ1853,"CO"))</f>
        <v/>
      </c>
      <c r="AS1853" s="34" t="str">
        <f aca="false">IF($B1853="","",COUNTIF($F1853:$AJ1853,"HPL"))</f>
        <v/>
      </c>
      <c r="AT1853" s="34" t="str">
        <f aca="false">IF($B1853="","",COUNTIF($F1853:$AJ1853,"HCL"))</f>
        <v/>
      </c>
      <c r="AU1853" s="34" t="str">
        <f aca="false">IF($B1853="","",COUNTIF($F1853:$AJ1853,"WO"))</f>
        <v/>
      </c>
      <c r="AV1853" s="34" t="str">
        <f aca="false">IF($B1853="","",COUNTIF($F1853:$AJ1853,"PH"))</f>
        <v/>
      </c>
      <c r="AW1853" s="34" t="str">
        <f aca="false">IF($B1853="","",COUNTIF($F1853:$AJ1853,"TR"))</f>
        <v/>
      </c>
      <c r="AX1853" s="35" t="str">
        <f aca="false">IF($B1853="","",AO1853+AS1853/2)</f>
        <v/>
      </c>
      <c r="AY1853" s="35" t="str">
        <f aca="false">IF($B1853="","",AQ1853)</f>
        <v/>
      </c>
      <c r="AZ1853" s="35" t="str">
        <f aca="false">IF($B1853="","",AP1853+AT1853/2)</f>
        <v/>
      </c>
      <c r="BA1853" s="35" t="str">
        <f aca="false">IF($B1853="","",AK1853+AN1853+AM1853/2+AO1853+AP1853+AQ1853+AR1853+AS1853+AT1853+AU1853+AV1853+AW1853)</f>
        <v/>
      </c>
      <c r="BB1853" s="35" t="str">
        <f aca="false">IF($B1853="","",MAX(0,AN1853-Settings!$C$16)*Settings!$C$17)</f>
        <v/>
      </c>
      <c r="BC1853" s="35" t="str">
        <f aca="false">IF($B1853="","",BA1853-BB1853)</f>
        <v/>
      </c>
      <c r="BD1853" s="35" t="str">
        <f aca="false">IF(OR($B1853="",$A1853=""),"",DAY(EOMONTH($A1853,0))-COUNTA($F1853:$AJ1853))</f>
        <v/>
      </c>
    </row>
    <row r="1854" customFormat="false" ht="15" hidden="false" customHeight="false" outlineLevel="0" collapsed="false">
      <c r="A1854" s="32"/>
      <c r="B1854" s="29"/>
      <c r="C1854" s="10" t="str">
        <f aca="false">IF($B1854="","",IFERROR(INDEX(M_name,MATCH($B1854,M_emp,0)),"Code not found"))</f>
        <v/>
      </c>
      <c r="D1854" s="10" t="str">
        <f aca="false">IF($B1854="","",IFERROR(INDEX(M_dept,MATCH($B1854,M_emp,0)),""))</f>
        <v/>
      </c>
      <c r="E1854" s="10" t="str">
        <f aca="false">IF($B1854="","",IFERROR(INDEX(M_loc,MATCH($B1854,M_emp,0)),""))</f>
        <v/>
      </c>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c r="AB1854" s="33"/>
      <c r="AC1854" s="33"/>
      <c r="AD1854" s="33"/>
      <c r="AE1854" s="33"/>
      <c r="AF1854" s="33"/>
      <c r="AG1854" s="33"/>
      <c r="AH1854" s="33"/>
      <c r="AI1854" s="33"/>
      <c r="AJ1854" s="33"/>
      <c r="AK1854" s="34" t="str">
        <f aca="false">IF($B1854="","",COUNTIF($F1854:$AJ1854,"P"))</f>
        <v/>
      </c>
      <c r="AL1854" s="34" t="str">
        <f aca="false">IF($B1854="","",COUNTIF($F1854:$AJ1854,"A"))</f>
        <v/>
      </c>
      <c r="AM1854" s="34" t="str">
        <f aca="false">IF($B1854="","",COUNTIF($F1854:$AJ1854,"HA"))</f>
        <v/>
      </c>
      <c r="AN1854" s="34" t="str">
        <f aca="false">IF($B1854="","",COUNTIF($F1854:$AJ1854,"L"))</f>
        <v/>
      </c>
      <c r="AO1854" s="34" t="str">
        <f aca="false">IF($B1854="","",COUNTIF($F1854:$AJ1854,"PL"))</f>
        <v/>
      </c>
      <c r="AP1854" s="34" t="str">
        <f aca="false">IF($B1854="","",COUNTIF($F1854:$AJ1854,"CL"))</f>
        <v/>
      </c>
      <c r="AQ1854" s="34" t="str">
        <f aca="false">IF($B1854="","",COUNTIF($F1854:$AJ1854,"SL"))</f>
        <v/>
      </c>
      <c r="AR1854" s="34" t="str">
        <f aca="false">IF($B1854="","",COUNTIF($F1854:$AJ1854,"CO"))</f>
        <v/>
      </c>
      <c r="AS1854" s="34" t="str">
        <f aca="false">IF($B1854="","",COUNTIF($F1854:$AJ1854,"HPL"))</f>
        <v/>
      </c>
      <c r="AT1854" s="34" t="str">
        <f aca="false">IF($B1854="","",COUNTIF($F1854:$AJ1854,"HCL"))</f>
        <v/>
      </c>
      <c r="AU1854" s="34" t="str">
        <f aca="false">IF($B1854="","",COUNTIF($F1854:$AJ1854,"WO"))</f>
        <v/>
      </c>
      <c r="AV1854" s="34" t="str">
        <f aca="false">IF($B1854="","",COUNTIF($F1854:$AJ1854,"PH"))</f>
        <v/>
      </c>
      <c r="AW1854" s="34" t="str">
        <f aca="false">IF($B1854="","",COUNTIF($F1854:$AJ1854,"TR"))</f>
        <v/>
      </c>
      <c r="AX1854" s="35" t="str">
        <f aca="false">IF($B1854="","",AO1854+AS1854/2)</f>
        <v/>
      </c>
      <c r="AY1854" s="35" t="str">
        <f aca="false">IF($B1854="","",AQ1854)</f>
        <v/>
      </c>
      <c r="AZ1854" s="35" t="str">
        <f aca="false">IF($B1854="","",AP1854+AT1854/2)</f>
        <v/>
      </c>
      <c r="BA1854" s="35" t="str">
        <f aca="false">IF($B1854="","",AK1854+AN1854+AM1854/2+AO1854+AP1854+AQ1854+AR1854+AS1854+AT1854+AU1854+AV1854+AW1854)</f>
        <v/>
      </c>
      <c r="BB1854" s="35" t="str">
        <f aca="false">IF($B1854="","",MAX(0,AN1854-Settings!$C$16)*Settings!$C$17)</f>
        <v/>
      </c>
      <c r="BC1854" s="35" t="str">
        <f aca="false">IF($B1854="","",BA1854-BB1854)</f>
        <v/>
      </c>
      <c r="BD1854" s="35" t="str">
        <f aca="false">IF(OR($B1854="",$A1854=""),"",DAY(EOMONTH($A1854,0))-COUNTA($F1854:$AJ1854))</f>
        <v/>
      </c>
    </row>
    <row r="1855" customFormat="false" ht="15" hidden="false" customHeight="false" outlineLevel="0" collapsed="false">
      <c r="A1855" s="32"/>
      <c r="B1855" s="29"/>
      <c r="C1855" s="10" t="str">
        <f aca="false">IF($B1855="","",IFERROR(INDEX(M_name,MATCH($B1855,M_emp,0)),"Code not found"))</f>
        <v/>
      </c>
      <c r="D1855" s="10" t="str">
        <f aca="false">IF($B1855="","",IFERROR(INDEX(M_dept,MATCH($B1855,M_emp,0)),""))</f>
        <v/>
      </c>
      <c r="E1855" s="10" t="str">
        <f aca="false">IF($B1855="","",IFERROR(INDEX(M_loc,MATCH($B1855,M_emp,0)),""))</f>
        <v/>
      </c>
      <c r="F1855" s="33"/>
      <c r="G1855" s="33"/>
      <c r="H1855" s="33"/>
      <c r="I1855" s="33"/>
      <c r="J1855" s="33"/>
      <c r="K1855" s="33"/>
      <c r="L1855" s="33"/>
      <c r="M1855" s="33"/>
      <c r="N1855" s="33"/>
      <c r="O1855" s="33"/>
      <c r="P1855" s="33"/>
      <c r="Q1855" s="33"/>
      <c r="R1855" s="33"/>
      <c r="S1855" s="33"/>
      <c r="T1855" s="33"/>
      <c r="U1855" s="33"/>
      <c r="V1855" s="33"/>
      <c r="W1855" s="33"/>
      <c r="X1855" s="33"/>
      <c r="Y1855" s="33"/>
      <c r="Z1855" s="33"/>
      <c r="AA1855" s="33"/>
      <c r="AB1855" s="33"/>
      <c r="AC1855" s="33"/>
      <c r="AD1855" s="33"/>
      <c r="AE1855" s="33"/>
      <c r="AF1855" s="33"/>
      <c r="AG1855" s="33"/>
      <c r="AH1855" s="33"/>
      <c r="AI1855" s="33"/>
      <c r="AJ1855" s="33"/>
      <c r="AK1855" s="34" t="str">
        <f aca="false">IF($B1855="","",COUNTIF($F1855:$AJ1855,"P"))</f>
        <v/>
      </c>
      <c r="AL1855" s="34" t="str">
        <f aca="false">IF($B1855="","",COUNTIF($F1855:$AJ1855,"A"))</f>
        <v/>
      </c>
      <c r="AM1855" s="34" t="str">
        <f aca="false">IF($B1855="","",COUNTIF($F1855:$AJ1855,"HA"))</f>
        <v/>
      </c>
      <c r="AN1855" s="34" t="str">
        <f aca="false">IF($B1855="","",COUNTIF($F1855:$AJ1855,"L"))</f>
        <v/>
      </c>
      <c r="AO1855" s="34" t="str">
        <f aca="false">IF($B1855="","",COUNTIF($F1855:$AJ1855,"PL"))</f>
        <v/>
      </c>
      <c r="AP1855" s="34" t="str">
        <f aca="false">IF($B1855="","",COUNTIF($F1855:$AJ1855,"CL"))</f>
        <v/>
      </c>
      <c r="AQ1855" s="34" t="str">
        <f aca="false">IF($B1855="","",COUNTIF($F1855:$AJ1855,"SL"))</f>
        <v/>
      </c>
      <c r="AR1855" s="34" t="str">
        <f aca="false">IF($B1855="","",COUNTIF($F1855:$AJ1855,"CO"))</f>
        <v/>
      </c>
      <c r="AS1855" s="34" t="str">
        <f aca="false">IF($B1855="","",COUNTIF($F1855:$AJ1855,"HPL"))</f>
        <v/>
      </c>
      <c r="AT1855" s="34" t="str">
        <f aca="false">IF($B1855="","",COUNTIF($F1855:$AJ1855,"HCL"))</f>
        <v/>
      </c>
      <c r="AU1855" s="34" t="str">
        <f aca="false">IF($B1855="","",COUNTIF($F1855:$AJ1855,"WO"))</f>
        <v/>
      </c>
      <c r="AV1855" s="34" t="str">
        <f aca="false">IF($B1855="","",COUNTIF($F1855:$AJ1855,"PH"))</f>
        <v/>
      </c>
      <c r="AW1855" s="34" t="str">
        <f aca="false">IF($B1855="","",COUNTIF($F1855:$AJ1855,"TR"))</f>
        <v/>
      </c>
      <c r="AX1855" s="35" t="str">
        <f aca="false">IF($B1855="","",AO1855+AS1855/2)</f>
        <v/>
      </c>
      <c r="AY1855" s="35" t="str">
        <f aca="false">IF($B1855="","",AQ1855)</f>
        <v/>
      </c>
      <c r="AZ1855" s="35" t="str">
        <f aca="false">IF($B1855="","",AP1855+AT1855/2)</f>
        <v/>
      </c>
      <c r="BA1855" s="35" t="str">
        <f aca="false">IF($B1855="","",AK1855+AN1855+AM1855/2+AO1855+AP1855+AQ1855+AR1855+AS1855+AT1855+AU1855+AV1855+AW1855)</f>
        <v/>
      </c>
      <c r="BB1855" s="35" t="str">
        <f aca="false">IF($B1855="","",MAX(0,AN1855-Settings!$C$16)*Settings!$C$17)</f>
        <v/>
      </c>
      <c r="BC1855" s="35" t="str">
        <f aca="false">IF($B1855="","",BA1855-BB1855)</f>
        <v/>
      </c>
      <c r="BD1855" s="35" t="str">
        <f aca="false">IF(OR($B1855="",$A1855=""),"",DAY(EOMONTH($A1855,0))-COUNTA($F1855:$AJ1855))</f>
        <v/>
      </c>
    </row>
    <row r="1856" customFormat="false" ht="15" hidden="false" customHeight="false" outlineLevel="0" collapsed="false">
      <c r="A1856" s="32"/>
      <c r="B1856" s="29"/>
      <c r="C1856" s="10" t="str">
        <f aca="false">IF($B1856="","",IFERROR(INDEX(M_name,MATCH($B1856,M_emp,0)),"Code not found"))</f>
        <v/>
      </c>
      <c r="D1856" s="10" t="str">
        <f aca="false">IF($B1856="","",IFERROR(INDEX(M_dept,MATCH($B1856,M_emp,0)),""))</f>
        <v/>
      </c>
      <c r="E1856" s="10" t="str">
        <f aca="false">IF($B1856="","",IFERROR(INDEX(M_loc,MATCH($B1856,M_emp,0)),""))</f>
        <v/>
      </c>
      <c r="F1856" s="33"/>
      <c r="G1856" s="33"/>
      <c r="H1856" s="33"/>
      <c r="I1856" s="33"/>
      <c r="J1856" s="33"/>
      <c r="K1856" s="33"/>
      <c r="L1856" s="33"/>
      <c r="M1856" s="33"/>
      <c r="N1856" s="33"/>
      <c r="O1856" s="33"/>
      <c r="P1856" s="33"/>
      <c r="Q1856" s="33"/>
      <c r="R1856" s="33"/>
      <c r="S1856" s="33"/>
      <c r="T1856" s="33"/>
      <c r="U1856" s="33"/>
      <c r="V1856" s="33"/>
      <c r="W1856" s="33"/>
      <c r="X1856" s="33"/>
      <c r="Y1856" s="33"/>
      <c r="Z1856" s="33"/>
      <c r="AA1856" s="33"/>
      <c r="AB1856" s="33"/>
      <c r="AC1856" s="33"/>
      <c r="AD1856" s="33"/>
      <c r="AE1856" s="33"/>
      <c r="AF1856" s="33"/>
      <c r="AG1856" s="33"/>
      <c r="AH1856" s="33"/>
      <c r="AI1856" s="33"/>
      <c r="AJ1856" s="33"/>
      <c r="AK1856" s="34" t="str">
        <f aca="false">IF($B1856="","",COUNTIF($F1856:$AJ1856,"P"))</f>
        <v/>
      </c>
      <c r="AL1856" s="34" t="str">
        <f aca="false">IF($B1856="","",COUNTIF($F1856:$AJ1856,"A"))</f>
        <v/>
      </c>
      <c r="AM1856" s="34" t="str">
        <f aca="false">IF($B1856="","",COUNTIF($F1856:$AJ1856,"HA"))</f>
        <v/>
      </c>
      <c r="AN1856" s="34" t="str">
        <f aca="false">IF($B1856="","",COUNTIF($F1856:$AJ1856,"L"))</f>
        <v/>
      </c>
      <c r="AO1856" s="34" t="str">
        <f aca="false">IF($B1856="","",COUNTIF($F1856:$AJ1856,"PL"))</f>
        <v/>
      </c>
      <c r="AP1856" s="34" t="str">
        <f aca="false">IF($B1856="","",COUNTIF($F1856:$AJ1856,"CL"))</f>
        <v/>
      </c>
      <c r="AQ1856" s="34" t="str">
        <f aca="false">IF($B1856="","",COUNTIF($F1856:$AJ1856,"SL"))</f>
        <v/>
      </c>
      <c r="AR1856" s="34" t="str">
        <f aca="false">IF($B1856="","",COUNTIF($F1856:$AJ1856,"CO"))</f>
        <v/>
      </c>
      <c r="AS1856" s="34" t="str">
        <f aca="false">IF($B1856="","",COUNTIF($F1856:$AJ1856,"HPL"))</f>
        <v/>
      </c>
      <c r="AT1856" s="34" t="str">
        <f aca="false">IF($B1856="","",COUNTIF($F1856:$AJ1856,"HCL"))</f>
        <v/>
      </c>
      <c r="AU1856" s="34" t="str">
        <f aca="false">IF($B1856="","",COUNTIF($F1856:$AJ1856,"WO"))</f>
        <v/>
      </c>
      <c r="AV1856" s="34" t="str">
        <f aca="false">IF($B1856="","",COUNTIF($F1856:$AJ1856,"PH"))</f>
        <v/>
      </c>
      <c r="AW1856" s="34" t="str">
        <f aca="false">IF($B1856="","",COUNTIF($F1856:$AJ1856,"TR"))</f>
        <v/>
      </c>
      <c r="AX1856" s="35" t="str">
        <f aca="false">IF($B1856="","",AO1856+AS1856/2)</f>
        <v/>
      </c>
      <c r="AY1856" s="35" t="str">
        <f aca="false">IF($B1856="","",AQ1856)</f>
        <v/>
      </c>
      <c r="AZ1856" s="35" t="str">
        <f aca="false">IF($B1856="","",AP1856+AT1856/2)</f>
        <v/>
      </c>
      <c r="BA1856" s="35" t="str">
        <f aca="false">IF($B1856="","",AK1856+AN1856+AM1856/2+AO1856+AP1856+AQ1856+AR1856+AS1856+AT1856+AU1856+AV1856+AW1856)</f>
        <v/>
      </c>
      <c r="BB1856" s="35" t="str">
        <f aca="false">IF($B1856="","",MAX(0,AN1856-Settings!$C$16)*Settings!$C$17)</f>
        <v/>
      </c>
      <c r="BC1856" s="35" t="str">
        <f aca="false">IF($B1856="","",BA1856-BB1856)</f>
        <v/>
      </c>
      <c r="BD1856" s="35" t="str">
        <f aca="false">IF(OR($B1856="",$A1856=""),"",DAY(EOMONTH($A1856,0))-COUNTA($F1856:$AJ1856))</f>
        <v/>
      </c>
    </row>
    <row r="1857" customFormat="false" ht="15" hidden="false" customHeight="false" outlineLevel="0" collapsed="false">
      <c r="A1857" s="32"/>
      <c r="B1857" s="29"/>
      <c r="C1857" s="10" t="str">
        <f aca="false">IF($B1857="","",IFERROR(INDEX(M_name,MATCH($B1857,M_emp,0)),"Code not found"))</f>
        <v/>
      </c>
      <c r="D1857" s="10" t="str">
        <f aca="false">IF($B1857="","",IFERROR(INDEX(M_dept,MATCH($B1857,M_emp,0)),""))</f>
        <v/>
      </c>
      <c r="E1857" s="10" t="str">
        <f aca="false">IF($B1857="","",IFERROR(INDEX(M_loc,MATCH($B1857,M_emp,0)),""))</f>
        <v/>
      </c>
      <c r="F1857" s="33"/>
      <c r="G1857" s="33"/>
      <c r="H1857" s="33"/>
      <c r="I1857" s="33"/>
      <c r="J1857" s="33"/>
      <c r="K1857" s="33"/>
      <c r="L1857" s="33"/>
      <c r="M1857" s="33"/>
      <c r="N1857" s="33"/>
      <c r="O1857" s="33"/>
      <c r="P1857" s="33"/>
      <c r="Q1857" s="33"/>
      <c r="R1857" s="33"/>
      <c r="S1857" s="33"/>
      <c r="T1857" s="33"/>
      <c r="U1857" s="33"/>
      <c r="V1857" s="33"/>
      <c r="W1857" s="33"/>
      <c r="X1857" s="33"/>
      <c r="Y1857" s="33"/>
      <c r="Z1857" s="33"/>
      <c r="AA1857" s="33"/>
      <c r="AB1857" s="33"/>
      <c r="AC1857" s="33"/>
      <c r="AD1857" s="33"/>
      <c r="AE1857" s="33"/>
      <c r="AF1857" s="33"/>
      <c r="AG1857" s="33"/>
      <c r="AH1857" s="33"/>
      <c r="AI1857" s="33"/>
      <c r="AJ1857" s="33"/>
      <c r="AK1857" s="34" t="str">
        <f aca="false">IF($B1857="","",COUNTIF($F1857:$AJ1857,"P"))</f>
        <v/>
      </c>
      <c r="AL1857" s="34" t="str">
        <f aca="false">IF($B1857="","",COUNTIF($F1857:$AJ1857,"A"))</f>
        <v/>
      </c>
      <c r="AM1857" s="34" t="str">
        <f aca="false">IF($B1857="","",COUNTIF($F1857:$AJ1857,"HA"))</f>
        <v/>
      </c>
      <c r="AN1857" s="34" t="str">
        <f aca="false">IF($B1857="","",COUNTIF($F1857:$AJ1857,"L"))</f>
        <v/>
      </c>
      <c r="AO1857" s="34" t="str">
        <f aca="false">IF($B1857="","",COUNTIF($F1857:$AJ1857,"PL"))</f>
        <v/>
      </c>
      <c r="AP1857" s="34" t="str">
        <f aca="false">IF($B1857="","",COUNTIF($F1857:$AJ1857,"CL"))</f>
        <v/>
      </c>
      <c r="AQ1857" s="34" t="str">
        <f aca="false">IF($B1857="","",COUNTIF($F1857:$AJ1857,"SL"))</f>
        <v/>
      </c>
      <c r="AR1857" s="34" t="str">
        <f aca="false">IF($B1857="","",COUNTIF($F1857:$AJ1857,"CO"))</f>
        <v/>
      </c>
      <c r="AS1857" s="34" t="str">
        <f aca="false">IF($B1857="","",COUNTIF($F1857:$AJ1857,"HPL"))</f>
        <v/>
      </c>
      <c r="AT1857" s="34" t="str">
        <f aca="false">IF($B1857="","",COUNTIF($F1857:$AJ1857,"HCL"))</f>
        <v/>
      </c>
      <c r="AU1857" s="34" t="str">
        <f aca="false">IF($B1857="","",COUNTIF($F1857:$AJ1857,"WO"))</f>
        <v/>
      </c>
      <c r="AV1857" s="34" t="str">
        <f aca="false">IF($B1857="","",COUNTIF($F1857:$AJ1857,"PH"))</f>
        <v/>
      </c>
      <c r="AW1857" s="34" t="str">
        <f aca="false">IF($B1857="","",COUNTIF($F1857:$AJ1857,"TR"))</f>
        <v/>
      </c>
      <c r="AX1857" s="35" t="str">
        <f aca="false">IF($B1857="","",AO1857+AS1857/2)</f>
        <v/>
      </c>
      <c r="AY1857" s="35" t="str">
        <f aca="false">IF($B1857="","",AQ1857)</f>
        <v/>
      </c>
      <c r="AZ1857" s="35" t="str">
        <f aca="false">IF($B1857="","",AP1857+AT1857/2)</f>
        <v/>
      </c>
      <c r="BA1857" s="35" t="str">
        <f aca="false">IF($B1857="","",AK1857+AN1857+AM1857/2+AO1857+AP1857+AQ1857+AR1857+AS1857+AT1857+AU1857+AV1857+AW1857)</f>
        <v/>
      </c>
      <c r="BB1857" s="35" t="str">
        <f aca="false">IF($B1857="","",MAX(0,AN1857-Settings!$C$16)*Settings!$C$17)</f>
        <v/>
      </c>
      <c r="BC1857" s="35" t="str">
        <f aca="false">IF($B1857="","",BA1857-BB1857)</f>
        <v/>
      </c>
      <c r="BD1857" s="35" t="str">
        <f aca="false">IF(OR($B1857="",$A1857=""),"",DAY(EOMONTH($A1857,0))-COUNTA($F1857:$AJ1857))</f>
        <v/>
      </c>
    </row>
    <row r="1858" customFormat="false" ht="15" hidden="false" customHeight="false" outlineLevel="0" collapsed="false">
      <c r="A1858" s="32"/>
      <c r="B1858" s="29"/>
      <c r="C1858" s="10" t="str">
        <f aca="false">IF($B1858="","",IFERROR(INDEX(M_name,MATCH($B1858,M_emp,0)),"Code not found"))</f>
        <v/>
      </c>
      <c r="D1858" s="10" t="str">
        <f aca="false">IF($B1858="","",IFERROR(INDEX(M_dept,MATCH($B1858,M_emp,0)),""))</f>
        <v/>
      </c>
      <c r="E1858" s="10" t="str">
        <f aca="false">IF($B1858="","",IFERROR(INDEX(M_loc,MATCH($B1858,M_emp,0)),""))</f>
        <v/>
      </c>
      <c r="F1858" s="33"/>
      <c r="G1858" s="33"/>
      <c r="H1858" s="33"/>
      <c r="I1858" s="33"/>
      <c r="J1858" s="33"/>
      <c r="K1858" s="33"/>
      <c r="L1858" s="33"/>
      <c r="M1858" s="33"/>
      <c r="N1858" s="33"/>
      <c r="O1858" s="33"/>
      <c r="P1858" s="33"/>
      <c r="Q1858" s="33"/>
      <c r="R1858" s="33"/>
      <c r="S1858" s="33"/>
      <c r="T1858" s="33"/>
      <c r="U1858" s="33"/>
      <c r="V1858" s="33"/>
      <c r="W1858" s="33"/>
      <c r="X1858" s="33"/>
      <c r="Y1858" s="33"/>
      <c r="Z1858" s="33"/>
      <c r="AA1858" s="33"/>
      <c r="AB1858" s="33"/>
      <c r="AC1858" s="33"/>
      <c r="AD1858" s="33"/>
      <c r="AE1858" s="33"/>
      <c r="AF1858" s="33"/>
      <c r="AG1858" s="33"/>
      <c r="AH1858" s="33"/>
      <c r="AI1858" s="33"/>
      <c r="AJ1858" s="33"/>
      <c r="AK1858" s="34" t="str">
        <f aca="false">IF($B1858="","",COUNTIF($F1858:$AJ1858,"P"))</f>
        <v/>
      </c>
      <c r="AL1858" s="34" t="str">
        <f aca="false">IF($B1858="","",COUNTIF($F1858:$AJ1858,"A"))</f>
        <v/>
      </c>
      <c r="AM1858" s="34" t="str">
        <f aca="false">IF($B1858="","",COUNTIF($F1858:$AJ1858,"HA"))</f>
        <v/>
      </c>
      <c r="AN1858" s="34" t="str">
        <f aca="false">IF($B1858="","",COUNTIF($F1858:$AJ1858,"L"))</f>
        <v/>
      </c>
      <c r="AO1858" s="34" t="str">
        <f aca="false">IF($B1858="","",COUNTIF($F1858:$AJ1858,"PL"))</f>
        <v/>
      </c>
      <c r="AP1858" s="34" t="str">
        <f aca="false">IF($B1858="","",COUNTIF($F1858:$AJ1858,"CL"))</f>
        <v/>
      </c>
      <c r="AQ1858" s="34" t="str">
        <f aca="false">IF($B1858="","",COUNTIF($F1858:$AJ1858,"SL"))</f>
        <v/>
      </c>
      <c r="AR1858" s="34" t="str">
        <f aca="false">IF($B1858="","",COUNTIF($F1858:$AJ1858,"CO"))</f>
        <v/>
      </c>
      <c r="AS1858" s="34" t="str">
        <f aca="false">IF($B1858="","",COUNTIF($F1858:$AJ1858,"HPL"))</f>
        <v/>
      </c>
      <c r="AT1858" s="34" t="str">
        <f aca="false">IF($B1858="","",COUNTIF($F1858:$AJ1858,"HCL"))</f>
        <v/>
      </c>
      <c r="AU1858" s="34" t="str">
        <f aca="false">IF($B1858="","",COUNTIF($F1858:$AJ1858,"WO"))</f>
        <v/>
      </c>
      <c r="AV1858" s="34" t="str">
        <f aca="false">IF($B1858="","",COUNTIF($F1858:$AJ1858,"PH"))</f>
        <v/>
      </c>
      <c r="AW1858" s="34" t="str">
        <f aca="false">IF($B1858="","",COUNTIF($F1858:$AJ1858,"TR"))</f>
        <v/>
      </c>
      <c r="AX1858" s="35" t="str">
        <f aca="false">IF($B1858="","",AO1858+AS1858/2)</f>
        <v/>
      </c>
      <c r="AY1858" s="35" t="str">
        <f aca="false">IF($B1858="","",AQ1858)</f>
        <v/>
      </c>
      <c r="AZ1858" s="35" t="str">
        <f aca="false">IF($B1858="","",AP1858+AT1858/2)</f>
        <v/>
      </c>
      <c r="BA1858" s="35" t="str">
        <f aca="false">IF($B1858="","",AK1858+AN1858+AM1858/2+AO1858+AP1858+AQ1858+AR1858+AS1858+AT1858+AU1858+AV1858+AW1858)</f>
        <v/>
      </c>
      <c r="BB1858" s="35" t="str">
        <f aca="false">IF($B1858="","",MAX(0,AN1858-Settings!$C$16)*Settings!$C$17)</f>
        <v/>
      </c>
      <c r="BC1858" s="35" t="str">
        <f aca="false">IF($B1858="","",BA1858-BB1858)</f>
        <v/>
      </c>
      <c r="BD1858" s="35" t="str">
        <f aca="false">IF(OR($B1858="",$A1858=""),"",DAY(EOMONTH($A1858,0))-COUNTA($F1858:$AJ1858))</f>
        <v/>
      </c>
    </row>
    <row r="1859" customFormat="false" ht="15" hidden="false" customHeight="false" outlineLevel="0" collapsed="false">
      <c r="A1859" s="32"/>
      <c r="B1859" s="29"/>
      <c r="C1859" s="10" t="str">
        <f aca="false">IF($B1859="","",IFERROR(INDEX(M_name,MATCH($B1859,M_emp,0)),"Code not found"))</f>
        <v/>
      </c>
      <c r="D1859" s="10" t="str">
        <f aca="false">IF($B1859="","",IFERROR(INDEX(M_dept,MATCH($B1859,M_emp,0)),""))</f>
        <v/>
      </c>
      <c r="E1859" s="10" t="str">
        <f aca="false">IF($B1859="","",IFERROR(INDEX(M_loc,MATCH($B1859,M_emp,0)),""))</f>
        <v/>
      </c>
      <c r="F1859" s="33"/>
      <c r="G1859" s="33"/>
      <c r="H1859" s="33"/>
      <c r="I1859" s="33"/>
      <c r="J1859" s="33"/>
      <c r="K1859" s="33"/>
      <c r="L1859" s="33"/>
      <c r="M1859" s="33"/>
      <c r="N1859" s="33"/>
      <c r="O1859" s="33"/>
      <c r="P1859" s="33"/>
      <c r="Q1859" s="33"/>
      <c r="R1859" s="33"/>
      <c r="S1859" s="33"/>
      <c r="T1859" s="33"/>
      <c r="U1859" s="33"/>
      <c r="V1859" s="33"/>
      <c r="W1859" s="33"/>
      <c r="X1859" s="33"/>
      <c r="Y1859" s="33"/>
      <c r="Z1859" s="33"/>
      <c r="AA1859" s="33"/>
      <c r="AB1859" s="33"/>
      <c r="AC1859" s="33"/>
      <c r="AD1859" s="33"/>
      <c r="AE1859" s="33"/>
      <c r="AF1859" s="33"/>
      <c r="AG1859" s="33"/>
      <c r="AH1859" s="33"/>
      <c r="AI1859" s="33"/>
      <c r="AJ1859" s="33"/>
      <c r="AK1859" s="34" t="str">
        <f aca="false">IF($B1859="","",COUNTIF($F1859:$AJ1859,"P"))</f>
        <v/>
      </c>
      <c r="AL1859" s="34" t="str">
        <f aca="false">IF($B1859="","",COUNTIF($F1859:$AJ1859,"A"))</f>
        <v/>
      </c>
      <c r="AM1859" s="34" t="str">
        <f aca="false">IF($B1859="","",COUNTIF($F1859:$AJ1859,"HA"))</f>
        <v/>
      </c>
      <c r="AN1859" s="34" t="str">
        <f aca="false">IF($B1859="","",COUNTIF($F1859:$AJ1859,"L"))</f>
        <v/>
      </c>
      <c r="AO1859" s="34" t="str">
        <f aca="false">IF($B1859="","",COUNTIF($F1859:$AJ1859,"PL"))</f>
        <v/>
      </c>
      <c r="AP1859" s="34" t="str">
        <f aca="false">IF($B1859="","",COUNTIF($F1859:$AJ1859,"CL"))</f>
        <v/>
      </c>
      <c r="AQ1859" s="34" t="str">
        <f aca="false">IF($B1859="","",COUNTIF($F1859:$AJ1859,"SL"))</f>
        <v/>
      </c>
      <c r="AR1859" s="34" t="str">
        <f aca="false">IF($B1859="","",COUNTIF($F1859:$AJ1859,"CO"))</f>
        <v/>
      </c>
      <c r="AS1859" s="34" t="str">
        <f aca="false">IF($B1859="","",COUNTIF($F1859:$AJ1859,"HPL"))</f>
        <v/>
      </c>
      <c r="AT1859" s="34" t="str">
        <f aca="false">IF($B1859="","",COUNTIF($F1859:$AJ1859,"HCL"))</f>
        <v/>
      </c>
      <c r="AU1859" s="34" t="str">
        <f aca="false">IF($B1859="","",COUNTIF($F1859:$AJ1859,"WO"))</f>
        <v/>
      </c>
      <c r="AV1859" s="34" t="str">
        <f aca="false">IF($B1859="","",COUNTIF($F1859:$AJ1859,"PH"))</f>
        <v/>
      </c>
      <c r="AW1859" s="34" t="str">
        <f aca="false">IF($B1859="","",COUNTIF($F1859:$AJ1859,"TR"))</f>
        <v/>
      </c>
      <c r="AX1859" s="35" t="str">
        <f aca="false">IF($B1859="","",AO1859+AS1859/2)</f>
        <v/>
      </c>
      <c r="AY1859" s="35" t="str">
        <f aca="false">IF($B1859="","",AQ1859)</f>
        <v/>
      </c>
      <c r="AZ1859" s="35" t="str">
        <f aca="false">IF($B1859="","",AP1859+AT1859/2)</f>
        <v/>
      </c>
      <c r="BA1859" s="35" t="str">
        <f aca="false">IF($B1859="","",AK1859+AN1859+AM1859/2+AO1859+AP1859+AQ1859+AR1859+AS1859+AT1859+AU1859+AV1859+AW1859)</f>
        <v/>
      </c>
      <c r="BB1859" s="35" t="str">
        <f aca="false">IF($B1859="","",MAX(0,AN1859-Settings!$C$16)*Settings!$C$17)</f>
        <v/>
      </c>
      <c r="BC1859" s="35" t="str">
        <f aca="false">IF($B1859="","",BA1859-BB1859)</f>
        <v/>
      </c>
      <c r="BD1859" s="35" t="str">
        <f aca="false">IF(OR($B1859="",$A1859=""),"",DAY(EOMONTH($A1859,0))-COUNTA($F1859:$AJ1859))</f>
        <v/>
      </c>
    </row>
    <row r="1860" customFormat="false" ht="15" hidden="false" customHeight="false" outlineLevel="0" collapsed="false">
      <c r="A1860" s="32"/>
      <c r="B1860" s="29"/>
      <c r="C1860" s="10" t="str">
        <f aca="false">IF($B1860="","",IFERROR(INDEX(M_name,MATCH($B1860,M_emp,0)),"Code not found"))</f>
        <v/>
      </c>
      <c r="D1860" s="10" t="str">
        <f aca="false">IF($B1860="","",IFERROR(INDEX(M_dept,MATCH($B1860,M_emp,0)),""))</f>
        <v/>
      </c>
      <c r="E1860" s="10" t="str">
        <f aca="false">IF($B1860="","",IFERROR(INDEX(M_loc,MATCH($B1860,M_emp,0)),""))</f>
        <v/>
      </c>
      <c r="F1860" s="33"/>
      <c r="G1860" s="33"/>
      <c r="H1860" s="33"/>
      <c r="I1860" s="33"/>
      <c r="J1860" s="33"/>
      <c r="K1860" s="33"/>
      <c r="L1860" s="33"/>
      <c r="M1860" s="33"/>
      <c r="N1860" s="33"/>
      <c r="O1860" s="33"/>
      <c r="P1860" s="33"/>
      <c r="Q1860" s="33"/>
      <c r="R1860" s="33"/>
      <c r="S1860" s="33"/>
      <c r="T1860" s="33"/>
      <c r="U1860" s="33"/>
      <c r="V1860" s="33"/>
      <c r="W1860" s="33"/>
      <c r="X1860" s="33"/>
      <c r="Y1860" s="33"/>
      <c r="Z1860" s="33"/>
      <c r="AA1860" s="33"/>
      <c r="AB1860" s="33"/>
      <c r="AC1860" s="33"/>
      <c r="AD1860" s="33"/>
      <c r="AE1860" s="33"/>
      <c r="AF1860" s="33"/>
      <c r="AG1860" s="33"/>
      <c r="AH1860" s="33"/>
      <c r="AI1860" s="33"/>
      <c r="AJ1860" s="33"/>
      <c r="AK1860" s="34" t="str">
        <f aca="false">IF($B1860="","",COUNTIF($F1860:$AJ1860,"P"))</f>
        <v/>
      </c>
      <c r="AL1860" s="34" t="str">
        <f aca="false">IF($B1860="","",COUNTIF($F1860:$AJ1860,"A"))</f>
        <v/>
      </c>
      <c r="AM1860" s="34" t="str">
        <f aca="false">IF($B1860="","",COUNTIF($F1860:$AJ1860,"HA"))</f>
        <v/>
      </c>
      <c r="AN1860" s="34" t="str">
        <f aca="false">IF($B1860="","",COUNTIF($F1860:$AJ1860,"L"))</f>
        <v/>
      </c>
      <c r="AO1860" s="34" t="str">
        <f aca="false">IF($B1860="","",COUNTIF($F1860:$AJ1860,"PL"))</f>
        <v/>
      </c>
      <c r="AP1860" s="34" t="str">
        <f aca="false">IF($B1860="","",COUNTIF($F1860:$AJ1860,"CL"))</f>
        <v/>
      </c>
      <c r="AQ1860" s="34" t="str">
        <f aca="false">IF($B1860="","",COUNTIF($F1860:$AJ1860,"SL"))</f>
        <v/>
      </c>
      <c r="AR1860" s="34" t="str">
        <f aca="false">IF($B1860="","",COUNTIF($F1860:$AJ1860,"CO"))</f>
        <v/>
      </c>
      <c r="AS1860" s="34" t="str">
        <f aca="false">IF($B1860="","",COUNTIF($F1860:$AJ1860,"HPL"))</f>
        <v/>
      </c>
      <c r="AT1860" s="34" t="str">
        <f aca="false">IF($B1860="","",COUNTIF($F1860:$AJ1860,"HCL"))</f>
        <v/>
      </c>
      <c r="AU1860" s="34" t="str">
        <f aca="false">IF($B1860="","",COUNTIF($F1860:$AJ1860,"WO"))</f>
        <v/>
      </c>
      <c r="AV1860" s="34" t="str">
        <f aca="false">IF($B1860="","",COUNTIF($F1860:$AJ1860,"PH"))</f>
        <v/>
      </c>
      <c r="AW1860" s="34" t="str">
        <f aca="false">IF($B1860="","",COUNTIF($F1860:$AJ1860,"TR"))</f>
        <v/>
      </c>
      <c r="AX1860" s="35" t="str">
        <f aca="false">IF($B1860="","",AO1860+AS1860/2)</f>
        <v/>
      </c>
      <c r="AY1860" s="35" t="str">
        <f aca="false">IF($B1860="","",AQ1860)</f>
        <v/>
      </c>
      <c r="AZ1860" s="35" t="str">
        <f aca="false">IF($B1860="","",AP1860+AT1860/2)</f>
        <v/>
      </c>
      <c r="BA1860" s="35" t="str">
        <f aca="false">IF($B1860="","",AK1860+AN1860+AM1860/2+AO1860+AP1860+AQ1860+AR1860+AS1860+AT1860+AU1860+AV1860+AW1860)</f>
        <v/>
      </c>
      <c r="BB1860" s="35" t="str">
        <f aca="false">IF($B1860="","",MAX(0,AN1860-Settings!$C$16)*Settings!$C$17)</f>
        <v/>
      </c>
      <c r="BC1860" s="35" t="str">
        <f aca="false">IF($B1860="","",BA1860-BB1860)</f>
        <v/>
      </c>
      <c r="BD1860" s="35" t="str">
        <f aca="false">IF(OR($B1860="",$A1860=""),"",DAY(EOMONTH($A1860,0))-COUNTA($F1860:$AJ1860))</f>
        <v/>
      </c>
    </row>
    <row r="1861" customFormat="false" ht="15" hidden="false" customHeight="false" outlineLevel="0" collapsed="false">
      <c r="A1861" s="32"/>
      <c r="B1861" s="29"/>
      <c r="C1861" s="10" t="str">
        <f aca="false">IF($B1861="","",IFERROR(INDEX(M_name,MATCH($B1861,M_emp,0)),"Code not found"))</f>
        <v/>
      </c>
      <c r="D1861" s="10" t="str">
        <f aca="false">IF($B1861="","",IFERROR(INDEX(M_dept,MATCH($B1861,M_emp,0)),""))</f>
        <v/>
      </c>
      <c r="E1861" s="10" t="str">
        <f aca="false">IF($B1861="","",IFERROR(INDEX(M_loc,MATCH($B1861,M_emp,0)),""))</f>
        <v/>
      </c>
      <c r="F1861" s="33"/>
      <c r="G1861" s="33"/>
      <c r="H1861" s="33"/>
      <c r="I1861" s="33"/>
      <c r="J1861" s="33"/>
      <c r="K1861" s="33"/>
      <c r="L1861" s="33"/>
      <c r="M1861" s="33"/>
      <c r="N1861" s="33"/>
      <c r="O1861" s="33"/>
      <c r="P1861" s="33"/>
      <c r="Q1861" s="33"/>
      <c r="R1861" s="33"/>
      <c r="S1861" s="33"/>
      <c r="T1861" s="33"/>
      <c r="U1861" s="33"/>
      <c r="V1861" s="33"/>
      <c r="W1861" s="33"/>
      <c r="X1861" s="33"/>
      <c r="Y1861" s="33"/>
      <c r="Z1861" s="33"/>
      <c r="AA1861" s="33"/>
      <c r="AB1861" s="33"/>
      <c r="AC1861" s="33"/>
      <c r="AD1861" s="33"/>
      <c r="AE1861" s="33"/>
      <c r="AF1861" s="33"/>
      <c r="AG1861" s="33"/>
      <c r="AH1861" s="33"/>
      <c r="AI1861" s="33"/>
      <c r="AJ1861" s="33"/>
      <c r="AK1861" s="34" t="str">
        <f aca="false">IF($B1861="","",COUNTIF($F1861:$AJ1861,"P"))</f>
        <v/>
      </c>
      <c r="AL1861" s="34" t="str">
        <f aca="false">IF($B1861="","",COUNTIF($F1861:$AJ1861,"A"))</f>
        <v/>
      </c>
      <c r="AM1861" s="34" t="str">
        <f aca="false">IF($B1861="","",COUNTIF($F1861:$AJ1861,"HA"))</f>
        <v/>
      </c>
      <c r="AN1861" s="34" t="str">
        <f aca="false">IF($B1861="","",COUNTIF($F1861:$AJ1861,"L"))</f>
        <v/>
      </c>
      <c r="AO1861" s="34" t="str">
        <f aca="false">IF($B1861="","",COUNTIF($F1861:$AJ1861,"PL"))</f>
        <v/>
      </c>
      <c r="AP1861" s="34" t="str">
        <f aca="false">IF($B1861="","",COUNTIF($F1861:$AJ1861,"CL"))</f>
        <v/>
      </c>
      <c r="AQ1861" s="34" t="str">
        <f aca="false">IF($B1861="","",COUNTIF($F1861:$AJ1861,"SL"))</f>
        <v/>
      </c>
      <c r="AR1861" s="34" t="str">
        <f aca="false">IF($B1861="","",COUNTIF($F1861:$AJ1861,"CO"))</f>
        <v/>
      </c>
      <c r="AS1861" s="34" t="str">
        <f aca="false">IF($B1861="","",COUNTIF($F1861:$AJ1861,"HPL"))</f>
        <v/>
      </c>
      <c r="AT1861" s="34" t="str">
        <f aca="false">IF($B1861="","",COUNTIF($F1861:$AJ1861,"HCL"))</f>
        <v/>
      </c>
      <c r="AU1861" s="34" t="str">
        <f aca="false">IF($B1861="","",COUNTIF($F1861:$AJ1861,"WO"))</f>
        <v/>
      </c>
      <c r="AV1861" s="34" t="str">
        <f aca="false">IF($B1861="","",COUNTIF($F1861:$AJ1861,"PH"))</f>
        <v/>
      </c>
      <c r="AW1861" s="34" t="str">
        <f aca="false">IF($B1861="","",COUNTIF($F1861:$AJ1861,"TR"))</f>
        <v/>
      </c>
      <c r="AX1861" s="35" t="str">
        <f aca="false">IF($B1861="","",AO1861+AS1861/2)</f>
        <v/>
      </c>
      <c r="AY1861" s="35" t="str">
        <f aca="false">IF($B1861="","",AQ1861)</f>
        <v/>
      </c>
      <c r="AZ1861" s="35" t="str">
        <f aca="false">IF($B1861="","",AP1861+AT1861/2)</f>
        <v/>
      </c>
      <c r="BA1861" s="35" t="str">
        <f aca="false">IF($B1861="","",AK1861+AN1861+AM1861/2+AO1861+AP1861+AQ1861+AR1861+AS1861+AT1861+AU1861+AV1861+AW1861)</f>
        <v/>
      </c>
      <c r="BB1861" s="35" t="str">
        <f aca="false">IF($B1861="","",MAX(0,AN1861-Settings!$C$16)*Settings!$C$17)</f>
        <v/>
      </c>
      <c r="BC1861" s="35" t="str">
        <f aca="false">IF($B1861="","",BA1861-BB1861)</f>
        <v/>
      </c>
      <c r="BD1861" s="35" t="str">
        <f aca="false">IF(OR($B1861="",$A1861=""),"",DAY(EOMONTH($A1861,0))-COUNTA($F1861:$AJ1861))</f>
        <v/>
      </c>
    </row>
    <row r="1862" customFormat="false" ht="15" hidden="false" customHeight="false" outlineLevel="0" collapsed="false">
      <c r="A1862" s="32"/>
      <c r="B1862" s="29"/>
      <c r="C1862" s="10" t="str">
        <f aca="false">IF($B1862="","",IFERROR(INDEX(M_name,MATCH($B1862,M_emp,0)),"Code not found"))</f>
        <v/>
      </c>
      <c r="D1862" s="10" t="str">
        <f aca="false">IF($B1862="","",IFERROR(INDEX(M_dept,MATCH($B1862,M_emp,0)),""))</f>
        <v/>
      </c>
      <c r="E1862" s="10" t="str">
        <f aca="false">IF($B1862="","",IFERROR(INDEX(M_loc,MATCH($B1862,M_emp,0)),""))</f>
        <v/>
      </c>
      <c r="F1862" s="33"/>
      <c r="G1862" s="33"/>
      <c r="H1862" s="33"/>
      <c r="I1862" s="33"/>
      <c r="J1862" s="33"/>
      <c r="K1862" s="33"/>
      <c r="L1862" s="33"/>
      <c r="M1862" s="33"/>
      <c r="N1862" s="33"/>
      <c r="O1862" s="33"/>
      <c r="P1862" s="33"/>
      <c r="Q1862" s="33"/>
      <c r="R1862" s="33"/>
      <c r="S1862" s="33"/>
      <c r="T1862" s="33"/>
      <c r="U1862" s="33"/>
      <c r="V1862" s="33"/>
      <c r="W1862" s="33"/>
      <c r="X1862" s="33"/>
      <c r="Y1862" s="33"/>
      <c r="Z1862" s="33"/>
      <c r="AA1862" s="33"/>
      <c r="AB1862" s="33"/>
      <c r="AC1862" s="33"/>
      <c r="AD1862" s="33"/>
      <c r="AE1862" s="33"/>
      <c r="AF1862" s="33"/>
      <c r="AG1862" s="33"/>
      <c r="AH1862" s="33"/>
      <c r="AI1862" s="33"/>
      <c r="AJ1862" s="33"/>
      <c r="AK1862" s="34" t="str">
        <f aca="false">IF($B1862="","",COUNTIF($F1862:$AJ1862,"P"))</f>
        <v/>
      </c>
      <c r="AL1862" s="34" t="str">
        <f aca="false">IF($B1862="","",COUNTIF($F1862:$AJ1862,"A"))</f>
        <v/>
      </c>
      <c r="AM1862" s="34" t="str">
        <f aca="false">IF($B1862="","",COUNTIF($F1862:$AJ1862,"HA"))</f>
        <v/>
      </c>
      <c r="AN1862" s="34" t="str">
        <f aca="false">IF($B1862="","",COUNTIF($F1862:$AJ1862,"L"))</f>
        <v/>
      </c>
      <c r="AO1862" s="34" t="str">
        <f aca="false">IF($B1862="","",COUNTIF($F1862:$AJ1862,"PL"))</f>
        <v/>
      </c>
      <c r="AP1862" s="34" t="str">
        <f aca="false">IF($B1862="","",COUNTIF($F1862:$AJ1862,"CL"))</f>
        <v/>
      </c>
      <c r="AQ1862" s="34" t="str">
        <f aca="false">IF($B1862="","",COUNTIF($F1862:$AJ1862,"SL"))</f>
        <v/>
      </c>
      <c r="AR1862" s="34" t="str">
        <f aca="false">IF($B1862="","",COUNTIF($F1862:$AJ1862,"CO"))</f>
        <v/>
      </c>
      <c r="AS1862" s="34" t="str">
        <f aca="false">IF($B1862="","",COUNTIF($F1862:$AJ1862,"HPL"))</f>
        <v/>
      </c>
      <c r="AT1862" s="34" t="str">
        <f aca="false">IF($B1862="","",COUNTIF($F1862:$AJ1862,"HCL"))</f>
        <v/>
      </c>
      <c r="AU1862" s="34" t="str">
        <f aca="false">IF($B1862="","",COUNTIF($F1862:$AJ1862,"WO"))</f>
        <v/>
      </c>
      <c r="AV1862" s="34" t="str">
        <f aca="false">IF($B1862="","",COUNTIF($F1862:$AJ1862,"PH"))</f>
        <v/>
      </c>
      <c r="AW1862" s="34" t="str">
        <f aca="false">IF($B1862="","",COUNTIF($F1862:$AJ1862,"TR"))</f>
        <v/>
      </c>
      <c r="AX1862" s="35" t="str">
        <f aca="false">IF($B1862="","",AO1862+AS1862/2)</f>
        <v/>
      </c>
      <c r="AY1862" s="35" t="str">
        <f aca="false">IF($B1862="","",AQ1862)</f>
        <v/>
      </c>
      <c r="AZ1862" s="35" t="str">
        <f aca="false">IF($B1862="","",AP1862+AT1862/2)</f>
        <v/>
      </c>
      <c r="BA1862" s="35" t="str">
        <f aca="false">IF($B1862="","",AK1862+AN1862+AM1862/2+AO1862+AP1862+AQ1862+AR1862+AS1862+AT1862+AU1862+AV1862+AW1862)</f>
        <v/>
      </c>
      <c r="BB1862" s="35" t="str">
        <f aca="false">IF($B1862="","",MAX(0,AN1862-Settings!$C$16)*Settings!$C$17)</f>
        <v/>
      </c>
      <c r="BC1862" s="35" t="str">
        <f aca="false">IF($B1862="","",BA1862-BB1862)</f>
        <v/>
      </c>
      <c r="BD1862" s="35" t="str">
        <f aca="false">IF(OR($B1862="",$A1862=""),"",DAY(EOMONTH($A1862,0))-COUNTA($F1862:$AJ1862))</f>
        <v/>
      </c>
    </row>
    <row r="1863" customFormat="false" ht="15" hidden="false" customHeight="false" outlineLevel="0" collapsed="false">
      <c r="A1863" s="32"/>
      <c r="B1863" s="29"/>
      <c r="C1863" s="10" t="str">
        <f aca="false">IF($B1863="","",IFERROR(INDEX(M_name,MATCH($B1863,M_emp,0)),"Code not found"))</f>
        <v/>
      </c>
      <c r="D1863" s="10" t="str">
        <f aca="false">IF($B1863="","",IFERROR(INDEX(M_dept,MATCH($B1863,M_emp,0)),""))</f>
        <v/>
      </c>
      <c r="E1863" s="10" t="str">
        <f aca="false">IF($B1863="","",IFERROR(INDEX(M_loc,MATCH($B1863,M_emp,0)),""))</f>
        <v/>
      </c>
      <c r="F1863" s="33"/>
      <c r="G1863" s="33"/>
      <c r="H1863" s="33"/>
      <c r="I1863" s="33"/>
      <c r="J1863" s="33"/>
      <c r="K1863" s="33"/>
      <c r="L1863" s="33"/>
      <c r="M1863" s="33"/>
      <c r="N1863" s="33"/>
      <c r="O1863" s="33"/>
      <c r="P1863" s="33"/>
      <c r="Q1863" s="33"/>
      <c r="R1863" s="33"/>
      <c r="S1863" s="33"/>
      <c r="T1863" s="33"/>
      <c r="U1863" s="33"/>
      <c r="V1863" s="33"/>
      <c r="W1863" s="33"/>
      <c r="X1863" s="33"/>
      <c r="Y1863" s="33"/>
      <c r="Z1863" s="33"/>
      <c r="AA1863" s="33"/>
      <c r="AB1863" s="33"/>
      <c r="AC1863" s="33"/>
      <c r="AD1863" s="33"/>
      <c r="AE1863" s="33"/>
      <c r="AF1863" s="33"/>
      <c r="AG1863" s="33"/>
      <c r="AH1863" s="33"/>
      <c r="AI1863" s="33"/>
      <c r="AJ1863" s="33"/>
      <c r="AK1863" s="34" t="str">
        <f aca="false">IF($B1863="","",COUNTIF($F1863:$AJ1863,"P"))</f>
        <v/>
      </c>
      <c r="AL1863" s="34" t="str">
        <f aca="false">IF($B1863="","",COUNTIF($F1863:$AJ1863,"A"))</f>
        <v/>
      </c>
      <c r="AM1863" s="34" t="str">
        <f aca="false">IF($B1863="","",COUNTIF($F1863:$AJ1863,"HA"))</f>
        <v/>
      </c>
      <c r="AN1863" s="34" t="str">
        <f aca="false">IF($B1863="","",COUNTIF($F1863:$AJ1863,"L"))</f>
        <v/>
      </c>
      <c r="AO1863" s="34" t="str">
        <f aca="false">IF($B1863="","",COUNTIF($F1863:$AJ1863,"PL"))</f>
        <v/>
      </c>
      <c r="AP1863" s="34" t="str">
        <f aca="false">IF($B1863="","",COUNTIF($F1863:$AJ1863,"CL"))</f>
        <v/>
      </c>
      <c r="AQ1863" s="34" t="str">
        <f aca="false">IF($B1863="","",COUNTIF($F1863:$AJ1863,"SL"))</f>
        <v/>
      </c>
      <c r="AR1863" s="34" t="str">
        <f aca="false">IF($B1863="","",COUNTIF($F1863:$AJ1863,"CO"))</f>
        <v/>
      </c>
      <c r="AS1863" s="34" t="str">
        <f aca="false">IF($B1863="","",COUNTIF($F1863:$AJ1863,"HPL"))</f>
        <v/>
      </c>
      <c r="AT1863" s="34" t="str">
        <f aca="false">IF($B1863="","",COUNTIF($F1863:$AJ1863,"HCL"))</f>
        <v/>
      </c>
      <c r="AU1863" s="34" t="str">
        <f aca="false">IF($B1863="","",COUNTIF($F1863:$AJ1863,"WO"))</f>
        <v/>
      </c>
      <c r="AV1863" s="34" t="str">
        <f aca="false">IF($B1863="","",COUNTIF($F1863:$AJ1863,"PH"))</f>
        <v/>
      </c>
      <c r="AW1863" s="34" t="str">
        <f aca="false">IF($B1863="","",COUNTIF($F1863:$AJ1863,"TR"))</f>
        <v/>
      </c>
      <c r="AX1863" s="35" t="str">
        <f aca="false">IF($B1863="","",AO1863+AS1863/2)</f>
        <v/>
      </c>
      <c r="AY1863" s="35" t="str">
        <f aca="false">IF($B1863="","",AQ1863)</f>
        <v/>
      </c>
      <c r="AZ1863" s="35" t="str">
        <f aca="false">IF($B1863="","",AP1863+AT1863/2)</f>
        <v/>
      </c>
      <c r="BA1863" s="35" t="str">
        <f aca="false">IF($B1863="","",AK1863+AN1863+AM1863/2+AO1863+AP1863+AQ1863+AR1863+AS1863+AT1863+AU1863+AV1863+AW1863)</f>
        <v/>
      </c>
      <c r="BB1863" s="35" t="str">
        <f aca="false">IF($B1863="","",MAX(0,AN1863-Settings!$C$16)*Settings!$C$17)</f>
        <v/>
      </c>
      <c r="BC1863" s="35" t="str">
        <f aca="false">IF($B1863="","",BA1863-BB1863)</f>
        <v/>
      </c>
      <c r="BD1863" s="35" t="str">
        <f aca="false">IF(OR($B1863="",$A1863=""),"",DAY(EOMONTH($A1863,0))-COUNTA($F1863:$AJ1863))</f>
        <v/>
      </c>
    </row>
    <row r="1864" customFormat="false" ht="15" hidden="false" customHeight="false" outlineLevel="0" collapsed="false">
      <c r="A1864" s="32"/>
      <c r="B1864" s="29"/>
      <c r="C1864" s="10" t="str">
        <f aca="false">IF($B1864="","",IFERROR(INDEX(M_name,MATCH($B1864,M_emp,0)),"Code not found"))</f>
        <v/>
      </c>
      <c r="D1864" s="10" t="str">
        <f aca="false">IF($B1864="","",IFERROR(INDEX(M_dept,MATCH($B1864,M_emp,0)),""))</f>
        <v/>
      </c>
      <c r="E1864" s="10" t="str">
        <f aca="false">IF($B1864="","",IFERROR(INDEX(M_loc,MATCH($B1864,M_emp,0)),""))</f>
        <v/>
      </c>
      <c r="F1864" s="33"/>
      <c r="G1864" s="33"/>
      <c r="H1864" s="33"/>
      <c r="I1864" s="33"/>
      <c r="J1864" s="33"/>
      <c r="K1864" s="33"/>
      <c r="L1864" s="33"/>
      <c r="M1864" s="33"/>
      <c r="N1864" s="33"/>
      <c r="O1864" s="33"/>
      <c r="P1864" s="33"/>
      <c r="Q1864" s="33"/>
      <c r="R1864" s="33"/>
      <c r="S1864" s="33"/>
      <c r="T1864" s="33"/>
      <c r="U1864" s="33"/>
      <c r="V1864" s="33"/>
      <c r="W1864" s="33"/>
      <c r="X1864" s="33"/>
      <c r="Y1864" s="33"/>
      <c r="Z1864" s="33"/>
      <c r="AA1864" s="33"/>
      <c r="AB1864" s="33"/>
      <c r="AC1864" s="33"/>
      <c r="AD1864" s="33"/>
      <c r="AE1864" s="33"/>
      <c r="AF1864" s="33"/>
      <c r="AG1864" s="33"/>
      <c r="AH1864" s="33"/>
      <c r="AI1864" s="33"/>
      <c r="AJ1864" s="33"/>
      <c r="AK1864" s="34" t="str">
        <f aca="false">IF($B1864="","",COUNTIF($F1864:$AJ1864,"P"))</f>
        <v/>
      </c>
      <c r="AL1864" s="34" t="str">
        <f aca="false">IF($B1864="","",COUNTIF($F1864:$AJ1864,"A"))</f>
        <v/>
      </c>
      <c r="AM1864" s="34" t="str">
        <f aca="false">IF($B1864="","",COUNTIF($F1864:$AJ1864,"HA"))</f>
        <v/>
      </c>
      <c r="AN1864" s="34" t="str">
        <f aca="false">IF($B1864="","",COUNTIF($F1864:$AJ1864,"L"))</f>
        <v/>
      </c>
      <c r="AO1864" s="34" t="str">
        <f aca="false">IF($B1864="","",COUNTIF($F1864:$AJ1864,"PL"))</f>
        <v/>
      </c>
      <c r="AP1864" s="34" t="str">
        <f aca="false">IF($B1864="","",COUNTIF($F1864:$AJ1864,"CL"))</f>
        <v/>
      </c>
      <c r="AQ1864" s="34" t="str">
        <f aca="false">IF($B1864="","",COUNTIF($F1864:$AJ1864,"SL"))</f>
        <v/>
      </c>
      <c r="AR1864" s="34" t="str">
        <f aca="false">IF($B1864="","",COUNTIF($F1864:$AJ1864,"CO"))</f>
        <v/>
      </c>
      <c r="AS1864" s="34" t="str">
        <f aca="false">IF($B1864="","",COUNTIF($F1864:$AJ1864,"HPL"))</f>
        <v/>
      </c>
      <c r="AT1864" s="34" t="str">
        <f aca="false">IF($B1864="","",COUNTIF($F1864:$AJ1864,"HCL"))</f>
        <v/>
      </c>
      <c r="AU1864" s="34" t="str">
        <f aca="false">IF($B1864="","",COUNTIF($F1864:$AJ1864,"WO"))</f>
        <v/>
      </c>
      <c r="AV1864" s="34" t="str">
        <f aca="false">IF($B1864="","",COUNTIF($F1864:$AJ1864,"PH"))</f>
        <v/>
      </c>
      <c r="AW1864" s="34" t="str">
        <f aca="false">IF($B1864="","",COUNTIF($F1864:$AJ1864,"TR"))</f>
        <v/>
      </c>
      <c r="AX1864" s="35" t="str">
        <f aca="false">IF($B1864="","",AO1864+AS1864/2)</f>
        <v/>
      </c>
      <c r="AY1864" s="35" t="str">
        <f aca="false">IF($B1864="","",AQ1864)</f>
        <v/>
      </c>
      <c r="AZ1864" s="35" t="str">
        <f aca="false">IF($B1864="","",AP1864+AT1864/2)</f>
        <v/>
      </c>
      <c r="BA1864" s="35" t="str">
        <f aca="false">IF($B1864="","",AK1864+AN1864+AM1864/2+AO1864+AP1864+AQ1864+AR1864+AS1864+AT1864+AU1864+AV1864+AW1864)</f>
        <v/>
      </c>
      <c r="BB1864" s="35" t="str">
        <f aca="false">IF($B1864="","",MAX(0,AN1864-Settings!$C$16)*Settings!$C$17)</f>
        <v/>
      </c>
      <c r="BC1864" s="35" t="str">
        <f aca="false">IF($B1864="","",BA1864-BB1864)</f>
        <v/>
      </c>
      <c r="BD1864" s="35" t="str">
        <f aca="false">IF(OR($B1864="",$A1864=""),"",DAY(EOMONTH($A1864,0))-COUNTA($F1864:$AJ1864))</f>
        <v/>
      </c>
    </row>
    <row r="1865" customFormat="false" ht="15" hidden="false" customHeight="false" outlineLevel="0" collapsed="false">
      <c r="A1865" s="32"/>
      <c r="B1865" s="29"/>
      <c r="C1865" s="10" t="str">
        <f aca="false">IF($B1865="","",IFERROR(INDEX(M_name,MATCH($B1865,M_emp,0)),"Code not found"))</f>
        <v/>
      </c>
      <c r="D1865" s="10" t="str">
        <f aca="false">IF($B1865="","",IFERROR(INDEX(M_dept,MATCH($B1865,M_emp,0)),""))</f>
        <v/>
      </c>
      <c r="E1865" s="10" t="str">
        <f aca="false">IF($B1865="","",IFERROR(INDEX(M_loc,MATCH($B1865,M_emp,0)),""))</f>
        <v/>
      </c>
      <c r="F1865" s="33"/>
      <c r="G1865" s="33"/>
      <c r="H1865" s="33"/>
      <c r="I1865" s="33"/>
      <c r="J1865" s="33"/>
      <c r="K1865" s="33"/>
      <c r="L1865" s="33"/>
      <c r="M1865" s="33"/>
      <c r="N1865" s="33"/>
      <c r="O1865" s="33"/>
      <c r="P1865" s="33"/>
      <c r="Q1865" s="33"/>
      <c r="R1865" s="33"/>
      <c r="S1865" s="33"/>
      <c r="T1865" s="33"/>
      <c r="U1865" s="33"/>
      <c r="V1865" s="33"/>
      <c r="W1865" s="33"/>
      <c r="X1865" s="33"/>
      <c r="Y1865" s="33"/>
      <c r="Z1865" s="33"/>
      <c r="AA1865" s="33"/>
      <c r="AB1865" s="33"/>
      <c r="AC1865" s="33"/>
      <c r="AD1865" s="33"/>
      <c r="AE1865" s="33"/>
      <c r="AF1865" s="33"/>
      <c r="AG1865" s="33"/>
      <c r="AH1865" s="33"/>
      <c r="AI1865" s="33"/>
      <c r="AJ1865" s="33"/>
      <c r="AK1865" s="34" t="str">
        <f aca="false">IF($B1865="","",COUNTIF($F1865:$AJ1865,"P"))</f>
        <v/>
      </c>
      <c r="AL1865" s="34" t="str">
        <f aca="false">IF($B1865="","",COUNTIF($F1865:$AJ1865,"A"))</f>
        <v/>
      </c>
      <c r="AM1865" s="34" t="str">
        <f aca="false">IF($B1865="","",COUNTIF($F1865:$AJ1865,"HA"))</f>
        <v/>
      </c>
      <c r="AN1865" s="34" t="str">
        <f aca="false">IF($B1865="","",COUNTIF($F1865:$AJ1865,"L"))</f>
        <v/>
      </c>
      <c r="AO1865" s="34" t="str">
        <f aca="false">IF($B1865="","",COUNTIF($F1865:$AJ1865,"PL"))</f>
        <v/>
      </c>
      <c r="AP1865" s="34" t="str">
        <f aca="false">IF($B1865="","",COUNTIF($F1865:$AJ1865,"CL"))</f>
        <v/>
      </c>
      <c r="AQ1865" s="34" t="str">
        <f aca="false">IF($B1865="","",COUNTIF($F1865:$AJ1865,"SL"))</f>
        <v/>
      </c>
      <c r="AR1865" s="34" t="str">
        <f aca="false">IF($B1865="","",COUNTIF($F1865:$AJ1865,"CO"))</f>
        <v/>
      </c>
      <c r="AS1865" s="34" t="str">
        <f aca="false">IF($B1865="","",COUNTIF($F1865:$AJ1865,"HPL"))</f>
        <v/>
      </c>
      <c r="AT1865" s="34" t="str">
        <f aca="false">IF($B1865="","",COUNTIF($F1865:$AJ1865,"HCL"))</f>
        <v/>
      </c>
      <c r="AU1865" s="34" t="str">
        <f aca="false">IF($B1865="","",COUNTIF($F1865:$AJ1865,"WO"))</f>
        <v/>
      </c>
      <c r="AV1865" s="34" t="str">
        <f aca="false">IF($B1865="","",COUNTIF($F1865:$AJ1865,"PH"))</f>
        <v/>
      </c>
      <c r="AW1865" s="34" t="str">
        <f aca="false">IF($B1865="","",COUNTIF($F1865:$AJ1865,"TR"))</f>
        <v/>
      </c>
      <c r="AX1865" s="35" t="str">
        <f aca="false">IF($B1865="","",AO1865+AS1865/2)</f>
        <v/>
      </c>
      <c r="AY1865" s="35" t="str">
        <f aca="false">IF($B1865="","",AQ1865)</f>
        <v/>
      </c>
      <c r="AZ1865" s="35" t="str">
        <f aca="false">IF($B1865="","",AP1865+AT1865/2)</f>
        <v/>
      </c>
      <c r="BA1865" s="35" t="str">
        <f aca="false">IF($B1865="","",AK1865+AN1865+AM1865/2+AO1865+AP1865+AQ1865+AR1865+AS1865+AT1865+AU1865+AV1865+AW1865)</f>
        <v/>
      </c>
      <c r="BB1865" s="35" t="str">
        <f aca="false">IF($B1865="","",MAX(0,AN1865-Settings!$C$16)*Settings!$C$17)</f>
        <v/>
      </c>
      <c r="BC1865" s="35" t="str">
        <f aca="false">IF($B1865="","",BA1865-BB1865)</f>
        <v/>
      </c>
      <c r="BD1865" s="35" t="str">
        <f aca="false">IF(OR($B1865="",$A1865=""),"",DAY(EOMONTH($A1865,0))-COUNTA($F1865:$AJ1865))</f>
        <v/>
      </c>
    </row>
    <row r="1866" customFormat="false" ht="15" hidden="false" customHeight="false" outlineLevel="0" collapsed="false">
      <c r="A1866" s="32"/>
      <c r="B1866" s="29"/>
      <c r="C1866" s="10" t="str">
        <f aca="false">IF($B1866="","",IFERROR(INDEX(M_name,MATCH($B1866,M_emp,0)),"Code not found"))</f>
        <v/>
      </c>
      <c r="D1866" s="10" t="str">
        <f aca="false">IF($B1866="","",IFERROR(INDEX(M_dept,MATCH($B1866,M_emp,0)),""))</f>
        <v/>
      </c>
      <c r="E1866" s="10" t="str">
        <f aca="false">IF($B1866="","",IFERROR(INDEX(M_loc,MATCH($B1866,M_emp,0)),""))</f>
        <v/>
      </c>
      <c r="F1866" s="33"/>
      <c r="G1866" s="33"/>
      <c r="H1866" s="33"/>
      <c r="I1866" s="33"/>
      <c r="J1866" s="33"/>
      <c r="K1866" s="33"/>
      <c r="L1866" s="33"/>
      <c r="M1866" s="33"/>
      <c r="N1866" s="33"/>
      <c r="O1866" s="33"/>
      <c r="P1866" s="33"/>
      <c r="Q1866" s="33"/>
      <c r="R1866" s="33"/>
      <c r="S1866" s="33"/>
      <c r="T1866" s="33"/>
      <c r="U1866" s="33"/>
      <c r="V1866" s="33"/>
      <c r="W1866" s="33"/>
      <c r="X1866" s="33"/>
      <c r="Y1866" s="33"/>
      <c r="Z1866" s="33"/>
      <c r="AA1866" s="33"/>
      <c r="AB1866" s="33"/>
      <c r="AC1866" s="33"/>
      <c r="AD1866" s="33"/>
      <c r="AE1866" s="33"/>
      <c r="AF1866" s="33"/>
      <c r="AG1866" s="33"/>
      <c r="AH1866" s="33"/>
      <c r="AI1866" s="33"/>
      <c r="AJ1866" s="33"/>
      <c r="AK1866" s="34" t="str">
        <f aca="false">IF($B1866="","",COUNTIF($F1866:$AJ1866,"P"))</f>
        <v/>
      </c>
      <c r="AL1866" s="34" t="str">
        <f aca="false">IF($B1866="","",COUNTIF($F1866:$AJ1866,"A"))</f>
        <v/>
      </c>
      <c r="AM1866" s="34" t="str">
        <f aca="false">IF($B1866="","",COUNTIF($F1866:$AJ1866,"HA"))</f>
        <v/>
      </c>
      <c r="AN1866" s="34" t="str">
        <f aca="false">IF($B1866="","",COUNTIF($F1866:$AJ1866,"L"))</f>
        <v/>
      </c>
      <c r="AO1866" s="34" t="str">
        <f aca="false">IF($B1866="","",COUNTIF($F1866:$AJ1866,"PL"))</f>
        <v/>
      </c>
      <c r="AP1866" s="34" t="str">
        <f aca="false">IF($B1866="","",COUNTIF($F1866:$AJ1866,"CL"))</f>
        <v/>
      </c>
      <c r="AQ1866" s="34" t="str">
        <f aca="false">IF($B1866="","",COUNTIF($F1866:$AJ1866,"SL"))</f>
        <v/>
      </c>
      <c r="AR1866" s="34" t="str">
        <f aca="false">IF($B1866="","",COUNTIF($F1866:$AJ1866,"CO"))</f>
        <v/>
      </c>
      <c r="AS1866" s="34" t="str">
        <f aca="false">IF($B1866="","",COUNTIF($F1866:$AJ1866,"HPL"))</f>
        <v/>
      </c>
      <c r="AT1866" s="34" t="str">
        <f aca="false">IF($B1866="","",COUNTIF($F1866:$AJ1866,"HCL"))</f>
        <v/>
      </c>
      <c r="AU1866" s="34" t="str">
        <f aca="false">IF($B1866="","",COUNTIF($F1866:$AJ1866,"WO"))</f>
        <v/>
      </c>
      <c r="AV1866" s="34" t="str">
        <f aca="false">IF($B1866="","",COUNTIF($F1866:$AJ1866,"PH"))</f>
        <v/>
      </c>
      <c r="AW1866" s="34" t="str">
        <f aca="false">IF($B1866="","",COUNTIF($F1866:$AJ1866,"TR"))</f>
        <v/>
      </c>
      <c r="AX1866" s="35" t="str">
        <f aca="false">IF($B1866="","",AO1866+AS1866/2)</f>
        <v/>
      </c>
      <c r="AY1866" s="35" t="str">
        <f aca="false">IF($B1866="","",AQ1866)</f>
        <v/>
      </c>
      <c r="AZ1866" s="35" t="str">
        <f aca="false">IF($B1866="","",AP1866+AT1866/2)</f>
        <v/>
      </c>
      <c r="BA1866" s="35" t="str">
        <f aca="false">IF($B1866="","",AK1866+AN1866+AM1866/2+AO1866+AP1866+AQ1866+AR1866+AS1866+AT1866+AU1866+AV1866+AW1866)</f>
        <v/>
      </c>
      <c r="BB1866" s="35" t="str">
        <f aca="false">IF($B1866="","",MAX(0,AN1866-Settings!$C$16)*Settings!$C$17)</f>
        <v/>
      </c>
      <c r="BC1866" s="35" t="str">
        <f aca="false">IF($B1866="","",BA1866-BB1866)</f>
        <v/>
      </c>
      <c r="BD1866" s="35" t="str">
        <f aca="false">IF(OR($B1866="",$A1866=""),"",DAY(EOMONTH($A1866,0))-COUNTA($F1866:$AJ1866))</f>
        <v/>
      </c>
    </row>
    <row r="1867" customFormat="false" ht="15" hidden="false" customHeight="false" outlineLevel="0" collapsed="false">
      <c r="A1867" s="32"/>
      <c r="B1867" s="29"/>
      <c r="C1867" s="10" t="str">
        <f aca="false">IF($B1867="","",IFERROR(INDEX(M_name,MATCH($B1867,M_emp,0)),"Code not found"))</f>
        <v/>
      </c>
      <c r="D1867" s="10" t="str">
        <f aca="false">IF($B1867="","",IFERROR(INDEX(M_dept,MATCH($B1867,M_emp,0)),""))</f>
        <v/>
      </c>
      <c r="E1867" s="10" t="str">
        <f aca="false">IF($B1867="","",IFERROR(INDEX(M_loc,MATCH($B1867,M_emp,0)),""))</f>
        <v/>
      </c>
      <c r="F1867" s="33"/>
      <c r="G1867" s="33"/>
      <c r="H1867" s="33"/>
      <c r="I1867" s="33"/>
      <c r="J1867" s="33"/>
      <c r="K1867" s="33"/>
      <c r="L1867" s="33"/>
      <c r="M1867" s="33"/>
      <c r="N1867" s="33"/>
      <c r="O1867" s="33"/>
      <c r="P1867" s="33"/>
      <c r="Q1867" s="33"/>
      <c r="R1867" s="33"/>
      <c r="S1867" s="33"/>
      <c r="T1867" s="33"/>
      <c r="U1867" s="33"/>
      <c r="V1867" s="33"/>
      <c r="W1867" s="33"/>
      <c r="X1867" s="33"/>
      <c r="Y1867" s="33"/>
      <c r="Z1867" s="33"/>
      <c r="AA1867" s="33"/>
      <c r="AB1867" s="33"/>
      <c r="AC1867" s="33"/>
      <c r="AD1867" s="33"/>
      <c r="AE1867" s="33"/>
      <c r="AF1867" s="33"/>
      <c r="AG1867" s="33"/>
      <c r="AH1867" s="33"/>
      <c r="AI1867" s="33"/>
      <c r="AJ1867" s="33"/>
      <c r="AK1867" s="34" t="str">
        <f aca="false">IF($B1867="","",COUNTIF($F1867:$AJ1867,"P"))</f>
        <v/>
      </c>
      <c r="AL1867" s="34" t="str">
        <f aca="false">IF($B1867="","",COUNTIF($F1867:$AJ1867,"A"))</f>
        <v/>
      </c>
      <c r="AM1867" s="34" t="str">
        <f aca="false">IF($B1867="","",COUNTIF($F1867:$AJ1867,"HA"))</f>
        <v/>
      </c>
      <c r="AN1867" s="34" t="str">
        <f aca="false">IF($B1867="","",COUNTIF($F1867:$AJ1867,"L"))</f>
        <v/>
      </c>
      <c r="AO1867" s="34" t="str">
        <f aca="false">IF($B1867="","",COUNTIF($F1867:$AJ1867,"PL"))</f>
        <v/>
      </c>
      <c r="AP1867" s="34" t="str">
        <f aca="false">IF($B1867="","",COUNTIF($F1867:$AJ1867,"CL"))</f>
        <v/>
      </c>
      <c r="AQ1867" s="34" t="str">
        <f aca="false">IF($B1867="","",COUNTIF($F1867:$AJ1867,"SL"))</f>
        <v/>
      </c>
      <c r="AR1867" s="34" t="str">
        <f aca="false">IF($B1867="","",COUNTIF($F1867:$AJ1867,"CO"))</f>
        <v/>
      </c>
      <c r="AS1867" s="34" t="str">
        <f aca="false">IF($B1867="","",COUNTIF($F1867:$AJ1867,"HPL"))</f>
        <v/>
      </c>
      <c r="AT1867" s="34" t="str">
        <f aca="false">IF($B1867="","",COUNTIF($F1867:$AJ1867,"HCL"))</f>
        <v/>
      </c>
      <c r="AU1867" s="34" t="str">
        <f aca="false">IF($B1867="","",COUNTIF($F1867:$AJ1867,"WO"))</f>
        <v/>
      </c>
      <c r="AV1867" s="34" t="str">
        <f aca="false">IF($B1867="","",COUNTIF($F1867:$AJ1867,"PH"))</f>
        <v/>
      </c>
      <c r="AW1867" s="34" t="str">
        <f aca="false">IF($B1867="","",COUNTIF($F1867:$AJ1867,"TR"))</f>
        <v/>
      </c>
      <c r="AX1867" s="35" t="str">
        <f aca="false">IF($B1867="","",AO1867+AS1867/2)</f>
        <v/>
      </c>
      <c r="AY1867" s="35" t="str">
        <f aca="false">IF($B1867="","",AQ1867)</f>
        <v/>
      </c>
      <c r="AZ1867" s="35" t="str">
        <f aca="false">IF($B1867="","",AP1867+AT1867/2)</f>
        <v/>
      </c>
      <c r="BA1867" s="35" t="str">
        <f aca="false">IF($B1867="","",AK1867+AN1867+AM1867/2+AO1867+AP1867+AQ1867+AR1867+AS1867+AT1867+AU1867+AV1867+AW1867)</f>
        <v/>
      </c>
      <c r="BB1867" s="35" t="str">
        <f aca="false">IF($B1867="","",MAX(0,AN1867-Settings!$C$16)*Settings!$C$17)</f>
        <v/>
      </c>
      <c r="BC1867" s="35" t="str">
        <f aca="false">IF($B1867="","",BA1867-BB1867)</f>
        <v/>
      </c>
      <c r="BD1867" s="35" t="str">
        <f aca="false">IF(OR($B1867="",$A1867=""),"",DAY(EOMONTH($A1867,0))-COUNTA($F1867:$AJ1867))</f>
        <v/>
      </c>
    </row>
    <row r="1868" customFormat="false" ht="15" hidden="false" customHeight="false" outlineLevel="0" collapsed="false">
      <c r="A1868" s="32"/>
      <c r="B1868" s="29"/>
      <c r="C1868" s="10" t="str">
        <f aca="false">IF($B1868="","",IFERROR(INDEX(M_name,MATCH($B1868,M_emp,0)),"Code not found"))</f>
        <v/>
      </c>
      <c r="D1868" s="10" t="str">
        <f aca="false">IF($B1868="","",IFERROR(INDEX(M_dept,MATCH($B1868,M_emp,0)),""))</f>
        <v/>
      </c>
      <c r="E1868" s="10" t="str">
        <f aca="false">IF($B1868="","",IFERROR(INDEX(M_loc,MATCH($B1868,M_emp,0)),""))</f>
        <v/>
      </c>
      <c r="F1868" s="33"/>
      <c r="G1868" s="33"/>
      <c r="H1868" s="33"/>
      <c r="I1868" s="33"/>
      <c r="J1868" s="33"/>
      <c r="K1868" s="33"/>
      <c r="L1868" s="33"/>
      <c r="M1868" s="33"/>
      <c r="N1868" s="33"/>
      <c r="O1868" s="33"/>
      <c r="P1868" s="33"/>
      <c r="Q1868" s="33"/>
      <c r="R1868" s="33"/>
      <c r="S1868" s="33"/>
      <c r="T1868" s="33"/>
      <c r="U1868" s="33"/>
      <c r="V1868" s="33"/>
      <c r="W1868" s="33"/>
      <c r="X1868" s="33"/>
      <c r="Y1868" s="33"/>
      <c r="Z1868" s="33"/>
      <c r="AA1868" s="33"/>
      <c r="AB1868" s="33"/>
      <c r="AC1868" s="33"/>
      <c r="AD1868" s="33"/>
      <c r="AE1868" s="33"/>
      <c r="AF1868" s="33"/>
      <c r="AG1868" s="33"/>
      <c r="AH1868" s="33"/>
      <c r="AI1868" s="33"/>
      <c r="AJ1868" s="33"/>
      <c r="AK1868" s="34" t="str">
        <f aca="false">IF($B1868="","",COUNTIF($F1868:$AJ1868,"P"))</f>
        <v/>
      </c>
      <c r="AL1868" s="34" t="str">
        <f aca="false">IF($B1868="","",COUNTIF($F1868:$AJ1868,"A"))</f>
        <v/>
      </c>
      <c r="AM1868" s="34" t="str">
        <f aca="false">IF($B1868="","",COUNTIF($F1868:$AJ1868,"HA"))</f>
        <v/>
      </c>
      <c r="AN1868" s="34" t="str">
        <f aca="false">IF($B1868="","",COUNTIF($F1868:$AJ1868,"L"))</f>
        <v/>
      </c>
      <c r="AO1868" s="34" t="str">
        <f aca="false">IF($B1868="","",COUNTIF($F1868:$AJ1868,"PL"))</f>
        <v/>
      </c>
      <c r="AP1868" s="34" t="str">
        <f aca="false">IF($B1868="","",COUNTIF($F1868:$AJ1868,"CL"))</f>
        <v/>
      </c>
      <c r="AQ1868" s="34" t="str">
        <f aca="false">IF($B1868="","",COUNTIF($F1868:$AJ1868,"SL"))</f>
        <v/>
      </c>
      <c r="AR1868" s="34" t="str">
        <f aca="false">IF($B1868="","",COUNTIF($F1868:$AJ1868,"CO"))</f>
        <v/>
      </c>
      <c r="AS1868" s="34" t="str">
        <f aca="false">IF($B1868="","",COUNTIF($F1868:$AJ1868,"HPL"))</f>
        <v/>
      </c>
      <c r="AT1868" s="34" t="str">
        <f aca="false">IF($B1868="","",COUNTIF($F1868:$AJ1868,"HCL"))</f>
        <v/>
      </c>
      <c r="AU1868" s="34" t="str">
        <f aca="false">IF($B1868="","",COUNTIF($F1868:$AJ1868,"WO"))</f>
        <v/>
      </c>
      <c r="AV1868" s="34" t="str">
        <f aca="false">IF($B1868="","",COUNTIF($F1868:$AJ1868,"PH"))</f>
        <v/>
      </c>
      <c r="AW1868" s="34" t="str">
        <f aca="false">IF($B1868="","",COUNTIF($F1868:$AJ1868,"TR"))</f>
        <v/>
      </c>
      <c r="AX1868" s="35" t="str">
        <f aca="false">IF($B1868="","",AO1868+AS1868/2)</f>
        <v/>
      </c>
      <c r="AY1868" s="35" t="str">
        <f aca="false">IF($B1868="","",AQ1868)</f>
        <v/>
      </c>
      <c r="AZ1868" s="35" t="str">
        <f aca="false">IF($B1868="","",AP1868+AT1868/2)</f>
        <v/>
      </c>
      <c r="BA1868" s="35" t="str">
        <f aca="false">IF($B1868="","",AK1868+AN1868+AM1868/2+AO1868+AP1868+AQ1868+AR1868+AS1868+AT1868+AU1868+AV1868+AW1868)</f>
        <v/>
      </c>
      <c r="BB1868" s="35" t="str">
        <f aca="false">IF($B1868="","",MAX(0,AN1868-Settings!$C$16)*Settings!$C$17)</f>
        <v/>
      </c>
      <c r="BC1868" s="35" t="str">
        <f aca="false">IF($B1868="","",BA1868-BB1868)</f>
        <v/>
      </c>
      <c r="BD1868" s="35" t="str">
        <f aca="false">IF(OR($B1868="",$A1868=""),"",DAY(EOMONTH($A1868,0))-COUNTA($F1868:$AJ1868))</f>
        <v/>
      </c>
    </row>
    <row r="1869" customFormat="false" ht="15" hidden="false" customHeight="false" outlineLevel="0" collapsed="false">
      <c r="A1869" s="32"/>
      <c r="B1869" s="29"/>
      <c r="C1869" s="10" t="str">
        <f aca="false">IF($B1869="","",IFERROR(INDEX(M_name,MATCH($B1869,M_emp,0)),"Code not found"))</f>
        <v/>
      </c>
      <c r="D1869" s="10" t="str">
        <f aca="false">IF($B1869="","",IFERROR(INDEX(M_dept,MATCH($B1869,M_emp,0)),""))</f>
        <v/>
      </c>
      <c r="E1869" s="10" t="str">
        <f aca="false">IF($B1869="","",IFERROR(INDEX(M_loc,MATCH($B1869,M_emp,0)),""))</f>
        <v/>
      </c>
      <c r="F1869" s="33"/>
      <c r="G1869" s="33"/>
      <c r="H1869" s="33"/>
      <c r="I1869" s="33"/>
      <c r="J1869" s="33"/>
      <c r="K1869" s="33"/>
      <c r="L1869" s="33"/>
      <c r="M1869" s="33"/>
      <c r="N1869" s="33"/>
      <c r="O1869" s="33"/>
      <c r="P1869" s="33"/>
      <c r="Q1869" s="33"/>
      <c r="R1869" s="33"/>
      <c r="S1869" s="33"/>
      <c r="T1869" s="33"/>
      <c r="U1869" s="33"/>
      <c r="V1869" s="33"/>
      <c r="W1869" s="33"/>
      <c r="X1869" s="33"/>
      <c r="Y1869" s="33"/>
      <c r="Z1869" s="33"/>
      <c r="AA1869" s="33"/>
      <c r="AB1869" s="33"/>
      <c r="AC1869" s="33"/>
      <c r="AD1869" s="33"/>
      <c r="AE1869" s="33"/>
      <c r="AF1869" s="33"/>
      <c r="AG1869" s="33"/>
      <c r="AH1869" s="33"/>
      <c r="AI1869" s="33"/>
      <c r="AJ1869" s="33"/>
      <c r="AK1869" s="34" t="str">
        <f aca="false">IF($B1869="","",COUNTIF($F1869:$AJ1869,"P"))</f>
        <v/>
      </c>
      <c r="AL1869" s="34" t="str">
        <f aca="false">IF($B1869="","",COUNTIF($F1869:$AJ1869,"A"))</f>
        <v/>
      </c>
      <c r="AM1869" s="34" t="str">
        <f aca="false">IF($B1869="","",COUNTIF($F1869:$AJ1869,"HA"))</f>
        <v/>
      </c>
      <c r="AN1869" s="34" t="str">
        <f aca="false">IF($B1869="","",COUNTIF($F1869:$AJ1869,"L"))</f>
        <v/>
      </c>
      <c r="AO1869" s="34" t="str">
        <f aca="false">IF($B1869="","",COUNTIF($F1869:$AJ1869,"PL"))</f>
        <v/>
      </c>
      <c r="AP1869" s="34" t="str">
        <f aca="false">IF($B1869="","",COUNTIF($F1869:$AJ1869,"CL"))</f>
        <v/>
      </c>
      <c r="AQ1869" s="34" t="str">
        <f aca="false">IF($B1869="","",COUNTIF($F1869:$AJ1869,"SL"))</f>
        <v/>
      </c>
      <c r="AR1869" s="34" t="str">
        <f aca="false">IF($B1869="","",COUNTIF($F1869:$AJ1869,"CO"))</f>
        <v/>
      </c>
      <c r="AS1869" s="34" t="str">
        <f aca="false">IF($B1869="","",COUNTIF($F1869:$AJ1869,"HPL"))</f>
        <v/>
      </c>
      <c r="AT1869" s="34" t="str">
        <f aca="false">IF($B1869="","",COUNTIF($F1869:$AJ1869,"HCL"))</f>
        <v/>
      </c>
      <c r="AU1869" s="34" t="str">
        <f aca="false">IF($B1869="","",COUNTIF($F1869:$AJ1869,"WO"))</f>
        <v/>
      </c>
      <c r="AV1869" s="34" t="str">
        <f aca="false">IF($B1869="","",COUNTIF($F1869:$AJ1869,"PH"))</f>
        <v/>
      </c>
      <c r="AW1869" s="34" t="str">
        <f aca="false">IF($B1869="","",COUNTIF($F1869:$AJ1869,"TR"))</f>
        <v/>
      </c>
      <c r="AX1869" s="35" t="str">
        <f aca="false">IF($B1869="","",AO1869+AS1869/2)</f>
        <v/>
      </c>
      <c r="AY1869" s="35" t="str">
        <f aca="false">IF($B1869="","",AQ1869)</f>
        <v/>
      </c>
      <c r="AZ1869" s="35" t="str">
        <f aca="false">IF($B1869="","",AP1869+AT1869/2)</f>
        <v/>
      </c>
      <c r="BA1869" s="35" t="str">
        <f aca="false">IF($B1869="","",AK1869+AN1869+AM1869/2+AO1869+AP1869+AQ1869+AR1869+AS1869+AT1869+AU1869+AV1869+AW1869)</f>
        <v/>
      </c>
      <c r="BB1869" s="35" t="str">
        <f aca="false">IF($B1869="","",MAX(0,AN1869-Settings!$C$16)*Settings!$C$17)</f>
        <v/>
      </c>
      <c r="BC1869" s="35" t="str">
        <f aca="false">IF($B1869="","",BA1869-BB1869)</f>
        <v/>
      </c>
      <c r="BD1869" s="35" t="str">
        <f aca="false">IF(OR($B1869="",$A1869=""),"",DAY(EOMONTH($A1869,0))-COUNTA($F1869:$AJ1869))</f>
        <v/>
      </c>
    </row>
    <row r="1870" customFormat="false" ht="15" hidden="false" customHeight="false" outlineLevel="0" collapsed="false">
      <c r="A1870" s="32"/>
      <c r="B1870" s="29"/>
      <c r="C1870" s="10" t="str">
        <f aca="false">IF($B1870="","",IFERROR(INDEX(M_name,MATCH($B1870,M_emp,0)),"Code not found"))</f>
        <v/>
      </c>
      <c r="D1870" s="10" t="str">
        <f aca="false">IF($B1870="","",IFERROR(INDEX(M_dept,MATCH($B1870,M_emp,0)),""))</f>
        <v/>
      </c>
      <c r="E1870" s="10" t="str">
        <f aca="false">IF($B1870="","",IFERROR(INDEX(M_loc,MATCH($B1870,M_emp,0)),""))</f>
        <v/>
      </c>
      <c r="F1870" s="33"/>
      <c r="G1870" s="33"/>
      <c r="H1870" s="33"/>
      <c r="I1870" s="33"/>
      <c r="J1870" s="33"/>
      <c r="K1870" s="33"/>
      <c r="L1870" s="33"/>
      <c r="M1870" s="33"/>
      <c r="N1870" s="33"/>
      <c r="O1870" s="33"/>
      <c r="P1870" s="33"/>
      <c r="Q1870" s="33"/>
      <c r="R1870" s="33"/>
      <c r="S1870" s="33"/>
      <c r="T1870" s="33"/>
      <c r="U1870" s="33"/>
      <c r="V1870" s="33"/>
      <c r="W1870" s="33"/>
      <c r="X1870" s="33"/>
      <c r="Y1870" s="33"/>
      <c r="Z1870" s="33"/>
      <c r="AA1870" s="33"/>
      <c r="AB1870" s="33"/>
      <c r="AC1870" s="33"/>
      <c r="AD1870" s="33"/>
      <c r="AE1870" s="33"/>
      <c r="AF1870" s="33"/>
      <c r="AG1870" s="33"/>
      <c r="AH1870" s="33"/>
      <c r="AI1870" s="33"/>
      <c r="AJ1870" s="33"/>
      <c r="AK1870" s="34" t="str">
        <f aca="false">IF($B1870="","",COUNTIF($F1870:$AJ1870,"P"))</f>
        <v/>
      </c>
      <c r="AL1870" s="34" t="str">
        <f aca="false">IF($B1870="","",COUNTIF($F1870:$AJ1870,"A"))</f>
        <v/>
      </c>
      <c r="AM1870" s="34" t="str">
        <f aca="false">IF($B1870="","",COUNTIF($F1870:$AJ1870,"HA"))</f>
        <v/>
      </c>
      <c r="AN1870" s="34" t="str">
        <f aca="false">IF($B1870="","",COUNTIF($F1870:$AJ1870,"L"))</f>
        <v/>
      </c>
      <c r="AO1870" s="34" t="str">
        <f aca="false">IF($B1870="","",COUNTIF($F1870:$AJ1870,"PL"))</f>
        <v/>
      </c>
      <c r="AP1870" s="34" t="str">
        <f aca="false">IF($B1870="","",COUNTIF($F1870:$AJ1870,"CL"))</f>
        <v/>
      </c>
      <c r="AQ1870" s="34" t="str">
        <f aca="false">IF($B1870="","",COUNTIF($F1870:$AJ1870,"SL"))</f>
        <v/>
      </c>
      <c r="AR1870" s="34" t="str">
        <f aca="false">IF($B1870="","",COUNTIF($F1870:$AJ1870,"CO"))</f>
        <v/>
      </c>
      <c r="AS1870" s="34" t="str">
        <f aca="false">IF($B1870="","",COUNTIF($F1870:$AJ1870,"HPL"))</f>
        <v/>
      </c>
      <c r="AT1870" s="34" t="str">
        <f aca="false">IF($B1870="","",COUNTIF($F1870:$AJ1870,"HCL"))</f>
        <v/>
      </c>
      <c r="AU1870" s="34" t="str">
        <f aca="false">IF($B1870="","",COUNTIF($F1870:$AJ1870,"WO"))</f>
        <v/>
      </c>
      <c r="AV1870" s="34" t="str">
        <f aca="false">IF($B1870="","",COUNTIF($F1870:$AJ1870,"PH"))</f>
        <v/>
      </c>
      <c r="AW1870" s="34" t="str">
        <f aca="false">IF($B1870="","",COUNTIF($F1870:$AJ1870,"TR"))</f>
        <v/>
      </c>
      <c r="AX1870" s="35" t="str">
        <f aca="false">IF($B1870="","",AO1870+AS1870/2)</f>
        <v/>
      </c>
      <c r="AY1870" s="35" t="str">
        <f aca="false">IF($B1870="","",AQ1870)</f>
        <v/>
      </c>
      <c r="AZ1870" s="35" t="str">
        <f aca="false">IF($B1870="","",AP1870+AT1870/2)</f>
        <v/>
      </c>
      <c r="BA1870" s="35" t="str">
        <f aca="false">IF($B1870="","",AK1870+AN1870+AM1870/2+AO1870+AP1870+AQ1870+AR1870+AS1870+AT1870+AU1870+AV1870+AW1870)</f>
        <v/>
      </c>
      <c r="BB1870" s="35" t="str">
        <f aca="false">IF($B1870="","",MAX(0,AN1870-Settings!$C$16)*Settings!$C$17)</f>
        <v/>
      </c>
      <c r="BC1870" s="35" t="str">
        <f aca="false">IF($B1870="","",BA1870-BB1870)</f>
        <v/>
      </c>
      <c r="BD1870" s="35" t="str">
        <f aca="false">IF(OR($B1870="",$A1870=""),"",DAY(EOMONTH($A1870,0))-COUNTA($F1870:$AJ1870))</f>
        <v/>
      </c>
    </row>
    <row r="1871" customFormat="false" ht="15" hidden="false" customHeight="false" outlineLevel="0" collapsed="false">
      <c r="A1871" s="32"/>
      <c r="B1871" s="29"/>
      <c r="C1871" s="10" t="str">
        <f aca="false">IF($B1871="","",IFERROR(INDEX(M_name,MATCH($B1871,M_emp,0)),"Code not found"))</f>
        <v/>
      </c>
      <c r="D1871" s="10" t="str">
        <f aca="false">IF($B1871="","",IFERROR(INDEX(M_dept,MATCH($B1871,M_emp,0)),""))</f>
        <v/>
      </c>
      <c r="E1871" s="10" t="str">
        <f aca="false">IF($B1871="","",IFERROR(INDEX(M_loc,MATCH($B1871,M_emp,0)),""))</f>
        <v/>
      </c>
      <c r="F1871" s="33"/>
      <c r="G1871" s="33"/>
      <c r="H1871" s="33"/>
      <c r="I1871" s="33"/>
      <c r="J1871" s="33"/>
      <c r="K1871" s="33"/>
      <c r="L1871" s="33"/>
      <c r="M1871" s="33"/>
      <c r="N1871" s="33"/>
      <c r="O1871" s="33"/>
      <c r="P1871" s="33"/>
      <c r="Q1871" s="33"/>
      <c r="R1871" s="33"/>
      <c r="S1871" s="33"/>
      <c r="T1871" s="33"/>
      <c r="U1871" s="33"/>
      <c r="V1871" s="33"/>
      <c r="W1871" s="33"/>
      <c r="X1871" s="33"/>
      <c r="Y1871" s="33"/>
      <c r="Z1871" s="33"/>
      <c r="AA1871" s="33"/>
      <c r="AB1871" s="33"/>
      <c r="AC1871" s="33"/>
      <c r="AD1871" s="33"/>
      <c r="AE1871" s="33"/>
      <c r="AF1871" s="33"/>
      <c r="AG1871" s="33"/>
      <c r="AH1871" s="33"/>
      <c r="AI1871" s="33"/>
      <c r="AJ1871" s="33"/>
      <c r="AK1871" s="34" t="str">
        <f aca="false">IF($B1871="","",COUNTIF($F1871:$AJ1871,"P"))</f>
        <v/>
      </c>
      <c r="AL1871" s="34" t="str">
        <f aca="false">IF($B1871="","",COUNTIF($F1871:$AJ1871,"A"))</f>
        <v/>
      </c>
      <c r="AM1871" s="34" t="str">
        <f aca="false">IF($B1871="","",COUNTIF($F1871:$AJ1871,"HA"))</f>
        <v/>
      </c>
      <c r="AN1871" s="34" t="str">
        <f aca="false">IF($B1871="","",COUNTIF($F1871:$AJ1871,"L"))</f>
        <v/>
      </c>
      <c r="AO1871" s="34" t="str">
        <f aca="false">IF($B1871="","",COUNTIF($F1871:$AJ1871,"PL"))</f>
        <v/>
      </c>
      <c r="AP1871" s="34" t="str">
        <f aca="false">IF($B1871="","",COUNTIF($F1871:$AJ1871,"CL"))</f>
        <v/>
      </c>
      <c r="AQ1871" s="34" t="str">
        <f aca="false">IF($B1871="","",COUNTIF($F1871:$AJ1871,"SL"))</f>
        <v/>
      </c>
      <c r="AR1871" s="34" t="str">
        <f aca="false">IF($B1871="","",COUNTIF($F1871:$AJ1871,"CO"))</f>
        <v/>
      </c>
      <c r="AS1871" s="34" t="str">
        <f aca="false">IF($B1871="","",COUNTIF($F1871:$AJ1871,"HPL"))</f>
        <v/>
      </c>
      <c r="AT1871" s="34" t="str">
        <f aca="false">IF($B1871="","",COUNTIF($F1871:$AJ1871,"HCL"))</f>
        <v/>
      </c>
      <c r="AU1871" s="34" t="str">
        <f aca="false">IF($B1871="","",COUNTIF($F1871:$AJ1871,"WO"))</f>
        <v/>
      </c>
      <c r="AV1871" s="34" t="str">
        <f aca="false">IF($B1871="","",COUNTIF($F1871:$AJ1871,"PH"))</f>
        <v/>
      </c>
      <c r="AW1871" s="34" t="str">
        <f aca="false">IF($B1871="","",COUNTIF($F1871:$AJ1871,"TR"))</f>
        <v/>
      </c>
      <c r="AX1871" s="35" t="str">
        <f aca="false">IF($B1871="","",AO1871+AS1871/2)</f>
        <v/>
      </c>
      <c r="AY1871" s="35" t="str">
        <f aca="false">IF($B1871="","",AQ1871)</f>
        <v/>
      </c>
      <c r="AZ1871" s="35" t="str">
        <f aca="false">IF($B1871="","",AP1871+AT1871/2)</f>
        <v/>
      </c>
      <c r="BA1871" s="35" t="str">
        <f aca="false">IF($B1871="","",AK1871+AN1871+AM1871/2+AO1871+AP1871+AQ1871+AR1871+AS1871+AT1871+AU1871+AV1871+AW1871)</f>
        <v/>
      </c>
      <c r="BB1871" s="35" t="str">
        <f aca="false">IF($B1871="","",MAX(0,AN1871-Settings!$C$16)*Settings!$C$17)</f>
        <v/>
      </c>
      <c r="BC1871" s="35" t="str">
        <f aca="false">IF($B1871="","",BA1871-BB1871)</f>
        <v/>
      </c>
      <c r="BD1871" s="35" t="str">
        <f aca="false">IF(OR($B1871="",$A1871=""),"",DAY(EOMONTH($A1871,0))-COUNTA($F1871:$AJ1871))</f>
        <v/>
      </c>
    </row>
    <row r="1872" customFormat="false" ht="15" hidden="false" customHeight="false" outlineLevel="0" collapsed="false">
      <c r="A1872" s="32"/>
      <c r="B1872" s="29"/>
      <c r="C1872" s="10" t="str">
        <f aca="false">IF($B1872="","",IFERROR(INDEX(M_name,MATCH($B1872,M_emp,0)),"Code not found"))</f>
        <v/>
      </c>
      <c r="D1872" s="10" t="str">
        <f aca="false">IF($B1872="","",IFERROR(INDEX(M_dept,MATCH($B1872,M_emp,0)),""))</f>
        <v/>
      </c>
      <c r="E1872" s="10" t="str">
        <f aca="false">IF($B1872="","",IFERROR(INDEX(M_loc,MATCH($B1872,M_emp,0)),""))</f>
        <v/>
      </c>
      <c r="F1872" s="33"/>
      <c r="G1872" s="33"/>
      <c r="H1872" s="33"/>
      <c r="I1872" s="33"/>
      <c r="J1872" s="33"/>
      <c r="K1872" s="33"/>
      <c r="L1872" s="33"/>
      <c r="M1872" s="33"/>
      <c r="N1872" s="33"/>
      <c r="O1872" s="33"/>
      <c r="P1872" s="33"/>
      <c r="Q1872" s="33"/>
      <c r="R1872" s="33"/>
      <c r="S1872" s="33"/>
      <c r="T1872" s="33"/>
      <c r="U1872" s="33"/>
      <c r="V1872" s="33"/>
      <c r="W1872" s="33"/>
      <c r="X1872" s="33"/>
      <c r="Y1872" s="33"/>
      <c r="Z1872" s="33"/>
      <c r="AA1872" s="33"/>
      <c r="AB1872" s="33"/>
      <c r="AC1872" s="33"/>
      <c r="AD1872" s="33"/>
      <c r="AE1872" s="33"/>
      <c r="AF1872" s="33"/>
      <c r="AG1872" s="33"/>
      <c r="AH1872" s="33"/>
      <c r="AI1872" s="33"/>
      <c r="AJ1872" s="33"/>
      <c r="AK1872" s="34" t="str">
        <f aca="false">IF($B1872="","",COUNTIF($F1872:$AJ1872,"P"))</f>
        <v/>
      </c>
      <c r="AL1872" s="34" t="str">
        <f aca="false">IF($B1872="","",COUNTIF($F1872:$AJ1872,"A"))</f>
        <v/>
      </c>
      <c r="AM1872" s="34" t="str">
        <f aca="false">IF($B1872="","",COUNTIF($F1872:$AJ1872,"HA"))</f>
        <v/>
      </c>
      <c r="AN1872" s="34" t="str">
        <f aca="false">IF($B1872="","",COUNTIF($F1872:$AJ1872,"L"))</f>
        <v/>
      </c>
      <c r="AO1872" s="34" t="str">
        <f aca="false">IF($B1872="","",COUNTIF($F1872:$AJ1872,"PL"))</f>
        <v/>
      </c>
      <c r="AP1872" s="34" t="str">
        <f aca="false">IF($B1872="","",COUNTIF($F1872:$AJ1872,"CL"))</f>
        <v/>
      </c>
      <c r="AQ1872" s="34" t="str">
        <f aca="false">IF($B1872="","",COUNTIF($F1872:$AJ1872,"SL"))</f>
        <v/>
      </c>
      <c r="AR1872" s="34" t="str">
        <f aca="false">IF($B1872="","",COUNTIF($F1872:$AJ1872,"CO"))</f>
        <v/>
      </c>
      <c r="AS1872" s="34" t="str">
        <f aca="false">IF($B1872="","",COUNTIF($F1872:$AJ1872,"HPL"))</f>
        <v/>
      </c>
      <c r="AT1872" s="34" t="str">
        <f aca="false">IF($B1872="","",COUNTIF($F1872:$AJ1872,"HCL"))</f>
        <v/>
      </c>
      <c r="AU1872" s="34" t="str">
        <f aca="false">IF($B1872="","",COUNTIF($F1872:$AJ1872,"WO"))</f>
        <v/>
      </c>
      <c r="AV1872" s="34" t="str">
        <f aca="false">IF($B1872="","",COUNTIF($F1872:$AJ1872,"PH"))</f>
        <v/>
      </c>
      <c r="AW1872" s="34" t="str">
        <f aca="false">IF($B1872="","",COUNTIF($F1872:$AJ1872,"TR"))</f>
        <v/>
      </c>
      <c r="AX1872" s="35" t="str">
        <f aca="false">IF($B1872="","",AO1872+AS1872/2)</f>
        <v/>
      </c>
      <c r="AY1872" s="35" t="str">
        <f aca="false">IF($B1872="","",AQ1872)</f>
        <v/>
      </c>
      <c r="AZ1872" s="35" t="str">
        <f aca="false">IF($B1872="","",AP1872+AT1872/2)</f>
        <v/>
      </c>
      <c r="BA1872" s="35" t="str">
        <f aca="false">IF($B1872="","",AK1872+AN1872+AM1872/2+AO1872+AP1872+AQ1872+AR1872+AS1872+AT1872+AU1872+AV1872+AW1872)</f>
        <v/>
      </c>
      <c r="BB1872" s="35" t="str">
        <f aca="false">IF($B1872="","",MAX(0,AN1872-Settings!$C$16)*Settings!$C$17)</f>
        <v/>
      </c>
      <c r="BC1872" s="35" t="str">
        <f aca="false">IF($B1872="","",BA1872-BB1872)</f>
        <v/>
      </c>
      <c r="BD1872" s="35" t="str">
        <f aca="false">IF(OR($B1872="",$A1872=""),"",DAY(EOMONTH($A1872,0))-COUNTA($F1872:$AJ1872))</f>
        <v/>
      </c>
    </row>
    <row r="1873" customFormat="false" ht="15" hidden="false" customHeight="false" outlineLevel="0" collapsed="false">
      <c r="A1873" s="32"/>
      <c r="B1873" s="29"/>
      <c r="C1873" s="10" t="str">
        <f aca="false">IF($B1873="","",IFERROR(INDEX(M_name,MATCH($B1873,M_emp,0)),"Code not found"))</f>
        <v/>
      </c>
      <c r="D1873" s="10" t="str">
        <f aca="false">IF($B1873="","",IFERROR(INDEX(M_dept,MATCH($B1873,M_emp,0)),""))</f>
        <v/>
      </c>
      <c r="E1873" s="10" t="str">
        <f aca="false">IF($B1873="","",IFERROR(INDEX(M_loc,MATCH($B1873,M_emp,0)),""))</f>
        <v/>
      </c>
      <c r="F1873" s="33"/>
      <c r="G1873" s="33"/>
      <c r="H1873" s="33"/>
      <c r="I1873" s="33"/>
      <c r="J1873" s="33"/>
      <c r="K1873" s="33"/>
      <c r="L1873" s="33"/>
      <c r="M1873" s="33"/>
      <c r="N1873" s="33"/>
      <c r="O1873" s="33"/>
      <c r="P1873" s="33"/>
      <c r="Q1873" s="33"/>
      <c r="R1873" s="33"/>
      <c r="S1873" s="33"/>
      <c r="T1873" s="33"/>
      <c r="U1873" s="33"/>
      <c r="V1873" s="33"/>
      <c r="W1873" s="33"/>
      <c r="X1873" s="33"/>
      <c r="Y1873" s="33"/>
      <c r="Z1873" s="33"/>
      <c r="AA1873" s="33"/>
      <c r="AB1873" s="33"/>
      <c r="AC1873" s="33"/>
      <c r="AD1873" s="33"/>
      <c r="AE1873" s="33"/>
      <c r="AF1873" s="33"/>
      <c r="AG1873" s="33"/>
      <c r="AH1873" s="33"/>
      <c r="AI1873" s="33"/>
      <c r="AJ1873" s="33"/>
      <c r="AK1873" s="34" t="str">
        <f aca="false">IF($B1873="","",COUNTIF($F1873:$AJ1873,"P"))</f>
        <v/>
      </c>
      <c r="AL1873" s="34" t="str">
        <f aca="false">IF($B1873="","",COUNTIF($F1873:$AJ1873,"A"))</f>
        <v/>
      </c>
      <c r="AM1873" s="34" t="str">
        <f aca="false">IF($B1873="","",COUNTIF($F1873:$AJ1873,"HA"))</f>
        <v/>
      </c>
      <c r="AN1873" s="34" t="str">
        <f aca="false">IF($B1873="","",COUNTIF($F1873:$AJ1873,"L"))</f>
        <v/>
      </c>
      <c r="AO1873" s="34" t="str">
        <f aca="false">IF($B1873="","",COUNTIF($F1873:$AJ1873,"PL"))</f>
        <v/>
      </c>
      <c r="AP1873" s="34" t="str">
        <f aca="false">IF($B1873="","",COUNTIF($F1873:$AJ1873,"CL"))</f>
        <v/>
      </c>
      <c r="AQ1873" s="34" t="str">
        <f aca="false">IF($B1873="","",COUNTIF($F1873:$AJ1873,"SL"))</f>
        <v/>
      </c>
      <c r="AR1873" s="34" t="str">
        <f aca="false">IF($B1873="","",COUNTIF($F1873:$AJ1873,"CO"))</f>
        <v/>
      </c>
      <c r="AS1873" s="34" t="str">
        <f aca="false">IF($B1873="","",COUNTIF($F1873:$AJ1873,"HPL"))</f>
        <v/>
      </c>
      <c r="AT1873" s="34" t="str">
        <f aca="false">IF($B1873="","",COUNTIF($F1873:$AJ1873,"HCL"))</f>
        <v/>
      </c>
      <c r="AU1873" s="34" t="str">
        <f aca="false">IF($B1873="","",COUNTIF($F1873:$AJ1873,"WO"))</f>
        <v/>
      </c>
      <c r="AV1873" s="34" t="str">
        <f aca="false">IF($B1873="","",COUNTIF($F1873:$AJ1873,"PH"))</f>
        <v/>
      </c>
      <c r="AW1873" s="34" t="str">
        <f aca="false">IF($B1873="","",COUNTIF($F1873:$AJ1873,"TR"))</f>
        <v/>
      </c>
      <c r="AX1873" s="35" t="str">
        <f aca="false">IF($B1873="","",AO1873+AS1873/2)</f>
        <v/>
      </c>
      <c r="AY1873" s="35" t="str">
        <f aca="false">IF($B1873="","",AQ1873)</f>
        <v/>
      </c>
      <c r="AZ1873" s="35" t="str">
        <f aca="false">IF($B1873="","",AP1873+AT1873/2)</f>
        <v/>
      </c>
      <c r="BA1873" s="35" t="str">
        <f aca="false">IF($B1873="","",AK1873+AN1873+AM1873/2+AO1873+AP1873+AQ1873+AR1873+AS1873+AT1873+AU1873+AV1873+AW1873)</f>
        <v/>
      </c>
      <c r="BB1873" s="35" t="str">
        <f aca="false">IF($B1873="","",MAX(0,AN1873-Settings!$C$16)*Settings!$C$17)</f>
        <v/>
      </c>
      <c r="BC1873" s="35" t="str">
        <f aca="false">IF($B1873="","",BA1873-BB1873)</f>
        <v/>
      </c>
      <c r="BD1873" s="35" t="str">
        <f aca="false">IF(OR($B1873="",$A1873=""),"",DAY(EOMONTH($A1873,0))-COUNTA($F1873:$AJ1873))</f>
        <v/>
      </c>
    </row>
    <row r="1874" customFormat="false" ht="15" hidden="false" customHeight="false" outlineLevel="0" collapsed="false">
      <c r="A1874" s="32"/>
      <c r="B1874" s="29"/>
      <c r="C1874" s="10" t="str">
        <f aca="false">IF($B1874="","",IFERROR(INDEX(M_name,MATCH($B1874,M_emp,0)),"Code not found"))</f>
        <v/>
      </c>
      <c r="D1874" s="10" t="str">
        <f aca="false">IF($B1874="","",IFERROR(INDEX(M_dept,MATCH($B1874,M_emp,0)),""))</f>
        <v/>
      </c>
      <c r="E1874" s="10" t="str">
        <f aca="false">IF($B1874="","",IFERROR(INDEX(M_loc,MATCH($B1874,M_emp,0)),""))</f>
        <v/>
      </c>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c r="AB1874" s="33"/>
      <c r="AC1874" s="33"/>
      <c r="AD1874" s="33"/>
      <c r="AE1874" s="33"/>
      <c r="AF1874" s="33"/>
      <c r="AG1874" s="33"/>
      <c r="AH1874" s="33"/>
      <c r="AI1874" s="33"/>
      <c r="AJ1874" s="33"/>
      <c r="AK1874" s="34" t="str">
        <f aca="false">IF($B1874="","",COUNTIF($F1874:$AJ1874,"P"))</f>
        <v/>
      </c>
      <c r="AL1874" s="34" t="str">
        <f aca="false">IF($B1874="","",COUNTIF($F1874:$AJ1874,"A"))</f>
        <v/>
      </c>
      <c r="AM1874" s="34" t="str">
        <f aca="false">IF($B1874="","",COUNTIF($F1874:$AJ1874,"HA"))</f>
        <v/>
      </c>
      <c r="AN1874" s="34" t="str">
        <f aca="false">IF($B1874="","",COUNTIF($F1874:$AJ1874,"L"))</f>
        <v/>
      </c>
      <c r="AO1874" s="34" t="str">
        <f aca="false">IF($B1874="","",COUNTIF($F1874:$AJ1874,"PL"))</f>
        <v/>
      </c>
      <c r="AP1874" s="34" t="str">
        <f aca="false">IF($B1874="","",COUNTIF($F1874:$AJ1874,"CL"))</f>
        <v/>
      </c>
      <c r="AQ1874" s="34" t="str">
        <f aca="false">IF($B1874="","",COUNTIF($F1874:$AJ1874,"SL"))</f>
        <v/>
      </c>
      <c r="AR1874" s="34" t="str">
        <f aca="false">IF($B1874="","",COUNTIF($F1874:$AJ1874,"CO"))</f>
        <v/>
      </c>
      <c r="AS1874" s="34" t="str">
        <f aca="false">IF($B1874="","",COUNTIF($F1874:$AJ1874,"HPL"))</f>
        <v/>
      </c>
      <c r="AT1874" s="34" t="str">
        <f aca="false">IF($B1874="","",COUNTIF($F1874:$AJ1874,"HCL"))</f>
        <v/>
      </c>
      <c r="AU1874" s="34" t="str">
        <f aca="false">IF($B1874="","",COUNTIF($F1874:$AJ1874,"WO"))</f>
        <v/>
      </c>
      <c r="AV1874" s="34" t="str">
        <f aca="false">IF($B1874="","",COUNTIF($F1874:$AJ1874,"PH"))</f>
        <v/>
      </c>
      <c r="AW1874" s="34" t="str">
        <f aca="false">IF($B1874="","",COUNTIF($F1874:$AJ1874,"TR"))</f>
        <v/>
      </c>
      <c r="AX1874" s="35" t="str">
        <f aca="false">IF($B1874="","",AO1874+AS1874/2)</f>
        <v/>
      </c>
      <c r="AY1874" s="35" t="str">
        <f aca="false">IF($B1874="","",AQ1874)</f>
        <v/>
      </c>
      <c r="AZ1874" s="35" t="str">
        <f aca="false">IF($B1874="","",AP1874+AT1874/2)</f>
        <v/>
      </c>
      <c r="BA1874" s="35" t="str">
        <f aca="false">IF($B1874="","",AK1874+AN1874+AM1874/2+AO1874+AP1874+AQ1874+AR1874+AS1874+AT1874+AU1874+AV1874+AW1874)</f>
        <v/>
      </c>
      <c r="BB1874" s="35" t="str">
        <f aca="false">IF($B1874="","",MAX(0,AN1874-Settings!$C$16)*Settings!$C$17)</f>
        <v/>
      </c>
      <c r="BC1874" s="35" t="str">
        <f aca="false">IF($B1874="","",BA1874-BB1874)</f>
        <v/>
      </c>
      <c r="BD1874" s="35" t="str">
        <f aca="false">IF(OR($B1874="",$A1874=""),"",DAY(EOMONTH($A1874,0))-COUNTA($F1874:$AJ1874))</f>
        <v/>
      </c>
    </row>
    <row r="1875" customFormat="false" ht="15" hidden="false" customHeight="false" outlineLevel="0" collapsed="false">
      <c r="A1875" s="32"/>
      <c r="B1875" s="29"/>
      <c r="C1875" s="10" t="str">
        <f aca="false">IF($B1875="","",IFERROR(INDEX(M_name,MATCH($B1875,M_emp,0)),"Code not found"))</f>
        <v/>
      </c>
      <c r="D1875" s="10" t="str">
        <f aca="false">IF($B1875="","",IFERROR(INDEX(M_dept,MATCH($B1875,M_emp,0)),""))</f>
        <v/>
      </c>
      <c r="E1875" s="10" t="str">
        <f aca="false">IF($B1875="","",IFERROR(INDEX(M_loc,MATCH($B1875,M_emp,0)),""))</f>
        <v/>
      </c>
      <c r="F1875" s="33"/>
      <c r="G1875" s="33"/>
      <c r="H1875" s="33"/>
      <c r="I1875" s="33"/>
      <c r="J1875" s="33"/>
      <c r="K1875" s="33"/>
      <c r="L1875" s="33"/>
      <c r="M1875" s="33"/>
      <c r="N1875" s="33"/>
      <c r="O1875" s="33"/>
      <c r="P1875" s="33"/>
      <c r="Q1875" s="33"/>
      <c r="R1875" s="33"/>
      <c r="S1875" s="33"/>
      <c r="T1875" s="33"/>
      <c r="U1875" s="33"/>
      <c r="V1875" s="33"/>
      <c r="W1875" s="33"/>
      <c r="X1875" s="33"/>
      <c r="Y1875" s="33"/>
      <c r="Z1875" s="33"/>
      <c r="AA1875" s="33"/>
      <c r="AB1875" s="33"/>
      <c r="AC1875" s="33"/>
      <c r="AD1875" s="33"/>
      <c r="AE1875" s="33"/>
      <c r="AF1875" s="33"/>
      <c r="AG1875" s="33"/>
      <c r="AH1875" s="33"/>
      <c r="AI1875" s="33"/>
      <c r="AJ1875" s="33"/>
      <c r="AK1875" s="34" t="str">
        <f aca="false">IF($B1875="","",COUNTIF($F1875:$AJ1875,"P"))</f>
        <v/>
      </c>
      <c r="AL1875" s="34" t="str">
        <f aca="false">IF($B1875="","",COUNTIF($F1875:$AJ1875,"A"))</f>
        <v/>
      </c>
      <c r="AM1875" s="34" t="str">
        <f aca="false">IF($B1875="","",COUNTIF($F1875:$AJ1875,"HA"))</f>
        <v/>
      </c>
      <c r="AN1875" s="34" t="str">
        <f aca="false">IF($B1875="","",COUNTIF($F1875:$AJ1875,"L"))</f>
        <v/>
      </c>
      <c r="AO1875" s="34" t="str">
        <f aca="false">IF($B1875="","",COUNTIF($F1875:$AJ1875,"PL"))</f>
        <v/>
      </c>
      <c r="AP1875" s="34" t="str">
        <f aca="false">IF($B1875="","",COUNTIF($F1875:$AJ1875,"CL"))</f>
        <v/>
      </c>
      <c r="AQ1875" s="34" t="str">
        <f aca="false">IF($B1875="","",COUNTIF($F1875:$AJ1875,"SL"))</f>
        <v/>
      </c>
      <c r="AR1875" s="34" t="str">
        <f aca="false">IF($B1875="","",COUNTIF($F1875:$AJ1875,"CO"))</f>
        <v/>
      </c>
      <c r="AS1875" s="34" t="str">
        <f aca="false">IF($B1875="","",COUNTIF($F1875:$AJ1875,"HPL"))</f>
        <v/>
      </c>
      <c r="AT1875" s="34" t="str">
        <f aca="false">IF($B1875="","",COUNTIF($F1875:$AJ1875,"HCL"))</f>
        <v/>
      </c>
      <c r="AU1875" s="34" t="str">
        <f aca="false">IF($B1875="","",COUNTIF($F1875:$AJ1875,"WO"))</f>
        <v/>
      </c>
      <c r="AV1875" s="34" t="str">
        <f aca="false">IF($B1875="","",COUNTIF($F1875:$AJ1875,"PH"))</f>
        <v/>
      </c>
      <c r="AW1875" s="34" t="str">
        <f aca="false">IF($B1875="","",COUNTIF($F1875:$AJ1875,"TR"))</f>
        <v/>
      </c>
      <c r="AX1875" s="35" t="str">
        <f aca="false">IF($B1875="","",AO1875+AS1875/2)</f>
        <v/>
      </c>
      <c r="AY1875" s="35" t="str">
        <f aca="false">IF($B1875="","",AQ1875)</f>
        <v/>
      </c>
      <c r="AZ1875" s="35" t="str">
        <f aca="false">IF($B1875="","",AP1875+AT1875/2)</f>
        <v/>
      </c>
      <c r="BA1875" s="35" t="str">
        <f aca="false">IF($B1875="","",AK1875+AN1875+AM1875/2+AO1875+AP1875+AQ1875+AR1875+AS1875+AT1875+AU1875+AV1875+AW1875)</f>
        <v/>
      </c>
      <c r="BB1875" s="35" t="str">
        <f aca="false">IF($B1875="","",MAX(0,AN1875-Settings!$C$16)*Settings!$C$17)</f>
        <v/>
      </c>
      <c r="BC1875" s="35" t="str">
        <f aca="false">IF($B1875="","",BA1875-BB1875)</f>
        <v/>
      </c>
      <c r="BD1875" s="35" t="str">
        <f aca="false">IF(OR($B1875="",$A1875=""),"",DAY(EOMONTH($A1875,0))-COUNTA($F1875:$AJ1875))</f>
        <v/>
      </c>
    </row>
    <row r="1876" customFormat="false" ht="15" hidden="false" customHeight="false" outlineLevel="0" collapsed="false">
      <c r="A1876" s="32"/>
      <c r="B1876" s="29"/>
      <c r="C1876" s="10" t="str">
        <f aca="false">IF($B1876="","",IFERROR(INDEX(M_name,MATCH($B1876,M_emp,0)),"Code not found"))</f>
        <v/>
      </c>
      <c r="D1876" s="10" t="str">
        <f aca="false">IF($B1876="","",IFERROR(INDEX(M_dept,MATCH($B1876,M_emp,0)),""))</f>
        <v/>
      </c>
      <c r="E1876" s="10" t="str">
        <f aca="false">IF($B1876="","",IFERROR(INDEX(M_loc,MATCH($B1876,M_emp,0)),""))</f>
        <v/>
      </c>
      <c r="F1876" s="33"/>
      <c r="G1876" s="33"/>
      <c r="H1876" s="33"/>
      <c r="I1876" s="33"/>
      <c r="J1876" s="33"/>
      <c r="K1876" s="33"/>
      <c r="L1876" s="33"/>
      <c r="M1876" s="33"/>
      <c r="N1876" s="33"/>
      <c r="O1876" s="33"/>
      <c r="P1876" s="33"/>
      <c r="Q1876" s="33"/>
      <c r="R1876" s="33"/>
      <c r="S1876" s="33"/>
      <c r="T1876" s="33"/>
      <c r="U1876" s="33"/>
      <c r="V1876" s="33"/>
      <c r="W1876" s="33"/>
      <c r="X1876" s="33"/>
      <c r="Y1876" s="33"/>
      <c r="Z1876" s="33"/>
      <c r="AA1876" s="33"/>
      <c r="AB1876" s="33"/>
      <c r="AC1876" s="33"/>
      <c r="AD1876" s="33"/>
      <c r="AE1876" s="33"/>
      <c r="AF1876" s="33"/>
      <c r="AG1876" s="33"/>
      <c r="AH1876" s="33"/>
      <c r="AI1876" s="33"/>
      <c r="AJ1876" s="33"/>
      <c r="AK1876" s="34" t="str">
        <f aca="false">IF($B1876="","",COUNTIF($F1876:$AJ1876,"P"))</f>
        <v/>
      </c>
      <c r="AL1876" s="34" t="str">
        <f aca="false">IF($B1876="","",COUNTIF($F1876:$AJ1876,"A"))</f>
        <v/>
      </c>
      <c r="AM1876" s="34" t="str">
        <f aca="false">IF($B1876="","",COUNTIF($F1876:$AJ1876,"HA"))</f>
        <v/>
      </c>
      <c r="AN1876" s="34" t="str">
        <f aca="false">IF($B1876="","",COUNTIF($F1876:$AJ1876,"L"))</f>
        <v/>
      </c>
      <c r="AO1876" s="34" t="str">
        <f aca="false">IF($B1876="","",COUNTIF($F1876:$AJ1876,"PL"))</f>
        <v/>
      </c>
      <c r="AP1876" s="34" t="str">
        <f aca="false">IF($B1876="","",COUNTIF($F1876:$AJ1876,"CL"))</f>
        <v/>
      </c>
      <c r="AQ1876" s="34" t="str">
        <f aca="false">IF($B1876="","",COUNTIF($F1876:$AJ1876,"SL"))</f>
        <v/>
      </c>
      <c r="AR1876" s="34" t="str">
        <f aca="false">IF($B1876="","",COUNTIF($F1876:$AJ1876,"CO"))</f>
        <v/>
      </c>
      <c r="AS1876" s="34" t="str">
        <f aca="false">IF($B1876="","",COUNTIF($F1876:$AJ1876,"HPL"))</f>
        <v/>
      </c>
      <c r="AT1876" s="34" t="str">
        <f aca="false">IF($B1876="","",COUNTIF($F1876:$AJ1876,"HCL"))</f>
        <v/>
      </c>
      <c r="AU1876" s="34" t="str">
        <f aca="false">IF($B1876="","",COUNTIF($F1876:$AJ1876,"WO"))</f>
        <v/>
      </c>
      <c r="AV1876" s="34" t="str">
        <f aca="false">IF($B1876="","",COUNTIF($F1876:$AJ1876,"PH"))</f>
        <v/>
      </c>
      <c r="AW1876" s="34" t="str">
        <f aca="false">IF($B1876="","",COUNTIF($F1876:$AJ1876,"TR"))</f>
        <v/>
      </c>
      <c r="AX1876" s="35" t="str">
        <f aca="false">IF($B1876="","",AO1876+AS1876/2)</f>
        <v/>
      </c>
      <c r="AY1876" s="35" t="str">
        <f aca="false">IF($B1876="","",AQ1876)</f>
        <v/>
      </c>
      <c r="AZ1876" s="35" t="str">
        <f aca="false">IF($B1876="","",AP1876+AT1876/2)</f>
        <v/>
      </c>
      <c r="BA1876" s="35" t="str">
        <f aca="false">IF($B1876="","",AK1876+AN1876+AM1876/2+AO1876+AP1876+AQ1876+AR1876+AS1876+AT1876+AU1876+AV1876+AW1876)</f>
        <v/>
      </c>
      <c r="BB1876" s="35" t="str">
        <f aca="false">IF($B1876="","",MAX(0,AN1876-Settings!$C$16)*Settings!$C$17)</f>
        <v/>
      </c>
      <c r="BC1876" s="35" t="str">
        <f aca="false">IF($B1876="","",BA1876-BB1876)</f>
        <v/>
      </c>
      <c r="BD1876" s="35" t="str">
        <f aca="false">IF(OR($B1876="",$A1876=""),"",DAY(EOMONTH($A1876,0))-COUNTA($F1876:$AJ1876))</f>
        <v/>
      </c>
    </row>
    <row r="1877" customFormat="false" ht="15" hidden="false" customHeight="false" outlineLevel="0" collapsed="false">
      <c r="A1877" s="32"/>
      <c r="B1877" s="29"/>
      <c r="C1877" s="10" t="str">
        <f aca="false">IF($B1877="","",IFERROR(INDEX(M_name,MATCH($B1877,M_emp,0)),"Code not found"))</f>
        <v/>
      </c>
      <c r="D1877" s="10" t="str">
        <f aca="false">IF($B1877="","",IFERROR(INDEX(M_dept,MATCH($B1877,M_emp,0)),""))</f>
        <v/>
      </c>
      <c r="E1877" s="10" t="str">
        <f aca="false">IF($B1877="","",IFERROR(INDEX(M_loc,MATCH($B1877,M_emp,0)),""))</f>
        <v/>
      </c>
      <c r="F1877" s="33"/>
      <c r="G1877" s="33"/>
      <c r="H1877" s="33"/>
      <c r="I1877" s="33"/>
      <c r="J1877" s="33"/>
      <c r="K1877" s="33"/>
      <c r="L1877" s="33"/>
      <c r="M1877" s="33"/>
      <c r="N1877" s="33"/>
      <c r="O1877" s="33"/>
      <c r="P1877" s="33"/>
      <c r="Q1877" s="33"/>
      <c r="R1877" s="33"/>
      <c r="S1877" s="33"/>
      <c r="T1877" s="33"/>
      <c r="U1877" s="33"/>
      <c r="V1877" s="33"/>
      <c r="W1877" s="33"/>
      <c r="X1877" s="33"/>
      <c r="Y1877" s="33"/>
      <c r="Z1877" s="33"/>
      <c r="AA1877" s="33"/>
      <c r="AB1877" s="33"/>
      <c r="AC1877" s="33"/>
      <c r="AD1877" s="33"/>
      <c r="AE1877" s="33"/>
      <c r="AF1877" s="33"/>
      <c r="AG1877" s="33"/>
      <c r="AH1877" s="33"/>
      <c r="AI1877" s="33"/>
      <c r="AJ1877" s="33"/>
      <c r="AK1877" s="34" t="str">
        <f aca="false">IF($B1877="","",COUNTIF($F1877:$AJ1877,"P"))</f>
        <v/>
      </c>
      <c r="AL1877" s="34" t="str">
        <f aca="false">IF($B1877="","",COUNTIF($F1877:$AJ1877,"A"))</f>
        <v/>
      </c>
      <c r="AM1877" s="34" t="str">
        <f aca="false">IF($B1877="","",COUNTIF($F1877:$AJ1877,"HA"))</f>
        <v/>
      </c>
      <c r="AN1877" s="34" t="str">
        <f aca="false">IF($B1877="","",COUNTIF($F1877:$AJ1877,"L"))</f>
        <v/>
      </c>
      <c r="AO1877" s="34" t="str">
        <f aca="false">IF($B1877="","",COUNTIF($F1877:$AJ1877,"PL"))</f>
        <v/>
      </c>
      <c r="AP1877" s="34" t="str">
        <f aca="false">IF($B1877="","",COUNTIF($F1877:$AJ1877,"CL"))</f>
        <v/>
      </c>
      <c r="AQ1877" s="34" t="str">
        <f aca="false">IF($B1877="","",COUNTIF($F1877:$AJ1877,"SL"))</f>
        <v/>
      </c>
      <c r="AR1877" s="34" t="str">
        <f aca="false">IF($B1877="","",COUNTIF($F1877:$AJ1877,"CO"))</f>
        <v/>
      </c>
      <c r="AS1877" s="34" t="str">
        <f aca="false">IF($B1877="","",COUNTIF($F1877:$AJ1877,"HPL"))</f>
        <v/>
      </c>
      <c r="AT1877" s="34" t="str">
        <f aca="false">IF($B1877="","",COUNTIF($F1877:$AJ1877,"HCL"))</f>
        <v/>
      </c>
      <c r="AU1877" s="34" t="str">
        <f aca="false">IF($B1877="","",COUNTIF($F1877:$AJ1877,"WO"))</f>
        <v/>
      </c>
      <c r="AV1877" s="34" t="str">
        <f aca="false">IF($B1877="","",COUNTIF($F1877:$AJ1877,"PH"))</f>
        <v/>
      </c>
      <c r="AW1877" s="34" t="str">
        <f aca="false">IF($B1877="","",COUNTIF($F1877:$AJ1877,"TR"))</f>
        <v/>
      </c>
      <c r="AX1877" s="35" t="str">
        <f aca="false">IF($B1877="","",AO1877+AS1877/2)</f>
        <v/>
      </c>
      <c r="AY1877" s="35" t="str">
        <f aca="false">IF($B1877="","",AQ1877)</f>
        <v/>
      </c>
      <c r="AZ1877" s="35" t="str">
        <f aca="false">IF($B1877="","",AP1877+AT1877/2)</f>
        <v/>
      </c>
      <c r="BA1877" s="35" t="str">
        <f aca="false">IF($B1877="","",AK1877+AN1877+AM1877/2+AO1877+AP1877+AQ1877+AR1877+AS1877+AT1877+AU1877+AV1877+AW1877)</f>
        <v/>
      </c>
      <c r="BB1877" s="35" t="str">
        <f aca="false">IF($B1877="","",MAX(0,AN1877-Settings!$C$16)*Settings!$C$17)</f>
        <v/>
      </c>
      <c r="BC1877" s="35" t="str">
        <f aca="false">IF($B1877="","",BA1877-BB1877)</f>
        <v/>
      </c>
      <c r="BD1877" s="35" t="str">
        <f aca="false">IF(OR($B1877="",$A1877=""),"",DAY(EOMONTH($A1877,0))-COUNTA($F1877:$AJ1877))</f>
        <v/>
      </c>
    </row>
    <row r="1878" customFormat="false" ht="15" hidden="false" customHeight="false" outlineLevel="0" collapsed="false">
      <c r="A1878" s="32"/>
      <c r="B1878" s="29"/>
      <c r="C1878" s="10" t="str">
        <f aca="false">IF($B1878="","",IFERROR(INDEX(M_name,MATCH($B1878,M_emp,0)),"Code not found"))</f>
        <v/>
      </c>
      <c r="D1878" s="10" t="str">
        <f aca="false">IF($B1878="","",IFERROR(INDEX(M_dept,MATCH($B1878,M_emp,0)),""))</f>
        <v/>
      </c>
      <c r="E1878" s="10" t="str">
        <f aca="false">IF($B1878="","",IFERROR(INDEX(M_loc,MATCH($B1878,M_emp,0)),""))</f>
        <v/>
      </c>
      <c r="F1878" s="33"/>
      <c r="G1878" s="33"/>
      <c r="H1878" s="33"/>
      <c r="I1878" s="33"/>
      <c r="J1878" s="33"/>
      <c r="K1878" s="33"/>
      <c r="L1878" s="33"/>
      <c r="M1878" s="33"/>
      <c r="N1878" s="33"/>
      <c r="O1878" s="33"/>
      <c r="P1878" s="33"/>
      <c r="Q1878" s="33"/>
      <c r="R1878" s="33"/>
      <c r="S1878" s="33"/>
      <c r="T1878" s="33"/>
      <c r="U1878" s="33"/>
      <c r="V1878" s="33"/>
      <c r="W1878" s="33"/>
      <c r="X1878" s="33"/>
      <c r="Y1878" s="33"/>
      <c r="Z1878" s="33"/>
      <c r="AA1878" s="33"/>
      <c r="AB1878" s="33"/>
      <c r="AC1878" s="33"/>
      <c r="AD1878" s="33"/>
      <c r="AE1878" s="33"/>
      <c r="AF1878" s="33"/>
      <c r="AG1878" s="33"/>
      <c r="AH1878" s="33"/>
      <c r="AI1878" s="33"/>
      <c r="AJ1878" s="33"/>
      <c r="AK1878" s="34" t="str">
        <f aca="false">IF($B1878="","",COUNTIF($F1878:$AJ1878,"P"))</f>
        <v/>
      </c>
      <c r="AL1878" s="34" t="str">
        <f aca="false">IF($B1878="","",COUNTIF($F1878:$AJ1878,"A"))</f>
        <v/>
      </c>
      <c r="AM1878" s="34" t="str">
        <f aca="false">IF($B1878="","",COUNTIF($F1878:$AJ1878,"HA"))</f>
        <v/>
      </c>
      <c r="AN1878" s="34" t="str">
        <f aca="false">IF($B1878="","",COUNTIF($F1878:$AJ1878,"L"))</f>
        <v/>
      </c>
      <c r="AO1878" s="34" t="str">
        <f aca="false">IF($B1878="","",COUNTIF($F1878:$AJ1878,"PL"))</f>
        <v/>
      </c>
      <c r="AP1878" s="34" t="str">
        <f aca="false">IF($B1878="","",COUNTIF($F1878:$AJ1878,"CL"))</f>
        <v/>
      </c>
      <c r="AQ1878" s="34" t="str">
        <f aca="false">IF($B1878="","",COUNTIF($F1878:$AJ1878,"SL"))</f>
        <v/>
      </c>
      <c r="AR1878" s="34" t="str">
        <f aca="false">IF($B1878="","",COUNTIF($F1878:$AJ1878,"CO"))</f>
        <v/>
      </c>
      <c r="AS1878" s="34" t="str">
        <f aca="false">IF($B1878="","",COUNTIF($F1878:$AJ1878,"HPL"))</f>
        <v/>
      </c>
      <c r="AT1878" s="34" t="str">
        <f aca="false">IF($B1878="","",COUNTIF($F1878:$AJ1878,"HCL"))</f>
        <v/>
      </c>
      <c r="AU1878" s="34" t="str">
        <f aca="false">IF($B1878="","",COUNTIF($F1878:$AJ1878,"WO"))</f>
        <v/>
      </c>
      <c r="AV1878" s="34" t="str">
        <f aca="false">IF($B1878="","",COUNTIF($F1878:$AJ1878,"PH"))</f>
        <v/>
      </c>
      <c r="AW1878" s="34" t="str">
        <f aca="false">IF($B1878="","",COUNTIF($F1878:$AJ1878,"TR"))</f>
        <v/>
      </c>
      <c r="AX1878" s="35" t="str">
        <f aca="false">IF($B1878="","",AO1878+AS1878/2)</f>
        <v/>
      </c>
      <c r="AY1878" s="35" t="str">
        <f aca="false">IF($B1878="","",AQ1878)</f>
        <v/>
      </c>
      <c r="AZ1878" s="35" t="str">
        <f aca="false">IF($B1878="","",AP1878+AT1878/2)</f>
        <v/>
      </c>
      <c r="BA1878" s="35" t="str">
        <f aca="false">IF($B1878="","",AK1878+AN1878+AM1878/2+AO1878+AP1878+AQ1878+AR1878+AS1878+AT1878+AU1878+AV1878+AW1878)</f>
        <v/>
      </c>
      <c r="BB1878" s="35" t="str">
        <f aca="false">IF($B1878="","",MAX(0,AN1878-Settings!$C$16)*Settings!$C$17)</f>
        <v/>
      </c>
      <c r="BC1878" s="35" t="str">
        <f aca="false">IF($B1878="","",BA1878-BB1878)</f>
        <v/>
      </c>
      <c r="BD1878" s="35" t="str">
        <f aca="false">IF(OR($B1878="",$A1878=""),"",DAY(EOMONTH($A1878,0))-COUNTA($F1878:$AJ1878))</f>
        <v/>
      </c>
    </row>
    <row r="1879" customFormat="false" ht="15" hidden="false" customHeight="false" outlineLevel="0" collapsed="false">
      <c r="A1879" s="32"/>
      <c r="B1879" s="29"/>
      <c r="C1879" s="10" t="str">
        <f aca="false">IF($B1879="","",IFERROR(INDEX(M_name,MATCH($B1879,M_emp,0)),"Code not found"))</f>
        <v/>
      </c>
      <c r="D1879" s="10" t="str">
        <f aca="false">IF($B1879="","",IFERROR(INDEX(M_dept,MATCH($B1879,M_emp,0)),""))</f>
        <v/>
      </c>
      <c r="E1879" s="10" t="str">
        <f aca="false">IF($B1879="","",IFERROR(INDEX(M_loc,MATCH($B1879,M_emp,0)),""))</f>
        <v/>
      </c>
      <c r="F1879" s="33"/>
      <c r="G1879" s="33"/>
      <c r="H1879" s="33"/>
      <c r="I1879" s="33"/>
      <c r="J1879" s="33"/>
      <c r="K1879" s="33"/>
      <c r="L1879" s="33"/>
      <c r="M1879" s="33"/>
      <c r="N1879" s="33"/>
      <c r="O1879" s="33"/>
      <c r="P1879" s="33"/>
      <c r="Q1879" s="33"/>
      <c r="R1879" s="33"/>
      <c r="S1879" s="33"/>
      <c r="T1879" s="33"/>
      <c r="U1879" s="33"/>
      <c r="V1879" s="33"/>
      <c r="W1879" s="33"/>
      <c r="X1879" s="33"/>
      <c r="Y1879" s="33"/>
      <c r="Z1879" s="33"/>
      <c r="AA1879" s="33"/>
      <c r="AB1879" s="33"/>
      <c r="AC1879" s="33"/>
      <c r="AD1879" s="33"/>
      <c r="AE1879" s="33"/>
      <c r="AF1879" s="33"/>
      <c r="AG1879" s="33"/>
      <c r="AH1879" s="33"/>
      <c r="AI1879" s="33"/>
      <c r="AJ1879" s="33"/>
      <c r="AK1879" s="34" t="str">
        <f aca="false">IF($B1879="","",COUNTIF($F1879:$AJ1879,"P"))</f>
        <v/>
      </c>
      <c r="AL1879" s="34" t="str">
        <f aca="false">IF($B1879="","",COUNTIF($F1879:$AJ1879,"A"))</f>
        <v/>
      </c>
      <c r="AM1879" s="34" t="str">
        <f aca="false">IF($B1879="","",COUNTIF($F1879:$AJ1879,"HA"))</f>
        <v/>
      </c>
      <c r="AN1879" s="34" t="str">
        <f aca="false">IF($B1879="","",COUNTIF($F1879:$AJ1879,"L"))</f>
        <v/>
      </c>
      <c r="AO1879" s="34" t="str">
        <f aca="false">IF($B1879="","",COUNTIF($F1879:$AJ1879,"PL"))</f>
        <v/>
      </c>
      <c r="AP1879" s="34" t="str">
        <f aca="false">IF($B1879="","",COUNTIF($F1879:$AJ1879,"CL"))</f>
        <v/>
      </c>
      <c r="AQ1879" s="34" t="str">
        <f aca="false">IF($B1879="","",COUNTIF($F1879:$AJ1879,"SL"))</f>
        <v/>
      </c>
      <c r="AR1879" s="34" t="str">
        <f aca="false">IF($B1879="","",COUNTIF($F1879:$AJ1879,"CO"))</f>
        <v/>
      </c>
      <c r="AS1879" s="34" t="str">
        <f aca="false">IF($B1879="","",COUNTIF($F1879:$AJ1879,"HPL"))</f>
        <v/>
      </c>
      <c r="AT1879" s="34" t="str">
        <f aca="false">IF($B1879="","",COUNTIF($F1879:$AJ1879,"HCL"))</f>
        <v/>
      </c>
      <c r="AU1879" s="34" t="str">
        <f aca="false">IF($B1879="","",COUNTIF($F1879:$AJ1879,"WO"))</f>
        <v/>
      </c>
      <c r="AV1879" s="34" t="str">
        <f aca="false">IF($B1879="","",COUNTIF($F1879:$AJ1879,"PH"))</f>
        <v/>
      </c>
      <c r="AW1879" s="34" t="str">
        <f aca="false">IF($B1879="","",COUNTIF($F1879:$AJ1879,"TR"))</f>
        <v/>
      </c>
      <c r="AX1879" s="35" t="str">
        <f aca="false">IF($B1879="","",AO1879+AS1879/2)</f>
        <v/>
      </c>
      <c r="AY1879" s="35" t="str">
        <f aca="false">IF($B1879="","",AQ1879)</f>
        <v/>
      </c>
      <c r="AZ1879" s="35" t="str">
        <f aca="false">IF($B1879="","",AP1879+AT1879/2)</f>
        <v/>
      </c>
      <c r="BA1879" s="35" t="str">
        <f aca="false">IF($B1879="","",AK1879+AN1879+AM1879/2+AO1879+AP1879+AQ1879+AR1879+AS1879+AT1879+AU1879+AV1879+AW1879)</f>
        <v/>
      </c>
      <c r="BB1879" s="35" t="str">
        <f aca="false">IF($B1879="","",MAX(0,AN1879-Settings!$C$16)*Settings!$C$17)</f>
        <v/>
      </c>
      <c r="BC1879" s="35" t="str">
        <f aca="false">IF($B1879="","",BA1879-BB1879)</f>
        <v/>
      </c>
      <c r="BD1879" s="35" t="str">
        <f aca="false">IF(OR($B1879="",$A1879=""),"",DAY(EOMONTH($A1879,0))-COUNTA($F1879:$AJ1879))</f>
        <v/>
      </c>
    </row>
    <row r="1880" customFormat="false" ht="15" hidden="false" customHeight="false" outlineLevel="0" collapsed="false">
      <c r="A1880" s="32"/>
      <c r="B1880" s="29"/>
      <c r="C1880" s="10" t="str">
        <f aca="false">IF($B1880="","",IFERROR(INDEX(M_name,MATCH($B1880,M_emp,0)),"Code not found"))</f>
        <v/>
      </c>
      <c r="D1880" s="10" t="str">
        <f aca="false">IF($B1880="","",IFERROR(INDEX(M_dept,MATCH($B1880,M_emp,0)),""))</f>
        <v/>
      </c>
      <c r="E1880" s="10" t="str">
        <f aca="false">IF($B1880="","",IFERROR(INDEX(M_loc,MATCH($B1880,M_emp,0)),""))</f>
        <v/>
      </c>
      <c r="F1880" s="33"/>
      <c r="G1880" s="33"/>
      <c r="H1880" s="33"/>
      <c r="I1880" s="33"/>
      <c r="J1880" s="33"/>
      <c r="K1880" s="33"/>
      <c r="L1880" s="33"/>
      <c r="M1880" s="33"/>
      <c r="N1880" s="33"/>
      <c r="O1880" s="33"/>
      <c r="P1880" s="33"/>
      <c r="Q1880" s="33"/>
      <c r="R1880" s="33"/>
      <c r="S1880" s="33"/>
      <c r="T1880" s="33"/>
      <c r="U1880" s="33"/>
      <c r="V1880" s="33"/>
      <c r="W1880" s="33"/>
      <c r="X1880" s="33"/>
      <c r="Y1880" s="33"/>
      <c r="Z1880" s="33"/>
      <c r="AA1880" s="33"/>
      <c r="AB1880" s="33"/>
      <c r="AC1880" s="33"/>
      <c r="AD1880" s="33"/>
      <c r="AE1880" s="33"/>
      <c r="AF1880" s="33"/>
      <c r="AG1880" s="33"/>
      <c r="AH1880" s="33"/>
      <c r="AI1880" s="33"/>
      <c r="AJ1880" s="33"/>
      <c r="AK1880" s="34" t="str">
        <f aca="false">IF($B1880="","",COUNTIF($F1880:$AJ1880,"P"))</f>
        <v/>
      </c>
      <c r="AL1880" s="34" t="str">
        <f aca="false">IF($B1880="","",COUNTIF($F1880:$AJ1880,"A"))</f>
        <v/>
      </c>
      <c r="AM1880" s="34" t="str">
        <f aca="false">IF($B1880="","",COUNTIF($F1880:$AJ1880,"HA"))</f>
        <v/>
      </c>
      <c r="AN1880" s="34" t="str">
        <f aca="false">IF($B1880="","",COUNTIF($F1880:$AJ1880,"L"))</f>
        <v/>
      </c>
      <c r="AO1880" s="34" t="str">
        <f aca="false">IF($B1880="","",COUNTIF($F1880:$AJ1880,"PL"))</f>
        <v/>
      </c>
      <c r="AP1880" s="34" t="str">
        <f aca="false">IF($B1880="","",COUNTIF($F1880:$AJ1880,"CL"))</f>
        <v/>
      </c>
      <c r="AQ1880" s="34" t="str">
        <f aca="false">IF($B1880="","",COUNTIF($F1880:$AJ1880,"SL"))</f>
        <v/>
      </c>
      <c r="AR1880" s="34" t="str">
        <f aca="false">IF($B1880="","",COUNTIF($F1880:$AJ1880,"CO"))</f>
        <v/>
      </c>
      <c r="AS1880" s="34" t="str">
        <f aca="false">IF($B1880="","",COUNTIF($F1880:$AJ1880,"HPL"))</f>
        <v/>
      </c>
      <c r="AT1880" s="34" t="str">
        <f aca="false">IF($B1880="","",COUNTIF($F1880:$AJ1880,"HCL"))</f>
        <v/>
      </c>
      <c r="AU1880" s="34" t="str">
        <f aca="false">IF($B1880="","",COUNTIF($F1880:$AJ1880,"WO"))</f>
        <v/>
      </c>
      <c r="AV1880" s="34" t="str">
        <f aca="false">IF($B1880="","",COUNTIF($F1880:$AJ1880,"PH"))</f>
        <v/>
      </c>
      <c r="AW1880" s="34" t="str">
        <f aca="false">IF($B1880="","",COUNTIF($F1880:$AJ1880,"TR"))</f>
        <v/>
      </c>
      <c r="AX1880" s="35" t="str">
        <f aca="false">IF($B1880="","",AO1880+AS1880/2)</f>
        <v/>
      </c>
      <c r="AY1880" s="35" t="str">
        <f aca="false">IF($B1880="","",AQ1880)</f>
        <v/>
      </c>
      <c r="AZ1880" s="35" t="str">
        <f aca="false">IF($B1880="","",AP1880+AT1880/2)</f>
        <v/>
      </c>
      <c r="BA1880" s="35" t="str">
        <f aca="false">IF($B1880="","",AK1880+AN1880+AM1880/2+AO1880+AP1880+AQ1880+AR1880+AS1880+AT1880+AU1880+AV1880+AW1880)</f>
        <v/>
      </c>
      <c r="BB1880" s="35" t="str">
        <f aca="false">IF($B1880="","",MAX(0,AN1880-Settings!$C$16)*Settings!$C$17)</f>
        <v/>
      </c>
      <c r="BC1880" s="35" t="str">
        <f aca="false">IF($B1880="","",BA1880-BB1880)</f>
        <v/>
      </c>
      <c r="BD1880" s="35" t="str">
        <f aca="false">IF(OR($B1880="",$A1880=""),"",DAY(EOMONTH($A1880,0))-COUNTA($F1880:$AJ1880))</f>
        <v/>
      </c>
    </row>
    <row r="1881" customFormat="false" ht="15" hidden="false" customHeight="false" outlineLevel="0" collapsed="false">
      <c r="A1881" s="32"/>
      <c r="B1881" s="29"/>
      <c r="C1881" s="10" t="str">
        <f aca="false">IF($B1881="","",IFERROR(INDEX(M_name,MATCH($B1881,M_emp,0)),"Code not found"))</f>
        <v/>
      </c>
      <c r="D1881" s="10" t="str">
        <f aca="false">IF($B1881="","",IFERROR(INDEX(M_dept,MATCH($B1881,M_emp,0)),""))</f>
        <v/>
      </c>
      <c r="E1881" s="10" t="str">
        <f aca="false">IF($B1881="","",IFERROR(INDEX(M_loc,MATCH($B1881,M_emp,0)),""))</f>
        <v/>
      </c>
      <c r="F1881" s="33"/>
      <c r="G1881" s="33"/>
      <c r="H1881" s="33"/>
      <c r="I1881" s="33"/>
      <c r="J1881" s="33"/>
      <c r="K1881" s="33"/>
      <c r="L1881" s="33"/>
      <c r="M1881" s="33"/>
      <c r="N1881" s="33"/>
      <c r="O1881" s="33"/>
      <c r="P1881" s="33"/>
      <c r="Q1881" s="33"/>
      <c r="R1881" s="33"/>
      <c r="S1881" s="33"/>
      <c r="T1881" s="33"/>
      <c r="U1881" s="33"/>
      <c r="V1881" s="33"/>
      <c r="W1881" s="33"/>
      <c r="X1881" s="33"/>
      <c r="Y1881" s="33"/>
      <c r="Z1881" s="33"/>
      <c r="AA1881" s="33"/>
      <c r="AB1881" s="33"/>
      <c r="AC1881" s="33"/>
      <c r="AD1881" s="33"/>
      <c r="AE1881" s="33"/>
      <c r="AF1881" s="33"/>
      <c r="AG1881" s="33"/>
      <c r="AH1881" s="33"/>
      <c r="AI1881" s="33"/>
      <c r="AJ1881" s="33"/>
      <c r="AK1881" s="34" t="str">
        <f aca="false">IF($B1881="","",COUNTIF($F1881:$AJ1881,"P"))</f>
        <v/>
      </c>
      <c r="AL1881" s="34" t="str">
        <f aca="false">IF($B1881="","",COUNTIF($F1881:$AJ1881,"A"))</f>
        <v/>
      </c>
      <c r="AM1881" s="34" t="str">
        <f aca="false">IF($B1881="","",COUNTIF($F1881:$AJ1881,"HA"))</f>
        <v/>
      </c>
      <c r="AN1881" s="34" t="str">
        <f aca="false">IF($B1881="","",COUNTIF($F1881:$AJ1881,"L"))</f>
        <v/>
      </c>
      <c r="AO1881" s="34" t="str">
        <f aca="false">IF($B1881="","",COUNTIF($F1881:$AJ1881,"PL"))</f>
        <v/>
      </c>
      <c r="AP1881" s="34" t="str">
        <f aca="false">IF($B1881="","",COUNTIF($F1881:$AJ1881,"CL"))</f>
        <v/>
      </c>
      <c r="AQ1881" s="34" t="str">
        <f aca="false">IF($B1881="","",COUNTIF($F1881:$AJ1881,"SL"))</f>
        <v/>
      </c>
      <c r="AR1881" s="34" t="str">
        <f aca="false">IF($B1881="","",COUNTIF($F1881:$AJ1881,"CO"))</f>
        <v/>
      </c>
      <c r="AS1881" s="34" t="str">
        <f aca="false">IF($B1881="","",COUNTIF($F1881:$AJ1881,"HPL"))</f>
        <v/>
      </c>
      <c r="AT1881" s="34" t="str">
        <f aca="false">IF($B1881="","",COUNTIF($F1881:$AJ1881,"HCL"))</f>
        <v/>
      </c>
      <c r="AU1881" s="34" t="str">
        <f aca="false">IF($B1881="","",COUNTIF($F1881:$AJ1881,"WO"))</f>
        <v/>
      </c>
      <c r="AV1881" s="34" t="str">
        <f aca="false">IF($B1881="","",COUNTIF($F1881:$AJ1881,"PH"))</f>
        <v/>
      </c>
      <c r="AW1881" s="34" t="str">
        <f aca="false">IF($B1881="","",COUNTIF($F1881:$AJ1881,"TR"))</f>
        <v/>
      </c>
      <c r="AX1881" s="35" t="str">
        <f aca="false">IF($B1881="","",AO1881+AS1881/2)</f>
        <v/>
      </c>
      <c r="AY1881" s="35" t="str">
        <f aca="false">IF($B1881="","",AQ1881)</f>
        <v/>
      </c>
      <c r="AZ1881" s="35" t="str">
        <f aca="false">IF($B1881="","",AP1881+AT1881/2)</f>
        <v/>
      </c>
      <c r="BA1881" s="35" t="str">
        <f aca="false">IF($B1881="","",AK1881+AN1881+AM1881/2+AO1881+AP1881+AQ1881+AR1881+AS1881+AT1881+AU1881+AV1881+AW1881)</f>
        <v/>
      </c>
      <c r="BB1881" s="35" t="str">
        <f aca="false">IF($B1881="","",MAX(0,AN1881-Settings!$C$16)*Settings!$C$17)</f>
        <v/>
      </c>
      <c r="BC1881" s="35" t="str">
        <f aca="false">IF($B1881="","",BA1881-BB1881)</f>
        <v/>
      </c>
      <c r="BD1881" s="35" t="str">
        <f aca="false">IF(OR($B1881="",$A1881=""),"",DAY(EOMONTH($A1881,0))-COUNTA($F1881:$AJ1881))</f>
        <v/>
      </c>
    </row>
    <row r="1882" customFormat="false" ht="15" hidden="false" customHeight="false" outlineLevel="0" collapsed="false">
      <c r="A1882" s="32"/>
      <c r="B1882" s="29"/>
      <c r="C1882" s="10" t="str">
        <f aca="false">IF($B1882="","",IFERROR(INDEX(M_name,MATCH($B1882,M_emp,0)),"Code not found"))</f>
        <v/>
      </c>
      <c r="D1882" s="10" t="str">
        <f aca="false">IF($B1882="","",IFERROR(INDEX(M_dept,MATCH($B1882,M_emp,0)),""))</f>
        <v/>
      </c>
      <c r="E1882" s="10" t="str">
        <f aca="false">IF($B1882="","",IFERROR(INDEX(M_loc,MATCH($B1882,M_emp,0)),""))</f>
        <v/>
      </c>
      <c r="F1882" s="33"/>
      <c r="G1882" s="33"/>
      <c r="H1882" s="33"/>
      <c r="I1882" s="33"/>
      <c r="J1882" s="33"/>
      <c r="K1882" s="33"/>
      <c r="L1882" s="33"/>
      <c r="M1882" s="33"/>
      <c r="N1882" s="33"/>
      <c r="O1882" s="33"/>
      <c r="P1882" s="33"/>
      <c r="Q1882" s="33"/>
      <c r="R1882" s="33"/>
      <c r="S1882" s="33"/>
      <c r="T1882" s="33"/>
      <c r="U1882" s="33"/>
      <c r="V1882" s="33"/>
      <c r="W1882" s="33"/>
      <c r="X1882" s="33"/>
      <c r="Y1882" s="33"/>
      <c r="Z1882" s="33"/>
      <c r="AA1882" s="33"/>
      <c r="AB1882" s="33"/>
      <c r="AC1882" s="33"/>
      <c r="AD1882" s="33"/>
      <c r="AE1882" s="33"/>
      <c r="AF1882" s="33"/>
      <c r="AG1882" s="33"/>
      <c r="AH1882" s="33"/>
      <c r="AI1882" s="33"/>
      <c r="AJ1882" s="33"/>
      <c r="AK1882" s="34" t="str">
        <f aca="false">IF($B1882="","",COUNTIF($F1882:$AJ1882,"P"))</f>
        <v/>
      </c>
      <c r="AL1882" s="34" t="str">
        <f aca="false">IF($B1882="","",COUNTIF($F1882:$AJ1882,"A"))</f>
        <v/>
      </c>
      <c r="AM1882" s="34" t="str">
        <f aca="false">IF($B1882="","",COUNTIF($F1882:$AJ1882,"HA"))</f>
        <v/>
      </c>
      <c r="AN1882" s="34" t="str">
        <f aca="false">IF($B1882="","",COUNTIF($F1882:$AJ1882,"L"))</f>
        <v/>
      </c>
      <c r="AO1882" s="34" t="str">
        <f aca="false">IF($B1882="","",COUNTIF($F1882:$AJ1882,"PL"))</f>
        <v/>
      </c>
      <c r="AP1882" s="34" t="str">
        <f aca="false">IF($B1882="","",COUNTIF($F1882:$AJ1882,"CL"))</f>
        <v/>
      </c>
      <c r="AQ1882" s="34" t="str">
        <f aca="false">IF($B1882="","",COUNTIF($F1882:$AJ1882,"SL"))</f>
        <v/>
      </c>
      <c r="AR1882" s="34" t="str">
        <f aca="false">IF($B1882="","",COUNTIF($F1882:$AJ1882,"CO"))</f>
        <v/>
      </c>
      <c r="AS1882" s="34" t="str">
        <f aca="false">IF($B1882="","",COUNTIF($F1882:$AJ1882,"HPL"))</f>
        <v/>
      </c>
      <c r="AT1882" s="34" t="str">
        <f aca="false">IF($B1882="","",COUNTIF($F1882:$AJ1882,"HCL"))</f>
        <v/>
      </c>
      <c r="AU1882" s="34" t="str">
        <f aca="false">IF($B1882="","",COUNTIF($F1882:$AJ1882,"WO"))</f>
        <v/>
      </c>
      <c r="AV1882" s="34" t="str">
        <f aca="false">IF($B1882="","",COUNTIF($F1882:$AJ1882,"PH"))</f>
        <v/>
      </c>
      <c r="AW1882" s="34" t="str">
        <f aca="false">IF($B1882="","",COUNTIF($F1882:$AJ1882,"TR"))</f>
        <v/>
      </c>
      <c r="AX1882" s="35" t="str">
        <f aca="false">IF($B1882="","",AO1882+AS1882/2)</f>
        <v/>
      </c>
      <c r="AY1882" s="35" t="str">
        <f aca="false">IF($B1882="","",AQ1882)</f>
        <v/>
      </c>
      <c r="AZ1882" s="35" t="str">
        <f aca="false">IF($B1882="","",AP1882+AT1882/2)</f>
        <v/>
      </c>
      <c r="BA1882" s="35" t="str">
        <f aca="false">IF($B1882="","",AK1882+AN1882+AM1882/2+AO1882+AP1882+AQ1882+AR1882+AS1882+AT1882+AU1882+AV1882+AW1882)</f>
        <v/>
      </c>
      <c r="BB1882" s="35" t="str">
        <f aca="false">IF($B1882="","",MAX(0,AN1882-Settings!$C$16)*Settings!$C$17)</f>
        <v/>
      </c>
      <c r="BC1882" s="35" t="str">
        <f aca="false">IF($B1882="","",BA1882-BB1882)</f>
        <v/>
      </c>
      <c r="BD1882" s="35" t="str">
        <f aca="false">IF(OR($B1882="",$A1882=""),"",DAY(EOMONTH($A1882,0))-COUNTA($F1882:$AJ1882))</f>
        <v/>
      </c>
    </row>
    <row r="1883" customFormat="false" ht="15" hidden="false" customHeight="false" outlineLevel="0" collapsed="false">
      <c r="A1883" s="32"/>
      <c r="B1883" s="29"/>
      <c r="C1883" s="10" t="str">
        <f aca="false">IF($B1883="","",IFERROR(INDEX(M_name,MATCH($B1883,M_emp,0)),"Code not found"))</f>
        <v/>
      </c>
      <c r="D1883" s="10" t="str">
        <f aca="false">IF($B1883="","",IFERROR(INDEX(M_dept,MATCH($B1883,M_emp,0)),""))</f>
        <v/>
      </c>
      <c r="E1883" s="10" t="str">
        <f aca="false">IF($B1883="","",IFERROR(INDEX(M_loc,MATCH($B1883,M_emp,0)),""))</f>
        <v/>
      </c>
      <c r="F1883" s="33"/>
      <c r="G1883" s="33"/>
      <c r="H1883" s="33"/>
      <c r="I1883" s="33"/>
      <c r="J1883" s="33"/>
      <c r="K1883" s="33"/>
      <c r="L1883" s="33"/>
      <c r="M1883" s="33"/>
      <c r="N1883" s="33"/>
      <c r="O1883" s="33"/>
      <c r="P1883" s="33"/>
      <c r="Q1883" s="33"/>
      <c r="R1883" s="33"/>
      <c r="S1883" s="33"/>
      <c r="T1883" s="33"/>
      <c r="U1883" s="33"/>
      <c r="V1883" s="33"/>
      <c r="W1883" s="33"/>
      <c r="X1883" s="33"/>
      <c r="Y1883" s="33"/>
      <c r="Z1883" s="33"/>
      <c r="AA1883" s="33"/>
      <c r="AB1883" s="33"/>
      <c r="AC1883" s="33"/>
      <c r="AD1883" s="33"/>
      <c r="AE1883" s="33"/>
      <c r="AF1883" s="33"/>
      <c r="AG1883" s="33"/>
      <c r="AH1883" s="33"/>
      <c r="AI1883" s="33"/>
      <c r="AJ1883" s="33"/>
      <c r="AK1883" s="34" t="str">
        <f aca="false">IF($B1883="","",COUNTIF($F1883:$AJ1883,"P"))</f>
        <v/>
      </c>
      <c r="AL1883" s="34" t="str">
        <f aca="false">IF($B1883="","",COUNTIF($F1883:$AJ1883,"A"))</f>
        <v/>
      </c>
      <c r="AM1883" s="34" t="str">
        <f aca="false">IF($B1883="","",COUNTIF($F1883:$AJ1883,"HA"))</f>
        <v/>
      </c>
      <c r="AN1883" s="34" t="str">
        <f aca="false">IF($B1883="","",COUNTIF($F1883:$AJ1883,"L"))</f>
        <v/>
      </c>
      <c r="AO1883" s="34" t="str">
        <f aca="false">IF($B1883="","",COUNTIF($F1883:$AJ1883,"PL"))</f>
        <v/>
      </c>
      <c r="AP1883" s="34" t="str">
        <f aca="false">IF($B1883="","",COUNTIF($F1883:$AJ1883,"CL"))</f>
        <v/>
      </c>
      <c r="AQ1883" s="34" t="str">
        <f aca="false">IF($B1883="","",COUNTIF($F1883:$AJ1883,"SL"))</f>
        <v/>
      </c>
      <c r="AR1883" s="34" t="str">
        <f aca="false">IF($B1883="","",COUNTIF($F1883:$AJ1883,"CO"))</f>
        <v/>
      </c>
      <c r="AS1883" s="34" t="str">
        <f aca="false">IF($B1883="","",COUNTIF($F1883:$AJ1883,"HPL"))</f>
        <v/>
      </c>
      <c r="AT1883" s="34" t="str">
        <f aca="false">IF($B1883="","",COUNTIF($F1883:$AJ1883,"HCL"))</f>
        <v/>
      </c>
      <c r="AU1883" s="34" t="str">
        <f aca="false">IF($B1883="","",COUNTIF($F1883:$AJ1883,"WO"))</f>
        <v/>
      </c>
      <c r="AV1883" s="34" t="str">
        <f aca="false">IF($B1883="","",COUNTIF($F1883:$AJ1883,"PH"))</f>
        <v/>
      </c>
      <c r="AW1883" s="34" t="str">
        <f aca="false">IF($B1883="","",COUNTIF($F1883:$AJ1883,"TR"))</f>
        <v/>
      </c>
      <c r="AX1883" s="35" t="str">
        <f aca="false">IF($B1883="","",AO1883+AS1883/2)</f>
        <v/>
      </c>
      <c r="AY1883" s="35" t="str">
        <f aca="false">IF($B1883="","",AQ1883)</f>
        <v/>
      </c>
      <c r="AZ1883" s="35" t="str">
        <f aca="false">IF($B1883="","",AP1883+AT1883/2)</f>
        <v/>
      </c>
      <c r="BA1883" s="35" t="str">
        <f aca="false">IF($B1883="","",AK1883+AN1883+AM1883/2+AO1883+AP1883+AQ1883+AR1883+AS1883+AT1883+AU1883+AV1883+AW1883)</f>
        <v/>
      </c>
      <c r="BB1883" s="35" t="str">
        <f aca="false">IF($B1883="","",MAX(0,AN1883-Settings!$C$16)*Settings!$C$17)</f>
        <v/>
      </c>
      <c r="BC1883" s="35" t="str">
        <f aca="false">IF($B1883="","",BA1883-BB1883)</f>
        <v/>
      </c>
      <c r="BD1883" s="35" t="str">
        <f aca="false">IF(OR($B1883="",$A1883=""),"",DAY(EOMONTH($A1883,0))-COUNTA($F1883:$AJ1883))</f>
        <v/>
      </c>
    </row>
    <row r="1884" customFormat="false" ht="15" hidden="false" customHeight="false" outlineLevel="0" collapsed="false">
      <c r="A1884" s="32"/>
      <c r="B1884" s="29"/>
      <c r="C1884" s="10" t="str">
        <f aca="false">IF($B1884="","",IFERROR(INDEX(M_name,MATCH($B1884,M_emp,0)),"Code not found"))</f>
        <v/>
      </c>
      <c r="D1884" s="10" t="str">
        <f aca="false">IF($B1884="","",IFERROR(INDEX(M_dept,MATCH($B1884,M_emp,0)),""))</f>
        <v/>
      </c>
      <c r="E1884" s="10" t="str">
        <f aca="false">IF($B1884="","",IFERROR(INDEX(M_loc,MATCH($B1884,M_emp,0)),""))</f>
        <v/>
      </c>
      <c r="F1884" s="33"/>
      <c r="G1884" s="33"/>
      <c r="H1884" s="33"/>
      <c r="I1884" s="33"/>
      <c r="J1884" s="33"/>
      <c r="K1884" s="33"/>
      <c r="L1884" s="33"/>
      <c r="M1884" s="33"/>
      <c r="N1884" s="33"/>
      <c r="O1884" s="33"/>
      <c r="P1884" s="33"/>
      <c r="Q1884" s="33"/>
      <c r="R1884" s="33"/>
      <c r="S1884" s="33"/>
      <c r="T1884" s="33"/>
      <c r="U1884" s="33"/>
      <c r="V1884" s="33"/>
      <c r="W1884" s="33"/>
      <c r="X1884" s="33"/>
      <c r="Y1884" s="33"/>
      <c r="Z1884" s="33"/>
      <c r="AA1884" s="33"/>
      <c r="AB1884" s="33"/>
      <c r="AC1884" s="33"/>
      <c r="AD1884" s="33"/>
      <c r="AE1884" s="33"/>
      <c r="AF1884" s="33"/>
      <c r="AG1884" s="33"/>
      <c r="AH1884" s="33"/>
      <c r="AI1884" s="33"/>
      <c r="AJ1884" s="33"/>
      <c r="AK1884" s="34" t="str">
        <f aca="false">IF($B1884="","",COUNTIF($F1884:$AJ1884,"P"))</f>
        <v/>
      </c>
      <c r="AL1884" s="34" t="str">
        <f aca="false">IF($B1884="","",COUNTIF($F1884:$AJ1884,"A"))</f>
        <v/>
      </c>
      <c r="AM1884" s="34" t="str">
        <f aca="false">IF($B1884="","",COUNTIF($F1884:$AJ1884,"HA"))</f>
        <v/>
      </c>
      <c r="AN1884" s="34" t="str">
        <f aca="false">IF($B1884="","",COUNTIF($F1884:$AJ1884,"L"))</f>
        <v/>
      </c>
      <c r="AO1884" s="34" t="str">
        <f aca="false">IF($B1884="","",COUNTIF($F1884:$AJ1884,"PL"))</f>
        <v/>
      </c>
      <c r="AP1884" s="34" t="str">
        <f aca="false">IF($B1884="","",COUNTIF($F1884:$AJ1884,"CL"))</f>
        <v/>
      </c>
      <c r="AQ1884" s="34" t="str">
        <f aca="false">IF($B1884="","",COUNTIF($F1884:$AJ1884,"SL"))</f>
        <v/>
      </c>
      <c r="AR1884" s="34" t="str">
        <f aca="false">IF($B1884="","",COUNTIF($F1884:$AJ1884,"CO"))</f>
        <v/>
      </c>
      <c r="AS1884" s="34" t="str">
        <f aca="false">IF($B1884="","",COUNTIF($F1884:$AJ1884,"HPL"))</f>
        <v/>
      </c>
      <c r="AT1884" s="34" t="str">
        <f aca="false">IF($B1884="","",COUNTIF($F1884:$AJ1884,"HCL"))</f>
        <v/>
      </c>
      <c r="AU1884" s="34" t="str">
        <f aca="false">IF($B1884="","",COUNTIF($F1884:$AJ1884,"WO"))</f>
        <v/>
      </c>
      <c r="AV1884" s="34" t="str">
        <f aca="false">IF($B1884="","",COUNTIF($F1884:$AJ1884,"PH"))</f>
        <v/>
      </c>
      <c r="AW1884" s="34" t="str">
        <f aca="false">IF($B1884="","",COUNTIF($F1884:$AJ1884,"TR"))</f>
        <v/>
      </c>
      <c r="AX1884" s="35" t="str">
        <f aca="false">IF($B1884="","",AO1884+AS1884/2)</f>
        <v/>
      </c>
      <c r="AY1884" s="35" t="str">
        <f aca="false">IF($B1884="","",AQ1884)</f>
        <v/>
      </c>
      <c r="AZ1884" s="35" t="str">
        <f aca="false">IF($B1884="","",AP1884+AT1884/2)</f>
        <v/>
      </c>
      <c r="BA1884" s="35" t="str">
        <f aca="false">IF($B1884="","",AK1884+AN1884+AM1884/2+AO1884+AP1884+AQ1884+AR1884+AS1884+AT1884+AU1884+AV1884+AW1884)</f>
        <v/>
      </c>
      <c r="BB1884" s="35" t="str">
        <f aca="false">IF($B1884="","",MAX(0,AN1884-Settings!$C$16)*Settings!$C$17)</f>
        <v/>
      </c>
      <c r="BC1884" s="35" t="str">
        <f aca="false">IF($B1884="","",BA1884-BB1884)</f>
        <v/>
      </c>
      <c r="BD1884" s="35" t="str">
        <f aca="false">IF(OR($B1884="",$A1884=""),"",DAY(EOMONTH($A1884,0))-COUNTA($F1884:$AJ1884))</f>
        <v/>
      </c>
    </row>
    <row r="1885" customFormat="false" ht="15" hidden="false" customHeight="false" outlineLevel="0" collapsed="false">
      <c r="A1885" s="32"/>
      <c r="B1885" s="29"/>
      <c r="C1885" s="10" t="str">
        <f aca="false">IF($B1885="","",IFERROR(INDEX(M_name,MATCH($B1885,M_emp,0)),"Code not found"))</f>
        <v/>
      </c>
      <c r="D1885" s="10" t="str">
        <f aca="false">IF($B1885="","",IFERROR(INDEX(M_dept,MATCH($B1885,M_emp,0)),""))</f>
        <v/>
      </c>
      <c r="E1885" s="10" t="str">
        <f aca="false">IF($B1885="","",IFERROR(INDEX(M_loc,MATCH($B1885,M_emp,0)),""))</f>
        <v/>
      </c>
      <c r="F1885" s="33"/>
      <c r="G1885" s="33"/>
      <c r="H1885" s="33"/>
      <c r="I1885" s="33"/>
      <c r="J1885" s="33"/>
      <c r="K1885" s="33"/>
      <c r="L1885" s="33"/>
      <c r="M1885" s="33"/>
      <c r="N1885" s="33"/>
      <c r="O1885" s="33"/>
      <c r="P1885" s="33"/>
      <c r="Q1885" s="33"/>
      <c r="R1885" s="33"/>
      <c r="S1885" s="33"/>
      <c r="T1885" s="33"/>
      <c r="U1885" s="33"/>
      <c r="V1885" s="33"/>
      <c r="W1885" s="33"/>
      <c r="X1885" s="33"/>
      <c r="Y1885" s="33"/>
      <c r="Z1885" s="33"/>
      <c r="AA1885" s="33"/>
      <c r="AB1885" s="33"/>
      <c r="AC1885" s="33"/>
      <c r="AD1885" s="33"/>
      <c r="AE1885" s="33"/>
      <c r="AF1885" s="33"/>
      <c r="AG1885" s="33"/>
      <c r="AH1885" s="33"/>
      <c r="AI1885" s="33"/>
      <c r="AJ1885" s="33"/>
      <c r="AK1885" s="34" t="str">
        <f aca="false">IF($B1885="","",COUNTIF($F1885:$AJ1885,"P"))</f>
        <v/>
      </c>
      <c r="AL1885" s="34" t="str">
        <f aca="false">IF($B1885="","",COUNTIF($F1885:$AJ1885,"A"))</f>
        <v/>
      </c>
      <c r="AM1885" s="34" t="str">
        <f aca="false">IF($B1885="","",COUNTIF($F1885:$AJ1885,"HA"))</f>
        <v/>
      </c>
      <c r="AN1885" s="34" t="str">
        <f aca="false">IF($B1885="","",COUNTIF($F1885:$AJ1885,"L"))</f>
        <v/>
      </c>
      <c r="AO1885" s="34" t="str">
        <f aca="false">IF($B1885="","",COUNTIF($F1885:$AJ1885,"PL"))</f>
        <v/>
      </c>
      <c r="AP1885" s="34" t="str">
        <f aca="false">IF($B1885="","",COUNTIF($F1885:$AJ1885,"CL"))</f>
        <v/>
      </c>
      <c r="AQ1885" s="34" t="str">
        <f aca="false">IF($B1885="","",COUNTIF($F1885:$AJ1885,"SL"))</f>
        <v/>
      </c>
      <c r="AR1885" s="34" t="str">
        <f aca="false">IF($B1885="","",COUNTIF($F1885:$AJ1885,"CO"))</f>
        <v/>
      </c>
      <c r="AS1885" s="34" t="str">
        <f aca="false">IF($B1885="","",COUNTIF($F1885:$AJ1885,"HPL"))</f>
        <v/>
      </c>
      <c r="AT1885" s="34" t="str">
        <f aca="false">IF($B1885="","",COUNTIF($F1885:$AJ1885,"HCL"))</f>
        <v/>
      </c>
      <c r="AU1885" s="34" t="str">
        <f aca="false">IF($B1885="","",COUNTIF($F1885:$AJ1885,"WO"))</f>
        <v/>
      </c>
      <c r="AV1885" s="34" t="str">
        <f aca="false">IF($B1885="","",COUNTIF($F1885:$AJ1885,"PH"))</f>
        <v/>
      </c>
      <c r="AW1885" s="34" t="str">
        <f aca="false">IF($B1885="","",COUNTIF($F1885:$AJ1885,"TR"))</f>
        <v/>
      </c>
      <c r="AX1885" s="35" t="str">
        <f aca="false">IF($B1885="","",AO1885+AS1885/2)</f>
        <v/>
      </c>
      <c r="AY1885" s="35" t="str">
        <f aca="false">IF($B1885="","",AQ1885)</f>
        <v/>
      </c>
      <c r="AZ1885" s="35" t="str">
        <f aca="false">IF($B1885="","",AP1885+AT1885/2)</f>
        <v/>
      </c>
      <c r="BA1885" s="35" t="str">
        <f aca="false">IF($B1885="","",AK1885+AN1885+AM1885/2+AO1885+AP1885+AQ1885+AR1885+AS1885+AT1885+AU1885+AV1885+AW1885)</f>
        <v/>
      </c>
      <c r="BB1885" s="35" t="str">
        <f aca="false">IF($B1885="","",MAX(0,AN1885-Settings!$C$16)*Settings!$C$17)</f>
        <v/>
      </c>
      <c r="BC1885" s="35" t="str">
        <f aca="false">IF($B1885="","",BA1885-BB1885)</f>
        <v/>
      </c>
      <c r="BD1885" s="35" t="str">
        <f aca="false">IF(OR($B1885="",$A1885=""),"",DAY(EOMONTH($A1885,0))-COUNTA($F1885:$AJ1885))</f>
        <v/>
      </c>
    </row>
    <row r="1886" customFormat="false" ht="15" hidden="false" customHeight="false" outlineLevel="0" collapsed="false">
      <c r="A1886" s="32"/>
      <c r="B1886" s="29"/>
      <c r="C1886" s="10" t="str">
        <f aca="false">IF($B1886="","",IFERROR(INDEX(M_name,MATCH($B1886,M_emp,0)),"Code not found"))</f>
        <v/>
      </c>
      <c r="D1886" s="10" t="str">
        <f aca="false">IF($B1886="","",IFERROR(INDEX(M_dept,MATCH($B1886,M_emp,0)),""))</f>
        <v/>
      </c>
      <c r="E1886" s="10" t="str">
        <f aca="false">IF($B1886="","",IFERROR(INDEX(M_loc,MATCH($B1886,M_emp,0)),""))</f>
        <v/>
      </c>
      <c r="F1886" s="33"/>
      <c r="G1886" s="33"/>
      <c r="H1886" s="33"/>
      <c r="I1886" s="33"/>
      <c r="J1886" s="33"/>
      <c r="K1886" s="33"/>
      <c r="L1886" s="33"/>
      <c r="M1886" s="33"/>
      <c r="N1886" s="33"/>
      <c r="O1886" s="33"/>
      <c r="P1886" s="33"/>
      <c r="Q1886" s="33"/>
      <c r="R1886" s="33"/>
      <c r="S1886" s="33"/>
      <c r="T1886" s="33"/>
      <c r="U1886" s="33"/>
      <c r="V1886" s="33"/>
      <c r="W1886" s="33"/>
      <c r="X1886" s="33"/>
      <c r="Y1886" s="33"/>
      <c r="Z1886" s="33"/>
      <c r="AA1886" s="33"/>
      <c r="AB1886" s="33"/>
      <c r="AC1886" s="33"/>
      <c r="AD1886" s="33"/>
      <c r="AE1886" s="33"/>
      <c r="AF1886" s="33"/>
      <c r="AG1886" s="33"/>
      <c r="AH1886" s="33"/>
      <c r="AI1886" s="33"/>
      <c r="AJ1886" s="33"/>
      <c r="AK1886" s="34" t="str">
        <f aca="false">IF($B1886="","",COUNTIF($F1886:$AJ1886,"P"))</f>
        <v/>
      </c>
      <c r="AL1886" s="34" t="str">
        <f aca="false">IF($B1886="","",COUNTIF($F1886:$AJ1886,"A"))</f>
        <v/>
      </c>
      <c r="AM1886" s="34" t="str">
        <f aca="false">IF($B1886="","",COUNTIF($F1886:$AJ1886,"HA"))</f>
        <v/>
      </c>
      <c r="AN1886" s="34" t="str">
        <f aca="false">IF($B1886="","",COUNTIF($F1886:$AJ1886,"L"))</f>
        <v/>
      </c>
      <c r="AO1886" s="34" t="str">
        <f aca="false">IF($B1886="","",COUNTIF($F1886:$AJ1886,"PL"))</f>
        <v/>
      </c>
      <c r="AP1886" s="34" t="str">
        <f aca="false">IF($B1886="","",COUNTIF($F1886:$AJ1886,"CL"))</f>
        <v/>
      </c>
      <c r="AQ1886" s="34" t="str">
        <f aca="false">IF($B1886="","",COUNTIF($F1886:$AJ1886,"SL"))</f>
        <v/>
      </c>
      <c r="AR1886" s="34" t="str">
        <f aca="false">IF($B1886="","",COUNTIF($F1886:$AJ1886,"CO"))</f>
        <v/>
      </c>
      <c r="AS1886" s="34" t="str">
        <f aca="false">IF($B1886="","",COUNTIF($F1886:$AJ1886,"HPL"))</f>
        <v/>
      </c>
      <c r="AT1886" s="34" t="str">
        <f aca="false">IF($B1886="","",COUNTIF($F1886:$AJ1886,"HCL"))</f>
        <v/>
      </c>
      <c r="AU1886" s="34" t="str">
        <f aca="false">IF($B1886="","",COUNTIF($F1886:$AJ1886,"WO"))</f>
        <v/>
      </c>
      <c r="AV1886" s="34" t="str">
        <f aca="false">IF($B1886="","",COUNTIF($F1886:$AJ1886,"PH"))</f>
        <v/>
      </c>
      <c r="AW1886" s="34" t="str">
        <f aca="false">IF($B1886="","",COUNTIF($F1886:$AJ1886,"TR"))</f>
        <v/>
      </c>
      <c r="AX1886" s="35" t="str">
        <f aca="false">IF($B1886="","",AO1886+AS1886/2)</f>
        <v/>
      </c>
      <c r="AY1886" s="35" t="str">
        <f aca="false">IF($B1886="","",AQ1886)</f>
        <v/>
      </c>
      <c r="AZ1886" s="35" t="str">
        <f aca="false">IF($B1886="","",AP1886+AT1886/2)</f>
        <v/>
      </c>
      <c r="BA1886" s="35" t="str">
        <f aca="false">IF($B1886="","",AK1886+AN1886+AM1886/2+AO1886+AP1886+AQ1886+AR1886+AS1886+AT1886+AU1886+AV1886+AW1886)</f>
        <v/>
      </c>
      <c r="BB1886" s="35" t="str">
        <f aca="false">IF($B1886="","",MAX(0,AN1886-Settings!$C$16)*Settings!$C$17)</f>
        <v/>
      </c>
      <c r="BC1886" s="35" t="str">
        <f aca="false">IF($B1886="","",BA1886-BB1886)</f>
        <v/>
      </c>
      <c r="BD1886" s="35" t="str">
        <f aca="false">IF(OR($B1886="",$A1886=""),"",DAY(EOMONTH($A1886,0))-COUNTA($F1886:$AJ1886))</f>
        <v/>
      </c>
    </row>
    <row r="1887" customFormat="false" ht="15" hidden="false" customHeight="false" outlineLevel="0" collapsed="false">
      <c r="A1887" s="32"/>
      <c r="B1887" s="29"/>
      <c r="C1887" s="10" t="str">
        <f aca="false">IF($B1887="","",IFERROR(INDEX(M_name,MATCH($B1887,M_emp,0)),"Code not found"))</f>
        <v/>
      </c>
      <c r="D1887" s="10" t="str">
        <f aca="false">IF($B1887="","",IFERROR(INDEX(M_dept,MATCH($B1887,M_emp,0)),""))</f>
        <v/>
      </c>
      <c r="E1887" s="10" t="str">
        <f aca="false">IF($B1887="","",IFERROR(INDEX(M_loc,MATCH($B1887,M_emp,0)),""))</f>
        <v/>
      </c>
      <c r="F1887" s="33"/>
      <c r="G1887" s="33"/>
      <c r="H1887" s="33"/>
      <c r="I1887" s="33"/>
      <c r="J1887" s="33"/>
      <c r="K1887" s="33"/>
      <c r="L1887" s="33"/>
      <c r="M1887" s="33"/>
      <c r="N1887" s="33"/>
      <c r="O1887" s="33"/>
      <c r="P1887" s="33"/>
      <c r="Q1887" s="33"/>
      <c r="R1887" s="33"/>
      <c r="S1887" s="33"/>
      <c r="T1887" s="33"/>
      <c r="U1887" s="33"/>
      <c r="V1887" s="33"/>
      <c r="W1887" s="33"/>
      <c r="X1887" s="33"/>
      <c r="Y1887" s="33"/>
      <c r="Z1887" s="33"/>
      <c r="AA1887" s="33"/>
      <c r="AB1887" s="33"/>
      <c r="AC1887" s="33"/>
      <c r="AD1887" s="33"/>
      <c r="AE1887" s="33"/>
      <c r="AF1887" s="33"/>
      <c r="AG1887" s="33"/>
      <c r="AH1887" s="33"/>
      <c r="AI1887" s="33"/>
      <c r="AJ1887" s="33"/>
      <c r="AK1887" s="34" t="str">
        <f aca="false">IF($B1887="","",COUNTIF($F1887:$AJ1887,"P"))</f>
        <v/>
      </c>
      <c r="AL1887" s="34" t="str">
        <f aca="false">IF($B1887="","",COUNTIF($F1887:$AJ1887,"A"))</f>
        <v/>
      </c>
      <c r="AM1887" s="34" t="str">
        <f aca="false">IF($B1887="","",COUNTIF($F1887:$AJ1887,"HA"))</f>
        <v/>
      </c>
      <c r="AN1887" s="34" t="str">
        <f aca="false">IF($B1887="","",COUNTIF($F1887:$AJ1887,"L"))</f>
        <v/>
      </c>
      <c r="AO1887" s="34" t="str">
        <f aca="false">IF($B1887="","",COUNTIF($F1887:$AJ1887,"PL"))</f>
        <v/>
      </c>
      <c r="AP1887" s="34" t="str">
        <f aca="false">IF($B1887="","",COUNTIF($F1887:$AJ1887,"CL"))</f>
        <v/>
      </c>
      <c r="AQ1887" s="34" t="str">
        <f aca="false">IF($B1887="","",COUNTIF($F1887:$AJ1887,"SL"))</f>
        <v/>
      </c>
      <c r="AR1887" s="34" t="str">
        <f aca="false">IF($B1887="","",COUNTIF($F1887:$AJ1887,"CO"))</f>
        <v/>
      </c>
      <c r="AS1887" s="34" t="str">
        <f aca="false">IF($B1887="","",COUNTIF($F1887:$AJ1887,"HPL"))</f>
        <v/>
      </c>
      <c r="AT1887" s="34" t="str">
        <f aca="false">IF($B1887="","",COUNTIF($F1887:$AJ1887,"HCL"))</f>
        <v/>
      </c>
      <c r="AU1887" s="34" t="str">
        <f aca="false">IF($B1887="","",COUNTIF($F1887:$AJ1887,"WO"))</f>
        <v/>
      </c>
      <c r="AV1887" s="34" t="str">
        <f aca="false">IF($B1887="","",COUNTIF($F1887:$AJ1887,"PH"))</f>
        <v/>
      </c>
      <c r="AW1887" s="34" t="str">
        <f aca="false">IF($B1887="","",COUNTIF($F1887:$AJ1887,"TR"))</f>
        <v/>
      </c>
      <c r="AX1887" s="35" t="str">
        <f aca="false">IF($B1887="","",AO1887+AS1887/2)</f>
        <v/>
      </c>
      <c r="AY1887" s="35" t="str">
        <f aca="false">IF($B1887="","",AQ1887)</f>
        <v/>
      </c>
      <c r="AZ1887" s="35" t="str">
        <f aca="false">IF($B1887="","",AP1887+AT1887/2)</f>
        <v/>
      </c>
      <c r="BA1887" s="35" t="str">
        <f aca="false">IF($B1887="","",AK1887+AN1887+AM1887/2+AO1887+AP1887+AQ1887+AR1887+AS1887+AT1887+AU1887+AV1887+AW1887)</f>
        <v/>
      </c>
      <c r="BB1887" s="35" t="str">
        <f aca="false">IF($B1887="","",MAX(0,AN1887-Settings!$C$16)*Settings!$C$17)</f>
        <v/>
      </c>
      <c r="BC1887" s="35" t="str">
        <f aca="false">IF($B1887="","",BA1887-BB1887)</f>
        <v/>
      </c>
      <c r="BD1887" s="35" t="str">
        <f aca="false">IF(OR($B1887="",$A1887=""),"",DAY(EOMONTH($A1887,0))-COUNTA($F1887:$AJ1887))</f>
        <v/>
      </c>
    </row>
    <row r="1888" customFormat="false" ht="15" hidden="false" customHeight="false" outlineLevel="0" collapsed="false">
      <c r="A1888" s="32"/>
      <c r="B1888" s="29"/>
      <c r="C1888" s="10" t="str">
        <f aca="false">IF($B1888="","",IFERROR(INDEX(M_name,MATCH($B1888,M_emp,0)),"Code not found"))</f>
        <v/>
      </c>
      <c r="D1888" s="10" t="str">
        <f aca="false">IF($B1888="","",IFERROR(INDEX(M_dept,MATCH($B1888,M_emp,0)),""))</f>
        <v/>
      </c>
      <c r="E1888" s="10" t="str">
        <f aca="false">IF($B1888="","",IFERROR(INDEX(M_loc,MATCH($B1888,M_emp,0)),""))</f>
        <v/>
      </c>
      <c r="F1888" s="33"/>
      <c r="G1888" s="33"/>
      <c r="H1888" s="33"/>
      <c r="I1888" s="33"/>
      <c r="J1888" s="33"/>
      <c r="K1888" s="33"/>
      <c r="L1888" s="33"/>
      <c r="M1888" s="33"/>
      <c r="N1888" s="33"/>
      <c r="O1888" s="33"/>
      <c r="P1888" s="33"/>
      <c r="Q1888" s="33"/>
      <c r="R1888" s="33"/>
      <c r="S1888" s="33"/>
      <c r="T1888" s="33"/>
      <c r="U1888" s="33"/>
      <c r="V1888" s="33"/>
      <c r="W1888" s="33"/>
      <c r="X1888" s="33"/>
      <c r="Y1888" s="33"/>
      <c r="Z1888" s="33"/>
      <c r="AA1888" s="33"/>
      <c r="AB1888" s="33"/>
      <c r="AC1888" s="33"/>
      <c r="AD1888" s="33"/>
      <c r="AE1888" s="33"/>
      <c r="AF1888" s="33"/>
      <c r="AG1888" s="33"/>
      <c r="AH1888" s="33"/>
      <c r="AI1888" s="33"/>
      <c r="AJ1888" s="33"/>
      <c r="AK1888" s="34" t="str">
        <f aca="false">IF($B1888="","",COUNTIF($F1888:$AJ1888,"P"))</f>
        <v/>
      </c>
      <c r="AL1888" s="34" t="str">
        <f aca="false">IF($B1888="","",COUNTIF($F1888:$AJ1888,"A"))</f>
        <v/>
      </c>
      <c r="AM1888" s="34" t="str">
        <f aca="false">IF($B1888="","",COUNTIF($F1888:$AJ1888,"HA"))</f>
        <v/>
      </c>
      <c r="AN1888" s="34" t="str">
        <f aca="false">IF($B1888="","",COUNTIF($F1888:$AJ1888,"L"))</f>
        <v/>
      </c>
      <c r="AO1888" s="34" t="str">
        <f aca="false">IF($B1888="","",COUNTIF($F1888:$AJ1888,"PL"))</f>
        <v/>
      </c>
      <c r="AP1888" s="34" t="str">
        <f aca="false">IF($B1888="","",COUNTIF($F1888:$AJ1888,"CL"))</f>
        <v/>
      </c>
      <c r="AQ1888" s="34" t="str">
        <f aca="false">IF($B1888="","",COUNTIF($F1888:$AJ1888,"SL"))</f>
        <v/>
      </c>
      <c r="AR1888" s="34" t="str">
        <f aca="false">IF($B1888="","",COUNTIF($F1888:$AJ1888,"CO"))</f>
        <v/>
      </c>
      <c r="AS1888" s="34" t="str">
        <f aca="false">IF($B1888="","",COUNTIF($F1888:$AJ1888,"HPL"))</f>
        <v/>
      </c>
      <c r="AT1888" s="34" t="str">
        <f aca="false">IF($B1888="","",COUNTIF($F1888:$AJ1888,"HCL"))</f>
        <v/>
      </c>
      <c r="AU1888" s="34" t="str">
        <f aca="false">IF($B1888="","",COUNTIF($F1888:$AJ1888,"WO"))</f>
        <v/>
      </c>
      <c r="AV1888" s="34" t="str">
        <f aca="false">IF($B1888="","",COUNTIF($F1888:$AJ1888,"PH"))</f>
        <v/>
      </c>
      <c r="AW1888" s="34" t="str">
        <f aca="false">IF($B1888="","",COUNTIF($F1888:$AJ1888,"TR"))</f>
        <v/>
      </c>
      <c r="AX1888" s="35" t="str">
        <f aca="false">IF($B1888="","",AO1888+AS1888/2)</f>
        <v/>
      </c>
      <c r="AY1888" s="35" t="str">
        <f aca="false">IF($B1888="","",AQ1888)</f>
        <v/>
      </c>
      <c r="AZ1888" s="35" t="str">
        <f aca="false">IF($B1888="","",AP1888+AT1888/2)</f>
        <v/>
      </c>
      <c r="BA1888" s="35" t="str">
        <f aca="false">IF($B1888="","",AK1888+AN1888+AM1888/2+AO1888+AP1888+AQ1888+AR1888+AS1888+AT1888+AU1888+AV1888+AW1888)</f>
        <v/>
      </c>
      <c r="BB1888" s="35" t="str">
        <f aca="false">IF($B1888="","",MAX(0,AN1888-Settings!$C$16)*Settings!$C$17)</f>
        <v/>
      </c>
      <c r="BC1888" s="35" t="str">
        <f aca="false">IF($B1888="","",BA1888-BB1888)</f>
        <v/>
      </c>
      <c r="BD1888" s="35" t="str">
        <f aca="false">IF(OR($B1888="",$A1888=""),"",DAY(EOMONTH($A1888,0))-COUNTA($F1888:$AJ1888))</f>
        <v/>
      </c>
    </row>
    <row r="1889" customFormat="false" ht="15" hidden="false" customHeight="false" outlineLevel="0" collapsed="false">
      <c r="A1889" s="32"/>
      <c r="B1889" s="29"/>
      <c r="C1889" s="10" t="str">
        <f aca="false">IF($B1889="","",IFERROR(INDEX(M_name,MATCH($B1889,M_emp,0)),"Code not found"))</f>
        <v/>
      </c>
      <c r="D1889" s="10" t="str">
        <f aca="false">IF($B1889="","",IFERROR(INDEX(M_dept,MATCH($B1889,M_emp,0)),""))</f>
        <v/>
      </c>
      <c r="E1889" s="10" t="str">
        <f aca="false">IF($B1889="","",IFERROR(INDEX(M_loc,MATCH($B1889,M_emp,0)),""))</f>
        <v/>
      </c>
      <c r="F1889" s="33"/>
      <c r="G1889" s="33"/>
      <c r="H1889" s="33"/>
      <c r="I1889" s="33"/>
      <c r="J1889" s="33"/>
      <c r="K1889" s="33"/>
      <c r="L1889" s="33"/>
      <c r="M1889" s="33"/>
      <c r="N1889" s="33"/>
      <c r="O1889" s="33"/>
      <c r="P1889" s="33"/>
      <c r="Q1889" s="33"/>
      <c r="R1889" s="33"/>
      <c r="S1889" s="33"/>
      <c r="T1889" s="33"/>
      <c r="U1889" s="33"/>
      <c r="V1889" s="33"/>
      <c r="W1889" s="33"/>
      <c r="X1889" s="33"/>
      <c r="Y1889" s="33"/>
      <c r="Z1889" s="33"/>
      <c r="AA1889" s="33"/>
      <c r="AB1889" s="33"/>
      <c r="AC1889" s="33"/>
      <c r="AD1889" s="33"/>
      <c r="AE1889" s="33"/>
      <c r="AF1889" s="33"/>
      <c r="AG1889" s="33"/>
      <c r="AH1889" s="33"/>
      <c r="AI1889" s="33"/>
      <c r="AJ1889" s="33"/>
      <c r="AK1889" s="34" t="str">
        <f aca="false">IF($B1889="","",COUNTIF($F1889:$AJ1889,"P"))</f>
        <v/>
      </c>
      <c r="AL1889" s="34" t="str">
        <f aca="false">IF($B1889="","",COUNTIF($F1889:$AJ1889,"A"))</f>
        <v/>
      </c>
      <c r="AM1889" s="34" t="str">
        <f aca="false">IF($B1889="","",COUNTIF($F1889:$AJ1889,"HA"))</f>
        <v/>
      </c>
      <c r="AN1889" s="34" t="str">
        <f aca="false">IF($B1889="","",COUNTIF($F1889:$AJ1889,"L"))</f>
        <v/>
      </c>
      <c r="AO1889" s="34" t="str">
        <f aca="false">IF($B1889="","",COUNTIF($F1889:$AJ1889,"PL"))</f>
        <v/>
      </c>
      <c r="AP1889" s="34" t="str">
        <f aca="false">IF($B1889="","",COUNTIF($F1889:$AJ1889,"CL"))</f>
        <v/>
      </c>
      <c r="AQ1889" s="34" t="str">
        <f aca="false">IF($B1889="","",COUNTIF($F1889:$AJ1889,"SL"))</f>
        <v/>
      </c>
      <c r="AR1889" s="34" t="str">
        <f aca="false">IF($B1889="","",COUNTIF($F1889:$AJ1889,"CO"))</f>
        <v/>
      </c>
      <c r="AS1889" s="34" t="str">
        <f aca="false">IF($B1889="","",COUNTIF($F1889:$AJ1889,"HPL"))</f>
        <v/>
      </c>
      <c r="AT1889" s="34" t="str">
        <f aca="false">IF($B1889="","",COUNTIF($F1889:$AJ1889,"HCL"))</f>
        <v/>
      </c>
      <c r="AU1889" s="34" t="str">
        <f aca="false">IF($B1889="","",COUNTIF($F1889:$AJ1889,"WO"))</f>
        <v/>
      </c>
      <c r="AV1889" s="34" t="str">
        <f aca="false">IF($B1889="","",COUNTIF($F1889:$AJ1889,"PH"))</f>
        <v/>
      </c>
      <c r="AW1889" s="34" t="str">
        <f aca="false">IF($B1889="","",COUNTIF($F1889:$AJ1889,"TR"))</f>
        <v/>
      </c>
      <c r="AX1889" s="35" t="str">
        <f aca="false">IF($B1889="","",AO1889+AS1889/2)</f>
        <v/>
      </c>
      <c r="AY1889" s="35" t="str">
        <f aca="false">IF($B1889="","",AQ1889)</f>
        <v/>
      </c>
      <c r="AZ1889" s="35" t="str">
        <f aca="false">IF($B1889="","",AP1889+AT1889/2)</f>
        <v/>
      </c>
      <c r="BA1889" s="35" t="str">
        <f aca="false">IF($B1889="","",AK1889+AN1889+AM1889/2+AO1889+AP1889+AQ1889+AR1889+AS1889+AT1889+AU1889+AV1889+AW1889)</f>
        <v/>
      </c>
      <c r="BB1889" s="35" t="str">
        <f aca="false">IF($B1889="","",MAX(0,AN1889-Settings!$C$16)*Settings!$C$17)</f>
        <v/>
      </c>
      <c r="BC1889" s="35" t="str">
        <f aca="false">IF($B1889="","",BA1889-BB1889)</f>
        <v/>
      </c>
      <c r="BD1889" s="35" t="str">
        <f aca="false">IF(OR($B1889="",$A1889=""),"",DAY(EOMONTH($A1889,0))-COUNTA($F1889:$AJ1889))</f>
        <v/>
      </c>
    </row>
    <row r="1890" customFormat="false" ht="15" hidden="false" customHeight="false" outlineLevel="0" collapsed="false">
      <c r="A1890" s="32"/>
      <c r="B1890" s="29"/>
      <c r="C1890" s="10" t="str">
        <f aca="false">IF($B1890="","",IFERROR(INDEX(M_name,MATCH($B1890,M_emp,0)),"Code not found"))</f>
        <v/>
      </c>
      <c r="D1890" s="10" t="str">
        <f aca="false">IF($B1890="","",IFERROR(INDEX(M_dept,MATCH($B1890,M_emp,0)),""))</f>
        <v/>
      </c>
      <c r="E1890" s="10" t="str">
        <f aca="false">IF($B1890="","",IFERROR(INDEX(M_loc,MATCH($B1890,M_emp,0)),""))</f>
        <v/>
      </c>
      <c r="F1890" s="33"/>
      <c r="G1890" s="33"/>
      <c r="H1890" s="33"/>
      <c r="I1890" s="33"/>
      <c r="J1890" s="33"/>
      <c r="K1890" s="33"/>
      <c r="L1890" s="33"/>
      <c r="M1890" s="33"/>
      <c r="N1890" s="33"/>
      <c r="O1890" s="33"/>
      <c r="P1890" s="33"/>
      <c r="Q1890" s="33"/>
      <c r="R1890" s="33"/>
      <c r="S1890" s="33"/>
      <c r="T1890" s="33"/>
      <c r="U1890" s="33"/>
      <c r="V1890" s="33"/>
      <c r="W1890" s="33"/>
      <c r="X1890" s="33"/>
      <c r="Y1890" s="33"/>
      <c r="Z1890" s="33"/>
      <c r="AA1890" s="33"/>
      <c r="AB1890" s="33"/>
      <c r="AC1890" s="33"/>
      <c r="AD1890" s="33"/>
      <c r="AE1890" s="33"/>
      <c r="AF1890" s="33"/>
      <c r="AG1890" s="33"/>
      <c r="AH1890" s="33"/>
      <c r="AI1890" s="33"/>
      <c r="AJ1890" s="33"/>
      <c r="AK1890" s="34" t="str">
        <f aca="false">IF($B1890="","",COUNTIF($F1890:$AJ1890,"P"))</f>
        <v/>
      </c>
      <c r="AL1890" s="34" t="str">
        <f aca="false">IF($B1890="","",COUNTIF($F1890:$AJ1890,"A"))</f>
        <v/>
      </c>
      <c r="AM1890" s="34" t="str">
        <f aca="false">IF($B1890="","",COUNTIF($F1890:$AJ1890,"HA"))</f>
        <v/>
      </c>
      <c r="AN1890" s="34" t="str">
        <f aca="false">IF($B1890="","",COUNTIF($F1890:$AJ1890,"L"))</f>
        <v/>
      </c>
      <c r="AO1890" s="34" t="str">
        <f aca="false">IF($B1890="","",COUNTIF($F1890:$AJ1890,"PL"))</f>
        <v/>
      </c>
      <c r="AP1890" s="34" t="str">
        <f aca="false">IF($B1890="","",COUNTIF($F1890:$AJ1890,"CL"))</f>
        <v/>
      </c>
      <c r="AQ1890" s="34" t="str">
        <f aca="false">IF($B1890="","",COUNTIF($F1890:$AJ1890,"SL"))</f>
        <v/>
      </c>
      <c r="AR1890" s="34" t="str">
        <f aca="false">IF($B1890="","",COUNTIF($F1890:$AJ1890,"CO"))</f>
        <v/>
      </c>
      <c r="AS1890" s="34" t="str">
        <f aca="false">IF($B1890="","",COUNTIF($F1890:$AJ1890,"HPL"))</f>
        <v/>
      </c>
      <c r="AT1890" s="34" t="str">
        <f aca="false">IF($B1890="","",COUNTIF($F1890:$AJ1890,"HCL"))</f>
        <v/>
      </c>
      <c r="AU1890" s="34" t="str">
        <f aca="false">IF($B1890="","",COUNTIF($F1890:$AJ1890,"WO"))</f>
        <v/>
      </c>
      <c r="AV1890" s="34" t="str">
        <f aca="false">IF($B1890="","",COUNTIF($F1890:$AJ1890,"PH"))</f>
        <v/>
      </c>
      <c r="AW1890" s="34" t="str">
        <f aca="false">IF($B1890="","",COUNTIF($F1890:$AJ1890,"TR"))</f>
        <v/>
      </c>
      <c r="AX1890" s="35" t="str">
        <f aca="false">IF($B1890="","",AO1890+AS1890/2)</f>
        <v/>
      </c>
      <c r="AY1890" s="35" t="str">
        <f aca="false">IF($B1890="","",AQ1890)</f>
        <v/>
      </c>
      <c r="AZ1890" s="35" t="str">
        <f aca="false">IF($B1890="","",AP1890+AT1890/2)</f>
        <v/>
      </c>
      <c r="BA1890" s="35" t="str">
        <f aca="false">IF($B1890="","",AK1890+AN1890+AM1890/2+AO1890+AP1890+AQ1890+AR1890+AS1890+AT1890+AU1890+AV1890+AW1890)</f>
        <v/>
      </c>
      <c r="BB1890" s="35" t="str">
        <f aca="false">IF($B1890="","",MAX(0,AN1890-Settings!$C$16)*Settings!$C$17)</f>
        <v/>
      </c>
      <c r="BC1890" s="35" t="str">
        <f aca="false">IF($B1890="","",BA1890-BB1890)</f>
        <v/>
      </c>
      <c r="BD1890" s="35" t="str">
        <f aca="false">IF(OR($B1890="",$A1890=""),"",DAY(EOMONTH($A1890,0))-COUNTA($F1890:$AJ1890))</f>
        <v/>
      </c>
    </row>
    <row r="1891" customFormat="false" ht="15" hidden="false" customHeight="false" outlineLevel="0" collapsed="false">
      <c r="A1891" s="32"/>
      <c r="B1891" s="29"/>
      <c r="C1891" s="10" t="str">
        <f aca="false">IF($B1891="","",IFERROR(INDEX(M_name,MATCH($B1891,M_emp,0)),"Code not found"))</f>
        <v/>
      </c>
      <c r="D1891" s="10" t="str">
        <f aca="false">IF($B1891="","",IFERROR(INDEX(M_dept,MATCH($B1891,M_emp,0)),""))</f>
        <v/>
      </c>
      <c r="E1891" s="10" t="str">
        <f aca="false">IF($B1891="","",IFERROR(INDEX(M_loc,MATCH($B1891,M_emp,0)),""))</f>
        <v/>
      </c>
      <c r="F1891" s="33"/>
      <c r="G1891" s="33"/>
      <c r="H1891" s="33"/>
      <c r="I1891" s="33"/>
      <c r="J1891" s="33"/>
      <c r="K1891" s="33"/>
      <c r="L1891" s="33"/>
      <c r="M1891" s="33"/>
      <c r="N1891" s="33"/>
      <c r="O1891" s="33"/>
      <c r="P1891" s="33"/>
      <c r="Q1891" s="33"/>
      <c r="R1891" s="33"/>
      <c r="S1891" s="33"/>
      <c r="T1891" s="33"/>
      <c r="U1891" s="33"/>
      <c r="V1891" s="33"/>
      <c r="W1891" s="33"/>
      <c r="X1891" s="33"/>
      <c r="Y1891" s="33"/>
      <c r="Z1891" s="33"/>
      <c r="AA1891" s="33"/>
      <c r="AB1891" s="33"/>
      <c r="AC1891" s="33"/>
      <c r="AD1891" s="33"/>
      <c r="AE1891" s="33"/>
      <c r="AF1891" s="33"/>
      <c r="AG1891" s="33"/>
      <c r="AH1891" s="33"/>
      <c r="AI1891" s="33"/>
      <c r="AJ1891" s="33"/>
      <c r="AK1891" s="34" t="str">
        <f aca="false">IF($B1891="","",COUNTIF($F1891:$AJ1891,"P"))</f>
        <v/>
      </c>
      <c r="AL1891" s="34" t="str">
        <f aca="false">IF($B1891="","",COUNTIF($F1891:$AJ1891,"A"))</f>
        <v/>
      </c>
      <c r="AM1891" s="34" t="str">
        <f aca="false">IF($B1891="","",COUNTIF($F1891:$AJ1891,"HA"))</f>
        <v/>
      </c>
      <c r="AN1891" s="34" t="str">
        <f aca="false">IF($B1891="","",COUNTIF($F1891:$AJ1891,"L"))</f>
        <v/>
      </c>
      <c r="AO1891" s="34" t="str">
        <f aca="false">IF($B1891="","",COUNTIF($F1891:$AJ1891,"PL"))</f>
        <v/>
      </c>
      <c r="AP1891" s="34" t="str">
        <f aca="false">IF($B1891="","",COUNTIF($F1891:$AJ1891,"CL"))</f>
        <v/>
      </c>
      <c r="AQ1891" s="34" t="str">
        <f aca="false">IF($B1891="","",COUNTIF($F1891:$AJ1891,"SL"))</f>
        <v/>
      </c>
      <c r="AR1891" s="34" t="str">
        <f aca="false">IF($B1891="","",COUNTIF($F1891:$AJ1891,"CO"))</f>
        <v/>
      </c>
      <c r="AS1891" s="34" t="str">
        <f aca="false">IF($B1891="","",COUNTIF($F1891:$AJ1891,"HPL"))</f>
        <v/>
      </c>
      <c r="AT1891" s="34" t="str">
        <f aca="false">IF($B1891="","",COUNTIF($F1891:$AJ1891,"HCL"))</f>
        <v/>
      </c>
      <c r="AU1891" s="34" t="str">
        <f aca="false">IF($B1891="","",COUNTIF($F1891:$AJ1891,"WO"))</f>
        <v/>
      </c>
      <c r="AV1891" s="34" t="str">
        <f aca="false">IF($B1891="","",COUNTIF($F1891:$AJ1891,"PH"))</f>
        <v/>
      </c>
      <c r="AW1891" s="34" t="str">
        <f aca="false">IF($B1891="","",COUNTIF($F1891:$AJ1891,"TR"))</f>
        <v/>
      </c>
      <c r="AX1891" s="35" t="str">
        <f aca="false">IF($B1891="","",AO1891+AS1891/2)</f>
        <v/>
      </c>
      <c r="AY1891" s="35" t="str">
        <f aca="false">IF($B1891="","",AQ1891)</f>
        <v/>
      </c>
      <c r="AZ1891" s="35" t="str">
        <f aca="false">IF($B1891="","",AP1891+AT1891/2)</f>
        <v/>
      </c>
      <c r="BA1891" s="35" t="str">
        <f aca="false">IF($B1891="","",AK1891+AN1891+AM1891/2+AO1891+AP1891+AQ1891+AR1891+AS1891+AT1891+AU1891+AV1891+AW1891)</f>
        <v/>
      </c>
      <c r="BB1891" s="35" t="str">
        <f aca="false">IF($B1891="","",MAX(0,AN1891-Settings!$C$16)*Settings!$C$17)</f>
        <v/>
      </c>
      <c r="BC1891" s="35" t="str">
        <f aca="false">IF($B1891="","",BA1891-BB1891)</f>
        <v/>
      </c>
      <c r="BD1891" s="35" t="str">
        <f aca="false">IF(OR($B1891="",$A1891=""),"",DAY(EOMONTH($A1891,0))-COUNTA($F1891:$AJ1891))</f>
        <v/>
      </c>
    </row>
    <row r="1892" customFormat="false" ht="15" hidden="false" customHeight="false" outlineLevel="0" collapsed="false">
      <c r="A1892" s="32"/>
      <c r="B1892" s="29"/>
      <c r="C1892" s="10" t="str">
        <f aca="false">IF($B1892="","",IFERROR(INDEX(M_name,MATCH($B1892,M_emp,0)),"Code not found"))</f>
        <v/>
      </c>
      <c r="D1892" s="10" t="str">
        <f aca="false">IF($B1892="","",IFERROR(INDEX(M_dept,MATCH($B1892,M_emp,0)),""))</f>
        <v/>
      </c>
      <c r="E1892" s="10" t="str">
        <f aca="false">IF($B1892="","",IFERROR(INDEX(M_loc,MATCH($B1892,M_emp,0)),""))</f>
        <v/>
      </c>
      <c r="F1892" s="33"/>
      <c r="G1892" s="33"/>
      <c r="H1892" s="33"/>
      <c r="I1892" s="33"/>
      <c r="J1892" s="33"/>
      <c r="K1892" s="33"/>
      <c r="L1892" s="33"/>
      <c r="M1892" s="33"/>
      <c r="N1892" s="33"/>
      <c r="O1892" s="33"/>
      <c r="P1892" s="33"/>
      <c r="Q1892" s="33"/>
      <c r="R1892" s="33"/>
      <c r="S1892" s="33"/>
      <c r="T1892" s="33"/>
      <c r="U1892" s="33"/>
      <c r="V1892" s="33"/>
      <c r="W1892" s="33"/>
      <c r="X1892" s="33"/>
      <c r="Y1892" s="33"/>
      <c r="Z1892" s="33"/>
      <c r="AA1892" s="33"/>
      <c r="AB1892" s="33"/>
      <c r="AC1892" s="33"/>
      <c r="AD1892" s="33"/>
      <c r="AE1892" s="33"/>
      <c r="AF1892" s="33"/>
      <c r="AG1892" s="33"/>
      <c r="AH1892" s="33"/>
      <c r="AI1892" s="33"/>
      <c r="AJ1892" s="33"/>
      <c r="AK1892" s="34" t="str">
        <f aca="false">IF($B1892="","",COUNTIF($F1892:$AJ1892,"P"))</f>
        <v/>
      </c>
      <c r="AL1892" s="34" t="str">
        <f aca="false">IF($B1892="","",COUNTIF($F1892:$AJ1892,"A"))</f>
        <v/>
      </c>
      <c r="AM1892" s="34" t="str">
        <f aca="false">IF($B1892="","",COUNTIF($F1892:$AJ1892,"HA"))</f>
        <v/>
      </c>
      <c r="AN1892" s="34" t="str">
        <f aca="false">IF($B1892="","",COUNTIF($F1892:$AJ1892,"L"))</f>
        <v/>
      </c>
      <c r="AO1892" s="34" t="str">
        <f aca="false">IF($B1892="","",COUNTIF($F1892:$AJ1892,"PL"))</f>
        <v/>
      </c>
      <c r="AP1892" s="34" t="str">
        <f aca="false">IF($B1892="","",COUNTIF($F1892:$AJ1892,"CL"))</f>
        <v/>
      </c>
      <c r="AQ1892" s="34" t="str">
        <f aca="false">IF($B1892="","",COUNTIF($F1892:$AJ1892,"SL"))</f>
        <v/>
      </c>
      <c r="AR1892" s="34" t="str">
        <f aca="false">IF($B1892="","",COUNTIF($F1892:$AJ1892,"CO"))</f>
        <v/>
      </c>
      <c r="AS1892" s="34" t="str">
        <f aca="false">IF($B1892="","",COUNTIF($F1892:$AJ1892,"HPL"))</f>
        <v/>
      </c>
      <c r="AT1892" s="34" t="str">
        <f aca="false">IF($B1892="","",COUNTIF($F1892:$AJ1892,"HCL"))</f>
        <v/>
      </c>
      <c r="AU1892" s="34" t="str">
        <f aca="false">IF($B1892="","",COUNTIF($F1892:$AJ1892,"WO"))</f>
        <v/>
      </c>
      <c r="AV1892" s="34" t="str">
        <f aca="false">IF($B1892="","",COUNTIF($F1892:$AJ1892,"PH"))</f>
        <v/>
      </c>
      <c r="AW1892" s="34" t="str">
        <f aca="false">IF($B1892="","",COUNTIF($F1892:$AJ1892,"TR"))</f>
        <v/>
      </c>
      <c r="AX1892" s="35" t="str">
        <f aca="false">IF($B1892="","",AO1892+AS1892/2)</f>
        <v/>
      </c>
      <c r="AY1892" s="35" t="str">
        <f aca="false">IF($B1892="","",AQ1892)</f>
        <v/>
      </c>
      <c r="AZ1892" s="35" t="str">
        <f aca="false">IF($B1892="","",AP1892+AT1892/2)</f>
        <v/>
      </c>
      <c r="BA1892" s="35" t="str">
        <f aca="false">IF($B1892="","",AK1892+AN1892+AM1892/2+AO1892+AP1892+AQ1892+AR1892+AS1892+AT1892+AU1892+AV1892+AW1892)</f>
        <v/>
      </c>
      <c r="BB1892" s="35" t="str">
        <f aca="false">IF($B1892="","",MAX(0,AN1892-Settings!$C$16)*Settings!$C$17)</f>
        <v/>
      </c>
      <c r="BC1892" s="35" t="str">
        <f aca="false">IF($B1892="","",BA1892-BB1892)</f>
        <v/>
      </c>
      <c r="BD1892" s="35" t="str">
        <f aca="false">IF(OR($B1892="",$A1892=""),"",DAY(EOMONTH($A1892,0))-COUNTA($F1892:$AJ1892))</f>
        <v/>
      </c>
    </row>
    <row r="1893" customFormat="false" ht="15" hidden="false" customHeight="false" outlineLevel="0" collapsed="false">
      <c r="A1893" s="32"/>
      <c r="B1893" s="29"/>
      <c r="C1893" s="10" t="str">
        <f aca="false">IF($B1893="","",IFERROR(INDEX(M_name,MATCH($B1893,M_emp,0)),"Code not found"))</f>
        <v/>
      </c>
      <c r="D1893" s="10" t="str">
        <f aca="false">IF($B1893="","",IFERROR(INDEX(M_dept,MATCH($B1893,M_emp,0)),""))</f>
        <v/>
      </c>
      <c r="E1893" s="10" t="str">
        <f aca="false">IF($B1893="","",IFERROR(INDEX(M_loc,MATCH($B1893,M_emp,0)),""))</f>
        <v/>
      </c>
      <c r="F1893" s="33"/>
      <c r="G1893" s="33"/>
      <c r="H1893" s="33"/>
      <c r="I1893" s="33"/>
      <c r="J1893" s="33"/>
      <c r="K1893" s="33"/>
      <c r="L1893" s="33"/>
      <c r="M1893" s="33"/>
      <c r="N1893" s="33"/>
      <c r="O1893" s="33"/>
      <c r="P1893" s="33"/>
      <c r="Q1893" s="33"/>
      <c r="R1893" s="33"/>
      <c r="S1893" s="33"/>
      <c r="T1893" s="33"/>
      <c r="U1893" s="33"/>
      <c r="V1893" s="33"/>
      <c r="W1893" s="33"/>
      <c r="X1893" s="33"/>
      <c r="Y1893" s="33"/>
      <c r="Z1893" s="33"/>
      <c r="AA1893" s="33"/>
      <c r="AB1893" s="33"/>
      <c r="AC1893" s="33"/>
      <c r="AD1893" s="33"/>
      <c r="AE1893" s="33"/>
      <c r="AF1893" s="33"/>
      <c r="AG1893" s="33"/>
      <c r="AH1893" s="33"/>
      <c r="AI1893" s="33"/>
      <c r="AJ1893" s="33"/>
      <c r="AK1893" s="34" t="str">
        <f aca="false">IF($B1893="","",COUNTIF($F1893:$AJ1893,"P"))</f>
        <v/>
      </c>
      <c r="AL1893" s="34" t="str">
        <f aca="false">IF($B1893="","",COUNTIF($F1893:$AJ1893,"A"))</f>
        <v/>
      </c>
      <c r="AM1893" s="34" t="str">
        <f aca="false">IF($B1893="","",COUNTIF($F1893:$AJ1893,"HA"))</f>
        <v/>
      </c>
      <c r="AN1893" s="34" t="str">
        <f aca="false">IF($B1893="","",COUNTIF($F1893:$AJ1893,"L"))</f>
        <v/>
      </c>
      <c r="AO1893" s="34" t="str">
        <f aca="false">IF($B1893="","",COUNTIF($F1893:$AJ1893,"PL"))</f>
        <v/>
      </c>
      <c r="AP1893" s="34" t="str">
        <f aca="false">IF($B1893="","",COUNTIF($F1893:$AJ1893,"CL"))</f>
        <v/>
      </c>
      <c r="AQ1893" s="34" t="str">
        <f aca="false">IF($B1893="","",COUNTIF($F1893:$AJ1893,"SL"))</f>
        <v/>
      </c>
      <c r="AR1893" s="34" t="str">
        <f aca="false">IF($B1893="","",COUNTIF($F1893:$AJ1893,"CO"))</f>
        <v/>
      </c>
      <c r="AS1893" s="34" t="str">
        <f aca="false">IF($B1893="","",COUNTIF($F1893:$AJ1893,"HPL"))</f>
        <v/>
      </c>
      <c r="AT1893" s="34" t="str">
        <f aca="false">IF($B1893="","",COUNTIF($F1893:$AJ1893,"HCL"))</f>
        <v/>
      </c>
      <c r="AU1893" s="34" t="str">
        <f aca="false">IF($B1893="","",COUNTIF($F1893:$AJ1893,"WO"))</f>
        <v/>
      </c>
      <c r="AV1893" s="34" t="str">
        <f aca="false">IF($B1893="","",COUNTIF($F1893:$AJ1893,"PH"))</f>
        <v/>
      </c>
      <c r="AW1893" s="34" t="str">
        <f aca="false">IF($B1893="","",COUNTIF($F1893:$AJ1893,"TR"))</f>
        <v/>
      </c>
      <c r="AX1893" s="35" t="str">
        <f aca="false">IF($B1893="","",AO1893+AS1893/2)</f>
        <v/>
      </c>
      <c r="AY1893" s="35" t="str">
        <f aca="false">IF($B1893="","",AQ1893)</f>
        <v/>
      </c>
      <c r="AZ1893" s="35" t="str">
        <f aca="false">IF($B1893="","",AP1893+AT1893/2)</f>
        <v/>
      </c>
      <c r="BA1893" s="35" t="str">
        <f aca="false">IF($B1893="","",AK1893+AN1893+AM1893/2+AO1893+AP1893+AQ1893+AR1893+AS1893+AT1893+AU1893+AV1893+AW1893)</f>
        <v/>
      </c>
      <c r="BB1893" s="35" t="str">
        <f aca="false">IF($B1893="","",MAX(0,AN1893-Settings!$C$16)*Settings!$C$17)</f>
        <v/>
      </c>
      <c r="BC1893" s="35" t="str">
        <f aca="false">IF($B1893="","",BA1893-BB1893)</f>
        <v/>
      </c>
      <c r="BD1893" s="35" t="str">
        <f aca="false">IF(OR($B1893="",$A1893=""),"",DAY(EOMONTH($A1893,0))-COUNTA($F1893:$AJ1893))</f>
        <v/>
      </c>
    </row>
    <row r="1894" customFormat="false" ht="15" hidden="false" customHeight="false" outlineLevel="0" collapsed="false">
      <c r="A1894" s="32"/>
      <c r="B1894" s="29"/>
      <c r="C1894" s="10" t="str">
        <f aca="false">IF($B1894="","",IFERROR(INDEX(M_name,MATCH($B1894,M_emp,0)),"Code not found"))</f>
        <v/>
      </c>
      <c r="D1894" s="10" t="str">
        <f aca="false">IF($B1894="","",IFERROR(INDEX(M_dept,MATCH($B1894,M_emp,0)),""))</f>
        <v/>
      </c>
      <c r="E1894" s="10" t="str">
        <f aca="false">IF($B1894="","",IFERROR(INDEX(M_loc,MATCH($B1894,M_emp,0)),""))</f>
        <v/>
      </c>
      <c r="F1894" s="33"/>
      <c r="G1894" s="33"/>
      <c r="H1894" s="33"/>
      <c r="I1894" s="33"/>
      <c r="J1894" s="33"/>
      <c r="K1894" s="33"/>
      <c r="L1894" s="33"/>
      <c r="M1894" s="33"/>
      <c r="N1894" s="33"/>
      <c r="O1894" s="33"/>
      <c r="P1894" s="33"/>
      <c r="Q1894" s="33"/>
      <c r="R1894" s="33"/>
      <c r="S1894" s="33"/>
      <c r="T1894" s="33"/>
      <c r="U1894" s="33"/>
      <c r="V1894" s="33"/>
      <c r="W1894" s="33"/>
      <c r="X1894" s="33"/>
      <c r="Y1894" s="33"/>
      <c r="Z1894" s="33"/>
      <c r="AA1894" s="33"/>
      <c r="AB1894" s="33"/>
      <c r="AC1894" s="33"/>
      <c r="AD1894" s="33"/>
      <c r="AE1894" s="33"/>
      <c r="AF1894" s="33"/>
      <c r="AG1894" s="33"/>
      <c r="AH1894" s="33"/>
      <c r="AI1894" s="33"/>
      <c r="AJ1894" s="33"/>
      <c r="AK1894" s="34" t="str">
        <f aca="false">IF($B1894="","",COUNTIF($F1894:$AJ1894,"P"))</f>
        <v/>
      </c>
      <c r="AL1894" s="34" t="str">
        <f aca="false">IF($B1894="","",COUNTIF($F1894:$AJ1894,"A"))</f>
        <v/>
      </c>
      <c r="AM1894" s="34" t="str">
        <f aca="false">IF($B1894="","",COUNTIF($F1894:$AJ1894,"HA"))</f>
        <v/>
      </c>
      <c r="AN1894" s="34" t="str">
        <f aca="false">IF($B1894="","",COUNTIF($F1894:$AJ1894,"L"))</f>
        <v/>
      </c>
      <c r="AO1894" s="34" t="str">
        <f aca="false">IF($B1894="","",COUNTIF($F1894:$AJ1894,"PL"))</f>
        <v/>
      </c>
      <c r="AP1894" s="34" t="str">
        <f aca="false">IF($B1894="","",COUNTIF($F1894:$AJ1894,"CL"))</f>
        <v/>
      </c>
      <c r="AQ1894" s="34" t="str">
        <f aca="false">IF($B1894="","",COUNTIF($F1894:$AJ1894,"SL"))</f>
        <v/>
      </c>
      <c r="AR1894" s="34" t="str">
        <f aca="false">IF($B1894="","",COUNTIF($F1894:$AJ1894,"CO"))</f>
        <v/>
      </c>
      <c r="AS1894" s="34" t="str">
        <f aca="false">IF($B1894="","",COUNTIF($F1894:$AJ1894,"HPL"))</f>
        <v/>
      </c>
      <c r="AT1894" s="34" t="str">
        <f aca="false">IF($B1894="","",COUNTIF($F1894:$AJ1894,"HCL"))</f>
        <v/>
      </c>
      <c r="AU1894" s="34" t="str">
        <f aca="false">IF($B1894="","",COUNTIF($F1894:$AJ1894,"WO"))</f>
        <v/>
      </c>
      <c r="AV1894" s="34" t="str">
        <f aca="false">IF($B1894="","",COUNTIF($F1894:$AJ1894,"PH"))</f>
        <v/>
      </c>
      <c r="AW1894" s="34" t="str">
        <f aca="false">IF($B1894="","",COUNTIF($F1894:$AJ1894,"TR"))</f>
        <v/>
      </c>
      <c r="AX1894" s="35" t="str">
        <f aca="false">IF($B1894="","",AO1894+AS1894/2)</f>
        <v/>
      </c>
      <c r="AY1894" s="35" t="str">
        <f aca="false">IF($B1894="","",AQ1894)</f>
        <v/>
      </c>
      <c r="AZ1894" s="35" t="str">
        <f aca="false">IF($B1894="","",AP1894+AT1894/2)</f>
        <v/>
      </c>
      <c r="BA1894" s="35" t="str">
        <f aca="false">IF($B1894="","",AK1894+AN1894+AM1894/2+AO1894+AP1894+AQ1894+AR1894+AS1894+AT1894+AU1894+AV1894+AW1894)</f>
        <v/>
      </c>
      <c r="BB1894" s="35" t="str">
        <f aca="false">IF($B1894="","",MAX(0,AN1894-Settings!$C$16)*Settings!$C$17)</f>
        <v/>
      </c>
      <c r="BC1894" s="35" t="str">
        <f aca="false">IF($B1894="","",BA1894-BB1894)</f>
        <v/>
      </c>
      <c r="BD1894" s="35" t="str">
        <f aca="false">IF(OR($B1894="",$A1894=""),"",DAY(EOMONTH($A1894,0))-COUNTA($F1894:$AJ1894))</f>
        <v/>
      </c>
    </row>
    <row r="1895" customFormat="false" ht="15" hidden="false" customHeight="false" outlineLevel="0" collapsed="false">
      <c r="A1895" s="32"/>
      <c r="B1895" s="29"/>
      <c r="C1895" s="10" t="str">
        <f aca="false">IF($B1895="","",IFERROR(INDEX(M_name,MATCH($B1895,M_emp,0)),"Code not found"))</f>
        <v/>
      </c>
      <c r="D1895" s="10" t="str">
        <f aca="false">IF($B1895="","",IFERROR(INDEX(M_dept,MATCH($B1895,M_emp,0)),""))</f>
        <v/>
      </c>
      <c r="E1895" s="10" t="str">
        <f aca="false">IF($B1895="","",IFERROR(INDEX(M_loc,MATCH($B1895,M_emp,0)),""))</f>
        <v/>
      </c>
      <c r="F1895" s="33"/>
      <c r="G1895" s="33"/>
      <c r="H1895" s="33"/>
      <c r="I1895" s="33"/>
      <c r="J1895" s="33"/>
      <c r="K1895" s="33"/>
      <c r="L1895" s="33"/>
      <c r="M1895" s="33"/>
      <c r="N1895" s="33"/>
      <c r="O1895" s="33"/>
      <c r="P1895" s="33"/>
      <c r="Q1895" s="33"/>
      <c r="R1895" s="33"/>
      <c r="S1895" s="33"/>
      <c r="T1895" s="33"/>
      <c r="U1895" s="33"/>
      <c r="V1895" s="33"/>
      <c r="W1895" s="33"/>
      <c r="X1895" s="33"/>
      <c r="Y1895" s="33"/>
      <c r="Z1895" s="33"/>
      <c r="AA1895" s="33"/>
      <c r="AB1895" s="33"/>
      <c r="AC1895" s="33"/>
      <c r="AD1895" s="33"/>
      <c r="AE1895" s="33"/>
      <c r="AF1895" s="33"/>
      <c r="AG1895" s="33"/>
      <c r="AH1895" s="33"/>
      <c r="AI1895" s="33"/>
      <c r="AJ1895" s="33"/>
      <c r="AK1895" s="34" t="str">
        <f aca="false">IF($B1895="","",COUNTIF($F1895:$AJ1895,"P"))</f>
        <v/>
      </c>
      <c r="AL1895" s="34" t="str">
        <f aca="false">IF($B1895="","",COUNTIF($F1895:$AJ1895,"A"))</f>
        <v/>
      </c>
      <c r="AM1895" s="34" t="str">
        <f aca="false">IF($B1895="","",COUNTIF($F1895:$AJ1895,"HA"))</f>
        <v/>
      </c>
      <c r="AN1895" s="34" t="str">
        <f aca="false">IF($B1895="","",COUNTIF($F1895:$AJ1895,"L"))</f>
        <v/>
      </c>
      <c r="AO1895" s="34" t="str">
        <f aca="false">IF($B1895="","",COUNTIF($F1895:$AJ1895,"PL"))</f>
        <v/>
      </c>
      <c r="AP1895" s="34" t="str">
        <f aca="false">IF($B1895="","",COUNTIF($F1895:$AJ1895,"CL"))</f>
        <v/>
      </c>
      <c r="AQ1895" s="34" t="str">
        <f aca="false">IF($B1895="","",COUNTIF($F1895:$AJ1895,"SL"))</f>
        <v/>
      </c>
      <c r="AR1895" s="34" t="str">
        <f aca="false">IF($B1895="","",COUNTIF($F1895:$AJ1895,"CO"))</f>
        <v/>
      </c>
      <c r="AS1895" s="34" t="str">
        <f aca="false">IF($B1895="","",COUNTIF($F1895:$AJ1895,"HPL"))</f>
        <v/>
      </c>
      <c r="AT1895" s="34" t="str">
        <f aca="false">IF($B1895="","",COUNTIF($F1895:$AJ1895,"HCL"))</f>
        <v/>
      </c>
      <c r="AU1895" s="34" t="str">
        <f aca="false">IF($B1895="","",COUNTIF($F1895:$AJ1895,"WO"))</f>
        <v/>
      </c>
      <c r="AV1895" s="34" t="str">
        <f aca="false">IF($B1895="","",COUNTIF($F1895:$AJ1895,"PH"))</f>
        <v/>
      </c>
      <c r="AW1895" s="34" t="str">
        <f aca="false">IF($B1895="","",COUNTIF($F1895:$AJ1895,"TR"))</f>
        <v/>
      </c>
      <c r="AX1895" s="35" t="str">
        <f aca="false">IF($B1895="","",AO1895+AS1895/2)</f>
        <v/>
      </c>
      <c r="AY1895" s="35" t="str">
        <f aca="false">IF($B1895="","",AQ1895)</f>
        <v/>
      </c>
      <c r="AZ1895" s="35" t="str">
        <f aca="false">IF($B1895="","",AP1895+AT1895/2)</f>
        <v/>
      </c>
      <c r="BA1895" s="35" t="str">
        <f aca="false">IF($B1895="","",AK1895+AN1895+AM1895/2+AO1895+AP1895+AQ1895+AR1895+AS1895+AT1895+AU1895+AV1895+AW1895)</f>
        <v/>
      </c>
      <c r="BB1895" s="35" t="str">
        <f aca="false">IF($B1895="","",MAX(0,AN1895-Settings!$C$16)*Settings!$C$17)</f>
        <v/>
      </c>
      <c r="BC1895" s="35" t="str">
        <f aca="false">IF($B1895="","",BA1895-BB1895)</f>
        <v/>
      </c>
      <c r="BD1895" s="35" t="str">
        <f aca="false">IF(OR($B1895="",$A1895=""),"",DAY(EOMONTH($A1895,0))-COUNTA($F1895:$AJ1895))</f>
        <v/>
      </c>
    </row>
    <row r="1896" customFormat="false" ht="15" hidden="false" customHeight="false" outlineLevel="0" collapsed="false">
      <c r="A1896" s="32"/>
      <c r="B1896" s="29"/>
      <c r="C1896" s="10" t="str">
        <f aca="false">IF($B1896="","",IFERROR(INDEX(M_name,MATCH($B1896,M_emp,0)),"Code not found"))</f>
        <v/>
      </c>
      <c r="D1896" s="10" t="str">
        <f aca="false">IF($B1896="","",IFERROR(INDEX(M_dept,MATCH($B1896,M_emp,0)),""))</f>
        <v/>
      </c>
      <c r="E1896" s="10" t="str">
        <f aca="false">IF($B1896="","",IFERROR(INDEX(M_loc,MATCH($B1896,M_emp,0)),""))</f>
        <v/>
      </c>
      <c r="F1896" s="33"/>
      <c r="G1896" s="33"/>
      <c r="H1896" s="33"/>
      <c r="I1896" s="33"/>
      <c r="J1896" s="33"/>
      <c r="K1896" s="33"/>
      <c r="L1896" s="33"/>
      <c r="M1896" s="33"/>
      <c r="N1896" s="33"/>
      <c r="O1896" s="33"/>
      <c r="P1896" s="33"/>
      <c r="Q1896" s="33"/>
      <c r="R1896" s="33"/>
      <c r="S1896" s="33"/>
      <c r="T1896" s="33"/>
      <c r="U1896" s="33"/>
      <c r="V1896" s="33"/>
      <c r="W1896" s="33"/>
      <c r="X1896" s="33"/>
      <c r="Y1896" s="33"/>
      <c r="Z1896" s="33"/>
      <c r="AA1896" s="33"/>
      <c r="AB1896" s="33"/>
      <c r="AC1896" s="33"/>
      <c r="AD1896" s="33"/>
      <c r="AE1896" s="33"/>
      <c r="AF1896" s="33"/>
      <c r="AG1896" s="33"/>
      <c r="AH1896" s="33"/>
      <c r="AI1896" s="33"/>
      <c r="AJ1896" s="33"/>
      <c r="AK1896" s="34" t="str">
        <f aca="false">IF($B1896="","",COUNTIF($F1896:$AJ1896,"P"))</f>
        <v/>
      </c>
      <c r="AL1896" s="34" t="str">
        <f aca="false">IF($B1896="","",COUNTIF($F1896:$AJ1896,"A"))</f>
        <v/>
      </c>
      <c r="AM1896" s="34" t="str">
        <f aca="false">IF($B1896="","",COUNTIF($F1896:$AJ1896,"HA"))</f>
        <v/>
      </c>
      <c r="AN1896" s="34" t="str">
        <f aca="false">IF($B1896="","",COUNTIF($F1896:$AJ1896,"L"))</f>
        <v/>
      </c>
      <c r="AO1896" s="34" t="str">
        <f aca="false">IF($B1896="","",COUNTIF($F1896:$AJ1896,"PL"))</f>
        <v/>
      </c>
      <c r="AP1896" s="34" t="str">
        <f aca="false">IF($B1896="","",COUNTIF($F1896:$AJ1896,"CL"))</f>
        <v/>
      </c>
      <c r="AQ1896" s="34" t="str">
        <f aca="false">IF($B1896="","",COUNTIF($F1896:$AJ1896,"SL"))</f>
        <v/>
      </c>
      <c r="AR1896" s="34" t="str">
        <f aca="false">IF($B1896="","",COUNTIF($F1896:$AJ1896,"CO"))</f>
        <v/>
      </c>
      <c r="AS1896" s="34" t="str">
        <f aca="false">IF($B1896="","",COUNTIF($F1896:$AJ1896,"HPL"))</f>
        <v/>
      </c>
      <c r="AT1896" s="34" t="str">
        <f aca="false">IF($B1896="","",COUNTIF($F1896:$AJ1896,"HCL"))</f>
        <v/>
      </c>
      <c r="AU1896" s="34" t="str">
        <f aca="false">IF($B1896="","",COUNTIF($F1896:$AJ1896,"WO"))</f>
        <v/>
      </c>
      <c r="AV1896" s="34" t="str">
        <f aca="false">IF($B1896="","",COUNTIF($F1896:$AJ1896,"PH"))</f>
        <v/>
      </c>
      <c r="AW1896" s="34" t="str">
        <f aca="false">IF($B1896="","",COUNTIF($F1896:$AJ1896,"TR"))</f>
        <v/>
      </c>
      <c r="AX1896" s="35" t="str">
        <f aca="false">IF($B1896="","",AO1896+AS1896/2)</f>
        <v/>
      </c>
      <c r="AY1896" s="35" t="str">
        <f aca="false">IF($B1896="","",AQ1896)</f>
        <v/>
      </c>
      <c r="AZ1896" s="35" t="str">
        <f aca="false">IF($B1896="","",AP1896+AT1896/2)</f>
        <v/>
      </c>
      <c r="BA1896" s="35" t="str">
        <f aca="false">IF($B1896="","",AK1896+AN1896+AM1896/2+AO1896+AP1896+AQ1896+AR1896+AS1896+AT1896+AU1896+AV1896+AW1896)</f>
        <v/>
      </c>
      <c r="BB1896" s="35" t="str">
        <f aca="false">IF($B1896="","",MAX(0,AN1896-Settings!$C$16)*Settings!$C$17)</f>
        <v/>
      </c>
      <c r="BC1896" s="35" t="str">
        <f aca="false">IF($B1896="","",BA1896-BB1896)</f>
        <v/>
      </c>
      <c r="BD1896" s="35" t="str">
        <f aca="false">IF(OR($B1896="",$A1896=""),"",DAY(EOMONTH($A1896,0))-COUNTA($F1896:$AJ1896))</f>
        <v/>
      </c>
    </row>
    <row r="1897" customFormat="false" ht="15" hidden="false" customHeight="false" outlineLevel="0" collapsed="false">
      <c r="A1897" s="32"/>
      <c r="B1897" s="29"/>
      <c r="C1897" s="10" t="str">
        <f aca="false">IF($B1897="","",IFERROR(INDEX(M_name,MATCH($B1897,M_emp,0)),"Code not found"))</f>
        <v/>
      </c>
      <c r="D1897" s="10" t="str">
        <f aca="false">IF($B1897="","",IFERROR(INDEX(M_dept,MATCH($B1897,M_emp,0)),""))</f>
        <v/>
      </c>
      <c r="E1897" s="10" t="str">
        <f aca="false">IF($B1897="","",IFERROR(INDEX(M_loc,MATCH($B1897,M_emp,0)),""))</f>
        <v/>
      </c>
      <c r="F1897" s="33"/>
      <c r="G1897" s="33"/>
      <c r="H1897" s="33"/>
      <c r="I1897" s="33"/>
      <c r="J1897" s="33"/>
      <c r="K1897" s="33"/>
      <c r="L1897" s="33"/>
      <c r="M1897" s="33"/>
      <c r="N1897" s="33"/>
      <c r="O1897" s="33"/>
      <c r="P1897" s="33"/>
      <c r="Q1897" s="33"/>
      <c r="R1897" s="33"/>
      <c r="S1897" s="33"/>
      <c r="T1897" s="33"/>
      <c r="U1897" s="33"/>
      <c r="V1897" s="33"/>
      <c r="W1897" s="33"/>
      <c r="X1897" s="33"/>
      <c r="Y1897" s="33"/>
      <c r="Z1897" s="33"/>
      <c r="AA1897" s="33"/>
      <c r="AB1897" s="33"/>
      <c r="AC1897" s="33"/>
      <c r="AD1897" s="33"/>
      <c r="AE1897" s="33"/>
      <c r="AF1897" s="33"/>
      <c r="AG1897" s="33"/>
      <c r="AH1897" s="33"/>
      <c r="AI1897" s="33"/>
      <c r="AJ1897" s="33"/>
      <c r="AK1897" s="34" t="str">
        <f aca="false">IF($B1897="","",COUNTIF($F1897:$AJ1897,"P"))</f>
        <v/>
      </c>
      <c r="AL1897" s="34" t="str">
        <f aca="false">IF($B1897="","",COUNTIF($F1897:$AJ1897,"A"))</f>
        <v/>
      </c>
      <c r="AM1897" s="34" t="str">
        <f aca="false">IF($B1897="","",COUNTIF($F1897:$AJ1897,"HA"))</f>
        <v/>
      </c>
      <c r="AN1897" s="34" t="str">
        <f aca="false">IF($B1897="","",COUNTIF($F1897:$AJ1897,"L"))</f>
        <v/>
      </c>
      <c r="AO1897" s="34" t="str">
        <f aca="false">IF($B1897="","",COUNTIF($F1897:$AJ1897,"PL"))</f>
        <v/>
      </c>
      <c r="AP1897" s="34" t="str">
        <f aca="false">IF($B1897="","",COUNTIF($F1897:$AJ1897,"CL"))</f>
        <v/>
      </c>
      <c r="AQ1897" s="34" t="str">
        <f aca="false">IF($B1897="","",COUNTIF($F1897:$AJ1897,"SL"))</f>
        <v/>
      </c>
      <c r="AR1897" s="34" t="str">
        <f aca="false">IF($B1897="","",COUNTIF($F1897:$AJ1897,"CO"))</f>
        <v/>
      </c>
      <c r="AS1897" s="34" t="str">
        <f aca="false">IF($B1897="","",COUNTIF($F1897:$AJ1897,"HPL"))</f>
        <v/>
      </c>
      <c r="AT1897" s="34" t="str">
        <f aca="false">IF($B1897="","",COUNTIF($F1897:$AJ1897,"HCL"))</f>
        <v/>
      </c>
      <c r="AU1897" s="34" t="str">
        <f aca="false">IF($B1897="","",COUNTIF($F1897:$AJ1897,"WO"))</f>
        <v/>
      </c>
      <c r="AV1897" s="34" t="str">
        <f aca="false">IF($B1897="","",COUNTIF($F1897:$AJ1897,"PH"))</f>
        <v/>
      </c>
      <c r="AW1897" s="34" t="str">
        <f aca="false">IF($B1897="","",COUNTIF($F1897:$AJ1897,"TR"))</f>
        <v/>
      </c>
      <c r="AX1897" s="35" t="str">
        <f aca="false">IF($B1897="","",AO1897+AS1897/2)</f>
        <v/>
      </c>
      <c r="AY1897" s="35" t="str">
        <f aca="false">IF($B1897="","",AQ1897)</f>
        <v/>
      </c>
      <c r="AZ1897" s="35" t="str">
        <f aca="false">IF($B1897="","",AP1897+AT1897/2)</f>
        <v/>
      </c>
      <c r="BA1897" s="35" t="str">
        <f aca="false">IF($B1897="","",AK1897+AN1897+AM1897/2+AO1897+AP1897+AQ1897+AR1897+AS1897+AT1897+AU1897+AV1897+AW1897)</f>
        <v/>
      </c>
      <c r="BB1897" s="35" t="str">
        <f aca="false">IF($B1897="","",MAX(0,AN1897-Settings!$C$16)*Settings!$C$17)</f>
        <v/>
      </c>
      <c r="BC1897" s="35" t="str">
        <f aca="false">IF($B1897="","",BA1897-BB1897)</f>
        <v/>
      </c>
      <c r="BD1897" s="35" t="str">
        <f aca="false">IF(OR($B1897="",$A1897=""),"",DAY(EOMONTH($A1897,0))-COUNTA($F1897:$AJ1897))</f>
        <v/>
      </c>
    </row>
    <row r="1898" customFormat="false" ht="15" hidden="false" customHeight="false" outlineLevel="0" collapsed="false">
      <c r="A1898" s="32"/>
      <c r="B1898" s="29"/>
      <c r="C1898" s="10" t="str">
        <f aca="false">IF($B1898="","",IFERROR(INDEX(M_name,MATCH($B1898,M_emp,0)),"Code not found"))</f>
        <v/>
      </c>
      <c r="D1898" s="10" t="str">
        <f aca="false">IF($B1898="","",IFERROR(INDEX(M_dept,MATCH($B1898,M_emp,0)),""))</f>
        <v/>
      </c>
      <c r="E1898" s="10" t="str">
        <f aca="false">IF($B1898="","",IFERROR(INDEX(M_loc,MATCH($B1898,M_emp,0)),""))</f>
        <v/>
      </c>
      <c r="F1898" s="33"/>
      <c r="G1898" s="33"/>
      <c r="H1898" s="33"/>
      <c r="I1898" s="33"/>
      <c r="J1898" s="33"/>
      <c r="K1898" s="33"/>
      <c r="L1898" s="33"/>
      <c r="M1898" s="33"/>
      <c r="N1898" s="33"/>
      <c r="O1898" s="33"/>
      <c r="P1898" s="33"/>
      <c r="Q1898" s="33"/>
      <c r="R1898" s="33"/>
      <c r="S1898" s="33"/>
      <c r="T1898" s="33"/>
      <c r="U1898" s="33"/>
      <c r="V1898" s="33"/>
      <c r="W1898" s="33"/>
      <c r="X1898" s="33"/>
      <c r="Y1898" s="33"/>
      <c r="Z1898" s="33"/>
      <c r="AA1898" s="33"/>
      <c r="AB1898" s="33"/>
      <c r="AC1898" s="33"/>
      <c r="AD1898" s="33"/>
      <c r="AE1898" s="33"/>
      <c r="AF1898" s="33"/>
      <c r="AG1898" s="33"/>
      <c r="AH1898" s="33"/>
      <c r="AI1898" s="33"/>
      <c r="AJ1898" s="33"/>
      <c r="AK1898" s="34" t="str">
        <f aca="false">IF($B1898="","",COUNTIF($F1898:$AJ1898,"P"))</f>
        <v/>
      </c>
      <c r="AL1898" s="34" t="str">
        <f aca="false">IF($B1898="","",COUNTIF($F1898:$AJ1898,"A"))</f>
        <v/>
      </c>
      <c r="AM1898" s="34" t="str">
        <f aca="false">IF($B1898="","",COUNTIF($F1898:$AJ1898,"HA"))</f>
        <v/>
      </c>
      <c r="AN1898" s="34" t="str">
        <f aca="false">IF($B1898="","",COUNTIF($F1898:$AJ1898,"L"))</f>
        <v/>
      </c>
      <c r="AO1898" s="34" t="str">
        <f aca="false">IF($B1898="","",COUNTIF($F1898:$AJ1898,"PL"))</f>
        <v/>
      </c>
      <c r="AP1898" s="34" t="str">
        <f aca="false">IF($B1898="","",COUNTIF($F1898:$AJ1898,"CL"))</f>
        <v/>
      </c>
      <c r="AQ1898" s="34" t="str">
        <f aca="false">IF($B1898="","",COUNTIF($F1898:$AJ1898,"SL"))</f>
        <v/>
      </c>
      <c r="AR1898" s="34" t="str">
        <f aca="false">IF($B1898="","",COUNTIF($F1898:$AJ1898,"CO"))</f>
        <v/>
      </c>
      <c r="AS1898" s="34" t="str">
        <f aca="false">IF($B1898="","",COUNTIF($F1898:$AJ1898,"HPL"))</f>
        <v/>
      </c>
      <c r="AT1898" s="34" t="str">
        <f aca="false">IF($B1898="","",COUNTIF($F1898:$AJ1898,"HCL"))</f>
        <v/>
      </c>
      <c r="AU1898" s="34" t="str">
        <f aca="false">IF($B1898="","",COUNTIF($F1898:$AJ1898,"WO"))</f>
        <v/>
      </c>
      <c r="AV1898" s="34" t="str">
        <f aca="false">IF($B1898="","",COUNTIF($F1898:$AJ1898,"PH"))</f>
        <v/>
      </c>
      <c r="AW1898" s="34" t="str">
        <f aca="false">IF($B1898="","",COUNTIF($F1898:$AJ1898,"TR"))</f>
        <v/>
      </c>
      <c r="AX1898" s="35" t="str">
        <f aca="false">IF($B1898="","",AO1898+AS1898/2)</f>
        <v/>
      </c>
      <c r="AY1898" s="35" t="str">
        <f aca="false">IF($B1898="","",AQ1898)</f>
        <v/>
      </c>
      <c r="AZ1898" s="35" t="str">
        <f aca="false">IF($B1898="","",AP1898+AT1898/2)</f>
        <v/>
      </c>
      <c r="BA1898" s="35" t="str">
        <f aca="false">IF($B1898="","",AK1898+AN1898+AM1898/2+AO1898+AP1898+AQ1898+AR1898+AS1898+AT1898+AU1898+AV1898+AW1898)</f>
        <v/>
      </c>
      <c r="BB1898" s="35" t="str">
        <f aca="false">IF($B1898="","",MAX(0,AN1898-Settings!$C$16)*Settings!$C$17)</f>
        <v/>
      </c>
      <c r="BC1898" s="35" t="str">
        <f aca="false">IF($B1898="","",BA1898-BB1898)</f>
        <v/>
      </c>
      <c r="BD1898" s="35" t="str">
        <f aca="false">IF(OR($B1898="",$A1898=""),"",DAY(EOMONTH($A1898,0))-COUNTA($F1898:$AJ1898))</f>
        <v/>
      </c>
    </row>
    <row r="1899" customFormat="false" ht="15" hidden="false" customHeight="false" outlineLevel="0" collapsed="false">
      <c r="A1899" s="32"/>
      <c r="B1899" s="29"/>
      <c r="C1899" s="10" t="str">
        <f aca="false">IF($B1899="","",IFERROR(INDEX(M_name,MATCH($B1899,M_emp,0)),"Code not found"))</f>
        <v/>
      </c>
      <c r="D1899" s="10" t="str">
        <f aca="false">IF($B1899="","",IFERROR(INDEX(M_dept,MATCH($B1899,M_emp,0)),""))</f>
        <v/>
      </c>
      <c r="E1899" s="10" t="str">
        <f aca="false">IF($B1899="","",IFERROR(INDEX(M_loc,MATCH($B1899,M_emp,0)),""))</f>
        <v/>
      </c>
      <c r="F1899" s="33"/>
      <c r="G1899" s="33"/>
      <c r="H1899" s="33"/>
      <c r="I1899" s="33"/>
      <c r="J1899" s="33"/>
      <c r="K1899" s="33"/>
      <c r="L1899" s="33"/>
      <c r="M1899" s="33"/>
      <c r="N1899" s="33"/>
      <c r="O1899" s="33"/>
      <c r="P1899" s="33"/>
      <c r="Q1899" s="33"/>
      <c r="R1899" s="33"/>
      <c r="S1899" s="33"/>
      <c r="T1899" s="33"/>
      <c r="U1899" s="33"/>
      <c r="V1899" s="33"/>
      <c r="W1899" s="33"/>
      <c r="X1899" s="33"/>
      <c r="Y1899" s="33"/>
      <c r="Z1899" s="33"/>
      <c r="AA1899" s="33"/>
      <c r="AB1899" s="33"/>
      <c r="AC1899" s="33"/>
      <c r="AD1899" s="33"/>
      <c r="AE1899" s="33"/>
      <c r="AF1899" s="33"/>
      <c r="AG1899" s="33"/>
      <c r="AH1899" s="33"/>
      <c r="AI1899" s="33"/>
      <c r="AJ1899" s="33"/>
      <c r="AK1899" s="34" t="str">
        <f aca="false">IF($B1899="","",COUNTIF($F1899:$AJ1899,"P"))</f>
        <v/>
      </c>
      <c r="AL1899" s="34" t="str">
        <f aca="false">IF($B1899="","",COUNTIF($F1899:$AJ1899,"A"))</f>
        <v/>
      </c>
      <c r="AM1899" s="34" t="str">
        <f aca="false">IF($B1899="","",COUNTIF($F1899:$AJ1899,"HA"))</f>
        <v/>
      </c>
      <c r="AN1899" s="34" t="str">
        <f aca="false">IF($B1899="","",COUNTIF($F1899:$AJ1899,"L"))</f>
        <v/>
      </c>
      <c r="AO1899" s="34" t="str">
        <f aca="false">IF($B1899="","",COUNTIF($F1899:$AJ1899,"PL"))</f>
        <v/>
      </c>
      <c r="AP1899" s="34" t="str">
        <f aca="false">IF($B1899="","",COUNTIF($F1899:$AJ1899,"CL"))</f>
        <v/>
      </c>
      <c r="AQ1899" s="34" t="str">
        <f aca="false">IF($B1899="","",COUNTIF($F1899:$AJ1899,"SL"))</f>
        <v/>
      </c>
      <c r="AR1899" s="34" t="str">
        <f aca="false">IF($B1899="","",COUNTIF($F1899:$AJ1899,"CO"))</f>
        <v/>
      </c>
      <c r="AS1899" s="34" t="str">
        <f aca="false">IF($B1899="","",COUNTIF($F1899:$AJ1899,"HPL"))</f>
        <v/>
      </c>
      <c r="AT1899" s="34" t="str">
        <f aca="false">IF($B1899="","",COUNTIF($F1899:$AJ1899,"HCL"))</f>
        <v/>
      </c>
      <c r="AU1899" s="34" t="str">
        <f aca="false">IF($B1899="","",COUNTIF($F1899:$AJ1899,"WO"))</f>
        <v/>
      </c>
      <c r="AV1899" s="34" t="str">
        <f aca="false">IF($B1899="","",COUNTIF($F1899:$AJ1899,"PH"))</f>
        <v/>
      </c>
      <c r="AW1899" s="34" t="str">
        <f aca="false">IF($B1899="","",COUNTIF($F1899:$AJ1899,"TR"))</f>
        <v/>
      </c>
      <c r="AX1899" s="35" t="str">
        <f aca="false">IF($B1899="","",AO1899+AS1899/2)</f>
        <v/>
      </c>
      <c r="AY1899" s="35" t="str">
        <f aca="false">IF($B1899="","",AQ1899)</f>
        <v/>
      </c>
      <c r="AZ1899" s="35" t="str">
        <f aca="false">IF($B1899="","",AP1899+AT1899/2)</f>
        <v/>
      </c>
      <c r="BA1899" s="35" t="str">
        <f aca="false">IF($B1899="","",AK1899+AN1899+AM1899/2+AO1899+AP1899+AQ1899+AR1899+AS1899+AT1899+AU1899+AV1899+AW1899)</f>
        <v/>
      </c>
      <c r="BB1899" s="35" t="str">
        <f aca="false">IF($B1899="","",MAX(0,AN1899-Settings!$C$16)*Settings!$C$17)</f>
        <v/>
      </c>
      <c r="BC1899" s="35" t="str">
        <f aca="false">IF($B1899="","",BA1899-BB1899)</f>
        <v/>
      </c>
      <c r="BD1899" s="35" t="str">
        <f aca="false">IF(OR($B1899="",$A1899=""),"",DAY(EOMONTH($A1899,0))-COUNTA($F1899:$AJ1899))</f>
        <v/>
      </c>
    </row>
    <row r="1900" customFormat="false" ht="15" hidden="false" customHeight="false" outlineLevel="0" collapsed="false">
      <c r="A1900" s="32"/>
      <c r="B1900" s="29"/>
      <c r="C1900" s="10" t="str">
        <f aca="false">IF($B1900="","",IFERROR(INDEX(M_name,MATCH($B1900,M_emp,0)),"Code not found"))</f>
        <v/>
      </c>
      <c r="D1900" s="10" t="str">
        <f aca="false">IF($B1900="","",IFERROR(INDEX(M_dept,MATCH($B1900,M_emp,0)),""))</f>
        <v/>
      </c>
      <c r="E1900" s="10" t="str">
        <f aca="false">IF($B1900="","",IFERROR(INDEX(M_loc,MATCH($B1900,M_emp,0)),""))</f>
        <v/>
      </c>
      <c r="F1900" s="33"/>
      <c r="G1900" s="33"/>
      <c r="H1900" s="33"/>
      <c r="I1900" s="33"/>
      <c r="J1900" s="33"/>
      <c r="K1900" s="33"/>
      <c r="L1900" s="33"/>
      <c r="M1900" s="33"/>
      <c r="N1900" s="33"/>
      <c r="O1900" s="33"/>
      <c r="P1900" s="33"/>
      <c r="Q1900" s="33"/>
      <c r="R1900" s="33"/>
      <c r="S1900" s="33"/>
      <c r="T1900" s="33"/>
      <c r="U1900" s="33"/>
      <c r="V1900" s="33"/>
      <c r="W1900" s="33"/>
      <c r="X1900" s="33"/>
      <c r="Y1900" s="33"/>
      <c r="Z1900" s="33"/>
      <c r="AA1900" s="33"/>
      <c r="AB1900" s="33"/>
      <c r="AC1900" s="33"/>
      <c r="AD1900" s="33"/>
      <c r="AE1900" s="33"/>
      <c r="AF1900" s="33"/>
      <c r="AG1900" s="33"/>
      <c r="AH1900" s="33"/>
      <c r="AI1900" s="33"/>
      <c r="AJ1900" s="33"/>
      <c r="AK1900" s="34" t="str">
        <f aca="false">IF($B1900="","",COUNTIF($F1900:$AJ1900,"P"))</f>
        <v/>
      </c>
      <c r="AL1900" s="34" t="str">
        <f aca="false">IF($B1900="","",COUNTIF($F1900:$AJ1900,"A"))</f>
        <v/>
      </c>
      <c r="AM1900" s="34" t="str">
        <f aca="false">IF($B1900="","",COUNTIF($F1900:$AJ1900,"HA"))</f>
        <v/>
      </c>
      <c r="AN1900" s="34" t="str">
        <f aca="false">IF($B1900="","",COUNTIF($F1900:$AJ1900,"L"))</f>
        <v/>
      </c>
      <c r="AO1900" s="34" t="str">
        <f aca="false">IF($B1900="","",COUNTIF($F1900:$AJ1900,"PL"))</f>
        <v/>
      </c>
      <c r="AP1900" s="34" t="str">
        <f aca="false">IF($B1900="","",COUNTIF($F1900:$AJ1900,"CL"))</f>
        <v/>
      </c>
      <c r="AQ1900" s="34" t="str">
        <f aca="false">IF($B1900="","",COUNTIF($F1900:$AJ1900,"SL"))</f>
        <v/>
      </c>
      <c r="AR1900" s="34" t="str">
        <f aca="false">IF($B1900="","",COUNTIF($F1900:$AJ1900,"CO"))</f>
        <v/>
      </c>
      <c r="AS1900" s="34" t="str">
        <f aca="false">IF($B1900="","",COUNTIF($F1900:$AJ1900,"HPL"))</f>
        <v/>
      </c>
      <c r="AT1900" s="34" t="str">
        <f aca="false">IF($B1900="","",COUNTIF($F1900:$AJ1900,"HCL"))</f>
        <v/>
      </c>
      <c r="AU1900" s="34" t="str">
        <f aca="false">IF($B1900="","",COUNTIF($F1900:$AJ1900,"WO"))</f>
        <v/>
      </c>
      <c r="AV1900" s="34" t="str">
        <f aca="false">IF($B1900="","",COUNTIF($F1900:$AJ1900,"PH"))</f>
        <v/>
      </c>
      <c r="AW1900" s="34" t="str">
        <f aca="false">IF($B1900="","",COUNTIF($F1900:$AJ1900,"TR"))</f>
        <v/>
      </c>
      <c r="AX1900" s="35" t="str">
        <f aca="false">IF($B1900="","",AO1900+AS1900/2)</f>
        <v/>
      </c>
      <c r="AY1900" s="35" t="str">
        <f aca="false">IF($B1900="","",AQ1900)</f>
        <v/>
      </c>
      <c r="AZ1900" s="35" t="str">
        <f aca="false">IF($B1900="","",AP1900+AT1900/2)</f>
        <v/>
      </c>
      <c r="BA1900" s="35" t="str">
        <f aca="false">IF($B1900="","",AK1900+AN1900+AM1900/2+AO1900+AP1900+AQ1900+AR1900+AS1900+AT1900+AU1900+AV1900+AW1900)</f>
        <v/>
      </c>
      <c r="BB1900" s="35" t="str">
        <f aca="false">IF($B1900="","",MAX(0,AN1900-Settings!$C$16)*Settings!$C$17)</f>
        <v/>
      </c>
      <c r="BC1900" s="35" t="str">
        <f aca="false">IF($B1900="","",BA1900-BB1900)</f>
        <v/>
      </c>
      <c r="BD1900" s="35" t="str">
        <f aca="false">IF(OR($B1900="",$A1900=""),"",DAY(EOMONTH($A1900,0))-COUNTA($F1900:$AJ1900))</f>
        <v/>
      </c>
    </row>
    <row r="1901" customFormat="false" ht="15" hidden="false" customHeight="false" outlineLevel="0" collapsed="false">
      <c r="A1901" s="32"/>
      <c r="B1901" s="29"/>
      <c r="C1901" s="10" t="str">
        <f aca="false">IF($B1901="","",IFERROR(INDEX(M_name,MATCH($B1901,M_emp,0)),"Code not found"))</f>
        <v/>
      </c>
      <c r="D1901" s="10" t="str">
        <f aca="false">IF($B1901="","",IFERROR(INDEX(M_dept,MATCH($B1901,M_emp,0)),""))</f>
        <v/>
      </c>
      <c r="E1901" s="10" t="str">
        <f aca="false">IF($B1901="","",IFERROR(INDEX(M_loc,MATCH($B1901,M_emp,0)),""))</f>
        <v/>
      </c>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c r="AB1901" s="33"/>
      <c r="AC1901" s="33"/>
      <c r="AD1901" s="33"/>
      <c r="AE1901" s="33"/>
      <c r="AF1901" s="33"/>
      <c r="AG1901" s="33"/>
      <c r="AH1901" s="33"/>
      <c r="AI1901" s="33"/>
      <c r="AJ1901" s="33"/>
      <c r="AK1901" s="34" t="str">
        <f aca="false">IF($B1901="","",COUNTIF($F1901:$AJ1901,"P"))</f>
        <v/>
      </c>
      <c r="AL1901" s="34" t="str">
        <f aca="false">IF($B1901="","",COUNTIF($F1901:$AJ1901,"A"))</f>
        <v/>
      </c>
      <c r="AM1901" s="34" t="str">
        <f aca="false">IF($B1901="","",COUNTIF($F1901:$AJ1901,"HA"))</f>
        <v/>
      </c>
      <c r="AN1901" s="34" t="str">
        <f aca="false">IF($B1901="","",COUNTIF($F1901:$AJ1901,"L"))</f>
        <v/>
      </c>
      <c r="AO1901" s="34" t="str">
        <f aca="false">IF($B1901="","",COUNTIF($F1901:$AJ1901,"PL"))</f>
        <v/>
      </c>
      <c r="AP1901" s="34" t="str">
        <f aca="false">IF($B1901="","",COUNTIF($F1901:$AJ1901,"CL"))</f>
        <v/>
      </c>
      <c r="AQ1901" s="34" t="str">
        <f aca="false">IF($B1901="","",COUNTIF($F1901:$AJ1901,"SL"))</f>
        <v/>
      </c>
      <c r="AR1901" s="34" t="str">
        <f aca="false">IF($B1901="","",COUNTIF($F1901:$AJ1901,"CO"))</f>
        <v/>
      </c>
      <c r="AS1901" s="34" t="str">
        <f aca="false">IF($B1901="","",COUNTIF($F1901:$AJ1901,"HPL"))</f>
        <v/>
      </c>
      <c r="AT1901" s="34" t="str">
        <f aca="false">IF($B1901="","",COUNTIF($F1901:$AJ1901,"HCL"))</f>
        <v/>
      </c>
      <c r="AU1901" s="34" t="str">
        <f aca="false">IF($B1901="","",COUNTIF($F1901:$AJ1901,"WO"))</f>
        <v/>
      </c>
      <c r="AV1901" s="34" t="str">
        <f aca="false">IF($B1901="","",COUNTIF($F1901:$AJ1901,"PH"))</f>
        <v/>
      </c>
      <c r="AW1901" s="34" t="str">
        <f aca="false">IF($B1901="","",COUNTIF($F1901:$AJ1901,"TR"))</f>
        <v/>
      </c>
      <c r="AX1901" s="35" t="str">
        <f aca="false">IF($B1901="","",AO1901+AS1901/2)</f>
        <v/>
      </c>
      <c r="AY1901" s="35" t="str">
        <f aca="false">IF($B1901="","",AQ1901)</f>
        <v/>
      </c>
      <c r="AZ1901" s="35" t="str">
        <f aca="false">IF($B1901="","",AP1901+AT1901/2)</f>
        <v/>
      </c>
      <c r="BA1901" s="35" t="str">
        <f aca="false">IF($B1901="","",AK1901+AN1901+AM1901/2+AO1901+AP1901+AQ1901+AR1901+AS1901+AT1901+AU1901+AV1901+AW1901)</f>
        <v/>
      </c>
      <c r="BB1901" s="35" t="str">
        <f aca="false">IF($B1901="","",MAX(0,AN1901-Settings!$C$16)*Settings!$C$17)</f>
        <v/>
      </c>
      <c r="BC1901" s="35" t="str">
        <f aca="false">IF($B1901="","",BA1901-BB1901)</f>
        <v/>
      </c>
      <c r="BD1901" s="35" t="str">
        <f aca="false">IF(OR($B1901="",$A1901=""),"",DAY(EOMONTH($A1901,0))-COUNTA($F1901:$AJ1901))</f>
        <v/>
      </c>
    </row>
    <row r="1902" customFormat="false" ht="15" hidden="false" customHeight="false" outlineLevel="0" collapsed="false">
      <c r="A1902" s="32"/>
      <c r="B1902" s="29"/>
      <c r="C1902" s="10" t="str">
        <f aca="false">IF($B1902="","",IFERROR(INDEX(M_name,MATCH($B1902,M_emp,0)),"Code not found"))</f>
        <v/>
      </c>
      <c r="D1902" s="10" t="str">
        <f aca="false">IF($B1902="","",IFERROR(INDEX(M_dept,MATCH($B1902,M_emp,0)),""))</f>
        <v/>
      </c>
      <c r="E1902" s="10" t="str">
        <f aca="false">IF($B1902="","",IFERROR(INDEX(M_loc,MATCH($B1902,M_emp,0)),""))</f>
        <v/>
      </c>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c r="AB1902" s="33"/>
      <c r="AC1902" s="33"/>
      <c r="AD1902" s="33"/>
      <c r="AE1902" s="33"/>
      <c r="AF1902" s="33"/>
      <c r="AG1902" s="33"/>
      <c r="AH1902" s="33"/>
      <c r="AI1902" s="33"/>
      <c r="AJ1902" s="33"/>
      <c r="AK1902" s="34" t="str">
        <f aca="false">IF($B1902="","",COUNTIF($F1902:$AJ1902,"P"))</f>
        <v/>
      </c>
      <c r="AL1902" s="34" t="str">
        <f aca="false">IF($B1902="","",COUNTIF($F1902:$AJ1902,"A"))</f>
        <v/>
      </c>
      <c r="AM1902" s="34" t="str">
        <f aca="false">IF($B1902="","",COUNTIF($F1902:$AJ1902,"HA"))</f>
        <v/>
      </c>
      <c r="AN1902" s="34" t="str">
        <f aca="false">IF($B1902="","",COUNTIF($F1902:$AJ1902,"L"))</f>
        <v/>
      </c>
      <c r="AO1902" s="34" t="str">
        <f aca="false">IF($B1902="","",COUNTIF($F1902:$AJ1902,"PL"))</f>
        <v/>
      </c>
      <c r="AP1902" s="34" t="str">
        <f aca="false">IF($B1902="","",COUNTIF($F1902:$AJ1902,"CL"))</f>
        <v/>
      </c>
      <c r="AQ1902" s="34" t="str">
        <f aca="false">IF($B1902="","",COUNTIF($F1902:$AJ1902,"SL"))</f>
        <v/>
      </c>
      <c r="AR1902" s="34" t="str">
        <f aca="false">IF($B1902="","",COUNTIF($F1902:$AJ1902,"CO"))</f>
        <v/>
      </c>
      <c r="AS1902" s="34" t="str">
        <f aca="false">IF($B1902="","",COUNTIF($F1902:$AJ1902,"HPL"))</f>
        <v/>
      </c>
      <c r="AT1902" s="34" t="str">
        <f aca="false">IF($B1902="","",COUNTIF($F1902:$AJ1902,"HCL"))</f>
        <v/>
      </c>
      <c r="AU1902" s="34" t="str">
        <f aca="false">IF($B1902="","",COUNTIF($F1902:$AJ1902,"WO"))</f>
        <v/>
      </c>
      <c r="AV1902" s="34" t="str">
        <f aca="false">IF($B1902="","",COUNTIF($F1902:$AJ1902,"PH"))</f>
        <v/>
      </c>
      <c r="AW1902" s="34" t="str">
        <f aca="false">IF($B1902="","",COUNTIF($F1902:$AJ1902,"TR"))</f>
        <v/>
      </c>
      <c r="AX1902" s="35" t="str">
        <f aca="false">IF($B1902="","",AO1902+AS1902/2)</f>
        <v/>
      </c>
      <c r="AY1902" s="35" t="str">
        <f aca="false">IF($B1902="","",AQ1902)</f>
        <v/>
      </c>
      <c r="AZ1902" s="35" t="str">
        <f aca="false">IF($B1902="","",AP1902+AT1902/2)</f>
        <v/>
      </c>
      <c r="BA1902" s="35" t="str">
        <f aca="false">IF($B1902="","",AK1902+AN1902+AM1902/2+AO1902+AP1902+AQ1902+AR1902+AS1902+AT1902+AU1902+AV1902+AW1902)</f>
        <v/>
      </c>
      <c r="BB1902" s="35" t="str">
        <f aca="false">IF($B1902="","",MAX(0,AN1902-Settings!$C$16)*Settings!$C$17)</f>
        <v/>
      </c>
      <c r="BC1902" s="35" t="str">
        <f aca="false">IF($B1902="","",BA1902-BB1902)</f>
        <v/>
      </c>
      <c r="BD1902" s="35" t="str">
        <f aca="false">IF(OR($B1902="",$A1902=""),"",DAY(EOMONTH($A1902,0))-COUNTA($F1902:$AJ1902))</f>
        <v/>
      </c>
    </row>
    <row r="1903" customFormat="false" ht="15" hidden="false" customHeight="false" outlineLevel="0" collapsed="false">
      <c r="A1903" s="32"/>
      <c r="B1903" s="29"/>
      <c r="C1903" s="10" t="str">
        <f aca="false">IF($B1903="","",IFERROR(INDEX(M_name,MATCH($B1903,M_emp,0)),"Code not found"))</f>
        <v/>
      </c>
      <c r="D1903" s="10" t="str">
        <f aca="false">IF($B1903="","",IFERROR(INDEX(M_dept,MATCH($B1903,M_emp,0)),""))</f>
        <v/>
      </c>
      <c r="E1903" s="10" t="str">
        <f aca="false">IF($B1903="","",IFERROR(INDEX(M_loc,MATCH($B1903,M_emp,0)),""))</f>
        <v/>
      </c>
      <c r="F1903" s="33"/>
      <c r="G1903" s="33"/>
      <c r="H1903" s="33"/>
      <c r="I1903" s="33"/>
      <c r="J1903" s="33"/>
      <c r="K1903" s="33"/>
      <c r="L1903" s="33"/>
      <c r="M1903" s="33"/>
      <c r="N1903" s="33"/>
      <c r="O1903" s="33"/>
      <c r="P1903" s="33"/>
      <c r="Q1903" s="33"/>
      <c r="R1903" s="33"/>
      <c r="S1903" s="33"/>
      <c r="T1903" s="33"/>
      <c r="U1903" s="33"/>
      <c r="V1903" s="33"/>
      <c r="W1903" s="33"/>
      <c r="X1903" s="33"/>
      <c r="Y1903" s="33"/>
      <c r="Z1903" s="33"/>
      <c r="AA1903" s="33"/>
      <c r="AB1903" s="33"/>
      <c r="AC1903" s="33"/>
      <c r="AD1903" s="33"/>
      <c r="AE1903" s="33"/>
      <c r="AF1903" s="33"/>
      <c r="AG1903" s="33"/>
      <c r="AH1903" s="33"/>
      <c r="AI1903" s="33"/>
      <c r="AJ1903" s="33"/>
      <c r="AK1903" s="34" t="str">
        <f aca="false">IF($B1903="","",COUNTIF($F1903:$AJ1903,"P"))</f>
        <v/>
      </c>
      <c r="AL1903" s="34" t="str">
        <f aca="false">IF($B1903="","",COUNTIF($F1903:$AJ1903,"A"))</f>
        <v/>
      </c>
      <c r="AM1903" s="34" t="str">
        <f aca="false">IF($B1903="","",COUNTIF($F1903:$AJ1903,"HA"))</f>
        <v/>
      </c>
      <c r="AN1903" s="34" t="str">
        <f aca="false">IF($B1903="","",COUNTIF($F1903:$AJ1903,"L"))</f>
        <v/>
      </c>
      <c r="AO1903" s="34" t="str">
        <f aca="false">IF($B1903="","",COUNTIF($F1903:$AJ1903,"PL"))</f>
        <v/>
      </c>
      <c r="AP1903" s="34" t="str">
        <f aca="false">IF($B1903="","",COUNTIF($F1903:$AJ1903,"CL"))</f>
        <v/>
      </c>
      <c r="AQ1903" s="34" t="str">
        <f aca="false">IF($B1903="","",COUNTIF($F1903:$AJ1903,"SL"))</f>
        <v/>
      </c>
      <c r="AR1903" s="34" t="str">
        <f aca="false">IF($B1903="","",COUNTIF($F1903:$AJ1903,"CO"))</f>
        <v/>
      </c>
      <c r="AS1903" s="34" t="str">
        <f aca="false">IF($B1903="","",COUNTIF($F1903:$AJ1903,"HPL"))</f>
        <v/>
      </c>
      <c r="AT1903" s="34" t="str">
        <f aca="false">IF($B1903="","",COUNTIF($F1903:$AJ1903,"HCL"))</f>
        <v/>
      </c>
      <c r="AU1903" s="34" t="str">
        <f aca="false">IF($B1903="","",COUNTIF($F1903:$AJ1903,"WO"))</f>
        <v/>
      </c>
      <c r="AV1903" s="34" t="str">
        <f aca="false">IF($B1903="","",COUNTIF($F1903:$AJ1903,"PH"))</f>
        <v/>
      </c>
      <c r="AW1903" s="34" t="str">
        <f aca="false">IF($B1903="","",COUNTIF($F1903:$AJ1903,"TR"))</f>
        <v/>
      </c>
      <c r="AX1903" s="35" t="str">
        <f aca="false">IF($B1903="","",AO1903+AS1903/2)</f>
        <v/>
      </c>
      <c r="AY1903" s="35" t="str">
        <f aca="false">IF($B1903="","",AQ1903)</f>
        <v/>
      </c>
      <c r="AZ1903" s="35" t="str">
        <f aca="false">IF($B1903="","",AP1903+AT1903/2)</f>
        <v/>
      </c>
      <c r="BA1903" s="35" t="str">
        <f aca="false">IF($B1903="","",AK1903+AN1903+AM1903/2+AO1903+AP1903+AQ1903+AR1903+AS1903+AT1903+AU1903+AV1903+AW1903)</f>
        <v/>
      </c>
      <c r="BB1903" s="35" t="str">
        <f aca="false">IF($B1903="","",MAX(0,AN1903-Settings!$C$16)*Settings!$C$17)</f>
        <v/>
      </c>
      <c r="BC1903" s="35" t="str">
        <f aca="false">IF($B1903="","",BA1903-BB1903)</f>
        <v/>
      </c>
      <c r="BD1903" s="35" t="str">
        <f aca="false">IF(OR($B1903="",$A1903=""),"",DAY(EOMONTH($A1903,0))-COUNTA($F1903:$AJ1903))</f>
        <v/>
      </c>
    </row>
    <row r="1904" customFormat="false" ht="15" hidden="false" customHeight="false" outlineLevel="0" collapsed="false">
      <c r="A1904" s="32"/>
      <c r="B1904" s="29"/>
      <c r="C1904" s="10" t="str">
        <f aca="false">IF($B1904="","",IFERROR(INDEX(M_name,MATCH($B1904,M_emp,0)),"Code not found"))</f>
        <v/>
      </c>
      <c r="D1904" s="10" t="str">
        <f aca="false">IF($B1904="","",IFERROR(INDEX(M_dept,MATCH($B1904,M_emp,0)),""))</f>
        <v/>
      </c>
      <c r="E1904" s="10" t="str">
        <f aca="false">IF($B1904="","",IFERROR(INDEX(M_loc,MATCH($B1904,M_emp,0)),""))</f>
        <v/>
      </c>
      <c r="F1904" s="33"/>
      <c r="G1904" s="33"/>
      <c r="H1904" s="33"/>
      <c r="I1904" s="33"/>
      <c r="J1904" s="33"/>
      <c r="K1904" s="33"/>
      <c r="L1904" s="33"/>
      <c r="M1904" s="33"/>
      <c r="N1904" s="33"/>
      <c r="O1904" s="33"/>
      <c r="P1904" s="33"/>
      <c r="Q1904" s="33"/>
      <c r="R1904" s="33"/>
      <c r="S1904" s="33"/>
      <c r="T1904" s="33"/>
      <c r="U1904" s="33"/>
      <c r="V1904" s="33"/>
      <c r="W1904" s="33"/>
      <c r="X1904" s="33"/>
      <c r="Y1904" s="33"/>
      <c r="Z1904" s="33"/>
      <c r="AA1904" s="33"/>
      <c r="AB1904" s="33"/>
      <c r="AC1904" s="33"/>
      <c r="AD1904" s="33"/>
      <c r="AE1904" s="33"/>
      <c r="AF1904" s="33"/>
      <c r="AG1904" s="33"/>
      <c r="AH1904" s="33"/>
      <c r="AI1904" s="33"/>
      <c r="AJ1904" s="33"/>
      <c r="AK1904" s="34" t="str">
        <f aca="false">IF($B1904="","",COUNTIF($F1904:$AJ1904,"P"))</f>
        <v/>
      </c>
      <c r="AL1904" s="34" t="str">
        <f aca="false">IF($B1904="","",COUNTIF($F1904:$AJ1904,"A"))</f>
        <v/>
      </c>
      <c r="AM1904" s="34" t="str">
        <f aca="false">IF($B1904="","",COUNTIF($F1904:$AJ1904,"HA"))</f>
        <v/>
      </c>
      <c r="AN1904" s="34" t="str">
        <f aca="false">IF($B1904="","",COUNTIF($F1904:$AJ1904,"L"))</f>
        <v/>
      </c>
      <c r="AO1904" s="34" t="str">
        <f aca="false">IF($B1904="","",COUNTIF($F1904:$AJ1904,"PL"))</f>
        <v/>
      </c>
      <c r="AP1904" s="34" t="str">
        <f aca="false">IF($B1904="","",COUNTIF($F1904:$AJ1904,"CL"))</f>
        <v/>
      </c>
      <c r="AQ1904" s="34" t="str">
        <f aca="false">IF($B1904="","",COUNTIF($F1904:$AJ1904,"SL"))</f>
        <v/>
      </c>
      <c r="AR1904" s="34" t="str">
        <f aca="false">IF($B1904="","",COUNTIF($F1904:$AJ1904,"CO"))</f>
        <v/>
      </c>
      <c r="AS1904" s="34" t="str">
        <f aca="false">IF($B1904="","",COUNTIF($F1904:$AJ1904,"HPL"))</f>
        <v/>
      </c>
      <c r="AT1904" s="34" t="str">
        <f aca="false">IF($B1904="","",COUNTIF($F1904:$AJ1904,"HCL"))</f>
        <v/>
      </c>
      <c r="AU1904" s="34" t="str">
        <f aca="false">IF($B1904="","",COUNTIF($F1904:$AJ1904,"WO"))</f>
        <v/>
      </c>
      <c r="AV1904" s="34" t="str">
        <f aca="false">IF($B1904="","",COUNTIF($F1904:$AJ1904,"PH"))</f>
        <v/>
      </c>
      <c r="AW1904" s="34" t="str">
        <f aca="false">IF($B1904="","",COUNTIF($F1904:$AJ1904,"TR"))</f>
        <v/>
      </c>
      <c r="AX1904" s="35" t="str">
        <f aca="false">IF($B1904="","",AO1904+AS1904/2)</f>
        <v/>
      </c>
      <c r="AY1904" s="35" t="str">
        <f aca="false">IF($B1904="","",AQ1904)</f>
        <v/>
      </c>
      <c r="AZ1904" s="35" t="str">
        <f aca="false">IF($B1904="","",AP1904+AT1904/2)</f>
        <v/>
      </c>
      <c r="BA1904" s="35" t="str">
        <f aca="false">IF($B1904="","",AK1904+AN1904+AM1904/2+AO1904+AP1904+AQ1904+AR1904+AS1904+AT1904+AU1904+AV1904+AW1904)</f>
        <v/>
      </c>
      <c r="BB1904" s="35" t="str">
        <f aca="false">IF($B1904="","",MAX(0,AN1904-Settings!$C$16)*Settings!$C$17)</f>
        <v/>
      </c>
      <c r="BC1904" s="35" t="str">
        <f aca="false">IF($B1904="","",BA1904-BB1904)</f>
        <v/>
      </c>
      <c r="BD1904" s="35" t="str">
        <f aca="false">IF(OR($B1904="",$A1904=""),"",DAY(EOMONTH($A1904,0))-COUNTA($F1904:$AJ1904))</f>
        <v/>
      </c>
    </row>
    <row r="1905" customFormat="false" ht="15" hidden="false" customHeight="false" outlineLevel="0" collapsed="false">
      <c r="A1905" s="32"/>
      <c r="B1905" s="29"/>
      <c r="C1905" s="10" t="str">
        <f aca="false">IF($B1905="","",IFERROR(INDEX(M_name,MATCH($B1905,M_emp,0)),"Code not found"))</f>
        <v/>
      </c>
      <c r="D1905" s="10" t="str">
        <f aca="false">IF($B1905="","",IFERROR(INDEX(M_dept,MATCH($B1905,M_emp,0)),""))</f>
        <v/>
      </c>
      <c r="E1905" s="10" t="str">
        <f aca="false">IF($B1905="","",IFERROR(INDEX(M_loc,MATCH($B1905,M_emp,0)),""))</f>
        <v/>
      </c>
      <c r="F1905" s="33"/>
      <c r="G1905" s="33"/>
      <c r="H1905" s="33"/>
      <c r="I1905" s="33"/>
      <c r="J1905" s="33"/>
      <c r="K1905" s="33"/>
      <c r="L1905" s="33"/>
      <c r="M1905" s="33"/>
      <c r="N1905" s="33"/>
      <c r="O1905" s="33"/>
      <c r="P1905" s="33"/>
      <c r="Q1905" s="33"/>
      <c r="R1905" s="33"/>
      <c r="S1905" s="33"/>
      <c r="T1905" s="33"/>
      <c r="U1905" s="33"/>
      <c r="V1905" s="33"/>
      <c r="W1905" s="33"/>
      <c r="X1905" s="33"/>
      <c r="Y1905" s="33"/>
      <c r="Z1905" s="33"/>
      <c r="AA1905" s="33"/>
      <c r="AB1905" s="33"/>
      <c r="AC1905" s="33"/>
      <c r="AD1905" s="33"/>
      <c r="AE1905" s="33"/>
      <c r="AF1905" s="33"/>
      <c r="AG1905" s="33"/>
      <c r="AH1905" s="33"/>
      <c r="AI1905" s="33"/>
      <c r="AJ1905" s="33"/>
      <c r="AK1905" s="34" t="str">
        <f aca="false">IF($B1905="","",COUNTIF($F1905:$AJ1905,"P"))</f>
        <v/>
      </c>
      <c r="AL1905" s="34" t="str">
        <f aca="false">IF($B1905="","",COUNTIF($F1905:$AJ1905,"A"))</f>
        <v/>
      </c>
      <c r="AM1905" s="34" t="str">
        <f aca="false">IF($B1905="","",COUNTIF($F1905:$AJ1905,"HA"))</f>
        <v/>
      </c>
      <c r="AN1905" s="34" t="str">
        <f aca="false">IF($B1905="","",COUNTIF($F1905:$AJ1905,"L"))</f>
        <v/>
      </c>
      <c r="AO1905" s="34" t="str">
        <f aca="false">IF($B1905="","",COUNTIF($F1905:$AJ1905,"PL"))</f>
        <v/>
      </c>
      <c r="AP1905" s="34" t="str">
        <f aca="false">IF($B1905="","",COUNTIF($F1905:$AJ1905,"CL"))</f>
        <v/>
      </c>
      <c r="AQ1905" s="34" t="str">
        <f aca="false">IF($B1905="","",COUNTIF($F1905:$AJ1905,"SL"))</f>
        <v/>
      </c>
      <c r="AR1905" s="34" t="str">
        <f aca="false">IF($B1905="","",COUNTIF($F1905:$AJ1905,"CO"))</f>
        <v/>
      </c>
      <c r="AS1905" s="34" t="str">
        <f aca="false">IF($B1905="","",COUNTIF($F1905:$AJ1905,"HPL"))</f>
        <v/>
      </c>
      <c r="AT1905" s="34" t="str">
        <f aca="false">IF($B1905="","",COUNTIF($F1905:$AJ1905,"HCL"))</f>
        <v/>
      </c>
      <c r="AU1905" s="34" t="str">
        <f aca="false">IF($B1905="","",COUNTIF($F1905:$AJ1905,"WO"))</f>
        <v/>
      </c>
      <c r="AV1905" s="34" t="str">
        <f aca="false">IF($B1905="","",COUNTIF($F1905:$AJ1905,"PH"))</f>
        <v/>
      </c>
      <c r="AW1905" s="34" t="str">
        <f aca="false">IF($B1905="","",COUNTIF($F1905:$AJ1905,"TR"))</f>
        <v/>
      </c>
      <c r="AX1905" s="35" t="str">
        <f aca="false">IF($B1905="","",AO1905+AS1905/2)</f>
        <v/>
      </c>
      <c r="AY1905" s="35" t="str">
        <f aca="false">IF($B1905="","",AQ1905)</f>
        <v/>
      </c>
      <c r="AZ1905" s="35" t="str">
        <f aca="false">IF($B1905="","",AP1905+AT1905/2)</f>
        <v/>
      </c>
      <c r="BA1905" s="35" t="str">
        <f aca="false">IF($B1905="","",AK1905+AN1905+AM1905/2+AO1905+AP1905+AQ1905+AR1905+AS1905+AT1905+AU1905+AV1905+AW1905)</f>
        <v/>
      </c>
      <c r="BB1905" s="35" t="str">
        <f aca="false">IF($B1905="","",MAX(0,AN1905-Settings!$C$16)*Settings!$C$17)</f>
        <v/>
      </c>
      <c r="BC1905" s="35" t="str">
        <f aca="false">IF($B1905="","",BA1905-BB1905)</f>
        <v/>
      </c>
      <c r="BD1905" s="35" t="str">
        <f aca="false">IF(OR($B1905="",$A1905=""),"",DAY(EOMONTH($A1905,0))-COUNTA($F1905:$AJ1905))</f>
        <v/>
      </c>
    </row>
    <row r="1906" customFormat="false" ht="15" hidden="false" customHeight="false" outlineLevel="0" collapsed="false">
      <c r="A1906" s="32"/>
      <c r="B1906" s="29"/>
      <c r="C1906" s="10" t="str">
        <f aca="false">IF($B1906="","",IFERROR(INDEX(M_name,MATCH($B1906,M_emp,0)),"Code not found"))</f>
        <v/>
      </c>
      <c r="D1906" s="10" t="str">
        <f aca="false">IF($B1906="","",IFERROR(INDEX(M_dept,MATCH($B1906,M_emp,0)),""))</f>
        <v/>
      </c>
      <c r="E1906" s="10" t="str">
        <f aca="false">IF($B1906="","",IFERROR(INDEX(M_loc,MATCH($B1906,M_emp,0)),""))</f>
        <v/>
      </c>
      <c r="F1906" s="33"/>
      <c r="G1906" s="33"/>
      <c r="H1906" s="33"/>
      <c r="I1906" s="33"/>
      <c r="J1906" s="33"/>
      <c r="K1906" s="33"/>
      <c r="L1906" s="33"/>
      <c r="M1906" s="33"/>
      <c r="N1906" s="33"/>
      <c r="O1906" s="33"/>
      <c r="P1906" s="33"/>
      <c r="Q1906" s="33"/>
      <c r="R1906" s="33"/>
      <c r="S1906" s="33"/>
      <c r="T1906" s="33"/>
      <c r="U1906" s="33"/>
      <c r="V1906" s="33"/>
      <c r="W1906" s="33"/>
      <c r="X1906" s="33"/>
      <c r="Y1906" s="33"/>
      <c r="Z1906" s="33"/>
      <c r="AA1906" s="33"/>
      <c r="AB1906" s="33"/>
      <c r="AC1906" s="33"/>
      <c r="AD1906" s="33"/>
      <c r="AE1906" s="33"/>
      <c r="AF1906" s="33"/>
      <c r="AG1906" s="33"/>
      <c r="AH1906" s="33"/>
      <c r="AI1906" s="33"/>
      <c r="AJ1906" s="33"/>
      <c r="AK1906" s="34" t="str">
        <f aca="false">IF($B1906="","",COUNTIF($F1906:$AJ1906,"P"))</f>
        <v/>
      </c>
      <c r="AL1906" s="34" t="str">
        <f aca="false">IF($B1906="","",COUNTIF($F1906:$AJ1906,"A"))</f>
        <v/>
      </c>
      <c r="AM1906" s="34" t="str">
        <f aca="false">IF($B1906="","",COUNTIF($F1906:$AJ1906,"HA"))</f>
        <v/>
      </c>
      <c r="AN1906" s="34" t="str">
        <f aca="false">IF($B1906="","",COUNTIF($F1906:$AJ1906,"L"))</f>
        <v/>
      </c>
      <c r="AO1906" s="34" t="str">
        <f aca="false">IF($B1906="","",COUNTIF($F1906:$AJ1906,"PL"))</f>
        <v/>
      </c>
      <c r="AP1906" s="34" t="str">
        <f aca="false">IF($B1906="","",COUNTIF($F1906:$AJ1906,"CL"))</f>
        <v/>
      </c>
      <c r="AQ1906" s="34" t="str">
        <f aca="false">IF($B1906="","",COUNTIF($F1906:$AJ1906,"SL"))</f>
        <v/>
      </c>
      <c r="AR1906" s="34" t="str">
        <f aca="false">IF($B1906="","",COUNTIF($F1906:$AJ1906,"CO"))</f>
        <v/>
      </c>
      <c r="AS1906" s="34" t="str">
        <f aca="false">IF($B1906="","",COUNTIF($F1906:$AJ1906,"HPL"))</f>
        <v/>
      </c>
      <c r="AT1906" s="34" t="str">
        <f aca="false">IF($B1906="","",COUNTIF($F1906:$AJ1906,"HCL"))</f>
        <v/>
      </c>
      <c r="AU1906" s="34" t="str">
        <f aca="false">IF($B1906="","",COUNTIF($F1906:$AJ1906,"WO"))</f>
        <v/>
      </c>
      <c r="AV1906" s="34" t="str">
        <f aca="false">IF($B1906="","",COUNTIF($F1906:$AJ1906,"PH"))</f>
        <v/>
      </c>
      <c r="AW1906" s="34" t="str">
        <f aca="false">IF($B1906="","",COUNTIF($F1906:$AJ1906,"TR"))</f>
        <v/>
      </c>
      <c r="AX1906" s="35" t="str">
        <f aca="false">IF($B1906="","",AO1906+AS1906/2)</f>
        <v/>
      </c>
      <c r="AY1906" s="35" t="str">
        <f aca="false">IF($B1906="","",AQ1906)</f>
        <v/>
      </c>
      <c r="AZ1906" s="35" t="str">
        <f aca="false">IF($B1906="","",AP1906+AT1906/2)</f>
        <v/>
      </c>
      <c r="BA1906" s="35" t="str">
        <f aca="false">IF($B1906="","",AK1906+AN1906+AM1906/2+AO1906+AP1906+AQ1906+AR1906+AS1906+AT1906+AU1906+AV1906+AW1906)</f>
        <v/>
      </c>
      <c r="BB1906" s="35" t="str">
        <f aca="false">IF($B1906="","",MAX(0,AN1906-Settings!$C$16)*Settings!$C$17)</f>
        <v/>
      </c>
      <c r="BC1906" s="35" t="str">
        <f aca="false">IF($B1906="","",BA1906-BB1906)</f>
        <v/>
      </c>
      <c r="BD1906" s="35" t="str">
        <f aca="false">IF(OR($B1906="",$A1906=""),"",DAY(EOMONTH($A1906,0))-COUNTA($F1906:$AJ1906))</f>
        <v/>
      </c>
    </row>
    <row r="1907" customFormat="false" ht="15" hidden="false" customHeight="false" outlineLevel="0" collapsed="false">
      <c r="A1907" s="32"/>
      <c r="B1907" s="29"/>
      <c r="C1907" s="10" t="str">
        <f aca="false">IF($B1907="","",IFERROR(INDEX(M_name,MATCH($B1907,M_emp,0)),"Code not found"))</f>
        <v/>
      </c>
      <c r="D1907" s="10" t="str">
        <f aca="false">IF($B1907="","",IFERROR(INDEX(M_dept,MATCH($B1907,M_emp,0)),""))</f>
        <v/>
      </c>
      <c r="E1907" s="10" t="str">
        <f aca="false">IF($B1907="","",IFERROR(INDEX(M_loc,MATCH($B1907,M_emp,0)),""))</f>
        <v/>
      </c>
      <c r="F1907" s="33"/>
      <c r="G1907" s="33"/>
      <c r="H1907" s="33"/>
      <c r="I1907" s="33"/>
      <c r="J1907" s="33"/>
      <c r="K1907" s="33"/>
      <c r="L1907" s="33"/>
      <c r="M1907" s="33"/>
      <c r="N1907" s="33"/>
      <c r="O1907" s="33"/>
      <c r="P1907" s="33"/>
      <c r="Q1907" s="33"/>
      <c r="R1907" s="33"/>
      <c r="S1907" s="33"/>
      <c r="T1907" s="33"/>
      <c r="U1907" s="33"/>
      <c r="V1907" s="33"/>
      <c r="W1907" s="33"/>
      <c r="X1907" s="33"/>
      <c r="Y1907" s="33"/>
      <c r="Z1907" s="33"/>
      <c r="AA1907" s="33"/>
      <c r="AB1907" s="33"/>
      <c r="AC1907" s="33"/>
      <c r="AD1907" s="33"/>
      <c r="AE1907" s="33"/>
      <c r="AF1907" s="33"/>
      <c r="AG1907" s="33"/>
      <c r="AH1907" s="33"/>
      <c r="AI1907" s="33"/>
      <c r="AJ1907" s="33"/>
      <c r="AK1907" s="34" t="str">
        <f aca="false">IF($B1907="","",COUNTIF($F1907:$AJ1907,"P"))</f>
        <v/>
      </c>
      <c r="AL1907" s="34" t="str">
        <f aca="false">IF($B1907="","",COUNTIF($F1907:$AJ1907,"A"))</f>
        <v/>
      </c>
      <c r="AM1907" s="34" t="str">
        <f aca="false">IF($B1907="","",COUNTIF($F1907:$AJ1907,"HA"))</f>
        <v/>
      </c>
      <c r="AN1907" s="34" t="str">
        <f aca="false">IF($B1907="","",COUNTIF($F1907:$AJ1907,"L"))</f>
        <v/>
      </c>
      <c r="AO1907" s="34" t="str">
        <f aca="false">IF($B1907="","",COUNTIF($F1907:$AJ1907,"PL"))</f>
        <v/>
      </c>
      <c r="AP1907" s="34" t="str">
        <f aca="false">IF($B1907="","",COUNTIF($F1907:$AJ1907,"CL"))</f>
        <v/>
      </c>
      <c r="AQ1907" s="34" t="str">
        <f aca="false">IF($B1907="","",COUNTIF($F1907:$AJ1907,"SL"))</f>
        <v/>
      </c>
      <c r="AR1907" s="34" t="str">
        <f aca="false">IF($B1907="","",COUNTIF($F1907:$AJ1907,"CO"))</f>
        <v/>
      </c>
      <c r="AS1907" s="34" t="str">
        <f aca="false">IF($B1907="","",COUNTIF($F1907:$AJ1907,"HPL"))</f>
        <v/>
      </c>
      <c r="AT1907" s="34" t="str">
        <f aca="false">IF($B1907="","",COUNTIF($F1907:$AJ1907,"HCL"))</f>
        <v/>
      </c>
      <c r="AU1907" s="34" t="str">
        <f aca="false">IF($B1907="","",COUNTIF($F1907:$AJ1907,"WO"))</f>
        <v/>
      </c>
      <c r="AV1907" s="34" t="str">
        <f aca="false">IF($B1907="","",COUNTIF($F1907:$AJ1907,"PH"))</f>
        <v/>
      </c>
      <c r="AW1907" s="34" t="str">
        <f aca="false">IF($B1907="","",COUNTIF($F1907:$AJ1907,"TR"))</f>
        <v/>
      </c>
      <c r="AX1907" s="35" t="str">
        <f aca="false">IF($B1907="","",AO1907+AS1907/2)</f>
        <v/>
      </c>
      <c r="AY1907" s="35" t="str">
        <f aca="false">IF($B1907="","",AQ1907)</f>
        <v/>
      </c>
      <c r="AZ1907" s="35" t="str">
        <f aca="false">IF($B1907="","",AP1907+AT1907/2)</f>
        <v/>
      </c>
      <c r="BA1907" s="35" t="str">
        <f aca="false">IF($B1907="","",AK1907+AN1907+AM1907/2+AO1907+AP1907+AQ1907+AR1907+AS1907+AT1907+AU1907+AV1907+AW1907)</f>
        <v/>
      </c>
      <c r="BB1907" s="35" t="str">
        <f aca="false">IF($B1907="","",MAX(0,AN1907-Settings!$C$16)*Settings!$C$17)</f>
        <v/>
      </c>
      <c r="BC1907" s="35" t="str">
        <f aca="false">IF($B1907="","",BA1907-BB1907)</f>
        <v/>
      </c>
      <c r="BD1907" s="35" t="str">
        <f aca="false">IF(OR($B1907="",$A1907=""),"",DAY(EOMONTH($A1907,0))-COUNTA($F1907:$AJ1907))</f>
        <v/>
      </c>
    </row>
    <row r="1908" customFormat="false" ht="15" hidden="false" customHeight="false" outlineLevel="0" collapsed="false">
      <c r="A1908" s="32"/>
      <c r="B1908" s="29"/>
      <c r="C1908" s="10" t="str">
        <f aca="false">IF($B1908="","",IFERROR(INDEX(M_name,MATCH($B1908,M_emp,0)),"Code not found"))</f>
        <v/>
      </c>
      <c r="D1908" s="10" t="str">
        <f aca="false">IF($B1908="","",IFERROR(INDEX(M_dept,MATCH($B1908,M_emp,0)),""))</f>
        <v/>
      </c>
      <c r="E1908" s="10" t="str">
        <f aca="false">IF($B1908="","",IFERROR(INDEX(M_loc,MATCH($B1908,M_emp,0)),""))</f>
        <v/>
      </c>
      <c r="F1908" s="33"/>
      <c r="G1908" s="33"/>
      <c r="H1908" s="33"/>
      <c r="I1908" s="33"/>
      <c r="J1908" s="33"/>
      <c r="K1908" s="33"/>
      <c r="L1908" s="33"/>
      <c r="M1908" s="33"/>
      <c r="N1908" s="33"/>
      <c r="O1908" s="33"/>
      <c r="P1908" s="33"/>
      <c r="Q1908" s="33"/>
      <c r="R1908" s="33"/>
      <c r="S1908" s="33"/>
      <c r="T1908" s="33"/>
      <c r="U1908" s="33"/>
      <c r="V1908" s="33"/>
      <c r="W1908" s="33"/>
      <c r="X1908" s="33"/>
      <c r="Y1908" s="33"/>
      <c r="Z1908" s="33"/>
      <c r="AA1908" s="33"/>
      <c r="AB1908" s="33"/>
      <c r="AC1908" s="33"/>
      <c r="AD1908" s="33"/>
      <c r="AE1908" s="33"/>
      <c r="AF1908" s="33"/>
      <c r="AG1908" s="33"/>
      <c r="AH1908" s="33"/>
      <c r="AI1908" s="33"/>
      <c r="AJ1908" s="33"/>
      <c r="AK1908" s="34" t="str">
        <f aca="false">IF($B1908="","",COUNTIF($F1908:$AJ1908,"P"))</f>
        <v/>
      </c>
      <c r="AL1908" s="34" t="str">
        <f aca="false">IF($B1908="","",COUNTIF($F1908:$AJ1908,"A"))</f>
        <v/>
      </c>
      <c r="AM1908" s="34" t="str">
        <f aca="false">IF($B1908="","",COUNTIF($F1908:$AJ1908,"HA"))</f>
        <v/>
      </c>
      <c r="AN1908" s="34" t="str">
        <f aca="false">IF($B1908="","",COUNTIF($F1908:$AJ1908,"L"))</f>
        <v/>
      </c>
      <c r="AO1908" s="34" t="str">
        <f aca="false">IF($B1908="","",COUNTIF($F1908:$AJ1908,"PL"))</f>
        <v/>
      </c>
      <c r="AP1908" s="34" t="str">
        <f aca="false">IF($B1908="","",COUNTIF($F1908:$AJ1908,"CL"))</f>
        <v/>
      </c>
      <c r="AQ1908" s="34" t="str">
        <f aca="false">IF($B1908="","",COUNTIF($F1908:$AJ1908,"SL"))</f>
        <v/>
      </c>
      <c r="AR1908" s="34" t="str">
        <f aca="false">IF($B1908="","",COUNTIF($F1908:$AJ1908,"CO"))</f>
        <v/>
      </c>
      <c r="AS1908" s="34" t="str">
        <f aca="false">IF($B1908="","",COUNTIF($F1908:$AJ1908,"HPL"))</f>
        <v/>
      </c>
      <c r="AT1908" s="34" t="str">
        <f aca="false">IF($B1908="","",COUNTIF($F1908:$AJ1908,"HCL"))</f>
        <v/>
      </c>
      <c r="AU1908" s="34" t="str">
        <f aca="false">IF($B1908="","",COUNTIF($F1908:$AJ1908,"WO"))</f>
        <v/>
      </c>
      <c r="AV1908" s="34" t="str">
        <f aca="false">IF($B1908="","",COUNTIF($F1908:$AJ1908,"PH"))</f>
        <v/>
      </c>
      <c r="AW1908" s="34" t="str">
        <f aca="false">IF($B1908="","",COUNTIF($F1908:$AJ1908,"TR"))</f>
        <v/>
      </c>
      <c r="AX1908" s="35" t="str">
        <f aca="false">IF($B1908="","",AO1908+AS1908/2)</f>
        <v/>
      </c>
      <c r="AY1908" s="35" t="str">
        <f aca="false">IF($B1908="","",AQ1908)</f>
        <v/>
      </c>
      <c r="AZ1908" s="35" t="str">
        <f aca="false">IF($B1908="","",AP1908+AT1908/2)</f>
        <v/>
      </c>
      <c r="BA1908" s="35" t="str">
        <f aca="false">IF($B1908="","",AK1908+AN1908+AM1908/2+AO1908+AP1908+AQ1908+AR1908+AS1908+AT1908+AU1908+AV1908+AW1908)</f>
        <v/>
      </c>
      <c r="BB1908" s="35" t="str">
        <f aca="false">IF($B1908="","",MAX(0,AN1908-Settings!$C$16)*Settings!$C$17)</f>
        <v/>
      </c>
      <c r="BC1908" s="35" t="str">
        <f aca="false">IF($B1908="","",BA1908-BB1908)</f>
        <v/>
      </c>
      <c r="BD1908" s="35" t="str">
        <f aca="false">IF(OR($B1908="",$A1908=""),"",DAY(EOMONTH($A1908,0))-COUNTA($F1908:$AJ1908))</f>
        <v/>
      </c>
    </row>
    <row r="1909" customFormat="false" ht="15" hidden="false" customHeight="false" outlineLevel="0" collapsed="false">
      <c r="A1909" s="32"/>
      <c r="B1909" s="29"/>
      <c r="C1909" s="10" t="str">
        <f aca="false">IF($B1909="","",IFERROR(INDEX(M_name,MATCH($B1909,M_emp,0)),"Code not found"))</f>
        <v/>
      </c>
      <c r="D1909" s="10" t="str">
        <f aca="false">IF($B1909="","",IFERROR(INDEX(M_dept,MATCH($B1909,M_emp,0)),""))</f>
        <v/>
      </c>
      <c r="E1909" s="10" t="str">
        <f aca="false">IF($B1909="","",IFERROR(INDEX(M_loc,MATCH($B1909,M_emp,0)),""))</f>
        <v/>
      </c>
      <c r="F1909" s="33"/>
      <c r="G1909" s="33"/>
      <c r="H1909" s="33"/>
      <c r="I1909" s="33"/>
      <c r="J1909" s="33"/>
      <c r="K1909" s="33"/>
      <c r="L1909" s="33"/>
      <c r="M1909" s="33"/>
      <c r="N1909" s="33"/>
      <c r="O1909" s="33"/>
      <c r="P1909" s="33"/>
      <c r="Q1909" s="33"/>
      <c r="R1909" s="33"/>
      <c r="S1909" s="33"/>
      <c r="T1909" s="33"/>
      <c r="U1909" s="33"/>
      <c r="V1909" s="33"/>
      <c r="W1909" s="33"/>
      <c r="X1909" s="33"/>
      <c r="Y1909" s="33"/>
      <c r="Z1909" s="33"/>
      <c r="AA1909" s="33"/>
      <c r="AB1909" s="33"/>
      <c r="AC1909" s="33"/>
      <c r="AD1909" s="33"/>
      <c r="AE1909" s="33"/>
      <c r="AF1909" s="33"/>
      <c r="AG1909" s="33"/>
      <c r="AH1909" s="33"/>
      <c r="AI1909" s="33"/>
      <c r="AJ1909" s="33"/>
      <c r="AK1909" s="34" t="str">
        <f aca="false">IF($B1909="","",COUNTIF($F1909:$AJ1909,"P"))</f>
        <v/>
      </c>
      <c r="AL1909" s="34" t="str">
        <f aca="false">IF($B1909="","",COUNTIF($F1909:$AJ1909,"A"))</f>
        <v/>
      </c>
      <c r="AM1909" s="34" t="str">
        <f aca="false">IF($B1909="","",COUNTIF($F1909:$AJ1909,"HA"))</f>
        <v/>
      </c>
      <c r="AN1909" s="34" t="str">
        <f aca="false">IF($B1909="","",COUNTIF($F1909:$AJ1909,"L"))</f>
        <v/>
      </c>
      <c r="AO1909" s="34" t="str">
        <f aca="false">IF($B1909="","",COUNTIF($F1909:$AJ1909,"PL"))</f>
        <v/>
      </c>
      <c r="AP1909" s="34" t="str">
        <f aca="false">IF($B1909="","",COUNTIF($F1909:$AJ1909,"CL"))</f>
        <v/>
      </c>
      <c r="AQ1909" s="34" t="str">
        <f aca="false">IF($B1909="","",COUNTIF($F1909:$AJ1909,"SL"))</f>
        <v/>
      </c>
      <c r="AR1909" s="34" t="str">
        <f aca="false">IF($B1909="","",COUNTIF($F1909:$AJ1909,"CO"))</f>
        <v/>
      </c>
      <c r="AS1909" s="34" t="str">
        <f aca="false">IF($B1909="","",COUNTIF($F1909:$AJ1909,"HPL"))</f>
        <v/>
      </c>
      <c r="AT1909" s="34" t="str">
        <f aca="false">IF($B1909="","",COUNTIF($F1909:$AJ1909,"HCL"))</f>
        <v/>
      </c>
      <c r="AU1909" s="34" t="str">
        <f aca="false">IF($B1909="","",COUNTIF($F1909:$AJ1909,"WO"))</f>
        <v/>
      </c>
      <c r="AV1909" s="34" t="str">
        <f aca="false">IF($B1909="","",COUNTIF($F1909:$AJ1909,"PH"))</f>
        <v/>
      </c>
      <c r="AW1909" s="34" t="str">
        <f aca="false">IF($B1909="","",COUNTIF($F1909:$AJ1909,"TR"))</f>
        <v/>
      </c>
      <c r="AX1909" s="35" t="str">
        <f aca="false">IF($B1909="","",AO1909+AS1909/2)</f>
        <v/>
      </c>
      <c r="AY1909" s="35" t="str">
        <f aca="false">IF($B1909="","",AQ1909)</f>
        <v/>
      </c>
      <c r="AZ1909" s="35" t="str">
        <f aca="false">IF($B1909="","",AP1909+AT1909/2)</f>
        <v/>
      </c>
      <c r="BA1909" s="35" t="str">
        <f aca="false">IF($B1909="","",AK1909+AN1909+AM1909/2+AO1909+AP1909+AQ1909+AR1909+AS1909+AT1909+AU1909+AV1909+AW1909)</f>
        <v/>
      </c>
      <c r="BB1909" s="35" t="str">
        <f aca="false">IF($B1909="","",MAX(0,AN1909-Settings!$C$16)*Settings!$C$17)</f>
        <v/>
      </c>
      <c r="BC1909" s="35" t="str">
        <f aca="false">IF($B1909="","",BA1909-BB1909)</f>
        <v/>
      </c>
      <c r="BD1909" s="35" t="str">
        <f aca="false">IF(OR($B1909="",$A1909=""),"",DAY(EOMONTH($A1909,0))-COUNTA($F1909:$AJ1909))</f>
        <v/>
      </c>
    </row>
    <row r="1910" customFormat="false" ht="15" hidden="false" customHeight="false" outlineLevel="0" collapsed="false">
      <c r="A1910" s="32"/>
      <c r="B1910" s="29"/>
      <c r="C1910" s="10" t="str">
        <f aca="false">IF($B1910="","",IFERROR(INDEX(M_name,MATCH($B1910,M_emp,0)),"Code not found"))</f>
        <v/>
      </c>
      <c r="D1910" s="10" t="str">
        <f aca="false">IF($B1910="","",IFERROR(INDEX(M_dept,MATCH($B1910,M_emp,0)),""))</f>
        <v/>
      </c>
      <c r="E1910" s="10" t="str">
        <f aca="false">IF($B1910="","",IFERROR(INDEX(M_loc,MATCH($B1910,M_emp,0)),""))</f>
        <v/>
      </c>
      <c r="F1910" s="33"/>
      <c r="G1910" s="33"/>
      <c r="H1910" s="33"/>
      <c r="I1910" s="33"/>
      <c r="J1910" s="33"/>
      <c r="K1910" s="33"/>
      <c r="L1910" s="33"/>
      <c r="M1910" s="33"/>
      <c r="N1910" s="33"/>
      <c r="O1910" s="33"/>
      <c r="P1910" s="33"/>
      <c r="Q1910" s="33"/>
      <c r="R1910" s="33"/>
      <c r="S1910" s="33"/>
      <c r="T1910" s="33"/>
      <c r="U1910" s="33"/>
      <c r="V1910" s="33"/>
      <c r="W1910" s="33"/>
      <c r="X1910" s="33"/>
      <c r="Y1910" s="33"/>
      <c r="Z1910" s="33"/>
      <c r="AA1910" s="33"/>
      <c r="AB1910" s="33"/>
      <c r="AC1910" s="33"/>
      <c r="AD1910" s="33"/>
      <c r="AE1910" s="33"/>
      <c r="AF1910" s="33"/>
      <c r="AG1910" s="33"/>
      <c r="AH1910" s="33"/>
      <c r="AI1910" s="33"/>
      <c r="AJ1910" s="33"/>
      <c r="AK1910" s="34" t="str">
        <f aca="false">IF($B1910="","",COUNTIF($F1910:$AJ1910,"P"))</f>
        <v/>
      </c>
      <c r="AL1910" s="34" t="str">
        <f aca="false">IF($B1910="","",COUNTIF($F1910:$AJ1910,"A"))</f>
        <v/>
      </c>
      <c r="AM1910" s="34" t="str">
        <f aca="false">IF($B1910="","",COUNTIF($F1910:$AJ1910,"HA"))</f>
        <v/>
      </c>
      <c r="AN1910" s="34" t="str">
        <f aca="false">IF($B1910="","",COUNTIF($F1910:$AJ1910,"L"))</f>
        <v/>
      </c>
      <c r="AO1910" s="34" t="str">
        <f aca="false">IF($B1910="","",COUNTIF($F1910:$AJ1910,"PL"))</f>
        <v/>
      </c>
      <c r="AP1910" s="34" t="str">
        <f aca="false">IF($B1910="","",COUNTIF($F1910:$AJ1910,"CL"))</f>
        <v/>
      </c>
      <c r="AQ1910" s="34" t="str">
        <f aca="false">IF($B1910="","",COUNTIF($F1910:$AJ1910,"SL"))</f>
        <v/>
      </c>
      <c r="AR1910" s="34" t="str">
        <f aca="false">IF($B1910="","",COUNTIF($F1910:$AJ1910,"CO"))</f>
        <v/>
      </c>
      <c r="AS1910" s="34" t="str">
        <f aca="false">IF($B1910="","",COUNTIF($F1910:$AJ1910,"HPL"))</f>
        <v/>
      </c>
      <c r="AT1910" s="34" t="str">
        <f aca="false">IF($B1910="","",COUNTIF($F1910:$AJ1910,"HCL"))</f>
        <v/>
      </c>
      <c r="AU1910" s="34" t="str">
        <f aca="false">IF($B1910="","",COUNTIF($F1910:$AJ1910,"WO"))</f>
        <v/>
      </c>
      <c r="AV1910" s="34" t="str">
        <f aca="false">IF($B1910="","",COUNTIF($F1910:$AJ1910,"PH"))</f>
        <v/>
      </c>
      <c r="AW1910" s="34" t="str">
        <f aca="false">IF($B1910="","",COUNTIF($F1910:$AJ1910,"TR"))</f>
        <v/>
      </c>
      <c r="AX1910" s="35" t="str">
        <f aca="false">IF($B1910="","",AO1910+AS1910/2)</f>
        <v/>
      </c>
      <c r="AY1910" s="35" t="str">
        <f aca="false">IF($B1910="","",AQ1910)</f>
        <v/>
      </c>
      <c r="AZ1910" s="35" t="str">
        <f aca="false">IF($B1910="","",AP1910+AT1910/2)</f>
        <v/>
      </c>
      <c r="BA1910" s="35" t="str">
        <f aca="false">IF($B1910="","",AK1910+AN1910+AM1910/2+AO1910+AP1910+AQ1910+AR1910+AS1910+AT1910+AU1910+AV1910+AW1910)</f>
        <v/>
      </c>
      <c r="BB1910" s="35" t="str">
        <f aca="false">IF($B1910="","",MAX(0,AN1910-Settings!$C$16)*Settings!$C$17)</f>
        <v/>
      </c>
      <c r="BC1910" s="35" t="str">
        <f aca="false">IF($B1910="","",BA1910-BB1910)</f>
        <v/>
      </c>
      <c r="BD1910" s="35" t="str">
        <f aca="false">IF(OR($B1910="",$A1910=""),"",DAY(EOMONTH($A1910,0))-COUNTA($F1910:$AJ1910))</f>
        <v/>
      </c>
    </row>
    <row r="1911" customFormat="false" ht="15" hidden="false" customHeight="false" outlineLevel="0" collapsed="false">
      <c r="A1911" s="32"/>
      <c r="B1911" s="29"/>
      <c r="C1911" s="10" t="str">
        <f aca="false">IF($B1911="","",IFERROR(INDEX(M_name,MATCH($B1911,M_emp,0)),"Code not found"))</f>
        <v/>
      </c>
      <c r="D1911" s="10" t="str">
        <f aca="false">IF($B1911="","",IFERROR(INDEX(M_dept,MATCH($B1911,M_emp,0)),""))</f>
        <v/>
      </c>
      <c r="E1911" s="10" t="str">
        <f aca="false">IF($B1911="","",IFERROR(INDEX(M_loc,MATCH($B1911,M_emp,0)),""))</f>
        <v/>
      </c>
      <c r="F1911" s="33"/>
      <c r="G1911" s="33"/>
      <c r="H1911" s="33"/>
      <c r="I1911" s="33"/>
      <c r="J1911" s="33"/>
      <c r="K1911" s="33"/>
      <c r="L1911" s="33"/>
      <c r="M1911" s="33"/>
      <c r="N1911" s="33"/>
      <c r="O1911" s="33"/>
      <c r="P1911" s="33"/>
      <c r="Q1911" s="33"/>
      <c r="R1911" s="33"/>
      <c r="S1911" s="33"/>
      <c r="T1911" s="33"/>
      <c r="U1911" s="33"/>
      <c r="V1911" s="33"/>
      <c r="W1911" s="33"/>
      <c r="X1911" s="33"/>
      <c r="Y1911" s="33"/>
      <c r="Z1911" s="33"/>
      <c r="AA1911" s="33"/>
      <c r="AB1911" s="33"/>
      <c r="AC1911" s="33"/>
      <c r="AD1911" s="33"/>
      <c r="AE1911" s="33"/>
      <c r="AF1911" s="33"/>
      <c r="AG1911" s="33"/>
      <c r="AH1911" s="33"/>
      <c r="AI1911" s="33"/>
      <c r="AJ1911" s="33"/>
      <c r="AK1911" s="34" t="str">
        <f aca="false">IF($B1911="","",COUNTIF($F1911:$AJ1911,"P"))</f>
        <v/>
      </c>
      <c r="AL1911" s="34" t="str">
        <f aca="false">IF($B1911="","",COUNTIF($F1911:$AJ1911,"A"))</f>
        <v/>
      </c>
      <c r="AM1911" s="34" t="str">
        <f aca="false">IF($B1911="","",COUNTIF($F1911:$AJ1911,"HA"))</f>
        <v/>
      </c>
      <c r="AN1911" s="34" t="str">
        <f aca="false">IF($B1911="","",COUNTIF($F1911:$AJ1911,"L"))</f>
        <v/>
      </c>
      <c r="AO1911" s="34" t="str">
        <f aca="false">IF($B1911="","",COUNTIF($F1911:$AJ1911,"PL"))</f>
        <v/>
      </c>
      <c r="AP1911" s="34" t="str">
        <f aca="false">IF($B1911="","",COUNTIF($F1911:$AJ1911,"CL"))</f>
        <v/>
      </c>
      <c r="AQ1911" s="34" t="str">
        <f aca="false">IF($B1911="","",COUNTIF($F1911:$AJ1911,"SL"))</f>
        <v/>
      </c>
      <c r="AR1911" s="34" t="str">
        <f aca="false">IF($B1911="","",COUNTIF($F1911:$AJ1911,"CO"))</f>
        <v/>
      </c>
      <c r="AS1911" s="34" t="str">
        <f aca="false">IF($B1911="","",COUNTIF($F1911:$AJ1911,"HPL"))</f>
        <v/>
      </c>
      <c r="AT1911" s="34" t="str">
        <f aca="false">IF($B1911="","",COUNTIF($F1911:$AJ1911,"HCL"))</f>
        <v/>
      </c>
      <c r="AU1911" s="34" t="str">
        <f aca="false">IF($B1911="","",COUNTIF($F1911:$AJ1911,"WO"))</f>
        <v/>
      </c>
      <c r="AV1911" s="34" t="str">
        <f aca="false">IF($B1911="","",COUNTIF($F1911:$AJ1911,"PH"))</f>
        <v/>
      </c>
      <c r="AW1911" s="34" t="str">
        <f aca="false">IF($B1911="","",COUNTIF($F1911:$AJ1911,"TR"))</f>
        <v/>
      </c>
      <c r="AX1911" s="35" t="str">
        <f aca="false">IF($B1911="","",AO1911+AS1911/2)</f>
        <v/>
      </c>
      <c r="AY1911" s="35" t="str">
        <f aca="false">IF($B1911="","",AQ1911)</f>
        <v/>
      </c>
      <c r="AZ1911" s="35" t="str">
        <f aca="false">IF($B1911="","",AP1911+AT1911/2)</f>
        <v/>
      </c>
      <c r="BA1911" s="35" t="str">
        <f aca="false">IF($B1911="","",AK1911+AN1911+AM1911/2+AO1911+AP1911+AQ1911+AR1911+AS1911+AT1911+AU1911+AV1911+AW1911)</f>
        <v/>
      </c>
      <c r="BB1911" s="35" t="str">
        <f aca="false">IF($B1911="","",MAX(0,AN1911-Settings!$C$16)*Settings!$C$17)</f>
        <v/>
      </c>
      <c r="BC1911" s="35" t="str">
        <f aca="false">IF($B1911="","",BA1911-BB1911)</f>
        <v/>
      </c>
      <c r="BD1911" s="35" t="str">
        <f aca="false">IF(OR($B1911="",$A1911=""),"",DAY(EOMONTH($A1911,0))-COUNTA($F1911:$AJ1911))</f>
        <v/>
      </c>
    </row>
    <row r="1912" customFormat="false" ht="15" hidden="false" customHeight="false" outlineLevel="0" collapsed="false">
      <c r="A1912" s="32"/>
      <c r="B1912" s="29"/>
      <c r="C1912" s="10" t="str">
        <f aca="false">IF($B1912="","",IFERROR(INDEX(M_name,MATCH($B1912,M_emp,0)),"Code not found"))</f>
        <v/>
      </c>
      <c r="D1912" s="10" t="str">
        <f aca="false">IF($B1912="","",IFERROR(INDEX(M_dept,MATCH($B1912,M_emp,0)),""))</f>
        <v/>
      </c>
      <c r="E1912" s="10" t="str">
        <f aca="false">IF($B1912="","",IFERROR(INDEX(M_loc,MATCH($B1912,M_emp,0)),""))</f>
        <v/>
      </c>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c r="AB1912" s="33"/>
      <c r="AC1912" s="33"/>
      <c r="AD1912" s="33"/>
      <c r="AE1912" s="33"/>
      <c r="AF1912" s="33"/>
      <c r="AG1912" s="33"/>
      <c r="AH1912" s="33"/>
      <c r="AI1912" s="33"/>
      <c r="AJ1912" s="33"/>
      <c r="AK1912" s="34" t="str">
        <f aca="false">IF($B1912="","",COUNTIF($F1912:$AJ1912,"P"))</f>
        <v/>
      </c>
      <c r="AL1912" s="34" t="str">
        <f aca="false">IF($B1912="","",COUNTIF($F1912:$AJ1912,"A"))</f>
        <v/>
      </c>
      <c r="AM1912" s="34" t="str">
        <f aca="false">IF($B1912="","",COUNTIF($F1912:$AJ1912,"HA"))</f>
        <v/>
      </c>
      <c r="AN1912" s="34" t="str">
        <f aca="false">IF($B1912="","",COUNTIF($F1912:$AJ1912,"L"))</f>
        <v/>
      </c>
      <c r="AO1912" s="34" t="str">
        <f aca="false">IF($B1912="","",COUNTIF($F1912:$AJ1912,"PL"))</f>
        <v/>
      </c>
      <c r="AP1912" s="34" t="str">
        <f aca="false">IF($B1912="","",COUNTIF($F1912:$AJ1912,"CL"))</f>
        <v/>
      </c>
      <c r="AQ1912" s="34" t="str">
        <f aca="false">IF($B1912="","",COUNTIF($F1912:$AJ1912,"SL"))</f>
        <v/>
      </c>
      <c r="AR1912" s="34" t="str">
        <f aca="false">IF($B1912="","",COUNTIF($F1912:$AJ1912,"CO"))</f>
        <v/>
      </c>
      <c r="AS1912" s="34" t="str">
        <f aca="false">IF($B1912="","",COUNTIF($F1912:$AJ1912,"HPL"))</f>
        <v/>
      </c>
      <c r="AT1912" s="34" t="str">
        <f aca="false">IF($B1912="","",COUNTIF($F1912:$AJ1912,"HCL"))</f>
        <v/>
      </c>
      <c r="AU1912" s="34" t="str">
        <f aca="false">IF($B1912="","",COUNTIF($F1912:$AJ1912,"WO"))</f>
        <v/>
      </c>
      <c r="AV1912" s="34" t="str">
        <f aca="false">IF($B1912="","",COUNTIF($F1912:$AJ1912,"PH"))</f>
        <v/>
      </c>
      <c r="AW1912" s="34" t="str">
        <f aca="false">IF($B1912="","",COUNTIF($F1912:$AJ1912,"TR"))</f>
        <v/>
      </c>
      <c r="AX1912" s="35" t="str">
        <f aca="false">IF($B1912="","",AO1912+AS1912/2)</f>
        <v/>
      </c>
      <c r="AY1912" s="35" t="str">
        <f aca="false">IF($B1912="","",AQ1912)</f>
        <v/>
      </c>
      <c r="AZ1912" s="35" t="str">
        <f aca="false">IF($B1912="","",AP1912+AT1912/2)</f>
        <v/>
      </c>
      <c r="BA1912" s="35" t="str">
        <f aca="false">IF($B1912="","",AK1912+AN1912+AM1912/2+AO1912+AP1912+AQ1912+AR1912+AS1912+AT1912+AU1912+AV1912+AW1912)</f>
        <v/>
      </c>
      <c r="BB1912" s="35" t="str">
        <f aca="false">IF($B1912="","",MAX(0,AN1912-Settings!$C$16)*Settings!$C$17)</f>
        <v/>
      </c>
      <c r="BC1912" s="35" t="str">
        <f aca="false">IF($B1912="","",BA1912-BB1912)</f>
        <v/>
      </c>
      <c r="BD1912" s="35" t="str">
        <f aca="false">IF(OR($B1912="",$A1912=""),"",DAY(EOMONTH($A1912,0))-COUNTA($F1912:$AJ1912))</f>
        <v/>
      </c>
    </row>
    <row r="1913" customFormat="false" ht="15" hidden="false" customHeight="false" outlineLevel="0" collapsed="false">
      <c r="A1913" s="32"/>
      <c r="B1913" s="29"/>
      <c r="C1913" s="10" t="str">
        <f aca="false">IF($B1913="","",IFERROR(INDEX(M_name,MATCH($B1913,M_emp,0)),"Code not found"))</f>
        <v/>
      </c>
      <c r="D1913" s="10" t="str">
        <f aca="false">IF($B1913="","",IFERROR(INDEX(M_dept,MATCH($B1913,M_emp,0)),""))</f>
        <v/>
      </c>
      <c r="E1913" s="10" t="str">
        <f aca="false">IF($B1913="","",IFERROR(INDEX(M_loc,MATCH($B1913,M_emp,0)),""))</f>
        <v/>
      </c>
      <c r="F1913" s="33"/>
      <c r="G1913" s="33"/>
      <c r="H1913" s="33"/>
      <c r="I1913" s="33"/>
      <c r="J1913" s="33"/>
      <c r="K1913" s="33"/>
      <c r="L1913" s="33"/>
      <c r="M1913" s="33"/>
      <c r="N1913" s="33"/>
      <c r="O1913" s="33"/>
      <c r="P1913" s="33"/>
      <c r="Q1913" s="33"/>
      <c r="R1913" s="33"/>
      <c r="S1913" s="33"/>
      <c r="T1913" s="33"/>
      <c r="U1913" s="33"/>
      <c r="V1913" s="33"/>
      <c r="W1913" s="33"/>
      <c r="X1913" s="33"/>
      <c r="Y1913" s="33"/>
      <c r="Z1913" s="33"/>
      <c r="AA1913" s="33"/>
      <c r="AB1913" s="33"/>
      <c r="AC1913" s="33"/>
      <c r="AD1913" s="33"/>
      <c r="AE1913" s="33"/>
      <c r="AF1913" s="33"/>
      <c r="AG1913" s="33"/>
      <c r="AH1913" s="33"/>
      <c r="AI1913" s="33"/>
      <c r="AJ1913" s="33"/>
      <c r="AK1913" s="34" t="str">
        <f aca="false">IF($B1913="","",COUNTIF($F1913:$AJ1913,"P"))</f>
        <v/>
      </c>
      <c r="AL1913" s="34" t="str">
        <f aca="false">IF($B1913="","",COUNTIF($F1913:$AJ1913,"A"))</f>
        <v/>
      </c>
      <c r="AM1913" s="34" t="str">
        <f aca="false">IF($B1913="","",COUNTIF($F1913:$AJ1913,"HA"))</f>
        <v/>
      </c>
      <c r="AN1913" s="34" t="str">
        <f aca="false">IF($B1913="","",COUNTIF($F1913:$AJ1913,"L"))</f>
        <v/>
      </c>
      <c r="AO1913" s="34" t="str">
        <f aca="false">IF($B1913="","",COUNTIF($F1913:$AJ1913,"PL"))</f>
        <v/>
      </c>
      <c r="AP1913" s="34" t="str">
        <f aca="false">IF($B1913="","",COUNTIF($F1913:$AJ1913,"CL"))</f>
        <v/>
      </c>
      <c r="AQ1913" s="34" t="str">
        <f aca="false">IF($B1913="","",COUNTIF($F1913:$AJ1913,"SL"))</f>
        <v/>
      </c>
      <c r="AR1913" s="34" t="str">
        <f aca="false">IF($B1913="","",COUNTIF($F1913:$AJ1913,"CO"))</f>
        <v/>
      </c>
      <c r="AS1913" s="34" t="str">
        <f aca="false">IF($B1913="","",COUNTIF($F1913:$AJ1913,"HPL"))</f>
        <v/>
      </c>
      <c r="AT1913" s="34" t="str">
        <f aca="false">IF($B1913="","",COUNTIF($F1913:$AJ1913,"HCL"))</f>
        <v/>
      </c>
      <c r="AU1913" s="34" t="str">
        <f aca="false">IF($B1913="","",COUNTIF($F1913:$AJ1913,"WO"))</f>
        <v/>
      </c>
      <c r="AV1913" s="34" t="str">
        <f aca="false">IF($B1913="","",COUNTIF($F1913:$AJ1913,"PH"))</f>
        <v/>
      </c>
      <c r="AW1913" s="34" t="str">
        <f aca="false">IF($B1913="","",COUNTIF($F1913:$AJ1913,"TR"))</f>
        <v/>
      </c>
      <c r="AX1913" s="35" t="str">
        <f aca="false">IF($B1913="","",AO1913+AS1913/2)</f>
        <v/>
      </c>
      <c r="AY1913" s="35" t="str">
        <f aca="false">IF($B1913="","",AQ1913)</f>
        <v/>
      </c>
      <c r="AZ1913" s="35" t="str">
        <f aca="false">IF($B1913="","",AP1913+AT1913/2)</f>
        <v/>
      </c>
      <c r="BA1913" s="35" t="str">
        <f aca="false">IF($B1913="","",AK1913+AN1913+AM1913/2+AO1913+AP1913+AQ1913+AR1913+AS1913+AT1913+AU1913+AV1913+AW1913)</f>
        <v/>
      </c>
      <c r="BB1913" s="35" t="str">
        <f aca="false">IF($B1913="","",MAX(0,AN1913-Settings!$C$16)*Settings!$C$17)</f>
        <v/>
      </c>
      <c r="BC1913" s="35" t="str">
        <f aca="false">IF($B1913="","",BA1913-BB1913)</f>
        <v/>
      </c>
      <c r="BD1913" s="35" t="str">
        <f aca="false">IF(OR($B1913="",$A1913=""),"",DAY(EOMONTH($A1913,0))-COUNTA($F1913:$AJ1913))</f>
        <v/>
      </c>
    </row>
    <row r="1914" customFormat="false" ht="15" hidden="false" customHeight="false" outlineLevel="0" collapsed="false">
      <c r="A1914" s="32"/>
      <c r="B1914" s="29"/>
      <c r="C1914" s="10" t="str">
        <f aca="false">IF($B1914="","",IFERROR(INDEX(M_name,MATCH($B1914,M_emp,0)),"Code not found"))</f>
        <v/>
      </c>
      <c r="D1914" s="10" t="str">
        <f aca="false">IF($B1914="","",IFERROR(INDEX(M_dept,MATCH($B1914,M_emp,0)),""))</f>
        <v/>
      </c>
      <c r="E1914" s="10" t="str">
        <f aca="false">IF($B1914="","",IFERROR(INDEX(M_loc,MATCH($B1914,M_emp,0)),""))</f>
        <v/>
      </c>
      <c r="F1914" s="33"/>
      <c r="G1914" s="33"/>
      <c r="H1914" s="33"/>
      <c r="I1914" s="33"/>
      <c r="J1914" s="33"/>
      <c r="K1914" s="33"/>
      <c r="L1914" s="33"/>
      <c r="M1914" s="33"/>
      <c r="N1914" s="33"/>
      <c r="O1914" s="33"/>
      <c r="P1914" s="33"/>
      <c r="Q1914" s="33"/>
      <c r="R1914" s="33"/>
      <c r="S1914" s="33"/>
      <c r="T1914" s="33"/>
      <c r="U1914" s="33"/>
      <c r="V1914" s="33"/>
      <c r="W1914" s="33"/>
      <c r="X1914" s="33"/>
      <c r="Y1914" s="33"/>
      <c r="Z1914" s="33"/>
      <c r="AA1914" s="33"/>
      <c r="AB1914" s="33"/>
      <c r="AC1914" s="33"/>
      <c r="AD1914" s="33"/>
      <c r="AE1914" s="33"/>
      <c r="AF1914" s="33"/>
      <c r="AG1914" s="33"/>
      <c r="AH1914" s="33"/>
      <c r="AI1914" s="33"/>
      <c r="AJ1914" s="33"/>
      <c r="AK1914" s="34" t="str">
        <f aca="false">IF($B1914="","",COUNTIF($F1914:$AJ1914,"P"))</f>
        <v/>
      </c>
      <c r="AL1914" s="34" t="str">
        <f aca="false">IF($B1914="","",COUNTIF($F1914:$AJ1914,"A"))</f>
        <v/>
      </c>
      <c r="AM1914" s="34" t="str">
        <f aca="false">IF($B1914="","",COUNTIF($F1914:$AJ1914,"HA"))</f>
        <v/>
      </c>
      <c r="AN1914" s="34" t="str">
        <f aca="false">IF($B1914="","",COUNTIF($F1914:$AJ1914,"L"))</f>
        <v/>
      </c>
      <c r="AO1914" s="34" t="str">
        <f aca="false">IF($B1914="","",COUNTIF($F1914:$AJ1914,"PL"))</f>
        <v/>
      </c>
      <c r="AP1914" s="34" t="str">
        <f aca="false">IF($B1914="","",COUNTIF($F1914:$AJ1914,"CL"))</f>
        <v/>
      </c>
      <c r="AQ1914" s="34" t="str">
        <f aca="false">IF($B1914="","",COUNTIF($F1914:$AJ1914,"SL"))</f>
        <v/>
      </c>
      <c r="AR1914" s="34" t="str">
        <f aca="false">IF($B1914="","",COUNTIF($F1914:$AJ1914,"CO"))</f>
        <v/>
      </c>
      <c r="AS1914" s="34" t="str">
        <f aca="false">IF($B1914="","",COUNTIF($F1914:$AJ1914,"HPL"))</f>
        <v/>
      </c>
      <c r="AT1914" s="34" t="str">
        <f aca="false">IF($B1914="","",COUNTIF($F1914:$AJ1914,"HCL"))</f>
        <v/>
      </c>
      <c r="AU1914" s="34" t="str">
        <f aca="false">IF($B1914="","",COUNTIF($F1914:$AJ1914,"WO"))</f>
        <v/>
      </c>
      <c r="AV1914" s="34" t="str">
        <f aca="false">IF($B1914="","",COUNTIF($F1914:$AJ1914,"PH"))</f>
        <v/>
      </c>
      <c r="AW1914" s="34" t="str">
        <f aca="false">IF($B1914="","",COUNTIF($F1914:$AJ1914,"TR"))</f>
        <v/>
      </c>
      <c r="AX1914" s="35" t="str">
        <f aca="false">IF($B1914="","",AO1914+AS1914/2)</f>
        <v/>
      </c>
      <c r="AY1914" s="35" t="str">
        <f aca="false">IF($B1914="","",AQ1914)</f>
        <v/>
      </c>
      <c r="AZ1914" s="35" t="str">
        <f aca="false">IF($B1914="","",AP1914+AT1914/2)</f>
        <v/>
      </c>
      <c r="BA1914" s="35" t="str">
        <f aca="false">IF($B1914="","",AK1914+AN1914+AM1914/2+AO1914+AP1914+AQ1914+AR1914+AS1914+AT1914+AU1914+AV1914+AW1914)</f>
        <v/>
      </c>
      <c r="BB1914" s="35" t="str">
        <f aca="false">IF($B1914="","",MAX(0,AN1914-Settings!$C$16)*Settings!$C$17)</f>
        <v/>
      </c>
      <c r="BC1914" s="35" t="str">
        <f aca="false">IF($B1914="","",BA1914-BB1914)</f>
        <v/>
      </c>
      <c r="BD1914" s="35" t="str">
        <f aca="false">IF(OR($B1914="",$A1914=""),"",DAY(EOMONTH($A1914,0))-COUNTA($F1914:$AJ1914))</f>
        <v/>
      </c>
    </row>
    <row r="1915" customFormat="false" ht="15" hidden="false" customHeight="false" outlineLevel="0" collapsed="false">
      <c r="A1915" s="32"/>
      <c r="B1915" s="29"/>
      <c r="C1915" s="10" t="str">
        <f aca="false">IF($B1915="","",IFERROR(INDEX(M_name,MATCH($B1915,M_emp,0)),"Code not found"))</f>
        <v/>
      </c>
      <c r="D1915" s="10" t="str">
        <f aca="false">IF($B1915="","",IFERROR(INDEX(M_dept,MATCH($B1915,M_emp,0)),""))</f>
        <v/>
      </c>
      <c r="E1915" s="10" t="str">
        <f aca="false">IF($B1915="","",IFERROR(INDEX(M_loc,MATCH($B1915,M_emp,0)),""))</f>
        <v/>
      </c>
      <c r="F1915" s="33"/>
      <c r="G1915" s="33"/>
      <c r="H1915" s="33"/>
      <c r="I1915" s="33"/>
      <c r="J1915" s="33"/>
      <c r="K1915" s="33"/>
      <c r="L1915" s="33"/>
      <c r="M1915" s="33"/>
      <c r="N1915" s="33"/>
      <c r="O1915" s="33"/>
      <c r="P1915" s="33"/>
      <c r="Q1915" s="33"/>
      <c r="R1915" s="33"/>
      <c r="S1915" s="33"/>
      <c r="T1915" s="33"/>
      <c r="U1915" s="33"/>
      <c r="V1915" s="33"/>
      <c r="W1915" s="33"/>
      <c r="X1915" s="33"/>
      <c r="Y1915" s="33"/>
      <c r="Z1915" s="33"/>
      <c r="AA1915" s="33"/>
      <c r="AB1915" s="33"/>
      <c r="AC1915" s="33"/>
      <c r="AD1915" s="33"/>
      <c r="AE1915" s="33"/>
      <c r="AF1915" s="33"/>
      <c r="AG1915" s="33"/>
      <c r="AH1915" s="33"/>
      <c r="AI1915" s="33"/>
      <c r="AJ1915" s="33"/>
      <c r="AK1915" s="34" t="str">
        <f aca="false">IF($B1915="","",COUNTIF($F1915:$AJ1915,"P"))</f>
        <v/>
      </c>
      <c r="AL1915" s="34" t="str">
        <f aca="false">IF($B1915="","",COUNTIF($F1915:$AJ1915,"A"))</f>
        <v/>
      </c>
      <c r="AM1915" s="34" t="str">
        <f aca="false">IF($B1915="","",COUNTIF($F1915:$AJ1915,"HA"))</f>
        <v/>
      </c>
      <c r="AN1915" s="34" t="str">
        <f aca="false">IF($B1915="","",COUNTIF($F1915:$AJ1915,"L"))</f>
        <v/>
      </c>
      <c r="AO1915" s="34" t="str">
        <f aca="false">IF($B1915="","",COUNTIF($F1915:$AJ1915,"PL"))</f>
        <v/>
      </c>
      <c r="AP1915" s="34" t="str">
        <f aca="false">IF($B1915="","",COUNTIF($F1915:$AJ1915,"CL"))</f>
        <v/>
      </c>
      <c r="AQ1915" s="34" t="str">
        <f aca="false">IF($B1915="","",COUNTIF($F1915:$AJ1915,"SL"))</f>
        <v/>
      </c>
      <c r="AR1915" s="34" t="str">
        <f aca="false">IF($B1915="","",COUNTIF($F1915:$AJ1915,"CO"))</f>
        <v/>
      </c>
      <c r="AS1915" s="34" t="str">
        <f aca="false">IF($B1915="","",COUNTIF($F1915:$AJ1915,"HPL"))</f>
        <v/>
      </c>
      <c r="AT1915" s="34" t="str">
        <f aca="false">IF($B1915="","",COUNTIF($F1915:$AJ1915,"HCL"))</f>
        <v/>
      </c>
      <c r="AU1915" s="34" t="str">
        <f aca="false">IF($B1915="","",COUNTIF($F1915:$AJ1915,"WO"))</f>
        <v/>
      </c>
      <c r="AV1915" s="34" t="str">
        <f aca="false">IF($B1915="","",COUNTIF($F1915:$AJ1915,"PH"))</f>
        <v/>
      </c>
      <c r="AW1915" s="34" t="str">
        <f aca="false">IF($B1915="","",COUNTIF($F1915:$AJ1915,"TR"))</f>
        <v/>
      </c>
      <c r="AX1915" s="35" t="str">
        <f aca="false">IF($B1915="","",AO1915+AS1915/2)</f>
        <v/>
      </c>
      <c r="AY1915" s="35" t="str">
        <f aca="false">IF($B1915="","",AQ1915)</f>
        <v/>
      </c>
      <c r="AZ1915" s="35" t="str">
        <f aca="false">IF($B1915="","",AP1915+AT1915/2)</f>
        <v/>
      </c>
      <c r="BA1915" s="35" t="str">
        <f aca="false">IF($B1915="","",AK1915+AN1915+AM1915/2+AO1915+AP1915+AQ1915+AR1915+AS1915+AT1915+AU1915+AV1915+AW1915)</f>
        <v/>
      </c>
      <c r="BB1915" s="35" t="str">
        <f aca="false">IF($B1915="","",MAX(0,AN1915-Settings!$C$16)*Settings!$C$17)</f>
        <v/>
      </c>
      <c r="BC1915" s="35" t="str">
        <f aca="false">IF($B1915="","",BA1915-BB1915)</f>
        <v/>
      </c>
      <c r="BD1915" s="35" t="str">
        <f aca="false">IF(OR($B1915="",$A1915=""),"",DAY(EOMONTH($A1915,0))-COUNTA($F1915:$AJ1915))</f>
        <v/>
      </c>
    </row>
    <row r="1916" customFormat="false" ht="15" hidden="false" customHeight="false" outlineLevel="0" collapsed="false">
      <c r="A1916" s="32"/>
      <c r="B1916" s="29"/>
      <c r="C1916" s="10" t="str">
        <f aca="false">IF($B1916="","",IFERROR(INDEX(M_name,MATCH($B1916,M_emp,0)),"Code not found"))</f>
        <v/>
      </c>
      <c r="D1916" s="10" t="str">
        <f aca="false">IF($B1916="","",IFERROR(INDEX(M_dept,MATCH($B1916,M_emp,0)),""))</f>
        <v/>
      </c>
      <c r="E1916" s="10" t="str">
        <f aca="false">IF($B1916="","",IFERROR(INDEX(M_loc,MATCH($B1916,M_emp,0)),""))</f>
        <v/>
      </c>
      <c r="F1916" s="33"/>
      <c r="G1916" s="33"/>
      <c r="H1916" s="33"/>
      <c r="I1916" s="33"/>
      <c r="J1916" s="33"/>
      <c r="K1916" s="33"/>
      <c r="L1916" s="33"/>
      <c r="M1916" s="33"/>
      <c r="N1916" s="33"/>
      <c r="O1916" s="33"/>
      <c r="P1916" s="33"/>
      <c r="Q1916" s="33"/>
      <c r="R1916" s="33"/>
      <c r="S1916" s="33"/>
      <c r="T1916" s="33"/>
      <c r="U1916" s="33"/>
      <c r="V1916" s="33"/>
      <c r="W1916" s="33"/>
      <c r="X1916" s="33"/>
      <c r="Y1916" s="33"/>
      <c r="Z1916" s="33"/>
      <c r="AA1916" s="33"/>
      <c r="AB1916" s="33"/>
      <c r="AC1916" s="33"/>
      <c r="AD1916" s="33"/>
      <c r="AE1916" s="33"/>
      <c r="AF1916" s="33"/>
      <c r="AG1916" s="33"/>
      <c r="AH1916" s="33"/>
      <c r="AI1916" s="33"/>
      <c r="AJ1916" s="33"/>
      <c r="AK1916" s="34" t="str">
        <f aca="false">IF($B1916="","",COUNTIF($F1916:$AJ1916,"P"))</f>
        <v/>
      </c>
      <c r="AL1916" s="34" t="str">
        <f aca="false">IF($B1916="","",COUNTIF($F1916:$AJ1916,"A"))</f>
        <v/>
      </c>
      <c r="AM1916" s="34" t="str">
        <f aca="false">IF($B1916="","",COUNTIF($F1916:$AJ1916,"HA"))</f>
        <v/>
      </c>
      <c r="AN1916" s="34" t="str">
        <f aca="false">IF($B1916="","",COUNTIF($F1916:$AJ1916,"L"))</f>
        <v/>
      </c>
      <c r="AO1916" s="34" t="str">
        <f aca="false">IF($B1916="","",COUNTIF($F1916:$AJ1916,"PL"))</f>
        <v/>
      </c>
      <c r="AP1916" s="34" t="str">
        <f aca="false">IF($B1916="","",COUNTIF($F1916:$AJ1916,"CL"))</f>
        <v/>
      </c>
      <c r="AQ1916" s="34" t="str">
        <f aca="false">IF($B1916="","",COUNTIF($F1916:$AJ1916,"SL"))</f>
        <v/>
      </c>
      <c r="AR1916" s="34" t="str">
        <f aca="false">IF($B1916="","",COUNTIF($F1916:$AJ1916,"CO"))</f>
        <v/>
      </c>
      <c r="AS1916" s="34" t="str">
        <f aca="false">IF($B1916="","",COUNTIF($F1916:$AJ1916,"HPL"))</f>
        <v/>
      </c>
      <c r="AT1916" s="34" t="str">
        <f aca="false">IF($B1916="","",COUNTIF($F1916:$AJ1916,"HCL"))</f>
        <v/>
      </c>
      <c r="AU1916" s="34" t="str">
        <f aca="false">IF($B1916="","",COUNTIF($F1916:$AJ1916,"WO"))</f>
        <v/>
      </c>
      <c r="AV1916" s="34" t="str">
        <f aca="false">IF($B1916="","",COUNTIF($F1916:$AJ1916,"PH"))</f>
        <v/>
      </c>
      <c r="AW1916" s="34" t="str">
        <f aca="false">IF($B1916="","",COUNTIF($F1916:$AJ1916,"TR"))</f>
        <v/>
      </c>
      <c r="AX1916" s="35" t="str">
        <f aca="false">IF($B1916="","",AO1916+AS1916/2)</f>
        <v/>
      </c>
      <c r="AY1916" s="35" t="str">
        <f aca="false">IF($B1916="","",AQ1916)</f>
        <v/>
      </c>
      <c r="AZ1916" s="35" t="str">
        <f aca="false">IF($B1916="","",AP1916+AT1916/2)</f>
        <v/>
      </c>
      <c r="BA1916" s="35" t="str">
        <f aca="false">IF($B1916="","",AK1916+AN1916+AM1916/2+AO1916+AP1916+AQ1916+AR1916+AS1916+AT1916+AU1916+AV1916+AW1916)</f>
        <v/>
      </c>
      <c r="BB1916" s="35" t="str">
        <f aca="false">IF($B1916="","",MAX(0,AN1916-Settings!$C$16)*Settings!$C$17)</f>
        <v/>
      </c>
      <c r="BC1916" s="35" t="str">
        <f aca="false">IF($B1916="","",BA1916-BB1916)</f>
        <v/>
      </c>
      <c r="BD1916" s="35" t="str">
        <f aca="false">IF(OR($B1916="",$A1916=""),"",DAY(EOMONTH($A1916,0))-COUNTA($F1916:$AJ1916))</f>
        <v/>
      </c>
    </row>
    <row r="1917" customFormat="false" ht="15" hidden="false" customHeight="false" outlineLevel="0" collapsed="false">
      <c r="A1917" s="32"/>
      <c r="B1917" s="29"/>
      <c r="C1917" s="10" t="str">
        <f aca="false">IF($B1917="","",IFERROR(INDEX(M_name,MATCH($B1917,M_emp,0)),"Code not found"))</f>
        <v/>
      </c>
      <c r="D1917" s="10" t="str">
        <f aca="false">IF($B1917="","",IFERROR(INDEX(M_dept,MATCH($B1917,M_emp,0)),""))</f>
        <v/>
      </c>
      <c r="E1917" s="10" t="str">
        <f aca="false">IF($B1917="","",IFERROR(INDEX(M_loc,MATCH($B1917,M_emp,0)),""))</f>
        <v/>
      </c>
      <c r="F1917" s="33"/>
      <c r="G1917" s="33"/>
      <c r="H1917" s="33"/>
      <c r="I1917" s="33"/>
      <c r="J1917" s="33"/>
      <c r="K1917" s="33"/>
      <c r="L1917" s="33"/>
      <c r="M1917" s="33"/>
      <c r="N1917" s="33"/>
      <c r="O1917" s="33"/>
      <c r="P1917" s="33"/>
      <c r="Q1917" s="33"/>
      <c r="R1917" s="33"/>
      <c r="S1917" s="33"/>
      <c r="T1917" s="33"/>
      <c r="U1917" s="33"/>
      <c r="V1917" s="33"/>
      <c r="W1917" s="33"/>
      <c r="X1917" s="33"/>
      <c r="Y1917" s="33"/>
      <c r="Z1917" s="33"/>
      <c r="AA1917" s="33"/>
      <c r="AB1917" s="33"/>
      <c r="AC1917" s="33"/>
      <c r="AD1917" s="33"/>
      <c r="AE1917" s="33"/>
      <c r="AF1917" s="33"/>
      <c r="AG1917" s="33"/>
      <c r="AH1917" s="33"/>
      <c r="AI1917" s="33"/>
      <c r="AJ1917" s="33"/>
      <c r="AK1917" s="34" t="str">
        <f aca="false">IF($B1917="","",COUNTIF($F1917:$AJ1917,"P"))</f>
        <v/>
      </c>
      <c r="AL1917" s="34" t="str">
        <f aca="false">IF($B1917="","",COUNTIF($F1917:$AJ1917,"A"))</f>
        <v/>
      </c>
      <c r="AM1917" s="34" t="str">
        <f aca="false">IF($B1917="","",COUNTIF($F1917:$AJ1917,"HA"))</f>
        <v/>
      </c>
      <c r="AN1917" s="34" t="str">
        <f aca="false">IF($B1917="","",COUNTIF($F1917:$AJ1917,"L"))</f>
        <v/>
      </c>
      <c r="AO1917" s="34" t="str">
        <f aca="false">IF($B1917="","",COUNTIF($F1917:$AJ1917,"PL"))</f>
        <v/>
      </c>
      <c r="AP1917" s="34" t="str">
        <f aca="false">IF($B1917="","",COUNTIF($F1917:$AJ1917,"CL"))</f>
        <v/>
      </c>
      <c r="AQ1917" s="34" t="str">
        <f aca="false">IF($B1917="","",COUNTIF($F1917:$AJ1917,"SL"))</f>
        <v/>
      </c>
      <c r="AR1917" s="34" t="str">
        <f aca="false">IF($B1917="","",COUNTIF($F1917:$AJ1917,"CO"))</f>
        <v/>
      </c>
      <c r="AS1917" s="34" t="str">
        <f aca="false">IF($B1917="","",COUNTIF($F1917:$AJ1917,"HPL"))</f>
        <v/>
      </c>
      <c r="AT1917" s="34" t="str">
        <f aca="false">IF($B1917="","",COUNTIF($F1917:$AJ1917,"HCL"))</f>
        <v/>
      </c>
      <c r="AU1917" s="34" t="str">
        <f aca="false">IF($B1917="","",COUNTIF($F1917:$AJ1917,"WO"))</f>
        <v/>
      </c>
      <c r="AV1917" s="34" t="str">
        <f aca="false">IF($B1917="","",COUNTIF($F1917:$AJ1917,"PH"))</f>
        <v/>
      </c>
      <c r="AW1917" s="34" t="str">
        <f aca="false">IF($B1917="","",COUNTIF($F1917:$AJ1917,"TR"))</f>
        <v/>
      </c>
      <c r="AX1917" s="35" t="str">
        <f aca="false">IF($B1917="","",AO1917+AS1917/2)</f>
        <v/>
      </c>
      <c r="AY1917" s="35" t="str">
        <f aca="false">IF($B1917="","",AQ1917)</f>
        <v/>
      </c>
      <c r="AZ1917" s="35" t="str">
        <f aca="false">IF($B1917="","",AP1917+AT1917/2)</f>
        <v/>
      </c>
      <c r="BA1917" s="35" t="str">
        <f aca="false">IF($B1917="","",AK1917+AN1917+AM1917/2+AO1917+AP1917+AQ1917+AR1917+AS1917+AT1917+AU1917+AV1917+AW1917)</f>
        <v/>
      </c>
      <c r="BB1917" s="35" t="str">
        <f aca="false">IF($B1917="","",MAX(0,AN1917-Settings!$C$16)*Settings!$C$17)</f>
        <v/>
      </c>
      <c r="BC1917" s="35" t="str">
        <f aca="false">IF($B1917="","",BA1917-BB1917)</f>
        <v/>
      </c>
      <c r="BD1917" s="35" t="str">
        <f aca="false">IF(OR($B1917="",$A1917=""),"",DAY(EOMONTH($A1917,0))-COUNTA($F1917:$AJ1917))</f>
        <v/>
      </c>
    </row>
    <row r="1918" customFormat="false" ht="15" hidden="false" customHeight="false" outlineLevel="0" collapsed="false">
      <c r="A1918" s="32"/>
      <c r="B1918" s="29"/>
      <c r="C1918" s="10" t="str">
        <f aca="false">IF($B1918="","",IFERROR(INDEX(M_name,MATCH($B1918,M_emp,0)),"Code not found"))</f>
        <v/>
      </c>
      <c r="D1918" s="10" t="str">
        <f aca="false">IF($B1918="","",IFERROR(INDEX(M_dept,MATCH($B1918,M_emp,0)),""))</f>
        <v/>
      </c>
      <c r="E1918" s="10" t="str">
        <f aca="false">IF($B1918="","",IFERROR(INDEX(M_loc,MATCH($B1918,M_emp,0)),""))</f>
        <v/>
      </c>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c r="AB1918" s="33"/>
      <c r="AC1918" s="33"/>
      <c r="AD1918" s="33"/>
      <c r="AE1918" s="33"/>
      <c r="AF1918" s="33"/>
      <c r="AG1918" s="33"/>
      <c r="AH1918" s="33"/>
      <c r="AI1918" s="33"/>
      <c r="AJ1918" s="33"/>
      <c r="AK1918" s="34" t="str">
        <f aca="false">IF($B1918="","",COUNTIF($F1918:$AJ1918,"P"))</f>
        <v/>
      </c>
      <c r="AL1918" s="34" t="str">
        <f aca="false">IF($B1918="","",COUNTIF($F1918:$AJ1918,"A"))</f>
        <v/>
      </c>
      <c r="AM1918" s="34" t="str">
        <f aca="false">IF($B1918="","",COUNTIF($F1918:$AJ1918,"HA"))</f>
        <v/>
      </c>
      <c r="AN1918" s="34" t="str">
        <f aca="false">IF($B1918="","",COUNTIF($F1918:$AJ1918,"L"))</f>
        <v/>
      </c>
      <c r="AO1918" s="34" t="str">
        <f aca="false">IF($B1918="","",COUNTIF($F1918:$AJ1918,"PL"))</f>
        <v/>
      </c>
      <c r="AP1918" s="34" t="str">
        <f aca="false">IF($B1918="","",COUNTIF($F1918:$AJ1918,"CL"))</f>
        <v/>
      </c>
      <c r="AQ1918" s="34" t="str">
        <f aca="false">IF($B1918="","",COUNTIF($F1918:$AJ1918,"SL"))</f>
        <v/>
      </c>
      <c r="AR1918" s="34" t="str">
        <f aca="false">IF($B1918="","",COUNTIF($F1918:$AJ1918,"CO"))</f>
        <v/>
      </c>
      <c r="AS1918" s="34" t="str">
        <f aca="false">IF($B1918="","",COUNTIF($F1918:$AJ1918,"HPL"))</f>
        <v/>
      </c>
      <c r="AT1918" s="34" t="str">
        <f aca="false">IF($B1918="","",COUNTIF($F1918:$AJ1918,"HCL"))</f>
        <v/>
      </c>
      <c r="AU1918" s="34" t="str">
        <f aca="false">IF($B1918="","",COUNTIF($F1918:$AJ1918,"WO"))</f>
        <v/>
      </c>
      <c r="AV1918" s="34" t="str">
        <f aca="false">IF($B1918="","",COUNTIF($F1918:$AJ1918,"PH"))</f>
        <v/>
      </c>
      <c r="AW1918" s="34" t="str">
        <f aca="false">IF($B1918="","",COUNTIF($F1918:$AJ1918,"TR"))</f>
        <v/>
      </c>
      <c r="AX1918" s="35" t="str">
        <f aca="false">IF($B1918="","",AO1918+AS1918/2)</f>
        <v/>
      </c>
      <c r="AY1918" s="35" t="str">
        <f aca="false">IF($B1918="","",AQ1918)</f>
        <v/>
      </c>
      <c r="AZ1918" s="35" t="str">
        <f aca="false">IF($B1918="","",AP1918+AT1918/2)</f>
        <v/>
      </c>
      <c r="BA1918" s="35" t="str">
        <f aca="false">IF($B1918="","",AK1918+AN1918+AM1918/2+AO1918+AP1918+AQ1918+AR1918+AS1918+AT1918+AU1918+AV1918+AW1918)</f>
        <v/>
      </c>
      <c r="BB1918" s="35" t="str">
        <f aca="false">IF($B1918="","",MAX(0,AN1918-Settings!$C$16)*Settings!$C$17)</f>
        <v/>
      </c>
      <c r="BC1918" s="35" t="str">
        <f aca="false">IF($B1918="","",BA1918-BB1918)</f>
        <v/>
      </c>
      <c r="BD1918" s="35" t="str">
        <f aca="false">IF(OR($B1918="",$A1918=""),"",DAY(EOMONTH($A1918,0))-COUNTA($F1918:$AJ1918))</f>
        <v/>
      </c>
    </row>
    <row r="1919" customFormat="false" ht="15" hidden="false" customHeight="false" outlineLevel="0" collapsed="false">
      <c r="A1919" s="32"/>
      <c r="B1919" s="29"/>
      <c r="C1919" s="10" t="str">
        <f aca="false">IF($B1919="","",IFERROR(INDEX(M_name,MATCH($B1919,M_emp,0)),"Code not found"))</f>
        <v/>
      </c>
      <c r="D1919" s="10" t="str">
        <f aca="false">IF($B1919="","",IFERROR(INDEX(M_dept,MATCH($B1919,M_emp,0)),""))</f>
        <v/>
      </c>
      <c r="E1919" s="10" t="str">
        <f aca="false">IF($B1919="","",IFERROR(INDEX(M_loc,MATCH($B1919,M_emp,0)),""))</f>
        <v/>
      </c>
      <c r="F1919" s="33"/>
      <c r="G1919" s="33"/>
      <c r="H1919" s="33"/>
      <c r="I1919" s="33"/>
      <c r="J1919" s="33"/>
      <c r="K1919" s="33"/>
      <c r="L1919" s="33"/>
      <c r="M1919" s="33"/>
      <c r="N1919" s="33"/>
      <c r="O1919" s="33"/>
      <c r="P1919" s="33"/>
      <c r="Q1919" s="33"/>
      <c r="R1919" s="33"/>
      <c r="S1919" s="33"/>
      <c r="T1919" s="33"/>
      <c r="U1919" s="33"/>
      <c r="V1919" s="33"/>
      <c r="W1919" s="33"/>
      <c r="X1919" s="33"/>
      <c r="Y1919" s="33"/>
      <c r="Z1919" s="33"/>
      <c r="AA1919" s="33"/>
      <c r="AB1919" s="33"/>
      <c r="AC1919" s="33"/>
      <c r="AD1919" s="33"/>
      <c r="AE1919" s="33"/>
      <c r="AF1919" s="33"/>
      <c r="AG1919" s="33"/>
      <c r="AH1919" s="33"/>
      <c r="AI1919" s="33"/>
      <c r="AJ1919" s="33"/>
      <c r="AK1919" s="34" t="str">
        <f aca="false">IF($B1919="","",COUNTIF($F1919:$AJ1919,"P"))</f>
        <v/>
      </c>
      <c r="AL1919" s="34" t="str">
        <f aca="false">IF($B1919="","",COUNTIF($F1919:$AJ1919,"A"))</f>
        <v/>
      </c>
      <c r="AM1919" s="34" t="str">
        <f aca="false">IF($B1919="","",COUNTIF($F1919:$AJ1919,"HA"))</f>
        <v/>
      </c>
      <c r="AN1919" s="34" t="str">
        <f aca="false">IF($B1919="","",COUNTIF($F1919:$AJ1919,"L"))</f>
        <v/>
      </c>
      <c r="AO1919" s="34" t="str">
        <f aca="false">IF($B1919="","",COUNTIF($F1919:$AJ1919,"PL"))</f>
        <v/>
      </c>
      <c r="AP1919" s="34" t="str">
        <f aca="false">IF($B1919="","",COUNTIF($F1919:$AJ1919,"CL"))</f>
        <v/>
      </c>
      <c r="AQ1919" s="34" t="str">
        <f aca="false">IF($B1919="","",COUNTIF($F1919:$AJ1919,"SL"))</f>
        <v/>
      </c>
      <c r="AR1919" s="34" t="str">
        <f aca="false">IF($B1919="","",COUNTIF($F1919:$AJ1919,"CO"))</f>
        <v/>
      </c>
      <c r="AS1919" s="34" t="str">
        <f aca="false">IF($B1919="","",COUNTIF($F1919:$AJ1919,"HPL"))</f>
        <v/>
      </c>
      <c r="AT1919" s="34" t="str">
        <f aca="false">IF($B1919="","",COUNTIF($F1919:$AJ1919,"HCL"))</f>
        <v/>
      </c>
      <c r="AU1919" s="34" t="str">
        <f aca="false">IF($B1919="","",COUNTIF($F1919:$AJ1919,"WO"))</f>
        <v/>
      </c>
      <c r="AV1919" s="34" t="str">
        <f aca="false">IF($B1919="","",COUNTIF($F1919:$AJ1919,"PH"))</f>
        <v/>
      </c>
      <c r="AW1919" s="34" t="str">
        <f aca="false">IF($B1919="","",COUNTIF($F1919:$AJ1919,"TR"))</f>
        <v/>
      </c>
      <c r="AX1919" s="35" t="str">
        <f aca="false">IF($B1919="","",AO1919+AS1919/2)</f>
        <v/>
      </c>
      <c r="AY1919" s="35" t="str">
        <f aca="false">IF($B1919="","",AQ1919)</f>
        <v/>
      </c>
      <c r="AZ1919" s="35" t="str">
        <f aca="false">IF($B1919="","",AP1919+AT1919/2)</f>
        <v/>
      </c>
      <c r="BA1919" s="35" t="str">
        <f aca="false">IF($B1919="","",AK1919+AN1919+AM1919/2+AO1919+AP1919+AQ1919+AR1919+AS1919+AT1919+AU1919+AV1919+AW1919)</f>
        <v/>
      </c>
      <c r="BB1919" s="35" t="str">
        <f aca="false">IF($B1919="","",MAX(0,AN1919-Settings!$C$16)*Settings!$C$17)</f>
        <v/>
      </c>
      <c r="BC1919" s="35" t="str">
        <f aca="false">IF($B1919="","",BA1919-BB1919)</f>
        <v/>
      </c>
      <c r="BD1919" s="35" t="str">
        <f aca="false">IF(OR($B1919="",$A1919=""),"",DAY(EOMONTH($A1919,0))-COUNTA($F1919:$AJ1919))</f>
        <v/>
      </c>
    </row>
    <row r="1920" customFormat="false" ht="15" hidden="false" customHeight="false" outlineLevel="0" collapsed="false">
      <c r="A1920" s="32"/>
      <c r="B1920" s="29"/>
      <c r="C1920" s="10" t="str">
        <f aca="false">IF($B1920="","",IFERROR(INDEX(M_name,MATCH($B1920,M_emp,0)),"Code not found"))</f>
        <v/>
      </c>
      <c r="D1920" s="10" t="str">
        <f aca="false">IF($B1920="","",IFERROR(INDEX(M_dept,MATCH($B1920,M_emp,0)),""))</f>
        <v/>
      </c>
      <c r="E1920" s="10" t="str">
        <f aca="false">IF($B1920="","",IFERROR(INDEX(M_loc,MATCH($B1920,M_emp,0)),""))</f>
        <v/>
      </c>
      <c r="F1920" s="33"/>
      <c r="G1920" s="33"/>
      <c r="H1920" s="33"/>
      <c r="I1920" s="33"/>
      <c r="J1920" s="33"/>
      <c r="K1920" s="33"/>
      <c r="L1920" s="33"/>
      <c r="M1920" s="33"/>
      <c r="N1920" s="33"/>
      <c r="O1920" s="33"/>
      <c r="P1920" s="33"/>
      <c r="Q1920" s="33"/>
      <c r="R1920" s="33"/>
      <c r="S1920" s="33"/>
      <c r="T1920" s="33"/>
      <c r="U1920" s="33"/>
      <c r="V1920" s="33"/>
      <c r="W1920" s="33"/>
      <c r="X1920" s="33"/>
      <c r="Y1920" s="33"/>
      <c r="Z1920" s="33"/>
      <c r="AA1920" s="33"/>
      <c r="AB1920" s="33"/>
      <c r="AC1920" s="33"/>
      <c r="AD1920" s="33"/>
      <c r="AE1920" s="33"/>
      <c r="AF1920" s="33"/>
      <c r="AG1920" s="33"/>
      <c r="AH1920" s="33"/>
      <c r="AI1920" s="33"/>
      <c r="AJ1920" s="33"/>
      <c r="AK1920" s="34" t="str">
        <f aca="false">IF($B1920="","",COUNTIF($F1920:$AJ1920,"P"))</f>
        <v/>
      </c>
      <c r="AL1920" s="34" t="str">
        <f aca="false">IF($B1920="","",COUNTIF($F1920:$AJ1920,"A"))</f>
        <v/>
      </c>
      <c r="AM1920" s="34" t="str">
        <f aca="false">IF($B1920="","",COUNTIF($F1920:$AJ1920,"HA"))</f>
        <v/>
      </c>
      <c r="AN1920" s="34" t="str">
        <f aca="false">IF($B1920="","",COUNTIF($F1920:$AJ1920,"L"))</f>
        <v/>
      </c>
      <c r="AO1920" s="34" t="str">
        <f aca="false">IF($B1920="","",COUNTIF($F1920:$AJ1920,"PL"))</f>
        <v/>
      </c>
      <c r="AP1920" s="34" t="str">
        <f aca="false">IF($B1920="","",COUNTIF($F1920:$AJ1920,"CL"))</f>
        <v/>
      </c>
      <c r="AQ1920" s="34" t="str">
        <f aca="false">IF($B1920="","",COUNTIF($F1920:$AJ1920,"SL"))</f>
        <v/>
      </c>
      <c r="AR1920" s="34" t="str">
        <f aca="false">IF($B1920="","",COUNTIF($F1920:$AJ1920,"CO"))</f>
        <v/>
      </c>
      <c r="AS1920" s="34" t="str">
        <f aca="false">IF($B1920="","",COUNTIF($F1920:$AJ1920,"HPL"))</f>
        <v/>
      </c>
      <c r="AT1920" s="34" t="str">
        <f aca="false">IF($B1920="","",COUNTIF($F1920:$AJ1920,"HCL"))</f>
        <v/>
      </c>
      <c r="AU1920" s="34" t="str">
        <f aca="false">IF($B1920="","",COUNTIF($F1920:$AJ1920,"WO"))</f>
        <v/>
      </c>
      <c r="AV1920" s="34" t="str">
        <f aca="false">IF($B1920="","",COUNTIF($F1920:$AJ1920,"PH"))</f>
        <v/>
      </c>
      <c r="AW1920" s="34" t="str">
        <f aca="false">IF($B1920="","",COUNTIF($F1920:$AJ1920,"TR"))</f>
        <v/>
      </c>
      <c r="AX1920" s="35" t="str">
        <f aca="false">IF($B1920="","",AO1920+AS1920/2)</f>
        <v/>
      </c>
      <c r="AY1920" s="35" t="str">
        <f aca="false">IF($B1920="","",AQ1920)</f>
        <v/>
      </c>
      <c r="AZ1920" s="35" t="str">
        <f aca="false">IF($B1920="","",AP1920+AT1920/2)</f>
        <v/>
      </c>
      <c r="BA1920" s="35" t="str">
        <f aca="false">IF($B1920="","",AK1920+AN1920+AM1920/2+AO1920+AP1920+AQ1920+AR1920+AS1920+AT1920+AU1920+AV1920+AW1920)</f>
        <v/>
      </c>
      <c r="BB1920" s="35" t="str">
        <f aca="false">IF($B1920="","",MAX(0,AN1920-Settings!$C$16)*Settings!$C$17)</f>
        <v/>
      </c>
      <c r="BC1920" s="35" t="str">
        <f aca="false">IF($B1920="","",BA1920-BB1920)</f>
        <v/>
      </c>
      <c r="BD1920" s="35" t="str">
        <f aca="false">IF(OR($B1920="",$A1920=""),"",DAY(EOMONTH($A1920,0))-COUNTA($F1920:$AJ1920))</f>
        <v/>
      </c>
    </row>
    <row r="1921" customFormat="false" ht="15" hidden="false" customHeight="false" outlineLevel="0" collapsed="false">
      <c r="A1921" s="32"/>
      <c r="B1921" s="29"/>
      <c r="C1921" s="10" t="str">
        <f aca="false">IF($B1921="","",IFERROR(INDEX(M_name,MATCH($B1921,M_emp,0)),"Code not found"))</f>
        <v/>
      </c>
      <c r="D1921" s="10" t="str">
        <f aca="false">IF($B1921="","",IFERROR(INDEX(M_dept,MATCH($B1921,M_emp,0)),""))</f>
        <v/>
      </c>
      <c r="E1921" s="10" t="str">
        <f aca="false">IF($B1921="","",IFERROR(INDEX(M_loc,MATCH($B1921,M_emp,0)),""))</f>
        <v/>
      </c>
      <c r="F1921" s="33"/>
      <c r="G1921" s="33"/>
      <c r="H1921" s="33"/>
      <c r="I1921" s="33"/>
      <c r="J1921" s="33"/>
      <c r="K1921" s="33"/>
      <c r="L1921" s="33"/>
      <c r="M1921" s="33"/>
      <c r="N1921" s="33"/>
      <c r="O1921" s="33"/>
      <c r="P1921" s="33"/>
      <c r="Q1921" s="33"/>
      <c r="R1921" s="33"/>
      <c r="S1921" s="33"/>
      <c r="T1921" s="33"/>
      <c r="U1921" s="33"/>
      <c r="V1921" s="33"/>
      <c r="W1921" s="33"/>
      <c r="X1921" s="33"/>
      <c r="Y1921" s="33"/>
      <c r="Z1921" s="33"/>
      <c r="AA1921" s="33"/>
      <c r="AB1921" s="33"/>
      <c r="AC1921" s="33"/>
      <c r="AD1921" s="33"/>
      <c r="AE1921" s="33"/>
      <c r="AF1921" s="33"/>
      <c r="AG1921" s="33"/>
      <c r="AH1921" s="33"/>
      <c r="AI1921" s="33"/>
      <c r="AJ1921" s="33"/>
      <c r="AK1921" s="34" t="str">
        <f aca="false">IF($B1921="","",COUNTIF($F1921:$AJ1921,"P"))</f>
        <v/>
      </c>
      <c r="AL1921" s="34" t="str">
        <f aca="false">IF($B1921="","",COUNTIF($F1921:$AJ1921,"A"))</f>
        <v/>
      </c>
      <c r="AM1921" s="34" t="str">
        <f aca="false">IF($B1921="","",COUNTIF($F1921:$AJ1921,"HA"))</f>
        <v/>
      </c>
      <c r="AN1921" s="34" t="str">
        <f aca="false">IF($B1921="","",COUNTIF($F1921:$AJ1921,"L"))</f>
        <v/>
      </c>
      <c r="AO1921" s="34" t="str">
        <f aca="false">IF($B1921="","",COUNTIF($F1921:$AJ1921,"PL"))</f>
        <v/>
      </c>
      <c r="AP1921" s="34" t="str">
        <f aca="false">IF($B1921="","",COUNTIF($F1921:$AJ1921,"CL"))</f>
        <v/>
      </c>
      <c r="AQ1921" s="34" t="str">
        <f aca="false">IF($B1921="","",COUNTIF($F1921:$AJ1921,"SL"))</f>
        <v/>
      </c>
      <c r="AR1921" s="34" t="str">
        <f aca="false">IF($B1921="","",COUNTIF($F1921:$AJ1921,"CO"))</f>
        <v/>
      </c>
      <c r="AS1921" s="34" t="str">
        <f aca="false">IF($B1921="","",COUNTIF($F1921:$AJ1921,"HPL"))</f>
        <v/>
      </c>
      <c r="AT1921" s="34" t="str">
        <f aca="false">IF($B1921="","",COUNTIF($F1921:$AJ1921,"HCL"))</f>
        <v/>
      </c>
      <c r="AU1921" s="34" t="str">
        <f aca="false">IF($B1921="","",COUNTIF($F1921:$AJ1921,"WO"))</f>
        <v/>
      </c>
      <c r="AV1921" s="34" t="str">
        <f aca="false">IF($B1921="","",COUNTIF($F1921:$AJ1921,"PH"))</f>
        <v/>
      </c>
      <c r="AW1921" s="34" t="str">
        <f aca="false">IF($B1921="","",COUNTIF($F1921:$AJ1921,"TR"))</f>
        <v/>
      </c>
      <c r="AX1921" s="35" t="str">
        <f aca="false">IF($B1921="","",AO1921+AS1921/2)</f>
        <v/>
      </c>
      <c r="AY1921" s="35" t="str">
        <f aca="false">IF($B1921="","",AQ1921)</f>
        <v/>
      </c>
      <c r="AZ1921" s="35" t="str">
        <f aca="false">IF($B1921="","",AP1921+AT1921/2)</f>
        <v/>
      </c>
      <c r="BA1921" s="35" t="str">
        <f aca="false">IF($B1921="","",AK1921+AN1921+AM1921/2+AO1921+AP1921+AQ1921+AR1921+AS1921+AT1921+AU1921+AV1921+AW1921)</f>
        <v/>
      </c>
      <c r="BB1921" s="35" t="str">
        <f aca="false">IF($B1921="","",MAX(0,AN1921-Settings!$C$16)*Settings!$C$17)</f>
        <v/>
      </c>
      <c r="BC1921" s="35" t="str">
        <f aca="false">IF($B1921="","",BA1921-BB1921)</f>
        <v/>
      </c>
      <c r="BD1921" s="35" t="str">
        <f aca="false">IF(OR($B1921="",$A1921=""),"",DAY(EOMONTH($A1921,0))-COUNTA($F1921:$AJ1921))</f>
        <v/>
      </c>
    </row>
    <row r="1922" customFormat="false" ht="15" hidden="false" customHeight="false" outlineLevel="0" collapsed="false">
      <c r="A1922" s="32"/>
      <c r="B1922" s="29"/>
      <c r="C1922" s="10" t="str">
        <f aca="false">IF($B1922="","",IFERROR(INDEX(M_name,MATCH($B1922,M_emp,0)),"Code not found"))</f>
        <v/>
      </c>
      <c r="D1922" s="10" t="str">
        <f aca="false">IF($B1922="","",IFERROR(INDEX(M_dept,MATCH($B1922,M_emp,0)),""))</f>
        <v/>
      </c>
      <c r="E1922" s="10" t="str">
        <f aca="false">IF($B1922="","",IFERROR(INDEX(M_loc,MATCH($B1922,M_emp,0)),""))</f>
        <v/>
      </c>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c r="AB1922" s="33"/>
      <c r="AC1922" s="33"/>
      <c r="AD1922" s="33"/>
      <c r="AE1922" s="33"/>
      <c r="AF1922" s="33"/>
      <c r="AG1922" s="33"/>
      <c r="AH1922" s="33"/>
      <c r="AI1922" s="33"/>
      <c r="AJ1922" s="33"/>
      <c r="AK1922" s="34" t="str">
        <f aca="false">IF($B1922="","",COUNTIF($F1922:$AJ1922,"P"))</f>
        <v/>
      </c>
      <c r="AL1922" s="34" t="str">
        <f aca="false">IF($B1922="","",COUNTIF($F1922:$AJ1922,"A"))</f>
        <v/>
      </c>
      <c r="AM1922" s="34" t="str">
        <f aca="false">IF($B1922="","",COUNTIF($F1922:$AJ1922,"HA"))</f>
        <v/>
      </c>
      <c r="AN1922" s="34" t="str">
        <f aca="false">IF($B1922="","",COUNTIF($F1922:$AJ1922,"L"))</f>
        <v/>
      </c>
      <c r="AO1922" s="34" t="str">
        <f aca="false">IF($B1922="","",COUNTIF($F1922:$AJ1922,"PL"))</f>
        <v/>
      </c>
      <c r="AP1922" s="34" t="str">
        <f aca="false">IF($B1922="","",COUNTIF($F1922:$AJ1922,"CL"))</f>
        <v/>
      </c>
      <c r="AQ1922" s="34" t="str">
        <f aca="false">IF($B1922="","",COUNTIF($F1922:$AJ1922,"SL"))</f>
        <v/>
      </c>
      <c r="AR1922" s="34" t="str">
        <f aca="false">IF($B1922="","",COUNTIF($F1922:$AJ1922,"CO"))</f>
        <v/>
      </c>
      <c r="AS1922" s="34" t="str">
        <f aca="false">IF($B1922="","",COUNTIF($F1922:$AJ1922,"HPL"))</f>
        <v/>
      </c>
      <c r="AT1922" s="34" t="str">
        <f aca="false">IF($B1922="","",COUNTIF($F1922:$AJ1922,"HCL"))</f>
        <v/>
      </c>
      <c r="AU1922" s="34" t="str">
        <f aca="false">IF($B1922="","",COUNTIF($F1922:$AJ1922,"WO"))</f>
        <v/>
      </c>
      <c r="AV1922" s="34" t="str">
        <f aca="false">IF($B1922="","",COUNTIF($F1922:$AJ1922,"PH"))</f>
        <v/>
      </c>
      <c r="AW1922" s="34" t="str">
        <f aca="false">IF($B1922="","",COUNTIF($F1922:$AJ1922,"TR"))</f>
        <v/>
      </c>
      <c r="AX1922" s="35" t="str">
        <f aca="false">IF($B1922="","",AO1922+AS1922/2)</f>
        <v/>
      </c>
      <c r="AY1922" s="35" t="str">
        <f aca="false">IF($B1922="","",AQ1922)</f>
        <v/>
      </c>
      <c r="AZ1922" s="35" t="str">
        <f aca="false">IF($B1922="","",AP1922+AT1922/2)</f>
        <v/>
      </c>
      <c r="BA1922" s="35" t="str">
        <f aca="false">IF($B1922="","",AK1922+AN1922+AM1922/2+AO1922+AP1922+AQ1922+AR1922+AS1922+AT1922+AU1922+AV1922+AW1922)</f>
        <v/>
      </c>
      <c r="BB1922" s="35" t="str">
        <f aca="false">IF($B1922="","",MAX(0,AN1922-Settings!$C$16)*Settings!$C$17)</f>
        <v/>
      </c>
      <c r="BC1922" s="35" t="str">
        <f aca="false">IF($B1922="","",BA1922-BB1922)</f>
        <v/>
      </c>
      <c r="BD1922" s="35" t="str">
        <f aca="false">IF(OR($B1922="",$A1922=""),"",DAY(EOMONTH($A1922,0))-COUNTA($F1922:$AJ1922))</f>
        <v/>
      </c>
    </row>
    <row r="1923" customFormat="false" ht="15" hidden="false" customHeight="false" outlineLevel="0" collapsed="false">
      <c r="A1923" s="32"/>
      <c r="B1923" s="29"/>
      <c r="C1923" s="10" t="str">
        <f aca="false">IF($B1923="","",IFERROR(INDEX(M_name,MATCH($B1923,M_emp,0)),"Code not found"))</f>
        <v/>
      </c>
      <c r="D1923" s="10" t="str">
        <f aca="false">IF($B1923="","",IFERROR(INDEX(M_dept,MATCH($B1923,M_emp,0)),""))</f>
        <v/>
      </c>
      <c r="E1923" s="10" t="str">
        <f aca="false">IF($B1923="","",IFERROR(INDEX(M_loc,MATCH($B1923,M_emp,0)),""))</f>
        <v/>
      </c>
      <c r="F1923" s="33"/>
      <c r="G1923" s="33"/>
      <c r="H1923" s="33"/>
      <c r="I1923" s="33"/>
      <c r="J1923" s="33"/>
      <c r="K1923" s="33"/>
      <c r="L1923" s="33"/>
      <c r="M1923" s="33"/>
      <c r="N1923" s="33"/>
      <c r="O1923" s="33"/>
      <c r="P1923" s="33"/>
      <c r="Q1923" s="33"/>
      <c r="R1923" s="33"/>
      <c r="S1923" s="33"/>
      <c r="T1923" s="33"/>
      <c r="U1923" s="33"/>
      <c r="V1923" s="33"/>
      <c r="W1923" s="33"/>
      <c r="X1923" s="33"/>
      <c r="Y1923" s="33"/>
      <c r="Z1923" s="33"/>
      <c r="AA1923" s="33"/>
      <c r="AB1923" s="33"/>
      <c r="AC1923" s="33"/>
      <c r="AD1923" s="33"/>
      <c r="AE1923" s="33"/>
      <c r="AF1923" s="33"/>
      <c r="AG1923" s="33"/>
      <c r="AH1923" s="33"/>
      <c r="AI1923" s="33"/>
      <c r="AJ1923" s="33"/>
      <c r="AK1923" s="34" t="str">
        <f aca="false">IF($B1923="","",COUNTIF($F1923:$AJ1923,"P"))</f>
        <v/>
      </c>
      <c r="AL1923" s="34" t="str">
        <f aca="false">IF($B1923="","",COUNTIF($F1923:$AJ1923,"A"))</f>
        <v/>
      </c>
      <c r="AM1923" s="34" t="str">
        <f aca="false">IF($B1923="","",COUNTIF($F1923:$AJ1923,"HA"))</f>
        <v/>
      </c>
      <c r="AN1923" s="34" t="str">
        <f aca="false">IF($B1923="","",COUNTIF($F1923:$AJ1923,"L"))</f>
        <v/>
      </c>
      <c r="AO1923" s="34" t="str">
        <f aca="false">IF($B1923="","",COUNTIF($F1923:$AJ1923,"PL"))</f>
        <v/>
      </c>
      <c r="AP1923" s="34" t="str">
        <f aca="false">IF($B1923="","",COUNTIF($F1923:$AJ1923,"CL"))</f>
        <v/>
      </c>
      <c r="AQ1923" s="34" t="str">
        <f aca="false">IF($B1923="","",COUNTIF($F1923:$AJ1923,"SL"))</f>
        <v/>
      </c>
      <c r="AR1923" s="34" t="str">
        <f aca="false">IF($B1923="","",COUNTIF($F1923:$AJ1923,"CO"))</f>
        <v/>
      </c>
      <c r="AS1923" s="34" t="str">
        <f aca="false">IF($B1923="","",COUNTIF($F1923:$AJ1923,"HPL"))</f>
        <v/>
      </c>
      <c r="AT1923" s="34" t="str">
        <f aca="false">IF($B1923="","",COUNTIF($F1923:$AJ1923,"HCL"))</f>
        <v/>
      </c>
      <c r="AU1923" s="34" t="str">
        <f aca="false">IF($B1923="","",COUNTIF($F1923:$AJ1923,"WO"))</f>
        <v/>
      </c>
      <c r="AV1923" s="34" t="str">
        <f aca="false">IF($B1923="","",COUNTIF($F1923:$AJ1923,"PH"))</f>
        <v/>
      </c>
      <c r="AW1923" s="34" t="str">
        <f aca="false">IF($B1923="","",COUNTIF($F1923:$AJ1923,"TR"))</f>
        <v/>
      </c>
      <c r="AX1923" s="35" t="str">
        <f aca="false">IF($B1923="","",AO1923+AS1923/2)</f>
        <v/>
      </c>
      <c r="AY1923" s="35" t="str">
        <f aca="false">IF($B1923="","",AQ1923)</f>
        <v/>
      </c>
      <c r="AZ1923" s="35" t="str">
        <f aca="false">IF($B1923="","",AP1923+AT1923/2)</f>
        <v/>
      </c>
      <c r="BA1923" s="35" t="str">
        <f aca="false">IF($B1923="","",AK1923+AN1923+AM1923/2+AO1923+AP1923+AQ1923+AR1923+AS1923+AT1923+AU1923+AV1923+AW1923)</f>
        <v/>
      </c>
      <c r="BB1923" s="35" t="str">
        <f aca="false">IF($B1923="","",MAX(0,AN1923-Settings!$C$16)*Settings!$C$17)</f>
        <v/>
      </c>
      <c r="BC1923" s="35" t="str">
        <f aca="false">IF($B1923="","",BA1923-BB1923)</f>
        <v/>
      </c>
      <c r="BD1923" s="35" t="str">
        <f aca="false">IF(OR($B1923="",$A1923=""),"",DAY(EOMONTH($A1923,0))-COUNTA($F1923:$AJ1923))</f>
        <v/>
      </c>
    </row>
    <row r="1924" customFormat="false" ht="15" hidden="false" customHeight="false" outlineLevel="0" collapsed="false">
      <c r="A1924" s="32"/>
      <c r="B1924" s="29"/>
      <c r="C1924" s="10" t="str">
        <f aca="false">IF($B1924="","",IFERROR(INDEX(M_name,MATCH($B1924,M_emp,0)),"Code not found"))</f>
        <v/>
      </c>
      <c r="D1924" s="10" t="str">
        <f aca="false">IF($B1924="","",IFERROR(INDEX(M_dept,MATCH($B1924,M_emp,0)),""))</f>
        <v/>
      </c>
      <c r="E1924" s="10" t="str">
        <f aca="false">IF($B1924="","",IFERROR(INDEX(M_loc,MATCH($B1924,M_emp,0)),""))</f>
        <v/>
      </c>
      <c r="F1924" s="33"/>
      <c r="G1924" s="33"/>
      <c r="H1924" s="33"/>
      <c r="I1924" s="33"/>
      <c r="J1924" s="33"/>
      <c r="K1924" s="33"/>
      <c r="L1924" s="33"/>
      <c r="M1924" s="33"/>
      <c r="N1924" s="33"/>
      <c r="O1924" s="33"/>
      <c r="P1924" s="33"/>
      <c r="Q1924" s="33"/>
      <c r="R1924" s="33"/>
      <c r="S1924" s="33"/>
      <c r="T1924" s="33"/>
      <c r="U1924" s="33"/>
      <c r="V1924" s="33"/>
      <c r="W1924" s="33"/>
      <c r="X1924" s="33"/>
      <c r="Y1924" s="33"/>
      <c r="Z1924" s="33"/>
      <c r="AA1924" s="33"/>
      <c r="AB1924" s="33"/>
      <c r="AC1924" s="33"/>
      <c r="AD1924" s="33"/>
      <c r="AE1924" s="33"/>
      <c r="AF1924" s="33"/>
      <c r="AG1924" s="33"/>
      <c r="AH1924" s="33"/>
      <c r="AI1924" s="33"/>
      <c r="AJ1924" s="33"/>
      <c r="AK1924" s="34" t="str">
        <f aca="false">IF($B1924="","",COUNTIF($F1924:$AJ1924,"P"))</f>
        <v/>
      </c>
      <c r="AL1924" s="34" t="str">
        <f aca="false">IF($B1924="","",COUNTIF($F1924:$AJ1924,"A"))</f>
        <v/>
      </c>
      <c r="AM1924" s="34" t="str">
        <f aca="false">IF($B1924="","",COUNTIF($F1924:$AJ1924,"HA"))</f>
        <v/>
      </c>
      <c r="AN1924" s="34" t="str">
        <f aca="false">IF($B1924="","",COUNTIF($F1924:$AJ1924,"L"))</f>
        <v/>
      </c>
      <c r="AO1924" s="34" t="str">
        <f aca="false">IF($B1924="","",COUNTIF($F1924:$AJ1924,"PL"))</f>
        <v/>
      </c>
      <c r="AP1924" s="34" t="str">
        <f aca="false">IF($B1924="","",COUNTIF($F1924:$AJ1924,"CL"))</f>
        <v/>
      </c>
      <c r="AQ1924" s="34" t="str">
        <f aca="false">IF($B1924="","",COUNTIF($F1924:$AJ1924,"SL"))</f>
        <v/>
      </c>
      <c r="AR1924" s="34" t="str">
        <f aca="false">IF($B1924="","",COUNTIF($F1924:$AJ1924,"CO"))</f>
        <v/>
      </c>
      <c r="AS1924" s="34" t="str">
        <f aca="false">IF($B1924="","",COUNTIF($F1924:$AJ1924,"HPL"))</f>
        <v/>
      </c>
      <c r="AT1924" s="34" t="str">
        <f aca="false">IF($B1924="","",COUNTIF($F1924:$AJ1924,"HCL"))</f>
        <v/>
      </c>
      <c r="AU1924" s="34" t="str">
        <f aca="false">IF($B1924="","",COUNTIF($F1924:$AJ1924,"WO"))</f>
        <v/>
      </c>
      <c r="AV1924" s="34" t="str">
        <f aca="false">IF($B1924="","",COUNTIF($F1924:$AJ1924,"PH"))</f>
        <v/>
      </c>
      <c r="AW1924" s="34" t="str">
        <f aca="false">IF($B1924="","",COUNTIF($F1924:$AJ1924,"TR"))</f>
        <v/>
      </c>
      <c r="AX1924" s="35" t="str">
        <f aca="false">IF($B1924="","",AO1924+AS1924/2)</f>
        <v/>
      </c>
      <c r="AY1924" s="35" t="str">
        <f aca="false">IF($B1924="","",AQ1924)</f>
        <v/>
      </c>
      <c r="AZ1924" s="35" t="str">
        <f aca="false">IF($B1924="","",AP1924+AT1924/2)</f>
        <v/>
      </c>
      <c r="BA1924" s="35" t="str">
        <f aca="false">IF($B1924="","",AK1924+AN1924+AM1924/2+AO1924+AP1924+AQ1924+AR1924+AS1924+AT1924+AU1924+AV1924+AW1924)</f>
        <v/>
      </c>
      <c r="BB1924" s="35" t="str">
        <f aca="false">IF($B1924="","",MAX(0,AN1924-Settings!$C$16)*Settings!$C$17)</f>
        <v/>
      </c>
      <c r="BC1924" s="35" t="str">
        <f aca="false">IF($B1924="","",BA1924-BB1924)</f>
        <v/>
      </c>
      <c r="BD1924" s="35" t="str">
        <f aca="false">IF(OR($B1924="",$A1924=""),"",DAY(EOMONTH($A1924,0))-COUNTA($F1924:$AJ1924))</f>
        <v/>
      </c>
    </row>
    <row r="1925" customFormat="false" ht="15" hidden="false" customHeight="false" outlineLevel="0" collapsed="false">
      <c r="A1925" s="32"/>
      <c r="B1925" s="29"/>
      <c r="C1925" s="10" t="str">
        <f aca="false">IF($B1925="","",IFERROR(INDEX(M_name,MATCH($B1925,M_emp,0)),"Code not found"))</f>
        <v/>
      </c>
      <c r="D1925" s="10" t="str">
        <f aca="false">IF($B1925="","",IFERROR(INDEX(M_dept,MATCH($B1925,M_emp,0)),""))</f>
        <v/>
      </c>
      <c r="E1925" s="10" t="str">
        <f aca="false">IF($B1925="","",IFERROR(INDEX(M_loc,MATCH($B1925,M_emp,0)),""))</f>
        <v/>
      </c>
      <c r="F1925" s="33"/>
      <c r="G1925" s="33"/>
      <c r="H1925" s="33"/>
      <c r="I1925" s="33"/>
      <c r="J1925" s="33"/>
      <c r="K1925" s="33"/>
      <c r="L1925" s="33"/>
      <c r="M1925" s="33"/>
      <c r="N1925" s="33"/>
      <c r="O1925" s="33"/>
      <c r="P1925" s="33"/>
      <c r="Q1925" s="33"/>
      <c r="R1925" s="33"/>
      <c r="S1925" s="33"/>
      <c r="T1925" s="33"/>
      <c r="U1925" s="33"/>
      <c r="V1925" s="33"/>
      <c r="W1925" s="33"/>
      <c r="X1925" s="33"/>
      <c r="Y1925" s="33"/>
      <c r="Z1925" s="33"/>
      <c r="AA1925" s="33"/>
      <c r="AB1925" s="33"/>
      <c r="AC1925" s="33"/>
      <c r="AD1925" s="33"/>
      <c r="AE1925" s="33"/>
      <c r="AF1925" s="33"/>
      <c r="AG1925" s="33"/>
      <c r="AH1925" s="33"/>
      <c r="AI1925" s="33"/>
      <c r="AJ1925" s="33"/>
      <c r="AK1925" s="34" t="str">
        <f aca="false">IF($B1925="","",COUNTIF($F1925:$AJ1925,"P"))</f>
        <v/>
      </c>
      <c r="AL1925" s="34" t="str">
        <f aca="false">IF($B1925="","",COUNTIF($F1925:$AJ1925,"A"))</f>
        <v/>
      </c>
      <c r="AM1925" s="34" t="str">
        <f aca="false">IF($B1925="","",COUNTIF($F1925:$AJ1925,"HA"))</f>
        <v/>
      </c>
      <c r="AN1925" s="34" t="str">
        <f aca="false">IF($B1925="","",COUNTIF($F1925:$AJ1925,"L"))</f>
        <v/>
      </c>
      <c r="AO1925" s="34" t="str">
        <f aca="false">IF($B1925="","",COUNTIF($F1925:$AJ1925,"PL"))</f>
        <v/>
      </c>
      <c r="AP1925" s="34" t="str">
        <f aca="false">IF($B1925="","",COUNTIF($F1925:$AJ1925,"CL"))</f>
        <v/>
      </c>
      <c r="AQ1925" s="34" t="str">
        <f aca="false">IF($B1925="","",COUNTIF($F1925:$AJ1925,"SL"))</f>
        <v/>
      </c>
      <c r="AR1925" s="34" t="str">
        <f aca="false">IF($B1925="","",COUNTIF($F1925:$AJ1925,"CO"))</f>
        <v/>
      </c>
      <c r="AS1925" s="34" t="str">
        <f aca="false">IF($B1925="","",COUNTIF($F1925:$AJ1925,"HPL"))</f>
        <v/>
      </c>
      <c r="AT1925" s="34" t="str">
        <f aca="false">IF($B1925="","",COUNTIF($F1925:$AJ1925,"HCL"))</f>
        <v/>
      </c>
      <c r="AU1925" s="34" t="str">
        <f aca="false">IF($B1925="","",COUNTIF($F1925:$AJ1925,"WO"))</f>
        <v/>
      </c>
      <c r="AV1925" s="34" t="str">
        <f aca="false">IF($B1925="","",COUNTIF($F1925:$AJ1925,"PH"))</f>
        <v/>
      </c>
      <c r="AW1925" s="34" t="str">
        <f aca="false">IF($B1925="","",COUNTIF($F1925:$AJ1925,"TR"))</f>
        <v/>
      </c>
      <c r="AX1925" s="35" t="str">
        <f aca="false">IF($B1925="","",AO1925+AS1925/2)</f>
        <v/>
      </c>
      <c r="AY1925" s="35" t="str">
        <f aca="false">IF($B1925="","",AQ1925)</f>
        <v/>
      </c>
      <c r="AZ1925" s="35" t="str">
        <f aca="false">IF($B1925="","",AP1925+AT1925/2)</f>
        <v/>
      </c>
      <c r="BA1925" s="35" t="str">
        <f aca="false">IF($B1925="","",AK1925+AN1925+AM1925/2+AO1925+AP1925+AQ1925+AR1925+AS1925+AT1925+AU1925+AV1925+AW1925)</f>
        <v/>
      </c>
      <c r="BB1925" s="35" t="str">
        <f aca="false">IF($B1925="","",MAX(0,AN1925-Settings!$C$16)*Settings!$C$17)</f>
        <v/>
      </c>
      <c r="BC1925" s="35" t="str">
        <f aca="false">IF($B1925="","",BA1925-BB1925)</f>
        <v/>
      </c>
      <c r="BD1925" s="35" t="str">
        <f aca="false">IF(OR($B1925="",$A1925=""),"",DAY(EOMONTH($A1925,0))-COUNTA($F1925:$AJ1925))</f>
        <v/>
      </c>
    </row>
    <row r="1926" customFormat="false" ht="15" hidden="false" customHeight="false" outlineLevel="0" collapsed="false">
      <c r="A1926" s="32"/>
      <c r="B1926" s="29"/>
      <c r="C1926" s="10" t="str">
        <f aca="false">IF($B1926="","",IFERROR(INDEX(M_name,MATCH($B1926,M_emp,0)),"Code not found"))</f>
        <v/>
      </c>
      <c r="D1926" s="10" t="str">
        <f aca="false">IF($B1926="","",IFERROR(INDEX(M_dept,MATCH($B1926,M_emp,0)),""))</f>
        <v/>
      </c>
      <c r="E1926" s="10" t="str">
        <f aca="false">IF($B1926="","",IFERROR(INDEX(M_loc,MATCH($B1926,M_emp,0)),""))</f>
        <v/>
      </c>
      <c r="F1926" s="33"/>
      <c r="G1926" s="33"/>
      <c r="H1926" s="33"/>
      <c r="I1926" s="33"/>
      <c r="J1926" s="33"/>
      <c r="K1926" s="33"/>
      <c r="L1926" s="33"/>
      <c r="M1926" s="33"/>
      <c r="N1926" s="33"/>
      <c r="O1926" s="33"/>
      <c r="P1926" s="33"/>
      <c r="Q1926" s="33"/>
      <c r="R1926" s="33"/>
      <c r="S1926" s="33"/>
      <c r="T1926" s="33"/>
      <c r="U1926" s="33"/>
      <c r="V1926" s="33"/>
      <c r="W1926" s="33"/>
      <c r="X1926" s="33"/>
      <c r="Y1926" s="33"/>
      <c r="Z1926" s="33"/>
      <c r="AA1926" s="33"/>
      <c r="AB1926" s="33"/>
      <c r="AC1926" s="33"/>
      <c r="AD1926" s="33"/>
      <c r="AE1926" s="33"/>
      <c r="AF1926" s="33"/>
      <c r="AG1926" s="33"/>
      <c r="AH1926" s="33"/>
      <c r="AI1926" s="33"/>
      <c r="AJ1926" s="33"/>
      <c r="AK1926" s="34" t="str">
        <f aca="false">IF($B1926="","",COUNTIF($F1926:$AJ1926,"P"))</f>
        <v/>
      </c>
      <c r="AL1926" s="34" t="str">
        <f aca="false">IF($B1926="","",COUNTIF($F1926:$AJ1926,"A"))</f>
        <v/>
      </c>
      <c r="AM1926" s="34" t="str">
        <f aca="false">IF($B1926="","",COUNTIF($F1926:$AJ1926,"HA"))</f>
        <v/>
      </c>
      <c r="AN1926" s="34" t="str">
        <f aca="false">IF($B1926="","",COUNTIF($F1926:$AJ1926,"L"))</f>
        <v/>
      </c>
      <c r="AO1926" s="34" t="str">
        <f aca="false">IF($B1926="","",COUNTIF($F1926:$AJ1926,"PL"))</f>
        <v/>
      </c>
      <c r="AP1926" s="34" t="str">
        <f aca="false">IF($B1926="","",COUNTIF($F1926:$AJ1926,"CL"))</f>
        <v/>
      </c>
      <c r="AQ1926" s="34" t="str">
        <f aca="false">IF($B1926="","",COUNTIF($F1926:$AJ1926,"SL"))</f>
        <v/>
      </c>
      <c r="AR1926" s="34" t="str">
        <f aca="false">IF($B1926="","",COUNTIF($F1926:$AJ1926,"CO"))</f>
        <v/>
      </c>
      <c r="AS1926" s="34" t="str">
        <f aca="false">IF($B1926="","",COUNTIF($F1926:$AJ1926,"HPL"))</f>
        <v/>
      </c>
      <c r="AT1926" s="34" t="str">
        <f aca="false">IF($B1926="","",COUNTIF($F1926:$AJ1926,"HCL"))</f>
        <v/>
      </c>
      <c r="AU1926" s="34" t="str">
        <f aca="false">IF($B1926="","",COUNTIF($F1926:$AJ1926,"WO"))</f>
        <v/>
      </c>
      <c r="AV1926" s="34" t="str">
        <f aca="false">IF($B1926="","",COUNTIF($F1926:$AJ1926,"PH"))</f>
        <v/>
      </c>
      <c r="AW1926" s="34" t="str">
        <f aca="false">IF($B1926="","",COUNTIF($F1926:$AJ1926,"TR"))</f>
        <v/>
      </c>
      <c r="AX1926" s="35" t="str">
        <f aca="false">IF($B1926="","",AO1926+AS1926/2)</f>
        <v/>
      </c>
      <c r="AY1926" s="35" t="str">
        <f aca="false">IF($B1926="","",AQ1926)</f>
        <v/>
      </c>
      <c r="AZ1926" s="35" t="str">
        <f aca="false">IF($B1926="","",AP1926+AT1926/2)</f>
        <v/>
      </c>
      <c r="BA1926" s="35" t="str">
        <f aca="false">IF($B1926="","",AK1926+AN1926+AM1926/2+AO1926+AP1926+AQ1926+AR1926+AS1926+AT1926+AU1926+AV1926+AW1926)</f>
        <v/>
      </c>
      <c r="BB1926" s="35" t="str">
        <f aca="false">IF($B1926="","",MAX(0,AN1926-Settings!$C$16)*Settings!$C$17)</f>
        <v/>
      </c>
      <c r="BC1926" s="35" t="str">
        <f aca="false">IF($B1926="","",BA1926-BB1926)</f>
        <v/>
      </c>
      <c r="BD1926" s="35" t="str">
        <f aca="false">IF(OR($B1926="",$A1926=""),"",DAY(EOMONTH($A1926,0))-COUNTA($F1926:$AJ1926))</f>
        <v/>
      </c>
    </row>
    <row r="1927" customFormat="false" ht="15" hidden="false" customHeight="false" outlineLevel="0" collapsed="false">
      <c r="A1927" s="32"/>
      <c r="B1927" s="29"/>
      <c r="C1927" s="10" t="str">
        <f aca="false">IF($B1927="","",IFERROR(INDEX(M_name,MATCH($B1927,M_emp,0)),"Code not found"))</f>
        <v/>
      </c>
      <c r="D1927" s="10" t="str">
        <f aca="false">IF($B1927="","",IFERROR(INDEX(M_dept,MATCH($B1927,M_emp,0)),""))</f>
        <v/>
      </c>
      <c r="E1927" s="10" t="str">
        <f aca="false">IF($B1927="","",IFERROR(INDEX(M_loc,MATCH($B1927,M_emp,0)),""))</f>
        <v/>
      </c>
      <c r="F1927" s="33"/>
      <c r="G1927" s="33"/>
      <c r="H1927" s="33"/>
      <c r="I1927" s="33"/>
      <c r="J1927" s="33"/>
      <c r="K1927" s="33"/>
      <c r="L1927" s="33"/>
      <c r="M1927" s="33"/>
      <c r="N1927" s="33"/>
      <c r="O1927" s="33"/>
      <c r="P1927" s="33"/>
      <c r="Q1927" s="33"/>
      <c r="R1927" s="33"/>
      <c r="S1927" s="33"/>
      <c r="T1927" s="33"/>
      <c r="U1927" s="33"/>
      <c r="V1927" s="33"/>
      <c r="W1927" s="33"/>
      <c r="X1927" s="33"/>
      <c r="Y1927" s="33"/>
      <c r="Z1927" s="33"/>
      <c r="AA1927" s="33"/>
      <c r="AB1927" s="33"/>
      <c r="AC1927" s="33"/>
      <c r="AD1927" s="33"/>
      <c r="AE1927" s="33"/>
      <c r="AF1927" s="33"/>
      <c r="AG1927" s="33"/>
      <c r="AH1927" s="33"/>
      <c r="AI1927" s="33"/>
      <c r="AJ1927" s="33"/>
      <c r="AK1927" s="34" t="str">
        <f aca="false">IF($B1927="","",COUNTIF($F1927:$AJ1927,"P"))</f>
        <v/>
      </c>
      <c r="AL1927" s="34" t="str">
        <f aca="false">IF($B1927="","",COUNTIF($F1927:$AJ1927,"A"))</f>
        <v/>
      </c>
      <c r="AM1927" s="34" t="str">
        <f aca="false">IF($B1927="","",COUNTIF($F1927:$AJ1927,"HA"))</f>
        <v/>
      </c>
      <c r="AN1927" s="34" t="str">
        <f aca="false">IF($B1927="","",COUNTIF($F1927:$AJ1927,"L"))</f>
        <v/>
      </c>
      <c r="AO1927" s="34" t="str">
        <f aca="false">IF($B1927="","",COUNTIF($F1927:$AJ1927,"PL"))</f>
        <v/>
      </c>
      <c r="AP1927" s="34" t="str">
        <f aca="false">IF($B1927="","",COUNTIF($F1927:$AJ1927,"CL"))</f>
        <v/>
      </c>
      <c r="AQ1927" s="34" t="str">
        <f aca="false">IF($B1927="","",COUNTIF($F1927:$AJ1927,"SL"))</f>
        <v/>
      </c>
      <c r="AR1927" s="34" t="str">
        <f aca="false">IF($B1927="","",COUNTIF($F1927:$AJ1927,"CO"))</f>
        <v/>
      </c>
      <c r="AS1927" s="34" t="str">
        <f aca="false">IF($B1927="","",COUNTIF($F1927:$AJ1927,"HPL"))</f>
        <v/>
      </c>
      <c r="AT1927" s="34" t="str">
        <f aca="false">IF($B1927="","",COUNTIF($F1927:$AJ1927,"HCL"))</f>
        <v/>
      </c>
      <c r="AU1927" s="34" t="str">
        <f aca="false">IF($B1927="","",COUNTIF($F1927:$AJ1927,"WO"))</f>
        <v/>
      </c>
      <c r="AV1927" s="34" t="str">
        <f aca="false">IF($B1927="","",COUNTIF($F1927:$AJ1927,"PH"))</f>
        <v/>
      </c>
      <c r="AW1927" s="34" t="str">
        <f aca="false">IF($B1927="","",COUNTIF($F1927:$AJ1927,"TR"))</f>
        <v/>
      </c>
      <c r="AX1927" s="35" t="str">
        <f aca="false">IF($B1927="","",AO1927+AS1927/2)</f>
        <v/>
      </c>
      <c r="AY1927" s="35" t="str">
        <f aca="false">IF($B1927="","",AQ1927)</f>
        <v/>
      </c>
      <c r="AZ1927" s="35" t="str">
        <f aca="false">IF($B1927="","",AP1927+AT1927/2)</f>
        <v/>
      </c>
      <c r="BA1927" s="35" t="str">
        <f aca="false">IF($B1927="","",AK1927+AN1927+AM1927/2+AO1927+AP1927+AQ1927+AR1927+AS1927+AT1927+AU1927+AV1927+AW1927)</f>
        <v/>
      </c>
      <c r="BB1927" s="35" t="str">
        <f aca="false">IF($B1927="","",MAX(0,AN1927-Settings!$C$16)*Settings!$C$17)</f>
        <v/>
      </c>
      <c r="BC1927" s="35" t="str">
        <f aca="false">IF($B1927="","",BA1927-BB1927)</f>
        <v/>
      </c>
      <c r="BD1927" s="35" t="str">
        <f aca="false">IF(OR($B1927="",$A1927=""),"",DAY(EOMONTH($A1927,0))-COUNTA($F1927:$AJ1927))</f>
        <v/>
      </c>
    </row>
    <row r="1928" customFormat="false" ht="15" hidden="false" customHeight="false" outlineLevel="0" collapsed="false">
      <c r="A1928" s="32"/>
      <c r="B1928" s="29"/>
      <c r="C1928" s="10" t="str">
        <f aca="false">IF($B1928="","",IFERROR(INDEX(M_name,MATCH($B1928,M_emp,0)),"Code not found"))</f>
        <v/>
      </c>
      <c r="D1928" s="10" t="str">
        <f aca="false">IF($B1928="","",IFERROR(INDEX(M_dept,MATCH($B1928,M_emp,0)),""))</f>
        <v/>
      </c>
      <c r="E1928" s="10" t="str">
        <f aca="false">IF($B1928="","",IFERROR(INDEX(M_loc,MATCH($B1928,M_emp,0)),""))</f>
        <v/>
      </c>
      <c r="F1928" s="33"/>
      <c r="G1928" s="33"/>
      <c r="H1928" s="33"/>
      <c r="I1928" s="33"/>
      <c r="J1928" s="33"/>
      <c r="K1928" s="33"/>
      <c r="L1928" s="33"/>
      <c r="M1928" s="33"/>
      <c r="N1928" s="33"/>
      <c r="O1928" s="33"/>
      <c r="P1928" s="33"/>
      <c r="Q1928" s="33"/>
      <c r="R1928" s="33"/>
      <c r="S1928" s="33"/>
      <c r="T1928" s="33"/>
      <c r="U1928" s="33"/>
      <c r="V1928" s="33"/>
      <c r="W1928" s="33"/>
      <c r="X1928" s="33"/>
      <c r="Y1928" s="33"/>
      <c r="Z1928" s="33"/>
      <c r="AA1928" s="33"/>
      <c r="AB1928" s="33"/>
      <c r="AC1928" s="33"/>
      <c r="AD1928" s="33"/>
      <c r="AE1928" s="33"/>
      <c r="AF1928" s="33"/>
      <c r="AG1928" s="33"/>
      <c r="AH1928" s="33"/>
      <c r="AI1928" s="33"/>
      <c r="AJ1928" s="33"/>
      <c r="AK1928" s="34" t="str">
        <f aca="false">IF($B1928="","",COUNTIF($F1928:$AJ1928,"P"))</f>
        <v/>
      </c>
      <c r="AL1928" s="34" t="str">
        <f aca="false">IF($B1928="","",COUNTIF($F1928:$AJ1928,"A"))</f>
        <v/>
      </c>
      <c r="AM1928" s="34" t="str">
        <f aca="false">IF($B1928="","",COUNTIF($F1928:$AJ1928,"HA"))</f>
        <v/>
      </c>
      <c r="AN1928" s="34" t="str">
        <f aca="false">IF($B1928="","",COUNTIF($F1928:$AJ1928,"L"))</f>
        <v/>
      </c>
      <c r="AO1928" s="34" t="str">
        <f aca="false">IF($B1928="","",COUNTIF($F1928:$AJ1928,"PL"))</f>
        <v/>
      </c>
      <c r="AP1928" s="34" t="str">
        <f aca="false">IF($B1928="","",COUNTIF($F1928:$AJ1928,"CL"))</f>
        <v/>
      </c>
      <c r="AQ1928" s="34" t="str">
        <f aca="false">IF($B1928="","",COUNTIF($F1928:$AJ1928,"SL"))</f>
        <v/>
      </c>
      <c r="AR1928" s="34" t="str">
        <f aca="false">IF($B1928="","",COUNTIF($F1928:$AJ1928,"CO"))</f>
        <v/>
      </c>
      <c r="AS1928" s="34" t="str">
        <f aca="false">IF($B1928="","",COUNTIF($F1928:$AJ1928,"HPL"))</f>
        <v/>
      </c>
      <c r="AT1928" s="34" t="str">
        <f aca="false">IF($B1928="","",COUNTIF($F1928:$AJ1928,"HCL"))</f>
        <v/>
      </c>
      <c r="AU1928" s="34" t="str">
        <f aca="false">IF($B1928="","",COUNTIF($F1928:$AJ1928,"WO"))</f>
        <v/>
      </c>
      <c r="AV1928" s="34" t="str">
        <f aca="false">IF($B1928="","",COUNTIF($F1928:$AJ1928,"PH"))</f>
        <v/>
      </c>
      <c r="AW1928" s="34" t="str">
        <f aca="false">IF($B1928="","",COUNTIF($F1928:$AJ1928,"TR"))</f>
        <v/>
      </c>
      <c r="AX1928" s="35" t="str">
        <f aca="false">IF($B1928="","",AO1928+AS1928/2)</f>
        <v/>
      </c>
      <c r="AY1928" s="35" t="str">
        <f aca="false">IF($B1928="","",AQ1928)</f>
        <v/>
      </c>
      <c r="AZ1928" s="35" t="str">
        <f aca="false">IF($B1928="","",AP1928+AT1928/2)</f>
        <v/>
      </c>
      <c r="BA1928" s="35" t="str">
        <f aca="false">IF($B1928="","",AK1928+AN1928+AM1928/2+AO1928+AP1928+AQ1928+AR1928+AS1928+AT1928+AU1928+AV1928+AW1928)</f>
        <v/>
      </c>
      <c r="BB1928" s="35" t="str">
        <f aca="false">IF($B1928="","",MAX(0,AN1928-Settings!$C$16)*Settings!$C$17)</f>
        <v/>
      </c>
      <c r="BC1928" s="35" t="str">
        <f aca="false">IF($B1928="","",BA1928-BB1928)</f>
        <v/>
      </c>
      <c r="BD1928" s="35" t="str">
        <f aca="false">IF(OR($B1928="",$A1928=""),"",DAY(EOMONTH($A1928,0))-COUNTA($F1928:$AJ1928))</f>
        <v/>
      </c>
    </row>
    <row r="1929" customFormat="false" ht="15" hidden="false" customHeight="false" outlineLevel="0" collapsed="false">
      <c r="A1929" s="32"/>
      <c r="B1929" s="29"/>
      <c r="C1929" s="10" t="str">
        <f aca="false">IF($B1929="","",IFERROR(INDEX(M_name,MATCH($B1929,M_emp,0)),"Code not found"))</f>
        <v/>
      </c>
      <c r="D1929" s="10" t="str">
        <f aca="false">IF($B1929="","",IFERROR(INDEX(M_dept,MATCH($B1929,M_emp,0)),""))</f>
        <v/>
      </c>
      <c r="E1929" s="10" t="str">
        <f aca="false">IF($B1929="","",IFERROR(INDEX(M_loc,MATCH($B1929,M_emp,0)),""))</f>
        <v/>
      </c>
      <c r="F1929" s="33"/>
      <c r="G1929" s="33"/>
      <c r="H1929" s="33"/>
      <c r="I1929" s="33"/>
      <c r="J1929" s="33"/>
      <c r="K1929" s="33"/>
      <c r="L1929" s="33"/>
      <c r="M1929" s="33"/>
      <c r="N1929" s="33"/>
      <c r="O1929" s="33"/>
      <c r="P1929" s="33"/>
      <c r="Q1929" s="33"/>
      <c r="R1929" s="33"/>
      <c r="S1929" s="33"/>
      <c r="T1929" s="33"/>
      <c r="U1929" s="33"/>
      <c r="V1929" s="33"/>
      <c r="W1929" s="33"/>
      <c r="X1929" s="33"/>
      <c r="Y1929" s="33"/>
      <c r="Z1929" s="33"/>
      <c r="AA1929" s="33"/>
      <c r="AB1929" s="33"/>
      <c r="AC1929" s="33"/>
      <c r="AD1929" s="33"/>
      <c r="AE1929" s="33"/>
      <c r="AF1929" s="33"/>
      <c r="AG1929" s="33"/>
      <c r="AH1929" s="33"/>
      <c r="AI1929" s="33"/>
      <c r="AJ1929" s="33"/>
      <c r="AK1929" s="34" t="str">
        <f aca="false">IF($B1929="","",COUNTIF($F1929:$AJ1929,"P"))</f>
        <v/>
      </c>
      <c r="AL1929" s="34" t="str">
        <f aca="false">IF($B1929="","",COUNTIF($F1929:$AJ1929,"A"))</f>
        <v/>
      </c>
      <c r="AM1929" s="34" t="str">
        <f aca="false">IF($B1929="","",COUNTIF($F1929:$AJ1929,"HA"))</f>
        <v/>
      </c>
      <c r="AN1929" s="34" t="str">
        <f aca="false">IF($B1929="","",COUNTIF($F1929:$AJ1929,"L"))</f>
        <v/>
      </c>
      <c r="AO1929" s="34" t="str">
        <f aca="false">IF($B1929="","",COUNTIF($F1929:$AJ1929,"PL"))</f>
        <v/>
      </c>
      <c r="AP1929" s="34" t="str">
        <f aca="false">IF($B1929="","",COUNTIF($F1929:$AJ1929,"CL"))</f>
        <v/>
      </c>
      <c r="AQ1929" s="34" t="str">
        <f aca="false">IF($B1929="","",COUNTIF($F1929:$AJ1929,"SL"))</f>
        <v/>
      </c>
      <c r="AR1929" s="34" t="str">
        <f aca="false">IF($B1929="","",COUNTIF($F1929:$AJ1929,"CO"))</f>
        <v/>
      </c>
      <c r="AS1929" s="34" t="str">
        <f aca="false">IF($B1929="","",COUNTIF($F1929:$AJ1929,"HPL"))</f>
        <v/>
      </c>
      <c r="AT1929" s="34" t="str">
        <f aca="false">IF($B1929="","",COUNTIF($F1929:$AJ1929,"HCL"))</f>
        <v/>
      </c>
      <c r="AU1929" s="34" t="str">
        <f aca="false">IF($B1929="","",COUNTIF($F1929:$AJ1929,"WO"))</f>
        <v/>
      </c>
      <c r="AV1929" s="34" t="str">
        <f aca="false">IF($B1929="","",COUNTIF($F1929:$AJ1929,"PH"))</f>
        <v/>
      </c>
      <c r="AW1929" s="34" t="str">
        <f aca="false">IF($B1929="","",COUNTIF($F1929:$AJ1929,"TR"))</f>
        <v/>
      </c>
      <c r="AX1929" s="35" t="str">
        <f aca="false">IF($B1929="","",AO1929+AS1929/2)</f>
        <v/>
      </c>
      <c r="AY1929" s="35" t="str">
        <f aca="false">IF($B1929="","",AQ1929)</f>
        <v/>
      </c>
      <c r="AZ1929" s="35" t="str">
        <f aca="false">IF($B1929="","",AP1929+AT1929/2)</f>
        <v/>
      </c>
      <c r="BA1929" s="35" t="str">
        <f aca="false">IF($B1929="","",AK1929+AN1929+AM1929/2+AO1929+AP1929+AQ1929+AR1929+AS1929+AT1929+AU1929+AV1929+AW1929)</f>
        <v/>
      </c>
      <c r="BB1929" s="35" t="str">
        <f aca="false">IF($B1929="","",MAX(0,AN1929-Settings!$C$16)*Settings!$C$17)</f>
        <v/>
      </c>
      <c r="BC1929" s="35" t="str">
        <f aca="false">IF($B1929="","",BA1929-BB1929)</f>
        <v/>
      </c>
      <c r="BD1929" s="35" t="str">
        <f aca="false">IF(OR($B1929="",$A1929=""),"",DAY(EOMONTH($A1929,0))-COUNTA($F1929:$AJ1929))</f>
        <v/>
      </c>
    </row>
    <row r="1930" customFormat="false" ht="15" hidden="false" customHeight="false" outlineLevel="0" collapsed="false">
      <c r="A1930" s="32"/>
      <c r="B1930" s="29"/>
      <c r="C1930" s="10" t="str">
        <f aca="false">IF($B1930="","",IFERROR(INDEX(M_name,MATCH($B1930,M_emp,0)),"Code not found"))</f>
        <v/>
      </c>
      <c r="D1930" s="10" t="str">
        <f aca="false">IF($B1930="","",IFERROR(INDEX(M_dept,MATCH($B1930,M_emp,0)),""))</f>
        <v/>
      </c>
      <c r="E1930" s="10" t="str">
        <f aca="false">IF($B1930="","",IFERROR(INDEX(M_loc,MATCH($B1930,M_emp,0)),""))</f>
        <v/>
      </c>
      <c r="F1930" s="33"/>
      <c r="G1930" s="33"/>
      <c r="H1930" s="33"/>
      <c r="I1930" s="33"/>
      <c r="J1930" s="33"/>
      <c r="K1930" s="33"/>
      <c r="L1930" s="33"/>
      <c r="M1930" s="33"/>
      <c r="N1930" s="33"/>
      <c r="O1930" s="33"/>
      <c r="P1930" s="33"/>
      <c r="Q1930" s="33"/>
      <c r="R1930" s="33"/>
      <c r="S1930" s="33"/>
      <c r="T1930" s="33"/>
      <c r="U1930" s="33"/>
      <c r="V1930" s="33"/>
      <c r="W1930" s="33"/>
      <c r="X1930" s="33"/>
      <c r="Y1930" s="33"/>
      <c r="Z1930" s="33"/>
      <c r="AA1930" s="33"/>
      <c r="AB1930" s="33"/>
      <c r="AC1930" s="33"/>
      <c r="AD1930" s="33"/>
      <c r="AE1930" s="33"/>
      <c r="AF1930" s="33"/>
      <c r="AG1930" s="33"/>
      <c r="AH1930" s="33"/>
      <c r="AI1930" s="33"/>
      <c r="AJ1930" s="33"/>
      <c r="AK1930" s="34" t="str">
        <f aca="false">IF($B1930="","",COUNTIF($F1930:$AJ1930,"P"))</f>
        <v/>
      </c>
      <c r="AL1930" s="34" t="str">
        <f aca="false">IF($B1930="","",COUNTIF($F1930:$AJ1930,"A"))</f>
        <v/>
      </c>
      <c r="AM1930" s="34" t="str">
        <f aca="false">IF($B1930="","",COUNTIF($F1930:$AJ1930,"HA"))</f>
        <v/>
      </c>
      <c r="AN1930" s="34" t="str">
        <f aca="false">IF($B1930="","",COUNTIF($F1930:$AJ1930,"L"))</f>
        <v/>
      </c>
      <c r="AO1930" s="34" t="str">
        <f aca="false">IF($B1930="","",COUNTIF($F1930:$AJ1930,"PL"))</f>
        <v/>
      </c>
      <c r="AP1930" s="34" t="str">
        <f aca="false">IF($B1930="","",COUNTIF($F1930:$AJ1930,"CL"))</f>
        <v/>
      </c>
      <c r="AQ1930" s="34" t="str">
        <f aca="false">IF($B1930="","",COUNTIF($F1930:$AJ1930,"SL"))</f>
        <v/>
      </c>
      <c r="AR1930" s="34" t="str">
        <f aca="false">IF($B1930="","",COUNTIF($F1930:$AJ1930,"CO"))</f>
        <v/>
      </c>
      <c r="AS1930" s="34" t="str">
        <f aca="false">IF($B1930="","",COUNTIF($F1930:$AJ1930,"HPL"))</f>
        <v/>
      </c>
      <c r="AT1930" s="34" t="str">
        <f aca="false">IF($B1930="","",COUNTIF($F1930:$AJ1930,"HCL"))</f>
        <v/>
      </c>
      <c r="AU1930" s="34" t="str">
        <f aca="false">IF($B1930="","",COUNTIF($F1930:$AJ1930,"WO"))</f>
        <v/>
      </c>
      <c r="AV1930" s="34" t="str">
        <f aca="false">IF($B1930="","",COUNTIF($F1930:$AJ1930,"PH"))</f>
        <v/>
      </c>
      <c r="AW1930" s="34" t="str">
        <f aca="false">IF($B1930="","",COUNTIF($F1930:$AJ1930,"TR"))</f>
        <v/>
      </c>
      <c r="AX1930" s="35" t="str">
        <f aca="false">IF($B1930="","",AO1930+AS1930/2)</f>
        <v/>
      </c>
      <c r="AY1930" s="35" t="str">
        <f aca="false">IF($B1930="","",AQ1930)</f>
        <v/>
      </c>
      <c r="AZ1930" s="35" t="str">
        <f aca="false">IF($B1930="","",AP1930+AT1930/2)</f>
        <v/>
      </c>
      <c r="BA1930" s="35" t="str">
        <f aca="false">IF($B1930="","",AK1930+AN1930+AM1930/2+AO1930+AP1930+AQ1930+AR1930+AS1930+AT1930+AU1930+AV1930+AW1930)</f>
        <v/>
      </c>
      <c r="BB1930" s="35" t="str">
        <f aca="false">IF($B1930="","",MAX(0,AN1930-Settings!$C$16)*Settings!$C$17)</f>
        <v/>
      </c>
      <c r="BC1930" s="35" t="str">
        <f aca="false">IF($B1930="","",BA1930-BB1930)</f>
        <v/>
      </c>
      <c r="BD1930" s="35" t="str">
        <f aca="false">IF(OR($B1930="",$A1930=""),"",DAY(EOMONTH($A1930,0))-COUNTA($F1930:$AJ1930))</f>
        <v/>
      </c>
    </row>
    <row r="1931" customFormat="false" ht="15" hidden="false" customHeight="false" outlineLevel="0" collapsed="false">
      <c r="A1931" s="32"/>
      <c r="B1931" s="29"/>
      <c r="C1931" s="10" t="str">
        <f aca="false">IF($B1931="","",IFERROR(INDEX(M_name,MATCH($B1931,M_emp,0)),"Code not found"))</f>
        <v/>
      </c>
      <c r="D1931" s="10" t="str">
        <f aca="false">IF($B1931="","",IFERROR(INDEX(M_dept,MATCH($B1931,M_emp,0)),""))</f>
        <v/>
      </c>
      <c r="E1931" s="10" t="str">
        <f aca="false">IF($B1931="","",IFERROR(INDEX(M_loc,MATCH($B1931,M_emp,0)),""))</f>
        <v/>
      </c>
      <c r="F1931" s="33"/>
      <c r="G1931" s="33"/>
      <c r="H1931" s="33"/>
      <c r="I1931" s="33"/>
      <c r="J1931" s="33"/>
      <c r="K1931" s="33"/>
      <c r="L1931" s="33"/>
      <c r="M1931" s="33"/>
      <c r="N1931" s="33"/>
      <c r="O1931" s="33"/>
      <c r="P1931" s="33"/>
      <c r="Q1931" s="33"/>
      <c r="R1931" s="33"/>
      <c r="S1931" s="33"/>
      <c r="T1931" s="33"/>
      <c r="U1931" s="33"/>
      <c r="V1931" s="33"/>
      <c r="W1931" s="33"/>
      <c r="X1931" s="33"/>
      <c r="Y1931" s="33"/>
      <c r="Z1931" s="33"/>
      <c r="AA1931" s="33"/>
      <c r="AB1931" s="33"/>
      <c r="AC1931" s="33"/>
      <c r="AD1931" s="33"/>
      <c r="AE1931" s="33"/>
      <c r="AF1931" s="33"/>
      <c r="AG1931" s="33"/>
      <c r="AH1931" s="33"/>
      <c r="AI1931" s="33"/>
      <c r="AJ1931" s="33"/>
      <c r="AK1931" s="34" t="str">
        <f aca="false">IF($B1931="","",COUNTIF($F1931:$AJ1931,"P"))</f>
        <v/>
      </c>
      <c r="AL1931" s="34" t="str">
        <f aca="false">IF($B1931="","",COUNTIF($F1931:$AJ1931,"A"))</f>
        <v/>
      </c>
      <c r="AM1931" s="34" t="str">
        <f aca="false">IF($B1931="","",COUNTIF($F1931:$AJ1931,"HA"))</f>
        <v/>
      </c>
      <c r="AN1931" s="34" t="str">
        <f aca="false">IF($B1931="","",COUNTIF($F1931:$AJ1931,"L"))</f>
        <v/>
      </c>
      <c r="AO1931" s="34" t="str">
        <f aca="false">IF($B1931="","",COUNTIF($F1931:$AJ1931,"PL"))</f>
        <v/>
      </c>
      <c r="AP1931" s="34" t="str">
        <f aca="false">IF($B1931="","",COUNTIF($F1931:$AJ1931,"CL"))</f>
        <v/>
      </c>
      <c r="AQ1931" s="34" t="str">
        <f aca="false">IF($B1931="","",COUNTIF($F1931:$AJ1931,"SL"))</f>
        <v/>
      </c>
      <c r="AR1931" s="34" t="str">
        <f aca="false">IF($B1931="","",COUNTIF($F1931:$AJ1931,"CO"))</f>
        <v/>
      </c>
      <c r="AS1931" s="34" t="str">
        <f aca="false">IF($B1931="","",COUNTIF($F1931:$AJ1931,"HPL"))</f>
        <v/>
      </c>
      <c r="AT1931" s="34" t="str">
        <f aca="false">IF($B1931="","",COUNTIF($F1931:$AJ1931,"HCL"))</f>
        <v/>
      </c>
      <c r="AU1931" s="34" t="str">
        <f aca="false">IF($B1931="","",COUNTIF($F1931:$AJ1931,"WO"))</f>
        <v/>
      </c>
      <c r="AV1931" s="34" t="str">
        <f aca="false">IF($B1931="","",COUNTIF($F1931:$AJ1931,"PH"))</f>
        <v/>
      </c>
      <c r="AW1931" s="34" t="str">
        <f aca="false">IF($B1931="","",COUNTIF($F1931:$AJ1931,"TR"))</f>
        <v/>
      </c>
      <c r="AX1931" s="35" t="str">
        <f aca="false">IF($B1931="","",AO1931+AS1931/2)</f>
        <v/>
      </c>
      <c r="AY1931" s="35" t="str">
        <f aca="false">IF($B1931="","",AQ1931)</f>
        <v/>
      </c>
      <c r="AZ1931" s="35" t="str">
        <f aca="false">IF($B1931="","",AP1931+AT1931/2)</f>
        <v/>
      </c>
      <c r="BA1931" s="35" t="str">
        <f aca="false">IF($B1931="","",AK1931+AN1931+AM1931/2+AO1931+AP1931+AQ1931+AR1931+AS1931+AT1931+AU1931+AV1931+AW1931)</f>
        <v/>
      </c>
      <c r="BB1931" s="35" t="str">
        <f aca="false">IF($B1931="","",MAX(0,AN1931-Settings!$C$16)*Settings!$C$17)</f>
        <v/>
      </c>
      <c r="BC1931" s="35" t="str">
        <f aca="false">IF($B1931="","",BA1931-BB1931)</f>
        <v/>
      </c>
      <c r="BD1931" s="35" t="str">
        <f aca="false">IF(OR($B1931="",$A1931=""),"",DAY(EOMONTH($A1931,0))-COUNTA($F1931:$AJ1931))</f>
        <v/>
      </c>
    </row>
    <row r="1932" customFormat="false" ht="15" hidden="false" customHeight="false" outlineLevel="0" collapsed="false">
      <c r="A1932" s="32"/>
      <c r="B1932" s="29"/>
      <c r="C1932" s="10" t="str">
        <f aca="false">IF($B1932="","",IFERROR(INDEX(M_name,MATCH($B1932,M_emp,0)),"Code not found"))</f>
        <v/>
      </c>
      <c r="D1932" s="10" t="str">
        <f aca="false">IF($B1932="","",IFERROR(INDEX(M_dept,MATCH($B1932,M_emp,0)),""))</f>
        <v/>
      </c>
      <c r="E1932" s="10" t="str">
        <f aca="false">IF($B1932="","",IFERROR(INDEX(M_loc,MATCH($B1932,M_emp,0)),""))</f>
        <v/>
      </c>
      <c r="F1932" s="33"/>
      <c r="G1932" s="33"/>
      <c r="H1932" s="33"/>
      <c r="I1932" s="33"/>
      <c r="J1932" s="33"/>
      <c r="K1932" s="33"/>
      <c r="L1932" s="33"/>
      <c r="M1932" s="33"/>
      <c r="N1932" s="33"/>
      <c r="O1932" s="33"/>
      <c r="P1932" s="33"/>
      <c r="Q1932" s="33"/>
      <c r="R1932" s="33"/>
      <c r="S1932" s="33"/>
      <c r="T1932" s="33"/>
      <c r="U1932" s="33"/>
      <c r="V1932" s="33"/>
      <c r="W1932" s="33"/>
      <c r="X1932" s="33"/>
      <c r="Y1932" s="33"/>
      <c r="Z1932" s="33"/>
      <c r="AA1932" s="33"/>
      <c r="AB1932" s="33"/>
      <c r="AC1932" s="33"/>
      <c r="AD1932" s="33"/>
      <c r="AE1932" s="33"/>
      <c r="AF1932" s="33"/>
      <c r="AG1932" s="33"/>
      <c r="AH1932" s="33"/>
      <c r="AI1932" s="33"/>
      <c r="AJ1932" s="33"/>
      <c r="AK1932" s="34" t="str">
        <f aca="false">IF($B1932="","",COUNTIF($F1932:$AJ1932,"P"))</f>
        <v/>
      </c>
      <c r="AL1932" s="34" t="str">
        <f aca="false">IF($B1932="","",COUNTIF($F1932:$AJ1932,"A"))</f>
        <v/>
      </c>
      <c r="AM1932" s="34" t="str">
        <f aca="false">IF($B1932="","",COUNTIF($F1932:$AJ1932,"HA"))</f>
        <v/>
      </c>
      <c r="AN1932" s="34" t="str">
        <f aca="false">IF($B1932="","",COUNTIF($F1932:$AJ1932,"L"))</f>
        <v/>
      </c>
      <c r="AO1932" s="34" t="str">
        <f aca="false">IF($B1932="","",COUNTIF($F1932:$AJ1932,"PL"))</f>
        <v/>
      </c>
      <c r="AP1932" s="34" t="str">
        <f aca="false">IF($B1932="","",COUNTIF($F1932:$AJ1932,"CL"))</f>
        <v/>
      </c>
      <c r="AQ1932" s="34" t="str">
        <f aca="false">IF($B1932="","",COUNTIF($F1932:$AJ1932,"SL"))</f>
        <v/>
      </c>
      <c r="AR1932" s="34" t="str">
        <f aca="false">IF($B1932="","",COUNTIF($F1932:$AJ1932,"CO"))</f>
        <v/>
      </c>
      <c r="AS1932" s="34" t="str">
        <f aca="false">IF($B1932="","",COUNTIF($F1932:$AJ1932,"HPL"))</f>
        <v/>
      </c>
      <c r="AT1932" s="34" t="str">
        <f aca="false">IF($B1932="","",COUNTIF($F1932:$AJ1932,"HCL"))</f>
        <v/>
      </c>
      <c r="AU1932" s="34" t="str">
        <f aca="false">IF($B1932="","",COUNTIF($F1932:$AJ1932,"WO"))</f>
        <v/>
      </c>
      <c r="AV1932" s="34" t="str">
        <f aca="false">IF($B1932="","",COUNTIF($F1932:$AJ1932,"PH"))</f>
        <v/>
      </c>
      <c r="AW1932" s="34" t="str">
        <f aca="false">IF($B1932="","",COUNTIF($F1932:$AJ1932,"TR"))</f>
        <v/>
      </c>
      <c r="AX1932" s="35" t="str">
        <f aca="false">IF($B1932="","",AO1932+AS1932/2)</f>
        <v/>
      </c>
      <c r="AY1932" s="35" t="str">
        <f aca="false">IF($B1932="","",AQ1932)</f>
        <v/>
      </c>
      <c r="AZ1932" s="35" t="str">
        <f aca="false">IF($B1932="","",AP1932+AT1932/2)</f>
        <v/>
      </c>
      <c r="BA1932" s="35" t="str">
        <f aca="false">IF($B1932="","",AK1932+AN1932+AM1932/2+AO1932+AP1932+AQ1932+AR1932+AS1932+AT1932+AU1932+AV1932+AW1932)</f>
        <v/>
      </c>
      <c r="BB1932" s="35" t="str">
        <f aca="false">IF($B1932="","",MAX(0,AN1932-Settings!$C$16)*Settings!$C$17)</f>
        <v/>
      </c>
      <c r="BC1932" s="35" t="str">
        <f aca="false">IF($B1932="","",BA1932-BB1932)</f>
        <v/>
      </c>
      <c r="BD1932" s="35" t="str">
        <f aca="false">IF(OR($B1932="",$A1932=""),"",DAY(EOMONTH($A1932,0))-COUNTA($F1932:$AJ1932))</f>
        <v/>
      </c>
    </row>
    <row r="1933" customFormat="false" ht="15" hidden="false" customHeight="false" outlineLevel="0" collapsed="false">
      <c r="A1933" s="32"/>
      <c r="B1933" s="29"/>
      <c r="C1933" s="10" t="str">
        <f aca="false">IF($B1933="","",IFERROR(INDEX(M_name,MATCH($B1933,M_emp,0)),"Code not found"))</f>
        <v/>
      </c>
      <c r="D1933" s="10" t="str">
        <f aca="false">IF($B1933="","",IFERROR(INDEX(M_dept,MATCH($B1933,M_emp,0)),""))</f>
        <v/>
      </c>
      <c r="E1933" s="10" t="str">
        <f aca="false">IF($B1933="","",IFERROR(INDEX(M_loc,MATCH($B1933,M_emp,0)),""))</f>
        <v/>
      </c>
      <c r="F1933" s="33"/>
      <c r="G1933" s="33"/>
      <c r="H1933" s="33"/>
      <c r="I1933" s="33"/>
      <c r="J1933" s="33"/>
      <c r="K1933" s="33"/>
      <c r="L1933" s="33"/>
      <c r="M1933" s="33"/>
      <c r="N1933" s="33"/>
      <c r="O1933" s="33"/>
      <c r="P1933" s="33"/>
      <c r="Q1933" s="33"/>
      <c r="R1933" s="33"/>
      <c r="S1933" s="33"/>
      <c r="T1933" s="33"/>
      <c r="U1933" s="33"/>
      <c r="V1933" s="33"/>
      <c r="W1933" s="33"/>
      <c r="X1933" s="33"/>
      <c r="Y1933" s="33"/>
      <c r="Z1933" s="33"/>
      <c r="AA1933" s="33"/>
      <c r="AB1933" s="33"/>
      <c r="AC1933" s="33"/>
      <c r="AD1933" s="33"/>
      <c r="AE1933" s="33"/>
      <c r="AF1933" s="33"/>
      <c r="AG1933" s="33"/>
      <c r="AH1933" s="33"/>
      <c r="AI1933" s="33"/>
      <c r="AJ1933" s="33"/>
      <c r="AK1933" s="34" t="str">
        <f aca="false">IF($B1933="","",COUNTIF($F1933:$AJ1933,"P"))</f>
        <v/>
      </c>
      <c r="AL1933" s="34" t="str">
        <f aca="false">IF($B1933="","",COUNTIF($F1933:$AJ1933,"A"))</f>
        <v/>
      </c>
      <c r="AM1933" s="34" t="str">
        <f aca="false">IF($B1933="","",COUNTIF($F1933:$AJ1933,"HA"))</f>
        <v/>
      </c>
      <c r="AN1933" s="34" t="str">
        <f aca="false">IF($B1933="","",COUNTIF($F1933:$AJ1933,"L"))</f>
        <v/>
      </c>
      <c r="AO1933" s="34" t="str">
        <f aca="false">IF($B1933="","",COUNTIF($F1933:$AJ1933,"PL"))</f>
        <v/>
      </c>
      <c r="AP1933" s="34" t="str">
        <f aca="false">IF($B1933="","",COUNTIF($F1933:$AJ1933,"CL"))</f>
        <v/>
      </c>
      <c r="AQ1933" s="34" t="str">
        <f aca="false">IF($B1933="","",COUNTIF($F1933:$AJ1933,"SL"))</f>
        <v/>
      </c>
      <c r="AR1933" s="34" t="str">
        <f aca="false">IF($B1933="","",COUNTIF($F1933:$AJ1933,"CO"))</f>
        <v/>
      </c>
      <c r="AS1933" s="34" t="str">
        <f aca="false">IF($B1933="","",COUNTIF($F1933:$AJ1933,"HPL"))</f>
        <v/>
      </c>
      <c r="AT1933" s="34" t="str">
        <f aca="false">IF($B1933="","",COUNTIF($F1933:$AJ1933,"HCL"))</f>
        <v/>
      </c>
      <c r="AU1933" s="34" t="str">
        <f aca="false">IF($B1933="","",COUNTIF($F1933:$AJ1933,"WO"))</f>
        <v/>
      </c>
      <c r="AV1933" s="34" t="str">
        <f aca="false">IF($B1933="","",COUNTIF($F1933:$AJ1933,"PH"))</f>
        <v/>
      </c>
      <c r="AW1933" s="34" t="str">
        <f aca="false">IF($B1933="","",COUNTIF($F1933:$AJ1933,"TR"))</f>
        <v/>
      </c>
      <c r="AX1933" s="35" t="str">
        <f aca="false">IF($B1933="","",AO1933+AS1933/2)</f>
        <v/>
      </c>
      <c r="AY1933" s="35" t="str">
        <f aca="false">IF($B1933="","",AQ1933)</f>
        <v/>
      </c>
      <c r="AZ1933" s="35" t="str">
        <f aca="false">IF($B1933="","",AP1933+AT1933/2)</f>
        <v/>
      </c>
      <c r="BA1933" s="35" t="str">
        <f aca="false">IF($B1933="","",AK1933+AN1933+AM1933/2+AO1933+AP1933+AQ1933+AR1933+AS1933+AT1933+AU1933+AV1933+AW1933)</f>
        <v/>
      </c>
      <c r="BB1933" s="35" t="str">
        <f aca="false">IF($B1933="","",MAX(0,AN1933-Settings!$C$16)*Settings!$C$17)</f>
        <v/>
      </c>
      <c r="BC1933" s="35" t="str">
        <f aca="false">IF($B1933="","",BA1933-BB1933)</f>
        <v/>
      </c>
      <c r="BD1933" s="35" t="str">
        <f aca="false">IF(OR($B1933="",$A1933=""),"",DAY(EOMONTH($A1933,0))-COUNTA($F1933:$AJ1933))</f>
        <v/>
      </c>
    </row>
    <row r="1934" customFormat="false" ht="15" hidden="false" customHeight="false" outlineLevel="0" collapsed="false">
      <c r="A1934" s="32"/>
      <c r="B1934" s="29"/>
      <c r="C1934" s="10" t="str">
        <f aca="false">IF($B1934="","",IFERROR(INDEX(M_name,MATCH($B1934,M_emp,0)),"Code not found"))</f>
        <v/>
      </c>
      <c r="D1934" s="10" t="str">
        <f aca="false">IF($B1934="","",IFERROR(INDEX(M_dept,MATCH($B1934,M_emp,0)),""))</f>
        <v/>
      </c>
      <c r="E1934" s="10" t="str">
        <f aca="false">IF($B1934="","",IFERROR(INDEX(M_loc,MATCH($B1934,M_emp,0)),""))</f>
        <v/>
      </c>
      <c r="F1934" s="33"/>
      <c r="G1934" s="33"/>
      <c r="H1934" s="33"/>
      <c r="I1934" s="33"/>
      <c r="J1934" s="33"/>
      <c r="K1934" s="33"/>
      <c r="L1934" s="33"/>
      <c r="M1934" s="33"/>
      <c r="N1934" s="33"/>
      <c r="O1934" s="33"/>
      <c r="P1934" s="33"/>
      <c r="Q1934" s="33"/>
      <c r="R1934" s="33"/>
      <c r="S1934" s="33"/>
      <c r="T1934" s="33"/>
      <c r="U1934" s="33"/>
      <c r="V1934" s="33"/>
      <c r="W1934" s="33"/>
      <c r="X1934" s="33"/>
      <c r="Y1934" s="33"/>
      <c r="Z1934" s="33"/>
      <c r="AA1934" s="33"/>
      <c r="AB1934" s="33"/>
      <c r="AC1934" s="33"/>
      <c r="AD1934" s="33"/>
      <c r="AE1934" s="33"/>
      <c r="AF1934" s="33"/>
      <c r="AG1934" s="33"/>
      <c r="AH1934" s="33"/>
      <c r="AI1934" s="33"/>
      <c r="AJ1934" s="33"/>
      <c r="AK1934" s="34" t="str">
        <f aca="false">IF($B1934="","",COUNTIF($F1934:$AJ1934,"P"))</f>
        <v/>
      </c>
      <c r="AL1934" s="34" t="str">
        <f aca="false">IF($B1934="","",COUNTIF($F1934:$AJ1934,"A"))</f>
        <v/>
      </c>
      <c r="AM1934" s="34" t="str">
        <f aca="false">IF($B1934="","",COUNTIF($F1934:$AJ1934,"HA"))</f>
        <v/>
      </c>
      <c r="AN1934" s="34" t="str">
        <f aca="false">IF($B1934="","",COUNTIF($F1934:$AJ1934,"L"))</f>
        <v/>
      </c>
      <c r="AO1934" s="34" t="str">
        <f aca="false">IF($B1934="","",COUNTIF($F1934:$AJ1934,"PL"))</f>
        <v/>
      </c>
      <c r="AP1934" s="34" t="str">
        <f aca="false">IF($B1934="","",COUNTIF($F1934:$AJ1934,"CL"))</f>
        <v/>
      </c>
      <c r="AQ1934" s="34" t="str">
        <f aca="false">IF($B1934="","",COUNTIF($F1934:$AJ1934,"SL"))</f>
        <v/>
      </c>
      <c r="AR1934" s="34" t="str">
        <f aca="false">IF($B1934="","",COUNTIF($F1934:$AJ1934,"CO"))</f>
        <v/>
      </c>
      <c r="AS1934" s="34" t="str">
        <f aca="false">IF($B1934="","",COUNTIF($F1934:$AJ1934,"HPL"))</f>
        <v/>
      </c>
      <c r="AT1934" s="34" t="str">
        <f aca="false">IF($B1934="","",COUNTIF($F1934:$AJ1934,"HCL"))</f>
        <v/>
      </c>
      <c r="AU1934" s="34" t="str">
        <f aca="false">IF($B1934="","",COUNTIF($F1934:$AJ1934,"WO"))</f>
        <v/>
      </c>
      <c r="AV1934" s="34" t="str">
        <f aca="false">IF($B1934="","",COUNTIF($F1934:$AJ1934,"PH"))</f>
        <v/>
      </c>
      <c r="AW1934" s="34" t="str">
        <f aca="false">IF($B1934="","",COUNTIF($F1934:$AJ1934,"TR"))</f>
        <v/>
      </c>
      <c r="AX1934" s="35" t="str">
        <f aca="false">IF($B1934="","",AO1934+AS1934/2)</f>
        <v/>
      </c>
      <c r="AY1934" s="35" t="str">
        <f aca="false">IF($B1934="","",AQ1934)</f>
        <v/>
      </c>
      <c r="AZ1934" s="35" t="str">
        <f aca="false">IF($B1934="","",AP1934+AT1934/2)</f>
        <v/>
      </c>
      <c r="BA1934" s="35" t="str">
        <f aca="false">IF($B1934="","",AK1934+AN1934+AM1934/2+AO1934+AP1934+AQ1934+AR1934+AS1934+AT1934+AU1934+AV1934+AW1934)</f>
        <v/>
      </c>
      <c r="BB1934" s="35" t="str">
        <f aca="false">IF($B1934="","",MAX(0,AN1934-Settings!$C$16)*Settings!$C$17)</f>
        <v/>
      </c>
      <c r="BC1934" s="35" t="str">
        <f aca="false">IF($B1934="","",BA1934-BB1934)</f>
        <v/>
      </c>
      <c r="BD1934" s="35" t="str">
        <f aca="false">IF(OR($B1934="",$A1934=""),"",DAY(EOMONTH($A1934,0))-COUNTA($F1934:$AJ1934))</f>
        <v/>
      </c>
    </row>
    <row r="1935" customFormat="false" ht="15" hidden="false" customHeight="false" outlineLevel="0" collapsed="false">
      <c r="A1935" s="32"/>
      <c r="B1935" s="29"/>
      <c r="C1935" s="10" t="str">
        <f aca="false">IF($B1935="","",IFERROR(INDEX(M_name,MATCH($B1935,M_emp,0)),"Code not found"))</f>
        <v/>
      </c>
      <c r="D1935" s="10" t="str">
        <f aca="false">IF($B1935="","",IFERROR(INDEX(M_dept,MATCH($B1935,M_emp,0)),""))</f>
        <v/>
      </c>
      <c r="E1935" s="10" t="str">
        <f aca="false">IF($B1935="","",IFERROR(INDEX(M_loc,MATCH($B1935,M_emp,0)),""))</f>
        <v/>
      </c>
      <c r="F1935" s="33"/>
      <c r="G1935" s="33"/>
      <c r="H1935" s="33"/>
      <c r="I1935" s="33"/>
      <c r="J1935" s="33"/>
      <c r="K1935" s="33"/>
      <c r="L1935" s="33"/>
      <c r="M1935" s="33"/>
      <c r="N1935" s="33"/>
      <c r="O1935" s="33"/>
      <c r="P1935" s="33"/>
      <c r="Q1935" s="33"/>
      <c r="R1935" s="33"/>
      <c r="S1935" s="33"/>
      <c r="T1935" s="33"/>
      <c r="U1935" s="33"/>
      <c r="V1935" s="33"/>
      <c r="W1935" s="33"/>
      <c r="X1935" s="33"/>
      <c r="Y1935" s="33"/>
      <c r="Z1935" s="33"/>
      <c r="AA1935" s="33"/>
      <c r="AB1935" s="33"/>
      <c r="AC1935" s="33"/>
      <c r="AD1935" s="33"/>
      <c r="AE1935" s="33"/>
      <c r="AF1935" s="33"/>
      <c r="AG1935" s="33"/>
      <c r="AH1935" s="33"/>
      <c r="AI1935" s="33"/>
      <c r="AJ1935" s="33"/>
      <c r="AK1935" s="34" t="str">
        <f aca="false">IF($B1935="","",COUNTIF($F1935:$AJ1935,"P"))</f>
        <v/>
      </c>
      <c r="AL1935" s="34" t="str">
        <f aca="false">IF($B1935="","",COUNTIF($F1935:$AJ1935,"A"))</f>
        <v/>
      </c>
      <c r="AM1935" s="34" t="str">
        <f aca="false">IF($B1935="","",COUNTIF($F1935:$AJ1935,"HA"))</f>
        <v/>
      </c>
      <c r="AN1935" s="34" t="str">
        <f aca="false">IF($B1935="","",COUNTIF($F1935:$AJ1935,"L"))</f>
        <v/>
      </c>
      <c r="AO1935" s="34" t="str">
        <f aca="false">IF($B1935="","",COUNTIF($F1935:$AJ1935,"PL"))</f>
        <v/>
      </c>
      <c r="AP1935" s="34" t="str">
        <f aca="false">IF($B1935="","",COUNTIF($F1935:$AJ1935,"CL"))</f>
        <v/>
      </c>
      <c r="AQ1935" s="34" t="str">
        <f aca="false">IF($B1935="","",COUNTIF($F1935:$AJ1935,"SL"))</f>
        <v/>
      </c>
      <c r="AR1935" s="34" t="str">
        <f aca="false">IF($B1935="","",COUNTIF($F1935:$AJ1935,"CO"))</f>
        <v/>
      </c>
      <c r="AS1935" s="34" t="str">
        <f aca="false">IF($B1935="","",COUNTIF($F1935:$AJ1935,"HPL"))</f>
        <v/>
      </c>
      <c r="AT1935" s="34" t="str">
        <f aca="false">IF($B1935="","",COUNTIF($F1935:$AJ1935,"HCL"))</f>
        <v/>
      </c>
      <c r="AU1935" s="34" t="str">
        <f aca="false">IF($B1935="","",COUNTIF($F1935:$AJ1935,"WO"))</f>
        <v/>
      </c>
      <c r="AV1935" s="34" t="str">
        <f aca="false">IF($B1935="","",COUNTIF($F1935:$AJ1935,"PH"))</f>
        <v/>
      </c>
      <c r="AW1935" s="34" t="str">
        <f aca="false">IF($B1935="","",COUNTIF($F1935:$AJ1935,"TR"))</f>
        <v/>
      </c>
      <c r="AX1935" s="35" t="str">
        <f aca="false">IF($B1935="","",AO1935+AS1935/2)</f>
        <v/>
      </c>
      <c r="AY1935" s="35" t="str">
        <f aca="false">IF($B1935="","",AQ1935)</f>
        <v/>
      </c>
      <c r="AZ1935" s="35" t="str">
        <f aca="false">IF($B1935="","",AP1935+AT1935/2)</f>
        <v/>
      </c>
      <c r="BA1935" s="35" t="str">
        <f aca="false">IF($B1935="","",AK1935+AN1935+AM1935/2+AO1935+AP1935+AQ1935+AR1935+AS1935+AT1935+AU1935+AV1935+AW1935)</f>
        <v/>
      </c>
      <c r="BB1935" s="35" t="str">
        <f aca="false">IF($B1935="","",MAX(0,AN1935-Settings!$C$16)*Settings!$C$17)</f>
        <v/>
      </c>
      <c r="BC1935" s="35" t="str">
        <f aca="false">IF($B1935="","",BA1935-BB1935)</f>
        <v/>
      </c>
      <c r="BD1935" s="35" t="str">
        <f aca="false">IF(OR($B1935="",$A1935=""),"",DAY(EOMONTH($A1935,0))-COUNTA($F1935:$AJ1935))</f>
        <v/>
      </c>
    </row>
    <row r="1936" customFormat="false" ht="15" hidden="false" customHeight="false" outlineLevel="0" collapsed="false">
      <c r="A1936" s="32"/>
      <c r="B1936" s="29"/>
      <c r="C1936" s="10" t="str">
        <f aca="false">IF($B1936="","",IFERROR(INDEX(M_name,MATCH($B1936,M_emp,0)),"Code not found"))</f>
        <v/>
      </c>
      <c r="D1936" s="10" t="str">
        <f aca="false">IF($B1936="","",IFERROR(INDEX(M_dept,MATCH($B1936,M_emp,0)),""))</f>
        <v/>
      </c>
      <c r="E1936" s="10" t="str">
        <f aca="false">IF($B1936="","",IFERROR(INDEX(M_loc,MATCH($B1936,M_emp,0)),""))</f>
        <v/>
      </c>
      <c r="F1936" s="33"/>
      <c r="G1936" s="33"/>
      <c r="H1936" s="33"/>
      <c r="I1936" s="33"/>
      <c r="J1936" s="33"/>
      <c r="K1936" s="33"/>
      <c r="L1936" s="33"/>
      <c r="M1936" s="33"/>
      <c r="N1936" s="33"/>
      <c r="O1936" s="33"/>
      <c r="P1936" s="33"/>
      <c r="Q1936" s="33"/>
      <c r="R1936" s="33"/>
      <c r="S1936" s="33"/>
      <c r="T1936" s="33"/>
      <c r="U1936" s="33"/>
      <c r="V1936" s="33"/>
      <c r="W1936" s="33"/>
      <c r="X1936" s="33"/>
      <c r="Y1936" s="33"/>
      <c r="Z1936" s="33"/>
      <c r="AA1936" s="33"/>
      <c r="AB1936" s="33"/>
      <c r="AC1936" s="33"/>
      <c r="AD1936" s="33"/>
      <c r="AE1936" s="33"/>
      <c r="AF1936" s="33"/>
      <c r="AG1936" s="33"/>
      <c r="AH1936" s="33"/>
      <c r="AI1936" s="33"/>
      <c r="AJ1936" s="33"/>
      <c r="AK1936" s="34" t="str">
        <f aca="false">IF($B1936="","",COUNTIF($F1936:$AJ1936,"P"))</f>
        <v/>
      </c>
      <c r="AL1936" s="34" t="str">
        <f aca="false">IF($B1936="","",COUNTIF($F1936:$AJ1936,"A"))</f>
        <v/>
      </c>
      <c r="AM1936" s="34" t="str">
        <f aca="false">IF($B1936="","",COUNTIF($F1936:$AJ1936,"HA"))</f>
        <v/>
      </c>
      <c r="AN1936" s="34" t="str">
        <f aca="false">IF($B1936="","",COUNTIF($F1936:$AJ1936,"L"))</f>
        <v/>
      </c>
      <c r="AO1936" s="34" t="str">
        <f aca="false">IF($B1936="","",COUNTIF($F1936:$AJ1936,"PL"))</f>
        <v/>
      </c>
      <c r="AP1936" s="34" t="str">
        <f aca="false">IF($B1936="","",COUNTIF($F1936:$AJ1936,"CL"))</f>
        <v/>
      </c>
      <c r="AQ1936" s="34" t="str">
        <f aca="false">IF($B1936="","",COUNTIF($F1936:$AJ1936,"SL"))</f>
        <v/>
      </c>
      <c r="AR1936" s="34" t="str">
        <f aca="false">IF($B1936="","",COUNTIF($F1936:$AJ1936,"CO"))</f>
        <v/>
      </c>
      <c r="AS1936" s="34" t="str">
        <f aca="false">IF($B1936="","",COUNTIF($F1936:$AJ1936,"HPL"))</f>
        <v/>
      </c>
      <c r="AT1936" s="34" t="str">
        <f aca="false">IF($B1936="","",COUNTIF($F1936:$AJ1936,"HCL"))</f>
        <v/>
      </c>
      <c r="AU1936" s="34" t="str">
        <f aca="false">IF($B1936="","",COUNTIF($F1936:$AJ1936,"WO"))</f>
        <v/>
      </c>
      <c r="AV1936" s="34" t="str">
        <f aca="false">IF($B1936="","",COUNTIF($F1936:$AJ1936,"PH"))</f>
        <v/>
      </c>
      <c r="AW1936" s="34" t="str">
        <f aca="false">IF($B1936="","",COUNTIF($F1936:$AJ1936,"TR"))</f>
        <v/>
      </c>
      <c r="AX1936" s="35" t="str">
        <f aca="false">IF($B1936="","",AO1936+AS1936/2)</f>
        <v/>
      </c>
      <c r="AY1936" s="35" t="str">
        <f aca="false">IF($B1936="","",AQ1936)</f>
        <v/>
      </c>
      <c r="AZ1936" s="35" t="str">
        <f aca="false">IF($B1936="","",AP1936+AT1936/2)</f>
        <v/>
      </c>
      <c r="BA1936" s="35" t="str">
        <f aca="false">IF($B1936="","",AK1936+AN1936+AM1936/2+AO1936+AP1936+AQ1936+AR1936+AS1936+AT1936+AU1936+AV1936+AW1936)</f>
        <v/>
      </c>
      <c r="BB1936" s="35" t="str">
        <f aca="false">IF($B1936="","",MAX(0,AN1936-Settings!$C$16)*Settings!$C$17)</f>
        <v/>
      </c>
      <c r="BC1936" s="35" t="str">
        <f aca="false">IF($B1936="","",BA1936-BB1936)</f>
        <v/>
      </c>
      <c r="BD1936" s="35" t="str">
        <f aca="false">IF(OR($B1936="",$A1936=""),"",DAY(EOMONTH($A1936,0))-COUNTA($F1936:$AJ1936))</f>
        <v/>
      </c>
    </row>
    <row r="1937" customFormat="false" ht="15" hidden="false" customHeight="false" outlineLevel="0" collapsed="false">
      <c r="A1937" s="32"/>
      <c r="B1937" s="29"/>
      <c r="C1937" s="10" t="str">
        <f aca="false">IF($B1937="","",IFERROR(INDEX(M_name,MATCH($B1937,M_emp,0)),"Code not found"))</f>
        <v/>
      </c>
      <c r="D1937" s="10" t="str">
        <f aca="false">IF($B1937="","",IFERROR(INDEX(M_dept,MATCH($B1937,M_emp,0)),""))</f>
        <v/>
      </c>
      <c r="E1937" s="10" t="str">
        <f aca="false">IF($B1937="","",IFERROR(INDEX(M_loc,MATCH($B1937,M_emp,0)),""))</f>
        <v/>
      </c>
      <c r="F1937" s="33"/>
      <c r="G1937" s="33"/>
      <c r="H1937" s="33"/>
      <c r="I1937" s="33"/>
      <c r="J1937" s="33"/>
      <c r="K1937" s="33"/>
      <c r="L1937" s="33"/>
      <c r="M1937" s="33"/>
      <c r="N1937" s="33"/>
      <c r="O1937" s="33"/>
      <c r="P1937" s="33"/>
      <c r="Q1937" s="33"/>
      <c r="R1937" s="33"/>
      <c r="S1937" s="33"/>
      <c r="T1937" s="33"/>
      <c r="U1937" s="33"/>
      <c r="V1937" s="33"/>
      <c r="W1937" s="33"/>
      <c r="X1937" s="33"/>
      <c r="Y1937" s="33"/>
      <c r="Z1937" s="33"/>
      <c r="AA1937" s="33"/>
      <c r="AB1937" s="33"/>
      <c r="AC1937" s="33"/>
      <c r="AD1937" s="33"/>
      <c r="AE1937" s="33"/>
      <c r="AF1937" s="33"/>
      <c r="AG1937" s="33"/>
      <c r="AH1937" s="33"/>
      <c r="AI1937" s="33"/>
      <c r="AJ1937" s="33"/>
      <c r="AK1937" s="34" t="str">
        <f aca="false">IF($B1937="","",COUNTIF($F1937:$AJ1937,"P"))</f>
        <v/>
      </c>
      <c r="AL1937" s="34" t="str">
        <f aca="false">IF($B1937="","",COUNTIF($F1937:$AJ1937,"A"))</f>
        <v/>
      </c>
      <c r="AM1937" s="34" t="str">
        <f aca="false">IF($B1937="","",COUNTIF($F1937:$AJ1937,"HA"))</f>
        <v/>
      </c>
      <c r="AN1937" s="34" t="str">
        <f aca="false">IF($B1937="","",COUNTIF($F1937:$AJ1937,"L"))</f>
        <v/>
      </c>
      <c r="AO1937" s="34" t="str">
        <f aca="false">IF($B1937="","",COUNTIF($F1937:$AJ1937,"PL"))</f>
        <v/>
      </c>
      <c r="AP1937" s="34" t="str">
        <f aca="false">IF($B1937="","",COUNTIF($F1937:$AJ1937,"CL"))</f>
        <v/>
      </c>
      <c r="AQ1937" s="34" t="str">
        <f aca="false">IF($B1937="","",COUNTIF($F1937:$AJ1937,"SL"))</f>
        <v/>
      </c>
      <c r="AR1937" s="34" t="str">
        <f aca="false">IF($B1937="","",COUNTIF($F1937:$AJ1937,"CO"))</f>
        <v/>
      </c>
      <c r="AS1937" s="34" t="str">
        <f aca="false">IF($B1937="","",COUNTIF($F1937:$AJ1937,"HPL"))</f>
        <v/>
      </c>
      <c r="AT1937" s="34" t="str">
        <f aca="false">IF($B1937="","",COUNTIF($F1937:$AJ1937,"HCL"))</f>
        <v/>
      </c>
      <c r="AU1937" s="34" t="str">
        <f aca="false">IF($B1937="","",COUNTIF($F1937:$AJ1937,"WO"))</f>
        <v/>
      </c>
      <c r="AV1937" s="34" t="str">
        <f aca="false">IF($B1937="","",COUNTIF($F1937:$AJ1937,"PH"))</f>
        <v/>
      </c>
      <c r="AW1937" s="34" t="str">
        <f aca="false">IF($B1937="","",COUNTIF($F1937:$AJ1937,"TR"))</f>
        <v/>
      </c>
      <c r="AX1937" s="35" t="str">
        <f aca="false">IF($B1937="","",AO1937+AS1937/2)</f>
        <v/>
      </c>
      <c r="AY1937" s="35" t="str">
        <f aca="false">IF($B1937="","",AQ1937)</f>
        <v/>
      </c>
      <c r="AZ1937" s="35" t="str">
        <f aca="false">IF($B1937="","",AP1937+AT1937/2)</f>
        <v/>
      </c>
      <c r="BA1937" s="35" t="str">
        <f aca="false">IF($B1937="","",AK1937+AN1937+AM1937/2+AO1937+AP1937+AQ1937+AR1937+AS1937+AT1937+AU1937+AV1937+AW1937)</f>
        <v/>
      </c>
      <c r="BB1937" s="35" t="str">
        <f aca="false">IF($B1937="","",MAX(0,AN1937-Settings!$C$16)*Settings!$C$17)</f>
        <v/>
      </c>
      <c r="BC1937" s="35" t="str">
        <f aca="false">IF($B1937="","",BA1937-BB1937)</f>
        <v/>
      </c>
      <c r="BD1937" s="35" t="str">
        <f aca="false">IF(OR($B1937="",$A1937=""),"",DAY(EOMONTH($A1937,0))-COUNTA($F1937:$AJ1937))</f>
        <v/>
      </c>
    </row>
    <row r="1938" customFormat="false" ht="15" hidden="false" customHeight="false" outlineLevel="0" collapsed="false">
      <c r="A1938" s="32"/>
      <c r="B1938" s="29"/>
      <c r="C1938" s="10" t="str">
        <f aca="false">IF($B1938="","",IFERROR(INDEX(M_name,MATCH($B1938,M_emp,0)),"Code not found"))</f>
        <v/>
      </c>
      <c r="D1938" s="10" t="str">
        <f aca="false">IF($B1938="","",IFERROR(INDEX(M_dept,MATCH($B1938,M_emp,0)),""))</f>
        <v/>
      </c>
      <c r="E1938" s="10" t="str">
        <f aca="false">IF($B1938="","",IFERROR(INDEX(M_loc,MATCH($B1938,M_emp,0)),""))</f>
        <v/>
      </c>
      <c r="F1938" s="33"/>
      <c r="G1938" s="33"/>
      <c r="H1938" s="33"/>
      <c r="I1938" s="33"/>
      <c r="J1938" s="33"/>
      <c r="K1938" s="33"/>
      <c r="L1938" s="33"/>
      <c r="M1938" s="33"/>
      <c r="N1938" s="33"/>
      <c r="O1938" s="33"/>
      <c r="P1938" s="33"/>
      <c r="Q1938" s="33"/>
      <c r="R1938" s="33"/>
      <c r="S1938" s="33"/>
      <c r="T1938" s="33"/>
      <c r="U1938" s="33"/>
      <c r="V1938" s="33"/>
      <c r="W1938" s="33"/>
      <c r="X1938" s="33"/>
      <c r="Y1938" s="33"/>
      <c r="Z1938" s="33"/>
      <c r="AA1938" s="33"/>
      <c r="AB1938" s="33"/>
      <c r="AC1938" s="33"/>
      <c r="AD1938" s="33"/>
      <c r="AE1938" s="33"/>
      <c r="AF1938" s="33"/>
      <c r="AG1938" s="33"/>
      <c r="AH1938" s="33"/>
      <c r="AI1938" s="33"/>
      <c r="AJ1938" s="33"/>
      <c r="AK1938" s="34" t="str">
        <f aca="false">IF($B1938="","",COUNTIF($F1938:$AJ1938,"P"))</f>
        <v/>
      </c>
      <c r="AL1938" s="34" t="str">
        <f aca="false">IF($B1938="","",COUNTIF($F1938:$AJ1938,"A"))</f>
        <v/>
      </c>
      <c r="AM1938" s="34" t="str">
        <f aca="false">IF($B1938="","",COUNTIF($F1938:$AJ1938,"HA"))</f>
        <v/>
      </c>
      <c r="AN1938" s="34" t="str">
        <f aca="false">IF($B1938="","",COUNTIF($F1938:$AJ1938,"L"))</f>
        <v/>
      </c>
      <c r="AO1938" s="34" t="str">
        <f aca="false">IF($B1938="","",COUNTIF($F1938:$AJ1938,"PL"))</f>
        <v/>
      </c>
      <c r="AP1938" s="34" t="str">
        <f aca="false">IF($B1938="","",COUNTIF($F1938:$AJ1938,"CL"))</f>
        <v/>
      </c>
      <c r="AQ1938" s="34" t="str">
        <f aca="false">IF($B1938="","",COUNTIF($F1938:$AJ1938,"SL"))</f>
        <v/>
      </c>
      <c r="AR1938" s="34" t="str">
        <f aca="false">IF($B1938="","",COUNTIF($F1938:$AJ1938,"CO"))</f>
        <v/>
      </c>
      <c r="AS1938" s="34" t="str">
        <f aca="false">IF($B1938="","",COUNTIF($F1938:$AJ1938,"HPL"))</f>
        <v/>
      </c>
      <c r="AT1938" s="34" t="str">
        <f aca="false">IF($B1938="","",COUNTIF($F1938:$AJ1938,"HCL"))</f>
        <v/>
      </c>
      <c r="AU1938" s="34" t="str">
        <f aca="false">IF($B1938="","",COUNTIF($F1938:$AJ1938,"WO"))</f>
        <v/>
      </c>
      <c r="AV1938" s="34" t="str">
        <f aca="false">IF($B1938="","",COUNTIF($F1938:$AJ1938,"PH"))</f>
        <v/>
      </c>
      <c r="AW1938" s="34" t="str">
        <f aca="false">IF($B1938="","",COUNTIF($F1938:$AJ1938,"TR"))</f>
        <v/>
      </c>
      <c r="AX1938" s="35" t="str">
        <f aca="false">IF($B1938="","",AO1938+AS1938/2)</f>
        <v/>
      </c>
      <c r="AY1938" s="35" t="str">
        <f aca="false">IF($B1938="","",AQ1938)</f>
        <v/>
      </c>
      <c r="AZ1938" s="35" t="str">
        <f aca="false">IF($B1938="","",AP1938+AT1938/2)</f>
        <v/>
      </c>
      <c r="BA1938" s="35" t="str">
        <f aca="false">IF($B1938="","",AK1938+AN1938+AM1938/2+AO1938+AP1938+AQ1938+AR1938+AS1938+AT1938+AU1938+AV1938+AW1938)</f>
        <v/>
      </c>
      <c r="BB1938" s="35" t="str">
        <f aca="false">IF($B1938="","",MAX(0,AN1938-Settings!$C$16)*Settings!$C$17)</f>
        <v/>
      </c>
      <c r="BC1938" s="35" t="str">
        <f aca="false">IF($B1938="","",BA1938-BB1938)</f>
        <v/>
      </c>
      <c r="BD1938" s="35" t="str">
        <f aca="false">IF(OR($B1938="",$A1938=""),"",DAY(EOMONTH($A1938,0))-COUNTA($F1938:$AJ1938))</f>
        <v/>
      </c>
    </row>
    <row r="1939" customFormat="false" ht="15" hidden="false" customHeight="false" outlineLevel="0" collapsed="false">
      <c r="A1939" s="32"/>
      <c r="B1939" s="29"/>
      <c r="C1939" s="10" t="str">
        <f aca="false">IF($B1939="","",IFERROR(INDEX(M_name,MATCH($B1939,M_emp,0)),"Code not found"))</f>
        <v/>
      </c>
      <c r="D1939" s="10" t="str">
        <f aca="false">IF($B1939="","",IFERROR(INDEX(M_dept,MATCH($B1939,M_emp,0)),""))</f>
        <v/>
      </c>
      <c r="E1939" s="10" t="str">
        <f aca="false">IF($B1939="","",IFERROR(INDEX(M_loc,MATCH($B1939,M_emp,0)),""))</f>
        <v/>
      </c>
      <c r="F1939" s="33"/>
      <c r="G1939" s="33"/>
      <c r="H1939" s="33"/>
      <c r="I1939" s="33"/>
      <c r="J1939" s="33"/>
      <c r="K1939" s="33"/>
      <c r="L1939" s="33"/>
      <c r="M1939" s="33"/>
      <c r="N1939" s="33"/>
      <c r="O1939" s="33"/>
      <c r="P1939" s="33"/>
      <c r="Q1939" s="33"/>
      <c r="R1939" s="33"/>
      <c r="S1939" s="33"/>
      <c r="T1939" s="33"/>
      <c r="U1939" s="33"/>
      <c r="V1939" s="33"/>
      <c r="W1939" s="33"/>
      <c r="X1939" s="33"/>
      <c r="Y1939" s="33"/>
      <c r="Z1939" s="33"/>
      <c r="AA1939" s="33"/>
      <c r="AB1939" s="33"/>
      <c r="AC1939" s="33"/>
      <c r="AD1939" s="33"/>
      <c r="AE1939" s="33"/>
      <c r="AF1939" s="33"/>
      <c r="AG1939" s="33"/>
      <c r="AH1939" s="33"/>
      <c r="AI1939" s="33"/>
      <c r="AJ1939" s="33"/>
      <c r="AK1939" s="34" t="str">
        <f aca="false">IF($B1939="","",COUNTIF($F1939:$AJ1939,"P"))</f>
        <v/>
      </c>
      <c r="AL1939" s="34" t="str">
        <f aca="false">IF($B1939="","",COUNTIF($F1939:$AJ1939,"A"))</f>
        <v/>
      </c>
      <c r="AM1939" s="34" t="str">
        <f aca="false">IF($B1939="","",COUNTIF($F1939:$AJ1939,"HA"))</f>
        <v/>
      </c>
      <c r="AN1939" s="34" t="str">
        <f aca="false">IF($B1939="","",COUNTIF($F1939:$AJ1939,"L"))</f>
        <v/>
      </c>
      <c r="AO1939" s="34" t="str">
        <f aca="false">IF($B1939="","",COUNTIF($F1939:$AJ1939,"PL"))</f>
        <v/>
      </c>
      <c r="AP1939" s="34" t="str">
        <f aca="false">IF($B1939="","",COUNTIF($F1939:$AJ1939,"CL"))</f>
        <v/>
      </c>
      <c r="AQ1939" s="34" t="str">
        <f aca="false">IF($B1939="","",COUNTIF($F1939:$AJ1939,"SL"))</f>
        <v/>
      </c>
      <c r="AR1939" s="34" t="str">
        <f aca="false">IF($B1939="","",COUNTIF($F1939:$AJ1939,"CO"))</f>
        <v/>
      </c>
      <c r="AS1939" s="34" t="str">
        <f aca="false">IF($B1939="","",COUNTIF($F1939:$AJ1939,"HPL"))</f>
        <v/>
      </c>
      <c r="AT1939" s="34" t="str">
        <f aca="false">IF($B1939="","",COUNTIF($F1939:$AJ1939,"HCL"))</f>
        <v/>
      </c>
      <c r="AU1939" s="34" t="str">
        <f aca="false">IF($B1939="","",COUNTIF($F1939:$AJ1939,"WO"))</f>
        <v/>
      </c>
      <c r="AV1939" s="34" t="str">
        <f aca="false">IF($B1939="","",COUNTIF($F1939:$AJ1939,"PH"))</f>
        <v/>
      </c>
      <c r="AW1939" s="34" t="str">
        <f aca="false">IF($B1939="","",COUNTIF($F1939:$AJ1939,"TR"))</f>
        <v/>
      </c>
      <c r="AX1939" s="35" t="str">
        <f aca="false">IF($B1939="","",AO1939+AS1939/2)</f>
        <v/>
      </c>
      <c r="AY1939" s="35" t="str">
        <f aca="false">IF($B1939="","",AQ1939)</f>
        <v/>
      </c>
      <c r="AZ1939" s="35" t="str">
        <f aca="false">IF($B1939="","",AP1939+AT1939/2)</f>
        <v/>
      </c>
      <c r="BA1939" s="35" t="str">
        <f aca="false">IF($B1939="","",AK1939+AN1939+AM1939/2+AO1939+AP1939+AQ1939+AR1939+AS1939+AT1939+AU1939+AV1939+AW1939)</f>
        <v/>
      </c>
      <c r="BB1939" s="35" t="str">
        <f aca="false">IF($B1939="","",MAX(0,AN1939-Settings!$C$16)*Settings!$C$17)</f>
        <v/>
      </c>
      <c r="BC1939" s="35" t="str">
        <f aca="false">IF($B1939="","",BA1939-BB1939)</f>
        <v/>
      </c>
      <c r="BD1939" s="35" t="str">
        <f aca="false">IF(OR($B1939="",$A1939=""),"",DAY(EOMONTH($A1939,0))-COUNTA($F1939:$AJ1939))</f>
        <v/>
      </c>
    </row>
    <row r="1940" customFormat="false" ht="15" hidden="false" customHeight="false" outlineLevel="0" collapsed="false">
      <c r="A1940" s="32"/>
      <c r="B1940" s="29"/>
      <c r="C1940" s="10" t="str">
        <f aca="false">IF($B1940="","",IFERROR(INDEX(M_name,MATCH($B1940,M_emp,0)),"Code not found"))</f>
        <v/>
      </c>
      <c r="D1940" s="10" t="str">
        <f aca="false">IF($B1940="","",IFERROR(INDEX(M_dept,MATCH($B1940,M_emp,0)),""))</f>
        <v/>
      </c>
      <c r="E1940" s="10" t="str">
        <f aca="false">IF($B1940="","",IFERROR(INDEX(M_loc,MATCH($B1940,M_emp,0)),""))</f>
        <v/>
      </c>
      <c r="F1940" s="33"/>
      <c r="G1940" s="33"/>
      <c r="H1940" s="33"/>
      <c r="I1940" s="33"/>
      <c r="J1940" s="33"/>
      <c r="K1940" s="33"/>
      <c r="L1940" s="33"/>
      <c r="M1940" s="33"/>
      <c r="N1940" s="33"/>
      <c r="O1940" s="33"/>
      <c r="P1940" s="33"/>
      <c r="Q1940" s="33"/>
      <c r="R1940" s="33"/>
      <c r="S1940" s="33"/>
      <c r="T1940" s="33"/>
      <c r="U1940" s="33"/>
      <c r="V1940" s="33"/>
      <c r="W1940" s="33"/>
      <c r="X1940" s="33"/>
      <c r="Y1940" s="33"/>
      <c r="Z1940" s="33"/>
      <c r="AA1940" s="33"/>
      <c r="AB1940" s="33"/>
      <c r="AC1940" s="33"/>
      <c r="AD1940" s="33"/>
      <c r="AE1940" s="33"/>
      <c r="AF1940" s="33"/>
      <c r="AG1940" s="33"/>
      <c r="AH1940" s="33"/>
      <c r="AI1940" s="33"/>
      <c r="AJ1940" s="33"/>
      <c r="AK1940" s="34" t="str">
        <f aca="false">IF($B1940="","",COUNTIF($F1940:$AJ1940,"P"))</f>
        <v/>
      </c>
      <c r="AL1940" s="34" t="str">
        <f aca="false">IF($B1940="","",COUNTIF($F1940:$AJ1940,"A"))</f>
        <v/>
      </c>
      <c r="AM1940" s="34" t="str">
        <f aca="false">IF($B1940="","",COUNTIF($F1940:$AJ1940,"HA"))</f>
        <v/>
      </c>
      <c r="AN1940" s="34" t="str">
        <f aca="false">IF($B1940="","",COUNTIF($F1940:$AJ1940,"L"))</f>
        <v/>
      </c>
      <c r="AO1940" s="34" t="str">
        <f aca="false">IF($B1940="","",COUNTIF($F1940:$AJ1940,"PL"))</f>
        <v/>
      </c>
      <c r="AP1940" s="34" t="str">
        <f aca="false">IF($B1940="","",COUNTIF($F1940:$AJ1940,"CL"))</f>
        <v/>
      </c>
      <c r="AQ1940" s="34" t="str">
        <f aca="false">IF($B1940="","",COUNTIF($F1940:$AJ1940,"SL"))</f>
        <v/>
      </c>
      <c r="AR1940" s="34" t="str">
        <f aca="false">IF($B1940="","",COUNTIF($F1940:$AJ1940,"CO"))</f>
        <v/>
      </c>
      <c r="AS1940" s="34" t="str">
        <f aca="false">IF($B1940="","",COUNTIF($F1940:$AJ1940,"HPL"))</f>
        <v/>
      </c>
      <c r="AT1940" s="34" t="str">
        <f aca="false">IF($B1940="","",COUNTIF($F1940:$AJ1940,"HCL"))</f>
        <v/>
      </c>
      <c r="AU1940" s="34" t="str">
        <f aca="false">IF($B1940="","",COUNTIF($F1940:$AJ1940,"WO"))</f>
        <v/>
      </c>
      <c r="AV1940" s="34" t="str">
        <f aca="false">IF($B1940="","",COUNTIF($F1940:$AJ1940,"PH"))</f>
        <v/>
      </c>
      <c r="AW1940" s="34" t="str">
        <f aca="false">IF($B1940="","",COUNTIF($F1940:$AJ1940,"TR"))</f>
        <v/>
      </c>
      <c r="AX1940" s="35" t="str">
        <f aca="false">IF($B1940="","",AO1940+AS1940/2)</f>
        <v/>
      </c>
      <c r="AY1940" s="35" t="str">
        <f aca="false">IF($B1940="","",AQ1940)</f>
        <v/>
      </c>
      <c r="AZ1940" s="35" t="str">
        <f aca="false">IF($B1940="","",AP1940+AT1940/2)</f>
        <v/>
      </c>
      <c r="BA1940" s="35" t="str">
        <f aca="false">IF($B1940="","",AK1940+AN1940+AM1940/2+AO1940+AP1940+AQ1940+AR1940+AS1940+AT1940+AU1940+AV1940+AW1940)</f>
        <v/>
      </c>
      <c r="BB1940" s="35" t="str">
        <f aca="false">IF($B1940="","",MAX(0,AN1940-Settings!$C$16)*Settings!$C$17)</f>
        <v/>
      </c>
      <c r="BC1940" s="35" t="str">
        <f aca="false">IF($B1940="","",BA1940-BB1940)</f>
        <v/>
      </c>
      <c r="BD1940" s="35" t="str">
        <f aca="false">IF(OR($B1940="",$A1940=""),"",DAY(EOMONTH($A1940,0))-COUNTA($F1940:$AJ1940))</f>
        <v/>
      </c>
    </row>
    <row r="1941" customFormat="false" ht="15" hidden="false" customHeight="false" outlineLevel="0" collapsed="false">
      <c r="A1941" s="32"/>
      <c r="B1941" s="29"/>
      <c r="C1941" s="10" t="str">
        <f aca="false">IF($B1941="","",IFERROR(INDEX(M_name,MATCH($B1941,M_emp,0)),"Code not found"))</f>
        <v/>
      </c>
      <c r="D1941" s="10" t="str">
        <f aca="false">IF($B1941="","",IFERROR(INDEX(M_dept,MATCH($B1941,M_emp,0)),""))</f>
        <v/>
      </c>
      <c r="E1941" s="10" t="str">
        <f aca="false">IF($B1941="","",IFERROR(INDEX(M_loc,MATCH($B1941,M_emp,0)),""))</f>
        <v/>
      </c>
      <c r="F1941" s="33"/>
      <c r="G1941" s="33"/>
      <c r="H1941" s="33"/>
      <c r="I1941" s="33"/>
      <c r="J1941" s="33"/>
      <c r="K1941" s="33"/>
      <c r="L1941" s="33"/>
      <c r="M1941" s="33"/>
      <c r="N1941" s="33"/>
      <c r="O1941" s="33"/>
      <c r="P1941" s="33"/>
      <c r="Q1941" s="33"/>
      <c r="R1941" s="33"/>
      <c r="S1941" s="33"/>
      <c r="T1941" s="33"/>
      <c r="U1941" s="33"/>
      <c r="V1941" s="33"/>
      <c r="W1941" s="33"/>
      <c r="X1941" s="33"/>
      <c r="Y1941" s="33"/>
      <c r="Z1941" s="33"/>
      <c r="AA1941" s="33"/>
      <c r="AB1941" s="33"/>
      <c r="AC1941" s="33"/>
      <c r="AD1941" s="33"/>
      <c r="AE1941" s="33"/>
      <c r="AF1941" s="33"/>
      <c r="AG1941" s="33"/>
      <c r="AH1941" s="33"/>
      <c r="AI1941" s="33"/>
      <c r="AJ1941" s="33"/>
      <c r="AK1941" s="34" t="str">
        <f aca="false">IF($B1941="","",COUNTIF($F1941:$AJ1941,"P"))</f>
        <v/>
      </c>
      <c r="AL1941" s="34" t="str">
        <f aca="false">IF($B1941="","",COUNTIF($F1941:$AJ1941,"A"))</f>
        <v/>
      </c>
      <c r="AM1941" s="34" t="str">
        <f aca="false">IF($B1941="","",COUNTIF($F1941:$AJ1941,"HA"))</f>
        <v/>
      </c>
      <c r="AN1941" s="34" t="str">
        <f aca="false">IF($B1941="","",COUNTIF($F1941:$AJ1941,"L"))</f>
        <v/>
      </c>
      <c r="AO1941" s="34" t="str">
        <f aca="false">IF($B1941="","",COUNTIF($F1941:$AJ1941,"PL"))</f>
        <v/>
      </c>
      <c r="AP1941" s="34" t="str">
        <f aca="false">IF($B1941="","",COUNTIF($F1941:$AJ1941,"CL"))</f>
        <v/>
      </c>
      <c r="AQ1941" s="34" t="str">
        <f aca="false">IF($B1941="","",COUNTIF($F1941:$AJ1941,"SL"))</f>
        <v/>
      </c>
      <c r="AR1941" s="34" t="str">
        <f aca="false">IF($B1941="","",COUNTIF($F1941:$AJ1941,"CO"))</f>
        <v/>
      </c>
      <c r="AS1941" s="34" t="str">
        <f aca="false">IF($B1941="","",COUNTIF($F1941:$AJ1941,"HPL"))</f>
        <v/>
      </c>
      <c r="AT1941" s="34" t="str">
        <f aca="false">IF($B1941="","",COUNTIF($F1941:$AJ1941,"HCL"))</f>
        <v/>
      </c>
      <c r="AU1941" s="34" t="str">
        <f aca="false">IF($B1941="","",COUNTIF($F1941:$AJ1941,"WO"))</f>
        <v/>
      </c>
      <c r="AV1941" s="34" t="str">
        <f aca="false">IF($B1941="","",COUNTIF($F1941:$AJ1941,"PH"))</f>
        <v/>
      </c>
      <c r="AW1941" s="34" t="str">
        <f aca="false">IF($B1941="","",COUNTIF($F1941:$AJ1941,"TR"))</f>
        <v/>
      </c>
      <c r="AX1941" s="35" t="str">
        <f aca="false">IF($B1941="","",AO1941+AS1941/2)</f>
        <v/>
      </c>
      <c r="AY1941" s="35" t="str">
        <f aca="false">IF($B1941="","",AQ1941)</f>
        <v/>
      </c>
      <c r="AZ1941" s="35" t="str">
        <f aca="false">IF($B1941="","",AP1941+AT1941/2)</f>
        <v/>
      </c>
      <c r="BA1941" s="35" t="str">
        <f aca="false">IF($B1941="","",AK1941+AN1941+AM1941/2+AO1941+AP1941+AQ1941+AR1941+AS1941+AT1941+AU1941+AV1941+AW1941)</f>
        <v/>
      </c>
      <c r="BB1941" s="35" t="str">
        <f aca="false">IF($B1941="","",MAX(0,AN1941-Settings!$C$16)*Settings!$C$17)</f>
        <v/>
      </c>
      <c r="BC1941" s="35" t="str">
        <f aca="false">IF($B1941="","",BA1941-BB1941)</f>
        <v/>
      </c>
      <c r="BD1941" s="35" t="str">
        <f aca="false">IF(OR($B1941="",$A1941=""),"",DAY(EOMONTH($A1941,0))-COUNTA($F1941:$AJ1941))</f>
        <v/>
      </c>
    </row>
    <row r="1942" customFormat="false" ht="15" hidden="false" customHeight="false" outlineLevel="0" collapsed="false">
      <c r="A1942" s="32"/>
      <c r="B1942" s="29"/>
      <c r="C1942" s="10" t="str">
        <f aca="false">IF($B1942="","",IFERROR(INDEX(M_name,MATCH($B1942,M_emp,0)),"Code not found"))</f>
        <v/>
      </c>
      <c r="D1942" s="10" t="str">
        <f aca="false">IF($B1942="","",IFERROR(INDEX(M_dept,MATCH($B1942,M_emp,0)),""))</f>
        <v/>
      </c>
      <c r="E1942" s="10" t="str">
        <f aca="false">IF($B1942="","",IFERROR(INDEX(M_loc,MATCH($B1942,M_emp,0)),""))</f>
        <v/>
      </c>
      <c r="F1942" s="33"/>
      <c r="G1942" s="33"/>
      <c r="H1942" s="33"/>
      <c r="I1942" s="33"/>
      <c r="J1942" s="33"/>
      <c r="K1942" s="33"/>
      <c r="L1942" s="33"/>
      <c r="M1942" s="33"/>
      <c r="N1942" s="33"/>
      <c r="O1942" s="33"/>
      <c r="P1942" s="33"/>
      <c r="Q1942" s="33"/>
      <c r="R1942" s="33"/>
      <c r="S1942" s="33"/>
      <c r="T1942" s="33"/>
      <c r="U1942" s="33"/>
      <c r="V1942" s="33"/>
      <c r="W1942" s="33"/>
      <c r="X1942" s="33"/>
      <c r="Y1942" s="33"/>
      <c r="Z1942" s="33"/>
      <c r="AA1942" s="33"/>
      <c r="AB1942" s="33"/>
      <c r="AC1942" s="33"/>
      <c r="AD1942" s="33"/>
      <c r="AE1942" s="33"/>
      <c r="AF1942" s="33"/>
      <c r="AG1942" s="33"/>
      <c r="AH1942" s="33"/>
      <c r="AI1942" s="33"/>
      <c r="AJ1942" s="33"/>
      <c r="AK1942" s="34" t="str">
        <f aca="false">IF($B1942="","",COUNTIF($F1942:$AJ1942,"P"))</f>
        <v/>
      </c>
      <c r="AL1942" s="34" t="str">
        <f aca="false">IF($B1942="","",COUNTIF($F1942:$AJ1942,"A"))</f>
        <v/>
      </c>
      <c r="AM1942" s="34" t="str">
        <f aca="false">IF($B1942="","",COUNTIF($F1942:$AJ1942,"HA"))</f>
        <v/>
      </c>
      <c r="AN1942" s="34" t="str">
        <f aca="false">IF($B1942="","",COUNTIF($F1942:$AJ1942,"L"))</f>
        <v/>
      </c>
      <c r="AO1942" s="34" t="str">
        <f aca="false">IF($B1942="","",COUNTIF($F1942:$AJ1942,"PL"))</f>
        <v/>
      </c>
      <c r="AP1942" s="34" t="str">
        <f aca="false">IF($B1942="","",COUNTIF($F1942:$AJ1942,"CL"))</f>
        <v/>
      </c>
      <c r="AQ1942" s="34" t="str">
        <f aca="false">IF($B1942="","",COUNTIF($F1942:$AJ1942,"SL"))</f>
        <v/>
      </c>
      <c r="AR1942" s="34" t="str">
        <f aca="false">IF($B1942="","",COUNTIF($F1942:$AJ1942,"CO"))</f>
        <v/>
      </c>
      <c r="AS1942" s="34" t="str">
        <f aca="false">IF($B1942="","",COUNTIF($F1942:$AJ1942,"HPL"))</f>
        <v/>
      </c>
      <c r="AT1942" s="34" t="str">
        <f aca="false">IF($B1942="","",COUNTIF($F1942:$AJ1942,"HCL"))</f>
        <v/>
      </c>
      <c r="AU1942" s="34" t="str">
        <f aca="false">IF($B1942="","",COUNTIF($F1942:$AJ1942,"WO"))</f>
        <v/>
      </c>
      <c r="AV1942" s="34" t="str">
        <f aca="false">IF($B1942="","",COUNTIF($F1942:$AJ1942,"PH"))</f>
        <v/>
      </c>
      <c r="AW1942" s="34" t="str">
        <f aca="false">IF($B1942="","",COUNTIF($F1942:$AJ1942,"TR"))</f>
        <v/>
      </c>
      <c r="AX1942" s="35" t="str">
        <f aca="false">IF($B1942="","",AO1942+AS1942/2)</f>
        <v/>
      </c>
      <c r="AY1942" s="35" t="str">
        <f aca="false">IF($B1942="","",AQ1942)</f>
        <v/>
      </c>
      <c r="AZ1942" s="35" t="str">
        <f aca="false">IF($B1942="","",AP1942+AT1942/2)</f>
        <v/>
      </c>
      <c r="BA1942" s="35" t="str">
        <f aca="false">IF($B1942="","",AK1942+AN1942+AM1942/2+AO1942+AP1942+AQ1942+AR1942+AS1942+AT1942+AU1942+AV1942+AW1942)</f>
        <v/>
      </c>
      <c r="BB1942" s="35" t="str">
        <f aca="false">IF($B1942="","",MAX(0,AN1942-Settings!$C$16)*Settings!$C$17)</f>
        <v/>
      </c>
      <c r="BC1942" s="35" t="str">
        <f aca="false">IF($B1942="","",BA1942-BB1942)</f>
        <v/>
      </c>
      <c r="BD1942" s="35" t="str">
        <f aca="false">IF(OR($B1942="",$A1942=""),"",DAY(EOMONTH($A1942,0))-COUNTA($F1942:$AJ1942))</f>
        <v/>
      </c>
    </row>
    <row r="1943" customFormat="false" ht="15" hidden="false" customHeight="false" outlineLevel="0" collapsed="false">
      <c r="A1943" s="32"/>
      <c r="B1943" s="29"/>
      <c r="C1943" s="10" t="str">
        <f aca="false">IF($B1943="","",IFERROR(INDEX(M_name,MATCH($B1943,M_emp,0)),"Code not found"))</f>
        <v/>
      </c>
      <c r="D1943" s="10" t="str">
        <f aca="false">IF($B1943="","",IFERROR(INDEX(M_dept,MATCH($B1943,M_emp,0)),""))</f>
        <v/>
      </c>
      <c r="E1943" s="10" t="str">
        <f aca="false">IF($B1943="","",IFERROR(INDEX(M_loc,MATCH($B1943,M_emp,0)),""))</f>
        <v/>
      </c>
      <c r="F1943" s="33"/>
      <c r="G1943" s="33"/>
      <c r="H1943" s="33"/>
      <c r="I1943" s="33"/>
      <c r="J1943" s="33"/>
      <c r="K1943" s="33"/>
      <c r="L1943" s="33"/>
      <c r="M1943" s="33"/>
      <c r="N1943" s="33"/>
      <c r="O1943" s="33"/>
      <c r="P1943" s="33"/>
      <c r="Q1943" s="33"/>
      <c r="R1943" s="33"/>
      <c r="S1943" s="33"/>
      <c r="T1943" s="33"/>
      <c r="U1943" s="33"/>
      <c r="V1943" s="33"/>
      <c r="W1943" s="33"/>
      <c r="X1943" s="33"/>
      <c r="Y1943" s="33"/>
      <c r="Z1943" s="33"/>
      <c r="AA1943" s="33"/>
      <c r="AB1943" s="33"/>
      <c r="AC1943" s="33"/>
      <c r="AD1943" s="33"/>
      <c r="AE1943" s="33"/>
      <c r="AF1943" s="33"/>
      <c r="AG1943" s="33"/>
      <c r="AH1943" s="33"/>
      <c r="AI1943" s="33"/>
      <c r="AJ1943" s="33"/>
      <c r="AK1943" s="34" t="str">
        <f aca="false">IF($B1943="","",COUNTIF($F1943:$AJ1943,"P"))</f>
        <v/>
      </c>
      <c r="AL1943" s="34" t="str">
        <f aca="false">IF($B1943="","",COUNTIF($F1943:$AJ1943,"A"))</f>
        <v/>
      </c>
      <c r="AM1943" s="34" t="str">
        <f aca="false">IF($B1943="","",COUNTIF($F1943:$AJ1943,"HA"))</f>
        <v/>
      </c>
      <c r="AN1943" s="34" t="str">
        <f aca="false">IF($B1943="","",COUNTIF($F1943:$AJ1943,"L"))</f>
        <v/>
      </c>
      <c r="AO1943" s="34" t="str">
        <f aca="false">IF($B1943="","",COUNTIF($F1943:$AJ1943,"PL"))</f>
        <v/>
      </c>
      <c r="AP1943" s="34" t="str">
        <f aca="false">IF($B1943="","",COUNTIF($F1943:$AJ1943,"CL"))</f>
        <v/>
      </c>
      <c r="AQ1943" s="34" t="str">
        <f aca="false">IF($B1943="","",COUNTIF($F1943:$AJ1943,"SL"))</f>
        <v/>
      </c>
      <c r="AR1943" s="34" t="str">
        <f aca="false">IF($B1943="","",COUNTIF($F1943:$AJ1943,"CO"))</f>
        <v/>
      </c>
      <c r="AS1943" s="34" t="str">
        <f aca="false">IF($B1943="","",COUNTIF($F1943:$AJ1943,"HPL"))</f>
        <v/>
      </c>
      <c r="AT1943" s="34" t="str">
        <f aca="false">IF($B1943="","",COUNTIF($F1943:$AJ1943,"HCL"))</f>
        <v/>
      </c>
      <c r="AU1943" s="34" t="str">
        <f aca="false">IF($B1943="","",COUNTIF($F1943:$AJ1943,"WO"))</f>
        <v/>
      </c>
      <c r="AV1943" s="34" t="str">
        <f aca="false">IF($B1943="","",COUNTIF($F1943:$AJ1943,"PH"))</f>
        <v/>
      </c>
      <c r="AW1943" s="34" t="str">
        <f aca="false">IF($B1943="","",COUNTIF($F1943:$AJ1943,"TR"))</f>
        <v/>
      </c>
      <c r="AX1943" s="35" t="str">
        <f aca="false">IF($B1943="","",AO1943+AS1943/2)</f>
        <v/>
      </c>
      <c r="AY1943" s="35" t="str">
        <f aca="false">IF($B1943="","",AQ1943)</f>
        <v/>
      </c>
      <c r="AZ1943" s="35" t="str">
        <f aca="false">IF($B1943="","",AP1943+AT1943/2)</f>
        <v/>
      </c>
      <c r="BA1943" s="35" t="str">
        <f aca="false">IF($B1943="","",AK1943+AN1943+AM1943/2+AO1943+AP1943+AQ1943+AR1943+AS1943+AT1943+AU1943+AV1943+AW1943)</f>
        <v/>
      </c>
      <c r="BB1943" s="35" t="str">
        <f aca="false">IF($B1943="","",MAX(0,AN1943-Settings!$C$16)*Settings!$C$17)</f>
        <v/>
      </c>
      <c r="BC1943" s="35" t="str">
        <f aca="false">IF($B1943="","",BA1943-BB1943)</f>
        <v/>
      </c>
      <c r="BD1943" s="35" t="str">
        <f aca="false">IF(OR($B1943="",$A1943=""),"",DAY(EOMONTH($A1943,0))-COUNTA($F1943:$AJ1943))</f>
        <v/>
      </c>
    </row>
    <row r="1944" customFormat="false" ht="15" hidden="false" customHeight="false" outlineLevel="0" collapsed="false">
      <c r="A1944" s="32"/>
      <c r="B1944" s="29"/>
      <c r="C1944" s="10" t="str">
        <f aca="false">IF($B1944="","",IFERROR(INDEX(M_name,MATCH($B1944,M_emp,0)),"Code not found"))</f>
        <v/>
      </c>
      <c r="D1944" s="10" t="str">
        <f aca="false">IF($B1944="","",IFERROR(INDEX(M_dept,MATCH($B1944,M_emp,0)),""))</f>
        <v/>
      </c>
      <c r="E1944" s="10" t="str">
        <f aca="false">IF($B1944="","",IFERROR(INDEX(M_loc,MATCH($B1944,M_emp,0)),""))</f>
        <v/>
      </c>
      <c r="F1944" s="33"/>
      <c r="G1944" s="33"/>
      <c r="H1944" s="33"/>
      <c r="I1944" s="33"/>
      <c r="J1944" s="33"/>
      <c r="K1944" s="33"/>
      <c r="L1944" s="33"/>
      <c r="M1944" s="33"/>
      <c r="N1944" s="33"/>
      <c r="O1944" s="33"/>
      <c r="P1944" s="33"/>
      <c r="Q1944" s="33"/>
      <c r="R1944" s="33"/>
      <c r="S1944" s="33"/>
      <c r="T1944" s="33"/>
      <c r="U1944" s="33"/>
      <c r="V1944" s="33"/>
      <c r="W1944" s="33"/>
      <c r="X1944" s="33"/>
      <c r="Y1944" s="33"/>
      <c r="Z1944" s="33"/>
      <c r="AA1944" s="33"/>
      <c r="AB1944" s="33"/>
      <c r="AC1944" s="33"/>
      <c r="AD1944" s="33"/>
      <c r="AE1944" s="33"/>
      <c r="AF1944" s="33"/>
      <c r="AG1944" s="33"/>
      <c r="AH1944" s="33"/>
      <c r="AI1944" s="33"/>
      <c r="AJ1944" s="33"/>
      <c r="AK1944" s="34" t="str">
        <f aca="false">IF($B1944="","",COUNTIF($F1944:$AJ1944,"P"))</f>
        <v/>
      </c>
      <c r="AL1944" s="34" t="str">
        <f aca="false">IF($B1944="","",COUNTIF($F1944:$AJ1944,"A"))</f>
        <v/>
      </c>
      <c r="AM1944" s="34" t="str">
        <f aca="false">IF($B1944="","",COUNTIF($F1944:$AJ1944,"HA"))</f>
        <v/>
      </c>
      <c r="AN1944" s="34" t="str">
        <f aca="false">IF($B1944="","",COUNTIF($F1944:$AJ1944,"L"))</f>
        <v/>
      </c>
      <c r="AO1944" s="34" t="str">
        <f aca="false">IF($B1944="","",COUNTIF($F1944:$AJ1944,"PL"))</f>
        <v/>
      </c>
      <c r="AP1944" s="34" t="str">
        <f aca="false">IF($B1944="","",COUNTIF($F1944:$AJ1944,"CL"))</f>
        <v/>
      </c>
      <c r="AQ1944" s="34" t="str">
        <f aca="false">IF($B1944="","",COUNTIF($F1944:$AJ1944,"SL"))</f>
        <v/>
      </c>
      <c r="AR1944" s="34" t="str">
        <f aca="false">IF($B1944="","",COUNTIF($F1944:$AJ1944,"CO"))</f>
        <v/>
      </c>
      <c r="AS1944" s="34" t="str">
        <f aca="false">IF($B1944="","",COUNTIF($F1944:$AJ1944,"HPL"))</f>
        <v/>
      </c>
      <c r="AT1944" s="34" t="str">
        <f aca="false">IF($B1944="","",COUNTIF($F1944:$AJ1944,"HCL"))</f>
        <v/>
      </c>
      <c r="AU1944" s="34" t="str">
        <f aca="false">IF($B1944="","",COUNTIF($F1944:$AJ1944,"WO"))</f>
        <v/>
      </c>
      <c r="AV1944" s="34" t="str">
        <f aca="false">IF($B1944="","",COUNTIF($F1944:$AJ1944,"PH"))</f>
        <v/>
      </c>
      <c r="AW1944" s="34" t="str">
        <f aca="false">IF($B1944="","",COUNTIF($F1944:$AJ1944,"TR"))</f>
        <v/>
      </c>
      <c r="AX1944" s="35" t="str">
        <f aca="false">IF($B1944="","",AO1944+AS1944/2)</f>
        <v/>
      </c>
      <c r="AY1944" s="35" t="str">
        <f aca="false">IF($B1944="","",AQ1944)</f>
        <v/>
      </c>
      <c r="AZ1944" s="35" t="str">
        <f aca="false">IF($B1944="","",AP1944+AT1944/2)</f>
        <v/>
      </c>
      <c r="BA1944" s="35" t="str">
        <f aca="false">IF($B1944="","",AK1944+AN1944+AM1944/2+AO1944+AP1944+AQ1944+AR1944+AS1944+AT1944+AU1944+AV1944+AW1944)</f>
        <v/>
      </c>
      <c r="BB1944" s="35" t="str">
        <f aca="false">IF($B1944="","",MAX(0,AN1944-Settings!$C$16)*Settings!$C$17)</f>
        <v/>
      </c>
      <c r="BC1944" s="35" t="str">
        <f aca="false">IF($B1944="","",BA1944-BB1944)</f>
        <v/>
      </c>
      <c r="BD1944" s="35" t="str">
        <f aca="false">IF(OR($B1944="",$A1944=""),"",DAY(EOMONTH($A1944,0))-COUNTA($F1944:$AJ1944))</f>
        <v/>
      </c>
    </row>
    <row r="1945" customFormat="false" ht="15" hidden="false" customHeight="false" outlineLevel="0" collapsed="false">
      <c r="A1945" s="32"/>
      <c r="B1945" s="29"/>
      <c r="C1945" s="10" t="str">
        <f aca="false">IF($B1945="","",IFERROR(INDEX(M_name,MATCH($B1945,M_emp,0)),"Code not found"))</f>
        <v/>
      </c>
      <c r="D1945" s="10" t="str">
        <f aca="false">IF($B1945="","",IFERROR(INDEX(M_dept,MATCH($B1945,M_emp,0)),""))</f>
        <v/>
      </c>
      <c r="E1945" s="10" t="str">
        <f aca="false">IF($B1945="","",IFERROR(INDEX(M_loc,MATCH($B1945,M_emp,0)),""))</f>
        <v/>
      </c>
      <c r="F1945" s="33"/>
      <c r="G1945" s="33"/>
      <c r="H1945" s="33"/>
      <c r="I1945" s="33"/>
      <c r="J1945" s="33"/>
      <c r="K1945" s="33"/>
      <c r="L1945" s="33"/>
      <c r="M1945" s="33"/>
      <c r="N1945" s="33"/>
      <c r="O1945" s="33"/>
      <c r="P1945" s="33"/>
      <c r="Q1945" s="33"/>
      <c r="R1945" s="33"/>
      <c r="S1945" s="33"/>
      <c r="T1945" s="33"/>
      <c r="U1945" s="33"/>
      <c r="V1945" s="33"/>
      <c r="W1945" s="33"/>
      <c r="X1945" s="33"/>
      <c r="Y1945" s="33"/>
      <c r="Z1945" s="33"/>
      <c r="AA1945" s="33"/>
      <c r="AB1945" s="33"/>
      <c r="AC1945" s="33"/>
      <c r="AD1945" s="33"/>
      <c r="AE1945" s="33"/>
      <c r="AF1945" s="33"/>
      <c r="AG1945" s="33"/>
      <c r="AH1945" s="33"/>
      <c r="AI1945" s="33"/>
      <c r="AJ1945" s="33"/>
      <c r="AK1945" s="34" t="str">
        <f aca="false">IF($B1945="","",COUNTIF($F1945:$AJ1945,"P"))</f>
        <v/>
      </c>
      <c r="AL1945" s="34" t="str">
        <f aca="false">IF($B1945="","",COUNTIF($F1945:$AJ1945,"A"))</f>
        <v/>
      </c>
      <c r="AM1945" s="34" t="str">
        <f aca="false">IF($B1945="","",COUNTIF($F1945:$AJ1945,"HA"))</f>
        <v/>
      </c>
      <c r="AN1945" s="34" t="str">
        <f aca="false">IF($B1945="","",COUNTIF($F1945:$AJ1945,"L"))</f>
        <v/>
      </c>
      <c r="AO1945" s="34" t="str">
        <f aca="false">IF($B1945="","",COUNTIF($F1945:$AJ1945,"PL"))</f>
        <v/>
      </c>
      <c r="AP1945" s="34" t="str">
        <f aca="false">IF($B1945="","",COUNTIF($F1945:$AJ1945,"CL"))</f>
        <v/>
      </c>
      <c r="AQ1945" s="34" t="str">
        <f aca="false">IF($B1945="","",COUNTIF($F1945:$AJ1945,"SL"))</f>
        <v/>
      </c>
      <c r="AR1945" s="34" t="str">
        <f aca="false">IF($B1945="","",COUNTIF($F1945:$AJ1945,"CO"))</f>
        <v/>
      </c>
      <c r="AS1945" s="34" t="str">
        <f aca="false">IF($B1945="","",COUNTIF($F1945:$AJ1945,"HPL"))</f>
        <v/>
      </c>
      <c r="AT1945" s="34" t="str">
        <f aca="false">IF($B1945="","",COUNTIF($F1945:$AJ1945,"HCL"))</f>
        <v/>
      </c>
      <c r="AU1945" s="34" t="str">
        <f aca="false">IF($B1945="","",COUNTIF($F1945:$AJ1945,"WO"))</f>
        <v/>
      </c>
      <c r="AV1945" s="34" t="str">
        <f aca="false">IF($B1945="","",COUNTIF($F1945:$AJ1945,"PH"))</f>
        <v/>
      </c>
      <c r="AW1945" s="34" t="str">
        <f aca="false">IF($B1945="","",COUNTIF($F1945:$AJ1945,"TR"))</f>
        <v/>
      </c>
      <c r="AX1945" s="35" t="str">
        <f aca="false">IF($B1945="","",AO1945+AS1945/2)</f>
        <v/>
      </c>
      <c r="AY1945" s="35" t="str">
        <f aca="false">IF($B1945="","",AQ1945)</f>
        <v/>
      </c>
      <c r="AZ1945" s="35" t="str">
        <f aca="false">IF($B1945="","",AP1945+AT1945/2)</f>
        <v/>
      </c>
      <c r="BA1945" s="35" t="str">
        <f aca="false">IF($B1945="","",AK1945+AN1945+AM1945/2+AO1945+AP1945+AQ1945+AR1945+AS1945+AT1945+AU1945+AV1945+AW1945)</f>
        <v/>
      </c>
      <c r="BB1945" s="35" t="str">
        <f aca="false">IF($B1945="","",MAX(0,AN1945-Settings!$C$16)*Settings!$C$17)</f>
        <v/>
      </c>
      <c r="BC1945" s="35" t="str">
        <f aca="false">IF($B1945="","",BA1945-BB1945)</f>
        <v/>
      </c>
      <c r="BD1945" s="35" t="str">
        <f aca="false">IF(OR($B1945="",$A1945=""),"",DAY(EOMONTH($A1945,0))-COUNTA($F1945:$AJ1945))</f>
        <v/>
      </c>
    </row>
    <row r="1946" customFormat="false" ht="15" hidden="false" customHeight="false" outlineLevel="0" collapsed="false">
      <c r="A1946" s="32"/>
      <c r="B1946" s="29"/>
      <c r="C1946" s="10" t="str">
        <f aca="false">IF($B1946="","",IFERROR(INDEX(M_name,MATCH($B1946,M_emp,0)),"Code not found"))</f>
        <v/>
      </c>
      <c r="D1946" s="10" t="str">
        <f aca="false">IF($B1946="","",IFERROR(INDEX(M_dept,MATCH($B1946,M_emp,0)),""))</f>
        <v/>
      </c>
      <c r="E1946" s="10" t="str">
        <f aca="false">IF($B1946="","",IFERROR(INDEX(M_loc,MATCH($B1946,M_emp,0)),""))</f>
        <v/>
      </c>
      <c r="F1946" s="33"/>
      <c r="G1946" s="33"/>
      <c r="H1946" s="33"/>
      <c r="I1946" s="33"/>
      <c r="J1946" s="33"/>
      <c r="K1946" s="33"/>
      <c r="L1946" s="33"/>
      <c r="M1946" s="33"/>
      <c r="N1946" s="33"/>
      <c r="O1946" s="33"/>
      <c r="P1946" s="33"/>
      <c r="Q1946" s="33"/>
      <c r="R1946" s="33"/>
      <c r="S1946" s="33"/>
      <c r="T1946" s="33"/>
      <c r="U1946" s="33"/>
      <c r="V1946" s="33"/>
      <c r="W1946" s="33"/>
      <c r="X1946" s="33"/>
      <c r="Y1946" s="33"/>
      <c r="Z1946" s="33"/>
      <c r="AA1946" s="33"/>
      <c r="AB1946" s="33"/>
      <c r="AC1946" s="33"/>
      <c r="AD1946" s="33"/>
      <c r="AE1946" s="33"/>
      <c r="AF1946" s="33"/>
      <c r="AG1946" s="33"/>
      <c r="AH1946" s="33"/>
      <c r="AI1946" s="33"/>
      <c r="AJ1946" s="33"/>
      <c r="AK1946" s="34" t="str">
        <f aca="false">IF($B1946="","",COUNTIF($F1946:$AJ1946,"P"))</f>
        <v/>
      </c>
      <c r="AL1946" s="34" t="str">
        <f aca="false">IF($B1946="","",COUNTIF($F1946:$AJ1946,"A"))</f>
        <v/>
      </c>
      <c r="AM1946" s="34" t="str">
        <f aca="false">IF($B1946="","",COUNTIF($F1946:$AJ1946,"HA"))</f>
        <v/>
      </c>
      <c r="AN1946" s="34" t="str">
        <f aca="false">IF($B1946="","",COUNTIF($F1946:$AJ1946,"L"))</f>
        <v/>
      </c>
      <c r="AO1946" s="34" t="str">
        <f aca="false">IF($B1946="","",COUNTIF($F1946:$AJ1946,"PL"))</f>
        <v/>
      </c>
      <c r="AP1946" s="34" t="str">
        <f aca="false">IF($B1946="","",COUNTIF($F1946:$AJ1946,"CL"))</f>
        <v/>
      </c>
      <c r="AQ1946" s="34" t="str">
        <f aca="false">IF($B1946="","",COUNTIF($F1946:$AJ1946,"SL"))</f>
        <v/>
      </c>
      <c r="AR1946" s="34" t="str">
        <f aca="false">IF($B1946="","",COUNTIF($F1946:$AJ1946,"CO"))</f>
        <v/>
      </c>
      <c r="AS1946" s="34" t="str">
        <f aca="false">IF($B1946="","",COUNTIF($F1946:$AJ1946,"HPL"))</f>
        <v/>
      </c>
      <c r="AT1946" s="34" t="str">
        <f aca="false">IF($B1946="","",COUNTIF($F1946:$AJ1946,"HCL"))</f>
        <v/>
      </c>
      <c r="AU1946" s="34" t="str">
        <f aca="false">IF($B1946="","",COUNTIF($F1946:$AJ1946,"WO"))</f>
        <v/>
      </c>
      <c r="AV1946" s="34" t="str">
        <f aca="false">IF($B1946="","",COUNTIF($F1946:$AJ1946,"PH"))</f>
        <v/>
      </c>
      <c r="AW1946" s="34" t="str">
        <f aca="false">IF($B1946="","",COUNTIF($F1946:$AJ1946,"TR"))</f>
        <v/>
      </c>
      <c r="AX1946" s="35" t="str">
        <f aca="false">IF($B1946="","",AO1946+AS1946/2)</f>
        <v/>
      </c>
      <c r="AY1946" s="35" t="str">
        <f aca="false">IF($B1946="","",AQ1946)</f>
        <v/>
      </c>
      <c r="AZ1946" s="35" t="str">
        <f aca="false">IF($B1946="","",AP1946+AT1946/2)</f>
        <v/>
      </c>
      <c r="BA1946" s="35" t="str">
        <f aca="false">IF($B1946="","",AK1946+AN1946+AM1946/2+AO1946+AP1946+AQ1946+AR1946+AS1946+AT1946+AU1946+AV1946+AW1946)</f>
        <v/>
      </c>
      <c r="BB1946" s="35" t="str">
        <f aca="false">IF($B1946="","",MAX(0,AN1946-Settings!$C$16)*Settings!$C$17)</f>
        <v/>
      </c>
      <c r="BC1946" s="35" t="str">
        <f aca="false">IF($B1946="","",BA1946-BB1946)</f>
        <v/>
      </c>
      <c r="BD1946" s="35" t="str">
        <f aca="false">IF(OR($B1946="",$A1946=""),"",DAY(EOMONTH($A1946,0))-COUNTA($F1946:$AJ1946))</f>
        <v/>
      </c>
    </row>
    <row r="1947" customFormat="false" ht="15" hidden="false" customHeight="false" outlineLevel="0" collapsed="false">
      <c r="A1947" s="32"/>
      <c r="B1947" s="29"/>
      <c r="C1947" s="10" t="str">
        <f aca="false">IF($B1947="","",IFERROR(INDEX(M_name,MATCH($B1947,M_emp,0)),"Code not found"))</f>
        <v/>
      </c>
      <c r="D1947" s="10" t="str">
        <f aca="false">IF($B1947="","",IFERROR(INDEX(M_dept,MATCH($B1947,M_emp,0)),""))</f>
        <v/>
      </c>
      <c r="E1947" s="10" t="str">
        <f aca="false">IF($B1947="","",IFERROR(INDEX(M_loc,MATCH($B1947,M_emp,0)),""))</f>
        <v/>
      </c>
      <c r="F1947" s="33"/>
      <c r="G1947" s="33"/>
      <c r="H1947" s="33"/>
      <c r="I1947" s="33"/>
      <c r="J1947" s="33"/>
      <c r="K1947" s="33"/>
      <c r="L1947" s="33"/>
      <c r="M1947" s="33"/>
      <c r="N1947" s="33"/>
      <c r="O1947" s="33"/>
      <c r="P1947" s="33"/>
      <c r="Q1947" s="33"/>
      <c r="R1947" s="33"/>
      <c r="S1947" s="33"/>
      <c r="T1947" s="33"/>
      <c r="U1947" s="33"/>
      <c r="V1947" s="33"/>
      <c r="W1947" s="33"/>
      <c r="X1947" s="33"/>
      <c r="Y1947" s="33"/>
      <c r="Z1947" s="33"/>
      <c r="AA1947" s="33"/>
      <c r="AB1947" s="33"/>
      <c r="AC1947" s="33"/>
      <c r="AD1947" s="33"/>
      <c r="AE1947" s="33"/>
      <c r="AF1947" s="33"/>
      <c r="AG1947" s="33"/>
      <c r="AH1947" s="33"/>
      <c r="AI1947" s="33"/>
      <c r="AJ1947" s="33"/>
      <c r="AK1947" s="34" t="str">
        <f aca="false">IF($B1947="","",COUNTIF($F1947:$AJ1947,"P"))</f>
        <v/>
      </c>
      <c r="AL1947" s="34" t="str">
        <f aca="false">IF($B1947="","",COUNTIF($F1947:$AJ1947,"A"))</f>
        <v/>
      </c>
      <c r="AM1947" s="34" t="str">
        <f aca="false">IF($B1947="","",COUNTIF($F1947:$AJ1947,"HA"))</f>
        <v/>
      </c>
      <c r="AN1947" s="34" t="str">
        <f aca="false">IF($B1947="","",COUNTIF($F1947:$AJ1947,"L"))</f>
        <v/>
      </c>
      <c r="AO1947" s="34" t="str">
        <f aca="false">IF($B1947="","",COUNTIF($F1947:$AJ1947,"PL"))</f>
        <v/>
      </c>
      <c r="AP1947" s="34" t="str">
        <f aca="false">IF($B1947="","",COUNTIF($F1947:$AJ1947,"CL"))</f>
        <v/>
      </c>
      <c r="AQ1947" s="34" t="str">
        <f aca="false">IF($B1947="","",COUNTIF($F1947:$AJ1947,"SL"))</f>
        <v/>
      </c>
      <c r="AR1947" s="34" t="str">
        <f aca="false">IF($B1947="","",COUNTIF($F1947:$AJ1947,"CO"))</f>
        <v/>
      </c>
      <c r="AS1947" s="34" t="str">
        <f aca="false">IF($B1947="","",COUNTIF($F1947:$AJ1947,"HPL"))</f>
        <v/>
      </c>
      <c r="AT1947" s="34" t="str">
        <f aca="false">IF($B1947="","",COUNTIF($F1947:$AJ1947,"HCL"))</f>
        <v/>
      </c>
      <c r="AU1947" s="34" t="str">
        <f aca="false">IF($B1947="","",COUNTIF($F1947:$AJ1947,"WO"))</f>
        <v/>
      </c>
      <c r="AV1947" s="34" t="str">
        <f aca="false">IF($B1947="","",COUNTIF($F1947:$AJ1947,"PH"))</f>
        <v/>
      </c>
      <c r="AW1947" s="34" t="str">
        <f aca="false">IF($B1947="","",COUNTIF($F1947:$AJ1947,"TR"))</f>
        <v/>
      </c>
      <c r="AX1947" s="35" t="str">
        <f aca="false">IF($B1947="","",AO1947+AS1947/2)</f>
        <v/>
      </c>
      <c r="AY1947" s="35" t="str">
        <f aca="false">IF($B1947="","",AQ1947)</f>
        <v/>
      </c>
      <c r="AZ1947" s="35" t="str">
        <f aca="false">IF($B1947="","",AP1947+AT1947/2)</f>
        <v/>
      </c>
      <c r="BA1947" s="35" t="str">
        <f aca="false">IF($B1947="","",AK1947+AN1947+AM1947/2+AO1947+AP1947+AQ1947+AR1947+AS1947+AT1947+AU1947+AV1947+AW1947)</f>
        <v/>
      </c>
      <c r="BB1947" s="35" t="str">
        <f aca="false">IF($B1947="","",MAX(0,AN1947-Settings!$C$16)*Settings!$C$17)</f>
        <v/>
      </c>
      <c r="BC1947" s="35" t="str">
        <f aca="false">IF($B1947="","",BA1947-BB1947)</f>
        <v/>
      </c>
      <c r="BD1947" s="35" t="str">
        <f aca="false">IF(OR($B1947="",$A1947=""),"",DAY(EOMONTH($A1947,0))-COUNTA($F1947:$AJ1947))</f>
        <v/>
      </c>
    </row>
    <row r="1948" customFormat="false" ht="15" hidden="false" customHeight="false" outlineLevel="0" collapsed="false">
      <c r="A1948" s="32"/>
      <c r="B1948" s="29"/>
      <c r="C1948" s="10" t="str">
        <f aca="false">IF($B1948="","",IFERROR(INDEX(M_name,MATCH($B1948,M_emp,0)),"Code not found"))</f>
        <v/>
      </c>
      <c r="D1948" s="10" t="str">
        <f aca="false">IF($B1948="","",IFERROR(INDEX(M_dept,MATCH($B1948,M_emp,0)),""))</f>
        <v/>
      </c>
      <c r="E1948" s="10" t="str">
        <f aca="false">IF($B1948="","",IFERROR(INDEX(M_loc,MATCH($B1948,M_emp,0)),""))</f>
        <v/>
      </c>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c r="AB1948" s="33"/>
      <c r="AC1948" s="33"/>
      <c r="AD1948" s="33"/>
      <c r="AE1948" s="33"/>
      <c r="AF1948" s="33"/>
      <c r="AG1948" s="33"/>
      <c r="AH1948" s="33"/>
      <c r="AI1948" s="33"/>
      <c r="AJ1948" s="33"/>
      <c r="AK1948" s="34" t="str">
        <f aca="false">IF($B1948="","",COUNTIF($F1948:$AJ1948,"P"))</f>
        <v/>
      </c>
      <c r="AL1948" s="34" t="str">
        <f aca="false">IF($B1948="","",COUNTIF($F1948:$AJ1948,"A"))</f>
        <v/>
      </c>
      <c r="AM1948" s="34" t="str">
        <f aca="false">IF($B1948="","",COUNTIF($F1948:$AJ1948,"HA"))</f>
        <v/>
      </c>
      <c r="AN1948" s="34" t="str">
        <f aca="false">IF($B1948="","",COUNTIF($F1948:$AJ1948,"L"))</f>
        <v/>
      </c>
      <c r="AO1948" s="34" t="str">
        <f aca="false">IF($B1948="","",COUNTIF($F1948:$AJ1948,"PL"))</f>
        <v/>
      </c>
      <c r="AP1948" s="34" t="str">
        <f aca="false">IF($B1948="","",COUNTIF($F1948:$AJ1948,"CL"))</f>
        <v/>
      </c>
      <c r="AQ1948" s="34" t="str">
        <f aca="false">IF($B1948="","",COUNTIF($F1948:$AJ1948,"SL"))</f>
        <v/>
      </c>
      <c r="AR1948" s="34" t="str">
        <f aca="false">IF($B1948="","",COUNTIF($F1948:$AJ1948,"CO"))</f>
        <v/>
      </c>
      <c r="AS1948" s="34" t="str">
        <f aca="false">IF($B1948="","",COUNTIF($F1948:$AJ1948,"HPL"))</f>
        <v/>
      </c>
      <c r="AT1948" s="34" t="str">
        <f aca="false">IF($B1948="","",COUNTIF($F1948:$AJ1948,"HCL"))</f>
        <v/>
      </c>
      <c r="AU1948" s="34" t="str">
        <f aca="false">IF($B1948="","",COUNTIF($F1948:$AJ1948,"WO"))</f>
        <v/>
      </c>
      <c r="AV1948" s="34" t="str">
        <f aca="false">IF($B1948="","",COUNTIF($F1948:$AJ1948,"PH"))</f>
        <v/>
      </c>
      <c r="AW1948" s="34" t="str">
        <f aca="false">IF($B1948="","",COUNTIF($F1948:$AJ1948,"TR"))</f>
        <v/>
      </c>
      <c r="AX1948" s="35" t="str">
        <f aca="false">IF($B1948="","",AO1948+AS1948/2)</f>
        <v/>
      </c>
      <c r="AY1948" s="35" t="str">
        <f aca="false">IF($B1948="","",AQ1948)</f>
        <v/>
      </c>
      <c r="AZ1948" s="35" t="str">
        <f aca="false">IF($B1948="","",AP1948+AT1948/2)</f>
        <v/>
      </c>
      <c r="BA1948" s="35" t="str">
        <f aca="false">IF($B1948="","",AK1948+AN1948+AM1948/2+AO1948+AP1948+AQ1948+AR1948+AS1948+AT1948+AU1948+AV1948+AW1948)</f>
        <v/>
      </c>
      <c r="BB1948" s="35" t="str">
        <f aca="false">IF($B1948="","",MAX(0,AN1948-Settings!$C$16)*Settings!$C$17)</f>
        <v/>
      </c>
      <c r="BC1948" s="35" t="str">
        <f aca="false">IF($B1948="","",BA1948-BB1948)</f>
        <v/>
      </c>
      <c r="BD1948" s="35" t="str">
        <f aca="false">IF(OR($B1948="",$A1948=""),"",DAY(EOMONTH($A1948,0))-COUNTA($F1948:$AJ1948))</f>
        <v/>
      </c>
    </row>
    <row r="1949" customFormat="false" ht="15" hidden="false" customHeight="false" outlineLevel="0" collapsed="false">
      <c r="A1949" s="32"/>
      <c r="B1949" s="29"/>
      <c r="C1949" s="10" t="str">
        <f aca="false">IF($B1949="","",IFERROR(INDEX(M_name,MATCH($B1949,M_emp,0)),"Code not found"))</f>
        <v/>
      </c>
      <c r="D1949" s="10" t="str">
        <f aca="false">IF($B1949="","",IFERROR(INDEX(M_dept,MATCH($B1949,M_emp,0)),""))</f>
        <v/>
      </c>
      <c r="E1949" s="10" t="str">
        <f aca="false">IF($B1949="","",IFERROR(INDEX(M_loc,MATCH($B1949,M_emp,0)),""))</f>
        <v/>
      </c>
      <c r="F1949" s="33"/>
      <c r="G1949" s="33"/>
      <c r="H1949" s="33"/>
      <c r="I1949" s="33"/>
      <c r="J1949" s="33"/>
      <c r="K1949" s="33"/>
      <c r="L1949" s="33"/>
      <c r="M1949" s="33"/>
      <c r="N1949" s="33"/>
      <c r="O1949" s="33"/>
      <c r="P1949" s="33"/>
      <c r="Q1949" s="33"/>
      <c r="R1949" s="33"/>
      <c r="S1949" s="33"/>
      <c r="T1949" s="33"/>
      <c r="U1949" s="33"/>
      <c r="V1949" s="33"/>
      <c r="W1949" s="33"/>
      <c r="X1949" s="33"/>
      <c r="Y1949" s="33"/>
      <c r="Z1949" s="33"/>
      <c r="AA1949" s="33"/>
      <c r="AB1949" s="33"/>
      <c r="AC1949" s="33"/>
      <c r="AD1949" s="33"/>
      <c r="AE1949" s="33"/>
      <c r="AF1949" s="33"/>
      <c r="AG1949" s="33"/>
      <c r="AH1949" s="33"/>
      <c r="AI1949" s="33"/>
      <c r="AJ1949" s="33"/>
      <c r="AK1949" s="34" t="str">
        <f aca="false">IF($B1949="","",COUNTIF($F1949:$AJ1949,"P"))</f>
        <v/>
      </c>
      <c r="AL1949" s="34" t="str">
        <f aca="false">IF($B1949="","",COUNTIF($F1949:$AJ1949,"A"))</f>
        <v/>
      </c>
      <c r="AM1949" s="34" t="str">
        <f aca="false">IF($B1949="","",COUNTIF($F1949:$AJ1949,"HA"))</f>
        <v/>
      </c>
      <c r="AN1949" s="34" t="str">
        <f aca="false">IF($B1949="","",COUNTIF($F1949:$AJ1949,"L"))</f>
        <v/>
      </c>
      <c r="AO1949" s="34" t="str">
        <f aca="false">IF($B1949="","",COUNTIF($F1949:$AJ1949,"PL"))</f>
        <v/>
      </c>
      <c r="AP1949" s="34" t="str">
        <f aca="false">IF($B1949="","",COUNTIF($F1949:$AJ1949,"CL"))</f>
        <v/>
      </c>
      <c r="AQ1949" s="34" t="str">
        <f aca="false">IF($B1949="","",COUNTIF($F1949:$AJ1949,"SL"))</f>
        <v/>
      </c>
      <c r="AR1949" s="34" t="str">
        <f aca="false">IF($B1949="","",COUNTIF($F1949:$AJ1949,"CO"))</f>
        <v/>
      </c>
      <c r="AS1949" s="34" t="str">
        <f aca="false">IF($B1949="","",COUNTIF($F1949:$AJ1949,"HPL"))</f>
        <v/>
      </c>
      <c r="AT1949" s="34" t="str">
        <f aca="false">IF($B1949="","",COUNTIF($F1949:$AJ1949,"HCL"))</f>
        <v/>
      </c>
      <c r="AU1949" s="34" t="str">
        <f aca="false">IF($B1949="","",COUNTIF($F1949:$AJ1949,"WO"))</f>
        <v/>
      </c>
      <c r="AV1949" s="34" t="str">
        <f aca="false">IF($B1949="","",COUNTIF($F1949:$AJ1949,"PH"))</f>
        <v/>
      </c>
      <c r="AW1949" s="34" t="str">
        <f aca="false">IF($B1949="","",COUNTIF($F1949:$AJ1949,"TR"))</f>
        <v/>
      </c>
      <c r="AX1949" s="35" t="str">
        <f aca="false">IF($B1949="","",AO1949+AS1949/2)</f>
        <v/>
      </c>
      <c r="AY1949" s="35" t="str">
        <f aca="false">IF($B1949="","",AQ1949)</f>
        <v/>
      </c>
      <c r="AZ1949" s="35" t="str">
        <f aca="false">IF($B1949="","",AP1949+AT1949/2)</f>
        <v/>
      </c>
      <c r="BA1949" s="35" t="str">
        <f aca="false">IF($B1949="","",AK1949+AN1949+AM1949/2+AO1949+AP1949+AQ1949+AR1949+AS1949+AT1949+AU1949+AV1949+AW1949)</f>
        <v/>
      </c>
      <c r="BB1949" s="35" t="str">
        <f aca="false">IF($B1949="","",MAX(0,AN1949-Settings!$C$16)*Settings!$C$17)</f>
        <v/>
      </c>
      <c r="BC1949" s="35" t="str">
        <f aca="false">IF($B1949="","",BA1949-BB1949)</f>
        <v/>
      </c>
      <c r="BD1949" s="35" t="str">
        <f aca="false">IF(OR($B1949="",$A1949=""),"",DAY(EOMONTH($A1949,0))-COUNTA($F1949:$AJ1949))</f>
        <v/>
      </c>
    </row>
    <row r="1950" customFormat="false" ht="15" hidden="false" customHeight="false" outlineLevel="0" collapsed="false">
      <c r="A1950" s="32"/>
      <c r="B1950" s="29"/>
      <c r="C1950" s="10" t="str">
        <f aca="false">IF($B1950="","",IFERROR(INDEX(M_name,MATCH($B1950,M_emp,0)),"Code not found"))</f>
        <v/>
      </c>
      <c r="D1950" s="10" t="str">
        <f aca="false">IF($B1950="","",IFERROR(INDEX(M_dept,MATCH($B1950,M_emp,0)),""))</f>
        <v/>
      </c>
      <c r="E1950" s="10" t="str">
        <f aca="false">IF($B1950="","",IFERROR(INDEX(M_loc,MATCH($B1950,M_emp,0)),""))</f>
        <v/>
      </c>
      <c r="F1950" s="33"/>
      <c r="G1950" s="33"/>
      <c r="H1950" s="33"/>
      <c r="I1950" s="33"/>
      <c r="J1950" s="33"/>
      <c r="K1950" s="33"/>
      <c r="L1950" s="33"/>
      <c r="M1950" s="33"/>
      <c r="N1950" s="33"/>
      <c r="O1950" s="33"/>
      <c r="P1950" s="33"/>
      <c r="Q1950" s="33"/>
      <c r="R1950" s="33"/>
      <c r="S1950" s="33"/>
      <c r="T1950" s="33"/>
      <c r="U1950" s="33"/>
      <c r="V1950" s="33"/>
      <c r="W1950" s="33"/>
      <c r="X1950" s="33"/>
      <c r="Y1950" s="33"/>
      <c r="Z1950" s="33"/>
      <c r="AA1950" s="33"/>
      <c r="AB1950" s="33"/>
      <c r="AC1950" s="33"/>
      <c r="AD1950" s="33"/>
      <c r="AE1950" s="33"/>
      <c r="AF1950" s="33"/>
      <c r="AG1950" s="33"/>
      <c r="AH1950" s="33"/>
      <c r="AI1950" s="33"/>
      <c r="AJ1950" s="33"/>
      <c r="AK1950" s="34" t="str">
        <f aca="false">IF($B1950="","",COUNTIF($F1950:$AJ1950,"P"))</f>
        <v/>
      </c>
      <c r="AL1950" s="34" t="str">
        <f aca="false">IF($B1950="","",COUNTIF($F1950:$AJ1950,"A"))</f>
        <v/>
      </c>
      <c r="AM1950" s="34" t="str">
        <f aca="false">IF($B1950="","",COUNTIF($F1950:$AJ1950,"HA"))</f>
        <v/>
      </c>
      <c r="AN1950" s="34" t="str">
        <f aca="false">IF($B1950="","",COUNTIF($F1950:$AJ1950,"L"))</f>
        <v/>
      </c>
      <c r="AO1950" s="34" t="str">
        <f aca="false">IF($B1950="","",COUNTIF($F1950:$AJ1950,"PL"))</f>
        <v/>
      </c>
      <c r="AP1950" s="34" t="str">
        <f aca="false">IF($B1950="","",COUNTIF($F1950:$AJ1950,"CL"))</f>
        <v/>
      </c>
      <c r="AQ1950" s="34" t="str">
        <f aca="false">IF($B1950="","",COUNTIF($F1950:$AJ1950,"SL"))</f>
        <v/>
      </c>
      <c r="AR1950" s="34" t="str">
        <f aca="false">IF($B1950="","",COUNTIF($F1950:$AJ1950,"CO"))</f>
        <v/>
      </c>
      <c r="AS1950" s="34" t="str">
        <f aca="false">IF($B1950="","",COUNTIF($F1950:$AJ1950,"HPL"))</f>
        <v/>
      </c>
      <c r="AT1950" s="34" t="str">
        <f aca="false">IF($B1950="","",COUNTIF($F1950:$AJ1950,"HCL"))</f>
        <v/>
      </c>
      <c r="AU1950" s="34" t="str">
        <f aca="false">IF($B1950="","",COUNTIF($F1950:$AJ1950,"WO"))</f>
        <v/>
      </c>
      <c r="AV1950" s="34" t="str">
        <f aca="false">IF($B1950="","",COUNTIF($F1950:$AJ1950,"PH"))</f>
        <v/>
      </c>
      <c r="AW1950" s="34" t="str">
        <f aca="false">IF($B1950="","",COUNTIF($F1950:$AJ1950,"TR"))</f>
        <v/>
      </c>
      <c r="AX1950" s="35" t="str">
        <f aca="false">IF($B1950="","",AO1950+AS1950/2)</f>
        <v/>
      </c>
      <c r="AY1950" s="35" t="str">
        <f aca="false">IF($B1950="","",AQ1950)</f>
        <v/>
      </c>
      <c r="AZ1950" s="35" t="str">
        <f aca="false">IF($B1950="","",AP1950+AT1950/2)</f>
        <v/>
      </c>
      <c r="BA1950" s="35" t="str">
        <f aca="false">IF($B1950="","",AK1950+AN1950+AM1950/2+AO1950+AP1950+AQ1950+AR1950+AS1950+AT1950+AU1950+AV1950+AW1950)</f>
        <v/>
      </c>
      <c r="BB1950" s="35" t="str">
        <f aca="false">IF($B1950="","",MAX(0,AN1950-Settings!$C$16)*Settings!$C$17)</f>
        <v/>
      </c>
      <c r="BC1950" s="35" t="str">
        <f aca="false">IF($B1950="","",BA1950-BB1950)</f>
        <v/>
      </c>
      <c r="BD1950" s="35" t="str">
        <f aca="false">IF(OR($B1950="",$A1950=""),"",DAY(EOMONTH($A1950,0))-COUNTA($F1950:$AJ1950))</f>
        <v/>
      </c>
    </row>
    <row r="1951" customFormat="false" ht="15" hidden="false" customHeight="false" outlineLevel="0" collapsed="false">
      <c r="A1951" s="32"/>
      <c r="B1951" s="29"/>
      <c r="C1951" s="10" t="str">
        <f aca="false">IF($B1951="","",IFERROR(INDEX(M_name,MATCH($B1951,M_emp,0)),"Code not found"))</f>
        <v/>
      </c>
      <c r="D1951" s="10" t="str">
        <f aca="false">IF($B1951="","",IFERROR(INDEX(M_dept,MATCH($B1951,M_emp,0)),""))</f>
        <v/>
      </c>
      <c r="E1951" s="10" t="str">
        <f aca="false">IF($B1951="","",IFERROR(INDEX(M_loc,MATCH($B1951,M_emp,0)),""))</f>
        <v/>
      </c>
      <c r="F1951" s="33"/>
      <c r="G1951" s="33"/>
      <c r="H1951" s="33"/>
      <c r="I1951" s="33"/>
      <c r="J1951" s="33"/>
      <c r="K1951" s="33"/>
      <c r="L1951" s="33"/>
      <c r="M1951" s="33"/>
      <c r="N1951" s="33"/>
      <c r="O1951" s="33"/>
      <c r="P1951" s="33"/>
      <c r="Q1951" s="33"/>
      <c r="R1951" s="33"/>
      <c r="S1951" s="33"/>
      <c r="T1951" s="33"/>
      <c r="U1951" s="33"/>
      <c r="V1951" s="33"/>
      <c r="W1951" s="33"/>
      <c r="X1951" s="33"/>
      <c r="Y1951" s="33"/>
      <c r="Z1951" s="33"/>
      <c r="AA1951" s="33"/>
      <c r="AB1951" s="33"/>
      <c r="AC1951" s="33"/>
      <c r="AD1951" s="33"/>
      <c r="AE1951" s="33"/>
      <c r="AF1951" s="33"/>
      <c r="AG1951" s="33"/>
      <c r="AH1951" s="33"/>
      <c r="AI1951" s="33"/>
      <c r="AJ1951" s="33"/>
      <c r="AK1951" s="34" t="str">
        <f aca="false">IF($B1951="","",COUNTIF($F1951:$AJ1951,"P"))</f>
        <v/>
      </c>
      <c r="AL1951" s="34" t="str">
        <f aca="false">IF($B1951="","",COUNTIF($F1951:$AJ1951,"A"))</f>
        <v/>
      </c>
      <c r="AM1951" s="34" t="str">
        <f aca="false">IF($B1951="","",COUNTIF($F1951:$AJ1951,"HA"))</f>
        <v/>
      </c>
      <c r="AN1951" s="34" t="str">
        <f aca="false">IF($B1951="","",COUNTIF($F1951:$AJ1951,"L"))</f>
        <v/>
      </c>
      <c r="AO1951" s="34" t="str">
        <f aca="false">IF($B1951="","",COUNTIF($F1951:$AJ1951,"PL"))</f>
        <v/>
      </c>
      <c r="AP1951" s="34" t="str">
        <f aca="false">IF($B1951="","",COUNTIF($F1951:$AJ1951,"CL"))</f>
        <v/>
      </c>
      <c r="AQ1951" s="34" t="str">
        <f aca="false">IF($B1951="","",COUNTIF($F1951:$AJ1951,"SL"))</f>
        <v/>
      </c>
      <c r="AR1951" s="34" t="str">
        <f aca="false">IF($B1951="","",COUNTIF($F1951:$AJ1951,"CO"))</f>
        <v/>
      </c>
      <c r="AS1951" s="34" t="str">
        <f aca="false">IF($B1951="","",COUNTIF($F1951:$AJ1951,"HPL"))</f>
        <v/>
      </c>
      <c r="AT1951" s="34" t="str">
        <f aca="false">IF($B1951="","",COUNTIF($F1951:$AJ1951,"HCL"))</f>
        <v/>
      </c>
      <c r="AU1951" s="34" t="str">
        <f aca="false">IF($B1951="","",COUNTIF($F1951:$AJ1951,"WO"))</f>
        <v/>
      </c>
      <c r="AV1951" s="34" t="str">
        <f aca="false">IF($B1951="","",COUNTIF($F1951:$AJ1951,"PH"))</f>
        <v/>
      </c>
      <c r="AW1951" s="34" t="str">
        <f aca="false">IF($B1951="","",COUNTIF($F1951:$AJ1951,"TR"))</f>
        <v/>
      </c>
      <c r="AX1951" s="35" t="str">
        <f aca="false">IF($B1951="","",AO1951+AS1951/2)</f>
        <v/>
      </c>
      <c r="AY1951" s="35" t="str">
        <f aca="false">IF($B1951="","",AQ1951)</f>
        <v/>
      </c>
      <c r="AZ1951" s="35" t="str">
        <f aca="false">IF($B1951="","",AP1951+AT1951/2)</f>
        <v/>
      </c>
      <c r="BA1951" s="35" t="str">
        <f aca="false">IF($B1951="","",AK1951+AN1951+AM1951/2+AO1951+AP1951+AQ1951+AR1951+AS1951+AT1951+AU1951+AV1951+AW1951)</f>
        <v/>
      </c>
      <c r="BB1951" s="35" t="str">
        <f aca="false">IF($B1951="","",MAX(0,AN1951-Settings!$C$16)*Settings!$C$17)</f>
        <v/>
      </c>
      <c r="BC1951" s="35" t="str">
        <f aca="false">IF($B1951="","",BA1951-BB1951)</f>
        <v/>
      </c>
      <c r="BD1951" s="35" t="str">
        <f aca="false">IF(OR($B1951="",$A1951=""),"",DAY(EOMONTH($A1951,0))-COUNTA($F1951:$AJ1951))</f>
        <v/>
      </c>
    </row>
    <row r="1952" customFormat="false" ht="15" hidden="false" customHeight="false" outlineLevel="0" collapsed="false">
      <c r="A1952" s="32"/>
      <c r="B1952" s="29"/>
      <c r="C1952" s="10" t="str">
        <f aca="false">IF($B1952="","",IFERROR(INDEX(M_name,MATCH($B1952,M_emp,0)),"Code not found"))</f>
        <v/>
      </c>
      <c r="D1952" s="10" t="str">
        <f aca="false">IF($B1952="","",IFERROR(INDEX(M_dept,MATCH($B1952,M_emp,0)),""))</f>
        <v/>
      </c>
      <c r="E1952" s="10" t="str">
        <f aca="false">IF($B1952="","",IFERROR(INDEX(M_loc,MATCH($B1952,M_emp,0)),""))</f>
        <v/>
      </c>
      <c r="F1952" s="33"/>
      <c r="G1952" s="33"/>
      <c r="H1952" s="33"/>
      <c r="I1952" s="33"/>
      <c r="J1952" s="33"/>
      <c r="K1952" s="33"/>
      <c r="L1952" s="33"/>
      <c r="M1952" s="33"/>
      <c r="N1952" s="33"/>
      <c r="O1952" s="33"/>
      <c r="P1952" s="33"/>
      <c r="Q1952" s="33"/>
      <c r="R1952" s="33"/>
      <c r="S1952" s="33"/>
      <c r="T1952" s="33"/>
      <c r="U1952" s="33"/>
      <c r="V1952" s="33"/>
      <c r="W1952" s="33"/>
      <c r="X1952" s="33"/>
      <c r="Y1952" s="33"/>
      <c r="Z1952" s="33"/>
      <c r="AA1952" s="33"/>
      <c r="AB1952" s="33"/>
      <c r="AC1952" s="33"/>
      <c r="AD1952" s="33"/>
      <c r="AE1952" s="33"/>
      <c r="AF1952" s="33"/>
      <c r="AG1952" s="33"/>
      <c r="AH1952" s="33"/>
      <c r="AI1952" s="33"/>
      <c r="AJ1952" s="33"/>
      <c r="AK1952" s="34" t="str">
        <f aca="false">IF($B1952="","",COUNTIF($F1952:$AJ1952,"P"))</f>
        <v/>
      </c>
      <c r="AL1952" s="34" t="str">
        <f aca="false">IF($B1952="","",COUNTIF($F1952:$AJ1952,"A"))</f>
        <v/>
      </c>
      <c r="AM1952" s="34" t="str">
        <f aca="false">IF($B1952="","",COUNTIF($F1952:$AJ1952,"HA"))</f>
        <v/>
      </c>
      <c r="AN1952" s="34" t="str">
        <f aca="false">IF($B1952="","",COUNTIF($F1952:$AJ1952,"L"))</f>
        <v/>
      </c>
      <c r="AO1952" s="34" t="str">
        <f aca="false">IF($B1952="","",COUNTIF($F1952:$AJ1952,"PL"))</f>
        <v/>
      </c>
      <c r="AP1952" s="34" t="str">
        <f aca="false">IF($B1952="","",COUNTIF($F1952:$AJ1952,"CL"))</f>
        <v/>
      </c>
      <c r="AQ1952" s="34" t="str">
        <f aca="false">IF($B1952="","",COUNTIF($F1952:$AJ1952,"SL"))</f>
        <v/>
      </c>
      <c r="AR1952" s="34" t="str">
        <f aca="false">IF($B1952="","",COUNTIF($F1952:$AJ1952,"CO"))</f>
        <v/>
      </c>
      <c r="AS1952" s="34" t="str">
        <f aca="false">IF($B1952="","",COUNTIF($F1952:$AJ1952,"HPL"))</f>
        <v/>
      </c>
      <c r="AT1952" s="34" t="str">
        <f aca="false">IF($B1952="","",COUNTIF($F1952:$AJ1952,"HCL"))</f>
        <v/>
      </c>
      <c r="AU1952" s="34" t="str">
        <f aca="false">IF($B1952="","",COUNTIF($F1952:$AJ1952,"WO"))</f>
        <v/>
      </c>
      <c r="AV1952" s="34" t="str">
        <f aca="false">IF($B1952="","",COUNTIF($F1952:$AJ1952,"PH"))</f>
        <v/>
      </c>
      <c r="AW1952" s="34" t="str">
        <f aca="false">IF($B1952="","",COUNTIF($F1952:$AJ1952,"TR"))</f>
        <v/>
      </c>
      <c r="AX1952" s="35" t="str">
        <f aca="false">IF($B1952="","",AO1952+AS1952/2)</f>
        <v/>
      </c>
      <c r="AY1952" s="35" t="str">
        <f aca="false">IF($B1952="","",AQ1952)</f>
        <v/>
      </c>
      <c r="AZ1952" s="35" t="str">
        <f aca="false">IF($B1952="","",AP1952+AT1952/2)</f>
        <v/>
      </c>
      <c r="BA1952" s="35" t="str">
        <f aca="false">IF($B1952="","",AK1952+AN1952+AM1952/2+AO1952+AP1952+AQ1952+AR1952+AS1952+AT1952+AU1952+AV1952+AW1952)</f>
        <v/>
      </c>
      <c r="BB1952" s="35" t="str">
        <f aca="false">IF($B1952="","",MAX(0,AN1952-Settings!$C$16)*Settings!$C$17)</f>
        <v/>
      </c>
      <c r="BC1952" s="35" t="str">
        <f aca="false">IF($B1952="","",BA1952-BB1952)</f>
        <v/>
      </c>
      <c r="BD1952" s="35" t="str">
        <f aca="false">IF(OR($B1952="",$A1952=""),"",DAY(EOMONTH($A1952,0))-COUNTA($F1952:$AJ1952))</f>
        <v/>
      </c>
    </row>
    <row r="1953" customFormat="false" ht="15" hidden="false" customHeight="false" outlineLevel="0" collapsed="false">
      <c r="A1953" s="32"/>
      <c r="B1953" s="29"/>
      <c r="C1953" s="10" t="str">
        <f aca="false">IF($B1953="","",IFERROR(INDEX(M_name,MATCH($B1953,M_emp,0)),"Code not found"))</f>
        <v/>
      </c>
      <c r="D1953" s="10" t="str">
        <f aca="false">IF($B1953="","",IFERROR(INDEX(M_dept,MATCH($B1953,M_emp,0)),""))</f>
        <v/>
      </c>
      <c r="E1953" s="10" t="str">
        <f aca="false">IF($B1953="","",IFERROR(INDEX(M_loc,MATCH($B1953,M_emp,0)),""))</f>
        <v/>
      </c>
      <c r="F1953" s="33"/>
      <c r="G1953" s="33"/>
      <c r="H1953" s="33"/>
      <c r="I1953" s="33"/>
      <c r="J1953" s="33"/>
      <c r="K1953" s="33"/>
      <c r="L1953" s="33"/>
      <c r="M1953" s="33"/>
      <c r="N1953" s="33"/>
      <c r="O1953" s="33"/>
      <c r="P1953" s="33"/>
      <c r="Q1953" s="33"/>
      <c r="R1953" s="33"/>
      <c r="S1953" s="33"/>
      <c r="T1953" s="33"/>
      <c r="U1953" s="33"/>
      <c r="V1953" s="33"/>
      <c r="W1953" s="33"/>
      <c r="X1953" s="33"/>
      <c r="Y1953" s="33"/>
      <c r="Z1953" s="33"/>
      <c r="AA1953" s="33"/>
      <c r="AB1953" s="33"/>
      <c r="AC1953" s="33"/>
      <c r="AD1953" s="33"/>
      <c r="AE1953" s="33"/>
      <c r="AF1953" s="33"/>
      <c r="AG1953" s="33"/>
      <c r="AH1953" s="33"/>
      <c r="AI1953" s="33"/>
      <c r="AJ1953" s="33"/>
      <c r="AK1953" s="34" t="str">
        <f aca="false">IF($B1953="","",COUNTIF($F1953:$AJ1953,"P"))</f>
        <v/>
      </c>
      <c r="AL1953" s="34" t="str">
        <f aca="false">IF($B1953="","",COUNTIF($F1953:$AJ1953,"A"))</f>
        <v/>
      </c>
      <c r="AM1953" s="34" t="str">
        <f aca="false">IF($B1953="","",COUNTIF($F1953:$AJ1953,"HA"))</f>
        <v/>
      </c>
      <c r="AN1953" s="34" t="str">
        <f aca="false">IF($B1953="","",COUNTIF($F1953:$AJ1953,"L"))</f>
        <v/>
      </c>
      <c r="AO1953" s="34" t="str">
        <f aca="false">IF($B1953="","",COUNTIF($F1953:$AJ1953,"PL"))</f>
        <v/>
      </c>
      <c r="AP1953" s="34" t="str">
        <f aca="false">IF($B1953="","",COUNTIF($F1953:$AJ1953,"CL"))</f>
        <v/>
      </c>
      <c r="AQ1953" s="34" t="str">
        <f aca="false">IF($B1953="","",COUNTIF($F1953:$AJ1953,"SL"))</f>
        <v/>
      </c>
      <c r="AR1953" s="34" t="str">
        <f aca="false">IF($B1953="","",COUNTIF($F1953:$AJ1953,"CO"))</f>
        <v/>
      </c>
      <c r="AS1953" s="34" t="str">
        <f aca="false">IF($B1953="","",COUNTIF($F1953:$AJ1953,"HPL"))</f>
        <v/>
      </c>
      <c r="AT1953" s="34" t="str">
        <f aca="false">IF($B1953="","",COUNTIF($F1953:$AJ1953,"HCL"))</f>
        <v/>
      </c>
      <c r="AU1953" s="34" t="str">
        <f aca="false">IF($B1953="","",COUNTIF($F1953:$AJ1953,"WO"))</f>
        <v/>
      </c>
      <c r="AV1953" s="34" t="str">
        <f aca="false">IF($B1953="","",COUNTIF($F1953:$AJ1953,"PH"))</f>
        <v/>
      </c>
      <c r="AW1953" s="34" t="str">
        <f aca="false">IF($B1953="","",COUNTIF($F1953:$AJ1953,"TR"))</f>
        <v/>
      </c>
      <c r="AX1953" s="35" t="str">
        <f aca="false">IF($B1953="","",AO1953+AS1953/2)</f>
        <v/>
      </c>
      <c r="AY1953" s="35" t="str">
        <f aca="false">IF($B1953="","",AQ1953)</f>
        <v/>
      </c>
      <c r="AZ1953" s="35" t="str">
        <f aca="false">IF($B1953="","",AP1953+AT1953/2)</f>
        <v/>
      </c>
      <c r="BA1953" s="35" t="str">
        <f aca="false">IF($B1953="","",AK1953+AN1953+AM1953/2+AO1953+AP1953+AQ1953+AR1953+AS1953+AT1953+AU1953+AV1953+AW1953)</f>
        <v/>
      </c>
      <c r="BB1953" s="35" t="str">
        <f aca="false">IF($B1953="","",MAX(0,AN1953-Settings!$C$16)*Settings!$C$17)</f>
        <v/>
      </c>
      <c r="BC1953" s="35" t="str">
        <f aca="false">IF($B1953="","",BA1953-BB1953)</f>
        <v/>
      </c>
      <c r="BD1953" s="35" t="str">
        <f aca="false">IF(OR($B1953="",$A1953=""),"",DAY(EOMONTH($A1953,0))-COUNTA($F1953:$AJ1953))</f>
        <v/>
      </c>
    </row>
    <row r="1954" customFormat="false" ht="15" hidden="false" customHeight="false" outlineLevel="0" collapsed="false">
      <c r="A1954" s="32"/>
      <c r="B1954" s="29"/>
      <c r="C1954" s="10" t="str">
        <f aca="false">IF($B1954="","",IFERROR(INDEX(M_name,MATCH($B1954,M_emp,0)),"Code not found"))</f>
        <v/>
      </c>
      <c r="D1954" s="10" t="str">
        <f aca="false">IF($B1954="","",IFERROR(INDEX(M_dept,MATCH($B1954,M_emp,0)),""))</f>
        <v/>
      </c>
      <c r="E1954" s="10" t="str">
        <f aca="false">IF($B1954="","",IFERROR(INDEX(M_loc,MATCH($B1954,M_emp,0)),""))</f>
        <v/>
      </c>
      <c r="F1954" s="33"/>
      <c r="G1954" s="33"/>
      <c r="H1954" s="33"/>
      <c r="I1954" s="33"/>
      <c r="J1954" s="33"/>
      <c r="K1954" s="33"/>
      <c r="L1954" s="33"/>
      <c r="M1954" s="33"/>
      <c r="N1954" s="33"/>
      <c r="O1954" s="33"/>
      <c r="P1954" s="33"/>
      <c r="Q1954" s="33"/>
      <c r="R1954" s="33"/>
      <c r="S1954" s="33"/>
      <c r="T1954" s="33"/>
      <c r="U1954" s="33"/>
      <c r="V1954" s="33"/>
      <c r="W1954" s="33"/>
      <c r="X1954" s="33"/>
      <c r="Y1954" s="33"/>
      <c r="Z1954" s="33"/>
      <c r="AA1954" s="33"/>
      <c r="AB1954" s="33"/>
      <c r="AC1954" s="33"/>
      <c r="AD1954" s="33"/>
      <c r="AE1954" s="33"/>
      <c r="AF1954" s="33"/>
      <c r="AG1954" s="33"/>
      <c r="AH1954" s="33"/>
      <c r="AI1954" s="33"/>
      <c r="AJ1954" s="33"/>
      <c r="AK1954" s="34" t="str">
        <f aca="false">IF($B1954="","",COUNTIF($F1954:$AJ1954,"P"))</f>
        <v/>
      </c>
      <c r="AL1954" s="34" t="str">
        <f aca="false">IF($B1954="","",COUNTIF($F1954:$AJ1954,"A"))</f>
        <v/>
      </c>
      <c r="AM1954" s="34" t="str">
        <f aca="false">IF($B1954="","",COUNTIF($F1954:$AJ1954,"HA"))</f>
        <v/>
      </c>
      <c r="AN1954" s="34" t="str">
        <f aca="false">IF($B1954="","",COUNTIF($F1954:$AJ1954,"L"))</f>
        <v/>
      </c>
      <c r="AO1954" s="34" t="str">
        <f aca="false">IF($B1954="","",COUNTIF($F1954:$AJ1954,"PL"))</f>
        <v/>
      </c>
      <c r="AP1954" s="34" t="str">
        <f aca="false">IF($B1954="","",COUNTIF($F1954:$AJ1954,"CL"))</f>
        <v/>
      </c>
      <c r="AQ1954" s="34" t="str">
        <f aca="false">IF($B1954="","",COUNTIF($F1954:$AJ1954,"SL"))</f>
        <v/>
      </c>
      <c r="AR1954" s="34" t="str">
        <f aca="false">IF($B1954="","",COUNTIF($F1954:$AJ1954,"CO"))</f>
        <v/>
      </c>
      <c r="AS1954" s="34" t="str">
        <f aca="false">IF($B1954="","",COUNTIF($F1954:$AJ1954,"HPL"))</f>
        <v/>
      </c>
      <c r="AT1954" s="34" t="str">
        <f aca="false">IF($B1954="","",COUNTIF($F1954:$AJ1954,"HCL"))</f>
        <v/>
      </c>
      <c r="AU1954" s="34" t="str">
        <f aca="false">IF($B1954="","",COUNTIF($F1954:$AJ1954,"WO"))</f>
        <v/>
      </c>
      <c r="AV1954" s="34" t="str">
        <f aca="false">IF($B1954="","",COUNTIF($F1954:$AJ1954,"PH"))</f>
        <v/>
      </c>
      <c r="AW1954" s="34" t="str">
        <f aca="false">IF($B1954="","",COUNTIF($F1954:$AJ1954,"TR"))</f>
        <v/>
      </c>
      <c r="AX1954" s="35" t="str">
        <f aca="false">IF($B1954="","",AO1954+AS1954/2)</f>
        <v/>
      </c>
      <c r="AY1954" s="35" t="str">
        <f aca="false">IF($B1954="","",AQ1954)</f>
        <v/>
      </c>
      <c r="AZ1954" s="35" t="str">
        <f aca="false">IF($B1954="","",AP1954+AT1954/2)</f>
        <v/>
      </c>
      <c r="BA1954" s="35" t="str">
        <f aca="false">IF($B1954="","",AK1954+AN1954+AM1954/2+AO1954+AP1954+AQ1954+AR1954+AS1954+AT1954+AU1954+AV1954+AW1954)</f>
        <v/>
      </c>
      <c r="BB1954" s="35" t="str">
        <f aca="false">IF($B1954="","",MAX(0,AN1954-Settings!$C$16)*Settings!$C$17)</f>
        <v/>
      </c>
      <c r="BC1954" s="35" t="str">
        <f aca="false">IF($B1954="","",BA1954-BB1954)</f>
        <v/>
      </c>
      <c r="BD1954" s="35" t="str">
        <f aca="false">IF(OR($B1954="",$A1954=""),"",DAY(EOMONTH($A1954,0))-COUNTA($F1954:$AJ1954))</f>
        <v/>
      </c>
    </row>
    <row r="1955" customFormat="false" ht="15" hidden="false" customHeight="false" outlineLevel="0" collapsed="false">
      <c r="A1955" s="32"/>
      <c r="B1955" s="29"/>
      <c r="C1955" s="10" t="str">
        <f aca="false">IF($B1955="","",IFERROR(INDEX(M_name,MATCH($B1955,M_emp,0)),"Code not found"))</f>
        <v/>
      </c>
      <c r="D1955" s="10" t="str">
        <f aca="false">IF($B1955="","",IFERROR(INDEX(M_dept,MATCH($B1955,M_emp,0)),""))</f>
        <v/>
      </c>
      <c r="E1955" s="10" t="str">
        <f aca="false">IF($B1955="","",IFERROR(INDEX(M_loc,MATCH($B1955,M_emp,0)),""))</f>
        <v/>
      </c>
      <c r="F1955" s="33"/>
      <c r="G1955" s="33"/>
      <c r="H1955" s="33"/>
      <c r="I1955" s="33"/>
      <c r="J1955" s="33"/>
      <c r="K1955" s="33"/>
      <c r="L1955" s="33"/>
      <c r="M1955" s="33"/>
      <c r="N1955" s="33"/>
      <c r="O1955" s="33"/>
      <c r="P1955" s="33"/>
      <c r="Q1955" s="33"/>
      <c r="R1955" s="33"/>
      <c r="S1955" s="33"/>
      <c r="T1955" s="33"/>
      <c r="U1955" s="33"/>
      <c r="V1955" s="33"/>
      <c r="W1955" s="33"/>
      <c r="X1955" s="33"/>
      <c r="Y1955" s="33"/>
      <c r="Z1955" s="33"/>
      <c r="AA1955" s="33"/>
      <c r="AB1955" s="33"/>
      <c r="AC1955" s="33"/>
      <c r="AD1955" s="33"/>
      <c r="AE1955" s="33"/>
      <c r="AF1955" s="33"/>
      <c r="AG1955" s="33"/>
      <c r="AH1955" s="33"/>
      <c r="AI1955" s="33"/>
      <c r="AJ1955" s="33"/>
      <c r="AK1955" s="34" t="str">
        <f aca="false">IF($B1955="","",COUNTIF($F1955:$AJ1955,"P"))</f>
        <v/>
      </c>
      <c r="AL1955" s="34" t="str">
        <f aca="false">IF($B1955="","",COUNTIF($F1955:$AJ1955,"A"))</f>
        <v/>
      </c>
      <c r="AM1955" s="34" t="str">
        <f aca="false">IF($B1955="","",COUNTIF($F1955:$AJ1955,"HA"))</f>
        <v/>
      </c>
      <c r="AN1955" s="34" t="str">
        <f aca="false">IF($B1955="","",COUNTIF($F1955:$AJ1955,"L"))</f>
        <v/>
      </c>
      <c r="AO1955" s="34" t="str">
        <f aca="false">IF($B1955="","",COUNTIF($F1955:$AJ1955,"PL"))</f>
        <v/>
      </c>
      <c r="AP1955" s="34" t="str">
        <f aca="false">IF($B1955="","",COUNTIF($F1955:$AJ1955,"CL"))</f>
        <v/>
      </c>
      <c r="AQ1955" s="34" t="str">
        <f aca="false">IF($B1955="","",COUNTIF($F1955:$AJ1955,"SL"))</f>
        <v/>
      </c>
      <c r="AR1955" s="34" t="str">
        <f aca="false">IF($B1955="","",COUNTIF($F1955:$AJ1955,"CO"))</f>
        <v/>
      </c>
      <c r="AS1955" s="34" t="str">
        <f aca="false">IF($B1955="","",COUNTIF($F1955:$AJ1955,"HPL"))</f>
        <v/>
      </c>
      <c r="AT1955" s="34" t="str">
        <f aca="false">IF($B1955="","",COUNTIF($F1955:$AJ1955,"HCL"))</f>
        <v/>
      </c>
      <c r="AU1955" s="34" t="str">
        <f aca="false">IF($B1955="","",COUNTIF($F1955:$AJ1955,"WO"))</f>
        <v/>
      </c>
      <c r="AV1955" s="34" t="str">
        <f aca="false">IF($B1955="","",COUNTIF($F1955:$AJ1955,"PH"))</f>
        <v/>
      </c>
      <c r="AW1955" s="34" t="str">
        <f aca="false">IF($B1955="","",COUNTIF($F1955:$AJ1955,"TR"))</f>
        <v/>
      </c>
      <c r="AX1955" s="35" t="str">
        <f aca="false">IF($B1955="","",AO1955+AS1955/2)</f>
        <v/>
      </c>
      <c r="AY1955" s="35" t="str">
        <f aca="false">IF($B1955="","",AQ1955)</f>
        <v/>
      </c>
      <c r="AZ1955" s="35" t="str">
        <f aca="false">IF($B1955="","",AP1955+AT1955/2)</f>
        <v/>
      </c>
      <c r="BA1955" s="35" t="str">
        <f aca="false">IF($B1955="","",AK1955+AN1955+AM1955/2+AO1955+AP1955+AQ1955+AR1955+AS1955+AT1955+AU1955+AV1955+AW1955)</f>
        <v/>
      </c>
      <c r="BB1955" s="35" t="str">
        <f aca="false">IF($B1955="","",MAX(0,AN1955-Settings!$C$16)*Settings!$C$17)</f>
        <v/>
      </c>
      <c r="BC1955" s="35" t="str">
        <f aca="false">IF($B1955="","",BA1955-BB1955)</f>
        <v/>
      </c>
      <c r="BD1955" s="35" t="str">
        <f aca="false">IF(OR($B1955="",$A1955=""),"",DAY(EOMONTH($A1955,0))-COUNTA($F1955:$AJ1955))</f>
        <v/>
      </c>
    </row>
    <row r="1956" customFormat="false" ht="15" hidden="false" customHeight="false" outlineLevel="0" collapsed="false">
      <c r="A1956" s="32"/>
      <c r="B1956" s="29"/>
      <c r="C1956" s="10" t="str">
        <f aca="false">IF($B1956="","",IFERROR(INDEX(M_name,MATCH($B1956,M_emp,0)),"Code not found"))</f>
        <v/>
      </c>
      <c r="D1956" s="10" t="str">
        <f aca="false">IF($B1956="","",IFERROR(INDEX(M_dept,MATCH($B1956,M_emp,0)),""))</f>
        <v/>
      </c>
      <c r="E1956" s="10" t="str">
        <f aca="false">IF($B1956="","",IFERROR(INDEX(M_loc,MATCH($B1956,M_emp,0)),""))</f>
        <v/>
      </c>
      <c r="F1956" s="33"/>
      <c r="G1956" s="33"/>
      <c r="H1956" s="33"/>
      <c r="I1956" s="33"/>
      <c r="J1956" s="33"/>
      <c r="K1956" s="33"/>
      <c r="L1956" s="33"/>
      <c r="M1956" s="33"/>
      <c r="N1956" s="33"/>
      <c r="O1956" s="33"/>
      <c r="P1956" s="33"/>
      <c r="Q1956" s="33"/>
      <c r="R1956" s="33"/>
      <c r="S1956" s="33"/>
      <c r="T1956" s="33"/>
      <c r="U1956" s="33"/>
      <c r="V1956" s="33"/>
      <c r="W1956" s="33"/>
      <c r="X1956" s="33"/>
      <c r="Y1956" s="33"/>
      <c r="Z1956" s="33"/>
      <c r="AA1956" s="33"/>
      <c r="AB1956" s="33"/>
      <c r="AC1956" s="33"/>
      <c r="AD1956" s="33"/>
      <c r="AE1956" s="33"/>
      <c r="AF1956" s="33"/>
      <c r="AG1956" s="33"/>
      <c r="AH1956" s="33"/>
      <c r="AI1956" s="33"/>
      <c r="AJ1956" s="33"/>
      <c r="AK1956" s="34" t="str">
        <f aca="false">IF($B1956="","",COUNTIF($F1956:$AJ1956,"P"))</f>
        <v/>
      </c>
      <c r="AL1956" s="34" t="str">
        <f aca="false">IF($B1956="","",COUNTIF($F1956:$AJ1956,"A"))</f>
        <v/>
      </c>
      <c r="AM1956" s="34" t="str">
        <f aca="false">IF($B1956="","",COUNTIF($F1956:$AJ1956,"HA"))</f>
        <v/>
      </c>
      <c r="AN1956" s="34" t="str">
        <f aca="false">IF($B1956="","",COUNTIF($F1956:$AJ1956,"L"))</f>
        <v/>
      </c>
      <c r="AO1956" s="34" t="str">
        <f aca="false">IF($B1956="","",COUNTIF($F1956:$AJ1956,"PL"))</f>
        <v/>
      </c>
      <c r="AP1956" s="34" t="str">
        <f aca="false">IF($B1956="","",COUNTIF($F1956:$AJ1956,"CL"))</f>
        <v/>
      </c>
      <c r="AQ1956" s="34" t="str">
        <f aca="false">IF($B1956="","",COUNTIF($F1956:$AJ1956,"SL"))</f>
        <v/>
      </c>
      <c r="AR1956" s="34" t="str">
        <f aca="false">IF($B1956="","",COUNTIF($F1956:$AJ1956,"CO"))</f>
        <v/>
      </c>
      <c r="AS1956" s="34" t="str">
        <f aca="false">IF($B1956="","",COUNTIF($F1956:$AJ1956,"HPL"))</f>
        <v/>
      </c>
      <c r="AT1956" s="34" t="str">
        <f aca="false">IF($B1956="","",COUNTIF($F1956:$AJ1956,"HCL"))</f>
        <v/>
      </c>
      <c r="AU1956" s="34" t="str">
        <f aca="false">IF($B1956="","",COUNTIF($F1956:$AJ1956,"WO"))</f>
        <v/>
      </c>
      <c r="AV1956" s="34" t="str">
        <f aca="false">IF($B1956="","",COUNTIF($F1956:$AJ1956,"PH"))</f>
        <v/>
      </c>
      <c r="AW1956" s="34" t="str">
        <f aca="false">IF($B1956="","",COUNTIF($F1956:$AJ1956,"TR"))</f>
        <v/>
      </c>
      <c r="AX1956" s="35" t="str">
        <f aca="false">IF($B1956="","",AO1956+AS1956/2)</f>
        <v/>
      </c>
      <c r="AY1956" s="35" t="str">
        <f aca="false">IF($B1956="","",AQ1956)</f>
        <v/>
      </c>
      <c r="AZ1956" s="35" t="str">
        <f aca="false">IF($B1956="","",AP1956+AT1956/2)</f>
        <v/>
      </c>
      <c r="BA1956" s="35" t="str">
        <f aca="false">IF($B1956="","",AK1956+AN1956+AM1956/2+AO1956+AP1956+AQ1956+AR1956+AS1956+AT1956+AU1956+AV1956+AW1956)</f>
        <v/>
      </c>
      <c r="BB1956" s="35" t="str">
        <f aca="false">IF($B1956="","",MAX(0,AN1956-Settings!$C$16)*Settings!$C$17)</f>
        <v/>
      </c>
      <c r="BC1956" s="35" t="str">
        <f aca="false">IF($B1956="","",BA1956-BB1956)</f>
        <v/>
      </c>
      <c r="BD1956" s="35" t="str">
        <f aca="false">IF(OR($B1956="",$A1956=""),"",DAY(EOMONTH($A1956,0))-COUNTA($F1956:$AJ1956))</f>
        <v/>
      </c>
    </row>
    <row r="1957" customFormat="false" ht="15" hidden="false" customHeight="false" outlineLevel="0" collapsed="false">
      <c r="A1957" s="32"/>
      <c r="B1957" s="29"/>
      <c r="C1957" s="10" t="str">
        <f aca="false">IF($B1957="","",IFERROR(INDEX(M_name,MATCH($B1957,M_emp,0)),"Code not found"))</f>
        <v/>
      </c>
      <c r="D1957" s="10" t="str">
        <f aca="false">IF($B1957="","",IFERROR(INDEX(M_dept,MATCH($B1957,M_emp,0)),""))</f>
        <v/>
      </c>
      <c r="E1957" s="10" t="str">
        <f aca="false">IF($B1957="","",IFERROR(INDEX(M_loc,MATCH($B1957,M_emp,0)),""))</f>
        <v/>
      </c>
      <c r="F1957" s="33"/>
      <c r="G1957" s="33"/>
      <c r="H1957" s="33"/>
      <c r="I1957" s="33"/>
      <c r="J1957" s="33"/>
      <c r="K1957" s="33"/>
      <c r="L1957" s="33"/>
      <c r="M1957" s="33"/>
      <c r="N1957" s="33"/>
      <c r="O1957" s="33"/>
      <c r="P1957" s="33"/>
      <c r="Q1957" s="33"/>
      <c r="R1957" s="33"/>
      <c r="S1957" s="33"/>
      <c r="T1957" s="33"/>
      <c r="U1957" s="33"/>
      <c r="V1957" s="33"/>
      <c r="W1957" s="33"/>
      <c r="X1957" s="33"/>
      <c r="Y1957" s="33"/>
      <c r="Z1957" s="33"/>
      <c r="AA1957" s="33"/>
      <c r="AB1957" s="33"/>
      <c r="AC1957" s="33"/>
      <c r="AD1957" s="33"/>
      <c r="AE1957" s="33"/>
      <c r="AF1957" s="33"/>
      <c r="AG1957" s="33"/>
      <c r="AH1957" s="33"/>
      <c r="AI1957" s="33"/>
      <c r="AJ1957" s="33"/>
      <c r="AK1957" s="34" t="str">
        <f aca="false">IF($B1957="","",COUNTIF($F1957:$AJ1957,"P"))</f>
        <v/>
      </c>
      <c r="AL1957" s="34" t="str">
        <f aca="false">IF($B1957="","",COUNTIF($F1957:$AJ1957,"A"))</f>
        <v/>
      </c>
      <c r="AM1957" s="34" t="str">
        <f aca="false">IF($B1957="","",COUNTIF($F1957:$AJ1957,"HA"))</f>
        <v/>
      </c>
      <c r="AN1957" s="34" t="str">
        <f aca="false">IF($B1957="","",COUNTIF($F1957:$AJ1957,"L"))</f>
        <v/>
      </c>
      <c r="AO1957" s="34" t="str">
        <f aca="false">IF($B1957="","",COUNTIF($F1957:$AJ1957,"PL"))</f>
        <v/>
      </c>
      <c r="AP1957" s="34" t="str">
        <f aca="false">IF($B1957="","",COUNTIF($F1957:$AJ1957,"CL"))</f>
        <v/>
      </c>
      <c r="AQ1957" s="34" t="str">
        <f aca="false">IF($B1957="","",COUNTIF($F1957:$AJ1957,"SL"))</f>
        <v/>
      </c>
      <c r="AR1957" s="34" t="str">
        <f aca="false">IF($B1957="","",COUNTIF($F1957:$AJ1957,"CO"))</f>
        <v/>
      </c>
      <c r="AS1957" s="34" t="str">
        <f aca="false">IF($B1957="","",COUNTIF($F1957:$AJ1957,"HPL"))</f>
        <v/>
      </c>
      <c r="AT1957" s="34" t="str">
        <f aca="false">IF($B1957="","",COUNTIF($F1957:$AJ1957,"HCL"))</f>
        <v/>
      </c>
      <c r="AU1957" s="34" t="str">
        <f aca="false">IF($B1957="","",COUNTIF($F1957:$AJ1957,"WO"))</f>
        <v/>
      </c>
      <c r="AV1957" s="34" t="str">
        <f aca="false">IF($B1957="","",COUNTIF($F1957:$AJ1957,"PH"))</f>
        <v/>
      </c>
      <c r="AW1957" s="34" t="str">
        <f aca="false">IF($B1957="","",COUNTIF($F1957:$AJ1957,"TR"))</f>
        <v/>
      </c>
      <c r="AX1957" s="35" t="str">
        <f aca="false">IF($B1957="","",AO1957+AS1957/2)</f>
        <v/>
      </c>
      <c r="AY1957" s="35" t="str">
        <f aca="false">IF($B1957="","",AQ1957)</f>
        <v/>
      </c>
      <c r="AZ1957" s="35" t="str">
        <f aca="false">IF($B1957="","",AP1957+AT1957/2)</f>
        <v/>
      </c>
      <c r="BA1957" s="35" t="str">
        <f aca="false">IF($B1957="","",AK1957+AN1957+AM1957/2+AO1957+AP1957+AQ1957+AR1957+AS1957+AT1957+AU1957+AV1957+AW1957)</f>
        <v/>
      </c>
      <c r="BB1957" s="35" t="str">
        <f aca="false">IF($B1957="","",MAX(0,AN1957-Settings!$C$16)*Settings!$C$17)</f>
        <v/>
      </c>
      <c r="BC1957" s="35" t="str">
        <f aca="false">IF($B1957="","",BA1957-BB1957)</f>
        <v/>
      </c>
      <c r="BD1957" s="35" t="str">
        <f aca="false">IF(OR($B1957="",$A1957=""),"",DAY(EOMONTH($A1957,0))-COUNTA($F1957:$AJ1957))</f>
        <v/>
      </c>
    </row>
    <row r="1958" customFormat="false" ht="15" hidden="false" customHeight="false" outlineLevel="0" collapsed="false">
      <c r="A1958" s="32"/>
      <c r="B1958" s="29"/>
      <c r="C1958" s="10" t="str">
        <f aca="false">IF($B1958="","",IFERROR(INDEX(M_name,MATCH($B1958,M_emp,0)),"Code not found"))</f>
        <v/>
      </c>
      <c r="D1958" s="10" t="str">
        <f aca="false">IF($B1958="","",IFERROR(INDEX(M_dept,MATCH($B1958,M_emp,0)),""))</f>
        <v/>
      </c>
      <c r="E1958" s="10" t="str">
        <f aca="false">IF($B1958="","",IFERROR(INDEX(M_loc,MATCH($B1958,M_emp,0)),""))</f>
        <v/>
      </c>
      <c r="F1958" s="33"/>
      <c r="G1958" s="33"/>
      <c r="H1958" s="33"/>
      <c r="I1958" s="33"/>
      <c r="J1958" s="33"/>
      <c r="K1958" s="33"/>
      <c r="L1958" s="33"/>
      <c r="M1958" s="33"/>
      <c r="N1958" s="33"/>
      <c r="O1958" s="33"/>
      <c r="P1958" s="33"/>
      <c r="Q1958" s="33"/>
      <c r="R1958" s="33"/>
      <c r="S1958" s="33"/>
      <c r="T1958" s="33"/>
      <c r="U1958" s="33"/>
      <c r="V1958" s="33"/>
      <c r="W1958" s="33"/>
      <c r="X1958" s="33"/>
      <c r="Y1958" s="33"/>
      <c r="Z1958" s="33"/>
      <c r="AA1958" s="33"/>
      <c r="AB1958" s="33"/>
      <c r="AC1958" s="33"/>
      <c r="AD1958" s="33"/>
      <c r="AE1958" s="33"/>
      <c r="AF1958" s="33"/>
      <c r="AG1958" s="33"/>
      <c r="AH1958" s="33"/>
      <c r="AI1958" s="33"/>
      <c r="AJ1958" s="33"/>
      <c r="AK1958" s="34" t="str">
        <f aca="false">IF($B1958="","",COUNTIF($F1958:$AJ1958,"P"))</f>
        <v/>
      </c>
      <c r="AL1958" s="34" t="str">
        <f aca="false">IF($B1958="","",COUNTIF($F1958:$AJ1958,"A"))</f>
        <v/>
      </c>
      <c r="AM1958" s="34" t="str">
        <f aca="false">IF($B1958="","",COUNTIF($F1958:$AJ1958,"HA"))</f>
        <v/>
      </c>
      <c r="AN1958" s="34" t="str">
        <f aca="false">IF($B1958="","",COUNTIF($F1958:$AJ1958,"L"))</f>
        <v/>
      </c>
      <c r="AO1958" s="34" t="str">
        <f aca="false">IF($B1958="","",COUNTIF($F1958:$AJ1958,"PL"))</f>
        <v/>
      </c>
      <c r="AP1958" s="34" t="str">
        <f aca="false">IF($B1958="","",COUNTIF($F1958:$AJ1958,"CL"))</f>
        <v/>
      </c>
      <c r="AQ1958" s="34" t="str">
        <f aca="false">IF($B1958="","",COUNTIF($F1958:$AJ1958,"SL"))</f>
        <v/>
      </c>
      <c r="AR1958" s="34" t="str">
        <f aca="false">IF($B1958="","",COUNTIF($F1958:$AJ1958,"CO"))</f>
        <v/>
      </c>
      <c r="AS1958" s="34" t="str">
        <f aca="false">IF($B1958="","",COUNTIF($F1958:$AJ1958,"HPL"))</f>
        <v/>
      </c>
      <c r="AT1958" s="34" t="str">
        <f aca="false">IF($B1958="","",COUNTIF($F1958:$AJ1958,"HCL"))</f>
        <v/>
      </c>
      <c r="AU1958" s="34" t="str">
        <f aca="false">IF($B1958="","",COUNTIF($F1958:$AJ1958,"WO"))</f>
        <v/>
      </c>
      <c r="AV1958" s="34" t="str">
        <f aca="false">IF($B1958="","",COUNTIF($F1958:$AJ1958,"PH"))</f>
        <v/>
      </c>
      <c r="AW1958" s="34" t="str">
        <f aca="false">IF($B1958="","",COUNTIF($F1958:$AJ1958,"TR"))</f>
        <v/>
      </c>
      <c r="AX1958" s="35" t="str">
        <f aca="false">IF($B1958="","",AO1958+AS1958/2)</f>
        <v/>
      </c>
      <c r="AY1958" s="35" t="str">
        <f aca="false">IF($B1958="","",AQ1958)</f>
        <v/>
      </c>
      <c r="AZ1958" s="35" t="str">
        <f aca="false">IF($B1958="","",AP1958+AT1958/2)</f>
        <v/>
      </c>
      <c r="BA1958" s="35" t="str">
        <f aca="false">IF($B1958="","",AK1958+AN1958+AM1958/2+AO1958+AP1958+AQ1958+AR1958+AS1958+AT1958+AU1958+AV1958+AW1958)</f>
        <v/>
      </c>
      <c r="BB1958" s="35" t="str">
        <f aca="false">IF($B1958="","",MAX(0,AN1958-Settings!$C$16)*Settings!$C$17)</f>
        <v/>
      </c>
      <c r="BC1958" s="35" t="str">
        <f aca="false">IF($B1958="","",BA1958-BB1958)</f>
        <v/>
      </c>
      <c r="BD1958" s="35" t="str">
        <f aca="false">IF(OR($B1958="",$A1958=""),"",DAY(EOMONTH($A1958,0))-COUNTA($F1958:$AJ1958))</f>
        <v/>
      </c>
    </row>
    <row r="1959" customFormat="false" ht="15" hidden="false" customHeight="false" outlineLevel="0" collapsed="false">
      <c r="A1959" s="32"/>
      <c r="B1959" s="29"/>
      <c r="C1959" s="10" t="str">
        <f aca="false">IF($B1959="","",IFERROR(INDEX(M_name,MATCH($B1959,M_emp,0)),"Code not found"))</f>
        <v/>
      </c>
      <c r="D1959" s="10" t="str">
        <f aca="false">IF($B1959="","",IFERROR(INDEX(M_dept,MATCH($B1959,M_emp,0)),""))</f>
        <v/>
      </c>
      <c r="E1959" s="10" t="str">
        <f aca="false">IF($B1959="","",IFERROR(INDEX(M_loc,MATCH($B1959,M_emp,0)),""))</f>
        <v/>
      </c>
      <c r="F1959" s="33"/>
      <c r="G1959" s="33"/>
      <c r="H1959" s="33"/>
      <c r="I1959" s="33"/>
      <c r="J1959" s="33"/>
      <c r="K1959" s="33"/>
      <c r="L1959" s="33"/>
      <c r="M1959" s="33"/>
      <c r="N1959" s="33"/>
      <c r="O1959" s="33"/>
      <c r="P1959" s="33"/>
      <c r="Q1959" s="33"/>
      <c r="R1959" s="33"/>
      <c r="S1959" s="33"/>
      <c r="T1959" s="33"/>
      <c r="U1959" s="33"/>
      <c r="V1959" s="33"/>
      <c r="W1959" s="33"/>
      <c r="X1959" s="33"/>
      <c r="Y1959" s="33"/>
      <c r="Z1959" s="33"/>
      <c r="AA1959" s="33"/>
      <c r="AB1959" s="33"/>
      <c r="AC1959" s="33"/>
      <c r="AD1959" s="33"/>
      <c r="AE1959" s="33"/>
      <c r="AF1959" s="33"/>
      <c r="AG1959" s="33"/>
      <c r="AH1959" s="33"/>
      <c r="AI1959" s="33"/>
      <c r="AJ1959" s="33"/>
      <c r="AK1959" s="34" t="str">
        <f aca="false">IF($B1959="","",COUNTIF($F1959:$AJ1959,"P"))</f>
        <v/>
      </c>
      <c r="AL1959" s="34" t="str">
        <f aca="false">IF($B1959="","",COUNTIF($F1959:$AJ1959,"A"))</f>
        <v/>
      </c>
      <c r="AM1959" s="34" t="str">
        <f aca="false">IF($B1959="","",COUNTIF($F1959:$AJ1959,"HA"))</f>
        <v/>
      </c>
      <c r="AN1959" s="34" t="str">
        <f aca="false">IF($B1959="","",COUNTIF($F1959:$AJ1959,"L"))</f>
        <v/>
      </c>
      <c r="AO1959" s="34" t="str">
        <f aca="false">IF($B1959="","",COUNTIF($F1959:$AJ1959,"PL"))</f>
        <v/>
      </c>
      <c r="AP1959" s="34" t="str">
        <f aca="false">IF($B1959="","",COUNTIF($F1959:$AJ1959,"CL"))</f>
        <v/>
      </c>
      <c r="AQ1959" s="34" t="str">
        <f aca="false">IF($B1959="","",COUNTIF($F1959:$AJ1959,"SL"))</f>
        <v/>
      </c>
      <c r="AR1959" s="34" t="str">
        <f aca="false">IF($B1959="","",COUNTIF($F1959:$AJ1959,"CO"))</f>
        <v/>
      </c>
      <c r="AS1959" s="34" t="str">
        <f aca="false">IF($B1959="","",COUNTIF($F1959:$AJ1959,"HPL"))</f>
        <v/>
      </c>
      <c r="AT1959" s="34" t="str">
        <f aca="false">IF($B1959="","",COUNTIF($F1959:$AJ1959,"HCL"))</f>
        <v/>
      </c>
      <c r="AU1959" s="34" t="str">
        <f aca="false">IF($B1959="","",COUNTIF($F1959:$AJ1959,"WO"))</f>
        <v/>
      </c>
      <c r="AV1959" s="34" t="str">
        <f aca="false">IF($B1959="","",COUNTIF($F1959:$AJ1959,"PH"))</f>
        <v/>
      </c>
      <c r="AW1959" s="34" t="str">
        <f aca="false">IF($B1959="","",COUNTIF($F1959:$AJ1959,"TR"))</f>
        <v/>
      </c>
      <c r="AX1959" s="35" t="str">
        <f aca="false">IF($B1959="","",AO1959+AS1959/2)</f>
        <v/>
      </c>
      <c r="AY1959" s="35" t="str">
        <f aca="false">IF($B1959="","",AQ1959)</f>
        <v/>
      </c>
      <c r="AZ1959" s="35" t="str">
        <f aca="false">IF($B1959="","",AP1959+AT1959/2)</f>
        <v/>
      </c>
      <c r="BA1959" s="35" t="str">
        <f aca="false">IF($B1959="","",AK1959+AN1959+AM1959/2+AO1959+AP1959+AQ1959+AR1959+AS1959+AT1959+AU1959+AV1959+AW1959)</f>
        <v/>
      </c>
      <c r="BB1959" s="35" t="str">
        <f aca="false">IF($B1959="","",MAX(0,AN1959-Settings!$C$16)*Settings!$C$17)</f>
        <v/>
      </c>
      <c r="BC1959" s="35" t="str">
        <f aca="false">IF($B1959="","",BA1959-BB1959)</f>
        <v/>
      </c>
      <c r="BD1959" s="35" t="str">
        <f aca="false">IF(OR($B1959="",$A1959=""),"",DAY(EOMONTH($A1959,0))-COUNTA($F1959:$AJ1959))</f>
        <v/>
      </c>
    </row>
    <row r="1960" customFormat="false" ht="15" hidden="false" customHeight="false" outlineLevel="0" collapsed="false">
      <c r="A1960" s="32"/>
      <c r="B1960" s="29"/>
      <c r="C1960" s="10" t="str">
        <f aca="false">IF($B1960="","",IFERROR(INDEX(M_name,MATCH($B1960,M_emp,0)),"Code not found"))</f>
        <v/>
      </c>
      <c r="D1960" s="10" t="str">
        <f aca="false">IF($B1960="","",IFERROR(INDEX(M_dept,MATCH($B1960,M_emp,0)),""))</f>
        <v/>
      </c>
      <c r="E1960" s="10" t="str">
        <f aca="false">IF($B1960="","",IFERROR(INDEX(M_loc,MATCH($B1960,M_emp,0)),""))</f>
        <v/>
      </c>
      <c r="F1960" s="33"/>
      <c r="G1960" s="33"/>
      <c r="H1960" s="33"/>
      <c r="I1960" s="33"/>
      <c r="J1960" s="33"/>
      <c r="K1960" s="33"/>
      <c r="L1960" s="33"/>
      <c r="M1960" s="33"/>
      <c r="N1960" s="33"/>
      <c r="O1960" s="33"/>
      <c r="P1960" s="33"/>
      <c r="Q1960" s="33"/>
      <c r="R1960" s="33"/>
      <c r="S1960" s="33"/>
      <c r="T1960" s="33"/>
      <c r="U1960" s="33"/>
      <c r="V1960" s="33"/>
      <c r="W1960" s="33"/>
      <c r="X1960" s="33"/>
      <c r="Y1960" s="33"/>
      <c r="Z1960" s="33"/>
      <c r="AA1960" s="33"/>
      <c r="AB1960" s="33"/>
      <c r="AC1960" s="33"/>
      <c r="AD1960" s="33"/>
      <c r="AE1960" s="33"/>
      <c r="AF1960" s="33"/>
      <c r="AG1960" s="33"/>
      <c r="AH1960" s="33"/>
      <c r="AI1960" s="33"/>
      <c r="AJ1960" s="33"/>
      <c r="AK1960" s="34" t="str">
        <f aca="false">IF($B1960="","",COUNTIF($F1960:$AJ1960,"P"))</f>
        <v/>
      </c>
      <c r="AL1960" s="34" t="str">
        <f aca="false">IF($B1960="","",COUNTIF($F1960:$AJ1960,"A"))</f>
        <v/>
      </c>
      <c r="AM1960" s="34" t="str">
        <f aca="false">IF($B1960="","",COUNTIF($F1960:$AJ1960,"HA"))</f>
        <v/>
      </c>
      <c r="AN1960" s="34" t="str">
        <f aca="false">IF($B1960="","",COUNTIF($F1960:$AJ1960,"L"))</f>
        <v/>
      </c>
      <c r="AO1960" s="34" t="str">
        <f aca="false">IF($B1960="","",COUNTIF($F1960:$AJ1960,"PL"))</f>
        <v/>
      </c>
      <c r="AP1960" s="34" t="str">
        <f aca="false">IF($B1960="","",COUNTIF($F1960:$AJ1960,"CL"))</f>
        <v/>
      </c>
      <c r="AQ1960" s="34" t="str">
        <f aca="false">IF($B1960="","",COUNTIF($F1960:$AJ1960,"SL"))</f>
        <v/>
      </c>
      <c r="AR1960" s="34" t="str">
        <f aca="false">IF($B1960="","",COUNTIF($F1960:$AJ1960,"CO"))</f>
        <v/>
      </c>
      <c r="AS1960" s="34" t="str">
        <f aca="false">IF($B1960="","",COUNTIF($F1960:$AJ1960,"HPL"))</f>
        <v/>
      </c>
      <c r="AT1960" s="34" t="str">
        <f aca="false">IF($B1960="","",COUNTIF($F1960:$AJ1960,"HCL"))</f>
        <v/>
      </c>
      <c r="AU1960" s="34" t="str">
        <f aca="false">IF($B1960="","",COUNTIF($F1960:$AJ1960,"WO"))</f>
        <v/>
      </c>
      <c r="AV1960" s="34" t="str">
        <f aca="false">IF($B1960="","",COUNTIF($F1960:$AJ1960,"PH"))</f>
        <v/>
      </c>
      <c r="AW1960" s="34" t="str">
        <f aca="false">IF($B1960="","",COUNTIF($F1960:$AJ1960,"TR"))</f>
        <v/>
      </c>
      <c r="AX1960" s="35" t="str">
        <f aca="false">IF($B1960="","",AO1960+AS1960/2)</f>
        <v/>
      </c>
      <c r="AY1960" s="35" t="str">
        <f aca="false">IF($B1960="","",AQ1960)</f>
        <v/>
      </c>
      <c r="AZ1960" s="35" t="str">
        <f aca="false">IF($B1960="","",AP1960+AT1960/2)</f>
        <v/>
      </c>
      <c r="BA1960" s="35" t="str">
        <f aca="false">IF($B1960="","",AK1960+AN1960+AM1960/2+AO1960+AP1960+AQ1960+AR1960+AS1960+AT1960+AU1960+AV1960+AW1960)</f>
        <v/>
      </c>
      <c r="BB1960" s="35" t="str">
        <f aca="false">IF($B1960="","",MAX(0,AN1960-Settings!$C$16)*Settings!$C$17)</f>
        <v/>
      </c>
      <c r="BC1960" s="35" t="str">
        <f aca="false">IF($B1960="","",BA1960-BB1960)</f>
        <v/>
      </c>
      <c r="BD1960" s="35" t="str">
        <f aca="false">IF(OR($B1960="",$A1960=""),"",DAY(EOMONTH($A1960,0))-COUNTA($F1960:$AJ1960))</f>
        <v/>
      </c>
    </row>
    <row r="1961" customFormat="false" ht="15" hidden="false" customHeight="false" outlineLevel="0" collapsed="false">
      <c r="A1961" s="32"/>
      <c r="B1961" s="29"/>
      <c r="C1961" s="10" t="str">
        <f aca="false">IF($B1961="","",IFERROR(INDEX(M_name,MATCH($B1961,M_emp,0)),"Code not found"))</f>
        <v/>
      </c>
      <c r="D1961" s="10" t="str">
        <f aca="false">IF($B1961="","",IFERROR(INDEX(M_dept,MATCH($B1961,M_emp,0)),""))</f>
        <v/>
      </c>
      <c r="E1961" s="10" t="str">
        <f aca="false">IF($B1961="","",IFERROR(INDEX(M_loc,MATCH($B1961,M_emp,0)),""))</f>
        <v/>
      </c>
      <c r="F1961" s="33"/>
      <c r="G1961" s="33"/>
      <c r="H1961" s="33"/>
      <c r="I1961" s="33"/>
      <c r="J1961" s="33"/>
      <c r="K1961" s="33"/>
      <c r="L1961" s="33"/>
      <c r="M1961" s="33"/>
      <c r="N1961" s="33"/>
      <c r="O1961" s="33"/>
      <c r="P1961" s="33"/>
      <c r="Q1961" s="33"/>
      <c r="R1961" s="33"/>
      <c r="S1961" s="33"/>
      <c r="T1961" s="33"/>
      <c r="U1961" s="33"/>
      <c r="V1961" s="33"/>
      <c r="W1961" s="33"/>
      <c r="X1961" s="33"/>
      <c r="Y1961" s="33"/>
      <c r="Z1961" s="33"/>
      <c r="AA1961" s="33"/>
      <c r="AB1961" s="33"/>
      <c r="AC1961" s="33"/>
      <c r="AD1961" s="33"/>
      <c r="AE1961" s="33"/>
      <c r="AF1961" s="33"/>
      <c r="AG1961" s="33"/>
      <c r="AH1961" s="33"/>
      <c r="AI1961" s="33"/>
      <c r="AJ1961" s="33"/>
      <c r="AK1961" s="34" t="str">
        <f aca="false">IF($B1961="","",COUNTIF($F1961:$AJ1961,"P"))</f>
        <v/>
      </c>
      <c r="AL1961" s="34" t="str">
        <f aca="false">IF($B1961="","",COUNTIF($F1961:$AJ1961,"A"))</f>
        <v/>
      </c>
      <c r="AM1961" s="34" t="str">
        <f aca="false">IF($B1961="","",COUNTIF($F1961:$AJ1961,"HA"))</f>
        <v/>
      </c>
      <c r="AN1961" s="34" t="str">
        <f aca="false">IF($B1961="","",COUNTIF($F1961:$AJ1961,"L"))</f>
        <v/>
      </c>
      <c r="AO1961" s="34" t="str">
        <f aca="false">IF($B1961="","",COUNTIF($F1961:$AJ1961,"PL"))</f>
        <v/>
      </c>
      <c r="AP1961" s="34" t="str">
        <f aca="false">IF($B1961="","",COUNTIF($F1961:$AJ1961,"CL"))</f>
        <v/>
      </c>
      <c r="AQ1961" s="34" t="str">
        <f aca="false">IF($B1961="","",COUNTIF($F1961:$AJ1961,"SL"))</f>
        <v/>
      </c>
      <c r="AR1961" s="34" t="str">
        <f aca="false">IF($B1961="","",COUNTIF($F1961:$AJ1961,"CO"))</f>
        <v/>
      </c>
      <c r="AS1961" s="34" t="str">
        <f aca="false">IF($B1961="","",COUNTIF($F1961:$AJ1961,"HPL"))</f>
        <v/>
      </c>
      <c r="AT1961" s="34" t="str">
        <f aca="false">IF($B1961="","",COUNTIF($F1961:$AJ1961,"HCL"))</f>
        <v/>
      </c>
      <c r="AU1961" s="34" t="str">
        <f aca="false">IF($B1961="","",COUNTIF($F1961:$AJ1961,"WO"))</f>
        <v/>
      </c>
      <c r="AV1961" s="34" t="str">
        <f aca="false">IF($B1961="","",COUNTIF($F1961:$AJ1961,"PH"))</f>
        <v/>
      </c>
      <c r="AW1961" s="34" t="str">
        <f aca="false">IF($B1961="","",COUNTIF($F1961:$AJ1961,"TR"))</f>
        <v/>
      </c>
      <c r="AX1961" s="35" t="str">
        <f aca="false">IF($B1961="","",AO1961+AS1961/2)</f>
        <v/>
      </c>
      <c r="AY1961" s="35" t="str">
        <f aca="false">IF($B1961="","",AQ1961)</f>
        <v/>
      </c>
      <c r="AZ1961" s="35" t="str">
        <f aca="false">IF($B1961="","",AP1961+AT1961/2)</f>
        <v/>
      </c>
      <c r="BA1961" s="35" t="str">
        <f aca="false">IF($B1961="","",AK1961+AN1961+AM1961/2+AO1961+AP1961+AQ1961+AR1961+AS1961+AT1961+AU1961+AV1961+AW1961)</f>
        <v/>
      </c>
      <c r="BB1961" s="35" t="str">
        <f aca="false">IF($B1961="","",MAX(0,AN1961-Settings!$C$16)*Settings!$C$17)</f>
        <v/>
      </c>
      <c r="BC1961" s="35" t="str">
        <f aca="false">IF($B1961="","",BA1961-BB1961)</f>
        <v/>
      </c>
      <c r="BD1961" s="35" t="str">
        <f aca="false">IF(OR($B1961="",$A1961=""),"",DAY(EOMONTH($A1961,0))-COUNTA($F1961:$AJ1961))</f>
        <v/>
      </c>
    </row>
    <row r="1962" customFormat="false" ht="15" hidden="false" customHeight="false" outlineLevel="0" collapsed="false">
      <c r="A1962" s="32"/>
      <c r="B1962" s="29"/>
      <c r="C1962" s="10" t="str">
        <f aca="false">IF($B1962="","",IFERROR(INDEX(M_name,MATCH($B1962,M_emp,0)),"Code not found"))</f>
        <v/>
      </c>
      <c r="D1962" s="10" t="str">
        <f aca="false">IF($B1962="","",IFERROR(INDEX(M_dept,MATCH($B1962,M_emp,0)),""))</f>
        <v/>
      </c>
      <c r="E1962" s="10" t="str">
        <f aca="false">IF($B1962="","",IFERROR(INDEX(M_loc,MATCH($B1962,M_emp,0)),""))</f>
        <v/>
      </c>
      <c r="F1962" s="33"/>
      <c r="G1962" s="33"/>
      <c r="H1962" s="33"/>
      <c r="I1962" s="33"/>
      <c r="J1962" s="33"/>
      <c r="K1962" s="33"/>
      <c r="L1962" s="33"/>
      <c r="M1962" s="33"/>
      <c r="N1962" s="33"/>
      <c r="O1962" s="33"/>
      <c r="P1962" s="33"/>
      <c r="Q1962" s="33"/>
      <c r="R1962" s="33"/>
      <c r="S1962" s="33"/>
      <c r="T1962" s="33"/>
      <c r="U1962" s="33"/>
      <c r="V1962" s="33"/>
      <c r="W1962" s="33"/>
      <c r="X1962" s="33"/>
      <c r="Y1962" s="33"/>
      <c r="Z1962" s="33"/>
      <c r="AA1962" s="33"/>
      <c r="AB1962" s="33"/>
      <c r="AC1962" s="33"/>
      <c r="AD1962" s="33"/>
      <c r="AE1962" s="33"/>
      <c r="AF1962" s="33"/>
      <c r="AG1962" s="33"/>
      <c r="AH1962" s="33"/>
      <c r="AI1962" s="33"/>
      <c r="AJ1962" s="33"/>
      <c r="AK1962" s="34" t="str">
        <f aca="false">IF($B1962="","",COUNTIF($F1962:$AJ1962,"P"))</f>
        <v/>
      </c>
      <c r="AL1962" s="34" t="str">
        <f aca="false">IF($B1962="","",COUNTIF($F1962:$AJ1962,"A"))</f>
        <v/>
      </c>
      <c r="AM1962" s="34" t="str">
        <f aca="false">IF($B1962="","",COUNTIF($F1962:$AJ1962,"HA"))</f>
        <v/>
      </c>
      <c r="AN1962" s="34" t="str">
        <f aca="false">IF($B1962="","",COUNTIF($F1962:$AJ1962,"L"))</f>
        <v/>
      </c>
      <c r="AO1962" s="34" t="str">
        <f aca="false">IF($B1962="","",COUNTIF($F1962:$AJ1962,"PL"))</f>
        <v/>
      </c>
      <c r="AP1962" s="34" t="str">
        <f aca="false">IF($B1962="","",COUNTIF($F1962:$AJ1962,"CL"))</f>
        <v/>
      </c>
      <c r="AQ1962" s="34" t="str">
        <f aca="false">IF($B1962="","",COUNTIF($F1962:$AJ1962,"SL"))</f>
        <v/>
      </c>
      <c r="AR1962" s="34" t="str">
        <f aca="false">IF($B1962="","",COUNTIF($F1962:$AJ1962,"CO"))</f>
        <v/>
      </c>
      <c r="AS1962" s="34" t="str">
        <f aca="false">IF($B1962="","",COUNTIF($F1962:$AJ1962,"HPL"))</f>
        <v/>
      </c>
      <c r="AT1962" s="34" t="str">
        <f aca="false">IF($B1962="","",COUNTIF($F1962:$AJ1962,"HCL"))</f>
        <v/>
      </c>
      <c r="AU1962" s="34" t="str">
        <f aca="false">IF($B1962="","",COUNTIF($F1962:$AJ1962,"WO"))</f>
        <v/>
      </c>
      <c r="AV1962" s="34" t="str">
        <f aca="false">IF($B1962="","",COUNTIF($F1962:$AJ1962,"PH"))</f>
        <v/>
      </c>
      <c r="AW1962" s="34" t="str">
        <f aca="false">IF($B1962="","",COUNTIF($F1962:$AJ1962,"TR"))</f>
        <v/>
      </c>
      <c r="AX1962" s="35" t="str">
        <f aca="false">IF($B1962="","",AO1962+AS1962/2)</f>
        <v/>
      </c>
      <c r="AY1962" s="35" t="str">
        <f aca="false">IF($B1962="","",AQ1962)</f>
        <v/>
      </c>
      <c r="AZ1962" s="35" t="str">
        <f aca="false">IF($B1962="","",AP1962+AT1962/2)</f>
        <v/>
      </c>
      <c r="BA1962" s="35" t="str">
        <f aca="false">IF($B1962="","",AK1962+AN1962+AM1962/2+AO1962+AP1962+AQ1962+AR1962+AS1962+AT1962+AU1962+AV1962+AW1962)</f>
        <v/>
      </c>
      <c r="BB1962" s="35" t="str">
        <f aca="false">IF($B1962="","",MAX(0,AN1962-Settings!$C$16)*Settings!$C$17)</f>
        <v/>
      </c>
      <c r="BC1962" s="35" t="str">
        <f aca="false">IF($B1962="","",BA1962-BB1962)</f>
        <v/>
      </c>
      <c r="BD1962" s="35" t="str">
        <f aca="false">IF(OR($B1962="",$A1962=""),"",DAY(EOMONTH($A1962,0))-COUNTA($F1962:$AJ1962))</f>
        <v/>
      </c>
    </row>
    <row r="1963" customFormat="false" ht="15" hidden="false" customHeight="false" outlineLevel="0" collapsed="false">
      <c r="A1963" s="32"/>
      <c r="B1963" s="29"/>
      <c r="C1963" s="10" t="str">
        <f aca="false">IF($B1963="","",IFERROR(INDEX(M_name,MATCH($B1963,M_emp,0)),"Code not found"))</f>
        <v/>
      </c>
      <c r="D1963" s="10" t="str">
        <f aca="false">IF($B1963="","",IFERROR(INDEX(M_dept,MATCH($B1963,M_emp,0)),""))</f>
        <v/>
      </c>
      <c r="E1963" s="10" t="str">
        <f aca="false">IF($B1963="","",IFERROR(INDEX(M_loc,MATCH($B1963,M_emp,0)),""))</f>
        <v/>
      </c>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c r="AB1963" s="33"/>
      <c r="AC1963" s="33"/>
      <c r="AD1963" s="33"/>
      <c r="AE1963" s="33"/>
      <c r="AF1963" s="33"/>
      <c r="AG1963" s="33"/>
      <c r="AH1963" s="33"/>
      <c r="AI1963" s="33"/>
      <c r="AJ1963" s="33"/>
      <c r="AK1963" s="34" t="str">
        <f aca="false">IF($B1963="","",COUNTIF($F1963:$AJ1963,"P"))</f>
        <v/>
      </c>
      <c r="AL1963" s="34" t="str">
        <f aca="false">IF($B1963="","",COUNTIF($F1963:$AJ1963,"A"))</f>
        <v/>
      </c>
      <c r="AM1963" s="34" t="str">
        <f aca="false">IF($B1963="","",COUNTIF($F1963:$AJ1963,"HA"))</f>
        <v/>
      </c>
      <c r="AN1963" s="34" t="str">
        <f aca="false">IF($B1963="","",COUNTIF($F1963:$AJ1963,"L"))</f>
        <v/>
      </c>
      <c r="AO1963" s="34" t="str">
        <f aca="false">IF($B1963="","",COUNTIF($F1963:$AJ1963,"PL"))</f>
        <v/>
      </c>
      <c r="AP1963" s="34" t="str">
        <f aca="false">IF($B1963="","",COUNTIF($F1963:$AJ1963,"CL"))</f>
        <v/>
      </c>
      <c r="AQ1963" s="34" t="str">
        <f aca="false">IF($B1963="","",COUNTIF($F1963:$AJ1963,"SL"))</f>
        <v/>
      </c>
      <c r="AR1963" s="34" t="str">
        <f aca="false">IF($B1963="","",COUNTIF($F1963:$AJ1963,"CO"))</f>
        <v/>
      </c>
      <c r="AS1963" s="34" t="str">
        <f aca="false">IF($B1963="","",COUNTIF($F1963:$AJ1963,"HPL"))</f>
        <v/>
      </c>
      <c r="AT1963" s="34" t="str">
        <f aca="false">IF($B1963="","",COUNTIF($F1963:$AJ1963,"HCL"))</f>
        <v/>
      </c>
      <c r="AU1963" s="34" t="str">
        <f aca="false">IF($B1963="","",COUNTIF($F1963:$AJ1963,"WO"))</f>
        <v/>
      </c>
      <c r="AV1963" s="34" t="str">
        <f aca="false">IF($B1963="","",COUNTIF($F1963:$AJ1963,"PH"))</f>
        <v/>
      </c>
      <c r="AW1963" s="34" t="str">
        <f aca="false">IF($B1963="","",COUNTIF($F1963:$AJ1963,"TR"))</f>
        <v/>
      </c>
      <c r="AX1963" s="35" t="str">
        <f aca="false">IF($B1963="","",AO1963+AS1963/2)</f>
        <v/>
      </c>
      <c r="AY1963" s="35" t="str">
        <f aca="false">IF($B1963="","",AQ1963)</f>
        <v/>
      </c>
      <c r="AZ1963" s="35" t="str">
        <f aca="false">IF($B1963="","",AP1963+AT1963/2)</f>
        <v/>
      </c>
      <c r="BA1963" s="35" t="str">
        <f aca="false">IF($B1963="","",AK1963+AN1963+AM1963/2+AO1963+AP1963+AQ1963+AR1963+AS1963+AT1963+AU1963+AV1963+AW1963)</f>
        <v/>
      </c>
      <c r="BB1963" s="35" t="str">
        <f aca="false">IF($B1963="","",MAX(0,AN1963-Settings!$C$16)*Settings!$C$17)</f>
        <v/>
      </c>
      <c r="BC1963" s="35" t="str">
        <f aca="false">IF($B1963="","",BA1963-BB1963)</f>
        <v/>
      </c>
      <c r="BD1963" s="35" t="str">
        <f aca="false">IF(OR($B1963="",$A1963=""),"",DAY(EOMONTH($A1963,0))-COUNTA($F1963:$AJ1963))</f>
        <v/>
      </c>
    </row>
    <row r="1964" customFormat="false" ht="15" hidden="false" customHeight="false" outlineLevel="0" collapsed="false">
      <c r="A1964" s="32"/>
      <c r="B1964" s="29"/>
      <c r="C1964" s="10" t="str">
        <f aca="false">IF($B1964="","",IFERROR(INDEX(M_name,MATCH($B1964,M_emp,0)),"Code not found"))</f>
        <v/>
      </c>
      <c r="D1964" s="10" t="str">
        <f aca="false">IF($B1964="","",IFERROR(INDEX(M_dept,MATCH($B1964,M_emp,0)),""))</f>
        <v/>
      </c>
      <c r="E1964" s="10" t="str">
        <f aca="false">IF($B1964="","",IFERROR(INDEX(M_loc,MATCH($B1964,M_emp,0)),""))</f>
        <v/>
      </c>
      <c r="F1964" s="33"/>
      <c r="G1964" s="33"/>
      <c r="H1964" s="33"/>
      <c r="I1964" s="33"/>
      <c r="J1964" s="33"/>
      <c r="K1964" s="33"/>
      <c r="L1964" s="33"/>
      <c r="M1964" s="33"/>
      <c r="N1964" s="33"/>
      <c r="O1964" s="33"/>
      <c r="P1964" s="33"/>
      <c r="Q1964" s="33"/>
      <c r="R1964" s="33"/>
      <c r="S1964" s="33"/>
      <c r="T1964" s="33"/>
      <c r="U1964" s="33"/>
      <c r="V1964" s="33"/>
      <c r="W1964" s="33"/>
      <c r="X1964" s="33"/>
      <c r="Y1964" s="33"/>
      <c r="Z1964" s="33"/>
      <c r="AA1964" s="33"/>
      <c r="AB1964" s="33"/>
      <c r="AC1964" s="33"/>
      <c r="AD1964" s="33"/>
      <c r="AE1964" s="33"/>
      <c r="AF1964" s="33"/>
      <c r="AG1964" s="33"/>
      <c r="AH1964" s="33"/>
      <c r="AI1964" s="33"/>
      <c r="AJ1964" s="33"/>
      <c r="AK1964" s="34" t="str">
        <f aca="false">IF($B1964="","",COUNTIF($F1964:$AJ1964,"P"))</f>
        <v/>
      </c>
      <c r="AL1964" s="34" t="str">
        <f aca="false">IF($B1964="","",COUNTIF($F1964:$AJ1964,"A"))</f>
        <v/>
      </c>
      <c r="AM1964" s="34" t="str">
        <f aca="false">IF($B1964="","",COUNTIF($F1964:$AJ1964,"HA"))</f>
        <v/>
      </c>
      <c r="AN1964" s="34" t="str">
        <f aca="false">IF($B1964="","",COUNTIF($F1964:$AJ1964,"L"))</f>
        <v/>
      </c>
      <c r="AO1964" s="34" t="str">
        <f aca="false">IF($B1964="","",COUNTIF($F1964:$AJ1964,"PL"))</f>
        <v/>
      </c>
      <c r="AP1964" s="34" t="str">
        <f aca="false">IF($B1964="","",COUNTIF($F1964:$AJ1964,"CL"))</f>
        <v/>
      </c>
      <c r="AQ1964" s="34" t="str">
        <f aca="false">IF($B1964="","",COUNTIF($F1964:$AJ1964,"SL"))</f>
        <v/>
      </c>
      <c r="AR1964" s="34" t="str">
        <f aca="false">IF($B1964="","",COUNTIF($F1964:$AJ1964,"CO"))</f>
        <v/>
      </c>
      <c r="AS1964" s="34" t="str">
        <f aca="false">IF($B1964="","",COUNTIF($F1964:$AJ1964,"HPL"))</f>
        <v/>
      </c>
      <c r="AT1964" s="34" t="str">
        <f aca="false">IF($B1964="","",COUNTIF($F1964:$AJ1964,"HCL"))</f>
        <v/>
      </c>
      <c r="AU1964" s="34" t="str">
        <f aca="false">IF($B1964="","",COUNTIF($F1964:$AJ1964,"WO"))</f>
        <v/>
      </c>
      <c r="AV1964" s="34" t="str">
        <f aca="false">IF($B1964="","",COUNTIF($F1964:$AJ1964,"PH"))</f>
        <v/>
      </c>
      <c r="AW1964" s="34" t="str">
        <f aca="false">IF($B1964="","",COUNTIF($F1964:$AJ1964,"TR"))</f>
        <v/>
      </c>
      <c r="AX1964" s="35" t="str">
        <f aca="false">IF($B1964="","",AO1964+AS1964/2)</f>
        <v/>
      </c>
      <c r="AY1964" s="35" t="str">
        <f aca="false">IF($B1964="","",AQ1964)</f>
        <v/>
      </c>
      <c r="AZ1964" s="35" t="str">
        <f aca="false">IF($B1964="","",AP1964+AT1964/2)</f>
        <v/>
      </c>
      <c r="BA1964" s="35" t="str">
        <f aca="false">IF($B1964="","",AK1964+AN1964+AM1964/2+AO1964+AP1964+AQ1964+AR1964+AS1964+AT1964+AU1964+AV1964+AW1964)</f>
        <v/>
      </c>
      <c r="BB1964" s="35" t="str">
        <f aca="false">IF($B1964="","",MAX(0,AN1964-Settings!$C$16)*Settings!$C$17)</f>
        <v/>
      </c>
      <c r="BC1964" s="35" t="str">
        <f aca="false">IF($B1964="","",BA1964-BB1964)</f>
        <v/>
      </c>
      <c r="BD1964" s="35" t="str">
        <f aca="false">IF(OR($B1964="",$A1964=""),"",DAY(EOMONTH($A1964,0))-COUNTA($F1964:$AJ1964))</f>
        <v/>
      </c>
    </row>
    <row r="1965" customFormat="false" ht="15" hidden="false" customHeight="false" outlineLevel="0" collapsed="false">
      <c r="A1965" s="32"/>
      <c r="B1965" s="29"/>
      <c r="C1965" s="10" t="str">
        <f aca="false">IF($B1965="","",IFERROR(INDEX(M_name,MATCH($B1965,M_emp,0)),"Code not found"))</f>
        <v/>
      </c>
      <c r="D1965" s="10" t="str">
        <f aca="false">IF($B1965="","",IFERROR(INDEX(M_dept,MATCH($B1965,M_emp,0)),""))</f>
        <v/>
      </c>
      <c r="E1965" s="10" t="str">
        <f aca="false">IF($B1965="","",IFERROR(INDEX(M_loc,MATCH($B1965,M_emp,0)),""))</f>
        <v/>
      </c>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c r="AB1965" s="33"/>
      <c r="AC1965" s="33"/>
      <c r="AD1965" s="33"/>
      <c r="AE1965" s="33"/>
      <c r="AF1965" s="33"/>
      <c r="AG1965" s="33"/>
      <c r="AH1965" s="33"/>
      <c r="AI1965" s="33"/>
      <c r="AJ1965" s="33"/>
      <c r="AK1965" s="34" t="str">
        <f aca="false">IF($B1965="","",COUNTIF($F1965:$AJ1965,"P"))</f>
        <v/>
      </c>
      <c r="AL1965" s="34" t="str">
        <f aca="false">IF($B1965="","",COUNTIF($F1965:$AJ1965,"A"))</f>
        <v/>
      </c>
      <c r="AM1965" s="34" t="str">
        <f aca="false">IF($B1965="","",COUNTIF($F1965:$AJ1965,"HA"))</f>
        <v/>
      </c>
      <c r="AN1965" s="34" t="str">
        <f aca="false">IF($B1965="","",COUNTIF($F1965:$AJ1965,"L"))</f>
        <v/>
      </c>
      <c r="AO1965" s="34" t="str">
        <f aca="false">IF($B1965="","",COUNTIF($F1965:$AJ1965,"PL"))</f>
        <v/>
      </c>
      <c r="AP1965" s="34" t="str">
        <f aca="false">IF($B1965="","",COUNTIF($F1965:$AJ1965,"CL"))</f>
        <v/>
      </c>
      <c r="AQ1965" s="34" t="str">
        <f aca="false">IF($B1965="","",COUNTIF($F1965:$AJ1965,"SL"))</f>
        <v/>
      </c>
      <c r="AR1965" s="34" t="str">
        <f aca="false">IF($B1965="","",COUNTIF($F1965:$AJ1965,"CO"))</f>
        <v/>
      </c>
      <c r="AS1965" s="34" t="str">
        <f aca="false">IF($B1965="","",COUNTIF($F1965:$AJ1965,"HPL"))</f>
        <v/>
      </c>
      <c r="AT1965" s="34" t="str">
        <f aca="false">IF($B1965="","",COUNTIF($F1965:$AJ1965,"HCL"))</f>
        <v/>
      </c>
      <c r="AU1965" s="34" t="str">
        <f aca="false">IF($B1965="","",COUNTIF($F1965:$AJ1965,"WO"))</f>
        <v/>
      </c>
      <c r="AV1965" s="34" t="str">
        <f aca="false">IF($B1965="","",COUNTIF($F1965:$AJ1965,"PH"))</f>
        <v/>
      </c>
      <c r="AW1965" s="34" t="str">
        <f aca="false">IF($B1965="","",COUNTIF($F1965:$AJ1965,"TR"))</f>
        <v/>
      </c>
      <c r="AX1965" s="35" t="str">
        <f aca="false">IF($B1965="","",AO1965+AS1965/2)</f>
        <v/>
      </c>
      <c r="AY1965" s="35" t="str">
        <f aca="false">IF($B1965="","",AQ1965)</f>
        <v/>
      </c>
      <c r="AZ1965" s="35" t="str">
        <f aca="false">IF($B1965="","",AP1965+AT1965/2)</f>
        <v/>
      </c>
      <c r="BA1965" s="35" t="str">
        <f aca="false">IF($B1965="","",AK1965+AN1965+AM1965/2+AO1965+AP1965+AQ1965+AR1965+AS1965+AT1965+AU1965+AV1965+AW1965)</f>
        <v/>
      </c>
      <c r="BB1965" s="35" t="str">
        <f aca="false">IF($B1965="","",MAX(0,AN1965-Settings!$C$16)*Settings!$C$17)</f>
        <v/>
      </c>
      <c r="BC1965" s="35" t="str">
        <f aca="false">IF($B1965="","",BA1965-BB1965)</f>
        <v/>
      </c>
      <c r="BD1965" s="35" t="str">
        <f aca="false">IF(OR($B1965="",$A1965=""),"",DAY(EOMONTH($A1965,0))-COUNTA($F1965:$AJ1965))</f>
        <v/>
      </c>
    </row>
    <row r="1966" customFormat="false" ht="15" hidden="false" customHeight="false" outlineLevel="0" collapsed="false">
      <c r="A1966" s="32"/>
      <c r="B1966" s="29"/>
      <c r="C1966" s="10" t="str">
        <f aca="false">IF($B1966="","",IFERROR(INDEX(M_name,MATCH($B1966,M_emp,0)),"Code not found"))</f>
        <v/>
      </c>
      <c r="D1966" s="10" t="str">
        <f aca="false">IF($B1966="","",IFERROR(INDEX(M_dept,MATCH($B1966,M_emp,0)),""))</f>
        <v/>
      </c>
      <c r="E1966" s="10" t="str">
        <f aca="false">IF($B1966="","",IFERROR(INDEX(M_loc,MATCH($B1966,M_emp,0)),""))</f>
        <v/>
      </c>
      <c r="F1966" s="33"/>
      <c r="G1966" s="33"/>
      <c r="H1966" s="33"/>
      <c r="I1966" s="33"/>
      <c r="J1966" s="33"/>
      <c r="K1966" s="33"/>
      <c r="L1966" s="33"/>
      <c r="M1966" s="33"/>
      <c r="N1966" s="33"/>
      <c r="O1966" s="33"/>
      <c r="P1966" s="33"/>
      <c r="Q1966" s="33"/>
      <c r="R1966" s="33"/>
      <c r="S1966" s="33"/>
      <c r="T1966" s="33"/>
      <c r="U1966" s="33"/>
      <c r="V1966" s="33"/>
      <c r="W1966" s="33"/>
      <c r="X1966" s="33"/>
      <c r="Y1966" s="33"/>
      <c r="Z1966" s="33"/>
      <c r="AA1966" s="33"/>
      <c r="AB1966" s="33"/>
      <c r="AC1966" s="33"/>
      <c r="AD1966" s="33"/>
      <c r="AE1966" s="33"/>
      <c r="AF1966" s="33"/>
      <c r="AG1966" s="33"/>
      <c r="AH1966" s="33"/>
      <c r="AI1966" s="33"/>
      <c r="AJ1966" s="33"/>
      <c r="AK1966" s="34" t="str">
        <f aca="false">IF($B1966="","",COUNTIF($F1966:$AJ1966,"P"))</f>
        <v/>
      </c>
      <c r="AL1966" s="34" t="str">
        <f aca="false">IF($B1966="","",COUNTIF($F1966:$AJ1966,"A"))</f>
        <v/>
      </c>
      <c r="AM1966" s="34" t="str">
        <f aca="false">IF($B1966="","",COUNTIF($F1966:$AJ1966,"HA"))</f>
        <v/>
      </c>
      <c r="AN1966" s="34" t="str">
        <f aca="false">IF($B1966="","",COUNTIF($F1966:$AJ1966,"L"))</f>
        <v/>
      </c>
      <c r="AO1966" s="34" t="str">
        <f aca="false">IF($B1966="","",COUNTIF($F1966:$AJ1966,"PL"))</f>
        <v/>
      </c>
      <c r="AP1966" s="34" t="str">
        <f aca="false">IF($B1966="","",COUNTIF($F1966:$AJ1966,"CL"))</f>
        <v/>
      </c>
      <c r="AQ1966" s="34" t="str">
        <f aca="false">IF($B1966="","",COUNTIF($F1966:$AJ1966,"SL"))</f>
        <v/>
      </c>
      <c r="AR1966" s="34" t="str">
        <f aca="false">IF($B1966="","",COUNTIF($F1966:$AJ1966,"CO"))</f>
        <v/>
      </c>
      <c r="AS1966" s="34" t="str">
        <f aca="false">IF($B1966="","",COUNTIF($F1966:$AJ1966,"HPL"))</f>
        <v/>
      </c>
      <c r="AT1966" s="34" t="str">
        <f aca="false">IF($B1966="","",COUNTIF($F1966:$AJ1966,"HCL"))</f>
        <v/>
      </c>
      <c r="AU1966" s="34" t="str">
        <f aca="false">IF($B1966="","",COUNTIF($F1966:$AJ1966,"WO"))</f>
        <v/>
      </c>
      <c r="AV1966" s="34" t="str">
        <f aca="false">IF($B1966="","",COUNTIF($F1966:$AJ1966,"PH"))</f>
        <v/>
      </c>
      <c r="AW1966" s="34" t="str">
        <f aca="false">IF($B1966="","",COUNTIF($F1966:$AJ1966,"TR"))</f>
        <v/>
      </c>
      <c r="AX1966" s="35" t="str">
        <f aca="false">IF($B1966="","",AO1966+AS1966/2)</f>
        <v/>
      </c>
      <c r="AY1966" s="35" t="str">
        <f aca="false">IF($B1966="","",AQ1966)</f>
        <v/>
      </c>
      <c r="AZ1966" s="35" t="str">
        <f aca="false">IF($B1966="","",AP1966+AT1966/2)</f>
        <v/>
      </c>
      <c r="BA1966" s="35" t="str">
        <f aca="false">IF($B1966="","",AK1966+AN1966+AM1966/2+AO1966+AP1966+AQ1966+AR1966+AS1966+AT1966+AU1966+AV1966+AW1966)</f>
        <v/>
      </c>
      <c r="BB1966" s="35" t="str">
        <f aca="false">IF($B1966="","",MAX(0,AN1966-Settings!$C$16)*Settings!$C$17)</f>
        <v/>
      </c>
      <c r="BC1966" s="35" t="str">
        <f aca="false">IF($B1966="","",BA1966-BB1966)</f>
        <v/>
      </c>
      <c r="BD1966" s="35" t="str">
        <f aca="false">IF(OR($B1966="",$A1966=""),"",DAY(EOMONTH($A1966,0))-COUNTA($F1966:$AJ1966))</f>
        <v/>
      </c>
    </row>
    <row r="1967" customFormat="false" ht="15" hidden="false" customHeight="false" outlineLevel="0" collapsed="false">
      <c r="A1967" s="32"/>
      <c r="B1967" s="29"/>
      <c r="C1967" s="10" t="str">
        <f aca="false">IF($B1967="","",IFERROR(INDEX(M_name,MATCH($B1967,M_emp,0)),"Code not found"))</f>
        <v/>
      </c>
      <c r="D1967" s="10" t="str">
        <f aca="false">IF($B1967="","",IFERROR(INDEX(M_dept,MATCH($B1967,M_emp,0)),""))</f>
        <v/>
      </c>
      <c r="E1967" s="10" t="str">
        <f aca="false">IF($B1967="","",IFERROR(INDEX(M_loc,MATCH($B1967,M_emp,0)),""))</f>
        <v/>
      </c>
      <c r="F1967" s="33"/>
      <c r="G1967" s="33"/>
      <c r="H1967" s="33"/>
      <c r="I1967" s="33"/>
      <c r="J1967" s="33"/>
      <c r="K1967" s="33"/>
      <c r="L1967" s="33"/>
      <c r="M1967" s="33"/>
      <c r="N1967" s="33"/>
      <c r="O1967" s="33"/>
      <c r="P1967" s="33"/>
      <c r="Q1967" s="33"/>
      <c r="R1967" s="33"/>
      <c r="S1967" s="33"/>
      <c r="T1967" s="33"/>
      <c r="U1967" s="33"/>
      <c r="V1967" s="33"/>
      <c r="W1967" s="33"/>
      <c r="X1967" s="33"/>
      <c r="Y1967" s="33"/>
      <c r="Z1967" s="33"/>
      <c r="AA1967" s="33"/>
      <c r="AB1967" s="33"/>
      <c r="AC1967" s="33"/>
      <c r="AD1967" s="33"/>
      <c r="AE1967" s="33"/>
      <c r="AF1967" s="33"/>
      <c r="AG1967" s="33"/>
      <c r="AH1967" s="33"/>
      <c r="AI1967" s="33"/>
      <c r="AJ1967" s="33"/>
      <c r="AK1967" s="34" t="str">
        <f aca="false">IF($B1967="","",COUNTIF($F1967:$AJ1967,"P"))</f>
        <v/>
      </c>
      <c r="AL1967" s="34" t="str">
        <f aca="false">IF($B1967="","",COUNTIF($F1967:$AJ1967,"A"))</f>
        <v/>
      </c>
      <c r="AM1967" s="34" t="str">
        <f aca="false">IF($B1967="","",COUNTIF($F1967:$AJ1967,"HA"))</f>
        <v/>
      </c>
      <c r="AN1967" s="34" t="str">
        <f aca="false">IF($B1967="","",COUNTIF($F1967:$AJ1967,"L"))</f>
        <v/>
      </c>
      <c r="AO1967" s="34" t="str">
        <f aca="false">IF($B1967="","",COUNTIF($F1967:$AJ1967,"PL"))</f>
        <v/>
      </c>
      <c r="AP1967" s="34" t="str">
        <f aca="false">IF($B1967="","",COUNTIF($F1967:$AJ1967,"CL"))</f>
        <v/>
      </c>
      <c r="AQ1967" s="34" t="str">
        <f aca="false">IF($B1967="","",COUNTIF($F1967:$AJ1967,"SL"))</f>
        <v/>
      </c>
      <c r="AR1967" s="34" t="str">
        <f aca="false">IF($B1967="","",COUNTIF($F1967:$AJ1967,"CO"))</f>
        <v/>
      </c>
      <c r="AS1967" s="34" t="str">
        <f aca="false">IF($B1967="","",COUNTIF($F1967:$AJ1967,"HPL"))</f>
        <v/>
      </c>
      <c r="AT1967" s="34" t="str">
        <f aca="false">IF($B1967="","",COUNTIF($F1967:$AJ1967,"HCL"))</f>
        <v/>
      </c>
      <c r="AU1967" s="34" t="str">
        <f aca="false">IF($B1967="","",COUNTIF($F1967:$AJ1967,"WO"))</f>
        <v/>
      </c>
      <c r="AV1967" s="34" t="str">
        <f aca="false">IF($B1967="","",COUNTIF($F1967:$AJ1967,"PH"))</f>
        <v/>
      </c>
      <c r="AW1967" s="34" t="str">
        <f aca="false">IF($B1967="","",COUNTIF($F1967:$AJ1967,"TR"))</f>
        <v/>
      </c>
      <c r="AX1967" s="35" t="str">
        <f aca="false">IF($B1967="","",AO1967+AS1967/2)</f>
        <v/>
      </c>
      <c r="AY1967" s="35" t="str">
        <f aca="false">IF($B1967="","",AQ1967)</f>
        <v/>
      </c>
      <c r="AZ1967" s="35" t="str">
        <f aca="false">IF($B1967="","",AP1967+AT1967/2)</f>
        <v/>
      </c>
      <c r="BA1967" s="35" t="str">
        <f aca="false">IF($B1967="","",AK1967+AN1967+AM1967/2+AO1967+AP1967+AQ1967+AR1967+AS1967+AT1967+AU1967+AV1967+AW1967)</f>
        <v/>
      </c>
      <c r="BB1967" s="35" t="str">
        <f aca="false">IF($B1967="","",MAX(0,AN1967-Settings!$C$16)*Settings!$C$17)</f>
        <v/>
      </c>
      <c r="BC1967" s="35" t="str">
        <f aca="false">IF($B1967="","",BA1967-BB1967)</f>
        <v/>
      </c>
      <c r="BD1967" s="35" t="str">
        <f aca="false">IF(OR($B1967="",$A1967=""),"",DAY(EOMONTH($A1967,0))-COUNTA($F1967:$AJ1967))</f>
        <v/>
      </c>
    </row>
    <row r="1968" customFormat="false" ht="15" hidden="false" customHeight="false" outlineLevel="0" collapsed="false">
      <c r="A1968" s="32"/>
      <c r="B1968" s="29"/>
      <c r="C1968" s="10" t="str">
        <f aca="false">IF($B1968="","",IFERROR(INDEX(M_name,MATCH($B1968,M_emp,0)),"Code not found"))</f>
        <v/>
      </c>
      <c r="D1968" s="10" t="str">
        <f aca="false">IF($B1968="","",IFERROR(INDEX(M_dept,MATCH($B1968,M_emp,0)),""))</f>
        <v/>
      </c>
      <c r="E1968" s="10" t="str">
        <f aca="false">IF($B1968="","",IFERROR(INDEX(M_loc,MATCH($B1968,M_emp,0)),""))</f>
        <v/>
      </c>
      <c r="F1968" s="33"/>
      <c r="G1968" s="33"/>
      <c r="H1968" s="33"/>
      <c r="I1968" s="33"/>
      <c r="J1968" s="33"/>
      <c r="K1968" s="33"/>
      <c r="L1968" s="33"/>
      <c r="M1968" s="33"/>
      <c r="N1968" s="33"/>
      <c r="O1968" s="33"/>
      <c r="P1968" s="33"/>
      <c r="Q1968" s="33"/>
      <c r="R1968" s="33"/>
      <c r="S1968" s="33"/>
      <c r="T1968" s="33"/>
      <c r="U1968" s="33"/>
      <c r="V1968" s="33"/>
      <c r="W1968" s="33"/>
      <c r="X1968" s="33"/>
      <c r="Y1968" s="33"/>
      <c r="Z1968" s="33"/>
      <c r="AA1968" s="33"/>
      <c r="AB1968" s="33"/>
      <c r="AC1968" s="33"/>
      <c r="AD1968" s="33"/>
      <c r="AE1968" s="33"/>
      <c r="AF1968" s="33"/>
      <c r="AG1968" s="33"/>
      <c r="AH1968" s="33"/>
      <c r="AI1968" s="33"/>
      <c r="AJ1968" s="33"/>
      <c r="AK1968" s="34" t="str">
        <f aca="false">IF($B1968="","",COUNTIF($F1968:$AJ1968,"P"))</f>
        <v/>
      </c>
      <c r="AL1968" s="34" t="str">
        <f aca="false">IF($B1968="","",COUNTIF($F1968:$AJ1968,"A"))</f>
        <v/>
      </c>
      <c r="AM1968" s="34" t="str">
        <f aca="false">IF($B1968="","",COUNTIF($F1968:$AJ1968,"HA"))</f>
        <v/>
      </c>
      <c r="AN1968" s="34" t="str">
        <f aca="false">IF($B1968="","",COUNTIF($F1968:$AJ1968,"L"))</f>
        <v/>
      </c>
      <c r="AO1968" s="34" t="str">
        <f aca="false">IF($B1968="","",COUNTIF($F1968:$AJ1968,"PL"))</f>
        <v/>
      </c>
      <c r="AP1968" s="34" t="str">
        <f aca="false">IF($B1968="","",COUNTIF($F1968:$AJ1968,"CL"))</f>
        <v/>
      </c>
      <c r="AQ1968" s="34" t="str">
        <f aca="false">IF($B1968="","",COUNTIF($F1968:$AJ1968,"SL"))</f>
        <v/>
      </c>
      <c r="AR1968" s="34" t="str">
        <f aca="false">IF($B1968="","",COUNTIF($F1968:$AJ1968,"CO"))</f>
        <v/>
      </c>
      <c r="AS1968" s="34" t="str">
        <f aca="false">IF($B1968="","",COUNTIF($F1968:$AJ1968,"HPL"))</f>
        <v/>
      </c>
      <c r="AT1968" s="34" t="str">
        <f aca="false">IF($B1968="","",COUNTIF($F1968:$AJ1968,"HCL"))</f>
        <v/>
      </c>
      <c r="AU1968" s="34" t="str">
        <f aca="false">IF($B1968="","",COUNTIF($F1968:$AJ1968,"WO"))</f>
        <v/>
      </c>
      <c r="AV1968" s="34" t="str">
        <f aca="false">IF($B1968="","",COUNTIF($F1968:$AJ1968,"PH"))</f>
        <v/>
      </c>
      <c r="AW1968" s="34" t="str">
        <f aca="false">IF($B1968="","",COUNTIF($F1968:$AJ1968,"TR"))</f>
        <v/>
      </c>
      <c r="AX1968" s="35" t="str">
        <f aca="false">IF($B1968="","",AO1968+AS1968/2)</f>
        <v/>
      </c>
      <c r="AY1968" s="35" t="str">
        <f aca="false">IF($B1968="","",AQ1968)</f>
        <v/>
      </c>
      <c r="AZ1968" s="35" t="str">
        <f aca="false">IF($B1968="","",AP1968+AT1968/2)</f>
        <v/>
      </c>
      <c r="BA1968" s="35" t="str">
        <f aca="false">IF($B1968="","",AK1968+AN1968+AM1968/2+AO1968+AP1968+AQ1968+AR1968+AS1968+AT1968+AU1968+AV1968+AW1968)</f>
        <v/>
      </c>
      <c r="BB1968" s="35" t="str">
        <f aca="false">IF($B1968="","",MAX(0,AN1968-Settings!$C$16)*Settings!$C$17)</f>
        <v/>
      </c>
      <c r="BC1968" s="35" t="str">
        <f aca="false">IF($B1968="","",BA1968-BB1968)</f>
        <v/>
      </c>
      <c r="BD1968" s="35" t="str">
        <f aca="false">IF(OR($B1968="",$A1968=""),"",DAY(EOMONTH($A1968,0))-COUNTA($F1968:$AJ1968))</f>
        <v/>
      </c>
    </row>
    <row r="1969" customFormat="false" ht="15" hidden="false" customHeight="false" outlineLevel="0" collapsed="false">
      <c r="A1969" s="32"/>
      <c r="B1969" s="29"/>
      <c r="C1969" s="10" t="str">
        <f aca="false">IF($B1969="","",IFERROR(INDEX(M_name,MATCH($B1969,M_emp,0)),"Code not found"))</f>
        <v/>
      </c>
      <c r="D1969" s="10" t="str">
        <f aca="false">IF($B1969="","",IFERROR(INDEX(M_dept,MATCH($B1969,M_emp,0)),""))</f>
        <v/>
      </c>
      <c r="E1969" s="10" t="str">
        <f aca="false">IF($B1969="","",IFERROR(INDEX(M_loc,MATCH($B1969,M_emp,0)),""))</f>
        <v/>
      </c>
      <c r="F1969" s="33"/>
      <c r="G1969" s="33"/>
      <c r="H1969" s="33"/>
      <c r="I1969" s="33"/>
      <c r="J1969" s="33"/>
      <c r="K1969" s="33"/>
      <c r="L1969" s="33"/>
      <c r="M1969" s="33"/>
      <c r="N1969" s="33"/>
      <c r="O1969" s="33"/>
      <c r="P1969" s="33"/>
      <c r="Q1969" s="33"/>
      <c r="R1969" s="33"/>
      <c r="S1969" s="33"/>
      <c r="T1969" s="33"/>
      <c r="U1969" s="33"/>
      <c r="V1969" s="33"/>
      <c r="W1969" s="33"/>
      <c r="X1969" s="33"/>
      <c r="Y1969" s="33"/>
      <c r="Z1969" s="33"/>
      <c r="AA1969" s="33"/>
      <c r="AB1969" s="33"/>
      <c r="AC1969" s="33"/>
      <c r="AD1969" s="33"/>
      <c r="AE1969" s="33"/>
      <c r="AF1969" s="33"/>
      <c r="AG1969" s="33"/>
      <c r="AH1969" s="33"/>
      <c r="AI1969" s="33"/>
      <c r="AJ1969" s="33"/>
      <c r="AK1969" s="34" t="str">
        <f aca="false">IF($B1969="","",COUNTIF($F1969:$AJ1969,"P"))</f>
        <v/>
      </c>
      <c r="AL1969" s="34" t="str">
        <f aca="false">IF($B1969="","",COUNTIF($F1969:$AJ1969,"A"))</f>
        <v/>
      </c>
      <c r="AM1969" s="34" t="str">
        <f aca="false">IF($B1969="","",COUNTIF($F1969:$AJ1969,"HA"))</f>
        <v/>
      </c>
      <c r="AN1969" s="34" t="str">
        <f aca="false">IF($B1969="","",COUNTIF($F1969:$AJ1969,"L"))</f>
        <v/>
      </c>
      <c r="AO1969" s="34" t="str">
        <f aca="false">IF($B1969="","",COUNTIF($F1969:$AJ1969,"PL"))</f>
        <v/>
      </c>
      <c r="AP1969" s="34" t="str">
        <f aca="false">IF($B1969="","",COUNTIF($F1969:$AJ1969,"CL"))</f>
        <v/>
      </c>
      <c r="AQ1969" s="34" t="str">
        <f aca="false">IF($B1969="","",COUNTIF($F1969:$AJ1969,"SL"))</f>
        <v/>
      </c>
      <c r="AR1969" s="34" t="str">
        <f aca="false">IF($B1969="","",COUNTIF($F1969:$AJ1969,"CO"))</f>
        <v/>
      </c>
      <c r="AS1969" s="34" t="str">
        <f aca="false">IF($B1969="","",COUNTIF($F1969:$AJ1969,"HPL"))</f>
        <v/>
      </c>
      <c r="AT1969" s="34" t="str">
        <f aca="false">IF($B1969="","",COUNTIF($F1969:$AJ1969,"HCL"))</f>
        <v/>
      </c>
      <c r="AU1969" s="34" t="str">
        <f aca="false">IF($B1969="","",COUNTIF($F1969:$AJ1969,"WO"))</f>
        <v/>
      </c>
      <c r="AV1969" s="34" t="str">
        <f aca="false">IF($B1969="","",COUNTIF($F1969:$AJ1969,"PH"))</f>
        <v/>
      </c>
      <c r="AW1969" s="34" t="str">
        <f aca="false">IF($B1969="","",COUNTIF($F1969:$AJ1969,"TR"))</f>
        <v/>
      </c>
      <c r="AX1969" s="35" t="str">
        <f aca="false">IF($B1969="","",AO1969+AS1969/2)</f>
        <v/>
      </c>
      <c r="AY1969" s="35" t="str">
        <f aca="false">IF($B1969="","",AQ1969)</f>
        <v/>
      </c>
      <c r="AZ1969" s="35" t="str">
        <f aca="false">IF($B1969="","",AP1969+AT1969/2)</f>
        <v/>
      </c>
      <c r="BA1969" s="35" t="str">
        <f aca="false">IF($B1969="","",AK1969+AN1969+AM1969/2+AO1969+AP1969+AQ1969+AR1969+AS1969+AT1969+AU1969+AV1969+AW1969)</f>
        <v/>
      </c>
      <c r="BB1969" s="35" t="str">
        <f aca="false">IF($B1969="","",MAX(0,AN1969-Settings!$C$16)*Settings!$C$17)</f>
        <v/>
      </c>
      <c r="BC1969" s="35" t="str">
        <f aca="false">IF($B1969="","",BA1969-BB1969)</f>
        <v/>
      </c>
      <c r="BD1969" s="35" t="str">
        <f aca="false">IF(OR($B1969="",$A1969=""),"",DAY(EOMONTH($A1969,0))-COUNTA($F1969:$AJ1969))</f>
        <v/>
      </c>
    </row>
    <row r="1970" customFormat="false" ht="15" hidden="false" customHeight="false" outlineLevel="0" collapsed="false">
      <c r="A1970" s="32"/>
      <c r="B1970" s="29"/>
      <c r="C1970" s="10" t="str">
        <f aca="false">IF($B1970="","",IFERROR(INDEX(M_name,MATCH($B1970,M_emp,0)),"Code not found"))</f>
        <v/>
      </c>
      <c r="D1970" s="10" t="str">
        <f aca="false">IF($B1970="","",IFERROR(INDEX(M_dept,MATCH($B1970,M_emp,0)),""))</f>
        <v/>
      </c>
      <c r="E1970" s="10" t="str">
        <f aca="false">IF($B1970="","",IFERROR(INDEX(M_loc,MATCH($B1970,M_emp,0)),""))</f>
        <v/>
      </c>
      <c r="F1970" s="33"/>
      <c r="G1970" s="33"/>
      <c r="H1970" s="33"/>
      <c r="I1970" s="33"/>
      <c r="J1970" s="33"/>
      <c r="K1970" s="33"/>
      <c r="L1970" s="33"/>
      <c r="M1970" s="33"/>
      <c r="N1970" s="33"/>
      <c r="O1970" s="33"/>
      <c r="P1970" s="33"/>
      <c r="Q1970" s="33"/>
      <c r="R1970" s="33"/>
      <c r="S1970" s="33"/>
      <c r="T1970" s="33"/>
      <c r="U1970" s="33"/>
      <c r="V1970" s="33"/>
      <c r="W1970" s="33"/>
      <c r="X1970" s="33"/>
      <c r="Y1970" s="33"/>
      <c r="Z1970" s="33"/>
      <c r="AA1970" s="33"/>
      <c r="AB1970" s="33"/>
      <c r="AC1970" s="33"/>
      <c r="AD1970" s="33"/>
      <c r="AE1970" s="33"/>
      <c r="AF1970" s="33"/>
      <c r="AG1970" s="33"/>
      <c r="AH1970" s="33"/>
      <c r="AI1970" s="33"/>
      <c r="AJ1970" s="33"/>
      <c r="AK1970" s="34" t="str">
        <f aca="false">IF($B1970="","",COUNTIF($F1970:$AJ1970,"P"))</f>
        <v/>
      </c>
      <c r="AL1970" s="34" t="str">
        <f aca="false">IF($B1970="","",COUNTIF($F1970:$AJ1970,"A"))</f>
        <v/>
      </c>
      <c r="AM1970" s="34" t="str">
        <f aca="false">IF($B1970="","",COUNTIF($F1970:$AJ1970,"HA"))</f>
        <v/>
      </c>
      <c r="AN1970" s="34" t="str">
        <f aca="false">IF($B1970="","",COUNTIF($F1970:$AJ1970,"L"))</f>
        <v/>
      </c>
      <c r="AO1970" s="34" t="str">
        <f aca="false">IF($B1970="","",COUNTIF($F1970:$AJ1970,"PL"))</f>
        <v/>
      </c>
      <c r="AP1970" s="34" t="str">
        <f aca="false">IF($B1970="","",COUNTIF($F1970:$AJ1970,"CL"))</f>
        <v/>
      </c>
      <c r="AQ1970" s="34" t="str">
        <f aca="false">IF($B1970="","",COUNTIF($F1970:$AJ1970,"SL"))</f>
        <v/>
      </c>
      <c r="AR1970" s="34" t="str">
        <f aca="false">IF($B1970="","",COUNTIF($F1970:$AJ1970,"CO"))</f>
        <v/>
      </c>
      <c r="AS1970" s="34" t="str">
        <f aca="false">IF($B1970="","",COUNTIF($F1970:$AJ1970,"HPL"))</f>
        <v/>
      </c>
      <c r="AT1970" s="34" t="str">
        <f aca="false">IF($B1970="","",COUNTIF($F1970:$AJ1970,"HCL"))</f>
        <v/>
      </c>
      <c r="AU1970" s="34" t="str">
        <f aca="false">IF($B1970="","",COUNTIF($F1970:$AJ1970,"WO"))</f>
        <v/>
      </c>
      <c r="AV1970" s="34" t="str">
        <f aca="false">IF($B1970="","",COUNTIF($F1970:$AJ1970,"PH"))</f>
        <v/>
      </c>
      <c r="AW1970" s="34" t="str">
        <f aca="false">IF($B1970="","",COUNTIF($F1970:$AJ1970,"TR"))</f>
        <v/>
      </c>
      <c r="AX1970" s="35" t="str">
        <f aca="false">IF($B1970="","",AO1970+AS1970/2)</f>
        <v/>
      </c>
      <c r="AY1970" s="35" t="str">
        <f aca="false">IF($B1970="","",AQ1970)</f>
        <v/>
      </c>
      <c r="AZ1970" s="35" t="str">
        <f aca="false">IF($B1970="","",AP1970+AT1970/2)</f>
        <v/>
      </c>
      <c r="BA1970" s="35" t="str">
        <f aca="false">IF($B1970="","",AK1970+AN1970+AM1970/2+AO1970+AP1970+AQ1970+AR1970+AS1970+AT1970+AU1970+AV1970+AW1970)</f>
        <v/>
      </c>
      <c r="BB1970" s="35" t="str">
        <f aca="false">IF($B1970="","",MAX(0,AN1970-Settings!$C$16)*Settings!$C$17)</f>
        <v/>
      </c>
      <c r="BC1970" s="35" t="str">
        <f aca="false">IF($B1970="","",BA1970-BB1970)</f>
        <v/>
      </c>
      <c r="BD1970" s="35" t="str">
        <f aca="false">IF(OR($B1970="",$A1970=""),"",DAY(EOMONTH($A1970,0))-COUNTA($F1970:$AJ1970))</f>
        <v/>
      </c>
    </row>
    <row r="1971" customFormat="false" ht="15" hidden="false" customHeight="false" outlineLevel="0" collapsed="false">
      <c r="A1971" s="32"/>
      <c r="B1971" s="29"/>
      <c r="C1971" s="10" t="str">
        <f aca="false">IF($B1971="","",IFERROR(INDEX(M_name,MATCH($B1971,M_emp,0)),"Code not found"))</f>
        <v/>
      </c>
      <c r="D1971" s="10" t="str">
        <f aca="false">IF($B1971="","",IFERROR(INDEX(M_dept,MATCH($B1971,M_emp,0)),""))</f>
        <v/>
      </c>
      <c r="E1971" s="10" t="str">
        <f aca="false">IF($B1971="","",IFERROR(INDEX(M_loc,MATCH($B1971,M_emp,0)),""))</f>
        <v/>
      </c>
      <c r="F1971" s="33"/>
      <c r="G1971" s="33"/>
      <c r="H1971" s="33"/>
      <c r="I1971" s="33"/>
      <c r="J1971" s="33"/>
      <c r="K1971" s="33"/>
      <c r="L1971" s="33"/>
      <c r="M1971" s="33"/>
      <c r="N1971" s="33"/>
      <c r="O1971" s="33"/>
      <c r="P1971" s="33"/>
      <c r="Q1971" s="33"/>
      <c r="R1971" s="33"/>
      <c r="S1971" s="33"/>
      <c r="T1971" s="33"/>
      <c r="U1971" s="33"/>
      <c r="V1971" s="33"/>
      <c r="W1971" s="33"/>
      <c r="X1971" s="33"/>
      <c r="Y1971" s="33"/>
      <c r="Z1971" s="33"/>
      <c r="AA1971" s="33"/>
      <c r="AB1971" s="33"/>
      <c r="AC1971" s="33"/>
      <c r="AD1971" s="33"/>
      <c r="AE1971" s="33"/>
      <c r="AF1971" s="33"/>
      <c r="AG1971" s="33"/>
      <c r="AH1971" s="33"/>
      <c r="AI1971" s="33"/>
      <c r="AJ1971" s="33"/>
      <c r="AK1971" s="34" t="str">
        <f aca="false">IF($B1971="","",COUNTIF($F1971:$AJ1971,"P"))</f>
        <v/>
      </c>
      <c r="AL1971" s="34" t="str">
        <f aca="false">IF($B1971="","",COUNTIF($F1971:$AJ1971,"A"))</f>
        <v/>
      </c>
      <c r="AM1971" s="34" t="str">
        <f aca="false">IF($B1971="","",COUNTIF($F1971:$AJ1971,"HA"))</f>
        <v/>
      </c>
      <c r="AN1971" s="34" t="str">
        <f aca="false">IF($B1971="","",COUNTIF($F1971:$AJ1971,"L"))</f>
        <v/>
      </c>
      <c r="AO1971" s="34" t="str">
        <f aca="false">IF($B1971="","",COUNTIF($F1971:$AJ1971,"PL"))</f>
        <v/>
      </c>
      <c r="AP1971" s="34" t="str">
        <f aca="false">IF($B1971="","",COUNTIF($F1971:$AJ1971,"CL"))</f>
        <v/>
      </c>
      <c r="AQ1971" s="34" t="str">
        <f aca="false">IF($B1971="","",COUNTIF($F1971:$AJ1971,"SL"))</f>
        <v/>
      </c>
      <c r="AR1971" s="34" t="str">
        <f aca="false">IF($B1971="","",COUNTIF($F1971:$AJ1971,"CO"))</f>
        <v/>
      </c>
      <c r="AS1971" s="34" t="str">
        <f aca="false">IF($B1971="","",COUNTIF($F1971:$AJ1971,"HPL"))</f>
        <v/>
      </c>
      <c r="AT1971" s="34" t="str">
        <f aca="false">IF($B1971="","",COUNTIF($F1971:$AJ1971,"HCL"))</f>
        <v/>
      </c>
      <c r="AU1971" s="34" t="str">
        <f aca="false">IF($B1971="","",COUNTIF($F1971:$AJ1971,"WO"))</f>
        <v/>
      </c>
      <c r="AV1971" s="34" t="str">
        <f aca="false">IF($B1971="","",COUNTIF($F1971:$AJ1971,"PH"))</f>
        <v/>
      </c>
      <c r="AW1971" s="34" t="str">
        <f aca="false">IF($B1971="","",COUNTIF($F1971:$AJ1971,"TR"))</f>
        <v/>
      </c>
      <c r="AX1971" s="35" t="str">
        <f aca="false">IF($B1971="","",AO1971+AS1971/2)</f>
        <v/>
      </c>
      <c r="AY1971" s="35" t="str">
        <f aca="false">IF($B1971="","",AQ1971)</f>
        <v/>
      </c>
      <c r="AZ1971" s="35" t="str">
        <f aca="false">IF($B1971="","",AP1971+AT1971/2)</f>
        <v/>
      </c>
      <c r="BA1971" s="35" t="str">
        <f aca="false">IF($B1971="","",AK1971+AN1971+AM1971/2+AO1971+AP1971+AQ1971+AR1971+AS1971+AT1971+AU1971+AV1971+AW1971)</f>
        <v/>
      </c>
      <c r="BB1971" s="35" t="str">
        <f aca="false">IF($B1971="","",MAX(0,AN1971-Settings!$C$16)*Settings!$C$17)</f>
        <v/>
      </c>
      <c r="BC1971" s="35" t="str">
        <f aca="false">IF($B1971="","",BA1971-BB1971)</f>
        <v/>
      </c>
      <c r="BD1971" s="35" t="str">
        <f aca="false">IF(OR($B1971="",$A1971=""),"",DAY(EOMONTH($A1971,0))-COUNTA($F1971:$AJ1971))</f>
        <v/>
      </c>
    </row>
    <row r="1972" customFormat="false" ht="15" hidden="false" customHeight="false" outlineLevel="0" collapsed="false">
      <c r="A1972" s="32"/>
      <c r="B1972" s="29"/>
      <c r="C1972" s="10" t="str">
        <f aca="false">IF($B1972="","",IFERROR(INDEX(M_name,MATCH($B1972,M_emp,0)),"Code not found"))</f>
        <v/>
      </c>
      <c r="D1972" s="10" t="str">
        <f aca="false">IF($B1972="","",IFERROR(INDEX(M_dept,MATCH($B1972,M_emp,0)),""))</f>
        <v/>
      </c>
      <c r="E1972" s="10" t="str">
        <f aca="false">IF($B1972="","",IFERROR(INDEX(M_loc,MATCH($B1972,M_emp,0)),""))</f>
        <v/>
      </c>
      <c r="F1972" s="33"/>
      <c r="G1972" s="33"/>
      <c r="H1972" s="33"/>
      <c r="I1972" s="33"/>
      <c r="J1972" s="33"/>
      <c r="K1972" s="33"/>
      <c r="L1972" s="33"/>
      <c r="M1972" s="33"/>
      <c r="N1972" s="33"/>
      <c r="O1972" s="33"/>
      <c r="P1972" s="33"/>
      <c r="Q1972" s="33"/>
      <c r="R1972" s="33"/>
      <c r="S1972" s="33"/>
      <c r="T1972" s="33"/>
      <c r="U1972" s="33"/>
      <c r="V1972" s="33"/>
      <c r="W1972" s="33"/>
      <c r="X1972" s="33"/>
      <c r="Y1972" s="33"/>
      <c r="Z1972" s="33"/>
      <c r="AA1972" s="33"/>
      <c r="AB1972" s="33"/>
      <c r="AC1972" s="33"/>
      <c r="AD1972" s="33"/>
      <c r="AE1972" s="33"/>
      <c r="AF1972" s="33"/>
      <c r="AG1972" s="33"/>
      <c r="AH1972" s="33"/>
      <c r="AI1972" s="33"/>
      <c r="AJ1972" s="33"/>
      <c r="AK1972" s="34" t="str">
        <f aca="false">IF($B1972="","",COUNTIF($F1972:$AJ1972,"P"))</f>
        <v/>
      </c>
      <c r="AL1972" s="34" t="str">
        <f aca="false">IF($B1972="","",COUNTIF($F1972:$AJ1972,"A"))</f>
        <v/>
      </c>
      <c r="AM1972" s="34" t="str">
        <f aca="false">IF($B1972="","",COUNTIF($F1972:$AJ1972,"HA"))</f>
        <v/>
      </c>
      <c r="AN1972" s="34" t="str">
        <f aca="false">IF($B1972="","",COUNTIF($F1972:$AJ1972,"L"))</f>
        <v/>
      </c>
      <c r="AO1972" s="34" t="str">
        <f aca="false">IF($B1972="","",COUNTIF($F1972:$AJ1972,"PL"))</f>
        <v/>
      </c>
      <c r="AP1972" s="34" t="str">
        <f aca="false">IF($B1972="","",COUNTIF($F1972:$AJ1972,"CL"))</f>
        <v/>
      </c>
      <c r="AQ1972" s="34" t="str">
        <f aca="false">IF($B1972="","",COUNTIF($F1972:$AJ1972,"SL"))</f>
        <v/>
      </c>
      <c r="AR1972" s="34" t="str">
        <f aca="false">IF($B1972="","",COUNTIF($F1972:$AJ1972,"CO"))</f>
        <v/>
      </c>
      <c r="AS1972" s="34" t="str">
        <f aca="false">IF($B1972="","",COUNTIF($F1972:$AJ1972,"HPL"))</f>
        <v/>
      </c>
      <c r="AT1972" s="34" t="str">
        <f aca="false">IF($B1972="","",COUNTIF($F1972:$AJ1972,"HCL"))</f>
        <v/>
      </c>
      <c r="AU1972" s="34" t="str">
        <f aca="false">IF($B1972="","",COUNTIF($F1972:$AJ1972,"WO"))</f>
        <v/>
      </c>
      <c r="AV1972" s="34" t="str">
        <f aca="false">IF($B1972="","",COUNTIF($F1972:$AJ1972,"PH"))</f>
        <v/>
      </c>
      <c r="AW1972" s="34" t="str">
        <f aca="false">IF($B1972="","",COUNTIF($F1972:$AJ1972,"TR"))</f>
        <v/>
      </c>
      <c r="AX1972" s="35" t="str">
        <f aca="false">IF($B1972="","",AO1972+AS1972/2)</f>
        <v/>
      </c>
      <c r="AY1972" s="35" t="str">
        <f aca="false">IF($B1972="","",AQ1972)</f>
        <v/>
      </c>
      <c r="AZ1972" s="35" t="str">
        <f aca="false">IF($B1972="","",AP1972+AT1972/2)</f>
        <v/>
      </c>
      <c r="BA1972" s="35" t="str">
        <f aca="false">IF($B1972="","",AK1972+AN1972+AM1972/2+AO1972+AP1972+AQ1972+AR1972+AS1972+AT1972+AU1972+AV1972+AW1972)</f>
        <v/>
      </c>
      <c r="BB1972" s="35" t="str">
        <f aca="false">IF($B1972="","",MAX(0,AN1972-Settings!$C$16)*Settings!$C$17)</f>
        <v/>
      </c>
      <c r="BC1972" s="35" t="str">
        <f aca="false">IF($B1972="","",BA1972-BB1972)</f>
        <v/>
      </c>
      <c r="BD1972" s="35" t="str">
        <f aca="false">IF(OR($B1972="",$A1972=""),"",DAY(EOMONTH($A1972,0))-COUNTA($F1972:$AJ1972))</f>
        <v/>
      </c>
    </row>
    <row r="1973" customFormat="false" ht="15" hidden="false" customHeight="false" outlineLevel="0" collapsed="false">
      <c r="A1973" s="32"/>
      <c r="B1973" s="29"/>
      <c r="C1973" s="10" t="str">
        <f aca="false">IF($B1973="","",IFERROR(INDEX(M_name,MATCH($B1973,M_emp,0)),"Code not found"))</f>
        <v/>
      </c>
      <c r="D1973" s="10" t="str">
        <f aca="false">IF($B1973="","",IFERROR(INDEX(M_dept,MATCH($B1973,M_emp,0)),""))</f>
        <v/>
      </c>
      <c r="E1973" s="10" t="str">
        <f aca="false">IF($B1973="","",IFERROR(INDEX(M_loc,MATCH($B1973,M_emp,0)),""))</f>
        <v/>
      </c>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c r="AB1973" s="33"/>
      <c r="AC1973" s="33"/>
      <c r="AD1973" s="33"/>
      <c r="AE1973" s="33"/>
      <c r="AF1973" s="33"/>
      <c r="AG1973" s="33"/>
      <c r="AH1973" s="33"/>
      <c r="AI1973" s="33"/>
      <c r="AJ1973" s="33"/>
      <c r="AK1973" s="34" t="str">
        <f aca="false">IF($B1973="","",COUNTIF($F1973:$AJ1973,"P"))</f>
        <v/>
      </c>
      <c r="AL1973" s="34" t="str">
        <f aca="false">IF($B1973="","",COUNTIF($F1973:$AJ1973,"A"))</f>
        <v/>
      </c>
      <c r="AM1973" s="34" t="str">
        <f aca="false">IF($B1973="","",COUNTIF($F1973:$AJ1973,"HA"))</f>
        <v/>
      </c>
      <c r="AN1973" s="34" t="str">
        <f aca="false">IF($B1973="","",COUNTIF($F1973:$AJ1973,"L"))</f>
        <v/>
      </c>
      <c r="AO1973" s="34" t="str">
        <f aca="false">IF($B1973="","",COUNTIF($F1973:$AJ1973,"PL"))</f>
        <v/>
      </c>
      <c r="AP1973" s="34" t="str">
        <f aca="false">IF($B1973="","",COUNTIF($F1973:$AJ1973,"CL"))</f>
        <v/>
      </c>
      <c r="AQ1973" s="34" t="str">
        <f aca="false">IF($B1973="","",COUNTIF($F1973:$AJ1973,"SL"))</f>
        <v/>
      </c>
      <c r="AR1973" s="34" t="str">
        <f aca="false">IF($B1973="","",COUNTIF($F1973:$AJ1973,"CO"))</f>
        <v/>
      </c>
      <c r="AS1973" s="34" t="str">
        <f aca="false">IF($B1973="","",COUNTIF($F1973:$AJ1973,"HPL"))</f>
        <v/>
      </c>
      <c r="AT1973" s="34" t="str">
        <f aca="false">IF($B1973="","",COUNTIF($F1973:$AJ1973,"HCL"))</f>
        <v/>
      </c>
      <c r="AU1973" s="34" t="str">
        <f aca="false">IF($B1973="","",COUNTIF($F1973:$AJ1973,"WO"))</f>
        <v/>
      </c>
      <c r="AV1973" s="34" t="str">
        <f aca="false">IF($B1973="","",COUNTIF($F1973:$AJ1973,"PH"))</f>
        <v/>
      </c>
      <c r="AW1973" s="34" t="str">
        <f aca="false">IF($B1973="","",COUNTIF($F1973:$AJ1973,"TR"))</f>
        <v/>
      </c>
      <c r="AX1973" s="35" t="str">
        <f aca="false">IF($B1973="","",AO1973+AS1973/2)</f>
        <v/>
      </c>
      <c r="AY1973" s="35" t="str">
        <f aca="false">IF($B1973="","",AQ1973)</f>
        <v/>
      </c>
      <c r="AZ1973" s="35" t="str">
        <f aca="false">IF($B1973="","",AP1973+AT1973/2)</f>
        <v/>
      </c>
      <c r="BA1973" s="35" t="str">
        <f aca="false">IF($B1973="","",AK1973+AN1973+AM1973/2+AO1973+AP1973+AQ1973+AR1973+AS1973+AT1973+AU1973+AV1973+AW1973)</f>
        <v/>
      </c>
      <c r="BB1973" s="35" t="str">
        <f aca="false">IF($B1973="","",MAX(0,AN1973-Settings!$C$16)*Settings!$C$17)</f>
        <v/>
      </c>
      <c r="BC1973" s="35" t="str">
        <f aca="false">IF($B1973="","",BA1973-BB1973)</f>
        <v/>
      </c>
      <c r="BD1973" s="35" t="str">
        <f aca="false">IF(OR($B1973="",$A1973=""),"",DAY(EOMONTH($A1973,0))-COUNTA($F1973:$AJ1973))</f>
        <v/>
      </c>
    </row>
    <row r="1974" customFormat="false" ht="15" hidden="false" customHeight="false" outlineLevel="0" collapsed="false">
      <c r="A1974" s="32"/>
      <c r="B1974" s="29"/>
      <c r="C1974" s="10" t="str">
        <f aca="false">IF($B1974="","",IFERROR(INDEX(M_name,MATCH($B1974,M_emp,0)),"Code not found"))</f>
        <v/>
      </c>
      <c r="D1974" s="10" t="str">
        <f aca="false">IF($B1974="","",IFERROR(INDEX(M_dept,MATCH($B1974,M_emp,0)),""))</f>
        <v/>
      </c>
      <c r="E1974" s="10" t="str">
        <f aca="false">IF($B1974="","",IFERROR(INDEX(M_loc,MATCH($B1974,M_emp,0)),""))</f>
        <v/>
      </c>
      <c r="F1974" s="33"/>
      <c r="G1974" s="33"/>
      <c r="H1974" s="33"/>
      <c r="I1974" s="33"/>
      <c r="J1974" s="33"/>
      <c r="K1974" s="33"/>
      <c r="L1974" s="33"/>
      <c r="M1974" s="33"/>
      <c r="N1974" s="33"/>
      <c r="O1974" s="33"/>
      <c r="P1974" s="33"/>
      <c r="Q1974" s="33"/>
      <c r="R1974" s="33"/>
      <c r="S1974" s="33"/>
      <c r="T1974" s="33"/>
      <c r="U1974" s="33"/>
      <c r="V1974" s="33"/>
      <c r="W1974" s="33"/>
      <c r="X1974" s="33"/>
      <c r="Y1974" s="33"/>
      <c r="Z1974" s="33"/>
      <c r="AA1974" s="33"/>
      <c r="AB1974" s="33"/>
      <c r="AC1974" s="33"/>
      <c r="AD1974" s="33"/>
      <c r="AE1974" s="33"/>
      <c r="AF1974" s="33"/>
      <c r="AG1974" s="33"/>
      <c r="AH1974" s="33"/>
      <c r="AI1974" s="33"/>
      <c r="AJ1974" s="33"/>
      <c r="AK1974" s="34" t="str">
        <f aca="false">IF($B1974="","",COUNTIF($F1974:$AJ1974,"P"))</f>
        <v/>
      </c>
      <c r="AL1974" s="34" t="str">
        <f aca="false">IF($B1974="","",COUNTIF($F1974:$AJ1974,"A"))</f>
        <v/>
      </c>
      <c r="AM1974" s="34" t="str">
        <f aca="false">IF($B1974="","",COUNTIF($F1974:$AJ1974,"HA"))</f>
        <v/>
      </c>
      <c r="AN1974" s="34" t="str">
        <f aca="false">IF($B1974="","",COUNTIF($F1974:$AJ1974,"L"))</f>
        <v/>
      </c>
      <c r="AO1974" s="34" t="str">
        <f aca="false">IF($B1974="","",COUNTIF($F1974:$AJ1974,"PL"))</f>
        <v/>
      </c>
      <c r="AP1974" s="34" t="str">
        <f aca="false">IF($B1974="","",COUNTIF($F1974:$AJ1974,"CL"))</f>
        <v/>
      </c>
      <c r="AQ1974" s="34" t="str">
        <f aca="false">IF($B1974="","",COUNTIF($F1974:$AJ1974,"SL"))</f>
        <v/>
      </c>
      <c r="AR1974" s="34" t="str">
        <f aca="false">IF($B1974="","",COUNTIF($F1974:$AJ1974,"CO"))</f>
        <v/>
      </c>
      <c r="AS1974" s="34" t="str">
        <f aca="false">IF($B1974="","",COUNTIF($F1974:$AJ1974,"HPL"))</f>
        <v/>
      </c>
      <c r="AT1974" s="34" t="str">
        <f aca="false">IF($B1974="","",COUNTIF($F1974:$AJ1974,"HCL"))</f>
        <v/>
      </c>
      <c r="AU1974" s="34" t="str">
        <f aca="false">IF($B1974="","",COUNTIF($F1974:$AJ1974,"WO"))</f>
        <v/>
      </c>
      <c r="AV1974" s="34" t="str">
        <f aca="false">IF($B1974="","",COUNTIF($F1974:$AJ1974,"PH"))</f>
        <v/>
      </c>
      <c r="AW1974" s="34" t="str">
        <f aca="false">IF($B1974="","",COUNTIF($F1974:$AJ1974,"TR"))</f>
        <v/>
      </c>
      <c r="AX1974" s="35" t="str">
        <f aca="false">IF($B1974="","",AO1974+AS1974/2)</f>
        <v/>
      </c>
      <c r="AY1974" s="35" t="str">
        <f aca="false">IF($B1974="","",AQ1974)</f>
        <v/>
      </c>
      <c r="AZ1974" s="35" t="str">
        <f aca="false">IF($B1974="","",AP1974+AT1974/2)</f>
        <v/>
      </c>
      <c r="BA1974" s="35" t="str">
        <f aca="false">IF($B1974="","",AK1974+AN1974+AM1974/2+AO1974+AP1974+AQ1974+AR1974+AS1974+AT1974+AU1974+AV1974+AW1974)</f>
        <v/>
      </c>
      <c r="BB1974" s="35" t="str">
        <f aca="false">IF($B1974="","",MAX(0,AN1974-Settings!$C$16)*Settings!$C$17)</f>
        <v/>
      </c>
      <c r="BC1974" s="35" t="str">
        <f aca="false">IF($B1974="","",BA1974-BB1974)</f>
        <v/>
      </c>
      <c r="BD1974" s="35" t="str">
        <f aca="false">IF(OR($B1974="",$A1974=""),"",DAY(EOMONTH($A1974,0))-COUNTA($F1974:$AJ1974))</f>
        <v/>
      </c>
    </row>
    <row r="1975" customFormat="false" ht="15" hidden="false" customHeight="false" outlineLevel="0" collapsed="false">
      <c r="A1975" s="32"/>
      <c r="B1975" s="29"/>
      <c r="C1975" s="10" t="str">
        <f aca="false">IF($B1975="","",IFERROR(INDEX(M_name,MATCH($B1975,M_emp,0)),"Code not found"))</f>
        <v/>
      </c>
      <c r="D1975" s="10" t="str">
        <f aca="false">IF($B1975="","",IFERROR(INDEX(M_dept,MATCH($B1975,M_emp,0)),""))</f>
        <v/>
      </c>
      <c r="E1975" s="10" t="str">
        <f aca="false">IF($B1975="","",IFERROR(INDEX(M_loc,MATCH($B1975,M_emp,0)),""))</f>
        <v/>
      </c>
      <c r="F1975" s="33"/>
      <c r="G1975" s="33"/>
      <c r="H1975" s="33"/>
      <c r="I1975" s="33"/>
      <c r="J1975" s="33"/>
      <c r="K1975" s="33"/>
      <c r="L1975" s="33"/>
      <c r="M1975" s="33"/>
      <c r="N1975" s="33"/>
      <c r="O1975" s="33"/>
      <c r="P1975" s="33"/>
      <c r="Q1975" s="33"/>
      <c r="R1975" s="33"/>
      <c r="S1975" s="33"/>
      <c r="T1975" s="33"/>
      <c r="U1975" s="33"/>
      <c r="V1975" s="33"/>
      <c r="W1975" s="33"/>
      <c r="X1975" s="33"/>
      <c r="Y1975" s="33"/>
      <c r="Z1975" s="33"/>
      <c r="AA1975" s="33"/>
      <c r="AB1975" s="33"/>
      <c r="AC1975" s="33"/>
      <c r="AD1975" s="33"/>
      <c r="AE1975" s="33"/>
      <c r="AF1975" s="33"/>
      <c r="AG1975" s="33"/>
      <c r="AH1975" s="33"/>
      <c r="AI1975" s="33"/>
      <c r="AJ1975" s="33"/>
      <c r="AK1975" s="34" t="str">
        <f aca="false">IF($B1975="","",COUNTIF($F1975:$AJ1975,"P"))</f>
        <v/>
      </c>
      <c r="AL1975" s="34" t="str">
        <f aca="false">IF($B1975="","",COUNTIF($F1975:$AJ1975,"A"))</f>
        <v/>
      </c>
      <c r="AM1975" s="34" t="str">
        <f aca="false">IF($B1975="","",COUNTIF($F1975:$AJ1975,"HA"))</f>
        <v/>
      </c>
      <c r="AN1975" s="34" t="str">
        <f aca="false">IF($B1975="","",COUNTIF($F1975:$AJ1975,"L"))</f>
        <v/>
      </c>
      <c r="AO1975" s="34" t="str">
        <f aca="false">IF($B1975="","",COUNTIF($F1975:$AJ1975,"PL"))</f>
        <v/>
      </c>
      <c r="AP1975" s="34" t="str">
        <f aca="false">IF($B1975="","",COUNTIF($F1975:$AJ1975,"CL"))</f>
        <v/>
      </c>
      <c r="AQ1975" s="34" t="str">
        <f aca="false">IF($B1975="","",COUNTIF($F1975:$AJ1975,"SL"))</f>
        <v/>
      </c>
      <c r="AR1975" s="34" t="str">
        <f aca="false">IF($B1975="","",COUNTIF($F1975:$AJ1975,"CO"))</f>
        <v/>
      </c>
      <c r="AS1975" s="34" t="str">
        <f aca="false">IF($B1975="","",COUNTIF($F1975:$AJ1975,"HPL"))</f>
        <v/>
      </c>
      <c r="AT1975" s="34" t="str">
        <f aca="false">IF($B1975="","",COUNTIF($F1975:$AJ1975,"HCL"))</f>
        <v/>
      </c>
      <c r="AU1975" s="34" t="str">
        <f aca="false">IF($B1975="","",COUNTIF($F1975:$AJ1975,"WO"))</f>
        <v/>
      </c>
      <c r="AV1975" s="34" t="str">
        <f aca="false">IF($B1975="","",COUNTIF($F1975:$AJ1975,"PH"))</f>
        <v/>
      </c>
      <c r="AW1975" s="34" t="str">
        <f aca="false">IF($B1975="","",COUNTIF($F1975:$AJ1975,"TR"))</f>
        <v/>
      </c>
      <c r="AX1975" s="35" t="str">
        <f aca="false">IF($B1975="","",AO1975+AS1975/2)</f>
        <v/>
      </c>
      <c r="AY1975" s="35" t="str">
        <f aca="false">IF($B1975="","",AQ1975)</f>
        <v/>
      </c>
      <c r="AZ1975" s="35" t="str">
        <f aca="false">IF($B1975="","",AP1975+AT1975/2)</f>
        <v/>
      </c>
      <c r="BA1975" s="35" t="str">
        <f aca="false">IF($B1975="","",AK1975+AN1975+AM1975/2+AO1975+AP1975+AQ1975+AR1975+AS1975+AT1975+AU1975+AV1975+AW1975)</f>
        <v/>
      </c>
      <c r="BB1975" s="35" t="str">
        <f aca="false">IF($B1975="","",MAX(0,AN1975-Settings!$C$16)*Settings!$C$17)</f>
        <v/>
      </c>
      <c r="BC1975" s="35" t="str">
        <f aca="false">IF($B1975="","",BA1975-BB1975)</f>
        <v/>
      </c>
      <c r="BD1975" s="35" t="str">
        <f aca="false">IF(OR($B1975="",$A1975=""),"",DAY(EOMONTH($A1975,0))-COUNTA($F1975:$AJ1975))</f>
        <v/>
      </c>
    </row>
    <row r="1976" customFormat="false" ht="15" hidden="false" customHeight="false" outlineLevel="0" collapsed="false">
      <c r="A1976" s="32"/>
      <c r="B1976" s="29"/>
      <c r="C1976" s="10" t="str">
        <f aca="false">IF($B1976="","",IFERROR(INDEX(M_name,MATCH($B1976,M_emp,0)),"Code not found"))</f>
        <v/>
      </c>
      <c r="D1976" s="10" t="str">
        <f aca="false">IF($B1976="","",IFERROR(INDEX(M_dept,MATCH($B1976,M_emp,0)),""))</f>
        <v/>
      </c>
      <c r="E1976" s="10" t="str">
        <f aca="false">IF($B1976="","",IFERROR(INDEX(M_loc,MATCH($B1976,M_emp,0)),""))</f>
        <v/>
      </c>
      <c r="F1976" s="33"/>
      <c r="G1976" s="33"/>
      <c r="H1976" s="33"/>
      <c r="I1976" s="33"/>
      <c r="J1976" s="33"/>
      <c r="K1976" s="33"/>
      <c r="L1976" s="33"/>
      <c r="M1976" s="33"/>
      <c r="N1976" s="33"/>
      <c r="O1976" s="33"/>
      <c r="P1976" s="33"/>
      <c r="Q1976" s="33"/>
      <c r="R1976" s="33"/>
      <c r="S1976" s="33"/>
      <c r="T1976" s="33"/>
      <c r="U1976" s="33"/>
      <c r="V1976" s="33"/>
      <c r="W1976" s="33"/>
      <c r="X1976" s="33"/>
      <c r="Y1976" s="33"/>
      <c r="Z1976" s="33"/>
      <c r="AA1976" s="33"/>
      <c r="AB1976" s="33"/>
      <c r="AC1976" s="33"/>
      <c r="AD1976" s="33"/>
      <c r="AE1976" s="33"/>
      <c r="AF1976" s="33"/>
      <c r="AG1976" s="33"/>
      <c r="AH1976" s="33"/>
      <c r="AI1976" s="33"/>
      <c r="AJ1976" s="33"/>
      <c r="AK1976" s="34" t="str">
        <f aca="false">IF($B1976="","",COUNTIF($F1976:$AJ1976,"P"))</f>
        <v/>
      </c>
      <c r="AL1976" s="34" t="str">
        <f aca="false">IF($B1976="","",COUNTIF($F1976:$AJ1976,"A"))</f>
        <v/>
      </c>
      <c r="AM1976" s="34" t="str">
        <f aca="false">IF($B1976="","",COUNTIF($F1976:$AJ1976,"HA"))</f>
        <v/>
      </c>
      <c r="AN1976" s="34" t="str">
        <f aca="false">IF($B1976="","",COUNTIF($F1976:$AJ1976,"L"))</f>
        <v/>
      </c>
      <c r="AO1976" s="34" t="str">
        <f aca="false">IF($B1976="","",COUNTIF($F1976:$AJ1976,"PL"))</f>
        <v/>
      </c>
      <c r="AP1976" s="34" t="str">
        <f aca="false">IF($B1976="","",COUNTIF($F1976:$AJ1976,"CL"))</f>
        <v/>
      </c>
      <c r="AQ1976" s="34" t="str">
        <f aca="false">IF($B1976="","",COUNTIF($F1976:$AJ1976,"SL"))</f>
        <v/>
      </c>
      <c r="AR1976" s="34" t="str">
        <f aca="false">IF($B1976="","",COUNTIF($F1976:$AJ1976,"CO"))</f>
        <v/>
      </c>
      <c r="AS1976" s="34" t="str">
        <f aca="false">IF($B1976="","",COUNTIF($F1976:$AJ1976,"HPL"))</f>
        <v/>
      </c>
      <c r="AT1976" s="34" t="str">
        <f aca="false">IF($B1976="","",COUNTIF($F1976:$AJ1976,"HCL"))</f>
        <v/>
      </c>
      <c r="AU1976" s="34" t="str">
        <f aca="false">IF($B1976="","",COUNTIF($F1976:$AJ1976,"WO"))</f>
        <v/>
      </c>
      <c r="AV1976" s="34" t="str">
        <f aca="false">IF($B1976="","",COUNTIF($F1976:$AJ1976,"PH"))</f>
        <v/>
      </c>
      <c r="AW1976" s="34" t="str">
        <f aca="false">IF($B1976="","",COUNTIF($F1976:$AJ1976,"TR"))</f>
        <v/>
      </c>
      <c r="AX1976" s="35" t="str">
        <f aca="false">IF($B1976="","",AO1976+AS1976/2)</f>
        <v/>
      </c>
      <c r="AY1976" s="35" t="str">
        <f aca="false">IF($B1976="","",AQ1976)</f>
        <v/>
      </c>
      <c r="AZ1976" s="35" t="str">
        <f aca="false">IF($B1976="","",AP1976+AT1976/2)</f>
        <v/>
      </c>
      <c r="BA1976" s="35" t="str">
        <f aca="false">IF($B1976="","",AK1976+AN1976+AM1976/2+AO1976+AP1976+AQ1976+AR1976+AS1976+AT1976+AU1976+AV1976+AW1976)</f>
        <v/>
      </c>
      <c r="BB1976" s="35" t="str">
        <f aca="false">IF($B1976="","",MAX(0,AN1976-Settings!$C$16)*Settings!$C$17)</f>
        <v/>
      </c>
      <c r="BC1976" s="35" t="str">
        <f aca="false">IF($B1976="","",BA1976-BB1976)</f>
        <v/>
      </c>
      <c r="BD1976" s="35" t="str">
        <f aca="false">IF(OR($B1976="",$A1976=""),"",DAY(EOMONTH($A1976,0))-COUNTA($F1976:$AJ1976))</f>
        <v/>
      </c>
    </row>
    <row r="1977" customFormat="false" ht="15" hidden="false" customHeight="false" outlineLevel="0" collapsed="false">
      <c r="A1977" s="32"/>
      <c r="B1977" s="29"/>
      <c r="C1977" s="10" t="str">
        <f aca="false">IF($B1977="","",IFERROR(INDEX(M_name,MATCH($B1977,M_emp,0)),"Code not found"))</f>
        <v/>
      </c>
      <c r="D1977" s="10" t="str">
        <f aca="false">IF($B1977="","",IFERROR(INDEX(M_dept,MATCH($B1977,M_emp,0)),""))</f>
        <v/>
      </c>
      <c r="E1977" s="10" t="str">
        <f aca="false">IF($B1977="","",IFERROR(INDEX(M_loc,MATCH($B1977,M_emp,0)),""))</f>
        <v/>
      </c>
      <c r="F1977" s="33"/>
      <c r="G1977" s="33"/>
      <c r="H1977" s="33"/>
      <c r="I1977" s="33"/>
      <c r="J1977" s="33"/>
      <c r="K1977" s="33"/>
      <c r="L1977" s="33"/>
      <c r="M1977" s="33"/>
      <c r="N1977" s="33"/>
      <c r="O1977" s="33"/>
      <c r="P1977" s="33"/>
      <c r="Q1977" s="33"/>
      <c r="R1977" s="33"/>
      <c r="S1977" s="33"/>
      <c r="T1977" s="33"/>
      <c r="U1977" s="33"/>
      <c r="V1977" s="33"/>
      <c r="W1977" s="33"/>
      <c r="X1977" s="33"/>
      <c r="Y1977" s="33"/>
      <c r="Z1977" s="33"/>
      <c r="AA1977" s="33"/>
      <c r="AB1977" s="33"/>
      <c r="AC1977" s="33"/>
      <c r="AD1977" s="33"/>
      <c r="AE1977" s="33"/>
      <c r="AF1977" s="33"/>
      <c r="AG1977" s="33"/>
      <c r="AH1977" s="33"/>
      <c r="AI1977" s="33"/>
      <c r="AJ1977" s="33"/>
      <c r="AK1977" s="34" t="str">
        <f aca="false">IF($B1977="","",COUNTIF($F1977:$AJ1977,"P"))</f>
        <v/>
      </c>
      <c r="AL1977" s="34" t="str">
        <f aca="false">IF($B1977="","",COUNTIF($F1977:$AJ1977,"A"))</f>
        <v/>
      </c>
      <c r="AM1977" s="34" t="str">
        <f aca="false">IF($B1977="","",COUNTIF($F1977:$AJ1977,"HA"))</f>
        <v/>
      </c>
      <c r="AN1977" s="34" t="str">
        <f aca="false">IF($B1977="","",COUNTIF($F1977:$AJ1977,"L"))</f>
        <v/>
      </c>
      <c r="AO1977" s="34" t="str">
        <f aca="false">IF($B1977="","",COUNTIF($F1977:$AJ1977,"PL"))</f>
        <v/>
      </c>
      <c r="AP1977" s="34" t="str">
        <f aca="false">IF($B1977="","",COUNTIF($F1977:$AJ1977,"CL"))</f>
        <v/>
      </c>
      <c r="AQ1977" s="34" t="str">
        <f aca="false">IF($B1977="","",COUNTIF($F1977:$AJ1977,"SL"))</f>
        <v/>
      </c>
      <c r="AR1977" s="34" t="str">
        <f aca="false">IF($B1977="","",COUNTIF($F1977:$AJ1977,"CO"))</f>
        <v/>
      </c>
      <c r="AS1977" s="34" t="str">
        <f aca="false">IF($B1977="","",COUNTIF($F1977:$AJ1977,"HPL"))</f>
        <v/>
      </c>
      <c r="AT1977" s="34" t="str">
        <f aca="false">IF($B1977="","",COUNTIF($F1977:$AJ1977,"HCL"))</f>
        <v/>
      </c>
      <c r="AU1977" s="34" t="str">
        <f aca="false">IF($B1977="","",COUNTIF($F1977:$AJ1977,"WO"))</f>
        <v/>
      </c>
      <c r="AV1977" s="34" t="str">
        <f aca="false">IF($B1977="","",COUNTIF($F1977:$AJ1977,"PH"))</f>
        <v/>
      </c>
      <c r="AW1977" s="34" t="str">
        <f aca="false">IF($B1977="","",COUNTIF($F1977:$AJ1977,"TR"))</f>
        <v/>
      </c>
      <c r="AX1977" s="35" t="str">
        <f aca="false">IF($B1977="","",AO1977+AS1977/2)</f>
        <v/>
      </c>
      <c r="AY1977" s="35" t="str">
        <f aca="false">IF($B1977="","",AQ1977)</f>
        <v/>
      </c>
      <c r="AZ1977" s="35" t="str">
        <f aca="false">IF($B1977="","",AP1977+AT1977/2)</f>
        <v/>
      </c>
      <c r="BA1977" s="35" t="str">
        <f aca="false">IF($B1977="","",AK1977+AN1977+AM1977/2+AO1977+AP1977+AQ1977+AR1977+AS1977+AT1977+AU1977+AV1977+AW1977)</f>
        <v/>
      </c>
      <c r="BB1977" s="35" t="str">
        <f aca="false">IF($B1977="","",MAX(0,AN1977-Settings!$C$16)*Settings!$C$17)</f>
        <v/>
      </c>
      <c r="BC1977" s="35" t="str">
        <f aca="false">IF($B1977="","",BA1977-BB1977)</f>
        <v/>
      </c>
      <c r="BD1977" s="35" t="str">
        <f aca="false">IF(OR($B1977="",$A1977=""),"",DAY(EOMONTH($A1977,0))-COUNTA($F1977:$AJ1977))</f>
        <v/>
      </c>
    </row>
    <row r="1978" customFormat="false" ht="15" hidden="false" customHeight="false" outlineLevel="0" collapsed="false">
      <c r="A1978" s="32"/>
      <c r="B1978" s="29"/>
      <c r="C1978" s="10" t="str">
        <f aca="false">IF($B1978="","",IFERROR(INDEX(M_name,MATCH($B1978,M_emp,0)),"Code not found"))</f>
        <v/>
      </c>
      <c r="D1978" s="10" t="str">
        <f aca="false">IF($B1978="","",IFERROR(INDEX(M_dept,MATCH($B1978,M_emp,0)),""))</f>
        <v/>
      </c>
      <c r="E1978" s="10" t="str">
        <f aca="false">IF($B1978="","",IFERROR(INDEX(M_loc,MATCH($B1978,M_emp,0)),""))</f>
        <v/>
      </c>
      <c r="F1978" s="33"/>
      <c r="G1978" s="33"/>
      <c r="H1978" s="33"/>
      <c r="I1978" s="33"/>
      <c r="J1978" s="33"/>
      <c r="K1978" s="33"/>
      <c r="L1978" s="33"/>
      <c r="M1978" s="33"/>
      <c r="N1978" s="33"/>
      <c r="O1978" s="33"/>
      <c r="P1978" s="33"/>
      <c r="Q1978" s="33"/>
      <c r="R1978" s="33"/>
      <c r="S1978" s="33"/>
      <c r="T1978" s="33"/>
      <c r="U1978" s="33"/>
      <c r="V1978" s="33"/>
      <c r="W1978" s="33"/>
      <c r="X1978" s="33"/>
      <c r="Y1978" s="33"/>
      <c r="Z1978" s="33"/>
      <c r="AA1978" s="33"/>
      <c r="AB1978" s="33"/>
      <c r="AC1978" s="33"/>
      <c r="AD1978" s="33"/>
      <c r="AE1978" s="33"/>
      <c r="AF1978" s="33"/>
      <c r="AG1978" s="33"/>
      <c r="AH1978" s="33"/>
      <c r="AI1978" s="33"/>
      <c r="AJ1978" s="33"/>
      <c r="AK1978" s="34" t="str">
        <f aca="false">IF($B1978="","",COUNTIF($F1978:$AJ1978,"P"))</f>
        <v/>
      </c>
      <c r="AL1978" s="34" t="str">
        <f aca="false">IF($B1978="","",COUNTIF($F1978:$AJ1978,"A"))</f>
        <v/>
      </c>
      <c r="AM1978" s="34" t="str">
        <f aca="false">IF($B1978="","",COUNTIF($F1978:$AJ1978,"HA"))</f>
        <v/>
      </c>
      <c r="AN1978" s="34" t="str">
        <f aca="false">IF($B1978="","",COUNTIF($F1978:$AJ1978,"L"))</f>
        <v/>
      </c>
      <c r="AO1978" s="34" t="str">
        <f aca="false">IF($B1978="","",COUNTIF($F1978:$AJ1978,"PL"))</f>
        <v/>
      </c>
      <c r="AP1978" s="34" t="str">
        <f aca="false">IF($B1978="","",COUNTIF($F1978:$AJ1978,"CL"))</f>
        <v/>
      </c>
      <c r="AQ1978" s="34" t="str">
        <f aca="false">IF($B1978="","",COUNTIF($F1978:$AJ1978,"SL"))</f>
        <v/>
      </c>
      <c r="AR1978" s="34" t="str">
        <f aca="false">IF($B1978="","",COUNTIF($F1978:$AJ1978,"CO"))</f>
        <v/>
      </c>
      <c r="AS1978" s="34" t="str">
        <f aca="false">IF($B1978="","",COUNTIF($F1978:$AJ1978,"HPL"))</f>
        <v/>
      </c>
      <c r="AT1978" s="34" t="str">
        <f aca="false">IF($B1978="","",COUNTIF($F1978:$AJ1978,"HCL"))</f>
        <v/>
      </c>
      <c r="AU1978" s="34" t="str">
        <f aca="false">IF($B1978="","",COUNTIF($F1978:$AJ1978,"WO"))</f>
        <v/>
      </c>
      <c r="AV1978" s="34" t="str">
        <f aca="false">IF($B1978="","",COUNTIF($F1978:$AJ1978,"PH"))</f>
        <v/>
      </c>
      <c r="AW1978" s="34" t="str">
        <f aca="false">IF($B1978="","",COUNTIF($F1978:$AJ1978,"TR"))</f>
        <v/>
      </c>
      <c r="AX1978" s="35" t="str">
        <f aca="false">IF($B1978="","",AO1978+AS1978/2)</f>
        <v/>
      </c>
      <c r="AY1978" s="35" t="str">
        <f aca="false">IF($B1978="","",AQ1978)</f>
        <v/>
      </c>
      <c r="AZ1978" s="35" t="str">
        <f aca="false">IF($B1978="","",AP1978+AT1978/2)</f>
        <v/>
      </c>
      <c r="BA1978" s="35" t="str">
        <f aca="false">IF($B1978="","",AK1978+AN1978+AM1978/2+AO1978+AP1978+AQ1978+AR1978+AS1978+AT1978+AU1978+AV1978+AW1978)</f>
        <v/>
      </c>
      <c r="BB1978" s="35" t="str">
        <f aca="false">IF($B1978="","",MAX(0,AN1978-Settings!$C$16)*Settings!$C$17)</f>
        <v/>
      </c>
      <c r="BC1978" s="35" t="str">
        <f aca="false">IF($B1978="","",BA1978-BB1978)</f>
        <v/>
      </c>
      <c r="BD1978" s="35" t="str">
        <f aca="false">IF(OR($B1978="",$A1978=""),"",DAY(EOMONTH($A1978,0))-COUNTA($F1978:$AJ1978))</f>
        <v/>
      </c>
    </row>
    <row r="1979" customFormat="false" ht="15" hidden="false" customHeight="false" outlineLevel="0" collapsed="false">
      <c r="A1979" s="32"/>
      <c r="B1979" s="29"/>
      <c r="C1979" s="10" t="str">
        <f aca="false">IF($B1979="","",IFERROR(INDEX(M_name,MATCH($B1979,M_emp,0)),"Code not found"))</f>
        <v/>
      </c>
      <c r="D1979" s="10" t="str">
        <f aca="false">IF($B1979="","",IFERROR(INDEX(M_dept,MATCH($B1979,M_emp,0)),""))</f>
        <v/>
      </c>
      <c r="E1979" s="10" t="str">
        <f aca="false">IF($B1979="","",IFERROR(INDEX(M_loc,MATCH($B1979,M_emp,0)),""))</f>
        <v/>
      </c>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c r="AB1979" s="33"/>
      <c r="AC1979" s="33"/>
      <c r="AD1979" s="33"/>
      <c r="AE1979" s="33"/>
      <c r="AF1979" s="33"/>
      <c r="AG1979" s="33"/>
      <c r="AH1979" s="33"/>
      <c r="AI1979" s="33"/>
      <c r="AJ1979" s="33"/>
      <c r="AK1979" s="34" t="str">
        <f aca="false">IF($B1979="","",COUNTIF($F1979:$AJ1979,"P"))</f>
        <v/>
      </c>
      <c r="AL1979" s="34" t="str">
        <f aca="false">IF($B1979="","",COUNTIF($F1979:$AJ1979,"A"))</f>
        <v/>
      </c>
      <c r="AM1979" s="34" t="str">
        <f aca="false">IF($B1979="","",COUNTIF($F1979:$AJ1979,"HA"))</f>
        <v/>
      </c>
      <c r="AN1979" s="34" t="str">
        <f aca="false">IF($B1979="","",COUNTIF($F1979:$AJ1979,"L"))</f>
        <v/>
      </c>
      <c r="AO1979" s="34" t="str">
        <f aca="false">IF($B1979="","",COUNTIF($F1979:$AJ1979,"PL"))</f>
        <v/>
      </c>
      <c r="AP1979" s="34" t="str">
        <f aca="false">IF($B1979="","",COUNTIF($F1979:$AJ1979,"CL"))</f>
        <v/>
      </c>
      <c r="AQ1979" s="34" t="str">
        <f aca="false">IF($B1979="","",COUNTIF($F1979:$AJ1979,"SL"))</f>
        <v/>
      </c>
      <c r="AR1979" s="34" t="str">
        <f aca="false">IF($B1979="","",COUNTIF($F1979:$AJ1979,"CO"))</f>
        <v/>
      </c>
      <c r="AS1979" s="34" t="str">
        <f aca="false">IF($B1979="","",COUNTIF($F1979:$AJ1979,"HPL"))</f>
        <v/>
      </c>
      <c r="AT1979" s="34" t="str">
        <f aca="false">IF($B1979="","",COUNTIF($F1979:$AJ1979,"HCL"))</f>
        <v/>
      </c>
      <c r="AU1979" s="34" t="str">
        <f aca="false">IF($B1979="","",COUNTIF($F1979:$AJ1979,"WO"))</f>
        <v/>
      </c>
      <c r="AV1979" s="34" t="str">
        <f aca="false">IF($B1979="","",COUNTIF($F1979:$AJ1979,"PH"))</f>
        <v/>
      </c>
      <c r="AW1979" s="34" t="str">
        <f aca="false">IF($B1979="","",COUNTIF($F1979:$AJ1979,"TR"))</f>
        <v/>
      </c>
      <c r="AX1979" s="35" t="str">
        <f aca="false">IF($B1979="","",AO1979+AS1979/2)</f>
        <v/>
      </c>
      <c r="AY1979" s="35" t="str">
        <f aca="false">IF($B1979="","",AQ1979)</f>
        <v/>
      </c>
      <c r="AZ1979" s="35" t="str">
        <f aca="false">IF($B1979="","",AP1979+AT1979/2)</f>
        <v/>
      </c>
      <c r="BA1979" s="35" t="str">
        <f aca="false">IF($B1979="","",AK1979+AN1979+AM1979/2+AO1979+AP1979+AQ1979+AR1979+AS1979+AT1979+AU1979+AV1979+AW1979)</f>
        <v/>
      </c>
      <c r="BB1979" s="35" t="str">
        <f aca="false">IF($B1979="","",MAX(0,AN1979-Settings!$C$16)*Settings!$C$17)</f>
        <v/>
      </c>
      <c r="BC1979" s="35" t="str">
        <f aca="false">IF($B1979="","",BA1979-BB1979)</f>
        <v/>
      </c>
      <c r="BD1979" s="35" t="str">
        <f aca="false">IF(OR($B1979="",$A1979=""),"",DAY(EOMONTH($A1979,0))-COUNTA($F1979:$AJ1979))</f>
        <v/>
      </c>
    </row>
    <row r="1980" customFormat="false" ht="15" hidden="false" customHeight="false" outlineLevel="0" collapsed="false">
      <c r="A1980" s="32"/>
      <c r="B1980" s="29"/>
      <c r="C1980" s="10" t="str">
        <f aca="false">IF($B1980="","",IFERROR(INDEX(M_name,MATCH($B1980,M_emp,0)),"Code not found"))</f>
        <v/>
      </c>
      <c r="D1980" s="10" t="str">
        <f aca="false">IF($B1980="","",IFERROR(INDEX(M_dept,MATCH($B1980,M_emp,0)),""))</f>
        <v/>
      </c>
      <c r="E1980" s="10" t="str">
        <f aca="false">IF($B1980="","",IFERROR(INDEX(M_loc,MATCH($B1980,M_emp,0)),""))</f>
        <v/>
      </c>
      <c r="F1980" s="33"/>
      <c r="G1980" s="33"/>
      <c r="H1980" s="33"/>
      <c r="I1980" s="33"/>
      <c r="J1980" s="33"/>
      <c r="K1980" s="33"/>
      <c r="L1980" s="33"/>
      <c r="M1980" s="33"/>
      <c r="N1980" s="33"/>
      <c r="O1980" s="33"/>
      <c r="P1980" s="33"/>
      <c r="Q1980" s="33"/>
      <c r="R1980" s="33"/>
      <c r="S1980" s="33"/>
      <c r="T1980" s="33"/>
      <c r="U1980" s="33"/>
      <c r="V1980" s="33"/>
      <c r="W1980" s="33"/>
      <c r="X1980" s="33"/>
      <c r="Y1980" s="33"/>
      <c r="Z1980" s="33"/>
      <c r="AA1980" s="33"/>
      <c r="AB1980" s="33"/>
      <c r="AC1980" s="33"/>
      <c r="AD1980" s="33"/>
      <c r="AE1980" s="33"/>
      <c r="AF1980" s="33"/>
      <c r="AG1980" s="33"/>
      <c r="AH1980" s="33"/>
      <c r="AI1980" s="33"/>
      <c r="AJ1980" s="33"/>
      <c r="AK1980" s="34" t="str">
        <f aca="false">IF($B1980="","",COUNTIF($F1980:$AJ1980,"P"))</f>
        <v/>
      </c>
      <c r="AL1980" s="34" t="str">
        <f aca="false">IF($B1980="","",COUNTIF($F1980:$AJ1980,"A"))</f>
        <v/>
      </c>
      <c r="AM1980" s="34" t="str">
        <f aca="false">IF($B1980="","",COUNTIF($F1980:$AJ1980,"HA"))</f>
        <v/>
      </c>
      <c r="AN1980" s="34" t="str">
        <f aca="false">IF($B1980="","",COUNTIF($F1980:$AJ1980,"L"))</f>
        <v/>
      </c>
      <c r="AO1980" s="34" t="str">
        <f aca="false">IF($B1980="","",COUNTIF($F1980:$AJ1980,"PL"))</f>
        <v/>
      </c>
      <c r="AP1980" s="34" t="str">
        <f aca="false">IF($B1980="","",COUNTIF($F1980:$AJ1980,"CL"))</f>
        <v/>
      </c>
      <c r="AQ1980" s="34" t="str">
        <f aca="false">IF($B1980="","",COUNTIF($F1980:$AJ1980,"SL"))</f>
        <v/>
      </c>
      <c r="AR1980" s="34" t="str">
        <f aca="false">IF($B1980="","",COUNTIF($F1980:$AJ1980,"CO"))</f>
        <v/>
      </c>
      <c r="AS1980" s="34" t="str">
        <f aca="false">IF($B1980="","",COUNTIF($F1980:$AJ1980,"HPL"))</f>
        <v/>
      </c>
      <c r="AT1980" s="34" t="str">
        <f aca="false">IF($B1980="","",COUNTIF($F1980:$AJ1980,"HCL"))</f>
        <v/>
      </c>
      <c r="AU1980" s="34" t="str">
        <f aca="false">IF($B1980="","",COUNTIF($F1980:$AJ1980,"WO"))</f>
        <v/>
      </c>
      <c r="AV1980" s="34" t="str">
        <f aca="false">IF($B1980="","",COUNTIF($F1980:$AJ1980,"PH"))</f>
        <v/>
      </c>
      <c r="AW1980" s="34" t="str">
        <f aca="false">IF($B1980="","",COUNTIF($F1980:$AJ1980,"TR"))</f>
        <v/>
      </c>
      <c r="AX1980" s="35" t="str">
        <f aca="false">IF($B1980="","",AO1980+AS1980/2)</f>
        <v/>
      </c>
      <c r="AY1980" s="35" t="str">
        <f aca="false">IF($B1980="","",AQ1980)</f>
        <v/>
      </c>
      <c r="AZ1980" s="35" t="str">
        <f aca="false">IF($B1980="","",AP1980+AT1980/2)</f>
        <v/>
      </c>
      <c r="BA1980" s="35" t="str">
        <f aca="false">IF($B1980="","",AK1980+AN1980+AM1980/2+AO1980+AP1980+AQ1980+AR1980+AS1980+AT1980+AU1980+AV1980+AW1980)</f>
        <v/>
      </c>
      <c r="BB1980" s="35" t="str">
        <f aca="false">IF($B1980="","",MAX(0,AN1980-Settings!$C$16)*Settings!$C$17)</f>
        <v/>
      </c>
      <c r="BC1980" s="35" t="str">
        <f aca="false">IF($B1980="","",BA1980-BB1980)</f>
        <v/>
      </c>
      <c r="BD1980" s="35" t="str">
        <f aca="false">IF(OR($B1980="",$A1980=""),"",DAY(EOMONTH($A1980,0))-COUNTA($F1980:$AJ1980))</f>
        <v/>
      </c>
    </row>
    <row r="1981" customFormat="false" ht="15" hidden="false" customHeight="false" outlineLevel="0" collapsed="false">
      <c r="A1981" s="32"/>
      <c r="B1981" s="29"/>
      <c r="C1981" s="10" t="str">
        <f aca="false">IF($B1981="","",IFERROR(INDEX(M_name,MATCH($B1981,M_emp,0)),"Code not found"))</f>
        <v/>
      </c>
      <c r="D1981" s="10" t="str">
        <f aca="false">IF($B1981="","",IFERROR(INDEX(M_dept,MATCH($B1981,M_emp,0)),""))</f>
        <v/>
      </c>
      <c r="E1981" s="10" t="str">
        <f aca="false">IF($B1981="","",IFERROR(INDEX(M_loc,MATCH($B1981,M_emp,0)),""))</f>
        <v/>
      </c>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c r="AB1981" s="33"/>
      <c r="AC1981" s="33"/>
      <c r="AD1981" s="33"/>
      <c r="AE1981" s="33"/>
      <c r="AF1981" s="33"/>
      <c r="AG1981" s="33"/>
      <c r="AH1981" s="33"/>
      <c r="AI1981" s="33"/>
      <c r="AJ1981" s="33"/>
      <c r="AK1981" s="34" t="str">
        <f aca="false">IF($B1981="","",COUNTIF($F1981:$AJ1981,"P"))</f>
        <v/>
      </c>
      <c r="AL1981" s="34" t="str">
        <f aca="false">IF($B1981="","",COUNTIF($F1981:$AJ1981,"A"))</f>
        <v/>
      </c>
      <c r="AM1981" s="34" t="str">
        <f aca="false">IF($B1981="","",COUNTIF($F1981:$AJ1981,"HA"))</f>
        <v/>
      </c>
      <c r="AN1981" s="34" t="str">
        <f aca="false">IF($B1981="","",COUNTIF($F1981:$AJ1981,"L"))</f>
        <v/>
      </c>
      <c r="AO1981" s="34" t="str">
        <f aca="false">IF($B1981="","",COUNTIF($F1981:$AJ1981,"PL"))</f>
        <v/>
      </c>
      <c r="AP1981" s="34" t="str">
        <f aca="false">IF($B1981="","",COUNTIF($F1981:$AJ1981,"CL"))</f>
        <v/>
      </c>
      <c r="AQ1981" s="34" t="str">
        <f aca="false">IF($B1981="","",COUNTIF($F1981:$AJ1981,"SL"))</f>
        <v/>
      </c>
      <c r="AR1981" s="34" t="str">
        <f aca="false">IF($B1981="","",COUNTIF($F1981:$AJ1981,"CO"))</f>
        <v/>
      </c>
      <c r="AS1981" s="34" t="str">
        <f aca="false">IF($B1981="","",COUNTIF($F1981:$AJ1981,"HPL"))</f>
        <v/>
      </c>
      <c r="AT1981" s="34" t="str">
        <f aca="false">IF($B1981="","",COUNTIF($F1981:$AJ1981,"HCL"))</f>
        <v/>
      </c>
      <c r="AU1981" s="34" t="str">
        <f aca="false">IF($B1981="","",COUNTIF($F1981:$AJ1981,"WO"))</f>
        <v/>
      </c>
      <c r="AV1981" s="34" t="str">
        <f aca="false">IF($B1981="","",COUNTIF($F1981:$AJ1981,"PH"))</f>
        <v/>
      </c>
      <c r="AW1981" s="34" t="str">
        <f aca="false">IF($B1981="","",COUNTIF($F1981:$AJ1981,"TR"))</f>
        <v/>
      </c>
      <c r="AX1981" s="35" t="str">
        <f aca="false">IF($B1981="","",AO1981+AS1981/2)</f>
        <v/>
      </c>
      <c r="AY1981" s="35" t="str">
        <f aca="false">IF($B1981="","",AQ1981)</f>
        <v/>
      </c>
      <c r="AZ1981" s="35" t="str">
        <f aca="false">IF($B1981="","",AP1981+AT1981/2)</f>
        <v/>
      </c>
      <c r="BA1981" s="35" t="str">
        <f aca="false">IF($B1981="","",AK1981+AN1981+AM1981/2+AO1981+AP1981+AQ1981+AR1981+AS1981+AT1981+AU1981+AV1981+AW1981)</f>
        <v/>
      </c>
      <c r="BB1981" s="35" t="str">
        <f aca="false">IF($B1981="","",MAX(0,AN1981-Settings!$C$16)*Settings!$C$17)</f>
        <v/>
      </c>
      <c r="BC1981" s="35" t="str">
        <f aca="false">IF($B1981="","",BA1981-BB1981)</f>
        <v/>
      </c>
      <c r="BD1981" s="35" t="str">
        <f aca="false">IF(OR($B1981="",$A1981=""),"",DAY(EOMONTH($A1981,0))-COUNTA($F1981:$AJ1981))</f>
        <v/>
      </c>
    </row>
    <row r="1982" customFormat="false" ht="15" hidden="false" customHeight="false" outlineLevel="0" collapsed="false">
      <c r="A1982" s="32"/>
      <c r="B1982" s="29"/>
      <c r="C1982" s="10" t="str">
        <f aca="false">IF($B1982="","",IFERROR(INDEX(M_name,MATCH($B1982,M_emp,0)),"Code not found"))</f>
        <v/>
      </c>
      <c r="D1982" s="10" t="str">
        <f aca="false">IF($B1982="","",IFERROR(INDEX(M_dept,MATCH($B1982,M_emp,0)),""))</f>
        <v/>
      </c>
      <c r="E1982" s="10" t="str">
        <f aca="false">IF($B1982="","",IFERROR(INDEX(M_loc,MATCH($B1982,M_emp,0)),""))</f>
        <v/>
      </c>
      <c r="F1982" s="33"/>
      <c r="G1982" s="33"/>
      <c r="H1982" s="33"/>
      <c r="I1982" s="33"/>
      <c r="J1982" s="33"/>
      <c r="K1982" s="33"/>
      <c r="L1982" s="33"/>
      <c r="M1982" s="33"/>
      <c r="N1982" s="33"/>
      <c r="O1982" s="33"/>
      <c r="P1982" s="33"/>
      <c r="Q1982" s="33"/>
      <c r="R1982" s="33"/>
      <c r="S1982" s="33"/>
      <c r="T1982" s="33"/>
      <c r="U1982" s="33"/>
      <c r="V1982" s="33"/>
      <c r="W1982" s="33"/>
      <c r="X1982" s="33"/>
      <c r="Y1982" s="33"/>
      <c r="Z1982" s="33"/>
      <c r="AA1982" s="33"/>
      <c r="AB1982" s="33"/>
      <c r="AC1982" s="33"/>
      <c r="AD1982" s="33"/>
      <c r="AE1982" s="33"/>
      <c r="AF1982" s="33"/>
      <c r="AG1982" s="33"/>
      <c r="AH1982" s="33"/>
      <c r="AI1982" s="33"/>
      <c r="AJ1982" s="33"/>
      <c r="AK1982" s="34" t="str">
        <f aca="false">IF($B1982="","",COUNTIF($F1982:$AJ1982,"P"))</f>
        <v/>
      </c>
      <c r="AL1982" s="34" t="str">
        <f aca="false">IF($B1982="","",COUNTIF($F1982:$AJ1982,"A"))</f>
        <v/>
      </c>
      <c r="AM1982" s="34" t="str">
        <f aca="false">IF($B1982="","",COUNTIF($F1982:$AJ1982,"HA"))</f>
        <v/>
      </c>
      <c r="AN1982" s="34" t="str">
        <f aca="false">IF($B1982="","",COUNTIF($F1982:$AJ1982,"L"))</f>
        <v/>
      </c>
      <c r="AO1982" s="34" t="str">
        <f aca="false">IF($B1982="","",COUNTIF($F1982:$AJ1982,"PL"))</f>
        <v/>
      </c>
      <c r="AP1982" s="34" t="str">
        <f aca="false">IF($B1982="","",COUNTIF($F1982:$AJ1982,"CL"))</f>
        <v/>
      </c>
      <c r="AQ1982" s="34" t="str">
        <f aca="false">IF($B1982="","",COUNTIF($F1982:$AJ1982,"SL"))</f>
        <v/>
      </c>
      <c r="AR1982" s="34" t="str">
        <f aca="false">IF($B1982="","",COUNTIF($F1982:$AJ1982,"CO"))</f>
        <v/>
      </c>
      <c r="AS1982" s="34" t="str">
        <f aca="false">IF($B1982="","",COUNTIF($F1982:$AJ1982,"HPL"))</f>
        <v/>
      </c>
      <c r="AT1982" s="34" t="str">
        <f aca="false">IF($B1982="","",COUNTIF($F1982:$AJ1982,"HCL"))</f>
        <v/>
      </c>
      <c r="AU1982" s="34" t="str">
        <f aca="false">IF($B1982="","",COUNTIF($F1982:$AJ1982,"WO"))</f>
        <v/>
      </c>
      <c r="AV1982" s="34" t="str">
        <f aca="false">IF($B1982="","",COUNTIF($F1982:$AJ1982,"PH"))</f>
        <v/>
      </c>
      <c r="AW1982" s="34" t="str">
        <f aca="false">IF($B1982="","",COUNTIF($F1982:$AJ1982,"TR"))</f>
        <v/>
      </c>
      <c r="AX1982" s="35" t="str">
        <f aca="false">IF($B1982="","",AO1982+AS1982/2)</f>
        <v/>
      </c>
      <c r="AY1982" s="35" t="str">
        <f aca="false">IF($B1982="","",AQ1982)</f>
        <v/>
      </c>
      <c r="AZ1982" s="35" t="str">
        <f aca="false">IF($B1982="","",AP1982+AT1982/2)</f>
        <v/>
      </c>
      <c r="BA1982" s="35" t="str">
        <f aca="false">IF($B1982="","",AK1982+AN1982+AM1982/2+AO1982+AP1982+AQ1982+AR1982+AS1982+AT1982+AU1982+AV1982+AW1982)</f>
        <v/>
      </c>
      <c r="BB1982" s="35" t="str">
        <f aca="false">IF($B1982="","",MAX(0,AN1982-Settings!$C$16)*Settings!$C$17)</f>
        <v/>
      </c>
      <c r="BC1982" s="35" t="str">
        <f aca="false">IF($B1982="","",BA1982-BB1982)</f>
        <v/>
      </c>
      <c r="BD1982" s="35" t="str">
        <f aca="false">IF(OR($B1982="",$A1982=""),"",DAY(EOMONTH($A1982,0))-COUNTA($F1982:$AJ1982))</f>
        <v/>
      </c>
    </row>
    <row r="1983" customFormat="false" ht="15" hidden="false" customHeight="false" outlineLevel="0" collapsed="false">
      <c r="A1983" s="32"/>
      <c r="B1983" s="29"/>
      <c r="C1983" s="10" t="str">
        <f aca="false">IF($B1983="","",IFERROR(INDEX(M_name,MATCH($B1983,M_emp,0)),"Code not found"))</f>
        <v/>
      </c>
      <c r="D1983" s="10" t="str">
        <f aca="false">IF($B1983="","",IFERROR(INDEX(M_dept,MATCH($B1983,M_emp,0)),""))</f>
        <v/>
      </c>
      <c r="E1983" s="10" t="str">
        <f aca="false">IF($B1983="","",IFERROR(INDEX(M_loc,MATCH($B1983,M_emp,0)),""))</f>
        <v/>
      </c>
      <c r="F1983" s="33"/>
      <c r="G1983" s="33"/>
      <c r="H1983" s="33"/>
      <c r="I1983" s="33"/>
      <c r="J1983" s="33"/>
      <c r="K1983" s="33"/>
      <c r="L1983" s="33"/>
      <c r="M1983" s="33"/>
      <c r="N1983" s="33"/>
      <c r="O1983" s="33"/>
      <c r="P1983" s="33"/>
      <c r="Q1983" s="33"/>
      <c r="R1983" s="33"/>
      <c r="S1983" s="33"/>
      <c r="T1983" s="33"/>
      <c r="U1983" s="33"/>
      <c r="V1983" s="33"/>
      <c r="W1983" s="33"/>
      <c r="X1983" s="33"/>
      <c r="Y1983" s="33"/>
      <c r="Z1983" s="33"/>
      <c r="AA1983" s="33"/>
      <c r="AB1983" s="33"/>
      <c r="AC1983" s="33"/>
      <c r="AD1983" s="33"/>
      <c r="AE1983" s="33"/>
      <c r="AF1983" s="33"/>
      <c r="AG1983" s="33"/>
      <c r="AH1983" s="33"/>
      <c r="AI1983" s="33"/>
      <c r="AJ1983" s="33"/>
      <c r="AK1983" s="34" t="str">
        <f aca="false">IF($B1983="","",COUNTIF($F1983:$AJ1983,"P"))</f>
        <v/>
      </c>
      <c r="AL1983" s="34" t="str">
        <f aca="false">IF($B1983="","",COUNTIF($F1983:$AJ1983,"A"))</f>
        <v/>
      </c>
      <c r="AM1983" s="34" t="str">
        <f aca="false">IF($B1983="","",COUNTIF($F1983:$AJ1983,"HA"))</f>
        <v/>
      </c>
      <c r="AN1983" s="34" t="str">
        <f aca="false">IF($B1983="","",COUNTIF($F1983:$AJ1983,"L"))</f>
        <v/>
      </c>
      <c r="AO1983" s="34" t="str">
        <f aca="false">IF($B1983="","",COUNTIF($F1983:$AJ1983,"PL"))</f>
        <v/>
      </c>
      <c r="AP1983" s="34" t="str">
        <f aca="false">IF($B1983="","",COUNTIF($F1983:$AJ1983,"CL"))</f>
        <v/>
      </c>
      <c r="AQ1983" s="34" t="str">
        <f aca="false">IF($B1983="","",COUNTIF($F1983:$AJ1983,"SL"))</f>
        <v/>
      </c>
      <c r="AR1983" s="34" t="str">
        <f aca="false">IF($B1983="","",COUNTIF($F1983:$AJ1983,"CO"))</f>
        <v/>
      </c>
      <c r="AS1983" s="34" t="str">
        <f aca="false">IF($B1983="","",COUNTIF($F1983:$AJ1983,"HPL"))</f>
        <v/>
      </c>
      <c r="AT1983" s="34" t="str">
        <f aca="false">IF($B1983="","",COUNTIF($F1983:$AJ1983,"HCL"))</f>
        <v/>
      </c>
      <c r="AU1983" s="34" t="str">
        <f aca="false">IF($B1983="","",COUNTIF($F1983:$AJ1983,"WO"))</f>
        <v/>
      </c>
      <c r="AV1983" s="34" t="str">
        <f aca="false">IF($B1983="","",COUNTIF($F1983:$AJ1983,"PH"))</f>
        <v/>
      </c>
      <c r="AW1983" s="34" t="str">
        <f aca="false">IF($B1983="","",COUNTIF($F1983:$AJ1983,"TR"))</f>
        <v/>
      </c>
      <c r="AX1983" s="35" t="str">
        <f aca="false">IF($B1983="","",AO1983+AS1983/2)</f>
        <v/>
      </c>
      <c r="AY1983" s="35" t="str">
        <f aca="false">IF($B1983="","",AQ1983)</f>
        <v/>
      </c>
      <c r="AZ1983" s="35" t="str">
        <f aca="false">IF($B1983="","",AP1983+AT1983/2)</f>
        <v/>
      </c>
      <c r="BA1983" s="35" t="str">
        <f aca="false">IF($B1983="","",AK1983+AN1983+AM1983/2+AO1983+AP1983+AQ1983+AR1983+AS1983+AT1983+AU1983+AV1983+AW1983)</f>
        <v/>
      </c>
      <c r="BB1983" s="35" t="str">
        <f aca="false">IF($B1983="","",MAX(0,AN1983-Settings!$C$16)*Settings!$C$17)</f>
        <v/>
      </c>
      <c r="BC1983" s="35" t="str">
        <f aca="false">IF($B1983="","",BA1983-BB1983)</f>
        <v/>
      </c>
      <c r="BD1983" s="35" t="str">
        <f aca="false">IF(OR($B1983="",$A1983=""),"",DAY(EOMONTH($A1983,0))-COUNTA($F1983:$AJ1983))</f>
        <v/>
      </c>
    </row>
    <row r="1984" customFormat="false" ht="15" hidden="false" customHeight="false" outlineLevel="0" collapsed="false">
      <c r="A1984" s="32"/>
      <c r="B1984" s="29"/>
      <c r="C1984" s="10" t="str">
        <f aca="false">IF($B1984="","",IFERROR(INDEX(M_name,MATCH($B1984,M_emp,0)),"Code not found"))</f>
        <v/>
      </c>
      <c r="D1984" s="10" t="str">
        <f aca="false">IF($B1984="","",IFERROR(INDEX(M_dept,MATCH($B1984,M_emp,0)),""))</f>
        <v/>
      </c>
      <c r="E1984" s="10" t="str">
        <f aca="false">IF($B1984="","",IFERROR(INDEX(M_loc,MATCH($B1984,M_emp,0)),""))</f>
        <v/>
      </c>
      <c r="F1984" s="33"/>
      <c r="G1984" s="33"/>
      <c r="H1984" s="33"/>
      <c r="I1984" s="33"/>
      <c r="J1984" s="33"/>
      <c r="K1984" s="33"/>
      <c r="L1984" s="33"/>
      <c r="M1984" s="33"/>
      <c r="N1984" s="33"/>
      <c r="O1984" s="33"/>
      <c r="P1984" s="33"/>
      <c r="Q1984" s="33"/>
      <c r="R1984" s="33"/>
      <c r="S1984" s="33"/>
      <c r="T1984" s="33"/>
      <c r="U1984" s="33"/>
      <c r="V1984" s="33"/>
      <c r="W1984" s="33"/>
      <c r="X1984" s="33"/>
      <c r="Y1984" s="33"/>
      <c r="Z1984" s="33"/>
      <c r="AA1984" s="33"/>
      <c r="AB1984" s="33"/>
      <c r="AC1984" s="33"/>
      <c r="AD1984" s="33"/>
      <c r="AE1984" s="33"/>
      <c r="AF1984" s="33"/>
      <c r="AG1984" s="33"/>
      <c r="AH1984" s="33"/>
      <c r="AI1984" s="33"/>
      <c r="AJ1984" s="33"/>
      <c r="AK1984" s="34" t="str">
        <f aca="false">IF($B1984="","",COUNTIF($F1984:$AJ1984,"P"))</f>
        <v/>
      </c>
      <c r="AL1984" s="34" t="str">
        <f aca="false">IF($B1984="","",COUNTIF($F1984:$AJ1984,"A"))</f>
        <v/>
      </c>
      <c r="AM1984" s="34" t="str">
        <f aca="false">IF($B1984="","",COUNTIF($F1984:$AJ1984,"HA"))</f>
        <v/>
      </c>
      <c r="AN1984" s="34" t="str">
        <f aca="false">IF($B1984="","",COUNTIF($F1984:$AJ1984,"L"))</f>
        <v/>
      </c>
      <c r="AO1984" s="34" t="str">
        <f aca="false">IF($B1984="","",COUNTIF($F1984:$AJ1984,"PL"))</f>
        <v/>
      </c>
      <c r="AP1984" s="34" t="str">
        <f aca="false">IF($B1984="","",COUNTIF($F1984:$AJ1984,"CL"))</f>
        <v/>
      </c>
      <c r="AQ1984" s="34" t="str">
        <f aca="false">IF($B1984="","",COUNTIF($F1984:$AJ1984,"SL"))</f>
        <v/>
      </c>
      <c r="AR1984" s="34" t="str">
        <f aca="false">IF($B1984="","",COUNTIF($F1984:$AJ1984,"CO"))</f>
        <v/>
      </c>
      <c r="AS1984" s="34" t="str">
        <f aca="false">IF($B1984="","",COUNTIF($F1984:$AJ1984,"HPL"))</f>
        <v/>
      </c>
      <c r="AT1984" s="34" t="str">
        <f aca="false">IF($B1984="","",COUNTIF($F1984:$AJ1984,"HCL"))</f>
        <v/>
      </c>
      <c r="AU1984" s="34" t="str">
        <f aca="false">IF($B1984="","",COUNTIF($F1984:$AJ1984,"WO"))</f>
        <v/>
      </c>
      <c r="AV1984" s="34" t="str">
        <f aca="false">IF($B1984="","",COUNTIF($F1984:$AJ1984,"PH"))</f>
        <v/>
      </c>
      <c r="AW1984" s="34" t="str">
        <f aca="false">IF($B1984="","",COUNTIF($F1984:$AJ1984,"TR"))</f>
        <v/>
      </c>
      <c r="AX1984" s="35" t="str">
        <f aca="false">IF($B1984="","",AO1984+AS1984/2)</f>
        <v/>
      </c>
      <c r="AY1984" s="35" t="str">
        <f aca="false">IF($B1984="","",AQ1984)</f>
        <v/>
      </c>
      <c r="AZ1984" s="35" t="str">
        <f aca="false">IF($B1984="","",AP1984+AT1984/2)</f>
        <v/>
      </c>
      <c r="BA1984" s="35" t="str">
        <f aca="false">IF($B1984="","",AK1984+AN1984+AM1984/2+AO1984+AP1984+AQ1984+AR1984+AS1984+AT1984+AU1984+AV1984+AW1984)</f>
        <v/>
      </c>
      <c r="BB1984" s="35" t="str">
        <f aca="false">IF($B1984="","",MAX(0,AN1984-Settings!$C$16)*Settings!$C$17)</f>
        <v/>
      </c>
      <c r="BC1984" s="35" t="str">
        <f aca="false">IF($B1984="","",BA1984-BB1984)</f>
        <v/>
      </c>
      <c r="BD1984" s="35" t="str">
        <f aca="false">IF(OR($B1984="",$A1984=""),"",DAY(EOMONTH($A1984,0))-COUNTA($F1984:$AJ1984))</f>
        <v/>
      </c>
    </row>
    <row r="1985" customFormat="false" ht="15" hidden="false" customHeight="false" outlineLevel="0" collapsed="false">
      <c r="A1985" s="32"/>
      <c r="B1985" s="29"/>
      <c r="C1985" s="10" t="str">
        <f aca="false">IF($B1985="","",IFERROR(INDEX(M_name,MATCH($B1985,M_emp,0)),"Code not found"))</f>
        <v/>
      </c>
      <c r="D1985" s="10" t="str">
        <f aca="false">IF($B1985="","",IFERROR(INDEX(M_dept,MATCH($B1985,M_emp,0)),""))</f>
        <v/>
      </c>
      <c r="E1985" s="10" t="str">
        <f aca="false">IF($B1985="","",IFERROR(INDEX(M_loc,MATCH($B1985,M_emp,0)),""))</f>
        <v/>
      </c>
      <c r="F1985" s="33"/>
      <c r="G1985" s="33"/>
      <c r="H1985" s="33"/>
      <c r="I1985" s="33"/>
      <c r="J1985" s="33"/>
      <c r="K1985" s="33"/>
      <c r="L1985" s="33"/>
      <c r="M1985" s="33"/>
      <c r="N1985" s="33"/>
      <c r="O1985" s="33"/>
      <c r="P1985" s="33"/>
      <c r="Q1985" s="33"/>
      <c r="R1985" s="33"/>
      <c r="S1985" s="33"/>
      <c r="T1985" s="33"/>
      <c r="U1985" s="33"/>
      <c r="V1985" s="33"/>
      <c r="W1985" s="33"/>
      <c r="X1985" s="33"/>
      <c r="Y1985" s="33"/>
      <c r="Z1985" s="33"/>
      <c r="AA1985" s="33"/>
      <c r="AB1985" s="33"/>
      <c r="AC1985" s="33"/>
      <c r="AD1985" s="33"/>
      <c r="AE1985" s="33"/>
      <c r="AF1985" s="33"/>
      <c r="AG1985" s="33"/>
      <c r="AH1985" s="33"/>
      <c r="AI1985" s="33"/>
      <c r="AJ1985" s="33"/>
      <c r="AK1985" s="34" t="str">
        <f aca="false">IF($B1985="","",COUNTIF($F1985:$AJ1985,"P"))</f>
        <v/>
      </c>
      <c r="AL1985" s="34" t="str">
        <f aca="false">IF($B1985="","",COUNTIF($F1985:$AJ1985,"A"))</f>
        <v/>
      </c>
      <c r="AM1985" s="34" t="str">
        <f aca="false">IF($B1985="","",COUNTIF($F1985:$AJ1985,"HA"))</f>
        <v/>
      </c>
      <c r="AN1985" s="34" t="str">
        <f aca="false">IF($B1985="","",COUNTIF($F1985:$AJ1985,"L"))</f>
        <v/>
      </c>
      <c r="AO1985" s="34" t="str">
        <f aca="false">IF($B1985="","",COUNTIF($F1985:$AJ1985,"PL"))</f>
        <v/>
      </c>
      <c r="AP1985" s="34" t="str">
        <f aca="false">IF($B1985="","",COUNTIF($F1985:$AJ1985,"CL"))</f>
        <v/>
      </c>
      <c r="AQ1985" s="34" t="str">
        <f aca="false">IF($B1985="","",COUNTIF($F1985:$AJ1985,"SL"))</f>
        <v/>
      </c>
      <c r="AR1985" s="34" t="str">
        <f aca="false">IF($B1985="","",COUNTIF($F1985:$AJ1985,"CO"))</f>
        <v/>
      </c>
      <c r="AS1985" s="34" t="str">
        <f aca="false">IF($B1985="","",COUNTIF($F1985:$AJ1985,"HPL"))</f>
        <v/>
      </c>
      <c r="AT1985" s="34" t="str">
        <f aca="false">IF($B1985="","",COUNTIF($F1985:$AJ1985,"HCL"))</f>
        <v/>
      </c>
      <c r="AU1985" s="34" t="str">
        <f aca="false">IF($B1985="","",COUNTIF($F1985:$AJ1985,"WO"))</f>
        <v/>
      </c>
      <c r="AV1985" s="34" t="str">
        <f aca="false">IF($B1985="","",COUNTIF($F1985:$AJ1985,"PH"))</f>
        <v/>
      </c>
      <c r="AW1985" s="34" t="str">
        <f aca="false">IF($B1985="","",COUNTIF($F1985:$AJ1985,"TR"))</f>
        <v/>
      </c>
      <c r="AX1985" s="35" t="str">
        <f aca="false">IF($B1985="","",AO1985+AS1985/2)</f>
        <v/>
      </c>
      <c r="AY1985" s="35" t="str">
        <f aca="false">IF($B1985="","",AQ1985)</f>
        <v/>
      </c>
      <c r="AZ1985" s="35" t="str">
        <f aca="false">IF($B1985="","",AP1985+AT1985/2)</f>
        <v/>
      </c>
      <c r="BA1985" s="35" t="str">
        <f aca="false">IF($B1985="","",AK1985+AN1985+AM1985/2+AO1985+AP1985+AQ1985+AR1985+AS1985+AT1985+AU1985+AV1985+AW1985)</f>
        <v/>
      </c>
      <c r="BB1985" s="35" t="str">
        <f aca="false">IF($B1985="","",MAX(0,AN1985-Settings!$C$16)*Settings!$C$17)</f>
        <v/>
      </c>
      <c r="BC1985" s="35" t="str">
        <f aca="false">IF($B1985="","",BA1985-BB1985)</f>
        <v/>
      </c>
      <c r="BD1985" s="35" t="str">
        <f aca="false">IF(OR($B1985="",$A1985=""),"",DAY(EOMONTH($A1985,0))-COUNTA($F1985:$AJ1985))</f>
        <v/>
      </c>
    </row>
    <row r="1986" customFormat="false" ht="15" hidden="false" customHeight="false" outlineLevel="0" collapsed="false">
      <c r="A1986" s="32"/>
      <c r="B1986" s="29"/>
      <c r="C1986" s="10" t="str">
        <f aca="false">IF($B1986="","",IFERROR(INDEX(M_name,MATCH($B1986,M_emp,0)),"Code not found"))</f>
        <v/>
      </c>
      <c r="D1986" s="10" t="str">
        <f aca="false">IF($B1986="","",IFERROR(INDEX(M_dept,MATCH($B1986,M_emp,0)),""))</f>
        <v/>
      </c>
      <c r="E1986" s="10" t="str">
        <f aca="false">IF($B1986="","",IFERROR(INDEX(M_loc,MATCH($B1986,M_emp,0)),""))</f>
        <v/>
      </c>
      <c r="F1986" s="33"/>
      <c r="G1986" s="33"/>
      <c r="H1986" s="33"/>
      <c r="I1986" s="33"/>
      <c r="J1986" s="33"/>
      <c r="K1986" s="33"/>
      <c r="L1986" s="33"/>
      <c r="M1986" s="33"/>
      <c r="N1986" s="33"/>
      <c r="O1986" s="33"/>
      <c r="P1986" s="33"/>
      <c r="Q1986" s="33"/>
      <c r="R1986" s="33"/>
      <c r="S1986" s="33"/>
      <c r="T1986" s="33"/>
      <c r="U1986" s="33"/>
      <c r="V1986" s="33"/>
      <c r="W1986" s="33"/>
      <c r="X1986" s="33"/>
      <c r="Y1986" s="33"/>
      <c r="Z1986" s="33"/>
      <c r="AA1986" s="33"/>
      <c r="AB1986" s="33"/>
      <c r="AC1986" s="33"/>
      <c r="AD1986" s="33"/>
      <c r="AE1986" s="33"/>
      <c r="AF1986" s="33"/>
      <c r="AG1986" s="33"/>
      <c r="AH1986" s="33"/>
      <c r="AI1986" s="33"/>
      <c r="AJ1986" s="33"/>
      <c r="AK1986" s="34" t="str">
        <f aca="false">IF($B1986="","",COUNTIF($F1986:$AJ1986,"P"))</f>
        <v/>
      </c>
      <c r="AL1986" s="34" t="str">
        <f aca="false">IF($B1986="","",COUNTIF($F1986:$AJ1986,"A"))</f>
        <v/>
      </c>
      <c r="AM1986" s="34" t="str">
        <f aca="false">IF($B1986="","",COUNTIF($F1986:$AJ1986,"HA"))</f>
        <v/>
      </c>
      <c r="AN1986" s="34" t="str">
        <f aca="false">IF($B1986="","",COUNTIF($F1986:$AJ1986,"L"))</f>
        <v/>
      </c>
      <c r="AO1986" s="34" t="str">
        <f aca="false">IF($B1986="","",COUNTIF($F1986:$AJ1986,"PL"))</f>
        <v/>
      </c>
      <c r="AP1986" s="34" t="str">
        <f aca="false">IF($B1986="","",COUNTIF($F1986:$AJ1986,"CL"))</f>
        <v/>
      </c>
      <c r="AQ1986" s="34" t="str">
        <f aca="false">IF($B1986="","",COUNTIF($F1986:$AJ1986,"SL"))</f>
        <v/>
      </c>
      <c r="AR1986" s="34" t="str">
        <f aca="false">IF($B1986="","",COUNTIF($F1986:$AJ1986,"CO"))</f>
        <v/>
      </c>
      <c r="AS1986" s="34" t="str">
        <f aca="false">IF($B1986="","",COUNTIF($F1986:$AJ1986,"HPL"))</f>
        <v/>
      </c>
      <c r="AT1986" s="34" t="str">
        <f aca="false">IF($B1986="","",COUNTIF($F1986:$AJ1986,"HCL"))</f>
        <v/>
      </c>
      <c r="AU1986" s="34" t="str">
        <f aca="false">IF($B1986="","",COUNTIF($F1986:$AJ1986,"WO"))</f>
        <v/>
      </c>
      <c r="AV1986" s="34" t="str">
        <f aca="false">IF($B1986="","",COUNTIF($F1986:$AJ1986,"PH"))</f>
        <v/>
      </c>
      <c r="AW1986" s="34" t="str">
        <f aca="false">IF($B1986="","",COUNTIF($F1986:$AJ1986,"TR"))</f>
        <v/>
      </c>
      <c r="AX1986" s="35" t="str">
        <f aca="false">IF($B1986="","",AO1986+AS1986/2)</f>
        <v/>
      </c>
      <c r="AY1986" s="35" t="str">
        <f aca="false">IF($B1986="","",AQ1986)</f>
        <v/>
      </c>
      <c r="AZ1986" s="35" t="str">
        <f aca="false">IF($B1986="","",AP1986+AT1986/2)</f>
        <v/>
      </c>
      <c r="BA1986" s="35" t="str">
        <f aca="false">IF($B1986="","",AK1986+AN1986+AM1986/2+AO1986+AP1986+AQ1986+AR1986+AS1986+AT1986+AU1986+AV1986+AW1986)</f>
        <v/>
      </c>
      <c r="BB1986" s="35" t="str">
        <f aca="false">IF($B1986="","",MAX(0,AN1986-Settings!$C$16)*Settings!$C$17)</f>
        <v/>
      </c>
      <c r="BC1986" s="35" t="str">
        <f aca="false">IF($B1986="","",BA1986-BB1986)</f>
        <v/>
      </c>
      <c r="BD1986" s="35" t="str">
        <f aca="false">IF(OR($B1986="",$A1986=""),"",DAY(EOMONTH($A1986,0))-COUNTA($F1986:$AJ1986))</f>
        <v/>
      </c>
    </row>
    <row r="1987" customFormat="false" ht="15" hidden="false" customHeight="false" outlineLevel="0" collapsed="false">
      <c r="A1987" s="32"/>
      <c r="B1987" s="29"/>
      <c r="C1987" s="10" t="str">
        <f aca="false">IF($B1987="","",IFERROR(INDEX(M_name,MATCH($B1987,M_emp,0)),"Code not found"))</f>
        <v/>
      </c>
      <c r="D1987" s="10" t="str">
        <f aca="false">IF($B1987="","",IFERROR(INDEX(M_dept,MATCH($B1987,M_emp,0)),""))</f>
        <v/>
      </c>
      <c r="E1987" s="10" t="str">
        <f aca="false">IF($B1987="","",IFERROR(INDEX(M_loc,MATCH($B1987,M_emp,0)),""))</f>
        <v/>
      </c>
      <c r="F1987" s="33"/>
      <c r="G1987" s="33"/>
      <c r="H1987" s="33"/>
      <c r="I1987" s="33"/>
      <c r="J1987" s="33"/>
      <c r="K1987" s="33"/>
      <c r="L1987" s="33"/>
      <c r="M1987" s="33"/>
      <c r="N1987" s="33"/>
      <c r="O1987" s="33"/>
      <c r="P1987" s="33"/>
      <c r="Q1987" s="33"/>
      <c r="R1987" s="33"/>
      <c r="S1987" s="33"/>
      <c r="T1987" s="33"/>
      <c r="U1987" s="33"/>
      <c r="V1987" s="33"/>
      <c r="W1987" s="33"/>
      <c r="X1987" s="33"/>
      <c r="Y1987" s="33"/>
      <c r="Z1987" s="33"/>
      <c r="AA1987" s="33"/>
      <c r="AB1987" s="33"/>
      <c r="AC1987" s="33"/>
      <c r="AD1987" s="33"/>
      <c r="AE1987" s="33"/>
      <c r="AF1987" s="33"/>
      <c r="AG1987" s="33"/>
      <c r="AH1987" s="33"/>
      <c r="AI1987" s="33"/>
      <c r="AJ1987" s="33"/>
      <c r="AK1987" s="34" t="str">
        <f aca="false">IF($B1987="","",COUNTIF($F1987:$AJ1987,"P"))</f>
        <v/>
      </c>
      <c r="AL1987" s="34" t="str">
        <f aca="false">IF($B1987="","",COUNTIF($F1987:$AJ1987,"A"))</f>
        <v/>
      </c>
      <c r="AM1987" s="34" t="str">
        <f aca="false">IF($B1987="","",COUNTIF($F1987:$AJ1987,"HA"))</f>
        <v/>
      </c>
      <c r="AN1987" s="34" t="str">
        <f aca="false">IF($B1987="","",COUNTIF($F1987:$AJ1987,"L"))</f>
        <v/>
      </c>
      <c r="AO1987" s="34" t="str">
        <f aca="false">IF($B1987="","",COUNTIF($F1987:$AJ1987,"PL"))</f>
        <v/>
      </c>
      <c r="AP1987" s="34" t="str">
        <f aca="false">IF($B1987="","",COUNTIF($F1987:$AJ1987,"CL"))</f>
        <v/>
      </c>
      <c r="AQ1987" s="34" t="str">
        <f aca="false">IF($B1987="","",COUNTIF($F1987:$AJ1987,"SL"))</f>
        <v/>
      </c>
      <c r="AR1987" s="34" t="str">
        <f aca="false">IF($B1987="","",COUNTIF($F1987:$AJ1987,"CO"))</f>
        <v/>
      </c>
      <c r="AS1987" s="34" t="str">
        <f aca="false">IF($B1987="","",COUNTIF($F1987:$AJ1987,"HPL"))</f>
        <v/>
      </c>
      <c r="AT1987" s="34" t="str">
        <f aca="false">IF($B1987="","",COUNTIF($F1987:$AJ1987,"HCL"))</f>
        <v/>
      </c>
      <c r="AU1987" s="34" t="str">
        <f aca="false">IF($B1987="","",COUNTIF($F1987:$AJ1987,"WO"))</f>
        <v/>
      </c>
      <c r="AV1987" s="34" t="str">
        <f aca="false">IF($B1987="","",COUNTIF($F1987:$AJ1987,"PH"))</f>
        <v/>
      </c>
      <c r="AW1987" s="34" t="str">
        <f aca="false">IF($B1987="","",COUNTIF($F1987:$AJ1987,"TR"))</f>
        <v/>
      </c>
      <c r="AX1987" s="35" t="str">
        <f aca="false">IF($B1987="","",AO1987+AS1987/2)</f>
        <v/>
      </c>
      <c r="AY1987" s="35" t="str">
        <f aca="false">IF($B1987="","",AQ1987)</f>
        <v/>
      </c>
      <c r="AZ1987" s="35" t="str">
        <f aca="false">IF($B1987="","",AP1987+AT1987/2)</f>
        <v/>
      </c>
      <c r="BA1987" s="35" t="str">
        <f aca="false">IF($B1987="","",AK1987+AN1987+AM1987/2+AO1987+AP1987+AQ1987+AR1987+AS1987+AT1987+AU1987+AV1987+AW1987)</f>
        <v/>
      </c>
      <c r="BB1987" s="35" t="str">
        <f aca="false">IF($B1987="","",MAX(0,AN1987-Settings!$C$16)*Settings!$C$17)</f>
        <v/>
      </c>
      <c r="BC1987" s="35" t="str">
        <f aca="false">IF($B1987="","",BA1987-BB1987)</f>
        <v/>
      </c>
      <c r="BD1987" s="35" t="str">
        <f aca="false">IF(OR($B1987="",$A1987=""),"",DAY(EOMONTH($A1987,0))-COUNTA($F1987:$AJ1987))</f>
        <v/>
      </c>
    </row>
    <row r="1988" customFormat="false" ht="15" hidden="false" customHeight="false" outlineLevel="0" collapsed="false">
      <c r="A1988" s="32"/>
      <c r="B1988" s="29"/>
      <c r="C1988" s="10" t="str">
        <f aca="false">IF($B1988="","",IFERROR(INDEX(M_name,MATCH($B1988,M_emp,0)),"Code not found"))</f>
        <v/>
      </c>
      <c r="D1988" s="10" t="str">
        <f aca="false">IF($B1988="","",IFERROR(INDEX(M_dept,MATCH($B1988,M_emp,0)),""))</f>
        <v/>
      </c>
      <c r="E1988" s="10" t="str">
        <f aca="false">IF($B1988="","",IFERROR(INDEX(M_loc,MATCH($B1988,M_emp,0)),""))</f>
        <v/>
      </c>
      <c r="F1988" s="33"/>
      <c r="G1988" s="33"/>
      <c r="H1988" s="33"/>
      <c r="I1988" s="33"/>
      <c r="J1988" s="33"/>
      <c r="K1988" s="33"/>
      <c r="L1988" s="33"/>
      <c r="M1988" s="33"/>
      <c r="N1988" s="33"/>
      <c r="O1988" s="33"/>
      <c r="P1988" s="33"/>
      <c r="Q1988" s="33"/>
      <c r="R1988" s="33"/>
      <c r="S1988" s="33"/>
      <c r="T1988" s="33"/>
      <c r="U1988" s="33"/>
      <c r="V1988" s="33"/>
      <c r="W1988" s="33"/>
      <c r="X1988" s="33"/>
      <c r="Y1988" s="33"/>
      <c r="Z1988" s="33"/>
      <c r="AA1988" s="33"/>
      <c r="AB1988" s="33"/>
      <c r="AC1988" s="33"/>
      <c r="AD1988" s="33"/>
      <c r="AE1988" s="33"/>
      <c r="AF1988" s="33"/>
      <c r="AG1988" s="33"/>
      <c r="AH1988" s="33"/>
      <c r="AI1988" s="33"/>
      <c r="AJ1988" s="33"/>
      <c r="AK1988" s="34" t="str">
        <f aca="false">IF($B1988="","",COUNTIF($F1988:$AJ1988,"P"))</f>
        <v/>
      </c>
      <c r="AL1988" s="34" t="str">
        <f aca="false">IF($B1988="","",COUNTIF($F1988:$AJ1988,"A"))</f>
        <v/>
      </c>
      <c r="AM1988" s="34" t="str">
        <f aca="false">IF($B1988="","",COUNTIF($F1988:$AJ1988,"HA"))</f>
        <v/>
      </c>
      <c r="AN1988" s="34" t="str">
        <f aca="false">IF($B1988="","",COUNTIF($F1988:$AJ1988,"L"))</f>
        <v/>
      </c>
      <c r="AO1988" s="34" t="str">
        <f aca="false">IF($B1988="","",COUNTIF($F1988:$AJ1988,"PL"))</f>
        <v/>
      </c>
      <c r="AP1988" s="34" t="str">
        <f aca="false">IF($B1988="","",COUNTIF($F1988:$AJ1988,"CL"))</f>
        <v/>
      </c>
      <c r="AQ1988" s="34" t="str">
        <f aca="false">IF($B1988="","",COUNTIF($F1988:$AJ1988,"SL"))</f>
        <v/>
      </c>
      <c r="AR1988" s="34" t="str">
        <f aca="false">IF($B1988="","",COUNTIF($F1988:$AJ1988,"CO"))</f>
        <v/>
      </c>
      <c r="AS1988" s="34" t="str">
        <f aca="false">IF($B1988="","",COUNTIF($F1988:$AJ1988,"HPL"))</f>
        <v/>
      </c>
      <c r="AT1988" s="34" t="str">
        <f aca="false">IF($B1988="","",COUNTIF($F1988:$AJ1988,"HCL"))</f>
        <v/>
      </c>
      <c r="AU1988" s="34" t="str">
        <f aca="false">IF($B1988="","",COUNTIF($F1988:$AJ1988,"WO"))</f>
        <v/>
      </c>
      <c r="AV1988" s="34" t="str">
        <f aca="false">IF($B1988="","",COUNTIF($F1988:$AJ1988,"PH"))</f>
        <v/>
      </c>
      <c r="AW1988" s="34" t="str">
        <f aca="false">IF($B1988="","",COUNTIF($F1988:$AJ1988,"TR"))</f>
        <v/>
      </c>
      <c r="AX1988" s="35" t="str">
        <f aca="false">IF($B1988="","",AO1988+AS1988/2)</f>
        <v/>
      </c>
      <c r="AY1988" s="35" t="str">
        <f aca="false">IF($B1988="","",AQ1988)</f>
        <v/>
      </c>
      <c r="AZ1988" s="35" t="str">
        <f aca="false">IF($B1988="","",AP1988+AT1988/2)</f>
        <v/>
      </c>
      <c r="BA1988" s="35" t="str">
        <f aca="false">IF($B1988="","",AK1988+AN1988+AM1988/2+AO1988+AP1988+AQ1988+AR1988+AS1988+AT1988+AU1988+AV1988+AW1988)</f>
        <v/>
      </c>
      <c r="BB1988" s="35" t="str">
        <f aca="false">IF($B1988="","",MAX(0,AN1988-Settings!$C$16)*Settings!$C$17)</f>
        <v/>
      </c>
      <c r="BC1988" s="35" t="str">
        <f aca="false">IF($B1988="","",BA1988-BB1988)</f>
        <v/>
      </c>
      <c r="BD1988" s="35" t="str">
        <f aca="false">IF(OR($B1988="",$A1988=""),"",DAY(EOMONTH($A1988,0))-COUNTA($F1988:$AJ1988))</f>
        <v/>
      </c>
    </row>
    <row r="1989" customFormat="false" ht="15" hidden="false" customHeight="false" outlineLevel="0" collapsed="false">
      <c r="A1989" s="32"/>
      <c r="B1989" s="29"/>
      <c r="C1989" s="10" t="str">
        <f aca="false">IF($B1989="","",IFERROR(INDEX(M_name,MATCH($B1989,M_emp,0)),"Code not found"))</f>
        <v/>
      </c>
      <c r="D1989" s="10" t="str">
        <f aca="false">IF($B1989="","",IFERROR(INDEX(M_dept,MATCH($B1989,M_emp,0)),""))</f>
        <v/>
      </c>
      <c r="E1989" s="10" t="str">
        <f aca="false">IF($B1989="","",IFERROR(INDEX(M_loc,MATCH($B1989,M_emp,0)),""))</f>
        <v/>
      </c>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c r="AB1989" s="33"/>
      <c r="AC1989" s="33"/>
      <c r="AD1989" s="33"/>
      <c r="AE1989" s="33"/>
      <c r="AF1989" s="33"/>
      <c r="AG1989" s="33"/>
      <c r="AH1989" s="33"/>
      <c r="AI1989" s="33"/>
      <c r="AJ1989" s="33"/>
      <c r="AK1989" s="34" t="str">
        <f aca="false">IF($B1989="","",COUNTIF($F1989:$AJ1989,"P"))</f>
        <v/>
      </c>
      <c r="AL1989" s="34" t="str">
        <f aca="false">IF($B1989="","",COUNTIF($F1989:$AJ1989,"A"))</f>
        <v/>
      </c>
      <c r="AM1989" s="34" t="str">
        <f aca="false">IF($B1989="","",COUNTIF($F1989:$AJ1989,"HA"))</f>
        <v/>
      </c>
      <c r="AN1989" s="34" t="str">
        <f aca="false">IF($B1989="","",COUNTIF($F1989:$AJ1989,"L"))</f>
        <v/>
      </c>
      <c r="AO1989" s="34" t="str">
        <f aca="false">IF($B1989="","",COUNTIF($F1989:$AJ1989,"PL"))</f>
        <v/>
      </c>
      <c r="AP1989" s="34" t="str">
        <f aca="false">IF($B1989="","",COUNTIF($F1989:$AJ1989,"CL"))</f>
        <v/>
      </c>
      <c r="AQ1989" s="34" t="str">
        <f aca="false">IF($B1989="","",COUNTIF($F1989:$AJ1989,"SL"))</f>
        <v/>
      </c>
      <c r="AR1989" s="34" t="str">
        <f aca="false">IF($B1989="","",COUNTIF($F1989:$AJ1989,"CO"))</f>
        <v/>
      </c>
      <c r="AS1989" s="34" t="str">
        <f aca="false">IF($B1989="","",COUNTIF($F1989:$AJ1989,"HPL"))</f>
        <v/>
      </c>
      <c r="AT1989" s="34" t="str">
        <f aca="false">IF($B1989="","",COUNTIF($F1989:$AJ1989,"HCL"))</f>
        <v/>
      </c>
      <c r="AU1989" s="34" t="str">
        <f aca="false">IF($B1989="","",COUNTIF($F1989:$AJ1989,"WO"))</f>
        <v/>
      </c>
      <c r="AV1989" s="34" t="str">
        <f aca="false">IF($B1989="","",COUNTIF($F1989:$AJ1989,"PH"))</f>
        <v/>
      </c>
      <c r="AW1989" s="34" t="str">
        <f aca="false">IF($B1989="","",COUNTIF($F1989:$AJ1989,"TR"))</f>
        <v/>
      </c>
      <c r="AX1989" s="35" t="str">
        <f aca="false">IF($B1989="","",AO1989+AS1989/2)</f>
        <v/>
      </c>
      <c r="AY1989" s="35" t="str">
        <f aca="false">IF($B1989="","",AQ1989)</f>
        <v/>
      </c>
      <c r="AZ1989" s="35" t="str">
        <f aca="false">IF($B1989="","",AP1989+AT1989/2)</f>
        <v/>
      </c>
      <c r="BA1989" s="35" t="str">
        <f aca="false">IF($B1989="","",AK1989+AN1989+AM1989/2+AO1989+AP1989+AQ1989+AR1989+AS1989+AT1989+AU1989+AV1989+AW1989)</f>
        <v/>
      </c>
      <c r="BB1989" s="35" t="str">
        <f aca="false">IF($B1989="","",MAX(0,AN1989-Settings!$C$16)*Settings!$C$17)</f>
        <v/>
      </c>
      <c r="BC1989" s="35" t="str">
        <f aca="false">IF($B1989="","",BA1989-BB1989)</f>
        <v/>
      </c>
      <c r="BD1989" s="35" t="str">
        <f aca="false">IF(OR($B1989="",$A1989=""),"",DAY(EOMONTH($A1989,0))-COUNTA($F1989:$AJ1989))</f>
        <v/>
      </c>
    </row>
    <row r="1990" customFormat="false" ht="15" hidden="false" customHeight="false" outlineLevel="0" collapsed="false">
      <c r="A1990" s="32"/>
      <c r="B1990" s="29"/>
      <c r="C1990" s="10" t="str">
        <f aca="false">IF($B1990="","",IFERROR(INDEX(M_name,MATCH($B1990,M_emp,0)),"Code not found"))</f>
        <v/>
      </c>
      <c r="D1990" s="10" t="str">
        <f aca="false">IF($B1990="","",IFERROR(INDEX(M_dept,MATCH($B1990,M_emp,0)),""))</f>
        <v/>
      </c>
      <c r="E1990" s="10" t="str">
        <f aca="false">IF($B1990="","",IFERROR(INDEX(M_loc,MATCH($B1990,M_emp,0)),""))</f>
        <v/>
      </c>
      <c r="F1990" s="33"/>
      <c r="G1990" s="33"/>
      <c r="H1990" s="33"/>
      <c r="I1990" s="33"/>
      <c r="J1990" s="33"/>
      <c r="K1990" s="33"/>
      <c r="L1990" s="33"/>
      <c r="M1990" s="33"/>
      <c r="N1990" s="33"/>
      <c r="O1990" s="33"/>
      <c r="P1990" s="33"/>
      <c r="Q1990" s="33"/>
      <c r="R1990" s="33"/>
      <c r="S1990" s="33"/>
      <c r="T1990" s="33"/>
      <c r="U1990" s="33"/>
      <c r="V1990" s="33"/>
      <c r="W1990" s="33"/>
      <c r="X1990" s="33"/>
      <c r="Y1990" s="33"/>
      <c r="Z1990" s="33"/>
      <c r="AA1990" s="33"/>
      <c r="AB1990" s="33"/>
      <c r="AC1990" s="33"/>
      <c r="AD1990" s="33"/>
      <c r="AE1990" s="33"/>
      <c r="AF1990" s="33"/>
      <c r="AG1990" s="33"/>
      <c r="AH1990" s="33"/>
      <c r="AI1990" s="33"/>
      <c r="AJ1990" s="33"/>
      <c r="AK1990" s="34" t="str">
        <f aca="false">IF($B1990="","",COUNTIF($F1990:$AJ1990,"P"))</f>
        <v/>
      </c>
      <c r="AL1990" s="34" t="str">
        <f aca="false">IF($B1990="","",COUNTIF($F1990:$AJ1990,"A"))</f>
        <v/>
      </c>
      <c r="AM1990" s="34" t="str">
        <f aca="false">IF($B1990="","",COUNTIF($F1990:$AJ1990,"HA"))</f>
        <v/>
      </c>
      <c r="AN1990" s="34" t="str">
        <f aca="false">IF($B1990="","",COUNTIF($F1990:$AJ1990,"L"))</f>
        <v/>
      </c>
      <c r="AO1990" s="34" t="str">
        <f aca="false">IF($B1990="","",COUNTIF($F1990:$AJ1990,"PL"))</f>
        <v/>
      </c>
      <c r="AP1990" s="34" t="str">
        <f aca="false">IF($B1990="","",COUNTIF($F1990:$AJ1990,"CL"))</f>
        <v/>
      </c>
      <c r="AQ1990" s="34" t="str">
        <f aca="false">IF($B1990="","",COUNTIF($F1990:$AJ1990,"SL"))</f>
        <v/>
      </c>
      <c r="AR1990" s="34" t="str">
        <f aca="false">IF($B1990="","",COUNTIF($F1990:$AJ1990,"CO"))</f>
        <v/>
      </c>
      <c r="AS1990" s="34" t="str">
        <f aca="false">IF($B1990="","",COUNTIF($F1990:$AJ1990,"HPL"))</f>
        <v/>
      </c>
      <c r="AT1990" s="34" t="str">
        <f aca="false">IF($B1990="","",COUNTIF($F1990:$AJ1990,"HCL"))</f>
        <v/>
      </c>
      <c r="AU1990" s="34" t="str">
        <f aca="false">IF($B1990="","",COUNTIF($F1990:$AJ1990,"WO"))</f>
        <v/>
      </c>
      <c r="AV1990" s="34" t="str">
        <f aca="false">IF($B1990="","",COUNTIF($F1990:$AJ1990,"PH"))</f>
        <v/>
      </c>
      <c r="AW1990" s="34" t="str">
        <f aca="false">IF($B1990="","",COUNTIF($F1990:$AJ1990,"TR"))</f>
        <v/>
      </c>
      <c r="AX1990" s="35" t="str">
        <f aca="false">IF($B1990="","",AO1990+AS1990/2)</f>
        <v/>
      </c>
      <c r="AY1990" s="35" t="str">
        <f aca="false">IF($B1990="","",AQ1990)</f>
        <v/>
      </c>
      <c r="AZ1990" s="35" t="str">
        <f aca="false">IF($B1990="","",AP1990+AT1990/2)</f>
        <v/>
      </c>
      <c r="BA1990" s="35" t="str">
        <f aca="false">IF($B1990="","",AK1990+AN1990+AM1990/2+AO1990+AP1990+AQ1990+AR1990+AS1990+AT1990+AU1990+AV1990+AW1990)</f>
        <v/>
      </c>
      <c r="BB1990" s="35" t="str">
        <f aca="false">IF($B1990="","",MAX(0,AN1990-Settings!$C$16)*Settings!$C$17)</f>
        <v/>
      </c>
      <c r="BC1990" s="35" t="str">
        <f aca="false">IF($B1990="","",BA1990-BB1990)</f>
        <v/>
      </c>
      <c r="BD1990" s="35" t="str">
        <f aca="false">IF(OR($B1990="",$A1990=""),"",DAY(EOMONTH($A1990,0))-COUNTA($F1990:$AJ1990))</f>
        <v/>
      </c>
    </row>
    <row r="1991" customFormat="false" ht="15" hidden="false" customHeight="false" outlineLevel="0" collapsed="false">
      <c r="A1991" s="32"/>
      <c r="B1991" s="29"/>
      <c r="C1991" s="10" t="str">
        <f aca="false">IF($B1991="","",IFERROR(INDEX(M_name,MATCH($B1991,M_emp,0)),"Code not found"))</f>
        <v/>
      </c>
      <c r="D1991" s="10" t="str">
        <f aca="false">IF($B1991="","",IFERROR(INDEX(M_dept,MATCH($B1991,M_emp,0)),""))</f>
        <v/>
      </c>
      <c r="E1991" s="10" t="str">
        <f aca="false">IF($B1991="","",IFERROR(INDEX(M_loc,MATCH($B1991,M_emp,0)),""))</f>
        <v/>
      </c>
      <c r="F1991" s="33"/>
      <c r="G1991" s="33"/>
      <c r="H1991" s="33"/>
      <c r="I1991" s="33"/>
      <c r="J1991" s="33"/>
      <c r="K1991" s="33"/>
      <c r="L1991" s="33"/>
      <c r="M1991" s="33"/>
      <c r="N1991" s="33"/>
      <c r="O1991" s="33"/>
      <c r="P1991" s="33"/>
      <c r="Q1991" s="33"/>
      <c r="R1991" s="33"/>
      <c r="S1991" s="33"/>
      <c r="T1991" s="33"/>
      <c r="U1991" s="33"/>
      <c r="V1991" s="33"/>
      <c r="W1991" s="33"/>
      <c r="X1991" s="33"/>
      <c r="Y1991" s="33"/>
      <c r="Z1991" s="33"/>
      <c r="AA1991" s="33"/>
      <c r="AB1991" s="33"/>
      <c r="AC1991" s="33"/>
      <c r="AD1991" s="33"/>
      <c r="AE1991" s="33"/>
      <c r="AF1991" s="33"/>
      <c r="AG1991" s="33"/>
      <c r="AH1991" s="33"/>
      <c r="AI1991" s="33"/>
      <c r="AJ1991" s="33"/>
      <c r="AK1991" s="34" t="str">
        <f aca="false">IF($B1991="","",COUNTIF($F1991:$AJ1991,"P"))</f>
        <v/>
      </c>
      <c r="AL1991" s="34" t="str">
        <f aca="false">IF($B1991="","",COUNTIF($F1991:$AJ1991,"A"))</f>
        <v/>
      </c>
      <c r="AM1991" s="34" t="str">
        <f aca="false">IF($B1991="","",COUNTIF($F1991:$AJ1991,"HA"))</f>
        <v/>
      </c>
      <c r="AN1991" s="34" t="str">
        <f aca="false">IF($B1991="","",COUNTIF($F1991:$AJ1991,"L"))</f>
        <v/>
      </c>
      <c r="AO1991" s="34" t="str">
        <f aca="false">IF($B1991="","",COUNTIF($F1991:$AJ1991,"PL"))</f>
        <v/>
      </c>
      <c r="AP1991" s="34" t="str">
        <f aca="false">IF($B1991="","",COUNTIF($F1991:$AJ1991,"CL"))</f>
        <v/>
      </c>
      <c r="AQ1991" s="34" t="str">
        <f aca="false">IF($B1991="","",COUNTIF($F1991:$AJ1991,"SL"))</f>
        <v/>
      </c>
      <c r="AR1991" s="34" t="str">
        <f aca="false">IF($B1991="","",COUNTIF($F1991:$AJ1991,"CO"))</f>
        <v/>
      </c>
      <c r="AS1991" s="34" t="str">
        <f aca="false">IF($B1991="","",COUNTIF($F1991:$AJ1991,"HPL"))</f>
        <v/>
      </c>
      <c r="AT1991" s="34" t="str">
        <f aca="false">IF($B1991="","",COUNTIF($F1991:$AJ1991,"HCL"))</f>
        <v/>
      </c>
      <c r="AU1991" s="34" t="str">
        <f aca="false">IF($B1991="","",COUNTIF($F1991:$AJ1991,"WO"))</f>
        <v/>
      </c>
      <c r="AV1991" s="34" t="str">
        <f aca="false">IF($B1991="","",COUNTIF($F1991:$AJ1991,"PH"))</f>
        <v/>
      </c>
      <c r="AW1991" s="34" t="str">
        <f aca="false">IF($B1991="","",COUNTIF($F1991:$AJ1991,"TR"))</f>
        <v/>
      </c>
      <c r="AX1991" s="35" t="str">
        <f aca="false">IF($B1991="","",AO1991+AS1991/2)</f>
        <v/>
      </c>
      <c r="AY1991" s="35" t="str">
        <f aca="false">IF($B1991="","",AQ1991)</f>
        <v/>
      </c>
      <c r="AZ1991" s="35" t="str">
        <f aca="false">IF($B1991="","",AP1991+AT1991/2)</f>
        <v/>
      </c>
      <c r="BA1991" s="35" t="str">
        <f aca="false">IF($B1991="","",AK1991+AN1991+AM1991/2+AO1991+AP1991+AQ1991+AR1991+AS1991+AT1991+AU1991+AV1991+AW1991)</f>
        <v/>
      </c>
      <c r="BB1991" s="35" t="str">
        <f aca="false">IF($B1991="","",MAX(0,AN1991-Settings!$C$16)*Settings!$C$17)</f>
        <v/>
      </c>
      <c r="BC1991" s="35" t="str">
        <f aca="false">IF($B1991="","",BA1991-BB1991)</f>
        <v/>
      </c>
      <c r="BD1991" s="35" t="str">
        <f aca="false">IF(OR($B1991="",$A1991=""),"",DAY(EOMONTH($A1991,0))-COUNTA($F1991:$AJ1991))</f>
        <v/>
      </c>
    </row>
    <row r="1992" customFormat="false" ht="15" hidden="false" customHeight="false" outlineLevel="0" collapsed="false">
      <c r="A1992" s="32"/>
      <c r="B1992" s="29"/>
      <c r="C1992" s="10" t="str">
        <f aca="false">IF($B1992="","",IFERROR(INDEX(M_name,MATCH($B1992,M_emp,0)),"Code not found"))</f>
        <v/>
      </c>
      <c r="D1992" s="10" t="str">
        <f aca="false">IF($B1992="","",IFERROR(INDEX(M_dept,MATCH($B1992,M_emp,0)),""))</f>
        <v/>
      </c>
      <c r="E1992" s="10" t="str">
        <f aca="false">IF($B1992="","",IFERROR(INDEX(M_loc,MATCH($B1992,M_emp,0)),""))</f>
        <v/>
      </c>
      <c r="F1992" s="33"/>
      <c r="G1992" s="33"/>
      <c r="H1992" s="33"/>
      <c r="I1992" s="33"/>
      <c r="J1992" s="33"/>
      <c r="K1992" s="33"/>
      <c r="L1992" s="33"/>
      <c r="M1992" s="33"/>
      <c r="N1992" s="33"/>
      <c r="O1992" s="33"/>
      <c r="P1992" s="33"/>
      <c r="Q1992" s="33"/>
      <c r="R1992" s="33"/>
      <c r="S1992" s="33"/>
      <c r="T1992" s="33"/>
      <c r="U1992" s="33"/>
      <c r="V1992" s="33"/>
      <c r="W1992" s="33"/>
      <c r="X1992" s="33"/>
      <c r="Y1992" s="33"/>
      <c r="Z1992" s="33"/>
      <c r="AA1992" s="33"/>
      <c r="AB1992" s="33"/>
      <c r="AC1992" s="33"/>
      <c r="AD1992" s="33"/>
      <c r="AE1992" s="33"/>
      <c r="AF1992" s="33"/>
      <c r="AG1992" s="33"/>
      <c r="AH1992" s="33"/>
      <c r="AI1992" s="33"/>
      <c r="AJ1992" s="33"/>
      <c r="AK1992" s="34" t="str">
        <f aca="false">IF($B1992="","",COUNTIF($F1992:$AJ1992,"P"))</f>
        <v/>
      </c>
      <c r="AL1992" s="34" t="str">
        <f aca="false">IF($B1992="","",COUNTIF($F1992:$AJ1992,"A"))</f>
        <v/>
      </c>
      <c r="AM1992" s="34" t="str">
        <f aca="false">IF($B1992="","",COUNTIF($F1992:$AJ1992,"HA"))</f>
        <v/>
      </c>
      <c r="AN1992" s="34" t="str">
        <f aca="false">IF($B1992="","",COUNTIF($F1992:$AJ1992,"L"))</f>
        <v/>
      </c>
      <c r="AO1992" s="34" t="str">
        <f aca="false">IF($B1992="","",COUNTIF($F1992:$AJ1992,"PL"))</f>
        <v/>
      </c>
      <c r="AP1992" s="34" t="str">
        <f aca="false">IF($B1992="","",COUNTIF($F1992:$AJ1992,"CL"))</f>
        <v/>
      </c>
      <c r="AQ1992" s="34" t="str">
        <f aca="false">IF($B1992="","",COUNTIF($F1992:$AJ1992,"SL"))</f>
        <v/>
      </c>
      <c r="AR1992" s="34" t="str">
        <f aca="false">IF($B1992="","",COUNTIF($F1992:$AJ1992,"CO"))</f>
        <v/>
      </c>
      <c r="AS1992" s="34" t="str">
        <f aca="false">IF($B1992="","",COUNTIF($F1992:$AJ1992,"HPL"))</f>
        <v/>
      </c>
      <c r="AT1992" s="34" t="str">
        <f aca="false">IF($B1992="","",COUNTIF($F1992:$AJ1992,"HCL"))</f>
        <v/>
      </c>
      <c r="AU1992" s="34" t="str">
        <f aca="false">IF($B1992="","",COUNTIF($F1992:$AJ1992,"WO"))</f>
        <v/>
      </c>
      <c r="AV1992" s="34" t="str">
        <f aca="false">IF($B1992="","",COUNTIF($F1992:$AJ1992,"PH"))</f>
        <v/>
      </c>
      <c r="AW1992" s="34" t="str">
        <f aca="false">IF($B1992="","",COUNTIF($F1992:$AJ1992,"TR"))</f>
        <v/>
      </c>
      <c r="AX1992" s="35" t="str">
        <f aca="false">IF($B1992="","",AO1992+AS1992/2)</f>
        <v/>
      </c>
      <c r="AY1992" s="35" t="str">
        <f aca="false">IF($B1992="","",AQ1992)</f>
        <v/>
      </c>
      <c r="AZ1992" s="35" t="str">
        <f aca="false">IF($B1992="","",AP1992+AT1992/2)</f>
        <v/>
      </c>
      <c r="BA1992" s="35" t="str">
        <f aca="false">IF($B1992="","",AK1992+AN1992+AM1992/2+AO1992+AP1992+AQ1992+AR1992+AS1992+AT1992+AU1992+AV1992+AW1992)</f>
        <v/>
      </c>
      <c r="BB1992" s="35" t="str">
        <f aca="false">IF($B1992="","",MAX(0,AN1992-Settings!$C$16)*Settings!$C$17)</f>
        <v/>
      </c>
      <c r="BC1992" s="35" t="str">
        <f aca="false">IF($B1992="","",BA1992-BB1992)</f>
        <v/>
      </c>
      <c r="BD1992" s="35" t="str">
        <f aca="false">IF(OR($B1992="",$A1992=""),"",DAY(EOMONTH($A1992,0))-COUNTA($F1992:$AJ1992))</f>
        <v/>
      </c>
    </row>
    <row r="1993" customFormat="false" ht="15" hidden="false" customHeight="false" outlineLevel="0" collapsed="false">
      <c r="A1993" s="32"/>
      <c r="B1993" s="29"/>
      <c r="C1993" s="10" t="str">
        <f aca="false">IF($B1993="","",IFERROR(INDEX(M_name,MATCH($B1993,M_emp,0)),"Code not found"))</f>
        <v/>
      </c>
      <c r="D1993" s="10" t="str">
        <f aca="false">IF($B1993="","",IFERROR(INDEX(M_dept,MATCH($B1993,M_emp,0)),""))</f>
        <v/>
      </c>
      <c r="E1993" s="10" t="str">
        <f aca="false">IF($B1993="","",IFERROR(INDEX(M_loc,MATCH($B1993,M_emp,0)),""))</f>
        <v/>
      </c>
      <c r="F1993" s="33"/>
      <c r="G1993" s="33"/>
      <c r="H1993" s="33"/>
      <c r="I1993" s="33"/>
      <c r="J1993" s="33"/>
      <c r="K1993" s="33"/>
      <c r="L1993" s="33"/>
      <c r="M1993" s="33"/>
      <c r="N1993" s="33"/>
      <c r="O1993" s="33"/>
      <c r="P1993" s="33"/>
      <c r="Q1993" s="33"/>
      <c r="R1993" s="33"/>
      <c r="S1993" s="33"/>
      <c r="T1993" s="33"/>
      <c r="U1993" s="33"/>
      <c r="V1993" s="33"/>
      <c r="W1993" s="33"/>
      <c r="X1993" s="33"/>
      <c r="Y1993" s="33"/>
      <c r="Z1993" s="33"/>
      <c r="AA1993" s="33"/>
      <c r="AB1993" s="33"/>
      <c r="AC1993" s="33"/>
      <c r="AD1993" s="33"/>
      <c r="AE1993" s="33"/>
      <c r="AF1993" s="33"/>
      <c r="AG1993" s="33"/>
      <c r="AH1993" s="33"/>
      <c r="AI1993" s="33"/>
      <c r="AJ1993" s="33"/>
      <c r="AK1993" s="34" t="str">
        <f aca="false">IF($B1993="","",COUNTIF($F1993:$AJ1993,"P"))</f>
        <v/>
      </c>
      <c r="AL1993" s="34" t="str">
        <f aca="false">IF($B1993="","",COUNTIF($F1993:$AJ1993,"A"))</f>
        <v/>
      </c>
      <c r="AM1993" s="34" t="str">
        <f aca="false">IF($B1993="","",COUNTIF($F1993:$AJ1993,"HA"))</f>
        <v/>
      </c>
      <c r="AN1993" s="34" t="str">
        <f aca="false">IF($B1993="","",COUNTIF($F1993:$AJ1993,"L"))</f>
        <v/>
      </c>
      <c r="AO1993" s="34" t="str">
        <f aca="false">IF($B1993="","",COUNTIF($F1993:$AJ1993,"PL"))</f>
        <v/>
      </c>
      <c r="AP1993" s="34" t="str">
        <f aca="false">IF($B1993="","",COUNTIF($F1993:$AJ1993,"CL"))</f>
        <v/>
      </c>
      <c r="AQ1993" s="34" t="str">
        <f aca="false">IF($B1993="","",COUNTIF($F1993:$AJ1993,"SL"))</f>
        <v/>
      </c>
      <c r="AR1993" s="34" t="str">
        <f aca="false">IF($B1993="","",COUNTIF($F1993:$AJ1993,"CO"))</f>
        <v/>
      </c>
      <c r="AS1993" s="34" t="str">
        <f aca="false">IF($B1993="","",COUNTIF($F1993:$AJ1993,"HPL"))</f>
        <v/>
      </c>
      <c r="AT1993" s="34" t="str">
        <f aca="false">IF($B1993="","",COUNTIF($F1993:$AJ1993,"HCL"))</f>
        <v/>
      </c>
      <c r="AU1993" s="34" t="str">
        <f aca="false">IF($B1993="","",COUNTIF($F1993:$AJ1993,"WO"))</f>
        <v/>
      </c>
      <c r="AV1993" s="34" t="str">
        <f aca="false">IF($B1993="","",COUNTIF($F1993:$AJ1993,"PH"))</f>
        <v/>
      </c>
      <c r="AW1993" s="34" t="str">
        <f aca="false">IF($B1993="","",COUNTIF($F1993:$AJ1993,"TR"))</f>
        <v/>
      </c>
      <c r="AX1993" s="35" t="str">
        <f aca="false">IF($B1993="","",AO1993+AS1993/2)</f>
        <v/>
      </c>
      <c r="AY1993" s="35" t="str">
        <f aca="false">IF($B1993="","",AQ1993)</f>
        <v/>
      </c>
      <c r="AZ1993" s="35" t="str">
        <f aca="false">IF($B1993="","",AP1993+AT1993/2)</f>
        <v/>
      </c>
      <c r="BA1993" s="35" t="str">
        <f aca="false">IF($B1993="","",AK1993+AN1993+AM1993/2+AO1993+AP1993+AQ1993+AR1993+AS1993+AT1993+AU1993+AV1993+AW1993)</f>
        <v/>
      </c>
      <c r="BB1993" s="35" t="str">
        <f aca="false">IF($B1993="","",MAX(0,AN1993-Settings!$C$16)*Settings!$C$17)</f>
        <v/>
      </c>
      <c r="BC1993" s="35" t="str">
        <f aca="false">IF($B1993="","",BA1993-BB1993)</f>
        <v/>
      </c>
      <c r="BD1993" s="35" t="str">
        <f aca="false">IF(OR($B1993="",$A1993=""),"",DAY(EOMONTH($A1993,0))-COUNTA($F1993:$AJ1993))</f>
        <v/>
      </c>
    </row>
    <row r="1994" customFormat="false" ht="15" hidden="false" customHeight="false" outlineLevel="0" collapsed="false">
      <c r="A1994" s="32"/>
      <c r="B1994" s="29"/>
      <c r="C1994" s="10" t="str">
        <f aca="false">IF($B1994="","",IFERROR(INDEX(M_name,MATCH($B1994,M_emp,0)),"Code not found"))</f>
        <v/>
      </c>
      <c r="D1994" s="10" t="str">
        <f aca="false">IF($B1994="","",IFERROR(INDEX(M_dept,MATCH($B1994,M_emp,0)),""))</f>
        <v/>
      </c>
      <c r="E1994" s="10" t="str">
        <f aca="false">IF($B1994="","",IFERROR(INDEX(M_loc,MATCH($B1994,M_emp,0)),""))</f>
        <v/>
      </c>
      <c r="F1994" s="33"/>
      <c r="G1994" s="33"/>
      <c r="H1994" s="33"/>
      <c r="I1994" s="33"/>
      <c r="J1994" s="33"/>
      <c r="K1994" s="33"/>
      <c r="L1994" s="33"/>
      <c r="M1994" s="33"/>
      <c r="N1994" s="33"/>
      <c r="O1994" s="33"/>
      <c r="P1994" s="33"/>
      <c r="Q1994" s="33"/>
      <c r="R1994" s="33"/>
      <c r="S1994" s="33"/>
      <c r="T1994" s="33"/>
      <c r="U1994" s="33"/>
      <c r="V1994" s="33"/>
      <c r="W1994" s="33"/>
      <c r="X1994" s="33"/>
      <c r="Y1994" s="33"/>
      <c r="Z1994" s="33"/>
      <c r="AA1994" s="33"/>
      <c r="AB1994" s="33"/>
      <c r="AC1994" s="33"/>
      <c r="AD1994" s="33"/>
      <c r="AE1994" s="33"/>
      <c r="AF1994" s="33"/>
      <c r="AG1994" s="33"/>
      <c r="AH1994" s="33"/>
      <c r="AI1994" s="33"/>
      <c r="AJ1994" s="33"/>
      <c r="AK1994" s="34" t="str">
        <f aca="false">IF($B1994="","",COUNTIF($F1994:$AJ1994,"P"))</f>
        <v/>
      </c>
      <c r="AL1994" s="34" t="str">
        <f aca="false">IF($B1994="","",COUNTIF($F1994:$AJ1994,"A"))</f>
        <v/>
      </c>
      <c r="AM1994" s="34" t="str">
        <f aca="false">IF($B1994="","",COUNTIF($F1994:$AJ1994,"HA"))</f>
        <v/>
      </c>
      <c r="AN1994" s="34" t="str">
        <f aca="false">IF($B1994="","",COUNTIF($F1994:$AJ1994,"L"))</f>
        <v/>
      </c>
      <c r="AO1994" s="34" t="str">
        <f aca="false">IF($B1994="","",COUNTIF($F1994:$AJ1994,"PL"))</f>
        <v/>
      </c>
      <c r="AP1994" s="34" t="str">
        <f aca="false">IF($B1994="","",COUNTIF($F1994:$AJ1994,"CL"))</f>
        <v/>
      </c>
      <c r="AQ1994" s="34" t="str">
        <f aca="false">IF($B1994="","",COUNTIF($F1994:$AJ1994,"SL"))</f>
        <v/>
      </c>
      <c r="AR1994" s="34" t="str">
        <f aca="false">IF($B1994="","",COUNTIF($F1994:$AJ1994,"CO"))</f>
        <v/>
      </c>
      <c r="AS1994" s="34" t="str">
        <f aca="false">IF($B1994="","",COUNTIF($F1994:$AJ1994,"HPL"))</f>
        <v/>
      </c>
      <c r="AT1994" s="34" t="str">
        <f aca="false">IF($B1994="","",COUNTIF($F1994:$AJ1994,"HCL"))</f>
        <v/>
      </c>
      <c r="AU1994" s="34" t="str">
        <f aca="false">IF($B1994="","",COUNTIF($F1994:$AJ1994,"WO"))</f>
        <v/>
      </c>
      <c r="AV1994" s="34" t="str">
        <f aca="false">IF($B1994="","",COUNTIF($F1994:$AJ1994,"PH"))</f>
        <v/>
      </c>
      <c r="AW1994" s="34" t="str">
        <f aca="false">IF($B1994="","",COUNTIF($F1994:$AJ1994,"TR"))</f>
        <v/>
      </c>
      <c r="AX1994" s="35" t="str">
        <f aca="false">IF($B1994="","",AO1994+AS1994/2)</f>
        <v/>
      </c>
      <c r="AY1994" s="35" t="str">
        <f aca="false">IF($B1994="","",AQ1994)</f>
        <v/>
      </c>
      <c r="AZ1994" s="35" t="str">
        <f aca="false">IF($B1994="","",AP1994+AT1994/2)</f>
        <v/>
      </c>
      <c r="BA1994" s="35" t="str">
        <f aca="false">IF($B1994="","",AK1994+AN1994+AM1994/2+AO1994+AP1994+AQ1994+AR1994+AS1994+AT1994+AU1994+AV1994+AW1994)</f>
        <v/>
      </c>
      <c r="BB1994" s="35" t="str">
        <f aca="false">IF($B1994="","",MAX(0,AN1994-Settings!$C$16)*Settings!$C$17)</f>
        <v/>
      </c>
      <c r="BC1994" s="35" t="str">
        <f aca="false">IF($B1994="","",BA1994-BB1994)</f>
        <v/>
      </c>
      <c r="BD1994" s="35" t="str">
        <f aca="false">IF(OR($B1994="",$A1994=""),"",DAY(EOMONTH($A1994,0))-COUNTA($F1994:$AJ1994))</f>
        <v/>
      </c>
    </row>
    <row r="1995" customFormat="false" ht="15" hidden="false" customHeight="false" outlineLevel="0" collapsed="false">
      <c r="A1995" s="32"/>
      <c r="B1995" s="29"/>
      <c r="C1995" s="10" t="str">
        <f aca="false">IF($B1995="","",IFERROR(INDEX(M_name,MATCH($B1995,M_emp,0)),"Code not found"))</f>
        <v/>
      </c>
      <c r="D1995" s="10" t="str">
        <f aca="false">IF($B1995="","",IFERROR(INDEX(M_dept,MATCH($B1995,M_emp,0)),""))</f>
        <v/>
      </c>
      <c r="E1995" s="10" t="str">
        <f aca="false">IF($B1995="","",IFERROR(INDEX(M_loc,MATCH($B1995,M_emp,0)),""))</f>
        <v/>
      </c>
      <c r="F1995" s="33"/>
      <c r="G1995" s="33"/>
      <c r="H1995" s="33"/>
      <c r="I1995" s="33"/>
      <c r="J1995" s="33"/>
      <c r="K1995" s="33"/>
      <c r="L1995" s="33"/>
      <c r="M1995" s="33"/>
      <c r="N1995" s="33"/>
      <c r="O1995" s="33"/>
      <c r="P1995" s="33"/>
      <c r="Q1995" s="33"/>
      <c r="R1995" s="33"/>
      <c r="S1995" s="33"/>
      <c r="T1995" s="33"/>
      <c r="U1995" s="33"/>
      <c r="V1995" s="33"/>
      <c r="W1995" s="33"/>
      <c r="X1995" s="33"/>
      <c r="Y1995" s="33"/>
      <c r="Z1995" s="33"/>
      <c r="AA1995" s="33"/>
      <c r="AB1995" s="33"/>
      <c r="AC1995" s="33"/>
      <c r="AD1995" s="33"/>
      <c r="AE1995" s="33"/>
      <c r="AF1995" s="33"/>
      <c r="AG1995" s="33"/>
      <c r="AH1995" s="33"/>
      <c r="AI1995" s="33"/>
      <c r="AJ1995" s="33"/>
      <c r="AK1995" s="34" t="str">
        <f aca="false">IF($B1995="","",COUNTIF($F1995:$AJ1995,"P"))</f>
        <v/>
      </c>
      <c r="AL1995" s="34" t="str">
        <f aca="false">IF($B1995="","",COUNTIF($F1995:$AJ1995,"A"))</f>
        <v/>
      </c>
      <c r="AM1995" s="34" t="str">
        <f aca="false">IF($B1995="","",COUNTIF($F1995:$AJ1995,"HA"))</f>
        <v/>
      </c>
      <c r="AN1995" s="34" t="str">
        <f aca="false">IF($B1995="","",COUNTIF($F1995:$AJ1995,"L"))</f>
        <v/>
      </c>
      <c r="AO1995" s="34" t="str">
        <f aca="false">IF($B1995="","",COUNTIF($F1995:$AJ1995,"PL"))</f>
        <v/>
      </c>
      <c r="AP1995" s="34" t="str">
        <f aca="false">IF($B1995="","",COUNTIF($F1995:$AJ1995,"CL"))</f>
        <v/>
      </c>
      <c r="AQ1995" s="34" t="str">
        <f aca="false">IF($B1995="","",COUNTIF($F1995:$AJ1995,"SL"))</f>
        <v/>
      </c>
      <c r="AR1995" s="34" t="str">
        <f aca="false">IF($B1995="","",COUNTIF($F1995:$AJ1995,"CO"))</f>
        <v/>
      </c>
      <c r="AS1995" s="34" t="str">
        <f aca="false">IF($B1995="","",COUNTIF($F1995:$AJ1995,"HPL"))</f>
        <v/>
      </c>
      <c r="AT1995" s="34" t="str">
        <f aca="false">IF($B1995="","",COUNTIF($F1995:$AJ1995,"HCL"))</f>
        <v/>
      </c>
      <c r="AU1995" s="34" t="str">
        <f aca="false">IF($B1995="","",COUNTIF($F1995:$AJ1995,"WO"))</f>
        <v/>
      </c>
      <c r="AV1995" s="34" t="str">
        <f aca="false">IF($B1995="","",COUNTIF($F1995:$AJ1995,"PH"))</f>
        <v/>
      </c>
      <c r="AW1995" s="34" t="str">
        <f aca="false">IF($B1995="","",COUNTIF($F1995:$AJ1995,"TR"))</f>
        <v/>
      </c>
      <c r="AX1995" s="35" t="str">
        <f aca="false">IF($B1995="","",AO1995+AS1995/2)</f>
        <v/>
      </c>
      <c r="AY1995" s="35" t="str">
        <f aca="false">IF($B1995="","",AQ1995)</f>
        <v/>
      </c>
      <c r="AZ1995" s="35" t="str">
        <f aca="false">IF($B1995="","",AP1995+AT1995/2)</f>
        <v/>
      </c>
      <c r="BA1995" s="35" t="str">
        <f aca="false">IF($B1995="","",AK1995+AN1995+AM1995/2+AO1995+AP1995+AQ1995+AR1995+AS1995+AT1995+AU1995+AV1995+AW1995)</f>
        <v/>
      </c>
      <c r="BB1995" s="35" t="str">
        <f aca="false">IF($B1995="","",MAX(0,AN1995-Settings!$C$16)*Settings!$C$17)</f>
        <v/>
      </c>
      <c r="BC1995" s="35" t="str">
        <f aca="false">IF($B1995="","",BA1995-BB1995)</f>
        <v/>
      </c>
      <c r="BD1995" s="35" t="str">
        <f aca="false">IF(OR($B1995="",$A1995=""),"",DAY(EOMONTH($A1995,0))-COUNTA($F1995:$AJ1995))</f>
        <v/>
      </c>
    </row>
    <row r="1996" customFormat="false" ht="15" hidden="false" customHeight="false" outlineLevel="0" collapsed="false">
      <c r="A1996" s="32"/>
      <c r="B1996" s="29"/>
      <c r="C1996" s="10" t="str">
        <f aca="false">IF($B1996="","",IFERROR(INDEX(M_name,MATCH($B1996,M_emp,0)),"Code not found"))</f>
        <v/>
      </c>
      <c r="D1996" s="10" t="str">
        <f aca="false">IF($B1996="","",IFERROR(INDEX(M_dept,MATCH($B1996,M_emp,0)),""))</f>
        <v/>
      </c>
      <c r="E1996" s="10" t="str">
        <f aca="false">IF($B1996="","",IFERROR(INDEX(M_loc,MATCH($B1996,M_emp,0)),""))</f>
        <v/>
      </c>
      <c r="F1996" s="33"/>
      <c r="G1996" s="33"/>
      <c r="H1996" s="33"/>
      <c r="I1996" s="33"/>
      <c r="J1996" s="33"/>
      <c r="K1996" s="33"/>
      <c r="L1996" s="33"/>
      <c r="M1996" s="33"/>
      <c r="N1996" s="33"/>
      <c r="O1996" s="33"/>
      <c r="P1996" s="33"/>
      <c r="Q1996" s="33"/>
      <c r="R1996" s="33"/>
      <c r="S1996" s="33"/>
      <c r="T1996" s="33"/>
      <c r="U1996" s="33"/>
      <c r="V1996" s="33"/>
      <c r="W1996" s="33"/>
      <c r="X1996" s="33"/>
      <c r="Y1996" s="33"/>
      <c r="Z1996" s="33"/>
      <c r="AA1996" s="33"/>
      <c r="AB1996" s="33"/>
      <c r="AC1996" s="33"/>
      <c r="AD1996" s="33"/>
      <c r="AE1996" s="33"/>
      <c r="AF1996" s="33"/>
      <c r="AG1996" s="33"/>
      <c r="AH1996" s="33"/>
      <c r="AI1996" s="33"/>
      <c r="AJ1996" s="33"/>
      <c r="AK1996" s="34" t="str">
        <f aca="false">IF($B1996="","",COUNTIF($F1996:$AJ1996,"P"))</f>
        <v/>
      </c>
      <c r="AL1996" s="34" t="str">
        <f aca="false">IF($B1996="","",COUNTIF($F1996:$AJ1996,"A"))</f>
        <v/>
      </c>
      <c r="AM1996" s="34" t="str">
        <f aca="false">IF($B1996="","",COUNTIF($F1996:$AJ1996,"HA"))</f>
        <v/>
      </c>
      <c r="AN1996" s="34" t="str">
        <f aca="false">IF($B1996="","",COUNTIF($F1996:$AJ1996,"L"))</f>
        <v/>
      </c>
      <c r="AO1996" s="34" t="str">
        <f aca="false">IF($B1996="","",COUNTIF($F1996:$AJ1996,"PL"))</f>
        <v/>
      </c>
      <c r="AP1996" s="34" t="str">
        <f aca="false">IF($B1996="","",COUNTIF($F1996:$AJ1996,"CL"))</f>
        <v/>
      </c>
      <c r="AQ1996" s="34" t="str">
        <f aca="false">IF($B1996="","",COUNTIF($F1996:$AJ1996,"SL"))</f>
        <v/>
      </c>
      <c r="AR1996" s="34" t="str">
        <f aca="false">IF($B1996="","",COUNTIF($F1996:$AJ1996,"CO"))</f>
        <v/>
      </c>
      <c r="AS1996" s="34" t="str">
        <f aca="false">IF($B1996="","",COUNTIF($F1996:$AJ1996,"HPL"))</f>
        <v/>
      </c>
      <c r="AT1996" s="34" t="str">
        <f aca="false">IF($B1996="","",COUNTIF($F1996:$AJ1996,"HCL"))</f>
        <v/>
      </c>
      <c r="AU1996" s="34" t="str">
        <f aca="false">IF($B1996="","",COUNTIF($F1996:$AJ1996,"WO"))</f>
        <v/>
      </c>
      <c r="AV1996" s="34" t="str">
        <f aca="false">IF($B1996="","",COUNTIF($F1996:$AJ1996,"PH"))</f>
        <v/>
      </c>
      <c r="AW1996" s="34" t="str">
        <f aca="false">IF($B1996="","",COUNTIF($F1996:$AJ1996,"TR"))</f>
        <v/>
      </c>
      <c r="AX1996" s="35" t="str">
        <f aca="false">IF($B1996="","",AO1996+AS1996/2)</f>
        <v/>
      </c>
      <c r="AY1996" s="35" t="str">
        <f aca="false">IF($B1996="","",AQ1996)</f>
        <v/>
      </c>
      <c r="AZ1996" s="35" t="str">
        <f aca="false">IF($B1996="","",AP1996+AT1996/2)</f>
        <v/>
      </c>
      <c r="BA1996" s="35" t="str">
        <f aca="false">IF($B1996="","",AK1996+AN1996+AM1996/2+AO1996+AP1996+AQ1996+AR1996+AS1996+AT1996+AU1996+AV1996+AW1996)</f>
        <v/>
      </c>
      <c r="BB1996" s="35" t="str">
        <f aca="false">IF($B1996="","",MAX(0,AN1996-Settings!$C$16)*Settings!$C$17)</f>
        <v/>
      </c>
      <c r="BC1996" s="35" t="str">
        <f aca="false">IF($B1996="","",BA1996-BB1996)</f>
        <v/>
      </c>
      <c r="BD1996" s="35" t="str">
        <f aca="false">IF(OR($B1996="",$A1996=""),"",DAY(EOMONTH($A1996,0))-COUNTA($F1996:$AJ1996))</f>
        <v/>
      </c>
    </row>
    <row r="1997" customFormat="false" ht="15" hidden="false" customHeight="false" outlineLevel="0" collapsed="false">
      <c r="A1997" s="32"/>
      <c r="B1997" s="29"/>
      <c r="C1997" s="10" t="str">
        <f aca="false">IF($B1997="","",IFERROR(INDEX(M_name,MATCH($B1997,M_emp,0)),"Code not found"))</f>
        <v/>
      </c>
      <c r="D1997" s="10" t="str">
        <f aca="false">IF($B1997="","",IFERROR(INDEX(M_dept,MATCH($B1997,M_emp,0)),""))</f>
        <v/>
      </c>
      <c r="E1997" s="10" t="str">
        <f aca="false">IF($B1997="","",IFERROR(INDEX(M_loc,MATCH($B1997,M_emp,0)),""))</f>
        <v/>
      </c>
      <c r="F1997" s="33"/>
      <c r="G1997" s="33"/>
      <c r="H1997" s="33"/>
      <c r="I1997" s="33"/>
      <c r="J1997" s="33"/>
      <c r="K1997" s="33"/>
      <c r="L1997" s="33"/>
      <c r="M1997" s="33"/>
      <c r="N1997" s="33"/>
      <c r="O1997" s="33"/>
      <c r="P1997" s="33"/>
      <c r="Q1997" s="33"/>
      <c r="R1997" s="33"/>
      <c r="S1997" s="33"/>
      <c r="T1997" s="33"/>
      <c r="U1997" s="33"/>
      <c r="V1997" s="33"/>
      <c r="W1997" s="33"/>
      <c r="X1997" s="33"/>
      <c r="Y1997" s="33"/>
      <c r="Z1997" s="33"/>
      <c r="AA1997" s="33"/>
      <c r="AB1997" s="33"/>
      <c r="AC1997" s="33"/>
      <c r="AD1997" s="33"/>
      <c r="AE1997" s="33"/>
      <c r="AF1997" s="33"/>
      <c r="AG1997" s="33"/>
      <c r="AH1997" s="33"/>
      <c r="AI1997" s="33"/>
      <c r="AJ1997" s="33"/>
      <c r="AK1997" s="34" t="str">
        <f aca="false">IF($B1997="","",COUNTIF($F1997:$AJ1997,"P"))</f>
        <v/>
      </c>
      <c r="AL1997" s="34" t="str">
        <f aca="false">IF($B1997="","",COUNTIF($F1997:$AJ1997,"A"))</f>
        <v/>
      </c>
      <c r="AM1997" s="34" t="str">
        <f aca="false">IF($B1997="","",COUNTIF($F1997:$AJ1997,"HA"))</f>
        <v/>
      </c>
      <c r="AN1997" s="34" t="str">
        <f aca="false">IF($B1997="","",COUNTIF($F1997:$AJ1997,"L"))</f>
        <v/>
      </c>
      <c r="AO1997" s="34" t="str">
        <f aca="false">IF($B1997="","",COUNTIF($F1997:$AJ1997,"PL"))</f>
        <v/>
      </c>
      <c r="AP1997" s="34" t="str">
        <f aca="false">IF($B1997="","",COUNTIF($F1997:$AJ1997,"CL"))</f>
        <v/>
      </c>
      <c r="AQ1997" s="34" t="str">
        <f aca="false">IF($B1997="","",COUNTIF($F1997:$AJ1997,"SL"))</f>
        <v/>
      </c>
      <c r="AR1997" s="34" t="str">
        <f aca="false">IF($B1997="","",COUNTIF($F1997:$AJ1997,"CO"))</f>
        <v/>
      </c>
      <c r="AS1997" s="34" t="str">
        <f aca="false">IF($B1997="","",COUNTIF($F1997:$AJ1997,"HPL"))</f>
        <v/>
      </c>
      <c r="AT1997" s="34" t="str">
        <f aca="false">IF($B1997="","",COUNTIF($F1997:$AJ1997,"HCL"))</f>
        <v/>
      </c>
      <c r="AU1997" s="34" t="str">
        <f aca="false">IF($B1997="","",COUNTIF($F1997:$AJ1997,"WO"))</f>
        <v/>
      </c>
      <c r="AV1997" s="34" t="str">
        <f aca="false">IF($B1997="","",COUNTIF($F1997:$AJ1997,"PH"))</f>
        <v/>
      </c>
      <c r="AW1997" s="34" t="str">
        <f aca="false">IF($B1997="","",COUNTIF($F1997:$AJ1997,"TR"))</f>
        <v/>
      </c>
      <c r="AX1997" s="35" t="str">
        <f aca="false">IF($B1997="","",AO1997+AS1997/2)</f>
        <v/>
      </c>
      <c r="AY1997" s="35" t="str">
        <f aca="false">IF($B1997="","",AQ1997)</f>
        <v/>
      </c>
      <c r="AZ1997" s="35" t="str">
        <f aca="false">IF($B1997="","",AP1997+AT1997/2)</f>
        <v/>
      </c>
      <c r="BA1997" s="35" t="str">
        <f aca="false">IF($B1997="","",AK1997+AN1997+AM1997/2+AO1997+AP1997+AQ1997+AR1997+AS1997+AT1997+AU1997+AV1997+AW1997)</f>
        <v/>
      </c>
      <c r="BB1997" s="35" t="str">
        <f aca="false">IF($B1997="","",MAX(0,AN1997-Settings!$C$16)*Settings!$C$17)</f>
        <v/>
      </c>
      <c r="BC1997" s="35" t="str">
        <f aca="false">IF($B1997="","",BA1997-BB1997)</f>
        <v/>
      </c>
      <c r="BD1997" s="35" t="str">
        <f aca="false">IF(OR($B1997="",$A1997=""),"",DAY(EOMONTH($A1997,0))-COUNTA($F1997:$AJ1997))</f>
        <v/>
      </c>
    </row>
    <row r="1998" customFormat="false" ht="15" hidden="false" customHeight="false" outlineLevel="0" collapsed="false">
      <c r="A1998" s="32"/>
      <c r="B1998" s="29"/>
      <c r="C1998" s="10" t="str">
        <f aca="false">IF($B1998="","",IFERROR(INDEX(M_name,MATCH($B1998,M_emp,0)),"Code not found"))</f>
        <v/>
      </c>
      <c r="D1998" s="10" t="str">
        <f aca="false">IF($B1998="","",IFERROR(INDEX(M_dept,MATCH($B1998,M_emp,0)),""))</f>
        <v/>
      </c>
      <c r="E1998" s="10" t="str">
        <f aca="false">IF($B1998="","",IFERROR(INDEX(M_loc,MATCH($B1998,M_emp,0)),""))</f>
        <v/>
      </c>
      <c r="F1998" s="33"/>
      <c r="G1998" s="33"/>
      <c r="H1998" s="33"/>
      <c r="I1998" s="33"/>
      <c r="J1998" s="33"/>
      <c r="K1998" s="33"/>
      <c r="L1998" s="33"/>
      <c r="M1998" s="33"/>
      <c r="N1998" s="33"/>
      <c r="O1998" s="33"/>
      <c r="P1998" s="33"/>
      <c r="Q1998" s="33"/>
      <c r="R1998" s="33"/>
      <c r="S1998" s="33"/>
      <c r="T1998" s="33"/>
      <c r="U1998" s="33"/>
      <c r="V1998" s="33"/>
      <c r="W1998" s="33"/>
      <c r="X1998" s="33"/>
      <c r="Y1998" s="33"/>
      <c r="Z1998" s="33"/>
      <c r="AA1998" s="33"/>
      <c r="AB1998" s="33"/>
      <c r="AC1998" s="33"/>
      <c r="AD1998" s="33"/>
      <c r="AE1998" s="33"/>
      <c r="AF1998" s="33"/>
      <c r="AG1998" s="33"/>
      <c r="AH1998" s="33"/>
      <c r="AI1998" s="33"/>
      <c r="AJ1998" s="33"/>
      <c r="AK1998" s="34" t="str">
        <f aca="false">IF($B1998="","",COUNTIF($F1998:$AJ1998,"P"))</f>
        <v/>
      </c>
      <c r="AL1998" s="34" t="str">
        <f aca="false">IF($B1998="","",COUNTIF($F1998:$AJ1998,"A"))</f>
        <v/>
      </c>
      <c r="AM1998" s="34" t="str">
        <f aca="false">IF($B1998="","",COUNTIF($F1998:$AJ1998,"HA"))</f>
        <v/>
      </c>
      <c r="AN1998" s="34" t="str">
        <f aca="false">IF($B1998="","",COUNTIF($F1998:$AJ1998,"L"))</f>
        <v/>
      </c>
      <c r="AO1998" s="34" t="str">
        <f aca="false">IF($B1998="","",COUNTIF($F1998:$AJ1998,"PL"))</f>
        <v/>
      </c>
      <c r="AP1998" s="34" t="str">
        <f aca="false">IF($B1998="","",COUNTIF($F1998:$AJ1998,"CL"))</f>
        <v/>
      </c>
      <c r="AQ1998" s="34" t="str">
        <f aca="false">IF($B1998="","",COUNTIF($F1998:$AJ1998,"SL"))</f>
        <v/>
      </c>
      <c r="AR1998" s="34" t="str">
        <f aca="false">IF($B1998="","",COUNTIF($F1998:$AJ1998,"CO"))</f>
        <v/>
      </c>
      <c r="AS1998" s="34" t="str">
        <f aca="false">IF($B1998="","",COUNTIF($F1998:$AJ1998,"HPL"))</f>
        <v/>
      </c>
      <c r="AT1998" s="34" t="str">
        <f aca="false">IF($B1998="","",COUNTIF($F1998:$AJ1998,"HCL"))</f>
        <v/>
      </c>
      <c r="AU1998" s="34" t="str">
        <f aca="false">IF($B1998="","",COUNTIF($F1998:$AJ1998,"WO"))</f>
        <v/>
      </c>
      <c r="AV1998" s="34" t="str">
        <f aca="false">IF($B1998="","",COUNTIF($F1998:$AJ1998,"PH"))</f>
        <v/>
      </c>
      <c r="AW1998" s="34" t="str">
        <f aca="false">IF($B1998="","",COUNTIF($F1998:$AJ1998,"TR"))</f>
        <v/>
      </c>
      <c r="AX1998" s="35" t="str">
        <f aca="false">IF($B1998="","",AO1998+AS1998/2)</f>
        <v/>
      </c>
      <c r="AY1998" s="35" t="str">
        <f aca="false">IF($B1998="","",AQ1998)</f>
        <v/>
      </c>
      <c r="AZ1998" s="35" t="str">
        <f aca="false">IF($B1998="","",AP1998+AT1998/2)</f>
        <v/>
      </c>
      <c r="BA1998" s="35" t="str">
        <f aca="false">IF($B1998="","",AK1998+AN1998+AM1998/2+AO1998+AP1998+AQ1998+AR1998+AS1998+AT1998+AU1998+AV1998+AW1998)</f>
        <v/>
      </c>
      <c r="BB1998" s="35" t="str">
        <f aca="false">IF($B1998="","",MAX(0,AN1998-Settings!$C$16)*Settings!$C$17)</f>
        <v/>
      </c>
      <c r="BC1998" s="35" t="str">
        <f aca="false">IF($B1998="","",BA1998-BB1998)</f>
        <v/>
      </c>
      <c r="BD1998" s="35" t="str">
        <f aca="false">IF(OR($B1998="",$A1998=""),"",DAY(EOMONTH($A1998,0))-COUNTA($F1998:$AJ1998))</f>
        <v/>
      </c>
    </row>
    <row r="1999" customFormat="false" ht="15" hidden="false" customHeight="false" outlineLevel="0" collapsed="false">
      <c r="A1999" s="32"/>
      <c r="B1999" s="29"/>
      <c r="C1999" s="10" t="str">
        <f aca="false">IF($B1999="","",IFERROR(INDEX(M_name,MATCH($B1999,M_emp,0)),"Code not found"))</f>
        <v/>
      </c>
      <c r="D1999" s="10" t="str">
        <f aca="false">IF($B1999="","",IFERROR(INDEX(M_dept,MATCH($B1999,M_emp,0)),""))</f>
        <v/>
      </c>
      <c r="E1999" s="10" t="str">
        <f aca="false">IF($B1999="","",IFERROR(INDEX(M_loc,MATCH($B1999,M_emp,0)),""))</f>
        <v/>
      </c>
      <c r="F1999" s="33"/>
      <c r="G1999" s="33"/>
      <c r="H1999" s="33"/>
      <c r="I1999" s="33"/>
      <c r="J1999" s="33"/>
      <c r="K1999" s="33"/>
      <c r="L1999" s="33"/>
      <c r="M1999" s="33"/>
      <c r="N1999" s="33"/>
      <c r="O1999" s="33"/>
      <c r="P1999" s="33"/>
      <c r="Q1999" s="33"/>
      <c r="R1999" s="33"/>
      <c r="S1999" s="33"/>
      <c r="T1999" s="33"/>
      <c r="U1999" s="33"/>
      <c r="V1999" s="33"/>
      <c r="W1999" s="33"/>
      <c r="X1999" s="33"/>
      <c r="Y1999" s="33"/>
      <c r="Z1999" s="33"/>
      <c r="AA1999" s="33"/>
      <c r="AB1999" s="33"/>
      <c r="AC1999" s="33"/>
      <c r="AD1999" s="33"/>
      <c r="AE1999" s="33"/>
      <c r="AF1999" s="33"/>
      <c r="AG1999" s="33"/>
      <c r="AH1999" s="33"/>
      <c r="AI1999" s="33"/>
      <c r="AJ1999" s="33"/>
      <c r="AK1999" s="34" t="str">
        <f aca="false">IF($B1999="","",COUNTIF($F1999:$AJ1999,"P"))</f>
        <v/>
      </c>
      <c r="AL1999" s="34" t="str">
        <f aca="false">IF($B1999="","",COUNTIF($F1999:$AJ1999,"A"))</f>
        <v/>
      </c>
      <c r="AM1999" s="34" t="str">
        <f aca="false">IF($B1999="","",COUNTIF($F1999:$AJ1999,"HA"))</f>
        <v/>
      </c>
      <c r="AN1999" s="34" t="str">
        <f aca="false">IF($B1999="","",COUNTIF($F1999:$AJ1999,"L"))</f>
        <v/>
      </c>
      <c r="AO1999" s="34" t="str">
        <f aca="false">IF($B1999="","",COUNTIF($F1999:$AJ1999,"PL"))</f>
        <v/>
      </c>
      <c r="AP1999" s="34" t="str">
        <f aca="false">IF($B1999="","",COUNTIF($F1999:$AJ1999,"CL"))</f>
        <v/>
      </c>
      <c r="AQ1999" s="34" t="str">
        <f aca="false">IF($B1999="","",COUNTIF($F1999:$AJ1999,"SL"))</f>
        <v/>
      </c>
      <c r="AR1999" s="34" t="str">
        <f aca="false">IF($B1999="","",COUNTIF($F1999:$AJ1999,"CO"))</f>
        <v/>
      </c>
      <c r="AS1999" s="34" t="str">
        <f aca="false">IF($B1999="","",COUNTIF($F1999:$AJ1999,"HPL"))</f>
        <v/>
      </c>
      <c r="AT1999" s="34" t="str">
        <f aca="false">IF($B1999="","",COUNTIF($F1999:$AJ1999,"HCL"))</f>
        <v/>
      </c>
      <c r="AU1999" s="34" t="str">
        <f aca="false">IF($B1999="","",COUNTIF($F1999:$AJ1999,"WO"))</f>
        <v/>
      </c>
      <c r="AV1999" s="34" t="str">
        <f aca="false">IF($B1999="","",COUNTIF($F1999:$AJ1999,"PH"))</f>
        <v/>
      </c>
      <c r="AW1999" s="34" t="str">
        <f aca="false">IF($B1999="","",COUNTIF($F1999:$AJ1999,"TR"))</f>
        <v/>
      </c>
      <c r="AX1999" s="35" t="str">
        <f aca="false">IF($B1999="","",AO1999+AS1999/2)</f>
        <v/>
      </c>
      <c r="AY1999" s="35" t="str">
        <f aca="false">IF($B1999="","",AQ1999)</f>
        <v/>
      </c>
      <c r="AZ1999" s="35" t="str">
        <f aca="false">IF($B1999="","",AP1999+AT1999/2)</f>
        <v/>
      </c>
      <c r="BA1999" s="35" t="str">
        <f aca="false">IF($B1999="","",AK1999+AN1999+AM1999/2+AO1999+AP1999+AQ1999+AR1999+AS1999+AT1999+AU1999+AV1999+AW1999)</f>
        <v/>
      </c>
      <c r="BB1999" s="35" t="str">
        <f aca="false">IF($B1999="","",MAX(0,AN1999-Settings!$C$16)*Settings!$C$17)</f>
        <v/>
      </c>
      <c r="BC1999" s="35" t="str">
        <f aca="false">IF($B1999="","",BA1999-BB1999)</f>
        <v/>
      </c>
      <c r="BD1999" s="35" t="str">
        <f aca="false">IF(OR($B1999="",$A1999=""),"",DAY(EOMONTH($A1999,0))-COUNTA($F1999:$AJ1999))</f>
        <v/>
      </c>
    </row>
    <row r="2000" customFormat="false" ht="15" hidden="false" customHeight="false" outlineLevel="0" collapsed="false">
      <c r="A2000" s="32"/>
      <c r="B2000" s="29"/>
      <c r="C2000" s="10" t="str">
        <f aca="false">IF($B2000="","",IFERROR(INDEX(M_name,MATCH($B2000,M_emp,0)),"Code not found"))</f>
        <v/>
      </c>
      <c r="D2000" s="10" t="str">
        <f aca="false">IF($B2000="","",IFERROR(INDEX(M_dept,MATCH($B2000,M_emp,0)),""))</f>
        <v/>
      </c>
      <c r="E2000" s="10" t="str">
        <f aca="false">IF($B2000="","",IFERROR(INDEX(M_loc,MATCH($B2000,M_emp,0)),""))</f>
        <v/>
      </c>
      <c r="F2000" s="33"/>
      <c r="G2000" s="33"/>
      <c r="H2000" s="33"/>
      <c r="I2000" s="33"/>
      <c r="J2000" s="33"/>
      <c r="K2000" s="33"/>
      <c r="L2000" s="33"/>
      <c r="M2000" s="33"/>
      <c r="N2000" s="33"/>
      <c r="O2000" s="33"/>
      <c r="P2000" s="33"/>
      <c r="Q2000" s="33"/>
      <c r="R2000" s="33"/>
      <c r="S2000" s="33"/>
      <c r="T2000" s="33"/>
      <c r="U2000" s="33"/>
      <c r="V2000" s="33"/>
      <c r="W2000" s="33"/>
      <c r="X2000" s="33"/>
      <c r="Y2000" s="33"/>
      <c r="Z2000" s="33"/>
      <c r="AA2000" s="33"/>
      <c r="AB2000" s="33"/>
      <c r="AC2000" s="33"/>
      <c r="AD2000" s="33"/>
      <c r="AE2000" s="33"/>
      <c r="AF2000" s="33"/>
      <c r="AG2000" s="33"/>
      <c r="AH2000" s="33"/>
      <c r="AI2000" s="33"/>
      <c r="AJ2000" s="33"/>
      <c r="AK2000" s="34" t="str">
        <f aca="false">IF($B2000="","",COUNTIF($F2000:$AJ2000,"P"))</f>
        <v/>
      </c>
      <c r="AL2000" s="34" t="str">
        <f aca="false">IF($B2000="","",COUNTIF($F2000:$AJ2000,"A"))</f>
        <v/>
      </c>
      <c r="AM2000" s="34" t="str">
        <f aca="false">IF($B2000="","",COUNTIF($F2000:$AJ2000,"HA"))</f>
        <v/>
      </c>
      <c r="AN2000" s="34" t="str">
        <f aca="false">IF($B2000="","",COUNTIF($F2000:$AJ2000,"L"))</f>
        <v/>
      </c>
      <c r="AO2000" s="34" t="str">
        <f aca="false">IF($B2000="","",COUNTIF($F2000:$AJ2000,"PL"))</f>
        <v/>
      </c>
      <c r="AP2000" s="34" t="str">
        <f aca="false">IF($B2000="","",COUNTIF($F2000:$AJ2000,"CL"))</f>
        <v/>
      </c>
      <c r="AQ2000" s="34" t="str">
        <f aca="false">IF($B2000="","",COUNTIF($F2000:$AJ2000,"SL"))</f>
        <v/>
      </c>
      <c r="AR2000" s="34" t="str">
        <f aca="false">IF($B2000="","",COUNTIF($F2000:$AJ2000,"CO"))</f>
        <v/>
      </c>
      <c r="AS2000" s="34" t="str">
        <f aca="false">IF($B2000="","",COUNTIF($F2000:$AJ2000,"HPL"))</f>
        <v/>
      </c>
      <c r="AT2000" s="34" t="str">
        <f aca="false">IF($B2000="","",COUNTIF($F2000:$AJ2000,"HCL"))</f>
        <v/>
      </c>
      <c r="AU2000" s="34" t="str">
        <f aca="false">IF($B2000="","",COUNTIF($F2000:$AJ2000,"WO"))</f>
        <v/>
      </c>
      <c r="AV2000" s="34" t="str">
        <f aca="false">IF($B2000="","",COUNTIF($F2000:$AJ2000,"PH"))</f>
        <v/>
      </c>
      <c r="AW2000" s="34" t="str">
        <f aca="false">IF($B2000="","",COUNTIF($F2000:$AJ2000,"TR"))</f>
        <v/>
      </c>
      <c r="AX2000" s="35" t="str">
        <f aca="false">IF($B2000="","",AO2000+AS2000/2)</f>
        <v/>
      </c>
      <c r="AY2000" s="35" t="str">
        <f aca="false">IF($B2000="","",AQ2000)</f>
        <v/>
      </c>
      <c r="AZ2000" s="35" t="str">
        <f aca="false">IF($B2000="","",AP2000+AT2000/2)</f>
        <v/>
      </c>
      <c r="BA2000" s="35" t="str">
        <f aca="false">IF($B2000="","",AK2000+AN2000+AM2000/2+AO2000+AP2000+AQ2000+AR2000+AS2000+AT2000+AU2000+AV2000+AW2000)</f>
        <v/>
      </c>
      <c r="BB2000" s="35" t="str">
        <f aca="false">IF($B2000="","",MAX(0,AN2000-Settings!$C$16)*Settings!$C$17)</f>
        <v/>
      </c>
      <c r="BC2000" s="35" t="str">
        <f aca="false">IF($B2000="","",BA2000-BB2000)</f>
        <v/>
      </c>
      <c r="BD2000" s="35" t="str">
        <f aca="false">IF(OR($B2000="",$A2000=""),"",DAY(EOMONTH($A2000,0))-COUNTA($F2000:$AJ2000))</f>
        <v/>
      </c>
    </row>
    <row r="2001" customFormat="false" ht="15" hidden="false" customHeight="false" outlineLevel="0" collapsed="false">
      <c r="A2001" s="32"/>
      <c r="B2001" s="29"/>
      <c r="C2001" s="10" t="str">
        <f aca="false">IF($B2001="","",IFERROR(INDEX(M_name,MATCH($B2001,M_emp,0)),"Code not found"))</f>
        <v/>
      </c>
      <c r="D2001" s="10" t="str">
        <f aca="false">IF($B2001="","",IFERROR(INDEX(M_dept,MATCH($B2001,M_emp,0)),""))</f>
        <v/>
      </c>
      <c r="E2001" s="10" t="str">
        <f aca="false">IF($B2001="","",IFERROR(INDEX(M_loc,MATCH($B2001,M_emp,0)),""))</f>
        <v/>
      </c>
      <c r="F2001" s="33"/>
      <c r="G2001" s="33"/>
      <c r="H2001" s="33"/>
      <c r="I2001" s="33"/>
      <c r="J2001" s="33"/>
      <c r="K2001" s="33"/>
      <c r="L2001" s="33"/>
      <c r="M2001" s="33"/>
      <c r="N2001" s="33"/>
      <c r="O2001" s="33"/>
      <c r="P2001" s="33"/>
      <c r="Q2001" s="33"/>
      <c r="R2001" s="33"/>
      <c r="S2001" s="33"/>
      <c r="T2001" s="33"/>
      <c r="U2001" s="33"/>
      <c r="V2001" s="33"/>
      <c r="W2001" s="33"/>
      <c r="X2001" s="33"/>
      <c r="Y2001" s="33"/>
      <c r="Z2001" s="33"/>
      <c r="AA2001" s="33"/>
      <c r="AB2001" s="33"/>
      <c r="AC2001" s="33"/>
      <c r="AD2001" s="33"/>
      <c r="AE2001" s="33"/>
      <c r="AF2001" s="33"/>
      <c r="AG2001" s="33"/>
      <c r="AH2001" s="33"/>
      <c r="AI2001" s="33"/>
      <c r="AJ2001" s="33"/>
      <c r="AK2001" s="34" t="str">
        <f aca="false">IF($B2001="","",COUNTIF($F2001:$AJ2001,"P"))</f>
        <v/>
      </c>
      <c r="AL2001" s="34" t="str">
        <f aca="false">IF($B2001="","",COUNTIF($F2001:$AJ2001,"A"))</f>
        <v/>
      </c>
      <c r="AM2001" s="34" t="str">
        <f aca="false">IF($B2001="","",COUNTIF($F2001:$AJ2001,"HA"))</f>
        <v/>
      </c>
      <c r="AN2001" s="34" t="str">
        <f aca="false">IF($B2001="","",COUNTIF($F2001:$AJ2001,"L"))</f>
        <v/>
      </c>
      <c r="AO2001" s="34" t="str">
        <f aca="false">IF($B2001="","",COUNTIF($F2001:$AJ2001,"PL"))</f>
        <v/>
      </c>
      <c r="AP2001" s="34" t="str">
        <f aca="false">IF($B2001="","",COUNTIF($F2001:$AJ2001,"CL"))</f>
        <v/>
      </c>
      <c r="AQ2001" s="34" t="str">
        <f aca="false">IF($B2001="","",COUNTIF($F2001:$AJ2001,"SL"))</f>
        <v/>
      </c>
      <c r="AR2001" s="34" t="str">
        <f aca="false">IF($B2001="","",COUNTIF($F2001:$AJ2001,"CO"))</f>
        <v/>
      </c>
      <c r="AS2001" s="34" t="str">
        <f aca="false">IF($B2001="","",COUNTIF($F2001:$AJ2001,"HPL"))</f>
        <v/>
      </c>
      <c r="AT2001" s="34" t="str">
        <f aca="false">IF($B2001="","",COUNTIF($F2001:$AJ2001,"HCL"))</f>
        <v/>
      </c>
      <c r="AU2001" s="34" t="str">
        <f aca="false">IF($B2001="","",COUNTIF($F2001:$AJ2001,"WO"))</f>
        <v/>
      </c>
      <c r="AV2001" s="34" t="str">
        <f aca="false">IF($B2001="","",COUNTIF($F2001:$AJ2001,"PH"))</f>
        <v/>
      </c>
      <c r="AW2001" s="34" t="str">
        <f aca="false">IF($B2001="","",COUNTIF($F2001:$AJ2001,"TR"))</f>
        <v/>
      </c>
      <c r="AX2001" s="35" t="str">
        <f aca="false">IF($B2001="","",AO2001+AS2001/2)</f>
        <v/>
      </c>
      <c r="AY2001" s="35" t="str">
        <f aca="false">IF($B2001="","",AQ2001)</f>
        <v/>
      </c>
      <c r="AZ2001" s="35" t="str">
        <f aca="false">IF($B2001="","",AP2001+AT2001/2)</f>
        <v/>
      </c>
      <c r="BA2001" s="35" t="str">
        <f aca="false">IF($B2001="","",AK2001+AN2001+AM2001/2+AO2001+AP2001+AQ2001+AR2001+AS2001+AT2001+AU2001+AV2001+AW2001)</f>
        <v/>
      </c>
      <c r="BB2001" s="35" t="str">
        <f aca="false">IF($B2001="","",MAX(0,AN2001-Settings!$C$16)*Settings!$C$17)</f>
        <v/>
      </c>
      <c r="BC2001" s="35" t="str">
        <f aca="false">IF($B2001="","",BA2001-BB2001)</f>
        <v/>
      </c>
      <c r="BD2001" s="35" t="str">
        <f aca="false">IF(OR($B2001="",$A2001=""),"",DAY(EOMONTH($A2001,0))-COUNTA($F2001:$AJ2001))</f>
        <v/>
      </c>
    </row>
    <row r="2002" customFormat="false" ht="15" hidden="false" customHeight="false" outlineLevel="0" collapsed="false">
      <c r="A2002" s="32"/>
      <c r="B2002" s="29"/>
      <c r="C2002" s="10" t="str">
        <f aca="false">IF($B2002="","",IFERROR(INDEX(M_name,MATCH($B2002,M_emp,0)),"Code not found"))</f>
        <v/>
      </c>
      <c r="D2002" s="10" t="str">
        <f aca="false">IF($B2002="","",IFERROR(INDEX(M_dept,MATCH($B2002,M_emp,0)),""))</f>
        <v/>
      </c>
      <c r="E2002" s="10" t="str">
        <f aca="false">IF($B2002="","",IFERROR(INDEX(M_loc,MATCH($B2002,M_emp,0)),""))</f>
        <v/>
      </c>
      <c r="F2002" s="33"/>
      <c r="G2002" s="33"/>
      <c r="H2002" s="33"/>
      <c r="I2002" s="33"/>
      <c r="J2002" s="33"/>
      <c r="K2002" s="33"/>
      <c r="L2002" s="33"/>
      <c r="M2002" s="33"/>
      <c r="N2002" s="33"/>
      <c r="O2002" s="33"/>
      <c r="P2002" s="33"/>
      <c r="Q2002" s="33"/>
      <c r="R2002" s="33"/>
      <c r="S2002" s="33"/>
      <c r="T2002" s="33"/>
      <c r="U2002" s="33"/>
      <c r="V2002" s="33"/>
      <c r="W2002" s="33"/>
      <c r="X2002" s="33"/>
      <c r="Y2002" s="33"/>
      <c r="Z2002" s="33"/>
      <c r="AA2002" s="33"/>
      <c r="AB2002" s="33"/>
      <c r="AC2002" s="33"/>
      <c r="AD2002" s="33"/>
      <c r="AE2002" s="33"/>
      <c r="AF2002" s="33"/>
      <c r="AG2002" s="33"/>
      <c r="AH2002" s="33"/>
      <c r="AI2002" s="33"/>
      <c r="AJ2002" s="33"/>
      <c r="AK2002" s="34" t="str">
        <f aca="false">IF($B2002="","",COUNTIF($F2002:$AJ2002,"P"))</f>
        <v/>
      </c>
      <c r="AL2002" s="34" t="str">
        <f aca="false">IF($B2002="","",COUNTIF($F2002:$AJ2002,"A"))</f>
        <v/>
      </c>
      <c r="AM2002" s="34" t="str">
        <f aca="false">IF($B2002="","",COUNTIF($F2002:$AJ2002,"HA"))</f>
        <v/>
      </c>
      <c r="AN2002" s="34" t="str">
        <f aca="false">IF($B2002="","",COUNTIF($F2002:$AJ2002,"L"))</f>
        <v/>
      </c>
      <c r="AO2002" s="34" t="str">
        <f aca="false">IF($B2002="","",COUNTIF($F2002:$AJ2002,"PL"))</f>
        <v/>
      </c>
      <c r="AP2002" s="34" t="str">
        <f aca="false">IF($B2002="","",COUNTIF($F2002:$AJ2002,"CL"))</f>
        <v/>
      </c>
      <c r="AQ2002" s="34" t="str">
        <f aca="false">IF($B2002="","",COUNTIF($F2002:$AJ2002,"SL"))</f>
        <v/>
      </c>
      <c r="AR2002" s="34" t="str">
        <f aca="false">IF($B2002="","",COUNTIF($F2002:$AJ2002,"CO"))</f>
        <v/>
      </c>
      <c r="AS2002" s="34" t="str">
        <f aca="false">IF($B2002="","",COUNTIF($F2002:$AJ2002,"HPL"))</f>
        <v/>
      </c>
      <c r="AT2002" s="34" t="str">
        <f aca="false">IF($B2002="","",COUNTIF($F2002:$AJ2002,"HCL"))</f>
        <v/>
      </c>
      <c r="AU2002" s="34" t="str">
        <f aca="false">IF($B2002="","",COUNTIF($F2002:$AJ2002,"WO"))</f>
        <v/>
      </c>
      <c r="AV2002" s="34" t="str">
        <f aca="false">IF($B2002="","",COUNTIF($F2002:$AJ2002,"PH"))</f>
        <v/>
      </c>
      <c r="AW2002" s="34" t="str">
        <f aca="false">IF($B2002="","",COUNTIF($F2002:$AJ2002,"TR"))</f>
        <v/>
      </c>
      <c r="AX2002" s="35" t="str">
        <f aca="false">IF($B2002="","",AO2002+AS2002/2)</f>
        <v/>
      </c>
      <c r="AY2002" s="35" t="str">
        <f aca="false">IF($B2002="","",AQ2002)</f>
        <v/>
      </c>
      <c r="AZ2002" s="35" t="str">
        <f aca="false">IF($B2002="","",AP2002+AT2002/2)</f>
        <v/>
      </c>
      <c r="BA2002" s="35" t="str">
        <f aca="false">IF($B2002="","",AK2002+AN2002+AM2002/2+AO2002+AP2002+AQ2002+AR2002+AS2002+AT2002+AU2002+AV2002+AW2002)</f>
        <v/>
      </c>
      <c r="BB2002" s="35" t="str">
        <f aca="false">IF($B2002="","",MAX(0,AN2002-Settings!$C$16)*Settings!$C$17)</f>
        <v/>
      </c>
      <c r="BC2002" s="35" t="str">
        <f aca="false">IF($B2002="","",BA2002-BB2002)</f>
        <v/>
      </c>
      <c r="BD2002" s="35" t="str">
        <f aca="false">IF(OR($B2002="",$A2002=""),"",DAY(EOMONTH($A2002,0))-COUNTA($F2002:$AJ2002))</f>
        <v/>
      </c>
    </row>
    <row r="2003" customFormat="false" ht="15" hidden="false" customHeight="false" outlineLevel="0" collapsed="false">
      <c r="A2003" s="32"/>
      <c r="B2003" s="29"/>
      <c r="C2003" s="10" t="str">
        <f aca="false">IF($B2003="","",IFERROR(INDEX(M_name,MATCH($B2003,M_emp,0)),"Code not found"))</f>
        <v/>
      </c>
      <c r="D2003" s="10" t="str">
        <f aca="false">IF($B2003="","",IFERROR(INDEX(M_dept,MATCH($B2003,M_emp,0)),""))</f>
        <v/>
      </c>
      <c r="E2003" s="10" t="str">
        <f aca="false">IF($B2003="","",IFERROR(INDEX(M_loc,MATCH($B2003,M_emp,0)),""))</f>
        <v/>
      </c>
      <c r="F2003" s="33"/>
      <c r="G2003" s="33"/>
      <c r="H2003" s="33"/>
      <c r="I2003" s="33"/>
      <c r="J2003" s="33"/>
      <c r="K2003" s="33"/>
      <c r="L2003" s="33"/>
      <c r="M2003" s="33"/>
      <c r="N2003" s="33"/>
      <c r="O2003" s="33"/>
      <c r="P2003" s="33"/>
      <c r="Q2003" s="33"/>
      <c r="R2003" s="33"/>
      <c r="S2003" s="33"/>
      <c r="T2003" s="33"/>
      <c r="U2003" s="33"/>
      <c r="V2003" s="33"/>
      <c r="W2003" s="33"/>
      <c r="X2003" s="33"/>
      <c r="Y2003" s="33"/>
      <c r="Z2003" s="33"/>
      <c r="AA2003" s="33"/>
      <c r="AB2003" s="33"/>
      <c r="AC2003" s="33"/>
      <c r="AD2003" s="33"/>
      <c r="AE2003" s="33"/>
      <c r="AF2003" s="33"/>
      <c r="AG2003" s="33"/>
      <c r="AH2003" s="33"/>
      <c r="AI2003" s="33"/>
      <c r="AJ2003" s="33"/>
      <c r="AK2003" s="34" t="str">
        <f aca="false">IF($B2003="","",COUNTIF($F2003:$AJ2003,"P"))</f>
        <v/>
      </c>
      <c r="AL2003" s="34" t="str">
        <f aca="false">IF($B2003="","",COUNTIF($F2003:$AJ2003,"A"))</f>
        <v/>
      </c>
      <c r="AM2003" s="34" t="str">
        <f aca="false">IF($B2003="","",COUNTIF($F2003:$AJ2003,"HA"))</f>
        <v/>
      </c>
      <c r="AN2003" s="34" t="str">
        <f aca="false">IF($B2003="","",COUNTIF($F2003:$AJ2003,"L"))</f>
        <v/>
      </c>
      <c r="AO2003" s="34" t="str">
        <f aca="false">IF($B2003="","",COUNTIF($F2003:$AJ2003,"PL"))</f>
        <v/>
      </c>
      <c r="AP2003" s="34" t="str">
        <f aca="false">IF($B2003="","",COUNTIF($F2003:$AJ2003,"CL"))</f>
        <v/>
      </c>
      <c r="AQ2003" s="34" t="str">
        <f aca="false">IF($B2003="","",COUNTIF($F2003:$AJ2003,"SL"))</f>
        <v/>
      </c>
      <c r="AR2003" s="34" t="str">
        <f aca="false">IF($B2003="","",COUNTIF($F2003:$AJ2003,"CO"))</f>
        <v/>
      </c>
      <c r="AS2003" s="34" t="str">
        <f aca="false">IF($B2003="","",COUNTIF($F2003:$AJ2003,"HPL"))</f>
        <v/>
      </c>
      <c r="AT2003" s="34" t="str">
        <f aca="false">IF($B2003="","",COUNTIF($F2003:$AJ2003,"HCL"))</f>
        <v/>
      </c>
      <c r="AU2003" s="34" t="str">
        <f aca="false">IF($B2003="","",COUNTIF($F2003:$AJ2003,"WO"))</f>
        <v/>
      </c>
      <c r="AV2003" s="34" t="str">
        <f aca="false">IF($B2003="","",COUNTIF($F2003:$AJ2003,"PH"))</f>
        <v/>
      </c>
      <c r="AW2003" s="34" t="str">
        <f aca="false">IF($B2003="","",COUNTIF($F2003:$AJ2003,"TR"))</f>
        <v/>
      </c>
      <c r="AX2003" s="35" t="str">
        <f aca="false">IF($B2003="","",AO2003+AS2003/2)</f>
        <v/>
      </c>
      <c r="AY2003" s="35" t="str">
        <f aca="false">IF($B2003="","",AQ2003)</f>
        <v/>
      </c>
      <c r="AZ2003" s="35" t="str">
        <f aca="false">IF($B2003="","",AP2003+AT2003/2)</f>
        <v/>
      </c>
      <c r="BA2003" s="35" t="str">
        <f aca="false">IF($B2003="","",AK2003+AN2003+AM2003/2+AO2003+AP2003+AQ2003+AR2003+AS2003+AT2003+AU2003+AV2003+AW2003)</f>
        <v/>
      </c>
      <c r="BB2003" s="35" t="str">
        <f aca="false">IF($B2003="","",MAX(0,AN2003-Settings!$C$16)*Settings!$C$17)</f>
        <v/>
      </c>
      <c r="BC2003" s="35" t="str">
        <f aca="false">IF($B2003="","",BA2003-BB2003)</f>
        <v/>
      </c>
      <c r="BD2003" s="35" t="str">
        <f aca="false">IF(OR($B2003="",$A2003=""),"",DAY(EOMONTH($A2003,0))-COUNTA($F2003:$AJ2003))</f>
        <v/>
      </c>
    </row>
    <row r="2004" customFormat="false" ht="15" hidden="false" customHeight="false" outlineLevel="0" collapsed="false">
      <c r="A2004" s="32"/>
      <c r="B2004" s="29"/>
      <c r="C2004" s="10" t="str">
        <f aca="false">IF($B2004="","",IFERROR(INDEX(M_name,MATCH($B2004,M_emp,0)),"Code not found"))</f>
        <v/>
      </c>
      <c r="D2004" s="10" t="str">
        <f aca="false">IF($B2004="","",IFERROR(INDEX(M_dept,MATCH($B2004,M_emp,0)),""))</f>
        <v/>
      </c>
      <c r="E2004" s="10" t="str">
        <f aca="false">IF($B2004="","",IFERROR(INDEX(M_loc,MATCH($B2004,M_emp,0)),""))</f>
        <v/>
      </c>
      <c r="F2004" s="33"/>
      <c r="G2004" s="33"/>
      <c r="H2004" s="33"/>
      <c r="I2004" s="33"/>
      <c r="J2004" s="33"/>
      <c r="K2004" s="33"/>
      <c r="L2004" s="33"/>
      <c r="M2004" s="33"/>
      <c r="N2004" s="33"/>
      <c r="O2004" s="33"/>
      <c r="P2004" s="33"/>
      <c r="Q2004" s="33"/>
      <c r="R2004" s="33"/>
      <c r="S2004" s="33"/>
      <c r="T2004" s="33"/>
      <c r="U2004" s="33"/>
      <c r="V2004" s="33"/>
      <c r="W2004" s="33"/>
      <c r="X2004" s="33"/>
      <c r="Y2004" s="33"/>
      <c r="Z2004" s="33"/>
      <c r="AA2004" s="33"/>
      <c r="AB2004" s="33"/>
      <c r="AC2004" s="33"/>
      <c r="AD2004" s="33"/>
      <c r="AE2004" s="33"/>
      <c r="AF2004" s="33"/>
      <c r="AG2004" s="33"/>
      <c r="AH2004" s="33"/>
      <c r="AI2004" s="33"/>
      <c r="AJ2004" s="33"/>
      <c r="AK2004" s="34" t="str">
        <f aca="false">IF($B2004="","",COUNTIF($F2004:$AJ2004,"P"))</f>
        <v/>
      </c>
      <c r="AL2004" s="34" t="str">
        <f aca="false">IF($B2004="","",COUNTIF($F2004:$AJ2004,"A"))</f>
        <v/>
      </c>
      <c r="AM2004" s="34" t="str">
        <f aca="false">IF($B2004="","",COUNTIF($F2004:$AJ2004,"HA"))</f>
        <v/>
      </c>
      <c r="AN2004" s="34" t="str">
        <f aca="false">IF($B2004="","",COUNTIF($F2004:$AJ2004,"L"))</f>
        <v/>
      </c>
      <c r="AO2004" s="34" t="str">
        <f aca="false">IF($B2004="","",COUNTIF($F2004:$AJ2004,"PL"))</f>
        <v/>
      </c>
      <c r="AP2004" s="34" t="str">
        <f aca="false">IF($B2004="","",COUNTIF($F2004:$AJ2004,"CL"))</f>
        <v/>
      </c>
      <c r="AQ2004" s="34" t="str">
        <f aca="false">IF($B2004="","",COUNTIF($F2004:$AJ2004,"SL"))</f>
        <v/>
      </c>
      <c r="AR2004" s="34" t="str">
        <f aca="false">IF($B2004="","",COUNTIF($F2004:$AJ2004,"CO"))</f>
        <v/>
      </c>
      <c r="AS2004" s="34" t="str">
        <f aca="false">IF($B2004="","",COUNTIF($F2004:$AJ2004,"HPL"))</f>
        <v/>
      </c>
      <c r="AT2004" s="34" t="str">
        <f aca="false">IF($B2004="","",COUNTIF($F2004:$AJ2004,"HCL"))</f>
        <v/>
      </c>
      <c r="AU2004" s="34" t="str">
        <f aca="false">IF($B2004="","",COUNTIF($F2004:$AJ2004,"WO"))</f>
        <v/>
      </c>
      <c r="AV2004" s="34" t="str">
        <f aca="false">IF($B2004="","",COUNTIF($F2004:$AJ2004,"PH"))</f>
        <v/>
      </c>
      <c r="AW2004" s="34" t="str">
        <f aca="false">IF($B2004="","",COUNTIF($F2004:$AJ2004,"TR"))</f>
        <v/>
      </c>
      <c r="AX2004" s="35" t="str">
        <f aca="false">IF($B2004="","",AO2004+AS2004/2)</f>
        <v/>
      </c>
      <c r="AY2004" s="35" t="str">
        <f aca="false">IF($B2004="","",AQ2004)</f>
        <v/>
      </c>
      <c r="AZ2004" s="35" t="str">
        <f aca="false">IF($B2004="","",AP2004+AT2004/2)</f>
        <v/>
      </c>
      <c r="BA2004" s="35" t="str">
        <f aca="false">IF($B2004="","",AK2004+AN2004+AM2004/2+AO2004+AP2004+AQ2004+AR2004+AS2004+AT2004+AU2004+AV2004+AW2004)</f>
        <v/>
      </c>
      <c r="BB2004" s="35" t="str">
        <f aca="false">IF($B2004="","",MAX(0,AN2004-Settings!$C$16)*Settings!$C$17)</f>
        <v/>
      </c>
      <c r="BC2004" s="35" t="str">
        <f aca="false">IF($B2004="","",BA2004-BB2004)</f>
        <v/>
      </c>
      <c r="BD2004" s="35" t="str">
        <f aca="false">IF(OR($B2004="",$A2004=""),"",DAY(EOMONTH($A2004,0))-COUNTA($F2004:$AJ2004))</f>
        <v/>
      </c>
    </row>
    <row r="2005" customFormat="false" ht="15" hidden="false" customHeight="false" outlineLevel="0" collapsed="false">
      <c r="A2005" s="32"/>
      <c r="B2005" s="29"/>
      <c r="C2005" s="10" t="str">
        <f aca="false">IF($B2005="","",IFERROR(INDEX(M_name,MATCH($B2005,M_emp,0)),"Code not found"))</f>
        <v/>
      </c>
      <c r="D2005" s="10" t="str">
        <f aca="false">IF($B2005="","",IFERROR(INDEX(M_dept,MATCH($B2005,M_emp,0)),""))</f>
        <v/>
      </c>
      <c r="E2005" s="10" t="str">
        <f aca="false">IF($B2005="","",IFERROR(INDEX(M_loc,MATCH($B2005,M_emp,0)),""))</f>
        <v/>
      </c>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c r="AB2005" s="33"/>
      <c r="AC2005" s="33"/>
      <c r="AD2005" s="33"/>
      <c r="AE2005" s="33"/>
      <c r="AF2005" s="33"/>
      <c r="AG2005" s="33"/>
      <c r="AH2005" s="33"/>
      <c r="AI2005" s="33"/>
      <c r="AJ2005" s="33"/>
      <c r="AK2005" s="34" t="str">
        <f aca="false">IF($B2005="","",COUNTIF($F2005:$AJ2005,"P"))</f>
        <v/>
      </c>
      <c r="AL2005" s="34" t="str">
        <f aca="false">IF($B2005="","",COUNTIF($F2005:$AJ2005,"A"))</f>
        <v/>
      </c>
      <c r="AM2005" s="34" t="str">
        <f aca="false">IF($B2005="","",COUNTIF($F2005:$AJ2005,"HA"))</f>
        <v/>
      </c>
      <c r="AN2005" s="34" t="str">
        <f aca="false">IF($B2005="","",COUNTIF($F2005:$AJ2005,"L"))</f>
        <v/>
      </c>
      <c r="AO2005" s="34" t="str">
        <f aca="false">IF($B2005="","",COUNTIF($F2005:$AJ2005,"PL"))</f>
        <v/>
      </c>
      <c r="AP2005" s="34" t="str">
        <f aca="false">IF($B2005="","",COUNTIF($F2005:$AJ2005,"CL"))</f>
        <v/>
      </c>
      <c r="AQ2005" s="34" t="str">
        <f aca="false">IF($B2005="","",COUNTIF($F2005:$AJ2005,"SL"))</f>
        <v/>
      </c>
      <c r="AR2005" s="34" t="str">
        <f aca="false">IF($B2005="","",COUNTIF($F2005:$AJ2005,"CO"))</f>
        <v/>
      </c>
      <c r="AS2005" s="34" t="str">
        <f aca="false">IF($B2005="","",COUNTIF($F2005:$AJ2005,"HPL"))</f>
        <v/>
      </c>
      <c r="AT2005" s="34" t="str">
        <f aca="false">IF($B2005="","",COUNTIF($F2005:$AJ2005,"HCL"))</f>
        <v/>
      </c>
      <c r="AU2005" s="34" t="str">
        <f aca="false">IF($B2005="","",COUNTIF($F2005:$AJ2005,"WO"))</f>
        <v/>
      </c>
      <c r="AV2005" s="34" t="str">
        <f aca="false">IF($B2005="","",COUNTIF($F2005:$AJ2005,"PH"))</f>
        <v/>
      </c>
      <c r="AW2005" s="34" t="str">
        <f aca="false">IF($B2005="","",COUNTIF($F2005:$AJ2005,"TR"))</f>
        <v/>
      </c>
      <c r="AX2005" s="35" t="str">
        <f aca="false">IF($B2005="","",AO2005+AS2005/2)</f>
        <v/>
      </c>
      <c r="AY2005" s="35" t="str">
        <f aca="false">IF($B2005="","",AQ2005)</f>
        <v/>
      </c>
      <c r="AZ2005" s="35" t="str">
        <f aca="false">IF($B2005="","",AP2005+AT2005/2)</f>
        <v/>
      </c>
      <c r="BA2005" s="35" t="str">
        <f aca="false">IF($B2005="","",AK2005+AN2005+AM2005/2+AO2005+AP2005+AQ2005+AR2005+AS2005+AT2005+AU2005+AV2005+AW2005)</f>
        <v/>
      </c>
      <c r="BB2005" s="35" t="str">
        <f aca="false">IF($B2005="","",MAX(0,AN2005-Settings!$C$16)*Settings!$C$17)</f>
        <v/>
      </c>
      <c r="BC2005" s="35" t="str">
        <f aca="false">IF($B2005="","",BA2005-BB2005)</f>
        <v/>
      </c>
      <c r="BD2005" s="35" t="str">
        <f aca="false">IF(OR($B2005="",$A2005=""),"",DAY(EOMONTH($A2005,0))-COUNTA($F2005:$AJ2005))</f>
        <v/>
      </c>
    </row>
    <row r="2006" customFormat="false" ht="15" hidden="false" customHeight="false" outlineLevel="0" collapsed="false">
      <c r="A2006" s="32"/>
      <c r="B2006" s="29"/>
      <c r="C2006" s="10" t="str">
        <f aca="false">IF($B2006="","",IFERROR(INDEX(M_name,MATCH($B2006,M_emp,0)),"Code not found"))</f>
        <v/>
      </c>
      <c r="D2006" s="10" t="str">
        <f aca="false">IF($B2006="","",IFERROR(INDEX(M_dept,MATCH($B2006,M_emp,0)),""))</f>
        <v/>
      </c>
      <c r="E2006" s="10" t="str">
        <f aca="false">IF($B2006="","",IFERROR(INDEX(M_loc,MATCH($B2006,M_emp,0)),""))</f>
        <v/>
      </c>
      <c r="F2006" s="33"/>
      <c r="G2006" s="33"/>
      <c r="H2006" s="33"/>
      <c r="I2006" s="33"/>
      <c r="J2006" s="33"/>
      <c r="K2006" s="33"/>
      <c r="L2006" s="33"/>
      <c r="M2006" s="33"/>
      <c r="N2006" s="33"/>
      <c r="O2006" s="33"/>
      <c r="P2006" s="33"/>
      <c r="Q2006" s="33"/>
      <c r="R2006" s="33"/>
      <c r="S2006" s="33"/>
      <c r="T2006" s="33"/>
      <c r="U2006" s="33"/>
      <c r="V2006" s="33"/>
      <c r="W2006" s="33"/>
      <c r="X2006" s="33"/>
      <c r="Y2006" s="33"/>
      <c r="Z2006" s="33"/>
      <c r="AA2006" s="33"/>
      <c r="AB2006" s="33"/>
      <c r="AC2006" s="33"/>
      <c r="AD2006" s="33"/>
      <c r="AE2006" s="33"/>
      <c r="AF2006" s="33"/>
      <c r="AG2006" s="33"/>
      <c r="AH2006" s="33"/>
      <c r="AI2006" s="33"/>
      <c r="AJ2006" s="33"/>
      <c r="AK2006" s="34" t="str">
        <f aca="false">IF($B2006="","",COUNTIF($F2006:$AJ2006,"P"))</f>
        <v/>
      </c>
      <c r="AL2006" s="34" t="str">
        <f aca="false">IF($B2006="","",COUNTIF($F2006:$AJ2006,"A"))</f>
        <v/>
      </c>
      <c r="AM2006" s="34" t="str">
        <f aca="false">IF($B2006="","",COUNTIF($F2006:$AJ2006,"HA"))</f>
        <v/>
      </c>
      <c r="AN2006" s="34" t="str">
        <f aca="false">IF($B2006="","",COUNTIF($F2006:$AJ2006,"L"))</f>
        <v/>
      </c>
      <c r="AO2006" s="34" t="str">
        <f aca="false">IF($B2006="","",COUNTIF($F2006:$AJ2006,"PL"))</f>
        <v/>
      </c>
      <c r="AP2006" s="34" t="str">
        <f aca="false">IF($B2006="","",COUNTIF($F2006:$AJ2006,"CL"))</f>
        <v/>
      </c>
      <c r="AQ2006" s="34" t="str">
        <f aca="false">IF($B2006="","",COUNTIF($F2006:$AJ2006,"SL"))</f>
        <v/>
      </c>
      <c r="AR2006" s="34" t="str">
        <f aca="false">IF($B2006="","",COUNTIF($F2006:$AJ2006,"CO"))</f>
        <v/>
      </c>
      <c r="AS2006" s="34" t="str">
        <f aca="false">IF($B2006="","",COUNTIF($F2006:$AJ2006,"HPL"))</f>
        <v/>
      </c>
      <c r="AT2006" s="34" t="str">
        <f aca="false">IF($B2006="","",COUNTIF($F2006:$AJ2006,"HCL"))</f>
        <v/>
      </c>
      <c r="AU2006" s="34" t="str">
        <f aca="false">IF($B2006="","",COUNTIF($F2006:$AJ2006,"WO"))</f>
        <v/>
      </c>
      <c r="AV2006" s="34" t="str">
        <f aca="false">IF($B2006="","",COUNTIF($F2006:$AJ2006,"PH"))</f>
        <v/>
      </c>
      <c r="AW2006" s="34" t="str">
        <f aca="false">IF($B2006="","",COUNTIF($F2006:$AJ2006,"TR"))</f>
        <v/>
      </c>
      <c r="AX2006" s="35" t="str">
        <f aca="false">IF($B2006="","",AO2006+AS2006/2)</f>
        <v/>
      </c>
      <c r="AY2006" s="35" t="str">
        <f aca="false">IF($B2006="","",AQ2006)</f>
        <v/>
      </c>
      <c r="AZ2006" s="35" t="str">
        <f aca="false">IF($B2006="","",AP2006+AT2006/2)</f>
        <v/>
      </c>
      <c r="BA2006" s="35" t="str">
        <f aca="false">IF($B2006="","",AK2006+AN2006+AM2006/2+AO2006+AP2006+AQ2006+AR2006+AS2006+AT2006+AU2006+AV2006+AW2006)</f>
        <v/>
      </c>
      <c r="BB2006" s="35" t="str">
        <f aca="false">IF($B2006="","",MAX(0,AN2006-Settings!$C$16)*Settings!$C$17)</f>
        <v/>
      </c>
      <c r="BC2006" s="35" t="str">
        <f aca="false">IF($B2006="","",BA2006-BB2006)</f>
        <v/>
      </c>
      <c r="BD2006" s="35" t="str">
        <f aca="false">IF(OR($B2006="",$A2006=""),"",DAY(EOMONTH($A2006,0))-COUNTA($F2006:$AJ2006))</f>
        <v/>
      </c>
    </row>
    <row r="2007" customFormat="false" ht="15" hidden="false" customHeight="false" outlineLevel="0" collapsed="false">
      <c r="A2007" s="32"/>
      <c r="B2007" s="29"/>
      <c r="C2007" s="10" t="str">
        <f aca="false">IF($B2007="","",IFERROR(INDEX(M_name,MATCH($B2007,M_emp,0)),"Code not found"))</f>
        <v/>
      </c>
      <c r="D2007" s="10" t="str">
        <f aca="false">IF($B2007="","",IFERROR(INDEX(M_dept,MATCH($B2007,M_emp,0)),""))</f>
        <v/>
      </c>
      <c r="E2007" s="10" t="str">
        <f aca="false">IF($B2007="","",IFERROR(INDEX(M_loc,MATCH($B2007,M_emp,0)),""))</f>
        <v/>
      </c>
      <c r="F2007" s="33"/>
      <c r="G2007" s="33"/>
      <c r="H2007" s="33"/>
      <c r="I2007" s="33"/>
      <c r="J2007" s="33"/>
      <c r="K2007" s="33"/>
      <c r="L2007" s="33"/>
      <c r="M2007" s="33"/>
      <c r="N2007" s="33"/>
      <c r="O2007" s="33"/>
      <c r="P2007" s="33"/>
      <c r="Q2007" s="33"/>
      <c r="R2007" s="33"/>
      <c r="S2007" s="33"/>
      <c r="T2007" s="33"/>
      <c r="U2007" s="33"/>
      <c r="V2007" s="33"/>
      <c r="W2007" s="33"/>
      <c r="X2007" s="33"/>
      <c r="Y2007" s="33"/>
      <c r="Z2007" s="33"/>
      <c r="AA2007" s="33"/>
      <c r="AB2007" s="33"/>
      <c r="AC2007" s="33"/>
      <c r="AD2007" s="33"/>
      <c r="AE2007" s="33"/>
      <c r="AF2007" s="33"/>
      <c r="AG2007" s="33"/>
      <c r="AH2007" s="33"/>
      <c r="AI2007" s="33"/>
      <c r="AJ2007" s="33"/>
      <c r="AK2007" s="34" t="str">
        <f aca="false">IF($B2007="","",COUNTIF($F2007:$AJ2007,"P"))</f>
        <v/>
      </c>
      <c r="AL2007" s="34" t="str">
        <f aca="false">IF($B2007="","",COUNTIF($F2007:$AJ2007,"A"))</f>
        <v/>
      </c>
      <c r="AM2007" s="34" t="str">
        <f aca="false">IF($B2007="","",COUNTIF($F2007:$AJ2007,"HA"))</f>
        <v/>
      </c>
      <c r="AN2007" s="34" t="str">
        <f aca="false">IF($B2007="","",COUNTIF($F2007:$AJ2007,"L"))</f>
        <v/>
      </c>
      <c r="AO2007" s="34" t="str">
        <f aca="false">IF($B2007="","",COUNTIF($F2007:$AJ2007,"PL"))</f>
        <v/>
      </c>
      <c r="AP2007" s="34" t="str">
        <f aca="false">IF($B2007="","",COUNTIF($F2007:$AJ2007,"CL"))</f>
        <v/>
      </c>
      <c r="AQ2007" s="34" t="str">
        <f aca="false">IF($B2007="","",COUNTIF($F2007:$AJ2007,"SL"))</f>
        <v/>
      </c>
      <c r="AR2007" s="34" t="str">
        <f aca="false">IF($B2007="","",COUNTIF($F2007:$AJ2007,"CO"))</f>
        <v/>
      </c>
      <c r="AS2007" s="34" t="str">
        <f aca="false">IF($B2007="","",COUNTIF($F2007:$AJ2007,"HPL"))</f>
        <v/>
      </c>
      <c r="AT2007" s="34" t="str">
        <f aca="false">IF($B2007="","",COUNTIF($F2007:$AJ2007,"HCL"))</f>
        <v/>
      </c>
      <c r="AU2007" s="34" t="str">
        <f aca="false">IF($B2007="","",COUNTIF($F2007:$AJ2007,"WO"))</f>
        <v/>
      </c>
      <c r="AV2007" s="34" t="str">
        <f aca="false">IF($B2007="","",COUNTIF($F2007:$AJ2007,"PH"))</f>
        <v/>
      </c>
      <c r="AW2007" s="34" t="str">
        <f aca="false">IF($B2007="","",COUNTIF($F2007:$AJ2007,"TR"))</f>
        <v/>
      </c>
      <c r="AX2007" s="35" t="str">
        <f aca="false">IF($B2007="","",AO2007+AS2007/2)</f>
        <v/>
      </c>
      <c r="AY2007" s="35" t="str">
        <f aca="false">IF($B2007="","",AQ2007)</f>
        <v/>
      </c>
      <c r="AZ2007" s="35" t="str">
        <f aca="false">IF($B2007="","",AP2007+AT2007/2)</f>
        <v/>
      </c>
      <c r="BA2007" s="35" t="str">
        <f aca="false">IF($B2007="","",AK2007+AN2007+AM2007/2+AO2007+AP2007+AQ2007+AR2007+AS2007+AT2007+AU2007+AV2007+AW2007)</f>
        <v/>
      </c>
      <c r="BB2007" s="35" t="str">
        <f aca="false">IF($B2007="","",MAX(0,AN2007-Settings!$C$16)*Settings!$C$17)</f>
        <v/>
      </c>
      <c r="BC2007" s="35" t="str">
        <f aca="false">IF($B2007="","",BA2007-BB2007)</f>
        <v/>
      </c>
      <c r="BD2007" s="35" t="str">
        <f aca="false">IF(OR($B2007="",$A2007=""),"",DAY(EOMONTH($A2007,0))-COUNTA($F2007:$AJ2007))</f>
        <v/>
      </c>
    </row>
    <row r="2008" customFormat="false" ht="15" hidden="false" customHeight="false" outlineLevel="0" collapsed="false">
      <c r="A2008" s="32"/>
      <c r="B2008" s="29"/>
      <c r="C2008" s="10" t="str">
        <f aca="false">IF($B2008="","",IFERROR(INDEX(M_name,MATCH($B2008,M_emp,0)),"Code not found"))</f>
        <v/>
      </c>
      <c r="D2008" s="10" t="str">
        <f aca="false">IF($B2008="","",IFERROR(INDEX(M_dept,MATCH($B2008,M_emp,0)),""))</f>
        <v/>
      </c>
      <c r="E2008" s="10" t="str">
        <f aca="false">IF($B2008="","",IFERROR(INDEX(M_loc,MATCH($B2008,M_emp,0)),""))</f>
        <v/>
      </c>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c r="AB2008" s="33"/>
      <c r="AC2008" s="33"/>
      <c r="AD2008" s="33"/>
      <c r="AE2008" s="33"/>
      <c r="AF2008" s="33"/>
      <c r="AG2008" s="33"/>
      <c r="AH2008" s="33"/>
      <c r="AI2008" s="33"/>
      <c r="AJ2008" s="33"/>
      <c r="AK2008" s="34" t="str">
        <f aca="false">IF($B2008="","",COUNTIF($F2008:$AJ2008,"P"))</f>
        <v/>
      </c>
      <c r="AL2008" s="34" t="str">
        <f aca="false">IF($B2008="","",COUNTIF($F2008:$AJ2008,"A"))</f>
        <v/>
      </c>
      <c r="AM2008" s="34" t="str">
        <f aca="false">IF($B2008="","",COUNTIF($F2008:$AJ2008,"HA"))</f>
        <v/>
      </c>
      <c r="AN2008" s="34" t="str">
        <f aca="false">IF($B2008="","",COUNTIF($F2008:$AJ2008,"L"))</f>
        <v/>
      </c>
      <c r="AO2008" s="34" t="str">
        <f aca="false">IF($B2008="","",COUNTIF($F2008:$AJ2008,"PL"))</f>
        <v/>
      </c>
      <c r="AP2008" s="34" t="str">
        <f aca="false">IF($B2008="","",COUNTIF($F2008:$AJ2008,"CL"))</f>
        <v/>
      </c>
      <c r="AQ2008" s="34" t="str">
        <f aca="false">IF($B2008="","",COUNTIF($F2008:$AJ2008,"SL"))</f>
        <v/>
      </c>
      <c r="AR2008" s="34" t="str">
        <f aca="false">IF($B2008="","",COUNTIF($F2008:$AJ2008,"CO"))</f>
        <v/>
      </c>
      <c r="AS2008" s="34" t="str">
        <f aca="false">IF($B2008="","",COUNTIF($F2008:$AJ2008,"HPL"))</f>
        <v/>
      </c>
      <c r="AT2008" s="34" t="str">
        <f aca="false">IF($B2008="","",COUNTIF($F2008:$AJ2008,"HCL"))</f>
        <v/>
      </c>
      <c r="AU2008" s="34" t="str">
        <f aca="false">IF($B2008="","",COUNTIF($F2008:$AJ2008,"WO"))</f>
        <v/>
      </c>
      <c r="AV2008" s="34" t="str">
        <f aca="false">IF($B2008="","",COUNTIF($F2008:$AJ2008,"PH"))</f>
        <v/>
      </c>
      <c r="AW2008" s="34" t="str">
        <f aca="false">IF($B2008="","",COUNTIF($F2008:$AJ2008,"TR"))</f>
        <v/>
      </c>
      <c r="AX2008" s="35" t="str">
        <f aca="false">IF($B2008="","",AO2008+AS2008/2)</f>
        <v/>
      </c>
      <c r="AY2008" s="35" t="str">
        <f aca="false">IF($B2008="","",AQ2008)</f>
        <v/>
      </c>
      <c r="AZ2008" s="35" t="str">
        <f aca="false">IF($B2008="","",AP2008+AT2008/2)</f>
        <v/>
      </c>
      <c r="BA2008" s="35" t="str">
        <f aca="false">IF($B2008="","",AK2008+AN2008+AM2008/2+AO2008+AP2008+AQ2008+AR2008+AS2008+AT2008+AU2008+AV2008+AW2008)</f>
        <v/>
      </c>
      <c r="BB2008" s="35" t="str">
        <f aca="false">IF($B2008="","",MAX(0,AN2008-Settings!$C$16)*Settings!$C$17)</f>
        <v/>
      </c>
      <c r="BC2008" s="35" t="str">
        <f aca="false">IF($B2008="","",BA2008-BB2008)</f>
        <v/>
      </c>
      <c r="BD2008" s="35" t="str">
        <f aca="false">IF(OR($B2008="",$A2008=""),"",DAY(EOMONTH($A2008,0))-COUNTA($F2008:$AJ2008))</f>
        <v/>
      </c>
    </row>
    <row r="2009" customFormat="false" ht="15" hidden="false" customHeight="false" outlineLevel="0" collapsed="false">
      <c r="A2009" s="32"/>
      <c r="B2009" s="29"/>
      <c r="C2009" s="10" t="str">
        <f aca="false">IF($B2009="","",IFERROR(INDEX(M_name,MATCH($B2009,M_emp,0)),"Code not found"))</f>
        <v/>
      </c>
      <c r="D2009" s="10" t="str">
        <f aca="false">IF($B2009="","",IFERROR(INDEX(M_dept,MATCH($B2009,M_emp,0)),""))</f>
        <v/>
      </c>
      <c r="E2009" s="10" t="str">
        <f aca="false">IF($B2009="","",IFERROR(INDEX(M_loc,MATCH($B2009,M_emp,0)),""))</f>
        <v/>
      </c>
      <c r="F2009" s="33"/>
      <c r="G2009" s="33"/>
      <c r="H2009" s="33"/>
      <c r="I2009" s="33"/>
      <c r="J2009" s="33"/>
      <c r="K2009" s="33"/>
      <c r="L2009" s="33"/>
      <c r="M2009" s="33"/>
      <c r="N2009" s="33"/>
      <c r="O2009" s="33"/>
      <c r="P2009" s="33"/>
      <c r="Q2009" s="33"/>
      <c r="R2009" s="33"/>
      <c r="S2009" s="33"/>
      <c r="T2009" s="33"/>
      <c r="U2009" s="33"/>
      <c r="V2009" s="33"/>
      <c r="W2009" s="33"/>
      <c r="X2009" s="33"/>
      <c r="Y2009" s="33"/>
      <c r="Z2009" s="33"/>
      <c r="AA2009" s="33"/>
      <c r="AB2009" s="33"/>
      <c r="AC2009" s="33"/>
      <c r="AD2009" s="33"/>
      <c r="AE2009" s="33"/>
      <c r="AF2009" s="33"/>
      <c r="AG2009" s="33"/>
      <c r="AH2009" s="33"/>
      <c r="AI2009" s="33"/>
      <c r="AJ2009" s="33"/>
      <c r="AK2009" s="34" t="str">
        <f aca="false">IF($B2009="","",COUNTIF($F2009:$AJ2009,"P"))</f>
        <v/>
      </c>
      <c r="AL2009" s="34" t="str">
        <f aca="false">IF($B2009="","",COUNTIF($F2009:$AJ2009,"A"))</f>
        <v/>
      </c>
      <c r="AM2009" s="34" t="str">
        <f aca="false">IF($B2009="","",COUNTIF($F2009:$AJ2009,"HA"))</f>
        <v/>
      </c>
      <c r="AN2009" s="34" t="str">
        <f aca="false">IF($B2009="","",COUNTIF($F2009:$AJ2009,"L"))</f>
        <v/>
      </c>
      <c r="AO2009" s="34" t="str">
        <f aca="false">IF($B2009="","",COUNTIF($F2009:$AJ2009,"PL"))</f>
        <v/>
      </c>
      <c r="AP2009" s="34" t="str">
        <f aca="false">IF($B2009="","",COUNTIF($F2009:$AJ2009,"CL"))</f>
        <v/>
      </c>
      <c r="AQ2009" s="34" t="str">
        <f aca="false">IF($B2009="","",COUNTIF($F2009:$AJ2009,"SL"))</f>
        <v/>
      </c>
      <c r="AR2009" s="34" t="str">
        <f aca="false">IF($B2009="","",COUNTIF($F2009:$AJ2009,"CO"))</f>
        <v/>
      </c>
      <c r="AS2009" s="34" t="str">
        <f aca="false">IF($B2009="","",COUNTIF($F2009:$AJ2009,"HPL"))</f>
        <v/>
      </c>
      <c r="AT2009" s="34" t="str">
        <f aca="false">IF($B2009="","",COUNTIF($F2009:$AJ2009,"HCL"))</f>
        <v/>
      </c>
      <c r="AU2009" s="34" t="str">
        <f aca="false">IF($B2009="","",COUNTIF($F2009:$AJ2009,"WO"))</f>
        <v/>
      </c>
      <c r="AV2009" s="34" t="str">
        <f aca="false">IF($B2009="","",COUNTIF($F2009:$AJ2009,"PH"))</f>
        <v/>
      </c>
      <c r="AW2009" s="34" t="str">
        <f aca="false">IF($B2009="","",COUNTIF($F2009:$AJ2009,"TR"))</f>
        <v/>
      </c>
      <c r="AX2009" s="35" t="str">
        <f aca="false">IF($B2009="","",AO2009+AS2009/2)</f>
        <v/>
      </c>
      <c r="AY2009" s="35" t="str">
        <f aca="false">IF($B2009="","",AQ2009)</f>
        <v/>
      </c>
      <c r="AZ2009" s="35" t="str">
        <f aca="false">IF($B2009="","",AP2009+AT2009/2)</f>
        <v/>
      </c>
      <c r="BA2009" s="35" t="str">
        <f aca="false">IF($B2009="","",AK2009+AN2009+AM2009/2+AO2009+AP2009+AQ2009+AR2009+AS2009+AT2009+AU2009+AV2009+AW2009)</f>
        <v/>
      </c>
      <c r="BB2009" s="35" t="str">
        <f aca="false">IF($B2009="","",MAX(0,AN2009-Settings!$C$16)*Settings!$C$17)</f>
        <v/>
      </c>
      <c r="BC2009" s="35" t="str">
        <f aca="false">IF($B2009="","",BA2009-BB2009)</f>
        <v/>
      </c>
      <c r="BD2009" s="35" t="str">
        <f aca="false">IF(OR($B2009="",$A2009=""),"",DAY(EOMONTH($A2009,0))-COUNTA($F2009:$AJ2009))</f>
        <v/>
      </c>
    </row>
    <row r="2010" customFormat="false" ht="15" hidden="false" customHeight="false" outlineLevel="0" collapsed="false">
      <c r="A2010" s="32"/>
      <c r="B2010" s="29"/>
      <c r="C2010" s="10" t="str">
        <f aca="false">IF($B2010="","",IFERROR(INDEX(M_name,MATCH($B2010,M_emp,0)),"Code not found"))</f>
        <v/>
      </c>
      <c r="D2010" s="10" t="str">
        <f aca="false">IF($B2010="","",IFERROR(INDEX(M_dept,MATCH($B2010,M_emp,0)),""))</f>
        <v/>
      </c>
      <c r="E2010" s="10" t="str">
        <f aca="false">IF($B2010="","",IFERROR(INDEX(M_loc,MATCH($B2010,M_emp,0)),""))</f>
        <v/>
      </c>
      <c r="F2010" s="33"/>
      <c r="G2010" s="33"/>
      <c r="H2010" s="33"/>
      <c r="I2010" s="33"/>
      <c r="J2010" s="33"/>
      <c r="K2010" s="33"/>
      <c r="L2010" s="33"/>
      <c r="M2010" s="33"/>
      <c r="N2010" s="33"/>
      <c r="O2010" s="33"/>
      <c r="P2010" s="33"/>
      <c r="Q2010" s="33"/>
      <c r="R2010" s="33"/>
      <c r="S2010" s="33"/>
      <c r="T2010" s="33"/>
      <c r="U2010" s="33"/>
      <c r="V2010" s="33"/>
      <c r="W2010" s="33"/>
      <c r="X2010" s="33"/>
      <c r="Y2010" s="33"/>
      <c r="Z2010" s="33"/>
      <c r="AA2010" s="33"/>
      <c r="AB2010" s="33"/>
      <c r="AC2010" s="33"/>
      <c r="AD2010" s="33"/>
      <c r="AE2010" s="33"/>
      <c r="AF2010" s="33"/>
      <c r="AG2010" s="33"/>
      <c r="AH2010" s="33"/>
      <c r="AI2010" s="33"/>
      <c r="AJ2010" s="33"/>
      <c r="AK2010" s="34" t="str">
        <f aca="false">IF($B2010="","",COUNTIF($F2010:$AJ2010,"P"))</f>
        <v/>
      </c>
      <c r="AL2010" s="34" t="str">
        <f aca="false">IF($B2010="","",COUNTIF($F2010:$AJ2010,"A"))</f>
        <v/>
      </c>
      <c r="AM2010" s="34" t="str">
        <f aca="false">IF($B2010="","",COUNTIF($F2010:$AJ2010,"HA"))</f>
        <v/>
      </c>
      <c r="AN2010" s="34" t="str">
        <f aca="false">IF($B2010="","",COUNTIF($F2010:$AJ2010,"L"))</f>
        <v/>
      </c>
      <c r="AO2010" s="34" t="str">
        <f aca="false">IF($B2010="","",COUNTIF($F2010:$AJ2010,"PL"))</f>
        <v/>
      </c>
      <c r="AP2010" s="34" t="str">
        <f aca="false">IF($B2010="","",COUNTIF($F2010:$AJ2010,"CL"))</f>
        <v/>
      </c>
      <c r="AQ2010" s="34" t="str">
        <f aca="false">IF($B2010="","",COUNTIF($F2010:$AJ2010,"SL"))</f>
        <v/>
      </c>
      <c r="AR2010" s="34" t="str">
        <f aca="false">IF($B2010="","",COUNTIF($F2010:$AJ2010,"CO"))</f>
        <v/>
      </c>
      <c r="AS2010" s="34" t="str">
        <f aca="false">IF($B2010="","",COUNTIF($F2010:$AJ2010,"HPL"))</f>
        <v/>
      </c>
      <c r="AT2010" s="34" t="str">
        <f aca="false">IF($B2010="","",COUNTIF($F2010:$AJ2010,"HCL"))</f>
        <v/>
      </c>
      <c r="AU2010" s="34" t="str">
        <f aca="false">IF($B2010="","",COUNTIF($F2010:$AJ2010,"WO"))</f>
        <v/>
      </c>
      <c r="AV2010" s="34" t="str">
        <f aca="false">IF($B2010="","",COUNTIF($F2010:$AJ2010,"PH"))</f>
        <v/>
      </c>
      <c r="AW2010" s="34" t="str">
        <f aca="false">IF($B2010="","",COUNTIF($F2010:$AJ2010,"TR"))</f>
        <v/>
      </c>
      <c r="AX2010" s="35" t="str">
        <f aca="false">IF($B2010="","",AO2010+AS2010/2)</f>
        <v/>
      </c>
      <c r="AY2010" s="35" t="str">
        <f aca="false">IF($B2010="","",AQ2010)</f>
        <v/>
      </c>
      <c r="AZ2010" s="35" t="str">
        <f aca="false">IF($B2010="","",AP2010+AT2010/2)</f>
        <v/>
      </c>
      <c r="BA2010" s="35" t="str">
        <f aca="false">IF($B2010="","",AK2010+AN2010+AM2010/2+AO2010+AP2010+AQ2010+AR2010+AS2010+AT2010+AU2010+AV2010+AW2010)</f>
        <v/>
      </c>
      <c r="BB2010" s="35" t="str">
        <f aca="false">IF($B2010="","",MAX(0,AN2010-Settings!$C$16)*Settings!$C$17)</f>
        <v/>
      </c>
      <c r="BC2010" s="35" t="str">
        <f aca="false">IF($B2010="","",BA2010-BB2010)</f>
        <v/>
      </c>
      <c r="BD2010" s="35" t="str">
        <f aca="false">IF(OR($B2010="",$A2010=""),"",DAY(EOMONTH($A2010,0))-COUNTA($F2010:$AJ2010))</f>
        <v/>
      </c>
    </row>
    <row r="2011" customFormat="false" ht="15" hidden="false" customHeight="false" outlineLevel="0" collapsed="false">
      <c r="A2011" s="32"/>
      <c r="B2011" s="29"/>
      <c r="C2011" s="10" t="str">
        <f aca="false">IF($B2011="","",IFERROR(INDEX(M_name,MATCH($B2011,M_emp,0)),"Code not found"))</f>
        <v/>
      </c>
      <c r="D2011" s="10" t="str">
        <f aca="false">IF($B2011="","",IFERROR(INDEX(M_dept,MATCH($B2011,M_emp,0)),""))</f>
        <v/>
      </c>
      <c r="E2011" s="10" t="str">
        <f aca="false">IF($B2011="","",IFERROR(INDEX(M_loc,MATCH($B2011,M_emp,0)),""))</f>
        <v/>
      </c>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c r="AB2011" s="33"/>
      <c r="AC2011" s="33"/>
      <c r="AD2011" s="33"/>
      <c r="AE2011" s="33"/>
      <c r="AF2011" s="33"/>
      <c r="AG2011" s="33"/>
      <c r="AH2011" s="33"/>
      <c r="AI2011" s="33"/>
      <c r="AJ2011" s="33"/>
      <c r="AK2011" s="34" t="str">
        <f aca="false">IF($B2011="","",COUNTIF($F2011:$AJ2011,"P"))</f>
        <v/>
      </c>
      <c r="AL2011" s="34" t="str">
        <f aca="false">IF($B2011="","",COUNTIF($F2011:$AJ2011,"A"))</f>
        <v/>
      </c>
      <c r="AM2011" s="34" t="str">
        <f aca="false">IF($B2011="","",COUNTIF($F2011:$AJ2011,"HA"))</f>
        <v/>
      </c>
      <c r="AN2011" s="34" t="str">
        <f aca="false">IF($B2011="","",COUNTIF($F2011:$AJ2011,"L"))</f>
        <v/>
      </c>
      <c r="AO2011" s="34" t="str">
        <f aca="false">IF($B2011="","",COUNTIF($F2011:$AJ2011,"PL"))</f>
        <v/>
      </c>
      <c r="AP2011" s="34" t="str">
        <f aca="false">IF($B2011="","",COUNTIF($F2011:$AJ2011,"CL"))</f>
        <v/>
      </c>
      <c r="AQ2011" s="34" t="str">
        <f aca="false">IF($B2011="","",COUNTIF($F2011:$AJ2011,"SL"))</f>
        <v/>
      </c>
      <c r="AR2011" s="34" t="str">
        <f aca="false">IF($B2011="","",COUNTIF($F2011:$AJ2011,"CO"))</f>
        <v/>
      </c>
      <c r="AS2011" s="34" t="str">
        <f aca="false">IF($B2011="","",COUNTIF($F2011:$AJ2011,"HPL"))</f>
        <v/>
      </c>
      <c r="AT2011" s="34" t="str">
        <f aca="false">IF($B2011="","",COUNTIF($F2011:$AJ2011,"HCL"))</f>
        <v/>
      </c>
      <c r="AU2011" s="34" t="str">
        <f aca="false">IF($B2011="","",COUNTIF($F2011:$AJ2011,"WO"))</f>
        <v/>
      </c>
      <c r="AV2011" s="34" t="str">
        <f aca="false">IF($B2011="","",COUNTIF($F2011:$AJ2011,"PH"))</f>
        <v/>
      </c>
      <c r="AW2011" s="34" t="str">
        <f aca="false">IF($B2011="","",COUNTIF($F2011:$AJ2011,"TR"))</f>
        <v/>
      </c>
      <c r="AX2011" s="35" t="str">
        <f aca="false">IF($B2011="","",AO2011+AS2011/2)</f>
        <v/>
      </c>
      <c r="AY2011" s="35" t="str">
        <f aca="false">IF($B2011="","",AQ2011)</f>
        <v/>
      </c>
      <c r="AZ2011" s="35" t="str">
        <f aca="false">IF($B2011="","",AP2011+AT2011/2)</f>
        <v/>
      </c>
      <c r="BA2011" s="35" t="str">
        <f aca="false">IF($B2011="","",AK2011+AN2011+AM2011/2+AO2011+AP2011+AQ2011+AR2011+AS2011+AT2011+AU2011+AV2011+AW2011)</f>
        <v/>
      </c>
      <c r="BB2011" s="35" t="str">
        <f aca="false">IF($B2011="","",MAX(0,AN2011-Settings!$C$16)*Settings!$C$17)</f>
        <v/>
      </c>
      <c r="BC2011" s="35" t="str">
        <f aca="false">IF($B2011="","",BA2011-BB2011)</f>
        <v/>
      </c>
      <c r="BD2011" s="35" t="str">
        <f aca="false">IF(OR($B2011="",$A2011=""),"",DAY(EOMONTH($A2011,0))-COUNTA($F2011:$AJ2011))</f>
        <v/>
      </c>
    </row>
    <row r="2012" customFormat="false" ht="15" hidden="false" customHeight="false" outlineLevel="0" collapsed="false">
      <c r="A2012" s="32"/>
      <c r="B2012" s="29"/>
      <c r="C2012" s="10" t="str">
        <f aca="false">IF($B2012="","",IFERROR(INDEX(M_name,MATCH($B2012,M_emp,0)),"Code not found"))</f>
        <v/>
      </c>
      <c r="D2012" s="10" t="str">
        <f aca="false">IF($B2012="","",IFERROR(INDEX(M_dept,MATCH($B2012,M_emp,0)),""))</f>
        <v/>
      </c>
      <c r="E2012" s="10" t="str">
        <f aca="false">IF($B2012="","",IFERROR(INDEX(M_loc,MATCH($B2012,M_emp,0)),""))</f>
        <v/>
      </c>
      <c r="F2012" s="33"/>
      <c r="G2012" s="33"/>
      <c r="H2012" s="33"/>
      <c r="I2012" s="33"/>
      <c r="J2012" s="33"/>
      <c r="K2012" s="33"/>
      <c r="L2012" s="33"/>
      <c r="M2012" s="33"/>
      <c r="N2012" s="33"/>
      <c r="O2012" s="33"/>
      <c r="P2012" s="33"/>
      <c r="Q2012" s="33"/>
      <c r="R2012" s="33"/>
      <c r="S2012" s="33"/>
      <c r="T2012" s="33"/>
      <c r="U2012" s="33"/>
      <c r="V2012" s="33"/>
      <c r="W2012" s="33"/>
      <c r="X2012" s="33"/>
      <c r="Y2012" s="33"/>
      <c r="Z2012" s="33"/>
      <c r="AA2012" s="33"/>
      <c r="AB2012" s="33"/>
      <c r="AC2012" s="33"/>
      <c r="AD2012" s="33"/>
      <c r="AE2012" s="33"/>
      <c r="AF2012" s="33"/>
      <c r="AG2012" s="33"/>
      <c r="AH2012" s="33"/>
      <c r="AI2012" s="33"/>
      <c r="AJ2012" s="33"/>
      <c r="AK2012" s="34" t="str">
        <f aca="false">IF($B2012="","",COUNTIF($F2012:$AJ2012,"P"))</f>
        <v/>
      </c>
      <c r="AL2012" s="34" t="str">
        <f aca="false">IF($B2012="","",COUNTIF($F2012:$AJ2012,"A"))</f>
        <v/>
      </c>
      <c r="AM2012" s="34" t="str">
        <f aca="false">IF($B2012="","",COUNTIF($F2012:$AJ2012,"HA"))</f>
        <v/>
      </c>
      <c r="AN2012" s="34" t="str">
        <f aca="false">IF($B2012="","",COUNTIF($F2012:$AJ2012,"L"))</f>
        <v/>
      </c>
      <c r="AO2012" s="34" t="str">
        <f aca="false">IF($B2012="","",COUNTIF($F2012:$AJ2012,"PL"))</f>
        <v/>
      </c>
      <c r="AP2012" s="34" t="str">
        <f aca="false">IF($B2012="","",COUNTIF($F2012:$AJ2012,"CL"))</f>
        <v/>
      </c>
      <c r="AQ2012" s="34" t="str">
        <f aca="false">IF($B2012="","",COUNTIF($F2012:$AJ2012,"SL"))</f>
        <v/>
      </c>
      <c r="AR2012" s="34" t="str">
        <f aca="false">IF($B2012="","",COUNTIF($F2012:$AJ2012,"CO"))</f>
        <v/>
      </c>
      <c r="AS2012" s="34" t="str">
        <f aca="false">IF($B2012="","",COUNTIF($F2012:$AJ2012,"HPL"))</f>
        <v/>
      </c>
      <c r="AT2012" s="34" t="str">
        <f aca="false">IF($B2012="","",COUNTIF($F2012:$AJ2012,"HCL"))</f>
        <v/>
      </c>
      <c r="AU2012" s="34" t="str">
        <f aca="false">IF($B2012="","",COUNTIF($F2012:$AJ2012,"WO"))</f>
        <v/>
      </c>
      <c r="AV2012" s="34" t="str">
        <f aca="false">IF($B2012="","",COUNTIF($F2012:$AJ2012,"PH"))</f>
        <v/>
      </c>
      <c r="AW2012" s="34" t="str">
        <f aca="false">IF($B2012="","",COUNTIF($F2012:$AJ2012,"TR"))</f>
        <v/>
      </c>
      <c r="AX2012" s="35" t="str">
        <f aca="false">IF($B2012="","",AO2012+AS2012/2)</f>
        <v/>
      </c>
      <c r="AY2012" s="35" t="str">
        <f aca="false">IF($B2012="","",AQ2012)</f>
        <v/>
      </c>
      <c r="AZ2012" s="35" t="str">
        <f aca="false">IF($B2012="","",AP2012+AT2012/2)</f>
        <v/>
      </c>
      <c r="BA2012" s="35" t="str">
        <f aca="false">IF($B2012="","",AK2012+AN2012+AM2012/2+AO2012+AP2012+AQ2012+AR2012+AS2012+AT2012+AU2012+AV2012+AW2012)</f>
        <v/>
      </c>
      <c r="BB2012" s="35" t="str">
        <f aca="false">IF($B2012="","",MAX(0,AN2012-Settings!$C$16)*Settings!$C$17)</f>
        <v/>
      </c>
      <c r="BC2012" s="35" t="str">
        <f aca="false">IF($B2012="","",BA2012-BB2012)</f>
        <v/>
      </c>
      <c r="BD2012" s="35" t="str">
        <f aca="false">IF(OR($B2012="",$A2012=""),"",DAY(EOMONTH($A2012,0))-COUNTA($F2012:$AJ2012))</f>
        <v/>
      </c>
    </row>
    <row r="2013" customFormat="false" ht="15" hidden="false" customHeight="false" outlineLevel="0" collapsed="false">
      <c r="A2013" s="32"/>
      <c r="B2013" s="29"/>
      <c r="C2013" s="10" t="str">
        <f aca="false">IF($B2013="","",IFERROR(INDEX(M_name,MATCH($B2013,M_emp,0)),"Code not found"))</f>
        <v/>
      </c>
      <c r="D2013" s="10" t="str">
        <f aca="false">IF($B2013="","",IFERROR(INDEX(M_dept,MATCH($B2013,M_emp,0)),""))</f>
        <v/>
      </c>
      <c r="E2013" s="10" t="str">
        <f aca="false">IF($B2013="","",IFERROR(INDEX(M_loc,MATCH($B2013,M_emp,0)),""))</f>
        <v/>
      </c>
      <c r="F2013" s="33"/>
      <c r="G2013" s="33"/>
      <c r="H2013" s="33"/>
      <c r="I2013" s="33"/>
      <c r="J2013" s="33"/>
      <c r="K2013" s="33"/>
      <c r="L2013" s="33"/>
      <c r="M2013" s="33"/>
      <c r="N2013" s="33"/>
      <c r="O2013" s="33"/>
      <c r="P2013" s="33"/>
      <c r="Q2013" s="33"/>
      <c r="R2013" s="33"/>
      <c r="S2013" s="33"/>
      <c r="T2013" s="33"/>
      <c r="U2013" s="33"/>
      <c r="V2013" s="33"/>
      <c r="W2013" s="33"/>
      <c r="X2013" s="33"/>
      <c r="Y2013" s="33"/>
      <c r="Z2013" s="33"/>
      <c r="AA2013" s="33"/>
      <c r="AB2013" s="33"/>
      <c r="AC2013" s="33"/>
      <c r="AD2013" s="33"/>
      <c r="AE2013" s="33"/>
      <c r="AF2013" s="33"/>
      <c r="AG2013" s="33"/>
      <c r="AH2013" s="33"/>
      <c r="AI2013" s="33"/>
      <c r="AJ2013" s="33"/>
      <c r="AK2013" s="34" t="str">
        <f aca="false">IF($B2013="","",COUNTIF($F2013:$AJ2013,"P"))</f>
        <v/>
      </c>
      <c r="AL2013" s="34" t="str">
        <f aca="false">IF($B2013="","",COUNTIF($F2013:$AJ2013,"A"))</f>
        <v/>
      </c>
      <c r="AM2013" s="34" t="str">
        <f aca="false">IF($B2013="","",COUNTIF($F2013:$AJ2013,"HA"))</f>
        <v/>
      </c>
      <c r="AN2013" s="34" t="str">
        <f aca="false">IF($B2013="","",COUNTIF($F2013:$AJ2013,"L"))</f>
        <v/>
      </c>
      <c r="AO2013" s="34" t="str">
        <f aca="false">IF($B2013="","",COUNTIF($F2013:$AJ2013,"PL"))</f>
        <v/>
      </c>
      <c r="AP2013" s="34" t="str">
        <f aca="false">IF($B2013="","",COUNTIF($F2013:$AJ2013,"CL"))</f>
        <v/>
      </c>
      <c r="AQ2013" s="34" t="str">
        <f aca="false">IF($B2013="","",COUNTIF($F2013:$AJ2013,"SL"))</f>
        <v/>
      </c>
      <c r="AR2013" s="34" t="str">
        <f aca="false">IF($B2013="","",COUNTIF($F2013:$AJ2013,"CO"))</f>
        <v/>
      </c>
      <c r="AS2013" s="34" t="str">
        <f aca="false">IF($B2013="","",COUNTIF($F2013:$AJ2013,"HPL"))</f>
        <v/>
      </c>
      <c r="AT2013" s="34" t="str">
        <f aca="false">IF($B2013="","",COUNTIF($F2013:$AJ2013,"HCL"))</f>
        <v/>
      </c>
      <c r="AU2013" s="34" t="str">
        <f aca="false">IF($B2013="","",COUNTIF($F2013:$AJ2013,"WO"))</f>
        <v/>
      </c>
      <c r="AV2013" s="34" t="str">
        <f aca="false">IF($B2013="","",COUNTIF($F2013:$AJ2013,"PH"))</f>
        <v/>
      </c>
      <c r="AW2013" s="34" t="str">
        <f aca="false">IF($B2013="","",COUNTIF($F2013:$AJ2013,"TR"))</f>
        <v/>
      </c>
      <c r="AX2013" s="35" t="str">
        <f aca="false">IF($B2013="","",AO2013+AS2013/2)</f>
        <v/>
      </c>
      <c r="AY2013" s="35" t="str">
        <f aca="false">IF($B2013="","",AQ2013)</f>
        <v/>
      </c>
      <c r="AZ2013" s="35" t="str">
        <f aca="false">IF($B2013="","",AP2013+AT2013/2)</f>
        <v/>
      </c>
      <c r="BA2013" s="35" t="str">
        <f aca="false">IF($B2013="","",AK2013+AN2013+AM2013/2+AO2013+AP2013+AQ2013+AR2013+AS2013+AT2013+AU2013+AV2013+AW2013)</f>
        <v/>
      </c>
      <c r="BB2013" s="35" t="str">
        <f aca="false">IF($B2013="","",MAX(0,AN2013-Settings!$C$16)*Settings!$C$17)</f>
        <v/>
      </c>
      <c r="BC2013" s="35" t="str">
        <f aca="false">IF($B2013="","",BA2013-BB2013)</f>
        <v/>
      </c>
      <c r="BD2013" s="35" t="str">
        <f aca="false">IF(OR($B2013="",$A2013=""),"",DAY(EOMONTH($A2013,0))-COUNTA($F2013:$AJ2013))</f>
        <v/>
      </c>
    </row>
    <row r="2014" customFormat="false" ht="15" hidden="false" customHeight="false" outlineLevel="0" collapsed="false">
      <c r="A2014" s="32"/>
      <c r="B2014" s="29"/>
      <c r="C2014" s="10" t="str">
        <f aca="false">IF($B2014="","",IFERROR(INDEX(M_name,MATCH($B2014,M_emp,0)),"Code not found"))</f>
        <v/>
      </c>
      <c r="D2014" s="10" t="str">
        <f aca="false">IF($B2014="","",IFERROR(INDEX(M_dept,MATCH($B2014,M_emp,0)),""))</f>
        <v/>
      </c>
      <c r="E2014" s="10" t="str">
        <f aca="false">IF($B2014="","",IFERROR(INDEX(M_loc,MATCH($B2014,M_emp,0)),""))</f>
        <v/>
      </c>
      <c r="F2014" s="33"/>
      <c r="G2014" s="33"/>
      <c r="H2014" s="33"/>
      <c r="I2014" s="33"/>
      <c r="J2014" s="33"/>
      <c r="K2014" s="33"/>
      <c r="L2014" s="33"/>
      <c r="M2014" s="33"/>
      <c r="N2014" s="33"/>
      <c r="O2014" s="33"/>
      <c r="P2014" s="33"/>
      <c r="Q2014" s="33"/>
      <c r="R2014" s="33"/>
      <c r="S2014" s="33"/>
      <c r="T2014" s="33"/>
      <c r="U2014" s="33"/>
      <c r="V2014" s="33"/>
      <c r="W2014" s="33"/>
      <c r="X2014" s="33"/>
      <c r="Y2014" s="33"/>
      <c r="Z2014" s="33"/>
      <c r="AA2014" s="33"/>
      <c r="AB2014" s="33"/>
      <c r="AC2014" s="33"/>
      <c r="AD2014" s="33"/>
      <c r="AE2014" s="33"/>
      <c r="AF2014" s="33"/>
      <c r="AG2014" s="33"/>
      <c r="AH2014" s="33"/>
      <c r="AI2014" s="33"/>
      <c r="AJ2014" s="33"/>
      <c r="AK2014" s="34" t="str">
        <f aca="false">IF($B2014="","",COUNTIF($F2014:$AJ2014,"P"))</f>
        <v/>
      </c>
      <c r="AL2014" s="34" t="str">
        <f aca="false">IF($B2014="","",COUNTIF($F2014:$AJ2014,"A"))</f>
        <v/>
      </c>
      <c r="AM2014" s="34" t="str">
        <f aca="false">IF($B2014="","",COUNTIF($F2014:$AJ2014,"HA"))</f>
        <v/>
      </c>
      <c r="AN2014" s="34" t="str">
        <f aca="false">IF($B2014="","",COUNTIF($F2014:$AJ2014,"L"))</f>
        <v/>
      </c>
      <c r="AO2014" s="34" t="str">
        <f aca="false">IF($B2014="","",COUNTIF($F2014:$AJ2014,"PL"))</f>
        <v/>
      </c>
      <c r="AP2014" s="34" t="str">
        <f aca="false">IF($B2014="","",COUNTIF($F2014:$AJ2014,"CL"))</f>
        <v/>
      </c>
      <c r="AQ2014" s="34" t="str">
        <f aca="false">IF($B2014="","",COUNTIF($F2014:$AJ2014,"SL"))</f>
        <v/>
      </c>
      <c r="AR2014" s="34" t="str">
        <f aca="false">IF($B2014="","",COUNTIF($F2014:$AJ2014,"CO"))</f>
        <v/>
      </c>
      <c r="AS2014" s="34" t="str">
        <f aca="false">IF($B2014="","",COUNTIF($F2014:$AJ2014,"HPL"))</f>
        <v/>
      </c>
      <c r="AT2014" s="34" t="str">
        <f aca="false">IF($B2014="","",COUNTIF($F2014:$AJ2014,"HCL"))</f>
        <v/>
      </c>
      <c r="AU2014" s="34" t="str">
        <f aca="false">IF($B2014="","",COUNTIF($F2014:$AJ2014,"WO"))</f>
        <v/>
      </c>
      <c r="AV2014" s="34" t="str">
        <f aca="false">IF($B2014="","",COUNTIF($F2014:$AJ2014,"PH"))</f>
        <v/>
      </c>
      <c r="AW2014" s="34" t="str">
        <f aca="false">IF($B2014="","",COUNTIF($F2014:$AJ2014,"TR"))</f>
        <v/>
      </c>
      <c r="AX2014" s="35" t="str">
        <f aca="false">IF($B2014="","",AO2014+AS2014/2)</f>
        <v/>
      </c>
      <c r="AY2014" s="35" t="str">
        <f aca="false">IF($B2014="","",AQ2014)</f>
        <v/>
      </c>
      <c r="AZ2014" s="35" t="str">
        <f aca="false">IF($B2014="","",AP2014+AT2014/2)</f>
        <v/>
      </c>
      <c r="BA2014" s="35" t="str">
        <f aca="false">IF($B2014="","",AK2014+AN2014+AM2014/2+AO2014+AP2014+AQ2014+AR2014+AS2014+AT2014+AU2014+AV2014+AW2014)</f>
        <v/>
      </c>
      <c r="BB2014" s="35" t="str">
        <f aca="false">IF($B2014="","",MAX(0,AN2014-Settings!$C$16)*Settings!$C$17)</f>
        <v/>
      </c>
      <c r="BC2014" s="35" t="str">
        <f aca="false">IF($B2014="","",BA2014-BB2014)</f>
        <v/>
      </c>
      <c r="BD2014" s="35" t="str">
        <f aca="false">IF(OR($B2014="",$A2014=""),"",DAY(EOMONTH($A2014,0))-COUNTA($F2014:$AJ2014))</f>
        <v/>
      </c>
    </row>
    <row r="2015" customFormat="false" ht="15" hidden="false" customHeight="false" outlineLevel="0" collapsed="false">
      <c r="A2015" s="32"/>
      <c r="B2015" s="29"/>
      <c r="C2015" s="10" t="str">
        <f aca="false">IF($B2015="","",IFERROR(INDEX(M_name,MATCH($B2015,M_emp,0)),"Code not found"))</f>
        <v/>
      </c>
      <c r="D2015" s="10" t="str">
        <f aca="false">IF($B2015="","",IFERROR(INDEX(M_dept,MATCH($B2015,M_emp,0)),""))</f>
        <v/>
      </c>
      <c r="E2015" s="10" t="str">
        <f aca="false">IF($B2015="","",IFERROR(INDEX(M_loc,MATCH($B2015,M_emp,0)),""))</f>
        <v/>
      </c>
      <c r="F2015" s="33"/>
      <c r="G2015" s="33"/>
      <c r="H2015" s="33"/>
      <c r="I2015" s="33"/>
      <c r="J2015" s="33"/>
      <c r="K2015" s="33"/>
      <c r="L2015" s="33"/>
      <c r="M2015" s="33"/>
      <c r="N2015" s="33"/>
      <c r="O2015" s="33"/>
      <c r="P2015" s="33"/>
      <c r="Q2015" s="33"/>
      <c r="R2015" s="33"/>
      <c r="S2015" s="33"/>
      <c r="T2015" s="33"/>
      <c r="U2015" s="33"/>
      <c r="V2015" s="33"/>
      <c r="W2015" s="33"/>
      <c r="X2015" s="33"/>
      <c r="Y2015" s="33"/>
      <c r="Z2015" s="33"/>
      <c r="AA2015" s="33"/>
      <c r="AB2015" s="33"/>
      <c r="AC2015" s="33"/>
      <c r="AD2015" s="33"/>
      <c r="AE2015" s="33"/>
      <c r="AF2015" s="33"/>
      <c r="AG2015" s="33"/>
      <c r="AH2015" s="33"/>
      <c r="AI2015" s="33"/>
      <c r="AJ2015" s="33"/>
      <c r="AK2015" s="34" t="str">
        <f aca="false">IF($B2015="","",COUNTIF($F2015:$AJ2015,"P"))</f>
        <v/>
      </c>
      <c r="AL2015" s="34" t="str">
        <f aca="false">IF($B2015="","",COUNTIF($F2015:$AJ2015,"A"))</f>
        <v/>
      </c>
      <c r="AM2015" s="34" t="str">
        <f aca="false">IF($B2015="","",COUNTIF($F2015:$AJ2015,"HA"))</f>
        <v/>
      </c>
      <c r="AN2015" s="34" t="str">
        <f aca="false">IF($B2015="","",COUNTIF($F2015:$AJ2015,"L"))</f>
        <v/>
      </c>
      <c r="AO2015" s="34" t="str">
        <f aca="false">IF($B2015="","",COUNTIF($F2015:$AJ2015,"PL"))</f>
        <v/>
      </c>
      <c r="AP2015" s="34" t="str">
        <f aca="false">IF($B2015="","",COUNTIF($F2015:$AJ2015,"CL"))</f>
        <v/>
      </c>
      <c r="AQ2015" s="34" t="str">
        <f aca="false">IF($B2015="","",COUNTIF($F2015:$AJ2015,"SL"))</f>
        <v/>
      </c>
      <c r="AR2015" s="34" t="str">
        <f aca="false">IF($B2015="","",COUNTIF($F2015:$AJ2015,"CO"))</f>
        <v/>
      </c>
      <c r="AS2015" s="34" t="str">
        <f aca="false">IF($B2015="","",COUNTIF($F2015:$AJ2015,"HPL"))</f>
        <v/>
      </c>
      <c r="AT2015" s="34" t="str">
        <f aca="false">IF($B2015="","",COUNTIF($F2015:$AJ2015,"HCL"))</f>
        <v/>
      </c>
      <c r="AU2015" s="34" t="str">
        <f aca="false">IF($B2015="","",COUNTIF($F2015:$AJ2015,"WO"))</f>
        <v/>
      </c>
      <c r="AV2015" s="34" t="str">
        <f aca="false">IF($B2015="","",COUNTIF($F2015:$AJ2015,"PH"))</f>
        <v/>
      </c>
      <c r="AW2015" s="34" t="str">
        <f aca="false">IF($B2015="","",COUNTIF($F2015:$AJ2015,"TR"))</f>
        <v/>
      </c>
      <c r="AX2015" s="35" t="str">
        <f aca="false">IF($B2015="","",AO2015+AS2015/2)</f>
        <v/>
      </c>
      <c r="AY2015" s="35" t="str">
        <f aca="false">IF($B2015="","",AQ2015)</f>
        <v/>
      </c>
      <c r="AZ2015" s="35" t="str">
        <f aca="false">IF($B2015="","",AP2015+AT2015/2)</f>
        <v/>
      </c>
      <c r="BA2015" s="35" t="str">
        <f aca="false">IF($B2015="","",AK2015+AN2015+AM2015/2+AO2015+AP2015+AQ2015+AR2015+AS2015+AT2015+AU2015+AV2015+AW2015)</f>
        <v/>
      </c>
      <c r="BB2015" s="35" t="str">
        <f aca="false">IF($B2015="","",MAX(0,AN2015-Settings!$C$16)*Settings!$C$17)</f>
        <v/>
      </c>
      <c r="BC2015" s="35" t="str">
        <f aca="false">IF($B2015="","",BA2015-BB2015)</f>
        <v/>
      </c>
      <c r="BD2015" s="35" t="str">
        <f aca="false">IF(OR($B2015="",$A2015=""),"",DAY(EOMONTH($A2015,0))-COUNTA($F2015:$AJ2015))</f>
        <v/>
      </c>
    </row>
    <row r="2016" customFormat="false" ht="15" hidden="false" customHeight="false" outlineLevel="0" collapsed="false">
      <c r="A2016" s="32"/>
      <c r="B2016" s="29"/>
      <c r="C2016" s="10" t="str">
        <f aca="false">IF($B2016="","",IFERROR(INDEX(M_name,MATCH($B2016,M_emp,0)),"Code not found"))</f>
        <v/>
      </c>
      <c r="D2016" s="10" t="str">
        <f aca="false">IF($B2016="","",IFERROR(INDEX(M_dept,MATCH($B2016,M_emp,0)),""))</f>
        <v/>
      </c>
      <c r="E2016" s="10" t="str">
        <f aca="false">IF($B2016="","",IFERROR(INDEX(M_loc,MATCH($B2016,M_emp,0)),""))</f>
        <v/>
      </c>
      <c r="F2016" s="33"/>
      <c r="G2016" s="33"/>
      <c r="H2016" s="33"/>
      <c r="I2016" s="33"/>
      <c r="J2016" s="33"/>
      <c r="K2016" s="33"/>
      <c r="L2016" s="33"/>
      <c r="M2016" s="33"/>
      <c r="N2016" s="33"/>
      <c r="O2016" s="33"/>
      <c r="P2016" s="33"/>
      <c r="Q2016" s="33"/>
      <c r="R2016" s="33"/>
      <c r="S2016" s="33"/>
      <c r="T2016" s="33"/>
      <c r="U2016" s="33"/>
      <c r="V2016" s="33"/>
      <c r="W2016" s="33"/>
      <c r="X2016" s="33"/>
      <c r="Y2016" s="33"/>
      <c r="Z2016" s="33"/>
      <c r="AA2016" s="33"/>
      <c r="AB2016" s="33"/>
      <c r="AC2016" s="33"/>
      <c r="AD2016" s="33"/>
      <c r="AE2016" s="33"/>
      <c r="AF2016" s="33"/>
      <c r="AG2016" s="33"/>
      <c r="AH2016" s="33"/>
      <c r="AI2016" s="33"/>
      <c r="AJ2016" s="33"/>
      <c r="AK2016" s="34" t="str">
        <f aca="false">IF($B2016="","",COUNTIF($F2016:$AJ2016,"P"))</f>
        <v/>
      </c>
      <c r="AL2016" s="34" t="str">
        <f aca="false">IF($B2016="","",COUNTIF($F2016:$AJ2016,"A"))</f>
        <v/>
      </c>
      <c r="AM2016" s="34" t="str">
        <f aca="false">IF($B2016="","",COUNTIF($F2016:$AJ2016,"HA"))</f>
        <v/>
      </c>
      <c r="AN2016" s="34" t="str">
        <f aca="false">IF($B2016="","",COUNTIF($F2016:$AJ2016,"L"))</f>
        <v/>
      </c>
      <c r="AO2016" s="34" t="str">
        <f aca="false">IF($B2016="","",COUNTIF($F2016:$AJ2016,"PL"))</f>
        <v/>
      </c>
      <c r="AP2016" s="34" t="str">
        <f aca="false">IF($B2016="","",COUNTIF($F2016:$AJ2016,"CL"))</f>
        <v/>
      </c>
      <c r="AQ2016" s="34" t="str">
        <f aca="false">IF($B2016="","",COUNTIF($F2016:$AJ2016,"SL"))</f>
        <v/>
      </c>
      <c r="AR2016" s="34" t="str">
        <f aca="false">IF($B2016="","",COUNTIF($F2016:$AJ2016,"CO"))</f>
        <v/>
      </c>
      <c r="AS2016" s="34" t="str">
        <f aca="false">IF($B2016="","",COUNTIF($F2016:$AJ2016,"HPL"))</f>
        <v/>
      </c>
      <c r="AT2016" s="34" t="str">
        <f aca="false">IF($B2016="","",COUNTIF($F2016:$AJ2016,"HCL"))</f>
        <v/>
      </c>
      <c r="AU2016" s="34" t="str">
        <f aca="false">IF($B2016="","",COUNTIF($F2016:$AJ2016,"WO"))</f>
        <v/>
      </c>
      <c r="AV2016" s="34" t="str">
        <f aca="false">IF($B2016="","",COUNTIF($F2016:$AJ2016,"PH"))</f>
        <v/>
      </c>
      <c r="AW2016" s="34" t="str">
        <f aca="false">IF($B2016="","",COUNTIF($F2016:$AJ2016,"TR"))</f>
        <v/>
      </c>
      <c r="AX2016" s="35" t="str">
        <f aca="false">IF($B2016="","",AO2016+AS2016/2)</f>
        <v/>
      </c>
      <c r="AY2016" s="35" t="str">
        <f aca="false">IF($B2016="","",AQ2016)</f>
        <v/>
      </c>
      <c r="AZ2016" s="35" t="str">
        <f aca="false">IF($B2016="","",AP2016+AT2016/2)</f>
        <v/>
      </c>
      <c r="BA2016" s="35" t="str">
        <f aca="false">IF($B2016="","",AK2016+AN2016+AM2016/2+AO2016+AP2016+AQ2016+AR2016+AS2016+AT2016+AU2016+AV2016+AW2016)</f>
        <v/>
      </c>
      <c r="BB2016" s="35" t="str">
        <f aca="false">IF($B2016="","",MAX(0,AN2016-Settings!$C$16)*Settings!$C$17)</f>
        <v/>
      </c>
      <c r="BC2016" s="35" t="str">
        <f aca="false">IF($B2016="","",BA2016-BB2016)</f>
        <v/>
      </c>
      <c r="BD2016" s="35" t="str">
        <f aca="false">IF(OR($B2016="",$A2016=""),"",DAY(EOMONTH($A2016,0))-COUNTA($F2016:$AJ2016))</f>
        <v/>
      </c>
    </row>
    <row r="2017" customFormat="false" ht="15" hidden="false" customHeight="false" outlineLevel="0" collapsed="false">
      <c r="A2017" s="32"/>
      <c r="B2017" s="29"/>
      <c r="C2017" s="10" t="str">
        <f aca="false">IF($B2017="","",IFERROR(INDEX(M_name,MATCH($B2017,M_emp,0)),"Code not found"))</f>
        <v/>
      </c>
      <c r="D2017" s="10" t="str">
        <f aca="false">IF($B2017="","",IFERROR(INDEX(M_dept,MATCH($B2017,M_emp,0)),""))</f>
        <v/>
      </c>
      <c r="E2017" s="10" t="str">
        <f aca="false">IF($B2017="","",IFERROR(INDEX(M_loc,MATCH($B2017,M_emp,0)),""))</f>
        <v/>
      </c>
      <c r="F2017" s="33"/>
      <c r="G2017" s="33"/>
      <c r="H2017" s="33"/>
      <c r="I2017" s="33"/>
      <c r="J2017" s="33"/>
      <c r="K2017" s="33"/>
      <c r="L2017" s="33"/>
      <c r="M2017" s="33"/>
      <c r="N2017" s="33"/>
      <c r="O2017" s="33"/>
      <c r="P2017" s="33"/>
      <c r="Q2017" s="33"/>
      <c r="R2017" s="33"/>
      <c r="S2017" s="33"/>
      <c r="T2017" s="33"/>
      <c r="U2017" s="33"/>
      <c r="V2017" s="33"/>
      <c r="W2017" s="33"/>
      <c r="X2017" s="33"/>
      <c r="Y2017" s="33"/>
      <c r="Z2017" s="33"/>
      <c r="AA2017" s="33"/>
      <c r="AB2017" s="33"/>
      <c r="AC2017" s="33"/>
      <c r="AD2017" s="33"/>
      <c r="AE2017" s="33"/>
      <c r="AF2017" s="33"/>
      <c r="AG2017" s="33"/>
      <c r="AH2017" s="33"/>
      <c r="AI2017" s="33"/>
      <c r="AJ2017" s="33"/>
      <c r="AK2017" s="34" t="str">
        <f aca="false">IF($B2017="","",COUNTIF($F2017:$AJ2017,"P"))</f>
        <v/>
      </c>
      <c r="AL2017" s="34" t="str">
        <f aca="false">IF($B2017="","",COUNTIF($F2017:$AJ2017,"A"))</f>
        <v/>
      </c>
      <c r="AM2017" s="34" t="str">
        <f aca="false">IF($B2017="","",COUNTIF($F2017:$AJ2017,"HA"))</f>
        <v/>
      </c>
      <c r="AN2017" s="34" t="str">
        <f aca="false">IF($B2017="","",COUNTIF($F2017:$AJ2017,"L"))</f>
        <v/>
      </c>
      <c r="AO2017" s="34" t="str">
        <f aca="false">IF($B2017="","",COUNTIF($F2017:$AJ2017,"PL"))</f>
        <v/>
      </c>
      <c r="AP2017" s="34" t="str">
        <f aca="false">IF($B2017="","",COUNTIF($F2017:$AJ2017,"CL"))</f>
        <v/>
      </c>
      <c r="AQ2017" s="34" t="str">
        <f aca="false">IF($B2017="","",COUNTIF($F2017:$AJ2017,"SL"))</f>
        <v/>
      </c>
      <c r="AR2017" s="34" t="str">
        <f aca="false">IF($B2017="","",COUNTIF($F2017:$AJ2017,"CO"))</f>
        <v/>
      </c>
      <c r="AS2017" s="34" t="str">
        <f aca="false">IF($B2017="","",COUNTIF($F2017:$AJ2017,"HPL"))</f>
        <v/>
      </c>
      <c r="AT2017" s="34" t="str">
        <f aca="false">IF($B2017="","",COUNTIF($F2017:$AJ2017,"HCL"))</f>
        <v/>
      </c>
      <c r="AU2017" s="34" t="str">
        <f aca="false">IF($B2017="","",COUNTIF($F2017:$AJ2017,"WO"))</f>
        <v/>
      </c>
      <c r="AV2017" s="34" t="str">
        <f aca="false">IF($B2017="","",COUNTIF($F2017:$AJ2017,"PH"))</f>
        <v/>
      </c>
      <c r="AW2017" s="34" t="str">
        <f aca="false">IF($B2017="","",COUNTIF($F2017:$AJ2017,"TR"))</f>
        <v/>
      </c>
      <c r="AX2017" s="35" t="str">
        <f aca="false">IF($B2017="","",AO2017+AS2017/2)</f>
        <v/>
      </c>
      <c r="AY2017" s="35" t="str">
        <f aca="false">IF($B2017="","",AQ2017)</f>
        <v/>
      </c>
      <c r="AZ2017" s="35" t="str">
        <f aca="false">IF($B2017="","",AP2017+AT2017/2)</f>
        <v/>
      </c>
      <c r="BA2017" s="35" t="str">
        <f aca="false">IF($B2017="","",AK2017+AN2017+AM2017/2+AO2017+AP2017+AQ2017+AR2017+AS2017+AT2017+AU2017+AV2017+AW2017)</f>
        <v/>
      </c>
      <c r="BB2017" s="35" t="str">
        <f aca="false">IF($B2017="","",MAX(0,AN2017-Settings!$C$16)*Settings!$C$17)</f>
        <v/>
      </c>
      <c r="BC2017" s="35" t="str">
        <f aca="false">IF($B2017="","",BA2017-BB2017)</f>
        <v/>
      </c>
      <c r="BD2017" s="35" t="str">
        <f aca="false">IF(OR($B2017="",$A2017=""),"",DAY(EOMONTH($A2017,0))-COUNTA($F2017:$AJ2017))</f>
        <v/>
      </c>
    </row>
    <row r="2018" customFormat="false" ht="15" hidden="false" customHeight="false" outlineLevel="0" collapsed="false">
      <c r="A2018" s="32"/>
      <c r="B2018" s="29"/>
      <c r="C2018" s="10" t="str">
        <f aca="false">IF($B2018="","",IFERROR(INDEX(M_name,MATCH($B2018,M_emp,0)),"Code not found"))</f>
        <v/>
      </c>
      <c r="D2018" s="10" t="str">
        <f aca="false">IF($B2018="","",IFERROR(INDEX(M_dept,MATCH($B2018,M_emp,0)),""))</f>
        <v/>
      </c>
      <c r="E2018" s="10" t="str">
        <f aca="false">IF($B2018="","",IFERROR(INDEX(M_loc,MATCH($B2018,M_emp,0)),""))</f>
        <v/>
      </c>
      <c r="F2018" s="33"/>
      <c r="G2018" s="33"/>
      <c r="H2018" s="33"/>
      <c r="I2018" s="33"/>
      <c r="J2018" s="33"/>
      <c r="K2018" s="33"/>
      <c r="L2018" s="33"/>
      <c r="M2018" s="33"/>
      <c r="N2018" s="33"/>
      <c r="O2018" s="33"/>
      <c r="P2018" s="33"/>
      <c r="Q2018" s="33"/>
      <c r="R2018" s="33"/>
      <c r="S2018" s="33"/>
      <c r="T2018" s="33"/>
      <c r="U2018" s="33"/>
      <c r="V2018" s="33"/>
      <c r="W2018" s="33"/>
      <c r="X2018" s="33"/>
      <c r="Y2018" s="33"/>
      <c r="Z2018" s="33"/>
      <c r="AA2018" s="33"/>
      <c r="AB2018" s="33"/>
      <c r="AC2018" s="33"/>
      <c r="AD2018" s="33"/>
      <c r="AE2018" s="33"/>
      <c r="AF2018" s="33"/>
      <c r="AG2018" s="33"/>
      <c r="AH2018" s="33"/>
      <c r="AI2018" s="33"/>
      <c r="AJ2018" s="33"/>
      <c r="AK2018" s="34" t="str">
        <f aca="false">IF($B2018="","",COUNTIF($F2018:$AJ2018,"P"))</f>
        <v/>
      </c>
      <c r="AL2018" s="34" t="str">
        <f aca="false">IF($B2018="","",COUNTIF($F2018:$AJ2018,"A"))</f>
        <v/>
      </c>
      <c r="AM2018" s="34" t="str">
        <f aca="false">IF($B2018="","",COUNTIF($F2018:$AJ2018,"HA"))</f>
        <v/>
      </c>
      <c r="AN2018" s="34" t="str">
        <f aca="false">IF($B2018="","",COUNTIF($F2018:$AJ2018,"L"))</f>
        <v/>
      </c>
      <c r="AO2018" s="34" t="str">
        <f aca="false">IF($B2018="","",COUNTIF($F2018:$AJ2018,"PL"))</f>
        <v/>
      </c>
      <c r="AP2018" s="34" t="str">
        <f aca="false">IF($B2018="","",COUNTIF($F2018:$AJ2018,"CL"))</f>
        <v/>
      </c>
      <c r="AQ2018" s="34" t="str">
        <f aca="false">IF($B2018="","",COUNTIF($F2018:$AJ2018,"SL"))</f>
        <v/>
      </c>
      <c r="AR2018" s="34" t="str">
        <f aca="false">IF($B2018="","",COUNTIF($F2018:$AJ2018,"CO"))</f>
        <v/>
      </c>
      <c r="AS2018" s="34" t="str">
        <f aca="false">IF($B2018="","",COUNTIF($F2018:$AJ2018,"HPL"))</f>
        <v/>
      </c>
      <c r="AT2018" s="34" t="str">
        <f aca="false">IF($B2018="","",COUNTIF($F2018:$AJ2018,"HCL"))</f>
        <v/>
      </c>
      <c r="AU2018" s="34" t="str">
        <f aca="false">IF($B2018="","",COUNTIF($F2018:$AJ2018,"WO"))</f>
        <v/>
      </c>
      <c r="AV2018" s="34" t="str">
        <f aca="false">IF($B2018="","",COUNTIF($F2018:$AJ2018,"PH"))</f>
        <v/>
      </c>
      <c r="AW2018" s="34" t="str">
        <f aca="false">IF($B2018="","",COUNTIF($F2018:$AJ2018,"TR"))</f>
        <v/>
      </c>
      <c r="AX2018" s="35" t="str">
        <f aca="false">IF($B2018="","",AO2018+AS2018/2)</f>
        <v/>
      </c>
      <c r="AY2018" s="35" t="str">
        <f aca="false">IF($B2018="","",AQ2018)</f>
        <v/>
      </c>
      <c r="AZ2018" s="35" t="str">
        <f aca="false">IF($B2018="","",AP2018+AT2018/2)</f>
        <v/>
      </c>
      <c r="BA2018" s="35" t="str">
        <f aca="false">IF($B2018="","",AK2018+AN2018+AM2018/2+AO2018+AP2018+AQ2018+AR2018+AS2018+AT2018+AU2018+AV2018+AW2018)</f>
        <v/>
      </c>
      <c r="BB2018" s="35" t="str">
        <f aca="false">IF($B2018="","",MAX(0,AN2018-Settings!$C$16)*Settings!$C$17)</f>
        <v/>
      </c>
      <c r="BC2018" s="35" t="str">
        <f aca="false">IF($B2018="","",BA2018-BB2018)</f>
        <v/>
      </c>
      <c r="BD2018" s="35" t="str">
        <f aca="false">IF(OR($B2018="",$A2018=""),"",DAY(EOMONTH($A2018,0))-COUNTA($F2018:$AJ2018))</f>
        <v/>
      </c>
    </row>
    <row r="2019" customFormat="false" ht="15" hidden="false" customHeight="false" outlineLevel="0" collapsed="false">
      <c r="A2019" s="32"/>
      <c r="B2019" s="29"/>
      <c r="C2019" s="10" t="str">
        <f aca="false">IF($B2019="","",IFERROR(INDEX(M_name,MATCH($B2019,M_emp,0)),"Code not found"))</f>
        <v/>
      </c>
      <c r="D2019" s="10" t="str">
        <f aca="false">IF($B2019="","",IFERROR(INDEX(M_dept,MATCH($B2019,M_emp,0)),""))</f>
        <v/>
      </c>
      <c r="E2019" s="10" t="str">
        <f aca="false">IF($B2019="","",IFERROR(INDEX(M_loc,MATCH($B2019,M_emp,0)),""))</f>
        <v/>
      </c>
      <c r="F2019" s="33"/>
      <c r="G2019" s="33"/>
      <c r="H2019" s="33"/>
      <c r="I2019" s="33"/>
      <c r="J2019" s="33"/>
      <c r="K2019" s="33"/>
      <c r="L2019" s="33"/>
      <c r="M2019" s="33"/>
      <c r="N2019" s="33"/>
      <c r="O2019" s="33"/>
      <c r="P2019" s="33"/>
      <c r="Q2019" s="33"/>
      <c r="R2019" s="33"/>
      <c r="S2019" s="33"/>
      <c r="T2019" s="33"/>
      <c r="U2019" s="33"/>
      <c r="V2019" s="33"/>
      <c r="W2019" s="33"/>
      <c r="X2019" s="33"/>
      <c r="Y2019" s="33"/>
      <c r="Z2019" s="33"/>
      <c r="AA2019" s="33"/>
      <c r="AB2019" s="33"/>
      <c r="AC2019" s="33"/>
      <c r="AD2019" s="33"/>
      <c r="AE2019" s="33"/>
      <c r="AF2019" s="33"/>
      <c r="AG2019" s="33"/>
      <c r="AH2019" s="33"/>
      <c r="AI2019" s="33"/>
      <c r="AJ2019" s="33"/>
      <c r="AK2019" s="34" t="str">
        <f aca="false">IF($B2019="","",COUNTIF($F2019:$AJ2019,"P"))</f>
        <v/>
      </c>
      <c r="AL2019" s="34" t="str">
        <f aca="false">IF($B2019="","",COUNTIF($F2019:$AJ2019,"A"))</f>
        <v/>
      </c>
      <c r="AM2019" s="34" t="str">
        <f aca="false">IF($B2019="","",COUNTIF($F2019:$AJ2019,"HA"))</f>
        <v/>
      </c>
      <c r="AN2019" s="34" t="str">
        <f aca="false">IF($B2019="","",COUNTIF($F2019:$AJ2019,"L"))</f>
        <v/>
      </c>
      <c r="AO2019" s="34" t="str">
        <f aca="false">IF($B2019="","",COUNTIF($F2019:$AJ2019,"PL"))</f>
        <v/>
      </c>
      <c r="AP2019" s="34" t="str">
        <f aca="false">IF($B2019="","",COUNTIF($F2019:$AJ2019,"CL"))</f>
        <v/>
      </c>
      <c r="AQ2019" s="34" t="str">
        <f aca="false">IF($B2019="","",COUNTIF($F2019:$AJ2019,"SL"))</f>
        <v/>
      </c>
      <c r="AR2019" s="34" t="str">
        <f aca="false">IF($B2019="","",COUNTIF($F2019:$AJ2019,"CO"))</f>
        <v/>
      </c>
      <c r="AS2019" s="34" t="str">
        <f aca="false">IF($B2019="","",COUNTIF($F2019:$AJ2019,"HPL"))</f>
        <v/>
      </c>
      <c r="AT2019" s="34" t="str">
        <f aca="false">IF($B2019="","",COUNTIF($F2019:$AJ2019,"HCL"))</f>
        <v/>
      </c>
      <c r="AU2019" s="34" t="str">
        <f aca="false">IF($B2019="","",COUNTIF($F2019:$AJ2019,"WO"))</f>
        <v/>
      </c>
      <c r="AV2019" s="34" t="str">
        <f aca="false">IF($B2019="","",COUNTIF($F2019:$AJ2019,"PH"))</f>
        <v/>
      </c>
      <c r="AW2019" s="34" t="str">
        <f aca="false">IF($B2019="","",COUNTIF($F2019:$AJ2019,"TR"))</f>
        <v/>
      </c>
      <c r="AX2019" s="35" t="str">
        <f aca="false">IF($B2019="","",AO2019+AS2019/2)</f>
        <v/>
      </c>
      <c r="AY2019" s="35" t="str">
        <f aca="false">IF($B2019="","",AQ2019)</f>
        <v/>
      </c>
      <c r="AZ2019" s="35" t="str">
        <f aca="false">IF($B2019="","",AP2019+AT2019/2)</f>
        <v/>
      </c>
      <c r="BA2019" s="35" t="str">
        <f aca="false">IF($B2019="","",AK2019+AN2019+AM2019/2+AO2019+AP2019+AQ2019+AR2019+AS2019+AT2019+AU2019+AV2019+AW2019)</f>
        <v/>
      </c>
      <c r="BB2019" s="35" t="str">
        <f aca="false">IF($B2019="","",MAX(0,AN2019-Settings!$C$16)*Settings!$C$17)</f>
        <v/>
      </c>
      <c r="BC2019" s="35" t="str">
        <f aca="false">IF($B2019="","",BA2019-BB2019)</f>
        <v/>
      </c>
      <c r="BD2019" s="35" t="str">
        <f aca="false">IF(OR($B2019="",$A2019=""),"",DAY(EOMONTH($A2019,0))-COUNTA($F2019:$AJ2019))</f>
        <v/>
      </c>
    </row>
    <row r="2020" customFormat="false" ht="15" hidden="false" customHeight="false" outlineLevel="0" collapsed="false">
      <c r="A2020" s="32"/>
      <c r="B2020" s="29"/>
      <c r="C2020" s="10" t="str">
        <f aca="false">IF($B2020="","",IFERROR(INDEX(M_name,MATCH($B2020,M_emp,0)),"Code not found"))</f>
        <v/>
      </c>
      <c r="D2020" s="10" t="str">
        <f aca="false">IF($B2020="","",IFERROR(INDEX(M_dept,MATCH($B2020,M_emp,0)),""))</f>
        <v/>
      </c>
      <c r="E2020" s="10" t="str">
        <f aca="false">IF($B2020="","",IFERROR(INDEX(M_loc,MATCH($B2020,M_emp,0)),""))</f>
        <v/>
      </c>
      <c r="F2020" s="33"/>
      <c r="G2020" s="33"/>
      <c r="H2020" s="33"/>
      <c r="I2020" s="33"/>
      <c r="J2020" s="33"/>
      <c r="K2020" s="33"/>
      <c r="L2020" s="33"/>
      <c r="M2020" s="33"/>
      <c r="N2020" s="33"/>
      <c r="O2020" s="33"/>
      <c r="P2020" s="33"/>
      <c r="Q2020" s="33"/>
      <c r="R2020" s="33"/>
      <c r="S2020" s="33"/>
      <c r="T2020" s="33"/>
      <c r="U2020" s="33"/>
      <c r="V2020" s="33"/>
      <c r="W2020" s="33"/>
      <c r="X2020" s="33"/>
      <c r="Y2020" s="33"/>
      <c r="Z2020" s="33"/>
      <c r="AA2020" s="33"/>
      <c r="AB2020" s="33"/>
      <c r="AC2020" s="33"/>
      <c r="AD2020" s="33"/>
      <c r="AE2020" s="33"/>
      <c r="AF2020" s="33"/>
      <c r="AG2020" s="33"/>
      <c r="AH2020" s="33"/>
      <c r="AI2020" s="33"/>
      <c r="AJ2020" s="33"/>
      <c r="AK2020" s="34" t="str">
        <f aca="false">IF($B2020="","",COUNTIF($F2020:$AJ2020,"P"))</f>
        <v/>
      </c>
      <c r="AL2020" s="34" t="str">
        <f aca="false">IF($B2020="","",COUNTIF($F2020:$AJ2020,"A"))</f>
        <v/>
      </c>
      <c r="AM2020" s="34" t="str">
        <f aca="false">IF($B2020="","",COUNTIF($F2020:$AJ2020,"HA"))</f>
        <v/>
      </c>
      <c r="AN2020" s="34" t="str">
        <f aca="false">IF($B2020="","",COUNTIF($F2020:$AJ2020,"L"))</f>
        <v/>
      </c>
      <c r="AO2020" s="34" t="str">
        <f aca="false">IF($B2020="","",COUNTIF($F2020:$AJ2020,"PL"))</f>
        <v/>
      </c>
      <c r="AP2020" s="34" t="str">
        <f aca="false">IF($B2020="","",COUNTIF($F2020:$AJ2020,"CL"))</f>
        <v/>
      </c>
      <c r="AQ2020" s="34" t="str">
        <f aca="false">IF($B2020="","",COUNTIF($F2020:$AJ2020,"SL"))</f>
        <v/>
      </c>
      <c r="AR2020" s="34" t="str">
        <f aca="false">IF($B2020="","",COUNTIF($F2020:$AJ2020,"CO"))</f>
        <v/>
      </c>
      <c r="AS2020" s="34" t="str">
        <f aca="false">IF($B2020="","",COUNTIF($F2020:$AJ2020,"HPL"))</f>
        <v/>
      </c>
      <c r="AT2020" s="34" t="str">
        <f aca="false">IF($B2020="","",COUNTIF($F2020:$AJ2020,"HCL"))</f>
        <v/>
      </c>
      <c r="AU2020" s="34" t="str">
        <f aca="false">IF($B2020="","",COUNTIF($F2020:$AJ2020,"WO"))</f>
        <v/>
      </c>
      <c r="AV2020" s="34" t="str">
        <f aca="false">IF($B2020="","",COUNTIF($F2020:$AJ2020,"PH"))</f>
        <v/>
      </c>
      <c r="AW2020" s="34" t="str">
        <f aca="false">IF($B2020="","",COUNTIF($F2020:$AJ2020,"TR"))</f>
        <v/>
      </c>
      <c r="AX2020" s="35" t="str">
        <f aca="false">IF($B2020="","",AO2020+AS2020/2)</f>
        <v/>
      </c>
      <c r="AY2020" s="35" t="str">
        <f aca="false">IF($B2020="","",AQ2020)</f>
        <v/>
      </c>
      <c r="AZ2020" s="35" t="str">
        <f aca="false">IF($B2020="","",AP2020+AT2020/2)</f>
        <v/>
      </c>
      <c r="BA2020" s="35" t="str">
        <f aca="false">IF($B2020="","",AK2020+AN2020+AM2020/2+AO2020+AP2020+AQ2020+AR2020+AS2020+AT2020+AU2020+AV2020+AW2020)</f>
        <v/>
      </c>
      <c r="BB2020" s="35" t="str">
        <f aca="false">IF($B2020="","",MAX(0,AN2020-Settings!$C$16)*Settings!$C$17)</f>
        <v/>
      </c>
      <c r="BC2020" s="35" t="str">
        <f aca="false">IF($B2020="","",BA2020-BB2020)</f>
        <v/>
      </c>
      <c r="BD2020" s="35" t="str">
        <f aca="false">IF(OR($B2020="",$A2020=""),"",DAY(EOMONTH($A2020,0))-COUNTA($F2020:$AJ2020))</f>
        <v/>
      </c>
    </row>
    <row r="2021" customFormat="false" ht="15" hidden="false" customHeight="false" outlineLevel="0" collapsed="false">
      <c r="A2021" s="32"/>
      <c r="B2021" s="29"/>
      <c r="C2021" s="10" t="str">
        <f aca="false">IF($B2021="","",IFERROR(INDEX(M_name,MATCH($B2021,M_emp,0)),"Code not found"))</f>
        <v/>
      </c>
      <c r="D2021" s="10" t="str">
        <f aca="false">IF($B2021="","",IFERROR(INDEX(M_dept,MATCH($B2021,M_emp,0)),""))</f>
        <v/>
      </c>
      <c r="E2021" s="10" t="str">
        <f aca="false">IF($B2021="","",IFERROR(INDEX(M_loc,MATCH($B2021,M_emp,0)),""))</f>
        <v/>
      </c>
      <c r="F2021" s="33"/>
      <c r="G2021" s="33"/>
      <c r="H2021" s="33"/>
      <c r="I2021" s="33"/>
      <c r="J2021" s="33"/>
      <c r="K2021" s="33"/>
      <c r="L2021" s="33"/>
      <c r="M2021" s="33"/>
      <c r="N2021" s="33"/>
      <c r="O2021" s="33"/>
      <c r="P2021" s="33"/>
      <c r="Q2021" s="33"/>
      <c r="R2021" s="33"/>
      <c r="S2021" s="33"/>
      <c r="T2021" s="33"/>
      <c r="U2021" s="33"/>
      <c r="V2021" s="33"/>
      <c r="W2021" s="33"/>
      <c r="X2021" s="33"/>
      <c r="Y2021" s="33"/>
      <c r="Z2021" s="33"/>
      <c r="AA2021" s="33"/>
      <c r="AB2021" s="33"/>
      <c r="AC2021" s="33"/>
      <c r="AD2021" s="33"/>
      <c r="AE2021" s="33"/>
      <c r="AF2021" s="33"/>
      <c r="AG2021" s="33"/>
      <c r="AH2021" s="33"/>
      <c r="AI2021" s="33"/>
      <c r="AJ2021" s="33"/>
      <c r="AK2021" s="34" t="str">
        <f aca="false">IF($B2021="","",COUNTIF($F2021:$AJ2021,"P"))</f>
        <v/>
      </c>
      <c r="AL2021" s="34" t="str">
        <f aca="false">IF($B2021="","",COUNTIF($F2021:$AJ2021,"A"))</f>
        <v/>
      </c>
      <c r="AM2021" s="34" t="str">
        <f aca="false">IF($B2021="","",COUNTIF($F2021:$AJ2021,"HA"))</f>
        <v/>
      </c>
      <c r="AN2021" s="34" t="str">
        <f aca="false">IF($B2021="","",COUNTIF($F2021:$AJ2021,"L"))</f>
        <v/>
      </c>
      <c r="AO2021" s="34" t="str">
        <f aca="false">IF($B2021="","",COUNTIF($F2021:$AJ2021,"PL"))</f>
        <v/>
      </c>
      <c r="AP2021" s="34" t="str">
        <f aca="false">IF($B2021="","",COUNTIF($F2021:$AJ2021,"CL"))</f>
        <v/>
      </c>
      <c r="AQ2021" s="34" t="str">
        <f aca="false">IF($B2021="","",COUNTIF($F2021:$AJ2021,"SL"))</f>
        <v/>
      </c>
      <c r="AR2021" s="34" t="str">
        <f aca="false">IF($B2021="","",COUNTIF($F2021:$AJ2021,"CO"))</f>
        <v/>
      </c>
      <c r="AS2021" s="34" t="str">
        <f aca="false">IF($B2021="","",COUNTIF($F2021:$AJ2021,"HPL"))</f>
        <v/>
      </c>
      <c r="AT2021" s="34" t="str">
        <f aca="false">IF($B2021="","",COUNTIF($F2021:$AJ2021,"HCL"))</f>
        <v/>
      </c>
      <c r="AU2021" s="34" t="str">
        <f aca="false">IF($B2021="","",COUNTIF($F2021:$AJ2021,"WO"))</f>
        <v/>
      </c>
      <c r="AV2021" s="34" t="str">
        <f aca="false">IF($B2021="","",COUNTIF($F2021:$AJ2021,"PH"))</f>
        <v/>
      </c>
      <c r="AW2021" s="34" t="str">
        <f aca="false">IF($B2021="","",COUNTIF($F2021:$AJ2021,"TR"))</f>
        <v/>
      </c>
      <c r="AX2021" s="35" t="str">
        <f aca="false">IF($B2021="","",AO2021+AS2021/2)</f>
        <v/>
      </c>
      <c r="AY2021" s="35" t="str">
        <f aca="false">IF($B2021="","",AQ2021)</f>
        <v/>
      </c>
      <c r="AZ2021" s="35" t="str">
        <f aca="false">IF($B2021="","",AP2021+AT2021/2)</f>
        <v/>
      </c>
      <c r="BA2021" s="35" t="str">
        <f aca="false">IF($B2021="","",AK2021+AN2021+AM2021/2+AO2021+AP2021+AQ2021+AR2021+AS2021+AT2021+AU2021+AV2021+AW2021)</f>
        <v/>
      </c>
      <c r="BB2021" s="35" t="str">
        <f aca="false">IF($B2021="","",MAX(0,AN2021-Settings!$C$16)*Settings!$C$17)</f>
        <v/>
      </c>
      <c r="BC2021" s="35" t="str">
        <f aca="false">IF($B2021="","",BA2021-BB2021)</f>
        <v/>
      </c>
      <c r="BD2021" s="35" t="str">
        <f aca="false">IF(OR($B2021="",$A2021=""),"",DAY(EOMONTH($A2021,0))-COUNTA($F2021:$AJ2021))</f>
        <v/>
      </c>
    </row>
    <row r="2022" customFormat="false" ht="15" hidden="false" customHeight="false" outlineLevel="0" collapsed="false">
      <c r="A2022" s="32"/>
      <c r="B2022" s="29"/>
      <c r="C2022" s="10" t="str">
        <f aca="false">IF($B2022="","",IFERROR(INDEX(M_name,MATCH($B2022,M_emp,0)),"Code not found"))</f>
        <v/>
      </c>
      <c r="D2022" s="10" t="str">
        <f aca="false">IF($B2022="","",IFERROR(INDEX(M_dept,MATCH($B2022,M_emp,0)),""))</f>
        <v/>
      </c>
      <c r="E2022" s="10" t="str">
        <f aca="false">IF($B2022="","",IFERROR(INDEX(M_loc,MATCH($B2022,M_emp,0)),""))</f>
        <v/>
      </c>
      <c r="F2022" s="33"/>
      <c r="G2022" s="33"/>
      <c r="H2022" s="33"/>
      <c r="I2022" s="33"/>
      <c r="J2022" s="33"/>
      <c r="K2022" s="33"/>
      <c r="L2022" s="33"/>
      <c r="M2022" s="33"/>
      <c r="N2022" s="33"/>
      <c r="O2022" s="33"/>
      <c r="P2022" s="33"/>
      <c r="Q2022" s="33"/>
      <c r="R2022" s="33"/>
      <c r="S2022" s="33"/>
      <c r="T2022" s="33"/>
      <c r="U2022" s="33"/>
      <c r="V2022" s="33"/>
      <c r="W2022" s="33"/>
      <c r="X2022" s="33"/>
      <c r="Y2022" s="33"/>
      <c r="Z2022" s="33"/>
      <c r="AA2022" s="33"/>
      <c r="AB2022" s="33"/>
      <c r="AC2022" s="33"/>
      <c r="AD2022" s="33"/>
      <c r="AE2022" s="33"/>
      <c r="AF2022" s="33"/>
      <c r="AG2022" s="33"/>
      <c r="AH2022" s="33"/>
      <c r="AI2022" s="33"/>
      <c r="AJ2022" s="33"/>
      <c r="AK2022" s="34" t="str">
        <f aca="false">IF($B2022="","",COUNTIF($F2022:$AJ2022,"P"))</f>
        <v/>
      </c>
      <c r="AL2022" s="34" t="str">
        <f aca="false">IF($B2022="","",COUNTIF($F2022:$AJ2022,"A"))</f>
        <v/>
      </c>
      <c r="AM2022" s="34" t="str">
        <f aca="false">IF($B2022="","",COUNTIF($F2022:$AJ2022,"HA"))</f>
        <v/>
      </c>
      <c r="AN2022" s="34" t="str">
        <f aca="false">IF($B2022="","",COUNTIF($F2022:$AJ2022,"L"))</f>
        <v/>
      </c>
      <c r="AO2022" s="34" t="str">
        <f aca="false">IF($B2022="","",COUNTIF($F2022:$AJ2022,"PL"))</f>
        <v/>
      </c>
      <c r="AP2022" s="34" t="str">
        <f aca="false">IF($B2022="","",COUNTIF($F2022:$AJ2022,"CL"))</f>
        <v/>
      </c>
      <c r="AQ2022" s="34" t="str">
        <f aca="false">IF($B2022="","",COUNTIF($F2022:$AJ2022,"SL"))</f>
        <v/>
      </c>
      <c r="AR2022" s="34" t="str">
        <f aca="false">IF($B2022="","",COUNTIF($F2022:$AJ2022,"CO"))</f>
        <v/>
      </c>
      <c r="AS2022" s="34" t="str">
        <f aca="false">IF($B2022="","",COUNTIF($F2022:$AJ2022,"HPL"))</f>
        <v/>
      </c>
      <c r="AT2022" s="34" t="str">
        <f aca="false">IF($B2022="","",COUNTIF($F2022:$AJ2022,"HCL"))</f>
        <v/>
      </c>
      <c r="AU2022" s="34" t="str">
        <f aca="false">IF($B2022="","",COUNTIF($F2022:$AJ2022,"WO"))</f>
        <v/>
      </c>
      <c r="AV2022" s="34" t="str">
        <f aca="false">IF($B2022="","",COUNTIF($F2022:$AJ2022,"PH"))</f>
        <v/>
      </c>
      <c r="AW2022" s="34" t="str">
        <f aca="false">IF($B2022="","",COUNTIF($F2022:$AJ2022,"TR"))</f>
        <v/>
      </c>
      <c r="AX2022" s="35" t="str">
        <f aca="false">IF($B2022="","",AO2022+AS2022/2)</f>
        <v/>
      </c>
      <c r="AY2022" s="35" t="str">
        <f aca="false">IF($B2022="","",AQ2022)</f>
        <v/>
      </c>
      <c r="AZ2022" s="35" t="str">
        <f aca="false">IF($B2022="","",AP2022+AT2022/2)</f>
        <v/>
      </c>
      <c r="BA2022" s="35" t="str">
        <f aca="false">IF($B2022="","",AK2022+AN2022+AM2022/2+AO2022+AP2022+AQ2022+AR2022+AS2022+AT2022+AU2022+AV2022+AW2022)</f>
        <v/>
      </c>
      <c r="BB2022" s="35" t="str">
        <f aca="false">IF($B2022="","",MAX(0,AN2022-Settings!$C$16)*Settings!$C$17)</f>
        <v/>
      </c>
      <c r="BC2022" s="35" t="str">
        <f aca="false">IF($B2022="","",BA2022-BB2022)</f>
        <v/>
      </c>
      <c r="BD2022" s="35" t="str">
        <f aca="false">IF(OR($B2022="",$A2022=""),"",DAY(EOMONTH($A2022,0))-COUNTA($F2022:$AJ2022))</f>
        <v/>
      </c>
    </row>
    <row r="2023" customFormat="false" ht="15" hidden="false" customHeight="false" outlineLevel="0" collapsed="false">
      <c r="A2023" s="32"/>
      <c r="B2023" s="29"/>
      <c r="C2023" s="10" t="str">
        <f aca="false">IF($B2023="","",IFERROR(INDEX(M_name,MATCH($B2023,M_emp,0)),"Code not found"))</f>
        <v/>
      </c>
      <c r="D2023" s="10" t="str">
        <f aca="false">IF($B2023="","",IFERROR(INDEX(M_dept,MATCH($B2023,M_emp,0)),""))</f>
        <v/>
      </c>
      <c r="E2023" s="10" t="str">
        <f aca="false">IF($B2023="","",IFERROR(INDEX(M_loc,MATCH($B2023,M_emp,0)),""))</f>
        <v/>
      </c>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c r="AB2023" s="33"/>
      <c r="AC2023" s="33"/>
      <c r="AD2023" s="33"/>
      <c r="AE2023" s="33"/>
      <c r="AF2023" s="33"/>
      <c r="AG2023" s="33"/>
      <c r="AH2023" s="33"/>
      <c r="AI2023" s="33"/>
      <c r="AJ2023" s="33"/>
      <c r="AK2023" s="34" t="str">
        <f aca="false">IF($B2023="","",COUNTIF($F2023:$AJ2023,"P"))</f>
        <v/>
      </c>
      <c r="AL2023" s="34" t="str">
        <f aca="false">IF($B2023="","",COUNTIF($F2023:$AJ2023,"A"))</f>
        <v/>
      </c>
      <c r="AM2023" s="34" t="str">
        <f aca="false">IF($B2023="","",COUNTIF($F2023:$AJ2023,"HA"))</f>
        <v/>
      </c>
      <c r="AN2023" s="34" t="str">
        <f aca="false">IF($B2023="","",COUNTIF($F2023:$AJ2023,"L"))</f>
        <v/>
      </c>
      <c r="AO2023" s="34" t="str">
        <f aca="false">IF($B2023="","",COUNTIF($F2023:$AJ2023,"PL"))</f>
        <v/>
      </c>
      <c r="AP2023" s="34" t="str">
        <f aca="false">IF($B2023="","",COUNTIF($F2023:$AJ2023,"CL"))</f>
        <v/>
      </c>
      <c r="AQ2023" s="34" t="str">
        <f aca="false">IF($B2023="","",COUNTIF($F2023:$AJ2023,"SL"))</f>
        <v/>
      </c>
      <c r="AR2023" s="34" t="str">
        <f aca="false">IF($B2023="","",COUNTIF($F2023:$AJ2023,"CO"))</f>
        <v/>
      </c>
      <c r="AS2023" s="34" t="str">
        <f aca="false">IF($B2023="","",COUNTIF($F2023:$AJ2023,"HPL"))</f>
        <v/>
      </c>
      <c r="AT2023" s="34" t="str">
        <f aca="false">IF($B2023="","",COUNTIF($F2023:$AJ2023,"HCL"))</f>
        <v/>
      </c>
      <c r="AU2023" s="34" t="str">
        <f aca="false">IF($B2023="","",COUNTIF($F2023:$AJ2023,"WO"))</f>
        <v/>
      </c>
      <c r="AV2023" s="34" t="str">
        <f aca="false">IF($B2023="","",COUNTIF($F2023:$AJ2023,"PH"))</f>
        <v/>
      </c>
      <c r="AW2023" s="34" t="str">
        <f aca="false">IF($B2023="","",COUNTIF($F2023:$AJ2023,"TR"))</f>
        <v/>
      </c>
      <c r="AX2023" s="35" t="str">
        <f aca="false">IF($B2023="","",AO2023+AS2023/2)</f>
        <v/>
      </c>
      <c r="AY2023" s="35" t="str">
        <f aca="false">IF($B2023="","",AQ2023)</f>
        <v/>
      </c>
      <c r="AZ2023" s="35" t="str">
        <f aca="false">IF($B2023="","",AP2023+AT2023/2)</f>
        <v/>
      </c>
      <c r="BA2023" s="35" t="str">
        <f aca="false">IF($B2023="","",AK2023+AN2023+AM2023/2+AO2023+AP2023+AQ2023+AR2023+AS2023+AT2023+AU2023+AV2023+AW2023)</f>
        <v/>
      </c>
      <c r="BB2023" s="35" t="str">
        <f aca="false">IF($B2023="","",MAX(0,AN2023-Settings!$C$16)*Settings!$C$17)</f>
        <v/>
      </c>
      <c r="BC2023" s="35" t="str">
        <f aca="false">IF($B2023="","",BA2023-BB2023)</f>
        <v/>
      </c>
      <c r="BD2023" s="35" t="str">
        <f aca="false">IF(OR($B2023="",$A2023=""),"",DAY(EOMONTH($A2023,0))-COUNTA($F2023:$AJ2023))</f>
        <v/>
      </c>
    </row>
    <row r="2024" customFormat="false" ht="15" hidden="false" customHeight="false" outlineLevel="0" collapsed="false">
      <c r="A2024" s="32"/>
      <c r="B2024" s="29"/>
      <c r="C2024" s="10" t="str">
        <f aca="false">IF($B2024="","",IFERROR(INDEX(M_name,MATCH($B2024,M_emp,0)),"Code not found"))</f>
        <v/>
      </c>
      <c r="D2024" s="10" t="str">
        <f aca="false">IF($B2024="","",IFERROR(INDEX(M_dept,MATCH($B2024,M_emp,0)),""))</f>
        <v/>
      </c>
      <c r="E2024" s="10" t="str">
        <f aca="false">IF($B2024="","",IFERROR(INDEX(M_loc,MATCH($B2024,M_emp,0)),""))</f>
        <v/>
      </c>
      <c r="F2024" s="33"/>
      <c r="G2024" s="33"/>
      <c r="H2024" s="33"/>
      <c r="I2024" s="33"/>
      <c r="J2024" s="33"/>
      <c r="K2024" s="33"/>
      <c r="L2024" s="33"/>
      <c r="M2024" s="33"/>
      <c r="N2024" s="33"/>
      <c r="O2024" s="33"/>
      <c r="P2024" s="33"/>
      <c r="Q2024" s="33"/>
      <c r="R2024" s="33"/>
      <c r="S2024" s="33"/>
      <c r="T2024" s="33"/>
      <c r="U2024" s="33"/>
      <c r="V2024" s="33"/>
      <c r="W2024" s="33"/>
      <c r="X2024" s="33"/>
      <c r="Y2024" s="33"/>
      <c r="Z2024" s="33"/>
      <c r="AA2024" s="33"/>
      <c r="AB2024" s="33"/>
      <c r="AC2024" s="33"/>
      <c r="AD2024" s="33"/>
      <c r="AE2024" s="33"/>
      <c r="AF2024" s="33"/>
      <c r="AG2024" s="33"/>
      <c r="AH2024" s="33"/>
      <c r="AI2024" s="33"/>
      <c r="AJ2024" s="33"/>
      <c r="AK2024" s="34" t="str">
        <f aca="false">IF($B2024="","",COUNTIF($F2024:$AJ2024,"P"))</f>
        <v/>
      </c>
      <c r="AL2024" s="34" t="str">
        <f aca="false">IF($B2024="","",COUNTIF($F2024:$AJ2024,"A"))</f>
        <v/>
      </c>
      <c r="AM2024" s="34" t="str">
        <f aca="false">IF($B2024="","",COUNTIF($F2024:$AJ2024,"HA"))</f>
        <v/>
      </c>
      <c r="AN2024" s="34" t="str">
        <f aca="false">IF($B2024="","",COUNTIF($F2024:$AJ2024,"L"))</f>
        <v/>
      </c>
      <c r="AO2024" s="34" t="str">
        <f aca="false">IF($B2024="","",COUNTIF($F2024:$AJ2024,"PL"))</f>
        <v/>
      </c>
      <c r="AP2024" s="34" t="str">
        <f aca="false">IF($B2024="","",COUNTIF($F2024:$AJ2024,"CL"))</f>
        <v/>
      </c>
      <c r="AQ2024" s="34" t="str">
        <f aca="false">IF($B2024="","",COUNTIF($F2024:$AJ2024,"SL"))</f>
        <v/>
      </c>
      <c r="AR2024" s="34" t="str">
        <f aca="false">IF($B2024="","",COUNTIF($F2024:$AJ2024,"CO"))</f>
        <v/>
      </c>
      <c r="AS2024" s="34" t="str">
        <f aca="false">IF($B2024="","",COUNTIF($F2024:$AJ2024,"HPL"))</f>
        <v/>
      </c>
      <c r="AT2024" s="34" t="str">
        <f aca="false">IF($B2024="","",COUNTIF($F2024:$AJ2024,"HCL"))</f>
        <v/>
      </c>
      <c r="AU2024" s="34" t="str">
        <f aca="false">IF($B2024="","",COUNTIF($F2024:$AJ2024,"WO"))</f>
        <v/>
      </c>
      <c r="AV2024" s="34" t="str">
        <f aca="false">IF($B2024="","",COUNTIF($F2024:$AJ2024,"PH"))</f>
        <v/>
      </c>
      <c r="AW2024" s="34" t="str">
        <f aca="false">IF($B2024="","",COUNTIF($F2024:$AJ2024,"TR"))</f>
        <v/>
      </c>
      <c r="AX2024" s="35" t="str">
        <f aca="false">IF($B2024="","",AO2024+AS2024/2)</f>
        <v/>
      </c>
      <c r="AY2024" s="35" t="str">
        <f aca="false">IF($B2024="","",AQ2024)</f>
        <v/>
      </c>
      <c r="AZ2024" s="35" t="str">
        <f aca="false">IF($B2024="","",AP2024+AT2024/2)</f>
        <v/>
      </c>
      <c r="BA2024" s="35" t="str">
        <f aca="false">IF($B2024="","",AK2024+AN2024+AM2024/2+AO2024+AP2024+AQ2024+AR2024+AS2024+AT2024+AU2024+AV2024+AW2024)</f>
        <v/>
      </c>
      <c r="BB2024" s="35" t="str">
        <f aca="false">IF($B2024="","",MAX(0,AN2024-Settings!$C$16)*Settings!$C$17)</f>
        <v/>
      </c>
      <c r="BC2024" s="35" t="str">
        <f aca="false">IF($B2024="","",BA2024-BB2024)</f>
        <v/>
      </c>
      <c r="BD2024" s="35" t="str">
        <f aca="false">IF(OR($B2024="",$A2024=""),"",DAY(EOMONTH($A2024,0))-COUNTA($F2024:$AJ2024))</f>
        <v/>
      </c>
    </row>
    <row r="2025" customFormat="false" ht="15" hidden="false" customHeight="false" outlineLevel="0" collapsed="false">
      <c r="A2025" s="32"/>
      <c r="B2025" s="29"/>
      <c r="C2025" s="10" t="str">
        <f aca="false">IF($B2025="","",IFERROR(INDEX(M_name,MATCH($B2025,M_emp,0)),"Code not found"))</f>
        <v/>
      </c>
      <c r="D2025" s="10" t="str">
        <f aca="false">IF($B2025="","",IFERROR(INDEX(M_dept,MATCH($B2025,M_emp,0)),""))</f>
        <v/>
      </c>
      <c r="E2025" s="10" t="str">
        <f aca="false">IF($B2025="","",IFERROR(INDEX(M_loc,MATCH($B2025,M_emp,0)),""))</f>
        <v/>
      </c>
      <c r="F2025" s="33"/>
      <c r="G2025" s="33"/>
      <c r="H2025" s="33"/>
      <c r="I2025" s="33"/>
      <c r="J2025" s="33"/>
      <c r="K2025" s="33"/>
      <c r="L2025" s="33"/>
      <c r="M2025" s="33"/>
      <c r="N2025" s="33"/>
      <c r="O2025" s="33"/>
      <c r="P2025" s="33"/>
      <c r="Q2025" s="33"/>
      <c r="R2025" s="33"/>
      <c r="S2025" s="33"/>
      <c r="T2025" s="33"/>
      <c r="U2025" s="33"/>
      <c r="V2025" s="33"/>
      <c r="W2025" s="33"/>
      <c r="X2025" s="33"/>
      <c r="Y2025" s="33"/>
      <c r="Z2025" s="33"/>
      <c r="AA2025" s="33"/>
      <c r="AB2025" s="33"/>
      <c r="AC2025" s="33"/>
      <c r="AD2025" s="33"/>
      <c r="AE2025" s="33"/>
      <c r="AF2025" s="33"/>
      <c r="AG2025" s="33"/>
      <c r="AH2025" s="33"/>
      <c r="AI2025" s="33"/>
      <c r="AJ2025" s="33"/>
      <c r="AK2025" s="34" t="str">
        <f aca="false">IF($B2025="","",COUNTIF($F2025:$AJ2025,"P"))</f>
        <v/>
      </c>
      <c r="AL2025" s="34" t="str">
        <f aca="false">IF($B2025="","",COUNTIF($F2025:$AJ2025,"A"))</f>
        <v/>
      </c>
      <c r="AM2025" s="34" t="str">
        <f aca="false">IF($B2025="","",COUNTIF($F2025:$AJ2025,"HA"))</f>
        <v/>
      </c>
      <c r="AN2025" s="34" t="str">
        <f aca="false">IF($B2025="","",COUNTIF($F2025:$AJ2025,"L"))</f>
        <v/>
      </c>
      <c r="AO2025" s="34" t="str">
        <f aca="false">IF($B2025="","",COUNTIF($F2025:$AJ2025,"PL"))</f>
        <v/>
      </c>
      <c r="AP2025" s="34" t="str">
        <f aca="false">IF($B2025="","",COUNTIF($F2025:$AJ2025,"CL"))</f>
        <v/>
      </c>
      <c r="AQ2025" s="34" t="str">
        <f aca="false">IF($B2025="","",COUNTIF($F2025:$AJ2025,"SL"))</f>
        <v/>
      </c>
      <c r="AR2025" s="34" t="str">
        <f aca="false">IF($B2025="","",COUNTIF($F2025:$AJ2025,"CO"))</f>
        <v/>
      </c>
      <c r="AS2025" s="34" t="str">
        <f aca="false">IF($B2025="","",COUNTIF($F2025:$AJ2025,"HPL"))</f>
        <v/>
      </c>
      <c r="AT2025" s="34" t="str">
        <f aca="false">IF($B2025="","",COUNTIF($F2025:$AJ2025,"HCL"))</f>
        <v/>
      </c>
      <c r="AU2025" s="34" t="str">
        <f aca="false">IF($B2025="","",COUNTIF($F2025:$AJ2025,"WO"))</f>
        <v/>
      </c>
      <c r="AV2025" s="34" t="str">
        <f aca="false">IF($B2025="","",COUNTIF($F2025:$AJ2025,"PH"))</f>
        <v/>
      </c>
      <c r="AW2025" s="34" t="str">
        <f aca="false">IF($B2025="","",COUNTIF($F2025:$AJ2025,"TR"))</f>
        <v/>
      </c>
      <c r="AX2025" s="35" t="str">
        <f aca="false">IF($B2025="","",AO2025+AS2025/2)</f>
        <v/>
      </c>
      <c r="AY2025" s="35" t="str">
        <f aca="false">IF($B2025="","",AQ2025)</f>
        <v/>
      </c>
      <c r="AZ2025" s="35" t="str">
        <f aca="false">IF($B2025="","",AP2025+AT2025/2)</f>
        <v/>
      </c>
      <c r="BA2025" s="35" t="str">
        <f aca="false">IF($B2025="","",AK2025+AN2025+AM2025/2+AO2025+AP2025+AQ2025+AR2025+AS2025+AT2025+AU2025+AV2025+AW2025)</f>
        <v/>
      </c>
      <c r="BB2025" s="35" t="str">
        <f aca="false">IF($B2025="","",MAX(0,AN2025-Settings!$C$16)*Settings!$C$17)</f>
        <v/>
      </c>
      <c r="BC2025" s="35" t="str">
        <f aca="false">IF($B2025="","",BA2025-BB2025)</f>
        <v/>
      </c>
      <c r="BD2025" s="35" t="str">
        <f aca="false">IF(OR($B2025="",$A2025=""),"",DAY(EOMONTH($A2025,0))-COUNTA($F2025:$AJ2025))</f>
        <v/>
      </c>
    </row>
    <row r="2026" customFormat="false" ht="15" hidden="false" customHeight="false" outlineLevel="0" collapsed="false">
      <c r="A2026" s="32"/>
      <c r="B2026" s="29"/>
      <c r="C2026" s="10" t="str">
        <f aca="false">IF($B2026="","",IFERROR(INDEX(M_name,MATCH($B2026,M_emp,0)),"Code not found"))</f>
        <v/>
      </c>
      <c r="D2026" s="10" t="str">
        <f aca="false">IF($B2026="","",IFERROR(INDEX(M_dept,MATCH($B2026,M_emp,0)),""))</f>
        <v/>
      </c>
      <c r="E2026" s="10" t="str">
        <f aca="false">IF($B2026="","",IFERROR(INDEX(M_loc,MATCH($B2026,M_emp,0)),""))</f>
        <v/>
      </c>
      <c r="F2026" s="33"/>
      <c r="G2026" s="33"/>
      <c r="H2026" s="33"/>
      <c r="I2026" s="33"/>
      <c r="J2026" s="33"/>
      <c r="K2026" s="33"/>
      <c r="L2026" s="33"/>
      <c r="M2026" s="33"/>
      <c r="N2026" s="33"/>
      <c r="O2026" s="33"/>
      <c r="P2026" s="33"/>
      <c r="Q2026" s="33"/>
      <c r="R2026" s="33"/>
      <c r="S2026" s="33"/>
      <c r="T2026" s="33"/>
      <c r="U2026" s="33"/>
      <c r="V2026" s="33"/>
      <c r="W2026" s="33"/>
      <c r="X2026" s="33"/>
      <c r="Y2026" s="33"/>
      <c r="Z2026" s="33"/>
      <c r="AA2026" s="33"/>
      <c r="AB2026" s="33"/>
      <c r="AC2026" s="33"/>
      <c r="AD2026" s="33"/>
      <c r="AE2026" s="33"/>
      <c r="AF2026" s="33"/>
      <c r="AG2026" s="33"/>
      <c r="AH2026" s="33"/>
      <c r="AI2026" s="33"/>
      <c r="AJ2026" s="33"/>
      <c r="AK2026" s="34" t="str">
        <f aca="false">IF($B2026="","",COUNTIF($F2026:$AJ2026,"P"))</f>
        <v/>
      </c>
      <c r="AL2026" s="34" t="str">
        <f aca="false">IF($B2026="","",COUNTIF($F2026:$AJ2026,"A"))</f>
        <v/>
      </c>
      <c r="AM2026" s="34" t="str">
        <f aca="false">IF($B2026="","",COUNTIF($F2026:$AJ2026,"HA"))</f>
        <v/>
      </c>
      <c r="AN2026" s="34" t="str">
        <f aca="false">IF($B2026="","",COUNTIF($F2026:$AJ2026,"L"))</f>
        <v/>
      </c>
      <c r="AO2026" s="34" t="str">
        <f aca="false">IF($B2026="","",COUNTIF($F2026:$AJ2026,"PL"))</f>
        <v/>
      </c>
      <c r="AP2026" s="34" t="str">
        <f aca="false">IF($B2026="","",COUNTIF($F2026:$AJ2026,"CL"))</f>
        <v/>
      </c>
      <c r="AQ2026" s="34" t="str">
        <f aca="false">IF($B2026="","",COUNTIF($F2026:$AJ2026,"SL"))</f>
        <v/>
      </c>
      <c r="AR2026" s="34" t="str">
        <f aca="false">IF($B2026="","",COUNTIF($F2026:$AJ2026,"CO"))</f>
        <v/>
      </c>
      <c r="AS2026" s="34" t="str">
        <f aca="false">IF($B2026="","",COUNTIF($F2026:$AJ2026,"HPL"))</f>
        <v/>
      </c>
      <c r="AT2026" s="34" t="str">
        <f aca="false">IF($B2026="","",COUNTIF($F2026:$AJ2026,"HCL"))</f>
        <v/>
      </c>
      <c r="AU2026" s="34" t="str">
        <f aca="false">IF($B2026="","",COUNTIF($F2026:$AJ2026,"WO"))</f>
        <v/>
      </c>
      <c r="AV2026" s="34" t="str">
        <f aca="false">IF($B2026="","",COUNTIF($F2026:$AJ2026,"PH"))</f>
        <v/>
      </c>
      <c r="AW2026" s="34" t="str">
        <f aca="false">IF($B2026="","",COUNTIF($F2026:$AJ2026,"TR"))</f>
        <v/>
      </c>
      <c r="AX2026" s="35" t="str">
        <f aca="false">IF($B2026="","",AO2026+AS2026/2)</f>
        <v/>
      </c>
      <c r="AY2026" s="35" t="str">
        <f aca="false">IF($B2026="","",AQ2026)</f>
        <v/>
      </c>
      <c r="AZ2026" s="35" t="str">
        <f aca="false">IF($B2026="","",AP2026+AT2026/2)</f>
        <v/>
      </c>
      <c r="BA2026" s="35" t="str">
        <f aca="false">IF($B2026="","",AK2026+AN2026+AM2026/2+AO2026+AP2026+AQ2026+AR2026+AS2026+AT2026+AU2026+AV2026+AW2026)</f>
        <v/>
      </c>
      <c r="BB2026" s="35" t="str">
        <f aca="false">IF($B2026="","",MAX(0,AN2026-Settings!$C$16)*Settings!$C$17)</f>
        <v/>
      </c>
      <c r="BC2026" s="35" t="str">
        <f aca="false">IF($B2026="","",BA2026-BB2026)</f>
        <v/>
      </c>
      <c r="BD2026" s="35" t="str">
        <f aca="false">IF(OR($B2026="",$A2026=""),"",DAY(EOMONTH($A2026,0))-COUNTA($F2026:$AJ2026))</f>
        <v/>
      </c>
    </row>
    <row r="2027" customFormat="false" ht="15" hidden="false" customHeight="false" outlineLevel="0" collapsed="false">
      <c r="A2027" s="32"/>
      <c r="B2027" s="29"/>
      <c r="C2027" s="10" t="str">
        <f aca="false">IF($B2027="","",IFERROR(INDEX(M_name,MATCH($B2027,M_emp,0)),"Code not found"))</f>
        <v/>
      </c>
      <c r="D2027" s="10" t="str">
        <f aca="false">IF($B2027="","",IFERROR(INDEX(M_dept,MATCH($B2027,M_emp,0)),""))</f>
        <v/>
      </c>
      <c r="E2027" s="10" t="str">
        <f aca="false">IF($B2027="","",IFERROR(INDEX(M_loc,MATCH($B2027,M_emp,0)),""))</f>
        <v/>
      </c>
      <c r="F2027" s="33"/>
      <c r="G2027" s="33"/>
      <c r="H2027" s="33"/>
      <c r="I2027" s="33"/>
      <c r="J2027" s="33"/>
      <c r="K2027" s="33"/>
      <c r="L2027" s="33"/>
      <c r="M2027" s="33"/>
      <c r="N2027" s="33"/>
      <c r="O2027" s="33"/>
      <c r="P2027" s="33"/>
      <c r="Q2027" s="33"/>
      <c r="R2027" s="33"/>
      <c r="S2027" s="33"/>
      <c r="T2027" s="33"/>
      <c r="U2027" s="33"/>
      <c r="V2027" s="33"/>
      <c r="W2027" s="33"/>
      <c r="X2027" s="33"/>
      <c r="Y2027" s="33"/>
      <c r="Z2027" s="33"/>
      <c r="AA2027" s="33"/>
      <c r="AB2027" s="33"/>
      <c r="AC2027" s="33"/>
      <c r="AD2027" s="33"/>
      <c r="AE2027" s="33"/>
      <c r="AF2027" s="33"/>
      <c r="AG2027" s="33"/>
      <c r="AH2027" s="33"/>
      <c r="AI2027" s="33"/>
      <c r="AJ2027" s="33"/>
      <c r="AK2027" s="34" t="str">
        <f aca="false">IF($B2027="","",COUNTIF($F2027:$AJ2027,"P"))</f>
        <v/>
      </c>
      <c r="AL2027" s="34" t="str">
        <f aca="false">IF($B2027="","",COUNTIF($F2027:$AJ2027,"A"))</f>
        <v/>
      </c>
      <c r="AM2027" s="34" t="str">
        <f aca="false">IF($B2027="","",COUNTIF($F2027:$AJ2027,"HA"))</f>
        <v/>
      </c>
      <c r="AN2027" s="34" t="str">
        <f aca="false">IF($B2027="","",COUNTIF($F2027:$AJ2027,"L"))</f>
        <v/>
      </c>
      <c r="AO2027" s="34" t="str">
        <f aca="false">IF($B2027="","",COUNTIF($F2027:$AJ2027,"PL"))</f>
        <v/>
      </c>
      <c r="AP2027" s="34" t="str">
        <f aca="false">IF($B2027="","",COUNTIF($F2027:$AJ2027,"CL"))</f>
        <v/>
      </c>
      <c r="AQ2027" s="34" t="str">
        <f aca="false">IF($B2027="","",COUNTIF($F2027:$AJ2027,"SL"))</f>
        <v/>
      </c>
      <c r="AR2027" s="34" t="str">
        <f aca="false">IF($B2027="","",COUNTIF($F2027:$AJ2027,"CO"))</f>
        <v/>
      </c>
      <c r="AS2027" s="34" t="str">
        <f aca="false">IF($B2027="","",COUNTIF($F2027:$AJ2027,"HPL"))</f>
        <v/>
      </c>
      <c r="AT2027" s="34" t="str">
        <f aca="false">IF($B2027="","",COUNTIF($F2027:$AJ2027,"HCL"))</f>
        <v/>
      </c>
      <c r="AU2027" s="34" t="str">
        <f aca="false">IF($B2027="","",COUNTIF($F2027:$AJ2027,"WO"))</f>
        <v/>
      </c>
      <c r="AV2027" s="34" t="str">
        <f aca="false">IF($B2027="","",COUNTIF($F2027:$AJ2027,"PH"))</f>
        <v/>
      </c>
      <c r="AW2027" s="34" t="str">
        <f aca="false">IF($B2027="","",COUNTIF($F2027:$AJ2027,"TR"))</f>
        <v/>
      </c>
      <c r="AX2027" s="35" t="str">
        <f aca="false">IF($B2027="","",AO2027+AS2027/2)</f>
        <v/>
      </c>
      <c r="AY2027" s="35" t="str">
        <f aca="false">IF($B2027="","",AQ2027)</f>
        <v/>
      </c>
      <c r="AZ2027" s="35" t="str">
        <f aca="false">IF($B2027="","",AP2027+AT2027/2)</f>
        <v/>
      </c>
      <c r="BA2027" s="35" t="str">
        <f aca="false">IF($B2027="","",AK2027+AN2027+AM2027/2+AO2027+AP2027+AQ2027+AR2027+AS2027+AT2027+AU2027+AV2027+AW2027)</f>
        <v/>
      </c>
      <c r="BB2027" s="35" t="str">
        <f aca="false">IF($B2027="","",MAX(0,AN2027-Settings!$C$16)*Settings!$C$17)</f>
        <v/>
      </c>
      <c r="BC2027" s="35" t="str">
        <f aca="false">IF($B2027="","",BA2027-BB2027)</f>
        <v/>
      </c>
      <c r="BD2027" s="35" t="str">
        <f aca="false">IF(OR($B2027="",$A2027=""),"",DAY(EOMONTH($A2027,0))-COUNTA($F2027:$AJ2027))</f>
        <v/>
      </c>
    </row>
    <row r="2028" customFormat="false" ht="15" hidden="false" customHeight="false" outlineLevel="0" collapsed="false">
      <c r="A2028" s="32"/>
      <c r="B2028" s="29"/>
      <c r="C2028" s="10" t="str">
        <f aca="false">IF($B2028="","",IFERROR(INDEX(M_name,MATCH($B2028,M_emp,0)),"Code not found"))</f>
        <v/>
      </c>
      <c r="D2028" s="10" t="str">
        <f aca="false">IF($B2028="","",IFERROR(INDEX(M_dept,MATCH($B2028,M_emp,0)),""))</f>
        <v/>
      </c>
      <c r="E2028" s="10" t="str">
        <f aca="false">IF($B2028="","",IFERROR(INDEX(M_loc,MATCH($B2028,M_emp,0)),""))</f>
        <v/>
      </c>
      <c r="F2028" s="33"/>
      <c r="G2028" s="33"/>
      <c r="H2028" s="33"/>
      <c r="I2028" s="33"/>
      <c r="J2028" s="33"/>
      <c r="K2028" s="33"/>
      <c r="L2028" s="33"/>
      <c r="M2028" s="33"/>
      <c r="N2028" s="33"/>
      <c r="O2028" s="33"/>
      <c r="P2028" s="33"/>
      <c r="Q2028" s="33"/>
      <c r="R2028" s="33"/>
      <c r="S2028" s="33"/>
      <c r="T2028" s="33"/>
      <c r="U2028" s="33"/>
      <c r="V2028" s="33"/>
      <c r="W2028" s="33"/>
      <c r="X2028" s="33"/>
      <c r="Y2028" s="33"/>
      <c r="Z2028" s="33"/>
      <c r="AA2028" s="33"/>
      <c r="AB2028" s="33"/>
      <c r="AC2028" s="33"/>
      <c r="AD2028" s="33"/>
      <c r="AE2028" s="33"/>
      <c r="AF2028" s="33"/>
      <c r="AG2028" s="33"/>
      <c r="AH2028" s="33"/>
      <c r="AI2028" s="33"/>
      <c r="AJ2028" s="33"/>
      <c r="AK2028" s="34" t="str">
        <f aca="false">IF($B2028="","",COUNTIF($F2028:$AJ2028,"P"))</f>
        <v/>
      </c>
      <c r="AL2028" s="34" t="str">
        <f aca="false">IF($B2028="","",COUNTIF($F2028:$AJ2028,"A"))</f>
        <v/>
      </c>
      <c r="AM2028" s="34" t="str">
        <f aca="false">IF($B2028="","",COUNTIF($F2028:$AJ2028,"HA"))</f>
        <v/>
      </c>
      <c r="AN2028" s="34" t="str">
        <f aca="false">IF($B2028="","",COUNTIF($F2028:$AJ2028,"L"))</f>
        <v/>
      </c>
      <c r="AO2028" s="34" t="str">
        <f aca="false">IF($B2028="","",COUNTIF($F2028:$AJ2028,"PL"))</f>
        <v/>
      </c>
      <c r="AP2028" s="34" t="str">
        <f aca="false">IF($B2028="","",COUNTIF($F2028:$AJ2028,"CL"))</f>
        <v/>
      </c>
      <c r="AQ2028" s="34" t="str">
        <f aca="false">IF($B2028="","",COUNTIF($F2028:$AJ2028,"SL"))</f>
        <v/>
      </c>
      <c r="AR2028" s="34" t="str">
        <f aca="false">IF($B2028="","",COUNTIF($F2028:$AJ2028,"CO"))</f>
        <v/>
      </c>
      <c r="AS2028" s="34" t="str">
        <f aca="false">IF($B2028="","",COUNTIF($F2028:$AJ2028,"HPL"))</f>
        <v/>
      </c>
      <c r="AT2028" s="34" t="str">
        <f aca="false">IF($B2028="","",COUNTIF($F2028:$AJ2028,"HCL"))</f>
        <v/>
      </c>
      <c r="AU2028" s="34" t="str">
        <f aca="false">IF($B2028="","",COUNTIF($F2028:$AJ2028,"WO"))</f>
        <v/>
      </c>
      <c r="AV2028" s="34" t="str">
        <f aca="false">IF($B2028="","",COUNTIF($F2028:$AJ2028,"PH"))</f>
        <v/>
      </c>
      <c r="AW2028" s="34" t="str">
        <f aca="false">IF($B2028="","",COUNTIF($F2028:$AJ2028,"TR"))</f>
        <v/>
      </c>
      <c r="AX2028" s="35" t="str">
        <f aca="false">IF($B2028="","",AO2028+AS2028/2)</f>
        <v/>
      </c>
      <c r="AY2028" s="35" t="str">
        <f aca="false">IF($B2028="","",AQ2028)</f>
        <v/>
      </c>
      <c r="AZ2028" s="35" t="str">
        <f aca="false">IF($B2028="","",AP2028+AT2028/2)</f>
        <v/>
      </c>
      <c r="BA2028" s="35" t="str">
        <f aca="false">IF($B2028="","",AK2028+AN2028+AM2028/2+AO2028+AP2028+AQ2028+AR2028+AS2028+AT2028+AU2028+AV2028+AW2028)</f>
        <v/>
      </c>
      <c r="BB2028" s="35" t="str">
        <f aca="false">IF($B2028="","",MAX(0,AN2028-Settings!$C$16)*Settings!$C$17)</f>
        <v/>
      </c>
      <c r="BC2028" s="35" t="str">
        <f aca="false">IF($B2028="","",BA2028-BB2028)</f>
        <v/>
      </c>
      <c r="BD2028" s="35" t="str">
        <f aca="false">IF(OR($B2028="",$A2028=""),"",DAY(EOMONTH($A2028,0))-COUNTA($F2028:$AJ2028))</f>
        <v/>
      </c>
    </row>
    <row r="2029" customFormat="false" ht="15" hidden="false" customHeight="false" outlineLevel="0" collapsed="false">
      <c r="A2029" s="32"/>
      <c r="B2029" s="29"/>
      <c r="C2029" s="10" t="str">
        <f aca="false">IF($B2029="","",IFERROR(INDEX(M_name,MATCH($B2029,M_emp,0)),"Code not found"))</f>
        <v/>
      </c>
      <c r="D2029" s="10" t="str">
        <f aca="false">IF($B2029="","",IFERROR(INDEX(M_dept,MATCH($B2029,M_emp,0)),""))</f>
        <v/>
      </c>
      <c r="E2029" s="10" t="str">
        <f aca="false">IF($B2029="","",IFERROR(INDEX(M_loc,MATCH($B2029,M_emp,0)),""))</f>
        <v/>
      </c>
      <c r="F2029" s="33"/>
      <c r="G2029" s="33"/>
      <c r="H2029" s="33"/>
      <c r="I2029" s="33"/>
      <c r="J2029" s="33"/>
      <c r="K2029" s="33"/>
      <c r="L2029" s="33"/>
      <c r="M2029" s="33"/>
      <c r="N2029" s="33"/>
      <c r="O2029" s="33"/>
      <c r="P2029" s="33"/>
      <c r="Q2029" s="33"/>
      <c r="R2029" s="33"/>
      <c r="S2029" s="33"/>
      <c r="T2029" s="33"/>
      <c r="U2029" s="33"/>
      <c r="V2029" s="33"/>
      <c r="W2029" s="33"/>
      <c r="X2029" s="33"/>
      <c r="Y2029" s="33"/>
      <c r="Z2029" s="33"/>
      <c r="AA2029" s="33"/>
      <c r="AB2029" s="33"/>
      <c r="AC2029" s="33"/>
      <c r="AD2029" s="33"/>
      <c r="AE2029" s="33"/>
      <c r="AF2029" s="33"/>
      <c r="AG2029" s="33"/>
      <c r="AH2029" s="33"/>
      <c r="AI2029" s="33"/>
      <c r="AJ2029" s="33"/>
      <c r="AK2029" s="34" t="str">
        <f aca="false">IF($B2029="","",COUNTIF($F2029:$AJ2029,"P"))</f>
        <v/>
      </c>
      <c r="AL2029" s="34" t="str">
        <f aca="false">IF($B2029="","",COUNTIF($F2029:$AJ2029,"A"))</f>
        <v/>
      </c>
      <c r="AM2029" s="34" t="str">
        <f aca="false">IF($B2029="","",COUNTIF($F2029:$AJ2029,"HA"))</f>
        <v/>
      </c>
      <c r="AN2029" s="34" t="str">
        <f aca="false">IF($B2029="","",COUNTIF($F2029:$AJ2029,"L"))</f>
        <v/>
      </c>
      <c r="AO2029" s="34" t="str">
        <f aca="false">IF($B2029="","",COUNTIF($F2029:$AJ2029,"PL"))</f>
        <v/>
      </c>
      <c r="AP2029" s="34" t="str">
        <f aca="false">IF($B2029="","",COUNTIF($F2029:$AJ2029,"CL"))</f>
        <v/>
      </c>
      <c r="AQ2029" s="34" t="str">
        <f aca="false">IF($B2029="","",COUNTIF($F2029:$AJ2029,"SL"))</f>
        <v/>
      </c>
      <c r="AR2029" s="34" t="str">
        <f aca="false">IF($B2029="","",COUNTIF($F2029:$AJ2029,"CO"))</f>
        <v/>
      </c>
      <c r="AS2029" s="34" t="str">
        <f aca="false">IF($B2029="","",COUNTIF($F2029:$AJ2029,"HPL"))</f>
        <v/>
      </c>
      <c r="AT2029" s="34" t="str">
        <f aca="false">IF($B2029="","",COUNTIF($F2029:$AJ2029,"HCL"))</f>
        <v/>
      </c>
      <c r="AU2029" s="34" t="str">
        <f aca="false">IF($B2029="","",COUNTIF($F2029:$AJ2029,"WO"))</f>
        <v/>
      </c>
      <c r="AV2029" s="34" t="str">
        <f aca="false">IF($B2029="","",COUNTIF($F2029:$AJ2029,"PH"))</f>
        <v/>
      </c>
      <c r="AW2029" s="34" t="str">
        <f aca="false">IF($B2029="","",COUNTIF($F2029:$AJ2029,"TR"))</f>
        <v/>
      </c>
      <c r="AX2029" s="35" t="str">
        <f aca="false">IF($B2029="","",AO2029+AS2029/2)</f>
        <v/>
      </c>
      <c r="AY2029" s="35" t="str">
        <f aca="false">IF($B2029="","",AQ2029)</f>
        <v/>
      </c>
      <c r="AZ2029" s="35" t="str">
        <f aca="false">IF($B2029="","",AP2029+AT2029/2)</f>
        <v/>
      </c>
      <c r="BA2029" s="35" t="str">
        <f aca="false">IF($B2029="","",AK2029+AN2029+AM2029/2+AO2029+AP2029+AQ2029+AR2029+AS2029+AT2029+AU2029+AV2029+AW2029)</f>
        <v/>
      </c>
      <c r="BB2029" s="35" t="str">
        <f aca="false">IF($B2029="","",MAX(0,AN2029-Settings!$C$16)*Settings!$C$17)</f>
        <v/>
      </c>
      <c r="BC2029" s="35" t="str">
        <f aca="false">IF($B2029="","",BA2029-BB2029)</f>
        <v/>
      </c>
      <c r="BD2029" s="35" t="str">
        <f aca="false">IF(OR($B2029="",$A2029=""),"",DAY(EOMONTH($A2029,0))-COUNTA($F2029:$AJ2029))</f>
        <v/>
      </c>
    </row>
    <row r="2030" customFormat="false" ht="15" hidden="false" customHeight="false" outlineLevel="0" collapsed="false">
      <c r="A2030" s="32"/>
      <c r="B2030" s="29"/>
      <c r="C2030" s="10" t="str">
        <f aca="false">IF($B2030="","",IFERROR(INDEX(M_name,MATCH($B2030,M_emp,0)),"Code not found"))</f>
        <v/>
      </c>
      <c r="D2030" s="10" t="str">
        <f aca="false">IF($B2030="","",IFERROR(INDEX(M_dept,MATCH($B2030,M_emp,0)),""))</f>
        <v/>
      </c>
      <c r="E2030" s="10" t="str">
        <f aca="false">IF($B2030="","",IFERROR(INDEX(M_loc,MATCH($B2030,M_emp,0)),""))</f>
        <v/>
      </c>
      <c r="F2030" s="33"/>
      <c r="G2030" s="33"/>
      <c r="H2030" s="33"/>
      <c r="I2030" s="33"/>
      <c r="J2030" s="33"/>
      <c r="K2030" s="33"/>
      <c r="L2030" s="33"/>
      <c r="M2030" s="33"/>
      <c r="N2030" s="33"/>
      <c r="O2030" s="33"/>
      <c r="P2030" s="33"/>
      <c r="Q2030" s="33"/>
      <c r="R2030" s="33"/>
      <c r="S2030" s="33"/>
      <c r="T2030" s="33"/>
      <c r="U2030" s="33"/>
      <c r="V2030" s="33"/>
      <c r="W2030" s="33"/>
      <c r="X2030" s="33"/>
      <c r="Y2030" s="33"/>
      <c r="Z2030" s="33"/>
      <c r="AA2030" s="33"/>
      <c r="AB2030" s="33"/>
      <c r="AC2030" s="33"/>
      <c r="AD2030" s="33"/>
      <c r="AE2030" s="33"/>
      <c r="AF2030" s="33"/>
      <c r="AG2030" s="33"/>
      <c r="AH2030" s="33"/>
      <c r="AI2030" s="33"/>
      <c r="AJ2030" s="33"/>
      <c r="AK2030" s="34" t="str">
        <f aca="false">IF($B2030="","",COUNTIF($F2030:$AJ2030,"P"))</f>
        <v/>
      </c>
      <c r="AL2030" s="34" t="str">
        <f aca="false">IF($B2030="","",COUNTIF($F2030:$AJ2030,"A"))</f>
        <v/>
      </c>
      <c r="AM2030" s="34" t="str">
        <f aca="false">IF($B2030="","",COUNTIF($F2030:$AJ2030,"HA"))</f>
        <v/>
      </c>
      <c r="AN2030" s="34" t="str">
        <f aca="false">IF($B2030="","",COUNTIF($F2030:$AJ2030,"L"))</f>
        <v/>
      </c>
      <c r="AO2030" s="34" t="str">
        <f aca="false">IF($B2030="","",COUNTIF($F2030:$AJ2030,"PL"))</f>
        <v/>
      </c>
      <c r="AP2030" s="34" t="str">
        <f aca="false">IF($B2030="","",COUNTIF($F2030:$AJ2030,"CL"))</f>
        <v/>
      </c>
      <c r="AQ2030" s="34" t="str">
        <f aca="false">IF($B2030="","",COUNTIF($F2030:$AJ2030,"SL"))</f>
        <v/>
      </c>
      <c r="AR2030" s="34" t="str">
        <f aca="false">IF($B2030="","",COUNTIF($F2030:$AJ2030,"CO"))</f>
        <v/>
      </c>
      <c r="AS2030" s="34" t="str">
        <f aca="false">IF($B2030="","",COUNTIF($F2030:$AJ2030,"HPL"))</f>
        <v/>
      </c>
      <c r="AT2030" s="34" t="str">
        <f aca="false">IF($B2030="","",COUNTIF($F2030:$AJ2030,"HCL"))</f>
        <v/>
      </c>
      <c r="AU2030" s="34" t="str">
        <f aca="false">IF($B2030="","",COUNTIF($F2030:$AJ2030,"WO"))</f>
        <v/>
      </c>
      <c r="AV2030" s="34" t="str">
        <f aca="false">IF($B2030="","",COUNTIF($F2030:$AJ2030,"PH"))</f>
        <v/>
      </c>
      <c r="AW2030" s="34" t="str">
        <f aca="false">IF($B2030="","",COUNTIF($F2030:$AJ2030,"TR"))</f>
        <v/>
      </c>
      <c r="AX2030" s="35" t="str">
        <f aca="false">IF($B2030="","",AO2030+AS2030/2)</f>
        <v/>
      </c>
      <c r="AY2030" s="35" t="str">
        <f aca="false">IF($B2030="","",AQ2030)</f>
        <v/>
      </c>
      <c r="AZ2030" s="35" t="str">
        <f aca="false">IF($B2030="","",AP2030+AT2030/2)</f>
        <v/>
      </c>
      <c r="BA2030" s="35" t="str">
        <f aca="false">IF($B2030="","",AK2030+AN2030+AM2030/2+AO2030+AP2030+AQ2030+AR2030+AS2030+AT2030+AU2030+AV2030+AW2030)</f>
        <v/>
      </c>
      <c r="BB2030" s="35" t="str">
        <f aca="false">IF($B2030="","",MAX(0,AN2030-Settings!$C$16)*Settings!$C$17)</f>
        <v/>
      </c>
      <c r="BC2030" s="35" t="str">
        <f aca="false">IF($B2030="","",BA2030-BB2030)</f>
        <v/>
      </c>
      <c r="BD2030" s="35" t="str">
        <f aca="false">IF(OR($B2030="",$A2030=""),"",DAY(EOMONTH($A2030,0))-COUNTA($F2030:$AJ2030))</f>
        <v/>
      </c>
    </row>
    <row r="2031" customFormat="false" ht="15" hidden="false" customHeight="false" outlineLevel="0" collapsed="false">
      <c r="A2031" s="32"/>
      <c r="B2031" s="29"/>
      <c r="C2031" s="10" t="str">
        <f aca="false">IF($B2031="","",IFERROR(INDEX(M_name,MATCH($B2031,M_emp,0)),"Code not found"))</f>
        <v/>
      </c>
      <c r="D2031" s="10" t="str">
        <f aca="false">IF($B2031="","",IFERROR(INDEX(M_dept,MATCH($B2031,M_emp,0)),""))</f>
        <v/>
      </c>
      <c r="E2031" s="10" t="str">
        <f aca="false">IF($B2031="","",IFERROR(INDEX(M_loc,MATCH($B2031,M_emp,0)),""))</f>
        <v/>
      </c>
      <c r="F2031" s="33"/>
      <c r="G2031" s="33"/>
      <c r="H2031" s="33"/>
      <c r="I2031" s="33"/>
      <c r="J2031" s="33"/>
      <c r="K2031" s="33"/>
      <c r="L2031" s="33"/>
      <c r="M2031" s="33"/>
      <c r="N2031" s="33"/>
      <c r="O2031" s="33"/>
      <c r="P2031" s="33"/>
      <c r="Q2031" s="33"/>
      <c r="R2031" s="33"/>
      <c r="S2031" s="33"/>
      <c r="T2031" s="33"/>
      <c r="U2031" s="33"/>
      <c r="V2031" s="33"/>
      <c r="W2031" s="33"/>
      <c r="X2031" s="33"/>
      <c r="Y2031" s="33"/>
      <c r="Z2031" s="33"/>
      <c r="AA2031" s="33"/>
      <c r="AB2031" s="33"/>
      <c r="AC2031" s="33"/>
      <c r="AD2031" s="33"/>
      <c r="AE2031" s="33"/>
      <c r="AF2031" s="33"/>
      <c r="AG2031" s="33"/>
      <c r="AH2031" s="33"/>
      <c r="AI2031" s="33"/>
      <c r="AJ2031" s="33"/>
      <c r="AK2031" s="34" t="str">
        <f aca="false">IF($B2031="","",COUNTIF($F2031:$AJ2031,"P"))</f>
        <v/>
      </c>
      <c r="AL2031" s="34" t="str">
        <f aca="false">IF($B2031="","",COUNTIF($F2031:$AJ2031,"A"))</f>
        <v/>
      </c>
      <c r="AM2031" s="34" t="str">
        <f aca="false">IF($B2031="","",COUNTIF($F2031:$AJ2031,"HA"))</f>
        <v/>
      </c>
      <c r="AN2031" s="34" t="str">
        <f aca="false">IF($B2031="","",COUNTIF($F2031:$AJ2031,"L"))</f>
        <v/>
      </c>
      <c r="AO2031" s="34" t="str">
        <f aca="false">IF($B2031="","",COUNTIF($F2031:$AJ2031,"PL"))</f>
        <v/>
      </c>
      <c r="AP2031" s="34" t="str">
        <f aca="false">IF($B2031="","",COUNTIF($F2031:$AJ2031,"CL"))</f>
        <v/>
      </c>
      <c r="AQ2031" s="34" t="str">
        <f aca="false">IF($B2031="","",COUNTIF($F2031:$AJ2031,"SL"))</f>
        <v/>
      </c>
      <c r="AR2031" s="34" t="str">
        <f aca="false">IF($B2031="","",COUNTIF($F2031:$AJ2031,"CO"))</f>
        <v/>
      </c>
      <c r="AS2031" s="34" t="str">
        <f aca="false">IF($B2031="","",COUNTIF($F2031:$AJ2031,"HPL"))</f>
        <v/>
      </c>
      <c r="AT2031" s="34" t="str">
        <f aca="false">IF($B2031="","",COUNTIF($F2031:$AJ2031,"HCL"))</f>
        <v/>
      </c>
      <c r="AU2031" s="34" t="str">
        <f aca="false">IF($B2031="","",COUNTIF($F2031:$AJ2031,"WO"))</f>
        <v/>
      </c>
      <c r="AV2031" s="34" t="str">
        <f aca="false">IF($B2031="","",COUNTIF($F2031:$AJ2031,"PH"))</f>
        <v/>
      </c>
      <c r="AW2031" s="34" t="str">
        <f aca="false">IF($B2031="","",COUNTIF($F2031:$AJ2031,"TR"))</f>
        <v/>
      </c>
      <c r="AX2031" s="35" t="str">
        <f aca="false">IF($B2031="","",AO2031+AS2031/2)</f>
        <v/>
      </c>
      <c r="AY2031" s="35" t="str">
        <f aca="false">IF($B2031="","",AQ2031)</f>
        <v/>
      </c>
      <c r="AZ2031" s="35" t="str">
        <f aca="false">IF($B2031="","",AP2031+AT2031/2)</f>
        <v/>
      </c>
      <c r="BA2031" s="35" t="str">
        <f aca="false">IF($B2031="","",AK2031+AN2031+AM2031/2+AO2031+AP2031+AQ2031+AR2031+AS2031+AT2031+AU2031+AV2031+AW2031)</f>
        <v/>
      </c>
      <c r="BB2031" s="35" t="str">
        <f aca="false">IF($B2031="","",MAX(0,AN2031-Settings!$C$16)*Settings!$C$17)</f>
        <v/>
      </c>
      <c r="BC2031" s="35" t="str">
        <f aca="false">IF($B2031="","",BA2031-BB2031)</f>
        <v/>
      </c>
      <c r="BD2031" s="35" t="str">
        <f aca="false">IF(OR($B2031="",$A2031=""),"",DAY(EOMONTH($A2031,0))-COUNTA($F2031:$AJ2031))</f>
        <v/>
      </c>
    </row>
    <row r="2032" customFormat="false" ht="15" hidden="false" customHeight="false" outlineLevel="0" collapsed="false">
      <c r="A2032" s="32"/>
      <c r="B2032" s="29"/>
      <c r="C2032" s="10" t="str">
        <f aca="false">IF($B2032="","",IFERROR(INDEX(M_name,MATCH($B2032,M_emp,0)),"Code not found"))</f>
        <v/>
      </c>
      <c r="D2032" s="10" t="str">
        <f aca="false">IF($B2032="","",IFERROR(INDEX(M_dept,MATCH($B2032,M_emp,0)),""))</f>
        <v/>
      </c>
      <c r="E2032" s="10" t="str">
        <f aca="false">IF($B2032="","",IFERROR(INDEX(M_loc,MATCH($B2032,M_emp,0)),""))</f>
        <v/>
      </c>
      <c r="F2032" s="33"/>
      <c r="G2032" s="33"/>
      <c r="H2032" s="33"/>
      <c r="I2032" s="33"/>
      <c r="J2032" s="33"/>
      <c r="K2032" s="33"/>
      <c r="L2032" s="33"/>
      <c r="M2032" s="33"/>
      <c r="N2032" s="33"/>
      <c r="O2032" s="33"/>
      <c r="P2032" s="33"/>
      <c r="Q2032" s="33"/>
      <c r="R2032" s="33"/>
      <c r="S2032" s="33"/>
      <c r="T2032" s="33"/>
      <c r="U2032" s="33"/>
      <c r="V2032" s="33"/>
      <c r="W2032" s="33"/>
      <c r="X2032" s="33"/>
      <c r="Y2032" s="33"/>
      <c r="Z2032" s="33"/>
      <c r="AA2032" s="33"/>
      <c r="AB2032" s="33"/>
      <c r="AC2032" s="33"/>
      <c r="AD2032" s="33"/>
      <c r="AE2032" s="33"/>
      <c r="AF2032" s="33"/>
      <c r="AG2032" s="33"/>
      <c r="AH2032" s="33"/>
      <c r="AI2032" s="33"/>
      <c r="AJ2032" s="33"/>
      <c r="AK2032" s="34" t="str">
        <f aca="false">IF($B2032="","",COUNTIF($F2032:$AJ2032,"P"))</f>
        <v/>
      </c>
      <c r="AL2032" s="34" t="str">
        <f aca="false">IF($B2032="","",COUNTIF($F2032:$AJ2032,"A"))</f>
        <v/>
      </c>
      <c r="AM2032" s="34" t="str">
        <f aca="false">IF($B2032="","",COUNTIF($F2032:$AJ2032,"HA"))</f>
        <v/>
      </c>
      <c r="AN2032" s="34" t="str">
        <f aca="false">IF($B2032="","",COUNTIF($F2032:$AJ2032,"L"))</f>
        <v/>
      </c>
      <c r="AO2032" s="34" t="str">
        <f aca="false">IF($B2032="","",COUNTIF($F2032:$AJ2032,"PL"))</f>
        <v/>
      </c>
      <c r="AP2032" s="34" t="str">
        <f aca="false">IF($B2032="","",COUNTIF($F2032:$AJ2032,"CL"))</f>
        <v/>
      </c>
      <c r="AQ2032" s="34" t="str">
        <f aca="false">IF($B2032="","",COUNTIF($F2032:$AJ2032,"SL"))</f>
        <v/>
      </c>
      <c r="AR2032" s="34" t="str">
        <f aca="false">IF($B2032="","",COUNTIF($F2032:$AJ2032,"CO"))</f>
        <v/>
      </c>
      <c r="AS2032" s="34" t="str">
        <f aca="false">IF($B2032="","",COUNTIF($F2032:$AJ2032,"HPL"))</f>
        <v/>
      </c>
      <c r="AT2032" s="34" t="str">
        <f aca="false">IF($B2032="","",COUNTIF($F2032:$AJ2032,"HCL"))</f>
        <v/>
      </c>
      <c r="AU2032" s="34" t="str">
        <f aca="false">IF($B2032="","",COUNTIF($F2032:$AJ2032,"WO"))</f>
        <v/>
      </c>
      <c r="AV2032" s="34" t="str">
        <f aca="false">IF($B2032="","",COUNTIF($F2032:$AJ2032,"PH"))</f>
        <v/>
      </c>
      <c r="AW2032" s="34" t="str">
        <f aca="false">IF($B2032="","",COUNTIF($F2032:$AJ2032,"TR"))</f>
        <v/>
      </c>
      <c r="AX2032" s="35" t="str">
        <f aca="false">IF($B2032="","",AO2032+AS2032/2)</f>
        <v/>
      </c>
      <c r="AY2032" s="35" t="str">
        <f aca="false">IF($B2032="","",AQ2032)</f>
        <v/>
      </c>
      <c r="AZ2032" s="35" t="str">
        <f aca="false">IF($B2032="","",AP2032+AT2032/2)</f>
        <v/>
      </c>
      <c r="BA2032" s="35" t="str">
        <f aca="false">IF($B2032="","",AK2032+AN2032+AM2032/2+AO2032+AP2032+AQ2032+AR2032+AS2032+AT2032+AU2032+AV2032+AW2032)</f>
        <v/>
      </c>
      <c r="BB2032" s="35" t="str">
        <f aca="false">IF($B2032="","",MAX(0,AN2032-Settings!$C$16)*Settings!$C$17)</f>
        <v/>
      </c>
      <c r="BC2032" s="35" t="str">
        <f aca="false">IF($B2032="","",BA2032-BB2032)</f>
        <v/>
      </c>
      <c r="BD2032" s="35" t="str">
        <f aca="false">IF(OR($B2032="",$A2032=""),"",DAY(EOMONTH($A2032,0))-COUNTA($F2032:$AJ2032))</f>
        <v/>
      </c>
    </row>
    <row r="2033" customFormat="false" ht="15" hidden="false" customHeight="false" outlineLevel="0" collapsed="false">
      <c r="A2033" s="32"/>
      <c r="B2033" s="29"/>
      <c r="C2033" s="10" t="str">
        <f aca="false">IF($B2033="","",IFERROR(INDEX(M_name,MATCH($B2033,M_emp,0)),"Code not found"))</f>
        <v/>
      </c>
      <c r="D2033" s="10" t="str">
        <f aca="false">IF($B2033="","",IFERROR(INDEX(M_dept,MATCH($B2033,M_emp,0)),""))</f>
        <v/>
      </c>
      <c r="E2033" s="10" t="str">
        <f aca="false">IF($B2033="","",IFERROR(INDEX(M_loc,MATCH($B2033,M_emp,0)),""))</f>
        <v/>
      </c>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c r="AB2033" s="33"/>
      <c r="AC2033" s="33"/>
      <c r="AD2033" s="33"/>
      <c r="AE2033" s="33"/>
      <c r="AF2033" s="33"/>
      <c r="AG2033" s="33"/>
      <c r="AH2033" s="33"/>
      <c r="AI2033" s="33"/>
      <c r="AJ2033" s="33"/>
      <c r="AK2033" s="34" t="str">
        <f aca="false">IF($B2033="","",COUNTIF($F2033:$AJ2033,"P"))</f>
        <v/>
      </c>
      <c r="AL2033" s="34" t="str">
        <f aca="false">IF($B2033="","",COUNTIF($F2033:$AJ2033,"A"))</f>
        <v/>
      </c>
      <c r="AM2033" s="34" t="str">
        <f aca="false">IF($B2033="","",COUNTIF($F2033:$AJ2033,"HA"))</f>
        <v/>
      </c>
      <c r="AN2033" s="34" t="str">
        <f aca="false">IF($B2033="","",COUNTIF($F2033:$AJ2033,"L"))</f>
        <v/>
      </c>
      <c r="AO2033" s="34" t="str">
        <f aca="false">IF($B2033="","",COUNTIF($F2033:$AJ2033,"PL"))</f>
        <v/>
      </c>
      <c r="AP2033" s="34" t="str">
        <f aca="false">IF($B2033="","",COUNTIF($F2033:$AJ2033,"CL"))</f>
        <v/>
      </c>
      <c r="AQ2033" s="34" t="str">
        <f aca="false">IF($B2033="","",COUNTIF($F2033:$AJ2033,"SL"))</f>
        <v/>
      </c>
      <c r="AR2033" s="34" t="str">
        <f aca="false">IF($B2033="","",COUNTIF($F2033:$AJ2033,"CO"))</f>
        <v/>
      </c>
      <c r="AS2033" s="34" t="str">
        <f aca="false">IF($B2033="","",COUNTIF($F2033:$AJ2033,"HPL"))</f>
        <v/>
      </c>
      <c r="AT2033" s="34" t="str">
        <f aca="false">IF($B2033="","",COUNTIF($F2033:$AJ2033,"HCL"))</f>
        <v/>
      </c>
      <c r="AU2033" s="34" t="str">
        <f aca="false">IF($B2033="","",COUNTIF($F2033:$AJ2033,"WO"))</f>
        <v/>
      </c>
      <c r="AV2033" s="34" t="str">
        <f aca="false">IF($B2033="","",COUNTIF($F2033:$AJ2033,"PH"))</f>
        <v/>
      </c>
      <c r="AW2033" s="34" t="str">
        <f aca="false">IF($B2033="","",COUNTIF($F2033:$AJ2033,"TR"))</f>
        <v/>
      </c>
      <c r="AX2033" s="35" t="str">
        <f aca="false">IF($B2033="","",AO2033+AS2033/2)</f>
        <v/>
      </c>
      <c r="AY2033" s="35" t="str">
        <f aca="false">IF($B2033="","",AQ2033)</f>
        <v/>
      </c>
      <c r="AZ2033" s="35" t="str">
        <f aca="false">IF($B2033="","",AP2033+AT2033/2)</f>
        <v/>
      </c>
      <c r="BA2033" s="35" t="str">
        <f aca="false">IF($B2033="","",AK2033+AN2033+AM2033/2+AO2033+AP2033+AQ2033+AR2033+AS2033+AT2033+AU2033+AV2033+AW2033)</f>
        <v/>
      </c>
      <c r="BB2033" s="35" t="str">
        <f aca="false">IF($B2033="","",MAX(0,AN2033-Settings!$C$16)*Settings!$C$17)</f>
        <v/>
      </c>
      <c r="BC2033" s="35" t="str">
        <f aca="false">IF($B2033="","",BA2033-BB2033)</f>
        <v/>
      </c>
      <c r="BD2033" s="35" t="str">
        <f aca="false">IF(OR($B2033="",$A2033=""),"",DAY(EOMONTH($A2033,0))-COUNTA($F2033:$AJ2033))</f>
        <v/>
      </c>
    </row>
    <row r="2034" customFormat="false" ht="15" hidden="false" customHeight="false" outlineLevel="0" collapsed="false">
      <c r="A2034" s="32"/>
      <c r="B2034" s="29"/>
      <c r="C2034" s="10" t="str">
        <f aca="false">IF($B2034="","",IFERROR(INDEX(M_name,MATCH($B2034,M_emp,0)),"Code not found"))</f>
        <v/>
      </c>
      <c r="D2034" s="10" t="str">
        <f aca="false">IF($B2034="","",IFERROR(INDEX(M_dept,MATCH($B2034,M_emp,0)),""))</f>
        <v/>
      </c>
      <c r="E2034" s="10" t="str">
        <f aca="false">IF($B2034="","",IFERROR(INDEX(M_loc,MATCH($B2034,M_emp,0)),""))</f>
        <v/>
      </c>
      <c r="F2034" s="33"/>
      <c r="G2034" s="33"/>
      <c r="H2034" s="33"/>
      <c r="I2034" s="33"/>
      <c r="J2034" s="33"/>
      <c r="K2034" s="33"/>
      <c r="L2034" s="33"/>
      <c r="M2034" s="33"/>
      <c r="N2034" s="33"/>
      <c r="O2034" s="33"/>
      <c r="P2034" s="33"/>
      <c r="Q2034" s="33"/>
      <c r="R2034" s="33"/>
      <c r="S2034" s="33"/>
      <c r="T2034" s="33"/>
      <c r="U2034" s="33"/>
      <c r="V2034" s="33"/>
      <c r="W2034" s="33"/>
      <c r="X2034" s="33"/>
      <c r="Y2034" s="33"/>
      <c r="Z2034" s="33"/>
      <c r="AA2034" s="33"/>
      <c r="AB2034" s="33"/>
      <c r="AC2034" s="33"/>
      <c r="AD2034" s="33"/>
      <c r="AE2034" s="33"/>
      <c r="AF2034" s="33"/>
      <c r="AG2034" s="33"/>
      <c r="AH2034" s="33"/>
      <c r="AI2034" s="33"/>
      <c r="AJ2034" s="33"/>
      <c r="AK2034" s="34" t="str">
        <f aca="false">IF($B2034="","",COUNTIF($F2034:$AJ2034,"P"))</f>
        <v/>
      </c>
      <c r="AL2034" s="34" t="str">
        <f aca="false">IF($B2034="","",COUNTIF($F2034:$AJ2034,"A"))</f>
        <v/>
      </c>
      <c r="AM2034" s="34" t="str">
        <f aca="false">IF($B2034="","",COUNTIF($F2034:$AJ2034,"HA"))</f>
        <v/>
      </c>
      <c r="AN2034" s="34" t="str">
        <f aca="false">IF($B2034="","",COUNTIF($F2034:$AJ2034,"L"))</f>
        <v/>
      </c>
      <c r="AO2034" s="34" t="str">
        <f aca="false">IF($B2034="","",COUNTIF($F2034:$AJ2034,"PL"))</f>
        <v/>
      </c>
      <c r="AP2034" s="34" t="str">
        <f aca="false">IF($B2034="","",COUNTIF($F2034:$AJ2034,"CL"))</f>
        <v/>
      </c>
      <c r="AQ2034" s="34" t="str">
        <f aca="false">IF($B2034="","",COUNTIF($F2034:$AJ2034,"SL"))</f>
        <v/>
      </c>
      <c r="AR2034" s="34" t="str">
        <f aca="false">IF($B2034="","",COUNTIF($F2034:$AJ2034,"CO"))</f>
        <v/>
      </c>
      <c r="AS2034" s="34" t="str">
        <f aca="false">IF($B2034="","",COUNTIF($F2034:$AJ2034,"HPL"))</f>
        <v/>
      </c>
      <c r="AT2034" s="34" t="str">
        <f aca="false">IF($B2034="","",COUNTIF($F2034:$AJ2034,"HCL"))</f>
        <v/>
      </c>
      <c r="AU2034" s="34" t="str">
        <f aca="false">IF($B2034="","",COUNTIF($F2034:$AJ2034,"WO"))</f>
        <v/>
      </c>
      <c r="AV2034" s="34" t="str">
        <f aca="false">IF($B2034="","",COUNTIF($F2034:$AJ2034,"PH"))</f>
        <v/>
      </c>
      <c r="AW2034" s="34" t="str">
        <f aca="false">IF($B2034="","",COUNTIF($F2034:$AJ2034,"TR"))</f>
        <v/>
      </c>
      <c r="AX2034" s="35" t="str">
        <f aca="false">IF($B2034="","",AO2034+AS2034/2)</f>
        <v/>
      </c>
      <c r="AY2034" s="35" t="str">
        <f aca="false">IF($B2034="","",AQ2034)</f>
        <v/>
      </c>
      <c r="AZ2034" s="35" t="str">
        <f aca="false">IF($B2034="","",AP2034+AT2034/2)</f>
        <v/>
      </c>
      <c r="BA2034" s="35" t="str">
        <f aca="false">IF($B2034="","",AK2034+AN2034+AM2034/2+AO2034+AP2034+AQ2034+AR2034+AS2034+AT2034+AU2034+AV2034+AW2034)</f>
        <v/>
      </c>
      <c r="BB2034" s="35" t="str">
        <f aca="false">IF($B2034="","",MAX(0,AN2034-Settings!$C$16)*Settings!$C$17)</f>
        <v/>
      </c>
      <c r="BC2034" s="35" t="str">
        <f aca="false">IF($B2034="","",BA2034-BB2034)</f>
        <v/>
      </c>
      <c r="BD2034" s="35" t="str">
        <f aca="false">IF(OR($B2034="",$A2034=""),"",DAY(EOMONTH($A2034,0))-COUNTA($F2034:$AJ2034))</f>
        <v/>
      </c>
    </row>
    <row r="2035" customFormat="false" ht="15" hidden="false" customHeight="false" outlineLevel="0" collapsed="false">
      <c r="A2035" s="32"/>
      <c r="B2035" s="29"/>
      <c r="C2035" s="10" t="str">
        <f aca="false">IF($B2035="","",IFERROR(INDEX(M_name,MATCH($B2035,M_emp,0)),"Code not found"))</f>
        <v/>
      </c>
      <c r="D2035" s="10" t="str">
        <f aca="false">IF($B2035="","",IFERROR(INDEX(M_dept,MATCH($B2035,M_emp,0)),""))</f>
        <v/>
      </c>
      <c r="E2035" s="10" t="str">
        <f aca="false">IF($B2035="","",IFERROR(INDEX(M_loc,MATCH($B2035,M_emp,0)),""))</f>
        <v/>
      </c>
      <c r="F2035" s="33"/>
      <c r="G2035" s="33"/>
      <c r="H2035" s="33"/>
      <c r="I2035" s="33"/>
      <c r="J2035" s="33"/>
      <c r="K2035" s="33"/>
      <c r="L2035" s="33"/>
      <c r="M2035" s="33"/>
      <c r="N2035" s="33"/>
      <c r="O2035" s="33"/>
      <c r="P2035" s="33"/>
      <c r="Q2035" s="33"/>
      <c r="R2035" s="33"/>
      <c r="S2035" s="33"/>
      <c r="T2035" s="33"/>
      <c r="U2035" s="33"/>
      <c r="V2035" s="33"/>
      <c r="W2035" s="33"/>
      <c r="X2035" s="33"/>
      <c r="Y2035" s="33"/>
      <c r="Z2035" s="33"/>
      <c r="AA2035" s="33"/>
      <c r="AB2035" s="33"/>
      <c r="AC2035" s="33"/>
      <c r="AD2035" s="33"/>
      <c r="AE2035" s="33"/>
      <c r="AF2035" s="33"/>
      <c r="AG2035" s="33"/>
      <c r="AH2035" s="33"/>
      <c r="AI2035" s="33"/>
      <c r="AJ2035" s="33"/>
      <c r="AK2035" s="34" t="str">
        <f aca="false">IF($B2035="","",COUNTIF($F2035:$AJ2035,"P"))</f>
        <v/>
      </c>
      <c r="AL2035" s="34" t="str">
        <f aca="false">IF($B2035="","",COUNTIF($F2035:$AJ2035,"A"))</f>
        <v/>
      </c>
      <c r="AM2035" s="34" t="str">
        <f aca="false">IF($B2035="","",COUNTIF($F2035:$AJ2035,"HA"))</f>
        <v/>
      </c>
      <c r="AN2035" s="34" t="str">
        <f aca="false">IF($B2035="","",COUNTIF($F2035:$AJ2035,"L"))</f>
        <v/>
      </c>
      <c r="AO2035" s="34" t="str">
        <f aca="false">IF($B2035="","",COUNTIF($F2035:$AJ2035,"PL"))</f>
        <v/>
      </c>
      <c r="AP2035" s="34" t="str">
        <f aca="false">IF($B2035="","",COUNTIF($F2035:$AJ2035,"CL"))</f>
        <v/>
      </c>
      <c r="AQ2035" s="34" t="str">
        <f aca="false">IF($B2035="","",COUNTIF($F2035:$AJ2035,"SL"))</f>
        <v/>
      </c>
      <c r="AR2035" s="34" t="str">
        <f aca="false">IF($B2035="","",COUNTIF($F2035:$AJ2035,"CO"))</f>
        <v/>
      </c>
      <c r="AS2035" s="34" t="str">
        <f aca="false">IF($B2035="","",COUNTIF($F2035:$AJ2035,"HPL"))</f>
        <v/>
      </c>
      <c r="AT2035" s="34" t="str">
        <f aca="false">IF($B2035="","",COUNTIF($F2035:$AJ2035,"HCL"))</f>
        <v/>
      </c>
      <c r="AU2035" s="34" t="str">
        <f aca="false">IF($B2035="","",COUNTIF($F2035:$AJ2035,"WO"))</f>
        <v/>
      </c>
      <c r="AV2035" s="34" t="str">
        <f aca="false">IF($B2035="","",COUNTIF($F2035:$AJ2035,"PH"))</f>
        <v/>
      </c>
      <c r="AW2035" s="34" t="str">
        <f aca="false">IF($B2035="","",COUNTIF($F2035:$AJ2035,"TR"))</f>
        <v/>
      </c>
      <c r="AX2035" s="35" t="str">
        <f aca="false">IF($B2035="","",AO2035+AS2035/2)</f>
        <v/>
      </c>
      <c r="AY2035" s="35" t="str">
        <f aca="false">IF($B2035="","",AQ2035)</f>
        <v/>
      </c>
      <c r="AZ2035" s="35" t="str">
        <f aca="false">IF($B2035="","",AP2035+AT2035/2)</f>
        <v/>
      </c>
      <c r="BA2035" s="35" t="str">
        <f aca="false">IF($B2035="","",AK2035+AN2035+AM2035/2+AO2035+AP2035+AQ2035+AR2035+AS2035+AT2035+AU2035+AV2035+AW2035)</f>
        <v/>
      </c>
      <c r="BB2035" s="35" t="str">
        <f aca="false">IF($B2035="","",MAX(0,AN2035-Settings!$C$16)*Settings!$C$17)</f>
        <v/>
      </c>
      <c r="BC2035" s="35" t="str">
        <f aca="false">IF($B2035="","",BA2035-BB2035)</f>
        <v/>
      </c>
      <c r="BD2035" s="35" t="str">
        <f aca="false">IF(OR($B2035="",$A2035=""),"",DAY(EOMONTH($A2035,0))-COUNTA($F2035:$AJ2035))</f>
        <v/>
      </c>
    </row>
    <row r="2036" customFormat="false" ht="15" hidden="false" customHeight="false" outlineLevel="0" collapsed="false">
      <c r="A2036" s="32"/>
      <c r="B2036" s="29"/>
      <c r="C2036" s="10" t="str">
        <f aca="false">IF($B2036="","",IFERROR(INDEX(M_name,MATCH($B2036,M_emp,0)),"Code not found"))</f>
        <v/>
      </c>
      <c r="D2036" s="10" t="str">
        <f aca="false">IF($B2036="","",IFERROR(INDEX(M_dept,MATCH($B2036,M_emp,0)),""))</f>
        <v/>
      </c>
      <c r="E2036" s="10" t="str">
        <f aca="false">IF($B2036="","",IFERROR(INDEX(M_loc,MATCH($B2036,M_emp,0)),""))</f>
        <v/>
      </c>
      <c r="F2036" s="33"/>
      <c r="G2036" s="33"/>
      <c r="H2036" s="33"/>
      <c r="I2036" s="33"/>
      <c r="J2036" s="33"/>
      <c r="K2036" s="33"/>
      <c r="L2036" s="33"/>
      <c r="M2036" s="33"/>
      <c r="N2036" s="33"/>
      <c r="O2036" s="33"/>
      <c r="P2036" s="33"/>
      <c r="Q2036" s="33"/>
      <c r="R2036" s="33"/>
      <c r="S2036" s="33"/>
      <c r="T2036" s="33"/>
      <c r="U2036" s="33"/>
      <c r="V2036" s="33"/>
      <c r="W2036" s="33"/>
      <c r="X2036" s="33"/>
      <c r="Y2036" s="33"/>
      <c r="Z2036" s="33"/>
      <c r="AA2036" s="33"/>
      <c r="AB2036" s="33"/>
      <c r="AC2036" s="33"/>
      <c r="AD2036" s="33"/>
      <c r="AE2036" s="33"/>
      <c r="AF2036" s="33"/>
      <c r="AG2036" s="33"/>
      <c r="AH2036" s="33"/>
      <c r="AI2036" s="33"/>
      <c r="AJ2036" s="33"/>
      <c r="AK2036" s="34" t="str">
        <f aca="false">IF($B2036="","",COUNTIF($F2036:$AJ2036,"P"))</f>
        <v/>
      </c>
      <c r="AL2036" s="34" t="str">
        <f aca="false">IF($B2036="","",COUNTIF($F2036:$AJ2036,"A"))</f>
        <v/>
      </c>
      <c r="AM2036" s="34" t="str">
        <f aca="false">IF($B2036="","",COUNTIF($F2036:$AJ2036,"HA"))</f>
        <v/>
      </c>
      <c r="AN2036" s="34" t="str">
        <f aca="false">IF($B2036="","",COUNTIF($F2036:$AJ2036,"L"))</f>
        <v/>
      </c>
      <c r="AO2036" s="34" t="str">
        <f aca="false">IF($B2036="","",COUNTIF($F2036:$AJ2036,"PL"))</f>
        <v/>
      </c>
      <c r="AP2036" s="34" t="str">
        <f aca="false">IF($B2036="","",COUNTIF($F2036:$AJ2036,"CL"))</f>
        <v/>
      </c>
      <c r="AQ2036" s="34" t="str">
        <f aca="false">IF($B2036="","",COUNTIF($F2036:$AJ2036,"SL"))</f>
        <v/>
      </c>
      <c r="AR2036" s="34" t="str">
        <f aca="false">IF($B2036="","",COUNTIF($F2036:$AJ2036,"CO"))</f>
        <v/>
      </c>
      <c r="AS2036" s="34" t="str">
        <f aca="false">IF($B2036="","",COUNTIF($F2036:$AJ2036,"HPL"))</f>
        <v/>
      </c>
      <c r="AT2036" s="34" t="str">
        <f aca="false">IF($B2036="","",COUNTIF($F2036:$AJ2036,"HCL"))</f>
        <v/>
      </c>
      <c r="AU2036" s="34" t="str">
        <f aca="false">IF($B2036="","",COUNTIF($F2036:$AJ2036,"WO"))</f>
        <v/>
      </c>
      <c r="AV2036" s="34" t="str">
        <f aca="false">IF($B2036="","",COUNTIF($F2036:$AJ2036,"PH"))</f>
        <v/>
      </c>
      <c r="AW2036" s="34" t="str">
        <f aca="false">IF($B2036="","",COUNTIF($F2036:$AJ2036,"TR"))</f>
        <v/>
      </c>
      <c r="AX2036" s="35" t="str">
        <f aca="false">IF($B2036="","",AO2036+AS2036/2)</f>
        <v/>
      </c>
      <c r="AY2036" s="35" t="str">
        <f aca="false">IF($B2036="","",AQ2036)</f>
        <v/>
      </c>
      <c r="AZ2036" s="35" t="str">
        <f aca="false">IF($B2036="","",AP2036+AT2036/2)</f>
        <v/>
      </c>
      <c r="BA2036" s="35" t="str">
        <f aca="false">IF($B2036="","",AK2036+AN2036+AM2036/2+AO2036+AP2036+AQ2036+AR2036+AS2036+AT2036+AU2036+AV2036+AW2036)</f>
        <v/>
      </c>
      <c r="BB2036" s="35" t="str">
        <f aca="false">IF($B2036="","",MAX(0,AN2036-Settings!$C$16)*Settings!$C$17)</f>
        <v/>
      </c>
      <c r="BC2036" s="35" t="str">
        <f aca="false">IF($B2036="","",BA2036-BB2036)</f>
        <v/>
      </c>
      <c r="BD2036" s="35" t="str">
        <f aca="false">IF(OR($B2036="",$A2036=""),"",DAY(EOMONTH($A2036,0))-COUNTA($F2036:$AJ2036))</f>
        <v/>
      </c>
    </row>
    <row r="2037" customFormat="false" ht="15" hidden="false" customHeight="false" outlineLevel="0" collapsed="false">
      <c r="A2037" s="32"/>
      <c r="B2037" s="29"/>
      <c r="C2037" s="10" t="str">
        <f aca="false">IF($B2037="","",IFERROR(INDEX(M_name,MATCH($B2037,M_emp,0)),"Code not found"))</f>
        <v/>
      </c>
      <c r="D2037" s="10" t="str">
        <f aca="false">IF($B2037="","",IFERROR(INDEX(M_dept,MATCH($B2037,M_emp,0)),""))</f>
        <v/>
      </c>
      <c r="E2037" s="10" t="str">
        <f aca="false">IF($B2037="","",IFERROR(INDEX(M_loc,MATCH($B2037,M_emp,0)),""))</f>
        <v/>
      </c>
      <c r="F2037" s="33"/>
      <c r="G2037" s="33"/>
      <c r="H2037" s="33"/>
      <c r="I2037" s="33"/>
      <c r="J2037" s="33"/>
      <c r="K2037" s="33"/>
      <c r="L2037" s="33"/>
      <c r="M2037" s="33"/>
      <c r="N2037" s="33"/>
      <c r="O2037" s="33"/>
      <c r="P2037" s="33"/>
      <c r="Q2037" s="33"/>
      <c r="R2037" s="33"/>
      <c r="S2037" s="33"/>
      <c r="T2037" s="33"/>
      <c r="U2037" s="33"/>
      <c r="V2037" s="33"/>
      <c r="W2037" s="33"/>
      <c r="X2037" s="33"/>
      <c r="Y2037" s="33"/>
      <c r="Z2037" s="33"/>
      <c r="AA2037" s="33"/>
      <c r="AB2037" s="33"/>
      <c r="AC2037" s="33"/>
      <c r="AD2037" s="33"/>
      <c r="AE2037" s="33"/>
      <c r="AF2037" s="33"/>
      <c r="AG2037" s="33"/>
      <c r="AH2037" s="33"/>
      <c r="AI2037" s="33"/>
      <c r="AJ2037" s="33"/>
      <c r="AK2037" s="34" t="str">
        <f aca="false">IF($B2037="","",COUNTIF($F2037:$AJ2037,"P"))</f>
        <v/>
      </c>
      <c r="AL2037" s="34" t="str">
        <f aca="false">IF($B2037="","",COUNTIF($F2037:$AJ2037,"A"))</f>
        <v/>
      </c>
      <c r="AM2037" s="34" t="str">
        <f aca="false">IF($B2037="","",COUNTIF($F2037:$AJ2037,"HA"))</f>
        <v/>
      </c>
      <c r="AN2037" s="34" t="str">
        <f aca="false">IF($B2037="","",COUNTIF($F2037:$AJ2037,"L"))</f>
        <v/>
      </c>
      <c r="AO2037" s="34" t="str">
        <f aca="false">IF($B2037="","",COUNTIF($F2037:$AJ2037,"PL"))</f>
        <v/>
      </c>
      <c r="AP2037" s="34" t="str">
        <f aca="false">IF($B2037="","",COUNTIF($F2037:$AJ2037,"CL"))</f>
        <v/>
      </c>
      <c r="AQ2037" s="34" t="str">
        <f aca="false">IF($B2037="","",COUNTIF($F2037:$AJ2037,"SL"))</f>
        <v/>
      </c>
      <c r="AR2037" s="34" t="str">
        <f aca="false">IF($B2037="","",COUNTIF($F2037:$AJ2037,"CO"))</f>
        <v/>
      </c>
      <c r="AS2037" s="34" t="str">
        <f aca="false">IF($B2037="","",COUNTIF($F2037:$AJ2037,"HPL"))</f>
        <v/>
      </c>
      <c r="AT2037" s="34" t="str">
        <f aca="false">IF($B2037="","",COUNTIF($F2037:$AJ2037,"HCL"))</f>
        <v/>
      </c>
      <c r="AU2037" s="34" t="str">
        <f aca="false">IF($B2037="","",COUNTIF($F2037:$AJ2037,"WO"))</f>
        <v/>
      </c>
      <c r="AV2037" s="34" t="str">
        <f aca="false">IF($B2037="","",COUNTIF($F2037:$AJ2037,"PH"))</f>
        <v/>
      </c>
      <c r="AW2037" s="34" t="str">
        <f aca="false">IF($B2037="","",COUNTIF($F2037:$AJ2037,"TR"))</f>
        <v/>
      </c>
      <c r="AX2037" s="35" t="str">
        <f aca="false">IF($B2037="","",AO2037+AS2037/2)</f>
        <v/>
      </c>
      <c r="AY2037" s="35" t="str">
        <f aca="false">IF($B2037="","",AQ2037)</f>
        <v/>
      </c>
      <c r="AZ2037" s="35" t="str">
        <f aca="false">IF($B2037="","",AP2037+AT2037/2)</f>
        <v/>
      </c>
      <c r="BA2037" s="35" t="str">
        <f aca="false">IF($B2037="","",AK2037+AN2037+AM2037/2+AO2037+AP2037+AQ2037+AR2037+AS2037+AT2037+AU2037+AV2037+AW2037)</f>
        <v/>
      </c>
      <c r="BB2037" s="35" t="str">
        <f aca="false">IF($B2037="","",MAX(0,AN2037-Settings!$C$16)*Settings!$C$17)</f>
        <v/>
      </c>
      <c r="BC2037" s="35" t="str">
        <f aca="false">IF($B2037="","",BA2037-BB2037)</f>
        <v/>
      </c>
      <c r="BD2037" s="35" t="str">
        <f aca="false">IF(OR($B2037="",$A2037=""),"",DAY(EOMONTH($A2037,0))-COUNTA($F2037:$AJ2037))</f>
        <v/>
      </c>
    </row>
    <row r="2038" customFormat="false" ht="15" hidden="false" customHeight="false" outlineLevel="0" collapsed="false">
      <c r="A2038" s="32"/>
      <c r="B2038" s="29"/>
      <c r="C2038" s="10" t="str">
        <f aca="false">IF($B2038="","",IFERROR(INDEX(M_name,MATCH($B2038,M_emp,0)),"Code not found"))</f>
        <v/>
      </c>
      <c r="D2038" s="10" t="str">
        <f aca="false">IF($B2038="","",IFERROR(INDEX(M_dept,MATCH($B2038,M_emp,0)),""))</f>
        <v/>
      </c>
      <c r="E2038" s="10" t="str">
        <f aca="false">IF($B2038="","",IFERROR(INDEX(M_loc,MATCH($B2038,M_emp,0)),""))</f>
        <v/>
      </c>
      <c r="F2038" s="33"/>
      <c r="G2038" s="33"/>
      <c r="H2038" s="33"/>
      <c r="I2038" s="33"/>
      <c r="J2038" s="33"/>
      <c r="K2038" s="33"/>
      <c r="L2038" s="33"/>
      <c r="M2038" s="33"/>
      <c r="N2038" s="33"/>
      <c r="O2038" s="33"/>
      <c r="P2038" s="33"/>
      <c r="Q2038" s="33"/>
      <c r="R2038" s="33"/>
      <c r="S2038" s="33"/>
      <c r="T2038" s="33"/>
      <c r="U2038" s="33"/>
      <c r="V2038" s="33"/>
      <c r="W2038" s="33"/>
      <c r="X2038" s="33"/>
      <c r="Y2038" s="33"/>
      <c r="Z2038" s="33"/>
      <c r="AA2038" s="33"/>
      <c r="AB2038" s="33"/>
      <c r="AC2038" s="33"/>
      <c r="AD2038" s="33"/>
      <c r="AE2038" s="33"/>
      <c r="AF2038" s="33"/>
      <c r="AG2038" s="33"/>
      <c r="AH2038" s="33"/>
      <c r="AI2038" s="33"/>
      <c r="AJ2038" s="33"/>
      <c r="AK2038" s="34" t="str">
        <f aca="false">IF($B2038="","",COUNTIF($F2038:$AJ2038,"P"))</f>
        <v/>
      </c>
      <c r="AL2038" s="34" t="str">
        <f aca="false">IF($B2038="","",COUNTIF($F2038:$AJ2038,"A"))</f>
        <v/>
      </c>
      <c r="AM2038" s="34" t="str">
        <f aca="false">IF($B2038="","",COUNTIF($F2038:$AJ2038,"HA"))</f>
        <v/>
      </c>
      <c r="AN2038" s="34" t="str">
        <f aca="false">IF($B2038="","",COUNTIF($F2038:$AJ2038,"L"))</f>
        <v/>
      </c>
      <c r="AO2038" s="34" t="str">
        <f aca="false">IF($B2038="","",COUNTIF($F2038:$AJ2038,"PL"))</f>
        <v/>
      </c>
      <c r="AP2038" s="34" t="str">
        <f aca="false">IF($B2038="","",COUNTIF($F2038:$AJ2038,"CL"))</f>
        <v/>
      </c>
      <c r="AQ2038" s="34" t="str">
        <f aca="false">IF($B2038="","",COUNTIF($F2038:$AJ2038,"SL"))</f>
        <v/>
      </c>
      <c r="AR2038" s="34" t="str">
        <f aca="false">IF($B2038="","",COUNTIF($F2038:$AJ2038,"CO"))</f>
        <v/>
      </c>
      <c r="AS2038" s="34" t="str">
        <f aca="false">IF($B2038="","",COUNTIF($F2038:$AJ2038,"HPL"))</f>
        <v/>
      </c>
      <c r="AT2038" s="34" t="str">
        <f aca="false">IF($B2038="","",COUNTIF($F2038:$AJ2038,"HCL"))</f>
        <v/>
      </c>
      <c r="AU2038" s="34" t="str">
        <f aca="false">IF($B2038="","",COUNTIF($F2038:$AJ2038,"WO"))</f>
        <v/>
      </c>
      <c r="AV2038" s="34" t="str">
        <f aca="false">IF($B2038="","",COUNTIF($F2038:$AJ2038,"PH"))</f>
        <v/>
      </c>
      <c r="AW2038" s="34" t="str">
        <f aca="false">IF($B2038="","",COUNTIF($F2038:$AJ2038,"TR"))</f>
        <v/>
      </c>
      <c r="AX2038" s="35" t="str">
        <f aca="false">IF($B2038="","",AO2038+AS2038/2)</f>
        <v/>
      </c>
      <c r="AY2038" s="35" t="str">
        <f aca="false">IF($B2038="","",AQ2038)</f>
        <v/>
      </c>
      <c r="AZ2038" s="35" t="str">
        <f aca="false">IF($B2038="","",AP2038+AT2038/2)</f>
        <v/>
      </c>
      <c r="BA2038" s="35" t="str">
        <f aca="false">IF($B2038="","",AK2038+AN2038+AM2038/2+AO2038+AP2038+AQ2038+AR2038+AS2038+AT2038+AU2038+AV2038+AW2038)</f>
        <v/>
      </c>
      <c r="BB2038" s="35" t="str">
        <f aca="false">IF($B2038="","",MAX(0,AN2038-Settings!$C$16)*Settings!$C$17)</f>
        <v/>
      </c>
      <c r="BC2038" s="35" t="str">
        <f aca="false">IF($B2038="","",BA2038-BB2038)</f>
        <v/>
      </c>
      <c r="BD2038" s="35" t="str">
        <f aca="false">IF(OR($B2038="",$A2038=""),"",DAY(EOMONTH($A2038,0))-COUNTA($F2038:$AJ2038))</f>
        <v/>
      </c>
    </row>
    <row r="2039" customFormat="false" ht="15" hidden="false" customHeight="false" outlineLevel="0" collapsed="false">
      <c r="A2039" s="32"/>
      <c r="B2039" s="29"/>
      <c r="C2039" s="10" t="str">
        <f aca="false">IF($B2039="","",IFERROR(INDEX(M_name,MATCH($B2039,M_emp,0)),"Code not found"))</f>
        <v/>
      </c>
      <c r="D2039" s="10" t="str">
        <f aca="false">IF($B2039="","",IFERROR(INDEX(M_dept,MATCH($B2039,M_emp,0)),""))</f>
        <v/>
      </c>
      <c r="E2039" s="10" t="str">
        <f aca="false">IF($B2039="","",IFERROR(INDEX(M_loc,MATCH($B2039,M_emp,0)),""))</f>
        <v/>
      </c>
      <c r="F2039" s="33"/>
      <c r="G2039" s="33"/>
      <c r="H2039" s="33"/>
      <c r="I2039" s="33"/>
      <c r="J2039" s="33"/>
      <c r="K2039" s="33"/>
      <c r="L2039" s="33"/>
      <c r="M2039" s="33"/>
      <c r="N2039" s="33"/>
      <c r="O2039" s="33"/>
      <c r="P2039" s="33"/>
      <c r="Q2039" s="33"/>
      <c r="R2039" s="33"/>
      <c r="S2039" s="33"/>
      <c r="T2039" s="33"/>
      <c r="U2039" s="33"/>
      <c r="V2039" s="33"/>
      <c r="W2039" s="33"/>
      <c r="X2039" s="33"/>
      <c r="Y2039" s="33"/>
      <c r="Z2039" s="33"/>
      <c r="AA2039" s="33"/>
      <c r="AB2039" s="33"/>
      <c r="AC2039" s="33"/>
      <c r="AD2039" s="33"/>
      <c r="AE2039" s="33"/>
      <c r="AF2039" s="33"/>
      <c r="AG2039" s="33"/>
      <c r="AH2039" s="33"/>
      <c r="AI2039" s="33"/>
      <c r="AJ2039" s="33"/>
      <c r="AK2039" s="34" t="str">
        <f aca="false">IF($B2039="","",COUNTIF($F2039:$AJ2039,"P"))</f>
        <v/>
      </c>
      <c r="AL2039" s="34" t="str">
        <f aca="false">IF($B2039="","",COUNTIF($F2039:$AJ2039,"A"))</f>
        <v/>
      </c>
      <c r="AM2039" s="34" t="str">
        <f aca="false">IF($B2039="","",COUNTIF($F2039:$AJ2039,"HA"))</f>
        <v/>
      </c>
      <c r="AN2039" s="34" t="str">
        <f aca="false">IF($B2039="","",COUNTIF($F2039:$AJ2039,"L"))</f>
        <v/>
      </c>
      <c r="AO2039" s="34" t="str">
        <f aca="false">IF($B2039="","",COUNTIF($F2039:$AJ2039,"PL"))</f>
        <v/>
      </c>
      <c r="AP2039" s="34" t="str">
        <f aca="false">IF($B2039="","",COUNTIF($F2039:$AJ2039,"CL"))</f>
        <v/>
      </c>
      <c r="AQ2039" s="34" t="str">
        <f aca="false">IF($B2039="","",COUNTIF($F2039:$AJ2039,"SL"))</f>
        <v/>
      </c>
      <c r="AR2039" s="34" t="str">
        <f aca="false">IF($B2039="","",COUNTIF($F2039:$AJ2039,"CO"))</f>
        <v/>
      </c>
      <c r="AS2039" s="34" t="str">
        <f aca="false">IF($B2039="","",COUNTIF($F2039:$AJ2039,"HPL"))</f>
        <v/>
      </c>
      <c r="AT2039" s="34" t="str">
        <f aca="false">IF($B2039="","",COUNTIF($F2039:$AJ2039,"HCL"))</f>
        <v/>
      </c>
      <c r="AU2039" s="34" t="str">
        <f aca="false">IF($B2039="","",COUNTIF($F2039:$AJ2039,"WO"))</f>
        <v/>
      </c>
      <c r="AV2039" s="34" t="str">
        <f aca="false">IF($B2039="","",COUNTIF($F2039:$AJ2039,"PH"))</f>
        <v/>
      </c>
      <c r="AW2039" s="34" t="str">
        <f aca="false">IF($B2039="","",COUNTIF($F2039:$AJ2039,"TR"))</f>
        <v/>
      </c>
      <c r="AX2039" s="35" t="str">
        <f aca="false">IF($B2039="","",AO2039+AS2039/2)</f>
        <v/>
      </c>
      <c r="AY2039" s="35" t="str">
        <f aca="false">IF($B2039="","",AQ2039)</f>
        <v/>
      </c>
      <c r="AZ2039" s="35" t="str">
        <f aca="false">IF($B2039="","",AP2039+AT2039/2)</f>
        <v/>
      </c>
      <c r="BA2039" s="35" t="str">
        <f aca="false">IF($B2039="","",AK2039+AN2039+AM2039/2+AO2039+AP2039+AQ2039+AR2039+AS2039+AT2039+AU2039+AV2039+AW2039)</f>
        <v/>
      </c>
      <c r="BB2039" s="35" t="str">
        <f aca="false">IF($B2039="","",MAX(0,AN2039-Settings!$C$16)*Settings!$C$17)</f>
        <v/>
      </c>
      <c r="BC2039" s="35" t="str">
        <f aca="false">IF($B2039="","",BA2039-BB2039)</f>
        <v/>
      </c>
      <c r="BD2039" s="35" t="str">
        <f aca="false">IF(OR($B2039="",$A2039=""),"",DAY(EOMONTH($A2039,0))-COUNTA($F2039:$AJ2039))</f>
        <v/>
      </c>
    </row>
    <row r="2040" customFormat="false" ht="15" hidden="false" customHeight="false" outlineLevel="0" collapsed="false">
      <c r="A2040" s="32"/>
      <c r="B2040" s="29"/>
      <c r="C2040" s="10" t="str">
        <f aca="false">IF($B2040="","",IFERROR(INDEX(M_name,MATCH($B2040,M_emp,0)),"Code not found"))</f>
        <v/>
      </c>
      <c r="D2040" s="10" t="str">
        <f aca="false">IF($B2040="","",IFERROR(INDEX(M_dept,MATCH($B2040,M_emp,0)),""))</f>
        <v/>
      </c>
      <c r="E2040" s="10" t="str">
        <f aca="false">IF($B2040="","",IFERROR(INDEX(M_loc,MATCH($B2040,M_emp,0)),""))</f>
        <v/>
      </c>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c r="AB2040" s="33"/>
      <c r="AC2040" s="33"/>
      <c r="AD2040" s="33"/>
      <c r="AE2040" s="33"/>
      <c r="AF2040" s="33"/>
      <c r="AG2040" s="33"/>
      <c r="AH2040" s="33"/>
      <c r="AI2040" s="33"/>
      <c r="AJ2040" s="33"/>
      <c r="AK2040" s="34" t="str">
        <f aca="false">IF($B2040="","",COUNTIF($F2040:$AJ2040,"P"))</f>
        <v/>
      </c>
      <c r="AL2040" s="34" t="str">
        <f aca="false">IF($B2040="","",COUNTIF($F2040:$AJ2040,"A"))</f>
        <v/>
      </c>
      <c r="AM2040" s="34" t="str">
        <f aca="false">IF($B2040="","",COUNTIF($F2040:$AJ2040,"HA"))</f>
        <v/>
      </c>
      <c r="AN2040" s="34" t="str">
        <f aca="false">IF($B2040="","",COUNTIF($F2040:$AJ2040,"L"))</f>
        <v/>
      </c>
      <c r="AO2040" s="34" t="str">
        <f aca="false">IF($B2040="","",COUNTIF($F2040:$AJ2040,"PL"))</f>
        <v/>
      </c>
      <c r="AP2040" s="34" t="str">
        <f aca="false">IF($B2040="","",COUNTIF($F2040:$AJ2040,"CL"))</f>
        <v/>
      </c>
      <c r="AQ2040" s="34" t="str">
        <f aca="false">IF($B2040="","",COUNTIF($F2040:$AJ2040,"SL"))</f>
        <v/>
      </c>
      <c r="AR2040" s="34" t="str">
        <f aca="false">IF($B2040="","",COUNTIF($F2040:$AJ2040,"CO"))</f>
        <v/>
      </c>
      <c r="AS2040" s="34" t="str">
        <f aca="false">IF($B2040="","",COUNTIF($F2040:$AJ2040,"HPL"))</f>
        <v/>
      </c>
      <c r="AT2040" s="34" t="str">
        <f aca="false">IF($B2040="","",COUNTIF($F2040:$AJ2040,"HCL"))</f>
        <v/>
      </c>
      <c r="AU2040" s="34" t="str">
        <f aca="false">IF($B2040="","",COUNTIF($F2040:$AJ2040,"WO"))</f>
        <v/>
      </c>
      <c r="AV2040" s="34" t="str">
        <f aca="false">IF($B2040="","",COUNTIF($F2040:$AJ2040,"PH"))</f>
        <v/>
      </c>
      <c r="AW2040" s="34" t="str">
        <f aca="false">IF($B2040="","",COUNTIF($F2040:$AJ2040,"TR"))</f>
        <v/>
      </c>
      <c r="AX2040" s="35" t="str">
        <f aca="false">IF($B2040="","",AO2040+AS2040/2)</f>
        <v/>
      </c>
      <c r="AY2040" s="35" t="str">
        <f aca="false">IF($B2040="","",AQ2040)</f>
        <v/>
      </c>
      <c r="AZ2040" s="35" t="str">
        <f aca="false">IF($B2040="","",AP2040+AT2040/2)</f>
        <v/>
      </c>
      <c r="BA2040" s="35" t="str">
        <f aca="false">IF($B2040="","",AK2040+AN2040+AM2040/2+AO2040+AP2040+AQ2040+AR2040+AS2040+AT2040+AU2040+AV2040+AW2040)</f>
        <v/>
      </c>
      <c r="BB2040" s="35" t="str">
        <f aca="false">IF($B2040="","",MAX(0,AN2040-Settings!$C$16)*Settings!$C$17)</f>
        <v/>
      </c>
      <c r="BC2040" s="35" t="str">
        <f aca="false">IF($B2040="","",BA2040-BB2040)</f>
        <v/>
      </c>
      <c r="BD2040" s="35" t="str">
        <f aca="false">IF(OR($B2040="",$A2040=""),"",DAY(EOMONTH($A2040,0))-COUNTA($F2040:$AJ2040))</f>
        <v/>
      </c>
    </row>
    <row r="2041" customFormat="false" ht="15" hidden="false" customHeight="false" outlineLevel="0" collapsed="false">
      <c r="A2041" s="32"/>
      <c r="B2041" s="29"/>
      <c r="C2041" s="10" t="str">
        <f aca="false">IF($B2041="","",IFERROR(INDEX(M_name,MATCH($B2041,M_emp,0)),"Code not found"))</f>
        <v/>
      </c>
      <c r="D2041" s="10" t="str">
        <f aca="false">IF($B2041="","",IFERROR(INDEX(M_dept,MATCH($B2041,M_emp,0)),""))</f>
        <v/>
      </c>
      <c r="E2041" s="10" t="str">
        <f aca="false">IF($B2041="","",IFERROR(INDEX(M_loc,MATCH($B2041,M_emp,0)),""))</f>
        <v/>
      </c>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c r="AB2041" s="33"/>
      <c r="AC2041" s="33"/>
      <c r="AD2041" s="33"/>
      <c r="AE2041" s="33"/>
      <c r="AF2041" s="33"/>
      <c r="AG2041" s="33"/>
      <c r="AH2041" s="33"/>
      <c r="AI2041" s="33"/>
      <c r="AJ2041" s="33"/>
      <c r="AK2041" s="34" t="str">
        <f aca="false">IF($B2041="","",COUNTIF($F2041:$AJ2041,"P"))</f>
        <v/>
      </c>
      <c r="AL2041" s="34" t="str">
        <f aca="false">IF($B2041="","",COUNTIF($F2041:$AJ2041,"A"))</f>
        <v/>
      </c>
      <c r="AM2041" s="34" t="str">
        <f aca="false">IF($B2041="","",COUNTIF($F2041:$AJ2041,"HA"))</f>
        <v/>
      </c>
      <c r="AN2041" s="34" t="str">
        <f aca="false">IF($B2041="","",COUNTIF($F2041:$AJ2041,"L"))</f>
        <v/>
      </c>
      <c r="AO2041" s="34" t="str">
        <f aca="false">IF($B2041="","",COUNTIF($F2041:$AJ2041,"PL"))</f>
        <v/>
      </c>
      <c r="AP2041" s="34" t="str">
        <f aca="false">IF($B2041="","",COUNTIF($F2041:$AJ2041,"CL"))</f>
        <v/>
      </c>
      <c r="AQ2041" s="34" t="str">
        <f aca="false">IF($B2041="","",COUNTIF($F2041:$AJ2041,"SL"))</f>
        <v/>
      </c>
      <c r="AR2041" s="34" t="str">
        <f aca="false">IF($B2041="","",COUNTIF($F2041:$AJ2041,"CO"))</f>
        <v/>
      </c>
      <c r="AS2041" s="34" t="str">
        <f aca="false">IF($B2041="","",COUNTIF($F2041:$AJ2041,"HPL"))</f>
        <v/>
      </c>
      <c r="AT2041" s="34" t="str">
        <f aca="false">IF($B2041="","",COUNTIF($F2041:$AJ2041,"HCL"))</f>
        <v/>
      </c>
      <c r="AU2041" s="34" t="str">
        <f aca="false">IF($B2041="","",COUNTIF($F2041:$AJ2041,"WO"))</f>
        <v/>
      </c>
      <c r="AV2041" s="34" t="str">
        <f aca="false">IF($B2041="","",COUNTIF($F2041:$AJ2041,"PH"))</f>
        <v/>
      </c>
      <c r="AW2041" s="34" t="str">
        <f aca="false">IF($B2041="","",COUNTIF($F2041:$AJ2041,"TR"))</f>
        <v/>
      </c>
      <c r="AX2041" s="35" t="str">
        <f aca="false">IF($B2041="","",AO2041+AS2041/2)</f>
        <v/>
      </c>
      <c r="AY2041" s="35" t="str">
        <f aca="false">IF($B2041="","",AQ2041)</f>
        <v/>
      </c>
      <c r="AZ2041" s="35" t="str">
        <f aca="false">IF($B2041="","",AP2041+AT2041/2)</f>
        <v/>
      </c>
      <c r="BA2041" s="35" t="str">
        <f aca="false">IF($B2041="","",AK2041+AN2041+AM2041/2+AO2041+AP2041+AQ2041+AR2041+AS2041+AT2041+AU2041+AV2041+AW2041)</f>
        <v/>
      </c>
      <c r="BB2041" s="35" t="str">
        <f aca="false">IF($B2041="","",MAX(0,AN2041-Settings!$C$16)*Settings!$C$17)</f>
        <v/>
      </c>
      <c r="BC2041" s="35" t="str">
        <f aca="false">IF($B2041="","",BA2041-BB2041)</f>
        <v/>
      </c>
      <c r="BD2041" s="35" t="str">
        <f aca="false">IF(OR($B2041="",$A2041=""),"",DAY(EOMONTH($A2041,0))-COUNTA($F2041:$AJ2041))</f>
        <v/>
      </c>
    </row>
    <row r="2042" customFormat="false" ht="15" hidden="false" customHeight="false" outlineLevel="0" collapsed="false">
      <c r="A2042" s="32"/>
      <c r="B2042" s="29"/>
      <c r="C2042" s="10" t="str">
        <f aca="false">IF($B2042="","",IFERROR(INDEX(M_name,MATCH($B2042,M_emp,0)),"Code not found"))</f>
        <v/>
      </c>
      <c r="D2042" s="10" t="str">
        <f aca="false">IF($B2042="","",IFERROR(INDEX(M_dept,MATCH($B2042,M_emp,0)),""))</f>
        <v/>
      </c>
      <c r="E2042" s="10" t="str">
        <f aca="false">IF($B2042="","",IFERROR(INDEX(M_loc,MATCH($B2042,M_emp,0)),""))</f>
        <v/>
      </c>
      <c r="F2042" s="33"/>
      <c r="G2042" s="33"/>
      <c r="H2042" s="33"/>
      <c r="I2042" s="33"/>
      <c r="J2042" s="33"/>
      <c r="K2042" s="33"/>
      <c r="L2042" s="33"/>
      <c r="M2042" s="33"/>
      <c r="N2042" s="33"/>
      <c r="O2042" s="33"/>
      <c r="P2042" s="33"/>
      <c r="Q2042" s="33"/>
      <c r="R2042" s="33"/>
      <c r="S2042" s="33"/>
      <c r="T2042" s="33"/>
      <c r="U2042" s="33"/>
      <c r="V2042" s="33"/>
      <c r="W2042" s="33"/>
      <c r="X2042" s="33"/>
      <c r="Y2042" s="33"/>
      <c r="Z2042" s="33"/>
      <c r="AA2042" s="33"/>
      <c r="AB2042" s="33"/>
      <c r="AC2042" s="33"/>
      <c r="AD2042" s="33"/>
      <c r="AE2042" s="33"/>
      <c r="AF2042" s="33"/>
      <c r="AG2042" s="33"/>
      <c r="AH2042" s="33"/>
      <c r="AI2042" s="33"/>
      <c r="AJ2042" s="33"/>
      <c r="AK2042" s="34" t="str">
        <f aca="false">IF($B2042="","",COUNTIF($F2042:$AJ2042,"P"))</f>
        <v/>
      </c>
      <c r="AL2042" s="34" t="str">
        <f aca="false">IF($B2042="","",COUNTIF($F2042:$AJ2042,"A"))</f>
        <v/>
      </c>
      <c r="AM2042" s="34" t="str">
        <f aca="false">IF($B2042="","",COUNTIF($F2042:$AJ2042,"HA"))</f>
        <v/>
      </c>
      <c r="AN2042" s="34" t="str">
        <f aca="false">IF($B2042="","",COUNTIF($F2042:$AJ2042,"L"))</f>
        <v/>
      </c>
      <c r="AO2042" s="34" t="str">
        <f aca="false">IF($B2042="","",COUNTIF($F2042:$AJ2042,"PL"))</f>
        <v/>
      </c>
      <c r="AP2042" s="34" t="str">
        <f aca="false">IF($B2042="","",COUNTIF($F2042:$AJ2042,"CL"))</f>
        <v/>
      </c>
      <c r="AQ2042" s="34" t="str">
        <f aca="false">IF($B2042="","",COUNTIF($F2042:$AJ2042,"SL"))</f>
        <v/>
      </c>
      <c r="AR2042" s="34" t="str">
        <f aca="false">IF($B2042="","",COUNTIF($F2042:$AJ2042,"CO"))</f>
        <v/>
      </c>
      <c r="AS2042" s="34" t="str">
        <f aca="false">IF($B2042="","",COUNTIF($F2042:$AJ2042,"HPL"))</f>
        <v/>
      </c>
      <c r="AT2042" s="34" t="str">
        <f aca="false">IF($B2042="","",COUNTIF($F2042:$AJ2042,"HCL"))</f>
        <v/>
      </c>
      <c r="AU2042" s="34" t="str">
        <f aca="false">IF($B2042="","",COUNTIF($F2042:$AJ2042,"WO"))</f>
        <v/>
      </c>
      <c r="AV2042" s="34" t="str">
        <f aca="false">IF($B2042="","",COUNTIF($F2042:$AJ2042,"PH"))</f>
        <v/>
      </c>
      <c r="AW2042" s="34" t="str">
        <f aca="false">IF($B2042="","",COUNTIF($F2042:$AJ2042,"TR"))</f>
        <v/>
      </c>
      <c r="AX2042" s="35" t="str">
        <f aca="false">IF($B2042="","",AO2042+AS2042/2)</f>
        <v/>
      </c>
      <c r="AY2042" s="35" t="str">
        <f aca="false">IF($B2042="","",AQ2042)</f>
        <v/>
      </c>
      <c r="AZ2042" s="35" t="str">
        <f aca="false">IF($B2042="","",AP2042+AT2042/2)</f>
        <v/>
      </c>
      <c r="BA2042" s="35" t="str">
        <f aca="false">IF($B2042="","",AK2042+AN2042+AM2042/2+AO2042+AP2042+AQ2042+AR2042+AS2042+AT2042+AU2042+AV2042+AW2042)</f>
        <v/>
      </c>
      <c r="BB2042" s="35" t="str">
        <f aca="false">IF($B2042="","",MAX(0,AN2042-Settings!$C$16)*Settings!$C$17)</f>
        <v/>
      </c>
      <c r="BC2042" s="35" t="str">
        <f aca="false">IF($B2042="","",BA2042-BB2042)</f>
        <v/>
      </c>
      <c r="BD2042" s="35" t="str">
        <f aca="false">IF(OR($B2042="",$A2042=""),"",DAY(EOMONTH($A2042,0))-COUNTA($F2042:$AJ2042))</f>
        <v/>
      </c>
    </row>
    <row r="2043" customFormat="false" ht="15" hidden="false" customHeight="false" outlineLevel="0" collapsed="false">
      <c r="A2043" s="32"/>
      <c r="B2043" s="29"/>
      <c r="C2043" s="10" t="str">
        <f aca="false">IF($B2043="","",IFERROR(INDEX(M_name,MATCH($B2043,M_emp,0)),"Code not found"))</f>
        <v/>
      </c>
      <c r="D2043" s="10" t="str">
        <f aca="false">IF($B2043="","",IFERROR(INDEX(M_dept,MATCH($B2043,M_emp,0)),""))</f>
        <v/>
      </c>
      <c r="E2043" s="10" t="str">
        <f aca="false">IF($B2043="","",IFERROR(INDEX(M_loc,MATCH($B2043,M_emp,0)),""))</f>
        <v/>
      </c>
      <c r="F2043" s="33"/>
      <c r="G2043" s="33"/>
      <c r="H2043" s="33"/>
      <c r="I2043" s="33"/>
      <c r="J2043" s="33"/>
      <c r="K2043" s="33"/>
      <c r="L2043" s="33"/>
      <c r="M2043" s="33"/>
      <c r="N2043" s="33"/>
      <c r="O2043" s="33"/>
      <c r="P2043" s="33"/>
      <c r="Q2043" s="33"/>
      <c r="R2043" s="33"/>
      <c r="S2043" s="33"/>
      <c r="T2043" s="33"/>
      <c r="U2043" s="33"/>
      <c r="V2043" s="33"/>
      <c r="W2043" s="33"/>
      <c r="X2043" s="33"/>
      <c r="Y2043" s="33"/>
      <c r="Z2043" s="33"/>
      <c r="AA2043" s="33"/>
      <c r="AB2043" s="33"/>
      <c r="AC2043" s="33"/>
      <c r="AD2043" s="33"/>
      <c r="AE2043" s="33"/>
      <c r="AF2043" s="33"/>
      <c r="AG2043" s="33"/>
      <c r="AH2043" s="33"/>
      <c r="AI2043" s="33"/>
      <c r="AJ2043" s="33"/>
      <c r="AK2043" s="34" t="str">
        <f aca="false">IF($B2043="","",COUNTIF($F2043:$AJ2043,"P"))</f>
        <v/>
      </c>
      <c r="AL2043" s="34" t="str">
        <f aca="false">IF($B2043="","",COUNTIF($F2043:$AJ2043,"A"))</f>
        <v/>
      </c>
      <c r="AM2043" s="34" t="str">
        <f aca="false">IF($B2043="","",COUNTIF($F2043:$AJ2043,"HA"))</f>
        <v/>
      </c>
      <c r="AN2043" s="34" t="str">
        <f aca="false">IF($B2043="","",COUNTIF($F2043:$AJ2043,"L"))</f>
        <v/>
      </c>
      <c r="AO2043" s="34" t="str">
        <f aca="false">IF($B2043="","",COUNTIF($F2043:$AJ2043,"PL"))</f>
        <v/>
      </c>
      <c r="AP2043" s="34" t="str">
        <f aca="false">IF($B2043="","",COUNTIF($F2043:$AJ2043,"CL"))</f>
        <v/>
      </c>
      <c r="AQ2043" s="34" t="str">
        <f aca="false">IF($B2043="","",COUNTIF($F2043:$AJ2043,"SL"))</f>
        <v/>
      </c>
      <c r="AR2043" s="34" t="str">
        <f aca="false">IF($B2043="","",COUNTIF($F2043:$AJ2043,"CO"))</f>
        <v/>
      </c>
      <c r="AS2043" s="34" t="str">
        <f aca="false">IF($B2043="","",COUNTIF($F2043:$AJ2043,"HPL"))</f>
        <v/>
      </c>
      <c r="AT2043" s="34" t="str">
        <f aca="false">IF($B2043="","",COUNTIF($F2043:$AJ2043,"HCL"))</f>
        <v/>
      </c>
      <c r="AU2043" s="34" t="str">
        <f aca="false">IF($B2043="","",COUNTIF($F2043:$AJ2043,"WO"))</f>
        <v/>
      </c>
      <c r="AV2043" s="34" t="str">
        <f aca="false">IF($B2043="","",COUNTIF($F2043:$AJ2043,"PH"))</f>
        <v/>
      </c>
      <c r="AW2043" s="34" t="str">
        <f aca="false">IF($B2043="","",COUNTIF($F2043:$AJ2043,"TR"))</f>
        <v/>
      </c>
      <c r="AX2043" s="35" t="str">
        <f aca="false">IF($B2043="","",AO2043+AS2043/2)</f>
        <v/>
      </c>
      <c r="AY2043" s="35" t="str">
        <f aca="false">IF($B2043="","",AQ2043)</f>
        <v/>
      </c>
      <c r="AZ2043" s="35" t="str">
        <f aca="false">IF($B2043="","",AP2043+AT2043/2)</f>
        <v/>
      </c>
      <c r="BA2043" s="35" t="str">
        <f aca="false">IF($B2043="","",AK2043+AN2043+AM2043/2+AO2043+AP2043+AQ2043+AR2043+AS2043+AT2043+AU2043+AV2043+AW2043)</f>
        <v/>
      </c>
      <c r="BB2043" s="35" t="str">
        <f aca="false">IF($B2043="","",MAX(0,AN2043-Settings!$C$16)*Settings!$C$17)</f>
        <v/>
      </c>
      <c r="BC2043" s="35" t="str">
        <f aca="false">IF($B2043="","",BA2043-BB2043)</f>
        <v/>
      </c>
      <c r="BD2043" s="35" t="str">
        <f aca="false">IF(OR($B2043="",$A2043=""),"",DAY(EOMONTH($A2043,0))-COUNTA($F2043:$AJ2043))</f>
        <v/>
      </c>
    </row>
    <row r="2044" customFormat="false" ht="15" hidden="false" customHeight="false" outlineLevel="0" collapsed="false">
      <c r="A2044" s="32"/>
      <c r="B2044" s="29"/>
      <c r="C2044" s="10" t="str">
        <f aca="false">IF($B2044="","",IFERROR(INDEX(M_name,MATCH($B2044,M_emp,0)),"Code not found"))</f>
        <v/>
      </c>
      <c r="D2044" s="10" t="str">
        <f aca="false">IF($B2044="","",IFERROR(INDEX(M_dept,MATCH($B2044,M_emp,0)),""))</f>
        <v/>
      </c>
      <c r="E2044" s="10" t="str">
        <f aca="false">IF($B2044="","",IFERROR(INDEX(M_loc,MATCH($B2044,M_emp,0)),""))</f>
        <v/>
      </c>
      <c r="F2044" s="33"/>
      <c r="G2044" s="33"/>
      <c r="H2044" s="33"/>
      <c r="I2044" s="33"/>
      <c r="J2044" s="33"/>
      <c r="K2044" s="33"/>
      <c r="L2044" s="33"/>
      <c r="M2044" s="33"/>
      <c r="N2044" s="33"/>
      <c r="O2044" s="33"/>
      <c r="P2044" s="33"/>
      <c r="Q2044" s="33"/>
      <c r="R2044" s="33"/>
      <c r="S2044" s="33"/>
      <c r="T2044" s="33"/>
      <c r="U2044" s="33"/>
      <c r="V2044" s="33"/>
      <c r="W2044" s="33"/>
      <c r="X2044" s="33"/>
      <c r="Y2044" s="33"/>
      <c r="Z2044" s="33"/>
      <c r="AA2044" s="33"/>
      <c r="AB2044" s="33"/>
      <c r="AC2044" s="33"/>
      <c r="AD2044" s="33"/>
      <c r="AE2044" s="33"/>
      <c r="AF2044" s="33"/>
      <c r="AG2044" s="33"/>
      <c r="AH2044" s="33"/>
      <c r="AI2044" s="33"/>
      <c r="AJ2044" s="33"/>
      <c r="AK2044" s="34" t="str">
        <f aca="false">IF($B2044="","",COUNTIF($F2044:$AJ2044,"P"))</f>
        <v/>
      </c>
      <c r="AL2044" s="34" t="str">
        <f aca="false">IF($B2044="","",COUNTIF($F2044:$AJ2044,"A"))</f>
        <v/>
      </c>
      <c r="AM2044" s="34" t="str">
        <f aca="false">IF($B2044="","",COUNTIF($F2044:$AJ2044,"HA"))</f>
        <v/>
      </c>
      <c r="AN2044" s="34" t="str">
        <f aca="false">IF($B2044="","",COUNTIF($F2044:$AJ2044,"L"))</f>
        <v/>
      </c>
      <c r="AO2044" s="34" t="str">
        <f aca="false">IF($B2044="","",COUNTIF($F2044:$AJ2044,"PL"))</f>
        <v/>
      </c>
      <c r="AP2044" s="34" t="str">
        <f aca="false">IF($B2044="","",COUNTIF($F2044:$AJ2044,"CL"))</f>
        <v/>
      </c>
      <c r="AQ2044" s="34" t="str">
        <f aca="false">IF($B2044="","",COUNTIF($F2044:$AJ2044,"SL"))</f>
        <v/>
      </c>
      <c r="AR2044" s="34" t="str">
        <f aca="false">IF($B2044="","",COUNTIF($F2044:$AJ2044,"CO"))</f>
        <v/>
      </c>
      <c r="AS2044" s="34" t="str">
        <f aca="false">IF($B2044="","",COUNTIF($F2044:$AJ2044,"HPL"))</f>
        <v/>
      </c>
      <c r="AT2044" s="34" t="str">
        <f aca="false">IF($B2044="","",COUNTIF($F2044:$AJ2044,"HCL"))</f>
        <v/>
      </c>
      <c r="AU2044" s="34" t="str">
        <f aca="false">IF($B2044="","",COUNTIF($F2044:$AJ2044,"WO"))</f>
        <v/>
      </c>
      <c r="AV2044" s="34" t="str">
        <f aca="false">IF($B2044="","",COUNTIF($F2044:$AJ2044,"PH"))</f>
        <v/>
      </c>
      <c r="AW2044" s="34" t="str">
        <f aca="false">IF($B2044="","",COUNTIF($F2044:$AJ2044,"TR"))</f>
        <v/>
      </c>
      <c r="AX2044" s="35" t="str">
        <f aca="false">IF($B2044="","",AO2044+AS2044/2)</f>
        <v/>
      </c>
      <c r="AY2044" s="35" t="str">
        <f aca="false">IF($B2044="","",AQ2044)</f>
        <v/>
      </c>
      <c r="AZ2044" s="35" t="str">
        <f aca="false">IF($B2044="","",AP2044+AT2044/2)</f>
        <v/>
      </c>
      <c r="BA2044" s="35" t="str">
        <f aca="false">IF($B2044="","",AK2044+AN2044+AM2044/2+AO2044+AP2044+AQ2044+AR2044+AS2044+AT2044+AU2044+AV2044+AW2044)</f>
        <v/>
      </c>
      <c r="BB2044" s="35" t="str">
        <f aca="false">IF($B2044="","",MAX(0,AN2044-Settings!$C$16)*Settings!$C$17)</f>
        <v/>
      </c>
      <c r="BC2044" s="35" t="str">
        <f aca="false">IF($B2044="","",BA2044-BB2044)</f>
        <v/>
      </c>
      <c r="BD2044" s="35" t="str">
        <f aca="false">IF(OR($B2044="",$A2044=""),"",DAY(EOMONTH($A2044,0))-COUNTA($F2044:$AJ2044))</f>
        <v/>
      </c>
    </row>
    <row r="2045" customFormat="false" ht="15" hidden="false" customHeight="false" outlineLevel="0" collapsed="false">
      <c r="A2045" s="32"/>
      <c r="B2045" s="29"/>
      <c r="C2045" s="10" t="str">
        <f aca="false">IF($B2045="","",IFERROR(INDEX(M_name,MATCH($B2045,M_emp,0)),"Code not found"))</f>
        <v/>
      </c>
      <c r="D2045" s="10" t="str">
        <f aca="false">IF($B2045="","",IFERROR(INDEX(M_dept,MATCH($B2045,M_emp,0)),""))</f>
        <v/>
      </c>
      <c r="E2045" s="10" t="str">
        <f aca="false">IF($B2045="","",IFERROR(INDEX(M_loc,MATCH($B2045,M_emp,0)),""))</f>
        <v/>
      </c>
      <c r="F2045" s="33"/>
      <c r="G2045" s="33"/>
      <c r="H2045" s="33"/>
      <c r="I2045" s="33"/>
      <c r="J2045" s="33"/>
      <c r="K2045" s="33"/>
      <c r="L2045" s="33"/>
      <c r="M2045" s="33"/>
      <c r="N2045" s="33"/>
      <c r="O2045" s="33"/>
      <c r="P2045" s="33"/>
      <c r="Q2045" s="33"/>
      <c r="R2045" s="33"/>
      <c r="S2045" s="33"/>
      <c r="T2045" s="33"/>
      <c r="U2045" s="33"/>
      <c r="V2045" s="33"/>
      <c r="W2045" s="33"/>
      <c r="X2045" s="33"/>
      <c r="Y2045" s="33"/>
      <c r="Z2045" s="33"/>
      <c r="AA2045" s="33"/>
      <c r="AB2045" s="33"/>
      <c r="AC2045" s="33"/>
      <c r="AD2045" s="33"/>
      <c r="AE2045" s="33"/>
      <c r="AF2045" s="33"/>
      <c r="AG2045" s="33"/>
      <c r="AH2045" s="33"/>
      <c r="AI2045" s="33"/>
      <c r="AJ2045" s="33"/>
      <c r="AK2045" s="34" t="str">
        <f aca="false">IF($B2045="","",COUNTIF($F2045:$AJ2045,"P"))</f>
        <v/>
      </c>
      <c r="AL2045" s="34" t="str">
        <f aca="false">IF($B2045="","",COUNTIF($F2045:$AJ2045,"A"))</f>
        <v/>
      </c>
      <c r="AM2045" s="34" t="str">
        <f aca="false">IF($B2045="","",COUNTIF($F2045:$AJ2045,"HA"))</f>
        <v/>
      </c>
      <c r="AN2045" s="34" t="str">
        <f aca="false">IF($B2045="","",COUNTIF($F2045:$AJ2045,"L"))</f>
        <v/>
      </c>
      <c r="AO2045" s="34" t="str">
        <f aca="false">IF($B2045="","",COUNTIF($F2045:$AJ2045,"PL"))</f>
        <v/>
      </c>
      <c r="AP2045" s="34" t="str">
        <f aca="false">IF($B2045="","",COUNTIF($F2045:$AJ2045,"CL"))</f>
        <v/>
      </c>
      <c r="AQ2045" s="34" t="str">
        <f aca="false">IF($B2045="","",COUNTIF($F2045:$AJ2045,"SL"))</f>
        <v/>
      </c>
      <c r="AR2045" s="34" t="str">
        <f aca="false">IF($B2045="","",COUNTIF($F2045:$AJ2045,"CO"))</f>
        <v/>
      </c>
      <c r="AS2045" s="34" t="str">
        <f aca="false">IF($B2045="","",COUNTIF($F2045:$AJ2045,"HPL"))</f>
        <v/>
      </c>
      <c r="AT2045" s="34" t="str">
        <f aca="false">IF($B2045="","",COUNTIF($F2045:$AJ2045,"HCL"))</f>
        <v/>
      </c>
      <c r="AU2045" s="34" t="str">
        <f aca="false">IF($B2045="","",COUNTIF($F2045:$AJ2045,"WO"))</f>
        <v/>
      </c>
      <c r="AV2045" s="34" t="str">
        <f aca="false">IF($B2045="","",COUNTIF($F2045:$AJ2045,"PH"))</f>
        <v/>
      </c>
      <c r="AW2045" s="34" t="str">
        <f aca="false">IF($B2045="","",COUNTIF($F2045:$AJ2045,"TR"))</f>
        <v/>
      </c>
      <c r="AX2045" s="35" t="str">
        <f aca="false">IF($B2045="","",AO2045+AS2045/2)</f>
        <v/>
      </c>
      <c r="AY2045" s="35" t="str">
        <f aca="false">IF($B2045="","",AQ2045)</f>
        <v/>
      </c>
      <c r="AZ2045" s="35" t="str">
        <f aca="false">IF($B2045="","",AP2045+AT2045/2)</f>
        <v/>
      </c>
      <c r="BA2045" s="35" t="str">
        <f aca="false">IF($B2045="","",AK2045+AN2045+AM2045/2+AO2045+AP2045+AQ2045+AR2045+AS2045+AT2045+AU2045+AV2045+AW2045)</f>
        <v/>
      </c>
      <c r="BB2045" s="35" t="str">
        <f aca="false">IF($B2045="","",MAX(0,AN2045-Settings!$C$16)*Settings!$C$17)</f>
        <v/>
      </c>
      <c r="BC2045" s="35" t="str">
        <f aca="false">IF($B2045="","",BA2045-BB2045)</f>
        <v/>
      </c>
      <c r="BD2045" s="35" t="str">
        <f aca="false">IF(OR($B2045="",$A2045=""),"",DAY(EOMONTH($A2045,0))-COUNTA($F2045:$AJ2045))</f>
        <v/>
      </c>
    </row>
    <row r="2046" customFormat="false" ht="15" hidden="false" customHeight="false" outlineLevel="0" collapsed="false">
      <c r="A2046" s="32"/>
      <c r="B2046" s="29"/>
      <c r="C2046" s="10" t="str">
        <f aca="false">IF($B2046="","",IFERROR(INDEX(M_name,MATCH($B2046,M_emp,0)),"Code not found"))</f>
        <v/>
      </c>
      <c r="D2046" s="10" t="str">
        <f aca="false">IF($B2046="","",IFERROR(INDEX(M_dept,MATCH($B2046,M_emp,0)),""))</f>
        <v/>
      </c>
      <c r="E2046" s="10" t="str">
        <f aca="false">IF($B2046="","",IFERROR(INDEX(M_loc,MATCH($B2046,M_emp,0)),""))</f>
        <v/>
      </c>
      <c r="F2046" s="33"/>
      <c r="G2046" s="33"/>
      <c r="H2046" s="33"/>
      <c r="I2046" s="33"/>
      <c r="J2046" s="33"/>
      <c r="K2046" s="33"/>
      <c r="L2046" s="33"/>
      <c r="M2046" s="33"/>
      <c r="N2046" s="33"/>
      <c r="O2046" s="33"/>
      <c r="P2046" s="33"/>
      <c r="Q2046" s="33"/>
      <c r="R2046" s="33"/>
      <c r="S2046" s="33"/>
      <c r="T2046" s="33"/>
      <c r="U2046" s="33"/>
      <c r="V2046" s="33"/>
      <c r="W2046" s="33"/>
      <c r="X2046" s="33"/>
      <c r="Y2046" s="33"/>
      <c r="Z2046" s="33"/>
      <c r="AA2046" s="33"/>
      <c r="AB2046" s="33"/>
      <c r="AC2046" s="33"/>
      <c r="AD2046" s="33"/>
      <c r="AE2046" s="33"/>
      <c r="AF2046" s="33"/>
      <c r="AG2046" s="33"/>
      <c r="AH2046" s="33"/>
      <c r="AI2046" s="33"/>
      <c r="AJ2046" s="33"/>
      <c r="AK2046" s="34" t="str">
        <f aca="false">IF($B2046="","",COUNTIF($F2046:$AJ2046,"P"))</f>
        <v/>
      </c>
      <c r="AL2046" s="34" t="str">
        <f aca="false">IF($B2046="","",COUNTIF($F2046:$AJ2046,"A"))</f>
        <v/>
      </c>
      <c r="AM2046" s="34" t="str">
        <f aca="false">IF($B2046="","",COUNTIF($F2046:$AJ2046,"HA"))</f>
        <v/>
      </c>
      <c r="AN2046" s="34" t="str">
        <f aca="false">IF($B2046="","",COUNTIF($F2046:$AJ2046,"L"))</f>
        <v/>
      </c>
      <c r="AO2046" s="34" t="str">
        <f aca="false">IF($B2046="","",COUNTIF($F2046:$AJ2046,"PL"))</f>
        <v/>
      </c>
      <c r="AP2046" s="34" t="str">
        <f aca="false">IF($B2046="","",COUNTIF($F2046:$AJ2046,"CL"))</f>
        <v/>
      </c>
      <c r="AQ2046" s="34" t="str">
        <f aca="false">IF($B2046="","",COUNTIF($F2046:$AJ2046,"SL"))</f>
        <v/>
      </c>
      <c r="AR2046" s="34" t="str">
        <f aca="false">IF($B2046="","",COUNTIF($F2046:$AJ2046,"CO"))</f>
        <v/>
      </c>
      <c r="AS2046" s="34" t="str">
        <f aca="false">IF($B2046="","",COUNTIF($F2046:$AJ2046,"HPL"))</f>
        <v/>
      </c>
      <c r="AT2046" s="34" t="str">
        <f aca="false">IF($B2046="","",COUNTIF($F2046:$AJ2046,"HCL"))</f>
        <v/>
      </c>
      <c r="AU2046" s="34" t="str">
        <f aca="false">IF($B2046="","",COUNTIF($F2046:$AJ2046,"WO"))</f>
        <v/>
      </c>
      <c r="AV2046" s="34" t="str">
        <f aca="false">IF($B2046="","",COUNTIF($F2046:$AJ2046,"PH"))</f>
        <v/>
      </c>
      <c r="AW2046" s="34" t="str">
        <f aca="false">IF($B2046="","",COUNTIF($F2046:$AJ2046,"TR"))</f>
        <v/>
      </c>
      <c r="AX2046" s="35" t="str">
        <f aca="false">IF($B2046="","",AO2046+AS2046/2)</f>
        <v/>
      </c>
      <c r="AY2046" s="35" t="str">
        <f aca="false">IF($B2046="","",AQ2046)</f>
        <v/>
      </c>
      <c r="AZ2046" s="35" t="str">
        <f aca="false">IF($B2046="","",AP2046+AT2046/2)</f>
        <v/>
      </c>
      <c r="BA2046" s="35" t="str">
        <f aca="false">IF($B2046="","",AK2046+AN2046+AM2046/2+AO2046+AP2046+AQ2046+AR2046+AS2046+AT2046+AU2046+AV2046+AW2046)</f>
        <v/>
      </c>
      <c r="BB2046" s="35" t="str">
        <f aca="false">IF($B2046="","",MAX(0,AN2046-Settings!$C$16)*Settings!$C$17)</f>
        <v/>
      </c>
      <c r="BC2046" s="35" t="str">
        <f aca="false">IF($B2046="","",BA2046-BB2046)</f>
        <v/>
      </c>
      <c r="BD2046" s="35" t="str">
        <f aca="false">IF(OR($B2046="",$A2046=""),"",DAY(EOMONTH($A2046,0))-COUNTA($F2046:$AJ2046))</f>
        <v/>
      </c>
    </row>
    <row r="2047" customFormat="false" ht="15" hidden="false" customHeight="false" outlineLevel="0" collapsed="false">
      <c r="A2047" s="32"/>
      <c r="B2047" s="29"/>
      <c r="C2047" s="10" t="str">
        <f aca="false">IF($B2047="","",IFERROR(INDEX(M_name,MATCH($B2047,M_emp,0)),"Code not found"))</f>
        <v/>
      </c>
      <c r="D2047" s="10" t="str">
        <f aca="false">IF($B2047="","",IFERROR(INDEX(M_dept,MATCH($B2047,M_emp,0)),""))</f>
        <v/>
      </c>
      <c r="E2047" s="10" t="str">
        <f aca="false">IF($B2047="","",IFERROR(INDEX(M_loc,MATCH($B2047,M_emp,0)),""))</f>
        <v/>
      </c>
      <c r="F2047" s="33"/>
      <c r="G2047" s="33"/>
      <c r="H2047" s="33"/>
      <c r="I2047" s="33"/>
      <c r="J2047" s="33"/>
      <c r="K2047" s="33"/>
      <c r="L2047" s="33"/>
      <c r="M2047" s="33"/>
      <c r="N2047" s="33"/>
      <c r="O2047" s="33"/>
      <c r="P2047" s="33"/>
      <c r="Q2047" s="33"/>
      <c r="R2047" s="33"/>
      <c r="S2047" s="33"/>
      <c r="T2047" s="33"/>
      <c r="U2047" s="33"/>
      <c r="V2047" s="33"/>
      <c r="W2047" s="33"/>
      <c r="X2047" s="33"/>
      <c r="Y2047" s="33"/>
      <c r="Z2047" s="33"/>
      <c r="AA2047" s="33"/>
      <c r="AB2047" s="33"/>
      <c r="AC2047" s="33"/>
      <c r="AD2047" s="33"/>
      <c r="AE2047" s="33"/>
      <c r="AF2047" s="33"/>
      <c r="AG2047" s="33"/>
      <c r="AH2047" s="33"/>
      <c r="AI2047" s="33"/>
      <c r="AJ2047" s="33"/>
      <c r="AK2047" s="34" t="str">
        <f aca="false">IF($B2047="","",COUNTIF($F2047:$AJ2047,"P"))</f>
        <v/>
      </c>
      <c r="AL2047" s="34" t="str">
        <f aca="false">IF($B2047="","",COUNTIF($F2047:$AJ2047,"A"))</f>
        <v/>
      </c>
      <c r="AM2047" s="34" t="str">
        <f aca="false">IF($B2047="","",COUNTIF($F2047:$AJ2047,"HA"))</f>
        <v/>
      </c>
      <c r="AN2047" s="34" t="str">
        <f aca="false">IF($B2047="","",COUNTIF($F2047:$AJ2047,"L"))</f>
        <v/>
      </c>
      <c r="AO2047" s="34" t="str">
        <f aca="false">IF($B2047="","",COUNTIF($F2047:$AJ2047,"PL"))</f>
        <v/>
      </c>
      <c r="AP2047" s="34" t="str">
        <f aca="false">IF($B2047="","",COUNTIF($F2047:$AJ2047,"CL"))</f>
        <v/>
      </c>
      <c r="AQ2047" s="34" t="str">
        <f aca="false">IF($B2047="","",COUNTIF($F2047:$AJ2047,"SL"))</f>
        <v/>
      </c>
      <c r="AR2047" s="34" t="str">
        <f aca="false">IF($B2047="","",COUNTIF($F2047:$AJ2047,"CO"))</f>
        <v/>
      </c>
      <c r="AS2047" s="34" t="str">
        <f aca="false">IF($B2047="","",COUNTIF($F2047:$AJ2047,"HPL"))</f>
        <v/>
      </c>
      <c r="AT2047" s="34" t="str">
        <f aca="false">IF($B2047="","",COUNTIF($F2047:$AJ2047,"HCL"))</f>
        <v/>
      </c>
      <c r="AU2047" s="34" t="str">
        <f aca="false">IF($B2047="","",COUNTIF($F2047:$AJ2047,"WO"))</f>
        <v/>
      </c>
      <c r="AV2047" s="34" t="str">
        <f aca="false">IF($B2047="","",COUNTIF($F2047:$AJ2047,"PH"))</f>
        <v/>
      </c>
      <c r="AW2047" s="34" t="str">
        <f aca="false">IF($B2047="","",COUNTIF($F2047:$AJ2047,"TR"))</f>
        <v/>
      </c>
      <c r="AX2047" s="35" t="str">
        <f aca="false">IF($B2047="","",AO2047+AS2047/2)</f>
        <v/>
      </c>
      <c r="AY2047" s="35" t="str">
        <f aca="false">IF($B2047="","",AQ2047)</f>
        <v/>
      </c>
      <c r="AZ2047" s="35" t="str">
        <f aca="false">IF($B2047="","",AP2047+AT2047/2)</f>
        <v/>
      </c>
      <c r="BA2047" s="35" t="str">
        <f aca="false">IF($B2047="","",AK2047+AN2047+AM2047/2+AO2047+AP2047+AQ2047+AR2047+AS2047+AT2047+AU2047+AV2047+AW2047)</f>
        <v/>
      </c>
      <c r="BB2047" s="35" t="str">
        <f aca="false">IF($B2047="","",MAX(0,AN2047-Settings!$C$16)*Settings!$C$17)</f>
        <v/>
      </c>
      <c r="BC2047" s="35" t="str">
        <f aca="false">IF($B2047="","",BA2047-BB2047)</f>
        <v/>
      </c>
      <c r="BD2047" s="35" t="str">
        <f aca="false">IF(OR($B2047="",$A2047=""),"",DAY(EOMONTH($A2047,0))-COUNTA($F2047:$AJ2047))</f>
        <v/>
      </c>
    </row>
    <row r="2048" customFormat="false" ht="15" hidden="false" customHeight="false" outlineLevel="0" collapsed="false">
      <c r="A2048" s="32"/>
      <c r="B2048" s="29"/>
      <c r="C2048" s="10" t="str">
        <f aca="false">IF($B2048="","",IFERROR(INDEX(M_name,MATCH($B2048,M_emp,0)),"Code not found"))</f>
        <v/>
      </c>
      <c r="D2048" s="10" t="str">
        <f aca="false">IF($B2048="","",IFERROR(INDEX(M_dept,MATCH($B2048,M_emp,0)),""))</f>
        <v/>
      </c>
      <c r="E2048" s="10" t="str">
        <f aca="false">IF($B2048="","",IFERROR(INDEX(M_loc,MATCH($B2048,M_emp,0)),""))</f>
        <v/>
      </c>
      <c r="F2048" s="33"/>
      <c r="G2048" s="33"/>
      <c r="H2048" s="33"/>
      <c r="I2048" s="33"/>
      <c r="J2048" s="33"/>
      <c r="K2048" s="33"/>
      <c r="L2048" s="33"/>
      <c r="M2048" s="33"/>
      <c r="N2048" s="33"/>
      <c r="O2048" s="33"/>
      <c r="P2048" s="33"/>
      <c r="Q2048" s="33"/>
      <c r="R2048" s="33"/>
      <c r="S2048" s="33"/>
      <c r="T2048" s="33"/>
      <c r="U2048" s="33"/>
      <c r="V2048" s="33"/>
      <c r="W2048" s="33"/>
      <c r="X2048" s="33"/>
      <c r="Y2048" s="33"/>
      <c r="Z2048" s="33"/>
      <c r="AA2048" s="33"/>
      <c r="AB2048" s="33"/>
      <c r="AC2048" s="33"/>
      <c r="AD2048" s="33"/>
      <c r="AE2048" s="33"/>
      <c r="AF2048" s="33"/>
      <c r="AG2048" s="33"/>
      <c r="AH2048" s="33"/>
      <c r="AI2048" s="33"/>
      <c r="AJ2048" s="33"/>
      <c r="AK2048" s="34" t="str">
        <f aca="false">IF($B2048="","",COUNTIF($F2048:$AJ2048,"P"))</f>
        <v/>
      </c>
      <c r="AL2048" s="34" t="str">
        <f aca="false">IF($B2048="","",COUNTIF($F2048:$AJ2048,"A"))</f>
        <v/>
      </c>
      <c r="AM2048" s="34" t="str">
        <f aca="false">IF($B2048="","",COUNTIF($F2048:$AJ2048,"HA"))</f>
        <v/>
      </c>
      <c r="AN2048" s="34" t="str">
        <f aca="false">IF($B2048="","",COUNTIF($F2048:$AJ2048,"L"))</f>
        <v/>
      </c>
      <c r="AO2048" s="34" t="str">
        <f aca="false">IF($B2048="","",COUNTIF($F2048:$AJ2048,"PL"))</f>
        <v/>
      </c>
      <c r="AP2048" s="34" t="str">
        <f aca="false">IF($B2048="","",COUNTIF($F2048:$AJ2048,"CL"))</f>
        <v/>
      </c>
      <c r="AQ2048" s="34" t="str">
        <f aca="false">IF($B2048="","",COUNTIF($F2048:$AJ2048,"SL"))</f>
        <v/>
      </c>
      <c r="AR2048" s="34" t="str">
        <f aca="false">IF($B2048="","",COUNTIF($F2048:$AJ2048,"CO"))</f>
        <v/>
      </c>
      <c r="AS2048" s="34" t="str">
        <f aca="false">IF($B2048="","",COUNTIF($F2048:$AJ2048,"HPL"))</f>
        <v/>
      </c>
      <c r="AT2048" s="34" t="str">
        <f aca="false">IF($B2048="","",COUNTIF($F2048:$AJ2048,"HCL"))</f>
        <v/>
      </c>
      <c r="AU2048" s="34" t="str">
        <f aca="false">IF($B2048="","",COUNTIF($F2048:$AJ2048,"WO"))</f>
        <v/>
      </c>
      <c r="AV2048" s="34" t="str">
        <f aca="false">IF($B2048="","",COUNTIF($F2048:$AJ2048,"PH"))</f>
        <v/>
      </c>
      <c r="AW2048" s="34" t="str">
        <f aca="false">IF($B2048="","",COUNTIF($F2048:$AJ2048,"TR"))</f>
        <v/>
      </c>
      <c r="AX2048" s="35" t="str">
        <f aca="false">IF($B2048="","",AO2048+AS2048/2)</f>
        <v/>
      </c>
      <c r="AY2048" s="35" t="str">
        <f aca="false">IF($B2048="","",AQ2048)</f>
        <v/>
      </c>
      <c r="AZ2048" s="35" t="str">
        <f aca="false">IF($B2048="","",AP2048+AT2048/2)</f>
        <v/>
      </c>
      <c r="BA2048" s="35" t="str">
        <f aca="false">IF($B2048="","",AK2048+AN2048+AM2048/2+AO2048+AP2048+AQ2048+AR2048+AS2048+AT2048+AU2048+AV2048+AW2048)</f>
        <v/>
      </c>
      <c r="BB2048" s="35" t="str">
        <f aca="false">IF($B2048="","",MAX(0,AN2048-Settings!$C$16)*Settings!$C$17)</f>
        <v/>
      </c>
      <c r="BC2048" s="35" t="str">
        <f aca="false">IF($B2048="","",BA2048-BB2048)</f>
        <v/>
      </c>
      <c r="BD2048" s="35" t="str">
        <f aca="false">IF(OR($B2048="",$A2048=""),"",DAY(EOMONTH($A2048,0))-COUNTA($F2048:$AJ2048))</f>
        <v/>
      </c>
    </row>
    <row r="2049" customFormat="false" ht="15" hidden="false" customHeight="false" outlineLevel="0" collapsed="false">
      <c r="A2049" s="32"/>
      <c r="B2049" s="29"/>
      <c r="C2049" s="10" t="str">
        <f aca="false">IF($B2049="","",IFERROR(INDEX(M_name,MATCH($B2049,M_emp,0)),"Code not found"))</f>
        <v/>
      </c>
      <c r="D2049" s="10" t="str">
        <f aca="false">IF($B2049="","",IFERROR(INDEX(M_dept,MATCH($B2049,M_emp,0)),""))</f>
        <v/>
      </c>
      <c r="E2049" s="10" t="str">
        <f aca="false">IF($B2049="","",IFERROR(INDEX(M_loc,MATCH($B2049,M_emp,0)),""))</f>
        <v/>
      </c>
      <c r="F2049" s="33"/>
      <c r="G2049" s="33"/>
      <c r="H2049" s="33"/>
      <c r="I2049" s="33"/>
      <c r="J2049" s="33"/>
      <c r="K2049" s="33"/>
      <c r="L2049" s="33"/>
      <c r="M2049" s="33"/>
      <c r="N2049" s="33"/>
      <c r="O2049" s="33"/>
      <c r="P2049" s="33"/>
      <c r="Q2049" s="33"/>
      <c r="R2049" s="33"/>
      <c r="S2049" s="33"/>
      <c r="T2049" s="33"/>
      <c r="U2049" s="33"/>
      <c r="V2049" s="33"/>
      <c r="W2049" s="33"/>
      <c r="X2049" s="33"/>
      <c r="Y2049" s="33"/>
      <c r="Z2049" s="33"/>
      <c r="AA2049" s="33"/>
      <c r="AB2049" s="33"/>
      <c r="AC2049" s="33"/>
      <c r="AD2049" s="33"/>
      <c r="AE2049" s="33"/>
      <c r="AF2049" s="33"/>
      <c r="AG2049" s="33"/>
      <c r="AH2049" s="33"/>
      <c r="AI2049" s="33"/>
      <c r="AJ2049" s="33"/>
      <c r="AK2049" s="34" t="str">
        <f aca="false">IF($B2049="","",COUNTIF($F2049:$AJ2049,"P"))</f>
        <v/>
      </c>
      <c r="AL2049" s="34" t="str">
        <f aca="false">IF($B2049="","",COUNTIF($F2049:$AJ2049,"A"))</f>
        <v/>
      </c>
      <c r="AM2049" s="34" t="str">
        <f aca="false">IF($B2049="","",COUNTIF($F2049:$AJ2049,"HA"))</f>
        <v/>
      </c>
      <c r="AN2049" s="34" t="str">
        <f aca="false">IF($B2049="","",COUNTIF($F2049:$AJ2049,"L"))</f>
        <v/>
      </c>
      <c r="AO2049" s="34" t="str">
        <f aca="false">IF($B2049="","",COUNTIF($F2049:$AJ2049,"PL"))</f>
        <v/>
      </c>
      <c r="AP2049" s="34" t="str">
        <f aca="false">IF($B2049="","",COUNTIF($F2049:$AJ2049,"CL"))</f>
        <v/>
      </c>
      <c r="AQ2049" s="34" t="str">
        <f aca="false">IF($B2049="","",COUNTIF($F2049:$AJ2049,"SL"))</f>
        <v/>
      </c>
      <c r="AR2049" s="34" t="str">
        <f aca="false">IF($B2049="","",COUNTIF($F2049:$AJ2049,"CO"))</f>
        <v/>
      </c>
      <c r="AS2049" s="34" t="str">
        <f aca="false">IF($B2049="","",COUNTIF($F2049:$AJ2049,"HPL"))</f>
        <v/>
      </c>
      <c r="AT2049" s="34" t="str">
        <f aca="false">IF($B2049="","",COUNTIF($F2049:$AJ2049,"HCL"))</f>
        <v/>
      </c>
      <c r="AU2049" s="34" t="str">
        <f aca="false">IF($B2049="","",COUNTIF($F2049:$AJ2049,"WO"))</f>
        <v/>
      </c>
      <c r="AV2049" s="34" t="str">
        <f aca="false">IF($B2049="","",COUNTIF($F2049:$AJ2049,"PH"))</f>
        <v/>
      </c>
      <c r="AW2049" s="34" t="str">
        <f aca="false">IF($B2049="","",COUNTIF($F2049:$AJ2049,"TR"))</f>
        <v/>
      </c>
      <c r="AX2049" s="35" t="str">
        <f aca="false">IF($B2049="","",AO2049+AS2049/2)</f>
        <v/>
      </c>
      <c r="AY2049" s="35" t="str">
        <f aca="false">IF($B2049="","",AQ2049)</f>
        <v/>
      </c>
      <c r="AZ2049" s="35" t="str">
        <f aca="false">IF($B2049="","",AP2049+AT2049/2)</f>
        <v/>
      </c>
      <c r="BA2049" s="35" t="str">
        <f aca="false">IF($B2049="","",AK2049+AN2049+AM2049/2+AO2049+AP2049+AQ2049+AR2049+AS2049+AT2049+AU2049+AV2049+AW2049)</f>
        <v/>
      </c>
      <c r="BB2049" s="35" t="str">
        <f aca="false">IF($B2049="","",MAX(0,AN2049-Settings!$C$16)*Settings!$C$17)</f>
        <v/>
      </c>
      <c r="BC2049" s="35" t="str">
        <f aca="false">IF($B2049="","",BA2049-BB2049)</f>
        <v/>
      </c>
      <c r="BD2049" s="35" t="str">
        <f aca="false">IF(OR($B2049="",$A2049=""),"",DAY(EOMONTH($A2049,0))-COUNTA($F2049:$AJ2049))</f>
        <v/>
      </c>
    </row>
    <row r="2050" customFormat="false" ht="15" hidden="false" customHeight="false" outlineLevel="0" collapsed="false">
      <c r="A2050" s="32"/>
      <c r="B2050" s="29"/>
      <c r="C2050" s="10" t="str">
        <f aca="false">IF($B2050="","",IFERROR(INDEX(M_name,MATCH($B2050,M_emp,0)),"Code not found"))</f>
        <v/>
      </c>
      <c r="D2050" s="10" t="str">
        <f aca="false">IF($B2050="","",IFERROR(INDEX(M_dept,MATCH($B2050,M_emp,0)),""))</f>
        <v/>
      </c>
      <c r="E2050" s="10" t="str">
        <f aca="false">IF($B2050="","",IFERROR(INDEX(M_loc,MATCH($B2050,M_emp,0)),""))</f>
        <v/>
      </c>
      <c r="F2050" s="33"/>
      <c r="G2050" s="33"/>
      <c r="H2050" s="33"/>
      <c r="I2050" s="33"/>
      <c r="J2050" s="33"/>
      <c r="K2050" s="33"/>
      <c r="L2050" s="33"/>
      <c r="M2050" s="33"/>
      <c r="N2050" s="33"/>
      <c r="O2050" s="33"/>
      <c r="P2050" s="33"/>
      <c r="Q2050" s="33"/>
      <c r="R2050" s="33"/>
      <c r="S2050" s="33"/>
      <c r="T2050" s="33"/>
      <c r="U2050" s="33"/>
      <c r="V2050" s="33"/>
      <c r="W2050" s="33"/>
      <c r="X2050" s="33"/>
      <c r="Y2050" s="33"/>
      <c r="Z2050" s="33"/>
      <c r="AA2050" s="33"/>
      <c r="AB2050" s="33"/>
      <c r="AC2050" s="33"/>
      <c r="AD2050" s="33"/>
      <c r="AE2050" s="33"/>
      <c r="AF2050" s="33"/>
      <c r="AG2050" s="33"/>
      <c r="AH2050" s="33"/>
      <c r="AI2050" s="33"/>
      <c r="AJ2050" s="33"/>
      <c r="AK2050" s="34" t="str">
        <f aca="false">IF($B2050="","",COUNTIF($F2050:$AJ2050,"P"))</f>
        <v/>
      </c>
      <c r="AL2050" s="34" t="str">
        <f aca="false">IF($B2050="","",COUNTIF($F2050:$AJ2050,"A"))</f>
        <v/>
      </c>
      <c r="AM2050" s="34" t="str">
        <f aca="false">IF($B2050="","",COUNTIF($F2050:$AJ2050,"HA"))</f>
        <v/>
      </c>
      <c r="AN2050" s="34" t="str">
        <f aca="false">IF($B2050="","",COUNTIF($F2050:$AJ2050,"L"))</f>
        <v/>
      </c>
      <c r="AO2050" s="34" t="str">
        <f aca="false">IF($B2050="","",COUNTIF($F2050:$AJ2050,"PL"))</f>
        <v/>
      </c>
      <c r="AP2050" s="34" t="str">
        <f aca="false">IF($B2050="","",COUNTIF($F2050:$AJ2050,"CL"))</f>
        <v/>
      </c>
      <c r="AQ2050" s="34" t="str">
        <f aca="false">IF($B2050="","",COUNTIF($F2050:$AJ2050,"SL"))</f>
        <v/>
      </c>
      <c r="AR2050" s="34" t="str">
        <f aca="false">IF($B2050="","",COUNTIF($F2050:$AJ2050,"CO"))</f>
        <v/>
      </c>
      <c r="AS2050" s="34" t="str">
        <f aca="false">IF($B2050="","",COUNTIF($F2050:$AJ2050,"HPL"))</f>
        <v/>
      </c>
      <c r="AT2050" s="34" t="str">
        <f aca="false">IF($B2050="","",COUNTIF($F2050:$AJ2050,"HCL"))</f>
        <v/>
      </c>
      <c r="AU2050" s="34" t="str">
        <f aca="false">IF($B2050="","",COUNTIF($F2050:$AJ2050,"WO"))</f>
        <v/>
      </c>
      <c r="AV2050" s="34" t="str">
        <f aca="false">IF($B2050="","",COUNTIF($F2050:$AJ2050,"PH"))</f>
        <v/>
      </c>
      <c r="AW2050" s="34" t="str">
        <f aca="false">IF($B2050="","",COUNTIF($F2050:$AJ2050,"TR"))</f>
        <v/>
      </c>
      <c r="AX2050" s="35" t="str">
        <f aca="false">IF($B2050="","",AO2050+AS2050/2)</f>
        <v/>
      </c>
      <c r="AY2050" s="35" t="str">
        <f aca="false">IF($B2050="","",AQ2050)</f>
        <v/>
      </c>
      <c r="AZ2050" s="35" t="str">
        <f aca="false">IF($B2050="","",AP2050+AT2050/2)</f>
        <v/>
      </c>
      <c r="BA2050" s="35" t="str">
        <f aca="false">IF($B2050="","",AK2050+AN2050+AM2050/2+AO2050+AP2050+AQ2050+AR2050+AS2050+AT2050+AU2050+AV2050+AW2050)</f>
        <v/>
      </c>
      <c r="BB2050" s="35" t="str">
        <f aca="false">IF($B2050="","",MAX(0,AN2050-Settings!$C$16)*Settings!$C$17)</f>
        <v/>
      </c>
      <c r="BC2050" s="35" t="str">
        <f aca="false">IF($B2050="","",BA2050-BB2050)</f>
        <v/>
      </c>
      <c r="BD2050" s="35" t="str">
        <f aca="false">IF(OR($B2050="",$A2050=""),"",DAY(EOMONTH($A2050,0))-COUNTA($F2050:$AJ2050))</f>
        <v/>
      </c>
    </row>
    <row r="2051" customFormat="false" ht="15" hidden="false" customHeight="false" outlineLevel="0" collapsed="false">
      <c r="A2051" s="32"/>
      <c r="B2051" s="29"/>
      <c r="C2051" s="10" t="str">
        <f aca="false">IF($B2051="","",IFERROR(INDEX(M_name,MATCH($B2051,M_emp,0)),"Code not found"))</f>
        <v/>
      </c>
      <c r="D2051" s="10" t="str">
        <f aca="false">IF($B2051="","",IFERROR(INDEX(M_dept,MATCH($B2051,M_emp,0)),""))</f>
        <v/>
      </c>
      <c r="E2051" s="10" t="str">
        <f aca="false">IF($B2051="","",IFERROR(INDEX(M_loc,MATCH($B2051,M_emp,0)),""))</f>
        <v/>
      </c>
      <c r="F2051" s="33"/>
      <c r="G2051" s="33"/>
      <c r="H2051" s="33"/>
      <c r="I2051" s="33"/>
      <c r="J2051" s="33"/>
      <c r="K2051" s="33"/>
      <c r="L2051" s="33"/>
      <c r="M2051" s="33"/>
      <c r="N2051" s="33"/>
      <c r="O2051" s="33"/>
      <c r="P2051" s="33"/>
      <c r="Q2051" s="33"/>
      <c r="R2051" s="33"/>
      <c r="S2051" s="33"/>
      <c r="T2051" s="33"/>
      <c r="U2051" s="33"/>
      <c r="V2051" s="33"/>
      <c r="W2051" s="33"/>
      <c r="X2051" s="33"/>
      <c r="Y2051" s="33"/>
      <c r="Z2051" s="33"/>
      <c r="AA2051" s="33"/>
      <c r="AB2051" s="33"/>
      <c r="AC2051" s="33"/>
      <c r="AD2051" s="33"/>
      <c r="AE2051" s="33"/>
      <c r="AF2051" s="33"/>
      <c r="AG2051" s="33"/>
      <c r="AH2051" s="33"/>
      <c r="AI2051" s="33"/>
      <c r="AJ2051" s="33"/>
      <c r="AK2051" s="34" t="str">
        <f aca="false">IF($B2051="","",COUNTIF($F2051:$AJ2051,"P"))</f>
        <v/>
      </c>
      <c r="AL2051" s="34" t="str">
        <f aca="false">IF($B2051="","",COUNTIF($F2051:$AJ2051,"A"))</f>
        <v/>
      </c>
      <c r="AM2051" s="34" t="str">
        <f aca="false">IF($B2051="","",COUNTIF($F2051:$AJ2051,"HA"))</f>
        <v/>
      </c>
      <c r="AN2051" s="34" t="str">
        <f aca="false">IF($B2051="","",COUNTIF($F2051:$AJ2051,"L"))</f>
        <v/>
      </c>
      <c r="AO2051" s="34" t="str">
        <f aca="false">IF($B2051="","",COUNTIF($F2051:$AJ2051,"PL"))</f>
        <v/>
      </c>
      <c r="AP2051" s="34" t="str">
        <f aca="false">IF($B2051="","",COUNTIF($F2051:$AJ2051,"CL"))</f>
        <v/>
      </c>
      <c r="AQ2051" s="34" t="str">
        <f aca="false">IF($B2051="","",COUNTIF($F2051:$AJ2051,"SL"))</f>
        <v/>
      </c>
      <c r="AR2051" s="34" t="str">
        <f aca="false">IF($B2051="","",COUNTIF($F2051:$AJ2051,"CO"))</f>
        <v/>
      </c>
      <c r="AS2051" s="34" t="str">
        <f aca="false">IF($B2051="","",COUNTIF($F2051:$AJ2051,"HPL"))</f>
        <v/>
      </c>
      <c r="AT2051" s="34" t="str">
        <f aca="false">IF($B2051="","",COUNTIF($F2051:$AJ2051,"HCL"))</f>
        <v/>
      </c>
      <c r="AU2051" s="34" t="str">
        <f aca="false">IF($B2051="","",COUNTIF($F2051:$AJ2051,"WO"))</f>
        <v/>
      </c>
      <c r="AV2051" s="34" t="str">
        <f aca="false">IF($B2051="","",COUNTIF($F2051:$AJ2051,"PH"))</f>
        <v/>
      </c>
      <c r="AW2051" s="34" t="str">
        <f aca="false">IF($B2051="","",COUNTIF($F2051:$AJ2051,"TR"))</f>
        <v/>
      </c>
      <c r="AX2051" s="35" t="str">
        <f aca="false">IF($B2051="","",AO2051+AS2051/2)</f>
        <v/>
      </c>
      <c r="AY2051" s="35" t="str">
        <f aca="false">IF($B2051="","",AQ2051)</f>
        <v/>
      </c>
      <c r="AZ2051" s="35" t="str">
        <f aca="false">IF($B2051="","",AP2051+AT2051/2)</f>
        <v/>
      </c>
      <c r="BA2051" s="35" t="str">
        <f aca="false">IF($B2051="","",AK2051+AN2051+AM2051/2+AO2051+AP2051+AQ2051+AR2051+AS2051+AT2051+AU2051+AV2051+AW2051)</f>
        <v/>
      </c>
      <c r="BB2051" s="35" t="str">
        <f aca="false">IF($B2051="","",MAX(0,AN2051-Settings!$C$16)*Settings!$C$17)</f>
        <v/>
      </c>
      <c r="BC2051" s="35" t="str">
        <f aca="false">IF($B2051="","",BA2051-BB2051)</f>
        <v/>
      </c>
      <c r="BD2051" s="35" t="str">
        <f aca="false">IF(OR($B2051="",$A2051=""),"",DAY(EOMONTH($A2051,0))-COUNTA($F2051:$AJ2051))</f>
        <v/>
      </c>
    </row>
    <row r="2052" customFormat="false" ht="15" hidden="false" customHeight="false" outlineLevel="0" collapsed="false">
      <c r="A2052" s="32"/>
      <c r="B2052" s="29"/>
      <c r="C2052" s="10" t="str">
        <f aca="false">IF($B2052="","",IFERROR(INDEX(M_name,MATCH($B2052,M_emp,0)),"Code not found"))</f>
        <v/>
      </c>
      <c r="D2052" s="10" t="str">
        <f aca="false">IF($B2052="","",IFERROR(INDEX(M_dept,MATCH($B2052,M_emp,0)),""))</f>
        <v/>
      </c>
      <c r="E2052" s="10" t="str">
        <f aca="false">IF($B2052="","",IFERROR(INDEX(M_loc,MATCH($B2052,M_emp,0)),""))</f>
        <v/>
      </c>
      <c r="F2052" s="33"/>
      <c r="G2052" s="33"/>
      <c r="H2052" s="33"/>
      <c r="I2052" s="33"/>
      <c r="J2052" s="33"/>
      <c r="K2052" s="33"/>
      <c r="L2052" s="33"/>
      <c r="M2052" s="33"/>
      <c r="N2052" s="33"/>
      <c r="O2052" s="33"/>
      <c r="P2052" s="33"/>
      <c r="Q2052" s="33"/>
      <c r="R2052" s="33"/>
      <c r="S2052" s="33"/>
      <c r="T2052" s="33"/>
      <c r="U2052" s="33"/>
      <c r="V2052" s="33"/>
      <c r="W2052" s="33"/>
      <c r="X2052" s="33"/>
      <c r="Y2052" s="33"/>
      <c r="Z2052" s="33"/>
      <c r="AA2052" s="33"/>
      <c r="AB2052" s="33"/>
      <c r="AC2052" s="33"/>
      <c r="AD2052" s="33"/>
      <c r="AE2052" s="33"/>
      <c r="AF2052" s="33"/>
      <c r="AG2052" s="33"/>
      <c r="AH2052" s="33"/>
      <c r="AI2052" s="33"/>
      <c r="AJ2052" s="33"/>
      <c r="AK2052" s="34" t="str">
        <f aca="false">IF($B2052="","",COUNTIF($F2052:$AJ2052,"P"))</f>
        <v/>
      </c>
      <c r="AL2052" s="34" t="str">
        <f aca="false">IF($B2052="","",COUNTIF($F2052:$AJ2052,"A"))</f>
        <v/>
      </c>
      <c r="AM2052" s="34" t="str">
        <f aca="false">IF($B2052="","",COUNTIF($F2052:$AJ2052,"HA"))</f>
        <v/>
      </c>
      <c r="AN2052" s="34" t="str">
        <f aca="false">IF($B2052="","",COUNTIF($F2052:$AJ2052,"L"))</f>
        <v/>
      </c>
      <c r="AO2052" s="34" t="str">
        <f aca="false">IF($B2052="","",COUNTIF($F2052:$AJ2052,"PL"))</f>
        <v/>
      </c>
      <c r="AP2052" s="34" t="str">
        <f aca="false">IF($B2052="","",COUNTIF($F2052:$AJ2052,"CL"))</f>
        <v/>
      </c>
      <c r="AQ2052" s="34" t="str">
        <f aca="false">IF($B2052="","",COUNTIF($F2052:$AJ2052,"SL"))</f>
        <v/>
      </c>
      <c r="AR2052" s="34" t="str">
        <f aca="false">IF($B2052="","",COUNTIF($F2052:$AJ2052,"CO"))</f>
        <v/>
      </c>
      <c r="AS2052" s="34" t="str">
        <f aca="false">IF($B2052="","",COUNTIF($F2052:$AJ2052,"HPL"))</f>
        <v/>
      </c>
      <c r="AT2052" s="34" t="str">
        <f aca="false">IF($B2052="","",COUNTIF($F2052:$AJ2052,"HCL"))</f>
        <v/>
      </c>
      <c r="AU2052" s="34" t="str">
        <f aca="false">IF($B2052="","",COUNTIF($F2052:$AJ2052,"WO"))</f>
        <v/>
      </c>
      <c r="AV2052" s="34" t="str">
        <f aca="false">IF($B2052="","",COUNTIF($F2052:$AJ2052,"PH"))</f>
        <v/>
      </c>
      <c r="AW2052" s="34" t="str">
        <f aca="false">IF($B2052="","",COUNTIF($F2052:$AJ2052,"TR"))</f>
        <v/>
      </c>
      <c r="AX2052" s="35" t="str">
        <f aca="false">IF($B2052="","",AO2052+AS2052/2)</f>
        <v/>
      </c>
      <c r="AY2052" s="35" t="str">
        <f aca="false">IF($B2052="","",AQ2052)</f>
        <v/>
      </c>
      <c r="AZ2052" s="35" t="str">
        <f aca="false">IF($B2052="","",AP2052+AT2052/2)</f>
        <v/>
      </c>
      <c r="BA2052" s="35" t="str">
        <f aca="false">IF($B2052="","",AK2052+AN2052+AM2052/2+AO2052+AP2052+AQ2052+AR2052+AS2052+AT2052+AU2052+AV2052+AW2052)</f>
        <v/>
      </c>
      <c r="BB2052" s="35" t="str">
        <f aca="false">IF($B2052="","",MAX(0,AN2052-Settings!$C$16)*Settings!$C$17)</f>
        <v/>
      </c>
      <c r="BC2052" s="35" t="str">
        <f aca="false">IF($B2052="","",BA2052-BB2052)</f>
        <v/>
      </c>
      <c r="BD2052" s="35" t="str">
        <f aca="false">IF(OR($B2052="",$A2052=""),"",DAY(EOMONTH($A2052,0))-COUNTA($F2052:$AJ2052))</f>
        <v/>
      </c>
    </row>
    <row r="2053" customFormat="false" ht="15" hidden="false" customHeight="false" outlineLevel="0" collapsed="false">
      <c r="A2053" s="32"/>
      <c r="B2053" s="29"/>
      <c r="C2053" s="10" t="str">
        <f aca="false">IF($B2053="","",IFERROR(INDEX(M_name,MATCH($B2053,M_emp,0)),"Code not found"))</f>
        <v/>
      </c>
      <c r="D2053" s="10" t="str">
        <f aca="false">IF($B2053="","",IFERROR(INDEX(M_dept,MATCH($B2053,M_emp,0)),""))</f>
        <v/>
      </c>
      <c r="E2053" s="10" t="str">
        <f aca="false">IF($B2053="","",IFERROR(INDEX(M_loc,MATCH($B2053,M_emp,0)),""))</f>
        <v/>
      </c>
      <c r="F2053" s="33"/>
      <c r="G2053" s="33"/>
      <c r="H2053" s="33"/>
      <c r="I2053" s="33"/>
      <c r="J2053" s="33"/>
      <c r="K2053" s="33"/>
      <c r="L2053" s="33"/>
      <c r="M2053" s="33"/>
      <c r="N2053" s="33"/>
      <c r="O2053" s="33"/>
      <c r="P2053" s="33"/>
      <c r="Q2053" s="33"/>
      <c r="R2053" s="33"/>
      <c r="S2053" s="33"/>
      <c r="T2053" s="33"/>
      <c r="U2053" s="33"/>
      <c r="V2053" s="33"/>
      <c r="W2053" s="33"/>
      <c r="X2053" s="33"/>
      <c r="Y2053" s="33"/>
      <c r="Z2053" s="33"/>
      <c r="AA2053" s="33"/>
      <c r="AB2053" s="33"/>
      <c r="AC2053" s="33"/>
      <c r="AD2053" s="33"/>
      <c r="AE2053" s="33"/>
      <c r="AF2053" s="33"/>
      <c r="AG2053" s="33"/>
      <c r="AH2053" s="33"/>
      <c r="AI2053" s="33"/>
      <c r="AJ2053" s="33"/>
      <c r="AK2053" s="34" t="str">
        <f aca="false">IF($B2053="","",COUNTIF($F2053:$AJ2053,"P"))</f>
        <v/>
      </c>
      <c r="AL2053" s="34" t="str">
        <f aca="false">IF($B2053="","",COUNTIF($F2053:$AJ2053,"A"))</f>
        <v/>
      </c>
      <c r="AM2053" s="34" t="str">
        <f aca="false">IF($B2053="","",COUNTIF($F2053:$AJ2053,"HA"))</f>
        <v/>
      </c>
      <c r="AN2053" s="34" t="str">
        <f aca="false">IF($B2053="","",COUNTIF($F2053:$AJ2053,"L"))</f>
        <v/>
      </c>
      <c r="AO2053" s="34" t="str">
        <f aca="false">IF($B2053="","",COUNTIF($F2053:$AJ2053,"PL"))</f>
        <v/>
      </c>
      <c r="AP2053" s="34" t="str">
        <f aca="false">IF($B2053="","",COUNTIF($F2053:$AJ2053,"CL"))</f>
        <v/>
      </c>
      <c r="AQ2053" s="34" t="str">
        <f aca="false">IF($B2053="","",COUNTIF($F2053:$AJ2053,"SL"))</f>
        <v/>
      </c>
      <c r="AR2053" s="34" t="str">
        <f aca="false">IF($B2053="","",COUNTIF($F2053:$AJ2053,"CO"))</f>
        <v/>
      </c>
      <c r="AS2053" s="34" t="str">
        <f aca="false">IF($B2053="","",COUNTIF($F2053:$AJ2053,"HPL"))</f>
        <v/>
      </c>
      <c r="AT2053" s="34" t="str">
        <f aca="false">IF($B2053="","",COUNTIF($F2053:$AJ2053,"HCL"))</f>
        <v/>
      </c>
      <c r="AU2053" s="34" t="str">
        <f aca="false">IF($B2053="","",COUNTIF($F2053:$AJ2053,"WO"))</f>
        <v/>
      </c>
      <c r="AV2053" s="34" t="str">
        <f aca="false">IF($B2053="","",COUNTIF($F2053:$AJ2053,"PH"))</f>
        <v/>
      </c>
      <c r="AW2053" s="34" t="str">
        <f aca="false">IF($B2053="","",COUNTIF($F2053:$AJ2053,"TR"))</f>
        <v/>
      </c>
      <c r="AX2053" s="35" t="str">
        <f aca="false">IF($B2053="","",AO2053+AS2053/2)</f>
        <v/>
      </c>
      <c r="AY2053" s="35" t="str">
        <f aca="false">IF($B2053="","",AQ2053)</f>
        <v/>
      </c>
      <c r="AZ2053" s="35" t="str">
        <f aca="false">IF($B2053="","",AP2053+AT2053/2)</f>
        <v/>
      </c>
      <c r="BA2053" s="35" t="str">
        <f aca="false">IF($B2053="","",AK2053+AN2053+AM2053/2+AO2053+AP2053+AQ2053+AR2053+AS2053+AT2053+AU2053+AV2053+AW2053)</f>
        <v/>
      </c>
      <c r="BB2053" s="35" t="str">
        <f aca="false">IF($B2053="","",MAX(0,AN2053-Settings!$C$16)*Settings!$C$17)</f>
        <v/>
      </c>
      <c r="BC2053" s="35" t="str">
        <f aca="false">IF($B2053="","",BA2053-BB2053)</f>
        <v/>
      </c>
      <c r="BD2053" s="35" t="str">
        <f aca="false">IF(OR($B2053="",$A2053=""),"",DAY(EOMONTH($A2053,0))-COUNTA($F2053:$AJ2053))</f>
        <v/>
      </c>
    </row>
    <row r="2054" customFormat="false" ht="15" hidden="false" customHeight="false" outlineLevel="0" collapsed="false">
      <c r="A2054" s="32"/>
      <c r="B2054" s="29"/>
      <c r="C2054" s="10" t="str">
        <f aca="false">IF($B2054="","",IFERROR(INDEX(M_name,MATCH($B2054,M_emp,0)),"Code not found"))</f>
        <v/>
      </c>
      <c r="D2054" s="10" t="str">
        <f aca="false">IF($B2054="","",IFERROR(INDEX(M_dept,MATCH($B2054,M_emp,0)),""))</f>
        <v/>
      </c>
      <c r="E2054" s="10" t="str">
        <f aca="false">IF($B2054="","",IFERROR(INDEX(M_loc,MATCH($B2054,M_emp,0)),""))</f>
        <v/>
      </c>
      <c r="F2054" s="33"/>
      <c r="G2054" s="33"/>
      <c r="H2054" s="33"/>
      <c r="I2054" s="33"/>
      <c r="J2054" s="33"/>
      <c r="K2054" s="33"/>
      <c r="L2054" s="33"/>
      <c r="M2054" s="33"/>
      <c r="N2054" s="33"/>
      <c r="O2054" s="33"/>
      <c r="P2054" s="33"/>
      <c r="Q2054" s="33"/>
      <c r="R2054" s="33"/>
      <c r="S2054" s="33"/>
      <c r="T2054" s="33"/>
      <c r="U2054" s="33"/>
      <c r="V2054" s="33"/>
      <c r="W2054" s="33"/>
      <c r="X2054" s="33"/>
      <c r="Y2054" s="33"/>
      <c r="Z2054" s="33"/>
      <c r="AA2054" s="33"/>
      <c r="AB2054" s="33"/>
      <c r="AC2054" s="33"/>
      <c r="AD2054" s="33"/>
      <c r="AE2054" s="33"/>
      <c r="AF2054" s="33"/>
      <c r="AG2054" s="33"/>
      <c r="AH2054" s="33"/>
      <c r="AI2054" s="33"/>
      <c r="AJ2054" s="33"/>
      <c r="AK2054" s="34" t="str">
        <f aca="false">IF($B2054="","",COUNTIF($F2054:$AJ2054,"P"))</f>
        <v/>
      </c>
      <c r="AL2054" s="34" t="str">
        <f aca="false">IF($B2054="","",COUNTIF($F2054:$AJ2054,"A"))</f>
        <v/>
      </c>
      <c r="AM2054" s="34" t="str">
        <f aca="false">IF($B2054="","",COUNTIF($F2054:$AJ2054,"HA"))</f>
        <v/>
      </c>
      <c r="AN2054" s="34" t="str">
        <f aca="false">IF($B2054="","",COUNTIF($F2054:$AJ2054,"L"))</f>
        <v/>
      </c>
      <c r="AO2054" s="34" t="str">
        <f aca="false">IF($B2054="","",COUNTIF($F2054:$AJ2054,"PL"))</f>
        <v/>
      </c>
      <c r="AP2054" s="34" t="str">
        <f aca="false">IF($B2054="","",COUNTIF($F2054:$AJ2054,"CL"))</f>
        <v/>
      </c>
      <c r="AQ2054" s="34" t="str">
        <f aca="false">IF($B2054="","",COUNTIF($F2054:$AJ2054,"SL"))</f>
        <v/>
      </c>
      <c r="AR2054" s="34" t="str">
        <f aca="false">IF($B2054="","",COUNTIF($F2054:$AJ2054,"CO"))</f>
        <v/>
      </c>
      <c r="AS2054" s="34" t="str">
        <f aca="false">IF($B2054="","",COUNTIF($F2054:$AJ2054,"HPL"))</f>
        <v/>
      </c>
      <c r="AT2054" s="34" t="str">
        <f aca="false">IF($B2054="","",COUNTIF($F2054:$AJ2054,"HCL"))</f>
        <v/>
      </c>
      <c r="AU2054" s="34" t="str">
        <f aca="false">IF($B2054="","",COUNTIF($F2054:$AJ2054,"WO"))</f>
        <v/>
      </c>
      <c r="AV2054" s="34" t="str">
        <f aca="false">IF($B2054="","",COUNTIF($F2054:$AJ2054,"PH"))</f>
        <v/>
      </c>
      <c r="AW2054" s="34" t="str">
        <f aca="false">IF($B2054="","",COUNTIF($F2054:$AJ2054,"TR"))</f>
        <v/>
      </c>
      <c r="AX2054" s="35" t="str">
        <f aca="false">IF($B2054="","",AO2054+AS2054/2)</f>
        <v/>
      </c>
      <c r="AY2054" s="35" t="str">
        <f aca="false">IF($B2054="","",AQ2054)</f>
        <v/>
      </c>
      <c r="AZ2054" s="35" t="str">
        <f aca="false">IF($B2054="","",AP2054+AT2054/2)</f>
        <v/>
      </c>
      <c r="BA2054" s="35" t="str">
        <f aca="false">IF($B2054="","",AK2054+AN2054+AM2054/2+AO2054+AP2054+AQ2054+AR2054+AS2054+AT2054+AU2054+AV2054+AW2054)</f>
        <v/>
      </c>
      <c r="BB2054" s="35" t="str">
        <f aca="false">IF($B2054="","",MAX(0,AN2054-Settings!$C$16)*Settings!$C$17)</f>
        <v/>
      </c>
      <c r="BC2054" s="35" t="str">
        <f aca="false">IF($B2054="","",BA2054-BB2054)</f>
        <v/>
      </c>
      <c r="BD2054" s="35" t="str">
        <f aca="false">IF(OR($B2054="",$A2054=""),"",DAY(EOMONTH($A2054,0))-COUNTA($F2054:$AJ2054))</f>
        <v/>
      </c>
    </row>
    <row r="2055" customFormat="false" ht="15" hidden="false" customHeight="false" outlineLevel="0" collapsed="false">
      <c r="A2055" s="32"/>
      <c r="B2055" s="29"/>
      <c r="C2055" s="10" t="str">
        <f aca="false">IF($B2055="","",IFERROR(INDEX(M_name,MATCH($B2055,M_emp,0)),"Code not found"))</f>
        <v/>
      </c>
      <c r="D2055" s="10" t="str">
        <f aca="false">IF($B2055="","",IFERROR(INDEX(M_dept,MATCH($B2055,M_emp,0)),""))</f>
        <v/>
      </c>
      <c r="E2055" s="10" t="str">
        <f aca="false">IF($B2055="","",IFERROR(INDEX(M_loc,MATCH($B2055,M_emp,0)),""))</f>
        <v/>
      </c>
      <c r="F2055" s="33"/>
      <c r="G2055" s="33"/>
      <c r="H2055" s="33"/>
      <c r="I2055" s="33"/>
      <c r="J2055" s="33"/>
      <c r="K2055" s="33"/>
      <c r="L2055" s="33"/>
      <c r="M2055" s="33"/>
      <c r="N2055" s="33"/>
      <c r="O2055" s="33"/>
      <c r="P2055" s="33"/>
      <c r="Q2055" s="33"/>
      <c r="R2055" s="33"/>
      <c r="S2055" s="33"/>
      <c r="T2055" s="33"/>
      <c r="U2055" s="33"/>
      <c r="V2055" s="33"/>
      <c r="W2055" s="33"/>
      <c r="X2055" s="33"/>
      <c r="Y2055" s="33"/>
      <c r="Z2055" s="33"/>
      <c r="AA2055" s="33"/>
      <c r="AB2055" s="33"/>
      <c r="AC2055" s="33"/>
      <c r="AD2055" s="33"/>
      <c r="AE2055" s="33"/>
      <c r="AF2055" s="33"/>
      <c r="AG2055" s="33"/>
      <c r="AH2055" s="33"/>
      <c r="AI2055" s="33"/>
      <c r="AJ2055" s="33"/>
      <c r="AK2055" s="34" t="str">
        <f aca="false">IF($B2055="","",COUNTIF($F2055:$AJ2055,"P"))</f>
        <v/>
      </c>
      <c r="AL2055" s="34" t="str">
        <f aca="false">IF($B2055="","",COUNTIF($F2055:$AJ2055,"A"))</f>
        <v/>
      </c>
      <c r="AM2055" s="34" t="str">
        <f aca="false">IF($B2055="","",COUNTIF($F2055:$AJ2055,"HA"))</f>
        <v/>
      </c>
      <c r="AN2055" s="34" t="str">
        <f aca="false">IF($B2055="","",COUNTIF($F2055:$AJ2055,"L"))</f>
        <v/>
      </c>
      <c r="AO2055" s="34" t="str">
        <f aca="false">IF($B2055="","",COUNTIF($F2055:$AJ2055,"PL"))</f>
        <v/>
      </c>
      <c r="AP2055" s="34" t="str">
        <f aca="false">IF($B2055="","",COUNTIF($F2055:$AJ2055,"CL"))</f>
        <v/>
      </c>
      <c r="AQ2055" s="34" t="str">
        <f aca="false">IF($B2055="","",COUNTIF($F2055:$AJ2055,"SL"))</f>
        <v/>
      </c>
      <c r="AR2055" s="34" t="str">
        <f aca="false">IF($B2055="","",COUNTIF($F2055:$AJ2055,"CO"))</f>
        <v/>
      </c>
      <c r="AS2055" s="34" t="str">
        <f aca="false">IF($B2055="","",COUNTIF($F2055:$AJ2055,"HPL"))</f>
        <v/>
      </c>
      <c r="AT2055" s="34" t="str">
        <f aca="false">IF($B2055="","",COUNTIF($F2055:$AJ2055,"HCL"))</f>
        <v/>
      </c>
      <c r="AU2055" s="34" t="str">
        <f aca="false">IF($B2055="","",COUNTIF($F2055:$AJ2055,"WO"))</f>
        <v/>
      </c>
      <c r="AV2055" s="34" t="str">
        <f aca="false">IF($B2055="","",COUNTIF($F2055:$AJ2055,"PH"))</f>
        <v/>
      </c>
      <c r="AW2055" s="34" t="str">
        <f aca="false">IF($B2055="","",COUNTIF($F2055:$AJ2055,"TR"))</f>
        <v/>
      </c>
      <c r="AX2055" s="35" t="str">
        <f aca="false">IF($B2055="","",AO2055+AS2055/2)</f>
        <v/>
      </c>
      <c r="AY2055" s="35" t="str">
        <f aca="false">IF($B2055="","",AQ2055)</f>
        <v/>
      </c>
      <c r="AZ2055" s="35" t="str">
        <f aca="false">IF($B2055="","",AP2055+AT2055/2)</f>
        <v/>
      </c>
      <c r="BA2055" s="35" t="str">
        <f aca="false">IF($B2055="","",AK2055+AN2055+AM2055/2+AO2055+AP2055+AQ2055+AR2055+AS2055+AT2055+AU2055+AV2055+AW2055)</f>
        <v/>
      </c>
      <c r="BB2055" s="35" t="str">
        <f aca="false">IF($B2055="","",MAX(0,AN2055-Settings!$C$16)*Settings!$C$17)</f>
        <v/>
      </c>
      <c r="BC2055" s="35" t="str">
        <f aca="false">IF($B2055="","",BA2055-BB2055)</f>
        <v/>
      </c>
      <c r="BD2055" s="35" t="str">
        <f aca="false">IF(OR($B2055="",$A2055=""),"",DAY(EOMONTH($A2055,0))-COUNTA($F2055:$AJ2055))</f>
        <v/>
      </c>
    </row>
    <row r="2056" customFormat="false" ht="15" hidden="false" customHeight="false" outlineLevel="0" collapsed="false">
      <c r="A2056" s="32"/>
      <c r="B2056" s="29"/>
      <c r="C2056" s="10" t="str">
        <f aca="false">IF($B2056="","",IFERROR(INDEX(M_name,MATCH($B2056,M_emp,0)),"Code not found"))</f>
        <v/>
      </c>
      <c r="D2056" s="10" t="str">
        <f aca="false">IF($B2056="","",IFERROR(INDEX(M_dept,MATCH($B2056,M_emp,0)),""))</f>
        <v/>
      </c>
      <c r="E2056" s="10" t="str">
        <f aca="false">IF($B2056="","",IFERROR(INDEX(M_loc,MATCH($B2056,M_emp,0)),""))</f>
        <v/>
      </c>
      <c r="F2056" s="33"/>
      <c r="G2056" s="33"/>
      <c r="H2056" s="33"/>
      <c r="I2056" s="33"/>
      <c r="J2056" s="33"/>
      <c r="K2056" s="33"/>
      <c r="L2056" s="33"/>
      <c r="M2056" s="33"/>
      <c r="N2056" s="33"/>
      <c r="O2056" s="33"/>
      <c r="P2056" s="33"/>
      <c r="Q2056" s="33"/>
      <c r="R2056" s="33"/>
      <c r="S2056" s="33"/>
      <c r="T2056" s="33"/>
      <c r="U2056" s="33"/>
      <c r="V2056" s="33"/>
      <c r="W2056" s="33"/>
      <c r="X2056" s="33"/>
      <c r="Y2056" s="33"/>
      <c r="Z2056" s="33"/>
      <c r="AA2056" s="33"/>
      <c r="AB2056" s="33"/>
      <c r="AC2056" s="33"/>
      <c r="AD2056" s="33"/>
      <c r="AE2056" s="33"/>
      <c r="AF2056" s="33"/>
      <c r="AG2056" s="33"/>
      <c r="AH2056" s="33"/>
      <c r="AI2056" s="33"/>
      <c r="AJ2056" s="33"/>
      <c r="AK2056" s="34" t="str">
        <f aca="false">IF($B2056="","",COUNTIF($F2056:$AJ2056,"P"))</f>
        <v/>
      </c>
      <c r="AL2056" s="34" t="str">
        <f aca="false">IF($B2056="","",COUNTIF($F2056:$AJ2056,"A"))</f>
        <v/>
      </c>
      <c r="AM2056" s="34" t="str">
        <f aca="false">IF($B2056="","",COUNTIF($F2056:$AJ2056,"HA"))</f>
        <v/>
      </c>
      <c r="AN2056" s="34" t="str">
        <f aca="false">IF($B2056="","",COUNTIF($F2056:$AJ2056,"L"))</f>
        <v/>
      </c>
      <c r="AO2056" s="34" t="str">
        <f aca="false">IF($B2056="","",COUNTIF($F2056:$AJ2056,"PL"))</f>
        <v/>
      </c>
      <c r="AP2056" s="34" t="str">
        <f aca="false">IF($B2056="","",COUNTIF($F2056:$AJ2056,"CL"))</f>
        <v/>
      </c>
      <c r="AQ2056" s="34" t="str">
        <f aca="false">IF($B2056="","",COUNTIF($F2056:$AJ2056,"SL"))</f>
        <v/>
      </c>
      <c r="AR2056" s="34" t="str">
        <f aca="false">IF($B2056="","",COUNTIF($F2056:$AJ2056,"CO"))</f>
        <v/>
      </c>
      <c r="AS2056" s="34" t="str">
        <f aca="false">IF($B2056="","",COUNTIF($F2056:$AJ2056,"HPL"))</f>
        <v/>
      </c>
      <c r="AT2056" s="34" t="str">
        <f aca="false">IF($B2056="","",COUNTIF($F2056:$AJ2056,"HCL"))</f>
        <v/>
      </c>
      <c r="AU2056" s="34" t="str">
        <f aca="false">IF($B2056="","",COUNTIF($F2056:$AJ2056,"WO"))</f>
        <v/>
      </c>
      <c r="AV2056" s="34" t="str">
        <f aca="false">IF($B2056="","",COUNTIF($F2056:$AJ2056,"PH"))</f>
        <v/>
      </c>
      <c r="AW2056" s="34" t="str">
        <f aca="false">IF($B2056="","",COUNTIF($F2056:$AJ2056,"TR"))</f>
        <v/>
      </c>
      <c r="AX2056" s="35" t="str">
        <f aca="false">IF($B2056="","",AO2056+AS2056/2)</f>
        <v/>
      </c>
      <c r="AY2056" s="35" t="str">
        <f aca="false">IF($B2056="","",AQ2056)</f>
        <v/>
      </c>
      <c r="AZ2056" s="35" t="str">
        <f aca="false">IF($B2056="","",AP2056+AT2056/2)</f>
        <v/>
      </c>
      <c r="BA2056" s="35" t="str">
        <f aca="false">IF($B2056="","",AK2056+AN2056+AM2056/2+AO2056+AP2056+AQ2056+AR2056+AS2056+AT2056+AU2056+AV2056+AW2056)</f>
        <v/>
      </c>
      <c r="BB2056" s="35" t="str">
        <f aca="false">IF($B2056="","",MAX(0,AN2056-Settings!$C$16)*Settings!$C$17)</f>
        <v/>
      </c>
      <c r="BC2056" s="35" t="str">
        <f aca="false">IF($B2056="","",BA2056-BB2056)</f>
        <v/>
      </c>
      <c r="BD2056" s="35" t="str">
        <f aca="false">IF(OR($B2056="",$A2056=""),"",DAY(EOMONTH($A2056,0))-COUNTA($F2056:$AJ2056))</f>
        <v/>
      </c>
    </row>
    <row r="2057" customFormat="false" ht="15" hidden="false" customHeight="false" outlineLevel="0" collapsed="false">
      <c r="A2057" s="32"/>
      <c r="B2057" s="29"/>
      <c r="C2057" s="10" t="str">
        <f aca="false">IF($B2057="","",IFERROR(INDEX(M_name,MATCH($B2057,M_emp,0)),"Code not found"))</f>
        <v/>
      </c>
      <c r="D2057" s="10" t="str">
        <f aca="false">IF($B2057="","",IFERROR(INDEX(M_dept,MATCH($B2057,M_emp,0)),""))</f>
        <v/>
      </c>
      <c r="E2057" s="10" t="str">
        <f aca="false">IF($B2057="","",IFERROR(INDEX(M_loc,MATCH($B2057,M_emp,0)),""))</f>
        <v/>
      </c>
      <c r="F2057" s="33"/>
      <c r="G2057" s="33"/>
      <c r="H2057" s="33"/>
      <c r="I2057" s="33"/>
      <c r="J2057" s="33"/>
      <c r="K2057" s="33"/>
      <c r="L2057" s="33"/>
      <c r="M2057" s="33"/>
      <c r="N2057" s="33"/>
      <c r="O2057" s="33"/>
      <c r="P2057" s="33"/>
      <c r="Q2057" s="33"/>
      <c r="R2057" s="33"/>
      <c r="S2057" s="33"/>
      <c r="T2057" s="33"/>
      <c r="U2057" s="33"/>
      <c r="V2057" s="33"/>
      <c r="W2057" s="33"/>
      <c r="X2057" s="33"/>
      <c r="Y2057" s="33"/>
      <c r="Z2057" s="33"/>
      <c r="AA2057" s="33"/>
      <c r="AB2057" s="33"/>
      <c r="AC2057" s="33"/>
      <c r="AD2057" s="33"/>
      <c r="AE2057" s="33"/>
      <c r="AF2057" s="33"/>
      <c r="AG2057" s="33"/>
      <c r="AH2057" s="33"/>
      <c r="AI2057" s="33"/>
      <c r="AJ2057" s="33"/>
      <c r="AK2057" s="34" t="str">
        <f aca="false">IF($B2057="","",COUNTIF($F2057:$AJ2057,"P"))</f>
        <v/>
      </c>
      <c r="AL2057" s="34" t="str">
        <f aca="false">IF($B2057="","",COUNTIF($F2057:$AJ2057,"A"))</f>
        <v/>
      </c>
      <c r="AM2057" s="34" t="str">
        <f aca="false">IF($B2057="","",COUNTIF($F2057:$AJ2057,"HA"))</f>
        <v/>
      </c>
      <c r="AN2057" s="34" t="str">
        <f aca="false">IF($B2057="","",COUNTIF($F2057:$AJ2057,"L"))</f>
        <v/>
      </c>
      <c r="AO2057" s="34" t="str">
        <f aca="false">IF($B2057="","",COUNTIF($F2057:$AJ2057,"PL"))</f>
        <v/>
      </c>
      <c r="AP2057" s="34" t="str">
        <f aca="false">IF($B2057="","",COUNTIF($F2057:$AJ2057,"CL"))</f>
        <v/>
      </c>
      <c r="AQ2057" s="34" t="str">
        <f aca="false">IF($B2057="","",COUNTIF($F2057:$AJ2057,"SL"))</f>
        <v/>
      </c>
      <c r="AR2057" s="34" t="str">
        <f aca="false">IF($B2057="","",COUNTIF($F2057:$AJ2057,"CO"))</f>
        <v/>
      </c>
      <c r="AS2057" s="34" t="str">
        <f aca="false">IF($B2057="","",COUNTIF($F2057:$AJ2057,"HPL"))</f>
        <v/>
      </c>
      <c r="AT2057" s="34" t="str">
        <f aca="false">IF($B2057="","",COUNTIF($F2057:$AJ2057,"HCL"))</f>
        <v/>
      </c>
      <c r="AU2057" s="34" t="str">
        <f aca="false">IF($B2057="","",COUNTIF($F2057:$AJ2057,"WO"))</f>
        <v/>
      </c>
      <c r="AV2057" s="34" t="str">
        <f aca="false">IF($B2057="","",COUNTIF($F2057:$AJ2057,"PH"))</f>
        <v/>
      </c>
      <c r="AW2057" s="34" t="str">
        <f aca="false">IF($B2057="","",COUNTIF($F2057:$AJ2057,"TR"))</f>
        <v/>
      </c>
      <c r="AX2057" s="35" t="str">
        <f aca="false">IF($B2057="","",AO2057+AS2057/2)</f>
        <v/>
      </c>
      <c r="AY2057" s="35" t="str">
        <f aca="false">IF($B2057="","",AQ2057)</f>
        <v/>
      </c>
      <c r="AZ2057" s="35" t="str">
        <f aca="false">IF($B2057="","",AP2057+AT2057/2)</f>
        <v/>
      </c>
      <c r="BA2057" s="35" t="str">
        <f aca="false">IF($B2057="","",AK2057+AN2057+AM2057/2+AO2057+AP2057+AQ2057+AR2057+AS2057+AT2057+AU2057+AV2057+AW2057)</f>
        <v/>
      </c>
      <c r="BB2057" s="35" t="str">
        <f aca="false">IF($B2057="","",MAX(0,AN2057-Settings!$C$16)*Settings!$C$17)</f>
        <v/>
      </c>
      <c r="BC2057" s="35" t="str">
        <f aca="false">IF($B2057="","",BA2057-BB2057)</f>
        <v/>
      </c>
      <c r="BD2057" s="35" t="str">
        <f aca="false">IF(OR($B2057="",$A2057=""),"",DAY(EOMONTH($A2057,0))-COUNTA($F2057:$AJ2057))</f>
        <v/>
      </c>
    </row>
    <row r="2058" customFormat="false" ht="15" hidden="false" customHeight="false" outlineLevel="0" collapsed="false">
      <c r="A2058" s="32"/>
      <c r="B2058" s="29"/>
      <c r="C2058" s="10" t="str">
        <f aca="false">IF($B2058="","",IFERROR(INDEX(M_name,MATCH($B2058,M_emp,0)),"Code not found"))</f>
        <v/>
      </c>
      <c r="D2058" s="10" t="str">
        <f aca="false">IF($B2058="","",IFERROR(INDEX(M_dept,MATCH($B2058,M_emp,0)),""))</f>
        <v/>
      </c>
      <c r="E2058" s="10" t="str">
        <f aca="false">IF($B2058="","",IFERROR(INDEX(M_loc,MATCH($B2058,M_emp,0)),""))</f>
        <v/>
      </c>
      <c r="F2058" s="33"/>
      <c r="G2058" s="33"/>
      <c r="H2058" s="33"/>
      <c r="I2058" s="33"/>
      <c r="J2058" s="33"/>
      <c r="K2058" s="33"/>
      <c r="L2058" s="33"/>
      <c r="M2058" s="33"/>
      <c r="N2058" s="33"/>
      <c r="O2058" s="33"/>
      <c r="P2058" s="33"/>
      <c r="Q2058" s="33"/>
      <c r="R2058" s="33"/>
      <c r="S2058" s="33"/>
      <c r="T2058" s="33"/>
      <c r="U2058" s="33"/>
      <c r="V2058" s="33"/>
      <c r="W2058" s="33"/>
      <c r="X2058" s="33"/>
      <c r="Y2058" s="33"/>
      <c r="Z2058" s="33"/>
      <c r="AA2058" s="33"/>
      <c r="AB2058" s="33"/>
      <c r="AC2058" s="33"/>
      <c r="AD2058" s="33"/>
      <c r="AE2058" s="33"/>
      <c r="AF2058" s="33"/>
      <c r="AG2058" s="33"/>
      <c r="AH2058" s="33"/>
      <c r="AI2058" s="33"/>
      <c r="AJ2058" s="33"/>
      <c r="AK2058" s="34" t="str">
        <f aca="false">IF($B2058="","",COUNTIF($F2058:$AJ2058,"P"))</f>
        <v/>
      </c>
      <c r="AL2058" s="34" t="str">
        <f aca="false">IF($B2058="","",COUNTIF($F2058:$AJ2058,"A"))</f>
        <v/>
      </c>
      <c r="AM2058" s="34" t="str">
        <f aca="false">IF($B2058="","",COUNTIF($F2058:$AJ2058,"HA"))</f>
        <v/>
      </c>
      <c r="AN2058" s="34" t="str">
        <f aca="false">IF($B2058="","",COUNTIF($F2058:$AJ2058,"L"))</f>
        <v/>
      </c>
      <c r="AO2058" s="34" t="str">
        <f aca="false">IF($B2058="","",COUNTIF($F2058:$AJ2058,"PL"))</f>
        <v/>
      </c>
      <c r="AP2058" s="34" t="str">
        <f aca="false">IF($B2058="","",COUNTIF($F2058:$AJ2058,"CL"))</f>
        <v/>
      </c>
      <c r="AQ2058" s="34" t="str">
        <f aca="false">IF($B2058="","",COUNTIF($F2058:$AJ2058,"SL"))</f>
        <v/>
      </c>
      <c r="AR2058" s="34" t="str">
        <f aca="false">IF($B2058="","",COUNTIF($F2058:$AJ2058,"CO"))</f>
        <v/>
      </c>
      <c r="AS2058" s="34" t="str">
        <f aca="false">IF($B2058="","",COUNTIF($F2058:$AJ2058,"HPL"))</f>
        <v/>
      </c>
      <c r="AT2058" s="34" t="str">
        <f aca="false">IF($B2058="","",COUNTIF($F2058:$AJ2058,"HCL"))</f>
        <v/>
      </c>
      <c r="AU2058" s="34" t="str">
        <f aca="false">IF($B2058="","",COUNTIF($F2058:$AJ2058,"WO"))</f>
        <v/>
      </c>
      <c r="AV2058" s="34" t="str">
        <f aca="false">IF($B2058="","",COUNTIF($F2058:$AJ2058,"PH"))</f>
        <v/>
      </c>
      <c r="AW2058" s="34" t="str">
        <f aca="false">IF($B2058="","",COUNTIF($F2058:$AJ2058,"TR"))</f>
        <v/>
      </c>
      <c r="AX2058" s="35" t="str">
        <f aca="false">IF($B2058="","",AO2058+AS2058/2)</f>
        <v/>
      </c>
      <c r="AY2058" s="35" t="str">
        <f aca="false">IF($B2058="","",AQ2058)</f>
        <v/>
      </c>
      <c r="AZ2058" s="35" t="str">
        <f aca="false">IF($B2058="","",AP2058+AT2058/2)</f>
        <v/>
      </c>
      <c r="BA2058" s="35" t="str">
        <f aca="false">IF($B2058="","",AK2058+AN2058+AM2058/2+AO2058+AP2058+AQ2058+AR2058+AS2058+AT2058+AU2058+AV2058+AW2058)</f>
        <v/>
      </c>
      <c r="BB2058" s="35" t="str">
        <f aca="false">IF($B2058="","",MAX(0,AN2058-Settings!$C$16)*Settings!$C$17)</f>
        <v/>
      </c>
      <c r="BC2058" s="35" t="str">
        <f aca="false">IF($B2058="","",BA2058-BB2058)</f>
        <v/>
      </c>
      <c r="BD2058" s="35" t="str">
        <f aca="false">IF(OR($B2058="",$A2058=""),"",DAY(EOMONTH($A2058,0))-COUNTA($F2058:$AJ2058))</f>
        <v/>
      </c>
    </row>
    <row r="2059" customFormat="false" ht="15" hidden="false" customHeight="false" outlineLevel="0" collapsed="false">
      <c r="A2059" s="32"/>
      <c r="B2059" s="29"/>
      <c r="C2059" s="10" t="str">
        <f aca="false">IF($B2059="","",IFERROR(INDEX(M_name,MATCH($B2059,M_emp,0)),"Code not found"))</f>
        <v/>
      </c>
      <c r="D2059" s="10" t="str">
        <f aca="false">IF($B2059="","",IFERROR(INDEX(M_dept,MATCH($B2059,M_emp,0)),""))</f>
        <v/>
      </c>
      <c r="E2059" s="10" t="str">
        <f aca="false">IF($B2059="","",IFERROR(INDEX(M_loc,MATCH($B2059,M_emp,0)),""))</f>
        <v/>
      </c>
      <c r="F2059" s="33"/>
      <c r="G2059" s="33"/>
      <c r="H2059" s="33"/>
      <c r="I2059" s="33"/>
      <c r="J2059" s="33"/>
      <c r="K2059" s="33"/>
      <c r="L2059" s="33"/>
      <c r="M2059" s="33"/>
      <c r="N2059" s="33"/>
      <c r="O2059" s="33"/>
      <c r="P2059" s="33"/>
      <c r="Q2059" s="33"/>
      <c r="R2059" s="33"/>
      <c r="S2059" s="33"/>
      <c r="T2059" s="33"/>
      <c r="U2059" s="33"/>
      <c r="V2059" s="33"/>
      <c r="W2059" s="33"/>
      <c r="X2059" s="33"/>
      <c r="Y2059" s="33"/>
      <c r="Z2059" s="33"/>
      <c r="AA2059" s="33"/>
      <c r="AB2059" s="33"/>
      <c r="AC2059" s="33"/>
      <c r="AD2059" s="33"/>
      <c r="AE2059" s="33"/>
      <c r="AF2059" s="33"/>
      <c r="AG2059" s="33"/>
      <c r="AH2059" s="33"/>
      <c r="AI2059" s="33"/>
      <c r="AJ2059" s="33"/>
      <c r="AK2059" s="34" t="str">
        <f aca="false">IF($B2059="","",COUNTIF($F2059:$AJ2059,"P"))</f>
        <v/>
      </c>
      <c r="AL2059" s="34" t="str">
        <f aca="false">IF($B2059="","",COUNTIF($F2059:$AJ2059,"A"))</f>
        <v/>
      </c>
      <c r="AM2059" s="34" t="str">
        <f aca="false">IF($B2059="","",COUNTIF($F2059:$AJ2059,"HA"))</f>
        <v/>
      </c>
      <c r="AN2059" s="34" t="str">
        <f aca="false">IF($B2059="","",COUNTIF($F2059:$AJ2059,"L"))</f>
        <v/>
      </c>
      <c r="AO2059" s="34" t="str">
        <f aca="false">IF($B2059="","",COUNTIF($F2059:$AJ2059,"PL"))</f>
        <v/>
      </c>
      <c r="AP2059" s="34" t="str">
        <f aca="false">IF($B2059="","",COUNTIF($F2059:$AJ2059,"CL"))</f>
        <v/>
      </c>
      <c r="AQ2059" s="34" t="str">
        <f aca="false">IF($B2059="","",COUNTIF($F2059:$AJ2059,"SL"))</f>
        <v/>
      </c>
      <c r="AR2059" s="34" t="str">
        <f aca="false">IF($B2059="","",COUNTIF($F2059:$AJ2059,"CO"))</f>
        <v/>
      </c>
      <c r="AS2059" s="34" t="str">
        <f aca="false">IF($B2059="","",COUNTIF($F2059:$AJ2059,"HPL"))</f>
        <v/>
      </c>
      <c r="AT2059" s="34" t="str">
        <f aca="false">IF($B2059="","",COUNTIF($F2059:$AJ2059,"HCL"))</f>
        <v/>
      </c>
      <c r="AU2059" s="34" t="str">
        <f aca="false">IF($B2059="","",COUNTIF($F2059:$AJ2059,"WO"))</f>
        <v/>
      </c>
      <c r="AV2059" s="34" t="str">
        <f aca="false">IF($B2059="","",COUNTIF($F2059:$AJ2059,"PH"))</f>
        <v/>
      </c>
      <c r="AW2059" s="34" t="str">
        <f aca="false">IF($B2059="","",COUNTIF($F2059:$AJ2059,"TR"))</f>
        <v/>
      </c>
      <c r="AX2059" s="35" t="str">
        <f aca="false">IF($B2059="","",AO2059+AS2059/2)</f>
        <v/>
      </c>
      <c r="AY2059" s="35" t="str">
        <f aca="false">IF($B2059="","",AQ2059)</f>
        <v/>
      </c>
      <c r="AZ2059" s="35" t="str">
        <f aca="false">IF($B2059="","",AP2059+AT2059/2)</f>
        <v/>
      </c>
      <c r="BA2059" s="35" t="str">
        <f aca="false">IF($B2059="","",AK2059+AN2059+AM2059/2+AO2059+AP2059+AQ2059+AR2059+AS2059+AT2059+AU2059+AV2059+AW2059)</f>
        <v/>
      </c>
      <c r="BB2059" s="35" t="str">
        <f aca="false">IF($B2059="","",MAX(0,AN2059-Settings!$C$16)*Settings!$C$17)</f>
        <v/>
      </c>
      <c r="BC2059" s="35" t="str">
        <f aca="false">IF($B2059="","",BA2059-BB2059)</f>
        <v/>
      </c>
      <c r="BD2059" s="35" t="str">
        <f aca="false">IF(OR($B2059="",$A2059=""),"",DAY(EOMONTH($A2059,0))-COUNTA($F2059:$AJ2059))</f>
        <v/>
      </c>
    </row>
    <row r="2060" customFormat="false" ht="15" hidden="false" customHeight="false" outlineLevel="0" collapsed="false">
      <c r="A2060" s="32"/>
      <c r="B2060" s="29"/>
      <c r="C2060" s="10" t="str">
        <f aca="false">IF($B2060="","",IFERROR(INDEX(M_name,MATCH($B2060,M_emp,0)),"Code not found"))</f>
        <v/>
      </c>
      <c r="D2060" s="10" t="str">
        <f aca="false">IF($B2060="","",IFERROR(INDEX(M_dept,MATCH($B2060,M_emp,0)),""))</f>
        <v/>
      </c>
      <c r="E2060" s="10" t="str">
        <f aca="false">IF($B2060="","",IFERROR(INDEX(M_loc,MATCH($B2060,M_emp,0)),""))</f>
        <v/>
      </c>
      <c r="F2060" s="33"/>
      <c r="G2060" s="33"/>
      <c r="H2060" s="33"/>
      <c r="I2060" s="33"/>
      <c r="J2060" s="33"/>
      <c r="K2060" s="33"/>
      <c r="L2060" s="33"/>
      <c r="M2060" s="33"/>
      <c r="N2060" s="33"/>
      <c r="O2060" s="33"/>
      <c r="P2060" s="33"/>
      <c r="Q2060" s="33"/>
      <c r="R2060" s="33"/>
      <c r="S2060" s="33"/>
      <c r="T2060" s="33"/>
      <c r="U2060" s="33"/>
      <c r="V2060" s="33"/>
      <c r="W2060" s="33"/>
      <c r="X2060" s="33"/>
      <c r="Y2060" s="33"/>
      <c r="Z2060" s="33"/>
      <c r="AA2060" s="33"/>
      <c r="AB2060" s="33"/>
      <c r="AC2060" s="33"/>
      <c r="AD2060" s="33"/>
      <c r="AE2060" s="33"/>
      <c r="AF2060" s="33"/>
      <c r="AG2060" s="33"/>
      <c r="AH2060" s="33"/>
      <c r="AI2060" s="33"/>
      <c r="AJ2060" s="33"/>
      <c r="AK2060" s="34" t="str">
        <f aca="false">IF($B2060="","",COUNTIF($F2060:$AJ2060,"P"))</f>
        <v/>
      </c>
      <c r="AL2060" s="34" t="str">
        <f aca="false">IF($B2060="","",COUNTIF($F2060:$AJ2060,"A"))</f>
        <v/>
      </c>
      <c r="AM2060" s="34" t="str">
        <f aca="false">IF($B2060="","",COUNTIF($F2060:$AJ2060,"HA"))</f>
        <v/>
      </c>
      <c r="AN2060" s="34" t="str">
        <f aca="false">IF($B2060="","",COUNTIF($F2060:$AJ2060,"L"))</f>
        <v/>
      </c>
      <c r="AO2060" s="34" t="str">
        <f aca="false">IF($B2060="","",COUNTIF($F2060:$AJ2060,"PL"))</f>
        <v/>
      </c>
      <c r="AP2060" s="34" t="str">
        <f aca="false">IF($B2060="","",COUNTIF($F2060:$AJ2060,"CL"))</f>
        <v/>
      </c>
      <c r="AQ2060" s="34" t="str">
        <f aca="false">IF($B2060="","",COUNTIF($F2060:$AJ2060,"SL"))</f>
        <v/>
      </c>
      <c r="AR2060" s="34" t="str">
        <f aca="false">IF($B2060="","",COUNTIF($F2060:$AJ2060,"CO"))</f>
        <v/>
      </c>
      <c r="AS2060" s="34" t="str">
        <f aca="false">IF($B2060="","",COUNTIF($F2060:$AJ2060,"HPL"))</f>
        <v/>
      </c>
      <c r="AT2060" s="34" t="str">
        <f aca="false">IF($B2060="","",COUNTIF($F2060:$AJ2060,"HCL"))</f>
        <v/>
      </c>
      <c r="AU2060" s="34" t="str">
        <f aca="false">IF($B2060="","",COUNTIF($F2060:$AJ2060,"WO"))</f>
        <v/>
      </c>
      <c r="AV2060" s="34" t="str">
        <f aca="false">IF($B2060="","",COUNTIF($F2060:$AJ2060,"PH"))</f>
        <v/>
      </c>
      <c r="AW2060" s="34" t="str">
        <f aca="false">IF($B2060="","",COUNTIF($F2060:$AJ2060,"TR"))</f>
        <v/>
      </c>
      <c r="AX2060" s="35" t="str">
        <f aca="false">IF($B2060="","",AO2060+AS2060/2)</f>
        <v/>
      </c>
      <c r="AY2060" s="35" t="str">
        <f aca="false">IF($B2060="","",AQ2060)</f>
        <v/>
      </c>
      <c r="AZ2060" s="35" t="str">
        <f aca="false">IF($B2060="","",AP2060+AT2060/2)</f>
        <v/>
      </c>
      <c r="BA2060" s="35" t="str">
        <f aca="false">IF($B2060="","",AK2060+AN2060+AM2060/2+AO2060+AP2060+AQ2060+AR2060+AS2060+AT2060+AU2060+AV2060+AW2060)</f>
        <v/>
      </c>
      <c r="BB2060" s="35" t="str">
        <f aca="false">IF($B2060="","",MAX(0,AN2060-Settings!$C$16)*Settings!$C$17)</f>
        <v/>
      </c>
      <c r="BC2060" s="35" t="str">
        <f aca="false">IF($B2060="","",BA2060-BB2060)</f>
        <v/>
      </c>
      <c r="BD2060" s="35" t="str">
        <f aca="false">IF(OR($B2060="",$A2060=""),"",DAY(EOMONTH($A2060,0))-COUNTA($F2060:$AJ2060))</f>
        <v/>
      </c>
    </row>
    <row r="2061" customFormat="false" ht="15" hidden="false" customHeight="false" outlineLevel="0" collapsed="false">
      <c r="A2061" s="32"/>
      <c r="B2061" s="29"/>
      <c r="C2061" s="10" t="str">
        <f aca="false">IF($B2061="","",IFERROR(INDEX(M_name,MATCH($B2061,M_emp,0)),"Code not found"))</f>
        <v/>
      </c>
      <c r="D2061" s="10" t="str">
        <f aca="false">IF($B2061="","",IFERROR(INDEX(M_dept,MATCH($B2061,M_emp,0)),""))</f>
        <v/>
      </c>
      <c r="E2061" s="10" t="str">
        <f aca="false">IF($B2061="","",IFERROR(INDEX(M_loc,MATCH($B2061,M_emp,0)),""))</f>
        <v/>
      </c>
      <c r="F2061" s="33"/>
      <c r="G2061" s="33"/>
      <c r="H2061" s="33"/>
      <c r="I2061" s="33"/>
      <c r="J2061" s="33"/>
      <c r="K2061" s="33"/>
      <c r="L2061" s="33"/>
      <c r="M2061" s="33"/>
      <c r="N2061" s="33"/>
      <c r="O2061" s="33"/>
      <c r="P2061" s="33"/>
      <c r="Q2061" s="33"/>
      <c r="R2061" s="33"/>
      <c r="S2061" s="33"/>
      <c r="T2061" s="33"/>
      <c r="U2061" s="33"/>
      <c r="V2061" s="33"/>
      <c r="W2061" s="33"/>
      <c r="X2061" s="33"/>
      <c r="Y2061" s="33"/>
      <c r="Z2061" s="33"/>
      <c r="AA2061" s="33"/>
      <c r="AB2061" s="33"/>
      <c r="AC2061" s="33"/>
      <c r="AD2061" s="33"/>
      <c r="AE2061" s="33"/>
      <c r="AF2061" s="33"/>
      <c r="AG2061" s="33"/>
      <c r="AH2061" s="33"/>
      <c r="AI2061" s="33"/>
      <c r="AJ2061" s="33"/>
      <c r="AK2061" s="34" t="str">
        <f aca="false">IF($B2061="","",COUNTIF($F2061:$AJ2061,"P"))</f>
        <v/>
      </c>
      <c r="AL2061" s="34" t="str">
        <f aca="false">IF($B2061="","",COUNTIF($F2061:$AJ2061,"A"))</f>
        <v/>
      </c>
      <c r="AM2061" s="34" t="str">
        <f aca="false">IF($B2061="","",COUNTIF($F2061:$AJ2061,"HA"))</f>
        <v/>
      </c>
      <c r="AN2061" s="34" t="str">
        <f aca="false">IF($B2061="","",COUNTIF($F2061:$AJ2061,"L"))</f>
        <v/>
      </c>
      <c r="AO2061" s="34" t="str">
        <f aca="false">IF($B2061="","",COUNTIF($F2061:$AJ2061,"PL"))</f>
        <v/>
      </c>
      <c r="AP2061" s="34" t="str">
        <f aca="false">IF($B2061="","",COUNTIF($F2061:$AJ2061,"CL"))</f>
        <v/>
      </c>
      <c r="AQ2061" s="34" t="str">
        <f aca="false">IF($B2061="","",COUNTIF($F2061:$AJ2061,"SL"))</f>
        <v/>
      </c>
      <c r="AR2061" s="34" t="str">
        <f aca="false">IF($B2061="","",COUNTIF($F2061:$AJ2061,"CO"))</f>
        <v/>
      </c>
      <c r="AS2061" s="34" t="str">
        <f aca="false">IF($B2061="","",COUNTIF($F2061:$AJ2061,"HPL"))</f>
        <v/>
      </c>
      <c r="AT2061" s="34" t="str">
        <f aca="false">IF($B2061="","",COUNTIF($F2061:$AJ2061,"HCL"))</f>
        <v/>
      </c>
      <c r="AU2061" s="34" t="str">
        <f aca="false">IF($B2061="","",COUNTIF($F2061:$AJ2061,"WO"))</f>
        <v/>
      </c>
      <c r="AV2061" s="34" t="str">
        <f aca="false">IF($B2061="","",COUNTIF($F2061:$AJ2061,"PH"))</f>
        <v/>
      </c>
      <c r="AW2061" s="34" t="str">
        <f aca="false">IF($B2061="","",COUNTIF($F2061:$AJ2061,"TR"))</f>
        <v/>
      </c>
      <c r="AX2061" s="35" t="str">
        <f aca="false">IF($B2061="","",AO2061+AS2061/2)</f>
        <v/>
      </c>
      <c r="AY2061" s="35" t="str">
        <f aca="false">IF($B2061="","",AQ2061)</f>
        <v/>
      </c>
      <c r="AZ2061" s="35" t="str">
        <f aca="false">IF($B2061="","",AP2061+AT2061/2)</f>
        <v/>
      </c>
      <c r="BA2061" s="35" t="str">
        <f aca="false">IF($B2061="","",AK2061+AN2061+AM2061/2+AO2061+AP2061+AQ2061+AR2061+AS2061+AT2061+AU2061+AV2061+AW2061)</f>
        <v/>
      </c>
      <c r="BB2061" s="35" t="str">
        <f aca="false">IF($B2061="","",MAX(0,AN2061-Settings!$C$16)*Settings!$C$17)</f>
        <v/>
      </c>
      <c r="BC2061" s="35" t="str">
        <f aca="false">IF($B2061="","",BA2061-BB2061)</f>
        <v/>
      </c>
      <c r="BD2061" s="35" t="str">
        <f aca="false">IF(OR($B2061="",$A2061=""),"",DAY(EOMONTH($A2061,0))-COUNTA($F2061:$AJ2061))</f>
        <v/>
      </c>
    </row>
    <row r="2062" customFormat="false" ht="15" hidden="false" customHeight="false" outlineLevel="0" collapsed="false">
      <c r="A2062" s="32"/>
      <c r="B2062" s="29"/>
      <c r="C2062" s="10" t="str">
        <f aca="false">IF($B2062="","",IFERROR(INDEX(M_name,MATCH($B2062,M_emp,0)),"Code not found"))</f>
        <v/>
      </c>
      <c r="D2062" s="10" t="str">
        <f aca="false">IF($B2062="","",IFERROR(INDEX(M_dept,MATCH($B2062,M_emp,0)),""))</f>
        <v/>
      </c>
      <c r="E2062" s="10" t="str">
        <f aca="false">IF($B2062="","",IFERROR(INDEX(M_loc,MATCH($B2062,M_emp,0)),""))</f>
        <v/>
      </c>
      <c r="F2062" s="33"/>
      <c r="G2062" s="33"/>
      <c r="H2062" s="33"/>
      <c r="I2062" s="33"/>
      <c r="J2062" s="33"/>
      <c r="K2062" s="33"/>
      <c r="L2062" s="33"/>
      <c r="M2062" s="33"/>
      <c r="N2062" s="33"/>
      <c r="O2062" s="33"/>
      <c r="P2062" s="33"/>
      <c r="Q2062" s="33"/>
      <c r="R2062" s="33"/>
      <c r="S2062" s="33"/>
      <c r="T2062" s="33"/>
      <c r="U2062" s="33"/>
      <c r="V2062" s="33"/>
      <c r="W2062" s="33"/>
      <c r="X2062" s="33"/>
      <c r="Y2062" s="33"/>
      <c r="Z2062" s="33"/>
      <c r="AA2062" s="33"/>
      <c r="AB2062" s="33"/>
      <c r="AC2062" s="33"/>
      <c r="AD2062" s="33"/>
      <c r="AE2062" s="33"/>
      <c r="AF2062" s="33"/>
      <c r="AG2062" s="33"/>
      <c r="AH2062" s="33"/>
      <c r="AI2062" s="33"/>
      <c r="AJ2062" s="33"/>
      <c r="AK2062" s="34" t="str">
        <f aca="false">IF($B2062="","",COUNTIF($F2062:$AJ2062,"P"))</f>
        <v/>
      </c>
      <c r="AL2062" s="34" t="str">
        <f aca="false">IF($B2062="","",COUNTIF($F2062:$AJ2062,"A"))</f>
        <v/>
      </c>
      <c r="AM2062" s="34" t="str">
        <f aca="false">IF($B2062="","",COUNTIF($F2062:$AJ2062,"HA"))</f>
        <v/>
      </c>
      <c r="AN2062" s="34" t="str">
        <f aca="false">IF($B2062="","",COUNTIF($F2062:$AJ2062,"L"))</f>
        <v/>
      </c>
      <c r="AO2062" s="34" t="str">
        <f aca="false">IF($B2062="","",COUNTIF($F2062:$AJ2062,"PL"))</f>
        <v/>
      </c>
      <c r="AP2062" s="34" t="str">
        <f aca="false">IF($B2062="","",COUNTIF($F2062:$AJ2062,"CL"))</f>
        <v/>
      </c>
      <c r="AQ2062" s="34" t="str">
        <f aca="false">IF($B2062="","",COUNTIF($F2062:$AJ2062,"SL"))</f>
        <v/>
      </c>
      <c r="AR2062" s="34" t="str">
        <f aca="false">IF($B2062="","",COUNTIF($F2062:$AJ2062,"CO"))</f>
        <v/>
      </c>
      <c r="AS2062" s="34" t="str">
        <f aca="false">IF($B2062="","",COUNTIF($F2062:$AJ2062,"HPL"))</f>
        <v/>
      </c>
      <c r="AT2062" s="34" t="str">
        <f aca="false">IF($B2062="","",COUNTIF($F2062:$AJ2062,"HCL"))</f>
        <v/>
      </c>
      <c r="AU2062" s="34" t="str">
        <f aca="false">IF($B2062="","",COUNTIF($F2062:$AJ2062,"WO"))</f>
        <v/>
      </c>
      <c r="AV2062" s="34" t="str">
        <f aca="false">IF($B2062="","",COUNTIF($F2062:$AJ2062,"PH"))</f>
        <v/>
      </c>
      <c r="AW2062" s="34" t="str">
        <f aca="false">IF($B2062="","",COUNTIF($F2062:$AJ2062,"TR"))</f>
        <v/>
      </c>
      <c r="AX2062" s="35" t="str">
        <f aca="false">IF($B2062="","",AO2062+AS2062/2)</f>
        <v/>
      </c>
      <c r="AY2062" s="35" t="str">
        <f aca="false">IF($B2062="","",AQ2062)</f>
        <v/>
      </c>
      <c r="AZ2062" s="35" t="str">
        <f aca="false">IF($B2062="","",AP2062+AT2062/2)</f>
        <v/>
      </c>
      <c r="BA2062" s="35" t="str">
        <f aca="false">IF($B2062="","",AK2062+AN2062+AM2062/2+AO2062+AP2062+AQ2062+AR2062+AS2062+AT2062+AU2062+AV2062+AW2062)</f>
        <v/>
      </c>
      <c r="BB2062" s="35" t="str">
        <f aca="false">IF($B2062="","",MAX(0,AN2062-Settings!$C$16)*Settings!$C$17)</f>
        <v/>
      </c>
      <c r="BC2062" s="35" t="str">
        <f aca="false">IF($B2062="","",BA2062-BB2062)</f>
        <v/>
      </c>
      <c r="BD2062" s="35" t="str">
        <f aca="false">IF(OR($B2062="",$A2062=""),"",DAY(EOMONTH($A2062,0))-COUNTA($F2062:$AJ2062))</f>
        <v/>
      </c>
    </row>
    <row r="2063" customFormat="false" ht="15" hidden="false" customHeight="false" outlineLevel="0" collapsed="false">
      <c r="A2063" s="32"/>
      <c r="B2063" s="29"/>
      <c r="C2063" s="10" t="str">
        <f aca="false">IF($B2063="","",IFERROR(INDEX(M_name,MATCH($B2063,M_emp,0)),"Code not found"))</f>
        <v/>
      </c>
      <c r="D2063" s="10" t="str">
        <f aca="false">IF($B2063="","",IFERROR(INDEX(M_dept,MATCH($B2063,M_emp,0)),""))</f>
        <v/>
      </c>
      <c r="E2063" s="10" t="str">
        <f aca="false">IF($B2063="","",IFERROR(INDEX(M_loc,MATCH($B2063,M_emp,0)),""))</f>
        <v/>
      </c>
      <c r="F2063" s="33"/>
      <c r="G2063" s="33"/>
      <c r="H2063" s="33"/>
      <c r="I2063" s="33"/>
      <c r="J2063" s="33"/>
      <c r="K2063" s="33"/>
      <c r="L2063" s="33"/>
      <c r="M2063" s="33"/>
      <c r="N2063" s="33"/>
      <c r="O2063" s="33"/>
      <c r="P2063" s="33"/>
      <c r="Q2063" s="33"/>
      <c r="R2063" s="33"/>
      <c r="S2063" s="33"/>
      <c r="T2063" s="33"/>
      <c r="U2063" s="33"/>
      <c r="V2063" s="33"/>
      <c r="W2063" s="33"/>
      <c r="X2063" s="33"/>
      <c r="Y2063" s="33"/>
      <c r="Z2063" s="33"/>
      <c r="AA2063" s="33"/>
      <c r="AB2063" s="33"/>
      <c r="AC2063" s="33"/>
      <c r="AD2063" s="33"/>
      <c r="AE2063" s="33"/>
      <c r="AF2063" s="33"/>
      <c r="AG2063" s="33"/>
      <c r="AH2063" s="33"/>
      <c r="AI2063" s="33"/>
      <c r="AJ2063" s="33"/>
      <c r="AK2063" s="34" t="str">
        <f aca="false">IF($B2063="","",COUNTIF($F2063:$AJ2063,"P"))</f>
        <v/>
      </c>
      <c r="AL2063" s="34" t="str">
        <f aca="false">IF($B2063="","",COUNTIF($F2063:$AJ2063,"A"))</f>
        <v/>
      </c>
      <c r="AM2063" s="34" t="str">
        <f aca="false">IF($B2063="","",COUNTIF($F2063:$AJ2063,"HA"))</f>
        <v/>
      </c>
      <c r="AN2063" s="34" t="str">
        <f aca="false">IF($B2063="","",COUNTIF($F2063:$AJ2063,"L"))</f>
        <v/>
      </c>
      <c r="AO2063" s="34" t="str">
        <f aca="false">IF($B2063="","",COUNTIF($F2063:$AJ2063,"PL"))</f>
        <v/>
      </c>
      <c r="AP2063" s="34" t="str">
        <f aca="false">IF($B2063="","",COUNTIF($F2063:$AJ2063,"CL"))</f>
        <v/>
      </c>
      <c r="AQ2063" s="34" t="str">
        <f aca="false">IF($B2063="","",COUNTIF($F2063:$AJ2063,"SL"))</f>
        <v/>
      </c>
      <c r="AR2063" s="34" t="str">
        <f aca="false">IF($B2063="","",COUNTIF($F2063:$AJ2063,"CO"))</f>
        <v/>
      </c>
      <c r="AS2063" s="34" t="str">
        <f aca="false">IF($B2063="","",COUNTIF($F2063:$AJ2063,"HPL"))</f>
        <v/>
      </c>
      <c r="AT2063" s="34" t="str">
        <f aca="false">IF($B2063="","",COUNTIF($F2063:$AJ2063,"HCL"))</f>
        <v/>
      </c>
      <c r="AU2063" s="34" t="str">
        <f aca="false">IF($B2063="","",COUNTIF($F2063:$AJ2063,"WO"))</f>
        <v/>
      </c>
      <c r="AV2063" s="34" t="str">
        <f aca="false">IF($B2063="","",COUNTIF($F2063:$AJ2063,"PH"))</f>
        <v/>
      </c>
      <c r="AW2063" s="34" t="str">
        <f aca="false">IF($B2063="","",COUNTIF($F2063:$AJ2063,"TR"))</f>
        <v/>
      </c>
      <c r="AX2063" s="35" t="str">
        <f aca="false">IF($B2063="","",AO2063+AS2063/2)</f>
        <v/>
      </c>
      <c r="AY2063" s="35" t="str">
        <f aca="false">IF($B2063="","",AQ2063)</f>
        <v/>
      </c>
      <c r="AZ2063" s="35" t="str">
        <f aca="false">IF($B2063="","",AP2063+AT2063/2)</f>
        <v/>
      </c>
      <c r="BA2063" s="35" t="str">
        <f aca="false">IF($B2063="","",AK2063+AN2063+AM2063/2+AO2063+AP2063+AQ2063+AR2063+AS2063+AT2063+AU2063+AV2063+AW2063)</f>
        <v/>
      </c>
      <c r="BB2063" s="35" t="str">
        <f aca="false">IF($B2063="","",MAX(0,AN2063-Settings!$C$16)*Settings!$C$17)</f>
        <v/>
      </c>
      <c r="BC2063" s="35" t="str">
        <f aca="false">IF($B2063="","",BA2063-BB2063)</f>
        <v/>
      </c>
      <c r="BD2063" s="35" t="str">
        <f aca="false">IF(OR($B2063="",$A2063=""),"",DAY(EOMONTH($A2063,0))-COUNTA($F2063:$AJ2063))</f>
        <v/>
      </c>
    </row>
    <row r="2064" customFormat="false" ht="15" hidden="false" customHeight="false" outlineLevel="0" collapsed="false">
      <c r="A2064" s="32"/>
      <c r="B2064" s="29"/>
      <c r="C2064" s="10" t="str">
        <f aca="false">IF($B2064="","",IFERROR(INDEX(M_name,MATCH($B2064,M_emp,0)),"Code not found"))</f>
        <v/>
      </c>
      <c r="D2064" s="10" t="str">
        <f aca="false">IF($B2064="","",IFERROR(INDEX(M_dept,MATCH($B2064,M_emp,0)),""))</f>
        <v/>
      </c>
      <c r="E2064" s="10" t="str">
        <f aca="false">IF($B2064="","",IFERROR(INDEX(M_loc,MATCH($B2064,M_emp,0)),""))</f>
        <v/>
      </c>
      <c r="F2064" s="33"/>
      <c r="G2064" s="33"/>
      <c r="H2064" s="33"/>
      <c r="I2064" s="33"/>
      <c r="J2064" s="33"/>
      <c r="K2064" s="33"/>
      <c r="L2064" s="33"/>
      <c r="M2064" s="33"/>
      <c r="N2064" s="33"/>
      <c r="O2064" s="33"/>
      <c r="P2064" s="33"/>
      <c r="Q2064" s="33"/>
      <c r="R2064" s="33"/>
      <c r="S2064" s="33"/>
      <c r="T2064" s="33"/>
      <c r="U2064" s="33"/>
      <c r="V2064" s="33"/>
      <c r="W2064" s="33"/>
      <c r="X2064" s="33"/>
      <c r="Y2064" s="33"/>
      <c r="Z2064" s="33"/>
      <c r="AA2064" s="33"/>
      <c r="AB2064" s="33"/>
      <c r="AC2064" s="33"/>
      <c r="AD2064" s="33"/>
      <c r="AE2064" s="33"/>
      <c r="AF2064" s="33"/>
      <c r="AG2064" s="33"/>
      <c r="AH2064" s="33"/>
      <c r="AI2064" s="33"/>
      <c r="AJ2064" s="33"/>
      <c r="AK2064" s="34" t="str">
        <f aca="false">IF($B2064="","",COUNTIF($F2064:$AJ2064,"P"))</f>
        <v/>
      </c>
      <c r="AL2064" s="34" t="str">
        <f aca="false">IF($B2064="","",COUNTIF($F2064:$AJ2064,"A"))</f>
        <v/>
      </c>
      <c r="AM2064" s="34" t="str">
        <f aca="false">IF($B2064="","",COUNTIF($F2064:$AJ2064,"HA"))</f>
        <v/>
      </c>
      <c r="AN2064" s="34" t="str">
        <f aca="false">IF($B2064="","",COUNTIF($F2064:$AJ2064,"L"))</f>
        <v/>
      </c>
      <c r="AO2064" s="34" t="str">
        <f aca="false">IF($B2064="","",COUNTIF($F2064:$AJ2064,"PL"))</f>
        <v/>
      </c>
      <c r="AP2064" s="34" t="str">
        <f aca="false">IF($B2064="","",COUNTIF($F2064:$AJ2064,"CL"))</f>
        <v/>
      </c>
      <c r="AQ2064" s="34" t="str">
        <f aca="false">IF($B2064="","",COUNTIF($F2064:$AJ2064,"SL"))</f>
        <v/>
      </c>
      <c r="AR2064" s="34" t="str">
        <f aca="false">IF($B2064="","",COUNTIF($F2064:$AJ2064,"CO"))</f>
        <v/>
      </c>
      <c r="AS2064" s="34" t="str">
        <f aca="false">IF($B2064="","",COUNTIF($F2064:$AJ2064,"HPL"))</f>
        <v/>
      </c>
      <c r="AT2064" s="34" t="str">
        <f aca="false">IF($B2064="","",COUNTIF($F2064:$AJ2064,"HCL"))</f>
        <v/>
      </c>
      <c r="AU2064" s="34" t="str">
        <f aca="false">IF($B2064="","",COUNTIF($F2064:$AJ2064,"WO"))</f>
        <v/>
      </c>
      <c r="AV2064" s="34" t="str">
        <f aca="false">IF($B2064="","",COUNTIF($F2064:$AJ2064,"PH"))</f>
        <v/>
      </c>
      <c r="AW2064" s="34" t="str">
        <f aca="false">IF($B2064="","",COUNTIF($F2064:$AJ2064,"TR"))</f>
        <v/>
      </c>
      <c r="AX2064" s="35" t="str">
        <f aca="false">IF($B2064="","",AO2064+AS2064/2)</f>
        <v/>
      </c>
      <c r="AY2064" s="35" t="str">
        <f aca="false">IF($B2064="","",AQ2064)</f>
        <v/>
      </c>
      <c r="AZ2064" s="35" t="str">
        <f aca="false">IF($B2064="","",AP2064+AT2064/2)</f>
        <v/>
      </c>
      <c r="BA2064" s="35" t="str">
        <f aca="false">IF($B2064="","",AK2064+AN2064+AM2064/2+AO2064+AP2064+AQ2064+AR2064+AS2064+AT2064+AU2064+AV2064+AW2064)</f>
        <v/>
      </c>
      <c r="BB2064" s="35" t="str">
        <f aca="false">IF($B2064="","",MAX(0,AN2064-Settings!$C$16)*Settings!$C$17)</f>
        <v/>
      </c>
      <c r="BC2064" s="35" t="str">
        <f aca="false">IF($B2064="","",BA2064-BB2064)</f>
        <v/>
      </c>
      <c r="BD2064" s="35" t="str">
        <f aca="false">IF(OR($B2064="",$A2064=""),"",DAY(EOMONTH($A2064,0))-COUNTA($F2064:$AJ2064))</f>
        <v/>
      </c>
    </row>
    <row r="2065" customFormat="false" ht="15" hidden="false" customHeight="false" outlineLevel="0" collapsed="false">
      <c r="A2065" s="32"/>
      <c r="B2065" s="29"/>
      <c r="C2065" s="10" t="str">
        <f aca="false">IF($B2065="","",IFERROR(INDEX(M_name,MATCH($B2065,M_emp,0)),"Code not found"))</f>
        <v/>
      </c>
      <c r="D2065" s="10" t="str">
        <f aca="false">IF($B2065="","",IFERROR(INDEX(M_dept,MATCH($B2065,M_emp,0)),""))</f>
        <v/>
      </c>
      <c r="E2065" s="10" t="str">
        <f aca="false">IF($B2065="","",IFERROR(INDEX(M_loc,MATCH($B2065,M_emp,0)),""))</f>
        <v/>
      </c>
      <c r="F2065" s="33"/>
      <c r="G2065" s="33"/>
      <c r="H2065" s="33"/>
      <c r="I2065" s="33"/>
      <c r="J2065" s="33"/>
      <c r="K2065" s="33"/>
      <c r="L2065" s="33"/>
      <c r="M2065" s="33"/>
      <c r="N2065" s="33"/>
      <c r="O2065" s="33"/>
      <c r="P2065" s="33"/>
      <c r="Q2065" s="33"/>
      <c r="R2065" s="33"/>
      <c r="S2065" s="33"/>
      <c r="T2065" s="33"/>
      <c r="U2065" s="33"/>
      <c r="V2065" s="33"/>
      <c r="W2065" s="33"/>
      <c r="X2065" s="33"/>
      <c r="Y2065" s="33"/>
      <c r="Z2065" s="33"/>
      <c r="AA2065" s="33"/>
      <c r="AB2065" s="33"/>
      <c r="AC2065" s="33"/>
      <c r="AD2065" s="33"/>
      <c r="AE2065" s="33"/>
      <c r="AF2065" s="33"/>
      <c r="AG2065" s="33"/>
      <c r="AH2065" s="33"/>
      <c r="AI2065" s="33"/>
      <c r="AJ2065" s="33"/>
      <c r="AK2065" s="34" t="str">
        <f aca="false">IF($B2065="","",COUNTIF($F2065:$AJ2065,"P"))</f>
        <v/>
      </c>
      <c r="AL2065" s="34" t="str">
        <f aca="false">IF($B2065="","",COUNTIF($F2065:$AJ2065,"A"))</f>
        <v/>
      </c>
      <c r="AM2065" s="34" t="str">
        <f aca="false">IF($B2065="","",COUNTIF($F2065:$AJ2065,"HA"))</f>
        <v/>
      </c>
      <c r="AN2065" s="34" t="str">
        <f aca="false">IF($B2065="","",COUNTIF($F2065:$AJ2065,"L"))</f>
        <v/>
      </c>
      <c r="AO2065" s="34" t="str">
        <f aca="false">IF($B2065="","",COUNTIF($F2065:$AJ2065,"PL"))</f>
        <v/>
      </c>
      <c r="AP2065" s="34" t="str">
        <f aca="false">IF($B2065="","",COUNTIF($F2065:$AJ2065,"CL"))</f>
        <v/>
      </c>
      <c r="AQ2065" s="34" t="str">
        <f aca="false">IF($B2065="","",COUNTIF($F2065:$AJ2065,"SL"))</f>
        <v/>
      </c>
      <c r="AR2065" s="34" t="str">
        <f aca="false">IF($B2065="","",COUNTIF($F2065:$AJ2065,"CO"))</f>
        <v/>
      </c>
      <c r="AS2065" s="34" t="str">
        <f aca="false">IF($B2065="","",COUNTIF($F2065:$AJ2065,"HPL"))</f>
        <v/>
      </c>
      <c r="AT2065" s="34" t="str">
        <f aca="false">IF($B2065="","",COUNTIF($F2065:$AJ2065,"HCL"))</f>
        <v/>
      </c>
      <c r="AU2065" s="34" t="str">
        <f aca="false">IF($B2065="","",COUNTIF($F2065:$AJ2065,"WO"))</f>
        <v/>
      </c>
      <c r="AV2065" s="34" t="str">
        <f aca="false">IF($B2065="","",COUNTIF($F2065:$AJ2065,"PH"))</f>
        <v/>
      </c>
      <c r="AW2065" s="34" t="str">
        <f aca="false">IF($B2065="","",COUNTIF($F2065:$AJ2065,"TR"))</f>
        <v/>
      </c>
      <c r="AX2065" s="35" t="str">
        <f aca="false">IF($B2065="","",AO2065+AS2065/2)</f>
        <v/>
      </c>
      <c r="AY2065" s="35" t="str">
        <f aca="false">IF($B2065="","",AQ2065)</f>
        <v/>
      </c>
      <c r="AZ2065" s="35" t="str">
        <f aca="false">IF($B2065="","",AP2065+AT2065/2)</f>
        <v/>
      </c>
      <c r="BA2065" s="35" t="str">
        <f aca="false">IF($B2065="","",AK2065+AN2065+AM2065/2+AO2065+AP2065+AQ2065+AR2065+AS2065+AT2065+AU2065+AV2065+AW2065)</f>
        <v/>
      </c>
      <c r="BB2065" s="35" t="str">
        <f aca="false">IF($B2065="","",MAX(0,AN2065-Settings!$C$16)*Settings!$C$17)</f>
        <v/>
      </c>
      <c r="BC2065" s="35" t="str">
        <f aca="false">IF($B2065="","",BA2065-BB2065)</f>
        <v/>
      </c>
      <c r="BD2065" s="35" t="str">
        <f aca="false">IF(OR($B2065="",$A2065=""),"",DAY(EOMONTH($A2065,0))-COUNTA($F2065:$AJ2065))</f>
        <v/>
      </c>
    </row>
    <row r="2066" customFormat="false" ht="15" hidden="false" customHeight="false" outlineLevel="0" collapsed="false">
      <c r="A2066" s="32"/>
      <c r="B2066" s="29"/>
      <c r="C2066" s="10" t="str">
        <f aca="false">IF($B2066="","",IFERROR(INDEX(M_name,MATCH($B2066,M_emp,0)),"Code not found"))</f>
        <v/>
      </c>
      <c r="D2066" s="10" t="str">
        <f aca="false">IF($B2066="","",IFERROR(INDEX(M_dept,MATCH($B2066,M_emp,0)),""))</f>
        <v/>
      </c>
      <c r="E2066" s="10" t="str">
        <f aca="false">IF($B2066="","",IFERROR(INDEX(M_loc,MATCH($B2066,M_emp,0)),""))</f>
        <v/>
      </c>
      <c r="F2066" s="33"/>
      <c r="G2066" s="33"/>
      <c r="H2066" s="33"/>
      <c r="I2066" s="33"/>
      <c r="J2066" s="33"/>
      <c r="K2066" s="33"/>
      <c r="L2066" s="33"/>
      <c r="M2066" s="33"/>
      <c r="N2066" s="33"/>
      <c r="O2066" s="33"/>
      <c r="P2066" s="33"/>
      <c r="Q2066" s="33"/>
      <c r="R2066" s="33"/>
      <c r="S2066" s="33"/>
      <c r="T2066" s="33"/>
      <c r="U2066" s="33"/>
      <c r="V2066" s="33"/>
      <c r="W2066" s="33"/>
      <c r="X2066" s="33"/>
      <c r="Y2066" s="33"/>
      <c r="Z2066" s="33"/>
      <c r="AA2066" s="33"/>
      <c r="AB2066" s="33"/>
      <c r="AC2066" s="33"/>
      <c r="AD2066" s="33"/>
      <c r="AE2066" s="33"/>
      <c r="AF2066" s="33"/>
      <c r="AG2066" s="33"/>
      <c r="AH2066" s="33"/>
      <c r="AI2066" s="33"/>
      <c r="AJ2066" s="33"/>
      <c r="AK2066" s="34" t="str">
        <f aca="false">IF($B2066="","",COUNTIF($F2066:$AJ2066,"P"))</f>
        <v/>
      </c>
      <c r="AL2066" s="34" t="str">
        <f aca="false">IF($B2066="","",COUNTIF($F2066:$AJ2066,"A"))</f>
        <v/>
      </c>
      <c r="AM2066" s="34" t="str">
        <f aca="false">IF($B2066="","",COUNTIF($F2066:$AJ2066,"HA"))</f>
        <v/>
      </c>
      <c r="AN2066" s="34" t="str">
        <f aca="false">IF($B2066="","",COUNTIF($F2066:$AJ2066,"L"))</f>
        <v/>
      </c>
      <c r="AO2066" s="34" t="str">
        <f aca="false">IF($B2066="","",COUNTIF($F2066:$AJ2066,"PL"))</f>
        <v/>
      </c>
      <c r="AP2066" s="34" t="str">
        <f aca="false">IF($B2066="","",COUNTIF($F2066:$AJ2066,"CL"))</f>
        <v/>
      </c>
      <c r="AQ2066" s="34" t="str">
        <f aca="false">IF($B2066="","",COUNTIF($F2066:$AJ2066,"SL"))</f>
        <v/>
      </c>
      <c r="AR2066" s="34" t="str">
        <f aca="false">IF($B2066="","",COUNTIF($F2066:$AJ2066,"CO"))</f>
        <v/>
      </c>
      <c r="AS2066" s="34" t="str">
        <f aca="false">IF($B2066="","",COUNTIF($F2066:$AJ2066,"HPL"))</f>
        <v/>
      </c>
      <c r="AT2066" s="34" t="str">
        <f aca="false">IF($B2066="","",COUNTIF($F2066:$AJ2066,"HCL"))</f>
        <v/>
      </c>
      <c r="AU2066" s="34" t="str">
        <f aca="false">IF($B2066="","",COUNTIF($F2066:$AJ2066,"WO"))</f>
        <v/>
      </c>
      <c r="AV2066" s="34" t="str">
        <f aca="false">IF($B2066="","",COUNTIF($F2066:$AJ2066,"PH"))</f>
        <v/>
      </c>
      <c r="AW2066" s="34" t="str">
        <f aca="false">IF($B2066="","",COUNTIF($F2066:$AJ2066,"TR"))</f>
        <v/>
      </c>
      <c r="AX2066" s="35" t="str">
        <f aca="false">IF($B2066="","",AO2066+AS2066/2)</f>
        <v/>
      </c>
      <c r="AY2066" s="35" t="str">
        <f aca="false">IF($B2066="","",AQ2066)</f>
        <v/>
      </c>
      <c r="AZ2066" s="35" t="str">
        <f aca="false">IF($B2066="","",AP2066+AT2066/2)</f>
        <v/>
      </c>
      <c r="BA2066" s="35" t="str">
        <f aca="false">IF($B2066="","",AK2066+AN2066+AM2066/2+AO2066+AP2066+AQ2066+AR2066+AS2066+AT2066+AU2066+AV2066+AW2066)</f>
        <v/>
      </c>
      <c r="BB2066" s="35" t="str">
        <f aca="false">IF($B2066="","",MAX(0,AN2066-Settings!$C$16)*Settings!$C$17)</f>
        <v/>
      </c>
      <c r="BC2066" s="35" t="str">
        <f aca="false">IF($B2066="","",BA2066-BB2066)</f>
        <v/>
      </c>
      <c r="BD2066" s="35" t="str">
        <f aca="false">IF(OR($B2066="",$A2066=""),"",DAY(EOMONTH($A2066,0))-COUNTA($F2066:$AJ2066))</f>
        <v/>
      </c>
    </row>
    <row r="2067" customFormat="false" ht="15" hidden="false" customHeight="false" outlineLevel="0" collapsed="false">
      <c r="A2067" s="32"/>
      <c r="B2067" s="29"/>
      <c r="C2067" s="10" t="str">
        <f aca="false">IF($B2067="","",IFERROR(INDEX(M_name,MATCH($B2067,M_emp,0)),"Code not found"))</f>
        <v/>
      </c>
      <c r="D2067" s="10" t="str">
        <f aca="false">IF($B2067="","",IFERROR(INDEX(M_dept,MATCH($B2067,M_emp,0)),""))</f>
        <v/>
      </c>
      <c r="E2067" s="10" t="str">
        <f aca="false">IF($B2067="","",IFERROR(INDEX(M_loc,MATCH($B2067,M_emp,0)),""))</f>
        <v/>
      </c>
      <c r="F2067" s="33"/>
      <c r="G2067" s="33"/>
      <c r="H2067" s="33"/>
      <c r="I2067" s="33"/>
      <c r="J2067" s="33"/>
      <c r="K2067" s="33"/>
      <c r="L2067" s="33"/>
      <c r="M2067" s="33"/>
      <c r="N2067" s="33"/>
      <c r="O2067" s="33"/>
      <c r="P2067" s="33"/>
      <c r="Q2067" s="33"/>
      <c r="R2067" s="33"/>
      <c r="S2067" s="33"/>
      <c r="T2067" s="33"/>
      <c r="U2067" s="33"/>
      <c r="V2067" s="33"/>
      <c r="W2067" s="33"/>
      <c r="X2067" s="33"/>
      <c r="Y2067" s="33"/>
      <c r="Z2067" s="33"/>
      <c r="AA2067" s="33"/>
      <c r="AB2067" s="33"/>
      <c r="AC2067" s="33"/>
      <c r="AD2067" s="33"/>
      <c r="AE2067" s="33"/>
      <c r="AF2067" s="33"/>
      <c r="AG2067" s="33"/>
      <c r="AH2067" s="33"/>
      <c r="AI2067" s="33"/>
      <c r="AJ2067" s="33"/>
      <c r="AK2067" s="34" t="str">
        <f aca="false">IF($B2067="","",COUNTIF($F2067:$AJ2067,"P"))</f>
        <v/>
      </c>
      <c r="AL2067" s="34" t="str">
        <f aca="false">IF($B2067="","",COUNTIF($F2067:$AJ2067,"A"))</f>
        <v/>
      </c>
      <c r="AM2067" s="34" t="str">
        <f aca="false">IF($B2067="","",COUNTIF($F2067:$AJ2067,"HA"))</f>
        <v/>
      </c>
      <c r="AN2067" s="34" t="str">
        <f aca="false">IF($B2067="","",COUNTIF($F2067:$AJ2067,"L"))</f>
        <v/>
      </c>
      <c r="AO2067" s="34" t="str">
        <f aca="false">IF($B2067="","",COUNTIF($F2067:$AJ2067,"PL"))</f>
        <v/>
      </c>
      <c r="AP2067" s="34" t="str">
        <f aca="false">IF($B2067="","",COUNTIF($F2067:$AJ2067,"CL"))</f>
        <v/>
      </c>
      <c r="AQ2067" s="34" t="str">
        <f aca="false">IF($B2067="","",COUNTIF($F2067:$AJ2067,"SL"))</f>
        <v/>
      </c>
      <c r="AR2067" s="34" t="str">
        <f aca="false">IF($B2067="","",COUNTIF($F2067:$AJ2067,"CO"))</f>
        <v/>
      </c>
      <c r="AS2067" s="34" t="str">
        <f aca="false">IF($B2067="","",COUNTIF($F2067:$AJ2067,"HPL"))</f>
        <v/>
      </c>
      <c r="AT2067" s="34" t="str">
        <f aca="false">IF($B2067="","",COUNTIF($F2067:$AJ2067,"HCL"))</f>
        <v/>
      </c>
      <c r="AU2067" s="34" t="str">
        <f aca="false">IF($B2067="","",COUNTIF($F2067:$AJ2067,"WO"))</f>
        <v/>
      </c>
      <c r="AV2067" s="34" t="str">
        <f aca="false">IF($B2067="","",COUNTIF($F2067:$AJ2067,"PH"))</f>
        <v/>
      </c>
      <c r="AW2067" s="34" t="str">
        <f aca="false">IF($B2067="","",COUNTIF($F2067:$AJ2067,"TR"))</f>
        <v/>
      </c>
      <c r="AX2067" s="35" t="str">
        <f aca="false">IF($B2067="","",AO2067+AS2067/2)</f>
        <v/>
      </c>
      <c r="AY2067" s="35" t="str">
        <f aca="false">IF($B2067="","",AQ2067)</f>
        <v/>
      </c>
      <c r="AZ2067" s="35" t="str">
        <f aca="false">IF($B2067="","",AP2067+AT2067/2)</f>
        <v/>
      </c>
      <c r="BA2067" s="35" t="str">
        <f aca="false">IF($B2067="","",AK2067+AN2067+AM2067/2+AO2067+AP2067+AQ2067+AR2067+AS2067+AT2067+AU2067+AV2067+AW2067)</f>
        <v/>
      </c>
      <c r="BB2067" s="35" t="str">
        <f aca="false">IF($B2067="","",MAX(0,AN2067-Settings!$C$16)*Settings!$C$17)</f>
        <v/>
      </c>
      <c r="BC2067" s="35" t="str">
        <f aca="false">IF($B2067="","",BA2067-BB2067)</f>
        <v/>
      </c>
      <c r="BD2067" s="35" t="str">
        <f aca="false">IF(OR($B2067="",$A2067=""),"",DAY(EOMONTH($A2067,0))-COUNTA($F2067:$AJ2067))</f>
        <v/>
      </c>
    </row>
    <row r="2068" customFormat="false" ht="15" hidden="false" customHeight="false" outlineLevel="0" collapsed="false">
      <c r="A2068" s="32"/>
      <c r="B2068" s="29"/>
      <c r="C2068" s="10" t="str">
        <f aca="false">IF($B2068="","",IFERROR(INDEX(M_name,MATCH($B2068,M_emp,0)),"Code not found"))</f>
        <v/>
      </c>
      <c r="D2068" s="10" t="str">
        <f aca="false">IF($B2068="","",IFERROR(INDEX(M_dept,MATCH($B2068,M_emp,0)),""))</f>
        <v/>
      </c>
      <c r="E2068" s="10" t="str">
        <f aca="false">IF($B2068="","",IFERROR(INDEX(M_loc,MATCH($B2068,M_emp,0)),""))</f>
        <v/>
      </c>
      <c r="F2068" s="33"/>
      <c r="G2068" s="33"/>
      <c r="H2068" s="33"/>
      <c r="I2068" s="33"/>
      <c r="J2068" s="33"/>
      <c r="K2068" s="33"/>
      <c r="L2068" s="33"/>
      <c r="M2068" s="33"/>
      <c r="N2068" s="33"/>
      <c r="O2068" s="33"/>
      <c r="P2068" s="33"/>
      <c r="Q2068" s="33"/>
      <c r="R2068" s="33"/>
      <c r="S2068" s="33"/>
      <c r="T2068" s="33"/>
      <c r="U2068" s="33"/>
      <c r="V2068" s="33"/>
      <c r="W2068" s="33"/>
      <c r="X2068" s="33"/>
      <c r="Y2068" s="33"/>
      <c r="Z2068" s="33"/>
      <c r="AA2068" s="33"/>
      <c r="AB2068" s="33"/>
      <c r="AC2068" s="33"/>
      <c r="AD2068" s="33"/>
      <c r="AE2068" s="33"/>
      <c r="AF2068" s="33"/>
      <c r="AG2068" s="33"/>
      <c r="AH2068" s="33"/>
      <c r="AI2068" s="33"/>
      <c r="AJ2068" s="33"/>
      <c r="AK2068" s="34" t="str">
        <f aca="false">IF($B2068="","",COUNTIF($F2068:$AJ2068,"P"))</f>
        <v/>
      </c>
      <c r="AL2068" s="34" t="str">
        <f aca="false">IF($B2068="","",COUNTIF($F2068:$AJ2068,"A"))</f>
        <v/>
      </c>
      <c r="AM2068" s="34" t="str">
        <f aca="false">IF($B2068="","",COUNTIF($F2068:$AJ2068,"HA"))</f>
        <v/>
      </c>
      <c r="AN2068" s="34" t="str">
        <f aca="false">IF($B2068="","",COUNTIF($F2068:$AJ2068,"L"))</f>
        <v/>
      </c>
      <c r="AO2068" s="34" t="str">
        <f aca="false">IF($B2068="","",COUNTIF($F2068:$AJ2068,"PL"))</f>
        <v/>
      </c>
      <c r="AP2068" s="34" t="str">
        <f aca="false">IF($B2068="","",COUNTIF($F2068:$AJ2068,"CL"))</f>
        <v/>
      </c>
      <c r="AQ2068" s="34" t="str">
        <f aca="false">IF($B2068="","",COUNTIF($F2068:$AJ2068,"SL"))</f>
        <v/>
      </c>
      <c r="AR2068" s="34" t="str">
        <f aca="false">IF($B2068="","",COUNTIF($F2068:$AJ2068,"CO"))</f>
        <v/>
      </c>
      <c r="AS2068" s="34" t="str">
        <f aca="false">IF($B2068="","",COUNTIF($F2068:$AJ2068,"HPL"))</f>
        <v/>
      </c>
      <c r="AT2068" s="34" t="str">
        <f aca="false">IF($B2068="","",COUNTIF($F2068:$AJ2068,"HCL"))</f>
        <v/>
      </c>
      <c r="AU2068" s="34" t="str">
        <f aca="false">IF($B2068="","",COUNTIF($F2068:$AJ2068,"WO"))</f>
        <v/>
      </c>
      <c r="AV2068" s="34" t="str">
        <f aca="false">IF($B2068="","",COUNTIF($F2068:$AJ2068,"PH"))</f>
        <v/>
      </c>
      <c r="AW2068" s="34" t="str">
        <f aca="false">IF($B2068="","",COUNTIF($F2068:$AJ2068,"TR"))</f>
        <v/>
      </c>
      <c r="AX2068" s="35" t="str">
        <f aca="false">IF($B2068="","",AO2068+AS2068/2)</f>
        <v/>
      </c>
      <c r="AY2068" s="35" t="str">
        <f aca="false">IF($B2068="","",AQ2068)</f>
        <v/>
      </c>
      <c r="AZ2068" s="35" t="str">
        <f aca="false">IF($B2068="","",AP2068+AT2068/2)</f>
        <v/>
      </c>
      <c r="BA2068" s="35" t="str">
        <f aca="false">IF($B2068="","",AK2068+AN2068+AM2068/2+AO2068+AP2068+AQ2068+AR2068+AS2068+AT2068+AU2068+AV2068+AW2068)</f>
        <v/>
      </c>
      <c r="BB2068" s="35" t="str">
        <f aca="false">IF($B2068="","",MAX(0,AN2068-Settings!$C$16)*Settings!$C$17)</f>
        <v/>
      </c>
      <c r="BC2068" s="35" t="str">
        <f aca="false">IF($B2068="","",BA2068-BB2068)</f>
        <v/>
      </c>
      <c r="BD2068" s="35" t="str">
        <f aca="false">IF(OR($B2068="",$A2068=""),"",DAY(EOMONTH($A2068,0))-COUNTA($F2068:$AJ2068))</f>
        <v/>
      </c>
    </row>
    <row r="2069" customFormat="false" ht="15" hidden="false" customHeight="false" outlineLevel="0" collapsed="false">
      <c r="A2069" s="32"/>
      <c r="B2069" s="29"/>
      <c r="C2069" s="10" t="str">
        <f aca="false">IF($B2069="","",IFERROR(INDEX(M_name,MATCH($B2069,M_emp,0)),"Code not found"))</f>
        <v/>
      </c>
      <c r="D2069" s="10" t="str">
        <f aca="false">IF($B2069="","",IFERROR(INDEX(M_dept,MATCH($B2069,M_emp,0)),""))</f>
        <v/>
      </c>
      <c r="E2069" s="10" t="str">
        <f aca="false">IF($B2069="","",IFERROR(INDEX(M_loc,MATCH($B2069,M_emp,0)),""))</f>
        <v/>
      </c>
      <c r="F2069" s="33"/>
      <c r="G2069" s="33"/>
      <c r="H2069" s="33"/>
      <c r="I2069" s="33"/>
      <c r="J2069" s="33"/>
      <c r="K2069" s="33"/>
      <c r="L2069" s="33"/>
      <c r="M2069" s="33"/>
      <c r="N2069" s="33"/>
      <c r="O2069" s="33"/>
      <c r="P2069" s="33"/>
      <c r="Q2069" s="33"/>
      <c r="R2069" s="33"/>
      <c r="S2069" s="33"/>
      <c r="T2069" s="33"/>
      <c r="U2069" s="33"/>
      <c r="V2069" s="33"/>
      <c r="W2069" s="33"/>
      <c r="X2069" s="33"/>
      <c r="Y2069" s="33"/>
      <c r="Z2069" s="33"/>
      <c r="AA2069" s="33"/>
      <c r="AB2069" s="33"/>
      <c r="AC2069" s="33"/>
      <c r="AD2069" s="33"/>
      <c r="AE2069" s="33"/>
      <c r="AF2069" s="33"/>
      <c r="AG2069" s="33"/>
      <c r="AH2069" s="33"/>
      <c r="AI2069" s="33"/>
      <c r="AJ2069" s="33"/>
      <c r="AK2069" s="34" t="str">
        <f aca="false">IF($B2069="","",COUNTIF($F2069:$AJ2069,"P"))</f>
        <v/>
      </c>
      <c r="AL2069" s="34" t="str">
        <f aca="false">IF($B2069="","",COUNTIF($F2069:$AJ2069,"A"))</f>
        <v/>
      </c>
      <c r="AM2069" s="34" t="str">
        <f aca="false">IF($B2069="","",COUNTIF($F2069:$AJ2069,"HA"))</f>
        <v/>
      </c>
      <c r="AN2069" s="34" t="str">
        <f aca="false">IF($B2069="","",COUNTIF($F2069:$AJ2069,"L"))</f>
        <v/>
      </c>
      <c r="AO2069" s="34" t="str">
        <f aca="false">IF($B2069="","",COUNTIF($F2069:$AJ2069,"PL"))</f>
        <v/>
      </c>
      <c r="AP2069" s="34" t="str">
        <f aca="false">IF($B2069="","",COUNTIF($F2069:$AJ2069,"CL"))</f>
        <v/>
      </c>
      <c r="AQ2069" s="34" t="str">
        <f aca="false">IF($B2069="","",COUNTIF($F2069:$AJ2069,"SL"))</f>
        <v/>
      </c>
      <c r="AR2069" s="34" t="str">
        <f aca="false">IF($B2069="","",COUNTIF($F2069:$AJ2069,"CO"))</f>
        <v/>
      </c>
      <c r="AS2069" s="34" t="str">
        <f aca="false">IF($B2069="","",COUNTIF($F2069:$AJ2069,"HPL"))</f>
        <v/>
      </c>
      <c r="AT2069" s="34" t="str">
        <f aca="false">IF($B2069="","",COUNTIF($F2069:$AJ2069,"HCL"))</f>
        <v/>
      </c>
      <c r="AU2069" s="34" t="str">
        <f aca="false">IF($B2069="","",COUNTIF($F2069:$AJ2069,"WO"))</f>
        <v/>
      </c>
      <c r="AV2069" s="34" t="str">
        <f aca="false">IF($B2069="","",COUNTIF($F2069:$AJ2069,"PH"))</f>
        <v/>
      </c>
      <c r="AW2069" s="34" t="str">
        <f aca="false">IF($B2069="","",COUNTIF($F2069:$AJ2069,"TR"))</f>
        <v/>
      </c>
      <c r="AX2069" s="35" t="str">
        <f aca="false">IF($B2069="","",AO2069+AS2069/2)</f>
        <v/>
      </c>
      <c r="AY2069" s="35" t="str">
        <f aca="false">IF($B2069="","",AQ2069)</f>
        <v/>
      </c>
      <c r="AZ2069" s="35" t="str">
        <f aca="false">IF($B2069="","",AP2069+AT2069/2)</f>
        <v/>
      </c>
      <c r="BA2069" s="35" t="str">
        <f aca="false">IF($B2069="","",AK2069+AN2069+AM2069/2+AO2069+AP2069+AQ2069+AR2069+AS2069+AT2069+AU2069+AV2069+AW2069)</f>
        <v/>
      </c>
      <c r="BB2069" s="35" t="str">
        <f aca="false">IF($B2069="","",MAX(0,AN2069-Settings!$C$16)*Settings!$C$17)</f>
        <v/>
      </c>
      <c r="BC2069" s="35" t="str">
        <f aca="false">IF($B2069="","",BA2069-BB2069)</f>
        <v/>
      </c>
      <c r="BD2069" s="35" t="str">
        <f aca="false">IF(OR($B2069="",$A2069=""),"",DAY(EOMONTH($A2069,0))-COUNTA($F2069:$AJ2069))</f>
        <v/>
      </c>
    </row>
    <row r="2070" customFormat="false" ht="15" hidden="false" customHeight="false" outlineLevel="0" collapsed="false">
      <c r="A2070" s="32"/>
      <c r="B2070" s="29"/>
      <c r="C2070" s="10" t="str">
        <f aca="false">IF($B2070="","",IFERROR(INDEX(M_name,MATCH($B2070,M_emp,0)),"Code not found"))</f>
        <v/>
      </c>
      <c r="D2070" s="10" t="str">
        <f aca="false">IF($B2070="","",IFERROR(INDEX(M_dept,MATCH($B2070,M_emp,0)),""))</f>
        <v/>
      </c>
      <c r="E2070" s="10" t="str">
        <f aca="false">IF($B2070="","",IFERROR(INDEX(M_loc,MATCH($B2070,M_emp,0)),""))</f>
        <v/>
      </c>
      <c r="F2070" s="33"/>
      <c r="G2070" s="33"/>
      <c r="H2070" s="33"/>
      <c r="I2070" s="33"/>
      <c r="J2070" s="33"/>
      <c r="K2070" s="33"/>
      <c r="L2070" s="33"/>
      <c r="M2070" s="33"/>
      <c r="N2070" s="33"/>
      <c r="O2070" s="33"/>
      <c r="P2070" s="33"/>
      <c r="Q2070" s="33"/>
      <c r="R2070" s="33"/>
      <c r="S2070" s="33"/>
      <c r="T2070" s="33"/>
      <c r="U2070" s="33"/>
      <c r="V2070" s="33"/>
      <c r="W2070" s="33"/>
      <c r="X2070" s="33"/>
      <c r="Y2070" s="33"/>
      <c r="Z2070" s="33"/>
      <c r="AA2070" s="33"/>
      <c r="AB2070" s="33"/>
      <c r="AC2070" s="33"/>
      <c r="AD2070" s="33"/>
      <c r="AE2070" s="33"/>
      <c r="AF2070" s="33"/>
      <c r="AG2070" s="33"/>
      <c r="AH2070" s="33"/>
      <c r="AI2070" s="33"/>
      <c r="AJ2070" s="33"/>
      <c r="AK2070" s="34" t="str">
        <f aca="false">IF($B2070="","",COUNTIF($F2070:$AJ2070,"P"))</f>
        <v/>
      </c>
      <c r="AL2070" s="34" t="str">
        <f aca="false">IF($B2070="","",COUNTIF($F2070:$AJ2070,"A"))</f>
        <v/>
      </c>
      <c r="AM2070" s="34" t="str">
        <f aca="false">IF($B2070="","",COUNTIF($F2070:$AJ2070,"HA"))</f>
        <v/>
      </c>
      <c r="AN2070" s="34" t="str">
        <f aca="false">IF($B2070="","",COUNTIF($F2070:$AJ2070,"L"))</f>
        <v/>
      </c>
      <c r="AO2070" s="34" t="str">
        <f aca="false">IF($B2070="","",COUNTIF($F2070:$AJ2070,"PL"))</f>
        <v/>
      </c>
      <c r="AP2070" s="34" t="str">
        <f aca="false">IF($B2070="","",COUNTIF($F2070:$AJ2070,"CL"))</f>
        <v/>
      </c>
      <c r="AQ2070" s="34" t="str">
        <f aca="false">IF($B2070="","",COUNTIF($F2070:$AJ2070,"SL"))</f>
        <v/>
      </c>
      <c r="AR2070" s="34" t="str">
        <f aca="false">IF($B2070="","",COUNTIF($F2070:$AJ2070,"CO"))</f>
        <v/>
      </c>
      <c r="AS2070" s="34" t="str">
        <f aca="false">IF($B2070="","",COUNTIF($F2070:$AJ2070,"HPL"))</f>
        <v/>
      </c>
      <c r="AT2070" s="34" t="str">
        <f aca="false">IF($B2070="","",COUNTIF($F2070:$AJ2070,"HCL"))</f>
        <v/>
      </c>
      <c r="AU2070" s="34" t="str">
        <f aca="false">IF($B2070="","",COUNTIF($F2070:$AJ2070,"WO"))</f>
        <v/>
      </c>
      <c r="AV2070" s="34" t="str">
        <f aca="false">IF($B2070="","",COUNTIF($F2070:$AJ2070,"PH"))</f>
        <v/>
      </c>
      <c r="AW2070" s="34" t="str">
        <f aca="false">IF($B2070="","",COUNTIF($F2070:$AJ2070,"TR"))</f>
        <v/>
      </c>
      <c r="AX2070" s="35" t="str">
        <f aca="false">IF($B2070="","",AO2070+AS2070/2)</f>
        <v/>
      </c>
      <c r="AY2070" s="35" t="str">
        <f aca="false">IF($B2070="","",AQ2070)</f>
        <v/>
      </c>
      <c r="AZ2070" s="35" t="str">
        <f aca="false">IF($B2070="","",AP2070+AT2070/2)</f>
        <v/>
      </c>
      <c r="BA2070" s="35" t="str">
        <f aca="false">IF($B2070="","",AK2070+AN2070+AM2070/2+AO2070+AP2070+AQ2070+AR2070+AS2070+AT2070+AU2070+AV2070+AW2070)</f>
        <v/>
      </c>
      <c r="BB2070" s="35" t="str">
        <f aca="false">IF($B2070="","",MAX(0,AN2070-Settings!$C$16)*Settings!$C$17)</f>
        <v/>
      </c>
      <c r="BC2070" s="35" t="str">
        <f aca="false">IF($B2070="","",BA2070-BB2070)</f>
        <v/>
      </c>
      <c r="BD2070" s="35" t="str">
        <f aca="false">IF(OR($B2070="",$A2070=""),"",DAY(EOMONTH($A2070,0))-COUNTA($F2070:$AJ2070))</f>
        <v/>
      </c>
    </row>
    <row r="2071" customFormat="false" ht="15" hidden="false" customHeight="false" outlineLevel="0" collapsed="false">
      <c r="A2071" s="32"/>
      <c r="B2071" s="29"/>
      <c r="C2071" s="10" t="str">
        <f aca="false">IF($B2071="","",IFERROR(INDEX(M_name,MATCH($B2071,M_emp,0)),"Code not found"))</f>
        <v/>
      </c>
      <c r="D2071" s="10" t="str">
        <f aca="false">IF($B2071="","",IFERROR(INDEX(M_dept,MATCH($B2071,M_emp,0)),""))</f>
        <v/>
      </c>
      <c r="E2071" s="10" t="str">
        <f aca="false">IF($B2071="","",IFERROR(INDEX(M_loc,MATCH($B2071,M_emp,0)),""))</f>
        <v/>
      </c>
      <c r="F2071" s="33"/>
      <c r="G2071" s="33"/>
      <c r="H2071" s="33"/>
      <c r="I2071" s="33"/>
      <c r="J2071" s="33"/>
      <c r="K2071" s="33"/>
      <c r="L2071" s="33"/>
      <c r="M2071" s="33"/>
      <c r="N2071" s="33"/>
      <c r="O2071" s="33"/>
      <c r="P2071" s="33"/>
      <c r="Q2071" s="33"/>
      <c r="R2071" s="33"/>
      <c r="S2071" s="33"/>
      <c r="T2071" s="33"/>
      <c r="U2071" s="33"/>
      <c r="V2071" s="33"/>
      <c r="W2071" s="33"/>
      <c r="X2071" s="33"/>
      <c r="Y2071" s="33"/>
      <c r="Z2071" s="33"/>
      <c r="AA2071" s="33"/>
      <c r="AB2071" s="33"/>
      <c r="AC2071" s="33"/>
      <c r="AD2071" s="33"/>
      <c r="AE2071" s="33"/>
      <c r="AF2071" s="33"/>
      <c r="AG2071" s="33"/>
      <c r="AH2071" s="33"/>
      <c r="AI2071" s="33"/>
      <c r="AJ2071" s="33"/>
      <c r="AK2071" s="34" t="str">
        <f aca="false">IF($B2071="","",COUNTIF($F2071:$AJ2071,"P"))</f>
        <v/>
      </c>
      <c r="AL2071" s="34" t="str">
        <f aca="false">IF($B2071="","",COUNTIF($F2071:$AJ2071,"A"))</f>
        <v/>
      </c>
      <c r="AM2071" s="34" t="str">
        <f aca="false">IF($B2071="","",COUNTIF($F2071:$AJ2071,"HA"))</f>
        <v/>
      </c>
      <c r="AN2071" s="34" t="str">
        <f aca="false">IF($B2071="","",COUNTIF($F2071:$AJ2071,"L"))</f>
        <v/>
      </c>
      <c r="AO2071" s="34" t="str">
        <f aca="false">IF($B2071="","",COUNTIF($F2071:$AJ2071,"PL"))</f>
        <v/>
      </c>
      <c r="AP2071" s="34" t="str">
        <f aca="false">IF($B2071="","",COUNTIF($F2071:$AJ2071,"CL"))</f>
        <v/>
      </c>
      <c r="AQ2071" s="34" t="str">
        <f aca="false">IF($B2071="","",COUNTIF($F2071:$AJ2071,"SL"))</f>
        <v/>
      </c>
      <c r="AR2071" s="34" t="str">
        <f aca="false">IF($B2071="","",COUNTIF($F2071:$AJ2071,"CO"))</f>
        <v/>
      </c>
      <c r="AS2071" s="34" t="str">
        <f aca="false">IF($B2071="","",COUNTIF($F2071:$AJ2071,"HPL"))</f>
        <v/>
      </c>
      <c r="AT2071" s="34" t="str">
        <f aca="false">IF($B2071="","",COUNTIF($F2071:$AJ2071,"HCL"))</f>
        <v/>
      </c>
      <c r="AU2071" s="34" t="str">
        <f aca="false">IF($B2071="","",COUNTIF($F2071:$AJ2071,"WO"))</f>
        <v/>
      </c>
      <c r="AV2071" s="34" t="str">
        <f aca="false">IF($B2071="","",COUNTIF($F2071:$AJ2071,"PH"))</f>
        <v/>
      </c>
      <c r="AW2071" s="34" t="str">
        <f aca="false">IF($B2071="","",COUNTIF($F2071:$AJ2071,"TR"))</f>
        <v/>
      </c>
      <c r="AX2071" s="35" t="str">
        <f aca="false">IF($B2071="","",AO2071+AS2071/2)</f>
        <v/>
      </c>
      <c r="AY2071" s="35" t="str">
        <f aca="false">IF($B2071="","",AQ2071)</f>
        <v/>
      </c>
      <c r="AZ2071" s="35" t="str">
        <f aca="false">IF($B2071="","",AP2071+AT2071/2)</f>
        <v/>
      </c>
      <c r="BA2071" s="35" t="str">
        <f aca="false">IF($B2071="","",AK2071+AN2071+AM2071/2+AO2071+AP2071+AQ2071+AR2071+AS2071+AT2071+AU2071+AV2071+AW2071)</f>
        <v/>
      </c>
      <c r="BB2071" s="35" t="str">
        <f aca="false">IF($B2071="","",MAX(0,AN2071-Settings!$C$16)*Settings!$C$17)</f>
        <v/>
      </c>
      <c r="BC2071" s="35" t="str">
        <f aca="false">IF($B2071="","",BA2071-BB2071)</f>
        <v/>
      </c>
      <c r="BD2071" s="35" t="str">
        <f aca="false">IF(OR($B2071="",$A2071=""),"",DAY(EOMONTH($A2071,0))-COUNTA($F2071:$AJ2071))</f>
        <v/>
      </c>
    </row>
    <row r="2072" customFormat="false" ht="15" hidden="false" customHeight="false" outlineLevel="0" collapsed="false">
      <c r="A2072" s="32"/>
      <c r="B2072" s="29"/>
      <c r="C2072" s="10" t="str">
        <f aca="false">IF($B2072="","",IFERROR(INDEX(M_name,MATCH($B2072,M_emp,0)),"Code not found"))</f>
        <v/>
      </c>
      <c r="D2072" s="10" t="str">
        <f aca="false">IF($B2072="","",IFERROR(INDEX(M_dept,MATCH($B2072,M_emp,0)),""))</f>
        <v/>
      </c>
      <c r="E2072" s="10" t="str">
        <f aca="false">IF($B2072="","",IFERROR(INDEX(M_loc,MATCH($B2072,M_emp,0)),""))</f>
        <v/>
      </c>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c r="AB2072" s="33"/>
      <c r="AC2072" s="33"/>
      <c r="AD2072" s="33"/>
      <c r="AE2072" s="33"/>
      <c r="AF2072" s="33"/>
      <c r="AG2072" s="33"/>
      <c r="AH2072" s="33"/>
      <c r="AI2072" s="33"/>
      <c r="AJ2072" s="33"/>
      <c r="AK2072" s="34" t="str">
        <f aca="false">IF($B2072="","",COUNTIF($F2072:$AJ2072,"P"))</f>
        <v/>
      </c>
      <c r="AL2072" s="34" t="str">
        <f aca="false">IF($B2072="","",COUNTIF($F2072:$AJ2072,"A"))</f>
        <v/>
      </c>
      <c r="AM2072" s="34" t="str">
        <f aca="false">IF($B2072="","",COUNTIF($F2072:$AJ2072,"HA"))</f>
        <v/>
      </c>
      <c r="AN2072" s="34" t="str">
        <f aca="false">IF($B2072="","",COUNTIF($F2072:$AJ2072,"L"))</f>
        <v/>
      </c>
      <c r="AO2072" s="34" t="str">
        <f aca="false">IF($B2072="","",COUNTIF($F2072:$AJ2072,"PL"))</f>
        <v/>
      </c>
      <c r="AP2072" s="34" t="str">
        <f aca="false">IF($B2072="","",COUNTIF($F2072:$AJ2072,"CL"))</f>
        <v/>
      </c>
      <c r="AQ2072" s="34" t="str">
        <f aca="false">IF($B2072="","",COUNTIF($F2072:$AJ2072,"SL"))</f>
        <v/>
      </c>
      <c r="AR2072" s="34" t="str">
        <f aca="false">IF($B2072="","",COUNTIF($F2072:$AJ2072,"CO"))</f>
        <v/>
      </c>
      <c r="AS2072" s="34" t="str">
        <f aca="false">IF($B2072="","",COUNTIF($F2072:$AJ2072,"HPL"))</f>
        <v/>
      </c>
      <c r="AT2072" s="34" t="str">
        <f aca="false">IF($B2072="","",COUNTIF($F2072:$AJ2072,"HCL"))</f>
        <v/>
      </c>
      <c r="AU2072" s="34" t="str">
        <f aca="false">IF($B2072="","",COUNTIF($F2072:$AJ2072,"WO"))</f>
        <v/>
      </c>
      <c r="AV2072" s="34" t="str">
        <f aca="false">IF($B2072="","",COUNTIF($F2072:$AJ2072,"PH"))</f>
        <v/>
      </c>
      <c r="AW2072" s="34" t="str">
        <f aca="false">IF($B2072="","",COUNTIF($F2072:$AJ2072,"TR"))</f>
        <v/>
      </c>
      <c r="AX2072" s="35" t="str">
        <f aca="false">IF($B2072="","",AO2072+AS2072/2)</f>
        <v/>
      </c>
      <c r="AY2072" s="35" t="str">
        <f aca="false">IF($B2072="","",AQ2072)</f>
        <v/>
      </c>
      <c r="AZ2072" s="35" t="str">
        <f aca="false">IF($B2072="","",AP2072+AT2072/2)</f>
        <v/>
      </c>
      <c r="BA2072" s="35" t="str">
        <f aca="false">IF($B2072="","",AK2072+AN2072+AM2072/2+AO2072+AP2072+AQ2072+AR2072+AS2072+AT2072+AU2072+AV2072+AW2072)</f>
        <v/>
      </c>
      <c r="BB2072" s="35" t="str">
        <f aca="false">IF($B2072="","",MAX(0,AN2072-Settings!$C$16)*Settings!$C$17)</f>
        <v/>
      </c>
      <c r="BC2072" s="35" t="str">
        <f aca="false">IF($B2072="","",BA2072-BB2072)</f>
        <v/>
      </c>
      <c r="BD2072" s="35" t="str">
        <f aca="false">IF(OR($B2072="",$A2072=""),"",DAY(EOMONTH($A2072,0))-COUNTA($F2072:$AJ2072))</f>
        <v/>
      </c>
    </row>
    <row r="2073" customFormat="false" ht="15" hidden="false" customHeight="false" outlineLevel="0" collapsed="false">
      <c r="A2073" s="32"/>
      <c r="B2073" s="29"/>
      <c r="C2073" s="10" t="str">
        <f aca="false">IF($B2073="","",IFERROR(INDEX(M_name,MATCH($B2073,M_emp,0)),"Code not found"))</f>
        <v/>
      </c>
      <c r="D2073" s="10" t="str">
        <f aca="false">IF($B2073="","",IFERROR(INDEX(M_dept,MATCH($B2073,M_emp,0)),""))</f>
        <v/>
      </c>
      <c r="E2073" s="10" t="str">
        <f aca="false">IF($B2073="","",IFERROR(INDEX(M_loc,MATCH($B2073,M_emp,0)),""))</f>
        <v/>
      </c>
      <c r="F2073" s="33"/>
      <c r="G2073" s="33"/>
      <c r="H2073" s="33"/>
      <c r="I2073" s="33"/>
      <c r="J2073" s="33"/>
      <c r="K2073" s="33"/>
      <c r="L2073" s="33"/>
      <c r="M2073" s="33"/>
      <c r="N2073" s="33"/>
      <c r="O2073" s="33"/>
      <c r="P2073" s="33"/>
      <c r="Q2073" s="33"/>
      <c r="R2073" s="33"/>
      <c r="S2073" s="33"/>
      <c r="T2073" s="33"/>
      <c r="U2073" s="33"/>
      <c r="V2073" s="33"/>
      <c r="W2073" s="33"/>
      <c r="X2073" s="33"/>
      <c r="Y2073" s="33"/>
      <c r="Z2073" s="33"/>
      <c r="AA2073" s="33"/>
      <c r="AB2073" s="33"/>
      <c r="AC2073" s="33"/>
      <c r="AD2073" s="33"/>
      <c r="AE2073" s="33"/>
      <c r="AF2073" s="33"/>
      <c r="AG2073" s="33"/>
      <c r="AH2073" s="33"/>
      <c r="AI2073" s="33"/>
      <c r="AJ2073" s="33"/>
      <c r="AK2073" s="34" t="str">
        <f aca="false">IF($B2073="","",COUNTIF($F2073:$AJ2073,"P"))</f>
        <v/>
      </c>
      <c r="AL2073" s="34" t="str">
        <f aca="false">IF($B2073="","",COUNTIF($F2073:$AJ2073,"A"))</f>
        <v/>
      </c>
      <c r="AM2073" s="34" t="str">
        <f aca="false">IF($B2073="","",COUNTIF($F2073:$AJ2073,"HA"))</f>
        <v/>
      </c>
      <c r="AN2073" s="34" t="str">
        <f aca="false">IF($B2073="","",COUNTIF($F2073:$AJ2073,"L"))</f>
        <v/>
      </c>
      <c r="AO2073" s="34" t="str">
        <f aca="false">IF($B2073="","",COUNTIF($F2073:$AJ2073,"PL"))</f>
        <v/>
      </c>
      <c r="AP2073" s="34" t="str">
        <f aca="false">IF($B2073="","",COUNTIF($F2073:$AJ2073,"CL"))</f>
        <v/>
      </c>
      <c r="AQ2073" s="34" t="str">
        <f aca="false">IF($B2073="","",COUNTIF($F2073:$AJ2073,"SL"))</f>
        <v/>
      </c>
      <c r="AR2073" s="34" t="str">
        <f aca="false">IF($B2073="","",COUNTIF($F2073:$AJ2073,"CO"))</f>
        <v/>
      </c>
      <c r="AS2073" s="34" t="str">
        <f aca="false">IF($B2073="","",COUNTIF($F2073:$AJ2073,"HPL"))</f>
        <v/>
      </c>
      <c r="AT2073" s="34" t="str">
        <f aca="false">IF($B2073="","",COUNTIF($F2073:$AJ2073,"HCL"))</f>
        <v/>
      </c>
      <c r="AU2073" s="34" t="str">
        <f aca="false">IF($B2073="","",COUNTIF($F2073:$AJ2073,"WO"))</f>
        <v/>
      </c>
      <c r="AV2073" s="34" t="str">
        <f aca="false">IF($B2073="","",COUNTIF($F2073:$AJ2073,"PH"))</f>
        <v/>
      </c>
      <c r="AW2073" s="34" t="str">
        <f aca="false">IF($B2073="","",COUNTIF($F2073:$AJ2073,"TR"))</f>
        <v/>
      </c>
      <c r="AX2073" s="35" t="str">
        <f aca="false">IF($B2073="","",AO2073+AS2073/2)</f>
        <v/>
      </c>
      <c r="AY2073" s="35" t="str">
        <f aca="false">IF($B2073="","",AQ2073)</f>
        <v/>
      </c>
      <c r="AZ2073" s="35" t="str">
        <f aca="false">IF($B2073="","",AP2073+AT2073/2)</f>
        <v/>
      </c>
      <c r="BA2073" s="35" t="str">
        <f aca="false">IF($B2073="","",AK2073+AN2073+AM2073/2+AO2073+AP2073+AQ2073+AR2073+AS2073+AT2073+AU2073+AV2073+AW2073)</f>
        <v/>
      </c>
      <c r="BB2073" s="35" t="str">
        <f aca="false">IF($B2073="","",MAX(0,AN2073-Settings!$C$16)*Settings!$C$17)</f>
        <v/>
      </c>
      <c r="BC2073" s="35" t="str">
        <f aca="false">IF($B2073="","",BA2073-BB2073)</f>
        <v/>
      </c>
      <c r="BD2073" s="35" t="str">
        <f aca="false">IF(OR($B2073="",$A2073=""),"",DAY(EOMONTH($A2073,0))-COUNTA($F2073:$AJ2073))</f>
        <v/>
      </c>
    </row>
    <row r="2074" customFormat="false" ht="15" hidden="false" customHeight="false" outlineLevel="0" collapsed="false">
      <c r="A2074" s="32"/>
      <c r="B2074" s="29"/>
      <c r="C2074" s="10" t="str">
        <f aca="false">IF($B2074="","",IFERROR(INDEX(M_name,MATCH($B2074,M_emp,0)),"Code not found"))</f>
        <v/>
      </c>
      <c r="D2074" s="10" t="str">
        <f aca="false">IF($B2074="","",IFERROR(INDEX(M_dept,MATCH($B2074,M_emp,0)),""))</f>
        <v/>
      </c>
      <c r="E2074" s="10" t="str">
        <f aca="false">IF($B2074="","",IFERROR(INDEX(M_loc,MATCH($B2074,M_emp,0)),""))</f>
        <v/>
      </c>
      <c r="F2074" s="33"/>
      <c r="G2074" s="33"/>
      <c r="H2074" s="33"/>
      <c r="I2074" s="33"/>
      <c r="J2074" s="33"/>
      <c r="K2074" s="33"/>
      <c r="L2074" s="33"/>
      <c r="M2074" s="33"/>
      <c r="N2074" s="33"/>
      <c r="O2074" s="33"/>
      <c r="P2074" s="33"/>
      <c r="Q2074" s="33"/>
      <c r="R2074" s="33"/>
      <c r="S2074" s="33"/>
      <c r="T2074" s="33"/>
      <c r="U2074" s="33"/>
      <c r="V2074" s="33"/>
      <c r="W2074" s="33"/>
      <c r="X2074" s="33"/>
      <c r="Y2074" s="33"/>
      <c r="Z2074" s="33"/>
      <c r="AA2074" s="33"/>
      <c r="AB2074" s="33"/>
      <c r="AC2074" s="33"/>
      <c r="AD2074" s="33"/>
      <c r="AE2074" s="33"/>
      <c r="AF2074" s="33"/>
      <c r="AG2074" s="33"/>
      <c r="AH2074" s="33"/>
      <c r="AI2074" s="33"/>
      <c r="AJ2074" s="33"/>
      <c r="AK2074" s="34" t="str">
        <f aca="false">IF($B2074="","",COUNTIF($F2074:$AJ2074,"P"))</f>
        <v/>
      </c>
      <c r="AL2074" s="34" t="str">
        <f aca="false">IF($B2074="","",COUNTIF($F2074:$AJ2074,"A"))</f>
        <v/>
      </c>
      <c r="AM2074" s="34" t="str">
        <f aca="false">IF($B2074="","",COUNTIF($F2074:$AJ2074,"HA"))</f>
        <v/>
      </c>
      <c r="AN2074" s="34" t="str">
        <f aca="false">IF($B2074="","",COUNTIF($F2074:$AJ2074,"L"))</f>
        <v/>
      </c>
      <c r="AO2074" s="34" t="str">
        <f aca="false">IF($B2074="","",COUNTIF($F2074:$AJ2074,"PL"))</f>
        <v/>
      </c>
      <c r="AP2074" s="34" t="str">
        <f aca="false">IF($B2074="","",COUNTIF($F2074:$AJ2074,"CL"))</f>
        <v/>
      </c>
      <c r="AQ2074" s="34" t="str">
        <f aca="false">IF($B2074="","",COUNTIF($F2074:$AJ2074,"SL"))</f>
        <v/>
      </c>
      <c r="AR2074" s="34" t="str">
        <f aca="false">IF($B2074="","",COUNTIF($F2074:$AJ2074,"CO"))</f>
        <v/>
      </c>
      <c r="AS2074" s="34" t="str">
        <f aca="false">IF($B2074="","",COUNTIF($F2074:$AJ2074,"HPL"))</f>
        <v/>
      </c>
      <c r="AT2074" s="34" t="str">
        <f aca="false">IF($B2074="","",COUNTIF($F2074:$AJ2074,"HCL"))</f>
        <v/>
      </c>
      <c r="AU2074" s="34" t="str">
        <f aca="false">IF($B2074="","",COUNTIF($F2074:$AJ2074,"WO"))</f>
        <v/>
      </c>
      <c r="AV2074" s="34" t="str">
        <f aca="false">IF($B2074="","",COUNTIF($F2074:$AJ2074,"PH"))</f>
        <v/>
      </c>
      <c r="AW2074" s="34" t="str">
        <f aca="false">IF($B2074="","",COUNTIF($F2074:$AJ2074,"TR"))</f>
        <v/>
      </c>
      <c r="AX2074" s="35" t="str">
        <f aca="false">IF($B2074="","",AO2074+AS2074/2)</f>
        <v/>
      </c>
      <c r="AY2074" s="35" t="str">
        <f aca="false">IF($B2074="","",AQ2074)</f>
        <v/>
      </c>
      <c r="AZ2074" s="35" t="str">
        <f aca="false">IF($B2074="","",AP2074+AT2074/2)</f>
        <v/>
      </c>
      <c r="BA2074" s="35" t="str">
        <f aca="false">IF($B2074="","",AK2074+AN2074+AM2074/2+AO2074+AP2074+AQ2074+AR2074+AS2074+AT2074+AU2074+AV2074+AW2074)</f>
        <v/>
      </c>
      <c r="BB2074" s="35" t="str">
        <f aca="false">IF($B2074="","",MAX(0,AN2074-Settings!$C$16)*Settings!$C$17)</f>
        <v/>
      </c>
      <c r="BC2074" s="35" t="str">
        <f aca="false">IF($B2074="","",BA2074-BB2074)</f>
        <v/>
      </c>
      <c r="BD2074" s="35" t="str">
        <f aca="false">IF(OR($B2074="",$A2074=""),"",DAY(EOMONTH($A2074,0))-COUNTA($F2074:$AJ2074))</f>
        <v/>
      </c>
    </row>
    <row r="2075" customFormat="false" ht="15" hidden="false" customHeight="false" outlineLevel="0" collapsed="false">
      <c r="A2075" s="32"/>
      <c r="B2075" s="29"/>
      <c r="C2075" s="10" t="str">
        <f aca="false">IF($B2075="","",IFERROR(INDEX(M_name,MATCH($B2075,M_emp,0)),"Code not found"))</f>
        <v/>
      </c>
      <c r="D2075" s="10" t="str">
        <f aca="false">IF($B2075="","",IFERROR(INDEX(M_dept,MATCH($B2075,M_emp,0)),""))</f>
        <v/>
      </c>
      <c r="E2075" s="10" t="str">
        <f aca="false">IF($B2075="","",IFERROR(INDEX(M_loc,MATCH($B2075,M_emp,0)),""))</f>
        <v/>
      </c>
      <c r="F2075" s="33"/>
      <c r="G2075" s="33"/>
      <c r="H2075" s="33"/>
      <c r="I2075" s="33"/>
      <c r="J2075" s="33"/>
      <c r="K2075" s="33"/>
      <c r="L2075" s="33"/>
      <c r="M2075" s="33"/>
      <c r="N2075" s="33"/>
      <c r="O2075" s="33"/>
      <c r="P2075" s="33"/>
      <c r="Q2075" s="33"/>
      <c r="R2075" s="33"/>
      <c r="S2075" s="33"/>
      <c r="T2075" s="33"/>
      <c r="U2075" s="33"/>
      <c r="V2075" s="33"/>
      <c r="W2075" s="33"/>
      <c r="X2075" s="33"/>
      <c r="Y2075" s="33"/>
      <c r="Z2075" s="33"/>
      <c r="AA2075" s="33"/>
      <c r="AB2075" s="33"/>
      <c r="AC2075" s="33"/>
      <c r="AD2075" s="33"/>
      <c r="AE2075" s="33"/>
      <c r="AF2075" s="33"/>
      <c r="AG2075" s="33"/>
      <c r="AH2075" s="33"/>
      <c r="AI2075" s="33"/>
      <c r="AJ2075" s="33"/>
      <c r="AK2075" s="34" t="str">
        <f aca="false">IF($B2075="","",COUNTIF($F2075:$AJ2075,"P"))</f>
        <v/>
      </c>
      <c r="AL2075" s="34" t="str">
        <f aca="false">IF($B2075="","",COUNTIF($F2075:$AJ2075,"A"))</f>
        <v/>
      </c>
      <c r="AM2075" s="34" t="str">
        <f aca="false">IF($B2075="","",COUNTIF($F2075:$AJ2075,"HA"))</f>
        <v/>
      </c>
      <c r="AN2075" s="34" t="str">
        <f aca="false">IF($B2075="","",COUNTIF($F2075:$AJ2075,"L"))</f>
        <v/>
      </c>
      <c r="AO2075" s="34" t="str">
        <f aca="false">IF($B2075="","",COUNTIF($F2075:$AJ2075,"PL"))</f>
        <v/>
      </c>
      <c r="AP2075" s="34" t="str">
        <f aca="false">IF($B2075="","",COUNTIF($F2075:$AJ2075,"CL"))</f>
        <v/>
      </c>
      <c r="AQ2075" s="34" t="str">
        <f aca="false">IF($B2075="","",COUNTIF($F2075:$AJ2075,"SL"))</f>
        <v/>
      </c>
      <c r="AR2075" s="34" t="str">
        <f aca="false">IF($B2075="","",COUNTIF($F2075:$AJ2075,"CO"))</f>
        <v/>
      </c>
      <c r="AS2075" s="34" t="str">
        <f aca="false">IF($B2075="","",COUNTIF($F2075:$AJ2075,"HPL"))</f>
        <v/>
      </c>
      <c r="AT2075" s="34" t="str">
        <f aca="false">IF($B2075="","",COUNTIF($F2075:$AJ2075,"HCL"))</f>
        <v/>
      </c>
      <c r="AU2075" s="34" t="str">
        <f aca="false">IF($B2075="","",COUNTIF($F2075:$AJ2075,"WO"))</f>
        <v/>
      </c>
      <c r="AV2075" s="34" t="str">
        <f aca="false">IF($B2075="","",COUNTIF($F2075:$AJ2075,"PH"))</f>
        <v/>
      </c>
      <c r="AW2075" s="34" t="str">
        <f aca="false">IF($B2075="","",COUNTIF($F2075:$AJ2075,"TR"))</f>
        <v/>
      </c>
      <c r="AX2075" s="35" t="str">
        <f aca="false">IF($B2075="","",AO2075+AS2075/2)</f>
        <v/>
      </c>
      <c r="AY2075" s="35" t="str">
        <f aca="false">IF($B2075="","",AQ2075)</f>
        <v/>
      </c>
      <c r="AZ2075" s="35" t="str">
        <f aca="false">IF($B2075="","",AP2075+AT2075/2)</f>
        <v/>
      </c>
      <c r="BA2075" s="35" t="str">
        <f aca="false">IF($B2075="","",AK2075+AN2075+AM2075/2+AO2075+AP2075+AQ2075+AR2075+AS2075+AT2075+AU2075+AV2075+AW2075)</f>
        <v/>
      </c>
      <c r="BB2075" s="35" t="str">
        <f aca="false">IF($B2075="","",MAX(0,AN2075-Settings!$C$16)*Settings!$C$17)</f>
        <v/>
      </c>
      <c r="BC2075" s="35" t="str">
        <f aca="false">IF($B2075="","",BA2075-BB2075)</f>
        <v/>
      </c>
      <c r="BD2075" s="35" t="str">
        <f aca="false">IF(OR($B2075="",$A2075=""),"",DAY(EOMONTH($A2075,0))-COUNTA($F2075:$AJ2075))</f>
        <v/>
      </c>
    </row>
    <row r="2076" customFormat="false" ht="15" hidden="false" customHeight="false" outlineLevel="0" collapsed="false">
      <c r="A2076" s="32"/>
      <c r="B2076" s="29"/>
      <c r="C2076" s="10" t="str">
        <f aca="false">IF($B2076="","",IFERROR(INDEX(M_name,MATCH($B2076,M_emp,0)),"Code not found"))</f>
        <v/>
      </c>
      <c r="D2076" s="10" t="str">
        <f aca="false">IF($B2076="","",IFERROR(INDEX(M_dept,MATCH($B2076,M_emp,0)),""))</f>
        <v/>
      </c>
      <c r="E2076" s="10" t="str">
        <f aca="false">IF($B2076="","",IFERROR(INDEX(M_loc,MATCH($B2076,M_emp,0)),""))</f>
        <v/>
      </c>
      <c r="F2076" s="33"/>
      <c r="G2076" s="33"/>
      <c r="H2076" s="33"/>
      <c r="I2076" s="33"/>
      <c r="J2076" s="33"/>
      <c r="K2076" s="33"/>
      <c r="L2076" s="33"/>
      <c r="M2076" s="33"/>
      <c r="N2076" s="33"/>
      <c r="O2076" s="33"/>
      <c r="P2076" s="33"/>
      <c r="Q2076" s="33"/>
      <c r="R2076" s="33"/>
      <c r="S2076" s="33"/>
      <c r="T2076" s="33"/>
      <c r="U2076" s="33"/>
      <c r="V2076" s="33"/>
      <c r="W2076" s="33"/>
      <c r="X2076" s="33"/>
      <c r="Y2076" s="33"/>
      <c r="Z2076" s="33"/>
      <c r="AA2076" s="33"/>
      <c r="AB2076" s="33"/>
      <c r="AC2076" s="33"/>
      <c r="AD2076" s="33"/>
      <c r="AE2076" s="33"/>
      <c r="AF2076" s="33"/>
      <c r="AG2076" s="33"/>
      <c r="AH2076" s="33"/>
      <c r="AI2076" s="33"/>
      <c r="AJ2076" s="33"/>
      <c r="AK2076" s="34" t="str">
        <f aca="false">IF($B2076="","",COUNTIF($F2076:$AJ2076,"P"))</f>
        <v/>
      </c>
      <c r="AL2076" s="34" t="str">
        <f aca="false">IF($B2076="","",COUNTIF($F2076:$AJ2076,"A"))</f>
        <v/>
      </c>
      <c r="AM2076" s="34" t="str">
        <f aca="false">IF($B2076="","",COUNTIF($F2076:$AJ2076,"HA"))</f>
        <v/>
      </c>
      <c r="AN2076" s="34" t="str">
        <f aca="false">IF($B2076="","",COUNTIF($F2076:$AJ2076,"L"))</f>
        <v/>
      </c>
      <c r="AO2076" s="34" t="str">
        <f aca="false">IF($B2076="","",COUNTIF($F2076:$AJ2076,"PL"))</f>
        <v/>
      </c>
      <c r="AP2076" s="34" t="str">
        <f aca="false">IF($B2076="","",COUNTIF($F2076:$AJ2076,"CL"))</f>
        <v/>
      </c>
      <c r="AQ2076" s="34" t="str">
        <f aca="false">IF($B2076="","",COUNTIF($F2076:$AJ2076,"SL"))</f>
        <v/>
      </c>
      <c r="AR2076" s="34" t="str">
        <f aca="false">IF($B2076="","",COUNTIF($F2076:$AJ2076,"CO"))</f>
        <v/>
      </c>
      <c r="AS2076" s="34" t="str">
        <f aca="false">IF($B2076="","",COUNTIF($F2076:$AJ2076,"HPL"))</f>
        <v/>
      </c>
      <c r="AT2076" s="34" t="str">
        <f aca="false">IF($B2076="","",COUNTIF($F2076:$AJ2076,"HCL"))</f>
        <v/>
      </c>
      <c r="AU2076" s="34" t="str">
        <f aca="false">IF($B2076="","",COUNTIF($F2076:$AJ2076,"WO"))</f>
        <v/>
      </c>
      <c r="AV2076" s="34" t="str">
        <f aca="false">IF($B2076="","",COUNTIF($F2076:$AJ2076,"PH"))</f>
        <v/>
      </c>
      <c r="AW2076" s="34" t="str">
        <f aca="false">IF($B2076="","",COUNTIF($F2076:$AJ2076,"TR"))</f>
        <v/>
      </c>
      <c r="AX2076" s="35" t="str">
        <f aca="false">IF($B2076="","",AO2076+AS2076/2)</f>
        <v/>
      </c>
      <c r="AY2076" s="35" t="str">
        <f aca="false">IF($B2076="","",AQ2076)</f>
        <v/>
      </c>
      <c r="AZ2076" s="35" t="str">
        <f aca="false">IF($B2076="","",AP2076+AT2076/2)</f>
        <v/>
      </c>
      <c r="BA2076" s="35" t="str">
        <f aca="false">IF($B2076="","",AK2076+AN2076+AM2076/2+AO2076+AP2076+AQ2076+AR2076+AS2076+AT2076+AU2076+AV2076+AW2076)</f>
        <v/>
      </c>
      <c r="BB2076" s="35" t="str">
        <f aca="false">IF($B2076="","",MAX(0,AN2076-Settings!$C$16)*Settings!$C$17)</f>
        <v/>
      </c>
      <c r="BC2076" s="35" t="str">
        <f aca="false">IF($B2076="","",BA2076-BB2076)</f>
        <v/>
      </c>
      <c r="BD2076" s="35" t="str">
        <f aca="false">IF(OR($B2076="",$A2076=""),"",DAY(EOMONTH($A2076,0))-COUNTA($F2076:$AJ2076))</f>
        <v/>
      </c>
    </row>
    <row r="2077" customFormat="false" ht="15" hidden="false" customHeight="false" outlineLevel="0" collapsed="false">
      <c r="A2077" s="32"/>
      <c r="B2077" s="29"/>
      <c r="C2077" s="10" t="str">
        <f aca="false">IF($B2077="","",IFERROR(INDEX(M_name,MATCH($B2077,M_emp,0)),"Code not found"))</f>
        <v/>
      </c>
      <c r="D2077" s="10" t="str">
        <f aca="false">IF($B2077="","",IFERROR(INDEX(M_dept,MATCH($B2077,M_emp,0)),""))</f>
        <v/>
      </c>
      <c r="E2077" s="10" t="str">
        <f aca="false">IF($B2077="","",IFERROR(INDEX(M_loc,MATCH($B2077,M_emp,0)),""))</f>
        <v/>
      </c>
      <c r="F2077" s="33"/>
      <c r="G2077" s="33"/>
      <c r="H2077" s="33"/>
      <c r="I2077" s="33"/>
      <c r="J2077" s="33"/>
      <c r="K2077" s="33"/>
      <c r="L2077" s="33"/>
      <c r="M2077" s="33"/>
      <c r="N2077" s="33"/>
      <c r="O2077" s="33"/>
      <c r="P2077" s="33"/>
      <c r="Q2077" s="33"/>
      <c r="R2077" s="33"/>
      <c r="S2077" s="33"/>
      <c r="T2077" s="33"/>
      <c r="U2077" s="33"/>
      <c r="V2077" s="33"/>
      <c r="W2077" s="33"/>
      <c r="X2077" s="33"/>
      <c r="Y2077" s="33"/>
      <c r="Z2077" s="33"/>
      <c r="AA2077" s="33"/>
      <c r="AB2077" s="33"/>
      <c r="AC2077" s="33"/>
      <c r="AD2077" s="33"/>
      <c r="AE2077" s="33"/>
      <c r="AF2077" s="33"/>
      <c r="AG2077" s="33"/>
      <c r="AH2077" s="33"/>
      <c r="AI2077" s="33"/>
      <c r="AJ2077" s="33"/>
      <c r="AK2077" s="34" t="str">
        <f aca="false">IF($B2077="","",COUNTIF($F2077:$AJ2077,"P"))</f>
        <v/>
      </c>
      <c r="AL2077" s="34" t="str">
        <f aca="false">IF($B2077="","",COUNTIF($F2077:$AJ2077,"A"))</f>
        <v/>
      </c>
      <c r="AM2077" s="34" t="str">
        <f aca="false">IF($B2077="","",COUNTIF($F2077:$AJ2077,"HA"))</f>
        <v/>
      </c>
      <c r="AN2077" s="34" t="str">
        <f aca="false">IF($B2077="","",COUNTIF($F2077:$AJ2077,"L"))</f>
        <v/>
      </c>
      <c r="AO2077" s="34" t="str">
        <f aca="false">IF($B2077="","",COUNTIF($F2077:$AJ2077,"PL"))</f>
        <v/>
      </c>
      <c r="AP2077" s="34" t="str">
        <f aca="false">IF($B2077="","",COUNTIF($F2077:$AJ2077,"CL"))</f>
        <v/>
      </c>
      <c r="AQ2077" s="34" t="str">
        <f aca="false">IF($B2077="","",COUNTIF($F2077:$AJ2077,"SL"))</f>
        <v/>
      </c>
      <c r="AR2077" s="34" t="str">
        <f aca="false">IF($B2077="","",COUNTIF($F2077:$AJ2077,"CO"))</f>
        <v/>
      </c>
      <c r="AS2077" s="34" t="str">
        <f aca="false">IF($B2077="","",COUNTIF($F2077:$AJ2077,"HPL"))</f>
        <v/>
      </c>
      <c r="AT2077" s="34" t="str">
        <f aca="false">IF($B2077="","",COUNTIF($F2077:$AJ2077,"HCL"))</f>
        <v/>
      </c>
      <c r="AU2077" s="34" t="str">
        <f aca="false">IF($B2077="","",COUNTIF($F2077:$AJ2077,"WO"))</f>
        <v/>
      </c>
      <c r="AV2077" s="34" t="str">
        <f aca="false">IF($B2077="","",COUNTIF($F2077:$AJ2077,"PH"))</f>
        <v/>
      </c>
      <c r="AW2077" s="34" t="str">
        <f aca="false">IF($B2077="","",COUNTIF($F2077:$AJ2077,"TR"))</f>
        <v/>
      </c>
      <c r="AX2077" s="35" t="str">
        <f aca="false">IF($B2077="","",AO2077+AS2077/2)</f>
        <v/>
      </c>
      <c r="AY2077" s="35" t="str">
        <f aca="false">IF($B2077="","",AQ2077)</f>
        <v/>
      </c>
      <c r="AZ2077" s="35" t="str">
        <f aca="false">IF($B2077="","",AP2077+AT2077/2)</f>
        <v/>
      </c>
      <c r="BA2077" s="35" t="str">
        <f aca="false">IF($B2077="","",AK2077+AN2077+AM2077/2+AO2077+AP2077+AQ2077+AR2077+AS2077+AT2077+AU2077+AV2077+AW2077)</f>
        <v/>
      </c>
      <c r="BB2077" s="35" t="str">
        <f aca="false">IF($B2077="","",MAX(0,AN2077-Settings!$C$16)*Settings!$C$17)</f>
        <v/>
      </c>
      <c r="BC2077" s="35" t="str">
        <f aca="false">IF($B2077="","",BA2077-BB2077)</f>
        <v/>
      </c>
      <c r="BD2077" s="35" t="str">
        <f aca="false">IF(OR($B2077="",$A2077=""),"",DAY(EOMONTH($A2077,0))-COUNTA($F2077:$AJ2077))</f>
        <v/>
      </c>
    </row>
    <row r="2078" customFormat="false" ht="15" hidden="false" customHeight="false" outlineLevel="0" collapsed="false">
      <c r="A2078" s="32"/>
      <c r="B2078" s="29"/>
      <c r="C2078" s="10" t="str">
        <f aca="false">IF($B2078="","",IFERROR(INDEX(M_name,MATCH($B2078,M_emp,0)),"Code not found"))</f>
        <v/>
      </c>
      <c r="D2078" s="10" t="str">
        <f aca="false">IF($B2078="","",IFERROR(INDEX(M_dept,MATCH($B2078,M_emp,0)),""))</f>
        <v/>
      </c>
      <c r="E2078" s="10" t="str">
        <f aca="false">IF($B2078="","",IFERROR(INDEX(M_loc,MATCH($B2078,M_emp,0)),""))</f>
        <v/>
      </c>
      <c r="F2078" s="33"/>
      <c r="G2078" s="33"/>
      <c r="H2078" s="33"/>
      <c r="I2078" s="33"/>
      <c r="J2078" s="33"/>
      <c r="K2078" s="33"/>
      <c r="L2078" s="33"/>
      <c r="M2078" s="33"/>
      <c r="N2078" s="33"/>
      <c r="O2078" s="33"/>
      <c r="P2078" s="33"/>
      <c r="Q2078" s="33"/>
      <c r="R2078" s="33"/>
      <c r="S2078" s="33"/>
      <c r="T2078" s="33"/>
      <c r="U2078" s="33"/>
      <c r="V2078" s="33"/>
      <c r="W2078" s="33"/>
      <c r="X2078" s="33"/>
      <c r="Y2078" s="33"/>
      <c r="Z2078" s="33"/>
      <c r="AA2078" s="33"/>
      <c r="AB2078" s="33"/>
      <c r="AC2078" s="33"/>
      <c r="AD2078" s="33"/>
      <c r="AE2078" s="33"/>
      <c r="AF2078" s="33"/>
      <c r="AG2078" s="33"/>
      <c r="AH2078" s="33"/>
      <c r="AI2078" s="33"/>
      <c r="AJ2078" s="33"/>
      <c r="AK2078" s="34" t="str">
        <f aca="false">IF($B2078="","",COUNTIF($F2078:$AJ2078,"P"))</f>
        <v/>
      </c>
      <c r="AL2078" s="34" t="str">
        <f aca="false">IF($B2078="","",COUNTIF($F2078:$AJ2078,"A"))</f>
        <v/>
      </c>
      <c r="AM2078" s="34" t="str">
        <f aca="false">IF($B2078="","",COUNTIF($F2078:$AJ2078,"HA"))</f>
        <v/>
      </c>
      <c r="AN2078" s="34" t="str">
        <f aca="false">IF($B2078="","",COUNTIF($F2078:$AJ2078,"L"))</f>
        <v/>
      </c>
      <c r="AO2078" s="34" t="str">
        <f aca="false">IF($B2078="","",COUNTIF($F2078:$AJ2078,"PL"))</f>
        <v/>
      </c>
      <c r="AP2078" s="34" t="str">
        <f aca="false">IF($B2078="","",COUNTIF($F2078:$AJ2078,"CL"))</f>
        <v/>
      </c>
      <c r="AQ2078" s="34" t="str">
        <f aca="false">IF($B2078="","",COUNTIF($F2078:$AJ2078,"SL"))</f>
        <v/>
      </c>
      <c r="AR2078" s="34" t="str">
        <f aca="false">IF($B2078="","",COUNTIF($F2078:$AJ2078,"CO"))</f>
        <v/>
      </c>
      <c r="AS2078" s="34" t="str">
        <f aca="false">IF($B2078="","",COUNTIF($F2078:$AJ2078,"HPL"))</f>
        <v/>
      </c>
      <c r="AT2078" s="34" t="str">
        <f aca="false">IF($B2078="","",COUNTIF($F2078:$AJ2078,"HCL"))</f>
        <v/>
      </c>
      <c r="AU2078" s="34" t="str">
        <f aca="false">IF($B2078="","",COUNTIF($F2078:$AJ2078,"WO"))</f>
        <v/>
      </c>
      <c r="AV2078" s="34" t="str">
        <f aca="false">IF($B2078="","",COUNTIF($F2078:$AJ2078,"PH"))</f>
        <v/>
      </c>
      <c r="AW2078" s="34" t="str">
        <f aca="false">IF($B2078="","",COUNTIF($F2078:$AJ2078,"TR"))</f>
        <v/>
      </c>
      <c r="AX2078" s="35" t="str">
        <f aca="false">IF($B2078="","",AO2078+AS2078/2)</f>
        <v/>
      </c>
      <c r="AY2078" s="35" t="str">
        <f aca="false">IF($B2078="","",AQ2078)</f>
        <v/>
      </c>
      <c r="AZ2078" s="35" t="str">
        <f aca="false">IF($B2078="","",AP2078+AT2078/2)</f>
        <v/>
      </c>
      <c r="BA2078" s="35" t="str">
        <f aca="false">IF($B2078="","",AK2078+AN2078+AM2078/2+AO2078+AP2078+AQ2078+AR2078+AS2078+AT2078+AU2078+AV2078+AW2078)</f>
        <v/>
      </c>
      <c r="BB2078" s="35" t="str">
        <f aca="false">IF($B2078="","",MAX(0,AN2078-Settings!$C$16)*Settings!$C$17)</f>
        <v/>
      </c>
      <c r="BC2078" s="35" t="str">
        <f aca="false">IF($B2078="","",BA2078-BB2078)</f>
        <v/>
      </c>
      <c r="BD2078" s="35" t="str">
        <f aca="false">IF(OR($B2078="",$A2078=""),"",DAY(EOMONTH($A2078,0))-COUNTA($F2078:$AJ2078))</f>
        <v/>
      </c>
    </row>
    <row r="2079" customFormat="false" ht="15" hidden="false" customHeight="false" outlineLevel="0" collapsed="false">
      <c r="A2079" s="32"/>
      <c r="B2079" s="29"/>
      <c r="C2079" s="10" t="str">
        <f aca="false">IF($B2079="","",IFERROR(INDEX(M_name,MATCH($B2079,M_emp,0)),"Code not found"))</f>
        <v/>
      </c>
      <c r="D2079" s="10" t="str">
        <f aca="false">IF($B2079="","",IFERROR(INDEX(M_dept,MATCH($B2079,M_emp,0)),""))</f>
        <v/>
      </c>
      <c r="E2079" s="10" t="str">
        <f aca="false">IF($B2079="","",IFERROR(INDEX(M_loc,MATCH($B2079,M_emp,0)),""))</f>
        <v/>
      </c>
      <c r="F2079" s="33"/>
      <c r="G2079" s="33"/>
      <c r="H2079" s="33"/>
      <c r="I2079" s="33"/>
      <c r="J2079" s="33"/>
      <c r="K2079" s="33"/>
      <c r="L2079" s="33"/>
      <c r="M2079" s="33"/>
      <c r="N2079" s="33"/>
      <c r="O2079" s="33"/>
      <c r="P2079" s="33"/>
      <c r="Q2079" s="33"/>
      <c r="R2079" s="33"/>
      <c r="S2079" s="33"/>
      <c r="T2079" s="33"/>
      <c r="U2079" s="33"/>
      <c r="V2079" s="33"/>
      <c r="W2079" s="33"/>
      <c r="X2079" s="33"/>
      <c r="Y2079" s="33"/>
      <c r="Z2079" s="33"/>
      <c r="AA2079" s="33"/>
      <c r="AB2079" s="33"/>
      <c r="AC2079" s="33"/>
      <c r="AD2079" s="33"/>
      <c r="AE2079" s="33"/>
      <c r="AF2079" s="33"/>
      <c r="AG2079" s="33"/>
      <c r="AH2079" s="33"/>
      <c r="AI2079" s="33"/>
      <c r="AJ2079" s="33"/>
      <c r="AK2079" s="34" t="str">
        <f aca="false">IF($B2079="","",COUNTIF($F2079:$AJ2079,"P"))</f>
        <v/>
      </c>
      <c r="AL2079" s="34" t="str">
        <f aca="false">IF($B2079="","",COUNTIF($F2079:$AJ2079,"A"))</f>
        <v/>
      </c>
      <c r="AM2079" s="34" t="str">
        <f aca="false">IF($B2079="","",COUNTIF($F2079:$AJ2079,"HA"))</f>
        <v/>
      </c>
      <c r="AN2079" s="34" t="str">
        <f aca="false">IF($B2079="","",COUNTIF($F2079:$AJ2079,"L"))</f>
        <v/>
      </c>
      <c r="AO2079" s="34" t="str">
        <f aca="false">IF($B2079="","",COUNTIF($F2079:$AJ2079,"PL"))</f>
        <v/>
      </c>
      <c r="AP2079" s="34" t="str">
        <f aca="false">IF($B2079="","",COUNTIF($F2079:$AJ2079,"CL"))</f>
        <v/>
      </c>
      <c r="AQ2079" s="34" t="str">
        <f aca="false">IF($B2079="","",COUNTIF($F2079:$AJ2079,"SL"))</f>
        <v/>
      </c>
      <c r="AR2079" s="34" t="str">
        <f aca="false">IF($B2079="","",COUNTIF($F2079:$AJ2079,"CO"))</f>
        <v/>
      </c>
      <c r="AS2079" s="34" t="str">
        <f aca="false">IF($B2079="","",COUNTIF($F2079:$AJ2079,"HPL"))</f>
        <v/>
      </c>
      <c r="AT2079" s="34" t="str">
        <f aca="false">IF($B2079="","",COUNTIF($F2079:$AJ2079,"HCL"))</f>
        <v/>
      </c>
      <c r="AU2079" s="34" t="str">
        <f aca="false">IF($B2079="","",COUNTIF($F2079:$AJ2079,"WO"))</f>
        <v/>
      </c>
      <c r="AV2079" s="34" t="str">
        <f aca="false">IF($B2079="","",COUNTIF($F2079:$AJ2079,"PH"))</f>
        <v/>
      </c>
      <c r="AW2079" s="34" t="str">
        <f aca="false">IF($B2079="","",COUNTIF($F2079:$AJ2079,"TR"))</f>
        <v/>
      </c>
      <c r="AX2079" s="35" t="str">
        <f aca="false">IF($B2079="","",AO2079+AS2079/2)</f>
        <v/>
      </c>
      <c r="AY2079" s="35" t="str">
        <f aca="false">IF($B2079="","",AQ2079)</f>
        <v/>
      </c>
      <c r="AZ2079" s="35" t="str">
        <f aca="false">IF($B2079="","",AP2079+AT2079/2)</f>
        <v/>
      </c>
      <c r="BA2079" s="35" t="str">
        <f aca="false">IF($B2079="","",AK2079+AN2079+AM2079/2+AO2079+AP2079+AQ2079+AR2079+AS2079+AT2079+AU2079+AV2079+AW2079)</f>
        <v/>
      </c>
      <c r="BB2079" s="35" t="str">
        <f aca="false">IF($B2079="","",MAX(0,AN2079-Settings!$C$16)*Settings!$C$17)</f>
        <v/>
      </c>
      <c r="BC2079" s="35" t="str">
        <f aca="false">IF($B2079="","",BA2079-BB2079)</f>
        <v/>
      </c>
      <c r="BD2079" s="35" t="str">
        <f aca="false">IF(OR($B2079="",$A2079=""),"",DAY(EOMONTH($A2079,0))-COUNTA($F2079:$AJ2079))</f>
        <v/>
      </c>
    </row>
    <row r="2080" customFormat="false" ht="15" hidden="false" customHeight="false" outlineLevel="0" collapsed="false">
      <c r="A2080" s="32"/>
      <c r="B2080" s="29"/>
      <c r="C2080" s="10" t="str">
        <f aca="false">IF($B2080="","",IFERROR(INDEX(M_name,MATCH($B2080,M_emp,0)),"Code not found"))</f>
        <v/>
      </c>
      <c r="D2080" s="10" t="str">
        <f aca="false">IF($B2080="","",IFERROR(INDEX(M_dept,MATCH($B2080,M_emp,0)),""))</f>
        <v/>
      </c>
      <c r="E2080" s="10" t="str">
        <f aca="false">IF($B2080="","",IFERROR(INDEX(M_loc,MATCH($B2080,M_emp,0)),""))</f>
        <v/>
      </c>
      <c r="F2080" s="33"/>
      <c r="G2080" s="33"/>
      <c r="H2080" s="33"/>
      <c r="I2080" s="33"/>
      <c r="J2080" s="33"/>
      <c r="K2080" s="33"/>
      <c r="L2080" s="33"/>
      <c r="M2080" s="33"/>
      <c r="N2080" s="33"/>
      <c r="O2080" s="33"/>
      <c r="P2080" s="33"/>
      <c r="Q2080" s="33"/>
      <c r="R2080" s="33"/>
      <c r="S2080" s="33"/>
      <c r="T2080" s="33"/>
      <c r="U2080" s="33"/>
      <c r="V2080" s="33"/>
      <c r="W2080" s="33"/>
      <c r="X2080" s="33"/>
      <c r="Y2080" s="33"/>
      <c r="Z2080" s="33"/>
      <c r="AA2080" s="33"/>
      <c r="AB2080" s="33"/>
      <c r="AC2080" s="33"/>
      <c r="AD2080" s="33"/>
      <c r="AE2080" s="33"/>
      <c r="AF2080" s="33"/>
      <c r="AG2080" s="33"/>
      <c r="AH2080" s="33"/>
      <c r="AI2080" s="33"/>
      <c r="AJ2080" s="33"/>
      <c r="AK2080" s="34" t="str">
        <f aca="false">IF($B2080="","",COUNTIF($F2080:$AJ2080,"P"))</f>
        <v/>
      </c>
      <c r="AL2080" s="34" t="str">
        <f aca="false">IF($B2080="","",COUNTIF($F2080:$AJ2080,"A"))</f>
        <v/>
      </c>
      <c r="AM2080" s="34" t="str">
        <f aca="false">IF($B2080="","",COUNTIF($F2080:$AJ2080,"HA"))</f>
        <v/>
      </c>
      <c r="AN2080" s="34" t="str">
        <f aca="false">IF($B2080="","",COUNTIF($F2080:$AJ2080,"L"))</f>
        <v/>
      </c>
      <c r="AO2080" s="34" t="str">
        <f aca="false">IF($B2080="","",COUNTIF($F2080:$AJ2080,"PL"))</f>
        <v/>
      </c>
      <c r="AP2080" s="34" t="str">
        <f aca="false">IF($B2080="","",COUNTIF($F2080:$AJ2080,"CL"))</f>
        <v/>
      </c>
      <c r="AQ2080" s="34" t="str">
        <f aca="false">IF($B2080="","",COUNTIF($F2080:$AJ2080,"SL"))</f>
        <v/>
      </c>
      <c r="AR2080" s="34" t="str">
        <f aca="false">IF($B2080="","",COUNTIF($F2080:$AJ2080,"CO"))</f>
        <v/>
      </c>
      <c r="AS2080" s="34" t="str">
        <f aca="false">IF($B2080="","",COUNTIF($F2080:$AJ2080,"HPL"))</f>
        <v/>
      </c>
      <c r="AT2080" s="34" t="str">
        <f aca="false">IF($B2080="","",COUNTIF($F2080:$AJ2080,"HCL"))</f>
        <v/>
      </c>
      <c r="AU2080" s="34" t="str">
        <f aca="false">IF($B2080="","",COUNTIF($F2080:$AJ2080,"WO"))</f>
        <v/>
      </c>
      <c r="AV2080" s="34" t="str">
        <f aca="false">IF($B2080="","",COUNTIF($F2080:$AJ2080,"PH"))</f>
        <v/>
      </c>
      <c r="AW2080" s="34" t="str">
        <f aca="false">IF($B2080="","",COUNTIF($F2080:$AJ2080,"TR"))</f>
        <v/>
      </c>
      <c r="AX2080" s="35" t="str">
        <f aca="false">IF($B2080="","",AO2080+AS2080/2)</f>
        <v/>
      </c>
      <c r="AY2080" s="35" t="str">
        <f aca="false">IF($B2080="","",AQ2080)</f>
        <v/>
      </c>
      <c r="AZ2080" s="35" t="str">
        <f aca="false">IF($B2080="","",AP2080+AT2080/2)</f>
        <v/>
      </c>
      <c r="BA2080" s="35" t="str">
        <f aca="false">IF($B2080="","",AK2080+AN2080+AM2080/2+AO2080+AP2080+AQ2080+AR2080+AS2080+AT2080+AU2080+AV2080+AW2080)</f>
        <v/>
      </c>
      <c r="BB2080" s="35" t="str">
        <f aca="false">IF($B2080="","",MAX(0,AN2080-Settings!$C$16)*Settings!$C$17)</f>
        <v/>
      </c>
      <c r="BC2080" s="35" t="str">
        <f aca="false">IF($B2080="","",BA2080-BB2080)</f>
        <v/>
      </c>
      <c r="BD2080" s="35" t="str">
        <f aca="false">IF(OR($B2080="",$A2080=""),"",DAY(EOMONTH($A2080,0))-COUNTA($F2080:$AJ2080))</f>
        <v/>
      </c>
    </row>
    <row r="2081" customFormat="false" ht="15" hidden="false" customHeight="false" outlineLevel="0" collapsed="false">
      <c r="A2081" s="32"/>
      <c r="B2081" s="29"/>
      <c r="C2081" s="10" t="str">
        <f aca="false">IF($B2081="","",IFERROR(INDEX(M_name,MATCH($B2081,M_emp,0)),"Code not found"))</f>
        <v/>
      </c>
      <c r="D2081" s="10" t="str">
        <f aca="false">IF($B2081="","",IFERROR(INDEX(M_dept,MATCH($B2081,M_emp,0)),""))</f>
        <v/>
      </c>
      <c r="E2081" s="10" t="str">
        <f aca="false">IF($B2081="","",IFERROR(INDEX(M_loc,MATCH($B2081,M_emp,0)),""))</f>
        <v/>
      </c>
      <c r="F2081" s="33"/>
      <c r="G2081" s="33"/>
      <c r="H2081" s="33"/>
      <c r="I2081" s="33"/>
      <c r="J2081" s="33"/>
      <c r="K2081" s="33"/>
      <c r="L2081" s="33"/>
      <c r="M2081" s="33"/>
      <c r="N2081" s="33"/>
      <c r="O2081" s="33"/>
      <c r="P2081" s="33"/>
      <c r="Q2081" s="33"/>
      <c r="R2081" s="33"/>
      <c r="S2081" s="33"/>
      <c r="T2081" s="33"/>
      <c r="U2081" s="33"/>
      <c r="V2081" s="33"/>
      <c r="W2081" s="33"/>
      <c r="X2081" s="33"/>
      <c r="Y2081" s="33"/>
      <c r="Z2081" s="33"/>
      <c r="AA2081" s="33"/>
      <c r="AB2081" s="33"/>
      <c r="AC2081" s="33"/>
      <c r="AD2081" s="33"/>
      <c r="AE2081" s="33"/>
      <c r="AF2081" s="33"/>
      <c r="AG2081" s="33"/>
      <c r="AH2081" s="33"/>
      <c r="AI2081" s="33"/>
      <c r="AJ2081" s="33"/>
      <c r="AK2081" s="34" t="str">
        <f aca="false">IF($B2081="","",COUNTIF($F2081:$AJ2081,"P"))</f>
        <v/>
      </c>
      <c r="AL2081" s="34" t="str">
        <f aca="false">IF($B2081="","",COUNTIF($F2081:$AJ2081,"A"))</f>
        <v/>
      </c>
      <c r="AM2081" s="34" t="str">
        <f aca="false">IF($B2081="","",COUNTIF($F2081:$AJ2081,"HA"))</f>
        <v/>
      </c>
      <c r="AN2081" s="34" t="str">
        <f aca="false">IF($B2081="","",COUNTIF($F2081:$AJ2081,"L"))</f>
        <v/>
      </c>
      <c r="AO2081" s="34" t="str">
        <f aca="false">IF($B2081="","",COUNTIF($F2081:$AJ2081,"PL"))</f>
        <v/>
      </c>
      <c r="AP2081" s="34" t="str">
        <f aca="false">IF($B2081="","",COUNTIF($F2081:$AJ2081,"CL"))</f>
        <v/>
      </c>
      <c r="AQ2081" s="34" t="str">
        <f aca="false">IF($B2081="","",COUNTIF($F2081:$AJ2081,"SL"))</f>
        <v/>
      </c>
      <c r="AR2081" s="34" t="str">
        <f aca="false">IF($B2081="","",COUNTIF($F2081:$AJ2081,"CO"))</f>
        <v/>
      </c>
      <c r="AS2081" s="34" t="str">
        <f aca="false">IF($B2081="","",COUNTIF($F2081:$AJ2081,"HPL"))</f>
        <v/>
      </c>
      <c r="AT2081" s="34" t="str">
        <f aca="false">IF($B2081="","",COUNTIF($F2081:$AJ2081,"HCL"))</f>
        <v/>
      </c>
      <c r="AU2081" s="34" t="str">
        <f aca="false">IF($B2081="","",COUNTIF($F2081:$AJ2081,"WO"))</f>
        <v/>
      </c>
      <c r="AV2081" s="34" t="str">
        <f aca="false">IF($B2081="","",COUNTIF($F2081:$AJ2081,"PH"))</f>
        <v/>
      </c>
      <c r="AW2081" s="34" t="str">
        <f aca="false">IF($B2081="","",COUNTIF($F2081:$AJ2081,"TR"))</f>
        <v/>
      </c>
      <c r="AX2081" s="35" t="str">
        <f aca="false">IF($B2081="","",AO2081+AS2081/2)</f>
        <v/>
      </c>
      <c r="AY2081" s="35" t="str">
        <f aca="false">IF($B2081="","",AQ2081)</f>
        <v/>
      </c>
      <c r="AZ2081" s="35" t="str">
        <f aca="false">IF($B2081="","",AP2081+AT2081/2)</f>
        <v/>
      </c>
      <c r="BA2081" s="35" t="str">
        <f aca="false">IF($B2081="","",AK2081+AN2081+AM2081/2+AO2081+AP2081+AQ2081+AR2081+AS2081+AT2081+AU2081+AV2081+AW2081)</f>
        <v/>
      </c>
      <c r="BB2081" s="35" t="str">
        <f aca="false">IF($B2081="","",MAX(0,AN2081-Settings!$C$16)*Settings!$C$17)</f>
        <v/>
      </c>
      <c r="BC2081" s="35" t="str">
        <f aca="false">IF($B2081="","",BA2081-BB2081)</f>
        <v/>
      </c>
      <c r="BD2081" s="35" t="str">
        <f aca="false">IF(OR($B2081="",$A2081=""),"",DAY(EOMONTH($A2081,0))-COUNTA($F2081:$AJ2081))</f>
        <v/>
      </c>
    </row>
    <row r="2082" customFormat="false" ht="15" hidden="false" customHeight="false" outlineLevel="0" collapsed="false">
      <c r="A2082" s="32"/>
      <c r="B2082" s="29"/>
      <c r="C2082" s="10" t="str">
        <f aca="false">IF($B2082="","",IFERROR(INDEX(M_name,MATCH($B2082,M_emp,0)),"Code not found"))</f>
        <v/>
      </c>
      <c r="D2082" s="10" t="str">
        <f aca="false">IF($B2082="","",IFERROR(INDEX(M_dept,MATCH($B2082,M_emp,0)),""))</f>
        <v/>
      </c>
      <c r="E2082" s="10" t="str">
        <f aca="false">IF($B2082="","",IFERROR(INDEX(M_loc,MATCH($B2082,M_emp,0)),""))</f>
        <v/>
      </c>
      <c r="F2082" s="33"/>
      <c r="G2082" s="33"/>
      <c r="H2082" s="33"/>
      <c r="I2082" s="33"/>
      <c r="J2082" s="33"/>
      <c r="K2082" s="33"/>
      <c r="L2082" s="33"/>
      <c r="M2082" s="33"/>
      <c r="N2082" s="33"/>
      <c r="O2082" s="33"/>
      <c r="P2082" s="33"/>
      <c r="Q2082" s="33"/>
      <c r="R2082" s="33"/>
      <c r="S2082" s="33"/>
      <c r="T2082" s="33"/>
      <c r="U2082" s="33"/>
      <c r="V2082" s="33"/>
      <c r="W2082" s="33"/>
      <c r="X2082" s="33"/>
      <c r="Y2082" s="33"/>
      <c r="Z2082" s="33"/>
      <c r="AA2082" s="33"/>
      <c r="AB2082" s="33"/>
      <c r="AC2082" s="33"/>
      <c r="AD2082" s="33"/>
      <c r="AE2082" s="33"/>
      <c r="AF2082" s="33"/>
      <c r="AG2082" s="33"/>
      <c r="AH2082" s="33"/>
      <c r="AI2082" s="33"/>
      <c r="AJ2082" s="33"/>
      <c r="AK2082" s="34" t="str">
        <f aca="false">IF($B2082="","",COUNTIF($F2082:$AJ2082,"P"))</f>
        <v/>
      </c>
      <c r="AL2082" s="34" t="str">
        <f aca="false">IF($B2082="","",COUNTIF($F2082:$AJ2082,"A"))</f>
        <v/>
      </c>
      <c r="AM2082" s="34" t="str">
        <f aca="false">IF($B2082="","",COUNTIF($F2082:$AJ2082,"HA"))</f>
        <v/>
      </c>
      <c r="AN2082" s="34" t="str">
        <f aca="false">IF($B2082="","",COUNTIF($F2082:$AJ2082,"L"))</f>
        <v/>
      </c>
      <c r="AO2082" s="34" t="str">
        <f aca="false">IF($B2082="","",COUNTIF($F2082:$AJ2082,"PL"))</f>
        <v/>
      </c>
      <c r="AP2082" s="34" t="str">
        <f aca="false">IF($B2082="","",COUNTIF($F2082:$AJ2082,"CL"))</f>
        <v/>
      </c>
      <c r="AQ2082" s="34" t="str">
        <f aca="false">IF($B2082="","",COUNTIF($F2082:$AJ2082,"SL"))</f>
        <v/>
      </c>
      <c r="AR2082" s="34" t="str">
        <f aca="false">IF($B2082="","",COUNTIF($F2082:$AJ2082,"CO"))</f>
        <v/>
      </c>
      <c r="AS2082" s="34" t="str">
        <f aca="false">IF($B2082="","",COUNTIF($F2082:$AJ2082,"HPL"))</f>
        <v/>
      </c>
      <c r="AT2082" s="34" t="str">
        <f aca="false">IF($B2082="","",COUNTIF($F2082:$AJ2082,"HCL"))</f>
        <v/>
      </c>
      <c r="AU2082" s="34" t="str">
        <f aca="false">IF($B2082="","",COUNTIF($F2082:$AJ2082,"WO"))</f>
        <v/>
      </c>
      <c r="AV2082" s="34" t="str">
        <f aca="false">IF($B2082="","",COUNTIF($F2082:$AJ2082,"PH"))</f>
        <v/>
      </c>
      <c r="AW2082" s="34" t="str">
        <f aca="false">IF($B2082="","",COUNTIF($F2082:$AJ2082,"TR"))</f>
        <v/>
      </c>
      <c r="AX2082" s="35" t="str">
        <f aca="false">IF($B2082="","",AO2082+AS2082/2)</f>
        <v/>
      </c>
      <c r="AY2082" s="35" t="str">
        <f aca="false">IF($B2082="","",AQ2082)</f>
        <v/>
      </c>
      <c r="AZ2082" s="35" t="str">
        <f aca="false">IF($B2082="","",AP2082+AT2082/2)</f>
        <v/>
      </c>
      <c r="BA2082" s="35" t="str">
        <f aca="false">IF($B2082="","",AK2082+AN2082+AM2082/2+AO2082+AP2082+AQ2082+AR2082+AS2082+AT2082+AU2082+AV2082+AW2082)</f>
        <v/>
      </c>
      <c r="BB2082" s="35" t="str">
        <f aca="false">IF($B2082="","",MAX(0,AN2082-Settings!$C$16)*Settings!$C$17)</f>
        <v/>
      </c>
      <c r="BC2082" s="35" t="str">
        <f aca="false">IF($B2082="","",BA2082-BB2082)</f>
        <v/>
      </c>
      <c r="BD2082" s="35" t="str">
        <f aca="false">IF(OR($B2082="",$A2082=""),"",DAY(EOMONTH($A2082,0))-COUNTA($F2082:$AJ2082))</f>
        <v/>
      </c>
    </row>
    <row r="2083" customFormat="false" ht="15" hidden="false" customHeight="false" outlineLevel="0" collapsed="false">
      <c r="A2083" s="32"/>
      <c r="B2083" s="29"/>
      <c r="C2083" s="10" t="str">
        <f aca="false">IF($B2083="","",IFERROR(INDEX(M_name,MATCH($B2083,M_emp,0)),"Code not found"))</f>
        <v/>
      </c>
      <c r="D2083" s="10" t="str">
        <f aca="false">IF($B2083="","",IFERROR(INDEX(M_dept,MATCH($B2083,M_emp,0)),""))</f>
        <v/>
      </c>
      <c r="E2083" s="10" t="str">
        <f aca="false">IF($B2083="","",IFERROR(INDEX(M_loc,MATCH($B2083,M_emp,0)),""))</f>
        <v/>
      </c>
      <c r="F2083" s="33"/>
      <c r="G2083" s="33"/>
      <c r="H2083" s="33"/>
      <c r="I2083" s="33"/>
      <c r="J2083" s="33"/>
      <c r="K2083" s="33"/>
      <c r="L2083" s="33"/>
      <c r="M2083" s="33"/>
      <c r="N2083" s="33"/>
      <c r="O2083" s="33"/>
      <c r="P2083" s="33"/>
      <c r="Q2083" s="33"/>
      <c r="R2083" s="33"/>
      <c r="S2083" s="33"/>
      <c r="T2083" s="33"/>
      <c r="U2083" s="33"/>
      <c r="V2083" s="33"/>
      <c r="W2083" s="33"/>
      <c r="X2083" s="33"/>
      <c r="Y2083" s="33"/>
      <c r="Z2083" s="33"/>
      <c r="AA2083" s="33"/>
      <c r="AB2083" s="33"/>
      <c r="AC2083" s="33"/>
      <c r="AD2083" s="33"/>
      <c r="AE2083" s="33"/>
      <c r="AF2083" s="33"/>
      <c r="AG2083" s="33"/>
      <c r="AH2083" s="33"/>
      <c r="AI2083" s="33"/>
      <c r="AJ2083" s="33"/>
      <c r="AK2083" s="34" t="str">
        <f aca="false">IF($B2083="","",COUNTIF($F2083:$AJ2083,"P"))</f>
        <v/>
      </c>
      <c r="AL2083" s="34" t="str">
        <f aca="false">IF($B2083="","",COUNTIF($F2083:$AJ2083,"A"))</f>
        <v/>
      </c>
      <c r="AM2083" s="34" t="str">
        <f aca="false">IF($B2083="","",COUNTIF($F2083:$AJ2083,"HA"))</f>
        <v/>
      </c>
      <c r="AN2083" s="34" t="str">
        <f aca="false">IF($B2083="","",COUNTIF($F2083:$AJ2083,"L"))</f>
        <v/>
      </c>
      <c r="AO2083" s="34" t="str">
        <f aca="false">IF($B2083="","",COUNTIF($F2083:$AJ2083,"PL"))</f>
        <v/>
      </c>
      <c r="AP2083" s="34" t="str">
        <f aca="false">IF($B2083="","",COUNTIF($F2083:$AJ2083,"CL"))</f>
        <v/>
      </c>
      <c r="AQ2083" s="34" t="str">
        <f aca="false">IF($B2083="","",COUNTIF($F2083:$AJ2083,"SL"))</f>
        <v/>
      </c>
      <c r="AR2083" s="34" t="str">
        <f aca="false">IF($B2083="","",COUNTIF($F2083:$AJ2083,"CO"))</f>
        <v/>
      </c>
      <c r="AS2083" s="34" t="str">
        <f aca="false">IF($B2083="","",COUNTIF($F2083:$AJ2083,"HPL"))</f>
        <v/>
      </c>
      <c r="AT2083" s="34" t="str">
        <f aca="false">IF($B2083="","",COUNTIF($F2083:$AJ2083,"HCL"))</f>
        <v/>
      </c>
      <c r="AU2083" s="34" t="str">
        <f aca="false">IF($B2083="","",COUNTIF($F2083:$AJ2083,"WO"))</f>
        <v/>
      </c>
      <c r="AV2083" s="34" t="str">
        <f aca="false">IF($B2083="","",COUNTIF($F2083:$AJ2083,"PH"))</f>
        <v/>
      </c>
      <c r="AW2083" s="34" t="str">
        <f aca="false">IF($B2083="","",COUNTIF($F2083:$AJ2083,"TR"))</f>
        <v/>
      </c>
      <c r="AX2083" s="35" t="str">
        <f aca="false">IF($B2083="","",AO2083+AS2083/2)</f>
        <v/>
      </c>
      <c r="AY2083" s="35" t="str">
        <f aca="false">IF($B2083="","",AQ2083)</f>
        <v/>
      </c>
      <c r="AZ2083" s="35" t="str">
        <f aca="false">IF($B2083="","",AP2083+AT2083/2)</f>
        <v/>
      </c>
      <c r="BA2083" s="35" t="str">
        <f aca="false">IF($B2083="","",AK2083+AN2083+AM2083/2+AO2083+AP2083+AQ2083+AR2083+AS2083+AT2083+AU2083+AV2083+AW2083)</f>
        <v/>
      </c>
      <c r="BB2083" s="35" t="str">
        <f aca="false">IF($B2083="","",MAX(0,AN2083-Settings!$C$16)*Settings!$C$17)</f>
        <v/>
      </c>
      <c r="BC2083" s="35" t="str">
        <f aca="false">IF($B2083="","",BA2083-BB2083)</f>
        <v/>
      </c>
      <c r="BD2083" s="35" t="str">
        <f aca="false">IF(OR($B2083="",$A2083=""),"",DAY(EOMONTH($A2083,0))-COUNTA($F2083:$AJ2083))</f>
        <v/>
      </c>
    </row>
    <row r="2084" customFormat="false" ht="15" hidden="false" customHeight="false" outlineLevel="0" collapsed="false">
      <c r="A2084" s="32"/>
      <c r="B2084" s="29"/>
      <c r="C2084" s="10" t="str">
        <f aca="false">IF($B2084="","",IFERROR(INDEX(M_name,MATCH($B2084,M_emp,0)),"Code not found"))</f>
        <v/>
      </c>
      <c r="D2084" s="10" t="str">
        <f aca="false">IF($B2084="","",IFERROR(INDEX(M_dept,MATCH($B2084,M_emp,0)),""))</f>
        <v/>
      </c>
      <c r="E2084" s="10" t="str">
        <f aca="false">IF($B2084="","",IFERROR(INDEX(M_loc,MATCH($B2084,M_emp,0)),""))</f>
        <v/>
      </c>
      <c r="F2084" s="33"/>
      <c r="G2084" s="33"/>
      <c r="H2084" s="33"/>
      <c r="I2084" s="33"/>
      <c r="J2084" s="33"/>
      <c r="K2084" s="33"/>
      <c r="L2084" s="33"/>
      <c r="M2084" s="33"/>
      <c r="N2084" s="33"/>
      <c r="O2084" s="33"/>
      <c r="P2084" s="33"/>
      <c r="Q2084" s="33"/>
      <c r="R2084" s="33"/>
      <c r="S2084" s="33"/>
      <c r="T2084" s="33"/>
      <c r="U2084" s="33"/>
      <c r="V2084" s="33"/>
      <c r="W2084" s="33"/>
      <c r="X2084" s="33"/>
      <c r="Y2084" s="33"/>
      <c r="Z2084" s="33"/>
      <c r="AA2084" s="33"/>
      <c r="AB2084" s="33"/>
      <c r="AC2084" s="33"/>
      <c r="AD2084" s="33"/>
      <c r="AE2084" s="33"/>
      <c r="AF2084" s="33"/>
      <c r="AG2084" s="33"/>
      <c r="AH2084" s="33"/>
      <c r="AI2084" s="33"/>
      <c r="AJ2084" s="33"/>
      <c r="AK2084" s="34" t="str">
        <f aca="false">IF($B2084="","",COUNTIF($F2084:$AJ2084,"P"))</f>
        <v/>
      </c>
      <c r="AL2084" s="34" t="str">
        <f aca="false">IF($B2084="","",COUNTIF($F2084:$AJ2084,"A"))</f>
        <v/>
      </c>
      <c r="AM2084" s="34" t="str">
        <f aca="false">IF($B2084="","",COUNTIF($F2084:$AJ2084,"HA"))</f>
        <v/>
      </c>
      <c r="AN2084" s="34" t="str">
        <f aca="false">IF($B2084="","",COUNTIF($F2084:$AJ2084,"L"))</f>
        <v/>
      </c>
      <c r="AO2084" s="34" t="str">
        <f aca="false">IF($B2084="","",COUNTIF($F2084:$AJ2084,"PL"))</f>
        <v/>
      </c>
      <c r="AP2084" s="34" t="str">
        <f aca="false">IF($B2084="","",COUNTIF($F2084:$AJ2084,"CL"))</f>
        <v/>
      </c>
      <c r="AQ2084" s="34" t="str">
        <f aca="false">IF($B2084="","",COUNTIF($F2084:$AJ2084,"SL"))</f>
        <v/>
      </c>
      <c r="AR2084" s="34" t="str">
        <f aca="false">IF($B2084="","",COUNTIF($F2084:$AJ2084,"CO"))</f>
        <v/>
      </c>
      <c r="AS2084" s="34" t="str">
        <f aca="false">IF($B2084="","",COUNTIF($F2084:$AJ2084,"HPL"))</f>
        <v/>
      </c>
      <c r="AT2084" s="34" t="str">
        <f aca="false">IF($B2084="","",COUNTIF($F2084:$AJ2084,"HCL"))</f>
        <v/>
      </c>
      <c r="AU2084" s="34" t="str">
        <f aca="false">IF($B2084="","",COUNTIF($F2084:$AJ2084,"WO"))</f>
        <v/>
      </c>
      <c r="AV2084" s="34" t="str">
        <f aca="false">IF($B2084="","",COUNTIF($F2084:$AJ2084,"PH"))</f>
        <v/>
      </c>
      <c r="AW2084" s="34" t="str">
        <f aca="false">IF($B2084="","",COUNTIF($F2084:$AJ2084,"TR"))</f>
        <v/>
      </c>
      <c r="AX2084" s="35" t="str">
        <f aca="false">IF($B2084="","",AO2084+AS2084/2)</f>
        <v/>
      </c>
      <c r="AY2084" s="35" t="str">
        <f aca="false">IF($B2084="","",AQ2084)</f>
        <v/>
      </c>
      <c r="AZ2084" s="35" t="str">
        <f aca="false">IF($B2084="","",AP2084+AT2084/2)</f>
        <v/>
      </c>
      <c r="BA2084" s="35" t="str">
        <f aca="false">IF($B2084="","",AK2084+AN2084+AM2084/2+AO2084+AP2084+AQ2084+AR2084+AS2084+AT2084+AU2084+AV2084+AW2084)</f>
        <v/>
      </c>
      <c r="BB2084" s="35" t="str">
        <f aca="false">IF($B2084="","",MAX(0,AN2084-Settings!$C$16)*Settings!$C$17)</f>
        <v/>
      </c>
      <c r="BC2084" s="35" t="str">
        <f aca="false">IF($B2084="","",BA2084-BB2084)</f>
        <v/>
      </c>
      <c r="BD2084" s="35" t="str">
        <f aca="false">IF(OR($B2084="",$A2084=""),"",DAY(EOMONTH($A2084,0))-COUNTA($F2084:$AJ2084))</f>
        <v/>
      </c>
    </row>
    <row r="2085" customFormat="false" ht="15" hidden="false" customHeight="false" outlineLevel="0" collapsed="false">
      <c r="A2085" s="32"/>
      <c r="B2085" s="29"/>
      <c r="C2085" s="10" t="str">
        <f aca="false">IF($B2085="","",IFERROR(INDEX(M_name,MATCH($B2085,M_emp,0)),"Code not found"))</f>
        <v/>
      </c>
      <c r="D2085" s="10" t="str">
        <f aca="false">IF($B2085="","",IFERROR(INDEX(M_dept,MATCH($B2085,M_emp,0)),""))</f>
        <v/>
      </c>
      <c r="E2085" s="10" t="str">
        <f aca="false">IF($B2085="","",IFERROR(INDEX(M_loc,MATCH($B2085,M_emp,0)),""))</f>
        <v/>
      </c>
      <c r="F2085" s="33"/>
      <c r="G2085" s="33"/>
      <c r="H2085" s="33"/>
      <c r="I2085" s="33"/>
      <c r="J2085" s="33"/>
      <c r="K2085" s="33"/>
      <c r="L2085" s="33"/>
      <c r="M2085" s="33"/>
      <c r="N2085" s="33"/>
      <c r="O2085" s="33"/>
      <c r="P2085" s="33"/>
      <c r="Q2085" s="33"/>
      <c r="R2085" s="33"/>
      <c r="S2085" s="33"/>
      <c r="T2085" s="33"/>
      <c r="U2085" s="33"/>
      <c r="V2085" s="33"/>
      <c r="W2085" s="33"/>
      <c r="X2085" s="33"/>
      <c r="Y2085" s="33"/>
      <c r="Z2085" s="33"/>
      <c r="AA2085" s="33"/>
      <c r="AB2085" s="33"/>
      <c r="AC2085" s="33"/>
      <c r="AD2085" s="33"/>
      <c r="AE2085" s="33"/>
      <c r="AF2085" s="33"/>
      <c r="AG2085" s="33"/>
      <c r="AH2085" s="33"/>
      <c r="AI2085" s="33"/>
      <c r="AJ2085" s="33"/>
      <c r="AK2085" s="34" t="str">
        <f aca="false">IF($B2085="","",COUNTIF($F2085:$AJ2085,"P"))</f>
        <v/>
      </c>
      <c r="AL2085" s="34" t="str">
        <f aca="false">IF($B2085="","",COUNTIF($F2085:$AJ2085,"A"))</f>
        <v/>
      </c>
      <c r="AM2085" s="34" t="str">
        <f aca="false">IF($B2085="","",COUNTIF($F2085:$AJ2085,"HA"))</f>
        <v/>
      </c>
      <c r="AN2085" s="34" t="str">
        <f aca="false">IF($B2085="","",COUNTIF($F2085:$AJ2085,"L"))</f>
        <v/>
      </c>
      <c r="AO2085" s="34" t="str">
        <f aca="false">IF($B2085="","",COUNTIF($F2085:$AJ2085,"PL"))</f>
        <v/>
      </c>
      <c r="AP2085" s="34" t="str">
        <f aca="false">IF($B2085="","",COUNTIF($F2085:$AJ2085,"CL"))</f>
        <v/>
      </c>
      <c r="AQ2085" s="34" t="str">
        <f aca="false">IF($B2085="","",COUNTIF($F2085:$AJ2085,"SL"))</f>
        <v/>
      </c>
      <c r="AR2085" s="34" t="str">
        <f aca="false">IF($B2085="","",COUNTIF($F2085:$AJ2085,"CO"))</f>
        <v/>
      </c>
      <c r="AS2085" s="34" t="str">
        <f aca="false">IF($B2085="","",COUNTIF($F2085:$AJ2085,"HPL"))</f>
        <v/>
      </c>
      <c r="AT2085" s="34" t="str">
        <f aca="false">IF($B2085="","",COUNTIF($F2085:$AJ2085,"HCL"))</f>
        <v/>
      </c>
      <c r="AU2085" s="34" t="str">
        <f aca="false">IF($B2085="","",COUNTIF($F2085:$AJ2085,"WO"))</f>
        <v/>
      </c>
      <c r="AV2085" s="34" t="str">
        <f aca="false">IF($B2085="","",COUNTIF($F2085:$AJ2085,"PH"))</f>
        <v/>
      </c>
      <c r="AW2085" s="34" t="str">
        <f aca="false">IF($B2085="","",COUNTIF($F2085:$AJ2085,"TR"))</f>
        <v/>
      </c>
      <c r="AX2085" s="35" t="str">
        <f aca="false">IF($B2085="","",AO2085+AS2085/2)</f>
        <v/>
      </c>
      <c r="AY2085" s="35" t="str">
        <f aca="false">IF($B2085="","",AQ2085)</f>
        <v/>
      </c>
      <c r="AZ2085" s="35" t="str">
        <f aca="false">IF($B2085="","",AP2085+AT2085/2)</f>
        <v/>
      </c>
      <c r="BA2085" s="35" t="str">
        <f aca="false">IF($B2085="","",AK2085+AN2085+AM2085/2+AO2085+AP2085+AQ2085+AR2085+AS2085+AT2085+AU2085+AV2085+AW2085)</f>
        <v/>
      </c>
      <c r="BB2085" s="35" t="str">
        <f aca="false">IF($B2085="","",MAX(0,AN2085-Settings!$C$16)*Settings!$C$17)</f>
        <v/>
      </c>
      <c r="BC2085" s="35" t="str">
        <f aca="false">IF($B2085="","",BA2085-BB2085)</f>
        <v/>
      </c>
      <c r="BD2085" s="35" t="str">
        <f aca="false">IF(OR($B2085="",$A2085=""),"",DAY(EOMONTH($A2085,0))-COUNTA($F2085:$AJ2085))</f>
        <v/>
      </c>
    </row>
    <row r="2086" customFormat="false" ht="15" hidden="false" customHeight="false" outlineLevel="0" collapsed="false">
      <c r="A2086" s="32"/>
      <c r="B2086" s="29"/>
      <c r="C2086" s="10" t="str">
        <f aca="false">IF($B2086="","",IFERROR(INDEX(M_name,MATCH($B2086,M_emp,0)),"Code not found"))</f>
        <v/>
      </c>
      <c r="D2086" s="10" t="str">
        <f aca="false">IF($B2086="","",IFERROR(INDEX(M_dept,MATCH($B2086,M_emp,0)),""))</f>
        <v/>
      </c>
      <c r="E2086" s="10" t="str">
        <f aca="false">IF($B2086="","",IFERROR(INDEX(M_loc,MATCH($B2086,M_emp,0)),""))</f>
        <v/>
      </c>
      <c r="F2086" s="33"/>
      <c r="G2086" s="33"/>
      <c r="H2086" s="33"/>
      <c r="I2086" s="33"/>
      <c r="J2086" s="33"/>
      <c r="K2086" s="33"/>
      <c r="L2086" s="33"/>
      <c r="M2086" s="33"/>
      <c r="N2086" s="33"/>
      <c r="O2086" s="33"/>
      <c r="P2086" s="33"/>
      <c r="Q2086" s="33"/>
      <c r="R2086" s="33"/>
      <c r="S2086" s="33"/>
      <c r="T2086" s="33"/>
      <c r="U2086" s="33"/>
      <c r="V2086" s="33"/>
      <c r="W2086" s="33"/>
      <c r="X2086" s="33"/>
      <c r="Y2086" s="33"/>
      <c r="Z2086" s="33"/>
      <c r="AA2086" s="33"/>
      <c r="AB2086" s="33"/>
      <c r="AC2086" s="33"/>
      <c r="AD2086" s="33"/>
      <c r="AE2086" s="33"/>
      <c r="AF2086" s="33"/>
      <c r="AG2086" s="33"/>
      <c r="AH2086" s="33"/>
      <c r="AI2086" s="33"/>
      <c r="AJ2086" s="33"/>
      <c r="AK2086" s="34" t="str">
        <f aca="false">IF($B2086="","",COUNTIF($F2086:$AJ2086,"P"))</f>
        <v/>
      </c>
      <c r="AL2086" s="34" t="str">
        <f aca="false">IF($B2086="","",COUNTIF($F2086:$AJ2086,"A"))</f>
        <v/>
      </c>
      <c r="AM2086" s="34" t="str">
        <f aca="false">IF($B2086="","",COUNTIF($F2086:$AJ2086,"HA"))</f>
        <v/>
      </c>
      <c r="AN2086" s="34" t="str">
        <f aca="false">IF($B2086="","",COUNTIF($F2086:$AJ2086,"L"))</f>
        <v/>
      </c>
      <c r="AO2086" s="34" t="str">
        <f aca="false">IF($B2086="","",COUNTIF($F2086:$AJ2086,"PL"))</f>
        <v/>
      </c>
      <c r="AP2086" s="34" t="str">
        <f aca="false">IF($B2086="","",COUNTIF($F2086:$AJ2086,"CL"))</f>
        <v/>
      </c>
      <c r="AQ2086" s="34" t="str">
        <f aca="false">IF($B2086="","",COUNTIF($F2086:$AJ2086,"SL"))</f>
        <v/>
      </c>
      <c r="AR2086" s="34" t="str">
        <f aca="false">IF($B2086="","",COUNTIF($F2086:$AJ2086,"CO"))</f>
        <v/>
      </c>
      <c r="AS2086" s="34" t="str">
        <f aca="false">IF($B2086="","",COUNTIF($F2086:$AJ2086,"HPL"))</f>
        <v/>
      </c>
      <c r="AT2086" s="34" t="str">
        <f aca="false">IF($B2086="","",COUNTIF($F2086:$AJ2086,"HCL"))</f>
        <v/>
      </c>
      <c r="AU2086" s="34" t="str">
        <f aca="false">IF($B2086="","",COUNTIF($F2086:$AJ2086,"WO"))</f>
        <v/>
      </c>
      <c r="AV2086" s="34" t="str">
        <f aca="false">IF($B2086="","",COUNTIF($F2086:$AJ2086,"PH"))</f>
        <v/>
      </c>
      <c r="AW2086" s="34" t="str">
        <f aca="false">IF($B2086="","",COUNTIF($F2086:$AJ2086,"TR"))</f>
        <v/>
      </c>
      <c r="AX2086" s="35" t="str">
        <f aca="false">IF($B2086="","",AO2086+AS2086/2)</f>
        <v/>
      </c>
      <c r="AY2086" s="35" t="str">
        <f aca="false">IF($B2086="","",AQ2086)</f>
        <v/>
      </c>
      <c r="AZ2086" s="35" t="str">
        <f aca="false">IF($B2086="","",AP2086+AT2086/2)</f>
        <v/>
      </c>
      <c r="BA2086" s="35" t="str">
        <f aca="false">IF($B2086="","",AK2086+AN2086+AM2086/2+AO2086+AP2086+AQ2086+AR2086+AS2086+AT2086+AU2086+AV2086+AW2086)</f>
        <v/>
      </c>
      <c r="BB2086" s="35" t="str">
        <f aca="false">IF($B2086="","",MAX(0,AN2086-Settings!$C$16)*Settings!$C$17)</f>
        <v/>
      </c>
      <c r="BC2086" s="35" t="str">
        <f aca="false">IF($B2086="","",BA2086-BB2086)</f>
        <v/>
      </c>
      <c r="BD2086" s="35" t="str">
        <f aca="false">IF(OR($B2086="",$A2086=""),"",DAY(EOMONTH($A2086,0))-COUNTA($F2086:$AJ2086))</f>
        <v/>
      </c>
    </row>
    <row r="2087" customFormat="false" ht="15" hidden="false" customHeight="false" outlineLevel="0" collapsed="false">
      <c r="A2087" s="32"/>
      <c r="B2087" s="29"/>
      <c r="C2087" s="10" t="str">
        <f aca="false">IF($B2087="","",IFERROR(INDEX(M_name,MATCH($B2087,M_emp,0)),"Code not found"))</f>
        <v/>
      </c>
      <c r="D2087" s="10" t="str">
        <f aca="false">IF($B2087="","",IFERROR(INDEX(M_dept,MATCH($B2087,M_emp,0)),""))</f>
        <v/>
      </c>
      <c r="E2087" s="10" t="str">
        <f aca="false">IF($B2087="","",IFERROR(INDEX(M_loc,MATCH($B2087,M_emp,0)),""))</f>
        <v/>
      </c>
      <c r="F2087" s="33"/>
      <c r="G2087" s="33"/>
      <c r="H2087" s="33"/>
      <c r="I2087" s="33"/>
      <c r="J2087" s="33"/>
      <c r="K2087" s="33"/>
      <c r="L2087" s="33"/>
      <c r="M2087" s="33"/>
      <c r="N2087" s="33"/>
      <c r="O2087" s="33"/>
      <c r="P2087" s="33"/>
      <c r="Q2087" s="33"/>
      <c r="R2087" s="33"/>
      <c r="S2087" s="33"/>
      <c r="T2087" s="33"/>
      <c r="U2087" s="33"/>
      <c r="V2087" s="33"/>
      <c r="W2087" s="33"/>
      <c r="X2087" s="33"/>
      <c r="Y2087" s="33"/>
      <c r="Z2087" s="33"/>
      <c r="AA2087" s="33"/>
      <c r="AB2087" s="33"/>
      <c r="AC2087" s="33"/>
      <c r="AD2087" s="33"/>
      <c r="AE2087" s="33"/>
      <c r="AF2087" s="33"/>
      <c r="AG2087" s="33"/>
      <c r="AH2087" s="33"/>
      <c r="AI2087" s="33"/>
      <c r="AJ2087" s="33"/>
      <c r="AK2087" s="34" t="str">
        <f aca="false">IF($B2087="","",COUNTIF($F2087:$AJ2087,"P"))</f>
        <v/>
      </c>
      <c r="AL2087" s="34" t="str">
        <f aca="false">IF($B2087="","",COUNTIF($F2087:$AJ2087,"A"))</f>
        <v/>
      </c>
      <c r="AM2087" s="34" t="str">
        <f aca="false">IF($B2087="","",COUNTIF($F2087:$AJ2087,"HA"))</f>
        <v/>
      </c>
      <c r="AN2087" s="34" t="str">
        <f aca="false">IF($B2087="","",COUNTIF($F2087:$AJ2087,"L"))</f>
        <v/>
      </c>
      <c r="AO2087" s="34" t="str">
        <f aca="false">IF($B2087="","",COUNTIF($F2087:$AJ2087,"PL"))</f>
        <v/>
      </c>
      <c r="AP2087" s="34" t="str">
        <f aca="false">IF($B2087="","",COUNTIF($F2087:$AJ2087,"CL"))</f>
        <v/>
      </c>
      <c r="AQ2087" s="34" t="str">
        <f aca="false">IF($B2087="","",COUNTIF($F2087:$AJ2087,"SL"))</f>
        <v/>
      </c>
      <c r="AR2087" s="34" t="str">
        <f aca="false">IF($B2087="","",COUNTIF($F2087:$AJ2087,"CO"))</f>
        <v/>
      </c>
      <c r="AS2087" s="34" t="str">
        <f aca="false">IF($B2087="","",COUNTIF($F2087:$AJ2087,"HPL"))</f>
        <v/>
      </c>
      <c r="AT2087" s="34" t="str">
        <f aca="false">IF($B2087="","",COUNTIF($F2087:$AJ2087,"HCL"))</f>
        <v/>
      </c>
      <c r="AU2087" s="34" t="str">
        <f aca="false">IF($B2087="","",COUNTIF($F2087:$AJ2087,"WO"))</f>
        <v/>
      </c>
      <c r="AV2087" s="34" t="str">
        <f aca="false">IF($B2087="","",COUNTIF($F2087:$AJ2087,"PH"))</f>
        <v/>
      </c>
      <c r="AW2087" s="34" t="str">
        <f aca="false">IF($B2087="","",COUNTIF($F2087:$AJ2087,"TR"))</f>
        <v/>
      </c>
      <c r="AX2087" s="35" t="str">
        <f aca="false">IF($B2087="","",AO2087+AS2087/2)</f>
        <v/>
      </c>
      <c r="AY2087" s="35" t="str">
        <f aca="false">IF($B2087="","",AQ2087)</f>
        <v/>
      </c>
      <c r="AZ2087" s="35" t="str">
        <f aca="false">IF($B2087="","",AP2087+AT2087/2)</f>
        <v/>
      </c>
      <c r="BA2087" s="35" t="str">
        <f aca="false">IF($B2087="","",AK2087+AN2087+AM2087/2+AO2087+AP2087+AQ2087+AR2087+AS2087+AT2087+AU2087+AV2087+AW2087)</f>
        <v/>
      </c>
      <c r="BB2087" s="35" t="str">
        <f aca="false">IF($B2087="","",MAX(0,AN2087-Settings!$C$16)*Settings!$C$17)</f>
        <v/>
      </c>
      <c r="BC2087" s="35" t="str">
        <f aca="false">IF($B2087="","",BA2087-BB2087)</f>
        <v/>
      </c>
      <c r="BD2087" s="35" t="str">
        <f aca="false">IF(OR($B2087="",$A2087=""),"",DAY(EOMONTH($A2087,0))-COUNTA($F2087:$AJ2087))</f>
        <v/>
      </c>
    </row>
    <row r="2088" customFormat="false" ht="15" hidden="false" customHeight="false" outlineLevel="0" collapsed="false">
      <c r="A2088" s="32"/>
      <c r="B2088" s="29"/>
      <c r="C2088" s="10" t="str">
        <f aca="false">IF($B2088="","",IFERROR(INDEX(M_name,MATCH($B2088,M_emp,0)),"Code not found"))</f>
        <v/>
      </c>
      <c r="D2088" s="10" t="str">
        <f aca="false">IF($B2088="","",IFERROR(INDEX(M_dept,MATCH($B2088,M_emp,0)),""))</f>
        <v/>
      </c>
      <c r="E2088" s="10" t="str">
        <f aca="false">IF($B2088="","",IFERROR(INDEX(M_loc,MATCH($B2088,M_emp,0)),""))</f>
        <v/>
      </c>
      <c r="F2088" s="33"/>
      <c r="G2088" s="33"/>
      <c r="H2088" s="33"/>
      <c r="I2088" s="33"/>
      <c r="J2088" s="33"/>
      <c r="K2088" s="33"/>
      <c r="L2088" s="33"/>
      <c r="M2088" s="33"/>
      <c r="N2088" s="33"/>
      <c r="O2088" s="33"/>
      <c r="P2088" s="33"/>
      <c r="Q2088" s="33"/>
      <c r="R2088" s="33"/>
      <c r="S2088" s="33"/>
      <c r="T2088" s="33"/>
      <c r="U2088" s="33"/>
      <c r="V2088" s="33"/>
      <c r="W2088" s="33"/>
      <c r="X2088" s="33"/>
      <c r="Y2088" s="33"/>
      <c r="Z2088" s="33"/>
      <c r="AA2088" s="33"/>
      <c r="AB2088" s="33"/>
      <c r="AC2088" s="33"/>
      <c r="AD2088" s="33"/>
      <c r="AE2088" s="33"/>
      <c r="AF2088" s="33"/>
      <c r="AG2088" s="33"/>
      <c r="AH2088" s="33"/>
      <c r="AI2088" s="33"/>
      <c r="AJ2088" s="33"/>
      <c r="AK2088" s="34" t="str">
        <f aca="false">IF($B2088="","",COUNTIF($F2088:$AJ2088,"P"))</f>
        <v/>
      </c>
      <c r="AL2088" s="34" t="str">
        <f aca="false">IF($B2088="","",COUNTIF($F2088:$AJ2088,"A"))</f>
        <v/>
      </c>
      <c r="AM2088" s="34" t="str">
        <f aca="false">IF($B2088="","",COUNTIF($F2088:$AJ2088,"HA"))</f>
        <v/>
      </c>
      <c r="AN2088" s="34" t="str">
        <f aca="false">IF($B2088="","",COUNTIF($F2088:$AJ2088,"L"))</f>
        <v/>
      </c>
      <c r="AO2088" s="34" t="str">
        <f aca="false">IF($B2088="","",COUNTIF($F2088:$AJ2088,"PL"))</f>
        <v/>
      </c>
      <c r="AP2088" s="34" t="str">
        <f aca="false">IF($B2088="","",COUNTIF($F2088:$AJ2088,"CL"))</f>
        <v/>
      </c>
      <c r="AQ2088" s="34" t="str">
        <f aca="false">IF($B2088="","",COUNTIF($F2088:$AJ2088,"SL"))</f>
        <v/>
      </c>
      <c r="AR2088" s="34" t="str">
        <f aca="false">IF($B2088="","",COUNTIF($F2088:$AJ2088,"CO"))</f>
        <v/>
      </c>
      <c r="AS2088" s="34" t="str">
        <f aca="false">IF($B2088="","",COUNTIF($F2088:$AJ2088,"HPL"))</f>
        <v/>
      </c>
      <c r="AT2088" s="34" t="str">
        <f aca="false">IF($B2088="","",COUNTIF($F2088:$AJ2088,"HCL"))</f>
        <v/>
      </c>
      <c r="AU2088" s="34" t="str">
        <f aca="false">IF($B2088="","",COUNTIF($F2088:$AJ2088,"WO"))</f>
        <v/>
      </c>
      <c r="AV2088" s="34" t="str">
        <f aca="false">IF($B2088="","",COUNTIF($F2088:$AJ2088,"PH"))</f>
        <v/>
      </c>
      <c r="AW2088" s="34" t="str">
        <f aca="false">IF($B2088="","",COUNTIF($F2088:$AJ2088,"TR"))</f>
        <v/>
      </c>
      <c r="AX2088" s="35" t="str">
        <f aca="false">IF($B2088="","",AO2088+AS2088/2)</f>
        <v/>
      </c>
      <c r="AY2088" s="35" t="str">
        <f aca="false">IF($B2088="","",AQ2088)</f>
        <v/>
      </c>
      <c r="AZ2088" s="35" t="str">
        <f aca="false">IF($B2088="","",AP2088+AT2088/2)</f>
        <v/>
      </c>
      <c r="BA2088" s="35" t="str">
        <f aca="false">IF($B2088="","",AK2088+AN2088+AM2088/2+AO2088+AP2088+AQ2088+AR2088+AS2088+AT2088+AU2088+AV2088+AW2088)</f>
        <v/>
      </c>
      <c r="BB2088" s="35" t="str">
        <f aca="false">IF($B2088="","",MAX(0,AN2088-Settings!$C$16)*Settings!$C$17)</f>
        <v/>
      </c>
      <c r="BC2088" s="35" t="str">
        <f aca="false">IF($B2088="","",BA2088-BB2088)</f>
        <v/>
      </c>
      <c r="BD2088" s="35" t="str">
        <f aca="false">IF(OR($B2088="",$A2088=""),"",DAY(EOMONTH($A2088,0))-COUNTA($F2088:$AJ2088))</f>
        <v/>
      </c>
    </row>
    <row r="2089" customFormat="false" ht="15" hidden="false" customHeight="false" outlineLevel="0" collapsed="false">
      <c r="A2089" s="32"/>
      <c r="B2089" s="29"/>
      <c r="C2089" s="10" t="str">
        <f aca="false">IF($B2089="","",IFERROR(INDEX(M_name,MATCH($B2089,M_emp,0)),"Code not found"))</f>
        <v/>
      </c>
      <c r="D2089" s="10" t="str">
        <f aca="false">IF($B2089="","",IFERROR(INDEX(M_dept,MATCH($B2089,M_emp,0)),""))</f>
        <v/>
      </c>
      <c r="E2089" s="10" t="str">
        <f aca="false">IF($B2089="","",IFERROR(INDEX(M_loc,MATCH($B2089,M_emp,0)),""))</f>
        <v/>
      </c>
      <c r="F2089" s="33"/>
      <c r="G2089" s="33"/>
      <c r="H2089" s="33"/>
      <c r="I2089" s="33"/>
      <c r="J2089" s="33"/>
      <c r="K2089" s="33"/>
      <c r="L2089" s="33"/>
      <c r="M2089" s="33"/>
      <c r="N2089" s="33"/>
      <c r="O2089" s="33"/>
      <c r="P2089" s="33"/>
      <c r="Q2089" s="33"/>
      <c r="R2089" s="33"/>
      <c r="S2089" s="33"/>
      <c r="T2089" s="33"/>
      <c r="U2089" s="33"/>
      <c r="V2089" s="33"/>
      <c r="W2089" s="33"/>
      <c r="X2089" s="33"/>
      <c r="Y2089" s="33"/>
      <c r="Z2089" s="33"/>
      <c r="AA2089" s="33"/>
      <c r="AB2089" s="33"/>
      <c r="AC2089" s="33"/>
      <c r="AD2089" s="33"/>
      <c r="AE2089" s="33"/>
      <c r="AF2089" s="33"/>
      <c r="AG2089" s="33"/>
      <c r="AH2089" s="33"/>
      <c r="AI2089" s="33"/>
      <c r="AJ2089" s="33"/>
      <c r="AK2089" s="34" t="str">
        <f aca="false">IF($B2089="","",COUNTIF($F2089:$AJ2089,"P"))</f>
        <v/>
      </c>
      <c r="AL2089" s="34" t="str">
        <f aca="false">IF($B2089="","",COUNTIF($F2089:$AJ2089,"A"))</f>
        <v/>
      </c>
      <c r="AM2089" s="34" t="str">
        <f aca="false">IF($B2089="","",COUNTIF($F2089:$AJ2089,"HA"))</f>
        <v/>
      </c>
      <c r="AN2089" s="34" t="str">
        <f aca="false">IF($B2089="","",COUNTIF($F2089:$AJ2089,"L"))</f>
        <v/>
      </c>
      <c r="AO2089" s="34" t="str">
        <f aca="false">IF($B2089="","",COUNTIF($F2089:$AJ2089,"PL"))</f>
        <v/>
      </c>
      <c r="AP2089" s="34" t="str">
        <f aca="false">IF($B2089="","",COUNTIF($F2089:$AJ2089,"CL"))</f>
        <v/>
      </c>
      <c r="AQ2089" s="34" t="str">
        <f aca="false">IF($B2089="","",COUNTIF($F2089:$AJ2089,"SL"))</f>
        <v/>
      </c>
      <c r="AR2089" s="34" t="str">
        <f aca="false">IF($B2089="","",COUNTIF($F2089:$AJ2089,"CO"))</f>
        <v/>
      </c>
      <c r="AS2089" s="34" t="str">
        <f aca="false">IF($B2089="","",COUNTIF($F2089:$AJ2089,"HPL"))</f>
        <v/>
      </c>
      <c r="AT2089" s="34" t="str">
        <f aca="false">IF($B2089="","",COUNTIF($F2089:$AJ2089,"HCL"))</f>
        <v/>
      </c>
      <c r="AU2089" s="34" t="str">
        <f aca="false">IF($B2089="","",COUNTIF($F2089:$AJ2089,"WO"))</f>
        <v/>
      </c>
      <c r="AV2089" s="34" t="str">
        <f aca="false">IF($B2089="","",COUNTIF($F2089:$AJ2089,"PH"))</f>
        <v/>
      </c>
      <c r="AW2089" s="34" t="str">
        <f aca="false">IF($B2089="","",COUNTIF($F2089:$AJ2089,"TR"))</f>
        <v/>
      </c>
      <c r="AX2089" s="35" t="str">
        <f aca="false">IF($B2089="","",AO2089+AS2089/2)</f>
        <v/>
      </c>
      <c r="AY2089" s="35" t="str">
        <f aca="false">IF($B2089="","",AQ2089)</f>
        <v/>
      </c>
      <c r="AZ2089" s="35" t="str">
        <f aca="false">IF($B2089="","",AP2089+AT2089/2)</f>
        <v/>
      </c>
      <c r="BA2089" s="35" t="str">
        <f aca="false">IF($B2089="","",AK2089+AN2089+AM2089/2+AO2089+AP2089+AQ2089+AR2089+AS2089+AT2089+AU2089+AV2089+AW2089)</f>
        <v/>
      </c>
      <c r="BB2089" s="35" t="str">
        <f aca="false">IF($B2089="","",MAX(0,AN2089-Settings!$C$16)*Settings!$C$17)</f>
        <v/>
      </c>
      <c r="BC2089" s="35" t="str">
        <f aca="false">IF($B2089="","",BA2089-BB2089)</f>
        <v/>
      </c>
      <c r="BD2089" s="35" t="str">
        <f aca="false">IF(OR($B2089="",$A2089=""),"",DAY(EOMONTH($A2089,0))-COUNTA($F2089:$AJ2089))</f>
        <v/>
      </c>
    </row>
    <row r="2090" customFormat="false" ht="15" hidden="false" customHeight="false" outlineLevel="0" collapsed="false">
      <c r="A2090" s="32"/>
      <c r="B2090" s="29"/>
      <c r="C2090" s="10" t="str">
        <f aca="false">IF($B2090="","",IFERROR(INDEX(M_name,MATCH($B2090,M_emp,0)),"Code not found"))</f>
        <v/>
      </c>
      <c r="D2090" s="10" t="str">
        <f aca="false">IF($B2090="","",IFERROR(INDEX(M_dept,MATCH($B2090,M_emp,0)),""))</f>
        <v/>
      </c>
      <c r="E2090" s="10" t="str">
        <f aca="false">IF($B2090="","",IFERROR(INDEX(M_loc,MATCH($B2090,M_emp,0)),""))</f>
        <v/>
      </c>
      <c r="F2090" s="33"/>
      <c r="G2090" s="33"/>
      <c r="H2090" s="33"/>
      <c r="I2090" s="33"/>
      <c r="J2090" s="33"/>
      <c r="K2090" s="33"/>
      <c r="L2090" s="33"/>
      <c r="M2090" s="33"/>
      <c r="N2090" s="33"/>
      <c r="O2090" s="33"/>
      <c r="P2090" s="33"/>
      <c r="Q2090" s="33"/>
      <c r="R2090" s="33"/>
      <c r="S2090" s="33"/>
      <c r="T2090" s="33"/>
      <c r="U2090" s="33"/>
      <c r="V2090" s="33"/>
      <c r="W2090" s="33"/>
      <c r="X2090" s="33"/>
      <c r="Y2090" s="33"/>
      <c r="Z2090" s="33"/>
      <c r="AA2090" s="33"/>
      <c r="AB2090" s="33"/>
      <c r="AC2090" s="33"/>
      <c r="AD2090" s="33"/>
      <c r="AE2090" s="33"/>
      <c r="AF2090" s="33"/>
      <c r="AG2090" s="33"/>
      <c r="AH2090" s="33"/>
      <c r="AI2090" s="33"/>
      <c r="AJ2090" s="33"/>
      <c r="AK2090" s="34" t="str">
        <f aca="false">IF($B2090="","",COUNTIF($F2090:$AJ2090,"P"))</f>
        <v/>
      </c>
      <c r="AL2090" s="34" t="str">
        <f aca="false">IF($B2090="","",COUNTIF($F2090:$AJ2090,"A"))</f>
        <v/>
      </c>
      <c r="AM2090" s="34" t="str">
        <f aca="false">IF($B2090="","",COUNTIF($F2090:$AJ2090,"HA"))</f>
        <v/>
      </c>
      <c r="AN2090" s="34" t="str">
        <f aca="false">IF($B2090="","",COUNTIF($F2090:$AJ2090,"L"))</f>
        <v/>
      </c>
      <c r="AO2090" s="34" t="str">
        <f aca="false">IF($B2090="","",COUNTIF($F2090:$AJ2090,"PL"))</f>
        <v/>
      </c>
      <c r="AP2090" s="34" t="str">
        <f aca="false">IF($B2090="","",COUNTIF($F2090:$AJ2090,"CL"))</f>
        <v/>
      </c>
      <c r="AQ2090" s="34" t="str">
        <f aca="false">IF($B2090="","",COUNTIF($F2090:$AJ2090,"SL"))</f>
        <v/>
      </c>
      <c r="AR2090" s="34" t="str">
        <f aca="false">IF($B2090="","",COUNTIF($F2090:$AJ2090,"CO"))</f>
        <v/>
      </c>
      <c r="AS2090" s="34" t="str">
        <f aca="false">IF($B2090="","",COUNTIF($F2090:$AJ2090,"HPL"))</f>
        <v/>
      </c>
      <c r="AT2090" s="34" t="str">
        <f aca="false">IF($B2090="","",COUNTIF($F2090:$AJ2090,"HCL"))</f>
        <v/>
      </c>
      <c r="AU2090" s="34" t="str">
        <f aca="false">IF($B2090="","",COUNTIF($F2090:$AJ2090,"WO"))</f>
        <v/>
      </c>
      <c r="AV2090" s="34" t="str">
        <f aca="false">IF($B2090="","",COUNTIF($F2090:$AJ2090,"PH"))</f>
        <v/>
      </c>
      <c r="AW2090" s="34" t="str">
        <f aca="false">IF($B2090="","",COUNTIF($F2090:$AJ2090,"TR"))</f>
        <v/>
      </c>
      <c r="AX2090" s="35" t="str">
        <f aca="false">IF($B2090="","",AO2090+AS2090/2)</f>
        <v/>
      </c>
      <c r="AY2090" s="35" t="str">
        <f aca="false">IF($B2090="","",AQ2090)</f>
        <v/>
      </c>
      <c r="AZ2090" s="35" t="str">
        <f aca="false">IF($B2090="","",AP2090+AT2090/2)</f>
        <v/>
      </c>
      <c r="BA2090" s="35" t="str">
        <f aca="false">IF($B2090="","",AK2090+AN2090+AM2090/2+AO2090+AP2090+AQ2090+AR2090+AS2090+AT2090+AU2090+AV2090+AW2090)</f>
        <v/>
      </c>
      <c r="BB2090" s="35" t="str">
        <f aca="false">IF($B2090="","",MAX(0,AN2090-Settings!$C$16)*Settings!$C$17)</f>
        <v/>
      </c>
      <c r="BC2090" s="35" t="str">
        <f aca="false">IF($B2090="","",BA2090-BB2090)</f>
        <v/>
      </c>
      <c r="BD2090" s="35" t="str">
        <f aca="false">IF(OR($B2090="",$A2090=""),"",DAY(EOMONTH($A2090,0))-COUNTA($F2090:$AJ2090))</f>
        <v/>
      </c>
    </row>
    <row r="2091" customFormat="false" ht="15" hidden="false" customHeight="false" outlineLevel="0" collapsed="false">
      <c r="A2091" s="32"/>
      <c r="B2091" s="29"/>
      <c r="C2091" s="10" t="str">
        <f aca="false">IF($B2091="","",IFERROR(INDEX(M_name,MATCH($B2091,M_emp,0)),"Code not found"))</f>
        <v/>
      </c>
      <c r="D2091" s="10" t="str">
        <f aca="false">IF($B2091="","",IFERROR(INDEX(M_dept,MATCH($B2091,M_emp,0)),""))</f>
        <v/>
      </c>
      <c r="E2091" s="10" t="str">
        <f aca="false">IF($B2091="","",IFERROR(INDEX(M_loc,MATCH($B2091,M_emp,0)),""))</f>
        <v/>
      </c>
      <c r="F2091" s="33"/>
      <c r="G2091" s="33"/>
      <c r="H2091" s="33"/>
      <c r="I2091" s="33"/>
      <c r="J2091" s="33"/>
      <c r="K2091" s="33"/>
      <c r="L2091" s="33"/>
      <c r="M2091" s="33"/>
      <c r="N2091" s="33"/>
      <c r="O2091" s="33"/>
      <c r="P2091" s="33"/>
      <c r="Q2091" s="33"/>
      <c r="R2091" s="33"/>
      <c r="S2091" s="33"/>
      <c r="T2091" s="33"/>
      <c r="U2091" s="33"/>
      <c r="V2091" s="33"/>
      <c r="W2091" s="33"/>
      <c r="X2091" s="33"/>
      <c r="Y2091" s="33"/>
      <c r="Z2091" s="33"/>
      <c r="AA2091" s="33"/>
      <c r="AB2091" s="33"/>
      <c r="AC2091" s="33"/>
      <c r="AD2091" s="33"/>
      <c r="AE2091" s="33"/>
      <c r="AF2091" s="33"/>
      <c r="AG2091" s="33"/>
      <c r="AH2091" s="33"/>
      <c r="AI2091" s="33"/>
      <c r="AJ2091" s="33"/>
      <c r="AK2091" s="34" t="str">
        <f aca="false">IF($B2091="","",COUNTIF($F2091:$AJ2091,"P"))</f>
        <v/>
      </c>
      <c r="AL2091" s="34" t="str">
        <f aca="false">IF($B2091="","",COUNTIF($F2091:$AJ2091,"A"))</f>
        <v/>
      </c>
      <c r="AM2091" s="34" t="str">
        <f aca="false">IF($B2091="","",COUNTIF($F2091:$AJ2091,"HA"))</f>
        <v/>
      </c>
      <c r="AN2091" s="34" t="str">
        <f aca="false">IF($B2091="","",COUNTIF($F2091:$AJ2091,"L"))</f>
        <v/>
      </c>
      <c r="AO2091" s="34" t="str">
        <f aca="false">IF($B2091="","",COUNTIF($F2091:$AJ2091,"PL"))</f>
        <v/>
      </c>
      <c r="AP2091" s="34" t="str">
        <f aca="false">IF($B2091="","",COUNTIF($F2091:$AJ2091,"CL"))</f>
        <v/>
      </c>
      <c r="AQ2091" s="34" t="str">
        <f aca="false">IF($B2091="","",COUNTIF($F2091:$AJ2091,"SL"))</f>
        <v/>
      </c>
      <c r="AR2091" s="34" t="str">
        <f aca="false">IF($B2091="","",COUNTIF($F2091:$AJ2091,"CO"))</f>
        <v/>
      </c>
      <c r="AS2091" s="34" t="str">
        <f aca="false">IF($B2091="","",COUNTIF($F2091:$AJ2091,"HPL"))</f>
        <v/>
      </c>
      <c r="AT2091" s="34" t="str">
        <f aca="false">IF($B2091="","",COUNTIF($F2091:$AJ2091,"HCL"))</f>
        <v/>
      </c>
      <c r="AU2091" s="34" t="str">
        <f aca="false">IF($B2091="","",COUNTIF($F2091:$AJ2091,"WO"))</f>
        <v/>
      </c>
      <c r="AV2091" s="34" t="str">
        <f aca="false">IF($B2091="","",COUNTIF($F2091:$AJ2091,"PH"))</f>
        <v/>
      </c>
      <c r="AW2091" s="34" t="str">
        <f aca="false">IF($B2091="","",COUNTIF($F2091:$AJ2091,"TR"))</f>
        <v/>
      </c>
      <c r="AX2091" s="35" t="str">
        <f aca="false">IF($B2091="","",AO2091+AS2091/2)</f>
        <v/>
      </c>
      <c r="AY2091" s="35" t="str">
        <f aca="false">IF($B2091="","",AQ2091)</f>
        <v/>
      </c>
      <c r="AZ2091" s="35" t="str">
        <f aca="false">IF($B2091="","",AP2091+AT2091/2)</f>
        <v/>
      </c>
      <c r="BA2091" s="35" t="str">
        <f aca="false">IF($B2091="","",AK2091+AN2091+AM2091/2+AO2091+AP2091+AQ2091+AR2091+AS2091+AT2091+AU2091+AV2091+AW2091)</f>
        <v/>
      </c>
      <c r="BB2091" s="35" t="str">
        <f aca="false">IF($B2091="","",MAX(0,AN2091-Settings!$C$16)*Settings!$C$17)</f>
        <v/>
      </c>
      <c r="BC2091" s="35" t="str">
        <f aca="false">IF($B2091="","",BA2091-BB2091)</f>
        <v/>
      </c>
      <c r="BD2091" s="35" t="str">
        <f aca="false">IF(OR($B2091="",$A2091=""),"",DAY(EOMONTH($A2091,0))-COUNTA($F2091:$AJ2091))</f>
        <v/>
      </c>
    </row>
    <row r="2092" customFormat="false" ht="15" hidden="false" customHeight="false" outlineLevel="0" collapsed="false">
      <c r="A2092" s="32"/>
      <c r="B2092" s="29"/>
      <c r="C2092" s="10" t="str">
        <f aca="false">IF($B2092="","",IFERROR(INDEX(M_name,MATCH($B2092,M_emp,0)),"Code not found"))</f>
        <v/>
      </c>
      <c r="D2092" s="10" t="str">
        <f aca="false">IF($B2092="","",IFERROR(INDEX(M_dept,MATCH($B2092,M_emp,0)),""))</f>
        <v/>
      </c>
      <c r="E2092" s="10" t="str">
        <f aca="false">IF($B2092="","",IFERROR(INDEX(M_loc,MATCH($B2092,M_emp,0)),""))</f>
        <v/>
      </c>
      <c r="F2092" s="33"/>
      <c r="G2092" s="33"/>
      <c r="H2092" s="33"/>
      <c r="I2092" s="33"/>
      <c r="J2092" s="33"/>
      <c r="K2092" s="33"/>
      <c r="L2092" s="33"/>
      <c r="M2092" s="33"/>
      <c r="N2092" s="33"/>
      <c r="O2092" s="33"/>
      <c r="P2092" s="33"/>
      <c r="Q2092" s="33"/>
      <c r="R2092" s="33"/>
      <c r="S2092" s="33"/>
      <c r="T2092" s="33"/>
      <c r="U2092" s="33"/>
      <c r="V2092" s="33"/>
      <c r="W2092" s="33"/>
      <c r="X2092" s="33"/>
      <c r="Y2092" s="33"/>
      <c r="Z2092" s="33"/>
      <c r="AA2092" s="33"/>
      <c r="AB2092" s="33"/>
      <c r="AC2092" s="33"/>
      <c r="AD2092" s="33"/>
      <c r="AE2092" s="33"/>
      <c r="AF2092" s="33"/>
      <c r="AG2092" s="33"/>
      <c r="AH2092" s="33"/>
      <c r="AI2092" s="33"/>
      <c r="AJ2092" s="33"/>
      <c r="AK2092" s="34" t="str">
        <f aca="false">IF($B2092="","",COUNTIF($F2092:$AJ2092,"P"))</f>
        <v/>
      </c>
      <c r="AL2092" s="34" t="str">
        <f aca="false">IF($B2092="","",COUNTIF($F2092:$AJ2092,"A"))</f>
        <v/>
      </c>
      <c r="AM2092" s="34" t="str">
        <f aca="false">IF($B2092="","",COUNTIF($F2092:$AJ2092,"HA"))</f>
        <v/>
      </c>
      <c r="AN2092" s="34" t="str">
        <f aca="false">IF($B2092="","",COUNTIF($F2092:$AJ2092,"L"))</f>
        <v/>
      </c>
      <c r="AO2092" s="34" t="str">
        <f aca="false">IF($B2092="","",COUNTIF($F2092:$AJ2092,"PL"))</f>
        <v/>
      </c>
      <c r="AP2092" s="34" t="str">
        <f aca="false">IF($B2092="","",COUNTIF($F2092:$AJ2092,"CL"))</f>
        <v/>
      </c>
      <c r="AQ2092" s="34" t="str">
        <f aca="false">IF($B2092="","",COUNTIF($F2092:$AJ2092,"SL"))</f>
        <v/>
      </c>
      <c r="AR2092" s="34" t="str">
        <f aca="false">IF($B2092="","",COUNTIF($F2092:$AJ2092,"CO"))</f>
        <v/>
      </c>
      <c r="AS2092" s="34" t="str">
        <f aca="false">IF($B2092="","",COUNTIF($F2092:$AJ2092,"HPL"))</f>
        <v/>
      </c>
      <c r="AT2092" s="34" t="str">
        <f aca="false">IF($B2092="","",COUNTIF($F2092:$AJ2092,"HCL"))</f>
        <v/>
      </c>
      <c r="AU2092" s="34" t="str">
        <f aca="false">IF($B2092="","",COUNTIF($F2092:$AJ2092,"WO"))</f>
        <v/>
      </c>
      <c r="AV2092" s="34" t="str">
        <f aca="false">IF($B2092="","",COUNTIF($F2092:$AJ2092,"PH"))</f>
        <v/>
      </c>
      <c r="AW2092" s="34" t="str">
        <f aca="false">IF($B2092="","",COUNTIF($F2092:$AJ2092,"TR"))</f>
        <v/>
      </c>
      <c r="AX2092" s="35" t="str">
        <f aca="false">IF($B2092="","",AO2092+AS2092/2)</f>
        <v/>
      </c>
      <c r="AY2092" s="35" t="str">
        <f aca="false">IF($B2092="","",AQ2092)</f>
        <v/>
      </c>
      <c r="AZ2092" s="35" t="str">
        <f aca="false">IF($B2092="","",AP2092+AT2092/2)</f>
        <v/>
      </c>
      <c r="BA2092" s="35" t="str">
        <f aca="false">IF($B2092="","",AK2092+AN2092+AM2092/2+AO2092+AP2092+AQ2092+AR2092+AS2092+AT2092+AU2092+AV2092+AW2092)</f>
        <v/>
      </c>
      <c r="BB2092" s="35" t="str">
        <f aca="false">IF($B2092="","",MAX(0,AN2092-Settings!$C$16)*Settings!$C$17)</f>
        <v/>
      </c>
      <c r="BC2092" s="35" t="str">
        <f aca="false">IF($B2092="","",BA2092-BB2092)</f>
        <v/>
      </c>
      <c r="BD2092" s="35" t="str">
        <f aca="false">IF(OR($B2092="",$A2092=""),"",DAY(EOMONTH($A2092,0))-COUNTA($F2092:$AJ2092))</f>
        <v/>
      </c>
    </row>
    <row r="2093" customFormat="false" ht="15" hidden="false" customHeight="false" outlineLevel="0" collapsed="false">
      <c r="A2093" s="32"/>
      <c r="B2093" s="29"/>
      <c r="C2093" s="10" t="str">
        <f aca="false">IF($B2093="","",IFERROR(INDEX(M_name,MATCH($B2093,M_emp,0)),"Code not found"))</f>
        <v/>
      </c>
      <c r="D2093" s="10" t="str">
        <f aca="false">IF($B2093="","",IFERROR(INDEX(M_dept,MATCH($B2093,M_emp,0)),""))</f>
        <v/>
      </c>
      <c r="E2093" s="10" t="str">
        <f aca="false">IF($B2093="","",IFERROR(INDEX(M_loc,MATCH($B2093,M_emp,0)),""))</f>
        <v/>
      </c>
      <c r="F2093" s="33"/>
      <c r="G2093" s="33"/>
      <c r="H2093" s="33"/>
      <c r="I2093" s="33"/>
      <c r="J2093" s="33"/>
      <c r="K2093" s="33"/>
      <c r="L2093" s="33"/>
      <c r="M2093" s="33"/>
      <c r="N2093" s="33"/>
      <c r="O2093" s="33"/>
      <c r="P2093" s="33"/>
      <c r="Q2093" s="33"/>
      <c r="R2093" s="33"/>
      <c r="S2093" s="33"/>
      <c r="T2093" s="33"/>
      <c r="U2093" s="33"/>
      <c r="V2093" s="33"/>
      <c r="W2093" s="33"/>
      <c r="X2093" s="33"/>
      <c r="Y2093" s="33"/>
      <c r="Z2093" s="33"/>
      <c r="AA2093" s="33"/>
      <c r="AB2093" s="33"/>
      <c r="AC2093" s="33"/>
      <c r="AD2093" s="33"/>
      <c r="AE2093" s="33"/>
      <c r="AF2093" s="33"/>
      <c r="AG2093" s="33"/>
      <c r="AH2093" s="33"/>
      <c r="AI2093" s="33"/>
      <c r="AJ2093" s="33"/>
      <c r="AK2093" s="34" t="str">
        <f aca="false">IF($B2093="","",COUNTIF($F2093:$AJ2093,"P"))</f>
        <v/>
      </c>
      <c r="AL2093" s="34" t="str">
        <f aca="false">IF($B2093="","",COUNTIF($F2093:$AJ2093,"A"))</f>
        <v/>
      </c>
      <c r="AM2093" s="34" t="str">
        <f aca="false">IF($B2093="","",COUNTIF($F2093:$AJ2093,"HA"))</f>
        <v/>
      </c>
      <c r="AN2093" s="34" t="str">
        <f aca="false">IF($B2093="","",COUNTIF($F2093:$AJ2093,"L"))</f>
        <v/>
      </c>
      <c r="AO2093" s="34" t="str">
        <f aca="false">IF($B2093="","",COUNTIF($F2093:$AJ2093,"PL"))</f>
        <v/>
      </c>
      <c r="AP2093" s="34" t="str">
        <f aca="false">IF($B2093="","",COUNTIF($F2093:$AJ2093,"CL"))</f>
        <v/>
      </c>
      <c r="AQ2093" s="34" t="str">
        <f aca="false">IF($B2093="","",COUNTIF($F2093:$AJ2093,"SL"))</f>
        <v/>
      </c>
      <c r="AR2093" s="34" t="str">
        <f aca="false">IF($B2093="","",COUNTIF($F2093:$AJ2093,"CO"))</f>
        <v/>
      </c>
      <c r="AS2093" s="34" t="str">
        <f aca="false">IF($B2093="","",COUNTIF($F2093:$AJ2093,"HPL"))</f>
        <v/>
      </c>
      <c r="AT2093" s="34" t="str">
        <f aca="false">IF($B2093="","",COUNTIF($F2093:$AJ2093,"HCL"))</f>
        <v/>
      </c>
      <c r="AU2093" s="34" t="str">
        <f aca="false">IF($B2093="","",COUNTIF($F2093:$AJ2093,"WO"))</f>
        <v/>
      </c>
      <c r="AV2093" s="34" t="str">
        <f aca="false">IF($B2093="","",COUNTIF($F2093:$AJ2093,"PH"))</f>
        <v/>
      </c>
      <c r="AW2093" s="34" t="str">
        <f aca="false">IF($B2093="","",COUNTIF($F2093:$AJ2093,"TR"))</f>
        <v/>
      </c>
      <c r="AX2093" s="35" t="str">
        <f aca="false">IF($B2093="","",AO2093+AS2093/2)</f>
        <v/>
      </c>
      <c r="AY2093" s="35" t="str">
        <f aca="false">IF($B2093="","",AQ2093)</f>
        <v/>
      </c>
      <c r="AZ2093" s="35" t="str">
        <f aca="false">IF($B2093="","",AP2093+AT2093/2)</f>
        <v/>
      </c>
      <c r="BA2093" s="35" t="str">
        <f aca="false">IF($B2093="","",AK2093+AN2093+AM2093/2+AO2093+AP2093+AQ2093+AR2093+AS2093+AT2093+AU2093+AV2093+AW2093)</f>
        <v/>
      </c>
      <c r="BB2093" s="35" t="str">
        <f aca="false">IF($B2093="","",MAX(0,AN2093-Settings!$C$16)*Settings!$C$17)</f>
        <v/>
      </c>
      <c r="BC2093" s="35" t="str">
        <f aca="false">IF($B2093="","",BA2093-BB2093)</f>
        <v/>
      </c>
      <c r="BD2093" s="35" t="str">
        <f aca="false">IF(OR($B2093="",$A2093=""),"",DAY(EOMONTH($A2093,0))-COUNTA($F2093:$AJ2093))</f>
        <v/>
      </c>
    </row>
    <row r="2094" customFormat="false" ht="15" hidden="false" customHeight="false" outlineLevel="0" collapsed="false">
      <c r="A2094" s="32"/>
      <c r="B2094" s="29"/>
      <c r="C2094" s="10" t="str">
        <f aca="false">IF($B2094="","",IFERROR(INDEX(M_name,MATCH($B2094,M_emp,0)),"Code not found"))</f>
        <v/>
      </c>
      <c r="D2094" s="10" t="str">
        <f aca="false">IF($B2094="","",IFERROR(INDEX(M_dept,MATCH($B2094,M_emp,0)),""))</f>
        <v/>
      </c>
      <c r="E2094" s="10" t="str">
        <f aca="false">IF($B2094="","",IFERROR(INDEX(M_loc,MATCH($B2094,M_emp,0)),""))</f>
        <v/>
      </c>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c r="AB2094" s="33"/>
      <c r="AC2094" s="33"/>
      <c r="AD2094" s="33"/>
      <c r="AE2094" s="33"/>
      <c r="AF2094" s="33"/>
      <c r="AG2094" s="33"/>
      <c r="AH2094" s="33"/>
      <c r="AI2094" s="33"/>
      <c r="AJ2094" s="33"/>
      <c r="AK2094" s="34" t="str">
        <f aca="false">IF($B2094="","",COUNTIF($F2094:$AJ2094,"P"))</f>
        <v/>
      </c>
      <c r="AL2094" s="34" t="str">
        <f aca="false">IF($B2094="","",COUNTIF($F2094:$AJ2094,"A"))</f>
        <v/>
      </c>
      <c r="AM2094" s="34" t="str">
        <f aca="false">IF($B2094="","",COUNTIF($F2094:$AJ2094,"HA"))</f>
        <v/>
      </c>
      <c r="AN2094" s="34" t="str">
        <f aca="false">IF($B2094="","",COUNTIF($F2094:$AJ2094,"L"))</f>
        <v/>
      </c>
      <c r="AO2094" s="34" t="str">
        <f aca="false">IF($B2094="","",COUNTIF($F2094:$AJ2094,"PL"))</f>
        <v/>
      </c>
      <c r="AP2094" s="34" t="str">
        <f aca="false">IF($B2094="","",COUNTIF($F2094:$AJ2094,"CL"))</f>
        <v/>
      </c>
      <c r="AQ2094" s="34" t="str">
        <f aca="false">IF($B2094="","",COUNTIF($F2094:$AJ2094,"SL"))</f>
        <v/>
      </c>
      <c r="AR2094" s="34" t="str">
        <f aca="false">IF($B2094="","",COUNTIF($F2094:$AJ2094,"CO"))</f>
        <v/>
      </c>
      <c r="AS2094" s="34" t="str">
        <f aca="false">IF($B2094="","",COUNTIF($F2094:$AJ2094,"HPL"))</f>
        <v/>
      </c>
      <c r="AT2094" s="34" t="str">
        <f aca="false">IF($B2094="","",COUNTIF($F2094:$AJ2094,"HCL"))</f>
        <v/>
      </c>
      <c r="AU2094" s="34" t="str">
        <f aca="false">IF($B2094="","",COUNTIF($F2094:$AJ2094,"WO"))</f>
        <v/>
      </c>
      <c r="AV2094" s="34" t="str">
        <f aca="false">IF($B2094="","",COUNTIF($F2094:$AJ2094,"PH"))</f>
        <v/>
      </c>
      <c r="AW2094" s="34" t="str">
        <f aca="false">IF($B2094="","",COUNTIF($F2094:$AJ2094,"TR"))</f>
        <v/>
      </c>
      <c r="AX2094" s="35" t="str">
        <f aca="false">IF($B2094="","",AO2094+AS2094/2)</f>
        <v/>
      </c>
      <c r="AY2094" s="35" t="str">
        <f aca="false">IF($B2094="","",AQ2094)</f>
        <v/>
      </c>
      <c r="AZ2094" s="35" t="str">
        <f aca="false">IF($B2094="","",AP2094+AT2094/2)</f>
        <v/>
      </c>
      <c r="BA2094" s="35" t="str">
        <f aca="false">IF($B2094="","",AK2094+AN2094+AM2094/2+AO2094+AP2094+AQ2094+AR2094+AS2094+AT2094+AU2094+AV2094+AW2094)</f>
        <v/>
      </c>
      <c r="BB2094" s="35" t="str">
        <f aca="false">IF($B2094="","",MAX(0,AN2094-Settings!$C$16)*Settings!$C$17)</f>
        <v/>
      </c>
      <c r="BC2094" s="35" t="str">
        <f aca="false">IF($B2094="","",BA2094-BB2094)</f>
        <v/>
      </c>
      <c r="BD2094" s="35" t="str">
        <f aca="false">IF(OR($B2094="",$A2094=""),"",DAY(EOMONTH($A2094,0))-COUNTA($F2094:$AJ2094))</f>
        <v/>
      </c>
    </row>
    <row r="2095" customFormat="false" ht="15" hidden="false" customHeight="false" outlineLevel="0" collapsed="false">
      <c r="A2095" s="32"/>
      <c r="B2095" s="29"/>
      <c r="C2095" s="10" t="str">
        <f aca="false">IF($B2095="","",IFERROR(INDEX(M_name,MATCH($B2095,M_emp,0)),"Code not found"))</f>
        <v/>
      </c>
      <c r="D2095" s="10" t="str">
        <f aca="false">IF($B2095="","",IFERROR(INDEX(M_dept,MATCH($B2095,M_emp,0)),""))</f>
        <v/>
      </c>
      <c r="E2095" s="10" t="str">
        <f aca="false">IF($B2095="","",IFERROR(INDEX(M_loc,MATCH($B2095,M_emp,0)),""))</f>
        <v/>
      </c>
      <c r="F2095" s="33"/>
      <c r="G2095" s="33"/>
      <c r="H2095" s="33"/>
      <c r="I2095" s="33"/>
      <c r="J2095" s="33"/>
      <c r="K2095" s="33"/>
      <c r="L2095" s="33"/>
      <c r="M2095" s="33"/>
      <c r="N2095" s="33"/>
      <c r="O2095" s="33"/>
      <c r="P2095" s="33"/>
      <c r="Q2095" s="33"/>
      <c r="R2095" s="33"/>
      <c r="S2095" s="33"/>
      <c r="T2095" s="33"/>
      <c r="U2095" s="33"/>
      <c r="V2095" s="33"/>
      <c r="W2095" s="33"/>
      <c r="X2095" s="33"/>
      <c r="Y2095" s="33"/>
      <c r="Z2095" s="33"/>
      <c r="AA2095" s="33"/>
      <c r="AB2095" s="33"/>
      <c r="AC2095" s="33"/>
      <c r="AD2095" s="33"/>
      <c r="AE2095" s="33"/>
      <c r="AF2095" s="33"/>
      <c r="AG2095" s="33"/>
      <c r="AH2095" s="33"/>
      <c r="AI2095" s="33"/>
      <c r="AJ2095" s="33"/>
      <c r="AK2095" s="34" t="str">
        <f aca="false">IF($B2095="","",COUNTIF($F2095:$AJ2095,"P"))</f>
        <v/>
      </c>
      <c r="AL2095" s="34" t="str">
        <f aca="false">IF($B2095="","",COUNTIF($F2095:$AJ2095,"A"))</f>
        <v/>
      </c>
      <c r="AM2095" s="34" t="str">
        <f aca="false">IF($B2095="","",COUNTIF($F2095:$AJ2095,"HA"))</f>
        <v/>
      </c>
      <c r="AN2095" s="34" t="str">
        <f aca="false">IF($B2095="","",COUNTIF($F2095:$AJ2095,"L"))</f>
        <v/>
      </c>
      <c r="AO2095" s="34" t="str">
        <f aca="false">IF($B2095="","",COUNTIF($F2095:$AJ2095,"PL"))</f>
        <v/>
      </c>
      <c r="AP2095" s="34" t="str">
        <f aca="false">IF($B2095="","",COUNTIF($F2095:$AJ2095,"CL"))</f>
        <v/>
      </c>
      <c r="AQ2095" s="34" t="str">
        <f aca="false">IF($B2095="","",COUNTIF($F2095:$AJ2095,"SL"))</f>
        <v/>
      </c>
      <c r="AR2095" s="34" t="str">
        <f aca="false">IF($B2095="","",COUNTIF($F2095:$AJ2095,"CO"))</f>
        <v/>
      </c>
      <c r="AS2095" s="34" t="str">
        <f aca="false">IF($B2095="","",COUNTIF($F2095:$AJ2095,"HPL"))</f>
        <v/>
      </c>
      <c r="AT2095" s="34" t="str">
        <f aca="false">IF($B2095="","",COUNTIF($F2095:$AJ2095,"HCL"))</f>
        <v/>
      </c>
      <c r="AU2095" s="34" t="str">
        <f aca="false">IF($B2095="","",COUNTIF($F2095:$AJ2095,"WO"))</f>
        <v/>
      </c>
      <c r="AV2095" s="34" t="str">
        <f aca="false">IF($B2095="","",COUNTIF($F2095:$AJ2095,"PH"))</f>
        <v/>
      </c>
      <c r="AW2095" s="34" t="str">
        <f aca="false">IF($B2095="","",COUNTIF($F2095:$AJ2095,"TR"))</f>
        <v/>
      </c>
      <c r="AX2095" s="35" t="str">
        <f aca="false">IF($B2095="","",AO2095+AS2095/2)</f>
        <v/>
      </c>
      <c r="AY2095" s="35" t="str">
        <f aca="false">IF($B2095="","",AQ2095)</f>
        <v/>
      </c>
      <c r="AZ2095" s="35" t="str">
        <f aca="false">IF($B2095="","",AP2095+AT2095/2)</f>
        <v/>
      </c>
      <c r="BA2095" s="35" t="str">
        <f aca="false">IF($B2095="","",AK2095+AN2095+AM2095/2+AO2095+AP2095+AQ2095+AR2095+AS2095+AT2095+AU2095+AV2095+AW2095)</f>
        <v/>
      </c>
      <c r="BB2095" s="35" t="str">
        <f aca="false">IF($B2095="","",MAX(0,AN2095-Settings!$C$16)*Settings!$C$17)</f>
        <v/>
      </c>
      <c r="BC2095" s="35" t="str">
        <f aca="false">IF($B2095="","",BA2095-BB2095)</f>
        <v/>
      </c>
      <c r="BD2095" s="35" t="str">
        <f aca="false">IF(OR($B2095="",$A2095=""),"",DAY(EOMONTH($A2095,0))-COUNTA($F2095:$AJ2095))</f>
        <v/>
      </c>
    </row>
    <row r="2096" customFormat="false" ht="15" hidden="false" customHeight="false" outlineLevel="0" collapsed="false">
      <c r="A2096" s="32"/>
      <c r="B2096" s="29"/>
      <c r="C2096" s="10" t="str">
        <f aca="false">IF($B2096="","",IFERROR(INDEX(M_name,MATCH($B2096,M_emp,0)),"Code not found"))</f>
        <v/>
      </c>
      <c r="D2096" s="10" t="str">
        <f aca="false">IF($B2096="","",IFERROR(INDEX(M_dept,MATCH($B2096,M_emp,0)),""))</f>
        <v/>
      </c>
      <c r="E2096" s="10" t="str">
        <f aca="false">IF($B2096="","",IFERROR(INDEX(M_loc,MATCH($B2096,M_emp,0)),""))</f>
        <v/>
      </c>
      <c r="F2096" s="33"/>
      <c r="G2096" s="33"/>
      <c r="H2096" s="33"/>
      <c r="I2096" s="33"/>
      <c r="J2096" s="33"/>
      <c r="K2096" s="33"/>
      <c r="L2096" s="33"/>
      <c r="M2096" s="33"/>
      <c r="N2096" s="33"/>
      <c r="O2096" s="33"/>
      <c r="P2096" s="33"/>
      <c r="Q2096" s="33"/>
      <c r="R2096" s="33"/>
      <c r="S2096" s="33"/>
      <c r="T2096" s="33"/>
      <c r="U2096" s="33"/>
      <c r="V2096" s="33"/>
      <c r="W2096" s="33"/>
      <c r="X2096" s="33"/>
      <c r="Y2096" s="33"/>
      <c r="Z2096" s="33"/>
      <c r="AA2096" s="33"/>
      <c r="AB2096" s="33"/>
      <c r="AC2096" s="33"/>
      <c r="AD2096" s="33"/>
      <c r="AE2096" s="33"/>
      <c r="AF2096" s="33"/>
      <c r="AG2096" s="33"/>
      <c r="AH2096" s="33"/>
      <c r="AI2096" s="33"/>
      <c r="AJ2096" s="33"/>
      <c r="AK2096" s="34" t="str">
        <f aca="false">IF($B2096="","",COUNTIF($F2096:$AJ2096,"P"))</f>
        <v/>
      </c>
      <c r="AL2096" s="34" t="str">
        <f aca="false">IF($B2096="","",COUNTIF($F2096:$AJ2096,"A"))</f>
        <v/>
      </c>
      <c r="AM2096" s="34" t="str">
        <f aca="false">IF($B2096="","",COUNTIF($F2096:$AJ2096,"HA"))</f>
        <v/>
      </c>
      <c r="AN2096" s="34" t="str">
        <f aca="false">IF($B2096="","",COUNTIF($F2096:$AJ2096,"L"))</f>
        <v/>
      </c>
      <c r="AO2096" s="34" t="str">
        <f aca="false">IF($B2096="","",COUNTIF($F2096:$AJ2096,"PL"))</f>
        <v/>
      </c>
      <c r="AP2096" s="34" t="str">
        <f aca="false">IF($B2096="","",COUNTIF($F2096:$AJ2096,"CL"))</f>
        <v/>
      </c>
      <c r="AQ2096" s="34" t="str">
        <f aca="false">IF($B2096="","",COUNTIF($F2096:$AJ2096,"SL"))</f>
        <v/>
      </c>
      <c r="AR2096" s="34" t="str">
        <f aca="false">IF($B2096="","",COUNTIF($F2096:$AJ2096,"CO"))</f>
        <v/>
      </c>
      <c r="AS2096" s="34" t="str">
        <f aca="false">IF($B2096="","",COUNTIF($F2096:$AJ2096,"HPL"))</f>
        <v/>
      </c>
      <c r="AT2096" s="34" t="str">
        <f aca="false">IF($B2096="","",COUNTIF($F2096:$AJ2096,"HCL"))</f>
        <v/>
      </c>
      <c r="AU2096" s="34" t="str">
        <f aca="false">IF($B2096="","",COUNTIF($F2096:$AJ2096,"WO"))</f>
        <v/>
      </c>
      <c r="AV2096" s="34" t="str">
        <f aca="false">IF($B2096="","",COUNTIF($F2096:$AJ2096,"PH"))</f>
        <v/>
      </c>
      <c r="AW2096" s="34" t="str">
        <f aca="false">IF($B2096="","",COUNTIF($F2096:$AJ2096,"TR"))</f>
        <v/>
      </c>
      <c r="AX2096" s="35" t="str">
        <f aca="false">IF($B2096="","",AO2096+AS2096/2)</f>
        <v/>
      </c>
      <c r="AY2096" s="35" t="str">
        <f aca="false">IF($B2096="","",AQ2096)</f>
        <v/>
      </c>
      <c r="AZ2096" s="35" t="str">
        <f aca="false">IF($B2096="","",AP2096+AT2096/2)</f>
        <v/>
      </c>
      <c r="BA2096" s="35" t="str">
        <f aca="false">IF($B2096="","",AK2096+AN2096+AM2096/2+AO2096+AP2096+AQ2096+AR2096+AS2096+AT2096+AU2096+AV2096+AW2096)</f>
        <v/>
      </c>
      <c r="BB2096" s="35" t="str">
        <f aca="false">IF($B2096="","",MAX(0,AN2096-Settings!$C$16)*Settings!$C$17)</f>
        <v/>
      </c>
      <c r="BC2096" s="35" t="str">
        <f aca="false">IF($B2096="","",BA2096-BB2096)</f>
        <v/>
      </c>
      <c r="BD2096" s="35" t="str">
        <f aca="false">IF(OR($B2096="",$A2096=""),"",DAY(EOMONTH($A2096,0))-COUNTA($F2096:$AJ2096))</f>
        <v/>
      </c>
    </row>
    <row r="2097" customFormat="false" ht="15" hidden="false" customHeight="false" outlineLevel="0" collapsed="false">
      <c r="A2097" s="32"/>
      <c r="B2097" s="29"/>
      <c r="C2097" s="10" t="str">
        <f aca="false">IF($B2097="","",IFERROR(INDEX(M_name,MATCH($B2097,M_emp,0)),"Code not found"))</f>
        <v/>
      </c>
      <c r="D2097" s="10" t="str">
        <f aca="false">IF($B2097="","",IFERROR(INDEX(M_dept,MATCH($B2097,M_emp,0)),""))</f>
        <v/>
      </c>
      <c r="E2097" s="10" t="str">
        <f aca="false">IF($B2097="","",IFERROR(INDEX(M_loc,MATCH($B2097,M_emp,0)),""))</f>
        <v/>
      </c>
      <c r="F2097" s="33"/>
      <c r="G2097" s="33"/>
      <c r="H2097" s="33"/>
      <c r="I2097" s="33"/>
      <c r="J2097" s="33"/>
      <c r="K2097" s="33"/>
      <c r="L2097" s="33"/>
      <c r="M2097" s="33"/>
      <c r="N2097" s="33"/>
      <c r="O2097" s="33"/>
      <c r="P2097" s="33"/>
      <c r="Q2097" s="33"/>
      <c r="R2097" s="33"/>
      <c r="S2097" s="33"/>
      <c r="T2097" s="33"/>
      <c r="U2097" s="33"/>
      <c r="V2097" s="33"/>
      <c r="W2097" s="33"/>
      <c r="X2097" s="33"/>
      <c r="Y2097" s="33"/>
      <c r="Z2097" s="33"/>
      <c r="AA2097" s="33"/>
      <c r="AB2097" s="33"/>
      <c r="AC2097" s="33"/>
      <c r="AD2097" s="33"/>
      <c r="AE2097" s="33"/>
      <c r="AF2097" s="33"/>
      <c r="AG2097" s="33"/>
      <c r="AH2097" s="33"/>
      <c r="AI2097" s="33"/>
      <c r="AJ2097" s="33"/>
      <c r="AK2097" s="34" t="str">
        <f aca="false">IF($B2097="","",COUNTIF($F2097:$AJ2097,"P"))</f>
        <v/>
      </c>
      <c r="AL2097" s="34" t="str">
        <f aca="false">IF($B2097="","",COUNTIF($F2097:$AJ2097,"A"))</f>
        <v/>
      </c>
      <c r="AM2097" s="34" t="str">
        <f aca="false">IF($B2097="","",COUNTIF($F2097:$AJ2097,"HA"))</f>
        <v/>
      </c>
      <c r="AN2097" s="34" t="str">
        <f aca="false">IF($B2097="","",COUNTIF($F2097:$AJ2097,"L"))</f>
        <v/>
      </c>
      <c r="AO2097" s="34" t="str">
        <f aca="false">IF($B2097="","",COUNTIF($F2097:$AJ2097,"PL"))</f>
        <v/>
      </c>
      <c r="AP2097" s="34" t="str">
        <f aca="false">IF($B2097="","",COUNTIF($F2097:$AJ2097,"CL"))</f>
        <v/>
      </c>
      <c r="AQ2097" s="34" t="str">
        <f aca="false">IF($B2097="","",COUNTIF($F2097:$AJ2097,"SL"))</f>
        <v/>
      </c>
      <c r="AR2097" s="34" t="str">
        <f aca="false">IF($B2097="","",COUNTIF($F2097:$AJ2097,"CO"))</f>
        <v/>
      </c>
      <c r="AS2097" s="34" t="str">
        <f aca="false">IF($B2097="","",COUNTIF($F2097:$AJ2097,"HPL"))</f>
        <v/>
      </c>
      <c r="AT2097" s="34" t="str">
        <f aca="false">IF($B2097="","",COUNTIF($F2097:$AJ2097,"HCL"))</f>
        <v/>
      </c>
      <c r="AU2097" s="34" t="str">
        <f aca="false">IF($B2097="","",COUNTIF($F2097:$AJ2097,"WO"))</f>
        <v/>
      </c>
      <c r="AV2097" s="34" t="str">
        <f aca="false">IF($B2097="","",COUNTIF($F2097:$AJ2097,"PH"))</f>
        <v/>
      </c>
      <c r="AW2097" s="34" t="str">
        <f aca="false">IF($B2097="","",COUNTIF($F2097:$AJ2097,"TR"))</f>
        <v/>
      </c>
      <c r="AX2097" s="35" t="str">
        <f aca="false">IF($B2097="","",AO2097+AS2097/2)</f>
        <v/>
      </c>
      <c r="AY2097" s="35" t="str">
        <f aca="false">IF($B2097="","",AQ2097)</f>
        <v/>
      </c>
      <c r="AZ2097" s="35" t="str">
        <f aca="false">IF($B2097="","",AP2097+AT2097/2)</f>
        <v/>
      </c>
      <c r="BA2097" s="35" t="str">
        <f aca="false">IF($B2097="","",AK2097+AN2097+AM2097/2+AO2097+AP2097+AQ2097+AR2097+AS2097+AT2097+AU2097+AV2097+AW2097)</f>
        <v/>
      </c>
      <c r="BB2097" s="35" t="str">
        <f aca="false">IF($B2097="","",MAX(0,AN2097-Settings!$C$16)*Settings!$C$17)</f>
        <v/>
      </c>
      <c r="BC2097" s="35" t="str">
        <f aca="false">IF($B2097="","",BA2097-BB2097)</f>
        <v/>
      </c>
      <c r="BD2097" s="35" t="str">
        <f aca="false">IF(OR($B2097="",$A2097=""),"",DAY(EOMONTH($A2097,0))-COUNTA($F2097:$AJ2097))</f>
        <v/>
      </c>
    </row>
    <row r="2098" customFormat="false" ht="15" hidden="false" customHeight="false" outlineLevel="0" collapsed="false">
      <c r="A2098" s="32"/>
      <c r="B2098" s="29"/>
      <c r="C2098" s="10" t="str">
        <f aca="false">IF($B2098="","",IFERROR(INDEX(M_name,MATCH($B2098,M_emp,0)),"Code not found"))</f>
        <v/>
      </c>
      <c r="D2098" s="10" t="str">
        <f aca="false">IF($B2098="","",IFERROR(INDEX(M_dept,MATCH($B2098,M_emp,0)),""))</f>
        <v/>
      </c>
      <c r="E2098" s="10" t="str">
        <f aca="false">IF($B2098="","",IFERROR(INDEX(M_loc,MATCH($B2098,M_emp,0)),""))</f>
        <v/>
      </c>
      <c r="F2098" s="33"/>
      <c r="G2098" s="33"/>
      <c r="H2098" s="33"/>
      <c r="I2098" s="33"/>
      <c r="J2098" s="33"/>
      <c r="K2098" s="33"/>
      <c r="L2098" s="33"/>
      <c r="M2098" s="33"/>
      <c r="N2098" s="33"/>
      <c r="O2098" s="33"/>
      <c r="P2098" s="33"/>
      <c r="Q2098" s="33"/>
      <c r="R2098" s="33"/>
      <c r="S2098" s="33"/>
      <c r="T2098" s="33"/>
      <c r="U2098" s="33"/>
      <c r="V2098" s="33"/>
      <c r="W2098" s="33"/>
      <c r="X2098" s="33"/>
      <c r="Y2098" s="33"/>
      <c r="Z2098" s="33"/>
      <c r="AA2098" s="33"/>
      <c r="AB2098" s="33"/>
      <c r="AC2098" s="33"/>
      <c r="AD2098" s="33"/>
      <c r="AE2098" s="33"/>
      <c r="AF2098" s="33"/>
      <c r="AG2098" s="33"/>
      <c r="AH2098" s="33"/>
      <c r="AI2098" s="33"/>
      <c r="AJ2098" s="33"/>
      <c r="AK2098" s="34" t="str">
        <f aca="false">IF($B2098="","",COUNTIF($F2098:$AJ2098,"P"))</f>
        <v/>
      </c>
      <c r="AL2098" s="34" t="str">
        <f aca="false">IF($B2098="","",COUNTIF($F2098:$AJ2098,"A"))</f>
        <v/>
      </c>
      <c r="AM2098" s="34" t="str">
        <f aca="false">IF($B2098="","",COUNTIF($F2098:$AJ2098,"HA"))</f>
        <v/>
      </c>
      <c r="AN2098" s="34" t="str">
        <f aca="false">IF($B2098="","",COUNTIF($F2098:$AJ2098,"L"))</f>
        <v/>
      </c>
      <c r="AO2098" s="34" t="str">
        <f aca="false">IF($B2098="","",COUNTIF($F2098:$AJ2098,"PL"))</f>
        <v/>
      </c>
      <c r="AP2098" s="34" t="str">
        <f aca="false">IF($B2098="","",COUNTIF($F2098:$AJ2098,"CL"))</f>
        <v/>
      </c>
      <c r="AQ2098" s="34" t="str">
        <f aca="false">IF($B2098="","",COUNTIF($F2098:$AJ2098,"SL"))</f>
        <v/>
      </c>
      <c r="AR2098" s="34" t="str">
        <f aca="false">IF($B2098="","",COUNTIF($F2098:$AJ2098,"CO"))</f>
        <v/>
      </c>
      <c r="AS2098" s="34" t="str">
        <f aca="false">IF($B2098="","",COUNTIF($F2098:$AJ2098,"HPL"))</f>
        <v/>
      </c>
      <c r="AT2098" s="34" t="str">
        <f aca="false">IF($B2098="","",COUNTIF($F2098:$AJ2098,"HCL"))</f>
        <v/>
      </c>
      <c r="AU2098" s="34" t="str">
        <f aca="false">IF($B2098="","",COUNTIF($F2098:$AJ2098,"WO"))</f>
        <v/>
      </c>
      <c r="AV2098" s="34" t="str">
        <f aca="false">IF($B2098="","",COUNTIF($F2098:$AJ2098,"PH"))</f>
        <v/>
      </c>
      <c r="AW2098" s="34" t="str">
        <f aca="false">IF($B2098="","",COUNTIF($F2098:$AJ2098,"TR"))</f>
        <v/>
      </c>
      <c r="AX2098" s="35" t="str">
        <f aca="false">IF($B2098="","",AO2098+AS2098/2)</f>
        <v/>
      </c>
      <c r="AY2098" s="35" t="str">
        <f aca="false">IF($B2098="","",AQ2098)</f>
        <v/>
      </c>
      <c r="AZ2098" s="35" t="str">
        <f aca="false">IF($B2098="","",AP2098+AT2098/2)</f>
        <v/>
      </c>
      <c r="BA2098" s="35" t="str">
        <f aca="false">IF($B2098="","",AK2098+AN2098+AM2098/2+AO2098+AP2098+AQ2098+AR2098+AS2098+AT2098+AU2098+AV2098+AW2098)</f>
        <v/>
      </c>
      <c r="BB2098" s="35" t="str">
        <f aca="false">IF($B2098="","",MAX(0,AN2098-Settings!$C$16)*Settings!$C$17)</f>
        <v/>
      </c>
      <c r="BC2098" s="35" t="str">
        <f aca="false">IF($B2098="","",BA2098-BB2098)</f>
        <v/>
      </c>
      <c r="BD2098" s="35" t="str">
        <f aca="false">IF(OR($B2098="",$A2098=""),"",DAY(EOMONTH($A2098,0))-COUNTA($F2098:$AJ2098))</f>
        <v/>
      </c>
    </row>
    <row r="2099" customFormat="false" ht="15" hidden="false" customHeight="false" outlineLevel="0" collapsed="false">
      <c r="A2099" s="32"/>
      <c r="B2099" s="29"/>
      <c r="C2099" s="10" t="str">
        <f aca="false">IF($B2099="","",IFERROR(INDEX(M_name,MATCH($B2099,M_emp,0)),"Code not found"))</f>
        <v/>
      </c>
      <c r="D2099" s="10" t="str">
        <f aca="false">IF($B2099="","",IFERROR(INDEX(M_dept,MATCH($B2099,M_emp,0)),""))</f>
        <v/>
      </c>
      <c r="E2099" s="10" t="str">
        <f aca="false">IF($B2099="","",IFERROR(INDEX(M_loc,MATCH($B2099,M_emp,0)),""))</f>
        <v/>
      </c>
      <c r="F2099" s="33"/>
      <c r="G2099" s="33"/>
      <c r="H2099" s="33"/>
      <c r="I2099" s="33"/>
      <c r="J2099" s="33"/>
      <c r="K2099" s="33"/>
      <c r="L2099" s="33"/>
      <c r="M2099" s="33"/>
      <c r="N2099" s="33"/>
      <c r="O2099" s="33"/>
      <c r="P2099" s="33"/>
      <c r="Q2099" s="33"/>
      <c r="R2099" s="33"/>
      <c r="S2099" s="33"/>
      <c r="T2099" s="33"/>
      <c r="U2099" s="33"/>
      <c r="V2099" s="33"/>
      <c r="W2099" s="33"/>
      <c r="X2099" s="33"/>
      <c r="Y2099" s="33"/>
      <c r="Z2099" s="33"/>
      <c r="AA2099" s="33"/>
      <c r="AB2099" s="33"/>
      <c r="AC2099" s="33"/>
      <c r="AD2099" s="33"/>
      <c r="AE2099" s="33"/>
      <c r="AF2099" s="33"/>
      <c r="AG2099" s="33"/>
      <c r="AH2099" s="33"/>
      <c r="AI2099" s="33"/>
      <c r="AJ2099" s="33"/>
      <c r="AK2099" s="34" t="str">
        <f aca="false">IF($B2099="","",COUNTIF($F2099:$AJ2099,"P"))</f>
        <v/>
      </c>
      <c r="AL2099" s="34" t="str">
        <f aca="false">IF($B2099="","",COUNTIF($F2099:$AJ2099,"A"))</f>
        <v/>
      </c>
      <c r="AM2099" s="34" t="str">
        <f aca="false">IF($B2099="","",COUNTIF($F2099:$AJ2099,"HA"))</f>
        <v/>
      </c>
      <c r="AN2099" s="34" t="str">
        <f aca="false">IF($B2099="","",COUNTIF($F2099:$AJ2099,"L"))</f>
        <v/>
      </c>
      <c r="AO2099" s="34" t="str">
        <f aca="false">IF($B2099="","",COUNTIF($F2099:$AJ2099,"PL"))</f>
        <v/>
      </c>
      <c r="AP2099" s="34" t="str">
        <f aca="false">IF($B2099="","",COUNTIF($F2099:$AJ2099,"CL"))</f>
        <v/>
      </c>
      <c r="AQ2099" s="34" t="str">
        <f aca="false">IF($B2099="","",COUNTIF($F2099:$AJ2099,"SL"))</f>
        <v/>
      </c>
      <c r="AR2099" s="34" t="str">
        <f aca="false">IF($B2099="","",COUNTIF($F2099:$AJ2099,"CO"))</f>
        <v/>
      </c>
      <c r="AS2099" s="34" t="str">
        <f aca="false">IF($B2099="","",COUNTIF($F2099:$AJ2099,"HPL"))</f>
        <v/>
      </c>
      <c r="AT2099" s="34" t="str">
        <f aca="false">IF($B2099="","",COUNTIF($F2099:$AJ2099,"HCL"))</f>
        <v/>
      </c>
      <c r="AU2099" s="34" t="str">
        <f aca="false">IF($B2099="","",COUNTIF($F2099:$AJ2099,"WO"))</f>
        <v/>
      </c>
      <c r="AV2099" s="34" t="str">
        <f aca="false">IF($B2099="","",COUNTIF($F2099:$AJ2099,"PH"))</f>
        <v/>
      </c>
      <c r="AW2099" s="34" t="str">
        <f aca="false">IF($B2099="","",COUNTIF($F2099:$AJ2099,"TR"))</f>
        <v/>
      </c>
      <c r="AX2099" s="35" t="str">
        <f aca="false">IF($B2099="","",AO2099+AS2099/2)</f>
        <v/>
      </c>
      <c r="AY2099" s="35" t="str">
        <f aca="false">IF($B2099="","",AQ2099)</f>
        <v/>
      </c>
      <c r="AZ2099" s="35" t="str">
        <f aca="false">IF($B2099="","",AP2099+AT2099/2)</f>
        <v/>
      </c>
      <c r="BA2099" s="35" t="str">
        <f aca="false">IF($B2099="","",AK2099+AN2099+AM2099/2+AO2099+AP2099+AQ2099+AR2099+AS2099+AT2099+AU2099+AV2099+AW2099)</f>
        <v/>
      </c>
      <c r="BB2099" s="35" t="str">
        <f aca="false">IF($B2099="","",MAX(0,AN2099-Settings!$C$16)*Settings!$C$17)</f>
        <v/>
      </c>
      <c r="BC2099" s="35" t="str">
        <f aca="false">IF($B2099="","",BA2099-BB2099)</f>
        <v/>
      </c>
      <c r="BD2099" s="35" t="str">
        <f aca="false">IF(OR($B2099="",$A2099=""),"",DAY(EOMONTH($A2099,0))-COUNTA($F2099:$AJ2099))</f>
        <v/>
      </c>
    </row>
    <row r="2100" customFormat="false" ht="15" hidden="false" customHeight="false" outlineLevel="0" collapsed="false">
      <c r="A2100" s="32"/>
      <c r="B2100" s="29"/>
      <c r="C2100" s="10" t="str">
        <f aca="false">IF($B2100="","",IFERROR(INDEX(M_name,MATCH($B2100,M_emp,0)),"Code not found"))</f>
        <v/>
      </c>
      <c r="D2100" s="10" t="str">
        <f aca="false">IF($B2100="","",IFERROR(INDEX(M_dept,MATCH($B2100,M_emp,0)),""))</f>
        <v/>
      </c>
      <c r="E2100" s="10" t="str">
        <f aca="false">IF($B2100="","",IFERROR(INDEX(M_loc,MATCH($B2100,M_emp,0)),""))</f>
        <v/>
      </c>
      <c r="F2100" s="33"/>
      <c r="G2100" s="33"/>
      <c r="H2100" s="33"/>
      <c r="I2100" s="33"/>
      <c r="J2100" s="33"/>
      <c r="K2100" s="33"/>
      <c r="L2100" s="33"/>
      <c r="M2100" s="33"/>
      <c r="N2100" s="33"/>
      <c r="O2100" s="33"/>
      <c r="P2100" s="33"/>
      <c r="Q2100" s="33"/>
      <c r="R2100" s="33"/>
      <c r="S2100" s="33"/>
      <c r="T2100" s="33"/>
      <c r="U2100" s="33"/>
      <c r="V2100" s="33"/>
      <c r="W2100" s="33"/>
      <c r="X2100" s="33"/>
      <c r="Y2100" s="33"/>
      <c r="Z2100" s="33"/>
      <c r="AA2100" s="33"/>
      <c r="AB2100" s="33"/>
      <c r="AC2100" s="33"/>
      <c r="AD2100" s="33"/>
      <c r="AE2100" s="33"/>
      <c r="AF2100" s="33"/>
      <c r="AG2100" s="33"/>
      <c r="AH2100" s="33"/>
      <c r="AI2100" s="33"/>
      <c r="AJ2100" s="33"/>
      <c r="AK2100" s="34" t="str">
        <f aca="false">IF($B2100="","",COUNTIF($F2100:$AJ2100,"P"))</f>
        <v/>
      </c>
      <c r="AL2100" s="34" t="str">
        <f aca="false">IF($B2100="","",COUNTIF($F2100:$AJ2100,"A"))</f>
        <v/>
      </c>
      <c r="AM2100" s="34" t="str">
        <f aca="false">IF($B2100="","",COUNTIF($F2100:$AJ2100,"HA"))</f>
        <v/>
      </c>
      <c r="AN2100" s="34" t="str">
        <f aca="false">IF($B2100="","",COUNTIF($F2100:$AJ2100,"L"))</f>
        <v/>
      </c>
      <c r="AO2100" s="34" t="str">
        <f aca="false">IF($B2100="","",COUNTIF($F2100:$AJ2100,"PL"))</f>
        <v/>
      </c>
      <c r="AP2100" s="34" t="str">
        <f aca="false">IF($B2100="","",COUNTIF($F2100:$AJ2100,"CL"))</f>
        <v/>
      </c>
      <c r="AQ2100" s="34" t="str">
        <f aca="false">IF($B2100="","",COUNTIF($F2100:$AJ2100,"SL"))</f>
        <v/>
      </c>
      <c r="AR2100" s="34" t="str">
        <f aca="false">IF($B2100="","",COUNTIF($F2100:$AJ2100,"CO"))</f>
        <v/>
      </c>
      <c r="AS2100" s="34" t="str">
        <f aca="false">IF($B2100="","",COUNTIF($F2100:$AJ2100,"HPL"))</f>
        <v/>
      </c>
      <c r="AT2100" s="34" t="str">
        <f aca="false">IF($B2100="","",COUNTIF($F2100:$AJ2100,"HCL"))</f>
        <v/>
      </c>
      <c r="AU2100" s="34" t="str">
        <f aca="false">IF($B2100="","",COUNTIF($F2100:$AJ2100,"WO"))</f>
        <v/>
      </c>
      <c r="AV2100" s="34" t="str">
        <f aca="false">IF($B2100="","",COUNTIF($F2100:$AJ2100,"PH"))</f>
        <v/>
      </c>
      <c r="AW2100" s="34" t="str">
        <f aca="false">IF($B2100="","",COUNTIF($F2100:$AJ2100,"TR"))</f>
        <v/>
      </c>
      <c r="AX2100" s="35" t="str">
        <f aca="false">IF($B2100="","",AO2100+AS2100/2)</f>
        <v/>
      </c>
      <c r="AY2100" s="35" t="str">
        <f aca="false">IF($B2100="","",AQ2100)</f>
        <v/>
      </c>
      <c r="AZ2100" s="35" t="str">
        <f aca="false">IF($B2100="","",AP2100+AT2100/2)</f>
        <v/>
      </c>
      <c r="BA2100" s="35" t="str">
        <f aca="false">IF($B2100="","",AK2100+AN2100+AM2100/2+AO2100+AP2100+AQ2100+AR2100+AS2100+AT2100+AU2100+AV2100+AW2100)</f>
        <v/>
      </c>
      <c r="BB2100" s="35" t="str">
        <f aca="false">IF($B2100="","",MAX(0,AN2100-Settings!$C$16)*Settings!$C$17)</f>
        <v/>
      </c>
      <c r="BC2100" s="35" t="str">
        <f aca="false">IF($B2100="","",BA2100-BB2100)</f>
        <v/>
      </c>
      <c r="BD2100" s="35" t="str">
        <f aca="false">IF(OR($B2100="",$A2100=""),"",DAY(EOMONTH($A2100,0))-COUNTA($F2100:$AJ2100))</f>
        <v/>
      </c>
    </row>
    <row r="2101" customFormat="false" ht="15" hidden="false" customHeight="false" outlineLevel="0" collapsed="false">
      <c r="A2101" s="32"/>
      <c r="B2101" s="29"/>
      <c r="C2101" s="10" t="str">
        <f aca="false">IF($B2101="","",IFERROR(INDEX(M_name,MATCH($B2101,M_emp,0)),"Code not found"))</f>
        <v/>
      </c>
      <c r="D2101" s="10" t="str">
        <f aca="false">IF($B2101="","",IFERROR(INDEX(M_dept,MATCH($B2101,M_emp,0)),""))</f>
        <v/>
      </c>
      <c r="E2101" s="10" t="str">
        <f aca="false">IF($B2101="","",IFERROR(INDEX(M_loc,MATCH($B2101,M_emp,0)),""))</f>
        <v/>
      </c>
      <c r="F2101" s="33"/>
      <c r="G2101" s="33"/>
      <c r="H2101" s="33"/>
      <c r="I2101" s="33"/>
      <c r="J2101" s="33"/>
      <c r="K2101" s="33"/>
      <c r="L2101" s="33"/>
      <c r="M2101" s="33"/>
      <c r="N2101" s="33"/>
      <c r="O2101" s="33"/>
      <c r="P2101" s="33"/>
      <c r="Q2101" s="33"/>
      <c r="R2101" s="33"/>
      <c r="S2101" s="33"/>
      <c r="T2101" s="33"/>
      <c r="U2101" s="33"/>
      <c r="V2101" s="33"/>
      <c r="W2101" s="33"/>
      <c r="X2101" s="33"/>
      <c r="Y2101" s="33"/>
      <c r="Z2101" s="33"/>
      <c r="AA2101" s="33"/>
      <c r="AB2101" s="33"/>
      <c r="AC2101" s="33"/>
      <c r="AD2101" s="33"/>
      <c r="AE2101" s="33"/>
      <c r="AF2101" s="33"/>
      <c r="AG2101" s="33"/>
      <c r="AH2101" s="33"/>
      <c r="AI2101" s="33"/>
      <c r="AJ2101" s="33"/>
      <c r="AK2101" s="34" t="str">
        <f aca="false">IF($B2101="","",COUNTIF($F2101:$AJ2101,"P"))</f>
        <v/>
      </c>
      <c r="AL2101" s="34" t="str">
        <f aca="false">IF($B2101="","",COUNTIF($F2101:$AJ2101,"A"))</f>
        <v/>
      </c>
      <c r="AM2101" s="34" t="str">
        <f aca="false">IF($B2101="","",COUNTIF($F2101:$AJ2101,"HA"))</f>
        <v/>
      </c>
      <c r="AN2101" s="34" t="str">
        <f aca="false">IF($B2101="","",COUNTIF($F2101:$AJ2101,"L"))</f>
        <v/>
      </c>
      <c r="AO2101" s="34" t="str">
        <f aca="false">IF($B2101="","",COUNTIF($F2101:$AJ2101,"PL"))</f>
        <v/>
      </c>
      <c r="AP2101" s="34" t="str">
        <f aca="false">IF($B2101="","",COUNTIF($F2101:$AJ2101,"CL"))</f>
        <v/>
      </c>
      <c r="AQ2101" s="34" t="str">
        <f aca="false">IF($B2101="","",COUNTIF($F2101:$AJ2101,"SL"))</f>
        <v/>
      </c>
      <c r="AR2101" s="34" t="str">
        <f aca="false">IF($B2101="","",COUNTIF($F2101:$AJ2101,"CO"))</f>
        <v/>
      </c>
      <c r="AS2101" s="34" t="str">
        <f aca="false">IF($B2101="","",COUNTIF($F2101:$AJ2101,"HPL"))</f>
        <v/>
      </c>
      <c r="AT2101" s="34" t="str">
        <f aca="false">IF($B2101="","",COUNTIF($F2101:$AJ2101,"HCL"))</f>
        <v/>
      </c>
      <c r="AU2101" s="34" t="str">
        <f aca="false">IF($B2101="","",COUNTIF($F2101:$AJ2101,"WO"))</f>
        <v/>
      </c>
      <c r="AV2101" s="34" t="str">
        <f aca="false">IF($B2101="","",COUNTIF($F2101:$AJ2101,"PH"))</f>
        <v/>
      </c>
      <c r="AW2101" s="34" t="str">
        <f aca="false">IF($B2101="","",COUNTIF($F2101:$AJ2101,"TR"))</f>
        <v/>
      </c>
      <c r="AX2101" s="35" t="str">
        <f aca="false">IF($B2101="","",AO2101+AS2101/2)</f>
        <v/>
      </c>
      <c r="AY2101" s="35" t="str">
        <f aca="false">IF($B2101="","",AQ2101)</f>
        <v/>
      </c>
      <c r="AZ2101" s="35" t="str">
        <f aca="false">IF($B2101="","",AP2101+AT2101/2)</f>
        <v/>
      </c>
      <c r="BA2101" s="35" t="str">
        <f aca="false">IF($B2101="","",AK2101+AN2101+AM2101/2+AO2101+AP2101+AQ2101+AR2101+AS2101+AT2101+AU2101+AV2101+AW2101)</f>
        <v/>
      </c>
      <c r="BB2101" s="35" t="str">
        <f aca="false">IF($B2101="","",MAX(0,AN2101-Settings!$C$16)*Settings!$C$17)</f>
        <v/>
      </c>
      <c r="BC2101" s="35" t="str">
        <f aca="false">IF($B2101="","",BA2101-BB2101)</f>
        <v/>
      </c>
      <c r="BD2101" s="35" t="str">
        <f aca="false">IF(OR($B2101="",$A2101=""),"",DAY(EOMONTH($A2101,0))-COUNTA($F2101:$AJ2101))</f>
        <v/>
      </c>
    </row>
    <row r="2102" customFormat="false" ht="15" hidden="false" customHeight="false" outlineLevel="0" collapsed="false">
      <c r="A2102" s="32"/>
      <c r="B2102" s="29"/>
      <c r="C2102" s="10" t="str">
        <f aca="false">IF($B2102="","",IFERROR(INDEX(M_name,MATCH($B2102,M_emp,0)),"Code not found"))</f>
        <v/>
      </c>
      <c r="D2102" s="10" t="str">
        <f aca="false">IF($B2102="","",IFERROR(INDEX(M_dept,MATCH($B2102,M_emp,0)),""))</f>
        <v/>
      </c>
      <c r="E2102" s="10" t="str">
        <f aca="false">IF($B2102="","",IFERROR(INDEX(M_loc,MATCH($B2102,M_emp,0)),""))</f>
        <v/>
      </c>
      <c r="F2102" s="33"/>
      <c r="G2102" s="33"/>
      <c r="H2102" s="33"/>
      <c r="I2102" s="33"/>
      <c r="J2102" s="33"/>
      <c r="K2102" s="33"/>
      <c r="L2102" s="33"/>
      <c r="M2102" s="33"/>
      <c r="N2102" s="33"/>
      <c r="O2102" s="33"/>
      <c r="P2102" s="33"/>
      <c r="Q2102" s="33"/>
      <c r="R2102" s="33"/>
      <c r="S2102" s="33"/>
      <c r="T2102" s="33"/>
      <c r="U2102" s="33"/>
      <c r="V2102" s="33"/>
      <c r="W2102" s="33"/>
      <c r="X2102" s="33"/>
      <c r="Y2102" s="33"/>
      <c r="Z2102" s="33"/>
      <c r="AA2102" s="33"/>
      <c r="AB2102" s="33"/>
      <c r="AC2102" s="33"/>
      <c r="AD2102" s="33"/>
      <c r="AE2102" s="33"/>
      <c r="AF2102" s="33"/>
      <c r="AG2102" s="33"/>
      <c r="AH2102" s="33"/>
      <c r="AI2102" s="33"/>
      <c r="AJ2102" s="33"/>
      <c r="AK2102" s="34" t="str">
        <f aca="false">IF($B2102="","",COUNTIF($F2102:$AJ2102,"P"))</f>
        <v/>
      </c>
      <c r="AL2102" s="34" t="str">
        <f aca="false">IF($B2102="","",COUNTIF($F2102:$AJ2102,"A"))</f>
        <v/>
      </c>
      <c r="AM2102" s="34" t="str">
        <f aca="false">IF($B2102="","",COUNTIF($F2102:$AJ2102,"HA"))</f>
        <v/>
      </c>
      <c r="AN2102" s="34" t="str">
        <f aca="false">IF($B2102="","",COUNTIF($F2102:$AJ2102,"L"))</f>
        <v/>
      </c>
      <c r="AO2102" s="34" t="str">
        <f aca="false">IF($B2102="","",COUNTIF($F2102:$AJ2102,"PL"))</f>
        <v/>
      </c>
      <c r="AP2102" s="34" t="str">
        <f aca="false">IF($B2102="","",COUNTIF($F2102:$AJ2102,"CL"))</f>
        <v/>
      </c>
      <c r="AQ2102" s="34" t="str">
        <f aca="false">IF($B2102="","",COUNTIF($F2102:$AJ2102,"SL"))</f>
        <v/>
      </c>
      <c r="AR2102" s="34" t="str">
        <f aca="false">IF($B2102="","",COUNTIF($F2102:$AJ2102,"CO"))</f>
        <v/>
      </c>
      <c r="AS2102" s="34" t="str">
        <f aca="false">IF($B2102="","",COUNTIF($F2102:$AJ2102,"HPL"))</f>
        <v/>
      </c>
      <c r="AT2102" s="34" t="str">
        <f aca="false">IF($B2102="","",COUNTIF($F2102:$AJ2102,"HCL"))</f>
        <v/>
      </c>
      <c r="AU2102" s="34" t="str">
        <f aca="false">IF($B2102="","",COUNTIF($F2102:$AJ2102,"WO"))</f>
        <v/>
      </c>
      <c r="AV2102" s="34" t="str">
        <f aca="false">IF($B2102="","",COUNTIF($F2102:$AJ2102,"PH"))</f>
        <v/>
      </c>
      <c r="AW2102" s="34" t="str">
        <f aca="false">IF($B2102="","",COUNTIF($F2102:$AJ2102,"TR"))</f>
        <v/>
      </c>
      <c r="AX2102" s="35" t="str">
        <f aca="false">IF($B2102="","",AO2102+AS2102/2)</f>
        <v/>
      </c>
      <c r="AY2102" s="35" t="str">
        <f aca="false">IF($B2102="","",AQ2102)</f>
        <v/>
      </c>
      <c r="AZ2102" s="35" t="str">
        <f aca="false">IF($B2102="","",AP2102+AT2102/2)</f>
        <v/>
      </c>
      <c r="BA2102" s="35" t="str">
        <f aca="false">IF($B2102="","",AK2102+AN2102+AM2102/2+AO2102+AP2102+AQ2102+AR2102+AS2102+AT2102+AU2102+AV2102+AW2102)</f>
        <v/>
      </c>
      <c r="BB2102" s="35" t="str">
        <f aca="false">IF($B2102="","",MAX(0,AN2102-Settings!$C$16)*Settings!$C$17)</f>
        <v/>
      </c>
      <c r="BC2102" s="35" t="str">
        <f aca="false">IF($B2102="","",BA2102-BB2102)</f>
        <v/>
      </c>
      <c r="BD2102" s="35" t="str">
        <f aca="false">IF(OR($B2102="",$A2102=""),"",DAY(EOMONTH($A2102,0))-COUNTA($F2102:$AJ2102))</f>
        <v/>
      </c>
    </row>
    <row r="2103" customFormat="false" ht="15" hidden="false" customHeight="false" outlineLevel="0" collapsed="false">
      <c r="A2103" s="32"/>
      <c r="B2103" s="29"/>
      <c r="C2103" s="10" t="str">
        <f aca="false">IF($B2103="","",IFERROR(INDEX(M_name,MATCH($B2103,M_emp,0)),"Code not found"))</f>
        <v/>
      </c>
      <c r="D2103" s="10" t="str">
        <f aca="false">IF($B2103="","",IFERROR(INDEX(M_dept,MATCH($B2103,M_emp,0)),""))</f>
        <v/>
      </c>
      <c r="E2103" s="10" t="str">
        <f aca="false">IF($B2103="","",IFERROR(INDEX(M_loc,MATCH($B2103,M_emp,0)),""))</f>
        <v/>
      </c>
      <c r="F2103" s="33"/>
      <c r="G2103" s="33"/>
      <c r="H2103" s="33"/>
      <c r="I2103" s="33"/>
      <c r="J2103" s="33"/>
      <c r="K2103" s="33"/>
      <c r="L2103" s="33"/>
      <c r="M2103" s="33"/>
      <c r="N2103" s="33"/>
      <c r="O2103" s="33"/>
      <c r="P2103" s="33"/>
      <c r="Q2103" s="33"/>
      <c r="R2103" s="33"/>
      <c r="S2103" s="33"/>
      <c r="T2103" s="33"/>
      <c r="U2103" s="33"/>
      <c r="V2103" s="33"/>
      <c r="W2103" s="33"/>
      <c r="X2103" s="33"/>
      <c r="Y2103" s="33"/>
      <c r="Z2103" s="33"/>
      <c r="AA2103" s="33"/>
      <c r="AB2103" s="33"/>
      <c r="AC2103" s="33"/>
      <c r="AD2103" s="33"/>
      <c r="AE2103" s="33"/>
      <c r="AF2103" s="33"/>
      <c r="AG2103" s="33"/>
      <c r="AH2103" s="33"/>
      <c r="AI2103" s="33"/>
      <c r="AJ2103" s="33"/>
      <c r="AK2103" s="34" t="str">
        <f aca="false">IF($B2103="","",COUNTIF($F2103:$AJ2103,"P"))</f>
        <v/>
      </c>
      <c r="AL2103" s="34" t="str">
        <f aca="false">IF($B2103="","",COUNTIF($F2103:$AJ2103,"A"))</f>
        <v/>
      </c>
      <c r="AM2103" s="34" t="str">
        <f aca="false">IF($B2103="","",COUNTIF($F2103:$AJ2103,"HA"))</f>
        <v/>
      </c>
      <c r="AN2103" s="34" t="str">
        <f aca="false">IF($B2103="","",COUNTIF($F2103:$AJ2103,"L"))</f>
        <v/>
      </c>
      <c r="AO2103" s="34" t="str">
        <f aca="false">IF($B2103="","",COUNTIF($F2103:$AJ2103,"PL"))</f>
        <v/>
      </c>
      <c r="AP2103" s="34" t="str">
        <f aca="false">IF($B2103="","",COUNTIF($F2103:$AJ2103,"CL"))</f>
        <v/>
      </c>
      <c r="AQ2103" s="34" t="str">
        <f aca="false">IF($B2103="","",COUNTIF($F2103:$AJ2103,"SL"))</f>
        <v/>
      </c>
      <c r="AR2103" s="34" t="str">
        <f aca="false">IF($B2103="","",COUNTIF($F2103:$AJ2103,"CO"))</f>
        <v/>
      </c>
      <c r="AS2103" s="34" t="str">
        <f aca="false">IF($B2103="","",COUNTIF($F2103:$AJ2103,"HPL"))</f>
        <v/>
      </c>
      <c r="AT2103" s="34" t="str">
        <f aca="false">IF($B2103="","",COUNTIF($F2103:$AJ2103,"HCL"))</f>
        <v/>
      </c>
      <c r="AU2103" s="34" t="str">
        <f aca="false">IF($B2103="","",COUNTIF($F2103:$AJ2103,"WO"))</f>
        <v/>
      </c>
      <c r="AV2103" s="34" t="str">
        <f aca="false">IF($B2103="","",COUNTIF($F2103:$AJ2103,"PH"))</f>
        <v/>
      </c>
      <c r="AW2103" s="34" t="str">
        <f aca="false">IF($B2103="","",COUNTIF($F2103:$AJ2103,"TR"))</f>
        <v/>
      </c>
      <c r="AX2103" s="35" t="str">
        <f aca="false">IF($B2103="","",AO2103+AS2103/2)</f>
        <v/>
      </c>
      <c r="AY2103" s="35" t="str">
        <f aca="false">IF($B2103="","",AQ2103)</f>
        <v/>
      </c>
      <c r="AZ2103" s="35" t="str">
        <f aca="false">IF($B2103="","",AP2103+AT2103/2)</f>
        <v/>
      </c>
      <c r="BA2103" s="35" t="str">
        <f aca="false">IF($B2103="","",AK2103+AN2103+AM2103/2+AO2103+AP2103+AQ2103+AR2103+AS2103+AT2103+AU2103+AV2103+AW2103)</f>
        <v/>
      </c>
      <c r="BB2103" s="35" t="str">
        <f aca="false">IF($B2103="","",MAX(0,AN2103-Settings!$C$16)*Settings!$C$17)</f>
        <v/>
      </c>
      <c r="BC2103" s="35" t="str">
        <f aca="false">IF($B2103="","",BA2103-BB2103)</f>
        <v/>
      </c>
      <c r="BD2103" s="35" t="str">
        <f aca="false">IF(OR($B2103="",$A2103=""),"",DAY(EOMONTH($A2103,0))-COUNTA($F2103:$AJ2103))</f>
        <v/>
      </c>
    </row>
    <row r="2104" customFormat="false" ht="15" hidden="false" customHeight="false" outlineLevel="0" collapsed="false">
      <c r="A2104" s="32"/>
      <c r="B2104" s="29"/>
      <c r="C2104" s="10" t="str">
        <f aca="false">IF($B2104="","",IFERROR(INDEX(M_name,MATCH($B2104,M_emp,0)),"Code not found"))</f>
        <v/>
      </c>
      <c r="D2104" s="10" t="str">
        <f aca="false">IF($B2104="","",IFERROR(INDEX(M_dept,MATCH($B2104,M_emp,0)),""))</f>
        <v/>
      </c>
      <c r="E2104" s="10" t="str">
        <f aca="false">IF($B2104="","",IFERROR(INDEX(M_loc,MATCH($B2104,M_emp,0)),""))</f>
        <v/>
      </c>
      <c r="F2104" s="33"/>
      <c r="G2104" s="33"/>
      <c r="H2104" s="33"/>
      <c r="I2104" s="33"/>
      <c r="J2104" s="33"/>
      <c r="K2104" s="33"/>
      <c r="L2104" s="33"/>
      <c r="M2104" s="33"/>
      <c r="N2104" s="33"/>
      <c r="O2104" s="33"/>
      <c r="P2104" s="33"/>
      <c r="Q2104" s="33"/>
      <c r="R2104" s="33"/>
      <c r="S2104" s="33"/>
      <c r="T2104" s="33"/>
      <c r="U2104" s="33"/>
      <c r="V2104" s="33"/>
      <c r="W2104" s="33"/>
      <c r="X2104" s="33"/>
      <c r="Y2104" s="33"/>
      <c r="Z2104" s="33"/>
      <c r="AA2104" s="33"/>
      <c r="AB2104" s="33"/>
      <c r="AC2104" s="33"/>
      <c r="AD2104" s="33"/>
      <c r="AE2104" s="33"/>
      <c r="AF2104" s="33"/>
      <c r="AG2104" s="33"/>
      <c r="AH2104" s="33"/>
      <c r="AI2104" s="33"/>
      <c r="AJ2104" s="33"/>
      <c r="AK2104" s="34" t="str">
        <f aca="false">IF($B2104="","",COUNTIF($F2104:$AJ2104,"P"))</f>
        <v/>
      </c>
      <c r="AL2104" s="34" t="str">
        <f aca="false">IF($B2104="","",COUNTIF($F2104:$AJ2104,"A"))</f>
        <v/>
      </c>
      <c r="AM2104" s="34" t="str">
        <f aca="false">IF($B2104="","",COUNTIF($F2104:$AJ2104,"HA"))</f>
        <v/>
      </c>
      <c r="AN2104" s="34" t="str">
        <f aca="false">IF($B2104="","",COUNTIF($F2104:$AJ2104,"L"))</f>
        <v/>
      </c>
      <c r="AO2104" s="34" t="str">
        <f aca="false">IF($B2104="","",COUNTIF($F2104:$AJ2104,"PL"))</f>
        <v/>
      </c>
      <c r="AP2104" s="34" t="str">
        <f aca="false">IF($B2104="","",COUNTIF($F2104:$AJ2104,"CL"))</f>
        <v/>
      </c>
      <c r="AQ2104" s="34" t="str">
        <f aca="false">IF($B2104="","",COUNTIF($F2104:$AJ2104,"SL"))</f>
        <v/>
      </c>
      <c r="AR2104" s="34" t="str">
        <f aca="false">IF($B2104="","",COUNTIF($F2104:$AJ2104,"CO"))</f>
        <v/>
      </c>
      <c r="AS2104" s="34" t="str">
        <f aca="false">IF($B2104="","",COUNTIF($F2104:$AJ2104,"HPL"))</f>
        <v/>
      </c>
      <c r="AT2104" s="34" t="str">
        <f aca="false">IF($B2104="","",COUNTIF($F2104:$AJ2104,"HCL"))</f>
        <v/>
      </c>
      <c r="AU2104" s="34" t="str">
        <f aca="false">IF($B2104="","",COUNTIF($F2104:$AJ2104,"WO"))</f>
        <v/>
      </c>
      <c r="AV2104" s="34" t="str">
        <f aca="false">IF($B2104="","",COUNTIF($F2104:$AJ2104,"PH"))</f>
        <v/>
      </c>
      <c r="AW2104" s="34" t="str">
        <f aca="false">IF($B2104="","",COUNTIF($F2104:$AJ2104,"TR"))</f>
        <v/>
      </c>
      <c r="AX2104" s="35" t="str">
        <f aca="false">IF($B2104="","",AO2104+AS2104/2)</f>
        <v/>
      </c>
      <c r="AY2104" s="35" t="str">
        <f aca="false">IF($B2104="","",AQ2104)</f>
        <v/>
      </c>
      <c r="AZ2104" s="35" t="str">
        <f aca="false">IF($B2104="","",AP2104+AT2104/2)</f>
        <v/>
      </c>
      <c r="BA2104" s="35" t="str">
        <f aca="false">IF($B2104="","",AK2104+AN2104+AM2104/2+AO2104+AP2104+AQ2104+AR2104+AS2104+AT2104+AU2104+AV2104+AW2104)</f>
        <v/>
      </c>
      <c r="BB2104" s="35" t="str">
        <f aca="false">IF($B2104="","",MAX(0,AN2104-Settings!$C$16)*Settings!$C$17)</f>
        <v/>
      </c>
      <c r="BC2104" s="35" t="str">
        <f aca="false">IF($B2104="","",BA2104-BB2104)</f>
        <v/>
      </c>
      <c r="BD2104" s="35" t="str">
        <f aca="false">IF(OR($B2104="",$A2104=""),"",DAY(EOMONTH($A2104,0))-COUNTA($F2104:$AJ2104))</f>
        <v/>
      </c>
    </row>
    <row r="2105" customFormat="false" ht="15" hidden="false" customHeight="false" outlineLevel="0" collapsed="false">
      <c r="A2105" s="32"/>
      <c r="B2105" s="29"/>
      <c r="C2105" s="10" t="str">
        <f aca="false">IF($B2105="","",IFERROR(INDEX(M_name,MATCH($B2105,M_emp,0)),"Code not found"))</f>
        <v/>
      </c>
      <c r="D2105" s="10" t="str">
        <f aca="false">IF($B2105="","",IFERROR(INDEX(M_dept,MATCH($B2105,M_emp,0)),""))</f>
        <v/>
      </c>
      <c r="E2105" s="10" t="str">
        <f aca="false">IF($B2105="","",IFERROR(INDEX(M_loc,MATCH($B2105,M_emp,0)),""))</f>
        <v/>
      </c>
      <c r="F2105" s="33"/>
      <c r="G2105" s="33"/>
      <c r="H2105" s="33"/>
      <c r="I2105" s="33"/>
      <c r="J2105" s="33"/>
      <c r="K2105" s="33"/>
      <c r="L2105" s="33"/>
      <c r="M2105" s="33"/>
      <c r="N2105" s="33"/>
      <c r="O2105" s="33"/>
      <c r="P2105" s="33"/>
      <c r="Q2105" s="33"/>
      <c r="R2105" s="33"/>
      <c r="S2105" s="33"/>
      <c r="T2105" s="33"/>
      <c r="U2105" s="33"/>
      <c r="V2105" s="33"/>
      <c r="W2105" s="33"/>
      <c r="X2105" s="33"/>
      <c r="Y2105" s="33"/>
      <c r="Z2105" s="33"/>
      <c r="AA2105" s="33"/>
      <c r="AB2105" s="33"/>
      <c r="AC2105" s="33"/>
      <c r="AD2105" s="33"/>
      <c r="AE2105" s="33"/>
      <c r="AF2105" s="33"/>
      <c r="AG2105" s="33"/>
      <c r="AH2105" s="33"/>
      <c r="AI2105" s="33"/>
      <c r="AJ2105" s="33"/>
      <c r="AK2105" s="34" t="str">
        <f aca="false">IF($B2105="","",COUNTIF($F2105:$AJ2105,"P"))</f>
        <v/>
      </c>
      <c r="AL2105" s="34" t="str">
        <f aca="false">IF($B2105="","",COUNTIF($F2105:$AJ2105,"A"))</f>
        <v/>
      </c>
      <c r="AM2105" s="34" t="str">
        <f aca="false">IF($B2105="","",COUNTIF($F2105:$AJ2105,"HA"))</f>
        <v/>
      </c>
      <c r="AN2105" s="34" t="str">
        <f aca="false">IF($B2105="","",COUNTIF($F2105:$AJ2105,"L"))</f>
        <v/>
      </c>
      <c r="AO2105" s="34" t="str">
        <f aca="false">IF($B2105="","",COUNTIF($F2105:$AJ2105,"PL"))</f>
        <v/>
      </c>
      <c r="AP2105" s="34" t="str">
        <f aca="false">IF($B2105="","",COUNTIF($F2105:$AJ2105,"CL"))</f>
        <v/>
      </c>
      <c r="AQ2105" s="34" t="str">
        <f aca="false">IF($B2105="","",COUNTIF($F2105:$AJ2105,"SL"))</f>
        <v/>
      </c>
      <c r="AR2105" s="34" t="str">
        <f aca="false">IF($B2105="","",COUNTIF($F2105:$AJ2105,"CO"))</f>
        <v/>
      </c>
      <c r="AS2105" s="34" t="str">
        <f aca="false">IF($B2105="","",COUNTIF($F2105:$AJ2105,"HPL"))</f>
        <v/>
      </c>
      <c r="AT2105" s="34" t="str">
        <f aca="false">IF($B2105="","",COUNTIF($F2105:$AJ2105,"HCL"))</f>
        <v/>
      </c>
      <c r="AU2105" s="34" t="str">
        <f aca="false">IF($B2105="","",COUNTIF($F2105:$AJ2105,"WO"))</f>
        <v/>
      </c>
      <c r="AV2105" s="34" t="str">
        <f aca="false">IF($B2105="","",COUNTIF($F2105:$AJ2105,"PH"))</f>
        <v/>
      </c>
      <c r="AW2105" s="34" t="str">
        <f aca="false">IF($B2105="","",COUNTIF($F2105:$AJ2105,"TR"))</f>
        <v/>
      </c>
      <c r="AX2105" s="35" t="str">
        <f aca="false">IF($B2105="","",AO2105+AS2105/2)</f>
        <v/>
      </c>
      <c r="AY2105" s="35" t="str">
        <f aca="false">IF($B2105="","",AQ2105)</f>
        <v/>
      </c>
      <c r="AZ2105" s="35" t="str">
        <f aca="false">IF($B2105="","",AP2105+AT2105/2)</f>
        <v/>
      </c>
      <c r="BA2105" s="35" t="str">
        <f aca="false">IF($B2105="","",AK2105+AN2105+AM2105/2+AO2105+AP2105+AQ2105+AR2105+AS2105+AT2105+AU2105+AV2105+AW2105)</f>
        <v/>
      </c>
      <c r="BB2105" s="35" t="str">
        <f aca="false">IF($B2105="","",MAX(0,AN2105-Settings!$C$16)*Settings!$C$17)</f>
        <v/>
      </c>
      <c r="BC2105" s="35" t="str">
        <f aca="false">IF($B2105="","",BA2105-BB2105)</f>
        <v/>
      </c>
      <c r="BD2105" s="35" t="str">
        <f aca="false">IF(OR($B2105="",$A2105=""),"",DAY(EOMONTH($A2105,0))-COUNTA($F2105:$AJ2105))</f>
        <v/>
      </c>
    </row>
    <row r="2106" customFormat="false" ht="15" hidden="false" customHeight="false" outlineLevel="0" collapsed="false">
      <c r="A2106" s="32"/>
      <c r="B2106" s="29"/>
      <c r="C2106" s="10" t="str">
        <f aca="false">IF($B2106="","",IFERROR(INDEX(M_name,MATCH($B2106,M_emp,0)),"Code not found"))</f>
        <v/>
      </c>
      <c r="D2106" s="10" t="str">
        <f aca="false">IF($B2106="","",IFERROR(INDEX(M_dept,MATCH($B2106,M_emp,0)),""))</f>
        <v/>
      </c>
      <c r="E2106" s="10" t="str">
        <f aca="false">IF($B2106="","",IFERROR(INDEX(M_loc,MATCH($B2106,M_emp,0)),""))</f>
        <v/>
      </c>
      <c r="F2106" s="33"/>
      <c r="G2106" s="33"/>
      <c r="H2106" s="33"/>
      <c r="I2106" s="33"/>
      <c r="J2106" s="33"/>
      <c r="K2106" s="33"/>
      <c r="L2106" s="33"/>
      <c r="M2106" s="33"/>
      <c r="N2106" s="33"/>
      <c r="O2106" s="33"/>
      <c r="P2106" s="33"/>
      <c r="Q2106" s="33"/>
      <c r="R2106" s="33"/>
      <c r="S2106" s="33"/>
      <c r="T2106" s="33"/>
      <c r="U2106" s="33"/>
      <c r="V2106" s="33"/>
      <c r="W2106" s="33"/>
      <c r="X2106" s="33"/>
      <c r="Y2106" s="33"/>
      <c r="Z2106" s="33"/>
      <c r="AA2106" s="33"/>
      <c r="AB2106" s="33"/>
      <c r="AC2106" s="33"/>
      <c r="AD2106" s="33"/>
      <c r="AE2106" s="33"/>
      <c r="AF2106" s="33"/>
      <c r="AG2106" s="33"/>
      <c r="AH2106" s="33"/>
      <c r="AI2106" s="33"/>
      <c r="AJ2106" s="33"/>
      <c r="AK2106" s="34" t="str">
        <f aca="false">IF($B2106="","",COUNTIF($F2106:$AJ2106,"P"))</f>
        <v/>
      </c>
      <c r="AL2106" s="34" t="str">
        <f aca="false">IF($B2106="","",COUNTIF($F2106:$AJ2106,"A"))</f>
        <v/>
      </c>
      <c r="AM2106" s="34" t="str">
        <f aca="false">IF($B2106="","",COUNTIF($F2106:$AJ2106,"HA"))</f>
        <v/>
      </c>
      <c r="AN2106" s="34" t="str">
        <f aca="false">IF($B2106="","",COUNTIF($F2106:$AJ2106,"L"))</f>
        <v/>
      </c>
      <c r="AO2106" s="34" t="str">
        <f aca="false">IF($B2106="","",COUNTIF($F2106:$AJ2106,"PL"))</f>
        <v/>
      </c>
      <c r="AP2106" s="34" t="str">
        <f aca="false">IF($B2106="","",COUNTIF($F2106:$AJ2106,"CL"))</f>
        <v/>
      </c>
      <c r="AQ2106" s="34" t="str">
        <f aca="false">IF($B2106="","",COUNTIF($F2106:$AJ2106,"SL"))</f>
        <v/>
      </c>
      <c r="AR2106" s="34" t="str">
        <f aca="false">IF($B2106="","",COUNTIF($F2106:$AJ2106,"CO"))</f>
        <v/>
      </c>
      <c r="AS2106" s="34" t="str">
        <f aca="false">IF($B2106="","",COUNTIF($F2106:$AJ2106,"HPL"))</f>
        <v/>
      </c>
      <c r="AT2106" s="34" t="str">
        <f aca="false">IF($B2106="","",COUNTIF($F2106:$AJ2106,"HCL"))</f>
        <v/>
      </c>
      <c r="AU2106" s="34" t="str">
        <f aca="false">IF($B2106="","",COUNTIF($F2106:$AJ2106,"WO"))</f>
        <v/>
      </c>
      <c r="AV2106" s="34" t="str">
        <f aca="false">IF($B2106="","",COUNTIF($F2106:$AJ2106,"PH"))</f>
        <v/>
      </c>
      <c r="AW2106" s="34" t="str">
        <f aca="false">IF($B2106="","",COUNTIF($F2106:$AJ2106,"TR"))</f>
        <v/>
      </c>
      <c r="AX2106" s="35" t="str">
        <f aca="false">IF($B2106="","",AO2106+AS2106/2)</f>
        <v/>
      </c>
      <c r="AY2106" s="35" t="str">
        <f aca="false">IF($B2106="","",AQ2106)</f>
        <v/>
      </c>
      <c r="AZ2106" s="35" t="str">
        <f aca="false">IF($B2106="","",AP2106+AT2106/2)</f>
        <v/>
      </c>
      <c r="BA2106" s="35" t="str">
        <f aca="false">IF($B2106="","",AK2106+AN2106+AM2106/2+AO2106+AP2106+AQ2106+AR2106+AS2106+AT2106+AU2106+AV2106+AW2106)</f>
        <v/>
      </c>
      <c r="BB2106" s="35" t="str">
        <f aca="false">IF($B2106="","",MAX(0,AN2106-Settings!$C$16)*Settings!$C$17)</f>
        <v/>
      </c>
      <c r="BC2106" s="35" t="str">
        <f aca="false">IF($B2106="","",BA2106-BB2106)</f>
        <v/>
      </c>
      <c r="BD2106" s="35" t="str">
        <f aca="false">IF(OR($B2106="",$A2106=""),"",DAY(EOMONTH($A2106,0))-COUNTA($F2106:$AJ2106))</f>
        <v/>
      </c>
    </row>
    <row r="2107" customFormat="false" ht="15" hidden="false" customHeight="false" outlineLevel="0" collapsed="false">
      <c r="A2107" s="32"/>
      <c r="B2107" s="29"/>
      <c r="C2107" s="10" t="str">
        <f aca="false">IF($B2107="","",IFERROR(INDEX(M_name,MATCH($B2107,M_emp,0)),"Code not found"))</f>
        <v/>
      </c>
      <c r="D2107" s="10" t="str">
        <f aca="false">IF($B2107="","",IFERROR(INDEX(M_dept,MATCH($B2107,M_emp,0)),""))</f>
        <v/>
      </c>
      <c r="E2107" s="10" t="str">
        <f aca="false">IF($B2107="","",IFERROR(INDEX(M_loc,MATCH($B2107,M_emp,0)),""))</f>
        <v/>
      </c>
      <c r="F2107" s="33"/>
      <c r="G2107" s="33"/>
      <c r="H2107" s="33"/>
      <c r="I2107" s="33"/>
      <c r="J2107" s="33"/>
      <c r="K2107" s="33"/>
      <c r="L2107" s="33"/>
      <c r="M2107" s="33"/>
      <c r="N2107" s="33"/>
      <c r="O2107" s="33"/>
      <c r="P2107" s="33"/>
      <c r="Q2107" s="33"/>
      <c r="R2107" s="33"/>
      <c r="S2107" s="33"/>
      <c r="T2107" s="33"/>
      <c r="U2107" s="33"/>
      <c r="V2107" s="33"/>
      <c r="W2107" s="33"/>
      <c r="X2107" s="33"/>
      <c r="Y2107" s="33"/>
      <c r="Z2107" s="33"/>
      <c r="AA2107" s="33"/>
      <c r="AB2107" s="33"/>
      <c r="AC2107" s="33"/>
      <c r="AD2107" s="33"/>
      <c r="AE2107" s="33"/>
      <c r="AF2107" s="33"/>
      <c r="AG2107" s="33"/>
      <c r="AH2107" s="33"/>
      <c r="AI2107" s="33"/>
      <c r="AJ2107" s="33"/>
      <c r="AK2107" s="34" t="str">
        <f aca="false">IF($B2107="","",COUNTIF($F2107:$AJ2107,"P"))</f>
        <v/>
      </c>
      <c r="AL2107" s="34" t="str">
        <f aca="false">IF($B2107="","",COUNTIF($F2107:$AJ2107,"A"))</f>
        <v/>
      </c>
      <c r="AM2107" s="34" t="str">
        <f aca="false">IF($B2107="","",COUNTIF($F2107:$AJ2107,"HA"))</f>
        <v/>
      </c>
      <c r="AN2107" s="34" t="str">
        <f aca="false">IF($B2107="","",COUNTIF($F2107:$AJ2107,"L"))</f>
        <v/>
      </c>
      <c r="AO2107" s="34" t="str">
        <f aca="false">IF($B2107="","",COUNTIF($F2107:$AJ2107,"PL"))</f>
        <v/>
      </c>
      <c r="AP2107" s="34" t="str">
        <f aca="false">IF($B2107="","",COUNTIF($F2107:$AJ2107,"CL"))</f>
        <v/>
      </c>
      <c r="AQ2107" s="34" t="str">
        <f aca="false">IF($B2107="","",COUNTIF($F2107:$AJ2107,"SL"))</f>
        <v/>
      </c>
      <c r="AR2107" s="34" t="str">
        <f aca="false">IF($B2107="","",COUNTIF($F2107:$AJ2107,"CO"))</f>
        <v/>
      </c>
      <c r="AS2107" s="34" t="str">
        <f aca="false">IF($B2107="","",COUNTIF($F2107:$AJ2107,"HPL"))</f>
        <v/>
      </c>
      <c r="AT2107" s="34" t="str">
        <f aca="false">IF($B2107="","",COUNTIF($F2107:$AJ2107,"HCL"))</f>
        <v/>
      </c>
      <c r="AU2107" s="34" t="str">
        <f aca="false">IF($B2107="","",COUNTIF($F2107:$AJ2107,"WO"))</f>
        <v/>
      </c>
      <c r="AV2107" s="34" t="str">
        <f aca="false">IF($B2107="","",COUNTIF($F2107:$AJ2107,"PH"))</f>
        <v/>
      </c>
      <c r="AW2107" s="34" t="str">
        <f aca="false">IF($B2107="","",COUNTIF($F2107:$AJ2107,"TR"))</f>
        <v/>
      </c>
      <c r="AX2107" s="35" t="str">
        <f aca="false">IF($B2107="","",AO2107+AS2107/2)</f>
        <v/>
      </c>
      <c r="AY2107" s="35" t="str">
        <f aca="false">IF($B2107="","",AQ2107)</f>
        <v/>
      </c>
      <c r="AZ2107" s="35" t="str">
        <f aca="false">IF($B2107="","",AP2107+AT2107/2)</f>
        <v/>
      </c>
      <c r="BA2107" s="35" t="str">
        <f aca="false">IF($B2107="","",AK2107+AN2107+AM2107/2+AO2107+AP2107+AQ2107+AR2107+AS2107+AT2107+AU2107+AV2107+AW2107)</f>
        <v/>
      </c>
      <c r="BB2107" s="35" t="str">
        <f aca="false">IF($B2107="","",MAX(0,AN2107-Settings!$C$16)*Settings!$C$17)</f>
        <v/>
      </c>
      <c r="BC2107" s="35" t="str">
        <f aca="false">IF($B2107="","",BA2107-BB2107)</f>
        <v/>
      </c>
      <c r="BD2107" s="35" t="str">
        <f aca="false">IF(OR($B2107="",$A2107=""),"",DAY(EOMONTH($A2107,0))-COUNTA($F2107:$AJ2107))</f>
        <v/>
      </c>
    </row>
    <row r="2108" customFormat="false" ht="15" hidden="false" customHeight="false" outlineLevel="0" collapsed="false">
      <c r="A2108" s="32"/>
      <c r="B2108" s="29"/>
      <c r="C2108" s="10" t="str">
        <f aca="false">IF($B2108="","",IFERROR(INDEX(M_name,MATCH($B2108,M_emp,0)),"Code not found"))</f>
        <v/>
      </c>
      <c r="D2108" s="10" t="str">
        <f aca="false">IF($B2108="","",IFERROR(INDEX(M_dept,MATCH($B2108,M_emp,0)),""))</f>
        <v/>
      </c>
      <c r="E2108" s="10" t="str">
        <f aca="false">IF($B2108="","",IFERROR(INDEX(M_loc,MATCH($B2108,M_emp,0)),""))</f>
        <v/>
      </c>
      <c r="F2108" s="33"/>
      <c r="G2108" s="33"/>
      <c r="H2108" s="33"/>
      <c r="I2108" s="33"/>
      <c r="J2108" s="33"/>
      <c r="K2108" s="33"/>
      <c r="L2108" s="33"/>
      <c r="M2108" s="33"/>
      <c r="N2108" s="33"/>
      <c r="O2108" s="33"/>
      <c r="P2108" s="33"/>
      <c r="Q2108" s="33"/>
      <c r="R2108" s="33"/>
      <c r="S2108" s="33"/>
      <c r="T2108" s="33"/>
      <c r="U2108" s="33"/>
      <c r="V2108" s="33"/>
      <c r="W2108" s="33"/>
      <c r="X2108" s="33"/>
      <c r="Y2108" s="33"/>
      <c r="Z2108" s="33"/>
      <c r="AA2108" s="33"/>
      <c r="AB2108" s="33"/>
      <c r="AC2108" s="33"/>
      <c r="AD2108" s="33"/>
      <c r="AE2108" s="33"/>
      <c r="AF2108" s="33"/>
      <c r="AG2108" s="33"/>
      <c r="AH2108" s="33"/>
      <c r="AI2108" s="33"/>
      <c r="AJ2108" s="33"/>
      <c r="AK2108" s="34" t="str">
        <f aca="false">IF($B2108="","",COUNTIF($F2108:$AJ2108,"P"))</f>
        <v/>
      </c>
      <c r="AL2108" s="34" t="str">
        <f aca="false">IF($B2108="","",COUNTIF($F2108:$AJ2108,"A"))</f>
        <v/>
      </c>
      <c r="AM2108" s="34" t="str">
        <f aca="false">IF($B2108="","",COUNTIF($F2108:$AJ2108,"HA"))</f>
        <v/>
      </c>
      <c r="AN2108" s="34" t="str">
        <f aca="false">IF($B2108="","",COUNTIF($F2108:$AJ2108,"L"))</f>
        <v/>
      </c>
      <c r="AO2108" s="34" t="str">
        <f aca="false">IF($B2108="","",COUNTIF($F2108:$AJ2108,"PL"))</f>
        <v/>
      </c>
      <c r="AP2108" s="34" t="str">
        <f aca="false">IF($B2108="","",COUNTIF($F2108:$AJ2108,"CL"))</f>
        <v/>
      </c>
      <c r="AQ2108" s="34" t="str">
        <f aca="false">IF($B2108="","",COUNTIF($F2108:$AJ2108,"SL"))</f>
        <v/>
      </c>
      <c r="AR2108" s="34" t="str">
        <f aca="false">IF($B2108="","",COUNTIF($F2108:$AJ2108,"CO"))</f>
        <v/>
      </c>
      <c r="AS2108" s="34" t="str">
        <f aca="false">IF($B2108="","",COUNTIF($F2108:$AJ2108,"HPL"))</f>
        <v/>
      </c>
      <c r="AT2108" s="34" t="str">
        <f aca="false">IF($B2108="","",COUNTIF($F2108:$AJ2108,"HCL"))</f>
        <v/>
      </c>
      <c r="AU2108" s="34" t="str">
        <f aca="false">IF($B2108="","",COUNTIF($F2108:$AJ2108,"WO"))</f>
        <v/>
      </c>
      <c r="AV2108" s="34" t="str">
        <f aca="false">IF($B2108="","",COUNTIF($F2108:$AJ2108,"PH"))</f>
        <v/>
      </c>
      <c r="AW2108" s="34" t="str">
        <f aca="false">IF($B2108="","",COUNTIF($F2108:$AJ2108,"TR"))</f>
        <v/>
      </c>
      <c r="AX2108" s="35" t="str">
        <f aca="false">IF($B2108="","",AO2108+AS2108/2)</f>
        <v/>
      </c>
      <c r="AY2108" s="35" t="str">
        <f aca="false">IF($B2108="","",AQ2108)</f>
        <v/>
      </c>
      <c r="AZ2108" s="35" t="str">
        <f aca="false">IF($B2108="","",AP2108+AT2108/2)</f>
        <v/>
      </c>
      <c r="BA2108" s="35" t="str">
        <f aca="false">IF($B2108="","",AK2108+AN2108+AM2108/2+AO2108+AP2108+AQ2108+AR2108+AS2108+AT2108+AU2108+AV2108+AW2108)</f>
        <v/>
      </c>
      <c r="BB2108" s="35" t="str">
        <f aca="false">IF($B2108="","",MAX(0,AN2108-Settings!$C$16)*Settings!$C$17)</f>
        <v/>
      </c>
      <c r="BC2108" s="35" t="str">
        <f aca="false">IF($B2108="","",BA2108-BB2108)</f>
        <v/>
      </c>
      <c r="BD2108" s="35" t="str">
        <f aca="false">IF(OR($B2108="",$A2108=""),"",DAY(EOMONTH($A2108,0))-COUNTA($F2108:$AJ2108))</f>
        <v/>
      </c>
    </row>
    <row r="2109" customFormat="false" ht="15" hidden="false" customHeight="false" outlineLevel="0" collapsed="false">
      <c r="A2109" s="32"/>
      <c r="B2109" s="29"/>
      <c r="C2109" s="10" t="str">
        <f aca="false">IF($B2109="","",IFERROR(INDEX(M_name,MATCH($B2109,M_emp,0)),"Code not found"))</f>
        <v/>
      </c>
      <c r="D2109" s="10" t="str">
        <f aca="false">IF($B2109="","",IFERROR(INDEX(M_dept,MATCH($B2109,M_emp,0)),""))</f>
        <v/>
      </c>
      <c r="E2109" s="10" t="str">
        <f aca="false">IF($B2109="","",IFERROR(INDEX(M_loc,MATCH($B2109,M_emp,0)),""))</f>
        <v/>
      </c>
      <c r="F2109" s="33"/>
      <c r="G2109" s="33"/>
      <c r="H2109" s="33"/>
      <c r="I2109" s="33"/>
      <c r="J2109" s="33"/>
      <c r="K2109" s="33"/>
      <c r="L2109" s="33"/>
      <c r="M2109" s="33"/>
      <c r="N2109" s="33"/>
      <c r="O2109" s="33"/>
      <c r="P2109" s="33"/>
      <c r="Q2109" s="33"/>
      <c r="R2109" s="33"/>
      <c r="S2109" s="33"/>
      <c r="T2109" s="33"/>
      <c r="U2109" s="33"/>
      <c r="V2109" s="33"/>
      <c r="W2109" s="33"/>
      <c r="X2109" s="33"/>
      <c r="Y2109" s="33"/>
      <c r="Z2109" s="33"/>
      <c r="AA2109" s="33"/>
      <c r="AB2109" s="33"/>
      <c r="AC2109" s="33"/>
      <c r="AD2109" s="33"/>
      <c r="AE2109" s="33"/>
      <c r="AF2109" s="33"/>
      <c r="AG2109" s="33"/>
      <c r="AH2109" s="33"/>
      <c r="AI2109" s="33"/>
      <c r="AJ2109" s="33"/>
      <c r="AK2109" s="34" t="str">
        <f aca="false">IF($B2109="","",COUNTIF($F2109:$AJ2109,"P"))</f>
        <v/>
      </c>
      <c r="AL2109" s="34" t="str">
        <f aca="false">IF($B2109="","",COUNTIF($F2109:$AJ2109,"A"))</f>
        <v/>
      </c>
      <c r="AM2109" s="34" t="str">
        <f aca="false">IF($B2109="","",COUNTIF($F2109:$AJ2109,"HA"))</f>
        <v/>
      </c>
      <c r="AN2109" s="34" t="str">
        <f aca="false">IF($B2109="","",COUNTIF($F2109:$AJ2109,"L"))</f>
        <v/>
      </c>
      <c r="AO2109" s="34" t="str">
        <f aca="false">IF($B2109="","",COUNTIF($F2109:$AJ2109,"PL"))</f>
        <v/>
      </c>
      <c r="AP2109" s="34" t="str">
        <f aca="false">IF($B2109="","",COUNTIF($F2109:$AJ2109,"CL"))</f>
        <v/>
      </c>
      <c r="AQ2109" s="34" t="str">
        <f aca="false">IF($B2109="","",COUNTIF($F2109:$AJ2109,"SL"))</f>
        <v/>
      </c>
      <c r="AR2109" s="34" t="str">
        <f aca="false">IF($B2109="","",COUNTIF($F2109:$AJ2109,"CO"))</f>
        <v/>
      </c>
      <c r="AS2109" s="34" t="str">
        <f aca="false">IF($B2109="","",COUNTIF($F2109:$AJ2109,"HPL"))</f>
        <v/>
      </c>
      <c r="AT2109" s="34" t="str">
        <f aca="false">IF($B2109="","",COUNTIF($F2109:$AJ2109,"HCL"))</f>
        <v/>
      </c>
      <c r="AU2109" s="34" t="str">
        <f aca="false">IF($B2109="","",COUNTIF($F2109:$AJ2109,"WO"))</f>
        <v/>
      </c>
      <c r="AV2109" s="34" t="str">
        <f aca="false">IF($B2109="","",COUNTIF($F2109:$AJ2109,"PH"))</f>
        <v/>
      </c>
      <c r="AW2109" s="34" t="str">
        <f aca="false">IF($B2109="","",COUNTIF($F2109:$AJ2109,"TR"))</f>
        <v/>
      </c>
      <c r="AX2109" s="35" t="str">
        <f aca="false">IF($B2109="","",AO2109+AS2109/2)</f>
        <v/>
      </c>
      <c r="AY2109" s="35" t="str">
        <f aca="false">IF($B2109="","",AQ2109)</f>
        <v/>
      </c>
      <c r="AZ2109" s="35" t="str">
        <f aca="false">IF($B2109="","",AP2109+AT2109/2)</f>
        <v/>
      </c>
      <c r="BA2109" s="35" t="str">
        <f aca="false">IF($B2109="","",AK2109+AN2109+AM2109/2+AO2109+AP2109+AQ2109+AR2109+AS2109+AT2109+AU2109+AV2109+AW2109)</f>
        <v/>
      </c>
      <c r="BB2109" s="35" t="str">
        <f aca="false">IF($B2109="","",MAX(0,AN2109-Settings!$C$16)*Settings!$C$17)</f>
        <v/>
      </c>
      <c r="BC2109" s="35" t="str">
        <f aca="false">IF($B2109="","",BA2109-BB2109)</f>
        <v/>
      </c>
      <c r="BD2109" s="35" t="str">
        <f aca="false">IF(OR($B2109="",$A2109=""),"",DAY(EOMONTH($A2109,0))-COUNTA($F2109:$AJ2109))</f>
        <v/>
      </c>
    </row>
    <row r="2110" customFormat="false" ht="15" hidden="false" customHeight="false" outlineLevel="0" collapsed="false">
      <c r="A2110" s="32"/>
      <c r="B2110" s="29"/>
      <c r="C2110" s="10" t="str">
        <f aca="false">IF($B2110="","",IFERROR(INDEX(M_name,MATCH($B2110,M_emp,0)),"Code not found"))</f>
        <v/>
      </c>
      <c r="D2110" s="10" t="str">
        <f aca="false">IF($B2110="","",IFERROR(INDEX(M_dept,MATCH($B2110,M_emp,0)),""))</f>
        <v/>
      </c>
      <c r="E2110" s="10" t="str">
        <f aca="false">IF($B2110="","",IFERROR(INDEX(M_loc,MATCH($B2110,M_emp,0)),""))</f>
        <v/>
      </c>
      <c r="F2110" s="33"/>
      <c r="G2110" s="33"/>
      <c r="H2110" s="33"/>
      <c r="I2110" s="33"/>
      <c r="J2110" s="33"/>
      <c r="K2110" s="33"/>
      <c r="L2110" s="33"/>
      <c r="M2110" s="33"/>
      <c r="N2110" s="33"/>
      <c r="O2110" s="33"/>
      <c r="P2110" s="33"/>
      <c r="Q2110" s="33"/>
      <c r="R2110" s="33"/>
      <c r="S2110" s="33"/>
      <c r="T2110" s="33"/>
      <c r="U2110" s="33"/>
      <c r="V2110" s="33"/>
      <c r="W2110" s="33"/>
      <c r="X2110" s="33"/>
      <c r="Y2110" s="33"/>
      <c r="Z2110" s="33"/>
      <c r="AA2110" s="33"/>
      <c r="AB2110" s="33"/>
      <c r="AC2110" s="33"/>
      <c r="AD2110" s="33"/>
      <c r="AE2110" s="33"/>
      <c r="AF2110" s="33"/>
      <c r="AG2110" s="33"/>
      <c r="AH2110" s="33"/>
      <c r="AI2110" s="33"/>
      <c r="AJ2110" s="33"/>
      <c r="AK2110" s="34" t="str">
        <f aca="false">IF($B2110="","",COUNTIF($F2110:$AJ2110,"P"))</f>
        <v/>
      </c>
      <c r="AL2110" s="34" t="str">
        <f aca="false">IF($B2110="","",COUNTIF($F2110:$AJ2110,"A"))</f>
        <v/>
      </c>
      <c r="AM2110" s="34" t="str">
        <f aca="false">IF($B2110="","",COUNTIF($F2110:$AJ2110,"HA"))</f>
        <v/>
      </c>
      <c r="AN2110" s="34" t="str">
        <f aca="false">IF($B2110="","",COUNTIF($F2110:$AJ2110,"L"))</f>
        <v/>
      </c>
      <c r="AO2110" s="34" t="str">
        <f aca="false">IF($B2110="","",COUNTIF($F2110:$AJ2110,"PL"))</f>
        <v/>
      </c>
      <c r="AP2110" s="34" t="str">
        <f aca="false">IF($B2110="","",COUNTIF($F2110:$AJ2110,"CL"))</f>
        <v/>
      </c>
      <c r="AQ2110" s="34" t="str">
        <f aca="false">IF($B2110="","",COUNTIF($F2110:$AJ2110,"SL"))</f>
        <v/>
      </c>
      <c r="AR2110" s="34" t="str">
        <f aca="false">IF($B2110="","",COUNTIF($F2110:$AJ2110,"CO"))</f>
        <v/>
      </c>
      <c r="AS2110" s="34" t="str">
        <f aca="false">IF($B2110="","",COUNTIF($F2110:$AJ2110,"HPL"))</f>
        <v/>
      </c>
      <c r="AT2110" s="34" t="str">
        <f aca="false">IF($B2110="","",COUNTIF($F2110:$AJ2110,"HCL"))</f>
        <v/>
      </c>
      <c r="AU2110" s="34" t="str">
        <f aca="false">IF($B2110="","",COUNTIF($F2110:$AJ2110,"WO"))</f>
        <v/>
      </c>
      <c r="AV2110" s="34" t="str">
        <f aca="false">IF($B2110="","",COUNTIF($F2110:$AJ2110,"PH"))</f>
        <v/>
      </c>
      <c r="AW2110" s="34" t="str">
        <f aca="false">IF($B2110="","",COUNTIF($F2110:$AJ2110,"TR"))</f>
        <v/>
      </c>
      <c r="AX2110" s="35" t="str">
        <f aca="false">IF($B2110="","",AO2110+AS2110/2)</f>
        <v/>
      </c>
      <c r="AY2110" s="35" t="str">
        <f aca="false">IF($B2110="","",AQ2110)</f>
        <v/>
      </c>
      <c r="AZ2110" s="35" t="str">
        <f aca="false">IF($B2110="","",AP2110+AT2110/2)</f>
        <v/>
      </c>
      <c r="BA2110" s="35" t="str">
        <f aca="false">IF($B2110="","",AK2110+AN2110+AM2110/2+AO2110+AP2110+AQ2110+AR2110+AS2110+AT2110+AU2110+AV2110+AW2110)</f>
        <v/>
      </c>
      <c r="BB2110" s="35" t="str">
        <f aca="false">IF($B2110="","",MAX(0,AN2110-Settings!$C$16)*Settings!$C$17)</f>
        <v/>
      </c>
      <c r="BC2110" s="35" t="str">
        <f aca="false">IF($B2110="","",BA2110-BB2110)</f>
        <v/>
      </c>
      <c r="BD2110" s="35" t="str">
        <f aca="false">IF(OR($B2110="",$A2110=""),"",DAY(EOMONTH($A2110,0))-COUNTA($F2110:$AJ2110))</f>
        <v/>
      </c>
    </row>
    <row r="2111" customFormat="false" ht="15" hidden="false" customHeight="false" outlineLevel="0" collapsed="false">
      <c r="A2111" s="32"/>
      <c r="B2111" s="29"/>
      <c r="C2111" s="10" t="str">
        <f aca="false">IF($B2111="","",IFERROR(INDEX(M_name,MATCH($B2111,M_emp,0)),"Code not found"))</f>
        <v/>
      </c>
      <c r="D2111" s="10" t="str">
        <f aca="false">IF($B2111="","",IFERROR(INDEX(M_dept,MATCH($B2111,M_emp,0)),""))</f>
        <v/>
      </c>
      <c r="E2111" s="10" t="str">
        <f aca="false">IF($B2111="","",IFERROR(INDEX(M_loc,MATCH($B2111,M_emp,0)),""))</f>
        <v/>
      </c>
      <c r="F2111" s="33"/>
      <c r="G2111" s="33"/>
      <c r="H2111" s="33"/>
      <c r="I2111" s="33"/>
      <c r="J2111" s="33"/>
      <c r="K2111" s="33"/>
      <c r="L2111" s="33"/>
      <c r="M2111" s="33"/>
      <c r="N2111" s="33"/>
      <c r="O2111" s="33"/>
      <c r="P2111" s="33"/>
      <c r="Q2111" s="33"/>
      <c r="R2111" s="33"/>
      <c r="S2111" s="33"/>
      <c r="T2111" s="33"/>
      <c r="U2111" s="33"/>
      <c r="V2111" s="33"/>
      <c r="W2111" s="33"/>
      <c r="X2111" s="33"/>
      <c r="Y2111" s="33"/>
      <c r="Z2111" s="33"/>
      <c r="AA2111" s="33"/>
      <c r="AB2111" s="33"/>
      <c r="AC2111" s="33"/>
      <c r="AD2111" s="33"/>
      <c r="AE2111" s="33"/>
      <c r="AF2111" s="33"/>
      <c r="AG2111" s="33"/>
      <c r="AH2111" s="33"/>
      <c r="AI2111" s="33"/>
      <c r="AJ2111" s="33"/>
      <c r="AK2111" s="34" t="str">
        <f aca="false">IF($B2111="","",COUNTIF($F2111:$AJ2111,"P"))</f>
        <v/>
      </c>
      <c r="AL2111" s="34" t="str">
        <f aca="false">IF($B2111="","",COUNTIF($F2111:$AJ2111,"A"))</f>
        <v/>
      </c>
      <c r="AM2111" s="34" t="str">
        <f aca="false">IF($B2111="","",COUNTIF($F2111:$AJ2111,"HA"))</f>
        <v/>
      </c>
      <c r="AN2111" s="34" t="str">
        <f aca="false">IF($B2111="","",COUNTIF($F2111:$AJ2111,"L"))</f>
        <v/>
      </c>
      <c r="AO2111" s="34" t="str">
        <f aca="false">IF($B2111="","",COUNTIF($F2111:$AJ2111,"PL"))</f>
        <v/>
      </c>
      <c r="AP2111" s="34" t="str">
        <f aca="false">IF($B2111="","",COUNTIF($F2111:$AJ2111,"CL"))</f>
        <v/>
      </c>
      <c r="AQ2111" s="34" t="str">
        <f aca="false">IF($B2111="","",COUNTIF($F2111:$AJ2111,"SL"))</f>
        <v/>
      </c>
      <c r="AR2111" s="34" t="str">
        <f aca="false">IF($B2111="","",COUNTIF($F2111:$AJ2111,"CO"))</f>
        <v/>
      </c>
      <c r="AS2111" s="34" t="str">
        <f aca="false">IF($B2111="","",COUNTIF($F2111:$AJ2111,"HPL"))</f>
        <v/>
      </c>
      <c r="AT2111" s="34" t="str">
        <f aca="false">IF($B2111="","",COUNTIF($F2111:$AJ2111,"HCL"))</f>
        <v/>
      </c>
      <c r="AU2111" s="34" t="str">
        <f aca="false">IF($B2111="","",COUNTIF($F2111:$AJ2111,"WO"))</f>
        <v/>
      </c>
      <c r="AV2111" s="34" t="str">
        <f aca="false">IF($B2111="","",COUNTIF($F2111:$AJ2111,"PH"))</f>
        <v/>
      </c>
      <c r="AW2111" s="34" t="str">
        <f aca="false">IF($B2111="","",COUNTIF($F2111:$AJ2111,"TR"))</f>
        <v/>
      </c>
      <c r="AX2111" s="35" t="str">
        <f aca="false">IF($B2111="","",AO2111+AS2111/2)</f>
        <v/>
      </c>
      <c r="AY2111" s="35" t="str">
        <f aca="false">IF($B2111="","",AQ2111)</f>
        <v/>
      </c>
      <c r="AZ2111" s="35" t="str">
        <f aca="false">IF($B2111="","",AP2111+AT2111/2)</f>
        <v/>
      </c>
      <c r="BA2111" s="35" t="str">
        <f aca="false">IF($B2111="","",AK2111+AN2111+AM2111/2+AO2111+AP2111+AQ2111+AR2111+AS2111+AT2111+AU2111+AV2111+AW2111)</f>
        <v/>
      </c>
      <c r="BB2111" s="35" t="str">
        <f aca="false">IF($B2111="","",MAX(0,AN2111-Settings!$C$16)*Settings!$C$17)</f>
        <v/>
      </c>
      <c r="BC2111" s="35" t="str">
        <f aca="false">IF($B2111="","",BA2111-BB2111)</f>
        <v/>
      </c>
      <c r="BD2111" s="35" t="str">
        <f aca="false">IF(OR($B2111="",$A2111=""),"",DAY(EOMONTH($A2111,0))-COUNTA($F2111:$AJ2111))</f>
        <v/>
      </c>
    </row>
    <row r="2112" customFormat="false" ht="15" hidden="false" customHeight="false" outlineLevel="0" collapsed="false">
      <c r="A2112" s="32"/>
      <c r="B2112" s="29"/>
      <c r="C2112" s="10" t="str">
        <f aca="false">IF($B2112="","",IFERROR(INDEX(M_name,MATCH($B2112,M_emp,0)),"Code not found"))</f>
        <v/>
      </c>
      <c r="D2112" s="10" t="str">
        <f aca="false">IF($B2112="","",IFERROR(INDEX(M_dept,MATCH($B2112,M_emp,0)),""))</f>
        <v/>
      </c>
      <c r="E2112" s="10" t="str">
        <f aca="false">IF($B2112="","",IFERROR(INDEX(M_loc,MATCH($B2112,M_emp,0)),""))</f>
        <v/>
      </c>
      <c r="F2112" s="33"/>
      <c r="G2112" s="33"/>
      <c r="H2112" s="33"/>
      <c r="I2112" s="33"/>
      <c r="J2112" s="33"/>
      <c r="K2112" s="33"/>
      <c r="L2112" s="33"/>
      <c r="M2112" s="33"/>
      <c r="N2112" s="33"/>
      <c r="O2112" s="33"/>
      <c r="P2112" s="33"/>
      <c r="Q2112" s="33"/>
      <c r="R2112" s="33"/>
      <c r="S2112" s="33"/>
      <c r="T2112" s="33"/>
      <c r="U2112" s="33"/>
      <c r="V2112" s="33"/>
      <c r="W2112" s="33"/>
      <c r="X2112" s="33"/>
      <c r="Y2112" s="33"/>
      <c r="Z2112" s="33"/>
      <c r="AA2112" s="33"/>
      <c r="AB2112" s="33"/>
      <c r="AC2112" s="33"/>
      <c r="AD2112" s="33"/>
      <c r="AE2112" s="33"/>
      <c r="AF2112" s="33"/>
      <c r="AG2112" s="33"/>
      <c r="AH2112" s="33"/>
      <c r="AI2112" s="33"/>
      <c r="AJ2112" s="33"/>
      <c r="AK2112" s="34" t="str">
        <f aca="false">IF($B2112="","",COUNTIF($F2112:$AJ2112,"P"))</f>
        <v/>
      </c>
      <c r="AL2112" s="34" t="str">
        <f aca="false">IF($B2112="","",COUNTIF($F2112:$AJ2112,"A"))</f>
        <v/>
      </c>
      <c r="AM2112" s="34" t="str">
        <f aca="false">IF($B2112="","",COUNTIF($F2112:$AJ2112,"HA"))</f>
        <v/>
      </c>
      <c r="AN2112" s="34" t="str">
        <f aca="false">IF($B2112="","",COUNTIF($F2112:$AJ2112,"L"))</f>
        <v/>
      </c>
      <c r="AO2112" s="34" t="str">
        <f aca="false">IF($B2112="","",COUNTIF($F2112:$AJ2112,"PL"))</f>
        <v/>
      </c>
      <c r="AP2112" s="34" t="str">
        <f aca="false">IF($B2112="","",COUNTIF($F2112:$AJ2112,"CL"))</f>
        <v/>
      </c>
      <c r="AQ2112" s="34" t="str">
        <f aca="false">IF($B2112="","",COUNTIF($F2112:$AJ2112,"SL"))</f>
        <v/>
      </c>
      <c r="AR2112" s="34" t="str">
        <f aca="false">IF($B2112="","",COUNTIF($F2112:$AJ2112,"CO"))</f>
        <v/>
      </c>
      <c r="AS2112" s="34" t="str">
        <f aca="false">IF($B2112="","",COUNTIF($F2112:$AJ2112,"HPL"))</f>
        <v/>
      </c>
      <c r="AT2112" s="34" t="str">
        <f aca="false">IF($B2112="","",COUNTIF($F2112:$AJ2112,"HCL"))</f>
        <v/>
      </c>
      <c r="AU2112" s="34" t="str">
        <f aca="false">IF($B2112="","",COUNTIF($F2112:$AJ2112,"WO"))</f>
        <v/>
      </c>
      <c r="AV2112" s="34" t="str">
        <f aca="false">IF($B2112="","",COUNTIF($F2112:$AJ2112,"PH"))</f>
        <v/>
      </c>
      <c r="AW2112" s="34" t="str">
        <f aca="false">IF($B2112="","",COUNTIF($F2112:$AJ2112,"TR"))</f>
        <v/>
      </c>
      <c r="AX2112" s="35" t="str">
        <f aca="false">IF($B2112="","",AO2112+AS2112/2)</f>
        <v/>
      </c>
      <c r="AY2112" s="35" t="str">
        <f aca="false">IF($B2112="","",AQ2112)</f>
        <v/>
      </c>
      <c r="AZ2112" s="35" t="str">
        <f aca="false">IF($B2112="","",AP2112+AT2112/2)</f>
        <v/>
      </c>
      <c r="BA2112" s="35" t="str">
        <f aca="false">IF($B2112="","",AK2112+AN2112+AM2112/2+AO2112+AP2112+AQ2112+AR2112+AS2112+AT2112+AU2112+AV2112+AW2112)</f>
        <v/>
      </c>
      <c r="BB2112" s="35" t="str">
        <f aca="false">IF($B2112="","",MAX(0,AN2112-Settings!$C$16)*Settings!$C$17)</f>
        <v/>
      </c>
      <c r="BC2112" s="35" t="str">
        <f aca="false">IF($B2112="","",BA2112-BB2112)</f>
        <v/>
      </c>
      <c r="BD2112" s="35" t="str">
        <f aca="false">IF(OR($B2112="",$A2112=""),"",DAY(EOMONTH($A2112,0))-COUNTA($F2112:$AJ2112))</f>
        <v/>
      </c>
    </row>
    <row r="2113" customFormat="false" ht="15" hidden="false" customHeight="false" outlineLevel="0" collapsed="false">
      <c r="A2113" s="32"/>
      <c r="B2113" s="29"/>
      <c r="C2113" s="10" t="str">
        <f aca="false">IF($B2113="","",IFERROR(INDEX(M_name,MATCH($B2113,M_emp,0)),"Code not found"))</f>
        <v/>
      </c>
      <c r="D2113" s="10" t="str">
        <f aca="false">IF($B2113="","",IFERROR(INDEX(M_dept,MATCH($B2113,M_emp,0)),""))</f>
        <v/>
      </c>
      <c r="E2113" s="10" t="str">
        <f aca="false">IF($B2113="","",IFERROR(INDEX(M_loc,MATCH($B2113,M_emp,0)),""))</f>
        <v/>
      </c>
      <c r="F2113" s="33"/>
      <c r="G2113" s="33"/>
      <c r="H2113" s="33"/>
      <c r="I2113" s="33"/>
      <c r="J2113" s="33"/>
      <c r="K2113" s="33"/>
      <c r="L2113" s="33"/>
      <c r="M2113" s="33"/>
      <c r="N2113" s="33"/>
      <c r="O2113" s="33"/>
      <c r="P2113" s="33"/>
      <c r="Q2113" s="33"/>
      <c r="R2113" s="33"/>
      <c r="S2113" s="33"/>
      <c r="T2113" s="33"/>
      <c r="U2113" s="33"/>
      <c r="V2113" s="33"/>
      <c r="W2113" s="33"/>
      <c r="X2113" s="33"/>
      <c r="Y2113" s="33"/>
      <c r="Z2113" s="33"/>
      <c r="AA2113" s="33"/>
      <c r="AB2113" s="33"/>
      <c r="AC2113" s="33"/>
      <c r="AD2113" s="33"/>
      <c r="AE2113" s="33"/>
      <c r="AF2113" s="33"/>
      <c r="AG2113" s="33"/>
      <c r="AH2113" s="33"/>
      <c r="AI2113" s="33"/>
      <c r="AJ2113" s="33"/>
      <c r="AK2113" s="34" t="str">
        <f aca="false">IF($B2113="","",COUNTIF($F2113:$AJ2113,"P"))</f>
        <v/>
      </c>
      <c r="AL2113" s="34" t="str">
        <f aca="false">IF($B2113="","",COUNTIF($F2113:$AJ2113,"A"))</f>
        <v/>
      </c>
      <c r="AM2113" s="34" t="str">
        <f aca="false">IF($B2113="","",COUNTIF($F2113:$AJ2113,"HA"))</f>
        <v/>
      </c>
      <c r="AN2113" s="34" t="str">
        <f aca="false">IF($B2113="","",COUNTIF($F2113:$AJ2113,"L"))</f>
        <v/>
      </c>
      <c r="AO2113" s="34" t="str">
        <f aca="false">IF($B2113="","",COUNTIF($F2113:$AJ2113,"PL"))</f>
        <v/>
      </c>
      <c r="AP2113" s="34" t="str">
        <f aca="false">IF($B2113="","",COUNTIF($F2113:$AJ2113,"CL"))</f>
        <v/>
      </c>
      <c r="AQ2113" s="34" t="str">
        <f aca="false">IF($B2113="","",COUNTIF($F2113:$AJ2113,"SL"))</f>
        <v/>
      </c>
      <c r="AR2113" s="34" t="str">
        <f aca="false">IF($B2113="","",COUNTIF($F2113:$AJ2113,"CO"))</f>
        <v/>
      </c>
      <c r="AS2113" s="34" t="str">
        <f aca="false">IF($B2113="","",COUNTIF($F2113:$AJ2113,"HPL"))</f>
        <v/>
      </c>
      <c r="AT2113" s="34" t="str">
        <f aca="false">IF($B2113="","",COUNTIF($F2113:$AJ2113,"HCL"))</f>
        <v/>
      </c>
      <c r="AU2113" s="34" t="str">
        <f aca="false">IF($B2113="","",COUNTIF($F2113:$AJ2113,"WO"))</f>
        <v/>
      </c>
      <c r="AV2113" s="34" t="str">
        <f aca="false">IF($B2113="","",COUNTIF($F2113:$AJ2113,"PH"))</f>
        <v/>
      </c>
      <c r="AW2113" s="34" t="str">
        <f aca="false">IF($B2113="","",COUNTIF($F2113:$AJ2113,"TR"))</f>
        <v/>
      </c>
      <c r="AX2113" s="35" t="str">
        <f aca="false">IF($B2113="","",AO2113+AS2113/2)</f>
        <v/>
      </c>
      <c r="AY2113" s="35" t="str">
        <f aca="false">IF($B2113="","",AQ2113)</f>
        <v/>
      </c>
      <c r="AZ2113" s="35" t="str">
        <f aca="false">IF($B2113="","",AP2113+AT2113/2)</f>
        <v/>
      </c>
      <c r="BA2113" s="35" t="str">
        <f aca="false">IF($B2113="","",AK2113+AN2113+AM2113/2+AO2113+AP2113+AQ2113+AR2113+AS2113+AT2113+AU2113+AV2113+AW2113)</f>
        <v/>
      </c>
      <c r="BB2113" s="35" t="str">
        <f aca="false">IF($B2113="","",MAX(0,AN2113-Settings!$C$16)*Settings!$C$17)</f>
        <v/>
      </c>
      <c r="BC2113" s="35" t="str">
        <f aca="false">IF($B2113="","",BA2113-BB2113)</f>
        <v/>
      </c>
      <c r="BD2113" s="35" t="str">
        <f aca="false">IF(OR($B2113="",$A2113=""),"",DAY(EOMONTH($A2113,0))-COUNTA($F2113:$AJ2113))</f>
        <v/>
      </c>
    </row>
    <row r="2114" customFormat="false" ht="15" hidden="false" customHeight="false" outlineLevel="0" collapsed="false">
      <c r="A2114" s="32"/>
      <c r="B2114" s="29"/>
      <c r="C2114" s="10" t="str">
        <f aca="false">IF($B2114="","",IFERROR(INDEX(M_name,MATCH($B2114,M_emp,0)),"Code not found"))</f>
        <v/>
      </c>
      <c r="D2114" s="10" t="str">
        <f aca="false">IF($B2114="","",IFERROR(INDEX(M_dept,MATCH($B2114,M_emp,0)),""))</f>
        <v/>
      </c>
      <c r="E2114" s="10" t="str">
        <f aca="false">IF($B2114="","",IFERROR(INDEX(M_loc,MATCH($B2114,M_emp,0)),""))</f>
        <v/>
      </c>
      <c r="F2114" s="33"/>
      <c r="G2114" s="33"/>
      <c r="H2114" s="33"/>
      <c r="I2114" s="33"/>
      <c r="J2114" s="33"/>
      <c r="K2114" s="33"/>
      <c r="L2114" s="33"/>
      <c r="M2114" s="33"/>
      <c r="N2114" s="33"/>
      <c r="O2114" s="33"/>
      <c r="P2114" s="33"/>
      <c r="Q2114" s="33"/>
      <c r="R2114" s="33"/>
      <c r="S2114" s="33"/>
      <c r="T2114" s="33"/>
      <c r="U2114" s="33"/>
      <c r="V2114" s="33"/>
      <c r="W2114" s="33"/>
      <c r="X2114" s="33"/>
      <c r="Y2114" s="33"/>
      <c r="Z2114" s="33"/>
      <c r="AA2114" s="33"/>
      <c r="AB2114" s="33"/>
      <c r="AC2114" s="33"/>
      <c r="AD2114" s="33"/>
      <c r="AE2114" s="33"/>
      <c r="AF2114" s="33"/>
      <c r="AG2114" s="33"/>
      <c r="AH2114" s="33"/>
      <c r="AI2114" s="33"/>
      <c r="AJ2114" s="33"/>
      <c r="AK2114" s="34" t="str">
        <f aca="false">IF($B2114="","",COUNTIF($F2114:$AJ2114,"P"))</f>
        <v/>
      </c>
      <c r="AL2114" s="34" t="str">
        <f aca="false">IF($B2114="","",COUNTIF($F2114:$AJ2114,"A"))</f>
        <v/>
      </c>
      <c r="AM2114" s="34" t="str">
        <f aca="false">IF($B2114="","",COUNTIF($F2114:$AJ2114,"HA"))</f>
        <v/>
      </c>
      <c r="AN2114" s="34" t="str">
        <f aca="false">IF($B2114="","",COUNTIF($F2114:$AJ2114,"L"))</f>
        <v/>
      </c>
      <c r="AO2114" s="34" t="str">
        <f aca="false">IF($B2114="","",COUNTIF($F2114:$AJ2114,"PL"))</f>
        <v/>
      </c>
      <c r="AP2114" s="34" t="str">
        <f aca="false">IF($B2114="","",COUNTIF($F2114:$AJ2114,"CL"))</f>
        <v/>
      </c>
      <c r="AQ2114" s="34" t="str">
        <f aca="false">IF($B2114="","",COUNTIF($F2114:$AJ2114,"SL"))</f>
        <v/>
      </c>
      <c r="AR2114" s="34" t="str">
        <f aca="false">IF($B2114="","",COUNTIF($F2114:$AJ2114,"CO"))</f>
        <v/>
      </c>
      <c r="AS2114" s="34" t="str">
        <f aca="false">IF($B2114="","",COUNTIF($F2114:$AJ2114,"HPL"))</f>
        <v/>
      </c>
      <c r="AT2114" s="34" t="str">
        <f aca="false">IF($B2114="","",COUNTIF($F2114:$AJ2114,"HCL"))</f>
        <v/>
      </c>
      <c r="AU2114" s="34" t="str">
        <f aca="false">IF($B2114="","",COUNTIF($F2114:$AJ2114,"WO"))</f>
        <v/>
      </c>
      <c r="AV2114" s="34" t="str">
        <f aca="false">IF($B2114="","",COUNTIF($F2114:$AJ2114,"PH"))</f>
        <v/>
      </c>
      <c r="AW2114" s="34" t="str">
        <f aca="false">IF($B2114="","",COUNTIF($F2114:$AJ2114,"TR"))</f>
        <v/>
      </c>
      <c r="AX2114" s="35" t="str">
        <f aca="false">IF($B2114="","",AO2114+AS2114/2)</f>
        <v/>
      </c>
      <c r="AY2114" s="35" t="str">
        <f aca="false">IF($B2114="","",AQ2114)</f>
        <v/>
      </c>
      <c r="AZ2114" s="35" t="str">
        <f aca="false">IF($B2114="","",AP2114+AT2114/2)</f>
        <v/>
      </c>
      <c r="BA2114" s="35" t="str">
        <f aca="false">IF($B2114="","",AK2114+AN2114+AM2114/2+AO2114+AP2114+AQ2114+AR2114+AS2114+AT2114+AU2114+AV2114+AW2114)</f>
        <v/>
      </c>
      <c r="BB2114" s="35" t="str">
        <f aca="false">IF($B2114="","",MAX(0,AN2114-Settings!$C$16)*Settings!$C$17)</f>
        <v/>
      </c>
      <c r="BC2114" s="35" t="str">
        <f aca="false">IF($B2114="","",BA2114-BB2114)</f>
        <v/>
      </c>
      <c r="BD2114" s="35" t="str">
        <f aca="false">IF(OR($B2114="",$A2114=""),"",DAY(EOMONTH($A2114,0))-COUNTA($F2114:$AJ2114))</f>
        <v/>
      </c>
    </row>
    <row r="2115" customFormat="false" ht="15" hidden="false" customHeight="false" outlineLevel="0" collapsed="false">
      <c r="A2115" s="32"/>
      <c r="B2115" s="29"/>
      <c r="C2115" s="10" t="str">
        <f aca="false">IF($B2115="","",IFERROR(INDEX(M_name,MATCH($B2115,M_emp,0)),"Code not found"))</f>
        <v/>
      </c>
      <c r="D2115" s="10" t="str">
        <f aca="false">IF($B2115="","",IFERROR(INDEX(M_dept,MATCH($B2115,M_emp,0)),""))</f>
        <v/>
      </c>
      <c r="E2115" s="10" t="str">
        <f aca="false">IF($B2115="","",IFERROR(INDEX(M_loc,MATCH($B2115,M_emp,0)),""))</f>
        <v/>
      </c>
      <c r="F2115" s="33"/>
      <c r="G2115" s="33"/>
      <c r="H2115" s="33"/>
      <c r="I2115" s="33"/>
      <c r="J2115" s="33"/>
      <c r="K2115" s="33"/>
      <c r="L2115" s="33"/>
      <c r="M2115" s="33"/>
      <c r="N2115" s="33"/>
      <c r="O2115" s="33"/>
      <c r="P2115" s="33"/>
      <c r="Q2115" s="33"/>
      <c r="R2115" s="33"/>
      <c r="S2115" s="33"/>
      <c r="T2115" s="33"/>
      <c r="U2115" s="33"/>
      <c r="V2115" s="33"/>
      <c r="W2115" s="33"/>
      <c r="X2115" s="33"/>
      <c r="Y2115" s="33"/>
      <c r="Z2115" s="33"/>
      <c r="AA2115" s="33"/>
      <c r="AB2115" s="33"/>
      <c r="AC2115" s="33"/>
      <c r="AD2115" s="33"/>
      <c r="AE2115" s="33"/>
      <c r="AF2115" s="33"/>
      <c r="AG2115" s="33"/>
      <c r="AH2115" s="33"/>
      <c r="AI2115" s="33"/>
      <c r="AJ2115" s="33"/>
      <c r="AK2115" s="34" t="str">
        <f aca="false">IF($B2115="","",COUNTIF($F2115:$AJ2115,"P"))</f>
        <v/>
      </c>
      <c r="AL2115" s="34" t="str">
        <f aca="false">IF($B2115="","",COUNTIF($F2115:$AJ2115,"A"))</f>
        <v/>
      </c>
      <c r="AM2115" s="34" t="str">
        <f aca="false">IF($B2115="","",COUNTIF($F2115:$AJ2115,"HA"))</f>
        <v/>
      </c>
      <c r="AN2115" s="34" t="str">
        <f aca="false">IF($B2115="","",COUNTIF($F2115:$AJ2115,"L"))</f>
        <v/>
      </c>
      <c r="AO2115" s="34" t="str">
        <f aca="false">IF($B2115="","",COUNTIF($F2115:$AJ2115,"PL"))</f>
        <v/>
      </c>
      <c r="AP2115" s="34" t="str">
        <f aca="false">IF($B2115="","",COUNTIF($F2115:$AJ2115,"CL"))</f>
        <v/>
      </c>
      <c r="AQ2115" s="34" t="str">
        <f aca="false">IF($B2115="","",COUNTIF($F2115:$AJ2115,"SL"))</f>
        <v/>
      </c>
      <c r="AR2115" s="34" t="str">
        <f aca="false">IF($B2115="","",COUNTIF($F2115:$AJ2115,"CO"))</f>
        <v/>
      </c>
      <c r="AS2115" s="34" t="str">
        <f aca="false">IF($B2115="","",COUNTIF($F2115:$AJ2115,"HPL"))</f>
        <v/>
      </c>
      <c r="AT2115" s="34" t="str">
        <f aca="false">IF($B2115="","",COUNTIF($F2115:$AJ2115,"HCL"))</f>
        <v/>
      </c>
      <c r="AU2115" s="34" t="str">
        <f aca="false">IF($B2115="","",COUNTIF($F2115:$AJ2115,"WO"))</f>
        <v/>
      </c>
      <c r="AV2115" s="34" t="str">
        <f aca="false">IF($B2115="","",COUNTIF($F2115:$AJ2115,"PH"))</f>
        <v/>
      </c>
      <c r="AW2115" s="34" t="str">
        <f aca="false">IF($B2115="","",COUNTIF($F2115:$AJ2115,"TR"))</f>
        <v/>
      </c>
      <c r="AX2115" s="35" t="str">
        <f aca="false">IF($B2115="","",AO2115+AS2115/2)</f>
        <v/>
      </c>
      <c r="AY2115" s="35" t="str">
        <f aca="false">IF($B2115="","",AQ2115)</f>
        <v/>
      </c>
      <c r="AZ2115" s="35" t="str">
        <f aca="false">IF($B2115="","",AP2115+AT2115/2)</f>
        <v/>
      </c>
      <c r="BA2115" s="35" t="str">
        <f aca="false">IF($B2115="","",AK2115+AN2115+AM2115/2+AO2115+AP2115+AQ2115+AR2115+AS2115+AT2115+AU2115+AV2115+AW2115)</f>
        <v/>
      </c>
      <c r="BB2115" s="35" t="str">
        <f aca="false">IF($B2115="","",MAX(0,AN2115-Settings!$C$16)*Settings!$C$17)</f>
        <v/>
      </c>
      <c r="BC2115" s="35" t="str">
        <f aca="false">IF($B2115="","",BA2115-BB2115)</f>
        <v/>
      </c>
      <c r="BD2115" s="35" t="str">
        <f aca="false">IF(OR($B2115="",$A2115=""),"",DAY(EOMONTH($A2115,0))-COUNTA($F2115:$AJ2115))</f>
        <v/>
      </c>
    </row>
    <row r="2116" customFormat="false" ht="15" hidden="false" customHeight="false" outlineLevel="0" collapsed="false">
      <c r="A2116" s="32"/>
      <c r="B2116" s="29"/>
      <c r="C2116" s="10" t="str">
        <f aca="false">IF($B2116="","",IFERROR(INDEX(M_name,MATCH($B2116,M_emp,0)),"Code not found"))</f>
        <v/>
      </c>
      <c r="D2116" s="10" t="str">
        <f aca="false">IF($B2116="","",IFERROR(INDEX(M_dept,MATCH($B2116,M_emp,0)),""))</f>
        <v/>
      </c>
      <c r="E2116" s="10" t="str">
        <f aca="false">IF($B2116="","",IFERROR(INDEX(M_loc,MATCH($B2116,M_emp,0)),""))</f>
        <v/>
      </c>
      <c r="F2116" s="33"/>
      <c r="G2116" s="33"/>
      <c r="H2116" s="33"/>
      <c r="I2116" s="33"/>
      <c r="J2116" s="33"/>
      <c r="K2116" s="33"/>
      <c r="L2116" s="33"/>
      <c r="M2116" s="33"/>
      <c r="N2116" s="33"/>
      <c r="O2116" s="33"/>
      <c r="P2116" s="33"/>
      <c r="Q2116" s="33"/>
      <c r="R2116" s="33"/>
      <c r="S2116" s="33"/>
      <c r="T2116" s="33"/>
      <c r="U2116" s="33"/>
      <c r="V2116" s="33"/>
      <c r="W2116" s="33"/>
      <c r="X2116" s="33"/>
      <c r="Y2116" s="33"/>
      <c r="Z2116" s="33"/>
      <c r="AA2116" s="33"/>
      <c r="AB2116" s="33"/>
      <c r="AC2116" s="33"/>
      <c r="AD2116" s="33"/>
      <c r="AE2116" s="33"/>
      <c r="AF2116" s="33"/>
      <c r="AG2116" s="33"/>
      <c r="AH2116" s="33"/>
      <c r="AI2116" s="33"/>
      <c r="AJ2116" s="33"/>
      <c r="AK2116" s="34" t="str">
        <f aca="false">IF($B2116="","",COUNTIF($F2116:$AJ2116,"P"))</f>
        <v/>
      </c>
      <c r="AL2116" s="34" t="str">
        <f aca="false">IF($B2116="","",COUNTIF($F2116:$AJ2116,"A"))</f>
        <v/>
      </c>
      <c r="AM2116" s="34" t="str">
        <f aca="false">IF($B2116="","",COUNTIF($F2116:$AJ2116,"HA"))</f>
        <v/>
      </c>
      <c r="AN2116" s="34" t="str">
        <f aca="false">IF($B2116="","",COUNTIF($F2116:$AJ2116,"L"))</f>
        <v/>
      </c>
      <c r="AO2116" s="34" t="str">
        <f aca="false">IF($B2116="","",COUNTIF($F2116:$AJ2116,"PL"))</f>
        <v/>
      </c>
      <c r="AP2116" s="34" t="str">
        <f aca="false">IF($B2116="","",COUNTIF($F2116:$AJ2116,"CL"))</f>
        <v/>
      </c>
      <c r="AQ2116" s="34" t="str">
        <f aca="false">IF($B2116="","",COUNTIF($F2116:$AJ2116,"SL"))</f>
        <v/>
      </c>
      <c r="AR2116" s="34" t="str">
        <f aca="false">IF($B2116="","",COUNTIF($F2116:$AJ2116,"CO"))</f>
        <v/>
      </c>
      <c r="AS2116" s="34" t="str">
        <f aca="false">IF($B2116="","",COUNTIF($F2116:$AJ2116,"HPL"))</f>
        <v/>
      </c>
      <c r="AT2116" s="34" t="str">
        <f aca="false">IF($B2116="","",COUNTIF($F2116:$AJ2116,"HCL"))</f>
        <v/>
      </c>
      <c r="AU2116" s="34" t="str">
        <f aca="false">IF($B2116="","",COUNTIF($F2116:$AJ2116,"WO"))</f>
        <v/>
      </c>
      <c r="AV2116" s="34" t="str">
        <f aca="false">IF($B2116="","",COUNTIF($F2116:$AJ2116,"PH"))</f>
        <v/>
      </c>
      <c r="AW2116" s="34" t="str">
        <f aca="false">IF($B2116="","",COUNTIF($F2116:$AJ2116,"TR"))</f>
        <v/>
      </c>
      <c r="AX2116" s="35" t="str">
        <f aca="false">IF($B2116="","",AO2116+AS2116/2)</f>
        <v/>
      </c>
      <c r="AY2116" s="35" t="str">
        <f aca="false">IF($B2116="","",AQ2116)</f>
        <v/>
      </c>
      <c r="AZ2116" s="35" t="str">
        <f aca="false">IF($B2116="","",AP2116+AT2116/2)</f>
        <v/>
      </c>
      <c r="BA2116" s="35" t="str">
        <f aca="false">IF($B2116="","",AK2116+AN2116+AM2116/2+AO2116+AP2116+AQ2116+AR2116+AS2116+AT2116+AU2116+AV2116+AW2116)</f>
        <v/>
      </c>
      <c r="BB2116" s="35" t="str">
        <f aca="false">IF($B2116="","",MAX(0,AN2116-Settings!$C$16)*Settings!$C$17)</f>
        <v/>
      </c>
      <c r="BC2116" s="35" t="str">
        <f aca="false">IF($B2116="","",BA2116-BB2116)</f>
        <v/>
      </c>
      <c r="BD2116" s="35" t="str">
        <f aca="false">IF(OR($B2116="",$A2116=""),"",DAY(EOMONTH($A2116,0))-COUNTA($F2116:$AJ2116))</f>
        <v/>
      </c>
    </row>
    <row r="2117" customFormat="false" ht="15" hidden="false" customHeight="false" outlineLevel="0" collapsed="false">
      <c r="A2117" s="32"/>
      <c r="B2117" s="29"/>
      <c r="C2117" s="10" t="str">
        <f aca="false">IF($B2117="","",IFERROR(INDEX(M_name,MATCH($B2117,M_emp,0)),"Code not found"))</f>
        <v/>
      </c>
      <c r="D2117" s="10" t="str">
        <f aca="false">IF($B2117="","",IFERROR(INDEX(M_dept,MATCH($B2117,M_emp,0)),""))</f>
        <v/>
      </c>
      <c r="E2117" s="10" t="str">
        <f aca="false">IF($B2117="","",IFERROR(INDEX(M_loc,MATCH($B2117,M_emp,0)),""))</f>
        <v/>
      </c>
      <c r="F2117" s="33"/>
      <c r="G2117" s="33"/>
      <c r="H2117" s="33"/>
      <c r="I2117" s="33"/>
      <c r="J2117" s="33"/>
      <c r="K2117" s="33"/>
      <c r="L2117" s="33"/>
      <c r="M2117" s="33"/>
      <c r="N2117" s="33"/>
      <c r="O2117" s="33"/>
      <c r="P2117" s="33"/>
      <c r="Q2117" s="33"/>
      <c r="R2117" s="33"/>
      <c r="S2117" s="33"/>
      <c r="T2117" s="33"/>
      <c r="U2117" s="33"/>
      <c r="V2117" s="33"/>
      <c r="W2117" s="33"/>
      <c r="X2117" s="33"/>
      <c r="Y2117" s="33"/>
      <c r="Z2117" s="33"/>
      <c r="AA2117" s="33"/>
      <c r="AB2117" s="33"/>
      <c r="AC2117" s="33"/>
      <c r="AD2117" s="33"/>
      <c r="AE2117" s="33"/>
      <c r="AF2117" s="33"/>
      <c r="AG2117" s="33"/>
      <c r="AH2117" s="33"/>
      <c r="AI2117" s="33"/>
      <c r="AJ2117" s="33"/>
      <c r="AK2117" s="34" t="str">
        <f aca="false">IF($B2117="","",COUNTIF($F2117:$AJ2117,"P"))</f>
        <v/>
      </c>
      <c r="AL2117" s="34" t="str">
        <f aca="false">IF($B2117="","",COUNTIF($F2117:$AJ2117,"A"))</f>
        <v/>
      </c>
      <c r="AM2117" s="34" t="str">
        <f aca="false">IF($B2117="","",COUNTIF($F2117:$AJ2117,"HA"))</f>
        <v/>
      </c>
      <c r="AN2117" s="34" t="str">
        <f aca="false">IF($B2117="","",COUNTIF($F2117:$AJ2117,"L"))</f>
        <v/>
      </c>
      <c r="AO2117" s="34" t="str">
        <f aca="false">IF($B2117="","",COUNTIF($F2117:$AJ2117,"PL"))</f>
        <v/>
      </c>
      <c r="AP2117" s="34" t="str">
        <f aca="false">IF($B2117="","",COUNTIF($F2117:$AJ2117,"CL"))</f>
        <v/>
      </c>
      <c r="AQ2117" s="34" t="str">
        <f aca="false">IF($B2117="","",COUNTIF($F2117:$AJ2117,"SL"))</f>
        <v/>
      </c>
      <c r="AR2117" s="34" t="str">
        <f aca="false">IF($B2117="","",COUNTIF($F2117:$AJ2117,"CO"))</f>
        <v/>
      </c>
      <c r="AS2117" s="34" t="str">
        <f aca="false">IF($B2117="","",COUNTIF($F2117:$AJ2117,"HPL"))</f>
        <v/>
      </c>
      <c r="AT2117" s="34" t="str">
        <f aca="false">IF($B2117="","",COUNTIF($F2117:$AJ2117,"HCL"))</f>
        <v/>
      </c>
      <c r="AU2117" s="34" t="str">
        <f aca="false">IF($B2117="","",COUNTIF($F2117:$AJ2117,"WO"))</f>
        <v/>
      </c>
      <c r="AV2117" s="34" t="str">
        <f aca="false">IF($B2117="","",COUNTIF($F2117:$AJ2117,"PH"))</f>
        <v/>
      </c>
      <c r="AW2117" s="34" t="str">
        <f aca="false">IF($B2117="","",COUNTIF($F2117:$AJ2117,"TR"))</f>
        <v/>
      </c>
      <c r="AX2117" s="35" t="str">
        <f aca="false">IF($B2117="","",AO2117+AS2117/2)</f>
        <v/>
      </c>
      <c r="AY2117" s="35" t="str">
        <f aca="false">IF($B2117="","",AQ2117)</f>
        <v/>
      </c>
      <c r="AZ2117" s="35" t="str">
        <f aca="false">IF($B2117="","",AP2117+AT2117/2)</f>
        <v/>
      </c>
      <c r="BA2117" s="35" t="str">
        <f aca="false">IF($B2117="","",AK2117+AN2117+AM2117/2+AO2117+AP2117+AQ2117+AR2117+AS2117+AT2117+AU2117+AV2117+AW2117)</f>
        <v/>
      </c>
      <c r="BB2117" s="35" t="str">
        <f aca="false">IF($B2117="","",MAX(0,AN2117-Settings!$C$16)*Settings!$C$17)</f>
        <v/>
      </c>
      <c r="BC2117" s="35" t="str">
        <f aca="false">IF($B2117="","",BA2117-BB2117)</f>
        <v/>
      </c>
      <c r="BD2117" s="35" t="str">
        <f aca="false">IF(OR($B2117="",$A2117=""),"",DAY(EOMONTH($A2117,0))-COUNTA($F2117:$AJ2117))</f>
        <v/>
      </c>
    </row>
    <row r="2118" customFormat="false" ht="15" hidden="false" customHeight="false" outlineLevel="0" collapsed="false">
      <c r="A2118" s="32"/>
      <c r="B2118" s="29"/>
      <c r="C2118" s="10" t="str">
        <f aca="false">IF($B2118="","",IFERROR(INDEX(M_name,MATCH($B2118,M_emp,0)),"Code not found"))</f>
        <v/>
      </c>
      <c r="D2118" s="10" t="str">
        <f aca="false">IF($B2118="","",IFERROR(INDEX(M_dept,MATCH($B2118,M_emp,0)),""))</f>
        <v/>
      </c>
      <c r="E2118" s="10" t="str">
        <f aca="false">IF($B2118="","",IFERROR(INDEX(M_loc,MATCH($B2118,M_emp,0)),""))</f>
        <v/>
      </c>
      <c r="F2118" s="33"/>
      <c r="G2118" s="33"/>
      <c r="H2118" s="33"/>
      <c r="I2118" s="33"/>
      <c r="J2118" s="33"/>
      <c r="K2118" s="33"/>
      <c r="L2118" s="33"/>
      <c r="M2118" s="33"/>
      <c r="N2118" s="33"/>
      <c r="O2118" s="33"/>
      <c r="P2118" s="33"/>
      <c r="Q2118" s="33"/>
      <c r="R2118" s="33"/>
      <c r="S2118" s="33"/>
      <c r="T2118" s="33"/>
      <c r="U2118" s="33"/>
      <c r="V2118" s="33"/>
      <c r="W2118" s="33"/>
      <c r="X2118" s="33"/>
      <c r="Y2118" s="33"/>
      <c r="Z2118" s="33"/>
      <c r="AA2118" s="33"/>
      <c r="AB2118" s="33"/>
      <c r="AC2118" s="33"/>
      <c r="AD2118" s="33"/>
      <c r="AE2118" s="33"/>
      <c r="AF2118" s="33"/>
      <c r="AG2118" s="33"/>
      <c r="AH2118" s="33"/>
      <c r="AI2118" s="33"/>
      <c r="AJ2118" s="33"/>
      <c r="AK2118" s="34" t="str">
        <f aca="false">IF($B2118="","",COUNTIF($F2118:$AJ2118,"P"))</f>
        <v/>
      </c>
      <c r="AL2118" s="34" t="str">
        <f aca="false">IF($B2118="","",COUNTIF($F2118:$AJ2118,"A"))</f>
        <v/>
      </c>
      <c r="AM2118" s="34" t="str">
        <f aca="false">IF($B2118="","",COUNTIF($F2118:$AJ2118,"HA"))</f>
        <v/>
      </c>
      <c r="AN2118" s="34" t="str">
        <f aca="false">IF($B2118="","",COUNTIF($F2118:$AJ2118,"L"))</f>
        <v/>
      </c>
      <c r="AO2118" s="34" t="str">
        <f aca="false">IF($B2118="","",COUNTIF($F2118:$AJ2118,"PL"))</f>
        <v/>
      </c>
      <c r="AP2118" s="34" t="str">
        <f aca="false">IF($B2118="","",COUNTIF($F2118:$AJ2118,"CL"))</f>
        <v/>
      </c>
      <c r="AQ2118" s="34" t="str">
        <f aca="false">IF($B2118="","",COUNTIF($F2118:$AJ2118,"SL"))</f>
        <v/>
      </c>
      <c r="AR2118" s="34" t="str">
        <f aca="false">IF($B2118="","",COUNTIF($F2118:$AJ2118,"CO"))</f>
        <v/>
      </c>
      <c r="AS2118" s="34" t="str">
        <f aca="false">IF($B2118="","",COUNTIF($F2118:$AJ2118,"HPL"))</f>
        <v/>
      </c>
      <c r="AT2118" s="34" t="str">
        <f aca="false">IF($B2118="","",COUNTIF($F2118:$AJ2118,"HCL"))</f>
        <v/>
      </c>
      <c r="AU2118" s="34" t="str">
        <f aca="false">IF($B2118="","",COUNTIF($F2118:$AJ2118,"WO"))</f>
        <v/>
      </c>
      <c r="AV2118" s="34" t="str">
        <f aca="false">IF($B2118="","",COUNTIF($F2118:$AJ2118,"PH"))</f>
        <v/>
      </c>
      <c r="AW2118" s="34" t="str">
        <f aca="false">IF($B2118="","",COUNTIF($F2118:$AJ2118,"TR"))</f>
        <v/>
      </c>
      <c r="AX2118" s="35" t="str">
        <f aca="false">IF($B2118="","",AO2118+AS2118/2)</f>
        <v/>
      </c>
      <c r="AY2118" s="35" t="str">
        <f aca="false">IF($B2118="","",AQ2118)</f>
        <v/>
      </c>
      <c r="AZ2118" s="35" t="str">
        <f aca="false">IF($B2118="","",AP2118+AT2118/2)</f>
        <v/>
      </c>
      <c r="BA2118" s="35" t="str">
        <f aca="false">IF($B2118="","",AK2118+AN2118+AM2118/2+AO2118+AP2118+AQ2118+AR2118+AS2118+AT2118+AU2118+AV2118+AW2118)</f>
        <v/>
      </c>
      <c r="BB2118" s="35" t="str">
        <f aca="false">IF($B2118="","",MAX(0,AN2118-Settings!$C$16)*Settings!$C$17)</f>
        <v/>
      </c>
      <c r="BC2118" s="35" t="str">
        <f aca="false">IF($B2118="","",BA2118-BB2118)</f>
        <v/>
      </c>
      <c r="BD2118" s="35" t="str">
        <f aca="false">IF(OR($B2118="",$A2118=""),"",DAY(EOMONTH($A2118,0))-COUNTA($F2118:$AJ2118))</f>
        <v/>
      </c>
    </row>
    <row r="2119" customFormat="false" ht="15" hidden="false" customHeight="false" outlineLevel="0" collapsed="false">
      <c r="A2119" s="32"/>
      <c r="B2119" s="29"/>
      <c r="C2119" s="10" t="str">
        <f aca="false">IF($B2119="","",IFERROR(INDEX(M_name,MATCH($B2119,M_emp,0)),"Code not found"))</f>
        <v/>
      </c>
      <c r="D2119" s="10" t="str">
        <f aca="false">IF($B2119="","",IFERROR(INDEX(M_dept,MATCH($B2119,M_emp,0)),""))</f>
        <v/>
      </c>
      <c r="E2119" s="10" t="str">
        <f aca="false">IF($B2119="","",IFERROR(INDEX(M_loc,MATCH($B2119,M_emp,0)),""))</f>
        <v/>
      </c>
      <c r="F2119" s="33"/>
      <c r="G2119" s="33"/>
      <c r="H2119" s="33"/>
      <c r="I2119" s="33"/>
      <c r="J2119" s="33"/>
      <c r="K2119" s="33"/>
      <c r="L2119" s="33"/>
      <c r="M2119" s="33"/>
      <c r="N2119" s="33"/>
      <c r="O2119" s="33"/>
      <c r="P2119" s="33"/>
      <c r="Q2119" s="33"/>
      <c r="R2119" s="33"/>
      <c r="S2119" s="33"/>
      <c r="T2119" s="33"/>
      <c r="U2119" s="33"/>
      <c r="V2119" s="33"/>
      <c r="W2119" s="33"/>
      <c r="X2119" s="33"/>
      <c r="Y2119" s="33"/>
      <c r="Z2119" s="33"/>
      <c r="AA2119" s="33"/>
      <c r="AB2119" s="33"/>
      <c r="AC2119" s="33"/>
      <c r="AD2119" s="33"/>
      <c r="AE2119" s="33"/>
      <c r="AF2119" s="33"/>
      <c r="AG2119" s="33"/>
      <c r="AH2119" s="33"/>
      <c r="AI2119" s="33"/>
      <c r="AJ2119" s="33"/>
      <c r="AK2119" s="34" t="str">
        <f aca="false">IF($B2119="","",COUNTIF($F2119:$AJ2119,"P"))</f>
        <v/>
      </c>
      <c r="AL2119" s="34" t="str">
        <f aca="false">IF($B2119="","",COUNTIF($F2119:$AJ2119,"A"))</f>
        <v/>
      </c>
      <c r="AM2119" s="34" t="str">
        <f aca="false">IF($B2119="","",COUNTIF($F2119:$AJ2119,"HA"))</f>
        <v/>
      </c>
      <c r="AN2119" s="34" t="str">
        <f aca="false">IF($B2119="","",COUNTIF($F2119:$AJ2119,"L"))</f>
        <v/>
      </c>
      <c r="AO2119" s="34" t="str">
        <f aca="false">IF($B2119="","",COUNTIF($F2119:$AJ2119,"PL"))</f>
        <v/>
      </c>
      <c r="AP2119" s="34" t="str">
        <f aca="false">IF($B2119="","",COUNTIF($F2119:$AJ2119,"CL"))</f>
        <v/>
      </c>
      <c r="AQ2119" s="34" t="str">
        <f aca="false">IF($B2119="","",COUNTIF($F2119:$AJ2119,"SL"))</f>
        <v/>
      </c>
      <c r="AR2119" s="34" t="str">
        <f aca="false">IF($B2119="","",COUNTIF($F2119:$AJ2119,"CO"))</f>
        <v/>
      </c>
      <c r="AS2119" s="34" t="str">
        <f aca="false">IF($B2119="","",COUNTIF($F2119:$AJ2119,"HPL"))</f>
        <v/>
      </c>
      <c r="AT2119" s="34" t="str">
        <f aca="false">IF($B2119="","",COUNTIF($F2119:$AJ2119,"HCL"))</f>
        <v/>
      </c>
      <c r="AU2119" s="34" t="str">
        <f aca="false">IF($B2119="","",COUNTIF($F2119:$AJ2119,"WO"))</f>
        <v/>
      </c>
      <c r="AV2119" s="34" t="str">
        <f aca="false">IF($B2119="","",COUNTIF($F2119:$AJ2119,"PH"))</f>
        <v/>
      </c>
      <c r="AW2119" s="34" t="str">
        <f aca="false">IF($B2119="","",COUNTIF($F2119:$AJ2119,"TR"))</f>
        <v/>
      </c>
      <c r="AX2119" s="35" t="str">
        <f aca="false">IF($B2119="","",AO2119+AS2119/2)</f>
        <v/>
      </c>
      <c r="AY2119" s="35" t="str">
        <f aca="false">IF($B2119="","",AQ2119)</f>
        <v/>
      </c>
      <c r="AZ2119" s="35" t="str">
        <f aca="false">IF($B2119="","",AP2119+AT2119/2)</f>
        <v/>
      </c>
      <c r="BA2119" s="35" t="str">
        <f aca="false">IF($B2119="","",AK2119+AN2119+AM2119/2+AO2119+AP2119+AQ2119+AR2119+AS2119+AT2119+AU2119+AV2119+AW2119)</f>
        <v/>
      </c>
      <c r="BB2119" s="35" t="str">
        <f aca="false">IF($B2119="","",MAX(0,AN2119-Settings!$C$16)*Settings!$C$17)</f>
        <v/>
      </c>
      <c r="BC2119" s="35" t="str">
        <f aca="false">IF($B2119="","",BA2119-BB2119)</f>
        <v/>
      </c>
      <c r="BD2119" s="35" t="str">
        <f aca="false">IF(OR($B2119="",$A2119=""),"",DAY(EOMONTH($A2119,0))-COUNTA($F2119:$AJ2119))</f>
        <v/>
      </c>
    </row>
    <row r="2120" customFormat="false" ht="15" hidden="false" customHeight="false" outlineLevel="0" collapsed="false">
      <c r="A2120" s="32"/>
      <c r="B2120" s="29"/>
      <c r="C2120" s="10" t="str">
        <f aca="false">IF($B2120="","",IFERROR(INDEX(M_name,MATCH($B2120,M_emp,0)),"Code not found"))</f>
        <v/>
      </c>
      <c r="D2120" s="10" t="str">
        <f aca="false">IF($B2120="","",IFERROR(INDEX(M_dept,MATCH($B2120,M_emp,0)),""))</f>
        <v/>
      </c>
      <c r="E2120" s="10" t="str">
        <f aca="false">IF($B2120="","",IFERROR(INDEX(M_loc,MATCH($B2120,M_emp,0)),""))</f>
        <v/>
      </c>
      <c r="F2120" s="33"/>
      <c r="G2120" s="33"/>
      <c r="H2120" s="33"/>
      <c r="I2120" s="33"/>
      <c r="J2120" s="33"/>
      <c r="K2120" s="33"/>
      <c r="L2120" s="33"/>
      <c r="M2120" s="33"/>
      <c r="N2120" s="33"/>
      <c r="O2120" s="33"/>
      <c r="P2120" s="33"/>
      <c r="Q2120" s="33"/>
      <c r="R2120" s="33"/>
      <c r="S2120" s="33"/>
      <c r="T2120" s="33"/>
      <c r="U2120" s="33"/>
      <c r="V2120" s="33"/>
      <c r="W2120" s="33"/>
      <c r="X2120" s="33"/>
      <c r="Y2120" s="33"/>
      <c r="Z2120" s="33"/>
      <c r="AA2120" s="33"/>
      <c r="AB2120" s="33"/>
      <c r="AC2120" s="33"/>
      <c r="AD2120" s="33"/>
      <c r="AE2120" s="33"/>
      <c r="AF2120" s="33"/>
      <c r="AG2120" s="33"/>
      <c r="AH2120" s="33"/>
      <c r="AI2120" s="33"/>
      <c r="AJ2120" s="33"/>
      <c r="AK2120" s="34" t="str">
        <f aca="false">IF($B2120="","",COUNTIF($F2120:$AJ2120,"P"))</f>
        <v/>
      </c>
      <c r="AL2120" s="34" t="str">
        <f aca="false">IF($B2120="","",COUNTIF($F2120:$AJ2120,"A"))</f>
        <v/>
      </c>
      <c r="AM2120" s="34" t="str">
        <f aca="false">IF($B2120="","",COUNTIF($F2120:$AJ2120,"HA"))</f>
        <v/>
      </c>
      <c r="AN2120" s="34" t="str">
        <f aca="false">IF($B2120="","",COUNTIF($F2120:$AJ2120,"L"))</f>
        <v/>
      </c>
      <c r="AO2120" s="34" t="str">
        <f aca="false">IF($B2120="","",COUNTIF($F2120:$AJ2120,"PL"))</f>
        <v/>
      </c>
      <c r="AP2120" s="34" t="str">
        <f aca="false">IF($B2120="","",COUNTIF($F2120:$AJ2120,"CL"))</f>
        <v/>
      </c>
      <c r="AQ2120" s="34" t="str">
        <f aca="false">IF($B2120="","",COUNTIF($F2120:$AJ2120,"SL"))</f>
        <v/>
      </c>
      <c r="AR2120" s="34" t="str">
        <f aca="false">IF($B2120="","",COUNTIF($F2120:$AJ2120,"CO"))</f>
        <v/>
      </c>
      <c r="AS2120" s="34" t="str">
        <f aca="false">IF($B2120="","",COUNTIF($F2120:$AJ2120,"HPL"))</f>
        <v/>
      </c>
      <c r="AT2120" s="34" t="str">
        <f aca="false">IF($B2120="","",COUNTIF($F2120:$AJ2120,"HCL"))</f>
        <v/>
      </c>
      <c r="AU2120" s="34" t="str">
        <f aca="false">IF($B2120="","",COUNTIF($F2120:$AJ2120,"WO"))</f>
        <v/>
      </c>
      <c r="AV2120" s="34" t="str">
        <f aca="false">IF($B2120="","",COUNTIF($F2120:$AJ2120,"PH"))</f>
        <v/>
      </c>
      <c r="AW2120" s="34" t="str">
        <f aca="false">IF($B2120="","",COUNTIF($F2120:$AJ2120,"TR"))</f>
        <v/>
      </c>
      <c r="AX2120" s="35" t="str">
        <f aca="false">IF($B2120="","",AO2120+AS2120/2)</f>
        <v/>
      </c>
      <c r="AY2120" s="35" t="str">
        <f aca="false">IF($B2120="","",AQ2120)</f>
        <v/>
      </c>
      <c r="AZ2120" s="35" t="str">
        <f aca="false">IF($B2120="","",AP2120+AT2120/2)</f>
        <v/>
      </c>
      <c r="BA2120" s="35" t="str">
        <f aca="false">IF($B2120="","",AK2120+AN2120+AM2120/2+AO2120+AP2120+AQ2120+AR2120+AS2120+AT2120+AU2120+AV2120+AW2120)</f>
        <v/>
      </c>
      <c r="BB2120" s="35" t="str">
        <f aca="false">IF($B2120="","",MAX(0,AN2120-Settings!$C$16)*Settings!$C$17)</f>
        <v/>
      </c>
      <c r="BC2120" s="35" t="str">
        <f aca="false">IF($B2120="","",BA2120-BB2120)</f>
        <v/>
      </c>
      <c r="BD2120" s="35" t="str">
        <f aca="false">IF(OR($B2120="",$A2120=""),"",DAY(EOMONTH($A2120,0))-COUNTA($F2120:$AJ2120))</f>
        <v/>
      </c>
    </row>
    <row r="2121" customFormat="false" ht="15" hidden="false" customHeight="false" outlineLevel="0" collapsed="false">
      <c r="A2121" s="32"/>
      <c r="B2121" s="29"/>
      <c r="C2121" s="10" t="str">
        <f aca="false">IF($B2121="","",IFERROR(INDEX(M_name,MATCH($B2121,M_emp,0)),"Code not found"))</f>
        <v/>
      </c>
      <c r="D2121" s="10" t="str">
        <f aca="false">IF($B2121="","",IFERROR(INDEX(M_dept,MATCH($B2121,M_emp,0)),""))</f>
        <v/>
      </c>
      <c r="E2121" s="10" t="str">
        <f aca="false">IF($B2121="","",IFERROR(INDEX(M_loc,MATCH($B2121,M_emp,0)),""))</f>
        <v/>
      </c>
      <c r="F2121" s="33"/>
      <c r="G2121" s="33"/>
      <c r="H2121" s="33"/>
      <c r="I2121" s="33"/>
      <c r="J2121" s="33"/>
      <c r="K2121" s="33"/>
      <c r="L2121" s="33"/>
      <c r="M2121" s="33"/>
      <c r="N2121" s="33"/>
      <c r="O2121" s="33"/>
      <c r="P2121" s="33"/>
      <c r="Q2121" s="33"/>
      <c r="R2121" s="33"/>
      <c r="S2121" s="33"/>
      <c r="T2121" s="33"/>
      <c r="U2121" s="33"/>
      <c r="V2121" s="33"/>
      <c r="W2121" s="33"/>
      <c r="X2121" s="33"/>
      <c r="Y2121" s="33"/>
      <c r="Z2121" s="33"/>
      <c r="AA2121" s="33"/>
      <c r="AB2121" s="33"/>
      <c r="AC2121" s="33"/>
      <c r="AD2121" s="33"/>
      <c r="AE2121" s="33"/>
      <c r="AF2121" s="33"/>
      <c r="AG2121" s="33"/>
      <c r="AH2121" s="33"/>
      <c r="AI2121" s="33"/>
      <c r="AJ2121" s="33"/>
      <c r="AK2121" s="34" t="str">
        <f aca="false">IF($B2121="","",COUNTIF($F2121:$AJ2121,"P"))</f>
        <v/>
      </c>
      <c r="AL2121" s="34" t="str">
        <f aca="false">IF($B2121="","",COUNTIF($F2121:$AJ2121,"A"))</f>
        <v/>
      </c>
      <c r="AM2121" s="34" t="str">
        <f aca="false">IF($B2121="","",COUNTIF($F2121:$AJ2121,"HA"))</f>
        <v/>
      </c>
      <c r="AN2121" s="34" t="str">
        <f aca="false">IF($B2121="","",COUNTIF($F2121:$AJ2121,"L"))</f>
        <v/>
      </c>
      <c r="AO2121" s="34" t="str">
        <f aca="false">IF($B2121="","",COUNTIF($F2121:$AJ2121,"PL"))</f>
        <v/>
      </c>
      <c r="AP2121" s="34" t="str">
        <f aca="false">IF($B2121="","",COUNTIF($F2121:$AJ2121,"CL"))</f>
        <v/>
      </c>
      <c r="AQ2121" s="34" t="str">
        <f aca="false">IF($B2121="","",COUNTIF($F2121:$AJ2121,"SL"))</f>
        <v/>
      </c>
      <c r="AR2121" s="34" t="str">
        <f aca="false">IF($B2121="","",COUNTIF($F2121:$AJ2121,"CO"))</f>
        <v/>
      </c>
      <c r="AS2121" s="34" t="str">
        <f aca="false">IF($B2121="","",COUNTIF($F2121:$AJ2121,"HPL"))</f>
        <v/>
      </c>
      <c r="AT2121" s="34" t="str">
        <f aca="false">IF($B2121="","",COUNTIF($F2121:$AJ2121,"HCL"))</f>
        <v/>
      </c>
      <c r="AU2121" s="34" t="str">
        <f aca="false">IF($B2121="","",COUNTIF($F2121:$AJ2121,"WO"))</f>
        <v/>
      </c>
      <c r="AV2121" s="34" t="str">
        <f aca="false">IF($B2121="","",COUNTIF($F2121:$AJ2121,"PH"))</f>
        <v/>
      </c>
      <c r="AW2121" s="34" t="str">
        <f aca="false">IF($B2121="","",COUNTIF($F2121:$AJ2121,"TR"))</f>
        <v/>
      </c>
      <c r="AX2121" s="35" t="str">
        <f aca="false">IF($B2121="","",AO2121+AS2121/2)</f>
        <v/>
      </c>
      <c r="AY2121" s="35" t="str">
        <f aca="false">IF($B2121="","",AQ2121)</f>
        <v/>
      </c>
      <c r="AZ2121" s="35" t="str">
        <f aca="false">IF($B2121="","",AP2121+AT2121/2)</f>
        <v/>
      </c>
      <c r="BA2121" s="35" t="str">
        <f aca="false">IF($B2121="","",AK2121+AN2121+AM2121/2+AO2121+AP2121+AQ2121+AR2121+AS2121+AT2121+AU2121+AV2121+AW2121)</f>
        <v/>
      </c>
      <c r="BB2121" s="35" t="str">
        <f aca="false">IF($B2121="","",MAX(0,AN2121-Settings!$C$16)*Settings!$C$17)</f>
        <v/>
      </c>
      <c r="BC2121" s="35" t="str">
        <f aca="false">IF($B2121="","",BA2121-BB2121)</f>
        <v/>
      </c>
      <c r="BD2121" s="35" t="str">
        <f aca="false">IF(OR($B2121="",$A2121=""),"",DAY(EOMONTH($A2121,0))-COUNTA($F2121:$AJ2121))</f>
        <v/>
      </c>
    </row>
    <row r="2122" customFormat="false" ht="15" hidden="false" customHeight="false" outlineLevel="0" collapsed="false">
      <c r="A2122" s="32"/>
      <c r="B2122" s="29"/>
      <c r="C2122" s="10" t="str">
        <f aca="false">IF($B2122="","",IFERROR(INDEX(M_name,MATCH($B2122,M_emp,0)),"Code not found"))</f>
        <v/>
      </c>
      <c r="D2122" s="10" t="str">
        <f aca="false">IF($B2122="","",IFERROR(INDEX(M_dept,MATCH($B2122,M_emp,0)),""))</f>
        <v/>
      </c>
      <c r="E2122" s="10" t="str">
        <f aca="false">IF($B2122="","",IFERROR(INDEX(M_loc,MATCH($B2122,M_emp,0)),""))</f>
        <v/>
      </c>
      <c r="F2122" s="33"/>
      <c r="G2122" s="33"/>
      <c r="H2122" s="33"/>
      <c r="I2122" s="33"/>
      <c r="J2122" s="33"/>
      <c r="K2122" s="33"/>
      <c r="L2122" s="33"/>
      <c r="M2122" s="33"/>
      <c r="N2122" s="33"/>
      <c r="O2122" s="33"/>
      <c r="P2122" s="33"/>
      <c r="Q2122" s="33"/>
      <c r="R2122" s="33"/>
      <c r="S2122" s="33"/>
      <c r="T2122" s="33"/>
      <c r="U2122" s="33"/>
      <c r="V2122" s="33"/>
      <c r="W2122" s="33"/>
      <c r="X2122" s="33"/>
      <c r="Y2122" s="33"/>
      <c r="Z2122" s="33"/>
      <c r="AA2122" s="33"/>
      <c r="AB2122" s="33"/>
      <c r="AC2122" s="33"/>
      <c r="AD2122" s="33"/>
      <c r="AE2122" s="33"/>
      <c r="AF2122" s="33"/>
      <c r="AG2122" s="33"/>
      <c r="AH2122" s="33"/>
      <c r="AI2122" s="33"/>
      <c r="AJ2122" s="33"/>
      <c r="AK2122" s="34" t="str">
        <f aca="false">IF($B2122="","",COUNTIF($F2122:$AJ2122,"P"))</f>
        <v/>
      </c>
      <c r="AL2122" s="34" t="str">
        <f aca="false">IF($B2122="","",COUNTIF($F2122:$AJ2122,"A"))</f>
        <v/>
      </c>
      <c r="AM2122" s="34" t="str">
        <f aca="false">IF($B2122="","",COUNTIF($F2122:$AJ2122,"HA"))</f>
        <v/>
      </c>
      <c r="AN2122" s="34" t="str">
        <f aca="false">IF($B2122="","",COUNTIF($F2122:$AJ2122,"L"))</f>
        <v/>
      </c>
      <c r="AO2122" s="34" t="str">
        <f aca="false">IF($B2122="","",COUNTIF($F2122:$AJ2122,"PL"))</f>
        <v/>
      </c>
      <c r="AP2122" s="34" t="str">
        <f aca="false">IF($B2122="","",COUNTIF($F2122:$AJ2122,"CL"))</f>
        <v/>
      </c>
      <c r="AQ2122" s="34" t="str">
        <f aca="false">IF($B2122="","",COUNTIF($F2122:$AJ2122,"SL"))</f>
        <v/>
      </c>
      <c r="AR2122" s="34" t="str">
        <f aca="false">IF($B2122="","",COUNTIF($F2122:$AJ2122,"CO"))</f>
        <v/>
      </c>
      <c r="AS2122" s="34" t="str">
        <f aca="false">IF($B2122="","",COUNTIF($F2122:$AJ2122,"HPL"))</f>
        <v/>
      </c>
      <c r="AT2122" s="34" t="str">
        <f aca="false">IF($B2122="","",COUNTIF($F2122:$AJ2122,"HCL"))</f>
        <v/>
      </c>
      <c r="AU2122" s="34" t="str">
        <f aca="false">IF($B2122="","",COUNTIF($F2122:$AJ2122,"WO"))</f>
        <v/>
      </c>
      <c r="AV2122" s="34" t="str">
        <f aca="false">IF($B2122="","",COUNTIF($F2122:$AJ2122,"PH"))</f>
        <v/>
      </c>
      <c r="AW2122" s="34" t="str">
        <f aca="false">IF($B2122="","",COUNTIF($F2122:$AJ2122,"TR"))</f>
        <v/>
      </c>
      <c r="AX2122" s="35" t="str">
        <f aca="false">IF($B2122="","",AO2122+AS2122/2)</f>
        <v/>
      </c>
      <c r="AY2122" s="35" t="str">
        <f aca="false">IF($B2122="","",AQ2122)</f>
        <v/>
      </c>
      <c r="AZ2122" s="35" t="str">
        <f aca="false">IF($B2122="","",AP2122+AT2122/2)</f>
        <v/>
      </c>
      <c r="BA2122" s="35" t="str">
        <f aca="false">IF($B2122="","",AK2122+AN2122+AM2122/2+AO2122+AP2122+AQ2122+AR2122+AS2122+AT2122+AU2122+AV2122+AW2122)</f>
        <v/>
      </c>
      <c r="BB2122" s="35" t="str">
        <f aca="false">IF($B2122="","",MAX(0,AN2122-Settings!$C$16)*Settings!$C$17)</f>
        <v/>
      </c>
      <c r="BC2122" s="35" t="str">
        <f aca="false">IF($B2122="","",BA2122-BB2122)</f>
        <v/>
      </c>
      <c r="BD2122" s="35" t="str">
        <f aca="false">IF(OR($B2122="",$A2122=""),"",DAY(EOMONTH($A2122,0))-COUNTA($F2122:$AJ2122))</f>
        <v/>
      </c>
    </row>
    <row r="2123" customFormat="false" ht="15" hidden="false" customHeight="false" outlineLevel="0" collapsed="false">
      <c r="A2123" s="32"/>
      <c r="B2123" s="29"/>
      <c r="C2123" s="10" t="str">
        <f aca="false">IF($B2123="","",IFERROR(INDEX(M_name,MATCH($B2123,M_emp,0)),"Code not found"))</f>
        <v/>
      </c>
      <c r="D2123" s="10" t="str">
        <f aca="false">IF($B2123="","",IFERROR(INDEX(M_dept,MATCH($B2123,M_emp,0)),""))</f>
        <v/>
      </c>
      <c r="E2123" s="10" t="str">
        <f aca="false">IF($B2123="","",IFERROR(INDEX(M_loc,MATCH($B2123,M_emp,0)),""))</f>
        <v/>
      </c>
      <c r="F2123" s="33"/>
      <c r="G2123" s="33"/>
      <c r="H2123" s="33"/>
      <c r="I2123" s="33"/>
      <c r="J2123" s="33"/>
      <c r="K2123" s="33"/>
      <c r="L2123" s="33"/>
      <c r="M2123" s="33"/>
      <c r="N2123" s="33"/>
      <c r="O2123" s="33"/>
      <c r="P2123" s="33"/>
      <c r="Q2123" s="33"/>
      <c r="R2123" s="33"/>
      <c r="S2123" s="33"/>
      <c r="T2123" s="33"/>
      <c r="U2123" s="33"/>
      <c r="V2123" s="33"/>
      <c r="W2123" s="33"/>
      <c r="X2123" s="33"/>
      <c r="Y2123" s="33"/>
      <c r="Z2123" s="33"/>
      <c r="AA2123" s="33"/>
      <c r="AB2123" s="33"/>
      <c r="AC2123" s="33"/>
      <c r="AD2123" s="33"/>
      <c r="AE2123" s="33"/>
      <c r="AF2123" s="33"/>
      <c r="AG2123" s="33"/>
      <c r="AH2123" s="33"/>
      <c r="AI2123" s="33"/>
      <c r="AJ2123" s="33"/>
      <c r="AK2123" s="34" t="str">
        <f aca="false">IF($B2123="","",COUNTIF($F2123:$AJ2123,"P"))</f>
        <v/>
      </c>
      <c r="AL2123" s="34" t="str">
        <f aca="false">IF($B2123="","",COUNTIF($F2123:$AJ2123,"A"))</f>
        <v/>
      </c>
      <c r="AM2123" s="34" t="str">
        <f aca="false">IF($B2123="","",COUNTIF($F2123:$AJ2123,"HA"))</f>
        <v/>
      </c>
      <c r="AN2123" s="34" t="str">
        <f aca="false">IF($B2123="","",COUNTIF($F2123:$AJ2123,"L"))</f>
        <v/>
      </c>
      <c r="AO2123" s="34" t="str">
        <f aca="false">IF($B2123="","",COUNTIF($F2123:$AJ2123,"PL"))</f>
        <v/>
      </c>
      <c r="AP2123" s="34" t="str">
        <f aca="false">IF($B2123="","",COUNTIF($F2123:$AJ2123,"CL"))</f>
        <v/>
      </c>
      <c r="AQ2123" s="34" t="str">
        <f aca="false">IF($B2123="","",COUNTIF($F2123:$AJ2123,"SL"))</f>
        <v/>
      </c>
      <c r="AR2123" s="34" t="str">
        <f aca="false">IF($B2123="","",COUNTIF($F2123:$AJ2123,"CO"))</f>
        <v/>
      </c>
      <c r="AS2123" s="34" t="str">
        <f aca="false">IF($B2123="","",COUNTIF($F2123:$AJ2123,"HPL"))</f>
        <v/>
      </c>
      <c r="AT2123" s="34" t="str">
        <f aca="false">IF($B2123="","",COUNTIF($F2123:$AJ2123,"HCL"))</f>
        <v/>
      </c>
      <c r="AU2123" s="34" t="str">
        <f aca="false">IF($B2123="","",COUNTIF($F2123:$AJ2123,"WO"))</f>
        <v/>
      </c>
      <c r="AV2123" s="34" t="str">
        <f aca="false">IF($B2123="","",COUNTIF($F2123:$AJ2123,"PH"))</f>
        <v/>
      </c>
      <c r="AW2123" s="34" t="str">
        <f aca="false">IF($B2123="","",COUNTIF($F2123:$AJ2123,"TR"))</f>
        <v/>
      </c>
      <c r="AX2123" s="35" t="str">
        <f aca="false">IF($B2123="","",AO2123+AS2123/2)</f>
        <v/>
      </c>
      <c r="AY2123" s="35" t="str">
        <f aca="false">IF($B2123="","",AQ2123)</f>
        <v/>
      </c>
      <c r="AZ2123" s="35" t="str">
        <f aca="false">IF($B2123="","",AP2123+AT2123/2)</f>
        <v/>
      </c>
      <c r="BA2123" s="35" t="str">
        <f aca="false">IF($B2123="","",AK2123+AN2123+AM2123/2+AO2123+AP2123+AQ2123+AR2123+AS2123+AT2123+AU2123+AV2123+AW2123)</f>
        <v/>
      </c>
      <c r="BB2123" s="35" t="str">
        <f aca="false">IF($B2123="","",MAX(0,AN2123-Settings!$C$16)*Settings!$C$17)</f>
        <v/>
      </c>
      <c r="BC2123" s="35" t="str">
        <f aca="false">IF($B2123="","",BA2123-BB2123)</f>
        <v/>
      </c>
      <c r="BD2123" s="35" t="str">
        <f aca="false">IF(OR($B2123="",$A2123=""),"",DAY(EOMONTH($A2123,0))-COUNTA($F2123:$AJ2123))</f>
        <v/>
      </c>
    </row>
    <row r="2124" customFormat="false" ht="15" hidden="false" customHeight="false" outlineLevel="0" collapsed="false">
      <c r="A2124" s="32"/>
      <c r="B2124" s="29"/>
      <c r="C2124" s="10" t="str">
        <f aca="false">IF($B2124="","",IFERROR(INDEX(M_name,MATCH($B2124,M_emp,0)),"Code not found"))</f>
        <v/>
      </c>
      <c r="D2124" s="10" t="str">
        <f aca="false">IF($B2124="","",IFERROR(INDEX(M_dept,MATCH($B2124,M_emp,0)),""))</f>
        <v/>
      </c>
      <c r="E2124" s="10" t="str">
        <f aca="false">IF($B2124="","",IFERROR(INDEX(M_loc,MATCH($B2124,M_emp,0)),""))</f>
        <v/>
      </c>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c r="AB2124" s="33"/>
      <c r="AC2124" s="33"/>
      <c r="AD2124" s="33"/>
      <c r="AE2124" s="33"/>
      <c r="AF2124" s="33"/>
      <c r="AG2124" s="33"/>
      <c r="AH2124" s="33"/>
      <c r="AI2124" s="33"/>
      <c r="AJ2124" s="33"/>
      <c r="AK2124" s="34" t="str">
        <f aca="false">IF($B2124="","",COUNTIF($F2124:$AJ2124,"P"))</f>
        <v/>
      </c>
      <c r="AL2124" s="34" t="str">
        <f aca="false">IF($B2124="","",COUNTIF($F2124:$AJ2124,"A"))</f>
        <v/>
      </c>
      <c r="AM2124" s="34" t="str">
        <f aca="false">IF($B2124="","",COUNTIF($F2124:$AJ2124,"HA"))</f>
        <v/>
      </c>
      <c r="AN2124" s="34" t="str">
        <f aca="false">IF($B2124="","",COUNTIF($F2124:$AJ2124,"L"))</f>
        <v/>
      </c>
      <c r="AO2124" s="34" t="str">
        <f aca="false">IF($B2124="","",COUNTIF($F2124:$AJ2124,"PL"))</f>
        <v/>
      </c>
      <c r="AP2124" s="34" t="str">
        <f aca="false">IF($B2124="","",COUNTIF($F2124:$AJ2124,"CL"))</f>
        <v/>
      </c>
      <c r="AQ2124" s="34" t="str">
        <f aca="false">IF($B2124="","",COUNTIF($F2124:$AJ2124,"SL"))</f>
        <v/>
      </c>
      <c r="AR2124" s="34" t="str">
        <f aca="false">IF($B2124="","",COUNTIF($F2124:$AJ2124,"CO"))</f>
        <v/>
      </c>
      <c r="AS2124" s="34" t="str">
        <f aca="false">IF($B2124="","",COUNTIF($F2124:$AJ2124,"HPL"))</f>
        <v/>
      </c>
      <c r="AT2124" s="34" t="str">
        <f aca="false">IF($B2124="","",COUNTIF($F2124:$AJ2124,"HCL"))</f>
        <v/>
      </c>
      <c r="AU2124" s="34" t="str">
        <f aca="false">IF($B2124="","",COUNTIF($F2124:$AJ2124,"WO"))</f>
        <v/>
      </c>
      <c r="AV2124" s="34" t="str">
        <f aca="false">IF($B2124="","",COUNTIF($F2124:$AJ2124,"PH"))</f>
        <v/>
      </c>
      <c r="AW2124" s="34" t="str">
        <f aca="false">IF($B2124="","",COUNTIF($F2124:$AJ2124,"TR"))</f>
        <v/>
      </c>
      <c r="AX2124" s="35" t="str">
        <f aca="false">IF($B2124="","",AO2124+AS2124/2)</f>
        <v/>
      </c>
      <c r="AY2124" s="35" t="str">
        <f aca="false">IF($B2124="","",AQ2124)</f>
        <v/>
      </c>
      <c r="AZ2124" s="35" t="str">
        <f aca="false">IF($B2124="","",AP2124+AT2124/2)</f>
        <v/>
      </c>
      <c r="BA2124" s="35" t="str">
        <f aca="false">IF($B2124="","",AK2124+AN2124+AM2124/2+AO2124+AP2124+AQ2124+AR2124+AS2124+AT2124+AU2124+AV2124+AW2124)</f>
        <v/>
      </c>
      <c r="BB2124" s="35" t="str">
        <f aca="false">IF($B2124="","",MAX(0,AN2124-Settings!$C$16)*Settings!$C$17)</f>
        <v/>
      </c>
      <c r="BC2124" s="35" t="str">
        <f aca="false">IF($B2124="","",BA2124-BB2124)</f>
        <v/>
      </c>
      <c r="BD2124" s="35" t="str">
        <f aca="false">IF(OR($B2124="",$A2124=""),"",DAY(EOMONTH($A2124,0))-COUNTA($F2124:$AJ2124))</f>
        <v/>
      </c>
    </row>
    <row r="2125" customFormat="false" ht="15" hidden="false" customHeight="false" outlineLevel="0" collapsed="false">
      <c r="A2125" s="32"/>
      <c r="B2125" s="29"/>
      <c r="C2125" s="10" t="str">
        <f aca="false">IF($B2125="","",IFERROR(INDEX(M_name,MATCH($B2125,M_emp,0)),"Code not found"))</f>
        <v/>
      </c>
      <c r="D2125" s="10" t="str">
        <f aca="false">IF($B2125="","",IFERROR(INDEX(M_dept,MATCH($B2125,M_emp,0)),""))</f>
        <v/>
      </c>
      <c r="E2125" s="10" t="str">
        <f aca="false">IF($B2125="","",IFERROR(INDEX(M_loc,MATCH($B2125,M_emp,0)),""))</f>
        <v/>
      </c>
      <c r="F2125" s="33"/>
      <c r="G2125" s="33"/>
      <c r="H2125" s="33"/>
      <c r="I2125" s="33"/>
      <c r="J2125" s="33"/>
      <c r="K2125" s="33"/>
      <c r="L2125" s="33"/>
      <c r="M2125" s="33"/>
      <c r="N2125" s="33"/>
      <c r="O2125" s="33"/>
      <c r="P2125" s="33"/>
      <c r="Q2125" s="33"/>
      <c r="R2125" s="33"/>
      <c r="S2125" s="33"/>
      <c r="T2125" s="33"/>
      <c r="U2125" s="33"/>
      <c r="V2125" s="33"/>
      <c r="W2125" s="33"/>
      <c r="X2125" s="33"/>
      <c r="Y2125" s="33"/>
      <c r="Z2125" s="33"/>
      <c r="AA2125" s="33"/>
      <c r="AB2125" s="33"/>
      <c r="AC2125" s="33"/>
      <c r="AD2125" s="33"/>
      <c r="AE2125" s="33"/>
      <c r="AF2125" s="33"/>
      <c r="AG2125" s="33"/>
      <c r="AH2125" s="33"/>
      <c r="AI2125" s="33"/>
      <c r="AJ2125" s="33"/>
      <c r="AK2125" s="34" t="str">
        <f aca="false">IF($B2125="","",COUNTIF($F2125:$AJ2125,"P"))</f>
        <v/>
      </c>
      <c r="AL2125" s="34" t="str">
        <f aca="false">IF($B2125="","",COUNTIF($F2125:$AJ2125,"A"))</f>
        <v/>
      </c>
      <c r="AM2125" s="34" t="str">
        <f aca="false">IF($B2125="","",COUNTIF($F2125:$AJ2125,"HA"))</f>
        <v/>
      </c>
      <c r="AN2125" s="34" t="str">
        <f aca="false">IF($B2125="","",COUNTIF($F2125:$AJ2125,"L"))</f>
        <v/>
      </c>
      <c r="AO2125" s="34" t="str">
        <f aca="false">IF($B2125="","",COUNTIF($F2125:$AJ2125,"PL"))</f>
        <v/>
      </c>
      <c r="AP2125" s="34" t="str">
        <f aca="false">IF($B2125="","",COUNTIF($F2125:$AJ2125,"CL"))</f>
        <v/>
      </c>
      <c r="AQ2125" s="34" t="str">
        <f aca="false">IF($B2125="","",COUNTIF($F2125:$AJ2125,"SL"))</f>
        <v/>
      </c>
      <c r="AR2125" s="34" t="str">
        <f aca="false">IF($B2125="","",COUNTIF($F2125:$AJ2125,"CO"))</f>
        <v/>
      </c>
      <c r="AS2125" s="34" t="str">
        <f aca="false">IF($B2125="","",COUNTIF($F2125:$AJ2125,"HPL"))</f>
        <v/>
      </c>
      <c r="AT2125" s="34" t="str">
        <f aca="false">IF($B2125="","",COUNTIF($F2125:$AJ2125,"HCL"))</f>
        <v/>
      </c>
      <c r="AU2125" s="34" t="str">
        <f aca="false">IF($B2125="","",COUNTIF($F2125:$AJ2125,"WO"))</f>
        <v/>
      </c>
      <c r="AV2125" s="34" t="str">
        <f aca="false">IF($B2125="","",COUNTIF($F2125:$AJ2125,"PH"))</f>
        <v/>
      </c>
      <c r="AW2125" s="34" t="str">
        <f aca="false">IF($B2125="","",COUNTIF($F2125:$AJ2125,"TR"))</f>
        <v/>
      </c>
      <c r="AX2125" s="35" t="str">
        <f aca="false">IF($B2125="","",AO2125+AS2125/2)</f>
        <v/>
      </c>
      <c r="AY2125" s="35" t="str">
        <f aca="false">IF($B2125="","",AQ2125)</f>
        <v/>
      </c>
      <c r="AZ2125" s="35" t="str">
        <f aca="false">IF($B2125="","",AP2125+AT2125/2)</f>
        <v/>
      </c>
      <c r="BA2125" s="35" t="str">
        <f aca="false">IF($B2125="","",AK2125+AN2125+AM2125/2+AO2125+AP2125+AQ2125+AR2125+AS2125+AT2125+AU2125+AV2125+AW2125)</f>
        <v/>
      </c>
      <c r="BB2125" s="35" t="str">
        <f aca="false">IF($B2125="","",MAX(0,AN2125-Settings!$C$16)*Settings!$C$17)</f>
        <v/>
      </c>
      <c r="BC2125" s="35" t="str">
        <f aca="false">IF($B2125="","",BA2125-BB2125)</f>
        <v/>
      </c>
      <c r="BD2125" s="35" t="str">
        <f aca="false">IF(OR($B2125="",$A2125=""),"",DAY(EOMONTH($A2125,0))-COUNTA($F2125:$AJ2125))</f>
        <v/>
      </c>
    </row>
    <row r="2126" customFormat="false" ht="15" hidden="false" customHeight="false" outlineLevel="0" collapsed="false">
      <c r="A2126" s="32"/>
      <c r="B2126" s="29"/>
      <c r="C2126" s="10" t="str">
        <f aca="false">IF($B2126="","",IFERROR(INDEX(M_name,MATCH($B2126,M_emp,0)),"Code not found"))</f>
        <v/>
      </c>
      <c r="D2126" s="10" t="str">
        <f aca="false">IF($B2126="","",IFERROR(INDEX(M_dept,MATCH($B2126,M_emp,0)),""))</f>
        <v/>
      </c>
      <c r="E2126" s="10" t="str">
        <f aca="false">IF($B2126="","",IFERROR(INDEX(M_loc,MATCH($B2126,M_emp,0)),""))</f>
        <v/>
      </c>
      <c r="F2126" s="33"/>
      <c r="G2126" s="33"/>
      <c r="H2126" s="33"/>
      <c r="I2126" s="33"/>
      <c r="J2126" s="33"/>
      <c r="K2126" s="33"/>
      <c r="L2126" s="33"/>
      <c r="M2126" s="33"/>
      <c r="N2126" s="33"/>
      <c r="O2126" s="33"/>
      <c r="P2126" s="33"/>
      <c r="Q2126" s="33"/>
      <c r="R2126" s="33"/>
      <c r="S2126" s="33"/>
      <c r="T2126" s="33"/>
      <c r="U2126" s="33"/>
      <c r="V2126" s="33"/>
      <c r="W2126" s="33"/>
      <c r="X2126" s="33"/>
      <c r="Y2126" s="33"/>
      <c r="Z2126" s="33"/>
      <c r="AA2126" s="33"/>
      <c r="AB2126" s="33"/>
      <c r="AC2126" s="33"/>
      <c r="AD2126" s="33"/>
      <c r="AE2126" s="33"/>
      <c r="AF2126" s="33"/>
      <c r="AG2126" s="33"/>
      <c r="AH2126" s="33"/>
      <c r="AI2126" s="33"/>
      <c r="AJ2126" s="33"/>
      <c r="AK2126" s="34" t="str">
        <f aca="false">IF($B2126="","",COUNTIF($F2126:$AJ2126,"P"))</f>
        <v/>
      </c>
      <c r="AL2126" s="34" t="str">
        <f aca="false">IF($B2126="","",COUNTIF($F2126:$AJ2126,"A"))</f>
        <v/>
      </c>
      <c r="AM2126" s="34" t="str">
        <f aca="false">IF($B2126="","",COUNTIF($F2126:$AJ2126,"HA"))</f>
        <v/>
      </c>
      <c r="AN2126" s="34" t="str">
        <f aca="false">IF($B2126="","",COUNTIF($F2126:$AJ2126,"L"))</f>
        <v/>
      </c>
      <c r="AO2126" s="34" t="str">
        <f aca="false">IF($B2126="","",COUNTIF($F2126:$AJ2126,"PL"))</f>
        <v/>
      </c>
      <c r="AP2126" s="34" t="str">
        <f aca="false">IF($B2126="","",COUNTIF($F2126:$AJ2126,"CL"))</f>
        <v/>
      </c>
      <c r="AQ2126" s="34" t="str">
        <f aca="false">IF($B2126="","",COUNTIF($F2126:$AJ2126,"SL"))</f>
        <v/>
      </c>
      <c r="AR2126" s="34" t="str">
        <f aca="false">IF($B2126="","",COUNTIF($F2126:$AJ2126,"CO"))</f>
        <v/>
      </c>
      <c r="AS2126" s="34" t="str">
        <f aca="false">IF($B2126="","",COUNTIF($F2126:$AJ2126,"HPL"))</f>
        <v/>
      </c>
      <c r="AT2126" s="34" t="str">
        <f aca="false">IF($B2126="","",COUNTIF($F2126:$AJ2126,"HCL"))</f>
        <v/>
      </c>
      <c r="AU2126" s="34" t="str">
        <f aca="false">IF($B2126="","",COUNTIF($F2126:$AJ2126,"WO"))</f>
        <v/>
      </c>
      <c r="AV2126" s="34" t="str">
        <f aca="false">IF($B2126="","",COUNTIF($F2126:$AJ2126,"PH"))</f>
        <v/>
      </c>
      <c r="AW2126" s="34" t="str">
        <f aca="false">IF($B2126="","",COUNTIF($F2126:$AJ2126,"TR"))</f>
        <v/>
      </c>
      <c r="AX2126" s="35" t="str">
        <f aca="false">IF($B2126="","",AO2126+AS2126/2)</f>
        <v/>
      </c>
      <c r="AY2126" s="35" t="str">
        <f aca="false">IF($B2126="","",AQ2126)</f>
        <v/>
      </c>
      <c r="AZ2126" s="35" t="str">
        <f aca="false">IF($B2126="","",AP2126+AT2126/2)</f>
        <v/>
      </c>
      <c r="BA2126" s="35" t="str">
        <f aca="false">IF($B2126="","",AK2126+AN2126+AM2126/2+AO2126+AP2126+AQ2126+AR2126+AS2126+AT2126+AU2126+AV2126+AW2126)</f>
        <v/>
      </c>
      <c r="BB2126" s="35" t="str">
        <f aca="false">IF($B2126="","",MAX(0,AN2126-Settings!$C$16)*Settings!$C$17)</f>
        <v/>
      </c>
      <c r="BC2126" s="35" t="str">
        <f aca="false">IF($B2126="","",BA2126-BB2126)</f>
        <v/>
      </c>
      <c r="BD2126" s="35" t="str">
        <f aca="false">IF(OR($B2126="",$A2126=""),"",DAY(EOMONTH($A2126,0))-COUNTA($F2126:$AJ2126))</f>
        <v/>
      </c>
    </row>
    <row r="2127" customFormat="false" ht="15" hidden="false" customHeight="false" outlineLevel="0" collapsed="false">
      <c r="A2127" s="32"/>
      <c r="B2127" s="29"/>
      <c r="C2127" s="10" t="str">
        <f aca="false">IF($B2127="","",IFERROR(INDEX(M_name,MATCH($B2127,M_emp,0)),"Code not found"))</f>
        <v/>
      </c>
      <c r="D2127" s="10" t="str">
        <f aca="false">IF($B2127="","",IFERROR(INDEX(M_dept,MATCH($B2127,M_emp,0)),""))</f>
        <v/>
      </c>
      <c r="E2127" s="10" t="str">
        <f aca="false">IF($B2127="","",IFERROR(INDEX(M_loc,MATCH($B2127,M_emp,0)),""))</f>
        <v/>
      </c>
      <c r="F2127" s="33"/>
      <c r="G2127" s="33"/>
      <c r="H2127" s="33"/>
      <c r="I2127" s="33"/>
      <c r="J2127" s="33"/>
      <c r="K2127" s="33"/>
      <c r="L2127" s="33"/>
      <c r="M2127" s="33"/>
      <c r="N2127" s="33"/>
      <c r="O2127" s="33"/>
      <c r="P2127" s="33"/>
      <c r="Q2127" s="33"/>
      <c r="R2127" s="33"/>
      <c r="S2127" s="33"/>
      <c r="T2127" s="33"/>
      <c r="U2127" s="33"/>
      <c r="V2127" s="33"/>
      <c r="W2127" s="33"/>
      <c r="X2127" s="33"/>
      <c r="Y2127" s="33"/>
      <c r="Z2127" s="33"/>
      <c r="AA2127" s="33"/>
      <c r="AB2127" s="33"/>
      <c r="AC2127" s="33"/>
      <c r="AD2127" s="33"/>
      <c r="AE2127" s="33"/>
      <c r="AF2127" s="33"/>
      <c r="AG2127" s="33"/>
      <c r="AH2127" s="33"/>
      <c r="AI2127" s="33"/>
      <c r="AJ2127" s="33"/>
      <c r="AK2127" s="34" t="str">
        <f aca="false">IF($B2127="","",COUNTIF($F2127:$AJ2127,"P"))</f>
        <v/>
      </c>
      <c r="AL2127" s="34" t="str">
        <f aca="false">IF($B2127="","",COUNTIF($F2127:$AJ2127,"A"))</f>
        <v/>
      </c>
      <c r="AM2127" s="34" t="str">
        <f aca="false">IF($B2127="","",COUNTIF($F2127:$AJ2127,"HA"))</f>
        <v/>
      </c>
      <c r="AN2127" s="34" t="str">
        <f aca="false">IF($B2127="","",COUNTIF($F2127:$AJ2127,"L"))</f>
        <v/>
      </c>
      <c r="AO2127" s="34" t="str">
        <f aca="false">IF($B2127="","",COUNTIF($F2127:$AJ2127,"PL"))</f>
        <v/>
      </c>
      <c r="AP2127" s="34" t="str">
        <f aca="false">IF($B2127="","",COUNTIF($F2127:$AJ2127,"CL"))</f>
        <v/>
      </c>
      <c r="AQ2127" s="34" t="str">
        <f aca="false">IF($B2127="","",COUNTIF($F2127:$AJ2127,"SL"))</f>
        <v/>
      </c>
      <c r="AR2127" s="34" t="str">
        <f aca="false">IF($B2127="","",COUNTIF($F2127:$AJ2127,"CO"))</f>
        <v/>
      </c>
      <c r="AS2127" s="34" t="str">
        <f aca="false">IF($B2127="","",COUNTIF($F2127:$AJ2127,"HPL"))</f>
        <v/>
      </c>
      <c r="AT2127" s="34" t="str">
        <f aca="false">IF($B2127="","",COUNTIF($F2127:$AJ2127,"HCL"))</f>
        <v/>
      </c>
      <c r="AU2127" s="34" t="str">
        <f aca="false">IF($B2127="","",COUNTIF($F2127:$AJ2127,"WO"))</f>
        <v/>
      </c>
      <c r="AV2127" s="34" t="str">
        <f aca="false">IF($B2127="","",COUNTIF($F2127:$AJ2127,"PH"))</f>
        <v/>
      </c>
      <c r="AW2127" s="34" t="str">
        <f aca="false">IF($B2127="","",COUNTIF($F2127:$AJ2127,"TR"))</f>
        <v/>
      </c>
      <c r="AX2127" s="35" t="str">
        <f aca="false">IF($B2127="","",AO2127+AS2127/2)</f>
        <v/>
      </c>
      <c r="AY2127" s="35" t="str">
        <f aca="false">IF($B2127="","",AQ2127)</f>
        <v/>
      </c>
      <c r="AZ2127" s="35" t="str">
        <f aca="false">IF($B2127="","",AP2127+AT2127/2)</f>
        <v/>
      </c>
      <c r="BA2127" s="35" t="str">
        <f aca="false">IF($B2127="","",AK2127+AN2127+AM2127/2+AO2127+AP2127+AQ2127+AR2127+AS2127+AT2127+AU2127+AV2127+AW2127)</f>
        <v/>
      </c>
      <c r="BB2127" s="35" t="str">
        <f aca="false">IF($B2127="","",MAX(0,AN2127-Settings!$C$16)*Settings!$C$17)</f>
        <v/>
      </c>
      <c r="BC2127" s="35" t="str">
        <f aca="false">IF($B2127="","",BA2127-BB2127)</f>
        <v/>
      </c>
      <c r="BD2127" s="35" t="str">
        <f aca="false">IF(OR($B2127="",$A2127=""),"",DAY(EOMONTH($A2127,0))-COUNTA($F2127:$AJ2127))</f>
        <v/>
      </c>
    </row>
    <row r="2128" customFormat="false" ht="15" hidden="false" customHeight="false" outlineLevel="0" collapsed="false">
      <c r="A2128" s="32"/>
      <c r="B2128" s="29"/>
      <c r="C2128" s="10" t="str">
        <f aca="false">IF($B2128="","",IFERROR(INDEX(M_name,MATCH($B2128,M_emp,0)),"Code not found"))</f>
        <v/>
      </c>
      <c r="D2128" s="10" t="str">
        <f aca="false">IF($B2128="","",IFERROR(INDEX(M_dept,MATCH($B2128,M_emp,0)),""))</f>
        <v/>
      </c>
      <c r="E2128" s="10" t="str">
        <f aca="false">IF($B2128="","",IFERROR(INDEX(M_loc,MATCH($B2128,M_emp,0)),""))</f>
        <v/>
      </c>
      <c r="F2128" s="33"/>
      <c r="G2128" s="33"/>
      <c r="H2128" s="33"/>
      <c r="I2128" s="33"/>
      <c r="J2128" s="33"/>
      <c r="K2128" s="33"/>
      <c r="L2128" s="33"/>
      <c r="M2128" s="33"/>
      <c r="N2128" s="33"/>
      <c r="O2128" s="33"/>
      <c r="P2128" s="33"/>
      <c r="Q2128" s="33"/>
      <c r="R2128" s="33"/>
      <c r="S2128" s="33"/>
      <c r="T2128" s="33"/>
      <c r="U2128" s="33"/>
      <c r="V2128" s="33"/>
      <c r="W2128" s="33"/>
      <c r="X2128" s="33"/>
      <c r="Y2128" s="33"/>
      <c r="Z2128" s="33"/>
      <c r="AA2128" s="33"/>
      <c r="AB2128" s="33"/>
      <c r="AC2128" s="33"/>
      <c r="AD2128" s="33"/>
      <c r="AE2128" s="33"/>
      <c r="AF2128" s="33"/>
      <c r="AG2128" s="33"/>
      <c r="AH2128" s="33"/>
      <c r="AI2128" s="33"/>
      <c r="AJ2128" s="33"/>
      <c r="AK2128" s="34" t="str">
        <f aca="false">IF($B2128="","",COUNTIF($F2128:$AJ2128,"P"))</f>
        <v/>
      </c>
      <c r="AL2128" s="34" t="str">
        <f aca="false">IF($B2128="","",COUNTIF($F2128:$AJ2128,"A"))</f>
        <v/>
      </c>
      <c r="AM2128" s="34" t="str">
        <f aca="false">IF($B2128="","",COUNTIF($F2128:$AJ2128,"HA"))</f>
        <v/>
      </c>
      <c r="AN2128" s="34" t="str">
        <f aca="false">IF($B2128="","",COUNTIF($F2128:$AJ2128,"L"))</f>
        <v/>
      </c>
      <c r="AO2128" s="34" t="str">
        <f aca="false">IF($B2128="","",COUNTIF($F2128:$AJ2128,"PL"))</f>
        <v/>
      </c>
      <c r="AP2128" s="34" t="str">
        <f aca="false">IF($B2128="","",COUNTIF($F2128:$AJ2128,"CL"))</f>
        <v/>
      </c>
      <c r="AQ2128" s="34" t="str">
        <f aca="false">IF($B2128="","",COUNTIF($F2128:$AJ2128,"SL"))</f>
        <v/>
      </c>
      <c r="AR2128" s="34" t="str">
        <f aca="false">IF($B2128="","",COUNTIF($F2128:$AJ2128,"CO"))</f>
        <v/>
      </c>
      <c r="AS2128" s="34" t="str">
        <f aca="false">IF($B2128="","",COUNTIF($F2128:$AJ2128,"HPL"))</f>
        <v/>
      </c>
      <c r="AT2128" s="34" t="str">
        <f aca="false">IF($B2128="","",COUNTIF($F2128:$AJ2128,"HCL"))</f>
        <v/>
      </c>
      <c r="AU2128" s="34" t="str">
        <f aca="false">IF($B2128="","",COUNTIF($F2128:$AJ2128,"WO"))</f>
        <v/>
      </c>
      <c r="AV2128" s="34" t="str">
        <f aca="false">IF($B2128="","",COUNTIF($F2128:$AJ2128,"PH"))</f>
        <v/>
      </c>
      <c r="AW2128" s="34" t="str">
        <f aca="false">IF($B2128="","",COUNTIF($F2128:$AJ2128,"TR"))</f>
        <v/>
      </c>
      <c r="AX2128" s="35" t="str">
        <f aca="false">IF($B2128="","",AO2128+AS2128/2)</f>
        <v/>
      </c>
      <c r="AY2128" s="35" t="str">
        <f aca="false">IF($B2128="","",AQ2128)</f>
        <v/>
      </c>
      <c r="AZ2128" s="35" t="str">
        <f aca="false">IF($B2128="","",AP2128+AT2128/2)</f>
        <v/>
      </c>
      <c r="BA2128" s="35" t="str">
        <f aca="false">IF($B2128="","",AK2128+AN2128+AM2128/2+AO2128+AP2128+AQ2128+AR2128+AS2128+AT2128+AU2128+AV2128+AW2128)</f>
        <v/>
      </c>
      <c r="BB2128" s="35" t="str">
        <f aca="false">IF($B2128="","",MAX(0,AN2128-Settings!$C$16)*Settings!$C$17)</f>
        <v/>
      </c>
      <c r="BC2128" s="35" t="str">
        <f aca="false">IF($B2128="","",BA2128-BB2128)</f>
        <v/>
      </c>
      <c r="BD2128" s="35" t="str">
        <f aca="false">IF(OR($B2128="",$A2128=""),"",DAY(EOMONTH($A2128,0))-COUNTA($F2128:$AJ2128))</f>
        <v/>
      </c>
    </row>
    <row r="2129" customFormat="false" ht="15" hidden="false" customHeight="false" outlineLevel="0" collapsed="false">
      <c r="A2129" s="32"/>
      <c r="B2129" s="29"/>
      <c r="C2129" s="10" t="str">
        <f aca="false">IF($B2129="","",IFERROR(INDEX(M_name,MATCH($B2129,M_emp,0)),"Code not found"))</f>
        <v/>
      </c>
      <c r="D2129" s="10" t="str">
        <f aca="false">IF($B2129="","",IFERROR(INDEX(M_dept,MATCH($B2129,M_emp,0)),""))</f>
        <v/>
      </c>
      <c r="E2129" s="10" t="str">
        <f aca="false">IF($B2129="","",IFERROR(INDEX(M_loc,MATCH($B2129,M_emp,0)),""))</f>
        <v/>
      </c>
      <c r="F2129" s="33"/>
      <c r="G2129" s="33"/>
      <c r="H2129" s="33"/>
      <c r="I2129" s="33"/>
      <c r="J2129" s="33"/>
      <c r="K2129" s="33"/>
      <c r="L2129" s="33"/>
      <c r="M2129" s="33"/>
      <c r="N2129" s="33"/>
      <c r="O2129" s="33"/>
      <c r="P2129" s="33"/>
      <c r="Q2129" s="33"/>
      <c r="R2129" s="33"/>
      <c r="S2129" s="33"/>
      <c r="T2129" s="33"/>
      <c r="U2129" s="33"/>
      <c r="V2129" s="33"/>
      <c r="W2129" s="33"/>
      <c r="X2129" s="33"/>
      <c r="Y2129" s="33"/>
      <c r="Z2129" s="33"/>
      <c r="AA2129" s="33"/>
      <c r="AB2129" s="33"/>
      <c r="AC2129" s="33"/>
      <c r="AD2129" s="33"/>
      <c r="AE2129" s="33"/>
      <c r="AF2129" s="33"/>
      <c r="AG2129" s="33"/>
      <c r="AH2129" s="33"/>
      <c r="AI2129" s="33"/>
      <c r="AJ2129" s="33"/>
      <c r="AK2129" s="34" t="str">
        <f aca="false">IF($B2129="","",COUNTIF($F2129:$AJ2129,"P"))</f>
        <v/>
      </c>
      <c r="AL2129" s="34" t="str">
        <f aca="false">IF($B2129="","",COUNTIF($F2129:$AJ2129,"A"))</f>
        <v/>
      </c>
      <c r="AM2129" s="34" t="str">
        <f aca="false">IF($B2129="","",COUNTIF($F2129:$AJ2129,"HA"))</f>
        <v/>
      </c>
      <c r="AN2129" s="34" t="str">
        <f aca="false">IF($B2129="","",COUNTIF($F2129:$AJ2129,"L"))</f>
        <v/>
      </c>
      <c r="AO2129" s="34" t="str">
        <f aca="false">IF($B2129="","",COUNTIF($F2129:$AJ2129,"PL"))</f>
        <v/>
      </c>
      <c r="AP2129" s="34" t="str">
        <f aca="false">IF($B2129="","",COUNTIF($F2129:$AJ2129,"CL"))</f>
        <v/>
      </c>
      <c r="AQ2129" s="34" t="str">
        <f aca="false">IF($B2129="","",COUNTIF($F2129:$AJ2129,"SL"))</f>
        <v/>
      </c>
      <c r="AR2129" s="34" t="str">
        <f aca="false">IF($B2129="","",COUNTIF($F2129:$AJ2129,"CO"))</f>
        <v/>
      </c>
      <c r="AS2129" s="34" t="str">
        <f aca="false">IF($B2129="","",COUNTIF($F2129:$AJ2129,"HPL"))</f>
        <v/>
      </c>
      <c r="AT2129" s="34" t="str">
        <f aca="false">IF($B2129="","",COUNTIF($F2129:$AJ2129,"HCL"))</f>
        <v/>
      </c>
      <c r="AU2129" s="34" t="str">
        <f aca="false">IF($B2129="","",COUNTIF($F2129:$AJ2129,"WO"))</f>
        <v/>
      </c>
      <c r="AV2129" s="34" t="str">
        <f aca="false">IF($B2129="","",COUNTIF($F2129:$AJ2129,"PH"))</f>
        <v/>
      </c>
      <c r="AW2129" s="34" t="str">
        <f aca="false">IF($B2129="","",COUNTIF($F2129:$AJ2129,"TR"))</f>
        <v/>
      </c>
      <c r="AX2129" s="35" t="str">
        <f aca="false">IF($B2129="","",AO2129+AS2129/2)</f>
        <v/>
      </c>
      <c r="AY2129" s="35" t="str">
        <f aca="false">IF($B2129="","",AQ2129)</f>
        <v/>
      </c>
      <c r="AZ2129" s="35" t="str">
        <f aca="false">IF($B2129="","",AP2129+AT2129/2)</f>
        <v/>
      </c>
      <c r="BA2129" s="35" t="str">
        <f aca="false">IF($B2129="","",AK2129+AN2129+AM2129/2+AO2129+AP2129+AQ2129+AR2129+AS2129+AT2129+AU2129+AV2129+AW2129)</f>
        <v/>
      </c>
      <c r="BB2129" s="35" t="str">
        <f aca="false">IF($B2129="","",MAX(0,AN2129-Settings!$C$16)*Settings!$C$17)</f>
        <v/>
      </c>
      <c r="BC2129" s="35" t="str">
        <f aca="false">IF($B2129="","",BA2129-BB2129)</f>
        <v/>
      </c>
      <c r="BD2129" s="35" t="str">
        <f aca="false">IF(OR($B2129="",$A2129=""),"",DAY(EOMONTH($A2129,0))-COUNTA($F2129:$AJ2129))</f>
        <v/>
      </c>
    </row>
    <row r="2130" customFormat="false" ht="15" hidden="false" customHeight="false" outlineLevel="0" collapsed="false">
      <c r="A2130" s="32"/>
      <c r="B2130" s="29"/>
      <c r="C2130" s="10" t="str">
        <f aca="false">IF($B2130="","",IFERROR(INDEX(M_name,MATCH($B2130,M_emp,0)),"Code not found"))</f>
        <v/>
      </c>
      <c r="D2130" s="10" t="str">
        <f aca="false">IF($B2130="","",IFERROR(INDEX(M_dept,MATCH($B2130,M_emp,0)),""))</f>
        <v/>
      </c>
      <c r="E2130" s="10" t="str">
        <f aca="false">IF($B2130="","",IFERROR(INDEX(M_loc,MATCH($B2130,M_emp,0)),""))</f>
        <v/>
      </c>
      <c r="F2130" s="33"/>
      <c r="G2130" s="33"/>
      <c r="H2130" s="33"/>
      <c r="I2130" s="33"/>
      <c r="J2130" s="33"/>
      <c r="K2130" s="33"/>
      <c r="L2130" s="33"/>
      <c r="M2130" s="33"/>
      <c r="N2130" s="33"/>
      <c r="O2130" s="33"/>
      <c r="P2130" s="33"/>
      <c r="Q2130" s="33"/>
      <c r="R2130" s="33"/>
      <c r="S2130" s="33"/>
      <c r="T2130" s="33"/>
      <c r="U2130" s="33"/>
      <c r="V2130" s="33"/>
      <c r="W2130" s="33"/>
      <c r="X2130" s="33"/>
      <c r="Y2130" s="33"/>
      <c r="Z2130" s="33"/>
      <c r="AA2130" s="33"/>
      <c r="AB2130" s="33"/>
      <c r="AC2130" s="33"/>
      <c r="AD2130" s="33"/>
      <c r="AE2130" s="33"/>
      <c r="AF2130" s="33"/>
      <c r="AG2130" s="33"/>
      <c r="AH2130" s="33"/>
      <c r="AI2130" s="33"/>
      <c r="AJ2130" s="33"/>
      <c r="AK2130" s="34" t="str">
        <f aca="false">IF($B2130="","",COUNTIF($F2130:$AJ2130,"P"))</f>
        <v/>
      </c>
      <c r="AL2130" s="34" t="str">
        <f aca="false">IF($B2130="","",COUNTIF($F2130:$AJ2130,"A"))</f>
        <v/>
      </c>
      <c r="AM2130" s="34" t="str">
        <f aca="false">IF($B2130="","",COUNTIF($F2130:$AJ2130,"HA"))</f>
        <v/>
      </c>
      <c r="AN2130" s="34" t="str">
        <f aca="false">IF($B2130="","",COUNTIF($F2130:$AJ2130,"L"))</f>
        <v/>
      </c>
      <c r="AO2130" s="34" t="str">
        <f aca="false">IF($B2130="","",COUNTIF($F2130:$AJ2130,"PL"))</f>
        <v/>
      </c>
      <c r="AP2130" s="34" t="str">
        <f aca="false">IF($B2130="","",COUNTIF($F2130:$AJ2130,"CL"))</f>
        <v/>
      </c>
      <c r="AQ2130" s="34" t="str">
        <f aca="false">IF($B2130="","",COUNTIF($F2130:$AJ2130,"SL"))</f>
        <v/>
      </c>
      <c r="AR2130" s="34" t="str">
        <f aca="false">IF($B2130="","",COUNTIF($F2130:$AJ2130,"CO"))</f>
        <v/>
      </c>
      <c r="AS2130" s="34" t="str">
        <f aca="false">IF($B2130="","",COUNTIF($F2130:$AJ2130,"HPL"))</f>
        <v/>
      </c>
      <c r="AT2130" s="34" t="str">
        <f aca="false">IF($B2130="","",COUNTIF($F2130:$AJ2130,"HCL"))</f>
        <v/>
      </c>
      <c r="AU2130" s="34" t="str">
        <f aca="false">IF($B2130="","",COUNTIF($F2130:$AJ2130,"WO"))</f>
        <v/>
      </c>
      <c r="AV2130" s="34" t="str">
        <f aca="false">IF($B2130="","",COUNTIF($F2130:$AJ2130,"PH"))</f>
        <v/>
      </c>
      <c r="AW2130" s="34" t="str">
        <f aca="false">IF($B2130="","",COUNTIF($F2130:$AJ2130,"TR"))</f>
        <v/>
      </c>
      <c r="AX2130" s="35" t="str">
        <f aca="false">IF($B2130="","",AO2130+AS2130/2)</f>
        <v/>
      </c>
      <c r="AY2130" s="35" t="str">
        <f aca="false">IF($B2130="","",AQ2130)</f>
        <v/>
      </c>
      <c r="AZ2130" s="35" t="str">
        <f aca="false">IF($B2130="","",AP2130+AT2130/2)</f>
        <v/>
      </c>
      <c r="BA2130" s="35" t="str">
        <f aca="false">IF($B2130="","",AK2130+AN2130+AM2130/2+AO2130+AP2130+AQ2130+AR2130+AS2130+AT2130+AU2130+AV2130+AW2130)</f>
        <v/>
      </c>
      <c r="BB2130" s="35" t="str">
        <f aca="false">IF($B2130="","",MAX(0,AN2130-Settings!$C$16)*Settings!$C$17)</f>
        <v/>
      </c>
      <c r="BC2130" s="35" t="str">
        <f aca="false">IF($B2130="","",BA2130-BB2130)</f>
        <v/>
      </c>
      <c r="BD2130" s="35" t="str">
        <f aca="false">IF(OR($B2130="",$A2130=""),"",DAY(EOMONTH($A2130,0))-COUNTA($F2130:$AJ2130))</f>
        <v/>
      </c>
    </row>
    <row r="2131" customFormat="false" ht="15" hidden="false" customHeight="false" outlineLevel="0" collapsed="false">
      <c r="A2131" s="32"/>
      <c r="B2131" s="29"/>
      <c r="C2131" s="10" t="str">
        <f aca="false">IF($B2131="","",IFERROR(INDEX(M_name,MATCH($B2131,M_emp,0)),"Code not found"))</f>
        <v/>
      </c>
      <c r="D2131" s="10" t="str">
        <f aca="false">IF($B2131="","",IFERROR(INDEX(M_dept,MATCH($B2131,M_emp,0)),""))</f>
        <v/>
      </c>
      <c r="E2131" s="10" t="str">
        <f aca="false">IF($B2131="","",IFERROR(INDEX(M_loc,MATCH($B2131,M_emp,0)),""))</f>
        <v/>
      </c>
      <c r="F2131" s="33"/>
      <c r="G2131" s="33"/>
      <c r="H2131" s="33"/>
      <c r="I2131" s="33"/>
      <c r="J2131" s="33"/>
      <c r="K2131" s="33"/>
      <c r="L2131" s="33"/>
      <c r="M2131" s="33"/>
      <c r="N2131" s="33"/>
      <c r="O2131" s="33"/>
      <c r="P2131" s="33"/>
      <c r="Q2131" s="33"/>
      <c r="R2131" s="33"/>
      <c r="S2131" s="33"/>
      <c r="T2131" s="33"/>
      <c r="U2131" s="33"/>
      <c r="V2131" s="33"/>
      <c r="W2131" s="33"/>
      <c r="X2131" s="33"/>
      <c r="Y2131" s="33"/>
      <c r="Z2131" s="33"/>
      <c r="AA2131" s="33"/>
      <c r="AB2131" s="33"/>
      <c r="AC2131" s="33"/>
      <c r="AD2131" s="33"/>
      <c r="AE2131" s="33"/>
      <c r="AF2131" s="33"/>
      <c r="AG2131" s="33"/>
      <c r="AH2131" s="33"/>
      <c r="AI2131" s="33"/>
      <c r="AJ2131" s="33"/>
      <c r="AK2131" s="34" t="str">
        <f aca="false">IF($B2131="","",COUNTIF($F2131:$AJ2131,"P"))</f>
        <v/>
      </c>
      <c r="AL2131" s="34" t="str">
        <f aca="false">IF($B2131="","",COUNTIF($F2131:$AJ2131,"A"))</f>
        <v/>
      </c>
      <c r="AM2131" s="34" t="str">
        <f aca="false">IF($B2131="","",COUNTIF($F2131:$AJ2131,"HA"))</f>
        <v/>
      </c>
      <c r="AN2131" s="34" t="str">
        <f aca="false">IF($B2131="","",COUNTIF($F2131:$AJ2131,"L"))</f>
        <v/>
      </c>
      <c r="AO2131" s="34" t="str">
        <f aca="false">IF($B2131="","",COUNTIF($F2131:$AJ2131,"PL"))</f>
        <v/>
      </c>
      <c r="AP2131" s="34" t="str">
        <f aca="false">IF($B2131="","",COUNTIF($F2131:$AJ2131,"CL"))</f>
        <v/>
      </c>
      <c r="AQ2131" s="34" t="str">
        <f aca="false">IF($B2131="","",COUNTIF($F2131:$AJ2131,"SL"))</f>
        <v/>
      </c>
      <c r="AR2131" s="34" t="str">
        <f aca="false">IF($B2131="","",COUNTIF($F2131:$AJ2131,"CO"))</f>
        <v/>
      </c>
      <c r="AS2131" s="34" t="str">
        <f aca="false">IF($B2131="","",COUNTIF($F2131:$AJ2131,"HPL"))</f>
        <v/>
      </c>
      <c r="AT2131" s="34" t="str">
        <f aca="false">IF($B2131="","",COUNTIF($F2131:$AJ2131,"HCL"))</f>
        <v/>
      </c>
      <c r="AU2131" s="34" t="str">
        <f aca="false">IF($B2131="","",COUNTIF($F2131:$AJ2131,"WO"))</f>
        <v/>
      </c>
      <c r="AV2131" s="34" t="str">
        <f aca="false">IF($B2131="","",COUNTIF($F2131:$AJ2131,"PH"))</f>
        <v/>
      </c>
      <c r="AW2131" s="34" t="str">
        <f aca="false">IF($B2131="","",COUNTIF($F2131:$AJ2131,"TR"))</f>
        <v/>
      </c>
      <c r="AX2131" s="35" t="str">
        <f aca="false">IF($B2131="","",AO2131+AS2131/2)</f>
        <v/>
      </c>
      <c r="AY2131" s="35" t="str">
        <f aca="false">IF($B2131="","",AQ2131)</f>
        <v/>
      </c>
      <c r="AZ2131" s="35" t="str">
        <f aca="false">IF($B2131="","",AP2131+AT2131/2)</f>
        <v/>
      </c>
      <c r="BA2131" s="35" t="str">
        <f aca="false">IF($B2131="","",AK2131+AN2131+AM2131/2+AO2131+AP2131+AQ2131+AR2131+AS2131+AT2131+AU2131+AV2131+AW2131)</f>
        <v/>
      </c>
      <c r="BB2131" s="35" t="str">
        <f aca="false">IF($B2131="","",MAX(0,AN2131-Settings!$C$16)*Settings!$C$17)</f>
        <v/>
      </c>
      <c r="BC2131" s="35" t="str">
        <f aca="false">IF($B2131="","",BA2131-BB2131)</f>
        <v/>
      </c>
      <c r="BD2131" s="35" t="str">
        <f aca="false">IF(OR($B2131="",$A2131=""),"",DAY(EOMONTH($A2131,0))-COUNTA($F2131:$AJ2131))</f>
        <v/>
      </c>
    </row>
    <row r="2132" customFormat="false" ht="15" hidden="false" customHeight="false" outlineLevel="0" collapsed="false">
      <c r="A2132" s="32"/>
      <c r="B2132" s="29"/>
      <c r="C2132" s="10" t="str">
        <f aca="false">IF($B2132="","",IFERROR(INDEX(M_name,MATCH($B2132,M_emp,0)),"Code not found"))</f>
        <v/>
      </c>
      <c r="D2132" s="10" t="str">
        <f aca="false">IF($B2132="","",IFERROR(INDEX(M_dept,MATCH($B2132,M_emp,0)),""))</f>
        <v/>
      </c>
      <c r="E2132" s="10" t="str">
        <f aca="false">IF($B2132="","",IFERROR(INDEX(M_loc,MATCH($B2132,M_emp,0)),""))</f>
        <v/>
      </c>
      <c r="F2132" s="33"/>
      <c r="G2132" s="33"/>
      <c r="H2132" s="33"/>
      <c r="I2132" s="33"/>
      <c r="J2132" s="33"/>
      <c r="K2132" s="33"/>
      <c r="L2132" s="33"/>
      <c r="M2132" s="33"/>
      <c r="N2132" s="33"/>
      <c r="O2132" s="33"/>
      <c r="P2132" s="33"/>
      <c r="Q2132" s="33"/>
      <c r="R2132" s="33"/>
      <c r="S2132" s="33"/>
      <c r="T2132" s="33"/>
      <c r="U2132" s="33"/>
      <c r="V2132" s="33"/>
      <c r="W2132" s="33"/>
      <c r="X2132" s="33"/>
      <c r="Y2132" s="33"/>
      <c r="Z2132" s="33"/>
      <c r="AA2132" s="33"/>
      <c r="AB2132" s="33"/>
      <c r="AC2132" s="33"/>
      <c r="AD2132" s="33"/>
      <c r="AE2132" s="33"/>
      <c r="AF2132" s="33"/>
      <c r="AG2132" s="33"/>
      <c r="AH2132" s="33"/>
      <c r="AI2132" s="33"/>
      <c r="AJ2132" s="33"/>
      <c r="AK2132" s="34" t="str">
        <f aca="false">IF($B2132="","",COUNTIF($F2132:$AJ2132,"P"))</f>
        <v/>
      </c>
      <c r="AL2132" s="34" t="str">
        <f aca="false">IF($B2132="","",COUNTIF($F2132:$AJ2132,"A"))</f>
        <v/>
      </c>
      <c r="AM2132" s="34" t="str">
        <f aca="false">IF($B2132="","",COUNTIF($F2132:$AJ2132,"HA"))</f>
        <v/>
      </c>
      <c r="AN2132" s="34" t="str">
        <f aca="false">IF($B2132="","",COUNTIF($F2132:$AJ2132,"L"))</f>
        <v/>
      </c>
      <c r="AO2132" s="34" t="str">
        <f aca="false">IF($B2132="","",COUNTIF($F2132:$AJ2132,"PL"))</f>
        <v/>
      </c>
      <c r="AP2132" s="34" t="str">
        <f aca="false">IF($B2132="","",COUNTIF($F2132:$AJ2132,"CL"))</f>
        <v/>
      </c>
      <c r="AQ2132" s="34" t="str">
        <f aca="false">IF($B2132="","",COUNTIF($F2132:$AJ2132,"SL"))</f>
        <v/>
      </c>
      <c r="AR2132" s="34" t="str">
        <f aca="false">IF($B2132="","",COUNTIF($F2132:$AJ2132,"CO"))</f>
        <v/>
      </c>
      <c r="AS2132" s="34" t="str">
        <f aca="false">IF($B2132="","",COUNTIF($F2132:$AJ2132,"HPL"))</f>
        <v/>
      </c>
      <c r="AT2132" s="34" t="str">
        <f aca="false">IF($B2132="","",COUNTIF($F2132:$AJ2132,"HCL"))</f>
        <v/>
      </c>
      <c r="AU2132" s="34" t="str">
        <f aca="false">IF($B2132="","",COUNTIF($F2132:$AJ2132,"WO"))</f>
        <v/>
      </c>
      <c r="AV2132" s="34" t="str">
        <f aca="false">IF($B2132="","",COUNTIF($F2132:$AJ2132,"PH"))</f>
        <v/>
      </c>
      <c r="AW2132" s="34" t="str">
        <f aca="false">IF($B2132="","",COUNTIF($F2132:$AJ2132,"TR"))</f>
        <v/>
      </c>
      <c r="AX2132" s="35" t="str">
        <f aca="false">IF($B2132="","",AO2132+AS2132/2)</f>
        <v/>
      </c>
      <c r="AY2132" s="35" t="str">
        <f aca="false">IF($B2132="","",AQ2132)</f>
        <v/>
      </c>
      <c r="AZ2132" s="35" t="str">
        <f aca="false">IF($B2132="","",AP2132+AT2132/2)</f>
        <v/>
      </c>
      <c r="BA2132" s="35" t="str">
        <f aca="false">IF($B2132="","",AK2132+AN2132+AM2132/2+AO2132+AP2132+AQ2132+AR2132+AS2132+AT2132+AU2132+AV2132+AW2132)</f>
        <v/>
      </c>
      <c r="BB2132" s="35" t="str">
        <f aca="false">IF($B2132="","",MAX(0,AN2132-Settings!$C$16)*Settings!$C$17)</f>
        <v/>
      </c>
      <c r="BC2132" s="35" t="str">
        <f aca="false">IF($B2132="","",BA2132-BB2132)</f>
        <v/>
      </c>
      <c r="BD2132" s="35" t="str">
        <f aca="false">IF(OR($B2132="",$A2132=""),"",DAY(EOMONTH($A2132,0))-COUNTA($F2132:$AJ2132))</f>
        <v/>
      </c>
    </row>
    <row r="2133" customFormat="false" ht="15" hidden="false" customHeight="false" outlineLevel="0" collapsed="false">
      <c r="A2133" s="32"/>
      <c r="B2133" s="29"/>
      <c r="C2133" s="10" t="str">
        <f aca="false">IF($B2133="","",IFERROR(INDEX(M_name,MATCH($B2133,M_emp,0)),"Code not found"))</f>
        <v/>
      </c>
      <c r="D2133" s="10" t="str">
        <f aca="false">IF($B2133="","",IFERROR(INDEX(M_dept,MATCH($B2133,M_emp,0)),""))</f>
        <v/>
      </c>
      <c r="E2133" s="10" t="str">
        <f aca="false">IF($B2133="","",IFERROR(INDEX(M_loc,MATCH($B2133,M_emp,0)),""))</f>
        <v/>
      </c>
      <c r="F2133" s="33"/>
      <c r="G2133" s="33"/>
      <c r="H2133" s="33"/>
      <c r="I2133" s="33"/>
      <c r="J2133" s="33"/>
      <c r="K2133" s="33"/>
      <c r="L2133" s="33"/>
      <c r="M2133" s="33"/>
      <c r="N2133" s="33"/>
      <c r="O2133" s="33"/>
      <c r="P2133" s="33"/>
      <c r="Q2133" s="33"/>
      <c r="R2133" s="33"/>
      <c r="S2133" s="33"/>
      <c r="T2133" s="33"/>
      <c r="U2133" s="33"/>
      <c r="V2133" s="33"/>
      <c r="W2133" s="33"/>
      <c r="X2133" s="33"/>
      <c r="Y2133" s="33"/>
      <c r="Z2133" s="33"/>
      <c r="AA2133" s="33"/>
      <c r="AB2133" s="33"/>
      <c r="AC2133" s="33"/>
      <c r="AD2133" s="33"/>
      <c r="AE2133" s="33"/>
      <c r="AF2133" s="33"/>
      <c r="AG2133" s="33"/>
      <c r="AH2133" s="33"/>
      <c r="AI2133" s="33"/>
      <c r="AJ2133" s="33"/>
      <c r="AK2133" s="34" t="str">
        <f aca="false">IF($B2133="","",COUNTIF($F2133:$AJ2133,"P"))</f>
        <v/>
      </c>
      <c r="AL2133" s="34" t="str">
        <f aca="false">IF($B2133="","",COUNTIF($F2133:$AJ2133,"A"))</f>
        <v/>
      </c>
      <c r="AM2133" s="34" t="str">
        <f aca="false">IF($B2133="","",COUNTIF($F2133:$AJ2133,"HA"))</f>
        <v/>
      </c>
      <c r="AN2133" s="34" t="str">
        <f aca="false">IF($B2133="","",COUNTIF($F2133:$AJ2133,"L"))</f>
        <v/>
      </c>
      <c r="AO2133" s="34" t="str">
        <f aca="false">IF($B2133="","",COUNTIF($F2133:$AJ2133,"PL"))</f>
        <v/>
      </c>
      <c r="AP2133" s="34" t="str">
        <f aca="false">IF($B2133="","",COUNTIF($F2133:$AJ2133,"CL"))</f>
        <v/>
      </c>
      <c r="AQ2133" s="34" t="str">
        <f aca="false">IF($B2133="","",COUNTIF($F2133:$AJ2133,"SL"))</f>
        <v/>
      </c>
      <c r="AR2133" s="34" t="str">
        <f aca="false">IF($B2133="","",COUNTIF($F2133:$AJ2133,"CO"))</f>
        <v/>
      </c>
      <c r="AS2133" s="34" t="str">
        <f aca="false">IF($B2133="","",COUNTIF($F2133:$AJ2133,"HPL"))</f>
        <v/>
      </c>
      <c r="AT2133" s="34" t="str">
        <f aca="false">IF($B2133="","",COUNTIF($F2133:$AJ2133,"HCL"))</f>
        <v/>
      </c>
      <c r="AU2133" s="34" t="str">
        <f aca="false">IF($B2133="","",COUNTIF($F2133:$AJ2133,"WO"))</f>
        <v/>
      </c>
      <c r="AV2133" s="34" t="str">
        <f aca="false">IF($B2133="","",COUNTIF($F2133:$AJ2133,"PH"))</f>
        <v/>
      </c>
      <c r="AW2133" s="34" t="str">
        <f aca="false">IF($B2133="","",COUNTIF($F2133:$AJ2133,"TR"))</f>
        <v/>
      </c>
      <c r="AX2133" s="35" t="str">
        <f aca="false">IF($B2133="","",AO2133+AS2133/2)</f>
        <v/>
      </c>
      <c r="AY2133" s="35" t="str">
        <f aca="false">IF($B2133="","",AQ2133)</f>
        <v/>
      </c>
      <c r="AZ2133" s="35" t="str">
        <f aca="false">IF($B2133="","",AP2133+AT2133/2)</f>
        <v/>
      </c>
      <c r="BA2133" s="35" t="str">
        <f aca="false">IF($B2133="","",AK2133+AN2133+AM2133/2+AO2133+AP2133+AQ2133+AR2133+AS2133+AT2133+AU2133+AV2133+AW2133)</f>
        <v/>
      </c>
      <c r="BB2133" s="35" t="str">
        <f aca="false">IF($B2133="","",MAX(0,AN2133-Settings!$C$16)*Settings!$C$17)</f>
        <v/>
      </c>
      <c r="BC2133" s="35" t="str">
        <f aca="false">IF($B2133="","",BA2133-BB2133)</f>
        <v/>
      </c>
      <c r="BD2133" s="35" t="str">
        <f aca="false">IF(OR($B2133="",$A2133=""),"",DAY(EOMONTH($A2133,0))-COUNTA($F2133:$AJ2133))</f>
        <v/>
      </c>
    </row>
    <row r="2134" customFormat="false" ht="15" hidden="false" customHeight="false" outlineLevel="0" collapsed="false">
      <c r="A2134" s="32"/>
      <c r="B2134" s="29"/>
      <c r="C2134" s="10" t="str">
        <f aca="false">IF($B2134="","",IFERROR(INDEX(M_name,MATCH($B2134,M_emp,0)),"Code not found"))</f>
        <v/>
      </c>
      <c r="D2134" s="10" t="str">
        <f aca="false">IF($B2134="","",IFERROR(INDEX(M_dept,MATCH($B2134,M_emp,0)),""))</f>
        <v/>
      </c>
      <c r="E2134" s="10" t="str">
        <f aca="false">IF($B2134="","",IFERROR(INDEX(M_loc,MATCH($B2134,M_emp,0)),""))</f>
        <v/>
      </c>
      <c r="F2134" s="33"/>
      <c r="G2134" s="33"/>
      <c r="H2134" s="33"/>
      <c r="I2134" s="33"/>
      <c r="J2134" s="33"/>
      <c r="K2134" s="33"/>
      <c r="L2134" s="33"/>
      <c r="M2134" s="33"/>
      <c r="N2134" s="33"/>
      <c r="O2134" s="33"/>
      <c r="P2134" s="33"/>
      <c r="Q2134" s="33"/>
      <c r="R2134" s="33"/>
      <c r="S2134" s="33"/>
      <c r="T2134" s="33"/>
      <c r="U2134" s="33"/>
      <c r="V2134" s="33"/>
      <c r="W2134" s="33"/>
      <c r="X2134" s="33"/>
      <c r="Y2134" s="33"/>
      <c r="Z2134" s="33"/>
      <c r="AA2134" s="33"/>
      <c r="AB2134" s="33"/>
      <c r="AC2134" s="33"/>
      <c r="AD2134" s="33"/>
      <c r="AE2134" s="33"/>
      <c r="AF2134" s="33"/>
      <c r="AG2134" s="33"/>
      <c r="AH2134" s="33"/>
      <c r="AI2134" s="33"/>
      <c r="AJ2134" s="33"/>
      <c r="AK2134" s="34" t="str">
        <f aca="false">IF($B2134="","",COUNTIF($F2134:$AJ2134,"P"))</f>
        <v/>
      </c>
      <c r="AL2134" s="34" t="str">
        <f aca="false">IF($B2134="","",COUNTIF($F2134:$AJ2134,"A"))</f>
        <v/>
      </c>
      <c r="AM2134" s="34" t="str">
        <f aca="false">IF($B2134="","",COUNTIF($F2134:$AJ2134,"HA"))</f>
        <v/>
      </c>
      <c r="AN2134" s="34" t="str">
        <f aca="false">IF($B2134="","",COUNTIF($F2134:$AJ2134,"L"))</f>
        <v/>
      </c>
      <c r="AO2134" s="34" t="str">
        <f aca="false">IF($B2134="","",COUNTIF($F2134:$AJ2134,"PL"))</f>
        <v/>
      </c>
      <c r="AP2134" s="34" t="str">
        <f aca="false">IF($B2134="","",COUNTIF($F2134:$AJ2134,"CL"))</f>
        <v/>
      </c>
      <c r="AQ2134" s="34" t="str">
        <f aca="false">IF($B2134="","",COUNTIF($F2134:$AJ2134,"SL"))</f>
        <v/>
      </c>
      <c r="AR2134" s="34" t="str">
        <f aca="false">IF($B2134="","",COUNTIF($F2134:$AJ2134,"CO"))</f>
        <v/>
      </c>
      <c r="AS2134" s="34" t="str">
        <f aca="false">IF($B2134="","",COUNTIF($F2134:$AJ2134,"HPL"))</f>
        <v/>
      </c>
      <c r="AT2134" s="34" t="str">
        <f aca="false">IF($B2134="","",COUNTIF($F2134:$AJ2134,"HCL"))</f>
        <v/>
      </c>
      <c r="AU2134" s="34" t="str">
        <f aca="false">IF($B2134="","",COUNTIF($F2134:$AJ2134,"WO"))</f>
        <v/>
      </c>
      <c r="AV2134" s="34" t="str">
        <f aca="false">IF($B2134="","",COUNTIF($F2134:$AJ2134,"PH"))</f>
        <v/>
      </c>
      <c r="AW2134" s="34" t="str">
        <f aca="false">IF($B2134="","",COUNTIF($F2134:$AJ2134,"TR"))</f>
        <v/>
      </c>
      <c r="AX2134" s="35" t="str">
        <f aca="false">IF($B2134="","",AO2134+AS2134/2)</f>
        <v/>
      </c>
      <c r="AY2134" s="35" t="str">
        <f aca="false">IF($B2134="","",AQ2134)</f>
        <v/>
      </c>
      <c r="AZ2134" s="35" t="str">
        <f aca="false">IF($B2134="","",AP2134+AT2134/2)</f>
        <v/>
      </c>
      <c r="BA2134" s="35" t="str">
        <f aca="false">IF($B2134="","",AK2134+AN2134+AM2134/2+AO2134+AP2134+AQ2134+AR2134+AS2134+AT2134+AU2134+AV2134+AW2134)</f>
        <v/>
      </c>
      <c r="BB2134" s="35" t="str">
        <f aca="false">IF($B2134="","",MAX(0,AN2134-Settings!$C$16)*Settings!$C$17)</f>
        <v/>
      </c>
      <c r="BC2134" s="35" t="str">
        <f aca="false">IF($B2134="","",BA2134-BB2134)</f>
        <v/>
      </c>
      <c r="BD2134" s="35" t="str">
        <f aca="false">IF(OR($B2134="",$A2134=""),"",DAY(EOMONTH($A2134,0))-COUNTA($F2134:$AJ2134))</f>
        <v/>
      </c>
    </row>
    <row r="2135" customFormat="false" ht="15" hidden="false" customHeight="false" outlineLevel="0" collapsed="false">
      <c r="A2135" s="32"/>
      <c r="B2135" s="29"/>
      <c r="C2135" s="10" t="str">
        <f aca="false">IF($B2135="","",IFERROR(INDEX(M_name,MATCH($B2135,M_emp,0)),"Code not found"))</f>
        <v/>
      </c>
      <c r="D2135" s="10" t="str">
        <f aca="false">IF($B2135="","",IFERROR(INDEX(M_dept,MATCH($B2135,M_emp,0)),""))</f>
        <v/>
      </c>
      <c r="E2135" s="10" t="str">
        <f aca="false">IF($B2135="","",IFERROR(INDEX(M_loc,MATCH($B2135,M_emp,0)),""))</f>
        <v/>
      </c>
      <c r="F2135" s="33"/>
      <c r="G2135" s="33"/>
      <c r="H2135" s="33"/>
      <c r="I2135" s="33"/>
      <c r="J2135" s="33"/>
      <c r="K2135" s="33"/>
      <c r="L2135" s="33"/>
      <c r="M2135" s="33"/>
      <c r="N2135" s="33"/>
      <c r="O2135" s="33"/>
      <c r="P2135" s="33"/>
      <c r="Q2135" s="33"/>
      <c r="R2135" s="33"/>
      <c r="S2135" s="33"/>
      <c r="T2135" s="33"/>
      <c r="U2135" s="33"/>
      <c r="V2135" s="33"/>
      <c r="W2135" s="33"/>
      <c r="X2135" s="33"/>
      <c r="Y2135" s="33"/>
      <c r="Z2135" s="33"/>
      <c r="AA2135" s="33"/>
      <c r="AB2135" s="33"/>
      <c r="AC2135" s="33"/>
      <c r="AD2135" s="33"/>
      <c r="AE2135" s="33"/>
      <c r="AF2135" s="33"/>
      <c r="AG2135" s="33"/>
      <c r="AH2135" s="33"/>
      <c r="AI2135" s="33"/>
      <c r="AJ2135" s="33"/>
      <c r="AK2135" s="34" t="str">
        <f aca="false">IF($B2135="","",COUNTIF($F2135:$AJ2135,"P"))</f>
        <v/>
      </c>
      <c r="AL2135" s="34" t="str">
        <f aca="false">IF($B2135="","",COUNTIF($F2135:$AJ2135,"A"))</f>
        <v/>
      </c>
      <c r="AM2135" s="34" t="str">
        <f aca="false">IF($B2135="","",COUNTIF($F2135:$AJ2135,"HA"))</f>
        <v/>
      </c>
      <c r="AN2135" s="34" t="str">
        <f aca="false">IF($B2135="","",COUNTIF($F2135:$AJ2135,"L"))</f>
        <v/>
      </c>
      <c r="AO2135" s="34" t="str">
        <f aca="false">IF($B2135="","",COUNTIF($F2135:$AJ2135,"PL"))</f>
        <v/>
      </c>
      <c r="AP2135" s="34" t="str">
        <f aca="false">IF($B2135="","",COUNTIF($F2135:$AJ2135,"CL"))</f>
        <v/>
      </c>
      <c r="AQ2135" s="34" t="str">
        <f aca="false">IF($B2135="","",COUNTIF($F2135:$AJ2135,"SL"))</f>
        <v/>
      </c>
      <c r="AR2135" s="34" t="str">
        <f aca="false">IF($B2135="","",COUNTIF($F2135:$AJ2135,"CO"))</f>
        <v/>
      </c>
      <c r="AS2135" s="34" t="str">
        <f aca="false">IF($B2135="","",COUNTIF($F2135:$AJ2135,"HPL"))</f>
        <v/>
      </c>
      <c r="AT2135" s="34" t="str">
        <f aca="false">IF($B2135="","",COUNTIF($F2135:$AJ2135,"HCL"))</f>
        <v/>
      </c>
      <c r="AU2135" s="34" t="str">
        <f aca="false">IF($B2135="","",COUNTIF($F2135:$AJ2135,"WO"))</f>
        <v/>
      </c>
      <c r="AV2135" s="34" t="str">
        <f aca="false">IF($B2135="","",COUNTIF($F2135:$AJ2135,"PH"))</f>
        <v/>
      </c>
      <c r="AW2135" s="34" t="str">
        <f aca="false">IF($B2135="","",COUNTIF($F2135:$AJ2135,"TR"))</f>
        <v/>
      </c>
      <c r="AX2135" s="35" t="str">
        <f aca="false">IF($B2135="","",AO2135+AS2135/2)</f>
        <v/>
      </c>
      <c r="AY2135" s="35" t="str">
        <f aca="false">IF($B2135="","",AQ2135)</f>
        <v/>
      </c>
      <c r="AZ2135" s="35" t="str">
        <f aca="false">IF($B2135="","",AP2135+AT2135/2)</f>
        <v/>
      </c>
      <c r="BA2135" s="35" t="str">
        <f aca="false">IF($B2135="","",AK2135+AN2135+AM2135/2+AO2135+AP2135+AQ2135+AR2135+AS2135+AT2135+AU2135+AV2135+AW2135)</f>
        <v/>
      </c>
      <c r="BB2135" s="35" t="str">
        <f aca="false">IF($B2135="","",MAX(0,AN2135-Settings!$C$16)*Settings!$C$17)</f>
        <v/>
      </c>
      <c r="BC2135" s="35" t="str">
        <f aca="false">IF($B2135="","",BA2135-BB2135)</f>
        <v/>
      </c>
      <c r="BD2135" s="35" t="str">
        <f aca="false">IF(OR($B2135="",$A2135=""),"",DAY(EOMONTH($A2135,0))-COUNTA($F2135:$AJ2135))</f>
        <v/>
      </c>
    </row>
    <row r="2136" customFormat="false" ht="15" hidden="false" customHeight="false" outlineLevel="0" collapsed="false">
      <c r="A2136" s="32"/>
      <c r="B2136" s="29"/>
      <c r="C2136" s="10" t="str">
        <f aca="false">IF($B2136="","",IFERROR(INDEX(M_name,MATCH($B2136,M_emp,0)),"Code not found"))</f>
        <v/>
      </c>
      <c r="D2136" s="10" t="str">
        <f aca="false">IF($B2136="","",IFERROR(INDEX(M_dept,MATCH($B2136,M_emp,0)),""))</f>
        <v/>
      </c>
      <c r="E2136" s="10" t="str">
        <f aca="false">IF($B2136="","",IFERROR(INDEX(M_loc,MATCH($B2136,M_emp,0)),""))</f>
        <v/>
      </c>
      <c r="F2136" s="33"/>
      <c r="G2136" s="33"/>
      <c r="H2136" s="33"/>
      <c r="I2136" s="33"/>
      <c r="J2136" s="33"/>
      <c r="K2136" s="33"/>
      <c r="L2136" s="33"/>
      <c r="M2136" s="33"/>
      <c r="N2136" s="33"/>
      <c r="O2136" s="33"/>
      <c r="P2136" s="33"/>
      <c r="Q2136" s="33"/>
      <c r="R2136" s="33"/>
      <c r="S2136" s="33"/>
      <c r="T2136" s="33"/>
      <c r="U2136" s="33"/>
      <c r="V2136" s="33"/>
      <c r="W2136" s="33"/>
      <c r="X2136" s="33"/>
      <c r="Y2136" s="33"/>
      <c r="Z2136" s="33"/>
      <c r="AA2136" s="33"/>
      <c r="AB2136" s="33"/>
      <c r="AC2136" s="33"/>
      <c r="AD2136" s="33"/>
      <c r="AE2136" s="33"/>
      <c r="AF2136" s="33"/>
      <c r="AG2136" s="33"/>
      <c r="AH2136" s="33"/>
      <c r="AI2136" s="33"/>
      <c r="AJ2136" s="33"/>
      <c r="AK2136" s="34" t="str">
        <f aca="false">IF($B2136="","",COUNTIF($F2136:$AJ2136,"P"))</f>
        <v/>
      </c>
      <c r="AL2136" s="34" t="str">
        <f aca="false">IF($B2136="","",COUNTIF($F2136:$AJ2136,"A"))</f>
        <v/>
      </c>
      <c r="AM2136" s="34" t="str">
        <f aca="false">IF($B2136="","",COUNTIF($F2136:$AJ2136,"HA"))</f>
        <v/>
      </c>
      <c r="AN2136" s="34" t="str">
        <f aca="false">IF($B2136="","",COUNTIF($F2136:$AJ2136,"L"))</f>
        <v/>
      </c>
      <c r="AO2136" s="34" t="str">
        <f aca="false">IF($B2136="","",COUNTIF($F2136:$AJ2136,"PL"))</f>
        <v/>
      </c>
      <c r="AP2136" s="34" t="str">
        <f aca="false">IF($B2136="","",COUNTIF($F2136:$AJ2136,"CL"))</f>
        <v/>
      </c>
      <c r="AQ2136" s="34" t="str">
        <f aca="false">IF($B2136="","",COUNTIF($F2136:$AJ2136,"SL"))</f>
        <v/>
      </c>
      <c r="AR2136" s="34" t="str">
        <f aca="false">IF($B2136="","",COUNTIF($F2136:$AJ2136,"CO"))</f>
        <v/>
      </c>
      <c r="AS2136" s="34" t="str">
        <f aca="false">IF($B2136="","",COUNTIF($F2136:$AJ2136,"HPL"))</f>
        <v/>
      </c>
      <c r="AT2136" s="34" t="str">
        <f aca="false">IF($B2136="","",COUNTIF($F2136:$AJ2136,"HCL"))</f>
        <v/>
      </c>
      <c r="AU2136" s="34" t="str">
        <f aca="false">IF($B2136="","",COUNTIF($F2136:$AJ2136,"WO"))</f>
        <v/>
      </c>
      <c r="AV2136" s="34" t="str">
        <f aca="false">IF($B2136="","",COUNTIF($F2136:$AJ2136,"PH"))</f>
        <v/>
      </c>
      <c r="AW2136" s="34" t="str">
        <f aca="false">IF($B2136="","",COUNTIF($F2136:$AJ2136,"TR"))</f>
        <v/>
      </c>
      <c r="AX2136" s="35" t="str">
        <f aca="false">IF($B2136="","",AO2136+AS2136/2)</f>
        <v/>
      </c>
      <c r="AY2136" s="35" t="str">
        <f aca="false">IF($B2136="","",AQ2136)</f>
        <v/>
      </c>
      <c r="AZ2136" s="35" t="str">
        <f aca="false">IF($B2136="","",AP2136+AT2136/2)</f>
        <v/>
      </c>
      <c r="BA2136" s="35" t="str">
        <f aca="false">IF($B2136="","",AK2136+AN2136+AM2136/2+AO2136+AP2136+AQ2136+AR2136+AS2136+AT2136+AU2136+AV2136+AW2136)</f>
        <v/>
      </c>
      <c r="BB2136" s="35" t="str">
        <f aca="false">IF($B2136="","",MAX(0,AN2136-Settings!$C$16)*Settings!$C$17)</f>
        <v/>
      </c>
      <c r="BC2136" s="35" t="str">
        <f aca="false">IF($B2136="","",BA2136-BB2136)</f>
        <v/>
      </c>
      <c r="BD2136" s="35" t="str">
        <f aca="false">IF(OR($B2136="",$A2136=""),"",DAY(EOMONTH($A2136,0))-COUNTA($F2136:$AJ2136))</f>
        <v/>
      </c>
    </row>
    <row r="2137" customFormat="false" ht="15" hidden="false" customHeight="false" outlineLevel="0" collapsed="false">
      <c r="A2137" s="32"/>
      <c r="B2137" s="29"/>
      <c r="C2137" s="10" t="str">
        <f aca="false">IF($B2137="","",IFERROR(INDEX(M_name,MATCH($B2137,M_emp,0)),"Code not found"))</f>
        <v/>
      </c>
      <c r="D2137" s="10" t="str">
        <f aca="false">IF($B2137="","",IFERROR(INDEX(M_dept,MATCH($B2137,M_emp,0)),""))</f>
        <v/>
      </c>
      <c r="E2137" s="10" t="str">
        <f aca="false">IF($B2137="","",IFERROR(INDEX(M_loc,MATCH($B2137,M_emp,0)),""))</f>
        <v/>
      </c>
      <c r="F2137" s="33"/>
      <c r="G2137" s="33"/>
      <c r="H2137" s="33"/>
      <c r="I2137" s="33"/>
      <c r="J2137" s="33"/>
      <c r="K2137" s="33"/>
      <c r="L2137" s="33"/>
      <c r="M2137" s="33"/>
      <c r="N2137" s="33"/>
      <c r="O2137" s="33"/>
      <c r="P2137" s="33"/>
      <c r="Q2137" s="33"/>
      <c r="R2137" s="33"/>
      <c r="S2137" s="33"/>
      <c r="T2137" s="33"/>
      <c r="U2137" s="33"/>
      <c r="V2137" s="33"/>
      <c r="W2137" s="33"/>
      <c r="X2137" s="33"/>
      <c r="Y2137" s="33"/>
      <c r="Z2137" s="33"/>
      <c r="AA2137" s="33"/>
      <c r="AB2137" s="33"/>
      <c r="AC2137" s="33"/>
      <c r="AD2137" s="33"/>
      <c r="AE2137" s="33"/>
      <c r="AF2137" s="33"/>
      <c r="AG2137" s="33"/>
      <c r="AH2137" s="33"/>
      <c r="AI2137" s="33"/>
      <c r="AJ2137" s="33"/>
      <c r="AK2137" s="34" t="str">
        <f aca="false">IF($B2137="","",COUNTIF($F2137:$AJ2137,"P"))</f>
        <v/>
      </c>
      <c r="AL2137" s="34" t="str">
        <f aca="false">IF($B2137="","",COUNTIF($F2137:$AJ2137,"A"))</f>
        <v/>
      </c>
      <c r="AM2137" s="34" t="str">
        <f aca="false">IF($B2137="","",COUNTIF($F2137:$AJ2137,"HA"))</f>
        <v/>
      </c>
      <c r="AN2137" s="34" t="str">
        <f aca="false">IF($B2137="","",COUNTIF($F2137:$AJ2137,"L"))</f>
        <v/>
      </c>
      <c r="AO2137" s="34" t="str">
        <f aca="false">IF($B2137="","",COUNTIF($F2137:$AJ2137,"PL"))</f>
        <v/>
      </c>
      <c r="AP2137" s="34" t="str">
        <f aca="false">IF($B2137="","",COUNTIF($F2137:$AJ2137,"CL"))</f>
        <v/>
      </c>
      <c r="AQ2137" s="34" t="str">
        <f aca="false">IF($B2137="","",COUNTIF($F2137:$AJ2137,"SL"))</f>
        <v/>
      </c>
      <c r="AR2137" s="34" t="str">
        <f aca="false">IF($B2137="","",COUNTIF($F2137:$AJ2137,"CO"))</f>
        <v/>
      </c>
      <c r="AS2137" s="34" t="str">
        <f aca="false">IF($B2137="","",COUNTIF($F2137:$AJ2137,"HPL"))</f>
        <v/>
      </c>
      <c r="AT2137" s="34" t="str">
        <f aca="false">IF($B2137="","",COUNTIF($F2137:$AJ2137,"HCL"))</f>
        <v/>
      </c>
      <c r="AU2137" s="34" t="str">
        <f aca="false">IF($B2137="","",COUNTIF($F2137:$AJ2137,"WO"))</f>
        <v/>
      </c>
      <c r="AV2137" s="34" t="str">
        <f aca="false">IF($B2137="","",COUNTIF($F2137:$AJ2137,"PH"))</f>
        <v/>
      </c>
      <c r="AW2137" s="34" t="str">
        <f aca="false">IF($B2137="","",COUNTIF($F2137:$AJ2137,"TR"))</f>
        <v/>
      </c>
      <c r="AX2137" s="35" t="str">
        <f aca="false">IF($B2137="","",AO2137+AS2137/2)</f>
        <v/>
      </c>
      <c r="AY2137" s="35" t="str">
        <f aca="false">IF($B2137="","",AQ2137)</f>
        <v/>
      </c>
      <c r="AZ2137" s="35" t="str">
        <f aca="false">IF($B2137="","",AP2137+AT2137/2)</f>
        <v/>
      </c>
      <c r="BA2137" s="35" t="str">
        <f aca="false">IF($B2137="","",AK2137+AN2137+AM2137/2+AO2137+AP2137+AQ2137+AR2137+AS2137+AT2137+AU2137+AV2137+AW2137)</f>
        <v/>
      </c>
      <c r="BB2137" s="35" t="str">
        <f aca="false">IF($B2137="","",MAX(0,AN2137-Settings!$C$16)*Settings!$C$17)</f>
        <v/>
      </c>
      <c r="BC2137" s="35" t="str">
        <f aca="false">IF($B2137="","",BA2137-BB2137)</f>
        <v/>
      </c>
      <c r="BD2137" s="35" t="str">
        <f aca="false">IF(OR($B2137="",$A2137=""),"",DAY(EOMONTH($A2137,0))-COUNTA($F2137:$AJ2137))</f>
        <v/>
      </c>
    </row>
    <row r="2138" customFormat="false" ht="15" hidden="false" customHeight="false" outlineLevel="0" collapsed="false">
      <c r="A2138" s="32"/>
      <c r="B2138" s="29"/>
      <c r="C2138" s="10" t="str">
        <f aca="false">IF($B2138="","",IFERROR(INDEX(M_name,MATCH($B2138,M_emp,0)),"Code not found"))</f>
        <v/>
      </c>
      <c r="D2138" s="10" t="str">
        <f aca="false">IF($B2138="","",IFERROR(INDEX(M_dept,MATCH($B2138,M_emp,0)),""))</f>
        <v/>
      </c>
      <c r="E2138" s="10" t="str">
        <f aca="false">IF($B2138="","",IFERROR(INDEX(M_loc,MATCH($B2138,M_emp,0)),""))</f>
        <v/>
      </c>
      <c r="F2138" s="33"/>
      <c r="G2138" s="33"/>
      <c r="H2138" s="33"/>
      <c r="I2138" s="33"/>
      <c r="J2138" s="33"/>
      <c r="K2138" s="33"/>
      <c r="L2138" s="33"/>
      <c r="M2138" s="33"/>
      <c r="N2138" s="33"/>
      <c r="O2138" s="33"/>
      <c r="P2138" s="33"/>
      <c r="Q2138" s="33"/>
      <c r="R2138" s="33"/>
      <c r="S2138" s="33"/>
      <c r="T2138" s="33"/>
      <c r="U2138" s="33"/>
      <c r="V2138" s="33"/>
      <c r="W2138" s="33"/>
      <c r="X2138" s="33"/>
      <c r="Y2138" s="33"/>
      <c r="Z2138" s="33"/>
      <c r="AA2138" s="33"/>
      <c r="AB2138" s="33"/>
      <c r="AC2138" s="33"/>
      <c r="AD2138" s="33"/>
      <c r="AE2138" s="33"/>
      <c r="AF2138" s="33"/>
      <c r="AG2138" s="33"/>
      <c r="AH2138" s="33"/>
      <c r="AI2138" s="33"/>
      <c r="AJ2138" s="33"/>
      <c r="AK2138" s="34" t="str">
        <f aca="false">IF($B2138="","",COUNTIF($F2138:$AJ2138,"P"))</f>
        <v/>
      </c>
      <c r="AL2138" s="34" t="str">
        <f aca="false">IF($B2138="","",COUNTIF($F2138:$AJ2138,"A"))</f>
        <v/>
      </c>
      <c r="AM2138" s="34" t="str">
        <f aca="false">IF($B2138="","",COUNTIF($F2138:$AJ2138,"HA"))</f>
        <v/>
      </c>
      <c r="AN2138" s="34" t="str">
        <f aca="false">IF($B2138="","",COUNTIF($F2138:$AJ2138,"L"))</f>
        <v/>
      </c>
      <c r="AO2138" s="34" t="str">
        <f aca="false">IF($B2138="","",COUNTIF($F2138:$AJ2138,"PL"))</f>
        <v/>
      </c>
      <c r="AP2138" s="34" t="str">
        <f aca="false">IF($B2138="","",COUNTIF($F2138:$AJ2138,"CL"))</f>
        <v/>
      </c>
      <c r="AQ2138" s="34" t="str">
        <f aca="false">IF($B2138="","",COUNTIF($F2138:$AJ2138,"SL"))</f>
        <v/>
      </c>
      <c r="AR2138" s="34" t="str">
        <f aca="false">IF($B2138="","",COUNTIF($F2138:$AJ2138,"CO"))</f>
        <v/>
      </c>
      <c r="AS2138" s="34" t="str">
        <f aca="false">IF($B2138="","",COUNTIF($F2138:$AJ2138,"HPL"))</f>
        <v/>
      </c>
      <c r="AT2138" s="34" t="str">
        <f aca="false">IF($B2138="","",COUNTIF($F2138:$AJ2138,"HCL"))</f>
        <v/>
      </c>
      <c r="AU2138" s="34" t="str">
        <f aca="false">IF($B2138="","",COUNTIF($F2138:$AJ2138,"WO"))</f>
        <v/>
      </c>
      <c r="AV2138" s="34" t="str">
        <f aca="false">IF($B2138="","",COUNTIF($F2138:$AJ2138,"PH"))</f>
        <v/>
      </c>
      <c r="AW2138" s="34" t="str">
        <f aca="false">IF($B2138="","",COUNTIF($F2138:$AJ2138,"TR"))</f>
        <v/>
      </c>
      <c r="AX2138" s="35" t="str">
        <f aca="false">IF($B2138="","",AO2138+AS2138/2)</f>
        <v/>
      </c>
      <c r="AY2138" s="35" t="str">
        <f aca="false">IF($B2138="","",AQ2138)</f>
        <v/>
      </c>
      <c r="AZ2138" s="35" t="str">
        <f aca="false">IF($B2138="","",AP2138+AT2138/2)</f>
        <v/>
      </c>
      <c r="BA2138" s="35" t="str">
        <f aca="false">IF($B2138="","",AK2138+AN2138+AM2138/2+AO2138+AP2138+AQ2138+AR2138+AS2138+AT2138+AU2138+AV2138+AW2138)</f>
        <v/>
      </c>
      <c r="BB2138" s="35" t="str">
        <f aca="false">IF($B2138="","",MAX(0,AN2138-Settings!$C$16)*Settings!$C$17)</f>
        <v/>
      </c>
      <c r="BC2138" s="35" t="str">
        <f aca="false">IF($B2138="","",BA2138-BB2138)</f>
        <v/>
      </c>
      <c r="BD2138" s="35" t="str">
        <f aca="false">IF(OR($B2138="",$A2138=""),"",DAY(EOMONTH($A2138,0))-COUNTA($F2138:$AJ2138))</f>
        <v/>
      </c>
    </row>
    <row r="2139" customFormat="false" ht="15" hidden="false" customHeight="false" outlineLevel="0" collapsed="false">
      <c r="A2139" s="32"/>
      <c r="B2139" s="29"/>
      <c r="C2139" s="10" t="str">
        <f aca="false">IF($B2139="","",IFERROR(INDEX(M_name,MATCH($B2139,M_emp,0)),"Code not found"))</f>
        <v/>
      </c>
      <c r="D2139" s="10" t="str">
        <f aca="false">IF($B2139="","",IFERROR(INDEX(M_dept,MATCH($B2139,M_emp,0)),""))</f>
        <v/>
      </c>
      <c r="E2139" s="10" t="str">
        <f aca="false">IF($B2139="","",IFERROR(INDEX(M_loc,MATCH($B2139,M_emp,0)),""))</f>
        <v/>
      </c>
      <c r="F2139" s="33"/>
      <c r="G2139" s="33"/>
      <c r="H2139" s="33"/>
      <c r="I2139" s="33"/>
      <c r="J2139" s="33"/>
      <c r="K2139" s="33"/>
      <c r="L2139" s="33"/>
      <c r="M2139" s="33"/>
      <c r="N2139" s="33"/>
      <c r="O2139" s="33"/>
      <c r="P2139" s="33"/>
      <c r="Q2139" s="33"/>
      <c r="R2139" s="33"/>
      <c r="S2139" s="33"/>
      <c r="T2139" s="33"/>
      <c r="U2139" s="33"/>
      <c r="V2139" s="33"/>
      <c r="W2139" s="33"/>
      <c r="X2139" s="33"/>
      <c r="Y2139" s="33"/>
      <c r="Z2139" s="33"/>
      <c r="AA2139" s="33"/>
      <c r="AB2139" s="33"/>
      <c r="AC2139" s="33"/>
      <c r="AD2139" s="33"/>
      <c r="AE2139" s="33"/>
      <c r="AF2139" s="33"/>
      <c r="AG2139" s="33"/>
      <c r="AH2139" s="33"/>
      <c r="AI2139" s="33"/>
      <c r="AJ2139" s="33"/>
      <c r="AK2139" s="34" t="str">
        <f aca="false">IF($B2139="","",COUNTIF($F2139:$AJ2139,"P"))</f>
        <v/>
      </c>
      <c r="AL2139" s="34" t="str">
        <f aca="false">IF($B2139="","",COUNTIF($F2139:$AJ2139,"A"))</f>
        <v/>
      </c>
      <c r="AM2139" s="34" t="str">
        <f aca="false">IF($B2139="","",COUNTIF($F2139:$AJ2139,"HA"))</f>
        <v/>
      </c>
      <c r="AN2139" s="34" t="str">
        <f aca="false">IF($B2139="","",COUNTIF($F2139:$AJ2139,"L"))</f>
        <v/>
      </c>
      <c r="AO2139" s="34" t="str">
        <f aca="false">IF($B2139="","",COUNTIF($F2139:$AJ2139,"PL"))</f>
        <v/>
      </c>
      <c r="AP2139" s="34" t="str">
        <f aca="false">IF($B2139="","",COUNTIF($F2139:$AJ2139,"CL"))</f>
        <v/>
      </c>
      <c r="AQ2139" s="34" t="str">
        <f aca="false">IF($B2139="","",COUNTIF($F2139:$AJ2139,"SL"))</f>
        <v/>
      </c>
      <c r="AR2139" s="34" t="str">
        <f aca="false">IF($B2139="","",COUNTIF($F2139:$AJ2139,"CO"))</f>
        <v/>
      </c>
      <c r="AS2139" s="34" t="str">
        <f aca="false">IF($B2139="","",COUNTIF($F2139:$AJ2139,"HPL"))</f>
        <v/>
      </c>
      <c r="AT2139" s="34" t="str">
        <f aca="false">IF($B2139="","",COUNTIF($F2139:$AJ2139,"HCL"))</f>
        <v/>
      </c>
      <c r="AU2139" s="34" t="str">
        <f aca="false">IF($B2139="","",COUNTIF($F2139:$AJ2139,"WO"))</f>
        <v/>
      </c>
      <c r="AV2139" s="34" t="str">
        <f aca="false">IF($B2139="","",COUNTIF($F2139:$AJ2139,"PH"))</f>
        <v/>
      </c>
      <c r="AW2139" s="34" t="str">
        <f aca="false">IF($B2139="","",COUNTIF($F2139:$AJ2139,"TR"))</f>
        <v/>
      </c>
      <c r="AX2139" s="35" t="str">
        <f aca="false">IF($B2139="","",AO2139+AS2139/2)</f>
        <v/>
      </c>
      <c r="AY2139" s="35" t="str">
        <f aca="false">IF($B2139="","",AQ2139)</f>
        <v/>
      </c>
      <c r="AZ2139" s="35" t="str">
        <f aca="false">IF($B2139="","",AP2139+AT2139/2)</f>
        <v/>
      </c>
      <c r="BA2139" s="35" t="str">
        <f aca="false">IF($B2139="","",AK2139+AN2139+AM2139/2+AO2139+AP2139+AQ2139+AR2139+AS2139+AT2139+AU2139+AV2139+AW2139)</f>
        <v/>
      </c>
      <c r="BB2139" s="35" t="str">
        <f aca="false">IF($B2139="","",MAX(0,AN2139-Settings!$C$16)*Settings!$C$17)</f>
        <v/>
      </c>
      <c r="BC2139" s="35" t="str">
        <f aca="false">IF($B2139="","",BA2139-BB2139)</f>
        <v/>
      </c>
      <c r="BD2139" s="35" t="str">
        <f aca="false">IF(OR($B2139="",$A2139=""),"",DAY(EOMONTH($A2139,0))-COUNTA($F2139:$AJ2139))</f>
        <v/>
      </c>
    </row>
    <row r="2140" customFormat="false" ht="15" hidden="false" customHeight="false" outlineLevel="0" collapsed="false">
      <c r="A2140" s="32"/>
      <c r="B2140" s="29"/>
      <c r="C2140" s="10" t="str">
        <f aca="false">IF($B2140="","",IFERROR(INDEX(M_name,MATCH($B2140,M_emp,0)),"Code not found"))</f>
        <v/>
      </c>
      <c r="D2140" s="10" t="str">
        <f aca="false">IF($B2140="","",IFERROR(INDEX(M_dept,MATCH($B2140,M_emp,0)),""))</f>
        <v/>
      </c>
      <c r="E2140" s="10" t="str">
        <f aca="false">IF($B2140="","",IFERROR(INDEX(M_loc,MATCH($B2140,M_emp,0)),""))</f>
        <v/>
      </c>
      <c r="F2140" s="33"/>
      <c r="G2140" s="33"/>
      <c r="H2140" s="33"/>
      <c r="I2140" s="33"/>
      <c r="J2140" s="33"/>
      <c r="K2140" s="33"/>
      <c r="L2140" s="33"/>
      <c r="M2140" s="33"/>
      <c r="N2140" s="33"/>
      <c r="O2140" s="33"/>
      <c r="P2140" s="33"/>
      <c r="Q2140" s="33"/>
      <c r="R2140" s="33"/>
      <c r="S2140" s="33"/>
      <c r="T2140" s="33"/>
      <c r="U2140" s="33"/>
      <c r="V2140" s="33"/>
      <c r="W2140" s="33"/>
      <c r="X2140" s="33"/>
      <c r="Y2140" s="33"/>
      <c r="Z2140" s="33"/>
      <c r="AA2140" s="33"/>
      <c r="AB2140" s="33"/>
      <c r="AC2140" s="33"/>
      <c r="AD2140" s="33"/>
      <c r="AE2140" s="33"/>
      <c r="AF2140" s="33"/>
      <c r="AG2140" s="33"/>
      <c r="AH2140" s="33"/>
      <c r="AI2140" s="33"/>
      <c r="AJ2140" s="33"/>
      <c r="AK2140" s="34" t="str">
        <f aca="false">IF($B2140="","",COUNTIF($F2140:$AJ2140,"P"))</f>
        <v/>
      </c>
      <c r="AL2140" s="34" t="str">
        <f aca="false">IF($B2140="","",COUNTIF($F2140:$AJ2140,"A"))</f>
        <v/>
      </c>
      <c r="AM2140" s="34" t="str">
        <f aca="false">IF($B2140="","",COUNTIF($F2140:$AJ2140,"HA"))</f>
        <v/>
      </c>
      <c r="AN2140" s="34" t="str">
        <f aca="false">IF($B2140="","",COUNTIF($F2140:$AJ2140,"L"))</f>
        <v/>
      </c>
      <c r="AO2140" s="34" t="str">
        <f aca="false">IF($B2140="","",COUNTIF($F2140:$AJ2140,"PL"))</f>
        <v/>
      </c>
      <c r="AP2140" s="34" t="str">
        <f aca="false">IF($B2140="","",COUNTIF($F2140:$AJ2140,"CL"))</f>
        <v/>
      </c>
      <c r="AQ2140" s="34" t="str">
        <f aca="false">IF($B2140="","",COUNTIF($F2140:$AJ2140,"SL"))</f>
        <v/>
      </c>
      <c r="AR2140" s="34" t="str">
        <f aca="false">IF($B2140="","",COUNTIF($F2140:$AJ2140,"CO"))</f>
        <v/>
      </c>
      <c r="AS2140" s="34" t="str">
        <f aca="false">IF($B2140="","",COUNTIF($F2140:$AJ2140,"HPL"))</f>
        <v/>
      </c>
      <c r="AT2140" s="34" t="str">
        <f aca="false">IF($B2140="","",COUNTIF($F2140:$AJ2140,"HCL"))</f>
        <v/>
      </c>
      <c r="AU2140" s="34" t="str">
        <f aca="false">IF($B2140="","",COUNTIF($F2140:$AJ2140,"WO"))</f>
        <v/>
      </c>
      <c r="AV2140" s="34" t="str">
        <f aca="false">IF($B2140="","",COUNTIF($F2140:$AJ2140,"PH"))</f>
        <v/>
      </c>
      <c r="AW2140" s="34" t="str">
        <f aca="false">IF($B2140="","",COUNTIF($F2140:$AJ2140,"TR"))</f>
        <v/>
      </c>
      <c r="AX2140" s="35" t="str">
        <f aca="false">IF($B2140="","",AO2140+AS2140/2)</f>
        <v/>
      </c>
      <c r="AY2140" s="35" t="str">
        <f aca="false">IF($B2140="","",AQ2140)</f>
        <v/>
      </c>
      <c r="AZ2140" s="35" t="str">
        <f aca="false">IF($B2140="","",AP2140+AT2140/2)</f>
        <v/>
      </c>
      <c r="BA2140" s="35" t="str">
        <f aca="false">IF($B2140="","",AK2140+AN2140+AM2140/2+AO2140+AP2140+AQ2140+AR2140+AS2140+AT2140+AU2140+AV2140+AW2140)</f>
        <v/>
      </c>
      <c r="BB2140" s="35" t="str">
        <f aca="false">IF($B2140="","",MAX(0,AN2140-Settings!$C$16)*Settings!$C$17)</f>
        <v/>
      </c>
      <c r="BC2140" s="35" t="str">
        <f aca="false">IF($B2140="","",BA2140-BB2140)</f>
        <v/>
      </c>
      <c r="BD2140" s="35" t="str">
        <f aca="false">IF(OR($B2140="",$A2140=""),"",DAY(EOMONTH($A2140,0))-COUNTA($F2140:$AJ2140))</f>
        <v/>
      </c>
    </row>
    <row r="2141" customFormat="false" ht="15" hidden="false" customHeight="false" outlineLevel="0" collapsed="false">
      <c r="A2141" s="32"/>
      <c r="B2141" s="29"/>
      <c r="C2141" s="10" t="str">
        <f aca="false">IF($B2141="","",IFERROR(INDEX(M_name,MATCH($B2141,M_emp,0)),"Code not found"))</f>
        <v/>
      </c>
      <c r="D2141" s="10" t="str">
        <f aca="false">IF($B2141="","",IFERROR(INDEX(M_dept,MATCH($B2141,M_emp,0)),""))</f>
        <v/>
      </c>
      <c r="E2141" s="10" t="str">
        <f aca="false">IF($B2141="","",IFERROR(INDEX(M_loc,MATCH($B2141,M_emp,0)),""))</f>
        <v/>
      </c>
      <c r="F2141" s="33"/>
      <c r="G2141" s="33"/>
      <c r="H2141" s="33"/>
      <c r="I2141" s="33"/>
      <c r="J2141" s="33"/>
      <c r="K2141" s="33"/>
      <c r="L2141" s="33"/>
      <c r="M2141" s="33"/>
      <c r="N2141" s="33"/>
      <c r="O2141" s="33"/>
      <c r="P2141" s="33"/>
      <c r="Q2141" s="33"/>
      <c r="R2141" s="33"/>
      <c r="S2141" s="33"/>
      <c r="T2141" s="33"/>
      <c r="U2141" s="33"/>
      <c r="V2141" s="33"/>
      <c r="W2141" s="33"/>
      <c r="X2141" s="33"/>
      <c r="Y2141" s="33"/>
      <c r="Z2141" s="33"/>
      <c r="AA2141" s="33"/>
      <c r="AB2141" s="33"/>
      <c r="AC2141" s="33"/>
      <c r="AD2141" s="33"/>
      <c r="AE2141" s="33"/>
      <c r="AF2141" s="33"/>
      <c r="AG2141" s="33"/>
      <c r="AH2141" s="33"/>
      <c r="AI2141" s="33"/>
      <c r="AJ2141" s="33"/>
      <c r="AK2141" s="34" t="str">
        <f aca="false">IF($B2141="","",COUNTIF($F2141:$AJ2141,"P"))</f>
        <v/>
      </c>
      <c r="AL2141" s="34" t="str">
        <f aca="false">IF($B2141="","",COUNTIF($F2141:$AJ2141,"A"))</f>
        <v/>
      </c>
      <c r="AM2141" s="34" t="str">
        <f aca="false">IF($B2141="","",COUNTIF($F2141:$AJ2141,"HA"))</f>
        <v/>
      </c>
      <c r="AN2141" s="34" t="str">
        <f aca="false">IF($B2141="","",COUNTIF($F2141:$AJ2141,"L"))</f>
        <v/>
      </c>
      <c r="AO2141" s="34" t="str">
        <f aca="false">IF($B2141="","",COUNTIF($F2141:$AJ2141,"PL"))</f>
        <v/>
      </c>
      <c r="AP2141" s="34" t="str">
        <f aca="false">IF($B2141="","",COUNTIF($F2141:$AJ2141,"CL"))</f>
        <v/>
      </c>
      <c r="AQ2141" s="34" t="str">
        <f aca="false">IF($B2141="","",COUNTIF($F2141:$AJ2141,"SL"))</f>
        <v/>
      </c>
      <c r="AR2141" s="34" t="str">
        <f aca="false">IF($B2141="","",COUNTIF($F2141:$AJ2141,"CO"))</f>
        <v/>
      </c>
      <c r="AS2141" s="34" t="str">
        <f aca="false">IF($B2141="","",COUNTIF($F2141:$AJ2141,"HPL"))</f>
        <v/>
      </c>
      <c r="AT2141" s="34" t="str">
        <f aca="false">IF($B2141="","",COUNTIF($F2141:$AJ2141,"HCL"))</f>
        <v/>
      </c>
      <c r="AU2141" s="34" t="str">
        <f aca="false">IF($B2141="","",COUNTIF($F2141:$AJ2141,"WO"))</f>
        <v/>
      </c>
      <c r="AV2141" s="34" t="str">
        <f aca="false">IF($B2141="","",COUNTIF($F2141:$AJ2141,"PH"))</f>
        <v/>
      </c>
      <c r="AW2141" s="34" t="str">
        <f aca="false">IF($B2141="","",COUNTIF($F2141:$AJ2141,"TR"))</f>
        <v/>
      </c>
      <c r="AX2141" s="35" t="str">
        <f aca="false">IF($B2141="","",AO2141+AS2141/2)</f>
        <v/>
      </c>
      <c r="AY2141" s="35" t="str">
        <f aca="false">IF($B2141="","",AQ2141)</f>
        <v/>
      </c>
      <c r="AZ2141" s="35" t="str">
        <f aca="false">IF($B2141="","",AP2141+AT2141/2)</f>
        <v/>
      </c>
      <c r="BA2141" s="35" t="str">
        <f aca="false">IF($B2141="","",AK2141+AN2141+AM2141/2+AO2141+AP2141+AQ2141+AR2141+AS2141+AT2141+AU2141+AV2141+AW2141)</f>
        <v/>
      </c>
      <c r="BB2141" s="35" t="str">
        <f aca="false">IF($B2141="","",MAX(0,AN2141-Settings!$C$16)*Settings!$C$17)</f>
        <v/>
      </c>
      <c r="BC2141" s="35" t="str">
        <f aca="false">IF($B2141="","",BA2141-BB2141)</f>
        <v/>
      </c>
      <c r="BD2141" s="35" t="str">
        <f aca="false">IF(OR($B2141="",$A2141=""),"",DAY(EOMONTH($A2141,0))-COUNTA($F2141:$AJ2141))</f>
        <v/>
      </c>
    </row>
    <row r="2142" customFormat="false" ht="15" hidden="false" customHeight="false" outlineLevel="0" collapsed="false">
      <c r="A2142" s="32"/>
      <c r="B2142" s="29"/>
      <c r="C2142" s="10" t="str">
        <f aca="false">IF($B2142="","",IFERROR(INDEX(M_name,MATCH($B2142,M_emp,0)),"Code not found"))</f>
        <v/>
      </c>
      <c r="D2142" s="10" t="str">
        <f aca="false">IF($B2142="","",IFERROR(INDEX(M_dept,MATCH($B2142,M_emp,0)),""))</f>
        <v/>
      </c>
      <c r="E2142" s="10" t="str">
        <f aca="false">IF($B2142="","",IFERROR(INDEX(M_loc,MATCH($B2142,M_emp,0)),""))</f>
        <v/>
      </c>
      <c r="F2142" s="33"/>
      <c r="G2142" s="33"/>
      <c r="H2142" s="33"/>
      <c r="I2142" s="33"/>
      <c r="J2142" s="33"/>
      <c r="K2142" s="33"/>
      <c r="L2142" s="33"/>
      <c r="M2142" s="33"/>
      <c r="N2142" s="33"/>
      <c r="O2142" s="33"/>
      <c r="P2142" s="33"/>
      <c r="Q2142" s="33"/>
      <c r="R2142" s="33"/>
      <c r="S2142" s="33"/>
      <c r="T2142" s="33"/>
      <c r="U2142" s="33"/>
      <c r="V2142" s="33"/>
      <c r="W2142" s="33"/>
      <c r="X2142" s="33"/>
      <c r="Y2142" s="33"/>
      <c r="Z2142" s="33"/>
      <c r="AA2142" s="33"/>
      <c r="AB2142" s="33"/>
      <c r="AC2142" s="33"/>
      <c r="AD2142" s="33"/>
      <c r="AE2142" s="33"/>
      <c r="AF2142" s="33"/>
      <c r="AG2142" s="33"/>
      <c r="AH2142" s="33"/>
      <c r="AI2142" s="33"/>
      <c r="AJ2142" s="33"/>
      <c r="AK2142" s="34" t="str">
        <f aca="false">IF($B2142="","",COUNTIF($F2142:$AJ2142,"P"))</f>
        <v/>
      </c>
      <c r="AL2142" s="34" t="str">
        <f aca="false">IF($B2142="","",COUNTIF($F2142:$AJ2142,"A"))</f>
        <v/>
      </c>
      <c r="AM2142" s="34" t="str">
        <f aca="false">IF($B2142="","",COUNTIF($F2142:$AJ2142,"HA"))</f>
        <v/>
      </c>
      <c r="AN2142" s="34" t="str">
        <f aca="false">IF($B2142="","",COUNTIF($F2142:$AJ2142,"L"))</f>
        <v/>
      </c>
      <c r="AO2142" s="34" t="str">
        <f aca="false">IF($B2142="","",COUNTIF($F2142:$AJ2142,"PL"))</f>
        <v/>
      </c>
      <c r="AP2142" s="34" t="str">
        <f aca="false">IF($B2142="","",COUNTIF($F2142:$AJ2142,"CL"))</f>
        <v/>
      </c>
      <c r="AQ2142" s="34" t="str">
        <f aca="false">IF($B2142="","",COUNTIF($F2142:$AJ2142,"SL"))</f>
        <v/>
      </c>
      <c r="AR2142" s="34" t="str">
        <f aca="false">IF($B2142="","",COUNTIF($F2142:$AJ2142,"CO"))</f>
        <v/>
      </c>
      <c r="AS2142" s="34" t="str">
        <f aca="false">IF($B2142="","",COUNTIF($F2142:$AJ2142,"HPL"))</f>
        <v/>
      </c>
      <c r="AT2142" s="34" t="str">
        <f aca="false">IF($B2142="","",COUNTIF($F2142:$AJ2142,"HCL"))</f>
        <v/>
      </c>
      <c r="AU2142" s="34" t="str">
        <f aca="false">IF($B2142="","",COUNTIF($F2142:$AJ2142,"WO"))</f>
        <v/>
      </c>
      <c r="AV2142" s="34" t="str">
        <f aca="false">IF($B2142="","",COUNTIF($F2142:$AJ2142,"PH"))</f>
        <v/>
      </c>
      <c r="AW2142" s="34" t="str">
        <f aca="false">IF($B2142="","",COUNTIF($F2142:$AJ2142,"TR"))</f>
        <v/>
      </c>
      <c r="AX2142" s="35" t="str">
        <f aca="false">IF($B2142="","",AO2142+AS2142/2)</f>
        <v/>
      </c>
      <c r="AY2142" s="35" t="str">
        <f aca="false">IF($B2142="","",AQ2142)</f>
        <v/>
      </c>
      <c r="AZ2142" s="35" t="str">
        <f aca="false">IF($B2142="","",AP2142+AT2142/2)</f>
        <v/>
      </c>
      <c r="BA2142" s="35" t="str">
        <f aca="false">IF($B2142="","",AK2142+AN2142+AM2142/2+AO2142+AP2142+AQ2142+AR2142+AS2142+AT2142+AU2142+AV2142+AW2142)</f>
        <v/>
      </c>
      <c r="BB2142" s="35" t="str">
        <f aca="false">IF($B2142="","",MAX(0,AN2142-Settings!$C$16)*Settings!$C$17)</f>
        <v/>
      </c>
      <c r="BC2142" s="35" t="str">
        <f aca="false">IF($B2142="","",BA2142-BB2142)</f>
        <v/>
      </c>
      <c r="BD2142" s="35" t="str">
        <f aca="false">IF(OR($B2142="",$A2142=""),"",DAY(EOMONTH($A2142,0))-COUNTA($F2142:$AJ2142))</f>
        <v/>
      </c>
    </row>
    <row r="2143" customFormat="false" ht="15" hidden="false" customHeight="false" outlineLevel="0" collapsed="false">
      <c r="A2143" s="32"/>
      <c r="B2143" s="29"/>
      <c r="C2143" s="10" t="str">
        <f aca="false">IF($B2143="","",IFERROR(INDEX(M_name,MATCH($B2143,M_emp,0)),"Code not found"))</f>
        <v/>
      </c>
      <c r="D2143" s="10" t="str">
        <f aca="false">IF($B2143="","",IFERROR(INDEX(M_dept,MATCH($B2143,M_emp,0)),""))</f>
        <v/>
      </c>
      <c r="E2143" s="10" t="str">
        <f aca="false">IF($B2143="","",IFERROR(INDEX(M_loc,MATCH($B2143,M_emp,0)),""))</f>
        <v/>
      </c>
      <c r="F2143" s="33"/>
      <c r="G2143" s="33"/>
      <c r="H2143" s="33"/>
      <c r="I2143" s="33"/>
      <c r="J2143" s="33"/>
      <c r="K2143" s="33"/>
      <c r="L2143" s="33"/>
      <c r="M2143" s="33"/>
      <c r="N2143" s="33"/>
      <c r="O2143" s="33"/>
      <c r="P2143" s="33"/>
      <c r="Q2143" s="33"/>
      <c r="R2143" s="33"/>
      <c r="S2143" s="33"/>
      <c r="T2143" s="33"/>
      <c r="U2143" s="33"/>
      <c r="V2143" s="33"/>
      <c r="W2143" s="33"/>
      <c r="X2143" s="33"/>
      <c r="Y2143" s="33"/>
      <c r="Z2143" s="33"/>
      <c r="AA2143" s="33"/>
      <c r="AB2143" s="33"/>
      <c r="AC2143" s="33"/>
      <c r="AD2143" s="33"/>
      <c r="AE2143" s="33"/>
      <c r="AF2143" s="33"/>
      <c r="AG2143" s="33"/>
      <c r="AH2143" s="33"/>
      <c r="AI2143" s="33"/>
      <c r="AJ2143" s="33"/>
      <c r="AK2143" s="34" t="str">
        <f aca="false">IF($B2143="","",COUNTIF($F2143:$AJ2143,"P"))</f>
        <v/>
      </c>
      <c r="AL2143" s="34" t="str">
        <f aca="false">IF($B2143="","",COUNTIF($F2143:$AJ2143,"A"))</f>
        <v/>
      </c>
      <c r="AM2143" s="34" t="str">
        <f aca="false">IF($B2143="","",COUNTIF($F2143:$AJ2143,"HA"))</f>
        <v/>
      </c>
      <c r="AN2143" s="34" t="str">
        <f aca="false">IF($B2143="","",COUNTIF($F2143:$AJ2143,"L"))</f>
        <v/>
      </c>
      <c r="AO2143" s="34" t="str">
        <f aca="false">IF($B2143="","",COUNTIF($F2143:$AJ2143,"PL"))</f>
        <v/>
      </c>
      <c r="AP2143" s="34" t="str">
        <f aca="false">IF($B2143="","",COUNTIF($F2143:$AJ2143,"CL"))</f>
        <v/>
      </c>
      <c r="AQ2143" s="34" t="str">
        <f aca="false">IF($B2143="","",COUNTIF($F2143:$AJ2143,"SL"))</f>
        <v/>
      </c>
      <c r="AR2143" s="34" t="str">
        <f aca="false">IF($B2143="","",COUNTIF($F2143:$AJ2143,"CO"))</f>
        <v/>
      </c>
      <c r="AS2143" s="34" t="str">
        <f aca="false">IF($B2143="","",COUNTIF($F2143:$AJ2143,"HPL"))</f>
        <v/>
      </c>
      <c r="AT2143" s="34" t="str">
        <f aca="false">IF($B2143="","",COUNTIF($F2143:$AJ2143,"HCL"))</f>
        <v/>
      </c>
      <c r="AU2143" s="34" t="str">
        <f aca="false">IF($B2143="","",COUNTIF($F2143:$AJ2143,"WO"))</f>
        <v/>
      </c>
      <c r="AV2143" s="34" t="str">
        <f aca="false">IF($B2143="","",COUNTIF($F2143:$AJ2143,"PH"))</f>
        <v/>
      </c>
      <c r="AW2143" s="34" t="str">
        <f aca="false">IF($B2143="","",COUNTIF($F2143:$AJ2143,"TR"))</f>
        <v/>
      </c>
      <c r="AX2143" s="35" t="str">
        <f aca="false">IF($B2143="","",AO2143+AS2143/2)</f>
        <v/>
      </c>
      <c r="AY2143" s="35" t="str">
        <f aca="false">IF($B2143="","",AQ2143)</f>
        <v/>
      </c>
      <c r="AZ2143" s="35" t="str">
        <f aca="false">IF($B2143="","",AP2143+AT2143/2)</f>
        <v/>
      </c>
      <c r="BA2143" s="35" t="str">
        <f aca="false">IF($B2143="","",AK2143+AN2143+AM2143/2+AO2143+AP2143+AQ2143+AR2143+AS2143+AT2143+AU2143+AV2143+AW2143)</f>
        <v/>
      </c>
      <c r="BB2143" s="35" t="str">
        <f aca="false">IF($B2143="","",MAX(0,AN2143-Settings!$C$16)*Settings!$C$17)</f>
        <v/>
      </c>
      <c r="BC2143" s="35" t="str">
        <f aca="false">IF($B2143="","",BA2143-BB2143)</f>
        <v/>
      </c>
      <c r="BD2143" s="35" t="str">
        <f aca="false">IF(OR($B2143="",$A2143=""),"",DAY(EOMONTH($A2143,0))-COUNTA($F2143:$AJ2143))</f>
        <v/>
      </c>
    </row>
    <row r="2144" customFormat="false" ht="15" hidden="false" customHeight="false" outlineLevel="0" collapsed="false">
      <c r="A2144" s="32"/>
      <c r="B2144" s="29"/>
      <c r="C2144" s="10" t="str">
        <f aca="false">IF($B2144="","",IFERROR(INDEX(M_name,MATCH($B2144,M_emp,0)),"Code not found"))</f>
        <v/>
      </c>
      <c r="D2144" s="10" t="str">
        <f aca="false">IF($B2144="","",IFERROR(INDEX(M_dept,MATCH($B2144,M_emp,0)),""))</f>
        <v/>
      </c>
      <c r="E2144" s="10" t="str">
        <f aca="false">IF($B2144="","",IFERROR(INDEX(M_loc,MATCH($B2144,M_emp,0)),""))</f>
        <v/>
      </c>
      <c r="F2144" s="33"/>
      <c r="G2144" s="33"/>
      <c r="H2144" s="33"/>
      <c r="I2144" s="33"/>
      <c r="J2144" s="33"/>
      <c r="K2144" s="33"/>
      <c r="L2144" s="33"/>
      <c r="M2144" s="33"/>
      <c r="N2144" s="33"/>
      <c r="O2144" s="33"/>
      <c r="P2144" s="33"/>
      <c r="Q2144" s="33"/>
      <c r="R2144" s="33"/>
      <c r="S2144" s="33"/>
      <c r="T2144" s="33"/>
      <c r="U2144" s="33"/>
      <c r="V2144" s="33"/>
      <c r="W2144" s="33"/>
      <c r="X2144" s="33"/>
      <c r="Y2144" s="33"/>
      <c r="Z2144" s="33"/>
      <c r="AA2144" s="33"/>
      <c r="AB2144" s="33"/>
      <c r="AC2144" s="33"/>
      <c r="AD2144" s="33"/>
      <c r="AE2144" s="33"/>
      <c r="AF2144" s="33"/>
      <c r="AG2144" s="33"/>
      <c r="AH2144" s="33"/>
      <c r="AI2144" s="33"/>
      <c r="AJ2144" s="33"/>
      <c r="AK2144" s="34" t="str">
        <f aca="false">IF($B2144="","",COUNTIF($F2144:$AJ2144,"P"))</f>
        <v/>
      </c>
      <c r="AL2144" s="34" t="str">
        <f aca="false">IF($B2144="","",COUNTIF($F2144:$AJ2144,"A"))</f>
        <v/>
      </c>
      <c r="AM2144" s="34" t="str">
        <f aca="false">IF($B2144="","",COUNTIF($F2144:$AJ2144,"HA"))</f>
        <v/>
      </c>
      <c r="AN2144" s="34" t="str">
        <f aca="false">IF($B2144="","",COUNTIF($F2144:$AJ2144,"L"))</f>
        <v/>
      </c>
      <c r="AO2144" s="34" t="str">
        <f aca="false">IF($B2144="","",COUNTIF($F2144:$AJ2144,"PL"))</f>
        <v/>
      </c>
      <c r="AP2144" s="34" t="str">
        <f aca="false">IF($B2144="","",COUNTIF($F2144:$AJ2144,"CL"))</f>
        <v/>
      </c>
      <c r="AQ2144" s="34" t="str">
        <f aca="false">IF($B2144="","",COUNTIF($F2144:$AJ2144,"SL"))</f>
        <v/>
      </c>
      <c r="AR2144" s="34" t="str">
        <f aca="false">IF($B2144="","",COUNTIF($F2144:$AJ2144,"CO"))</f>
        <v/>
      </c>
      <c r="AS2144" s="34" t="str">
        <f aca="false">IF($B2144="","",COUNTIF($F2144:$AJ2144,"HPL"))</f>
        <v/>
      </c>
      <c r="AT2144" s="34" t="str">
        <f aca="false">IF($B2144="","",COUNTIF($F2144:$AJ2144,"HCL"))</f>
        <v/>
      </c>
      <c r="AU2144" s="34" t="str">
        <f aca="false">IF($B2144="","",COUNTIF($F2144:$AJ2144,"WO"))</f>
        <v/>
      </c>
      <c r="AV2144" s="34" t="str">
        <f aca="false">IF($B2144="","",COUNTIF($F2144:$AJ2144,"PH"))</f>
        <v/>
      </c>
      <c r="AW2144" s="34" t="str">
        <f aca="false">IF($B2144="","",COUNTIF($F2144:$AJ2144,"TR"))</f>
        <v/>
      </c>
      <c r="AX2144" s="35" t="str">
        <f aca="false">IF($B2144="","",AO2144+AS2144/2)</f>
        <v/>
      </c>
      <c r="AY2144" s="35" t="str">
        <f aca="false">IF($B2144="","",AQ2144)</f>
        <v/>
      </c>
      <c r="AZ2144" s="35" t="str">
        <f aca="false">IF($B2144="","",AP2144+AT2144/2)</f>
        <v/>
      </c>
      <c r="BA2144" s="35" t="str">
        <f aca="false">IF($B2144="","",AK2144+AN2144+AM2144/2+AO2144+AP2144+AQ2144+AR2144+AS2144+AT2144+AU2144+AV2144+AW2144)</f>
        <v/>
      </c>
      <c r="BB2144" s="35" t="str">
        <f aca="false">IF($B2144="","",MAX(0,AN2144-Settings!$C$16)*Settings!$C$17)</f>
        <v/>
      </c>
      <c r="BC2144" s="35" t="str">
        <f aca="false">IF($B2144="","",BA2144-BB2144)</f>
        <v/>
      </c>
      <c r="BD2144" s="35" t="str">
        <f aca="false">IF(OR($B2144="",$A2144=""),"",DAY(EOMONTH($A2144,0))-COUNTA($F2144:$AJ2144))</f>
        <v/>
      </c>
    </row>
    <row r="2145" customFormat="false" ht="15" hidden="false" customHeight="false" outlineLevel="0" collapsed="false">
      <c r="A2145" s="32"/>
      <c r="B2145" s="29"/>
      <c r="C2145" s="10" t="str">
        <f aca="false">IF($B2145="","",IFERROR(INDEX(M_name,MATCH($B2145,M_emp,0)),"Code not found"))</f>
        <v/>
      </c>
      <c r="D2145" s="10" t="str">
        <f aca="false">IF($B2145="","",IFERROR(INDEX(M_dept,MATCH($B2145,M_emp,0)),""))</f>
        <v/>
      </c>
      <c r="E2145" s="10" t="str">
        <f aca="false">IF($B2145="","",IFERROR(INDEX(M_loc,MATCH($B2145,M_emp,0)),""))</f>
        <v/>
      </c>
      <c r="F2145" s="33"/>
      <c r="G2145" s="33"/>
      <c r="H2145" s="33"/>
      <c r="I2145" s="33"/>
      <c r="J2145" s="33"/>
      <c r="K2145" s="33"/>
      <c r="L2145" s="33"/>
      <c r="M2145" s="33"/>
      <c r="N2145" s="33"/>
      <c r="O2145" s="33"/>
      <c r="P2145" s="33"/>
      <c r="Q2145" s="33"/>
      <c r="R2145" s="33"/>
      <c r="S2145" s="33"/>
      <c r="T2145" s="33"/>
      <c r="U2145" s="33"/>
      <c r="V2145" s="33"/>
      <c r="W2145" s="33"/>
      <c r="X2145" s="33"/>
      <c r="Y2145" s="33"/>
      <c r="Z2145" s="33"/>
      <c r="AA2145" s="33"/>
      <c r="AB2145" s="33"/>
      <c r="AC2145" s="33"/>
      <c r="AD2145" s="33"/>
      <c r="AE2145" s="33"/>
      <c r="AF2145" s="33"/>
      <c r="AG2145" s="33"/>
      <c r="AH2145" s="33"/>
      <c r="AI2145" s="33"/>
      <c r="AJ2145" s="33"/>
      <c r="AK2145" s="34" t="str">
        <f aca="false">IF($B2145="","",COUNTIF($F2145:$AJ2145,"P"))</f>
        <v/>
      </c>
      <c r="AL2145" s="34" t="str">
        <f aca="false">IF($B2145="","",COUNTIF($F2145:$AJ2145,"A"))</f>
        <v/>
      </c>
      <c r="AM2145" s="34" t="str">
        <f aca="false">IF($B2145="","",COUNTIF($F2145:$AJ2145,"HA"))</f>
        <v/>
      </c>
      <c r="AN2145" s="34" t="str">
        <f aca="false">IF($B2145="","",COUNTIF($F2145:$AJ2145,"L"))</f>
        <v/>
      </c>
      <c r="AO2145" s="34" t="str">
        <f aca="false">IF($B2145="","",COUNTIF($F2145:$AJ2145,"PL"))</f>
        <v/>
      </c>
      <c r="AP2145" s="34" t="str">
        <f aca="false">IF($B2145="","",COUNTIF($F2145:$AJ2145,"CL"))</f>
        <v/>
      </c>
      <c r="AQ2145" s="34" t="str">
        <f aca="false">IF($B2145="","",COUNTIF($F2145:$AJ2145,"SL"))</f>
        <v/>
      </c>
      <c r="AR2145" s="34" t="str">
        <f aca="false">IF($B2145="","",COUNTIF($F2145:$AJ2145,"CO"))</f>
        <v/>
      </c>
      <c r="AS2145" s="34" t="str">
        <f aca="false">IF($B2145="","",COUNTIF($F2145:$AJ2145,"HPL"))</f>
        <v/>
      </c>
      <c r="AT2145" s="34" t="str">
        <f aca="false">IF($B2145="","",COUNTIF($F2145:$AJ2145,"HCL"))</f>
        <v/>
      </c>
      <c r="AU2145" s="34" t="str">
        <f aca="false">IF($B2145="","",COUNTIF($F2145:$AJ2145,"WO"))</f>
        <v/>
      </c>
      <c r="AV2145" s="34" t="str">
        <f aca="false">IF($B2145="","",COUNTIF($F2145:$AJ2145,"PH"))</f>
        <v/>
      </c>
      <c r="AW2145" s="34" t="str">
        <f aca="false">IF($B2145="","",COUNTIF($F2145:$AJ2145,"TR"))</f>
        <v/>
      </c>
      <c r="AX2145" s="35" t="str">
        <f aca="false">IF($B2145="","",AO2145+AS2145/2)</f>
        <v/>
      </c>
      <c r="AY2145" s="35" t="str">
        <f aca="false">IF($B2145="","",AQ2145)</f>
        <v/>
      </c>
      <c r="AZ2145" s="35" t="str">
        <f aca="false">IF($B2145="","",AP2145+AT2145/2)</f>
        <v/>
      </c>
      <c r="BA2145" s="35" t="str">
        <f aca="false">IF($B2145="","",AK2145+AN2145+AM2145/2+AO2145+AP2145+AQ2145+AR2145+AS2145+AT2145+AU2145+AV2145+AW2145)</f>
        <v/>
      </c>
      <c r="BB2145" s="35" t="str">
        <f aca="false">IF($B2145="","",MAX(0,AN2145-Settings!$C$16)*Settings!$C$17)</f>
        <v/>
      </c>
      <c r="BC2145" s="35" t="str">
        <f aca="false">IF($B2145="","",BA2145-BB2145)</f>
        <v/>
      </c>
      <c r="BD2145" s="35" t="str">
        <f aca="false">IF(OR($B2145="",$A2145=""),"",DAY(EOMONTH($A2145,0))-COUNTA($F2145:$AJ2145))</f>
        <v/>
      </c>
    </row>
    <row r="2146" customFormat="false" ht="15" hidden="false" customHeight="false" outlineLevel="0" collapsed="false">
      <c r="A2146" s="32"/>
      <c r="B2146" s="29"/>
      <c r="C2146" s="10" t="str">
        <f aca="false">IF($B2146="","",IFERROR(INDEX(M_name,MATCH($B2146,M_emp,0)),"Code not found"))</f>
        <v/>
      </c>
      <c r="D2146" s="10" t="str">
        <f aca="false">IF($B2146="","",IFERROR(INDEX(M_dept,MATCH($B2146,M_emp,0)),""))</f>
        <v/>
      </c>
      <c r="E2146" s="10" t="str">
        <f aca="false">IF($B2146="","",IFERROR(INDEX(M_loc,MATCH($B2146,M_emp,0)),""))</f>
        <v/>
      </c>
      <c r="F2146" s="33"/>
      <c r="G2146" s="33"/>
      <c r="H2146" s="33"/>
      <c r="I2146" s="33"/>
      <c r="J2146" s="33"/>
      <c r="K2146" s="33"/>
      <c r="L2146" s="33"/>
      <c r="M2146" s="33"/>
      <c r="N2146" s="33"/>
      <c r="O2146" s="33"/>
      <c r="P2146" s="33"/>
      <c r="Q2146" s="33"/>
      <c r="R2146" s="33"/>
      <c r="S2146" s="33"/>
      <c r="T2146" s="33"/>
      <c r="U2146" s="33"/>
      <c r="V2146" s="33"/>
      <c r="W2146" s="33"/>
      <c r="X2146" s="33"/>
      <c r="Y2146" s="33"/>
      <c r="Z2146" s="33"/>
      <c r="AA2146" s="33"/>
      <c r="AB2146" s="33"/>
      <c r="AC2146" s="33"/>
      <c r="AD2146" s="33"/>
      <c r="AE2146" s="33"/>
      <c r="AF2146" s="33"/>
      <c r="AG2146" s="33"/>
      <c r="AH2146" s="33"/>
      <c r="AI2146" s="33"/>
      <c r="AJ2146" s="33"/>
      <c r="AK2146" s="34" t="str">
        <f aca="false">IF($B2146="","",COUNTIF($F2146:$AJ2146,"P"))</f>
        <v/>
      </c>
      <c r="AL2146" s="34" t="str">
        <f aca="false">IF($B2146="","",COUNTIF($F2146:$AJ2146,"A"))</f>
        <v/>
      </c>
      <c r="AM2146" s="34" t="str">
        <f aca="false">IF($B2146="","",COUNTIF($F2146:$AJ2146,"HA"))</f>
        <v/>
      </c>
      <c r="AN2146" s="34" t="str">
        <f aca="false">IF($B2146="","",COUNTIF($F2146:$AJ2146,"L"))</f>
        <v/>
      </c>
      <c r="AO2146" s="34" t="str">
        <f aca="false">IF($B2146="","",COUNTIF($F2146:$AJ2146,"PL"))</f>
        <v/>
      </c>
      <c r="AP2146" s="34" t="str">
        <f aca="false">IF($B2146="","",COUNTIF($F2146:$AJ2146,"CL"))</f>
        <v/>
      </c>
      <c r="AQ2146" s="34" t="str">
        <f aca="false">IF($B2146="","",COUNTIF($F2146:$AJ2146,"SL"))</f>
        <v/>
      </c>
      <c r="AR2146" s="34" t="str">
        <f aca="false">IF($B2146="","",COUNTIF($F2146:$AJ2146,"CO"))</f>
        <v/>
      </c>
      <c r="AS2146" s="34" t="str">
        <f aca="false">IF($B2146="","",COUNTIF($F2146:$AJ2146,"HPL"))</f>
        <v/>
      </c>
      <c r="AT2146" s="34" t="str">
        <f aca="false">IF($B2146="","",COUNTIF($F2146:$AJ2146,"HCL"))</f>
        <v/>
      </c>
      <c r="AU2146" s="34" t="str">
        <f aca="false">IF($B2146="","",COUNTIF($F2146:$AJ2146,"WO"))</f>
        <v/>
      </c>
      <c r="AV2146" s="34" t="str">
        <f aca="false">IF($B2146="","",COUNTIF($F2146:$AJ2146,"PH"))</f>
        <v/>
      </c>
      <c r="AW2146" s="34" t="str">
        <f aca="false">IF($B2146="","",COUNTIF($F2146:$AJ2146,"TR"))</f>
        <v/>
      </c>
      <c r="AX2146" s="35" t="str">
        <f aca="false">IF($B2146="","",AO2146+AS2146/2)</f>
        <v/>
      </c>
      <c r="AY2146" s="35" t="str">
        <f aca="false">IF($B2146="","",AQ2146)</f>
        <v/>
      </c>
      <c r="AZ2146" s="35" t="str">
        <f aca="false">IF($B2146="","",AP2146+AT2146/2)</f>
        <v/>
      </c>
      <c r="BA2146" s="35" t="str">
        <f aca="false">IF($B2146="","",AK2146+AN2146+AM2146/2+AO2146+AP2146+AQ2146+AR2146+AS2146+AT2146+AU2146+AV2146+AW2146)</f>
        <v/>
      </c>
      <c r="BB2146" s="35" t="str">
        <f aca="false">IF($B2146="","",MAX(0,AN2146-Settings!$C$16)*Settings!$C$17)</f>
        <v/>
      </c>
      <c r="BC2146" s="35" t="str">
        <f aca="false">IF($B2146="","",BA2146-BB2146)</f>
        <v/>
      </c>
      <c r="BD2146" s="35" t="str">
        <f aca="false">IF(OR($B2146="",$A2146=""),"",DAY(EOMONTH($A2146,0))-COUNTA($F2146:$AJ2146))</f>
        <v/>
      </c>
    </row>
    <row r="2147" customFormat="false" ht="15" hidden="false" customHeight="false" outlineLevel="0" collapsed="false">
      <c r="A2147" s="32"/>
      <c r="B2147" s="29"/>
      <c r="C2147" s="10" t="str">
        <f aca="false">IF($B2147="","",IFERROR(INDEX(M_name,MATCH($B2147,M_emp,0)),"Code not found"))</f>
        <v/>
      </c>
      <c r="D2147" s="10" t="str">
        <f aca="false">IF($B2147="","",IFERROR(INDEX(M_dept,MATCH($B2147,M_emp,0)),""))</f>
        <v/>
      </c>
      <c r="E2147" s="10" t="str">
        <f aca="false">IF($B2147="","",IFERROR(INDEX(M_loc,MATCH($B2147,M_emp,0)),""))</f>
        <v/>
      </c>
      <c r="F2147" s="33"/>
      <c r="G2147" s="33"/>
      <c r="H2147" s="33"/>
      <c r="I2147" s="33"/>
      <c r="J2147" s="33"/>
      <c r="K2147" s="33"/>
      <c r="L2147" s="33"/>
      <c r="M2147" s="33"/>
      <c r="N2147" s="33"/>
      <c r="O2147" s="33"/>
      <c r="P2147" s="33"/>
      <c r="Q2147" s="33"/>
      <c r="R2147" s="33"/>
      <c r="S2147" s="33"/>
      <c r="T2147" s="33"/>
      <c r="U2147" s="33"/>
      <c r="V2147" s="33"/>
      <c r="W2147" s="33"/>
      <c r="X2147" s="33"/>
      <c r="Y2147" s="33"/>
      <c r="Z2147" s="33"/>
      <c r="AA2147" s="33"/>
      <c r="AB2147" s="33"/>
      <c r="AC2147" s="33"/>
      <c r="AD2147" s="33"/>
      <c r="AE2147" s="33"/>
      <c r="AF2147" s="33"/>
      <c r="AG2147" s="33"/>
      <c r="AH2147" s="33"/>
      <c r="AI2147" s="33"/>
      <c r="AJ2147" s="33"/>
      <c r="AK2147" s="34" t="str">
        <f aca="false">IF($B2147="","",COUNTIF($F2147:$AJ2147,"P"))</f>
        <v/>
      </c>
      <c r="AL2147" s="34" t="str">
        <f aca="false">IF($B2147="","",COUNTIF($F2147:$AJ2147,"A"))</f>
        <v/>
      </c>
      <c r="AM2147" s="34" t="str">
        <f aca="false">IF($B2147="","",COUNTIF($F2147:$AJ2147,"HA"))</f>
        <v/>
      </c>
      <c r="AN2147" s="34" t="str">
        <f aca="false">IF($B2147="","",COUNTIF($F2147:$AJ2147,"L"))</f>
        <v/>
      </c>
      <c r="AO2147" s="34" t="str">
        <f aca="false">IF($B2147="","",COUNTIF($F2147:$AJ2147,"PL"))</f>
        <v/>
      </c>
      <c r="AP2147" s="34" t="str">
        <f aca="false">IF($B2147="","",COUNTIF($F2147:$AJ2147,"CL"))</f>
        <v/>
      </c>
      <c r="AQ2147" s="34" t="str">
        <f aca="false">IF($B2147="","",COUNTIF($F2147:$AJ2147,"SL"))</f>
        <v/>
      </c>
      <c r="AR2147" s="34" t="str">
        <f aca="false">IF($B2147="","",COUNTIF($F2147:$AJ2147,"CO"))</f>
        <v/>
      </c>
      <c r="AS2147" s="34" t="str">
        <f aca="false">IF($B2147="","",COUNTIF($F2147:$AJ2147,"HPL"))</f>
        <v/>
      </c>
      <c r="AT2147" s="34" t="str">
        <f aca="false">IF($B2147="","",COUNTIF($F2147:$AJ2147,"HCL"))</f>
        <v/>
      </c>
      <c r="AU2147" s="34" t="str">
        <f aca="false">IF($B2147="","",COUNTIF($F2147:$AJ2147,"WO"))</f>
        <v/>
      </c>
      <c r="AV2147" s="34" t="str">
        <f aca="false">IF($B2147="","",COUNTIF($F2147:$AJ2147,"PH"))</f>
        <v/>
      </c>
      <c r="AW2147" s="34" t="str">
        <f aca="false">IF($B2147="","",COUNTIF($F2147:$AJ2147,"TR"))</f>
        <v/>
      </c>
      <c r="AX2147" s="35" t="str">
        <f aca="false">IF($B2147="","",AO2147+AS2147/2)</f>
        <v/>
      </c>
      <c r="AY2147" s="35" t="str">
        <f aca="false">IF($B2147="","",AQ2147)</f>
        <v/>
      </c>
      <c r="AZ2147" s="35" t="str">
        <f aca="false">IF($B2147="","",AP2147+AT2147/2)</f>
        <v/>
      </c>
      <c r="BA2147" s="35" t="str">
        <f aca="false">IF($B2147="","",AK2147+AN2147+AM2147/2+AO2147+AP2147+AQ2147+AR2147+AS2147+AT2147+AU2147+AV2147+AW2147)</f>
        <v/>
      </c>
      <c r="BB2147" s="35" t="str">
        <f aca="false">IF($B2147="","",MAX(0,AN2147-Settings!$C$16)*Settings!$C$17)</f>
        <v/>
      </c>
      <c r="BC2147" s="35" t="str">
        <f aca="false">IF($B2147="","",BA2147-BB2147)</f>
        <v/>
      </c>
      <c r="BD2147" s="35" t="str">
        <f aca="false">IF(OR($B2147="",$A2147=""),"",DAY(EOMONTH($A2147,0))-COUNTA($F2147:$AJ2147))</f>
        <v/>
      </c>
    </row>
    <row r="2148" customFormat="false" ht="15" hidden="false" customHeight="false" outlineLevel="0" collapsed="false">
      <c r="A2148" s="32"/>
      <c r="B2148" s="29"/>
      <c r="C2148" s="10" t="str">
        <f aca="false">IF($B2148="","",IFERROR(INDEX(M_name,MATCH($B2148,M_emp,0)),"Code not found"))</f>
        <v/>
      </c>
      <c r="D2148" s="10" t="str">
        <f aca="false">IF($B2148="","",IFERROR(INDEX(M_dept,MATCH($B2148,M_emp,0)),""))</f>
        <v/>
      </c>
      <c r="E2148" s="10" t="str">
        <f aca="false">IF($B2148="","",IFERROR(INDEX(M_loc,MATCH($B2148,M_emp,0)),""))</f>
        <v/>
      </c>
      <c r="F2148" s="33"/>
      <c r="G2148" s="33"/>
      <c r="H2148" s="33"/>
      <c r="I2148" s="33"/>
      <c r="J2148" s="33"/>
      <c r="K2148" s="33"/>
      <c r="L2148" s="33"/>
      <c r="M2148" s="33"/>
      <c r="N2148" s="33"/>
      <c r="O2148" s="33"/>
      <c r="P2148" s="33"/>
      <c r="Q2148" s="33"/>
      <c r="R2148" s="33"/>
      <c r="S2148" s="33"/>
      <c r="T2148" s="33"/>
      <c r="U2148" s="33"/>
      <c r="V2148" s="33"/>
      <c r="W2148" s="33"/>
      <c r="X2148" s="33"/>
      <c r="Y2148" s="33"/>
      <c r="Z2148" s="33"/>
      <c r="AA2148" s="33"/>
      <c r="AB2148" s="33"/>
      <c r="AC2148" s="33"/>
      <c r="AD2148" s="33"/>
      <c r="AE2148" s="33"/>
      <c r="AF2148" s="33"/>
      <c r="AG2148" s="33"/>
      <c r="AH2148" s="33"/>
      <c r="AI2148" s="33"/>
      <c r="AJ2148" s="33"/>
      <c r="AK2148" s="34" t="str">
        <f aca="false">IF($B2148="","",COUNTIF($F2148:$AJ2148,"P"))</f>
        <v/>
      </c>
      <c r="AL2148" s="34" t="str">
        <f aca="false">IF($B2148="","",COUNTIF($F2148:$AJ2148,"A"))</f>
        <v/>
      </c>
      <c r="AM2148" s="34" t="str">
        <f aca="false">IF($B2148="","",COUNTIF($F2148:$AJ2148,"HA"))</f>
        <v/>
      </c>
      <c r="AN2148" s="34" t="str">
        <f aca="false">IF($B2148="","",COUNTIF($F2148:$AJ2148,"L"))</f>
        <v/>
      </c>
      <c r="AO2148" s="34" t="str">
        <f aca="false">IF($B2148="","",COUNTIF($F2148:$AJ2148,"PL"))</f>
        <v/>
      </c>
      <c r="AP2148" s="34" t="str">
        <f aca="false">IF($B2148="","",COUNTIF($F2148:$AJ2148,"CL"))</f>
        <v/>
      </c>
      <c r="AQ2148" s="34" t="str">
        <f aca="false">IF($B2148="","",COUNTIF($F2148:$AJ2148,"SL"))</f>
        <v/>
      </c>
      <c r="AR2148" s="34" t="str">
        <f aca="false">IF($B2148="","",COUNTIF($F2148:$AJ2148,"CO"))</f>
        <v/>
      </c>
      <c r="AS2148" s="34" t="str">
        <f aca="false">IF($B2148="","",COUNTIF($F2148:$AJ2148,"HPL"))</f>
        <v/>
      </c>
      <c r="AT2148" s="34" t="str">
        <f aca="false">IF($B2148="","",COUNTIF($F2148:$AJ2148,"HCL"))</f>
        <v/>
      </c>
      <c r="AU2148" s="34" t="str">
        <f aca="false">IF($B2148="","",COUNTIF($F2148:$AJ2148,"WO"))</f>
        <v/>
      </c>
      <c r="AV2148" s="34" t="str">
        <f aca="false">IF($B2148="","",COUNTIF($F2148:$AJ2148,"PH"))</f>
        <v/>
      </c>
      <c r="AW2148" s="34" t="str">
        <f aca="false">IF($B2148="","",COUNTIF($F2148:$AJ2148,"TR"))</f>
        <v/>
      </c>
      <c r="AX2148" s="35" t="str">
        <f aca="false">IF($B2148="","",AO2148+AS2148/2)</f>
        <v/>
      </c>
      <c r="AY2148" s="35" t="str">
        <f aca="false">IF($B2148="","",AQ2148)</f>
        <v/>
      </c>
      <c r="AZ2148" s="35" t="str">
        <f aca="false">IF($B2148="","",AP2148+AT2148/2)</f>
        <v/>
      </c>
      <c r="BA2148" s="35" t="str">
        <f aca="false">IF($B2148="","",AK2148+AN2148+AM2148/2+AO2148+AP2148+AQ2148+AR2148+AS2148+AT2148+AU2148+AV2148+AW2148)</f>
        <v/>
      </c>
      <c r="BB2148" s="35" t="str">
        <f aca="false">IF($B2148="","",MAX(0,AN2148-Settings!$C$16)*Settings!$C$17)</f>
        <v/>
      </c>
      <c r="BC2148" s="35" t="str">
        <f aca="false">IF($B2148="","",BA2148-BB2148)</f>
        <v/>
      </c>
      <c r="BD2148" s="35" t="str">
        <f aca="false">IF(OR($B2148="",$A2148=""),"",DAY(EOMONTH($A2148,0))-COUNTA($F2148:$AJ2148))</f>
        <v/>
      </c>
    </row>
    <row r="2149" customFormat="false" ht="15" hidden="false" customHeight="false" outlineLevel="0" collapsed="false">
      <c r="A2149" s="32"/>
      <c r="B2149" s="29"/>
      <c r="C2149" s="10" t="str">
        <f aca="false">IF($B2149="","",IFERROR(INDEX(M_name,MATCH($B2149,M_emp,0)),"Code not found"))</f>
        <v/>
      </c>
      <c r="D2149" s="10" t="str">
        <f aca="false">IF($B2149="","",IFERROR(INDEX(M_dept,MATCH($B2149,M_emp,0)),""))</f>
        <v/>
      </c>
      <c r="E2149" s="10" t="str">
        <f aca="false">IF($B2149="","",IFERROR(INDEX(M_loc,MATCH($B2149,M_emp,0)),""))</f>
        <v/>
      </c>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c r="AB2149" s="33"/>
      <c r="AC2149" s="33"/>
      <c r="AD2149" s="33"/>
      <c r="AE2149" s="33"/>
      <c r="AF2149" s="33"/>
      <c r="AG2149" s="33"/>
      <c r="AH2149" s="33"/>
      <c r="AI2149" s="33"/>
      <c r="AJ2149" s="33"/>
      <c r="AK2149" s="34" t="str">
        <f aca="false">IF($B2149="","",COUNTIF($F2149:$AJ2149,"P"))</f>
        <v/>
      </c>
      <c r="AL2149" s="34" t="str">
        <f aca="false">IF($B2149="","",COUNTIF($F2149:$AJ2149,"A"))</f>
        <v/>
      </c>
      <c r="AM2149" s="34" t="str">
        <f aca="false">IF($B2149="","",COUNTIF($F2149:$AJ2149,"HA"))</f>
        <v/>
      </c>
      <c r="AN2149" s="34" t="str">
        <f aca="false">IF($B2149="","",COUNTIF($F2149:$AJ2149,"L"))</f>
        <v/>
      </c>
      <c r="AO2149" s="34" t="str">
        <f aca="false">IF($B2149="","",COUNTIF($F2149:$AJ2149,"PL"))</f>
        <v/>
      </c>
      <c r="AP2149" s="34" t="str">
        <f aca="false">IF($B2149="","",COUNTIF($F2149:$AJ2149,"CL"))</f>
        <v/>
      </c>
      <c r="AQ2149" s="34" t="str">
        <f aca="false">IF($B2149="","",COUNTIF($F2149:$AJ2149,"SL"))</f>
        <v/>
      </c>
      <c r="AR2149" s="34" t="str">
        <f aca="false">IF($B2149="","",COUNTIF($F2149:$AJ2149,"CO"))</f>
        <v/>
      </c>
      <c r="AS2149" s="34" t="str">
        <f aca="false">IF($B2149="","",COUNTIF($F2149:$AJ2149,"HPL"))</f>
        <v/>
      </c>
      <c r="AT2149" s="34" t="str">
        <f aca="false">IF($B2149="","",COUNTIF($F2149:$AJ2149,"HCL"))</f>
        <v/>
      </c>
      <c r="AU2149" s="34" t="str">
        <f aca="false">IF($B2149="","",COUNTIF($F2149:$AJ2149,"WO"))</f>
        <v/>
      </c>
      <c r="AV2149" s="34" t="str">
        <f aca="false">IF($B2149="","",COUNTIF($F2149:$AJ2149,"PH"))</f>
        <v/>
      </c>
      <c r="AW2149" s="34" t="str">
        <f aca="false">IF($B2149="","",COUNTIF($F2149:$AJ2149,"TR"))</f>
        <v/>
      </c>
      <c r="AX2149" s="35" t="str">
        <f aca="false">IF($B2149="","",AO2149+AS2149/2)</f>
        <v/>
      </c>
      <c r="AY2149" s="35" t="str">
        <f aca="false">IF($B2149="","",AQ2149)</f>
        <v/>
      </c>
      <c r="AZ2149" s="35" t="str">
        <f aca="false">IF($B2149="","",AP2149+AT2149/2)</f>
        <v/>
      </c>
      <c r="BA2149" s="35" t="str">
        <f aca="false">IF($B2149="","",AK2149+AN2149+AM2149/2+AO2149+AP2149+AQ2149+AR2149+AS2149+AT2149+AU2149+AV2149+AW2149)</f>
        <v/>
      </c>
      <c r="BB2149" s="35" t="str">
        <f aca="false">IF($B2149="","",MAX(0,AN2149-Settings!$C$16)*Settings!$C$17)</f>
        <v/>
      </c>
      <c r="BC2149" s="35" t="str">
        <f aca="false">IF($B2149="","",BA2149-BB2149)</f>
        <v/>
      </c>
      <c r="BD2149" s="35" t="str">
        <f aca="false">IF(OR($B2149="",$A2149=""),"",DAY(EOMONTH($A2149,0))-COUNTA($F2149:$AJ2149))</f>
        <v/>
      </c>
    </row>
    <row r="2150" customFormat="false" ht="15" hidden="false" customHeight="false" outlineLevel="0" collapsed="false">
      <c r="A2150" s="32"/>
      <c r="B2150" s="29"/>
      <c r="C2150" s="10" t="str">
        <f aca="false">IF($B2150="","",IFERROR(INDEX(M_name,MATCH($B2150,M_emp,0)),"Code not found"))</f>
        <v/>
      </c>
      <c r="D2150" s="10" t="str">
        <f aca="false">IF($B2150="","",IFERROR(INDEX(M_dept,MATCH($B2150,M_emp,0)),""))</f>
        <v/>
      </c>
      <c r="E2150" s="10" t="str">
        <f aca="false">IF($B2150="","",IFERROR(INDEX(M_loc,MATCH($B2150,M_emp,0)),""))</f>
        <v/>
      </c>
      <c r="F2150" s="33"/>
      <c r="G2150" s="33"/>
      <c r="H2150" s="33"/>
      <c r="I2150" s="33"/>
      <c r="J2150" s="33"/>
      <c r="K2150" s="33"/>
      <c r="L2150" s="33"/>
      <c r="M2150" s="33"/>
      <c r="N2150" s="33"/>
      <c r="O2150" s="33"/>
      <c r="P2150" s="33"/>
      <c r="Q2150" s="33"/>
      <c r="R2150" s="33"/>
      <c r="S2150" s="33"/>
      <c r="T2150" s="33"/>
      <c r="U2150" s="33"/>
      <c r="V2150" s="33"/>
      <c r="W2150" s="33"/>
      <c r="X2150" s="33"/>
      <c r="Y2150" s="33"/>
      <c r="Z2150" s="33"/>
      <c r="AA2150" s="33"/>
      <c r="AB2150" s="33"/>
      <c r="AC2150" s="33"/>
      <c r="AD2150" s="33"/>
      <c r="AE2150" s="33"/>
      <c r="AF2150" s="33"/>
      <c r="AG2150" s="33"/>
      <c r="AH2150" s="33"/>
      <c r="AI2150" s="33"/>
      <c r="AJ2150" s="33"/>
      <c r="AK2150" s="34" t="str">
        <f aca="false">IF($B2150="","",COUNTIF($F2150:$AJ2150,"P"))</f>
        <v/>
      </c>
      <c r="AL2150" s="34" t="str">
        <f aca="false">IF($B2150="","",COUNTIF($F2150:$AJ2150,"A"))</f>
        <v/>
      </c>
      <c r="AM2150" s="34" t="str">
        <f aca="false">IF($B2150="","",COUNTIF($F2150:$AJ2150,"HA"))</f>
        <v/>
      </c>
      <c r="AN2150" s="34" t="str">
        <f aca="false">IF($B2150="","",COUNTIF($F2150:$AJ2150,"L"))</f>
        <v/>
      </c>
      <c r="AO2150" s="34" t="str">
        <f aca="false">IF($B2150="","",COUNTIF($F2150:$AJ2150,"PL"))</f>
        <v/>
      </c>
      <c r="AP2150" s="34" t="str">
        <f aca="false">IF($B2150="","",COUNTIF($F2150:$AJ2150,"CL"))</f>
        <v/>
      </c>
      <c r="AQ2150" s="34" t="str">
        <f aca="false">IF($B2150="","",COUNTIF($F2150:$AJ2150,"SL"))</f>
        <v/>
      </c>
      <c r="AR2150" s="34" t="str">
        <f aca="false">IF($B2150="","",COUNTIF($F2150:$AJ2150,"CO"))</f>
        <v/>
      </c>
      <c r="AS2150" s="34" t="str">
        <f aca="false">IF($B2150="","",COUNTIF($F2150:$AJ2150,"HPL"))</f>
        <v/>
      </c>
      <c r="AT2150" s="34" t="str">
        <f aca="false">IF($B2150="","",COUNTIF($F2150:$AJ2150,"HCL"))</f>
        <v/>
      </c>
      <c r="AU2150" s="34" t="str">
        <f aca="false">IF($B2150="","",COUNTIF($F2150:$AJ2150,"WO"))</f>
        <v/>
      </c>
      <c r="AV2150" s="34" t="str">
        <f aca="false">IF($B2150="","",COUNTIF($F2150:$AJ2150,"PH"))</f>
        <v/>
      </c>
      <c r="AW2150" s="34" t="str">
        <f aca="false">IF($B2150="","",COUNTIF($F2150:$AJ2150,"TR"))</f>
        <v/>
      </c>
      <c r="AX2150" s="35" t="str">
        <f aca="false">IF($B2150="","",AO2150+AS2150/2)</f>
        <v/>
      </c>
      <c r="AY2150" s="35" t="str">
        <f aca="false">IF($B2150="","",AQ2150)</f>
        <v/>
      </c>
      <c r="AZ2150" s="35" t="str">
        <f aca="false">IF($B2150="","",AP2150+AT2150/2)</f>
        <v/>
      </c>
      <c r="BA2150" s="35" t="str">
        <f aca="false">IF($B2150="","",AK2150+AN2150+AM2150/2+AO2150+AP2150+AQ2150+AR2150+AS2150+AT2150+AU2150+AV2150+AW2150)</f>
        <v/>
      </c>
      <c r="BB2150" s="35" t="str">
        <f aca="false">IF($B2150="","",MAX(0,AN2150-Settings!$C$16)*Settings!$C$17)</f>
        <v/>
      </c>
      <c r="BC2150" s="35" t="str">
        <f aca="false">IF($B2150="","",BA2150-BB2150)</f>
        <v/>
      </c>
      <c r="BD2150" s="35" t="str">
        <f aca="false">IF(OR($B2150="",$A2150=""),"",DAY(EOMONTH($A2150,0))-COUNTA($F2150:$AJ2150))</f>
        <v/>
      </c>
    </row>
    <row r="2151" customFormat="false" ht="15" hidden="false" customHeight="false" outlineLevel="0" collapsed="false">
      <c r="A2151" s="32"/>
      <c r="B2151" s="29"/>
      <c r="C2151" s="10" t="str">
        <f aca="false">IF($B2151="","",IFERROR(INDEX(M_name,MATCH($B2151,M_emp,0)),"Code not found"))</f>
        <v/>
      </c>
      <c r="D2151" s="10" t="str">
        <f aca="false">IF($B2151="","",IFERROR(INDEX(M_dept,MATCH($B2151,M_emp,0)),""))</f>
        <v/>
      </c>
      <c r="E2151" s="10" t="str">
        <f aca="false">IF($B2151="","",IFERROR(INDEX(M_loc,MATCH($B2151,M_emp,0)),""))</f>
        <v/>
      </c>
      <c r="F2151" s="33"/>
      <c r="G2151" s="33"/>
      <c r="H2151" s="33"/>
      <c r="I2151" s="33"/>
      <c r="J2151" s="33"/>
      <c r="K2151" s="33"/>
      <c r="L2151" s="33"/>
      <c r="M2151" s="33"/>
      <c r="N2151" s="33"/>
      <c r="O2151" s="33"/>
      <c r="P2151" s="33"/>
      <c r="Q2151" s="33"/>
      <c r="R2151" s="33"/>
      <c r="S2151" s="33"/>
      <c r="T2151" s="33"/>
      <c r="U2151" s="33"/>
      <c r="V2151" s="33"/>
      <c r="W2151" s="33"/>
      <c r="X2151" s="33"/>
      <c r="Y2151" s="33"/>
      <c r="Z2151" s="33"/>
      <c r="AA2151" s="33"/>
      <c r="AB2151" s="33"/>
      <c r="AC2151" s="33"/>
      <c r="AD2151" s="33"/>
      <c r="AE2151" s="33"/>
      <c r="AF2151" s="33"/>
      <c r="AG2151" s="33"/>
      <c r="AH2151" s="33"/>
      <c r="AI2151" s="33"/>
      <c r="AJ2151" s="33"/>
      <c r="AK2151" s="34" t="str">
        <f aca="false">IF($B2151="","",COUNTIF($F2151:$AJ2151,"P"))</f>
        <v/>
      </c>
      <c r="AL2151" s="34" t="str">
        <f aca="false">IF($B2151="","",COUNTIF($F2151:$AJ2151,"A"))</f>
        <v/>
      </c>
      <c r="AM2151" s="34" t="str">
        <f aca="false">IF($B2151="","",COUNTIF($F2151:$AJ2151,"HA"))</f>
        <v/>
      </c>
      <c r="AN2151" s="34" t="str">
        <f aca="false">IF($B2151="","",COUNTIF($F2151:$AJ2151,"L"))</f>
        <v/>
      </c>
      <c r="AO2151" s="34" t="str">
        <f aca="false">IF($B2151="","",COUNTIF($F2151:$AJ2151,"PL"))</f>
        <v/>
      </c>
      <c r="AP2151" s="34" t="str">
        <f aca="false">IF($B2151="","",COUNTIF($F2151:$AJ2151,"CL"))</f>
        <v/>
      </c>
      <c r="AQ2151" s="34" t="str">
        <f aca="false">IF($B2151="","",COUNTIF($F2151:$AJ2151,"SL"))</f>
        <v/>
      </c>
      <c r="AR2151" s="34" t="str">
        <f aca="false">IF($B2151="","",COUNTIF($F2151:$AJ2151,"CO"))</f>
        <v/>
      </c>
      <c r="AS2151" s="34" t="str">
        <f aca="false">IF($B2151="","",COUNTIF($F2151:$AJ2151,"HPL"))</f>
        <v/>
      </c>
      <c r="AT2151" s="34" t="str">
        <f aca="false">IF($B2151="","",COUNTIF($F2151:$AJ2151,"HCL"))</f>
        <v/>
      </c>
      <c r="AU2151" s="34" t="str">
        <f aca="false">IF($B2151="","",COUNTIF($F2151:$AJ2151,"WO"))</f>
        <v/>
      </c>
      <c r="AV2151" s="34" t="str">
        <f aca="false">IF($B2151="","",COUNTIF($F2151:$AJ2151,"PH"))</f>
        <v/>
      </c>
      <c r="AW2151" s="34" t="str">
        <f aca="false">IF($B2151="","",COUNTIF($F2151:$AJ2151,"TR"))</f>
        <v/>
      </c>
      <c r="AX2151" s="35" t="str">
        <f aca="false">IF($B2151="","",AO2151+AS2151/2)</f>
        <v/>
      </c>
      <c r="AY2151" s="35" t="str">
        <f aca="false">IF($B2151="","",AQ2151)</f>
        <v/>
      </c>
      <c r="AZ2151" s="35" t="str">
        <f aca="false">IF($B2151="","",AP2151+AT2151/2)</f>
        <v/>
      </c>
      <c r="BA2151" s="35" t="str">
        <f aca="false">IF($B2151="","",AK2151+AN2151+AM2151/2+AO2151+AP2151+AQ2151+AR2151+AS2151+AT2151+AU2151+AV2151+AW2151)</f>
        <v/>
      </c>
      <c r="BB2151" s="35" t="str">
        <f aca="false">IF($B2151="","",MAX(0,AN2151-Settings!$C$16)*Settings!$C$17)</f>
        <v/>
      </c>
      <c r="BC2151" s="35" t="str">
        <f aca="false">IF($B2151="","",BA2151-BB2151)</f>
        <v/>
      </c>
      <c r="BD2151" s="35" t="str">
        <f aca="false">IF(OR($B2151="",$A2151=""),"",DAY(EOMONTH($A2151,0))-COUNTA($F2151:$AJ2151))</f>
        <v/>
      </c>
    </row>
    <row r="2152" customFormat="false" ht="15" hidden="false" customHeight="false" outlineLevel="0" collapsed="false">
      <c r="A2152" s="32"/>
      <c r="B2152" s="29"/>
      <c r="C2152" s="10" t="str">
        <f aca="false">IF($B2152="","",IFERROR(INDEX(M_name,MATCH($B2152,M_emp,0)),"Code not found"))</f>
        <v/>
      </c>
      <c r="D2152" s="10" t="str">
        <f aca="false">IF($B2152="","",IFERROR(INDEX(M_dept,MATCH($B2152,M_emp,0)),""))</f>
        <v/>
      </c>
      <c r="E2152" s="10" t="str">
        <f aca="false">IF($B2152="","",IFERROR(INDEX(M_loc,MATCH($B2152,M_emp,0)),""))</f>
        <v/>
      </c>
      <c r="F2152" s="33"/>
      <c r="G2152" s="33"/>
      <c r="H2152" s="33"/>
      <c r="I2152" s="33"/>
      <c r="J2152" s="33"/>
      <c r="K2152" s="33"/>
      <c r="L2152" s="33"/>
      <c r="M2152" s="33"/>
      <c r="N2152" s="33"/>
      <c r="O2152" s="33"/>
      <c r="P2152" s="33"/>
      <c r="Q2152" s="33"/>
      <c r="R2152" s="33"/>
      <c r="S2152" s="33"/>
      <c r="T2152" s="33"/>
      <c r="U2152" s="33"/>
      <c r="V2152" s="33"/>
      <c r="W2152" s="33"/>
      <c r="X2152" s="33"/>
      <c r="Y2152" s="33"/>
      <c r="Z2152" s="33"/>
      <c r="AA2152" s="33"/>
      <c r="AB2152" s="33"/>
      <c r="AC2152" s="33"/>
      <c r="AD2152" s="33"/>
      <c r="AE2152" s="33"/>
      <c r="AF2152" s="33"/>
      <c r="AG2152" s="33"/>
      <c r="AH2152" s="33"/>
      <c r="AI2152" s="33"/>
      <c r="AJ2152" s="33"/>
      <c r="AK2152" s="34" t="str">
        <f aca="false">IF($B2152="","",COUNTIF($F2152:$AJ2152,"P"))</f>
        <v/>
      </c>
      <c r="AL2152" s="34" t="str">
        <f aca="false">IF($B2152="","",COUNTIF($F2152:$AJ2152,"A"))</f>
        <v/>
      </c>
      <c r="AM2152" s="34" t="str">
        <f aca="false">IF($B2152="","",COUNTIF($F2152:$AJ2152,"HA"))</f>
        <v/>
      </c>
      <c r="AN2152" s="34" t="str">
        <f aca="false">IF($B2152="","",COUNTIF($F2152:$AJ2152,"L"))</f>
        <v/>
      </c>
      <c r="AO2152" s="34" t="str">
        <f aca="false">IF($B2152="","",COUNTIF($F2152:$AJ2152,"PL"))</f>
        <v/>
      </c>
      <c r="AP2152" s="34" t="str">
        <f aca="false">IF($B2152="","",COUNTIF($F2152:$AJ2152,"CL"))</f>
        <v/>
      </c>
      <c r="AQ2152" s="34" t="str">
        <f aca="false">IF($B2152="","",COUNTIF($F2152:$AJ2152,"SL"))</f>
        <v/>
      </c>
      <c r="AR2152" s="34" t="str">
        <f aca="false">IF($B2152="","",COUNTIF($F2152:$AJ2152,"CO"))</f>
        <v/>
      </c>
      <c r="AS2152" s="34" t="str">
        <f aca="false">IF($B2152="","",COUNTIF($F2152:$AJ2152,"HPL"))</f>
        <v/>
      </c>
      <c r="AT2152" s="34" t="str">
        <f aca="false">IF($B2152="","",COUNTIF($F2152:$AJ2152,"HCL"))</f>
        <v/>
      </c>
      <c r="AU2152" s="34" t="str">
        <f aca="false">IF($B2152="","",COUNTIF($F2152:$AJ2152,"WO"))</f>
        <v/>
      </c>
      <c r="AV2152" s="34" t="str">
        <f aca="false">IF($B2152="","",COUNTIF($F2152:$AJ2152,"PH"))</f>
        <v/>
      </c>
      <c r="AW2152" s="34" t="str">
        <f aca="false">IF($B2152="","",COUNTIF($F2152:$AJ2152,"TR"))</f>
        <v/>
      </c>
      <c r="AX2152" s="35" t="str">
        <f aca="false">IF($B2152="","",AO2152+AS2152/2)</f>
        <v/>
      </c>
      <c r="AY2152" s="35" t="str">
        <f aca="false">IF($B2152="","",AQ2152)</f>
        <v/>
      </c>
      <c r="AZ2152" s="35" t="str">
        <f aca="false">IF($B2152="","",AP2152+AT2152/2)</f>
        <v/>
      </c>
      <c r="BA2152" s="35" t="str">
        <f aca="false">IF($B2152="","",AK2152+AN2152+AM2152/2+AO2152+AP2152+AQ2152+AR2152+AS2152+AT2152+AU2152+AV2152+AW2152)</f>
        <v/>
      </c>
      <c r="BB2152" s="35" t="str">
        <f aca="false">IF($B2152="","",MAX(0,AN2152-Settings!$C$16)*Settings!$C$17)</f>
        <v/>
      </c>
      <c r="BC2152" s="35" t="str">
        <f aca="false">IF($B2152="","",BA2152-BB2152)</f>
        <v/>
      </c>
      <c r="BD2152" s="35" t="str">
        <f aca="false">IF(OR($B2152="",$A2152=""),"",DAY(EOMONTH($A2152,0))-COUNTA($F2152:$AJ2152))</f>
        <v/>
      </c>
    </row>
    <row r="2153" customFormat="false" ht="15" hidden="false" customHeight="false" outlineLevel="0" collapsed="false">
      <c r="A2153" s="32"/>
      <c r="B2153" s="29"/>
      <c r="C2153" s="10" t="str">
        <f aca="false">IF($B2153="","",IFERROR(INDEX(M_name,MATCH($B2153,M_emp,0)),"Code not found"))</f>
        <v/>
      </c>
      <c r="D2153" s="10" t="str">
        <f aca="false">IF($B2153="","",IFERROR(INDEX(M_dept,MATCH($B2153,M_emp,0)),""))</f>
        <v/>
      </c>
      <c r="E2153" s="10" t="str">
        <f aca="false">IF($B2153="","",IFERROR(INDEX(M_loc,MATCH($B2153,M_emp,0)),""))</f>
        <v/>
      </c>
      <c r="F2153" s="33"/>
      <c r="G2153" s="33"/>
      <c r="H2153" s="33"/>
      <c r="I2153" s="33"/>
      <c r="J2153" s="33"/>
      <c r="K2153" s="33"/>
      <c r="L2153" s="33"/>
      <c r="M2153" s="33"/>
      <c r="N2153" s="33"/>
      <c r="O2153" s="33"/>
      <c r="P2153" s="33"/>
      <c r="Q2153" s="33"/>
      <c r="R2153" s="33"/>
      <c r="S2153" s="33"/>
      <c r="T2153" s="33"/>
      <c r="U2153" s="33"/>
      <c r="V2153" s="33"/>
      <c r="W2153" s="33"/>
      <c r="X2153" s="33"/>
      <c r="Y2153" s="33"/>
      <c r="Z2153" s="33"/>
      <c r="AA2153" s="33"/>
      <c r="AB2153" s="33"/>
      <c r="AC2153" s="33"/>
      <c r="AD2153" s="33"/>
      <c r="AE2153" s="33"/>
      <c r="AF2153" s="33"/>
      <c r="AG2153" s="33"/>
      <c r="AH2153" s="33"/>
      <c r="AI2153" s="33"/>
      <c r="AJ2153" s="33"/>
      <c r="AK2153" s="34" t="str">
        <f aca="false">IF($B2153="","",COUNTIF($F2153:$AJ2153,"P"))</f>
        <v/>
      </c>
      <c r="AL2153" s="34" t="str">
        <f aca="false">IF($B2153="","",COUNTIF($F2153:$AJ2153,"A"))</f>
        <v/>
      </c>
      <c r="AM2153" s="34" t="str">
        <f aca="false">IF($B2153="","",COUNTIF($F2153:$AJ2153,"HA"))</f>
        <v/>
      </c>
      <c r="AN2153" s="34" t="str">
        <f aca="false">IF($B2153="","",COUNTIF($F2153:$AJ2153,"L"))</f>
        <v/>
      </c>
      <c r="AO2153" s="34" t="str">
        <f aca="false">IF($B2153="","",COUNTIF($F2153:$AJ2153,"PL"))</f>
        <v/>
      </c>
      <c r="AP2153" s="34" t="str">
        <f aca="false">IF($B2153="","",COUNTIF($F2153:$AJ2153,"CL"))</f>
        <v/>
      </c>
      <c r="AQ2153" s="34" t="str">
        <f aca="false">IF($B2153="","",COUNTIF($F2153:$AJ2153,"SL"))</f>
        <v/>
      </c>
      <c r="AR2153" s="34" t="str">
        <f aca="false">IF($B2153="","",COUNTIF($F2153:$AJ2153,"CO"))</f>
        <v/>
      </c>
      <c r="AS2153" s="34" t="str">
        <f aca="false">IF($B2153="","",COUNTIF($F2153:$AJ2153,"HPL"))</f>
        <v/>
      </c>
      <c r="AT2153" s="34" t="str">
        <f aca="false">IF($B2153="","",COUNTIF($F2153:$AJ2153,"HCL"))</f>
        <v/>
      </c>
      <c r="AU2153" s="34" t="str">
        <f aca="false">IF($B2153="","",COUNTIF($F2153:$AJ2153,"WO"))</f>
        <v/>
      </c>
      <c r="AV2153" s="34" t="str">
        <f aca="false">IF($B2153="","",COUNTIF($F2153:$AJ2153,"PH"))</f>
        <v/>
      </c>
      <c r="AW2153" s="34" t="str">
        <f aca="false">IF($B2153="","",COUNTIF($F2153:$AJ2153,"TR"))</f>
        <v/>
      </c>
      <c r="AX2153" s="35" t="str">
        <f aca="false">IF($B2153="","",AO2153+AS2153/2)</f>
        <v/>
      </c>
      <c r="AY2153" s="35" t="str">
        <f aca="false">IF($B2153="","",AQ2153)</f>
        <v/>
      </c>
      <c r="AZ2153" s="35" t="str">
        <f aca="false">IF($B2153="","",AP2153+AT2153/2)</f>
        <v/>
      </c>
      <c r="BA2153" s="35" t="str">
        <f aca="false">IF($B2153="","",AK2153+AN2153+AM2153/2+AO2153+AP2153+AQ2153+AR2153+AS2153+AT2153+AU2153+AV2153+AW2153)</f>
        <v/>
      </c>
      <c r="BB2153" s="35" t="str">
        <f aca="false">IF($B2153="","",MAX(0,AN2153-Settings!$C$16)*Settings!$C$17)</f>
        <v/>
      </c>
      <c r="BC2153" s="35" t="str">
        <f aca="false">IF($B2153="","",BA2153-BB2153)</f>
        <v/>
      </c>
      <c r="BD2153" s="35" t="str">
        <f aca="false">IF(OR($B2153="",$A2153=""),"",DAY(EOMONTH($A2153,0))-COUNTA($F2153:$AJ2153))</f>
        <v/>
      </c>
    </row>
    <row r="2154" customFormat="false" ht="15" hidden="false" customHeight="false" outlineLevel="0" collapsed="false">
      <c r="A2154" s="32"/>
      <c r="B2154" s="29"/>
      <c r="C2154" s="10" t="str">
        <f aca="false">IF($B2154="","",IFERROR(INDEX(M_name,MATCH($B2154,M_emp,0)),"Code not found"))</f>
        <v/>
      </c>
      <c r="D2154" s="10" t="str">
        <f aca="false">IF($B2154="","",IFERROR(INDEX(M_dept,MATCH($B2154,M_emp,0)),""))</f>
        <v/>
      </c>
      <c r="E2154" s="10" t="str">
        <f aca="false">IF($B2154="","",IFERROR(INDEX(M_loc,MATCH($B2154,M_emp,0)),""))</f>
        <v/>
      </c>
      <c r="F2154" s="33"/>
      <c r="G2154" s="33"/>
      <c r="H2154" s="33"/>
      <c r="I2154" s="33"/>
      <c r="J2154" s="33"/>
      <c r="K2154" s="33"/>
      <c r="L2154" s="33"/>
      <c r="M2154" s="33"/>
      <c r="N2154" s="33"/>
      <c r="O2154" s="33"/>
      <c r="P2154" s="33"/>
      <c r="Q2154" s="33"/>
      <c r="R2154" s="33"/>
      <c r="S2154" s="33"/>
      <c r="T2154" s="33"/>
      <c r="U2154" s="33"/>
      <c r="V2154" s="33"/>
      <c r="W2154" s="33"/>
      <c r="X2154" s="33"/>
      <c r="Y2154" s="33"/>
      <c r="Z2154" s="33"/>
      <c r="AA2154" s="33"/>
      <c r="AB2154" s="33"/>
      <c r="AC2154" s="33"/>
      <c r="AD2154" s="33"/>
      <c r="AE2154" s="33"/>
      <c r="AF2154" s="33"/>
      <c r="AG2154" s="33"/>
      <c r="AH2154" s="33"/>
      <c r="AI2154" s="33"/>
      <c r="AJ2154" s="33"/>
      <c r="AK2154" s="34" t="str">
        <f aca="false">IF($B2154="","",COUNTIF($F2154:$AJ2154,"P"))</f>
        <v/>
      </c>
      <c r="AL2154" s="34" t="str">
        <f aca="false">IF($B2154="","",COUNTIF($F2154:$AJ2154,"A"))</f>
        <v/>
      </c>
      <c r="AM2154" s="34" t="str">
        <f aca="false">IF($B2154="","",COUNTIF($F2154:$AJ2154,"HA"))</f>
        <v/>
      </c>
      <c r="AN2154" s="34" t="str">
        <f aca="false">IF($B2154="","",COUNTIF($F2154:$AJ2154,"L"))</f>
        <v/>
      </c>
      <c r="AO2154" s="34" t="str">
        <f aca="false">IF($B2154="","",COUNTIF($F2154:$AJ2154,"PL"))</f>
        <v/>
      </c>
      <c r="AP2154" s="34" t="str">
        <f aca="false">IF($B2154="","",COUNTIF($F2154:$AJ2154,"CL"))</f>
        <v/>
      </c>
      <c r="AQ2154" s="34" t="str">
        <f aca="false">IF($B2154="","",COUNTIF($F2154:$AJ2154,"SL"))</f>
        <v/>
      </c>
      <c r="AR2154" s="34" t="str">
        <f aca="false">IF($B2154="","",COUNTIF($F2154:$AJ2154,"CO"))</f>
        <v/>
      </c>
      <c r="AS2154" s="34" t="str">
        <f aca="false">IF($B2154="","",COUNTIF($F2154:$AJ2154,"HPL"))</f>
        <v/>
      </c>
      <c r="AT2154" s="34" t="str">
        <f aca="false">IF($B2154="","",COUNTIF($F2154:$AJ2154,"HCL"))</f>
        <v/>
      </c>
      <c r="AU2154" s="34" t="str">
        <f aca="false">IF($B2154="","",COUNTIF($F2154:$AJ2154,"WO"))</f>
        <v/>
      </c>
      <c r="AV2154" s="34" t="str">
        <f aca="false">IF($B2154="","",COUNTIF($F2154:$AJ2154,"PH"))</f>
        <v/>
      </c>
      <c r="AW2154" s="34" t="str">
        <f aca="false">IF($B2154="","",COUNTIF($F2154:$AJ2154,"TR"))</f>
        <v/>
      </c>
      <c r="AX2154" s="35" t="str">
        <f aca="false">IF($B2154="","",AO2154+AS2154/2)</f>
        <v/>
      </c>
      <c r="AY2154" s="35" t="str">
        <f aca="false">IF($B2154="","",AQ2154)</f>
        <v/>
      </c>
      <c r="AZ2154" s="35" t="str">
        <f aca="false">IF($B2154="","",AP2154+AT2154/2)</f>
        <v/>
      </c>
      <c r="BA2154" s="35" t="str">
        <f aca="false">IF($B2154="","",AK2154+AN2154+AM2154/2+AO2154+AP2154+AQ2154+AR2154+AS2154+AT2154+AU2154+AV2154+AW2154)</f>
        <v/>
      </c>
      <c r="BB2154" s="35" t="str">
        <f aca="false">IF($B2154="","",MAX(0,AN2154-Settings!$C$16)*Settings!$C$17)</f>
        <v/>
      </c>
      <c r="BC2154" s="35" t="str">
        <f aca="false">IF($B2154="","",BA2154-BB2154)</f>
        <v/>
      </c>
      <c r="BD2154" s="35" t="str">
        <f aca="false">IF(OR($B2154="",$A2154=""),"",DAY(EOMONTH($A2154,0))-COUNTA($F2154:$AJ2154))</f>
        <v/>
      </c>
    </row>
    <row r="2155" customFormat="false" ht="15" hidden="false" customHeight="false" outlineLevel="0" collapsed="false">
      <c r="A2155" s="32"/>
      <c r="B2155" s="29"/>
      <c r="C2155" s="10" t="str">
        <f aca="false">IF($B2155="","",IFERROR(INDEX(M_name,MATCH($B2155,M_emp,0)),"Code not found"))</f>
        <v/>
      </c>
      <c r="D2155" s="10" t="str">
        <f aca="false">IF($B2155="","",IFERROR(INDEX(M_dept,MATCH($B2155,M_emp,0)),""))</f>
        <v/>
      </c>
      <c r="E2155" s="10" t="str">
        <f aca="false">IF($B2155="","",IFERROR(INDEX(M_loc,MATCH($B2155,M_emp,0)),""))</f>
        <v/>
      </c>
      <c r="F2155" s="33"/>
      <c r="G2155" s="33"/>
      <c r="H2155" s="33"/>
      <c r="I2155" s="33"/>
      <c r="J2155" s="33"/>
      <c r="K2155" s="33"/>
      <c r="L2155" s="33"/>
      <c r="M2155" s="33"/>
      <c r="N2155" s="33"/>
      <c r="O2155" s="33"/>
      <c r="P2155" s="33"/>
      <c r="Q2155" s="33"/>
      <c r="R2155" s="33"/>
      <c r="S2155" s="33"/>
      <c r="T2155" s="33"/>
      <c r="U2155" s="33"/>
      <c r="V2155" s="33"/>
      <c r="W2155" s="33"/>
      <c r="X2155" s="33"/>
      <c r="Y2155" s="33"/>
      <c r="Z2155" s="33"/>
      <c r="AA2155" s="33"/>
      <c r="AB2155" s="33"/>
      <c r="AC2155" s="33"/>
      <c r="AD2155" s="33"/>
      <c r="AE2155" s="33"/>
      <c r="AF2155" s="33"/>
      <c r="AG2155" s="33"/>
      <c r="AH2155" s="33"/>
      <c r="AI2155" s="33"/>
      <c r="AJ2155" s="33"/>
      <c r="AK2155" s="34" t="str">
        <f aca="false">IF($B2155="","",COUNTIF($F2155:$AJ2155,"P"))</f>
        <v/>
      </c>
      <c r="AL2155" s="34" t="str">
        <f aca="false">IF($B2155="","",COUNTIF($F2155:$AJ2155,"A"))</f>
        <v/>
      </c>
      <c r="AM2155" s="34" t="str">
        <f aca="false">IF($B2155="","",COUNTIF($F2155:$AJ2155,"HA"))</f>
        <v/>
      </c>
      <c r="AN2155" s="34" t="str">
        <f aca="false">IF($B2155="","",COUNTIF($F2155:$AJ2155,"L"))</f>
        <v/>
      </c>
      <c r="AO2155" s="34" t="str">
        <f aca="false">IF($B2155="","",COUNTIF($F2155:$AJ2155,"PL"))</f>
        <v/>
      </c>
      <c r="AP2155" s="34" t="str">
        <f aca="false">IF($B2155="","",COUNTIF($F2155:$AJ2155,"CL"))</f>
        <v/>
      </c>
      <c r="AQ2155" s="34" t="str">
        <f aca="false">IF($B2155="","",COUNTIF($F2155:$AJ2155,"SL"))</f>
        <v/>
      </c>
      <c r="AR2155" s="34" t="str">
        <f aca="false">IF($B2155="","",COUNTIF($F2155:$AJ2155,"CO"))</f>
        <v/>
      </c>
      <c r="AS2155" s="34" t="str">
        <f aca="false">IF($B2155="","",COUNTIF($F2155:$AJ2155,"HPL"))</f>
        <v/>
      </c>
      <c r="AT2155" s="34" t="str">
        <f aca="false">IF($B2155="","",COUNTIF($F2155:$AJ2155,"HCL"))</f>
        <v/>
      </c>
      <c r="AU2155" s="34" t="str">
        <f aca="false">IF($B2155="","",COUNTIF($F2155:$AJ2155,"WO"))</f>
        <v/>
      </c>
      <c r="AV2155" s="34" t="str">
        <f aca="false">IF($B2155="","",COUNTIF($F2155:$AJ2155,"PH"))</f>
        <v/>
      </c>
      <c r="AW2155" s="34" t="str">
        <f aca="false">IF($B2155="","",COUNTIF($F2155:$AJ2155,"TR"))</f>
        <v/>
      </c>
      <c r="AX2155" s="35" t="str">
        <f aca="false">IF($B2155="","",AO2155+AS2155/2)</f>
        <v/>
      </c>
      <c r="AY2155" s="35" t="str">
        <f aca="false">IF($B2155="","",AQ2155)</f>
        <v/>
      </c>
      <c r="AZ2155" s="35" t="str">
        <f aca="false">IF($B2155="","",AP2155+AT2155/2)</f>
        <v/>
      </c>
      <c r="BA2155" s="35" t="str">
        <f aca="false">IF($B2155="","",AK2155+AN2155+AM2155/2+AO2155+AP2155+AQ2155+AR2155+AS2155+AT2155+AU2155+AV2155+AW2155)</f>
        <v/>
      </c>
      <c r="BB2155" s="35" t="str">
        <f aca="false">IF($B2155="","",MAX(0,AN2155-Settings!$C$16)*Settings!$C$17)</f>
        <v/>
      </c>
      <c r="BC2155" s="35" t="str">
        <f aca="false">IF($B2155="","",BA2155-BB2155)</f>
        <v/>
      </c>
      <c r="BD2155" s="35" t="str">
        <f aca="false">IF(OR($B2155="",$A2155=""),"",DAY(EOMONTH($A2155,0))-COUNTA($F2155:$AJ2155))</f>
        <v/>
      </c>
    </row>
    <row r="2156" customFormat="false" ht="15" hidden="false" customHeight="false" outlineLevel="0" collapsed="false">
      <c r="A2156" s="32"/>
      <c r="B2156" s="29"/>
      <c r="C2156" s="10" t="str">
        <f aca="false">IF($B2156="","",IFERROR(INDEX(M_name,MATCH($B2156,M_emp,0)),"Code not found"))</f>
        <v/>
      </c>
      <c r="D2156" s="10" t="str">
        <f aca="false">IF($B2156="","",IFERROR(INDEX(M_dept,MATCH($B2156,M_emp,0)),""))</f>
        <v/>
      </c>
      <c r="E2156" s="10" t="str">
        <f aca="false">IF($B2156="","",IFERROR(INDEX(M_loc,MATCH($B2156,M_emp,0)),""))</f>
        <v/>
      </c>
      <c r="F2156" s="33"/>
      <c r="G2156" s="33"/>
      <c r="H2156" s="33"/>
      <c r="I2156" s="33"/>
      <c r="J2156" s="33"/>
      <c r="K2156" s="33"/>
      <c r="L2156" s="33"/>
      <c r="M2156" s="33"/>
      <c r="N2156" s="33"/>
      <c r="O2156" s="33"/>
      <c r="P2156" s="33"/>
      <c r="Q2156" s="33"/>
      <c r="R2156" s="33"/>
      <c r="S2156" s="33"/>
      <c r="T2156" s="33"/>
      <c r="U2156" s="33"/>
      <c r="V2156" s="33"/>
      <c r="W2156" s="33"/>
      <c r="X2156" s="33"/>
      <c r="Y2156" s="33"/>
      <c r="Z2156" s="33"/>
      <c r="AA2156" s="33"/>
      <c r="AB2156" s="33"/>
      <c r="AC2156" s="33"/>
      <c r="AD2156" s="33"/>
      <c r="AE2156" s="33"/>
      <c r="AF2156" s="33"/>
      <c r="AG2156" s="33"/>
      <c r="AH2156" s="33"/>
      <c r="AI2156" s="33"/>
      <c r="AJ2156" s="33"/>
      <c r="AK2156" s="34" t="str">
        <f aca="false">IF($B2156="","",COUNTIF($F2156:$AJ2156,"P"))</f>
        <v/>
      </c>
      <c r="AL2156" s="34" t="str">
        <f aca="false">IF($B2156="","",COUNTIF($F2156:$AJ2156,"A"))</f>
        <v/>
      </c>
      <c r="AM2156" s="34" t="str">
        <f aca="false">IF($B2156="","",COUNTIF($F2156:$AJ2156,"HA"))</f>
        <v/>
      </c>
      <c r="AN2156" s="34" t="str">
        <f aca="false">IF($B2156="","",COUNTIF($F2156:$AJ2156,"L"))</f>
        <v/>
      </c>
      <c r="AO2156" s="34" t="str">
        <f aca="false">IF($B2156="","",COUNTIF($F2156:$AJ2156,"PL"))</f>
        <v/>
      </c>
      <c r="AP2156" s="34" t="str">
        <f aca="false">IF($B2156="","",COUNTIF($F2156:$AJ2156,"CL"))</f>
        <v/>
      </c>
      <c r="AQ2156" s="34" t="str">
        <f aca="false">IF($B2156="","",COUNTIF($F2156:$AJ2156,"SL"))</f>
        <v/>
      </c>
      <c r="AR2156" s="34" t="str">
        <f aca="false">IF($B2156="","",COUNTIF($F2156:$AJ2156,"CO"))</f>
        <v/>
      </c>
      <c r="AS2156" s="34" t="str">
        <f aca="false">IF($B2156="","",COUNTIF($F2156:$AJ2156,"HPL"))</f>
        <v/>
      </c>
      <c r="AT2156" s="34" t="str">
        <f aca="false">IF($B2156="","",COUNTIF($F2156:$AJ2156,"HCL"))</f>
        <v/>
      </c>
      <c r="AU2156" s="34" t="str">
        <f aca="false">IF($B2156="","",COUNTIF($F2156:$AJ2156,"WO"))</f>
        <v/>
      </c>
      <c r="AV2156" s="34" t="str">
        <f aca="false">IF($B2156="","",COUNTIF($F2156:$AJ2156,"PH"))</f>
        <v/>
      </c>
      <c r="AW2156" s="34" t="str">
        <f aca="false">IF($B2156="","",COUNTIF($F2156:$AJ2156,"TR"))</f>
        <v/>
      </c>
      <c r="AX2156" s="35" t="str">
        <f aca="false">IF($B2156="","",AO2156+AS2156/2)</f>
        <v/>
      </c>
      <c r="AY2156" s="35" t="str">
        <f aca="false">IF($B2156="","",AQ2156)</f>
        <v/>
      </c>
      <c r="AZ2156" s="35" t="str">
        <f aca="false">IF($B2156="","",AP2156+AT2156/2)</f>
        <v/>
      </c>
      <c r="BA2156" s="35" t="str">
        <f aca="false">IF($B2156="","",AK2156+AN2156+AM2156/2+AO2156+AP2156+AQ2156+AR2156+AS2156+AT2156+AU2156+AV2156+AW2156)</f>
        <v/>
      </c>
      <c r="BB2156" s="35" t="str">
        <f aca="false">IF($B2156="","",MAX(0,AN2156-Settings!$C$16)*Settings!$C$17)</f>
        <v/>
      </c>
      <c r="BC2156" s="35" t="str">
        <f aca="false">IF($B2156="","",BA2156-BB2156)</f>
        <v/>
      </c>
      <c r="BD2156" s="35" t="str">
        <f aca="false">IF(OR($B2156="",$A2156=""),"",DAY(EOMONTH($A2156,0))-COUNTA($F2156:$AJ2156))</f>
        <v/>
      </c>
    </row>
    <row r="2157" customFormat="false" ht="15" hidden="false" customHeight="false" outlineLevel="0" collapsed="false">
      <c r="A2157" s="32"/>
      <c r="B2157" s="29"/>
      <c r="C2157" s="10" t="str">
        <f aca="false">IF($B2157="","",IFERROR(INDEX(M_name,MATCH($B2157,M_emp,0)),"Code not found"))</f>
        <v/>
      </c>
      <c r="D2157" s="10" t="str">
        <f aca="false">IF($B2157="","",IFERROR(INDEX(M_dept,MATCH($B2157,M_emp,0)),""))</f>
        <v/>
      </c>
      <c r="E2157" s="10" t="str">
        <f aca="false">IF($B2157="","",IFERROR(INDEX(M_loc,MATCH($B2157,M_emp,0)),""))</f>
        <v/>
      </c>
      <c r="F2157" s="33"/>
      <c r="G2157" s="33"/>
      <c r="H2157" s="33"/>
      <c r="I2157" s="33"/>
      <c r="J2157" s="33"/>
      <c r="K2157" s="33"/>
      <c r="L2157" s="33"/>
      <c r="M2157" s="33"/>
      <c r="N2157" s="33"/>
      <c r="O2157" s="33"/>
      <c r="P2157" s="33"/>
      <c r="Q2157" s="33"/>
      <c r="R2157" s="33"/>
      <c r="S2157" s="33"/>
      <c r="T2157" s="33"/>
      <c r="U2157" s="33"/>
      <c r="V2157" s="33"/>
      <c r="W2157" s="33"/>
      <c r="X2157" s="33"/>
      <c r="Y2157" s="33"/>
      <c r="Z2157" s="33"/>
      <c r="AA2157" s="33"/>
      <c r="AB2157" s="33"/>
      <c r="AC2157" s="33"/>
      <c r="AD2157" s="33"/>
      <c r="AE2157" s="33"/>
      <c r="AF2157" s="33"/>
      <c r="AG2157" s="33"/>
      <c r="AH2157" s="33"/>
      <c r="AI2157" s="33"/>
      <c r="AJ2157" s="33"/>
      <c r="AK2157" s="34" t="str">
        <f aca="false">IF($B2157="","",COUNTIF($F2157:$AJ2157,"P"))</f>
        <v/>
      </c>
      <c r="AL2157" s="34" t="str">
        <f aca="false">IF($B2157="","",COUNTIF($F2157:$AJ2157,"A"))</f>
        <v/>
      </c>
      <c r="AM2157" s="34" t="str">
        <f aca="false">IF($B2157="","",COUNTIF($F2157:$AJ2157,"HA"))</f>
        <v/>
      </c>
      <c r="AN2157" s="34" t="str">
        <f aca="false">IF($B2157="","",COUNTIF($F2157:$AJ2157,"L"))</f>
        <v/>
      </c>
      <c r="AO2157" s="34" t="str">
        <f aca="false">IF($B2157="","",COUNTIF($F2157:$AJ2157,"PL"))</f>
        <v/>
      </c>
      <c r="AP2157" s="34" t="str">
        <f aca="false">IF($B2157="","",COUNTIF($F2157:$AJ2157,"CL"))</f>
        <v/>
      </c>
      <c r="AQ2157" s="34" t="str">
        <f aca="false">IF($B2157="","",COUNTIF($F2157:$AJ2157,"SL"))</f>
        <v/>
      </c>
      <c r="AR2157" s="34" t="str">
        <f aca="false">IF($B2157="","",COUNTIF($F2157:$AJ2157,"CO"))</f>
        <v/>
      </c>
      <c r="AS2157" s="34" t="str">
        <f aca="false">IF($B2157="","",COUNTIF($F2157:$AJ2157,"HPL"))</f>
        <v/>
      </c>
      <c r="AT2157" s="34" t="str">
        <f aca="false">IF($B2157="","",COUNTIF($F2157:$AJ2157,"HCL"))</f>
        <v/>
      </c>
      <c r="AU2157" s="34" t="str">
        <f aca="false">IF($B2157="","",COUNTIF($F2157:$AJ2157,"WO"))</f>
        <v/>
      </c>
      <c r="AV2157" s="34" t="str">
        <f aca="false">IF($B2157="","",COUNTIF($F2157:$AJ2157,"PH"))</f>
        <v/>
      </c>
      <c r="AW2157" s="34" t="str">
        <f aca="false">IF($B2157="","",COUNTIF($F2157:$AJ2157,"TR"))</f>
        <v/>
      </c>
      <c r="AX2157" s="35" t="str">
        <f aca="false">IF($B2157="","",AO2157+AS2157/2)</f>
        <v/>
      </c>
      <c r="AY2157" s="35" t="str">
        <f aca="false">IF($B2157="","",AQ2157)</f>
        <v/>
      </c>
      <c r="AZ2157" s="35" t="str">
        <f aca="false">IF($B2157="","",AP2157+AT2157/2)</f>
        <v/>
      </c>
      <c r="BA2157" s="35" t="str">
        <f aca="false">IF($B2157="","",AK2157+AN2157+AM2157/2+AO2157+AP2157+AQ2157+AR2157+AS2157+AT2157+AU2157+AV2157+AW2157)</f>
        <v/>
      </c>
      <c r="BB2157" s="35" t="str">
        <f aca="false">IF($B2157="","",MAX(0,AN2157-Settings!$C$16)*Settings!$C$17)</f>
        <v/>
      </c>
      <c r="BC2157" s="35" t="str">
        <f aca="false">IF($B2157="","",BA2157-BB2157)</f>
        <v/>
      </c>
      <c r="BD2157" s="35" t="str">
        <f aca="false">IF(OR($B2157="",$A2157=""),"",DAY(EOMONTH($A2157,0))-COUNTA($F2157:$AJ2157))</f>
        <v/>
      </c>
    </row>
    <row r="2158" customFormat="false" ht="15" hidden="false" customHeight="false" outlineLevel="0" collapsed="false">
      <c r="A2158" s="32"/>
      <c r="B2158" s="29"/>
      <c r="C2158" s="10" t="str">
        <f aca="false">IF($B2158="","",IFERROR(INDEX(M_name,MATCH($B2158,M_emp,0)),"Code not found"))</f>
        <v/>
      </c>
      <c r="D2158" s="10" t="str">
        <f aca="false">IF($B2158="","",IFERROR(INDEX(M_dept,MATCH($B2158,M_emp,0)),""))</f>
        <v/>
      </c>
      <c r="E2158" s="10" t="str">
        <f aca="false">IF($B2158="","",IFERROR(INDEX(M_loc,MATCH($B2158,M_emp,0)),""))</f>
        <v/>
      </c>
      <c r="F2158" s="33"/>
      <c r="G2158" s="33"/>
      <c r="H2158" s="33"/>
      <c r="I2158" s="33"/>
      <c r="J2158" s="33"/>
      <c r="K2158" s="33"/>
      <c r="L2158" s="33"/>
      <c r="M2158" s="33"/>
      <c r="N2158" s="33"/>
      <c r="O2158" s="33"/>
      <c r="P2158" s="33"/>
      <c r="Q2158" s="33"/>
      <c r="R2158" s="33"/>
      <c r="S2158" s="33"/>
      <c r="T2158" s="33"/>
      <c r="U2158" s="33"/>
      <c r="V2158" s="33"/>
      <c r="W2158" s="33"/>
      <c r="X2158" s="33"/>
      <c r="Y2158" s="33"/>
      <c r="Z2158" s="33"/>
      <c r="AA2158" s="33"/>
      <c r="AB2158" s="33"/>
      <c r="AC2158" s="33"/>
      <c r="AD2158" s="33"/>
      <c r="AE2158" s="33"/>
      <c r="AF2158" s="33"/>
      <c r="AG2158" s="33"/>
      <c r="AH2158" s="33"/>
      <c r="AI2158" s="33"/>
      <c r="AJ2158" s="33"/>
      <c r="AK2158" s="34" t="str">
        <f aca="false">IF($B2158="","",COUNTIF($F2158:$AJ2158,"P"))</f>
        <v/>
      </c>
      <c r="AL2158" s="34" t="str">
        <f aca="false">IF($B2158="","",COUNTIF($F2158:$AJ2158,"A"))</f>
        <v/>
      </c>
      <c r="AM2158" s="34" t="str">
        <f aca="false">IF($B2158="","",COUNTIF($F2158:$AJ2158,"HA"))</f>
        <v/>
      </c>
      <c r="AN2158" s="34" t="str">
        <f aca="false">IF($B2158="","",COUNTIF($F2158:$AJ2158,"L"))</f>
        <v/>
      </c>
      <c r="AO2158" s="34" t="str">
        <f aca="false">IF($B2158="","",COUNTIF($F2158:$AJ2158,"PL"))</f>
        <v/>
      </c>
      <c r="AP2158" s="34" t="str">
        <f aca="false">IF($B2158="","",COUNTIF($F2158:$AJ2158,"CL"))</f>
        <v/>
      </c>
      <c r="AQ2158" s="34" t="str">
        <f aca="false">IF($B2158="","",COUNTIF($F2158:$AJ2158,"SL"))</f>
        <v/>
      </c>
      <c r="AR2158" s="34" t="str">
        <f aca="false">IF($B2158="","",COUNTIF($F2158:$AJ2158,"CO"))</f>
        <v/>
      </c>
      <c r="AS2158" s="34" t="str">
        <f aca="false">IF($B2158="","",COUNTIF($F2158:$AJ2158,"HPL"))</f>
        <v/>
      </c>
      <c r="AT2158" s="34" t="str">
        <f aca="false">IF($B2158="","",COUNTIF($F2158:$AJ2158,"HCL"))</f>
        <v/>
      </c>
      <c r="AU2158" s="34" t="str">
        <f aca="false">IF($B2158="","",COUNTIF($F2158:$AJ2158,"WO"))</f>
        <v/>
      </c>
      <c r="AV2158" s="34" t="str">
        <f aca="false">IF($B2158="","",COUNTIF($F2158:$AJ2158,"PH"))</f>
        <v/>
      </c>
      <c r="AW2158" s="34" t="str">
        <f aca="false">IF($B2158="","",COUNTIF($F2158:$AJ2158,"TR"))</f>
        <v/>
      </c>
      <c r="AX2158" s="35" t="str">
        <f aca="false">IF($B2158="","",AO2158+AS2158/2)</f>
        <v/>
      </c>
      <c r="AY2158" s="35" t="str">
        <f aca="false">IF($B2158="","",AQ2158)</f>
        <v/>
      </c>
      <c r="AZ2158" s="35" t="str">
        <f aca="false">IF($B2158="","",AP2158+AT2158/2)</f>
        <v/>
      </c>
      <c r="BA2158" s="35" t="str">
        <f aca="false">IF($B2158="","",AK2158+AN2158+AM2158/2+AO2158+AP2158+AQ2158+AR2158+AS2158+AT2158+AU2158+AV2158+AW2158)</f>
        <v/>
      </c>
      <c r="BB2158" s="35" t="str">
        <f aca="false">IF($B2158="","",MAX(0,AN2158-Settings!$C$16)*Settings!$C$17)</f>
        <v/>
      </c>
      <c r="BC2158" s="35" t="str">
        <f aca="false">IF($B2158="","",BA2158-BB2158)</f>
        <v/>
      </c>
      <c r="BD2158" s="35" t="str">
        <f aca="false">IF(OR($B2158="",$A2158=""),"",DAY(EOMONTH($A2158,0))-COUNTA($F2158:$AJ2158))</f>
        <v/>
      </c>
    </row>
    <row r="2159" customFormat="false" ht="15" hidden="false" customHeight="false" outlineLevel="0" collapsed="false">
      <c r="A2159" s="32"/>
      <c r="B2159" s="29"/>
      <c r="C2159" s="10" t="str">
        <f aca="false">IF($B2159="","",IFERROR(INDEX(M_name,MATCH($B2159,M_emp,0)),"Code not found"))</f>
        <v/>
      </c>
      <c r="D2159" s="10" t="str">
        <f aca="false">IF($B2159="","",IFERROR(INDEX(M_dept,MATCH($B2159,M_emp,0)),""))</f>
        <v/>
      </c>
      <c r="E2159" s="10" t="str">
        <f aca="false">IF($B2159="","",IFERROR(INDEX(M_loc,MATCH($B2159,M_emp,0)),""))</f>
        <v/>
      </c>
      <c r="F2159" s="33"/>
      <c r="G2159" s="33"/>
      <c r="H2159" s="33"/>
      <c r="I2159" s="33"/>
      <c r="J2159" s="33"/>
      <c r="K2159" s="33"/>
      <c r="L2159" s="33"/>
      <c r="M2159" s="33"/>
      <c r="N2159" s="33"/>
      <c r="O2159" s="33"/>
      <c r="P2159" s="33"/>
      <c r="Q2159" s="33"/>
      <c r="R2159" s="33"/>
      <c r="S2159" s="33"/>
      <c r="T2159" s="33"/>
      <c r="U2159" s="33"/>
      <c r="V2159" s="33"/>
      <c r="W2159" s="33"/>
      <c r="X2159" s="33"/>
      <c r="Y2159" s="33"/>
      <c r="Z2159" s="33"/>
      <c r="AA2159" s="33"/>
      <c r="AB2159" s="33"/>
      <c r="AC2159" s="33"/>
      <c r="AD2159" s="33"/>
      <c r="AE2159" s="33"/>
      <c r="AF2159" s="33"/>
      <c r="AG2159" s="33"/>
      <c r="AH2159" s="33"/>
      <c r="AI2159" s="33"/>
      <c r="AJ2159" s="33"/>
      <c r="AK2159" s="34" t="str">
        <f aca="false">IF($B2159="","",COUNTIF($F2159:$AJ2159,"P"))</f>
        <v/>
      </c>
      <c r="AL2159" s="34" t="str">
        <f aca="false">IF($B2159="","",COUNTIF($F2159:$AJ2159,"A"))</f>
        <v/>
      </c>
      <c r="AM2159" s="34" t="str">
        <f aca="false">IF($B2159="","",COUNTIF($F2159:$AJ2159,"HA"))</f>
        <v/>
      </c>
      <c r="AN2159" s="34" t="str">
        <f aca="false">IF($B2159="","",COUNTIF($F2159:$AJ2159,"L"))</f>
        <v/>
      </c>
      <c r="AO2159" s="34" t="str">
        <f aca="false">IF($B2159="","",COUNTIF($F2159:$AJ2159,"PL"))</f>
        <v/>
      </c>
      <c r="AP2159" s="34" t="str">
        <f aca="false">IF($B2159="","",COUNTIF($F2159:$AJ2159,"CL"))</f>
        <v/>
      </c>
      <c r="AQ2159" s="34" t="str">
        <f aca="false">IF($B2159="","",COUNTIF($F2159:$AJ2159,"SL"))</f>
        <v/>
      </c>
      <c r="AR2159" s="34" t="str">
        <f aca="false">IF($B2159="","",COUNTIF($F2159:$AJ2159,"CO"))</f>
        <v/>
      </c>
      <c r="AS2159" s="34" t="str">
        <f aca="false">IF($B2159="","",COUNTIF($F2159:$AJ2159,"HPL"))</f>
        <v/>
      </c>
      <c r="AT2159" s="34" t="str">
        <f aca="false">IF($B2159="","",COUNTIF($F2159:$AJ2159,"HCL"))</f>
        <v/>
      </c>
      <c r="AU2159" s="34" t="str">
        <f aca="false">IF($B2159="","",COUNTIF($F2159:$AJ2159,"WO"))</f>
        <v/>
      </c>
      <c r="AV2159" s="34" t="str">
        <f aca="false">IF($B2159="","",COUNTIF($F2159:$AJ2159,"PH"))</f>
        <v/>
      </c>
      <c r="AW2159" s="34" t="str">
        <f aca="false">IF($B2159="","",COUNTIF($F2159:$AJ2159,"TR"))</f>
        <v/>
      </c>
      <c r="AX2159" s="35" t="str">
        <f aca="false">IF($B2159="","",AO2159+AS2159/2)</f>
        <v/>
      </c>
      <c r="AY2159" s="35" t="str">
        <f aca="false">IF($B2159="","",AQ2159)</f>
        <v/>
      </c>
      <c r="AZ2159" s="35" t="str">
        <f aca="false">IF($B2159="","",AP2159+AT2159/2)</f>
        <v/>
      </c>
      <c r="BA2159" s="35" t="str">
        <f aca="false">IF($B2159="","",AK2159+AN2159+AM2159/2+AO2159+AP2159+AQ2159+AR2159+AS2159+AT2159+AU2159+AV2159+AW2159)</f>
        <v/>
      </c>
      <c r="BB2159" s="35" t="str">
        <f aca="false">IF($B2159="","",MAX(0,AN2159-Settings!$C$16)*Settings!$C$17)</f>
        <v/>
      </c>
      <c r="BC2159" s="35" t="str">
        <f aca="false">IF($B2159="","",BA2159-BB2159)</f>
        <v/>
      </c>
      <c r="BD2159" s="35" t="str">
        <f aca="false">IF(OR($B2159="",$A2159=""),"",DAY(EOMONTH($A2159,0))-COUNTA($F2159:$AJ2159))</f>
        <v/>
      </c>
    </row>
    <row r="2160" customFormat="false" ht="15" hidden="false" customHeight="false" outlineLevel="0" collapsed="false">
      <c r="A2160" s="32"/>
      <c r="B2160" s="29"/>
      <c r="C2160" s="10" t="str">
        <f aca="false">IF($B2160="","",IFERROR(INDEX(M_name,MATCH($B2160,M_emp,0)),"Code not found"))</f>
        <v/>
      </c>
      <c r="D2160" s="10" t="str">
        <f aca="false">IF($B2160="","",IFERROR(INDEX(M_dept,MATCH($B2160,M_emp,0)),""))</f>
        <v/>
      </c>
      <c r="E2160" s="10" t="str">
        <f aca="false">IF($B2160="","",IFERROR(INDEX(M_loc,MATCH($B2160,M_emp,0)),""))</f>
        <v/>
      </c>
      <c r="F2160" s="33"/>
      <c r="G2160" s="33"/>
      <c r="H2160" s="33"/>
      <c r="I2160" s="33"/>
      <c r="J2160" s="33"/>
      <c r="K2160" s="33"/>
      <c r="L2160" s="33"/>
      <c r="M2160" s="33"/>
      <c r="N2160" s="33"/>
      <c r="O2160" s="33"/>
      <c r="P2160" s="33"/>
      <c r="Q2160" s="33"/>
      <c r="R2160" s="33"/>
      <c r="S2160" s="33"/>
      <c r="T2160" s="33"/>
      <c r="U2160" s="33"/>
      <c r="V2160" s="33"/>
      <c r="W2160" s="33"/>
      <c r="X2160" s="33"/>
      <c r="Y2160" s="33"/>
      <c r="Z2160" s="33"/>
      <c r="AA2160" s="33"/>
      <c r="AB2160" s="33"/>
      <c r="AC2160" s="33"/>
      <c r="AD2160" s="33"/>
      <c r="AE2160" s="33"/>
      <c r="AF2160" s="33"/>
      <c r="AG2160" s="33"/>
      <c r="AH2160" s="33"/>
      <c r="AI2160" s="33"/>
      <c r="AJ2160" s="33"/>
      <c r="AK2160" s="34" t="str">
        <f aca="false">IF($B2160="","",COUNTIF($F2160:$AJ2160,"P"))</f>
        <v/>
      </c>
      <c r="AL2160" s="34" t="str">
        <f aca="false">IF($B2160="","",COUNTIF($F2160:$AJ2160,"A"))</f>
        <v/>
      </c>
      <c r="AM2160" s="34" t="str">
        <f aca="false">IF($B2160="","",COUNTIF($F2160:$AJ2160,"HA"))</f>
        <v/>
      </c>
      <c r="AN2160" s="34" t="str">
        <f aca="false">IF($B2160="","",COUNTIF($F2160:$AJ2160,"L"))</f>
        <v/>
      </c>
      <c r="AO2160" s="34" t="str">
        <f aca="false">IF($B2160="","",COUNTIF($F2160:$AJ2160,"PL"))</f>
        <v/>
      </c>
      <c r="AP2160" s="34" t="str">
        <f aca="false">IF($B2160="","",COUNTIF($F2160:$AJ2160,"CL"))</f>
        <v/>
      </c>
      <c r="AQ2160" s="34" t="str">
        <f aca="false">IF($B2160="","",COUNTIF($F2160:$AJ2160,"SL"))</f>
        <v/>
      </c>
      <c r="AR2160" s="34" t="str">
        <f aca="false">IF($B2160="","",COUNTIF($F2160:$AJ2160,"CO"))</f>
        <v/>
      </c>
      <c r="AS2160" s="34" t="str">
        <f aca="false">IF($B2160="","",COUNTIF($F2160:$AJ2160,"HPL"))</f>
        <v/>
      </c>
      <c r="AT2160" s="34" t="str">
        <f aca="false">IF($B2160="","",COUNTIF($F2160:$AJ2160,"HCL"))</f>
        <v/>
      </c>
      <c r="AU2160" s="34" t="str">
        <f aca="false">IF($B2160="","",COUNTIF($F2160:$AJ2160,"WO"))</f>
        <v/>
      </c>
      <c r="AV2160" s="34" t="str">
        <f aca="false">IF($B2160="","",COUNTIF($F2160:$AJ2160,"PH"))</f>
        <v/>
      </c>
      <c r="AW2160" s="34" t="str">
        <f aca="false">IF($B2160="","",COUNTIF($F2160:$AJ2160,"TR"))</f>
        <v/>
      </c>
      <c r="AX2160" s="35" t="str">
        <f aca="false">IF($B2160="","",AO2160+AS2160/2)</f>
        <v/>
      </c>
      <c r="AY2160" s="35" t="str">
        <f aca="false">IF($B2160="","",AQ2160)</f>
        <v/>
      </c>
      <c r="AZ2160" s="35" t="str">
        <f aca="false">IF($B2160="","",AP2160+AT2160/2)</f>
        <v/>
      </c>
      <c r="BA2160" s="35" t="str">
        <f aca="false">IF($B2160="","",AK2160+AN2160+AM2160/2+AO2160+AP2160+AQ2160+AR2160+AS2160+AT2160+AU2160+AV2160+AW2160)</f>
        <v/>
      </c>
      <c r="BB2160" s="35" t="str">
        <f aca="false">IF($B2160="","",MAX(0,AN2160-Settings!$C$16)*Settings!$C$17)</f>
        <v/>
      </c>
      <c r="BC2160" s="35" t="str">
        <f aca="false">IF($B2160="","",BA2160-BB2160)</f>
        <v/>
      </c>
      <c r="BD2160" s="35" t="str">
        <f aca="false">IF(OR($B2160="",$A2160=""),"",DAY(EOMONTH($A2160,0))-COUNTA($F2160:$AJ2160))</f>
        <v/>
      </c>
    </row>
    <row r="2161" customFormat="false" ht="15" hidden="false" customHeight="false" outlineLevel="0" collapsed="false">
      <c r="A2161" s="32"/>
      <c r="B2161" s="29"/>
      <c r="C2161" s="10" t="str">
        <f aca="false">IF($B2161="","",IFERROR(INDEX(M_name,MATCH($B2161,M_emp,0)),"Code not found"))</f>
        <v/>
      </c>
      <c r="D2161" s="10" t="str">
        <f aca="false">IF($B2161="","",IFERROR(INDEX(M_dept,MATCH($B2161,M_emp,0)),""))</f>
        <v/>
      </c>
      <c r="E2161" s="10" t="str">
        <f aca="false">IF($B2161="","",IFERROR(INDEX(M_loc,MATCH($B2161,M_emp,0)),""))</f>
        <v/>
      </c>
      <c r="F2161" s="33"/>
      <c r="G2161" s="33"/>
      <c r="H2161" s="33"/>
      <c r="I2161" s="33"/>
      <c r="J2161" s="33"/>
      <c r="K2161" s="33"/>
      <c r="L2161" s="33"/>
      <c r="M2161" s="33"/>
      <c r="N2161" s="33"/>
      <c r="O2161" s="33"/>
      <c r="P2161" s="33"/>
      <c r="Q2161" s="33"/>
      <c r="R2161" s="33"/>
      <c r="S2161" s="33"/>
      <c r="T2161" s="33"/>
      <c r="U2161" s="33"/>
      <c r="V2161" s="33"/>
      <c r="W2161" s="33"/>
      <c r="X2161" s="33"/>
      <c r="Y2161" s="33"/>
      <c r="Z2161" s="33"/>
      <c r="AA2161" s="33"/>
      <c r="AB2161" s="33"/>
      <c r="AC2161" s="33"/>
      <c r="AD2161" s="33"/>
      <c r="AE2161" s="33"/>
      <c r="AF2161" s="33"/>
      <c r="AG2161" s="33"/>
      <c r="AH2161" s="33"/>
      <c r="AI2161" s="33"/>
      <c r="AJ2161" s="33"/>
      <c r="AK2161" s="34" t="str">
        <f aca="false">IF($B2161="","",COUNTIF($F2161:$AJ2161,"P"))</f>
        <v/>
      </c>
      <c r="AL2161" s="34" t="str">
        <f aca="false">IF($B2161="","",COUNTIF($F2161:$AJ2161,"A"))</f>
        <v/>
      </c>
      <c r="AM2161" s="34" t="str">
        <f aca="false">IF($B2161="","",COUNTIF($F2161:$AJ2161,"HA"))</f>
        <v/>
      </c>
      <c r="AN2161" s="34" t="str">
        <f aca="false">IF($B2161="","",COUNTIF($F2161:$AJ2161,"L"))</f>
        <v/>
      </c>
      <c r="AO2161" s="34" t="str">
        <f aca="false">IF($B2161="","",COUNTIF($F2161:$AJ2161,"PL"))</f>
        <v/>
      </c>
      <c r="AP2161" s="34" t="str">
        <f aca="false">IF($B2161="","",COUNTIF($F2161:$AJ2161,"CL"))</f>
        <v/>
      </c>
      <c r="AQ2161" s="34" t="str">
        <f aca="false">IF($B2161="","",COUNTIF($F2161:$AJ2161,"SL"))</f>
        <v/>
      </c>
      <c r="AR2161" s="34" t="str">
        <f aca="false">IF($B2161="","",COUNTIF($F2161:$AJ2161,"CO"))</f>
        <v/>
      </c>
      <c r="AS2161" s="34" t="str">
        <f aca="false">IF($B2161="","",COUNTIF($F2161:$AJ2161,"HPL"))</f>
        <v/>
      </c>
      <c r="AT2161" s="34" t="str">
        <f aca="false">IF($B2161="","",COUNTIF($F2161:$AJ2161,"HCL"))</f>
        <v/>
      </c>
      <c r="AU2161" s="34" t="str">
        <f aca="false">IF($B2161="","",COUNTIF($F2161:$AJ2161,"WO"))</f>
        <v/>
      </c>
      <c r="AV2161" s="34" t="str">
        <f aca="false">IF($B2161="","",COUNTIF($F2161:$AJ2161,"PH"))</f>
        <v/>
      </c>
      <c r="AW2161" s="34" t="str">
        <f aca="false">IF($B2161="","",COUNTIF($F2161:$AJ2161,"TR"))</f>
        <v/>
      </c>
      <c r="AX2161" s="35" t="str">
        <f aca="false">IF($B2161="","",AO2161+AS2161/2)</f>
        <v/>
      </c>
      <c r="AY2161" s="35" t="str">
        <f aca="false">IF($B2161="","",AQ2161)</f>
        <v/>
      </c>
      <c r="AZ2161" s="35" t="str">
        <f aca="false">IF($B2161="","",AP2161+AT2161/2)</f>
        <v/>
      </c>
      <c r="BA2161" s="35" t="str">
        <f aca="false">IF($B2161="","",AK2161+AN2161+AM2161/2+AO2161+AP2161+AQ2161+AR2161+AS2161+AT2161+AU2161+AV2161+AW2161)</f>
        <v/>
      </c>
      <c r="BB2161" s="35" t="str">
        <f aca="false">IF($B2161="","",MAX(0,AN2161-Settings!$C$16)*Settings!$C$17)</f>
        <v/>
      </c>
      <c r="BC2161" s="35" t="str">
        <f aca="false">IF($B2161="","",BA2161-BB2161)</f>
        <v/>
      </c>
      <c r="BD2161" s="35" t="str">
        <f aca="false">IF(OR($B2161="",$A2161=""),"",DAY(EOMONTH($A2161,0))-COUNTA($F2161:$AJ2161))</f>
        <v/>
      </c>
    </row>
    <row r="2162" customFormat="false" ht="15" hidden="false" customHeight="false" outlineLevel="0" collapsed="false">
      <c r="A2162" s="32"/>
      <c r="B2162" s="29"/>
      <c r="C2162" s="10" t="str">
        <f aca="false">IF($B2162="","",IFERROR(INDEX(M_name,MATCH($B2162,M_emp,0)),"Code not found"))</f>
        <v/>
      </c>
      <c r="D2162" s="10" t="str">
        <f aca="false">IF($B2162="","",IFERROR(INDEX(M_dept,MATCH($B2162,M_emp,0)),""))</f>
        <v/>
      </c>
      <c r="E2162" s="10" t="str">
        <f aca="false">IF($B2162="","",IFERROR(INDEX(M_loc,MATCH($B2162,M_emp,0)),""))</f>
        <v/>
      </c>
      <c r="F2162" s="33"/>
      <c r="G2162" s="33"/>
      <c r="H2162" s="33"/>
      <c r="I2162" s="33"/>
      <c r="J2162" s="33"/>
      <c r="K2162" s="33"/>
      <c r="L2162" s="33"/>
      <c r="M2162" s="33"/>
      <c r="N2162" s="33"/>
      <c r="O2162" s="33"/>
      <c r="P2162" s="33"/>
      <c r="Q2162" s="33"/>
      <c r="R2162" s="33"/>
      <c r="S2162" s="33"/>
      <c r="T2162" s="33"/>
      <c r="U2162" s="33"/>
      <c r="V2162" s="33"/>
      <c r="W2162" s="33"/>
      <c r="X2162" s="33"/>
      <c r="Y2162" s="33"/>
      <c r="Z2162" s="33"/>
      <c r="AA2162" s="33"/>
      <c r="AB2162" s="33"/>
      <c r="AC2162" s="33"/>
      <c r="AD2162" s="33"/>
      <c r="AE2162" s="33"/>
      <c r="AF2162" s="33"/>
      <c r="AG2162" s="33"/>
      <c r="AH2162" s="33"/>
      <c r="AI2162" s="33"/>
      <c r="AJ2162" s="33"/>
      <c r="AK2162" s="34" t="str">
        <f aca="false">IF($B2162="","",COUNTIF($F2162:$AJ2162,"P"))</f>
        <v/>
      </c>
      <c r="AL2162" s="34" t="str">
        <f aca="false">IF($B2162="","",COUNTIF($F2162:$AJ2162,"A"))</f>
        <v/>
      </c>
      <c r="AM2162" s="34" t="str">
        <f aca="false">IF($B2162="","",COUNTIF($F2162:$AJ2162,"HA"))</f>
        <v/>
      </c>
      <c r="AN2162" s="34" t="str">
        <f aca="false">IF($B2162="","",COUNTIF($F2162:$AJ2162,"L"))</f>
        <v/>
      </c>
      <c r="AO2162" s="34" t="str">
        <f aca="false">IF($B2162="","",COUNTIF($F2162:$AJ2162,"PL"))</f>
        <v/>
      </c>
      <c r="AP2162" s="34" t="str">
        <f aca="false">IF($B2162="","",COUNTIF($F2162:$AJ2162,"CL"))</f>
        <v/>
      </c>
      <c r="AQ2162" s="34" t="str">
        <f aca="false">IF($B2162="","",COUNTIF($F2162:$AJ2162,"SL"))</f>
        <v/>
      </c>
      <c r="AR2162" s="34" t="str">
        <f aca="false">IF($B2162="","",COUNTIF($F2162:$AJ2162,"CO"))</f>
        <v/>
      </c>
      <c r="AS2162" s="34" t="str">
        <f aca="false">IF($B2162="","",COUNTIF($F2162:$AJ2162,"HPL"))</f>
        <v/>
      </c>
      <c r="AT2162" s="34" t="str">
        <f aca="false">IF($B2162="","",COUNTIF($F2162:$AJ2162,"HCL"))</f>
        <v/>
      </c>
      <c r="AU2162" s="34" t="str">
        <f aca="false">IF($B2162="","",COUNTIF($F2162:$AJ2162,"WO"))</f>
        <v/>
      </c>
      <c r="AV2162" s="34" t="str">
        <f aca="false">IF($B2162="","",COUNTIF($F2162:$AJ2162,"PH"))</f>
        <v/>
      </c>
      <c r="AW2162" s="34" t="str">
        <f aca="false">IF($B2162="","",COUNTIF($F2162:$AJ2162,"TR"))</f>
        <v/>
      </c>
      <c r="AX2162" s="35" t="str">
        <f aca="false">IF($B2162="","",AO2162+AS2162/2)</f>
        <v/>
      </c>
      <c r="AY2162" s="35" t="str">
        <f aca="false">IF($B2162="","",AQ2162)</f>
        <v/>
      </c>
      <c r="AZ2162" s="35" t="str">
        <f aca="false">IF($B2162="","",AP2162+AT2162/2)</f>
        <v/>
      </c>
      <c r="BA2162" s="35" t="str">
        <f aca="false">IF($B2162="","",AK2162+AN2162+AM2162/2+AO2162+AP2162+AQ2162+AR2162+AS2162+AT2162+AU2162+AV2162+AW2162)</f>
        <v/>
      </c>
      <c r="BB2162" s="35" t="str">
        <f aca="false">IF($B2162="","",MAX(0,AN2162-Settings!$C$16)*Settings!$C$17)</f>
        <v/>
      </c>
      <c r="BC2162" s="35" t="str">
        <f aca="false">IF($B2162="","",BA2162-BB2162)</f>
        <v/>
      </c>
      <c r="BD2162" s="35" t="str">
        <f aca="false">IF(OR($B2162="",$A2162=""),"",DAY(EOMONTH($A2162,0))-COUNTA($F2162:$AJ2162))</f>
        <v/>
      </c>
    </row>
    <row r="2163" customFormat="false" ht="15" hidden="false" customHeight="false" outlineLevel="0" collapsed="false">
      <c r="A2163" s="32"/>
      <c r="B2163" s="29"/>
      <c r="C2163" s="10" t="str">
        <f aca="false">IF($B2163="","",IFERROR(INDEX(M_name,MATCH($B2163,M_emp,0)),"Code not found"))</f>
        <v/>
      </c>
      <c r="D2163" s="10" t="str">
        <f aca="false">IF($B2163="","",IFERROR(INDEX(M_dept,MATCH($B2163,M_emp,0)),""))</f>
        <v/>
      </c>
      <c r="E2163" s="10" t="str">
        <f aca="false">IF($B2163="","",IFERROR(INDEX(M_loc,MATCH($B2163,M_emp,0)),""))</f>
        <v/>
      </c>
      <c r="F2163" s="33"/>
      <c r="G2163" s="33"/>
      <c r="H2163" s="33"/>
      <c r="I2163" s="33"/>
      <c r="J2163" s="33"/>
      <c r="K2163" s="33"/>
      <c r="L2163" s="33"/>
      <c r="M2163" s="33"/>
      <c r="N2163" s="33"/>
      <c r="O2163" s="33"/>
      <c r="P2163" s="33"/>
      <c r="Q2163" s="33"/>
      <c r="R2163" s="33"/>
      <c r="S2163" s="33"/>
      <c r="T2163" s="33"/>
      <c r="U2163" s="33"/>
      <c r="V2163" s="33"/>
      <c r="W2163" s="33"/>
      <c r="X2163" s="33"/>
      <c r="Y2163" s="33"/>
      <c r="Z2163" s="33"/>
      <c r="AA2163" s="33"/>
      <c r="AB2163" s="33"/>
      <c r="AC2163" s="33"/>
      <c r="AD2163" s="33"/>
      <c r="AE2163" s="33"/>
      <c r="AF2163" s="33"/>
      <c r="AG2163" s="33"/>
      <c r="AH2163" s="33"/>
      <c r="AI2163" s="33"/>
      <c r="AJ2163" s="33"/>
      <c r="AK2163" s="34" t="str">
        <f aca="false">IF($B2163="","",COUNTIF($F2163:$AJ2163,"P"))</f>
        <v/>
      </c>
      <c r="AL2163" s="34" t="str">
        <f aca="false">IF($B2163="","",COUNTIF($F2163:$AJ2163,"A"))</f>
        <v/>
      </c>
      <c r="AM2163" s="34" t="str">
        <f aca="false">IF($B2163="","",COUNTIF($F2163:$AJ2163,"HA"))</f>
        <v/>
      </c>
      <c r="AN2163" s="34" t="str">
        <f aca="false">IF($B2163="","",COUNTIF($F2163:$AJ2163,"L"))</f>
        <v/>
      </c>
      <c r="AO2163" s="34" t="str">
        <f aca="false">IF($B2163="","",COUNTIF($F2163:$AJ2163,"PL"))</f>
        <v/>
      </c>
      <c r="AP2163" s="34" t="str">
        <f aca="false">IF($B2163="","",COUNTIF($F2163:$AJ2163,"CL"))</f>
        <v/>
      </c>
      <c r="AQ2163" s="34" t="str">
        <f aca="false">IF($B2163="","",COUNTIF($F2163:$AJ2163,"SL"))</f>
        <v/>
      </c>
      <c r="AR2163" s="34" t="str">
        <f aca="false">IF($B2163="","",COUNTIF($F2163:$AJ2163,"CO"))</f>
        <v/>
      </c>
      <c r="AS2163" s="34" t="str">
        <f aca="false">IF($B2163="","",COUNTIF($F2163:$AJ2163,"HPL"))</f>
        <v/>
      </c>
      <c r="AT2163" s="34" t="str">
        <f aca="false">IF($B2163="","",COUNTIF($F2163:$AJ2163,"HCL"))</f>
        <v/>
      </c>
      <c r="AU2163" s="34" t="str">
        <f aca="false">IF($B2163="","",COUNTIF($F2163:$AJ2163,"WO"))</f>
        <v/>
      </c>
      <c r="AV2163" s="34" t="str">
        <f aca="false">IF($B2163="","",COUNTIF($F2163:$AJ2163,"PH"))</f>
        <v/>
      </c>
      <c r="AW2163" s="34" t="str">
        <f aca="false">IF($B2163="","",COUNTIF($F2163:$AJ2163,"TR"))</f>
        <v/>
      </c>
      <c r="AX2163" s="35" t="str">
        <f aca="false">IF($B2163="","",AO2163+AS2163/2)</f>
        <v/>
      </c>
      <c r="AY2163" s="35" t="str">
        <f aca="false">IF($B2163="","",AQ2163)</f>
        <v/>
      </c>
      <c r="AZ2163" s="35" t="str">
        <f aca="false">IF($B2163="","",AP2163+AT2163/2)</f>
        <v/>
      </c>
      <c r="BA2163" s="35" t="str">
        <f aca="false">IF($B2163="","",AK2163+AN2163+AM2163/2+AO2163+AP2163+AQ2163+AR2163+AS2163+AT2163+AU2163+AV2163+AW2163)</f>
        <v/>
      </c>
      <c r="BB2163" s="35" t="str">
        <f aca="false">IF($B2163="","",MAX(0,AN2163-Settings!$C$16)*Settings!$C$17)</f>
        <v/>
      </c>
      <c r="BC2163" s="35" t="str">
        <f aca="false">IF($B2163="","",BA2163-BB2163)</f>
        <v/>
      </c>
      <c r="BD2163" s="35" t="str">
        <f aca="false">IF(OR($B2163="",$A2163=""),"",DAY(EOMONTH($A2163,0))-COUNTA($F2163:$AJ2163))</f>
        <v/>
      </c>
    </row>
    <row r="2164" customFormat="false" ht="15" hidden="false" customHeight="false" outlineLevel="0" collapsed="false">
      <c r="A2164" s="32"/>
      <c r="B2164" s="29"/>
      <c r="C2164" s="10" t="str">
        <f aca="false">IF($B2164="","",IFERROR(INDEX(M_name,MATCH($B2164,M_emp,0)),"Code not found"))</f>
        <v/>
      </c>
      <c r="D2164" s="10" t="str">
        <f aca="false">IF($B2164="","",IFERROR(INDEX(M_dept,MATCH($B2164,M_emp,0)),""))</f>
        <v/>
      </c>
      <c r="E2164" s="10" t="str">
        <f aca="false">IF($B2164="","",IFERROR(INDEX(M_loc,MATCH($B2164,M_emp,0)),""))</f>
        <v/>
      </c>
      <c r="F2164" s="33"/>
      <c r="G2164" s="33"/>
      <c r="H2164" s="33"/>
      <c r="I2164" s="33"/>
      <c r="J2164" s="33"/>
      <c r="K2164" s="33"/>
      <c r="L2164" s="33"/>
      <c r="M2164" s="33"/>
      <c r="N2164" s="33"/>
      <c r="O2164" s="33"/>
      <c r="P2164" s="33"/>
      <c r="Q2164" s="33"/>
      <c r="R2164" s="33"/>
      <c r="S2164" s="33"/>
      <c r="T2164" s="33"/>
      <c r="U2164" s="33"/>
      <c r="V2164" s="33"/>
      <c r="W2164" s="33"/>
      <c r="X2164" s="33"/>
      <c r="Y2164" s="33"/>
      <c r="Z2164" s="33"/>
      <c r="AA2164" s="33"/>
      <c r="AB2164" s="33"/>
      <c r="AC2164" s="33"/>
      <c r="AD2164" s="33"/>
      <c r="AE2164" s="33"/>
      <c r="AF2164" s="33"/>
      <c r="AG2164" s="33"/>
      <c r="AH2164" s="33"/>
      <c r="AI2164" s="33"/>
      <c r="AJ2164" s="33"/>
      <c r="AK2164" s="34" t="str">
        <f aca="false">IF($B2164="","",COUNTIF($F2164:$AJ2164,"P"))</f>
        <v/>
      </c>
      <c r="AL2164" s="34" t="str">
        <f aca="false">IF($B2164="","",COUNTIF($F2164:$AJ2164,"A"))</f>
        <v/>
      </c>
      <c r="AM2164" s="34" t="str">
        <f aca="false">IF($B2164="","",COUNTIF($F2164:$AJ2164,"HA"))</f>
        <v/>
      </c>
      <c r="AN2164" s="34" t="str">
        <f aca="false">IF($B2164="","",COUNTIF($F2164:$AJ2164,"L"))</f>
        <v/>
      </c>
      <c r="AO2164" s="34" t="str">
        <f aca="false">IF($B2164="","",COUNTIF($F2164:$AJ2164,"PL"))</f>
        <v/>
      </c>
      <c r="AP2164" s="34" t="str">
        <f aca="false">IF($B2164="","",COUNTIF($F2164:$AJ2164,"CL"))</f>
        <v/>
      </c>
      <c r="AQ2164" s="34" t="str">
        <f aca="false">IF($B2164="","",COUNTIF($F2164:$AJ2164,"SL"))</f>
        <v/>
      </c>
      <c r="AR2164" s="34" t="str">
        <f aca="false">IF($B2164="","",COUNTIF($F2164:$AJ2164,"CO"))</f>
        <v/>
      </c>
      <c r="AS2164" s="34" t="str">
        <f aca="false">IF($B2164="","",COUNTIF($F2164:$AJ2164,"HPL"))</f>
        <v/>
      </c>
      <c r="AT2164" s="34" t="str">
        <f aca="false">IF($B2164="","",COUNTIF($F2164:$AJ2164,"HCL"))</f>
        <v/>
      </c>
      <c r="AU2164" s="34" t="str">
        <f aca="false">IF($B2164="","",COUNTIF($F2164:$AJ2164,"WO"))</f>
        <v/>
      </c>
      <c r="AV2164" s="34" t="str">
        <f aca="false">IF($B2164="","",COUNTIF($F2164:$AJ2164,"PH"))</f>
        <v/>
      </c>
      <c r="AW2164" s="34" t="str">
        <f aca="false">IF($B2164="","",COUNTIF($F2164:$AJ2164,"TR"))</f>
        <v/>
      </c>
      <c r="AX2164" s="35" t="str">
        <f aca="false">IF($B2164="","",AO2164+AS2164/2)</f>
        <v/>
      </c>
      <c r="AY2164" s="35" t="str">
        <f aca="false">IF($B2164="","",AQ2164)</f>
        <v/>
      </c>
      <c r="AZ2164" s="35" t="str">
        <f aca="false">IF($B2164="","",AP2164+AT2164/2)</f>
        <v/>
      </c>
      <c r="BA2164" s="35" t="str">
        <f aca="false">IF($B2164="","",AK2164+AN2164+AM2164/2+AO2164+AP2164+AQ2164+AR2164+AS2164+AT2164+AU2164+AV2164+AW2164)</f>
        <v/>
      </c>
      <c r="BB2164" s="35" t="str">
        <f aca="false">IF($B2164="","",MAX(0,AN2164-Settings!$C$16)*Settings!$C$17)</f>
        <v/>
      </c>
      <c r="BC2164" s="35" t="str">
        <f aca="false">IF($B2164="","",BA2164-BB2164)</f>
        <v/>
      </c>
      <c r="BD2164" s="35" t="str">
        <f aca="false">IF(OR($B2164="",$A2164=""),"",DAY(EOMONTH($A2164,0))-COUNTA($F2164:$AJ2164))</f>
        <v/>
      </c>
    </row>
    <row r="2165" customFormat="false" ht="15" hidden="false" customHeight="false" outlineLevel="0" collapsed="false">
      <c r="A2165" s="32"/>
      <c r="B2165" s="29"/>
      <c r="C2165" s="10" t="str">
        <f aca="false">IF($B2165="","",IFERROR(INDEX(M_name,MATCH($B2165,M_emp,0)),"Code not found"))</f>
        <v/>
      </c>
      <c r="D2165" s="10" t="str">
        <f aca="false">IF($B2165="","",IFERROR(INDEX(M_dept,MATCH($B2165,M_emp,0)),""))</f>
        <v/>
      </c>
      <c r="E2165" s="10" t="str">
        <f aca="false">IF($B2165="","",IFERROR(INDEX(M_loc,MATCH($B2165,M_emp,0)),""))</f>
        <v/>
      </c>
      <c r="F2165" s="33"/>
      <c r="G2165" s="33"/>
      <c r="H2165" s="33"/>
      <c r="I2165" s="33"/>
      <c r="J2165" s="33"/>
      <c r="K2165" s="33"/>
      <c r="L2165" s="33"/>
      <c r="M2165" s="33"/>
      <c r="N2165" s="33"/>
      <c r="O2165" s="33"/>
      <c r="P2165" s="33"/>
      <c r="Q2165" s="33"/>
      <c r="R2165" s="33"/>
      <c r="S2165" s="33"/>
      <c r="T2165" s="33"/>
      <c r="U2165" s="33"/>
      <c r="V2165" s="33"/>
      <c r="W2165" s="33"/>
      <c r="X2165" s="33"/>
      <c r="Y2165" s="33"/>
      <c r="Z2165" s="33"/>
      <c r="AA2165" s="33"/>
      <c r="AB2165" s="33"/>
      <c r="AC2165" s="33"/>
      <c r="AD2165" s="33"/>
      <c r="AE2165" s="33"/>
      <c r="AF2165" s="33"/>
      <c r="AG2165" s="33"/>
      <c r="AH2165" s="33"/>
      <c r="AI2165" s="33"/>
      <c r="AJ2165" s="33"/>
      <c r="AK2165" s="34" t="str">
        <f aca="false">IF($B2165="","",COUNTIF($F2165:$AJ2165,"P"))</f>
        <v/>
      </c>
      <c r="AL2165" s="34" t="str">
        <f aca="false">IF($B2165="","",COUNTIF($F2165:$AJ2165,"A"))</f>
        <v/>
      </c>
      <c r="AM2165" s="34" t="str">
        <f aca="false">IF($B2165="","",COUNTIF($F2165:$AJ2165,"HA"))</f>
        <v/>
      </c>
      <c r="AN2165" s="34" t="str">
        <f aca="false">IF($B2165="","",COUNTIF($F2165:$AJ2165,"L"))</f>
        <v/>
      </c>
      <c r="AO2165" s="34" t="str">
        <f aca="false">IF($B2165="","",COUNTIF($F2165:$AJ2165,"PL"))</f>
        <v/>
      </c>
      <c r="AP2165" s="34" t="str">
        <f aca="false">IF($B2165="","",COUNTIF($F2165:$AJ2165,"CL"))</f>
        <v/>
      </c>
      <c r="AQ2165" s="34" t="str">
        <f aca="false">IF($B2165="","",COUNTIF($F2165:$AJ2165,"SL"))</f>
        <v/>
      </c>
      <c r="AR2165" s="34" t="str">
        <f aca="false">IF($B2165="","",COUNTIF($F2165:$AJ2165,"CO"))</f>
        <v/>
      </c>
      <c r="AS2165" s="34" t="str">
        <f aca="false">IF($B2165="","",COUNTIF($F2165:$AJ2165,"HPL"))</f>
        <v/>
      </c>
      <c r="AT2165" s="34" t="str">
        <f aca="false">IF($B2165="","",COUNTIF($F2165:$AJ2165,"HCL"))</f>
        <v/>
      </c>
      <c r="AU2165" s="34" t="str">
        <f aca="false">IF($B2165="","",COUNTIF($F2165:$AJ2165,"WO"))</f>
        <v/>
      </c>
      <c r="AV2165" s="34" t="str">
        <f aca="false">IF($B2165="","",COUNTIF($F2165:$AJ2165,"PH"))</f>
        <v/>
      </c>
      <c r="AW2165" s="34" t="str">
        <f aca="false">IF($B2165="","",COUNTIF($F2165:$AJ2165,"TR"))</f>
        <v/>
      </c>
      <c r="AX2165" s="35" t="str">
        <f aca="false">IF($B2165="","",AO2165+AS2165/2)</f>
        <v/>
      </c>
      <c r="AY2165" s="35" t="str">
        <f aca="false">IF($B2165="","",AQ2165)</f>
        <v/>
      </c>
      <c r="AZ2165" s="35" t="str">
        <f aca="false">IF($B2165="","",AP2165+AT2165/2)</f>
        <v/>
      </c>
      <c r="BA2165" s="35" t="str">
        <f aca="false">IF($B2165="","",AK2165+AN2165+AM2165/2+AO2165+AP2165+AQ2165+AR2165+AS2165+AT2165+AU2165+AV2165+AW2165)</f>
        <v/>
      </c>
      <c r="BB2165" s="35" t="str">
        <f aca="false">IF($B2165="","",MAX(0,AN2165-Settings!$C$16)*Settings!$C$17)</f>
        <v/>
      </c>
      <c r="BC2165" s="35" t="str">
        <f aca="false">IF($B2165="","",BA2165-BB2165)</f>
        <v/>
      </c>
      <c r="BD2165" s="35" t="str">
        <f aca="false">IF(OR($B2165="",$A2165=""),"",DAY(EOMONTH($A2165,0))-COUNTA($F2165:$AJ2165))</f>
        <v/>
      </c>
    </row>
    <row r="2166" customFormat="false" ht="15" hidden="false" customHeight="false" outlineLevel="0" collapsed="false">
      <c r="A2166" s="32"/>
      <c r="B2166" s="29"/>
      <c r="C2166" s="10" t="str">
        <f aca="false">IF($B2166="","",IFERROR(INDEX(M_name,MATCH($B2166,M_emp,0)),"Code not found"))</f>
        <v/>
      </c>
      <c r="D2166" s="10" t="str">
        <f aca="false">IF($B2166="","",IFERROR(INDEX(M_dept,MATCH($B2166,M_emp,0)),""))</f>
        <v/>
      </c>
      <c r="E2166" s="10" t="str">
        <f aca="false">IF($B2166="","",IFERROR(INDEX(M_loc,MATCH($B2166,M_emp,0)),""))</f>
        <v/>
      </c>
      <c r="F2166" s="33"/>
      <c r="G2166" s="33"/>
      <c r="H2166" s="33"/>
      <c r="I2166" s="33"/>
      <c r="J2166" s="33"/>
      <c r="K2166" s="33"/>
      <c r="L2166" s="33"/>
      <c r="M2166" s="33"/>
      <c r="N2166" s="33"/>
      <c r="O2166" s="33"/>
      <c r="P2166" s="33"/>
      <c r="Q2166" s="33"/>
      <c r="R2166" s="33"/>
      <c r="S2166" s="33"/>
      <c r="T2166" s="33"/>
      <c r="U2166" s="33"/>
      <c r="V2166" s="33"/>
      <c r="W2166" s="33"/>
      <c r="X2166" s="33"/>
      <c r="Y2166" s="33"/>
      <c r="Z2166" s="33"/>
      <c r="AA2166" s="33"/>
      <c r="AB2166" s="33"/>
      <c r="AC2166" s="33"/>
      <c r="AD2166" s="33"/>
      <c r="AE2166" s="33"/>
      <c r="AF2166" s="33"/>
      <c r="AG2166" s="33"/>
      <c r="AH2166" s="33"/>
      <c r="AI2166" s="33"/>
      <c r="AJ2166" s="33"/>
      <c r="AK2166" s="34" t="str">
        <f aca="false">IF($B2166="","",COUNTIF($F2166:$AJ2166,"P"))</f>
        <v/>
      </c>
      <c r="AL2166" s="34" t="str">
        <f aca="false">IF($B2166="","",COUNTIF($F2166:$AJ2166,"A"))</f>
        <v/>
      </c>
      <c r="AM2166" s="34" t="str">
        <f aca="false">IF($B2166="","",COUNTIF($F2166:$AJ2166,"HA"))</f>
        <v/>
      </c>
      <c r="AN2166" s="34" t="str">
        <f aca="false">IF($B2166="","",COUNTIF($F2166:$AJ2166,"L"))</f>
        <v/>
      </c>
      <c r="AO2166" s="34" t="str">
        <f aca="false">IF($B2166="","",COUNTIF($F2166:$AJ2166,"PL"))</f>
        <v/>
      </c>
      <c r="AP2166" s="34" t="str">
        <f aca="false">IF($B2166="","",COUNTIF($F2166:$AJ2166,"CL"))</f>
        <v/>
      </c>
      <c r="AQ2166" s="34" t="str">
        <f aca="false">IF($B2166="","",COUNTIF($F2166:$AJ2166,"SL"))</f>
        <v/>
      </c>
      <c r="AR2166" s="34" t="str">
        <f aca="false">IF($B2166="","",COUNTIF($F2166:$AJ2166,"CO"))</f>
        <v/>
      </c>
      <c r="AS2166" s="34" t="str">
        <f aca="false">IF($B2166="","",COUNTIF($F2166:$AJ2166,"HPL"))</f>
        <v/>
      </c>
      <c r="AT2166" s="34" t="str">
        <f aca="false">IF($B2166="","",COUNTIF($F2166:$AJ2166,"HCL"))</f>
        <v/>
      </c>
      <c r="AU2166" s="34" t="str">
        <f aca="false">IF($B2166="","",COUNTIF($F2166:$AJ2166,"WO"))</f>
        <v/>
      </c>
      <c r="AV2166" s="34" t="str">
        <f aca="false">IF($B2166="","",COUNTIF($F2166:$AJ2166,"PH"))</f>
        <v/>
      </c>
      <c r="AW2166" s="34" t="str">
        <f aca="false">IF($B2166="","",COUNTIF($F2166:$AJ2166,"TR"))</f>
        <v/>
      </c>
      <c r="AX2166" s="35" t="str">
        <f aca="false">IF($B2166="","",AO2166+AS2166/2)</f>
        <v/>
      </c>
      <c r="AY2166" s="35" t="str">
        <f aca="false">IF($B2166="","",AQ2166)</f>
        <v/>
      </c>
      <c r="AZ2166" s="35" t="str">
        <f aca="false">IF($B2166="","",AP2166+AT2166/2)</f>
        <v/>
      </c>
      <c r="BA2166" s="35" t="str">
        <f aca="false">IF($B2166="","",AK2166+AN2166+AM2166/2+AO2166+AP2166+AQ2166+AR2166+AS2166+AT2166+AU2166+AV2166+AW2166)</f>
        <v/>
      </c>
      <c r="BB2166" s="35" t="str">
        <f aca="false">IF($B2166="","",MAX(0,AN2166-Settings!$C$16)*Settings!$C$17)</f>
        <v/>
      </c>
      <c r="BC2166" s="35" t="str">
        <f aca="false">IF($B2166="","",BA2166-BB2166)</f>
        <v/>
      </c>
      <c r="BD2166" s="35" t="str">
        <f aca="false">IF(OR($B2166="",$A2166=""),"",DAY(EOMONTH($A2166,0))-COUNTA($F2166:$AJ2166))</f>
        <v/>
      </c>
    </row>
    <row r="2167" customFormat="false" ht="15" hidden="false" customHeight="false" outlineLevel="0" collapsed="false">
      <c r="A2167" s="32"/>
      <c r="B2167" s="29"/>
      <c r="C2167" s="10" t="str">
        <f aca="false">IF($B2167="","",IFERROR(INDEX(M_name,MATCH($B2167,M_emp,0)),"Code not found"))</f>
        <v/>
      </c>
      <c r="D2167" s="10" t="str">
        <f aca="false">IF($B2167="","",IFERROR(INDEX(M_dept,MATCH($B2167,M_emp,0)),""))</f>
        <v/>
      </c>
      <c r="E2167" s="10" t="str">
        <f aca="false">IF($B2167="","",IFERROR(INDEX(M_loc,MATCH($B2167,M_emp,0)),""))</f>
        <v/>
      </c>
      <c r="F2167" s="33"/>
      <c r="G2167" s="33"/>
      <c r="H2167" s="33"/>
      <c r="I2167" s="33"/>
      <c r="J2167" s="33"/>
      <c r="K2167" s="33"/>
      <c r="L2167" s="33"/>
      <c r="M2167" s="33"/>
      <c r="N2167" s="33"/>
      <c r="O2167" s="33"/>
      <c r="P2167" s="33"/>
      <c r="Q2167" s="33"/>
      <c r="R2167" s="33"/>
      <c r="S2167" s="33"/>
      <c r="T2167" s="33"/>
      <c r="U2167" s="33"/>
      <c r="V2167" s="33"/>
      <c r="W2167" s="33"/>
      <c r="X2167" s="33"/>
      <c r="Y2167" s="33"/>
      <c r="Z2167" s="33"/>
      <c r="AA2167" s="33"/>
      <c r="AB2167" s="33"/>
      <c r="AC2167" s="33"/>
      <c r="AD2167" s="33"/>
      <c r="AE2167" s="33"/>
      <c r="AF2167" s="33"/>
      <c r="AG2167" s="33"/>
      <c r="AH2167" s="33"/>
      <c r="AI2167" s="33"/>
      <c r="AJ2167" s="33"/>
      <c r="AK2167" s="34" t="str">
        <f aca="false">IF($B2167="","",COUNTIF($F2167:$AJ2167,"P"))</f>
        <v/>
      </c>
      <c r="AL2167" s="34" t="str">
        <f aca="false">IF($B2167="","",COUNTIF($F2167:$AJ2167,"A"))</f>
        <v/>
      </c>
      <c r="AM2167" s="34" t="str">
        <f aca="false">IF($B2167="","",COUNTIF($F2167:$AJ2167,"HA"))</f>
        <v/>
      </c>
      <c r="AN2167" s="34" t="str">
        <f aca="false">IF($B2167="","",COUNTIF($F2167:$AJ2167,"L"))</f>
        <v/>
      </c>
      <c r="AO2167" s="34" t="str">
        <f aca="false">IF($B2167="","",COUNTIF($F2167:$AJ2167,"PL"))</f>
        <v/>
      </c>
      <c r="AP2167" s="34" t="str">
        <f aca="false">IF($B2167="","",COUNTIF($F2167:$AJ2167,"CL"))</f>
        <v/>
      </c>
      <c r="AQ2167" s="34" t="str">
        <f aca="false">IF($B2167="","",COUNTIF($F2167:$AJ2167,"SL"))</f>
        <v/>
      </c>
      <c r="AR2167" s="34" t="str">
        <f aca="false">IF($B2167="","",COUNTIF($F2167:$AJ2167,"CO"))</f>
        <v/>
      </c>
      <c r="AS2167" s="34" t="str">
        <f aca="false">IF($B2167="","",COUNTIF($F2167:$AJ2167,"HPL"))</f>
        <v/>
      </c>
      <c r="AT2167" s="34" t="str">
        <f aca="false">IF($B2167="","",COUNTIF($F2167:$AJ2167,"HCL"))</f>
        <v/>
      </c>
      <c r="AU2167" s="34" t="str">
        <f aca="false">IF($B2167="","",COUNTIF($F2167:$AJ2167,"WO"))</f>
        <v/>
      </c>
      <c r="AV2167" s="34" t="str">
        <f aca="false">IF($B2167="","",COUNTIF($F2167:$AJ2167,"PH"))</f>
        <v/>
      </c>
      <c r="AW2167" s="34" t="str">
        <f aca="false">IF($B2167="","",COUNTIF($F2167:$AJ2167,"TR"))</f>
        <v/>
      </c>
      <c r="AX2167" s="35" t="str">
        <f aca="false">IF($B2167="","",AO2167+AS2167/2)</f>
        <v/>
      </c>
      <c r="AY2167" s="35" t="str">
        <f aca="false">IF($B2167="","",AQ2167)</f>
        <v/>
      </c>
      <c r="AZ2167" s="35" t="str">
        <f aca="false">IF($B2167="","",AP2167+AT2167/2)</f>
        <v/>
      </c>
      <c r="BA2167" s="35" t="str">
        <f aca="false">IF($B2167="","",AK2167+AN2167+AM2167/2+AO2167+AP2167+AQ2167+AR2167+AS2167+AT2167+AU2167+AV2167+AW2167)</f>
        <v/>
      </c>
      <c r="BB2167" s="35" t="str">
        <f aca="false">IF($B2167="","",MAX(0,AN2167-Settings!$C$16)*Settings!$C$17)</f>
        <v/>
      </c>
      <c r="BC2167" s="35" t="str">
        <f aca="false">IF($B2167="","",BA2167-BB2167)</f>
        <v/>
      </c>
      <c r="BD2167" s="35" t="str">
        <f aca="false">IF(OR($B2167="",$A2167=""),"",DAY(EOMONTH($A2167,0))-COUNTA($F2167:$AJ2167))</f>
        <v/>
      </c>
    </row>
    <row r="2168" customFormat="false" ht="15" hidden="false" customHeight="false" outlineLevel="0" collapsed="false">
      <c r="A2168" s="32"/>
      <c r="B2168" s="29"/>
      <c r="C2168" s="10" t="str">
        <f aca="false">IF($B2168="","",IFERROR(INDEX(M_name,MATCH($B2168,M_emp,0)),"Code not found"))</f>
        <v/>
      </c>
      <c r="D2168" s="10" t="str">
        <f aca="false">IF($B2168="","",IFERROR(INDEX(M_dept,MATCH($B2168,M_emp,0)),""))</f>
        <v/>
      </c>
      <c r="E2168" s="10" t="str">
        <f aca="false">IF($B2168="","",IFERROR(INDEX(M_loc,MATCH($B2168,M_emp,0)),""))</f>
        <v/>
      </c>
      <c r="F2168" s="33"/>
      <c r="G2168" s="33"/>
      <c r="H2168" s="33"/>
      <c r="I2168" s="33"/>
      <c r="J2168" s="33"/>
      <c r="K2168" s="33"/>
      <c r="L2168" s="33"/>
      <c r="M2168" s="33"/>
      <c r="N2168" s="33"/>
      <c r="O2168" s="33"/>
      <c r="P2168" s="33"/>
      <c r="Q2168" s="33"/>
      <c r="R2168" s="33"/>
      <c r="S2168" s="33"/>
      <c r="T2168" s="33"/>
      <c r="U2168" s="33"/>
      <c r="V2168" s="33"/>
      <c r="W2168" s="33"/>
      <c r="X2168" s="33"/>
      <c r="Y2168" s="33"/>
      <c r="Z2168" s="33"/>
      <c r="AA2168" s="33"/>
      <c r="AB2168" s="33"/>
      <c r="AC2168" s="33"/>
      <c r="AD2168" s="33"/>
      <c r="AE2168" s="33"/>
      <c r="AF2168" s="33"/>
      <c r="AG2168" s="33"/>
      <c r="AH2168" s="33"/>
      <c r="AI2168" s="33"/>
      <c r="AJ2168" s="33"/>
      <c r="AK2168" s="34" t="str">
        <f aca="false">IF($B2168="","",COUNTIF($F2168:$AJ2168,"P"))</f>
        <v/>
      </c>
      <c r="AL2168" s="34" t="str">
        <f aca="false">IF($B2168="","",COUNTIF($F2168:$AJ2168,"A"))</f>
        <v/>
      </c>
      <c r="AM2168" s="34" t="str">
        <f aca="false">IF($B2168="","",COUNTIF($F2168:$AJ2168,"HA"))</f>
        <v/>
      </c>
      <c r="AN2168" s="34" t="str">
        <f aca="false">IF($B2168="","",COUNTIF($F2168:$AJ2168,"L"))</f>
        <v/>
      </c>
      <c r="AO2168" s="34" t="str">
        <f aca="false">IF($B2168="","",COUNTIF($F2168:$AJ2168,"PL"))</f>
        <v/>
      </c>
      <c r="AP2168" s="34" t="str">
        <f aca="false">IF($B2168="","",COUNTIF($F2168:$AJ2168,"CL"))</f>
        <v/>
      </c>
      <c r="AQ2168" s="34" t="str">
        <f aca="false">IF($B2168="","",COUNTIF($F2168:$AJ2168,"SL"))</f>
        <v/>
      </c>
      <c r="AR2168" s="34" t="str">
        <f aca="false">IF($B2168="","",COUNTIF($F2168:$AJ2168,"CO"))</f>
        <v/>
      </c>
      <c r="AS2168" s="34" t="str">
        <f aca="false">IF($B2168="","",COUNTIF($F2168:$AJ2168,"HPL"))</f>
        <v/>
      </c>
      <c r="AT2168" s="34" t="str">
        <f aca="false">IF($B2168="","",COUNTIF($F2168:$AJ2168,"HCL"))</f>
        <v/>
      </c>
      <c r="AU2168" s="34" t="str">
        <f aca="false">IF($B2168="","",COUNTIF($F2168:$AJ2168,"WO"))</f>
        <v/>
      </c>
      <c r="AV2168" s="34" t="str">
        <f aca="false">IF($B2168="","",COUNTIF($F2168:$AJ2168,"PH"))</f>
        <v/>
      </c>
      <c r="AW2168" s="34" t="str">
        <f aca="false">IF($B2168="","",COUNTIF($F2168:$AJ2168,"TR"))</f>
        <v/>
      </c>
      <c r="AX2168" s="35" t="str">
        <f aca="false">IF($B2168="","",AO2168+AS2168/2)</f>
        <v/>
      </c>
      <c r="AY2168" s="35" t="str">
        <f aca="false">IF($B2168="","",AQ2168)</f>
        <v/>
      </c>
      <c r="AZ2168" s="35" t="str">
        <f aca="false">IF($B2168="","",AP2168+AT2168/2)</f>
        <v/>
      </c>
      <c r="BA2168" s="35" t="str">
        <f aca="false">IF($B2168="","",AK2168+AN2168+AM2168/2+AO2168+AP2168+AQ2168+AR2168+AS2168+AT2168+AU2168+AV2168+AW2168)</f>
        <v/>
      </c>
      <c r="BB2168" s="35" t="str">
        <f aca="false">IF($B2168="","",MAX(0,AN2168-Settings!$C$16)*Settings!$C$17)</f>
        <v/>
      </c>
      <c r="BC2168" s="35" t="str">
        <f aca="false">IF($B2168="","",BA2168-BB2168)</f>
        <v/>
      </c>
      <c r="BD2168" s="35" t="str">
        <f aca="false">IF(OR($B2168="",$A2168=""),"",DAY(EOMONTH($A2168,0))-COUNTA($F2168:$AJ2168))</f>
        <v/>
      </c>
    </row>
    <row r="2169" customFormat="false" ht="15" hidden="false" customHeight="false" outlineLevel="0" collapsed="false">
      <c r="A2169" s="32"/>
      <c r="B2169" s="29"/>
      <c r="C2169" s="10" t="str">
        <f aca="false">IF($B2169="","",IFERROR(INDEX(M_name,MATCH($B2169,M_emp,0)),"Code not found"))</f>
        <v/>
      </c>
      <c r="D2169" s="10" t="str">
        <f aca="false">IF($B2169="","",IFERROR(INDEX(M_dept,MATCH($B2169,M_emp,0)),""))</f>
        <v/>
      </c>
      <c r="E2169" s="10" t="str">
        <f aca="false">IF($B2169="","",IFERROR(INDEX(M_loc,MATCH($B2169,M_emp,0)),""))</f>
        <v/>
      </c>
      <c r="F2169" s="33"/>
      <c r="G2169" s="33"/>
      <c r="H2169" s="33"/>
      <c r="I2169" s="33"/>
      <c r="J2169" s="33"/>
      <c r="K2169" s="33"/>
      <c r="L2169" s="33"/>
      <c r="M2169" s="33"/>
      <c r="N2169" s="33"/>
      <c r="O2169" s="33"/>
      <c r="P2169" s="33"/>
      <c r="Q2169" s="33"/>
      <c r="R2169" s="33"/>
      <c r="S2169" s="33"/>
      <c r="T2169" s="33"/>
      <c r="U2169" s="33"/>
      <c r="V2169" s="33"/>
      <c r="W2169" s="33"/>
      <c r="X2169" s="33"/>
      <c r="Y2169" s="33"/>
      <c r="Z2169" s="33"/>
      <c r="AA2169" s="33"/>
      <c r="AB2169" s="33"/>
      <c r="AC2169" s="33"/>
      <c r="AD2169" s="33"/>
      <c r="AE2169" s="33"/>
      <c r="AF2169" s="33"/>
      <c r="AG2169" s="33"/>
      <c r="AH2169" s="33"/>
      <c r="AI2169" s="33"/>
      <c r="AJ2169" s="33"/>
      <c r="AK2169" s="34" t="str">
        <f aca="false">IF($B2169="","",COUNTIF($F2169:$AJ2169,"P"))</f>
        <v/>
      </c>
      <c r="AL2169" s="34" t="str">
        <f aca="false">IF($B2169="","",COUNTIF($F2169:$AJ2169,"A"))</f>
        <v/>
      </c>
      <c r="AM2169" s="34" t="str">
        <f aca="false">IF($B2169="","",COUNTIF($F2169:$AJ2169,"HA"))</f>
        <v/>
      </c>
      <c r="AN2169" s="34" t="str">
        <f aca="false">IF($B2169="","",COUNTIF($F2169:$AJ2169,"L"))</f>
        <v/>
      </c>
      <c r="AO2169" s="34" t="str">
        <f aca="false">IF($B2169="","",COUNTIF($F2169:$AJ2169,"PL"))</f>
        <v/>
      </c>
      <c r="AP2169" s="34" t="str">
        <f aca="false">IF($B2169="","",COUNTIF($F2169:$AJ2169,"CL"))</f>
        <v/>
      </c>
      <c r="AQ2169" s="34" t="str">
        <f aca="false">IF($B2169="","",COUNTIF($F2169:$AJ2169,"SL"))</f>
        <v/>
      </c>
      <c r="AR2169" s="34" t="str">
        <f aca="false">IF($B2169="","",COUNTIF($F2169:$AJ2169,"CO"))</f>
        <v/>
      </c>
      <c r="AS2169" s="34" t="str">
        <f aca="false">IF($B2169="","",COUNTIF($F2169:$AJ2169,"HPL"))</f>
        <v/>
      </c>
      <c r="AT2169" s="34" t="str">
        <f aca="false">IF($B2169="","",COUNTIF($F2169:$AJ2169,"HCL"))</f>
        <v/>
      </c>
      <c r="AU2169" s="34" t="str">
        <f aca="false">IF($B2169="","",COUNTIF($F2169:$AJ2169,"WO"))</f>
        <v/>
      </c>
      <c r="AV2169" s="34" t="str">
        <f aca="false">IF($B2169="","",COUNTIF($F2169:$AJ2169,"PH"))</f>
        <v/>
      </c>
      <c r="AW2169" s="34" t="str">
        <f aca="false">IF($B2169="","",COUNTIF($F2169:$AJ2169,"TR"))</f>
        <v/>
      </c>
      <c r="AX2169" s="35" t="str">
        <f aca="false">IF($B2169="","",AO2169+AS2169/2)</f>
        <v/>
      </c>
      <c r="AY2169" s="35" t="str">
        <f aca="false">IF($B2169="","",AQ2169)</f>
        <v/>
      </c>
      <c r="AZ2169" s="35" t="str">
        <f aca="false">IF($B2169="","",AP2169+AT2169/2)</f>
        <v/>
      </c>
      <c r="BA2169" s="35" t="str">
        <f aca="false">IF($B2169="","",AK2169+AN2169+AM2169/2+AO2169+AP2169+AQ2169+AR2169+AS2169+AT2169+AU2169+AV2169+AW2169)</f>
        <v/>
      </c>
      <c r="BB2169" s="35" t="str">
        <f aca="false">IF($B2169="","",MAX(0,AN2169-Settings!$C$16)*Settings!$C$17)</f>
        <v/>
      </c>
      <c r="BC2169" s="35" t="str">
        <f aca="false">IF($B2169="","",BA2169-BB2169)</f>
        <v/>
      </c>
      <c r="BD2169" s="35" t="str">
        <f aca="false">IF(OR($B2169="",$A2169=""),"",DAY(EOMONTH($A2169,0))-COUNTA($F2169:$AJ2169))</f>
        <v/>
      </c>
    </row>
    <row r="2170" customFormat="false" ht="15" hidden="false" customHeight="false" outlineLevel="0" collapsed="false">
      <c r="A2170" s="32"/>
      <c r="B2170" s="29"/>
      <c r="C2170" s="10" t="str">
        <f aca="false">IF($B2170="","",IFERROR(INDEX(M_name,MATCH($B2170,M_emp,0)),"Code not found"))</f>
        <v/>
      </c>
      <c r="D2170" s="10" t="str">
        <f aca="false">IF($B2170="","",IFERROR(INDEX(M_dept,MATCH($B2170,M_emp,0)),""))</f>
        <v/>
      </c>
      <c r="E2170" s="10" t="str">
        <f aca="false">IF($B2170="","",IFERROR(INDEX(M_loc,MATCH($B2170,M_emp,0)),""))</f>
        <v/>
      </c>
      <c r="F2170" s="33"/>
      <c r="G2170" s="33"/>
      <c r="H2170" s="33"/>
      <c r="I2170" s="33"/>
      <c r="J2170" s="33"/>
      <c r="K2170" s="33"/>
      <c r="L2170" s="33"/>
      <c r="M2170" s="33"/>
      <c r="N2170" s="33"/>
      <c r="O2170" s="33"/>
      <c r="P2170" s="33"/>
      <c r="Q2170" s="33"/>
      <c r="R2170" s="33"/>
      <c r="S2170" s="33"/>
      <c r="T2170" s="33"/>
      <c r="U2170" s="33"/>
      <c r="V2170" s="33"/>
      <c r="W2170" s="33"/>
      <c r="X2170" s="33"/>
      <c r="Y2170" s="33"/>
      <c r="Z2170" s="33"/>
      <c r="AA2170" s="33"/>
      <c r="AB2170" s="33"/>
      <c r="AC2170" s="33"/>
      <c r="AD2170" s="33"/>
      <c r="AE2170" s="33"/>
      <c r="AF2170" s="33"/>
      <c r="AG2170" s="33"/>
      <c r="AH2170" s="33"/>
      <c r="AI2170" s="33"/>
      <c r="AJ2170" s="33"/>
      <c r="AK2170" s="34" t="str">
        <f aca="false">IF($B2170="","",COUNTIF($F2170:$AJ2170,"P"))</f>
        <v/>
      </c>
      <c r="AL2170" s="34" t="str">
        <f aca="false">IF($B2170="","",COUNTIF($F2170:$AJ2170,"A"))</f>
        <v/>
      </c>
      <c r="AM2170" s="34" t="str">
        <f aca="false">IF($B2170="","",COUNTIF($F2170:$AJ2170,"HA"))</f>
        <v/>
      </c>
      <c r="AN2170" s="34" t="str">
        <f aca="false">IF($B2170="","",COUNTIF($F2170:$AJ2170,"L"))</f>
        <v/>
      </c>
      <c r="AO2170" s="34" t="str">
        <f aca="false">IF($B2170="","",COUNTIF($F2170:$AJ2170,"PL"))</f>
        <v/>
      </c>
      <c r="AP2170" s="34" t="str">
        <f aca="false">IF($B2170="","",COUNTIF($F2170:$AJ2170,"CL"))</f>
        <v/>
      </c>
      <c r="AQ2170" s="34" t="str">
        <f aca="false">IF($B2170="","",COUNTIF($F2170:$AJ2170,"SL"))</f>
        <v/>
      </c>
      <c r="AR2170" s="34" t="str">
        <f aca="false">IF($B2170="","",COUNTIF($F2170:$AJ2170,"CO"))</f>
        <v/>
      </c>
      <c r="AS2170" s="34" t="str">
        <f aca="false">IF($B2170="","",COUNTIF($F2170:$AJ2170,"HPL"))</f>
        <v/>
      </c>
      <c r="AT2170" s="34" t="str">
        <f aca="false">IF($B2170="","",COUNTIF($F2170:$AJ2170,"HCL"))</f>
        <v/>
      </c>
      <c r="AU2170" s="34" t="str">
        <f aca="false">IF($B2170="","",COUNTIF($F2170:$AJ2170,"WO"))</f>
        <v/>
      </c>
      <c r="AV2170" s="34" t="str">
        <f aca="false">IF($B2170="","",COUNTIF($F2170:$AJ2170,"PH"))</f>
        <v/>
      </c>
      <c r="AW2170" s="34" t="str">
        <f aca="false">IF($B2170="","",COUNTIF($F2170:$AJ2170,"TR"))</f>
        <v/>
      </c>
      <c r="AX2170" s="35" t="str">
        <f aca="false">IF($B2170="","",AO2170+AS2170/2)</f>
        <v/>
      </c>
      <c r="AY2170" s="35" t="str">
        <f aca="false">IF($B2170="","",AQ2170)</f>
        <v/>
      </c>
      <c r="AZ2170" s="35" t="str">
        <f aca="false">IF($B2170="","",AP2170+AT2170/2)</f>
        <v/>
      </c>
      <c r="BA2170" s="35" t="str">
        <f aca="false">IF($B2170="","",AK2170+AN2170+AM2170/2+AO2170+AP2170+AQ2170+AR2170+AS2170+AT2170+AU2170+AV2170+AW2170)</f>
        <v/>
      </c>
      <c r="BB2170" s="35" t="str">
        <f aca="false">IF($B2170="","",MAX(0,AN2170-Settings!$C$16)*Settings!$C$17)</f>
        <v/>
      </c>
      <c r="BC2170" s="35" t="str">
        <f aca="false">IF($B2170="","",BA2170-BB2170)</f>
        <v/>
      </c>
      <c r="BD2170" s="35" t="str">
        <f aca="false">IF(OR($B2170="",$A2170=""),"",DAY(EOMONTH($A2170,0))-COUNTA($F2170:$AJ2170))</f>
        <v/>
      </c>
    </row>
    <row r="2171" customFormat="false" ht="15" hidden="false" customHeight="false" outlineLevel="0" collapsed="false">
      <c r="A2171" s="32"/>
      <c r="B2171" s="29"/>
      <c r="C2171" s="10" t="str">
        <f aca="false">IF($B2171="","",IFERROR(INDEX(M_name,MATCH($B2171,M_emp,0)),"Code not found"))</f>
        <v/>
      </c>
      <c r="D2171" s="10" t="str">
        <f aca="false">IF($B2171="","",IFERROR(INDEX(M_dept,MATCH($B2171,M_emp,0)),""))</f>
        <v/>
      </c>
      <c r="E2171" s="10" t="str">
        <f aca="false">IF($B2171="","",IFERROR(INDEX(M_loc,MATCH($B2171,M_emp,0)),""))</f>
        <v/>
      </c>
      <c r="F2171" s="33"/>
      <c r="G2171" s="33"/>
      <c r="H2171" s="33"/>
      <c r="I2171" s="33"/>
      <c r="J2171" s="33"/>
      <c r="K2171" s="33"/>
      <c r="L2171" s="33"/>
      <c r="M2171" s="33"/>
      <c r="N2171" s="33"/>
      <c r="O2171" s="33"/>
      <c r="P2171" s="33"/>
      <c r="Q2171" s="33"/>
      <c r="R2171" s="33"/>
      <c r="S2171" s="33"/>
      <c r="T2171" s="33"/>
      <c r="U2171" s="33"/>
      <c r="V2171" s="33"/>
      <c r="W2171" s="33"/>
      <c r="X2171" s="33"/>
      <c r="Y2171" s="33"/>
      <c r="Z2171" s="33"/>
      <c r="AA2171" s="33"/>
      <c r="AB2171" s="33"/>
      <c r="AC2171" s="33"/>
      <c r="AD2171" s="33"/>
      <c r="AE2171" s="33"/>
      <c r="AF2171" s="33"/>
      <c r="AG2171" s="33"/>
      <c r="AH2171" s="33"/>
      <c r="AI2171" s="33"/>
      <c r="AJ2171" s="33"/>
      <c r="AK2171" s="34" t="str">
        <f aca="false">IF($B2171="","",COUNTIF($F2171:$AJ2171,"P"))</f>
        <v/>
      </c>
      <c r="AL2171" s="34" t="str">
        <f aca="false">IF($B2171="","",COUNTIF($F2171:$AJ2171,"A"))</f>
        <v/>
      </c>
      <c r="AM2171" s="34" t="str">
        <f aca="false">IF($B2171="","",COUNTIF($F2171:$AJ2171,"HA"))</f>
        <v/>
      </c>
      <c r="AN2171" s="34" t="str">
        <f aca="false">IF($B2171="","",COUNTIF($F2171:$AJ2171,"L"))</f>
        <v/>
      </c>
      <c r="AO2171" s="34" t="str">
        <f aca="false">IF($B2171="","",COUNTIF($F2171:$AJ2171,"PL"))</f>
        <v/>
      </c>
      <c r="AP2171" s="34" t="str">
        <f aca="false">IF($B2171="","",COUNTIF($F2171:$AJ2171,"CL"))</f>
        <v/>
      </c>
      <c r="AQ2171" s="34" t="str">
        <f aca="false">IF($B2171="","",COUNTIF($F2171:$AJ2171,"SL"))</f>
        <v/>
      </c>
      <c r="AR2171" s="34" t="str">
        <f aca="false">IF($B2171="","",COUNTIF($F2171:$AJ2171,"CO"))</f>
        <v/>
      </c>
      <c r="AS2171" s="34" t="str">
        <f aca="false">IF($B2171="","",COUNTIF($F2171:$AJ2171,"HPL"))</f>
        <v/>
      </c>
      <c r="AT2171" s="34" t="str">
        <f aca="false">IF($B2171="","",COUNTIF($F2171:$AJ2171,"HCL"))</f>
        <v/>
      </c>
      <c r="AU2171" s="34" t="str">
        <f aca="false">IF($B2171="","",COUNTIF($F2171:$AJ2171,"WO"))</f>
        <v/>
      </c>
      <c r="AV2171" s="34" t="str">
        <f aca="false">IF($B2171="","",COUNTIF($F2171:$AJ2171,"PH"))</f>
        <v/>
      </c>
      <c r="AW2171" s="34" t="str">
        <f aca="false">IF($B2171="","",COUNTIF($F2171:$AJ2171,"TR"))</f>
        <v/>
      </c>
      <c r="AX2171" s="35" t="str">
        <f aca="false">IF($B2171="","",AO2171+AS2171/2)</f>
        <v/>
      </c>
      <c r="AY2171" s="35" t="str">
        <f aca="false">IF($B2171="","",AQ2171)</f>
        <v/>
      </c>
      <c r="AZ2171" s="35" t="str">
        <f aca="false">IF($B2171="","",AP2171+AT2171/2)</f>
        <v/>
      </c>
      <c r="BA2171" s="35" t="str">
        <f aca="false">IF($B2171="","",AK2171+AN2171+AM2171/2+AO2171+AP2171+AQ2171+AR2171+AS2171+AT2171+AU2171+AV2171+AW2171)</f>
        <v/>
      </c>
      <c r="BB2171" s="35" t="str">
        <f aca="false">IF($B2171="","",MAX(0,AN2171-Settings!$C$16)*Settings!$C$17)</f>
        <v/>
      </c>
      <c r="BC2171" s="35" t="str">
        <f aca="false">IF($B2171="","",BA2171-BB2171)</f>
        <v/>
      </c>
      <c r="BD2171" s="35" t="str">
        <f aca="false">IF(OR($B2171="",$A2171=""),"",DAY(EOMONTH($A2171,0))-COUNTA($F2171:$AJ2171))</f>
        <v/>
      </c>
    </row>
    <row r="2172" customFormat="false" ht="15" hidden="false" customHeight="false" outlineLevel="0" collapsed="false">
      <c r="A2172" s="32"/>
      <c r="B2172" s="29"/>
      <c r="C2172" s="10" t="str">
        <f aca="false">IF($B2172="","",IFERROR(INDEX(M_name,MATCH($B2172,M_emp,0)),"Code not found"))</f>
        <v/>
      </c>
      <c r="D2172" s="10" t="str">
        <f aca="false">IF($B2172="","",IFERROR(INDEX(M_dept,MATCH($B2172,M_emp,0)),""))</f>
        <v/>
      </c>
      <c r="E2172" s="10" t="str">
        <f aca="false">IF($B2172="","",IFERROR(INDEX(M_loc,MATCH($B2172,M_emp,0)),""))</f>
        <v/>
      </c>
      <c r="F2172" s="33"/>
      <c r="G2172" s="33"/>
      <c r="H2172" s="33"/>
      <c r="I2172" s="33"/>
      <c r="J2172" s="33"/>
      <c r="K2172" s="33"/>
      <c r="L2172" s="33"/>
      <c r="M2172" s="33"/>
      <c r="N2172" s="33"/>
      <c r="O2172" s="33"/>
      <c r="P2172" s="33"/>
      <c r="Q2172" s="33"/>
      <c r="R2172" s="33"/>
      <c r="S2172" s="33"/>
      <c r="T2172" s="33"/>
      <c r="U2172" s="33"/>
      <c r="V2172" s="33"/>
      <c r="W2172" s="33"/>
      <c r="X2172" s="33"/>
      <c r="Y2172" s="33"/>
      <c r="Z2172" s="33"/>
      <c r="AA2172" s="33"/>
      <c r="AB2172" s="33"/>
      <c r="AC2172" s="33"/>
      <c r="AD2172" s="33"/>
      <c r="AE2172" s="33"/>
      <c r="AF2172" s="33"/>
      <c r="AG2172" s="33"/>
      <c r="AH2172" s="33"/>
      <c r="AI2172" s="33"/>
      <c r="AJ2172" s="33"/>
      <c r="AK2172" s="34" t="str">
        <f aca="false">IF($B2172="","",COUNTIF($F2172:$AJ2172,"P"))</f>
        <v/>
      </c>
      <c r="AL2172" s="34" t="str">
        <f aca="false">IF($B2172="","",COUNTIF($F2172:$AJ2172,"A"))</f>
        <v/>
      </c>
      <c r="AM2172" s="34" t="str">
        <f aca="false">IF($B2172="","",COUNTIF($F2172:$AJ2172,"HA"))</f>
        <v/>
      </c>
      <c r="AN2172" s="34" t="str">
        <f aca="false">IF($B2172="","",COUNTIF($F2172:$AJ2172,"L"))</f>
        <v/>
      </c>
      <c r="AO2172" s="34" t="str">
        <f aca="false">IF($B2172="","",COUNTIF($F2172:$AJ2172,"PL"))</f>
        <v/>
      </c>
      <c r="AP2172" s="34" t="str">
        <f aca="false">IF($B2172="","",COUNTIF($F2172:$AJ2172,"CL"))</f>
        <v/>
      </c>
      <c r="AQ2172" s="34" t="str">
        <f aca="false">IF($B2172="","",COUNTIF($F2172:$AJ2172,"SL"))</f>
        <v/>
      </c>
      <c r="AR2172" s="34" t="str">
        <f aca="false">IF($B2172="","",COUNTIF($F2172:$AJ2172,"CO"))</f>
        <v/>
      </c>
      <c r="AS2172" s="34" t="str">
        <f aca="false">IF($B2172="","",COUNTIF($F2172:$AJ2172,"HPL"))</f>
        <v/>
      </c>
      <c r="AT2172" s="34" t="str">
        <f aca="false">IF($B2172="","",COUNTIF($F2172:$AJ2172,"HCL"))</f>
        <v/>
      </c>
      <c r="AU2172" s="34" t="str">
        <f aca="false">IF($B2172="","",COUNTIF($F2172:$AJ2172,"WO"))</f>
        <v/>
      </c>
      <c r="AV2172" s="34" t="str">
        <f aca="false">IF($B2172="","",COUNTIF($F2172:$AJ2172,"PH"))</f>
        <v/>
      </c>
      <c r="AW2172" s="34" t="str">
        <f aca="false">IF($B2172="","",COUNTIF($F2172:$AJ2172,"TR"))</f>
        <v/>
      </c>
      <c r="AX2172" s="35" t="str">
        <f aca="false">IF($B2172="","",AO2172+AS2172/2)</f>
        <v/>
      </c>
      <c r="AY2172" s="35" t="str">
        <f aca="false">IF($B2172="","",AQ2172)</f>
        <v/>
      </c>
      <c r="AZ2172" s="35" t="str">
        <f aca="false">IF($B2172="","",AP2172+AT2172/2)</f>
        <v/>
      </c>
      <c r="BA2172" s="35" t="str">
        <f aca="false">IF($B2172="","",AK2172+AN2172+AM2172/2+AO2172+AP2172+AQ2172+AR2172+AS2172+AT2172+AU2172+AV2172+AW2172)</f>
        <v/>
      </c>
      <c r="BB2172" s="35" t="str">
        <f aca="false">IF($B2172="","",MAX(0,AN2172-Settings!$C$16)*Settings!$C$17)</f>
        <v/>
      </c>
      <c r="BC2172" s="35" t="str">
        <f aca="false">IF($B2172="","",BA2172-BB2172)</f>
        <v/>
      </c>
      <c r="BD2172" s="35" t="str">
        <f aca="false">IF(OR($B2172="",$A2172=""),"",DAY(EOMONTH($A2172,0))-COUNTA($F2172:$AJ2172))</f>
        <v/>
      </c>
    </row>
    <row r="2173" customFormat="false" ht="15" hidden="false" customHeight="false" outlineLevel="0" collapsed="false">
      <c r="A2173" s="32"/>
      <c r="B2173" s="29"/>
      <c r="C2173" s="10" t="str">
        <f aca="false">IF($B2173="","",IFERROR(INDEX(M_name,MATCH($B2173,M_emp,0)),"Code not found"))</f>
        <v/>
      </c>
      <c r="D2173" s="10" t="str">
        <f aca="false">IF($B2173="","",IFERROR(INDEX(M_dept,MATCH($B2173,M_emp,0)),""))</f>
        <v/>
      </c>
      <c r="E2173" s="10" t="str">
        <f aca="false">IF($B2173="","",IFERROR(INDEX(M_loc,MATCH($B2173,M_emp,0)),""))</f>
        <v/>
      </c>
      <c r="F2173" s="33"/>
      <c r="G2173" s="33"/>
      <c r="H2173" s="33"/>
      <c r="I2173" s="33"/>
      <c r="J2173" s="33"/>
      <c r="K2173" s="33"/>
      <c r="L2173" s="33"/>
      <c r="M2173" s="33"/>
      <c r="N2173" s="33"/>
      <c r="O2173" s="33"/>
      <c r="P2173" s="33"/>
      <c r="Q2173" s="33"/>
      <c r="R2173" s="33"/>
      <c r="S2173" s="33"/>
      <c r="T2173" s="33"/>
      <c r="U2173" s="33"/>
      <c r="V2173" s="33"/>
      <c r="W2173" s="33"/>
      <c r="X2173" s="33"/>
      <c r="Y2173" s="33"/>
      <c r="Z2173" s="33"/>
      <c r="AA2173" s="33"/>
      <c r="AB2173" s="33"/>
      <c r="AC2173" s="33"/>
      <c r="AD2173" s="33"/>
      <c r="AE2173" s="33"/>
      <c r="AF2173" s="33"/>
      <c r="AG2173" s="33"/>
      <c r="AH2173" s="33"/>
      <c r="AI2173" s="33"/>
      <c r="AJ2173" s="33"/>
      <c r="AK2173" s="34" t="str">
        <f aca="false">IF($B2173="","",COUNTIF($F2173:$AJ2173,"P"))</f>
        <v/>
      </c>
      <c r="AL2173" s="34" t="str">
        <f aca="false">IF($B2173="","",COUNTIF($F2173:$AJ2173,"A"))</f>
        <v/>
      </c>
      <c r="AM2173" s="34" t="str">
        <f aca="false">IF($B2173="","",COUNTIF($F2173:$AJ2173,"HA"))</f>
        <v/>
      </c>
      <c r="AN2173" s="34" t="str">
        <f aca="false">IF($B2173="","",COUNTIF($F2173:$AJ2173,"L"))</f>
        <v/>
      </c>
      <c r="AO2173" s="34" t="str">
        <f aca="false">IF($B2173="","",COUNTIF($F2173:$AJ2173,"PL"))</f>
        <v/>
      </c>
      <c r="AP2173" s="34" t="str">
        <f aca="false">IF($B2173="","",COUNTIF($F2173:$AJ2173,"CL"))</f>
        <v/>
      </c>
      <c r="AQ2173" s="34" t="str">
        <f aca="false">IF($B2173="","",COUNTIF($F2173:$AJ2173,"SL"))</f>
        <v/>
      </c>
      <c r="AR2173" s="34" t="str">
        <f aca="false">IF($B2173="","",COUNTIF($F2173:$AJ2173,"CO"))</f>
        <v/>
      </c>
      <c r="AS2173" s="34" t="str">
        <f aca="false">IF($B2173="","",COUNTIF($F2173:$AJ2173,"HPL"))</f>
        <v/>
      </c>
      <c r="AT2173" s="34" t="str">
        <f aca="false">IF($B2173="","",COUNTIF($F2173:$AJ2173,"HCL"))</f>
        <v/>
      </c>
      <c r="AU2173" s="34" t="str">
        <f aca="false">IF($B2173="","",COUNTIF($F2173:$AJ2173,"WO"))</f>
        <v/>
      </c>
      <c r="AV2173" s="34" t="str">
        <f aca="false">IF($B2173="","",COUNTIF($F2173:$AJ2173,"PH"))</f>
        <v/>
      </c>
      <c r="AW2173" s="34" t="str">
        <f aca="false">IF($B2173="","",COUNTIF($F2173:$AJ2173,"TR"))</f>
        <v/>
      </c>
      <c r="AX2173" s="35" t="str">
        <f aca="false">IF($B2173="","",AO2173+AS2173/2)</f>
        <v/>
      </c>
      <c r="AY2173" s="35" t="str">
        <f aca="false">IF($B2173="","",AQ2173)</f>
        <v/>
      </c>
      <c r="AZ2173" s="35" t="str">
        <f aca="false">IF($B2173="","",AP2173+AT2173/2)</f>
        <v/>
      </c>
      <c r="BA2173" s="35" t="str">
        <f aca="false">IF($B2173="","",AK2173+AN2173+AM2173/2+AO2173+AP2173+AQ2173+AR2173+AS2173+AT2173+AU2173+AV2173+AW2173)</f>
        <v/>
      </c>
      <c r="BB2173" s="35" t="str">
        <f aca="false">IF($B2173="","",MAX(0,AN2173-Settings!$C$16)*Settings!$C$17)</f>
        <v/>
      </c>
      <c r="BC2173" s="35" t="str">
        <f aca="false">IF($B2173="","",BA2173-BB2173)</f>
        <v/>
      </c>
      <c r="BD2173" s="35" t="str">
        <f aca="false">IF(OR($B2173="",$A2173=""),"",DAY(EOMONTH($A2173,0))-COUNTA($F2173:$AJ2173))</f>
        <v/>
      </c>
    </row>
    <row r="2174" customFormat="false" ht="15" hidden="false" customHeight="false" outlineLevel="0" collapsed="false">
      <c r="A2174" s="32"/>
      <c r="B2174" s="29"/>
      <c r="C2174" s="10" t="str">
        <f aca="false">IF($B2174="","",IFERROR(INDEX(M_name,MATCH($B2174,M_emp,0)),"Code not found"))</f>
        <v/>
      </c>
      <c r="D2174" s="10" t="str">
        <f aca="false">IF($B2174="","",IFERROR(INDEX(M_dept,MATCH($B2174,M_emp,0)),""))</f>
        <v/>
      </c>
      <c r="E2174" s="10" t="str">
        <f aca="false">IF($B2174="","",IFERROR(INDEX(M_loc,MATCH($B2174,M_emp,0)),""))</f>
        <v/>
      </c>
      <c r="F2174" s="33"/>
      <c r="G2174" s="33"/>
      <c r="H2174" s="33"/>
      <c r="I2174" s="33"/>
      <c r="J2174" s="33"/>
      <c r="K2174" s="33"/>
      <c r="L2174" s="33"/>
      <c r="M2174" s="33"/>
      <c r="N2174" s="33"/>
      <c r="O2174" s="33"/>
      <c r="P2174" s="33"/>
      <c r="Q2174" s="33"/>
      <c r="R2174" s="33"/>
      <c r="S2174" s="33"/>
      <c r="T2174" s="33"/>
      <c r="U2174" s="33"/>
      <c r="V2174" s="33"/>
      <c r="W2174" s="33"/>
      <c r="X2174" s="33"/>
      <c r="Y2174" s="33"/>
      <c r="Z2174" s="33"/>
      <c r="AA2174" s="33"/>
      <c r="AB2174" s="33"/>
      <c r="AC2174" s="33"/>
      <c r="AD2174" s="33"/>
      <c r="AE2174" s="33"/>
      <c r="AF2174" s="33"/>
      <c r="AG2174" s="33"/>
      <c r="AH2174" s="33"/>
      <c r="AI2174" s="33"/>
      <c r="AJ2174" s="33"/>
      <c r="AK2174" s="34" t="str">
        <f aca="false">IF($B2174="","",COUNTIF($F2174:$AJ2174,"P"))</f>
        <v/>
      </c>
      <c r="AL2174" s="34" t="str">
        <f aca="false">IF($B2174="","",COUNTIF($F2174:$AJ2174,"A"))</f>
        <v/>
      </c>
      <c r="AM2174" s="34" t="str">
        <f aca="false">IF($B2174="","",COUNTIF($F2174:$AJ2174,"HA"))</f>
        <v/>
      </c>
      <c r="AN2174" s="34" t="str">
        <f aca="false">IF($B2174="","",COUNTIF($F2174:$AJ2174,"L"))</f>
        <v/>
      </c>
      <c r="AO2174" s="34" t="str">
        <f aca="false">IF($B2174="","",COUNTIF($F2174:$AJ2174,"PL"))</f>
        <v/>
      </c>
      <c r="AP2174" s="34" t="str">
        <f aca="false">IF($B2174="","",COUNTIF($F2174:$AJ2174,"CL"))</f>
        <v/>
      </c>
      <c r="AQ2174" s="34" t="str">
        <f aca="false">IF($B2174="","",COUNTIF($F2174:$AJ2174,"SL"))</f>
        <v/>
      </c>
      <c r="AR2174" s="34" t="str">
        <f aca="false">IF($B2174="","",COUNTIF($F2174:$AJ2174,"CO"))</f>
        <v/>
      </c>
      <c r="AS2174" s="34" t="str">
        <f aca="false">IF($B2174="","",COUNTIF($F2174:$AJ2174,"HPL"))</f>
        <v/>
      </c>
      <c r="AT2174" s="34" t="str">
        <f aca="false">IF($B2174="","",COUNTIF($F2174:$AJ2174,"HCL"))</f>
        <v/>
      </c>
      <c r="AU2174" s="34" t="str">
        <f aca="false">IF($B2174="","",COUNTIF($F2174:$AJ2174,"WO"))</f>
        <v/>
      </c>
      <c r="AV2174" s="34" t="str">
        <f aca="false">IF($B2174="","",COUNTIF($F2174:$AJ2174,"PH"))</f>
        <v/>
      </c>
      <c r="AW2174" s="34" t="str">
        <f aca="false">IF($B2174="","",COUNTIF($F2174:$AJ2174,"TR"))</f>
        <v/>
      </c>
      <c r="AX2174" s="35" t="str">
        <f aca="false">IF($B2174="","",AO2174+AS2174/2)</f>
        <v/>
      </c>
      <c r="AY2174" s="35" t="str">
        <f aca="false">IF($B2174="","",AQ2174)</f>
        <v/>
      </c>
      <c r="AZ2174" s="35" t="str">
        <f aca="false">IF($B2174="","",AP2174+AT2174/2)</f>
        <v/>
      </c>
      <c r="BA2174" s="35" t="str">
        <f aca="false">IF($B2174="","",AK2174+AN2174+AM2174/2+AO2174+AP2174+AQ2174+AR2174+AS2174+AT2174+AU2174+AV2174+AW2174)</f>
        <v/>
      </c>
      <c r="BB2174" s="35" t="str">
        <f aca="false">IF($B2174="","",MAX(0,AN2174-Settings!$C$16)*Settings!$C$17)</f>
        <v/>
      </c>
      <c r="BC2174" s="35" t="str">
        <f aca="false">IF($B2174="","",BA2174-BB2174)</f>
        <v/>
      </c>
      <c r="BD2174" s="35" t="str">
        <f aca="false">IF(OR($B2174="",$A2174=""),"",DAY(EOMONTH($A2174,0))-COUNTA($F2174:$AJ2174))</f>
        <v/>
      </c>
    </row>
    <row r="2175" customFormat="false" ht="15" hidden="false" customHeight="false" outlineLevel="0" collapsed="false">
      <c r="A2175" s="32"/>
      <c r="B2175" s="29"/>
      <c r="C2175" s="10" t="str">
        <f aca="false">IF($B2175="","",IFERROR(INDEX(M_name,MATCH($B2175,M_emp,0)),"Code not found"))</f>
        <v/>
      </c>
      <c r="D2175" s="10" t="str">
        <f aca="false">IF($B2175="","",IFERROR(INDEX(M_dept,MATCH($B2175,M_emp,0)),""))</f>
        <v/>
      </c>
      <c r="E2175" s="10" t="str">
        <f aca="false">IF($B2175="","",IFERROR(INDEX(M_loc,MATCH($B2175,M_emp,0)),""))</f>
        <v/>
      </c>
      <c r="F2175" s="33"/>
      <c r="G2175" s="33"/>
      <c r="H2175" s="33"/>
      <c r="I2175" s="33"/>
      <c r="J2175" s="33"/>
      <c r="K2175" s="33"/>
      <c r="L2175" s="33"/>
      <c r="M2175" s="33"/>
      <c r="N2175" s="33"/>
      <c r="O2175" s="33"/>
      <c r="P2175" s="33"/>
      <c r="Q2175" s="33"/>
      <c r="R2175" s="33"/>
      <c r="S2175" s="33"/>
      <c r="T2175" s="33"/>
      <c r="U2175" s="33"/>
      <c r="V2175" s="33"/>
      <c r="W2175" s="33"/>
      <c r="X2175" s="33"/>
      <c r="Y2175" s="33"/>
      <c r="Z2175" s="33"/>
      <c r="AA2175" s="33"/>
      <c r="AB2175" s="33"/>
      <c r="AC2175" s="33"/>
      <c r="AD2175" s="33"/>
      <c r="AE2175" s="33"/>
      <c r="AF2175" s="33"/>
      <c r="AG2175" s="33"/>
      <c r="AH2175" s="33"/>
      <c r="AI2175" s="33"/>
      <c r="AJ2175" s="33"/>
      <c r="AK2175" s="34" t="str">
        <f aca="false">IF($B2175="","",COUNTIF($F2175:$AJ2175,"P"))</f>
        <v/>
      </c>
      <c r="AL2175" s="34" t="str">
        <f aca="false">IF($B2175="","",COUNTIF($F2175:$AJ2175,"A"))</f>
        <v/>
      </c>
      <c r="AM2175" s="34" t="str">
        <f aca="false">IF($B2175="","",COUNTIF($F2175:$AJ2175,"HA"))</f>
        <v/>
      </c>
      <c r="AN2175" s="34" t="str">
        <f aca="false">IF($B2175="","",COUNTIF($F2175:$AJ2175,"L"))</f>
        <v/>
      </c>
      <c r="AO2175" s="34" t="str">
        <f aca="false">IF($B2175="","",COUNTIF($F2175:$AJ2175,"PL"))</f>
        <v/>
      </c>
      <c r="AP2175" s="34" t="str">
        <f aca="false">IF($B2175="","",COUNTIF($F2175:$AJ2175,"CL"))</f>
        <v/>
      </c>
      <c r="AQ2175" s="34" t="str">
        <f aca="false">IF($B2175="","",COUNTIF($F2175:$AJ2175,"SL"))</f>
        <v/>
      </c>
      <c r="AR2175" s="34" t="str">
        <f aca="false">IF($B2175="","",COUNTIF($F2175:$AJ2175,"CO"))</f>
        <v/>
      </c>
      <c r="AS2175" s="34" t="str">
        <f aca="false">IF($B2175="","",COUNTIF($F2175:$AJ2175,"HPL"))</f>
        <v/>
      </c>
      <c r="AT2175" s="34" t="str">
        <f aca="false">IF($B2175="","",COUNTIF($F2175:$AJ2175,"HCL"))</f>
        <v/>
      </c>
      <c r="AU2175" s="34" t="str">
        <f aca="false">IF($B2175="","",COUNTIF($F2175:$AJ2175,"WO"))</f>
        <v/>
      </c>
      <c r="AV2175" s="34" t="str">
        <f aca="false">IF($B2175="","",COUNTIF($F2175:$AJ2175,"PH"))</f>
        <v/>
      </c>
      <c r="AW2175" s="34" t="str">
        <f aca="false">IF($B2175="","",COUNTIF($F2175:$AJ2175,"TR"))</f>
        <v/>
      </c>
      <c r="AX2175" s="35" t="str">
        <f aca="false">IF($B2175="","",AO2175+AS2175/2)</f>
        <v/>
      </c>
      <c r="AY2175" s="35" t="str">
        <f aca="false">IF($B2175="","",AQ2175)</f>
        <v/>
      </c>
      <c r="AZ2175" s="35" t="str">
        <f aca="false">IF($B2175="","",AP2175+AT2175/2)</f>
        <v/>
      </c>
      <c r="BA2175" s="35" t="str">
        <f aca="false">IF($B2175="","",AK2175+AN2175+AM2175/2+AO2175+AP2175+AQ2175+AR2175+AS2175+AT2175+AU2175+AV2175+AW2175)</f>
        <v/>
      </c>
      <c r="BB2175" s="35" t="str">
        <f aca="false">IF($B2175="","",MAX(0,AN2175-Settings!$C$16)*Settings!$C$17)</f>
        <v/>
      </c>
      <c r="BC2175" s="35" t="str">
        <f aca="false">IF($B2175="","",BA2175-BB2175)</f>
        <v/>
      </c>
      <c r="BD2175" s="35" t="str">
        <f aca="false">IF(OR($B2175="",$A2175=""),"",DAY(EOMONTH($A2175,0))-COUNTA($F2175:$AJ2175))</f>
        <v/>
      </c>
    </row>
    <row r="2176" customFormat="false" ht="15" hidden="false" customHeight="false" outlineLevel="0" collapsed="false">
      <c r="A2176" s="32"/>
      <c r="B2176" s="29"/>
      <c r="C2176" s="10" t="str">
        <f aca="false">IF($B2176="","",IFERROR(INDEX(M_name,MATCH($B2176,M_emp,0)),"Code not found"))</f>
        <v/>
      </c>
      <c r="D2176" s="10" t="str">
        <f aca="false">IF($B2176="","",IFERROR(INDEX(M_dept,MATCH($B2176,M_emp,0)),""))</f>
        <v/>
      </c>
      <c r="E2176" s="10" t="str">
        <f aca="false">IF($B2176="","",IFERROR(INDEX(M_loc,MATCH($B2176,M_emp,0)),""))</f>
        <v/>
      </c>
      <c r="F2176" s="33"/>
      <c r="G2176" s="33"/>
      <c r="H2176" s="33"/>
      <c r="I2176" s="33"/>
      <c r="J2176" s="33"/>
      <c r="K2176" s="33"/>
      <c r="L2176" s="33"/>
      <c r="M2176" s="33"/>
      <c r="N2176" s="33"/>
      <c r="O2176" s="33"/>
      <c r="P2176" s="33"/>
      <c r="Q2176" s="33"/>
      <c r="R2176" s="33"/>
      <c r="S2176" s="33"/>
      <c r="T2176" s="33"/>
      <c r="U2176" s="33"/>
      <c r="V2176" s="33"/>
      <c r="W2176" s="33"/>
      <c r="X2176" s="33"/>
      <c r="Y2176" s="33"/>
      <c r="Z2176" s="33"/>
      <c r="AA2176" s="33"/>
      <c r="AB2176" s="33"/>
      <c r="AC2176" s="33"/>
      <c r="AD2176" s="33"/>
      <c r="AE2176" s="33"/>
      <c r="AF2176" s="33"/>
      <c r="AG2176" s="33"/>
      <c r="AH2176" s="33"/>
      <c r="AI2176" s="33"/>
      <c r="AJ2176" s="33"/>
      <c r="AK2176" s="34" t="str">
        <f aca="false">IF($B2176="","",COUNTIF($F2176:$AJ2176,"P"))</f>
        <v/>
      </c>
      <c r="AL2176" s="34" t="str">
        <f aca="false">IF($B2176="","",COUNTIF($F2176:$AJ2176,"A"))</f>
        <v/>
      </c>
      <c r="AM2176" s="34" t="str">
        <f aca="false">IF($B2176="","",COUNTIF($F2176:$AJ2176,"HA"))</f>
        <v/>
      </c>
      <c r="AN2176" s="34" t="str">
        <f aca="false">IF($B2176="","",COUNTIF($F2176:$AJ2176,"L"))</f>
        <v/>
      </c>
      <c r="AO2176" s="34" t="str">
        <f aca="false">IF($B2176="","",COUNTIF($F2176:$AJ2176,"PL"))</f>
        <v/>
      </c>
      <c r="AP2176" s="34" t="str">
        <f aca="false">IF($B2176="","",COUNTIF($F2176:$AJ2176,"CL"))</f>
        <v/>
      </c>
      <c r="AQ2176" s="34" t="str">
        <f aca="false">IF($B2176="","",COUNTIF($F2176:$AJ2176,"SL"))</f>
        <v/>
      </c>
      <c r="AR2176" s="34" t="str">
        <f aca="false">IF($B2176="","",COUNTIF($F2176:$AJ2176,"CO"))</f>
        <v/>
      </c>
      <c r="AS2176" s="34" t="str">
        <f aca="false">IF($B2176="","",COUNTIF($F2176:$AJ2176,"HPL"))</f>
        <v/>
      </c>
      <c r="AT2176" s="34" t="str">
        <f aca="false">IF($B2176="","",COUNTIF($F2176:$AJ2176,"HCL"))</f>
        <v/>
      </c>
      <c r="AU2176" s="34" t="str">
        <f aca="false">IF($B2176="","",COUNTIF($F2176:$AJ2176,"WO"))</f>
        <v/>
      </c>
      <c r="AV2176" s="34" t="str">
        <f aca="false">IF($B2176="","",COUNTIF($F2176:$AJ2176,"PH"))</f>
        <v/>
      </c>
      <c r="AW2176" s="34" t="str">
        <f aca="false">IF($B2176="","",COUNTIF($F2176:$AJ2176,"TR"))</f>
        <v/>
      </c>
      <c r="AX2176" s="35" t="str">
        <f aca="false">IF($B2176="","",AO2176+AS2176/2)</f>
        <v/>
      </c>
      <c r="AY2176" s="35" t="str">
        <f aca="false">IF($B2176="","",AQ2176)</f>
        <v/>
      </c>
      <c r="AZ2176" s="35" t="str">
        <f aca="false">IF($B2176="","",AP2176+AT2176/2)</f>
        <v/>
      </c>
      <c r="BA2176" s="35" t="str">
        <f aca="false">IF($B2176="","",AK2176+AN2176+AM2176/2+AO2176+AP2176+AQ2176+AR2176+AS2176+AT2176+AU2176+AV2176+AW2176)</f>
        <v/>
      </c>
      <c r="BB2176" s="35" t="str">
        <f aca="false">IF($B2176="","",MAX(0,AN2176-Settings!$C$16)*Settings!$C$17)</f>
        <v/>
      </c>
      <c r="BC2176" s="35" t="str">
        <f aca="false">IF($B2176="","",BA2176-BB2176)</f>
        <v/>
      </c>
      <c r="BD2176" s="35" t="str">
        <f aca="false">IF(OR($B2176="",$A2176=""),"",DAY(EOMONTH($A2176,0))-COUNTA($F2176:$AJ2176))</f>
        <v/>
      </c>
    </row>
    <row r="2177" customFormat="false" ht="15" hidden="false" customHeight="false" outlineLevel="0" collapsed="false">
      <c r="A2177" s="32"/>
      <c r="B2177" s="29"/>
      <c r="C2177" s="10" t="str">
        <f aca="false">IF($B2177="","",IFERROR(INDEX(M_name,MATCH($B2177,M_emp,0)),"Code not found"))</f>
        <v/>
      </c>
      <c r="D2177" s="10" t="str">
        <f aca="false">IF($B2177="","",IFERROR(INDEX(M_dept,MATCH($B2177,M_emp,0)),""))</f>
        <v/>
      </c>
      <c r="E2177" s="10" t="str">
        <f aca="false">IF($B2177="","",IFERROR(INDEX(M_loc,MATCH($B2177,M_emp,0)),""))</f>
        <v/>
      </c>
      <c r="F2177" s="33"/>
      <c r="G2177" s="33"/>
      <c r="H2177" s="33"/>
      <c r="I2177" s="33"/>
      <c r="J2177" s="33"/>
      <c r="K2177" s="33"/>
      <c r="L2177" s="33"/>
      <c r="M2177" s="33"/>
      <c r="N2177" s="33"/>
      <c r="O2177" s="33"/>
      <c r="P2177" s="33"/>
      <c r="Q2177" s="33"/>
      <c r="R2177" s="33"/>
      <c r="S2177" s="33"/>
      <c r="T2177" s="33"/>
      <c r="U2177" s="33"/>
      <c r="V2177" s="33"/>
      <c r="W2177" s="33"/>
      <c r="X2177" s="33"/>
      <c r="Y2177" s="33"/>
      <c r="Z2177" s="33"/>
      <c r="AA2177" s="33"/>
      <c r="AB2177" s="33"/>
      <c r="AC2177" s="33"/>
      <c r="AD2177" s="33"/>
      <c r="AE2177" s="33"/>
      <c r="AF2177" s="33"/>
      <c r="AG2177" s="33"/>
      <c r="AH2177" s="33"/>
      <c r="AI2177" s="33"/>
      <c r="AJ2177" s="33"/>
      <c r="AK2177" s="34" t="str">
        <f aca="false">IF($B2177="","",COUNTIF($F2177:$AJ2177,"P"))</f>
        <v/>
      </c>
      <c r="AL2177" s="34" t="str">
        <f aca="false">IF($B2177="","",COUNTIF($F2177:$AJ2177,"A"))</f>
        <v/>
      </c>
      <c r="AM2177" s="34" t="str">
        <f aca="false">IF($B2177="","",COUNTIF($F2177:$AJ2177,"HA"))</f>
        <v/>
      </c>
      <c r="AN2177" s="34" t="str">
        <f aca="false">IF($B2177="","",COUNTIF($F2177:$AJ2177,"L"))</f>
        <v/>
      </c>
      <c r="AO2177" s="34" t="str">
        <f aca="false">IF($B2177="","",COUNTIF($F2177:$AJ2177,"PL"))</f>
        <v/>
      </c>
      <c r="AP2177" s="34" t="str">
        <f aca="false">IF($B2177="","",COUNTIF($F2177:$AJ2177,"CL"))</f>
        <v/>
      </c>
      <c r="AQ2177" s="34" t="str">
        <f aca="false">IF($B2177="","",COUNTIF($F2177:$AJ2177,"SL"))</f>
        <v/>
      </c>
      <c r="AR2177" s="34" t="str">
        <f aca="false">IF($B2177="","",COUNTIF($F2177:$AJ2177,"CO"))</f>
        <v/>
      </c>
      <c r="AS2177" s="34" t="str">
        <f aca="false">IF($B2177="","",COUNTIF($F2177:$AJ2177,"HPL"))</f>
        <v/>
      </c>
      <c r="AT2177" s="34" t="str">
        <f aca="false">IF($B2177="","",COUNTIF($F2177:$AJ2177,"HCL"))</f>
        <v/>
      </c>
      <c r="AU2177" s="34" t="str">
        <f aca="false">IF($B2177="","",COUNTIF($F2177:$AJ2177,"WO"))</f>
        <v/>
      </c>
      <c r="AV2177" s="34" t="str">
        <f aca="false">IF($B2177="","",COUNTIF($F2177:$AJ2177,"PH"))</f>
        <v/>
      </c>
      <c r="AW2177" s="34" t="str">
        <f aca="false">IF($B2177="","",COUNTIF($F2177:$AJ2177,"TR"))</f>
        <v/>
      </c>
      <c r="AX2177" s="35" t="str">
        <f aca="false">IF($B2177="","",AO2177+AS2177/2)</f>
        <v/>
      </c>
      <c r="AY2177" s="35" t="str">
        <f aca="false">IF($B2177="","",AQ2177)</f>
        <v/>
      </c>
      <c r="AZ2177" s="35" t="str">
        <f aca="false">IF($B2177="","",AP2177+AT2177/2)</f>
        <v/>
      </c>
      <c r="BA2177" s="35" t="str">
        <f aca="false">IF($B2177="","",AK2177+AN2177+AM2177/2+AO2177+AP2177+AQ2177+AR2177+AS2177+AT2177+AU2177+AV2177+AW2177)</f>
        <v/>
      </c>
      <c r="BB2177" s="35" t="str">
        <f aca="false">IF($B2177="","",MAX(0,AN2177-Settings!$C$16)*Settings!$C$17)</f>
        <v/>
      </c>
      <c r="BC2177" s="35" t="str">
        <f aca="false">IF($B2177="","",BA2177-BB2177)</f>
        <v/>
      </c>
      <c r="BD2177" s="35" t="str">
        <f aca="false">IF(OR($B2177="",$A2177=""),"",DAY(EOMONTH($A2177,0))-COUNTA($F2177:$AJ2177))</f>
        <v/>
      </c>
    </row>
    <row r="2178" customFormat="false" ht="15" hidden="false" customHeight="false" outlineLevel="0" collapsed="false">
      <c r="A2178" s="32"/>
      <c r="B2178" s="29"/>
      <c r="C2178" s="10" t="str">
        <f aca="false">IF($B2178="","",IFERROR(INDEX(M_name,MATCH($B2178,M_emp,0)),"Code not found"))</f>
        <v/>
      </c>
      <c r="D2178" s="10" t="str">
        <f aca="false">IF($B2178="","",IFERROR(INDEX(M_dept,MATCH($B2178,M_emp,0)),""))</f>
        <v/>
      </c>
      <c r="E2178" s="10" t="str">
        <f aca="false">IF($B2178="","",IFERROR(INDEX(M_loc,MATCH($B2178,M_emp,0)),""))</f>
        <v/>
      </c>
      <c r="F2178" s="33"/>
      <c r="G2178" s="33"/>
      <c r="H2178" s="33"/>
      <c r="I2178" s="33"/>
      <c r="J2178" s="33"/>
      <c r="K2178" s="33"/>
      <c r="L2178" s="33"/>
      <c r="M2178" s="33"/>
      <c r="N2178" s="33"/>
      <c r="O2178" s="33"/>
      <c r="P2178" s="33"/>
      <c r="Q2178" s="33"/>
      <c r="R2178" s="33"/>
      <c r="S2178" s="33"/>
      <c r="T2178" s="33"/>
      <c r="U2178" s="33"/>
      <c r="V2178" s="33"/>
      <c r="W2178" s="33"/>
      <c r="X2178" s="33"/>
      <c r="Y2178" s="33"/>
      <c r="Z2178" s="33"/>
      <c r="AA2178" s="33"/>
      <c r="AB2178" s="33"/>
      <c r="AC2178" s="33"/>
      <c r="AD2178" s="33"/>
      <c r="AE2178" s="33"/>
      <c r="AF2178" s="33"/>
      <c r="AG2178" s="33"/>
      <c r="AH2178" s="33"/>
      <c r="AI2178" s="33"/>
      <c r="AJ2178" s="33"/>
      <c r="AK2178" s="34" t="str">
        <f aca="false">IF($B2178="","",COUNTIF($F2178:$AJ2178,"P"))</f>
        <v/>
      </c>
      <c r="AL2178" s="34" t="str">
        <f aca="false">IF($B2178="","",COUNTIF($F2178:$AJ2178,"A"))</f>
        <v/>
      </c>
      <c r="AM2178" s="34" t="str">
        <f aca="false">IF($B2178="","",COUNTIF($F2178:$AJ2178,"HA"))</f>
        <v/>
      </c>
      <c r="AN2178" s="34" t="str">
        <f aca="false">IF($B2178="","",COUNTIF($F2178:$AJ2178,"L"))</f>
        <v/>
      </c>
      <c r="AO2178" s="34" t="str">
        <f aca="false">IF($B2178="","",COUNTIF($F2178:$AJ2178,"PL"))</f>
        <v/>
      </c>
      <c r="AP2178" s="34" t="str">
        <f aca="false">IF($B2178="","",COUNTIF($F2178:$AJ2178,"CL"))</f>
        <v/>
      </c>
      <c r="AQ2178" s="34" t="str">
        <f aca="false">IF($B2178="","",COUNTIF($F2178:$AJ2178,"SL"))</f>
        <v/>
      </c>
      <c r="AR2178" s="34" t="str">
        <f aca="false">IF($B2178="","",COUNTIF($F2178:$AJ2178,"CO"))</f>
        <v/>
      </c>
      <c r="AS2178" s="34" t="str">
        <f aca="false">IF($B2178="","",COUNTIF($F2178:$AJ2178,"HPL"))</f>
        <v/>
      </c>
      <c r="AT2178" s="34" t="str">
        <f aca="false">IF($B2178="","",COUNTIF($F2178:$AJ2178,"HCL"))</f>
        <v/>
      </c>
      <c r="AU2178" s="34" t="str">
        <f aca="false">IF($B2178="","",COUNTIF($F2178:$AJ2178,"WO"))</f>
        <v/>
      </c>
      <c r="AV2178" s="34" t="str">
        <f aca="false">IF($B2178="","",COUNTIF($F2178:$AJ2178,"PH"))</f>
        <v/>
      </c>
      <c r="AW2178" s="34" t="str">
        <f aca="false">IF($B2178="","",COUNTIF($F2178:$AJ2178,"TR"))</f>
        <v/>
      </c>
      <c r="AX2178" s="35" t="str">
        <f aca="false">IF($B2178="","",AO2178+AS2178/2)</f>
        <v/>
      </c>
      <c r="AY2178" s="35" t="str">
        <f aca="false">IF($B2178="","",AQ2178)</f>
        <v/>
      </c>
      <c r="AZ2178" s="35" t="str">
        <f aca="false">IF($B2178="","",AP2178+AT2178/2)</f>
        <v/>
      </c>
      <c r="BA2178" s="35" t="str">
        <f aca="false">IF($B2178="","",AK2178+AN2178+AM2178/2+AO2178+AP2178+AQ2178+AR2178+AS2178+AT2178+AU2178+AV2178+AW2178)</f>
        <v/>
      </c>
      <c r="BB2178" s="35" t="str">
        <f aca="false">IF($B2178="","",MAX(0,AN2178-Settings!$C$16)*Settings!$C$17)</f>
        <v/>
      </c>
      <c r="BC2178" s="35" t="str">
        <f aca="false">IF($B2178="","",BA2178-BB2178)</f>
        <v/>
      </c>
      <c r="BD2178" s="35" t="str">
        <f aca="false">IF(OR($B2178="",$A2178=""),"",DAY(EOMONTH($A2178,0))-COUNTA($F2178:$AJ2178))</f>
        <v/>
      </c>
    </row>
    <row r="2179" customFormat="false" ht="15" hidden="false" customHeight="false" outlineLevel="0" collapsed="false">
      <c r="A2179" s="32"/>
      <c r="B2179" s="29"/>
      <c r="C2179" s="10" t="str">
        <f aca="false">IF($B2179="","",IFERROR(INDEX(M_name,MATCH($B2179,M_emp,0)),"Code not found"))</f>
        <v/>
      </c>
      <c r="D2179" s="10" t="str">
        <f aca="false">IF($B2179="","",IFERROR(INDEX(M_dept,MATCH($B2179,M_emp,0)),""))</f>
        <v/>
      </c>
      <c r="E2179" s="10" t="str">
        <f aca="false">IF($B2179="","",IFERROR(INDEX(M_loc,MATCH($B2179,M_emp,0)),""))</f>
        <v/>
      </c>
      <c r="F2179" s="33"/>
      <c r="G2179" s="33"/>
      <c r="H2179" s="33"/>
      <c r="I2179" s="33"/>
      <c r="J2179" s="33"/>
      <c r="K2179" s="33"/>
      <c r="L2179" s="33"/>
      <c r="M2179" s="33"/>
      <c r="N2179" s="33"/>
      <c r="O2179" s="33"/>
      <c r="P2179" s="33"/>
      <c r="Q2179" s="33"/>
      <c r="R2179" s="33"/>
      <c r="S2179" s="33"/>
      <c r="T2179" s="33"/>
      <c r="U2179" s="33"/>
      <c r="V2179" s="33"/>
      <c r="W2179" s="33"/>
      <c r="X2179" s="33"/>
      <c r="Y2179" s="33"/>
      <c r="Z2179" s="33"/>
      <c r="AA2179" s="33"/>
      <c r="AB2179" s="33"/>
      <c r="AC2179" s="33"/>
      <c r="AD2179" s="33"/>
      <c r="AE2179" s="33"/>
      <c r="AF2179" s="33"/>
      <c r="AG2179" s="33"/>
      <c r="AH2179" s="33"/>
      <c r="AI2179" s="33"/>
      <c r="AJ2179" s="33"/>
      <c r="AK2179" s="34" t="str">
        <f aca="false">IF($B2179="","",COUNTIF($F2179:$AJ2179,"P"))</f>
        <v/>
      </c>
      <c r="AL2179" s="34" t="str">
        <f aca="false">IF($B2179="","",COUNTIF($F2179:$AJ2179,"A"))</f>
        <v/>
      </c>
      <c r="AM2179" s="34" t="str">
        <f aca="false">IF($B2179="","",COUNTIF($F2179:$AJ2179,"HA"))</f>
        <v/>
      </c>
      <c r="AN2179" s="34" t="str">
        <f aca="false">IF($B2179="","",COUNTIF($F2179:$AJ2179,"L"))</f>
        <v/>
      </c>
      <c r="AO2179" s="34" t="str">
        <f aca="false">IF($B2179="","",COUNTIF($F2179:$AJ2179,"PL"))</f>
        <v/>
      </c>
      <c r="AP2179" s="34" t="str">
        <f aca="false">IF($B2179="","",COUNTIF($F2179:$AJ2179,"CL"))</f>
        <v/>
      </c>
      <c r="AQ2179" s="34" t="str">
        <f aca="false">IF($B2179="","",COUNTIF($F2179:$AJ2179,"SL"))</f>
        <v/>
      </c>
      <c r="AR2179" s="34" t="str">
        <f aca="false">IF($B2179="","",COUNTIF($F2179:$AJ2179,"CO"))</f>
        <v/>
      </c>
      <c r="AS2179" s="34" t="str">
        <f aca="false">IF($B2179="","",COUNTIF($F2179:$AJ2179,"HPL"))</f>
        <v/>
      </c>
      <c r="AT2179" s="34" t="str">
        <f aca="false">IF($B2179="","",COUNTIF($F2179:$AJ2179,"HCL"))</f>
        <v/>
      </c>
      <c r="AU2179" s="34" t="str">
        <f aca="false">IF($B2179="","",COUNTIF($F2179:$AJ2179,"WO"))</f>
        <v/>
      </c>
      <c r="AV2179" s="34" t="str">
        <f aca="false">IF($B2179="","",COUNTIF($F2179:$AJ2179,"PH"))</f>
        <v/>
      </c>
      <c r="AW2179" s="34" t="str">
        <f aca="false">IF($B2179="","",COUNTIF($F2179:$AJ2179,"TR"))</f>
        <v/>
      </c>
      <c r="AX2179" s="35" t="str">
        <f aca="false">IF($B2179="","",AO2179+AS2179/2)</f>
        <v/>
      </c>
      <c r="AY2179" s="35" t="str">
        <f aca="false">IF($B2179="","",AQ2179)</f>
        <v/>
      </c>
      <c r="AZ2179" s="35" t="str">
        <f aca="false">IF($B2179="","",AP2179+AT2179/2)</f>
        <v/>
      </c>
      <c r="BA2179" s="35" t="str">
        <f aca="false">IF($B2179="","",AK2179+AN2179+AM2179/2+AO2179+AP2179+AQ2179+AR2179+AS2179+AT2179+AU2179+AV2179+AW2179)</f>
        <v/>
      </c>
      <c r="BB2179" s="35" t="str">
        <f aca="false">IF($B2179="","",MAX(0,AN2179-Settings!$C$16)*Settings!$C$17)</f>
        <v/>
      </c>
      <c r="BC2179" s="35" t="str">
        <f aca="false">IF($B2179="","",BA2179-BB2179)</f>
        <v/>
      </c>
      <c r="BD2179" s="35" t="str">
        <f aca="false">IF(OR($B2179="",$A2179=""),"",DAY(EOMONTH($A2179,0))-COUNTA($F2179:$AJ2179))</f>
        <v/>
      </c>
    </row>
    <row r="2180" customFormat="false" ht="15" hidden="false" customHeight="false" outlineLevel="0" collapsed="false">
      <c r="A2180" s="32"/>
      <c r="B2180" s="29"/>
      <c r="C2180" s="10" t="str">
        <f aca="false">IF($B2180="","",IFERROR(INDEX(M_name,MATCH($B2180,M_emp,0)),"Code not found"))</f>
        <v/>
      </c>
      <c r="D2180" s="10" t="str">
        <f aca="false">IF($B2180="","",IFERROR(INDEX(M_dept,MATCH($B2180,M_emp,0)),""))</f>
        <v/>
      </c>
      <c r="E2180" s="10" t="str">
        <f aca="false">IF($B2180="","",IFERROR(INDEX(M_loc,MATCH($B2180,M_emp,0)),""))</f>
        <v/>
      </c>
      <c r="F2180" s="33"/>
      <c r="G2180" s="33"/>
      <c r="H2180" s="33"/>
      <c r="I2180" s="33"/>
      <c r="J2180" s="33"/>
      <c r="K2180" s="33"/>
      <c r="L2180" s="33"/>
      <c r="M2180" s="33"/>
      <c r="N2180" s="33"/>
      <c r="O2180" s="33"/>
      <c r="P2180" s="33"/>
      <c r="Q2180" s="33"/>
      <c r="R2180" s="33"/>
      <c r="S2180" s="33"/>
      <c r="T2180" s="33"/>
      <c r="U2180" s="33"/>
      <c r="V2180" s="33"/>
      <c r="W2180" s="33"/>
      <c r="X2180" s="33"/>
      <c r="Y2180" s="33"/>
      <c r="Z2180" s="33"/>
      <c r="AA2180" s="33"/>
      <c r="AB2180" s="33"/>
      <c r="AC2180" s="33"/>
      <c r="AD2180" s="33"/>
      <c r="AE2180" s="33"/>
      <c r="AF2180" s="33"/>
      <c r="AG2180" s="33"/>
      <c r="AH2180" s="33"/>
      <c r="AI2180" s="33"/>
      <c r="AJ2180" s="33"/>
      <c r="AK2180" s="34" t="str">
        <f aca="false">IF($B2180="","",COUNTIF($F2180:$AJ2180,"P"))</f>
        <v/>
      </c>
      <c r="AL2180" s="34" t="str">
        <f aca="false">IF($B2180="","",COUNTIF($F2180:$AJ2180,"A"))</f>
        <v/>
      </c>
      <c r="AM2180" s="34" t="str">
        <f aca="false">IF($B2180="","",COUNTIF($F2180:$AJ2180,"HA"))</f>
        <v/>
      </c>
      <c r="AN2180" s="34" t="str">
        <f aca="false">IF($B2180="","",COUNTIF($F2180:$AJ2180,"L"))</f>
        <v/>
      </c>
      <c r="AO2180" s="34" t="str">
        <f aca="false">IF($B2180="","",COUNTIF($F2180:$AJ2180,"PL"))</f>
        <v/>
      </c>
      <c r="AP2180" s="34" t="str">
        <f aca="false">IF($B2180="","",COUNTIF($F2180:$AJ2180,"CL"))</f>
        <v/>
      </c>
      <c r="AQ2180" s="34" t="str">
        <f aca="false">IF($B2180="","",COUNTIF($F2180:$AJ2180,"SL"))</f>
        <v/>
      </c>
      <c r="AR2180" s="34" t="str">
        <f aca="false">IF($B2180="","",COUNTIF($F2180:$AJ2180,"CO"))</f>
        <v/>
      </c>
      <c r="AS2180" s="34" t="str">
        <f aca="false">IF($B2180="","",COUNTIF($F2180:$AJ2180,"HPL"))</f>
        <v/>
      </c>
      <c r="AT2180" s="34" t="str">
        <f aca="false">IF($B2180="","",COUNTIF($F2180:$AJ2180,"HCL"))</f>
        <v/>
      </c>
      <c r="AU2180" s="34" t="str">
        <f aca="false">IF($B2180="","",COUNTIF($F2180:$AJ2180,"WO"))</f>
        <v/>
      </c>
      <c r="AV2180" s="34" t="str">
        <f aca="false">IF($B2180="","",COUNTIF($F2180:$AJ2180,"PH"))</f>
        <v/>
      </c>
      <c r="AW2180" s="34" t="str">
        <f aca="false">IF($B2180="","",COUNTIF($F2180:$AJ2180,"TR"))</f>
        <v/>
      </c>
      <c r="AX2180" s="35" t="str">
        <f aca="false">IF($B2180="","",AO2180+AS2180/2)</f>
        <v/>
      </c>
      <c r="AY2180" s="35" t="str">
        <f aca="false">IF($B2180="","",AQ2180)</f>
        <v/>
      </c>
      <c r="AZ2180" s="35" t="str">
        <f aca="false">IF($B2180="","",AP2180+AT2180/2)</f>
        <v/>
      </c>
      <c r="BA2180" s="35" t="str">
        <f aca="false">IF($B2180="","",AK2180+AN2180+AM2180/2+AO2180+AP2180+AQ2180+AR2180+AS2180+AT2180+AU2180+AV2180+AW2180)</f>
        <v/>
      </c>
      <c r="BB2180" s="35" t="str">
        <f aca="false">IF($B2180="","",MAX(0,AN2180-Settings!$C$16)*Settings!$C$17)</f>
        <v/>
      </c>
      <c r="BC2180" s="35" t="str">
        <f aca="false">IF($B2180="","",BA2180-BB2180)</f>
        <v/>
      </c>
      <c r="BD2180" s="35" t="str">
        <f aca="false">IF(OR($B2180="",$A2180=""),"",DAY(EOMONTH($A2180,0))-COUNTA($F2180:$AJ2180))</f>
        <v/>
      </c>
    </row>
    <row r="2181" customFormat="false" ht="15" hidden="false" customHeight="false" outlineLevel="0" collapsed="false">
      <c r="A2181" s="32"/>
      <c r="B2181" s="29"/>
      <c r="C2181" s="10" t="str">
        <f aca="false">IF($B2181="","",IFERROR(INDEX(M_name,MATCH($B2181,M_emp,0)),"Code not found"))</f>
        <v/>
      </c>
      <c r="D2181" s="10" t="str">
        <f aca="false">IF($B2181="","",IFERROR(INDEX(M_dept,MATCH($B2181,M_emp,0)),""))</f>
        <v/>
      </c>
      <c r="E2181" s="10" t="str">
        <f aca="false">IF($B2181="","",IFERROR(INDEX(M_loc,MATCH($B2181,M_emp,0)),""))</f>
        <v/>
      </c>
      <c r="F2181" s="33"/>
      <c r="G2181" s="33"/>
      <c r="H2181" s="33"/>
      <c r="I2181" s="33"/>
      <c r="J2181" s="33"/>
      <c r="K2181" s="33"/>
      <c r="L2181" s="33"/>
      <c r="M2181" s="33"/>
      <c r="N2181" s="33"/>
      <c r="O2181" s="33"/>
      <c r="P2181" s="33"/>
      <c r="Q2181" s="33"/>
      <c r="R2181" s="33"/>
      <c r="S2181" s="33"/>
      <c r="T2181" s="33"/>
      <c r="U2181" s="33"/>
      <c r="V2181" s="33"/>
      <c r="W2181" s="33"/>
      <c r="X2181" s="33"/>
      <c r="Y2181" s="33"/>
      <c r="Z2181" s="33"/>
      <c r="AA2181" s="33"/>
      <c r="AB2181" s="33"/>
      <c r="AC2181" s="33"/>
      <c r="AD2181" s="33"/>
      <c r="AE2181" s="33"/>
      <c r="AF2181" s="33"/>
      <c r="AG2181" s="33"/>
      <c r="AH2181" s="33"/>
      <c r="AI2181" s="33"/>
      <c r="AJ2181" s="33"/>
      <c r="AK2181" s="34" t="str">
        <f aca="false">IF($B2181="","",COUNTIF($F2181:$AJ2181,"P"))</f>
        <v/>
      </c>
      <c r="AL2181" s="34" t="str">
        <f aca="false">IF($B2181="","",COUNTIF($F2181:$AJ2181,"A"))</f>
        <v/>
      </c>
      <c r="AM2181" s="34" t="str">
        <f aca="false">IF($B2181="","",COUNTIF($F2181:$AJ2181,"HA"))</f>
        <v/>
      </c>
      <c r="AN2181" s="34" t="str">
        <f aca="false">IF($B2181="","",COUNTIF($F2181:$AJ2181,"L"))</f>
        <v/>
      </c>
      <c r="AO2181" s="34" t="str">
        <f aca="false">IF($B2181="","",COUNTIF($F2181:$AJ2181,"PL"))</f>
        <v/>
      </c>
      <c r="AP2181" s="34" t="str">
        <f aca="false">IF($B2181="","",COUNTIF($F2181:$AJ2181,"CL"))</f>
        <v/>
      </c>
      <c r="AQ2181" s="34" t="str">
        <f aca="false">IF($B2181="","",COUNTIF($F2181:$AJ2181,"SL"))</f>
        <v/>
      </c>
      <c r="AR2181" s="34" t="str">
        <f aca="false">IF($B2181="","",COUNTIF($F2181:$AJ2181,"CO"))</f>
        <v/>
      </c>
      <c r="AS2181" s="34" t="str">
        <f aca="false">IF($B2181="","",COUNTIF($F2181:$AJ2181,"HPL"))</f>
        <v/>
      </c>
      <c r="AT2181" s="34" t="str">
        <f aca="false">IF($B2181="","",COUNTIF($F2181:$AJ2181,"HCL"))</f>
        <v/>
      </c>
      <c r="AU2181" s="34" t="str">
        <f aca="false">IF($B2181="","",COUNTIF($F2181:$AJ2181,"WO"))</f>
        <v/>
      </c>
      <c r="AV2181" s="34" t="str">
        <f aca="false">IF($B2181="","",COUNTIF($F2181:$AJ2181,"PH"))</f>
        <v/>
      </c>
      <c r="AW2181" s="34" t="str">
        <f aca="false">IF($B2181="","",COUNTIF($F2181:$AJ2181,"TR"))</f>
        <v/>
      </c>
      <c r="AX2181" s="35" t="str">
        <f aca="false">IF($B2181="","",AO2181+AS2181/2)</f>
        <v/>
      </c>
      <c r="AY2181" s="35" t="str">
        <f aca="false">IF($B2181="","",AQ2181)</f>
        <v/>
      </c>
      <c r="AZ2181" s="35" t="str">
        <f aca="false">IF($B2181="","",AP2181+AT2181/2)</f>
        <v/>
      </c>
      <c r="BA2181" s="35" t="str">
        <f aca="false">IF($B2181="","",AK2181+AN2181+AM2181/2+AO2181+AP2181+AQ2181+AR2181+AS2181+AT2181+AU2181+AV2181+AW2181)</f>
        <v/>
      </c>
      <c r="BB2181" s="35" t="str">
        <f aca="false">IF($B2181="","",MAX(0,AN2181-Settings!$C$16)*Settings!$C$17)</f>
        <v/>
      </c>
      <c r="BC2181" s="35" t="str">
        <f aca="false">IF($B2181="","",BA2181-BB2181)</f>
        <v/>
      </c>
      <c r="BD2181" s="35" t="str">
        <f aca="false">IF(OR($B2181="",$A2181=""),"",DAY(EOMONTH($A2181,0))-COUNTA($F2181:$AJ2181))</f>
        <v/>
      </c>
    </row>
    <row r="2182" customFormat="false" ht="15" hidden="false" customHeight="false" outlineLevel="0" collapsed="false">
      <c r="A2182" s="32"/>
      <c r="B2182" s="29"/>
      <c r="C2182" s="10" t="str">
        <f aca="false">IF($B2182="","",IFERROR(INDEX(M_name,MATCH($B2182,M_emp,0)),"Code not found"))</f>
        <v/>
      </c>
      <c r="D2182" s="10" t="str">
        <f aca="false">IF($B2182="","",IFERROR(INDEX(M_dept,MATCH($B2182,M_emp,0)),""))</f>
        <v/>
      </c>
      <c r="E2182" s="10" t="str">
        <f aca="false">IF($B2182="","",IFERROR(INDEX(M_loc,MATCH($B2182,M_emp,0)),""))</f>
        <v/>
      </c>
      <c r="F2182" s="33"/>
      <c r="G2182" s="33"/>
      <c r="H2182" s="33"/>
      <c r="I2182" s="33"/>
      <c r="J2182" s="33"/>
      <c r="K2182" s="33"/>
      <c r="L2182" s="33"/>
      <c r="M2182" s="33"/>
      <c r="N2182" s="33"/>
      <c r="O2182" s="33"/>
      <c r="P2182" s="33"/>
      <c r="Q2182" s="33"/>
      <c r="R2182" s="33"/>
      <c r="S2182" s="33"/>
      <c r="T2182" s="33"/>
      <c r="U2182" s="33"/>
      <c r="V2182" s="33"/>
      <c r="W2182" s="33"/>
      <c r="X2182" s="33"/>
      <c r="Y2182" s="33"/>
      <c r="Z2182" s="33"/>
      <c r="AA2182" s="33"/>
      <c r="AB2182" s="33"/>
      <c r="AC2182" s="33"/>
      <c r="AD2182" s="33"/>
      <c r="AE2182" s="33"/>
      <c r="AF2182" s="33"/>
      <c r="AG2182" s="33"/>
      <c r="AH2182" s="33"/>
      <c r="AI2182" s="33"/>
      <c r="AJ2182" s="33"/>
      <c r="AK2182" s="34" t="str">
        <f aca="false">IF($B2182="","",COUNTIF($F2182:$AJ2182,"P"))</f>
        <v/>
      </c>
      <c r="AL2182" s="34" t="str">
        <f aca="false">IF($B2182="","",COUNTIF($F2182:$AJ2182,"A"))</f>
        <v/>
      </c>
      <c r="AM2182" s="34" t="str">
        <f aca="false">IF($B2182="","",COUNTIF($F2182:$AJ2182,"HA"))</f>
        <v/>
      </c>
      <c r="AN2182" s="34" t="str">
        <f aca="false">IF($B2182="","",COUNTIF($F2182:$AJ2182,"L"))</f>
        <v/>
      </c>
      <c r="AO2182" s="34" t="str">
        <f aca="false">IF($B2182="","",COUNTIF($F2182:$AJ2182,"PL"))</f>
        <v/>
      </c>
      <c r="AP2182" s="34" t="str">
        <f aca="false">IF($B2182="","",COUNTIF($F2182:$AJ2182,"CL"))</f>
        <v/>
      </c>
      <c r="AQ2182" s="34" t="str">
        <f aca="false">IF($B2182="","",COUNTIF($F2182:$AJ2182,"SL"))</f>
        <v/>
      </c>
      <c r="AR2182" s="34" t="str">
        <f aca="false">IF($B2182="","",COUNTIF($F2182:$AJ2182,"CO"))</f>
        <v/>
      </c>
      <c r="AS2182" s="34" t="str">
        <f aca="false">IF($B2182="","",COUNTIF($F2182:$AJ2182,"HPL"))</f>
        <v/>
      </c>
      <c r="AT2182" s="34" t="str">
        <f aca="false">IF($B2182="","",COUNTIF($F2182:$AJ2182,"HCL"))</f>
        <v/>
      </c>
      <c r="AU2182" s="34" t="str">
        <f aca="false">IF($B2182="","",COUNTIF($F2182:$AJ2182,"WO"))</f>
        <v/>
      </c>
      <c r="AV2182" s="34" t="str">
        <f aca="false">IF($B2182="","",COUNTIF($F2182:$AJ2182,"PH"))</f>
        <v/>
      </c>
      <c r="AW2182" s="34" t="str">
        <f aca="false">IF($B2182="","",COUNTIF($F2182:$AJ2182,"TR"))</f>
        <v/>
      </c>
      <c r="AX2182" s="35" t="str">
        <f aca="false">IF($B2182="","",AO2182+AS2182/2)</f>
        <v/>
      </c>
      <c r="AY2182" s="35" t="str">
        <f aca="false">IF($B2182="","",AQ2182)</f>
        <v/>
      </c>
      <c r="AZ2182" s="35" t="str">
        <f aca="false">IF($B2182="","",AP2182+AT2182/2)</f>
        <v/>
      </c>
      <c r="BA2182" s="35" t="str">
        <f aca="false">IF($B2182="","",AK2182+AN2182+AM2182/2+AO2182+AP2182+AQ2182+AR2182+AS2182+AT2182+AU2182+AV2182+AW2182)</f>
        <v/>
      </c>
      <c r="BB2182" s="35" t="str">
        <f aca="false">IF($B2182="","",MAX(0,AN2182-Settings!$C$16)*Settings!$C$17)</f>
        <v/>
      </c>
      <c r="BC2182" s="35" t="str">
        <f aca="false">IF($B2182="","",BA2182-BB2182)</f>
        <v/>
      </c>
      <c r="BD2182" s="35" t="str">
        <f aca="false">IF(OR($B2182="",$A2182=""),"",DAY(EOMONTH($A2182,0))-COUNTA($F2182:$AJ2182))</f>
        <v/>
      </c>
    </row>
    <row r="2183" customFormat="false" ht="15" hidden="false" customHeight="false" outlineLevel="0" collapsed="false">
      <c r="A2183" s="32"/>
      <c r="B2183" s="29"/>
      <c r="C2183" s="10" t="str">
        <f aca="false">IF($B2183="","",IFERROR(INDEX(M_name,MATCH($B2183,M_emp,0)),"Code not found"))</f>
        <v/>
      </c>
      <c r="D2183" s="10" t="str">
        <f aca="false">IF($B2183="","",IFERROR(INDEX(M_dept,MATCH($B2183,M_emp,0)),""))</f>
        <v/>
      </c>
      <c r="E2183" s="10" t="str">
        <f aca="false">IF($B2183="","",IFERROR(INDEX(M_loc,MATCH($B2183,M_emp,0)),""))</f>
        <v/>
      </c>
      <c r="F2183" s="33"/>
      <c r="G2183" s="33"/>
      <c r="H2183" s="33"/>
      <c r="I2183" s="33"/>
      <c r="J2183" s="33"/>
      <c r="K2183" s="33"/>
      <c r="L2183" s="33"/>
      <c r="M2183" s="33"/>
      <c r="N2183" s="33"/>
      <c r="O2183" s="33"/>
      <c r="P2183" s="33"/>
      <c r="Q2183" s="33"/>
      <c r="R2183" s="33"/>
      <c r="S2183" s="33"/>
      <c r="T2183" s="33"/>
      <c r="U2183" s="33"/>
      <c r="V2183" s="33"/>
      <c r="W2183" s="33"/>
      <c r="X2183" s="33"/>
      <c r="Y2183" s="33"/>
      <c r="Z2183" s="33"/>
      <c r="AA2183" s="33"/>
      <c r="AB2183" s="33"/>
      <c r="AC2183" s="33"/>
      <c r="AD2183" s="33"/>
      <c r="AE2183" s="33"/>
      <c r="AF2183" s="33"/>
      <c r="AG2183" s="33"/>
      <c r="AH2183" s="33"/>
      <c r="AI2183" s="33"/>
      <c r="AJ2183" s="33"/>
      <c r="AK2183" s="34" t="str">
        <f aca="false">IF($B2183="","",COUNTIF($F2183:$AJ2183,"P"))</f>
        <v/>
      </c>
      <c r="AL2183" s="34" t="str">
        <f aca="false">IF($B2183="","",COUNTIF($F2183:$AJ2183,"A"))</f>
        <v/>
      </c>
      <c r="AM2183" s="34" t="str">
        <f aca="false">IF($B2183="","",COUNTIF($F2183:$AJ2183,"HA"))</f>
        <v/>
      </c>
      <c r="AN2183" s="34" t="str">
        <f aca="false">IF($B2183="","",COUNTIF($F2183:$AJ2183,"L"))</f>
        <v/>
      </c>
      <c r="AO2183" s="34" t="str">
        <f aca="false">IF($B2183="","",COUNTIF($F2183:$AJ2183,"PL"))</f>
        <v/>
      </c>
      <c r="AP2183" s="34" t="str">
        <f aca="false">IF($B2183="","",COUNTIF($F2183:$AJ2183,"CL"))</f>
        <v/>
      </c>
      <c r="AQ2183" s="34" t="str">
        <f aca="false">IF($B2183="","",COUNTIF($F2183:$AJ2183,"SL"))</f>
        <v/>
      </c>
      <c r="AR2183" s="34" t="str">
        <f aca="false">IF($B2183="","",COUNTIF($F2183:$AJ2183,"CO"))</f>
        <v/>
      </c>
      <c r="AS2183" s="34" t="str">
        <f aca="false">IF($B2183="","",COUNTIF($F2183:$AJ2183,"HPL"))</f>
        <v/>
      </c>
      <c r="AT2183" s="34" t="str">
        <f aca="false">IF($B2183="","",COUNTIF($F2183:$AJ2183,"HCL"))</f>
        <v/>
      </c>
      <c r="AU2183" s="34" t="str">
        <f aca="false">IF($B2183="","",COUNTIF($F2183:$AJ2183,"WO"))</f>
        <v/>
      </c>
      <c r="AV2183" s="34" t="str">
        <f aca="false">IF($B2183="","",COUNTIF($F2183:$AJ2183,"PH"))</f>
        <v/>
      </c>
      <c r="AW2183" s="34" t="str">
        <f aca="false">IF($B2183="","",COUNTIF($F2183:$AJ2183,"TR"))</f>
        <v/>
      </c>
      <c r="AX2183" s="35" t="str">
        <f aca="false">IF($B2183="","",AO2183+AS2183/2)</f>
        <v/>
      </c>
      <c r="AY2183" s="35" t="str">
        <f aca="false">IF($B2183="","",AQ2183)</f>
        <v/>
      </c>
      <c r="AZ2183" s="35" t="str">
        <f aca="false">IF($B2183="","",AP2183+AT2183/2)</f>
        <v/>
      </c>
      <c r="BA2183" s="35" t="str">
        <f aca="false">IF($B2183="","",AK2183+AN2183+AM2183/2+AO2183+AP2183+AQ2183+AR2183+AS2183+AT2183+AU2183+AV2183+AW2183)</f>
        <v/>
      </c>
      <c r="BB2183" s="35" t="str">
        <f aca="false">IF($B2183="","",MAX(0,AN2183-Settings!$C$16)*Settings!$C$17)</f>
        <v/>
      </c>
      <c r="BC2183" s="35" t="str">
        <f aca="false">IF($B2183="","",BA2183-BB2183)</f>
        <v/>
      </c>
      <c r="BD2183" s="35" t="str">
        <f aca="false">IF(OR($B2183="",$A2183=""),"",DAY(EOMONTH($A2183,0))-COUNTA($F2183:$AJ2183))</f>
        <v/>
      </c>
    </row>
    <row r="2184" customFormat="false" ht="15" hidden="false" customHeight="false" outlineLevel="0" collapsed="false">
      <c r="A2184" s="32"/>
      <c r="B2184" s="29"/>
      <c r="C2184" s="10" t="str">
        <f aca="false">IF($B2184="","",IFERROR(INDEX(M_name,MATCH($B2184,M_emp,0)),"Code not found"))</f>
        <v/>
      </c>
      <c r="D2184" s="10" t="str">
        <f aca="false">IF($B2184="","",IFERROR(INDEX(M_dept,MATCH($B2184,M_emp,0)),""))</f>
        <v/>
      </c>
      <c r="E2184" s="10" t="str">
        <f aca="false">IF($B2184="","",IFERROR(INDEX(M_loc,MATCH($B2184,M_emp,0)),""))</f>
        <v/>
      </c>
      <c r="F2184" s="33"/>
      <c r="G2184" s="33"/>
      <c r="H2184" s="33"/>
      <c r="I2184" s="33"/>
      <c r="J2184" s="33"/>
      <c r="K2184" s="33"/>
      <c r="L2184" s="33"/>
      <c r="M2184" s="33"/>
      <c r="N2184" s="33"/>
      <c r="O2184" s="33"/>
      <c r="P2184" s="33"/>
      <c r="Q2184" s="33"/>
      <c r="R2184" s="33"/>
      <c r="S2184" s="33"/>
      <c r="T2184" s="33"/>
      <c r="U2184" s="33"/>
      <c r="V2184" s="33"/>
      <c r="W2184" s="33"/>
      <c r="X2184" s="33"/>
      <c r="Y2184" s="33"/>
      <c r="Z2184" s="33"/>
      <c r="AA2184" s="33"/>
      <c r="AB2184" s="33"/>
      <c r="AC2184" s="33"/>
      <c r="AD2184" s="33"/>
      <c r="AE2184" s="33"/>
      <c r="AF2184" s="33"/>
      <c r="AG2184" s="33"/>
      <c r="AH2184" s="33"/>
      <c r="AI2184" s="33"/>
      <c r="AJ2184" s="33"/>
      <c r="AK2184" s="34" t="str">
        <f aca="false">IF($B2184="","",COUNTIF($F2184:$AJ2184,"P"))</f>
        <v/>
      </c>
      <c r="AL2184" s="34" t="str">
        <f aca="false">IF($B2184="","",COUNTIF($F2184:$AJ2184,"A"))</f>
        <v/>
      </c>
      <c r="AM2184" s="34" t="str">
        <f aca="false">IF($B2184="","",COUNTIF($F2184:$AJ2184,"HA"))</f>
        <v/>
      </c>
      <c r="AN2184" s="34" t="str">
        <f aca="false">IF($B2184="","",COUNTIF($F2184:$AJ2184,"L"))</f>
        <v/>
      </c>
      <c r="AO2184" s="34" t="str">
        <f aca="false">IF($B2184="","",COUNTIF($F2184:$AJ2184,"PL"))</f>
        <v/>
      </c>
      <c r="AP2184" s="34" t="str">
        <f aca="false">IF($B2184="","",COUNTIF($F2184:$AJ2184,"CL"))</f>
        <v/>
      </c>
      <c r="AQ2184" s="34" t="str">
        <f aca="false">IF($B2184="","",COUNTIF($F2184:$AJ2184,"SL"))</f>
        <v/>
      </c>
      <c r="AR2184" s="34" t="str">
        <f aca="false">IF($B2184="","",COUNTIF($F2184:$AJ2184,"CO"))</f>
        <v/>
      </c>
      <c r="AS2184" s="34" t="str">
        <f aca="false">IF($B2184="","",COUNTIF($F2184:$AJ2184,"HPL"))</f>
        <v/>
      </c>
      <c r="AT2184" s="34" t="str">
        <f aca="false">IF($B2184="","",COUNTIF($F2184:$AJ2184,"HCL"))</f>
        <v/>
      </c>
      <c r="AU2184" s="34" t="str">
        <f aca="false">IF($B2184="","",COUNTIF($F2184:$AJ2184,"WO"))</f>
        <v/>
      </c>
      <c r="AV2184" s="34" t="str">
        <f aca="false">IF($B2184="","",COUNTIF($F2184:$AJ2184,"PH"))</f>
        <v/>
      </c>
      <c r="AW2184" s="34" t="str">
        <f aca="false">IF($B2184="","",COUNTIF($F2184:$AJ2184,"TR"))</f>
        <v/>
      </c>
      <c r="AX2184" s="35" t="str">
        <f aca="false">IF($B2184="","",AO2184+AS2184/2)</f>
        <v/>
      </c>
      <c r="AY2184" s="35" t="str">
        <f aca="false">IF($B2184="","",AQ2184)</f>
        <v/>
      </c>
      <c r="AZ2184" s="35" t="str">
        <f aca="false">IF($B2184="","",AP2184+AT2184/2)</f>
        <v/>
      </c>
      <c r="BA2184" s="35" t="str">
        <f aca="false">IF($B2184="","",AK2184+AN2184+AM2184/2+AO2184+AP2184+AQ2184+AR2184+AS2184+AT2184+AU2184+AV2184+AW2184)</f>
        <v/>
      </c>
      <c r="BB2184" s="35" t="str">
        <f aca="false">IF($B2184="","",MAX(0,AN2184-Settings!$C$16)*Settings!$C$17)</f>
        <v/>
      </c>
      <c r="BC2184" s="35" t="str">
        <f aca="false">IF($B2184="","",BA2184-BB2184)</f>
        <v/>
      </c>
      <c r="BD2184" s="35" t="str">
        <f aca="false">IF(OR($B2184="",$A2184=""),"",DAY(EOMONTH($A2184,0))-COUNTA($F2184:$AJ2184))</f>
        <v/>
      </c>
    </row>
    <row r="2185" customFormat="false" ht="15" hidden="false" customHeight="false" outlineLevel="0" collapsed="false">
      <c r="A2185" s="32"/>
      <c r="B2185" s="29"/>
      <c r="C2185" s="10" t="str">
        <f aca="false">IF($B2185="","",IFERROR(INDEX(M_name,MATCH($B2185,M_emp,0)),"Code not found"))</f>
        <v/>
      </c>
      <c r="D2185" s="10" t="str">
        <f aca="false">IF($B2185="","",IFERROR(INDEX(M_dept,MATCH($B2185,M_emp,0)),""))</f>
        <v/>
      </c>
      <c r="E2185" s="10" t="str">
        <f aca="false">IF($B2185="","",IFERROR(INDEX(M_loc,MATCH($B2185,M_emp,0)),""))</f>
        <v/>
      </c>
      <c r="F2185" s="33"/>
      <c r="G2185" s="33"/>
      <c r="H2185" s="33"/>
      <c r="I2185" s="33"/>
      <c r="J2185" s="33"/>
      <c r="K2185" s="33"/>
      <c r="L2185" s="33"/>
      <c r="M2185" s="33"/>
      <c r="N2185" s="33"/>
      <c r="O2185" s="33"/>
      <c r="P2185" s="33"/>
      <c r="Q2185" s="33"/>
      <c r="R2185" s="33"/>
      <c r="S2185" s="33"/>
      <c r="T2185" s="33"/>
      <c r="U2185" s="33"/>
      <c r="V2185" s="33"/>
      <c r="W2185" s="33"/>
      <c r="X2185" s="33"/>
      <c r="Y2185" s="33"/>
      <c r="Z2185" s="33"/>
      <c r="AA2185" s="33"/>
      <c r="AB2185" s="33"/>
      <c r="AC2185" s="33"/>
      <c r="AD2185" s="33"/>
      <c r="AE2185" s="33"/>
      <c r="AF2185" s="33"/>
      <c r="AG2185" s="33"/>
      <c r="AH2185" s="33"/>
      <c r="AI2185" s="33"/>
      <c r="AJ2185" s="33"/>
      <c r="AK2185" s="34" t="str">
        <f aca="false">IF($B2185="","",COUNTIF($F2185:$AJ2185,"P"))</f>
        <v/>
      </c>
      <c r="AL2185" s="34" t="str">
        <f aca="false">IF($B2185="","",COUNTIF($F2185:$AJ2185,"A"))</f>
        <v/>
      </c>
      <c r="AM2185" s="34" t="str">
        <f aca="false">IF($B2185="","",COUNTIF($F2185:$AJ2185,"HA"))</f>
        <v/>
      </c>
      <c r="AN2185" s="34" t="str">
        <f aca="false">IF($B2185="","",COUNTIF($F2185:$AJ2185,"L"))</f>
        <v/>
      </c>
      <c r="AO2185" s="34" t="str">
        <f aca="false">IF($B2185="","",COUNTIF($F2185:$AJ2185,"PL"))</f>
        <v/>
      </c>
      <c r="AP2185" s="34" t="str">
        <f aca="false">IF($B2185="","",COUNTIF($F2185:$AJ2185,"CL"))</f>
        <v/>
      </c>
      <c r="AQ2185" s="34" t="str">
        <f aca="false">IF($B2185="","",COUNTIF($F2185:$AJ2185,"SL"))</f>
        <v/>
      </c>
      <c r="AR2185" s="34" t="str">
        <f aca="false">IF($B2185="","",COUNTIF($F2185:$AJ2185,"CO"))</f>
        <v/>
      </c>
      <c r="AS2185" s="34" t="str">
        <f aca="false">IF($B2185="","",COUNTIF($F2185:$AJ2185,"HPL"))</f>
        <v/>
      </c>
      <c r="AT2185" s="34" t="str">
        <f aca="false">IF($B2185="","",COUNTIF($F2185:$AJ2185,"HCL"))</f>
        <v/>
      </c>
      <c r="AU2185" s="34" t="str">
        <f aca="false">IF($B2185="","",COUNTIF($F2185:$AJ2185,"WO"))</f>
        <v/>
      </c>
      <c r="AV2185" s="34" t="str">
        <f aca="false">IF($B2185="","",COUNTIF($F2185:$AJ2185,"PH"))</f>
        <v/>
      </c>
      <c r="AW2185" s="34" t="str">
        <f aca="false">IF($B2185="","",COUNTIF($F2185:$AJ2185,"TR"))</f>
        <v/>
      </c>
      <c r="AX2185" s="35" t="str">
        <f aca="false">IF($B2185="","",AO2185+AS2185/2)</f>
        <v/>
      </c>
      <c r="AY2185" s="35" t="str">
        <f aca="false">IF($B2185="","",AQ2185)</f>
        <v/>
      </c>
      <c r="AZ2185" s="35" t="str">
        <f aca="false">IF($B2185="","",AP2185+AT2185/2)</f>
        <v/>
      </c>
      <c r="BA2185" s="35" t="str">
        <f aca="false">IF($B2185="","",AK2185+AN2185+AM2185/2+AO2185+AP2185+AQ2185+AR2185+AS2185+AT2185+AU2185+AV2185+AW2185)</f>
        <v/>
      </c>
      <c r="BB2185" s="35" t="str">
        <f aca="false">IF($B2185="","",MAX(0,AN2185-Settings!$C$16)*Settings!$C$17)</f>
        <v/>
      </c>
      <c r="BC2185" s="35" t="str">
        <f aca="false">IF($B2185="","",BA2185-BB2185)</f>
        <v/>
      </c>
      <c r="BD2185" s="35" t="str">
        <f aca="false">IF(OR($B2185="",$A2185=""),"",DAY(EOMONTH($A2185,0))-COUNTA($F2185:$AJ2185))</f>
        <v/>
      </c>
    </row>
    <row r="2186" customFormat="false" ht="15" hidden="false" customHeight="false" outlineLevel="0" collapsed="false">
      <c r="A2186" s="32"/>
      <c r="B2186" s="29"/>
      <c r="C2186" s="10" t="str">
        <f aca="false">IF($B2186="","",IFERROR(INDEX(M_name,MATCH($B2186,M_emp,0)),"Code not found"))</f>
        <v/>
      </c>
      <c r="D2186" s="10" t="str">
        <f aca="false">IF($B2186="","",IFERROR(INDEX(M_dept,MATCH($B2186,M_emp,0)),""))</f>
        <v/>
      </c>
      <c r="E2186" s="10" t="str">
        <f aca="false">IF($B2186="","",IFERROR(INDEX(M_loc,MATCH($B2186,M_emp,0)),""))</f>
        <v/>
      </c>
      <c r="F2186" s="33"/>
      <c r="G2186" s="33"/>
      <c r="H2186" s="33"/>
      <c r="I2186" s="33"/>
      <c r="J2186" s="33"/>
      <c r="K2186" s="33"/>
      <c r="L2186" s="33"/>
      <c r="M2186" s="33"/>
      <c r="N2186" s="33"/>
      <c r="O2186" s="33"/>
      <c r="P2186" s="33"/>
      <c r="Q2186" s="33"/>
      <c r="R2186" s="33"/>
      <c r="S2186" s="33"/>
      <c r="T2186" s="33"/>
      <c r="U2186" s="33"/>
      <c r="V2186" s="33"/>
      <c r="W2186" s="33"/>
      <c r="X2186" s="33"/>
      <c r="Y2186" s="33"/>
      <c r="Z2186" s="33"/>
      <c r="AA2186" s="33"/>
      <c r="AB2186" s="33"/>
      <c r="AC2186" s="33"/>
      <c r="AD2186" s="33"/>
      <c r="AE2186" s="33"/>
      <c r="AF2186" s="33"/>
      <c r="AG2186" s="33"/>
      <c r="AH2186" s="33"/>
      <c r="AI2186" s="33"/>
      <c r="AJ2186" s="33"/>
      <c r="AK2186" s="34" t="str">
        <f aca="false">IF($B2186="","",COUNTIF($F2186:$AJ2186,"P"))</f>
        <v/>
      </c>
      <c r="AL2186" s="34" t="str">
        <f aca="false">IF($B2186="","",COUNTIF($F2186:$AJ2186,"A"))</f>
        <v/>
      </c>
      <c r="AM2186" s="34" t="str">
        <f aca="false">IF($B2186="","",COUNTIF($F2186:$AJ2186,"HA"))</f>
        <v/>
      </c>
      <c r="AN2186" s="34" t="str">
        <f aca="false">IF($B2186="","",COUNTIF($F2186:$AJ2186,"L"))</f>
        <v/>
      </c>
      <c r="AO2186" s="34" t="str">
        <f aca="false">IF($B2186="","",COUNTIF($F2186:$AJ2186,"PL"))</f>
        <v/>
      </c>
      <c r="AP2186" s="34" t="str">
        <f aca="false">IF($B2186="","",COUNTIF($F2186:$AJ2186,"CL"))</f>
        <v/>
      </c>
      <c r="AQ2186" s="34" t="str">
        <f aca="false">IF($B2186="","",COUNTIF($F2186:$AJ2186,"SL"))</f>
        <v/>
      </c>
      <c r="AR2186" s="34" t="str">
        <f aca="false">IF($B2186="","",COUNTIF($F2186:$AJ2186,"CO"))</f>
        <v/>
      </c>
      <c r="AS2186" s="34" t="str">
        <f aca="false">IF($B2186="","",COUNTIF($F2186:$AJ2186,"HPL"))</f>
        <v/>
      </c>
      <c r="AT2186" s="34" t="str">
        <f aca="false">IF($B2186="","",COUNTIF($F2186:$AJ2186,"HCL"))</f>
        <v/>
      </c>
      <c r="AU2186" s="34" t="str">
        <f aca="false">IF($B2186="","",COUNTIF($F2186:$AJ2186,"WO"))</f>
        <v/>
      </c>
      <c r="AV2186" s="34" t="str">
        <f aca="false">IF($B2186="","",COUNTIF($F2186:$AJ2186,"PH"))</f>
        <v/>
      </c>
      <c r="AW2186" s="34" t="str">
        <f aca="false">IF($B2186="","",COUNTIF($F2186:$AJ2186,"TR"))</f>
        <v/>
      </c>
      <c r="AX2186" s="35" t="str">
        <f aca="false">IF($B2186="","",AO2186+AS2186/2)</f>
        <v/>
      </c>
      <c r="AY2186" s="35" t="str">
        <f aca="false">IF($B2186="","",AQ2186)</f>
        <v/>
      </c>
      <c r="AZ2186" s="35" t="str">
        <f aca="false">IF($B2186="","",AP2186+AT2186/2)</f>
        <v/>
      </c>
      <c r="BA2186" s="35" t="str">
        <f aca="false">IF($B2186="","",AK2186+AN2186+AM2186/2+AO2186+AP2186+AQ2186+AR2186+AS2186+AT2186+AU2186+AV2186+AW2186)</f>
        <v/>
      </c>
      <c r="BB2186" s="35" t="str">
        <f aca="false">IF($B2186="","",MAX(0,AN2186-Settings!$C$16)*Settings!$C$17)</f>
        <v/>
      </c>
      <c r="BC2186" s="35" t="str">
        <f aca="false">IF($B2186="","",BA2186-BB2186)</f>
        <v/>
      </c>
      <c r="BD2186" s="35" t="str">
        <f aca="false">IF(OR($B2186="",$A2186=""),"",DAY(EOMONTH($A2186,0))-COUNTA($F2186:$AJ2186))</f>
        <v/>
      </c>
    </row>
    <row r="2187" customFormat="false" ht="15" hidden="false" customHeight="false" outlineLevel="0" collapsed="false">
      <c r="A2187" s="32"/>
      <c r="B2187" s="29"/>
      <c r="C2187" s="10" t="str">
        <f aca="false">IF($B2187="","",IFERROR(INDEX(M_name,MATCH($B2187,M_emp,0)),"Code not found"))</f>
        <v/>
      </c>
      <c r="D2187" s="10" t="str">
        <f aca="false">IF($B2187="","",IFERROR(INDEX(M_dept,MATCH($B2187,M_emp,0)),""))</f>
        <v/>
      </c>
      <c r="E2187" s="10" t="str">
        <f aca="false">IF($B2187="","",IFERROR(INDEX(M_loc,MATCH($B2187,M_emp,0)),""))</f>
        <v/>
      </c>
      <c r="F2187" s="33"/>
      <c r="G2187" s="33"/>
      <c r="H2187" s="33"/>
      <c r="I2187" s="33"/>
      <c r="J2187" s="33"/>
      <c r="K2187" s="33"/>
      <c r="L2187" s="33"/>
      <c r="M2187" s="33"/>
      <c r="N2187" s="33"/>
      <c r="O2187" s="33"/>
      <c r="P2187" s="33"/>
      <c r="Q2187" s="33"/>
      <c r="R2187" s="33"/>
      <c r="S2187" s="33"/>
      <c r="T2187" s="33"/>
      <c r="U2187" s="33"/>
      <c r="V2187" s="33"/>
      <c r="W2187" s="33"/>
      <c r="X2187" s="33"/>
      <c r="Y2187" s="33"/>
      <c r="Z2187" s="33"/>
      <c r="AA2187" s="33"/>
      <c r="AB2187" s="33"/>
      <c r="AC2187" s="33"/>
      <c r="AD2187" s="33"/>
      <c r="AE2187" s="33"/>
      <c r="AF2187" s="33"/>
      <c r="AG2187" s="33"/>
      <c r="AH2187" s="33"/>
      <c r="AI2187" s="33"/>
      <c r="AJ2187" s="33"/>
      <c r="AK2187" s="34" t="str">
        <f aca="false">IF($B2187="","",COUNTIF($F2187:$AJ2187,"P"))</f>
        <v/>
      </c>
      <c r="AL2187" s="34" t="str">
        <f aca="false">IF($B2187="","",COUNTIF($F2187:$AJ2187,"A"))</f>
        <v/>
      </c>
      <c r="AM2187" s="34" t="str">
        <f aca="false">IF($B2187="","",COUNTIF($F2187:$AJ2187,"HA"))</f>
        <v/>
      </c>
      <c r="AN2187" s="34" t="str">
        <f aca="false">IF($B2187="","",COUNTIF($F2187:$AJ2187,"L"))</f>
        <v/>
      </c>
      <c r="AO2187" s="34" t="str">
        <f aca="false">IF($B2187="","",COUNTIF($F2187:$AJ2187,"PL"))</f>
        <v/>
      </c>
      <c r="AP2187" s="34" t="str">
        <f aca="false">IF($B2187="","",COUNTIF($F2187:$AJ2187,"CL"))</f>
        <v/>
      </c>
      <c r="AQ2187" s="34" t="str">
        <f aca="false">IF($B2187="","",COUNTIF($F2187:$AJ2187,"SL"))</f>
        <v/>
      </c>
      <c r="AR2187" s="34" t="str">
        <f aca="false">IF($B2187="","",COUNTIF($F2187:$AJ2187,"CO"))</f>
        <v/>
      </c>
      <c r="AS2187" s="34" t="str">
        <f aca="false">IF($B2187="","",COUNTIF($F2187:$AJ2187,"HPL"))</f>
        <v/>
      </c>
      <c r="AT2187" s="34" t="str">
        <f aca="false">IF($B2187="","",COUNTIF($F2187:$AJ2187,"HCL"))</f>
        <v/>
      </c>
      <c r="AU2187" s="34" t="str">
        <f aca="false">IF($B2187="","",COUNTIF($F2187:$AJ2187,"WO"))</f>
        <v/>
      </c>
      <c r="AV2187" s="34" t="str">
        <f aca="false">IF($B2187="","",COUNTIF($F2187:$AJ2187,"PH"))</f>
        <v/>
      </c>
      <c r="AW2187" s="34" t="str">
        <f aca="false">IF($B2187="","",COUNTIF($F2187:$AJ2187,"TR"))</f>
        <v/>
      </c>
      <c r="AX2187" s="35" t="str">
        <f aca="false">IF($B2187="","",AO2187+AS2187/2)</f>
        <v/>
      </c>
      <c r="AY2187" s="35" t="str">
        <f aca="false">IF($B2187="","",AQ2187)</f>
        <v/>
      </c>
      <c r="AZ2187" s="35" t="str">
        <f aca="false">IF($B2187="","",AP2187+AT2187/2)</f>
        <v/>
      </c>
      <c r="BA2187" s="35" t="str">
        <f aca="false">IF($B2187="","",AK2187+AN2187+AM2187/2+AO2187+AP2187+AQ2187+AR2187+AS2187+AT2187+AU2187+AV2187+AW2187)</f>
        <v/>
      </c>
      <c r="BB2187" s="35" t="str">
        <f aca="false">IF($B2187="","",MAX(0,AN2187-Settings!$C$16)*Settings!$C$17)</f>
        <v/>
      </c>
      <c r="BC2187" s="35" t="str">
        <f aca="false">IF($B2187="","",BA2187-BB2187)</f>
        <v/>
      </c>
      <c r="BD2187" s="35" t="str">
        <f aca="false">IF(OR($B2187="",$A2187=""),"",DAY(EOMONTH($A2187,0))-COUNTA($F2187:$AJ2187))</f>
        <v/>
      </c>
    </row>
    <row r="2188" customFormat="false" ht="15" hidden="false" customHeight="false" outlineLevel="0" collapsed="false">
      <c r="A2188" s="32"/>
      <c r="B2188" s="29"/>
      <c r="C2188" s="10" t="str">
        <f aca="false">IF($B2188="","",IFERROR(INDEX(M_name,MATCH($B2188,M_emp,0)),"Code not found"))</f>
        <v/>
      </c>
      <c r="D2188" s="10" t="str">
        <f aca="false">IF($B2188="","",IFERROR(INDEX(M_dept,MATCH($B2188,M_emp,0)),""))</f>
        <v/>
      </c>
      <c r="E2188" s="10" t="str">
        <f aca="false">IF($B2188="","",IFERROR(INDEX(M_loc,MATCH($B2188,M_emp,0)),""))</f>
        <v/>
      </c>
      <c r="F2188" s="33"/>
      <c r="G2188" s="33"/>
      <c r="H2188" s="33"/>
      <c r="I2188" s="33"/>
      <c r="J2188" s="33"/>
      <c r="K2188" s="33"/>
      <c r="L2188" s="33"/>
      <c r="M2188" s="33"/>
      <c r="N2188" s="33"/>
      <c r="O2188" s="33"/>
      <c r="P2188" s="33"/>
      <c r="Q2188" s="33"/>
      <c r="R2188" s="33"/>
      <c r="S2188" s="33"/>
      <c r="T2188" s="33"/>
      <c r="U2188" s="33"/>
      <c r="V2188" s="33"/>
      <c r="W2188" s="33"/>
      <c r="X2188" s="33"/>
      <c r="Y2188" s="33"/>
      <c r="Z2188" s="33"/>
      <c r="AA2188" s="33"/>
      <c r="AB2188" s="33"/>
      <c r="AC2188" s="33"/>
      <c r="AD2188" s="33"/>
      <c r="AE2188" s="33"/>
      <c r="AF2188" s="33"/>
      <c r="AG2188" s="33"/>
      <c r="AH2188" s="33"/>
      <c r="AI2188" s="33"/>
      <c r="AJ2188" s="33"/>
      <c r="AK2188" s="34" t="str">
        <f aca="false">IF($B2188="","",COUNTIF($F2188:$AJ2188,"P"))</f>
        <v/>
      </c>
      <c r="AL2188" s="34" t="str">
        <f aca="false">IF($B2188="","",COUNTIF($F2188:$AJ2188,"A"))</f>
        <v/>
      </c>
      <c r="AM2188" s="34" t="str">
        <f aca="false">IF($B2188="","",COUNTIF($F2188:$AJ2188,"HA"))</f>
        <v/>
      </c>
      <c r="AN2188" s="34" t="str">
        <f aca="false">IF($B2188="","",COUNTIF($F2188:$AJ2188,"L"))</f>
        <v/>
      </c>
      <c r="AO2188" s="34" t="str">
        <f aca="false">IF($B2188="","",COUNTIF($F2188:$AJ2188,"PL"))</f>
        <v/>
      </c>
      <c r="AP2188" s="34" t="str">
        <f aca="false">IF($B2188="","",COUNTIF($F2188:$AJ2188,"CL"))</f>
        <v/>
      </c>
      <c r="AQ2188" s="34" t="str">
        <f aca="false">IF($B2188="","",COUNTIF($F2188:$AJ2188,"SL"))</f>
        <v/>
      </c>
      <c r="AR2188" s="34" t="str">
        <f aca="false">IF($B2188="","",COUNTIF($F2188:$AJ2188,"CO"))</f>
        <v/>
      </c>
      <c r="AS2188" s="34" t="str">
        <f aca="false">IF($B2188="","",COUNTIF($F2188:$AJ2188,"HPL"))</f>
        <v/>
      </c>
      <c r="AT2188" s="34" t="str">
        <f aca="false">IF($B2188="","",COUNTIF($F2188:$AJ2188,"HCL"))</f>
        <v/>
      </c>
      <c r="AU2188" s="34" t="str">
        <f aca="false">IF($B2188="","",COUNTIF($F2188:$AJ2188,"WO"))</f>
        <v/>
      </c>
      <c r="AV2188" s="34" t="str">
        <f aca="false">IF($B2188="","",COUNTIF($F2188:$AJ2188,"PH"))</f>
        <v/>
      </c>
      <c r="AW2188" s="34" t="str">
        <f aca="false">IF($B2188="","",COUNTIF($F2188:$AJ2188,"TR"))</f>
        <v/>
      </c>
      <c r="AX2188" s="35" t="str">
        <f aca="false">IF($B2188="","",AO2188+AS2188/2)</f>
        <v/>
      </c>
      <c r="AY2188" s="35" t="str">
        <f aca="false">IF($B2188="","",AQ2188)</f>
        <v/>
      </c>
      <c r="AZ2188" s="35" t="str">
        <f aca="false">IF($B2188="","",AP2188+AT2188/2)</f>
        <v/>
      </c>
      <c r="BA2188" s="35" t="str">
        <f aca="false">IF($B2188="","",AK2188+AN2188+AM2188/2+AO2188+AP2188+AQ2188+AR2188+AS2188+AT2188+AU2188+AV2188+AW2188)</f>
        <v/>
      </c>
      <c r="BB2188" s="35" t="str">
        <f aca="false">IF($B2188="","",MAX(0,AN2188-Settings!$C$16)*Settings!$C$17)</f>
        <v/>
      </c>
      <c r="BC2188" s="35" t="str">
        <f aca="false">IF($B2188="","",BA2188-BB2188)</f>
        <v/>
      </c>
      <c r="BD2188" s="35" t="str">
        <f aca="false">IF(OR($B2188="",$A2188=""),"",DAY(EOMONTH($A2188,0))-COUNTA($F2188:$AJ2188))</f>
        <v/>
      </c>
    </row>
    <row r="2189" customFormat="false" ht="15" hidden="false" customHeight="false" outlineLevel="0" collapsed="false">
      <c r="A2189" s="32"/>
      <c r="B2189" s="29"/>
      <c r="C2189" s="10" t="str">
        <f aca="false">IF($B2189="","",IFERROR(INDEX(M_name,MATCH($B2189,M_emp,0)),"Code not found"))</f>
        <v/>
      </c>
      <c r="D2189" s="10" t="str">
        <f aca="false">IF($B2189="","",IFERROR(INDEX(M_dept,MATCH($B2189,M_emp,0)),""))</f>
        <v/>
      </c>
      <c r="E2189" s="10" t="str">
        <f aca="false">IF($B2189="","",IFERROR(INDEX(M_loc,MATCH($B2189,M_emp,0)),""))</f>
        <v/>
      </c>
      <c r="F2189" s="33"/>
      <c r="G2189" s="33"/>
      <c r="H2189" s="33"/>
      <c r="I2189" s="33"/>
      <c r="J2189" s="33"/>
      <c r="K2189" s="33"/>
      <c r="L2189" s="33"/>
      <c r="M2189" s="33"/>
      <c r="N2189" s="33"/>
      <c r="O2189" s="33"/>
      <c r="P2189" s="33"/>
      <c r="Q2189" s="33"/>
      <c r="R2189" s="33"/>
      <c r="S2189" s="33"/>
      <c r="T2189" s="33"/>
      <c r="U2189" s="33"/>
      <c r="V2189" s="33"/>
      <c r="W2189" s="33"/>
      <c r="X2189" s="33"/>
      <c r="Y2189" s="33"/>
      <c r="Z2189" s="33"/>
      <c r="AA2189" s="33"/>
      <c r="AB2189" s="33"/>
      <c r="AC2189" s="33"/>
      <c r="AD2189" s="33"/>
      <c r="AE2189" s="33"/>
      <c r="AF2189" s="33"/>
      <c r="AG2189" s="33"/>
      <c r="AH2189" s="33"/>
      <c r="AI2189" s="33"/>
      <c r="AJ2189" s="33"/>
      <c r="AK2189" s="34" t="str">
        <f aca="false">IF($B2189="","",COUNTIF($F2189:$AJ2189,"P"))</f>
        <v/>
      </c>
      <c r="AL2189" s="34" t="str">
        <f aca="false">IF($B2189="","",COUNTIF($F2189:$AJ2189,"A"))</f>
        <v/>
      </c>
      <c r="AM2189" s="34" t="str">
        <f aca="false">IF($B2189="","",COUNTIF($F2189:$AJ2189,"HA"))</f>
        <v/>
      </c>
      <c r="AN2189" s="34" t="str">
        <f aca="false">IF($B2189="","",COUNTIF($F2189:$AJ2189,"L"))</f>
        <v/>
      </c>
      <c r="AO2189" s="34" t="str">
        <f aca="false">IF($B2189="","",COUNTIF($F2189:$AJ2189,"PL"))</f>
        <v/>
      </c>
      <c r="AP2189" s="34" t="str">
        <f aca="false">IF($B2189="","",COUNTIF($F2189:$AJ2189,"CL"))</f>
        <v/>
      </c>
      <c r="AQ2189" s="34" t="str">
        <f aca="false">IF($B2189="","",COUNTIF($F2189:$AJ2189,"SL"))</f>
        <v/>
      </c>
      <c r="AR2189" s="34" t="str">
        <f aca="false">IF($B2189="","",COUNTIF($F2189:$AJ2189,"CO"))</f>
        <v/>
      </c>
      <c r="AS2189" s="34" t="str">
        <f aca="false">IF($B2189="","",COUNTIF($F2189:$AJ2189,"HPL"))</f>
        <v/>
      </c>
      <c r="AT2189" s="34" t="str">
        <f aca="false">IF($B2189="","",COUNTIF($F2189:$AJ2189,"HCL"))</f>
        <v/>
      </c>
      <c r="AU2189" s="34" t="str">
        <f aca="false">IF($B2189="","",COUNTIF($F2189:$AJ2189,"WO"))</f>
        <v/>
      </c>
      <c r="AV2189" s="34" t="str">
        <f aca="false">IF($B2189="","",COUNTIF($F2189:$AJ2189,"PH"))</f>
        <v/>
      </c>
      <c r="AW2189" s="34" t="str">
        <f aca="false">IF($B2189="","",COUNTIF($F2189:$AJ2189,"TR"))</f>
        <v/>
      </c>
      <c r="AX2189" s="35" t="str">
        <f aca="false">IF($B2189="","",AO2189+AS2189/2)</f>
        <v/>
      </c>
      <c r="AY2189" s="35" t="str">
        <f aca="false">IF($B2189="","",AQ2189)</f>
        <v/>
      </c>
      <c r="AZ2189" s="35" t="str">
        <f aca="false">IF($B2189="","",AP2189+AT2189/2)</f>
        <v/>
      </c>
      <c r="BA2189" s="35" t="str">
        <f aca="false">IF($B2189="","",AK2189+AN2189+AM2189/2+AO2189+AP2189+AQ2189+AR2189+AS2189+AT2189+AU2189+AV2189+AW2189)</f>
        <v/>
      </c>
      <c r="BB2189" s="35" t="str">
        <f aca="false">IF($B2189="","",MAX(0,AN2189-Settings!$C$16)*Settings!$C$17)</f>
        <v/>
      </c>
      <c r="BC2189" s="35" t="str">
        <f aca="false">IF($B2189="","",BA2189-BB2189)</f>
        <v/>
      </c>
      <c r="BD2189" s="35" t="str">
        <f aca="false">IF(OR($B2189="",$A2189=""),"",DAY(EOMONTH($A2189,0))-COUNTA($F2189:$AJ2189))</f>
        <v/>
      </c>
    </row>
    <row r="2190" customFormat="false" ht="15" hidden="false" customHeight="false" outlineLevel="0" collapsed="false">
      <c r="A2190" s="32"/>
      <c r="B2190" s="29"/>
      <c r="C2190" s="10" t="str">
        <f aca="false">IF($B2190="","",IFERROR(INDEX(M_name,MATCH($B2190,M_emp,0)),"Code not found"))</f>
        <v/>
      </c>
      <c r="D2190" s="10" t="str">
        <f aca="false">IF($B2190="","",IFERROR(INDEX(M_dept,MATCH($B2190,M_emp,0)),""))</f>
        <v/>
      </c>
      <c r="E2190" s="10" t="str">
        <f aca="false">IF($B2190="","",IFERROR(INDEX(M_loc,MATCH($B2190,M_emp,0)),""))</f>
        <v/>
      </c>
      <c r="F2190" s="33"/>
      <c r="G2190" s="33"/>
      <c r="H2190" s="33"/>
      <c r="I2190" s="33"/>
      <c r="J2190" s="33"/>
      <c r="K2190" s="33"/>
      <c r="L2190" s="33"/>
      <c r="M2190" s="33"/>
      <c r="N2190" s="33"/>
      <c r="O2190" s="33"/>
      <c r="P2190" s="33"/>
      <c r="Q2190" s="33"/>
      <c r="R2190" s="33"/>
      <c r="S2190" s="33"/>
      <c r="T2190" s="33"/>
      <c r="U2190" s="33"/>
      <c r="V2190" s="33"/>
      <c r="W2190" s="33"/>
      <c r="X2190" s="33"/>
      <c r="Y2190" s="33"/>
      <c r="Z2190" s="33"/>
      <c r="AA2190" s="33"/>
      <c r="AB2190" s="33"/>
      <c r="AC2190" s="33"/>
      <c r="AD2190" s="33"/>
      <c r="AE2190" s="33"/>
      <c r="AF2190" s="33"/>
      <c r="AG2190" s="33"/>
      <c r="AH2190" s="33"/>
      <c r="AI2190" s="33"/>
      <c r="AJ2190" s="33"/>
      <c r="AK2190" s="34" t="str">
        <f aca="false">IF($B2190="","",COUNTIF($F2190:$AJ2190,"P"))</f>
        <v/>
      </c>
      <c r="AL2190" s="34" t="str">
        <f aca="false">IF($B2190="","",COUNTIF($F2190:$AJ2190,"A"))</f>
        <v/>
      </c>
      <c r="AM2190" s="34" t="str">
        <f aca="false">IF($B2190="","",COUNTIF($F2190:$AJ2190,"HA"))</f>
        <v/>
      </c>
      <c r="AN2190" s="34" t="str">
        <f aca="false">IF($B2190="","",COUNTIF($F2190:$AJ2190,"L"))</f>
        <v/>
      </c>
      <c r="AO2190" s="34" t="str">
        <f aca="false">IF($B2190="","",COUNTIF($F2190:$AJ2190,"PL"))</f>
        <v/>
      </c>
      <c r="AP2190" s="34" t="str">
        <f aca="false">IF($B2190="","",COUNTIF($F2190:$AJ2190,"CL"))</f>
        <v/>
      </c>
      <c r="AQ2190" s="34" t="str">
        <f aca="false">IF($B2190="","",COUNTIF($F2190:$AJ2190,"SL"))</f>
        <v/>
      </c>
      <c r="AR2190" s="34" t="str">
        <f aca="false">IF($B2190="","",COUNTIF($F2190:$AJ2190,"CO"))</f>
        <v/>
      </c>
      <c r="AS2190" s="34" t="str">
        <f aca="false">IF($B2190="","",COUNTIF($F2190:$AJ2190,"HPL"))</f>
        <v/>
      </c>
      <c r="AT2190" s="34" t="str">
        <f aca="false">IF($B2190="","",COUNTIF($F2190:$AJ2190,"HCL"))</f>
        <v/>
      </c>
      <c r="AU2190" s="34" t="str">
        <f aca="false">IF($B2190="","",COUNTIF($F2190:$AJ2190,"WO"))</f>
        <v/>
      </c>
      <c r="AV2190" s="34" t="str">
        <f aca="false">IF($B2190="","",COUNTIF($F2190:$AJ2190,"PH"))</f>
        <v/>
      </c>
      <c r="AW2190" s="34" t="str">
        <f aca="false">IF($B2190="","",COUNTIF($F2190:$AJ2190,"TR"))</f>
        <v/>
      </c>
      <c r="AX2190" s="35" t="str">
        <f aca="false">IF($B2190="","",AO2190+AS2190/2)</f>
        <v/>
      </c>
      <c r="AY2190" s="35" t="str">
        <f aca="false">IF($B2190="","",AQ2190)</f>
        <v/>
      </c>
      <c r="AZ2190" s="35" t="str">
        <f aca="false">IF($B2190="","",AP2190+AT2190/2)</f>
        <v/>
      </c>
      <c r="BA2190" s="35" t="str">
        <f aca="false">IF($B2190="","",AK2190+AN2190+AM2190/2+AO2190+AP2190+AQ2190+AR2190+AS2190+AT2190+AU2190+AV2190+AW2190)</f>
        <v/>
      </c>
      <c r="BB2190" s="35" t="str">
        <f aca="false">IF($B2190="","",MAX(0,AN2190-Settings!$C$16)*Settings!$C$17)</f>
        <v/>
      </c>
      <c r="BC2190" s="35" t="str">
        <f aca="false">IF($B2190="","",BA2190-BB2190)</f>
        <v/>
      </c>
      <c r="BD2190" s="35" t="str">
        <f aca="false">IF(OR($B2190="",$A2190=""),"",DAY(EOMONTH($A2190,0))-COUNTA($F2190:$AJ2190))</f>
        <v/>
      </c>
    </row>
    <row r="2191" customFormat="false" ht="15" hidden="false" customHeight="false" outlineLevel="0" collapsed="false">
      <c r="A2191" s="32"/>
      <c r="B2191" s="29"/>
      <c r="C2191" s="10" t="str">
        <f aca="false">IF($B2191="","",IFERROR(INDEX(M_name,MATCH($B2191,M_emp,0)),"Code not found"))</f>
        <v/>
      </c>
      <c r="D2191" s="10" t="str">
        <f aca="false">IF($B2191="","",IFERROR(INDEX(M_dept,MATCH($B2191,M_emp,0)),""))</f>
        <v/>
      </c>
      <c r="E2191" s="10" t="str">
        <f aca="false">IF($B2191="","",IFERROR(INDEX(M_loc,MATCH($B2191,M_emp,0)),""))</f>
        <v/>
      </c>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c r="AB2191" s="33"/>
      <c r="AC2191" s="33"/>
      <c r="AD2191" s="33"/>
      <c r="AE2191" s="33"/>
      <c r="AF2191" s="33"/>
      <c r="AG2191" s="33"/>
      <c r="AH2191" s="33"/>
      <c r="AI2191" s="33"/>
      <c r="AJ2191" s="33"/>
      <c r="AK2191" s="34" t="str">
        <f aca="false">IF($B2191="","",COUNTIF($F2191:$AJ2191,"P"))</f>
        <v/>
      </c>
      <c r="AL2191" s="34" t="str">
        <f aca="false">IF($B2191="","",COUNTIF($F2191:$AJ2191,"A"))</f>
        <v/>
      </c>
      <c r="AM2191" s="34" t="str">
        <f aca="false">IF($B2191="","",COUNTIF($F2191:$AJ2191,"HA"))</f>
        <v/>
      </c>
      <c r="AN2191" s="34" t="str">
        <f aca="false">IF($B2191="","",COUNTIF($F2191:$AJ2191,"L"))</f>
        <v/>
      </c>
      <c r="AO2191" s="34" t="str">
        <f aca="false">IF($B2191="","",COUNTIF($F2191:$AJ2191,"PL"))</f>
        <v/>
      </c>
      <c r="AP2191" s="34" t="str">
        <f aca="false">IF($B2191="","",COUNTIF($F2191:$AJ2191,"CL"))</f>
        <v/>
      </c>
      <c r="AQ2191" s="34" t="str">
        <f aca="false">IF($B2191="","",COUNTIF($F2191:$AJ2191,"SL"))</f>
        <v/>
      </c>
      <c r="AR2191" s="34" t="str">
        <f aca="false">IF($B2191="","",COUNTIF($F2191:$AJ2191,"CO"))</f>
        <v/>
      </c>
      <c r="AS2191" s="34" t="str">
        <f aca="false">IF($B2191="","",COUNTIF($F2191:$AJ2191,"HPL"))</f>
        <v/>
      </c>
      <c r="AT2191" s="34" t="str">
        <f aca="false">IF($B2191="","",COUNTIF($F2191:$AJ2191,"HCL"))</f>
        <v/>
      </c>
      <c r="AU2191" s="34" t="str">
        <f aca="false">IF($B2191="","",COUNTIF($F2191:$AJ2191,"WO"))</f>
        <v/>
      </c>
      <c r="AV2191" s="34" t="str">
        <f aca="false">IF($B2191="","",COUNTIF($F2191:$AJ2191,"PH"))</f>
        <v/>
      </c>
      <c r="AW2191" s="34" t="str">
        <f aca="false">IF($B2191="","",COUNTIF($F2191:$AJ2191,"TR"))</f>
        <v/>
      </c>
      <c r="AX2191" s="35" t="str">
        <f aca="false">IF($B2191="","",AO2191+AS2191/2)</f>
        <v/>
      </c>
      <c r="AY2191" s="35" t="str">
        <f aca="false">IF($B2191="","",AQ2191)</f>
        <v/>
      </c>
      <c r="AZ2191" s="35" t="str">
        <f aca="false">IF($B2191="","",AP2191+AT2191/2)</f>
        <v/>
      </c>
      <c r="BA2191" s="35" t="str">
        <f aca="false">IF($B2191="","",AK2191+AN2191+AM2191/2+AO2191+AP2191+AQ2191+AR2191+AS2191+AT2191+AU2191+AV2191+AW2191)</f>
        <v/>
      </c>
      <c r="BB2191" s="35" t="str">
        <f aca="false">IF($B2191="","",MAX(0,AN2191-Settings!$C$16)*Settings!$C$17)</f>
        <v/>
      </c>
      <c r="BC2191" s="35" t="str">
        <f aca="false">IF($B2191="","",BA2191-BB2191)</f>
        <v/>
      </c>
      <c r="BD2191" s="35" t="str">
        <f aca="false">IF(OR($B2191="",$A2191=""),"",DAY(EOMONTH($A2191,0))-COUNTA($F2191:$AJ2191))</f>
        <v/>
      </c>
    </row>
    <row r="2192" customFormat="false" ht="15" hidden="false" customHeight="false" outlineLevel="0" collapsed="false">
      <c r="A2192" s="32"/>
      <c r="B2192" s="29"/>
      <c r="C2192" s="10" t="str">
        <f aca="false">IF($B2192="","",IFERROR(INDEX(M_name,MATCH($B2192,M_emp,0)),"Code not found"))</f>
        <v/>
      </c>
      <c r="D2192" s="10" t="str">
        <f aca="false">IF($B2192="","",IFERROR(INDEX(M_dept,MATCH($B2192,M_emp,0)),""))</f>
        <v/>
      </c>
      <c r="E2192" s="10" t="str">
        <f aca="false">IF($B2192="","",IFERROR(INDEX(M_loc,MATCH($B2192,M_emp,0)),""))</f>
        <v/>
      </c>
      <c r="F2192" s="33"/>
      <c r="G2192" s="33"/>
      <c r="H2192" s="33"/>
      <c r="I2192" s="33"/>
      <c r="J2192" s="33"/>
      <c r="K2192" s="33"/>
      <c r="L2192" s="33"/>
      <c r="M2192" s="33"/>
      <c r="N2192" s="33"/>
      <c r="O2192" s="33"/>
      <c r="P2192" s="33"/>
      <c r="Q2192" s="33"/>
      <c r="R2192" s="33"/>
      <c r="S2192" s="33"/>
      <c r="T2192" s="33"/>
      <c r="U2192" s="33"/>
      <c r="V2192" s="33"/>
      <c r="W2192" s="33"/>
      <c r="X2192" s="33"/>
      <c r="Y2192" s="33"/>
      <c r="Z2192" s="33"/>
      <c r="AA2192" s="33"/>
      <c r="AB2192" s="33"/>
      <c r="AC2192" s="33"/>
      <c r="AD2192" s="33"/>
      <c r="AE2192" s="33"/>
      <c r="AF2192" s="33"/>
      <c r="AG2192" s="33"/>
      <c r="AH2192" s="33"/>
      <c r="AI2192" s="33"/>
      <c r="AJ2192" s="33"/>
      <c r="AK2192" s="34" t="str">
        <f aca="false">IF($B2192="","",COUNTIF($F2192:$AJ2192,"P"))</f>
        <v/>
      </c>
      <c r="AL2192" s="34" t="str">
        <f aca="false">IF($B2192="","",COUNTIF($F2192:$AJ2192,"A"))</f>
        <v/>
      </c>
      <c r="AM2192" s="34" t="str">
        <f aca="false">IF($B2192="","",COUNTIF($F2192:$AJ2192,"HA"))</f>
        <v/>
      </c>
      <c r="AN2192" s="34" t="str">
        <f aca="false">IF($B2192="","",COUNTIF($F2192:$AJ2192,"L"))</f>
        <v/>
      </c>
      <c r="AO2192" s="34" t="str">
        <f aca="false">IF($B2192="","",COUNTIF($F2192:$AJ2192,"PL"))</f>
        <v/>
      </c>
      <c r="AP2192" s="34" t="str">
        <f aca="false">IF($B2192="","",COUNTIF($F2192:$AJ2192,"CL"))</f>
        <v/>
      </c>
      <c r="AQ2192" s="34" t="str">
        <f aca="false">IF($B2192="","",COUNTIF($F2192:$AJ2192,"SL"))</f>
        <v/>
      </c>
      <c r="AR2192" s="34" t="str">
        <f aca="false">IF($B2192="","",COUNTIF($F2192:$AJ2192,"CO"))</f>
        <v/>
      </c>
      <c r="AS2192" s="34" t="str">
        <f aca="false">IF($B2192="","",COUNTIF($F2192:$AJ2192,"HPL"))</f>
        <v/>
      </c>
      <c r="AT2192" s="34" t="str">
        <f aca="false">IF($B2192="","",COUNTIF($F2192:$AJ2192,"HCL"))</f>
        <v/>
      </c>
      <c r="AU2192" s="34" t="str">
        <f aca="false">IF($B2192="","",COUNTIF($F2192:$AJ2192,"WO"))</f>
        <v/>
      </c>
      <c r="AV2192" s="34" t="str">
        <f aca="false">IF($B2192="","",COUNTIF($F2192:$AJ2192,"PH"))</f>
        <v/>
      </c>
      <c r="AW2192" s="34" t="str">
        <f aca="false">IF($B2192="","",COUNTIF($F2192:$AJ2192,"TR"))</f>
        <v/>
      </c>
      <c r="AX2192" s="35" t="str">
        <f aca="false">IF($B2192="","",AO2192+AS2192/2)</f>
        <v/>
      </c>
      <c r="AY2192" s="35" t="str">
        <f aca="false">IF($B2192="","",AQ2192)</f>
        <v/>
      </c>
      <c r="AZ2192" s="35" t="str">
        <f aca="false">IF($B2192="","",AP2192+AT2192/2)</f>
        <v/>
      </c>
      <c r="BA2192" s="35" t="str">
        <f aca="false">IF($B2192="","",AK2192+AN2192+AM2192/2+AO2192+AP2192+AQ2192+AR2192+AS2192+AT2192+AU2192+AV2192+AW2192)</f>
        <v/>
      </c>
      <c r="BB2192" s="35" t="str">
        <f aca="false">IF($B2192="","",MAX(0,AN2192-Settings!$C$16)*Settings!$C$17)</f>
        <v/>
      </c>
      <c r="BC2192" s="35" t="str">
        <f aca="false">IF($B2192="","",BA2192-BB2192)</f>
        <v/>
      </c>
      <c r="BD2192" s="35" t="str">
        <f aca="false">IF(OR($B2192="",$A2192=""),"",DAY(EOMONTH($A2192,0))-COUNTA($F2192:$AJ2192))</f>
        <v/>
      </c>
    </row>
    <row r="2193" customFormat="false" ht="15" hidden="false" customHeight="false" outlineLevel="0" collapsed="false">
      <c r="A2193" s="32"/>
      <c r="B2193" s="29"/>
      <c r="C2193" s="10" t="str">
        <f aca="false">IF($B2193="","",IFERROR(INDEX(M_name,MATCH($B2193,M_emp,0)),"Code not found"))</f>
        <v/>
      </c>
      <c r="D2193" s="10" t="str">
        <f aca="false">IF($B2193="","",IFERROR(INDEX(M_dept,MATCH($B2193,M_emp,0)),""))</f>
        <v/>
      </c>
      <c r="E2193" s="10" t="str">
        <f aca="false">IF($B2193="","",IFERROR(INDEX(M_loc,MATCH($B2193,M_emp,0)),""))</f>
        <v/>
      </c>
      <c r="F2193" s="33"/>
      <c r="G2193" s="33"/>
      <c r="H2193" s="33"/>
      <c r="I2193" s="33"/>
      <c r="J2193" s="33"/>
      <c r="K2193" s="33"/>
      <c r="L2193" s="33"/>
      <c r="M2193" s="33"/>
      <c r="N2193" s="33"/>
      <c r="O2193" s="33"/>
      <c r="P2193" s="33"/>
      <c r="Q2193" s="33"/>
      <c r="R2193" s="33"/>
      <c r="S2193" s="33"/>
      <c r="T2193" s="33"/>
      <c r="U2193" s="33"/>
      <c r="V2193" s="33"/>
      <c r="W2193" s="33"/>
      <c r="X2193" s="33"/>
      <c r="Y2193" s="33"/>
      <c r="Z2193" s="33"/>
      <c r="AA2193" s="33"/>
      <c r="AB2193" s="33"/>
      <c r="AC2193" s="33"/>
      <c r="AD2193" s="33"/>
      <c r="AE2193" s="33"/>
      <c r="AF2193" s="33"/>
      <c r="AG2193" s="33"/>
      <c r="AH2193" s="33"/>
      <c r="AI2193" s="33"/>
      <c r="AJ2193" s="33"/>
      <c r="AK2193" s="34" t="str">
        <f aca="false">IF($B2193="","",COUNTIF($F2193:$AJ2193,"P"))</f>
        <v/>
      </c>
      <c r="AL2193" s="34" t="str">
        <f aca="false">IF($B2193="","",COUNTIF($F2193:$AJ2193,"A"))</f>
        <v/>
      </c>
      <c r="AM2193" s="34" t="str">
        <f aca="false">IF($B2193="","",COUNTIF($F2193:$AJ2193,"HA"))</f>
        <v/>
      </c>
      <c r="AN2193" s="34" t="str">
        <f aca="false">IF($B2193="","",COUNTIF($F2193:$AJ2193,"L"))</f>
        <v/>
      </c>
      <c r="AO2193" s="34" t="str">
        <f aca="false">IF($B2193="","",COUNTIF($F2193:$AJ2193,"PL"))</f>
        <v/>
      </c>
      <c r="AP2193" s="34" t="str">
        <f aca="false">IF($B2193="","",COUNTIF($F2193:$AJ2193,"CL"))</f>
        <v/>
      </c>
      <c r="AQ2193" s="34" t="str">
        <f aca="false">IF($B2193="","",COUNTIF($F2193:$AJ2193,"SL"))</f>
        <v/>
      </c>
      <c r="AR2193" s="34" t="str">
        <f aca="false">IF($B2193="","",COUNTIF($F2193:$AJ2193,"CO"))</f>
        <v/>
      </c>
      <c r="AS2193" s="34" t="str">
        <f aca="false">IF($B2193="","",COUNTIF($F2193:$AJ2193,"HPL"))</f>
        <v/>
      </c>
      <c r="AT2193" s="34" t="str">
        <f aca="false">IF($B2193="","",COUNTIF($F2193:$AJ2193,"HCL"))</f>
        <v/>
      </c>
      <c r="AU2193" s="34" t="str">
        <f aca="false">IF($B2193="","",COUNTIF($F2193:$AJ2193,"WO"))</f>
        <v/>
      </c>
      <c r="AV2193" s="34" t="str">
        <f aca="false">IF($B2193="","",COUNTIF($F2193:$AJ2193,"PH"))</f>
        <v/>
      </c>
      <c r="AW2193" s="34" t="str">
        <f aca="false">IF($B2193="","",COUNTIF($F2193:$AJ2193,"TR"))</f>
        <v/>
      </c>
      <c r="AX2193" s="35" t="str">
        <f aca="false">IF($B2193="","",AO2193+AS2193/2)</f>
        <v/>
      </c>
      <c r="AY2193" s="35" t="str">
        <f aca="false">IF($B2193="","",AQ2193)</f>
        <v/>
      </c>
      <c r="AZ2193" s="35" t="str">
        <f aca="false">IF($B2193="","",AP2193+AT2193/2)</f>
        <v/>
      </c>
      <c r="BA2193" s="35" t="str">
        <f aca="false">IF($B2193="","",AK2193+AN2193+AM2193/2+AO2193+AP2193+AQ2193+AR2193+AS2193+AT2193+AU2193+AV2193+AW2193)</f>
        <v/>
      </c>
      <c r="BB2193" s="35" t="str">
        <f aca="false">IF($B2193="","",MAX(0,AN2193-Settings!$C$16)*Settings!$C$17)</f>
        <v/>
      </c>
      <c r="BC2193" s="35" t="str">
        <f aca="false">IF($B2193="","",BA2193-BB2193)</f>
        <v/>
      </c>
      <c r="BD2193" s="35" t="str">
        <f aca="false">IF(OR($B2193="",$A2193=""),"",DAY(EOMONTH($A2193,0))-COUNTA($F2193:$AJ2193))</f>
        <v/>
      </c>
    </row>
    <row r="2194" customFormat="false" ht="15" hidden="false" customHeight="false" outlineLevel="0" collapsed="false">
      <c r="A2194" s="32"/>
      <c r="B2194" s="29"/>
      <c r="C2194" s="10" t="str">
        <f aca="false">IF($B2194="","",IFERROR(INDEX(M_name,MATCH($B2194,M_emp,0)),"Code not found"))</f>
        <v/>
      </c>
      <c r="D2194" s="10" t="str">
        <f aca="false">IF($B2194="","",IFERROR(INDEX(M_dept,MATCH($B2194,M_emp,0)),""))</f>
        <v/>
      </c>
      <c r="E2194" s="10" t="str">
        <f aca="false">IF($B2194="","",IFERROR(INDEX(M_loc,MATCH($B2194,M_emp,0)),""))</f>
        <v/>
      </c>
      <c r="F2194" s="33"/>
      <c r="G2194" s="33"/>
      <c r="H2194" s="33"/>
      <c r="I2194" s="33"/>
      <c r="J2194" s="33"/>
      <c r="K2194" s="33"/>
      <c r="L2194" s="33"/>
      <c r="M2194" s="33"/>
      <c r="N2194" s="33"/>
      <c r="O2194" s="33"/>
      <c r="P2194" s="33"/>
      <c r="Q2194" s="33"/>
      <c r="R2194" s="33"/>
      <c r="S2194" s="33"/>
      <c r="T2194" s="33"/>
      <c r="U2194" s="33"/>
      <c r="V2194" s="33"/>
      <c r="W2194" s="33"/>
      <c r="X2194" s="33"/>
      <c r="Y2194" s="33"/>
      <c r="Z2194" s="33"/>
      <c r="AA2194" s="33"/>
      <c r="AB2194" s="33"/>
      <c r="AC2194" s="33"/>
      <c r="AD2194" s="33"/>
      <c r="AE2194" s="33"/>
      <c r="AF2194" s="33"/>
      <c r="AG2194" s="33"/>
      <c r="AH2194" s="33"/>
      <c r="AI2194" s="33"/>
      <c r="AJ2194" s="33"/>
      <c r="AK2194" s="34" t="str">
        <f aca="false">IF($B2194="","",COUNTIF($F2194:$AJ2194,"P"))</f>
        <v/>
      </c>
      <c r="AL2194" s="34" t="str">
        <f aca="false">IF($B2194="","",COUNTIF($F2194:$AJ2194,"A"))</f>
        <v/>
      </c>
      <c r="AM2194" s="34" t="str">
        <f aca="false">IF($B2194="","",COUNTIF($F2194:$AJ2194,"HA"))</f>
        <v/>
      </c>
      <c r="AN2194" s="34" t="str">
        <f aca="false">IF($B2194="","",COUNTIF($F2194:$AJ2194,"L"))</f>
        <v/>
      </c>
      <c r="AO2194" s="34" t="str">
        <f aca="false">IF($B2194="","",COUNTIF($F2194:$AJ2194,"PL"))</f>
        <v/>
      </c>
      <c r="AP2194" s="34" t="str">
        <f aca="false">IF($B2194="","",COUNTIF($F2194:$AJ2194,"CL"))</f>
        <v/>
      </c>
      <c r="AQ2194" s="34" t="str">
        <f aca="false">IF($B2194="","",COUNTIF($F2194:$AJ2194,"SL"))</f>
        <v/>
      </c>
      <c r="AR2194" s="34" t="str">
        <f aca="false">IF($B2194="","",COUNTIF($F2194:$AJ2194,"CO"))</f>
        <v/>
      </c>
      <c r="AS2194" s="34" t="str">
        <f aca="false">IF($B2194="","",COUNTIF($F2194:$AJ2194,"HPL"))</f>
        <v/>
      </c>
      <c r="AT2194" s="34" t="str">
        <f aca="false">IF($B2194="","",COUNTIF($F2194:$AJ2194,"HCL"))</f>
        <v/>
      </c>
      <c r="AU2194" s="34" t="str">
        <f aca="false">IF($B2194="","",COUNTIF($F2194:$AJ2194,"WO"))</f>
        <v/>
      </c>
      <c r="AV2194" s="34" t="str">
        <f aca="false">IF($B2194="","",COUNTIF($F2194:$AJ2194,"PH"))</f>
        <v/>
      </c>
      <c r="AW2194" s="34" t="str">
        <f aca="false">IF($B2194="","",COUNTIF($F2194:$AJ2194,"TR"))</f>
        <v/>
      </c>
      <c r="AX2194" s="35" t="str">
        <f aca="false">IF($B2194="","",AO2194+AS2194/2)</f>
        <v/>
      </c>
      <c r="AY2194" s="35" t="str">
        <f aca="false">IF($B2194="","",AQ2194)</f>
        <v/>
      </c>
      <c r="AZ2194" s="35" t="str">
        <f aca="false">IF($B2194="","",AP2194+AT2194/2)</f>
        <v/>
      </c>
      <c r="BA2194" s="35" t="str">
        <f aca="false">IF($B2194="","",AK2194+AN2194+AM2194/2+AO2194+AP2194+AQ2194+AR2194+AS2194+AT2194+AU2194+AV2194+AW2194)</f>
        <v/>
      </c>
      <c r="BB2194" s="35" t="str">
        <f aca="false">IF($B2194="","",MAX(0,AN2194-Settings!$C$16)*Settings!$C$17)</f>
        <v/>
      </c>
      <c r="BC2194" s="35" t="str">
        <f aca="false">IF($B2194="","",BA2194-BB2194)</f>
        <v/>
      </c>
      <c r="BD2194" s="35" t="str">
        <f aca="false">IF(OR($B2194="",$A2194=""),"",DAY(EOMONTH($A2194,0))-COUNTA($F2194:$AJ2194))</f>
        <v/>
      </c>
    </row>
    <row r="2195" customFormat="false" ht="15" hidden="false" customHeight="false" outlineLevel="0" collapsed="false">
      <c r="A2195" s="32"/>
      <c r="B2195" s="29"/>
      <c r="C2195" s="10" t="str">
        <f aca="false">IF($B2195="","",IFERROR(INDEX(M_name,MATCH($B2195,M_emp,0)),"Code not found"))</f>
        <v/>
      </c>
      <c r="D2195" s="10" t="str">
        <f aca="false">IF($B2195="","",IFERROR(INDEX(M_dept,MATCH($B2195,M_emp,0)),""))</f>
        <v/>
      </c>
      <c r="E2195" s="10" t="str">
        <f aca="false">IF($B2195="","",IFERROR(INDEX(M_loc,MATCH($B2195,M_emp,0)),""))</f>
        <v/>
      </c>
      <c r="F2195" s="33"/>
      <c r="G2195" s="33"/>
      <c r="H2195" s="33"/>
      <c r="I2195" s="33"/>
      <c r="J2195" s="33"/>
      <c r="K2195" s="33"/>
      <c r="L2195" s="33"/>
      <c r="M2195" s="33"/>
      <c r="N2195" s="33"/>
      <c r="O2195" s="33"/>
      <c r="P2195" s="33"/>
      <c r="Q2195" s="33"/>
      <c r="R2195" s="33"/>
      <c r="S2195" s="33"/>
      <c r="T2195" s="33"/>
      <c r="U2195" s="33"/>
      <c r="V2195" s="33"/>
      <c r="W2195" s="33"/>
      <c r="X2195" s="33"/>
      <c r="Y2195" s="33"/>
      <c r="Z2195" s="33"/>
      <c r="AA2195" s="33"/>
      <c r="AB2195" s="33"/>
      <c r="AC2195" s="33"/>
      <c r="AD2195" s="33"/>
      <c r="AE2195" s="33"/>
      <c r="AF2195" s="33"/>
      <c r="AG2195" s="33"/>
      <c r="AH2195" s="33"/>
      <c r="AI2195" s="33"/>
      <c r="AJ2195" s="33"/>
      <c r="AK2195" s="34" t="str">
        <f aca="false">IF($B2195="","",COUNTIF($F2195:$AJ2195,"P"))</f>
        <v/>
      </c>
      <c r="AL2195" s="34" t="str">
        <f aca="false">IF($B2195="","",COUNTIF($F2195:$AJ2195,"A"))</f>
        <v/>
      </c>
      <c r="AM2195" s="34" t="str">
        <f aca="false">IF($B2195="","",COUNTIF($F2195:$AJ2195,"HA"))</f>
        <v/>
      </c>
      <c r="AN2195" s="34" t="str">
        <f aca="false">IF($B2195="","",COUNTIF($F2195:$AJ2195,"L"))</f>
        <v/>
      </c>
      <c r="AO2195" s="34" t="str">
        <f aca="false">IF($B2195="","",COUNTIF($F2195:$AJ2195,"PL"))</f>
        <v/>
      </c>
      <c r="AP2195" s="34" t="str">
        <f aca="false">IF($B2195="","",COUNTIF($F2195:$AJ2195,"CL"))</f>
        <v/>
      </c>
      <c r="AQ2195" s="34" t="str">
        <f aca="false">IF($B2195="","",COUNTIF($F2195:$AJ2195,"SL"))</f>
        <v/>
      </c>
      <c r="AR2195" s="34" t="str">
        <f aca="false">IF($B2195="","",COUNTIF($F2195:$AJ2195,"CO"))</f>
        <v/>
      </c>
      <c r="AS2195" s="34" t="str">
        <f aca="false">IF($B2195="","",COUNTIF($F2195:$AJ2195,"HPL"))</f>
        <v/>
      </c>
      <c r="AT2195" s="34" t="str">
        <f aca="false">IF($B2195="","",COUNTIF($F2195:$AJ2195,"HCL"))</f>
        <v/>
      </c>
      <c r="AU2195" s="34" t="str">
        <f aca="false">IF($B2195="","",COUNTIF($F2195:$AJ2195,"WO"))</f>
        <v/>
      </c>
      <c r="AV2195" s="34" t="str">
        <f aca="false">IF($B2195="","",COUNTIF($F2195:$AJ2195,"PH"))</f>
        <v/>
      </c>
      <c r="AW2195" s="34" t="str">
        <f aca="false">IF($B2195="","",COUNTIF($F2195:$AJ2195,"TR"))</f>
        <v/>
      </c>
      <c r="AX2195" s="35" t="str">
        <f aca="false">IF($B2195="","",AO2195+AS2195/2)</f>
        <v/>
      </c>
      <c r="AY2195" s="35" t="str">
        <f aca="false">IF($B2195="","",AQ2195)</f>
        <v/>
      </c>
      <c r="AZ2195" s="35" t="str">
        <f aca="false">IF($B2195="","",AP2195+AT2195/2)</f>
        <v/>
      </c>
      <c r="BA2195" s="35" t="str">
        <f aca="false">IF($B2195="","",AK2195+AN2195+AM2195/2+AO2195+AP2195+AQ2195+AR2195+AS2195+AT2195+AU2195+AV2195+AW2195)</f>
        <v/>
      </c>
      <c r="BB2195" s="35" t="str">
        <f aca="false">IF($B2195="","",MAX(0,AN2195-Settings!$C$16)*Settings!$C$17)</f>
        <v/>
      </c>
      <c r="BC2195" s="35" t="str">
        <f aca="false">IF($B2195="","",BA2195-BB2195)</f>
        <v/>
      </c>
      <c r="BD2195" s="35" t="str">
        <f aca="false">IF(OR($B2195="",$A2195=""),"",DAY(EOMONTH($A2195,0))-COUNTA($F2195:$AJ2195))</f>
        <v/>
      </c>
    </row>
    <row r="2196" customFormat="false" ht="15" hidden="false" customHeight="false" outlineLevel="0" collapsed="false">
      <c r="A2196" s="32"/>
      <c r="B2196" s="29"/>
      <c r="C2196" s="10" t="str">
        <f aca="false">IF($B2196="","",IFERROR(INDEX(M_name,MATCH($B2196,M_emp,0)),"Code not found"))</f>
        <v/>
      </c>
      <c r="D2196" s="10" t="str">
        <f aca="false">IF($B2196="","",IFERROR(INDEX(M_dept,MATCH($B2196,M_emp,0)),""))</f>
        <v/>
      </c>
      <c r="E2196" s="10" t="str">
        <f aca="false">IF($B2196="","",IFERROR(INDEX(M_loc,MATCH($B2196,M_emp,0)),""))</f>
        <v/>
      </c>
      <c r="F2196" s="33"/>
      <c r="G2196" s="33"/>
      <c r="H2196" s="33"/>
      <c r="I2196" s="33"/>
      <c r="J2196" s="33"/>
      <c r="K2196" s="33"/>
      <c r="L2196" s="33"/>
      <c r="M2196" s="33"/>
      <c r="N2196" s="33"/>
      <c r="O2196" s="33"/>
      <c r="P2196" s="33"/>
      <c r="Q2196" s="33"/>
      <c r="R2196" s="33"/>
      <c r="S2196" s="33"/>
      <c r="T2196" s="33"/>
      <c r="U2196" s="33"/>
      <c r="V2196" s="33"/>
      <c r="W2196" s="33"/>
      <c r="X2196" s="33"/>
      <c r="Y2196" s="33"/>
      <c r="Z2196" s="33"/>
      <c r="AA2196" s="33"/>
      <c r="AB2196" s="33"/>
      <c r="AC2196" s="33"/>
      <c r="AD2196" s="33"/>
      <c r="AE2196" s="33"/>
      <c r="AF2196" s="33"/>
      <c r="AG2196" s="33"/>
      <c r="AH2196" s="33"/>
      <c r="AI2196" s="33"/>
      <c r="AJ2196" s="33"/>
      <c r="AK2196" s="34" t="str">
        <f aca="false">IF($B2196="","",COUNTIF($F2196:$AJ2196,"P"))</f>
        <v/>
      </c>
      <c r="AL2196" s="34" t="str">
        <f aca="false">IF($B2196="","",COUNTIF($F2196:$AJ2196,"A"))</f>
        <v/>
      </c>
      <c r="AM2196" s="34" t="str">
        <f aca="false">IF($B2196="","",COUNTIF($F2196:$AJ2196,"HA"))</f>
        <v/>
      </c>
      <c r="AN2196" s="34" t="str">
        <f aca="false">IF($B2196="","",COUNTIF($F2196:$AJ2196,"L"))</f>
        <v/>
      </c>
      <c r="AO2196" s="34" t="str">
        <f aca="false">IF($B2196="","",COUNTIF($F2196:$AJ2196,"PL"))</f>
        <v/>
      </c>
      <c r="AP2196" s="34" t="str">
        <f aca="false">IF($B2196="","",COUNTIF($F2196:$AJ2196,"CL"))</f>
        <v/>
      </c>
      <c r="AQ2196" s="34" t="str">
        <f aca="false">IF($B2196="","",COUNTIF($F2196:$AJ2196,"SL"))</f>
        <v/>
      </c>
      <c r="AR2196" s="34" t="str">
        <f aca="false">IF($B2196="","",COUNTIF($F2196:$AJ2196,"CO"))</f>
        <v/>
      </c>
      <c r="AS2196" s="34" t="str">
        <f aca="false">IF($B2196="","",COUNTIF($F2196:$AJ2196,"HPL"))</f>
        <v/>
      </c>
      <c r="AT2196" s="34" t="str">
        <f aca="false">IF($B2196="","",COUNTIF($F2196:$AJ2196,"HCL"))</f>
        <v/>
      </c>
      <c r="AU2196" s="34" t="str">
        <f aca="false">IF($B2196="","",COUNTIF($F2196:$AJ2196,"WO"))</f>
        <v/>
      </c>
      <c r="AV2196" s="34" t="str">
        <f aca="false">IF($B2196="","",COUNTIF($F2196:$AJ2196,"PH"))</f>
        <v/>
      </c>
      <c r="AW2196" s="34" t="str">
        <f aca="false">IF($B2196="","",COUNTIF($F2196:$AJ2196,"TR"))</f>
        <v/>
      </c>
      <c r="AX2196" s="35" t="str">
        <f aca="false">IF($B2196="","",AO2196+AS2196/2)</f>
        <v/>
      </c>
      <c r="AY2196" s="35" t="str">
        <f aca="false">IF($B2196="","",AQ2196)</f>
        <v/>
      </c>
      <c r="AZ2196" s="35" t="str">
        <f aca="false">IF($B2196="","",AP2196+AT2196/2)</f>
        <v/>
      </c>
      <c r="BA2196" s="35" t="str">
        <f aca="false">IF($B2196="","",AK2196+AN2196+AM2196/2+AO2196+AP2196+AQ2196+AR2196+AS2196+AT2196+AU2196+AV2196+AW2196)</f>
        <v/>
      </c>
      <c r="BB2196" s="35" t="str">
        <f aca="false">IF($B2196="","",MAX(0,AN2196-Settings!$C$16)*Settings!$C$17)</f>
        <v/>
      </c>
      <c r="BC2196" s="35" t="str">
        <f aca="false">IF($B2196="","",BA2196-BB2196)</f>
        <v/>
      </c>
      <c r="BD2196" s="35" t="str">
        <f aca="false">IF(OR($B2196="",$A2196=""),"",DAY(EOMONTH($A2196,0))-COUNTA($F2196:$AJ2196))</f>
        <v/>
      </c>
    </row>
    <row r="2197" customFormat="false" ht="15" hidden="false" customHeight="false" outlineLevel="0" collapsed="false">
      <c r="A2197" s="32"/>
      <c r="B2197" s="29"/>
      <c r="C2197" s="10" t="str">
        <f aca="false">IF($B2197="","",IFERROR(INDEX(M_name,MATCH($B2197,M_emp,0)),"Code not found"))</f>
        <v/>
      </c>
      <c r="D2197" s="10" t="str">
        <f aca="false">IF($B2197="","",IFERROR(INDEX(M_dept,MATCH($B2197,M_emp,0)),""))</f>
        <v/>
      </c>
      <c r="E2197" s="10" t="str">
        <f aca="false">IF($B2197="","",IFERROR(INDEX(M_loc,MATCH($B2197,M_emp,0)),""))</f>
        <v/>
      </c>
      <c r="F2197" s="33"/>
      <c r="G2197" s="33"/>
      <c r="H2197" s="33"/>
      <c r="I2197" s="33"/>
      <c r="J2197" s="33"/>
      <c r="K2197" s="33"/>
      <c r="L2197" s="33"/>
      <c r="M2197" s="33"/>
      <c r="N2197" s="33"/>
      <c r="O2197" s="33"/>
      <c r="P2197" s="33"/>
      <c r="Q2197" s="33"/>
      <c r="R2197" s="33"/>
      <c r="S2197" s="33"/>
      <c r="T2197" s="33"/>
      <c r="U2197" s="33"/>
      <c r="V2197" s="33"/>
      <c r="W2197" s="33"/>
      <c r="X2197" s="33"/>
      <c r="Y2197" s="33"/>
      <c r="Z2197" s="33"/>
      <c r="AA2197" s="33"/>
      <c r="AB2197" s="33"/>
      <c r="AC2197" s="33"/>
      <c r="AD2197" s="33"/>
      <c r="AE2197" s="33"/>
      <c r="AF2197" s="33"/>
      <c r="AG2197" s="33"/>
      <c r="AH2197" s="33"/>
      <c r="AI2197" s="33"/>
      <c r="AJ2197" s="33"/>
      <c r="AK2197" s="34" t="str">
        <f aca="false">IF($B2197="","",COUNTIF($F2197:$AJ2197,"P"))</f>
        <v/>
      </c>
      <c r="AL2197" s="34" t="str">
        <f aca="false">IF($B2197="","",COUNTIF($F2197:$AJ2197,"A"))</f>
        <v/>
      </c>
      <c r="AM2197" s="34" t="str">
        <f aca="false">IF($B2197="","",COUNTIF($F2197:$AJ2197,"HA"))</f>
        <v/>
      </c>
      <c r="AN2197" s="34" t="str">
        <f aca="false">IF($B2197="","",COUNTIF($F2197:$AJ2197,"L"))</f>
        <v/>
      </c>
      <c r="AO2197" s="34" t="str">
        <f aca="false">IF($B2197="","",COUNTIF($F2197:$AJ2197,"PL"))</f>
        <v/>
      </c>
      <c r="AP2197" s="34" t="str">
        <f aca="false">IF($B2197="","",COUNTIF($F2197:$AJ2197,"CL"))</f>
        <v/>
      </c>
      <c r="AQ2197" s="34" t="str">
        <f aca="false">IF($B2197="","",COUNTIF($F2197:$AJ2197,"SL"))</f>
        <v/>
      </c>
      <c r="AR2197" s="34" t="str">
        <f aca="false">IF($B2197="","",COUNTIF($F2197:$AJ2197,"CO"))</f>
        <v/>
      </c>
      <c r="AS2197" s="34" t="str">
        <f aca="false">IF($B2197="","",COUNTIF($F2197:$AJ2197,"HPL"))</f>
        <v/>
      </c>
      <c r="AT2197" s="34" t="str">
        <f aca="false">IF($B2197="","",COUNTIF($F2197:$AJ2197,"HCL"))</f>
        <v/>
      </c>
      <c r="AU2197" s="34" t="str">
        <f aca="false">IF($B2197="","",COUNTIF($F2197:$AJ2197,"WO"))</f>
        <v/>
      </c>
      <c r="AV2197" s="34" t="str">
        <f aca="false">IF($B2197="","",COUNTIF($F2197:$AJ2197,"PH"))</f>
        <v/>
      </c>
      <c r="AW2197" s="34" t="str">
        <f aca="false">IF($B2197="","",COUNTIF($F2197:$AJ2197,"TR"))</f>
        <v/>
      </c>
      <c r="AX2197" s="35" t="str">
        <f aca="false">IF($B2197="","",AO2197+AS2197/2)</f>
        <v/>
      </c>
      <c r="AY2197" s="35" t="str">
        <f aca="false">IF($B2197="","",AQ2197)</f>
        <v/>
      </c>
      <c r="AZ2197" s="35" t="str">
        <f aca="false">IF($B2197="","",AP2197+AT2197/2)</f>
        <v/>
      </c>
      <c r="BA2197" s="35" t="str">
        <f aca="false">IF($B2197="","",AK2197+AN2197+AM2197/2+AO2197+AP2197+AQ2197+AR2197+AS2197+AT2197+AU2197+AV2197+AW2197)</f>
        <v/>
      </c>
      <c r="BB2197" s="35" t="str">
        <f aca="false">IF($B2197="","",MAX(0,AN2197-Settings!$C$16)*Settings!$C$17)</f>
        <v/>
      </c>
      <c r="BC2197" s="35" t="str">
        <f aca="false">IF($B2197="","",BA2197-BB2197)</f>
        <v/>
      </c>
      <c r="BD2197" s="35" t="str">
        <f aca="false">IF(OR($B2197="",$A2197=""),"",DAY(EOMONTH($A2197,0))-COUNTA($F2197:$AJ2197))</f>
        <v/>
      </c>
    </row>
    <row r="2198" customFormat="false" ht="15" hidden="false" customHeight="false" outlineLevel="0" collapsed="false">
      <c r="A2198" s="32"/>
      <c r="B2198" s="29"/>
      <c r="C2198" s="10" t="str">
        <f aca="false">IF($B2198="","",IFERROR(INDEX(M_name,MATCH($B2198,M_emp,0)),"Code not found"))</f>
        <v/>
      </c>
      <c r="D2198" s="10" t="str">
        <f aca="false">IF($B2198="","",IFERROR(INDEX(M_dept,MATCH($B2198,M_emp,0)),""))</f>
        <v/>
      </c>
      <c r="E2198" s="10" t="str">
        <f aca="false">IF($B2198="","",IFERROR(INDEX(M_loc,MATCH($B2198,M_emp,0)),""))</f>
        <v/>
      </c>
      <c r="F2198" s="33"/>
      <c r="G2198" s="33"/>
      <c r="H2198" s="33"/>
      <c r="I2198" s="33"/>
      <c r="J2198" s="33"/>
      <c r="K2198" s="33"/>
      <c r="L2198" s="33"/>
      <c r="M2198" s="33"/>
      <c r="N2198" s="33"/>
      <c r="O2198" s="33"/>
      <c r="P2198" s="33"/>
      <c r="Q2198" s="33"/>
      <c r="R2198" s="33"/>
      <c r="S2198" s="33"/>
      <c r="T2198" s="33"/>
      <c r="U2198" s="33"/>
      <c r="V2198" s="33"/>
      <c r="W2198" s="33"/>
      <c r="X2198" s="33"/>
      <c r="Y2198" s="33"/>
      <c r="Z2198" s="33"/>
      <c r="AA2198" s="33"/>
      <c r="AB2198" s="33"/>
      <c r="AC2198" s="33"/>
      <c r="AD2198" s="33"/>
      <c r="AE2198" s="33"/>
      <c r="AF2198" s="33"/>
      <c r="AG2198" s="33"/>
      <c r="AH2198" s="33"/>
      <c r="AI2198" s="33"/>
      <c r="AJ2198" s="33"/>
      <c r="AK2198" s="34" t="str">
        <f aca="false">IF($B2198="","",COUNTIF($F2198:$AJ2198,"P"))</f>
        <v/>
      </c>
      <c r="AL2198" s="34" t="str">
        <f aca="false">IF($B2198="","",COUNTIF($F2198:$AJ2198,"A"))</f>
        <v/>
      </c>
      <c r="AM2198" s="34" t="str">
        <f aca="false">IF($B2198="","",COUNTIF($F2198:$AJ2198,"HA"))</f>
        <v/>
      </c>
      <c r="AN2198" s="34" t="str">
        <f aca="false">IF($B2198="","",COUNTIF($F2198:$AJ2198,"L"))</f>
        <v/>
      </c>
      <c r="AO2198" s="34" t="str">
        <f aca="false">IF($B2198="","",COUNTIF($F2198:$AJ2198,"PL"))</f>
        <v/>
      </c>
      <c r="AP2198" s="34" t="str">
        <f aca="false">IF($B2198="","",COUNTIF($F2198:$AJ2198,"CL"))</f>
        <v/>
      </c>
      <c r="AQ2198" s="34" t="str">
        <f aca="false">IF($B2198="","",COUNTIF($F2198:$AJ2198,"SL"))</f>
        <v/>
      </c>
      <c r="AR2198" s="34" t="str">
        <f aca="false">IF($B2198="","",COUNTIF($F2198:$AJ2198,"CO"))</f>
        <v/>
      </c>
      <c r="AS2198" s="34" t="str">
        <f aca="false">IF($B2198="","",COUNTIF($F2198:$AJ2198,"HPL"))</f>
        <v/>
      </c>
      <c r="AT2198" s="34" t="str">
        <f aca="false">IF($B2198="","",COUNTIF($F2198:$AJ2198,"HCL"))</f>
        <v/>
      </c>
      <c r="AU2198" s="34" t="str">
        <f aca="false">IF($B2198="","",COUNTIF($F2198:$AJ2198,"WO"))</f>
        <v/>
      </c>
      <c r="AV2198" s="34" t="str">
        <f aca="false">IF($B2198="","",COUNTIF($F2198:$AJ2198,"PH"))</f>
        <v/>
      </c>
      <c r="AW2198" s="34" t="str">
        <f aca="false">IF($B2198="","",COUNTIF($F2198:$AJ2198,"TR"))</f>
        <v/>
      </c>
      <c r="AX2198" s="35" t="str">
        <f aca="false">IF($B2198="","",AO2198+AS2198/2)</f>
        <v/>
      </c>
      <c r="AY2198" s="35" t="str">
        <f aca="false">IF($B2198="","",AQ2198)</f>
        <v/>
      </c>
      <c r="AZ2198" s="35" t="str">
        <f aca="false">IF($B2198="","",AP2198+AT2198/2)</f>
        <v/>
      </c>
      <c r="BA2198" s="35" t="str">
        <f aca="false">IF($B2198="","",AK2198+AN2198+AM2198/2+AO2198+AP2198+AQ2198+AR2198+AS2198+AT2198+AU2198+AV2198+AW2198)</f>
        <v/>
      </c>
      <c r="BB2198" s="35" t="str">
        <f aca="false">IF($B2198="","",MAX(0,AN2198-Settings!$C$16)*Settings!$C$17)</f>
        <v/>
      </c>
      <c r="BC2198" s="35" t="str">
        <f aca="false">IF($B2198="","",BA2198-BB2198)</f>
        <v/>
      </c>
      <c r="BD2198" s="35" t="str">
        <f aca="false">IF(OR($B2198="",$A2198=""),"",DAY(EOMONTH($A2198,0))-COUNTA($F2198:$AJ2198))</f>
        <v/>
      </c>
    </row>
    <row r="2199" customFormat="false" ht="15" hidden="false" customHeight="false" outlineLevel="0" collapsed="false">
      <c r="A2199" s="32"/>
      <c r="B2199" s="29"/>
      <c r="C2199" s="10" t="str">
        <f aca="false">IF($B2199="","",IFERROR(INDEX(M_name,MATCH($B2199,M_emp,0)),"Code not found"))</f>
        <v/>
      </c>
      <c r="D2199" s="10" t="str">
        <f aca="false">IF($B2199="","",IFERROR(INDEX(M_dept,MATCH($B2199,M_emp,0)),""))</f>
        <v/>
      </c>
      <c r="E2199" s="10" t="str">
        <f aca="false">IF($B2199="","",IFERROR(INDEX(M_loc,MATCH($B2199,M_emp,0)),""))</f>
        <v/>
      </c>
      <c r="F2199" s="33"/>
      <c r="G2199" s="33"/>
      <c r="H2199" s="33"/>
      <c r="I2199" s="33"/>
      <c r="J2199" s="33"/>
      <c r="K2199" s="33"/>
      <c r="L2199" s="33"/>
      <c r="M2199" s="33"/>
      <c r="N2199" s="33"/>
      <c r="O2199" s="33"/>
      <c r="P2199" s="33"/>
      <c r="Q2199" s="33"/>
      <c r="R2199" s="33"/>
      <c r="S2199" s="33"/>
      <c r="T2199" s="33"/>
      <c r="U2199" s="33"/>
      <c r="V2199" s="33"/>
      <c r="W2199" s="33"/>
      <c r="X2199" s="33"/>
      <c r="Y2199" s="33"/>
      <c r="Z2199" s="33"/>
      <c r="AA2199" s="33"/>
      <c r="AB2199" s="33"/>
      <c r="AC2199" s="33"/>
      <c r="AD2199" s="33"/>
      <c r="AE2199" s="33"/>
      <c r="AF2199" s="33"/>
      <c r="AG2199" s="33"/>
      <c r="AH2199" s="33"/>
      <c r="AI2199" s="33"/>
      <c r="AJ2199" s="33"/>
      <c r="AK2199" s="34" t="str">
        <f aca="false">IF($B2199="","",COUNTIF($F2199:$AJ2199,"P"))</f>
        <v/>
      </c>
      <c r="AL2199" s="34" t="str">
        <f aca="false">IF($B2199="","",COUNTIF($F2199:$AJ2199,"A"))</f>
        <v/>
      </c>
      <c r="AM2199" s="34" t="str">
        <f aca="false">IF($B2199="","",COUNTIF($F2199:$AJ2199,"HA"))</f>
        <v/>
      </c>
      <c r="AN2199" s="34" t="str">
        <f aca="false">IF($B2199="","",COUNTIF($F2199:$AJ2199,"L"))</f>
        <v/>
      </c>
      <c r="AO2199" s="34" t="str">
        <f aca="false">IF($B2199="","",COUNTIF($F2199:$AJ2199,"PL"))</f>
        <v/>
      </c>
      <c r="AP2199" s="34" t="str">
        <f aca="false">IF($B2199="","",COUNTIF($F2199:$AJ2199,"CL"))</f>
        <v/>
      </c>
      <c r="AQ2199" s="34" t="str">
        <f aca="false">IF($B2199="","",COUNTIF($F2199:$AJ2199,"SL"))</f>
        <v/>
      </c>
      <c r="AR2199" s="34" t="str">
        <f aca="false">IF($B2199="","",COUNTIF($F2199:$AJ2199,"CO"))</f>
        <v/>
      </c>
      <c r="AS2199" s="34" t="str">
        <f aca="false">IF($B2199="","",COUNTIF($F2199:$AJ2199,"HPL"))</f>
        <v/>
      </c>
      <c r="AT2199" s="34" t="str">
        <f aca="false">IF($B2199="","",COUNTIF($F2199:$AJ2199,"HCL"))</f>
        <v/>
      </c>
      <c r="AU2199" s="34" t="str">
        <f aca="false">IF($B2199="","",COUNTIF($F2199:$AJ2199,"WO"))</f>
        <v/>
      </c>
      <c r="AV2199" s="34" t="str">
        <f aca="false">IF($B2199="","",COUNTIF($F2199:$AJ2199,"PH"))</f>
        <v/>
      </c>
      <c r="AW2199" s="34" t="str">
        <f aca="false">IF($B2199="","",COUNTIF($F2199:$AJ2199,"TR"))</f>
        <v/>
      </c>
      <c r="AX2199" s="35" t="str">
        <f aca="false">IF($B2199="","",AO2199+AS2199/2)</f>
        <v/>
      </c>
      <c r="AY2199" s="35" t="str">
        <f aca="false">IF($B2199="","",AQ2199)</f>
        <v/>
      </c>
      <c r="AZ2199" s="35" t="str">
        <f aca="false">IF($B2199="","",AP2199+AT2199/2)</f>
        <v/>
      </c>
      <c r="BA2199" s="35" t="str">
        <f aca="false">IF($B2199="","",AK2199+AN2199+AM2199/2+AO2199+AP2199+AQ2199+AR2199+AS2199+AT2199+AU2199+AV2199+AW2199)</f>
        <v/>
      </c>
      <c r="BB2199" s="35" t="str">
        <f aca="false">IF($B2199="","",MAX(0,AN2199-Settings!$C$16)*Settings!$C$17)</f>
        <v/>
      </c>
      <c r="BC2199" s="35" t="str">
        <f aca="false">IF($B2199="","",BA2199-BB2199)</f>
        <v/>
      </c>
      <c r="BD2199" s="35" t="str">
        <f aca="false">IF(OR($B2199="",$A2199=""),"",DAY(EOMONTH($A2199,0))-COUNTA($F2199:$AJ2199))</f>
        <v/>
      </c>
    </row>
    <row r="2200" customFormat="false" ht="15" hidden="false" customHeight="false" outlineLevel="0" collapsed="false">
      <c r="A2200" s="32"/>
      <c r="B2200" s="29"/>
      <c r="C2200" s="10" t="str">
        <f aca="false">IF($B2200="","",IFERROR(INDEX(M_name,MATCH($B2200,M_emp,0)),"Code not found"))</f>
        <v/>
      </c>
      <c r="D2200" s="10" t="str">
        <f aca="false">IF($B2200="","",IFERROR(INDEX(M_dept,MATCH($B2200,M_emp,0)),""))</f>
        <v/>
      </c>
      <c r="E2200" s="10" t="str">
        <f aca="false">IF($B2200="","",IFERROR(INDEX(M_loc,MATCH($B2200,M_emp,0)),""))</f>
        <v/>
      </c>
      <c r="F2200" s="33"/>
      <c r="G2200" s="33"/>
      <c r="H2200" s="33"/>
      <c r="I2200" s="33"/>
      <c r="J2200" s="33"/>
      <c r="K2200" s="33"/>
      <c r="L2200" s="33"/>
      <c r="M2200" s="33"/>
      <c r="N2200" s="33"/>
      <c r="O2200" s="33"/>
      <c r="P2200" s="33"/>
      <c r="Q2200" s="33"/>
      <c r="R2200" s="33"/>
      <c r="S2200" s="33"/>
      <c r="T2200" s="33"/>
      <c r="U2200" s="33"/>
      <c r="V2200" s="33"/>
      <c r="W2200" s="33"/>
      <c r="X2200" s="33"/>
      <c r="Y2200" s="33"/>
      <c r="Z2200" s="33"/>
      <c r="AA2200" s="33"/>
      <c r="AB2200" s="33"/>
      <c r="AC2200" s="33"/>
      <c r="AD2200" s="33"/>
      <c r="AE2200" s="33"/>
      <c r="AF2200" s="33"/>
      <c r="AG2200" s="33"/>
      <c r="AH2200" s="33"/>
      <c r="AI2200" s="33"/>
      <c r="AJ2200" s="33"/>
      <c r="AK2200" s="34" t="str">
        <f aca="false">IF($B2200="","",COUNTIF($F2200:$AJ2200,"P"))</f>
        <v/>
      </c>
      <c r="AL2200" s="34" t="str">
        <f aca="false">IF($B2200="","",COUNTIF($F2200:$AJ2200,"A"))</f>
        <v/>
      </c>
      <c r="AM2200" s="34" t="str">
        <f aca="false">IF($B2200="","",COUNTIF($F2200:$AJ2200,"HA"))</f>
        <v/>
      </c>
      <c r="AN2200" s="34" t="str">
        <f aca="false">IF($B2200="","",COUNTIF($F2200:$AJ2200,"L"))</f>
        <v/>
      </c>
      <c r="AO2200" s="34" t="str">
        <f aca="false">IF($B2200="","",COUNTIF($F2200:$AJ2200,"PL"))</f>
        <v/>
      </c>
      <c r="AP2200" s="34" t="str">
        <f aca="false">IF($B2200="","",COUNTIF($F2200:$AJ2200,"CL"))</f>
        <v/>
      </c>
      <c r="AQ2200" s="34" t="str">
        <f aca="false">IF($B2200="","",COUNTIF($F2200:$AJ2200,"SL"))</f>
        <v/>
      </c>
      <c r="AR2200" s="34" t="str">
        <f aca="false">IF($B2200="","",COUNTIF($F2200:$AJ2200,"CO"))</f>
        <v/>
      </c>
      <c r="AS2200" s="34" t="str">
        <f aca="false">IF($B2200="","",COUNTIF($F2200:$AJ2200,"HPL"))</f>
        <v/>
      </c>
      <c r="AT2200" s="34" t="str">
        <f aca="false">IF($B2200="","",COUNTIF($F2200:$AJ2200,"HCL"))</f>
        <v/>
      </c>
      <c r="AU2200" s="34" t="str">
        <f aca="false">IF($B2200="","",COUNTIF($F2200:$AJ2200,"WO"))</f>
        <v/>
      </c>
      <c r="AV2200" s="34" t="str">
        <f aca="false">IF($B2200="","",COUNTIF($F2200:$AJ2200,"PH"))</f>
        <v/>
      </c>
      <c r="AW2200" s="34" t="str">
        <f aca="false">IF($B2200="","",COUNTIF($F2200:$AJ2200,"TR"))</f>
        <v/>
      </c>
      <c r="AX2200" s="35" t="str">
        <f aca="false">IF($B2200="","",AO2200+AS2200/2)</f>
        <v/>
      </c>
      <c r="AY2200" s="35" t="str">
        <f aca="false">IF($B2200="","",AQ2200)</f>
        <v/>
      </c>
      <c r="AZ2200" s="35" t="str">
        <f aca="false">IF($B2200="","",AP2200+AT2200/2)</f>
        <v/>
      </c>
      <c r="BA2200" s="35" t="str">
        <f aca="false">IF($B2200="","",AK2200+AN2200+AM2200/2+AO2200+AP2200+AQ2200+AR2200+AS2200+AT2200+AU2200+AV2200+AW2200)</f>
        <v/>
      </c>
      <c r="BB2200" s="35" t="str">
        <f aca="false">IF($B2200="","",MAX(0,AN2200-Settings!$C$16)*Settings!$C$17)</f>
        <v/>
      </c>
      <c r="BC2200" s="35" t="str">
        <f aca="false">IF($B2200="","",BA2200-BB2200)</f>
        <v/>
      </c>
      <c r="BD2200" s="35" t="str">
        <f aca="false">IF(OR($B2200="",$A2200=""),"",DAY(EOMONTH($A2200,0))-COUNTA($F2200:$AJ2200))</f>
        <v/>
      </c>
    </row>
    <row r="2201" customFormat="false" ht="15" hidden="false" customHeight="false" outlineLevel="0" collapsed="false">
      <c r="A2201" s="32"/>
      <c r="B2201" s="29"/>
      <c r="C2201" s="10" t="str">
        <f aca="false">IF($B2201="","",IFERROR(INDEX(M_name,MATCH($B2201,M_emp,0)),"Code not found"))</f>
        <v/>
      </c>
      <c r="D2201" s="10" t="str">
        <f aca="false">IF($B2201="","",IFERROR(INDEX(M_dept,MATCH($B2201,M_emp,0)),""))</f>
        <v/>
      </c>
      <c r="E2201" s="10" t="str">
        <f aca="false">IF($B2201="","",IFERROR(INDEX(M_loc,MATCH($B2201,M_emp,0)),""))</f>
        <v/>
      </c>
      <c r="F2201" s="33"/>
      <c r="G2201" s="33"/>
      <c r="H2201" s="33"/>
      <c r="I2201" s="33"/>
      <c r="J2201" s="33"/>
      <c r="K2201" s="33"/>
      <c r="L2201" s="33"/>
      <c r="M2201" s="33"/>
      <c r="N2201" s="33"/>
      <c r="O2201" s="33"/>
      <c r="P2201" s="33"/>
      <c r="Q2201" s="33"/>
      <c r="R2201" s="33"/>
      <c r="S2201" s="33"/>
      <c r="T2201" s="33"/>
      <c r="U2201" s="33"/>
      <c r="V2201" s="33"/>
      <c r="W2201" s="33"/>
      <c r="X2201" s="33"/>
      <c r="Y2201" s="33"/>
      <c r="Z2201" s="33"/>
      <c r="AA2201" s="33"/>
      <c r="AB2201" s="33"/>
      <c r="AC2201" s="33"/>
      <c r="AD2201" s="33"/>
      <c r="AE2201" s="33"/>
      <c r="AF2201" s="33"/>
      <c r="AG2201" s="33"/>
      <c r="AH2201" s="33"/>
      <c r="AI2201" s="33"/>
      <c r="AJ2201" s="33"/>
      <c r="AK2201" s="34" t="str">
        <f aca="false">IF($B2201="","",COUNTIF($F2201:$AJ2201,"P"))</f>
        <v/>
      </c>
      <c r="AL2201" s="34" t="str">
        <f aca="false">IF($B2201="","",COUNTIF($F2201:$AJ2201,"A"))</f>
        <v/>
      </c>
      <c r="AM2201" s="34" t="str">
        <f aca="false">IF($B2201="","",COUNTIF($F2201:$AJ2201,"HA"))</f>
        <v/>
      </c>
      <c r="AN2201" s="34" t="str">
        <f aca="false">IF($B2201="","",COUNTIF($F2201:$AJ2201,"L"))</f>
        <v/>
      </c>
      <c r="AO2201" s="34" t="str">
        <f aca="false">IF($B2201="","",COUNTIF($F2201:$AJ2201,"PL"))</f>
        <v/>
      </c>
      <c r="AP2201" s="34" t="str">
        <f aca="false">IF($B2201="","",COUNTIF($F2201:$AJ2201,"CL"))</f>
        <v/>
      </c>
      <c r="AQ2201" s="34" t="str">
        <f aca="false">IF($B2201="","",COUNTIF($F2201:$AJ2201,"SL"))</f>
        <v/>
      </c>
      <c r="AR2201" s="34" t="str">
        <f aca="false">IF($B2201="","",COUNTIF($F2201:$AJ2201,"CO"))</f>
        <v/>
      </c>
      <c r="AS2201" s="34" t="str">
        <f aca="false">IF($B2201="","",COUNTIF($F2201:$AJ2201,"HPL"))</f>
        <v/>
      </c>
      <c r="AT2201" s="34" t="str">
        <f aca="false">IF($B2201="","",COUNTIF($F2201:$AJ2201,"HCL"))</f>
        <v/>
      </c>
      <c r="AU2201" s="34" t="str">
        <f aca="false">IF($B2201="","",COUNTIF($F2201:$AJ2201,"WO"))</f>
        <v/>
      </c>
      <c r="AV2201" s="34" t="str">
        <f aca="false">IF($B2201="","",COUNTIF($F2201:$AJ2201,"PH"))</f>
        <v/>
      </c>
      <c r="AW2201" s="34" t="str">
        <f aca="false">IF($B2201="","",COUNTIF($F2201:$AJ2201,"TR"))</f>
        <v/>
      </c>
      <c r="AX2201" s="35" t="str">
        <f aca="false">IF($B2201="","",AO2201+AS2201/2)</f>
        <v/>
      </c>
      <c r="AY2201" s="35" t="str">
        <f aca="false">IF($B2201="","",AQ2201)</f>
        <v/>
      </c>
      <c r="AZ2201" s="35" t="str">
        <f aca="false">IF($B2201="","",AP2201+AT2201/2)</f>
        <v/>
      </c>
      <c r="BA2201" s="35" t="str">
        <f aca="false">IF($B2201="","",AK2201+AN2201+AM2201/2+AO2201+AP2201+AQ2201+AR2201+AS2201+AT2201+AU2201+AV2201+AW2201)</f>
        <v/>
      </c>
      <c r="BB2201" s="35" t="str">
        <f aca="false">IF($B2201="","",MAX(0,AN2201-Settings!$C$16)*Settings!$C$17)</f>
        <v/>
      </c>
      <c r="BC2201" s="35" t="str">
        <f aca="false">IF($B2201="","",BA2201-BB2201)</f>
        <v/>
      </c>
      <c r="BD2201" s="35" t="str">
        <f aca="false">IF(OR($B2201="",$A2201=""),"",DAY(EOMONTH($A2201,0))-COUNTA($F2201:$AJ2201))</f>
        <v/>
      </c>
    </row>
    <row r="2202" customFormat="false" ht="15" hidden="false" customHeight="false" outlineLevel="0" collapsed="false">
      <c r="A2202" s="32"/>
      <c r="B2202" s="29"/>
      <c r="C2202" s="10" t="str">
        <f aca="false">IF($B2202="","",IFERROR(INDEX(M_name,MATCH($B2202,M_emp,0)),"Code not found"))</f>
        <v/>
      </c>
      <c r="D2202" s="10" t="str">
        <f aca="false">IF($B2202="","",IFERROR(INDEX(M_dept,MATCH($B2202,M_emp,0)),""))</f>
        <v/>
      </c>
      <c r="E2202" s="10" t="str">
        <f aca="false">IF($B2202="","",IFERROR(INDEX(M_loc,MATCH($B2202,M_emp,0)),""))</f>
        <v/>
      </c>
      <c r="F2202" s="33"/>
      <c r="G2202" s="33"/>
      <c r="H2202" s="33"/>
      <c r="I2202" s="33"/>
      <c r="J2202" s="33"/>
      <c r="K2202" s="33"/>
      <c r="L2202" s="33"/>
      <c r="M2202" s="33"/>
      <c r="N2202" s="33"/>
      <c r="O2202" s="33"/>
      <c r="P2202" s="33"/>
      <c r="Q2202" s="33"/>
      <c r="R2202" s="33"/>
      <c r="S2202" s="33"/>
      <c r="T2202" s="33"/>
      <c r="U2202" s="33"/>
      <c r="V2202" s="33"/>
      <c r="W2202" s="33"/>
      <c r="X2202" s="33"/>
      <c r="Y2202" s="33"/>
      <c r="Z2202" s="33"/>
      <c r="AA2202" s="33"/>
      <c r="AB2202" s="33"/>
      <c r="AC2202" s="33"/>
      <c r="AD2202" s="33"/>
      <c r="AE2202" s="33"/>
      <c r="AF2202" s="33"/>
      <c r="AG2202" s="33"/>
      <c r="AH2202" s="33"/>
      <c r="AI2202" s="33"/>
      <c r="AJ2202" s="33"/>
      <c r="AK2202" s="34" t="str">
        <f aca="false">IF($B2202="","",COUNTIF($F2202:$AJ2202,"P"))</f>
        <v/>
      </c>
      <c r="AL2202" s="34" t="str">
        <f aca="false">IF($B2202="","",COUNTIF($F2202:$AJ2202,"A"))</f>
        <v/>
      </c>
      <c r="AM2202" s="34" t="str">
        <f aca="false">IF($B2202="","",COUNTIF($F2202:$AJ2202,"HA"))</f>
        <v/>
      </c>
      <c r="AN2202" s="34" t="str">
        <f aca="false">IF($B2202="","",COUNTIF($F2202:$AJ2202,"L"))</f>
        <v/>
      </c>
      <c r="AO2202" s="34" t="str">
        <f aca="false">IF($B2202="","",COUNTIF($F2202:$AJ2202,"PL"))</f>
        <v/>
      </c>
      <c r="AP2202" s="34" t="str">
        <f aca="false">IF($B2202="","",COUNTIF($F2202:$AJ2202,"CL"))</f>
        <v/>
      </c>
      <c r="AQ2202" s="34" t="str">
        <f aca="false">IF($B2202="","",COUNTIF($F2202:$AJ2202,"SL"))</f>
        <v/>
      </c>
      <c r="AR2202" s="34" t="str">
        <f aca="false">IF($B2202="","",COUNTIF($F2202:$AJ2202,"CO"))</f>
        <v/>
      </c>
      <c r="AS2202" s="34" t="str">
        <f aca="false">IF($B2202="","",COUNTIF($F2202:$AJ2202,"HPL"))</f>
        <v/>
      </c>
      <c r="AT2202" s="34" t="str">
        <f aca="false">IF($B2202="","",COUNTIF($F2202:$AJ2202,"HCL"))</f>
        <v/>
      </c>
      <c r="AU2202" s="34" t="str">
        <f aca="false">IF($B2202="","",COUNTIF($F2202:$AJ2202,"WO"))</f>
        <v/>
      </c>
      <c r="AV2202" s="34" t="str">
        <f aca="false">IF($B2202="","",COUNTIF($F2202:$AJ2202,"PH"))</f>
        <v/>
      </c>
      <c r="AW2202" s="34" t="str">
        <f aca="false">IF($B2202="","",COUNTIF($F2202:$AJ2202,"TR"))</f>
        <v/>
      </c>
      <c r="AX2202" s="35" t="str">
        <f aca="false">IF($B2202="","",AO2202+AS2202/2)</f>
        <v/>
      </c>
      <c r="AY2202" s="35" t="str">
        <f aca="false">IF($B2202="","",AQ2202)</f>
        <v/>
      </c>
      <c r="AZ2202" s="35" t="str">
        <f aca="false">IF($B2202="","",AP2202+AT2202/2)</f>
        <v/>
      </c>
      <c r="BA2202" s="35" t="str">
        <f aca="false">IF($B2202="","",AK2202+AN2202+AM2202/2+AO2202+AP2202+AQ2202+AR2202+AS2202+AT2202+AU2202+AV2202+AW2202)</f>
        <v/>
      </c>
      <c r="BB2202" s="35" t="str">
        <f aca="false">IF($B2202="","",MAX(0,AN2202-Settings!$C$16)*Settings!$C$17)</f>
        <v/>
      </c>
      <c r="BC2202" s="35" t="str">
        <f aca="false">IF($B2202="","",BA2202-BB2202)</f>
        <v/>
      </c>
      <c r="BD2202" s="35" t="str">
        <f aca="false">IF(OR($B2202="",$A2202=""),"",DAY(EOMONTH($A2202,0))-COUNTA($F2202:$AJ2202))</f>
        <v/>
      </c>
    </row>
    <row r="2203" customFormat="false" ht="15" hidden="false" customHeight="false" outlineLevel="0" collapsed="false">
      <c r="A2203" s="32"/>
      <c r="B2203" s="29"/>
      <c r="C2203" s="10" t="str">
        <f aca="false">IF($B2203="","",IFERROR(INDEX(M_name,MATCH($B2203,M_emp,0)),"Code not found"))</f>
        <v/>
      </c>
      <c r="D2203" s="10" t="str">
        <f aca="false">IF($B2203="","",IFERROR(INDEX(M_dept,MATCH($B2203,M_emp,0)),""))</f>
        <v/>
      </c>
      <c r="E2203" s="10" t="str">
        <f aca="false">IF($B2203="","",IFERROR(INDEX(M_loc,MATCH($B2203,M_emp,0)),""))</f>
        <v/>
      </c>
      <c r="F2203" s="33"/>
      <c r="G2203" s="33"/>
      <c r="H2203" s="33"/>
      <c r="I2203" s="33"/>
      <c r="J2203" s="33"/>
      <c r="K2203" s="33"/>
      <c r="L2203" s="33"/>
      <c r="M2203" s="33"/>
      <c r="N2203" s="33"/>
      <c r="O2203" s="33"/>
      <c r="P2203" s="33"/>
      <c r="Q2203" s="33"/>
      <c r="R2203" s="33"/>
      <c r="S2203" s="33"/>
      <c r="T2203" s="33"/>
      <c r="U2203" s="33"/>
      <c r="V2203" s="33"/>
      <c r="W2203" s="33"/>
      <c r="X2203" s="33"/>
      <c r="Y2203" s="33"/>
      <c r="Z2203" s="33"/>
      <c r="AA2203" s="33"/>
      <c r="AB2203" s="33"/>
      <c r="AC2203" s="33"/>
      <c r="AD2203" s="33"/>
      <c r="AE2203" s="33"/>
      <c r="AF2203" s="33"/>
      <c r="AG2203" s="33"/>
      <c r="AH2203" s="33"/>
      <c r="AI2203" s="33"/>
      <c r="AJ2203" s="33"/>
      <c r="AK2203" s="34" t="str">
        <f aca="false">IF($B2203="","",COUNTIF($F2203:$AJ2203,"P"))</f>
        <v/>
      </c>
      <c r="AL2203" s="34" t="str">
        <f aca="false">IF($B2203="","",COUNTIF($F2203:$AJ2203,"A"))</f>
        <v/>
      </c>
      <c r="AM2203" s="34" t="str">
        <f aca="false">IF($B2203="","",COUNTIF($F2203:$AJ2203,"HA"))</f>
        <v/>
      </c>
      <c r="AN2203" s="34" t="str">
        <f aca="false">IF($B2203="","",COUNTIF($F2203:$AJ2203,"L"))</f>
        <v/>
      </c>
      <c r="AO2203" s="34" t="str">
        <f aca="false">IF($B2203="","",COUNTIF($F2203:$AJ2203,"PL"))</f>
        <v/>
      </c>
      <c r="AP2203" s="34" t="str">
        <f aca="false">IF($B2203="","",COUNTIF($F2203:$AJ2203,"CL"))</f>
        <v/>
      </c>
      <c r="AQ2203" s="34" t="str">
        <f aca="false">IF($B2203="","",COUNTIF($F2203:$AJ2203,"SL"))</f>
        <v/>
      </c>
      <c r="AR2203" s="34" t="str">
        <f aca="false">IF($B2203="","",COUNTIF($F2203:$AJ2203,"CO"))</f>
        <v/>
      </c>
      <c r="AS2203" s="34" t="str">
        <f aca="false">IF($B2203="","",COUNTIF($F2203:$AJ2203,"HPL"))</f>
        <v/>
      </c>
      <c r="AT2203" s="34" t="str">
        <f aca="false">IF($B2203="","",COUNTIF($F2203:$AJ2203,"HCL"))</f>
        <v/>
      </c>
      <c r="AU2203" s="34" t="str">
        <f aca="false">IF($B2203="","",COUNTIF($F2203:$AJ2203,"WO"))</f>
        <v/>
      </c>
      <c r="AV2203" s="34" t="str">
        <f aca="false">IF($B2203="","",COUNTIF($F2203:$AJ2203,"PH"))</f>
        <v/>
      </c>
      <c r="AW2203" s="34" t="str">
        <f aca="false">IF($B2203="","",COUNTIF($F2203:$AJ2203,"TR"))</f>
        <v/>
      </c>
      <c r="AX2203" s="35" t="str">
        <f aca="false">IF($B2203="","",AO2203+AS2203/2)</f>
        <v/>
      </c>
      <c r="AY2203" s="35" t="str">
        <f aca="false">IF($B2203="","",AQ2203)</f>
        <v/>
      </c>
      <c r="AZ2203" s="35" t="str">
        <f aca="false">IF($B2203="","",AP2203+AT2203/2)</f>
        <v/>
      </c>
      <c r="BA2203" s="35" t="str">
        <f aca="false">IF($B2203="","",AK2203+AN2203+AM2203/2+AO2203+AP2203+AQ2203+AR2203+AS2203+AT2203+AU2203+AV2203+AW2203)</f>
        <v/>
      </c>
      <c r="BB2203" s="35" t="str">
        <f aca="false">IF($B2203="","",MAX(0,AN2203-Settings!$C$16)*Settings!$C$17)</f>
        <v/>
      </c>
      <c r="BC2203" s="35" t="str">
        <f aca="false">IF($B2203="","",BA2203-BB2203)</f>
        <v/>
      </c>
      <c r="BD2203" s="35" t="str">
        <f aca="false">IF(OR($B2203="",$A2203=""),"",DAY(EOMONTH($A2203,0))-COUNTA($F2203:$AJ2203))</f>
        <v/>
      </c>
    </row>
    <row r="2204" customFormat="false" ht="15" hidden="false" customHeight="false" outlineLevel="0" collapsed="false">
      <c r="A2204" s="32"/>
      <c r="B2204" s="29"/>
      <c r="C2204" s="10" t="str">
        <f aca="false">IF($B2204="","",IFERROR(INDEX(M_name,MATCH($B2204,M_emp,0)),"Code not found"))</f>
        <v/>
      </c>
      <c r="D2204" s="10" t="str">
        <f aca="false">IF($B2204="","",IFERROR(INDEX(M_dept,MATCH($B2204,M_emp,0)),""))</f>
        <v/>
      </c>
      <c r="E2204" s="10" t="str">
        <f aca="false">IF($B2204="","",IFERROR(INDEX(M_loc,MATCH($B2204,M_emp,0)),""))</f>
        <v/>
      </c>
      <c r="F2204" s="33"/>
      <c r="G2204" s="33"/>
      <c r="H2204" s="33"/>
      <c r="I2204" s="33"/>
      <c r="J2204" s="33"/>
      <c r="K2204" s="33"/>
      <c r="L2204" s="33"/>
      <c r="M2204" s="33"/>
      <c r="N2204" s="33"/>
      <c r="O2204" s="33"/>
      <c r="P2204" s="33"/>
      <c r="Q2204" s="33"/>
      <c r="R2204" s="33"/>
      <c r="S2204" s="33"/>
      <c r="T2204" s="33"/>
      <c r="U2204" s="33"/>
      <c r="V2204" s="33"/>
      <c r="W2204" s="33"/>
      <c r="X2204" s="33"/>
      <c r="Y2204" s="33"/>
      <c r="Z2204" s="33"/>
      <c r="AA2204" s="33"/>
      <c r="AB2204" s="33"/>
      <c r="AC2204" s="33"/>
      <c r="AD2204" s="33"/>
      <c r="AE2204" s="33"/>
      <c r="AF2204" s="33"/>
      <c r="AG2204" s="33"/>
      <c r="AH2204" s="33"/>
      <c r="AI2204" s="33"/>
      <c r="AJ2204" s="33"/>
      <c r="AK2204" s="34" t="str">
        <f aca="false">IF($B2204="","",COUNTIF($F2204:$AJ2204,"P"))</f>
        <v/>
      </c>
      <c r="AL2204" s="34" t="str">
        <f aca="false">IF($B2204="","",COUNTIF($F2204:$AJ2204,"A"))</f>
        <v/>
      </c>
      <c r="AM2204" s="34" t="str">
        <f aca="false">IF($B2204="","",COUNTIF($F2204:$AJ2204,"HA"))</f>
        <v/>
      </c>
      <c r="AN2204" s="34" t="str">
        <f aca="false">IF($B2204="","",COUNTIF($F2204:$AJ2204,"L"))</f>
        <v/>
      </c>
      <c r="AO2204" s="34" t="str">
        <f aca="false">IF($B2204="","",COUNTIF($F2204:$AJ2204,"PL"))</f>
        <v/>
      </c>
      <c r="AP2204" s="34" t="str">
        <f aca="false">IF($B2204="","",COUNTIF($F2204:$AJ2204,"CL"))</f>
        <v/>
      </c>
      <c r="AQ2204" s="34" t="str">
        <f aca="false">IF($B2204="","",COUNTIF($F2204:$AJ2204,"SL"))</f>
        <v/>
      </c>
      <c r="AR2204" s="34" t="str">
        <f aca="false">IF($B2204="","",COUNTIF($F2204:$AJ2204,"CO"))</f>
        <v/>
      </c>
      <c r="AS2204" s="34" t="str">
        <f aca="false">IF($B2204="","",COUNTIF($F2204:$AJ2204,"HPL"))</f>
        <v/>
      </c>
      <c r="AT2204" s="34" t="str">
        <f aca="false">IF($B2204="","",COUNTIF($F2204:$AJ2204,"HCL"))</f>
        <v/>
      </c>
      <c r="AU2204" s="34" t="str">
        <f aca="false">IF($B2204="","",COUNTIF($F2204:$AJ2204,"WO"))</f>
        <v/>
      </c>
      <c r="AV2204" s="34" t="str">
        <f aca="false">IF($B2204="","",COUNTIF($F2204:$AJ2204,"PH"))</f>
        <v/>
      </c>
      <c r="AW2204" s="34" t="str">
        <f aca="false">IF($B2204="","",COUNTIF($F2204:$AJ2204,"TR"))</f>
        <v/>
      </c>
      <c r="AX2204" s="35" t="str">
        <f aca="false">IF($B2204="","",AO2204+AS2204/2)</f>
        <v/>
      </c>
      <c r="AY2204" s="35" t="str">
        <f aca="false">IF($B2204="","",AQ2204)</f>
        <v/>
      </c>
      <c r="AZ2204" s="35" t="str">
        <f aca="false">IF($B2204="","",AP2204+AT2204/2)</f>
        <v/>
      </c>
      <c r="BA2204" s="35" t="str">
        <f aca="false">IF($B2204="","",AK2204+AN2204+AM2204/2+AO2204+AP2204+AQ2204+AR2204+AS2204+AT2204+AU2204+AV2204+AW2204)</f>
        <v/>
      </c>
      <c r="BB2204" s="35" t="str">
        <f aca="false">IF($B2204="","",MAX(0,AN2204-Settings!$C$16)*Settings!$C$17)</f>
        <v/>
      </c>
      <c r="BC2204" s="35" t="str">
        <f aca="false">IF($B2204="","",BA2204-BB2204)</f>
        <v/>
      </c>
      <c r="BD2204" s="35" t="str">
        <f aca="false">IF(OR($B2204="",$A2204=""),"",DAY(EOMONTH($A2204,0))-COUNTA($F2204:$AJ2204))</f>
        <v/>
      </c>
    </row>
    <row r="2205" customFormat="false" ht="15" hidden="false" customHeight="false" outlineLevel="0" collapsed="false">
      <c r="A2205" s="32"/>
      <c r="B2205" s="29"/>
      <c r="C2205" s="10" t="str">
        <f aca="false">IF($B2205="","",IFERROR(INDEX(M_name,MATCH($B2205,M_emp,0)),"Code not found"))</f>
        <v/>
      </c>
      <c r="D2205" s="10" t="str">
        <f aca="false">IF($B2205="","",IFERROR(INDEX(M_dept,MATCH($B2205,M_emp,0)),""))</f>
        <v/>
      </c>
      <c r="E2205" s="10" t="str">
        <f aca="false">IF($B2205="","",IFERROR(INDEX(M_loc,MATCH($B2205,M_emp,0)),""))</f>
        <v/>
      </c>
      <c r="F2205" s="33"/>
      <c r="G2205" s="33"/>
      <c r="H2205" s="33"/>
      <c r="I2205" s="33"/>
      <c r="J2205" s="33"/>
      <c r="K2205" s="33"/>
      <c r="L2205" s="33"/>
      <c r="M2205" s="33"/>
      <c r="N2205" s="33"/>
      <c r="O2205" s="33"/>
      <c r="P2205" s="33"/>
      <c r="Q2205" s="33"/>
      <c r="R2205" s="33"/>
      <c r="S2205" s="33"/>
      <c r="T2205" s="33"/>
      <c r="U2205" s="33"/>
      <c r="V2205" s="33"/>
      <c r="W2205" s="33"/>
      <c r="X2205" s="33"/>
      <c r="Y2205" s="33"/>
      <c r="Z2205" s="33"/>
      <c r="AA2205" s="33"/>
      <c r="AB2205" s="33"/>
      <c r="AC2205" s="33"/>
      <c r="AD2205" s="33"/>
      <c r="AE2205" s="33"/>
      <c r="AF2205" s="33"/>
      <c r="AG2205" s="33"/>
      <c r="AH2205" s="33"/>
      <c r="AI2205" s="33"/>
      <c r="AJ2205" s="33"/>
      <c r="AK2205" s="34" t="str">
        <f aca="false">IF($B2205="","",COUNTIF($F2205:$AJ2205,"P"))</f>
        <v/>
      </c>
      <c r="AL2205" s="34" t="str">
        <f aca="false">IF($B2205="","",COUNTIF($F2205:$AJ2205,"A"))</f>
        <v/>
      </c>
      <c r="AM2205" s="34" t="str">
        <f aca="false">IF($B2205="","",COUNTIF($F2205:$AJ2205,"HA"))</f>
        <v/>
      </c>
      <c r="AN2205" s="34" t="str">
        <f aca="false">IF($B2205="","",COUNTIF($F2205:$AJ2205,"L"))</f>
        <v/>
      </c>
      <c r="AO2205" s="34" t="str">
        <f aca="false">IF($B2205="","",COUNTIF($F2205:$AJ2205,"PL"))</f>
        <v/>
      </c>
      <c r="AP2205" s="34" t="str">
        <f aca="false">IF($B2205="","",COUNTIF($F2205:$AJ2205,"CL"))</f>
        <v/>
      </c>
      <c r="AQ2205" s="34" t="str">
        <f aca="false">IF($B2205="","",COUNTIF($F2205:$AJ2205,"SL"))</f>
        <v/>
      </c>
      <c r="AR2205" s="34" t="str">
        <f aca="false">IF($B2205="","",COUNTIF($F2205:$AJ2205,"CO"))</f>
        <v/>
      </c>
      <c r="AS2205" s="34" t="str">
        <f aca="false">IF($B2205="","",COUNTIF($F2205:$AJ2205,"HPL"))</f>
        <v/>
      </c>
      <c r="AT2205" s="34" t="str">
        <f aca="false">IF($B2205="","",COUNTIF($F2205:$AJ2205,"HCL"))</f>
        <v/>
      </c>
      <c r="AU2205" s="34" t="str">
        <f aca="false">IF($B2205="","",COUNTIF($F2205:$AJ2205,"WO"))</f>
        <v/>
      </c>
      <c r="AV2205" s="34" t="str">
        <f aca="false">IF($B2205="","",COUNTIF($F2205:$AJ2205,"PH"))</f>
        <v/>
      </c>
      <c r="AW2205" s="34" t="str">
        <f aca="false">IF($B2205="","",COUNTIF($F2205:$AJ2205,"TR"))</f>
        <v/>
      </c>
      <c r="AX2205" s="35" t="str">
        <f aca="false">IF($B2205="","",AO2205+AS2205/2)</f>
        <v/>
      </c>
      <c r="AY2205" s="35" t="str">
        <f aca="false">IF($B2205="","",AQ2205)</f>
        <v/>
      </c>
      <c r="AZ2205" s="35" t="str">
        <f aca="false">IF($B2205="","",AP2205+AT2205/2)</f>
        <v/>
      </c>
      <c r="BA2205" s="35" t="str">
        <f aca="false">IF($B2205="","",AK2205+AN2205+AM2205/2+AO2205+AP2205+AQ2205+AR2205+AS2205+AT2205+AU2205+AV2205+AW2205)</f>
        <v/>
      </c>
      <c r="BB2205" s="35" t="str">
        <f aca="false">IF($B2205="","",MAX(0,AN2205-Settings!$C$16)*Settings!$C$17)</f>
        <v/>
      </c>
      <c r="BC2205" s="35" t="str">
        <f aca="false">IF($B2205="","",BA2205-BB2205)</f>
        <v/>
      </c>
      <c r="BD2205" s="35" t="str">
        <f aca="false">IF(OR($B2205="",$A2205=""),"",DAY(EOMONTH($A2205,0))-COUNTA($F2205:$AJ2205))</f>
        <v/>
      </c>
    </row>
    <row r="2206" customFormat="false" ht="15" hidden="false" customHeight="false" outlineLevel="0" collapsed="false">
      <c r="A2206" s="32"/>
      <c r="B2206" s="29"/>
      <c r="C2206" s="10" t="str">
        <f aca="false">IF($B2206="","",IFERROR(INDEX(M_name,MATCH($B2206,M_emp,0)),"Code not found"))</f>
        <v/>
      </c>
      <c r="D2206" s="10" t="str">
        <f aca="false">IF($B2206="","",IFERROR(INDEX(M_dept,MATCH($B2206,M_emp,0)),""))</f>
        <v/>
      </c>
      <c r="E2206" s="10" t="str">
        <f aca="false">IF($B2206="","",IFERROR(INDEX(M_loc,MATCH($B2206,M_emp,0)),""))</f>
        <v/>
      </c>
      <c r="F2206" s="33"/>
      <c r="G2206" s="33"/>
      <c r="H2206" s="33"/>
      <c r="I2206" s="33"/>
      <c r="J2206" s="33"/>
      <c r="K2206" s="33"/>
      <c r="L2206" s="33"/>
      <c r="M2206" s="33"/>
      <c r="N2206" s="33"/>
      <c r="O2206" s="33"/>
      <c r="P2206" s="33"/>
      <c r="Q2206" s="33"/>
      <c r="R2206" s="33"/>
      <c r="S2206" s="33"/>
      <c r="T2206" s="33"/>
      <c r="U2206" s="33"/>
      <c r="V2206" s="33"/>
      <c r="W2206" s="33"/>
      <c r="X2206" s="33"/>
      <c r="Y2206" s="33"/>
      <c r="Z2206" s="33"/>
      <c r="AA2206" s="33"/>
      <c r="AB2206" s="33"/>
      <c r="AC2206" s="33"/>
      <c r="AD2206" s="33"/>
      <c r="AE2206" s="33"/>
      <c r="AF2206" s="33"/>
      <c r="AG2206" s="33"/>
      <c r="AH2206" s="33"/>
      <c r="AI2206" s="33"/>
      <c r="AJ2206" s="33"/>
      <c r="AK2206" s="34" t="str">
        <f aca="false">IF($B2206="","",COUNTIF($F2206:$AJ2206,"P"))</f>
        <v/>
      </c>
      <c r="AL2206" s="34" t="str">
        <f aca="false">IF($B2206="","",COUNTIF($F2206:$AJ2206,"A"))</f>
        <v/>
      </c>
      <c r="AM2206" s="34" t="str">
        <f aca="false">IF($B2206="","",COUNTIF($F2206:$AJ2206,"HA"))</f>
        <v/>
      </c>
      <c r="AN2206" s="34" t="str">
        <f aca="false">IF($B2206="","",COUNTIF($F2206:$AJ2206,"L"))</f>
        <v/>
      </c>
      <c r="AO2206" s="34" t="str">
        <f aca="false">IF($B2206="","",COUNTIF($F2206:$AJ2206,"PL"))</f>
        <v/>
      </c>
      <c r="AP2206" s="34" t="str">
        <f aca="false">IF($B2206="","",COUNTIF($F2206:$AJ2206,"CL"))</f>
        <v/>
      </c>
      <c r="AQ2206" s="34" t="str">
        <f aca="false">IF($B2206="","",COUNTIF($F2206:$AJ2206,"SL"))</f>
        <v/>
      </c>
      <c r="AR2206" s="34" t="str">
        <f aca="false">IF($B2206="","",COUNTIF($F2206:$AJ2206,"CO"))</f>
        <v/>
      </c>
      <c r="AS2206" s="34" t="str">
        <f aca="false">IF($B2206="","",COUNTIF($F2206:$AJ2206,"HPL"))</f>
        <v/>
      </c>
      <c r="AT2206" s="34" t="str">
        <f aca="false">IF($B2206="","",COUNTIF($F2206:$AJ2206,"HCL"))</f>
        <v/>
      </c>
      <c r="AU2206" s="34" t="str">
        <f aca="false">IF($B2206="","",COUNTIF($F2206:$AJ2206,"WO"))</f>
        <v/>
      </c>
      <c r="AV2206" s="34" t="str">
        <f aca="false">IF($B2206="","",COUNTIF($F2206:$AJ2206,"PH"))</f>
        <v/>
      </c>
      <c r="AW2206" s="34" t="str">
        <f aca="false">IF($B2206="","",COUNTIF($F2206:$AJ2206,"TR"))</f>
        <v/>
      </c>
      <c r="AX2206" s="35" t="str">
        <f aca="false">IF($B2206="","",AO2206+AS2206/2)</f>
        <v/>
      </c>
      <c r="AY2206" s="35" t="str">
        <f aca="false">IF($B2206="","",AQ2206)</f>
        <v/>
      </c>
      <c r="AZ2206" s="35" t="str">
        <f aca="false">IF($B2206="","",AP2206+AT2206/2)</f>
        <v/>
      </c>
      <c r="BA2206" s="35" t="str">
        <f aca="false">IF($B2206="","",AK2206+AN2206+AM2206/2+AO2206+AP2206+AQ2206+AR2206+AS2206+AT2206+AU2206+AV2206+AW2206)</f>
        <v/>
      </c>
      <c r="BB2206" s="35" t="str">
        <f aca="false">IF($B2206="","",MAX(0,AN2206-Settings!$C$16)*Settings!$C$17)</f>
        <v/>
      </c>
      <c r="BC2206" s="35" t="str">
        <f aca="false">IF($B2206="","",BA2206-BB2206)</f>
        <v/>
      </c>
      <c r="BD2206" s="35" t="str">
        <f aca="false">IF(OR($B2206="",$A2206=""),"",DAY(EOMONTH($A2206,0))-COUNTA($F2206:$AJ2206))</f>
        <v/>
      </c>
    </row>
    <row r="2207" customFormat="false" ht="15" hidden="false" customHeight="false" outlineLevel="0" collapsed="false">
      <c r="A2207" s="32"/>
      <c r="B2207" s="29"/>
      <c r="C2207" s="10" t="str">
        <f aca="false">IF($B2207="","",IFERROR(INDEX(M_name,MATCH($B2207,M_emp,0)),"Code not found"))</f>
        <v/>
      </c>
      <c r="D2207" s="10" t="str">
        <f aca="false">IF($B2207="","",IFERROR(INDEX(M_dept,MATCH($B2207,M_emp,0)),""))</f>
        <v/>
      </c>
      <c r="E2207" s="10" t="str">
        <f aca="false">IF($B2207="","",IFERROR(INDEX(M_loc,MATCH($B2207,M_emp,0)),""))</f>
        <v/>
      </c>
      <c r="F2207" s="33"/>
      <c r="G2207" s="33"/>
      <c r="H2207" s="33"/>
      <c r="I2207" s="33"/>
      <c r="J2207" s="33"/>
      <c r="K2207" s="33"/>
      <c r="L2207" s="33"/>
      <c r="M2207" s="33"/>
      <c r="N2207" s="33"/>
      <c r="O2207" s="33"/>
      <c r="P2207" s="33"/>
      <c r="Q2207" s="33"/>
      <c r="R2207" s="33"/>
      <c r="S2207" s="33"/>
      <c r="T2207" s="33"/>
      <c r="U2207" s="33"/>
      <c r="V2207" s="33"/>
      <c r="W2207" s="33"/>
      <c r="X2207" s="33"/>
      <c r="Y2207" s="33"/>
      <c r="Z2207" s="33"/>
      <c r="AA2207" s="33"/>
      <c r="AB2207" s="33"/>
      <c r="AC2207" s="33"/>
      <c r="AD2207" s="33"/>
      <c r="AE2207" s="33"/>
      <c r="AF2207" s="33"/>
      <c r="AG2207" s="33"/>
      <c r="AH2207" s="33"/>
      <c r="AI2207" s="33"/>
      <c r="AJ2207" s="33"/>
      <c r="AK2207" s="34" t="str">
        <f aca="false">IF($B2207="","",COUNTIF($F2207:$AJ2207,"P"))</f>
        <v/>
      </c>
      <c r="AL2207" s="34" t="str">
        <f aca="false">IF($B2207="","",COUNTIF($F2207:$AJ2207,"A"))</f>
        <v/>
      </c>
      <c r="AM2207" s="34" t="str">
        <f aca="false">IF($B2207="","",COUNTIF($F2207:$AJ2207,"HA"))</f>
        <v/>
      </c>
      <c r="AN2207" s="34" t="str">
        <f aca="false">IF($B2207="","",COUNTIF($F2207:$AJ2207,"L"))</f>
        <v/>
      </c>
      <c r="AO2207" s="34" t="str">
        <f aca="false">IF($B2207="","",COUNTIF($F2207:$AJ2207,"PL"))</f>
        <v/>
      </c>
      <c r="AP2207" s="34" t="str">
        <f aca="false">IF($B2207="","",COUNTIF($F2207:$AJ2207,"CL"))</f>
        <v/>
      </c>
      <c r="AQ2207" s="34" t="str">
        <f aca="false">IF($B2207="","",COUNTIF($F2207:$AJ2207,"SL"))</f>
        <v/>
      </c>
      <c r="AR2207" s="34" t="str">
        <f aca="false">IF($B2207="","",COUNTIF($F2207:$AJ2207,"CO"))</f>
        <v/>
      </c>
      <c r="AS2207" s="34" t="str">
        <f aca="false">IF($B2207="","",COUNTIF($F2207:$AJ2207,"HPL"))</f>
        <v/>
      </c>
      <c r="AT2207" s="34" t="str">
        <f aca="false">IF($B2207="","",COUNTIF($F2207:$AJ2207,"HCL"))</f>
        <v/>
      </c>
      <c r="AU2207" s="34" t="str">
        <f aca="false">IF($B2207="","",COUNTIF($F2207:$AJ2207,"WO"))</f>
        <v/>
      </c>
      <c r="AV2207" s="34" t="str">
        <f aca="false">IF($B2207="","",COUNTIF($F2207:$AJ2207,"PH"))</f>
        <v/>
      </c>
      <c r="AW2207" s="34" t="str">
        <f aca="false">IF($B2207="","",COUNTIF($F2207:$AJ2207,"TR"))</f>
        <v/>
      </c>
      <c r="AX2207" s="35" t="str">
        <f aca="false">IF($B2207="","",AO2207+AS2207/2)</f>
        <v/>
      </c>
      <c r="AY2207" s="35" t="str">
        <f aca="false">IF($B2207="","",AQ2207)</f>
        <v/>
      </c>
      <c r="AZ2207" s="35" t="str">
        <f aca="false">IF($B2207="","",AP2207+AT2207/2)</f>
        <v/>
      </c>
      <c r="BA2207" s="35" t="str">
        <f aca="false">IF($B2207="","",AK2207+AN2207+AM2207/2+AO2207+AP2207+AQ2207+AR2207+AS2207+AT2207+AU2207+AV2207+AW2207)</f>
        <v/>
      </c>
      <c r="BB2207" s="35" t="str">
        <f aca="false">IF($B2207="","",MAX(0,AN2207-Settings!$C$16)*Settings!$C$17)</f>
        <v/>
      </c>
      <c r="BC2207" s="35" t="str">
        <f aca="false">IF($B2207="","",BA2207-BB2207)</f>
        <v/>
      </c>
      <c r="BD2207" s="35" t="str">
        <f aca="false">IF(OR($B2207="",$A2207=""),"",DAY(EOMONTH($A2207,0))-COUNTA($F2207:$AJ2207))</f>
        <v/>
      </c>
    </row>
    <row r="2208" customFormat="false" ht="15" hidden="false" customHeight="false" outlineLevel="0" collapsed="false">
      <c r="A2208" s="32"/>
      <c r="B2208" s="29"/>
      <c r="C2208" s="10" t="str">
        <f aca="false">IF($B2208="","",IFERROR(INDEX(M_name,MATCH($B2208,M_emp,0)),"Code not found"))</f>
        <v/>
      </c>
      <c r="D2208" s="10" t="str">
        <f aca="false">IF($B2208="","",IFERROR(INDEX(M_dept,MATCH($B2208,M_emp,0)),""))</f>
        <v/>
      </c>
      <c r="E2208" s="10" t="str">
        <f aca="false">IF($B2208="","",IFERROR(INDEX(M_loc,MATCH($B2208,M_emp,0)),""))</f>
        <v/>
      </c>
      <c r="F2208" s="33"/>
      <c r="G2208" s="33"/>
      <c r="H2208" s="33"/>
      <c r="I2208" s="33"/>
      <c r="J2208" s="33"/>
      <c r="K2208" s="33"/>
      <c r="L2208" s="33"/>
      <c r="M2208" s="33"/>
      <c r="N2208" s="33"/>
      <c r="O2208" s="33"/>
      <c r="P2208" s="33"/>
      <c r="Q2208" s="33"/>
      <c r="R2208" s="33"/>
      <c r="S2208" s="33"/>
      <c r="T2208" s="33"/>
      <c r="U2208" s="33"/>
      <c r="V2208" s="33"/>
      <c r="W2208" s="33"/>
      <c r="X2208" s="33"/>
      <c r="Y2208" s="33"/>
      <c r="Z2208" s="33"/>
      <c r="AA2208" s="33"/>
      <c r="AB2208" s="33"/>
      <c r="AC2208" s="33"/>
      <c r="AD2208" s="33"/>
      <c r="AE2208" s="33"/>
      <c r="AF2208" s="33"/>
      <c r="AG2208" s="33"/>
      <c r="AH2208" s="33"/>
      <c r="AI2208" s="33"/>
      <c r="AJ2208" s="33"/>
      <c r="AK2208" s="34" t="str">
        <f aca="false">IF($B2208="","",COUNTIF($F2208:$AJ2208,"P"))</f>
        <v/>
      </c>
      <c r="AL2208" s="34" t="str">
        <f aca="false">IF($B2208="","",COUNTIF($F2208:$AJ2208,"A"))</f>
        <v/>
      </c>
      <c r="AM2208" s="34" t="str">
        <f aca="false">IF($B2208="","",COUNTIF($F2208:$AJ2208,"HA"))</f>
        <v/>
      </c>
      <c r="AN2208" s="34" t="str">
        <f aca="false">IF($B2208="","",COUNTIF($F2208:$AJ2208,"L"))</f>
        <v/>
      </c>
      <c r="AO2208" s="34" t="str">
        <f aca="false">IF($B2208="","",COUNTIF($F2208:$AJ2208,"PL"))</f>
        <v/>
      </c>
      <c r="AP2208" s="34" t="str">
        <f aca="false">IF($B2208="","",COUNTIF($F2208:$AJ2208,"CL"))</f>
        <v/>
      </c>
      <c r="AQ2208" s="34" t="str">
        <f aca="false">IF($B2208="","",COUNTIF($F2208:$AJ2208,"SL"))</f>
        <v/>
      </c>
      <c r="AR2208" s="34" t="str">
        <f aca="false">IF($B2208="","",COUNTIF($F2208:$AJ2208,"CO"))</f>
        <v/>
      </c>
      <c r="AS2208" s="34" t="str">
        <f aca="false">IF($B2208="","",COUNTIF($F2208:$AJ2208,"HPL"))</f>
        <v/>
      </c>
      <c r="AT2208" s="34" t="str">
        <f aca="false">IF($B2208="","",COUNTIF($F2208:$AJ2208,"HCL"))</f>
        <v/>
      </c>
      <c r="AU2208" s="34" t="str">
        <f aca="false">IF($B2208="","",COUNTIF($F2208:$AJ2208,"WO"))</f>
        <v/>
      </c>
      <c r="AV2208" s="34" t="str">
        <f aca="false">IF($B2208="","",COUNTIF($F2208:$AJ2208,"PH"))</f>
        <v/>
      </c>
      <c r="AW2208" s="34" t="str">
        <f aca="false">IF($B2208="","",COUNTIF($F2208:$AJ2208,"TR"))</f>
        <v/>
      </c>
      <c r="AX2208" s="35" t="str">
        <f aca="false">IF($B2208="","",AO2208+AS2208/2)</f>
        <v/>
      </c>
      <c r="AY2208" s="35" t="str">
        <f aca="false">IF($B2208="","",AQ2208)</f>
        <v/>
      </c>
      <c r="AZ2208" s="35" t="str">
        <f aca="false">IF($B2208="","",AP2208+AT2208/2)</f>
        <v/>
      </c>
      <c r="BA2208" s="35" t="str">
        <f aca="false">IF($B2208="","",AK2208+AN2208+AM2208/2+AO2208+AP2208+AQ2208+AR2208+AS2208+AT2208+AU2208+AV2208+AW2208)</f>
        <v/>
      </c>
      <c r="BB2208" s="35" t="str">
        <f aca="false">IF($B2208="","",MAX(0,AN2208-Settings!$C$16)*Settings!$C$17)</f>
        <v/>
      </c>
      <c r="BC2208" s="35" t="str">
        <f aca="false">IF($B2208="","",BA2208-BB2208)</f>
        <v/>
      </c>
      <c r="BD2208" s="35" t="str">
        <f aca="false">IF(OR($B2208="",$A2208=""),"",DAY(EOMONTH($A2208,0))-COUNTA($F2208:$AJ2208))</f>
        <v/>
      </c>
    </row>
    <row r="2209" customFormat="false" ht="15" hidden="false" customHeight="false" outlineLevel="0" collapsed="false">
      <c r="A2209" s="32"/>
      <c r="B2209" s="29"/>
      <c r="C2209" s="10" t="str">
        <f aca="false">IF($B2209="","",IFERROR(INDEX(M_name,MATCH($B2209,M_emp,0)),"Code not found"))</f>
        <v/>
      </c>
      <c r="D2209" s="10" t="str">
        <f aca="false">IF($B2209="","",IFERROR(INDEX(M_dept,MATCH($B2209,M_emp,0)),""))</f>
        <v/>
      </c>
      <c r="E2209" s="10" t="str">
        <f aca="false">IF($B2209="","",IFERROR(INDEX(M_loc,MATCH($B2209,M_emp,0)),""))</f>
        <v/>
      </c>
      <c r="F2209" s="33"/>
      <c r="G2209" s="33"/>
      <c r="H2209" s="33"/>
      <c r="I2209" s="33"/>
      <c r="J2209" s="33"/>
      <c r="K2209" s="33"/>
      <c r="L2209" s="33"/>
      <c r="M2209" s="33"/>
      <c r="N2209" s="33"/>
      <c r="O2209" s="33"/>
      <c r="P2209" s="33"/>
      <c r="Q2209" s="33"/>
      <c r="R2209" s="33"/>
      <c r="S2209" s="33"/>
      <c r="T2209" s="33"/>
      <c r="U2209" s="33"/>
      <c r="V2209" s="33"/>
      <c r="W2209" s="33"/>
      <c r="X2209" s="33"/>
      <c r="Y2209" s="33"/>
      <c r="Z2209" s="33"/>
      <c r="AA2209" s="33"/>
      <c r="AB2209" s="33"/>
      <c r="AC2209" s="33"/>
      <c r="AD2209" s="33"/>
      <c r="AE2209" s="33"/>
      <c r="AF2209" s="33"/>
      <c r="AG2209" s="33"/>
      <c r="AH2209" s="33"/>
      <c r="AI2209" s="33"/>
      <c r="AJ2209" s="33"/>
      <c r="AK2209" s="34" t="str">
        <f aca="false">IF($B2209="","",COUNTIF($F2209:$AJ2209,"P"))</f>
        <v/>
      </c>
      <c r="AL2209" s="34" t="str">
        <f aca="false">IF($B2209="","",COUNTIF($F2209:$AJ2209,"A"))</f>
        <v/>
      </c>
      <c r="AM2209" s="34" t="str">
        <f aca="false">IF($B2209="","",COUNTIF($F2209:$AJ2209,"HA"))</f>
        <v/>
      </c>
      <c r="AN2209" s="34" t="str">
        <f aca="false">IF($B2209="","",COUNTIF($F2209:$AJ2209,"L"))</f>
        <v/>
      </c>
      <c r="AO2209" s="34" t="str">
        <f aca="false">IF($B2209="","",COUNTIF($F2209:$AJ2209,"PL"))</f>
        <v/>
      </c>
      <c r="AP2209" s="34" t="str">
        <f aca="false">IF($B2209="","",COUNTIF($F2209:$AJ2209,"CL"))</f>
        <v/>
      </c>
      <c r="AQ2209" s="34" t="str">
        <f aca="false">IF($B2209="","",COUNTIF($F2209:$AJ2209,"SL"))</f>
        <v/>
      </c>
      <c r="AR2209" s="34" t="str">
        <f aca="false">IF($B2209="","",COUNTIF($F2209:$AJ2209,"CO"))</f>
        <v/>
      </c>
      <c r="AS2209" s="34" t="str">
        <f aca="false">IF($B2209="","",COUNTIF($F2209:$AJ2209,"HPL"))</f>
        <v/>
      </c>
      <c r="AT2209" s="34" t="str">
        <f aca="false">IF($B2209="","",COUNTIF($F2209:$AJ2209,"HCL"))</f>
        <v/>
      </c>
      <c r="AU2209" s="34" t="str">
        <f aca="false">IF($B2209="","",COUNTIF($F2209:$AJ2209,"WO"))</f>
        <v/>
      </c>
      <c r="AV2209" s="34" t="str">
        <f aca="false">IF($B2209="","",COUNTIF($F2209:$AJ2209,"PH"))</f>
        <v/>
      </c>
      <c r="AW2209" s="34" t="str">
        <f aca="false">IF($B2209="","",COUNTIF($F2209:$AJ2209,"TR"))</f>
        <v/>
      </c>
      <c r="AX2209" s="35" t="str">
        <f aca="false">IF($B2209="","",AO2209+AS2209/2)</f>
        <v/>
      </c>
      <c r="AY2209" s="35" t="str">
        <f aca="false">IF($B2209="","",AQ2209)</f>
        <v/>
      </c>
      <c r="AZ2209" s="35" t="str">
        <f aca="false">IF($B2209="","",AP2209+AT2209/2)</f>
        <v/>
      </c>
      <c r="BA2209" s="35" t="str">
        <f aca="false">IF($B2209="","",AK2209+AN2209+AM2209/2+AO2209+AP2209+AQ2209+AR2209+AS2209+AT2209+AU2209+AV2209+AW2209)</f>
        <v/>
      </c>
      <c r="BB2209" s="35" t="str">
        <f aca="false">IF($B2209="","",MAX(0,AN2209-Settings!$C$16)*Settings!$C$17)</f>
        <v/>
      </c>
      <c r="BC2209" s="35" t="str">
        <f aca="false">IF($B2209="","",BA2209-BB2209)</f>
        <v/>
      </c>
      <c r="BD2209" s="35" t="str">
        <f aca="false">IF(OR($B2209="",$A2209=""),"",DAY(EOMONTH($A2209,0))-COUNTA($F2209:$AJ2209))</f>
        <v/>
      </c>
    </row>
    <row r="2210" customFormat="false" ht="15" hidden="false" customHeight="false" outlineLevel="0" collapsed="false">
      <c r="A2210" s="32"/>
      <c r="B2210" s="29"/>
      <c r="C2210" s="10" t="str">
        <f aca="false">IF($B2210="","",IFERROR(INDEX(M_name,MATCH($B2210,M_emp,0)),"Code not found"))</f>
        <v/>
      </c>
      <c r="D2210" s="10" t="str">
        <f aca="false">IF($B2210="","",IFERROR(INDEX(M_dept,MATCH($B2210,M_emp,0)),""))</f>
        <v/>
      </c>
      <c r="E2210" s="10" t="str">
        <f aca="false">IF($B2210="","",IFERROR(INDEX(M_loc,MATCH($B2210,M_emp,0)),""))</f>
        <v/>
      </c>
      <c r="F2210" s="33"/>
      <c r="G2210" s="33"/>
      <c r="H2210" s="33"/>
      <c r="I2210" s="33"/>
      <c r="J2210" s="33"/>
      <c r="K2210" s="33"/>
      <c r="L2210" s="33"/>
      <c r="M2210" s="33"/>
      <c r="N2210" s="33"/>
      <c r="O2210" s="33"/>
      <c r="P2210" s="33"/>
      <c r="Q2210" s="33"/>
      <c r="R2210" s="33"/>
      <c r="S2210" s="33"/>
      <c r="T2210" s="33"/>
      <c r="U2210" s="33"/>
      <c r="V2210" s="33"/>
      <c r="W2210" s="33"/>
      <c r="X2210" s="33"/>
      <c r="Y2210" s="33"/>
      <c r="Z2210" s="33"/>
      <c r="AA2210" s="33"/>
      <c r="AB2210" s="33"/>
      <c r="AC2210" s="33"/>
      <c r="AD2210" s="33"/>
      <c r="AE2210" s="33"/>
      <c r="AF2210" s="33"/>
      <c r="AG2210" s="33"/>
      <c r="AH2210" s="33"/>
      <c r="AI2210" s="33"/>
      <c r="AJ2210" s="33"/>
      <c r="AK2210" s="34" t="str">
        <f aca="false">IF($B2210="","",COUNTIF($F2210:$AJ2210,"P"))</f>
        <v/>
      </c>
      <c r="AL2210" s="34" t="str">
        <f aca="false">IF($B2210="","",COUNTIF($F2210:$AJ2210,"A"))</f>
        <v/>
      </c>
      <c r="AM2210" s="34" t="str">
        <f aca="false">IF($B2210="","",COUNTIF($F2210:$AJ2210,"HA"))</f>
        <v/>
      </c>
      <c r="AN2210" s="34" t="str">
        <f aca="false">IF($B2210="","",COUNTIF($F2210:$AJ2210,"L"))</f>
        <v/>
      </c>
      <c r="AO2210" s="34" t="str">
        <f aca="false">IF($B2210="","",COUNTIF($F2210:$AJ2210,"PL"))</f>
        <v/>
      </c>
      <c r="AP2210" s="34" t="str">
        <f aca="false">IF($B2210="","",COUNTIF($F2210:$AJ2210,"CL"))</f>
        <v/>
      </c>
      <c r="AQ2210" s="34" t="str">
        <f aca="false">IF($B2210="","",COUNTIF($F2210:$AJ2210,"SL"))</f>
        <v/>
      </c>
      <c r="AR2210" s="34" t="str">
        <f aca="false">IF($B2210="","",COUNTIF($F2210:$AJ2210,"CO"))</f>
        <v/>
      </c>
      <c r="AS2210" s="34" t="str">
        <f aca="false">IF($B2210="","",COUNTIF($F2210:$AJ2210,"HPL"))</f>
        <v/>
      </c>
      <c r="AT2210" s="34" t="str">
        <f aca="false">IF($B2210="","",COUNTIF($F2210:$AJ2210,"HCL"))</f>
        <v/>
      </c>
      <c r="AU2210" s="34" t="str">
        <f aca="false">IF($B2210="","",COUNTIF($F2210:$AJ2210,"WO"))</f>
        <v/>
      </c>
      <c r="AV2210" s="34" t="str">
        <f aca="false">IF($B2210="","",COUNTIF($F2210:$AJ2210,"PH"))</f>
        <v/>
      </c>
      <c r="AW2210" s="34" t="str">
        <f aca="false">IF($B2210="","",COUNTIF($F2210:$AJ2210,"TR"))</f>
        <v/>
      </c>
      <c r="AX2210" s="35" t="str">
        <f aca="false">IF($B2210="","",AO2210+AS2210/2)</f>
        <v/>
      </c>
      <c r="AY2210" s="35" t="str">
        <f aca="false">IF($B2210="","",AQ2210)</f>
        <v/>
      </c>
      <c r="AZ2210" s="35" t="str">
        <f aca="false">IF($B2210="","",AP2210+AT2210/2)</f>
        <v/>
      </c>
      <c r="BA2210" s="35" t="str">
        <f aca="false">IF($B2210="","",AK2210+AN2210+AM2210/2+AO2210+AP2210+AQ2210+AR2210+AS2210+AT2210+AU2210+AV2210+AW2210)</f>
        <v/>
      </c>
      <c r="BB2210" s="35" t="str">
        <f aca="false">IF($B2210="","",MAX(0,AN2210-Settings!$C$16)*Settings!$C$17)</f>
        <v/>
      </c>
      <c r="BC2210" s="35" t="str">
        <f aca="false">IF($B2210="","",BA2210-BB2210)</f>
        <v/>
      </c>
      <c r="BD2210" s="35" t="str">
        <f aca="false">IF(OR($B2210="",$A2210=""),"",DAY(EOMONTH($A2210,0))-COUNTA($F2210:$AJ2210))</f>
        <v/>
      </c>
    </row>
    <row r="2211" customFormat="false" ht="15" hidden="false" customHeight="false" outlineLevel="0" collapsed="false">
      <c r="A2211" s="32"/>
      <c r="B2211" s="29"/>
      <c r="C2211" s="10" t="str">
        <f aca="false">IF($B2211="","",IFERROR(INDEX(M_name,MATCH($B2211,M_emp,0)),"Code not found"))</f>
        <v/>
      </c>
      <c r="D2211" s="10" t="str">
        <f aca="false">IF($B2211="","",IFERROR(INDEX(M_dept,MATCH($B2211,M_emp,0)),""))</f>
        <v/>
      </c>
      <c r="E2211" s="10" t="str">
        <f aca="false">IF($B2211="","",IFERROR(INDEX(M_loc,MATCH($B2211,M_emp,0)),""))</f>
        <v/>
      </c>
      <c r="F2211" s="33"/>
      <c r="G2211" s="33"/>
      <c r="H2211" s="33"/>
      <c r="I2211" s="33"/>
      <c r="J2211" s="33"/>
      <c r="K2211" s="33"/>
      <c r="L2211" s="33"/>
      <c r="M2211" s="33"/>
      <c r="N2211" s="33"/>
      <c r="O2211" s="33"/>
      <c r="P2211" s="33"/>
      <c r="Q2211" s="33"/>
      <c r="R2211" s="33"/>
      <c r="S2211" s="33"/>
      <c r="T2211" s="33"/>
      <c r="U2211" s="33"/>
      <c r="V2211" s="33"/>
      <c r="W2211" s="33"/>
      <c r="X2211" s="33"/>
      <c r="Y2211" s="33"/>
      <c r="Z2211" s="33"/>
      <c r="AA2211" s="33"/>
      <c r="AB2211" s="33"/>
      <c r="AC2211" s="33"/>
      <c r="AD2211" s="33"/>
      <c r="AE2211" s="33"/>
      <c r="AF2211" s="33"/>
      <c r="AG2211" s="33"/>
      <c r="AH2211" s="33"/>
      <c r="AI2211" s="33"/>
      <c r="AJ2211" s="33"/>
      <c r="AK2211" s="34" t="str">
        <f aca="false">IF($B2211="","",COUNTIF($F2211:$AJ2211,"P"))</f>
        <v/>
      </c>
      <c r="AL2211" s="34" t="str">
        <f aca="false">IF($B2211="","",COUNTIF($F2211:$AJ2211,"A"))</f>
        <v/>
      </c>
      <c r="AM2211" s="34" t="str">
        <f aca="false">IF($B2211="","",COUNTIF($F2211:$AJ2211,"HA"))</f>
        <v/>
      </c>
      <c r="AN2211" s="34" t="str">
        <f aca="false">IF($B2211="","",COUNTIF($F2211:$AJ2211,"L"))</f>
        <v/>
      </c>
      <c r="AO2211" s="34" t="str">
        <f aca="false">IF($B2211="","",COUNTIF($F2211:$AJ2211,"PL"))</f>
        <v/>
      </c>
      <c r="AP2211" s="34" t="str">
        <f aca="false">IF($B2211="","",COUNTIF($F2211:$AJ2211,"CL"))</f>
        <v/>
      </c>
      <c r="AQ2211" s="34" t="str">
        <f aca="false">IF($B2211="","",COUNTIF($F2211:$AJ2211,"SL"))</f>
        <v/>
      </c>
      <c r="AR2211" s="34" t="str">
        <f aca="false">IF($B2211="","",COUNTIF($F2211:$AJ2211,"CO"))</f>
        <v/>
      </c>
      <c r="AS2211" s="34" t="str">
        <f aca="false">IF($B2211="","",COUNTIF($F2211:$AJ2211,"HPL"))</f>
        <v/>
      </c>
      <c r="AT2211" s="34" t="str">
        <f aca="false">IF($B2211="","",COUNTIF($F2211:$AJ2211,"HCL"))</f>
        <v/>
      </c>
      <c r="AU2211" s="34" t="str">
        <f aca="false">IF($B2211="","",COUNTIF($F2211:$AJ2211,"WO"))</f>
        <v/>
      </c>
      <c r="AV2211" s="34" t="str">
        <f aca="false">IF($B2211="","",COUNTIF($F2211:$AJ2211,"PH"))</f>
        <v/>
      </c>
      <c r="AW2211" s="34" t="str">
        <f aca="false">IF($B2211="","",COUNTIF($F2211:$AJ2211,"TR"))</f>
        <v/>
      </c>
      <c r="AX2211" s="35" t="str">
        <f aca="false">IF($B2211="","",AO2211+AS2211/2)</f>
        <v/>
      </c>
      <c r="AY2211" s="35" t="str">
        <f aca="false">IF($B2211="","",AQ2211)</f>
        <v/>
      </c>
      <c r="AZ2211" s="35" t="str">
        <f aca="false">IF($B2211="","",AP2211+AT2211/2)</f>
        <v/>
      </c>
      <c r="BA2211" s="35" t="str">
        <f aca="false">IF($B2211="","",AK2211+AN2211+AM2211/2+AO2211+AP2211+AQ2211+AR2211+AS2211+AT2211+AU2211+AV2211+AW2211)</f>
        <v/>
      </c>
      <c r="BB2211" s="35" t="str">
        <f aca="false">IF($B2211="","",MAX(0,AN2211-Settings!$C$16)*Settings!$C$17)</f>
        <v/>
      </c>
      <c r="BC2211" s="35" t="str">
        <f aca="false">IF($B2211="","",BA2211-BB2211)</f>
        <v/>
      </c>
      <c r="BD2211" s="35" t="str">
        <f aca="false">IF(OR($B2211="",$A2211=""),"",DAY(EOMONTH($A2211,0))-COUNTA($F2211:$AJ2211))</f>
        <v/>
      </c>
    </row>
    <row r="2212" customFormat="false" ht="15" hidden="false" customHeight="false" outlineLevel="0" collapsed="false">
      <c r="A2212" s="32"/>
      <c r="B2212" s="29"/>
      <c r="C2212" s="10" t="str">
        <f aca="false">IF($B2212="","",IFERROR(INDEX(M_name,MATCH($B2212,M_emp,0)),"Code not found"))</f>
        <v/>
      </c>
      <c r="D2212" s="10" t="str">
        <f aca="false">IF($B2212="","",IFERROR(INDEX(M_dept,MATCH($B2212,M_emp,0)),""))</f>
        <v/>
      </c>
      <c r="E2212" s="10" t="str">
        <f aca="false">IF($B2212="","",IFERROR(INDEX(M_loc,MATCH($B2212,M_emp,0)),""))</f>
        <v/>
      </c>
      <c r="F2212" s="33"/>
      <c r="G2212" s="33"/>
      <c r="H2212" s="33"/>
      <c r="I2212" s="33"/>
      <c r="J2212" s="33"/>
      <c r="K2212" s="33"/>
      <c r="L2212" s="33"/>
      <c r="M2212" s="33"/>
      <c r="N2212" s="33"/>
      <c r="O2212" s="33"/>
      <c r="P2212" s="33"/>
      <c r="Q2212" s="33"/>
      <c r="R2212" s="33"/>
      <c r="S2212" s="33"/>
      <c r="T2212" s="33"/>
      <c r="U2212" s="33"/>
      <c r="V2212" s="33"/>
      <c r="W2212" s="33"/>
      <c r="X2212" s="33"/>
      <c r="Y2212" s="33"/>
      <c r="Z2212" s="33"/>
      <c r="AA2212" s="33"/>
      <c r="AB2212" s="33"/>
      <c r="AC2212" s="33"/>
      <c r="AD2212" s="33"/>
      <c r="AE2212" s="33"/>
      <c r="AF2212" s="33"/>
      <c r="AG2212" s="33"/>
      <c r="AH2212" s="33"/>
      <c r="AI2212" s="33"/>
      <c r="AJ2212" s="33"/>
      <c r="AK2212" s="34" t="str">
        <f aca="false">IF($B2212="","",COUNTIF($F2212:$AJ2212,"P"))</f>
        <v/>
      </c>
      <c r="AL2212" s="34" t="str">
        <f aca="false">IF($B2212="","",COUNTIF($F2212:$AJ2212,"A"))</f>
        <v/>
      </c>
      <c r="AM2212" s="34" t="str">
        <f aca="false">IF($B2212="","",COUNTIF($F2212:$AJ2212,"HA"))</f>
        <v/>
      </c>
      <c r="AN2212" s="34" t="str">
        <f aca="false">IF($B2212="","",COUNTIF($F2212:$AJ2212,"L"))</f>
        <v/>
      </c>
      <c r="AO2212" s="34" t="str">
        <f aca="false">IF($B2212="","",COUNTIF($F2212:$AJ2212,"PL"))</f>
        <v/>
      </c>
      <c r="AP2212" s="34" t="str">
        <f aca="false">IF($B2212="","",COUNTIF($F2212:$AJ2212,"CL"))</f>
        <v/>
      </c>
      <c r="AQ2212" s="34" t="str">
        <f aca="false">IF($B2212="","",COUNTIF($F2212:$AJ2212,"SL"))</f>
        <v/>
      </c>
      <c r="AR2212" s="34" t="str">
        <f aca="false">IF($B2212="","",COUNTIF($F2212:$AJ2212,"CO"))</f>
        <v/>
      </c>
      <c r="AS2212" s="34" t="str">
        <f aca="false">IF($B2212="","",COUNTIF($F2212:$AJ2212,"HPL"))</f>
        <v/>
      </c>
      <c r="AT2212" s="34" t="str">
        <f aca="false">IF($B2212="","",COUNTIF($F2212:$AJ2212,"HCL"))</f>
        <v/>
      </c>
      <c r="AU2212" s="34" t="str">
        <f aca="false">IF($B2212="","",COUNTIF($F2212:$AJ2212,"WO"))</f>
        <v/>
      </c>
      <c r="AV2212" s="34" t="str">
        <f aca="false">IF($B2212="","",COUNTIF($F2212:$AJ2212,"PH"))</f>
        <v/>
      </c>
      <c r="AW2212" s="34" t="str">
        <f aca="false">IF($B2212="","",COUNTIF($F2212:$AJ2212,"TR"))</f>
        <v/>
      </c>
      <c r="AX2212" s="35" t="str">
        <f aca="false">IF($B2212="","",AO2212+AS2212/2)</f>
        <v/>
      </c>
      <c r="AY2212" s="35" t="str">
        <f aca="false">IF($B2212="","",AQ2212)</f>
        <v/>
      </c>
      <c r="AZ2212" s="35" t="str">
        <f aca="false">IF($B2212="","",AP2212+AT2212/2)</f>
        <v/>
      </c>
      <c r="BA2212" s="35" t="str">
        <f aca="false">IF($B2212="","",AK2212+AN2212+AM2212/2+AO2212+AP2212+AQ2212+AR2212+AS2212+AT2212+AU2212+AV2212+AW2212)</f>
        <v/>
      </c>
      <c r="BB2212" s="35" t="str">
        <f aca="false">IF($B2212="","",MAX(0,AN2212-Settings!$C$16)*Settings!$C$17)</f>
        <v/>
      </c>
      <c r="BC2212" s="35" t="str">
        <f aca="false">IF($B2212="","",BA2212-BB2212)</f>
        <v/>
      </c>
      <c r="BD2212" s="35" t="str">
        <f aca="false">IF(OR($B2212="",$A2212=""),"",DAY(EOMONTH($A2212,0))-COUNTA($F2212:$AJ2212))</f>
        <v/>
      </c>
    </row>
    <row r="2213" customFormat="false" ht="15" hidden="false" customHeight="false" outlineLevel="0" collapsed="false">
      <c r="A2213" s="32"/>
      <c r="B2213" s="29"/>
      <c r="C2213" s="10" t="str">
        <f aca="false">IF($B2213="","",IFERROR(INDEX(M_name,MATCH($B2213,M_emp,0)),"Code not found"))</f>
        <v/>
      </c>
      <c r="D2213" s="10" t="str">
        <f aca="false">IF($B2213="","",IFERROR(INDEX(M_dept,MATCH($B2213,M_emp,0)),""))</f>
        <v/>
      </c>
      <c r="E2213" s="10" t="str">
        <f aca="false">IF($B2213="","",IFERROR(INDEX(M_loc,MATCH($B2213,M_emp,0)),""))</f>
        <v/>
      </c>
      <c r="F2213" s="33"/>
      <c r="G2213" s="33"/>
      <c r="H2213" s="33"/>
      <c r="I2213" s="33"/>
      <c r="J2213" s="33"/>
      <c r="K2213" s="33"/>
      <c r="L2213" s="33"/>
      <c r="M2213" s="33"/>
      <c r="N2213" s="33"/>
      <c r="O2213" s="33"/>
      <c r="P2213" s="33"/>
      <c r="Q2213" s="33"/>
      <c r="R2213" s="33"/>
      <c r="S2213" s="33"/>
      <c r="T2213" s="33"/>
      <c r="U2213" s="33"/>
      <c r="V2213" s="33"/>
      <c r="W2213" s="33"/>
      <c r="X2213" s="33"/>
      <c r="Y2213" s="33"/>
      <c r="Z2213" s="33"/>
      <c r="AA2213" s="33"/>
      <c r="AB2213" s="33"/>
      <c r="AC2213" s="33"/>
      <c r="AD2213" s="33"/>
      <c r="AE2213" s="33"/>
      <c r="AF2213" s="33"/>
      <c r="AG2213" s="33"/>
      <c r="AH2213" s="33"/>
      <c r="AI2213" s="33"/>
      <c r="AJ2213" s="33"/>
      <c r="AK2213" s="34" t="str">
        <f aca="false">IF($B2213="","",COUNTIF($F2213:$AJ2213,"P"))</f>
        <v/>
      </c>
      <c r="AL2213" s="34" t="str">
        <f aca="false">IF($B2213="","",COUNTIF($F2213:$AJ2213,"A"))</f>
        <v/>
      </c>
      <c r="AM2213" s="34" t="str">
        <f aca="false">IF($B2213="","",COUNTIF($F2213:$AJ2213,"HA"))</f>
        <v/>
      </c>
      <c r="AN2213" s="34" t="str">
        <f aca="false">IF($B2213="","",COUNTIF($F2213:$AJ2213,"L"))</f>
        <v/>
      </c>
      <c r="AO2213" s="34" t="str">
        <f aca="false">IF($B2213="","",COUNTIF($F2213:$AJ2213,"PL"))</f>
        <v/>
      </c>
      <c r="AP2213" s="34" t="str">
        <f aca="false">IF($B2213="","",COUNTIF($F2213:$AJ2213,"CL"))</f>
        <v/>
      </c>
      <c r="AQ2213" s="34" t="str">
        <f aca="false">IF($B2213="","",COUNTIF($F2213:$AJ2213,"SL"))</f>
        <v/>
      </c>
      <c r="AR2213" s="34" t="str">
        <f aca="false">IF($B2213="","",COUNTIF($F2213:$AJ2213,"CO"))</f>
        <v/>
      </c>
      <c r="AS2213" s="34" t="str">
        <f aca="false">IF($B2213="","",COUNTIF($F2213:$AJ2213,"HPL"))</f>
        <v/>
      </c>
      <c r="AT2213" s="34" t="str">
        <f aca="false">IF($B2213="","",COUNTIF($F2213:$AJ2213,"HCL"))</f>
        <v/>
      </c>
      <c r="AU2213" s="34" t="str">
        <f aca="false">IF($B2213="","",COUNTIF($F2213:$AJ2213,"WO"))</f>
        <v/>
      </c>
      <c r="AV2213" s="34" t="str">
        <f aca="false">IF($B2213="","",COUNTIF($F2213:$AJ2213,"PH"))</f>
        <v/>
      </c>
      <c r="AW2213" s="34" t="str">
        <f aca="false">IF($B2213="","",COUNTIF($F2213:$AJ2213,"TR"))</f>
        <v/>
      </c>
      <c r="AX2213" s="35" t="str">
        <f aca="false">IF($B2213="","",AO2213+AS2213/2)</f>
        <v/>
      </c>
      <c r="AY2213" s="35" t="str">
        <f aca="false">IF($B2213="","",AQ2213)</f>
        <v/>
      </c>
      <c r="AZ2213" s="35" t="str">
        <f aca="false">IF($B2213="","",AP2213+AT2213/2)</f>
        <v/>
      </c>
      <c r="BA2213" s="35" t="str">
        <f aca="false">IF($B2213="","",AK2213+AN2213+AM2213/2+AO2213+AP2213+AQ2213+AR2213+AS2213+AT2213+AU2213+AV2213+AW2213)</f>
        <v/>
      </c>
      <c r="BB2213" s="35" t="str">
        <f aca="false">IF($B2213="","",MAX(0,AN2213-Settings!$C$16)*Settings!$C$17)</f>
        <v/>
      </c>
      <c r="BC2213" s="35" t="str">
        <f aca="false">IF($B2213="","",BA2213-BB2213)</f>
        <v/>
      </c>
      <c r="BD2213" s="35" t="str">
        <f aca="false">IF(OR($B2213="",$A2213=""),"",DAY(EOMONTH($A2213,0))-COUNTA($F2213:$AJ2213))</f>
        <v/>
      </c>
    </row>
    <row r="2214" customFormat="false" ht="15" hidden="false" customHeight="false" outlineLevel="0" collapsed="false">
      <c r="A2214" s="32"/>
      <c r="B2214" s="29"/>
      <c r="C2214" s="10" t="str">
        <f aca="false">IF($B2214="","",IFERROR(INDEX(M_name,MATCH($B2214,M_emp,0)),"Code not found"))</f>
        <v/>
      </c>
      <c r="D2214" s="10" t="str">
        <f aca="false">IF($B2214="","",IFERROR(INDEX(M_dept,MATCH($B2214,M_emp,0)),""))</f>
        <v/>
      </c>
      <c r="E2214" s="10" t="str">
        <f aca="false">IF($B2214="","",IFERROR(INDEX(M_loc,MATCH($B2214,M_emp,0)),""))</f>
        <v/>
      </c>
      <c r="F2214" s="33"/>
      <c r="G2214" s="33"/>
      <c r="H2214" s="33"/>
      <c r="I2214" s="33"/>
      <c r="J2214" s="33"/>
      <c r="K2214" s="33"/>
      <c r="L2214" s="33"/>
      <c r="M2214" s="33"/>
      <c r="N2214" s="33"/>
      <c r="O2214" s="33"/>
      <c r="P2214" s="33"/>
      <c r="Q2214" s="33"/>
      <c r="R2214" s="33"/>
      <c r="S2214" s="33"/>
      <c r="T2214" s="33"/>
      <c r="U2214" s="33"/>
      <c r="V2214" s="33"/>
      <c r="W2214" s="33"/>
      <c r="X2214" s="33"/>
      <c r="Y2214" s="33"/>
      <c r="Z2214" s="33"/>
      <c r="AA2214" s="33"/>
      <c r="AB2214" s="33"/>
      <c r="AC2214" s="33"/>
      <c r="AD2214" s="33"/>
      <c r="AE2214" s="33"/>
      <c r="AF2214" s="33"/>
      <c r="AG2214" s="33"/>
      <c r="AH2214" s="33"/>
      <c r="AI2214" s="33"/>
      <c r="AJ2214" s="33"/>
      <c r="AK2214" s="34" t="str">
        <f aca="false">IF($B2214="","",COUNTIF($F2214:$AJ2214,"P"))</f>
        <v/>
      </c>
      <c r="AL2214" s="34" t="str">
        <f aca="false">IF($B2214="","",COUNTIF($F2214:$AJ2214,"A"))</f>
        <v/>
      </c>
      <c r="AM2214" s="34" t="str">
        <f aca="false">IF($B2214="","",COUNTIF($F2214:$AJ2214,"HA"))</f>
        <v/>
      </c>
      <c r="AN2214" s="34" t="str">
        <f aca="false">IF($B2214="","",COUNTIF($F2214:$AJ2214,"L"))</f>
        <v/>
      </c>
      <c r="AO2214" s="34" t="str">
        <f aca="false">IF($B2214="","",COUNTIF($F2214:$AJ2214,"PL"))</f>
        <v/>
      </c>
      <c r="AP2214" s="34" t="str">
        <f aca="false">IF($B2214="","",COUNTIF($F2214:$AJ2214,"CL"))</f>
        <v/>
      </c>
      <c r="AQ2214" s="34" t="str">
        <f aca="false">IF($B2214="","",COUNTIF($F2214:$AJ2214,"SL"))</f>
        <v/>
      </c>
      <c r="AR2214" s="34" t="str">
        <f aca="false">IF($B2214="","",COUNTIF($F2214:$AJ2214,"CO"))</f>
        <v/>
      </c>
      <c r="AS2214" s="34" t="str">
        <f aca="false">IF($B2214="","",COUNTIF($F2214:$AJ2214,"HPL"))</f>
        <v/>
      </c>
      <c r="AT2214" s="34" t="str">
        <f aca="false">IF($B2214="","",COUNTIF($F2214:$AJ2214,"HCL"))</f>
        <v/>
      </c>
      <c r="AU2214" s="34" t="str">
        <f aca="false">IF($B2214="","",COUNTIF($F2214:$AJ2214,"WO"))</f>
        <v/>
      </c>
      <c r="AV2214" s="34" t="str">
        <f aca="false">IF($B2214="","",COUNTIF($F2214:$AJ2214,"PH"))</f>
        <v/>
      </c>
      <c r="AW2214" s="34" t="str">
        <f aca="false">IF($B2214="","",COUNTIF($F2214:$AJ2214,"TR"))</f>
        <v/>
      </c>
      <c r="AX2214" s="35" t="str">
        <f aca="false">IF($B2214="","",AO2214+AS2214/2)</f>
        <v/>
      </c>
      <c r="AY2214" s="35" t="str">
        <f aca="false">IF($B2214="","",AQ2214)</f>
        <v/>
      </c>
      <c r="AZ2214" s="35" t="str">
        <f aca="false">IF($B2214="","",AP2214+AT2214/2)</f>
        <v/>
      </c>
      <c r="BA2214" s="35" t="str">
        <f aca="false">IF($B2214="","",AK2214+AN2214+AM2214/2+AO2214+AP2214+AQ2214+AR2214+AS2214+AT2214+AU2214+AV2214+AW2214)</f>
        <v/>
      </c>
      <c r="BB2214" s="35" t="str">
        <f aca="false">IF($B2214="","",MAX(0,AN2214-Settings!$C$16)*Settings!$C$17)</f>
        <v/>
      </c>
      <c r="BC2214" s="35" t="str">
        <f aca="false">IF($B2214="","",BA2214-BB2214)</f>
        <v/>
      </c>
      <c r="BD2214" s="35" t="str">
        <f aca="false">IF(OR($B2214="",$A2214=""),"",DAY(EOMONTH($A2214,0))-COUNTA($F2214:$AJ2214))</f>
        <v/>
      </c>
    </row>
    <row r="2215" customFormat="false" ht="15" hidden="false" customHeight="false" outlineLevel="0" collapsed="false">
      <c r="A2215" s="32"/>
      <c r="B2215" s="29"/>
      <c r="C2215" s="10" t="str">
        <f aca="false">IF($B2215="","",IFERROR(INDEX(M_name,MATCH($B2215,M_emp,0)),"Code not found"))</f>
        <v/>
      </c>
      <c r="D2215" s="10" t="str">
        <f aca="false">IF($B2215="","",IFERROR(INDEX(M_dept,MATCH($B2215,M_emp,0)),""))</f>
        <v/>
      </c>
      <c r="E2215" s="10" t="str">
        <f aca="false">IF($B2215="","",IFERROR(INDEX(M_loc,MATCH($B2215,M_emp,0)),""))</f>
        <v/>
      </c>
      <c r="F2215" s="33"/>
      <c r="G2215" s="33"/>
      <c r="H2215" s="33"/>
      <c r="I2215" s="33"/>
      <c r="J2215" s="33"/>
      <c r="K2215" s="33"/>
      <c r="L2215" s="33"/>
      <c r="M2215" s="33"/>
      <c r="N2215" s="33"/>
      <c r="O2215" s="33"/>
      <c r="P2215" s="33"/>
      <c r="Q2215" s="33"/>
      <c r="R2215" s="33"/>
      <c r="S2215" s="33"/>
      <c r="T2215" s="33"/>
      <c r="U2215" s="33"/>
      <c r="V2215" s="33"/>
      <c r="W2215" s="33"/>
      <c r="X2215" s="33"/>
      <c r="Y2215" s="33"/>
      <c r="Z2215" s="33"/>
      <c r="AA2215" s="33"/>
      <c r="AB2215" s="33"/>
      <c r="AC2215" s="33"/>
      <c r="AD2215" s="33"/>
      <c r="AE2215" s="33"/>
      <c r="AF2215" s="33"/>
      <c r="AG2215" s="33"/>
      <c r="AH2215" s="33"/>
      <c r="AI2215" s="33"/>
      <c r="AJ2215" s="33"/>
      <c r="AK2215" s="34" t="str">
        <f aca="false">IF($B2215="","",COUNTIF($F2215:$AJ2215,"P"))</f>
        <v/>
      </c>
      <c r="AL2215" s="34" t="str">
        <f aca="false">IF($B2215="","",COUNTIF($F2215:$AJ2215,"A"))</f>
        <v/>
      </c>
      <c r="AM2215" s="34" t="str">
        <f aca="false">IF($B2215="","",COUNTIF($F2215:$AJ2215,"HA"))</f>
        <v/>
      </c>
      <c r="AN2215" s="34" t="str">
        <f aca="false">IF($B2215="","",COUNTIF($F2215:$AJ2215,"L"))</f>
        <v/>
      </c>
      <c r="AO2215" s="34" t="str">
        <f aca="false">IF($B2215="","",COUNTIF($F2215:$AJ2215,"PL"))</f>
        <v/>
      </c>
      <c r="AP2215" s="34" t="str">
        <f aca="false">IF($B2215="","",COUNTIF($F2215:$AJ2215,"CL"))</f>
        <v/>
      </c>
      <c r="AQ2215" s="34" t="str">
        <f aca="false">IF($B2215="","",COUNTIF($F2215:$AJ2215,"SL"))</f>
        <v/>
      </c>
      <c r="AR2215" s="34" t="str">
        <f aca="false">IF($B2215="","",COUNTIF($F2215:$AJ2215,"CO"))</f>
        <v/>
      </c>
      <c r="AS2215" s="34" t="str">
        <f aca="false">IF($B2215="","",COUNTIF($F2215:$AJ2215,"HPL"))</f>
        <v/>
      </c>
      <c r="AT2215" s="34" t="str">
        <f aca="false">IF($B2215="","",COUNTIF($F2215:$AJ2215,"HCL"))</f>
        <v/>
      </c>
      <c r="AU2215" s="34" t="str">
        <f aca="false">IF($B2215="","",COUNTIF($F2215:$AJ2215,"WO"))</f>
        <v/>
      </c>
      <c r="AV2215" s="34" t="str">
        <f aca="false">IF($B2215="","",COUNTIF($F2215:$AJ2215,"PH"))</f>
        <v/>
      </c>
      <c r="AW2215" s="34" t="str">
        <f aca="false">IF($B2215="","",COUNTIF($F2215:$AJ2215,"TR"))</f>
        <v/>
      </c>
      <c r="AX2215" s="35" t="str">
        <f aca="false">IF($B2215="","",AO2215+AS2215/2)</f>
        <v/>
      </c>
      <c r="AY2215" s="35" t="str">
        <f aca="false">IF($B2215="","",AQ2215)</f>
        <v/>
      </c>
      <c r="AZ2215" s="35" t="str">
        <f aca="false">IF($B2215="","",AP2215+AT2215/2)</f>
        <v/>
      </c>
      <c r="BA2215" s="35" t="str">
        <f aca="false">IF($B2215="","",AK2215+AN2215+AM2215/2+AO2215+AP2215+AQ2215+AR2215+AS2215+AT2215+AU2215+AV2215+AW2215)</f>
        <v/>
      </c>
      <c r="BB2215" s="35" t="str">
        <f aca="false">IF($B2215="","",MAX(0,AN2215-Settings!$C$16)*Settings!$C$17)</f>
        <v/>
      </c>
      <c r="BC2215" s="35" t="str">
        <f aca="false">IF($B2215="","",BA2215-BB2215)</f>
        <v/>
      </c>
      <c r="BD2215" s="35" t="str">
        <f aca="false">IF(OR($B2215="",$A2215=""),"",DAY(EOMONTH($A2215,0))-COUNTA($F2215:$AJ2215))</f>
        <v/>
      </c>
    </row>
    <row r="2216" customFormat="false" ht="15" hidden="false" customHeight="false" outlineLevel="0" collapsed="false">
      <c r="A2216" s="32"/>
      <c r="B2216" s="29"/>
      <c r="C2216" s="10" t="str">
        <f aca="false">IF($B2216="","",IFERROR(INDEX(M_name,MATCH($B2216,M_emp,0)),"Code not found"))</f>
        <v/>
      </c>
      <c r="D2216" s="10" t="str">
        <f aca="false">IF($B2216="","",IFERROR(INDEX(M_dept,MATCH($B2216,M_emp,0)),""))</f>
        <v/>
      </c>
      <c r="E2216" s="10" t="str">
        <f aca="false">IF($B2216="","",IFERROR(INDEX(M_loc,MATCH($B2216,M_emp,0)),""))</f>
        <v/>
      </c>
      <c r="F2216" s="33"/>
      <c r="G2216" s="33"/>
      <c r="H2216" s="33"/>
      <c r="I2216" s="33"/>
      <c r="J2216" s="33"/>
      <c r="K2216" s="33"/>
      <c r="L2216" s="33"/>
      <c r="M2216" s="33"/>
      <c r="N2216" s="33"/>
      <c r="O2216" s="33"/>
      <c r="P2216" s="33"/>
      <c r="Q2216" s="33"/>
      <c r="R2216" s="33"/>
      <c r="S2216" s="33"/>
      <c r="T2216" s="33"/>
      <c r="U2216" s="33"/>
      <c r="V2216" s="33"/>
      <c r="W2216" s="33"/>
      <c r="X2216" s="33"/>
      <c r="Y2216" s="33"/>
      <c r="Z2216" s="33"/>
      <c r="AA2216" s="33"/>
      <c r="AB2216" s="33"/>
      <c r="AC2216" s="33"/>
      <c r="AD2216" s="33"/>
      <c r="AE2216" s="33"/>
      <c r="AF2216" s="33"/>
      <c r="AG2216" s="33"/>
      <c r="AH2216" s="33"/>
      <c r="AI2216" s="33"/>
      <c r="AJ2216" s="33"/>
      <c r="AK2216" s="34" t="str">
        <f aca="false">IF($B2216="","",COUNTIF($F2216:$AJ2216,"P"))</f>
        <v/>
      </c>
      <c r="AL2216" s="34" t="str">
        <f aca="false">IF($B2216="","",COUNTIF($F2216:$AJ2216,"A"))</f>
        <v/>
      </c>
      <c r="AM2216" s="34" t="str">
        <f aca="false">IF($B2216="","",COUNTIF($F2216:$AJ2216,"HA"))</f>
        <v/>
      </c>
      <c r="AN2216" s="34" t="str">
        <f aca="false">IF($B2216="","",COUNTIF($F2216:$AJ2216,"L"))</f>
        <v/>
      </c>
      <c r="AO2216" s="34" t="str">
        <f aca="false">IF($B2216="","",COUNTIF($F2216:$AJ2216,"PL"))</f>
        <v/>
      </c>
      <c r="AP2216" s="34" t="str">
        <f aca="false">IF($B2216="","",COUNTIF($F2216:$AJ2216,"CL"))</f>
        <v/>
      </c>
      <c r="AQ2216" s="34" t="str">
        <f aca="false">IF($B2216="","",COUNTIF($F2216:$AJ2216,"SL"))</f>
        <v/>
      </c>
      <c r="AR2216" s="34" t="str">
        <f aca="false">IF($B2216="","",COUNTIF($F2216:$AJ2216,"CO"))</f>
        <v/>
      </c>
      <c r="AS2216" s="34" t="str">
        <f aca="false">IF($B2216="","",COUNTIF($F2216:$AJ2216,"HPL"))</f>
        <v/>
      </c>
      <c r="AT2216" s="34" t="str">
        <f aca="false">IF($B2216="","",COUNTIF($F2216:$AJ2216,"HCL"))</f>
        <v/>
      </c>
      <c r="AU2216" s="34" t="str">
        <f aca="false">IF($B2216="","",COUNTIF($F2216:$AJ2216,"WO"))</f>
        <v/>
      </c>
      <c r="AV2216" s="34" t="str">
        <f aca="false">IF($B2216="","",COUNTIF($F2216:$AJ2216,"PH"))</f>
        <v/>
      </c>
      <c r="AW2216" s="34" t="str">
        <f aca="false">IF($B2216="","",COUNTIF($F2216:$AJ2216,"TR"))</f>
        <v/>
      </c>
      <c r="AX2216" s="35" t="str">
        <f aca="false">IF($B2216="","",AO2216+AS2216/2)</f>
        <v/>
      </c>
      <c r="AY2216" s="35" t="str">
        <f aca="false">IF($B2216="","",AQ2216)</f>
        <v/>
      </c>
      <c r="AZ2216" s="35" t="str">
        <f aca="false">IF($B2216="","",AP2216+AT2216/2)</f>
        <v/>
      </c>
      <c r="BA2216" s="35" t="str">
        <f aca="false">IF($B2216="","",AK2216+AN2216+AM2216/2+AO2216+AP2216+AQ2216+AR2216+AS2216+AT2216+AU2216+AV2216+AW2216)</f>
        <v/>
      </c>
      <c r="BB2216" s="35" t="str">
        <f aca="false">IF($B2216="","",MAX(0,AN2216-Settings!$C$16)*Settings!$C$17)</f>
        <v/>
      </c>
      <c r="BC2216" s="35" t="str">
        <f aca="false">IF($B2216="","",BA2216-BB2216)</f>
        <v/>
      </c>
      <c r="BD2216" s="35" t="str">
        <f aca="false">IF(OR($B2216="",$A2216=""),"",DAY(EOMONTH($A2216,0))-COUNTA($F2216:$AJ2216))</f>
        <v/>
      </c>
    </row>
    <row r="2217" customFormat="false" ht="15" hidden="false" customHeight="false" outlineLevel="0" collapsed="false">
      <c r="A2217" s="32"/>
      <c r="B2217" s="29"/>
      <c r="C2217" s="10" t="str">
        <f aca="false">IF($B2217="","",IFERROR(INDEX(M_name,MATCH($B2217,M_emp,0)),"Code not found"))</f>
        <v/>
      </c>
      <c r="D2217" s="10" t="str">
        <f aca="false">IF($B2217="","",IFERROR(INDEX(M_dept,MATCH($B2217,M_emp,0)),""))</f>
        <v/>
      </c>
      <c r="E2217" s="10" t="str">
        <f aca="false">IF($B2217="","",IFERROR(INDEX(M_loc,MATCH($B2217,M_emp,0)),""))</f>
        <v/>
      </c>
      <c r="F2217" s="33"/>
      <c r="G2217" s="33"/>
      <c r="H2217" s="33"/>
      <c r="I2217" s="33"/>
      <c r="J2217" s="33"/>
      <c r="K2217" s="33"/>
      <c r="L2217" s="33"/>
      <c r="M2217" s="33"/>
      <c r="N2217" s="33"/>
      <c r="O2217" s="33"/>
      <c r="P2217" s="33"/>
      <c r="Q2217" s="33"/>
      <c r="R2217" s="33"/>
      <c r="S2217" s="33"/>
      <c r="T2217" s="33"/>
      <c r="U2217" s="33"/>
      <c r="V2217" s="33"/>
      <c r="W2217" s="33"/>
      <c r="X2217" s="33"/>
      <c r="Y2217" s="33"/>
      <c r="Z2217" s="33"/>
      <c r="AA2217" s="33"/>
      <c r="AB2217" s="33"/>
      <c r="AC2217" s="33"/>
      <c r="AD2217" s="33"/>
      <c r="AE2217" s="33"/>
      <c r="AF2217" s="33"/>
      <c r="AG2217" s="33"/>
      <c r="AH2217" s="33"/>
      <c r="AI2217" s="33"/>
      <c r="AJ2217" s="33"/>
      <c r="AK2217" s="34" t="str">
        <f aca="false">IF($B2217="","",COUNTIF($F2217:$AJ2217,"P"))</f>
        <v/>
      </c>
      <c r="AL2217" s="34" t="str">
        <f aca="false">IF($B2217="","",COUNTIF($F2217:$AJ2217,"A"))</f>
        <v/>
      </c>
      <c r="AM2217" s="34" t="str">
        <f aca="false">IF($B2217="","",COUNTIF($F2217:$AJ2217,"HA"))</f>
        <v/>
      </c>
      <c r="AN2217" s="34" t="str">
        <f aca="false">IF($B2217="","",COUNTIF($F2217:$AJ2217,"L"))</f>
        <v/>
      </c>
      <c r="AO2217" s="34" t="str">
        <f aca="false">IF($B2217="","",COUNTIF($F2217:$AJ2217,"PL"))</f>
        <v/>
      </c>
      <c r="AP2217" s="34" t="str">
        <f aca="false">IF($B2217="","",COUNTIF($F2217:$AJ2217,"CL"))</f>
        <v/>
      </c>
      <c r="AQ2217" s="34" t="str">
        <f aca="false">IF($B2217="","",COUNTIF($F2217:$AJ2217,"SL"))</f>
        <v/>
      </c>
      <c r="AR2217" s="34" t="str">
        <f aca="false">IF($B2217="","",COUNTIF($F2217:$AJ2217,"CO"))</f>
        <v/>
      </c>
      <c r="AS2217" s="34" t="str">
        <f aca="false">IF($B2217="","",COUNTIF($F2217:$AJ2217,"HPL"))</f>
        <v/>
      </c>
      <c r="AT2217" s="34" t="str">
        <f aca="false">IF($B2217="","",COUNTIF($F2217:$AJ2217,"HCL"))</f>
        <v/>
      </c>
      <c r="AU2217" s="34" t="str">
        <f aca="false">IF($B2217="","",COUNTIF($F2217:$AJ2217,"WO"))</f>
        <v/>
      </c>
      <c r="AV2217" s="34" t="str">
        <f aca="false">IF($B2217="","",COUNTIF($F2217:$AJ2217,"PH"))</f>
        <v/>
      </c>
      <c r="AW2217" s="34" t="str">
        <f aca="false">IF($B2217="","",COUNTIF($F2217:$AJ2217,"TR"))</f>
        <v/>
      </c>
      <c r="AX2217" s="35" t="str">
        <f aca="false">IF($B2217="","",AO2217+AS2217/2)</f>
        <v/>
      </c>
      <c r="AY2217" s="35" t="str">
        <f aca="false">IF($B2217="","",AQ2217)</f>
        <v/>
      </c>
      <c r="AZ2217" s="35" t="str">
        <f aca="false">IF($B2217="","",AP2217+AT2217/2)</f>
        <v/>
      </c>
      <c r="BA2217" s="35" t="str">
        <f aca="false">IF($B2217="","",AK2217+AN2217+AM2217/2+AO2217+AP2217+AQ2217+AR2217+AS2217+AT2217+AU2217+AV2217+AW2217)</f>
        <v/>
      </c>
      <c r="BB2217" s="35" t="str">
        <f aca="false">IF($B2217="","",MAX(0,AN2217-Settings!$C$16)*Settings!$C$17)</f>
        <v/>
      </c>
      <c r="BC2217" s="35" t="str">
        <f aca="false">IF($B2217="","",BA2217-BB2217)</f>
        <v/>
      </c>
      <c r="BD2217" s="35" t="str">
        <f aca="false">IF(OR($B2217="",$A2217=""),"",DAY(EOMONTH($A2217,0))-COUNTA($F2217:$AJ2217))</f>
        <v/>
      </c>
    </row>
    <row r="2218" customFormat="false" ht="15" hidden="false" customHeight="false" outlineLevel="0" collapsed="false">
      <c r="A2218" s="32"/>
      <c r="B2218" s="29"/>
      <c r="C2218" s="10" t="str">
        <f aca="false">IF($B2218="","",IFERROR(INDEX(M_name,MATCH($B2218,M_emp,0)),"Code not found"))</f>
        <v/>
      </c>
      <c r="D2218" s="10" t="str">
        <f aca="false">IF($B2218="","",IFERROR(INDEX(M_dept,MATCH($B2218,M_emp,0)),""))</f>
        <v/>
      </c>
      <c r="E2218" s="10" t="str">
        <f aca="false">IF($B2218="","",IFERROR(INDEX(M_loc,MATCH($B2218,M_emp,0)),""))</f>
        <v/>
      </c>
      <c r="F2218" s="33"/>
      <c r="G2218" s="33"/>
      <c r="H2218" s="33"/>
      <c r="I2218" s="33"/>
      <c r="J2218" s="33"/>
      <c r="K2218" s="33"/>
      <c r="L2218" s="33"/>
      <c r="M2218" s="33"/>
      <c r="N2218" s="33"/>
      <c r="O2218" s="33"/>
      <c r="P2218" s="33"/>
      <c r="Q2218" s="33"/>
      <c r="R2218" s="33"/>
      <c r="S2218" s="33"/>
      <c r="T2218" s="33"/>
      <c r="U2218" s="33"/>
      <c r="V2218" s="33"/>
      <c r="W2218" s="33"/>
      <c r="X2218" s="33"/>
      <c r="Y2218" s="33"/>
      <c r="Z2218" s="33"/>
      <c r="AA2218" s="33"/>
      <c r="AB2218" s="33"/>
      <c r="AC2218" s="33"/>
      <c r="AD2218" s="33"/>
      <c r="AE2218" s="33"/>
      <c r="AF2218" s="33"/>
      <c r="AG2218" s="33"/>
      <c r="AH2218" s="33"/>
      <c r="AI2218" s="33"/>
      <c r="AJ2218" s="33"/>
      <c r="AK2218" s="34" t="str">
        <f aca="false">IF($B2218="","",COUNTIF($F2218:$AJ2218,"P"))</f>
        <v/>
      </c>
      <c r="AL2218" s="34" t="str">
        <f aca="false">IF($B2218="","",COUNTIF($F2218:$AJ2218,"A"))</f>
        <v/>
      </c>
      <c r="AM2218" s="34" t="str">
        <f aca="false">IF($B2218="","",COUNTIF($F2218:$AJ2218,"HA"))</f>
        <v/>
      </c>
      <c r="AN2218" s="34" t="str">
        <f aca="false">IF($B2218="","",COUNTIF($F2218:$AJ2218,"L"))</f>
        <v/>
      </c>
      <c r="AO2218" s="34" t="str">
        <f aca="false">IF($B2218="","",COUNTIF($F2218:$AJ2218,"PL"))</f>
        <v/>
      </c>
      <c r="AP2218" s="34" t="str">
        <f aca="false">IF($B2218="","",COUNTIF($F2218:$AJ2218,"CL"))</f>
        <v/>
      </c>
      <c r="AQ2218" s="34" t="str">
        <f aca="false">IF($B2218="","",COUNTIF($F2218:$AJ2218,"SL"))</f>
        <v/>
      </c>
      <c r="AR2218" s="34" t="str">
        <f aca="false">IF($B2218="","",COUNTIF($F2218:$AJ2218,"CO"))</f>
        <v/>
      </c>
      <c r="AS2218" s="34" t="str">
        <f aca="false">IF($B2218="","",COUNTIF($F2218:$AJ2218,"HPL"))</f>
        <v/>
      </c>
      <c r="AT2218" s="34" t="str">
        <f aca="false">IF($B2218="","",COUNTIF($F2218:$AJ2218,"HCL"))</f>
        <v/>
      </c>
      <c r="AU2218" s="34" t="str">
        <f aca="false">IF($B2218="","",COUNTIF($F2218:$AJ2218,"WO"))</f>
        <v/>
      </c>
      <c r="AV2218" s="34" t="str">
        <f aca="false">IF($B2218="","",COUNTIF($F2218:$AJ2218,"PH"))</f>
        <v/>
      </c>
      <c r="AW2218" s="34" t="str">
        <f aca="false">IF($B2218="","",COUNTIF($F2218:$AJ2218,"TR"))</f>
        <v/>
      </c>
      <c r="AX2218" s="35" t="str">
        <f aca="false">IF($B2218="","",AO2218+AS2218/2)</f>
        <v/>
      </c>
      <c r="AY2218" s="35" t="str">
        <f aca="false">IF($B2218="","",AQ2218)</f>
        <v/>
      </c>
      <c r="AZ2218" s="35" t="str">
        <f aca="false">IF($B2218="","",AP2218+AT2218/2)</f>
        <v/>
      </c>
      <c r="BA2218" s="35" t="str">
        <f aca="false">IF($B2218="","",AK2218+AN2218+AM2218/2+AO2218+AP2218+AQ2218+AR2218+AS2218+AT2218+AU2218+AV2218+AW2218)</f>
        <v/>
      </c>
      <c r="BB2218" s="35" t="str">
        <f aca="false">IF($B2218="","",MAX(0,AN2218-Settings!$C$16)*Settings!$C$17)</f>
        <v/>
      </c>
      <c r="BC2218" s="35" t="str">
        <f aca="false">IF($B2218="","",BA2218-BB2218)</f>
        <v/>
      </c>
      <c r="BD2218" s="35" t="str">
        <f aca="false">IF(OR($B2218="",$A2218=""),"",DAY(EOMONTH($A2218,0))-COUNTA($F2218:$AJ2218))</f>
        <v/>
      </c>
    </row>
    <row r="2219" customFormat="false" ht="15" hidden="false" customHeight="false" outlineLevel="0" collapsed="false">
      <c r="A2219" s="32"/>
      <c r="B2219" s="29"/>
      <c r="C2219" s="10" t="str">
        <f aca="false">IF($B2219="","",IFERROR(INDEX(M_name,MATCH($B2219,M_emp,0)),"Code not found"))</f>
        <v/>
      </c>
      <c r="D2219" s="10" t="str">
        <f aca="false">IF($B2219="","",IFERROR(INDEX(M_dept,MATCH($B2219,M_emp,0)),""))</f>
        <v/>
      </c>
      <c r="E2219" s="10" t="str">
        <f aca="false">IF($B2219="","",IFERROR(INDEX(M_loc,MATCH($B2219,M_emp,0)),""))</f>
        <v/>
      </c>
      <c r="F2219" s="33"/>
      <c r="G2219" s="33"/>
      <c r="H2219" s="33"/>
      <c r="I2219" s="33"/>
      <c r="J2219" s="33"/>
      <c r="K2219" s="33"/>
      <c r="L2219" s="33"/>
      <c r="M2219" s="33"/>
      <c r="N2219" s="33"/>
      <c r="O2219" s="33"/>
      <c r="P2219" s="33"/>
      <c r="Q2219" s="33"/>
      <c r="R2219" s="33"/>
      <c r="S2219" s="33"/>
      <c r="T2219" s="33"/>
      <c r="U2219" s="33"/>
      <c r="V2219" s="33"/>
      <c r="W2219" s="33"/>
      <c r="X2219" s="33"/>
      <c r="Y2219" s="33"/>
      <c r="Z2219" s="33"/>
      <c r="AA2219" s="33"/>
      <c r="AB2219" s="33"/>
      <c r="AC2219" s="33"/>
      <c r="AD2219" s="33"/>
      <c r="AE2219" s="33"/>
      <c r="AF2219" s="33"/>
      <c r="AG2219" s="33"/>
      <c r="AH2219" s="33"/>
      <c r="AI2219" s="33"/>
      <c r="AJ2219" s="33"/>
      <c r="AK2219" s="34" t="str">
        <f aca="false">IF($B2219="","",COUNTIF($F2219:$AJ2219,"P"))</f>
        <v/>
      </c>
      <c r="AL2219" s="34" t="str">
        <f aca="false">IF($B2219="","",COUNTIF($F2219:$AJ2219,"A"))</f>
        <v/>
      </c>
      <c r="AM2219" s="34" t="str">
        <f aca="false">IF($B2219="","",COUNTIF($F2219:$AJ2219,"HA"))</f>
        <v/>
      </c>
      <c r="AN2219" s="34" t="str">
        <f aca="false">IF($B2219="","",COUNTIF($F2219:$AJ2219,"L"))</f>
        <v/>
      </c>
      <c r="AO2219" s="34" t="str">
        <f aca="false">IF($B2219="","",COUNTIF($F2219:$AJ2219,"PL"))</f>
        <v/>
      </c>
      <c r="AP2219" s="34" t="str">
        <f aca="false">IF($B2219="","",COUNTIF($F2219:$AJ2219,"CL"))</f>
        <v/>
      </c>
      <c r="AQ2219" s="34" t="str">
        <f aca="false">IF($B2219="","",COUNTIF($F2219:$AJ2219,"SL"))</f>
        <v/>
      </c>
      <c r="AR2219" s="34" t="str">
        <f aca="false">IF($B2219="","",COUNTIF($F2219:$AJ2219,"CO"))</f>
        <v/>
      </c>
      <c r="AS2219" s="34" t="str">
        <f aca="false">IF($B2219="","",COUNTIF($F2219:$AJ2219,"HPL"))</f>
        <v/>
      </c>
      <c r="AT2219" s="34" t="str">
        <f aca="false">IF($B2219="","",COUNTIF($F2219:$AJ2219,"HCL"))</f>
        <v/>
      </c>
      <c r="AU2219" s="34" t="str">
        <f aca="false">IF($B2219="","",COUNTIF($F2219:$AJ2219,"WO"))</f>
        <v/>
      </c>
      <c r="AV2219" s="34" t="str">
        <f aca="false">IF($B2219="","",COUNTIF($F2219:$AJ2219,"PH"))</f>
        <v/>
      </c>
      <c r="AW2219" s="34" t="str">
        <f aca="false">IF($B2219="","",COUNTIF($F2219:$AJ2219,"TR"))</f>
        <v/>
      </c>
      <c r="AX2219" s="35" t="str">
        <f aca="false">IF($B2219="","",AO2219+AS2219/2)</f>
        <v/>
      </c>
      <c r="AY2219" s="35" t="str">
        <f aca="false">IF($B2219="","",AQ2219)</f>
        <v/>
      </c>
      <c r="AZ2219" s="35" t="str">
        <f aca="false">IF($B2219="","",AP2219+AT2219/2)</f>
        <v/>
      </c>
      <c r="BA2219" s="35" t="str">
        <f aca="false">IF($B2219="","",AK2219+AN2219+AM2219/2+AO2219+AP2219+AQ2219+AR2219+AS2219+AT2219+AU2219+AV2219+AW2219)</f>
        <v/>
      </c>
      <c r="BB2219" s="35" t="str">
        <f aca="false">IF($B2219="","",MAX(0,AN2219-Settings!$C$16)*Settings!$C$17)</f>
        <v/>
      </c>
      <c r="BC2219" s="35" t="str">
        <f aca="false">IF($B2219="","",BA2219-BB2219)</f>
        <v/>
      </c>
      <c r="BD2219" s="35" t="str">
        <f aca="false">IF(OR($B2219="",$A2219=""),"",DAY(EOMONTH($A2219,0))-COUNTA($F2219:$AJ2219))</f>
        <v/>
      </c>
    </row>
    <row r="2220" customFormat="false" ht="15" hidden="false" customHeight="false" outlineLevel="0" collapsed="false">
      <c r="A2220" s="32"/>
      <c r="B2220" s="29"/>
      <c r="C2220" s="10" t="str">
        <f aca="false">IF($B2220="","",IFERROR(INDEX(M_name,MATCH($B2220,M_emp,0)),"Code not found"))</f>
        <v/>
      </c>
      <c r="D2220" s="10" t="str">
        <f aca="false">IF($B2220="","",IFERROR(INDEX(M_dept,MATCH($B2220,M_emp,0)),""))</f>
        <v/>
      </c>
      <c r="E2220" s="10" t="str">
        <f aca="false">IF($B2220="","",IFERROR(INDEX(M_loc,MATCH($B2220,M_emp,0)),""))</f>
        <v/>
      </c>
      <c r="F2220" s="33"/>
      <c r="G2220" s="33"/>
      <c r="H2220" s="33"/>
      <c r="I2220" s="33"/>
      <c r="J2220" s="33"/>
      <c r="K2220" s="33"/>
      <c r="L2220" s="33"/>
      <c r="M2220" s="33"/>
      <c r="N2220" s="33"/>
      <c r="O2220" s="33"/>
      <c r="P2220" s="33"/>
      <c r="Q2220" s="33"/>
      <c r="R2220" s="33"/>
      <c r="S2220" s="33"/>
      <c r="T2220" s="33"/>
      <c r="U2220" s="33"/>
      <c r="V2220" s="33"/>
      <c r="W2220" s="33"/>
      <c r="X2220" s="33"/>
      <c r="Y2220" s="33"/>
      <c r="Z2220" s="33"/>
      <c r="AA2220" s="33"/>
      <c r="AB2220" s="33"/>
      <c r="AC2220" s="33"/>
      <c r="AD2220" s="33"/>
      <c r="AE2220" s="33"/>
      <c r="AF2220" s="33"/>
      <c r="AG2220" s="33"/>
      <c r="AH2220" s="33"/>
      <c r="AI2220" s="33"/>
      <c r="AJ2220" s="33"/>
      <c r="AK2220" s="34" t="str">
        <f aca="false">IF($B2220="","",COUNTIF($F2220:$AJ2220,"P"))</f>
        <v/>
      </c>
      <c r="AL2220" s="34" t="str">
        <f aca="false">IF($B2220="","",COUNTIF($F2220:$AJ2220,"A"))</f>
        <v/>
      </c>
      <c r="AM2220" s="34" t="str">
        <f aca="false">IF($B2220="","",COUNTIF($F2220:$AJ2220,"HA"))</f>
        <v/>
      </c>
      <c r="AN2220" s="34" t="str">
        <f aca="false">IF($B2220="","",COUNTIF($F2220:$AJ2220,"L"))</f>
        <v/>
      </c>
      <c r="AO2220" s="34" t="str">
        <f aca="false">IF($B2220="","",COUNTIF($F2220:$AJ2220,"PL"))</f>
        <v/>
      </c>
      <c r="AP2220" s="34" t="str">
        <f aca="false">IF($B2220="","",COUNTIF($F2220:$AJ2220,"CL"))</f>
        <v/>
      </c>
      <c r="AQ2220" s="34" t="str">
        <f aca="false">IF($B2220="","",COUNTIF($F2220:$AJ2220,"SL"))</f>
        <v/>
      </c>
      <c r="AR2220" s="34" t="str">
        <f aca="false">IF($B2220="","",COUNTIF($F2220:$AJ2220,"CO"))</f>
        <v/>
      </c>
      <c r="AS2220" s="34" t="str">
        <f aca="false">IF($B2220="","",COUNTIF($F2220:$AJ2220,"HPL"))</f>
        <v/>
      </c>
      <c r="AT2220" s="34" t="str">
        <f aca="false">IF($B2220="","",COUNTIF($F2220:$AJ2220,"HCL"))</f>
        <v/>
      </c>
      <c r="AU2220" s="34" t="str">
        <f aca="false">IF($B2220="","",COUNTIF($F2220:$AJ2220,"WO"))</f>
        <v/>
      </c>
      <c r="AV2220" s="34" t="str">
        <f aca="false">IF($B2220="","",COUNTIF($F2220:$AJ2220,"PH"))</f>
        <v/>
      </c>
      <c r="AW2220" s="34" t="str">
        <f aca="false">IF($B2220="","",COUNTIF($F2220:$AJ2220,"TR"))</f>
        <v/>
      </c>
      <c r="AX2220" s="35" t="str">
        <f aca="false">IF($B2220="","",AO2220+AS2220/2)</f>
        <v/>
      </c>
      <c r="AY2220" s="35" t="str">
        <f aca="false">IF($B2220="","",AQ2220)</f>
        <v/>
      </c>
      <c r="AZ2220" s="35" t="str">
        <f aca="false">IF($B2220="","",AP2220+AT2220/2)</f>
        <v/>
      </c>
      <c r="BA2220" s="35" t="str">
        <f aca="false">IF($B2220="","",AK2220+AN2220+AM2220/2+AO2220+AP2220+AQ2220+AR2220+AS2220+AT2220+AU2220+AV2220+AW2220)</f>
        <v/>
      </c>
      <c r="BB2220" s="35" t="str">
        <f aca="false">IF($B2220="","",MAX(0,AN2220-Settings!$C$16)*Settings!$C$17)</f>
        <v/>
      </c>
      <c r="BC2220" s="35" t="str">
        <f aca="false">IF($B2220="","",BA2220-BB2220)</f>
        <v/>
      </c>
      <c r="BD2220" s="35" t="str">
        <f aca="false">IF(OR($B2220="",$A2220=""),"",DAY(EOMONTH($A2220,0))-COUNTA($F2220:$AJ2220))</f>
        <v/>
      </c>
    </row>
    <row r="2221" customFormat="false" ht="15" hidden="false" customHeight="false" outlineLevel="0" collapsed="false">
      <c r="A2221" s="32"/>
      <c r="B2221" s="29"/>
      <c r="C2221" s="10" t="str">
        <f aca="false">IF($B2221="","",IFERROR(INDEX(M_name,MATCH($B2221,M_emp,0)),"Code not found"))</f>
        <v/>
      </c>
      <c r="D2221" s="10" t="str">
        <f aca="false">IF($B2221="","",IFERROR(INDEX(M_dept,MATCH($B2221,M_emp,0)),""))</f>
        <v/>
      </c>
      <c r="E2221" s="10" t="str">
        <f aca="false">IF($B2221="","",IFERROR(INDEX(M_loc,MATCH($B2221,M_emp,0)),""))</f>
        <v/>
      </c>
      <c r="F2221" s="33"/>
      <c r="G2221" s="33"/>
      <c r="H2221" s="33"/>
      <c r="I2221" s="33"/>
      <c r="J2221" s="33"/>
      <c r="K2221" s="33"/>
      <c r="L2221" s="33"/>
      <c r="M2221" s="33"/>
      <c r="N2221" s="33"/>
      <c r="O2221" s="33"/>
      <c r="P2221" s="33"/>
      <c r="Q2221" s="33"/>
      <c r="R2221" s="33"/>
      <c r="S2221" s="33"/>
      <c r="T2221" s="33"/>
      <c r="U2221" s="33"/>
      <c r="V2221" s="33"/>
      <c r="W2221" s="33"/>
      <c r="X2221" s="33"/>
      <c r="Y2221" s="33"/>
      <c r="Z2221" s="33"/>
      <c r="AA2221" s="33"/>
      <c r="AB2221" s="33"/>
      <c r="AC2221" s="33"/>
      <c r="AD2221" s="33"/>
      <c r="AE2221" s="33"/>
      <c r="AF2221" s="33"/>
      <c r="AG2221" s="33"/>
      <c r="AH2221" s="33"/>
      <c r="AI2221" s="33"/>
      <c r="AJ2221" s="33"/>
      <c r="AK2221" s="34" t="str">
        <f aca="false">IF($B2221="","",COUNTIF($F2221:$AJ2221,"P"))</f>
        <v/>
      </c>
      <c r="AL2221" s="34" t="str">
        <f aca="false">IF($B2221="","",COUNTIF($F2221:$AJ2221,"A"))</f>
        <v/>
      </c>
      <c r="AM2221" s="34" t="str">
        <f aca="false">IF($B2221="","",COUNTIF($F2221:$AJ2221,"HA"))</f>
        <v/>
      </c>
      <c r="AN2221" s="34" t="str">
        <f aca="false">IF($B2221="","",COUNTIF($F2221:$AJ2221,"L"))</f>
        <v/>
      </c>
      <c r="AO2221" s="34" t="str">
        <f aca="false">IF($B2221="","",COUNTIF($F2221:$AJ2221,"PL"))</f>
        <v/>
      </c>
      <c r="AP2221" s="34" t="str">
        <f aca="false">IF($B2221="","",COUNTIF($F2221:$AJ2221,"CL"))</f>
        <v/>
      </c>
      <c r="AQ2221" s="34" t="str">
        <f aca="false">IF($B2221="","",COUNTIF($F2221:$AJ2221,"SL"))</f>
        <v/>
      </c>
      <c r="AR2221" s="34" t="str">
        <f aca="false">IF($B2221="","",COUNTIF($F2221:$AJ2221,"CO"))</f>
        <v/>
      </c>
      <c r="AS2221" s="34" t="str">
        <f aca="false">IF($B2221="","",COUNTIF($F2221:$AJ2221,"HPL"))</f>
        <v/>
      </c>
      <c r="AT2221" s="34" t="str">
        <f aca="false">IF($B2221="","",COUNTIF($F2221:$AJ2221,"HCL"))</f>
        <v/>
      </c>
      <c r="AU2221" s="34" t="str">
        <f aca="false">IF($B2221="","",COUNTIF($F2221:$AJ2221,"WO"))</f>
        <v/>
      </c>
      <c r="AV2221" s="34" t="str">
        <f aca="false">IF($B2221="","",COUNTIF($F2221:$AJ2221,"PH"))</f>
        <v/>
      </c>
      <c r="AW2221" s="34" t="str">
        <f aca="false">IF($B2221="","",COUNTIF($F2221:$AJ2221,"TR"))</f>
        <v/>
      </c>
      <c r="AX2221" s="35" t="str">
        <f aca="false">IF($B2221="","",AO2221+AS2221/2)</f>
        <v/>
      </c>
      <c r="AY2221" s="35" t="str">
        <f aca="false">IF($B2221="","",AQ2221)</f>
        <v/>
      </c>
      <c r="AZ2221" s="35" t="str">
        <f aca="false">IF($B2221="","",AP2221+AT2221/2)</f>
        <v/>
      </c>
      <c r="BA2221" s="35" t="str">
        <f aca="false">IF($B2221="","",AK2221+AN2221+AM2221/2+AO2221+AP2221+AQ2221+AR2221+AS2221+AT2221+AU2221+AV2221+AW2221)</f>
        <v/>
      </c>
      <c r="BB2221" s="35" t="str">
        <f aca="false">IF($B2221="","",MAX(0,AN2221-Settings!$C$16)*Settings!$C$17)</f>
        <v/>
      </c>
      <c r="BC2221" s="35" t="str">
        <f aca="false">IF($B2221="","",BA2221-BB2221)</f>
        <v/>
      </c>
      <c r="BD2221" s="35" t="str">
        <f aca="false">IF(OR($B2221="",$A2221=""),"",DAY(EOMONTH($A2221,0))-COUNTA($F2221:$AJ2221))</f>
        <v/>
      </c>
    </row>
    <row r="2222" customFormat="false" ht="15" hidden="false" customHeight="false" outlineLevel="0" collapsed="false">
      <c r="A2222" s="32"/>
      <c r="B2222" s="29"/>
      <c r="C2222" s="10" t="str">
        <f aca="false">IF($B2222="","",IFERROR(INDEX(M_name,MATCH($B2222,M_emp,0)),"Code not found"))</f>
        <v/>
      </c>
      <c r="D2222" s="10" t="str">
        <f aca="false">IF($B2222="","",IFERROR(INDEX(M_dept,MATCH($B2222,M_emp,0)),""))</f>
        <v/>
      </c>
      <c r="E2222" s="10" t="str">
        <f aca="false">IF($B2222="","",IFERROR(INDEX(M_loc,MATCH($B2222,M_emp,0)),""))</f>
        <v/>
      </c>
      <c r="F2222" s="33"/>
      <c r="G2222" s="33"/>
      <c r="H2222" s="33"/>
      <c r="I2222" s="33"/>
      <c r="J2222" s="33"/>
      <c r="K2222" s="33"/>
      <c r="L2222" s="33"/>
      <c r="M2222" s="33"/>
      <c r="N2222" s="33"/>
      <c r="O2222" s="33"/>
      <c r="P2222" s="33"/>
      <c r="Q2222" s="33"/>
      <c r="R2222" s="33"/>
      <c r="S2222" s="33"/>
      <c r="T2222" s="33"/>
      <c r="U2222" s="33"/>
      <c r="V2222" s="33"/>
      <c r="W2222" s="33"/>
      <c r="X2222" s="33"/>
      <c r="Y2222" s="33"/>
      <c r="Z2222" s="33"/>
      <c r="AA2222" s="33"/>
      <c r="AB2222" s="33"/>
      <c r="AC2222" s="33"/>
      <c r="AD2222" s="33"/>
      <c r="AE2222" s="33"/>
      <c r="AF2222" s="33"/>
      <c r="AG2222" s="33"/>
      <c r="AH2222" s="33"/>
      <c r="AI2222" s="33"/>
      <c r="AJ2222" s="33"/>
      <c r="AK2222" s="34" t="str">
        <f aca="false">IF($B2222="","",COUNTIF($F2222:$AJ2222,"P"))</f>
        <v/>
      </c>
      <c r="AL2222" s="34" t="str">
        <f aca="false">IF($B2222="","",COUNTIF($F2222:$AJ2222,"A"))</f>
        <v/>
      </c>
      <c r="AM2222" s="34" t="str">
        <f aca="false">IF($B2222="","",COUNTIF($F2222:$AJ2222,"HA"))</f>
        <v/>
      </c>
      <c r="AN2222" s="34" t="str">
        <f aca="false">IF($B2222="","",COUNTIF($F2222:$AJ2222,"L"))</f>
        <v/>
      </c>
      <c r="AO2222" s="34" t="str">
        <f aca="false">IF($B2222="","",COUNTIF($F2222:$AJ2222,"PL"))</f>
        <v/>
      </c>
      <c r="AP2222" s="34" t="str">
        <f aca="false">IF($B2222="","",COUNTIF($F2222:$AJ2222,"CL"))</f>
        <v/>
      </c>
      <c r="AQ2222" s="34" t="str">
        <f aca="false">IF($B2222="","",COUNTIF($F2222:$AJ2222,"SL"))</f>
        <v/>
      </c>
      <c r="AR2222" s="34" t="str">
        <f aca="false">IF($B2222="","",COUNTIF($F2222:$AJ2222,"CO"))</f>
        <v/>
      </c>
      <c r="AS2222" s="34" t="str">
        <f aca="false">IF($B2222="","",COUNTIF($F2222:$AJ2222,"HPL"))</f>
        <v/>
      </c>
      <c r="AT2222" s="34" t="str">
        <f aca="false">IF($B2222="","",COUNTIF($F2222:$AJ2222,"HCL"))</f>
        <v/>
      </c>
      <c r="AU2222" s="34" t="str">
        <f aca="false">IF($B2222="","",COUNTIF($F2222:$AJ2222,"WO"))</f>
        <v/>
      </c>
      <c r="AV2222" s="34" t="str">
        <f aca="false">IF($B2222="","",COUNTIF($F2222:$AJ2222,"PH"))</f>
        <v/>
      </c>
      <c r="AW2222" s="34" t="str">
        <f aca="false">IF($B2222="","",COUNTIF($F2222:$AJ2222,"TR"))</f>
        <v/>
      </c>
      <c r="AX2222" s="35" t="str">
        <f aca="false">IF($B2222="","",AO2222+AS2222/2)</f>
        <v/>
      </c>
      <c r="AY2222" s="35" t="str">
        <f aca="false">IF($B2222="","",AQ2222)</f>
        <v/>
      </c>
      <c r="AZ2222" s="35" t="str">
        <f aca="false">IF($B2222="","",AP2222+AT2222/2)</f>
        <v/>
      </c>
      <c r="BA2222" s="35" t="str">
        <f aca="false">IF($B2222="","",AK2222+AN2222+AM2222/2+AO2222+AP2222+AQ2222+AR2222+AS2222+AT2222+AU2222+AV2222+AW2222)</f>
        <v/>
      </c>
      <c r="BB2222" s="35" t="str">
        <f aca="false">IF($B2222="","",MAX(0,AN2222-Settings!$C$16)*Settings!$C$17)</f>
        <v/>
      </c>
      <c r="BC2222" s="35" t="str">
        <f aca="false">IF($B2222="","",BA2222-BB2222)</f>
        <v/>
      </c>
      <c r="BD2222" s="35" t="str">
        <f aca="false">IF(OR($B2222="",$A2222=""),"",DAY(EOMONTH($A2222,0))-COUNTA($F2222:$AJ2222))</f>
        <v/>
      </c>
    </row>
    <row r="2223" customFormat="false" ht="15" hidden="false" customHeight="false" outlineLevel="0" collapsed="false">
      <c r="A2223" s="32"/>
      <c r="B2223" s="29"/>
      <c r="C2223" s="10" t="str">
        <f aca="false">IF($B2223="","",IFERROR(INDEX(M_name,MATCH($B2223,M_emp,0)),"Code not found"))</f>
        <v/>
      </c>
      <c r="D2223" s="10" t="str">
        <f aca="false">IF($B2223="","",IFERROR(INDEX(M_dept,MATCH($B2223,M_emp,0)),""))</f>
        <v/>
      </c>
      <c r="E2223" s="10" t="str">
        <f aca="false">IF($B2223="","",IFERROR(INDEX(M_loc,MATCH($B2223,M_emp,0)),""))</f>
        <v/>
      </c>
      <c r="F2223" s="33"/>
      <c r="G2223" s="33"/>
      <c r="H2223" s="33"/>
      <c r="I2223" s="33"/>
      <c r="J2223" s="33"/>
      <c r="K2223" s="33"/>
      <c r="L2223" s="33"/>
      <c r="M2223" s="33"/>
      <c r="N2223" s="33"/>
      <c r="O2223" s="33"/>
      <c r="P2223" s="33"/>
      <c r="Q2223" s="33"/>
      <c r="R2223" s="33"/>
      <c r="S2223" s="33"/>
      <c r="T2223" s="33"/>
      <c r="U2223" s="33"/>
      <c r="V2223" s="33"/>
      <c r="W2223" s="33"/>
      <c r="X2223" s="33"/>
      <c r="Y2223" s="33"/>
      <c r="Z2223" s="33"/>
      <c r="AA2223" s="33"/>
      <c r="AB2223" s="33"/>
      <c r="AC2223" s="33"/>
      <c r="AD2223" s="33"/>
      <c r="AE2223" s="33"/>
      <c r="AF2223" s="33"/>
      <c r="AG2223" s="33"/>
      <c r="AH2223" s="33"/>
      <c r="AI2223" s="33"/>
      <c r="AJ2223" s="33"/>
      <c r="AK2223" s="34" t="str">
        <f aca="false">IF($B2223="","",COUNTIF($F2223:$AJ2223,"P"))</f>
        <v/>
      </c>
      <c r="AL2223" s="34" t="str">
        <f aca="false">IF($B2223="","",COUNTIF($F2223:$AJ2223,"A"))</f>
        <v/>
      </c>
      <c r="AM2223" s="34" t="str">
        <f aca="false">IF($B2223="","",COUNTIF($F2223:$AJ2223,"HA"))</f>
        <v/>
      </c>
      <c r="AN2223" s="34" t="str">
        <f aca="false">IF($B2223="","",COUNTIF($F2223:$AJ2223,"L"))</f>
        <v/>
      </c>
      <c r="AO2223" s="34" t="str">
        <f aca="false">IF($B2223="","",COUNTIF($F2223:$AJ2223,"PL"))</f>
        <v/>
      </c>
      <c r="AP2223" s="34" t="str">
        <f aca="false">IF($B2223="","",COUNTIF($F2223:$AJ2223,"CL"))</f>
        <v/>
      </c>
      <c r="AQ2223" s="34" t="str">
        <f aca="false">IF($B2223="","",COUNTIF($F2223:$AJ2223,"SL"))</f>
        <v/>
      </c>
      <c r="AR2223" s="34" t="str">
        <f aca="false">IF($B2223="","",COUNTIF($F2223:$AJ2223,"CO"))</f>
        <v/>
      </c>
      <c r="AS2223" s="34" t="str">
        <f aca="false">IF($B2223="","",COUNTIF($F2223:$AJ2223,"HPL"))</f>
        <v/>
      </c>
      <c r="AT2223" s="34" t="str">
        <f aca="false">IF($B2223="","",COUNTIF($F2223:$AJ2223,"HCL"))</f>
        <v/>
      </c>
      <c r="AU2223" s="34" t="str">
        <f aca="false">IF($B2223="","",COUNTIF($F2223:$AJ2223,"WO"))</f>
        <v/>
      </c>
      <c r="AV2223" s="34" t="str">
        <f aca="false">IF($B2223="","",COUNTIF($F2223:$AJ2223,"PH"))</f>
        <v/>
      </c>
      <c r="AW2223" s="34" t="str">
        <f aca="false">IF($B2223="","",COUNTIF($F2223:$AJ2223,"TR"))</f>
        <v/>
      </c>
      <c r="AX2223" s="35" t="str">
        <f aca="false">IF($B2223="","",AO2223+AS2223/2)</f>
        <v/>
      </c>
      <c r="AY2223" s="35" t="str">
        <f aca="false">IF($B2223="","",AQ2223)</f>
        <v/>
      </c>
      <c r="AZ2223" s="35" t="str">
        <f aca="false">IF($B2223="","",AP2223+AT2223/2)</f>
        <v/>
      </c>
      <c r="BA2223" s="35" t="str">
        <f aca="false">IF($B2223="","",AK2223+AN2223+AM2223/2+AO2223+AP2223+AQ2223+AR2223+AS2223+AT2223+AU2223+AV2223+AW2223)</f>
        <v/>
      </c>
      <c r="BB2223" s="35" t="str">
        <f aca="false">IF($B2223="","",MAX(0,AN2223-Settings!$C$16)*Settings!$C$17)</f>
        <v/>
      </c>
      <c r="BC2223" s="35" t="str">
        <f aca="false">IF($B2223="","",BA2223-BB2223)</f>
        <v/>
      </c>
      <c r="BD2223" s="35" t="str">
        <f aca="false">IF(OR($B2223="",$A2223=""),"",DAY(EOMONTH($A2223,0))-COUNTA($F2223:$AJ2223))</f>
        <v/>
      </c>
    </row>
    <row r="2224" customFormat="false" ht="15" hidden="false" customHeight="false" outlineLevel="0" collapsed="false">
      <c r="A2224" s="32"/>
      <c r="B2224" s="29"/>
      <c r="C2224" s="10" t="str">
        <f aca="false">IF($B2224="","",IFERROR(INDEX(M_name,MATCH($B2224,M_emp,0)),"Code not found"))</f>
        <v/>
      </c>
      <c r="D2224" s="10" t="str">
        <f aca="false">IF($B2224="","",IFERROR(INDEX(M_dept,MATCH($B2224,M_emp,0)),""))</f>
        <v/>
      </c>
      <c r="E2224" s="10" t="str">
        <f aca="false">IF($B2224="","",IFERROR(INDEX(M_loc,MATCH($B2224,M_emp,0)),""))</f>
        <v/>
      </c>
      <c r="F2224" s="33"/>
      <c r="G2224" s="33"/>
      <c r="H2224" s="33"/>
      <c r="I2224" s="33"/>
      <c r="J2224" s="33"/>
      <c r="K2224" s="33"/>
      <c r="L2224" s="33"/>
      <c r="M2224" s="33"/>
      <c r="N2224" s="33"/>
      <c r="O2224" s="33"/>
      <c r="P2224" s="33"/>
      <c r="Q2224" s="33"/>
      <c r="R2224" s="33"/>
      <c r="S2224" s="33"/>
      <c r="T2224" s="33"/>
      <c r="U2224" s="33"/>
      <c r="V2224" s="33"/>
      <c r="W2224" s="33"/>
      <c r="X2224" s="33"/>
      <c r="Y2224" s="33"/>
      <c r="Z2224" s="33"/>
      <c r="AA2224" s="33"/>
      <c r="AB2224" s="33"/>
      <c r="AC2224" s="33"/>
      <c r="AD2224" s="33"/>
      <c r="AE2224" s="33"/>
      <c r="AF2224" s="33"/>
      <c r="AG2224" s="33"/>
      <c r="AH2224" s="33"/>
      <c r="AI2224" s="33"/>
      <c r="AJ2224" s="33"/>
      <c r="AK2224" s="34" t="str">
        <f aca="false">IF($B2224="","",COUNTIF($F2224:$AJ2224,"P"))</f>
        <v/>
      </c>
      <c r="AL2224" s="34" t="str">
        <f aca="false">IF($B2224="","",COUNTIF($F2224:$AJ2224,"A"))</f>
        <v/>
      </c>
      <c r="AM2224" s="34" t="str">
        <f aca="false">IF($B2224="","",COUNTIF($F2224:$AJ2224,"HA"))</f>
        <v/>
      </c>
      <c r="AN2224" s="34" t="str">
        <f aca="false">IF($B2224="","",COUNTIF($F2224:$AJ2224,"L"))</f>
        <v/>
      </c>
      <c r="AO2224" s="34" t="str">
        <f aca="false">IF($B2224="","",COUNTIF($F2224:$AJ2224,"PL"))</f>
        <v/>
      </c>
      <c r="AP2224" s="34" t="str">
        <f aca="false">IF($B2224="","",COUNTIF($F2224:$AJ2224,"CL"))</f>
        <v/>
      </c>
      <c r="AQ2224" s="34" t="str">
        <f aca="false">IF($B2224="","",COUNTIF($F2224:$AJ2224,"SL"))</f>
        <v/>
      </c>
      <c r="AR2224" s="34" t="str">
        <f aca="false">IF($B2224="","",COUNTIF($F2224:$AJ2224,"CO"))</f>
        <v/>
      </c>
      <c r="AS2224" s="34" t="str">
        <f aca="false">IF($B2224="","",COUNTIF($F2224:$AJ2224,"HPL"))</f>
        <v/>
      </c>
      <c r="AT2224" s="34" t="str">
        <f aca="false">IF($B2224="","",COUNTIF($F2224:$AJ2224,"HCL"))</f>
        <v/>
      </c>
      <c r="AU2224" s="34" t="str">
        <f aca="false">IF($B2224="","",COUNTIF($F2224:$AJ2224,"WO"))</f>
        <v/>
      </c>
      <c r="AV2224" s="34" t="str">
        <f aca="false">IF($B2224="","",COUNTIF($F2224:$AJ2224,"PH"))</f>
        <v/>
      </c>
      <c r="AW2224" s="34" t="str">
        <f aca="false">IF($B2224="","",COUNTIF($F2224:$AJ2224,"TR"))</f>
        <v/>
      </c>
      <c r="AX2224" s="35" t="str">
        <f aca="false">IF($B2224="","",AO2224+AS2224/2)</f>
        <v/>
      </c>
      <c r="AY2224" s="35" t="str">
        <f aca="false">IF($B2224="","",AQ2224)</f>
        <v/>
      </c>
      <c r="AZ2224" s="35" t="str">
        <f aca="false">IF($B2224="","",AP2224+AT2224/2)</f>
        <v/>
      </c>
      <c r="BA2224" s="35" t="str">
        <f aca="false">IF($B2224="","",AK2224+AN2224+AM2224/2+AO2224+AP2224+AQ2224+AR2224+AS2224+AT2224+AU2224+AV2224+AW2224)</f>
        <v/>
      </c>
      <c r="BB2224" s="35" t="str">
        <f aca="false">IF($B2224="","",MAX(0,AN2224-Settings!$C$16)*Settings!$C$17)</f>
        <v/>
      </c>
      <c r="BC2224" s="35" t="str">
        <f aca="false">IF($B2224="","",BA2224-BB2224)</f>
        <v/>
      </c>
      <c r="BD2224" s="35" t="str">
        <f aca="false">IF(OR($B2224="",$A2224=""),"",DAY(EOMONTH($A2224,0))-COUNTA($F2224:$AJ2224))</f>
        <v/>
      </c>
    </row>
    <row r="2225" customFormat="false" ht="15" hidden="false" customHeight="false" outlineLevel="0" collapsed="false">
      <c r="A2225" s="32"/>
      <c r="B2225" s="29"/>
      <c r="C2225" s="10" t="str">
        <f aca="false">IF($B2225="","",IFERROR(INDEX(M_name,MATCH($B2225,M_emp,0)),"Code not found"))</f>
        <v/>
      </c>
      <c r="D2225" s="10" t="str">
        <f aca="false">IF($B2225="","",IFERROR(INDEX(M_dept,MATCH($B2225,M_emp,0)),""))</f>
        <v/>
      </c>
      <c r="E2225" s="10" t="str">
        <f aca="false">IF($B2225="","",IFERROR(INDEX(M_loc,MATCH($B2225,M_emp,0)),""))</f>
        <v/>
      </c>
      <c r="F2225" s="33"/>
      <c r="G2225" s="33"/>
      <c r="H2225" s="33"/>
      <c r="I2225" s="33"/>
      <c r="J2225" s="33"/>
      <c r="K2225" s="33"/>
      <c r="L2225" s="33"/>
      <c r="M2225" s="33"/>
      <c r="N2225" s="33"/>
      <c r="O2225" s="33"/>
      <c r="P2225" s="33"/>
      <c r="Q2225" s="33"/>
      <c r="R2225" s="33"/>
      <c r="S2225" s="33"/>
      <c r="T2225" s="33"/>
      <c r="U2225" s="33"/>
      <c r="V2225" s="33"/>
      <c r="W2225" s="33"/>
      <c r="X2225" s="33"/>
      <c r="Y2225" s="33"/>
      <c r="Z2225" s="33"/>
      <c r="AA2225" s="33"/>
      <c r="AB2225" s="33"/>
      <c r="AC2225" s="33"/>
      <c r="AD2225" s="33"/>
      <c r="AE2225" s="33"/>
      <c r="AF2225" s="33"/>
      <c r="AG2225" s="33"/>
      <c r="AH2225" s="33"/>
      <c r="AI2225" s="33"/>
      <c r="AJ2225" s="33"/>
      <c r="AK2225" s="34" t="str">
        <f aca="false">IF($B2225="","",COUNTIF($F2225:$AJ2225,"P"))</f>
        <v/>
      </c>
      <c r="AL2225" s="34" t="str">
        <f aca="false">IF($B2225="","",COUNTIF($F2225:$AJ2225,"A"))</f>
        <v/>
      </c>
      <c r="AM2225" s="34" t="str">
        <f aca="false">IF($B2225="","",COUNTIF($F2225:$AJ2225,"HA"))</f>
        <v/>
      </c>
      <c r="AN2225" s="34" t="str">
        <f aca="false">IF($B2225="","",COUNTIF($F2225:$AJ2225,"L"))</f>
        <v/>
      </c>
      <c r="AO2225" s="34" t="str">
        <f aca="false">IF($B2225="","",COUNTIF($F2225:$AJ2225,"PL"))</f>
        <v/>
      </c>
      <c r="AP2225" s="34" t="str">
        <f aca="false">IF($B2225="","",COUNTIF($F2225:$AJ2225,"CL"))</f>
        <v/>
      </c>
      <c r="AQ2225" s="34" t="str">
        <f aca="false">IF($B2225="","",COUNTIF($F2225:$AJ2225,"SL"))</f>
        <v/>
      </c>
      <c r="AR2225" s="34" t="str">
        <f aca="false">IF($B2225="","",COUNTIF($F2225:$AJ2225,"CO"))</f>
        <v/>
      </c>
      <c r="AS2225" s="34" t="str">
        <f aca="false">IF($B2225="","",COUNTIF($F2225:$AJ2225,"HPL"))</f>
        <v/>
      </c>
      <c r="AT2225" s="34" t="str">
        <f aca="false">IF($B2225="","",COUNTIF($F2225:$AJ2225,"HCL"))</f>
        <v/>
      </c>
      <c r="AU2225" s="34" t="str">
        <f aca="false">IF($B2225="","",COUNTIF($F2225:$AJ2225,"WO"))</f>
        <v/>
      </c>
      <c r="AV2225" s="34" t="str">
        <f aca="false">IF($B2225="","",COUNTIF($F2225:$AJ2225,"PH"))</f>
        <v/>
      </c>
      <c r="AW2225" s="34" t="str">
        <f aca="false">IF($B2225="","",COUNTIF($F2225:$AJ2225,"TR"))</f>
        <v/>
      </c>
      <c r="AX2225" s="35" t="str">
        <f aca="false">IF($B2225="","",AO2225+AS2225/2)</f>
        <v/>
      </c>
      <c r="AY2225" s="35" t="str">
        <f aca="false">IF($B2225="","",AQ2225)</f>
        <v/>
      </c>
      <c r="AZ2225" s="35" t="str">
        <f aca="false">IF($B2225="","",AP2225+AT2225/2)</f>
        <v/>
      </c>
      <c r="BA2225" s="35" t="str">
        <f aca="false">IF($B2225="","",AK2225+AN2225+AM2225/2+AO2225+AP2225+AQ2225+AR2225+AS2225+AT2225+AU2225+AV2225+AW2225)</f>
        <v/>
      </c>
      <c r="BB2225" s="35" t="str">
        <f aca="false">IF($B2225="","",MAX(0,AN2225-Settings!$C$16)*Settings!$C$17)</f>
        <v/>
      </c>
      <c r="BC2225" s="35" t="str">
        <f aca="false">IF($B2225="","",BA2225-BB2225)</f>
        <v/>
      </c>
      <c r="BD2225" s="35" t="str">
        <f aca="false">IF(OR($B2225="",$A2225=""),"",DAY(EOMONTH($A2225,0))-COUNTA($F2225:$AJ2225))</f>
        <v/>
      </c>
    </row>
    <row r="2226" customFormat="false" ht="15" hidden="false" customHeight="false" outlineLevel="0" collapsed="false">
      <c r="A2226" s="32"/>
      <c r="B2226" s="29"/>
      <c r="C2226" s="10" t="str">
        <f aca="false">IF($B2226="","",IFERROR(INDEX(M_name,MATCH($B2226,M_emp,0)),"Code not found"))</f>
        <v/>
      </c>
      <c r="D2226" s="10" t="str">
        <f aca="false">IF($B2226="","",IFERROR(INDEX(M_dept,MATCH($B2226,M_emp,0)),""))</f>
        <v/>
      </c>
      <c r="E2226" s="10" t="str">
        <f aca="false">IF($B2226="","",IFERROR(INDEX(M_loc,MATCH($B2226,M_emp,0)),""))</f>
        <v/>
      </c>
      <c r="F2226" s="33"/>
      <c r="G2226" s="33"/>
      <c r="H2226" s="33"/>
      <c r="I2226" s="33"/>
      <c r="J2226" s="33"/>
      <c r="K2226" s="33"/>
      <c r="L2226" s="33"/>
      <c r="M2226" s="33"/>
      <c r="N2226" s="33"/>
      <c r="O2226" s="33"/>
      <c r="P2226" s="33"/>
      <c r="Q2226" s="33"/>
      <c r="R2226" s="33"/>
      <c r="S2226" s="33"/>
      <c r="T2226" s="33"/>
      <c r="U2226" s="33"/>
      <c r="V2226" s="33"/>
      <c r="W2226" s="33"/>
      <c r="X2226" s="33"/>
      <c r="Y2226" s="33"/>
      <c r="Z2226" s="33"/>
      <c r="AA2226" s="33"/>
      <c r="AB2226" s="33"/>
      <c r="AC2226" s="33"/>
      <c r="AD2226" s="33"/>
      <c r="AE2226" s="33"/>
      <c r="AF2226" s="33"/>
      <c r="AG2226" s="33"/>
      <c r="AH2226" s="33"/>
      <c r="AI2226" s="33"/>
      <c r="AJ2226" s="33"/>
      <c r="AK2226" s="34" t="str">
        <f aca="false">IF($B2226="","",COUNTIF($F2226:$AJ2226,"P"))</f>
        <v/>
      </c>
      <c r="AL2226" s="34" t="str">
        <f aca="false">IF($B2226="","",COUNTIF($F2226:$AJ2226,"A"))</f>
        <v/>
      </c>
      <c r="AM2226" s="34" t="str">
        <f aca="false">IF($B2226="","",COUNTIF($F2226:$AJ2226,"HA"))</f>
        <v/>
      </c>
      <c r="AN2226" s="34" t="str">
        <f aca="false">IF($B2226="","",COUNTIF($F2226:$AJ2226,"L"))</f>
        <v/>
      </c>
      <c r="AO2226" s="34" t="str">
        <f aca="false">IF($B2226="","",COUNTIF($F2226:$AJ2226,"PL"))</f>
        <v/>
      </c>
      <c r="AP2226" s="34" t="str">
        <f aca="false">IF($B2226="","",COUNTIF($F2226:$AJ2226,"CL"))</f>
        <v/>
      </c>
      <c r="AQ2226" s="34" t="str">
        <f aca="false">IF($B2226="","",COUNTIF($F2226:$AJ2226,"SL"))</f>
        <v/>
      </c>
      <c r="AR2226" s="34" t="str">
        <f aca="false">IF($B2226="","",COUNTIF($F2226:$AJ2226,"CO"))</f>
        <v/>
      </c>
      <c r="AS2226" s="34" t="str">
        <f aca="false">IF($B2226="","",COUNTIF($F2226:$AJ2226,"HPL"))</f>
        <v/>
      </c>
      <c r="AT2226" s="34" t="str">
        <f aca="false">IF($B2226="","",COUNTIF($F2226:$AJ2226,"HCL"))</f>
        <v/>
      </c>
      <c r="AU2226" s="34" t="str">
        <f aca="false">IF($B2226="","",COUNTIF($F2226:$AJ2226,"WO"))</f>
        <v/>
      </c>
      <c r="AV2226" s="34" t="str">
        <f aca="false">IF($B2226="","",COUNTIF($F2226:$AJ2226,"PH"))</f>
        <v/>
      </c>
      <c r="AW2226" s="34" t="str">
        <f aca="false">IF($B2226="","",COUNTIF($F2226:$AJ2226,"TR"))</f>
        <v/>
      </c>
      <c r="AX2226" s="35" t="str">
        <f aca="false">IF($B2226="","",AO2226+AS2226/2)</f>
        <v/>
      </c>
      <c r="AY2226" s="35" t="str">
        <f aca="false">IF($B2226="","",AQ2226)</f>
        <v/>
      </c>
      <c r="AZ2226" s="35" t="str">
        <f aca="false">IF($B2226="","",AP2226+AT2226/2)</f>
        <v/>
      </c>
      <c r="BA2226" s="35" t="str">
        <f aca="false">IF($B2226="","",AK2226+AN2226+AM2226/2+AO2226+AP2226+AQ2226+AR2226+AS2226+AT2226+AU2226+AV2226+AW2226)</f>
        <v/>
      </c>
      <c r="BB2226" s="35" t="str">
        <f aca="false">IF($B2226="","",MAX(0,AN2226-Settings!$C$16)*Settings!$C$17)</f>
        <v/>
      </c>
      <c r="BC2226" s="35" t="str">
        <f aca="false">IF($B2226="","",BA2226-BB2226)</f>
        <v/>
      </c>
      <c r="BD2226" s="35" t="str">
        <f aca="false">IF(OR($B2226="",$A2226=""),"",DAY(EOMONTH($A2226,0))-COUNTA($F2226:$AJ2226))</f>
        <v/>
      </c>
    </row>
    <row r="2227" customFormat="false" ht="15" hidden="false" customHeight="false" outlineLevel="0" collapsed="false">
      <c r="A2227" s="32"/>
      <c r="B2227" s="29"/>
      <c r="C2227" s="10" t="str">
        <f aca="false">IF($B2227="","",IFERROR(INDEX(M_name,MATCH($B2227,M_emp,0)),"Code not found"))</f>
        <v/>
      </c>
      <c r="D2227" s="10" t="str">
        <f aca="false">IF($B2227="","",IFERROR(INDEX(M_dept,MATCH($B2227,M_emp,0)),""))</f>
        <v/>
      </c>
      <c r="E2227" s="10" t="str">
        <f aca="false">IF($B2227="","",IFERROR(INDEX(M_loc,MATCH($B2227,M_emp,0)),""))</f>
        <v/>
      </c>
      <c r="F2227" s="33"/>
      <c r="G2227" s="33"/>
      <c r="H2227" s="33"/>
      <c r="I2227" s="33"/>
      <c r="J2227" s="33"/>
      <c r="K2227" s="33"/>
      <c r="L2227" s="33"/>
      <c r="M2227" s="33"/>
      <c r="N2227" s="33"/>
      <c r="O2227" s="33"/>
      <c r="P2227" s="33"/>
      <c r="Q2227" s="33"/>
      <c r="R2227" s="33"/>
      <c r="S2227" s="33"/>
      <c r="T2227" s="33"/>
      <c r="U2227" s="33"/>
      <c r="V2227" s="33"/>
      <c r="W2227" s="33"/>
      <c r="X2227" s="33"/>
      <c r="Y2227" s="33"/>
      <c r="Z2227" s="33"/>
      <c r="AA2227" s="33"/>
      <c r="AB2227" s="33"/>
      <c r="AC2227" s="33"/>
      <c r="AD2227" s="33"/>
      <c r="AE2227" s="33"/>
      <c r="AF2227" s="33"/>
      <c r="AG2227" s="33"/>
      <c r="AH2227" s="33"/>
      <c r="AI2227" s="33"/>
      <c r="AJ2227" s="33"/>
      <c r="AK2227" s="34" t="str">
        <f aca="false">IF($B2227="","",COUNTIF($F2227:$AJ2227,"P"))</f>
        <v/>
      </c>
      <c r="AL2227" s="34" t="str">
        <f aca="false">IF($B2227="","",COUNTIF($F2227:$AJ2227,"A"))</f>
        <v/>
      </c>
      <c r="AM2227" s="34" t="str">
        <f aca="false">IF($B2227="","",COUNTIF($F2227:$AJ2227,"HA"))</f>
        <v/>
      </c>
      <c r="AN2227" s="34" t="str">
        <f aca="false">IF($B2227="","",COUNTIF($F2227:$AJ2227,"L"))</f>
        <v/>
      </c>
      <c r="AO2227" s="34" t="str">
        <f aca="false">IF($B2227="","",COUNTIF($F2227:$AJ2227,"PL"))</f>
        <v/>
      </c>
      <c r="AP2227" s="34" t="str">
        <f aca="false">IF($B2227="","",COUNTIF($F2227:$AJ2227,"CL"))</f>
        <v/>
      </c>
      <c r="AQ2227" s="34" t="str">
        <f aca="false">IF($B2227="","",COUNTIF($F2227:$AJ2227,"SL"))</f>
        <v/>
      </c>
      <c r="AR2227" s="34" t="str">
        <f aca="false">IF($B2227="","",COUNTIF($F2227:$AJ2227,"CO"))</f>
        <v/>
      </c>
      <c r="AS2227" s="34" t="str">
        <f aca="false">IF($B2227="","",COUNTIF($F2227:$AJ2227,"HPL"))</f>
        <v/>
      </c>
      <c r="AT2227" s="34" t="str">
        <f aca="false">IF($B2227="","",COUNTIF($F2227:$AJ2227,"HCL"))</f>
        <v/>
      </c>
      <c r="AU2227" s="34" t="str">
        <f aca="false">IF($B2227="","",COUNTIF($F2227:$AJ2227,"WO"))</f>
        <v/>
      </c>
      <c r="AV2227" s="34" t="str">
        <f aca="false">IF($B2227="","",COUNTIF($F2227:$AJ2227,"PH"))</f>
        <v/>
      </c>
      <c r="AW2227" s="34" t="str">
        <f aca="false">IF($B2227="","",COUNTIF($F2227:$AJ2227,"TR"))</f>
        <v/>
      </c>
      <c r="AX2227" s="35" t="str">
        <f aca="false">IF($B2227="","",AO2227+AS2227/2)</f>
        <v/>
      </c>
      <c r="AY2227" s="35" t="str">
        <f aca="false">IF($B2227="","",AQ2227)</f>
        <v/>
      </c>
      <c r="AZ2227" s="35" t="str">
        <f aca="false">IF($B2227="","",AP2227+AT2227/2)</f>
        <v/>
      </c>
      <c r="BA2227" s="35" t="str">
        <f aca="false">IF($B2227="","",AK2227+AN2227+AM2227/2+AO2227+AP2227+AQ2227+AR2227+AS2227+AT2227+AU2227+AV2227+AW2227)</f>
        <v/>
      </c>
      <c r="BB2227" s="35" t="str">
        <f aca="false">IF($B2227="","",MAX(0,AN2227-Settings!$C$16)*Settings!$C$17)</f>
        <v/>
      </c>
      <c r="BC2227" s="35" t="str">
        <f aca="false">IF($B2227="","",BA2227-BB2227)</f>
        <v/>
      </c>
      <c r="BD2227" s="35" t="str">
        <f aca="false">IF(OR($B2227="",$A2227=""),"",DAY(EOMONTH($A2227,0))-COUNTA($F2227:$AJ2227))</f>
        <v/>
      </c>
    </row>
    <row r="2228" customFormat="false" ht="15" hidden="false" customHeight="false" outlineLevel="0" collapsed="false">
      <c r="A2228" s="32"/>
      <c r="B2228" s="29"/>
      <c r="C2228" s="10" t="str">
        <f aca="false">IF($B2228="","",IFERROR(INDEX(M_name,MATCH($B2228,M_emp,0)),"Code not found"))</f>
        <v/>
      </c>
      <c r="D2228" s="10" t="str">
        <f aca="false">IF($B2228="","",IFERROR(INDEX(M_dept,MATCH($B2228,M_emp,0)),""))</f>
        <v/>
      </c>
      <c r="E2228" s="10" t="str">
        <f aca="false">IF($B2228="","",IFERROR(INDEX(M_loc,MATCH($B2228,M_emp,0)),""))</f>
        <v/>
      </c>
      <c r="F2228" s="33"/>
      <c r="G2228" s="33"/>
      <c r="H2228" s="33"/>
      <c r="I2228" s="33"/>
      <c r="J2228" s="33"/>
      <c r="K2228" s="33"/>
      <c r="L2228" s="33"/>
      <c r="M2228" s="33"/>
      <c r="N2228" s="33"/>
      <c r="O2228" s="33"/>
      <c r="P2228" s="33"/>
      <c r="Q2228" s="33"/>
      <c r="R2228" s="33"/>
      <c r="S2228" s="33"/>
      <c r="T2228" s="33"/>
      <c r="U2228" s="33"/>
      <c r="V2228" s="33"/>
      <c r="W2228" s="33"/>
      <c r="X2228" s="33"/>
      <c r="Y2228" s="33"/>
      <c r="Z2228" s="33"/>
      <c r="AA2228" s="33"/>
      <c r="AB2228" s="33"/>
      <c r="AC2228" s="33"/>
      <c r="AD2228" s="33"/>
      <c r="AE2228" s="33"/>
      <c r="AF2228" s="33"/>
      <c r="AG2228" s="33"/>
      <c r="AH2228" s="33"/>
      <c r="AI2228" s="33"/>
      <c r="AJ2228" s="33"/>
      <c r="AK2228" s="34" t="str">
        <f aca="false">IF($B2228="","",COUNTIF($F2228:$AJ2228,"P"))</f>
        <v/>
      </c>
      <c r="AL2228" s="34" t="str">
        <f aca="false">IF($B2228="","",COUNTIF($F2228:$AJ2228,"A"))</f>
        <v/>
      </c>
      <c r="AM2228" s="34" t="str">
        <f aca="false">IF($B2228="","",COUNTIF($F2228:$AJ2228,"HA"))</f>
        <v/>
      </c>
      <c r="AN2228" s="34" t="str">
        <f aca="false">IF($B2228="","",COUNTIF($F2228:$AJ2228,"L"))</f>
        <v/>
      </c>
      <c r="AO2228" s="34" t="str">
        <f aca="false">IF($B2228="","",COUNTIF($F2228:$AJ2228,"PL"))</f>
        <v/>
      </c>
      <c r="AP2228" s="34" t="str">
        <f aca="false">IF($B2228="","",COUNTIF($F2228:$AJ2228,"CL"))</f>
        <v/>
      </c>
      <c r="AQ2228" s="34" t="str">
        <f aca="false">IF($B2228="","",COUNTIF($F2228:$AJ2228,"SL"))</f>
        <v/>
      </c>
      <c r="AR2228" s="34" t="str">
        <f aca="false">IF($B2228="","",COUNTIF($F2228:$AJ2228,"CO"))</f>
        <v/>
      </c>
      <c r="AS2228" s="34" t="str">
        <f aca="false">IF($B2228="","",COUNTIF($F2228:$AJ2228,"HPL"))</f>
        <v/>
      </c>
      <c r="AT2228" s="34" t="str">
        <f aca="false">IF($B2228="","",COUNTIF($F2228:$AJ2228,"HCL"))</f>
        <v/>
      </c>
      <c r="AU2228" s="34" t="str">
        <f aca="false">IF($B2228="","",COUNTIF($F2228:$AJ2228,"WO"))</f>
        <v/>
      </c>
      <c r="AV2228" s="34" t="str">
        <f aca="false">IF($B2228="","",COUNTIF($F2228:$AJ2228,"PH"))</f>
        <v/>
      </c>
      <c r="AW2228" s="34" t="str">
        <f aca="false">IF($B2228="","",COUNTIF($F2228:$AJ2228,"TR"))</f>
        <v/>
      </c>
      <c r="AX2228" s="35" t="str">
        <f aca="false">IF($B2228="","",AO2228+AS2228/2)</f>
        <v/>
      </c>
      <c r="AY2228" s="35" t="str">
        <f aca="false">IF($B2228="","",AQ2228)</f>
        <v/>
      </c>
      <c r="AZ2228" s="35" t="str">
        <f aca="false">IF($B2228="","",AP2228+AT2228/2)</f>
        <v/>
      </c>
      <c r="BA2228" s="35" t="str">
        <f aca="false">IF($B2228="","",AK2228+AN2228+AM2228/2+AO2228+AP2228+AQ2228+AR2228+AS2228+AT2228+AU2228+AV2228+AW2228)</f>
        <v/>
      </c>
      <c r="BB2228" s="35" t="str">
        <f aca="false">IF($B2228="","",MAX(0,AN2228-Settings!$C$16)*Settings!$C$17)</f>
        <v/>
      </c>
      <c r="BC2228" s="35" t="str">
        <f aca="false">IF($B2228="","",BA2228-BB2228)</f>
        <v/>
      </c>
      <c r="BD2228" s="35" t="str">
        <f aca="false">IF(OR($B2228="",$A2228=""),"",DAY(EOMONTH($A2228,0))-COUNTA($F2228:$AJ2228))</f>
        <v/>
      </c>
    </row>
    <row r="2229" customFormat="false" ht="15" hidden="false" customHeight="false" outlineLevel="0" collapsed="false">
      <c r="A2229" s="32"/>
      <c r="B2229" s="29"/>
      <c r="C2229" s="10" t="str">
        <f aca="false">IF($B2229="","",IFERROR(INDEX(M_name,MATCH($B2229,M_emp,0)),"Code not found"))</f>
        <v/>
      </c>
      <c r="D2229" s="10" t="str">
        <f aca="false">IF($B2229="","",IFERROR(INDEX(M_dept,MATCH($B2229,M_emp,0)),""))</f>
        <v/>
      </c>
      <c r="E2229" s="10" t="str">
        <f aca="false">IF($B2229="","",IFERROR(INDEX(M_loc,MATCH($B2229,M_emp,0)),""))</f>
        <v/>
      </c>
      <c r="F2229" s="33"/>
      <c r="G2229" s="33"/>
      <c r="H2229" s="33"/>
      <c r="I2229" s="33"/>
      <c r="J2229" s="33"/>
      <c r="K2229" s="33"/>
      <c r="L2229" s="33"/>
      <c r="M2229" s="33"/>
      <c r="N2229" s="33"/>
      <c r="O2229" s="33"/>
      <c r="P2229" s="33"/>
      <c r="Q2229" s="33"/>
      <c r="R2229" s="33"/>
      <c r="S2229" s="33"/>
      <c r="T2229" s="33"/>
      <c r="U2229" s="33"/>
      <c r="V2229" s="33"/>
      <c r="W2229" s="33"/>
      <c r="X2229" s="33"/>
      <c r="Y2229" s="33"/>
      <c r="Z2229" s="33"/>
      <c r="AA2229" s="33"/>
      <c r="AB2229" s="33"/>
      <c r="AC2229" s="33"/>
      <c r="AD2229" s="33"/>
      <c r="AE2229" s="33"/>
      <c r="AF2229" s="33"/>
      <c r="AG2229" s="33"/>
      <c r="AH2229" s="33"/>
      <c r="AI2229" s="33"/>
      <c r="AJ2229" s="33"/>
      <c r="AK2229" s="34" t="str">
        <f aca="false">IF($B2229="","",COUNTIF($F2229:$AJ2229,"P"))</f>
        <v/>
      </c>
      <c r="AL2229" s="34" t="str">
        <f aca="false">IF($B2229="","",COUNTIF($F2229:$AJ2229,"A"))</f>
        <v/>
      </c>
      <c r="AM2229" s="34" t="str">
        <f aca="false">IF($B2229="","",COUNTIF($F2229:$AJ2229,"HA"))</f>
        <v/>
      </c>
      <c r="AN2229" s="34" t="str">
        <f aca="false">IF($B2229="","",COUNTIF($F2229:$AJ2229,"L"))</f>
        <v/>
      </c>
      <c r="AO2229" s="34" t="str">
        <f aca="false">IF($B2229="","",COUNTIF($F2229:$AJ2229,"PL"))</f>
        <v/>
      </c>
      <c r="AP2229" s="34" t="str">
        <f aca="false">IF($B2229="","",COUNTIF($F2229:$AJ2229,"CL"))</f>
        <v/>
      </c>
      <c r="AQ2229" s="34" t="str">
        <f aca="false">IF($B2229="","",COUNTIF($F2229:$AJ2229,"SL"))</f>
        <v/>
      </c>
      <c r="AR2229" s="34" t="str">
        <f aca="false">IF($B2229="","",COUNTIF($F2229:$AJ2229,"CO"))</f>
        <v/>
      </c>
      <c r="AS2229" s="34" t="str">
        <f aca="false">IF($B2229="","",COUNTIF($F2229:$AJ2229,"HPL"))</f>
        <v/>
      </c>
      <c r="AT2229" s="34" t="str">
        <f aca="false">IF($B2229="","",COUNTIF($F2229:$AJ2229,"HCL"))</f>
        <v/>
      </c>
      <c r="AU2229" s="34" t="str">
        <f aca="false">IF($B2229="","",COUNTIF($F2229:$AJ2229,"WO"))</f>
        <v/>
      </c>
      <c r="AV2229" s="34" t="str">
        <f aca="false">IF($B2229="","",COUNTIF($F2229:$AJ2229,"PH"))</f>
        <v/>
      </c>
      <c r="AW2229" s="34" t="str">
        <f aca="false">IF($B2229="","",COUNTIF($F2229:$AJ2229,"TR"))</f>
        <v/>
      </c>
      <c r="AX2229" s="35" t="str">
        <f aca="false">IF($B2229="","",AO2229+AS2229/2)</f>
        <v/>
      </c>
      <c r="AY2229" s="35" t="str">
        <f aca="false">IF($B2229="","",AQ2229)</f>
        <v/>
      </c>
      <c r="AZ2229" s="35" t="str">
        <f aca="false">IF($B2229="","",AP2229+AT2229/2)</f>
        <v/>
      </c>
      <c r="BA2229" s="35" t="str">
        <f aca="false">IF($B2229="","",AK2229+AN2229+AM2229/2+AO2229+AP2229+AQ2229+AR2229+AS2229+AT2229+AU2229+AV2229+AW2229)</f>
        <v/>
      </c>
      <c r="BB2229" s="35" t="str">
        <f aca="false">IF($B2229="","",MAX(0,AN2229-Settings!$C$16)*Settings!$C$17)</f>
        <v/>
      </c>
      <c r="BC2229" s="35" t="str">
        <f aca="false">IF($B2229="","",BA2229-BB2229)</f>
        <v/>
      </c>
      <c r="BD2229" s="35" t="str">
        <f aca="false">IF(OR($B2229="",$A2229=""),"",DAY(EOMONTH($A2229,0))-COUNTA($F2229:$AJ2229))</f>
        <v/>
      </c>
    </row>
    <row r="2230" customFormat="false" ht="15" hidden="false" customHeight="false" outlineLevel="0" collapsed="false">
      <c r="A2230" s="32"/>
      <c r="B2230" s="29"/>
      <c r="C2230" s="10" t="str">
        <f aca="false">IF($B2230="","",IFERROR(INDEX(M_name,MATCH($B2230,M_emp,0)),"Code not found"))</f>
        <v/>
      </c>
      <c r="D2230" s="10" t="str">
        <f aca="false">IF($B2230="","",IFERROR(INDEX(M_dept,MATCH($B2230,M_emp,0)),""))</f>
        <v/>
      </c>
      <c r="E2230" s="10" t="str">
        <f aca="false">IF($B2230="","",IFERROR(INDEX(M_loc,MATCH($B2230,M_emp,0)),""))</f>
        <v/>
      </c>
      <c r="F2230" s="33"/>
      <c r="G2230" s="33"/>
      <c r="H2230" s="33"/>
      <c r="I2230" s="33"/>
      <c r="J2230" s="33"/>
      <c r="K2230" s="33"/>
      <c r="L2230" s="33"/>
      <c r="M2230" s="33"/>
      <c r="N2230" s="33"/>
      <c r="O2230" s="33"/>
      <c r="P2230" s="33"/>
      <c r="Q2230" s="33"/>
      <c r="R2230" s="33"/>
      <c r="S2230" s="33"/>
      <c r="T2230" s="33"/>
      <c r="U2230" s="33"/>
      <c r="V2230" s="33"/>
      <c r="W2230" s="33"/>
      <c r="X2230" s="33"/>
      <c r="Y2230" s="33"/>
      <c r="Z2230" s="33"/>
      <c r="AA2230" s="33"/>
      <c r="AB2230" s="33"/>
      <c r="AC2230" s="33"/>
      <c r="AD2230" s="33"/>
      <c r="AE2230" s="33"/>
      <c r="AF2230" s="33"/>
      <c r="AG2230" s="33"/>
      <c r="AH2230" s="33"/>
      <c r="AI2230" s="33"/>
      <c r="AJ2230" s="33"/>
      <c r="AK2230" s="34" t="str">
        <f aca="false">IF($B2230="","",COUNTIF($F2230:$AJ2230,"P"))</f>
        <v/>
      </c>
      <c r="AL2230" s="34" t="str">
        <f aca="false">IF($B2230="","",COUNTIF($F2230:$AJ2230,"A"))</f>
        <v/>
      </c>
      <c r="AM2230" s="34" t="str">
        <f aca="false">IF($B2230="","",COUNTIF($F2230:$AJ2230,"HA"))</f>
        <v/>
      </c>
      <c r="AN2230" s="34" t="str">
        <f aca="false">IF($B2230="","",COUNTIF($F2230:$AJ2230,"L"))</f>
        <v/>
      </c>
      <c r="AO2230" s="34" t="str">
        <f aca="false">IF($B2230="","",COUNTIF($F2230:$AJ2230,"PL"))</f>
        <v/>
      </c>
      <c r="AP2230" s="34" t="str">
        <f aca="false">IF($B2230="","",COUNTIF($F2230:$AJ2230,"CL"))</f>
        <v/>
      </c>
      <c r="AQ2230" s="34" t="str">
        <f aca="false">IF($B2230="","",COUNTIF($F2230:$AJ2230,"SL"))</f>
        <v/>
      </c>
      <c r="AR2230" s="34" t="str">
        <f aca="false">IF($B2230="","",COUNTIF($F2230:$AJ2230,"CO"))</f>
        <v/>
      </c>
      <c r="AS2230" s="34" t="str">
        <f aca="false">IF($B2230="","",COUNTIF($F2230:$AJ2230,"HPL"))</f>
        <v/>
      </c>
      <c r="AT2230" s="34" t="str">
        <f aca="false">IF($B2230="","",COUNTIF($F2230:$AJ2230,"HCL"))</f>
        <v/>
      </c>
      <c r="AU2230" s="34" t="str">
        <f aca="false">IF($B2230="","",COUNTIF($F2230:$AJ2230,"WO"))</f>
        <v/>
      </c>
      <c r="AV2230" s="34" t="str">
        <f aca="false">IF($B2230="","",COUNTIF($F2230:$AJ2230,"PH"))</f>
        <v/>
      </c>
      <c r="AW2230" s="34" t="str">
        <f aca="false">IF($B2230="","",COUNTIF($F2230:$AJ2230,"TR"))</f>
        <v/>
      </c>
      <c r="AX2230" s="35" t="str">
        <f aca="false">IF($B2230="","",AO2230+AS2230/2)</f>
        <v/>
      </c>
      <c r="AY2230" s="35" t="str">
        <f aca="false">IF($B2230="","",AQ2230)</f>
        <v/>
      </c>
      <c r="AZ2230" s="35" t="str">
        <f aca="false">IF($B2230="","",AP2230+AT2230/2)</f>
        <v/>
      </c>
      <c r="BA2230" s="35" t="str">
        <f aca="false">IF($B2230="","",AK2230+AN2230+AM2230/2+AO2230+AP2230+AQ2230+AR2230+AS2230+AT2230+AU2230+AV2230+AW2230)</f>
        <v/>
      </c>
      <c r="BB2230" s="35" t="str">
        <f aca="false">IF($B2230="","",MAX(0,AN2230-Settings!$C$16)*Settings!$C$17)</f>
        <v/>
      </c>
      <c r="BC2230" s="35" t="str">
        <f aca="false">IF($B2230="","",BA2230-BB2230)</f>
        <v/>
      </c>
      <c r="BD2230" s="35" t="str">
        <f aca="false">IF(OR($B2230="",$A2230=""),"",DAY(EOMONTH($A2230,0))-COUNTA($F2230:$AJ2230))</f>
        <v/>
      </c>
    </row>
    <row r="2231" customFormat="false" ht="15" hidden="false" customHeight="false" outlineLevel="0" collapsed="false">
      <c r="A2231" s="32"/>
      <c r="B2231" s="29"/>
      <c r="C2231" s="10" t="str">
        <f aca="false">IF($B2231="","",IFERROR(INDEX(M_name,MATCH($B2231,M_emp,0)),"Code not found"))</f>
        <v/>
      </c>
      <c r="D2231" s="10" t="str">
        <f aca="false">IF($B2231="","",IFERROR(INDEX(M_dept,MATCH($B2231,M_emp,0)),""))</f>
        <v/>
      </c>
      <c r="E2231" s="10" t="str">
        <f aca="false">IF($B2231="","",IFERROR(INDEX(M_loc,MATCH($B2231,M_emp,0)),""))</f>
        <v/>
      </c>
      <c r="F2231" s="33"/>
      <c r="G2231" s="33"/>
      <c r="H2231" s="33"/>
      <c r="I2231" s="33"/>
      <c r="J2231" s="33"/>
      <c r="K2231" s="33"/>
      <c r="L2231" s="33"/>
      <c r="M2231" s="33"/>
      <c r="N2231" s="33"/>
      <c r="O2231" s="33"/>
      <c r="P2231" s="33"/>
      <c r="Q2231" s="33"/>
      <c r="R2231" s="33"/>
      <c r="S2231" s="33"/>
      <c r="T2231" s="33"/>
      <c r="U2231" s="33"/>
      <c r="V2231" s="33"/>
      <c r="W2231" s="33"/>
      <c r="X2231" s="33"/>
      <c r="Y2231" s="33"/>
      <c r="Z2231" s="33"/>
      <c r="AA2231" s="33"/>
      <c r="AB2231" s="33"/>
      <c r="AC2231" s="33"/>
      <c r="AD2231" s="33"/>
      <c r="AE2231" s="33"/>
      <c r="AF2231" s="33"/>
      <c r="AG2231" s="33"/>
      <c r="AH2231" s="33"/>
      <c r="AI2231" s="33"/>
      <c r="AJ2231" s="33"/>
      <c r="AK2231" s="34" t="str">
        <f aca="false">IF($B2231="","",COUNTIF($F2231:$AJ2231,"P"))</f>
        <v/>
      </c>
      <c r="AL2231" s="34" t="str">
        <f aca="false">IF($B2231="","",COUNTIF($F2231:$AJ2231,"A"))</f>
        <v/>
      </c>
      <c r="AM2231" s="34" t="str">
        <f aca="false">IF($B2231="","",COUNTIF($F2231:$AJ2231,"HA"))</f>
        <v/>
      </c>
      <c r="AN2231" s="34" t="str">
        <f aca="false">IF($B2231="","",COUNTIF($F2231:$AJ2231,"L"))</f>
        <v/>
      </c>
      <c r="AO2231" s="34" t="str">
        <f aca="false">IF($B2231="","",COUNTIF($F2231:$AJ2231,"PL"))</f>
        <v/>
      </c>
      <c r="AP2231" s="34" t="str">
        <f aca="false">IF($B2231="","",COUNTIF($F2231:$AJ2231,"CL"))</f>
        <v/>
      </c>
      <c r="AQ2231" s="34" t="str">
        <f aca="false">IF($B2231="","",COUNTIF($F2231:$AJ2231,"SL"))</f>
        <v/>
      </c>
      <c r="AR2231" s="34" t="str">
        <f aca="false">IF($B2231="","",COUNTIF($F2231:$AJ2231,"CO"))</f>
        <v/>
      </c>
      <c r="AS2231" s="34" t="str">
        <f aca="false">IF($B2231="","",COUNTIF($F2231:$AJ2231,"HPL"))</f>
        <v/>
      </c>
      <c r="AT2231" s="34" t="str">
        <f aca="false">IF($B2231="","",COUNTIF($F2231:$AJ2231,"HCL"))</f>
        <v/>
      </c>
      <c r="AU2231" s="34" t="str">
        <f aca="false">IF($B2231="","",COUNTIF($F2231:$AJ2231,"WO"))</f>
        <v/>
      </c>
      <c r="AV2231" s="34" t="str">
        <f aca="false">IF($B2231="","",COUNTIF($F2231:$AJ2231,"PH"))</f>
        <v/>
      </c>
      <c r="AW2231" s="34" t="str">
        <f aca="false">IF($B2231="","",COUNTIF($F2231:$AJ2231,"TR"))</f>
        <v/>
      </c>
      <c r="AX2231" s="35" t="str">
        <f aca="false">IF($B2231="","",AO2231+AS2231/2)</f>
        <v/>
      </c>
      <c r="AY2231" s="35" t="str">
        <f aca="false">IF($B2231="","",AQ2231)</f>
        <v/>
      </c>
      <c r="AZ2231" s="35" t="str">
        <f aca="false">IF($B2231="","",AP2231+AT2231/2)</f>
        <v/>
      </c>
      <c r="BA2231" s="35" t="str">
        <f aca="false">IF($B2231="","",AK2231+AN2231+AM2231/2+AO2231+AP2231+AQ2231+AR2231+AS2231+AT2231+AU2231+AV2231+AW2231)</f>
        <v/>
      </c>
      <c r="BB2231" s="35" t="str">
        <f aca="false">IF($B2231="","",MAX(0,AN2231-Settings!$C$16)*Settings!$C$17)</f>
        <v/>
      </c>
      <c r="BC2231" s="35" t="str">
        <f aca="false">IF($B2231="","",BA2231-BB2231)</f>
        <v/>
      </c>
      <c r="BD2231" s="35" t="str">
        <f aca="false">IF(OR($B2231="",$A2231=""),"",DAY(EOMONTH($A2231,0))-COUNTA($F2231:$AJ2231))</f>
        <v/>
      </c>
    </row>
    <row r="2232" customFormat="false" ht="15" hidden="false" customHeight="false" outlineLevel="0" collapsed="false">
      <c r="A2232" s="32"/>
      <c r="B2232" s="29"/>
      <c r="C2232" s="10" t="str">
        <f aca="false">IF($B2232="","",IFERROR(INDEX(M_name,MATCH($B2232,M_emp,0)),"Code not found"))</f>
        <v/>
      </c>
      <c r="D2232" s="10" t="str">
        <f aca="false">IF($B2232="","",IFERROR(INDEX(M_dept,MATCH($B2232,M_emp,0)),""))</f>
        <v/>
      </c>
      <c r="E2232" s="10" t="str">
        <f aca="false">IF($B2232="","",IFERROR(INDEX(M_loc,MATCH($B2232,M_emp,0)),""))</f>
        <v/>
      </c>
      <c r="F2232" s="33"/>
      <c r="G2232" s="33"/>
      <c r="H2232" s="33"/>
      <c r="I2232" s="33"/>
      <c r="J2232" s="33"/>
      <c r="K2232" s="33"/>
      <c r="L2232" s="33"/>
      <c r="M2232" s="33"/>
      <c r="N2232" s="33"/>
      <c r="O2232" s="33"/>
      <c r="P2232" s="33"/>
      <c r="Q2232" s="33"/>
      <c r="R2232" s="33"/>
      <c r="S2232" s="33"/>
      <c r="T2232" s="33"/>
      <c r="U2232" s="33"/>
      <c r="V2232" s="33"/>
      <c r="W2232" s="33"/>
      <c r="X2232" s="33"/>
      <c r="Y2232" s="33"/>
      <c r="Z2232" s="33"/>
      <c r="AA2232" s="33"/>
      <c r="AB2232" s="33"/>
      <c r="AC2232" s="33"/>
      <c r="AD2232" s="33"/>
      <c r="AE2232" s="33"/>
      <c r="AF2232" s="33"/>
      <c r="AG2232" s="33"/>
      <c r="AH2232" s="33"/>
      <c r="AI2232" s="33"/>
      <c r="AJ2232" s="33"/>
      <c r="AK2232" s="34" t="str">
        <f aca="false">IF($B2232="","",COUNTIF($F2232:$AJ2232,"P"))</f>
        <v/>
      </c>
      <c r="AL2232" s="34" t="str">
        <f aca="false">IF($B2232="","",COUNTIF($F2232:$AJ2232,"A"))</f>
        <v/>
      </c>
      <c r="AM2232" s="34" t="str">
        <f aca="false">IF($B2232="","",COUNTIF($F2232:$AJ2232,"HA"))</f>
        <v/>
      </c>
      <c r="AN2232" s="34" t="str">
        <f aca="false">IF($B2232="","",COUNTIF($F2232:$AJ2232,"L"))</f>
        <v/>
      </c>
      <c r="AO2232" s="34" t="str">
        <f aca="false">IF($B2232="","",COUNTIF($F2232:$AJ2232,"PL"))</f>
        <v/>
      </c>
      <c r="AP2232" s="34" t="str">
        <f aca="false">IF($B2232="","",COUNTIF($F2232:$AJ2232,"CL"))</f>
        <v/>
      </c>
      <c r="AQ2232" s="34" t="str">
        <f aca="false">IF($B2232="","",COUNTIF($F2232:$AJ2232,"SL"))</f>
        <v/>
      </c>
      <c r="AR2232" s="34" t="str">
        <f aca="false">IF($B2232="","",COUNTIF($F2232:$AJ2232,"CO"))</f>
        <v/>
      </c>
      <c r="AS2232" s="34" t="str">
        <f aca="false">IF($B2232="","",COUNTIF($F2232:$AJ2232,"HPL"))</f>
        <v/>
      </c>
      <c r="AT2232" s="34" t="str">
        <f aca="false">IF($B2232="","",COUNTIF($F2232:$AJ2232,"HCL"))</f>
        <v/>
      </c>
      <c r="AU2232" s="34" t="str">
        <f aca="false">IF($B2232="","",COUNTIF($F2232:$AJ2232,"WO"))</f>
        <v/>
      </c>
      <c r="AV2232" s="34" t="str">
        <f aca="false">IF($B2232="","",COUNTIF($F2232:$AJ2232,"PH"))</f>
        <v/>
      </c>
      <c r="AW2232" s="34" t="str">
        <f aca="false">IF($B2232="","",COUNTIF($F2232:$AJ2232,"TR"))</f>
        <v/>
      </c>
      <c r="AX2232" s="35" t="str">
        <f aca="false">IF($B2232="","",AO2232+AS2232/2)</f>
        <v/>
      </c>
      <c r="AY2232" s="35" t="str">
        <f aca="false">IF($B2232="","",AQ2232)</f>
        <v/>
      </c>
      <c r="AZ2232" s="35" t="str">
        <f aca="false">IF($B2232="","",AP2232+AT2232/2)</f>
        <v/>
      </c>
      <c r="BA2232" s="35" t="str">
        <f aca="false">IF($B2232="","",AK2232+AN2232+AM2232/2+AO2232+AP2232+AQ2232+AR2232+AS2232+AT2232+AU2232+AV2232+AW2232)</f>
        <v/>
      </c>
      <c r="BB2232" s="35" t="str">
        <f aca="false">IF($B2232="","",MAX(0,AN2232-Settings!$C$16)*Settings!$C$17)</f>
        <v/>
      </c>
      <c r="BC2232" s="35" t="str">
        <f aca="false">IF($B2232="","",BA2232-BB2232)</f>
        <v/>
      </c>
      <c r="BD2232" s="35" t="str">
        <f aca="false">IF(OR($B2232="",$A2232=""),"",DAY(EOMONTH($A2232,0))-COUNTA($F2232:$AJ2232))</f>
        <v/>
      </c>
    </row>
    <row r="2233" customFormat="false" ht="15" hidden="false" customHeight="false" outlineLevel="0" collapsed="false">
      <c r="A2233" s="32"/>
      <c r="B2233" s="29"/>
      <c r="C2233" s="10" t="str">
        <f aca="false">IF($B2233="","",IFERROR(INDEX(M_name,MATCH($B2233,M_emp,0)),"Code not found"))</f>
        <v/>
      </c>
      <c r="D2233" s="10" t="str">
        <f aca="false">IF($B2233="","",IFERROR(INDEX(M_dept,MATCH($B2233,M_emp,0)),""))</f>
        <v/>
      </c>
      <c r="E2233" s="10" t="str">
        <f aca="false">IF($B2233="","",IFERROR(INDEX(M_loc,MATCH($B2233,M_emp,0)),""))</f>
        <v/>
      </c>
      <c r="F2233" s="33"/>
      <c r="G2233" s="33"/>
      <c r="H2233" s="33"/>
      <c r="I2233" s="33"/>
      <c r="J2233" s="33"/>
      <c r="K2233" s="33"/>
      <c r="L2233" s="33"/>
      <c r="M2233" s="33"/>
      <c r="N2233" s="33"/>
      <c r="O2233" s="33"/>
      <c r="P2233" s="33"/>
      <c r="Q2233" s="33"/>
      <c r="R2233" s="33"/>
      <c r="S2233" s="33"/>
      <c r="T2233" s="33"/>
      <c r="U2233" s="33"/>
      <c r="V2233" s="33"/>
      <c r="W2233" s="33"/>
      <c r="X2233" s="33"/>
      <c r="Y2233" s="33"/>
      <c r="Z2233" s="33"/>
      <c r="AA2233" s="33"/>
      <c r="AB2233" s="33"/>
      <c r="AC2233" s="33"/>
      <c r="AD2233" s="33"/>
      <c r="AE2233" s="33"/>
      <c r="AF2233" s="33"/>
      <c r="AG2233" s="33"/>
      <c r="AH2233" s="33"/>
      <c r="AI2233" s="33"/>
      <c r="AJ2233" s="33"/>
      <c r="AK2233" s="34" t="str">
        <f aca="false">IF($B2233="","",COUNTIF($F2233:$AJ2233,"P"))</f>
        <v/>
      </c>
      <c r="AL2233" s="34" t="str">
        <f aca="false">IF($B2233="","",COUNTIF($F2233:$AJ2233,"A"))</f>
        <v/>
      </c>
      <c r="AM2233" s="34" t="str">
        <f aca="false">IF($B2233="","",COUNTIF($F2233:$AJ2233,"HA"))</f>
        <v/>
      </c>
      <c r="AN2233" s="34" t="str">
        <f aca="false">IF($B2233="","",COUNTIF($F2233:$AJ2233,"L"))</f>
        <v/>
      </c>
      <c r="AO2233" s="34" t="str">
        <f aca="false">IF($B2233="","",COUNTIF($F2233:$AJ2233,"PL"))</f>
        <v/>
      </c>
      <c r="AP2233" s="34" t="str">
        <f aca="false">IF($B2233="","",COUNTIF($F2233:$AJ2233,"CL"))</f>
        <v/>
      </c>
      <c r="AQ2233" s="34" t="str">
        <f aca="false">IF($B2233="","",COUNTIF($F2233:$AJ2233,"SL"))</f>
        <v/>
      </c>
      <c r="AR2233" s="34" t="str">
        <f aca="false">IF($B2233="","",COUNTIF($F2233:$AJ2233,"CO"))</f>
        <v/>
      </c>
      <c r="AS2233" s="34" t="str">
        <f aca="false">IF($B2233="","",COUNTIF($F2233:$AJ2233,"HPL"))</f>
        <v/>
      </c>
      <c r="AT2233" s="34" t="str">
        <f aca="false">IF($B2233="","",COUNTIF($F2233:$AJ2233,"HCL"))</f>
        <v/>
      </c>
      <c r="AU2233" s="34" t="str">
        <f aca="false">IF($B2233="","",COUNTIF($F2233:$AJ2233,"WO"))</f>
        <v/>
      </c>
      <c r="AV2233" s="34" t="str">
        <f aca="false">IF($B2233="","",COUNTIF($F2233:$AJ2233,"PH"))</f>
        <v/>
      </c>
      <c r="AW2233" s="34" t="str">
        <f aca="false">IF($B2233="","",COUNTIF($F2233:$AJ2233,"TR"))</f>
        <v/>
      </c>
      <c r="AX2233" s="35" t="str">
        <f aca="false">IF($B2233="","",AO2233+AS2233/2)</f>
        <v/>
      </c>
      <c r="AY2233" s="35" t="str">
        <f aca="false">IF($B2233="","",AQ2233)</f>
        <v/>
      </c>
      <c r="AZ2233" s="35" t="str">
        <f aca="false">IF($B2233="","",AP2233+AT2233/2)</f>
        <v/>
      </c>
      <c r="BA2233" s="35" t="str">
        <f aca="false">IF($B2233="","",AK2233+AN2233+AM2233/2+AO2233+AP2233+AQ2233+AR2233+AS2233+AT2233+AU2233+AV2233+AW2233)</f>
        <v/>
      </c>
      <c r="BB2233" s="35" t="str">
        <f aca="false">IF($B2233="","",MAX(0,AN2233-Settings!$C$16)*Settings!$C$17)</f>
        <v/>
      </c>
      <c r="BC2233" s="35" t="str">
        <f aca="false">IF($B2233="","",BA2233-BB2233)</f>
        <v/>
      </c>
      <c r="BD2233" s="35" t="str">
        <f aca="false">IF(OR($B2233="",$A2233=""),"",DAY(EOMONTH($A2233,0))-COUNTA($F2233:$AJ2233))</f>
        <v/>
      </c>
    </row>
    <row r="2234" customFormat="false" ht="15" hidden="false" customHeight="false" outlineLevel="0" collapsed="false">
      <c r="A2234" s="32"/>
      <c r="B2234" s="29"/>
      <c r="C2234" s="10" t="str">
        <f aca="false">IF($B2234="","",IFERROR(INDEX(M_name,MATCH($B2234,M_emp,0)),"Code not found"))</f>
        <v/>
      </c>
      <c r="D2234" s="10" t="str">
        <f aca="false">IF($B2234="","",IFERROR(INDEX(M_dept,MATCH($B2234,M_emp,0)),""))</f>
        <v/>
      </c>
      <c r="E2234" s="10" t="str">
        <f aca="false">IF($B2234="","",IFERROR(INDEX(M_loc,MATCH($B2234,M_emp,0)),""))</f>
        <v/>
      </c>
      <c r="F2234" s="33"/>
      <c r="G2234" s="33"/>
      <c r="H2234" s="33"/>
      <c r="I2234" s="33"/>
      <c r="J2234" s="33"/>
      <c r="K2234" s="33"/>
      <c r="L2234" s="33"/>
      <c r="M2234" s="33"/>
      <c r="N2234" s="33"/>
      <c r="O2234" s="33"/>
      <c r="P2234" s="33"/>
      <c r="Q2234" s="33"/>
      <c r="R2234" s="33"/>
      <c r="S2234" s="33"/>
      <c r="T2234" s="33"/>
      <c r="U2234" s="33"/>
      <c r="V2234" s="33"/>
      <c r="W2234" s="33"/>
      <c r="X2234" s="33"/>
      <c r="Y2234" s="33"/>
      <c r="Z2234" s="33"/>
      <c r="AA2234" s="33"/>
      <c r="AB2234" s="33"/>
      <c r="AC2234" s="33"/>
      <c r="AD2234" s="33"/>
      <c r="AE2234" s="33"/>
      <c r="AF2234" s="33"/>
      <c r="AG2234" s="33"/>
      <c r="AH2234" s="33"/>
      <c r="AI2234" s="33"/>
      <c r="AJ2234" s="33"/>
      <c r="AK2234" s="34" t="str">
        <f aca="false">IF($B2234="","",COUNTIF($F2234:$AJ2234,"P"))</f>
        <v/>
      </c>
      <c r="AL2234" s="34" t="str">
        <f aca="false">IF($B2234="","",COUNTIF($F2234:$AJ2234,"A"))</f>
        <v/>
      </c>
      <c r="AM2234" s="34" t="str">
        <f aca="false">IF($B2234="","",COUNTIF($F2234:$AJ2234,"HA"))</f>
        <v/>
      </c>
      <c r="AN2234" s="34" t="str">
        <f aca="false">IF($B2234="","",COUNTIF($F2234:$AJ2234,"L"))</f>
        <v/>
      </c>
      <c r="AO2234" s="34" t="str">
        <f aca="false">IF($B2234="","",COUNTIF($F2234:$AJ2234,"PL"))</f>
        <v/>
      </c>
      <c r="AP2234" s="34" t="str">
        <f aca="false">IF($B2234="","",COUNTIF($F2234:$AJ2234,"CL"))</f>
        <v/>
      </c>
      <c r="AQ2234" s="34" t="str">
        <f aca="false">IF($B2234="","",COUNTIF($F2234:$AJ2234,"SL"))</f>
        <v/>
      </c>
      <c r="AR2234" s="34" t="str">
        <f aca="false">IF($B2234="","",COUNTIF($F2234:$AJ2234,"CO"))</f>
        <v/>
      </c>
      <c r="AS2234" s="34" t="str">
        <f aca="false">IF($B2234="","",COUNTIF($F2234:$AJ2234,"HPL"))</f>
        <v/>
      </c>
      <c r="AT2234" s="34" t="str">
        <f aca="false">IF($B2234="","",COUNTIF($F2234:$AJ2234,"HCL"))</f>
        <v/>
      </c>
      <c r="AU2234" s="34" t="str">
        <f aca="false">IF($B2234="","",COUNTIF($F2234:$AJ2234,"WO"))</f>
        <v/>
      </c>
      <c r="AV2234" s="34" t="str">
        <f aca="false">IF($B2234="","",COUNTIF($F2234:$AJ2234,"PH"))</f>
        <v/>
      </c>
      <c r="AW2234" s="34" t="str">
        <f aca="false">IF($B2234="","",COUNTIF($F2234:$AJ2234,"TR"))</f>
        <v/>
      </c>
      <c r="AX2234" s="35" t="str">
        <f aca="false">IF($B2234="","",AO2234+AS2234/2)</f>
        <v/>
      </c>
      <c r="AY2234" s="35" t="str">
        <f aca="false">IF($B2234="","",AQ2234)</f>
        <v/>
      </c>
      <c r="AZ2234" s="35" t="str">
        <f aca="false">IF($B2234="","",AP2234+AT2234/2)</f>
        <v/>
      </c>
      <c r="BA2234" s="35" t="str">
        <f aca="false">IF($B2234="","",AK2234+AN2234+AM2234/2+AO2234+AP2234+AQ2234+AR2234+AS2234+AT2234+AU2234+AV2234+AW2234)</f>
        <v/>
      </c>
      <c r="BB2234" s="35" t="str">
        <f aca="false">IF($B2234="","",MAX(0,AN2234-Settings!$C$16)*Settings!$C$17)</f>
        <v/>
      </c>
      <c r="BC2234" s="35" t="str">
        <f aca="false">IF($B2234="","",BA2234-BB2234)</f>
        <v/>
      </c>
      <c r="BD2234" s="35" t="str">
        <f aca="false">IF(OR($B2234="",$A2234=""),"",DAY(EOMONTH($A2234,0))-COUNTA($F2234:$AJ2234))</f>
        <v/>
      </c>
    </row>
    <row r="2235" customFormat="false" ht="15" hidden="false" customHeight="false" outlineLevel="0" collapsed="false">
      <c r="A2235" s="32"/>
      <c r="B2235" s="29"/>
      <c r="C2235" s="10" t="str">
        <f aca="false">IF($B2235="","",IFERROR(INDEX(M_name,MATCH($B2235,M_emp,0)),"Code not found"))</f>
        <v/>
      </c>
      <c r="D2235" s="10" t="str">
        <f aca="false">IF($B2235="","",IFERROR(INDEX(M_dept,MATCH($B2235,M_emp,0)),""))</f>
        <v/>
      </c>
      <c r="E2235" s="10" t="str">
        <f aca="false">IF($B2235="","",IFERROR(INDEX(M_loc,MATCH($B2235,M_emp,0)),""))</f>
        <v/>
      </c>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c r="AB2235" s="33"/>
      <c r="AC2235" s="33"/>
      <c r="AD2235" s="33"/>
      <c r="AE2235" s="33"/>
      <c r="AF2235" s="33"/>
      <c r="AG2235" s="33"/>
      <c r="AH2235" s="33"/>
      <c r="AI2235" s="33"/>
      <c r="AJ2235" s="33"/>
      <c r="AK2235" s="34" t="str">
        <f aca="false">IF($B2235="","",COUNTIF($F2235:$AJ2235,"P"))</f>
        <v/>
      </c>
      <c r="AL2235" s="34" t="str">
        <f aca="false">IF($B2235="","",COUNTIF($F2235:$AJ2235,"A"))</f>
        <v/>
      </c>
      <c r="AM2235" s="34" t="str">
        <f aca="false">IF($B2235="","",COUNTIF($F2235:$AJ2235,"HA"))</f>
        <v/>
      </c>
      <c r="AN2235" s="34" t="str">
        <f aca="false">IF($B2235="","",COUNTIF($F2235:$AJ2235,"L"))</f>
        <v/>
      </c>
      <c r="AO2235" s="34" t="str">
        <f aca="false">IF($B2235="","",COUNTIF($F2235:$AJ2235,"PL"))</f>
        <v/>
      </c>
      <c r="AP2235" s="34" t="str">
        <f aca="false">IF($B2235="","",COUNTIF($F2235:$AJ2235,"CL"))</f>
        <v/>
      </c>
      <c r="AQ2235" s="34" t="str">
        <f aca="false">IF($B2235="","",COUNTIF($F2235:$AJ2235,"SL"))</f>
        <v/>
      </c>
      <c r="AR2235" s="34" t="str">
        <f aca="false">IF($B2235="","",COUNTIF($F2235:$AJ2235,"CO"))</f>
        <v/>
      </c>
      <c r="AS2235" s="34" t="str">
        <f aca="false">IF($B2235="","",COUNTIF($F2235:$AJ2235,"HPL"))</f>
        <v/>
      </c>
      <c r="AT2235" s="34" t="str">
        <f aca="false">IF($B2235="","",COUNTIF($F2235:$AJ2235,"HCL"))</f>
        <v/>
      </c>
      <c r="AU2235" s="34" t="str">
        <f aca="false">IF($B2235="","",COUNTIF($F2235:$AJ2235,"WO"))</f>
        <v/>
      </c>
      <c r="AV2235" s="34" t="str">
        <f aca="false">IF($B2235="","",COUNTIF($F2235:$AJ2235,"PH"))</f>
        <v/>
      </c>
      <c r="AW2235" s="34" t="str">
        <f aca="false">IF($B2235="","",COUNTIF($F2235:$AJ2235,"TR"))</f>
        <v/>
      </c>
      <c r="AX2235" s="35" t="str">
        <f aca="false">IF($B2235="","",AO2235+AS2235/2)</f>
        <v/>
      </c>
      <c r="AY2235" s="35" t="str">
        <f aca="false">IF($B2235="","",AQ2235)</f>
        <v/>
      </c>
      <c r="AZ2235" s="35" t="str">
        <f aca="false">IF($B2235="","",AP2235+AT2235/2)</f>
        <v/>
      </c>
      <c r="BA2235" s="35" t="str">
        <f aca="false">IF($B2235="","",AK2235+AN2235+AM2235/2+AO2235+AP2235+AQ2235+AR2235+AS2235+AT2235+AU2235+AV2235+AW2235)</f>
        <v/>
      </c>
      <c r="BB2235" s="35" t="str">
        <f aca="false">IF($B2235="","",MAX(0,AN2235-Settings!$C$16)*Settings!$C$17)</f>
        <v/>
      </c>
      <c r="BC2235" s="35" t="str">
        <f aca="false">IF($B2235="","",BA2235-BB2235)</f>
        <v/>
      </c>
      <c r="BD2235" s="35" t="str">
        <f aca="false">IF(OR($B2235="",$A2235=""),"",DAY(EOMONTH($A2235,0))-COUNTA($F2235:$AJ2235))</f>
        <v/>
      </c>
    </row>
    <row r="2236" customFormat="false" ht="15" hidden="false" customHeight="false" outlineLevel="0" collapsed="false">
      <c r="A2236" s="32"/>
      <c r="B2236" s="29"/>
      <c r="C2236" s="10" t="str">
        <f aca="false">IF($B2236="","",IFERROR(INDEX(M_name,MATCH($B2236,M_emp,0)),"Code not found"))</f>
        <v/>
      </c>
      <c r="D2236" s="10" t="str">
        <f aca="false">IF($B2236="","",IFERROR(INDEX(M_dept,MATCH($B2236,M_emp,0)),""))</f>
        <v/>
      </c>
      <c r="E2236" s="10" t="str">
        <f aca="false">IF($B2236="","",IFERROR(INDEX(M_loc,MATCH($B2236,M_emp,0)),""))</f>
        <v/>
      </c>
      <c r="F2236" s="33"/>
      <c r="G2236" s="33"/>
      <c r="H2236" s="33"/>
      <c r="I2236" s="33"/>
      <c r="J2236" s="33"/>
      <c r="K2236" s="33"/>
      <c r="L2236" s="33"/>
      <c r="M2236" s="33"/>
      <c r="N2236" s="33"/>
      <c r="O2236" s="33"/>
      <c r="P2236" s="33"/>
      <c r="Q2236" s="33"/>
      <c r="R2236" s="33"/>
      <c r="S2236" s="33"/>
      <c r="T2236" s="33"/>
      <c r="U2236" s="33"/>
      <c r="V2236" s="33"/>
      <c r="W2236" s="33"/>
      <c r="X2236" s="33"/>
      <c r="Y2236" s="33"/>
      <c r="Z2236" s="33"/>
      <c r="AA2236" s="33"/>
      <c r="AB2236" s="33"/>
      <c r="AC2236" s="33"/>
      <c r="AD2236" s="33"/>
      <c r="AE2236" s="33"/>
      <c r="AF2236" s="33"/>
      <c r="AG2236" s="33"/>
      <c r="AH2236" s="33"/>
      <c r="AI2236" s="33"/>
      <c r="AJ2236" s="33"/>
      <c r="AK2236" s="34" t="str">
        <f aca="false">IF($B2236="","",COUNTIF($F2236:$AJ2236,"P"))</f>
        <v/>
      </c>
      <c r="AL2236" s="34" t="str">
        <f aca="false">IF($B2236="","",COUNTIF($F2236:$AJ2236,"A"))</f>
        <v/>
      </c>
      <c r="AM2236" s="34" t="str">
        <f aca="false">IF($B2236="","",COUNTIF($F2236:$AJ2236,"HA"))</f>
        <v/>
      </c>
      <c r="AN2236" s="34" t="str">
        <f aca="false">IF($B2236="","",COUNTIF($F2236:$AJ2236,"L"))</f>
        <v/>
      </c>
      <c r="AO2236" s="34" t="str">
        <f aca="false">IF($B2236="","",COUNTIF($F2236:$AJ2236,"PL"))</f>
        <v/>
      </c>
      <c r="AP2236" s="34" t="str">
        <f aca="false">IF($B2236="","",COUNTIF($F2236:$AJ2236,"CL"))</f>
        <v/>
      </c>
      <c r="AQ2236" s="34" t="str">
        <f aca="false">IF($B2236="","",COUNTIF($F2236:$AJ2236,"SL"))</f>
        <v/>
      </c>
      <c r="AR2236" s="34" t="str">
        <f aca="false">IF($B2236="","",COUNTIF($F2236:$AJ2236,"CO"))</f>
        <v/>
      </c>
      <c r="AS2236" s="34" t="str">
        <f aca="false">IF($B2236="","",COUNTIF($F2236:$AJ2236,"HPL"))</f>
        <v/>
      </c>
      <c r="AT2236" s="34" t="str">
        <f aca="false">IF($B2236="","",COUNTIF($F2236:$AJ2236,"HCL"))</f>
        <v/>
      </c>
      <c r="AU2236" s="34" t="str">
        <f aca="false">IF($B2236="","",COUNTIF($F2236:$AJ2236,"WO"))</f>
        <v/>
      </c>
      <c r="AV2236" s="34" t="str">
        <f aca="false">IF($B2236="","",COUNTIF($F2236:$AJ2236,"PH"))</f>
        <v/>
      </c>
      <c r="AW2236" s="34" t="str">
        <f aca="false">IF($B2236="","",COUNTIF($F2236:$AJ2236,"TR"))</f>
        <v/>
      </c>
      <c r="AX2236" s="35" t="str">
        <f aca="false">IF($B2236="","",AO2236+AS2236/2)</f>
        <v/>
      </c>
      <c r="AY2236" s="35" t="str">
        <f aca="false">IF($B2236="","",AQ2236)</f>
        <v/>
      </c>
      <c r="AZ2236" s="35" t="str">
        <f aca="false">IF($B2236="","",AP2236+AT2236/2)</f>
        <v/>
      </c>
      <c r="BA2236" s="35" t="str">
        <f aca="false">IF($B2236="","",AK2236+AN2236+AM2236/2+AO2236+AP2236+AQ2236+AR2236+AS2236+AT2236+AU2236+AV2236+AW2236)</f>
        <v/>
      </c>
      <c r="BB2236" s="35" t="str">
        <f aca="false">IF($B2236="","",MAX(0,AN2236-Settings!$C$16)*Settings!$C$17)</f>
        <v/>
      </c>
      <c r="BC2236" s="35" t="str">
        <f aca="false">IF($B2236="","",BA2236-BB2236)</f>
        <v/>
      </c>
      <c r="BD2236" s="35" t="str">
        <f aca="false">IF(OR($B2236="",$A2236=""),"",DAY(EOMONTH($A2236,0))-COUNTA($F2236:$AJ2236))</f>
        <v/>
      </c>
    </row>
    <row r="2237" customFormat="false" ht="15" hidden="false" customHeight="false" outlineLevel="0" collapsed="false">
      <c r="A2237" s="32"/>
      <c r="B2237" s="29"/>
      <c r="C2237" s="10" t="str">
        <f aca="false">IF($B2237="","",IFERROR(INDEX(M_name,MATCH($B2237,M_emp,0)),"Code not found"))</f>
        <v/>
      </c>
      <c r="D2237" s="10" t="str">
        <f aca="false">IF($B2237="","",IFERROR(INDEX(M_dept,MATCH($B2237,M_emp,0)),""))</f>
        <v/>
      </c>
      <c r="E2237" s="10" t="str">
        <f aca="false">IF($B2237="","",IFERROR(INDEX(M_loc,MATCH($B2237,M_emp,0)),""))</f>
        <v/>
      </c>
      <c r="F2237" s="33"/>
      <c r="G2237" s="33"/>
      <c r="H2237" s="33"/>
      <c r="I2237" s="33"/>
      <c r="J2237" s="33"/>
      <c r="K2237" s="33"/>
      <c r="L2237" s="33"/>
      <c r="M2237" s="33"/>
      <c r="N2237" s="33"/>
      <c r="O2237" s="33"/>
      <c r="P2237" s="33"/>
      <c r="Q2237" s="33"/>
      <c r="R2237" s="33"/>
      <c r="S2237" s="33"/>
      <c r="T2237" s="33"/>
      <c r="U2237" s="33"/>
      <c r="V2237" s="33"/>
      <c r="W2237" s="33"/>
      <c r="X2237" s="33"/>
      <c r="Y2237" s="33"/>
      <c r="Z2237" s="33"/>
      <c r="AA2237" s="33"/>
      <c r="AB2237" s="33"/>
      <c r="AC2237" s="33"/>
      <c r="AD2237" s="33"/>
      <c r="AE2237" s="33"/>
      <c r="AF2237" s="33"/>
      <c r="AG2237" s="33"/>
      <c r="AH2237" s="33"/>
      <c r="AI2237" s="33"/>
      <c r="AJ2237" s="33"/>
      <c r="AK2237" s="34" t="str">
        <f aca="false">IF($B2237="","",COUNTIF($F2237:$AJ2237,"P"))</f>
        <v/>
      </c>
      <c r="AL2237" s="34" t="str">
        <f aca="false">IF($B2237="","",COUNTIF($F2237:$AJ2237,"A"))</f>
        <v/>
      </c>
      <c r="AM2237" s="34" t="str">
        <f aca="false">IF($B2237="","",COUNTIF($F2237:$AJ2237,"HA"))</f>
        <v/>
      </c>
      <c r="AN2237" s="34" t="str">
        <f aca="false">IF($B2237="","",COUNTIF($F2237:$AJ2237,"L"))</f>
        <v/>
      </c>
      <c r="AO2237" s="34" t="str">
        <f aca="false">IF($B2237="","",COUNTIF($F2237:$AJ2237,"PL"))</f>
        <v/>
      </c>
      <c r="AP2237" s="34" t="str">
        <f aca="false">IF($B2237="","",COUNTIF($F2237:$AJ2237,"CL"))</f>
        <v/>
      </c>
      <c r="AQ2237" s="34" t="str">
        <f aca="false">IF($B2237="","",COUNTIF($F2237:$AJ2237,"SL"))</f>
        <v/>
      </c>
      <c r="AR2237" s="34" t="str">
        <f aca="false">IF($B2237="","",COUNTIF($F2237:$AJ2237,"CO"))</f>
        <v/>
      </c>
      <c r="AS2237" s="34" t="str">
        <f aca="false">IF($B2237="","",COUNTIF($F2237:$AJ2237,"HPL"))</f>
        <v/>
      </c>
      <c r="AT2237" s="34" t="str">
        <f aca="false">IF($B2237="","",COUNTIF($F2237:$AJ2237,"HCL"))</f>
        <v/>
      </c>
      <c r="AU2237" s="34" t="str">
        <f aca="false">IF($B2237="","",COUNTIF($F2237:$AJ2237,"WO"))</f>
        <v/>
      </c>
      <c r="AV2237" s="34" t="str">
        <f aca="false">IF($B2237="","",COUNTIF($F2237:$AJ2237,"PH"))</f>
        <v/>
      </c>
      <c r="AW2237" s="34" t="str">
        <f aca="false">IF($B2237="","",COUNTIF($F2237:$AJ2237,"TR"))</f>
        <v/>
      </c>
      <c r="AX2237" s="35" t="str">
        <f aca="false">IF($B2237="","",AO2237+AS2237/2)</f>
        <v/>
      </c>
      <c r="AY2237" s="35" t="str">
        <f aca="false">IF($B2237="","",AQ2237)</f>
        <v/>
      </c>
      <c r="AZ2237" s="35" t="str">
        <f aca="false">IF($B2237="","",AP2237+AT2237/2)</f>
        <v/>
      </c>
      <c r="BA2237" s="35" t="str">
        <f aca="false">IF($B2237="","",AK2237+AN2237+AM2237/2+AO2237+AP2237+AQ2237+AR2237+AS2237+AT2237+AU2237+AV2237+AW2237)</f>
        <v/>
      </c>
      <c r="BB2237" s="35" t="str">
        <f aca="false">IF($B2237="","",MAX(0,AN2237-Settings!$C$16)*Settings!$C$17)</f>
        <v/>
      </c>
      <c r="BC2237" s="35" t="str">
        <f aca="false">IF($B2237="","",BA2237-BB2237)</f>
        <v/>
      </c>
      <c r="BD2237" s="35" t="str">
        <f aca="false">IF(OR($B2237="",$A2237=""),"",DAY(EOMONTH($A2237,0))-COUNTA($F2237:$AJ2237))</f>
        <v/>
      </c>
    </row>
    <row r="2238" customFormat="false" ht="15" hidden="false" customHeight="false" outlineLevel="0" collapsed="false">
      <c r="A2238" s="32"/>
      <c r="B2238" s="29"/>
      <c r="C2238" s="10" t="str">
        <f aca="false">IF($B2238="","",IFERROR(INDEX(M_name,MATCH($B2238,M_emp,0)),"Code not found"))</f>
        <v/>
      </c>
      <c r="D2238" s="10" t="str">
        <f aca="false">IF($B2238="","",IFERROR(INDEX(M_dept,MATCH($B2238,M_emp,0)),""))</f>
        <v/>
      </c>
      <c r="E2238" s="10" t="str">
        <f aca="false">IF($B2238="","",IFERROR(INDEX(M_loc,MATCH($B2238,M_emp,0)),""))</f>
        <v/>
      </c>
      <c r="F2238" s="33"/>
      <c r="G2238" s="33"/>
      <c r="H2238" s="33"/>
      <c r="I2238" s="33"/>
      <c r="J2238" s="33"/>
      <c r="K2238" s="33"/>
      <c r="L2238" s="33"/>
      <c r="M2238" s="33"/>
      <c r="N2238" s="33"/>
      <c r="O2238" s="33"/>
      <c r="P2238" s="33"/>
      <c r="Q2238" s="33"/>
      <c r="R2238" s="33"/>
      <c r="S2238" s="33"/>
      <c r="T2238" s="33"/>
      <c r="U2238" s="33"/>
      <c r="V2238" s="33"/>
      <c r="W2238" s="33"/>
      <c r="X2238" s="33"/>
      <c r="Y2238" s="33"/>
      <c r="Z2238" s="33"/>
      <c r="AA2238" s="33"/>
      <c r="AB2238" s="33"/>
      <c r="AC2238" s="33"/>
      <c r="AD2238" s="33"/>
      <c r="AE2238" s="33"/>
      <c r="AF2238" s="33"/>
      <c r="AG2238" s="33"/>
      <c r="AH2238" s="33"/>
      <c r="AI2238" s="33"/>
      <c r="AJ2238" s="33"/>
      <c r="AK2238" s="34" t="str">
        <f aca="false">IF($B2238="","",COUNTIF($F2238:$AJ2238,"P"))</f>
        <v/>
      </c>
      <c r="AL2238" s="34" t="str">
        <f aca="false">IF($B2238="","",COUNTIF($F2238:$AJ2238,"A"))</f>
        <v/>
      </c>
      <c r="AM2238" s="34" t="str">
        <f aca="false">IF($B2238="","",COUNTIF($F2238:$AJ2238,"HA"))</f>
        <v/>
      </c>
      <c r="AN2238" s="34" t="str">
        <f aca="false">IF($B2238="","",COUNTIF($F2238:$AJ2238,"L"))</f>
        <v/>
      </c>
      <c r="AO2238" s="34" t="str">
        <f aca="false">IF($B2238="","",COUNTIF($F2238:$AJ2238,"PL"))</f>
        <v/>
      </c>
      <c r="AP2238" s="34" t="str">
        <f aca="false">IF($B2238="","",COUNTIF($F2238:$AJ2238,"CL"))</f>
        <v/>
      </c>
      <c r="AQ2238" s="34" t="str">
        <f aca="false">IF($B2238="","",COUNTIF($F2238:$AJ2238,"SL"))</f>
        <v/>
      </c>
      <c r="AR2238" s="34" t="str">
        <f aca="false">IF($B2238="","",COUNTIF($F2238:$AJ2238,"CO"))</f>
        <v/>
      </c>
      <c r="AS2238" s="34" t="str">
        <f aca="false">IF($B2238="","",COUNTIF($F2238:$AJ2238,"HPL"))</f>
        <v/>
      </c>
      <c r="AT2238" s="34" t="str">
        <f aca="false">IF($B2238="","",COUNTIF($F2238:$AJ2238,"HCL"))</f>
        <v/>
      </c>
      <c r="AU2238" s="34" t="str">
        <f aca="false">IF($B2238="","",COUNTIF($F2238:$AJ2238,"WO"))</f>
        <v/>
      </c>
      <c r="AV2238" s="34" t="str">
        <f aca="false">IF($B2238="","",COUNTIF($F2238:$AJ2238,"PH"))</f>
        <v/>
      </c>
      <c r="AW2238" s="34" t="str">
        <f aca="false">IF($B2238="","",COUNTIF($F2238:$AJ2238,"TR"))</f>
        <v/>
      </c>
      <c r="AX2238" s="35" t="str">
        <f aca="false">IF($B2238="","",AO2238+AS2238/2)</f>
        <v/>
      </c>
      <c r="AY2238" s="35" t="str">
        <f aca="false">IF($B2238="","",AQ2238)</f>
        <v/>
      </c>
      <c r="AZ2238" s="35" t="str">
        <f aca="false">IF($B2238="","",AP2238+AT2238/2)</f>
        <v/>
      </c>
      <c r="BA2238" s="35" t="str">
        <f aca="false">IF($B2238="","",AK2238+AN2238+AM2238/2+AO2238+AP2238+AQ2238+AR2238+AS2238+AT2238+AU2238+AV2238+AW2238)</f>
        <v/>
      </c>
      <c r="BB2238" s="35" t="str">
        <f aca="false">IF($B2238="","",MAX(0,AN2238-Settings!$C$16)*Settings!$C$17)</f>
        <v/>
      </c>
      <c r="BC2238" s="35" t="str">
        <f aca="false">IF($B2238="","",BA2238-BB2238)</f>
        <v/>
      </c>
      <c r="BD2238" s="35" t="str">
        <f aca="false">IF(OR($B2238="",$A2238=""),"",DAY(EOMONTH($A2238,0))-COUNTA($F2238:$AJ2238))</f>
        <v/>
      </c>
    </row>
    <row r="2239" customFormat="false" ht="15" hidden="false" customHeight="false" outlineLevel="0" collapsed="false">
      <c r="A2239" s="32"/>
      <c r="B2239" s="29"/>
      <c r="C2239" s="10" t="str">
        <f aca="false">IF($B2239="","",IFERROR(INDEX(M_name,MATCH($B2239,M_emp,0)),"Code not found"))</f>
        <v/>
      </c>
      <c r="D2239" s="10" t="str">
        <f aca="false">IF($B2239="","",IFERROR(INDEX(M_dept,MATCH($B2239,M_emp,0)),""))</f>
        <v/>
      </c>
      <c r="E2239" s="10" t="str">
        <f aca="false">IF($B2239="","",IFERROR(INDEX(M_loc,MATCH($B2239,M_emp,0)),""))</f>
        <v/>
      </c>
      <c r="F2239" s="33"/>
      <c r="G2239" s="33"/>
      <c r="H2239" s="33"/>
      <c r="I2239" s="33"/>
      <c r="J2239" s="33"/>
      <c r="K2239" s="33"/>
      <c r="L2239" s="33"/>
      <c r="M2239" s="33"/>
      <c r="N2239" s="33"/>
      <c r="O2239" s="33"/>
      <c r="P2239" s="33"/>
      <c r="Q2239" s="33"/>
      <c r="R2239" s="33"/>
      <c r="S2239" s="33"/>
      <c r="T2239" s="33"/>
      <c r="U2239" s="33"/>
      <c r="V2239" s="33"/>
      <c r="W2239" s="33"/>
      <c r="X2239" s="33"/>
      <c r="Y2239" s="33"/>
      <c r="Z2239" s="33"/>
      <c r="AA2239" s="33"/>
      <c r="AB2239" s="33"/>
      <c r="AC2239" s="33"/>
      <c r="AD2239" s="33"/>
      <c r="AE2239" s="33"/>
      <c r="AF2239" s="33"/>
      <c r="AG2239" s="33"/>
      <c r="AH2239" s="33"/>
      <c r="AI2239" s="33"/>
      <c r="AJ2239" s="33"/>
      <c r="AK2239" s="34" t="str">
        <f aca="false">IF($B2239="","",COUNTIF($F2239:$AJ2239,"P"))</f>
        <v/>
      </c>
      <c r="AL2239" s="34" t="str">
        <f aca="false">IF($B2239="","",COUNTIF($F2239:$AJ2239,"A"))</f>
        <v/>
      </c>
      <c r="AM2239" s="34" t="str">
        <f aca="false">IF($B2239="","",COUNTIF($F2239:$AJ2239,"HA"))</f>
        <v/>
      </c>
      <c r="AN2239" s="34" t="str">
        <f aca="false">IF($B2239="","",COUNTIF($F2239:$AJ2239,"L"))</f>
        <v/>
      </c>
      <c r="AO2239" s="34" t="str">
        <f aca="false">IF($B2239="","",COUNTIF($F2239:$AJ2239,"PL"))</f>
        <v/>
      </c>
      <c r="AP2239" s="34" t="str">
        <f aca="false">IF($B2239="","",COUNTIF($F2239:$AJ2239,"CL"))</f>
        <v/>
      </c>
      <c r="AQ2239" s="34" t="str">
        <f aca="false">IF($B2239="","",COUNTIF($F2239:$AJ2239,"SL"))</f>
        <v/>
      </c>
      <c r="AR2239" s="34" t="str">
        <f aca="false">IF($B2239="","",COUNTIF($F2239:$AJ2239,"CO"))</f>
        <v/>
      </c>
      <c r="AS2239" s="34" t="str">
        <f aca="false">IF($B2239="","",COUNTIF($F2239:$AJ2239,"HPL"))</f>
        <v/>
      </c>
      <c r="AT2239" s="34" t="str">
        <f aca="false">IF($B2239="","",COUNTIF($F2239:$AJ2239,"HCL"))</f>
        <v/>
      </c>
      <c r="AU2239" s="34" t="str">
        <f aca="false">IF($B2239="","",COUNTIF($F2239:$AJ2239,"WO"))</f>
        <v/>
      </c>
      <c r="AV2239" s="34" t="str">
        <f aca="false">IF($B2239="","",COUNTIF($F2239:$AJ2239,"PH"))</f>
        <v/>
      </c>
      <c r="AW2239" s="34" t="str">
        <f aca="false">IF($B2239="","",COUNTIF($F2239:$AJ2239,"TR"))</f>
        <v/>
      </c>
      <c r="AX2239" s="35" t="str">
        <f aca="false">IF($B2239="","",AO2239+AS2239/2)</f>
        <v/>
      </c>
      <c r="AY2239" s="35" t="str">
        <f aca="false">IF($B2239="","",AQ2239)</f>
        <v/>
      </c>
      <c r="AZ2239" s="35" t="str">
        <f aca="false">IF($B2239="","",AP2239+AT2239/2)</f>
        <v/>
      </c>
      <c r="BA2239" s="35" t="str">
        <f aca="false">IF($B2239="","",AK2239+AN2239+AM2239/2+AO2239+AP2239+AQ2239+AR2239+AS2239+AT2239+AU2239+AV2239+AW2239)</f>
        <v/>
      </c>
      <c r="BB2239" s="35" t="str">
        <f aca="false">IF($B2239="","",MAX(0,AN2239-Settings!$C$16)*Settings!$C$17)</f>
        <v/>
      </c>
      <c r="BC2239" s="35" t="str">
        <f aca="false">IF($B2239="","",BA2239-BB2239)</f>
        <v/>
      </c>
      <c r="BD2239" s="35" t="str">
        <f aca="false">IF(OR($B2239="",$A2239=""),"",DAY(EOMONTH($A2239,0))-COUNTA($F2239:$AJ2239))</f>
        <v/>
      </c>
    </row>
    <row r="2240" customFormat="false" ht="15" hidden="false" customHeight="false" outlineLevel="0" collapsed="false">
      <c r="A2240" s="32"/>
      <c r="B2240" s="29"/>
      <c r="C2240" s="10" t="str">
        <f aca="false">IF($B2240="","",IFERROR(INDEX(M_name,MATCH($B2240,M_emp,0)),"Code not found"))</f>
        <v/>
      </c>
      <c r="D2240" s="10" t="str">
        <f aca="false">IF($B2240="","",IFERROR(INDEX(M_dept,MATCH($B2240,M_emp,0)),""))</f>
        <v/>
      </c>
      <c r="E2240" s="10" t="str">
        <f aca="false">IF($B2240="","",IFERROR(INDEX(M_loc,MATCH($B2240,M_emp,0)),""))</f>
        <v/>
      </c>
      <c r="F2240" s="33"/>
      <c r="G2240" s="33"/>
      <c r="H2240" s="33"/>
      <c r="I2240" s="33"/>
      <c r="J2240" s="33"/>
      <c r="K2240" s="33"/>
      <c r="L2240" s="33"/>
      <c r="M2240" s="33"/>
      <c r="N2240" s="33"/>
      <c r="O2240" s="33"/>
      <c r="P2240" s="33"/>
      <c r="Q2240" s="33"/>
      <c r="R2240" s="33"/>
      <c r="S2240" s="33"/>
      <c r="T2240" s="33"/>
      <c r="U2240" s="33"/>
      <c r="V2240" s="33"/>
      <c r="W2240" s="33"/>
      <c r="X2240" s="33"/>
      <c r="Y2240" s="33"/>
      <c r="Z2240" s="33"/>
      <c r="AA2240" s="33"/>
      <c r="AB2240" s="33"/>
      <c r="AC2240" s="33"/>
      <c r="AD2240" s="33"/>
      <c r="AE2240" s="33"/>
      <c r="AF2240" s="33"/>
      <c r="AG2240" s="33"/>
      <c r="AH2240" s="33"/>
      <c r="AI2240" s="33"/>
      <c r="AJ2240" s="33"/>
      <c r="AK2240" s="34" t="str">
        <f aca="false">IF($B2240="","",COUNTIF($F2240:$AJ2240,"P"))</f>
        <v/>
      </c>
      <c r="AL2240" s="34" t="str">
        <f aca="false">IF($B2240="","",COUNTIF($F2240:$AJ2240,"A"))</f>
        <v/>
      </c>
      <c r="AM2240" s="34" t="str">
        <f aca="false">IF($B2240="","",COUNTIF($F2240:$AJ2240,"HA"))</f>
        <v/>
      </c>
      <c r="AN2240" s="34" t="str">
        <f aca="false">IF($B2240="","",COUNTIF($F2240:$AJ2240,"L"))</f>
        <v/>
      </c>
      <c r="AO2240" s="34" t="str">
        <f aca="false">IF($B2240="","",COUNTIF($F2240:$AJ2240,"PL"))</f>
        <v/>
      </c>
      <c r="AP2240" s="34" t="str">
        <f aca="false">IF($B2240="","",COUNTIF($F2240:$AJ2240,"CL"))</f>
        <v/>
      </c>
      <c r="AQ2240" s="34" t="str">
        <f aca="false">IF($B2240="","",COUNTIF($F2240:$AJ2240,"SL"))</f>
        <v/>
      </c>
      <c r="AR2240" s="34" t="str">
        <f aca="false">IF($B2240="","",COUNTIF($F2240:$AJ2240,"CO"))</f>
        <v/>
      </c>
      <c r="AS2240" s="34" t="str">
        <f aca="false">IF($B2240="","",COUNTIF($F2240:$AJ2240,"HPL"))</f>
        <v/>
      </c>
      <c r="AT2240" s="34" t="str">
        <f aca="false">IF($B2240="","",COUNTIF($F2240:$AJ2240,"HCL"))</f>
        <v/>
      </c>
      <c r="AU2240" s="34" t="str">
        <f aca="false">IF($B2240="","",COUNTIF($F2240:$AJ2240,"WO"))</f>
        <v/>
      </c>
      <c r="AV2240" s="34" t="str">
        <f aca="false">IF($B2240="","",COUNTIF($F2240:$AJ2240,"PH"))</f>
        <v/>
      </c>
      <c r="AW2240" s="34" t="str">
        <f aca="false">IF($B2240="","",COUNTIF($F2240:$AJ2240,"TR"))</f>
        <v/>
      </c>
      <c r="AX2240" s="35" t="str">
        <f aca="false">IF($B2240="","",AO2240+AS2240/2)</f>
        <v/>
      </c>
      <c r="AY2240" s="35" t="str">
        <f aca="false">IF($B2240="","",AQ2240)</f>
        <v/>
      </c>
      <c r="AZ2240" s="35" t="str">
        <f aca="false">IF($B2240="","",AP2240+AT2240/2)</f>
        <v/>
      </c>
      <c r="BA2240" s="35" t="str">
        <f aca="false">IF($B2240="","",AK2240+AN2240+AM2240/2+AO2240+AP2240+AQ2240+AR2240+AS2240+AT2240+AU2240+AV2240+AW2240)</f>
        <v/>
      </c>
      <c r="BB2240" s="35" t="str">
        <f aca="false">IF($B2240="","",MAX(0,AN2240-Settings!$C$16)*Settings!$C$17)</f>
        <v/>
      </c>
      <c r="BC2240" s="35" t="str">
        <f aca="false">IF($B2240="","",BA2240-BB2240)</f>
        <v/>
      </c>
      <c r="BD2240" s="35" t="str">
        <f aca="false">IF(OR($B2240="",$A2240=""),"",DAY(EOMONTH($A2240,0))-COUNTA($F2240:$AJ2240))</f>
        <v/>
      </c>
    </row>
    <row r="2241" customFormat="false" ht="15" hidden="false" customHeight="false" outlineLevel="0" collapsed="false">
      <c r="A2241" s="32"/>
      <c r="B2241" s="29"/>
      <c r="C2241" s="10" t="str">
        <f aca="false">IF($B2241="","",IFERROR(INDEX(M_name,MATCH($B2241,M_emp,0)),"Code not found"))</f>
        <v/>
      </c>
      <c r="D2241" s="10" t="str">
        <f aca="false">IF($B2241="","",IFERROR(INDEX(M_dept,MATCH($B2241,M_emp,0)),""))</f>
        <v/>
      </c>
      <c r="E2241" s="10" t="str">
        <f aca="false">IF($B2241="","",IFERROR(INDEX(M_loc,MATCH($B2241,M_emp,0)),""))</f>
        <v/>
      </c>
      <c r="F2241" s="33"/>
      <c r="G2241" s="33"/>
      <c r="H2241" s="33"/>
      <c r="I2241" s="33"/>
      <c r="J2241" s="33"/>
      <c r="K2241" s="33"/>
      <c r="L2241" s="33"/>
      <c r="M2241" s="33"/>
      <c r="N2241" s="33"/>
      <c r="O2241" s="33"/>
      <c r="P2241" s="33"/>
      <c r="Q2241" s="33"/>
      <c r="R2241" s="33"/>
      <c r="S2241" s="33"/>
      <c r="T2241" s="33"/>
      <c r="U2241" s="33"/>
      <c r="V2241" s="33"/>
      <c r="W2241" s="33"/>
      <c r="X2241" s="33"/>
      <c r="Y2241" s="33"/>
      <c r="Z2241" s="33"/>
      <c r="AA2241" s="33"/>
      <c r="AB2241" s="33"/>
      <c r="AC2241" s="33"/>
      <c r="AD2241" s="33"/>
      <c r="AE2241" s="33"/>
      <c r="AF2241" s="33"/>
      <c r="AG2241" s="33"/>
      <c r="AH2241" s="33"/>
      <c r="AI2241" s="33"/>
      <c r="AJ2241" s="33"/>
      <c r="AK2241" s="34" t="str">
        <f aca="false">IF($B2241="","",COUNTIF($F2241:$AJ2241,"P"))</f>
        <v/>
      </c>
      <c r="AL2241" s="34" t="str">
        <f aca="false">IF($B2241="","",COUNTIF($F2241:$AJ2241,"A"))</f>
        <v/>
      </c>
      <c r="AM2241" s="34" t="str">
        <f aca="false">IF($B2241="","",COUNTIF($F2241:$AJ2241,"HA"))</f>
        <v/>
      </c>
      <c r="AN2241" s="34" t="str">
        <f aca="false">IF($B2241="","",COUNTIF($F2241:$AJ2241,"L"))</f>
        <v/>
      </c>
      <c r="AO2241" s="34" t="str">
        <f aca="false">IF($B2241="","",COUNTIF($F2241:$AJ2241,"PL"))</f>
        <v/>
      </c>
      <c r="AP2241" s="34" t="str">
        <f aca="false">IF($B2241="","",COUNTIF($F2241:$AJ2241,"CL"))</f>
        <v/>
      </c>
      <c r="AQ2241" s="34" t="str">
        <f aca="false">IF($B2241="","",COUNTIF($F2241:$AJ2241,"SL"))</f>
        <v/>
      </c>
      <c r="AR2241" s="34" t="str">
        <f aca="false">IF($B2241="","",COUNTIF($F2241:$AJ2241,"CO"))</f>
        <v/>
      </c>
      <c r="AS2241" s="34" t="str">
        <f aca="false">IF($B2241="","",COUNTIF($F2241:$AJ2241,"HPL"))</f>
        <v/>
      </c>
      <c r="AT2241" s="34" t="str">
        <f aca="false">IF($B2241="","",COUNTIF($F2241:$AJ2241,"HCL"))</f>
        <v/>
      </c>
      <c r="AU2241" s="34" t="str">
        <f aca="false">IF($B2241="","",COUNTIF($F2241:$AJ2241,"WO"))</f>
        <v/>
      </c>
      <c r="AV2241" s="34" t="str">
        <f aca="false">IF($B2241="","",COUNTIF($F2241:$AJ2241,"PH"))</f>
        <v/>
      </c>
      <c r="AW2241" s="34" t="str">
        <f aca="false">IF($B2241="","",COUNTIF($F2241:$AJ2241,"TR"))</f>
        <v/>
      </c>
      <c r="AX2241" s="35" t="str">
        <f aca="false">IF($B2241="","",AO2241+AS2241/2)</f>
        <v/>
      </c>
      <c r="AY2241" s="35" t="str">
        <f aca="false">IF($B2241="","",AQ2241)</f>
        <v/>
      </c>
      <c r="AZ2241" s="35" t="str">
        <f aca="false">IF($B2241="","",AP2241+AT2241/2)</f>
        <v/>
      </c>
      <c r="BA2241" s="35" t="str">
        <f aca="false">IF($B2241="","",AK2241+AN2241+AM2241/2+AO2241+AP2241+AQ2241+AR2241+AS2241+AT2241+AU2241+AV2241+AW2241)</f>
        <v/>
      </c>
      <c r="BB2241" s="35" t="str">
        <f aca="false">IF($B2241="","",MAX(0,AN2241-Settings!$C$16)*Settings!$C$17)</f>
        <v/>
      </c>
      <c r="BC2241" s="35" t="str">
        <f aca="false">IF($B2241="","",BA2241-BB2241)</f>
        <v/>
      </c>
      <c r="BD2241" s="35" t="str">
        <f aca="false">IF(OR($B2241="",$A2241=""),"",DAY(EOMONTH($A2241,0))-COUNTA($F2241:$AJ2241))</f>
        <v/>
      </c>
    </row>
    <row r="2242" customFormat="false" ht="15" hidden="false" customHeight="false" outlineLevel="0" collapsed="false">
      <c r="A2242" s="32"/>
      <c r="B2242" s="29"/>
      <c r="C2242" s="10" t="str">
        <f aca="false">IF($B2242="","",IFERROR(INDEX(M_name,MATCH($B2242,M_emp,0)),"Code not found"))</f>
        <v/>
      </c>
      <c r="D2242" s="10" t="str">
        <f aca="false">IF($B2242="","",IFERROR(INDEX(M_dept,MATCH($B2242,M_emp,0)),""))</f>
        <v/>
      </c>
      <c r="E2242" s="10" t="str">
        <f aca="false">IF($B2242="","",IFERROR(INDEX(M_loc,MATCH($B2242,M_emp,0)),""))</f>
        <v/>
      </c>
      <c r="F2242" s="33"/>
      <c r="G2242" s="33"/>
      <c r="H2242" s="33"/>
      <c r="I2242" s="33"/>
      <c r="J2242" s="33"/>
      <c r="K2242" s="33"/>
      <c r="L2242" s="33"/>
      <c r="M2242" s="33"/>
      <c r="N2242" s="33"/>
      <c r="O2242" s="33"/>
      <c r="P2242" s="33"/>
      <c r="Q2242" s="33"/>
      <c r="R2242" s="33"/>
      <c r="S2242" s="33"/>
      <c r="T2242" s="33"/>
      <c r="U2242" s="33"/>
      <c r="V2242" s="33"/>
      <c r="W2242" s="33"/>
      <c r="X2242" s="33"/>
      <c r="Y2242" s="33"/>
      <c r="Z2242" s="33"/>
      <c r="AA2242" s="33"/>
      <c r="AB2242" s="33"/>
      <c r="AC2242" s="33"/>
      <c r="AD2242" s="33"/>
      <c r="AE2242" s="33"/>
      <c r="AF2242" s="33"/>
      <c r="AG2242" s="33"/>
      <c r="AH2242" s="33"/>
      <c r="AI2242" s="33"/>
      <c r="AJ2242" s="33"/>
      <c r="AK2242" s="34" t="str">
        <f aca="false">IF($B2242="","",COUNTIF($F2242:$AJ2242,"P"))</f>
        <v/>
      </c>
      <c r="AL2242" s="34" t="str">
        <f aca="false">IF($B2242="","",COUNTIF($F2242:$AJ2242,"A"))</f>
        <v/>
      </c>
      <c r="AM2242" s="34" t="str">
        <f aca="false">IF($B2242="","",COUNTIF($F2242:$AJ2242,"HA"))</f>
        <v/>
      </c>
      <c r="AN2242" s="34" t="str">
        <f aca="false">IF($B2242="","",COUNTIF($F2242:$AJ2242,"L"))</f>
        <v/>
      </c>
      <c r="AO2242" s="34" t="str">
        <f aca="false">IF($B2242="","",COUNTIF($F2242:$AJ2242,"PL"))</f>
        <v/>
      </c>
      <c r="AP2242" s="34" t="str">
        <f aca="false">IF($B2242="","",COUNTIF($F2242:$AJ2242,"CL"))</f>
        <v/>
      </c>
      <c r="AQ2242" s="34" t="str">
        <f aca="false">IF($B2242="","",COUNTIF($F2242:$AJ2242,"SL"))</f>
        <v/>
      </c>
      <c r="AR2242" s="34" t="str">
        <f aca="false">IF($B2242="","",COUNTIF($F2242:$AJ2242,"CO"))</f>
        <v/>
      </c>
      <c r="AS2242" s="34" t="str">
        <f aca="false">IF($B2242="","",COUNTIF($F2242:$AJ2242,"HPL"))</f>
        <v/>
      </c>
      <c r="AT2242" s="34" t="str">
        <f aca="false">IF($B2242="","",COUNTIF($F2242:$AJ2242,"HCL"))</f>
        <v/>
      </c>
      <c r="AU2242" s="34" t="str">
        <f aca="false">IF($B2242="","",COUNTIF($F2242:$AJ2242,"WO"))</f>
        <v/>
      </c>
      <c r="AV2242" s="34" t="str">
        <f aca="false">IF($B2242="","",COUNTIF($F2242:$AJ2242,"PH"))</f>
        <v/>
      </c>
      <c r="AW2242" s="34" t="str">
        <f aca="false">IF($B2242="","",COUNTIF($F2242:$AJ2242,"TR"))</f>
        <v/>
      </c>
      <c r="AX2242" s="35" t="str">
        <f aca="false">IF($B2242="","",AO2242+AS2242/2)</f>
        <v/>
      </c>
      <c r="AY2242" s="35" t="str">
        <f aca="false">IF($B2242="","",AQ2242)</f>
        <v/>
      </c>
      <c r="AZ2242" s="35" t="str">
        <f aca="false">IF($B2242="","",AP2242+AT2242/2)</f>
        <v/>
      </c>
      <c r="BA2242" s="35" t="str">
        <f aca="false">IF($B2242="","",AK2242+AN2242+AM2242/2+AO2242+AP2242+AQ2242+AR2242+AS2242+AT2242+AU2242+AV2242+AW2242)</f>
        <v/>
      </c>
      <c r="BB2242" s="35" t="str">
        <f aca="false">IF($B2242="","",MAX(0,AN2242-Settings!$C$16)*Settings!$C$17)</f>
        <v/>
      </c>
      <c r="BC2242" s="35" t="str">
        <f aca="false">IF($B2242="","",BA2242-BB2242)</f>
        <v/>
      </c>
      <c r="BD2242" s="35" t="str">
        <f aca="false">IF(OR($B2242="",$A2242=""),"",DAY(EOMONTH($A2242,0))-COUNTA($F2242:$AJ2242))</f>
        <v/>
      </c>
    </row>
    <row r="2243" customFormat="false" ht="15" hidden="false" customHeight="false" outlineLevel="0" collapsed="false">
      <c r="A2243" s="32"/>
      <c r="B2243" s="29"/>
      <c r="C2243" s="10" t="str">
        <f aca="false">IF($B2243="","",IFERROR(INDEX(M_name,MATCH($B2243,M_emp,0)),"Code not found"))</f>
        <v/>
      </c>
      <c r="D2243" s="10" t="str">
        <f aca="false">IF($B2243="","",IFERROR(INDEX(M_dept,MATCH($B2243,M_emp,0)),""))</f>
        <v/>
      </c>
      <c r="E2243" s="10" t="str">
        <f aca="false">IF($B2243="","",IFERROR(INDEX(M_loc,MATCH($B2243,M_emp,0)),""))</f>
        <v/>
      </c>
      <c r="F2243" s="33"/>
      <c r="G2243" s="33"/>
      <c r="H2243" s="33"/>
      <c r="I2243" s="33"/>
      <c r="J2243" s="33"/>
      <c r="K2243" s="33"/>
      <c r="L2243" s="33"/>
      <c r="M2243" s="33"/>
      <c r="N2243" s="33"/>
      <c r="O2243" s="33"/>
      <c r="P2243" s="33"/>
      <c r="Q2243" s="33"/>
      <c r="R2243" s="33"/>
      <c r="S2243" s="33"/>
      <c r="T2243" s="33"/>
      <c r="U2243" s="33"/>
      <c r="V2243" s="33"/>
      <c r="W2243" s="33"/>
      <c r="X2243" s="33"/>
      <c r="Y2243" s="33"/>
      <c r="Z2243" s="33"/>
      <c r="AA2243" s="33"/>
      <c r="AB2243" s="33"/>
      <c r="AC2243" s="33"/>
      <c r="AD2243" s="33"/>
      <c r="AE2243" s="33"/>
      <c r="AF2243" s="33"/>
      <c r="AG2243" s="33"/>
      <c r="AH2243" s="33"/>
      <c r="AI2243" s="33"/>
      <c r="AJ2243" s="33"/>
      <c r="AK2243" s="34" t="str">
        <f aca="false">IF($B2243="","",COUNTIF($F2243:$AJ2243,"P"))</f>
        <v/>
      </c>
      <c r="AL2243" s="34" t="str">
        <f aca="false">IF($B2243="","",COUNTIF($F2243:$AJ2243,"A"))</f>
        <v/>
      </c>
      <c r="AM2243" s="34" t="str">
        <f aca="false">IF($B2243="","",COUNTIF($F2243:$AJ2243,"HA"))</f>
        <v/>
      </c>
      <c r="AN2243" s="34" t="str">
        <f aca="false">IF($B2243="","",COUNTIF($F2243:$AJ2243,"L"))</f>
        <v/>
      </c>
      <c r="AO2243" s="34" t="str">
        <f aca="false">IF($B2243="","",COUNTIF($F2243:$AJ2243,"PL"))</f>
        <v/>
      </c>
      <c r="AP2243" s="34" t="str">
        <f aca="false">IF($B2243="","",COUNTIF($F2243:$AJ2243,"CL"))</f>
        <v/>
      </c>
      <c r="AQ2243" s="34" t="str">
        <f aca="false">IF($B2243="","",COUNTIF($F2243:$AJ2243,"SL"))</f>
        <v/>
      </c>
      <c r="AR2243" s="34" t="str">
        <f aca="false">IF($B2243="","",COUNTIF($F2243:$AJ2243,"CO"))</f>
        <v/>
      </c>
      <c r="AS2243" s="34" t="str">
        <f aca="false">IF($B2243="","",COUNTIF($F2243:$AJ2243,"HPL"))</f>
        <v/>
      </c>
      <c r="AT2243" s="34" t="str">
        <f aca="false">IF($B2243="","",COUNTIF($F2243:$AJ2243,"HCL"))</f>
        <v/>
      </c>
      <c r="AU2243" s="34" t="str">
        <f aca="false">IF($B2243="","",COUNTIF($F2243:$AJ2243,"WO"))</f>
        <v/>
      </c>
      <c r="AV2243" s="34" t="str">
        <f aca="false">IF($B2243="","",COUNTIF($F2243:$AJ2243,"PH"))</f>
        <v/>
      </c>
      <c r="AW2243" s="34" t="str">
        <f aca="false">IF($B2243="","",COUNTIF($F2243:$AJ2243,"TR"))</f>
        <v/>
      </c>
      <c r="AX2243" s="35" t="str">
        <f aca="false">IF($B2243="","",AO2243+AS2243/2)</f>
        <v/>
      </c>
      <c r="AY2243" s="35" t="str">
        <f aca="false">IF($B2243="","",AQ2243)</f>
        <v/>
      </c>
      <c r="AZ2243" s="35" t="str">
        <f aca="false">IF($B2243="","",AP2243+AT2243/2)</f>
        <v/>
      </c>
      <c r="BA2243" s="35" t="str">
        <f aca="false">IF($B2243="","",AK2243+AN2243+AM2243/2+AO2243+AP2243+AQ2243+AR2243+AS2243+AT2243+AU2243+AV2243+AW2243)</f>
        <v/>
      </c>
      <c r="BB2243" s="35" t="str">
        <f aca="false">IF($B2243="","",MAX(0,AN2243-Settings!$C$16)*Settings!$C$17)</f>
        <v/>
      </c>
      <c r="BC2243" s="35" t="str">
        <f aca="false">IF($B2243="","",BA2243-BB2243)</f>
        <v/>
      </c>
      <c r="BD2243" s="35" t="str">
        <f aca="false">IF(OR($B2243="",$A2243=""),"",DAY(EOMONTH($A2243,0))-COUNTA($F2243:$AJ2243))</f>
        <v/>
      </c>
    </row>
    <row r="2244" customFormat="false" ht="15" hidden="false" customHeight="false" outlineLevel="0" collapsed="false">
      <c r="A2244" s="32"/>
      <c r="B2244" s="29"/>
      <c r="C2244" s="10" t="str">
        <f aca="false">IF($B2244="","",IFERROR(INDEX(M_name,MATCH($B2244,M_emp,0)),"Code not found"))</f>
        <v/>
      </c>
      <c r="D2244" s="10" t="str">
        <f aca="false">IF($B2244="","",IFERROR(INDEX(M_dept,MATCH($B2244,M_emp,0)),""))</f>
        <v/>
      </c>
      <c r="E2244" s="10" t="str">
        <f aca="false">IF($B2244="","",IFERROR(INDEX(M_loc,MATCH($B2244,M_emp,0)),""))</f>
        <v/>
      </c>
      <c r="F2244" s="33"/>
      <c r="G2244" s="33"/>
      <c r="H2244" s="33"/>
      <c r="I2244" s="33"/>
      <c r="J2244" s="33"/>
      <c r="K2244" s="33"/>
      <c r="L2244" s="33"/>
      <c r="M2244" s="33"/>
      <c r="N2244" s="33"/>
      <c r="O2244" s="33"/>
      <c r="P2244" s="33"/>
      <c r="Q2244" s="33"/>
      <c r="R2244" s="33"/>
      <c r="S2244" s="33"/>
      <c r="T2244" s="33"/>
      <c r="U2244" s="33"/>
      <c r="V2244" s="33"/>
      <c r="W2244" s="33"/>
      <c r="X2244" s="33"/>
      <c r="Y2244" s="33"/>
      <c r="Z2244" s="33"/>
      <c r="AA2244" s="33"/>
      <c r="AB2244" s="33"/>
      <c r="AC2244" s="33"/>
      <c r="AD2244" s="33"/>
      <c r="AE2244" s="33"/>
      <c r="AF2244" s="33"/>
      <c r="AG2244" s="33"/>
      <c r="AH2244" s="33"/>
      <c r="AI2244" s="33"/>
      <c r="AJ2244" s="33"/>
      <c r="AK2244" s="34" t="str">
        <f aca="false">IF($B2244="","",COUNTIF($F2244:$AJ2244,"P"))</f>
        <v/>
      </c>
      <c r="AL2244" s="34" t="str">
        <f aca="false">IF($B2244="","",COUNTIF($F2244:$AJ2244,"A"))</f>
        <v/>
      </c>
      <c r="AM2244" s="34" t="str">
        <f aca="false">IF($B2244="","",COUNTIF($F2244:$AJ2244,"HA"))</f>
        <v/>
      </c>
      <c r="AN2244" s="34" t="str">
        <f aca="false">IF($B2244="","",COUNTIF($F2244:$AJ2244,"L"))</f>
        <v/>
      </c>
      <c r="AO2244" s="34" t="str">
        <f aca="false">IF($B2244="","",COUNTIF($F2244:$AJ2244,"PL"))</f>
        <v/>
      </c>
      <c r="AP2244" s="34" t="str">
        <f aca="false">IF($B2244="","",COUNTIF($F2244:$AJ2244,"CL"))</f>
        <v/>
      </c>
      <c r="AQ2244" s="34" t="str">
        <f aca="false">IF($B2244="","",COUNTIF($F2244:$AJ2244,"SL"))</f>
        <v/>
      </c>
      <c r="AR2244" s="34" t="str">
        <f aca="false">IF($B2244="","",COUNTIF($F2244:$AJ2244,"CO"))</f>
        <v/>
      </c>
      <c r="AS2244" s="34" t="str">
        <f aca="false">IF($B2244="","",COUNTIF($F2244:$AJ2244,"HPL"))</f>
        <v/>
      </c>
      <c r="AT2244" s="34" t="str">
        <f aca="false">IF($B2244="","",COUNTIF($F2244:$AJ2244,"HCL"))</f>
        <v/>
      </c>
      <c r="AU2244" s="34" t="str">
        <f aca="false">IF($B2244="","",COUNTIF($F2244:$AJ2244,"WO"))</f>
        <v/>
      </c>
      <c r="AV2244" s="34" t="str">
        <f aca="false">IF($B2244="","",COUNTIF($F2244:$AJ2244,"PH"))</f>
        <v/>
      </c>
      <c r="AW2244" s="34" t="str">
        <f aca="false">IF($B2244="","",COUNTIF($F2244:$AJ2244,"TR"))</f>
        <v/>
      </c>
      <c r="AX2244" s="35" t="str">
        <f aca="false">IF($B2244="","",AO2244+AS2244/2)</f>
        <v/>
      </c>
      <c r="AY2244" s="35" t="str">
        <f aca="false">IF($B2244="","",AQ2244)</f>
        <v/>
      </c>
      <c r="AZ2244" s="35" t="str">
        <f aca="false">IF($B2244="","",AP2244+AT2244/2)</f>
        <v/>
      </c>
      <c r="BA2244" s="35" t="str">
        <f aca="false">IF($B2244="","",AK2244+AN2244+AM2244/2+AO2244+AP2244+AQ2244+AR2244+AS2244+AT2244+AU2244+AV2244+AW2244)</f>
        <v/>
      </c>
      <c r="BB2244" s="35" t="str">
        <f aca="false">IF($B2244="","",MAX(0,AN2244-Settings!$C$16)*Settings!$C$17)</f>
        <v/>
      </c>
      <c r="BC2244" s="35" t="str">
        <f aca="false">IF($B2244="","",BA2244-BB2244)</f>
        <v/>
      </c>
      <c r="BD2244" s="35" t="str">
        <f aca="false">IF(OR($B2244="",$A2244=""),"",DAY(EOMONTH($A2244,0))-COUNTA($F2244:$AJ2244))</f>
        <v/>
      </c>
    </row>
    <row r="2245" customFormat="false" ht="15" hidden="false" customHeight="false" outlineLevel="0" collapsed="false">
      <c r="A2245" s="32"/>
      <c r="B2245" s="29"/>
      <c r="C2245" s="10" t="str">
        <f aca="false">IF($B2245="","",IFERROR(INDEX(M_name,MATCH($B2245,M_emp,0)),"Code not found"))</f>
        <v/>
      </c>
      <c r="D2245" s="10" t="str">
        <f aca="false">IF($B2245="","",IFERROR(INDEX(M_dept,MATCH($B2245,M_emp,0)),""))</f>
        <v/>
      </c>
      <c r="E2245" s="10" t="str">
        <f aca="false">IF($B2245="","",IFERROR(INDEX(M_loc,MATCH($B2245,M_emp,0)),""))</f>
        <v/>
      </c>
      <c r="F2245" s="33"/>
      <c r="G2245" s="33"/>
      <c r="H2245" s="33"/>
      <c r="I2245" s="33"/>
      <c r="J2245" s="33"/>
      <c r="K2245" s="33"/>
      <c r="L2245" s="33"/>
      <c r="M2245" s="33"/>
      <c r="N2245" s="33"/>
      <c r="O2245" s="33"/>
      <c r="P2245" s="33"/>
      <c r="Q2245" s="33"/>
      <c r="R2245" s="33"/>
      <c r="S2245" s="33"/>
      <c r="T2245" s="33"/>
      <c r="U2245" s="33"/>
      <c r="V2245" s="33"/>
      <c r="W2245" s="33"/>
      <c r="X2245" s="33"/>
      <c r="Y2245" s="33"/>
      <c r="Z2245" s="33"/>
      <c r="AA2245" s="33"/>
      <c r="AB2245" s="33"/>
      <c r="AC2245" s="33"/>
      <c r="AD2245" s="33"/>
      <c r="AE2245" s="33"/>
      <c r="AF2245" s="33"/>
      <c r="AG2245" s="33"/>
      <c r="AH2245" s="33"/>
      <c r="AI2245" s="33"/>
      <c r="AJ2245" s="33"/>
      <c r="AK2245" s="34" t="str">
        <f aca="false">IF($B2245="","",COUNTIF($F2245:$AJ2245,"P"))</f>
        <v/>
      </c>
      <c r="AL2245" s="34" t="str">
        <f aca="false">IF($B2245="","",COUNTIF($F2245:$AJ2245,"A"))</f>
        <v/>
      </c>
      <c r="AM2245" s="34" t="str">
        <f aca="false">IF($B2245="","",COUNTIF($F2245:$AJ2245,"HA"))</f>
        <v/>
      </c>
      <c r="AN2245" s="34" t="str">
        <f aca="false">IF($B2245="","",COUNTIF($F2245:$AJ2245,"L"))</f>
        <v/>
      </c>
      <c r="AO2245" s="34" t="str">
        <f aca="false">IF($B2245="","",COUNTIF($F2245:$AJ2245,"PL"))</f>
        <v/>
      </c>
      <c r="AP2245" s="34" t="str">
        <f aca="false">IF($B2245="","",COUNTIF($F2245:$AJ2245,"CL"))</f>
        <v/>
      </c>
      <c r="AQ2245" s="34" t="str">
        <f aca="false">IF($B2245="","",COUNTIF($F2245:$AJ2245,"SL"))</f>
        <v/>
      </c>
      <c r="AR2245" s="34" t="str">
        <f aca="false">IF($B2245="","",COUNTIF($F2245:$AJ2245,"CO"))</f>
        <v/>
      </c>
      <c r="AS2245" s="34" t="str">
        <f aca="false">IF($B2245="","",COUNTIF($F2245:$AJ2245,"HPL"))</f>
        <v/>
      </c>
      <c r="AT2245" s="34" t="str">
        <f aca="false">IF($B2245="","",COUNTIF($F2245:$AJ2245,"HCL"))</f>
        <v/>
      </c>
      <c r="AU2245" s="34" t="str">
        <f aca="false">IF($B2245="","",COUNTIF($F2245:$AJ2245,"WO"))</f>
        <v/>
      </c>
      <c r="AV2245" s="34" t="str">
        <f aca="false">IF($B2245="","",COUNTIF($F2245:$AJ2245,"PH"))</f>
        <v/>
      </c>
      <c r="AW2245" s="34" t="str">
        <f aca="false">IF($B2245="","",COUNTIF($F2245:$AJ2245,"TR"))</f>
        <v/>
      </c>
      <c r="AX2245" s="35" t="str">
        <f aca="false">IF($B2245="","",AO2245+AS2245/2)</f>
        <v/>
      </c>
      <c r="AY2245" s="35" t="str">
        <f aca="false">IF($B2245="","",AQ2245)</f>
        <v/>
      </c>
      <c r="AZ2245" s="35" t="str">
        <f aca="false">IF($B2245="","",AP2245+AT2245/2)</f>
        <v/>
      </c>
      <c r="BA2245" s="35" t="str">
        <f aca="false">IF($B2245="","",AK2245+AN2245+AM2245/2+AO2245+AP2245+AQ2245+AR2245+AS2245+AT2245+AU2245+AV2245+AW2245)</f>
        <v/>
      </c>
      <c r="BB2245" s="35" t="str">
        <f aca="false">IF($B2245="","",MAX(0,AN2245-Settings!$C$16)*Settings!$C$17)</f>
        <v/>
      </c>
      <c r="BC2245" s="35" t="str">
        <f aca="false">IF($B2245="","",BA2245-BB2245)</f>
        <v/>
      </c>
      <c r="BD2245" s="35" t="str">
        <f aca="false">IF(OR($B2245="",$A2245=""),"",DAY(EOMONTH($A2245,0))-COUNTA($F2245:$AJ2245))</f>
        <v/>
      </c>
    </row>
    <row r="2246" customFormat="false" ht="15" hidden="false" customHeight="false" outlineLevel="0" collapsed="false">
      <c r="A2246" s="32"/>
      <c r="B2246" s="29"/>
      <c r="C2246" s="10" t="str">
        <f aca="false">IF($B2246="","",IFERROR(INDEX(M_name,MATCH($B2246,M_emp,0)),"Code not found"))</f>
        <v/>
      </c>
      <c r="D2246" s="10" t="str">
        <f aca="false">IF($B2246="","",IFERROR(INDEX(M_dept,MATCH($B2246,M_emp,0)),""))</f>
        <v/>
      </c>
      <c r="E2246" s="10" t="str">
        <f aca="false">IF($B2246="","",IFERROR(INDEX(M_loc,MATCH($B2246,M_emp,0)),""))</f>
        <v/>
      </c>
      <c r="F2246" s="33"/>
      <c r="G2246" s="33"/>
      <c r="H2246" s="33"/>
      <c r="I2246" s="33"/>
      <c r="J2246" s="33"/>
      <c r="K2246" s="33"/>
      <c r="L2246" s="33"/>
      <c r="M2246" s="33"/>
      <c r="N2246" s="33"/>
      <c r="O2246" s="33"/>
      <c r="P2246" s="33"/>
      <c r="Q2246" s="33"/>
      <c r="R2246" s="33"/>
      <c r="S2246" s="33"/>
      <c r="T2246" s="33"/>
      <c r="U2246" s="33"/>
      <c r="V2246" s="33"/>
      <c r="W2246" s="33"/>
      <c r="X2246" s="33"/>
      <c r="Y2246" s="33"/>
      <c r="Z2246" s="33"/>
      <c r="AA2246" s="33"/>
      <c r="AB2246" s="33"/>
      <c r="AC2246" s="33"/>
      <c r="AD2246" s="33"/>
      <c r="AE2246" s="33"/>
      <c r="AF2246" s="33"/>
      <c r="AG2246" s="33"/>
      <c r="AH2246" s="33"/>
      <c r="AI2246" s="33"/>
      <c r="AJ2246" s="33"/>
      <c r="AK2246" s="34" t="str">
        <f aca="false">IF($B2246="","",COUNTIF($F2246:$AJ2246,"P"))</f>
        <v/>
      </c>
      <c r="AL2246" s="34" t="str">
        <f aca="false">IF($B2246="","",COUNTIF($F2246:$AJ2246,"A"))</f>
        <v/>
      </c>
      <c r="AM2246" s="34" t="str">
        <f aca="false">IF($B2246="","",COUNTIF($F2246:$AJ2246,"HA"))</f>
        <v/>
      </c>
      <c r="AN2246" s="34" t="str">
        <f aca="false">IF($B2246="","",COUNTIF($F2246:$AJ2246,"L"))</f>
        <v/>
      </c>
      <c r="AO2246" s="34" t="str">
        <f aca="false">IF($B2246="","",COUNTIF($F2246:$AJ2246,"PL"))</f>
        <v/>
      </c>
      <c r="AP2246" s="34" t="str">
        <f aca="false">IF($B2246="","",COUNTIF($F2246:$AJ2246,"CL"))</f>
        <v/>
      </c>
      <c r="AQ2246" s="34" t="str">
        <f aca="false">IF($B2246="","",COUNTIF($F2246:$AJ2246,"SL"))</f>
        <v/>
      </c>
      <c r="AR2246" s="34" t="str">
        <f aca="false">IF($B2246="","",COUNTIF($F2246:$AJ2246,"CO"))</f>
        <v/>
      </c>
      <c r="AS2246" s="34" t="str">
        <f aca="false">IF($B2246="","",COUNTIF($F2246:$AJ2246,"HPL"))</f>
        <v/>
      </c>
      <c r="AT2246" s="34" t="str">
        <f aca="false">IF($B2246="","",COUNTIF($F2246:$AJ2246,"HCL"))</f>
        <v/>
      </c>
      <c r="AU2246" s="34" t="str">
        <f aca="false">IF($B2246="","",COUNTIF($F2246:$AJ2246,"WO"))</f>
        <v/>
      </c>
      <c r="AV2246" s="34" t="str">
        <f aca="false">IF($B2246="","",COUNTIF($F2246:$AJ2246,"PH"))</f>
        <v/>
      </c>
      <c r="AW2246" s="34" t="str">
        <f aca="false">IF($B2246="","",COUNTIF($F2246:$AJ2246,"TR"))</f>
        <v/>
      </c>
      <c r="AX2246" s="35" t="str">
        <f aca="false">IF($B2246="","",AO2246+AS2246/2)</f>
        <v/>
      </c>
      <c r="AY2246" s="35" t="str">
        <f aca="false">IF($B2246="","",AQ2246)</f>
        <v/>
      </c>
      <c r="AZ2246" s="35" t="str">
        <f aca="false">IF($B2246="","",AP2246+AT2246/2)</f>
        <v/>
      </c>
      <c r="BA2246" s="35" t="str">
        <f aca="false">IF($B2246="","",AK2246+AN2246+AM2246/2+AO2246+AP2246+AQ2246+AR2246+AS2246+AT2246+AU2246+AV2246+AW2246)</f>
        <v/>
      </c>
      <c r="BB2246" s="35" t="str">
        <f aca="false">IF($B2246="","",MAX(0,AN2246-Settings!$C$16)*Settings!$C$17)</f>
        <v/>
      </c>
      <c r="BC2246" s="35" t="str">
        <f aca="false">IF($B2246="","",BA2246-BB2246)</f>
        <v/>
      </c>
      <c r="BD2246" s="35" t="str">
        <f aca="false">IF(OR($B2246="",$A2246=""),"",DAY(EOMONTH($A2246,0))-COUNTA($F2246:$AJ2246))</f>
        <v/>
      </c>
    </row>
    <row r="2247" customFormat="false" ht="15" hidden="false" customHeight="false" outlineLevel="0" collapsed="false">
      <c r="A2247" s="32"/>
      <c r="B2247" s="29"/>
      <c r="C2247" s="10" t="str">
        <f aca="false">IF($B2247="","",IFERROR(INDEX(M_name,MATCH($B2247,M_emp,0)),"Code not found"))</f>
        <v/>
      </c>
      <c r="D2247" s="10" t="str">
        <f aca="false">IF($B2247="","",IFERROR(INDEX(M_dept,MATCH($B2247,M_emp,0)),""))</f>
        <v/>
      </c>
      <c r="E2247" s="10" t="str">
        <f aca="false">IF($B2247="","",IFERROR(INDEX(M_loc,MATCH($B2247,M_emp,0)),""))</f>
        <v/>
      </c>
      <c r="F2247" s="33"/>
      <c r="G2247" s="33"/>
      <c r="H2247" s="33"/>
      <c r="I2247" s="33"/>
      <c r="J2247" s="33"/>
      <c r="K2247" s="33"/>
      <c r="L2247" s="33"/>
      <c r="M2247" s="33"/>
      <c r="N2247" s="33"/>
      <c r="O2247" s="33"/>
      <c r="P2247" s="33"/>
      <c r="Q2247" s="33"/>
      <c r="R2247" s="33"/>
      <c r="S2247" s="33"/>
      <c r="T2247" s="33"/>
      <c r="U2247" s="33"/>
      <c r="V2247" s="33"/>
      <c r="W2247" s="33"/>
      <c r="X2247" s="33"/>
      <c r="Y2247" s="33"/>
      <c r="Z2247" s="33"/>
      <c r="AA2247" s="33"/>
      <c r="AB2247" s="33"/>
      <c r="AC2247" s="33"/>
      <c r="AD2247" s="33"/>
      <c r="AE2247" s="33"/>
      <c r="AF2247" s="33"/>
      <c r="AG2247" s="33"/>
      <c r="AH2247" s="33"/>
      <c r="AI2247" s="33"/>
      <c r="AJ2247" s="33"/>
      <c r="AK2247" s="34" t="str">
        <f aca="false">IF($B2247="","",COUNTIF($F2247:$AJ2247,"P"))</f>
        <v/>
      </c>
      <c r="AL2247" s="34" t="str">
        <f aca="false">IF($B2247="","",COUNTIF($F2247:$AJ2247,"A"))</f>
        <v/>
      </c>
      <c r="AM2247" s="34" t="str">
        <f aca="false">IF($B2247="","",COUNTIF($F2247:$AJ2247,"HA"))</f>
        <v/>
      </c>
      <c r="AN2247" s="34" t="str">
        <f aca="false">IF($B2247="","",COUNTIF($F2247:$AJ2247,"L"))</f>
        <v/>
      </c>
      <c r="AO2247" s="34" t="str">
        <f aca="false">IF($B2247="","",COUNTIF($F2247:$AJ2247,"PL"))</f>
        <v/>
      </c>
      <c r="AP2247" s="34" t="str">
        <f aca="false">IF($B2247="","",COUNTIF($F2247:$AJ2247,"CL"))</f>
        <v/>
      </c>
      <c r="AQ2247" s="34" t="str">
        <f aca="false">IF($B2247="","",COUNTIF($F2247:$AJ2247,"SL"))</f>
        <v/>
      </c>
      <c r="AR2247" s="34" t="str">
        <f aca="false">IF($B2247="","",COUNTIF($F2247:$AJ2247,"CO"))</f>
        <v/>
      </c>
      <c r="AS2247" s="34" t="str">
        <f aca="false">IF($B2247="","",COUNTIF($F2247:$AJ2247,"HPL"))</f>
        <v/>
      </c>
      <c r="AT2247" s="34" t="str">
        <f aca="false">IF($B2247="","",COUNTIF($F2247:$AJ2247,"HCL"))</f>
        <v/>
      </c>
      <c r="AU2247" s="34" t="str">
        <f aca="false">IF($B2247="","",COUNTIF($F2247:$AJ2247,"WO"))</f>
        <v/>
      </c>
      <c r="AV2247" s="34" t="str">
        <f aca="false">IF($B2247="","",COUNTIF($F2247:$AJ2247,"PH"))</f>
        <v/>
      </c>
      <c r="AW2247" s="34" t="str">
        <f aca="false">IF($B2247="","",COUNTIF($F2247:$AJ2247,"TR"))</f>
        <v/>
      </c>
      <c r="AX2247" s="35" t="str">
        <f aca="false">IF($B2247="","",AO2247+AS2247/2)</f>
        <v/>
      </c>
      <c r="AY2247" s="35" t="str">
        <f aca="false">IF($B2247="","",AQ2247)</f>
        <v/>
      </c>
      <c r="AZ2247" s="35" t="str">
        <f aca="false">IF($B2247="","",AP2247+AT2247/2)</f>
        <v/>
      </c>
      <c r="BA2247" s="35" t="str">
        <f aca="false">IF($B2247="","",AK2247+AN2247+AM2247/2+AO2247+AP2247+AQ2247+AR2247+AS2247+AT2247+AU2247+AV2247+AW2247)</f>
        <v/>
      </c>
      <c r="BB2247" s="35" t="str">
        <f aca="false">IF($B2247="","",MAX(0,AN2247-Settings!$C$16)*Settings!$C$17)</f>
        <v/>
      </c>
      <c r="BC2247" s="35" t="str">
        <f aca="false">IF($B2247="","",BA2247-BB2247)</f>
        <v/>
      </c>
      <c r="BD2247" s="35" t="str">
        <f aca="false">IF(OR($B2247="",$A2247=""),"",DAY(EOMONTH($A2247,0))-COUNTA($F2247:$AJ2247))</f>
        <v/>
      </c>
    </row>
    <row r="2248" customFormat="false" ht="15" hidden="false" customHeight="false" outlineLevel="0" collapsed="false">
      <c r="A2248" s="32"/>
      <c r="B2248" s="29"/>
      <c r="C2248" s="10" t="str">
        <f aca="false">IF($B2248="","",IFERROR(INDEX(M_name,MATCH($B2248,M_emp,0)),"Code not found"))</f>
        <v/>
      </c>
      <c r="D2248" s="10" t="str">
        <f aca="false">IF($B2248="","",IFERROR(INDEX(M_dept,MATCH($B2248,M_emp,0)),""))</f>
        <v/>
      </c>
      <c r="E2248" s="10" t="str">
        <f aca="false">IF($B2248="","",IFERROR(INDEX(M_loc,MATCH($B2248,M_emp,0)),""))</f>
        <v/>
      </c>
      <c r="F2248" s="33"/>
      <c r="G2248" s="33"/>
      <c r="H2248" s="33"/>
      <c r="I2248" s="33"/>
      <c r="J2248" s="33"/>
      <c r="K2248" s="33"/>
      <c r="L2248" s="33"/>
      <c r="M2248" s="33"/>
      <c r="N2248" s="33"/>
      <c r="O2248" s="33"/>
      <c r="P2248" s="33"/>
      <c r="Q2248" s="33"/>
      <c r="R2248" s="33"/>
      <c r="S2248" s="33"/>
      <c r="T2248" s="33"/>
      <c r="U2248" s="33"/>
      <c r="V2248" s="33"/>
      <c r="W2248" s="33"/>
      <c r="X2248" s="33"/>
      <c r="Y2248" s="33"/>
      <c r="Z2248" s="33"/>
      <c r="AA2248" s="33"/>
      <c r="AB2248" s="33"/>
      <c r="AC2248" s="33"/>
      <c r="AD2248" s="33"/>
      <c r="AE2248" s="33"/>
      <c r="AF2248" s="33"/>
      <c r="AG2248" s="33"/>
      <c r="AH2248" s="33"/>
      <c r="AI2248" s="33"/>
      <c r="AJ2248" s="33"/>
      <c r="AK2248" s="34" t="str">
        <f aca="false">IF($B2248="","",COUNTIF($F2248:$AJ2248,"P"))</f>
        <v/>
      </c>
      <c r="AL2248" s="34" t="str">
        <f aca="false">IF($B2248="","",COUNTIF($F2248:$AJ2248,"A"))</f>
        <v/>
      </c>
      <c r="AM2248" s="34" t="str">
        <f aca="false">IF($B2248="","",COUNTIF($F2248:$AJ2248,"HA"))</f>
        <v/>
      </c>
      <c r="AN2248" s="34" t="str">
        <f aca="false">IF($B2248="","",COUNTIF($F2248:$AJ2248,"L"))</f>
        <v/>
      </c>
      <c r="AO2248" s="34" t="str">
        <f aca="false">IF($B2248="","",COUNTIF($F2248:$AJ2248,"PL"))</f>
        <v/>
      </c>
      <c r="AP2248" s="34" t="str">
        <f aca="false">IF($B2248="","",COUNTIF($F2248:$AJ2248,"CL"))</f>
        <v/>
      </c>
      <c r="AQ2248" s="34" t="str">
        <f aca="false">IF($B2248="","",COUNTIF($F2248:$AJ2248,"SL"))</f>
        <v/>
      </c>
      <c r="AR2248" s="34" t="str">
        <f aca="false">IF($B2248="","",COUNTIF($F2248:$AJ2248,"CO"))</f>
        <v/>
      </c>
      <c r="AS2248" s="34" t="str">
        <f aca="false">IF($B2248="","",COUNTIF($F2248:$AJ2248,"HPL"))</f>
        <v/>
      </c>
      <c r="AT2248" s="34" t="str">
        <f aca="false">IF($B2248="","",COUNTIF($F2248:$AJ2248,"HCL"))</f>
        <v/>
      </c>
      <c r="AU2248" s="34" t="str">
        <f aca="false">IF($B2248="","",COUNTIF($F2248:$AJ2248,"WO"))</f>
        <v/>
      </c>
      <c r="AV2248" s="34" t="str">
        <f aca="false">IF($B2248="","",COUNTIF($F2248:$AJ2248,"PH"))</f>
        <v/>
      </c>
      <c r="AW2248" s="34" t="str">
        <f aca="false">IF($B2248="","",COUNTIF($F2248:$AJ2248,"TR"))</f>
        <v/>
      </c>
      <c r="AX2248" s="35" t="str">
        <f aca="false">IF($B2248="","",AO2248+AS2248/2)</f>
        <v/>
      </c>
      <c r="AY2248" s="35" t="str">
        <f aca="false">IF($B2248="","",AQ2248)</f>
        <v/>
      </c>
      <c r="AZ2248" s="35" t="str">
        <f aca="false">IF($B2248="","",AP2248+AT2248/2)</f>
        <v/>
      </c>
      <c r="BA2248" s="35" t="str">
        <f aca="false">IF($B2248="","",AK2248+AN2248+AM2248/2+AO2248+AP2248+AQ2248+AR2248+AS2248+AT2248+AU2248+AV2248+AW2248)</f>
        <v/>
      </c>
      <c r="BB2248" s="35" t="str">
        <f aca="false">IF($B2248="","",MAX(0,AN2248-Settings!$C$16)*Settings!$C$17)</f>
        <v/>
      </c>
      <c r="BC2248" s="35" t="str">
        <f aca="false">IF($B2248="","",BA2248-BB2248)</f>
        <v/>
      </c>
      <c r="BD2248" s="35" t="str">
        <f aca="false">IF(OR($B2248="",$A2248=""),"",DAY(EOMONTH($A2248,0))-COUNTA($F2248:$AJ2248))</f>
        <v/>
      </c>
    </row>
    <row r="2249" customFormat="false" ht="15" hidden="false" customHeight="false" outlineLevel="0" collapsed="false">
      <c r="A2249" s="32"/>
      <c r="B2249" s="29"/>
      <c r="C2249" s="10" t="str">
        <f aca="false">IF($B2249="","",IFERROR(INDEX(M_name,MATCH($B2249,M_emp,0)),"Code not found"))</f>
        <v/>
      </c>
      <c r="D2249" s="10" t="str">
        <f aca="false">IF($B2249="","",IFERROR(INDEX(M_dept,MATCH($B2249,M_emp,0)),""))</f>
        <v/>
      </c>
      <c r="E2249" s="10" t="str">
        <f aca="false">IF($B2249="","",IFERROR(INDEX(M_loc,MATCH($B2249,M_emp,0)),""))</f>
        <v/>
      </c>
      <c r="F2249" s="33"/>
      <c r="G2249" s="33"/>
      <c r="H2249" s="33"/>
      <c r="I2249" s="33"/>
      <c r="J2249" s="33"/>
      <c r="K2249" s="33"/>
      <c r="L2249" s="33"/>
      <c r="M2249" s="33"/>
      <c r="N2249" s="33"/>
      <c r="O2249" s="33"/>
      <c r="P2249" s="33"/>
      <c r="Q2249" s="33"/>
      <c r="R2249" s="33"/>
      <c r="S2249" s="33"/>
      <c r="T2249" s="33"/>
      <c r="U2249" s="33"/>
      <c r="V2249" s="33"/>
      <c r="W2249" s="33"/>
      <c r="X2249" s="33"/>
      <c r="Y2249" s="33"/>
      <c r="Z2249" s="33"/>
      <c r="AA2249" s="33"/>
      <c r="AB2249" s="33"/>
      <c r="AC2249" s="33"/>
      <c r="AD2249" s="33"/>
      <c r="AE2249" s="33"/>
      <c r="AF2249" s="33"/>
      <c r="AG2249" s="33"/>
      <c r="AH2249" s="33"/>
      <c r="AI2249" s="33"/>
      <c r="AJ2249" s="33"/>
      <c r="AK2249" s="34" t="str">
        <f aca="false">IF($B2249="","",COUNTIF($F2249:$AJ2249,"P"))</f>
        <v/>
      </c>
      <c r="AL2249" s="34" t="str">
        <f aca="false">IF($B2249="","",COUNTIF($F2249:$AJ2249,"A"))</f>
        <v/>
      </c>
      <c r="AM2249" s="34" t="str">
        <f aca="false">IF($B2249="","",COUNTIF($F2249:$AJ2249,"HA"))</f>
        <v/>
      </c>
      <c r="AN2249" s="34" t="str">
        <f aca="false">IF($B2249="","",COUNTIF($F2249:$AJ2249,"L"))</f>
        <v/>
      </c>
      <c r="AO2249" s="34" t="str">
        <f aca="false">IF($B2249="","",COUNTIF($F2249:$AJ2249,"PL"))</f>
        <v/>
      </c>
      <c r="AP2249" s="34" t="str">
        <f aca="false">IF($B2249="","",COUNTIF($F2249:$AJ2249,"CL"))</f>
        <v/>
      </c>
      <c r="AQ2249" s="34" t="str">
        <f aca="false">IF($B2249="","",COUNTIF($F2249:$AJ2249,"SL"))</f>
        <v/>
      </c>
      <c r="AR2249" s="34" t="str">
        <f aca="false">IF($B2249="","",COUNTIF($F2249:$AJ2249,"CO"))</f>
        <v/>
      </c>
      <c r="AS2249" s="34" t="str">
        <f aca="false">IF($B2249="","",COUNTIF($F2249:$AJ2249,"HPL"))</f>
        <v/>
      </c>
      <c r="AT2249" s="34" t="str">
        <f aca="false">IF($B2249="","",COUNTIF($F2249:$AJ2249,"HCL"))</f>
        <v/>
      </c>
      <c r="AU2249" s="34" t="str">
        <f aca="false">IF($B2249="","",COUNTIF($F2249:$AJ2249,"WO"))</f>
        <v/>
      </c>
      <c r="AV2249" s="34" t="str">
        <f aca="false">IF($B2249="","",COUNTIF($F2249:$AJ2249,"PH"))</f>
        <v/>
      </c>
      <c r="AW2249" s="34" t="str">
        <f aca="false">IF($B2249="","",COUNTIF($F2249:$AJ2249,"TR"))</f>
        <v/>
      </c>
      <c r="AX2249" s="35" t="str">
        <f aca="false">IF($B2249="","",AO2249+AS2249/2)</f>
        <v/>
      </c>
      <c r="AY2249" s="35" t="str">
        <f aca="false">IF($B2249="","",AQ2249)</f>
        <v/>
      </c>
      <c r="AZ2249" s="35" t="str">
        <f aca="false">IF($B2249="","",AP2249+AT2249/2)</f>
        <v/>
      </c>
      <c r="BA2249" s="35" t="str">
        <f aca="false">IF($B2249="","",AK2249+AN2249+AM2249/2+AO2249+AP2249+AQ2249+AR2249+AS2249+AT2249+AU2249+AV2249+AW2249)</f>
        <v/>
      </c>
      <c r="BB2249" s="35" t="str">
        <f aca="false">IF($B2249="","",MAX(0,AN2249-Settings!$C$16)*Settings!$C$17)</f>
        <v/>
      </c>
      <c r="BC2249" s="35" t="str">
        <f aca="false">IF($B2249="","",BA2249-BB2249)</f>
        <v/>
      </c>
      <c r="BD2249" s="35" t="str">
        <f aca="false">IF(OR($B2249="",$A2249=""),"",DAY(EOMONTH($A2249,0))-COUNTA($F2249:$AJ2249))</f>
        <v/>
      </c>
    </row>
    <row r="2250" customFormat="false" ht="15" hidden="false" customHeight="false" outlineLevel="0" collapsed="false">
      <c r="A2250" s="32"/>
      <c r="B2250" s="29"/>
      <c r="C2250" s="10" t="str">
        <f aca="false">IF($B2250="","",IFERROR(INDEX(M_name,MATCH($B2250,M_emp,0)),"Code not found"))</f>
        <v/>
      </c>
      <c r="D2250" s="10" t="str">
        <f aca="false">IF($B2250="","",IFERROR(INDEX(M_dept,MATCH($B2250,M_emp,0)),""))</f>
        <v/>
      </c>
      <c r="E2250" s="10" t="str">
        <f aca="false">IF($B2250="","",IFERROR(INDEX(M_loc,MATCH($B2250,M_emp,0)),""))</f>
        <v/>
      </c>
      <c r="F2250" s="33"/>
      <c r="G2250" s="33"/>
      <c r="H2250" s="33"/>
      <c r="I2250" s="33"/>
      <c r="J2250" s="33"/>
      <c r="K2250" s="33"/>
      <c r="L2250" s="33"/>
      <c r="M2250" s="33"/>
      <c r="N2250" s="33"/>
      <c r="O2250" s="33"/>
      <c r="P2250" s="33"/>
      <c r="Q2250" s="33"/>
      <c r="R2250" s="33"/>
      <c r="S2250" s="33"/>
      <c r="T2250" s="33"/>
      <c r="U2250" s="33"/>
      <c r="V2250" s="33"/>
      <c r="W2250" s="33"/>
      <c r="X2250" s="33"/>
      <c r="Y2250" s="33"/>
      <c r="Z2250" s="33"/>
      <c r="AA2250" s="33"/>
      <c r="AB2250" s="33"/>
      <c r="AC2250" s="33"/>
      <c r="AD2250" s="33"/>
      <c r="AE2250" s="33"/>
      <c r="AF2250" s="33"/>
      <c r="AG2250" s="33"/>
      <c r="AH2250" s="33"/>
      <c r="AI2250" s="33"/>
      <c r="AJ2250" s="33"/>
      <c r="AK2250" s="34" t="str">
        <f aca="false">IF($B2250="","",COUNTIF($F2250:$AJ2250,"P"))</f>
        <v/>
      </c>
      <c r="AL2250" s="34" t="str">
        <f aca="false">IF($B2250="","",COUNTIF($F2250:$AJ2250,"A"))</f>
        <v/>
      </c>
      <c r="AM2250" s="34" t="str">
        <f aca="false">IF($B2250="","",COUNTIF($F2250:$AJ2250,"HA"))</f>
        <v/>
      </c>
      <c r="AN2250" s="34" t="str">
        <f aca="false">IF($B2250="","",COUNTIF($F2250:$AJ2250,"L"))</f>
        <v/>
      </c>
      <c r="AO2250" s="34" t="str">
        <f aca="false">IF($B2250="","",COUNTIF($F2250:$AJ2250,"PL"))</f>
        <v/>
      </c>
      <c r="AP2250" s="34" t="str">
        <f aca="false">IF($B2250="","",COUNTIF($F2250:$AJ2250,"CL"))</f>
        <v/>
      </c>
      <c r="AQ2250" s="34" t="str">
        <f aca="false">IF($B2250="","",COUNTIF($F2250:$AJ2250,"SL"))</f>
        <v/>
      </c>
      <c r="AR2250" s="34" t="str">
        <f aca="false">IF($B2250="","",COUNTIF($F2250:$AJ2250,"CO"))</f>
        <v/>
      </c>
      <c r="AS2250" s="34" t="str">
        <f aca="false">IF($B2250="","",COUNTIF($F2250:$AJ2250,"HPL"))</f>
        <v/>
      </c>
      <c r="AT2250" s="34" t="str">
        <f aca="false">IF($B2250="","",COUNTIF($F2250:$AJ2250,"HCL"))</f>
        <v/>
      </c>
      <c r="AU2250" s="34" t="str">
        <f aca="false">IF($B2250="","",COUNTIF($F2250:$AJ2250,"WO"))</f>
        <v/>
      </c>
      <c r="AV2250" s="34" t="str">
        <f aca="false">IF($B2250="","",COUNTIF($F2250:$AJ2250,"PH"))</f>
        <v/>
      </c>
      <c r="AW2250" s="34" t="str">
        <f aca="false">IF($B2250="","",COUNTIF($F2250:$AJ2250,"TR"))</f>
        <v/>
      </c>
      <c r="AX2250" s="35" t="str">
        <f aca="false">IF($B2250="","",AO2250+AS2250/2)</f>
        <v/>
      </c>
      <c r="AY2250" s="35" t="str">
        <f aca="false">IF($B2250="","",AQ2250)</f>
        <v/>
      </c>
      <c r="AZ2250" s="35" t="str">
        <f aca="false">IF($B2250="","",AP2250+AT2250/2)</f>
        <v/>
      </c>
      <c r="BA2250" s="35" t="str">
        <f aca="false">IF($B2250="","",AK2250+AN2250+AM2250/2+AO2250+AP2250+AQ2250+AR2250+AS2250+AT2250+AU2250+AV2250+AW2250)</f>
        <v/>
      </c>
      <c r="BB2250" s="35" t="str">
        <f aca="false">IF($B2250="","",MAX(0,AN2250-Settings!$C$16)*Settings!$C$17)</f>
        <v/>
      </c>
      <c r="BC2250" s="35" t="str">
        <f aca="false">IF($B2250="","",BA2250-BB2250)</f>
        <v/>
      </c>
      <c r="BD2250" s="35" t="str">
        <f aca="false">IF(OR($B2250="",$A2250=""),"",DAY(EOMONTH($A2250,0))-COUNTA($F2250:$AJ2250))</f>
        <v/>
      </c>
    </row>
    <row r="2251" customFormat="false" ht="15" hidden="false" customHeight="false" outlineLevel="0" collapsed="false">
      <c r="A2251" s="32"/>
      <c r="B2251" s="29"/>
      <c r="C2251" s="10" t="str">
        <f aca="false">IF($B2251="","",IFERROR(INDEX(M_name,MATCH($B2251,M_emp,0)),"Code not found"))</f>
        <v/>
      </c>
      <c r="D2251" s="10" t="str">
        <f aca="false">IF($B2251="","",IFERROR(INDEX(M_dept,MATCH($B2251,M_emp,0)),""))</f>
        <v/>
      </c>
      <c r="E2251" s="10" t="str">
        <f aca="false">IF($B2251="","",IFERROR(INDEX(M_loc,MATCH($B2251,M_emp,0)),""))</f>
        <v/>
      </c>
      <c r="F2251" s="33"/>
      <c r="G2251" s="33"/>
      <c r="H2251" s="33"/>
      <c r="I2251" s="33"/>
      <c r="J2251" s="33"/>
      <c r="K2251" s="33"/>
      <c r="L2251" s="33"/>
      <c r="M2251" s="33"/>
      <c r="N2251" s="33"/>
      <c r="O2251" s="33"/>
      <c r="P2251" s="33"/>
      <c r="Q2251" s="33"/>
      <c r="R2251" s="33"/>
      <c r="S2251" s="33"/>
      <c r="T2251" s="33"/>
      <c r="U2251" s="33"/>
      <c r="V2251" s="33"/>
      <c r="W2251" s="33"/>
      <c r="X2251" s="33"/>
      <c r="Y2251" s="33"/>
      <c r="Z2251" s="33"/>
      <c r="AA2251" s="33"/>
      <c r="AB2251" s="33"/>
      <c r="AC2251" s="33"/>
      <c r="AD2251" s="33"/>
      <c r="AE2251" s="33"/>
      <c r="AF2251" s="33"/>
      <c r="AG2251" s="33"/>
      <c r="AH2251" s="33"/>
      <c r="AI2251" s="33"/>
      <c r="AJ2251" s="33"/>
      <c r="AK2251" s="34" t="str">
        <f aca="false">IF($B2251="","",COUNTIF($F2251:$AJ2251,"P"))</f>
        <v/>
      </c>
      <c r="AL2251" s="34" t="str">
        <f aca="false">IF($B2251="","",COUNTIF($F2251:$AJ2251,"A"))</f>
        <v/>
      </c>
      <c r="AM2251" s="34" t="str">
        <f aca="false">IF($B2251="","",COUNTIF($F2251:$AJ2251,"HA"))</f>
        <v/>
      </c>
      <c r="AN2251" s="34" t="str">
        <f aca="false">IF($B2251="","",COUNTIF($F2251:$AJ2251,"L"))</f>
        <v/>
      </c>
      <c r="AO2251" s="34" t="str">
        <f aca="false">IF($B2251="","",COUNTIF($F2251:$AJ2251,"PL"))</f>
        <v/>
      </c>
      <c r="AP2251" s="34" t="str">
        <f aca="false">IF($B2251="","",COUNTIF($F2251:$AJ2251,"CL"))</f>
        <v/>
      </c>
      <c r="AQ2251" s="34" t="str">
        <f aca="false">IF($B2251="","",COUNTIF($F2251:$AJ2251,"SL"))</f>
        <v/>
      </c>
      <c r="AR2251" s="34" t="str">
        <f aca="false">IF($B2251="","",COUNTIF($F2251:$AJ2251,"CO"))</f>
        <v/>
      </c>
      <c r="AS2251" s="34" t="str">
        <f aca="false">IF($B2251="","",COUNTIF($F2251:$AJ2251,"HPL"))</f>
        <v/>
      </c>
      <c r="AT2251" s="34" t="str">
        <f aca="false">IF($B2251="","",COUNTIF($F2251:$AJ2251,"HCL"))</f>
        <v/>
      </c>
      <c r="AU2251" s="34" t="str">
        <f aca="false">IF($B2251="","",COUNTIF($F2251:$AJ2251,"WO"))</f>
        <v/>
      </c>
      <c r="AV2251" s="34" t="str">
        <f aca="false">IF($B2251="","",COUNTIF($F2251:$AJ2251,"PH"))</f>
        <v/>
      </c>
      <c r="AW2251" s="34" t="str">
        <f aca="false">IF($B2251="","",COUNTIF($F2251:$AJ2251,"TR"))</f>
        <v/>
      </c>
      <c r="AX2251" s="35" t="str">
        <f aca="false">IF($B2251="","",AO2251+AS2251/2)</f>
        <v/>
      </c>
      <c r="AY2251" s="35" t="str">
        <f aca="false">IF($B2251="","",AQ2251)</f>
        <v/>
      </c>
      <c r="AZ2251" s="35" t="str">
        <f aca="false">IF($B2251="","",AP2251+AT2251/2)</f>
        <v/>
      </c>
      <c r="BA2251" s="35" t="str">
        <f aca="false">IF($B2251="","",AK2251+AN2251+AM2251/2+AO2251+AP2251+AQ2251+AR2251+AS2251+AT2251+AU2251+AV2251+AW2251)</f>
        <v/>
      </c>
      <c r="BB2251" s="35" t="str">
        <f aca="false">IF($B2251="","",MAX(0,AN2251-Settings!$C$16)*Settings!$C$17)</f>
        <v/>
      </c>
      <c r="BC2251" s="35" t="str">
        <f aca="false">IF($B2251="","",BA2251-BB2251)</f>
        <v/>
      </c>
      <c r="BD2251" s="35" t="str">
        <f aca="false">IF(OR($B2251="",$A2251=""),"",DAY(EOMONTH($A2251,0))-COUNTA($F2251:$AJ2251))</f>
        <v/>
      </c>
    </row>
    <row r="2252" customFormat="false" ht="15" hidden="false" customHeight="false" outlineLevel="0" collapsed="false">
      <c r="A2252" s="32"/>
      <c r="B2252" s="29"/>
      <c r="C2252" s="10" t="str">
        <f aca="false">IF($B2252="","",IFERROR(INDEX(M_name,MATCH($B2252,M_emp,0)),"Code not found"))</f>
        <v/>
      </c>
      <c r="D2252" s="10" t="str">
        <f aca="false">IF($B2252="","",IFERROR(INDEX(M_dept,MATCH($B2252,M_emp,0)),""))</f>
        <v/>
      </c>
      <c r="E2252" s="10" t="str">
        <f aca="false">IF($B2252="","",IFERROR(INDEX(M_loc,MATCH($B2252,M_emp,0)),""))</f>
        <v/>
      </c>
      <c r="F2252" s="33"/>
      <c r="G2252" s="33"/>
      <c r="H2252" s="33"/>
      <c r="I2252" s="33"/>
      <c r="J2252" s="33"/>
      <c r="K2252" s="33"/>
      <c r="L2252" s="33"/>
      <c r="M2252" s="33"/>
      <c r="N2252" s="33"/>
      <c r="O2252" s="33"/>
      <c r="P2252" s="33"/>
      <c r="Q2252" s="33"/>
      <c r="R2252" s="33"/>
      <c r="S2252" s="33"/>
      <c r="T2252" s="33"/>
      <c r="U2252" s="33"/>
      <c r="V2252" s="33"/>
      <c r="W2252" s="33"/>
      <c r="X2252" s="33"/>
      <c r="Y2252" s="33"/>
      <c r="Z2252" s="33"/>
      <c r="AA2252" s="33"/>
      <c r="AB2252" s="33"/>
      <c r="AC2252" s="33"/>
      <c r="AD2252" s="33"/>
      <c r="AE2252" s="33"/>
      <c r="AF2252" s="33"/>
      <c r="AG2252" s="33"/>
      <c r="AH2252" s="33"/>
      <c r="AI2252" s="33"/>
      <c r="AJ2252" s="33"/>
      <c r="AK2252" s="34" t="str">
        <f aca="false">IF($B2252="","",COUNTIF($F2252:$AJ2252,"P"))</f>
        <v/>
      </c>
      <c r="AL2252" s="34" t="str">
        <f aca="false">IF($B2252="","",COUNTIF($F2252:$AJ2252,"A"))</f>
        <v/>
      </c>
      <c r="AM2252" s="34" t="str">
        <f aca="false">IF($B2252="","",COUNTIF($F2252:$AJ2252,"HA"))</f>
        <v/>
      </c>
      <c r="AN2252" s="34" t="str">
        <f aca="false">IF($B2252="","",COUNTIF($F2252:$AJ2252,"L"))</f>
        <v/>
      </c>
      <c r="AO2252" s="34" t="str">
        <f aca="false">IF($B2252="","",COUNTIF($F2252:$AJ2252,"PL"))</f>
        <v/>
      </c>
      <c r="AP2252" s="34" t="str">
        <f aca="false">IF($B2252="","",COUNTIF($F2252:$AJ2252,"CL"))</f>
        <v/>
      </c>
      <c r="AQ2252" s="34" t="str">
        <f aca="false">IF($B2252="","",COUNTIF($F2252:$AJ2252,"SL"))</f>
        <v/>
      </c>
      <c r="AR2252" s="34" t="str">
        <f aca="false">IF($B2252="","",COUNTIF($F2252:$AJ2252,"CO"))</f>
        <v/>
      </c>
      <c r="AS2252" s="34" t="str">
        <f aca="false">IF($B2252="","",COUNTIF($F2252:$AJ2252,"HPL"))</f>
        <v/>
      </c>
      <c r="AT2252" s="34" t="str">
        <f aca="false">IF($B2252="","",COUNTIF($F2252:$AJ2252,"HCL"))</f>
        <v/>
      </c>
      <c r="AU2252" s="34" t="str">
        <f aca="false">IF($B2252="","",COUNTIF($F2252:$AJ2252,"WO"))</f>
        <v/>
      </c>
      <c r="AV2252" s="34" t="str">
        <f aca="false">IF($B2252="","",COUNTIF($F2252:$AJ2252,"PH"))</f>
        <v/>
      </c>
      <c r="AW2252" s="34" t="str">
        <f aca="false">IF($B2252="","",COUNTIF($F2252:$AJ2252,"TR"))</f>
        <v/>
      </c>
      <c r="AX2252" s="35" t="str">
        <f aca="false">IF($B2252="","",AO2252+AS2252/2)</f>
        <v/>
      </c>
      <c r="AY2252" s="35" t="str">
        <f aca="false">IF($B2252="","",AQ2252)</f>
        <v/>
      </c>
      <c r="AZ2252" s="35" t="str">
        <f aca="false">IF($B2252="","",AP2252+AT2252/2)</f>
        <v/>
      </c>
      <c r="BA2252" s="35" t="str">
        <f aca="false">IF($B2252="","",AK2252+AN2252+AM2252/2+AO2252+AP2252+AQ2252+AR2252+AS2252+AT2252+AU2252+AV2252+AW2252)</f>
        <v/>
      </c>
      <c r="BB2252" s="35" t="str">
        <f aca="false">IF($B2252="","",MAX(0,AN2252-Settings!$C$16)*Settings!$C$17)</f>
        <v/>
      </c>
      <c r="BC2252" s="35" t="str">
        <f aca="false">IF($B2252="","",BA2252-BB2252)</f>
        <v/>
      </c>
      <c r="BD2252" s="35" t="str">
        <f aca="false">IF(OR($B2252="",$A2252=""),"",DAY(EOMONTH($A2252,0))-COUNTA($F2252:$AJ2252))</f>
        <v/>
      </c>
    </row>
    <row r="2253" customFormat="false" ht="15" hidden="false" customHeight="false" outlineLevel="0" collapsed="false">
      <c r="A2253" s="32"/>
      <c r="B2253" s="29"/>
      <c r="C2253" s="10" t="str">
        <f aca="false">IF($B2253="","",IFERROR(INDEX(M_name,MATCH($B2253,M_emp,0)),"Code not found"))</f>
        <v/>
      </c>
      <c r="D2253" s="10" t="str">
        <f aca="false">IF($B2253="","",IFERROR(INDEX(M_dept,MATCH($B2253,M_emp,0)),""))</f>
        <v/>
      </c>
      <c r="E2253" s="10" t="str">
        <f aca="false">IF($B2253="","",IFERROR(INDEX(M_loc,MATCH($B2253,M_emp,0)),""))</f>
        <v/>
      </c>
      <c r="F2253" s="33"/>
      <c r="G2253" s="33"/>
      <c r="H2253" s="33"/>
      <c r="I2253" s="33"/>
      <c r="J2253" s="33"/>
      <c r="K2253" s="33"/>
      <c r="L2253" s="33"/>
      <c r="M2253" s="33"/>
      <c r="N2253" s="33"/>
      <c r="O2253" s="33"/>
      <c r="P2253" s="33"/>
      <c r="Q2253" s="33"/>
      <c r="R2253" s="33"/>
      <c r="S2253" s="33"/>
      <c r="T2253" s="33"/>
      <c r="U2253" s="33"/>
      <c r="V2253" s="33"/>
      <c r="W2253" s="33"/>
      <c r="X2253" s="33"/>
      <c r="Y2253" s="33"/>
      <c r="Z2253" s="33"/>
      <c r="AA2253" s="33"/>
      <c r="AB2253" s="33"/>
      <c r="AC2253" s="33"/>
      <c r="AD2253" s="33"/>
      <c r="AE2253" s="33"/>
      <c r="AF2253" s="33"/>
      <c r="AG2253" s="33"/>
      <c r="AH2253" s="33"/>
      <c r="AI2253" s="33"/>
      <c r="AJ2253" s="33"/>
      <c r="AK2253" s="34" t="str">
        <f aca="false">IF($B2253="","",COUNTIF($F2253:$AJ2253,"P"))</f>
        <v/>
      </c>
      <c r="AL2253" s="34" t="str">
        <f aca="false">IF($B2253="","",COUNTIF($F2253:$AJ2253,"A"))</f>
        <v/>
      </c>
      <c r="AM2253" s="34" t="str">
        <f aca="false">IF($B2253="","",COUNTIF($F2253:$AJ2253,"HA"))</f>
        <v/>
      </c>
      <c r="AN2253" s="34" t="str">
        <f aca="false">IF($B2253="","",COUNTIF($F2253:$AJ2253,"L"))</f>
        <v/>
      </c>
      <c r="AO2253" s="34" t="str">
        <f aca="false">IF($B2253="","",COUNTIF($F2253:$AJ2253,"PL"))</f>
        <v/>
      </c>
      <c r="AP2253" s="34" t="str">
        <f aca="false">IF($B2253="","",COUNTIF($F2253:$AJ2253,"CL"))</f>
        <v/>
      </c>
      <c r="AQ2253" s="34" t="str">
        <f aca="false">IF($B2253="","",COUNTIF($F2253:$AJ2253,"SL"))</f>
        <v/>
      </c>
      <c r="AR2253" s="34" t="str">
        <f aca="false">IF($B2253="","",COUNTIF($F2253:$AJ2253,"CO"))</f>
        <v/>
      </c>
      <c r="AS2253" s="34" t="str">
        <f aca="false">IF($B2253="","",COUNTIF($F2253:$AJ2253,"HPL"))</f>
        <v/>
      </c>
      <c r="AT2253" s="34" t="str">
        <f aca="false">IF($B2253="","",COUNTIF($F2253:$AJ2253,"HCL"))</f>
        <v/>
      </c>
      <c r="AU2253" s="34" t="str">
        <f aca="false">IF($B2253="","",COUNTIF($F2253:$AJ2253,"WO"))</f>
        <v/>
      </c>
      <c r="AV2253" s="34" t="str">
        <f aca="false">IF($B2253="","",COUNTIF($F2253:$AJ2253,"PH"))</f>
        <v/>
      </c>
      <c r="AW2253" s="34" t="str">
        <f aca="false">IF($B2253="","",COUNTIF($F2253:$AJ2253,"TR"))</f>
        <v/>
      </c>
      <c r="AX2253" s="35" t="str">
        <f aca="false">IF($B2253="","",AO2253+AS2253/2)</f>
        <v/>
      </c>
      <c r="AY2253" s="35" t="str">
        <f aca="false">IF($B2253="","",AQ2253)</f>
        <v/>
      </c>
      <c r="AZ2253" s="35" t="str">
        <f aca="false">IF($B2253="","",AP2253+AT2253/2)</f>
        <v/>
      </c>
      <c r="BA2253" s="35" t="str">
        <f aca="false">IF($B2253="","",AK2253+AN2253+AM2253/2+AO2253+AP2253+AQ2253+AR2253+AS2253+AT2253+AU2253+AV2253+AW2253)</f>
        <v/>
      </c>
      <c r="BB2253" s="35" t="str">
        <f aca="false">IF($B2253="","",MAX(0,AN2253-Settings!$C$16)*Settings!$C$17)</f>
        <v/>
      </c>
      <c r="BC2253" s="35" t="str">
        <f aca="false">IF($B2253="","",BA2253-BB2253)</f>
        <v/>
      </c>
      <c r="BD2253" s="35" t="str">
        <f aca="false">IF(OR($B2253="",$A2253=""),"",DAY(EOMONTH($A2253,0))-COUNTA($F2253:$AJ2253))</f>
        <v/>
      </c>
    </row>
    <row r="2254" customFormat="false" ht="15" hidden="false" customHeight="false" outlineLevel="0" collapsed="false">
      <c r="A2254" s="32"/>
      <c r="B2254" s="29"/>
      <c r="C2254" s="10" t="str">
        <f aca="false">IF($B2254="","",IFERROR(INDEX(M_name,MATCH($B2254,M_emp,0)),"Code not found"))</f>
        <v/>
      </c>
      <c r="D2254" s="10" t="str">
        <f aca="false">IF($B2254="","",IFERROR(INDEX(M_dept,MATCH($B2254,M_emp,0)),""))</f>
        <v/>
      </c>
      <c r="E2254" s="10" t="str">
        <f aca="false">IF($B2254="","",IFERROR(INDEX(M_loc,MATCH($B2254,M_emp,0)),""))</f>
        <v/>
      </c>
      <c r="F2254" s="33"/>
      <c r="G2254" s="33"/>
      <c r="H2254" s="33"/>
      <c r="I2254" s="33"/>
      <c r="J2254" s="33"/>
      <c r="K2254" s="33"/>
      <c r="L2254" s="33"/>
      <c r="M2254" s="33"/>
      <c r="N2254" s="33"/>
      <c r="O2254" s="33"/>
      <c r="P2254" s="33"/>
      <c r="Q2254" s="33"/>
      <c r="R2254" s="33"/>
      <c r="S2254" s="33"/>
      <c r="T2254" s="33"/>
      <c r="U2254" s="33"/>
      <c r="V2254" s="33"/>
      <c r="W2254" s="33"/>
      <c r="X2254" s="33"/>
      <c r="Y2254" s="33"/>
      <c r="Z2254" s="33"/>
      <c r="AA2254" s="33"/>
      <c r="AB2254" s="33"/>
      <c r="AC2254" s="33"/>
      <c r="AD2254" s="33"/>
      <c r="AE2254" s="33"/>
      <c r="AF2254" s="33"/>
      <c r="AG2254" s="33"/>
      <c r="AH2254" s="33"/>
      <c r="AI2254" s="33"/>
      <c r="AJ2254" s="33"/>
      <c r="AK2254" s="34" t="str">
        <f aca="false">IF($B2254="","",COUNTIF($F2254:$AJ2254,"P"))</f>
        <v/>
      </c>
      <c r="AL2254" s="34" t="str">
        <f aca="false">IF($B2254="","",COUNTIF($F2254:$AJ2254,"A"))</f>
        <v/>
      </c>
      <c r="AM2254" s="34" t="str">
        <f aca="false">IF($B2254="","",COUNTIF($F2254:$AJ2254,"HA"))</f>
        <v/>
      </c>
      <c r="AN2254" s="34" t="str">
        <f aca="false">IF($B2254="","",COUNTIF($F2254:$AJ2254,"L"))</f>
        <v/>
      </c>
      <c r="AO2254" s="34" t="str">
        <f aca="false">IF($B2254="","",COUNTIF($F2254:$AJ2254,"PL"))</f>
        <v/>
      </c>
      <c r="AP2254" s="34" t="str">
        <f aca="false">IF($B2254="","",COUNTIF($F2254:$AJ2254,"CL"))</f>
        <v/>
      </c>
      <c r="AQ2254" s="34" t="str">
        <f aca="false">IF($B2254="","",COUNTIF($F2254:$AJ2254,"SL"))</f>
        <v/>
      </c>
      <c r="AR2254" s="34" t="str">
        <f aca="false">IF($B2254="","",COUNTIF($F2254:$AJ2254,"CO"))</f>
        <v/>
      </c>
      <c r="AS2254" s="34" t="str">
        <f aca="false">IF($B2254="","",COUNTIF($F2254:$AJ2254,"HPL"))</f>
        <v/>
      </c>
      <c r="AT2254" s="34" t="str">
        <f aca="false">IF($B2254="","",COUNTIF($F2254:$AJ2254,"HCL"))</f>
        <v/>
      </c>
      <c r="AU2254" s="34" t="str">
        <f aca="false">IF($B2254="","",COUNTIF($F2254:$AJ2254,"WO"))</f>
        <v/>
      </c>
      <c r="AV2254" s="34" t="str">
        <f aca="false">IF($B2254="","",COUNTIF($F2254:$AJ2254,"PH"))</f>
        <v/>
      </c>
      <c r="AW2254" s="34" t="str">
        <f aca="false">IF($B2254="","",COUNTIF($F2254:$AJ2254,"TR"))</f>
        <v/>
      </c>
      <c r="AX2254" s="35" t="str">
        <f aca="false">IF($B2254="","",AO2254+AS2254/2)</f>
        <v/>
      </c>
      <c r="AY2254" s="35" t="str">
        <f aca="false">IF($B2254="","",AQ2254)</f>
        <v/>
      </c>
      <c r="AZ2254" s="35" t="str">
        <f aca="false">IF($B2254="","",AP2254+AT2254/2)</f>
        <v/>
      </c>
      <c r="BA2254" s="35" t="str">
        <f aca="false">IF($B2254="","",AK2254+AN2254+AM2254/2+AO2254+AP2254+AQ2254+AR2254+AS2254+AT2254+AU2254+AV2254+AW2254)</f>
        <v/>
      </c>
      <c r="BB2254" s="35" t="str">
        <f aca="false">IF($B2254="","",MAX(0,AN2254-Settings!$C$16)*Settings!$C$17)</f>
        <v/>
      </c>
      <c r="BC2254" s="35" t="str">
        <f aca="false">IF($B2254="","",BA2254-BB2254)</f>
        <v/>
      </c>
      <c r="BD2254" s="35" t="str">
        <f aca="false">IF(OR($B2254="",$A2254=""),"",DAY(EOMONTH($A2254,0))-COUNTA($F2254:$AJ2254))</f>
        <v/>
      </c>
    </row>
    <row r="2255" customFormat="false" ht="15" hidden="false" customHeight="false" outlineLevel="0" collapsed="false">
      <c r="A2255" s="32"/>
      <c r="B2255" s="29"/>
      <c r="C2255" s="10" t="str">
        <f aca="false">IF($B2255="","",IFERROR(INDEX(M_name,MATCH($B2255,M_emp,0)),"Code not found"))</f>
        <v/>
      </c>
      <c r="D2255" s="10" t="str">
        <f aca="false">IF($B2255="","",IFERROR(INDEX(M_dept,MATCH($B2255,M_emp,0)),""))</f>
        <v/>
      </c>
      <c r="E2255" s="10" t="str">
        <f aca="false">IF($B2255="","",IFERROR(INDEX(M_loc,MATCH($B2255,M_emp,0)),""))</f>
        <v/>
      </c>
      <c r="F2255" s="33"/>
      <c r="G2255" s="33"/>
      <c r="H2255" s="33"/>
      <c r="I2255" s="33"/>
      <c r="J2255" s="33"/>
      <c r="K2255" s="33"/>
      <c r="L2255" s="33"/>
      <c r="M2255" s="33"/>
      <c r="N2255" s="33"/>
      <c r="O2255" s="33"/>
      <c r="P2255" s="33"/>
      <c r="Q2255" s="33"/>
      <c r="R2255" s="33"/>
      <c r="S2255" s="33"/>
      <c r="T2255" s="33"/>
      <c r="U2255" s="33"/>
      <c r="V2255" s="33"/>
      <c r="W2255" s="33"/>
      <c r="X2255" s="33"/>
      <c r="Y2255" s="33"/>
      <c r="Z2255" s="33"/>
      <c r="AA2255" s="33"/>
      <c r="AB2255" s="33"/>
      <c r="AC2255" s="33"/>
      <c r="AD2255" s="33"/>
      <c r="AE2255" s="33"/>
      <c r="AF2255" s="33"/>
      <c r="AG2255" s="33"/>
      <c r="AH2255" s="33"/>
      <c r="AI2255" s="33"/>
      <c r="AJ2255" s="33"/>
      <c r="AK2255" s="34" t="str">
        <f aca="false">IF($B2255="","",COUNTIF($F2255:$AJ2255,"P"))</f>
        <v/>
      </c>
      <c r="AL2255" s="34" t="str">
        <f aca="false">IF($B2255="","",COUNTIF($F2255:$AJ2255,"A"))</f>
        <v/>
      </c>
      <c r="AM2255" s="34" t="str">
        <f aca="false">IF($B2255="","",COUNTIF($F2255:$AJ2255,"HA"))</f>
        <v/>
      </c>
      <c r="AN2255" s="34" t="str">
        <f aca="false">IF($B2255="","",COUNTIF($F2255:$AJ2255,"L"))</f>
        <v/>
      </c>
      <c r="AO2255" s="34" t="str">
        <f aca="false">IF($B2255="","",COUNTIF($F2255:$AJ2255,"PL"))</f>
        <v/>
      </c>
      <c r="AP2255" s="34" t="str">
        <f aca="false">IF($B2255="","",COUNTIF($F2255:$AJ2255,"CL"))</f>
        <v/>
      </c>
      <c r="AQ2255" s="34" t="str">
        <f aca="false">IF($B2255="","",COUNTIF($F2255:$AJ2255,"SL"))</f>
        <v/>
      </c>
      <c r="AR2255" s="34" t="str">
        <f aca="false">IF($B2255="","",COUNTIF($F2255:$AJ2255,"CO"))</f>
        <v/>
      </c>
      <c r="AS2255" s="34" t="str">
        <f aca="false">IF($B2255="","",COUNTIF($F2255:$AJ2255,"HPL"))</f>
        <v/>
      </c>
      <c r="AT2255" s="34" t="str">
        <f aca="false">IF($B2255="","",COUNTIF($F2255:$AJ2255,"HCL"))</f>
        <v/>
      </c>
      <c r="AU2255" s="34" t="str">
        <f aca="false">IF($B2255="","",COUNTIF($F2255:$AJ2255,"WO"))</f>
        <v/>
      </c>
      <c r="AV2255" s="34" t="str">
        <f aca="false">IF($B2255="","",COUNTIF($F2255:$AJ2255,"PH"))</f>
        <v/>
      </c>
      <c r="AW2255" s="34" t="str">
        <f aca="false">IF($B2255="","",COUNTIF($F2255:$AJ2255,"TR"))</f>
        <v/>
      </c>
      <c r="AX2255" s="35" t="str">
        <f aca="false">IF($B2255="","",AO2255+AS2255/2)</f>
        <v/>
      </c>
      <c r="AY2255" s="35" t="str">
        <f aca="false">IF($B2255="","",AQ2255)</f>
        <v/>
      </c>
      <c r="AZ2255" s="35" t="str">
        <f aca="false">IF($B2255="","",AP2255+AT2255/2)</f>
        <v/>
      </c>
      <c r="BA2255" s="35" t="str">
        <f aca="false">IF($B2255="","",AK2255+AN2255+AM2255/2+AO2255+AP2255+AQ2255+AR2255+AS2255+AT2255+AU2255+AV2255+AW2255)</f>
        <v/>
      </c>
      <c r="BB2255" s="35" t="str">
        <f aca="false">IF($B2255="","",MAX(0,AN2255-Settings!$C$16)*Settings!$C$17)</f>
        <v/>
      </c>
      <c r="BC2255" s="35" t="str">
        <f aca="false">IF($B2255="","",BA2255-BB2255)</f>
        <v/>
      </c>
      <c r="BD2255" s="35" t="str">
        <f aca="false">IF(OR($B2255="",$A2255=""),"",DAY(EOMONTH($A2255,0))-COUNTA($F2255:$AJ2255))</f>
        <v/>
      </c>
    </row>
    <row r="2256" customFormat="false" ht="15" hidden="false" customHeight="false" outlineLevel="0" collapsed="false">
      <c r="A2256" s="32"/>
      <c r="B2256" s="29"/>
      <c r="C2256" s="10" t="str">
        <f aca="false">IF($B2256="","",IFERROR(INDEX(M_name,MATCH($B2256,M_emp,0)),"Code not found"))</f>
        <v/>
      </c>
      <c r="D2256" s="10" t="str">
        <f aca="false">IF($B2256="","",IFERROR(INDEX(M_dept,MATCH($B2256,M_emp,0)),""))</f>
        <v/>
      </c>
      <c r="E2256" s="10" t="str">
        <f aca="false">IF($B2256="","",IFERROR(INDEX(M_loc,MATCH($B2256,M_emp,0)),""))</f>
        <v/>
      </c>
      <c r="F2256" s="33"/>
      <c r="G2256" s="33"/>
      <c r="H2256" s="33"/>
      <c r="I2256" s="33"/>
      <c r="J2256" s="33"/>
      <c r="K2256" s="33"/>
      <c r="L2256" s="33"/>
      <c r="M2256" s="33"/>
      <c r="N2256" s="33"/>
      <c r="O2256" s="33"/>
      <c r="P2256" s="33"/>
      <c r="Q2256" s="33"/>
      <c r="R2256" s="33"/>
      <c r="S2256" s="33"/>
      <c r="T2256" s="33"/>
      <c r="U2256" s="33"/>
      <c r="V2256" s="33"/>
      <c r="W2256" s="33"/>
      <c r="X2256" s="33"/>
      <c r="Y2256" s="33"/>
      <c r="Z2256" s="33"/>
      <c r="AA2256" s="33"/>
      <c r="AB2256" s="33"/>
      <c r="AC2256" s="33"/>
      <c r="AD2256" s="33"/>
      <c r="AE2256" s="33"/>
      <c r="AF2256" s="33"/>
      <c r="AG2256" s="33"/>
      <c r="AH2256" s="33"/>
      <c r="AI2256" s="33"/>
      <c r="AJ2256" s="33"/>
      <c r="AK2256" s="34" t="str">
        <f aca="false">IF($B2256="","",COUNTIF($F2256:$AJ2256,"P"))</f>
        <v/>
      </c>
      <c r="AL2256" s="34" t="str">
        <f aca="false">IF($B2256="","",COUNTIF($F2256:$AJ2256,"A"))</f>
        <v/>
      </c>
      <c r="AM2256" s="34" t="str">
        <f aca="false">IF($B2256="","",COUNTIF($F2256:$AJ2256,"HA"))</f>
        <v/>
      </c>
      <c r="AN2256" s="34" t="str">
        <f aca="false">IF($B2256="","",COUNTIF($F2256:$AJ2256,"L"))</f>
        <v/>
      </c>
      <c r="AO2256" s="34" t="str">
        <f aca="false">IF($B2256="","",COUNTIF($F2256:$AJ2256,"PL"))</f>
        <v/>
      </c>
      <c r="AP2256" s="34" t="str">
        <f aca="false">IF($B2256="","",COUNTIF($F2256:$AJ2256,"CL"))</f>
        <v/>
      </c>
      <c r="AQ2256" s="34" t="str">
        <f aca="false">IF($B2256="","",COUNTIF($F2256:$AJ2256,"SL"))</f>
        <v/>
      </c>
      <c r="AR2256" s="34" t="str">
        <f aca="false">IF($B2256="","",COUNTIF($F2256:$AJ2256,"CO"))</f>
        <v/>
      </c>
      <c r="AS2256" s="34" t="str">
        <f aca="false">IF($B2256="","",COUNTIF($F2256:$AJ2256,"HPL"))</f>
        <v/>
      </c>
      <c r="AT2256" s="34" t="str">
        <f aca="false">IF($B2256="","",COUNTIF($F2256:$AJ2256,"HCL"))</f>
        <v/>
      </c>
      <c r="AU2256" s="34" t="str">
        <f aca="false">IF($B2256="","",COUNTIF($F2256:$AJ2256,"WO"))</f>
        <v/>
      </c>
      <c r="AV2256" s="34" t="str">
        <f aca="false">IF($B2256="","",COUNTIF($F2256:$AJ2256,"PH"))</f>
        <v/>
      </c>
      <c r="AW2256" s="34" t="str">
        <f aca="false">IF($B2256="","",COUNTIF($F2256:$AJ2256,"TR"))</f>
        <v/>
      </c>
      <c r="AX2256" s="35" t="str">
        <f aca="false">IF($B2256="","",AO2256+AS2256/2)</f>
        <v/>
      </c>
      <c r="AY2256" s="35" t="str">
        <f aca="false">IF($B2256="","",AQ2256)</f>
        <v/>
      </c>
      <c r="AZ2256" s="35" t="str">
        <f aca="false">IF($B2256="","",AP2256+AT2256/2)</f>
        <v/>
      </c>
      <c r="BA2256" s="35" t="str">
        <f aca="false">IF($B2256="","",AK2256+AN2256+AM2256/2+AO2256+AP2256+AQ2256+AR2256+AS2256+AT2256+AU2256+AV2256+AW2256)</f>
        <v/>
      </c>
      <c r="BB2256" s="35" t="str">
        <f aca="false">IF($B2256="","",MAX(0,AN2256-Settings!$C$16)*Settings!$C$17)</f>
        <v/>
      </c>
      <c r="BC2256" s="35" t="str">
        <f aca="false">IF($B2256="","",BA2256-BB2256)</f>
        <v/>
      </c>
      <c r="BD2256" s="35" t="str">
        <f aca="false">IF(OR($B2256="",$A2256=""),"",DAY(EOMONTH($A2256,0))-COUNTA($F2256:$AJ2256))</f>
        <v/>
      </c>
    </row>
    <row r="2257" customFormat="false" ht="15" hidden="false" customHeight="false" outlineLevel="0" collapsed="false">
      <c r="A2257" s="32"/>
      <c r="B2257" s="29"/>
      <c r="C2257" s="10" t="str">
        <f aca="false">IF($B2257="","",IFERROR(INDEX(M_name,MATCH($B2257,M_emp,0)),"Code not found"))</f>
        <v/>
      </c>
      <c r="D2257" s="10" t="str">
        <f aca="false">IF($B2257="","",IFERROR(INDEX(M_dept,MATCH($B2257,M_emp,0)),""))</f>
        <v/>
      </c>
      <c r="E2257" s="10" t="str">
        <f aca="false">IF($B2257="","",IFERROR(INDEX(M_loc,MATCH($B2257,M_emp,0)),""))</f>
        <v/>
      </c>
      <c r="F2257" s="33"/>
      <c r="G2257" s="33"/>
      <c r="H2257" s="33"/>
      <c r="I2257" s="33"/>
      <c r="J2257" s="33"/>
      <c r="K2257" s="33"/>
      <c r="L2257" s="33"/>
      <c r="M2257" s="33"/>
      <c r="N2257" s="33"/>
      <c r="O2257" s="33"/>
      <c r="P2257" s="33"/>
      <c r="Q2257" s="33"/>
      <c r="R2257" s="33"/>
      <c r="S2257" s="33"/>
      <c r="T2257" s="33"/>
      <c r="U2257" s="33"/>
      <c r="V2257" s="33"/>
      <c r="W2257" s="33"/>
      <c r="X2257" s="33"/>
      <c r="Y2257" s="33"/>
      <c r="Z2257" s="33"/>
      <c r="AA2257" s="33"/>
      <c r="AB2257" s="33"/>
      <c r="AC2257" s="33"/>
      <c r="AD2257" s="33"/>
      <c r="AE2257" s="33"/>
      <c r="AF2257" s="33"/>
      <c r="AG2257" s="33"/>
      <c r="AH2257" s="33"/>
      <c r="AI2257" s="33"/>
      <c r="AJ2257" s="33"/>
      <c r="AK2257" s="34" t="str">
        <f aca="false">IF($B2257="","",COUNTIF($F2257:$AJ2257,"P"))</f>
        <v/>
      </c>
      <c r="AL2257" s="34" t="str">
        <f aca="false">IF($B2257="","",COUNTIF($F2257:$AJ2257,"A"))</f>
        <v/>
      </c>
      <c r="AM2257" s="34" t="str">
        <f aca="false">IF($B2257="","",COUNTIF($F2257:$AJ2257,"HA"))</f>
        <v/>
      </c>
      <c r="AN2257" s="34" t="str">
        <f aca="false">IF($B2257="","",COUNTIF($F2257:$AJ2257,"L"))</f>
        <v/>
      </c>
      <c r="AO2257" s="34" t="str">
        <f aca="false">IF($B2257="","",COUNTIF($F2257:$AJ2257,"PL"))</f>
        <v/>
      </c>
      <c r="AP2257" s="34" t="str">
        <f aca="false">IF($B2257="","",COUNTIF($F2257:$AJ2257,"CL"))</f>
        <v/>
      </c>
      <c r="AQ2257" s="34" t="str">
        <f aca="false">IF($B2257="","",COUNTIF($F2257:$AJ2257,"SL"))</f>
        <v/>
      </c>
      <c r="AR2257" s="34" t="str">
        <f aca="false">IF($B2257="","",COUNTIF($F2257:$AJ2257,"CO"))</f>
        <v/>
      </c>
      <c r="AS2257" s="34" t="str">
        <f aca="false">IF($B2257="","",COUNTIF($F2257:$AJ2257,"HPL"))</f>
        <v/>
      </c>
      <c r="AT2257" s="34" t="str">
        <f aca="false">IF($B2257="","",COUNTIF($F2257:$AJ2257,"HCL"))</f>
        <v/>
      </c>
      <c r="AU2257" s="34" t="str">
        <f aca="false">IF($B2257="","",COUNTIF($F2257:$AJ2257,"WO"))</f>
        <v/>
      </c>
      <c r="AV2257" s="34" t="str">
        <f aca="false">IF($B2257="","",COUNTIF($F2257:$AJ2257,"PH"))</f>
        <v/>
      </c>
      <c r="AW2257" s="34" t="str">
        <f aca="false">IF($B2257="","",COUNTIF($F2257:$AJ2257,"TR"))</f>
        <v/>
      </c>
      <c r="AX2257" s="35" t="str">
        <f aca="false">IF($B2257="","",AO2257+AS2257/2)</f>
        <v/>
      </c>
      <c r="AY2257" s="35" t="str">
        <f aca="false">IF($B2257="","",AQ2257)</f>
        <v/>
      </c>
      <c r="AZ2257" s="35" t="str">
        <f aca="false">IF($B2257="","",AP2257+AT2257/2)</f>
        <v/>
      </c>
      <c r="BA2257" s="35" t="str">
        <f aca="false">IF($B2257="","",AK2257+AN2257+AM2257/2+AO2257+AP2257+AQ2257+AR2257+AS2257+AT2257+AU2257+AV2257+AW2257)</f>
        <v/>
      </c>
      <c r="BB2257" s="35" t="str">
        <f aca="false">IF($B2257="","",MAX(0,AN2257-Settings!$C$16)*Settings!$C$17)</f>
        <v/>
      </c>
      <c r="BC2257" s="35" t="str">
        <f aca="false">IF($B2257="","",BA2257-BB2257)</f>
        <v/>
      </c>
      <c r="BD2257" s="35" t="str">
        <f aca="false">IF(OR($B2257="",$A2257=""),"",DAY(EOMONTH($A2257,0))-COUNTA($F2257:$AJ2257))</f>
        <v/>
      </c>
    </row>
    <row r="2258" customFormat="false" ht="15" hidden="false" customHeight="false" outlineLevel="0" collapsed="false">
      <c r="A2258" s="32"/>
      <c r="B2258" s="29"/>
      <c r="C2258" s="10" t="str">
        <f aca="false">IF($B2258="","",IFERROR(INDEX(M_name,MATCH($B2258,M_emp,0)),"Code not found"))</f>
        <v/>
      </c>
      <c r="D2258" s="10" t="str">
        <f aca="false">IF($B2258="","",IFERROR(INDEX(M_dept,MATCH($B2258,M_emp,0)),""))</f>
        <v/>
      </c>
      <c r="E2258" s="10" t="str">
        <f aca="false">IF($B2258="","",IFERROR(INDEX(M_loc,MATCH($B2258,M_emp,0)),""))</f>
        <v/>
      </c>
      <c r="F2258" s="33"/>
      <c r="G2258" s="33"/>
      <c r="H2258" s="33"/>
      <c r="I2258" s="33"/>
      <c r="J2258" s="33"/>
      <c r="K2258" s="33"/>
      <c r="L2258" s="33"/>
      <c r="M2258" s="33"/>
      <c r="N2258" s="33"/>
      <c r="O2258" s="33"/>
      <c r="P2258" s="33"/>
      <c r="Q2258" s="33"/>
      <c r="R2258" s="33"/>
      <c r="S2258" s="33"/>
      <c r="T2258" s="33"/>
      <c r="U2258" s="33"/>
      <c r="V2258" s="33"/>
      <c r="W2258" s="33"/>
      <c r="X2258" s="33"/>
      <c r="Y2258" s="33"/>
      <c r="Z2258" s="33"/>
      <c r="AA2258" s="33"/>
      <c r="AB2258" s="33"/>
      <c r="AC2258" s="33"/>
      <c r="AD2258" s="33"/>
      <c r="AE2258" s="33"/>
      <c r="AF2258" s="33"/>
      <c r="AG2258" s="33"/>
      <c r="AH2258" s="33"/>
      <c r="AI2258" s="33"/>
      <c r="AJ2258" s="33"/>
      <c r="AK2258" s="34" t="str">
        <f aca="false">IF($B2258="","",COUNTIF($F2258:$AJ2258,"P"))</f>
        <v/>
      </c>
      <c r="AL2258" s="34" t="str">
        <f aca="false">IF($B2258="","",COUNTIF($F2258:$AJ2258,"A"))</f>
        <v/>
      </c>
      <c r="AM2258" s="34" t="str">
        <f aca="false">IF($B2258="","",COUNTIF($F2258:$AJ2258,"HA"))</f>
        <v/>
      </c>
      <c r="AN2258" s="34" t="str">
        <f aca="false">IF($B2258="","",COUNTIF($F2258:$AJ2258,"L"))</f>
        <v/>
      </c>
      <c r="AO2258" s="34" t="str">
        <f aca="false">IF($B2258="","",COUNTIF($F2258:$AJ2258,"PL"))</f>
        <v/>
      </c>
      <c r="AP2258" s="34" t="str">
        <f aca="false">IF($B2258="","",COUNTIF($F2258:$AJ2258,"CL"))</f>
        <v/>
      </c>
      <c r="AQ2258" s="34" t="str">
        <f aca="false">IF($B2258="","",COUNTIF($F2258:$AJ2258,"SL"))</f>
        <v/>
      </c>
      <c r="AR2258" s="34" t="str">
        <f aca="false">IF($B2258="","",COUNTIF($F2258:$AJ2258,"CO"))</f>
        <v/>
      </c>
      <c r="AS2258" s="34" t="str">
        <f aca="false">IF($B2258="","",COUNTIF($F2258:$AJ2258,"HPL"))</f>
        <v/>
      </c>
      <c r="AT2258" s="34" t="str">
        <f aca="false">IF($B2258="","",COUNTIF($F2258:$AJ2258,"HCL"))</f>
        <v/>
      </c>
      <c r="AU2258" s="34" t="str">
        <f aca="false">IF($B2258="","",COUNTIF($F2258:$AJ2258,"WO"))</f>
        <v/>
      </c>
      <c r="AV2258" s="34" t="str">
        <f aca="false">IF($B2258="","",COUNTIF($F2258:$AJ2258,"PH"))</f>
        <v/>
      </c>
      <c r="AW2258" s="34" t="str">
        <f aca="false">IF($B2258="","",COUNTIF($F2258:$AJ2258,"TR"))</f>
        <v/>
      </c>
      <c r="AX2258" s="35" t="str">
        <f aca="false">IF($B2258="","",AO2258+AS2258/2)</f>
        <v/>
      </c>
      <c r="AY2258" s="35" t="str">
        <f aca="false">IF($B2258="","",AQ2258)</f>
        <v/>
      </c>
      <c r="AZ2258" s="35" t="str">
        <f aca="false">IF($B2258="","",AP2258+AT2258/2)</f>
        <v/>
      </c>
      <c r="BA2258" s="35" t="str">
        <f aca="false">IF($B2258="","",AK2258+AN2258+AM2258/2+AO2258+AP2258+AQ2258+AR2258+AS2258+AT2258+AU2258+AV2258+AW2258)</f>
        <v/>
      </c>
      <c r="BB2258" s="35" t="str">
        <f aca="false">IF($B2258="","",MAX(0,AN2258-Settings!$C$16)*Settings!$C$17)</f>
        <v/>
      </c>
      <c r="BC2258" s="35" t="str">
        <f aca="false">IF($B2258="","",BA2258-BB2258)</f>
        <v/>
      </c>
      <c r="BD2258" s="35" t="str">
        <f aca="false">IF(OR($B2258="",$A2258=""),"",DAY(EOMONTH($A2258,0))-COUNTA($F2258:$AJ2258))</f>
        <v/>
      </c>
    </row>
    <row r="2259" customFormat="false" ht="15" hidden="false" customHeight="false" outlineLevel="0" collapsed="false">
      <c r="A2259" s="32"/>
      <c r="B2259" s="29"/>
      <c r="C2259" s="10" t="str">
        <f aca="false">IF($B2259="","",IFERROR(INDEX(M_name,MATCH($B2259,M_emp,0)),"Code not found"))</f>
        <v/>
      </c>
      <c r="D2259" s="10" t="str">
        <f aca="false">IF($B2259="","",IFERROR(INDEX(M_dept,MATCH($B2259,M_emp,0)),""))</f>
        <v/>
      </c>
      <c r="E2259" s="10" t="str">
        <f aca="false">IF($B2259="","",IFERROR(INDEX(M_loc,MATCH($B2259,M_emp,0)),""))</f>
        <v/>
      </c>
      <c r="F2259" s="33"/>
      <c r="G2259" s="33"/>
      <c r="H2259" s="33"/>
      <c r="I2259" s="33"/>
      <c r="J2259" s="33"/>
      <c r="K2259" s="33"/>
      <c r="L2259" s="33"/>
      <c r="M2259" s="33"/>
      <c r="N2259" s="33"/>
      <c r="O2259" s="33"/>
      <c r="P2259" s="33"/>
      <c r="Q2259" s="33"/>
      <c r="R2259" s="33"/>
      <c r="S2259" s="33"/>
      <c r="T2259" s="33"/>
      <c r="U2259" s="33"/>
      <c r="V2259" s="33"/>
      <c r="W2259" s="33"/>
      <c r="X2259" s="33"/>
      <c r="Y2259" s="33"/>
      <c r="Z2259" s="33"/>
      <c r="AA2259" s="33"/>
      <c r="AB2259" s="33"/>
      <c r="AC2259" s="33"/>
      <c r="AD2259" s="33"/>
      <c r="AE2259" s="33"/>
      <c r="AF2259" s="33"/>
      <c r="AG2259" s="33"/>
      <c r="AH2259" s="33"/>
      <c r="AI2259" s="33"/>
      <c r="AJ2259" s="33"/>
      <c r="AK2259" s="34" t="str">
        <f aca="false">IF($B2259="","",COUNTIF($F2259:$AJ2259,"P"))</f>
        <v/>
      </c>
      <c r="AL2259" s="34" t="str">
        <f aca="false">IF($B2259="","",COUNTIF($F2259:$AJ2259,"A"))</f>
        <v/>
      </c>
      <c r="AM2259" s="34" t="str">
        <f aca="false">IF($B2259="","",COUNTIF($F2259:$AJ2259,"HA"))</f>
        <v/>
      </c>
      <c r="AN2259" s="34" t="str">
        <f aca="false">IF($B2259="","",COUNTIF($F2259:$AJ2259,"L"))</f>
        <v/>
      </c>
      <c r="AO2259" s="34" t="str">
        <f aca="false">IF($B2259="","",COUNTIF($F2259:$AJ2259,"PL"))</f>
        <v/>
      </c>
      <c r="AP2259" s="34" t="str">
        <f aca="false">IF($B2259="","",COUNTIF($F2259:$AJ2259,"CL"))</f>
        <v/>
      </c>
      <c r="AQ2259" s="34" t="str">
        <f aca="false">IF($B2259="","",COUNTIF($F2259:$AJ2259,"SL"))</f>
        <v/>
      </c>
      <c r="AR2259" s="34" t="str">
        <f aca="false">IF($B2259="","",COUNTIF($F2259:$AJ2259,"CO"))</f>
        <v/>
      </c>
      <c r="AS2259" s="34" t="str">
        <f aca="false">IF($B2259="","",COUNTIF($F2259:$AJ2259,"HPL"))</f>
        <v/>
      </c>
      <c r="AT2259" s="34" t="str">
        <f aca="false">IF($B2259="","",COUNTIF($F2259:$AJ2259,"HCL"))</f>
        <v/>
      </c>
      <c r="AU2259" s="34" t="str">
        <f aca="false">IF($B2259="","",COUNTIF($F2259:$AJ2259,"WO"))</f>
        <v/>
      </c>
      <c r="AV2259" s="34" t="str">
        <f aca="false">IF($B2259="","",COUNTIF($F2259:$AJ2259,"PH"))</f>
        <v/>
      </c>
      <c r="AW2259" s="34" t="str">
        <f aca="false">IF($B2259="","",COUNTIF($F2259:$AJ2259,"TR"))</f>
        <v/>
      </c>
      <c r="AX2259" s="35" t="str">
        <f aca="false">IF($B2259="","",AO2259+AS2259/2)</f>
        <v/>
      </c>
      <c r="AY2259" s="35" t="str">
        <f aca="false">IF($B2259="","",AQ2259)</f>
        <v/>
      </c>
      <c r="AZ2259" s="35" t="str">
        <f aca="false">IF($B2259="","",AP2259+AT2259/2)</f>
        <v/>
      </c>
      <c r="BA2259" s="35" t="str">
        <f aca="false">IF($B2259="","",AK2259+AN2259+AM2259/2+AO2259+AP2259+AQ2259+AR2259+AS2259+AT2259+AU2259+AV2259+AW2259)</f>
        <v/>
      </c>
      <c r="BB2259" s="35" t="str">
        <f aca="false">IF($B2259="","",MAX(0,AN2259-Settings!$C$16)*Settings!$C$17)</f>
        <v/>
      </c>
      <c r="BC2259" s="35" t="str">
        <f aca="false">IF($B2259="","",BA2259-BB2259)</f>
        <v/>
      </c>
      <c r="BD2259" s="35" t="str">
        <f aca="false">IF(OR($B2259="",$A2259=""),"",DAY(EOMONTH($A2259,0))-COUNTA($F2259:$AJ2259))</f>
        <v/>
      </c>
    </row>
    <row r="2260" customFormat="false" ht="15" hidden="false" customHeight="false" outlineLevel="0" collapsed="false">
      <c r="A2260" s="32"/>
      <c r="B2260" s="29"/>
      <c r="C2260" s="10" t="str">
        <f aca="false">IF($B2260="","",IFERROR(INDEX(M_name,MATCH($B2260,M_emp,0)),"Code not found"))</f>
        <v/>
      </c>
      <c r="D2260" s="10" t="str">
        <f aca="false">IF($B2260="","",IFERROR(INDEX(M_dept,MATCH($B2260,M_emp,0)),""))</f>
        <v/>
      </c>
      <c r="E2260" s="10" t="str">
        <f aca="false">IF($B2260="","",IFERROR(INDEX(M_loc,MATCH($B2260,M_emp,0)),""))</f>
        <v/>
      </c>
      <c r="F2260" s="33"/>
      <c r="G2260" s="33"/>
      <c r="H2260" s="33"/>
      <c r="I2260" s="33"/>
      <c r="J2260" s="33"/>
      <c r="K2260" s="33"/>
      <c r="L2260" s="33"/>
      <c r="M2260" s="33"/>
      <c r="N2260" s="33"/>
      <c r="O2260" s="33"/>
      <c r="P2260" s="33"/>
      <c r="Q2260" s="33"/>
      <c r="R2260" s="33"/>
      <c r="S2260" s="33"/>
      <c r="T2260" s="33"/>
      <c r="U2260" s="33"/>
      <c r="V2260" s="33"/>
      <c r="W2260" s="33"/>
      <c r="X2260" s="33"/>
      <c r="Y2260" s="33"/>
      <c r="Z2260" s="33"/>
      <c r="AA2260" s="33"/>
      <c r="AB2260" s="33"/>
      <c r="AC2260" s="33"/>
      <c r="AD2260" s="33"/>
      <c r="AE2260" s="33"/>
      <c r="AF2260" s="33"/>
      <c r="AG2260" s="33"/>
      <c r="AH2260" s="33"/>
      <c r="AI2260" s="33"/>
      <c r="AJ2260" s="33"/>
      <c r="AK2260" s="34" t="str">
        <f aca="false">IF($B2260="","",COUNTIF($F2260:$AJ2260,"P"))</f>
        <v/>
      </c>
      <c r="AL2260" s="34" t="str">
        <f aca="false">IF($B2260="","",COUNTIF($F2260:$AJ2260,"A"))</f>
        <v/>
      </c>
      <c r="AM2260" s="34" t="str">
        <f aca="false">IF($B2260="","",COUNTIF($F2260:$AJ2260,"HA"))</f>
        <v/>
      </c>
      <c r="AN2260" s="34" t="str">
        <f aca="false">IF($B2260="","",COUNTIF($F2260:$AJ2260,"L"))</f>
        <v/>
      </c>
      <c r="AO2260" s="34" t="str">
        <f aca="false">IF($B2260="","",COUNTIF($F2260:$AJ2260,"PL"))</f>
        <v/>
      </c>
      <c r="AP2260" s="34" t="str">
        <f aca="false">IF($B2260="","",COUNTIF($F2260:$AJ2260,"CL"))</f>
        <v/>
      </c>
      <c r="AQ2260" s="34" t="str">
        <f aca="false">IF($B2260="","",COUNTIF($F2260:$AJ2260,"SL"))</f>
        <v/>
      </c>
      <c r="AR2260" s="34" t="str">
        <f aca="false">IF($B2260="","",COUNTIF($F2260:$AJ2260,"CO"))</f>
        <v/>
      </c>
      <c r="AS2260" s="34" t="str">
        <f aca="false">IF($B2260="","",COUNTIF($F2260:$AJ2260,"HPL"))</f>
        <v/>
      </c>
      <c r="AT2260" s="34" t="str">
        <f aca="false">IF($B2260="","",COUNTIF($F2260:$AJ2260,"HCL"))</f>
        <v/>
      </c>
      <c r="AU2260" s="34" t="str">
        <f aca="false">IF($B2260="","",COUNTIF($F2260:$AJ2260,"WO"))</f>
        <v/>
      </c>
      <c r="AV2260" s="34" t="str">
        <f aca="false">IF($B2260="","",COUNTIF($F2260:$AJ2260,"PH"))</f>
        <v/>
      </c>
      <c r="AW2260" s="34" t="str">
        <f aca="false">IF($B2260="","",COUNTIF($F2260:$AJ2260,"TR"))</f>
        <v/>
      </c>
      <c r="AX2260" s="35" t="str">
        <f aca="false">IF($B2260="","",AO2260+AS2260/2)</f>
        <v/>
      </c>
      <c r="AY2260" s="35" t="str">
        <f aca="false">IF($B2260="","",AQ2260)</f>
        <v/>
      </c>
      <c r="AZ2260" s="35" t="str">
        <f aca="false">IF($B2260="","",AP2260+AT2260/2)</f>
        <v/>
      </c>
      <c r="BA2260" s="35" t="str">
        <f aca="false">IF($B2260="","",AK2260+AN2260+AM2260/2+AO2260+AP2260+AQ2260+AR2260+AS2260+AT2260+AU2260+AV2260+AW2260)</f>
        <v/>
      </c>
      <c r="BB2260" s="35" t="str">
        <f aca="false">IF($B2260="","",MAX(0,AN2260-Settings!$C$16)*Settings!$C$17)</f>
        <v/>
      </c>
      <c r="BC2260" s="35" t="str">
        <f aca="false">IF($B2260="","",BA2260-BB2260)</f>
        <v/>
      </c>
      <c r="BD2260" s="35" t="str">
        <f aca="false">IF(OR($B2260="",$A2260=""),"",DAY(EOMONTH($A2260,0))-COUNTA($F2260:$AJ2260))</f>
        <v/>
      </c>
    </row>
    <row r="2261" customFormat="false" ht="15" hidden="false" customHeight="false" outlineLevel="0" collapsed="false">
      <c r="A2261" s="32"/>
      <c r="B2261" s="29"/>
      <c r="C2261" s="10" t="str">
        <f aca="false">IF($B2261="","",IFERROR(INDEX(M_name,MATCH($B2261,M_emp,0)),"Code not found"))</f>
        <v/>
      </c>
      <c r="D2261" s="10" t="str">
        <f aca="false">IF($B2261="","",IFERROR(INDEX(M_dept,MATCH($B2261,M_emp,0)),""))</f>
        <v/>
      </c>
      <c r="E2261" s="10" t="str">
        <f aca="false">IF($B2261="","",IFERROR(INDEX(M_loc,MATCH($B2261,M_emp,0)),""))</f>
        <v/>
      </c>
      <c r="F2261" s="33"/>
      <c r="G2261" s="33"/>
      <c r="H2261" s="33"/>
      <c r="I2261" s="33"/>
      <c r="J2261" s="33"/>
      <c r="K2261" s="33"/>
      <c r="L2261" s="33"/>
      <c r="M2261" s="33"/>
      <c r="N2261" s="33"/>
      <c r="O2261" s="33"/>
      <c r="P2261" s="33"/>
      <c r="Q2261" s="33"/>
      <c r="R2261" s="33"/>
      <c r="S2261" s="33"/>
      <c r="T2261" s="33"/>
      <c r="U2261" s="33"/>
      <c r="V2261" s="33"/>
      <c r="W2261" s="33"/>
      <c r="X2261" s="33"/>
      <c r="Y2261" s="33"/>
      <c r="Z2261" s="33"/>
      <c r="AA2261" s="33"/>
      <c r="AB2261" s="33"/>
      <c r="AC2261" s="33"/>
      <c r="AD2261" s="33"/>
      <c r="AE2261" s="33"/>
      <c r="AF2261" s="33"/>
      <c r="AG2261" s="33"/>
      <c r="AH2261" s="33"/>
      <c r="AI2261" s="33"/>
      <c r="AJ2261" s="33"/>
      <c r="AK2261" s="34" t="str">
        <f aca="false">IF($B2261="","",COUNTIF($F2261:$AJ2261,"P"))</f>
        <v/>
      </c>
      <c r="AL2261" s="34" t="str">
        <f aca="false">IF($B2261="","",COUNTIF($F2261:$AJ2261,"A"))</f>
        <v/>
      </c>
      <c r="AM2261" s="34" t="str">
        <f aca="false">IF($B2261="","",COUNTIF($F2261:$AJ2261,"HA"))</f>
        <v/>
      </c>
      <c r="AN2261" s="34" t="str">
        <f aca="false">IF($B2261="","",COUNTIF($F2261:$AJ2261,"L"))</f>
        <v/>
      </c>
      <c r="AO2261" s="34" t="str">
        <f aca="false">IF($B2261="","",COUNTIF($F2261:$AJ2261,"PL"))</f>
        <v/>
      </c>
      <c r="AP2261" s="34" t="str">
        <f aca="false">IF($B2261="","",COUNTIF($F2261:$AJ2261,"CL"))</f>
        <v/>
      </c>
      <c r="AQ2261" s="34" t="str">
        <f aca="false">IF($B2261="","",COUNTIF($F2261:$AJ2261,"SL"))</f>
        <v/>
      </c>
      <c r="AR2261" s="34" t="str">
        <f aca="false">IF($B2261="","",COUNTIF($F2261:$AJ2261,"CO"))</f>
        <v/>
      </c>
      <c r="AS2261" s="34" t="str">
        <f aca="false">IF($B2261="","",COUNTIF($F2261:$AJ2261,"HPL"))</f>
        <v/>
      </c>
      <c r="AT2261" s="34" t="str">
        <f aca="false">IF($B2261="","",COUNTIF($F2261:$AJ2261,"HCL"))</f>
        <v/>
      </c>
      <c r="AU2261" s="34" t="str">
        <f aca="false">IF($B2261="","",COUNTIF($F2261:$AJ2261,"WO"))</f>
        <v/>
      </c>
      <c r="AV2261" s="34" t="str">
        <f aca="false">IF($B2261="","",COUNTIF($F2261:$AJ2261,"PH"))</f>
        <v/>
      </c>
      <c r="AW2261" s="34" t="str">
        <f aca="false">IF($B2261="","",COUNTIF($F2261:$AJ2261,"TR"))</f>
        <v/>
      </c>
      <c r="AX2261" s="35" t="str">
        <f aca="false">IF($B2261="","",AO2261+AS2261/2)</f>
        <v/>
      </c>
      <c r="AY2261" s="35" t="str">
        <f aca="false">IF($B2261="","",AQ2261)</f>
        <v/>
      </c>
      <c r="AZ2261" s="35" t="str">
        <f aca="false">IF($B2261="","",AP2261+AT2261/2)</f>
        <v/>
      </c>
      <c r="BA2261" s="35" t="str">
        <f aca="false">IF($B2261="","",AK2261+AN2261+AM2261/2+AO2261+AP2261+AQ2261+AR2261+AS2261+AT2261+AU2261+AV2261+AW2261)</f>
        <v/>
      </c>
      <c r="BB2261" s="35" t="str">
        <f aca="false">IF($B2261="","",MAX(0,AN2261-Settings!$C$16)*Settings!$C$17)</f>
        <v/>
      </c>
      <c r="BC2261" s="35" t="str">
        <f aca="false">IF($B2261="","",BA2261-BB2261)</f>
        <v/>
      </c>
      <c r="BD2261" s="35" t="str">
        <f aca="false">IF(OR($B2261="",$A2261=""),"",DAY(EOMONTH($A2261,0))-COUNTA($F2261:$AJ2261))</f>
        <v/>
      </c>
    </row>
    <row r="2262" customFormat="false" ht="15" hidden="false" customHeight="false" outlineLevel="0" collapsed="false">
      <c r="A2262" s="32"/>
      <c r="B2262" s="29"/>
      <c r="C2262" s="10" t="str">
        <f aca="false">IF($B2262="","",IFERROR(INDEX(M_name,MATCH($B2262,M_emp,0)),"Code not found"))</f>
        <v/>
      </c>
      <c r="D2262" s="10" t="str">
        <f aca="false">IF($B2262="","",IFERROR(INDEX(M_dept,MATCH($B2262,M_emp,0)),""))</f>
        <v/>
      </c>
      <c r="E2262" s="10" t="str">
        <f aca="false">IF($B2262="","",IFERROR(INDEX(M_loc,MATCH($B2262,M_emp,0)),""))</f>
        <v/>
      </c>
      <c r="F2262" s="33"/>
      <c r="G2262" s="33"/>
      <c r="H2262" s="33"/>
      <c r="I2262" s="33"/>
      <c r="J2262" s="33"/>
      <c r="K2262" s="33"/>
      <c r="L2262" s="33"/>
      <c r="M2262" s="33"/>
      <c r="N2262" s="33"/>
      <c r="O2262" s="33"/>
      <c r="P2262" s="33"/>
      <c r="Q2262" s="33"/>
      <c r="R2262" s="33"/>
      <c r="S2262" s="33"/>
      <c r="T2262" s="33"/>
      <c r="U2262" s="33"/>
      <c r="V2262" s="33"/>
      <c r="W2262" s="33"/>
      <c r="X2262" s="33"/>
      <c r="Y2262" s="33"/>
      <c r="Z2262" s="33"/>
      <c r="AA2262" s="33"/>
      <c r="AB2262" s="33"/>
      <c r="AC2262" s="33"/>
      <c r="AD2262" s="33"/>
      <c r="AE2262" s="33"/>
      <c r="AF2262" s="33"/>
      <c r="AG2262" s="33"/>
      <c r="AH2262" s="33"/>
      <c r="AI2262" s="33"/>
      <c r="AJ2262" s="33"/>
      <c r="AK2262" s="34" t="str">
        <f aca="false">IF($B2262="","",COUNTIF($F2262:$AJ2262,"P"))</f>
        <v/>
      </c>
      <c r="AL2262" s="34" t="str">
        <f aca="false">IF($B2262="","",COUNTIF($F2262:$AJ2262,"A"))</f>
        <v/>
      </c>
      <c r="AM2262" s="34" t="str">
        <f aca="false">IF($B2262="","",COUNTIF($F2262:$AJ2262,"HA"))</f>
        <v/>
      </c>
      <c r="AN2262" s="34" t="str">
        <f aca="false">IF($B2262="","",COUNTIF($F2262:$AJ2262,"L"))</f>
        <v/>
      </c>
      <c r="AO2262" s="34" t="str">
        <f aca="false">IF($B2262="","",COUNTIF($F2262:$AJ2262,"PL"))</f>
        <v/>
      </c>
      <c r="AP2262" s="34" t="str">
        <f aca="false">IF($B2262="","",COUNTIF($F2262:$AJ2262,"CL"))</f>
        <v/>
      </c>
      <c r="AQ2262" s="34" t="str">
        <f aca="false">IF($B2262="","",COUNTIF($F2262:$AJ2262,"SL"))</f>
        <v/>
      </c>
      <c r="AR2262" s="34" t="str">
        <f aca="false">IF($B2262="","",COUNTIF($F2262:$AJ2262,"CO"))</f>
        <v/>
      </c>
      <c r="AS2262" s="34" t="str">
        <f aca="false">IF($B2262="","",COUNTIF($F2262:$AJ2262,"HPL"))</f>
        <v/>
      </c>
      <c r="AT2262" s="34" t="str">
        <f aca="false">IF($B2262="","",COUNTIF($F2262:$AJ2262,"HCL"))</f>
        <v/>
      </c>
      <c r="AU2262" s="34" t="str">
        <f aca="false">IF($B2262="","",COUNTIF($F2262:$AJ2262,"WO"))</f>
        <v/>
      </c>
      <c r="AV2262" s="34" t="str">
        <f aca="false">IF($B2262="","",COUNTIF($F2262:$AJ2262,"PH"))</f>
        <v/>
      </c>
      <c r="AW2262" s="34" t="str">
        <f aca="false">IF($B2262="","",COUNTIF($F2262:$AJ2262,"TR"))</f>
        <v/>
      </c>
      <c r="AX2262" s="35" t="str">
        <f aca="false">IF($B2262="","",AO2262+AS2262/2)</f>
        <v/>
      </c>
      <c r="AY2262" s="35" t="str">
        <f aca="false">IF($B2262="","",AQ2262)</f>
        <v/>
      </c>
      <c r="AZ2262" s="35" t="str">
        <f aca="false">IF($B2262="","",AP2262+AT2262/2)</f>
        <v/>
      </c>
      <c r="BA2262" s="35" t="str">
        <f aca="false">IF($B2262="","",AK2262+AN2262+AM2262/2+AO2262+AP2262+AQ2262+AR2262+AS2262+AT2262+AU2262+AV2262+AW2262)</f>
        <v/>
      </c>
      <c r="BB2262" s="35" t="str">
        <f aca="false">IF($B2262="","",MAX(0,AN2262-Settings!$C$16)*Settings!$C$17)</f>
        <v/>
      </c>
      <c r="BC2262" s="35" t="str">
        <f aca="false">IF($B2262="","",BA2262-BB2262)</f>
        <v/>
      </c>
      <c r="BD2262" s="35" t="str">
        <f aca="false">IF(OR($B2262="",$A2262=""),"",DAY(EOMONTH($A2262,0))-COUNTA($F2262:$AJ2262))</f>
        <v/>
      </c>
    </row>
    <row r="2263" customFormat="false" ht="15" hidden="false" customHeight="false" outlineLevel="0" collapsed="false">
      <c r="A2263" s="32"/>
      <c r="B2263" s="29"/>
      <c r="C2263" s="10" t="str">
        <f aca="false">IF($B2263="","",IFERROR(INDEX(M_name,MATCH($B2263,M_emp,0)),"Code not found"))</f>
        <v/>
      </c>
      <c r="D2263" s="10" t="str">
        <f aca="false">IF($B2263="","",IFERROR(INDEX(M_dept,MATCH($B2263,M_emp,0)),""))</f>
        <v/>
      </c>
      <c r="E2263" s="10" t="str">
        <f aca="false">IF($B2263="","",IFERROR(INDEX(M_loc,MATCH($B2263,M_emp,0)),""))</f>
        <v/>
      </c>
      <c r="F2263" s="33"/>
      <c r="G2263" s="33"/>
      <c r="H2263" s="33"/>
      <c r="I2263" s="33"/>
      <c r="J2263" s="33"/>
      <c r="K2263" s="33"/>
      <c r="L2263" s="33"/>
      <c r="M2263" s="33"/>
      <c r="N2263" s="33"/>
      <c r="O2263" s="33"/>
      <c r="P2263" s="33"/>
      <c r="Q2263" s="33"/>
      <c r="R2263" s="33"/>
      <c r="S2263" s="33"/>
      <c r="T2263" s="33"/>
      <c r="U2263" s="33"/>
      <c r="V2263" s="33"/>
      <c r="W2263" s="33"/>
      <c r="X2263" s="33"/>
      <c r="Y2263" s="33"/>
      <c r="Z2263" s="33"/>
      <c r="AA2263" s="33"/>
      <c r="AB2263" s="33"/>
      <c r="AC2263" s="33"/>
      <c r="AD2263" s="33"/>
      <c r="AE2263" s="33"/>
      <c r="AF2263" s="33"/>
      <c r="AG2263" s="33"/>
      <c r="AH2263" s="33"/>
      <c r="AI2263" s="33"/>
      <c r="AJ2263" s="33"/>
      <c r="AK2263" s="34" t="str">
        <f aca="false">IF($B2263="","",COUNTIF($F2263:$AJ2263,"P"))</f>
        <v/>
      </c>
      <c r="AL2263" s="34" t="str">
        <f aca="false">IF($B2263="","",COUNTIF($F2263:$AJ2263,"A"))</f>
        <v/>
      </c>
      <c r="AM2263" s="34" t="str">
        <f aca="false">IF($B2263="","",COUNTIF($F2263:$AJ2263,"HA"))</f>
        <v/>
      </c>
      <c r="AN2263" s="34" t="str">
        <f aca="false">IF($B2263="","",COUNTIF($F2263:$AJ2263,"L"))</f>
        <v/>
      </c>
      <c r="AO2263" s="34" t="str">
        <f aca="false">IF($B2263="","",COUNTIF($F2263:$AJ2263,"PL"))</f>
        <v/>
      </c>
      <c r="AP2263" s="34" t="str">
        <f aca="false">IF($B2263="","",COUNTIF($F2263:$AJ2263,"CL"))</f>
        <v/>
      </c>
      <c r="AQ2263" s="34" t="str">
        <f aca="false">IF($B2263="","",COUNTIF($F2263:$AJ2263,"SL"))</f>
        <v/>
      </c>
      <c r="AR2263" s="34" t="str">
        <f aca="false">IF($B2263="","",COUNTIF($F2263:$AJ2263,"CO"))</f>
        <v/>
      </c>
      <c r="AS2263" s="34" t="str">
        <f aca="false">IF($B2263="","",COUNTIF($F2263:$AJ2263,"HPL"))</f>
        <v/>
      </c>
      <c r="AT2263" s="34" t="str">
        <f aca="false">IF($B2263="","",COUNTIF($F2263:$AJ2263,"HCL"))</f>
        <v/>
      </c>
      <c r="AU2263" s="34" t="str">
        <f aca="false">IF($B2263="","",COUNTIF($F2263:$AJ2263,"WO"))</f>
        <v/>
      </c>
      <c r="AV2263" s="34" t="str">
        <f aca="false">IF($B2263="","",COUNTIF($F2263:$AJ2263,"PH"))</f>
        <v/>
      </c>
      <c r="AW2263" s="34" t="str">
        <f aca="false">IF($B2263="","",COUNTIF($F2263:$AJ2263,"TR"))</f>
        <v/>
      </c>
      <c r="AX2263" s="35" t="str">
        <f aca="false">IF($B2263="","",AO2263+AS2263/2)</f>
        <v/>
      </c>
      <c r="AY2263" s="35" t="str">
        <f aca="false">IF($B2263="","",AQ2263)</f>
        <v/>
      </c>
      <c r="AZ2263" s="35" t="str">
        <f aca="false">IF($B2263="","",AP2263+AT2263/2)</f>
        <v/>
      </c>
      <c r="BA2263" s="35" t="str">
        <f aca="false">IF($B2263="","",AK2263+AN2263+AM2263/2+AO2263+AP2263+AQ2263+AR2263+AS2263+AT2263+AU2263+AV2263+AW2263)</f>
        <v/>
      </c>
      <c r="BB2263" s="35" t="str">
        <f aca="false">IF($B2263="","",MAX(0,AN2263-Settings!$C$16)*Settings!$C$17)</f>
        <v/>
      </c>
      <c r="BC2263" s="35" t="str">
        <f aca="false">IF($B2263="","",BA2263-BB2263)</f>
        <v/>
      </c>
      <c r="BD2263" s="35" t="str">
        <f aca="false">IF(OR($B2263="",$A2263=""),"",DAY(EOMONTH($A2263,0))-COUNTA($F2263:$AJ2263))</f>
        <v/>
      </c>
    </row>
    <row r="2264" customFormat="false" ht="15" hidden="false" customHeight="false" outlineLevel="0" collapsed="false">
      <c r="A2264" s="32"/>
      <c r="B2264" s="29"/>
      <c r="C2264" s="10" t="str">
        <f aca="false">IF($B2264="","",IFERROR(INDEX(M_name,MATCH($B2264,M_emp,0)),"Code not found"))</f>
        <v/>
      </c>
      <c r="D2264" s="10" t="str">
        <f aca="false">IF($B2264="","",IFERROR(INDEX(M_dept,MATCH($B2264,M_emp,0)),""))</f>
        <v/>
      </c>
      <c r="E2264" s="10" t="str">
        <f aca="false">IF($B2264="","",IFERROR(INDEX(M_loc,MATCH($B2264,M_emp,0)),""))</f>
        <v/>
      </c>
      <c r="F2264" s="33"/>
      <c r="G2264" s="33"/>
      <c r="H2264" s="33"/>
      <c r="I2264" s="33"/>
      <c r="J2264" s="33"/>
      <c r="K2264" s="33"/>
      <c r="L2264" s="33"/>
      <c r="M2264" s="33"/>
      <c r="N2264" s="33"/>
      <c r="O2264" s="33"/>
      <c r="P2264" s="33"/>
      <c r="Q2264" s="33"/>
      <c r="R2264" s="33"/>
      <c r="S2264" s="33"/>
      <c r="T2264" s="33"/>
      <c r="U2264" s="33"/>
      <c r="V2264" s="33"/>
      <c r="W2264" s="33"/>
      <c r="X2264" s="33"/>
      <c r="Y2264" s="33"/>
      <c r="Z2264" s="33"/>
      <c r="AA2264" s="33"/>
      <c r="AB2264" s="33"/>
      <c r="AC2264" s="33"/>
      <c r="AD2264" s="33"/>
      <c r="AE2264" s="33"/>
      <c r="AF2264" s="33"/>
      <c r="AG2264" s="33"/>
      <c r="AH2264" s="33"/>
      <c r="AI2264" s="33"/>
      <c r="AJ2264" s="33"/>
      <c r="AK2264" s="34" t="str">
        <f aca="false">IF($B2264="","",COUNTIF($F2264:$AJ2264,"P"))</f>
        <v/>
      </c>
      <c r="AL2264" s="34" t="str">
        <f aca="false">IF($B2264="","",COUNTIF($F2264:$AJ2264,"A"))</f>
        <v/>
      </c>
      <c r="AM2264" s="34" t="str">
        <f aca="false">IF($B2264="","",COUNTIF($F2264:$AJ2264,"HA"))</f>
        <v/>
      </c>
      <c r="AN2264" s="34" t="str">
        <f aca="false">IF($B2264="","",COUNTIF($F2264:$AJ2264,"L"))</f>
        <v/>
      </c>
      <c r="AO2264" s="34" t="str">
        <f aca="false">IF($B2264="","",COUNTIF($F2264:$AJ2264,"PL"))</f>
        <v/>
      </c>
      <c r="AP2264" s="34" t="str">
        <f aca="false">IF($B2264="","",COUNTIF($F2264:$AJ2264,"CL"))</f>
        <v/>
      </c>
      <c r="AQ2264" s="34" t="str">
        <f aca="false">IF($B2264="","",COUNTIF($F2264:$AJ2264,"SL"))</f>
        <v/>
      </c>
      <c r="AR2264" s="34" t="str">
        <f aca="false">IF($B2264="","",COUNTIF($F2264:$AJ2264,"CO"))</f>
        <v/>
      </c>
      <c r="AS2264" s="34" t="str">
        <f aca="false">IF($B2264="","",COUNTIF($F2264:$AJ2264,"HPL"))</f>
        <v/>
      </c>
      <c r="AT2264" s="34" t="str">
        <f aca="false">IF($B2264="","",COUNTIF($F2264:$AJ2264,"HCL"))</f>
        <v/>
      </c>
      <c r="AU2264" s="34" t="str">
        <f aca="false">IF($B2264="","",COUNTIF($F2264:$AJ2264,"WO"))</f>
        <v/>
      </c>
      <c r="AV2264" s="34" t="str">
        <f aca="false">IF($B2264="","",COUNTIF($F2264:$AJ2264,"PH"))</f>
        <v/>
      </c>
      <c r="AW2264" s="34" t="str">
        <f aca="false">IF($B2264="","",COUNTIF($F2264:$AJ2264,"TR"))</f>
        <v/>
      </c>
      <c r="AX2264" s="35" t="str">
        <f aca="false">IF($B2264="","",AO2264+AS2264/2)</f>
        <v/>
      </c>
      <c r="AY2264" s="35" t="str">
        <f aca="false">IF($B2264="","",AQ2264)</f>
        <v/>
      </c>
      <c r="AZ2264" s="35" t="str">
        <f aca="false">IF($B2264="","",AP2264+AT2264/2)</f>
        <v/>
      </c>
      <c r="BA2264" s="35" t="str">
        <f aca="false">IF($B2264="","",AK2264+AN2264+AM2264/2+AO2264+AP2264+AQ2264+AR2264+AS2264+AT2264+AU2264+AV2264+AW2264)</f>
        <v/>
      </c>
      <c r="BB2264" s="35" t="str">
        <f aca="false">IF($B2264="","",MAX(0,AN2264-Settings!$C$16)*Settings!$C$17)</f>
        <v/>
      </c>
      <c r="BC2264" s="35" t="str">
        <f aca="false">IF($B2264="","",BA2264-BB2264)</f>
        <v/>
      </c>
      <c r="BD2264" s="35" t="str">
        <f aca="false">IF(OR($B2264="",$A2264=""),"",DAY(EOMONTH($A2264,0))-COUNTA($F2264:$AJ2264))</f>
        <v/>
      </c>
    </row>
    <row r="2265" customFormat="false" ht="15" hidden="false" customHeight="false" outlineLevel="0" collapsed="false">
      <c r="A2265" s="32"/>
      <c r="B2265" s="29"/>
      <c r="C2265" s="10" t="str">
        <f aca="false">IF($B2265="","",IFERROR(INDEX(M_name,MATCH($B2265,M_emp,0)),"Code not found"))</f>
        <v/>
      </c>
      <c r="D2265" s="10" t="str">
        <f aca="false">IF($B2265="","",IFERROR(INDEX(M_dept,MATCH($B2265,M_emp,0)),""))</f>
        <v/>
      </c>
      <c r="E2265" s="10" t="str">
        <f aca="false">IF($B2265="","",IFERROR(INDEX(M_loc,MATCH($B2265,M_emp,0)),""))</f>
        <v/>
      </c>
      <c r="F2265" s="33"/>
      <c r="G2265" s="33"/>
      <c r="H2265" s="33"/>
      <c r="I2265" s="33"/>
      <c r="J2265" s="33"/>
      <c r="K2265" s="33"/>
      <c r="L2265" s="33"/>
      <c r="M2265" s="33"/>
      <c r="N2265" s="33"/>
      <c r="O2265" s="33"/>
      <c r="P2265" s="33"/>
      <c r="Q2265" s="33"/>
      <c r="R2265" s="33"/>
      <c r="S2265" s="33"/>
      <c r="T2265" s="33"/>
      <c r="U2265" s="33"/>
      <c r="V2265" s="33"/>
      <c r="W2265" s="33"/>
      <c r="X2265" s="33"/>
      <c r="Y2265" s="33"/>
      <c r="Z2265" s="33"/>
      <c r="AA2265" s="33"/>
      <c r="AB2265" s="33"/>
      <c r="AC2265" s="33"/>
      <c r="AD2265" s="33"/>
      <c r="AE2265" s="33"/>
      <c r="AF2265" s="33"/>
      <c r="AG2265" s="33"/>
      <c r="AH2265" s="33"/>
      <c r="AI2265" s="33"/>
      <c r="AJ2265" s="33"/>
      <c r="AK2265" s="34" t="str">
        <f aca="false">IF($B2265="","",COUNTIF($F2265:$AJ2265,"P"))</f>
        <v/>
      </c>
      <c r="AL2265" s="34" t="str">
        <f aca="false">IF($B2265="","",COUNTIF($F2265:$AJ2265,"A"))</f>
        <v/>
      </c>
      <c r="AM2265" s="34" t="str">
        <f aca="false">IF($B2265="","",COUNTIF($F2265:$AJ2265,"HA"))</f>
        <v/>
      </c>
      <c r="AN2265" s="34" t="str">
        <f aca="false">IF($B2265="","",COUNTIF($F2265:$AJ2265,"L"))</f>
        <v/>
      </c>
      <c r="AO2265" s="34" t="str">
        <f aca="false">IF($B2265="","",COUNTIF($F2265:$AJ2265,"PL"))</f>
        <v/>
      </c>
      <c r="AP2265" s="34" t="str">
        <f aca="false">IF($B2265="","",COUNTIF($F2265:$AJ2265,"CL"))</f>
        <v/>
      </c>
      <c r="AQ2265" s="34" t="str">
        <f aca="false">IF($B2265="","",COUNTIF($F2265:$AJ2265,"SL"))</f>
        <v/>
      </c>
      <c r="AR2265" s="34" t="str">
        <f aca="false">IF($B2265="","",COUNTIF($F2265:$AJ2265,"CO"))</f>
        <v/>
      </c>
      <c r="AS2265" s="34" t="str">
        <f aca="false">IF($B2265="","",COUNTIF($F2265:$AJ2265,"HPL"))</f>
        <v/>
      </c>
      <c r="AT2265" s="34" t="str">
        <f aca="false">IF($B2265="","",COUNTIF($F2265:$AJ2265,"HCL"))</f>
        <v/>
      </c>
      <c r="AU2265" s="34" t="str">
        <f aca="false">IF($B2265="","",COUNTIF($F2265:$AJ2265,"WO"))</f>
        <v/>
      </c>
      <c r="AV2265" s="34" t="str">
        <f aca="false">IF($B2265="","",COUNTIF($F2265:$AJ2265,"PH"))</f>
        <v/>
      </c>
      <c r="AW2265" s="34" t="str">
        <f aca="false">IF($B2265="","",COUNTIF($F2265:$AJ2265,"TR"))</f>
        <v/>
      </c>
      <c r="AX2265" s="35" t="str">
        <f aca="false">IF($B2265="","",AO2265+AS2265/2)</f>
        <v/>
      </c>
      <c r="AY2265" s="35" t="str">
        <f aca="false">IF($B2265="","",AQ2265)</f>
        <v/>
      </c>
      <c r="AZ2265" s="35" t="str">
        <f aca="false">IF($B2265="","",AP2265+AT2265/2)</f>
        <v/>
      </c>
      <c r="BA2265" s="35" t="str">
        <f aca="false">IF($B2265="","",AK2265+AN2265+AM2265/2+AO2265+AP2265+AQ2265+AR2265+AS2265+AT2265+AU2265+AV2265+AW2265)</f>
        <v/>
      </c>
      <c r="BB2265" s="35" t="str">
        <f aca="false">IF($B2265="","",MAX(0,AN2265-Settings!$C$16)*Settings!$C$17)</f>
        <v/>
      </c>
      <c r="BC2265" s="35" t="str">
        <f aca="false">IF($B2265="","",BA2265-BB2265)</f>
        <v/>
      </c>
      <c r="BD2265" s="35" t="str">
        <f aca="false">IF(OR($B2265="",$A2265=""),"",DAY(EOMONTH($A2265,0))-COUNTA($F2265:$AJ2265))</f>
        <v/>
      </c>
    </row>
    <row r="2266" customFormat="false" ht="15" hidden="false" customHeight="false" outlineLevel="0" collapsed="false">
      <c r="A2266" s="32"/>
      <c r="B2266" s="29"/>
      <c r="C2266" s="10" t="str">
        <f aca="false">IF($B2266="","",IFERROR(INDEX(M_name,MATCH($B2266,M_emp,0)),"Code not found"))</f>
        <v/>
      </c>
      <c r="D2266" s="10" t="str">
        <f aca="false">IF($B2266="","",IFERROR(INDEX(M_dept,MATCH($B2266,M_emp,0)),""))</f>
        <v/>
      </c>
      <c r="E2266" s="10" t="str">
        <f aca="false">IF($B2266="","",IFERROR(INDEX(M_loc,MATCH($B2266,M_emp,0)),""))</f>
        <v/>
      </c>
      <c r="F2266" s="33"/>
      <c r="G2266" s="33"/>
      <c r="H2266" s="33"/>
      <c r="I2266" s="33"/>
      <c r="J2266" s="33"/>
      <c r="K2266" s="33"/>
      <c r="L2266" s="33"/>
      <c r="M2266" s="33"/>
      <c r="N2266" s="33"/>
      <c r="O2266" s="33"/>
      <c r="P2266" s="33"/>
      <c r="Q2266" s="33"/>
      <c r="R2266" s="33"/>
      <c r="S2266" s="33"/>
      <c r="T2266" s="33"/>
      <c r="U2266" s="33"/>
      <c r="V2266" s="33"/>
      <c r="W2266" s="33"/>
      <c r="X2266" s="33"/>
      <c r="Y2266" s="33"/>
      <c r="Z2266" s="33"/>
      <c r="AA2266" s="33"/>
      <c r="AB2266" s="33"/>
      <c r="AC2266" s="33"/>
      <c r="AD2266" s="33"/>
      <c r="AE2266" s="33"/>
      <c r="AF2266" s="33"/>
      <c r="AG2266" s="33"/>
      <c r="AH2266" s="33"/>
      <c r="AI2266" s="33"/>
      <c r="AJ2266" s="33"/>
      <c r="AK2266" s="34" t="str">
        <f aca="false">IF($B2266="","",COUNTIF($F2266:$AJ2266,"P"))</f>
        <v/>
      </c>
      <c r="AL2266" s="34" t="str">
        <f aca="false">IF($B2266="","",COUNTIF($F2266:$AJ2266,"A"))</f>
        <v/>
      </c>
      <c r="AM2266" s="34" t="str">
        <f aca="false">IF($B2266="","",COUNTIF($F2266:$AJ2266,"HA"))</f>
        <v/>
      </c>
      <c r="AN2266" s="34" t="str">
        <f aca="false">IF($B2266="","",COUNTIF($F2266:$AJ2266,"L"))</f>
        <v/>
      </c>
      <c r="AO2266" s="34" t="str">
        <f aca="false">IF($B2266="","",COUNTIF($F2266:$AJ2266,"PL"))</f>
        <v/>
      </c>
      <c r="AP2266" s="34" t="str">
        <f aca="false">IF($B2266="","",COUNTIF($F2266:$AJ2266,"CL"))</f>
        <v/>
      </c>
      <c r="AQ2266" s="34" t="str">
        <f aca="false">IF($B2266="","",COUNTIF($F2266:$AJ2266,"SL"))</f>
        <v/>
      </c>
      <c r="AR2266" s="34" t="str">
        <f aca="false">IF($B2266="","",COUNTIF($F2266:$AJ2266,"CO"))</f>
        <v/>
      </c>
      <c r="AS2266" s="34" t="str">
        <f aca="false">IF($B2266="","",COUNTIF($F2266:$AJ2266,"HPL"))</f>
        <v/>
      </c>
      <c r="AT2266" s="34" t="str">
        <f aca="false">IF($B2266="","",COUNTIF($F2266:$AJ2266,"HCL"))</f>
        <v/>
      </c>
      <c r="AU2266" s="34" t="str">
        <f aca="false">IF($B2266="","",COUNTIF($F2266:$AJ2266,"WO"))</f>
        <v/>
      </c>
      <c r="AV2266" s="34" t="str">
        <f aca="false">IF($B2266="","",COUNTIF($F2266:$AJ2266,"PH"))</f>
        <v/>
      </c>
      <c r="AW2266" s="34" t="str">
        <f aca="false">IF($B2266="","",COUNTIF($F2266:$AJ2266,"TR"))</f>
        <v/>
      </c>
      <c r="AX2266" s="35" t="str">
        <f aca="false">IF($B2266="","",AO2266+AS2266/2)</f>
        <v/>
      </c>
      <c r="AY2266" s="35" t="str">
        <f aca="false">IF($B2266="","",AQ2266)</f>
        <v/>
      </c>
      <c r="AZ2266" s="35" t="str">
        <f aca="false">IF($B2266="","",AP2266+AT2266/2)</f>
        <v/>
      </c>
      <c r="BA2266" s="35" t="str">
        <f aca="false">IF($B2266="","",AK2266+AN2266+AM2266/2+AO2266+AP2266+AQ2266+AR2266+AS2266+AT2266+AU2266+AV2266+AW2266)</f>
        <v/>
      </c>
      <c r="BB2266" s="35" t="str">
        <f aca="false">IF($B2266="","",MAX(0,AN2266-Settings!$C$16)*Settings!$C$17)</f>
        <v/>
      </c>
      <c r="BC2266" s="35" t="str">
        <f aca="false">IF($B2266="","",BA2266-BB2266)</f>
        <v/>
      </c>
      <c r="BD2266" s="35" t="str">
        <f aca="false">IF(OR($B2266="",$A2266=""),"",DAY(EOMONTH($A2266,0))-COUNTA($F2266:$AJ2266))</f>
        <v/>
      </c>
    </row>
    <row r="2267" customFormat="false" ht="15" hidden="false" customHeight="false" outlineLevel="0" collapsed="false">
      <c r="A2267" s="32"/>
      <c r="B2267" s="29"/>
      <c r="C2267" s="10" t="str">
        <f aca="false">IF($B2267="","",IFERROR(INDEX(M_name,MATCH($B2267,M_emp,0)),"Code not found"))</f>
        <v/>
      </c>
      <c r="D2267" s="10" t="str">
        <f aca="false">IF($B2267="","",IFERROR(INDEX(M_dept,MATCH($B2267,M_emp,0)),""))</f>
        <v/>
      </c>
      <c r="E2267" s="10" t="str">
        <f aca="false">IF($B2267="","",IFERROR(INDEX(M_loc,MATCH($B2267,M_emp,0)),""))</f>
        <v/>
      </c>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c r="AB2267" s="33"/>
      <c r="AC2267" s="33"/>
      <c r="AD2267" s="33"/>
      <c r="AE2267" s="33"/>
      <c r="AF2267" s="33"/>
      <c r="AG2267" s="33"/>
      <c r="AH2267" s="33"/>
      <c r="AI2267" s="33"/>
      <c r="AJ2267" s="33"/>
      <c r="AK2267" s="34" t="str">
        <f aca="false">IF($B2267="","",COUNTIF($F2267:$AJ2267,"P"))</f>
        <v/>
      </c>
      <c r="AL2267" s="34" t="str">
        <f aca="false">IF($B2267="","",COUNTIF($F2267:$AJ2267,"A"))</f>
        <v/>
      </c>
      <c r="AM2267" s="34" t="str">
        <f aca="false">IF($B2267="","",COUNTIF($F2267:$AJ2267,"HA"))</f>
        <v/>
      </c>
      <c r="AN2267" s="34" t="str">
        <f aca="false">IF($B2267="","",COUNTIF($F2267:$AJ2267,"L"))</f>
        <v/>
      </c>
      <c r="AO2267" s="34" t="str">
        <f aca="false">IF($B2267="","",COUNTIF($F2267:$AJ2267,"PL"))</f>
        <v/>
      </c>
      <c r="AP2267" s="34" t="str">
        <f aca="false">IF($B2267="","",COUNTIF($F2267:$AJ2267,"CL"))</f>
        <v/>
      </c>
      <c r="AQ2267" s="34" t="str">
        <f aca="false">IF($B2267="","",COUNTIF($F2267:$AJ2267,"SL"))</f>
        <v/>
      </c>
      <c r="AR2267" s="34" t="str">
        <f aca="false">IF($B2267="","",COUNTIF($F2267:$AJ2267,"CO"))</f>
        <v/>
      </c>
      <c r="AS2267" s="34" t="str">
        <f aca="false">IF($B2267="","",COUNTIF($F2267:$AJ2267,"HPL"))</f>
        <v/>
      </c>
      <c r="AT2267" s="34" t="str">
        <f aca="false">IF($B2267="","",COUNTIF($F2267:$AJ2267,"HCL"))</f>
        <v/>
      </c>
      <c r="AU2267" s="34" t="str">
        <f aca="false">IF($B2267="","",COUNTIF($F2267:$AJ2267,"WO"))</f>
        <v/>
      </c>
      <c r="AV2267" s="34" t="str">
        <f aca="false">IF($B2267="","",COUNTIF($F2267:$AJ2267,"PH"))</f>
        <v/>
      </c>
      <c r="AW2267" s="34" t="str">
        <f aca="false">IF($B2267="","",COUNTIF($F2267:$AJ2267,"TR"))</f>
        <v/>
      </c>
      <c r="AX2267" s="35" t="str">
        <f aca="false">IF($B2267="","",AO2267+AS2267/2)</f>
        <v/>
      </c>
      <c r="AY2267" s="35" t="str">
        <f aca="false">IF($B2267="","",AQ2267)</f>
        <v/>
      </c>
      <c r="AZ2267" s="35" t="str">
        <f aca="false">IF($B2267="","",AP2267+AT2267/2)</f>
        <v/>
      </c>
      <c r="BA2267" s="35" t="str">
        <f aca="false">IF($B2267="","",AK2267+AN2267+AM2267/2+AO2267+AP2267+AQ2267+AR2267+AS2267+AT2267+AU2267+AV2267+AW2267)</f>
        <v/>
      </c>
      <c r="BB2267" s="35" t="str">
        <f aca="false">IF($B2267="","",MAX(0,AN2267-Settings!$C$16)*Settings!$C$17)</f>
        <v/>
      </c>
      <c r="BC2267" s="35" t="str">
        <f aca="false">IF($B2267="","",BA2267-BB2267)</f>
        <v/>
      </c>
      <c r="BD2267" s="35" t="str">
        <f aca="false">IF(OR($B2267="",$A2267=""),"",DAY(EOMONTH($A2267,0))-COUNTA($F2267:$AJ2267))</f>
        <v/>
      </c>
    </row>
    <row r="2268" customFormat="false" ht="15" hidden="false" customHeight="false" outlineLevel="0" collapsed="false">
      <c r="A2268" s="32"/>
      <c r="B2268" s="29"/>
      <c r="C2268" s="10" t="str">
        <f aca="false">IF($B2268="","",IFERROR(INDEX(M_name,MATCH($B2268,M_emp,0)),"Code not found"))</f>
        <v/>
      </c>
      <c r="D2268" s="10" t="str">
        <f aca="false">IF($B2268="","",IFERROR(INDEX(M_dept,MATCH($B2268,M_emp,0)),""))</f>
        <v/>
      </c>
      <c r="E2268" s="10" t="str">
        <f aca="false">IF($B2268="","",IFERROR(INDEX(M_loc,MATCH($B2268,M_emp,0)),""))</f>
        <v/>
      </c>
      <c r="F2268" s="33"/>
      <c r="G2268" s="33"/>
      <c r="H2268" s="33"/>
      <c r="I2268" s="33"/>
      <c r="J2268" s="33"/>
      <c r="K2268" s="33"/>
      <c r="L2268" s="33"/>
      <c r="M2268" s="33"/>
      <c r="N2268" s="33"/>
      <c r="O2268" s="33"/>
      <c r="P2268" s="33"/>
      <c r="Q2268" s="33"/>
      <c r="R2268" s="33"/>
      <c r="S2268" s="33"/>
      <c r="T2268" s="33"/>
      <c r="U2268" s="33"/>
      <c r="V2268" s="33"/>
      <c r="W2268" s="33"/>
      <c r="X2268" s="33"/>
      <c r="Y2268" s="33"/>
      <c r="Z2268" s="33"/>
      <c r="AA2268" s="33"/>
      <c r="AB2268" s="33"/>
      <c r="AC2268" s="33"/>
      <c r="AD2268" s="33"/>
      <c r="AE2268" s="33"/>
      <c r="AF2268" s="33"/>
      <c r="AG2268" s="33"/>
      <c r="AH2268" s="33"/>
      <c r="AI2268" s="33"/>
      <c r="AJ2268" s="33"/>
      <c r="AK2268" s="34" t="str">
        <f aca="false">IF($B2268="","",COUNTIF($F2268:$AJ2268,"P"))</f>
        <v/>
      </c>
      <c r="AL2268" s="34" t="str">
        <f aca="false">IF($B2268="","",COUNTIF($F2268:$AJ2268,"A"))</f>
        <v/>
      </c>
      <c r="AM2268" s="34" t="str">
        <f aca="false">IF($B2268="","",COUNTIF($F2268:$AJ2268,"HA"))</f>
        <v/>
      </c>
      <c r="AN2268" s="34" t="str">
        <f aca="false">IF($B2268="","",COUNTIF($F2268:$AJ2268,"L"))</f>
        <v/>
      </c>
      <c r="AO2268" s="34" t="str">
        <f aca="false">IF($B2268="","",COUNTIF($F2268:$AJ2268,"PL"))</f>
        <v/>
      </c>
      <c r="AP2268" s="34" t="str">
        <f aca="false">IF($B2268="","",COUNTIF($F2268:$AJ2268,"CL"))</f>
        <v/>
      </c>
      <c r="AQ2268" s="34" t="str">
        <f aca="false">IF($B2268="","",COUNTIF($F2268:$AJ2268,"SL"))</f>
        <v/>
      </c>
      <c r="AR2268" s="34" t="str">
        <f aca="false">IF($B2268="","",COUNTIF($F2268:$AJ2268,"CO"))</f>
        <v/>
      </c>
      <c r="AS2268" s="34" t="str">
        <f aca="false">IF($B2268="","",COUNTIF($F2268:$AJ2268,"HPL"))</f>
        <v/>
      </c>
      <c r="AT2268" s="34" t="str">
        <f aca="false">IF($B2268="","",COUNTIF($F2268:$AJ2268,"HCL"))</f>
        <v/>
      </c>
      <c r="AU2268" s="34" t="str">
        <f aca="false">IF($B2268="","",COUNTIF($F2268:$AJ2268,"WO"))</f>
        <v/>
      </c>
      <c r="AV2268" s="34" t="str">
        <f aca="false">IF($B2268="","",COUNTIF($F2268:$AJ2268,"PH"))</f>
        <v/>
      </c>
      <c r="AW2268" s="34" t="str">
        <f aca="false">IF($B2268="","",COUNTIF($F2268:$AJ2268,"TR"))</f>
        <v/>
      </c>
      <c r="AX2268" s="35" t="str">
        <f aca="false">IF($B2268="","",AO2268+AS2268/2)</f>
        <v/>
      </c>
      <c r="AY2268" s="35" t="str">
        <f aca="false">IF($B2268="","",AQ2268)</f>
        <v/>
      </c>
      <c r="AZ2268" s="35" t="str">
        <f aca="false">IF($B2268="","",AP2268+AT2268/2)</f>
        <v/>
      </c>
      <c r="BA2268" s="35" t="str">
        <f aca="false">IF($B2268="","",AK2268+AN2268+AM2268/2+AO2268+AP2268+AQ2268+AR2268+AS2268+AT2268+AU2268+AV2268+AW2268)</f>
        <v/>
      </c>
      <c r="BB2268" s="35" t="str">
        <f aca="false">IF($B2268="","",MAX(0,AN2268-Settings!$C$16)*Settings!$C$17)</f>
        <v/>
      </c>
      <c r="BC2268" s="35" t="str">
        <f aca="false">IF($B2268="","",BA2268-BB2268)</f>
        <v/>
      </c>
      <c r="BD2268" s="35" t="str">
        <f aca="false">IF(OR($B2268="",$A2268=""),"",DAY(EOMONTH($A2268,0))-COUNTA($F2268:$AJ2268))</f>
        <v/>
      </c>
    </row>
    <row r="2269" customFormat="false" ht="15" hidden="false" customHeight="false" outlineLevel="0" collapsed="false">
      <c r="A2269" s="32"/>
      <c r="B2269" s="29"/>
      <c r="C2269" s="10" t="str">
        <f aca="false">IF($B2269="","",IFERROR(INDEX(M_name,MATCH($B2269,M_emp,0)),"Code not found"))</f>
        <v/>
      </c>
      <c r="D2269" s="10" t="str">
        <f aca="false">IF($B2269="","",IFERROR(INDEX(M_dept,MATCH($B2269,M_emp,0)),""))</f>
        <v/>
      </c>
      <c r="E2269" s="10" t="str">
        <f aca="false">IF($B2269="","",IFERROR(INDEX(M_loc,MATCH($B2269,M_emp,0)),""))</f>
        <v/>
      </c>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c r="AB2269" s="33"/>
      <c r="AC2269" s="33"/>
      <c r="AD2269" s="33"/>
      <c r="AE2269" s="33"/>
      <c r="AF2269" s="33"/>
      <c r="AG2269" s="33"/>
      <c r="AH2269" s="33"/>
      <c r="AI2269" s="33"/>
      <c r="AJ2269" s="33"/>
      <c r="AK2269" s="34" t="str">
        <f aca="false">IF($B2269="","",COUNTIF($F2269:$AJ2269,"P"))</f>
        <v/>
      </c>
      <c r="AL2269" s="34" t="str">
        <f aca="false">IF($B2269="","",COUNTIF($F2269:$AJ2269,"A"))</f>
        <v/>
      </c>
      <c r="AM2269" s="34" t="str">
        <f aca="false">IF($B2269="","",COUNTIF($F2269:$AJ2269,"HA"))</f>
        <v/>
      </c>
      <c r="AN2269" s="34" t="str">
        <f aca="false">IF($B2269="","",COUNTIF($F2269:$AJ2269,"L"))</f>
        <v/>
      </c>
      <c r="AO2269" s="34" t="str">
        <f aca="false">IF($B2269="","",COUNTIF($F2269:$AJ2269,"PL"))</f>
        <v/>
      </c>
      <c r="AP2269" s="34" t="str">
        <f aca="false">IF($B2269="","",COUNTIF($F2269:$AJ2269,"CL"))</f>
        <v/>
      </c>
      <c r="AQ2269" s="34" t="str">
        <f aca="false">IF($B2269="","",COUNTIF($F2269:$AJ2269,"SL"))</f>
        <v/>
      </c>
      <c r="AR2269" s="34" t="str">
        <f aca="false">IF($B2269="","",COUNTIF($F2269:$AJ2269,"CO"))</f>
        <v/>
      </c>
      <c r="AS2269" s="34" t="str">
        <f aca="false">IF($B2269="","",COUNTIF($F2269:$AJ2269,"HPL"))</f>
        <v/>
      </c>
      <c r="AT2269" s="34" t="str">
        <f aca="false">IF($B2269="","",COUNTIF($F2269:$AJ2269,"HCL"))</f>
        <v/>
      </c>
      <c r="AU2269" s="34" t="str">
        <f aca="false">IF($B2269="","",COUNTIF($F2269:$AJ2269,"WO"))</f>
        <v/>
      </c>
      <c r="AV2269" s="34" t="str">
        <f aca="false">IF($B2269="","",COUNTIF($F2269:$AJ2269,"PH"))</f>
        <v/>
      </c>
      <c r="AW2269" s="34" t="str">
        <f aca="false">IF($B2269="","",COUNTIF($F2269:$AJ2269,"TR"))</f>
        <v/>
      </c>
      <c r="AX2269" s="35" t="str">
        <f aca="false">IF($B2269="","",AO2269+AS2269/2)</f>
        <v/>
      </c>
      <c r="AY2269" s="35" t="str">
        <f aca="false">IF($B2269="","",AQ2269)</f>
        <v/>
      </c>
      <c r="AZ2269" s="35" t="str">
        <f aca="false">IF($B2269="","",AP2269+AT2269/2)</f>
        <v/>
      </c>
      <c r="BA2269" s="35" t="str">
        <f aca="false">IF($B2269="","",AK2269+AN2269+AM2269/2+AO2269+AP2269+AQ2269+AR2269+AS2269+AT2269+AU2269+AV2269+AW2269)</f>
        <v/>
      </c>
      <c r="BB2269" s="35" t="str">
        <f aca="false">IF($B2269="","",MAX(0,AN2269-Settings!$C$16)*Settings!$C$17)</f>
        <v/>
      </c>
      <c r="BC2269" s="35" t="str">
        <f aca="false">IF($B2269="","",BA2269-BB2269)</f>
        <v/>
      </c>
      <c r="BD2269" s="35" t="str">
        <f aca="false">IF(OR($B2269="",$A2269=""),"",DAY(EOMONTH($A2269,0))-COUNTA($F2269:$AJ2269))</f>
        <v/>
      </c>
    </row>
    <row r="2270" customFormat="false" ht="15" hidden="false" customHeight="false" outlineLevel="0" collapsed="false">
      <c r="A2270" s="32"/>
      <c r="B2270" s="29"/>
      <c r="C2270" s="10" t="str">
        <f aca="false">IF($B2270="","",IFERROR(INDEX(M_name,MATCH($B2270,M_emp,0)),"Code not found"))</f>
        <v/>
      </c>
      <c r="D2270" s="10" t="str">
        <f aca="false">IF($B2270="","",IFERROR(INDEX(M_dept,MATCH($B2270,M_emp,0)),""))</f>
        <v/>
      </c>
      <c r="E2270" s="10" t="str">
        <f aca="false">IF($B2270="","",IFERROR(INDEX(M_loc,MATCH($B2270,M_emp,0)),""))</f>
        <v/>
      </c>
      <c r="F2270" s="33"/>
      <c r="G2270" s="33"/>
      <c r="H2270" s="33"/>
      <c r="I2270" s="33"/>
      <c r="J2270" s="33"/>
      <c r="K2270" s="33"/>
      <c r="L2270" s="33"/>
      <c r="M2270" s="33"/>
      <c r="N2270" s="33"/>
      <c r="O2270" s="33"/>
      <c r="P2270" s="33"/>
      <c r="Q2270" s="33"/>
      <c r="R2270" s="33"/>
      <c r="S2270" s="33"/>
      <c r="T2270" s="33"/>
      <c r="U2270" s="33"/>
      <c r="V2270" s="33"/>
      <c r="W2270" s="33"/>
      <c r="X2270" s="33"/>
      <c r="Y2270" s="33"/>
      <c r="Z2270" s="33"/>
      <c r="AA2270" s="33"/>
      <c r="AB2270" s="33"/>
      <c r="AC2270" s="33"/>
      <c r="AD2270" s="33"/>
      <c r="AE2270" s="33"/>
      <c r="AF2270" s="33"/>
      <c r="AG2270" s="33"/>
      <c r="AH2270" s="33"/>
      <c r="AI2270" s="33"/>
      <c r="AJ2270" s="33"/>
      <c r="AK2270" s="34" t="str">
        <f aca="false">IF($B2270="","",COUNTIF($F2270:$AJ2270,"P"))</f>
        <v/>
      </c>
      <c r="AL2270" s="34" t="str">
        <f aca="false">IF($B2270="","",COUNTIF($F2270:$AJ2270,"A"))</f>
        <v/>
      </c>
      <c r="AM2270" s="34" t="str">
        <f aca="false">IF($B2270="","",COUNTIF($F2270:$AJ2270,"HA"))</f>
        <v/>
      </c>
      <c r="AN2270" s="34" t="str">
        <f aca="false">IF($B2270="","",COUNTIF($F2270:$AJ2270,"L"))</f>
        <v/>
      </c>
      <c r="AO2270" s="34" t="str">
        <f aca="false">IF($B2270="","",COUNTIF($F2270:$AJ2270,"PL"))</f>
        <v/>
      </c>
      <c r="AP2270" s="34" t="str">
        <f aca="false">IF($B2270="","",COUNTIF($F2270:$AJ2270,"CL"))</f>
        <v/>
      </c>
      <c r="AQ2270" s="34" t="str">
        <f aca="false">IF($B2270="","",COUNTIF($F2270:$AJ2270,"SL"))</f>
        <v/>
      </c>
      <c r="AR2270" s="34" t="str">
        <f aca="false">IF($B2270="","",COUNTIF($F2270:$AJ2270,"CO"))</f>
        <v/>
      </c>
      <c r="AS2270" s="34" t="str">
        <f aca="false">IF($B2270="","",COUNTIF($F2270:$AJ2270,"HPL"))</f>
        <v/>
      </c>
      <c r="AT2270" s="34" t="str">
        <f aca="false">IF($B2270="","",COUNTIF($F2270:$AJ2270,"HCL"))</f>
        <v/>
      </c>
      <c r="AU2270" s="34" t="str">
        <f aca="false">IF($B2270="","",COUNTIF($F2270:$AJ2270,"WO"))</f>
        <v/>
      </c>
      <c r="AV2270" s="34" t="str">
        <f aca="false">IF($B2270="","",COUNTIF($F2270:$AJ2270,"PH"))</f>
        <v/>
      </c>
      <c r="AW2270" s="34" t="str">
        <f aca="false">IF($B2270="","",COUNTIF($F2270:$AJ2270,"TR"))</f>
        <v/>
      </c>
      <c r="AX2270" s="35" t="str">
        <f aca="false">IF($B2270="","",AO2270+AS2270/2)</f>
        <v/>
      </c>
      <c r="AY2270" s="35" t="str">
        <f aca="false">IF($B2270="","",AQ2270)</f>
        <v/>
      </c>
      <c r="AZ2270" s="35" t="str">
        <f aca="false">IF($B2270="","",AP2270+AT2270/2)</f>
        <v/>
      </c>
      <c r="BA2270" s="35" t="str">
        <f aca="false">IF($B2270="","",AK2270+AN2270+AM2270/2+AO2270+AP2270+AQ2270+AR2270+AS2270+AT2270+AU2270+AV2270+AW2270)</f>
        <v/>
      </c>
      <c r="BB2270" s="35" t="str">
        <f aca="false">IF($B2270="","",MAX(0,AN2270-Settings!$C$16)*Settings!$C$17)</f>
        <v/>
      </c>
      <c r="BC2270" s="35" t="str">
        <f aca="false">IF($B2270="","",BA2270-BB2270)</f>
        <v/>
      </c>
      <c r="BD2270" s="35" t="str">
        <f aca="false">IF(OR($B2270="",$A2270=""),"",DAY(EOMONTH($A2270,0))-COUNTA($F2270:$AJ2270))</f>
        <v/>
      </c>
    </row>
    <row r="2271" customFormat="false" ht="15" hidden="false" customHeight="false" outlineLevel="0" collapsed="false">
      <c r="A2271" s="32"/>
      <c r="B2271" s="29"/>
      <c r="C2271" s="10" t="str">
        <f aca="false">IF($B2271="","",IFERROR(INDEX(M_name,MATCH($B2271,M_emp,0)),"Code not found"))</f>
        <v/>
      </c>
      <c r="D2271" s="10" t="str">
        <f aca="false">IF($B2271="","",IFERROR(INDEX(M_dept,MATCH($B2271,M_emp,0)),""))</f>
        <v/>
      </c>
      <c r="E2271" s="10" t="str">
        <f aca="false">IF($B2271="","",IFERROR(INDEX(M_loc,MATCH($B2271,M_emp,0)),""))</f>
        <v/>
      </c>
      <c r="F2271" s="33"/>
      <c r="G2271" s="33"/>
      <c r="H2271" s="33"/>
      <c r="I2271" s="33"/>
      <c r="J2271" s="33"/>
      <c r="K2271" s="33"/>
      <c r="L2271" s="33"/>
      <c r="M2271" s="33"/>
      <c r="N2271" s="33"/>
      <c r="O2271" s="33"/>
      <c r="P2271" s="33"/>
      <c r="Q2271" s="33"/>
      <c r="R2271" s="33"/>
      <c r="S2271" s="33"/>
      <c r="T2271" s="33"/>
      <c r="U2271" s="33"/>
      <c r="V2271" s="33"/>
      <c r="W2271" s="33"/>
      <c r="X2271" s="33"/>
      <c r="Y2271" s="33"/>
      <c r="Z2271" s="33"/>
      <c r="AA2271" s="33"/>
      <c r="AB2271" s="33"/>
      <c r="AC2271" s="33"/>
      <c r="AD2271" s="33"/>
      <c r="AE2271" s="33"/>
      <c r="AF2271" s="33"/>
      <c r="AG2271" s="33"/>
      <c r="AH2271" s="33"/>
      <c r="AI2271" s="33"/>
      <c r="AJ2271" s="33"/>
      <c r="AK2271" s="34" t="str">
        <f aca="false">IF($B2271="","",COUNTIF($F2271:$AJ2271,"P"))</f>
        <v/>
      </c>
      <c r="AL2271" s="34" t="str">
        <f aca="false">IF($B2271="","",COUNTIF($F2271:$AJ2271,"A"))</f>
        <v/>
      </c>
      <c r="AM2271" s="34" t="str">
        <f aca="false">IF($B2271="","",COUNTIF($F2271:$AJ2271,"HA"))</f>
        <v/>
      </c>
      <c r="AN2271" s="34" t="str">
        <f aca="false">IF($B2271="","",COUNTIF($F2271:$AJ2271,"L"))</f>
        <v/>
      </c>
      <c r="AO2271" s="34" t="str">
        <f aca="false">IF($B2271="","",COUNTIF($F2271:$AJ2271,"PL"))</f>
        <v/>
      </c>
      <c r="AP2271" s="34" t="str">
        <f aca="false">IF($B2271="","",COUNTIF($F2271:$AJ2271,"CL"))</f>
        <v/>
      </c>
      <c r="AQ2271" s="34" t="str">
        <f aca="false">IF($B2271="","",COUNTIF($F2271:$AJ2271,"SL"))</f>
        <v/>
      </c>
      <c r="AR2271" s="34" t="str">
        <f aca="false">IF($B2271="","",COUNTIF($F2271:$AJ2271,"CO"))</f>
        <v/>
      </c>
      <c r="AS2271" s="34" t="str">
        <f aca="false">IF($B2271="","",COUNTIF($F2271:$AJ2271,"HPL"))</f>
        <v/>
      </c>
      <c r="AT2271" s="34" t="str">
        <f aca="false">IF($B2271="","",COUNTIF($F2271:$AJ2271,"HCL"))</f>
        <v/>
      </c>
      <c r="AU2271" s="34" t="str">
        <f aca="false">IF($B2271="","",COUNTIF($F2271:$AJ2271,"WO"))</f>
        <v/>
      </c>
      <c r="AV2271" s="34" t="str">
        <f aca="false">IF($B2271="","",COUNTIF($F2271:$AJ2271,"PH"))</f>
        <v/>
      </c>
      <c r="AW2271" s="34" t="str">
        <f aca="false">IF($B2271="","",COUNTIF($F2271:$AJ2271,"TR"))</f>
        <v/>
      </c>
      <c r="AX2271" s="35" t="str">
        <f aca="false">IF($B2271="","",AO2271+AS2271/2)</f>
        <v/>
      </c>
      <c r="AY2271" s="35" t="str">
        <f aca="false">IF($B2271="","",AQ2271)</f>
        <v/>
      </c>
      <c r="AZ2271" s="35" t="str">
        <f aca="false">IF($B2271="","",AP2271+AT2271/2)</f>
        <v/>
      </c>
      <c r="BA2271" s="35" t="str">
        <f aca="false">IF($B2271="","",AK2271+AN2271+AM2271/2+AO2271+AP2271+AQ2271+AR2271+AS2271+AT2271+AU2271+AV2271+AW2271)</f>
        <v/>
      </c>
      <c r="BB2271" s="35" t="str">
        <f aca="false">IF($B2271="","",MAX(0,AN2271-Settings!$C$16)*Settings!$C$17)</f>
        <v/>
      </c>
      <c r="BC2271" s="35" t="str">
        <f aca="false">IF($B2271="","",BA2271-BB2271)</f>
        <v/>
      </c>
      <c r="BD2271" s="35" t="str">
        <f aca="false">IF(OR($B2271="",$A2271=""),"",DAY(EOMONTH($A2271,0))-COUNTA($F2271:$AJ2271))</f>
        <v/>
      </c>
    </row>
    <row r="2272" customFormat="false" ht="15" hidden="false" customHeight="false" outlineLevel="0" collapsed="false">
      <c r="A2272" s="32"/>
      <c r="B2272" s="29"/>
      <c r="C2272" s="10" t="str">
        <f aca="false">IF($B2272="","",IFERROR(INDEX(M_name,MATCH($B2272,M_emp,0)),"Code not found"))</f>
        <v/>
      </c>
      <c r="D2272" s="10" t="str">
        <f aca="false">IF($B2272="","",IFERROR(INDEX(M_dept,MATCH($B2272,M_emp,0)),""))</f>
        <v/>
      </c>
      <c r="E2272" s="10" t="str">
        <f aca="false">IF($B2272="","",IFERROR(INDEX(M_loc,MATCH($B2272,M_emp,0)),""))</f>
        <v/>
      </c>
      <c r="F2272" s="33"/>
      <c r="G2272" s="33"/>
      <c r="H2272" s="33"/>
      <c r="I2272" s="33"/>
      <c r="J2272" s="33"/>
      <c r="K2272" s="33"/>
      <c r="L2272" s="33"/>
      <c r="M2272" s="33"/>
      <c r="N2272" s="33"/>
      <c r="O2272" s="33"/>
      <c r="P2272" s="33"/>
      <c r="Q2272" s="33"/>
      <c r="R2272" s="33"/>
      <c r="S2272" s="33"/>
      <c r="T2272" s="33"/>
      <c r="U2272" s="33"/>
      <c r="V2272" s="33"/>
      <c r="W2272" s="33"/>
      <c r="X2272" s="33"/>
      <c r="Y2272" s="33"/>
      <c r="Z2272" s="33"/>
      <c r="AA2272" s="33"/>
      <c r="AB2272" s="33"/>
      <c r="AC2272" s="33"/>
      <c r="AD2272" s="33"/>
      <c r="AE2272" s="33"/>
      <c r="AF2272" s="33"/>
      <c r="AG2272" s="33"/>
      <c r="AH2272" s="33"/>
      <c r="AI2272" s="33"/>
      <c r="AJ2272" s="33"/>
      <c r="AK2272" s="34" t="str">
        <f aca="false">IF($B2272="","",COUNTIF($F2272:$AJ2272,"P"))</f>
        <v/>
      </c>
      <c r="AL2272" s="34" t="str">
        <f aca="false">IF($B2272="","",COUNTIF($F2272:$AJ2272,"A"))</f>
        <v/>
      </c>
      <c r="AM2272" s="34" t="str">
        <f aca="false">IF($B2272="","",COUNTIF($F2272:$AJ2272,"HA"))</f>
        <v/>
      </c>
      <c r="AN2272" s="34" t="str">
        <f aca="false">IF($B2272="","",COUNTIF($F2272:$AJ2272,"L"))</f>
        <v/>
      </c>
      <c r="AO2272" s="34" t="str">
        <f aca="false">IF($B2272="","",COUNTIF($F2272:$AJ2272,"PL"))</f>
        <v/>
      </c>
      <c r="AP2272" s="34" t="str">
        <f aca="false">IF($B2272="","",COUNTIF($F2272:$AJ2272,"CL"))</f>
        <v/>
      </c>
      <c r="AQ2272" s="34" t="str">
        <f aca="false">IF($B2272="","",COUNTIF($F2272:$AJ2272,"SL"))</f>
        <v/>
      </c>
      <c r="AR2272" s="34" t="str">
        <f aca="false">IF($B2272="","",COUNTIF($F2272:$AJ2272,"CO"))</f>
        <v/>
      </c>
      <c r="AS2272" s="34" t="str">
        <f aca="false">IF($B2272="","",COUNTIF($F2272:$AJ2272,"HPL"))</f>
        <v/>
      </c>
      <c r="AT2272" s="34" t="str">
        <f aca="false">IF($B2272="","",COUNTIF($F2272:$AJ2272,"HCL"))</f>
        <v/>
      </c>
      <c r="AU2272" s="34" t="str">
        <f aca="false">IF($B2272="","",COUNTIF($F2272:$AJ2272,"WO"))</f>
        <v/>
      </c>
      <c r="AV2272" s="34" t="str">
        <f aca="false">IF($B2272="","",COUNTIF($F2272:$AJ2272,"PH"))</f>
        <v/>
      </c>
      <c r="AW2272" s="34" t="str">
        <f aca="false">IF($B2272="","",COUNTIF($F2272:$AJ2272,"TR"))</f>
        <v/>
      </c>
      <c r="AX2272" s="35" t="str">
        <f aca="false">IF($B2272="","",AO2272+AS2272/2)</f>
        <v/>
      </c>
      <c r="AY2272" s="35" t="str">
        <f aca="false">IF($B2272="","",AQ2272)</f>
        <v/>
      </c>
      <c r="AZ2272" s="35" t="str">
        <f aca="false">IF($B2272="","",AP2272+AT2272/2)</f>
        <v/>
      </c>
      <c r="BA2272" s="35" t="str">
        <f aca="false">IF($B2272="","",AK2272+AN2272+AM2272/2+AO2272+AP2272+AQ2272+AR2272+AS2272+AT2272+AU2272+AV2272+AW2272)</f>
        <v/>
      </c>
      <c r="BB2272" s="35" t="str">
        <f aca="false">IF($B2272="","",MAX(0,AN2272-Settings!$C$16)*Settings!$C$17)</f>
        <v/>
      </c>
      <c r="BC2272" s="35" t="str">
        <f aca="false">IF($B2272="","",BA2272-BB2272)</f>
        <v/>
      </c>
      <c r="BD2272" s="35" t="str">
        <f aca="false">IF(OR($B2272="",$A2272=""),"",DAY(EOMONTH($A2272,0))-COUNTA($F2272:$AJ2272))</f>
        <v/>
      </c>
    </row>
    <row r="2273" customFormat="false" ht="15" hidden="false" customHeight="false" outlineLevel="0" collapsed="false">
      <c r="A2273" s="32"/>
      <c r="B2273" s="29"/>
      <c r="C2273" s="10" t="str">
        <f aca="false">IF($B2273="","",IFERROR(INDEX(M_name,MATCH($B2273,M_emp,0)),"Code not found"))</f>
        <v/>
      </c>
      <c r="D2273" s="10" t="str">
        <f aca="false">IF($B2273="","",IFERROR(INDEX(M_dept,MATCH($B2273,M_emp,0)),""))</f>
        <v/>
      </c>
      <c r="E2273" s="10" t="str">
        <f aca="false">IF($B2273="","",IFERROR(INDEX(M_loc,MATCH($B2273,M_emp,0)),""))</f>
        <v/>
      </c>
      <c r="F2273" s="33"/>
      <c r="G2273" s="33"/>
      <c r="H2273" s="33"/>
      <c r="I2273" s="33"/>
      <c r="J2273" s="33"/>
      <c r="K2273" s="33"/>
      <c r="L2273" s="33"/>
      <c r="M2273" s="33"/>
      <c r="N2273" s="33"/>
      <c r="O2273" s="33"/>
      <c r="P2273" s="33"/>
      <c r="Q2273" s="33"/>
      <c r="R2273" s="33"/>
      <c r="S2273" s="33"/>
      <c r="T2273" s="33"/>
      <c r="U2273" s="33"/>
      <c r="V2273" s="33"/>
      <c r="W2273" s="33"/>
      <c r="X2273" s="33"/>
      <c r="Y2273" s="33"/>
      <c r="Z2273" s="33"/>
      <c r="AA2273" s="33"/>
      <c r="AB2273" s="33"/>
      <c r="AC2273" s="33"/>
      <c r="AD2273" s="33"/>
      <c r="AE2273" s="33"/>
      <c r="AF2273" s="33"/>
      <c r="AG2273" s="33"/>
      <c r="AH2273" s="33"/>
      <c r="AI2273" s="33"/>
      <c r="AJ2273" s="33"/>
      <c r="AK2273" s="34" t="str">
        <f aca="false">IF($B2273="","",COUNTIF($F2273:$AJ2273,"P"))</f>
        <v/>
      </c>
      <c r="AL2273" s="34" t="str">
        <f aca="false">IF($B2273="","",COUNTIF($F2273:$AJ2273,"A"))</f>
        <v/>
      </c>
      <c r="AM2273" s="34" t="str">
        <f aca="false">IF($B2273="","",COUNTIF($F2273:$AJ2273,"HA"))</f>
        <v/>
      </c>
      <c r="AN2273" s="34" t="str">
        <f aca="false">IF($B2273="","",COUNTIF($F2273:$AJ2273,"L"))</f>
        <v/>
      </c>
      <c r="AO2273" s="34" t="str">
        <f aca="false">IF($B2273="","",COUNTIF($F2273:$AJ2273,"PL"))</f>
        <v/>
      </c>
      <c r="AP2273" s="34" t="str">
        <f aca="false">IF($B2273="","",COUNTIF($F2273:$AJ2273,"CL"))</f>
        <v/>
      </c>
      <c r="AQ2273" s="34" t="str">
        <f aca="false">IF($B2273="","",COUNTIF($F2273:$AJ2273,"SL"))</f>
        <v/>
      </c>
      <c r="AR2273" s="34" t="str">
        <f aca="false">IF($B2273="","",COUNTIF($F2273:$AJ2273,"CO"))</f>
        <v/>
      </c>
      <c r="AS2273" s="34" t="str">
        <f aca="false">IF($B2273="","",COUNTIF($F2273:$AJ2273,"HPL"))</f>
        <v/>
      </c>
      <c r="AT2273" s="34" t="str">
        <f aca="false">IF($B2273="","",COUNTIF($F2273:$AJ2273,"HCL"))</f>
        <v/>
      </c>
      <c r="AU2273" s="34" t="str">
        <f aca="false">IF($B2273="","",COUNTIF($F2273:$AJ2273,"WO"))</f>
        <v/>
      </c>
      <c r="AV2273" s="34" t="str">
        <f aca="false">IF($B2273="","",COUNTIF($F2273:$AJ2273,"PH"))</f>
        <v/>
      </c>
      <c r="AW2273" s="34" t="str">
        <f aca="false">IF($B2273="","",COUNTIF($F2273:$AJ2273,"TR"))</f>
        <v/>
      </c>
      <c r="AX2273" s="35" t="str">
        <f aca="false">IF($B2273="","",AO2273+AS2273/2)</f>
        <v/>
      </c>
      <c r="AY2273" s="35" t="str">
        <f aca="false">IF($B2273="","",AQ2273)</f>
        <v/>
      </c>
      <c r="AZ2273" s="35" t="str">
        <f aca="false">IF($B2273="","",AP2273+AT2273/2)</f>
        <v/>
      </c>
      <c r="BA2273" s="35" t="str">
        <f aca="false">IF($B2273="","",AK2273+AN2273+AM2273/2+AO2273+AP2273+AQ2273+AR2273+AS2273+AT2273+AU2273+AV2273+AW2273)</f>
        <v/>
      </c>
      <c r="BB2273" s="35" t="str">
        <f aca="false">IF($B2273="","",MAX(0,AN2273-Settings!$C$16)*Settings!$C$17)</f>
        <v/>
      </c>
      <c r="BC2273" s="35" t="str">
        <f aca="false">IF($B2273="","",BA2273-BB2273)</f>
        <v/>
      </c>
      <c r="BD2273" s="35" t="str">
        <f aca="false">IF(OR($B2273="",$A2273=""),"",DAY(EOMONTH($A2273,0))-COUNTA($F2273:$AJ2273))</f>
        <v/>
      </c>
    </row>
    <row r="2274" customFormat="false" ht="15" hidden="false" customHeight="false" outlineLevel="0" collapsed="false">
      <c r="A2274" s="32"/>
      <c r="B2274" s="29"/>
      <c r="C2274" s="10" t="str">
        <f aca="false">IF($B2274="","",IFERROR(INDEX(M_name,MATCH($B2274,M_emp,0)),"Code not found"))</f>
        <v/>
      </c>
      <c r="D2274" s="10" t="str">
        <f aca="false">IF($B2274="","",IFERROR(INDEX(M_dept,MATCH($B2274,M_emp,0)),""))</f>
        <v/>
      </c>
      <c r="E2274" s="10" t="str">
        <f aca="false">IF($B2274="","",IFERROR(INDEX(M_loc,MATCH($B2274,M_emp,0)),""))</f>
        <v/>
      </c>
      <c r="F2274" s="33"/>
      <c r="G2274" s="33"/>
      <c r="H2274" s="33"/>
      <c r="I2274" s="33"/>
      <c r="J2274" s="33"/>
      <c r="K2274" s="33"/>
      <c r="L2274" s="33"/>
      <c r="M2274" s="33"/>
      <c r="N2274" s="33"/>
      <c r="O2274" s="33"/>
      <c r="P2274" s="33"/>
      <c r="Q2274" s="33"/>
      <c r="R2274" s="33"/>
      <c r="S2274" s="33"/>
      <c r="T2274" s="33"/>
      <c r="U2274" s="33"/>
      <c r="V2274" s="33"/>
      <c r="W2274" s="33"/>
      <c r="X2274" s="33"/>
      <c r="Y2274" s="33"/>
      <c r="Z2274" s="33"/>
      <c r="AA2274" s="33"/>
      <c r="AB2274" s="33"/>
      <c r="AC2274" s="33"/>
      <c r="AD2274" s="33"/>
      <c r="AE2274" s="33"/>
      <c r="AF2274" s="33"/>
      <c r="AG2274" s="33"/>
      <c r="AH2274" s="33"/>
      <c r="AI2274" s="33"/>
      <c r="AJ2274" s="33"/>
      <c r="AK2274" s="34" t="str">
        <f aca="false">IF($B2274="","",COUNTIF($F2274:$AJ2274,"P"))</f>
        <v/>
      </c>
      <c r="AL2274" s="34" t="str">
        <f aca="false">IF($B2274="","",COUNTIF($F2274:$AJ2274,"A"))</f>
        <v/>
      </c>
      <c r="AM2274" s="34" t="str">
        <f aca="false">IF($B2274="","",COUNTIF($F2274:$AJ2274,"HA"))</f>
        <v/>
      </c>
      <c r="AN2274" s="34" t="str">
        <f aca="false">IF($B2274="","",COUNTIF($F2274:$AJ2274,"L"))</f>
        <v/>
      </c>
      <c r="AO2274" s="34" t="str">
        <f aca="false">IF($B2274="","",COUNTIF($F2274:$AJ2274,"PL"))</f>
        <v/>
      </c>
      <c r="AP2274" s="34" t="str">
        <f aca="false">IF($B2274="","",COUNTIF($F2274:$AJ2274,"CL"))</f>
        <v/>
      </c>
      <c r="AQ2274" s="34" t="str">
        <f aca="false">IF($B2274="","",COUNTIF($F2274:$AJ2274,"SL"))</f>
        <v/>
      </c>
      <c r="AR2274" s="34" t="str">
        <f aca="false">IF($B2274="","",COUNTIF($F2274:$AJ2274,"CO"))</f>
        <v/>
      </c>
      <c r="AS2274" s="34" t="str">
        <f aca="false">IF($B2274="","",COUNTIF($F2274:$AJ2274,"HPL"))</f>
        <v/>
      </c>
      <c r="AT2274" s="34" t="str">
        <f aca="false">IF($B2274="","",COUNTIF($F2274:$AJ2274,"HCL"))</f>
        <v/>
      </c>
      <c r="AU2274" s="34" t="str">
        <f aca="false">IF($B2274="","",COUNTIF($F2274:$AJ2274,"WO"))</f>
        <v/>
      </c>
      <c r="AV2274" s="34" t="str">
        <f aca="false">IF($B2274="","",COUNTIF($F2274:$AJ2274,"PH"))</f>
        <v/>
      </c>
      <c r="AW2274" s="34" t="str">
        <f aca="false">IF($B2274="","",COUNTIF($F2274:$AJ2274,"TR"))</f>
        <v/>
      </c>
      <c r="AX2274" s="35" t="str">
        <f aca="false">IF($B2274="","",AO2274+AS2274/2)</f>
        <v/>
      </c>
      <c r="AY2274" s="35" t="str">
        <f aca="false">IF($B2274="","",AQ2274)</f>
        <v/>
      </c>
      <c r="AZ2274" s="35" t="str">
        <f aca="false">IF($B2274="","",AP2274+AT2274/2)</f>
        <v/>
      </c>
      <c r="BA2274" s="35" t="str">
        <f aca="false">IF($B2274="","",AK2274+AN2274+AM2274/2+AO2274+AP2274+AQ2274+AR2274+AS2274+AT2274+AU2274+AV2274+AW2274)</f>
        <v/>
      </c>
      <c r="BB2274" s="35" t="str">
        <f aca="false">IF($B2274="","",MAX(0,AN2274-Settings!$C$16)*Settings!$C$17)</f>
        <v/>
      </c>
      <c r="BC2274" s="35" t="str">
        <f aca="false">IF($B2274="","",BA2274-BB2274)</f>
        <v/>
      </c>
      <c r="BD2274" s="35" t="str">
        <f aca="false">IF(OR($B2274="",$A2274=""),"",DAY(EOMONTH($A2274,0))-COUNTA($F2274:$AJ2274))</f>
        <v/>
      </c>
    </row>
    <row r="2275" customFormat="false" ht="15" hidden="false" customHeight="false" outlineLevel="0" collapsed="false">
      <c r="A2275" s="32"/>
      <c r="B2275" s="29"/>
      <c r="C2275" s="10" t="str">
        <f aca="false">IF($B2275="","",IFERROR(INDEX(M_name,MATCH($B2275,M_emp,0)),"Code not found"))</f>
        <v/>
      </c>
      <c r="D2275" s="10" t="str">
        <f aca="false">IF($B2275="","",IFERROR(INDEX(M_dept,MATCH($B2275,M_emp,0)),""))</f>
        <v/>
      </c>
      <c r="E2275" s="10" t="str">
        <f aca="false">IF($B2275="","",IFERROR(INDEX(M_loc,MATCH($B2275,M_emp,0)),""))</f>
        <v/>
      </c>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c r="AB2275" s="33"/>
      <c r="AC2275" s="33"/>
      <c r="AD2275" s="33"/>
      <c r="AE2275" s="33"/>
      <c r="AF2275" s="33"/>
      <c r="AG2275" s="33"/>
      <c r="AH2275" s="33"/>
      <c r="AI2275" s="33"/>
      <c r="AJ2275" s="33"/>
      <c r="AK2275" s="34" t="str">
        <f aca="false">IF($B2275="","",COUNTIF($F2275:$AJ2275,"P"))</f>
        <v/>
      </c>
      <c r="AL2275" s="34" t="str">
        <f aca="false">IF($B2275="","",COUNTIF($F2275:$AJ2275,"A"))</f>
        <v/>
      </c>
      <c r="AM2275" s="34" t="str">
        <f aca="false">IF($B2275="","",COUNTIF($F2275:$AJ2275,"HA"))</f>
        <v/>
      </c>
      <c r="AN2275" s="34" t="str">
        <f aca="false">IF($B2275="","",COUNTIF($F2275:$AJ2275,"L"))</f>
        <v/>
      </c>
      <c r="AO2275" s="34" t="str">
        <f aca="false">IF($B2275="","",COUNTIF($F2275:$AJ2275,"PL"))</f>
        <v/>
      </c>
      <c r="AP2275" s="34" t="str">
        <f aca="false">IF($B2275="","",COUNTIF($F2275:$AJ2275,"CL"))</f>
        <v/>
      </c>
      <c r="AQ2275" s="34" t="str">
        <f aca="false">IF($B2275="","",COUNTIF($F2275:$AJ2275,"SL"))</f>
        <v/>
      </c>
      <c r="AR2275" s="34" t="str">
        <f aca="false">IF($B2275="","",COUNTIF($F2275:$AJ2275,"CO"))</f>
        <v/>
      </c>
      <c r="AS2275" s="34" t="str">
        <f aca="false">IF($B2275="","",COUNTIF($F2275:$AJ2275,"HPL"))</f>
        <v/>
      </c>
      <c r="AT2275" s="34" t="str">
        <f aca="false">IF($B2275="","",COUNTIF($F2275:$AJ2275,"HCL"))</f>
        <v/>
      </c>
      <c r="AU2275" s="34" t="str">
        <f aca="false">IF($B2275="","",COUNTIF($F2275:$AJ2275,"WO"))</f>
        <v/>
      </c>
      <c r="AV2275" s="34" t="str">
        <f aca="false">IF($B2275="","",COUNTIF($F2275:$AJ2275,"PH"))</f>
        <v/>
      </c>
      <c r="AW2275" s="34" t="str">
        <f aca="false">IF($B2275="","",COUNTIF($F2275:$AJ2275,"TR"))</f>
        <v/>
      </c>
      <c r="AX2275" s="35" t="str">
        <f aca="false">IF($B2275="","",AO2275+AS2275/2)</f>
        <v/>
      </c>
      <c r="AY2275" s="35" t="str">
        <f aca="false">IF($B2275="","",AQ2275)</f>
        <v/>
      </c>
      <c r="AZ2275" s="35" t="str">
        <f aca="false">IF($B2275="","",AP2275+AT2275/2)</f>
        <v/>
      </c>
      <c r="BA2275" s="35" t="str">
        <f aca="false">IF($B2275="","",AK2275+AN2275+AM2275/2+AO2275+AP2275+AQ2275+AR2275+AS2275+AT2275+AU2275+AV2275+AW2275)</f>
        <v/>
      </c>
      <c r="BB2275" s="35" t="str">
        <f aca="false">IF($B2275="","",MAX(0,AN2275-Settings!$C$16)*Settings!$C$17)</f>
        <v/>
      </c>
      <c r="BC2275" s="35" t="str">
        <f aca="false">IF($B2275="","",BA2275-BB2275)</f>
        <v/>
      </c>
      <c r="BD2275" s="35" t="str">
        <f aca="false">IF(OR($B2275="",$A2275=""),"",DAY(EOMONTH($A2275,0))-COUNTA($F2275:$AJ2275))</f>
        <v/>
      </c>
    </row>
    <row r="2276" customFormat="false" ht="15" hidden="false" customHeight="false" outlineLevel="0" collapsed="false">
      <c r="A2276" s="32"/>
      <c r="B2276" s="29"/>
      <c r="C2276" s="10" t="str">
        <f aca="false">IF($B2276="","",IFERROR(INDEX(M_name,MATCH($B2276,M_emp,0)),"Code not found"))</f>
        <v/>
      </c>
      <c r="D2276" s="10" t="str">
        <f aca="false">IF($B2276="","",IFERROR(INDEX(M_dept,MATCH($B2276,M_emp,0)),""))</f>
        <v/>
      </c>
      <c r="E2276" s="10" t="str">
        <f aca="false">IF($B2276="","",IFERROR(INDEX(M_loc,MATCH($B2276,M_emp,0)),""))</f>
        <v/>
      </c>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c r="AB2276" s="33"/>
      <c r="AC2276" s="33"/>
      <c r="AD2276" s="33"/>
      <c r="AE2276" s="33"/>
      <c r="AF2276" s="33"/>
      <c r="AG2276" s="33"/>
      <c r="AH2276" s="33"/>
      <c r="AI2276" s="33"/>
      <c r="AJ2276" s="33"/>
      <c r="AK2276" s="34" t="str">
        <f aca="false">IF($B2276="","",COUNTIF($F2276:$AJ2276,"P"))</f>
        <v/>
      </c>
      <c r="AL2276" s="34" t="str">
        <f aca="false">IF($B2276="","",COUNTIF($F2276:$AJ2276,"A"))</f>
        <v/>
      </c>
      <c r="AM2276" s="34" t="str">
        <f aca="false">IF($B2276="","",COUNTIF($F2276:$AJ2276,"HA"))</f>
        <v/>
      </c>
      <c r="AN2276" s="34" t="str">
        <f aca="false">IF($B2276="","",COUNTIF($F2276:$AJ2276,"L"))</f>
        <v/>
      </c>
      <c r="AO2276" s="34" t="str">
        <f aca="false">IF($B2276="","",COUNTIF($F2276:$AJ2276,"PL"))</f>
        <v/>
      </c>
      <c r="AP2276" s="34" t="str">
        <f aca="false">IF($B2276="","",COUNTIF($F2276:$AJ2276,"CL"))</f>
        <v/>
      </c>
      <c r="AQ2276" s="34" t="str">
        <f aca="false">IF($B2276="","",COUNTIF($F2276:$AJ2276,"SL"))</f>
        <v/>
      </c>
      <c r="AR2276" s="34" t="str">
        <f aca="false">IF($B2276="","",COUNTIF($F2276:$AJ2276,"CO"))</f>
        <v/>
      </c>
      <c r="AS2276" s="34" t="str">
        <f aca="false">IF($B2276="","",COUNTIF($F2276:$AJ2276,"HPL"))</f>
        <v/>
      </c>
      <c r="AT2276" s="34" t="str">
        <f aca="false">IF($B2276="","",COUNTIF($F2276:$AJ2276,"HCL"))</f>
        <v/>
      </c>
      <c r="AU2276" s="34" t="str">
        <f aca="false">IF($B2276="","",COUNTIF($F2276:$AJ2276,"WO"))</f>
        <v/>
      </c>
      <c r="AV2276" s="34" t="str">
        <f aca="false">IF($B2276="","",COUNTIF($F2276:$AJ2276,"PH"))</f>
        <v/>
      </c>
      <c r="AW2276" s="34" t="str">
        <f aca="false">IF($B2276="","",COUNTIF($F2276:$AJ2276,"TR"))</f>
        <v/>
      </c>
      <c r="AX2276" s="35" t="str">
        <f aca="false">IF($B2276="","",AO2276+AS2276/2)</f>
        <v/>
      </c>
      <c r="AY2276" s="35" t="str">
        <f aca="false">IF($B2276="","",AQ2276)</f>
        <v/>
      </c>
      <c r="AZ2276" s="35" t="str">
        <f aca="false">IF($B2276="","",AP2276+AT2276/2)</f>
        <v/>
      </c>
      <c r="BA2276" s="35" t="str">
        <f aca="false">IF($B2276="","",AK2276+AN2276+AM2276/2+AO2276+AP2276+AQ2276+AR2276+AS2276+AT2276+AU2276+AV2276+AW2276)</f>
        <v/>
      </c>
      <c r="BB2276" s="35" t="str">
        <f aca="false">IF($B2276="","",MAX(0,AN2276-Settings!$C$16)*Settings!$C$17)</f>
        <v/>
      </c>
      <c r="BC2276" s="35" t="str">
        <f aca="false">IF($B2276="","",BA2276-BB2276)</f>
        <v/>
      </c>
      <c r="BD2276" s="35" t="str">
        <f aca="false">IF(OR($B2276="",$A2276=""),"",DAY(EOMONTH($A2276,0))-COUNTA($F2276:$AJ2276))</f>
        <v/>
      </c>
    </row>
    <row r="2277" customFormat="false" ht="15" hidden="false" customHeight="false" outlineLevel="0" collapsed="false">
      <c r="A2277" s="32"/>
      <c r="B2277" s="29"/>
      <c r="C2277" s="10" t="str">
        <f aca="false">IF($B2277="","",IFERROR(INDEX(M_name,MATCH($B2277,M_emp,0)),"Code not found"))</f>
        <v/>
      </c>
      <c r="D2277" s="10" t="str">
        <f aca="false">IF($B2277="","",IFERROR(INDEX(M_dept,MATCH($B2277,M_emp,0)),""))</f>
        <v/>
      </c>
      <c r="E2277" s="10" t="str">
        <f aca="false">IF($B2277="","",IFERROR(INDEX(M_loc,MATCH($B2277,M_emp,0)),""))</f>
        <v/>
      </c>
      <c r="F2277" s="33"/>
      <c r="G2277" s="33"/>
      <c r="H2277" s="33"/>
      <c r="I2277" s="33"/>
      <c r="J2277" s="33"/>
      <c r="K2277" s="33"/>
      <c r="L2277" s="33"/>
      <c r="M2277" s="33"/>
      <c r="N2277" s="33"/>
      <c r="O2277" s="33"/>
      <c r="P2277" s="33"/>
      <c r="Q2277" s="33"/>
      <c r="R2277" s="33"/>
      <c r="S2277" s="33"/>
      <c r="T2277" s="33"/>
      <c r="U2277" s="33"/>
      <c r="V2277" s="33"/>
      <c r="W2277" s="33"/>
      <c r="X2277" s="33"/>
      <c r="Y2277" s="33"/>
      <c r="Z2277" s="33"/>
      <c r="AA2277" s="33"/>
      <c r="AB2277" s="33"/>
      <c r="AC2277" s="33"/>
      <c r="AD2277" s="33"/>
      <c r="AE2277" s="33"/>
      <c r="AF2277" s="33"/>
      <c r="AG2277" s="33"/>
      <c r="AH2277" s="33"/>
      <c r="AI2277" s="33"/>
      <c r="AJ2277" s="33"/>
      <c r="AK2277" s="34" t="str">
        <f aca="false">IF($B2277="","",COUNTIF($F2277:$AJ2277,"P"))</f>
        <v/>
      </c>
      <c r="AL2277" s="34" t="str">
        <f aca="false">IF($B2277="","",COUNTIF($F2277:$AJ2277,"A"))</f>
        <v/>
      </c>
      <c r="AM2277" s="34" t="str">
        <f aca="false">IF($B2277="","",COUNTIF($F2277:$AJ2277,"HA"))</f>
        <v/>
      </c>
      <c r="AN2277" s="34" t="str">
        <f aca="false">IF($B2277="","",COUNTIF($F2277:$AJ2277,"L"))</f>
        <v/>
      </c>
      <c r="AO2277" s="34" t="str">
        <f aca="false">IF($B2277="","",COUNTIF($F2277:$AJ2277,"PL"))</f>
        <v/>
      </c>
      <c r="AP2277" s="34" t="str">
        <f aca="false">IF($B2277="","",COUNTIF($F2277:$AJ2277,"CL"))</f>
        <v/>
      </c>
      <c r="AQ2277" s="34" t="str">
        <f aca="false">IF($B2277="","",COUNTIF($F2277:$AJ2277,"SL"))</f>
        <v/>
      </c>
      <c r="AR2277" s="34" t="str">
        <f aca="false">IF($B2277="","",COUNTIF($F2277:$AJ2277,"CO"))</f>
        <v/>
      </c>
      <c r="AS2277" s="34" t="str">
        <f aca="false">IF($B2277="","",COUNTIF($F2277:$AJ2277,"HPL"))</f>
        <v/>
      </c>
      <c r="AT2277" s="34" t="str">
        <f aca="false">IF($B2277="","",COUNTIF($F2277:$AJ2277,"HCL"))</f>
        <v/>
      </c>
      <c r="AU2277" s="34" t="str">
        <f aca="false">IF($B2277="","",COUNTIF($F2277:$AJ2277,"WO"))</f>
        <v/>
      </c>
      <c r="AV2277" s="34" t="str">
        <f aca="false">IF($B2277="","",COUNTIF($F2277:$AJ2277,"PH"))</f>
        <v/>
      </c>
      <c r="AW2277" s="34" t="str">
        <f aca="false">IF($B2277="","",COUNTIF($F2277:$AJ2277,"TR"))</f>
        <v/>
      </c>
      <c r="AX2277" s="35" t="str">
        <f aca="false">IF($B2277="","",AO2277+AS2277/2)</f>
        <v/>
      </c>
      <c r="AY2277" s="35" t="str">
        <f aca="false">IF($B2277="","",AQ2277)</f>
        <v/>
      </c>
      <c r="AZ2277" s="35" t="str">
        <f aca="false">IF($B2277="","",AP2277+AT2277/2)</f>
        <v/>
      </c>
      <c r="BA2277" s="35" t="str">
        <f aca="false">IF($B2277="","",AK2277+AN2277+AM2277/2+AO2277+AP2277+AQ2277+AR2277+AS2277+AT2277+AU2277+AV2277+AW2277)</f>
        <v/>
      </c>
      <c r="BB2277" s="35" t="str">
        <f aca="false">IF($B2277="","",MAX(0,AN2277-Settings!$C$16)*Settings!$C$17)</f>
        <v/>
      </c>
      <c r="BC2277" s="35" t="str">
        <f aca="false">IF($B2277="","",BA2277-BB2277)</f>
        <v/>
      </c>
      <c r="BD2277" s="35" t="str">
        <f aca="false">IF(OR($B2277="",$A2277=""),"",DAY(EOMONTH($A2277,0))-COUNTA($F2277:$AJ2277))</f>
        <v/>
      </c>
    </row>
    <row r="2278" customFormat="false" ht="15" hidden="false" customHeight="false" outlineLevel="0" collapsed="false">
      <c r="A2278" s="32"/>
      <c r="B2278" s="29"/>
      <c r="C2278" s="10" t="str">
        <f aca="false">IF($B2278="","",IFERROR(INDEX(M_name,MATCH($B2278,M_emp,0)),"Code not found"))</f>
        <v/>
      </c>
      <c r="D2278" s="10" t="str">
        <f aca="false">IF($B2278="","",IFERROR(INDEX(M_dept,MATCH($B2278,M_emp,0)),""))</f>
        <v/>
      </c>
      <c r="E2278" s="10" t="str">
        <f aca="false">IF($B2278="","",IFERROR(INDEX(M_loc,MATCH($B2278,M_emp,0)),""))</f>
        <v/>
      </c>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c r="AB2278" s="33"/>
      <c r="AC2278" s="33"/>
      <c r="AD2278" s="33"/>
      <c r="AE2278" s="33"/>
      <c r="AF2278" s="33"/>
      <c r="AG2278" s="33"/>
      <c r="AH2278" s="33"/>
      <c r="AI2278" s="33"/>
      <c r="AJ2278" s="33"/>
      <c r="AK2278" s="34" t="str">
        <f aca="false">IF($B2278="","",COUNTIF($F2278:$AJ2278,"P"))</f>
        <v/>
      </c>
      <c r="AL2278" s="34" t="str">
        <f aca="false">IF($B2278="","",COUNTIF($F2278:$AJ2278,"A"))</f>
        <v/>
      </c>
      <c r="AM2278" s="34" t="str">
        <f aca="false">IF($B2278="","",COUNTIF($F2278:$AJ2278,"HA"))</f>
        <v/>
      </c>
      <c r="AN2278" s="34" t="str">
        <f aca="false">IF($B2278="","",COUNTIF($F2278:$AJ2278,"L"))</f>
        <v/>
      </c>
      <c r="AO2278" s="34" t="str">
        <f aca="false">IF($B2278="","",COUNTIF($F2278:$AJ2278,"PL"))</f>
        <v/>
      </c>
      <c r="AP2278" s="34" t="str">
        <f aca="false">IF($B2278="","",COUNTIF($F2278:$AJ2278,"CL"))</f>
        <v/>
      </c>
      <c r="AQ2278" s="34" t="str">
        <f aca="false">IF($B2278="","",COUNTIF($F2278:$AJ2278,"SL"))</f>
        <v/>
      </c>
      <c r="AR2278" s="34" t="str">
        <f aca="false">IF($B2278="","",COUNTIF($F2278:$AJ2278,"CO"))</f>
        <v/>
      </c>
      <c r="AS2278" s="34" t="str">
        <f aca="false">IF($B2278="","",COUNTIF($F2278:$AJ2278,"HPL"))</f>
        <v/>
      </c>
      <c r="AT2278" s="34" t="str">
        <f aca="false">IF($B2278="","",COUNTIF($F2278:$AJ2278,"HCL"))</f>
        <v/>
      </c>
      <c r="AU2278" s="34" t="str">
        <f aca="false">IF($B2278="","",COUNTIF($F2278:$AJ2278,"WO"))</f>
        <v/>
      </c>
      <c r="AV2278" s="34" t="str">
        <f aca="false">IF($B2278="","",COUNTIF($F2278:$AJ2278,"PH"))</f>
        <v/>
      </c>
      <c r="AW2278" s="34" t="str">
        <f aca="false">IF($B2278="","",COUNTIF($F2278:$AJ2278,"TR"))</f>
        <v/>
      </c>
      <c r="AX2278" s="35" t="str">
        <f aca="false">IF($B2278="","",AO2278+AS2278/2)</f>
        <v/>
      </c>
      <c r="AY2278" s="35" t="str">
        <f aca="false">IF($B2278="","",AQ2278)</f>
        <v/>
      </c>
      <c r="AZ2278" s="35" t="str">
        <f aca="false">IF($B2278="","",AP2278+AT2278/2)</f>
        <v/>
      </c>
      <c r="BA2278" s="35" t="str">
        <f aca="false">IF($B2278="","",AK2278+AN2278+AM2278/2+AO2278+AP2278+AQ2278+AR2278+AS2278+AT2278+AU2278+AV2278+AW2278)</f>
        <v/>
      </c>
      <c r="BB2278" s="35" t="str">
        <f aca="false">IF($B2278="","",MAX(0,AN2278-Settings!$C$16)*Settings!$C$17)</f>
        <v/>
      </c>
      <c r="BC2278" s="35" t="str">
        <f aca="false">IF($B2278="","",BA2278-BB2278)</f>
        <v/>
      </c>
      <c r="BD2278" s="35" t="str">
        <f aca="false">IF(OR($B2278="",$A2278=""),"",DAY(EOMONTH($A2278,0))-COUNTA($F2278:$AJ2278))</f>
        <v/>
      </c>
    </row>
    <row r="2279" customFormat="false" ht="15" hidden="false" customHeight="false" outlineLevel="0" collapsed="false">
      <c r="A2279" s="32"/>
      <c r="B2279" s="29"/>
      <c r="C2279" s="10" t="str">
        <f aca="false">IF($B2279="","",IFERROR(INDEX(M_name,MATCH($B2279,M_emp,0)),"Code not found"))</f>
        <v/>
      </c>
      <c r="D2279" s="10" t="str">
        <f aca="false">IF($B2279="","",IFERROR(INDEX(M_dept,MATCH($B2279,M_emp,0)),""))</f>
        <v/>
      </c>
      <c r="E2279" s="10" t="str">
        <f aca="false">IF($B2279="","",IFERROR(INDEX(M_loc,MATCH($B2279,M_emp,0)),""))</f>
        <v/>
      </c>
      <c r="F2279" s="33"/>
      <c r="G2279" s="33"/>
      <c r="H2279" s="33"/>
      <c r="I2279" s="33"/>
      <c r="J2279" s="33"/>
      <c r="K2279" s="33"/>
      <c r="L2279" s="33"/>
      <c r="M2279" s="33"/>
      <c r="N2279" s="33"/>
      <c r="O2279" s="33"/>
      <c r="P2279" s="33"/>
      <c r="Q2279" s="33"/>
      <c r="R2279" s="33"/>
      <c r="S2279" s="33"/>
      <c r="T2279" s="33"/>
      <c r="U2279" s="33"/>
      <c r="V2279" s="33"/>
      <c r="W2279" s="33"/>
      <c r="X2279" s="33"/>
      <c r="Y2279" s="33"/>
      <c r="Z2279" s="33"/>
      <c r="AA2279" s="33"/>
      <c r="AB2279" s="33"/>
      <c r="AC2279" s="33"/>
      <c r="AD2279" s="33"/>
      <c r="AE2279" s="33"/>
      <c r="AF2279" s="33"/>
      <c r="AG2279" s="33"/>
      <c r="AH2279" s="33"/>
      <c r="AI2279" s="33"/>
      <c r="AJ2279" s="33"/>
      <c r="AK2279" s="34" t="str">
        <f aca="false">IF($B2279="","",COUNTIF($F2279:$AJ2279,"P"))</f>
        <v/>
      </c>
      <c r="AL2279" s="34" t="str">
        <f aca="false">IF($B2279="","",COUNTIF($F2279:$AJ2279,"A"))</f>
        <v/>
      </c>
      <c r="AM2279" s="34" t="str">
        <f aca="false">IF($B2279="","",COUNTIF($F2279:$AJ2279,"HA"))</f>
        <v/>
      </c>
      <c r="AN2279" s="34" t="str">
        <f aca="false">IF($B2279="","",COUNTIF($F2279:$AJ2279,"L"))</f>
        <v/>
      </c>
      <c r="AO2279" s="34" t="str">
        <f aca="false">IF($B2279="","",COUNTIF($F2279:$AJ2279,"PL"))</f>
        <v/>
      </c>
      <c r="AP2279" s="34" t="str">
        <f aca="false">IF($B2279="","",COUNTIF($F2279:$AJ2279,"CL"))</f>
        <v/>
      </c>
      <c r="AQ2279" s="34" t="str">
        <f aca="false">IF($B2279="","",COUNTIF($F2279:$AJ2279,"SL"))</f>
        <v/>
      </c>
      <c r="AR2279" s="34" t="str">
        <f aca="false">IF($B2279="","",COUNTIF($F2279:$AJ2279,"CO"))</f>
        <v/>
      </c>
      <c r="AS2279" s="34" t="str">
        <f aca="false">IF($B2279="","",COUNTIF($F2279:$AJ2279,"HPL"))</f>
        <v/>
      </c>
      <c r="AT2279" s="34" t="str">
        <f aca="false">IF($B2279="","",COUNTIF($F2279:$AJ2279,"HCL"))</f>
        <v/>
      </c>
      <c r="AU2279" s="34" t="str">
        <f aca="false">IF($B2279="","",COUNTIF($F2279:$AJ2279,"WO"))</f>
        <v/>
      </c>
      <c r="AV2279" s="34" t="str">
        <f aca="false">IF($B2279="","",COUNTIF($F2279:$AJ2279,"PH"))</f>
        <v/>
      </c>
      <c r="AW2279" s="34" t="str">
        <f aca="false">IF($B2279="","",COUNTIF($F2279:$AJ2279,"TR"))</f>
        <v/>
      </c>
      <c r="AX2279" s="35" t="str">
        <f aca="false">IF($B2279="","",AO2279+AS2279/2)</f>
        <v/>
      </c>
      <c r="AY2279" s="35" t="str">
        <f aca="false">IF($B2279="","",AQ2279)</f>
        <v/>
      </c>
      <c r="AZ2279" s="35" t="str">
        <f aca="false">IF($B2279="","",AP2279+AT2279/2)</f>
        <v/>
      </c>
      <c r="BA2279" s="35" t="str">
        <f aca="false">IF($B2279="","",AK2279+AN2279+AM2279/2+AO2279+AP2279+AQ2279+AR2279+AS2279+AT2279+AU2279+AV2279+AW2279)</f>
        <v/>
      </c>
      <c r="BB2279" s="35" t="str">
        <f aca="false">IF($B2279="","",MAX(0,AN2279-Settings!$C$16)*Settings!$C$17)</f>
        <v/>
      </c>
      <c r="BC2279" s="35" t="str">
        <f aca="false">IF($B2279="","",BA2279-BB2279)</f>
        <v/>
      </c>
      <c r="BD2279" s="35" t="str">
        <f aca="false">IF(OR($B2279="",$A2279=""),"",DAY(EOMONTH($A2279,0))-COUNTA($F2279:$AJ2279))</f>
        <v/>
      </c>
    </row>
    <row r="2280" customFormat="false" ht="15" hidden="false" customHeight="false" outlineLevel="0" collapsed="false">
      <c r="A2280" s="32"/>
      <c r="B2280" s="29"/>
      <c r="C2280" s="10" t="str">
        <f aca="false">IF($B2280="","",IFERROR(INDEX(M_name,MATCH($B2280,M_emp,0)),"Code not found"))</f>
        <v/>
      </c>
      <c r="D2280" s="10" t="str">
        <f aca="false">IF($B2280="","",IFERROR(INDEX(M_dept,MATCH($B2280,M_emp,0)),""))</f>
        <v/>
      </c>
      <c r="E2280" s="10" t="str">
        <f aca="false">IF($B2280="","",IFERROR(INDEX(M_loc,MATCH($B2280,M_emp,0)),""))</f>
        <v/>
      </c>
      <c r="F2280" s="33"/>
      <c r="G2280" s="33"/>
      <c r="H2280" s="33"/>
      <c r="I2280" s="33"/>
      <c r="J2280" s="33"/>
      <c r="K2280" s="33"/>
      <c r="L2280" s="33"/>
      <c r="M2280" s="33"/>
      <c r="N2280" s="33"/>
      <c r="O2280" s="33"/>
      <c r="P2280" s="33"/>
      <c r="Q2280" s="33"/>
      <c r="R2280" s="33"/>
      <c r="S2280" s="33"/>
      <c r="T2280" s="33"/>
      <c r="U2280" s="33"/>
      <c r="V2280" s="33"/>
      <c r="W2280" s="33"/>
      <c r="X2280" s="33"/>
      <c r="Y2280" s="33"/>
      <c r="Z2280" s="33"/>
      <c r="AA2280" s="33"/>
      <c r="AB2280" s="33"/>
      <c r="AC2280" s="33"/>
      <c r="AD2280" s="33"/>
      <c r="AE2280" s="33"/>
      <c r="AF2280" s="33"/>
      <c r="AG2280" s="33"/>
      <c r="AH2280" s="33"/>
      <c r="AI2280" s="33"/>
      <c r="AJ2280" s="33"/>
      <c r="AK2280" s="34" t="str">
        <f aca="false">IF($B2280="","",COUNTIF($F2280:$AJ2280,"P"))</f>
        <v/>
      </c>
      <c r="AL2280" s="34" t="str">
        <f aca="false">IF($B2280="","",COUNTIF($F2280:$AJ2280,"A"))</f>
        <v/>
      </c>
      <c r="AM2280" s="34" t="str">
        <f aca="false">IF($B2280="","",COUNTIF($F2280:$AJ2280,"HA"))</f>
        <v/>
      </c>
      <c r="AN2280" s="34" t="str">
        <f aca="false">IF($B2280="","",COUNTIF($F2280:$AJ2280,"L"))</f>
        <v/>
      </c>
      <c r="AO2280" s="34" t="str">
        <f aca="false">IF($B2280="","",COUNTIF($F2280:$AJ2280,"PL"))</f>
        <v/>
      </c>
      <c r="AP2280" s="34" t="str">
        <f aca="false">IF($B2280="","",COUNTIF($F2280:$AJ2280,"CL"))</f>
        <v/>
      </c>
      <c r="AQ2280" s="34" t="str">
        <f aca="false">IF($B2280="","",COUNTIF($F2280:$AJ2280,"SL"))</f>
        <v/>
      </c>
      <c r="AR2280" s="34" t="str">
        <f aca="false">IF($B2280="","",COUNTIF($F2280:$AJ2280,"CO"))</f>
        <v/>
      </c>
      <c r="AS2280" s="34" t="str">
        <f aca="false">IF($B2280="","",COUNTIF($F2280:$AJ2280,"HPL"))</f>
        <v/>
      </c>
      <c r="AT2280" s="34" t="str">
        <f aca="false">IF($B2280="","",COUNTIF($F2280:$AJ2280,"HCL"))</f>
        <v/>
      </c>
      <c r="AU2280" s="34" t="str">
        <f aca="false">IF($B2280="","",COUNTIF($F2280:$AJ2280,"WO"))</f>
        <v/>
      </c>
      <c r="AV2280" s="34" t="str">
        <f aca="false">IF($B2280="","",COUNTIF($F2280:$AJ2280,"PH"))</f>
        <v/>
      </c>
      <c r="AW2280" s="34" t="str">
        <f aca="false">IF($B2280="","",COUNTIF($F2280:$AJ2280,"TR"))</f>
        <v/>
      </c>
      <c r="AX2280" s="35" t="str">
        <f aca="false">IF($B2280="","",AO2280+AS2280/2)</f>
        <v/>
      </c>
      <c r="AY2280" s="35" t="str">
        <f aca="false">IF($B2280="","",AQ2280)</f>
        <v/>
      </c>
      <c r="AZ2280" s="35" t="str">
        <f aca="false">IF($B2280="","",AP2280+AT2280/2)</f>
        <v/>
      </c>
      <c r="BA2280" s="35" t="str">
        <f aca="false">IF($B2280="","",AK2280+AN2280+AM2280/2+AO2280+AP2280+AQ2280+AR2280+AS2280+AT2280+AU2280+AV2280+AW2280)</f>
        <v/>
      </c>
      <c r="BB2280" s="35" t="str">
        <f aca="false">IF($B2280="","",MAX(0,AN2280-Settings!$C$16)*Settings!$C$17)</f>
        <v/>
      </c>
      <c r="BC2280" s="35" t="str">
        <f aca="false">IF($B2280="","",BA2280-BB2280)</f>
        <v/>
      </c>
      <c r="BD2280" s="35" t="str">
        <f aca="false">IF(OR($B2280="",$A2280=""),"",DAY(EOMONTH($A2280,0))-COUNTA($F2280:$AJ2280))</f>
        <v/>
      </c>
    </row>
    <row r="2281" customFormat="false" ht="15" hidden="false" customHeight="false" outlineLevel="0" collapsed="false">
      <c r="A2281" s="32"/>
      <c r="B2281" s="29"/>
      <c r="C2281" s="10" t="str">
        <f aca="false">IF($B2281="","",IFERROR(INDEX(M_name,MATCH($B2281,M_emp,0)),"Code not found"))</f>
        <v/>
      </c>
      <c r="D2281" s="10" t="str">
        <f aca="false">IF($B2281="","",IFERROR(INDEX(M_dept,MATCH($B2281,M_emp,0)),""))</f>
        <v/>
      </c>
      <c r="E2281" s="10" t="str">
        <f aca="false">IF($B2281="","",IFERROR(INDEX(M_loc,MATCH($B2281,M_emp,0)),""))</f>
        <v/>
      </c>
      <c r="F2281" s="33"/>
      <c r="G2281" s="33"/>
      <c r="H2281" s="33"/>
      <c r="I2281" s="33"/>
      <c r="J2281" s="33"/>
      <c r="K2281" s="33"/>
      <c r="L2281" s="33"/>
      <c r="M2281" s="33"/>
      <c r="N2281" s="33"/>
      <c r="O2281" s="33"/>
      <c r="P2281" s="33"/>
      <c r="Q2281" s="33"/>
      <c r="R2281" s="33"/>
      <c r="S2281" s="33"/>
      <c r="T2281" s="33"/>
      <c r="U2281" s="33"/>
      <c r="V2281" s="33"/>
      <c r="W2281" s="33"/>
      <c r="X2281" s="33"/>
      <c r="Y2281" s="33"/>
      <c r="Z2281" s="33"/>
      <c r="AA2281" s="33"/>
      <c r="AB2281" s="33"/>
      <c r="AC2281" s="33"/>
      <c r="AD2281" s="33"/>
      <c r="AE2281" s="33"/>
      <c r="AF2281" s="33"/>
      <c r="AG2281" s="33"/>
      <c r="AH2281" s="33"/>
      <c r="AI2281" s="33"/>
      <c r="AJ2281" s="33"/>
      <c r="AK2281" s="34" t="str">
        <f aca="false">IF($B2281="","",COUNTIF($F2281:$AJ2281,"P"))</f>
        <v/>
      </c>
      <c r="AL2281" s="34" t="str">
        <f aca="false">IF($B2281="","",COUNTIF($F2281:$AJ2281,"A"))</f>
        <v/>
      </c>
      <c r="AM2281" s="34" t="str">
        <f aca="false">IF($B2281="","",COUNTIF($F2281:$AJ2281,"HA"))</f>
        <v/>
      </c>
      <c r="AN2281" s="34" t="str">
        <f aca="false">IF($B2281="","",COUNTIF($F2281:$AJ2281,"L"))</f>
        <v/>
      </c>
      <c r="AO2281" s="34" t="str">
        <f aca="false">IF($B2281="","",COUNTIF($F2281:$AJ2281,"PL"))</f>
        <v/>
      </c>
      <c r="AP2281" s="34" t="str">
        <f aca="false">IF($B2281="","",COUNTIF($F2281:$AJ2281,"CL"))</f>
        <v/>
      </c>
      <c r="AQ2281" s="34" t="str">
        <f aca="false">IF($B2281="","",COUNTIF($F2281:$AJ2281,"SL"))</f>
        <v/>
      </c>
      <c r="AR2281" s="34" t="str">
        <f aca="false">IF($B2281="","",COUNTIF($F2281:$AJ2281,"CO"))</f>
        <v/>
      </c>
      <c r="AS2281" s="34" t="str">
        <f aca="false">IF($B2281="","",COUNTIF($F2281:$AJ2281,"HPL"))</f>
        <v/>
      </c>
      <c r="AT2281" s="34" t="str">
        <f aca="false">IF($B2281="","",COUNTIF($F2281:$AJ2281,"HCL"))</f>
        <v/>
      </c>
      <c r="AU2281" s="34" t="str">
        <f aca="false">IF($B2281="","",COUNTIF($F2281:$AJ2281,"WO"))</f>
        <v/>
      </c>
      <c r="AV2281" s="34" t="str">
        <f aca="false">IF($B2281="","",COUNTIF($F2281:$AJ2281,"PH"))</f>
        <v/>
      </c>
      <c r="AW2281" s="34" t="str">
        <f aca="false">IF($B2281="","",COUNTIF($F2281:$AJ2281,"TR"))</f>
        <v/>
      </c>
      <c r="AX2281" s="35" t="str">
        <f aca="false">IF($B2281="","",AO2281+AS2281/2)</f>
        <v/>
      </c>
      <c r="AY2281" s="35" t="str">
        <f aca="false">IF($B2281="","",AQ2281)</f>
        <v/>
      </c>
      <c r="AZ2281" s="35" t="str">
        <f aca="false">IF($B2281="","",AP2281+AT2281/2)</f>
        <v/>
      </c>
      <c r="BA2281" s="35" t="str">
        <f aca="false">IF($B2281="","",AK2281+AN2281+AM2281/2+AO2281+AP2281+AQ2281+AR2281+AS2281+AT2281+AU2281+AV2281+AW2281)</f>
        <v/>
      </c>
      <c r="BB2281" s="35" t="str">
        <f aca="false">IF($B2281="","",MAX(0,AN2281-Settings!$C$16)*Settings!$C$17)</f>
        <v/>
      </c>
      <c r="BC2281" s="35" t="str">
        <f aca="false">IF($B2281="","",BA2281-BB2281)</f>
        <v/>
      </c>
      <c r="BD2281" s="35" t="str">
        <f aca="false">IF(OR($B2281="",$A2281=""),"",DAY(EOMONTH($A2281,0))-COUNTA($F2281:$AJ2281))</f>
        <v/>
      </c>
    </row>
    <row r="2282" customFormat="false" ht="15" hidden="false" customHeight="false" outlineLevel="0" collapsed="false">
      <c r="A2282" s="32"/>
      <c r="B2282" s="29"/>
      <c r="C2282" s="10" t="str">
        <f aca="false">IF($B2282="","",IFERROR(INDEX(M_name,MATCH($B2282,M_emp,0)),"Code not found"))</f>
        <v/>
      </c>
      <c r="D2282" s="10" t="str">
        <f aca="false">IF($B2282="","",IFERROR(INDEX(M_dept,MATCH($B2282,M_emp,0)),""))</f>
        <v/>
      </c>
      <c r="E2282" s="10" t="str">
        <f aca="false">IF($B2282="","",IFERROR(INDEX(M_loc,MATCH($B2282,M_emp,0)),""))</f>
        <v/>
      </c>
      <c r="F2282" s="33"/>
      <c r="G2282" s="33"/>
      <c r="H2282" s="33"/>
      <c r="I2282" s="33"/>
      <c r="J2282" s="33"/>
      <c r="K2282" s="33"/>
      <c r="L2282" s="33"/>
      <c r="M2282" s="33"/>
      <c r="N2282" s="33"/>
      <c r="O2282" s="33"/>
      <c r="P2282" s="33"/>
      <c r="Q2282" s="33"/>
      <c r="R2282" s="33"/>
      <c r="S2282" s="33"/>
      <c r="T2282" s="33"/>
      <c r="U2282" s="33"/>
      <c r="V2282" s="33"/>
      <c r="W2282" s="33"/>
      <c r="X2282" s="33"/>
      <c r="Y2282" s="33"/>
      <c r="Z2282" s="33"/>
      <c r="AA2282" s="33"/>
      <c r="AB2282" s="33"/>
      <c r="AC2282" s="33"/>
      <c r="AD2282" s="33"/>
      <c r="AE2282" s="33"/>
      <c r="AF2282" s="33"/>
      <c r="AG2282" s="33"/>
      <c r="AH2282" s="33"/>
      <c r="AI2282" s="33"/>
      <c r="AJ2282" s="33"/>
      <c r="AK2282" s="34" t="str">
        <f aca="false">IF($B2282="","",COUNTIF($F2282:$AJ2282,"P"))</f>
        <v/>
      </c>
      <c r="AL2282" s="34" t="str">
        <f aca="false">IF($B2282="","",COUNTIF($F2282:$AJ2282,"A"))</f>
        <v/>
      </c>
      <c r="AM2282" s="34" t="str">
        <f aca="false">IF($B2282="","",COUNTIF($F2282:$AJ2282,"HA"))</f>
        <v/>
      </c>
      <c r="AN2282" s="34" t="str">
        <f aca="false">IF($B2282="","",COUNTIF($F2282:$AJ2282,"L"))</f>
        <v/>
      </c>
      <c r="AO2282" s="34" t="str">
        <f aca="false">IF($B2282="","",COUNTIF($F2282:$AJ2282,"PL"))</f>
        <v/>
      </c>
      <c r="AP2282" s="34" t="str">
        <f aca="false">IF($B2282="","",COUNTIF($F2282:$AJ2282,"CL"))</f>
        <v/>
      </c>
      <c r="AQ2282" s="34" t="str">
        <f aca="false">IF($B2282="","",COUNTIF($F2282:$AJ2282,"SL"))</f>
        <v/>
      </c>
      <c r="AR2282" s="34" t="str">
        <f aca="false">IF($B2282="","",COUNTIF($F2282:$AJ2282,"CO"))</f>
        <v/>
      </c>
      <c r="AS2282" s="34" t="str">
        <f aca="false">IF($B2282="","",COUNTIF($F2282:$AJ2282,"HPL"))</f>
        <v/>
      </c>
      <c r="AT2282" s="34" t="str">
        <f aca="false">IF($B2282="","",COUNTIF($F2282:$AJ2282,"HCL"))</f>
        <v/>
      </c>
      <c r="AU2282" s="34" t="str">
        <f aca="false">IF($B2282="","",COUNTIF($F2282:$AJ2282,"WO"))</f>
        <v/>
      </c>
      <c r="AV2282" s="34" t="str">
        <f aca="false">IF($B2282="","",COUNTIF($F2282:$AJ2282,"PH"))</f>
        <v/>
      </c>
      <c r="AW2282" s="34" t="str">
        <f aca="false">IF($B2282="","",COUNTIF($F2282:$AJ2282,"TR"))</f>
        <v/>
      </c>
      <c r="AX2282" s="35" t="str">
        <f aca="false">IF($B2282="","",AO2282+AS2282/2)</f>
        <v/>
      </c>
      <c r="AY2282" s="35" t="str">
        <f aca="false">IF($B2282="","",AQ2282)</f>
        <v/>
      </c>
      <c r="AZ2282" s="35" t="str">
        <f aca="false">IF($B2282="","",AP2282+AT2282/2)</f>
        <v/>
      </c>
      <c r="BA2282" s="35" t="str">
        <f aca="false">IF($B2282="","",AK2282+AN2282+AM2282/2+AO2282+AP2282+AQ2282+AR2282+AS2282+AT2282+AU2282+AV2282+AW2282)</f>
        <v/>
      </c>
      <c r="BB2282" s="35" t="str">
        <f aca="false">IF($B2282="","",MAX(0,AN2282-Settings!$C$16)*Settings!$C$17)</f>
        <v/>
      </c>
      <c r="BC2282" s="35" t="str">
        <f aca="false">IF($B2282="","",BA2282-BB2282)</f>
        <v/>
      </c>
      <c r="BD2282" s="35" t="str">
        <f aca="false">IF(OR($B2282="",$A2282=""),"",DAY(EOMONTH($A2282,0))-COUNTA($F2282:$AJ2282))</f>
        <v/>
      </c>
    </row>
    <row r="2283" customFormat="false" ht="15" hidden="false" customHeight="false" outlineLevel="0" collapsed="false">
      <c r="A2283" s="32"/>
      <c r="B2283" s="29"/>
      <c r="C2283" s="10" t="str">
        <f aca="false">IF($B2283="","",IFERROR(INDEX(M_name,MATCH($B2283,M_emp,0)),"Code not found"))</f>
        <v/>
      </c>
      <c r="D2283" s="10" t="str">
        <f aca="false">IF($B2283="","",IFERROR(INDEX(M_dept,MATCH($B2283,M_emp,0)),""))</f>
        <v/>
      </c>
      <c r="E2283" s="10" t="str">
        <f aca="false">IF($B2283="","",IFERROR(INDEX(M_loc,MATCH($B2283,M_emp,0)),""))</f>
        <v/>
      </c>
      <c r="F2283" s="33"/>
      <c r="G2283" s="33"/>
      <c r="H2283" s="33"/>
      <c r="I2283" s="33"/>
      <c r="J2283" s="33"/>
      <c r="K2283" s="33"/>
      <c r="L2283" s="33"/>
      <c r="M2283" s="33"/>
      <c r="N2283" s="33"/>
      <c r="O2283" s="33"/>
      <c r="P2283" s="33"/>
      <c r="Q2283" s="33"/>
      <c r="R2283" s="33"/>
      <c r="S2283" s="33"/>
      <c r="T2283" s="33"/>
      <c r="U2283" s="33"/>
      <c r="V2283" s="33"/>
      <c r="W2283" s="33"/>
      <c r="X2283" s="33"/>
      <c r="Y2283" s="33"/>
      <c r="Z2283" s="33"/>
      <c r="AA2283" s="33"/>
      <c r="AB2283" s="33"/>
      <c r="AC2283" s="33"/>
      <c r="AD2283" s="33"/>
      <c r="AE2283" s="33"/>
      <c r="AF2283" s="33"/>
      <c r="AG2283" s="33"/>
      <c r="AH2283" s="33"/>
      <c r="AI2283" s="33"/>
      <c r="AJ2283" s="33"/>
      <c r="AK2283" s="34" t="str">
        <f aca="false">IF($B2283="","",COUNTIF($F2283:$AJ2283,"P"))</f>
        <v/>
      </c>
      <c r="AL2283" s="34" t="str">
        <f aca="false">IF($B2283="","",COUNTIF($F2283:$AJ2283,"A"))</f>
        <v/>
      </c>
      <c r="AM2283" s="34" t="str">
        <f aca="false">IF($B2283="","",COUNTIF($F2283:$AJ2283,"HA"))</f>
        <v/>
      </c>
      <c r="AN2283" s="34" t="str">
        <f aca="false">IF($B2283="","",COUNTIF($F2283:$AJ2283,"L"))</f>
        <v/>
      </c>
      <c r="AO2283" s="34" t="str">
        <f aca="false">IF($B2283="","",COUNTIF($F2283:$AJ2283,"PL"))</f>
        <v/>
      </c>
      <c r="AP2283" s="34" t="str">
        <f aca="false">IF($B2283="","",COUNTIF($F2283:$AJ2283,"CL"))</f>
        <v/>
      </c>
      <c r="AQ2283" s="34" t="str">
        <f aca="false">IF($B2283="","",COUNTIF($F2283:$AJ2283,"SL"))</f>
        <v/>
      </c>
      <c r="AR2283" s="34" t="str">
        <f aca="false">IF($B2283="","",COUNTIF($F2283:$AJ2283,"CO"))</f>
        <v/>
      </c>
      <c r="AS2283" s="34" t="str">
        <f aca="false">IF($B2283="","",COUNTIF($F2283:$AJ2283,"HPL"))</f>
        <v/>
      </c>
      <c r="AT2283" s="34" t="str">
        <f aca="false">IF($B2283="","",COUNTIF($F2283:$AJ2283,"HCL"))</f>
        <v/>
      </c>
      <c r="AU2283" s="34" t="str">
        <f aca="false">IF($B2283="","",COUNTIF($F2283:$AJ2283,"WO"))</f>
        <v/>
      </c>
      <c r="AV2283" s="34" t="str">
        <f aca="false">IF($B2283="","",COUNTIF($F2283:$AJ2283,"PH"))</f>
        <v/>
      </c>
      <c r="AW2283" s="34" t="str">
        <f aca="false">IF($B2283="","",COUNTIF($F2283:$AJ2283,"TR"))</f>
        <v/>
      </c>
      <c r="AX2283" s="35" t="str">
        <f aca="false">IF($B2283="","",AO2283+AS2283/2)</f>
        <v/>
      </c>
      <c r="AY2283" s="35" t="str">
        <f aca="false">IF($B2283="","",AQ2283)</f>
        <v/>
      </c>
      <c r="AZ2283" s="35" t="str">
        <f aca="false">IF($B2283="","",AP2283+AT2283/2)</f>
        <v/>
      </c>
      <c r="BA2283" s="35" t="str">
        <f aca="false">IF($B2283="","",AK2283+AN2283+AM2283/2+AO2283+AP2283+AQ2283+AR2283+AS2283+AT2283+AU2283+AV2283+AW2283)</f>
        <v/>
      </c>
      <c r="BB2283" s="35" t="str">
        <f aca="false">IF($B2283="","",MAX(0,AN2283-Settings!$C$16)*Settings!$C$17)</f>
        <v/>
      </c>
      <c r="BC2283" s="35" t="str">
        <f aca="false">IF($B2283="","",BA2283-BB2283)</f>
        <v/>
      </c>
      <c r="BD2283" s="35" t="str">
        <f aca="false">IF(OR($B2283="",$A2283=""),"",DAY(EOMONTH($A2283,0))-COUNTA($F2283:$AJ2283))</f>
        <v/>
      </c>
    </row>
    <row r="2284" customFormat="false" ht="15" hidden="false" customHeight="false" outlineLevel="0" collapsed="false">
      <c r="A2284" s="32"/>
      <c r="B2284" s="29"/>
      <c r="C2284" s="10" t="str">
        <f aca="false">IF($B2284="","",IFERROR(INDEX(M_name,MATCH($B2284,M_emp,0)),"Code not found"))</f>
        <v/>
      </c>
      <c r="D2284" s="10" t="str">
        <f aca="false">IF($B2284="","",IFERROR(INDEX(M_dept,MATCH($B2284,M_emp,0)),""))</f>
        <v/>
      </c>
      <c r="E2284" s="10" t="str">
        <f aca="false">IF($B2284="","",IFERROR(INDEX(M_loc,MATCH($B2284,M_emp,0)),""))</f>
        <v/>
      </c>
      <c r="F2284" s="33"/>
      <c r="G2284" s="33"/>
      <c r="H2284" s="33"/>
      <c r="I2284" s="33"/>
      <c r="J2284" s="33"/>
      <c r="K2284" s="33"/>
      <c r="L2284" s="33"/>
      <c r="M2284" s="33"/>
      <c r="N2284" s="33"/>
      <c r="O2284" s="33"/>
      <c r="P2284" s="33"/>
      <c r="Q2284" s="33"/>
      <c r="R2284" s="33"/>
      <c r="S2284" s="33"/>
      <c r="T2284" s="33"/>
      <c r="U2284" s="33"/>
      <c r="V2284" s="33"/>
      <c r="W2284" s="33"/>
      <c r="X2284" s="33"/>
      <c r="Y2284" s="33"/>
      <c r="Z2284" s="33"/>
      <c r="AA2284" s="33"/>
      <c r="AB2284" s="33"/>
      <c r="AC2284" s="33"/>
      <c r="AD2284" s="33"/>
      <c r="AE2284" s="33"/>
      <c r="AF2284" s="33"/>
      <c r="AG2284" s="33"/>
      <c r="AH2284" s="33"/>
      <c r="AI2284" s="33"/>
      <c r="AJ2284" s="33"/>
      <c r="AK2284" s="34" t="str">
        <f aca="false">IF($B2284="","",COUNTIF($F2284:$AJ2284,"P"))</f>
        <v/>
      </c>
      <c r="AL2284" s="34" t="str">
        <f aca="false">IF($B2284="","",COUNTIF($F2284:$AJ2284,"A"))</f>
        <v/>
      </c>
      <c r="AM2284" s="34" t="str">
        <f aca="false">IF($B2284="","",COUNTIF($F2284:$AJ2284,"HA"))</f>
        <v/>
      </c>
      <c r="AN2284" s="34" t="str">
        <f aca="false">IF($B2284="","",COUNTIF($F2284:$AJ2284,"L"))</f>
        <v/>
      </c>
      <c r="AO2284" s="34" t="str">
        <f aca="false">IF($B2284="","",COUNTIF($F2284:$AJ2284,"PL"))</f>
        <v/>
      </c>
      <c r="AP2284" s="34" t="str">
        <f aca="false">IF($B2284="","",COUNTIF($F2284:$AJ2284,"CL"))</f>
        <v/>
      </c>
      <c r="AQ2284" s="34" t="str">
        <f aca="false">IF($B2284="","",COUNTIF($F2284:$AJ2284,"SL"))</f>
        <v/>
      </c>
      <c r="AR2284" s="34" t="str">
        <f aca="false">IF($B2284="","",COUNTIF($F2284:$AJ2284,"CO"))</f>
        <v/>
      </c>
      <c r="AS2284" s="34" t="str">
        <f aca="false">IF($B2284="","",COUNTIF($F2284:$AJ2284,"HPL"))</f>
        <v/>
      </c>
      <c r="AT2284" s="34" t="str">
        <f aca="false">IF($B2284="","",COUNTIF($F2284:$AJ2284,"HCL"))</f>
        <v/>
      </c>
      <c r="AU2284" s="34" t="str">
        <f aca="false">IF($B2284="","",COUNTIF($F2284:$AJ2284,"WO"))</f>
        <v/>
      </c>
      <c r="AV2284" s="34" t="str">
        <f aca="false">IF($B2284="","",COUNTIF($F2284:$AJ2284,"PH"))</f>
        <v/>
      </c>
      <c r="AW2284" s="34" t="str">
        <f aca="false">IF($B2284="","",COUNTIF($F2284:$AJ2284,"TR"))</f>
        <v/>
      </c>
      <c r="AX2284" s="35" t="str">
        <f aca="false">IF($B2284="","",AO2284+AS2284/2)</f>
        <v/>
      </c>
      <c r="AY2284" s="35" t="str">
        <f aca="false">IF($B2284="","",AQ2284)</f>
        <v/>
      </c>
      <c r="AZ2284" s="35" t="str">
        <f aca="false">IF($B2284="","",AP2284+AT2284/2)</f>
        <v/>
      </c>
      <c r="BA2284" s="35" t="str">
        <f aca="false">IF($B2284="","",AK2284+AN2284+AM2284/2+AO2284+AP2284+AQ2284+AR2284+AS2284+AT2284+AU2284+AV2284+AW2284)</f>
        <v/>
      </c>
      <c r="BB2284" s="35" t="str">
        <f aca="false">IF($B2284="","",MAX(0,AN2284-Settings!$C$16)*Settings!$C$17)</f>
        <v/>
      </c>
      <c r="BC2284" s="35" t="str">
        <f aca="false">IF($B2284="","",BA2284-BB2284)</f>
        <v/>
      </c>
      <c r="BD2284" s="35" t="str">
        <f aca="false">IF(OR($B2284="",$A2284=""),"",DAY(EOMONTH($A2284,0))-COUNTA($F2284:$AJ2284))</f>
        <v/>
      </c>
    </row>
    <row r="2285" customFormat="false" ht="15" hidden="false" customHeight="false" outlineLevel="0" collapsed="false">
      <c r="A2285" s="32"/>
      <c r="B2285" s="29"/>
      <c r="C2285" s="10" t="str">
        <f aca="false">IF($B2285="","",IFERROR(INDEX(M_name,MATCH($B2285,M_emp,0)),"Code not found"))</f>
        <v/>
      </c>
      <c r="D2285" s="10" t="str">
        <f aca="false">IF($B2285="","",IFERROR(INDEX(M_dept,MATCH($B2285,M_emp,0)),""))</f>
        <v/>
      </c>
      <c r="E2285" s="10" t="str">
        <f aca="false">IF($B2285="","",IFERROR(INDEX(M_loc,MATCH($B2285,M_emp,0)),""))</f>
        <v/>
      </c>
      <c r="F2285" s="33"/>
      <c r="G2285" s="33"/>
      <c r="H2285" s="33"/>
      <c r="I2285" s="33"/>
      <c r="J2285" s="33"/>
      <c r="K2285" s="33"/>
      <c r="L2285" s="33"/>
      <c r="M2285" s="33"/>
      <c r="N2285" s="33"/>
      <c r="O2285" s="33"/>
      <c r="P2285" s="33"/>
      <c r="Q2285" s="33"/>
      <c r="R2285" s="33"/>
      <c r="S2285" s="33"/>
      <c r="T2285" s="33"/>
      <c r="U2285" s="33"/>
      <c r="V2285" s="33"/>
      <c r="W2285" s="33"/>
      <c r="X2285" s="33"/>
      <c r="Y2285" s="33"/>
      <c r="Z2285" s="33"/>
      <c r="AA2285" s="33"/>
      <c r="AB2285" s="33"/>
      <c r="AC2285" s="33"/>
      <c r="AD2285" s="33"/>
      <c r="AE2285" s="33"/>
      <c r="AF2285" s="33"/>
      <c r="AG2285" s="33"/>
      <c r="AH2285" s="33"/>
      <c r="AI2285" s="33"/>
      <c r="AJ2285" s="33"/>
      <c r="AK2285" s="34" t="str">
        <f aca="false">IF($B2285="","",COUNTIF($F2285:$AJ2285,"P"))</f>
        <v/>
      </c>
      <c r="AL2285" s="34" t="str">
        <f aca="false">IF($B2285="","",COUNTIF($F2285:$AJ2285,"A"))</f>
        <v/>
      </c>
      <c r="AM2285" s="34" t="str">
        <f aca="false">IF($B2285="","",COUNTIF($F2285:$AJ2285,"HA"))</f>
        <v/>
      </c>
      <c r="AN2285" s="34" t="str">
        <f aca="false">IF($B2285="","",COUNTIF($F2285:$AJ2285,"L"))</f>
        <v/>
      </c>
      <c r="AO2285" s="34" t="str">
        <f aca="false">IF($B2285="","",COUNTIF($F2285:$AJ2285,"PL"))</f>
        <v/>
      </c>
      <c r="AP2285" s="34" t="str">
        <f aca="false">IF($B2285="","",COUNTIF($F2285:$AJ2285,"CL"))</f>
        <v/>
      </c>
      <c r="AQ2285" s="34" t="str">
        <f aca="false">IF($B2285="","",COUNTIF($F2285:$AJ2285,"SL"))</f>
        <v/>
      </c>
      <c r="AR2285" s="34" t="str">
        <f aca="false">IF($B2285="","",COUNTIF($F2285:$AJ2285,"CO"))</f>
        <v/>
      </c>
      <c r="AS2285" s="34" t="str">
        <f aca="false">IF($B2285="","",COUNTIF($F2285:$AJ2285,"HPL"))</f>
        <v/>
      </c>
      <c r="AT2285" s="34" t="str">
        <f aca="false">IF($B2285="","",COUNTIF($F2285:$AJ2285,"HCL"))</f>
        <v/>
      </c>
      <c r="AU2285" s="34" t="str">
        <f aca="false">IF($B2285="","",COUNTIF($F2285:$AJ2285,"WO"))</f>
        <v/>
      </c>
      <c r="AV2285" s="34" t="str">
        <f aca="false">IF($B2285="","",COUNTIF($F2285:$AJ2285,"PH"))</f>
        <v/>
      </c>
      <c r="AW2285" s="34" t="str">
        <f aca="false">IF($B2285="","",COUNTIF($F2285:$AJ2285,"TR"))</f>
        <v/>
      </c>
      <c r="AX2285" s="35" t="str">
        <f aca="false">IF($B2285="","",AO2285+AS2285/2)</f>
        <v/>
      </c>
      <c r="AY2285" s="35" t="str">
        <f aca="false">IF($B2285="","",AQ2285)</f>
        <v/>
      </c>
      <c r="AZ2285" s="35" t="str">
        <f aca="false">IF($B2285="","",AP2285+AT2285/2)</f>
        <v/>
      </c>
      <c r="BA2285" s="35" t="str">
        <f aca="false">IF($B2285="","",AK2285+AN2285+AM2285/2+AO2285+AP2285+AQ2285+AR2285+AS2285+AT2285+AU2285+AV2285+AW2285)</f>
        <v/>
      </c>
      <c r="BB2285" s="35" t="str">
        <f aca="false">IF($B2285="","",MAX(0,AN2285-Settings!$C$16)*Settings!$C$17)</f>
        <v/>
      </c>
      <c r="BC2285" s="35" t="str">
        <f aca="false">IF($B2285="","",BA2285-BB2285)</f>
        <v/>
      </c>
      <c r="BD2285" s="35" t="str">
        <f aca="false">IF(OR($B2285="",$A2285=""),"",DAY(EOMONTH($A2285,0))-COUNTA($F2285:$AJ2285))</f>
        <v/>
      </c>
    </row>
    <row r="2286" customFormat="false" ht="15" hidden="false" customHeight="false" outlineLevel="0" collapsed="false">
      <c r="A2286" s="32"/>
      <c r="B2286" s="29"/>
      <c r="C2286" s="10" t="str">
        <f aca="false">IF($B2286="","",IFERROR(INDEX(M_name,MATCH($B2286,M_emp,0)),"Code not found"))</f>
        <v/>
      </c>
      <c r="D2286" s="10" t="str">
        <f aca="false">IF($B2286="","",IFERROR(INDEX(M_dept,MATCH($B2286,M_emp,0)),""))</f>
        <v/>
      </c>
      <c r="E2286" s="10" t="str">
        <f aca="false">IF($B2286="","",IFERROR(INDEX(M_loc,MATCH($B2286,M_emp,0)),""))</f>
        <v/>
      </c>
      <c r="F2286" s="33"/>
      <c r="G2286" s="33"/>
      <c r="H2286" s="33"/>
      <c r="I2286" s="33"/>
      <c r="J2286" s="33"/>
      <c r="K2286" s="33"/>
      <c r="L2286" s="33"/>
      <c r="M2286" s="33"/>
      <c r="N2286" s="33"/>
      <c r="O2286" s="33"/>
      <c r="P2286" s="33"/>
      <c r="Q2286" s="33"/>
      <c r="R2286" s="33"/>
      <c r="S2286" s="33"/>
      <c r="T2286" s="33"/>
      <c r="U2286" s="33"/>
      <c r="V2286" s="33"/>
      <c r="W2286" s="33"/>
      <c r="X2286" s="33"/>
      <c r="Y2286" s="33"/>
      <c r="Z2286" s="33"/>
      <c r="AA2286" s="33"/>
      <c r="AB2286" s="33"/>
      <c r="AC2286" s="33"/>
      <c r="AD2286" s="33"/>
      <c r="AE2286" s="33"/>
      <c r="AF2286" s="33"/>
      <c r="AG2286" s="33"/>
      <c r="AH2286" s="33"/>
      <c r="AI2286" s="33"/>
      <c r="AJ2286" s="33"/>
      <c r="AK2286" s="34" t="str">
        <f aca="false">IF($B2286="","",COUNTIF($F2286:$AJ2286,"P"))</f>
        <v/>
      </c>
      <c r="AL2286" s="34" t="str">
        <f aca="false">IF($B2286="","",COUNTIF($F2286:$AJ2286,"A"))</f>
        <v/>
      </c>
      <c r="AM2286" s="34" t="str">
        <f aca="false">IF($B2286="","",COUNTIF($F2286:$AJ2286,"HA"))</f>
        <v/>
      </c>
      <c r="AN2286" s="34" t="str">
        <f aca="false">IF($B2286="","",COUNTIF($F2286:$AJ2286,"L"))</f>
        <v/>
      </c>
      <c r="AO2286" s="34" t="str">
        <f aca="false">IF($B2286="","",COUNTIF($F2286:$AJ2286,"PL"))</f>
        <v/>
      </c>
      <c r="AP2286" s="34" t="str">
        <f aca="false">IF($B2286="","",COUNTIF($F2286:$AJ2286,"CL"))</f>
        <v/>
      </c>
      <c r="AQ2286" s="34" t="str">
        <f aca="false">IF($B2286="","",COUNTIF($F2286:$AJ2286,"SL"))</f>
        <v/>
      </c>
      <c r="AR2286" s="34" t="str">
        <f aca="false">IF($B2286="","",COUNTIF($F2286:$AJ2286,"CO"))</f>
        <v/>
      </c>
      <c r="AS2286" s="34" t="str">
        <f aca="false">IF($B2286="","",COUNTIF($F2286:$AJ2286,"HPL"))</f>
        <v/>
      </c>
      <c r="AT2286" s="34" t="str">
        <f aca="false">IF($B2286="","",COUNTIF($F2286:$AJ2286,"HCL"))</f>
        <v/>
      </c>
      <c r="AU2286" s="34" t="str">
        <f aca="false">IF($B2286="","",COUNTIF($F2286:$AJ2286,"WO"))</f>
        <v/>
      </c>
      <c r="AV2286" s="34" t="str">
        <f aca="false">IF($B2286="","",COUNTIF($F2286:$AJ2286,"PH"))</f>
        <v/>
      </c>
      <c r="AW2286" s="34" t="str">
        <f aca="false">IF($B2286="","",COUNTIF($F2286:$AJ2286,"TR"))</f>
        <v/>
      </c>
      <c r="AX2286" s="35" t="str">
        <f aca="false">IF($B2286="","",AO2286+AS2286/2)</f>
        <v/>
      </c>
      <c r="AY2286" s="35" t="str">
        <f aca="false">IF($B2286="","",AQ2286)</f>
        <v/>
      </c>
      <c r="AZ2286" s="35" t="str">
        <f aca="false">IF($B2286="","",AP2286+AT2286/2)</f>
        <v/>
      </c>
      <c r="BA2286" s="35" t="str">
        <f aca="false">IF($B2286="","",AK2286+AN2286+AM2286/2+AO2286+AP2286+AQ2286+AR2286+AS2286+AT2286+AU2286+AV2286+AW2286)</f>
        <v/>
      </c>
      <c r="BB2286" s="35" t="str">
        <f aca="false">IF($B2286="","",MAX(0,AN2286-Settings!$C$16)*Settings!$C$17)</f>
        <v/>
      </c>
      <c r="BC2286" s="35" t="str">
        <f aca="false">IF($B2286="","",BA2286-BB2286)</f>
        <v/>
      </c>
      <c r="BD2286" s="35" t="str">
        <f aca="false">IF(OR($B2286="",$A2286=""),"",DAY(EOMONTH($A2286,0))-COUNTA($F2286:$AJ2286))</f>
        <v/>
      </c>
    </row>
    <row r="2287" customFormat="false" ht="15" hidden="false" customHeight="false" outlineLevel="0" collapsed="false">
      <c r="A2287" s="32"/>
      <c r="B2287" s="29"/>
      <c r="C2287" s="10" t="str">
        <f aca="false">IF($B2287="","",IFERROR(INDEX(M_name,MATCH($B2287,M_emp,0)),"Code not found"))</f>
        <v/>
      </c>
      <c r="D2287" s="10" t="str">
        <f aca="false">IF($B2287="","",IFERROR(INDEX(M_dept,MATCH($B2287,M_emp,0)),""))</f>
        <v/>
      </c>
      <c r="E2287" s="10" t="str">
        <f aca="false">IF($B2287="","",IFERROR(INDEX(M_loc,MATCH($B2287,M_emp,0)),""))</f>
        <v/>
      </c>
      <c r="F2287" s="33"/>
      <c r="G2287" s="33"/>
      <c r="H2287" s="33"/>
      <c r="I2287" s="33"/>
      <c r="J2287" s="33"/>
      <c r="K2287" s="33"/>
      <c r="L2287" s="33"/>
      <c r="M2287" s="33"/>
      <c r="N2287" s="33"/>
      <c r="O2287" s="33"/>
      <c r="P2287" s="33"/>
      <c r="Q2287" s="33"/>
      <c r="R2287" s="33"/>
      <c r="S2287" s="33"/>
      <c r="T2287" s="33"/>
      <c r="U2287" s="33"/>
      <c r="V2287" s="33"/>
      <c r="W2287" s="33"/>
      <c r="X2287" s="33"/>
      <c r="Y2287" s="33"/>
      <c r="Z2287" s="33"/>
      <c r="AA2287" s="33"/>
      <c r="AB2287" s="33"/>
      <c r="AC2287" s="33"/>
      <c r="AD2287" s="33"/>
      <c r="AE2287" s="33"/>
      <c r="AF2287" s="33"/>
      <c r="AG2287" s="33"/>
      <c r="AH2287" s="33"/>
      <c r="AI2287" s="33"/>
      <c r="AJ2287" s="33"/>
      <c r="AK2287" s="34" t="str">
        <f aca="false">IF($B2287="","",COUNTIF($F2287:$AJ2287,"P"))</f>
        <v/>
      </c>
      <c r="AL2287" s="34" t="str">
        <f aca="false">IF($B2287="","",COUNTIF($F2287:$AJ2287,"A"))</f>
        <v/>
      </c>
      <c r="AM2287" s="34" t="str">
        <f aca="false">IF($B2287="","",COUNTIF($F2287:$AJ2287,"HA"))</f>
        <v/>
      </c>
      <c r="AN2287" s="34" t="str">
        <f aca="false">IF($B2287="","",COUNTIF($F2287:$AJ2287,"L"))</f>
        <v/>
      </c>
      <c r="AO2287" s="34" t="str">
        <f aca="false">IF($B2287="","",COUNTIF($F2287:$AJ2287,"PL"))</f>
        <v/>
      </c>
      <c r="AP2287" s="34" t="str">
        <f aca="false">IF($B2287="","",COUNTIF($F2287:$AJ2287,"CL"))</f>
        <v/>
      </c>
      <c r="AQ2287" s="34" t="str">
        <f aca="false">IF($B2287="","",COUNTIF($F2287:$AJ2287,"SL"))</f>
        <v/>
      </c>
      <c r="AR2287" s="34" t="str">
        <f aca="false">IF($B2287="","",COUNTIF($F2287:$AJ2287,"CO"))</f>
        <v/>
      </c>
      <c r="AS2287" s="34" t="str">
        <f aca="false">IF($B2287="","",COUNTIF($F2287:$AJ2287,"HPL"))</f>
        <v/>
      </c>
      <c r="AT2287" s="34" t="str">
        <f aca="false">IF($B2287="","",COUNTIF($F2287:$AJ2287,"HCL"))</f>
        <v/>
      </c>
      <c r="AU2287" s="34" t="str">
        <f aca="false">IF($B2287="","",COUNTIF($F2287:$AJ2287,"WO"))</f>
        <v/>
      </c>
      <c r="AV2287" s="34" t="str">
        <f aca="false">IF($B2287="","",COUNTIF($F2287:$AJ2287,"PH"))</f>
        <v/>
      </c>
      <c r="AW2287" s="34" t="str">
        <f aca="false">IF($B2287="","",COUNTIF($F2287:$AJ2287,"TR"))</f>
        <v/>
      </c>
      <c r="AX2287" s="35" t="str">
        <f aca="false">IF($B2287="","",AO2287+AS2287/2)</f>
        <v/>
      </c>
      <c r="AY2287" s="35" t="str">
        <f aca="false">IF($B2287="","",AQ2287)</f>
        <v/>
      </c>
      <c r="AZ2287" s="35" t="str">
        <f aca="false">IF($B2287="","",AP2287+AT2287/2)</f>
        <v/>
      </c>
      <c r="BA2287" s="35" t="str">
        <f aca="false">IF($B2287="","",AK2287+AN2287+AM2287/2+AO2287+AP2287+AQ2287+AR2287+AS2287+AT2287+AU2287+AV2287+AW2287)</f>
        <v/>
      </c>
      <c r="BB2287" s="35" t="str">
        <f aca="false">IF($B2287="","",MAX(0,AN2287-Settings!$C$16)*Settings!$C$17)</f>
        <v/>
      </c>
      <c r="BC2287" s="35" t="str">
        <f aca="false">IF($B2287="","",BA2287-BB2287)</f>
        <v/>
      </c>
      <c r="BD2287" s="35" t="str">
        <f aca="false">IF(OR($B2287="",$A2287=""),"",DAY(EOMONTH($A2287,0))-COUNTA($F2287:$AJ2287))</f>
        <v/>
      </c>
    </row>
    <row r="2288" customFormat="false" ht="15" hidden="false" customHeight="false" outlineLevel="0" collapsed="false">
      <c r="A2288" s="32"/>
      <c r="B2288" s="29"/>
      <c r="C2288" s="10" t="str">
        <f aca="false">IF($B2288="","",IFERROR(INDEX(M_name,MATCH($B2288,M_emp,0)),"Code not found"))</f>
        <v/>
      </c>
      <c r="D2288" s="10" t="str">
        <f aca="false">IF($B2288="","",IFERROR(INDEX(M_dept,MATCH($B2288,M_emp,0)),""))</f>
        <v/>
      </c>
      <c r="E2288" s="10" t="str">
        <f aca="false">IF($B2288="","",IFERROR(INDEX(M_loc,MATCH($B2288,M_emp,0)),""))</f>
        <v/>
      </c>
      <c r="F2288" s="33"/>
      <c r="G2288" s="33"/>
      <c r="H2288" s="33"/>
      <c r="I2288" s="33"/>
      <c r="J2288" s="33"/>
      <c r="K2288" s="33"/>
      <c r="L2288" s="33"/>
      <c r="M2288" s="33"/>
      <c r="N2288" s="33"/>
      <c r="O2288" s="33"/>
      <c r="P2288" s="33"/>
      <c r="Q2288" s="33"/>
      <c r="R2288" s="33"/>
      <c r="S2288" s="33"/>
      <c r="T2288" s="33"/>
      <c r="U2288" s="33"/>
      <c r="V2288" s="33"/>
      <c r="W2288" s="33"/>
      <c r="X2288" s="33"/>
      <c r="Y2288" s="33"/>
      <c r="Z2288" s="33"/>
      <c r="AA2288" s="33"/>
      <c r="AB2288" s="33"/>
      <c r="AC2288" s="33"/>
      <c r="AD2288" s="33"/>
      <c r="AE2288" s="33"/>
      <c r="AF2288" s="33"/>
      <c r="AG2288" s="33"/>
      <c r="AH2288" s="33"/>
      <c r="AI2288" s="33"/>
      <c r="AJ2288" s="33"/>
      <c r="AK2288" s="34" t="str">
        <f aca="false">IF($B2288="","",COUNTIF($F2288:$AJ2288,"P"))</f>
        <v/>
      </c>
      <c r="AL2288" s="34" t="str">
        <f aca="false">IF($B2288="","",COUNTIF($F2288:$AJ2288,"A"))</f>
        <v/>
      </c>
      <c r="AM2288" s="34" t="str">
        <f aca="false">IF($B2288="","",COUNTIF($F2288:$AJ2288,"HA"))</f>
        <v/>
      </c>
      <c r="AN2288" s="34" t="str">
        <f aca="false">IF($B2288="","",COUNTIF($F2288:$AJ2288,"L"))</f>
        <v/>
      </c>
      <c r="AO2288" s="34" t="str">
        <f aca="false">IF($B2288="","",COUNTIF($F2288:$AJ2288,"PL"))</f>
        <v/>
      </c>
      <c r="AP2288" s="34" t="str">
        <f aca="false">IF($B2288="","",COUNTIF($F2288:$AJ2288,"CL"))</f>
        <v/>
      </c>
      <c r="AQ2288" s="34" t="str">
        <f aca="false">IF($B2288="","",COUNTIF($F2288:$AJ2288,"SL"))</f>
        <v/>
      </c>
      <c r="AR2288" s="34" t="str">
        <f aca="false">IF($B2288="","",COUNTIF($F2288:$AJ2288,"CO"))</f>
        <v/>
      </c>
      <c r="AS2288" s="34" t="str">
        <f aca="false">IF($B2288="","",COUNTIF($F2288:$AJ2288,"HPL"))</f>
        <v/>
      </c>
      <c r="AT2288" s="34" t="str">
        <f aca="false">IF($B2288="","",COUNTIF($F2288:$AJ2288,"HCL"))</f>
        <v/>
      </c>
      <c r="AU2288" s="34" t="str">
        <f aca="false">IF($B2288="","",COUNTIF($F2288:$AJ2288,"WO"))</f>
        <v/>
      </c>
      <c r="AV2288" s="34" t="str">
        <f aca="false">IF($B2288="","",COUNTIF($F2288:$AJ2288,"PH"))</f>
        <v/>
      </c>
      <c r="AW2288" s="34" t="str">
        <f aca="false">IF($B2288="","",COUNTIF($F2288:$AJ2288,"TR"))</f>
        <v/>
      </c>
      <c r="AX2288" s="35" t="str">
        <f aca="false">IF($B2288="","",AO2288+AS2288/2)</f>
        <v/>
      </c>
      <c r="AY2288" s="35" t="str">
        <f aca="false">IF($B2288="","",AQ2288)</f>
        <v/>
      </c>
      <c r="AZ2288" s="35" t="str">
        <f aca="false">IF($B2288="","",AP2288+AT2288/2)</f>
        <v/>
      </c>
      <c r="BA2288" s="35" t="str">
        <f aca="false">IF($B2288="","",AK2288+AN2288+AM2288/2+AO2288+AP2288+AQ2288+AR2288+AS2288+AT2288+AU2288+AV2288+AW2288)</f>
        <v/>
      </c>
      <c r="BB2288" s="35" t="str">
        <f aca="false">IF($B2288="","",MAX(0,AN2288-Settings!$C$16)*Settings!$C$17)</f>
        <v/>
      </c>
      <c r="BC2288" s="35" t="str">
        <f aca="false">IF($B2288="","",BA2288-BB2288)</f>
        <v/>
      </c>
      <c r="BD2288" s="35" t="str">
        <f aca="false">IF(OR($B2288="",$A2288=""),"",DAY(EOMONTH($A2288,0))-COUNTA($F2288:$AJ2288))</f>
        <v/>
      </c>
    </row>
    <row r="2289" customFormat="false" ht="15" hidden="false" customHeight="false" outlineLevel="0" collapsed="false">
      <c r="A2289" s="32"/>
      <c r="B2289" s="29"/>
      <c r="C2289" s="10" t="str">
        <f aca="false">IF($B2289="","",IFERROR(INDEX(M_name,MATCH($B2289,M_emp,0)),"Code not found"))</f>
        <v/>
      </c>
      <c r="D2289" s="10" t="str">
        <f aca="false">IF($B2289="","",IFERROR(INDEX(M_dept,MATCH($B2289,M_emp,0)),""))</f>
        <v/>
      </c>
      <c r="E2289" s="10" t="str">
        <f aca="false">IF($B2289="","",IFERROR(INDEX(M_loc,MATCH($B2289,M_emp,0)),""))</f>
        <v/>
      </c>
      <c r="F2289" s="33"/>
      <c r="G2289" s="33"/>
      <c r="H2289" s="33"/>
      <c r="I2289" s="33"/>
      <c r="J2289" s="33"/>
      <c r="K2289" s="33"/>
      <c r="L2289" s="33"/>
      <c r="M2289" s="33"/>
      <c r="N2289" s="33"/>
      <c r="O2289" s="33"/>
      <c r="P2289" s="33"/>
      <c r="Q2289" s="33"/>
      <c r="R2289" s="33"/>
      <c r="S2289" s="33"/>
      <c r="T2289" s="33"/>
      <c r="U2289" s="33"/>
      <c r="V2289" s="33"/>
      <c r="W2289" s="33"/>
      <c r="X2289" s="33"/>
      <c r="Y2289" s="33"/>
      <c r="Z2289" s="33"/>
      <c r="AA2289" s="33"/>
      <c r="AB2289" s="33"/>
      <c r="AC2289" s="33"/>
      <c r="AD2289" s="33"/>
      <c r="AE2289" s="33"/>
      <c r="AF2289" s="33"/>
      <c r="AG2289" s="33"/>
      <c r="AH2289" s="33"/>
      <c r="AI2289" s="33"/>
      <c r="AJ2289" s="33"/>
      <c r="AK2289" s="34" t="str">
        <f aca="false">IF($B2289="","",COUNTIF($F2289:$AJ2289,"P"))</f>
        <v/>
      </c>
      <c r="AL2289" s="34" t="str">
        <f aca="false">IF($B2289="","",COUNTIF($F2289:$AJ2289,"A"))</f>
        <v/>
      </c>
      <c r="AM2289" s="34" t="str">
        <f aca="false">IF($B2289="","",COUNTIF($F2289:$AJ2289,"HA"))</f>
        <v/>
      </c>
      <c r="AN2289" s="34" t="str">
        <f aca="false">IF($B2289="","",COUNTIF($F2289:$AJ2289,"L"))</f>
        <v/>
      </c>
      <c r="AO2289" s="34" t="str">
        <f aca="false">IF($B2289="","",COUNTIF($F2289:$AJ2289,"PL"))</f>
        <v/>
      </c>
      <c r="AP2289" s="34" t="str">
        <f aca="false">IF($B2289="","",COUNTIF($F2289:$AJ2289,"CL"))</f>
        <v/>
      </c>
      <c r="AQ2289" s="34" t="str">
        <f aca="false">IF($B2289="","",COUNTIF($F2289:$AJ2289,"SL"))</f>
        <v/>
      </c>
      <c r="AR2289" s="34" t="str">
        <f aca="false">IF($B2289="","",COUNTIF($F2289:$AJ2289,"CO"))</f>
        <v/>
      </c>
      <c r="AS2289" s="34" t="str">
        <f aca="false">IF($B2289="","",COUNTIF($F2289:$AJ2289,"HPL"))</f>
        <v/>
      </c>
      <c r="AT2289" s="34" t="str">
        <f aca="false">IF($B2289="","",COUNTIF($F2289:$AJ2289,"HCL"))</f>
        <v/>
      </c>
      <c r="AU2289" s="34" t="str">
        <f aca="false">IF($B2289="","",COUNTIF($F2289:$AJ2289,"WO"))</f>
        <v/>
      </c>
      <c r="AV2289" s="34" t="str">
        <f aca="false">IF($B2289="","",COUNTIF($F2289:$AJ2289,"PH"))</f>
        <v/>
      </c>
      <c r="AW2289" s="34" t="str">
        <f aca="false">IF($B2289="","",COUNTIF($F2289:$AJ2289,"TR"))</f>
        <v/>
      </c>
      <c r="AX2289" s="35" t="str">
        <f aca="false">IF($B2289="","",AO2289+AS2289/2)</f>
        <v/>
      </c>
      <c r="AY2289" s="35" t="str">
        <f aca="false">IF($B2289="","",AQ2289)</f>
        <v/>
      </c>
      <c r="AZ2289" s="35" t="str">
        <f aca="false">IF($B2289="","",AP2289+AT2289/2)</f>
        <v/>
      </c>
      <c r="BA2289" s="35" t="str">
        <f aca="false">IF($B2289="","",AK2289+AN2289+AM2289/2+AO2289+AP2289+AQ2289+AR2289+AS2289+AT2289+AU2289+AV2289+AW2289)</f>
        <v/>
      </c>
      <c r="BB2289" s="35" t="str">
        <f aca="false">IF($B2289="","",MAX(0,AN2289-Settings!$C$16)*Settings!$C$17)</f>
        <v/>
      </c>
      <c r="BC2289" s="35" t="str">
        <f aca="false">IF($B2289="","",BA2289-BB2289)</f>
        <v/>
      </c>
      <c r="BD2289" s="35" t="str">
        <f aca="false">IF(OR($B2289="",$A2289=""),"",DAY(EOMONTH($A2289,0))-COUNTA($F2289:$AJ2289))</f>
        <v/>
      </c>
    </row>
    <row r="2290" customFormat="false" ht="15" hidden="false" customHeight="false" outlineLevel="0" collapsed="false">
      <c r="A2290" s="32"/>
      <c r="B2290" s="29"/>
      <c r="C2290" s="10" t="str">
        <f aca="false">IF($B2290="","",IFERROR(INDEX(M_name,MATCH($B2290,M_emp,0)),"Code not found"))</f>
        <v/>
      </c>
      <c r="D2290" s="10" t="str">
        <f aca="false">IF($B2290="","",IFERROR(INDEX(M_dept,MATCH($B2290,M_emp,0)),""))</f>
        <v/>
      </c>
      <c r="E2290" s="10" t="str">
        <f aca="false">IF($B2290="","",IFERROR(INDEX(M_loc,MATCH($B2290,M_emp,0)),""))</f>
        <v/>
      </c>
      <c r="F2290" s="33"/>
      <c r="G2290" s="33"/>
      <c r="H2290" s="33"/>
      <c r="I2290" s="33"/>
      <c r="J2290" s="33"/>
      <c r="K2290" s="33"/>
      <c r="L2290" s="33"/>
      <c r="M2290" s="33"/>
      <c r="N2290" s="33"/>
      <c r="O2290" s="33"/>
      <c r="P2290" s="33"/>
      <c r="Q2290" s="33"/>
      <c r="R2290" s="33"/>
      <c r="S2290" s="33"/>
      <c r="T2290" s="33"/>
      <c r="U2290" s="33"/>
      <c r="V2290" s="33"/>
      <c r="W2290" s="33"/>
      <c r="X2290" s="33"/>
      <c r="Y2290" s="33"/>
      <c r="Z2290" s="33"/>
      <c r="AA2290" s="33"/>
      <c r="AB2290" s="33"/>
      <c r="AC2290" s="33"/>
      <c r="AD2290" s="33"/>
      <c r="AE2290" s="33"/>
      <c r="AF2290" s="33"/>
      <c r="AG2290" s="33"/>
      <c r="AH2290" s="33"/>
      <c r="AI2290" s="33"/>
      <c r="AJ2290" s="33"/>
      <c r="AK2290" s="34" t="str">
        <f aca="false">IF($B2290="","",COUNTIF($F2290:$AJ2290,"P"))</f>
        <v/>
      </c>
      <c r="AL2290" s="34" t="str">
        <f aca="false">IF($B2290="","",COUNTIF($F2290:$AJ2290,"A"))</f>
        <v/>
      </c>
      <c r="AM2290" s="34" t="str">
        <f aca="false">IF($B2290="","",COUNTIF($F2290:$AJ2290,"HA"))</f>
        <v/>
      </c>
      <c r="AN2290" s="34" t="str">
        <f aca="false">IF($B2290="","",COUNTIF($F2290:$AJ2290,"L"))</f>
        <v/>
      </c>
      <c r="AO2290" s="34" t="str">
        <f aca="false">IF($B2290="","",COUNTIF($F2290:$AJ2290,"PL"))</f>
        <v/>
      </c>
      <c r="AP2290" s="34" t="str">
        <f aca="false">IF($B2290="","",COUNTIF($F2290:$AJ2290,"CL"))</f>
        <v/>
      </c>
      <c r="AQ2290" s="34" t="str">
        <f aca="false">IF($B2290="","",COUNTIF($F2290:$AJ2290,"SL"))</f>
        <v/>
      </c>
      <c r="AR2290" s="34" t="str">
        <f aca="false">IF($B2290="","",COUNTIF($F2290:$AJ2290,"CO"))</f>
        <v/>
      </c>
      <c r="AS2290" s="34" t="str">
        <f aca="false">IF($B2290="","",COUNTIF($F2290:$AJ2290,"HPL"))</f>
        <v/>
      </c>
      <c r="AT2290" s="34" t="str">
        <f aca="false">IF($B2290="","",COUNTIF($F2290:$AJ2290,"HCL"))</f>
        <v/>
      </c>
      <c r="AU2290" s="34" t="str">
        <f aca="false">IF($B2290="","",COUNTIF($F2290:$AJ2290,"WO"))</f>
        <v/>
      </c>
      <c r="AV2290" s="34" t="str">
        <f aca="false">IF($B2290="","",COUNTIF($F2290:$AJ2290,"PH"))</f>
        <v/>
      </c>
      <c r="AW2290" s="34" t="str">
        <f aca="false">IF($B2290="","",COUNTIF($F2290:$AJ2290,"TR"))</f>
        <v/>
      </c>
      <c r="AX2290" s="35" t="str">
        <f aca="false">IF($B2290="","",AO2290+AS2290/2)</f>
        <v/>
      </c>
      <c r="AY2290" s="35" t="str">
        <f aca="false">IF($B2290="","",AQ2290)</f>
        <v/>
      </c>
      <c r="AZ2290" s="35" t="str">
        <f aca="false">IF($B2290="","",AP2290+AT2290/2)</f>
        <v/>
      </c>
      <c r="BA2290" s="35" t="str">
        <f aca="false">IF($B2290="","",AK2290+AN2290+AM2290/2+AO2290+AP2290+AQ2290+AR2290+AS2290+AT2290+AU2290+AV2290+AW2290)</f>
        <v/>
      </c>
      <c r="BB2290" s="35" t="str">
        <f aca="false">IF($B2290="","",MAX(0,AN2290-Settings!$C$16)*Settings!$C$17)</f>
        <v/>
      </c>
      <c r="BC2290" s="35" t="str">
        <f aca="false">IF($B2290="","",BA2290-BB2290)</f>
        <v/>
      </c>
      <c r="BD2290" s="35" t="str">
        <f aca="false">IF(OR($B2290="",$A2290=""),"",DAY(EOMONTH($A2290,0))-COUNTA($F2290:$AJ2290))</f>
        <v/>
      </c>
    </row>
    <row r="2291" customFormat="false" ht="15" hidden="false" customHeight="false" outlineLevel="0" collapsed="false">
      <c r="A2291" s="32"/>
      <c r="B2291" s="29"/>
      <c r="C2291" s="10" t="str">
        <f aca="false">IF($B2291="","",IFERROR(INDEX(M_name,MATCH($B2291,M_emp,0)),"Code not found"))</f>
        <v/>
      </c>
      <c r="D2291" s="10" t="str">
        <f aca="false">IF($B2291="","",IFERROR(INDEX(M_dept,MATCH($B2291,M_emp,0)),""))</f>
        <v/>
      </c>
      <c r="E2291" s="10" t="str">
        <f aca="false">IF($B2291="","",IFERROR(INDEX(M_loc,MATCH($B2291,M_emp,0)),""))</f>
        <v/>
      </c>
      <c r="F2291" s="33"/>
      <c r="G2291" s="33"/>
      <c r="H2291" s="33"/>
      <c r="I2291" s="33"/>
      <c r="J2291" s="33"/>
      <c r="K2291" s="33"/>
      <c r="L2291" s="33"/>
      <c r="M2291" s="33"/>
      <c r="N2291" s="33"/>
      <c r="O2291" s="33"/>
      <c r="P2291" s="33"/>
      <c r="Q2291" s="33"/>
      <c r="R2291" s="33"/>
      <c r="S2291" s="33"/>
      <c r="T2291" s="33"/>
      <c r="U2291" s="33"/>
      <c r="V2291" s="33"/>
      <c r="W2291" s="33"/>
      <c r="X2291" s="33"/>
      <c r="Y2291" s="33"/>
      <c r="Z2291" s="33"/>
      <c r="AA2291" s="33"/>
      <c r="AB2291" s="33"/>
      <c r="AC2291" s="33"/>
      <c r="AD2291" s="33"/>
      <c r="AE2291" s="33"/>
      <c r="AF2291" s="33"/>
      <c r="AG2291" s="33"/>
      <c r="AH2291" s="33"/>
      <c r="AI2291" s="33"/>
      <c r="AJ2291" s="33"/>
      <c r="AK2291" s="34" t="str">
        <f aca="false">IF($B2291="","",COUNTIF($F2291:$AJ2291,"P"))</f>
        <v/>
      </c>
      <c r="AL2291" s="34" t="str">
        <f aca="false">IF($B2291="","",COUNTIF($F2291:$AJ2291,"A"))</f>
        <v/>
      </c>
      <c r="AM2291" s="34" t="str">
        <f aca="false">IF($B2291="","",COUNTIF($F2291:$AJ2291,"HA"))</f>
        <v/>
      </c>
      <c r="AN2291" s="34" t="str">
        <f aca="false">IF($B2291="","",COUNTIF($F2291:$AJ2291,"L"))</f>
        <v/>
      </c>
      <c r="AO2291" s="34" t="str">
        <f aca="false">IF($B2291="","",COUNTIF($F2291:$AJ2291,"PL"))</f>
        <v/>
      </c>
      <c r="AP2291" s="34" t="str">
        <f aca="false">IF($B2291="","",COUNTIF($F2291:$AJ2291,"CL"))</f>
        <v/>
      </c>
      <c r="AQ2291" s="34" t="str">
        <f aca="false">IF($B2291="","",COUNTIF($F2291:$AJ2291,"SL"))</f>
        <v/>
      </c>
      <c r="AR2291" s="34" t="str">
        <f aca="false">IF($B2291="","",COUNTIF($F2291:$AJ2291,"CO"))</f>
        <v/>
      </c>
      <c r="AS2291" s="34" t="str">
        <f aca="false">IF($B2291="","",COUNTIF($F2291:$AJ2291,"HPL"))</f>
        <v/>
      </c>
      <c r="AT2291" s="34" t="str">
        <f aca="false">IF($B2291="","",COUNTIF($F2291:$AJ2291,"HCL"))</f>
        <v/>
      </c>
      <c r="AU2291" s="34" t="str">
        <f aca="false">IF($B2291="","",COUNTIF($F2291:$AJ2291,"WO"))</f>
        <v/>
      </c>
      <c r="AV2291" s="34" t="str">
        <f aca="false">IF($B2291="","",COUNTIF($F2291:$AJ2291,"PH"))</f>
        <v/>
      </c>
      <c r="AW2291" s="34" t="str">
        <f aca="false">IF($B2291="","",COUNTIF($F2291:$AJ2291,"TR"))</f>
        <v/>
      </c>
      <c r="AX2291" s="35" t="str">
        <f aca="false">IF($B2291="","",AO2291+AS2291/2)</f>
        <v/>
      </c>
      <c r="AY2291" s="35" t="str">
        <f aca="false">IF($B2291="","",AQ2291)</f>
        <v/>
      </c>
      <c r="AZ2291" s="35" t="str">
        <f aca="false">IF($B2291="","",AP2291+AT2291/2)</f>
        <v/>
      </c>
      <c r="BA2291" s="35" t="str">
        <f aca="false">IF($B2291="","",AK2291+AN2291+AM2291/2+AO2291+AP2291+AQ2291+AR2291+AS2291+AT2291+AU2291+AV2291+AW2291)</f>
        <v/>
      </c>
      <c r="BB2291" s="35" t="str">
        <f aca="false">IF($B2291="","",MAX(0,AN2291-Settings!$C$16)*Settings!$C$17)</f>
        <v/>
      </c>
      <c r="BC2291" s="35" t="str">
        <f aca="false">IF($B2291="","",BA2291-BB2291)</f>
        <v/>
      </c>
      <c r="BD2291" s="35" t="str">
        <f aca="false">IF(OR($B2291="",$A2291=""),"",DAY(EOMONTH($A2291,0))-COUNTA($F2291:$AJ2291))</f>
        <v/>
      </c>
    </row>
    <row r="2292" customFormat="false" ht="15" hidden="false" customHeight="false" outlineLevel="0" collapsed="false">
      <c r="A2292" s="32"/>
      <c r="B2292" s="29"/>
      <c r="C2292" s="10" t="str">
        <f aca="false">IF($B2292="","",IFERROR(INDEX(M_name,MATCH($B2292,M_emp,0)),"Code not found"))</f>
        <v/>
      </c>
      <c r="D2292" s="10" t="str">
        <f aca="false">IF($B2292="","",IFERROR(INDEX(M_dept,MATCH($B2292,M_emp,0)),""))</f>
        <v/>
      </c>
      <c r="E2292" s="10" t="str">
        <f aca="false">IF($B2292="","",IFERROR(INDEX(M_loc,MATCH($B2292,M_emp,0)),""))</f>
        <v/>
      </c>
      <c r="F2292" s="33"/>
      <c r="G2292" s="33"/>
      <c r="H2292" s="33"/>
      <c r="I2292" s="33"/>
      <c r="J2292" s="33"/>
      <c r="K2292" s="33"/>
      <c r="L2292" s="33"/>
      <c r="M2292" s="33"/>
      <c r="N2292" s="33"/>
      <c r="O2292" s="33"/>
      <c r="P2292" s="33"/>
      <c r="Q2292" s="33"/>
      <c r="R2292" s="33"/>
      <c r="S2292" s="33"/>
      <c r="T2292" s="33"/>
      <c r="U2292" s="33"/>
      <c r="V2292" s="33"/>
      <c r="W2292" s="33"/>
      <c r="X2292" s="33"/>
      <c r="Y2292" s="33"/>
      <c r="Z2292" s="33"/>
      <c r="AA2292" s="33"/>
      <c r="AB2292" s="33"/>
      <c r="AC2292" s="33"/>
      <c r="AD2292" s="33"/>
      <c r="AE2292" s="33"/>
      <c r="AF2292" s="33"/>
      <c r="AG2292" s="33"/>
      <c r="AH2292" s="33"/>
      <c r="AI2292" s="33"/>
      <c r="AJ2292" s="33"/>
      <c r="AK2292" s="34" t="str">
        <f aca="false">IF($B2292="","",COUNTIF($F2292:$AJ2292,"P"))</f>
        <v/>
      </c>
      <c r="AL2292" s="34" t="str">
        <f aca="false">IF($B2292="","",COUNTIF($F2292:$AJ2292,"A"))</f>
        <v/>
      </c>
      <c r="AM2292" s="34" t="str">
        <f aca="false">IF($B2292="","",COUNTIF($F2292:$AJ2292,"HA"))</f>
        <v/>
      </c>
      <c r="AN2292" s="34" t="str">
        <f aca="false">IF($B2292="","",COUNTIF($F2292:$AJ2292,"L"))</f>
        <v/>
      </c>
      <c r="AO2292" s="34" t="str">
        <f aca="false">IF($B2292="","",COUNTIF($F2292:$AJ2292,"PL"))</f>
        <v/>
      </c>
      <c r="AP2292" s="34" t="str">
        <f aca="false">IF($B2292="","",COUNTIF($F2292:$AJ2292,"CL"))</f>
        <v/>
      </c>
      <c r="AQ2292" s="34" t="str">
        <f aca="false">IF($B2292="","",COUNTIF($F2292:$AJ2292,"SL"))</f>
        <v/>
      </c>
      <c r="AR2292" s="34" t="str">
        <f aca="false">IF($B2292="","",COUNTIF($F2292:$AJ2292,"CO"))</f>
        <v/>
      </c>
      <c r="AS2292" s="34" t="str">
        <f aca="false">IF($B2292="","",COUNTIF($F2292:$AJ2292,"HPL"))</f>
        <v/>
      </c>
      <c r="AT2292" s="34" t="str">
        <f aca="false">IF($B2292="","",COUNTIF($F2292:$AJ2292,"HCL"))</f>
        <v/>
      </c>
      <c r="AU2292" s="34" t="str">
        <f aca="false">IF($B2292="","",COUNTIF($F2292:$AJ2292,"WO"))</f>
        <v/>
      </c>
      <c r="AV2292" s="34" t="str">
        <f aca="false">IF($B2292="","",COUNTIF($F2292:$AJ2292,"PH"))</f>
        <v/>
      </c>
      <c r="AW2292" s="34" t="str">
        <f aca="false">IF($B2292="","",COUNTIF($F2292:$AJ2292,"TR"))</f>
        <v/>
      </c>
      <c r="AX2292" s="35" t="str">
        <f aca="false">IF($B2292="","",AO2292+AS2292/2)</f>
        <v/>
      </c>
      <c r="AY2292" s="35" t="str">
        <f aca="false">IF($B2292="","",AQ2292)</f>
        <v/>
      </c>
      <c r="AZ2292" s="35" t="str">
        <f aca="false">IF($B2292="","",AP2292+AT2292/2)</f>
        <v/>
      </c>
      <c r="BA2292" s="35" t="str">
        <f aca="false">IF($B2292="","",AK2292+AN2292+AM2292/2+AO2292+AP2292+AQ2292+AR2292+AS2292+AT2292+AU2292+AV2292+AW2292)</f>
        <v/>
      </c>
      <c r="BB2292" s="35" t="str">
        <f aca="false">IF($B2292="","",MAX(0,AN2292-Settings!$C$16)*Settings!$C$17)</f>
        <v/>
      </c>
      <c r="BC2292" s="35" t="str">
        <f aca="false">IF($B2292="","",BA2292-BB2292)</f>
        <v/>
      </c>
      <c r="BD2292" s="35" t="str">
        <f aca="false">IF(OR($B2292="",$A2292=""),"",DAY(EOMONTH($A2292,0))-COUNTA($F2292:$AJ2292))</f>
        <v/>
      </c>
    </row>
    <row r="2293" customFormat="false" ht="15" hidden="false" customHeight="false" outlineLevel="0" collapsed="false">
      <c r="A2293" s="32"/>
      <c r="B2293" s="29"/>
      <c r="C2293" s="10" t="str">
        <f aca="false">IF($B2293="","",IFERROR(INDEX(M_name,MATCH($B2293,M_emp,0)),"Code not found"))</f>
        <v/>
      </c>
      <c r="D2293" s="10" t="str">
        <f aca="false">IF($B2293="","",IFERROR(INDEX(M_dept,MATCH($B2293,M_emp,0)),""))</f>
        <v/>
      </c>
      <c r="E2293" s="10" t="str">
        <f aca="false">IF($B2293="","",IFERROR(INDEX(M_loc,MATCH($B2293,M_emp,0)),""))</f>
        <v/>
      </c>
      <c r="F2293" s="33"/>
      <c r="G2293" s="33"/>
      <c r="H2293" s="33"/>
      <c r="I2293" s="33"/>
      <c r="J2293" s="33"/>
      <c r="K2293" s="33"/>
      <c r="L2293" s="33"/>
      <c r="M2293" s="33"/>
      <c r="N2293" s="33"/>
      <c r="O2293" s="33"/>
      <c r="P2293" s="33"/>
      <c r="Q2293" s="33"/>
      <c r="R2293" s="33"/>
      <c r="S2293" s="33"/>
      <c r="T2293" s="33"/>
      <c r="U2293" s="33"/>
      <c r="V2293" s="33"/>
      <c r="W2293" s="33"/>
      <c r="X2293" s="33"/>
      <c r="Y2293" s="33"/>
      <c r="Z2293" s="33"/>
      <c r="AA2293" s="33"/>
      <c r="AB2293" s="33"/>
      <c r="AC2293" s="33"/>
      <c r="AD2293" s="33"/>
      <c r="AE2293" s="33"/>
      <c r="AF2293" s="33"/>
      <c r="AG2293" s="33"/>
      <c r="AH2293" s="33"/>
      <c r="AI2293" s="33"/>
      <c r="AJ2293" s="33"/>
      <c r="AK2293" s="34" t="str">
        <f aca="false">IF($B2293="","",COUNTIF($F2293:$AJ2293,"P"))</f>
        <v/>
      </c>
      <c r="AL2293" s="34" t="str">
        <f aca="false">IF($B2293="","",COUNTIF($F2293:$AJ2293,"A"))</f>
        <v/>
      </c>
      <c r="AM2293" s="34" t="str">
        <f aca="false">IF($B2293="","",COUNTIF($F2293:$AJ2293,"HA"))</f>
        <v/>
      </c>
      <c r="AN2293" s="34" t="str">
        <f aca="false">IF($B2293="","",COUNTIF($F2293:$AJ2293,"L"))</f>
        <v/>
      </c>
      <c r="AO2293" s="34" t="str">
        <f aca="false">IF($B2293="","",COUNTIF($F2293:$AJ2293,"PL"))</f>
        <v/>
      </c>
      <c r="AP2293" s="34" t="str">
        <f aca="false">IF($B2293="","",COUNTIF($F2293:$AJ2293,"CL"))</f>
        <v/>
      </c>
      <c r="AQ2293" s="34" t="str">
        <f aca="false">IF($B2293="","",COUNTIF($F2293:$AJ2293,"SL"))</f>
        <v/>
      </c>
      <c r="AR2293" s="34" t="str">
        <f aca="false">IF($B2293="","",COUNTIF($F2293:$AJ2293,"CO"))</f>
        <v/>
      </c>
      <c r="AS2293" s="34" t="str">
        <f aca="false">IF($B2293="","",COUNTIF($F2293:$AJ2293,"HPL"))</f>
        <v/>
      </c>
      <c r="AT2293" s="34" t="str">
        <f aca="false">IF($B2293="","",COUNTIF($F2293:$AJ2293,"HCL"))</f>
        <v/>
      </c>
      <c r="AU2293" s="34" t="str">
        <f aca="false">IF($B2293="","",COUNTIF($F2293:$AJ2293,"WO"))</f>
        <v/>
      </c>
      <c r="AV2293" s="34" t="str">
        <f aca="false">IF($B2293="","",COUNTIF($F2293:$AJ2293,"PH"))</f>
        <v/>
      </c>
      <c r="AW2293" s="34" t="str">
        <f aca="false">IF($B2293="","",COUNTIF($F2293:$AJ2293,"TR"))</f>
        <v/>
      </c>
      <c r="AX2293" s="35" t="str">
        <f aca="false">IF($B2293="","",AO2293+AS2293/2)</f>
        <v/>
      </c>
      <c r="AY2293" s="35" t="str">
        <f aca="false">IF($B2293="","",AQ2293)</f>
        <v/>
      </c>
      <c r="AZ2293" s="35" t="str">
        <f aca="false">IF($B2293="","",AP2293+AT2293/2)</f>
        <v/>
      </c>
      <c r="BA2293" s="35" t="str">
        <f aca="false">IF($B2293="","",AK2293+AN2293+AM2293/2+AO2293+AP2293+AQ2293+AR2293+AS2293+AT2293+AU2293+AV2293+AW2293)</f>
        <v/>
      </c>
      <c r="BB2293" s="35" t="str">
        <f aca="false">IF($B2293="","",MAX(0,AN2293-Settings!$C$16)*Settings!$C$17)</f>
        <v/>
      </c>
      <c r="BC2293" s="35" t="str">
        <f aca="false">IF($B2293="","",BA2293-BB2293)</f>
        <v/>
      </c>
      <c r="BD2293" s="35" t="str">
        <f aca="false">IF(OR($B2293="",$A2293=""),"",DAY(EOMONTH($A2293,0))-COUNTA($F2293:$AJ2293))</f>
        <v/>
      </c>
    </row>
    <row r="2294" customFormat="false" ht="15" hidden="false" customHeight="false" outlineLevel="0" collapsed="false">
      <c r="A2294" s="32"/>
      <c r="B2294" s="29"/>
      <c r="C2294" s="10" t="str">
        <f aca="false">IF($B2294="","",IFERROR(INDEX(M_name,MATCH($B2294,M_emp,0)),"Code not found"))</f>
        <v/>
      </c>
      <c r="D2294" s="10" t="str">
        <f aca="false">IF($B2294="","",IFERROR(INDEX(M_dept,MATCH($B2294,M_emp,0)),""))</f>
        <v/>
      </c>
      <c r="E2294" s="10" t="str">
        <f aca="false">IF($B2294="","",IFERROR(INDEX(M_loc,MATCH($B2294,M_emp,0)),""))</f>
        <v/>
      </c>
      <c r="F2294" s="33"/>
      <c r="G2294" s="33"/>
      <c r="H2294" s="33"/>
      <c r="I2294" s="33"/>
      <c r="J2294" s="33"/>
      <c r="K2294" s="33"/>
      <c r="L2294" s="33"/>
      <c r="M2294" s="33"/>
      <c r="N2294" s="33"/>
      <c r="O2294" s="33"/>
      <c r="P2294" s="33"/>
      <c r="Q2294" s="33"/>
      <c r="R2294" s="33"/>
      <c r="S2294" s="33"/>
      <c r="T2294" s="33"/>
      <c r="U2294" s="33"/>
      <c r="V2294" s="33"/>
      <c r="W2294" s="33"/>
      <c r="X2294" s="33"/>
      <c r="Y2294" s="33"/>
      <c r="Z2294" s="33"/>
      <c r="AA2294" s="33"/>
      <c r="AB2294" s="33"/>
      <c r="AC2294" s="33"/>
      <c r="AD2294" s="33"/>
      <c r="AE2294" s="33"/>
      <c r="AF2294" s="33"/>
      <c r="AG2294" s="33"/>
      <c r="AH2294" s="33"/>
      <c r="AI2294" s="33"/>
      <c r="AJ2294" s="33"/>
      <c r="AK2294" s="34" t="str">
        <f aca="false">IF($B2294="","",COUNTIF($F2294:$AJ2294,"P"))</f>
        <v/>
      </c>
      <c r="AL2294" s="34" t="str">
        <f aca="false">IF($B2294="","",COUNTIF($F2294:$AJ2294,"A"))</f>
        <v/>
      </c>
      <c r="AM2294" s="34" t="str">
        <f aca="false">IF($B2294="","",COUNTIF($F2294:$AJ2294,"HA"))</f>
        <v/>
      </c>
      <c r="AN2294" s="34" t="str">
        <f aca="false">IF($B2294="","",COUNTIF($F2294:$AJ2294,"L"))</f>
        <v/>
      </c>
      <c r="AO2294" s="34" t="str">
        <f aca="false">IF($B2294="","",COUNTIF($F2294:$AJ2294,"PL"))</f>
        <v/>
      </c>
      <c r="AP2294" s="34" t="str">
        <f aca="false">IF($B2294="","",COUNTIF($F2294:$AJ2294,"CL"))</f>
        <v/>
      </c>
      <c r="AQ2294" s="34" t="str">
        <f aca="false">IF($B2294="","",COUNTIF($F2294:$AJ2294,"SL"))</f>
        <v/>
      </c>
      <c r="AR2294" s="34" t="str">
        <f aca="false">IF($B2294="","",COUNTIF($F2294:$AJ2294,"CO"))</f>
        <v/>
      </c>
      <c r="AS2294" s="34" t="str">
        <f aca="false">IF($B2294="","",COUNTIF($F2294:$AJ2294,"HPL"))</f>
        <v/>
      </c>
      <c r="AT2294" s="34" t="str">
        <f aca="false">IF($B2294="","",COUNTIF($F2294:$AJ2294,"HCL"))</f>
        <v/>
      </c>
      <c r="AU2294" s="34" t="str">
        <f aca="false">IF($B2294="","",COUNTIF($F2294:$AJ2294,"WO"))</f>
        <v/>
      </c>
      <c r="AV2294" s="34" t="str">
        <f aca="false">IF($B2294="","",COUNTIF($F2294:$AJ2294,"PH"))</f>
        <v/>
      </c>
      <c r="AW2294" s="34" t="str">
        <f aca="false">IF($B2294="","",COUNTIF($F2294:$AJ2294,"TR"))</f>
        <v/>
      </c>
      <c r="AX2294" s="35" t="str">
        <f aca="false">IF($B2294="","",AO2294+AS2294/2)</f>
        <v/>
      </c>
      <c r="AY2294" s="35" t="str">
        <f aca="false">IF($B2294="","",AQ2294)</f>
        <v/>
      </c>
      <c r="AZ2294" s="35" t="str">
        <f aca="false">IF($B2294="","",AP2294+AT2294/2)</f>
        <v/>
      </c>
      <c r="BA2294" s="35" t="str">
        <f aca="false">IF($B2294="","",AK2294+AN2294+AM2294/2+AO2294+AP2294+AQ2294+AR2294+AS2294+AT2294+AU2294+AV2294+AW2294)</f>
        <v/>
      </c>
      <c r="BB2294" s="35" t="str">
        <f aca="false">IF($B2294="","",MAX(0,AN2294-Settings!$C$16)*Settings!$C$17)</f>
        <v/>
      </c>
      <c r="BC2294" s="35" t="str">
        <f aca="false">IF($B2294="","",BA2294-BB2294)</f>
        <v/>
      </c>
      <c r="BD2294" s="35" t="str">
        <f aca="false">IF(OR($B2294="",$A2294=""),"",DAY(EOMONTH($A2294,0))-COUNTA($F2294:$AJ2294))</f>
        <v/>
      </c>
    </row>
    <row r="2295" customFormat="false" ht="15" hidden="false" customHeight="false" outlineLevel="0" collapsed="false">
      <c r="A2295" s="32"/>
      <c r="B2295" s="29"/>
      <c r="C2295" s="10" t="str">
        <f aca="false">IF($B2295="","",IFERROR(INDEX(M_name,MATCH($B2295,M_emp,0)),"Code not found"))</f>
        <v/>
      </c>
      <c r="D2295" s="10" t="str">
        <f aca="false">IF($B2295="","",IFERROR(INDEX(M_dept,MATCH($B2295,M_emp,0)),""))</f>
        <v/>
      </c>
      <c r="E2295" s="10" t="str">
        <f aca="false">IF($B2295="","",IFERROR(INDEX(M_loc,MATCH($B2295,M_emp,0)),""))</f>
        <v/>
      </c>
      <c r="F2295" s="33"/>
      <c r="G2295" s="33"/>
      <c r="H2295" s="33"/>
      <c r="I2295" s="33"/>
      <c r="J2295" s="33"/>
      <c r="K2295" s="33"/>
      <c r="L2295" s="33"/>
      <c r="M2295" s="33"/>
      <c r="N2295" s="33"/>
      <c r="O2295" s="33"/>
      <c r="P2295" s="33"/>
      <c r="Q2295" s="33"/>
      <c r="R2295" s="33"/>
      <c r="S2295" s="33"/>
      <c r="T2295" s="33"/>
      <c r="U2295" s="33"/>
      <c r="V2295" s="33"/>
      <c r="W2295" s="33"/>
      <c r="X2295" s="33"/>
      <c r="Y2295" s="33"/>
      <c r="Z2295" s="33"/>
      <c r="AA2295" s="33"/>
      <c r="AB2295" s="33"/>
      <c r="AC2295" s="33"/>
      <c r="AD2295" s="33"/>
      <c r="AE2295" s="33"/>
      <c r="AF2295" s="33"/>
      <c r="AG2295" s="33"/>
      <c r="AH2295" s="33"/>
      <c r="AI2295" s="33"/>
      <c r="AJ2295" s="33"/>
      <c r="AK2295" s="34" t="str">
        <f aca="false">IF($B2295="","",COUNTIF($F2295:$AJ2295,"P"))</f>
        <v/>
      </c>
      <c r="AL2295" s="34" t="str">
        <f aca="false">IF($B2295="","",COUNTIF($F2295:$AJ2295,"A"))</f>
        <v/>
      </c>
      <c r="AM2295" s="34" t="str">
        <f aca="false">IF($B2295="","",COUNTIF($F2295:$AJ2295,"HA"))</f>
        <v/>
      </c>
      <c r="AN2295" s="34" t="str">
        <f aca="false">IF($B2295="","",COUNTIF($F2295:$AJ2295,"L"))</f>
        <v/>
      </c>
      <c r="AO2295" s="34" t="str">
        <f aca="false">IF($B2295="","",COUNTIF($F2295:$AJ2295,"PL"))</f>
        <v/>
      </c>
      <c r="AP2295" s="34" t="str">
        <f aca="false">IF($B2295="","",COUNTIF($F2295:$AJ2295,"CL"))</f>
        <v/>
      </c>
      <c r="AQ2295" s="34" t="str">
        <f aca="false">IF($B2295="","",COUNTIF($F2295:$AJ2295,"SL"))</f>
        <v/>
      </c>
      <c r="AR2295" s="34" t="str">
        <f aca="false">IF($B2295="","",COUNTIF($F2295:$AJ2295,"CO"))</f>
        <v/>
      </c>
      <c r="AS2295" s="34" t="str">
        <f aca="false">IF($B2295="","",COUNTIF($F2295:$AJ2295,"HPL"))</f>
        <v/>
      </c>
      <c r="AT2295" s="34" t="str">
        <f aca="false">IF($B2295="","",COUNTIF($F2295:$AJ2295,"HCL"))</f>
        <v/>
      </c>
      <c r="AU2295" s="34" t="str">
        <f aca="false">IF($B2295="","",COUNTIF($F2295:$AJ2295,"WO"))</f>
        <v/>
      </c>
      <c r="AV2295" s="34" t="str">
        <f aca="false">IF($B2295="","",COUNTIF($F2295:$AJ2295,"PH"))</f>
        <v/>
      </c>
      <c r="AW2295" s="34" t="str">
        <f aca="false">IF($B2295="","",COUNTIF($F2295:$AJ2295,"TR"))</f>
        <v/>
      </c>
      <c r="AX2295" s="35" t="str">
        <f aca="false">IF($B2295="","",AO2295+AS2295/2)</f>
        <v/>
      </c>
      <c r="AY2295" s="35" t="str">
        <f aca="false">IF($B2295="","",AQ2295)</f>
        <v/>
      </c>
      <c r="AZ2295" s="35" t="str">
        <f aca="false">IF($B2295="","",AP2295+AT2295/2)</f>
        <v/>
      </c>
      <c r="BA2295" s="35" t="str">
        <f aca="false">IF($B2295="","",AK2295+AN2295+AM2295/2+AO2295+AP2295+AQ2295+AR2295+AS2295+AT2295+AU2295+AV2295+AW2295)</f>
        <v/>
      </c>
      <c r="BB2295" s="35" t="str">
        <f aca="false">IF($B2295="","",MAX(0,AN2295-Settings!$C$16)*Settings!$C$17)</f>
        <v/>
      </c>
      <c r="BC2295" s="35" t="str">
        <f aca="false">IF($B2295="","",BA2295-BB2295)</f>
        <v/>
      </c>
      <c r="BD2295" s="35" t="str">
        <f aca="false">IF(OR($B2295="",$A2295=""),"",DAY(EOMONTH($A2295,0))-COUNTA($F2295:$AJ2295))</f>
        <v/>
      </c>
    </row>
    <row r="2296" customFormat="false" ht="15" hidden="false" customHeight="false" outlineLevel="0" collapsed="false">
      <c r="A2296" s="32"/>
      <c r="B2296" s="29"/>
      <c r="C2296" s="10" t="str">
        <f aca="false">IF($B2296="","",IFERROR(INDEX(M_name,MATCH($B2296,M_emp,0)),"Code not found"))</f>
        <v/>
      </c>
      <c r="D2296" s="10" t="str">
        <f aca="false">IF($B2296="","",IFERROR(INDEX(M_dept,MATCH($B2296,M_emp,0)),""))</f>
        <v/>
      </c>
      <c r="E2296" s="10" t="str">
        <f aca="false">IF($B2296="","",IFERROR(INDEX(M_loc,MATCH($B2296,M_emp,0)),""))</f>
        <v/>
      </c>
      <c r="F2296" s="33"/>
      <c r="G2296" s="33"/>
      <c r="H2296" s="33"/>
      <c r="I2296" s="33"/>
      <c r="J2296" s="33"/>
      <c r="K2296" s="33"/>
      <c r="L2296" s="33"/>
      <c r="M2296" s="33"/>
      <c r="N2296" s="33"/>
      <c r="O2296" s="33"/>
      <c r="P2296" s="33"/>
      <c r="Q2296" s="33"/>
      <c r="R2296" s="33"/>
      <c r="S2296" s="33"/>
      <c r="T2296" s="33"/>
      <c r="U2296" s="33"/>
      <c r="V2296" s="33"/>
      <c r="W2296" s="33"/>
      <c r="X2296" s="33"/>
      <c r="Y2296" s="33"/>
      <c r="Z2296" s="33"/>
      <c r="AA2296" s="33"/>
      <c r="AB2296" s="33"/>
      <c r="AC2296" s="33"/>
      <c r="AD2296" s="33"/>
      <c r="AE2296" s="33"/>
      <c r="AF2296" s="33"/>
      <c r="AG2296" s="33"/>
      <c r="AH2296" s="33"/>
      <c r="AI2296" s="33"/>
      <c r="AJ2296" s="33"/>
      <c r="AK2296" s="34" t="str">
        <f aca="false">IF($B2296="","",COUNTIF($F2296:$AJ2296,"P"))</f>
        <v/>
      </c>
      <c r="AL2296" s="34" t="str">
        <f aca="false">IF($B2296="","",COUNTIF($F2296:$AJ2296,"A"))</f>
        <v/>
      </c>
      <c r="AM2296" s="34" t="str">
        <f aca="false">IF($B2296="","",COUNTIF($F2296:$AJ2296,"HA"))</f>
        <v/>
      </c>
      <c r="AN2296" s="34" t="str">
        <f aca="false">IF($B2296="","",COUNTIF($F2296:$AJ2296,"L"))</f>
        <v/>
      </c>
      <c r="AO2296" s="34" t="str">
        <f aca="false">IF($B2296="","",COUNTIF($F2296:$AJ2296,"PL"))</f>
        <v/>
      </c>
      <c r="AP2296" s="34" t="str">
        <f aca="false">IF($B2296="","",COUNTIF($F2296:$AJ2296,"CL"))</f>
        <v/>
      </c>
      <c r="AQ2296" s="34" t="str">
        <f aca="false">IF($B2296="","",COUNTIF($F2296:$AJ2296,"SL"))</f>
        <v/>
      </c>
      <c r="AR2296" s="34" t="str">
        <f aca="false">IF($B2296="","",COUNTIF($F2296:$AJ2296,"CO"))</f>
        <v/>
      </c>
      <c r="AS2296" s="34" t="str">
        <f aca="false">IF($B2296="","",COUNTIF($F2296:$AJ2296,"HPL"))</f>
        <v/>
      </c>
      <c r="AT2296" s="34" t="str">
        <f aca="false">IF($B2296="","",COUNTIF($F2296:$AJ2296,"HCL"))</f>
        <v/>
      </c>
      <c r="AU2296" s="34" t="str">
        <f aca="false">IF($B2296="","",COUNTIF($F2296:$AJ2296,"WO"))</f>
        <v/>
      </c>
      <c r="AV2296" s="34" t="str">
        <f aca="false">IF($B2296="","",COUNTIF($F2296:$AJ2296,"PH"))</f>
        <v/>
      </c>
      <c r="AW2296" s="34" t="str">
        <f aca="false">IF($B2296="","",COUNTIF($F2296:$AJ2296,"TR"))</f>
        <v/>
      </c>
      <c r="AX2296" s="35" t="str">
        <f aca="false">IF($B2296="","",AO2296+AS2296/2)</f>
        <v/>
      </c>
      <c r="AY2296" s="35" t="str">
        <f aca="false">IF($B2296="","",AQ2296)</f>
        <v/>
      </c>
      <c r="AZ2296" s="35" t="str">
        <f aca="false">IF($B2296="","",AP2296+AT2296/2)</f>
        <v/>
      </c>
      <c r="BA2296" s="35" t="str">
        <f aca="false">IF($B2296="","",AK2296+AN2296+AM2296/2+AO2296+AP2296+AQ2296+AR2296+AS2296+AT2296+AU2296+AV2296+AW2296)</f>
        <v/>
      </c>
      <c r="BB2296" s="35" t="str">
        <f aca="false">IF($B2296="","",MAX(0,AN2296-Settings!$C$16)*Settings!$C$17)</f>
        <v/>
      </c>
      <c r="BC2296" s="35" t="str">
        <f aca="false">IF($B2296="","",BA2296-BB2296)</f>
        <v/>
      </c>
      <c r="BD2296" s="35" t="str">
        <f aca="false">IF(OR($B2296="",$A2296=""),"",DAY(EOMONTH($A2296,0))-COUNTA($F2296:$AJ2296))</f>
        <v/>
      </c>
    </row>
    <row r="2297" customFormat="false" ht="15" hidden="false" customHeight="false" outlineLevel="0" collapsed="false">
      <c r="A2297" s="32"/>
      <c r="B2297" s="29"/>
      <c r="C2297" s="10" t="str">
        <f aca="false">IF($B2297="","",IFERROR(INDEX(M_name,MATCH($B2297,M_emp,0)),"Code not found"))</f>
        <v/>
      </c>
      <c r="D2297" s="10" t="str">
        <f aca="false">IF($B2297="","",IFERROR(INDEX(M_dept,MATCH($B2297,M_emp,0)),""))</f>
        <v/>
      </c>
      <c r="E2297" s="10" t="str">
        <f aca="false">IF($B2297="","",IFERROR(INDEX(M_loc,MATCH($B2297,M_emp,0)),""))</f>
        <v/>
      </c>
      <c r="F2297" s="33"/>
      <c r="G2297" s="33"/>
      <c r="H2297" s="33"/>
      <c r="I2297" s="33"/>
      <c r="J2297" s="33"/>
      <c r="K2297" s="33"/>
      <c r="L2297" s="33"/>
      <c r="M2297" s="33"/>
      <c r="N2297" s="33"/>
      <c r="O2297" s="33"/>
      <c r="P2297" s="33"/>
      <c r="Q2297" s="33"/>
      <c r="R2297" s="33"/>
      <c r="S2297" s="33"/>
      <c r="T2297" s="33"/>
      <c r="U2297" s="33"/>
      <c r="V2297" s="33"/>
      <c r="W2297" s="33"/>
      <c r="X2297" s="33"/>
      <c r="Y2297" s="33"/>
      <c r="Z2297" s="33"/>
      <c r="AA2297" s="33"/>
      <c r="AB2297" s="33"/>
      <c r="AC2297" s="33"/>
      <c r="AD2297" s="33"/>
      <c r="AE2297" s="33"/>
      <c r="AF2297" s="33"/>
      <c r="AG2297" s="33"/>
      <c r="AH2297" s="33"/>
      <c r="AI2297" s="33"/>
      <c r="AJ2297" s="33"/>
      <c r="AK2297" s="34" t="str">
        <f aca="false">IF($B2297="","",COUNTIF($F2297:$AJ2297,"P"))</f>
        <v/>
      </c>
      <c r="AL2297" s="34" t="str">
        <f aca="false">IF($B2297="","",COUNTIF($F2297:$AJ2297,"A"))</f>
        <v/>
      </c>
      <c r="AM2297" s="34" t="str">
        <f aca="false">IF($B2297="","",COUNTIF($F2297:$AJ2297,"HA"))</f>
        <v/>
      </c>
      <c r="AN2297" s="34" t="str">
        <f aca="false">IF($B2297="","",COUNTIF($F2297:$AJ2297,"L"))</f>
        <v/>
      </c>
      <c r="AO2297" s="34" t="str">
        <f aca="false">IF($B2297="","",COUNTIF($F2297:$AJ2297,"PL"))</f>
        <v/>
      </c>
      <c r="AP2297" s="34" t="str">
        <f aca="false">IF($B2297="","",COUNTIF($F2297:$AJ2297,"CL"))</f>
        <v/>
      </c>
      <c r="AQ2297" s="34" t="str">
        <f aca="false">IF($B2297="","",COUNTIF($F2297:$AJ2297,"SL"))</f>
        <v/>
      </c>
      <c r="AR2297" s="34" t="str">
        <f aca="false">IF($B2297="","",COUNTIF($F2297:$AJ2297,"CO"))</f>
        <v/>
      </c>
      <c r="AS2297" s="34" t="str">
        <f aca="false">IF($B2297="","",COUNTIF($F2297:$AJ2297,"HPL"))</f>
        <v/>
      </c>
      <c r="AT2297" s="34" t="str">
        <f aca="false">IF($B2297="","",COUNTIF($F2297:$AJ2297,"HCL"))</f>
        <v/>
      </c>
      <c r="AU2297" s="34" t="str">
        <f aca="false">IF($B2297="","",COUNTIF($F2297:$AJ2297,"WO"))</f>
        <v/>
      </c>
      <c r="AV2297" s="34" t="str">
        <f aca="false">IF($B2297="","",COUNTIF($F2297:$AJ2297,"PH"))</f>
        <v/>
      </c>
      <c r="AW2297" s="34" t="str">
        <f aca="false">IF($B2297="","",COUNTIF($F2297:$AJ2297,"TR"))</f>
        <v/>
      </c>
      <c r="AX2297" s="35" t="str">
        <f aca="false">IF($B2297="","",AO2297+AS2297/2)</f>
        <v/>
      </c>
      <c r="AY2297" s="35" t="str">
        <f aca="false">IF($B2297="","",AQ2297)</f>
        <v/>
      </c>
      <c r="AZ2297" s="35" t="str">
        <f aca="false">IF($B2297="","",AP2297+AT2297/2)</f>
        <v/>
      </c>
      <c r="BA2297" s="35" t="str">
        <f aca="false">IF($B2297="","",AK2297+AN2297+AM2297/2+AO2297+AP2297+AQ2297+AR2297+AS2297+AT2297+AU2297+AV2297+AW2297)</f>
        <v/>
      </c>
      <c r="BB2297" s="35" t="str">
        <f aca="false">IF($B2297="","",MAX(0,AN2297-Settings!$C$16)*Settings!$C$17)</f>
        <v/>
      </c>
      <c r="BC2297" s="35" t="str">
        <f aca="false">IF($B2297="","",BA2297-BB2297)</f>
        <v/>
      </c>
      <c r="BD2297" s="35" t="str">
        <f aca="false">IF(OR($B2297="",$A2297=""),"",DAY(EOMONTH($A2297,0))-COUNTA($F2297:$AJ2297))</f>
        <v/>
      </c>
    </row>
    <row r="2298" customFormat="false" ht="15" hidden="false" customHeight="false" outlineLevel="0" collapsed="false">
      <c r="A2298" s="32"/>
      <c r="B2298" s="29"/>
      <c r="C2298" s="10" t="str">
        <f aca="false">IF($B2298="","",IFERROR(INDEX(M_name,MATCH($B2298,M_emp,0)),"Code not found"))</f>
        <v/>
      </c>
      <c r="D2298" s="10" t="str">
        <f aca="false">IF($B2298="","",IFERROR(INDEX(M_dept,MATCH($B2298,M_emp,0)),""))</f>
        <v/>
      </c>
      <c r="E2298" s="10" t="str">
        <f aca="false">IF($B2298="","",IFERROR(INDEX(M_loc,MATCH($B2298,M_emp,0)),""))</f>
        <v/>
      </c>
      <c r="F2298" s="33"/>
      <c r="G2298" s="33"/>
      <c r="H2298" s="33"/>
      <c r="I2298" s="33"/>
      <c r="J2298" s="33"/>
      <c r="K2298" s="33"/>
      <c r="L2298" s="33"/>
      <c r="M2298" s="33"/>
      <c r="N2298" s="33"/>
      <c r="O2298" s="33"/>
      <c r="P2298" s="33"/>
      <c r="Q2298" s="33"/>
      <c r="R2298" s="33"/>
      <c r="S2298" s="33"/>
      <c r="T2298" s="33"/>
      <c r="U2298" s="33"/>
      <c r="V2298" s="33"/>
      <c r="W2298" s="33"/>
      <c r="X2298" s="33"/>
      <c r="Y2298" s="33"/>
      <c r="Z2298" s="33"/>
      <c r="AA2298" s="33"/>
      <c r="AB2298" s="33"/>
      <c r="AC2298" s="33"/>
      <c r="AD2298" s="33"/>
      <c r="AE2298" s="33"/>
      <c r="AF2298" s="33"/>
      <c r="AG2298" s="33"/>
      <c r="AH2298" s="33"/>
      <c r="AI2298" s="33"/>
      <c r="AJ2298" s="33"/>
      <c r="AK2298" s="34" t="str">
        <f aca="false">IF($B2298="","",COUNTIF($F2298:$AJ2298,"P"))</f>
        <v/>
      </c>
      <c r="AL2298" s="34" t="str">
        <f aca="false">IF($B2298="","",COUNTIF($F2298:$AJ2298,"A"))</f>
        <v/>
      </c>
      <c r="AM2298" s="34" t="str">
        <f aca="false">IF($B2298="","",COUNTIF($F2298:$AJ2298,"HA"))</f>
        <v/>
      </c>
      <c r="AN2298" s="34" t="str">
        <f aca="false">IF($B2298="","",COUNTIF($F2298:$AJ2298,"L"))</f>
        <v/>
      </c>
      <c r="AO2298" s="34" t="str">
        <f aca="false">IF($B2298="","",COUNTIF($F2298:$AJ2298,"PL"))</f>
        <v/>
      </c>
      <c r="AP2298" s="34" t="str">
        <f aca="false">IF($B2298="","",COUNTIF($F2298:$AJ2298,"CL"))</f>
        <v/>
      </c>
      <c r="AQ2298" s="34" t="str">
        <f aca="false">IF($B2298="","",COUNTIF($F2298:$AJ2298,"SL"))</f>
        <v/>
      </c>
      <c r="AR2298" s="34" t="str">
        <f aca="false">IF($B2298="","",COUNTIF($F2298:$AJ2298,"CO"))</f>
        <v/>
      </c>
      <c r="AS2298" s="34" t="str">
        <f aca="false">IF($B2298="","",COUNTIF($F2298:$AJ2298,"HPL"))</f>
        <v/>
      </c>
      <c r="AT2298" s="34" t="str">
        <f aca="false">IF($B2298="","",COUNTIF($F2298:$AJ2298,"HCL"))</f>
        <v/>
      </c>
      <c r="AU2298" s="34" t="str">
        <f aca="false">IF($B2298="","",COUNTIF($F2298:$AJ2298,"WO"))</f>
        <v/>
      </c>
      <c r="AV2298" s="34" t="str">
        <f aca="false">IF($B2298="","",COUNTIF($F2298:$AJ2298,"PH"))</f>
        <v/>
      </c>
      <c r="AW2298" s="34" t="str">
        <f aca="false">IF($B2298="","",COUNTIF($F2298:$AJ2298,"TR"))</f>
        <v/>
      </c>
      <c r="AX2298" s="35" t="str">
        <f aca="false">IF($B2298="","",AO2298+AS2298/2)</f>
        <v/>
      </c>
      <c r="AY2298" s="35" t="str">
        <f aca="false">IF($B2298="","",AQ2298)</f>
        <v/>
      </c>
      <c r="AZ2298" s="35" t="str">
        <f aca="false">IF($B2298="","",AP2298+AT2298/2)</f>
        <v/>
      </c>
      <c r="BA2298" s="35" t="str">
        <f aca="false">IF($B2298="","",AK2298+AN2298+AM2298/2+AO2298+AP2298+AQ2298+AR2298+AS2298+AT2298+AU2298+AV2298+AW2298)</f>
        <v/>
      </c>
      <c r="BB2298" s="35" t="str">
        <f aca="false">IF($B2298="","",MAX(0,AN2298-Settings!$C$16)*Settings!$C$17)</f>
        <v/>
      </c>
      <c r="BC2298" s="35" t="str">
        <f aca="false">IF($B2298="","",BA2298-BB2298)</f>
        <v/>
      </c>
      <c r="BD2298" s="35" t="str">
        <f aca="false">IF(OR($B2298="",$A2298=""),"",DAY(EOMONTH($A2298,0))-COUNTA($F2298:$AJ2298))</f>
        <v/>
      </c>
    </row>
    <row r="2299" customFormat="false" ht="15" hidden="false" customHeight="false" outlineLevel="0" collapsed="false">
      <c r="A2299" s="32"/>
      <c r="B2299" s="29"/>
      <c r="C2299" s="10" t="str">
        <f aca="false">IF($B2299="","",IFERROR(INDEX(M_name,MATCH($B2299,M_emp,0)),"Code not found"))</f>
        <v/>
      </c>
      <c r="D2299" s="10" t="str">
        <f aca="false">IF($B2299="","",IFERROR(INDEX(M_dept,MATCH($B2299,M_emp,0)),""))</f>
        <v/>
      </c>
      <c r="E2299" s="10" t="str">
        <f aca="false">IF($B2299="","",IFERROR(INDEX(M_loc,MATCH($B2299,M_emp,0)),""))</f>
        <v/>
      </c>
      <c r="F2299" s="33"/>
      <c r="G2299" s="33"/>
      <c r="H2299" s="33"/>
      <c r="I2299" s="33"/>
      <c r="J2299" s="33"/>
      <c r="K2299" s="33"/>
      <c r="L2299" s="33"/>
      <c r="M2299" s="33"/>
      <c r="N2299" s="33"/>
      <c r="O2299" s="33"/>
      <c r="P2299" s="33"/>
      <c r="Q2299" s="33"/>
      <c r="R2299" s="33"/>
      <c r="S2299" s="33"/>
      <c r="T2299" s="33"/>
      <c r="U2299" s="33"/>
      <c r="V2299" s="33"/>
      <c r="W2299" s="33"/>
      <c r="X2299" s="33"/>
      <c r="Y2299" s="33"/>
      <c r="Z2299" s="33"/>
      <c r="AA2299" s="33"/>
      <c r="AB2299" s="33"/>
      <c r="AC2299" s="33"/>
      <c r="AD2299" s="33"/>
      <c r="AE2299" s="33"/>
      <c r="AF2299" s="33"/>
      <c r="AG2299" s="33"/>
      <c r="AH2299" s="33"/>
      <c r="AI2299" s="33"/>
      <c r="AJ2299" s="33"/>
      <c r="AK2299" s="34" t="str">
        <f aca="false">IF($B2299="","",COUNTIF($F2299:$AJ2299,"P"))</f>
        <v/>
      </c>
      <c r="AL2299" s="34" t="str">
        <f aca="false">IF($B2299="","",COUNTIF($F2299:$AJ2299,"A"))</f>
        <v/>
      </c>
      <c r="AM2299" s="34" t="str">
        <f aca="false">IF($B2299="","",COUNTIF($F2299:$AJ2299,"HA"))</f>
        <v/>
      </c>
      <c r="AN2299" s="34" t="str">
        <f aca="false">IF($B2299="","",COUNTIF($F2299:$AJ2299,"L"))</f>
        <v/>
      </c>
      <c r="AO2299" s="34" t="str">
        <f aca="false">IF($B2299="","",COUNTIF($F2299:$AJ2299,"PL"))</f>
        <v/>
      </c>
      <c r="AP2299" s="34" t="str">
        <f aca="false">IF($B2299="","",COUNTIF($F2299:$AJ2299,"CL"))</f>
        <v/>
      </c>
      <c r="AQ2299" s="34" t="str">
        <f aca="false">IF($B2299="","",COUNTIF($F2299:$AJ2299,"SL"))</f>
        <v/>
      </c>
      <c r="AR2299" s="34" t="str">
        <f aca="false">IF($B2299="","",COUNTIF($F2299:$AJ2299,"CO"))</f>
        <v/>
      </c>
      <c r="AS2299" s="34" t="str">
        <f aca="false">IF($B2299="","",COUNTIF($F2299:$AJ2299,"HPL"))</f>
        <v/>
      </c>
      <c r="AT2299" s="34" t="str">
        <f aca="false">IF($B2299="","",COUNTIF($F2299:$AJ2299,"HCL"))</f>
        <v/>
      </c>
      <c r="AU2299" s="34" t="str">
        <f aca="false">IF($B2299="","",COUNTIF($F2299:$AJ2299,"WO"))</f>
        <v/>
      </c>
      <c r="AV2299" s="34" t="str">
        <f aca="false">IF($B2299="","",COUNTIF($F2299:$AJ2299,"PH"))</f>
        <v/>
      </c>
      <c r="AW2299" s="34" t="str">
        <f aca="false">IF($B2299="","",COUNTIF($F2299:$AJ2299,"TR"))</f>
        <v/>
      </c>
      <c r="AX2299" s="35" t="str">
        <f aca="false">IF($B2299="","",AO2299+AS2299/2)</f>
        <v/>
      </c>
      <c r="AY2299" s="35" t="str">
        <f aca="false">IF($B2299="","",AQ2299)</f>
        <v/>
      </c>
      <c r="AZ2299" s="35" t="str">
        <f aca="false">IF($B2299="","",AP2299+AT2299/2)</f>
        <v/>
      </c>
      <c r="BA2299" s="35" t="str">
        <f aca="false">IF($B2299="","",AK2299+AN2299+AM2299/2+AO2299+AP2299+AQ2299+AR2299+AS2299+AT2299+AU2299+AV2299+AW2299)</f>
        <v/>
      </c>
      <c r="BB2299" s="35" t="str">
        <f aca="false">IF($B2299="","",MAX(0,AN2299-Settings!$C$16)*Settings!$C$17)</f>
        <v/>
      </c>
      <c r="BC2299" s="35" t="str">
        <f aca="false">IF($B2299="","",BA2299-BB2299)</f>
        <v/>
      </c>
      <c r="BD2299" s="35" t="str">
        <f aca="false">IF(OR($B2299="",$A2299=""),"",DAY(EOMONTH($A2299,0))-COUNTA($F2299:$AJ2299))</f>
        <v/>
      </c>
    </row>
    <row r="2300" customFormat="false" ht="15" hidden="false" customHeight="false" outlineLevel="0" collapsed="false">
      <c r="A2300" s="32"/>
      <c r="B2300" s="29"/>
      <c r="C2300" s="10" t="str">
        <f aca="false">IF($B2300="","",IFERROR(INDEX(M_name,MATCH($B2300,M_emp,0)),"Code not found"))</f>
        <v/>
      </c>
      <c r="D2300" s="10" t="str">
        <f aca="false">IF($B2300="","",IFERROR(INDEX(M_dept,MATCH($B2300,M_emp,0)),""))</f>
        <v/>
      </c>
      <c r="E2300" s="10" t="str">
        <f aca="false">IF($B2300="","",IFERROR(INDEX(M_loc,MATCH($B2300,M_emp,0)),""))</f>
        <v/>
      </c>
      <c r="F2300" s="33"/>
      <c r="G2300" s="33"/>
      <c r="H2300" s="33"/>
      <c r="I2300" s="33"/>
      <c r="J2300" s="33"/>
      <c r="K2300" s="33"/>
      <c r="L2300" s="33"/>
      <c r="M2300" s="33"/>
      <c r="N2300" s="33"/>
      <c r="O2300" s="33"/>
      <c r="P2300" s="33"/>
      <c r="Q2300" s="33"/>
      <c r="R2300" s="33"/>
      <c r="S2300" s="33"/>
      <c r="T2300" s="33"/>
      <c r="U2300" s="33"/>
      <c r="V2300" s="33"/>
      <c r="W2300" s="33"/>
      <c r="X2300" s="33"/>
      <c r="Y2300" s="33"/>
      <c r="Z2300" s="33"/>
      <c r="AA2300" s="33"/>
      <c r="AB2300" s="33"/>
      <c r="AC2300" s="33"/>
      <c r="AD2300" s="33"/>
      <c r="AE2300" s="33"/>
      <c r="AF2300" s="33"/>
      <c r="AG2300" s="33"/>
      <c r="AH2300" s="33"/>
      <c r="AI2300" s="33"/>
      <c r="AJ2300" s="33"/>
      <c r="AK2300" s="34" t="str">
        <f aca="false">IF($B2300="","",COUNTIF($F2300:$AJ2300,"P"))</f>
        <v/>
      </c>
      <c r="AL2300" s="34" t="str">
        <f aca="false">IF($B2300="","",COUNTIF($F2300:$AJ2300,"A"))</f>
        <v/>
      </c>
      <c r="AM2300" s="34" t="str">
        <f aca="false">IF($B2300="","",COUNTIF($F2300:$AJ2300,"HA"))</f>
        <v/>
      </c>
      <c r="AN2300" s="34" t="str">
        <f aca="false">IF($B2300="","",COUNTIF($F2300:$AJ2300,"L"))</f>
        <v/>
      </c>
      <c r="AO2300" s="34" t="str">
        <f aca="false">IF($B2300="","",COUNTIF($F2300:$AJ2300,"PL"))</f>
        <v/>
      </c>
      <c r="AP2300" s="34" t="str">
        <f aca="false">IF($B2300="","",COUNTIF($F2300:$AJ2300,"CL"))</f>
        <v/>
      </c>
      <c r="AQ2300" s="34" t="str">
        <f aca="false">IF($B2300="","",COUNTIF($F2300:$AJ2300,"SL"))</f>
        <v/>
      </c>
      <c r="AR2300" s="34" t="str">
        <f aca="false">IF($B2300="","",COUNTIF($F2300:$AJ2300,"CO"))</f>
        <v/>
      </c>
      <c r="AS2300" s="34" t="str">
        <f aca="false">IF($B2300="","",COUNTIF($F2300:$AJ2300,"HPL"))</f>
        <v/>
      </c>
      <c r="AT2300" s="34" t="str">
        <f aca="false">IF($B2300="","",COUNTIF($F2300:$AJ2300,"HCL"))</f>
        <v/>
      </c>
      <c r="AU2300" s="34" t="str">
        <f aca="false">IF($B2300="","",COUNTIF($F2300:$AJ2300,"WO"))</f>
        <v/>
      </c>
      <c r="AV2300" s="34" t="str">
        <f aca="false">IF($B2300="","",COUNTIF($F2300:$AJ2300,"PH"))</f>
        <v/>
      </c>
      <c r="AW2300" s="34" t="str">
        <f aca="false">IF($B2300="","",COUNTIF($F2300:$AJ2300,"TR"))</f>
        <v/>
      </c>
      <c r="AX2300" s="35" t="str">
        <f aca="false">IF($B2300="","",AO2300+AS2300/2)</f>
        <v/>
      </c>
      <c r="AY2300" s="35" t="str">
        <f aca="false">IF($B2300="","",AQ2300)</f>
        <v/>
      </c>
      <c r="AZ2300" s="35" t="str">
        <f aca="false">IF($B2300="","",AP2300+AT2300/2)</f>
        <v/>
      </c>
      <c r="BA2300" s="35" t="str">
        <f aca="false">IF($B2300="","",AK2300+AN2300+AM2300/2+AO2300+AP2300+AQ2300+AR2300+AS2300+AT2300+AU2300+AV2300+AW2300)</f>
        <v/>
      </c>
      <c r="BB2300" s="35" t="str">
        <f aca="false">IF($B2300="","",MAX(0,AN2300-Settings!$C$16)*Settings!$C$17)</f>
        <v/>
      </c>
      <c r="BC2300" s="35" t="str">
        <f aca="false">IF($B2300="","",BA2300-BB2300)</f>
        <v/>
      </c>
      <c r="BD2300" s="35" t="str">
        <f aca="false">IF(OR($B2300="",$A2300=""),"",DAY(EOMONTH($A2300,0))-COUNTA($F2300:$AJ2300))</f>
        <v/>
      </c>
    </row>
    <row r="2301" customFormat="false" ht="15" hidden="false" customHeight="false" outlineLevel="0" collapsed="false">
      <c r="A2301" s="32"/>
      <c r="B2301" s="29"/>
      <c r="C2301" s="10" t="str">
        <f aca="false">IF($B2301="","",IFERROR(INDEX(M_name,MATCH($B2301,M_emp,0)),"Code not found"))</f>
        <v/>
      </c>
      <c r="D2301" s="10" t="str">
        <f aca="false">IF($B2301="","",IFERROR(INDEX(M_dept,MATCH($B2301,M_emp,0)),""))</f>
        <v/>
      </c>
      <c r="E2301" s="10" t="str">
        <f aca="false">IF($B2301="","",IFERROR(INDEX(M_loc,MATCH($B2301,M_emp,0)),""))</f>
        <v/>
      </c>
      <c r="F2301" s="33"/>
      <c r="G2301" s="33"/>
      <c r="H2301" s="33"/>
      <c r="I2301" s="33"/>
      <c r="J2301" s="33"/>
      <c r="K2301" s="33"/>
      <c r="L2301" s="33"/>
      <c r="M2301" s="33"/>
      <c r="N2301" s="33"/>
      <c r="O2301" s="33"/>
      <c r="P2301" s="33"/>
      <c r="Q2301" s="33"/>
      <c r="R2301" s="33"/>
      <c r="S2301" s="33"/>
      <c r="T2301" s="33"/>
      <c r="U2301" s="33"/>
      <c r="V2301" s="33"/>
      <c r="W2301" s="33"/>
      <c r="X2301" s="33"/>
      <c r="Y2301" s="33"/>
      <c r="Z2301" s="33"/>
      <c r="AA2301" s="33"/>
      <c r="AB2301" s="33"/>
      <c r="AC2301" s="33"/>
      <c r="AD2301" s="33"/>
      <c r="AE2301" s="33"/>
      <c r="AF2301" s="33"/>
      <c r="AG2301" s="33"/>
      <c r="AH2301" s="33"/>
      <c r="AI2301" s="33"/>
      <c r="AJ2301" s="33"/>
      <c r="AK2301" s="34" t="str">
        <f aca="false">IF($B2301="","",COUNTIF($F2301:$AJ2301,"P"))</f>
        <v/>
      </c>
      <c r="AL2301" s="34" t="str">
        <f aca="false">IF($B2301="","",COUNTIF($F2301:$AJ2301,"A"))</f>
        <v/>
      </c>
      <c r="AM2301" s="34" t="str">
        <f aca="false">IF($B2301="","",COUNTIF($F2301:$AJ2301,"HA"))</f>
        <v/>
      </c>
      <c r="AN2301" s="34" t="str">
        <f aca="false">IF($B2301="","",COUNTIF($F2301:$AJ2301,"L"))</f>
        <v/>
      </c>
      <c r="AO2301" s="34" t="str">
        <f aca="false">IF($B2301="","",COUNTIF($F2301:$AJ2301,"PL"))</f>
        <v/>
      </c>
      <c r="AP2301" s="34" t="str">
        <f aca="false">IF($B2301="","",COUNTIF($F2301:$AJ2301,"CL"))</f>
        <v/>
      </c>
      <c r="AQ2301" s="34" t="str">
        <f aca="false">IF($B2301="","",COUNTIF($F2301:$AJ2301,"SL"))</f>
        <v/>
      </c>
      <c r="AR2301" s="34" t="str">
        <f aca="false">IF($B2301="","",COUNTIF($F2301:$AJ2301,"CO"))</f>
        <v/>
      </c>
      <c r="AS2301" s="34" t="str">
        <f aca="false">IF($B2301="","",COUNTIF($F2301:$AJ2301,"HPL"))</f>
        <v/>
      </c>
      <c r="AT2301" s="34" t="str">
        <f aca="false">IF($B2301="","",COUNTIF($F2301:$AJ2301,"HCL"))</f>
        <v/>
      </c>
      <c r="AU2301" s="34" t="str">
        <f aca="false">IF($B2301="","",COUNTIF($F2301:$AJ2301,"WO"))</f>
        <v/>
      </c>
      <c r="AV2301" s="34" t="str">
        <f aca="false">IF($B2301="","",COUNTIF($F2301:$AJ2301,"PH"))</f>
        <v/>
      </c>
      <c r="AW2301" s="34" t="str">
        <f aca="false">IF($B2301="","",COUNTIF($F2301:$AJ2301,"TR"))</f>
        <v/>
      </c>
      <c r="AX2301" s="35" t="str">
        <f aca="false">IF($B2301="","",AO2301+AS2301/2)</f>
        <v/>
      </c>
      <c r="AY2301" s="35" t="str">
        <f aca="false">IF($B2301="","",AQ2301)</f>
        <v/>
      </c>
      <c r="AZ2301" s="35" t="str">
        <f aca="false">IF($B2301="","",AP2301+AT2301/2)</f>
        <v/>
      </c>
      <c r="BA2301" s="35" t="str">
        <f aca="false">IF($B2301="","",AK2301+AN2301+AM2301/2+AO2301+AP2301+AQ2301+AR2301+AS2301+AT2301+AU2301+AV2301+AW2301)</f>
        <v/>
      </c>
      <c r="BB2301" s="35" t="str">
        <f aca="false">IF($B2301="","",MAX(0,AN2301-Settings!$C$16)*Settings!$C$17)</f>
        <v/>
      </c>
      <c r="BC2301" s="35" t="str">
        <f aca="false">IF($B2301="","",BA2301-BB2301)</f>
        <v/>
      </c>
      <c r="BD2301" s="35" t="str">
        <f aca="false">IF(OR($B2301="",$A2301=""),"",DAY(EOMONTH($A2301,0))-COUNTA($F2301:$AJ2301))</f>
        <v/>
      </c>
    </row>
    <row r="2302" customFormat="false" ht="15" hidden="false" customHeight="false" outlineLevel="0" collapsed="false">
      <c r="A2302" s="32"/>
      <c r="B2302" s="29"/>
      <c r="C2302" s="10" t="str">
        <f aca="false">IF($B2302="","",IFERROR(INDEX(M_name,MATCH($B2302,M_emp,0)),"Code not found"))</f>
        <v/>
      </c>
      <c r="D2302" s="10" t="str">
        <f aca="false">IF($B2302="","",IFERROR(INDEX(M_dept,MATCH($B2302,M_emp,0)),""))</f>
        <v/>
      </c>
      <c r="E2302" s="10" t="str">
        <f aca="false">IF($B2302="","",IFERROR(INDEX(M_loc,MATCH($B2302,M_emp,0)),""))</f>
        <v/>
      </c>
      <c r="F2302" s="33"/>
      <c r="G2302" s="33"/>
      <c r="H2302" s="33"/>
      <c r="I2302" s="33"/>
      <c r="J2302" s="33"/>
      <c r="K2302" s="33"/>
      <c r="L2302" s="33"/>
      <c r="M2302" s="33"/>
      <c r="N2302" s="33"/>
      <c r="O2302" s="33"/>
      <c r="P2302" s="33"/>
      <c r="Q2302" s="33"/>
      <c r="R2302" s="33"/>
      <c r="S2302" s="33"/>
      <c r="T2302" s="33"/>
      <c r="U2302" s="33"/>
      <c r="V2302" s="33"/>
      <c r="W2302" s="33"/>
      <c r="X2302" s="33"/>
      <c r="Y2302" s="33"/>
      <c r="Z2302" s="33"/>
      <c r="AA2302" s="33"/>
      <c r="AB2302" s="33"/>
      <c r="AC2302" s="33"/>
      <c r="AD2302" s="33"/>
      <c r="AE2302" s="33"/>
      <c r="AF2302" s="33"/>
      <c r="AG2302" s="33"/>
      <c r="AH2302" s="33"/>
      <c r="AI2302" s="33"/>
      <c r="AJ2302" s="33"/>
      <c r="AK2302" s="34" t="str">
        <f aca="false">IF($B2302="","",COUNTIF($F2302:$AJ2302,"P"))</f>
        <v/>
      </c>
      <c r="AL2302" s="34" t="str">
        <f aca="false">IF($B2302="","",COUNTIF($F2302:$AJ2302,"A"))</f>
        <v/>
      </c>
      <c r="AM2302" s="34" t="str">
        <f aca="false">IF($B2302="","",COUNTIF($F2302:$AJ2302,"HA"))</f>
        <v/>
      </c>
      <c r="AN2302" s="34" t="str">
        <f aca="false">IF($B2302="","",COUNTIF($F2302:$AJ2302,"L"))</f>
        <v/>
      </c>
      <c r="AO2302" s="34" t="str">
        <f aca="false">IF($B2302="","",COUNTIF($F2302:$AJ2302,"PL"))</f>
        <v/>
      </c>
      <c r="AP2302" s="34" t="str">
        <f aca="false">IF($B2302="","",COUNTIF($F2302:$AJ2302,"CL"))</f>
        <v/>
      </c>
      <c r="AQ2302" s="34" t="str">
        <f aca="false">IF($B2302="","",COUNTIF($F2302:$AJ2302,"SL"))</f>
        <v/>
      </c>
      <c r="AR2302" s="34" t="str">
        <f aca="false">IF($B2302="","",COUNTIF($F2302:$AJ2302,"CO"))</f>
        <v/>
      </c>
      <c r="AS2302" s="34" t="str">
        <f aca="false">IF($B2302="","",COUNTIF($F2302:$AJ2302,"HPL"))</f>
        <v/>
      </c>
      <c r="AT2302" s="34" t="str">
        <f aca="false">IF($B2302="","",COUNTIF($F2302:$AJ2302,"HCL"))</f>
        <v/>
      </c>
      <c r="AU2302" s="34" t="str">
        <f aca="false">IF($B2302="","",COUNTIF($F2302:$AJ2302,"WO"))</f>
        <v/>
      </c>
      <c r="AV2302" s="34" t="str">
        <f aca="false">IF($B2302="","",COUNTIF($F2302:$AJ2302,"PH"))</f>
        <v/>
      </c>
      <c r="AW2302" s="34" t="str">
        <f aca="false">IF($B2302="","",COUNTIF($F2302:$AJ2302,"TR"))</f>
        <v/>
      </c>
      <c r="AX2302" s="35" t="str">
        <f aca="false">IF($B2302="","",AO2302+AS2302/2)</f>
        <v/>
      </c>
      <c r="AY2302" s="35" t="str">
        <f aca="false">IF($B2302="","",AQ2302)</f>
        <v/>
      </c>
      <c r="AZ2302" s="35" t="str">
        <f aca="false">IF($B2302="","",AP2302+AT2302/2)</f>
        <v/>
      </c>
      <c r="BA2302" s="35" t="str">
        <f aca="false">IF($B2302="","",AK2302+AN2302+AM2302/2+AO2302+AP2302+AQ2302+AR2302+AS2302+AT2302+AU2302+AV2302+AW2302)</f>
        <v/>
      </c>
      <c r="BB2302" s="35" t="str">
        <f aca="false">IF($B2302="","",MAX(0,AN2302-Settings!$C$16)*Settings!$C$17)</f>
        <v/>
      </c>
      <c r="BC2302" s="35" t="str">
        <f aca="false">IF($B2302="","",BA2302-BB2302)</f>
        <v/>
      </c>
      <c r="BD2302" s="35" t="str">
        <f aca="false">IF(OR($B2302="",$A2302=""),"",DAY(EOMONTH($A2302,0))-COUNTA($F2302:$AJ2302))</f>
        <v/>
      </c>
    </row>
    <row r="2303" customFormat="false" ht="15" hidden="false" customHeight="false" outlineLevel="0" collapsed="false">
      <c r="A2303" s="32"/>
      <c r="B2303" s="29"/>
      <c r="C2303" s="10" t="str">
        <f aca="false">IF($B2303="","",IFERROR(INDEX(M_name,MATCH($B2303,M_emp,0)),"Code not found"))</f>
        <v/>
      </c>
      <c r="D2303" s="10" t="str">
        <f aca="false">IF($B2303="","",IFERROR(INDEX(M_dept,MATCH($B2303,M_emp,0)),""))</f>
        <v/>
      </c>
      <c r="E2303" s="10" t="str">
        <f aca="false">IF($B2303="","",IFERROR(INDEX(M_loc,MATCH($B2303,M_emp,0)),""))</f>
        <v/>
      </c>
      <c r="F2303" s="33"/>
      <c r="G2303" s="33"/>
      <c r="H2303" s="33"/>
      <c r="I2303" s="33"/>
      <c r="J2303" s="33"/>
      <c r="K2303" s="33"/>
      <c r="L2303" s="33"/>
      <c r="M2303" s="33"/>
      <c r="N2303" s="33"/>
      <c r="O2303" s="33"/>
      <c r="P2303" s="33"/>
      <c r="Q2303" s="33"/>
      <c r="R2303" s="33"/>
      <c r="S2303" s="33"/>
      <c r="T2303" s="33"/>
      <c r="U2303" s="33"/>
      <c r="V2303" s="33"/>
      <c r="W2303" s="33"/>
      <c r="X2303" s="33"/>
      <c r="Y2303" s="33"/>
      <c r="Z2303" s="33"/>
      <c r="AA2303" s="33"/>
      <c r="AB2303" s="33"/>
      <c r="AC2303" s="33"/>
      <c r="AD2303" s="33"/>
      <c r="AE2303" s="33"/>
      <c r="AF2303" s="33"/>
      <c r="AG2303" s="33"/>
      <c r="AH2303" s="33"/>
      <c r="AI2303" s="33"/>
      <c r="AJ2303" s="33"/>
      <c r="AK2303" s="34" t="str">
        <f aca="false">IF($B2303="","",COUNTIF($F2303:$AJ2303,"P"))</f>
        <v/>
      </c>
      <c r="AL2303" s="34" t="str">
        <f aca="false">IF($B2303="","",COUNTIF($F2303:$AJ2303,"A"))</f>
        <v/>
      </c>
      <c r="AM2303" s="34" t="str">
        <f aca="false">IF($B2303="","",COUNTIF($F2303:$AJ2303,"HA"))</f>
        <v/>
      </c>
      <c r="AN2303" s="34" t="str">
        <f aca="false">IF($B2303="","",COUNTIF($F2303:$AJ2303,"L"))</f>
        <v/>
      </c>
      <c r="AO2303" s="34" t="str">
        <f aca="false">IF($B2303="","",COUNTIF($F2303:$AJ2303,"PL"))</f>
        <v/>
      </c>
      <c r="AP2303" s="34" t="str">
        <f aca="false">IF($B2303="","",COUNTIF($F2303:$AJ2303,"CL"))</f>
        <v/>
      </c>
      <c r="AQ2303" s="34" t="str">
        <f aca="false">IF($B2303="","",COUNTIF($F2303:$AJ2303,"SL"))</f>
        <v/>
      </c>
      <c r="AR2303" s="34" t="str">
        <f aca="false">IF($B2303="","",COUNTIF($F2303:$AJ2303,"CO"))</f>
        <v/>
      </c>
      <c r="AS2303" s="34" t="str">
        <f aca="false">IF($B2303="","",COUNTIF($F2303:$AJ2303,"HPL"))</f>
        <v/>
      </c>
      <c r="AT2303" s="34" t="str">
        <f aca="false">IF($B2303="","",COUNTIF($F2303:$AJ2303,"HCL"))</f>
        <v/>
      </c>
      <c r="AU2303" s="34" t="str">
        <f aca="false">IF($B2303="","",COUNTIF($F2303:$AJ2303,"WO"))</f>
        <v/>
      </c>
      <c r="AV2303" s="34" t="str">
        <f aca="false">IF($B2303="","",COUNTIF($F2303:$AJ2303,"PH"))</f>
        <v/>
      </c>
      <c r="AW2303" s="34" t="str">
        <f aca="false">IF($B2303="","",COUNTIF($F2303:$AJ2303,"TR"))</f>
        <v/>
      </c>
      <c r="AX2303" s="35" t="str">
        <f aca="false">IF($B2303="","",AO2303+AS2303/2)</f>
        <v/>
      </c>
      <c r="AY2303" s="35" t="str">
        <f aca="false">IF($B2303="","",AQ2303)</f>
        <v/>
      </c>
      <c r="AZ2303" s="35" t="str">
        <f aca="false">IF($B2303="","",AP2303+AT2303/2)</f>
        <v/>
      </c>
      <c r="BA2303" s="35" t="str">
        <f aca="false">IF($B2303="","",AK2303+AN2303+AM2303/2+AO2303+AP2303+AQ2303+AR2303+AS2303+AT2303+AU2303+AV2303+AW2303)</f>
        <v/>
      </c>
      <c r="BB2303" s="35" t="str">
        <f aca="false">IF($B2303="","",MAX(0,AN2303-Settings!$C$16)*Settings!$C$17)</f>
        <v/>
      </c>
      <c r="BC2303" s="35" t="str">
        <f aca="false">IF($B2303="","",BA2303-BB2303)</f>
        <v/>
      </c>
      <c r="BD2303" s="35" t="str">
        <f aca="false">IF(OR($B2303="",$A2303=""),"",DAY(EOMONTH($A2303,0))-COUNTA($F2303:$AJ2303))</f>
        <v/>
      </c>
    </row>
    <row r="2304" customFormat="false" ht="15" hidden="false" customHeight="false" outlineLevel="0" collapsed="false">
      <c r="A2304" s="32"/>
      <c r="B2304" s="29"/>
      <c r="C2304" s="10" t="str">
        <f aca="false">IF($B2304="","",IFERROR(INDEX(M_name,MATCH($B2304,M_emp,0)),"Code not found"))</f>
        <v/>
      </c>
      <c r="D2304" s="10" t="str">
        <f aca="false">IF($B2304="","",IFERROR(INDEX(M_dept,MATCH($B2304,M_emp,0)),""))</f>
        <v/>
      </c>
      <c r="E2304" s="10" t="str">
        <f aca="false">IF($B2304="","",IFERROR(INDEX(M_loc,MATCH($B2304,M_emp,0)),""))</f>
        <v/>
      </c>
      <c r="F2304" s="33"/>
      <c r="G2304" s="33"/>
      <c r="H2304" s="33"/>
      <c r="I2304" s="33"/>
      <c r="J2304" s="33"/>
      <c r="K2304" s="33"/>
      <c r="L2304" s="33"/>
      <c r="M2304" s="33"/>
      <c r="N2304" s="33"/>
      <c r="O2304" s="33"/>
      <c r="P2304" s="33"/>
      <c r="Q2304" s="33"/>
      <c r="R2304" s="33"/>
      <c r="S2304" s="33"/>
      <c r="T2304" s="33"/>
      <c r="U2304" s="33"/>
      <c r="V2304" s="33"/>
      <c r="W2304" s="33"/>
      <c r="X2304" s="33"/>
      <c r="Y2304" s="33"/>
      <c r="Z2304" s="33"/>
      <c r="AA2304" s="33"/>
      <c r="AB2304" s="33"/>
      <c r="AC2304" s="33"/>
      <c r="AD2304" s="33"/>
      <c r="AE2304" s="33"/>
      <c r="AF2304" s="33"/>
      <c r="AG2304" s="33"/>
      <c r="AH2304" s="33"/>
      <c r="AI2304" s="33"/>
      <c r="AJ2304" s="33"/>
      <c r="AK2304" s="34" t="str">
        <f aca="false">IF($B2304="","",COUNTIF($F2304:$AJ2304,"P"))</f>
        <v/>
      </c>
      <c r="AL2304" s="34" t="str">
        <f aca="false">IF($B2304="","",COUNTIF($F2304:$AJ2304,"A"))</f>
        <v/>
      </c>
      <c r="AM2304" s="34" t="str">
        <f aca="false">IF($B2304="","",COUNTIF($F2304:$AJ2304,"HA"))</f>
        <v/>
      </c>
      <c r="AN2304" s="34" t="str">
        <f aca="false">IF($B2304="","",COUNTIF($F2304:$AJ2304,"L"))</f>
        <v/>
      </c>
      <c r="AO2304" s="34" t="str">
        <f aca="false">IF($B2304="","",COUNTIF($F2304:$AJ2304,"PL"))</f>
        <v/>
      </c>
      <c r="AP2304" s="34" t="str">
        <f aca="false">IF($B2304="","",COUNTIF($F2304:$AJ2304,"CL"))</f>
        <v/>
      </c>
      <c r="AQ2304" s="34" t="str">
        <f aca="false">IF($B2304="","",COUNTIF($F2304:$AJ2304,"SL"))</f>
        <v/>
      </c>
      <c r="AR2304" s="34" t="str">
        <f aca="false">IF($B2304="","",COUNTIF($F2304:$AJ2304,"CO"))</f>
        <v/>
      </c>
      <c r="AS2304" s="34" t="str">
        <f aca="false">IF($B2304="","",COUNTIF($F2304:$AJ2304,"HPL"))</f>
        <v/>
      </c>
      <c r="AT2304" s="34" t="str">
        <f aca="false">IF($B2304="","",COUNTIF($F2304:$AJ2304,"HCL"))</f>
        <v/>
      </c>
      <c r="AU2304" s="34" t="str">
        <f aca="false">IF($B2304="","",COUNTIF($F2304:$AJ2304,"WO"))</f>
        <v/>
      </c>
      <c r="AV2304" s="34" t="str">
        <f aca="false">IF($B2304="","",COUNTIF($F2304:$AJ2304,"PH"))</f>
        <v/>
      </c>
      <c r="AW2304" s="34" t="str">
        <f aca="false">IF($B2304="","",COUNTIF($F2304:$AJ2304,"TR"))</f>
        <v/>
      </c>
      <c r="AX2304" s="35" t="str">
        <f aca="false">IF($B2304="","",AO2304+AS2304/2)</f>
        <v/>
      </c>
      <c r="AY2304" s="35" t="str">
        <f aca="false">IF($B2304="","",AQ2304)</f>
        <v/>
      </c>
      <c r="AZ2304" s="35" t="str">
        <f aca="false">IF($B2304="","",AP2304+AT2304/2)</f>
        <v/>
      </c>
      <c r="BA2304" s="35" t="str">
        <f aca="false">IF($B2304="","",AK2304+AN2304+AM2304/2+AO2304+AP2304+AQ2304+AR2304+AS2304+AT2304+AU2304+AV2304+AW2304)</f>
        <v/>
      </c>
      <c r="BB2304" s="35" t="str">
        <f aca="false">IF($B2304="","",MAX(0,AN2304-Settings!$C$16)*Settings!$C$17)</f>
        <v/>
      </c>
      <c r="BC2304" s="35" t="str">
        <f aca="false">IF($B2304="","",BA2304-BB2304)</f>
        <v/>
      </c>
      <c r="BD2304" s="35" t="str">
        <f aca="false">IF(OR($B2304="",$A2304=""),"",DAY(EOMONTH($A2304,0))-COUNTA($F2304:$AJ2304))</f>
        <v/>
      </c>
    </row>
    <row r="2305" customFormat="false" ht="15" hidden="false" customHeight="false" outlineLevel="0" collapsed="false">
      <c r="A2305" s="32"/>
      <c r="B2305" s="29"/>
      <c r="C2305" s="10" t="str">
        <f aca="false">IF($B2305="","",IFERROR(INDEX(M_name,MATCH($B2305,M_emp,0)),"Code not found"))</f>
        <v/>
      </c>
      <c r="D2305" s="10" t="str">
        <f aca="false">IF($B2305="","",IFERROR(INDEX(M_dept,MATCH($B2305,M_emp,0)),""))</f>
        <v/>
      </c>
      <c r="E2305" s="10" t="str">
        <f aca="false">IF($B2305="","",IFERROR(INDEX(M_loc,MATCH($B2305,M_emp,0)),""))</f>
        <v/>
      </c>
      <c r="F2305" s="33"/>
      <c r="G2305" s="33"/>
      <c r="H2305" s="33"/>
      <c r="I2305" s="33"/>
      <c r="J2305" s="33"/>
      <c r="K2305" s="33"/>
      <c r="L2305" s="33"/>
      <c r="M2305" s="33"/>
      <c r="N2305" s="33"/>
      <c r="O2305" s="33"/>
      <c r="P2305" s="33"/>
      <c r="Q2305" s="33"/>
      <c r="R2305" s="33"/>
      <c r="S2305" s="33"/>
      <c r="T2305" s="33"/>
      <c r="U2305" s="33"/>
      <c r="V2305" s="33"/>
      <c r="W2305" s="33"/>
      <c r="X2305" s="33"/>
      <c r="Y2305" s="33"/>
      <c r="Z2305" s="33"/>
      <c r="AA2305" s="33"/>
      <c r="AB2305" s="33"/>
      <c r="AC2305" s="33"/>
      <c r="AD2305" s="33"/>
      <c r="AE2305" s="33"/>
      <c r="AF2305" s="33"/>
      <c r="AG2305" s="33"/>
      <c r="AH2305" s="33"/>
      <c r="AI2305" s="33"/>
      <c r="AJ2305" s="33"/>
      <c r="AK2305" s="34" t="str">
        <f aca="false">IF($B2305="","",COUNTIF($F2305:$AJ2305,"P"))</f>
        <v/>
      </c>
      <c r="AL2305" s="34" t="str">
        <f aca="false">IF($B2305="","",COUNTIF($F2305:$AJ2305,"A"))</f>
        <v/>
      </c>
      <c r="AM2305" s="34" t="str">
        <f aca="false">IF($B2305="","",COUNTIF($F2305:$AJ2305,"HA"))</f>
        <v/>
      </c>
      <c r="AN2305" s="34" t="str">
        <f aca="false">IF($B2305="","",COUNTIF($F2305:$AJ2305,"L"))</f>
        <v/>
      </c>
      <c r="AO2305" s="34" t="str">
        <f aca="false">IF($B2305="","",COUNTIF($F2305:$AJ2305,"PL"))</f>
        <v/>
      </c>
      <c r="AP2305" s="34" t="str">
        <f aca="false">IF($B2305="","",COUNTIF($F2305:$AJ2305,"CL"))</f>
        <v/>
      </c>
      <c r="AQ2305" s="34" t="str">
        <f aca="false">IF($B2305="","",COUNTIF($F2305:$AJ2305,"SL"))</f>
        <v/>
      </c>
      <c r="AR2305" s="34" t="str">
        <f aca="false">IF($B2305="","",COUNTIF($F2305:$AJ2305,"CO"))</f>
        <v/>
      </c>
      <c r="AS2305" s="34" t="str">
        <f aca="false">IF($B2305="","",COUNTIF($F2305:$AJ2305,"HPL"))</f>
        <v/>
      </c>
      <c r="AT2305" s="34" t="str">
        <f aca="false">IF($B2305="","",COUNTIF($F2305:$AJ2305,"HCL"))</f>
        <v/>
      </c>
      <c r="AU2305" s="34" t="str">
        <f aca="false">IF($B2305="","",COUNTIF($F2305:$AJ2305,"WO"))</f>
        <v/>
      </c>
      <c r="AV2305" s="34" t="str">
        <f aca="false">IF($B2305="","",COUNTIF($F2305:$AJ2305,"PH"))</f>
        <v/>
      </c>
      <c r="AW2305" s="34" t="str">
        <f aca="false">IF($B2305="","",COUNTIF($F2305:$AJ2305,"TR"))</f>
        <v/>
      </c>
      <c r="AX2305" s="35" t="str">
        <f aca="false">IF($B2305="","",AO2305+AS2305/2)</f>
        <v/>
      </c>
      <c r="AY2305" s="35" t="str">
        <f aca="false">IF($B2305="","",AQ2305)</f>
        <v/>
      </c>
      <c r="AZ2305" s="35" t="str">
        <f aca="false">IF($B2305="","",AP2305+AT2305/2)</f>
        <v/>
      </c>
      <c r="BA2305" s="35" t="str">
        <f aca="false">IF($B2305="","",AK2305+AN2305+AM2305/2+AO2305+AP2305+AQ2305+AR2305+AS2305+AT2305+AU2305+AV2305+AW2305)</f>
        <v/>
      </c>
      <c r="BB2305" s="35" t="str">
        <f aca="false">IF($B2305="","",MAX(0,AN2305-Settings!$C$16)*Settings!$C$17)</f>
        <v/>
      </c>
      <c r="BC2305" s="35" t="str">
        <f aca="false">IF($B2305="","",BA2305-BB2305)</f>
        <v/>
      </c>
      <c r="BD2305" s="35" t="str">
        <f aca="false">IF(OR($B2305="",$A2305=""),"",DAY(EOMONTH($A2305,0))-COUNTA($F2305:$AJ2305))</f>
        <v/>
      </c>
    </row>
    <row r="2306" customFormat="false" ht="15" hidden="false" customHeight="false" outlineLevel="0" collapsed="false">
      <c r="A2306" s="32"/>
      <c r="B2306" s="29"/>
      <c r="C2306" s="10" t="str">
        <f aca="false">IF($B2306="","",IFERROR(INDEX(M_name,MATCH($B2306,M_emp,0)),"Code not found"))</f>
        <v/>
      </c>
      <c r="D2306" s="10" t="str">
        <f aca="false">IF($B2306="","",IFERROR(INDEX(M_dept,MATCH($B2306,M_emp,0)),""))</f>
        <v/>
      </c>
      <c r="E2306" s="10" t="str">
        <f aca="false">IF($B2306="","",IFERROR(INDEX(M_loc,MATCH($B2306,M_emp,0)),""))</f>
        <v/>
      </c>
      <c r="F2306" s="33"/>
      <c r="G2306" s="33"/>
      <c r="H2306" s="33"/>
      <c r="I2306" s="33"/>
      <c r="J2306" s="33"/>
      <c r="K2306" s="33"/>
      <c r="L2306" s="33"/>
      <c r="M2306" s="33"/>
      <c r="N2306" s="33"/>
      <c r="O2306" s="33"/>
      <c r="P2306" s="33"/>
      <c r="Q2306" s="33"/>
      <c r="R2306" s="33"/>
      <c r="S2306" s="33"/>
      <c r="T2306" s="33"/>
      <c r="U2306" s="33"/>
      <c r="V2306" s="33"/>
      <c r="W2306" s="33"/>
      <c r="X2306" s="33"/>
      <c r="Y2306" s="33"/>
      <c r="Z2306" s="33"/>
      <c r="AA2306" s="33"/>
      <c r="AB2306" s="33"/>
      <c r="AC2306" s="33"/>
      <c r="AD2306" s="33"/>
      <c r="AE2306" s="33"/>
      <c r="AF2306" s="33"/>
      <c r="AG2306" s="33"/>
      <c r="AH2306" s="33"/>
      <c r="AI2306" s="33"/>
      <c r="AJ2306" s="33"/>
      <c r="AK2306" s="34" t="str">
        <f aca="false">IF($B2306="","",COUNTIF($F2306:$AJ2306,"P"))</f>
        <v/>
      </c>
      <c r="AL2306" s="34" t="str">
        <f aca="false">IF($B2306="","",COUNTIF($F2306:$AJ2306,"A"))</f>
        <v/>
      </c>
      <c r="AM2306" s="34" t="str">
        <f aca="false">IF($B2306="","",COUNTIF($F2306:$AJ2306,"HA"))</f>
        <v/>
      </c>
      <c r="AN2306" s="34" t="str">
        <f aca="false">IF($B2306="","",COUNTIF($F2306:$AJ2306,"L"))</f>
        <v/>
      </c>
      <c r="AO2306" s="34" t="str">
        <f aca="false">IF($B2306="","",COUNTIF($F2306:$AJ2306,"PL"))</f>
        <v/>
      </c>
      <c r="AP2306" s="34" t="str">
        <f aca="false">IF($B2306="","",COUNTIF($F2306:$AJ2306,"CL"))</f>
        <v/>
      </c>
      <c r="AQ2306" s="34" t="str">
        <f aca="false">IF($B2306="","",COUNTIF($F2306:$AJ2306,"SL"))</f>
        <v/>
      </c>
      <c r="AR2306" s="34" t="str">
        <f aca="false">IF($B2306="","",COUNTIF($F2306:$AJ2306,"CO"))</f>
        <v/>
      </c>
      <c r="AS2306" s="34" t="str">
        <f aca="false">IF($B2306="","",COUNTIF($F2306:$AJ2306,"HPL"))</f>
        <v/>
      </c>
      <c r="AT2306" s="34" t="str">
        <f aca="false">IF($B2306="","",COUNTIF($F2306:$AJ2306,"HCL"))</f>
        <v/>
      </c>
      <c r="AU2306" s="34" t="str">
        <f aca="false">IF($B2306="","",COUNTIF($F2306:$AJ2306,"WO"))</f>
        <v/>
      </c>
      <c r="AV2306" s="34" t="str">
        <f aca="false">IF($B2306="","",COUNTIF($F2306:$AJ2306,"PH"))</f>
        <v/>
      </c>
      <c r="AW2306" s="34" t="str">
        <f aca="false">IF($B2306="","",COUNTIF($F2306:$AJ2306,"TR"))</f>
        <v/>
      </c>
      <c r="AX2306" s="35" t="str">
        <f aca="false">IF($B2306="","",AO2306+AS2306/2)</f>
        <v/>
      </c>
      <c r="AY2306" s="35" t="str">
        <f aca="false">IF($B2306="","",AQ2306)</f>
        <v/>
      </c>
      <c r="AZ2306" s="35" t="str">
        <f aca="false">IF($B2306="","",AP2306+AT2306/2)</f>
        <v/>
      </c>
      <c r="BA2306" s="35" t="str">
        <f aca="false">IF($B2306="","",AK2306+AN2306+AM2306/2+AO2306+AP2306+AQ2306+AR2306+AS2306+AT2306+AU2306+AV2306+AW2306)</f>
        <v/>
      </c>
      <c r="BB2306" s="35" t="str">
        <f aca="false">IF($B2306="","",MAX(0,AN2306-Settings!$C$16)*Settings!$C$17)</f>
        <v/>
      </c>
      <c r="BC2306" s="35" t="str">
        <f aca="false">IF($B2306="","",BA2306-BB2306)</f>
        <v/>
      </c>
      <c r="BD2306" s="35" t="str">
        <f aca="false">IF(OR($B2306="",$A2306=""),"",DAY(EOMONTH($A2306,0))-COUNTA($F2306:$AJ2306))</f>
        <v/>
      </c>
    </row>
    <row r="2307" customFormat="false" ht="15" hidden="false" customHeight="false" outlineLevel="0" collapsed="false">
      <c r="A2307" s="32"/>
      <c r="B2307" s="29"/>
      <c r="C2307" s="10" t="str">
        <f aca="false">IF($B2307="","",IFERROR(INDEX(M_name,MATCH($B2307,M_emp,0)),"Code not found"))</f>
        <v/>
      </c>
      <c r="D2307" s="10" t="str">
        <f aca="false">IF($B2307="","",IFERROR(INDEX(M_dept,MATCH($B2307,M_emp,0)),""))</f>
        <v/>
      </c>
      <c r="E2307" s="10" t="str">
        <f aca="false">IF($B2307="","",IFERROR(INDEX(M_loc,MATCH($B2307,M_emp,0)),""))</f>
        <v/>
      </c>
      <c r="F2307" s="33"/>
      <c r="G2307" s="33"/>
      <c r="H2307" s="33"/>
      <c r="I2307" s="33"/>
      <c r="J2307" s="33"/>
      <c r="K2307" s="33"/>
      <c r="L2307" s="33"/>
      <c r="M2307" s="33"/>
      <c r="N2307" s="33"/>
      <c r="O2307" s="33"/>
      <c r="P2307" s="33"/>
      <c r="Q2307" s="33"/>
      <c r="R2307" s="33"/>
      <c r="S2307" s="33"/>
      <c r="T2307" s="33"/>
      <c r="U2307" s="33"/>
      <c r="V2307" s="33"/>
      <c r="W2307" s="33"/>
      <c r="X2307" s="33"/>
      <c r="Y2307" s="33"/>
      <c r="Z2307" s="33"/>
      <c r="AA2307" s="33"/>
      <c r="AB2307" s="33"/>
      <c r="AC2307" s="33"/>
      <c r="AD2307" s="33"/>
      <c r="AE2307" s="33"/>
      <c r="AF2307" s="33"/>
      <c r="AG2307" s="33"/>
      <c r="AH2307" s="33"/>
      <c r="AI2307" s="33"/>
      <c r="AJ2307" s="33"/>
      <c r="AK2307" s="34" t="str">
        <f aca="false">IF($B2307="","",COUNTIF($F2307:$AJ2307,"P"))</f>
        <v/>
      </c>
      <c r="AL2307" s="34" t="str">
        <f aca="false">IF($B2307="","",COUNTIF($F2307:$AJ2307,"A"))</f>
        <v/>
      </c>
      <c r="AM2307" s="34" t="str">
        <f aca="false">IF($B2307="","",COUNTIF($F2307:$AJ2307,"HA"))</f>
        <v/>
      </c>
      <c r="AN2307" s="34" t="str">
        <f aca="false">IF($B2307="","",COUNTIF($F2307:$AJ2307,"L"))</f>
        <v/>
      </c>
      <c r="AO2307" s="34" t="str">
        <f aca="false">IF($B2307="","",COUNTIF($F2307:$AJ2307,"PL"))</f>
        <v/>
      </c>
      <c r="AP2307" s="34" t="str">
        <f aca="false">IF($B2307="","",COUNTIF($F2307:$AJ2307,"CL"))</f>
        <v/>
      </c>
      <c r="AQ2307" s="34" t="str">
        <f aca="false">IF($B2307="","",COUNTIF($F2307:$AJ2307,"SL"))</f>
        <v/>
      </c>
      <c r="AR2307" s="34" t="str">
        <f aca="false">IF($B2307="","",COUNTIF($F2307:$AJ2307,"CO"))</f>
        <v/>
      </c>
      <c r="AS2307" s="34" t="str">
        <f aca="false">IF($B2307="","",COUNTIF($F2307:$AJ2307,"HPL"))</f>
        <v/>
      </c>
      <c r="AT2307" s="34" t="str">
        <f aca="false">IF($B2307="","",COUNTIF($F2307:$AJ2307,"HCL"))</f>
        <v/>
      </c>
      <c r="AU2307" s="34" t="str">
        <f aca="false">IF($B2307="","",COUNTIF($F2307:$AJ2307,"WO"))</f>
        <v/>
      </c>
      <c r="AV2307" s="34" t="str">
        <f aca="false">IF($B2307="","",COUNTIF($F2307:$AJ2307,"PH"))</f>
        <v/>
      </c>
      <c r="AW2307" s="34" t="str">
        <f aca="false">IF($B2307="","",COUNTIF($F2307:$AJ2307,"TR"))</f>
        <v/>
      </c>
      <c r="AX2307" s="35" t="str">
        <f aca="false">IF($B2307="","",AO2307+AS2307/2)</f>
        <v/>
      </c>
      <c r="AY2307" s="35" t="str">
        <f aca="false">IF($B2307="","",AQ2307)</f>
        <v/>
      </c>
      <c r="AZ2307" s="35" t="str">
        <f aca="false">IF($B2307="","",AP2307+AT2307/2)</f>
        <v/>
      </c>
      <c r="BA2307" s="35" t="str">
        <f aca="false">IF($B2307="","",AK2307+AN2307+AM2307/2+AO2307+AP2307+AQ2307+AR2307+AS2307+AT2307+AU2307+AV2307+AW2307)</f>
        <v/>
      </c>
      <c r="BB2307" s="35" t="str">
        <f aca="false">IF($B2307="","",MAX(0,AN2307-Settings!$C$16)*Settings!$C$17)</f>
        <v/>
      </c>
      <c r="BC2307" s="35" t="str">
        <f aca="false">IF($B2307="","",BA2307-BB2307)</f>
        <v/>
      </c>
      <c r="BD2307" s="35" t="str">
        <f aca="false">IF(OR($B2307="",$A2307=""),"",DAY(EOMONTH($A2307,0))-COUNTA($F2307:$AJ2307))</f>
        <v/>
      </c>
    </row>
    <row r="2308" customFormat="false" ht="15" hidden="false" customHeight="false" outlineLevel="0" collapsed="false">
      <c r="A2308" s="32"/>
      <c r="B2308" s="29"/>
      <c r="C2308" s="10" t="str">
        <f aca="false">IF($B2308="","",IFERROR(INDEX(M_name,MATCH($B2308,M_emp,0)),"Code not found"))</f>
        <v/>
      </c>
      <c r="D2308" s="10" t="str">
        <f aca="false">IF($B2308="","",IFERROR(INDEX(M_dept,MATCH($B2308,M_emp,0)),""))</f>
        <v/>
      </c>
      <c r="E2308" s="10" t="str">
        <f aca="false">IF($B2308="","",IFERROR(INDEX(M_loc,MATCH($B2308,M_emp,0)),""))</f>
        <v/>
      </c>
      <c r="F2308" s="33"/>
      <c r="G2308" s="33"/>
      <c r="H2308" s="33"/>
      <c r="I2308" s="33"/>
      <c r="J2308" s="33"/>
      <c r="K2308" s="33"/>
      <c r="L2308" s="33"/>
      <c r="M2308" s="33"/>
      <c r="N2308" s="33"/>
      <c r="O2308" s="33"/>
      <c r="P2308" s="33"/>
      <c r="Q2308" s="33"/>
      <c r="R2308" s="33"/>
      <c r="S2308" s="33"/>
      <c r="T2308" s="33"/>
      <c r="U2308" s="33"/>
      <c r="V2308" s="33"/>
      <c r="W2308" s="33"/>
      <c r="X2308" s="33"/>
      <c r="Y2308" s="33"/>
      <c r="Z2308" s="33"/>
      <c r="AA2308" s="33"/>
      <c r="AB2308" s="33"/>
      <c r="AC2308" s="33"/>
      <c r="AD2308" s="33"/>
      <c r="AE2308" s="33"/>
      <c r="AF2308" s="33"/>
      <c r="AG2308" s="33"/>
      <c r="AH2308" s="33"/>
      <c r="AI2308" s="33"/>
      <c r="AJ2308" s="33"/>
      <c r="AK2308" s="34" t="str">
        <f aca="false">IF($B2308="","",COUNTIF($F2308:$AJ2308,"P"))</f>
        <v/>
      </c>
      <c r="AL2308" s="34" t="str">
        <f aca="false">IF($B2308="","",COUNTIF($F2308:$AJ2308,"A"))</f>
        <v/>
      </c>
      <c r="AM2308" s="34" t="str">
        <f aca="false">IF($B2308="","",COUNTIF($F2308:$AJ2308,"HA"))</f>
        <v/>
      </c>
      <c r="AN2308" s="34" t="str">
        <f aca="false">IF($B2308="","",COUNTIF($F2308:$AJ2308,"L"))</f>
        <v/>
      </c>
      <c r="AO2308" s="34" t="str">
        <f aca="false">IF($B2308="","",COUNTIF($F2308:$AJ2308,"PL"))</f>
        <v/>
      </c>
      <c r="AP2308" s="34" t="str">
        <f aca="false">IF($B2308="","",COUNTIF($F2308:$AJ2308,"CL"))</f>
        <v/>
      </c>
      <c r="AQ2308" s="34" t="str">
        <f aca="false">IF($B2308="","",COUNTIF($F2308:$AJ2308,"SL"))</f>
        <v/>
      </c>
      <c r="AR2308" s="34" t="str">
        <f aca="false">IF($B2308="","",COUNTIF($F2308:$AJ2308,"CO"))</f>
        <v/>
      </c>
      <c r="AS2308" s="34" t="str">
        <f aca="false">IF($B2308="","",COUNTIF($F2308:$AJ2308,"HPL"))</f>
        <v/>
      </c>
      <c r="AT2308" s="34" t="str">
        <f aca="false">IF($B2308="","",COUNTIF($F2308:$AJ2308,"HCL"))</f>
        <v/>
      </c>
      <c r="AU2308" s="34" t="str">
        <f aca="false">IF($B2308="","",COUNTIF($F2308:$AJ2308,"WO"))</f>
        <v/>
      </c>
      <c r="AV2308" s="34" t="str">
        <f aca="false">IF($B2308="","",COUNTIF($F2308:$AJ2308,"PH"))</f>
        <v/>
      </c>
      <c r="AW2308" s="34" t="str">
        <f aca="false">IF($B2308="","",COUNTIF($F2308:$AJ2308,"TR"))</f>
        <v/>
      </c>
      <c r="AX2308" s="35" t="str">
        <f aca="false">IF($B2308="","",AO2308+AS2308/2)</f>
        <v/>
      </c>
      <c r="AY2308" s="35" t="str">
        <f aca="false">IF($B2308="","",AQ2308)</f>
        <v/>
      </c>
      <c r="AZ2308" s="35" t="str">
        <f aca="false">IF($B2308="","",AP2308+AT2308/2)</f>
        <v/>
      </c>
      <c r="BA2308" s="35" t="str">
        <f aca="false">IF($B2308="","",AK2308+AN2308+AM2308/2+AO2308+AP2308+AQ2308+AR2308+AS2308+AT2308+AU2308+AV2308+AW2308)</f>
        <v/>
      </c>
      <c r="BB2308" s="35" t="str">
        <f aca="false">IF($B2308="","",MAX(0,AN2308-Settings!$C$16)*Settings!$C$17)</f>
        <v/>
      </c>
      <c r="BC2308" s="35" t="str">
        <f aca="false">IF($B2308="","",BA2308-BB2308)</f>
        <v/>
      </c>
      <c r="BD2308" s="35" t="str">
        <f aca="false">IF(OR($B2308="",$A2308=""),"",DAY(EOMONTH($A2308,0))-COUNTA($F2308:$AJ2308))</f>
        <v/>
      </c>
    </row>
    <row r="2309" customFormat="false" ht="15" hidden="false" customHeight="false" outlineLevel="0" collapsed="false">
      <c r="A2309" s="32"/>
      <c r="B2309" s="29"/>
      <c r="C2309" s="10" t="str">
        <f aca="false">IF($B2309="","",IFERROR(INDEX(M_name,MATCH($B2309,M_emp,0)),"Code not found"))</f>
        <v/>
      </c>
      <c r="D2309" s="10" t="str">
        <f aca="false">IF($B2309="","",IFERROR(INDEX(M_dept,MATCH($B2309,M_emp,0)),""))</f>
        <v/>
      </c>
      <c r="E2309" s="10" t="str">
        <f aca="false">IF($B2309="","",IFERROR(INDEX(M_loc,MATCH($B2309,M_emp,0)),""))</f>
        <v/>
      </c>
      <c r="F2309" s="33"/>
      <c r="G2309" s="33"/>
      <c r="H2309" s="33"/>
      <c r="I2309" s="33"/>
      <c r="J2309" s="33"/>
      <c r="K2309" s="33"/>
      <c r="L2309" s="33"/>
      <c r="M2309" s="33"/>
      <c r="N2309" s="33"/>
      <c r="O2309" s="33"/>
      <c r="P2309" s="33"/>
      <c r="Q2309" s="33"/>
      <c r="R2309" s="33"/>
      <c r="S2309" s="33"/>
      <c r="T2309" s="33"/>
      <c r="U2309" s="33"/>
      <c r="V2309" s="33"/>
      <c r="W2309" s="33"/>
      <c r="X2309" s="33"/>
      <c r="Y2309" s="33"/>
      <c r="Z2309" s="33"/>
      <c r="AA2309" s="33"/>
      <c r="AB2309" s="33"/>
      <c r="AC2309" s="33"/>
      <c r="AD2309" s="33"/>
      <c r="AE2309" s="33"/>
      <c r="AF2309" s="33"/>
      <c r="AG2309" s="33"/>
      <c r="AH2309" s="33"/>
      <c r="AI2309" s="33"/>
      <c r="AJ2309" s="33"/>
      <c r="AK2309" s="34" t="str">
        <f aca="false">IF($B2309="","",COUNTIF($F2309:$AJ2309,"P"))</f>
        <v/>
      </c>
      <c r="AL2309" s="34" t="str">
        <f aca="false">IF($B2309="","",COUNTIF($F2309:$AJ2309,"A"))</f>
        <v/>
      </c>
      <c r="AM2309" s="34" t="str">
        <f aca="false">IF($B2309="","",COUNTIF($F2309:$AJ2309,"HA"))</f>
        <v/>
      </c>
      <c r="AN2309" s="34" t="str">
        <f aca="false">IF($B2309="","",COUNTIF($F2309:$AJ2309,"L"))</f>
        <v/>
      </c>
      <c r="AO2309" s="34" t="str">
        <f aca="false">IF($B2309="","",COUNTIF($F2309:$AJ2309,"PL"))</f>
        <v/>
      </c>
      <c r="AP2309" s="34" t="str">
        <f aca="false">IF($B2309="","",COUNTIF($F2309:$AJ2309,"CL"))</f>
        <v/>
      </c>
      <c r="AQ2309" s="34" t="str">
        <f aca="false">IF($B2309="","",COUNTIF($F2309:$AJ2309,"SL"))</f>
        <v/>
      </c>
      <c r="AR2309" s="34" t="str">
        <f aca="false">IF($B2309="","",COUNTIF($F2309:$AJ2309,"CO"))</f>
        <v/>
      </c>
      <c r="AS2309" s="34" t="str">
        <f aca="false">IF($B2309="","",COUNTIF($F2309:$AJ2309,"HPL"))</f>
        <v/>
      </c>
      <c r="AT2309" s="34" t="str">
        <f aca="false">IF($B2309="","",COUNTIF($F2309:$AJ2309,"HCL"))</f>
        <v/>
      </c>
      <c r="AU2309" s="34" t="str">
        <f aca="false">IF($B2309="","",COUNTIF($F2309:$AJ2309,"WO"))</f>
        <v/>
      </c>
      <c r="AV2309" s="34" t="str">
        <f aca="false">IF($B2309="","",COUNTIF($F2309:$AJ2309,"PH"))</f>
        <v/>
      </c>
      <c r="AW2309" s="34" t="str">
        <f aca="false">IF($B2309="","",COUNTIF($F2309:$AJ2309,"TR"))</f>
        <v/>
      </c>
      <c r="AX2309" s="35" t="str">
        <f aca="false">IF($B2309="","",AO2309+AS2309/2)</f>
        <v/>
      </c>
      <c r="AY2309" s="35" t="str">
        <f aca="false">IF($B2309="","",AQ2309)</f>
        <v/>
      </c>
      <c r="AZ2309" s="35" t="str">
        <f aca="false">IF($B2309="","",AP2309+AT2309/2)</f>
        <v/>
      </c>
      <c r="BA2309" s="35" t="str">
        <f aca="false">IF($B2309="","",AK2309+AN2309+AM2309/2+AO2309+AP2309+AQ2309+AR2309+AS2309+AT2309+AU2309+AV2309+AW2309)</f>
        <v/>
      </c>
      <c r="BB2309" s="35" t="str">
        <f aca="false">IF($B2309="","",MAX(0,AN2309-Settings!$C$16)*Settings!$C$17)</f>
        <v/>
      </c>
      <c r="BC2309" s="35" t="str">
        <f aca="false">IF($B2309="","",BA2309-BB2309)</f>
        <v/>
      </c>
      <c r="BD2309" s="35" t="str">
        <f aca="false">IF(OR($B2309="",$A2309=""),"",DAY(EOMONTH($A2309,0))-COUNTA($F2309:$AJ2309))</f>
        <v/>
      </c>
    </row>
    <row r="2310" customFormat="false" ht="15" hidden="false" customHeight="false" outlineLevel="0" collapsed="false">
      <c r="A2310" s="32"/>
      <c r="B2310" s="29"/>
      <c r="C2310" s="10" t="str">
        <f aca="false">IF($B2310="","",IFERROR(INDEX(M_name,MATCH($B2310,M_emp,0)),"Code not found"))</f>
        <v/>
      </c>
      <c r="D2310" s="10" t="str">
        <f aca="false">IF($B2310="","",IFERROR(INDEX(M_dept,MATCH($B2310,M_emp,0)),""))</f>
        <v/>
      </c>
      <c r="E2310" s="10" t="str">
        <f aca="false">IF($B2310="","",IFERROR(INDEX(M_loc,MATCH($B2310,M_emp,0)),""))</f>
        <v/>
      </c>
      <c r="F2310" s="33"/>
      <c r="G2310" s="33"/>
      <c r="H2310" s="33"/>
      <c r="I2310" s="33"/>
      <c r="J2310" s="33"/>
      <c r="K2310" s="33"/>
      <c r="L2310" s="33"/>
      <c r="M2310" s="33"/>
      <c r="N2310" s="33"/>
      <c r="O2310" s="33"/>
      <c r="P2310" s="33"/>
      <c r="Q2310" s="33"/>
      <c r="R2310" s="33"/>
      <c r="S2310" s="33"/>
      <c r="T2310" s="33"/>
      <c r="U2310" s="33"/>
      <c r="V2310" s="33"/>
      <c r="W2310" s="33"/>
      <c r="X2310" s="33"/>
      <c r="Y2310" s="33"/>
      <c r="Z2310" s="33"/>
      <c r="AA2310" s="33"/>
      <c r="AB2310" s="33"/>
      <c r="AC2310" s="33"/>
      <c r="AD2310" s="33"/>
      <c r="AE2310" s="33"/>
      <c r="AF2310" s="33"/>
      <c r="AG2310" s="33"/>
      <c r="AH2310" s="33"/>
      <c r="AI2310" s="33"/>
      <c r="AJ2310" s="33"/>
      <c r="AK2310" s="34" t="str">
        <f aca="false">IF($B2310="","",COUNTIF($F2310:$AJ2310,"P"))</f>
        <v/>
      </c>
      <c r="AL2310" s="34" t="str">
        <f aca="false">IF($B2310="","",COUNTIF($F2310:$AJ2310,"A"))</f>
        <v/>
      </c>
      <c r="AM2310" s="34" t="str">
        <f aca="false">IF($B2310="","",COUNTIF($F2310:$AJ2310,"HA"))</f>
        <v/>
      </c>
      <c r="AN2310" s="34" t="str">
        <f aca="false">IF($B2310="","",COUNTIF($F2310:$AJ2310,"L"))</f>
        <v/>
      </c>
      <c r="AO2310" s="34" t="str">
        <f aca="false">IF($B2310="","",COUNTIF($F2310:$AJ2310,"PL"))</f>
        <v/>
      </c>
      <c r="AP2310" s="34" t="str">
        <f aca="false">IF($B2310="","",COUNTIF($F2310:$AJ2310,"CL"))</f>
        <v/>
      </c>
      <c r="AQ2310" s="34" t="str">
        <f aca="false">IF($B2310="","",COUNTIF($F2310:$AJ2310,"SL"))</f>
        <v/>
      </c>
      <c r="AR2310" s="34" t="str">
        <f aca="false">IF($B2310="","",COUNTIF($F2310:$AJ2310,"CO"))</f>
        <v/>
      </c>
      <c r="AS2310" s="34" t="str">
        <f aca="false">IF($B2310="","",COUNTIF($F2310:$AJ2310,"HPL"))</f>
        <v/>
      </c>
      <c r="AT2310" s="34" t="str">
        <f aca="false">IF($B2310="","",COUNTIF($F2310:$AJ2310,"HCL"))</f>
        <v/>
      </c>
      <c r="AU2310" s="34" t="str">
        <f aca="false">IF($B2310="","",COUNTIF($F2310:$AJ2310,"WO"))</f>
        <v/>
      </c>
      <c r="AV2310" s="34" t="str">
        <f aca="false">IF($B2310="","",COUNTIF($F2310:$AJ2310,"PH"))</f>
        <v/>
      </c>
      <c r="AW2310" s="34" t="str">
        <f aca="false">IF($B2310="","",COUNTIF($F2310:$AJ2310,"TR"))</f>
        <v/>
      </c>
      <c r="AX2310" s="35" t="str">
        <f aca="false">IF($B2310="","",AO2310+AS2310/2)</f>
        <v/>
      </c>
      <c r="AY2310" s="35" t="str">
        <f aca="false">IF($B2310="","",AQ2310)</f>
        <v/>
      </c>
      <c r="AZ2310" s="35" t="str">
        <f aca="false">IF($B2310="","",AP2310+AT2310/2)</f>
        <v/>
      </c>
      <c r="BA2310" s="35" t="str">
        <f aca="false">IF($B2310="","",AK2310+AN2310+AM2310/2+AO2310+AP2310+AQ2310+AR2310+AS2310+AT2310+AU2310+AV2310+AW2310)</f>
        <v/>
      </c>
      <c r="BB2310" s="35" t="str">
        <f aca="false">IF($B2310="","",MAX(0,AN2310-Settings!$C$16)*Settings!$C$17)</f>
        <v/>
      </c>
      <c r="BC2310" s="35" t="str">
        <f aca="false">IF($B2310="","",BA2310-BB2310)</f>
        <v/>
      </c>
      <c r="BD2310" s="35" t="str">
        <f aca="false">IF(OR($B2310="",$A2310=""),"",DAY(EOMONTH($A2310,0))-COUNTA($F2310:$AJ2310))</f>
        <v/>
      </c>
    </row>
    <row r="2311" customFormat="false" ht="15" hidden="false" customHeight="false" outlineLevel="0" collapsed="false">
      <c r="A2311" s="32"/>
      <c r="B2311" s="29"/>
      <c r="C2311" s="10" t="str">
        <f aca="false">IF($B2311="","",IFERROR(INDEX(M_name,MATCH($B2311,M_emp,0)),"Code not found"))</f>
        <v/>
      </c>
      <c r="D2311" s="10" t="str">
        <f aca="false">IF($B2311="","",IFERROR(INDEX(M_dept,MATCH($B2311,M_emp,0)),""))</f>
        <v/>
      </c>
      <c r="E2311" s="10" t="str">
        <f aca="false">IF($B2311="","",IFERROR(INDEX(M_loc,MATCH($B2311,M_emp,0)),""))</f>
        <v/>
      </c>
      <c r="F2311" s="33"/>
      <c r="G2311" s="33"/>
      <c r="H2311" s="33"/>
      <c r="I2311" s="33"/>
      <c r="J2311" s="33"/>
      <c r="K2311" s="33"/>
      <c r="L2311" s="33"/>
      <c r="M2311" s="33"/>
      <c r="N2311" s="33"/>
      <c r="O2311" s="33"/>
      <c r="P2311" s="33"/>
      <c r="Q2311" s="33"/>
      <c r="R2311" s="33"/>
      <c r="S2311" s="33"/>
      <c r="T2311" s="33"/>
      <c r="U2311" s="33"/>
      <c r="V2311" s="33"/>
      <c r="W2311" s="33"/>
      <c r="X2311" s="33"/>
      <c r="Y2311" s="33"/>
      <c r="Z2311" s="33"/>
      <c r="AA2311" s="33"/>
      <c r="AB2311" s="33"/>
      <c r="AC2311" s="33"/>
      <c r="AD2311" s="33"/>
      <c r="AE2311" s="33"/>
      <c r="AF2311" s="33"/>
      <c r="AG2311" s="33"/>
      <c r="AH2311" s="33"/>
      <c r="AI2311" s="33"/>
      <c r="AJ2311" s="33"/>
      <c r="AK2311" s="34" t="str">
        <f aca="false">IF($B2311="","",COUNTIF($F2311:$AJ2311,"P"))</f>
        <v/>
      </c>
      <c r="AL2311" s="34" t="str">
        <f aca="false">IF($B2311="","",COUNTIF($F2311:$AJ2311,"A"))</f>
        <v/>
      </c>
      <c r="AM2311" s="34" t="str">
        <f aca="false">IF($B2311="","",COUNTIF($F2311:$AJ2311,"HA"))</f>
        <v/>
      </c>
      <c r="AN2311" s="34" t="str">
        <f aca="false">IF($B2311="","",COUNTIF($F2311:$AJ2311,"L"))</f>
        <v/>
      </c>
      <c r="AO2311" s="34" t="str">
        <f aca="false">IF($B2311="","",COUNTIF($F2311:$AJ2311,"PL"))</f>
        <v/>
      </c>
      <c r="AP2311" s="34" t="str">
        <f aca="false">IF($B2311="","",COUNTIF($F2311:$AJ2311,"CL"))</f>
        <v/>
      </c>
      <c r="AQ2311" s="34" t="str">
        <f aca="false">IF($B2311="","",COUNTIF($F2311:$AJ2311,"SL"))</f>
        <v/>
      </c>
      <c r="AR2311" s="34" t="str">
        <f aca="false">IF($B2311="","",COUNTIF($F2311:$AJ2311,"CO"))</f>
        <v/>
      </c>
      <c r="AS2311" s="34" t="str">
        <f aca="false">IF($B2311="","",COUNTIF($F2311:$AJ2311,"HPL"))</f>
        <v/>
      </c>
      <c r="AT2311" s="34" t="str">
        <f aca="false">IF($B2311="","",COUNTIF($F2311:$AJ2311,"HCL"))</f>
        <v/>
      </c>
      <c r="AU2311" s="34" t="str">
        <f aca="false">IF($B2311="","",COUNTIF($F2311:$AJ2311,"WO"))</f>
        <v/>
      </c>
      <c r="AV2311" s="34" t="str">
        <f aca="false">IF($B2311="","",COUNTIF($F2311:$AJ2311,"PH"))</f>
        <v/>
      </c>
      <c r="AW2311" s="34" t="str">
        <f aca="false">IF($B2311="","",COUNTIF($F2311:$AJ2311,"TR"))</f>
        <v/>
      </c>
      <c r="AX2311" s="35" t="str">
        <f aca="false">IF($B2311="","",AO2311+AS2311/2)</f>
        <v/>
      </c>
      <c r="AY2311" s="35" t="str">
        <f aca="false">IF($B2311="","",AQ2311)</f>
        <v/>
      </c>
      <c r="AZ2311" s="35" t="str">
        <f aca="false">IF($B2311="","",AP2311+AT2311/2)</f>
        <v/>
      </c>
      <c r="BA2311" s="35" t="str">
        <f aca="false">IF($B2311="","",AK2311+AN2311+AM2311/2+AO2311+AP2311+AQ2311+AR2311+AS2311+AT2311+AU2311+AV2311+AW2311)</f>
        <v/>
      </c>
      <c r="BB2311" s="35" t="str">
        <f aca="false">IF($B2311="","",MAX(0,AN2311-Settings!$C$16)*Settings!$C$17)</f>
        <v/>
      </c>
      <c r="BC2311" s="35" t="str">
        <f aca="false">IF($B2311="","",BA2311-BB2311)</f>
        <v/>
      </c>
      <c r="BD2311" s="35" t="str">
        <f aca="false">IF(OR($B2311="",$A2311=""),"",DAY(EOMONTH($A2311,0))-COUNTA($F2311:$AJ2311))</f>
        <v/>
      </c>
    </row>
    <row r="2312" customFormat="false" ht="15" hidden="false" customHeight="false" outlineLevel="0" collapsed="false">
      <c r="A2312" s="32"/>
      <c r="B2312" s="29"/>
      <c r="C2312" s="10" t="str">
        <f aca="false">IF($B2312="","",IFERROR(INDEX(M_name,MATCH($B2312,M_emp,0)),"Code not found"))</f>
        <v/>
      </c>
      <c r="D2312" s="10" t="str">
        <f aca="false">IF($B2312="","",IFERROR(INDEX(M_dept,MATCH($B2312,M_emp,0)),""))</f>
        <v/>
      </c>
      <c r="E2312" s="10" t="str">
        <f aca="false">IF($B2312="","",IFERROR(INDEX(M_loc,MATCH($B2312,M_emp,0)),""))</f>
        <v/>
      </c>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c r="AB2312" s="33"/>
      <c r="AC2312" s="33"/>
      <c r="AD2312" s="33"/>
      <c r="AE2312" s="33"/>
      <c r="AF2312" s="33"/>
      <c r="AG2312" s="33"/>
      <c r="AH2312" s="33"/>
      <c r="AI2312" s="33"/>
      <c r="AJ2312" s="33"/>
      <c r="AK2312" s="34" t="str">
        <f aca="false">IF($B2312="","",COUNTIF($F2312:$AJ2312,"P"))</f>
        <v/>
      </c>
      <c r="AL2312" s="34" t="str">
        <f aca="false">IF($B2312="","",COUNTIF($F2312:$AJ2312,"A"))</f>
        <v/>
      </c>
      <c r="AM2312" s="34" t="str">
        <f aca="false">IF($B2312="","",COUNTIF($F2312:$AJ2312,"HA"))</f>
        <v/>
      </c>
      <c r="AN2312" s="34" t="str">
        <f aca="false">IF($B2312="","",COUNTIF($F2312:$AJ2312,"L"))</f>
        <v/>
      </c>
      <c r="AO2312" s="34" t="str">
        <f aca="false">IF($B2312="","",COUNTIF($F2312:$AJ2312,"PL"))</f>
        <v/>
      </c>
      <c r="AP2312" s="34" t="str">
        <f aca="false">IF($B2312="","",COUNTIF($F2312:$AJ2312,"CL"))</f>
        <v/>
      </c>
      <c r="AQ2312" s="34" t="str">
        <f aca="false">IF($B2312="","",COUNTIF($F2312:$AJ2312,"SL"))</f>
        <v/>
      </c>
      <c r="AR2312" s="34" t="str">
        <f aca="false">IF($B2312="","",COUNTIF($F2312:$AJ2312,"CO"))</f>
        <v/>
      </c>
      <c r="AS2312" s="34" t="str">
        <f aca="false">IF($B2312="","",COUNTIF($F2312:$AJ2312,"HPL"))</f>
        <v/>
      </c>
      <c r="AT2312" s="34" t="str">
        <f aca="false">IF($B2312="","",COUNTIF($F2312:$AJ2312,"HCL"))</f>
        <v/>
      </c>
      <c r="AU2312" s="34" t="str">
        <f aca="false">IF($B2312="","",COUNTIF($F2312:$AJ2312,"WO"))</f>
        <v/>
      </c>
      <c r="AV2312" s="34" t="str">
        <f aca="false">IF($B2312="","",COUNTIF($F2312:$AJ2312,"PH"))</f>
        <v/>
      </c>
      <c r="AW2312" s="34" t="str">
        <f aca="false">IF($B2312="","",COUNTIF($F2312:$AJ2312,"TR"))</f>
        <v/>
      </c>
      <c r="AX2312" s="35" t="str">
        <f aca="false">IF($B2312="","",AO2312+AS2312/2)</f>
        <v/>
      </c>
      <c r="AY2312" s="35" t="str">
        <f aca="false">IF($B2312="","",AQ2312)</f>
        <v/>
      </c>
      <c r="AZ2312" s="35" t="str">
        <f aca="false">IF($B2312="","",AP2312+AT2312/2)</f>
        <v/>
      </c>
      <c r="BA2312" s="35" t="str">
        <f aca="false">IF($B2312="","",AK2312+AN2312+AM2312/2+AO2312+AP2312+AQ2312+AR2312+AS2312+AT2312+AU2312+AV2312+AW2312)</f>
        <v/>
      </c>
      <c r="BB2312" s="35" t="str">
        <f aca="false">IF($B2312="","",MAX(0,AN2312-Settings!$C$16)*Settings!$C$17)</f>
        <v/>
      </c>
      <c r="BC2312" s="35" t="str">
        <f aca="false">IF($B2312="","",BA2312-BB2312)</f>
        <v/>
      </c>
      <c r="BD2312" s="35" t="str">
        <f aca="false">IF(OR($B2312="",$A2312=""),"",DAY(EOMONTH($A2312,0))-COUNTA($F2312:$AJ2312))</f>
        <v/>
      </c>
    </row>
    <row r="2313" customFormat="false" ht="15" hidden="false" customHeight="false" outlineLevel="0" collapsed="false">
      <c r="A2313" s="32"/>
      <c r="B2313" s="29"/>
      <c r="C2313" s="10" t="str">
        <f aca="false">IF($B2313="","",IFERROR(INDEX(M_name,MATCH($B2313,M_emp,0)),"Code not found"))</f>
        <v/>
      </c>
      <c r="D2313" s="10" t="str">
        <f aca="false">IF($B2313="","",IFERROR(INDEX(M_dept,MATCH($B2313,M_emp,0)),""))</f>
        <v/>
      </c>
      <c r="E2313" s="10" t="str">
        <f aca="false">IF($B2313="","",IFERROR(INDEX(M_loc,MATCH($B2313,M_emp,0)),""))</f>
        <v/>
      </c>
      <c r="F2313" s="33"/>
      <c r="G2313" s="33"/>
      <c r="H2313" s="33"/>
      <c r="I2313" s="33"/>
      <c r="J2313" s="33"/>
      <c r="K2313" s="33"/>
      <c r="L2313" s="33"/>
      <c r="M2313" s="33"/>
      <c r="N2313" s="33"/>
      <c r="O2313" s="33"/>
      <c r="P2313" s="33"/>
      <c r="Q2313" s="33"/>
      <c r="R2313" s="33"/>
      <c r="S2313" s="33"/>
      <c r="T2313" s="33"/>
      <c r="U2313" s="33"/>
      <c r="V2313" s="33"/>
      <c r="W2313" s="33"/>
      <c r="X2313" s="33"/>
      <c r="Y2313" s="33"/>
      <c r="Z2313" s="33"/>
      <c r="AA2313" s="33"/>
      <c r="AB2313" s="33"/>
      <c r="AC2313" s="33"/>
      <c r="AD2313" s="33"/>
      <c r="AE2313" s="33"/>
      <c r="AF2313" s="33"/>
      <c r="AG2313" s="33"/>
      <c r="AH2313" s="33"/>
      <c r="AI2313" s="33"/>
      <c r="AJ2313" s="33"/>
      <c r="AK2313" s="34" t="str">
        <f aca="false">IF($B2313="","",COUNTIF($F2313:$AJ2313,"P"))</f>
        <v/>
      </c>
      <c r="AL2313" s="34" t="str">
        <f aca="false">IF($B2313="","",COUNTIF($F2313:$AJ2313,"A"))</f>
        <v/>
      </c>
      <c r="AM2313" s="34" t="str">
        <f aca="false">IF($B2313="","",COUNTIF($F2313:$AJ2313,"HA"))</f>
        <v/>
      </c>
      <c r="AN2313" s="34" t="str">
        <f aca="false">IF($B2313="","",COUNTIF($F2313:$AJ2313,"L"))</f>
        <v/>
      </c>
      <c r="AO2313" s="34" t="str">
        <f aca="false">IF($B2313="","",COUNTIF($F2313:$AJ2313,"PL"))</f>
        <v/>
      </c>
      <c r="AP2313" s="34" t="str">
        <f aca="false">IF($B2313="","",COUNTIF($F2313:$AJ2313,"CL"))</f>
        <v/>
      </c>
      <c r="AQ2313" s="34" t="str">
        <f aca="false">IF($B2313="","",COUNTIF($F2313:$AJ2313,"SL"))</f>
        <v/>
      </c>
      <c r="AR2313" s="34" t="str">
        <f aca="false">IF($B2313="","",COUNTIF($F2313:$AJ2313,"CO"))</f>
        <v/>
      </c>
      <c r="AS2313" s="34" t="str">
        <f aca="false">IF($B2313="","",COUNTIF($F2313:$AJ2313,"HPL"))</f>
        <v/>
      </c>
      <c r="AT2313" s="34" t="str">
        <f aca="false">IF($B2313="","",COUNTIF($F2313:$AJ2313,"HCL"))</f>
        <v/>
      </c>
      <c r="AU2313" s="34" t="str">
        <f aca="false">IF($B2313="","",COUNTIF($F2313:$AJ2313,"WO"))</f>
        <v/>
      </c>
      <c r="AV2313" s="34" t="str">
        <f aca="false">IF($B2313="","",COUNTIF($F2313:$AJ2313,"PH"))</f>
        <v/>
      </c>
      <c r="AW2313" s="34" t="str">
        <f aca="false">IF($B2313="","",COUNTIF($F2313:$AJ2313,"TR"))</f>
        <v/>
      </c>
      <c r="AX2313" s="35" t="str">
        <f aca="false">IF($B2313="","",AO2313+AS2313/2)</f>
        <v/>
      </c>
      <c r="AY2313" s="35" t="str">
        <f aca="false">IF($B2313="","",AQ2313)</f>
        <v/>
      </c>
      <c r="AZ2313" s="35" t="str">
        <f aca="false">IF($B2313="","",AP2313+AT2313/2)</f>
        <v/>
      </c>
      <c r="BA2313" s="35" t="str">
        <f aca="false">IF($B2313="","",AK2313+AN2313+AM2313/2+AO2313+AP2313+AQ2313+AR2313+AS2313+AT2313+AU2313+AV2313+AW2313)</f>
        <v/>
      </c>
      <c r="BB2313" s="35" t="str">
        <f aca="false">IF($B2313="","",MAX(0,AN2313-Settings!$C$16)*Settings!$C$17)</f>
        <v/>
      </c>
      <c r="BC2313" s="35" t="str">
        <f aca="false">IF($B2313="","",BA2313-BB2313)</f>
        <v/>
      </c>
      <c r="BD2313" s="35" t="str">
        <f aca="false">IF(OR($B2313="",$A2313=""),"",DAY(EOMONTH($A2313,0))-COUNTA($F2313:$AJ2313))</f>
        <v/>
      </c>
    </row>
    <row r="2314" customFormat="false" ht="15" hidden="false" customHeight="false" outlineLevel="0" collapsed="false">
      <c r="A2314" s="32"/>
      <c r="B2314" s="29"/>
      <c r="C2314" s="10" t="str">
        <f aca="false">IF($B2314="","",IFERROR(INDEX(M_name,MATCH($B2314,M_emp,0)),"Code not found"))</f>
        <v/>
      </c>
      <c r="D2314" s="10" t="str">
        <f aca="false">IF($B2314="","",IFERROR(INDEX(M_dept,MATCH($B2314,M_emp,0)),""))</f>
        <v/>
      </c>
      <c r="E2314" s="10" t="str">
        <f aca="false">IF($B2314="","",IFERROR(INDEX(M_loc,MATCH($B2314,M_emp,0)),""))</f>
        <v/>
      </c>
      <c r="F2314" s="33"/>
      <c r="G2314" s="33"/>
      <c r="H2314" s="33"/>
      <c r="I2314" s="33"/>
      <c r="J2314" s="33"/>
      <c r="K2314" s="33"/>
      <c r="L2314" s="33"/>
      <c r="M2314" s="33"/>
      <c r="N2314" s="33"/>
      <c r="O2314" s="33"/>
      <c r="P2314" s="33"/>
      <c r="Q2314" s="33"/>
      <c r="R2314" s="33"/>
      <c r="S2314" s="33"/>
      <c r="T2314" s="33"/>
      <c r="U2314" s="33"/>
      <c r="V2314" s="33"/>
      <c r="W2314" s="33"/>
      <c r="X2314" s="33"/>
      <c r="Y2314" s="33"/>
      <c r="Z2314" s="33"/>
      <c r="AA2314" s="33"/>
      <c r="AB2314" s="33"/>
      <c r="AC2314" s="33"/>
      <c r="AD2314" s="33"/>
      <c r="AE2314" s="33"/>
      <c r="AF2314" s="33"/>
      <c r="AG2314" s="33"/>
      <c r="AH2314" s="33"/>
      <c r="AI2314" s="33"/>
      <c r="AJ2314" s="33"/>
      <c r="AK2314" s="34" t="str">
        <f aca="false">IF($B2314="","",COUNTIF($F2314:$AJ2314,"P"))</f>
        <v/>
      </c>
      <c r="AL2314" s="34" t="str">
        <f aca="false">IF($B2314="","",COUNTIF($F2314:$AJ2314,"A"))</f>
        <v/>
      </c>
      <c r="AM2314" s="34" t="str">
        <f aca="false">IF($B2314="","",COUNTIF($F2314:$AJ2314,"HA"))</f>
        <v/>
      </c>
      <c r="AN2314" s="34" t="str">
        <f aca="false">IF($B2314="","",COUNTIF($F2314:$AJ2314,"L"))</f>
        <v/>
      </c>
      <c r="AO2314" s="34" t="str">
        <f aca="false">IF($B2314="","",COUNTIF($F2314:$AJ2314,"PL"))</f>
        <v/>
      </c>
      <c r="AP2314" s="34" t="str">
        <f aca="false">IF($B2314="","",COUNTIF($F2314:$AJ2314,"CL"))</f>
        <v/>
      </c>
      <c r="AQ2314" s="34" t="str">
        <f aca="false">IF($B2314="","",COUNTIF($F2314:$AJ2314,"SL"))</f>
        <v/>
      </c>
      <c r="AR2314" s="34" t="str">
        <f aca="false">IF($B2314="","",COUNTIF($F2314:$AJ2314,"CO"))</f>
        <v/>
      </c>
      <c r="AS2314" s="34" t="str">
        <f aca="false">IF($B2314="","",COUNTIF($F2314:$AJ2314,"HPL"))</f>
        <v/>
      </c>
      <c r="AT2314" s="34" t="str">
        <f aca="false">IF($B2314="","",COUNTIF($F2314:$AJ2314,"HCL"))</f>
        <v/>
      </c>
      <c r="AU2314" s="34" t="str">
        <f aca="false">IF($B2314="","",COUNTIF($F2314:$AJ2314,"WO"))</f>
        <v/>
      </c>
      <c r="AV2314" s="34" t="str">
        <f aca="false">IF($B2314="","",COUNTIF($F2314:$AJ2314,"PH"))</f>
        <v/>
      </c>
      <c r="AW2314" s="34" t="str">
        <f aca="false">IF($B2314="","",COUNTIF($F2314:$AJ2314,"TR"))</f>
        <v/>
      </c>
      <c r="AX2314" s="35" t="str">
        <f aca="false">IF($B2314="","",AO2314+AS2314/2)</f>
        <v/>
      </c>
      <c r="AY2314" s="35" t="str">
        <f aca="false">IF($B2314="","",AQ2314)</f>
        <v/>
      </c>
      <c r="AZ2314" s="35" t="str">
        <f aca="false">IF($B2314="","",AP2314+AT2314/2)</f>
        <v/>
      </c>
      <c r="BA2314" s="35" t="str">
        <f aca="false">IF($B2314="","",AK2314+AN2314+AM2314/2+AO2314+AP2314+AQ2314+AR2314+AS2314+AT2314+AU2314+AV2314+AW2314)</f>
        <v/>
      </c>
      <c r="BB2314" s="35" t="str">
        <f aca="false">IF($B2314="","",MAX(0,AN2314-Settings!$C$16)*Settings!$C$17)</f>
        <v/>
      </c>
      <c r="BC2314" s="35" t="str">
        <f aca="false">IF($B2314="","",BA2314-BB2314)</f>
        <v/>
      </c>
      <c r="BD2314" s="35" t="str">
        <f aca="false">IF(OR($B2314="",$A2314=""),"",DAY(EOMONTH($A2314,0))-COUNTA($F2314:$AJ2314))</f>
        <v/>
      </c>
    </row>
    <row r="2315" customFormat="false" ht="15" hidden="false" customHeight="false" outlineLevel="0" collapsed="false">
      <c r="A2315" s="32"/>
      <c r="B2315" s="29"/>
      <c r="C2315" s="10" t="str">
        <f aca="false">IF($B2315="","",IFERROR(INDEX(M_name,MATCH($B2315,M_emp,0)),"Code not found"))</f>
        <v/>
      </c>
      <c r="D2315" s="10" t="str">
        <f aca="false">IF($B2315="","",IFERROR(INDEX(M_dept,MATCH($B2315,M_emp,0)),""))</f>
        <v/>
      </c>
      <c r="E2315" s="10" t="str">
        <f aca="false">IF($B2315="","",IFERROR(INDEX(M_loc,MATCH($B2315,M_emp,0)),""))</f>
        <v/>
      </c>
      <c r="F2315" s="33"/>
      <c r="G2315" s="33"/>
      <c r="H2315" s="33"/>
      <c r="I2315" s="33"/>
      <c r="J2315" s="33"/>
      <c r="K2315" s="33"/>
      <c r="L2315" s="33"/>
      <c r="M2315" s="33"/>
      <c r="N2315" s="33"/>
      <c r="O2315" s="33"/>
      <c r="P2315" s="33"/>
      <c r="Q2315" s="33"/>
      <c r="R2315" s="33"/>
      <c r="S2315" s="33"/>
      <c r="T2315" s="33"/>
      <c r="U2315" s="33"/>
      <c r="V2315" s="33"/>
      <c r="W2315" s="33"/>
      <c r="X2315" s="33"/>
      <c r="Y2315" s="33"/>
      <c r="Z2315" s="33"/>
      <c r="AA2315" s="33"/>
      <c r="AB2315" s="33"/>
      <c r="AC2315" s="33"/>
      <c r="AD2315" s="33"/>
      <c r="AE2315" s="33"/>
      <c r="AF2315" s="33"/>
      <c r="AG2315" s="33"/>
      <c r="AH2315" s="33"/>
      <c r="AI2315" s="33"/>
      <c r="AJ2315" s="33"/>
      <c r="AK2315" s="34" t="str">
        <f aca="false">IF($B2315="","",COUNTIF($F2315:$AJ2315,"P"))</f>
        <v/>
      </c>
      <c r="AL2315" s="34" t="str">
        <f aca="false">IF($B2315="","",COUNTIF($F2315:$AJ2315,"A"))</f>
        <v/>
      </c>
      <c r="AM2315" s="34" t="str">
        <f aca="false">IF($B2315="","",COUNTIF($F2315:$AJ2315,"HA"))</f>
        <v/>
      </c>
      <c r="AN2315" s="34" t="str">
        <f aca="false">IF($B2315="","",COUNTIF($F2315:$AJ2315,"L"))</f>
        <v/>
      </c>
      <c r="AO2315" s="34" t="str">
        <f aca="false">IF($B2315="","",COUNTIF($F2315:$AJ2315,"PL"))</f>
        <v/>
      </c>
      <c r="AP2315" s="34" t="str">
        <f aca="false">IF($B2315="","",COUNTIF($F2315:$AJ2315,"CL"))</f>
        <v/>
      </c>
      <c r="AQ2315" s="34" t="str">
        <f aca="false">IF($B2315="","",COUNTIF($F2315:$AJ2315,"SL"))</f>
        <v/>
      </c>
      <c r="AR2315" s="34" t="str">
        <f aca="false">IF($B2315="","",COUNTIF($F2315:$AJ2315,"CO"))</f>
        <v/>
      </c>
      <c r="AS2315" s="34" t="str">
        <f aca="false">IF($B2315="","",COUNTIF($F2315:$AJ2315,"HPL"))</f>
        <v/>
      </c>
      <c r="AT2315" s="34" t="str">
        <f aca="false">IF($B2315="","",COUNTIF($F2315:$AJ2315,"HCL"))</f>
        <v/>
      </c>
      <c r="AU2315" s="34" t="str">
        <f aca="false">IF($B2315="","",COUNTIF($F2315:$AJ2315,"WO"))</f>
        <v/>
      </c>
      <c r="AV2315" s="34" t="str">
        <f aca="false">IF($B2315="","",COUNTIF($F2315:$AJ2315,"PH"))</f>
        <v/>
      </c>
      <c r="AW2315" s="34" t="str">
        <f aca="false">IF($B2315="","",COUNTIF($F2315:$AJ2315,"TR"))</f>
        <v/>
      </c>
      <c r="AX2315" s="35" t="str">
        <f aca="false">IF($B2315="","",AO2315+AS2315/2)</f>
        <v/>
      </c>
      <c r="AY2315" s="35" t="str">
        <f aca="false">IF($B2315="","",AQ2315)</f>
        <v/>
      </c>
      <c r="AZ2315" s="35" t="str">
        <f aca="false">IF($B2315="","",AP2315+AT2315/2)</f>
        <v/>
      </c>
      <c r="BA2315" s="35" t="str">
        <f aca="false">IF($B2315="","",AK2315+AN2315+AM2315/2+AO2315+AP2315+AQ2315+AR2315+AS2315+AT2315+AU2315+AV2315+AW2315)</f>
        <v/>
      </c>
      <c r="BB2315" s="35" t="str">
        <f aca="false">IF($B2315="","",MAX(0,AN2315-Settings!$C$16)*Settings!$C$17)</f>
        <v/>
      </c>
      <c r="BC2315" s="35" t="str">
        <f aca="false">IF($B2315="","",BA2315-BB2315)</f>
        <v/>
      </c>
      <c r="BD2315" s="35" t="str">
        <f aca="false">IF(OR($B2315="",$A2315=""),"",DAY(EOMONTH($A2315,0))-COUNTA($F2315:$AJ2315))</f>
        <v/>
      </c>
    </row>
    <row r="2316" customFormat="false" ht="15" hidden="false" customHeight="false" outlineLevel="0" collapsed="false">
      <c r="A2316" s="32"/>
      <c r="B2316" s="29"/>
      <c r="C2316" s="10" t="str">
        <f aca="false">IF($B2316="","",IFERROR(INDEX(M_name,MATCH($B2316,M_emp,0)),"Code not found"))</f>
        <v/>
      </c>
      <c r="D2316" s="10" t="str">
        <f aca="false">IF($B2316="","",IFERROR(INDEX(M_dept,MATCH($B2316,M_emp,0)),""))</f>
        <v/>
      </c>
      <c r="E2316" s="10" t="str">
        <f aca="false">IF($B2316="","",IFERROR(INDEX(M_loc,MATCH($B2316,M_emp,0)),""))</f>
        <v/>
      </c>
      <c r="F2316" s="33"/>
      <c r="G2316" s="33"/>
      <c r="H2316" s="33"/>
      <c r="I2316" s="33"/>
      <c r="J2316" s="33"/>
      <c r="K2316" s="33"/>
      <c r="L2316" s="33"/>
      <c r="M2316" s="33"/>
      <c r="N2316" s="33"/>
      <c r="O2316" s="33"/>
      <c r="P2316" s="33"/>
      <c r="Q2316" s="33"/>
      <c r="R2316" s="33"/>
      <c r="S2316" s="33"/>
      <c r="T2316" s="33"/>
      <c r="U2316" s="33"/>
      <c r="V2316" s="33"/>
      <c r="W2316" s="33"/>
      <c r="X2316" s="33"/>
      <c r="Y2316" s="33"/>
      <c r="Z2316" s="33"/>
      <c r="AA2316" s="33"/>
      <c r="AB2316" s="33"/>
      <c r="AC2316" s="33"/>
      <c r="AD2316" s="33"/>
      <c r="AE2316" s="33"/>
      <c r="AF2316" s="33"/>
      <c r="AG2316" s="33"/>
      <c r="AH2316" s="33"/>
      <c r="AI2316" s="33"/>
      <c r="AJ2316" s="33"/>
      <c r="AK2316" s="34" t="str">
        <f aca="false">IF($B2316="","",COUNTIF($F2316:$AJ2316,"P"))</f>
        <v/>
      </c>
      <c r="AL2316" s="34" t="str">
        <f aca="false">IF($B2316="","",COUNTIF($F2316:$AJ2316,"A"))</f>
        <v/>
      </c>
      <c r="AM2316" s="34" t="str">
        <f aca="false">IF($B2316="","",COUNTIF($F2316:$AJ2316,"HA"))</f>
        <v/>
      </c>
      <c r="AN2316" s="34" t="str">
        <f aca="false">IF($B2316="","",COUNTIF($F2316:$AJ2316,"L"))</f>
        <v/>
      </c>
      <c r="AO2316" s="34" t="str">
        <f aca="false">IF($B2316="","",COUNTIF($F2316:$AJ2316,"PL"))</f>
        <v/>
      </c>
      <c r="AP2316" s="34" t="str">
        <f aca="false">IF($B2316="","",COUNTIF($F2316:$AJ2316,"CL"))</f>
        <v/>
      </c>
      <c r="AQ2316" s="34" t="str">
        <f aca="false">IF($B2316="","",COUNTIF($F2316:$AJ2316,"SL"))</f>
        <v/>
      </c>
      <c r="AR2316" s="34" t="str">
        <f aca="false">IF($B2316="","",COUNTIF($F2316:$AJ2316,"CO"))</f>
        <v/>
      </c>
      <c r="AS2316" s="34" t="str">
        <f aca="false">IF($B2316="","",COUNTIF($F2316:$AJ2316,"HPL"))</f>
        <v/>
      </c>
      <c r="AT2316" s="34" t="str">
        <f aca="false">IF($B2316="","",COUNTIF($F2316:$AJ2316,"HCL"))</f>
        <v/>
      </c>
      <c r="AU2316" s="34" t="str">
        <f aca="false">IF($B2316="","",COUNTIF($F2316:$AJ2316,"WO"))</f>
        <v/>
      </c>
      <c r="AV2316" s="34" t="str">
        <f aca="false">IF($B2316="","",COUNTIF($F2316:$AJ2316,"PH"))</f>
        <v/>
      </c>
      <c r="AW2316" s="34" t="str">
        <f aca="false">IF($B2316="","",COUNTIF($F2316:$AJ2316,"TR"))</f>
        <v/>
      </c>
      <c r="AX2316" s="35" t="str">
        <f aca="false">IF($B2316="","",AO2316+AS2316/2)</f>
        <v/>
      </c>
      <c r="AY2316" s="35" t="str">
        <f aca="false">IF($B2316="","",AQ2316)</f>
        <v/>
      </c>
      <c r="AZ2316" s="35" t="str">
        <f aca="false">IF($B2316="","",AP2316+AT2316/2)</f>
        <v/>
      </c>
      <c r="BA2316" s="35" t="str">
        <f aca="false">IF($B2316="","",AK2316+AN2316+AM2316/2+AO2316+AP2316+AQ2316+AR2316+AS2316+AT2316+AU2316+AV2316+AW2316)</f>
        <v/>
      </c>
      <c r="BB2316" s="35" t="str">
        <f aca="false">IF($B2316="","",MAX(0,AN2316-Settings!$C$16)*Settings!$C$17)</f>
        <v/>
      </c>
      <c r="BC2316" s="35" t="str">
        <f aca="false">IF($B2316="","",BA2316-BB2316)</f>
        <v/>
      </c>
      <c r="BD2316" s="35" t="str">
        <f aca="false">IF(OR($B2316="",$A2316=""),"",DAY(EOMONTH($A2316,0))-COUNTA($F2316:$AJ2316))</f>
        <v/>
      </c>
    </row>
    <row r="2317" customFormat="false" ht="15" hidden="false" customHeight="false" outlineLevel="0" collapsed="false">
      <c r="A2317" s="32"/>
      <c r="B2317" s="29"/>
      <c r="C2317" s="10" t="str">
        <f aca="false">IF($B2317="","",IFERROR(INDEX(M_name,MATCH($B2317,M_emp,0)),"Code not found"))</f>
        <v/>
      </c>
      <c r="D2317" s="10" t="str">
        <f aca="false">IF($B2317="","",IFERROR(INDEX(M_dept,MATCH($B2317,M_emp,0)),""))</f>
        <v/>
      </c>
      <c r="E2317" s="10" t="str">
        <f aca="false">IF($B2317="","",IFERROR(INDEX(M_loc,MATCH($B2317,M_emp,0)),""))</f>
        <v/>
      </c>
      <c r="F2317" s="33"/>
      <c r="G2317" s="33"/>
      <c r="H2317" s="33"/>
      <c r="I2317" s="33"/>
      <c r="J2317" s="33"/>
      <c r="K2317" s="33"/>
      <c r="L2317" s="33"/>
      <c r="M2317" s="33"/>
      <c r="N2317" s="33"/>
      <c r="O2317" s="33"/>
      <c r="P2317" s="33"/>
      <c r="Q2317" s="33"/>
      <c r="R2317" s="33"/>
      <c r="S2317" s="33"/>
      <c r="T2317" s="33"/>
      <c r="U2317" s="33"/>
      <c r="V2317" s="33"/>
      <c r="W2317" s="33"/>
      <c r="X2317" s="33"/>
      <c r="Y2317" s="33"/>
      <c r="Z2317" s="33"/>
      <c r="AA2317" s="33"/>
      <c r="AB2317" s="33"/>
      <c r="AC2317" s="33"/>
      <c r="AD2317" s="33"/>
      <c r="AE2317" s="33"/>
      <c r="AF2317" s="33"/>
      <c r="AG2317" s="33"/>
      <c r="AH2317" s="33"/>
      <c r="AI2317" s="33"/>
      <c r="AJ2317" s="33"/>
      <c r="AK2317" s="34" t="str">
        <f aca="false">IF($B2317="","",COUNTIF($F2317:$AJ2317,"P"))</f>
        <v/>
      </c>
      <c r="AL2317" s="34" t="str">
        <f aca="false">IF($B2317="","",COUNTIF($F2317:$AJ2317,"A"))</f>
        <v/>
      </c>
      <c r="AM2317" s="34" t="str">
        <f aca="false">IF($B2317="","",COUNTIF($F2317:$AJ2317,"HA"))</f>
        <v/>
      </c>
      <c r="AN2317" s="34" t="str">
        <f aca="false">IF($B2317="","",COUNTIF($F2317:$AJ2317,"L"))</f>
        <v/>
      </c>
      <c r="AO2317" s="34" t="str">
        <f aca="false">IF($B2317="","",COUNTIF($F2317:$AJ2317,"PL"))</f>
        <v/>
      </c>
      <c r="AP2317" s="34" t="str">
        <f aca="false">IF($B2317="","",COUNTIF($F2317:$AJ2317,"CL"))</f>
        <v/>
      </c>
      <c r="AQ2317" s="34" t="str">
        <f aca="false">IF($B2317="","",COUNTIF($F2317:$AJ2317,"SL"))</f>
        <v/>
      </c>
      <c r="AR2317" s="34" t="str">
        <f aca="false">IF($B2317="","",COUNTIF($F2317:$AJ2317,"CO"))</f>
        <v/>
      </c>
      <c r="AS2317" s="34" t="str">
        <f aca="false">IF($B2317="","",COUNTIF($F2317:$AJ2317,"HPL"))</f>
        <v/>
      </c>
      <c r="AT2317" s="34" t="str">
        <f aca="false">IF($B2317="","",COUNTIF($F2317:$AJ2317,"HCL"))</f>
        <v/>
      </c>
      <c r="AU2317" s="34" t="str">
        <f aca="false">IF($B2317="","",COUNTIF($F2317:$AJ2317,"WO"))</f>
        <v/>
      </c>
      <c r="AV2317" s="34" t="str">
        <f aca="false">IF($B2317="","",COUNTIF($F2317:$AJ2317,"PH"))</f>
        <v/>
      </c>
      <c r="AW2317" s="34" t="str">
        <f aca="false">IF($B2317="","",COUNTIF($F2317:$AJ2317,"TR"))</f>
        <v/>
      </c>
      <c r="AX2317" s="35" t="str">
        <f aca="false">IF($B2317="","",AO2317+AS2317/2)</f>
        <v/>
      </c>
      <c r="AY2317" s="35" t="str">
        <f aca="false">IF($B2317="","",AQ2317)</f>
        <v/>
      </c>
      <c r="AZ2317" s="35" t="str">
        <f aca="false">IF($B2317="","",AP2317+AT2317/2)</f>
        <v/>
      </c>
      <c r="BA2317" s="35" t="str">
        <f aca="false">IF($B2317="","",AK2317+AN2317+AM2317/2+AO2317+AP2317+AQ2317+AR2317+AS2317+AT2317+AU2317+AV2317+AW2317)</f>
        <v/>
      </c>
      <c r="BB2317" s="35" t="str">
        <f aca="false">IF($B2317="","",MAX(0,AN2317-Settings!$C$16)*Settings!$C$17)</f>
        <v/>
      </c>
      <c r="BC2317" s="35" t="str">
        <f aca="false">IF($B2317="","",BA2317-BB2317)</f>
        <v/>
      </c>
      <c r="BD2317" s="35" t="str">
        <f aca="false">IF(OR($B2317="",$A2317=""),"",DAY(EOMONTH($A2317,0))-COUNTA($F2317:$AJ2317))</f>
        <v/>
      </c>
    </row>
    <row r="2318" customFormat="false" ht="15" hidden="false" customHeight="false" outlineLevel="0" collapsed="false">
      <c r="A2318" s="32"/>
      <c r="B2318" s="29"/>
      <c r="C2318" s="10" t="str">
        <f aca="false">IF($B2318="","",IFERROR(INDEX(M_name,MATCH($B2318,M_emp,0)),"Code not found"))</f>
        <v/>
      </c>
      <c r="D2318" s="10" t="str">
        <f aca="false">IF($B2318="","",IFERROR(INDEX(M_dept,MATCH($B2318,M_emp,0)),""))</f>
        <v/>
      </c>
      <c r="E2318" s="10" t="str">
        <f aca="false">IF($B2318="","",IFERROR(INDEX(M_loc,MATCH($B2318,M_emp,0)),""))</f>
        <v/>
      </c>
      <c r="F2318" s="33"/>
      <c r="G2318" s="33"/>
      <c r="H2318" s="33"/>
      <c r="I2318" s="33"/>
      <c r="J2318" s="33"/>
      <c r="K2318" s="33"/>
      <c r="L2318" s="33"/>
      <c r="M2318" s="33"/>
      <c r="N2318" s="33"/>
      <c r="O2318" s="33"/>
      <c r="P2318" s="33"/>
      <c r="Q2318" s="33"/>
      <c r="R2318" s="33"/>
      <c r="S2318" s="33"/>
      <c r="T2318" s="33"/>
      <c r="U2318" s="33"/>
      <c r="V2318" s="33"/>
      <c r="W2318" s="33"/>
      <c r="X2318" s="33"/>
      <c r="Y2318" s="33"/>
      <c r="Z2318" s="33"/>
      <c r="AA2318" s="33"/>
      <c r="AB2318" s="33"/>
      <c r="AC2318" s="33"/>
      <c r="AD2318" s="33"/>
      <c r="AE2318" s="33"/>
      <c r="AF2318" s="33"/>
      <c r="AG2318" s="33"/>
      <c r="AH2318" s="33"/>
      <c r="AI2318" s="33"/>
      <c r="AJ2318" s="33"/>
      <c r="AK2318" s="34" t="str">
        <f aca="false">IF($B2318="","",COUNTIF($F2318:$AJ2318,"P"))</f>
        <v/>
      </c>
      <c r="AL2318" s="34" t="str">
        <f aca="false">IF($B2318="","",COUNTIF($F2318:$AJ2318,"A"))</f>
        <v/>
      </c>
      <c r="AM2318" s="34" t="str">
        <f aca="false">IF($B2318="","",COUNTIF($F2318:$AJ2318,"HA"))</f>
        <v/>
      </c>
      <c r="AN2318" s="34" t="str">
        <f aca="false">IF($B2318="","",COUNTIF($F2318:$AJ2318,"L"))</f>
        <v/>
      </c>
      <c r="AO2318" s="34" t="str">
        <f aca="false">IF($B2318="","",COUNTIF($F2318:$AJ2318,"PL"))</f>
        <v/>
      </c>
      <c r="AP2318" s="34" t="str">
        <f aca="false">IF($B2318="","",COUNTIF($F2318:$AJ2318,"CL"))</f>
        <v/>
      </c>
      <c r="AQ2318" s="34" t="str">
        <f aca="false">IF($B2318="","",COUNTIF($F2318:$AJ2318,"SL"))</f>
        <v/>
      </c>
      <c r="AR2318" s="34" t="str">
        <f aca="false">IF($B2318="","",COUNTIF($F2318:$AJ2318,"CO"))</f>
        <v/>
      </c>
      <c r="AS2318" s="34" t="str">
        <f aca="false">IF($B2318="","",COUNTIF($F2318:$AJ2318,"HPL"))</f>
        <v/>
      </c>
      <c r="AT2318" s="34" t="str">
        <f aca="false">IF($B2318="","",COUNTIF($F2318:$AJ2318,"HCL"))</f>
        <v/>
      </c>
      <c r="AU2318" s="34" t="str">
        <f aca="false">IF($B2318="","",COUNTIF($F2318:$AJ2318,"WO"))</f>
        <v/>
      </c>
      <c r="AV2318" s="34" t="str">
        <f aca="false">IF($B2318="","",COUNTIF($F2318:$AJ2318,"PH"))</f>
        <v/>
      </c>
      <c r="AW2318" s="34" t="str">
        <f aca="false">IF($B2318="","",COUNTIF($F2318:$AJ2318,"TR"))</f>
        <v/>
      </c>
      <c r="AX2318" s="35" t="str">
        <f aca="false">IF($B2318="","",AO2318+AS2318/2)</f>
        <v/>
      </c>
      <c r="AY2318" s="35" t="str">
        <f aca="false">IF($B2318="","",AQ2318)</f>
        <v/>
      </c>
      <c r="AZ2318" s="35" t="str">
        <f aca="false">IF($B2318="","",AP2318+AT2318/2)</f>
        <v/>
      </c>
      <c r="BA2318" s="35" t="str">
        <f aca="false">IF($B2318="","",AK2318+AN2318+AM2318/2+AO2318+AP2318+AQ2318+AR2318+AS2318+AT2318+AU2318+AV2318+AW2318)</f>
        <v/>
      </c>
      <c r="BB2318" s="35" t="str">
        <f aca="false">IF($B2318="","",MAX(0,AN2318-Settings!$C$16)*Settings!$C$17)</f>
        <v/>
      </c>
      <c r="BC2318" s="35" t="str">
        <f aca="false">IF($B2318="","",BA2318-BB2318)</f>
        <v/>
      </c>
      <c r="BD2318" s="35" t="str">
        <f aca="false">IF(OR($B2318="",$A2318=""),"",DAY(EOMONTH($A2318,0))-COUNTA($F2318:$AJ2318))</f>
        <v/>
      </c>
    </row>
    <row r="2319" customFormat="false" ht="15" hidden="false" customHeight="false" outlineLevel="0" collapsed="false">
      <c r="A2319" s="32"/>
      <c r="B2319" s="29"/>
      <c r="C2319" s="10" t="str">
        <f aca="false">IF($B2319="","",IFERROR(INDEX(M_name,MATCH($B2319,M_emp,0)),"Code not found"))</f>
        <v/>
      </c>
      <c r="D2319" s="10" t="str">
        <f aca="false">IF($B2319="","",IFERROR(INDEX(M_dept,MATCH($B2319,M_emp,0)),""))</f>
        <v/>
      </c>
      <c r="E2319" s="10" t="str">
        <f aca="false">IF($B2319="","",IFERROR(INDEX(M_loc,MATCH($B2319,M_emp,0)),""))</f>
        <v/>
      </c>
      <c r="F2319" s="33"/>
      <c r="G2319" s="33"/>
      <c r="H2319" s="33"/>
      <c r="I2319" s="33"/>
      <c r="J2319" s="33"/>
      <c r="K2319" s="33"/>
      <c r="L2319" s="33"/>
      <c r="M2319" s="33"/>
      <c r="N2319" s="33"/>
      <c r="O2319" s="33"/>
      <c r="P2319" s="33"/>
      <c r="Q2319" s="33"/>
      <c r="R2319" s="33"/>
      <c r="S2319" s="33"/>
      <c r="T2319" s="33"/>
      <c r="U2319" s="33"/>
      <c r="V2319" s="33"/>
      <c r="W2319" s="33"/>
      <c r="X2319" s="33"/>
      <c r="Y2319" s="33"/>
      <c r="Z2319" s="33"/>
      <c r="AA2319" s="33"/>
      <c r="AB2319" s="33"/>
      <c r="AC2319" s="33"/>
      <c r="AD2319" s="33"/>
      <c r="AE2319" s="33"/>
      <c r="AF2319" s="33"/>
      <c r="AG2319" s="33"/>
      <c r="AH2319" s="33"/>
      <c r="AI2319" s="33"/>
      <c r="AJ2319" s="33"/>
      <c r="AK2319" s="34" t="str">
        <f aca="false">IF($B2319="","",COUNTIF($F2319:$AJ2319,"P"))</f>
        <v/>
      </c>
      <c r="AL2319" s="34" t="str">
        <f aca="false">IF($B2319="","",COUNTIF($F2319:$AJ2319,"A"))</f>
        <v/>
      </c>
      <c r="AM2319" s="34" t="str">
        <f aca="false">IF($B2319="","",COUNTIF($F2319:$AJ2319,"HA"))</f>
        <v/>
      </c>
      <c r="AN2319" s="34" t="str">
        <f aca="false">IF($B2319="","",COUNTIF($F2319:$AJ2319,"L"))</f>
        <v/>
      </c>
      <c r="AO2319" s="34" t="str">
        <f aca="false">IF($B2319="","",COUNTIF($F2319:$AJ2319,"PL"))</f>
        <v/>
      </c>
      <c r="AP2319" s="34" t="str">
        <f aca="false">IF($B2319="","",COUNTIF($F2319:$AJ2319,"CL"))</f>
        <v/>
      </c>
      <c r="AQ2319" s="34" t="str">
        <f aca="false">IF($B2319="","",COUNTIF($F2319:$AJ2319,"SL"))</f>
        <v/>
      </c>
      <c r="AR2319" s="34" t="str">
        <f aca="false">IF($B2319="","",COUNTIF($F2319:$AJ2319,"CO"))</f>
        <v/>
      </c>
      <c r="AS2319" s="34" t="str">
        <f aca="false">IF($B2319="","",COUNTIF($F2319:$AJ2319,"HPL"))</f>
        <v/>
      </c>
      <c r="AT2319" s="34" t="str">
        <f aca="false">IF($B2319="","",COUNTIF($F2319:$AJ2319,"HCL"))</f>
        <v/>
      </c>
      <c r="AU2319" s="34" t="str">
        <f aca="false">IF($B2319="","",COUNTIF($F2319:$AJ2319,"WO"))</f>
        <v/>
      </c>
      <c r="AV2319" s="34" t="str">
        <f aca="false">IF($B2319="","",COUNTIF($F2319:$AJ2319,"PH"))</f>
        <v/>
      </c>
      <c r="AW2319" s="34" t="str">
        <f aca="false">IF($B2319="","",COUNTIF($F2319:$AJ2319,"TR"))</f>
        <v/>
      </c>
      <c r="AX2319" s="35" t="str">
        <f aca="false">IF($B2319="","",AO2319+AS2319/2)</f>
        <v/>
      </c>
      <c r="AY2319" s="35" t="str">
        <f aca="false">IF($B2319="","",AQ2319)</f>
        <v/>
      </c>
      <c r="AZ2319" s="35" t="str">
        <f aca="false">IF($B2319="","",AP2319+AT2319/2)</f>
        <v/>
      </c>
      <c r="BA2319" s="35" t="str">
        <f aca="false">IF($B2319="","",AK2319+AN2319+AM2319/2+AO2319+AP2319+AQ2319+AR2319+AS2319+AT2319+AU2319+AV2319+AW2319)</f>
        <v/>
      </c>
      <c r="BB2319" s="35" t="str">
        <f aca="false">IF($B2319="","",MAX(0,AN2319-Settings!$C$16)*Settings!$C$17)</f>
        <v/>
      </c>
      <c r="BC2319" s="35" t="str">
        <f aca="false">IF($B2319="","",BA2319-BB2319)</f>
        <v/>
      </c>
      <c r="BD2319" s="35" t="str">
        <f aca="false">IF(OR($B2319="",$A2319=""),"",DAY(EOMONTH($A2319,0))-COUNTA($F2319:$AJ2319))</f>
        <v/>
      </c>
    </row>
    <row r="2320" customFormat="false" ht="15" hidden="false" customHeight="false" outlineLevel="0" collapsed="false">
      <c r="A2320" s="32"/>
      <c r="B2320" s="29"/>
      <c r="C2320" s="10" t="str">
        <f aca="false">IF($B2320="","",IFERROR(INDEX(M_name,MATCH($B2320,M_emp,0)),"Code not found"))</f>
        <v/>
      </c>
      <c r="D2320" s="10" t="str">
        <f aca="false">IF($B2320="","",IFERROR(INDEX(M_dept,MATCH($B2320,M_emp,0)),""))</f>
        <v/>
      </c>
      <c r="E2320" s="10" t="str">
        <f aca="false">IF($B2320="","",IFERROR(INDEX(M_loc,MATCH($B2320,M_emp,0)),""))</f>
        <v/>
      </c>
      <c r="F2320" s="33"/>
      <c r="G2320" s="33"/>
      <c r="H2320" s="33"/>
      <c r="I2320" s="33"/>
      <c r="J2320" s="33"/>
      <c r="K2320" s="33"/>
      <c r="L2320" s="33"/>
      <c r="M2320" s="33"/>
      <c r="N2320" s="33"/>
      <c r="O2320" s="33"/>
      <c r="P2320" s="33"/>
      <c r="Q2320" s="33"/>
      <c r="R2320" s="33"/>
      <c r="S2320" s="33"/>
      <c r="T2320" s="33"/>
      <c r="U2320" s="33"/>
      <c r="V2320" s="33"/>
      <c r="W2320" s="33"/>
      <c r="X2320" s="33"/>
      <c r="Y2320" s="33"/>
      <c r="Z2320" s="33"/>
      <c r="AA2320" s="33"/>
      <c r="AB2320" s="33"/>
      <c r="AC2320" s="33"/>
      <c r="AD2320" s="33"/>
      <c r="AE2320" s="33"/>
      <c r="AF2320" s="33"/>
      <c r="AG2320" s="33"/>
      <c r="AH2320" s="33"/>
      <c r="AI2320" s="33"/>
      <c r="AJ2320" s="33"/>
      <c r="AK2320" s="34" t="str">
        <f aca="false">IF($B2320="","",COUNTIF($F2320:$AJ2320,"P"))</f>
        <v/>
      </c>
      <c r="AL2320" s="34" t="str">
        <f aca="false">IF($B2320="","",COUNTIF($F2320:$AJ2320,"A"))</f>
        <v/>
      </c>
      <c r="AM2320" s="34" t="str">
        <f aca="false">IF($B2320="","",COUNTIF($F2320:$AJ2320,"HA"))</f>
        <v/>
      </c>
      <c r="AN2320" s="34" t="str">
        <f aca="false">IF($B2320="","",COUNTIF($F2320:$AJ2320,"L"))</f>
        <v/>
      </c>
      <c r="AO2320" s="34" t="str">
        <f aca="false">IF($B2320="","",COUNTIF($F2320:$AJ2320,"PL"))</f>
        <v/>
      </c>
      <c r="AP2320" s="34" t="str">
        <f aca="false">IF($B2320="","",COUNTIF($F2320:$AJ2320,"CL"))</f>
        <v/>
      </c>
      <c r="AQ2320" s="34" t="str">
        <f aca="false">IF($B2320="","",COUNTIF($F2320:$AJ2320,"SL"))</f>
        <v/>
      </c>
      <c r="AR2320" s="34" t="str">
        <f aca="false">IF($B2320="","",COUNTIF($F2320:$AJ2320,"CO"))</f>
        <v/>
      </c>
      <c r="AS2320" s="34" t="str">
        <f aca="false">IF($B2320="","",COUNTIF($F2320:$AJ2320,"HPL"))</f>
        <v/>
      </c>
      <c r="AT2320" s="34" t="str">
        <f aca="false">IF($B2320="","",COUNTIF($F2320:$AJ2320,"HCL"))</f>
        <v/>
      </c>
      <c r="AU2320" s="34" t="str">
        <f aca="false">IF($B2320="","",COUNTIF($F2320:$AJ2320,"WO"))</f>
        <v/>
      </c>
      <c r="AV2320" s="34" t="str">
        <f aca="false">IF($B2320="","",COUNTIF($F2320:$AJ2320,"PH"))</f>
        <v/>
      </c>
      <c r="AW2320" s="34" t="str">
        <f aca="false">IF($B2320="","",COUNTIF($F2320:$AJ2320,"TR"))</f>
        <v/>
      </c>
      <c r="AX2320" s="35" t="str">
        <f aca="false">IF($B2320="","",AO2320+AS2320/2)</f>
        <v/>
      </c>
      <c r="AY2320" s="35" t="str">
        <f aca="false">IF($B2320="","",AQ2320)</f>
        <v/>
      </c>
      <c r="AZ2320" s="35" t="str">
        <f aca="false">IF($B2320="","",AP2320+AT2320/2)</f>
        <v/>
      </c>
      <c r="BA2320" s="35" t="str">
        <f aca="false">IF($B2320="","",AK2320+AN2320+AM2320/2+AO2320+AP2320+AQ2320+AR2320+AS2320+AT2320+AU2320+AV2320+AW2320)</f>
        <v/>
      </c>
      <c r="BB2320" s="35" t="str">
        <f aca="false">IF($B2320="","",MAX(0,AN2320-Settings!$C$16)*Settings!$C$17)</f>
        <v/>
      </c>
      <c r="BC2320" s="35" t="str">
        <f aca="false">IF($B2320="","",BA2320-BB2320)</f>
        <v/>
      </c>
      <c r="BD2320" s="35" t="str">
        <f aca="false">IF(OR($B2320="",$A2320=""),"",DAY(EOMONTH($A2320,0))-COUNTA($F2320:$AJ2320))</f>
        <v/>
      </c>
    </row>
    <row r="2321" customFormat="false" ht="15" hidden="false" customHeight="false" outlineLevel="0" collapsed="false">
      <c r="A2321" s="32"/>
      <c r="B2321" s="29"/>
      <c r="C2321" s="10" t="str">
        <f aca="false">IF($B2321="","",IFERROR(INDEX(M_name,MATCH($B2321,M_emp,0)),"Code not found"))</f>
        <v/>
      </c>
      <c r="D2321" s="10" t="str">
        <f aca="false">IF($B2321="","",IFERROR(INDEX(M_dept,MATCH($B2321,M_emp,0)),""))</f>
        <v/>
      </c>
      <c r="E2321" s="10" t="str">
        <f aca="false">IF($B2321="","",IFERROR(INDEX(M_loc,MATCH($B2321,M_emp,0)),""))</f>
        <v/>
      </c>
      <c r="F2321" s="33"/>
      <c r="G2321" s="33"/>
      <c r="H2321" s="33"/>
      <c r="I2321" s="33"/>
      <c r="J2321" s="33"/>
      <c r="K2321" s="33"/>
      <c r="L2321" s="33"/>
      <c r="M2321" s="33"/>
      <c r="N2321" s="33"/>
      <c r="O2321" s="33"/>
      <c r="P2321" s="33"/>
      <c r="Q2321" s="33"/>
      <c r="R2321" s="33"/>
      <c r="S2321" s="33"/>
      <c r="T2321" s="33"/>
      <c r="U2321" s="33"/>
      <c r="V2321" s="33"/>
      <c r="W2321" s="33"/>
      <c r="X2321" s="33"/>
      <c r="Y2321" s="33"/>
      <c r="Z2321" s="33"/>
      <c r="AA2321" s="33"/>
      <c r="AB2321" s="33"/>
      <c r="AC2321" s="33"/>
      <c r="AD2321" s="33"/>
      <c r="AE2321" s="33"/>
      <c r="AF2321" s="33"/>
      <c r="AG2321" s="33"/>
      <c r="AH2321" s="33"/>
      <c r="AI2321" s="33"/>
      <c r="AJ2321" s="33"/>
      <c r="AK2321" s="34" t="str">
        <f aca="false">IF($B2321="","",COUNTIF($F2321:$AJ2321,"P"))</f>
        <v/>
      </c>
      <c r="AL2321" s="34" t="str">
        <f aca="false">IF($B2321="","",COUNTIF($F2321:$AJ2321,"A"))</f>
        <v/>
      </c>
      <c r="AM2321" s="34" t="str">
        <f aca="false">IF($B2321="","",COUNTIF($F2321:$AJ2321,"HA"))</f>
        <v/>
      </c>
      <c r="AN2321" s="34" t="str">
        <f aca="false">IF($B2321="","",COUNTIF($F2321:$AJ2321,"L"))</f>
        <v/>
      </c>
      <c r="AO2321" s="34" t="str">
        <f aca="false">IF($B2321="","",COUNTIF($F2321:$AJ2321,"PL"))</f>
        <v/>
      </c>
      <c r="AP2321" s="34" t="str">
        <f aca="false">IF($B2321="","",COUNTIF($F2321:$AJ2321,"CL"))</f>
        <v/>
      </c>
      <c r="AQ2321" s="34" t="str">
        <f aca="false">IF($B2321="","",COUNTIF($F2321:$AJ2321,"SL"))</f>
        <v/>
      </c>
      <c r="AR2321" s="34" t="str">
        <f aca="false">IF($B2321="","",COUNTIF($F2321:$AJ2321,"CO"))</f>
        <v/>
      </c>
      <c r="AS2321" s="34" t="str">
        <f aca="false">IF($B2321="","",COUNTIF($F2321:$AJ2321,"HPL"))</f>
        <v/>
      </c>
      <c r="AT2321" s="34" t="str">
        <f aca="false">IF($B2321="","",COUNTIF($F2321:$AJ2321,"HCL"))</f>
        <v/>
      </c>
      <c r="AU2321" s="34" t="str">
        <f aca="false">IF($B2321="","",COUNTIF($F2321:$AJ2321,"WO"))</f>
        <v/>
      </c>
      <c r="AV2321" s="34" t="str">
        <f aca="false">IF($B2321="","",COUNTIF($F2321:$AJ2321,"PH"))</f>
        <v/>
      </c>
      <c r="AW2321" s="34" t="str">
        <f aca="false">IF($B2321="","",COUNTIF($F2321:$AJ2321,"TR"))</f>
        <v/>
      </c>
      <c r="AX2321" s="35" t="str">
        <f aca="false">IF($B2321="","",AO2321+AS2321/2)</f>
        <v/>
      </c>
      <c r="AY2321" s="35" t="str">
        <f aca="false">IF($B2321="","",AQ2321)</f>
        <v/>
      </c>
      <c r="AZ2321" s="35" t="str">
        <f aca="false">IF($B2321="","",AP2321+AT2321/2)</f>
        <v/>
      </c>
      <c r="BA2321" s="35" t="str">
        <f aca="false">IF($B2321="","",AK2321+AN2321+AM2321/2+AO2321+AP2321+AQ2321+AR2321+AS2321+AT2321+AU2321+AV2321+AW2321)</f>
        <v/>
      </c>
      <c r="BB2321" s="35" t="str">
        <f aca="false">IF($B2321="","",MAX(0,AN2321-Settings!$C$16)*Settings!$C$17)</f>
        <v/>
      </c>
      <c r="BC2321" s="35" t="str">
        <f aca="false">IF($B2321="","",BA2321-BB2321)</f>
        <v/>
      </c>
      <c r="BD2321" s="35" t="str">
        <f aca="false">IF(OR($B2321="",$A2321=""),"",DAY(EOMONTH($A2321,0))-COUNTA($F2321:$AJ2321))</f>
        <v/>
      </c>
    </row>
    <row r="2322" customFormat="false" ht="15" hidden="false" customHeight="false" outlineLevel="0" collapsed="false">
      <c r="A2322" s="32"/>
      <c r="B2322" s="29"/>
      <c r="C2322" s="10" t="str">
        <f aca="false">IF($B2322="","",IFERROR(INDEX(M_name,MATCH($B2322,M_emp,0)),"Code not found"))</f>
        <v/>
      </c>
      <c r="D2322" s="10" t="str">
        <f aca="false">IF($B2322="","",IFERROR(INDEX(M_dept,MATCH($B2322,M_emp,0)),""))</f>
        <v/>
      </c>
      <c r="E2322" s="10" t="str">
        <f aca="false">IF($B2322="","",IFERROR(INDEX(M_loc,MATCH($B2322,M_emp,0)),""))</f>
        <v/>
      </c>
      <c r="F2322" s="33"/>
      <c r="G2322" s="33"/>
      <c r="H2322" s="33"/>
      <c r="I2322" s="33"/>
      <c r="J2322" s="33"/>
      <c r="K2322" s="33"/>
      <c r="L2322" s="33"/>
      <c r="M2322" s="33"/>
      <c r="N2322" s="33"/>
      <c r="O2322" s="33"/>
      <c r="P2322" s="33"/>
      <c r="Q2322" s="33"/>
      <c r="R2322" s="33"/>
      <c r="S2322" s="33"/>
      <c r="T2322" s="33"/>
      <c r="U2322" s="33"/>
      <c r="V2322" s="33"/>
      <c r="W2322" s="33"/>
      <c r="X2322" s="33"/>
      <c r="Y2322" s="33"/>
      <c r="Z2322" s="33"/>
      <c r="AA2322" s="33"/>
      <c r="AB2322" s="33"/>
      <c r="AC2322" s="33"/>
      <c r="AD2322" s="33"/>
      <c r="AE2322" s="33"/>
      <c r="AF2322" s="33"/>
      <c r="AG2322" s="33"/>
      <c r="AH2322" s="33"/>
      <c r="AI2322" s="33"/>
      <c r="AJ2322" s="33"/>
      <c r="AK2322" s="34" t="str">
        <f aca="false">IF($B2322="","",COUNTIF($F2322:$AJ2322,"P"))</f>
        <v/>
      </c>
      <c r="AL2322" s="34" t="str">
        <f aca="false">IF($B2322="","",COUNTIF($F2322:$AJ2322,"A"))</f>
        <v/>
      </c>
      <c r="AM2322" s="34" t="str">
        <f aca="false">IF($B2322="","",COUNTIF($F2322:$AJ2322,"HA"))</f>
        <v/>
      </c>
      <c r="AN2322" s="34" t="str">
        <f aca="false">IF($B2322="","",COUNTIF($F2322:$AJ2322,"L"))</f>
        <v/>
      </c>
      <c r="AO2322" s="34" t="str">
        <f aca="false">IF($B2322="","",COUNTIF($F2322:$AJ2322,"PL"))</f>
        <v/>
      </c>
      <c r="AP2322" s="34" t="str">
        <f aca="false">IF($B2322="","",COUNTIF($F2322:$AJ2322,"CL"))</f>
        <v/>
      </c>
      <c r="AQ2322" s="34" t="str">
        <f aca="false">IF($B2322="","",COUNTIF($F2322:$AJ2322,"SL"))</f>
        <v/>
      </c>
      <c r="AR2322" s="34" t="str">
        <f aca="false">IF($B2322="","",COUNTIF($F2322:$AJ2322,"CO"))</f>
        <v/>
      </c>
      <c r="AS2322" s="34" t="str">
        <f aca="false">IF($B2322="","",COUNTIF($F2322:$AJ2322,"HPL"))</f>
        <v/>
      </c>
      <c r="AT2322" s="34" t="str">
        <f aca="false">IF($B2322="","",COUNTIF($F2322:$AJ2322,"HCL"))</f>
        <v/>
      </c>
      <c r="AU2322" s="34" t="str">
        <f aca="false">IF($B2322="","",COUNTIF($F2322:$AJ2322,"WO"))</f>
        <v/>
      </c>
      <c r="AV2322" s="34" t="str">
        <f aca="false">IF($B2322="","",COUNTIF($F2322:$AJ2322,"PH"))</f>
        <v/>
      </c>
      <c r="AW2322" s="34" t="str">
        <f aca="false">IF($B2322="","",COUNTIF($F2322:$AJ2322,"TR"))</f>
        <v/>
      </c>
      <c r="AX2322" s="35" t="str">
        <f aca="false">IF($B2322="","",AO2322+AS2322/2)</f>
        <v/>
      </c>
      <c r="AY2322" s="35" t="str">
        <f aca="false">IF($B2322="","",AQ2322)</f>
        <v/>
      </c>
      <c r="AZ2322" s="35" t="str">
        <f aca="false">IF($B2322="","",AP2322+AT2322/2)</f>
        <v/>
      </c>
      <c r="BA2322" s="35" t="str">
        <f aca="false">IF($B2322="","",AK2322+AN2322+AM2322/2+AO2322+AP2322+AQ2322+AR2322+AS2322+AT2322+AU2322+AV2322+AW2322)</f>
        <v/>
      </c>
      <c r="BB2322" s="35" t="str">
        <f aca="false">IF($B2322="","",MAX(0,AN2322-Settings!$C$16)*Settings!$C$17)</f>
        <v/>
      </c>
      <c r="BC2322" s="35" t="str">
        <f aca="false">IF($B2322="","",BA2322-BB2322)</f>
        <v/>
      </c>
      <c r="BD2322" s="35" t="str">
        <f aca="false">IF(OR($B2322="",$A2322=""),"",DAY(EOMONTH($A2322,0))-COUNTA($F2322:$AJ2322))</f>
        <v/>
      </c>
    </row>
    <row r="2323" customFormat="false" ht="15" hidden="false" customHeight="false" outlineLevel="0" collapsed="false">
      <c r="A2323" s="32"/>
      <c r="B2323" s="29"/>
      <c r="C2323" s="10" t="str">
        <f aca="false">IF($B2323="","",IFERROR(INDEX(M_name,MATCH($B2323,M_emp,0)),"Code not found"))</f>
        <v/>
      </c>
      <c r="D2323" s="10" t="str">
        <f aca="false">IF($B2323="","",IFERROR(INDEX(M_dept,MATCH($B2323,M_emp,0)),""))</f>
        <v/>
      </c>
      <c r="E2323" s="10" t="str">
        <f aca="false">IF($B2323="","",IFERROR(INDEX(M_loc,MATCH($B2323,M_emp,0)),""))</f>
        <v/>
      </c>
      <c r="F2323" s="33"/>
      <c r="G2323" s="33"/>
      <c r="H2323" s="33"/>
      <c r="I2323" s="33"/>
      <c r="J2323" s="33"/>
      <c r="K2323" s="33"/>
      <c r="L2323" s="33"/>
      <c r="M2323" s="33"/>
      <c r="N2323" s="33"/>
      <c r="O2323" s="33"/>
      <c r="P2323" s="33"/>
      <c r="Q2323" s="33"/>
      <c r="R2323" s="33"/>
      <c r="S2323" s="33"/>
      <c r="T2323" s="33"/>
      <c r="U2323" s="33"/>
      <c r="V2323" s="33"/>
      <c r="W2323" s="33"/>
      <c r="X2323" s="33"/>
      <c r="Y2323" s="33"/>
      <c r="Z2323" s="33"/>
      <c r="AA2323" s="33"/>
      <c r="AB2323" s="33"/>
      <c r="AC2323" s="33"/>
      <c r="AD2323" s="33"/>
      <c r="AE2323" s="33"/>
      <c r="AF2323" s="33"/>
      <c r="AG2323" s="33"/>
      <c r="AH2323" s="33"/>
      <c r="AI2323" s="33"/>
      <c r="AJ2323" s="33"/>
      <c r="AK2323" s="34" t="str">
        <f aca="false">IF($B2323="","",COUNTIF($F2323:$AJ2323,"P"))</f>
        <v/>
      </c>
      <c r="AL2323" s="34" t="str">
        <f aca="false">IF($B2323="","",COUNTIF($F2323:$AJ2323,"A"))</f>
        <v/>
      </c>
      <c r="AM2323" s="34" t="str">
        <f aca="false">IF($B2323="","",COUNTIF($F2323:$AJ2323,"HA"))</f>
        <v/>
      </c>
      <c r="AN2323" s="34" t="str">
        <f aca="false">IF($B2323="","",COUNTIF($F2323:$AJ2323,"L"))</f>
        <v/>
      </c>
      <c r="AO2323" s="34" t="str">
        <f aca="false">IF($B2323="","",COUNTIF($F2323:$AJ2323,"PL"))</f>
        <v/>
      </c>
      <c r="AP2323" s="34" t="str">
        <f aca="false">IF($B2323="","",COUNTIF($F2323:$AJ2323,"CL"))</f>
        <v/>
      </c>
      <c r="AQ2323" s="34" t="str">
        <f aca="false">IF($B2323="","",COUNTIF($F2323:$AJ2323,"SL"))</f>
        <v/>
      </c>
      <c r="AR2323" s="34" t="str">
        <f aca="false">IF($B2323="","",COUNTIF($F2323:$AJ2323,"CO"))</f>
        <v/>
      </c>
      <c r="AS2323" s="34" t="str">
        <f aca="false">IF($B2323="","",COUNTIF($F2323:$AJ2323,"HPL"))</f>
        <v/>
      </c>
      <c r="AT2323" s="34" t="str">
        <f aca="false">IF($B2323="","",COUNTIF($F2323:$AJ2323,"HCL"))</f>
        <v/>
      </c>
      <c r="AU2323" s="34" t="str">
        <f aca="false">IF($B2323="","",COUNTIF($F2323:$AJ2323,"WO"))</f>
        <v/>
      </c>
      <c r="AV2323" s="34" t="str">
        <f aca="false">IF($B2323="","",COUNTIF($F2323:$AJ2323,"PH"))</f>
        <v/>
      </c>
      <c r="AW2323" s="34" t="str">
        <f aca="false">IF($B2323="","",COUNTIF($F2323:$AJ2323,"TR"))</f>
        <v/>
      </c>
      <c r="AX2323" s="35" t="str">
        <f aca="false">IF($B2323="","",AO2323+AS2323/2)</f>
        <v/>
      </c>
      <c r="AY2323" s="35" t="str">
        <f aca="false">IF($B2323="","",AQ2323)</f>
        <v/>
      </c>
      <c r="AZ2323" s="35" t="str">
        <f aca="false">IF($B2323="","",AP2323+AT2323/2)</f>
        <v/>
      </c>
      <c r="BA2323" s="35" t="str">
        <f aca="false">IF($B2323="","",AK2323+AN2323+AM2323/2+AO2323+AP2323+AQ2323+AR2323+AS2323+AT2323+AU2323+AV2323+AW2323)</f>
        <v/>
      </c>
      <c r="BB2323" s="35" t="str">
        <f aca="false">IF($B2323="","",MAX(0,AN2323-Settings!$C$16)*Settings!$C$17)</f>
        <v/>
      </c>
      <c r="BC2323" s="35" t="str">
        <f aca="false">IF($B2323="","",BA2323-BB2323)</f>
        <v/>
      </c>
      <c r="BD2323" s="35" t="str">
        <f aca="false">IF(OR($B2323="",$A2323=""),"",DAY(EOMONTH($A2323,0))-COUNTA($F2323:$AJ2323))</f>
        <v/>
      </c>
    </row>
    <row r="2324" customFormat="false" ht="15" hidden="false" customHeight="false" outlineLevel="0" collapsed="false">
      <c r="A2324" s="32"/>
      <c r="B2324" s="29"/>
      <c r="C2324" s="10" t="str">
        <f aca="false">IF($B2324="","",IFERROR(INDEX(M_name,MATCH($B2324,M_emp,0)),"Code not found"))</f>
        <v/>
      </c>
      <c r="D2324" s="10" t="str">
        <f aca="false">IF($B2324="","",IFERROR(INDEX(M_dept,MATCH($B2324,M_emp,0)),""))</f>
        <v/>
      </c>
      <c r="E2324" s="10" t="str">
        <f aca="false">IF($B2324="","",IFERROR(INDEX(M_loc,MATCH($B2324,M_emp,0)),""))</f>
        <v/>
      </c>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c r="AB2324" s="33"/>
      <c r="AC2324" s="33"/>
      <c r="AD2324" s="33"/>
      <c r="AE2324" s="33"/>
      <c r="AF2324" s="33"/>
      <c r="AG2324" s="33"/>
      <c r="AH2324" s="33"/>
      <c r="AI2324" s="33"/>
      <c r="AJ2324" s="33"/>
      <c r="AK2324" s="34" t="str">
        <f aca="false">IF($B2324="","",COUNTIF($F2324:$AJ2324,"P"))</f>
        <v/>
      </c>
      <c r="AL2324" s="34" t="str">
        <f aca="false">IF($B2324="","",COUNTIF($F2324:$AJ2324,"A"))</f>
        <v/>
      </c>
      <c r="AM2324" s="34" t="str">
        <f aca="false">IF($B2324="","",COUNTIF($F2324:$AJ2324,"HA"))</f>
        <v/>
      </c>
      <c r="AN2324" s="34" t="str">
        <f aca="false">IF($B2324="","",COUNTIF($F2324:$AJ2324,"L"))</f>
        <v/>
      </c>
      <c r="AO2324" s="34" t="str">
        <f aca="false">IF($B2324="","",COUNTIF($F2324:$AJ2324,"PL"))</f>
        <v/>
      </c>
      <c r="AP2324" s="34" t="str">
        <f aca="false">IF($B2324="","",COUNTIF($F2324:$AJ2324,"CL"))</f>
        <v/>
      </c>
      <c r="AQ2324" s="34" t="str">
        <f aca="false">IF($B2324="","",COUNTIF($F2324:$AJ2324,"SL"))</f>
        <v/>
      </c>
      <c r="AR2324" s="34" t="str">
        <f aca="false">IF($B2324="","",COUNTIF($F2324:$AJ2324,"CO"))</f>
        <v/>
      </c>
      <c r="AS2324" s="34" t="str">
        <f aca="false">IF($B2324="","",COUNTIF($F2324:$AJ2324,"HPL"))</f>
        <v/>
      </c>
      <c r="AT2324" s="34" t="str">
        <f aca="false">IF($B2324="","",COUNTIF($F2324:$AJ2324,"HCL"))</f>
        <v/>
      </c>
      <c r="AU2324" s="34" t="str">
        <f aca="false">IF($B2324="","",COUNTIF($F2324:$AJ2324,"WO"))</f>
        <v/>
      </c>
      <c r="AV2324" s="34" t="str">
        <f aca="false">IF($B2324="","",COUNTIF($F2324:$AJ2324,"PH"))</f>
        <v/>
      </c>
      <c r="AW2324" s="34" t="str">
        <f aca="false">IF($B2324="","",COUNTIF($F2324:$AJ2324,"TR"))</f>
        <v/>
      </c>
      <c r="AX2324" s="35" t="str">
        <f aca="false">IF($B2324="","",AO2324+AS2324/2)</f>
        <v/>
      </c>
      <c r="AY2324" s="35" t="str">
        <f aca="false">IF($B2324="","",AQ2324)</f>
        <v/>
      </c>
      <c r="AZ2324" s="35" t="str">
        <f aca="false">IF($B2324="","",AP2324+AT2324/2)</f>
        <v/>
      </c>
      <c r="BA2324" s="35" t="str">
        <f aca="false">IF($B2324="","",AK2324+AN2324+AM2324/2+AO2324+AP2324+AQ2324+AR2324+AS2324+AT2324+AU2324+AV2324+AW2324)</f>
        <v/>
      </c>
      <c r="BB2324" s="35" t="str">
        <f aca="false">IF($B2324="","",MAX(0,AN2324-Settings!$C$16)*Settings!$C$17)</f>
        <v/>
      </c>
      <c r="BC2324" s="35" t="str">
        <f aca="false">IF($B2324="","",BA2324-BB2324)</f>
        <v/>
      </c>
      <c r="BD2324" s="35" t="str">
        <f aca="false">IF(OR($B2324="",$A2324=""),"",DAY(EOMONTH($A2324,0))-COUNTA($F2324:$AJ2324))</f>
        <v/>
      </c>
    </row>
    <row r="2325" customFormat="false" ht="15" hidden="false" customHeight="false" outlineLevel="0" collapsed="false">
      <c r="A2325" s="32"/>
      <c r="B2325" s="29"/>
      <c r="C2325" s="10" t="str">
        <f aca="false">IF($B2325="","",IFERROR(INDEX(M_name,MATCH($B2325,M_emp,0)),"Code not found"))</f>
        <v/>
      </c>
      <c r="D2325" s="10" t="str">
        <f aca="false">IF($B2325="","",IFERROR(INDEX(M_dept,MATCH($B2325,M_emp,0)),""))</f>
        <v/>
      </c>
      <c r="E2325" s="10" t="str">
        <f aca="false">IF($B2325="","",IFERROR(INDEX(M_loc,MATCH($B2325,M_emp,0)),""))</f>
        <v/>
      </c>
      <c r="F2325" s="33"/>
      <c r="G2325" s="33"/>
      <c r="H2325" s="33"/>
      <c r="I2325" s="33"/>
      <c r="J2325" s="33"/>
      <c r="K2325" s="33"/>
      <c r="L2325" s="33"/>
      <c r="M2325" s="33"/>
      <c r="N2325" s="33"/>
      <c r="O2325" s="33"/>
      <c r="P2325" s="33"/>
      <c r="Q2325" s="33"/>
      <c r="R2325" s="33"/>
      <c r="S2325" s="33"/>
      <c r="T2325" s="33"/>
      <c r="U2325" s="33"/>
      <c r="V2325" s="33"/>
      <c r="W2325" s="33"/>
      <c r="X2325" s="33"/>
      <c r="Y2325" s="33"/>
      <c r="Z2325" s="33"/>
      <c r="AA2325" s="33"/>
      <c r="AB2325" s="33"/>
      <c r="AC2325" s="33"/>
      <c r="AD2325" s="33"/>
      <c r="AE2325" s="33"/>
      <c r="AF2325" s="33"/>
      <c r="AG2325" s="33"/>
      <c r="AH2325" s="33"/>
      <c r="AI2325" s="33"/>
      <c r="AJ2325" s="33"/>
      <c r="AK2325" s="34" t="str">
        <f aca="false">IF($B2325="","",COUNTIF($F2325:$AJ2325,"P"))</f>
        <v/>
      </c>
      <c r="AL2325" s="34" t="str">
        <f aca="false">IF($B2325="","",COUNTIF($F2325:$AJ2325,"A"))</f>
        <v/>
      </c>
      <c r="AM2325" s="34" t="str">
        <f aca="false">IF($B2325="","",COUNTIF($F2325:$AJ2325,"HA"))</f>
        <v/>
      </c>
      <c r="AN2325" s="34" t="str">
        <f aca="false">IF($B2325="","",COUNTIF($F2325:$AJ2325,"L"))</f>
        <v/>
      </c>
      <c r="AO2325" s="34" t="str">
        <f aca="false">IF($B2325="","",COUNTIF($F2325:$AJ2325,"PL"))</f>
        <v/>
      </c>
      <c r="AP2325" s="34" t="str">
        <f aca="false">IF($B2325="","",COUNTIF($F2325:$AJ2325,"CL"))</f>
        <v/>
      </c>
      <c r="AQ2325" s="34" t="str">
        <f aca="false">IF($B2325="","",COUNTIF($F2325:$AJ2325,"SL"))</f>
        <v/>
      </c>
      <c r="AR2325" s="34" t="str">
        <f aca="false">IF($B2325="","",COUNTIF($F2325:$AJ2325,"CO"))</f>
        <v/>
      </c>
      <c r="AS2325" s="34" t="str">
        <f aca="false">IF($B2325="","",COUNTIF($F2325:$AJ2325,"HPL"))</f>
        <v/>
      </c>
      <c r="AT2325" s="34" t="str">
        <f aca="false">IF($B2325="","",COUNTIF($F2325:$AJ2325,"HCL"))</f>
        <v/>
      </c>
      <c r="AU2325" s="34" t="str">
        <f aca="false">IF($B2325="","",COUNTIF($F2325:$AJ2325,"WO"))</f>
        <v/>
      </c>
      <c r="AV2325" s="34" t="str">
        <f aca="false">IF($B2325="","",COUNTIF($F2325:$AJ2325,"PH"))</f>
        <v/>
      </c>
      <c r="AW2325" s="34" t="str">
        <f aca="false">IF($B2325="","",COUNTIF($F2325:$AJ2325,"TR"))</f>
        <v/>
      </c>
      <c r="AX2325" s="35" t="str">
        <f aca="false">IF($B2325="","",AO2325+AS2325/2)</f>
        <v/>
      </c>
      <c r="AY2325" s="35" t="str">
        <f aca="false">IF($B2325="","",AQ2325)</f>
        <v/>
      </c>
      <c r="AZ2325" s="35" t="str">
        <f aca="false">IF($B2325="","",AP2325+AT2325/2)</f>
        <v/>
      </c>
      <c r="BA2325" s="35" t="str">
        <f aca="false">IF($B2325="","",AK2325+AN2325+AM2325/2+AO2325+AP2325+AQ2325+AR2325+AS2325+AT2325+AU2325+AV2325+AW2325)</f>
        <v/>
      </c>
      <c r="BB2325" s="35" t="str">
        <f aca="false">IF($B2325="","",MAX(0,AN2325-Settings!$C$16)*Settings!$C$17)</f>
        <v/>
      </c>
      <c r="BC2325" s="35" t="str">
        <f aca="false">IF($B2325="","",BA2325-BB2325)</f>
        <v/>
      </c>
      <c r="BD2325" s="35" t="str">
        <f aca="false">IF(OR($B2325="",$A2325=""),"",DAY(EOMONTH($A2325,0))-COUNTA($F2325:$AJ2325))</f>
        <v/>
      </c>
    </row>
    <row r="2326" customFormat="false" ht="15" hidden="false" customHeight="false" outlineLevel="0" collapsed="false">
      <c r="A2326" s="32"/>
      <c r="B2326" s="29"/>
      <c r="C2326" s="10" t="str">
        <f aca="false">IF($B2326="","",IFERROR(INDEX(M_name,MATCH($B2326,M_emp,0)),"Code not found"))</f>
        <v/>
      </c>
      <c r="D2326" s="10" t="str">
        <f aca="false">IF($B2326="","",IFERROR(INDEX(M_dept,MATCH($B2326,M_emp,0)),""))</f>
        <v/>
      </c>
      <c r="E2326" s="10" t="str">
        <f aca="false">IF($B2326="","",IFERROR(INDEX(M_loc,MATCH($B2326,M_emp,0)),""))</f>
        <v/>
      </c>
      <c r="F2326" s="33"/>
      <c r="G2326" s="33"/>
      <c r="H2326" s="33"/>
      <c r="I2326" s="33"/>
      <c r="J2326" s="33"/>
      <c r="K2326" s="33"/>
      <c r="L2326" s="33"/>
      <c r="M2326" s="33"/>
      <c r="N2326" s="33"/>
      <c r="O2326" s="33"/>
      <c r="P2326" s="33"/>
      <c r="Q2326" s="33"/>
      <c r="R2326" s="33"/>
      <c r="S2326" s="33"/>
      <c r="T2326" s="33"/>
      <c r="U2326" s="33"/>
      <c r="V2326" s="33"/>
      <c r="W2326" s="33"/>
      <c r="X2326" s="33"/>
      <c r="Y2326" s="33"/>
      <c r="Z2326" s="33"/>
      <c r="AA2326" s="33"/>
      <c r="AB2326" s="33"/>
      <c r="AC2326" s="33"/>
      <c r="AD2326" s="33"/>
      <c r="AE2326" s="33"/>
      <c r="AF2326" s="33"/>
      <c r="AG2326" s="33"/>
      <c r="AH2326" s="33"/>
      <c r="AI2326" s="33"/>
      <c r="AJ2326" s="33"/>
      <c r="AK2326" s="34" t="str">
        <f aca="false">IF($B2326="","",COUNTIF($F2326:$AJ2326,"P"))</f>
        <v/>
      </c>
      <c r="AL2326" s="34" t="str">
        <f aca="false">IF($B2326="","",COUNTIF($F2326:$AJ2326,"A"))</f>
        <v/>
      </c>
      <c r="AM2326" s="34" t="str">
        <f aca="false">IF($B2326="","",COUNTIF($F2326:$AJ2326,"HA"))</f>
        <v/>
      </c>
      <c r="AN2326" s="34" t="str">
        <f aca="false">IF($B2326="","",COUNTIF($F2326:$AJ2326,"L"))</f>
        <v/>
      </c>
      <c r="AO2326" s="34" t="str">
        <f aca="false">IF($B2326="","",COUNTIF($F2326:$AJ2326,"PL"))</f>
        <v/>
      </c>
      <c r="AP2326" s="34" t="str">
        <f aca="false">IF($B2326="","",COUNTIF($F2326:$AJ2326,"CL"))</f>
        <v/>
      </c>
      <c r="AQ2326" s="34" t="str">
        <f aca="false">IF($B2326="","",COUNTIF($F2326:$AJ2326,"SL"))</f>
        <v/>
      </c>
      <c r="AR2326" s="34" t="str">
        <f aca="false">IF($B2326="","",COUNTIF($F2326:$AJ2326,"CO"))</f>
        <v/>
      </c>
      <c r="AS2326" s="34" t="str">
        <f aca="false">IF($B2326="","",COUNTIF($F2326:$AJ2326,"HPL"))</f>
        <v/>
      </c>
      <c r="AT2326" s="34" t="str">
        <f aca="false">IF($B2326="","",COUNTIF($F2326:$AJ2326,"HCL"))</f>
        <v/>
      </c>
      <c r="AU2326" s="34" t="str">
        <f aca="false">IF($B2326="","",COUNTIF($F2326:$AJ2326,"WO"))</f>
        <v/>
      </c>
      <c r="AV2326" s="34" t="str">
        <f aca="false">IF($B2326="","",COUNTIF($F2326:$AJ2326,"PH"))</f>
        <v/>
      </c>
      <c r="AW2326" s="34" t="str">
        <f aca="false">IF($B2326="","",COUNTIF($F2326:$AJ2326,"TR"))</f>
        <v/>
      </c>
      <c r="AX2326" s="35" t="str">
        <f aca="false">IF($B2326="","",AO2326+AS2326/2)</f>
        <v/>
      </c>
      <c r="AY2326" s="35" t="str">
        <f aca="false">IF($B2326="","",AQ2326)</f>
        <v/>
      </c>
      <c r="AZ2326" s="35" t="str">
        <f aca="false">IF($B2326="","",AP2326+AT2326/2)</f>
        <v/>
      </c>
      <c r="BA2326" s="35" t="str">
        <f aca="false">IF($B2326="","",AK2326+AN2326+AM2326/2+AO2326+AP2326+AQ2326+AR2326+AS2326+AT2326+AU2326+AV2326+AW2326)</f>
        <v/>
      </c>
      <c r="BB2326" s="35" t="str">
        <f aca="false">IF($B2326="","",MAX(0,AN2326-Settings!$C$16)*Settings!$C$17)</f>
        <v/>
      </c>
      <c r="BC2326" s="35" t="str">
        <f aca="false">IF($B2326="","",BA2326-BB2326)</f>
        <v/>
      </c>
      <c r="BD2326" s="35" t="str">
        <f aca="false">IF(OR($B2326="",$A2326=""),"",DAY(EOMONTH($A2326,0))-COUNTA($F2326:$AJ2326))</f>
        <v/>
      </c>
    </row>
    <row r="2327" customFormat="false" ht="15" hidden="false" customHeight="false" outlineLevel="0" collapsed="false">
      <c r="A2327" s="32"/>
      <c r="B2327" s="29"/>
      <c r="C2327" s="10" t="str">
        <f aca="false">IF($B2327="","",IFERROR(INDEX(M_name,MATCH($B2327,M_emp,0)),"Code not found"))</f>
        <v/>
      </c>
      <c r="D2327" s="10" t="str">
        <f aca="false">IF($B2327="","",IFERROR(INDEX(M_dept,MATCH($B2327,M_emp,0)),""))</f>
        <v/>
      </c>
      <c r="E2327" s="10" t="str">
        <f aca="false">IF($B2327="","",IFERROR(INDEX(M_loc,MATCH($B2327,M_emp,0)),""))</f>
        <v/>
      </c>
      <c r="F2327" s="33"/>
      <c r="G2327" s="33"/>
      <c r="H2327" s="33"/>
      <c r="I2327" s="33"/>
      <c r="J2327" s="33"/>
      <c r="K2327" s="33"/>
      <c r="L2327" s="33"/>
      <c r="M2327" s="33"/>
      <c r="N2327" s="33"/>
      <c r="O2327" s="33"/>
      <c r="P2327" s="33"/>
      <c r="Q2327" s="33"/>
      <c r="R2327" s="33"/>
      <c r="S2327" s="33"/>
      <c r="T2327" s="33"/>
      <c r="U2327" s="33"/>
      <c r="V2327" s="33"/>
      <c r="W2327" s="33"/>
      <c r="X2327" s="33"/>
      <c r="Y2327" s="33"/>
      <c r="Z2327" s="33"/>
      <c r="AA2327" s="33"/>
      <c r="AB2327" s="33"/>
      <c r="AC2327" s="33"/>
      <c r="AD2327" s="33"/>
      <c r="AE2327" s="33"/>
      <c r="AF2327" s="33"/>
      <c r="AG2327" s="33"/>
      <c r="AH2327" s="33"/>
      <c r="AI2327" s="33"/>
      <c r="AJ2327" s="33"/>
      <c r="AK2327" s="34" t="str">
        <f aca="false">IF($B2327="","",COUNTIF($F2327:$AJ2327,"P"))</f>
        <v/>
      </c>
      <c r="AL2327" s="34" t="str">
        <f aca="false">IF($B2327="","",COUNTIF($F2327:$AJ2327,"A"))</f>
        <v/>
      </c>
      <c r="AM2327" s="34" t="str">
        <f aca="false">IF($B2327="","",COUNTIF($F2327:$AJ2327,"HA"))</f>
        <v/>
      </c>
      <c r="AN2327" s="34" t="str">
        <f aca="false">IF($B2327="","",COUNTIF($F2327:$AJ2327,"L"))</f>
        <v/>
      </c>
      <c r="AO2327" s="34" t="str">
        <f aca="false">IF($B2327="","",COUNTIF($F2327:$AJ2327,"PL"))</f>
        <v/>
      </c>
      <c r="AP2327" s="34" t="str">
        <f aca="false">IF($B2327="","",COUNTIF($F2327:$AJ2327,"CL"))</f>
        <v/>
      </c>
      <c r="AQ2327" s="34" t="str">
        <f aca="false">IF($B2327="","",COUNTIF($F2327:$AJ2327,"SL"))</f>
        <v/>
      </c>
      <c r="AR2327" s="34" t="str">
        <f aca="false">IF($B2327="","",COUNTIF($F2327:$AJ2327,"CO"))</f>
        <v/>
      </c>
      <c r="AS2327" s="34" t="str">
        <f aca="false">IF($B2327="","",COUNTIF($F2327:$AJ2327,"HPL"))</f>
        <v/>
      </c>
      <c r="AT2327" s="34" t="str">
        <f aca="false">IF($B2327="","",COUNTIF($F2327:$AJ2327,"HCL"))</f>
        <v/>
      </c>
      <c r="AU2327" s="34" t="str">
        <f aca="false">IF($B2327="","",COUNTIF($F2327:$AJ2327,"WO"))</f>
        <v/>
      </c>
      <c r="AV2327" s="34" t="str">
        <f aca="false">IF($B2327="","",COUNTIF($F2327:$AJ2327,"PH"))</f>
        <v/>
      </c>
      <c r="AW2327" s="34" t="str">
        <f aca="false">IF($B2327="","",COUNTIF($F2327:$AJ2327,"TR"))</f>
        <v/>
      </c>
      <c r="AX2327" s="35" t="str">
        <f aca="false">IF($B2327="","",AO2327+AS2327/2)</f>
        <v/>
      </c>
      <c r="AY2327" s="35" t="str">
        <f aca="false">IF($B2327="","",AQ2327)</f>
        <v/>
      </c>
      <c r="AZ2327" s="35" t="str">
        <f aca="false">IF($B2327="","",AP2327+AT2327/2)</f>
        <v/>
      </c>
      <c r="BA2327" s="35" t="str">
        <f aca="false">IF($B2327="","",AK2327+AN2327+AM2327/2+AO2327+AP2327+AQ2327+AR2327+AS2327+AT2327+AU2327+AV2327+AW2327)</f>
        <v/>
      </c>
      <c r="BB2327" s="35" t="str">
        <f aca="false">IF($B2327="","",MAX(0,AN2327-Settings!$C$16)*Settings!$C$17)</f>
        <v/>
      </c>
      <c r="BC2327" s="35" t="str">
        <f aca="false">IF($B2327="","",BA2327-BB2327)</f>
        <v/>
      </c>
      <c r="BD2327" s="35" t="str">
        <f aca="false">IF(OR($B2327="",$A2327=""),"",DAY(EOMONTH($A2327,0))-COUNTA($F2327:$AJ2327))</f>
        <v/>
      </c>
    </row>
    <row r="2328" customFormat="false" ht="15" hidden="false" customHeight="false" outlineLevel="0" collapsed="false">
      <c r="A2328" s="32"/>
      <c r="B2328" s="29"/>
      <c r="C2328" s="10" t="str">
        <f aca="false">IF($B2328="","",IFERROR(INDEX(M_name,MATCH($B2328,M_emp,0)),"Code not found"))</f>
        <v/>
      </c>
      <c r="D2328" s="10" t="str">
        <f aca="false">IF($B2328="","",IFERROR(INDEX(M_dept,MATCH($B2328,M_emp,0)),""))</f>
        <v/>
      </c>
      <c r="E2328" s="10" t="str">
        <f aca="false">IF($B2328="","",IFERROR(INDEX(M_loc,MATCH($B2328,M_emp,0)),""))</f>
        <v/>
      </c>
      <c r="F2328" s="33"/>
      <c r="G2328" s="33"/>
      <c r="H2328" s="33"/>
      <c r="I2328" s="33"/>
      <c r="J2328" s="33"/>
      <c r="K2328" s="33"/>
      <c r="L2328" s="33"/>
      <c r="M2328" s="33"/>
      <c r="N2328" s="33"/>
      <c r="O2328" s="33"/>
      <c r="P2328" s="33"/>
      <c r="Q2328" s="33"/>
      <c r="R2328" s="33"/>
      <c r="S2328" s="33"/>
      <c r="T2328" s="33"/>
      <c r="U2328" s="33"/>
      <c r="V2328" s="33"/>
      <c r="W2328" s="33"/>
      <c r="X2328" s="33"/>
      <c r="Y2328" s="33"/>
      <c r="Z2328" s="33"/>
      <c r="AA2328" s="33"/>
      <c r="AB2328" s="33"/>
      <c r="AC2328" s="33"/>
      <c r="AD2328" s="33"/>
      <c r="AE2328" s="33"/>
      <c r="AF2328" s="33"/>
      <c r="AG2328" s="33"/>
      <c r="AH2328" s="33"/>
      <c r="AI2328" s="33"/>
      <c r="AJ2328" s="33"/>
      <c r="AK2328" s="34" t="str">
        <f aca="false">IF($B2328="","",COUNTIF($F2328:$AJ2328,"P"))</f>
        <v/>
      </c>
      <c r="AL2328" s="34" t="str">
        <f aca="false">IF($B2328="","",COUNTIF($F2328:$AJ2328,"A"))</f>
        <v/>
      </c>
      <c r="AM2328" s="34" t="str">
        <f aca="false">IF($B2328="","",COUNTIF($F2328:$AJ2328,"HA"))</f>
        <v/>
      </c>
      <c r="AN2328" s="34" t="str">
        <f aca="false">IF($B2328="","",COUNTIF($F2328:$AJ2328,"L"))</f>
        <v/>
      </c>
      <c r="AO2328" s="34" t="str">
        <f aca="false">IF($B2328="","",COUNTIF($F2328:$AJ2328,"PL"))</f>
        <v/>
      </c>
      <c r="AP2328" s="34" t="str">
        <f aca="false">IF($B2328="","",COUNTIF($F2328:$AJ2328,"CL"))</f>
        <v/>
      </c>
      <c r="AQ2328" s="34" t="str">
        <f aca="false">IF($B2328="","",COUNTIF($F2328:$AJ2328,"SL"))</f>
        <v/>
      </c>
      <c r="AR2328" s="34" t="str">
        <f aca="false">IF($B2328="","",COUNTIF($F2328:$AJ2328,"CO"))</f>
        <v/>
      </c>
      <c r="AS2328" s="34" t="str">
        <f aca="false">IF($B2328="","",COUNTIF($F2328:$AJ2328,"HPL"))</f>
        <v/>
      </c>
      <c r="AT2328" s="34" t="str">
        <f aca="false">IF($B2328="","",COUNTIF($F2328:$AJ2328,"HCL"))</f>
        <v/>
      </c>
      <c r="AU2328" s="34" t="str">
        <f aca="false">IF($B2328="","",COUNTIF($F2328:$AJ2328,"WO"))</f>
        <v/>
      </c>
      <c r="AV2328" s="34" t="str">
        <f aca="false">IF($B2328="","",COUNTIF($F2328:$AJ2328,"PH"))</f>
        <v/>
      </c>
      <c r="AW2328" s="34" t="str">
        <f aca="false">IF($B2328="","",COUNTIF($F2328:$AJ2328,"TR"))</f>
        <v/>
      </c>
      <c r="AX2328" s="35" t="str">
        <f aca="false">IF($B2328="","",AO2328+AS2328/2)</f>
        <v/>
      </c>
      <c r="AY2328" s="35" t="str">
        <f aca="false">IF($B2328="","",AQ2328)</f>
        <v/>
      </c>
      <c r="AZ2328" s="35" t="str">
        <f aca="false">IF($B2328="","",AP2328+AT2328/2)</f>
        <v/>
      </c>
      <c r="BA2328" s="35" t="str">
        <f aca="false">IF($B2328="","",AK2328+AN2328+AM2328/2+AO2328+AP2328+AQ2328+AR2328+AS2328+AT2328+AU2328+AV2328+AW2328)</f>
        <v/>
      </c>
      <c r="BB2328" s="35" t="str">
        <f aca="false">IF($B2328="","",MAX(0,AN2328-Settings!$C$16)*Settings!$C$17)</f>
        <v/>
      </c>
      <c r="BC2328" s="35" t="str">
        <f aca="false">IF($B2328="","",BA2328-BB2328)</f>
        <v/>
      </c>
      <c r="BD2328" s="35" t="str">
        <f aca="false">IF(OR($B2328="",$A2328=""),"",DAY(EOMONTH($A2328,0))-COUNTA($F2328:$AJ2328))</f>
        <v/>
      </c>
    </row>
    <row r="2329" customFormat="false" ht="15" hidden="false" customHeight="false" outlineLevel="0" collapsed="false">
      <c r="A2329" s="32"/>
      <c r="B2329" s="29"/>
      <c r="C2329" s="10" t="str">
        <f aca="false">IF($B2329="","",IFERROR(INDEX(M_name,MATCH($B2329,M_emp,0)),"Code not found"))</f>
        <v/>
      </c>
      <c r="D2329" s="10" t="str">
        <f aca="false">IF($B2329="","",IFERROR(INDEX(M_dept,MATCH($B2329,M_emp,0)),""))</f>
        <v/>
      </c>
      <c r="E2329" s="10" t="str">
        <f aca="false">IF($B2329="","",IFERROR(INDEX(M_loc,MATCH($B2329,M_emp,0)),""))</f>
        <v/>
      </c>
      <c r="F2329" s="33"/>
      <c r="G2329" s="33"/>
      <c r="H2329" s="33"/>
      <c r="I2329" s="33"/>
      <c r="J2329" s="33"/>
      <c r="K2329" s="33"/>
      <c r="L2329" s="33"/>
      <c r="M2329" s="33"/>
      <c r="N2329" s="33"/>
      <c r="O2329" s="33"/>
      <c r="P2329" s="33"/>
      <c r="Q2329" s="33"/>
      <c r="R2329" s="33"/>
      <c r="S2329" s="33"/>
      <c r="T2329" s="33"/>
      <c r="U2329" s="33"/>
      <c r="V2329" s="33"/>
      <c r="W2329" s="33"/>
      <c r="X2329" s="33"/>
      <c r="Y2329" s="33"/>
      <c r="Z2329" s="33"/>
      <c r="AA2329" s="33"/>
      <c r="AB2329" s="33"/>
      <c r="AC2329" s="33"/>
      <c r="AD2329" s="33"/>
      <c r="AE2329" s="33"/>
      <c r="AF2329" s="33"/>
      <c r="AG2329" s="33"/>
      <c r="AH2329" s="33"/>
      <c r="AI2329" s="33"/>
      <c r="AJ2329" s="33"/>
      <c r="AK2329" s="34" t="str">
        <f aca="false">IF($B2329="","",COUNTIF($F2329:$AJ2329,"P"))</f>
        <v/>
      </c>
      <c r="AL2329" s="34" t="str">
        <f aca="false">IF($B2329="","",COUNTIF($F2329:$AJ2329,"A"))</f>
        <v/>
      </c>
      <c r="AM2329" s="34" t="str">
        <f aca="false">IF($B2329="","",COUNTIF($F2329:$AJ2329,"HA"))</f>
        <v/>
      </c>
      <c r="AN2329" s="34" t="str">
        <f aca="false">IF($B2329="","",COUNTIF($F2329:$AJ2329,"L"))</f>
        <v/>
      </c>
      <c r="AO2329" s="34" t="str">
        <f aca="false">IF($B2329="","",COUNTIF($F2329:$AJ2329,"PL"))</f>
        <v/>
      </c>
      <c r="AP2329" s="34" t="str">
        <f aca="false">IF($B2329="","",COUNTIF($F2329:$AJ2329,"CL"))</f>
        <v/>
      </c>
      <c r="AQ2329" s="34" t="str">
        <f aca="false">IF($B2329="","",COUNTIF($F2329:$AJ2329,"SL"))</f>
        <v/>
      </c>
      <c r="AR2329" s="34" t="str">
        <f aca="false">IF($B2329="","",COUNTIF($F2329:$AJ2329,"CO"))</f>
        <v/>
      </c>
      <c r="AS2329" s="34" t="str">
        <f aca="false">IF($B2329="","",COUNTIF($F2329:$AJ2329,"HPL"))</f>
        <v/>
      </c>
      <c r="AT2329" s="34" t="str">
        <f aca="false">IF($B2329="","",COUNTIF($F2329:$AJ2329,"HCL"))</f>
        <v/>
      </c>
      <c r="AU2329" s="34" t="str">
        <f aca="false">IF($B2329="","",COUNTIF($F2329:$AJ2329,"WO"))</f>
        <v/>
      </c>
      <c r="AV2329" s="34" t="str">
        <f aca="false">IF($B2329="","",COUNTIF($F2329:$AJ2329,"PH"))</f>
        <v/>
      </c>
      <c r="AW2329" s="34" t="str">
        <f aca="false">IF($B2329="","",COUNTIF($F2329:$AJ2329,"TR"))</f>
        <v/>
      </c>
      <c r="AX2329" s="35" t="str">
        <f aca="false">IF($B2329="","",AO2329+AS2329/2)</f>
        <v/>
      </c>
      <c r="AY2329" s="35" t="str">
        <f aca="false">IF($B2329="","",AQ2329)</f>
        <v/>
      </c>
      <c r="AZ2329" s="35" t="str">
        <f aca="false">IF($B2329="","",AP2329+AT2329/2)</f>
        <v/>
      </c>
      <c r="BA2329" s="35" t="str">
        <f aca="false">IF($B2329="","",AK2329+AN2329+AM2329/2+AO2329+AP2329+AQ2329+AR2329+AS2329+AT2329+AU2329+AV2329+AW2329)</f>
        <v/>
      </c>
      <c r="BB2329" s="35" t="str">
        <f aca="false">IF($B2329="","",MAX(0,AN2329-Settings!$C$16)*Settings!$C$17)</f>
        <v/>
      </c>
      <c r="BC2329" s="35" t="str">
        <f aca="false">IF($B2329="","",BA2329-BB2329)</f>
        <v/>
      </c>
      <c r="BD2329" s="35" t="str">
        <f aca="false">IF(OR($B2329="",$A2329=""),"",DAY(EOMONTH($A2329,0))-COUNTA($F2329:$AJ2329))</f>
        <v/>
      </c>
    </row>
    <row r="2330" customFormat="false" ht="15" hidden="false" customHeight="false" outlineLevel="0" collapsed="false">
      <c r="A2330" s="32"/>
      <c r="B2330" s="29"/>
      <c r="C2330" s="10" t="str">
        <f aca="false">IF($B2330="","",IFERROR(INDEX(M_name,MATCH($B2330,M_emp,0)),"Code not found"))</f>
        <v/>
      </c>
      <c r="D2330" s="10" t="str">
        <f aca="false">IF($B2330="","",IFERROR(INDEX(M_dept,MATCH($B2330,M_emp,0)),""))</f>
        <v/>
      </c>
      <c r="E2330" s="10" t="str">
        <f aca="false">IF($B2330="","",IFERROR(INDEX(M_loc,MATCH($B2330,M_emp,0)),""))</f>
        <v/>
      </c>
      <c r="F2330" s="33"/>
      <c r="G2330" s="33"/>
      <c r="H2330" s="33"/>
      <c r="I2330" s="33"/>
      <c r="J2330" s="33"/>
      <c r="K2330" s="33"/>
      <c r="L2330" s="33"/>
      <c r="M2330" s="33"/>
      <c r="N2330" s="33"/>
      <c r="O2330" s="33"/>
      <c r="P2330" s="33"/>
      <c r="Q2330" s="33"/>
      <c r="R2330" s="33"/>
      <c r="S2330" s="33"/>
      <c r="T2330" s="33"/>
      <c r="U2330" s="33"/>
      <c r="V2330" s="33"/>
      <c r="W2330" s="33"/>
      <c r="X2330" s="33"/>
      <c r="Y2330" s="33"/>
      <c r="Z2330" s="33"/>
      <c r="AA2330" s="33"/>
      <c r="AB2330" s="33"/>
      <c r="AC2330" s="33"/>
      <c r="AD2330" s="33"/>
      <c r="AE2330" s="33"/>
      <c r="AF2330" s="33"/>
      <c r="AG2330" s="33"/>
      <c r="AH2330" s="33"/>
      <c r="AI2330" s="33"/>
      <c r="AJ2330" s="33"/>
      <c r="AK2330" s="34" t="str">
        <f aca="false">IF($B2330="","",COUNTIF($F2330:$AJ2330,"P"))</f>
        <v/>
      </c>
      <c r="AL2330" s="34" t="str">
        <f aca="false">IF($B2330="","",COUNTIF($F2330:$AJ2330,"A"))</f>
        <v/>
      </c>
      <c r="AM2330" s="34" t="str">
        <f aca="false">IF($B2330="","",COUNTIF($F2330:$AJ2330,"HA"))</f>
        <v/>
      </c>
      <c r="AN2330" s="34" t="str">
        <f aca="false">IF($B2330="","",COUNTIF($F2330:$AJ2330,"L"))</f>
        <v/>
      </c>
      <c r="AO2330" s="34" t="str">
        <f aca="false">IF($B2330="","",COUNTIF($F2330:$AJ2330,"PL"))</f>
        <v/>
      </c>
      <c r="AP2330" s="34" t="str">
        <f aca="false">IF($B2330="","",COUNTIF($F2330:$AJ2330,"CL"))</f>
        <v/>
      </c>
      <c r="AQ2330" s="34" t="str">
        <f aca="false">IF($B2330="","",COUNTIF($F2330:$AJ2330,"SL"))</f>
        <v/>
      </c>
      <c r="AR2330" s="34" t="str">
        <f aca="false">IF($B2330="","",COUNTIF($F2330:$AJ2330,"CO"))</f>
        <v/>
      </c>
      <c r="AS2330" s="34" t="str">
        <f aca="false">IF($B2330="","",COUNTIF($F2330:$AJ2330,"HPL"))</f>
        <v/>
      </c>
      <c r="AT2330" s="34" t="str">
        <f aca="false">IF($B2330="","",COUNTIF($F2330:$AJ2330,"HCL"))</f>
        <v/>
      </c>
      <c r="AU2330" s="34" t="str">
        <f aca="false">IF($B2330="","",COUNTIF($F2330:$AJ2330,"WO"))</f>
        <v/>
      </c>
      <c r="AV2330" s="34" t="str">
        <f aca="false">IF($B2330="","",COUNTIF($F2330:$AJ2330,"PH"))</f>
        <v/>
      </c>
      <c r="AW2330" s="34" t="str">
        <f aca="false">IF($B2330="","",COUNTIF($F2330:$AJ2330,"TR"))</f>
        <v/>
      </c>
      <c r="AX2330" s="35" t="str">
        <f aca="false">IF($B2330="","",AO2330+AS2330/2)</f>
        <v/>
      </c>
      <c r="AY2330" s="35" t="str">
        <f aca="false">IF($B2330="","",AQ2330)</f>
        <v/>
      </c>
      <c r="AZ2330" s="35" t="str">
        <f aca="false">IF($B2330="","",AP2330+AT2330/2)</f>
        <v/>
      </c>
      <c r="BA2330" s="35" t="str">
        <f aca="false">IF($B2330="","",AK2330+AN2330+AM2330/2+AO2330+AP2330+AQ2330+AR2330+AS2330+AT2330+AU2330+AV2330+AW2330)</f>
        <v/>
      </c>
      <c r="BB2330" s="35" t="str">
        <f aca="false">IF($B2330="","",MAX(0,AN2330-Settings!$C$16)*Settings!$C$17)</f>
        <v/>
      </c>
      <c r="BC2330" s="35" t="str">
        <f aca="false">IF($B2330="","",BA2330-BB2330)</f>
        <v/>
      </c>
      <c r="BD2330" s="35" t="str">
        <f aca="false">IF(OR($B2330="",$A2330=""),"",DAY(EOMONTH($A2330,0))-COUNTA($F2330:$AJ2330))</f>
        <v/>
      </c>
    </row>
    <row r="2331" customFormat="false" ht="15" hidden="false" customHeight="false" outlineLevel="0" collapsed="false">
      <c r="A2331" s="32"/>
      <c r="B2331" s="29"/>
      <c r="C2331" s="10" t="str">
        <f aca="false">IF($B2331="","",IFERROR(INDEX(M_name,MATCH($B2331,M_emp,0)),"Code not found"))</f>
        <v/>
      </c>
      <c r="D2331" s="10" t="str">
        <f aca="false">IF($B2331="","",IFERROR(INDEX(M_dept,MATCH($B2331,M_emp,0)),""))</f>
        <v/>
      </c>
      <c r="E2331" s="10" t="str">
        <f aca="false">IF($B2331="","",IFERROR(INDEX(M_loc,MATCH($B2331,M_emp,0)),""))</f>
        <v/>
      </c>
      <c r="F2331" s="33"/>
      <c r="G2331" s="33"/>
      <c r="H2331" s="33"/>
      <c r="I2331" s="33"/>
      <c r="J2331" s="33"/>
      <c r="K2331" s="33"/>
      <c r="L2331" s="33"/>
      <c r="M2331" s="33"/>
      <c r="N2331" s="33"/>
      <c r="O2331" s="33"/>
      <c r="P2331" s="33"/>
      <c r="Q2331" s="33"/>
      <c r="R2331" s="33"/>
      <c r="S2331" s="33"/>
      <c r="T2331" s="33"/>
      <c r="U2331" s="33"/>
      <c r="V2331" s="33"/>
      <c r="W2331" s="33"/>
      <c r="X2331" s="33"/>
      <c r="Y2331" s="33"/>
      <c r="Z2331" s="33"/>
      <c r="AA2331" s="33"/>
      <c r="AB2331" s="33"/>
      <c r="AC2331" s="33"/>
      <c r="AD2331" s="33"/>
      <c r="AE2331" s="33"/>
      <c r="AF2331" s="33"/>
      <c r="AG2331" s="33"/>
      <c r="AH2331" s="33"/>
      <c r="AI2331" s="33"/>
      <c r="AJ2331" s="33"/>
      <c r="AK2331" s="34" t="str">
        <f aca="false">IF($B2331="","",COUNTIF($F2331:$AJ2331,"P"))</f>
        <v/>
      </c>
      <c r="AL2331" s="34" t="str">
        <f aca="false">IF($B2331="","",COUNTIF($F2331:$AJ2331,"A"))</f>
        <v/>
      </c>
      <c r="AM2331" s="34" t="str">
        <f aca="false">IF($B2331="","",COUNTIF($F2331:$AJ2331,"HA"))</f>
        <v/>
      </c>
      <c r="AN2331" s="34" t="str">
        <f aca="false">IF($B2331="","",COUNTIF($F2331:$AJ2331,"L"))</f>
        <v/>
      </c>
      <c r="AO2331" s="34" t="str">
        <f aca="false">IF($B2331="","",COUNTIF($F2331:$AJ2331,"PL"))</f>
        <v/>
      </c>
      <c r="AP2331" s="34" t="str">
        <f aca="false">IF($B2331="","",COUNTIF($F2331:$AJ2331,"CL"))</f>
        <v/>
      </c>
      <c r="AQ2331" s="34" t="str">
        <f aca="false">IF($B2331="","",COUNTIF($F2331:$AJ2331,"SL"))</f>
        <v/>
      </c>
      <c r="AR2331" s="34" t="str">
        <f aca="false">IF($B2331="","",COUNTIF($F2331:$AJ2331,"CO"))</f>
        <v/>
      </c>
      <c r="AS2331" s="34" t="str">
        <f aca="false">IF($B2331="","",COUNTIF($F2331:$AJ2331,"HPL"))</f>
        <v/>
      </c>
      <c r="AT2331" s="34" t="str">
        <f aca="false">IF($B2331="","",COUNTIF($F2331:$AJ2331,"HCL"))</f>
        <v/>
      </c>
      <c r="AU2331" s="34" t="str">
        <f aca="false">IF($B2331="","",COUNTIF($F2331:$AJ2331,"WO"))</f>
        <v/>
      </c>
      <c r="AV2331" s="34" t="str">
        <f aca="false">IF($B2331="","",COUNTIF($F2331:$AJ2331,"PH"))</f>
        <v/>
      </c>
      <c r="AW2331" s="34" t="str">
        <f aca="false">IF($B2331="","",COUNTIF($F2331:$AJ2331,"TR"))</f>
        <v/>
      </c>
      <c r="AX2331" s="35" t="str">
        <f aca="false">IF($B2331="","",AO2331+AS2331/2)</f>
        <v/>
      </c>
      <c r="AY2331" s="35" t="str">
        <f aca="false">IF($B2331="","",AQ2331)</f>
        <v/>
      </c>
      <c r="AZ2331" s="35" t="str">
        <f aca="false">IF($B2331="","",AP2331+AT2331/2)</f>
        <v/>
      </c>
      <c r="BA2331" s="35" t="str">
        <f aca="false">IF($B2331="","",AK2331+AN2331+AM2331/2+AO2331+AP2331+AQ2331+AR2331+AS2331+AT2331+AU2331+AV2331+AW2331)</f>
        <v/>
      </c>
      <c r="BB2331" s="35" t="str">
        <f aca="false">IF($B2331="","",MAX(0,AN2331-Settings!$C$16)*Settings!$C$17)</f>
        <v/>
      </c>
      <c r="BC2331" s="35" t="str">
        <f aca="false">IF($B2331="","",BA2331-BB2331)</f>
        <v/>
      </c>
      <c r="BD2331" s="35" t="str">
        <f aca="false">IF(OR($B2331="",$A2331=""),"",DAY(EOMONTH($A2331,0))-COUNTA($F2331:$AJ2331))</f>
        <v/>
      </c>
    </row>
    <row r="2332" customFormat="false" ht="15" hidden="false" customHeight="false" outlineLevel="0" collapsed="false">
      <c r="A2332" s="32"/>
      <c r="B2332" s="29"/>
      <c r="C2332" s="10" t="str">
        <f aca="false">IF($B2332="","",IFERROR(INDEX(M_name,MATCH($B2332,M_emp,0)),"Code not found"))</f>
        <v/>
      </c>
      <c r="D2332" s="10" t="str">
        <f aca="false">IF($B2332="","",IFERROR(INDEX(M_dept,MATCH($B2332,M_emp,0)),""))</f>
        <v/>
      </c>
      <c r="E2332" s="10" t="str">
        <f aca="false">IF($B2332="","",IFERROR(INDEX(M_loc,MATCH($B2332,M_emp,0)),""))</f>
        <v/>
      </c>
      <c r="F2332" s="33"/>
      <c r="G2332" s="33"/>
      <c r="H2332" s="33"/>
      <c r="I2332" s="33"/>
      <c r="J2332" s="33"/>
      <c r="K2332" s="33"/>
      <c r="L2332" s="33"/>
      <c r="M2332" s="33"/>
      <c r="N2332" s="33"/>
      <c r="O2332" s="33"/>
      <c r="P2332" s="33"/>
      <c r="Q2332" s="33"/>
      <c r="R2332" s="33"/>
      <c r="S2332" s="33"/>
      <c r="T2332" s="33"/>
      <c r="U2332" s="33"/>
      <c r="V2332" s="33"/>
      <c r="W2332" s="33"/>
      <c r="X2332" s="33"/>
      <c r="Y2332" s="33"/>
      <c r="Z2332" s="33"/>
      <c r="AA2332" s="33"/>
      <c r="AB2332" s="33"/>
      <c r="AC2332" s="33"/>
      <c r="AD2332" s="33"/>
      <c r="AE2332" s="33"/>
      <c r="AF2332" s="33"/>
      <c r="AG2332" s="33"/>
      <c r="AH2332" s="33"/>
      <c r="AI2332" s="33"/>
      <c r="AJ2332" s="33"/>
      <c r="AK2332" s="34" t="str">
        <f aca="false">IF($B2332="","",COUNTIF($F2332:$AJ2332,"P"))</f>
        <v/>
      </c>
      <c r="AL2332" s="34" t="str">
        <f aca="false">IF($B2332="","",COUNTIF($F2332:$AJ2332,"A"))</f>
        <v/>
      </c>
      <c r="AM2332" s="34" t="str">
        <f aca="false">IF($B2332="","",COUNTIF($F2332:$AJ2332,"HA"))</f>
        <v/>
      </c>
      <c r="AN2332" s="34" t="str">
        <f aca="false">IF($B2332="","",COUNTIF($F2332:$AJ2332,"L"))</f>
        <v/>
      </c>
      <c r="AO2332" s="34" t="str">
        <f aca="false">IF($B2332="","",COUNTIF($F2332:$AJ2332,"PL"))</f>
        <v/>
      </c>
      <c r="AP2332" s="34" t="str">
        <f aca="false">IF($B2332="","",COUNTIF($F2332:$AJ2332,"CL"))</f>
        <v/>
      </c>
      <c r="AQ2332" s="34" t="str">
        <f aca="false">IF($B2332="","",COUNTIF($F2332:$AJ2332,"SL"))</f>
        <v/>
      </c>
      <c r="AR2332" s="34" t="str">
        <f aca="false">IF($B2332="","",COUNTIF($F2332:$AJ2332,"CO"))</f>
        <v/>
      </c>
      <c r="AS2332" s="34" t="str">
        <f aca="false">IF($B2332="","",COUNTIF($F2332:$AJ2332,"HPL"))</f>
        <v/>
      </c>
      <c r="AT2332" s="34" t="str">
        <f aca="false">IF($B2332="","",COUNTIF($F2332:$AJ2332,"HCL"))</f>
        <v/>
      </c>
      <c r="AU2332" s="34" t="str">
        <f aca="false">IF($B2332="","",COUNTIF($F2332:$AJ2332,"WO"))</f>
        <v/>
      </c>
      <c r="AV2332" s="34" t="str">
        <f aca="false">IF($B2332="","",COUNTIF($F2332:$AJ2332,"PH"))</f>
        <v/>
      </c>
      <c r="AW2332" s="34" t="str">
        <f aca="false">IF($B2332="","",COUNTIF($F2332:$AJ2332,"TR"))</f>
        <v/>
      </c>
      <c r="AX2332" s="35" t="str">
        <f aca="false">IF($B2332="","",AO2332+AS2332/2)</f>
        <v/>
      </c>
      <c r="AY2332" s="35" t="str">
        <f aca="false">IF($B2332="","",AQ2332)</f>
        <v/>
      </c>
      <c r="AZ2332" s="35" t="str">
        <f aca="false">IF($B2332="","",AP2332+AT2332/2)</f>
        <v/>
      </c>
      <c r="BA2332" s="35" t="str">
        <f aca="false">IF($B2332="","",AK2332+AN2332+AM2332/2+AO2332+AP2332+AQ2332+AR2332+AS2332+AT2332+AU2332+AV2332+AW2332)</f>
        <v/>
      </c>
      <c r="BB2332" s="35" t="str">
        <f aca="false">IF($B2332="","",MAX(0,AN2332-Settings!$C$16)*Settings!$C$17)</f>
        <v/>
      </c>
      <c r="BC2332" s="35" t="str">
        <f aca="false">IF($B2332="","",BA2332-BB2332)</f>
        <v/>
      </c>
      <c r="BD2332" s="35" t="str">
        <f aca="false">IF(OR($B2332="",$A2332=""),"",DAY(EOMONTH($A2332,0))-COUNTA($F2332:$AJ2332))</f>
        <v/>
      </c>
    </row>
    <row r="2333" customFormat="false" ht="15" hidden="false" customHeight="false" outlineLevel="0" collapsed="false">
      <c r="A2333" s="32"/>
      <c r="B2333" s="29"/>
      <c r="C2333" s="10" t="str">
        <f aca="false">IF($B2333="","",IFERROR(INDEX(M_name,MATCH($B2333,M_emp,0)),"Code not found"))</f>
        <v/>
      </c>
      <c r="D2333" s="10" t="str">
        <f aca="false">IF($B2333="","",IFERROR(INDEX(M_dept,MATCH($B2333,M_emp,0)),""))</f>
        <v/>
      </c>
      <c r="E2333" s="10" t="str">
        <f aca="false">IF($B2333="","",IFERROR(INDEX(M_loc,MATCH($B2333,M_emp,0)),""))</f>
        <v/>
      </c>
      <c r="F2333" s="33"/>
      <c r="G2333" s="33"/>
      <c r="H2333" s="33"/>
      <c r="I2333" s="33"/>
      <c r="J2333" s="33"/>
      <c r="K2333" s="33"/>
      <c r="L2333" s="33"/>
      <c r="M2333" s="33"/>
      <c r="N2333" s="33"/>
      <c r="O2333" s="33"/>
      <c r="P2333" s="33"/>
      <c r="Q2333" s="33"/>
      <c r="R2333" s="33"/>
      <c r="S2333" s="33"/>
      <c r="T2333" s="33"/>
      <c r="U2333" s="33"/>
      <c r="V2333" s="33"/>
      <c r="W2333" s="33"/>
      <c r="X2333" s="33"/>
      <c r="Y2333" s="33"/>
      <c r="Z2333" s="33"/>
      <c r="AA2333" s="33"/>
      <c r="AB2333" s="33"/>
      <c r="AC2333" s="33"/>
      <c r="AD2333" s="33"/>
      <c r="AE2333" s="33"/>
      <c r="AF2333" s="33"/>
      <c r="AG2333" s="33"/>
      <c r="AH2333" s="33"/>
      <c r="AI2333" s="33"/>
      <c r="AJ2333" s="33"/>
      <c r="AK2333" s="34" t="str">
        <f aca="false">IF($B2333="","",COUNTIF($F2333:$AJ2333,"P"))</f>
        <v/>
      </c>
      <c r="AL2333" s="34" t="str">
        <f aca="false">IF($B2333="","",COUNTIF($F2333:$AJ2333,"A"))</f>
        <v/>
      </c>
      <c r="AM2333" s="34" t="str">
        <f aca="false">IF($B2333="","",COUNTIF($F2333:$AJ2333,"HA"))</f>
        <v/>
      </c>
      <c r="AN2333" s="34" t="str">
        <f aca="false">IF($B2333="","",COUNTIF($F2333:$AJ2333,"L"))</f>
        <v/>
      </c>
      <c r="AO2333" s="34" t="str">
        <f aca="false">IF($B2333="","",COUNTIF($F2333:$AJ2333,"PL"))</f>
        <v/>
      </c>
      <c r="AP2333" s="34" t="str">
        <f aca="false">IF($B2333="","",COUNTIF($F2333:$AJ2333,"CL"))</f>
        <v/>
      </c>
      <c r="AQ2333" s="34" t="str">
        <f aca="false">IF($B2333="","",COUNTIF($F2333:$AJ2333,"SL"))</f>
        <v/>
      </c>
      <c r="AR2333" s="34" t="str">
        <f aca="false">IF($B2333="","",COUNTIF($F2333:$AJ2333,"CO"))</f>
        <v/>
      </c>
      <c r="AS2333" s="34" t="str">
        <f aca="false">IF($B2333="","",COUNTIF($F2333:$AJ2333,"HPL"))</f>
        <v/>
      </c>
      <c r="AT2333" s="34" t="str">
        <f aca="false">IF($B2333="","",COUNTIF($F2333:$AJ2333,"HCL"))</f>
        <v/>
      </c>
      <c r="AU2333" s="34" t="str">
        <f aca="false">IF($B2333="","",COUNTIF($F2333:$AJ2333,"WO"))</f>
        <v/>
      </c>
      <c r="AV2333" s="34" t="str">
        <f aca="false">IF($B2333="","",COUNTIF($F2333:$AJ2333,"PH"))</f>
        <v/>
      </c>
      <c r="AW2333" s="34" t="str">
        <f aca="false">IF($B2333="","",COUNTIF($F2333:$AJ2333,"TR"))</f>
        <v/>
      </c>
      <c r="AX2333" s="35" t="str">
        <f aca="false">IF($B2333="","",AO2333+AS2333/2)</f>
        <v/>
      </c>
      <c r="AY2333" s="35" t="str">
        <f aca="false">IF($B2333="","",AQ2333)</f>
        <v/>
      </c>
      <c r="AZ2333" s="35" t="str">
        <f aca="false">IF($B2333="","",AP2333+AT2333/2)</f>
        <v/>
      </c>
      <c r="BA2333" s="35" t="str">
        <f aca="false">IF($B2333="","",AK2333+AN2333+AM2333/2+AO2333+AP2333+AQ2333+AR2333+AS2333+AT2333+AU2333+AV2333+AW2333)</f>
        <v/>
      </c>
      <c r="BB2333" s="35" t="str">
        <f aca="false">IF($B2333="","",MAX(0,AN2333-Settings!$C$16)*Settings!$C$17)</f>
        <v/>
      </c>
      <c r="BC2333" s="35" t="str">
        <f aca="false">IF($B2333="","",BA2333-BB2333)</f>
        <v/>
      </c>
      <c r="BD2333" s="35" t="str">
        <f aca="false">IF(OR($B2333="",$A2333=""),"",DAY(EOMONTH($A2333,0))-COUNTA($F2333:$AJ2333))</f>
        <v/>
      </c>
    </row>
    <row r="2334" customFormat="false" ht="15" hidden="false" customHeight="false" outlineLevel="0" collapsed="false">
      <c r="A2334" s="32"/>
      <c r="B2334" s="29"/>
      <c r="C2334" s="10" t="str">
        <f aca="false">IF($B2334="","",IFERROR(INDEX(M_name,MATCH($B2334,M_emp,0)),"Code not found"))</f>
        <v/>
      </c>
      <c r="D2334" s="10" t="str">
        <f aca="false">IF($B2334="","",IFERROR(INDEX(M_dept,MATCH($B2334,M_emp,0)),""))</f>
        <v/>
      </c>
      <c r="E2334" s="10" t="str">
        <f aca="false">IF($B2334="","",IFERROR(INDEX(M_loc,MATCH($B2334,M_emp,0)),""))</f>
        <v/>
      </c>
      <c r="F2334" s="33"/>
      <c r="G2334" s="33"/>
      <c r="H2334" s="33"/>
      <c r="I2334" s="33"/>
      <c r="J2334" s="33"/>
      <c r="K2334" s="33"/>
      <c r="L2334" s="33"/>
      <c r="M2334" s="33"/>
      <c r="N2334" s="33"/>
      <c r="O2334" s="33"/>
      <c r="P2334" s="33"/>
      <c r="Q2334" s="33"/>
      <c r="R2334" s="33"/>
      <c r="S2334" s="33"/>
      <c r="T2334" s="33"/>
      <c r="U2334" s="33"/>
      <c r="V2334" s="33"/>
      <c r="W2334" s="33"/>
      <c r="X2334" s="33"/>
      <c r="Y2334" s="33"/>
      <c r="Z2334" s="33"/>
      <c r="AA2334" s="33"/>
      <c r="AB2334" s="33"/>
      <c r="AC2334" s="33"/>
      <c r="AD2334" s="33"/>
      <c r="AE2334" s="33"/>
      <c r="AF2334" s="33"/>
      <c r="AG2334" s="33"/>
      <c r="AH2334" s="33"/>
      <c r="AI2334" s="33"/>
      <c r="AJ2334" s="33"/>
      <c r="AK2334" s="34" t="str">
        <f aca="false">IF($B2334="","",COUNTIF($F2334:$AJ2334,"P"))</f>
        <v/>
      </c>
      <c r="AL2334" s="34" t="str">
        <f aca="false">IF($B2334="","",COUNTIF($F2334:$AJ2334,"A"))</f>
        <v/>
      </c>
      <c r="AM2334" s="34" t="str">
        <f aca="false">IF($B2334="","",COUNTIF($F2334:$AJ2334,"HA"))</f>
        <v/>
      </c>
      <c r="AN2334" s="34" t="str">
        <f aca="false">IF($B2334="","",COUNTIF($F2334:$AJ2334,"L"))</f>
        <v/>
      </c>
      <c r="AO2334" s="34" t="str">
        <f aca="false">IF($B2334="","",COUNTIF($F2334:$AJ2334,"PL"))</f>
        <v/>
      </c>
      <c r="AP2334" s="34" t="str">
        <f aca="false">IF($B2334="","",COUNTIF($F2334:$AJ2334,"CL"))</f>
        <v/>
      </c>
      <c r="AQ2334" s="34" t="str">
        <f aca="false">IF($B2334="","",COUNTIF($F2334:$AJ2334,"SL"))</f>
        <v/>
      </c>
      <c r="AR2334" s="34" t="str">
        <f aca="false">IF($B2334="","",COUNTIF($F2334:$AJ2334,"CO"))</f>
        <v/>
      </c>
      <c r="AS2334" s="34" t="str">
        <f aca="false">IF($B2334="","",COUNTIF($F2334:$AJ2334,"HPL"))</f>
        <v/>
      </c>
      <c r="AT2334" s="34" t="str">
        <f aca="false">IF($B2334="","",COUNTIF($F2334:$AJ2334,"HCL"))</f>
        <v/>
      </c>
      <c r="AU2334" s="34" t="str">
        <f aca="false">IF($B2334="","",COUNTIF($F2334:$AJ2334,"WO"))</f>
        <v/>
      </c>
      <c r="AV2334" s="34" t="str">
        <f aca="false">IF($B2334="","",COUNTIF($F2334:$AJ2334,"PH"))</f>
        <v/>
      </c>
      <c r="AW2334" s="34" t="str">
        <f aca="false">IF($B2334="","",COUNTIF($F2334:$AJ2334,"TR"))</f>
        <v/>
      </c>
      <c r="AX2334" s="35" t="str">
        <f aca="false">IF($B2334="","",AO2334+AS2334/2)</f>
        <v/>
      </c>
      <c r="AY2334" s="35" t="str">
        <f aca="false">IF($B2334="","",AQ2334)</f>
        <v/>
      </c>
      <c r="AZ2334" s="35" t="str">
        <f aca="false">IF($B2334="","",AP2334+AT2334/2)</f>
        <v/>
      </c>
      <c r="BA2334" s="35" t="str">
        <f aca="false">IF($B2334="","",AK2334+AN2334+AM2334/2+AO2334+AP2334+AQ2334+AR2334+AS2334+AT2334+AU2334+AV2334+AW2334)</f>
        <v/>
      </c>
      <c r="BB2334" s="35" t="str">
        <f aca="false">IF($B2334="","",MAX(0,AN2334-Settings!$C$16)*Settings!$C$17)</f>
        <v/>
      </c>
      <c r="BC2334" s="35" t="str">
        <f aca="false">IF($B2334="","",BA2334-BB2334)</f>
        <v/>
      </c>
      <c r="BD2334" s="35" t="str">
        <f aca="false">IF(OR($B2334="",$A2334=""),"",DAY(EOMONTH($A2334,0))-COUNTA($F2334:$AJ2334))</f>
        <v/>
      </c>
    </row>
    <row r="2335" customFormat="false" ht="15" hidden="false" customHeight="false" outlineLevel="0" collapsed="false">
      <c r="A2335" s="32"/>
      <c r="B2335" s="29"/>
      <c r="C2335" s="10" t="str">
        <f aca="false">IF($B2335="","",IFERROR(INDEX(M_name,MATCH($B2335,M_emp,0)),"Code not found"))</f>
        <v/>
      </c>
      <c r="D2335" s="10" t="str">
        <f aca="false">IF($B2335="","",IFERROR(INDEX(M_dept,MATCH($B2335,M_emp,0)),""))</f>
        <v/>
      </c>
      <c r="E2335" s="10" t="str">
        <f aca="false">IF($B2335="","",IFERROR(INDEX(M_loc,MATCH($B2335,M_emp,0)),""))</f>
        <v/>
      </c>
      <c r="F2335" s="33"/>
      <c r="G2335" s="33"/>
      <c r="H2335" s="33"/>
      <c r="I2335" s="33"/>
      <c r="J2335" s="33"/>
      <c r="K2335" s="33"/>
      <c r="L2335" s="33"/>
      <c r="M2335" s="33"/>
      <c r="N2335" s="33"/>
      <c r="O2335" s="33"/>
      <c r="P2335" s="33"/>
      <c r="Q2335" s="33"/>
      <c r="R2335" s="33"/>
      <c r="S2335" s="33"/>
      <c r="T2335" s="33"/>
      <c r="U2335" s="33"/>
      <c r="V2335" s="33"/>
      <c r="W2335" s="33"/>
      <c r="X2335" s="33"/>
      <c r="Y2335" s="33"/>
      <c r="Z2335" s="33"/>
      <c r="AA2335" s="33"/>
      <c r="AB2335" s="33"/>
      <c r="AC2335" s="33"/>
      <c r="AD2335" s="33"/>
      <c r="AE2335" s="33"/>
      <c r="AF2335" s="33"/>
      <c r="AG2335" s="33"/>
      <c r="AH2335" s="33"/>
      <c r="AI2335" s="33"/>
      <c r="AJ2335" s="33"/>
      <c r="AK2335" s="34" t="str">
        <f aca="false">IF($B2335="","",COUNTIF($F2335:$AJ2335,"P"))</f>
        <v/>
      </c>
      <c r="AL2335" s="34" t="str">
        <f aca="false">IF($B2335="","",COUNTIF($F2335:$AJ2335,"A"))</f>
        <v/>
      </c>
      <c r="AM2335" s="34" t="str">
        <f aca="false">IF($B2335="","",COUNTIF($F2335:$AJ2335,"HA"))</f>
        <v/>
      </c>
      <c r="AN2335" s="34" t="str">
        <f aca="false">IF($B2335="","",COUNTIF($F2335:$AJ2335,"L"))</f>
        <v/>
      </c>
      <c r="AO2335" s="34" t="str">
        <f aca="false">IF($B2335="","",COUNTIF($F2335:$AJ2335,"PL"))</f>
        <v/>
      </c>
      <c r="AP2335" s="34" t="str">
        <f aca="false">IF($B2335="","",COUNTIF($F2335:$AJ2335,"CL"))</f>
        <v/>
      </c>
      <c r="AQ2335" s="34" t="str">
        <f aca="false">IF($B2335="","",COUNTIF($F2335:$AJ2335,"SL"))</f>
        <v/>
      </c>
      <c r="AR2335" s="34" t="str">
        <f aca="false">IF($B2335="","",COUNTIF($F2335:$AJ2335,"CO"))</f>
        <v/>
      </c>
      <c r="AS2335" s="34" t="str">
        <f aca="false">IF($B2335="","",COUNTIF($F2335:$AJ2335,"HPL"))</f>
        <v/>
      </c>
      <c r="AT2335" s="34" t="str">
        <f aca="false">IF($B2335="","",COUNTIF($F2335:$AJ2335,"HCL"))</f>
        <v/>
      </c>
      <c r="AU2335" s="34" t="str">
        <f aca="false">IF($B2335="","",COUNTIF($F2335:$AJ2335,"WO"))</f>
        <v/>
      </c>
      <c r="AV2335" s="34" t="str">
        <f aca="false">IF($B2335="","",COUNTIF($F2335:$AJ2335,"PH"))</f>
        <v/>
      </c>
      <c r="AW2335" s="34" t="str">
        <f aca="false">IF($B2335="","",COUNTIF($F2335:$AJ2335,"TR"))</f>
        <v/>
      </c>
      <c r="AX2335" s="35" t="str">
        <f aca="false">IF($B2335="","",AO2335+AS2335/2)</f>
        <v/>
      </c>
      <c r="AY2335" s="35" t="str">
        <f aca="false">IF($B2335="","",AQ2335)</f>
        <v/>
      </c>
      <c r="AZ2335" s="35" t="str">
        <f aca="false">IF($B2335="","",AP2335+AT2335/2)</f>
        <v/>
      </c>
      <c r="BA2335" s="35" t="str">
        <f aca="false">IF($B2335="","",AK2335+AN2335+AM2335/2+AO2335+AP2335+AQ2335+AR2335+AS2335+AT2335+AU2335+AV2335+AW2335)</f>
        <v/>
      </c>
      <c r="BB2335" s="35" t="str">
        <f aca="false">IF($B2335="","",MAX(0,AN2335-Settings!$C$16)*Settings!$C$17)</f>
        <v/>
      </c>
      <c r="BC2335" s="35" t="str">
        <f aca="false">IF($B2335="","",BA2335-BB2335)</f>
        <v/>
      </c>
      <c r="BD2335" s="35" t="str">
        <f aca="false">IF(OR($B2335="",$A2335=""),"",DAY(EOMONTH($A2335,0))-COUNTA($F2335:$AJ2335))</f>
        <v/>
      </c>
    </row>
    <row r="2336" customFormat="false" ht="15" hidden="false" customHeight="false" outlineLevel="0" collapsed="false">
      <c r="A2336" s="32"/>
      <c r="B2336" s="29"/>
      <c r="C2336" s="10" t="str">
        <f aca="false">IF($B2336="","",IFERROR(INDEX(M_name,MATCH($B2336,M_emp,0)),"Code not found"))</f>
        <v/>
      </c>
      <c r="D2336" s="10" t="str">
        <f aca="false">IF($B2336="","",IFERROR(INDEX(M_dept,MATCH($B2336,M_emp,0)),""))</f>
        <v/>
      </c>
      <c r="E2336" s="10" t="str">
        <f aca="false">IF($B2336="","",IFERROR(INDEX(M_loc,MATCH($B2336,M_emp,0)),""))</f>
        <v/>
      </c>
      <c r="F2336" s="33"/>
      <c r="G2336" s="33"/>
      <c r="H2336" s="33"/>
      <c r="I2336" s="33"/>
      <c r="J2336" s="33"/>
      <c r="K2336" s="33"/>
      <c r="L2336" s="33"/>
      <c r="M2336" s="33"/>
      <c r="N2336" s="33"/>
      <c r="O2336" s="33"/>
      <c r="P2336" s="33"/>
      <c r="Q2336" s="33"/>
      <c r="R2336" s="33"/>
      <c r="S2336" s="33"/>
      <c r="T2336" s="33"/>
      <c r="U2336" s="33"/>
      <c r="V2336" s="33"/>
      <c r="W2336" s="33"/>
      <c r="X2336" s="33"/>
      <c r="Y2336" s="33"/>
      <c r="Z2336" s="33"/>
      <c r="AA2336" s="33"/>
      <c r="AB2336" s="33"/>
      <c r="AC2336" s="33"/>
      <c r="AD2336" s="33"/>
      <c r="AE2336" s="33"/>
      <c r="AF2336" s="33"/>
      <c r="AG2336" s="33"/>
      <c r="AH2336" s="33"/>
      <c r="AI2336" s="33"/>
      <c r="AJ2336" s="33"/>
      <c r="AK2336" s="34" t="str">
        <f aca="false">IF($B2336="","",COUNTIF($F2336:$AJ2336,"P"))</f>
        <v/>
      </c>
      <c r="AL2336" s="34" t="str">
        <f aca="false">IF($B2336="","",COUNTIF($F2336:$AJ2336,"A"))</f>
        <v/>
      </c>
      <c r="AM2336" s="34" t="str">
        <f aca="false">IF($B2336="","",COUNTIF($F2336:$AJ2336,"HA"))</f>
        <v/>
      </c>
      <c r="AN2336" s="34" t="str">
        <f aca="false">IF($B2336="","",COUNTIF($F2336:$AJ2336,"L"))</f>
        <v/>
      </c>
      <c r="AO2336" s="34" t="str">
        <f aca="false">IF($B2336="","",COUNTIF($F2336:$AJ2336,"PL"))</f>
        <v/>
      </c>
      <c r="AP2336" s="34" t="str">
        <f aca="false">IF($B2336="","",COUNTIF($F2336:$AJ2336,"CL"))</f>
        <v/>
      </c>
      <c r="AQ2336" s="34" t="str">
        <f aca="false">IF($B2336="","",COUNTIF($F2336:$AJ2336,"SL"))</f>
        <v/>
      </c>
      <c r="AR2336" s="34" t="str">
        <f aca="false">IF($B2336="","",COUNTIF($F2336:$AJ2336,"CO"))</f>
        <v/>
      </c>
      <c r="AS2336" s="34" t="str">
        <f aca="false">IF($B2336="","",COUNTIF($F2336:$AJ2336,"HPL"))</f>
        <v/>
      </c>
      <c r="AT2336" s="34" t="str">
        <f aca="false">IF($B2336="","",COUNTIF($F2336:$AJ2336,"HCL"))</f>
        <v/>
      </c>
      <c r="AU2336" s="34" t="str">
        <f aca="false">IF($B2336="","",COUNTIF($F2336:$AJ2336,"WO"))</f>
        <v/>
      </c>
      <c r="AV2336" s="34" t="str">
        <f aca="false">IF($B2336="","",COUNTIF($F2336:$AJ2336,"PH"))</f>
        <v/>
      </c>
      <c r="AW2336" s="34" t="str">
        <f aca="false">IF($B2336="","",COUNTIF($F2336:$AJ2336,"TR"))</f>
        <v/>
      </c>
      <c r="AX2336" s="35" t="str">
        <f aca="false">IF($B2336="","",AO2336+AS2336/2)</f>
        <v/>
      </c>
      <c r="AY2336" s="35" t="str">
        <f aca="false">IF($B2336="","",AQ2336)</f>
        <v/>
      </c>
      <c r="AZ2336" s="35" t="str">
        <f aca="false">IF($B2336="","",AP2336+AT2336/2)</f>
        <v/>
      </c>
      <c r="BA2336" s="35" t="str">
        <f aca="false">IF($B2336="","",AK2336+AN2336+AM2336/2+AO2336+AP2336+AQ2336+AR2336+AS2336+AT2336+AU2336+AV2336+AW2336)</f>
        <v/>
      </c>
      <c r="BB2336" s="35" t="str">
        <f aca="false">IF($B2336="","",MAX(0,AN2336-Settings!$C$16)*Settings!$C$17)</f>
        <v/>
      </c>
      <c r="BC2336" s="35" t="str">
        <f aca="false">IF($B2336="","",BA2336-BB2336)</f>
        <v/>
      </c>
      <c r="BD2336" s="35" t="str">
        <f aca="false">IF(OR($B2336="",$A2336=""),"",DAY(EOMONTH($A2336,0))-COUNTA($F2336:$AJ2336))</f>
        <v/>
      </c>
    </row>
    <row r="2337" customFormat="false" ht="15" hidden="false" customHeight="false" outlineLevel="0" collapsed="false">
      <c r="A2337" s="32"/>
      <c r="B2337" s="29"/>
      <c r="C2337" s="10" t="str">
        <f aca="false">IF($B2337="","",IFERROR(INDEX(M_name,MATCH($B2337,M_emp,0)),"Code not found"))</f>
        <v/>
      </c>
      <c r="D2337" s="10" t="str">
        <f aca="false">IF($B2337="","",IFERROR(INDEX(M_dept,MATCH($B2337,M_emp,0)),""))</f>
        <v/>
      </c>
      <c r="E2337" s="10" t="str">
        <f aca="false">IF($B2337="","",IFERROR(INDEX(M_loc,MATCH($B2337,M_emp,0)),""))</f>
        <v/>
      </c>
      <c r="F2337" s="33"/>
      <c r="G2337" s="33"/>
      <c r="H2337" s="33"/>
      <c r="I2337" s="33"/>
      <c r="J2337" s="33"/>
      <c r="K2337" s="33"/>
      <c r="L2337" s="33"/>
      <c r="M2337" s="33"/>
      <c r="N2337" s="33"/>
      <c r="O2337" s="33"/>
      <c r="P2337" s="33"/>
      <c r="Q2337" s="33"/>
      <c r="R2337" s="33"/>
      <c r="S2337" s="33"/>
      <c r="T2337" s="33"/>
      <c r="U2337" s="33"/>
      <c r="V2337" s="33"/>
      <c r="W2337" s="33"/>
      <c r="X2337" s="33"/>
      <c r="Y2337" s="33"/>
      <c r="Z2337" s="33"/>
      <c r="AA2337" s="33"/>
      <c r="AB2337" s="33"/>
      <c r="AC2337" s="33"/>
      <c r="AD2337" s="33"/>
      <c r="AE2337" s="33"/>
      <c r="AF2337" s="33"/>
      <c r="AG2337" s="33"/>
      <c r="AH2337" s="33"/>
      <c r="AI2337" s="33"/>
      <c r="AJ2337" s="33"/>
      <c r="AK2337" s="34" t="str">
        <f aca="false">IF($B2337="","",COUNTIF($F2337:$AJ2337,"P"))</f>
        <v/>
      </c>
      <c r="AL2337" s="34" t="str">
        <f aca="false">IF($B2337="","",COUNTIF($F2337:$AJ2337,"A"))</f>
        <v/>
      </c>
      <c r="AM2337" s="34" t="str">
        <f aca="false">IF($B2337="","",COUNTIF($F2337:$AJ2337,"HA"))</f>
        <v/>
      </c>
      <c r="AN2337" s="34" t="str">
        <f aca="false">IF($B2337="","",COUNTIF($F2337:$AJ2337,"L"))</f>
        <v/>
      </c>
      <c r="AO2337" s="34" t="str">
        <f aca="false">IF($B2337="","",COUNTIF($F2337:$AJ2337,"PL"))</f>
        <v/>
      </c>
      <c r="AP2337" s="34" t="str">
        <f aca="false">IF($B2337="","",COUNTIF($F2337:$AJ2337,"CL"))</f>
        <v/>
      </c>
      <c r="AQ2337" s="34" t="str">
        <f aca="false">IF($B2337="","",COUNTIF($F2337:$AJ2337,"SL"))</f>
        <v/>
      </c>
      <c r="AR2337" s="34" t="str">
        <f aca="false">IF($B2337="","",COUNTIF($F2337:$AJ2337,"CO"))</f>
        <v/>
      </c>
      <c r="AS2337" s="34" t="str">
        <f aca="false">IF($B2337="","",COUNTIF($F2337:$AJ2337,"HPL"))</f>
        <v/>
      </c>
      <c r="AT2337" s="34" t="str">
        <f aca="false">IF($B2337="","",COUNTIF($F2337:$AJ2337,"HCL"))</f>
        <v/>
      </c>
      <c r="AU2337" s="34" t="str">
        <f aca="false">IF($B2337="","",COUNTIF($F2337:$AJ2337,"WO"))</f>
        <v/>
      </c>
      <c r="AV2337" s="34" t="str">
        <f aca="false">IF($B2337="","",COUNTIF($F2337:$AJ2337,"PH"))</f>
        <v/>
      </c>
      <c r="AW2337" s="34" t="str">
        <f aca="false">IF($B2337="","",COUNTIF($F2337:$AJ2337,"TR"))</f>
        <v/>
      </c>
      <c r="AX2337" s="35" t="str">
        <f aca="false">IF($B2337="","",AO2337+AS2337/2)</f>
        <v/>
      </c>
      <c r="AY2337" s="35" t="str">
        <f aca="false">IF($B2337="","",AQ2337)</f>
        <v/>
      </c>
      <c r="AZ2337" s="35" t="str">
        <f aca="false">IF($B2337="","",AP2337+AT2337/2)</f>
        <v/>
      </c>
      <c r="BA2337" s="35" t="str">
        <f aca="false">IF($B2337="","",AK2337+AN2337+AM2337/2+AO2337+AP2337+AQ2337+AR2337+AS2337+AT2337+AU2337+AV2337+AW2337)</f>
        <v/>
      </c>
      <c r="BB2337" s="35" t="str">
        <f aca="false">IF($B2337="","",MAX(0,AN2337-Settings!$C$16)*Settings!$C$17)</f>
        <v/>
      </c>
      <c r="BC2337" s="35" t="str">
        <f aca="false">IF($B2337="","",BA2337-BB2337)</f>
        <v/>
      </c>
      <c r="BD2337" s="35" t="str">
        <f aca="false">IF(OR($B2337="",$A2337=""),"",DAY(EOMONTH($A2337,0))-COUNTA($F2337:$AJ2337))</f>
        <v/>
      </c>
    </row>
    <row r="2338" customFormat="false" ht="15" hidden="false" customHeight="false" outlineLevel="0" collapsed="false">
      <c r="A2338" s="32"/>
      <c r="B2338" s="29"/>
      <c r="C2338" s="10" t="str">
        <f aca="false">IF($B2338="","",IFERROR(INDEX(M_name,MATCH($B2338,M_emp,0)),"Code not found"))</f>
        <v/>
      </c>
      <c r="D2338" s="10" t="str">
        <f aca="false">IF($B2338="","",IFERROR(INDEX(M_dept,MATCH($B2338,M_emp,0)),""))</f>
        <v/>
      </c>
      <c r="E2338" s="10" t="str">
        <f aca="false">IF($B2338="","",IFERROR(INDEX(M_loc,MATCH($B2338,M_emp,0)),""))</f>
        <v/>
      </c>
      <c r="F2338" s="33"/>
      <c r="G2338" s="33"/>
      <c r="H2338" s="33"/>
      <c r="I2338" s="33"/>
      <c r="J2338" s="33"/>
      <c r="K2338" s="33"/>
      <c r="L2338" s="33"/>
      <c r="M2338" s="33"/>
      <c r="N2338" s="33"/>
      <c r="O2338" s="33"/>
      <c r="P2338" s="33"/>
      <c r="Q2338" s="33"/>
      <c r="R2338" s="33"/>
      <c r="S2338" s="33"/>
      <c r="T2338" s="33"/>
      <c r="U2338" s="33"/>
      <c r="V2338" s="33"/>
      <c r="W2338" s="33"/>
      <c r="X2338" s="33"/>
      <c r="Y2338" s="33"/>
      <c r="Z2338" s="33"/>
      <c r="AA2338" s="33"/>
      <c r="AB2338" s="33"/>
      <c r="AC2338" s="33"/>
      <c r="AD2338" s="33"/>
      <c r="AE2338" s="33"/>
      <c r="AF2338" s="33"/>
      <c r="AG2338" s="33"/>
      <c r="AH2338" s="33"/>
      <c r="AI2338" s="33"/>
      <c r="AJ2338" s="33"/>
      <c r="AK2338" s="34" t="str">
        <f aca="false">IF($B2338="","",COUNTIF($F2338:$AJ2338,"P"))</f>
        <v/>
      </c>
      <c r="AL2338" s="34" t="str">
        <f aca="false">IF($B2338="","",COUNTIF($F2338:$AJ2338,"A"))</f>
        <v/>
      </c>
      <c r="AM2338" s="34" t="str">
        <f aca="false">IF($B2338="","",COUNTIF($F2338:$AJ2338,"HA"))</f>
        <v/>
      </c>
      <c r="AN2338" s="34" t="str">
        <f aca="false">IF($B2338="","",COUNTIF($F2338:$AJ2338,"L"))</f>
        <v/>
      </c>
      <c r="AO2338" s="34" t="str">
        <f aca="false">IF($B2338="","",COUNTIF($F2338:$AJ2338,"PL"))</f>
        <v/>
      </c>
      <c r="AP2338" s="34" t="str">
        <f aca="false">IF($B2338="","",COUNTIF($F2338:$AJ2338,"CL"))</f>
        <v/>
      </c>
      <c r="AQ2338" s="34" t="str">
        <f aca="false">IF($B2338="","",COUNTIF($F2338:$AJ2338,"SL"))</f>
        <v/>
      </c>
      <c r="AR2338" s="34" t="str">
        <f aca="false">IF($B2338="","",COUNTIF($F2338:$AJ2338,"CO"))</f>
        <v/>
      </c>
      <c r="AS2338" s="34" t="str">
        <f aca="false">IF($B2338="","",COUNTIF($F2338:$AJ2338,"HPL"))</f>
        <v/>
      </c>
      <c r="AT2338" s="34" t="str">
        <f aca="false">IF($B2338="","",COUNTIF($F2338:$AJ2338,"HCL"))</f>
        <v/>
      </c>
      <c r="AU2338" s="34" t="str">
        <f aca="false">IF($B2338="","",COUNTIF($F2338:$AJ2338,"WO"))</f>
        <v/>
      </c>
      <c r="AV2338" s="34" t="str">
        <f aca="false">IF($B2338="","",COUNTIF($F2338:$AJ2338,"PH"))</f>
        <v/>
      </c>
      <c r="AW2338" s="34" t="str">
        <f aca="false">IF($B2338="","",COUNTIF($F2338:$AJ2338,"TR"))</f>
        <v/>
      </c>
      <c r="AX2338" s="35" t="str">
        <f aca="false">IF($B2338="","",AO2338+AS2338/2)</f>
        <v/>
      </c>
      <c r="AY2338" s="35" t="str">
        <f aca="false">IF($B2338="","",AQ2338)</f>
        <v/>
      </c>
      <c r="AZ2338" s="35" t="str">
        <f aca="false">IF($B2338="","",AP2338+AT2338/2)</f>
        <v/>
      </c>
      <c r="BA2338" s="35" t="str">
        <f aca="false">IF($B2338="","",AK2338+AN2338+AM2338/2+AO2338+AP2338+AQ2338+AR2338+AS2338+AT2338+AU2338+AV2338+AW2338)</f>
        <v/>
      </c>
      <c r="BB2338" s="35" t="str">
        <f aca="false">IF($B2338="","",MAX(0,AN2338-Settings!$C$16)*Settings!$C$17)</f>
        <v/>
      </c>
      <c r="BC2338" s="35" t="str">
        <f aca="false">IF($B2338="","",BA2338-BB2338)</f>
        <v/>
      </c>
      <c r="BD2338" s="35" t="str">
        <f aca="false">IF(OR($B2338="",$A2338=""),"",DAY(EOMONTH($A2338,0))-COUNTA($F2338:$AJ2338))</f>
        <v/>
      </c>
    </row>
    <row r="2339" customFormat="false" ht="15" hidden="false" customHeight="false" outlineLevel="0" collapsed="false">
      <c r="A2339" s="32"/>
      <c r="B2339" s="29"/>
      <c r="C2339" s="10" t="str">
        <f aca="false">IF($B2339="","",IFERROR(INDEX(M_name,MATCH($B2339,M_emp,0)),"Code not found"))</f>
        <v/>
      </c>
      <c r="D2339" s="10" t="str">
        <f aca="false">IF($B2339="","",IFERROR(INDEX(M_dept,MATCH($B2339,M_emp,0)),""))</f>
        <v/>
      </c>
      <c r="E2339" s="10" t="str">
        <f aca="false">IF($B2339="","",IFERROR(INDEX(M_loc,MATCH($B2339,M_emp,0)),""))</f>
        <v/>
      </c>
      <c r="F2339" s="33"/>
      <c r="G2339" s="33"/>
      <c r="H2339" s="33"/>
      <c r="I2339" s="33"/>
      <c r="J2339" s="33"/>
      <c r="K2339" s="33"/>
      <c r="L2339" s="33"/>
      <c r="M2339" s="33"/>
      <c r="N2339" s="33"/>
      <c r="O2339" s="33"/>
      <c r="P2339" s="33"/>
      <c r="Q2339" s="33"/>
      <c r="R2339" s="33"/>
      <c r="S2339" s="33"/>
      <c r="T2339" s="33"/>
      <c r="U2339" s="33"/>
      <c r="V2339" s="33"/>
      <c r="W2339" s="33"/>
      <c r="X2339" s="33"/>
      <c r="Y2339" s="33"/>
      <c r="Z2339" s="33"/>
      <c r="AA2339" s="33"/>
      <c r="AB2339" s="33"/>
      <c r="AC2339" s="33"/>
      <c r="AD2339" s="33"/>
      <c r="AE2339" s="33"/>
      <c r="AF2339" s="33"/>
      <c r="AG2339" s="33"/>
      <c r="AH2339" s="33"/>
      <c r="AI2339" s="33"/>
      <c r="AJ2339" s="33"/>
      <c r="AK2339" s="34" t="str">
        <f aca="false">IF($B2339="","",COUNTIF($F2339:$AJ2339,"P"))</f>
        <v/>
      </c>
      <c r="AL2339" s="34" t="str">
        <f aca="false">IF($B2339="","",COUNTIF($F2339:$AJ2339,"A"))</f>
        <v/>
      </c>
      <c r="AM2339" s="34" t="str">
        <f aca="false">IF($B2339="","",COUNTIF($F2339:$AJ2339,"HA"))</f>
        <v/>
      </c>
      <c r="AN2339" s="34" t="str">
        <f aca="false">IF($B2339="","",COUNTIF($F2339:$AJ2339,"L"))</f>
        <v/>
      </c>
      <c r="AO2339" s="34" t="str">
        <f aca="false">IF($B2339="","",COUNTIF($F2339:$AJ2339,"PL"))</f>
        <v/>
      </c>
      <c r="AP2339" s="34" t="str">
        <f aca="false">IF($B2339="","",COUNTIF($F2339:$AJ2339,"CL"))</f>
        <v/>
      </c>
      <c r="AQ2339" s="34" t="str">
        <f aca="false">IF($B2339="","",COUNTIF($F2339:$AJ2339,"SL"))</f>
        <v/>
      </c>
      <c r="AR2339" s="34" t="str">
        <f aca="false">IF($B2339="","",COUNTIF($F2339:$AJ2339,"CO"))</f>
        <v/>
      </c>
      <c r="AS2339" s="34" t="str">
        <f aca="false">IF($B2339="","",COUNTIF($F2339:$AJ2339,"HPL"))</f>
        <v/>
      </c>
      <c r="AT2339" s="34" t="str">
        <f aca="false">IF($B2339="","",COUNTIF($F2339:$AJ2339,"HCL"))</f>
        <v/>
      </c>
      <c r="AU2339" s="34" t="str">
        <f aca="false">IF($B2339="","",COUNTIF($F2339:$AJ2339,"WO"))</f>
        <v/>
      </c>
      <c r="AV2339" s="34" t="str">
        <f aca="false">IF($B2339="","",COUNTIF($F2339:$AJ2339,"PH"))</f>
        <v/>
      </c>
      <c r="AW2339" s="34" t="str">
        <f aca="false">IF($B2339="","",COUNTIF($F2339:$AJ2339,"TR"))</f>
        <v/>
      </c>
      <c r="AX2339" s="35" t="str">
        <f aca="false">IF($B2339="","",AO2339+AS2339/2)</f>
        <v/>
      </c>
      <c r="AY2339" s="35" t="str">
        <f aca="false">IF($B2339="","",AQ2339)</f>
        <v/>
      </c>
      <c r="AZ2339" s="35" t="str">
        <f aca="false">IF($B2339="","",AP2339+AT2339/2)</f>
        <v/>
      </c>
      <c r="BA2339" s="35" t="str">
        <f aca="false">IF($B2339="","",AK2339+AN2339+AM2339/2+AO2339+AP2339+AQ2339+AR2339+AS2339+AT2339+AU2339+AV2339+AW2339)</f>
        <v/>
      </c>
      <c r="BB2339" s="35" t="str">
        <f aca="false">IF($B2339="","",MAX(0,AN2339-Settings!$C$16)*Settings!$C$17)</f>
        <v/>
      </c>
      <c r="BC2339" s="35" t="str">
        <f aca="false">IF($B2339="","",BA2339-BB2339)</f>
        <v/>
      </c>
      <c r="BD2339" s="35" t="str">
        <f aca="false">IF(OR($B2339="",$A2339=""),"",DAY(EOMONTH($A2339,0))-COUNTA($F2339:$AJ2339))</f>
        <v/>
      </c>
    </row>
    <row r="2340" customFormat="false" ht="15" hidden="false" customHeight="false" outlineLevel="0" collapsed="false">
      <c r="A2340" s="32"/>
      <c r="B2340" s="29"/>
      <c r="C2340" s="10" t="str">
        <f aca="false">IF($B2340="","",IFERROR(INDEX(M_name,MATCH($B2340,M_emp,0)),"Code not found"))</f>
        <v/>
      </c>
      <c r="D2340" s="10" t="str">
        <f aca="false">IF($B2340="","",IFERROR(INDEX(M_dept,MATCH($B2340,M_emp,0)),""))</f>
        <v/>
      </c>
      <c r="E2340" s="10" t="str">
        <f aca="false">IF($B2340="","",IFERROR(INDEX(M_loc,MATCH($B2340,M_emp,0)),""))</f>
        <v/>
      </c>
      <c r="F2340" s="33"/>
      <c r="G2340" s="33"/>
      <c r="H2340" s="33"/>
      <c r="I2340" s="33"/>
      <c r="J2340" s="33"/>
      <c r="K2340" s="33"/>
      <c r="L2340" s="33"/>
      <c r="M2340" s="33"/>
      <c r="N2340" s="33"/>
      <c r="O2340" s="33"/>
      <c r="P2340" s="33"/>
      <c r="Q2340" s="33"/>
      <c r="R2340" s="33"/>
      <c r="S2340" s="33"/>
      <c r="T2340" s="33"/>
      <c r="U2340" s="33"/>
      <c r="V2340" s="33"/>
      <c r="W2340" s="33"/>
      <c r="X2340" s="33"/>
      <c r="Y2340" s="33"/>
      <c r="Z2340" s="33"/>
      <c r="AA2340" s="33"/>
      <c r="AB2340" s="33"/>
      <c r="AC2340" s="33"/>
      <c r="AD2340" s="33"/>
      <c r="AE2340" s="33"/>
      <c r="AF2340" s="33"/>
      <c r="AG2340" s="33"/>
      <c r="AH2340" s="33"/>
      <c r="AI2340" s="33"/>
      <c r="AJ2340" s="33"/>
      <c r="AK2340" s="34" t="str">
        <f aca="false">IF($B2340="","",COUNTIF($F2340:$AJ2340,"P"))</f>
        <v/>
      </c>
      <c r="AL2340" s="34" t="str">
        <f aca="false">IF($B2340="","",COUNTIF($F2340:$AJ2340,"A"))</f>
        <v/>
      </c>
      <c r="AM2340" s="34" t="str">
        <f aca="false">IF($B2340="","",COUNTIF($F2340:$AJ2340,"HA"))</f>
        <v/>
      </c>
      <c r="AN2340" s="34" t="str">
        <f aca="false">IF($B2340="","",COUNTIF($F2340:$AJ2340,"L"))</f>
        <v/>
      </c>
      <c r="AO2340" s="34" t="str">
        <f aca="false">IF($B2340="","",COUNTIF($F2340:$AJ2340,"PL"))</f>
        <v/>
      </c>
      <c r="AP2340" s="34" t="str">
        <f aca="false">IF($B2340="","",COUNTIF($F2340:$AJ2340,"CL"))</f>
        <v/>
      </c>
      <c r="AQ2340" s="34" t="str">
        <f aca="false">IF($B2340="","",COUNTIF($F2340:$AJ2340,"SL"))</f>
        <v/>
      </c>
      <c r="AR2340" s="34" t="str">
        <f aca="false">IF($B2340="","",COUNTIF($F2340:$AJ2340,"CO"))</f>
        <v/>
      </c>
      <c r="AS2340" s="34" t="str">
        <f aca="false">IF($B2340="","",COUNTIF($F2340:$AJ2340,"HPL"))</f>
        <v/>
      </c>
      <c r="AT2340" s="34" t="str">
        <f aca="false">IF($B2340="","",COUNTIF($F2340:$AJ2340,"HCL"))</f>
        <v/>
      </c>
      <c r="AU2340" s="34" t="str">
        <f aca="false">IF($B2340="","",COUNTIF($F2340:$AJ2340,"WO"))</f>
        <v/>
      </c>
      <c r="AV2340" s="34" t="str">
        <f aca="false">IF($B2340="","",COUNTIF($F2340:$AJ2340,"PH"))</f>
        <v/>
      </c>
      <c r="AW2340" s="34" t="str">
        <f aca="false">IF($B2340="","",COUNTIF($F2340:$AJ2340,"TR"))</f>
        <v/>
      </c>
      <c r="AX2340" s="35" t="str">
        <f aca="false">IF($B2340="","",AO2340+AS2340/2)</f>
        <v/>
      </c>
      <c r="AY2340" s="35" t="str">
        <f aca="false">IF($B2340="","",AQ2340)</f>
        <v/>
      </c>
      <c r="AZ2340" s="35" t="str">
        <f aca="false">IF($B2340="","",AP2340+AT2340/2)</f>
        <v/>
      </c>
      <c r="BA2340" s="35" t="str">
        <f aca="false">IF($B2340="","",AK2340+AN2340+AM2340/2+AO2340+AP2340+AQ2340+AR2340+AS2340+AT2340+AU2340+AV2340+AW2340)</f>
        <v/>
      </c>
      <c r="BB2340" s="35" t="str">
        <f aca="false">IF($B2340="","",MAX(0,AN2340-Settings!$C$16)*Settings!$C$17)</f>
        <v/>
      </c>
      <c r="BC2340" s="35" t="str">
        <f aca="false">IF($B2340="","",BA2340-BB2340)</f>
        <v/>
      </c>
      <c r="BD2340" s="35" t="str">
        <f aca="false">IF(OR($B2340="",$A2340=""),"",DAY(EOMONTH($A2340,0))-COUNTA($F2340:$AJ2340))</f>
        <v/>
      </c>
    </row>
    <row r="2341" customFormat="false" ht="15" hidden="false" customHeight="false" outlineLevel="0" collapsed="false">
      <c r="A2341" s="32"/>
      <c r="B2341" s="29"/>
      <c r="C2341" s="10" t="str">
        <f aca="false">IF($B2341="","",IFERROR(INDEX(M_name,MATCH($B2341,M_emp,0)),"Code not found"))</f>
        <v/>
      </c>
      <c r="D2341" s="10" t="str">
        <f aca="false">IF($B2341="","",IFERROR(INDEX(M_dept,MATCH($B2341,M_emp,0)),""))</f>
        <v/>
      </c>
      <c r="E2341" s="10" t="str">
        <f aca="false">IF($B2341="","",IFERROR(INDEX(M_loc,MATCH($B2341,M_emp,0)),""))</f>
        <v/>
      </c>
      <c r="F2341" s="33"/>
      <c r="G2341" s="33"/>
      <c r="H2341" s="33"/>
      <c r="I2341" s="33"/>
      <c r="J2341" s="33"/>
      <c r="K2341" s="33"/>
      <c r="L2341" s="33"/>
      <c r="M2341" s="33"/>
      <c r="N2341" s="33"/>
      <c r="O2341" s="33"/>
      <c r="P2341" s="33"/>
      <c r="Q2341" s="33"/>
      <c r="R2341" s="33"/>
      <c r="S2341" s="33"/>
      <c r="T2341" s="33"/>
      <c r="U2341" s="33"/>
      <c r="V2341" s="33"/>
      <c r="W2341" s="33"/>
      <c r="X2341" s="33"/>
      <c r="Y2341" s="33"/>
      <c r="Z2341" s="33"/>
      <c r="AA2341" s="33"/>
      <c r="AB2341" s="33"/>
      <c r="AC2341" s="33"/>
      <c r="AD2341" s="33"/>
      <c r="AE2341" s="33"/>
      <c r="AF2341" s="33"/>
      <c r="AG2341" s="33"/>
      <c r="AH2341" s="33"/>
      <c r="AI2341" s="33"/>
      <c r="AJ2341" s="33"/>
      <c r="AK2341" s="34" t="str">
        <f aca="false">IF($B2341="","",COUNTIF($F2341:$AJ2341,"P"))</f>
        <v/>
      </c>
      <c r="AL2341" s="34" t="str">
        <f aca="false">IF($B2341="","",COUNTIF($F2341:$AJ2341,"A"))</f>
        <v/>
      </c>
      <c r="AM2341" s="34" t="str">
        <f aca="false">IF($B2341="","",COUNTIF($F2341:$AJ2341,"HA"))</f>
        <v/>
      </c>
      <c r="AN2341" s="34" t="str">
        <f aca="false">IF($B2341="","",COUNTIF($F2341:$AJ2341,"L"))</f>
        <v/>
      </c>
      <c r="AO2341" s="34" t="str">
        <f aca="false">IF($B2341="","",COUNTIF($F2341:$AJ2341,"PL"))</f>
        <v/>
      </c>
      <c r="AP2341" s="34" t="str">
        <f aca="false">IF($B2341="","",COUNTIF($F2341:$AJ2341,"CL"))</f>
        <v/>
      </c>
      <c r="AQ2341" s="34" t="str">
        <f aca="false">IF($B2341="","",COUNTIF($F2341:$AJ2341,"SL"))</f>
        <v/>
      </c>
      <c r="AR2341" s="34" t="str">
        <f aca="false">IF($B2341="","",COUNTIF($F2341:$AJ2341,"CO"))</f>
        <v/>
      </c>
      <c r="AS2341" s="34" t="str">
        <f aca="false">IF($B2341="","",COUNTIF($F2341:$AJ2341,"HPL"))</f>
        <v/>
      </c>
      <c r="AT2341" s="34" t="str">
        <f aca="false">IF($B2341="","",COUNTIF($F2341:$AJ2341,"HCL"))</f>
        <v/>
      </c>
      <c r="AU2341" s="34" t="str">
        <f aca="false">IF($B2341="","",COUNTIF($F2341:$AJ2341,"WO"))</f>
        <v/>
      </c>
      <c r="AV2341" s="34" t="str">
        <f aca="false">IF($B2341="","",COUNTIF($F2341:$AJ2341,"PH"))</f>
        <v/>
      </c>
      <c r="AW2341" s="34" t="str">
        <f aca="false">IF($B2341="","",COUNTIF($F2341:$AJ2341,"TR"))</f>
        <v/>
      </c>
      <c r="AX2341" s="35" t="str">
        <f aca="false">IF($B2341="","",AO2341+AS2341/2)</f>
        <v/>
      </c>
      <c r="AY2341" s="35" t="str">
        <f aca="false">IF($B2341="","",AQ2341)</f>
        <v/>
      </c>
      <c r="AZ2341" s="35" t="str">
        <f aca="false">IF($B2341="","",AP2341+AT2341/2)</f>
        <v/>
      </c>
      <c r="BA2341" s="35" t="str">
        <f aca="false">IF($B2341="","",AK2341+AN2341+AM2341/2+AO2341+AP2341+AQ2341+AR2341+AS2341+AT2341+AU2341+AV2341+AW2341)</f>
        <v/>
      </c>
      <c r="BB2341" s="35" t="str">
        <f aca="false">IF($B2341="","",MAX(0,AN2341-Settings!$C$16)*Settings!$C$17)</f>
        <v/>
      </c>
      <c r="BC2341" s="35" t="str">
        <f aca="false">IF($B2341="","",BA2341-BB2341)</f>
        <v/>
      </c>
      <c r="BD2341" s="35" t="str">
        <f aca="false">IF(OR($B2341="",$A2341=""),"",DAY(EOMONTH($A2341,0))-COUNTA($F2341:$AJ2341))</f>
        <v/>
      </c>
    </row>
    <row r="2342" customFormat="false" ht="15" hidden="false" customHeight="false" outlineLevel="0" collapsed="false">
      <c r="A2342" s="32"/>
      <c r="B2342" s="29"/>
      <c r="C2342" s="10" t="str">
        <f aca="false">IF($B2342="","",IFERROR(INDEX(M_name,MATCH($B2342,M_emp,0)),"Code not found"))</f>
        <v/>
      </c>
      <c r="D2342" s="10" t="str">
        <f aca="false">IF($B2342="","",IFERROR(INDEX(M_dept,MATCH($B2342,M_emp,0)),""))</f>
        <v/>
      </c>
      <c r="E2342" s="10" t="str">
        <f aca="false">IF($B2342="","",IFERROR(INDEX(M_loc,MATCH($B2342,M_emp,0)),""))</f>
        <v/>
      </c>
      <c r="F2342" s="33"/>
      <c r="G2342" s="33"/>
      <c r="H2342" s="33"/>
      <c r="I2342" s="33"/>
      <c r="J2342" s="33"/>
      <c r="K2342" s="33"/>
      <c r="L2342" s="33"/>
      <c r="M2342" s="33"/>
      <c r="N2342" s="33"/>
      <c r="O2342" s="33"/>
      <c r="P2342" s="33"/>
      <c r="Q2342" s="33"/>
      <c r="R2342" s="33"/>
      <c r="S2342" s="33"/>
      <c r="T2342" s="33"/>
      <c r="U2342" s="33"/>
      <c r="V2342" s="33"/>
      <c r="W2342" s="33"/>
      <c r="X2342" s="33"/>
      <c r="Y2342" s="33"/>
      <c r="Z2342" s="33"/>
      <c r="AA2342" s="33"/>
      <c r="AB2342" s="33"/>
      <c r="AC2342" s="33"/>
      <c r="AD2342" s="33"/>
      <c r="AE2342" s="33"/>
      <c r="AF2342" s="33"/>
      <c r="AG2342" s="33"/>
      <c r="AH2342" s="33"/>
      <c r="AI2342" s="33"/>
      <c r="AJ2342" s="33"/>
      <c r="AK2342" s="34" t="str">
        <f aca="false">IF($B2342="","",COUNTIF($F2342:$AJ2342,"P"))</f>
        <v/>
      </c>
      <c r="AL2342" s="34" t="str">
        <f aca="false">IF($B2342="","",COUNTIF($F2342:$AJ2342,"A"))</f>
        <v/>
      </c>
      <c r="AM2342" s="34" t="str">
        <f aca="false">IF($B2342="","",COUNTIF($F2342:$AJ2342,"HA"))</f>
        <v/>
      </c>
      <c r="AN2342" s="34" t="str">
        <f aca="false">IF($B2342="","",COUNTIF($F2342:$AJ2342,"L"))</f>
        <v/>
      </c>
      <c r="AO2342" s="34" t="str">
        <f aca="false">IF($B2342="","",COUNTIF($F2342:$AJ2342,"PL"))</f>
        <v/>
      </c>
      <c r="AP2342" s="34" t="str">
        <f aca="false">IF($B2342="","",COUNTIF($F2342:$AJ2342,"CL"))</f>
        <v/>
      </c>
      <c r="AQ2342" s="34" t="str">
        <f aca="false">IF($B2342="","",COUNTIF($F2342:$AJ2342,"SL"))</f>
        <v/>
      </c>
      <c r="AR2342" s="34" t="str">
        <f aca="false">IF($B2342="","",COUNTIF($F2342:$AJ2342,"CO"))</f>
        <v/>
      </c>
      <c r="AS2342" s="34" t="str">
        <f aca="false">IF($B2342="","",COUNTIF($F2342:$AJ2342,"HPL"))</f>
        <v/>
      </c>
      <c r="AT2342" s="34" t="str">
        <f aca="false">IF($B2342="","",COUNTIF($F2342:$AJ2342,"HCL"))</f>
        <v/>
      </c>
      <c r="AU2342" s="34" t="str">
        <f aca="false">IF($B2342="","",COUNTIF($F2342:$AJ2342,"WO"))</f>
        <v/>
      </c>
      <c r="AV2342" s="34" t="str">
        <f aca="false">IF($B2342="","",COUNTIF($F2342:$AJ2342,"PH"))</f>
        <v/>
      </c>
      <c r="AW2342" s="34" t="str">
        <f aca="false">IF($B2342="","",COUNTIF($F2342:$AJ2342,"TR"))</f>
        <v/>
      </c>
      <c r="AX2342" s="35" t="str">
        <f aca="false">IF($B2342="","",AO2342+AS2342/2)</f>
        <v/>
      </c>
      <c r="AY2342" s="35" t="str">
        <f aca="false">IF($B2342="","",AQ2342)</f>
        <v/>
      </c>
      <c r="AZ2342" s="35" t="str">
        <f aca="false">IF($B2342="","",AP2342+AT2342/2)</f>
        <v/>
      </c>
      <c r="BA2342" s="35" t="str">
        <f aca="false">IF($B2342="","",AK2342+AN2342+AM2342/2+AO2342+AP2342+AQ2342+AR2342+AS2342+AT2342+AU2342+AV2342+AW2342)</f>
        <v/>
      </c>
      <c r="BB2342" s="35" t="str">
        <f aca="false">IF($B2342="","",MAX(0,AN2342-Settings!$C$16)*Settings!$C$17)</f>
        <v/>
      </c>
      <c r="BC2342" s="35" t="str">
        <f aca="false">IF($B2342="","",BA2342-BB2342)</f>
        <v/>
      </c>
      <c r="BD2342" s="35" t="str">
        <f aca="false">IF(OR($B2342="",$A2342=""),"",DAY(EOMONTH($A2342,0))-COUNTA($F2342:$AJ2342))</f>
        <v/>
      </c>
    </row>
    <row r="2343" customFormat="false" ht="15" hidden="false" customHeight="false" outlineLevel="0" collapsed="false">
      <c r="A2343" s="32"/>
      <c r="B2343" s="29"/>
      <c r="C2343" s="10" t="str">
        <f aca="false">IF($B2343="","",IFERROR(INDEX(M_name,MATCH($B2343,M_emp,0)),"Code not found"))</f>
        <v/>
      </c>
      <c r="D2343" s="10" t="str">
        <f aca="false">IF($B2343="","",IFERROR(INDEX(M_dept,MATCH($B2343,M_emp,0)),""))</f>
        <v/>
      </c>
      <c r="E2343" s="10" t="str">
        <f aca="false">IF($B2343="","",IFERROR(INDEX(M_loc,MATCH($B2343,M_emp,0)),""))</f>
        <v/>
      </c>
      <c r="F2343" s="33"/>
      <c r="G2343" s="33"/>
      <c r="H2343" s="33"/>
      <c r="I2343" s="33"/>
      <c r="J2343" s="33"/>
      <c r="K2343" s="33"/>
      <c r="L2343" s="33"/>
      <c r="M2343" s="33"/>
      <c r="N2343" s="33"/>
      <c r="O2343" s="33"/>
      <c r="P2343" s="33"/>
      <c r="Q2343" s="33"/>
      <c r="R2343" s="33"/>
      <c r="S2343" s="33"/>
      <c r="T2343" s="33"/>
      <c r="U2343" s="33"/>
      <c r="V2343" s="33"/>
      <c r="W2343" s="33"/>
      <c r="X2343" s="33"/>
      <c r="Y2343" s="33"/>
      <c r="Z2343" s="33"/>
      <c r="AA2343" s="33"/>
      <c r="AB2343" s="33"/>
      <c r="AC2343" s="33"/>
      <c r="AD2343" s="33"/>
      <c r="AE2343" s="33"/>
      <c r="AF2343" s="33"/>
      <c r="AG2343" s="33"/>
      <c r="AH2343" s="33"/>
      <c r="AI2343" s="33"/>
      <c r="AJ2343" s="33"/>
      <c r="AK2343" s="34" t="str">
        <f aca="false">IF($B2343="","",COUNTIF($F2343:$AJ2343,"P"))</f>
        <v/>
      </c>
      <c r="AL2343" s="34" t="str">
        <f aca="false">IF($B2343="","",COUNTIF($F2343:$AJ2343,"A"))</f>
        <v/>
      </c>
      <c r="AM2343" s="34" t="str">
        <f aca="false">IF($B2343="","",COUNTIF($F2343:$AJ2343,"HA"))</f>
        <v/>
      </c>
      <c r="AN2343" s="34" t="str">
        <f aca="false">IF($B2343="","",COUNTIF($F2343:$AJ2343,"L"))</f>
        <v/>
      </c>
      <c r="AO2343" s="34" t="str">
        <f aca="false">IF($B2343="","",COUNTIF($F2343:$AJ2343,"PL"))</f>
        <v/>
      </c>
      <c r="AP2343" s="34" t="str">
        <f aca="false">IF($B2343="","",COUNTIF($F2343:$AJ2343,"CL"))</f>
        <v/>
      </c>
      <c r="AQ2343" s="34" t="str">
        <f aca="false">IF($B2343="","",COUNTIF($F2343:$AJ2343,"SL"))</f>
        <v/>
      </c>
      <c r="AR2343" s="34" t="str">
        <f aca="false">IF($B2343="","",COUNTIF($F2343:$AJ2343,"CO"))</f>
        <v/>
      </c>
      <c r="AS2343" s="34" t="str">
        <f aca="false">IF($B2343="","",COUNTIF($F2343:$AJ2343,"HPL"))</f>
        <v/>
      </c>
      <c r="AT2343" s="34" t="str">
        <f aca="false">IF($B2343="","",COUNTIF($F2343:$AJ2343,"HCL"))</f>
        <v/>
      </c>
      <c r="AU2343" s="34" t="str">
        <f aca="false">IF($B2343="","",COUNTIF($F2343:$AJ2343,"WO"))</f>
        <v/>
      </c>
      <c r="AV2343" s="34" t="str">
        <f aca="false">IF($B2343="","",COUNTIF($F2343:$AJ2343,"PH"))</f>
        <v/>
      </c>
      <c r="AW2343" s="34" t="str">
        <f aca="false">IF($B2343="","",COUNTIF($F2343:$AJ2343,"TR"))</f>
        <v/>
      </c>
      <c r="AX2343" s="35" t="str">
        <f aca="false">IF($B2343="","",AO2343+AS2343/2)</f>
        <v/>
      </c>
      <c r="AY2343" s="35" t="str">
        <f aca="false">IF($B2343="","",AQ2343)</f>
        <v/>
      </c>
      <c r="AZ2343" s="35" t="str">
        <f aca="false">IF($B2343="","",AP2343+AT2343/2)</f>
        <v/>
      </c>
      <c r="BA2343" s="35" t="str">
        <f aca="false">IF($B2343="","",AK2343+AN2343+AM2343/2+AO2343+AP2343+AQ2343+AR2343+AS2343+AT2343+AU2343+AV2343+AW2343)</f>
        <v/>
      </c>
      <c r="BB2343" s="35" t="str">
        <f aca="false">IF($B2343="","",MAX(0,AN2343-Settings!$C$16)*Settings!$C$17)</f>
        <v/>
      </c>
      <c r="BC2343" s="35" t="str">
        <f aca="false">IF($B2343="","",BA2343-BB2343)</f>
        <v/>
      </c>
      <c r="BD2343" s="35" t="str">
        <f aca="false">IF(OR($B2343="",$A2343=""),"",DAY(EOMONTH($A2343,0))-COUNTA($F2343:$AJ2343))</f>
        <v/>
      </c>
    </row>
    <row r="2344" customFormat="false" ht="15" hidden="false" customHeight="false" outlineLevel="0" collapsed="false">
      <c r="A2344" s="32"/>
      <c r="B2344" s="29"/>
      <c r="C2344" s="10" t="str">
        <f aca="false">IF($B2344="","",IFERROR(INDEX(M_name,MATCH($B2344,M_emp,0)),"Code not found"))</f>
        <v/>
      </c>
      <c r="D2344" s="10" t="str">
        <f aca="false">IF($B2344="","",IFERROR(INDEX(M_dept,MATCH($B2344,M_emp,0)),""))</f>
        <v/>
      </c>
      <c r="E2344" s="10" t="str">
        <f aca="false">IF($B2344="","",IFERROR(INDEX(M_loc,MATCH($B2344,M_emp,0)),""))</f>
        <v/>
      </c>
      <c r="F2344" s="33"/>
      <c r="G2344" s="33"/>
      <c r="H2344" s="33"/>
      <c r="I2344" s="33"/>
      <c r="J2344" s="33"/>
      <c r="K2344" s="33"/>
      <c r="L2344" s="33"/>
      <c r="M2344" s="33"/>
      <c r="N2344" s="33"/>
      <c r="O2344" s="33"/>
      <c r="P2344" s="33"/>
      <c r="Q2344" s="33"/>
      <c r="R2344" s="33"/>
      <c r="S2344" s="33"/>
      <c r="T2344" s="33"/>
      <c r="U2344" s="33"/>
      <c r="V2344" s="33"/>
      <c r="W2344" s="33"/>
      <c r="X2344" s="33"/>
      <c r="Y2344" s="33"/>
      <c r="Z2344" s="33"/>
      <c r="AA2344" s="33"/>
      <c r="AB2344" s="33"/>
      <c r="AC2344" s="33"/>
      <c r="AD2344" s="33"/>
      <c r="AE2344" s="33"/>
      <c r="AF2344" s="33"/>
      <c r="AG2344" s="33"/>
      <c r="AH2344" s="33"/>
      <c r="AI2344" s="33"/>
      <c r="AJ2344" s="33"/>
      <c r="AK2344" s="34" t="str">
        <f aca="false">IF($B2344="","",COUNTIF($F2344:$AJ2344,"P"))</f>
        <v/>
      </c>
      <c r="AL2344" s="34" t="str">
        <f aca="false">IF($B2344="","",COUNTIF($F2344:$AJ2344,"A"))</f>
        <v/>
      </c>
      <c r="AM2344" s="34" t="str">
        <f aca="false">IF($B2344="","",COUNTIF($F2344:$AJ2344,"HA"))</f>
        <v/>
      </c>
      <c r="AN2344" s="34" t="str">
        <f aca="false">IF($B2344="","",COUNTIF($F2344:$AJ2344,"L"))</f>
        <v/>
      </c>
      <c r="AO2344" s="34" t="str">
        <f aca="false">IF($B2344="","",COUNTIF($F2344:$AJ2344,"PL"))</f>
        <v/>
      </c>
      <c r="AP2344" s="34" t="str">
        <f aca="false">IF($B2344="","",COUNTIF($F2344:$AJ2344,"CL"))</f>
        <v/>
      </c>
      <c r="AQ2344" s="34" t="str">
        <f aca="false">IF($B2344="","",COUNTIF($F2344:$AJ2344,"SL"))</f>
        <v/>
      </c>
      <c r="AR2344" s="34" t="str">
        <f aca="false">IF($B2344="","",COUNTIF($F2344:$AJ2344,"CO"))</f>
        <v/>
      </c>
      <c r="AS2344" s="34" t="str">
        <f aca="false">IF($B2344="","",COUNTIF($F2344:$AJ2344,"HPL"))</f>
        <v/>
      </c>
      <c r="AT2344" s="34" t="str">
        <f aca="false">IF($B2344="","",COUNTIF($F2344:$AJ2344,"HCL"))</f>
        <v/>
      </c>
      <c r="AU2344" s="34" t="str">
        <f aca="false">IF($B2344="","",COUNTIF($F2344:$AJ2344,"WO"))</f>
        <v/>
      </c>
      <c r="AV2344" s="34" t="str">
        <f aca="false">IF($B2344="","",COUNTIF($F2344:$AJ2344,"PH"))</f>
        <v/>
      </c>
      <c r="AW2344" s="34" t="str">
        <f aca="false">IF($B2344="","",COUNTIF($F2344:$AJ2344,"TR"))</f>
        <v/>
      </c>
      <c r="AX2344" s="35" t="str">
        <f aca="false">IF($B2344="","",AO2344+AS2344/2)</f>
        <v/>
      </c>
      <c r="AY2344" s="35" t="str">
        <f aca="false">IF($B2344="","",AQ2344)</f>
        <v/>
      </c>
      <c r="AZ2344" s="35" t="str">
        <f aca="false">IF($B2344="","",AP2344+AT2344/2)</f>
        <v/>
      </c>
      <c r="BA2344" s="35" t="str">
        <f aca="false">IF($B2344="","",AK2344+AN2344+AM2344/2+AO2344+AP2344+AQ2344+AR2344+AS2344+AT2344+AU2344+AV2344+AW2344)</f>
        <v/>
      </c>
      <c r="BB2344" s="35" t="str">
        <f aca="false">IF($B2344="","",MAX(0,AN2344-Settings!$C$16)*Settings!$C$17)</f>
        <v/>
      </c>
      <c r="BC2344" s="35" t="str">
        <f aca="false">IF($B2344="","",BA2344-BB2344)</f>
        <v/>
      </c>
      <c r="BD2344" s="35" t="str">
        <f aca="false">IF(OR($B2344="",$A2344=""),"",DAY(EOMONTH($A2344,0))-COUNTA($F2344:$AJ2344))</f>
        <v/>
      </c>
    </row>
    <row r="2345" customFormat="false" ht="15" hidden="false" customHeight="false" outlineLevel="0" collapsed="false">
      <c r="A2345" s="32"/>
      <c r="B2345" s="29"/>
      <c r="C2345" s="10" t="str">
        <f aca="false">IF($B2345="","",IFERROR(INDEX(M_name,MATCH($B2345,M_emp,0)),"Code not found"))</f>
        <v/>
      </c>
      <c r="D2345" s="10" t="str">
        <f aca="false">IF($B2345="","",IFERROR(INDEX(M_dept,MATCH($B2345,M_emp,0)),""))</f>
        <v/>
      </c>
      <c r="E2345" s="10" t="str">
        <f aca="false">IF($B2345="","",IFERROR(INDEX(M_loc,MATCH($B2345,M_emp,0)),""))</f>
        <v/>
      </c>
      <c r="F2345" s="33"/>
      <c r="G2345" s="33"/>
      <c r="H2345" s="33"/>
      <c r="I2345" s="33"/>
      <c r="J2345" s="33"/>
      <c r="K2345" s="33"/>
      <c r="L2345" s="33"/>
      <c r="M2345" s="33"/>
      <c r="N2345" s="33"/>
      <c r="O2345" s="33"/>
      <c r="P2345" s="33"/>
      <c r="Q2345" s="33"/>
      <c r="R2345" s="33"/>
      <c r="S2345" s="33"/>
      <c r="T2345" s="33"/>
      <c r="U2345" s="33"/>
      <c r="V2345" s="33"/>
      <c r="W2345" s="33"/>
      <c r="X2345" s="33"/>
      <c r="Y2345" s="33"/>
      <c r="Z2345" s="33"/>
      <c r="AA2345" s="33"/>
      <c r="AB2345" s="33"/>
      <c r="AC2345" s="33"/>
      <c r="AD2345" s="33"/>
      <c r="AE2345" s="33"/>
      <c r="AF2345" s="33"/>
      <c r="AG2345" s="33"/>
      <c r="AH2345" s="33"/>
      <c r="AI2345" s="33"/>
      <c r="AJ2345" s="33"/>
      <c r="AK2345" s="34" t="str">
        <f aca="false">IF($B2345="","",COUNTIF($F2345:$AJ2345,"P"))</f>
        <v/>
      </c>
      <c r="AL2345" s="34" t="str">
        <f aca="false">IF($B2345="","",COUNTIF($F2345:$AJ2345,"A"))</f>
        <v/>
      </c>
      <c r="AM2345" s="34" t="str">
        <f aca="false">IF($B2345="","",COUNTIF($F2345:$AJ2345,"HA"))</f>
        <v/>
      </c>
      <c r="AN2345" s="34" t="str">
        <f aca="false">IF($B2345="","",COUNTIF($F2345:$AJ2345,"L"))</f>
        <v/>
      </c>
      <c r="AO2345" s="34" t="str">
        <f aca="false">IF($B2345="","",COUNTIF($F2345:$AJ2345,"PL"))</f>
        <v/>
      </c>
      <c r="AP2345" s="34" t="str">
        <f aca="false">IF($B2345="","",COUNTIF($F2345:$AJ2345,"CL"))</f>
        <v/>
      </c>
      <c r="AQ2345" s="34" t="str">
        <f aca="false">IF($B2345="","",COUNTIF($F2345:$AJ2345,"SL"))</f>
        <v/>
      </c>
      <c r="AR2345" s="34" t="str">
        <f aca="false">IF($B2345="","",COUNTIF($F2345:$AJ2345,"CO"))</f>
        <v/>
      </c>
      <c r="AS2345" s="34" t="str">
        <f aca="false">IF($B2345="","",COUNTIF($F2345:$AJ2345,"HPL"))</f>
        <v/>
      </c>
      <c r="AT2345" s="34" t="str">
        <f aca="false">IF($B2345="","",COUNTIF($F2345:$AJ2345,"HCL"))</f>
        <v/>
      </c>
      <c r="AU2345" s="34" t="str">
        <f aca="false">IF($B2345="","",COUNTIF($F2345:$AJ2345,"WO"))</f>
        <v/>
      </c>
      <c r="AV2345" s="34" t="str">
        <f aca="false">IF($B2345="","",COUNTIF($F2345:$AJ2345,"PH"))</f>
        <v/>
      </c>
      <c r="AW2345" s="34" t="str">
        <f aca="false">IF($B2345="","",COUNTIF($F2345:$AJ2345,"TR"))</f>
        <v/>
      </c>
      <c r="AX2345" s="35" t="str">
        <f aca="false">IF($B2345="","",AO2345+AS2345/2)</f>
        <v/>
      </c>
      <c r="AY2345" s="35" t="str">
        <f aca="false">IF($B2345="","",AQ2345)</f>
        <v/>
      </c>
      <c r="AZ2345" s="35" t="str">
        <f aca="false">IF($B2345="","",AP2345+AT2345/2)</f>
        <v/>
      </c>
      <c r="BA2345" s="35" t="str">
        <f aca="false">IF($B2345="","",AK2345+AN2345+AM2345/2+AO2345+AP2345+AQ2345+AR2345+AS2345+AT2345+AU2345+AV2345+AW2345)</f>
        <v/>
      </c>
      <c r="BB2345" s="35" t="str">
        <f aca="false">IF($B2345="","",MAX(0,AN2345-Settings!$C$16)*Settings!$C$17)</f>
        <v/>
      </c>
      <c r="BC2345" s="35" t="str">
        <f aca="false">IF($B2345="","",BA2345-BB2345)</f>
        <v/>
      </c>
      <c r="BD2345" s="35" t="str">
        <f aca="false">IF(OR($B2345="",$A2345=""),"",DAY(EOMONTH($A2345,0))-COUNTA($F2345:$AJ2345))</f>
        <v/>
      </c>
    </row>
    <row r="2346" customFormat="false" ht="15" hidden="false" customHeight="false" outlineLevel="0" collapsed="false">
      <c r="A2346" s="32"/>
      <c r="B2346" s="29"/>
      <c r="C2346" s="10" t="str">
        <f aca="false">IF($B2346="","",IFERROR(INDEX(M_name,MATCH($B2346,M_emp,0)),"Code not found"))</f>
        <v/>
      </c>
      <c r="D2346" s="10" t="str">
        <f aca="false">IF($B2346="","",IFERROR(INDEX(M_dept,MATCH($B2346,M_emp,0)),""))</f>
        <v/>
      </c>
      <c r="E2346" s="10" t="str">
        <f aca="false">IF($B2346="","",IFERROR(INDEX(M_loc,MATCH($B2346,M_emp,0)),""))</f>
        <v/>
      </c>
      <c r="F2346" s="33"/>
      <c r="G2346" s="33"/>
      <c r="H2346" s="33"/>
      <c r="I2346" s="33"/>
      <c r="J2346" s="33"/>
      <c r="K2346" s="33"/>
      <c r="L2346" s="33"/>
      <c r="M2346" s="33"/>
      <c r="N2346" s="33"/>
      <c r="O2346" s="33"/>
      <c r="P2346" s="33"/>
      <c r="Q2346" s="33"/>
      <c r="R2346" s="33"/>
      <c r="S2346" s="33"/>
      <c r="T2346" s="33"/>
      <c r="U2346" s="33"/>
      <c r="V2346" s="33"/>
      <c r="W2346" s="33"/>
      <c r="X2346" s="33"/>
      <c r="Y2346" s="33"/>
      <c r="Z2346" s="33"/>
      <c r="AA2346" s="33"/>
      <c r="AB2346" s="33"/>
      <c r="AC2346" s="33"/>
      <c r="AD2346" s="33"/>
      <c r="AE2346" s="33"/>
      <c r="AF2346" s="33"/>
      <c r="AG2346" s="33"/>
      <c r="AH2346" s="33"/>
      <c r="AI2346" s="33"/>
      <c r="AJ2346" s="33"/>
      <c r="AK2346" s="34" t="str">
        <f aca="false">IF($B2346="","",COUNTIF($F2346:$AJ2346,"P"))</f>
        <v/>
      </c>
      <c r="AL2346" s="34" t="str">
        <f aca="false">IF($B2346="","",COUNTIF($F2346:$AJ2346,"A"))</f>
        <v/>
      </c>
      <c r="AM2346" s="34" t="str">
        <f aca="false">IF($B2346="","",COUNTIF($F2346:$AJ2346,"HA"))</f>
        <v/>
      </c>
      <c r="AN2346" s="34" t="str">
        <f aca="false">IF($B2346="","",COUNTIF($F2346:$AJ2346,"L"))</f>
        <v/>
      </c>
      <c r="AO2346" s="34" t="str">
        <f aca="false">IF($B2346="","",COUNTIF($F2346:$AJ2346,"PL"))</f>
        <v/>
      </c>
      <c r="AP2346" s="34" t="str">
        <f aca="false">IF($B2346="","",COUNTIF($F2346:$AJ2346,"CL"))</f>
        <v/>
      </c>
      <c r="AQ2346" s="34" t="str">
        <f aca="false">IF($B2346="","",COUNTIF($F2346:$AJ2346,"SL"))</f>
        <v/>
      </c>
      <c r="AR2346" s="34" t="str">
        <f aca="false">IF($B2346="","",COUNTIF($F2346:$AJ2346,"CO"))</f>
        <v/>
      </c>
      <c r="AS2346" s="34" t="str">
        <f aca="false">IF($B2346="","",COUNTIF($F2346:$AJ2346,"HPL"))</f>
        <v/>
      </c>
      <c r="AT2346" s="34" t="str">
        <f aca="false">IF($B2346="","",COUNTIF($F2346:$AJ2346,"HCL"))</f>
        <v/>
      </c>
      <c r="AU2346" s="34" t="str">
        <f aca="false">IF($B2346="","",COUNTIF($F2346:$AJ2346,"WO"))</f>
        <v/>
      </c>
      <c r="AV2346" s="34" t="str">
        <f aca="false">IF($B2346="","",COUNTIF($F2346:$AJ2346,"PH"))</f>
        <v/>
      </c>
      <c r="AW2346" s="34" t="str">
        <f aca="false">IF($B2346="","",COUNTIF($F2346:$AJ2346,"TR"))</f>
        <v/>
      </c>
      <c r="AX2346" s="35" t="str">
        <f aca="false">IF($B2346="","",AO2346+AS2346/2)</f>
        <v/>
      </c>
      <c r="AY2346" s="35" t="str">
        <f aca="false">IF($B2346="","",AQ2346)</f>
        <v/>
      </c>
      <c r="AZ2346" s="35" t="str">
        <f aca="false">IF($B2346="","",AP2346+AT2346/2)</f>
        <v/>
      </c>
      <c r="BA2346" s="35" t="str">
        <f aca="false">IF($B2346="","",AK2346+AN2346+AM2346/2+AO2346+AP2346+AQ2346+AR2346+AS2346+AT2346+AU2346+AV2346+AW2346)</f>
        <v/>
      </c>
      <c r="BB2346" s="35" t="str">
        <f aca="false">IF($B2346="","",MAX(0,AN2346-Settings!$C$16)*Settings!$C$17)</f>
        <v/>
      </c>
      <c r="BC2346" s="35" t="str">
        <f aca="false">IF($B2346="","",BA2346-BB2346)</f>
        <v/>
      </c>
      <c r="BD2346" s="35" t="str">
        <f aca="false">IF(OR($B2346="",$A2346=""),"",DAY(EOMONTH($A2346,0))-COUNTA($F2346:$AJ2346))</f>
        <v/>
      </c>
    </row>
    <row r="2347" customFormat="false" ht="15" hidden="false" customHeight="false" outlineLevel="0" collapsed="false">
      <c r="A2347" s="32"/>
      <c r="B2347" s="29"/>
      <c r="C2347" s="10" t="str">
        <f aca="false">IF($B2347="","",IFERROR(INDEX(M_name,MATCH($B2347,M_emp,0)),"Code not found"))</f>
        <v/>
      </c>
      <c r="D2347" s="10" t="str">
        <f aca="false">IF($B2347="","",IFERROR(INDEX(M_dept,MATCH($B2347,M_emp,0)),""))</f>
        <v/>
      </c>
      <c r="E2347" s="10" t="str">
        <f aca="false">IF($B2347="","",IFERROR(INDEX(M_loc,MATCH($B2347,M_emp,0)),""))</f>
        <v/>
      </c>
      <c r="F2347" s="33"/>
      <c r="G2347" s="33"/>
      <c r="H2347" s="33"/>
      <c r="I2347" s="33"/>
      <c r="J2347" s="33"/>
      <c r="K2347" s="33"/>
      <c r="L2347" s="33"/>
      <c r="M2347" s="33"/>
      <c r="N2347" s="33"/>
      <c r="O2347" s="33"/>
      <c r="P2347" s="33"/>
      <c r="Q2347" s="33"/>
      <c r="R2347" s="33"/>
      <c r="S2347" s="33"/>
      <c r="T2347" s="33"/>
      <c r="U2347" s="33"/>
      <c r="V2347" s="33"/>
      <c r="W2347" s="33"/>
      <c r="X2347" s="33"/>
      <c r="Y2347" s="33"/>
      <c r="Z2347" s="33"/>
      <c r="AA2347" s="33"/>
      <c r="AB2347" s="33"/>
      <c r="AC2347" s="33"/>
      <c r="AD2347" s="33"/>
      <c r="AE2347" s="33"/>
      <c r="AF2347" s="33"/>
      <c r="AG2347" s="33"/>
      <c r="AH2347" s="33"/>
      <c r="AI2347" s="33"/>
      <c r="AJ2347" s="33"/>
      <c r="AK2347" s="34" t="str">
        <f aca="false">IF($B2347="","",COUNTIF($F2347:$AJ2347,"P"))</f>
        <v/>
      </c>
      <c r="AL2347" s="34" t="str">
        <f aca="false">IF($B2347="","",COUNTIF($F2347:$AJ2347,"A"))</f>
        <v/>
      </c>
      <c r="AM2347" s="34" t="str">
        <f aca="false">IF($B2347="","",COUNTIF($F2347:$AJ2347,"HA"))</f>
        <v/>
      </c>
      <c r="AN2347" s="34" t="str">
        <f aca="false">IF($B2347="","",COUNTIF($F2347:$AJ2347,"L"))</f>
        <v/>
      </c>
      <c r="AO2347" s="34" t="str">
        <f aca="false">IF($B2347="","",COUNTIF($F2347:$AJ2347,"PL"))</f>
        <v/>
      </c>
      <c r="AP2347" s="34" t="str">
        <f aca="false">IF($B2347="","",COUNTIF($F2347:$AJ2347,"CL"))</f>
        <v/>
      </c>
      <c r="AQ2347" s="34" t="str">
        <f aca="false">IF($B2347="","",COUNTIF($F2347:$AJ2347,"SL"))</f>
        <v/>
      </c>
      <c r="AR2347" s="34" t="str">
        <f aca="false">IF($B2347="","",COUNTIF($F2347:$AJ2347,"CO"))</f>
        <v/>
      </c>
      <c r="AS2347" s="34" t="str">
        <f aca="false">IF($B2347="","",COUNTIF($F2347:$AJ2347,"HPL"))</f>
        <v/>
      </c>
      <c r="AT2347" s="34" t="str">
        <f aca="false">IF($B2347="","",COUNTIF($F2347:$AJ2347,"HCL"))</f>
        <v/>
      </c>
      <c r="AU2347" s="34" t="str">
        <f aca="false">IF($B2347="","",COUNTIF($F2347:$AJ2347,"WO"))</f>
        <v/>
      </c>
      <c r="AV2347" s="34" t="str">
        <f aca="false">IF($B2347="","",COUNTIF($F2347:$AJ2347,"PH"))</f>
        <v/>
      </c>
      <c r="AW2347" s="34" t="str">
        <f aca="false">IF($B2347="","",COUNTIF($F2347:$AJ2347,"TR"))</f>
        <v/>
      </c>
      <c r="AX2347" s="35" t="str">
        <f aca="false">IF($B2347="","",AO2347+AS2347/2)</f>
        <v/>
      </c>
      <c r="AY2347" s="35" t="str">
        <f aca="false">IF($B2347="","",AQ2347)</f>
        <v/>
      </c>
      <c r="AZ2347" s="35" t="str">
        <f aca="false">IF($B2347="","",AP2347+AT2347/2)</f>
        <v/>
      </c>
      <c r="BA2347" s="35" t="str">
        <f aca="false">IF($B2347="","",AK2347+AN2347+AM2347/2+AO2347+AP2347+AQ2347+AR2347+AS2347+AT2347+AU2347+AV2347+AW2347)</f>
        <v/>
      </c>
      <c r="BB2347" s="35" t="str">
        <f aca="false">IF($B2347="","",MAX(0,AN2347-Settings!$C$16)*Settings!$C$17)</f>
        <v/>
      </c>
      <c r="BC2347" s="35" t="str">
        <f aca="false">IF($B2347="","",BA2347-BB2347)</f>
        <v/>
      </c>
      <c r="BD2347" s="35" t="str">
        <f aca="false">IF(OR($B2347="",$A2347=""),"",DAY(EOMONTH($A2347,0))-COUNTA($F2347:$AJ2347))</f>
        <v/>
      </c>
    </row>
    <row r="2348" customFormat="false" ht="15" hidden="false" customHeight="false" outlineLevel="0" collapsed="false">
      <c r="A2348" s="32"/>
      <c r="B2348" s="29"/>
      <c r="C2348" s="10" t="str">
        <f aca="false">IF($B2348="","",IFERROR(INDEX(M_name,MATCH($B2348,M_emp,0)),"Code not found"))</f>
        <v/>
      </c>
      <c r="D2348" s="10" t="str">
        <f aca="false">IF($B2348="","",IFERROR(INDEX(M_dept,MATCH($B2348,M_emp,0)),""))</f>
        <v/>
      </c>
      <c r="E2348" s="10" t="str">
        <f aca="false">IF($B2348="","",IFERROR(INDEX(M_loc,MATCH($B2348,M_emp,0)),""))</f>
        <v/>
      </c>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3"/>
      <c r="AB2348" s="33"/>
      <c r="AC2348" s="33"/>
      <c r="AD2348" s="33"/>
      <c r="AE2348" s="33"/>
      <c r="AF2348" s="33"/>
      <c r="AG2348" s="33"/>
      <c r="AH2348" s="33"/>
      <c r="AI2348" s="33"/>
      <c r="AJ2348" s="33"/>
      <c r="AK2348" s="34" t="str">
        <f aca="false">IF($B2348="","",COUNTIF($F2348:$AJ2348,"P"))</f>
        <v/>
      </c>
      <c r="AL2348" s="34" t="str">
        <f aca="false">IF($B2348="","",COUNTIF($F2348:$AJ2348,"A"))</f>
        <v/>
      </c>
      <c r="AM2348" s="34" t="str">
        <f aca="false">IF($B2348="","",COUNTIF($F2348:$AJ2348,"HA"))</f>
        <v/>
      </c>
      <c r="AN2348" s="34" t="str">
        <f aca="false">IF($B2348="","",COUNTIF($F2348:$AJ2348,"L"))</f>
        <v/>
      </c>
      <c r="AO2348" s="34" t="str">
        <f aca="false">IF($B2348="","",COUNTIF($F2348:$AJ2348,"PL"))</f>
        <v/>
      </c>
      <c r="AP2348" s="34" t="str">
        <f aca="false">IF($B2348="","",COUNTIF($F2348:$AJ2348,"CL"))</f>
        <v/>
      </c>
      <c r="AQ2348" s="34" t="str">
        <f aca="false">IF($B2348="","",COUNTIF($F2348:$AJ2348,"SL"))</f>
        <v/>
      </c>
      <c r="AR2348" s="34" t="str">
        <f aca="false">IF($B2348="","",COUNTIF($F2348:$AJ2348,"CO"))</f>
        <v/>
      </c>
      <c r="AS2348" s="34" t="str">
        <f aca="false">IF($B2348="","",COUNTIF($F2348:$AJ2348,"HPL"))</f>
        <v/>
      </c>
      <c r="AT2348" s="34" t="str">
        <f aca="false">IF($B2348="","",COUNTIF($F2348:$AJ2348,"HCL"))</f>
        <v/>
      </c>
      <c r="AU2348" s="34" t="str">
        <f aca="false">IF($B2348="","",COUNTIF($F2348:$AJ2348,"WO"))</f>
        <v/>
      </c>
      <c r="AV2348" s="34" t="str">
        <f aca="false">IF($B2348="","",COUNTIF($F2348:$AJ2348,"PH"))</f>
        <v/>
      </c>
      <c r="AW2348" s="34" t="str">
        <f aca="false">IF($B2348="","",COUNTIF($F2348:$AJ2348,"TR"))</f>
        <v/>
      </c>
      <c r="AX2348" s="35" t="str">
        <f aca="false">IF($B2348="","",AO2348+AS2348/2)</f>
        <v/>
      </c>
      <c r="AY2348" s="35" t="str">
        <f aca="false">IF($B2348="","",AQ2348)</f>
        <v/>
      </c>
      <c r="AZ2348" s="35" t="str">
        <f aca="false">IF($B2348="","",AP2348+AT2348/2)</f>
        <v/>
      </c>
      <c r="BA2348" s="35" t="str">
        <f aca="false">IF($B2348="","",AK2348+AN2348+AM2348/2+AO2348+AP2348+AQ2348+AR2348+AS2348+AT2348+AU2348+AV2348+AW2348)</f>
        <v/>
      </c>
      <c r="BB2348" s="35" t="str">
        <f aca="false">IF($B2348="","",MAX(0,AN2348-Settings!$C$16)*Settings!$C$17)</f>
        <v/>
      </c>
      <c r="BC2348" s="35" t="str">
        <f aca="false">IF($B2348="","",BA2348-BB2348)</f>
        <v/>
      </c>
      <c r="BD2348" s="35" t="str">
        <f aca="false">IF(OR($B2348="",$A2348=""),"",DAY(EOMONTH($A2348,0))-COUNTA($F2348:$AJ2348))</f>
        <v/>
      </c>
    </row>
    <row r="2349" customFormat="false" ht="15" hidden="false" customHeight="false" outlineLevel="0" collapsed="false">
      <c r="A2349" s="32"/>
      <c r="B2349" s="29"/>
      <c r="C2349" s="10" t="str">
        <f aca="false">IF($B2349="","",IFERROR(INDEX(M_name,MATCH($B2349,M_emp,0)),"Code not found"))</f>
        <v/>
      </c>
      <c r="D2349" s="10" t="str">
        <f aca="false">IF($B2349="","",IFERROR(INDEX(M_dept,MATCH($B2349,M_emp,0)),""))</f>
        <v/>
      </c>
      <c r="E2349" s="10" t="str">
        <f aca="false">IF($B2349="","",IFERROR(INDEX(M_loc,MATCH($B2349,M_emp,0)),""))</f>
        <v/>
      </c>
      <c r="F2349" s="33"/>
      <c r="G2349" s="33"/>
      <c r="H2349" s="33"/>
      <c r="I2349" s="33"/>
      <c r="J2349" s="33"/>
      <c r="K2349" s="33"/>
      <c r="L2349" s="33"/>
      <c r="M2349" s="33"/>
      <c r="N2349" s="33"/>
      <c r="O2349" s="33"/>
      <c r="P2349" s="33"/>
      <c r="Q2349" s="33"/>
      <c r="R2349" s="33"/>
      <c r="S2349" s="33"/>
      <c r="T2349" s="33"/>
      <c r="U2349" s="33"/>
      <c r="V2349" s="33"/>
      <c r="W2349" s="33"/>
      <c r="X2349" s="33"/>
      <c r="Y2349" s="33"/>
      <c r="Z2349" s="33"/>
      <c r="AA2349" s="33"/>
      <c r="AB2349" s="33"/>
      <c r="AC2349" s="33"/>
      <c r="AD2349" s="33"/>
      <c r="AE2349" s="33"/>
      <c r="AF2349" s="33"/>
      <c r="AG2349" s="33"/>
      <c r="AH2349" s="33"/>
      <c r="AI2349" s="33"/>
      <c r="AJ2349" s="33"/>
      <c r="AK2349" s="34" t="str">
        <f aca="false">IF($B2349="","",COUNTIF($F2349:$AJ2349,"P"))</f>
        <v/>
      </c>
      <c r="AL2349" s="34" t="str">
        <f aca="false">IF($B2349="","",COUNTIF($F2349:$AJ2349,"A"))</f>
        <v/>
      </c>
      <c r="AM2349" s="34" t="str">
        <f aca="false">IF($B2349="","",COUNTIF($F2349:$AJ2349,"HA"))</f>
        <v/>
      </c>
      <c r="AN2349" s="34" t="str">
        <f aca="false">IF($B2349="","",COUNTIF($F2349:$AJ2349,"L"))</f>
        <v/>
      </c>
      <c r="AO2349" s="34" t="str">
        <f aca="false">IF($B2349="","",COUNTIF($F2349:$AJ2349,"PL"))</f>
        <v/>
      </c>
      <c r="AP2349" s="34" t="str">
        <f aca="false">IF($B2349="","",COUNTIF($F2349:$AJ2349,"CL"))</f>
        <v/>
      </c>
      <c r="AQ2349" s="34" t="str">
        <f aca="false">IF($B2349="","",COUNTIF($F2349:$AJ2349,"SL"))</f>
        <v/>
      </c>
      <c r="AR2349" s="34" t="str">
        <f aca="false">IF($B2349="","",COUNTIF($F2349:$AJ2349,"CO"))</f>
        <v/>
      </c>
      <c r="AS2349" s="34" t="str">
        <f aca="false">IF($B2349="","",COUNTIF($F2349:$AJ2349,"HPL"))</f>
        <v/>
      </c>
      <c r="AT2349" s="34" t="str">
        <f aca="false">IF($B2349="","",COUNTIF($F2349:$AJ2349,"HCL"))</f>
        <v/>
      </c>
      <c r="AU2349" s="34" t="str">
        <f aca="false">IF($B2349="","",COUNTIF($F2349:$AJ2349,"WO"))</f>
        <v/>
      </c>
      <c r="AV2349" s="34" t="str">
        <f aca="false">IF($B2349="","",COUNTIF($F2349:$AJ2349,"PH"))</f>
        <v/>
      </c>
      <c r="AW2349" s="34" t="str">
        <f aca="false">IF($B2349="","",COUNTIF($F2349:$AJ2349,"TR"))</f>
        <v/>
      </c>
      <c r="AX2349" s="35" t="str">
        <f aca="false">IF($B2349="","",AO2349+AS2349/2)</f>
        <v/>
      </c>
      <c r="AY2349" s="35" t="str">
        <f aca="false">IF($B2349="","",AQ2349)</f>
        <v/>
      </c>
      <c r="AZ2349" s="35" t="str">
        <f aca="false">IF($B2349="","",AP2349+AT2349/2)</f>
        <v/>
      </c>
      <c r="BA2349" s="35" t="str">
        <f aca="false">IF($B2349="","",AK2349+AN2349+AM2349/2+AO2349+AP2349+AQ2349+AR2349+AS2349+AT2349+AU2349+AV2349+AW2349)</f>
        <v/>
      </c>
      <c r="BB2349" s="35" t="str">
        <f aca="false">IF($B2349="","",MAX(0,AN2349-Settings!$C$16)*Settings!$C$17)</f>
        <v/>
      </c>
      <c r="BC2349" s="35" t="str">
        <f aca="false">IF($B2349="","",BA2349-BB2349)</f>
        <v/>
      </c>
      <c r="BD2349" s="35" t="str">
        <f aca="false">IF(OR($B2349="",$A2349=""),"",DAY(EOMONTH($A2349,0))-COUNTA($F2349:$AJ2349))</f>
        <v/>
      </c>
    </row>
    <row r="2350" customFormat="false" ht="15" hidden="false" customHeight="false" outlineLevel="0" collapsed="false">
      <c r="A2350" s="32"/>
      <c r="B2350" s="29"/>
      <c r="C2350" s="10" t="str">
        <f aca="false">IF($B2350="","",IFERROR(INDEX(M_name,MATCH($B2350,M_emp,0)),"Code not found"))</f>
        <v/>
      </c>
      <c r="D2350" s="10" t="str">
        <f aca="false">IF($B2350="","",IFERROR(INDEX(M_dept,MATCH($B2350,M_emp,0)),""))</f>
        <v/>
      </c>
      <c r="E2350" s="10" t="str">
        <f aca="false">IF($B2350="","",IFERROR(INDEX(M_loc,MATCH($B2350,M_emp,0)),""))</f>
        <v/>
      </c>
      <c r="F2350" s="33"/>
      <c r="G2350" s="33"/>
      <c r="H2350" s="33"/>
      <c r="I2350" s="33"/>
      <c r="J2350" s="33"/>
      <c r="K2350" s="33"/>
      <c r="L2350" s="33"/>
      <c r="M2350" s="33"/>
      <c r="N2350" s="33"/>
      <c r="O2350" s="33"/>
      <c r="P2350" s="33"/>
      <c r="Q2350" s="33"/>
      <c r="R2350" s="33"/>
      <c r="S2350" s="33"/>
      <c r="T2350" s="33"/>
      <c r="U2350" s="33"/>
      <c r="V2350" s="33"/>
      <c r="W2350" s="33"/>
      <c r="X2350" s="33"/>
      <c r="Y2350" s="33"/>
      <c r="Z2350" s="33"/>
      <c r="AA2350" s="33"/>
      <c r="AB2350" s="33"/>
      <c r="AC2350" s="33"/>
      <c r="AD2350" s="33"/>
      <c r="AE2350" s="33"/>
      <c r="AF2350" s="33"/>
      <c r="AG2350" s="33"/>
      <c r="AH2350" s="33"/>
      <c r="AI2350" s="33"/>
      <c r="AJ2350" s="33"/>
      <c r="AK2350" s="34" t="str">
        <f aca="false">IF($B2350="","",COUNTIF($F2350:$AJ2350,"P"))</f>
        <v/>
      </c>
      <c r="AL2350" s="34" t="str">
        <f aca="false">IF($B2350="","",COUNTIF($F2350:$AJ2350,"A"))</f>
        <v/>
      </c>
      <c r="AM2350" s="34" t="str">
        <f aca="false">IF($B2350="","",COUNTIF($F2350:$AJ2350,"HA"))</f>
        <v/>
      </c>
      <c r="AN2350" s="34" t="str">
        <f aca="false">IF($B2350="","",COUNTIF($F2350:$AJ2350,"L"))</f>
        <v/>
      </c>
      <c r="AO2350" s="34" t="str">
        <f aca="false">IF($B2350="","",COUNTIF($F2350:$AJ2350,"PL"))</f>
        <v/>
      </c>
      <c r="AP2350" s="34" t="str">
        <f aca="false">IF($B2350="","",COUNTIF($F2350:$AJ2350,"CL"))</f>
        <v/>
      </c>
      <c r="AQ2350" s="34" t="str">
        <f aca="false">IF($B2350="","",COUNTIF($F2350:$AJ2350,"SL"))</f>
        <v/>
      </c>
      <c r="AR2350" s="34" t="str">
        <f aca="false">IF($B2350="","",COUNTIF($F2350:$AJ2350,"CO"))</f>
        <v/>
      </c>
      <c r="AS2350" s="34" t="str">
        <f aca="false">IF($B2350="","",COUNTIF($F2350:$AJ2350,"HPL"))</f>
        <v/>
      </c>
      <c r="AT2350" s="34" t="str">
        <f aca="false">IF($B2350="","",COUNTIF($F2350:$AJ2350,"HCL"))</f>
        <v/>
      </c>
      <c r="AU2350" s="34" t="str">
        <f aca="false">IF($B2350="","",COUNTIF($F2350:$AJ2350,"WO"))</f>
        <v/>
      </c>
      <c r="AV2350" s="34" t="str">
        <f aca="false">IF($B2350="","",COUNTIF($F2350:$AJ2350,"PH"))</f>
        <v/>
      </c>
      <c r="AW2350" s="34" t="str">
        <f aca="false">IF($B2350="","",COUNTIF($F2350:$AJ2350,"TR"))</f>
        <v/>
      </c>
      <c r="AX2350" s="35" t="str">
        <f aca="false">IF($B2350="","",AO2350+AS2350/2)</f>
        <v/>
      </c>
      <c r="AY2350" s="35" t="str">
        <f aca="false">IF($B2350="","",AQ2350)</f>
        <v/>
      </c>
      <c r="AZ2350" s="35" t="str">
        <f aca="false">IF($B2350="","",AP2350+AT2350/2)</f>
        <v/>
      </c>
      <c r="BA2350" s="35" t="str">
        <f aca="false">IF($B2350="","",AK2350+AN2350+AM2350/2+AO2350+AP2350+AQ2350+AR2350+AS2350+AT2350+AU2350+AV2350+AW2350)</f>
        <v/>
      </c>
      <c r="BB2350" s="35" t="str">
        <f aca="false">IF($B2350="","",MAX(0,AN2350-Settings!$C$16)*Settings!$C$17)</f>
        <v/>
      </c>
      <c r="BC2350" s="35" t="str">
        <f aca="false">IF($B2350="","",BA2350-BB2350)</f>
        <v/>
      </c>
      <c r="BD2350" s="35" t="str">
        <f aca="false">IF(OR($B2350="",$A2350=""),"",DAY(EOMONTH($A2350,0))-COUNTA($F2350:$AJ2350))</f>
        <v/>
      </c>
    </row>
    <row r="2351" customFormat="false" ht="15" hidden="false" customHeight="false" outlineLevel="0" collapsed="false">
      <c r="A2351" s="32"/>
      <c r="B2351" s="29"/>
      <c r="C2351" s="10" t="str">
        <f aca="false">IF($B2351="","",IFERROR(INDEX(M_name,MATCH($B2351,M_emp,0)),"Code not found"))</f>
        <v/>
      </c>
      <c r="D2351" s="10" t="str">
        <f aca="false">IF($B2351="","",IFERROR(INDEX(M_dept,MATCH($B2351,M_emp,0)),""))</f>
        <v/>
      </c>
      <c r="E2351" s="10" t="str">
        <f aca="false">IF($B2351="","",IFERROR(INDEX(M_loc,MATCH($B2351,M_emp,0)),""))</f>
        <v/>
      </c>
      <c r="F2351" s="33"/>
      <c r="G2351" s="33"/>
      <c r="H2351" s="33"/>
      <c r="I2351" s="33"/>
      <c r="J2351" s="33"/>
      <c r="K2351" s="33"/>
      <c r="L2351" s="33"/>
      <c r="M2351" s="33"/>
      <c r="N2351" s="33"/>
      <c r="O2351" s="33"/>
      <c r="P2351" s="33"/>
      <c r="Q2351" s="33"/>
      <c r="R2351" s="33"/>
      <c r="S2351" s="33"/>
      <c r="T2351" s="33"/>
      <c r="U2351" s="33"/>
      <c r="V2351" s="33"/>
      <c r="W2351" s="33"/>
      <c r="X2351" s="33"/>
      <c r="Y2351" s="33"/>
      <c r="Z2351" s="33"/>
      <c r="AA2351" s="33"/>
      <c r="AB2351" s="33"/>
      <c r="AC2351" s="33"/>
      <c r="AD2351" s="33"/>
      <c r="AE2351" s="33"/>
      <c r="AF2351" s="33"/>
      <c r="AG2351" s="33"/>
      <c r="AH2351" s="33"/>
      <c r="AI2351" s="33"/>
      <c r="AJ2351" s="33"/>
      <c r="AK2351" s="34" t="str">
        <f aca="false">IF($B2351="","",COUNTIF($F2351:$AJ2351,"P"))</f>
        <v/>
      </c>
      <c r="AL2351" s="34" t="str">
        <f aca="false">IF($B2351="","",COUNTIF($F2351:$AJ2351,"A"))</f>
        <v/>
      </c>
      <c r="AM2351" s="34" t="str">
        <f aca="false">IF($B2351="","",COUNTIF($F2351:$AJ2351,"HA"))</f>
        <v/>
      </c>
      <c r="AN2351" s="34" t="str">
        <f aca="false">IF($B2351="","",COUNTIF($F2351:$AJ2351,"L"))</f>
        <v/>
      </c>
      <c r="AO2351" s="34" t="str">
        <f aca="false">IF($B2351="","",COUNTIF($F2351:$AJ2351,"PL"))</f>
        <v/>
      </c>
      <c r="AP2351" s="34" t="str">
        <f aca="false">IF($B2351="","",COUNTIF($F2351:$AJ2351,"CL"))</f>
        <v/>
      </c>
      <c r="AQ2351" s="34" t="str">
        <f aca="false">IF($B2351="","",COUNTIF($F2351:$AJ2351,"SL"))</f>
        <v/>
      </c>
      <c r="AR2351" s="34" t="str">
        <f aca="false">IF($B2351="","",COUNTIF($F2351:$AJ2351,"CO"))</f>
        <v/>
      </c>
      <c r="AS2351" s="34" t="str">
        <f aca="false">IF($B2351="","",COUNTIF($F2351:$AJ2351,"HPL"))</f>
        <v/>
      </c>
      <c r="AT2351" s="34" t="str">
        <f aca="false">IF($B2351="","",COUNTIF($F2351:$AJ2351,"HCL"))</f>
        <v/>
      </c>
      <c r="AU2351" s="34" t="str">
        <f aca="false">IF($B2351="","",COUNTIF($F2351:$AJ2351,"WO"))</f>
        <v/>
      </c>
      <c r="AV2351" s="34" t="str">
        <f aca="false">IF($B2351="","",COUNTIF($F2351:$AJ2351,"PH"))</f>
        <v/>
      </c>
      <c r="AW2351" s="34" t="str">
        <f aca="false">IF($B2351="","",COUNTIF($F2351:$AJ2351,"TR"))</f>
        <v/>
      </c>
      <c r="AX2351" s="35" t="str">
        <f aca="false">IF($B2351="","",AO2351+AS2351/2)</f>
        <v/>
      </c>
      <c r="AY2351" s="35" t="str">
        <f aca="false">IF($B2351="","",AQ2351)</f>
        <v/>
      </c>
      <c r="AZ2351" s="35" t="str">
        <f aca="false">IF($B2351="","",AP2351+AT2351/2)</f>
        <v/>
      </c>
      <c r="BA2351" s="35" t="str">
        <f aca="false">IF($B2351="","",AK2351+AN2351+AM2351/2+AO2351+AP2351+AQ2351+AR2351+AS2351+AT2351+AU2351+AV2351+AW2351)</f>
        <v/>
      </c>
      <c r="BB2351" s="35" t="str">
        <f aca="false">IF($B2351="","",MAX(0,AN2351-Settings!$C$16)*Settings!$C$17)</f>
        <v/>
      </c>
      <c r="BC2351" s="35" t="str">
        <f aca="false">IF($B2351="","",BA2351-BB2351)</f>
        <v/>
      </c>
      <c r="BD2351" s="35" t="str">
        <f aca="false">IF(OR($B2351="",$A2351=""),"",DAY(EOMONTH($A2351,0))-COUNTA($F2351:$AJ2351))</f>
        <v/>
      </c>
    </row>
    <row r="2352" customFormat="false" ht="15" hidden="false" customHeight="false" outlineLevel="0" collapsed="false">
      <c r="A2352" s="32"/>
      <c r="B2352" s="29"/>
      <c r="C2352" s="10" t="str">
        <f aca="false">IF($B2352="","",IFERROR(INDEX(M_name,MATCH($B2352,M_emp,0)),"Code not found"))</f>
        <v/>
      </c>
      <c r="D2352" s="10" t="str">
        <f aca="false">IF($B2352="","",IFERROR(INDEX(M_dept,MATCH($B2352,M_emp,0)),""))</f>
        <v/>
      </c>
      <c r="E2352" s="10" t="str">
        <f aca="false">IF($B2352="","",IFERROR(INDEX(M_loc,MATCH($B2352,M_emp,0)),""))</f>
        <v/>
      </c>
      <c r="F2352" s="33"/>
      <c r="G2352" s="33"/>
      <c r="H2352" s="33"/>
      <c r="I2352" s="33"/>
      <c r="J2352" s="33"/>
      <c r="K2352" s="33"/>
      <c r="L2352" s="33"/>
      <c r="M2352" s="33"/>
      <c r="N2352" s="33"/>
      <c r="O2352" s="33"/>
      <c r="P2352" s="33"/>
      <c r="Q2352" s="33"/>
      <c r="R2352" s="33"/>
      <c r="S2352" s="33"/>
      <c r="T2352" s="33"/>
      <c r="U2352" s="33"/>
      <c r="V2352" s="33"/>
      <c r="W2352" s="33"/>
      <c r="X2352" s="33"/>
      <c r="Y2352" s="33"/>
      <c r="Z2352" s="33"/>
      <c r="AA2352" s="33"/>
      <c r="AB2352" s="33"/>
      <c r="AC2352" s="33"/>
      <c r="AD2352" s="33"/>
      <c r="AE2352" s="33"/>
      <c r="AF2352" s="33"/>
      <c r="AG2352" s="33"/>
      <c r="AH2352" s="33"/>
      <c r="AI2352" s="33"/>
      <c r="AJ2352" s="33"/>
      <c r="AK2352" s="34" t="str">
        <f aca="false">IF($B2352="","",COUNTIF($F2352:$AJ2352,"P"))</f>
        <v/>
      </c>
      <c r="AL2352" s="34" t="str">
        <f aca="false">IF($B2352="","",COUNTIF($F2352:$AJ2352,"A"))</f>
        <v/>
      </c>
      <c r="AM2352" s="34" t="str">
        <f aca="false">IF($B2352="","",COUNTIF($F2352:$AJ2352,"HA"))</f>
        <v/>
      </c>
      <c r="AN2352" s="34" t="str">
        <f aca="false">IF($B2352="","",COUNTIF($F2352:$AJ2352,"L"))</f>
        <v/>
      </c>
      <c r="AO2352" s="34" t="str">
        <f aca="false">IF($B2352="","",COUNTIF($F2352:$AJ2352,"PL"))</f>
        <v/>
      </c>
      <c r="AP2352" s="34" t="str">
        <f aca="false">IF($B2352="","",COUNTIF($F2352:$AJ2352,"CL"))</f>
        <v/>
      </c>
      <c r="AQ2352" s="34" t="str">
        <f aca="false">IF($B2352="","",COUNTIF($F2352:$AJ2352,"SL"))</f>
        <v/>
      </c>
      <c r="AR2352" s="34" t="str">
        <f aca="false">IF($B2352="","",COUNTIF($F2352:$AJ2352,"CO"))</f>
        <v/>
      </c>
      <c r="AS2352" s="34" t="str">
        <f aca="false">IF($B2352="","",COUNTIF($F2352:$AJ2352,"HPL"))</f>
        <v/>
      </c>
      <c r="AT2352" s="34" t="str">
        <f aca="false">IF($B2352="","",COUNTIF($F2352:$AJ2352,"HCL"))</f>
        <v/>
      </c>
      <c r="AU2352" s="34" t="str">
        <f aca="false">IF($B2352="","",COUNTIF($F2352:$AJ2352,"WO"))</f>
        <v/>
      </c>
      <c r="AV2352" s="34" t="str">
        <f aca="false">IF($B2352="","",COUNTIF($F2352:$AJ2352,"PH"))</f>
        <v/>
      </c>
      <c r="AW2352" s="34" t="str">
        <f aca="false">IF($B2352="","",COUNTIF($F2352:$AJ2352,"TR"))</f>
        <v/>
      </c>
      <c r="AX2352" s="35" t="str">
        <f aca="false">IF($B2352="","",AO2352+AS2352/2)</f>
        <v/>
      </c>
      <c r="AY2352" s="35" t="str">
        <f aca="false">IF($B2352="","",AQ2352)</f>
        <v/>
      </c>
      <c r="AZ2352" s="35" t="str">
        <f aca="false">IF($B2352="","",AP2352+AT2352/2)</f>
        <v/>
      </c>
      <c r="BA2352" s="35" t="str">
        <f aca="false">IF($B2352="","",AK2352+AN2352+AM2352/2+AO2352+AP2352+AQ2352+AR2352+AS2352+AT2352+AU2352+AV2352+AW2352)</f>
        <v/>
      </c>
      <c r="BB2352" s="35" t="str">
        <f aca="false">IF($B2352="","",MAX(0,AN2352-Settings!$C$16)*Settings!$C$17)</f>
        <v/>
      </c>
      <c r="BC2352" s="35" t="str">
        <f aca="false">IF($B2352="","",BA2352-BB2352)</f>
        <v/>
      </c>
      <c r="BD2352" s="35" t="str">
        <f aca="false">IF(OR($B2352="",$A2352=""),"",DAY(EOMONTH($A2352,0))-COUNTA($F2352:$AJ2352))</f>
        <v/>
      </c>
    </row>
    <row r="2353" customFormat="false" ht="15" hidden="false" customHeight="false" outlineLevel="0" collapsed="false">
      <c r="A2353" s="32"/>
      <c r="B2353" s="29"/>
      <c r="C2353" s="10" t="str">
        <f aca="false">IF($B2353="","",IFERROR(INDEX(M_name,MATCH($B2353,M_emp,0)),"Code not found"))</f>
        <v/>
      </c>
      <c r="D2353" s="10" t="str">
        <f aca="false">IF($B2353="","",IFERROR(INDEX(M_dept,MATCH($B2353,M_emp,0)),""))</f>
        <v/>
      </c>
      <c r="E2353" s="10" t="str">
        <f aca="false">IF($B2353="","",IFERROR(INDEX(M_loc,MATCH($B2353,M_emp,0)),""))</f>
        <v/>
      </c>
      <c r="F2353" s="33"/>
      <c r="G2353" s="33"/>
      <c r="H2353" s="33"/>
      <c r="I2353" s="33"/>
      <c r="J2353" s="33"/>
      <c r="K2353" s="33"/>
      <c r="L2353" s="33"/>
      <c r="M2353" s="33"/>
      <c r="N2353" s="33"/>
      <c r="O2353" s="33"/>
      <c r="P2353" s="33"/>
      <c r="Q2353" s="33"/>
      <c r="R2353" s="33"/>
      <c r="S2353" s="33"/>
      <c r="T2353" s="33"/>
      <c r="U2353" s="33"/>
      <c r="V2353" s="33"/>
      <c r="W2353" s="33"/>
      <c r="X2353" s="33"/>
      <c r="Y2353" s="33"/>
      <c r="Z2353" s="33"/>
      <c r="AA2353" s="33"/>
      <c r="AB2353" s="33"/>
      <c r="AC2353" s="33"/>
      <c r="AD2353" s="33"/>
      <c r="AE2353" s="33"/>
      <c r="AF2353" s="33"/>
      <c r="AG2353" s="33"/>
      <c r="AH2353" s="33"/>
      <c r="AI2353" s="33"/>
      <c r="AJ2353" s="33"/>
      <c r="AK2353" s="34" t="str">
        <f aca="false">IF($B2353="","",COUNTIF($F2353:$AJ2353,"P"))</f>
        <v/>
      </c>
      <c r="AL2353" s="34" t="str">
        <f aca="false">IF($B2353="","",COUNTIF($F2353:$AJ2353,"A"))</f>
        <v/>
      </c>
      <c r="AM2353" s="34" t="str">
        <f aca="false">IF($B2353="","",COUNTIF($F2353:$AJ2353,"HA"))</f>
        <v/>
      </c>
      <c r="AN2353" s="34" t="str">
        <f aca="false">IF($B2353="","",COUNTIF($F2353:$AJ2353,"L"))</f>
        <v/>
      </c>
      <c r="AO2353" s="34" t="str">
        <f aca="false">IF($B2353="","",COUNTIF($F2353:$AJ2353,"PL"))</f>
        <v/>
      </c>
      <c r="AP2353" s="34" t="str">
        <f aca="false">IF($B2353="","",COUNTIF($F2353:$AJ2353,"CL"))</f>
        <v/>
      </c>
      <c r="AQ2353" s="34" t="str">
        <f aca="false">IF($B2353="","",COUNTIF($F2353:$AJ2353,"SL"))</f>
        <v/>
      </c>
      <c r="AR2353" s="34" t="str">
        <f aca="false">IF($B2353="","",COUNTIF($F2353:$AJ2353,"CO"))</f>
        <v/>
      </c>
      <c r="AS2353" s="34" t="str">
        <f aca="false">IF($B2353="","",COUNTIF($F2353:$AJ2353,"HPL"))</f>
        <v/>
      </c>
      <c r="AT2353" s="34" t="str">
        <f aca="false">IF($B2353="","",COUNTIF($F2353:$AJ2353,"HCL"))</f>
        <v/>
      </c>
      <c r="AU2353" s="34" t="str">
        <f aca="false">IF($B2353="","",COUNTIF($F2353:$AJ2353,"WO"))</f>
        <v/>
      </c>
      <c r="AV2353" s="34" t="str">
        <f aca="false">IF($B2353="","",COUNTIF($F2353:$AJ2353,"PH"))</f>
        <v/>
      </c>
      <c r="AW2353" s="34" t="str">
        <f aca="false">IF($B2353="","",COUNTIF($F2353:$AJ2353,"TR"))</f>
        <v/>
      </c>
      <c r="AX2353" s="35" t="str">
        <f aca="false">IF($B2353="","",AO2353+AS2353/2)</f>
        <v/>
      </c>
      <c r="AY2353" s="35" t="str">
        <f aca="false">IF($B2353="","",AQ2353)</f>
        <v/>
      </c>
      <c r="AZ2353" s="35" t="str">
        <f aca="false">IF($B2353="","",AP2353+AT2353/2)</f>
        <v/>
      </c>
      <c r="BA2353" s="35" t="str">
        <f aca="false">IF($B2353="","",AK2353+AN2353+AM2353/2+AO2353+AP2353+AQ2353+AR2353+AS2353+AT2353+AU2353+AV2353+AW2353)</f>
        <v/>
      </c>
      <c r="BB2353" s="35" t="str">
        <f aca="false">IF($B2353="","",MAX(0,AN2353-Settings!$C$16)*Settings!$C$17)</f>
        <v/>
      </c>
      <c r="BC2353" s="35" t="str">
        <f aca="false">IF($B2353="","",BA2353-BB2353)</f>
        <v/>
      </c>
      <c r="BD2353" s="35" t="str">
        <f aca="false">IF(OR($B2353="",$A2353=""),"",DAY(EOMONTH($A2353,0))-COUNTA($F2353:$AJ2353))</f>
        <v/>
      </c>
    </row>
    <row r="2354" customFormat="false" ht="15" hidden="false" customHeight="false" outlineLevel="0" collapsed="false">
      <c r="A2354" s="32"/>
      <c r="B2354" s="29"/>
      <c r="C2354" s="10" t="str">
        <f aca="false">IF($B2354="","",IFERROR(INDEX(M_name,MATCH($B2354,M_emp,0)),"Code not found"))</f>
        <v/>
      </c>
      <c r="D2354" s="10" t="str">
        <f aca="false">IF($B2354="","",IFERROR(INDEX(M_dept,MATCH($B2354,M_emp,0)),""))</f>
        <v/>
      </c>
      <c r="E2354" s="10" t="str">
        <f aca="false">IF($B2354="","",IFERROR(INDEX(M_loc,MATCH($B2354,M_emp,0)),""))</f>
        <v/>
      </c>
      <c r="F2354" s="33"/>
      <c r="G2354" s="33"/>
      <c r="H2354" s="33"/>
      <c r="I2354" s="33"/>
      <c r="J2354" s="33"/>
      <c r="K2354" s="33"/>
      <c r="L2354" s="33"/>
      <c r="M2354" s="33"/>
      <c r="N2354" s="33"/>
      <c r="O2354" s="33"/>
      <c r="P2354" s="33"/>
      <c r="Q2354" s="33"/>
      <c r="R2354" s="33"/>
      <c r="S2354" s="33"/>
      <c r="T2354" s="33"/>
      <c r="U2354" s="33"/>
      <c r="V2354" s="33"/>
      <c r="W2354" s="33"/>
      <c r="X2354" s="33"/>
      <c r="Y2354" s="33"/>
      <c r="Z2354" s="33"/>
      <c r="AA2354" s="33"/>
      <c r="AB2354" s="33"/>
      <c r="AC2354" s="33"/>
      <c r="AD2354" s="33"/>
      <c r="AE2354" s="33"/>
      <c r="AF2354" s="33"/>
      <c r="AG2354" s="33"/>
      <c r="AH2354" s="33"/>
      <c r="AI2354" s="33"/>
      <c r="AJ2354" s="33"/>
      <c r="AK2354" s="34" t="str">
        <f aca="false">IF($B2354="","",COUNTIF($F2354:$AJ2354,"P"))</f>
        <v/>
      </c>
      <c r="AL2354" s="34" t="str">
        <f aca="false">IF($B2354="","",COUNTIF($F2354:$AJ2354,"A"))</f>
        <v/>
      </c>
      <c r="AM2354" s="34" t="str">
        <f aca="false">IF($B2354="","",COUNTIF($F2354:$AJ2354,"HA"))</f>
        <v/>
      </c>
      <c r="AN2354" s="34" t="str">
        <f aca="false">IF($B2354="","",COUNTIF($F2354:$AJ2354,"L"))</f>
        <v/>
      </c>
      <c r="AO2354" s="34" t="str">
        <f aca="false">IF($B2354="","",COUNTIF($F2354:$AJ2354,"PL"))</f>
        <v/>
      </c>
      <c r="AP2354" s="34" t="str">
        <f aca="false">IF($B2354="","",COUNTIF($F2354:$AJ2354,"CL"))</f>
        <v/>
      </c>
      <c r="AQ2354" s="34" t="str">
        <f aca="false">IF($B2354="","",COUNTIF($F2354:$AJ2354,"SL"))</f>
        <v/>
      </c>
      <c r="AR2354" s="34" t="str">
        <f aca="false">IF($B2354="","",COUNTIF($F2354:$AJ2354,"CO"))</f>
        <v/>
      </c>
      <c r="AS2354" s="34" t="str">
        <f aca="false">IF($B2354="","",COUNTIF($F2354:$AJ2354,"HPL"))</f>
        <v/>
      </c>
      <c r="AT2354" s="34" t="str">
        <f aca="false">IF($B2354="","",COUNTIF($F2354:$AJ2354,"HCL"))</f>
        <v/>
      </c>
      <c r="AU2354" s="34" t="str">
        <f aca="false">IF($B2354="","",COUNTIF($F2354:$AJ2354,"WO"))</f>
        <v/>
      </c>
      <c r="AV2354" s="34" t="str">
        <f aca="false">IF($B2354="","",COUNTIF($F2354:$AJ2354,"PH"))</f>
        <v/>
      </c>
      <c r="AW2354" s="34" t="str">
        <f aca="false">IF($B2354="","",COUNTIF($F2354:$AJ2354,"TR"))</f>
        <v/>
      </c>
      <c r="AX2354" s="35" t="str">
        <f aca="false">IF($B2354="","",AO2354+AS2354/2)</f>
        <v/>
      </c>
      <c r="AY2354" s="35" t="str">
        <f aca="false">IF($B2354="","",AQ2354)</f>
        <v/>
      </c>
      <c r="AZ2354" s="35" t="str">
        <f aca="false">IF($B2354="","",AP2354+AT2354/2)</f>
        <v/>
      </c>
      <c r="BA2354" s="35" t="str">
        <f aca="false">IF($B2354="","",AK2354+AN2354+AM2354/2+AO2354+AP2354+AQ2354+AR2354+AS2354+AT2354+AU2354+AV2354+AW2354)</f>
        <v/>
      </c>
      <c r="BB2354" s="35" t="str">
        <f aca="false">IF($B2354="","",MAX(0,AN2354-Settings!$C$16)*Settings!$C$17)</f>
        <v/>
      </c>
      <c r="BC2354" s="35" t="str">
        <f aca="false">IF($B2354="","",BA2354-BB2354)</f>
        <v/>
      </c>
      <c r="BD2354" s="35" t="str">
        <f aca="false">IF(OR($B2354="",$A2354=""),"",DAY(EOMONTH($A2354,0))-COUNTA($F2354:$AJ2354))</f>
        <v/>
      </c>
    </row>
    <row r="2355" customFormat="false" ht="15" hidden="false" customHeight="false" outlineLevel="0" collapsed="false">
      <c r="A2355" s="32"/>
      <c r="B2355" s="29"/>
      <c r="C2355" s="10" t="str">
        <f aca="false">IF($B2355="","",IFERROR(INDEX(M_name,MATCH($B2355,M_emp,0)),"Code not found"))</f>
        <v/>
      </c>
      <c r="D2355" s="10" t="str">
        <f aca="false">IF($B2355="","",IFERROR(INDEX(M_dept,MATCH($B2355,M_emp,0)),""))</f>
        <v/>
      </c>
      <c r="E2355" s="10" t="str">
        <f aca="false">IF($B2355="","",IFERROR(INDEX(M_loc,MATCH($B2355,M_emp,0)),""))</f>
        <v/>
      </c>
      <c r="F2355" s="33"/>
      <c r="G2355" s="33"/>
      <c r="H2355" s="33"/>
      <c r="I2355" s="33"/>
      <c r="J2355" s="33"/>
      <c r="K2355" s="33"/>
      <c r="L2355" s="33"/>
      <c r="M2355" s="33"/>
      <c r="N2355" s="33"/>
      <c r="O2355" s="33"/>
      <c r="P2355" s="33"/>
      <c r="Q2355" s="33"/>
      <c r="R2355" s="33"/>
      <c r="S2355" s="33"/>
      <c r="T2355" s="33"/>
      <c r="U2355" s="33"/>
      <c r="V2355" s="33"/>
      <c r="W2355" s="33"/>
      <c r="X2355" s="33"/>
      <c r="Y2355" s="33"/>
      <c r="Z2355" s="33"/>
      <c r="AA2355" s="33"/>
      <c r="AB2355" s="33"/>
      <c r="AC2355" s="33"/>
      <c r="AD2355" s="33"/>
      <c r="AE2355" s="33"/>
      <c r="AF2355" s="33"/>
      <c r="AG2355" s="33"/>
      <c r="AH2355" s="33"/>
      <c r="AI2355" s="33"/>
      <c r="AJ2355" s="33"/>
      <c r="AK2355" s="34" t="str">
        <f aca="false">IF($B2355="","",COUNTIF($F2355:$AJ2355,"P"))</f>
        <v/>
      </c>
      <c r="AL2355" s="34" t="str">
        <f aca="false">IF($B2355="","",COUNTIF($F2355:$AJ2355,"A"))</f>
        <v/>
      </c>
      <c r="AM2355" s="34" t="str">
        <f aca="false">IF($B2355="","",COUNTIF($F2355:$AJ2355,"HA"))</f>
        <v/>
      </c>
      <c r="AN2355" s="34" t="str">
        <f aca="false">IF($B2355="","",COUNTIF($F2355:$AJ2355,"L"))</f>
        <v/>
      </c>
      <c r="AO2355" s="34" t="str">
        <f aca="false">IF($B2355="","",COUNTIF($F2355:$AJ2355,"PL"))</f>
        <v/>
      </c>
      <c r="AP2355" s="34" t="str">
        <f aca="false">IF($B2355="","",COUNTIF($F2355:$AJ2355,"CL"))</f>
        <v/>
      </c>
      <c r="AQ2355" s="34" t="str">
        <f aca="false">IF($B2355="","",COUNTIF($F2355:$AJ2355,"SL"))</f>
        <v/>
      </c>
      <c r="AR2355" s="34" t="str">
        <f aca="false">IF($B2355="","",COUNTIF($F2355:$AJ2355,"CO"))</f>
        <v/>
      </c>
      <c r="AS2355" s="34" t="str">
        <f aca="false">IF($B2355="","",COUNTIF($F2355:$AJ2355,"HPL"))</f>
        <v/>
      </c>
      <c r="AT2355" s="34" t="str">
        <f aca="false">IF($B2355="","",COUNTIF($F2355:$AJ2355,"HCL"))</f>
        <v/>
      </c>
      <c r="AU2355" s="34" t="str">
        <f aca="false">IF($B2355="","",COUNTIF($F2355:$AJ2355,"WO"))</f>
        <v/>
      </c>
      <c r="AV2355" s="34" t="str">
        <f aca="false">IF($B2355="","",COUNTIF($F2355:$AJ2355,"PH"))</f>
        <v/>
      </c>
      <c r="AW2355" s="34" t="str">
        <f aca="false">IF($B2355="","",COUNTIF($F2355:$AJ2355,"TR"))</f>
        <v/>
      </c>
      <c r="AX2355" s="35" t="str">
        <f aca="false">IF($B2355="","",AO2355+AS2355/2)</f>
        <v/>
      </c>
      <c r="AY2355" s="35" t="str">
        <f aca="false">IF($B2355="","",AQ2355)</f>
        <v/>
      </c>
      <c r="AZ2355" s="35" t="str">
        <f aca="false">IF($B2355="","",AP2355+AT2355/2)</f>
        <v/>
      </c>
      <c r="BA2355" s="35" t="str">
        <f aca="false">IF($B2355="","",AK2355+AN2355+AM2355/2+AO2355+AP2355+AQ2355+AR2355+AS2355+AT2355+AU2355+AV2355+AW2355)</f>
        <v/>
      </c>
      <c r="BB2355" s="35" t="str">
        <f aca="false">IF($B2355="","",MAX(0,AN2355-Settings!$C$16)*Settings!$C$17)</f>
        <v/>
      </c>
      <c r="BC2355" s="35" t="str">
        <f aca="false">IF($B2355="","",BA2355-BB2355)</f>
        <v/>
      </c>
      <c r="BD2355" s="35" t="str">
        <f aca="false">IF(OR($B2355="",$A2355=""),"",DAY(EOMONTH($A2355,0))-COUNTA($F2355:$AJ2355))</f>
        <v/>
      </c>
    </row>
    <row r="2356" customFormat="false" ht="15" hidden="false" customHeight="false" outlineLevel="0" collapsed="false">
      <c r="A2356" s="32"/>
      <c r="B2356" s="29"/>
      <c r="C2356" s="10" t="str">
        <f aca="false">IF($B2356="","",IFERROR(INDEX(M_name,MATCH($B2356,M_emp,0)),"Code not found"))</f>
        <v/>
      </c>
      <c r="D2356" s="10" t="str">
        <f aca="false">IF($B2356="","",IFERROR(INDEX(M_dept,MATCH($B2356,M_emp,0)),""))</f>
        <v/>
      </c>
      <c r="E2356" s="10" t="str">
        <f aca="false">IF($B2356="","",IFERROR(INDEX(M_loc,MATCH($B2356,M_emp,0)),""))</f>
        <v/>
      </c>
      <c r="F2356" s="33"/>
      <c r="G2356" s="33"/>
      <c r="H2356" s="33"/>
      <c r="I2356" s="33"/>
      <c r="J2356" s="33"/>
      <c r="K2356" s="33"/>
      <c r="L2356" s="33"/>
      <c r="M2356" s="33"/>
      <c r="N2356" s="33"/>
      <c r="O2356" s="33"/>
      <c r="P2356" s="33"/>
      <c r="Q2356" s="33"/>
      <c r="R2356" s="33"/>
      <c r="S2356" s="33"/>
      <c r="T2356" s="33"/>
      <c r="U2356" s="33"/>
      <c r="V2356" s="33"/>
      <c r="W2356" s="33"/>
      <c r="X2356" s="33"/>
      <c r="Y2356" s="33"/>
      <c r="Z2356" s="33"/>
      <c r="AA2356" s="33"/>
      <c r="AB2356" s="33"/>
      <c r="AC2356" s="33"/>
      <c r="AD2356" s="33"/>
      <c r="AE2356" s="33"/>
      <c r="AF2356" s="33"/>
      <c r="AG2356" s="33"/>
      <c r="AH2356" s="33"/>
      <c r="AI2356" s="33"/>
      <c r="AJ2356" s="33"/>
      <c r="AK2356" s="34" t="str">
        <f aca="false">IF($B2356="","",COUNTIF($F2356:$AJ2356,"P"))</f>
        <v/>
      </c>
      <c r="AL2356" s="34" t="str">
        <f aca="false">IF($B2356="","",COUNTIF($F2356:$AJ2356,"A"))</f>
        <v/>
      </c>
      <c r="AM2356" s="34" t="str">
        <f aca="false">IF($B2356="","",COUNTIF($F2356:$AJ2356,"HA"))</f>
        <v/>
      </c>
      <c r="AN2356" s="34" t="str">
        <f aca="false">IF($B2356="","",COUNTIF($F2356:$AJ2356,"L"))</f>
        <v/>
      </c>
      <c r="AO2356" s="34" t="str">
        <f aca="false">IF($B2356="","",COUNTIF($F2356:$AJ2356,"PL"))</f>
        <v/>
      </c>
      <c r="AP2356" s="34" t="str">
        <f aca="false">IF($B2356="","",COUNTIF($F2356:$AJ2356,"CL"))</f>
        <v/>
      </c>
      <c r="AQ2356" s="34" t="str">
        <f aca="false">IF($B2356="","",COUNTIF($F2356:$AJ2356,"SL"))</f>
        <v/>
      </c>
      <c r="AR2356" s="34" t="str">
        <f aca="false">IF($B2356="","",COUNTIF($F2356:$AJ2356,"CO"))</f>
        <v/>
      </c>
      <c r="AS2356" s="34" t="str">
        <f aca="false">IF($B2356="","",COUNTIF($F2356:$AJ2356,"HPL"))</f>
        <v/>
      </c>
      <c r="AT2356" s="34" t="str">
        <f aca="false">IF($B2356="","",COUNTIF($F2356:$AJ2356,"HCL"))</f>
        <v/>
      </c>
      <c r="AU2356" s="34" t="str">
        <f aca="false">IF($B2356="","",COUNTIF($F2356:$AJ2356,"WO"))</f>
        <v/>
      </c>
      <c r="AV2356" s="34" t="str">
        <f aca="false">IF($B2356="","",COUNTIF($F2356:$AJ2356,"PH"))</f>
        <v/>
      </c>
      <c r="AW2356" s="34" t="str">
        <f aca="false">IF($B2356="","",COUNTIF($F2356:$AJ2356,"TR"))</f>
        <v/>
      </c>
      <c r="AX2356" s="35" t="str">
        <f aca="false">IF($B2356="","",AO2356+AS2356/2)</f>
        <v/>
      </c>
      <c r="AY2356" s="35" t="str">
        <f aca="false">IF($B2356="","",AQ2356)</f>
        <v/>
      </c>
      <c r="AZ2356" s="35" t="str">
        <f aca="false">IF($B2356="","",AP2356+AT2356/2)</f>
        <v/>
      </c>
      <c r="BA2356" s="35" t="str">
        <f aca="false">IF($B2356="","",AK2356+AN2356+AM2356/2+AO2356+AP2356+AQ2356+AR2356+AS2356+AT2356+AU2356+AV2356+AW2356)</f>
        <v/>
      </c>
      <c r="BB2356" s="35" t="str">
        <f aca="false">IF($B2356="","",MAX(0,AN2356-Settings!$C$16)*Settings!$C$17)</f>
        <v/>
      </c>
      <c r="BC2356" s="35" t="str">
        <f aca="false">IF($B2356="","",BA2356-BB2356)</f>
        <v/>
      </c>
      <c r="BD2356" s="35" t="str">
        <f aca="false">IF(OR($B2356="",$A2356=""),"",DAY(EOMONTH($A2356,0))-COUNTA($F2356:$AJ2356))</f>
        <v/>
      </c>
    </row>
    <row r="2357" customFormat="false" ht="15" hidden="false" customHeight="false" outlineLevel="0" collapsed="false">
      <c r="A2357" s="32"/>
      <c r="B2357" s="29"/>
      <c r="C2357" s="10" t="str">
        <f aca="false">IF($B2357="","",IFERROR(INDEX(M_name,MATCH($B2357,M_emp,0)),"Code not found"))</f>
        <v/>
      </c>
      <c r="D2357" s="10" t="str">
        <f aca="false">IF($B2357="","",IFERROR(INDEX(M_dept,MATCH($B2357,M_emp,0)),""))</f>
        <v/>
      </c>
      <c r="E2357" s="10" t="str">
        <f aca="false">IF($B2357="","",IFERROR(INDEX(M_loc,MATCH($B2357,M_emp,0)),""))</f>
        <v/>
      </c>
      <c r="F2357" s="33"/>
      <c r="G2357" s="33"/>
      <c r="H2357" s="33"/>
      <c r="I2357" s="33"/>
      <c r="J2357" s="33"/>
      <c r="K2357" s="33"/>
      <c r="L2357" s="33"/>
      <c r="M2357" s="33"/>
      <c r="N2357" s="33"/>
      <c r="O2357" s="33"/>
      <c r="P2357" s="33"/>
      <c r="Q2357" s="33"/>
      <c r="R2357" s="33"/>
      <c r="S2357" s="33"/>
      <c r="T2357" s="33"/>
      <c r="U2357" s="33"/>
      <c r="V2357" s="33"/>
      <c r="W2357" s="33"/>
      <c r="X2357" s="33"/>
      <c r="Y2357" s="33"/>
      <c r="Z2357" s="33"/>
      <c r="AA2357" s="33"/>
      <c r="AB2357" s="33"/>
      <c r="AC2357" s="33"/>
      <c r="AD2357" s="33"/>
      <c r="AE2357" s="33"/>
      <c r="AF2357" s="33"/>
      <c r="AG2357" s="33"/>
      <c r="AH2357" s="33"/>
      <c r="AI2357" s="33"/>
      <c r="AJ2357" s="33"/>
      <c r="AK2357" s="34" t="str">
        <f aca="false">IF($B2357="","",COUNTIF($F2357:$AJ2357,"P"))</f>
        <v/>
      </c>
      <c r="AL2357" s="34" t="str">
        <f aca="false">IF($B2357="","",COUNTIF($F2357:$AJ2357,"A"))</f>
        <v/>
      </c>
      <c r="AM2357" s="34" t="str">
        <f aca="false">IF($B2357="","",COUNTIF($F2357:$AJ2357,"HA"))</f>
        <v/>
      </c>
      <c r="AN2357" s="34" t="str">
        <f aca="false">IF($B2357="","",COUNTIF($F2357:$AJ2357,"L"))</f>
        <v/>
      </c>
      <c r="AO2357" s="34" t="str">
        <f aca="false">IF($B2357="","",COUNTIF($F2357:$AJ2357,"PL"))</f>
        <v/>
      </c>
      <c r="AP2357" s="34" t="str">
        <f aca="false">IF($B2357="","",COUNTIF($F2357:$AJ2357,"CL"))</f>
        <v/>
      </c>
      <c r="AQ2357" s="34" t="str">
        <f aca="false">IF($B2357="","",COUNTIF($F2357:$AJ2357,"SL"))</f>
        <v/>
      </c>
      <c r="AR2357" s="34" t="str">
        <f aca="false">IF($B2357="","",COUNTIF($F2357:$AJ2357,"CO"))</f>
        <v/>
      </c>
      <c r="AS2357" s="34" t="str">
        <f aca="false">IF($B2357="","",COUNTIF($F2357:$AJ2357,"HPL"))</f>
        <v/>
      </c>
      <c r="AT2357" s="34" t="str">
        <f aca="false">IF($B2357="","",COUNTIF($F2357:$AJ2357,"HCL"))</f>
        <v/>
      </c>
      <c r="AU2357" s="34" t="str">
        <f aca="false">IF($B2357="","",COUNTIF($F2357:$AJ2357,"WO"))</f>
        <v/>
      </c>
      <c r="AV2357" s="34" t="str">
        <f aca="false">IF($B2357="","",COUNTIF($F2357:$AJ2357,"PH"))</f>
        <v/>
      </c>
      <c r="AW2357" s="34" t="str">
        <f aca="false">IF($B2357="","",COUNTIF($F2357:$AJ2357,"TR"))</f>
        <v/>
      </c>
      <c r="AX2357" s="35" t="str">
        <f aca="false">IF($B2357="","",AO2357+AS2357/2)</f>
        <v/>
      </c>
      <c r="AY2357" s="35" t="str">
        <f aca="false">IF($B2357="","",AQ2357)</f>
        <v/>
      </c>
      <c r="AZ2357" s="35" t="str">
        <f aca="false">IF($B2357="","",AP2357+AT2357/2)</f>
        <v/>
      </c>
      <c r="BA2357" s="35" t="str">
        <f aca="false">IF($B2357="","",AK2357+AN2357+AM2357/2+AO2357+AP2357+AQ2357+AR2357+AS2357+AT2357+AU2357+AV2357+AW2357)</f>
        <v/>
      </c>
      <c r="BB2357" s="35" t="str">
        <f aca="false">IF($B2357="","",MAX(0,AN2357-Settings!$C$16)*Settings!$C$17)</f>
        <v/>
      </c>
      <c r="BC2357" s="35" t="str">
        <f aca="false">IF($B2357="","",BA2357-BB2357)</f>
        <v/>
      </c>
      <c r="BD2357" s="35" t="str">
        <f aca="false">IF(OR($B2357="",$A2357=""),"",DAY(EOMONTH($A2357,0))-COUNTA($F2357:$AJ2357))</f>
        <v/>
      </c>
    </row>
    <row r="2358" customFormat="false" ht="15" hidden="false" customHeight="false" outlineLevel="0" collapsed="false">
      <c r="A2358" s="32"/>
      <c r="B2358" s="29"/>
      <c r="C2358" s="10" t="str">
        <f aca="false">IF($B2358="","",IFERROR(INDEX(M_name,MATCH($B2358,M_emp,0)),"Code not found"))</f>
        <v/>
      </c>
      <c r="D2358" s="10" t="str">
        <f aca="false">IF($B2358="","",IFERROR(INDEX(M_dept,MATCH($B2358,M_emp,0)),""))</f>
        <v/>
      </c>
      <c r="E2358" s="10" t="str">
        <f aca="false">IF($B2358="","",IFERROR(INDEX(M_loc,MATCH($B2358,M_emp,0)),""))</f>
        <v/>
      </c>
      <c r="F2358" s="33"/>
      <c r="G2358" s="33"/>
      <c r="H2358" s="33"/>
      <c r="I2358" s="33"/>
      <c r="J2358" s="33"/>
      <c r="K2358" s="33"/>
      <c r="L2358" s="33"/>
      <c r="M2358" s="33"/>
      <c r="N2358" s="33"/>
      <c r="O2358" s="33"/>
      <c r="P2358" s="33"/>
      <c r="Q2358" s="33"/>
      <c r="R2358" s="33"/>
      <c r="S2358" s="33"/>
      <c r="T2358" s="33"/>
      <c r="U2358" s="33"/>
      <c r="V2358" s="33"/>
      <c r="W2358" s="33"/>
      <c r="X2358" s="33"/>
      <c r="Y2358" s="33"/>
      <c r="Z2358" s="33"/>
      <c r="AA2358" s="33"/>
      <c r="AB2358" s="33"/>
      <c r="AC2358" s="33"/>
      <c r="AD2358" s="33"/>
      <c r="AE2358" s="33"/>
      <c r="AF2358" s="33"/>
      <c r="AG2358" s="33"/>
      <c r="AH2358" s="33"/>
      <c r="AI2358" s="33"/>
      <c r="AJ2358" s="33"/>
      <c r="AK2358" s="34" t="str">
        <f aca="false">IF($B2358="","",COUNTIF($F2358:$AJ2358,"P"))</f>
        <v/>
      </c>
      <c r="AL2358" s="34" t="str">
        <f aca="false">IF($B2358="","",COUNTIF($F2358:$AJ2358,"A"))</f>
        <v/>
      </c>
      <c r="AM2358" s="34" t="str">
        <f aca="false">IF($B2358="","",COUNTIF($F2358:$AJ2358,"HA"))</f>
        <v/>
      </c>
      <c r="AN2358" s="34" t="str">
        <f aca="false">IF($B2358="","",COUNTIF($F2358:$AJ2358,"L"))</f>
        <v/>
      </c>
      <c r="AO2358" s="34" t="str">
        <f aca="false">IF($B2358="","",COUNTIF($F2358:$AJ2358,"PL"))</f>
        <v/>
      </c>
      <c r="AP2358" s="34" t="str">
        <f aca="false">IF($B2358="","",COUNTIF($F2358:$AJ2358,"CL"))</f>
        <v/>
      </c>
      <c r="AQ2358" s="34" t="str">
        <f aca="false">IF($B2358="","",COUNTIF($F2358:$AJ2358,"SL"))</f>
        <v/>
      </c>
      <c r="AR2358" s="34" t="str">
        <f aca="false">IF($B2358="","",COUNTIF($F2358:$AJ2358,"CO"))</f>
        <v/>
      </c>
      <c r="AS2358" s="34" t="str">
        <f aca="false">IF($B2358="","",COUNTIF($F2358:$AJ2358,"HPL"))</f>
        <v/>
      </c>
      <c r="AT2358" s="34" t="str">
        <f aca="false">IF($B2358="","",COUNTIF($F2358:$AJ2358,"HCL"))</f>
        <v/>
      </c>
      <c r="AU2358" s="34" t="str">
        <f aca="false">IF($B2358="","",COUNTIF($F2358:$AJ2358,"WO"))</f>
        <v/>
      </c>
      <c r="AV2358" s="34" t="str">
        <f aca="false">IF($B2358="","",COUNTIF($F2358:$AJ2358,"PH"))</f>
        <v/>
      </c>
      <c r="AW2358" s="34" t="str">
        <f aca="false">IF($B2358="","",COUNTIF($F2358:$AJ2358,"TR"))</f>
        <v/>
      </c>
      <c r="AX2358" s="35" t="str">
        <f aca="false">IF($B2358="","",AO2358+AS2358/2)</f>
        <v/>
      </c>
      <c r="AY2358" s="35" t="str">
        <f aca="false">IF($B2358="","",AQ2358)</f>
        <v/>
      </c>
      <c r="AZ2358" s="35" t="str">
        <f aca="false">IF($B2358="","",AP2358+AT2358/2)</f>
        <v/>
      </c>
      <c r="BA2358" s="35" t="str">
        <f aca="false">IF($B2358="","",AK2358+AN2358+AM2358/2+AO2358+AP2358+AQ2358+AR2358+AS2358+AT2358+AU2358+AV2358+AW2358)</f>
        <v/>
      </c>
      <c r="BB2358" s="35" t="str">
        <f aca="false">IF($B2358="","",MAX(0,AN2358-Settings!$C$16)*Settings!$C$17)</f>
        <v/>
      </c>
      <c r="BC2358" s="35" t="str">
        <f aca="false">IF($B2358="","",BA2358-BB2358)</f>
        <v/>
      </c>
      <c r="BD2358" s="35" t="str">
        <f aca="false">IF(OR($B2358="",$A2358=""),"",DAY(EOMONTH($A2358,0))-COUNTA($F2358:$AJ2358))</f>
        <v/>
      </c>
    </row>
    <row r="2359" customFormat="false" ht="15" hidden="false" customHeight="false" outlineLevel="0" collapsed="false">
      <c r="A2359" s="32"/>
      <c r="B2359" s="29"/>
      <c r="C2359" s="10" t="str">
        <f aca="false">IF($B2359="","",IFERROR(INDEX(M_name,MATCH($B2359,M_emp,0)),"Code not found"))</f>
        <v/>
      </c>
      <c r="D2359" s="10" t="str">
        <f aca="false">IF($B2359="","",IFERROR(INDEX(M_dept,MATCH($B2359,M_emp,0)),""))</f>
        <v/>
      </c>
      <c r="E2359" s="10" t="str">
        <f aca="false">IF($B2359="","",IFERROR(INDEX(M_loc,MATCH($B2359,M_emp,0)),""))</f>
        <v/>
      </c>
      <c r="F2359" s="33"/>
      <c r="G2359" s="33"/>
      <c r="H2359" s="33"/>
      <c r="I2359" s="33"/>
      <c r="J2359" s="33"/>
      <c r="K2359" s="33"/>
      <c r="L2359" s="33"/>
      <c r="M2359" s="33"/>
      <c r="N2359" s="33"/>
      <c r="O2359" s="33"/>
      <c r="P2359" s="33"/>
      <c r="Q2359" s="33"/>
      <c r="R2359" s="33"/>
      <c r="S2359" s="33"/>
      <c r="T2359" s="33"/>
      <c r="U2359" s="33"/>
      <c r="V2359" s="33"/>
      <c r="W2359" s="33"/>
      <c r="X2359" s="33"/>
      <c r="Y2359" s="33"/>
      <c r="Z2359" s="33"/>
      <c r="AA2359" s="33"/>
      <c r="AB2359" s="33"/>
      <c r="AC2359" s="33"/>
      <c r="AD2359" s="33"/>
      <c r="AE2359" s="33"/>
      <c r="AF2359" s="33"/>
      <c r="AG2359" s="33"/>
      <c r="AH2359" s="33"/>
      <c r="AI2359" s="33"/>
      <c r="AJ2359" s="33"/>
      <c r="AK2359" s="34" t="str">
        <f aca="false">IF($B2359="","",COUNTIF($F2359:$AJ2359,"P"))</f>
        <v/>
      </c>
      <c r="AL2359" s="34" t="str">
        <f aca="false">IF($B2359="","",COUNTIF($F2359:$AJ2359,"A"))</f>
        <v/>
      </c>
      <c r="AM2359" s="34" t="str">
        <f aca="false">IF($B2359="","",COUNTIF($F2359:$AJ2359,"HA"))</f>
        <v/>
      </c>
      <c r="AN2359" s="34" t="str">
        <f aca="false">IF($B2359="","",COUNTIF($F2359:$AJ2359,"L"))</f>
        <v/>
      </c>
      <c r="AO2359" s="34" t="str">
        <f aca="false">IF($B2359="","",COUNTIF($F2359:$AJ2359,"PL"))</f>
        <v/>
      </c>
      <c r="AP2359" s="34" t="str">
        <f aca="false">IF($B2359="","",COUNTIF($F2359:$AJ2359,"CL"))</f>
        <v/>
      </c>
      <c r="AQ2359" s="34" t="str">
        <f aca="false">IF($B2359="","",COUNTIF($F2359:$AJ2359,"SL"))</f>
        <v/>
      </c>
      <c r="AR2359" s="34" t="str">
        <f aca="false">IF($B2359="","",COUNTIF($F2359:$AJ2359,"CO"))</f>
        <v/>
      </c>
      <c r="AS2359" s="34" t="str">
        <f aca="false">IF($B2359="","",COUNTIF($F2359:$AJ2359,"HPL"))</f>
        <v/>
      </c>
      <c r="AT2359" s="34" t="str">
        <f aca="false">IF($B2359="","",COUNTIF($F2359:$AJ2359,"HCL"))</f>
        <v/>
      </c>
      <c r="AU2359" s="34" t="str">
        <f aca="false">IF($B2359="","",COUNTIF($F2359:$AJ2359,"WO"))</f>
        <v/>
      </c>
      <c r="AV2359" s="34" t="str">
        <f aca="false">IF($B2359="","",COUNTIF($F2359:$AJ2359,"PH"))</f>
        <v/>
      </c>
      <c r="AW2359" s="34" t="str">
        <f aca="false">IF($B2359="","",COUNTIF($F2359:$AJ2359,"TR"))</f>
        <v/>
      </c>
      <c r="AX2359" s="35" t="str">
        <f aca="false">IF($B2359="","",AO2359+AS2359/2)</f>
        <v/>
      </c>
      <c r="AY2359" s="35" t="str">
        <f aca="false">IF($B2359="","",AQ2359)</f>
        <v/>
      </c>
      <c r="AZ2359" s="35" t="str">
        <f aca="false">IF($B2359="","",AP2359+AT2359/2)</f>
        <v/>
      </c>
      <c r="BA2359" s="35" t="str">
        <f aca="false">IF($B2359="","",AK2359+AN2359+AM2359/2+AO2359+AP2359+AQ2359+AR2359+AS2359+AT2359+AU2359+AV2359+AW2359)</f>
        <v/>
      </c>
      <c r="BB2359" s="35" t="str">
        <f aca="false">IF($B2359="","",MAX(0,AN2359-Settings!$C$16)*Settings!$C$17)</f>
        <v/>
      </c>
      <c r="BC2359" s="35" t="str">
        <f aca="false">IF($B2359="","",BA2359-BB2359)</f>
        <v/>
      </c>
      <c r="BD2359" s="35" t="str">
        <f aca="false">IF(OR($B2359="",$A2359=""),"",DAY(EOMONTH($A2359,0))-COUNTA($F2359:$AJ2359))</f>
        <v/>
      </c>
    </row>
    <row r="2360" customFormat="false" ht="15" hidden="false" customHeight="false" outlineLevel="0" collapsed="false">
      <c r="A2360" s="32"/>
      <c r="B2360" s="29"/>
      <c r="C2360" s="10" t="str">
        <f aca="false">IF($B2360="","",IFERROR(INDEX(M_name,MATCH($B2360,M_emp,0)),"Code not found"))</f>
        <v/>
      </c>
      <c r="D2360" s="10" t="str">
        <f aca="false">IF($B2360="","",IFERROR(INDEX(M_dept,MATCH($B2360,M_emp,0)),""))</f>
        <v/>
      </c>
      <c r="E2360" s="10" t="str">
        <f aca="false">IF($B2360="","",IFERROR(INDEX(M_loc,MATCH($B2360,M_emp,0)),""))</f>
        <v/>
      </c>
      <c r="F2360" s="33"/>
      <c r="G2360" s="33"/>
      <c r="H2360" s="33"/>
      <c r="I2360" s="33"/>
      <c r="J2360" s="33"/>
      <c r="K2360" s="33"/>
      <c r="L2360" s="33"/>
      <c r="M2360" s="33"/>
      <c r="N2360" s="33"/>
      <c r="O2360" s="33"/>
      <c r="P2360" s="33"/>
      <c r="Q2360" s="33"/>
      <c r="R2360" s="33"/>
      <c r="S2360" s="33"/>
      <c r="T2360" s="33"/>
      <c r="U2360" s="33"/>
      <c r="V2360" s="33"/>
      <c r="W2360" s="33"/>
      <c r="X2360" s="33"/>
      <c r="Y2360" s="33"/>
      <c r="Z2360" s="33"/>
      <c r="AA2360" s="33"/>
      <c r="AB2360" s="33"/>
      <c r="AC2360" s="33"/>
      <c r="AD2360" s="33"/>
      <c r="AE2360" s="33"/>
      <c r="AF2360" s="33"/>
      <c r="AG2360" s="33"/>
      <c r="AH2360" s="33"/>
      <c r="AI2360" s="33"/>
      <c r="AJ2360" s="33"/>
      <c r="AK2360" s="34" t="str">
        <f aca="false">IF($B2360="","",COUNTIF($F2360:$AJ2360,"P"))</f>
        <v/>
      </c>
      <c r="AL2360" s="34" t="str">
        <f aca="false">IF($B2360="","",COUNTIF($F2360:$AJ2360,"A"))</f>
        <v/>
      </c>
      <c r="AM2360" s="34" t="str">
        <f aca="false">IF($B2360="","",COUNTIF($F2360:$AJ2360,"HA"))</f>
        <v/>
      </c>
      <c r="AN2360" s="34" t="str">
        <f aca="false">IF($B2360="","",COUNTIF($F2360:$AJ2360,"L"))</f>
        <v/>
      </c>
      <c r="AO2360" s="34" t="str">
        <f aca="false">IF($B2360="","",COUNTIF($F2360:$AJ2360,"PL"))</f>
        <v/>
      </c>
      <c r="AP2360" s="34" t="str">
        <f aca="false">IF($B2360="","",COUNTIF($F2360:$AJ2360,"CL"))</f>
        <v/>
      </c>
      <c r="AQ2360" s="34" t="str">
        <f aca="false">IF($B2360="","",COUNTIF($F2360:$AJ2360,"SL"))</f>
        <v/>
      </c>
      <c r="AR2360" s="34" t="str">
        <f aca="false">IF($B2360="","",COUNTIF($F2360:$AJ2360,"CO"))</f>
        <v/>
      </c>
      <c r="AS2360" s="34" t="str">
        <f aca="false">IF($B2360="","",COUNTIF($F2360:$AJ2360,"HPL"))</f>
        <v/>
      </c>
      <c r="AT2360" s="34" t="str">
        <f aca="false">IF($B2360="","",COUNTIF($F2360:$AJ2360,"HCL"))</f>
        <v/>
      </c>
      <c r="AU2360" s="34" t="str">
        <f aca="false">IF($B2360="","",COUNTIF($F2360:$AJ2360,"WO"))</f>
        <v/>
      </c>
      <c r="AV2360" s="34" t="str">
        <f aca="false">IF($B2360="","",COUNTIF($F2360:$AJ2360,"PH"))</f>
        <v/>
      </c>
      <c r="AW2360" s="34" t="str">
        <f aca="false">IF($B2360="","",COUNTIF($F2360:$AJ2360,"TR"))</f>
        <v/>
      </c>
      <c r="AX2360" s="35" t="str">
        <f aca="false">IF($B2360="","",AO2360+AS2360/2)</f>
        <v/>
      </c>
      <c r="AY2360" s="35" t="str">
        <f aca="false">IF($B2360="","",AQ2360)</f>
        <v/>
      </c>
      <c r="AZ2360" s="35" t="str">
        <f aca="false">IF($B2360="","",AP2360+AT2360/2)</f>
        <v/>
      </c>
      <c r="BA2360" s="35" t="str">
        <f aca="false">IF($B2360="","",AK2360+AN2360+AM2360/2+AO2360+AP2360+AQ2360+AR2360+AS2360+AT2360+AU2360+AV2360+AW2360)</f>
        <v/>
      </c>
      <c r="BB2360" s="35" t="str">
        <f aca="false">IF($B2360="","",MAX(0,AN2360-Settings!$C$16)*Settings!$C$17)</f>
        <v/>
      </c>
      <c r="BC2360" s="35" t="str">
        <f aca="false">IF($B2360="","",BA2360-BB2360)</f>
        <v/>
      </c>
      <c r="BD2360" s="35" t="str">
        <f aca="false">IF(OR($B2360="",$A2360=""),"",DAY(EOMONTH($A2360,0))-COUNTA($F2360:$AJ2360))</f>
        <v/>
      </c>
    </row>
    <row r="2361" customFormat="false" ht="15" hidden="false" customHeight="false" outlineLevel="0" collapsed="false">
      <c r="A2361" s="32"/>
      <c r="B2361" s="29"/>
      <c r="C2361" s="10" t="str">
        <f aca="false">IF($B2361="","",IFERROR(INDEX(M_name,MATCH($B2361,M_emp,0)),"Code not found"))</f>
        <v/>
      </c>
      <c r="D2361" s="10" t="str">
        <f aca="false">IF($B2361="","",IFERROR(INDEX(M_dept,MATCH($B2361,M_emp,0)),""))</f>
        <v/>
      </c>
      <c r="E2361" s="10" t="str">
        <f aca="false">IF($B2361="","",IFERROR(INDEX(M_loc,MATCH($B2361,M_emp,0)),""))</f>
        <v/>
      </c>
      <c r="F2361" s="33"/>
      <c r="G2361" s="33"/>
      <c r="H2361" s="33"/>
      <c r="I2361" s="33"/>
      <c r="J2361" s="33"/>
      <c r="K2361" s="33"/>
      <c r="L2361" s="33"/>
      <c r="M2361" s="33"/>
      <c r="N2361" s="33"/>
      <c r="O2361" s="33"/>
      <c r="P2361" s="33"/>
      <c r="Q2361" s="33"/>
      <c r="R2361" s="33"/>
      <c r="S2361" s="33"/>
      <c r="T2361" s="33"/>
      <c r="U2361" s="33"/>
      <c r="V2361" s="33"/>
      <c r="W2361" s="33"/>
      <c r="X2361" s="33"/>
      <c r="Y2361" s="33"/>
      <c r="Z2361" s="33"/>
      <c r="AA2361" s="33"/>
      <c r="AB2361" s="33"/>
      <c r="AC2361" s="33"/>
      <c r="AD2361" s="33"/>
      <c r="AE2361" s="33"/>
      <c r="AF2361" s="33"/>
      <c r="AG2361" s="33"/>
      <c r="AH2361" s="33"/>
      <c r="AI2361" s="33"/>
      <c r="AJ2361" s="33"/>
      <c r="AK2361" s="34" t="str">
        <f aca="false">IF($B2361="","",COUNTIF($F2361:$AJ2361,"P"))</f>
        <v/>
      </c>
      <c r="AL2361" s="34" t="str">
        <f aca="false">IF($B2361="","",COUNTIF($F2361:$AJ2361,"A"))</f>
        <v/>
      </c>
      <c r="AM2361" s="34" t="str">
        <f aca="false">IF($B2361="","",COUNTIF($F2361:$AJ2361,"HA"))</f>
        <v/>
      </c>
      <c r="AN2361" s="34" t="str">
        <f aca="false">IF($B2361="","",COUNTIF($F2361:$AJ2361,"L"))</f>
        <v/>
      </c>
      <c r="AO2361" s="34" t="str">
        <f aca="false">IF($B2361="","",COUNTIF($F2361:$AJ2361,"PL"))</f>
        <v/>
      </c>
      <c r="AP2361" s="34" t="str">
        <f aca="false">IF($B2361="","",COUNTIF($F2361:$AJ2361,"CL"))</f>
        <v/>
      </c>
      <c r="AQ2361" s="34" t="str">
        <f aca="false">IF($B2361="","",COUNTIF($F2361:$AJ2361,"SL"))</f>
        <v/>
      </c>
      <c r="AR2361" s="34" t="str">
        <f aca="false">IF($B2361="","",COUNTIF($F2361:$AJ2361,"CO"))</f>
        <v/>
      </c>
      <c r="AS2361" s="34" t="str">
        <f aca="false">IF($B2361="","",COUNTIF($F2361:$AJ2361,"HPL"))</f>
        <v/>
      </c>
      <c r="AT2361" s="34" t="str">
        <f aca="false">IF($B2361="","",COUNTIF($F2361:$AJ2361,"HCL"))</f>
        <v/>
      </c>
      <c r="AU2361" s="34" t="str">
        <f aca="false">IF($B2361="","",COUNTIF($F2361:$AJ2361,"WO"))</f>
        <v/>
      </c>
      <c r="AV2361" s="34" t="str">
        <f aca="false">IF($B2361="","",COUNTIF($F2361:$AJ2361,"PH"))</f>
        <v/>
      </c>
      <c r="AW2361" s="34" t="str">
        <f aca="false">IF($B2361="","",COUNTIF($F2361:$AJ2361,"TR"))</f>
        <v/>
      </c>
      <c r="AX2361" s="35" t="str">
        <f aca="false">IF($B2361="","",AO2361+AS2361/2)</f>
        <v/>
      </c>
      <c r="AY2361" s="35" t="str">
        <f aca="false">IF($B2361="","",AQ2361)</f>
        <v/>
      </c>
      <c r="AZ2361" s="35" t="str">
        <f aca="false">IF($B2361="","",AP2361+AT2361/2)</f>
        <v/>
      </c>
      <c r="BA2361" s="35" t="str">
        <f aca="false">IF($B2361="","",AK2361+AN2361+AM2361/2+AO2361+AP2361+AQ2361+AR2361+AS2361+AT2361+AU2361+AV2361+AW2361)</f>
        <v/>
      </c>
      <c r="BB2361" s="35" t="str">
        <f aca="false">IF($B2361="","",MAX(0,AN2361-Settings!$C$16)*Settings!$C$17)</f>
        <v/>
      </c>
      <c r="BC2361" s="35" t="str">
        <f aca="false">IF($B2361="","",BA2361-BB2361)</f>
        <v/>
      </c>
      <c r="BD2361" s="35" t="str">
        <f aca="false">IF(OR($B2361="",$A2361=""),"",DAY(EOMONTH($A2361,0))-COUNTA($F2361:$AJ2361))</f>
        <v/>
      </c>
    </row>
    <row r="2362" customFormat="false" ht="15" hidden="false" customHeight="false" outlineLevel="0" collapsed="false">
      <c r="A2362" s="32"/>
      <c r="B2362" s="29"/>
      <c r="C2362" s="10" t="str">
        <f aca="false">IF($B2362="","",IFERROR(INDEX(M_name,MATCH($B2362,M_emp,0)),"Code not found"))</f>
        <v/>
      </c>
      <c r="D2362" s="10" t="str">
        <f aca="false">IF($B2362="","",IFERROR(INDEX(M_dept,MATCH($B2362,M_emp,0)),""))</f>
        <v/>
      </c>
      <c r="E2362" s="10" t="str">
        <f aca="false">IF($B2362="","",IFERROR(INDEX(M_loc,MATCH($B2362,M_emp,0)),""))</f>
        <v/>
      </c>
      <c r="F2362" s="33"/>
      <c r="G2362" s="33"/>
      <c r="H2362" s="33"/>
      <c r="I2362" s="33"/>
      <c r="J2362" s="33"/>
      <c r="K2362" s="33"/>
      <c r="L2362" s="33"/>
      <c r="M2362" s="33"/>
      <c r="N2362" s="33"/>
      <c r="O2362" s="33"/>
      <c r="P2362" s="33"/>
      <c r="Q2362" s="33"/>
      <c r="R2362" s="33"/>
      <c r="S2362" s="33"/>
      <c r="T2362" s="33"/>
      <c r="U2362" s="33"/>
      <c r="V2362" s="33"/>
      <c r="W2362" s="33"/>
      <c r="X2362" s="33"/>
      <c r="Y2362" s="33"/>
      <c r="Z2362" s="33"/>
      <c r="AA2362" s="33"/>
      <c r="AB2362" s="33"/>
      <c r="AC2362" s="33"/>
      <c r="AD2362" s="33"/>
      <c r="AE2362" s="33"/>
      <c r="AF2362" s="33"/>
      <c r="AG2362" s="33"/>
      <c r="AH2362" s="33"/>
      <c r="AI2362" s="33"/>
      <c r="AJ2362" s="33"/>
      <c r="AK2362" s="34" t="str">
        <f aca="false">IF($B2362="","",COUNTIF($F2362:$AJ2362,"P"))</f>
        <v/>
      </c>
      <c r="AL2362" s="34" t="str">
        <f aca="false">IF($B2362="","",COUNTIF($F2362:$AJ2362,"A"))</f>
        <v/>
      </c>
      <c r="AM2362" s="34" t="str">
        <f aca="false">IF($B2362="","",COUNTIF($F2362:$AJ2362,"HA"))</f>
        <v/>
      </c>
      <c r="AN2362" s="34" t="str">
        <f aca="false">IF($B2362="","",COUNTIF($F2362:$AJ2362,"L"))</f>
        <v/>
      </c>
      <c r="AO2362" s="34" t="str">
        <f aca="false">IF($B2362="","",COUNTIF($F2362:$AJ2362,"PL"))</f>
        <v/>
      </c>
      <c r="AP2362" s="34" t="str">
        <f aca="false">IF($B2362="","",COUNTIF($F2362:$AJ2362,"CL"))</f>
        <v/>
      </c>
      <c r="AQ2362" s="34" t="str">
        <f aca="false">IF($B2362="","",COUNTIF($F2362:$AJ2362,"SL"))</f>
        <v/>
      </c>
      <c r="AR2362" s="34" t="str">
        <f aca="false">IF($B2362="","",COUNTIF($F2362:$AJ2362,"CO"))</f>
        <v/>
      </c>
      <c r="AS2362" s="34" t="str">
        <f aca="false">IF($B2362="","",COUNTIF($F2362:$AJ2362,"HPL"))</f>
        <v/>
      </c>
      <c r="AT2362" s="34" t="str">
        <f aca="false">IF($B2362="","",COUNTIF($F2362:$AJ2362,"HCL"))</f>
        <v/>
      </c>
      <c r="AU2362" s="34" t="str">
        <f aca="false">IF($B2362="","",COUNTIF($F2362:$AJ2362,"WO"))</f>
        <v/>
      </c>
      <c r="AV2362" s="34" t="str">
        <f aca="false">IF($B2362="","",COUNTIF($F2362:$AJ2362,"PH"))</f>
        <v/>
      </c>
      <c r="AW2362" s="34" t="str">
        <f aca="false">IF($B2362="","",COUNTIF($F2362:$AJ2362,"TR"))</f>
        <v/>
      </c>
      <c r="AX2362" s="35" t="str">
        <f aca="false">IF($B2362="","",AO2362+AS2362/2)</f>
        <v/>
      </c>
      <c r="AY2362" s="35" t="str">
        <f aca="false">IF($B2362="","",AQ2362)</f>
        <v/>
      </c>
      <c r="AZ2362" s="35" t="str">
        <f aca="false">IF($B2362="","",AP2362+AT2362/2)</f>
        <v/>
      </c>
      <c r="BA2362" s="35" t="str">
        <f aca="false">IF($B2362="","",AK2362+AN2362+AM2362/2+AO2362+AP2362+AQ2362+AR2362+AS2362+AT2362+AU2362+AV2362+AW2362)</f>
        <v/>
      </c>
      <c r="BB2362" s="35" t="str">
        <f aca="false">IF($B2362="","",MAX(0,AN2362-Settings!$C$16)*Settings!$C$17)</f>
        <v/>
      </c>
      <c r="BC2362" s="35" t="str">
        <f aca="false">IF($B2362="","",BA2362-BB2362)</f>
        <v/>
      </c>
      <c r="BD2362" s="35" t="str">
        <f aca="false">IF(OR($B2362="",$A2362=""),"",DAY(EOMONTH($A2362,0))-COUNTA($F2362:$AJ2362))</f>
        <v/>
      </c>
    </row>
    <row r="2363" customFormat="false" ht="15" hidden="false" customHeight="false" outlineLevel="0" collapsed="false">
      <c r="A2363" s="32"/>
      <c r="B2363" s="29"/>
      <c r="C2363" s="10" t="str">
        <f aca="false">IF($B2363="","",IFERROR(INDEX(M_name,MATCH($B2363,M_emp,0)),"Code not found"))</f>
        <v/>
      </c>
      <c r="D2363" s="10" t="str">
        <f aca="false">IF($B2363="","",IFERROR(INDEX(M_dept,MATCH($B2363,M_emp,0)),""))</f>
        <v/>
      </c>
      <c r="E2363" s="10" t="str">
        <f aca="false">IF($B2363="","",IFERROR(INDEX(M_loc,MATCH($B2363,M_emp,0)),""))</f>
        <v/>
      </c>
      <c r="F2363" s="33"/>
      <c r="G2363" s="33"/>
      <c r="H2363" s="33"/>
      <c r="I2363" s="33"/>
      <c r="J2363" s="33"/>
      <c r="K2363" s="33"/>
      <c r="L2363" s="33"/>
      <c r="M2363" s="33"/>
      <c r="N2363" s="33"/>
      <c r="O2363" s="33"/>
      <c r="P2363" s="33"/>
      <c r="Q2363" s="33"/>
      <c r="R2363" s="33"/>
      <c r="S2363" s="33"/>
      <c r="T2363" s="33"/>
      <c r="U2363" s="33"/>
      <c r="V2363" s="33"/>
      <c r="W2363" s="33"/>
      <c r="X2363" s="33"/>
      <c r="Y2363" s="33"/>
      <c r="Z2363" s="33"/>
      <c r="AA2363" s="33"/>
      <c r="AB2363" s="33"/>
      <c r="AC2363" s="33"/>
      <c r="AD2363" s="33"/>
      <c r="AE2363" s="33"/>
      <c r="AF2363" s="33"/>
      <c r="AG2363" s="33"/>
      <c r="AH2363" s="33"/>
      <c r="AI2363" s="33"/>
      <c r="AJ2363" s="33"/>
      <c r="AK2363" s="34" t="str">
        <f aca="false">IF($B2363="","",COUNTIF($F2363:$AJ2363,"P"))</f>
        <v/>
      </c>
      <c r="AL2363" s="34" t="str">
        <f aca="false">IF($B2363="","",COUNTIF($F2363:$AJ2363,"A"))</f>
        <v/>
      </c>
      <c r="AM2363" s="34" t="str">
        <f aca="false">IF($B2363="","",COUNTIF($F2363:$AJ2363,"HA"))</f>
        <v/>
      </c>
      <c r="AN2363" s="34" t="str">
        <f aca="false">IF($B2363="","",COUNTIF($F2363:$AJ2363,"L"))</f>
        <v/>
      </c>
      <c r="AO2363" s="34" t="str">
        <f aca="false">IF($B2363="","",COUNTIF($F2363:$AJ2363,"PL"))</f>
        <v/>
      </c>
      <c r="AP2363" s="34" t="str">
        <f aca="false">IF($B2363="","",COUNTIF($F2363:$AJ2363,"CL"))</f>
        <v/>
      </c>
      <c r="AQ2363" s="34" t="str">
        <f aca="false">IF($B2363="","",COUNTIF($F2363:$AJ2363,"SL"))</f>
        <v/>
      </c>
      <c r="AR2363" s="34" t="str">
        <f aca="false">IF($B2363="","",COUNTIF($F2363:$AJ2363,"CO"))</f>
        <v/>
      </c>
      <c r="AS2363" s="34" t="str">
        <f aca="false">IF($B2363="","",COUNTIF($F2363:$AJ2363,"HPL"))</f>
        <v/>
      </c>
      <c r="AT2363" s="34" t="str">
        <f aca="false">IF($B2363="","",COUNTIF($F2363:$AJ2363,"HCL"))</f>
        <v/>
      </c>
      <c r="AU2363" s="34" t="str">
        <f aca="false">IF($B2363="","",COUNTIF($F2363:$AJ2363,"WO"))</f>
        <v/>
      </c>
      <c r="AV2363" s="34" t="str">
        <f aca="false">IF($B2363="","",COUNTIF($F2363:$AJ2363,"PH"))</f>
        <v/>
      </c>
      <c r="AW2363" s="34" t="str">
        <f aca="false">IF($B2363="","",COUNTIF($F2363:$AJ2363,"TR"))</f>
        <v/>
      </c>
      <c r="AX2363" s="35" t="str">
        <f aca="false">IF($B2363="","",AO2363+AS2363/2)</f>
        <v/>
      </c>
      <c r="AY2363" s="35" t="str">
        <f aca="false">IF($B2363="","",AQ2363)</f>
        <v/>
      </c>
      <c r="AZ2363" s="35" t="str">
        <f aca="false">IF($B2363="","",AP2363+AT2363/2)</f>
        <v/>
      </c>
      <c r="BA2363" s="35" t="str">
        <f aca="false">IF($B2363="","",AK2363+AN2363+AM2363/2+AO2363+AP2363+AQ2363+AR2363+AS2363+AT2363+AU2363+AV2363+AW2363)</f>
        <v/>
      </c>
      <c r="BB2363" s="35" t="str">
        <f aca="false">IF($B2363="","",MAX(0,AN2363-Settings!$C$16)*Settings!$C$17)</f>
        <v/>
      </c>
      <c r="BC2363" s="35" t="str">
        <f aca="false">IF($B2363="","",BA2363-BB2363)</f>
        <v/>
      </c>
      <c r="BD2363" s="35" t="str">
        <f aca="false">IF(OR($B2363="",$A2363=""),"",DAY(EOMONTH($A2363,0))-COUNTA($F2363:$AJ2363))</f>
        <v/>
      </c>
    </row>
    <row r="2364" customFormat="false" ht="15" hidden="false" customHeight="false" outlineLevel="0" collapsed="false">
      <c r="A2364" s="32"/>
      <c r="B2364" s="29"/>
      <c r="C2364" s="10" t="str">
        <f aca="false">IF($B2364="","",IFERROR(INDEX(M_name,MATCH($B2364,M_emp,0)),"Code not found"))</f>
        <v/>
      </c>
      <c r="D2364" s="10" t="str">
        <f aca="false">IF($B2364="","",IFERROR(INDEX(M_dept,MATCH($B2364,M_emp,0)),""))</f>
        <v/>
      </c>
      <c r="E2364" s="10" t="str">
        <f aca="false">IF($B2364="","",IFERROR(INDEX(M_loc,MATCH($B2364,M_emp,0)),""))</f>
        <v/>
      </c>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c r="AB2364" s="33"/>
      <c r="AC2364" s="33"/>
      <c r="AD2364" s="33"/>
      <c r="AE2364" s="33"/>
      <c r="AF2364" s="33"/>
      <c r="AG2364" s="33"/>
      <c r="AH2364" s="33"/>
      <c r="AI2364" s="33"/>
      <c r="AJ2364" s="33"/>
      <c r="AK2364" s="34" t="str">
        <f aca="false">IF($B2364="","",COUNTIF($F2364:$AJ2364,"P"))</f>
        <v/>
      </c>
      <c r="AL2364" s="34" t="str">
        <f aca="false">IF($B2364="","",COUNTIF($F2364:$AJ2364,"A"))</f>
        <v/>
      </c>
      <c r="AM2364" s="34" t="str">
        <f aca="false">IF($B2364="","",COUNTIF($F2364:$AJ2364,"HA"))</f>
        <v/>
      </c>
      <c r="AN2364" s="34" t="str">
        <f aca="false">IF($B2364="","",COUNTIF($F2364:$AJ2364,"L"))</f>
        <v/>
      </c>
      <c r="AO2364" s="34" t="str">
        <f aca="false">IF($B2364="","",COUNTIF($F2364:$AJ2364,"PL"))</f>
        <v/>
      </c>
      <c r="AP2364" s="34" t="str">
        <f aca="false">IF($B2364="","",COUNTIF($F2364:$AJ2364,"CL"))</f>
        <v/>
      </c>
      <c r="AQ2364" s="34" t="str">
        <f aca="false">IF($B2364="","",COUNTIF($F2364:$AJ2364,"SL"))</f>
        <v/>
      </c>
      <c r="AR2364" s="34" t="str">
        <f aca="false">IF($B2364="","",COUNTIF($F2364:$AJ2364,"CO"))</f>
        <v/>
      </c>
      <c r="AS2364" s="34" t="str">
        <f aca="false">IF($B2364="","",COUNTIF($F2364:$AJ2364,"HPL"))</f>
        <v/>
      </c>
      <c r="AT2364" s="34" t="str">
        <f aca="false">IF($B2364="","",COUNTIF($F2364:$AJ2364,"HCL"))</f>
        <v/>
      </c>
      <c r="AU2364" s="34" t="str">
        <f aca="false">IF($B2364="","",COUNTIF($F2364:$AJ2364,"WO"))</f>
        <v/>
      </c>
      <c r="AV2364" s="34" t="str">
        <f aca="false">IF($B2364="","",COUNTIF($F2364:$AJ2364,"PH"))</f>
        <v/>
      </c>
      <c r="AW2364" s="34" t="str">
        <f aca="false">IF($B2364="","",COUNTIF($F2364:$AJ2364,"TR"))</f>
        <v/>
      </c>
      <c r="AX2364" s="35" t="str">
        <f aca="false">IF($B2364="","",AO2364+AS2364/2)</f>
        <v/>
      </c>
      <c r="AY2364" s="35" t="str">
        <f aca="false">IF($B2364="","",AQ2364)</f>
        <v/>
      </c>
      <c r="AZ2364" s="35" t="str">
        <f aca="false">IF($B2364="","",AP2364+AT2364/2)</f>
        <v/>
      </c>
      <c r="BA2364" s="35" t="str">
        <f aca="false">IF($B2364="","",AK2364+AN2364+AM2364/2+AO2364+AP2364+AQ2364+AR2364+AS2364+AT2364+AU2364+AV2364+AW2364)</f>
        <v/>
      </c>
      <c r="BB2364" s="35" t="str">
        <f aca="false">IF($B2364="","",MAX(0,AN2364-Settings!$C$16)*Settings!$C$17)</f>
        <v/>
      </c>
      <c r="BC2364" s="35" t="str">
        <f aca="false">IF($B2364="","",BA2364-BB2364)</f>
        <v/>
      </c>
      <c r="BD2364" s="35" t="str">
        <f aca="false">IF(OR($B2364="",$A2364=""),"",DAY(EOMONTH($A2364,0))-COUNTA($F2364:$AJ2364))</f>
        <v/>
      </c>
    </row>
    <row r="2365" customFormat="false" ht="15" hidden="false" customHeight="false" outlineLevel="0" collapsed="false">
      <c r="A2365" s="32"/>
      <c r="B2365" s="29"/>
      <c r="C2365" s="10" t="str">
        <f aca="false">IF($B2365="","",IFERROR(INDEX(M_name,MATCH($B2365,M_emp,0)),"Code not found"))</f>
        <v/>
      </c>
      <c r="D2365" s="10" t="str">
        <f aca="false">IF($B2365="","",IFERROR(INDEX(M_dept,MATCH($B2365,M_emp,0)),""))</f>
        <v/>
      </c>
      <c r="E2365" s="10" t="str">
        <f aca="false">IF($B2365="","",IFERROR(INDEX(M_loc,MATCH($B2365,M_emp,0)),""))</f>
        <v/>
      </c>
      <c r="F2365" s="33"/>
      <c r="G2365" s="33"/>
      <c r="H2365" s="33"/>
      <c r="I2365" s="33"/>
      <c r="J2365" s="33"/>
      <c r="K2365" s="33"/>
      <c r="L2365" s="33"/>
      <c r="M2365" s="33"/>
      <c r="N2365" s="33"/>
      <c r="O2365" s="33"/>
      <c r="P2365" s="33"/>
      <c r="Q2365" s="33"/>
      <c r="R2365" s="33"/>
      <c r="S2365" s="33"/>
      <c r="T2365" s="33"/>
      <c r="U2365" s="33"/>
      <c r="V2365" s="33"/>
      <c r="W2365" s="33"/>
      <c r="X2365" s="33"/>
      <c r="Y2365" s="33"/>
      <c r="Z2365" s="33"/>
      <c r="AA2365" s="33"/>
      <c r="AB2365" s="33"/>
      <c r="AC2365" s="33"/>
      <c r="AD2365" s="33"/>
      <c r="AE2365" s="33"/>
      <c r="AF2365" s="33"/>
      <c r="AG2365" s="33"/>
      <c r="AH2365" s="33"/>
      <c r="AI2365" s="33"/>
      <c r="AJ2365" s="33"/>
      <c r="AK2365" s="34" t="str">
        <f aca="false">IF($B2365="","",COUNTIF($F2365:$AJ2365,"P"))</f>
        <v/>
      </c>
      <c r="AL2365" s="34" t="str">
        <f aca="false">IF($B2365="","",COUNTIF($F2365:$AJ2365,"A"))</f>
        <v/>
      </c>
      <c r="AM2365" s="34" t="str">
        <f aca="false">IF($B2365="","",COUNTIF($F2365:$AJ2365,"HA"))</f>
        <v/>
      </c>
      <c r="AN2365" s="34" t="str">
        <f aca="false">IF($B2365="","",COUNTIF($F2365:$AJ2365,"L"))</f>
        <v/>
      </c>
      <c r="AO2365" s="34" t="str">
        <f aca="false">IF($B2365="","",COUNTIF($F2365:$AJ2365,"PL"))</f>
        <v/>
      </c>
      <c r="AP2365" s="34" t="str">
        <f aca="false">IF($B2365="","",COUNTIF($F2365:$AJ2365,"CL"))</f>
        <v/>
      </c>
      <c r="AQ2365" s="34" t="str">
        <f aca="false">IF($B2365="","",COUNTIF($F2365:$AJ2365,"SL"))</f>
        <v/>
      </c>
      <c r="AR2365" s="34" t="str">
        <f aca="false">IF($B2365="","",COUNTIF($F2365:$AJ2365,"CO"))</f>
        <v/>
      </c>
      <c r="AS2365" s="34" t="str">
        <f aca="false">IF($B2365="","",COUNTIF($F2365:$AJ2365,"HPL"))</f>
        <v/>
      </c>
      <c r="AT2365" s="34" t="str">
        <f aca="false">IF($B2365="","",COUNTIF($F2365:$AJ2365,"HCL"))</f>
        <v/>
      </c>
      <c r="AU2365" s="34" t="str">
        <f aca="false">IF($B2365="","",COUNTIF($F2365:$AJ2365,"WO"))</f>
        <v/>
      </c>
      <c r="AV2365" s="34" t="str">
        <f aca="false">IF($B2365="","",COUNTIF($F2365:$AJ2365,"PH"))</f>
        <v/>
      </c>
      <c r="AW2365" s="34" t="str">
        <f aca="false">IF($B2365="","",COUNTIF($F2365:$AJ2365,"TR"))</f>
        <v/>
      </c>
      <c r="AX2365" s="35" t="str">
        <f aca="false">IF($B2365="","",AO2365+AS2365/2)</f>
        <v/>
      </c>
      <c r="AY2365" s="35" t="str">
        <f aca="false">IF($B2365="","",AQ2365)</f>
        <v/>
      </c>
      <c r="AZ2365" s="35" t="str">
        <f aca="false">IF($B2365="","",AP2365+AT2365/2)</f>
        <v/>
      </c>
      <c r="BA2365" s="35" t="str">
        <f aca="false">IF($B2365="","",AK2365+AN2365+AM2365/2+AO2365+AP2365+AQ2365+AR2365+AS2365+AT2365+AU2365+AV2365+AW2365)</f>
        <v/>
      </c>
      <c r="BB2365" s="35" t="str">
        <f aca="false">IF($B2365="","",MAX(0,AN2365-Settings!$C$16)*Settings!$C$17)</f>
        <v/>
      </c>
      <c r="BC2365" s="35" t="str">
        <f aca="false">IF($B2365="","",BA2365-BB2365)</f>
        <v/>
      </c>
      <c r="BD2365" s="35" t="str">
        <f aca="false">IF(OR($B2365="",$A2365=""),"",DAY(EOMONTH($A2365,0))-COUNTA($F2365:$AJ2365))</f>
        <v/>
      </c>
    </row>
    <row r="2366" customFormat="false" ht="15" hidden="false" customHeight="false" outlineLevel="0" collapsed="false">
      <c r="A2366" s="32"/>
      <c r="B2366" s="29"/>
      <c r="C2366" s="10" t="str">
        <f aca="false">IF($B2366="","",IFERROR(INDEX(M_name,MATCH($B2366,M_emp,0)),"Code not found"))</f>
        <v/>
      </c>
      <c r="D2366" s="10" t="str">
        <f aca="false">IF($B2366="","",IFERROR(INDEX(M_dept,MATCH($B2366,M_emp,0)),""))</f>
        <v/>
      </c>
      <c r="E2366" s="10" t="str">
        <f aca="false">IF($B2366="","",IFERROR(INDEX(M_loc,MATCH($B2366,M_emp,0)),""))</f>
        <v/>
      </c>
      <c r="F2366" s="33"/>
      <c r="G2366" s="33"/>
      <c r="H2366" s="33"/>
      <c r="I2366" s="33"/>
      <c r="J2366" s="33"/>
      <c r="K2366" s="33"/>
      <c r="L2366" s="33"/>
      <c r="M2366" s="33"/>
      <c r="N2366" s="33"/>
      <c r="O2366" s="33"/>
      <c r="P2366" s="33"/>
      <c r="Q2366" s="33"/>
      <c r="R2366" s="33"/>
      <c r="S2366" s="33"/>
      <c r="T2366" s="33"/>
      <c r="U2366" s="33"/>
      <c r="V2366" s="33"/>
      <c r="W2366" s="33"/>
      <c r="X2366" s="33"/>
      <c r="Y2366" s="33"/>
      <c r="Z2366" s="33"/>
      <c r="AA2366" s="33"/>
      <c r="AB2366" s="33"/>
      <c r="AC2366" s="33"/>
      <c r="AD2366" s="33"/>
      <c r="AE2366" s="33"/>
      <c r="AF2366" s="33"/>
      <c r="AG2366" s="33"/>
      <c r="AH2366" s="33"/>
      <c r="AI2366" s="33"/>
      <c r="AJ2366" s="33"/>
      <c r="AK2366" s="34" t="str">
        <f aca="false">IF($B2366="","",COUNTIF($F2366:$AJ2366,"P"))</f>
        <v/>
      </c>
      <c r="AL2366" s="34" t="str">
        <f aca="false">IF($B2366="","",COUNTIF($F2366:$AJ2366,"A"))</f>
        <v/>
      </c>
      <c r="AM2366" s="34" t="str">
        <f aca="false">IF($B2366="","",COUNTIF($F2366:$AJ2366,"HA"))</f>
        <v/>
      </c>
      <c r="AN2366" s="34" t="str">
        <f aca="false">IF($B2366="","",COUNTIF($F2366:$AJ2366,"L"))</f>
        <v/>
      </c>
      <c r="AO2366" s="34" t="str">
        <f aca="false">IF($B2366="","",COUNTIF($F2366:$AJ2366,"PL"))</f>
        <v/>
      </c>
      <c r="AP2366" s="34" t="str">
        <f aca="false">IF($B2366="","",COUNTIF($F2366:$AJ2366,"CL"))</f>
        <v/>
      </c>
      <c r="AQ2366" s="34" t="str">
        <f aca="false">IF($B2366="","",COUNTIF($F2366:$AJ2366,"SL"))</f>
        <v/>
      </c>
      <c r="AR2366" s="34" t="str">
        <f aca="false">IF($B2366="","",COUNTIF($F2366:$AJ2366,"CO"))</f>
        <v/>
      </c>
      <c r="AS2366" s="34" t="str">
        <f aca="false">IF($B2366="","",COUNTIF($F2366:$AJ2366,"HPL"))</f>
        <v/>
      </c>
      <c r="AT2366" s="34" t="str">
        <f aca="false">IF($B2366="","",COUNTIF($F2366:$AJ2366,"HCL"))</f>
        <v/>
      </c>
      <c r="AU2366" s="34" t="str">
        <f aca="false">IF($B2366="","",COUNTIF($F2366:$AJ2366,"WO"))</f>
        <v/>
      </c>
      <c r="AV2366" s="34" t="str">
        <f aca="false">IF($B2366="","",COUNTIF($F2366:$AJ2366,"PH"))</f>
        <v/>
      </c>
      <c r="AW2366" s="34" t="str">
        <f aca="false">IF($B2366="","",COUNTIF($F2366:$AJ2366,"TR"))</f>
        <v/>
      </c>
      <c r="AX2366" s="35" t="str">
        <f aca="false">IF($B2366="","",AO2366+AS2366/2)</f>
        <v/>
      </c>
      <c r="AY2366" s="35" t="str">
        <f aca="false">IF($B2366="","",AQ2366)</f>
        <v/>
      </c>
      <c r="AZ2366" s="35" t="str">
        <f aca="false">IF($B2366="","",AP2366+AT2366/2)</f>
        <v/>
      </c>
      <c r="BA2366" s="35" t="str">
        <f aca="false">IF($B2366="","",AK2366+AN2366+AM2366/2+AO2366+AP2366+AQ2366+AR2366+AS2366+AT2366+AU2366+AV2366+AW2366)</f>
        <v/>
      </c>
      <c r="BB2366" s="35" t="str">
        <f aca="false">IF($B2366="","",MAX(0,AN2366-Settings!$C$16)*Settings!$C$17)</f>
        <v/>
      </c>
      <c r="BC2366" s="35" t="str">
        <f aca="false">IF($B2366="","",BA2366-BB2366)</f>
        <v/>
      </c>
      <c r="BD2366" s="35" t="str">
        <f aca="false">IF(OR($B2366="",$A2366=""),"",DAY(EOMONTH($A2366,0))-COUNTA($F2366:$AJ2366))</f>
        <v/>
      </c>
    </row>
    <row r="2367" customFormat="false" ht="15" hidden="false" customHeight="false" outlineLevel="0" collapsed="false">
      <c r="A2367" s="32"/>
      <c r="B2367" s="29"/>
      <c r="C2367" s="10" t="str">
        <f aca="false">IF($B2367="","",IFERROR(INDEX(M_name,MATCH($B2367,M_emp,0)),"Code not found"))</f>
        <v/>
      </c>
      <c r="D2367" s="10" t="str">
        <f aca="false">IF($B2367="","",IFERROR(INDEX(M_dept,MATCH($B2367,M_emp,0)),""))</f>
        <v/>
      </c>
      <c r="E2367" s="10" t="str">
        <f aca="false">IF($B2367="","",IFERROR(INDEX(M_loc,MATCH($B2367,M_emp,0)),""))</f>
        <v/>
      </c>
      <c r="F2367" s="33"/>
      <c r="G2367" s="33"/>
      <c r="H2367" s="33"/>
      <c r="I2367" s="33"/>
      <c r="J2367" s="33"/>
      <c r="K2367" s="33"/>
      <c r="L2367" s="33"/>
      <c r="M2367" s="33"/>
      <c r="N2367" s="33"/>
      <c r="O2367" s="33"/>
      <c r="P2367" s="33"/>
      <c r="Q2367" s="33"/>
      <c r="R2367" s="33"/>
      <c r="S2367" s="33"/>
      <c r="T2367" s="33"/>
      <c r="U2367" s="33"/>
      <c r="V2367" s="33"/>
      <c r="W2367" s="33"/>
      <c r="X2367" s="33"/>
      <c r="Y2367" s="33"/>
      <c r="Z2367" s="33"/>
      <c r="AA2367" s="33"/>
      <c r="AB2367" s="33"/>
      <c r="AC2367" s="33"/>
      <c r="AD2367" s="33"/>
      <c r="AE2367" s="33"/>
      <c r="AF2367" s="33"/>
      <c r="AG2367" s="33"/>
      <c r="AH2367" s="33"/>
      <c r="AI2367" s="33"/>
      <c r="AJ2367" s="33"/>
      <c r="AK2367" s="34" t="str">
        <f aca="false">IF($B2367="","",COUNTIF($F2367:$AJ2367,"P"))</f>
        <v/>
      </c>
      <c r="AL2367" s="34" t="str">
        <f aca="false">IF($B2367="","",COUNTIF($F2367:$AJ2367,"A"))</f>
        <v/>
      </c>
      <c r="AM2367" s="34" t="str">
        <f aca="false">IF($B2367="","",COUNTIF($F2367:$AJ2367,"HA"))</f>
        <v/>
      </c>
      <c r="AN2367" s="34" t="str">
        <f aca="false">IF($B2367="","",COUNTIF($F2367:$AJ2367,"L"))</f>
        <v/>
      </c>
      <c r="AO2367" s="34" t="str">
        <f aca="false">IF($B2367="","",COUNTIF($F2367:$AJ2367,"PL"))</f>
        <v/>
      </c>
      <c r="AP2367" s="34" t="str">
        <f aca="false">IF($B2367="","",COUNTIF($F2367:$AJ2367,"CL"))</f>
        <v/>
      </c>
      <c r="AQ2367" s="34" t="str">
        <f aca="false">IF($B2367="","",COUNTIF($F2367:$AJ2367,"SL"))</f>
        <v/>
      </c>
      <c r="AR2367" s="34" t="str">
        <f aca="false">IF($B2367="","",COUNTIF($F2367:$AJ2367,"CO"))</f>
        <v/>
      </c>
      <c r="AS2367" s="34" t="str">
        <f aca="false">IF($B2367="","",COUNTIF($F2367:$AJ2367,"HPL"))</f>
        <v/>
      </c>
      <c r="AT2367" s="34" t="str">
        <f aca="false">IF($B2367="","",COUNTIF($F2367:$AJ2367,"HCL"))</f>
        <v/>
      </c>
      <c r="AU2367" s="34" t="str">
        <f aca="false">IF($B2367="","",COUNTIF($F2367:$AJ2367,"WO"))</f>
        <v/>
      </c>
      <c r="AV2367" s="34" t="str">
        <f aca="false">IF($B2367="","",COUNTIF($F2367:$AJ2367,"PH"))</f>
        <v/>
      </c>
      <c r="AW2367" s="34" t="str">
        <f aca="false">IF($B2367="","",COUNTIF($F2367:$AJ2367,"TR"))</f>
        <v/>
      </c>
      <c r="AX2367" s="35" t="str">
        <f aca="false">IF($B2367="","",AO2367+AS2367/2)</f>
        <v/>
      </c>
      <c r="AY2367" s="35" t="str">
        <f aca="false">IF($B2367="","",AQ2367)</f>
        <v/>
      </c>
      <c r="AZ2367" s="35" t="str">
        <f aca="false">IF($B2367="","",AP2367+AT2367/2)</f>
        <v/>
      </c>
      <c r="BA2367" s="35" t="str">
        <f aca="false">IF($B2367="","",AK2367+AN2367+AM2367/2+AO2367+AP2367+AQ2367+AR2367+AS2367+AT2367+AU2367+AV2367+AW2367)</f>
        <v/>
      </c>
      <c r="BB2367" s="35" t="str">
        <f aca="false">IF($B2367="","",MAX(0,AN2367-Settings!$C$16)*Settings!$C$17)</f>
        <v/>
      </c>
      <c r="BC2367" s="35" t="str">
        <f aca="false">IF($B2367="","",BA2367-BB2367)</f>
        <v/>
      </c>
      <c r="BD2367" s="35" t="str">
        <f aca="false">IF(OR($B2367="",$A2367=""),"",DAY(EOMONTH($A2367,0))-COUNTA($F2367:$AJ2367))</f>
        <v/>
      </c>
    </row>
    <row r="2368" customFormat="false" ht="15" hidden="false" customHeight="false" outlineLevel="0" collapsed="false">
      <c r="A2368" s="32"/>
      <c r="B2368" s="29"/>
      <c r="C2368" s="10" t="str">
        <f aca="false">IF($B2368="","",IFERROR(INDEX(M_name,MATCH($B2368,M_emp,0)),"Code not found"))</f>
        <v/>
      </c>
      <c r="D2368" s="10" t="str">
        <f aca="false">IF($B2368="","",IFERROR(INDEX(M_dept,MATCH($B2368,M_emp,0)),""))</f>
        <v/>
      </c>
      <c r="E2368" s="10" t="str">
        <f aca="false">IF($B2368="","",IFERROR(INDEX(M_loc,MATCH($B2368,M_emp,0)),""))</f>
        <v/>
      </c>
      <c r="F2368" s="33"/>
      <c r="G2368" s="33"/>
      <c r="H2368" s="33"/>
      <c r="I2368" s="33"/>
      <c r="J2368" s="33"/>
      <c r="K2368" s="33"/>
      <c r="L2368" s="33"/>
      <c r="M2368" s="33"/>
      <c r="N2368" s="33"/>
      <c r="O2368" s="33"/>
      <c r="P2368" s="33"/>
      <c r="Q2368" s="33"/>
      <c r="R2368" s="33"/>
      <c r="S2368" s="33"/>
      <c r="T2368" s="33"/>
      <c r="U2368" s="33"/>
      <c r="V2368" s="33"/>
      <c r="W2368" s="33"/>
      <c r="X2368" s="33"/>
      <c r="Y2368" s="33"/>
      <c r="Z2368" s="33"/>
      <c r="AA2368" s="33"/>
      <c r="AB2368" s="33"/>
      <c r="AC2368" s="33"/>
      <c r="AD2368" s="33"/>
      <c r="AE2368" s="33"/>
      <c r="AF2368" s="33"/>
      <c r="AG2368" s="33"/>
      <c r="AH2368" s="33"/>
      <c r="AI2368" s="33"/>
      <c r="AJ2368" s="33"/>
      <c r="AK2368" s="34" t="str">
        <f aca="false">IF($B2368="","",COUNTIF($F2368:$AJ2368,"P"))</f>
        <v/>
      </c>
      <c r="AL2368" s="34" t="str">
        <f aca="false">IF($B2368="","",COUNTIF($F2368:$AJ2368,"A"))</f>
        <v/>
      </c>
      <c r="AM2368" s="34" t="str">
        <f aca="false">IF($B2368="","",COUNTIF($F2368:$AJ2368,"HA"))</f>
        <v/>
      </c>
      <c r="AN2368" s="34" t="str">
        <f aca="false">IF($B2368="","",COUNTIF($F2368:$AJ2368,"L"))</f>
        <v/>
      </c>
      <c r="AO2368" s="34" t="str">
        <f aca="false">IF($B2368="","",COUNTIF($F2368:$AJ2368,"PL"))</f>
        <v/>
      </c>
      <c r="AP2368" s="34" t="str">
        <f aca="false">IF($B2368="","",COUNTIF($F2368:$AJ2368,"CL"))</f>
        <v/>
      </c>
      <c r="AQ2368" s="34" t="str">
        <f aca="false">IF($B2368="","",COUNTIF($F2368:$AJ2368,"SL"))</f>
        <v/>
      </c>
      <c r="AR2368" s="34" t="str">
        <f aca="false">IF($B2368="","",COUNTIF($F2368:$AJ2368,"CO"))</f>
        <v/>
      </c>
      <c r="AS2368" s="34" t="str">
        <f aca="false">IF($B2368="","",COUNTIF($F2368:$AJ2368,"HPL"))</f>
        <v/>
      </c>
      <c r="AT2368" s="34" t="str">
        <f aca="false">IF($B2368="","",COUNTIF($F2368:$AJ2368,"HCL"))</f>
        <v/>
      </c>
      <c r="AU2368" s="34" t="str">
        <f aca="false">IF($B2368="","",COUNTIF($F2368:$AJ2368,"WO"))</f>
        <v/>
      </c>
      <c r="AV2368" s="34" t="str">
        <f aca="false">IF($B2368="","",COUNTIF($F2368:$AJ2368,"PH"))</f>
        <v/>
      </c>
      <c r="AW2368" s="34" t="str">
        <f aca="false">IF($B2368="","",COUNTIF($F2368:$AJ2368,"TR"))</f>
        <v/>
      </c>
      <c r="AX2368" s="35" t="str">
        <f aca="false">IF($B2368="","",AO2368+AS2368/2)</f>
        <v/>
      </c>
      <c r="AY2368" s="35" t="str">
        <f aca="false">IF($B2368="","",AQ2368)</f>
        <v/>
      </c>
      <c r="AZ2368" s="35" t="str">
        <f aca="false">IF($B2368="","",AP2368+AT2368/2)</f>
        <v/>
      </c>
      <c r="BA2368" s="35" t="str">
        <f aca="false">IF($B2368="","",AK2368+AN2368+AM2368/2+AO2368+AP2368+AQ2368+AR2368+AS2368+AT2368+AU2368+AV2368+AW2368)</f>
        <v/>
      </c>
      <c r="BB2368" s="35" t="str">
        <f aca="false">IF($B2368="","",MAX(0,AN2368-Settings!$C$16)*Settings!$C$17)</f>
        <v/>
      </c>
      <c r="BC2368" s="35" t="str">
        <f aca="false">IF($B2368="","",BA2368-BB2368)</f>
        <v/>
      </c>
      <c r="BD2368" s="35" t="str">
        <f aca="false">IF(OR($B2368="",$A2368=""),"",DAY(EOMONTH($A2368,0))-COUNTA($F2368:$AJ2368))</f>
        <v/>
      </c>
    </row>
    <row r="2369" customFormat="false" ht="15" hidden="false" customHeight="false" outlineLevel="0" collapsed="false">
      <c r="A2369" s="32"/>
      <c r="B2369" s="29"/>
      <c r="C2369" s="10" t="str">
        <f aca="false">IF($B2369="","",IFERROR(INDEX(M_name,MATCH($B2369,M_emp,0)),"Code not found"))</f>
        <v/>
      </c>
      <c r="D2369" s="10" t="str">
        <f aca="false">IF($B2369="","",IFERROR(INDEX(M_dept,MATCH($B2369,M_emp,0)),""))</f>
        <v/>
      </c>
      <c r="E2369" s="10" t="str">
        <f aca="false">IF($B2369="","",IFERROR(INDEX(M_loc,MATCH($B2369,M_emp,0)),""))</f>
        <v/>
      </c>
      <c r="F2369" s="33"/>
      <c r="G2369" s="33"/>
      <c r="H2369" s="33"/>
      <c r="I2369" s="33"/>
      <c r="J2369" s="33"/>
      <c r="K2369" s="33"/>
      <c r="L2369" s="33"/>
      <c r="M2369" s="33"/>
      <c r="N2369" s="33"/>
      <c r="O2369" s="33"/>
      <c r="P2369" s="33"/>
      <c r="Q2369" s="33"/>
      <c r="R2369" s="33"/>
      <c r="S2369" s="33"/>
      <c r="T2369" s="33"/>
      <c r="U2369" s="33"/>
      <c r="V2369" s="33"/>
      <c r="W2369" s="33"/>
      <c r="X2369" s="33"/>
      <c r="Y2369" s="33"/>
      <c r="Z2369" s="33"/>
      <c r="AA2369" s="33"/>
      <c r="AB2369" s="33"/>
      <c r="AC2369" s="33"/>
      <c r="AD2369" s="33"/>
      <c r="AE2369" s="33"/>
      <c r="AF2369" s="33"/>
      <c r="AG2369" s="33"/>
      <c r="AH2369" s="33"/>
      <c r="AI2369" s="33"/>
      <c r="AJ2369" s="33"/>
      <c r="AK2369" s="34" t="str">
        <f aca="false">IF($B2369="","",COUNTIF($F2369:$AJ2369,"P"))</f>
        <v/>
      </c>
      <c r="AL2369" s="34" t="str">
        <f aca="false">IF($B2369="","",COUNTIF($F2369:$AJ2369,"A"))</f>
        <v/>
      </c>
      <c r="AM2369" s="34" t="str">
        <f aca="false">IF($B2369="","",COUNTIF($F2369:$AJ2369,"HA"))</f>
        <v/>
      </c>
      <c r="AN2369" s="34" t="str">
        <f aca="false">IF($B2369="","",COUNTIF($F2369:$AJ2369,"L"))</f>
        <v/>
      </c>
      <c r="AO2369" s="34" t="str">
        <f aca="false">IF($B2369="","",COUNTIF($F2369:$AJ2369,"PL"))</f>
        <v/>
      </c>
      <c r="AP2369" s="34" t="str">
        <f aca="false">IF($B2369="","",COUNTIF($F2369:$AJ2369,"CL"))</f>
        <v/>
      </c>
      <c r="AQ2369" s="34" t="str">
        <f aca="false">IF($B2369="","",COUNTIF($F2369:$AJ2369,"SL"))</f>
        <v/>
      </c>
      <c r="AR2369" s="34" t="str">
        <f aca="false">IF($B2369="","",COUNTIF($F2369:$AJ2369,"CO"))</f>
        <v/>
      </c>
      <c r="AS2369" s="34" t="str">
        <f aca="false">IF($B2369="","",COUNTIF($F2369:$AJ2369,"HPL"))</f>
        <v/>
      </c>
      <c r="AT2369" s="34" t="str">
        <f aca="false">IF($B2369="","",COUNTIF($F2369:$AJ2369,"HCL"))</f>
        <v/>
      </c>
      <c r="AU2369" s="34" t="str">
        <f aca="false">IF($B2369="","",COUNTIF($F2369:$AJ2369,"WO"))</f>
        <v/>
      </c>
      <c r="AV2369" s="34" t="str">
        <f aca="false">IF($B2369="","",COUNTIF($F2369:$AJ2369,"PH"))</f>
        <v/>
      </c>
      <c r="AW2369" s="34" t="str">
        <f aca="false">IF($B2369="","",COUNTIF($F2369:$AJ2369,"TR"))</f>
        <v/>
      </c>
      <c r="AX2369" s="35" t="str">
        <f aca="false">IF($B2369="","",AO2369+AS2369/2)</f>
        <v/>
      </c>
      <c r="AY2369" s="35" t="str">
        <f aca="false">IF($B2369="","",AQ2369)</f>
        <v/>
      </c>
      <c r="AZ2369" s="35" t="str">
        <f aca="false">IF($B2369="","",AP2369+AT2369/2)</f>
        <v/>
      </c>
      <c r="BA2369" s="35" t="str">
        <f aca="false">IF($B2369="","",AK2369+AN2369+AM2369/2+AO2369+AP2369+AQ2369+AR2369+AS2369+AT2369+AU2369+AV2369+AW2369)</f>
        <v/>
      </c>
      <c r="BB2369" s="35" t="str">
        <f aca="false">IF($B2369="","",MAX(0,AN2369-Settings!$C$16)*Settings!$C$17)</f>
        <v/>
      </c>
      <c r="BC2369" s="35" t="str">
        <f aca="false">IF($B2369="","",BA2369-BB2369)</f>
        <v/>
      </c>
      <c r="BD2369" s="35" t="str">
        <f aca="false">IF(OR($B2369="",$A2369=""),"",DAY(EOMONTH($A2369,0))-COUNTA($F2369:$AJ2369))</f>
        <v/>
      </c>
    </row>
    <row r="2370" customFormat="false" ht="15" hidden="false" customHeight="false" outlineLevel="0" collapsed="false">
      <c r="A2370" s="32"/>
      <c r="B2370" s="29"/>
      <c r="C2370" s="10" t="str">
        <f aca="false">IF($B2370="","",IFERROR(INDEX(M_name,MATCH($B2370,M_emp,0)),"Code not found"))</f>
        <v/>
      </c>
      <c r="D2370" s="10" t="str">
        <f aca="false">IF($B2370="","",IFERROR(INDEX(M_dept,MATCH($B2370,M_emp,0)),""))</f>
        <v/>
      </c>
      <c r="E2370" s="10" t="str">
        <f aca="false">IF($B2370="","",IFERROR(INDEX(M_loc,MATCH($B2370,M_emp,0)),""))</f>
        <v/>
      </c>
      <c r="F2370" s="33"/>
      <c r="G2370" s="33"/>
      <c r="H2370" s="33"/>
      <c r="I2370" s="33"/>
      <c r="J2370" s="33"/>
      <c r="K2370" s="33"/>
      <c r="L2370" s="33"/>
      <c r="M2370" s="33"/>
      <c r="N2370" s="33"/>
      <c r="O2370" s="33"/>
      <c r="P2370" s="33"/>
      <c r="Q2370" s="33"/>
      <c r="R2370" s="33"/>
      <c r="S2370" s="33"/>
      <c r="T2370" s="33"/>
      <c r="U2370" s="33"/>
      <c r="V2370" s="33"/>
      <c r="W2370" s="33"/>
      <c r="X2370" s="33"/>
      <c r="Y2370" s="33"/>
      <c r="Z2370" s="33"/>
      <c r="AA2370" s="33"/>
      <c r="AB2370" s="33"/>
      <c r="AC2370" s="33"/>
      <c r="AD2370" s="33"/>
      <c r="AE2370" s="33"/>
      <c r="AF2370" s="33"/>
      <c r="AG2370" s="33"/>
      <c r="AH2370" s="33"/>
      <c r="AI2370" s="33"/>
      <c r="AJ2370" s="33"/>
      <c r="AK2370" s="34" t="str">
        <f aca="false">IF($B2370="","",COUNTIF($F2370:$AJ2370,"P"))</f>
        <v/>
      </c>
      <c r="AL2370" s="34" t="str">
        <f aca="false">IF($B2370="","",COUNTIF($F2370:$AJ2370,"A"))</f>
        <v/>
      </c>
      <c r="AM2370" s="34" t="str">
        <f aca="false">IF($B2370="","",COUNTIF($F2370:$AJ2370,"HA"))</f>
        <v/>
      </c>
      <c r="AN2370" s="34" t="str">
        <f aca="false">IF($B2370="","",COUNTIF($F2370:$AJ2370,"L"))</f>
        <v/>
      </c>
      <c r="AO2370" s="34" t="str">
        <f aca="false">IF($B2370="","",COUNTIF($F2370:$AJ2370,"PL"))</f>
        <v/>
      </c>
      <c r="AP2370" s="34" t="str">
        <f aca="false">IF($B2370="","",COUNTIF($F2370:$AJ2370,"CL"))</f>
        <v/>
      </c>
      <c r="AQ2370" s="34" t="str">
        <f aca="false">IF($B2370="","",COUNTIF($F2370:$AJ2370,"SL"))</f>
        <v/>
      </c>
      <c r="AR2370" s="34" t="str">
        <f aca="false">IF($B2370="","",COUNTIF($F2370:$AJ2370,"CO"))</f>
        <v/>
      </c>
      <c r="AS2370" s="34" t="str">
        <f aca="false">IF($B2370="","",COUNTIF($F2370:$AJ2370,"HPL"))</f>
        <v/>
      </c>
      <c r="AT2370" s="34" t="str">
        <f aca="false">IF($B2370="","",COUNTIF($F2370:$AJ2370,"HCL"))</f>
        <v/>
      </c>
      <c r="AU2370" s="34" t="str">
        <f aca="false">IF($B2370="","",COUNTIF($F2370:$AJ2370,"WO"))</f>
        <v/>
      </c>
      <c r="AV2370" s="34" t="str">
        <f aca="false">IF($B2370="","",COUNTIF($F2370:$AJ2370,"PH"))</f>
        <v/>
      </c>
      <c r="AW2370" s="34" t="str">
        <f aca="false">IF($B2370="","",COUNTIF($F2370:$AJ2370,"TR"))</f>
        <v/>
      </c>
      <c r="AX2370" s="35" t="str">
        <f aca="false">IF($B2370="","",AO2370+AS2370/2)</f>
        <v/>
      </c>
      <c r="AY2370" s="35" t="str">
        <f aca="false">IF($B2370="","",AQ2370)</f>
        <v/>
      </c>
      <c r="AZ2370" s="35" t="str">
        <f aca="false">IF($B2370="","",AP2370+AT2370/2)</f>
        <v/>
      </c>
      <c r="BA2370" s="35" t="str">
        <f aca="false">IF($B2370="","",AK2370+AN2370+AM2370/2+AO2370+AP2370+AQ2370+AR2370+AS2370+AT2370+AU2370+AV2370+AW2370)</f>
        <v/>
      </c>
      <c r="BB2370" s="35" t="str">
        <f aca="false">IF($B2370="","",MAX(0,AN2370-Settings!$C$16)*Settings!$C$17)</f>
        <v/>
      </c>
      <c r="BC2370" s="35" t="str">
        <f aca="false">IF($B2370="","",BA2370-BB2370)</f>
        <v/>
      </c>
      <c r="BD2370" s="35" t="str">
        <f aca="false">IF(OR($B2370="",$A2370=""),"",DAY(EOMONTH($A2370,0))-COUNTA($F2370:$AJ2370))</f>
        <v/>
      </c>
    </row>
    <row r="2371" customFormat="false" ht="15" hidden="false" customHeight="false" outlineLevel="0" collapsed="false">
      <c r="A2371" s="32"/>
      <c r="B2371" s="29"/>
      <c r="C2371" s="10" t="str">
        <f aca="false">IF($B2371="","",IFERROR(INDEX(M_name,MATCH($B2371,M_emp,0)),"Code not found"))</f>
        <v/>
      </c>
      <c r="D2371" s="10" t="str">
        <f aca="false">IF($B2371="","",IFERROR(INDEX(M_dept,MATCH($B2371,M_emp,0)),""))</f>
        <v/>
      </c>
      <c r="E2371" s="10" t="str">
        <f aca="false">IF($B2371="","",IFERROR(INDEX(M_loc,MATCH($B2371,M_emp,0)),""))</f>
        <v/>
      </c>
      <c r="F2371" s="33"/>
      <c r="G2371" s="33"/>
      <c r="H2371" s="33"/>
      <c r="I2371" s="33"/>
      <c r="J2371" s="33"/>
      <c r="K2371" s="33"/>
      <c r="L2371" s="33"/>
      <c r="M2371" s="33"/>
      <c r="N2371" s="33"/>
      <c r="O2371" s="33"/>
      <c r="P2371" s="33"/>
      <c r="Q2371" s="33"/>
      <c r="R2371" s="33"/>
      <c r="S2371" s="33"/>
      <c r="T2371" s="33"/>
      <c r="U2371" s="33"/>
      <c r="V2371" s="33"/>
      <c r="W2371" s="33"/>
      <c r="X2371" s="33"/>
      <c r="Y2371" s="33"/>
      <c r="Z2371" s="33"/>
      <c r="AA2371" s="33"/>
      <c r="AB2371" s="33"/>
      <c r="AC2371" s="33"/>
      <c r="AD2371" s="33"/>
      <c r="AE2371" s="33"/>
      <c r="AF2371" s="33"/>
      <c r="AG2371" s="33"/>
      <c r="AH2371" s="33"/>
      <c r="AI2371" s="33"/>
      <c r="AJ2371" s="33"/>
      <c r="AK2371" s="34" t="str">
        <f aca="false">IF($B2371="","",COUNTIF($F2371:$AJ2371,"P"))</f>
        <v/>
      </c>
      <c r="AL2371" s="34" t="str">
        <f aca="false">IF($B2371="","",COUNTIF($F2371:$AJ2371,"A"))</f>
        <v/>
      </c>
      <c r="AM2371" s="34" t="str">
        <f aca="false">IF($B2371="","",COUNTIF($F2371:$AJ2371,"HA"))</f>
        <v/>
      </c>
      <c r="AN2371" s="34" t="str">
        <f aca="false">IF($B2371="","",COUNTIF($F2371:$AJ2371,"L"))</f>
        <v/>
      </c>
      <c r="AO2371" s="34" t="str">
        <f aca="false">IF($B2371="","",COUNTIF($F2371:$AJ2371,"PL"))</f>
        <v/>
      </c>
      <c r="AP2371" s="34" t="str">
        <f aca="false">IF($B2371="","",COUNTIF($F2371:$AJ2371,"CL"))</f>
        <v/>
      </c>
      <c r="AQ2371" s="34" t="str">
        <f aca="false">IF($B2371="","",COUNTIF($F2371:$AJ2371,"SL"))</f>
        <v/>
      </c>
      <c r="AR2371" s="34" t="str">
        <f aca="false">IF($B2371="","",COUNTIF($F2371:$AJ2371,"CO"))</f>
        <v/>
      </c>
      <c r="AS2371" s="34" t="str">
        <f aca="false">IF($B2371="","",COUNTIF($F2371:$AJ2371,"HPL"))</f>
        <v/>
      </c>
      <c r="AT2371" s="34" t="str">
        <f aca="false">IF($B2371="","",COUNTIF($F2371:$AJ2371,"HCL"))</f>
        <v/>
      </c>
      <c r="AU2371" s="34" t="str">
        <f aca="false">IF($B2371="","",COUNTIF($F2371:$AJ2371,"WO"))</f>
        <v/>
      </c>
      <c r="AV2371" s="34" t="str">
        <f aca="false">IF($B2371="","",COUNTIF($F2371:$AJ2371,"PH"))</f>
        <v/>
      </c>
      <c r="AW2371" s="34" t="str">
        <f aca="false">IF($B2371="","",COUNTIF($F2371:$AJ2371,"TR"))</f>
        <v/>
      </c>
      <c r="AX2371" s="35" t="str">
        <f aca="false">IF($B2371="","",AO2371+AS2371/2)</f>
        <v/>
      </c>
      <c r="AY2371" s="35" t="str">
        <f aca="false">IF($B2371="","",AQ2371)</f>
        <v/>
      </c>
      <c r="AZ2371" s="35" t="str">
        <f aca="false">IF($B2371="","",AP2371+AT2371/2)</f>
        <v/>
      </c>
      <c r="BA2371" s="35" t="str">
        <f aca="false">IF($B2371="","",AK2371+AN2371+AM2371/2+AO2371+AP2371+AQ2371+AR2371+AS2371+AT2371+AU2371+AV2371+AW2371)</f>
        <v/>
      </c>
      <c r="BB2371" s="35" t="str">
        <f aca="false">IF($B2371="","",MAX(0,AN2371-Settings!$C$16)*Settings!$C$17)</f>
        <v/>
      </c>
      <c r="BC2371" s="35" t="str">
        <f aca="false">IF($B2371="","",BA2371-BB2371)</f>
        <v/>
      </c>
      <c r="BD2371" s="35" t="str">
        <f aca="false">IF(OR($B2371="",$A2371=""),"",DAY(EOMONTH($A2371,0))-COUNTA($F2371:$AJ2371))</f>
        <v/>
      </c>
    </row>
    <row r="2372" customFormat="false" ht="15" hidden="false" customHeight="false" outlineLevel="0" collapsed="false">
      <c r="A2372" s="32"/>
      <c r="B2372" s="29"/>
      <c r="C2372" s="10" t="str">
        <f aca="false">IF($B2372="","",IFERROR(INDEX(M_name,MATCH($B2372,M_emp,0)),"Code not found"))</f>
        <v/>
      </c>
      <c r="D2372" s="10" t="str">
        <f aca="false">IF($B2372="","",IFERROR(INDEX(M_dept,MATCH($B2372,M_emp,0)),""))</f>
        <v/>
      </c>
      <c r="E2372" s="10" t="str">
        <f aca="false">IF($B2372="","",IFERROR(INDEX(M_loc,MATCH($B2372,M_emp,0)),""))</f>
        <v/>
      </c>
      <c r="F2372" s="33"/>
      <c r="G2372" s="33"/>
      <c r="H2372" s="33"/>
      <c r="I2372" s="33"/>
      <c r="J2372" s="33"/>
      <c r="K2372" s="33"/>
      <c r="L2372" s="33"/>
      <c r="M2372" s="33"/>
      <c r="N2372" s="33"/>
      <c r="O2372" s="33"/>
      <c r="P2372" s="33"/>
      <c r="Q2372" s="33"/>
      <c r="R2372" s="33"/>
      <c r="S2372" s="33"/>
      <c r="T2372" s="33"/>
      <c r="U2372" s="33"/>
      <c r="V2372" s="33"/>
      <c r="W2372" s="33"/>
      <c r="X2372" s="33"/>
      <c r="Y2372" s="33"/>
      <c r="Z2372" s="33"/>
      <c r="AA2372" s="33"/>
      <c r="AB2372" s="33"/>
      <c r="AC2372" s="33"/>
      <c r="AD2372" s="33"/>
      <c r="AE2372" s="33"/>
      <c r="AF2372" s="33"/>
      <c r="AG2372" s="33"/>
      <c r="AH2372" s="33"/>
      <c r="AI2372" s="33"/>
      <c r="AJ2372" s="33"/>
      <c r="AK2372" s="34" t="str">
        <f aca="false">IF($B2372="","",COUNTIF($F2372:$AJ2372,"P"))</f>
        <v/>
      </c>
      <c r="AL2372" s="34" t="str">
        <f aca="false">IF($B2372="","",COUNTIF($F2372:$AJ2372,"A"))</f>
        <v/>
      </c>
      <c r="AM2372" s="34" t="str">
        <f aca="false">IF($B2372="","",COUNTIF($F2372:$AJ2372,"HA"))</f>
        <v/>
      </c>
      <c r="AN2372" s="34" t="str">
        <f aca="false">IF($B2372="","",COUNTIF($F2372:$AJ2372,"L"))</f>
        <v/>
      </c>
      <c r="AO2372" s="34" t="str">
        <f aca="false">IF($B2372="","",COUNTIF($F2372:$AJ2372,"PL"))</f>
        <v/>
      </c>
      <c r="AP2372" s="34" t="str">
        <f aca="false">IF($B2372="","",COUNTIF($F2372:$AJ2372,"CL"))</f>
        <v/>
      </c>
      <c r="AQ2372" s="34" t="str">
        <f aca="false">IF($B2372="","",COUNTIF($F2372:$AJ2372,"SL"))</f>
        <v/>
      </c>
      <c r="AR2372" s="34" t="str">
        <f aca="false">IF($B2372="","",COUNTIF($F2372:$AJ2372,"CO"))</f>
        <v/>
      </c>
      <c r="AS2372" s="34" t="str">
        <f aca="false">IF($B2372="","",COUNTIF($F2372:$AJ2372,"HPL"))</f>
        <v/>
      </c>
      <c r="AT2372" s="34" t="str">
        <f aca="false">IF($B2372="","",COUNTIF($F2372:$AJ2372,"HCL"))</f>
        <v/>
      </c>
      <c r="AU2372" s="34" t="str">
        <f aca="false">IF($B2372="","",COUNTIF($F2372:$AJ2372,"WO"))</f>
        <v/>
      </c>
      <c r="AV2372" s="34" t="str">
        <f aca="false">IF($B2372="","",COUNTIF($F2372:$AJ2372,"PH"))</f>
        <v/>
      </c>
      <c r="AW2372" s="34" t="str">
        <f aca="false">IF($B2372="","",COUNTIF($F2372:$AJ2372,"TR"))</f>
        <v/>
      </c>
      <c r="AX2372" s="35" t="str">
        <f aca="false">IF($B2372="","",AO2372+AS2372/2)</f>
        <v/>
      </c>
      <c r="AY2372" s="35" t="str">
        <f aca="false">IF($B2372="","",AQ2372)</f>
        <v/>
      </c>
      <c r="AZ2372" s="35" t="str">
        <f aca="false">IF($B2372="","",AP2372+AT2372/2)</f>
        <v/>
      </c>
      <c r="BA2372" s="35" t="str">
        <f aca="false">IF($B2372="","",AK2372+AN2372+AM2372/2+AO2372+AP2372+AQ2372+AR2372+AS2372+AT2372+AU2372+AV2372+AW2372)</f>
        <v/>
      </c>
      <c r="BB2372" s="35" t="str">
        <f aca="false">IF($B2372="","",MAX(0,AN2372-Settings!$C$16)*Settings!$C$17)</f>
        <v/>
      </c>
      <c r="BC2372" s="35" t="str">
        <f aca="false">IF($B2372="","",BA2372-BB2372)</f>
        <v/>
      </c>
      <c r="BD2372" s="35" t="str">
        <f aca="false">IF(OR($B2372="",$A2372=""),"",DAY(EOMONTH($A2372,0))-COUNTA($F2372:$AJ2372))</f>
        <v/>
      </c>
    </row>
    <row r="2373" customFormat="false" ht="15" hidden="false" customHeight="false" outlineLevel="0" collapsed="false">
      <c r="A2373" s="32"/>
      <c r="B2373" s="29"/>
      <c r="C2373" s="10" t="str">
        <f aca="false">IF($B2373="","",IFERROR(INDEX(M_name,MATCH($B2373,M_emp,0)),"Code not found"))</f>
        <v/>
      </c>
      <c r="D2373" s="10" t="str">
        <f aca="false">IF($B2373="","",IFERROR(INDEX(M_dept,MATCH($B2373,M_emp,0)),""))</f>
        <v/>
      </c>
      <c r="E2373" s="10" t="str">
        <f aca="false">IF($B2373="","",IFERROR(INDEX(M_loc,MATCH($B2373,M_emp,0)),""))</f>
        <v/>
      </c>
      <c r="F2373" s="33"/>
      <c r="G2373" s="33"/>
      <c r="H2373" s="33"/>
      <c r="I2373" s="33"/>
      <c r="J2373" s="33"/>
      <c r="K2373" s="33"/>
      <c r="L2373" s="33"/>
      <c r="M2373" s="33"/>
      <c r="N2373" s="33"/>
      <c r="O2373" s="33"/>
      <c r="P2373" s="33"/>
      <c r="Q2373" s="33"/>
      <c r="R2373" s="33"/>
      <c r="S2373" s="33"/>
      <c r="T2373" s="33"/>
      <c r="U2373" s="33"/>
      <c r="V2373" s="33"/>
      <c r="W2373" s="33"/>
      <c r="X2373" s="33"/>
      <c r="Y2373" s="33"/>
      <c r="Z2373" s="33"/>
      <c r="AA2373" s="33"/>
      <c r="AB2373" s="33"/>
      <c r="AC2373" s="33"/>
      <c r="AD2373" s="33"/>
      <c r="AE2373" s="33"/>
      <c r="AF2373" s="33"/>
      <c r="AG2373" s="33"/>
      <c r="AH2373" s="33"/>
      <c r="AI2373" s="33"/>
      <c r="AJ2373" s="33"/>
      <c r="AK2373" s="34" t="str">
        <f aca="false">IF($B2373="","",COUNTIF($F2373:$AJ2373,"P"))</f>
        <v/>
      </c>
      <c r="AL2373" s="34" t="str">
        <f aca="false">IF($B2373="","",COUNTIF($F2373:$AJ2373,"A"))</f>
        <v/>
      </c>
      <c r="AM2373" s="34" t="str">
        <f aca="false">IF($B2373="","",COUNTIF($F2373:$AJ2373,"HA"))</f>
        <v/>
      </c>
      <c r="AN2373" s="34" t="str">
        <f aca="false">IF($B2373="","",COUNTIF($F2373:$AJ2373,"L"))</f>
        <v/>
      </c>
      <c r="AO2373" s="34" t="str">
        <f aca="false">IF($B2373="","",COUNTIF($F2373:$AJ2373,"PL"))</f>
        <v/>
      </c>
      <c r="AP2373" s="34" t="str">
        <f aca="false">IF($B2373="","",COUNTIF($F2373:$AJ2373,"CL"))</f>
        <v/>
      </c>
      <c r="AQ2373" s="34" t="str">
        <f aca="false">IF($B2373="","",COUNTIF($F2373:$AJ2373,"SL"))</f>
        <v/>
      </c>
      <c r="AR2373" s="34" t="str">
        <f aca="false">IF($B2373="","",COUNTIF($F2373:$AJ2373,"CO"))</f>
        <v/>
      </c>
      <c r="AS2373" s="34" t="str">
        <f aca="false">IF($B2373="","",COUNTIF($F2373:$AJ2373,"HPL"))</f>
        <v/>
      </c>
      <c r="AT2373" s="34" t="str">
        <f aca="false">IF($B2373="","",COUNTIF($F2373:$AJ2373,"HCL"))</f>
        <v/>
      </c>
      <c r="AU2373" s="34" t="str">
        <f aca="false">IF($B2373="","",COUNTIF($F2373:$AJ2373,"WO"))</f>
        <v/>
      </c>
      <c r="AV2373" s="34" t="str">
        <f aca="false">IF($B2373="","",COUNTIF($F2373:$AJ2373,"PH"))</f>
        <v/>
      </c>
      <c r="AW2373" s="34" t="str">
        <f aca="false">IF($B2373="","",COUNTIF($F2373:$AJ2373,"TR"))</f>
        <v/>
      </c>
      <c r="AX2373" s="35" t="str">
        <f aca="false">IF($B2373="","",AO2373+AS2373/2)</f>
        <v/>
      </c>
      <c r="AY2373" s="35" t="str">
        <f aca="false">IF($B2373="","",AQ2373)</f>
        <v/>
      </c>
      <c r="AZ2373" s="35" t="str">
        <f aca="false">IF($B2373="","",AP2373+AT2373/2)</f>
        <v/>
      </c>
      <c r="BA2373" s="35" t="str">
        <f aca="false">IF($B2373="","",AK2373+AN2373+AM2373/2+AO2373+AP2373+AQ2373+AR2373+AS2373+AT2373+AU2373+AV2373+AW2373)</f>
        <v/>
      </c>
      <c r="BB2373" s="35" t="str">
        <f aca="false">IF($B2373="","",MAX(0,AN2373-Settings!$C$16)*Settings!$C$17)</f>
        <v/>
      </c>
      <c r="BC2373" s="35" t="str">
        <f aca="false">IF($B2373="","",BA2373-BB2373)</f>
        <v/>
      </c>
      <c r="BD2373" s="35" t="str">
        <f aca="false">IF(OR($B2373="",$A2373=""),"",DAY(EOMONTH($A2373,0))-COUNTA($F2373:$AJ2373))</f>
        <v/>
      </c>
    </row>
    <row r="2374" customFormat="false" ht="15" hidden="false" customHeight="false" outlineLevel="0" collapsed="false">
      <c r="A2374" s="32"/>
      <c r="B2374" s="29"/>
      <c r="C2374" s="10" t="str">
        <f aca="false">IF($B2374="","",IFERROR(INDEX(M_name,MATCH($B2374,M_emp,0)),"Code not found"))</f>
        <v/>
      </c>
      <c r="D2374" s="10" t="str">
        <f aca="false">IF($B2374="","",IFERROR(INDEX(M_dept,MATCH($B2374,M_emp,0)),""))</f>
        <v/>
      </c>
      <c r="E2374" s="10" t="str">
        <f aca="false">IF($B2374="","",IFERROR(INDEX(M_loc,MATCH($B2374,M_emp,0)),""))</f>
        <v/>
      </c>
      <c r="F2374" s="33"/>
      <c r="G2374" s="33"/>
      <c r="H2374" s="33"/>
      <c r="I2374" s="33"/>
      <c r="J2374" s="33"/>
      <c r="K2374" s="33"/>
      <c r="L2374" s="33"/>
      <c r="M2374" s="33"/>
      <c r="N2374" s="33"/>
      <c r="O2374" s="33"/>
      <c r="P2374" s="33"/>
      <c r="Q2374" s="33"/>
      <c r="R2374" s="33"/>
      <c r="S2374" s="33"/>
      <c r="T2374" s="33"/>
      <c r="U2374" s="33"/>
      <c r="V2374" s="33"/>
      <c r="W2374" s="33"/>
      <c r="X2374" s="33"/>
      <c r="Y2374" s="33"/>
      <c r="Z2374" s="33"/>
      <c r="AA2374" s="33"/>
      <c r="AB2374" s="33"/>
      <c r="AC2374" s="33"/>
      <c r="AD2374" s="33"/>
      <c r="AE2374" s="33"/>
      <c r="AF2374" s="33"/>
      <c r="AG2374" s="33"/>
      <c r="AH2374" s="33"/>
      <c r="AI2374" s="33"/>
      <c r="AJ2374" s="33"/>
      <c r="AK2374" s="34" t="str">
        <f aca="false">IF($B2374="","",COUNTIF($F2374:$AJ2374,"P"))</f>
        <v/>
      </c>
      <c r="AL2374" s="34" t="str">
        <f aca="false">IF($B2374="","",COUNTIF($F2374:$AJ2374,"A"))</f>
        <v/>
      </c>
      <c r="AM2374" s="34" t="str">
        <f aca="false">IF($B2374="","",COUNTIF($F2374:$AJ2374,"HA"))</f>
        <v/>
      </c>
      <c r="AN2374" s="34" t="str">
        <f aca="false">IF($B2374="","",COUNTIF($F2374:$AJ2374,"L"))</f>
        <v/>
      </c>
      <c r="AO2374" s="34" t="str">
        <f aca="false">IF($B2374="","",COUNTIF($F2374:$AJ2374,"PL"))</f>
        <v/>
      </c>
      <c r="AP2374" s="34" t="str">
        <f aca="false">IF($B2374="","",COUNTIF($F2374:$AJ2374,"CL"))</f>
        <v/>
      </c>
      <c r="AQ2374" s="34" t="str">
        <f aca="false">IF($B2374="","",COUNTIF($F2374:$AJ2374,"SL"))</f>
        <v/>
      </c>
      <c r="AR2374" s="34" t="str">
        <f aca="false">IF($B2374="","",COUNTIF($F2374:$AJ2374,"CO"))</f>
        <v/>
      </c>
      <c r="AS2374" s="34" t="str">
        <f aca="false">IF($B2374="","",COUNTIF($F2374:$AJ2374,"HPL"))</f>
        <v/>
      </c>
      <c r="AT2374" s="34" t="str">
        <f aca="false">IF($B2374="","",COUNTIF($F2374:$AJ2374,"HCL"))</f>
        <v/>
      </c>
      <c r="AU2374" s="34" t="str">
        <f aca="false">IF($B2374="","",COUNTIF($F2374:$AJ2374,"WO"))</f>
        <v/>
      </c>
      <c r="AV2374" s="34" t="str">
        <f aca="false">IF($B2374="","",COUNTIF($F2374:$AJ2374,"PH"))</f>
        <v/>
      </c>
      <c r="AW2374" s="34" t="str">
        <f aca="false">IF($B2374="","",COUNTIF($F2374:$AJ2374,"TR"))</f>
        <v/>
      </c>
      <c r="AX2374" s="35" t="str">
        <f aca="false">IF($B2374="","",AO2374+AS2374/2)</f>
        <v/>
      </c>
      <c r="AY2374" s="35" t="str">
        <f aca="false">IF($B2374="","",AQ2374)</f>
        <v/>
      </c>
      <c r="AZ2374" s="35" t="str">
        <f aca="false">IF($B2374="","",AP2374+AT2374/2)</f>
        <v/>
      </c>
      <c r="BA2374" s="35" t="str">
        <f aca="false">IF($B2374="","",AK2374+AN2374+AM2374/2+AO2374+AP2374+AQ2374+AR2374+AS2374+AT2374+AU2374+AV2374+AW2374)</f>
        <v/>
      </c>
      <c r="BB2374" s="35" t="str">
        <f aca="false">IF($B2374="","",MAX(0,AN2374-Settings!$C$16)*Settings!$C$17)</f>
        <v/>
      </c>
      <c r="BC2374" s="35" t="str">
        <f aca="false">IF($B2374="","",BA2374-BB2374)</f>
        <v/>
      </c>
      <c r="BD2374" s="35" t="str">
        <f aca="false">IF(OR($B2374="",$A2374=""),"",DAY(EOMONTH($A2374,0))-COUNTA($F2374:$AJ2374))</f>
        <v/>
      </c>
    </row>
    <row r="2375" customFormat="false" ht="15" hidden="false" customHeight="false" outlineLevel="0" collapsed="false">
      <c r="A2375" s="32"/>
      <c r="B2375" s="29"/>
      <c r="C2375" s="10" t="str">
        <f aca="false">IF($B2375="","",IFERROR(INDEX(M_name,MATCH($B2375,M_emp,0)),"Code not found"))</f>
        <v/>
      </c>
      <c r="D2375" s="10" t="str">
        <f aca="false">IF($B2375="","",IFERROR(INDEX(M_dept,MATCH($B2375,M_emp,0)),""))</f>
        <v/>
      </c>
      <c r="E2375" s="10" t="str">
        <f aca="false">IF($B2375="","",IFERROR(INDEX(M_loc,MATCH($B2375,M_emp,0)),""))</f>
        <v/>
      </c>
      <c r="F2375" s="33"/>
      <c r="G2375" s="33"/>
      <c r="H2375" s="33"/>
      <c r="I2375" s="33"/>
      <c r="J2375" s="33"/>
      <c r="K2375" s="33"/>
      <c r="L2375" s="33"/>
      <c r="M2375" s="33"/>
      <c r="N2375" s="33"/>
      <c r="O2375" s="33"/>
      <c r="P2375" s="33"/>
      <c r="Q2375" s="33"/>
      <c r="R2375" s="33"/>
      <c r="S2375" s="33"/>
      <c r="T2375" s="33"/>
      <c r="U2375" s="33"/>
      <c r="V2375" s="33"/>
      <c r="W2375" s="33"/>
      <c r="X2375" s="33"/>
      <c r="Y2375" s="33"/>
      <c r="Z2375" s="33"/>
      <c r="AA2375" s="33"/>
      <c r="AB2375" s="33"/>
      <c r="AC2375" s="33"/>
      <c r="AD2375" s="33"/>
      <c r="AE2375" s="33"/>
      <c r="AF2375" s="33"/>
      <c r="AG2375" s="33"/>
      <c r="AH2375" s="33"/>
      <c r="AI2375" s="33"/>
      <c r="AJ2375" s="33"/>
      <c r="AK2375" s="34" t="str">
        <f aca="false">IF($B2375="","",COUNTIF($F2375:$AJ2375,"P"))</f>
        <v/>
      </c>
      <c r="AL2375" s="34" t="str">
        <f aca="false">IF($B2375="","",COUNTIF($F2375:$AJ2375,"A"))</f>
        <v/>
      </c>
      <c r="AM2375" s="34" t="str">
        <f aca="false">IF($B2375="","",COUNTIF($F2375:$AJ2375,"HA"))</f>
        <v/>
      </c>
      <c r="AN2375" s="34" t="str">
        <f aca="false">IF($B2375="","",COUNTIF($F2375:$AJ2375,"L"))</f>
        <v/>
      </c>
      <c r="AO2375" s="34" t="str">
        <f aca="false">IF($B2375="","",COUNTIF($F2375:$AJ2375,"PL"))</f>
        <v/>
      </c>
      <c r="AP2375" s="34" t="str">
        <f aca="false">IF($B2375="","",COUNTIF($F2375:$AJ2375,"CL"))</f>
        <v/>
      </c>
      <c r="AQ2375" s="34" t="str">
        <f aca="false">IF($B2375="","",COUNTIF($F2375:$AJ2375,"SL"))</f>
        <v/>
      </c>
      <c r="AR2375" s="34" t="str">
        <f aca="false">IF($B2375="","",COUNTIF($F2375:$AJ2375,"CO"))</f>
        <v/>
      </c>
      <c r="AS2375" s="34" t="str">
        <f aca="false">IF($B2375="","",COUNTIF($F2375:$AJ2375,"HPL"))</f>
        <v/>
      </c>
      <c r="AT2375" s="34" t="str">
        <f aca="false">IF($B2375="","",COUNTIF($F2375:$AJ2375,"HCL"))</f>
        <v/>
      </c>
      <c r="AU2375" s="34" t="str">
        <f aca="false">IF($B2375="","",COUNTIF($F2375:$AJ2375,"WO"))</f>
        <v/>
      </c>
      <c r="AV2375" s="34" t="str">
        <f aca="false">IF($B2375="","",COUNTIF($F2375:$AJ2375,"PH"))</f>
        <v/>
      </c>
      <c r="AW2375" s="34" t="str">
        <f aca="false">IF($B2375="","",COUNTIF($F2375:$AJ2375,"TR"))</f>
        <v/>
      </c>
      <c r="AX2375" s="35" t="str">
        <f aca="false">IF($B2375="","",AO2375+AS2375/2)</f>
        <v/>
      </c>
      <c r="AY2375" s="35" t="str">
        <f aca="false">IF($B2375="","",AQ2375)</f>
        <v/>
      </c>
      <c r="AZ2375" s="35" t="str">
        <f aca="false">IF($B2375="","",AP2375+AT2375/2)</f>
        <v/>
      </c>
      <c r="BA2375" s="35" t="str">
        <f aca="false">IF($B2375="","",AK2375+AN2375+AM2375/2+AO2375+AP2375+AQ2375+AR2375+AS2375+AT2375+AU2375+AV2375+AW2375)</f>
        <v/>
      </c>
      <c r="BB2375" s="35" t="str">
        <f aca="false">IF($B2375="","",MAX(0,AN2375-Settings!$C$16)*Settings!$C$17)</f>
        <v/>
      </c>
      <c r="BC2375" s="35" t="str">
        <f aca="false">IF($B2375="","",BA2375-BB2375)</f>
        <v/>
      </c>
      <c r="BD2375" s="35" t="str">
        <f aca="false">IF(OR($B2375="",$A2375=""),"",DAY(EOMONTH($A2375,0))-COUNTA($F2375:$AJ2375))</f>
        <v/>
      </c>
    </row>
    <row r="2376" customFormat="false" ht="15" hidden="false" customHeight="false" outlineLevel="0" collapsed="false">
      <c r="A2376" s="32"/>
      <c r="B2376" s="29"/>
      <c r="C2376" s="10" t="str">
        <f aca="false">IF($B2376="","",IFERROR(INDEX(M_name,MATCH($B2376,M_emp,0)),"Code not found"))</f>
        <v/>
      </c>
      <c r="D2376" s="10" t="str">
        <f aca="false">IF($B2376="","",IFERROR(INDEX(M_dept,MATCH($B2376,M_emp,0)),""))</f>
        <v/>
      </c>
      <c r="E2376" s="10" t="str">
        <f aca="false">IF($B2376="","",IFERROR(INDEX(M_loc,MATCH($B2376,M_emp,0)),""))</f>
        <v/>
      </c>
      <c r="F2376" s="33"/>
      <c r="G2376" s="33"/>
      <c r="H2376" s="33"/>
      <c r="I2376" s="33"/>
      <c r="J2376" s="33"/>
      <c r="K2376" s="33"/>
      <c r="L2376" s="33"/>
      <c r="M2376" s="33"/>
      <c r="N2376" s="33"/>
      <c r="O2376" s="33"/>
      <c r="P2376" s="33"/>
      <c r="Q2376" s="33"/>
      <c r="R2376" s="33"/>
      <c r="S2376" s="33"/>
      <c r="T2376" s="33"/>
      <c r="U2376" s="33"/>
      <c r="V2376" s="33"/>
      <c r="W2376" s="33"/>
      <c r="X2376" s="33"/>
      <c r="Y2376" s="33"/>
      <c r="Z2376" s="33"/>
      <c r="AA2376" s="33"/>
      <c r="AB2376" s="33"/>
      <c r="AC2376" s="33"/>
      <c r="AD2376" s="33"/>
      <c r="AE2376" s="33"/>
      <c r="AF2376" s="33"/>
      <c r="AG2376" s="33"/>
      <c r="AH2376" s="33"/>
      <c r="AI2376" s="33"/>
      <c r="AJ2376" s="33"/>
      <c r="AK2376" s="34" t="str">
        <f aca="false">IF($B2376="","",COUNTIF($F2376:$AJ2376,"P"))</f>
        <v/>
      </c>
      <c r="AL2376" s="34" t="str">
        <f aca="false">IF($B2376="","",COUNTIF($F2376:$AJ2376,"A"))</f>
        <v/>
      </c>
      <c r="AM2376" s="34" t="str">
        <f aca="false">IF($B2376="","",COUNTIF($F2376:$AJ2376,"HA"))</f>
        <v/>
      </c>
      <c r="AN2376" s="34" t="str">
        <f aca="false">IF($B2376="","",COUNTIF($F2376:$AJ2376,"L"))</f>
        <v/>
      </c>
      <c r="AO2376" s="34" t="str">
        <f aca="false">IF($B2376="","",COUNTIF($F2376:$AJ2376,"PL"))</f>
        <v/>
      </c>
      <c r="AP2376" s="34" t="str">
        <f aca="false">IF($B2376="","",COUNTIF($F2376:$AJ2376,"CL"))</f>
        <v/>
      </c>
      <c r="AQ2376" s="34" t="str">
        <f aca="false">IF($B2376="","",COUNTIF($F2376:$AJ2376,"SL"))</f>
        <v/>
      </c>
      <c r="AR2376" s="34" t="str">
        <f aca="false">IF($B2376="","",COUNTIF($F2376:$AJ2376,"CO"))</f>
        <v/>
      </c>
      <c r="AS2376" s="34" t="str">
        <f aca="false">IF($B2376="","",COUNTIF($F2376:$AJ2376,"HPL"))</f>
        <v/>
      </c>
      <c r="AT2376" s="34" t="str">
        <f aca="false">IF($B2376="","",COUNTIF($F2376:$AJ2376,"HCL"))</f>
        <v/>
      </c>
      <c r="AU2376" s="34" t="str">
        <f aca="false">IF($B2376="","",COUNTIF($F2376:$AJ2376,"WO"))</f>
        <v/>
      </c>
      <c r="AV2376" s="34" t="str">
        <f aca="false">IF($B2376="","",COUNTIF($F2376:$AJ2376,"PH"))</f>
        <v/>
      </c>
      <c r="AW2376" s="34" t="str">
        <f aca="false">IF($B2376="","",COUNTIF($F2376:$AJ2376,"TR"))</f>
        <v/>
      </c>
      <c r="AX2376" s="35" t="str">
        <f aca="false">IF($B2376="","",AO2376+AS2376/2)</f>
        <v/>
      </c>
      <c r="AY2376" s="35" t="str">
        <f aca="false">IF($B2376="","",AQ2376)</f>
        <v/>
      </c>
      <c r="AZ2376" s="35" t="str">
        <f aca="false">IF($B2376="","",AP2376+AT2376/2)</f>
        <v/>
      </c>
      <c r="BA2376" s="35" t="str">
        <f aca="false">IF($B2376="","",AK2376+AN2376+AM2376/2+AO2376+AP2376+AQ2376+AR2376+AS2376+AT2376+AU2376+AV2376+AW2376)</f>
        <v/>
      </c>
      <c r="BB2376" s="35" t="str">
        <f aca="false">IF($B2376="","",MAX(0,AN2376-Settings!$C$16)*Settings!$C$17)</f>
        <v/>
      </c>
      <c r="BC2376" s="35" t="str">
        <f aca="false">IF($B2376="","",BA2376-BB2376)</f>
        <v/>
      </c>
      <c r="BD2376" s="35" t="str">
        <f aca="false">IF(OR($B2376="",$A2376=""),"",DAY(EOMONTH($A2376,0))-COUNTA($F2376:$AJ2376))</f>
        <v/>
      </c>
    </row>
    <row r="2377" customFormat="false" ht="15" hidden="false" customHeight="false" outlineLevel="0" collapsed="false">
      <c r="A2377" s="32"/>
      <c r="B2377" s="29"/>
      <c r="C2377" s="10" t="str">
        <f aca="false">IF($B2377="","",IFERROR(INDEX(M_name,MATCH($B2377,M_emp,0)),"Code not found"))</f>
        <v/>
      </c>
      <c r="D2377" s="10" t="str">
        <f aca="false">IF($B2377="","",IFERROR(INDEX(M_dept,MATCH($B2377,M_emp,0)),""))</f>
        <v/>
      </c>
      <c r="E2377" s="10" t="str">
        <f aca="false">IF($B2377="","",IFERROR(INDEX(M_loc,MATCH($B2377,M_emp,0)),""))</f>
        <v/>
      </c>
      <c r="F2377" s="33"/>
      <c r="G2377" s="33"/>
      <c r="H2377" s="33"/>
      <c r="I2377" s="33"/>
      <c r="J2377" s="33"/>
      <c r="K2377" s="33"/>
      <c r="L2377" s="33"/>
      <c r="M2377" s="33"/>
      <c r="N2377" s="33"/>
      <c r="O2377" s="33"/>
      <c r="P2377" s="33"/>
      <c r="Q2377" s="33"/>
      <c r="R2377" s="33"/>
      <c r="S2377" s="33"/>
      <c r="T2377" s="33"/>
      <c r="U2377" s="33"/>
      <c r="V2377" s="33"/>
      <c r="W2377" s="33"/>
      <c r="X2377" s="33"/>
      <c r="Y2377" s="33"/>
      <c r="Z2377" s="33"/>
      <c r="AA2377" s="33"/>
      <c r="AB2377" s="33"/>
      <c r="AC2377" s="33"/>
      <c r="AD2377" s="33"/>
      <c r="AE2377" s="33"/>
      <c r="AF2377" s="33"/>
      <c r="AG2377" s="33"/>
      <c r="AH2377" s="33"/>
      <c r="AI2377" s="33"/>
      <c r="AJ2377" s="33"/>
      <c r="AK2377" s="34" t="str">
        <f aca="false">IF($B2377="","",COUNTIF($F2377:$AJ2377,"P"))</f>
        <v/>
      </c>
      <c r="AL2377" s="34" t="str">
        <f aca="false">IF($B2377="","",COUNTIF($F2377:$AJ2377,"A"))</f>
        <v/>
      </c>
      <c r="AM2377" s="34" t="str">
        <f aca="false">IF($B2377="","",COUNTIF($F2377:$AJ2377,"HA"))</f>
        <v/>
      </c>
      <c r="AN2377" s="34" t="str">
        <f aca="false">IF($B2377="","",COUNTIF($F2377:$AJ2377,"L"))</f>
        <v/>
      </c>
      <c r="AO2377" s="34" t="str">
        <f aca="false">IF($B2377="","",COUNTIF($F2377:$AJ2377,"PL"))</f>
        <v/>
      </c>
      <c r="AP2377" s="34" t="str">
        <f aca="false">IF($B2377="","",COUNTIF($F2377:$AJ2377,"CL"))</f>
        <v/>
      </c>
      <c r="AQ2377" s="34" t="str">
        <f aca="false">IF($B2377="","",COUNTIF($F2377:$AJ2377,"SL"))</f>
        <v/>
      </c>
      <c r="AR2377" s="34" t="str">
        <f aca="false">IF($B2377="","",COUNTIF($F2377:$AJ2377,"CO"))</f>
        <v/>
      </c>
      <c r="AS2377" s="34" t="str">
        <f aca="false">IF($B2377="","",COUNTIF($F2377:$AJ2377,"HPL"))</f>
        <v/>
      </c>
      <c r="AT2377" s="34" t="str">
        <f aca="false">IF($B2377="","",COUNTIF($F2377:$AJ2377,"HCL"))</f>
        <v/>
      </c>
      <c r="AU2377" s="34" t="str">
        <f aca="false">IF($B2377="","",COUNTIF($F2377:$AJ2377,"WO"))</f>
        <v/>
      </c>
      <c r="AV2377" s="34" t="str">
        <f aca="false">IF($B2377="","",COUNTIF($F2377:$AJ2377,"PH"))</f>
        <v/>
      </c>
      <c r="AW2377" s="34" t="str">
        <f aca="false">IF($B2377="","",COUNTIF($F2377:$AJ2377,"TR"))</f>
        <v/>
      </c>
      <c r="AX2377" s="35" t="str">
        <f aca="false">IF($B2377="","",AO2377+AS2377/2)</f>
        <v/>
      </c>
      <c r="AY2377" s="35" t="str">
        <f aca="false">IF($B2377="","",AQ2377)</f>
        <v/>
      </c>
      <c r="AZ2377" s="35" t="str">
        <f aca="false">IF($B2377="","",AP2377+AT2377/2)</f>
        <v/>
      </c>
      <c r="BA2377" s="35" t="str">
        <f aca="false">IF($B2377="","",AK2377+AN2377+AM2377/2+AO2377+AP2377+AQ2377+AR2377+AS2377+AT2377+AU2377+AV2377+AW2377)</f>
        <v/>
      </c>
      <c r="BB2377" s="35" t="str">
        <f aca="false">IF($B2377="","",MAX(0,AN2377-Settings!$C$16)*Settings!$C$17)</f>
        <v/>
      </c>
      <c r="BC2377" s="35" t="str">
        <f aca="false">IF($B2377="","",BA2377-BB2377)</f>
        <v/>
      </c>
      <c r="BD2377" s="35" t="str">
        <f aca="false">IF(OR($B2377="",$A2377=""),"",DAY(EOMONTH($A2377,0))-COUNTA($F2377:$AJ2377))</f>
        <v/>
      </c>
    </row>
    <row r="2378" customFormat="false" ht="15" hidden="false" customHeight="false" outlineLevel="0" collapsed="false">
      <c r="A2378" s="32"/>
      <c r="B2378" s="29"/>
      <c r="C2378" s="10" t="str">
        <f aca="false">IF($B2378="","",IFERROR(INDEX(M_name,MATCH($B2378,M_emp,0)),"Code not found"))</f>
        <v/>
      </c>
      <c r="D2378" s="10" t="str">
        <f aca="false">IF($B2378="","",IFERROR(INDEX(M_dept,MATCH($B2378,M_emp,0)),""))</f>
        <v/>
      </c>
      <c r="E2378" s="10" t="str">
        <f aca="false">IF($B2378="","",IFERROR(INDEX(M_loc,MATCH($B2378,M_emp,0)),""))</f>
        <v/>
      </c>
      <c r="F2378" s="33"/>
      <c r="G2378" s="33"/>
      <c r="H2378" s="33"/>
      <c r="I2378" s="33"/>
      <c r="J2378" s="33"/>
      <c r="K2378" s="33"/>
      <c r="L2378" s="33"/>
      <c r="M2378" s="33"/>
      <c r="N2378" s="33"/>
      <c r="O2378" s="33"/>
      <c r="P2378" s="33"/>
      <c r="Q2378" s="33"/>
      <c r="R2378" s="33"/>
      <c r="S2378" s="33"/>
      <c r="T2378" s="33"/>
      <c r="U2378" s="33"/>
      <c r="V2378" s="33"/>
      <c r="W2378" s="33"/>
      <c r="X2378" s="33"/>
      <c r="Y2378" s="33"/>
      <c r="Z2378" s="33"/>
      <c r="AA2378" s="33"/>
      <c r="AB2378" s="33"/>
      <c r="AC2378" s="33"/>
      <c r="AD2378" s="33"/>
      <c r="AE2378" s="33"/>
      <c r="AF2378" s="33"/>
      <c r="AG2378" s="33"/>
      <c r="AH2378" s="33"/>
      <c r="AI2378" s="33"/>
      <c r="AJ2378" s="33"/>
      <c r="AK2378" s="34" t="str">
        <f aca="false">IF($B2378="","",COUNTIF($F2378:$AJ2378,"P"))</f>
        <v/>
      </c>
      <c r="AL2378" s="34" t="str">
        <f aca="false">IF($B2378="","",COUNTIF($F2378:$AJ2378,"A"))</f>
        <v/>
      </c>
      <c r="AM2378" s="34" t="str">
        <f aca="false">IF($B2378="","",COUNTIF($F2378:$AJ2378,"HA"))</f>
        <v/>
      </c>
      <c r="AN2378" s="34" t="str">
        <f aca="false">IF($B2378="","",COUNTIF($F2378:$AJ2378,"L"))</f>
        <v/>
      </c>
      <c r="AO2378" s="34" t="str">
        <f aca="false">IF($B2378="","",COUNTIF($F2378:$AJ2378,"PL"))</f>
        <v/>
      </c>
      <c r="AP2378" s="34" t="str">
        <f aca="false">IF($B2378="","",COUNTIF($F2378:$AJ2378,"CL"))</f>
        <v/>
      </c>
      <c r="AQ2378" s="34" t="str">
        <f aca="false">IF($B2378="","",COUNTIF($F2378:$AJ2378,"SL"))</f>
        <v/>
      </c>
      <c r="AR2378" s="34" t="str">
        <f aca="false">IF($B2378="","",COUNTIF($F2378:$AJ2378,"CO"))</f>
        <v/>
      </c>
      <c r="AS2378" s="34" t="str">
        <f aca="false">IF($B2378="","",COUNTIF($F2378:$AJ2378,"HPL"))</f>
        <v/>
      </c>
      <c r="AT2378" s="34" t="str">
        <f aca="false">IF($B2378="","",COUNTIF($F2378:$AJ2378,"HCL"))</f>
        <v/>
      </c>
      <c r="AU2378" s="34" t="str">
        <f aca="false">IF($B2378="","",COUNTIF($F2378:$AJ2378,"WO"))</f>
        <v/>
      </c>
      <c r="AV2378" s="34" t="str">
        <f aca="false">IF($B2378="","",COUNTIF($F2378:$AJ2378,"PH"))</f>
        <v/>
      </c>
      <c r="AW2378" s="34" t="str">
        <f aca="false">IF($B2378="","",COUNTIF($F2378:$AJ2378,"TR"))</f>
        <v/>
      </c>
      <c r="AX2378" s="35" t="str">
        <f aca="false">IF($B2378="","",AO2378+AS2378/2)</f>
        <v/>
      </c>
      <c r="AY2378" s="35" t="str">
        <f aca="false">IF($B2378="","",AQ2378)</f>
        <v/>
      </c>
      <c r="AZ2378" s="35" t="str">
        <f aca="false">IF($B2378="","",AP2378+AT2378/2)</f>
        <v/>
      </c>
      <c r="BA2378" s="35" t="str">
        <f aca="false">IF($B2378="","",AK2378+AN2378+AM2378/2+AO2378+AP2378+AQ2378+AR2378+AS2378+AT2378+AU2378+AV2378+AW2378)</f>
        <v/>
      </c>
      <c r="BB2378" s="35" t="str">
        <f aca="false">IF($B2378="","",MAX(0,AN2378-Settings!$C$16)*Settings!$C$17)</f>
        <v/>
      </c>
      <c r="BC2378" s="35" t="str">
        <f aca="false">IF($B2378="","",BA2378-BB2378)</f>
        <v/>
      </c>
      <c r="BD2378" s="35" t="str">
        <f aca="false">IF(OR($B2378="",$A2378=""),"",DAY(EOMONTH($A2378,0))-COUNTA($F2378:$AJ2378))</f>
        <v/>
      </c>
    </row>
    <row r="2379" customFormat="false" ht="15" hidden="false" customHeight="false" outlineLevel="0" collapsed="false">
      <c r="A2379" s="32"/>
      <c r="B2379" s="29"/>
      <c r="C2379" s="10" t="str">
        <f aca="false">IF($B2379="","",IFERROR(INDEX(M_name,MATCH($B2379,M_emp,0)),"Code not found"))</f>
        <v/>
      </c>
      <c r="D2379" s="10" t="str">
        <f aca="false">IF($B2379="","",IFERROR(INDEX(M_dept,MATCH($B2379,M_emp,0)),""))</f>
        <v/>
      </c>
      <c r="E2379" s="10" t="str">
        <f aca="false">IF($B2379="","",IFERROR(INDEX(M_loc,MATCH($B2379,M_emp,0)),""))</f>
        <v/>
      </c>
      <c r="F2379" s="33"/>
      <c r="G2379" s="33"/>
      <c r="H2379" s="33"/>
      <c r="I2379" s="33"/>
      <c r="J2379" s="33"/>
      <c r="K2379" s="33"/>
      <c r="L2379" s="33"/>
      <c r="M2379" s="33"/>
      <c r="N2379" s="33"/>
      <c r="O2379" s="33"/>
      <c r="P2379" s="33"/>
      <c r="Q2379" s="33"/>
      <c r="R2379" s="33"/>
      <c r="S2379" s="33"/>
      <c r="T2379" s="33"/>
      <c r="U2379" s="33"/>
      <c r="V2379" s="33"/>
      <c r="W2379" s="33"/>
      <c r="X2379" s="33"/>
      <c r="Y2379" s="33"/>
      <c r="Z2379" s="33"/>
      <c r="AA2379" s="33"/>
      <c r="AB2379" s="33"/>
      <c r="AC2379" s="33"/>
      <c r="AD2379" s="33"/>
      <c r="AE2379" s="33"/>
      <c r="AF2379" s="33"/>
      <c r="AG2379" s="33"/>
      <c r="AH2379" s="33"/>
      <c r="AI2379" s="33"/>
      <c r="AJ2379" s="33"/>
      <c r="AK2379" s="34" t="str">
        <f aca="false">IF($B2379="","",COUNTIF($F2379:$AJ2379,"P"))</f>
        <v/>
      </c>
      <c r="AL2379" s="34" t="str">
        <f aca="false">IF($B2379="","",COUNTIF($F2379:$AJ2379,"A"))</f>
        <v/>
      </c>
      <c r="AM2379" s="34" t="str">
        <f aca="false">IF($B2379="","",COUNTIF($F2379:$AJ2379,"HA"))</f>
        <v/>
      </c>
      <c r="AN2379" s="34" t="str">
        <f aca="false">IF($B2379="","",COUNTIF($F2379:$AJ2379,"L"))</f>
        <v/>
      </c>
      <c r="AO2379" s="34" t="str">
        <f aca="false">IF($B2379="","",COUNTIF($F2379:$AJ2379,"PL"))</f>
        <v/>
      </c>
      <c r="AP2379" s="34" t="str">
        <f aca="false">IF($B2379="","",COUNTIF($F2379:$AJ2379,"CL"))</f>
        <v/>
      </c>
      <c r="AQ2379" s="34" t="str">
        <f aca="false">IF($B2379="","",COUNTIF($F2379:$AJ2379,"SL"))</f>
        <v/>
      </c>
      <c r="AR2379" s="34" t="str">
        <f aca="false">IF($B2379="","",COUNTIF($F2379:$AJ2379,"CO"))</f>
        <v/>
      </c>
      <c r="AS2379" s="34" t="str">
        <f aca="false">IF($B2379="","",COUNTIF($F2379:$AJ2379,"HPL"))</f>
        <v/>
      </c>
      <c r="AT2379" s="34" t="str">
        <f aca="false">IF($B2379="","",COUNTIF($F2379:$AJ2379,"HCL"))</f>
        <v/>
      </c>
      <c r="AU2379" s="34" t="str">
        <f aca="false">IF($B2379="","",COUNTIF($F2379:$AJ2379,"WO"))</f>
        <v/>
      </c>
      <c r="AV2379" s="34" t="str">
        <f aca="false">IF($B2379="","",COUNTIF($F2379:$AJ2379,"PH"))</f>
        <v/>
      </c>
      <c r="AW2379" s="34" t="str">
        <f aca="false">IF($B2379="","",COUNTIF($F2379:$AJ2379,"TR"))</f>
        <v/>
      </c>
      <c r="AX2379" s="35" t="str">
        <f aca="false">IF($B2379="","",AO2379+AS2379/2)</f>
        <v/>
      </c>
      <c r="AY2379" s="35" t="str">
        <f aca="false">IF($B2379="","",AQ2379)</f>
        <v/>
      </c>
      <c r="AZ2379" s="35" t="str">
        <f aca="false">IF($B2379="","",AP2379+AT2379/2)</f>
        <v/>
      </c>
      <c r="BA2379" s="35" t="str">
        <f aca="false">IF($B2379="","",AK2379+AN2379+AM2379/2+AO2379+AP2379+AQ2379+AR2379+AS2379+AT2379+AU2379+AV2379+AW2379)</f>
        <v/>
      </c>
      <c r="BB2379" s="35" t="str">
        <f aca="false">IF($B2379="","",MAX(0,AN2379-Settings!$C$16)*Settings!$C$17)</f>
        <v/>
      </c>
      <c r="BC2379" s="35" t="str">
        <f aca="false">IF($B2379="","",BA2379-BB2379)</f>
        <v/>
      </c>
      <c r="BD2379" s="35" t="str">
        <f aca="false">IF(OR($B2379="",$A2379=""),"",DAY(EOMONTH($A2379,0))-COUNTA($F2379:$AJ2379))</f>
        <v/>
      </c>
    </row>
    <row r="2380" customFormat="false" ht="15" hidden="false" customHeight="false" outlineLevel="0" collapsed="false">
      <c r="A2380" s="32"/>
      <c r="B2380" s="29"/>
      <c r="C2380" s="10" t="str">
        <f aca="false">IF($B2380="","",IFERROR(INDEX(M_name,MATCH($B2380,M_emp,0)),"Code not found"))</f>
        <v/>
      </c>
      <c r="D2380" s="10" t="str">
        <f aca="false">IF($B2380="","",IFERROR(INDEX(M_dept,MATCH($B2380,M_emp,0)),""))</f>
        <v/>
      </c>
      <c r="E2380" s="10" t="str">
        <f aca="false">IF($B2380="","",IFERROR(INDEX(M_loc,MATCH($B2380,M_emp,0)),""))</f>
        <v/>
      </c>
      <c r="F2380" s="33"/>
      <c r="G2380" s="33"/>
      <c r="H2380" s="33"/>
      <c r="I2380" s="33"/>
      <c r="J2380" s="33"/>
      <c r="K2380" s="33"/>
      <c r="L2380" s="33"/>
      <c r="M2380" s="33"/>
      <c r="N2380" s="33"/>
      <c r="O2380" s="33"/>
      <c r="P2380" s="33"/>
      <c r="Q2380" s="33"/>
      <c r="R2380" s="33"/>
      <c r="S2380" s="33"/>
      <c r="T2380" s="33"/>
      <c r="U2380" s="33"/>
      <c r="V2380" s="33"/>
      <c r="W2380" s="33"/>
      <c r="X2380" s="33"/>
      <c r="Y2380" s="33"/>
      <c r="Z2380" s="33"/>
      <c r="AA2380" s="33"/>
      <c r="AB2380" s="33"/>
      <c r="AC2380" s="33"/>
      <c r="AD2380" s="33"/>
      <c r="AE2380" s="33"/>
      <c r="AF2380" s="33"/>
      <c r="AG2380" s="33"/>
      <c r="AH2380" s="33"/>
      <c r="AI2380" s="33"/>
      <c r="AJ2380" s="33"/>
      <c r="AK2380" s="34" t="str">
        <f aca="false">IF($B2380="","",COUNTIF($F2380:$AJ2380,"P"))</f>
        <v/>
      </c>
      <c r="AL2380" s="34" t="str">
        <f aca="false">IF($B2380="","",COUNTIF($F2380:$AJ2380,"A"))</f>
        <v/>
      </c>
      <c r="AM2380" s="34" t="str">
        <f aca="false">IF($B2380="","",COUNTIF($F2380:$AJ2380,"HA"))</f>
        <v/>
      </c>
      <c r="AN2380" s="34" t="str">
        <f aca="false">IF($B2380="","",COUNTIF($F2380:$AJ2380,"L"))</f>
        <v/>
      </c>
      <c r="AO2380" s="34" t="str">
        <f aca="false">IF($B2380="","",COUNTIF($F2380:$AJ2380,"PL"))</f>
        <v/>
      </c>
      <c r="AP2380" s="34" t="str">
        <f aca="false">IF($B2380="","",COUNTIF($F2380:$AJ2380,"CL"))</f>
        <v/>
      </c>
      <c r="AQ2380" s="34" t="str">
        <f aca="false">IF($B2380="","",COUNTIF($F2380:$AJ2380,"SL"))</f>
        <v/>
      </c>
      <c r="AR2380" s="34" t="str">
        <f aca="false">IF($B2380="","",COUNTIF($F2380:$AJ2380,"CO"))</f>
        <v/>
      </c>
      <c r="AS2380" s="34" t="str">
        <f aca="false">IF($B2380="","",COUNTIF($F2380:$AJ2380,"HPL"))</f>
        <v/>
      </c>
      <c r="AT2380" s="34" t="str">
        <f aca="false">IF($B2380="","",COUNTIF($F2380:$AJ2380,"HCL"))</f>
        <v/>
      </c>
      <c r="AU2380" s="34" t="str">
        <f aca="false">IF($B2380="","",COUNTIF($F2380:$AJ2380,"WO"))</f>
        <v/>
      </c>
      <c r="AV2380" s="34" t="str">
        <f aca="false">IF($B2380="","",COUNTIF($F2380:$AJ2380,"PH"))</f>
        <v/>
      </c>
      <c r="AW2380" s="34" t="str">
        <f aca="false">IF($B2380="","",COUNTIF($F2380:$AJ2380,"TR"))</f>
        <v/>
      </c>
      <c r="AX2380" s="35" t="str">
        <f aca="false">IF($B2380="","",AO2380+AS2380/2)</f>
        <v/>
      </c>
      <c r="AY2380" s="35" t="str">
        <f aca="false">IF($B2380="","",AQ2380)</f>
        <v/>
      </c>
      <c r="AZ2380" s="35" t="str">
        <f aca="false">IF($B2380="","",AP2380+AT2380/2)</f>
        <v/>
      </c>
      <c r="BA2380" s="35" t="str">
        <f aca="false">IF($B2380="","",AK2380+AN2380+AM2380/2+AO2380+AP2380+AQ2380+AR2380+AS2380+AT2380+AU2380+AV2380+AW2380)</f>
        <v/>
      </c>
      <c r="BB2380" s="35" t="str">
        <f aca="false">IF($B2380="","",MAX(0,AN2380-Settings!$C$16)*Settings!$C$17)</f>
        <v/>
      </c>
      <c r="BC2380" s="35" t="str">
        <f aca="false">IF($B2380="","",BA2380-BB2380)</f>
        <v/>
      </c>
      <c r="BD2380" s="35" t="str">
        <f aca="false">IF(OR($B2380="",$A2380=""),"",DAY(EOMONTH($A2380,0))-COUNTA($F2380:$AJ2380))</f>
        <v/>
      </c>
    </row>
    <row r="2381" customFormat="false" ht="15" hidden="false" customHeight="false" outlineLevel="0" collapsed="false">
      <c r="A2381" s="32"/>
      <c r="B2381" s="29"/>
      <c r="C2381" s="10" t="str">
        <f aca="false">IF($B2381="","",IFERROR(INDEX(M_name,MATCH($B2381,M_emp,0)),"Code not found"))</f>
        <v/>
      </c>
      <c r="D2381" s="10" t="str">
        <f aca="false">IF($B2381="","",IFERROR(INDEX(M_dept,MATCH($B2381,M_emp,0)),""))</f>
        <v/>
      </c>
      <c r="E2381" s="10" t="str">
        <f aca="false">IF($B2381="","",IFERROR(INDEX(M_loc,MATCH($B2381,M_emp,0)),""))</f>
        <v/>
      </c>
      <c r="F2381" s="33"/>
      <c r="G2381" s="33"/>
      <c r="H2381" s="33"/>
      <c r="I2381" s="33"/>
      <c r="J2381" s="33"/>
      <c r="K2381" s="33"/>
      <c r="L2381" s="33"/>
      <c r="M2381" s="33"/>
      <c r="N2381" s="33"/>
      <c r="O2381" s="33"/>
      <c r="P2381" s="33"/>
      <c r="Q2381" s="33"/>
      <c r="R2381" s="33"/>
      <c r="S2381" s="33"/>
      <c r="T2381" s="33"/>
      <c r="U2381" s="33"/>
      <c r="V2381" s="33"/>
      <c r="W2381" s="33"/>
      <c r="X2381" s="33"/>
      <c r="Y2381" s="33"/>
      <c r="Z2381" s="33"/>
      <c r="AA2381" s="33"/>
      <c r="AB2381" s="33"/>
      <c r="AC2381" s="33"/>
      <c r="AD2381" s="33"/>
      <c r="AE2381" s="33"/>
      <c r="AF2381" s="33"/>
      <c r="AG2381" s="33"/>
      <c r="AH2381" s="33"/>
      <c r="AI2381" s="33"/>
      <c r="AJ2381" s="33"/>
      <c r="AK2381" s="34" t="str">
        <f aca="false">IF($B2381="","",COUNTIF($F2381:$AJ2381,"P"))</f>
        <v/>
      </c>
      <c r="AL2381" s="34" t="str">
        <f aca="false">IF($B2381="","",COUNTIF($F2381:$AJ2381,"A"))</f>
        <v/>
      </c>
      <c r="AM2381" s="34" t="str">
        <f aca="false">IF($B2381="","",COUNTIF($F2381:$AJ2381,"HA"))</f>
        <v/>
      </c>
      <c r="AN2381" s="34" t="str">
        <f aca="false">IF($B2381="","",COUNTIF($F2381:$AJ2381,"L"))</f>
        <v/>
      </c>
      <c r="AO2381" s="34" t="str">
        <f aca="false">IF($B2381="","",COUNTIF($F2381:$AJ2381,"PL"))</f>
        <v/>
      </c>
      <c r="AP2381" s="34" t="str">
        <f aca="false">IF($B2381="","",COUNTIF($F2381:$AJ2381,"CL"))</f>
        <v/>
      </c>
      <c r="AQ2381" s="34" t="str">
        <f aca="false">IF($B2381="","",COUNTIF($F2381:$AJ2381,"SL"))</f>
        <v/>
      </c>
      <c r="AR2381" s="34" t="str">
        <f aca="false">IF($B2381="","",COUNTIF($F2381:$AJ2381,"CO"))</f>
        <v/>
      </c>
      <c r="AS2381" s="34" t="str">
        <f aca="false">IF($B2381="","",COUNTIF($F2381:$AJ2381,"HPL"))</f>
        <v/>
      </c>
      <c r="AT2381" s="34" t="str">
        <f aca="false">IF($B2381="","",COUNTIF($F2381:$AJ2381,"HCL"))</f>
        <v/>
      </c>
      <c r="AU2381" s="34" t="str">
        <f aca="false">IF($B2381="","",COUNTIF($F2381:$AJ2381,"WO"))</f>
        <v/>
      </c>
      <c r="AV2381" s="34" t="str">
        <f aca="false">IF($B2381="","",COUNTIF($F2381:$AJ2381,"PH"))</f>
        <v/>
      </c>
      <c r="AW2381" s="34" t="str">
        <f aca="false">IF($B2381="","",COUNTIF($F2381:$AJ2381,"TR"))</f>
        <v/>
      </c>
      <c r="AX2381" s="35" t="str">
        <f aca="false">IF($B2381="","",AO2381+AS2381/2)</f>
        <v/>
      </c>
      <c r="AY2381" s="35" t="str">
        <f aca="false">IF($B2381="","",AQ2381)</f>
        <v/>
      </c>
      <c r="AZ2381" s="35" t="str">
        <f aca="false">IF($B2381="","",AP2381+AT2381/2)</f>
        <v/>
      </c>
      <c r="BA2381" s="35" t="str">
        <f aca="false">IF($B2381="","",AK2381+AN2381+AM2381/2+AO2381+AP2381+AQ2381+AR2381+AS2381+AT2381+AU2381+AV2381+AW2381)</f>
        <v/>
      </c>
      <c r="BB2381" s="35" t="str">
        <f aca="false">IF($B2381="","",MAX(0,AN2381-Settings!$C$16)*Settings!$C$17)</f>
        <v/>
      </c>
      <c r="BC2381" s="35" t="str">
        <f aca="false">IF($B2381="","",BA2381-BB2381)</f>
        <v/>
      </c>
      <c r="BD2381" s="35" t="str">
        <f aca="false">IF(OR($B2381="",$A2381=""),"",DAY(EOMONTH($A2381,0))-COUNTA($F2381:$AJ2381))</f>
        <v/>
      </c>
    </row>
    <row r="2382" customFormat="false" ht="15" hidden="false" customHeight="false" outlineLevel="0" collapsed="false">
      <c r="A2382" s="32"/>
      <c r="B2382" s="29"/>
      <c r="C2382" s="10" t="str">
        <f aca="false">IF($B2382="","",IFERROR(INDEX(M_name,MATCH($B2382,M_emp,0)),"Code not found"))</f>
        <v/>
      </c>
      <c r="D2382" s="10" t="str">
        <f aca="false">IF($B2382="","",IFERROR(INDEX(M_dept,MATCH($B2382,M_emp,0)),""))</f>
        <v/>
      </c>
      <c r="E2382" s="10" t="str">
        <f aca="false">IF($B2382="","",IFERROR(INDEX(M_loc,MATCH($B2382,M_emp,0)),""))</f>
        <v/>
      </c>
      <c r="F2382" s="33"/>
      <c r="G2382" s="33"/>
      <c r="H2382" s="33"/>
      <c r="I2382" s="33"/>
      <c r="J2382" s="33"/>
      <c r="K2382" s="33"/>
      <c r="L2382" s="33"/>
      <c r="M2382" s="33"/>
      <c r="N2382" s="33"/>
      <c r="O2382" s="33"/>
      <c r="P2382" s="33"/>
      <c r="Q2382" s="33"/>
      <c r="R2382" s="33"/>
      <c r="S2382" s="33"/>
      <c r="T2382" s="33"/>
      <c r="U2382" s="33"/>
      <c r="V2382" s="33"/>
      <c r="W2382" s="33"/>
      <c r="X2382" s="33"/>
      <c r="Y2382" s="33"/>
      <c r="Z2382" s="33"/>
      <c r="AA2382" s="33"/>
      <c r="AB2382" s="33"/>
      <c r="AC2382" s="33"/>
      <c r="AD2382" s="33"/>
      <c r="AE2382" s="33"/>
      <c r="AF2382" s="33"/>
      <c r="AG2382" s="33"/>
      <c r="AH2382" s="33"/>
      <c r="AI2382" s="33"/>
      <c r="AJ2382" s="33"/>
      <c r="AK2382" s="34" t="str">
        <f aca="false">IF($B2382="","",COUNTIF($F2382:$AJ2382,"P"))</f>
        <v/>
      </c>
      <c r="AL2382" s="34" t="str">
        <f aca="false">IF($B2382="","",COUNTIF($F2382:$AJ2382,"A"))</f>
        <v/>
      </c>
      <c r="AM2382" s="34" t="str">
        <f aca="false">IF($B2382="","",COUNTIF($F2382:$AJ2382,"HA"))</f>
        <v/>
      </c>
      <c r="AN2382" s="34" t="str">
        <f aca="false">IF($B2382="","",COUNTIF($F2382:$AJ2382,"L"))</f>
        <v/>
      </c>
      <c r="AO2382" s="34" t="str">
        <f aca="false">IF($B2382="","",COUNTIF($F2382:$AJ2382,"PL"))</f>
        <v/>
      </c>
      <c r="AP2382" s="34" t="str">
        <f aca="false">IF($B2382="","",COUNTIF($F2382:$AJ2382,"CL"))</f>
        <v/>
      </c>
      <c r="AQ2382" s="34" t="str">
        <f aca="false">IF($B2382="","",COUNTIF($F2382:$AJ2382,"SL"))</f>
        <v/>
      </c>
      <c r="AR2382" s="34" t="str">
        <f aca="false">IF($B2382="","",COUNTIF($F2382:$AJ2382,"CO"))</f>
        <v/>
      </c>
      <c r="AS2382" s="34" t="str">
        <f aca="false">IF($B2382="","",COUNTIF($F2382:$AJ2382,"HPL"))</f>
        <v/>
      </c>
      <c r="AT2382" s="34" t="str">
        <f aca="false">IF($B2382="","",COUNTIF($F2382:$AJ2382,"HCL"))</f>
        <v/>
      </c>
      <c r="AU2382" s="34" t="str">
        <f aca="false">IF($B2382="","",COUNTIF($F2382:$AJ2382,"WO"))</f>
        <v/>
      </c>
      <c r="AV2382" s="34" t="str">
        <f aca="false">IF($B2382="","",COUNTIF($F2382:$AJ2382,"PH"))</f>
        <v/>
      </c>
      <c r="AW2382" s="34" t="str">
        <f aca="false">IF($B2382="","",COUNTIF($F2382:$AJ2382,"TR"))</f>
        <v/>
      </c>
      <c r="AX2382" s="35" t="str">
        <f aca="false">IF($B2382="","",AO2382+AS2382/2)</f>
        <v/>
      </c>
      <c r="AY2382" s="35" t="str">
        <f aca="false">IF($B2382="","",AQ2382)</f>
        <v/>
      </c>
      <c r="AZ2382" s="35" t="str">
        <f aca="false">IF($B2382="","",AP2382+AT2382/2)</f>
        <v/>
      </c>
      <c r="BA2382" s="35" t="str">
        <f aca="false">IF($B2382="","",AK2382+AN2382+AM2382/2+AO2382+AP2382+AQ2382+AR2382+AS2382+AT2382+AU2382+AV2382+AW2382)</f>
        <v/>
      </c>
      <c r="BB2382" s="35" t="str">
        <f aca="false">IF($B2382="","",MAX(0,AN2382-Settings!$C$16)*Settings!$C$17)</f>
        <v/>
      </c>
      <c r="BC2382" s="35" t="str">
        <f aca="false">IF($B2382="","",BA2382-BB2382)</f>
        <v/>
      </c>
      <c r="BD2382" s="35" t="str">
        <f aca="false">IF(OR($B2382="",$A2382=""),"",DAY(EOMONTH($A2382,0))-COUNTA($F2382:$AJ2382))</f>
        <v/>
      </c>
    </row>
    <row r="2383" customFormat="false" ht="15" hidden="false" customHeight="false" outlineLevel="0" collapsed="false">
      <c r="A2383" s="32"/>
      <c r="B2383" s="29"/>
      <c r="C2383" s="10" t="str">
        <f aca="false">IF($B2383="","",IFERROR(INDEX(M_name,MATCH($B2383,M_emp,0)),"Code not found"))</f>
        <v/>
      </c>
      <c r="D2383" s="10" t="str">
        <f aca="false">IF($B2383="","",IFERROR(INDEX(M_dept,MATCH($B2383,M_emp,0)),""))</f>
        <v/>
      </c>
      <c r="E2383" s="10" t="str">
        <f aca="false">IF($B2383="","",IFERROR(INDEX(M_loc,MATCH($B2383,M_emp,0)),""))</f>
        <v/>
      </c>
      <c r="F2383" s="33"/>
      <c r="G2383" s="33"/>
      <c r="H2383" s="33"/>
      <c r="I2383" s="33"/>
      <c r="J2383" s="33"/>
      <c r="K2383" s="33"/>
      <c r="L2383" s="33"/>
      <c r="M2383" s="33"/>
      <c r="N2383" s="33"/>
      <c r="O2383" s="33"/>
      <c r="P2383" s="33"/>
      <c r="Q2383" s="33"/>
      <c r="R2383" s="33"/>
      <c r="S2383" s="33"/>
      <c r="T2383" s="33"/>
      <c r="U2383" s="33"/>
      <c r="V2383" s="33"/>
      <c r="W2383" s="33"/>
      <c r="X2383" s="33"/>
      <c r="Y2383" s="33"/>
      <c r="Z2383" s="33"/>
      <c r="AA2383" s="33"/>
      <c r="AB2383" s="33"/>
      <c r="AC2383" s="33"/>
      <c r="AD2383" s="33"/>
      <c r="AE2383" s="33"/>
      <c r="AF2383" s="33"/>
      <c r="AG2383" s="33"/>
      <c r="AH2383" s="33"/>
      <c r="AI2383" s="33"/>
      <c r="AJ2383" s="33"/>
      <c r="AK2383" s="34" t="str">
        <f aca="false">IF($B2383="","",COUNTIF($F2383:$AJ2383,"P"))</f>
        <v/>
      </c>
      <c r="AL2383" s="34" t="str">
        <f aca="false">IF($B2383="","",COUNTIF($F2383:$AJ2383,"A"))</f>
        <v/>
      </c>
      <c r="AM2383" s="34" t="str">
        <f aca="false">IF($B2383="","",COUNTIF($F2383:$AJ2383,"HA"))</f>
        <v/>
      </c>
      <c r="AN2383" s="34" t="str">
        <f aca="false">IF($B2383="","",COUNTIF($F2383:$AJ2383,"L"))</f>
        <v/>
      </c>
      <c r="AO2383" s="34" t="str">
        <f aca="false">IF($B2383="","",COUNTIF($F2383:$AJ2383,"PL"))</f>
        <v/>
      </c>
      <c r="AP2383" s="34" t="str">
        <f aca="false">IF($B2383="","",COUNTIF($F2383:$AJ2383,"CL"))</f>
        <v/>
      </c>
      <c r="AQ2383" s="34" t="str">
        <f aca="false">IF($B2383="","",COUNTIF($F2383:$AJ2383,"SL"))</f>
        <v/>
      </c>
      <c r="AR2383" s="34" t="str">
        <f aca="false">IF($B2383="","",COUNTIF($F2383:$AJ2383,"CO"))</f>
        <v/>
      </c>
      <c r="AS2383" s="34" t="str">
        <f aca="false">IF($B2383="","",COUNTIF($F2383:$AJ2383,"HPL"))</f>
        <v/>
      </c>
      <c r="AT2383" s="34" t="str">
        <f aca="false">IF($B2383="","",COUNTIF($F2383:$AJ2383,"HCL"))</f>
        <v/>
      </c>
      <c r="AU2383" s="34" t="str">
        <f aca="false">IF($B2383="","",COUNTIF($F2383:$AJ2383,"WO"))</f>
        <v/>
      </c>
      <c r="AV2383" s="34" t="str">
        <f aca="false">IF($B2383="","",COUNTIF($F2383:$AJ2383,"PH"))</f>
        <v/>
      </c>
      <c r="AW2383" s="34" t="str">
        <f aca="false">IF($B2383="","",COUNTIF($F2383:$AJ2383,"TR"))</f>
        <v/>
      </c>
      <c r="AX2383" s="35" t="str">
        <f aca="false">IF($B2383="","",AO2383+AS2383/2)</f>
        <v/>
      </c>
      <c r="AY2383" s="35" t="str">
        <f aca="false">IF($B2383="","",AQ2383)</f>
        <v/>
      </c>
      <c r="AZ2383" s="35" t="str">
        <f aca="false">IF($B2383="","",AP2383+AT2383/2)</f>
        <v/>
      </c>
      <c r="BA2383" s="35" t="str">
        <f aca="false">IF($B2383="","",AK2383+AN2383+AM2383/2+AO2383+AP2383+AQ2383+AR2383+AS2383+AT2383+AU2383+AV2383+AW2383)</f>
        <v/>
      </c>
      <c r="BB2383" s="35" t="str">
        <f aca="false">IF($B2383="","",MAX(0,AN2383-Settings!$C$16)*Settings!$C$17)</f>
        <v/>
      </c>
      <c r="BC2383" s="35" t="str">
        <f aca="false">IF($B2383="","",BA2383-BB2383)</f>
        <v/>
      </c>
      <c r="BD2383" s="35" t="str">
        <f aca="false">IF(OR($B2383="",$A2383=""),"",DAY(EOMONTH($A2383,0))-COUNTA($F2383:$AJ2383))</f>
        <v/>
      </c>
    </row>
    <row r="2384" customFormat="false" ht="15" hidden="false" customHeight="false" outlineLevel="0" collapsed="false">
      <c r="A2384" s="32"/>
      <c r="B2384" s="29"/>
      <c r="C2384" s="10" t="str">
        <f aca="false">IF($B2384="","",IFERROR(INDEX(M_name,MATCH($B2384,M_emp,0)),"Code not found"))</f>
        <v/>
      </c>
      <c r="D2384" s="10" t="str">
        <f aca="false">IF($B2384="","",IFERROR(INDEX(M_dept,MATCH($B2384,M_emp,0)),""))</f>
        <v/>
      </c>
      <c r="E2384" s="10" t="str">
        <f aca="false">IF($B2384="","",IFERROR(INDEX(M_loc,MATCH($B2384,M_emp,0)),""))</f>
        <v/>
      </c>
      <c r="F2384" s="33"/>
      <c r="G2384" s="33"/>
      <c r="H2384" s="33"/>
      <c r="I2384" s="33"/>
      <c r="J2384" s="33"/>
      <c r="K2384" s="33"/>
      <c r="L2384" s="33"/>
      <c r="M2384" s="33"/>
      <c r="N2384" s="33"/>
      <c r="O2384" s="33"/>
      <c r="P2384" s="33"/>
      <c r="Q2384" s="33"/>
      <c r="R2384" s="33"/>
      <c r="S2384" s="33"/>
      <c r="T2384" s="33"/>
      <c r="U2384" s="33"/>
      <c r="V2384" s="33"/>
      <c r="W2384" s="33"/>
      <c r="X2384" s="33"/>
      <c r="Y2384" s="33"/>
      <c r="Z2384" s="33"/>
      <c r="AA2384" s="33"/>
      <c r="AB2384" s="33"/>
      <c r="AC2384" s="33"/>
      <c r="AD2384" s="33"/>
      <c r="AE2384" s="33"/>
      <c r="AF2384" s="33"/>
      <c r="AG2384" s="33"/>
      <c r="AH2384" s="33"/>
      <c r="AI2384" s="33"/>
      <c r="AJ2384" s="33"/>
      <c r="AK2384" s="34" t="str">
        <f aca="false">IF($B2384="","",COUNTIF($F2384:$AJ2384,"P"))</f>
        <v/>
      </c>
      <c r="AL2384" s="34" t="str">
        <f aca="false">IF($B2384="","",COUNTIF($F2384:$AJ2384,"A"))</f>
        <v/>
      </c>
      <c r="AM2384" s="34" t="str">
        <f aca="false">IF($B2384="","",COUNTIF($F2384:$AJ2384,"HA"))</f>
        <v/>
      </c>
      <c r="AN2384" s="34" t="str">
        <f aca="false">IF($B2384="","",COUNTIF($F2384:$AJ2384,"L"))</f>
        <v/>
      </c>
      <c r="AO2384" s="34" t="str">
        <f aca="false">IF($B2384="","",COUNTIF($F2384:$AJ2384,"PL"))</f>
        <v/>
      </c>
      <c r="AP2384" s="34" t="str">
        <f aca="false">IF($B2384="","",COUNTIF($F2384:$AJ2384,"CL"))</f>
        <v/>
      </c>
      <c r="AQ2384" s="34" t="str">
        <f aca="false">IF($B2384="","",COUNTIF($F2384:$AJ2384,"SL"))</f>
        <v/>
      </c>
      <c r="AR2384" s="34" t="str">
        <f aca="false">IF($B2384="","",COUNTIF($F2384:$AJ2384,"CO"))</f>
        <v/>
      </c>
      <c r="AS2384" s="34" t="str">
        <f aca="false">IF($B2384="","",COUNTIF($F2384:$AJ2384,"HPL"))</f>
        <v/>
      </c>
      <c r="AT2384" s="34" t="str">
        <f aca="false">IF($B2384="","",COUNTIF($F2384:$AJ2384,"HCL"))</f>
        <v/>
      </c>
      <c r="AU2384" s="34" t="str">
        <f aca="false">IF($B2384="","",COUNTIF($F2384:$AJ2384,"WO"))</f>
        <v/>
      </c>
      <c r="AV2384" s="34" t="str">
        <f aca="false">IF($B2384="","",COUNTIF($F2384:$AJ2384,"PH"))</f>
        <v/>
      </c>
      <c r="AW2384" s="34" t="str">
        <f aca="false">IF($B2384="","",COUNTIF($F2384:$AJ2384,"TR"))</f>
        <v/>
      </c>
      <c r="AX2384" s="35" t="str">
        <f aca="false">IF($B2384="","",AO2384+AS2384/2)</f>
        <v/>
      </c>
      <c r="AY2384" s="35" t="str">
        <f aca="false">IF($B2384="","",AQ2384)</f>
        <v/>
      </c>
      <c r="AZ2384" s="35" t="str">
        <f aca="false">IF($B2384="","",AP2384+AT2384/2)</f>
        <v/>
      </c>
      <c r="BA2384" s="35" t="str">
        <f aca="false">IF($B2384="","",AK2384+AN2384+AM2384/2+AO2384+AP2384+AQ2384+AR2384+AS2384+AT2384+AU2384+AV2384+AW2384)</f>
        <v/>
      </c>
      <c r="BB2384" s="35" t="str">
        <f aca="false">IF($B2384="","",MAX(0,AN2384-Settings!$C$16)*Settings!$C$17)</f>
        <v/>
      </c>
      <c r="BC2384" s="35" t="str">
        <f aca="false">IF($B2384="","",BA2384-BB2384)</f>
        <v/>
      </c>
      <c r="BD2384" s="35" t="str">
        <f aca="false">IF(OR($B2384="",$A2384=""),"",DAY(EOMONTH($A2384,0))-COUNTA($F2384:$AJ2384))</f>
        <v/>
      </c>
    </row>
    <row r="2385" customFormat="false" ht="15" hidden="false" customHeight="false" outlineLevel="0" collapsed="false">
      <c r="A2385" s="32"/>
      <c r="B2385" s="29"/>
      <c r="C2385" s="10" t="str">
        <f aca="false">IF($B2385="","",IFERROR(INDEX(M_name,MATCH($B2385,M_emp,0)),"Code not found"))</f>
        <v/>
      </c>
      <c r="D2385" s="10" t="str">
        <f aca="false">IF($B2385="","",IFERROR(INDEX(M_dept,MATCH($B2385,M_emp,0)),""))</f>
        <v/>
      </c>
      <c r="E2385" s="10" t="str">
        <f aca="false">IF($B2385="","",IFERROR(INDEX(M_loc,MATCH($B2385,M_emp,0)),""))</f>
        <v/>
      </c>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c r="AB2385" s="33"/>
      <c r="AC2385" s="33"/>
      <c r="AD2385" s="33"/>
      <c r="AE2385" s="33"/>
      <c r="AF2385" s="33"/>
      <c r="AG2385" s="33"/>
      <c r="AH2385" s="33"/>
      <c r="AI2385" s="33"/>
      <c r="AJ2385" s="33"/>
      <c r="AK2385" s="34" t="str">
        <f aca="false">IF($B2385="","",COUNTIF($F2385:$AJ2385,"P"))</f>
        <v/>
      </c>
      <c r="AL2385" s="34" t="str">
        <f aca="false">IF($B2385="","",COUNTIF($F2385:$AJ2385,"A"))</f>
        <v/>
      </c>
      <c r="AM2385" s="34" t="str">
        <f aca="false">IF($B2385="","",COUNTIF($F2385:$AJ2385,"HA"))</f>
        <v/>
      </c>
      <c r="AN2385" s="34" t="str">
        <f aca="false">IF($B2385="","",COUNTIF($F2385:$AJ2385,"L"))</f>
        <v/>
      </c>
      <c r="AO2385" s="34" t="str">
        <f aca="false">IF($B2385="","",COUNTIF($F2385:$AJ2385,"PL"))</f>
        <v/>
      </c>
      <c r="AP2385" s="34" t="str">
        <f aca="false">IF($B2385="","",COUNTIF($F2385:$AJ2385,"CL"))</f>
        <v/>
      </c>
      <c r="AQ2385" s="34" t="str">
        <f aca="false">IF($B2385="","",COUNTIF($F2385:$AJ2385,"SL"))</f>
        <v/>
      </c>
      <c r="AR2385" s="34" t="str">
        <f aca="false">IF($B2385="","",COUNTIF($F2385:$AJ2385,"CO"))</f>
        <v/>
      </c>
      <c r="AS2385" s="34" t="str">
        <f aca="false">IF($B2385="","",COUNTIF($F2385:$AJ2385,"HPL"))</f>
        <v/>
      </c>
      <c r="AT2385" s="34" t="str">
        <f aca="false">IF($B2385="","",COUNTIF($F2385:$AJ2385,"HCL"))</f>
        <v/>
      </c>
      <c r="AU2385" s="34" t="str">
        <f aca="false">IF($B2385="","",COUNTIF($F2385:$AJ2385,"WO"))</f>
        <v/>
      </c>
      <c r="AV2385" s="34" t="str">
        <f aca="false">IF($B2385="","",COUNTIF($F2385:$AJ2385,"PH"))</f>
        <v/>
      </c>
      <c r="AW2385" s="34" t="str">
        <f aca="false">IF($B2385="","",COUNTIF($F2385:$AJ2385,"TR"))</f>
        <v/>
      </c>
      <c r="AX2385" s="35" t="str">
        <f aca="false">IF($B2385="","",AO2385+AS2385/2)</f>
        <v/>
      </c>
      <c r="AY2385" s="35" t="str">
        <f aca="false">IF($B2385="","",AQ2385)</f>
        <v/>
      </c>
      <c r="AZ2385" s="35" t="str">
        <f aca="false">IF($B2385="","",AP2385+AT2385/2)</f>
        <v/>
      </c>
      <c r="BA2385" s="35" t="str">
        <f aca="false">IF($B2385="","",AK2385+AN2385+AM2385/2+AO2385+AP2385+AQ2385+AR2385+AS2385+AT2385+AU2385+AV2385+AW2385)</f>
        <v/>
      </c>
      <c r="BB2385" s="35" t="str">
        <f aca="false">IF($B2385="","",MAX(0,AN2385-Settings!$C$16)*Settings!$C$17)</f>
        <v/>
      </c>
      <c r="BC2385" s="35" t="str">
        <f aca="false">IF($B2385="","",BA2385-BB2385)</f>
        <v/>
      </c>
      <c r="BD2385" s="35" t="str">
        <f aca="false">IF(OR($B2385="",$A2385=""),"",DAY(EOMONTH($A2385,0))-COUNTA($F2385:$AJ2385))</f>
        <v/>
      </c>
    </row>
    <row r="2386" customFormat="false" ht="15" hidden="false" customHeight="false" outlineLevel="0" collapsed="false">
      <c r="A2386" s="32"/>
      <c r="B2386" s="29"/>
      <c r="C2386" s="10" t="str">
        <f aca="false">IF($B2386="","",IFERROR(INDEX(M_name,MATCH($B2386,M_emp,0)),"Code not found"))</f>
        <v/>
      </c>
      <c r="D2386" s="10" t="str">
        <f aca="false">IF($B2386="","",IFERROR(INDEX(M_dept,MATCH($B2386,M_emp,0)),""))</f>
        <v/>
      </c>
      <c r="E2386" s="10" t="str">
        <f aca="false">IF($B2386="","",IFERROR(INDEX(M_loc,MATCH($B2386,M_emp,0)),""))</f>
        <v/>
      </c>
      <c r="F2386" s="33"/>
      <c r="G2386" s="33"/>
      <c r="H2386" s="33"/>
      <c r="I2386" s="33"/>
      <c r="J2386" s="33"/>
      <c r="K2386" s="33"/>
      <c r="L2386" s="33"/>
      <c r="M2386" s="33"/>
      <c r="N2386" s="33"/>
      <c r="O2386" s="33"/>
      <c r="P2386" s="33"/>
      <c r="Q2386" s="33"/>
      <c r="R2386" s="33"/>
      <c r="S2386" s="33"/>
      <c r="T2386" s="33"/>
      <c r="U2386" s="33"/>
      <c r="V2386" s="33"/>
      <c r="W2386" s="33"/>
      <c r="X2386" s="33"/>
      <c r="Y2386" s="33"/>
      <c r="Z2386" s="33"/>
      <c r="AA2386" s="33"/>
      <c r="AB2386" s="33"/>
      <c r="AC2386" s="33"/>
      <c r="AD2386" s="33"/>
      <c r="AE2386" s="33"/>
      <c r="AF2386" s="33"/>
      <c r="AG2386" s="33"/>
      <c r="AH2386" s="33"/>
      <c r="AI2386" s="33"/>
      <c r="AJ2386" s="33"/>
      <c r="AK2386" s="34" t="str">
        <f aca="false">IF($B2386="","",COUNTIF($F2386:$AJ2386,"P"))</f>
        <v/>
      </c>
      <c r="AL2386" s="34" t="str">
        <f aca="false">IF($B2386="","",COUNTIF($F2386:$AJ2386,"A"))</f>
        <v/>
      </c>
      <c r="AM2386" s="34" t="str">
        <f aca="false">IF($B2386="","",COUNTIF($F2386:$AJ2386,"HA"))</f>
        <v/>
      </c>
      <c r="AN2386" s="34" t="str">
        <f aca="false">IF($B2386="","",COUNTIF($F2386:$AJ2386,"L"))</f>
        <v/>
      </c>
      <c r="AO2386" s="34" t="str">
        <f aca="false">IF($B2386="","",COUNTIF($F2386:$AJ2386,"PL"))</f>
        <v/>
      </c>
      <c r="AP2386" s="34" t="str">
        <f aca="false">IF($B2386="","",COUNTIF($F2386:$AJ2386,"CL"))</f>
        <v/>
      </c>
      <c r="AQ2386" s="34" t="str">
        <f aca="false">IF($B2386="","",COUNTIF($F2386:$AJ2386,"SL"))</f>
        <v/>
      </c>
      <c r="AR2386" s="34" t="str">
        <f aca="false">IF($B2386="","",COUNTIF($F2386:$AJ2386,"CO"))</f>
        <v/>
      </c>
      <c r="AS2386" s="34" t="str">
        <f aca="false">IF($B2386="","",COUNTIF($F2386:$AJ2386,"HPL"))</f>
        <v/>
      </c>
      <c r="AT2386" s="34" t="str">
        <f aca="false">IF($B2386="","",COUNTIF($F2386:$AJ2386,"HCL"))</f>
        <v/>
      </c>
      <c r="AU2386" s="34" t="str">
        <f aca="false">IF($B2386="","",COUNTIF($F2386:$AJ2386,"WO"))</f>
        <v/>
      </c>
      <c r="AV2386" s="34" t="str">
        <f aca="false">IF($B2386="","",COUNTIF($F2386:$AJ2386,"PH"))</f>
        <v/>
      </c>
      <c r="AW2386" s="34" t="str">
        <f aca="false">IF($B2386="","",COUNTIF($F2386:$AJ2386,"TR"))</f>
        <v/>
      </c>
      <c r="AX2386" s="35" t="str">
        <f aca="false">IF($B2386="","",AO2386+AS2386/2)</f>
        <v/>
      </c>
      <c r="AY2386" s="35" t="str">
        <f aca="false">IF($B2386="","",AQ2386)</f>
        <v/>
      </c>
      <c r="AZ2386" s="35" t="str">
        <f aca="false">IF($B2386="","",AP2386+AT2386/2)</f>
        <v/>
      </c>
      <c r="BA2386" s="35" t="str">
        <f aca="false">IF($B2386="","",AK2386+AN2386+AM2386/2+AO2386+AP2386+AQ2386+AR2386+AS2386+AT2386+AU2386+AV2386+AW2386)</f>
        <v/>
      </c>
      <c r="BB2386" s="35" t="str">
        <f aca="false">IF($B2386="","",MAX(0,AN2386-Settings!$C$16)*Settings!$C$17)</f>
        <v/>
      </c>
      <c r="BC2386" s="35" t="str">
        <f aca="false">IF($B2386="","",BA2386-BB2386)</f>
        <v/>
      </c>
      <c r="BD2386" s="35" t="str">
        <f aca="false">IF(OR($B2386="",$A2386=""),"",DAY(EOMONTH($A2386,0))-COUNTA($F2386:$AJ2386))</f>
        <v/>
      </c>
    </row>
    <row r="2387" customFormat="false" ht="15" hidden="false" customHeight="false" outlineLevel="0" collapsed="false">
      <c r="A2387" s="32"/>
      <c r="B2387" s="29"/>
      <c r="C2387" s="10" t="str">
        <f aca="false">IF($B2387="","",IFERROR(INDEX(M_name,MATCH($B2387,M_emp,0)),"Code not found"))</f>
        <v/>
      </c>
      <c r="D2387" s="10" t="str">
        <f aca="false">IF($B2387="","",IFERROR(INDEX(M_dept,MATCH($B2387,M_emp,0)),""))</f>
        <v/>
      </c>
      <c r="E2387" s="10" t="str">
        <f aca="false">IF($B2387="","",IFERROR(INDEX(M_loc,MATCH($B2387,M_emp,0)),""))</f>
        <v/>
      </c>
      <c r="F2387" s="33"/>
      <c r="G2387" s="33"/>
      <c r="H2387" s="33"/>
      <c r="I2387" s="33"/>
      <c r="J2387" s="33"/>
      <c r="K2387" s="33"/>
      <c r="L2387" s="33"/>
      <c r="M2387" s="33"/>
      <c r="N2387" s="33"/>
      <c r="O2387" s="33"/>
      <c r="P2387" s="33"/>
      <c r="Q2387" s="33"/>
      <c r="R2387" s="33"/>
      <c r="S2387" s="33"/>
      <c r="T2387" s="33"/>
      <c r="U2387" s="33"/>
      <c r="V2387" s="33"/>
      <c r="W2387" s="33"/>
      <c r="X2387" s="33"/>
      <c r="Y2387" s="33"/>
      <c r="Z2387" s="33"/>
      <c r="AA2387" s="33"/>
      <c r="AB2387" s="33"/>
      <c r="AC2387" s="33"/>
      <c r="AD2387" s="33"/>
      <c r="AE2387" s="33"/>
      <c r="AF2387" s="33"/>
      <c r="AG2387" s="33"/>
      <c r="AH2387" s="33"/>
      <c r="AI2387" s="33"/>
      <c r="AJ2387" s="33"/>
      <c r="AK2387" s="34" t="str">
        <f aca="false">IF($B2387="","",COUNTIF($F2387:$AJ2387,"P"))</f>
        <v/>
      </c>
      <c r="AL2387" s="34" t="str">
        <f aca="false">IF($B2387="","",COUNTIF($F2387:$AJ2387,"A"))</f>
        <v/>
      </c>
      <c r="AM2387" s="34" t="str">
        <f aca="false">IF($B2387="","",COUNTIF($F2387:$AJ2387,"HA"))</f>
        <v/>
      </c>
      <c r="AN2387" s="34" t="str">
        <f aca="false">IF($B2387="","",COUNTIF($F2387:$AJ2387,"L"))</f>
        <v/>
      </c>
      <c r="AO2387" s="34" t="str">
        <f aca="false">IF($B2387="","",COUNTIF($F2387:$AJ2387,"PL"))</f>
        <v/>
      </c>
      <c r="AP2387" s="34" t="str">
        <f aca="false">IF($B2387="","",COUNTIF($F2387:$AJ2387,"CL"))</f>
        <v/>
      </c>
      <c r="AQ2387" s="34" t="str">
        <f aca="false">IF($B2387="","",COUNTIF($F2387:$AJ2387,"SL"))</f>
        <v/>
      </c>
      <c r="AR2387" s="34" t="str">
        <f aca="false">IF($B2387="","",COUNTIF($F2387:$AJ2387,"CO"))</f>
        <v/>
      </c>
      <c r="AS2387" s="34" t="str">
        <f aca="false">IF($B2387="","",COUNTIF($F2387:$AJ2387,"HPL"))</f>
        <v/>
      </c>
      <c r="AT2387" s="34" t="str">
        <f aca="false">IF($B2387="","",COUNTIF($F2387:$AJ2387,"HCL"))</f>
        <v/>
      </c>
      <c r="AU2387" s="34" t="str">
        <f aca="false">IF($B2387="","",COUNTIF($F2387:$AJ2387,"WO"))</f>
        <v/>
      </c>
      <c r="AV2387" s="34" t="str">
        <f aca="false">IF($B2387="","",COUNTIF($F2387:$AJ2387,"PH"))</f>
        <v/>
      </c>
      <c r="AW2387" s="34" t="str">
        <f aca="false">IF($B2387="","",COUNTIF($F2387:$AJ2387,"TR"))</f>
        <v/>
      </c>
      <c r="AX2387" s="35" t="str">
        <f aca="false">IF($B2387="","",AO2387+AS2387/2)</f>
        <v/>
      </c>
      <c r="AY2387" s="35" t="str">
        <f aca="false">IF($B2387="","",AQ2387)</f>
        <v/>
      </c>
      <c r="AZ2387" s="35" t="str">
        <f aca="false">IF($B2387="","",AP2387+AT2387/2)</f>
        <v/>
      </c>
      <c r="BA2387" s="35" t="str">
        <f aca="false">IF($B2387="","",AK2387+AN2387+AM2387/2+AO2387+AP2387+AQ2387+AR2387+AS2387+AT2387+AU2387+AV2387+AW2387)</f>
        <v/>
      </c>
      <c r="BB2387" s="35" t="str">
        <f aca="false">IF($B2387="","",MAX(0,AN2387-Settings!$C$16)*Settings!$C$17)</f>
        <v/>
      </c>
      <c r="BC2387" s="35" t="str">
        <f aca="false">IF($B2387="","",BA2387-BB2387)</f>
        <v/>
      </c>
      <c r="BD2387" s="35" t="str">
        <f aca="false">IF(OR($B2387="",$A2387=""),"",DAY(EOMONTH($A2387,0))-COUNTA($F2387:$AJ2387))</f>
        <v/>
      </c>
    </row>
    <row r="2388" customFormat="false" ht="15" hidden="false" customHeight="false" outlineLevel="0" collapsed="false">
      <c r="A2388" s="32"/>
      <c r="B2388" s="29"/>
      <c r="C2388" s="10" t="str">
        <f aca="false">IF($B2388="","",IFERROR(INDEX(M_name,MATCH($B2388,M_emp,0)),"Code not found"))</f>
        <v/>
      </c>
      <c r="D2388" s="10" t="str">
        <f aca="false">IF($B2388="","",IFERROR(INDEX(M_dept,MATCH($B2388,M_emp,0)),""))</f>
        <v/>
      </c>
      <c r="E2388" s="10" t="str">
        <f aca="false">IF($B2388="","",IFERROR(INDEX(M_loc,MATCH($B2388,M_emp,0)),""))</f>
        <v/>
      </c>
      <c r="F2388" s="33"/>
      <c r="G2388" s="33"/>
      <c r="H2388" s="33"/>
      <c r="I2388" s="33"/>
      <c r="J2388" s="33"/>
      <c r="K2388" s="33"/>
      <c r="L2388" s="33"/>
      <c r="M2388" s="33"/>
      <c r="N2388" s="33"/>
      <c r="O2388" s="33"/>
      <c r="P2388" s="33"/>
      <c r="Q2388" s="33"/>
      <c r="R2388" s="33"/>
      <c r="S2388" s="33"/>
      <c r="T2388" s="33"/>
      <c r="U2388" s="33"/>
      <c r="V2388" s="33"/>
      <c r="W2388" s="33"/>
      <c r="X2388" s="33"/>
      <c r="Y2388" s="33"/>
      <c r="Z2388" s="33"/>
      <c r="AA2388" s="33"/>
      <c r="AB2388" s="33"/>
      <c r="AC2388" s="33"/>
      <c r="AD2388" s="33"/>
      <c r="AE2388" s="33"/>
      <c r="AF2388" s="33"/>
      <c r="AG2388" s="33"/>
      <c r="AH2388" s="33"/>
      <c r="AI2388" s="33"/>
      <c r="AJ2388" s="33"/>
      <c r="AK2388" s="34" t="str">
        <f aca="false">IF($B2388="","",COUNTIF($F2388:$AJ2388,"P"))</f>
        <v/>
      </c>
      <c r="AL2388" s="34" t="str">
        <f aca="false">IF($B2388="","",COUNTIF($F2388:$AJ2388,"A"))</f>
        <v/>
      </c>
      <c r="AM2388" s="34" t="str">
        <f aca="false">IF($B2388="","",COUNTIF($F2388:$AJ2388,"HA"))</f>
        <v/>
      </c>
      <c r="AN2388" s="34" t="str">
        <f aca="false">IF($B2388="","",COUNTIF($F2388:$AJ2388,"L"))</f>
        <v/>
      </c>
      <c r="AO2388" s="34" t="str">
        <f aca="false">IF($B2388="","",COUNTIF($F2388:$AJ2388,"PL"))</f>
        <v/>
      </c>
      <c r="AP2388" s="34" t="str">
        <f aca="false">IF($B2388="","",COUNTIF($F2388:$AJ2388,"CL"))</f>
        <v/>
      </c>
      <c r="AQ2388" s="34" t="str">
        <f aca="false">IF($B2388="","",COUNTIF($F2388:$AJ2388,"SL"))</f>
        <v/>
      </c>
      <c r="AR2388" s="34" t="str">
        <f aca="false">IF($B2388="","",COUNTIF($F2388:$AJ2388,"CO"))</f>
        <v/>
      </c>
      <c r="AS2388" s="34" t="str">
        <f aca="false">IF($B2388="","",COUNTIF($F2388:$AJ2388,"HPL"))</f>
        <v/>
      </c>
      <c r="AT2388" s="34" t="str">
        <f aca="false">IF($B2388="","",COUNTIF($F2388:$AJ2388,"HCL"))</f>
        <v/>
      </c>
      <c r="AU2388" s="34" t="str">
        <f aca="false">IF($B2388="","",COUNTIF($F2388:$AJ2388,"WO"))</f>
        <v/>
      </c>
      <c r="AV2388" s="34" t="str">
        <f aca="false">IF($B2388="","",COUNTIF($F2388:$AJ2388,"PH"))</f>
        <v/>
      </c>
      <c r="AW2388" s="34" t="str">
        <f aca="false">IF($B2388="","",COUNTIF($F2388:$AJ2388,"TR"))</f>
        <v/>
      </c>
      <c r="AX2388" s="35" t="str">
        <f aca="false">IF($B2388="","",AO2388+AS2388/2)</f>
        <v/>
      </c>
      <c r="AY2388" s="35" t="str">
        <f aca="false">IF($B2388="","",AQ2388)</f>
        <v/>
      </c>
      <c r="AZ2388" s="35" t="str">
        <f aca="false">IF($B2388="","",AP2388+AT2388/2)</f>
        <v/>
      </c>
      <c r="BA2388" s="35" t="str">
        <f aca="false">IF($B2388="","",AK2388+AN2388+AM2388/2+AO2388+AP2388+AQ2388+AR2388+AS2388+AT2388+AU2388+AV2388+AW2388)</f>
        <v/>
      </c>
      <c r="BB2388" s="35" t="str">
        <f aca="false">IF($B2388="","",MAX(0,AN2388-Settings!$C$16)*Settings!$C$17)</f>
        <v/>
      </c>
      <c r="BC2388" s="35" t="str">
        <f aca="false">IF($B2388="","",BA2388-BB2388)</f>
        <v/>
      </c>
      <c r="BD2388" s="35" t="str">
        <f aca="false">IF(OR($B2388="",$A2388=""),"",DAY(EOMONTH($A2388,0))-COUNTA($F2388:$AJ2388))</f>
        <v/>
      </c>
    </row>
    <row r="2389" customFormat="false" ht="15" hidden="false" customHeight="false" outlineLevel="0" collapsed="false">
      <c r="A2389" s="32"/>
      <c r="B2389" s="29"/>
      <c r="C2389" s="10" t="str">
        <f aca="false">IF($B2389="","",IFERROR(INDEX(M_name,MATCH($B2389,M_emp,0)),"Code not found"))</f>
        <v/>
      </c>
      <c r="D2389" s="10" t="str">
        <f aca="false">IF($B2389="","",IFERROR(INDEX(M_dept,MATCH($B2389,M_emp,0)),""))</f>
        <v/>
      </c>
      <c r="E2389" s="10" t="str">
        <f aca="false">IF($B2389="","",IFERROR(INDEX(M_loc,MATCH($B2389,M_emp,0)),""))</f>
        <v/>
      </c>
      <c r="F2389" s="33"/>
      <c r="G2389" s="33"/>
      <c r="H2389" s="33"/>
      <c r="I2389" s="33"/>
      <c r="J2389" s="33"/>
      <c r="K2389" s="33"/>
      <c r="L2389" s="33"/>
      <c r="M2389" s="33"/>
      <c r="N2389" s="33"/>
      <c r="O2389" s="33"/>
      <c r="P2389" s="33"/>
      <c r="Q2389" s="33"/>
      <c r="R2389" s="33"/>
      <c r="S2389" s="33"/>
      <c r="T2389" s="33"/>
      <c r="U2389" s="33"/>
      <c r="V2389" s="33"/>
      <c r="W2389" s="33"/>
      <c r="X2389" s="33"/>
      <c r="Y2389" s="33"/>
      <c r="Z2389" s="33"/>
      <c r="AA2389" s="33"/>
      <c r="AB2389" s="33"/>
      <c r="AC2389" s="33"/>
      <c r="AD2389" s="33"/>
      <c r="AE2389" s="33"/>
      <c r="AF2389" s="33"/>
      <c r="AG2389" s="33"/>
      <c r="AH2389" s="33"/>
      <c r="AI2389" s="33"/>
      <c r="AJ2389" s="33"/>
      <c r="AK2389" s="34" t="str">
        <f aca="false">IF($B2389="","",COUNTIF($F2389:$AJ2389,"P"))</f>
        <v/>
      </c>
      <c r="AL2389" s="34" t="str">
        <f aca="false">IF($B2389="","",COUNTIF($F2389:$AJ2389,"A"))</f>
        <v/>
      </c>
      <c r="AM2389" s="34" t="str">
        <f aca="false">IF($B2389="","",COUNTIF($F2389:$AJ2389,"HA"))</f>
        <v/>
      </c>
      <c r="AN2389" s="34" t="str">
        <f aca="false">IF($B2389="","",COUNTIF($F2389:$AJ2389,"L"))</f>
        <v/>
      </c>
      <c r="AO2389" s="34" t="str">
        <f aca="false">IF($B2389="","",COUNTIF($F2389:$AJ2389,"PL"))</f>
        <v/>
      </c>
      <c r="AP2389" s="34" t="str">
        <f aca="false">IF($B2389="","",COUNTIF($F2389:$AJ2389,"CL"))</f>
        <v/>
      </c>
      <c r="AQ2389" s="34" t="str">
        <f aca="false">IF($B2389="","",COUNTIF($F2389:$AJ2389,"SL"))</f>
        <v/>
      </c>
      <c r="AR2389" s="34" t="str">
        <f aca="false">IF($B2389="","",COUNTIF($F2389:$AJ2389,"CO"))</f>
        <v/>
      </c>
      <c r="AS2389" s="34" t="str">
        <f aca="false">IF($B2389="","",COUNTIF($F2389:$AJ2389,"HPL"))</f>
        <v/>
      </c>
      <c r="AT2389" s="34" t="str">
        <f aca="false">IF($B2389="","",COUNTIF($F2389:$AJ2389,"HCL"))</f>
        <v/>
      </c>
      <c r="AU2389" s="34" t="str">
        <f aca="false">IF($B2389="","",COUNTIF($F2389:$AJ2389,"WO"))</f>
        <v/>
      </c>
      <c r="AV2389" s="34" t="str">
        <f aca="false">IF($B2389="","",COUNTIF($F2389:$AJ2389,"PH"))</f>
        <v/>
      </c>
      <c r="AW2389" s="34" t="str">
        <f aca="false">IF($B2389="","",COUNTIF($F2389:$AJ2389,"TR"))</f>
        <v/>
      </c>
      <c r="AX2389" s="35" t="str">
        <f aca="false">IF($B2389="","",AO2389+AS2389/2)</f>
        <v/>
      </c>
      <c r="AY2389" s="35" t="str">
        <f aca="false">IF($B2389="","",AQ2389)</f>
        <v/>
      </c>
      <c r="AZ2389" s="35" t="str">
        <f aca="false">IF($B2389="","",AP2389+AT2389/2)</f>
        <v/>
      </c>
      <c r="BA2389" s="35" t="str">
        <f aca="false">IF($B2389="","",AK2389+AN2389+AM2389/2+AO2389+AP2389+AQ2389+AR2389+AS2389+AT2389+AU2389+AV2389+AW2389)</f>
        <v/>
      </c>
      <c r="BB2389" s="35" t="str">
        <f aca="false">IF($B2389="","",MAX(0,AN2389-Settings!$C$16)*Settings!$C$17)</f>
        <v/>
      </c>
      <c r="BC2389" s="35" t="str">
        <f aca="false">IF($B2389="","",BA2389-BB2389)</f>
        <v/>
      </c>
      <c r="BD2389" s="35" t="str">
        <f aca="false">IF(OR($B2389="",$A2389=""),"",DAY(EOMONTH($A2389,0))-COUNTA($F2389:$AJ2389))</f>
        <v/>
      </c>
    </row>
    <row r="2390" customFormat="false" ht="15" hidden="false" customHeight="false" outlineLevel="0" collapsed="false">
      <c r="A2390" s="32"/>
      <c r="B2390" s="29"/>
      <c r="C2390" s="10" t="str">
        <f aca="false">IF($B2390="","",IFERROR(INDEX(M_name,MATCH($B2390,M_emp,0)),"Code not found"))</f>
        <v/>
      </c>
      <c r="D2390" s="10" t="str">
        <f aca="false">IF($B2390="","",IFERROR(INDEX(M_dept,MATCH($B2390,M_emp,0)),""))</f>
        <v/>
      </c>
      <c r="E2390" s="10" t="str">
        <f aca="false">IF($B2390="","",IFERROR(INDEX(M_loc,MATCH($B2390,M_emp,0)),""))</f>
        <v/>
      </c>
      <c r="F2390" s="33"/>
      <c r="G2390" s="33"/>
      <c r="H2390" s="33"/>
      <c r="I2390" s="33"/>
      <c r="J2390" s="33"/>
      <c r="K2390" s="33"/>
      <c r="L2390" s="33"/>
      <c r="M2390" s="33"/>
      <c r="N2390" s="33"/>
      <c r="O2390" s="33"/>
      <c r="P2390" s="33"/>
      <c r="Q2390" s="33"/>
      <c r="R2390" s="33"/>
      <c r="S2390" s="33"/>
      <c r="T2390" s="33"/>
      <c r="U2390" s="33"/>
      <c r="V2390" s="33"/>
      <c r="W2390" s="33"/>
      <c r="X2390" s="33"/>
      <c r="Y2390" s="33"/>
      <c r="Z2390" s="33"/>
      <c r="AA2390" s="33"/>
      <c r="AB2390" s="33"/>
      <c r="AC2390" s="33"/>
      <c r="AD2390" s="33"/>
      <c r="AE2390" s="33"/>
      <c r="AF2390" s="33"/>
      <c r="AG2390" s="33"/>
      <c r="AH2390" s="33"/>
      <c r="AI2390" s="33"/>
      <c r="AJ2390" s="33"/>
      <c r="AK2390" s="34" t="str">
        <f aca="false">IF($B2390="","",COUNTIF($F2390:$AJ2390,"P"))</f>
        <v/>
      </c>
      <c r="AL2390" s="34" t="str">
        <f aca="false">IF($B2390="","",COUNTIF($F2390:$AJ2390,"A"))</f>
        <v/>
      </c>
      <c r="AM2390" s="34" t="str">
        <f aca="false">IF($B2390="","",COUNTIF($F2390:$AJ2390,"HA"))</f>
        <v/>
      </c>
      <c r="AN2390" s="34" t="str">
        <f aca="false">IF($B2390="","",COUNTIF($F2390:$AJ2390,"L"))</f>
        <v/>
      </c>
      <c r="AO2390" s="34" t="str">
        <f aca="false">IF($B2390="","",COUNTIF($F2390:$AJ2390,"PL"))</f>
        <v/>
      </c>
      <c r="AP2390" s="34" t="str">
        <f aca="false">IF($B2390="","",COUNTIF($F2390:$AJ2390,"CL"))</f>
        <v/>
      </c>
      <c r="AQ2390" s="34" t="str">
        <f aca="false">IF($B2390="","",COUNTIF($F2390:$AJ2390,"SL"))</f>
        <v/>
      </c>
      <c r="AR2390" s="34" t="str">
        <f aca="false">IF($B2390="","",COUNTIF($F2390:$AJ2390,"CO"))</f>
        <v/>
      </c>
      <c r="AS2390" s="34" t="str">
        <f aca="false">IF($B2390="","",COUNTIF($F2390:$AJ2390,"HPL"))</f>
        <v/>
      </c>
      <c r="AT2390" s="34" t="str">
        <f aca="false">IF($B2390="","",COUNTIF($F2390:$AJ2390,"HCL"))</f>
        <v/>
      </c>
      <c r="AU2390" s="34" t="str">
        <f aca="false">IF($B2390="","",COUNTIF($F2390:$AJ2390,"WO"))</f>
        <v/>
      </c>
      <c r="AV2390" s="34" t="str">
        <f aca="false">IF($B2390="","",COUNTIF($F2390:$AJ2390,"PH"))</f>
        <v/>
      </c>
      <c r="AW2390" s="34" t="str">
        <f aca="false">IF($B2390="","",COUNTIF($F2390:$AJ2390,"TR"))</f>
        <v/>
      </c>
      <c r="AX2390" s="35" t="str">
        <f aca="false">IF($B2390="","",AO2390+AS2390/2)</f>
        <v/>
      </c>
      <c r="AY2390" s="35" t="str">
        <f aca="false">IF($B2390="","",AQ2390)</f>
        <v/>
      </c>
      <c r="AZ2390" s="35" t="str">
        <f aca="false">IF($B2390="","",AP2390+AT2390/2)</f>
        <v/>
      </c>
      <c r="BA2390" s="35" t="str">
        <f aca="false">IF($B2390="","",AK2390+AN2390+AM2390/2+AO2390+AP2390+AQ2390+AR2390+AS2390+AT2390+AU2390+AV2390+AW2390)</f>
        <v/>
      </c>
      <c r="BB2390" s="35" t="str">
        <f aca="false">IF($B2390="","",MAX(0,AN2390-Settings!$C$16)*Settings!$C$17)</f>
        <v/>
      </c>
      <c r="BC2390" s="35" t="str">
        <f aca="false">IF($B2390="","",BA2390-BB2390)</f>
        <v/>
      </c>
      <c r="BD2390" s="35" t="str">
        <f aca="false">IF(OR($B2390="",$A2390=""),"",DAY(EOMONTH($A2390,0))-COUNTA($F2390:$AJ2390))</f>
        <v/>
      </c>
    </row>
    <row r="2391" customFormat="false" ht="15" hidden="false" customHeight="false" outlineLevel="0" collapsed="false">
      <c r="A2391" s="32"/>
      <c r="B2391" s="29"/>
      <c r="C2391" s="10" t="str">
        <f aca="false">IF($B2391="","",IFERROR(INDEX(M_name,MATCH($B2391,M_emp,0)),"Code not found"))</f>
        <v/>
      </c>
      <c r="D2391" s="10" t="str">
        <f aca="false">IF($B2391="","",IFERROR(INDEX(M_dept,MATCH($B2391,M_emp,0)),""))</f>
        <v/>
      </c>
      <c r="E2391" s="10" t="str">
        <f aca="false">IF($B2391="","",IFERROR(INDEX(M_loc,MATCH($B2391,M_emp,0)),""))</f>
        <v/>
      </c>
      <c r="F2391" s="33"/>
      <c r="G2391" s="33"/>
      <c r="H2391" s="33"/>
      <c r="I2391" s="33"/>
      <c r="J2391" s="33"/>
      <c r="K2391" s="33"/>
      <c r="L2391" s="33"/>
      <c r="M2391" s="33"/>
      <c r="N2391" s="33"/>
      <c r="O2391" s="33"/>
      <c r="P2391" s="33"/>
      <c r="Q2391" s="33"/>
      <c r="R2391" s="33"/>
      <c r="S2391" s="33"/>
      <c r="T2391" s="33"/>
      <c r="U2391" s="33"/>
      <c r="V2391" s="33"/>
      <c r="W2391" s="33"/>
      <c r="X2391" s="33"/>
      <c r="Y2391" s="33"/>
      <c r="Z2391" s="33"/>
      <c r="AA2391" s="33"/>
      <c r="AB2391" s="33"/>
      <c r="AC2391" s="33"/>
      <c r="AD2391" s="33"/>
      <c r="AE2391" s="33"/>
      <c r="AF2391" s="33"/>
      <c r="AG2391" s="33"/>
      <c r="AH2391" s="33"/>
      <c r="AI2391" s="33"/>
      <c r="AJ2391" s="33"/>
      <c r="AK2391" s="34" t="str">
        <f aca="false">IF($B2391="","",COUNTIF($F2391:$AJ2391,"P"))</f>
        <v/>
      </c>
      <c r="AL2391" s="34" t="str">
        <f aca="false">IF($B2391="","",COUNTIF($F2391:$AJ2391,"A"))</f>
        <v/>
      </c>
      <c r="AM2391" s="34" t="str">
        <f aca="false">IF($B2391="","",COUNTIF($F2391:$AJ2391,"HA"))</f>
        <v/>
      </c>
      <c r="AN2391" s="34" t="str">
        <f aca="false">IF($B2391="","",COUNTIF($F2391:$AJ2391,"L"))</f>
        <v/>
      </c>
      <c r="AO2391" s="34" t="str">
        <f aca="false">IF($B2391="","",COUNTIF($F2391:$AJ2391,"PL"))</f>
        <v/>
      </c>
      <c r="AP2391" s="34" t="str">
        <f aca="false">IF($B2391="","",COUNTIF($F2391:$AJ2391,"CL"))</f>
        <v/>
      </c>
      <c r="AQ2391" s="34" t="str">
        <f aca="false">IF($B2391="","",COUNTIF($F2391:$AJ2391,"SL"))</f>
        <v/>
      </c>
      <c r="AR2391" s="34" t="str">
        <f aca="false">IF($B2391="","",COUNTIF($F2391:$AJ2391,"CO"))</f>
        <v/>
      </c>
      <c r="AS2391" s="34" t="str">
        <f aca="false">IF($B2391="","",COUNTIF($F2391:$AJ2391,"HPL"))</f>
        <v/>
      </c>
      <c r="AT2391" s="34" t="str">
        <f aca="false">IF($B2391="","",COUNTIF($F2391:$AJ2391,"HCL"))</f>
        <v/>
      </c>
      <c r="AU2391" s="34" t="str">
        <f aca="false">IF($B2391="","",COUNTIF($F2391:$AJ2391,"WO"))</f>
        <v/>
      </c>
      <c r="AV2391" s="34" t="str">
        <f aca="false">IF($B2391="","",COUNTIF($F2391:$AJ2391,"PH"))</f>
        <v/>
      </c>
      <c r="AW2391" s="34" t="str">
        <f aca="false">IF($B2391="","",COUNTIF($F2391:$AJ2391,"TR"))</f>
        <v/>
      </c>
      <c r="AX2391" s="35" t="str">
        <f aca="false">IF($B2391="","",AO2391+AS2391/2)</f>
        <v/>
      </c>
      <c r="AY2391" s="35" t="str">
        <f aca="false">IF($B2391="","",AQ2391)</f>
        <v/>
      </c>
      <c r="AZ2391" s="35" t="str">
        <f aca="false">IF($B2391="","",AP2391+AT2391/2)</f>
        <v/>
      </c>
      <c r="BA2391" s="35" t="str">
        <f aca="false">IF($B2391="","",AK2391+AN2391+AM2391/2+AO2391+AP2391+AQ2391+AR2391+AS2391+AT2391+AU2391+AV2391+AW2391)</f>
        <v/>
      </c>
      <c r="BB2391" s="35" t="str">
        <f aca="false">IF($B2391="","",MAX(0,AN2391-Settings!$C$16)*Settings!$C$17)</f>
        <v/>
      </c>
      <c r="BC2391" s="35" t="str">
        <f aca="false">IF($B2391="","",BA2391-BB2391)</f>
        <v/>
      </c>
      <c r="BD2391" s="35" t="str">
        <f aca="false">IF(OR($B2391="",$A2391=""),"",DAY(EOMONTH($A2391,0))-COUNTA($F2391:$AJ2391))</f>
        <v/>
      </c>
    </row>
    <row r="2392" customFormat="false" ht="15" hidden="false" customHeight="false" outlineLevel="0" collapsed="false">
      <c r="A2392" s="32"/>
      <c r="B2392" s="29"/>
      <c r="C2392" s="10" t="str">
        <f aca="false">IF($B2392="","",IFERROR(INDEX(M_name,MATCH($B2392,M_emp,0)),"Code not found"))</f>
        <v/>
      </c>
      <c r="D2392" s="10" t="str">
        <f aca="false">IF($B2392="","",IFERROR(INDEX(M_dept,MATCH($B2392,M_emp,0)),""))</f>
        <v/>
      </c>
      <c r="E2392" s="10" t="str">
        <f aca="false">IF($B2392="","",IFERROR(INDEX(M_loc,MATCH($B2392,M_emp,0)),""))</f>
        <v/>
      </c>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c r="AB2392" s="33"/>
      <c r="AC2392" s="33"/>
      <c r="AD2392" s="33"/>
      <c r="AE2392" s="33"/>
      <c r="AF2392" s="33"/>
      <c r="AG2392" s="33"/>
      <c r="AH2392" s="33"/>
      <c r="AI2392" s="33"/>
      <c r="AJ2392" s="33"/>
      <c r="AK2392" s="34" t="str">
        <f aca="false">IF($B2392="","",COUNTIF($F2392:$AJ2392,"P"))</f>
        <v/>
      </c>
      <c r="AL2392" s="34" t="str">
        <f aca="false">IF($B2392="","",COUNTIF($F2392:$AJ2392,"A"))</f>
        <v/>
      </c>
      <c r="AM2392" s="34" t="str">
        <f aca="false">IF($B2392="","",COUNTIF($F2392:$AJ2392,"HA"))</f>
        <v/>
      </c>
      <c r="AN2392" s="34" t="str">
        <f aca="false">IF($B2392="","",COUNTIF($F2392:$AJ2392,"L"))</f>
        <v/>
      </c>
      <c r="AO2392" s="34" t="str">
        <f aca="false">IF($B2392="","",COUNTIF($F2392:$AJ2392,"PL"))</f>
        <v/>
      </c>
      <c r="AP2392" s="34" t="str">
        <f aca="false">IF($B2392="","",COUNTIF($F2392:$AJ2392,"CL"))</f>
        <v/>
      </c>
      <c r="AQ2392" s="34" t="str">
        <f aca="false">IF($B2392="","",COUNTIF($F2392:$AJ2392,"SL"))</f>
        <v/>
      </c>
      <c r="AR2392" s="34" t="str">
        <f aca="false">IF($B2392="","",COUNTIF($F2392:$AJ2392,"CO"))</f>
        <v/>
      </c>
      <c r="AS2392" s="34" t="str">
        <f aca="false">IF($B2392="","",COUNTIF($F2392:$AJ2392,"HPL"))</f>
        <v/>
      </c>
      <c r="AT2392" s="34" t="str">
        <f aca="false">IF($B2392="","",COUNTIF($F2392:$AJ2392,"HCL"))</f>
        <v/>
      </c>
      <c r="AU2392" s="34" t="str">
        <f aca="false">IF($B2392="","",COUNTIF($F2392:$AJ2392,"WO"))</f>
        <v/>
      </c>
      <c r="AV2392" s="34" t="str">
        <f aca="false">IF($B2392="","",COUNTIF($F2392:$AJ2392,"PH"))</f>
        <v/>
      </c>
      <c r="AW2392" s="34" t="str">
        <f aca="false">IF($B2392="","",COUNTIF($F2392:$AJ2392,"TR"))</f>
        <v/>
      </c>
      <c r="AX2392" s="35" t="str">
        <f aca="false">IF($B2392="","",AO2392+AS2392/2)</f>
        <v/>
      </c>
      <c r="AY2392" s="35" t="str">
        <f aca="false">IF($B2392="","",AQ2392)</f>
        <v/>
      </c>
      <c r="AZ2392" s="35" t="str">
        <f aca="false">IF($B2392="","",AP2392+AT2392/2)</f>
        <v/>
      </c>
      <c r="BA2392" s="35" t="str">
        <f aca="false">IF($B2392="","",AK2392+AN2392+AM2392/2+AO2392+AP2392+AQ2392+AR2392+AS2392+AT2392+AU2392+AV2392+AW2392)</f>
        <v/>
      </c>
      <c r="BB2392" s="35" t="str">
        <f aca="false">IF($B2392="","",MAX(0,AN2392-Settings!$C$16)*Settings!$C$17)</f>
        <v/>
      </c>
      <c r="BC2392" s="35" t="str">
        <f aca="false">IF($B2392="","",BA2392-BB2392)</f>
        <v/>
      </c>
      <c r="BD2392" s="35" t="str">
        <f aca="false">IF(OR($B2392="",$A2392=""),"",DAY(EOMONTH($A2392,0))-COUNTA($F2392:$AJ2392))</f>
        <v/>
      </c>
    </row>
    <row r="2393" customFormat="false" ht="15" hidden="false" customHeight="false" outlineLevel="0" collapsed="false">
      <c r="A2393" s="32"/>
      <c r="B2393" s="29"/>
      <c r="C2393" s="10" t="str">
        <f aca="false">IF($B2393="","",IFERROR(INDEX(M_name,MATCH($B2393,M_emp,0)),"Code not found"))</f>
        <v/>
      </c>
      <c r="D2393" s="10" t="str">
        <f aca="false">IF($B2393="","",IFERROR(INDEX(M_dept,MATCH($B2393,M_emp,0)),""))</f>
        <v/>
      </c>
      <c r="E2393" s="10" t="str">
        <f aca="false">IF($B2393="","",IFERROR(INDEX(M_loc,MATCH($B2393,M_emp,0)),""))</f>
        <v/>
      </c>
      <c r="F2393" s="33"/>
      <c r="G2393" s="33"/>
      <c r="H2393" s="33"/>
      <c r="I2393" s="33"/>
      <c r="J2393" s="33"/>
      <c r="K2393" s="33"/>
      <c r="L2393" s="33"/>
      <c r="M2393" s="33"/>
      <c r="N2393" s="33"/>
      <c r="O2393" s="33"/>
      <c r="P2393" s="33"/>
      <c r="Q2393" s="33"/>
      <c r="R2393" s="33"/>
      <c r="S2393" s="33"/>
      <c r="T2393" s="33"/>
      <c r="U2393" s="33"/>
      <c r="V2393" s="33"/>
      <c r="W2393" s="33"/>
      <c r="X2393" s="33"/>
      <c r="Y2393" s="33"/>
      <c r="Z2393" s="33"/>
      <c r="AA2393" s="33"/>
      <c r="AB2393" s="33"/>
      <c r="AC2393" s="33"/>
      <c r="AD2393" s="33"/>
      <c r="AE2393" s="33"/>
      <c r="AF2393" s="33"/>
      <c r="AG2393" s="33"/>
      <c r="AH2393" s="33"/>
      <c r="AI2393" s="33"/>
      <c r="AJ2393" s="33"/>
      <c r="AK2393" s="34" t="str">
        <f aca="false">IF($B2393="","",COUNTIF($F2393:$AJ2393,"P"))</f>
        <v/>
      </c>
      <c r="AL2393" s="34" t="str">
        <f aca="false">IF($B2393="","",COUNTIF($F2393:$AJ2393,"A"))</f>
        <v/>
      </c>
      <c r="AM2393" s="34" t="str">
        <f aca="false">IF($B2393="","",COUNTIF($F2393:$AJ2393,"HA"))</f>
        <v/>
      </c>
      <c r="AN2393" s="34" t="str">
        <f aca="false">IF($B2393="","",COUNTIF($F2393:$AJ2393,"L"))</f>
        <v/>
      </c>
      <c r="AO2393" s="34" t="str">
        <f aca="false">IF($B2393="","",COUNTIF($F2393:$AJ2393,"PL"))</f>
        <v/>
      </c>
      <c r="AP2393" s="34" t="str">
        <f aca="false">IF($B2393="","",COUNTIF($F2393:$AJ2393,"CL"))</f>
        <v/>
      </c>
      <c r="AQ2393" s="34" t="str">
        <f aca="false">IF($B2393="","",COUNTIF($F2393:$AJ2393,"SL"))</f>
        <v/>
      </c>
      <c r="AR2393" s="34" t="str">
        <f aca="false">IF($B2393="","",COUNTIF($F2393:$AJ2393,"CO"))</f>
        <v/>
      </c>
      <c r="AS2393" s="34" t="str">
        <f aca="false">IF($B2393="","",COUNTIF($F2393:$AJ2393,"HPL"))</f>
        <v/>
      </c>
      <c r="AT2393" s="34" t="str">
        <f aca="false">IF($B2393="","",COUNTIF($F2393:$AJ2393,"HCL"))</f>
        <v/>
      </c>
      <c r="AU2393" s="34" t="str">
        <f aca="false">IF($B2393="","",COUNTIF($F2393:$AJ2393,"WO"))</f>
        <v/>
      </c>
      <c r="AV2393" s="34" t="str">
        <f aca="false">IF($B2393="","",COUNTIF($F2393:$AJ2393,"PH"))</f>
        <v/>
      </c>
      <c r="AW2393" s="34" t="str">
        <f aca="false">IF($B2393="","",COUNTIF($F2393:$AJ2393,"TR"))</f>
        <v/>
      </c>
      <c r="AX2393" s="35" t="str">
        <f aca="false">IF($B2393="","",AO2393+AS2393/2)</f>
        <v/>
      </c>
      <c r="AY2393" s="35" t="str">
        <f aca="false">IF($B2393="","",AQ2393)</f>
        <v/>
      </c>
      <c r="AZ2393" s="35" t="str">
        <f aca="false">IF($B2393="","",AP2393+AT2393/2)</f>
        <v/>
      </c>
      <c r="BA2393" s="35" t="str">
        <f aca="false">IF($B2393="","",AK2393+AN2393+AM2393/2+AO2393+AP2393+AQ2393+AR2393+AS2393+AT2393+AU2393+AV2393+AW2393)</f>
        <v/>
      </c>
      <c r="BB2393" s="35" t="str">
        <f aca="false">IF($B2393="","",MAX(0,AN2393-Settings!$C$16)*Settings!$C$17)</f>
        <v/>
      </c>
      <c r="BC2393" s="35" t="str">
        <f aca="false">IF($B2393="","",BA2393-BB2393)</f>
        <v/>
      </c>
      <c r="BD2393" s="35" t="str">
        <f aca="false">IF(OR($B2393="",$A2393=""),"",DAY(EOMONTH($A2393,0))-COUNTA($F2393:$AJ2393))</f>
        <v/>
      </c>
    </row>
    <row r="2394" customFormat="false" ht="15" hidden="false" customHeight="false" outlineLevel="0" collapsed="false">
      <c r="A2394" s="32"/>
      <c r="B2394" s="29"/>
      <c r="C2394" s="10" t="str">
        <f aca="false">IF($B2394="","",IFERROR(INDEX(M_name,MATCH($B2394,M_emp,0)),"Code not found"))</f>
        <v/>
      </c>
      <c r="D2394" s="10" t="str">
        <f aca="false">IF($B2394="","",IFERROR(INDEX(M_dept,MATCH($B2394,M_emp,0)),""))</f>
        <v/>
      </c>
      <c r="E2394" s="10" t="str">
        <f aca="false">IF($B2394="","",IFERROR(INDEX(M_loc,MATCH($B2394,M_emp,0)),""))</f>
        <v/>
      </c>
      <c r="F2394" s="33"/>
      <c r="G2394" s="33"/>
      <c r="H2394" s="33"/>
      <c r="I2394" s="33"/>
      <c r="J2394" s="33"/>
      <c r="K2394" s="33"/>
      <c r="L2394" s="33"/>
      <c r="M2394" s="33"/>
      <c r="N2394" s="33"/>
      <c r="O2394" s="33"/>
      <c r="P2394" s="33"/>
      <c r="Q2394" s="33"/>
      <c r="R2394" s="33"/>
      <c r="S2394" s="33"/>
      <c r="T2394" s="33"/>
      <c r="U2394" s="33"/>
      <c r="V2394" s="33"/>
      <c r="W2394" s="33"/>
      <c r="X2394" s="33"/>
      <c r="Y2394" s="33"/>
      <c r="Z2394" s="33"/>
      <c r="AA2394" s="33"/>
      <c r="AB2394" s="33"/>
      <c r="AC2394" s="33"/>
      <c r="AD2394" s="33"/>
      <c r="AE2394" s="33"/>
      <c r="AF2394" s="33"/>
      <c r="AG2394" s="33"/>
      <c r="AH2394" s="33"/>
      <c r="AI2394" s="33"/>
      <c r="AJ2394" s="33"/>
      <c r="AK2394" s="34" t="str">
        <f aca="false">IF($B2394="","",COUNTIF($F2394:$AJ2394,"P"))</f>
        <v/>
      </c>
      <c r="AL2394" s="34" t="str">
        <f aca="false">IF($B2394="","",COUNTIF($F2394:$AJ2394,"A"))</f>
        <v/>
      </c>
      <c r="AM2394" s="34" t="str">
        <f aca="false">IF($B2394="","",COUNTIF($F2394:$AJ2394,"HA"))</f>
        <v/>
      </c>
      <c r="AN2394" s="34" t="str">
        <f aca="false">IF($B2394="","",COUNTIF($F2394:$AJ2394,"L"))</f>
        <v/>
      </c>
      <c r="AO2394" s="34" t="str">
        <f aca="false">IF($B2394="","",COUNTIF($F2394:$AJ2394,"PL"))</f>
        <v/>
      </c>
      <c r="AP2394" s="34" t="str">
        <f aca="false">IF($B2394="","",COUNTIF($F2394:$AJ2394,"CL"))</f>
        <v/>
      </c>
      <c r="AQ2394" s="34" t="str">
        <f aca="false">IF($B2394="","",COUNTIF($F2394:$AJ2394,"SL"))</f>
        <v/>
      </c>
      <c r="AR2394" s="34" t="str">
        <f aca="false">IF($B2394="","",COUNTIF($F2394:$AJ2394,"CO"))</f>
        <v/>
      </c>
      <c r="AS2394" s="34" t="str">
        <f aca="false">IF($B2394="","",COUNTIF($F2394:$AJ2394,"HPL"))</f>
        <v/>
      </c>
      <c r="AT2394" s="34" t="str">
        <f aca="false">IF($B2394="","",COUNTIF($F2394:$AJ2394,"HCL"))</f>
        <v/>
      </c>
      <c r="AU2394" s="34" t="str">
        <f aca="false">IF($B2394="","",COUNTIF($F2394:$AJ2394,"WO"))</f>
        <v/>
      </c>
      <c r="AV2394" s="34" t="str">
        <f aca="false">IF($B2394="","",COUNTIF($F2394:$AJ2394,"PH"))</f>
        <v/>
      </c>
      <c r="AW2394" s="34" t="str">
        <f aca="false">IF($B2394="","",COUNTIF($F2394:$AJ2394,"TR"))</f>
        <v/>
      </c>
      <c r="AX2394" s="35" t="str">
        <f aca="false">IF($B2394="","",AO2394+AS2394/2)</f>
        <v/>
      </c>
      <c r="AY2394" s="35" t="str">
        <f aca="false">IF($B2394="","",AQ2394)</f>
        <v/>
      </c>
      <c r="AZ2394" s="35" t="str">
        <f aca="false">IF($B2394="","",AP2394+AT2394/2)</f>
        <v/>
      </c>
      <c r="BA2394" s="35" t="str">
        <f aca="false">IF($B2394="","",AK2394+AN2394+AM2394/2+AO2394+AP2394+AQ2394+AR2394+AS2394+AT2394+AU2394+AV2394+AW2394)</f>
        <v/>
      </c>
      <c r="BB2394" s="35" t="str">
        <f aca="false">IF($B2394="","",MAX(0,AN2394-Settings!$C$16)*Settings!$C$17)</f>
        <v/>
      </c>
      <c r="BC2394" s="35" t="str">
        <f aca="false">IF($B2394="","",BA2394-BB2394)</f>
        <v/>
      </c>
      <c r="BD2394" s="35" t="str">
        <f aca="false">IF(OR($B2394="",$A2394=""),"",DAY(EOMONTH($A2394,0))-COUNTA($F2394:$AJ2394))</f>
        <v/>
      </c>
    </row>
    <row r="2395" customFormat="false" ht="15" hidden="false" customHeight="false" outlineLevel="0" collapsed="false">
      <c r="A2395" s="32"/>
      <c r="B2395" s="29"/>
      <c r="C2395" s="10" t="str">
        <f aca="false">IF($B2395="","",IFERROR(INDEX(M_name,MATCH($B2395,M_emp,0)),"Code not found"))</f>
        <v/>
      </c>
      <c r="D2395" s="10" t="str">
        <f aca="false">IF($B2395="","",IFERROR(INDEX(M_dept,MATCH($B2395,M_emp,0)),""))</f>
        <v/>
      </c>
      <c r="E2395" s="10" t="str">
        <f aca="false">IF($B2395="","",IFERROR(INDEX(M_loc,MATCH($B2395,M_emp,0)),""))</f>
        <v/>
      </c>
      <c r="F2395" s="33"/>
      <c r="G2395" s="33"/>
      <c r="H2395" s="33"/>
      <c r="I2395" s="33"/>
      <c r="J2395" s="33"/>
      <c r="K2395" s="33"/>
      <c r="L2395" s="33"/>
      <c r="M2395" s="33"/>
      <c r="N2395" s="33"/>
      <c r="O2395" s="33"/>
      <c r="P2395" s="33"/>
      <c r="Q2395" s="33"/>
      <c r="R2395" s="33"/>
      <c r="S2395" s="33"/>
      <c r="T2395" s="33"/>
      <c r="U2395" s="33"/>
      <c r="V2395" s="33"/>
      <c r="W2395" s="33"/>
      <c r="X2395" s="33"/>
      <c r="Y2395" s="33"/>
      <c r="Z2395" s="33"/>
      <c r="AA2395" s="33"/>
      <c r="AB2395" s="33"/>
      <c r="AC2395" s="33"/>
      <c r="AD2395" s="33"/>
      <c r="AE2395" s="33"/>
      <c r="AF2395" s="33"/>
      <c r="AG2395" s="33"/>
      <c r="AH2395" s="33"/>
      <c r="AI2395" s="33"/>
      <c r="AJ2395" s="33"/>
      <c r="AK2395" s="34" t="str">
        <f aca="false">IF($B2395="","",COUNTIF($F2395:$AJ2395,"P"))</f>
        <v/>
      </c>
      <c r="AL2395" s="34" t="str">
        <f aca="false">IF($B2395="","",COUNTIF($F2395:$AJ2395,"A"))</f>
        <v/>
      </c>
      <c r="AM2395" s="34" t="str">
        <f aca="false">IF($B2395="","",COUNTIF($F2395:$AJ2395,"HA"))</f>
        <v/>
      </c>
      <c r="AN2395" s="34" t="str">
        <f aca="false">IF($B2395="","",COUNTIF($F2395:$AJ2395,"L"))</f>
        <v/>
      </c>
      <c r="AO2395" s="34" t="str">
        <f aca="false">IF($B2395="","",COUNTIF($F2395:$AJ2395,"PL"))</f>
        <v/>
      </c>
      <c r="AP2395" s="34" t="str">
        <f aca="false">IF($B2395="","",COUNTIF($F2395:$AJ2395,"CL"))</f>
        <v/>
      </c>
      <c r="AQ2395" s="34" t="str">
        <f aca="false">IF($B2395="","",COUNTIF($F2395:$AJ2395,"SL"))</f>
        <v/>
      </c>
      <c r="AR2395" s="34" t="str">
        <f aca="false">IF($B2395="","",COUNTIF($F2395:$AJ2395,"CO"))</f>
        <v/>
      </c>
      <c r="AS2395" s="34" t="str">
        <f aca="false">IF($B2395="","",COUNTIF($F2395:$AJ2395,"HPL"))</f>
        <v/>
      </c>
      <c r="AT2395" s="34" t="str">
        <f aca="false">IF($B2395="","",COUNTIF($F2395:$AJ2395,"HCL"))</f>
        <v/>
      </c>
      <c r="AU2395" s="34" t="str">
        <f aca="false">IF($B2395="","",COUNTIF($F2395:$AJ2395,"WO"))</f>
        <v/>
      </c>
      <c r="AV2395" s="34" t="str">
        <f aca="false">IF($B2395="","",COUNTIF($F2395:$AJ2395,"PH"))</f>
        <v/>
      </c>
      <c r="AW2395" s="34" t="str">
        <f aca="false">IF($B2395="","",COUNTIF($F2395:$AJ2395,"TR"))</f>
        <v/>
      </c>
      <c r="AX2395" s="35" t="str">
        <f aca="false">IF($B2395="","",AO2395+AS2395/2)</f>
        <v/>
      </c>
      <c r="AY2395" s="35" t="str">
        <f aca="false">IF($B2395="","",AQ2395)</f>
        <v/>
      </c>
      <c r="AZ2395" s="35" t="str">
        <f aca="false">IF($B2395="","",AP2395+AT2395/2)</f>
        <v/>
      </c>
      <c r="BA2395" s="35" t="str">
        <f aca="false">IF($B2395="","",AK2395+AN2395+AM2395/2+AO2395+AP2395+AQ2395+AR2395+AS2395+AT2395+AU2395+AV2395+AW2395)</f>
        <v/>
      </c>
      <c r="BB2395" s="35" t="str">
        <f aca="false">IF($B2395="","",MAX(0,AN2395-Settings!$C$16)*Settings!$C$17)</f>
        <v/>
      </c>
      <c r="BC2395" s="35" t="str">
        <f aca="false">IF($B2395="","",BA2395-BB2395)</f>
        <v/>
      </c>
      <c r="BD2395" s="35" t="str">
        <f aca="false">IF(OR($B2395="",$A2395=""),"",DAY(EOMONTH($A2395,0))-COUNTA($F2395:$AJ2395))</f>
        <v/>
      </c>
    </row>
    <row r="2396" customFormat="false" ht="15" hidden="false" customHeight="false" outlineLevel="0" collapsed="false">
      <c r="A2396" s="32"/>
      <c r="B2396" s="29"/>
      <c r="C2396" s="10" t="str">
        <f aca="false">IF($B2396="","",IFERROR(INDEX(M_name,MATCH($B2396,M_emp,0)),"Code not found"))</f>
        <v/>
      </c>
      <c r="D2396" s="10" t="str">
        <f aca="false">IF($B2396="","",IFERROR(INDEX(M_dept,MATCH($B2396,M_emp,0)),""))</f>
        <v/>
      </c>
      <c r="E2396" s="10" t="str">
        <f aca="false">IF($B2396="","",IFERROR(INDEX(M_loc,MATCH($B2396,M_emp,0)),""))</f>
        <v/>
      </c>
      <c r="F2396" s="33"/>
      <c r="G2396" s="33"/>
      <c r="H2396" s="33"/>
      <c r="I2396" s="33"/>
      <c r="J2396" s="33"/>
      <c r="K2396" s="33"/>
      <c r="L2396" s="33"/>
      <c r="M2396" s="33"/>
      <c r="N2396" s="33"/>
      <c r="O2396" s="33"/>
      <c r="P2396" s="33"/>
      <c r="Q2396" s="33"/>
      <c r="R2396" s="33"/>
      <c r="S2396" s="33"/>
      <c r="T2396" s="33"/>
      <c r="U2396" s="33"/>
      <c r="V2396" s="33"/>
      <c r="W2396" s="33"/>
      <c r="X2396" s="33"/>
      <c r="Y2396" s="33"/>
      <c r="Z2396" s="33"/>
      <c r="AA2396" s="33"/>
      <c r="AB2396" s="33"/>
      <c r="AC2396" s="33"/>
      <c r="AD2396" s="33"/>
      <c r="AE2396" s="33"/>
      <c r="AF2396" s="33"/>
      <c r="AG2396" s="33"/>
      <c r="AH2396" s="33"/>
      <c r="AI2396" s="33"/>
      <c r="AJ2396" s="33"/>
      <c r="AK2396" s="34" t="str">
        <f aca="false">IF($B2396="","",COUNTIF($F2396:$AJ2396,"P"))</f>
        <v/>
      </c>
      <c r="AL2396" s="34" t="str">
        <f aca="false">IF($B2396="","",COUNTIF($F2396:$AJ2396,"A"))</f>
        <v/>
      </c>
      <c r="AM2396" s="34" t="str">
        <f aca="false">IF($B2396="","",COUNTIF($F2396:$AJ2396,"HA"))</f>
        <v/>
      </c>
      <c r="AN2396" s="34" t="str">
        <f aca="false">IF($B2396="","",COUNTIF($F2396:$AJ2396,"L"))</f>
        <v/>
      </c>
      <c r="AO2396" s="34" t="str">
        <f aca="false">IF($B2396="","",COUNTIF($F2396:$AJ2396,"PL"))</f>
        <v/>
      </c>
      <c r="AP2396" s="34" t="str">
        <f aca="false">IF($B2396="","",COUNTIF($F2396:$AJ2396,"CL"))</f>
        <v/>
      </c>
      <c r="AQ2396" s="34" t="str">
        <f aca="false">IF($B2396="","",COUNTIF($F2396:$AJ2396,"SL"))</f>
        <v/>
      </c>
      <c r="AR2396" s="34" t="str">
        <f aca="false">IF($B2396="","",COUNTIF($F2396:$AJ2396,"CO"))</f>
        <v/>
      </c>
      <c r="AS2396" s="34" t="str">
        <f aca="false">IF($B2396="","",COUNTIF($F2396:$AJ2396,"HPL"))</f>
        <v/>
      </c>
      <c r="AT2396" s="34" t="str">
        <f aca="false">IF($B2396="","",COUNTIF($F2396:$AJ2396,"HCL"))</f>
        <v/>
      </c>
      <c r="AU2396" s="34" t="str">
        <f aca="false">IF($B2396="","",COUNTIF($F2396:$AJ2396,"WO"))</f>
        <v/>
      </c>
      <c r="AV2396" s="34" t="str">
        <f aca="false">IF($B2396="","",COUNTIF($F2396:$AJ2396,"PH"))</f>
        <v/>
      </c>
      <c r="AW2396" s="34" t="str">
        <f aca="false">IF($B2396="","",COUNTIF($F2396:$AJ2396,"TR"))</f>
        <v/>
      </c>
      <c r="AX2396" s="35" t="str">
        <f aca="false">IF($B2396="","",AO2396+AS2396/2)</f>
        <v/>
      </c>
      <c r="AY2396" s="35" t="str">
        <f aca="false">IF($B2396="","",AQ2396)</f>
        <v/>
      </c>
      <c r="AZ2396" s="35" t="str">
        <f aca="false">IF($B2396="","",AP2396+AT2396/2)</f>
        <v/>
      </c>
      <c r="BA2396" s="35" t="str">
        <f aca="false">IF($B2396="","",AK2396+AN2396+AM2396/2+AO2396+AP2396+AQ2396+AR2396+AS2396+AT2396+AU2396+AV2396+AW2396)</f>
        <v/>
      </c>
      <c r="BB2396" s="35" t="str">
        <f aca="false">IF($B2396="","",MAX(0,AN2396-Settings!$C$16)*Settings!$C$17)</f>
        <v/>
      </c>
      <c r="BC2396" s="35" t="str">
        <f aca="false">IF($B2396="","",BA2396-BB2396)</f>
        <v/>
      </c>
      <c r="BD2396" s="35" t="str">
        <f aca="false">IF(OR($B2396="",$A2396=""),"",DAY(EOMONTH($A2396,0))-COUNTA($F2396:$AJ2396))</f>
        <v/>
      </c>
    </row>
    <row r="2397" customFormat="false" ht="15" hidden="false" customHeight="false" outlineLevel="0" collapsed="false">
      <c r="A2397" s="32"/>
      <c r="B2397" s="29"/>
      <c r="C2397" s="10" t="str">
        <f aca="false">IF($B2397="","",IFERROR(INDEX(M_name,MATCH($B2397,M_emp,0)),"Code not found"))</f>
        <v/>
      </c>
      <c r="D2397" s="10" t="str">
        <f aca="false">IF($B2397="","",IFERROR(INDEX(M_dept,MATCH($B2397,M_emp,0)),""))</f>
        <v/>
      </c>
      <c r="E2397" s="10" t="str">
        <f aca="false">IF($B2397="","",IFERROR(INDEX(M_loc,MATCH($B2397,M_emp,0)),""))</f>
        <v/>
      </c>
      <c r="F2397" s="33"/>
      <c r="G2397" s="33"/>
      <c r="H2397" s="33"/>
      <c r="I2397" s="33"/>
      <c r="J2397" s="33"/>
      <c r="K2397" s="33"/>
      <c r="L2397" s="33"/>
      <c r="M2397" s="33"/>
      <c r="N2397" s="33"/>
      <c r="O2397" s="33"/>
      <c r="P2397" s="33"/>
      <c r="Q2397" s="33"/>
      <c r="R2397" s="33"/>
      <c r="S2397" s="33"/>
      <c r="T2397" s="33"/>
      <c r="U2397" s="33"/>
      <c r="V2397" s="33"/>
      <c r="W2397" s="33"/>
      <c r="X2397" s="33"/>
      <c r="Y2397" s="33"/>
      <c r="Z2397" s="33"/>
      <c r="AA2397" s="33"/>
      <c r="AB2397" s="33"/>
      <c r="AC2397" s="33"/>
      <c r="AD2397" s="33"/>
      <c r="AE2397" s="33"/>
      <c r="AF2397" s="33"/>
      <c r="AG2397" s="33"/>
      <c r="AH2397" s="33"/>
      <c r="AI2397" s="33"/>
      <c r="AJ2397" s="33"/>
      <c r="AK2397" s="34" t="str">
        <f aca="false">IF($B2397="","",COUNTIF($F2397:$AJ2397,"P"))</f>
        <v/>
      </c>
      <c r="AL2397" s="34" t="str">
        <f aca="false">IF($B2397="","",COUNTIF($F2397:$AJ2397,"A"))</f>
        <v/>
      </c>
      <c r="AM2397" s="34" t="str">
        <f aca="false">IF($B2397="","",COUNTIF($F2397:$AJ2397,"HA"))</f>
        <v/>
      </c>
      <c r="AN2397" s="34" t="str">
        <f aca="false">IF($B2397="","",COUNTIF($F2397:$AJ2397,"L"))</f>
        <v/>
      </c>
      <c r="AO2397" s="34" t="str">
        <f aca="false">IF($B2397="","",COUNTIF($F2397:$AJ2397,"PL"))</f>
        <v/>
      </c>
      <c r="AP2397" s="34" t="str">
        <f aca="false">IF($B2397="","",COUNTIF($F2397:$AJ2397,"CL"))</f>
        <v/>
      </c>
      <c r="AQ2397" s="34" t="str">
        <f aca="false">IF($B2397="","",COUNTIF($F2397:$AJ2397,"SL"))</f>
        <v/>
      </c>
      <c r="AR2397" s="34" t="str">
        <f aca="false">IF($B2397="","",COUNTIF($F2397:$AJ2397,"CO"))</f>
        <v/>
      </c>
      <c r="AS2397" s="34" t="str">
        <f aca="false">IF($B2397="","",COUNTIF($F2397:$AJ2397,"HPL"))</f>
        <v/>
      </c>
      <c r="AT2397" s="34" t="str">
        <f aca="false">IF($B2397="","",COUNTIF($F2397:$AJ2397,"HCL"))</f>
        <v/>
      </c>
      <c r="AU2397" s="34" t="str">
        <f aca="false">IF($B2397="","",COUNTIF($F2397:$AJ2397,"WO"))</f>
        <v/>
      </c>
      <c r="AV2397" s="34" t="str">
        <f aca="false">IF($B2397="","",COUNTIF($F2397:$AJ2397,"PH"))</f>
        <v/>
      </c>
      <c r="AW2397" s="34" t="str">
        <f aca="false">IF($B2397="","",COUNTIF($F2397:$AJ2397,"TR"))</f>
        <v/>
      </c>
      <c r="AX2397" s="35" t="str">
        <f aca="false">IF($B2397="","",AO2397+AS2397/2)</f>
        <v/>
      </c>
      <c r="AY2397" s="35" t="str">
        <f aca="false">IF($B2397="","",AQ2397)</f>
        <v/>
      </c>
      <c r="AZ2397" s="35" t="str">
        <f aca="false">IF($B2397="","",AP2397+AT2397/2)</f>
        <v/>
      </c>
      <c r="BA2397" s="35" t="str">
        <f aca="false">IF($B2397="","",AK2397+AN2397+AM2397/2+AO2397+AP2397+AQ2397+AR2397+AS2397+AT2397+AU2397+AV2397+AW2397)</f>
        <v/>
      </c>
      <c r="BB2397" s="35" t="str">
        <f aca="false">IF($B2397="","",MAX(0,AN2397-Settings!$C$16)*Settings!$C$17)</f>
        <v/>
      </c>
      <c r="BC2397" s="35" t="str">
        <f aca="false">IF($B2397="","",BA2397-BB2397)</f>
        <v/>
      </c>
      <c r="BD2397" s="35" t="str">
        <f aca="false">IF(OR($B2397="",$A2397=""),"",DAY(EOMONTH($A2397,0))-COUNTA($F2397:$AJ2397))</f>
        <v/>
      </c>
    </row>
    <row r="2398" customFormat="false" ht="15" hidden="false" customHeight="false" outlineLevel="0" collapsed="false">
      <c r="A2398" s="32"/>
      <c r="B2398" s="29"/>
      <c r="C2398" s="10" t="str">
        <f aca="false">IF($B2398="","",IFERROR(INDEX(M_name,MATCH($B2398,M_emp,0)),"Code not found"))</f>
        <v/>
      </c>
      <c r="D2398" s="10" t="str">
        <f aca="false">IF($B2398="","",IFERROR(INDEX(M_dept,MATCH($B2398,M_emp,0)),""))</f>
        <v/>
      </c>
      <c r="E2398" s="10" t="str">
        <f aca="false">IF($B2398="","",IFERROR(INDEX(M_loc,MATCH($B2398,M_emp,0)),""))</f>
        <v/>
      </c>
      <c r="F2398" s="33"/>
      <c r="G2398" s="33"/>
      <c r="H2398" s="33"/>
      <c r="I2398" s="33"/>
      <c r="J2398" s="33"/>
      <c r="K2398" s="33"/>
      <c r="L2398" s="33"/>
      <c r="M2398" s="33"/>
      <c r="N2398" s="33"/>
      <c r="O2398" s="33"/>
      <c r="P2398" s="33"/>
      <c r="Q2398" s="33"/>
      <c r="R2398" s="33"/>
      <c r="S2398" s="33"/>
      <c r="T2398" s="33"/>
      <c r="U2398" s="33"/>
      <c r="V2398" s="33"/>
      <c r="W2398" s="33"/>
      <c r="X2398" s="33"/>
      <c r="Y2398" s="33"/>
      <c r="Z2398" s="33"/>
      <c r="AA2398" s="33"/>
      <c r="AB2398" s="33"/>
      <c r="AC2398" s="33"/>
      <c r="AD2398" s="33"/>
      <c r="AE2398" s="33"/>
      <c r="AF2398" s="33"/>
      <c r="AG2398" s="33"/>
      <c r="AH2398" s="33"/>
      <c r="AI2398" s="33"/>
      <c r="AJ2398" s="33"/>
      <c r="AK2398" s="34" t="str">
        <f aca="false">IF($B2398="","",COUNTIF($F2398:$AJ2398,"P"))</f>
        <v/>
      </c>
      <c r="AL2398" s="34" t="str">
        <f aca="false">IF($B2398="","",COUNTIF($F2398:$AJ2398,"A"))</f>
        <v/>
      </c>
      <c r="AM2398" s="34" t="str">
        <f aca="false">IF($B2398="","",COUNTIF($F2398:$AJ2398,"HA"))</f>
        <v/>
      </c>
      <c r="AN2398" s="34" t="str">
        <f aca="false">IF($B2398="","",COUNTIF($F2398:$AJ2398,"L"))</f>
        <v/>
      </c>
      <c r="AO2398" s="34" t="str">
        <f aca="false">IF($B2398="","",COUNTIF($F2398:$AJ2398,"PL"))</f>
        <v/>
      </c>
      <c r="AP2398" s="34" t="str">
        <f aca="false">IF($B2398="","",COUNTIF($F2398:$AJ2398,"CL"))</f>
        <v/>
      </c>
      <c r="AQ2398" s="34" t="str">
        <f aca="false">IF($B2398="","",COUNTIF($F2398:$AJ2398,"SL"))</f>
        <v/>
      </c>
      <c r="AR2398" s="34" t="str">
        <f aca="false">IF($B2398="","",COUNTIF($F2398:$AJ2398,"CO"))</f>
        <v/>
      </c>
      <c r="AS2398" s="34" t="str">
        <f aca="false">IF($B2398="","",COUNTIF($F2398:$AJ2398,"HPL"))</f>
        <v/>
      </c>
      <c r="AT2398" s="34" t="str">
        <f aca="false">IF($B2398="","",COUNTIF($F2398:$AJ2398,"HCL"))</f>
        <v/>
      </c>
      <c r="AU2398" s="34" t="str">
        <f aca="false">IF($B2398="","",COUNTIF($F2398:$AJ2398,"WO"))</f>
        <v/>
      </c>
      <c r="AV2398" s="34" t="str">
        <f aca="false">IF($B2398="","",COUNTIF($F2398:$AJ2398,"PH"))</f>
        <v/>
      </c>
      <c r="AW2398" s="34" t="str">
        <f aca="false">IF($B2398="","",COUNTIF($F2398:$AJ2398,"TR"))</f>
        <v/>
      </c>
      <c r="AX2398" s="35" t="str">
        <f aca="false">IF($B2398="","",AO2398+AS2398/2)</f>
        <v/>
      </c>
      <c r="AY2398" s="35" t="str">
        <f aca="false">IF($B2398="","",AQ2398)</f>
        <v/>
      </c>
      <c r="AZ2398" s="35" t="str">
        <f aca="false">IF($B2398="","",AP2398+AT2398/2)</f>
        <v/>
      </c>
      <c r="BA2398" s="35" t="str">
        <f aca="false">IF($B2398="","",AK2398+AN2398+AM2398/2+AO2398+AP2398+AQ2398+AR2398+AS2398+AT2398+AU2398+AV2398+AW2398)</f>
        <v/>
      </c>
      <c r="BB2398" s="35" t="str">
        <f aca="false">IF($B2398="","",MAX(0,AN2398-Settings!$C$16)*Settings!$C$17)</f>
        <v/>
      </c>
      <c r="BC2398" s="35" t="str">
        <f aca="false">IF($B2398="","",BA2398-BB2398)</f>
        <v/>
      </c>
      <c r="BD2398" s="35" t="str">
        <f aca="false">IF(OR($B2398="",$A2398=""),"",DAY(EOMONTH($A2398,0))-COUNTA($F2398:$AJ2398))</f>
        <v/>
      </c>
    </row>
    <row r="2399" customFormat="false" ht="15" hidden="false" customHeight="false" outlineLevel="0" collapsed="false">
      <c r="A2399" s="32"/>
      <c r="B2399" s="29"/>
      <c r="C2399" s="10" t="str">
        <f aca="false">IF($B2399="","",IFERROR(INDEX(M_name,MATCH($B2399,M_emp,0)),"Code not found"))</f>
        <v/>
      </c>
      <c r="D2399" s="10" t="str">
        <f aca="false">IF($B2399="","",IFERROR(INDEX(M_dept,MATCH($B2399,M_emp,0)),""))</f>
        <v/>
      </c>
      <c r="E2399" s="10" t="str">
        <f aca="false">IF($B2399="","",IFERROR(INDEX(M_loc,MATCH($B2399,M_emp,0)),""))</f>
        <v/>
      </c>
      <c r="F2399" s="33"/>
      <c r="G2399" s="33"/>
      <c r="H2399" s="33"/>
      <c r="I2399" s="33"/>
      <c r="J2399" s="33"/>
      <c r="K2399" s="33"/>
      <c r="L2399" s="33"/>
      <c r="M2399" s="33"/>
      <c r="N2399" s="33"/>
      <c r="O2399" s="33"/>
      <c r="P2399" s="33"/>
      <c r="Q2399" s="33"/>
      <c r="R2399" s="33"/>
      <c r="S2399" s="33"/>
      <c r="T2399" s="33"/>
      <c r="U2399" s="33"/>
      <c r="V2399" s="33"/>
      <c r="W2399" s="33"/>
      <c r="X2399" s="33"/>
      <c r="Y2399" s="33"/>
      <c r="Z2399" s="33"/>
      <c r="AA2399" s="33"/>
      <c r="AB2399" s="33"/>
      <c r="AC2399" s="33"/>
      <c r="AD2399" s="33"/>
      <c r="AE2399" s="33"/>
      <c r="AF2399" s="33"/>
      <c r="AG2399" s="33"/>
      <c r="AH2399" s="33"/>
      <c r="AI2399" s="33"/>
      <c r="AJ2399" s="33"/>
      <c r="AK2399" s="34" t="str">
        <f aca="false">IF($B2399="","",COUNTIF($F2399:$AJ2399,"P"))</f>
        <v/>
      </c>
      <c r="AL2399" s="34" t="str">
        <f aca="false">IF($B2399="","",COUNTIF($F2399:$AJ2399,"A"))</f>
        <v/>
      </c>
      <c r="AM2399" s="34" t="str">
        <f aca="false">IF($B2399="","",COUNTIF($F2399:$AJ2399,"HA"))</f>
        <v/>
      </c>
      <c r="AN2399" s="34" t="str">
        <f aca="false">IF($B2399="","",COUNTIF($F2399:$AJ2399,"L"))</f>
        <v/>
      </c>
      <c r="AO2399" s="34" t="str">
        <f aca="false">IF($B2399="","",COUNTIF($F2399:$AJ2399,"PL"))</f>
        <v/>
      </c>
      <c r="AP2399" s="34" t="str">
        <f aca="false">IF($B2399="","",COUNTIF($F2399:$AJ2399,"CL"))</f>
        <v/>
      </c>
      <c r="AQ2399" s="34" t="str">
        <f aca="false">IF($B2399="","",COUNTIF($F2399:$AJ2399,"SL"))</f>
        <v/>
      </c>
      <c r="AR2399" s="34" t="str">
        <f aca="false">IF($B2399="","",COUNTIF($F2399:$AJ2399,"CO"))</f>
        <v/>
      </c>
      <c r="AS2399" s="34" t="str">
        <f aca="false">IF($B2399="","",COUNTIF($F2399:$AJ2399,"HPL"))</f>
        <v/>
      </c>
      <c r="AT2399" s="34" t="str">
        <f aca="false">IF($B2399="","",COUNTIF($F2399:$AJ2399,"HCL"))</f>
        <v/>
      </c>
      <c r="AU2399" s="34" t="str">
        <f aca="false">IF($B2399="","",COUNTIF($F2399:$AJ2399,"WO"))</f>
        <v/>
      </c>
      <c r="AV2399" s="34" t="str">
        <f aca="false">IF($B2399="","",COUNTIF($F2399:$AJ2399,"PH"))</f>
        <v/>
      </c>
      <c r="AW2399" s="34" t="str">
        <f aca="false">IF($B2399="","",COUNTIF($F2399:$AJ2399,"TR"))</f>
        <v/>
      </c>
      <c r="AX2399" s="35" t="str">
        <f aca="false">IF($B2399="","",AO2399+AS2399/2)</f>
        <v/>
      </c>
      <c r="AY2399" s="35" t="str">
        <f aca="false">IF($B2399="","",AQ2399)</f>
        <v/>
      </c>
      <c r="AZ2399" s="35" t="str">
        <f aca="false">IF($B2399="","",AP2399+AT2399/2)</f>
        <v/>
      </c>
      <c r="BA2399" s="35" t="str">
        <f aca="false">IF($B2399="","",AK2399+AN2399+AM2399/2+AO2399+AP2399+AQ2399+AR2399+AS2399+AT2399+AU2399+AV2399+AW2399)</f>
        <v/>
      </c>
      <c r="BB2399" s="35" t="str">
        <f aca="false">IF($B2399="","",MAX(0,AN2399-Settings!$C$16)*Settings!$C$17)</f>
        <v/>
      </c>
      <c r="BC2399" s="35" t="str">
        <f aca="false">IF($B2399="","",BA2399-BB2399)</f>
        <v/>
      </c>
      <c r="BD2399" s="35" t="str">
        <f aca="false">IF(OR($B2399="",$A2399=""),"",DAY(EOMONTH($A2399,0))-COUNTA($F2399:$AJ2399))</f>
        <v/>
      </c>
    </row>
    <row r="2400" customFormat="false" ht="15" hidden="false" customHeight="false" outlineLevel="0" collapsed="false">
      <c r="A2400" s="32"/>
      <c r="B2400" s="29"/>
      <c r="C2400" s="10" t="str">
        <f aca="false">IF($B2400="","",IFERROR(INDEX(M_name,MATCH($B2400,M_emp,0)),"Code not found"))</f>
        <v/>
      </c>
      <c r="D2400" s="10" t="str">
        <f aca="false">IF($B2400="","",IFERROR(INDEX(M_dept,MATCH($B2400,M_emp,0)),""))</f>
        <v/>
      </c>
      <c r="E2400" s="10" t="str">
        <f aca="false">IF($B2400="","",IFERROR(INDEX(M_loc,MATCH($B2400,M_emp,0)),""))</f>
        <v/>
      </c>
      <c r="F2400" s="33"/>
      <c r="G2400" s="33"/>
      <c r="H2400" s="33"/>
      <c r="I2400" s="33"/>
      <c r="J2400" s="33"/>
      <c r="K2400" s="33"/>
      <c r="L2400" s="33"/>
      <c r="M2400" s="33"/>
      <c r="N2400" s="33"/>
      <c r="O2400" s="33"/>
      <c r="P2400" s="33"/>
      <c r="Q2400" s="33"/>
      <c r="R2400" s="33"/>
      <c r="S2400" s="33"/>
      <c r="T2400" s="33"/>
      <c r="U2400" s="33"/>
      <c r="V2400" s="33"/>
      <c r="W2400" s="33"/>
      <c r="X2400" s="33"/>
      <c r="Y2400" s="33"/>
      <c r="Z2400" s="33"/>
      <c r="AA2400" s="33"/>
      <c r="AB2400" s="33"/>
      <c r="AC2400" s="33"/>
      <c r="AD2400" s="33"/>
      <c r="AE2400" s="33"/>
      <c r="AF2400" s="33"/>
      <c r="AG2400" s="33"/>
      <c r="AH2400" s="33"/>
      <c r="AI2400" s="33"/>
      <c r="AJ2400" s="33"/>
      <c r="AK2400" s="34" t="str">
        <f aca="false">IF($B2400="","",COUNTIF($F2400:$AJ2400,"P"))</f>
        <v/>
      </c>
      <c r="AL2400" s="34" t="str">
        <f aca="false">IF($B2400="","",COUNTIF($F2400:$AJ2400,"A"))</f>
        <v/>
      </c>
      <c r="AM2400" s="34" t="str">
        <f aca="false">IF($B2400="","",COUNTIF($F2400:$AJ2400,"HA"))</f>
        <v/>
      </c>
      <c r="AN2400" s="34" t="str">
        <f aca="false">IF($B2400="","",COUNTIF($F2400:$AJ2400,"L"))</f>
        <v/>
      </c>
      <c r="AO2400" s="34" t="str">
        <f aca="false">IF($B2400="","",COUNTIF($F2400:$AJ2400,"PL"))</f>
        <v/>
      </c>
      <c r="AP2400" s="34" t="str">
        <f aca="false">IF($B2400="","",COUNTIF($F2400:$AJ2400,"CL"))</f>
        <v/>
      </c>
      <c r="AQ2400" s="34" t="str">
        <f aca="false">IF($B2400="","",COUNTIF($F2400:$AJ2400,"SL"))</f>
        <v/>
      </c>
      <c r="AR2400" s="34" t="str">
        <f aca="false">IF($B2400="","",COUNTIF($F2400:$AJ2400,"CO"))</f>
        <v/>
      </c>
      <c r="AS2400" s="34" t="str">
        <f aca="false">IF($B2400="","",COUNTIF($F2400:$AJ2400,"HPL"))</f>
        <v/>
      </c>
      <c r="AT2400" s="34" t="str">
        <f aca="false">IF($B2400="","",COUNTIF($F2400:$AJ2400,"HCL"))</f>
        <v/>
      </c>
      <c r="AU2400" s="34" t="str">
        <f aca="false">IF($B2400="","",COUNTIF($F2400:$AJ2400,"WO"))</f>
        <v/>
      </c>
      <c r="AV2400" s="34" t="str">
        <f aca="false">IF($B2400="","",COUNTIF($F2400:$AJ2400,"PH"))</f>
        <v/>
      </c>
      <c r="AW2400" s="34" t="str">
        <f aca="false">IF($B2400="","",COUNTIF($F2400:$AJ2400,"TR"))</f>
        <v/>
      </c>
      <c r="AX2400" s="35" t="str">
        <f aca="false">IF($B2400="","",AO2400+AS2400/2)</f>
        <v/>
      </c>
      <c r="AY2400" s="35" t="str">
        <f aca="false">IF($B2400="","",AQ2400)</f>
        <v/>
      </c>
      <c r="AZ2400" s="35" t="str">
        <f aca="false">IF($B2400="","",AP2400+AT2400/2)</f>
        <v/>
      </c>
      <c r="BA2400" s="35" t="str">
        <f aca="false">IF($B2400="","",AK2400+AN2400+AM2400/2+AO2400+AP2400+AQ2400+AR2400+AS2400+AT2400+AU2400+AV2400+AW2400)</f>
        <v/>
      </c>
      <c r="BB2400" s="35" t="str">
        <f aca="false">IF($B2400="","",MAX(0,AN2400-Settings!$C$16)*Settings!$C$17)</f>
        <v/>
      </c>
      <c r="BC2400" s="35" t="str">
        <f aca="false">IF($B2400="","",BA2400-BB2400)</f>
        <v/>
      </c>
      <c r="BD2400" s="35" t="str">
        <f aca="false">IF(OR($B2400="",$A2400=""),"",DAY(EOMONTH($A2400,0))-COUNTA($F2400:$AJ2400))</f>
        <v/>
      </c>
    </row>
    <row r="2401" customFormat="false" ht="15" hidden="false" customHeight="false" outlineLevel="0" collapsed="false">
      <c r="A2401" s="32"/>
      <c r="B2401" s="29"/>
      <c r="C2401" s="10" t="str">
        <f aca="false">IF($B2401="","",IFERROR(INDEX(M_name,MATCH($B2401,M_emp,0)),"Code not found"))</f>
        <v/>
      </c>
      <c r="D2401" s="10" t="str">
        <f aca="false">IF($B2401="","",IFERROR(INDEX(M_dept,MATCH($B2401,M_emp,0)),""))</f>
        <v/>
      </c>
      <c r="E2401" s="10" t="str">
        <f aca="false">IF($B2401="","",IFERROR(INDEX(M_loc,MATCH($B2401,M_emp,0)),""))</f>
        <v/>
      </c>
      <c r="F2401" s="33"/>
      <c r="G2401" s="33"/>
      <c r="H2401" s="33"/>
      <c r="I2401" s="33"/>
      <c r="J2401" s="33"/>
      <c r="K2401" s="33"/>
      <c r="L2401" s="33"/>
      <c r="M2401" s="33"/>
      <c r="N2401" s="33"/>
      <c r="O2401" s="33"/>
      <c r="P2401" s="33"/>
      <c r="Q2401" s="33"/>
      <c r="R2401" s="33"/>
      <c r="S2401" s="33"/>
      <c r="T2401" s="33"/>
      <c r="U2401" s="33"/>
      <c r="V2401" s="33"/>
      <c r="W2401" s="33"/>
      <c r="X2401" s="33"/>
      <c r="Y2401" s="33"/>
      <c r="Z2401" s="33"/>
      <c r="AA2401" s="33"/>
      <c r="AB2401" s="33"/>
      <c r="AC2401" s="33"/>
      <c r="AD2401" s="33"/>
      <c r="AE2401" s="33"/>
      <c r="AF2401" s="33"/>
      <c r="AG2401" s="33"/>
      <c r="AH2401" s="33"/>
      <c r="AI2401" s="33"/>
      <c r="AJ2401" s="33"/>
      <c r="AK2401" s="34" t="str">
        <f aca="false">IF($B2401="","",COUNTIF($F2401:$AJ2401,"P"))</f>
        <v/>
      </c>
      <c r="AL2401" s="34" t="str">
        <f aca="false">IF($B2401="","",COUNTIF($F2401:$AJ2401,"A"))</f>
        <v/>
      </c>
      <c r="AM2401" s="34" t="str">
        <f aca="false">IF($B2401="","",COUNTIF($F2401:$AJ2401,"HA"))</f>
        <v/>
      </c>
      <c r="AN2401" s="34" t="str">
        <f aca="false">IF($B2401="","",COUNTIF($F2401:$AJ2401,"L"))</f>
        <v/>
      </c>
      <c r="AO2401" s="34" t="str">
        <f aca="false">IF($B2401="","",COUNTIF($F2401:$AJ2401,"PL"))</f>
        <v/>
      </c>
      <c r="AP2401" s="34" t="str">
        <f aca="false">IF($B2401="","",COUNTIF($F2401:$AJ2401,"CL"))</f>
        <v/>
      </c>
      <c r="AQ2401" s="34" t="str">
        <f aca="false">IF($B2401="","",COUNTIF($F2401:$AJ2401,"SL"))</f>
        <v/>
      </c>
      <c r="AR2401" s="34" t="str">
        <f aca="false">IF($B2401="","",COUNTIF($F2401:$AJ2401,"CO"))</f>
        <v/>
      </c>
      <c r="AS2401" s="34" t="str">
        <f aca="false">IF($B2401="","",COUNTIF($F2401:$AJ2401,"HPL"))</f>
        <v/>
      </c>
      <c r="AT2401" s="34" t="str">
        <f aca="false">IF($B2401="","",COUNTIF($F2401:$AJ2401,"HCL"))</f>
        <v/>
      </c>
      <c r="AU2401" s="34" t="str">
        <f aca="false">IF($B2401="","",COUNTIF($F2401:$AJ2401,"WO"))</f>
        <v/>
      </c>
      <c r="AV2401" s="34" t="str">
        <f aca="false">IF($B2401="","",COUNTIF($F2401:$AJ2401,"PH"))</f>
        <v/>
      </c>
      <c r="AW2401" s="34" t="str">
        <f aca="false">IF($B2401="","",COUNTIF($F2401:$AJ2401,"TR"))</f>
        <v/>
      </c>
      <c r="AX2401" s="35" t="str">
        <f aca="false">IF($B2401="","",AO2401+AS2401/2)</f>
        <v/>
      </c>
      <c r="AY2401" s="35" t="str">
        <f aca="false">IF($B2401="","",AQ2401)</f>
        <v/>
      </c>
      <c r="AZ2401" s="35" t="str">
        <f aca="false">IF($B2401="","",AP2401+AT2401/2)</f>
        <v/>
      </c>
      <c r="BA2401" s="35" t="str">
        <f aca="false">IF($B2401="","",AK2401+AN2401+AM2401/2+AO2401+AP2401+AQ2401+AR2401+AS2401+AT2401+AU2401+AV2401+AW2401)</f>
        <v/>
      </c>
      <c r="BB2401" s="35" t="str">
        <f aca="false">IF($B2401="","",MAX(0,AN2401-Settings!$C$16)*Settings!$C$17)</f>
        <v/>
      </c>
      <c r="BC2401" s="35" t="str">
        <f aca="false">IF($B2401="","",BA2401-BB2401)</f>
        <v/>
      </c>
      <c r="BD2401" s="35" t="str">
        <f aca="false">IF(OR($B2401="",$A2401=""),"",DAY(EOMONTH($A2401,0))-COUNTA($F2401:$AJ2401))</f>
        <v/>
      </c>
    </row>
    <row r="2402" customFormat="false" ht="15" hidden="false" customHeight="false" outlineLevel="0" collapsed="false">
      <c r="A2402" s="32"/>
      <c r="B2402" s="29"/>
      <c r="C2402" s="10" t="str">
        <f aca="false">IF($B2402="","",IFERROR(INDEX(M_name,MATCH($B2402,M_emp,0)),"Code not found"))</f>
        <v/>
      </c>
      <c r="D2402" s="10" t="str">
        <f aca="false">IF($B2402="","",IFERROR(INDEX(M_dept,MATCH($B2402,M_emp,0)),""))</f>
        <v/>
      </c>
      <c r="E2402" s="10" t="str">
        <f aca="false">IF($B2402="","",IFERROR(INDEX(M_loc,MATCH($B2402,M_emp,0)),""))</f>
        <v/>
      </c>
      <c r="F2402" s="33"/>
      <c r="G2402" s="33"/>
      <c r="H2402" s="33"/>
      <c r="I2402" s="33"/>
      <c r="J2402" s="33"/>
      <c r="K2402" s="33"/>
      <c r="L2402" s="33"/>
      <c r="M2402" s="33"/>
      <c r="N2402" s="33"/>
      <c r="O2402" s="33"/>
      <c r="P2402" s="33"/>
      <c r="Q2402" s="33"/>
      <c r="R2402" s="33"/>
      <c r="S2402" s="33"/>
      <c r="T2402" s="33"/>
      <c r="U2402" s="33"/>
      <c r="V2402" s="33"/>
      <c r="W2402" s="33"/>
      <c r="X2402" s="33"/>
      <c r="Y2402" s="33"/>
      <c r="Z2402" s="33"/>
      <c r="AA2402" s="33"/>
      <c r="AB2402" s="33"/>
      <c r="AC2402" s="33"/>
      <c r="AD2402" s="33"/>
      <c r="AE2402" s="33"/>
      <c r="AF2402" s="33"/>
      <c r="AG2402" s="33"/>
      <c r="AH2402" s="33"/>
      <c r="AI2402" s="33"/>
      <c r="AJ2402" s="33"/>
      <c r="AK2402" s="34" t="str">
        <f aca="false">IF($B2402="","",COUNTIF($F2402:$AJ2402,"P"))</f>
        <v/>
      </c>
      <c r="AL2402" s="34" t="str">
        <f aca="false">IF($B2402="","",COUNTIF($F2402:$AJ2402,"A"))</f>
        <v/>
      </c>
      <c r="AM2402" s="34" t="str">
        <f aca="false">IF($B2402="","",COUNTIF($F2402:$AJ2402,"HA"))</f>
        <v/>
      </c>
      <c r="AN2402" s="34" t="str">
        <f aca="false">IF($B2402="","",COUNTIF($F2402:$AJ2402,"L"))</f>
        <v/>
      </c>
      <c r="AO2402" s="34" t="str">
        <f aca="false">IF($B2402="","",COUNTIF($F2402:$AJ2402,"PL"))</f>
        <v/>
      </c>
      <c r="AP2402" s="34" t="str">
        <f aca="false">IF($B2402="","",COUNTIF($F2402:$AJ2402,"CL"))</f>
        <v/>
      </c>
      <c r="AQ2402" s="34" t="str">
        <f aca="false">IF($B2402="","",COUNTIF($F2402:$AJ2402,"SL"))</f>
        <v/>
      </c>
      <c r="AR2402" s="34" t="str">
        <f aca="false">IF($B2402="","",COUNTIF($F2402:$AJ2402,"CO"))</f>
        <v/>
      </c>
      <c r="AS2402" s="34" t="str">
        <f aca="false">IF($B2402="","",COUNTIF($F2402:$AJ2402,"HPL"))</f>
        <v/>
      </c>
      <c r="AT2402" s="34" t="str">
        <f aca="false">IF($B2402="","",COUNTIF($F2402:$AJ2402,"HCL"))</f>
        <v/>
      </c>
      <c r="AU2402" s="34" t="str">
        <f aca="false">IF($B2402="","",COUNTIF($F2402:$AJ2402,"WO"))</f>
        <v/>
      </c>
      <c r="AV2402" s="34" t="str">
        <f aca="false">IF($B2402="","",COUNTIF($F2402:$AJ2402,"PH"))</f>
        <v/>
      </c>
      <c r="AW2402" s="34" t="str">
        <f aca="false">IF($B2402="","",COUNTIF($F2402:$AJ2402,"TR"))</f>
        <v/>
      </c>
      <c r="AX2402" s="35" t="str">
        <f aca="false">IF($B2402="","",AO2402+AS2402/2)</f>
        <v/>
      </c>
      <c r="AY2402" s="35" t="str">
        <f aca="false">IF($B2402="","",AQ2402)</f>
        <v/>
      </c>
      <c r="AZ2402" s="35" t="str">
        <f aca="false">IF($B2402="","",AP2402+AT2402/2)</f>
        <v/>
      </c>
      <c r="BA2402" s="35" t="str">
        <f aca="false">IF($B2402="","",AK2402+AN2402+AM2402/2+AO2402+AP2402+AQ2402+AR2402+AS2402+AT2402+AU2402+AV2402+AW2402)</f>
        <v/>
      </c>
      <c r="BB2402" s="35" t="str">
        <f aca="false">IF($B2402="","",MAX(0,AN2402-Settings!$C$16)*Settings!$C$17)</f>
        <v/>
      </c>
      <c r="BC2402" s="35" t="str">
        <f aca="false">IF($B2402="","",BA2402-BB2402)</f>
        <v/>
      </c>
      <c r="BD2402" s="35" t="str">
        <f aca="false">IF(OR($B2402="",$A2402=""),"",DAY(EOMONTH($A2402,0))-COUNTA($F2402:$AJ2402))</f>
        <v/>
      </c>
    </row>
    <row r="2403" customFormat="false" ht="15" hidden="false" customHeight="false" outlineLevel="0" collapsed="false">
      <c r="A2403" s="32"/>
      <c r="B2403" s="29"/>
      <c r="C2403" s="10" t="str">
        <f aca="false">IF($B2403="","",IFERROR(INDEX(M_name,MATCH($B2403,M_emp,0)),"Code not found"))</f>
        <v/>
      </c>
      <c r="D2403" s="10" t="str">
        <f aca="false">IF($B2403="","",IFERROR(INDEX(M_dept,MATCH($B2403,M_emp,0)),""))</f>
        <v/>
      </c>
      <c r="E2403" s="10" t="str">
        <f aca="false">IF($B2403="","",IFERROR(INDEX(M_loc,MATCH($B2403,M_emp,0)),""))</f>
        <v/>
      </c>
      <c r="F2403" s="33"/>
      <c r="G2403" s="33"/>
      <c r="H2403" s="33"/>
      <c r="I2403" s="33"/>
      <c r="J2403" s="33"/>
      <c r="K2403" s="33"/>
      <c r="L2403" s="33"/>
      <c r="M2403" s="33"/>
      <c r="N2403" s="33"/>
      <c r="O2403" s="33"/>
      <c r="P2403" s="33"/>
      <c r="Q2403" s="33"/>
      <c r="R2403" s="33"/>
      <c r="S2403" s="33"/>
      <c r="T2403" s="33"/>
      <c r="U2403" s="33"/>
      <c r="V2403" s="33"/>
      <c r="W2403" s="33"/>
      <c r="X2403" s="33"/>
      <c r="Y2403" s="33"/>
      <c r="Z2403" s="33"/>
      <c r="AA2403" s="33"/>
      <c r="AB2403" s="33"/>
      <c r="AC2403" s="33"/>
      <c r="AD2403" s="33"/>
      <c r="AE2403" s="33"/>
      <c r="AF2403" s="33"/>
      <c r="AG2403" s="33"/>
      <c r="AH2403" s="33"/>
      <c r="AI2403" s="33"/>
      <c r="AJ2403" s="33"/>
      <c r="AK2403" s="34" t="str">
        <f aca="false">IF($B2403="","",COUNTIF($F2403:$AJ2403,"P"))</f>
        <v/>
      </c>
      <c r="AL2403" s="34" t="str">
        <f aca="false">IF($B2403="","",COUNTIF($F2403:$AJ2403,"A"))</f>
        <v/>
      </c>
      <c r="AM2403" s="34" t="str">
        <f aca="false">IF($B2403="","",COUNTIF($F2403:$AJ2403,"HA"))</f>
        <v/>
      </c>
      <c r="AN2403" s="34" t="str">
        <f aca="false">IF($B2403="","",COUNTIF($F2403:$AJ2403,"L"))</f>
        <v/>
      </c>
      <c r="AO2403" s="34" t="str">
        <f aca="false">IF($B2403="","",COUNTIF($F2403:$AJ2403,"PL"))</f>
        <v/>
      </c>
      <c r="AP2403" s="34" t="str">
        <f aca="false">IF($B2403="","",COUNTIF($F2403:$AJ2403,"CL"))</f>
        <v/>
      </c>
      <c r="AQ2403" s="34" t="str">
        <f aca="false">IF($B2403="","",COUNTIF($F2403:$AJ2403,"SL"))</f>
        <v/>
      </c>
      <c r="AR2403" s="34" t="str">
        <f aca="false">IF($B2403="","",COUNTIF($F2403:$AJ2403,"CO"))</f>
        <v/>
      </c>
      <c r="AS2403" s="34" t="str">
        <f aca="false">IF($B2403="","",COUNTIF($F2403:$AJ2403,"HPL"))</f>
        <v/>
      </c>
      <c r="AT2403" s="34" t="str">
        <f aca="false">IF($B2403="","",COUNTIF($F2403:$AJ2403,"HCL"))</f>
        <v/>
      </c>
      <c r="AU2403" s="34" t="str">
        <f aca="false">IF($B2403="","",COUNTIF($F2403:$AJ2403,"WO"))</f>
        <v/>
      </c>
      <c r="AV2403" s="34" t="str">
        <f aca="false">IF($B2403="","",COUNTIF($F2403:$AJ2403,"PH"))</f>
        <v/>
      </c>
      <c r="AW2403" s="34" t="str">
        <f aca="false">IF($B2403="","",COUNTIF($F2403:$AJ2403,"TR"))</f>
        <v/>
      </c>
      <c r="AX2403" s="35" t="str">
        <f aca="false">IF($B2403="","",AO2403+AS2403/2)</f>
        <v/>
      </c>
      <c r="AY2403" s="35" t="str">
        <f aca="false">IF($B2403="","",AQ2403)</f>
        <v/>
      </c>
      <c r="AZ2403" s="35" t="str">
        <f aca="false">IF($B2403="","",AP2403+AT2403/2)</f>
        <v/>
      </c>
      <c r="BA2403" s="35" t="str">
        <f aca="false">IF($B2403="","",AK2403+AN2403+AM2403/2+AO2403+AP2403+AQ2403+AR2403+AS2403+AT2403+AU2403+AV2403+AW2403)</f>
        <v/>
      </c>
      <c r="BB2403" s="35" t="str">
        <f aca="false">IF($B2403="","",MAX(0,AN2403-Settings!$C$16)*Settings!$C$17)</f>
        <v/>
      </c>
      <c r="BC2403" s="35" t="str">
        <f aca="false">IF($B2403="","",BA2403-BB2403)</f>
        <v/>
      </c>
      <c r="BD2403" s="35" t="str">
        <f aca="false">IF(OR($B2403="",$A2403=""),"",DAY(EOMONTH($A2403,0))-COUNTA($F2403:$AJ2403))</f>
        <v/>
      </c>
    </row>
    <row r="2404" customFormat="false" ht="15" hidden="false" customHeight="false" outlineLevel="0" collapsed="false">
      <c r="A2404" s="32"/>
      <c r="B2404" s="29"/>
      <c r="C2404" s="10" t="str">
        <f aca="false">IF($B2404="","",IFERROR(INDEX(M_name,MATCH($B2404,M_emp,0)),"Code not found"))</f>
        <v/>
      </c>
      <c r="D2404" s="10" t="str">
        <f aca="false">IF($B2404="","",IFERROR(INDEX(M_dept,MATCH($B2404,M_emp,0)),""))</f>
        <v/>
      </c>
      <c r="E2404" s="10" t="str">
        <f aca="false">IF($B2404="","",IFERROR(INDEX(M_loc,MATCH($B2404,M_emp,0)),""))</f>
        <v/>
      </c>
      <c r="F2404" s="33"/>
      <c r="G2404" s="33"/>
      <c r="H2404" s="33"/>
      <c r="I2404" s="33"/>
      <c r="J2404" s="33"/>
      <c r="K2404" s="33"/>
      <c r="L2404" s="33"/>
      <c r="M2404" s="33"/>
      <c r="N2404" s="33"/>
      <c r="O2404" s="33"/>
      <c r="P2404" s="33"/>
      <c r="Q2404" s="33"/>
      <c r="R2404" s="33"/>
      <c r="S2404" s="33"/>
      <c r="T2404" s="33"/>
      <c r="U2404" s="33"/>
      <c r="V2404" s="33"/>
      <c r="W2404" s="33"/>
      <c r="X2404" s="33"/>
      <c r="Y2404" s="33"/>
      <c r="Z2404" s="33"/>
      <c r="AA2404" s="33"/>
      <c r="AB2404" s="33"/>
      <c r="AC2404" s="33"/>
      <c r="AD2404" s="33"/>
      <c r="AE2404" s="33"/>
      <c r="AF2404" s="33"/>
      <c r="AG2404" s="33"/>
      <c r="AH2404" s="33"/>
      <c r="AI2404" s="33"/>
      <c r="AJ2404" s="33"/>
      <c r="AK2404" s="34" t="str">
        <f aca="false">IF($B2404="","",COUNTIF($F2404:$AJ2404,"P"))</f>
        <v/>
      </c>
      <c r="AL2404" s="34" t="str">
        <f aca="false">IF($B2404="","",COUNTIF($F2404:$AJ2404,"A"))</f>
        <v/>
      </c>
      <c r="AM2404" s="34" t="str">
        <f aca="false">IF($B2404="","",COUNTIF($F2404:$AJ2404,"HA"))</f>
        <v/>
      </c>
      <c r="AN2404" s="34" t="str">
        <f aca="false">IF($B2404="","",COUNTIF($F2404:$AJ2404,"L"))</f>
        <v/>
      </c>
      <c r="AO2404" s="34" t="str">
        <f aca="false">IF($B2404="","",COUNTIF($F2404:$AJ2404,"PL"))</f>
        <v/>
      </c>
      <c r="AP2404" s="34" t="str">
        <f aca="false">IF($B2404="","",COUNTIF($F2404:$AJ2404,"CL"))</f>
        <v/>
      </c>
      <c r="AQ2404" s="34" t="str">
        <f aca="false">IF($B2404="","",COUNTIF($F2404:$AJ2404,"SL"))</f>
        <v/>
      </c>
      <c r="AR2404" s="34" t="str">
        <f aca="false">IF($B2404="","",COUNTIF($F2404:$AJ2404,"CO"))</f>
        <v/>
      </c>
      <c r="AS2404" s="34" t="str">
        <f aca="false">IF($B2404="","",COUNTIF($F2404:$AJ2404,"HPL"))</f>
        <v/>
      </c>
      <c r="AT2404" s="34" t="str">
        <f aca="false">IF($B2404="","",COUNTIF($F2404:$AJ2404,"HCL"))</f>
        <v/>
      </c>
      <c r="AU2404" s="34" t="str">
        <f aca="false">IF($B2404="","",COUNTIF($F2404:$AJ2404,"WO"))</f>
        <v/>
      </c>
      <c r="AV2404" s="34" t="str">
        <f aca="false">IF($B2404="","",COUNTIF($F2404:$AJ2404,"PH"))</f>
        <v/>
      </c>
      <c r="AW2404" s="34" t="str">
        <f aca="false">IF($B2404="","",COUNTIF($F2404:$AJ2404,"TR"))</f>
        <v/>
      </c>
      <c r="AX2404" s="35" t="str">
        <f aca="false">IF($B2404="","",AO2404+AS2404/2)</f>
        <v/>
      </c>
      <c r="AY2404" s="35" t="str">
        <f aca="false">IF($B2404="","",AQ2404)</f>
        <v/>
      </c>
      <c r="AZ2404" s="35" t="str">
        <f aca="false">IF($B2404="","",AP2404+AT2404/2)</f>
        <v/>
      </c>
      <c r="BA2404" s="35" t="str">
        <f aca="false">IF($B2404="","",AK2404+AN2404+AM2404/2+AO2404+AP2404+AQ2404+AR2404+AS2404+AT2404+AU2404+AV2404+AW2404)</f>
        <v/>
      </c>
      <c r="BB2404" s="35" t="str">
        <f aca="false">IF($B2404="","",MAX(0,AN2404-Settings!$C$16)*Settings!$C$17)</f>
        <v/>
      </c>
      <c r="BC2404" s="35" t="str">
        <f aca="false">IF($B2404="","",BA2404-BB2404)</f>
        <v/>
      </c>
      <c r="BD2404" s="35" t="str">
        <f aca="false">IF(OR($B2404="",$A2404=""),"",DAY(EOMONTH($A2404,0))-COUNTA($F2404:$AJ2404))</f>
        <v/>
      </c>
    </row>
    <row r="2405" customFormat="false" ht="15" hidden="false" customHeight="false" outlineLevel="0" collapsed="false">
      <c r="A2405" s="32"/>
      <c r="B2405" s="29"/>
      <c r="C2405" s="10" t="str">
        <f aca="false">IF($B2405="","",IFERROR(INDEX(M_name,MATCH($B2405,M_emp,0)),"Code not found"))</f>
        <v/>
      </c>
      <c r="D2405" s="10" t="str">
        <f aca="false">IF($B2405="","",IFERROR(INDEX(M_dept,MATCH($B2405,M_emp,0)),""))</f>
        <v/>
      </c>
      <c r="E2405" s="10" t="str">
        <f aca="false">IF($B2405="","",IFERROR(INDEX(M_loc,MATCH($B2405,M_emp,0)),""))</f>
        <v/>
      </c>
      <c r="F2405" s="33"/>
      <c r="G2405" s="33"/>
      <c r="H2405" s="33"/>
      <c r="I2405" s="33"/>
      <c r="J2405" s="33"/>
      <c r="K2405" s="33"/>
      <c r="L2405" s="33"/>
      <c r="M2405" s="33"/>
      <c r="N2405" s="33"/>
      <c r="O2405" s="33"/>
      <c r="P2405" s="33"/>
      <c r="Q2405" s="33"/>
      <c r="R2405" s="33"/>
      <c r="S2405" s="33"/>
      <c r="T2405" s="33"/>
      <c r="U2405" s="33"/>
      <c r="V2405" s="33"/>
      <c r="W2405" s="33"/>
      <c r="X2405" s="33"/>
      <c r="Y2405" s="33"/>
      <c r="Z2405" s="33"/>
      <c r="AA2405" s="33"/>
      <c r="AB2405" s="33"/>
      <c r="AC2405" s="33"/>
      <c r="AD2405" s="33"/>
      <c r="AE2405" s="33"/>
      <c r="AF2405" s="33"/>
      <c r="AG2405" s="33"/>
      <c r="AH2405" s="33"/>
      <c r="AI2405" s="33"/>
      <c r="AJ2405" s="33"/>
      <c r="AK2405" s="34" t="str">
        <f aca="false">IF($B2405="","",COUNTIF($F2405:$AJ2405,"P"))</f>
        <v/>
      </c>
      <c r="AL2405" s="34" t="str">
        <f aca="false">IF($B2405="","",COUNTIF($F2405:$AJ2405,"A"))</f>
        <v/>
      </c>
      <c r="AM2405" s="34" t="str">
        <f aca="false">IF($B2405="","",COUNTIF($F2405:$AJ2405,"HA"))</f>
        <v/>
      </c>
      <c r="AN2405" s="34" t="str">
        <f aca="false">IF($B2405="","",COUNTIF($F2405:$AJ2405,"L"))</f>
        <v/>
      </c>
      <c r="AO2405" s="34" t="str">
        <f aca="false">IF($B2405="","",COUNTIF($F2405:$AJ2405,"PL"))</f>
        <v/>
      </c>
      <c r="AP2405" s="34" t="str">
        <f aca="false">IF($B2405="","",COUNTIF($F2405:$AJ2405,"CL"))</f>
        <v/>
      </c>
      <c r="AQ2405" s="34" t="str">
        <f aca="false">IF($B2405="","",COUNTIF($F2405:$AJ2405,"SL"))</f>
        <v/>
      </c>
      <c r="AR2405" s="34" t="str">
        <f aca="false">IF($B2405="","",COUNTIF($F2405:$AJ2405,"CO"))</f>
        <v/>
      </c>
      <c r="AS2405" s="34" t="str">
        <f aca="false">IF($B2405="","",COUNTIF($F2405:$AJ2405,"HPL"))</f>
        <v/>
      </c>
      <c r="AT2405" s="34" t="str">
        <f aca="false">IF($B2405="","",COUNTIF($F2405:$AJ2405,"HCL"))</f>
        <v/>
      </c>
      <c r="AU2405" s="34" t="str">
        <f aca="false">IF($B2405="","",COUNTIF($F2405:$AJ2405,"WO"))</f>
        <v/>
      </c>
      <c r="AV2405" s="34" t="str">
        <f aca="false">IF($B2405="","",COUNTIF($F2405:$AJ2405,"PH"))</f>
        <v/>
      </c>
      <c r="AW2405" s="34" t="str">
        <f aca="false">IF($B2405="","",COUNTIF($F2405:$AJ2405,"TR"))</f>
        <v/>
      </c>
      <c r="AX2405" s="35" t="str">
        <f aca="false">IF($B2405="","",AO2405+AS2405/2)</f>
        <v/>
      </c>
      <c r="AY2405" s="35" t="str">
        <f aca="false">IF($B2405="","",AQ2405)</f>
        <v/>
      </c>
      <c r="AZ2405" s="35" t="str">
        <f aca="false">IF($B2405="","",AP2405+AT2405/2)</f>
        <v/>
      </c>
      <c r="BA2405" s="35" t="str">
        <f aca="false">IF($B2405="","",AK2405+AN2405+AM2405/2+AO2405+AP2405+AQ2405+AR2405+AS2405+AT2405+AU2405+AV2405+AW2405)</f>
        <v/>
      </c>
      <c r="BB2405" s="35" t="str">
        <f aca="false">IF($B2405="","",MAX(0,AN2405-Settings!$C$16)*Settings!$C$17)</f>
        <v/>
      </c>
      <c r="BC2405" s="35" t="str">
        <f aca="false">IF($B2405="","",BA2405-BB2405)</f>
        <v/>
      </c>
      <c r="BD2405" s="35" t="str">
        <f aca="false">IF(OR($B2405="",$A2405=""),"",DAY(EOMONTH($A2405,0))-COUNTA($F2405:$AJ2405))</f>
        <v/>
      </c>
    </row>
  </sheetData>
  <autoFilter ref="A5:BD2405"/>
  <conditionalFormatting sqref="F6:AJ2405">
    <cfRule type="expression" priority="2" aboveAverage="0" equalAverage="0" bottom="0" percent="0" rank="0" text="" dxfId="11">
      <formula>AND($A6&lt;&gt;"",DAY(DATE(YEAR($A6),MONTH($A6),F$5))&lt;&gt;F$5)</formula>
    </cfRule>
    <cfRule type="cellIs" priority="3" operator="equal" aboveAverage="0" equalAverage="0" bottom="0" percent="0" rank="0" text="" dxfId="0">
      <formula>"A"</formula>
    </cfRule>
    <cfRule type="cellIs" priority="4" operator="equal" aboveAverage="0" equalAverage="0" bottom="0" percent="0" rank="0" text="" dxfId="12">
      <formula>"HA"</formula>
    </cfRule>
    <cfRule type="cellIs" priority="5" operator="equal" aboveAverage="0" equalAverage="0" bottom="0" percent="0" rank="0" text="" dxfId="13">
      <formula>"P"</formula>
    </cfRule>
    <cfRule type="cellIs" priority="6" operator="equal" aboveAverage="0" equalAverage="0" bottom="0" percent="0" rank="0" text="" dxfId="14">
      <formula>"L"</formula>
    </cfRule>
    <cfRule type="cellIs" priority="7" operator="equal" aboveAverage="0" equalAverage="0" bottom="0" percent="0" rank="0" text="" dxfId="15">
      <formula>"PL"</formula>
    </cfRule>
    <cfRule type="cellIs" priority="8" operator="equal" aboveAverage="0" equalAverage="0" bottom="0" percent="0" rank="0" text="" dxfId="15">
      <formula>"CL"</formula>
    </cfRule>
    <cfRule type="cellIs" priority="9" operator="equal" aboveAverage="0" equalAverage="0" bottom="0" percent="0" rank="0" text="" dxfId="15">
      <formula>"SL"</formula>
    </cfRule>
    <cfRule type="cellIs" priority="10" operator="equal" aboveAverage="0" equalAverage="0" bottom="0" percent="0" rank="0" text="" dxfId="15">
      <formula>"HPL"</formula>
    </cfRule>
    <cfRule type="cellIs" priority="11" operator="equal" aboveAverage="0" equalAverage="0" bottom="0" percent="0" rank="0" text="" dxfId="15">
      <formula>"HCL"</formula>
    </cfRule>
    <cfRule type="cellIs" priority="12" operator="equal" aboveAverage="0" equalAverage="0" bottom="0" percent="0" rank="0" text="" dxfId="15">
      <formula>"CO"</formula>
    </cfRule>
    <cfRule type="cellIs" priority="13" operator="equal" aboveAverage="0" equalAverage="0" bottom="0" percent="0" rank="0" text="" dxfId="15">
      <formula>"TR"</formula>
    </cfRule>
    <cfRule type="cellIs" priority="14" operator="equal" aboveAverage="0" equalAverage="0" bottom="0" percent="0" rank="0" text="" dxfId="16">
      <formula>"WO"</formula>
    </cfRule>
    <cfRule type="cellIs" priority="15" operator="equal" aboveAverage="0" equalAverage="0" bottom="0" percent="0" rank="0" text="" dxfId="16">
      <formula>"PH"</formula>
    </cfRule>
    <cfRule type="expression" priority="16" aboveAverage="0" equalAverage="0" bottom="0" percent="0" rank="0" text="" dxfId="17">
      <formula>AND($A6&lt;&gt;"",WEEKDAY(DATE(YEAR($A6),MONTH($A6),F$5))=1,F6="")</formula>
    </cfRule>
  </conditionalFormatting>
  <dataValidations count="2">
    <dataValidation allowBlank="true" error="Use: P,A,HA,L,PL,CL,SL,CO,HPL,HCL,WO,PH,TR" errorStyle="warning" errorTitle="Unknown code" operator="between" showDropDown="false" showErrorMessage="true" showInputMessage="false" sqref="F6:AJ2405" type="list">
      <formula1>"P,A,HA,L,PL,CL,SL,CO,HPL,HCL,WO,PH,TR"</formula1>
      <formula2>0</formula2>
    </dataValidation>
    <dataValidation allowBlank="true" errorStyle="stop" operator="between" showDropDown="false" showErrorMessage="false" showInputMessage="false" sqref="B6:B2405" type="list">
      <formula1>M_emp</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D5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8"/>
    <col collapsed="false" customWidth="true" hidden="false" outlineLevel="0" max="4" min="4" style="0" width="16"/>
    <col collapsed="false" customWidth="true" hidden="false" outlineLevel="0" max="5" min="5" style="0" width="14"/>
    <col collapsed="false" customWidth="true" hidden="false" outlineLevel="0" max="27" min="6" style="0" width="11"/>
    <col collapsed="false" customWidth="true" hidden="false" outlineLevel="0" max="28" min="28" style="0" width="34"/>
    <col collapsed="false" customWidth="true" hidden="false" outlineLevel="0" max="30" min="29" style="0" width="11"/>
  </cols>
  <sheetData>
    <row r="1" customFormat="false" ht="19.7" hidden="false" customHeight="false" outlineLevel="0" collapsed="false">
      <c r="A1" s="26" t="str">
        <f aca="false">"LEAVE RECORD - "&amp;Settings!$C$5&amp;" - Leave year "&amp;LvYear</f>
        <v>LEAVE RECORD - Your Company Name - Leave year 2026</v>
      </c>
    </row>
    <row r="2" customFormat="false" ht="15" hidden="false" customHeight="false" outlineLevel="0" collapsed="false">
      <c r="A2" s="20" t="s">
        <v>132</v>
      </c>
    </row>
    <row r="5" customFormat="false" ht="45" hidden="false" customHeight="true" outlineLevel="0" collapsed="false">
      <c r="A5" s="14" t="s">
        <v>133</v>
      </c>
      <c r="B5" s="14" t="s">
        <v>105</v>
      </c>
      <c r="C5" s="14" t="s">
        <v>106</v>
      </c>
      <c r="D5" s="14" t="s">
        <v>70</v>
      </c>
      <c r="E5" s="14" t="s">
        <v>77</v>
      </c>
      <c r="F5" s="14" t="s">
        <v>96</v>
      </c>
      <c r="G5" s="14" t="s">
        <v>108</v>
      </c>
      <c r="H5" s="36" t="s">
        <v>134</v>
      </c>
      <c r="I5" s="36" t="s">
        <v>135</v>
      </c>
      <c r="J5" s="36" t="s">
        <v>136</v>
      </c>
      <c r="K5" s="36" t="s">
        <v>137</v>
      </c>
      <c r="L5" s="36" t="s">
        <v>138</v>
      </c>
      <c r="M5" s="36" t="s">
        <v>139</v>
      </c>
      <c r="N5" s="37" t="s">
        <v>140</v>
      </c>
      <c r="O5" s="36" t="s">
        <v>141</v>
      </c>
      <c r="P5" s="36" t="s">
        <v>142</v>
      </c>
      <c r="Q5" s="36" t="s">
        <v>143</v>
      </c>
      <c r="R5" s="31" t="s">
        <v>144</v>
      </c>
      <c r="S5" s="31" t="s">
        <v>145</v>
      </c>
      <c r="T5" s="31" t="s">
        <v>146</v>
      </c>
      <c r="U5" s="31" t="s">
        <v>147</v>
      </c>
      <c r="V5" s="31" t="s">
        <v>72</v>
      </c>
      <c r="W5" s="31" t="s">
        <v>73</v>
      </c>
      <c r="X5" s="31" t="s">
        <v>74</v>
      </c>
      <c r="Y5" s="31" t="s">
        <v>148</v>
      </c>
      <c r="Z5" s="31" t="s">
        <v>149</v>
      </c>
      <c r="AA5" s="31" t="s">
        <v>150</v>
      </c>
      <c r="AB5" s="31" t="s">
        <v>151</v>
      </c>
      <c r="AC5" s="31" t="s">
        <v>152</v>
      </c>
      <c r="AD5" s="31" t="s">
        <v>153</v>
      </c>
    </row>
    <row r="6" customFormat="false" ht="15" hidden="false" customHeight="false" outlineLevel="0" collapsed="false">
      <c r="A6" s="8" t="str">
        <f aca="false">IF('Employee List'!B6="","",'Employee List'!B6)</f>
        <v/>
      </c>
      <c r="B6" s="8" t="str">
        <f aca="false">IF($A6="","",'Employee List'!C6)</f>
        <v/>
      </c>
      <c r="C6" s="8" t="str">
        <f aca="false">IF($A6="","",'Employee List'!E6&amp;"")</f>
        <v/>
      </c>
      <c r="D6" s="8" t="str">
        <f aca="false">IF($A6="","",'Employee List'!F6&amp;"")</f>
        <v/>
      </c>
      <c r="E6" s="8" t="str">
        <f aca="false">IF($A6="","",'Employee List'!G6&amp;"")</f>
        <v/>
      </c>
      <c r="F6" s="8" t="str">
        <f aca="false">IF($A6="","",'Employee List'!D6)</f>
        <v/>
      </c>
      <c r="G6" s="38" t="str">
        <f aca="false">IF($A6="","",IF('Employee List'!I6="","",'Employee List'!I6))</f>
        <v/>
      </c>
      <c r="H6" s="38" t="str">
        <f aca="false">IF(OR($A6="",G6=""),"",G6+Settings!$C$13)</f>
        <v/>
      </c>
      <c r="I6" s="38" t="str">
        <f aca="false">IF(H6="","",MAX(H6,DATE(LvYear,1,1)))</f>
        <v/>
      </c>
      <c r="J6" s="38" t="str">
        <f aca="false">IF($A6="","",IF('Employee List'!J6="",DATE(LvYear,12,31),MIN('Employee List'!J6,DATE(LvYear,12,31))))</f>
        <v/>
      </c>
      <c r="K6" s="39" t="str">
        <f aca="false">IF(OR(I6="",J6=""),"",MAX(0,J6-I6+1))</f>
        <v/>
      </c>
      <c r="L6" s="16" t="str">
        <f aca="false">IF($A6="","",IF(AND(ISNUMBER(K6),K6=0),0,Settings!$C$10))</f>
        <v/>
      </c>
      <c r="M6" s="16" t="str">
        <f aca="false">IF($A6="","",IF(AND(ISNUMBER(K6),K6=0),0,Settings!$C$11))</f>
        <v/>
      </c>
      <c r="N6" s="40"/>
      <c r="O6" s="16" t="str">
        <f aca="false">IF($A6="","",FLOOR(Settings!$C$12/365*N(K6),0.5))</f>
        <v/>
      </c>
      <c r="P6" s="16" t="str">
        <f aca="false">IF($A6="","",IF(I6="",N(N6),FLOOR(Settings!$C$12/365*MAX(0,MIN(LvAsOf,J6)-I6+1)+N(N6),0.5)))</f>
        <v/>
      </c>
      <c r="Q6" s="16" t="str">
        <f aca="false">IF($A6="","",Settings!$C$14)</f>
        <v/>
      </c>
      <c r="R6" s="16" t="str">
        <f aca="false">IF($A6="","",SUMIFS(Attendance!$AZ$6:$AZ$2405,Attendance!$B$6:$B$2405,$A6,Attendance!$A$6:$A$2405,"&gt;="&amp;DATE(LvYear,1,1),Attendance!$A$6:$A$2405,"&lt;="&amp;DATE(LvYear,12,31)))</f>
        <v/>
      </c>
      <c r="S6" s="16" t="str">
        <f aca="false">IF($A6="","",SUMIFS(Attendance!$AY$6:$AY$2405,Attendance!$B$6:$B$2405,$A6,Attendance!$A$6:$A$2405,"&gt;="&amp;DATE(LvYear,1,1),Attendance!$A$6:$A$2405,"&lt;="&amp;DATE(LvYear,12,31)))</f>
        <v/>
      </c>
      <c r="T6" s="16" t="str">
        <f aca="false">IF($A6="","",SUMIFS(Attendance!$AX$6:$AX$2405,Attendance!$B$6:$B$2405,$A6,Attendance!$A$6:$A$2405,"&gt;="&amp;DATE(LvYear,1,1),Attendance!$A$6:$A$2405,"&lt;="&amp;DATE(LvYear,12,31)))</f>
        <v/>
      </c>
      <c r="U6" s="16" t="str">
        <f aca="false">IF($A6="","",SUMIFS(Attendance!$AW$6:$AW$2405,Attendance!$B$6:$B$2405,$A6,Attendance!$A$6:$A$2405,"&gt;="&amp;DATE(LvYear,1,1),Attendance!$A$6:$A$2405,"&lt;="&amp;DATE(LvYear,12,31)))</f>
        <v/>
      </c>
      <c r="V6" s="16" t="str">
        <f aca="false">IF($A6="","",L6-R6)</f>
        <v/>
      </c>
      <c r="W6" s="16" t="str">
        <f aca="false">IF($A6="","",M6-S6)</f>
        <v/>
      </c>
      <c r="X6" s="16" t="str">
        <f aca="false">IF($A6="","",P6-T6)</f>
        <v/>
      </c>
      <c r="Y6" s="16" t="str">
        <f aca="false">IF($A6="","",Q6-U6)</f>
        <v/>
      </c>
      <c r="Z6" s="16" t="str">
        <f aca="false">IF($A6="","",V6+W6+X6)</f>
        <v/>
      </c>
      <c r="AA6" s="16" t="str">
        <f aca="false">IF($A6="","",O6+N(N6)-T6)</f>
        <v/>
      </c>
      <c r="AB6" s="8" t="str">
        <f aca="false">IF($A6="","","CL "&amp;V6&amp;" | SL "&amp;W6&amp;" | PL "&amp;X6&amp;" | TR "&amp;Y6)</f>
        <v/>
      </c>
      <c r="AC6" s="15" t="str">
        <f aca="false">IF($A6="","",IF(F6="Exited","EXITED",IF(AND(ISNUMBER(K6),K6=0),"NOT ELIGIBLE",IF(MIN(V6:X6)&lt;0,"OVER-USED",IF(Z6&lt;=Settings!$C$15,"LOW","OK")))))</f>
        <v/>
      </c>
      <c r="AD6" s="16" t="str">
        <f aca="false">IF(OR(AC6="OVER-USED",AC6="LOW"),COUNTIF(AC$6:AC6,"OVER-USED")+COUNTIF(AC$6:AC6,"LOW"),"")</f>
        <v/>
      </c>
    </row>
    <row r="7" customFormat="false" ht="15" hidden="false" customHeight="false" outlineLevel="0" collapsed="false">
      <c r="A7" s="8" t="str">
        <f aca="false">IF('Employee List'!B7="","",'Employee List'!B7)</f>
        <v/>
      </c>
      <c r="B7" s="8" t="str">
        <f aca="false">IF($A7="","",'Employee List'!C7)</f>
        <v/>
      </c>
      <c r="C7" s="8" t="str">
        <f aca="false">IF($A7="","",'Employee List'!E7&amp;"")</f>
        <v/>
      </c>
      <c r="D7" s="8" t="str">
        <f aca="false">IF($A7="","",'Employee List'!F7&amp;"")</f>
        <v/>
      </c>
      <c r="E7" s="8" t="str">
        <f aca="false">IF($A7="","",'Employee List'!G7&amp;"")</f>
        <v/>
      </c>
      <c r="F7" s="8" t="str">
        <f aca="false">IF($A7="","",'Employee List'!D7)</f>
        <v/>
      </c>
      <c r="G7" s="38" t="str">
        <f aca="false">IF($A7="","",IF('Employee List'!I7="","",'Employee List'!I7))</f>
        <v/>
      </c>
      <c r="H7" s="38" t="str">
        <f aca="false">IF(OR($A7="",G7=""),"",G7+Settings!$C$13)</f>
        <v/>
      </c>
      <c r="I7" s="38" t="str">
        <f aca="false">IF(H7="","",MAX(H7,DATE(LvYear,1,1)))</f>
        <v/>
      </c>
      <c r="J7" s="38" t="str">
        <f aca="false">IF($A7="","",IF('Employee List'!J7="",DATE(LvYear,12,31),MIN('Employee List'!J7,DATE(LvYear,12,31))))</f>
        <v/>
      </c>
      <c r="K7" s="39" t="str">
        <f aca="false">IF(OR(I7="",J7=""),"",MAX(0,J7-I7+1))</f>
        <v/>
      </c>
      <c r="L7" s="16" t="str">
        <f aca="false">IF($A7="","",IF(AND(ISNUMBER(K7),K7=0),0,Settings!$C$10))</f>
        <v/>
      </c>
      <c r="M7" s="16" t="str">
        <f aca="false">IF($A7="","",IF(AND(ISNUMBER(K7),K7=0),0,Settings!$C$11))</f>
        <v/>
      </c>
      <c r="N7" s="40"/>
      <c r="O7" s="16" t="str">
        <f aca="false">IF($A7="","",FLOOR(Settings!$C$12/365*N(K7),0.5))</f>
        <v/>
      </c>
      <c r="P7" s="16" t="str">
        <f aca="false">IF($A7="","",IF(I7="",N(N7),FLOOR(Settings!$C$12/365*MAX(0,MIN(LvAsOf,J7)-I7+1)+N(N7),0.5)))</f>
        <v/>
      </c>
      <c r="Q7" s="16" t="str">
        <f aca="false">IF($A7="","",Settings!$C$14)</f>
        <v/>
      </c>
      <c r="R7" s="16" t="str">
        <f aca="false">IF($A7="","",SUMIFS(Attendance!$AZ$6:$AZ$2405,Attendance!$B$6:$B$2405,$A7,Attendance!$A$6:$A$2405,"&gt;="&amp;DATE(LvYear,1,1),Attendance!$A$6:$A$2405,"&lt;="&amp;DATE(LvYear,12,31)))</f>
        <v/>
      </c>
      <c r="S7" s="16" t="str">
        <f aca="false">IF($A7="","",SUMIFS(Attendance!$AY$6:$AY$2405,Attendance!$B$6:$B$2405,$A7,Attendance!$A$6:$A$2405,"&gt;="&amp;DATE(LvYear,1,1),Attendance!$A$6:$A$2405,"&lt;="&amp;DATE(LvYear,12,31)))</f>
        <v/>
      </c>
      <c r="T7" s="16" t="str">
        <f aca="false">IF($A7="","",SUMIFS(Attendance!$AX$6:$AX$2405,Attendance!$B$6:$B$2405,$A7,Attendance!$A$6:$A$2405,"&gt;="&amp;DATE(LvYear,1,1),Attendance!$A$6:$A$2405,"&lt;="&amp;DATE(LvYear,12,31)))</f>
        <v/>
      </c>
      <c r="U7" s="16" t="str">
        <f aca="false">IF($A7="","",SUMIFS(Attendance!$AW$6:$AW$2405,Attendance!$B$6:$B$2405,$A7,Attendance!$A$6:$A$2405,"&gt;="&amp;DATE(LvYear,1,1),Attendance!$A$6:$A$2405,"&lt;="&amp;DATE(LvYear,12,31)))</f>
        <v/>
      </c>
      <c r="V7" s="16" t="str">
        <f aca="false">IF($A7="","",L7-R7)</f>
        <v/>
      </c>
      <c r="W7" s="16" t="str">
        <f aca="false">IF($A7="","",M7-S7)</f>
        <v/>
      </c>
      <c r="X7" s="16" t="str">
        <f aca="false">IF($A7="","",P7-T7)</f>
        <v/>
      </c>
      <c r="Y7" s="16" t="str">
        <f aca="false">IF($A7="","",Q7-U7)</f>
        <v/>
      </c>
      <c r="Z7" s="16" t="str">
        <f aca="false">IF($A7="","",V7+W7+X7)</f>
        <v/>
      </c>
      <c r="AA7" s="16" t="str">
        <f aca="false">IF($A7="","",O7+N(N7)-T7)</f>
        <v/>
      </c>
      <c r="AB7" s="8" t="str">
        <f aca="false">IF($A7="","","CL "&amp;V7&amp;" | SL "&amp;W7&amp;" | PL "&amp;X7&amp;" | TR "&amp;Y7)</f>
        <v/>
      </c>
      <c r="AC7" s="15" t="str">
        <f aca="false">IF($A7="","",IF(F7="Exited","EXITED",IF(AND(ISNUMBER(K7),K7=0),"NOT ELIGIBLE",IF(MIN(V7:X7)&lt;0,"OVER-USED",IF(Z7&lt;=Settings!$C$15,"LOW","OK")))))</f>
        <v/>
      </c>
      <c r="AD7" s="16" t="str">
        <f aca="false">IF(OR(AC7="OVER-USED",AC7="LOW"),COUNTIF(AC$6:AC7,"OVER-USED")+COUNTIF(AC$6:AC7,"LOW"),"")</f>
        <v/>
      </c>
    </row>
    <row r="8" customFormat="false" ht="15" hidden="false" customHeight="false" outlineLevel="0" collapsed="false">
      <c r="A8" s="8" t="str">
        <f aca="false">IF('Employee List'!B8="","",'Employee List'!B8)</f>
        <v/>
      </c>
      <c r="B8" s="8" t="str">
        <f aca="false">IF($A8="","",'Employee List'!C8)</f>
        <v/>
      </c>
      <c r="C8" s="8" t="str">
        <f aca="false">IF($A8="","",'Employee List'!E8&amp;"")</f>
        <v/>
      </c>
      <c r="D8" s="8" t="str">
        <f aca="false">IF($A8="","",'Employee List'!F8&amp;"")</f>
        <v/>
      </c>
      <c r="E8" s="8" t="str">
        <f aca="false">IF($A8="","",'Employee List'!G8&amp;"")</f>
        <v/>
      </c>
      <c r="F8" s="8" t="str">
        <f aca="false">IF($A8="","",'Employee List'!D8)</f>
        <v/>
      </c>
      <c r="G8" s="38" t="str">
        <f aca="false">IF($A8="","",IF('Employee List'!I8="","",'Employee List'!I8))</f>
        <v/>
      </c>
      <c r="H8" s="38" t="str">
        <f aca="false">IF(OR($A8="",G8=""),"",G8+Settings!$C$13)</f>
        <v/>
      </c>
      <c r="I8" s="38" t="str">
        <f aca="false">IF(H8="","",MAX(H8,DATE(LvYear,1,1)))</f>
        <v/>
      </c>
      <c r="J8" s="38" t="str">
        <f aca="false">IF($A8="","",IF('Employee List'!J8="",DATE(LvYear,12,31),MIN('Employee List'!J8,DATE(LvYear,12,31))))</f>
        <v/>
      </c>
      <c r="K8" s="39" t="str">
        <f aca="false">IF(OR(I8="",J8=""),"",MAX(0,J8-I8+1))</f>
        <v/>
      </c>
      <c r="L8" s="16" t="str">
        <f aca="false">IF($A8="","",IF(AND(ISNUMBER(K8),K8=0),0,Settings!$C$10))</f>
        <v/>
      </c>
      <c r="M8" s="16" t="str">
        <f aca="false">IF($A8="","",IF(AND(ISNUMBER(K8),K8=0),0,Settings!$C$11))</f>
        <v/>
      </c>
      <c r="N8" s="40"/>
      <c r="O8" s="16" t="str">
        <f aca="false">IF($A8="","",FLOOR(Settings!$C$12/365*N(K8),0.5))</f>
        <v/>
      </c>
      <c r="P8" s="16" t="str">
        <f aca="false">IF($A8="","",IF(I8="",N(N8),FLOOR(Settings!$C$12/365*MAX(0,MIN(LvAsOf,J8)-I8+1)+N(N8),0.5)))</f>
        <v/>
      </c>
      <c r="Q8" s="16" t="str">
        <f aca="false">IF($A8="","",Settings!$C$14)</f>
        <v/>
      </c>
      <c r="R8" s="16" t="str">
        <f aca="false">IF($A8="","",SUMIFS(Attendance!$AZ$6:$AZ$2405,Attendance!$B$6:$B$2405,$A8,Attendance!$A$6:$A$2405,"&gt;="&amp;DATE(LvYear,1,1),Attendance!$A$6:$A$2405,"&lt;="&amp;DATE(LvYear,12,31)))</f>
        <v/>
      </c>
      <c r="S8" s="16" t="str">
        <f aca="false">IF($A8="","",SUMIFS(Attendance!$AY$6:$AY$2405,Attendance!$B$6:$B$2405,$A8,Attendance!$A$6:$A$2405,"&gt;="&amp;DATE(LvYear,1,1),Attendance!$A$6:$A$2405,"&lt;="&amp;DATE(LvYear,12,31)))</f>
        <v/>
      </c>
      <c r="T8" s="16" t="str">
        <f aca="false">IF($A8="","",SUMIFS(Attendance!$AX$6:$AX$2405,Attendance!$B$6:$B$2405,$A8,Attendance!$A$6:$A$2405,"&gt;="&amp;DATE(LvYear,1,1),Attendance!$A$6:$A$2405,"&lt;="&amp;DATE(LvYear,12,31)))</f>
        <v/>
      </c>
      <c r="U8" s="16" t="str">
        <f aca="false">IF($A8="","",SUMIFS(Attendance!$AW$6:$AW$2405,Attendance!$B$6:$B$2405,$A8,Attendance!$A$6:$A$2405,"&gt;="&amp;DATE(LvYear,1,1),Attendance!$A$6:$A$2405,"&lt;="&amp;DATE(LvYear,12,31)))</f>
        <v/>
      </c>
      <c r="V8" s="16" t="str">
        <f aca="false">IF($A8="","",L8-R8)</f>
        <v/>
      </c>
      <c r="W8" s="16" t="str">
        <f aca="false">IF($A8="","",M8-S8)</f>
        <v/>
      </c>
      <c r="X8" s="16" t="str">
        <f aca="false">IF($A8="","",P8-T8)</f>
        <v/>
      </c>
      <c r="Y8" s="16" t="str">
        <f aca="false">IF($A8="","",Q8-U8)</f>
        <v/>
      </c>
      <c r="Z8" s="16" t="str">
        <f aca="false">IF($A8="","",V8+W8+X8)</f>
        <v/>
      </c>
      <c r="AA8" s="16" t="str">
        <f aca="false">IF($A8="","",O8+N(N8)-T8)</f>
        <v/>
      </c>
      <c r="AB8" s="8" t="str">
        <f aca="false">IF($A8="","","CL "&amp;V8&amp;" | SL "&amp;W8&amp;" | PL "&amp;X8&amp;" | TR "&amp;Y8)</f>
        <v/>
      </c>
      <c r="AC8" s="15" t="str">
        <f aca="false">IF($A8="","",IF(F8="Exited","EXITED",IF(AND(ISNUMBER(K8),K8=0),"NOT ELIGIBLE",IF(MIN(V8:X8)&lt;0,"OVER-USED",IF(Z8&lt;=Settings!$C$15,"LOW","OK")))))</f>
        <v/>
      </c>
      <c r="AD8" s="16" t="str">
        <f aca="false">IF(OR(AC8="OVER-USED",AC8="LOW"),COUNTIF(AC$6:AC8,"OVER-USED")+COUNTIF(AC$6:AC8,"LOW"),"")</f>
        <v/>
      </c>
    </row>
    <row r="9" customFormat="false" ht="15" hidden="false" customHeight="false" outlineLevel="0" collapsed="false">
      <c r="A9" s="8" t="str">
        <f aca="false">IF('Employee List'!B9="","",'Employee List'!B9)</f>
        <v/>
      </c>
      <c r="B9" s="8" t="str">
        <f aca="false">IF($A9="","",'Employee List'!C9)</f>
        <v/>
      </c>
      <c r="C9" s="8" t="str">
        <f aca="false">IF($A9="","",'Employee List'!E9&amp;"")</f>
        <v/>
      </c>
      <c r="D9" s="8" t="str">
        <f aca="false">IF($A9="","",'Employee List'!F9&amp;"")</f>
        <v/>
      </c>
      <c r="E9" s="8" t="str">
        <f aca="false">IF($A9="","",'Employee List'!G9&amp;"")</f>
        <v/>
      </c>
      <c r="F9" s="8" t="str">
        <f aca="false">IF($A9="","",'Employee List'!D9)</f>
        <v/>
      </c>
      <c r="G9" s="38" t="str">
        <f aca="false">IF($A9="","",IF('Employee List'!I9="","",'Employee List'!I9))</f>
        <v/>
      </c>
      <c r="H9" s="38" t="str">
        <f aca="false">IF(OR($A9="",G9=""),"",G9+Settings!$C$13)</f>
        <v/>
      </c>
      <c r="I9" s="38" t="str">
        <f aca="false">IF(H9="","",MAX(H9,DATE(LvYear,1,1)))</f>
        <v/>
      </c>
      <c r="J9" s="38" t="str">
        <f aca="false">IF($A9="","",IF('Employee List'!J9="",DATE(LvYear,12,31),MIN('Employee List'!J9,DATE(LvYear,12,31))))</f>
        <v/>
      </c>
      <c r="K9" s="39" t="str">
        <f aca="false">IF(OR(I9="",J9=""),"",MAX(0,J9-I9+1))</f>
        <v/>
      </c>
      <c r="L9" s="16" t="str">
        <f aca="false">IF($A9="","",IF(AND(ISNUMBER(K9),K9=0),0,Settings!$C$10))</f>
        <v/>
      </c>
      <c r="M9" s="16" t="str">
        <f aca="false">IF($A9="","",IF(AND(ISNUMBER(K9),K9=0),0,Settings!$C$11))</f>
        <v/>
      </c>
      <c r="N9" s="40"/>
      <c r="O9" s="16" t="str">
        <f aca="false">IF($A9="","",FLOOR(Settings!$C$12/365*N(K9),0.5))</f>
        <v/>
      </c>
      <c r="P9" s="16" t="str">
        <f aca="false">IF($A9="","",IF(I9="",N(N9),FLOOR(Settings!$C$12/365*MAX(0,MIN(LvAsOf,J9)-I9+1)+N(N9),0.5)))</f>
        <v/>
      </c>
      <c r="Q9" s="16" t="str">
        <f aca="false">IF($A9="","",Settings!$C$14)</f>
        <v/>
      </c>
      <c r="R9" s="16" t="str">
        <f aca="false">IF($A9="","",SUMIFS(Attendance!$AZ$6:$AZ$2405,Attendance!$B$6:$B$2405,$A9,Attendance!$A$6:$A$2405,"&gt;="&amp;DATE(LvYear,1,1),Attendance!$A$6:$A$2405,"&lt;="&amp;DATE(LvYear,12,31)))</f>
        <v/>
      </c>
      <c r="S9" s="16" t="str">
        <f aca="false">IF($A9="","",SUMIFS(Attendance!$AY$6:$AY$2405,Attendance!$B$6:$B$2405,$A9,Attendance!$A$6:$A$2405,"&gt;="&amp;DATE(LvYear,1,1),Attendance!$A$6:$A$2405,"&lt;="&amp;DATE(LvYear,12,31)))</f>
        <v/>
      </c>
      <c r="T9" s="16" t="str">
        <f aca="false">IF($A9="","",SUMIFS(Attendance!$AX$6:$AX$2405,Attendance!$B$6:$B$2405,$A9,Attendance!$A$6:$A$2405,"&gt;="&amp;DATE(LvYear,1,1),Attendance!$A$6:$A$2405,"&lt;="&amp;DATE(LvYear,12,31)))</f>
        <v/>
      </c>
      <c r="U9" s="16" t="str">
        <f aca="false">IF($A9="","",SUMIFS(Attendance!$AW$6:$AW$2405,Attendance!$B$6:$B$2405,$A9,Attendance!$A$6:$A$2405,"&gt;="&amp;DATE(LvYear,1,1),Attendance!$A$6:$A$2405,"&lt;="&amp;DATE(LvYear,12,31)))</f>
        <v/>
      </c>
      <c r="V9" s="16" t="str">
        <f aca="false">IF($A9="","",L9-R9)</f>
        <v/>
      </c>
      <c r="W9" s="16" t="str">
        <f aca="false">IF($A9="","",M9-S9)</f>
        <v/>
      </c>
      <c r="X9" s="16" t="str">
        <f aca="false">IF($A9="","",P9-T9)</f>
        <v/>
      </c>
      <c r="Y9" s="16" t="str">
        <f aca="false">IF($A9="","",Q9-U9)</f>
        <v/>
      </c>
      <c r="Z9" s="16" t="str">
        <f aca="false">IF($A9="","",V9+W9+X9)</f>
        <v/>
      </c>
      <c r="AA9" s="16" t="str">
        <f aca="false">IF($A9="","",O9+N(N9)-T9)</f>
        <v/>
      </c>
      <c r="AB9" s="8" t="str">
        <f aca="false">IF($A9="","","CL "&amp;V9&amp;" | SL "&amp;W9&amp;" | PL "&amp;X9&amp;" | TR "&amp;Y9)</f>
        <v/>
      </c>
      <c r="AC9" s="15" t="str">
        <f aca="false">IF($A9="","",IF(F9="Exited","EXITED",IF(AND(ISNUMBER(K9),K9=0),"NOT ELIGIBLE",IF(MIN(V9:X9)&lt;0,"OVER-USED",IF(Z9&lt;=Settings!$C$15,"LOW","OK")))))</f>
        <v/>
      </c>
      <c r="AD9" s="16" t="str">
        <f aca="false">IF(OR(AC9="OVER-USED",AC9="LOW"),COUNTIF(AC$6:AC9,"OVER-USED")+COUNTIF(AC$6:AC9,"LOW"),"")</f>
        <v/>
      </c>
    </row>
    <row r="10" customFormat="false" ht="15" hidden="false" customHeight="false" outlineLevel="0" collapsed="false">
      <c r="A10" s="8" t="str">
        <f aca="false">IF('Employee List'!B10="","",'Employee List'!B10)</f>
        <v/>
      </c>
      <c r="B10" s="8" t="str">
        <f aca="false">IF($A10="","",'Employee List'!C10)</f>
        <v/>
      </c>
      <c r="C10" s="8" t="str">
        <f aca="false">IF($A10="","",'Employee List'!E10&amp;"")</f>
        <v/>
      </c>
      <c r="D10" s="8" t="str">
        <f aca="false">IF($A10="","",'Employee List'!F10&amp;"")</f>
        <v/>
      </c>
      <c r="E10" s="8" t="str">
        <f aca="false">IF($A10="","",'Employee List'!G10&amp;"")</f>
        <v/>
      </c>
      <c r="F10" s="8" t="str">
        <f aca="false">IF($A10="","",'Employee List'!D10)</f>
        <v/>
      </c>
      <c r="G10" s="38" t="str">
        <f aca="false">IF($A10="","",IF('Employee List'!I10="","",'Employee List'!I10))</f>
        <v/>
      </c>
      <c r="H10" s="38" t="str">
        <f aca="false">IF(OR($A10="",G10=""),"",G10+Settings!$C$13)</f>
        <v/>
      </c>
      <c r="I10" s="38" t="str">
        <f aca="false">IF(H10="","",MAX(H10,DATE(LvYear,1,1)))</f>
        <v/>
      </c>
      <c r="J10" s="38" t="str">
        <f aca="false">IF($A10="","",IF('Employee List'!J10="",DATE(LvYear,12,31),MIN('Employee List'!J10,DATE(LvYear,12,31))))</f>
        <v/>
      </c>
      <c r="K10" s="39" t="str">
        <f aca="false">IF(OR(I10="",J10=""),"",MAX(0,J10-I10+1))</f>
        <v/>
      </c>
      <c r="L10" s="16" t="str">
        <f aca="false">IF($A10="","",IF(AND(ISNUMBER(K10),K10=0),0,Settings!$C$10))</f>
        <v/>
      </c>
      <c r="M10" s="16" t="str">
        <f aca="false">IF($A10="","",IF(AND(ISNUMBER(K10),K10=0),0,Settings!$C$11))</f>
        <v/>
      </c>
      <c r="N10" s="40"/>
      <c r="O10" s="16" t="str">
        <f aca="false">IF($A10="","",FLOOR(Settings!$C$12/365*N(K10),0.5))</f>
        <v/>
      </c>
      <c r="P10" s="16" t="str">
        <f aca="false">IF($A10="","",IF(I10="",N(N10),FLOOR(Settings!$C$12/365*MAX(0,MIN(LvAsOf,J10)-I10+1)+N(N10),0.5)))</f>
        <v/>
      </c>
      <c r="Q10" s="16" t="str">
        <f aca="false">IF($A10="","",Settings!$C$14)</f>
        <v/>
      </c>
      <c r="R10" s="16" t="str">
        <f aca="false">IF($A10="","",SUMIFS(Attendance!$AZ$6:$AZ$2405,Attendance!$B$6:$B$2405,$A10,Attendance!$A$6:$A$2405,"&gt;="&amp;DATE(LvYear,1,1),Attendance!$A$6:$A$2405,"&lt;="&amp;DATE(LvYear,12,31)))</f>
        <v/>
      </c>
      <c r="S10" s="16" t="str">
        <f aca="false">IF($A10="","",SUMIFS(Attendance!$AY$6:$AY$2405,Attendance!$B$6:$B$2405,$A10,Attendance!$A$6:$A$2405,"&gt;="&amp;DATE(LvYear,1,1),Attendance!$A$6:$A$2405,"&lt;="&amp;DATE(LvYear,12,31)))</f>
        <v/>
      </c>
      <c r="T10" s="16" t="str">
        <f aca="false">IF($A10="","",SUMIFS(Attendance!$AX$6:$AX$2405,Attendance!$B$6:$B$2405,$A10,Attendance!$A$6:$A$2405,"&gt;="&amp;DATE(LvYear,1,1),Attendance!$A$6:$A$2405,"&lt;="&amp;DATE(LvYear,12,31)))</f>
        <v/>
      </c>
      <c r="U10" s="16" t="str">
        <f aca="false">IF($A10="","",SUMIFS(Attendance!$AW$6:$AW$2405,Attendance!$B$6:$B$2405,$A10,Attendance!$A$6:$A$2405,"&gt;="&amp;DATE(LvYear,1,1),Attendance!$A$6:$A$2405,"&lt;="&amp;DATE(LvYear,12,31)))</f>
        <v/>
      </c>
      <c r="V10" s="16" t="str">
        <f aca="false">IF($A10="","",L10-R10)</f>
        <v/>
      </c>
      <c r="W10" s="16" t="str">
        <f aca="false">IF($A10="","",M10-S10)</f>
        <v/>
      </c>
      <c r="X10" s="16" t="str">
        <f aca="false">IF($A10="","",P10-T10)</f>
        <v/>
      </c>
      <c r="Y10" s="16" t="str">
        <f aca="false">IF($A10="","",Q10-U10)</f>
        <v/>
      </c>
      <c r="Z10" s="16" t="str">
        <f aca="false">IF($A10="","",V10+W10+X10)</f>
        <v/>
      </c>
      <c r="AA10" s="16" t="str">
        <f aca="false">IF($A10="","",O10+N(N10)-T10)</f>
        <v/>
      </c>
      <c r="AB10" s="8" t="str">
        <f aca="false">IF($A10="","","CL "&amp;V10&amp;" | SL "&amp;W10&amp;" | PL "&amp;X10&amp;" | TR "&amp;Y10)</f>
        <v/>
      </c>
      <c r="AC10" s="15" t="str">
        <f aca="false">IF($A10="","",IF(F10="Exited","EXITED",IF(AND(ISNUMBER(K10),K10=0),"NOT ELIGIBLE",IF(MIN(V10:X10)&lt;0,"OVER-USED",IF(Z10&lt;=Settings!$C$15,"LOW","OK")))))</f>
        <v/>
      </c>
      <c r="AD10" s="16" t="str">
        <f aca="false">IF(OR(AC10="OVER-USED",AC10="LOW"),COUNTIF(AC$6:AC10,"OVER-USED")+COUNTIF(AC$6:AC10,"LOW"),"")</f>
        <v/>
      </c>
    </row>
    <row r="11" customFormat="false" ht="15" hidden="false" customHeight="false" outlineLevel="0" collapsed="false">
      <c r="A11" s="8" t="str">
        <f aca="false">IF('Employee List'!B11="","",'Employee List'!B11)</f>
        <v/>
      </c>
      <c r="B11" s="8" t="str">
        <f aca="false">IF($A11="","",'Employee List'!C11)</f>
        <v/>
      </c>
      <c r="C11" s="8" t="str">
        <f aca="false">IF($A11="","",'Employee List'!E11&amp;"")</f>
        <v/>
      </c>
      <c r="D11" s="8" t="str">
        <f aca="false">IF($A11="","",'Employee List'!F11&amp;"")</f>
        <v/>
      </c>
      <c r="E11" s="8" t="str">
        <f aca="false">IF($A11="","",'Employee List'!G11&amp;"")</f>
        <v/>
      </c>
      <c r="F11" s="8" t="str">
        <f aca="false">IF($A11="","",'Employee List'!D11)</f>
        <v/>
      </c>
      <c r="G11" s="38" t="str">
        <f aca="false">IF($A11="","",IF('Employee List'!I11="","",'Employee List'!I11))</f>
        <v/>
      </c>
      <c r="H11" s="38" t="str">
        <f aca="false">IF(OR($A11="",G11=""),"",G11+Settings!$C$13)</f>
        <v/>
      </c>
      <c r="I11" s="38" t="str">
        <f aca="false">IF(H11="","",MAX(H11,DATE(LvYear,1,1)))</f>
        <v/>
      </c>
      <c r="J11" s="38" t="str">
        <f aca="false">IF($A11="","",IF('Employee List'!J11="",DATE(LvYear,12,31),MIN('Employee List'!J11,DATE(LvYear,12,31))))</f>
        <v/>
      </c>
      <c r="K11" s="39" t="str">
        <f aca="false">IF(OR(I11="",J11=""),"",MAX(0,J11-I11+1))</f>
        <v/>
      </c>
      <c r="L11" s="16" t="str">
        <f aca="false">IF($A11="","",IF(AND(ISNUMBER(K11),K11=0),0,Settings!$C$10))</f>
        <v/>
      </c>
      <c r="M11" s="16" t="str">
        <f aca="false">IF($A11="","",IF(AND(ISNUMBER(K11),K11=0),0,Settings!$C$11))</f>
        <v/>
      </c>
      <c r="N11" s="40"/>
      <c r="O11" s="16" t="str">
        <f aca="false">IF($A11="","",FLOOR(Settings!$C$12/365*N(K11),0.5))</f>
        <v/>
      </c>
      <c r="P11" s="16" t="str">
        <f aca="false">IF($A11="","",IF(I11="",N(N11),FLOOR(Settings!$C$12/365*MAX(0,MIN(LvAsOf,J11)-I11+1)+N(N11),0.5)))</f>
        <v/>
      </c>
      <c r="Q11" s="16" t="str">
        <f aca="false">IF($A11="","",Settings!$C$14)</f>
        <v/>
      </c>
      <c r="R11" s="16" t="str">
        <f aca="false">IF($A11="","",SUMIFS(Attendance!$AZ$6:$AZ$2405,Attendance!$B$6:$B$2405,$A11,Attendance!$A$6:$A$2405,"&gt;="&amp;DATE(LvYear,1,1),Attendance!$A$6:$A$2405,"&lt;="&amp;DATE(LvYear,12,31)))</f>
        <v/>
      </c>
      <c r="S11" s="16" t="str">
        <f aca="false">IF($A11="","",SUMIFS(Attendance!$AY$6:$AY$2405,Attendance!$B$6:$B$2405,$A11,Attendance!$A$6:$A$2405,"&gt;="&amp;DATE(LvYear,1,1),Attendance!$A$6:$A$2405,"&lt;="&amp;DATE(LvYear,12,31)))</f>
        <v/>
      </c>
      <c r="T11" s="16" t="str">
        <f aca="false">IF($A11="","",SUMIFS(Attendance!$AX$6:$AX$2405,Attendance!$B$6:$B$2405,$A11,Attendance!$A$6:$A$2405,"&gt;="&amp;DATE(LvYear,1,1),Attendance!$A$6:$A$2405,"&lt;="&amp;DATE(LvYear,12,31)))</f>
        <v/>
      </c>
      <c r="U11" s="16" t="str">
        <f aca="false">IF($A11="","",SUMIFS(Attendance!$AW$6:$AW$2405,Attendance!$B$6:$B$2405,$A11,Attendance!$A$6:$A$2405,"&gt;="&amp;DATE(LvYear,1,1),Attendance!$A$6:$A$2405,"&lt;="&amp;DATE(LvYear,12,31)))</f>
        <v/>
      </c>
      <c r="V11" s="16" t="str">
        <f aca="false">IF($A11="","",L11-R11)</f>
        <v/>
      </c>
      <c r="W11" s="16" t="str">
        <f aca="false">IF($A11="","",M11-S11)</f>
        <v/>
      </c>
      <c r="X11" s="16" t="str">
        <f aca="false">IF($A11="","",P11-T11)</f>
        <v/>
      </c>
      <c r="Y11" s="16" t="str">
        <f aca="false">IF($A11="","",Q11-U11)</f>
        <v/>
      </c>
      <c r="Z11" s="16" t="str">
        <f aca="false">IF($A11="","",V11+W11+X11)</f>
        <v/>
      </c>
      <c r="AA11" s="16" t="str">
        <f aca="false">IF($A11="","",O11+N(N11)-T11)</f>
        <v/>
      </c>
      <c r="AB11" s="8" t="str">
        <f aca="false">IF($A11="","","CL "&amp;V11&amp;" | SL "&amp;W11&amp;" | PL "&amp;X11&amp;" | TR "&amp;Y11)</f>
        <v/>
      </c>
      <c r="AC11" s="15" t="str">
        <f aca="false">IF($A11="","",IF(F11="Exited","EXITED",IF(AND(ISNUMBER(K11),K11=0),"NOT ELIGIBLE",IF(MIN(V11:X11)&lt;0,"OVER-USED",IF(Z11&lt;=Settings!$C$15,"LOW","OK")))))</f>
        <v/>
      </c>
      <c r="AD11" s="16" t="str">
        <f aca="false">IF(OR(AC11="OVER-USED",AC11="LOW"),COUNTIF(AC$6:AC11,"OVER-USED")+COUNTIF(AC$6:AC11,"LOW"),"")</f>
        <v/>
      </c>
    </row>
    <row r="12" customFormat="false" ht="15" hidden="false" customHeight="false" outlineLevel="0" collapsed="false">
      <c r="A12" s="8" t="str">
        <f aca="false">IF('Employee List'!B12="","",'Employee List'!B12)</f>
        <v/>
      </c>
      <c r="B12" s="8" t="str">
        <f aca="false">IF($A12="","",'Employee List'!C12)</f>
        <v/>
      </c>
      <c r="C12" s="8" t="str">
        <f aca="false">IF($A12="","",'Employee List'!E12&amp;"")</f>
        <v/>
      </c>
      <c r="D12" s="8" t="str">
        <f aca="false">IF($A12="","",'Employee List'!F12&amp;"")</f>
        <v/>
      </c>
      <c r="E12" s="8" t="str">
        <f aca="false">IF($A12="","",'Employee List'!G12&amp;"")</f>
        <v/>
      </c>
      <c r="F12" s="8" t="str">
        <f aca="false">IF($A12="","",'Employee List'!D12)</f>
        <v/>
      </c>
      <c r="G12" s="38" t="str">
        <f aca="false">IF($A12="","",IF('Employee List'!I12="","",'Employee List'!I12))</f>
        <v/>
      </c>
      <c r="H12" s="38" t="str">
        <f aca="false">IF(OR($A12="",G12=""),"",G12+Settings!$C$13)</f>
        <v/>
      </c>
      <c r="I12" s="38" t="str">
        <f aca="false">IF(H12="","",MAX(H12,DATE(LvYear,1,1)))</f>
        <v/>
      </c>
      <c r="J12" s="38" t="str">
        <f aca="false">IF($A12="","",IF('Employee List'!J12="",DATE(LvYear,12,31),MIN('Employee List'!J12,DATE(LvYear,12,31))))</f>
        <v/>
      </c>
      <c r="K12" s="39" t="str">
        <f aca="false">IF(OR(I12="",J12=""),"",MAX(0,J12-I12+1))</f>
        <v/>
      </c>
      <c r="L12" s="16" t="str">
        <f aca="false">IF($A12="","",IF(AND(ISNUMBER(K12),K12=0),0,Settings!$C$10))</f>
        <v/>
      </c>
      <c r="M12" s="16" t="str">
        <f aca="false">IF($A12="","",IF(AND(ISNUMBER(K12),K12=0),0,Settings!$C$11))</f>
        <v/>
      </c>
      <c r="N12" s="40"/>
      <c r="O12" s="16" t="str">
        <f aca="false">IF($A12="","",FLOOR(Settings!$C$12/365*N(K12),0.5))</f>
        <v/>
      </c>
      <c r="P12" s="16" t="str">
        <f aca="false">IF($A12="","",IF(I12="",N(N12),FLOOR(Settings!$C$12/365*MAX(0,MIN(LvAsOf,J12)-I12+1)+N(N12),0.5)))</f>
        <v/>
      </c>
      <c r="Q12" s="16" t="str">
        <f aca="false">IF($A12="","",Settings!$C$14)</f>
        <v/>
      </c>
      <c r="R12" s="16" t="str">
        <f aca="false">IF($A12="","",SUMIFS(Attendance!$AZ$6:$AZ$2405,Attendance!$B$6:$B$2405,$A12,Attendance!$A$6:$A$2405,"&gt;="&amp;DATE(LvYear,1,1),Attendance!$A$6:$A$2405,"&lt;="&amp;DATE(LvYear,12,31)))</f>
        <v/>
      </c>
      <c r="S12" s="16" t="str">
        <f aca="false">IF($A12="","",SUMIFS(Attendance!$AY$6:$AY$2405,Attendance!$B$6:$B$2405,$A12,Attendance!$A$6:$A$2405,"&gt;="&amp;DATE(LvYear,1,1),Attendance!$A$6:$A$2405,"&lt;="&amp;DATE(LvYear,12,31)))</f>
        <v/>
      </c>
      <c r="T12" s="16" t="str">
        <f aca="false">IF($A12="","",SUMIFS(Attendance!$AX$6:$AX$2405,Attendance!$B$6:$B$2405,$A12,Attendance!$A$6:$A$2405,"&gt;="&amp;DATE(LvYear,1,1),Attendance!$A$6:$A$2405,"&lt;="&amp;DATE(LvYear,12,31)))</f>
        <v/>
      </c>
      <c r="U12" s="16" t="str">
        <f aca="false">IF($A12="","",SUMIFS(Attendance!$AW$6:$AW$2405,Attendance!$B$6:$B$2405,$A12,Attendance!$A$6:$A$2405,"&gt;="&amp;DATE(LvYear,1,1),Attendance!$A$6:$A$2405,"&lt;="&amp;DATE(LvYear,12,31)))</f>
        <v/>
      </c>
      <c r="V12" s="16" t="str">
        <f aca="false">IF($A12="","",L12-R12)</f>
        <v/>
      </c>
      <c r="W12" s="16" t="str">
        <f aca="false">IF($A12="","",M12-S12)</f>
        <v/>
      </c>
      <c r="X12" s="16" t="str">
        <f aca="false">IF($A12="","",P12-T12)</f>
        <v/>
      </c>
      <c r="Y12" s="16" t="str">
        <f aca="false">IF($A12="","",Q12-U12)</f>
        <v/>
      </c>
      <c r="Z12" s="16" t="str">
        <f aca="false">IF($A12="","",V12+W12+X12)</f>
        <v/>
      </c>
      <c r="AA12" s="16" t="str">
        <f aca="false">IF($A12="","",O12+N(N12)-T12)</f>
        <v/>
      </c>
      <c r="AB12" s="8" t="str">
        <f aca="false">IF($A12="","","CL "&amp;V12&amp;" | SL "&amp;W12&amp;" | PL "&amp;X12&amp;" | TR "&amp;Y12)</f>
        <v/>
      </c>
      <c r="AC12" s="15" t="str">
        <f aca="false">IF($A12="","",IF(F12="Exited","EXITED",IF(AND(ISNUMBER(K12),K12=0),"NOT ELIGIBLE",IF(MIN(V12:X12)&lt;0,"OVER-USED",IF(Z12&lt;=Settings!$C$15,"LOW","OK")))))</f>
        <v/>
      </c>
      <c r="AD12" s="16" t="str">
        <f aca="false">IF(OR(AC12="OVER-USED",AC12="LOW"),COUNTIF(AC$6:AC12,"OVER-USED")+COUNTIF(AC$6:AC12,"LOW"),"")</f>
        <v/>
      </c>
    </row>
    <row r="13" customFormat="false" ht="15" hidden="false" customHeight="false" outlineLevel="0" collapsed="false">
      <c r="A13" s="8" t="str">
        <f aca="false">IF('Employee List'!B13="","",'Employee List'!B13)</f>
        <v/>
      </c>
      <c r="B13" s="8" t="str">
        <f aca="false">IF($A13="","",'Employee List'!C13)</f>
        <v/>
      </c>
      <c r="C13" s="8" t="str">
        <f aca="false">IF($A13="","",'Employee List'!E13&amp;"")</f>
        <v/>
      </c>
      <c r="D13" s="8" t="str">
        <f aca="false">IF($A13="","",'Employee List'!F13&amp;"")</f>
        <v/>
      </c>
      <c r="E13" s="8" t="str">
        <f aca="false">IF($A13="","",'Employee List'!G13&amp;"")</f>
        <v/>
      </c>
      <c r="F13" s="8" t="str">
        <f aca="false">IF($A13="","",'Employee List'!D13)</f>
        <v/>
      </c>
      <c r="G13" s="38" t="str">
        <f aca="false">IF($A13="","",IF('Employee List'!I13="","",'Employee List'!I13))</f>
        <v/>
      </c>
      <c r="H13" s="38" t="str">
        <f aca="false">IF(OR($A13="",G13=""),"",G13+Settings!$C$13)</f>
        <v/>
      </c>
      <c r="I13" s="38" t="str">
        <f aca="false">IF(H13="","",MAX(H13,DATE(LvYear,1,1)))</f>
        <v/>
      </c>
      <c r="J13" s="38" t="str">
        <f aca="false">IF($A13="","",IF('Employee List'!J13="",DATE(LvYear,12,31),MIN('Employee List'!J13,DATE(LvYear,12,31))))</f>
        <v/>
      </c>
      <c r="K13" s="39" t="str">
        <f aca="false">IF(OR(I13="",J13=""),"",MAX(0,J13-I13+1))</f>
        <v/>
      </c>
      <c r="L13" s="16" t="str">
        <f aca="false">IF($A13="","",IF(AND(ISNUMBER(K13),K13=0),0,Settings!$C$10))</f>
        <v/>
      </c>
      <c r="M13" s="16" t="str">
        <f aca="false">IF($A13="","",IF(AND(ISNUMBER(K13),K13=0),0,Settings!$C$11))</f>
        <v/>
      </c>
      <c r="N13" s="40"/>
      <c r="O13" s="16" t="str">
        <f aca="false">IF($A13="","",FLOOR(Settings!$C$12/365*N(K13),0.5))</f>
        <v/>
      </c>
      <c r="P13" s="16" t="str">
        <f aca="false">IF($A13="","",IF(I13="",N(N13),FLOOR(Settings!$C$12/365*MAX(0,MIN(LvAsOf,J13)-I13+1)+N(N13),0.5)))</f>
        <v/>
      </c>
      <c r="Q13" s="16" t="str">
        <f aca="false">IF($A13="","",Settings!$C$14)</f>
        <v/>
      </c>
      <c r="R13" s="16" t="str">
        <f aca="false">IF($A13="","",SUMIFS(Attendance!$AZ$6:$AZ$2405,Attendance!$B$6:$B$2405,$A13,Attendance!$A$6:$A$2405,"&gt;="&amp;DATE(LvYear,1,1),Attendance!$A$6:$A$2405,"&lt;="&amp;DATE(LvYear,12,31)))</f>
        <v/>
      </c>
      <c r="S13" s="16" t="str">
        <f aca="false">IF($A13="","",SUMIFS(Attendance!$AY$6:$AY$2405,Attendance!$B$6:$B$2405,$A13,Attendance!$A$6:$A$2405,"&gt;="&amp;DATE(LvYear,1,1),Attendance!$A$6:$A$2405,"&lt;="&amp;DATE(LvYear,12,31)))</f>
        <v/>
      </c>
      <c r="T13" s="16" t="str">
        <f aca="false">IF($A13="","",SUMIFS(Attendance!$AX$6:$AX$2405,Attendance!$B$6:$B$2405,$A13,Attendance!$A$6:$A$2405,"&gt;="&amp;DATE(LvYear,1,1),Attendance!$A$6:$A$2405,"&lt;="&amp;DATE(LvYear,12,31)))</f>
        <v/>
      </c>
      <c r="U13" s="16" t="str">
        <f aca="false">IF($A13="","",SUMIFS(Attendance!$AW$6:$AW$2405,Attendance!$B$6:$B$2405,$A13,Attendance!$A$6:$A$2405,"&gt;="&amp;DATE(LvYear,1,1),Attendance!$A$6:$A$2405,"&lt;="&amp;DATE(LvYear,12,31)))</f>
        <v/>
      </c>
      <c r="V13" s="16" t="str">
        <f aca="false">IF($A13="","",L13-R13)</f>
        <v/>
      </c>
      <c r="W13" s="16" t="str">
        <f aca="false">IF($A13="","",M13-S13)</f>
        <v/>
      </c>
      <c r="X13" s="16" t="str">
        <f aca="false">IF($A13="","",P13-T13)</f>
        <v/>
      </c>
      <c r="Y13" s="16" t="str">
        <f aca="false">IF($A13="","",Q13-U13)</f>
        <v/>
      </c>
      <c r="Z13" s="16" t="str">
        <f aca="false">IF($A13="","",V13+W13+X13)</f>
        <v/>
      </c>
      <c r="AA13" s="16" t="str">
        <f aca="false">IF($A13="","",O13+N(N13)-T13)</f>
        <v/>
      </c>
      <c r="AB13" s="8" t="str">
        <f aca="false">IF($A13="","","CL "&amp;V13&amp;" | SL "&amp;W13&amp;" | PL "&amp;X13&amp;" | TR "&amp;Y13)</f>
        <v/>
      </c>
      <c r="AC13" s="15" t="str">
        <f aca="false">IF($A13="","",IF(F13="Exited","EXITED",IF(AND(ISNUMBER(K13),K13=0),"NOT ELIGIBLE",IF(MIN(V13:X13)&lt;0,"OVER-USED",IF(Z13&lt;=Settings!$C$15,"LOW","OK")))))</f>
        <v/>
      </c>
      <c r="AD13" s="16" t="str">
        <f aca="false">IF(OR(AC13="OVER-USED",AC13="LOW"),COUNTIF(AC$6:AC13,"OVER-USED")+COUNTIF(AC$6:AC13,"LOW"),"")</f>
        <v/>
      </c>
    </row>
    <row r="14" customFormat="false" ht="15" hidden="false" customHeight="false" outlineLevel="0" collapsed="false">
      <c r="A14" s="8" t="str">
        <f aca="false">IF('Employee List'!B14="","",'Employee List'!B14)</f>
        <v/>
      </c>
      <c r="B14" s="8" t="str">
        <f aca="false">IF($A14="","",'Employee List'!C14)</f>
        <v/>
      </c>
      <c r="C14" s="8" t="str">
        <f aca="false">IF($A14="","",'Employee List'!E14&amp;"")</f>
        <v/>
      </c>
      <c r="D14" s="8" t="str">
        <f aca="false">IF($A14="","",'Employee List'!F14&amp;"")</f>
        <v/>
      </c>
      <c r="E14" s="8" t="str">
        <f aca="false">IF($A14="","",'Employee List'!G14&amp;"")</f>
        <v/>
      </c>
      <c r="F14" s="8" t="str">
        <f aca="false">IF($A14="","",'Employee List'!D14)</f>
        <v/>
      </c>
      <c r="G14" s="38" t="str">
        <f aca="false">IF($A14="","",IF('Employee List'!I14="","",'Employee List'!I14))</f>
        <v/>
      </c>
      <c r="H14" s="38" t="str">
        <f aca="false">IF(OR($A14="",G14=""),"",G14+Settings!$C$13)</f>
        <v/>
      </c>
      <c r="I14" s="38" t="str">
        <f aca="false">IF(H14="","",MAX(H14,DATE(LvYear,1,1)))</f>
        <v/>
      </c>
      <c r="J14" s="38" t="str">
        <f aca="false">IF($A14="","",IF('Employee List'!J14="",DATE(LvYear,12,31),MIN('Employee List'!J14,DATE(LvYear,12,31))))</f>
        <v/>
      </c>
      <c r="K14" s="39" t="str">
        <f aca="false">IF(OR(I14="",J14=""),"",MAX(0,J14-I14+1))</f>
        <v/>
      </c>
      <c r="L14" s="16" t="str">
        <f aca="false">IF($A14="","",IF(AND(ISNUMBER(K14),K14=0),0,Settings!$C$10))</f>
        <v/>
      </c>
      <c r="M14" s="16" t="str">
        <f aca="false">IF($A14="","",IF(AND(ISNUMBER(K14),K14=0),0,Settings!$C$11))</f>
        <v/>
      </c>
      <c r="N14" s="40"/>
      <c r="O14" s="16" t="str">
        <f aca="false">IF($A14="","",FLOOR(Settings!$C$12/365*N(K14),0.5))</f>
        <v/>
      </c>
      <c r="P14" s="16" t="str">
        <f aca="false">IF($A14="","",IF(I14="",N(N14),FLOOR(Settings!$C$12/365*MAX(0,MIN(LvAsOf,J14)-I14+1)+N(N14),0.5)))</f>
        <v/>
      </c>
      <c r="Q14" s="16" t="str">
        <f aca="false">IF($A14="","",Settings!$C$14)</f>
        <v/>
      </c>
      <c r="R14" s="16" t="str">
        <f aca="false">IF($A14="","",SUMIFS(Attendance!$AZ$6:$AZ$2405,Attendance!$B$6:$B$2405,$A14,Attendance!$A$6:$A$2405,"&gt;="&amp;DATE(LvYear,1,1),Attendance!$A$6:$A$2405,"&lt;="&amp;DATE(LvYear,12,31)))</f>
        <v/>
      </c>
      <c r="S14" s="16" t="str">
        <f aca="false">IF($A14="","",SUMIFS(Attendance!$AY$6:$AY$2405,Attendance!$B$6:$B$2405,$A14,Attendance!$A$6:$A$2405,"&gt;="&amp;DATE(LvYear,1,1),Attendance!$A$6:$A$2405,"&lt;="&amp;DATE(LvYear,12,31)))</f>
        <v/>
      </c>
      <c r="T14" s="16" t="str">
        <f aca="false">IF($A14="","",SUMIFS(Attendance!$AX$6:$AX$2405,Attendance!$B$6:$B$2405,$A14,Attendance!$A$6:$A$2405,"&gt;="&amp;DATE(LvYear,1,1),Attendance!$A$6:$A$2405,"&lt;="&amp;DATE(LvYear,12,31)))</f>
        <v/>
      </c>
      <c r="U14" s="16" t="str">
        <f aca="false">IF($A14="","",SUMIFS(Attendance!$AW$6:$AW$2405,Attendance!$B$6:$B$2405,$A14,Attendance!$A$6:$A$2405,"&gt;="&amp;DATE(LvYear,1,1),Attendance!$A$6:$A$2405,"&lt;="&amp;DATE(LvYear,12,31)))</f>
        <v/>
      </c>
      <c r="V14" s="16" t="str">
        <f aca="false">IF($A14="","",L14-R14)</f>
        <v/>
      </c>
      <c r="W14" s="16" t="str">
        <f aca="false">IF($A14="","",M14-S14)</f>
        <v/>
      </c>
      <c r="X14" s="16" t="str">
        <f aca="false">IF($A14="","",P14-T14)</f>
        <v/>
      </c>
      <c r="Y14" s="16" t="str">
        <f aca="false">IF($A14="","",Q14-U14)</f>
        <v/>
      </c>
      <c r="Z14" s="16" t="str">
        <f aca="false">IF($A14="","",V14+W14+X14)</f>
        <v/>
      </c>
      <c r="AA14" s="16" t="str">
        <f aca="false">IF($A14="","",O14+N(N14)-T14)</f>
        <v/>
      </c>
      <c r="AB14" s="8" t="str">
        <f aca="false">IF($A14="","","CL "&amp;V14&amp;" | SL "&amp;W14&amp;" | PL "&amp;X14&amp;" | TR "&amp;Y14)</f>
        <v/>
      </c>
      <c r="AC14" s="15" t="str">
        <f aca="false">IF($A14="","",IF(F14="Exited","EXITED",IF(AND(ISNUMBER(K14),K14=0),"NOT ELIGIBLE",IF(MIN(V14:X14)&lt;0,"OVER-USED",IF(Z14&lt;=Settings!$C$15,"LOW","OK")))))</f>
        <v/>
      </c>
      <c r="AD14" s="16" t="str">
        <f aca="false">IF(OR(AC14="OVER-USED",AC14="LOW"),COUNTIF(AC$6:AC14,"OVER-USED")+COUNTIF(AC$6:AC14,"LOW"),"")</f>
        <v/>
      </c>
    </row>
    <row r="15" customFormat="false" ht="15" hidden="false" customHeight="false" outlineLevel="0" collapsed="false">
      <c r="A15" s="8" t="str">
        <f aca="false">IF('Employee List'!B15="","",'Employee List'!B15)</f>
        <v/>
      </c>
      <c r="B15" s="8" t="str">
        <f aca="false">IF($A15="","",'Employee List'!C15)</f>
        <v/>
      </c>
      <c r="C15" s="8" t="str">
        <f aca="false">IF($A15="","",'Employee List'!E15&amp;"")</f>
        <v/>
      </c>
      <c r="D15" s="8" t="str">
        <f aca="false">IF($A15="","",'Employee List'!F15&amp;"")</f>
        <v/>
      </c>
      <c r="E15" s="8" t="str">
        <f aca="false">IF($A15="","",'Employee List'!G15&amp;"")</f>
        <v/>
      </c>
      <c r="F15" s="8" t="str">
        <f aca="false">IF($A15="","",'Employee List'!D15)</f>
        <v/>
      </c>
      <c r="G15" s="38" t="str">
        <f aca="false">IF($A15="","",IF('Employee List'!I15="","",'Employee List'!I15))</f>
        <v/>
      </c>
      <c r="H15" s="38" t="str">
        <f aca="false">IF(OR($A15="",G15=""),"",G15+Settings!$C$13)</f>
        <v/>
      </c>
      <c r="I15" s="38" t="str">
        <f aca="false">IF(H15="","",MAX(H15,DATE(LvYear,1,1)))</f>
        <v/>
      </c>
      <c r="J15" s="38" t="str">
        <f aca="false">IF($A15="","",IF('Employee List'!J15="",DATE(LvYear,12,31),MIN('Employee List'!J15,DATE(LvYear,12,31))))</f>
        <v/>
      </c>
      <c r="K15" s="39" t="str">
        <f aca="false">IF(OR(I15="",J15=""),"",MAX(0,J15-I15+1))</f>
        <v/>
      </c>
      <c r="L15" s="16" t="str">
        <f aca="false">IF($A15="","",IF(AND(ISNUMBER(K15),K15=0),0,Settings!$C$10))</f>
        <v/>
      </c>
      <c r="M15" s="16" t="str">
        <f aca="false">IF($A15="","",IF(AND(ISNUMBER(K15),K15=0),0,Settings!$C$11))</f>
        <v/>
      </c>
      <c r="N15" s="40"/>
      <c r="O15" s="16" t="str">
        <f aca="false">IF($A15="","",FLOOR(Settings!$C$12/365*N(K15),0.5))</f>
        <v/>
      </c>
      <c r="P15" s="16" t="str">
        <f aca="false">IF($A15="","",IF(I15="",N(N15),FLOOR(Settings!$C$12/365*MAX(0,MIN(LvAsOf,J15)-I15+1)+N(N15),0.5)))</f>
        <v/>
      </c>
      <c r="Q15" s="16" t="str">
        <f aca="false">IF($A15="","",Settings!$C$14)</f>
        <v/>
      </c>
      <c r="R15" s="16" t="str">
        <f aca="false">IF($A15="","",SUMIFS(Attendance!$AZ$6:$AZ$2405,Attendance!$B$6:$B$2405,$A15,Attendance!$A$6:$A$2405,"&gt;="&amp;DATE(LvYear,1,1),Attendance!$A$6:$A$2405,"&lt;="&amp;DATE(LvYear,12,31)))</f>
        <v/>
      </c>
      <c r="S15" s="16" t="str">
        <f aca="false">IF($A15="","",SUMIFS(Attendance!$AY$6:$AY$2405,Attendance!$B$6:$B$2405,$A15,Attendance!$A$6:$A$2405,"&gt;="&amp;DATE(LvYear,1,1),Attendance!$A$6:$A$2405,"&lt;="&amp;DATE(LvYear,12,31)))</f>
        <v/>
      </c>
      <c r="T15" s="16" t="str">
        <f aca="false">IF($A15="","",SUMIFS(Attendance!$AX$6:$AX$2405,Attendance!$B$6:$B$2405,$A15,Attendance!$A$6:$A$2405,"&gt;="&amp;DATE(LvYear,1,1),Attendance!$A$6:$A$2405,"&lt;="&amp;DATE(LvYear,12,31)))</f>
        <v/>
      </c>
      <c r="U15" s="16" t="str">
        <f aca="false">IF($A15="","",SUMIFS(Attendance!$AW$6:$AW$2405,Attendance!$B$6:$B$2405,$A15,Attendance!$A$6:$A$2405,"&gt;="&amp;DATE(LvYear,1,1),Attendance!$A$6:$A$2405,"&lt;="&amp;DATE(LvYear,12,31)))</f>
        <v/>
      </c>
      <c r="V15" s="16" t="str">
        <f aca="false">IF($A15="","",L15-R15)</f>
        <v/>
      </c>
      <c r="W15" s="16" t="str">
        <f aca="false">IF($A15="","",M15-S15)</f>
        <v/>
      </c>
      <c r="X15" s="16" t="str">
        <f aca="false">IF($A15="","",P15-T15)</f>
        <v/>
      </c>
      <c r="Y15" s="16" t="str">
        <f aca="false">IF($A15="","",Q15-U15)</f>
        <v/>
      </c>
      <c r="Z15" s="16" t="str">
        <f aca="false">IF($A15="","",V15+W15+X15)</f>
        <v/>
      </c>
      <c r="AA15" s="16" t="str">
        <f aca="false">IF($A15="","",O15+N(N15)-T15)</f>
        <v/>
      </c>
      <c r="AB15" s="8" t="str">
        <f aca="false">IF($A15="","","CL "&amp;V15&amp;" | SL "&amp;W15&amp;" | PL "&amp;X15&amp;" | TR "&amp;Y15)</f>
        <v/>
      </c>
      <c r="AC15" s="15" t="str">
        <f aca="false">IF($A15="","",IF(F15="Exited","EXITED",IF(AND(ISNUMBER(K15),K15=0),"NOT ELIGIBLE",IF(MIN(V15:X15)&lt;0,"OVER-USED",IF(Z15&lt;=Settings!$C$15,"LOW","OK")))))</f>
        <v/>
      </c>
      <c r="AD15" s="16" t="str">
        <f aca="false">IF(OR(AC15="OVER-USED",AC15="LOW"),COUNTIF(AC$6:AC15,"OVER-USED")+COUNTIF(AC$6:AC15,"LOW"),"")</f>
        <v/>
      </c>
    </row>
    <row r="16" customFormat="false" ht="15" hidden="false" customHeight="false" outlineLevel="0" collapsed="false">
      <c r="A16" s="8" t="str">
        <f aca="false">IF('Employee List'!B16="","",'Employee List'!B16)</f>
        <v/>
      </c>
      <c r="B16" s="8" t="str">
        <f aca="false">IF($A16="","",'Employee List'!C16)</f>
        <v/>
      </c>
      <c r="C16" s="8" t="str">
        <f aca="false">IF($A16="","",'Employee List'!E16&amp;"")</f>
        <v/>
      </c>
      <c r="D16" s="8" t="str">
        <f aca="false">IF($A16="","",'Employee List'!F16&amp;"")</f>
        <v/>
      </c>
      <c r="E16" s="8" t="str">
        <f aca="false">IF($A16="","",'Employee List'!G16&amp;"")</f>
        <v/>
      </c>
      <c r="F16" s="8" t="str">
        <f aca="false">IF($A16="","",'Employee List'!D16)</f>
        <v/>
      </c>
      <c r="G16" s="38" t="str">
        <f aca="false">IF($A16="","",IF('Employee List'!I16="","",'Employee List'!I16))</f>
        <v/>
      </c>
      <c r="H16" s="38" t="str">
        <f aca="false">IF(OR($A16="",G16=""),"",G16+Settings!$C$13)</f>
        <v/>
      </c>
      <c r="I16" s="38" t="str">
        <f aca="false">IF(H16="","",MAX(H16,DATE(LvYear,1,1)))</f>
        <v/>
      </c>
      <c r="J16" s="38" t="str">
        <f aca="false">IF($A16="","",IF('Employee List'!J16="",DATE(LvYear,12,31),MIN('Employee List'!J16,DATE(LvYear,12,31))))</f>
        <v/>
      </c>
      <c r="K16" s="39" t="str">
        <f aca="false">IF(OR(I16="",J16=""),"",MAX(0,J16-I16+1))</f>
        <v/>
      </c>
      <c r="L16" s="16" t="str">
        <f aca="false">IF($A16="","",IF(AND(ISNUMBER(K16),K16=0),0,Settings!$C$10))</f>
        <v/>
      </c>
      <c r="M16" s="16" t="str">
        <f aca="false">IF($A16="","",IF(AND(ISNUMBER(K16),K16=0),0,Settings!$C$11))</f>
        <v/>
      </c>
      <c r="N16" s="40"/>
      <c r="O16" s="16" t="str">
        <f aca="false">IF($A16="","",FLOOR(Settings!$C$12/365*N(K16),0.5))</f>
        <v/>
      </c>
      <c r="P16" s="16" t="str">
        <f aca="false">IF($A16="","",IF(I16="",N(N16),FLOOR(Settings!$C$12/365*MAX(0,MIN(LvAsOf,J16)-I16+1)+N(N16),0.5)))</f>
        <v/>
      </c>
      <c r="Q16" s="16" t="str">
        <f aca="false">IF($A16="","",Settings!$C$14)</f>
        <v/>
      </c>
      <c r="R16" s="16" t="str">
        <f aca="false">IF($A16="","",SUMIFS(Attendance!$AZ$6:$AZ$2405,Attendance!$B$6:$B$2405,$A16,Attendance!$A$6:$A$2405,"&gt;="&amp;DATE(LvYear,1,1),Attendance!$A$6:$A$2405,"&lt;="&amp;DATE(LvYear,12,31)))</f>
        <v/>
      </c>
      <c r="S16" s="16" t="str">
        <f aca="false">IF($A16="","",SUMIFS(Attendance!$AY$6:$AY$2405,Attendance!$B$6:$B$2405,$A16,Attendance!$A$6:$A$2405,"&gt;="&amp;DATE(LvYear,1,1),Attendance!$A$6:$A$2405,"&lt;="&amp;DATE(LvYear,12,31)))</f>
        <v/>
      </c>
      <c r="T16" s="16" t="str">
        <f aca="false">IF($A16="","",SUMIFS(Attendance!$AX$6:$AX$2405,Attendance!$B$6:$B$2405,$A16,Attendance!$A$6:$A$2405,"&gt;="&amp;DATE(LvYear,1,1),Attendance!$A$6:$A$2405,"&lt;="&amp;DATE(LvYear,12,31)))</f>
        <v/>
      </c>
      <c r="U16" s="16" t="str">
        <f aca="false">IF($A16="","",SUMIFS(Attendance!$AW$6:$AW$2405,Attendance!$B$6:$B$2405,$A16,Attendance!$A$6:$A$2405,"&gt;="&amp;DATE(LvYear,1,1),Attendance!$A$6:$A$2405,"&lt;="&amp;DATE(LvYear,12,31)))</f>
        <v/>
      </c>
      <c r="V16" s="16" t="str">
        <f aca="false">IF($A16="","",L16-R16)</f>
        <v/>
      </c>
      <c r="W16" s="16" t="str">
        <f aca="false">IF($A16="","",M16-S16)</f>
        <v/>
      </c>
      <c r="X16" s="16" t="str">
        <f aca="false">IF($A16="","",P16-T16)</f>
        <v/>
      </c>
      <c r="Y16" s="16" t="str">
        <f aca="false">IF($A16="","",Q16-U16)</f>
        <v/>
      </c>
      <c r="Z16" s="16" t="str">
        <f aca="false">IF($A16="","",V16+W16+X16)</f>
        <v/>
      </c>
      <c r="AA16" s="16" t="str">
        <f aca="false">IF($A16="","",O16+N(N16)-T16)</f>
        <v/>
      </c>
      <c r="AB16" s="8" t="str">
        <f aca="false">IF($A16="","","CL "&amp;V16&amp;" | SL "&amp;W16&amp;" | PL "&amp;X16&amp;" | TR "&amp;Y16)</f>
        <v/>
      </c>
      <c r="AC16" s="15" t="str">
        <f aca="false">IF($A16="","",IF(F16="Exited","EXITED",IF(AND(ISNUMBER(K16),K16=0),"NOT ELIGIBLE",IF(MIN(V16:X16)&lt;0,"OVER-USED",IF(Z16&lt;=Settings!$C$15,"LOW","OK")))))</f>
        <v/>
      </c>
      <c r="AD16" s="16" t="str">
        <f aca="false">IF(OR(AC16="OVER-USED",AC16="LOW"),COUNTIF(AC$6:AC16,"OVER-USED")+COUNTIF(AC$6:AC16,"LOW"),"")</f>
        <v/>
      </c>
    </row>
    <row r="17" customFormat="false" ht="15" hidden="false" customHeight="false" outlineLevel="0" collapsed="false">
      <c r="A17" s="8" t="str">
        <f aca="false">IF('Employee List'!B17="","",'Employee List'!B17)</f>
        <v/>
      </c>
      <c r="B17" s="8" t="str">
        <f aca="false">IF($A17="","",'Employee List'!C17)</f>
        <v/>
      </c>
      <c r="C17" s="8" t="str">
        <f aca="false">IF($A17="","",'Employee List'!E17&amp;"")</f>
        <v/>
      </c>
      <c r="D17" s="8" t="str">
        <f aca="false">IF($A17="","",'Employee List'!F17&amp;"")</f>
        <v/>
      </c>
      <c r="E17" s="8" t="str">
        <f aca="false">IF($A17="","",'Employee List'!G17&amp;"")</f>
        <v/>
      </c>
      <c r="F17" s="8" t="str">
        <f aca="false">IF($A17="","",'Employee List'!D17)</f>
        <v/>
      </c>
      <c r="G17" s="38" t="str">
        <f aca="false">IF($A17="","",IF('Employee List'!I17="","",'Employee List'!I17))</f>
        <v/>
      </c>
      <c r="H17" s="38" t="str">
        <f aca="false">IF(OR($A17="",G17=""),"",G17+Settings!$C$13)</f>
        <v/>
      </c>
      <c r="I17" s="38" t="str">
        <f aca="false">IF(H17="","",MAX(H17,DATE(LvYear,1,1)))</f>
        <v/>
      </c>
      <c r="J17" s="38" t="str">
        <f aca="false">IF($A17="","",IF('Employee List'!J17="",DATE(LvYear,12,31),MIN('Employee List'!J17,DATE(LvYear,12,31))))</f>
        <v/>
      </c>
      <c r="K17" s="39" t="str">
        <f aca="false">IF(OR(I17="",J17=""),"",MAX(0,J17-I17+1))</f>
        <v/>
      </c>
      <c r="L17" s="16" t="str">
        <f aca="false">IF($A17="","",IF(AND(ISNUMBER(K17),K17=0),0,Settings!$C$10))</f>
        <v/>
      </c>
      <c r="M17" s="16" t="str">
        <f aca="false">IF($A17="","",IF(AND(ISNUMBER(K17),K17=0),0,Settings!$C$11))</f>
        <v/>
      </c>
      <c r="N17" s="40"/>
      <c r="O17" s="16" t="str">
        <f aca="false">IF($A17="","",FLOOR(Settings!$C$12/365*N(K17),0.5))</f>
        <v/>
      </c>
      <c r="P17" s="16" t="str">
        <f aca="false">IF($A17="","",IF(I17="",N(N17),FLOOR(Settings!$C$12/365*MAX(0,MIN(LvAsOf,J17)-I17+1)+N(N17),0.5)))</f>
        <v/>
      </c>
      <c r="Q17" s="16" t="str">
        <f aca="false">IF($A17="","",Settings!$C$14)</f>
        <v/>
      </c>
      <c r="R17" s="16" t="str">
        <f aca="false">IF($A17="","",SUMIFS(Attendance!$AZ$6:$AZ$2405,Attendance!$B$6:$B$2405,$A17,Attendance!$A$6:$A$2405,"&gt;="&amp;DATE(LvYear,1,1),Attendance!$A$6:$A$2405,"&lt;="&amp;DATE(LvYear,12,31)))</f>
        <v/>
      </c>
      <c r="S17" s="16" t="str">
        <f aca="false">IF($A17="","",SUMIFS(Attendance!$AY$6:$AY$2405,Attendance!$B$6:$B$2405,$A17,Attendance!$A$6:$A$2405,"&gt;="&amp;DATE(LvYear,1,1),Attendance!$A$6:$A$2405,"&lt;="&amp;DATE(LvYear,12,31)))</f>
        <v/>
      </c>
      <c r="T17" s="16" t="str">
        <f aca="false">IF($A17="","",SUMIFS(Attendance!$AX$6:$AX$2405,Attendance!$B$6:$B$2405,$A17,Attendance!$A$6:$A$2405,"&gt;="&amp;DATE(LvYear,1,1),Attendance!$A$6:$A$2405,"&lt;="&amp;DATE(LvYear,12,31)))</f>
        <v/>
      </c>
      <c r="U17" s="16" t="str">
        <f aca="false">IF($A17="","",SUMIFS(Attendance!$AW$6:$AW$2405,Attendance!$B$6:$B$2405,$A17,Attendance!$A$6:$A$2405,"&gt;="&amp;DATE(LvYear,1,1),Attendance!$A$6:$A$2405,"&lt;="&amp;DATE(LvYear,12,31)))</f>
        <v/>
      </c>
      <c r="V17" s="16" t="str">
        <f aca="false">IF($A17="","",L17-R17)</f>
        <v/>
      </c>
      <c r="W17" s="16" t="str">
        <f aca="false">IF($A17="","",M17-S17)</f>
        <v/>
      </c>
      <c r="X17" s="16" t="str">
        <f aca="false">IF($A17="","",P17-T17)</f>
        <v/>
      </c>
      <c r="Y17" s="16" t="str">
        <f aca="false">IF($A17="","",Q17-U17)</f>
        <v/>
      </c>
      <c r="Z17" s="16" t="str">
        <f aca="false">IF($A17="","",V17+W17+X17)</f>
        <v/>
      </c>
      <c r="AA17" s="16" t="str">
        <f aca="false">IF($A17="","",O17+N(N17)-T17)</f>
        <v/>
      </c>
      <c r="AB17" s="8" t="str">
        <f aca="false">IF($A17="","","CL "&amp;V17&amp;" | SL "&amp;W17&amp;" | PL "&amp;X17&amp;" | TR "&amp;Y17)</f>
        <v/>
      </c>
      <c r="AC17" s="15" t="str">
        <f aca="false">IF($A17="","",IF(F17="Exited","EXITED",IF(AND(ISNUMBER(K17),K17=0),"NOT ELIGIBLE",IF(MIN(V17:X17)&lt;0,"OVER-USED",IF(Z17&lt;=Settings!$C$15,"LOW","OK")))))</f>
        <v/>
      </c>
      <c r="AD17" s="16" t="str">
        <f aca="false">IF(OR(AC17="OVER-USED",AC17="LOW"),COUNTIF(AC$6:AC17,"OVER-USED")+COUNTIF(AC$6:AC17,"LOW"),"")</f>
        <v/>
      </c>
    </row>
    <row r="18" customFormat="false" ht="15" hidden="false" customHeight="false" outlineLevel="0" collapsed="false">
      <c r="A18" s="8" t="str">
        <f aca="false">IF('Employee List'!B18="","",'Employee List'!B18)</f>
        <v/>
      </c>
      <c r="B18" s="8" t="str">
        <f aca="false">IF($A18="","",'Employee List'!C18)</f>
        <v/>
      </c>
      <c r="C18" s="8" t="str">
        <f aca="false">IF($A18="","",'Employee List'!E18&amp;"")</f>
        <v/>
      </c>
      <c r="D18" s="8" t="str">
        <f aca="false">IF($A18="","",'Employee List'!F18&amp;"")</f>
        <v/>
      </c>
      <c r="E18" s="8" t="str">
        <f aca="false">IF($A18="","",'Employee List'!G18&amp;"")</f>
        <v/>
      </c>
      <c r="F18" s="8" t="str">
        <f aca="false">IF($A18="","",'Employee List'!D18)</f>
        <v/>
      </c>
      <c r="G18" s="38" t="str">
        <f aca="false">IF($A18="","",IF('Employee List'!I18="","",'Employee List'!I18))</f>
        <v/>
      </c>
      <c r="H18" s="38" t="str">
        <f aca="false">IF(OR($A18="",G18=""),"",G18+Settings!$C$13)</f>
        <v/>
      </c>
      <c r="I18" s="38" t="str">
        <f aca="false">IF(H18="","",MAX(H18,DATE(LvYear,1,1)))</f>
        <v/>
      </c>
      <c r="J18" s="38" t="str">
        <f aca="false">IF($A18="","",IF('Employee List'!J18="",DATE(LvYear,12,31),MIN('Employee List'!J18,DATE(LvYear,12,31))))</f>
        <v/>
      </c>
      <c r="K18" s="39" t="str">
        <f aca="false">IF(OR(I18="",J18=""),"",MAX(0,J18-I18+1))</f>
        <v/>
      </c>
      <c r="L18" s="16" t="str">
        <f aca="false">IF($A18="","",IF(AND(ISNUMBER(K18),K18=0),0,Settings!$C$10))</f>
        <v/>
      </c>
      <c r="M18" s="16" t="str">
        <f aca="false">IF($A18="","",IF(AND(ISNUMBER(K18),K18=0),0,Settings!$C$11))</f>
        <v/>
      </c>
      <c r="N18" s="40"/>
      <c r="O18" s="16" t="str">
        <f aca="false">IF($A18="","",FLOOR(Settings!$C$12/365*N(K18),0.5))</f>
        <v/>
      </c>
      <c r="P18" s="16" t="str">
        <f aca="false">IF($A18="","",IF(I18="",N(N18),FLOOR(Settings!$C$12/365*MAX(0,MIN(LvAsOf,J18)-I18+1)+N(N18),0.5)))</f>
        <v/>
      </c>
      <c r="Q18" s="16" t="str">
        <f aca="false">IF($A18="","",Settings!$C$14)</f>
        <v/>
      </c>
      <c r="R18" s="16" t="str">
        <f aca="false">IF($A18="","",SUMIFS(Attendance!$AZ$6:$AZ$2405,Attendance!$B$6:$B$2405,$A18,Attendance!$A$6:$A$2405,"&gt;="&amp;DATE(LvYear,1,1),Attendance!$A$6:$A$2405,"&lt;="&amp;DATE(LvYear,12,31)))</f>
        <v/>
      </c>
      <c r="S18" s="16" t="str">
        <f aca="false">IF($A18="","",SUMIFS(Attendance!$AY$6:$AY$2405,Attendance!$B$6:$B$2405,$A18,Attendance!$A$6:$A$2405,"&gt;="&amp;DATE(LvYear,1,1),Attendance!$A$6:$A$2405,"&lt;="&amp;DATE(LvYear,12,31)))</f>
        <v/>
      </c>
      <c r="T18" s="16" t="str">
        <f aca="false">IF($A18="","",SUMIFS(Attendance!$AX$6:$AX$2405,Attendance!$B$6:$B$2405,$A18,Attendance!$A$6:$A$2405,"&gt;="&amp;DATE(LvYear,1,1),Attendance!$A$6:$A$2405,"&lt;="&amp;DATE(LvYear,12,31)))</f>
        <v/>
      </c>
      <c r="U18" s="16" t="str">
        <f aca="false">IF($A18="","",SUMIFS(Attendance!$AW$6:$AW$2405,Attendance!$B$6:$B$2405,$A18,Attendance!$A$6:$A$2405,"&gt;="&amp;DATE(LvYear,1,1),Attendance!$A$6:$A$2405,"&lt;="&amp;DATE(LvYear,12,31)))</f>
        <v/>
      </c>
      <c r="V18" s="16" t="str">
        <f aca="false">IF($A18="","",L18-R18)</f>
        <v/>
      </c>
      <c r="W18" s="16" t="str">
        <f aca="false">IF($A18="","",M18-S18)</f>
        <v/>
      </c>
      <c r="X18" s="16" t="str">
        <f aca="false">IF($A18="","",P18-T18)</f>
        <v/>
      </c>
      <c r="Y18" s="16" t="str">
        <f aca="false">IF($A18="","",Q18-U18)</f>
        <v/>
      </c>
      <c r="Z18" s="16" t="str">
        <f aca="false">IF($A18="","",V18+W18+X18)</f>
        <v/>
      </c>
      <c r="AA18" s="16" t="str">
        <f aca="false">IF($A18="","",O18+N(N18)-T18)</f>
        <v/>
      </c>
      <c r="AB18" s="8" t="str">
        <f aca="false">IF($A18="","","CL "&amp;V18&amp;" | SL "&amp;W18&amp;" | PL "&amp;X18&amp;" | TR "&amp;Y18)</f>
        <v/>
      </c>
      <c r="AC18" s="15" t="str">
        <f aca="false">IF($A18="","",IF(F18="Exited","EXITED",IF(AND(ISNUMBER(K18),K18=0),"NOT ELIGIBLE",IF(MIN(V18:X18)&lt;0,"OVER-USED",IF(Z18&lt;=Settings!$C$15,"LOW","OK")))))</f>
        <v/>
      </c>
      <c r="AD18" s="16" t="str">
        <f aca="false">IF(OR(AC18="OVER-USED",AC18="LOW"),COUNTIF(AC$6:AC18,"OVER-USED")+COUNTIF(AC$6:AC18,"LOW"),"")</f>
        <v/>
      </c>
    </row>
    <row r="19" customFormat="false" ht="15" hidden="false" customHeight="false" outlineLevel="0" collapsed="false">
      <c r="A19" s="8" t="str">
        <f aca="false">IF('Employee List'!B19="","",'Employee List'!B19)</f>
        <v/>
      </c>
      <c r="B19" s="8" t="str">
        <f aca="false">IF($A19="","",'Employee List'!C19)</f>
        <v/>
      </c>
      <c r="C19" s="8" t="str">
        <f aca="false">IF($A19="","",'Employee List'!E19&amp;"")</f>
        <v/>
      </c>
      <c r="D19" s="8" t="str">
        <f aca="false">IF($A19="","",'Employee List'!F19&amp;"")</f>
        <v/>
      </c>
      <c r="E19" s="8" t="str">
        <f aca="false">IF($A19="","",'Employee List'!G19&amp;"")</f>
        <v/>
      </c>
      <c r="F19" s="8" t="str">
        <f aca="false">IF($A19="","",'Employee List'!D19)</f>
        <v/>
      </c>
      <c r="G19" s="38" t="str">
        <f aca="false">IF($A19="","",IF('Employee List'!I19="","",'Employee List'!I19))</f>
        <v/>
      </c>
      <c r="H19" s="38" t="str">
        <f aca="false">IF(OR($A19="",G19=""),"",G19+Settings!$C$13)</f>
        <v/>
      </c>
      <c r="I19" s="38" t="str">
        <f aca="false">IF(H19="","",MAX(H19,DATE(LvYear,1,1)))</f>
        <v/>
      </c>
      <c r="J19" s="38" t="str">
        <f aca="false">IF($A19="","",IF('Employee List'!J19="",DATE(LvYear,12,31),MIN('Employee List'!J19,DATE(LvYear,12,31))))</f>
        <v/>
      </c>
      <c r="K19" s="39" t="str">
        <f aca="false">IF(OR(I19="",J19=""),"",MAX(0,J19-I19+1))</f>
        <v/>
      </c>
      <c r="L19" s="16" t="str">
        <f aca="false">IF($A19="","",IF(AND(ISNUMBER(K19),K19=0),0,Settings!$C$10))</f>
        <v/>
      </c>
      <c r="M19" s="16" t="str">
        <f aca="false">IF($A19="","",IF(AND(ISNUMBER(K19),K19=0),0,Settings!$C$11))</f>
        <v/>
      </c>
      <c r="N19" s="40"/>
      <c r="O19" s="16" t="str">
        <f aca="false">IF($A19="","",FLOOR(Settings!$C$12/365*N(K19),0.5))</f>
        <v/>
      </c>
      <c r="P19" s="16" t="str">
        <f aca="false">IF($A19="","",IF(I19="",N(N19),FLOOR(Settings!$C$12/365*MAX(0,MIN(LvAsOf,J19)-I19+1)+N(N19),0.5)))</f>
        <v/>
      </c>
      <c r="Q19" s="16" t="str">
        <f aca="false">IF($A19="","",Settings!$C$14)</f>
        <v/>
      </c>
      <c r="R19" s="16" t="str">
        <f aca="false">IF($A19="","",SUMIFS(Attendance!$AZ$6:$AZ$2405,Attendance!$B$6:$B$2405,$A19,Attendance!$A$6:$A$2405,"&gt;="&amp;DATE(LvYear,1,1),Attendance!$A$6:$A$2405,"&lt;="&amp;DATE(LvYear,12,31)))</f>
        <v/>
      </c>
      <c r="S19" s="16" t="str">
        <f aca="false">IF($A19="","",SUMIFS(Attendance!$AY$6:$AY$2405,Attendance!$B$6:$B$2405,$A19,Attendance!$A$6:$A$2405,"&gt;="&amp;DATE(LvYear,1,1),Attendance!$A$6:$A$2405,"&lt;="&amp;DATE(LvYear,12,31)))</f>
        <v/>
      </c>
      <c r="T19" s="16" t="str">
        <f aca="false">IF($A19="","",SUMIFS(Attendance!$AX$6:$AX$2405,Attendance!$B$6:$B$2405,$A19,Attendance!$A$6:$A$2405,"&gt;="&amp;DATE(LvYear,1,1),Attendance!$A$6:$A$2405,"&lt;="&amp;DATE(LvYear,12,31)))</f>
        <v/>
      </c>
      <c r="U19" s="16" t="str">
        <f aca="false">IF($A19="","",SUMIFS(Attendance!$AW$6:$AW$2405,Attendance!$B$6:$B$2405,$A19,Attendance!$A$6:$A$2405,"&gt;="&amp;DATE(LvYear,1,1),Attendance!$A$6:$A$2405,"&lt;="&amp;DATE(LvYear,12,31)))</f>
        <v/>
      </c>
      <c r="V19" s="16" t="str">
        <f aca="false">IF($A19="","",L19-R19)</f>
        <v/>
      </c>
      <c r="W19" s="16" t="str">
        <f aca="false">IF($A19="","",M19-S19)</f>
        <v/>
      </c>
      <c r="X19" s="16" t="str">
        <f aca="false">IF($A19="","",P19-T19)</f>
        <v/>
      </c>
      <c r="Y19" s="16" t="str">
        <f aca="false">IF($A19="","",Q19-U19)</f>
        <v/>
      </c>
      <c r="Z19" s="16" t="str">
        <f aca="false">IF($A19="","",V19+W19+X19)</f>
        <v/>
      </c>
      <c r="AA19" s="16" t="str">
        <f aca="false">IF($A19="","",O19+N(N19)-T19)</f>
        <v/>
      </c>
      <c r="AB19" s="8" t="str">
        <f aca="false">IF($A19="","","CL "&amp;V19&amp;" | SL "&amp;W19&amp;" | PL "&amp;X19&amp;" | TR "&amp;Y19)</f>
        <v/>
      </c>
      <c r="AC19" s="15" t="str">
        <f aca="false">IF($A19="","",IF(F19="Exited","EXITED",IF(AND(ISNUMBER(K19),K19=0),"NOT ELIGIBLE",IF(MIN(V19:X19)&lt;0,"OVER-USED",IF(Z19&lt;=Settings!$C$15,"LOW","OK")))))</f>
        <v/>
      </c>
      <c r="AD19" s="16" t="str">
        <f aca="false">IF(OR(AC19="OVER-USED",AC19="LOW"),COUNTIF(AC$6:AC19,"OVER-USED")+COUNTIF(AC$6:AC19,"LOW"),"")</f>
        <v/>
      </c>
    </row>
    <row r="20" customFormat="false" ht="15" hidden="false" customHeight="false" outlineLevel="0" collapsed="false">
      <c r="A20" s="8" t="str">
        <f aca="false">IF('Employee List'!B20="","",'Employee List'!B20)</f>
        <v/>
      </c>
      <c r="B20" s="8" t="str">
        <f aca="false">IF($A20="","",'Employee List'!C20)</f>
        <v/>
      </c>
      <c r="C20" s="8" t="str">
        <f aca="false">IF($A20="","",'Employee List'!E20&amp;"")</f>
        <v/>
      </c>
      <c r="D20" s="8" t="str">
        <f aca="false">IF($A20="","",'Employee List'!F20&amp;"")</f>
        <v/>
      </c>
      <c r="E20" s="8" t="str">
        <f aca="false">IF($A20="","",'Employee List'!G20&amp;"")</f>
        <v/>
      </c>
      <c r="F20" s="8" t="str">
        <f aca="false">IF($A20="","",'Employee List'!D20)</f>
        <v/>
      </c>
      <c r="G20" s="38" t="str">
        <f aca="false">IF($A20="","",IF('Employee List'!I20="","",'Employee List'!I20))</f>
        <v/>
      </c>
      <c r="H20" s="38" t="str">
        <f aca="false">IF(OR($A20="",G20=""),"",G20+Settings!$C$13)</f>
        <v/>
      </c>
      <c r="I20" s="38" t="str">
        <f aca="false">IF(H20="","",MAX(H20,DATE(LvYear,1,1)))</f>
        <v/>
      </c>
      <c r="J20" s="38" t="str">
        <f aca="false">IF($A20="","",IF('Employee List'!J20="",DATE(LvYear,12,31),MIN('Employee List'!J20,DATE(LvYear,12,31))))</f>
        <v/>
      </c>
      <c r="K20" s="39" t="str">
        <f aca="false">IF(OR(I20="",J20=""),"",MAX(0,J20-I20+1))</f>
        <v/>
      </c>
      <c r="L20" s="16" t="str">
        <f aca="false">IF($A20="","",IF(AND(ISNUMBER(K20),K20=0),0,Settings!$C$10))</f>
        <v/>
      </c>
      <c r="M20" s="16" t="str">
        <f aca="false">IF($A20="","",IF(AND(ISNUMBER(K20),K20=0),0,Settings!$C$11))</f>
        <v/>
      </c>
      <c r="N20" s="40"/>
      <c r="O20" s="16" t="str">
        <f aca="false">IF($A20="","",FLOOR(Settings!$C$12/365*N(K20),0.5))</f>
        <v/>
      </c>
      <c r="P20" s="16" t="str">
        <f aca="false">IF($A20="","",IF(I20="",N(N20),FLOOR(Settings!$C$12/365*MAX(0,MIN(LvAsOf,J20)-I20+1)+N(N20),0.5)))</f>
        <v/>
      </c>
      <c r="Q20" s="16" t="str">
        <f aca="false">IF($A20="","",Settings!$C$14)</f>
        <v/>
      </c>
      <c r="R20" s="16" t="str">
        <f aca="false">IF($A20="","",SUMIFS(Attendance!$AZ$6:$AZ$2405,Attendance!$B$6:$B$2405,$A20,Attendance!$A$6:$A$2405,"&gt;="&amp;DATE(LvYear,1,1),Attendance!$A$6:$A$2405,"&lt;="&amp;DATE(LvYear,12,31)))</f>
        <v/>
      </c>
      <c r="S20" s="16" t="str">
        <f aca="false">IF($A20="","",SUMIFS(Attendance!$AY$6:$AY$2405,Attendance!$B$6:$B$2405,$A20,Attendance!$A$6:$A$2405,"&gt;="&amp;DATE(LvYear,1,1),Attendance!$A$6:$A$2405,"&lt;="&amp;DATE(LvYear,12,31)))</f>
        <v/>
      </c>
      <c r="T20" s="16" t="str">
        <f aca="false">IF($A20="","",SUMIFS(Attendance!$AX$6:$AX$2405,Attendance!$B$6:$B$2405,$A20,Attendance!$A$6:$A$2405,"&gt;="&amp;DATE(LvYear,1,1),Attendance!$A$6:$A$2405,"&lt;="&amp;DATE(LvYear,12,31)))</f>
        <v/>
      </c>
      <c r="U20" s="16" t="str">
        <f aca="false">IF($A20="","",SUMIFS(Attendance!$AW$6:$AW$2405,Attendance!$B$6:$B$2405,$A20,Attendance!$A$6:$A$2405,"&gt;="&amp;DATE(LvYear,1,1),Attendance!$A$6:$A$2405,"&lt;="&amp;DATE(LvYear,12,31)))</f>
        <v/>
      </c>
      <c r="V20" s="16" t="str">
        <f aca="false">IF($A20="","",L20-R20)</f>
        <v/>
      </c>
      <c r="W20" s="16" t="str">
        <f aca="false">IF($A20="","",M20-S20)</f>
        <v/>
      </c>
      <c r="X20" s="16" t="str">
        <f aca="false">IF($A20="","",P20-T20)</f>
        <v/>
      </c>
      <c r="Y20" s="16" t="str">
        <f aca="false">IF($A20="","",Q20-U20)</f>
        <v/>
      </c>
      <c r="Z20" s="16" t="str">
        <f aca="false">IF($A20="","",V20+W20+X20)</f>
        <v/>
      </c>
      <c r="AA20" s="16" t="str">
        <f aca="false">IF($A20="","",O20+N(N20)-T20)</f>
        <v/>
      </c>
      <c r="AB20" s="8" t="str">
        <f aca="false">IF($A20="","","CL "&amp;V20&amp;" | SL "&amp;W20&amp;" | PL "&amp;X20&amp;" | TR "&amp;Y20)</f>
        <v/>
      </c>
      <c r="AC20" s="15" t="str">
        <f aca="false">IF($A20="","",IF(F20="Exited","EXITED",IF(AND(ISNUMBER(K20),K20=0),"NOT ELIGIBLE",IF(MIN(V20:X20)&lt;0,"OVER-USED",IF(Z20&lt;=Settings!$C$15,"LOW","OK")))))</f>
        <v/>
      </c>
      <c r="AD20" s="16" t="str">
        <f aca="false">IF(OR(AC20="OVER-USED",AC20="LOW"),COUNTIF(AC$6:AC20,"OVER-USED")+COUNTIF(AC$6:AC20,"LOW"),"")</f>
        <v/>
      </c>
    </row>
    <row r="21" customFormat="false" ht="15" hidden="false" customHeight="false" outlineLevel="0" collapsed="false">
      <c r="A21" s="8" t="str">
        <f aca="false">IF('Employee List'!B21="","",'Employee List'!B21)</f>
        <v/>
      </c>
      <c r="B21" s="8" t="str">
        <f aca="false">IF($A21="","",'Employee List'!C21)</f>
        <v/>
      </c>
      <c r="C21" s="8" t="str">
        <f aca="false">IF($A21="","",'Employee List'!E21&amp;"")</f>
        <v/>
      </c>
      <c r="D21" s="8" t="str">
        <f aca="false">IF($A21="","",'Employee List'!F21&amp;"")</f>
        <v/>
      </c>
      <c r="E21" s="8" t="str">
        <f aca="false">IF($A21="","",'Employee List'!G21&amp;"")</f>
        <v/>
      </c>
      <c r="F21" s="8" t="str">
        <f aca="false">IF($A21="","",'Employee List'!D21)</f>
        <v/>
      </c>
      <c r="G21" s="38" t="str">
        <f aca="false">IF($A21="","",IF('Employee List'!I21="","",'Employee List'!I21))</f>
        <v/>
      </c>
      <c r="H21" s="38" t="str">
        <f aca="false">IF(OR($A21="",G21=""),"",G21+Settings!$C$13)</f>
        <v/>
      </c>
      <c r="I21" s="38" t="str">
        <f aca="false">IF(H21="","",MAX(H21,DATE(LvYear,1,1)))</f>
        <v/>
      </c>
      <c r="J21" s="38" t="str">
        <f aca="false">IF($A21="","",IF('Employee List'!J21="",DATE(LvYear,12,31),MIN('Employee List'!J21,DATE(LvYear,12,31))))</f>
        <v/>
      </c>
      <c r="K21" s="39" t="str">
        <f aca="false">IF(OR(I21="",J21=""),"",MAX(0,J21-I21+1))</f>
        <v/>
      </c>
      <c r="L21" s="16" t="str">
        <f aca="false">IF($A21="","",IF(AND(ISNUMBER(K21),K21=0),0,Settings!$C$10))</f>
        <v/>
      </c>
      <c r="M21" s="16" t="str">
        <f aca="false">IF($A21="","",IF(AND(ISNUMBER(K21),K21=0),0,Settings!$C$11))</f>
        <v/>
      </c>
      <c r="N21" s="40"/>
      <c r="O21" s="16" t="str">
        <f aca="false">IF($A21="","",FLOOR(Settings!$C$12/365*N(K21),0.5))</f>
        <v/>
      </c>
      <c r="P21" s="16" t="str">
        <f aca="false">IF($A21="","",IF(I21="",N(N21),FLOOR(Settings!$C$12/365*MAX(0,MIN(LvAsOf,J21)-I21+1)+N(N21),0.5)))</f>
        <v/>
      </c>
      <c r="Q21" s="16" t="str">
        <f aca="false">IF($A21="","",Settings!$C$14)</f>
        <v/>
      </c>
      <c r="R21" s="16" t="str">
        <f aca="false">IF($A21="","",SUMIFS(Attendance!$AZ$6:$AZ$2405,Attendance!$B$6:$B$2405,$A21,Attendance!$A$6:$A$2405,"&gt;="&amp;DATE(LvYear,1,1),Attendance!$A$6:$A$2405,"&lt;="&amp;DATE(LvYear,12,31)))</f>
        <v/>
      </c>
      <c r="S21" s="16" t="str">
        <f aca="false">IF($A21="","",SUMIFS(Attendance!$AY$6:$AY$2405,Attendance!$B$6:$B$2405,$A21,Attendance!$A$6:$A$2405,"&gt;="&amp;DATE(LvYear,1,1),Attendance!$A$6:$A$2405,"&lt;="&amp;DATE(LvYear,12,31)))</f>
        <v/>
      </c>
      <c r="T21" s="16" t="str">
        <f aca="false">IF($A21="","",SUMIFS(Attendance!$AX$6:$AX$2405,Attendance!$B$6:$B$2405,$A21,Attendance!$A$6:$A$2405,"&gt;="&amp;DATE(LvYear,1,1),Attendance!$A$6:$A$2405,"&lt;="&amp;DATE(LvYear,12,31)))</f>
        <v/>
      </c>
      <c r="U21" s="16" t="str">
        <f aca="false">IF($A21="","",SUMIFS(Attendance!$AW$6:$AW$2405,Attendance!$B$6:$B$2405,$A21,Attendance!$A$6:$A$2405,"&gt;="&amp;DATE(LvYear,1,1),Attendance!$A$6:$A$2405,"&lt;="&amp;DATE(LvYear,12,31)))</f>
        <v/>
      </c>
      <c r="V21" s="16" t="str">
        <f aca="false">IF($A21="","",L21-R21)</f>
        <v/>
      </c>
      <c r="W21" s="16" t="str">
        <f aca="false">IF($A21="","",M21-S21)</f>
        <v/>
      </c>
      <c r="X21" s="16" t="str">
        <f aca="false">IF($A21="","",P21-T21)</f>
        <v/>
      </c>
      <c r="Y21" s="16" t="str">
        <f aca="false">IF($A21="","",Q21-U21)</f>
        <v/>
      </c>
      <c r="Z21" s="16" t="str">
        <f aca="false">IF($A21="","",V21+W21+X21)</f>
        <v/>
      </c>
      <c r="AA21" s="16" t="str">
        <f aca="false">IF($A21="","",O21+N(N21)-T21)</f>
        <v/>
      </c>
      <c r="AB21" s="8" t="str">
        <f aca="false">IF($A21="","","CL "&amp;V21&amp;" | SL "&amp;W21&amp;" | PL "&amp;X21&amp;" | TR "&amp;Y21)</f>
        <v/>
      </c>
      <c r="AC21" s="15" t="str">
        <f aca="false">IF($A21="","",IF(F21="Exited","EXITED",IF(AND(ISNUMBER(K21),K21=0),"NOT ELIGIBLE",IF(MIN(V21:X21)&lt;0,"OVER-USED",IF(Z21&lt;=Settings!$C$15,"LOW","OK")))))</f>
        <v/>
      </c>
      <c r="AD21" s="16" t="str">
        <f aca="false">IF(OR(AC21="OVER-USED",AC21="LOW"),COUNTIF(AC$6:AC21,"OVER-USED")+COUNTIF(AC$6:AC21,"LOW"),"")</f>
        <v/>
      </c>
    </row>
    <row r="22" customFormat="false" ht="15" hidden="false" customHeight="false" outlineLevel="0" collapsed="false">
      <c r="A22" s="8" t="str">
        <f aca="false">IF('Employee List'!B22="","",'Employee List'!B22)</f>
        <v/>
      </c>
      <c r="B22" s="8" t="str">
        <f aca="false">IF($A22="","",'Employee List'!C22)</f>
        <v/>
      </c>
      <c r="C22" s="8" t="str">
        <f aca="false">IF($A22="","",'Employee List'!E22&amp;"")</f>
        <v/>
      </c>
      <c r="D22" s="8" t="str">
        <f aca="false">IF($A22="","",'Employee List'!F22&amp;"")</f>
        <v/>
      </c>
      <c r="E22" s="8" t="str">
        <f aca="false">IF($A22="","",'Employee List'!G22&amp;"")</f>
        <v/>
      </c>
      <c r="F22" s="8" t="str">
        <f aca="false">IF($A22="","",'Employee List'!D22)</f>
        <v/>
      </c>
      <c r="G22" s="38" t="str">
        <f aca="false">IF($A22="","",IF('Employee List'!I22="","",'Employee List'!I22))</f>
        <v/>
      </c>
      <c r="H22" s="38" t="str">
        <f aca="false">IF(OR($A22="",G22=""),"",G22+Settings!$C$13)</f>
        <v/>
      </c>
      <c r="I22" s="38" t="str">
        <f aca="false">IF(H22="","",MAX(H22,DATE(LvYear,1,1)))</f>
        <v/>
      </c>
      <c r="J22" s="38" t="str">
        <f aca="false">IF($A22="","",IF('Employee List'!J22="",DATE(LvYear,12,31),MIN('Employee List'!J22,DATE(LvYear,12,31))))</f>
        <v/>
      </c>
      <c r="K22" s="39" t="str">
        <f aca="false">IF(OR(I22="",J22=""),"",MAX(0,J22-I22+1))</f>
        <v/>
      </c>
      <c r="L22" s="16" t="str">
        <f aca="false">IF($A22="","",IF(AND(ISNUMBER(K22),K22=0),0,Settings!$C$10))</f>
        <v/>
      </c>
      <c r="M22" s="16" t="str">
        <f aca="false">IF($A22="","",IF(AND(ISNUMBER(K22),K22=0),0,Settings!$C$11))</f>
        <v/>
      </c>
      <c r="N22" s="40"/>
      <c r="O22" s="16" t="str">
        <f aca="false">IF($A22="","",FLOOR(Settings!$C$12/365*N(K22),0.5))</f>
        <v/>
      </c>
      <c r="P22" s="16" t="str">
        <f aca="false">IF($A22="","",IF(I22="",N(N22),FLOOR(Settings!$C$12/365*MAX(0,MIN(LvAsOf,J22)-I22+1)+N(N22),0.5)))</f>
        <v/>
      </c>
      <c r="Q22" s="16" t="str">
        <f aca="false">IF($A22="","",Settings!$C$14)</f>
        <v/>
      </c>
      <c r="R22" s="16" t="str">
        <f aca="false">IF($A22="","",SUMIFS(Attendance!$AZ$6:$AZ$2405,Attendance!$B$6:$B$2405,$A22,Attendance!$A$6:$A$2405,"&gt;="&amp;DATE(LvYear,1,1),Attendance!$A$6:$A$2405,"&lt;="&amp;DATE(LvYear,12,31)))</f>
        <v/>
      </c>
      <c r="S22" s="16" t="str">
        <f aca="false">IF($A22="","",SUMIFS(Attendance!$AY$6:$AY$2405,Attendance!$B$6:$B$2405,$A22,Attendance!$A$6:$A$2405,"&gt;="&amp;DATE(LvYear,1,1),Attendance!$A$6:$A$2405,"&lt;="&amp;DATE(LvYear,12,31)))</f>
        <v/>
      </c>
      <c r="T22" s="16" t="str">
        <f aca="false">IF($A22="","",SUMIFS(Attendance!$AX$6:$AX$2405,Attendance!$B$6:$B$2405,$A22,Attendance!$A$6:$A$2405,"&gt;="&amp;DATE(LvYear,1,1),Attendance!$A$6:$A$2405,"&lt;="&amp;DATE(LvYear,12,31)))</f>
        <v/>
      </c>
      <c r="U22" s="16" t="str">
        <f aca="false">IF($A22="","",SUMIFS(Attendance!$AW$6:$AW$2405,Attendance!$B$6:$B$2405,$A22,Attendance!$A$6:$A$2405,"&gt;="&amp;DATE(LvYear,1,1),Attendance!$A$6:$A$2405,"&lt;="&amp;DATE(LvYear,12,31)))</f>
        <v/>
      </c>
      <c r="V22" s="16" t="str">
        <f aca="false">IF($A22="","",L22-R22)</f>
        <v/>
      </c>
      <c r="W22" s="16" t="str">
        <f aca="false">IF($A22="","",M22-S22)</f>
        <v/>
      </c>
      <c r="X22" s="16" t="str">
        <f aca="false">IF($A22="","",P22-T22)</f>
        <v/>
      </c>
      <c r="Y22" s="16" t="str">
        <f aca="false">IF($A22="","",Q22-U22)</f>
        <v/>
      </c>
      <c r="Z22" s="16" t="str">
        <f aca="false">IF($A22="","",V22+W22+X22)</f>
        <v/>
      </c>
      <c r="AA22" s="16" t="str">
        <f aca="false">IF($A22="","",O22+N(N22)-T22)</f>
        <v/>
      </c>
      <c r="AB22" s="8" t="str">
        <f aca="false">IF($A22="","","CL "&amp;V22&amp;" | SL "&amp;W22&amp;" | PL "&amp;X22&amp;" | TR "&amp;Y22)</f>
        <v/>
      </c>
      <c r="AC22" s="15" t="str">
        <f aca="false">IF($A22="","",IF(F22="Exited","EXITED",IF(AND(ISNUMBER(K22),K22=0),"NOT ELIGIBLE",IF(MIN(V22:X22)&lt;0,"OVER-USED",IF(Z22&lt;=Settings!$C$15,"LOW","OK")))))</f>
        <v/>
      </c>
      <c r="AD22" s="16" t="str">
        <f aca="false">IF(OR(AC22="OVER-USED",AC22="LOW"),COUNTIF(AC$6:AC22,"OVER-USED")+COUNTIF(AC$6:AC22,"LOW"),"")</f>
        <v/>
      </c>
    </row>
    <row r="23" customFormat="false" ht="15" hidden="false" customHeight="false" outlineLevel="0" collapsed="false">
      <c r="A23" s="8" t="str">
        <f aca="false">IF('Employee List'!B23="","",'Employee List'!B23)</f>
        <v/>
      </c>
      <c r="B23" s="8" t="str">
        <f aca="false">IF($A23="","",'Employee List'!C23)</f>
        <v/>
      </c>
      <c r="C23" s="8" t="str">
        <f aca="false">IF($A23="","",'Employee List'!E23&amp;"")</f>
        <v/>
      </c>
      <c r="D23" s="8" t="str">
        <f aca="false">IF($A23="","",'Employee List'!F23&amp;"")</f>
        <v/>
      </c>
      <c r="E23" s="8" t="str">
        <f aca="false">IF($A23="","",'Employee List'!G23&amp;"")</f>
        <v/>
      </c>
      <c r="F23" s="8" t="str">
        <f aca="false">IF($A23="","",'Employee List'!D23)</f>
        <v/>
      </c>
      <c r="G23" s="38" t="str">
        <f aca="false">IF($A23="","",IF('Employee List'!I23="","",'Employee List'!I23))</f>
        <v/>
      </c>
      <c r="H23" s="38" t="str">
        <f aca="false">IF(OR($A23="",G23=""),"",G23+Settings!$C$13)</f>
        <v/>
      </c>
      <c r="I23" s="38" t="str">
        <f aca="false">IF(H23="","",MAX(H23,DATE(LvYear,1,1)))</f>
        <v/>
      </c>
      <c r="J23" s="38" t="str">
        <f aca="false">IF($A23="","",IF('Employee List'!J23="",DATE(LvYear,12,31),MIN('Employee List'!J23,DATE(LvYear,12,31))))</f>
        <v/>
      </c>
      <c r="K23" s="39" t="str">
        <f aca="false">IF(OR(I23="",J23=""),"",MAX(0,J23-I23+1))</f>
        <v/>
      </c>
      <c r="L23" s="16" t="str">
        <f aca="false">IF($A23="","",IF(AND(ISNUMBER(K23),K23=0),0,Settings!$C$10))</f>
        <v/>
      </c>
      <c r="M23" s="16" t="str">
        <f aca="false">IF($A23="","",IF(AND(ISNUMBER(K23),K23=0),0,Settings!$C$11))</f>
        <v/>
      </c>
      <c r="N23" s="40"/>
      <c r="O23" s="16" t="str">
        <f aca="false">IF($A23="","",FLOOR(Settings!$C$12/365*N(K23),0.5))</f>
        <v/>
      </c>
      <c r="P23" s="16" t="str">
        <f aca="false">IF($A23="","",IF(I23="",N(N23),FLOOR(Settings!$C$12/365*MAX(0,MIN(LvAsOf,J23)-I23+1)+N(N23),0.5)))</f>
        <v/>
      </c>
      <c r="Q23" s="16" t="str">
        <f aca="false">IF($A23="","",Settings!$C$14)</f>
        <v/>
      </c>
      <c r="R23" s="16" t="str">
        <f aca="false">IF($A23="","",SUMIFS(Attendance!$AZ$6:$AZ$2405,Attendance!$B$6:$B$2405,$A23,Attendance!$A$6:$A$2405,"&gt;="&amp;DATE(LvYear,1,1),Attendance!$A$6:$A$2405,"&lt;="&amp;DATE(LvYear,12,31)))</f>
        <v/>
      </c>
      <c r="S23" s="16" t="str">
        <f aca="false">IF($A23="","",SUMIFS(Attendance!$AY$6:$AY$2405,Attendance!$B$6:$B$2405,$A23,Attendance!$A$6:$A$2405,"&gt;="&amp;DATE(LvYear,1,1),Attendance!$A$6:$A$2405,"&lt;="&amp;DATE(LvYear,12,31)))</f>
        <v/>
      </c>
      <c r="T23" s="16" t="str">
        <f aca="false">IF($A23="","",SUMIFS(Attendance!$AX$6:$AX$2405,Attendance!$B$6:$B$2405,$A23,Attendance!$A$6:$A$2405,"&gt;="&amp;DATE(LvYear,1,1),Attendance!$A$6:$A$2405,"&lt;="&amp;DATE(LvYear,12,31)))</f>
        <v/>
      </c>
      <c r="U23" s="16" t="str">
        <f aca="false">IF($A23="","",SUMIFS(Attendance!$AW$6:$AW$2405,Attendance!$B$6:$B$2405,$A23,Attendance!$A$6:$A$2405,"&gt;="&amp;DATE(LvYear,1,1),Attendance!$A$6:$A$2405,"&lt;="&amp;DATE(LvYear,12,31)))</f>
        <v/>
      </c>
      <c r="V23" s="16" t="str">
        <f aca="false">IF($A23="","",L23-R23)</f>
        <v/>
      </c>
      <c r="W23" s="16" t="str">
        <f aca="false">IF($A23="","",M23-S23)</f>
        <v/>
      </c>
      <c r="X23" s="16" t="str">
        <f aca="false">IF($A23="","",P23-T23)</f>
        <v/>
      </c>
      <c r="Y23" s="16" t="str">
        <f aca="false">IF($A23="","",Q23-U23)</f>
        <v/>
      </c>
      <c r="Z23" s="16" t="str">
        <f aca="false">IF($A23="","",V23+W23+X23)</f>
        <v/>
      </c>
      <c r="AA23" s="16" t="str">
        <f aca="false">IF($A23="","",O23+N(N23)-T23)</f>
        <v/>
      </c>
      <c r="AB23" s="8" t="str">
        <f aca="false">IF($A23="","","CL "&amp;V23&amp;" | SL "&amp;W23&amp;" | PL "&amp;X23&amp;" | TR "&amp;Y23)</f>
        <v/>
      </c>
      <c r="AC23" s="15" t="str">
        <f aca="false">IF($A23="","",IF(F23="Exited","EXITED",IF(AND(ISNUMBER(K23),K23=0),"NOT ELIGIBLE",IF(MIN(V23:X23)&lt;0,"OVER-USED",IF(Z23&lt;=Settings!$C$15,"LOW","OK")))))</f>
        <v/>
      </c>
      <c r="AD23" s="16" t="str">
        <f aca="false">IF(OR(AC23="OVER-USED",AC23="LOW"),COUNTIF(AC$6:AC23,"OVER-USED")+COUNTIF(AC$6:AC23,"LOW"),"")</f>
        <v/>
      </c>
    </row>
    <row r="24" customFormat="false" ht="15" hidden="false" customHeight="false" outlineLevel="0" collapsed="false">
      <c r="A24" s="8" t="str">
        <f aca="false">IF('Employee List'!B24="","",'Employee List'!B24)</f>
        <v/>
      </c>
      <c r="B24" s="8" t="str">
        <f aca="false">IF($A24="","",'Employee List'!C24)</f>
        <v/>
      </c>
      <c r="C24" s="8" t="str">
        <f aca="false">IF($A24="","",'Employee List'!E24&amp;"")</f>
        <v/>
      </c>
      <c r="D24" s="8" t="str">
        <f aca="false">IF($A24="","",'Employee List'!F24&amp;"")</f>
        <v/>
      </c>
      <c r="E24" s="8" t="str">
        <f aca="false">IF($A24="","",'Employee List'!G24&amp;"")</f>
        <v/>
      </c>
      <c r="F24" s="8" t="str">
        <f aca="false">IF($A24="","",'Employee List'!D24)</f>
        <v/>
      </c>
      <c r="G24" s="38" t="str">
        <f aca="false">IF($A24="","",IF('Employee List'!I24="","",'Employee List'!I24))</f>
        <v/>
      </c>
      <c r="H24" s="38" t="str">
        <f aca="false">IF(OR($A24="",G24=""),"",G24+Settings!$C$13)</f>
        <v/>
      </c>
      <c r="I24" s="38" t="str">
        <f aca="false">IF(H24="","",MAX(H24,DATE(LvYear,1,1)))</f>
        <v/>
      </c>
      <c r="J24" s="38" t="str">
        <f aca="false">IF($A24="","",IF('Employee List'!J24="",DATE(LvYear,12,31),MIN('Employee List'!J24,DATE(LvYear,12,31))))</f>
        <v/>
      </c>
      <c r="K24" s="39" t="str">
        <f aca="false">IF(OR(I24="",J24=""),"",MAX(0,J24-I24+1))</f>
        <v/>
      </c>
      <c r="L24" s="16" t="str">
        <f aca="false">IF($A24="","",IF(AND(ISNUMBER(K24),K24=0),0,Settings!$C$10))</f>
        <v/>
      </c>
      <c r="M24" s="16" t="str">
        <f aca="false">IF($A24="","",IF(AND(ISNUMBER(K24),K24=0),0,Settings!$C$11))</f>
        <v/>
      </c>
      <c r="N24" s="40"/>
      <c r="O24" s="16" t="str">
        <f aca="false">IF($A24="","",FLOOR(Settings!$C$12/365*N(K24),0.5))</f>
        <v/>
      </c>
      <c r="P24" s="16" t="str">
        <f aca="false">IF($A24="","",IF(I24="",N(N24),FLOOR(Settings!$C$12/365*MAX(0,MIN(LvAsOf,J24)-I24+1)+N(N24),0.5)))</f>
        <v/>
      </c>
      <c r="Q24" s="16" t="str">
        <f aca="false">IF($A24="","",Settings!$C$14)</f>
        <v/>
      </c>
      <c r="R24" s="16" t="str">
        <f aca="false">IF($A24="","",SUMIFS(Attendance!$AZ$6:$AZ$2405,Attendance!$B$6:$B$2405,$A24,Attendance!$A$6:$A$2405,"&gt;="&amp;DATE(LvYear,1,1),Attendance!$A$6:$A$2405,"&lt;="&amp;DATE(LvYear,12,31)))</f>
        <v/>
      </c>
      <c r="S24" s="16" t="str">
        <f aca="false">IF($A24="","",SUMIFS(Attendance!$AY$6:$AY$2405,Attendance!$B$6:$B$2405,$A24,Attendance!$A$6:$A$2405,"&gt;="&amp;DATE(LvYear,1,1),Attendance!$A$6:$A$2405,"&lt;="&amp;DATE(LvYear,12,31)))</f>
        <v/>
      </c>
      <c r="T24" s="16" t="str">
        <f aca="false">IF($A24="","",SUMIFS(Attendance!$AX$6:$AX$2405,Attendance!$B$6:$B$2405,$A24,Attendance!$A$6:$A$2405,"&gt;="&amp;DATE(LvYear,1,1),Attendance!$A$6:$A$2405,"&lt;="&amp;DATE(LvYear,12,31)))</f>
        <v/>
      </c>
      <c r="U24" s="16" t="str">
        <f aca="false">IF($A24="","",SUMIFS(Attendance!$AW$6:$AW$2405,Attendance!$B$6:$B$2405,$A24,Attendance!$A$6:$A$2405,"&gt;="&amp;DATE(LvYear,1,1),Attendance!$A$6:$A$2405,"&lt;="&amp;DATE(LvYear,12,31)))</f>
        <v/>
      </c>
      <c r="V24" s="16" t="str">
        <f aca="false">IF($A24="","",L24-R24)</f>
        <v/>
      </c>
      <c r="W24" s="16" t="str">
        <f aca="false">IF($A24="","",M24-S24)</f>
        <v/>
      </c>
      <c r="X24" s="16" t="str">
        <f aca="false">IF($A24="","",P24-T24)</f>
        <v/>
      </c>
      <c r="Y24" s="16" t="str">
        <f aca="false">IF($A24="","",Q24-U24)</f>
        <v/>
      </c>
      <c r="Z24" s="16" t="str">
        <f aca="false">IF($A24="","",V24+W24+X24)</f>
        <v/>
      </c>
      <c r="AA24" s="16" t="str">
        <f aca="false">IF($A24="","",O24+N(N24)-T24)</f>
        <v/>
      </c>
      <c r="AB24" s="8" t="str">
        <f aca="false">IF($A24="","","CL "&amp;V24&amp;" | SL "&amp;W24&amp;" | PL "&amp;X24&amp;" | TR "&amp;Y24)</f>
        <v/>
      </c>
      <c r="AC24" s="15" t="str">
        <f aca="false">IF($A24="","",IF(F24="Exited","EXITED",IF(AND(ISNUMBER(K24),K24=0),"NOT ELIGIBLE",IF(MIN(V24:X24)&lt;0,"OVER-USED",IF(Z24&lt;=Settings!$C$15,"LOW","OK")))))</f>
        <v/>
      </c>
      <c r="AD24" s="16" t="str">
        <f aca="false">IF(OR(AC24="OVER-USED",AC24="LOW"),COUNTIF(AC$6:AC24,"OVER-USED")+COUNTIF(AC$6:AC24,"LOW"),"")</f>
        <v/>
      </c>
    </row>
    <row r="25" customFormat="false" ht="15" hidden="false" customHeight="false" outlineLevel="0" collapsed="false">
      <c r="A25" s="8" t="str">
        <f aca="false">IF('Employee List'!B25="","",'Employee List'!B25)</f>
        <v/>
      </c>
      <c r="B25" s="8" t="str">
        <f aca="false">IF($A25="","",'Employee List'!C25)</f>
        <v/>
      </c>
      <c r="C25" s="8" t="str">
        <f aca="false">IF($A25="","",'Employee List'!E25&amp;"")</f>
        <v/>
      </c>
      <c r="D25" s="8" t="str">
        <f aca="false">IF($A25="","",'Employee List'!F25&amp;"")</f>
        <v/>
      </c>
      <c r="E25" s="8" t="str">
        <f aca="false">IF($A25="","",'Employee List'!G25&amp;"")</f>
        <v/>
      </c>
      <c r="F25" s="8" t="str">
        <f aca="false">IF($A25="","",'Employee List'!D25)</f>
        <v/>
      </c>
      <c r="G25" s="38" t="str">
        <f aca="false">IF($A25="","",IF('Employee List'!I25="","",'Employee List'!I25))</f>
        <v/>
      </c>
      <c r="H25" s="38" t="str">
        <f aca="false">IF(OR($A25="",G25=""),"",G25+Settings!$C$13)</f>
        <v/>
      </c>
      <c r="I25" s="38" t="str">
        <f aca="false">IF(H25="","",MAX(H25,DATE(LvYear,1,1)))</f>
        <v/>
      </c>
      <c r="J25" s="38" t="str">
        <f aca="false">IF($A25="","",IF('Employee List'!J25="",DATE(LvYear,12,31),MIN('Employee List'!J25,DATE(LvYear,12,31))))</f>
        <v/>
      </c>
      <c r="K25" s="39" t="str">
        <f aca="false">IF(OR(I25="",J25=""),"",MAX(0,J25-I25+1))</f>
        <v/>
      </c>
      <c r="L25" s="16" t="str">
        <f aca="false">IF($A25="","",IF(AND(ISNUMBER(K25),K25=0),0,Settings!$C$10))</f>
        <v/>
      </c>
      <c r="M25" s="16" t="str">
        <f aca="false">IF($A25="","",IF(AND(ISNUMBER(K25),K25=0),0,Settings!$C$11))</f>
        <v/>
      </c>
      <c r="N25" s="40"/>
      <c r="O25" s="16" t="str">
        <f aca="false">IF($A25="","",FLOOR(Settings!$C$12/365*N(K25),0.5))</f>
        <v/>
      </c>
      <c r="P25" s="16" t="str">
        <f aca="false">IF($A25="","",IF(I25="",N(N25),FLOOR(Settings!$C$12/365*MAX(0,MIN(LvAsOf,J25)-I25+1)+N(N25),0.5)))</f>
        <v/>
      </c>
      <c r="Q25" s="16" t="str">
        <f aca="false">IF($A25="","",Settings!$C$14)</f>
        <v/>
      </c>
      <c r="R25" s="16" t="str">
        <f aca="false">IF($A25="","",SUMIFS(Attendance!$AZ$6:$AZ$2405,Attendance!$B$6:$B$2405,$A25,Attendance!$A$6:$A$2405,"&gt;="&amp;DATE(LvYear,1,1),Attendance!$A$6:$A$2405,"&lt;="&amp;DATE(LvYear,12,31)))</f>
        <v/>
      </c>
      <c r="S25" s="16" t="str">
        <f aca="false">IF($A25="","",SUMIFS(Attendance!$AY$6:$AY$2405,Attendance!$B$6:$B$2405,$A25,Attendance!$A$6:$A$2405,"&gt;="&amp;DATE(LvYear,1,1),Attendance!$A$6:$A$2405,"&lt;="&amp;DATE(LvYear,12,31)))</f>
        <v/>
      </c>
      <c r="T25" s="16" t="str">
        <f aca="false">IF($A25="","",SUMIFS(Attendance!$AX$6:$AX$2405,Attendance!$B$6:$B$2405,$A25,Attendance!$A$6:$A$2405,"&gt;="&amp;DATE(LvYear,1,1),Attendance!$A$6:$A$2405,"&lt;="&amp;DATE(LvYear,12,31)))</f>
        <v/>
      </c>
      <c r="U25" s="16" t="str">
        <f aca="false">IF($A25="","",SUMIFS(Attendance!$AW$6:$AW$2405,Attendance!$B$6:$B$2405,$A25,Attendance!$A$6:$A$2405,"&gt;="&amp;DATE(LvYear,1,1),Attendance!$A$6:$A$2405,"&lt;="&amp;DATE(LvYear,12,31)))</f>
        <v/>
      </c>
      <c r="V25" s="16" t="str">
        <f aca="false">IF($A25="","",L25-R25)</f>
        <v/>
      </c>
      <c r="W25" s="16" t="str">
        <f aca="false">IF($A25="","",M25-S25)</f>
        <v/>
      </c>
      <c r="X25" s="16" t="str">
        <f aca="false">IF($A25="","",P25-T25)</f>
        <v/>
      </c>
      <c r="Y25" s="16" t="str">
        <f aca="false">IF($A25="","",Q25-U25)</f>
        <v/>
      </c>
      <c r="Z25" s="16" t="str">
        <f aca="false">IF($A25="","",V25+W25+X25)</f>
        <v/>
      </c>
      <c r="AA25" s="16" t="str">
        <f aca="false">IF($A25="","",O25+N(N25)-T25)</f>
        <v/>
      </c>
      <c r="AB25" s="8" t="str">
        <f aca="false">IF($A25="","","CL "&amp;V25&amp;" | SL "&amp;W25&amp;" | PL "&amp;X25&amp;" | TR "&amp;Y25)</f>
        <v/>
      </c>
      <c r="AC25" s="15" t="str">
        <f aca="false">IF($A25="","",IF(F25="Exited","EXITED",IF(AND(ISNUMBER(K25),K25=0),"NOT ELIGIBLE",IF(MIN(V25:X25)&lt;0,"OVER-USED",IF(Z25&lt;=Settings!$C$15,"LOW","OK")))))</f>
        <v/>
      </c>
      <c r="AD25" s="16" t="str">
        <f aca="false">IF(OR(AC25="OVER-USED",AC25="LOW"),COUNTIF(AC$6:AC25,"OVER-USED")+COUNTIF(AC$6:AC25,"LOW"),"")</f>
        <v/>
      </c>
    </row>
    <row r="26" customFormat="false" ht="15" hidden="false" customHeight="false" outlineLevel="0" collapsed="false">
      <c r="A26" s="8" t="str">
        <f aca="false">IF('Employee List'!B26="","",'Employee List'!B26)</f>
        <v/>
      </c>
      <c r="B26" s="8" t="str">
        <f aca="false">IF($A26="","",'Employee List'!C26)</f>
        <v/>
      </c>
      <c r="C26" s="8" t="str">
        <f aca="false">IF($A26="","",'Employee List'!E26&amp;"")</f>
        <v/>
      </c>
      <c r="D26" s="8" t="str">
        <f aca="false">IF($A26="","",'Employee List'!F26&amp;"")</f>
        <v/>
      </c>
      <c r="E26" s="8" t="str">
        <f aca="false">IF($A26="","",'Employee List'!G26&amp;"")</f>
        <v/>
      </c>
      <c r="F26" s="8" t="str">
        <f aca="false">IF($A26="","",'Employee List'!D26)</f>
        <v/>
      </c>
      <c r="G26" s="38" t="str">
        <f aca="false">IF($A26="","",IF('Employee List'!I26="","",'Employee List'!I26))</f>
        <v/>
      </c>
      <c r="H26" s="38" t="str">
        <f aca="false">IF(OR($A26="",G26=""),"",G26+Settings!$C$13)</f>
        <v/>
      </c>
      <c r="I26" s="38" t="str">
        <f aca="false">IF(H26="","",MAX(H26,DATE(LvYear,1,1)))</f>
        <v/>
      </c>
      <c r="J26" s="38" t="str">
        <f aca="false">IF($A26="","",IF('Employee List'!J26="",DATE(LvYear,12,31),MIN('Employee List'!J26,DATE(LvYear,12,31))))</f>
        <v/>
      </c>
      <c r="K26" s="39" t="str">
        <f aca="false">IF(OR(I26="",J26=""),"",MAX(0,J26-I26+1))</f>
        <v/>
      </c>
      <c r="L26" s="16" t="str">
        <f aca="false">IF($A26="","",IF(AND(ISNUMBER(K26),K26=0),0,Settings!$C$10))</f>
        <v/>
      </c>
      <c r="M26" s="16" t="str">
        <f aca="false">IF($A26="","",IF(AND(ISNUMBER(K26),K26=0),0,Settings!$C$11))</f>
        <v/>
      </c>
      <c r="N26" s="40"/>
      <c r="O26" s="16" t="str">
        <f aca="false">IF($A26="","",FLOOR(Settings!$C$12/365*N(K26),0.5))</f>
        <v/>
      </c>
      <c r="P26" s="16" t="str">
        <f aca="false">IF($A26="","",IF(I26="",N(N26),FLOOR(Settings!$C$12/365*MAX(0,MIN(LvAsOf,J26)-I26+1)+N(N26),0.5)))</f>
        <v/>
      </c>
      <c r="Q26" s="16" t="str">
        <f aca="false">IF($A26="","",Settings!$C$14)</f>
        <v/>
      </c>
      <c r="R26" s="16" t="str">
        <f aca="false">IF($A26="","",SUMIFS(Attendance!$AZ$6:$AZ$2405,Attendance!$B$6:$B$2405,$A26,Attendance!$A$6:$A$2405,"&gt;="&amp;DATE(LvYear,1,1),Attendance!$A$6:$A$2405,"&lt;="&amp;DATE(LvYear,12,31)))</f>
        <v/>
      </c>
      <c r="S26" s="16" t="str">
        <f aca="false">IF($A26="","",SUMIFS(Attendance!$AY$6:$AY$2405,Attendance!$B$6:$B$2405,$A26,Attendance!$A$6:$A$2405,"&gt;="&amp;DATE(LvYear,1,1),Attendance!$A$6:$A$2405,"&lt;="&amp;DATE(LvYear,12,31)))</f>
        <v/>
      </c>
      <c r="T26" s="16" t="str">
        <f aca="false">IF($A26="","",SUMIFS(Attendance!$AX$6:$AX$2405,Attendance!$B$6:$B$2405,$A26,Attendance!$A$6:$A$2405,"&gt;="&amp;DATE(LvYear,1,1),Attendance!$A$6:$A$2405,"&lt;="&amp;DATE(LvYear,12,31)))</f>
        <v/>
      </c>
      <c r="U26" s="16" t="str">
        <f aca="false">IF($A26="","",SUMIFS(Attendance!$AW$6:$AW$2405,Attendance!$B$6:$B$2405,$A26,Attendance!$A$6:$A$2405,"&gt;="&amp;DATE(LvYear,1,1),Attendance!$A$6:$A$2405,"&lt;="&amp;DATE(LvYear,12,31)))</f>
        <v/>
      </c>
      <c r="V26" s="16" t="str">
        <f aca="false">IF($A26="","",L26-R26)</f>
        <v/>
      </c>
      <c r="W26" s="16" t="str">
        <f aca="false">IF($A26="","",M26-S26)</f>
        <v/>
      </c>
      <c r="X26" s="16" t="str">
        <f aca="false">IF($A26="","",P26-T26)</f>
        <v/>
      </c>
      <c r="Y26" s="16" t="str">
        <f aca="false">IF($A26="","",Q26-U26)</f>
        <v/>
      </c>
      <c r="Z26" s="16" t="str">
        <f aca="false">IF($A26="","",V26+W26+X26)</f>
        <v/>
      </c>
      <c r="AA26" s="16" t="str">
        <f aca="false">IF($A26="","",O26+N(N26)-T26)</f>
        <v/>
      </c>
      <c r="AB26" s="8" t="str">
        <f aca="false">IF($A26="","","CL "&amp;V26&amp;" | SL "&amp;W26&amp;" | PL "&amp;X26&amp;" | TR "&amp;Y26)</f>
        <v/>
      </c>
      <c r="AC26" s="15" t="str">
        <f aca="false">IF($A26="","",IF(F26="Exited","EXITED",IF(AND(ISNUMBER(K26),K26=0),"NOT ELIGIBLE",IF(MIN(V26:X26)&lt;0,"OVER-USED",IF(Z26&lt;=Settings!$C$15,"LOW","OK")))))</f>
        <v/>
      </c>
      <c r="AD26" s="16" t="str">
        <f aca="false">IF(OR(AC26="OVER-USED",AC26="LOW"),COUNTIF(AC$6:AC26,"OVER-USED")+COUNTIF(AC$6:AC26,"LOW"),"")</f>
        <v/>
      </c>
    </row>
    <row r="27" customFormat="false" ht="15" hidden="false" customHeight="false" outlineLevel="0" collapsed="false">
      <c r="A27" s="8" t="str">
        <f aca="false">IF('Employee List'!B27="","",'Employee List'!B27)</f>
        <v/>
      </c>
      <c r="B27" s="8" t="str">
        <f aca="false">IF($A27="","",'Employee List'!C27)</f>
        <v/>
      </c>
      <c r="C27" s="8" t="str">
        <f aca="false">IF($A27="","",'Employee List'!E27&amp;"")</f>
        <v/>
      </c>
      <c r="D27" s="8" t="str">
        <f aca="false">IF($A27="","",'Employee List'!F27&amp;"")</f>
        <v/>
      </c>
      <c r="E27" s="8" t="str">
        <f aca="false">IF($A27="","",'Employee List'!G27&amp;"")</f>
        <v/>
      </c>
      <c r="F27" s="8" t="str">
        <f aca="false">IF($A27="","",'Employee List'!D27)</f>
        <v/>
      </c>
      <c r="G27" s="38" t="str">
        <f aca="false">IF($A27="","",IF('Employee List'!I27="","",'Employee List'!I27))</f>
        <v/>
      </c>
      <c r="H27" s="38" t="str">
        <f aca="false">IF(OR($A27="",G27=""),"",G27+Settings!$C$13)</f>
        <v/>
      </c>
      <c r="I27" s="38" t="str">
        <f aca="false">IF(H27="","",MAX(H27,DATE(LvYear,1,1)))</f>
        <v/>
      </c>
      <c r="J27" s="38" t="str">
        <f aca="false">IF($A27="","",IF('Employee List'!J27="",DATE(LvYear,12,31),MIN('Employee List'!J27,DATE(LvYear,12,31))))</f>
        <v/>
      </c>
      <c r="K27" s="39" t="str">
        <f aca="false">IF(OR(I27="",J27=""),"",MAX(0,J27-I27+1))</f>
        <v/>
      </c>
      <c r="L27" s="16" t="str">
        <f aca="false">IF($A27="","",IF(AND(ISNUMBER(K27),K27=0),0,Settings!$C$10))</f>
        <v/>
      </c>
      <c r="M27" s="16" t="str">
        <f aca="false">IF($A27="","",IF(AND(ISNUMBER(K27),K27=0),0,Settings!$C$11))</f>
        <v/>
      </c>
      <c r="N27" s="40"/>
      <c r="O27" s="16" t="str">
        <f aca="false">IF($A27="","",FLOOR(Settings!$C$12/365*N(K27),0.5))</f>
        <v/>
      </c>
      <c r="P27" s="16" t="str">
        <f aca="false">IF($A27="","",IF(I27="",N(N27),FLOOR(Settings!$C$12/365*MAX(0,MIN(LvAsOf,J27)-I27+1)+N(N27),0.5)))</f>
        <v/>
      </c>
      <c r="Q27" s="16" t="str">
        <f aca="false">IF($A27="","",Settings!$C$14)</f>
        <v/>
      </c>
      <c r="R27" s="16" t="str">
        <f aca="false">IF($A27="","",SUMIFS(Attendance!$AZ$6:$AZ$2405,Attendance!$B$6:$B$2405,$A27,Attendance!$A$6:$A$2405,"&gt;="&amp;DATE(LvYear,1,1),Attendance!$A$6:$A$2405,"&lt;="&amp;DATE(LvYear,12,31)))</f>
        <v/>
      </c>
      <c r="S27" s="16" t="str">
        <f aca="false">IF($A27="","",SUMIFS(Attendance!$AY$6:$AY$2405,Attendance!$B$6:$B$2405,$A27,Attendance!$A$6:$A$2405,"&gt;="&amp;DATE(LvYear,1,1),Attendance!$A$6:$A$2405,"&lt;="&amp;DATE(LvYear,12,31)))</f>
        <v/>
      </c>
      <c r="T27" s="16" t="str">
        <f aca="false">IF($A27="","",SUMIFS(Attendance!$AX$6:$AX$2405,Attendance!$B$6:$B$2405,$A27,Attendance!$A$6:$A$2405,"&gt;="&amp;DATE(LvYear,1,1),Attendance!$A$6:$A$2405,"&lt;="&amp;DATE(LvYear,12,31)))</f>
        <v/>
      </c>
      <c r="U27" s="16" t="str">
        <f aca="false">IF($A27="","",SUMIFS(Attendance!$AW$6:$AW$2405,Attendance!$B$6:$B$2405,$A27,Attendance!$A$6:$A$2405,"&gt;="&amp;DATE(LvYear,1,1),Attendance!$A$6:$A$2405,"&lt;="&amp;DATE(LvYear,12,31)))</f>
        <v/>
      </c>
      <c r="V27" s="16" t="str">
        <f aca="false">IF($A27="","",L27-R27)</f>
        <v/>
      </c>
      <c r="W27" s="16" t="str">
        <f aca="false">IF($A27="","",M27-S27)</f>
        <v/>
      </c>
      <c r="X27" s="16" t="str">
        <f aca="false">IF($A27="","",P27-T27)</f>
        <v/>
      </c>
      <c r="Y27" s="16" t="str">
        <f aca="false">IF($A27="","",Q27-U27)</f>
        <v/>
      </c>
      <c r="Z27" s="16" t="str">
        <f aca="false">IF($A27="","",V27+W27+X27)</f>
        <v/>
      </c>
      <c r="AA27" s="16" t="str">
        <f aca="false">IF($A27="","",O27+N(N27)-T27)</f>
        <v/>
      </c>
      <c r="AB27" s="8" t="str">
        <f aca="false">IF($A27="","","CL "&amp;V27&amp;" | SL "&amp;W27&amp;" | PL "&amp;X27&amp;" | TR "&amp;Y27)</f>
        <v/>
      </c>
      <c r="AC27" s="15" t="str">
        <f aca="false">IF($A27="","",IF(F27="Exited","EXITED",IF(AND(ISNUMBER(K27),K27=0),"NOT ELIGIBLE",IF(MIN(V27:X27)&lt;0,"OVER-USED",IF(Z27&lt;=Settings!$C$15,"LOW","OK")))))</f>
        <v/>
      </c>
      <c r="AD27" s="16" t="str">
        <f aca="false">IF(OR(AC27="OVER-USED",AC27="LOW"),COUNTIF(AC$6:AC27,"OVER-USED")+COUNTIF(AC$6:AC27,"LOW"),"")</f>
        <v/>
      </c>
    </row>
    <row r="28" customFormat="false" ht="15" hidden="false" customHeight="false" outlineLevel="0" collapsed="false">
      <c r="A28" s="8" t="str">
        <f aca="false">IF('Employee List'!B28="","",'Employee List'!B28)</f>
        <v/>
      </c>
      <c r="B28" s="8" t="str">
        <f aca="false">IF($A28="","",'Employee List'!C28)</f>
        <v/>
      </c>
      <c r="C28" s="8" t="str">
        <f aca="false">IF($A28="","",'Employee List'!E28&amp;"")</f>
        <v/>
      </c>
      <c r="D28" s="8" t="str">
        <f aca="false">IF($A28="","",'Employee List'!F28&amp;"")</f>
        <v/>
      </c>
      <c r="E28" s="8" t="str">
        <f aca="false">IF($A28="","",'Employee List'!G28&amp;"")</f>
        <v/>
      </c>
      <c r="F28" s="8" t="str">
        <f aca="false">IF($A28="","",'Employee List'!D28)</f>
        <v/>
      </c>
      <c r="G28" s="38" t="str">
        <f aca="false">IF($A28="","",IF('Employee List'!I28="","",'Employee List'!I28))</f>
        <v/>
      </c>
      <c r="H28" s="38" t="str">
        <f aca="false">IF(OR($A28="",G28=""),"",G28+Settings!$C$13)</f>
        <v/>
      </c>
      <c r="I28" s="38" t="str">
        <f aca="false">IF(H28="","",MAX(H28,DATE(LvYear,1,1)))</f>
        <v/>
      </c>
      <c r="J28" s="38" t="str">
        <f aca="false">IF($A28="","",IF('Employee List'!J28="",DATE(LvYear,12,31),MIN('Employee List'!J28,DATE(LvYear,12,31))))</f>
        <v/>
      </c>
      <c r="K28" s="39" t="str">
        <f aca="false">IF(OR(I28="",J28=""),"",MAX(0,J28-I28+1))</f>
        <v/>
      </c>
      <c r="L28" s="16" t="str">
        <f aca="false">IF($A28="","",IF(AND(ISNUMBER(K28),K28=0),0,Settings!$C$10))</f>
        <v/>
      </c>
      <c r="M28" s="16" t="str">
        <f aca="false">IF($A28="","",IF(AND(ISNUMBER(K28),K28=0),0,Settings!$C$11))</f>
        <v/>
      </c>
      <c r="N28" s="40"/>
      <c r="O28" s="16" t="str">
        <f aca="false">IF($A28="","",FLOOR(Settings!$C$12/365*N(K28),0.5))</f>
        <v/>
      </c>
      <c r="P28" s="16" t="str">
        <f aca="false">IF($A28="","",IF(I28="",N(N28),FLOOR(Settings!$C$12/365*MAX(0,MIN(LvAsOf,J28)-I28+1)+N(N28),0.5)))</f>
        <v/>
      </c>
      <c r="Q28" s="16" t="str">
        <f aca="false">IF($A28="","",Settings!$C$14)</f>
        <v/>
      </c>
      <c r="R28" s="16" t="str">
        <f aca="false">IF($A28="","",SUMIFS(Attendance!$AZ$6:$AZ$2405,Attendance!$B$6:$B$2405,$A28,Attendance!$A$6:$A$2405,"&gt;="&amp;DATE(LvYear,1,1),Attendance!$A$6:$A$2405,"&lt;="&amp;DATE(LvYear,12,31)))</f>
        <v/>
      </c>
      <c r="S28" s="16" t="str">
        <f aca="false">IF($A28="","",SUMIFS(Attendance!$AY$6:$AY$2405,Attendance!$B$6:$B$2405,$A28,Attendance!$A$6:$A$2405,"&gt;="&amp;DATE(LvYear,1,1),Attendance!$A$6:$A$2405,"&lt;="&amp;DATE(LvYear,12,31)))</f>
        <v/>
      </c>
      <c r="T28" s="16" t="str">
        <f aca="false">IF($A28="","",SUMIFS(Attendance!$AX$6:$AX$2405,Attendance!$B$6:$B$2405,$A28,Attendance!$A$6:$A$2405,"&gt;="&amp;DATE(LvYear,1,1),Attendance!$A$6:$A$2405,"&lt;="&amp;DATE(LvYear,12,31)))</f>
        <v/>
      </c>
      <c r="U28" s="16" t="str">
        <f aca="false">IF($A28="","",SUMIFS(Attendance!$AW$6:$AW$2405,Attendance!$B$6:$B$2405,$A28,Attendance!$A$6:$A$2405,"&gt;="&amp;DATE(LvYear,1,1),Attendance!$A$6:$A$2405,"&lt;="&amp;DATE(LvYear,12,31)))</f>
        <v/>
      </c>
      <c r="V28" s="16" t="str">
        <f aca="false">IF($A28="","",L28-R28)</f>
        <v/>
      </c>
      <c r="W28" s="16" t="str">
        <f aca="false">IF($A28="","",M28-S28)</f>
        <v/>
      </c>
      <c r="X28" s="16" t="str">
        <f aca="false">IF($A28="","",P28-T28)</f>
        <v/>
      </c>
      <c r="Y28" s="16" t="str">
        <f aca="false">IF($A28="","",Q28-U28)</f>
        <v/>
      </c>
      <c r="Z28" s="16" t="str">
        <f aca="false">IF($A28="","",V28+W28+X28)</f>
        <v/>
      </c>
      <c r="AA28" s="16" t="str">
        <f aca="false">IF($A28="","",O28+N(N28)-T28)</f>
        <v/>
      </c>
      <c r="AB28" s="8" t="str">
        <f aca="false">IF($A28="","","CL "&amp;V28&amp;" | SL "&amp;W28&amp;" | PL "&amp;X28&amp;" | TR "&amp;Y28)</f>
        <v/>
      </c>
      <c r="AC28" s="15" t="str">
        <f aca="false">IF($A28="","",IF(F28="Exited","EXITED",IF(AND(ISNUMBER(K28),K28=0),"NOT ELIGIBLE",IF(MIN(V28:X28)&lt;0,"OVER-USED",IF(Z28&lt;=Settings!$C$15,"LOW","OK")))))</f>
        <v/>
      </c>
      <c r="AD28" s="16" t="str">
        <f aca="false">IF(OR(AC28="OVER-USED",AC28="LOW"),COUNTIF(AC$6:AC28,"OVER-USED")+COUNTIF(AC$6:AC28,"LOW"),"")</f>
        <v/>
      </c>
    </row>
    <row r="29" customFormat="false" ht="15" hidden="false" customHeight="false" outlineLevel="0" collapsed="false">
      <c r="A29" s="8" t="str">
        <f aca="false">IF('Employee List'!B29="","",'Employee List'!B29)</f>
        <v/>
      </c>
      <c r="B29" s="8" t="str">
        <f aca="false">IF($A29="","",'Employee List'!C29)</f>
        <v/>
      </c>
      <c r="C29" s="8" t="str">
        <f aca="false">IF($A29="","",'Employee List'!E29&amp;"")</f>
        <v/>
      </c>
      <c r="D29" s="8" t="str">
        <f aca="false">IF($A29="","",'Employee List'!F29&amp;"")</f>
        <v/>
      </c>
      <c r="E29" s="8" t="str">
        <f aca="false">IF($A29="","",'Employee List'!G29&amp;"")</f>
        <v/>
      </c>
      <c r="F29" s="8" t="str">
        <f aca="false">IF($A29="","",'Employee List'!D29)</f>
        <v/>
      </c>
      <c r="G29" s="38" t="str">
        <f aca="false">IF($A29="","",IF('Employee List'!I29="","",'Employee List'!I29))</f>
        <v/>
      </c>
      <c r="H29" s="38" t="str">
        <f aca="false">IF(OR($A29="",G29=""),"",G29+Settings!$C$13)</f>
        <v/>
      </c>
      <c r="I29" s="38" t="str">
        <f aca="false">IF(H29="","",MAX(H29,DATE(LvYear,1,1)))</f>
        <v/>
      </c>
      <c r="J29" s="38" t="str">
        <f aca="false">IF($A29="","",IF('Employee List'!J29="",DATE(LvYear,12,31),MIN('Employee List'!J29,DATE(LvYear,12,31))))</f>
        <v/>
      </c>
      <c r="K29" s="39" t="str">
        <f aca="false">IF(OR(I29="",J29=""),"",MAX(0,J29-I29+1))</f>
        <v/>
      </c>
      <c r="L29" s="16" t="str">
        <f aca="false">IF($A29="","",IF(AND(ISNUMBER(K29),K29=0),0,Settings!$C$10))</f>
        <v/>
      </c>
      <c r="M29" s="16" t="str">
        <f aca="false">IF($A29="","",IF(AND(ISNUMBER(K29),K29=0),0,Settings!$C$11))</f>
        <v/>
      </c>
      <c r="N29" s="40"/>
      <c r="O29" s="16" t="str">
        <f aca="false">IF($A29="","",FLOOR(Settings!$C$12/365*N(K29),0.5))</f>
        <v/>
      </c>
      <c r="P29" s="16" t="str">
        <f aca="false">IF($A29="","",IF(I29="",N(N29),FLOOR(Settings!$C$12/365*MAX(0,MIN(LvAsOf,J29)-I29+1)+N(N29),0.5)))</f>
        <v/>
      </c>
      <c r="Q29" s="16" t="str">
        <f aca="false">IF($A29="","",Settings!$C$14)</f>
        <v/>
      </c>
      <c r="R29" s="16" t="str">
        <f aca="false">IF($A29="","",SUMIFS(Attendance!$AZ$6:$AZ$2405,Attendance!$B$6:$B$2405,$A29,Attendance!$A$6:$A$2405,"&gt;="&amp;DATE(LvYear,1,1),Attendance!$A$6:$A$2405,"&lt;="&amp;DATE(LvYear,12,31)))</f>
        <v/>
      </c>
      <c r="S29" s="16" t="str">
        <f aca="false">IF($A29="","",SUMIFS(Attendance!$AY$6:$AY$2405,Attendance!$B$6:$B$2405,$A29,Attendance!$A$6:$A$2405,"&gt;="&amp;DATE(LvYear,1,1),Attendance!$A$6:$A$2405,"&lt;="&amp;DATE(LvYear,12,31)))</f>
        <v/>
      </c>
      <c r="T29" s="16" t="str">
        <f aca="false">IF($A29="","",SUMIFS(Attendance!$AX$6:$AX$2405,Attendance!$B$6:$B$2405,$A29,Attendance!$A$6:$A$2405,"&gt;="&amp;DATE(LvYear,1,1),Attendance!$A$6:$A$2405,"&lt;="&amp;DATE(LvYear,12,31)))</f>
        <v/>
      </c>
      <c r="U29" s="16" t="str">
        <f aca="false">IF($A29="","",SUMIFS(Attendance!$AW$6:$AW$2405,Attendance!$B$6:$B$2405,$A29,Attendance!$A$6:$A$2405,"&gt;="&amp;DATE(LvYear,1,1),Attendance!$A$6:$A$2405,"&lt;="&amp;DATE(LvYear,12,31)))</f>
        <v/>
      </c>
      <c r="V29" s="16" t="str">
        <f aca="false">IF($A29="","",L29-R29)</f>
        <v/>
      </c>
      <c r="W29" s="16" t="str">
        <f aca="false">IF($A29="","",M29-S29)</f>
        <v/>
      </c>
      <c r="X29" s="16" t="str">
        <f aca="false">IF($A29="","",P29-T29)</f>
        <v/>
      </c>
      <c r="Y29" s="16" t="str">
        <f aca="false">IF($A29="","",Q29-U29)</f>
        <v/>
      </c>
      <c r="Z29" s="16" t="str">
        <f aca="false">IF($A29="","",V29+W29+X29)</f>
        <v/>
      </c>
      <c r="AA29" s="16" t="str">
        <f aca="false">IF($A29="","",O29+N(N29)-T29)</f>
        <v/>
      </c>
      <c r="AB29" s="8" t="str">
        <f aca="false">IF($A29="","","CL "&amp;V29&amp;" | SL "&amp;W29&amp;" | PL "&amp;X29&amp;" | TR "&amp;Y29)</f>
        <v/>
      </c>
      <c r="AC29" s="15" t="str">
        <f aca="false">IF($A29="","",IF(F29="Exited","EXITED",IF(AND(ISNUMBER(K29),K29=0),"NOT ELIGIBLE",IF(MIN(V29:X29)&lt;0,"OVER-USED",IF(Z29&lt;=Settings!$C$15,"LOW","OK")))))</f>
        <v/>
      </c>
      <c r="AD29" s="16" t="str">
        <f aca="false">IF(OR(AC29="OVER-USED",AC29="LOW"),COUNTIF(AC$6:AC29,"OVER-USED")+COUNTIF(AC$6:AC29,"LOW"),"")</f>
        <v/>
      </c>
    </row>
    <row r="30" customFormat="false" ht="15" hidden="false" customHeight="false" outlineLevel="0" collapsed="false">
      <c r="A30" s="8" t="str">
        <f aca="false">IF('Employee List'!B30="","",'Employee List'!B30)</f>
        <v/>
      </c>
      <c r="B30" s="8" t="str">
        <f aca="false">IF($A30="","",'Employee List'!C30)</f>
        <v/>
      </c>
      <c r="C30" s="8" t="str">
        <f aca="false">IF($A30="","",'Employee List'!E30&amp;"")</f>
        <v/>
      </c>
      <c r="D30" s="8" t="str">
        <f aca="false">IF($A30="","",'Employee List'!F30&amp;"")</f>
        <v/>
      </c>
      <c r="E30" s="8" t="str">
        <f aca="false">IF($A30="","",'Employee List'!G30&amp;"")</f>
        <v/>
      </c>
      <c r="F30" s="8" t="str">
        <f aca="false">IF($A30="","",'Employee List'!D30)</f>
        <v/>
      </c>
      <c r="G30" s="38" t="str">
        <f aca="false">IF($A30="","",IF('Employee List'!I30="","",'Employee List'!I30))</f>
        <v/>
      </c>
      <c r="H30" s="38" t="str">
        <f aca="false">IF(OR($A30="",G30=""),"",G30+Settings!$C$13)</f>
        <v/>
      </c>
      <c r="I30" s="38" t="str">
        <f aca="false">IF(H30="","",MAX(H30,DATE(LvYear,1,1)))</f>
        <v/>
      </c>
      <c r="J30" s="38" t="str">
        <f aca="false">IF($A30="","",IF('Employee List'!J30="",DATE(LvYear,12,31),MIN('Employee List'!J30,DATE(LvYear,12,31))))</f>
        <v/>
      </c>
      <c r="K30" s="39" t="str">
        <f aca="false">IF(OR(I30="",J30=""),"",MAX(0,J30-I30+1))</f>
        <v/>
      </c>
      <c r="L30" s="16" t="str">
        <f aca="false">IF($A30="","",IF(AND(ISNUMBER(K30),K30=0),0,Settings!$C$10))</f>
        <v/>
      </c>
      <c r="M30" s="16" t="str">
        <f aca="false">IF($A30="","",IF(AND(ISNUMBER(K30),K30=0),0,Settings!$C$11))</f>
        <v/>
      </c>
      <c r="N30" s="40"/>
      <c r="O30" s="16" t="str">
        <f aca="false">IF($A30="","",FLOOR(Settings!$C$12/365*N(K30),0.5))</f>
        <v/>
      </c>
      <c r="P30" s="16" t="str">
        <f aca="false">IF($A30="","",IF(I30="",N(N30),FLOOR(Settings!$C$12/365*MAX(0,MIN(LvAsOf,J30)-I30+1)+N(N30),0.5)))</f>
        <v/>
      </c>
      <c r="Q30" s="16" t="str">
        <f aca="false">IF($A30="","",Settings!$C$14)</f>
        <v/>
      </c>
      <c r="R30" s="16" t="str">
        <f aca="false">IF($A30="","",SUMIFS(Attendance!$AZ$6:$AZ$2405,Attendance!$B$6:$B$2405,$A30,Attendance!$A$6:$A$2405,"&gt;="&amp;DATE(LvYear,1,1),Attendance!$A$6:$A$2405,"&lt;="&amp;DATE(LvYear,12,31)))</f>
        <v/>
      </c>
      <c r="S30" s="16" t="str">
        <f aca="false">IF($A30="","",SUMIFS(Attendance!$AY$6:$AY$2405,Attendance!$B$6:$B$2405,$A30,Attendance!$A$6:$A$2405,"&gt;="&amp;DATE(LvYear,1,1),Attendance!$A$6:$A$2405,"&lt;="&amp;DATE(LvYear,12,31)))</f>
        <v/>
      </c>
      <c r="T30" s="16" t="str">
        <f aca="false">IF($A30="","",SUMIFS(Attendance!$AX$6:$AX$2405,Attendance!$B$6:$B$2405,$A30,Attendance!$A$6:$A$2405,"&gt;="&amp;DATE(LvYear,1,1),Attendance!$A$6:$A$2405,"&lt;="&amp;DATE(LvYear,12,31)))</f>
        <v/>
      </c>
      <c r="U30" s="16" t="str">
        <f aca="false">IF($A30="","",SUMIFS(Attendance!$AW$6:$AW$2405,Attendance!$B$6:$B$2405,$A30,Attendance!$A$6:$A$2405,"&gt;="&amp;DATE(LvYear,1,1),Attendance!$A$6:$A$2405,"&lt;="&amp;DATE(LvYear,12,31)))</f>
        <v/>
      </c>
      <c r="V30" s="16" t="str">
        <f aca="false">IF($A30="","",L30-R30)</f>
        <v/>
      </c>
      <c r="W30" s="16" t="str">
        <f aca="false">IF($A30="","",M30-S30)</f>
        <v/>
      </c>
      <c r="X30" s="16" t="str">
        <f aca="false">IF($A30="","",P30-T30)</f>
        <v/>
      </c>
      <c r="Y30" s="16" t="str">
        <f aca="false">IF($A30="","",Q30-U30)</f>
        <v/>
      </c>
      <c r="Z30" s="16" t="str">
        <f aca="false">IF($A30="","",V30+W30+X30)</f>
        <v/>
      </c>
      <c r="AA30" s="16" t="str">
        <f aca="false">IF($A30="","",O30+N(N30)-T30)</f>
        <v/>
      </c>
      <c r="AB30" s="8" t="str">
        <f aca="false">IF($A30="","","CL "&amp;V30&amp;" | SL "&amp;W30&amp;" | PL "&amp;X30&amp;" | TR "&amp;Y30)</f>
        <v/>
      </c>
      <c r="AC30" s="15" t="str">
        <f aca="false">IF($A30="","",IF(F30="Exited","EXITED",IF(AND(ISNUMBER(K30),K30=0),"NOT ELIGIBLE",IF(MIN(V30:X30)&lt;0,"OVER-USED",IF(Z30&lt;=Settings!$C$15,"LOW","OK")))))</f>
        <v/>
      </c>
      <c r="AD30" s="16" t="str">
        <f aca="false">IF(OR(AC30="OVER-USED",AC30="LOW"),COUNTIF(AC$6:AC30,"OVER-USED")+COUNTIF(AC$6:AC30,"LOW"),"")</f>
        <v/>
      </c>
    </row>
    <row r="31" customFormat="false" ht="15" hidden="false" customHeight="false" outlineLevel="0" collapsed="false">
      <c r="A31" s="8" t="str">
        <f aca="false">IF('Employee List'!B31="","",'Employee List'!B31)</f>
        <v/>
      </c>
      <c r="B31" s="8" t="str">
        <f aca="false">IF($A31="","",'Employee List'!C31)</f>
        <v/>
      </c>
      <c r="C31" s="8" t="str">
        <f aca="false">IF($A31="","",'Employee List'!E31&amp;"")</f>
        <v/>
      </c>
      <c r="D31" s="8" t="str">
        <f aca="false">IF($A31="","",'Employee List'!F31&amp;"")</f>
        <v/>
      </c>
      <c r="E31" s="8" t="str">
        <f aca="false">IF($A31="","",'Employee List'!G31&amp;"")</f>
        <v/>
      </c>
      <c r="F31" s="8" t="str">
        <f aca="false">IF($A31="","",'Employee List'!D31)</f>
        <v/>
      </c>
      <c r="G31" s="38" t="str">
        <f aca="false">IF($A31="","",IF('Employee List'!I31="","",'Employee List'!I31))</f>
        <v/>
      </c>
      <c r="H31" s="38" t="str">
        <f aca="false">IF(OR($A31="",G31=""),"",G31+Settings!$C$13)</f>
        <v/>
      </c>
      <c r="I31" s="38" t="str">
        <f aca="false">IF(H31="","",MAX(H31,DATE(LvYear,1,1)))</f>
        <v/>
      </c>
      <c r="J31" s="38" t="str">
        <f aca="false">IF($A31="","",IF('Employee List'!J31="",DATE(LvYear,12,31),MIN('Employee List'!J31,DATE(LvYear,12,31))))</f>
        <v/>
      </c>
      <c r="K31" s="39" t="str">
        <f aca="false">IF(OR(I31="",J31=""),"",MAX(0,J31-I31+1))</f>
        <v/>
      </c>
      <c r="L31" s="16" t="str">
        <f aca="false">IF($A31="","",IF(AND(ISNUMBER(K31),K31=0),0,Settings!$C$10))</f>
        <v/>
      </c>
      <c r="M31" s="16" t="str">
        <f aca="false">IF($A31="","",IF(AND(ISNUMBER(K31),K31=0),0,Settings!$C$11))</f>
        <v/>
      </c>
      <c r="N31" s="40"/>
      <c r="O31" s="16" t="str">
        <f aca="false">IF($A31="","",FLOOR(Settings!$C$12/365*N(K31),0.5))</f>
        <v/>
      </c>
      <c r="P31" s="16" t="str">
        <f aca="false">IF($A31="","",IF(I31="",N(N31),FLOOR(Settings!$C$12/365*MAX(0,MIN(LvAsOf,J31)-I31+1)+N(N31),0.5)))</f>
        <v/>
      </c>
      <c r="Q31" s="16" t="str">
        <f aca="false">IF($A31="","",Settings!$C$14)</f>
        <v/>
      </c>
      <c r="R31" s="16" t="str">
        <f aca="false">IF($A31="","",SUMIFS(Attendance!$AZ$6:$AZ$2405,Attendance!$B$6:$B$2405,$A31,Attendance!$A$6:$A$2405,"&gt;="&amp;DATE(LvYear,1,1),Attendance!$A$6:$A$2405,"&lt;="&amp;DATE(LvYear,12,31)))</f>
        <v/>
      </c>
      <c r="S31" s="16" t="str">
        <f aca="false">IF($A31="","",SUMIFS(Attendance!$AY$6:$AY$2405,Attendance!$B$6:$B$2405,$A31,Attendance!$A$6:$A$2405,"&gt;="&amp;DATE(LvYear,1,1),Attendance!$A$6:$A$2405,"&lt;="&amp;DATE(LvYear,12,31)))</f>
        <v/>
      </c>
      <c r="T31" s="16" t="str">
        <f aca="false">IF($A31="","",SUMIFS(Attendance!$AX$6:$AX$2405,Attendance!$B$6:$B$2405,$A31,Attendance!$A$6:$A$2405,"&gt;="&amp;DATE(LvYear,1,1),Attendance!$A$6:$A$2405,"&lt;="&amp;DATE(LvYear,12,31)))</f>
        <v/>
      </c>
      <c r="U31" s="16" t="str">
        <f aca="false">IF($A31="","",SUMIFS(Attendance!$AW$6:$AW$2405,Attendance!$B$6:$B$2405,$A31,Attendance!$A$6:$A$2405,"&gt;="&amp;DATE(LvYear,1,1),Attendance!$A$6:$A$2405,"&lt;="&amp;DATE(LvYear,12,31)))</f>
        <v/>
      </c>
      <c r="V31" s="16" t="str">
        <f aca="false">IF($A31="","",L31-R31)</f>
        <v/>
      </c>
      <c r="W31" s="16" t="str">
        <f aca="false">IF($A31="","",M31-S31)</f>
        <v/>
      </c>
      <c r="X31" s="16" t="str">
        <f aca="false">IF($A31="","",P31-T31)</f>
        <v/>
      </c>
      <c r="Y31" s="16" t="str">
        <f aca="false">IF($A31="","",Q31-U31)</f>
        <v/>
      </c>
      <c r="Z31" s="16" t="str">
        <f aca="false">IF($A31="","",V31+W31+X31)</f>
        <v/>
      </c>
      <c r="AA31" s="16" t="str">
        <f aca="false">IF($A31="","",O31+N(N31)-T31)</f>
        <v/>
      </c>
      <c r="AB31" s="8" t="str">
        <f aca="false">IF($A31="","","CL "&amp;V31&amp;" | SL "&amp;W31&amp;" | PL "&amp;X31&amp;" | TR "&amp;Y31)</f>
        <v/>
      </c>
      <c r="AC31" s="15" t="str">
        <f aca="false">IF($A31="","",IF(F31="Exited","EXITED",IF(AND(ISNUMBER(K31),K31=0),"NOT ELIGIBLE",IF(MIN(V31:X31)&lt;0,"OVER-USED",IF(Z31&lt;=Settings!$C$15,"LOW","OK")))))</f>
        <v/>
      </c>
      <c r="AD31" s="16" t="str">
        <f aca="false">IF(OR(AC31="OVER-USED",AC31="LOW"),COUNTIF(AC$6:AC31,"OVER-USED")+COUNTIF(AC$6:AC31,"LOW"),"")</f>
        <v/>
      </c>
    </row>
    <row r="32" customFormat="false" ht="15" hidden="false" customHeight="false" outlineLevel="0" collapsed="false">
      <c r="A32" s="8" t="str">
        <f aca="false">IF('Employee List'!B32="","",'Employee List'!B32)</f>
        <v/>
      </c>
      <c r="B32" s="8" t="str">
        <f aca="false">IF($A32="","",'Employee List'!C32)</f>
        <v/>
      </c>
      <c r="C32" s="8" t="str">
        <f aca="false">IF($A32="","",'Employee List'!E32&amp;"")</f>
        <v/>
      </c>
      <c r="D32" s="8" t="str">
        <f aca="false">IF($A32="","",'Employee List'!F32&amp;"")</f>
        <v/>
      </c>
      <c r="E32" s="8" t="str">
        <f aca="false">IF($A32="","",'Employee List'!G32&amp;"")</f>
        <v/>
      </c>
      <c r="F32" s="8" t="str">
        <f aca="false">IF($A32="","",'Employee List'!D32)</f>
        <v/>
      </c>
      <c r="G32" s="38" t="str">
        <f aca="false">IF($A32="","",IF('Employee List'!I32="","",'Employee List'!I32))</f>
        <v/>
      </c>
      <c r="H32" s="38" t="str">
        <f aca="false">IF(OR($A32="",G32=""),"",G32+Settings!$C$13)</f>
        <v/>
      </c>
      <c r="I32" s="38" t="str">
        <f aca="false">IF(H32="","",MAX(H32,DATE(LvYear,1,1)))</f>
        <v/>
      </c>
      <c r="J32" s="38" t="str">
        <f aca="false">IF($A32="","",IF('Employee List'!J32="",DATE(LvYear,12,31),MIN('Employee List'!J32,DATE(LvYear,12,31))))</f>
        <v/>
      </c>
      <c r="K32" s="39" t="str">
        <f aca="false">IF(OR(I32="",J32=""),"",MAX(0,J32-I32+1))</f>
        <v/>
      </c>
      <c r="L32" s="16" t="str">
        <f aca="false">IF($A32="","",IF(AND(ISNUMBER(K32),K32=0),0,Settings!$C$10))</f>
        <v/>
      </c>
      <c r="M32" s="16" t="str">
        <f aca="false">IF($A32="","",IF(AND(ISNUMBER(K32),K32=0),0,Settings!$C$11))</f>
        <v/>
      </c>
      <c r="N32" s="40"/>
      <c r="O32" s="16" t="str">
        <f aca="false">IF($A32="","",FLOOR(Settings!$C$12/365*N(K32),0.5))</f>
        <v/>
      </c>
      <c r="P32" s="16" t="str">
        <f aca="false">IF($A32="","",IF(I32="",N(N32),FLOOR(Settings!$C$12/365*MAX(0,MIN(LvAsOf,J32)-I32+1)+N(N32),0.5)))</f>
        <v/>
      </c>
      <c r="Q32" s="16" t="str">
        <f aca="false">IF($A32="","",Settings!$C$14)</f>
        <v/>
      </c>
      <c r="R32" s="16" t="str">
        <f aca="false">IF($A32="","",SUMIFS(Attendance!$AZ$6:$AZ$2405,Attendance!$B$6:$B$2405,$A32,Attendance!$A$6:$A$2405,"&gt;="&amp;DATE(LvYear,1,1),Attendance!$A$6:$A$2405,"&lt;="&amp;DATE(LvYear,12,31)))</f>
        <v/>
      </c>
      <c r="S32" s="16" t="str">
        <f aca="false">IF($A32="","",SUMIFS(Attendance!$AY$6:$AY$2405,Attendance!$B$6:$B$2405,$A32,Attendance!$A$6:$A$2405,"&gt;="&amp;DATE(LvYear,1,1),Attendance!$A$6:$A$2405,"&lt;="&amp;DATE(LvYear,12,31)))</f>
        <v/>
      </c>
      <c r="T32" s="16" t="str">
        <f aca="false">IF($A32="","",SUMIFS(Attendance!$AX$6:$AX$2405,Attendance!$B$6:$B$2405,$A32,Attendance!$A$6:$A$2405,"&gt;="&amp;DATE(LvYear,1,1),Attendance!$A$6:$A$2405,"&lt;="&amp;DATE(LvYear,12,31)))</f>
        <v/>
      </c>
      <c r="U32" s="16" t="str">
        <f aca="false">IF($A32="","",SUMIFS(Attendance!$AW$6:$AW$2405,Attendance!$B$6:$B$2405,$A32,Attendance!$A$6:$A$2405,"&gt;="&amp;DATE(LvYear,1,1),Attendance!$A$6:$A$2405,"&lt;="&amp;DATE(LvYear,12,31)))</f>
        <v/>
      </c>
      <c r="V32" s="16" t="str">
        <f aca="false">IF($A32="","",L32-R32)</f>
        <v/>
      </c>
      <c r="W32" s="16" t="str">
        <f aca="false">IF($A32="","",M32-S32)</f>
        <v/>
      </c>
      <c r="X32" s="16" t="str">
        <f aca="false">IF($A32="","",P32-T32)</f>
        <v/>
      </c>
      <c r="Y32" s="16" t="str">
        <f aca="false">IF($A32="","",Q32-U32)</f>
        <v/>
      </c>
      <c r="Z32" s="16" t="str">
        <f aca="false">IF($A32="","",V32+W32+X32)</f>
        <v/>
      </c>
      <c r="AA32" s="16" t="str">
        <f aca="false">IF($A32="","",O32+N(N32)-T32)</f>
        <v/>
      </c>
      <c r="AB32" s="8" t="str">
        <f aca="false">IF($A32="","","CL "&amp;V32&amp;" | SL "&amp;W32&amp;" | PL "&amp;X32&amp;" | TR "&amp;Y32)</f>
        <v/>
      </c>
      <c r="AC32" s="15" t="str">
        <f aca="false">IF($A32="","",IF(F32="Exited","EXITED",IF(AND(ISNUMBER(K32),K32=0),"NOT ELIGIBLE",IF(MIN(V32:X32)&lt;0,"OVER-USED",IF(Z32&lt;=Settings!$C$15,"LOW","OK")))))</f>
        <v/>
      </c>
      <c r="AD32" s="16" t="str">
        <f aca="false">IF(OR(AC32="OVER-USED",AC32="LOW"),COUNTIF(AC$6:AC32,"OVER-USED")+COUNTIF(AC$6:AC32,"LOW"),"")</f>
        <v/>
      </c>
    </row>
    <row r="33" customFormat="false" ht="15" hidden="false" customHeight="false" outlineLevel="0" collapsed="false">
      <c r="A33" s="8" t="str">
        <f aca="false">IF('Employee List'!B33="","",'Employee List'!B33)</f>
        <v/>
      </c>
      <c r="B33" s="8" t="str">
        <f aca="false">IF($A33="","",'Employee List'!C33)</f>
        <v/>
      </c>
      <c r="C33" s="8" t="str">
        <f aca="false">IF($A33="","",'Employee List'!E33&amp;"")</f>
        <v/>
      </c>
      <c r="D33" s="8" t="str">
        <f aca="false">IF($A33="","",'Employee List'!F33&amp;"")</f>
        <v/>
      </c>
      <c r="E33" s="8" t="str">
        <f aca="false">IF($A33="","",'Employee List'!G33&amp;"")</f>
        <v/>
      </c>
      <c r="F33" s="8" t="str">
        <f aca="false">IF($A33="","",'Employee List'!D33)</f>
        <v/>
      </c>
      <c r="G33" s="38" t="str">
        <f aca="false">IF($A33="","",IF('Employee List'!I33="","",'Employee List'!I33))</f>
        <v/>
      </c>
      <c r="H33" s="38" t="str">
        <f aca="false">IF(OR($A33="",G33=""),"",G33+Settings!$C$13)</f>
        <v/>
      </c>
      <c r="I33" s="38" t="str">
        <f aca="false">IF(H33="","",MAX(H33,DATE(LvYear,1,1)))</f>
        <v/>
      </c>
      <c r="J33" s="38" t="str">
        <f aca="false">IF($A33="","",IF('Employee List'!J33="",DATE(LvYear,12,31),MIN('Employee List'!J33,DATE(LvYear,12,31))))</f>
        <v/>
      </c>
      <c r="K33" s="39" t="str">
        <f aca="false">IF(OR(I33="",J33=""),"",MAX(0,J33-I33+1))</f>
        <v/>
      </c>
      <c r="L33" s="16" t="str">
        <f aca="false">IF($A33="","",IF(AND(ISNUMBER(K33),K33=0),0,Settings!$C$10))</f>
        <v/>
      </c>
      <c r="M33" s="16" t="str">
        <f aca="false">IF($A33="","",IF(AND(ISNUMBER(K33),K33=0),0,Settings!$C$11))</f>
        <v/>
      </c>
      <c r="N33" s="40"/>
      <c r="O33" s="16" t="str">
        <f aca="false">IF($A33="","",FLOOR(Settings!$C$12/365*N(K33),0.5))</f>
        <v/>
      </c>
      <c r="P33" s="16" t="str">
        <f aca="false">IF($A33="","",IF(I33="",N(N33),FLOOR(Settings!$C$12/365*MAX(0,MIN(LvAsOf,J33)-I33+1)+N(N33),0.5)))</f>
        <v/>
      </c>
      <c r="Q33" s="16" t="str">
        <f aca="false">IF($A33="","",Settings!$C$14)</f>
        <v/>
      </c>
      <c r="R33" s="16" t="str">
        <f aca="false">IF($A33="","",SUMIFS(Attendance!$AZ$6:$AZ$2405,Attendance!$B$6:$B$2405,$A33,Attendance!$A$6:$A$2405,"&gt;="&amp;DATE(LvYear,1,1),Attendance!$A$6:$A$2405,"&lt;="&amp;DATE(LvYear,12,31)))</f>
        <v/>
      </c>
      <c r="S33" s="16" t="str">
        <f aca="false">IF($A33="","",SUMIFS(Attendance!$AY$6:$AY$2405,Attendance!$B$6:$B$2405,$A33,Attendance!$A$6:$A$2405,"&gt;="&amp;DATE(LvYear,1,1),Attendance!$A$6:$A$2405,"&lt;="&amp;DATE(LvYear,12,31)))</f>
        <v/>
      </c>
      <c r="T33" s="16" t="str">
        <f aca="false">IF($A33="","",SUMIFS(Attendance!$AX$6:$AX$2405,Attendance!$B$6:$B$2405,$A33,Attendance!$A$6:$A$2405,"&gt;="&amp;DATE(LvYear,1,1),Attendance!$A$6:$A$2405,"&lt;="&amp;DATE(LvYear,12,31)))</f>
        <v/>
      </c>
      <c r="U33" s="16" t="str">
        <f aca="false">IF($A33="","",SUMIFS(Attendance!$AW$6:$AW$2405,Attendance!$B$6:$B$2405,$A33,Attendance!$A$6:$A$2405,"&gt;="&amp;DATE(LvYear,1,1),Attendance!$A$6:$A$2405,"&lt;="&amp;DATE(LvYear,12,31)))</f>
        <v/>
      </c>
      <c r="V33" s="16" t="str">
        <f aca="false">IF($A33="","",L33-R33)</f>
        <v/>
      </c>
      <c r="W33" s="16" t="str">
        <f aca="false">IF($A33="","",M33-S33)</f>
        <v/>
      </c>
      <c r="X33" s="16" t="str">
        <f aca="false">IF($A33="","",P33-T33)</f>
        <v/>
      </c>
      <c r="Y33" s="16" t="str">
        <f aca="false">IF($A33="","",Q33-U33)</f>
        <v/>
      </c>
      <c r="Z33" s="16" t="str">
        <f aca="false">IF($A33="","",V33+W33+X33)</f>
        <v/>
      </c>
      <c r="AA33" s="16" t="str">
        <f aca="false">IF($A33="","",O33+N(N33)-T33)</f>
        <v/>
      </c>
      <c r="AB33" s="8" t="str">
        <f aca="false">IF($A33="","","CL "&amp;V33&amp;" | SL "&amp;W33&amp;" | PL "&amp;X33&amp;" | TR "&amp;Y33)</f>
        <v/>
      </c>
      <c r="AC33" s="15" t="str">
        <f aca="false">IF($A33="","",IF(F33="Exited","EXITED",IF(AND(ISNUMBER(K33),K33=0),"NOT ELIGIBLE",IF(MIN(V33:X33)&lt;0,"OVER-USED",IF(Z33&lt;=Settings!$C$15,"LOW","OK")))))</f>
        <v/>
      </c>
      <c r="AD33" s="16" t="str">
        <f aca="false">IF(OR(AC33="OVER-USED",AC33="LOW"),COUNTIF(AC$6:AC33,"OVER-USED")+COUNTIF(AC$6:AC33,"LOW"),"")</f>
        <v/>
      </c>
    </row>
    <row r="34" customFormat="false" ht="15" hidden="false" customHeight="false" outlineLevel="0" collapsed="false">
      <c r="A34" s="8" t="str">
        <f aca="false">IF('Employee List'!B34="","",'Employee List'!B34)</f>
        <v/>
      </c>
      <c r="B34" s="8" t="str">
        <f aca="false">IF($A34="","",'Employee List'!C34)</f>
        <v/>
      </c>
      <c r="C34" s="8" t="str">
        <f aca="false">IF($A34="","",'Employee List'!E34&amp;"")</f>
        <v/>
      </c>
      <c r="D34" s="8" t="str">
        <f aca="false">IF($A34="","",'Employee List'!F34&amp;"")</f>
        <v/>
      </c>
      <c r="E34" s="8" t="str">
        <f aca="false">IF($A34="","",'Employee List'!G34&amp;"")</f>
        <v/>
      </c>
      <c r="F34" s="8" t="str">
        <f aca="false">IF($A34="","",'Employee List'!D34)</f>
        <v/>
      </c>
      <c r="G34" s="38" t="str">
        <f aca="false">IF($A34="","",IF('Employee List'!I34="","",'Employee List'!I34))</f>
        <v/>
      </c>
      <c r="H34" s="38" t="str">
        <f aca="false">IF(OR($A34="",G34=""),"",G34+Settings!$C$13)</f>
        <v/>
      </c>
      <c r="I34" s="38" t="str">
        <f aca="false">IF(H34="","",MAX(H34,DATE(LvYear,1,1)))</f>
        <v/>
      </c>
      <c r="J34" s="38" t="str">
        <f aca="false">IF($A34="","",IF('Employee List'!J34="",DATE(LvYear,12,31),MIN('Employee List'!J34,DATE(LvYear,12,31))))</f>
        <v/>
      </c>
      <c r="K34" s="39" t="str">
        <f aca="false">IF(OR(I34="",J34=""),"",MAX(0,J34-I34+1))</f>
        <v/>
      </c>
      <c r="L34" s="16" t="str">
        <f aca="false">IF($A34="","",IF(AND(ISNUMBER(K34),K34=0),0,Settings!$C$10))</f>
        <v/>
      </c>
      <c r="M34" s="16" t="str">
        <f aca="false">IF($A34="","",IF(AND(ISNUMBER(K34),K34=0),0,Settings!$C$11))</f>
        <v/>
      </c>
      <c r="N34" s="40"/>
      <c r="O34" s="16" t="str">
        <f aca="false">IF($A34="","",FLOOR(Settings!$C$12/365*N(K34),0.5))</f>
        <v/>
      </c>
      <c r="P34" s="16" t="str">
        <f aca="false">IF($A34="","",IF(I34="",N(N34),FLOOR(Settings!$C$12/365*MAX(0,MIN(LvAsOf,J34)-I34+1)+N(N34),0.5)))</f>
        <v/>
      </c>
      <c r="Q34" s="16" t="str">
        <f aca="false">IF($A34="","",Settings!$C$14)</f>
        <v/>
      </c>
      <c r="R34" s="16" t="str">
        <f aca="false">IF($A34="","",SUMIFS(Attendance!$AZ$6:$AZ$2405,Attendance!$B$6:$B$2405,$A34,Attendance!$A$6:$A$2405,"&gt;="&amp;DATE(LvYear,1,1),Attendance!$A$6:$A$2405,"&lt;="&amp;DATE(LvYear,12,31)))</f>
        <v/>
      </c>
      <c r="S34" s="16" t="str">
        <f aca="false">IF($A34="","",SUMIFS(Attendance!$AY$6:$AY$2405,Attendance!$B$6:$B$2405,$A34,Attendance!$A$6:$A$2405,"&gt;="&amp;DATE(LvYear,1,1),Attendance!$A$6:$A$2405,"&lt;="&amp;DATE(LvYear,12,31)))</f>
        <v/>
      </c>
      <c r="T34" s="16" t="str">
        <f aca="false">IF($A34="","",SUMIFS(Attendance!$AX$6:$AX$2405,Attendance!$B$6:$B$2405,$A34,Attendance!$A$6:$A$2405,"&gt;="&amp;DATE(LvYear,1,1),Attendance!$A$6:$A$2405,"&lt;="&amp;DATE(LvYear,12,31)))</f>
        <v/>
      </c>
      <c r="U34" s="16" t="str">
        <f aca="false">IF($A34="","",SUMIFS(Attendance!$AW$6:$AW$2405,Attendance!$B$6:$B$2405,$A34,Attendance!$A$6:$A$2405,"&gt;="&amp;DATE(LvYear,1,1),Attendance!$A$6:$A$2405,"&lt;="&amp;DATE(LvYear,12,31)))</f>
        <v/>
      </c>
      <c r="V34" s="16" t="str">
        <f aca="false">IF($A34="","",L34-R34)</f>
        <v/>
      </c>
      <c r="W34" s="16" t="str">
        <f aca="false">IF($A34="","",M34-S34)</f>
        <v/>
      </c>
      <c r="X34" s="16" t="str">
        <f aca="false">IF($A34="","",P34-T34)</f>
        <v/>
      </c>
      <c r="Y34" s="16" t="str">
        <f aca="false">IF($A34="","",Q34-U34)</f>
        <v/>
      </c>
      <c r="Z34" s="16" t="str">
        <f aca="false">IF($A34="","",V34+W34+X34)</f>
        <v/>
      </c>
      <c r="AA34" s="16" t="str">
        <f aca="false">IF($A34="","",O34+N(N34)-T34)</f>
        <v/>
      </c>
      <c r="AB34" s="8" t="str">
        <f aca="false">IF($A34="","","CL "&amp;V34&amp;" | SL "&amp;W34&amp;" | PL "&amp;X34&amp;" | TR "&amp;Y34)</f>
        <v/>
      </c>
      <c r="AC34" s="15" t="str">
        <f aca="false">IF($A34="","",IF(F34="Exited","EXITED",IF(AND(ISNUMBER(K34),K34=0),"NOT ELIGIBLE",IF(MIN(V34:X34)&lt;0,"OVER-USED",IF(Z34&lt;=Settings!$C$15,"LOW","OK")))))</f>
        <v/>
      </c>
      <c r="AD34" s="16" t="str">
        <f aca="false">IF(OR(AC34="OVER-USED",AC34="LOW"),COUNTIF(AC$6:AC34,"OVER-USED")+COUNTIF(AC$6:AC34,"LOW"),"")</f>
        <v/>
      </c>
    </row>
    <row r="35" customFormat="false" ht="15" hidden="false" customHeight="false" outlineLevel="0" collapsed="false">
      <c r="A35" s="8" t="str">
        <f aca="false">IF('Employee List'!B35="","",'Employee List'!B35)</f>
        <v/>
      </c>
      <c r="B35" s="8" t="str">
        <f aca="false">IF($A35="","",'Employee List'!C35)</f>
        <v/>
      </c>
      <c r="C35" s="8" t="str">
        <f aca="false">IF($A35="","",'Employee List'!E35&amp;"")</f>
        <v/>
      </c>
      <c r="D35" s="8" t="str">
        <f aca="false">IF($A35="","",'Employee List'!F35&amp;"")</f>
        <v/>
      </c>
      <c r="E35" s="8" t="str">
        <f aca="false">IF($A35="","",'Employee List'!G35&amp;"")</f>
        <v/>
      </c>
      <c r="F35" s="8" t="str">
        <f aca="false">IF($A35="","",'Employee List'!D35)</f>
        <v/>
      </c>
      <c r="G35" s="38" t="str">
        <f aca="false">IF($A35="","",IF('Employee List'!I35="","",'Employee List'!I35))</f>
        <v/>
      </c>
      <c r="H35" s="38" t="str">
        <f aca="false">IF(OR($A35="",G35=""),"",G35+Settings!$C$13)</f>
        <v/>
      </c>
      <c r="I35" s="38" t="str">
        <f aca="false">IF(H35="","",MAX(H35,DATE(LvYear,1,1)))</f>
        <v/>
      </c>
      <c r="J35" s="38" t="str">
        <f aca="false">IF($A35="","",IF('Employee List'!J35="",DATE(LvYear,12,31),MIN('Employee List'!J35,DATE(LvYear,12,31))))</f>
        <v/>
      </c>
      <c r="K35" s="39" t="str">
        <f aca="false">IF(OR(I35="",J35=""),"",MAX(0,J35-I35+1))</f>
        <v/>
      </c>
      <c r="L35" s="16" t="str">
        <f aca="false">IF($A35="","",IF(AND(ISNUMBER(K35),K35=0),0,Settings!$C$10))</f>
        <v/>
      </c>
      <c r="M35" s="16" t="str">
        <f aca="false">IF($A35="","",IF(AND(ISNUMBER(K35),K35=0),0,Settings!$C$11))</f>
        <v/>
      </c>
      <c r="N35" s="40"/>
      <c r="O35" s="16" t="str">
        <f aca="false">IF($A35="","",FLOOR(Settings!$C$12/365*N(K35),0.5))</f>
        <v/>
      </c>
      <c r="P35" s="16" t="str">
        <f aca="false">IF($A35="","",IF(I35="",N(N35),FLOOR(Settings!$C$12/365*MAX(0,MIN(LvAsOf,J35)-I35+1)+N(N35),0.5)))</f>
        <v/>
      </c>
      <c r="Q35" s="16" t="str">
        <f aca="false">IF($A35="","",Settings!$C$14)</f>
        <v/>
      </c>
      <c r="R35" s="16" t="str">
        <f aca="false">IF($A35="","",SUMIFS(Attendance!$AZ$6:$AZ$2405,Attendance!$B$6:$B$2405,$A35,Attendance!$A$6:$A$2405,"&gt;="&amp;DATE(LvYear,1,1),Attendance!$A$6:$A$2405,"&lt;="&amp;DATE(LvYear,12,31)))</f>
        <v/>
      </c>
      <c r="S35" s="16" t="str">
        <f aca="false">IF($A35="","",SUMIFS(Attendance!$AY$6:$AY$2405,Attendance!$B$6:$B$2405,$A35,Attendance!$A$6:$A$2405,"&gt;="&amp;DATE(LvYear,1,1),Attendance!$A$6:$A$2405,"&lt;="&amp;DATE(LvYear,12,31)))</f>
        <v/>
      </c>
      <c r="T35" s="16" t="str">
        <f aca="false">IF($A35="","",SUMIFS(Attendance!$AX$6:$AX$2405,Attendance!$B$6:$B$2405,$A35,Attendance!$A$6:$A$2405,"&gt;="&amp;DATE(LvYear,1,1),Attendance!$A$6:$A$2405,"&lt;="&amp;DATE(LvYear,12,31)))</f>
        <v/>
      </c>
      <c r="U35" s="16" t="str">
        <f aca="false">IF($A35="","",SUMIFS(Attendance!$AW$6:$AW$2405,Attendance!$B$6:$B$2405,$A35,Attendance!$A$6:$A$2405,"&gt;="&amp;DATE(LvYear,1,1),Attendance!$A$6:$A$2405,"&lt;="&amp;DATE(LvYear,12,31)))</f>
        <v/>
      </c>
      <c r="V35" s="16" t="str">
        <f aca="false">IF($A35="","",L35-R35)</f>
        <v/>
      </c>
      <c r="W35" s="16" t="str">
        <f aca="false">IF($A35="","",M35-S35)</f>
        <v/>
      </c>
      <c r="X35" s="16" t="str">
        <f aca="false">IF($A35="","",P35-T35)</f>
        <v/>
      </c>
      <c r="Y35" s="16" t="str">
        <f aca="false">IF($A35="","",Q35-U35)</f>
        <v/>
      </c>
      <c r="Z35" s="16" t="str">
        <f aca="false">IF($A35="","",V35+W35+X35)</f>
        <v/>
      </c>
      <c r="AA35" s="16" t="str">
        <f aca="false">IF($A35="","",O35+N(N35)-T35)</f>
        <v/>
      </c>
      <c r="AB35" s="8" t="str">
        <f aca="false">IF($A35="","","CL "&amp;V35&amp;" | SL "&amp;W35&amp;" | PL "&amp;X35&amp;" | TR "&amp;Y35)</f>
        <v/>
      </c>
      <c r="AC35" s="15" t="str">
        <f aca="false">IF($A35="","",IF(F35="Exited","EXITED",IF(AND(ISNUMBER(K35),K35=0),"NOT ELIGIBLE",IF(MIN(V35:X35)&lt;0,"OVER-USED",IF(Z35&lt;=Settings!$C$15,"LOW","OK")))))</f>
        <v/>
      </c>
      <c r="AD35" s="16" t="str">
        <f aca="false">IF(OR(AC35="OVER-USED",AC35="LOW"),COUNTIF(AC$6:AC35,"OVER-USED")+COUNTIF(AC$6:AC35,"LOW"),"")</f>
        <v/>
      </c>
    </row>
    <row r="36" customFormat="false" ht="15" hidden="false" customHeight="false" outlineLevel="0" collapsed="false">
      <c r="A36" s="8" t="str">
        <f aca="false">IF('Employee List'!B36="","",'Employee List'!B36)</f>
        <v/>
      </c>
      <c r="B36" s="8" t="str">
        <f aca="false">IF($A36="","",'Employee List'!C36)</f>
        <v/>
      </c>
      <c r="C36" s="8" t="str">
        <f aca="false">IF($A36="","",'Employee List'!E36&amp;"")</f>
        <v/>
      </c>
      <c r="D36" s="8" t="str">
        <f aca="false">IF($A36="","",'Employee List'!F36&amp;"")</f>
        <v/>
      </c>
      <c r="E36" s="8" t="str">
        <f aca="false">IF($A36="","",'Employee List'!G36&amp;"")</f>
        <v/>
      </c>
      <c r="F36" s="8" t="str">
        <f aca="false">IF($A36="","",'Employee List'!D36)</f>
        <v/>
      </c>
      <c r="G36" s="38" t="str">
        <f aca="false">IF($A36="","",IF('Employee List'!I36="","",'Employee List'!I36))</f>
        <v/>
      </c>
      <c r="H36" s="38" t="str">
        <f aca="false">IF(OR($A36="",G36=""),"",G36+Settings!$C$13)</f>
        <v/>
      </c>
      <c r="I36" s="38" t="str">
        <f aca="false">IF(H36="","",MAX(H36,DATE(LvYear,1,1)))</f>
        <v/>
      </c>
      <c r="J36" s="38" t="str">
        <f aca="false">IF($A36="","",IF('Employee List'!J36="",DATE(LvYear,12,31),MIN('Employee List'!J36,DATE(LvYear,12,31))))</f>
        <v/>
      </c>
      <c r="K36" s="39" t="str">
        <f aca="false">IF(OR(I36="",J36=""),"",MAX(0,J36-I36+1))</f>
        <v/>
      </c>
      <c r="L36" s="16" t="str">
        <f aca="false">IF($A36="","",IF(AND(ISNUMBER(K36),K36=0),0,Settings!$C$10))</f>
        <v/>
      </c>
      <c r="M36" s="16" t="str">
        <f aca="false">IF($A36="","",IF(AND(ISNUMBER(K36),K36=0),0,Settings!$C$11))</f>
        <v/>
      </c>
      <c r="N36" s="40"/>
      <c r="O36" s="16" t="str">
        <f aca="false">IF($A36="","",FLOOR(Settings!$C$12/365*N(K36),0.5))</f>
        <v/>
      </c>
      <c r="P36" s="16" t="str">
        <f aca="false">IF($A36="","",IF(I36="",N(N36),FLOOR(Settings!$C$12/365*MAX(0,MIN(LvAsOf,J36)-I36+1)+N(N36),0.5)))</f>
        <v/>
      </c>
      <c r="Q36" s="16" t="str">
        <f aca="false">IF($A36="","",Settings!$C$14)</f>
        <v/>
      </c>
      <c r="R36" s="16" t="str">
        <f aca="false">IF($A36="","",SUMIFS(Attendance!$AZ$6:$AZ$2405,Attendance!$B$6:$B$2405,$A36,Attendance!$A$6:$A$2405,"&gt;="&amp;DATE(LvYear,1,1),Attendance!$A$6:$A$2405,"&lt;="&amp;DATE(LvYear,12,31)))</f>
        <v/>
      </c>
      <c r="S36" s="16" t="str">
        <f aca="false">IF($A36="","",SUMIFS(Attendance!$AY$6:$AY$2405,Attendance!$B$6:$B$2405,$A36,Attendance!$A$6:$A$2405,"&gt;="&amp;DATE(LvYear,1,1),Attendance!$A$6:$A$2405,"&lt;="&amp;DATE(LvYear,12,31)))</f>
        <v/>
      </c>
      <c r="T36" s="16" t="str">
        <f aca="false">IF($A36="","",SUMIFS(Attendance!$AX$6:$AX$2405,Attendance!$B$6:$B$2405,$A36,Attendance!$A$6:$A$2405,"&gt;="&amp;DATE(LvYear,1,1),Attendance!$A$6:$A$2405,"&lt;="&amp;DATE(LvYear,12,31)))</f>
        <v/>
      </c>
      <c r="U36" s="16" t="str">
        <f aca="false">IF($A36="","",SUMIFS(Attendance!$AW$6:$AW$2405,Attendance!$B$6:$B$2405,$A36,Attendance!$A$6:$A$2405,"&gt;="&amp;DATE(LvYear,1,1),Attendance!$A$6:$A$2405,"&lt;="&amp;DATE(LvYear,12,31)))</f>
        <v/>
      </c>
      <c r="V36" s="16" t="str">
        <f aca="false">IF($A36="","",L36-R36)</f>
        <v/>
      </c>
      <c r="W36" s="16" t="str">
        <f aca="false">IF($A36="","",M36-S36)</f>
        <v/>
      </c>
      <c r="X36" s="16" t="str">
        <f aca="false">IF($A36="","",P36-T36)</f>
        <v/>
      </c>
      <c r="Y36" s="16" t="str">
        <f aca="false">IF($A36="","",Q36-U36)</f>
        <v/>
      </c>
      <c r="Z36" s="16" t="str">
        <f aca="false">IF($A36="","",V36+W36+X36)</f>
        <v/>
      </c>
      <c r="AA36" s="16" t="str">
        <f aca="false">IF($A36="","",O36+N(N36)-T36)</f>
        <v/>
      </c>
      <c r="AB36" s="8" t="str">
        <f aca="false">IF($A36="","","CL "&amp;V36&amp;" | SL "&amp;W36&amp;" | PL "&amp;X36&amp;" | TR "&amp;Y36)</f>
        <v/>
      </c>
      <c r="AC36" s="15" t="str">
        <f aca="false">IF($A36="","",IF(F36="Exited","EXITED",IF(AND(ISNUMBER(K36),K36=0),"NOT ELIGIBLE",IF(MIN(V36:X36)&lt;0,"OVER-USED",IF(Z36&lt;=Settings!$C$15,"LOW","OK")))))</f>
        <v/>
      </c>
      <c r="AD36" s="16" t="str">
        <f aca="false">IF(OR(AC36="OVER-USED",AC36="LOW"),COUNTIF(AC$6:AC36,"OVER-USED")+COUNTIF(AC$6:AC36,"LOW"),"")</f>
        <v/>
      </c>
    </row>
    <row r="37" customFormat="false" ht="15" hidden="false" customHeight="false" outlineLevel="0" collapsed="false">
      <c r="A37" s="8" t="str">
        <f aca="false">IF('Employee List'!B37="","",'Employee List'!B37)</f>
        <v/>
      </c>
      <c r="B37" s="8" t="str">
        <f aca="false">IF($A37="","",'Employee List'!C37)</f>
        <v/>
      </c>
      <c r="C37" s="8" t="str">
        <f aca="false">IF($A37="","",'Employee List'!E37&amp;"")</f>
        <v/>
      </c>
      <c r="D37" s="8" t="str">
        <f aca="false">IF($A37="","",'Employee List'!F37&amp;"")</f>
        <v/>
      </c>
      <c r="E37" s="8" t="str">
        <f aca="false">IF($A37="","",'Employee List'!G37&amp;"")</f>
        <v/>
      </c>
      <c r="F37" s="8" t="str">
        <f aca="false">IF($A37="","",'Employee List'!D37)</f>
        <v/>
      </c>
      <c r="G37" s="38" t="str">
        <f aca="false">IF($A37="","",IF('Employee List'!I37="","",'Employee List'!I37))</f>
        <v/>
      </c>
      <c r="H37" s="38" t="str">
        <f aca="false">IF(OR($A37="",G37=""),"",G37+Settings!$C$13)</f>
        <v/>
      </c>
      <c r="I37" s="38" t="str">
        <f aca="false">IF(H37="","",MAX(H37,DATE(LvYear,1,1)))</f>
        <v/>
      </c>
      <c r="J37" s="38" t="str">
        <f aca="false">IF($A37="","",IF('Employee List'!J37="",DATE(LvYear,12,31),MIN('Employee List'!J37,DATE(LvYear,12,31))))</f>
        <v/>
      </c>
      <c r="K37" s="39" t="str">
        <f aca="false">IF(OR(I37="",J37=""),"",MAX(0,J37-I37+1))</f>
        <v/>
      </c>
      <c r="L37" s="16" t="str">
        <f aca="false">IF($A37="","",IF(AND(ISNUMBER(K37),K37=0),0,Settings!$C$10))</f>
        <v/>
      </c>
      <c r="M37" s="16" t="str">
        <f aca="false">IF($A37="","",IF(AND(ISNUMBER(K37),K37=0),0,Settings!$C$11))</f>
        <v/>
      </c>
      <c r="N37" s="40"/>
      <c r="O37" s="16" t="str">
        <f aca="false">IF($A37="","",FLOOR(Settings!$C$12/365*N(K37),0.5))</f>
        <v/>
      </c>
      <c r="P37" s="16" t="str">
        <f aca="false">IF($A37="","",IF(I37="",N(N37),FLOOR(Settings!$C$12/365*MAX(0,MIN(LvAsOf,J37)-I37+1)+N(N37),0.5)))</f>
        <v/>
      </c>
      <c r="Q37" s="16" t="str">
        <f aca="false">IF($A37="","",Settings!$C$14)</f>
        <v/>
      </c>
      <c r="R37" s="16" t="str">
        <f aca="false">IF($A37="","",SUMIFS(Attendance!$AZ$6:$AZ$2405,Attendance!$B$6:$B$2405,$A37,Attendance!$A$6:$A$2405,"&gt;="&amp;DATE(LvYear,1,1),Attendance!$A$6:$A$2405,"&lt;="&amp;DATE(LvYear,12,31)))</f>
        <v/>
      </c>
      <c r="S37" s="16" t="str">
        <f aca="false">IF($A37="","",SUMIFS(Attendance!$AY$6:$AY$2405,Attendance!$B$6:$B$2405,$A37,Attendance!$A$6:$A$2405,"&gt;="&amp;DATE(LvYear,1,1),Attendance!$A$6:$A$2405,"&lt;="&amp;DATE(LvYear,12,31)))</f>
        <v/>
      </c>
      <c r="T37" s="16" t="str">
        <f aca="false">IF($A37="","",SUMIFS(Attendance!$AX$6:$AX$2405,Attendance!$B$6:$B$2405,$A37,Attendance!$A$6:$A$2405,"&gt;="&amp;DATE(LvYear,1,1),Attendance!$A$6:$A$2405,"&lt;="&amp;DATE(LvYear,12,31)))</f>
        <v/>
      </c>
      <c r="U37" s="16" t="str">
        <f aca="false">IF($A37="","",SUMIFS(Attendance!$AW$6:$AW$2405,Attendance!$B$6:$B$2405,$A37,Attendance!$A$6:$A$2405,"&gt;="&amp;DATE(LvYear,1,1),Attendance!$A$6:$A$2405,"&lt;="&amp;DATE(LvYear,12,31)))</f>
        <v/>
      </c>
      <c r="V37" s="16" t="str">
        <f aca="false">IF($A37="","",L37-R37)</f>
        <v/>
      </c>
      <c r="W37" s="16" t="str">
        <f aca="false">IF($A37="","",M37-S37)</f>
        <v/>
      </c>
      <c r="X37" s="16" t="str">
        <f aca="false">IF($A37="","",P37-T37)</f>
        <v/>
      </c>
      <c r="Y37" s="16" t="str">
        <f aca="false">IF($A37="","",Q37-U37)</f>
        <v/>
      </c>
      <c r="Z37" s="16" t="str">
        <f aca="false">IF($A37="","",V37+W37+X37)</f>
        <v/>
      </c>
      <c r="AA37" s="16" t="str">
        <f aca="false">IF($A37="","",O37+N(N37)-T37)</f>
        <v/>
      </c>
      <c r="AB37" s="8" t="str">
        <f aca="false">IF($A37="","","CL "&amp;V37&amp;" | SL "&amp;W37&amp;" | PL "&amp;X37&amp;" | TR "&amp;Y37)</f>
        <v/>
      </c>
      <c r="AC37" s="15" t="str">
        <f aca="false">IF($A37="","",IF(F37="Exited","EXITED",IF(AND(ISNUMBER(K37),K37=0),"NOT ELIGIBLE",IF(MIN(V37:X37)&lt;0,"OVER-USED",IF(Z37&lt;=Settings!$C$15,"LOW","OK")))))</f>
        <v/>
      </c>
      <c r="AD37" s="16" t="str">
        <f aca="false">IF(OR(AC37="OVER-USED",AC37="LOW"),COUNTIF(AC$6:AC37,"OVER-USED")+COUNTIF(AC$6:AC37,"LOW"),"")</f>
        <v/>
      </c>
    </row>
    <row r="38" customFormat="false" ht="15" hidden="false" customHeight="false" outlineLevel="0" collapsed="false">
      <c r="A38" s="8" t="str">
        <f aca="false">IF('Employee List'!B38="","",'Employee List'!B38)</f>
        <v/>
      </c>
      <c r="B38" s="8" t="str">
        <f aca="false">IF($A38="","",'Employee List'!C38)</f>
        <v/>
      </c>
      <c r="C38" s="8" t="str">
        <f aca="false">IF($A38="","",'Employee List'!E38&amp;"")</f>
        <v/>
      </c>
      <c r="D38" s="8" t="str">
        <f aca="false">IF($A38="","",'Employee List'!F38&amp;"")</f>
        <v/>
      </c>
      <c r="E38" s="8" t="str">
        <f aca="false">IF($A38="","",'Employee List'!G38&amp;"")</f>
        <v/>
      </c>
      <c r="F38" s="8" t="str">
        <f aca="false">IF($A38="","",'Employee List'!D38)</f>
        <v/>
      </c>
      <c r="G38" s="38" t="str">
        <f aca="false">IF($A38="","",IF('Employee List'!I38="","",'Employee List'!I38))</f>
        <v/>
      </c>
      <c r="H38" s="38" t="str">
        <f aca="false">IF(OR($A38="",G38=""),"",G38+Settings!$C$13)</f>
        <v/>
      </c>
      <c r="I38" s="38" t="str">
        <f aca="false">IF(H38="","",MAX(H38,DATE(LvYear,1,1)))</f>
        <v/>
      </c>
      <c r="J38" s="38" t="str">
        <f aca="false">IF($A38="","",IF('Employee List'!J38="",DATE(LvYear,12,31),MIN('Employee List'!J38,DATE(LvYear,12,31))))</f>
        <v/>
      </c>
      <c r="K38" s="39" t="str">
        <f aca="false">IF(OR(I38="",J38=""),"",MAX(0,J38-I38+1))</f>
        <v/>
      </c>
      <c r="L38" s="16" t="str">
        <f aca="false">IF($A38="","",IF(AND(ISNUMBER(K38),K38=0),0,Settings!$C$10))</f>
        <v/>
      </c>
      <c r="M38" s="16" t="str">
        <f aca="false">IF($A38="","",IF(AND(ISNUMBER(K38),K38=0),0,Settings!$C$11))</f>
        <v/>
      </c>
      <c r="N38" s="40"/>
      <c r="O38" s="16" t="str">
        <f aca="false">IF($A38="","",FLOOR(Settings!$C$12/365*N(K38),0.5))</f>
        <v/>
      </c>
      <c r="P38" s="16" t="str">
        <f aca="false">IF($A38="","",IF(I38="",N(N38),FLOOR(Settings!$C$12/365*MAX(0,MIN(LvAsOf,J38)-I38+1)+N(N38),0.5)))</f>
        <v/>
      </c>
      <c r="Q38" s="16" t="str">
        <f aca="false">IF($A38="","",Settings!$C$14)</f>
        <v/>
      </c>
      <c r="R38" s="16" t="str">
        <f aca="false">IF($A38="","",SUMIFS(Attendance!$AZ$6:$AZ$2405,Attendance!$B$6:$B$2405,$A38,Attendance!$A$6:$A$2405,"&gt;="&amp;DATE(LvYear,1,1),Attendance!$A$6:$A$2405,"&lt;="&amp;DATE(LvYear,12,31)))</f>
        <v/>
      </c>
      <c r="S38" s="16" t="str">
        <f aca="false">IF($A38="","",SUMIFS(Attendance!$AY$6:$AY$2405,Attendance!$B$6:$B$2405,$A38,Attendance!$A$6:$A$2405,"&gt;="&amp;DATE(LvYear,1,1),Attendance!$A$6:$A$2405,"&lt;="&amp;DATE(LvYear,12,31)))</f>
        <v/>
      </c>
      <c r="T38" s="16" t="str">
        <f aca="false">IF($A38="","",SUMIFS(Attendance!$AX$6:$AX$2405,Attendance!$B$6:$B$2405,$A38,Attendance!$A$6:$A$2405,"&gt;="&amp;DATE(LvYear,1,1),Attendance!$A$6:$A$2405,"&lt;="&amp;DATE(LvYear,12,31)))</f>
        <v/>
      </c>
      <c r="U38" s="16" t="str">
        <f aca="false">IF($A38="","",SUMIFS(Attendance!$AW$6:$AW$2405,Attendance!$B$6:$B$2405,$A38,Attendance!$A$6:$A$2405,"&gt;="&amp;DATE(LvYear,1,1),Attendance!$A$6:$A$2405,"&lt;="&amp;DATE(LvYear,12,31)))</f>
        <v/>
      </c>
      <c r="V38" s="16" t="str">
        <f aca="false">IF($A38="","",L38-R38)</f>
        <v/>
      </c>
      <c r="W38" s="16" t="str">
        <f aca="false">IF($A38="","",M38-S38)</f>
        <v/>
      </c>
      <c r="X38" s="16" t="str">
        <f aca="false">IF($A38="","",P38-T38)</f>
        <v/>
      </c>
      <c r="Y38" s="16" t="str">
        <f aca="false">IF($A38="","",Q38-U38)</f>
        <v/>
      </c>
      <c r="Z38" s="16" t="str">
        <f aca="false">IF($A38="","",V38+W38+X38)</f>
        <v/>
      </c>
      <c r="AA38" s="16" t="str">
        <f aca="false">IF($A38="","",O38+N(N38)-T38)</f>
        <v/>
      </c>
      <c r="AB38" s="8" t="str">
        <f aca="false">IF($A38="","","CL "&amp;V38&amp;" | SL "&amp;W38&amp;" | PL "&amp;X38&amp;" | TR "&amp;Y38)</f>
        <v/>
      </c>
      <c r="AC38" s="15" t="str">
        <f aca="false">IF($A38="","",IF(F38="Exited","EXITED",IF(AND(ISNUMBER(K38),K38=0),"NOT ELIGIBLE",IF(MIN(V38:X38)&lt;0,"OVER-USED",IF(Z38&lt;=Settings!$C$15,"LOW","OK")))))</f>
        <v/>
      </c>
      <c r="AD38" s="16" t="str">
        <f aca="false">IF(OR(AC38="OVER-USED",AC38="LOW"),COUNTIF(AC$6:AC38,"OVER-USED")+COUNTIF(AC$6:AC38,"LOW"),"")</f>
        <v/>
      </c>
    </row>
    <row r="39" customFormat="false" ht="15" hidden="false" customHeight="false" outlineLevel="0" collapsed="false">
      <c r="A39" s="8" t="str">
        <f aca="false">IF('Employee List'!B39="","",'Employee List'!B39)</f>
        <v/>
      </c>
      <c r="B39" s="8" t="str">
        <f aca="false">IF($A39="","",'Employee List'!C39)</f>
        <v/>
      </c>
      <c r="C39" s="8" t="str">
        <f aca="false">IF($A39="","",'Employee List'!E39&amp;"")</f>
        <v/>
      </c>
      <c r="D39" s="8" t="str">
        <f aca="false">IF($A39="","",'Employee List'!F39&amp;"")</f>
        <v/>
      </c>
      <c r="E39" s="8" t="str">
        <f aca="false">IF($A39="","",'Employee List'!G39&amp;"")</f>
        <v/>
      </c>
      <c r="F39" s="8" t="str">
        <f aca="false">IF($A39="","",'Employee List'!D39)</f>
        <v/>
      </c>
      <c r="G39" s="38" t="str">
        <f aca="false">IF($A39="","",IF('Employee List'!I39="","",'Employee List'!I39))</f>
        <v/>
      </c>
      <c r="H39" s="38" t="str">
        <f aca="false">IF(OR($A39="",G39=""),"",G39+Settings!$C$13)</f>
        <v/>
      </c>
      <c r="I39" s="38" t="str">
        <f aca="false">IF(H39="","",MAX(H39,DATE(LvYear,1,1)))</f>
        <v/>
      </c>
      <c r="J39" s="38" t="str">
        <f aca="false">IF($A39="","",IF('Employee List'!J39="",DATE(LvYear,12,31),MIN('Employee List'!J39,DATE(LvYear,12,31))))</f>
        <v/>
      </c>
      <c r="K39" s="39" t="str">
        <f aca="false">IF(OR(I39="",J39=""),"",MAX(0,J39-I39+1))</f>
        <v/>
      </c>
      <c r="L39" s="16" t="str">
        <f aca="false">IF($A39="","",IF(AND(ISNUMBER(K39),K39=0),0,Settings!$C$10))</f>
        <v/>
      </c>
      <c r="M39" s="16" t="str">
        <f aca="false">IF($A39="","",IF(AND(ISNUMBER(K39),K39=0),0,Settings!$C$11))</f>
        <v/>
      </c>
      <c r="N39" s="40"/>
      <c r="O39" s="16" t="str">
        <f aca="false">IF($A39="","",FLOOR(Settings!$C$12/365*N(K39),0.5))</f>
        <v/>
      </c>
      <c r="P39" s="16" t="str">
        <f aca="false">IF($A39="","",IF(I39="",N(N39),FLOOR(Settings!$C$12/365*MAX(0,MIN(LvAsOf,J39)-I39+1)+N(N39),0.5)))</f>
        <v/>
      </c>
      <c r="Q39" s="16" t="str">
        <f aca="false">IF($A39="","",Settings!$C$14)</f>
        <v/>
      </c>
      <c r="R39" s="16" t="str">
        <f aca="false">IF($A39="","",SUMIFS(Attendance!$AZ$6:$AZ$2405,Attendance!$B$6:$B$2405,$A39,Attendance!$A$6:$A$2405,"&gt;="&amp;DATE(LvYear,1,1),Attendance!$A$6:$A$2405,"&lt;="&amp;DATE(LvYear,12,31)))</f>
        <v/>
      </c>
      <c r="S39" s="16" t="str">
        <f aca="false">IF($A39="","",SUMIFS(Attendance!$AY$6:$AY$2405,Attendance!$B$6:$B$2405,$A39,Attendance!$A$6:$A$2405,"&gt;="&amp;DATE(LvYear,1,1),Attendance!$A$6:$A$2405,"&lt;="&amp;DATE(LvYear,12,31)))</f>
        <v/>
      </c>
      <c r="T39" s="16" t="str">
        <f aca="false">IF($A39="","",SUMIFS(Attendance!$AX$6:$AX$2405,Attendance!$B$6:$B$2405,$A39,Attendance!$A$6:$A$2405,"&gt;="&amp;DATE(LvYear,1,1),Attendance!$A$6:$A$2405,"&lt;="&amp;DATE(LvYear,12,31)))</f>
        <v/>
      </c>
      <c r="U39" s="16" t="str">
        <f aca="false">IF($A39="","",SUMIFS(Attendance!$AW$6:$AW$2405,Attendance!$B$6:$B$2405,$A39,Attendance!$A$6:$A$2405,"&gt;="&amp;DATE(LvYear,1,1),Attendance!$A$6:$A$2405,"&lt;="&amp;DATE(LvYear,12,31)))</f>
        <v/>
      </c>
      <c r="V39" s="16" t="str">
        <f aca="false">IF($A39="","",L39-R39)</f>
        <v/>
      </c>
      <c r="W39" s="16" t="str">
        <f aca="false">IF($A39="","",M39-S39)</f>
        <v/>
      </c>
      <c r="X39" s="16" t="str">
        <f aca="false">IF($A39="","",P39-T39)</f>
        <v/>
      </c>
      <c r="Y39" s="16" t="str">
        <f aca="false">IF($A39="","",Q39-U39)</f>
        <v/>
      </c>
      <c r="Z39" s="16" t="str">
        <f aca="false">IF($A39="","",V39+W39+X39)</f>
        <v/>
      </c>
      <c r="AA39" s="16" t="str">
        <f aca="false">IF($A39="","",O39+N(N39)-T39)</f>
        <v/>
      </c>
      <c r="AB39" s="8" t="str">
        <f aca="false">IF($A39="","","CL "&amp;V39&amp;" | SL "&amp;W39&amp;" | PL "&amp;X39&amp;" | TR "&amp;Y39)</f>
        <v/>
      </c>
      <c r="AC39" s="15" t="str">
        <f aca="false">IF($A39="","",IF(F39="Exited","EXITED",IF(AND(ISNUMBER(K39),K39=0),"NOT ELIGIBLE",IF(MIN(V39:X39)&lt;0,"OVER-USED",IF(Z39&lt;=Settings!$C$15,"LOW","OK")))))</f>
        <v/>
      </c>
      <c r="AD39" s="16" t="str">
        <f aca="false">IF(OR(AC39="OVER-USED",AC39="LOW"),COUNTIF(AC$6:AC39,"OVER-USED")+COUNTIF(AC$6:AC39,"LOW"),"")</f>
        <v/>
      </c>
    </row>
    <row r="40" customFormat="false" ht="15" hidden="false" customHeight="false" outlineLevel="0" collapsed="false">
      <c r="A40" s="8" t="str">
        <f aca="false">IF('Employee List'!B40="","",'Employee List'!B40)</f>
        <v/>
      </c>
      <c r="B40" s="8" t="str">
        <f aca="false">IF($A40="","",'Employee List'!C40)</f>
        <v/>
      </c>
      <c r="C40" s="8" t="str">
        <f aca="false">IF($A40="","",'Employee List'!E40&amp;"")</f>
        <v/>
      </c>
      <c r="D40" s="8" t="str">
        <f aca="false">IF($A40="","",'Employee List'!F40&amp;"")</f>
        <v/>
      </c>
      <c r="E40" s="8" t="str">
        <f aca="false">IF($A40="","",'Employee List'!G40&amp;"")</f>
        <v/>
      </c>
      <c r="F40" s="8" t="str">
        <f aca="false">IF($A40="","",'Employee List'!D40)</f>
        <v/>
      </c>
      <c r="G40" s="38" t="str">
        <f aca="false">IF($A40="","",IF('Employee List'!I40="","",'Employee List'!I40))</f>
        <v/>
      </c>
      <c r="H40" s="38" t="str">
        <f aca="false">IF(OR($A40="",G40=""),"",G40+Settings!$C$13)</f>
        <v/>
      </c>
      <c r="I40" s="38" t="str">
        <f aca="false">IF(H40="","",MAX(H40,DATE(LvYear,1,1)))</f>
        <v/>
      </c>
      <c r="J40" s="38" t="str">
        <f aca="false">IF($A40="","",IF('Employee List'!J40="",DATE(LvYear,12,31),MIN('Employee List'!J40,DATE(LvYear,12,31))))</f>
        <v/>
      </c>
      <c r="K40" s="39" t="str">
        <f aca="false">IF(OR(I40="",J40=""),"",MAX(0,J40-I40+1))</f>
        <v/>
      </c>
      <c r="L40" s="16" t="str">
        <f aca="false">IF($A40="","",IF(AND(ISNUMBER(K40),K40=0),0,Settings!$C$10))</f>
        <v/>
      </c>
      <c r="M40" s="16" t="str">
        <f aca="false">IF($A40="","",IF(AND(ISNUMBER(K40),K40=0),0,Settings!$C$11))</f>
        <v/>
      </c>
      <c r="N40" s="40"/>
      <c r="O40" s="16" t="str">
        <f aca="false">IF($A40="","",FLOOR(Settings!$C$12/365*N(K40),0.5))</f>
        <v/>
      </c>
      <c r="P40" s="16" t="str">
        <f aca="false">IF($A40="","",IF(I40="",N(N40),FLOOR(Settings!$C$12/365*MAX(0,MIN(LvAsOf,J40)-I40+1)+N(N40),0.5)))</f>
        <v/>
      </c>
      <c r="Q40" s="16" t="str">
        <f aca="false">IF($A40="","",Settings!$C$14)</f>
        <v/>
      </c>
      <c r="R40" s="16" t="str">
        <f aca="false">IF($A40="","",SUMIFS(Attendance!$AZ$6:$AZ$2405,Attendance!$B$6:$B$2405,$A40,Attendance!$A$6:$A$2405,"&gt;="&amp;DATE(LvYear,1,1),Attendance!$A$6:$A$2405,"&lt;="&amp;DATE(LvYear,12,31)))</f>
        <v/>
      </c>
      <c r="S40" s="16" t="str">
        <f aca="false">IF($A40="","",SUMIFS(Attendance!$AY$6:$AY$2405,Attendance!$B$6:$B$2405,$A40,Attendance!$A$6:$A$2405,"&gt;="&amp;DATE(LvYear,1,1),Attendance!$A$6:$A$2405,"&lt;="&amp;DATE(LvYear,12,31)))</f>
        <v/>
      </c>
      <c r="T40" s="16" t="str">
        <f aca="false">IF($A40="","",SUMIFS(Attendance!$AX$6:$AX$2405,Attendance!$B$6:$B$2405,$A40,Attendance!$A$6:$A$2405,"&gt;="&amp;DATE(LvYear,1,1),Attendance!$A$6:$A$2405,"&lt;="&amp;DATE(LvYear,12,31)))</f>
        <v/>
      </c>
      <c r="U40" s="16" t="str">
        <f aca="false">IF($A40="","",SUMIFS(Attendance!$AW$6:$AW$2405,Attendance!$B$6:$B$2405,$A40,Attendance!$A$6:$A$2405,"&gt;="&amp;DATE(LvYear,1,1),Attendance!$A$6:$A$2405,"&lt;="&amp;DATE(LvYear,12,31)))</f>
        <v/>
      </c>
      <c r="V40" s="16" t="str">
        <f aca="false">IF($A40="","",L40-R40)</f>
        <v/>
      </c>
      <c r="W40" s="16" t="str">
        <f aca="false">IF($A40="","",M40-S40)</f>
        <v/>
      </c>
      <c r="X40" s="16" t="str">
        <f aca="false">IF($A40="","",P40-T40)</f>
        <v/>
      </c>
      <c r="Y40" s="16" t="str">
        <f aca="false">IF($A40="","",Q40-U40)</f>
        <v/>
      </c>
      <c r="Z40" s="16" t="str">
        <f aca="false">IF($A40="","",V40+W40+X40)</f>
        <v/>
      </c>
      <c r="AA40" s="16" t="str">
        <f aca="false">IF($A40="","",O40+N(N40)-T40)</f>
        <v/>
      </c>
      <c r="AB40" s="8" t="str">
        <f aca="false">IF($A40="","","CL "&amp;V40&amp;" | SL "&amp;W40&amp;" | PL "&amp;X40&amp;" | TR "&amp;Y40)</f>
        <v/>
      </c>
      <c r="AC40" s="15" t="str">
        <f aca="false">IF($A40="","",IF(F40="Exited","EXITED",IF(AND(ISNUMBER(K40),K40=0),"NOT ELIGIBLE",IF(MIN(V40:X40)&lt;0,"OVER-USED",IF(Z40&lt;=Settings!$C$15,"LOW","OK")))))</f>
        <v/>
      </c>
      <c r="AD40" s="16" t="str">
        <f aca="false">IF(OR(AC40="OVER-USED",AC40="LOW"),COUNTIF(AC$6:AC40,"OVER-USED")+COUNTIF(AC$6:AC40,"LOW"),"")</f>
        <v/>
      </c>
    </row>
    <row r="41" customFormat="false" ht="15" hidden="false" customHeight="false" outlineLevel="0" collapsed="false">
      <c r="A41" s="8" t="str">
        <f aca="false">IF('Employee List'!B41="","",'Employee List'!B41)</f>
        <v/>
      </c>
      <c r="B41" s="8" t="str">
        <f aca="false">IF($A41="","",'Employee List'!C41)</f>
        <v/>
      </c>
      <c r="C41" s="8" t="str">
        <f aca="false">IF($A41="","",'Employee List'!E41&amp;"")</f>
        <v/>
      </c>
      <c r="D41" s="8" t="str">
        <f aca="false">IF($A41="","",'Employee List'!F41&amp;"")</f>
        <v/>
      </c>
      <c r="E41" s="8" t="str">
        <f aca="false">IF($A41="","",'Employee List'!G41&amp;"")</f>
        <v/>
      </c>
      <c r="F41" s="8" t="str">
        <f aca="false">IF($A41="","",'Employee List'!D41)</f>
        <v/>
      </c>
      <c r="G41" s="38" t="str">
        <f aca="false">IF($A41="","",IF('Employee List'!I41="","",'Employee List'!I41))</f>
        <v/>
      </c>
      <c r="H41" s="38" t="str">
        <f aca="false">IF(OR($A41="",G41=""),"",G41+Settings!$C$13)</f>
        <v/>
      </c>
      <c r="I41" s="38" t="str">
        <f aca="false">IF(H41="","",MAX(H41,DATE(LvYear,1,1)))</f>
        <v/>
      </c>
      <c r="J41" s="38" t="str">
        <f aca="false">IF($A41="","",IF('Employee List'!J41="",DATE(LvYear,12,31),MIN('Employee List'!J41,DATE(LvYear,12,31))))</f>
        <v/>
      </c>
      <c r="K41" s="39" t="str">
        <f aca="false">IF(OR(I41="",J41=""),"",MAX(0,J41-I41+1))</f>
        <v/>
      </c>
      <c r="L41" s="16" t="str">
        <f aca="false">IF($A41="","",IF(AND(ISNUMBER(K41),K41=0),0,Settings!$C$10))</f>
        <v/>
      </c>
      <c r="M41" s="16" t="str">
        <f aca="false">IF($A41="","",IF(AND(ISNUMBER(K41),K41=0),0,Settings!$C$11))</f>
        <v/>
      </c>
      <c r="N41" s="40"/>
      <c r="O41" s="16" t="str">
        <f aca="false">IF($A41="","",FLOOR(Settings!$C$12/365*N(K41),0.5))</f>
        <v/>
      </c>
      <c r="P41" s="16" t="str">
        <f aca="false">IF($A41="","",IF(I41="",N(N41),FLOOR(Settings!$C$12/365*MAX(0,MIN(LvAsOf,J41)-I41+1)+N(N41),0.5)))</f>
        <v/>
      </c>
      <c r="Q41" s="16" t="str">
        <f aca="false">IF($A41="","",Settings!$C$14)</f>
        <v/>
      </c>
      <c r="R41" s="16" t="str">
        <f aca="false">IF($A41="","",SUMIFS(Attendance!$AZ$6:$AZ$2405,Attendance!$B$6:$B$2405,$A41,Attendance!$A$6:$A$2405,"&gt;="&amp;DATE(LvYear,1,1),Attendance!$A$6:$A$2405,"&lt;="&amp;DATE(LvYear,12,31)))</f>
        <v/>
      </c>
      <c r="S41" s="16" t="str">
        <f aca="false">IF($A41="","",SUMIFS(Attendance!$AY$6:$AY$2405,Attendance!$B$6:$B$2405,$A41,Attendance!$A$6:$A$2405,"&gt;="&amp;DATE(LvYear,1,1),Attendance!$A$6:$A$2405,"&lt;="&amp;DATE(LvYear,12,31)))</f>
        <v/>
      </c>
      <c r="T41" s="16" t="str">
        <f aca="false">IF($A41="","",SUMIFS(Attendance!$AX$6:$AX$2405,Attendance!$B$6:$B$2405,$A41,Attendance!$A$6:$A$2405,"&gt;="&amp;DATE(LvYear,1,1),Attendance!$A$6:$A$2405,"&lt;="&amp;DATE(LvYear,12,31)))</f>
        <v/>
      </c>
      <c r="U41" s="16" t="str">
        <f aca="false">IF($A41="","",SUMIFS(Attendance!$AW$6:$AW$2405,Attendance!$B$6:$B$2405,$A41,Attendance!$A$6:$A$2405,"&gt;="&amp;DATE(LvYear,1,1),Attendance!$A$6:$A$2405,"&lt;="&amp;DATE(LvYear,12,31)))</f>
        <v/>
      </c>
      <c r="V41" s="16" t="str">
        <f aca="false">IF($A41="","",L41-R41)</f>
        <v/>
      </c>
      <c r="W41" s="16" t="str">
        <f aca="false">IF($A41="","",M41-S41)</f>
        <v/>
      </c>
      <c r="X41" s="16" t="str">
        <f aca="false">IF($A41="","",P41-T41)</f>
        <v/>
      </c>
      <c r="Y41" s="16" t="str">
        <f aca="false">IF($A41="","",Q41-U41)</f>
        <v/>
      </c>
      <c r="Z41" s="16" t="str">
        <f aca="false">IF($A41="","",V41+W41+X41)</f>
        <v/>
      </c>
      <c r="AA41" s="16" t="str">
        <f aca="false">IF($A41="","",O41+N(N41)-T41)</f>
        <v/>
      </c>
      <c r="AB41" s="8" t="str">
        <f aca="false">IF($A41="","","CL "&amp;V41&amp;" | SL "&amp;W41&amp;" | PL "&amp;X41&amp;" | TR "&amp;Y41)</f>
        <v/>
      </c>
      <c r="AC41" s="15" t="str">
        <f aca="false">IF($A41="","",IF(F41="Exited","EXITED",IF(AND(ISNUMBER(K41),K41=0),"NOT ELIGIBLE",IF(MIN(V41:X41)&lt;0,"OVER-USED",IF(Z41&lt;=Settings!$C$15,"LOW","OK")))))</f>
        <v/>
      </c>
      <c r="AD41" s="16" t="str">
        <f aca="false">IF(OR(AC41="OVER-USED",AC41="LOW"),COUNTIF(AC$6:AC41,"OVER-USED")+COUNTIF(AC$6:AC41,"LOW"),"")</f>
        <v/>
      </c>
    </row>
    <row r="42" customFormat="false" ht="15" hidden="false" customHeight="false" outlineLevel="0" collapsed="false">
      <c r="A42" s="8" t="str">
        <f aca="false">IF('Employee List'!B42="","",'Employee List'!B42)</f>
        <v/>
      </c>
      <c r="B42" s="8" t="str">
        <f aca="false">IF($A42="","",'Employee List'!C42)</f>
        <v/>
      </c>
      <c r="C42" s="8" t="str">
        <f aca="false">IF($A42="","",'Employee List'!E42&amp;"")</f>
        <v/>
      </c>
      <c r="D42" s="8" t="str">
        <f aca="false">IF($A42="","",'Employee List'!F42&amp;"")</f>
        <v/>
      </c>
      <c r="E42" s="8" t="str">
        <f aca="false">IF($A42="","",'Employee List'!G42&amp;"")</f>
        <v/>
      </c>
      <c r="F42" s="8" t="str">
        <f aca="false">IF($A42="","",'Employee List'!D42)</f>
        <v/>
      </c>
      <c r="G42" s="38" t="str">
        <f aca="false">IF($A42="","",IF('Employee List'!I42="","",'Employee List'!I42))</f>
        <v/>
      </c>
      <c r="H42" s="38" t="str">
        <f aca="false">IF(OR($A42="",G42=""),"",G42+Settings!$C$13)</f>
        <v/>
      </c>
      <c r="I42" s="38" t="str">
        <f aca="false">IF(H42="","",MAX(H42,DATE(LvYear,1,1)))</f>
        <v/>
      </c>
      <c r="J42" s="38" t="str">
        <f aca="false">IF($A42="","",IF('Employee List'!J42="",DATE(LvYear,12,31),MIN('Employee List'!J42,DATE(LvYear,12,31))))</f>
        <v/>
      </c>
      <c r="K42" s="39" t="str">
        <f aca="false">IF(OR(I42="",J42=""),"",MAX(0,J42-I42+1))</f>
        <v/>
      </c>
      <c r="L42" s="16" t="str">
        <f aca="false">IF($A42="","",IF(AND(ISNUMBER(K42),K42=0),0,Settings!$C$10))</f>
        <v/>
      </c>
      <c r="M42" s="16" t="str">
        <f aca="false">IF($A42="","",IF(AND(ISNUMBER(K42),K42=0),0,Settings!$C$11))</f>
        <v/>
      </c>
      <c r="N42" s="40"/>
      <c r="O42" s="16" t="str">
        <f aca="false">IF($A42="","",FLOOR(Settings!$C$12/365*N(K42),0.5))</f>
        <v/>
      </c>
      <c r="P42" s="16" t="str">
        <f aca="false">IF($A42="","",IF(I42="",N(N42),FLOOR(Settings!$C$12/365*MAX(0,MIN(LvAsOf,J42)-I42+1)+N(N42),0.5)))</f>
        <v/>
      </c>
      <c r="Q42" s="16" t="str">
        <f aca="false">IF($A42="","",Settings!$C$14)</f>
        <v/>
      </c>
      <c r="R42" s="16" t="str">
        <f aca="false">IF($A42="","",SUMIFS(Attendance!$AZ$6:$AZ$2405,Attendance!$B$6:$B$2405,$A42,Attendance!$A$6:$A$2405,"&gt;="&amp;DATE(LvYear,1,1),Attendance!$A$6:$A$2405,"&lt;="&amp;DATE(LvYear,12,31)))</f>
        <v/>
      </c>
      <c r="S42" s="16" t="str">
        <f aca="false">IF($A42="","",SUMIFS(Attendance!$AY$6:$AY$2405,Attendance!$B$6:$B$2405,$A42,Attendance!$A$6:$A$2405,"&gt;="&amp;DATE(LvYear,1,1),Attendance!$A$6:$A$2405,"&lt;="&amp;DATE(LvYear,12,31)))</f>
        <v/>
      </c>
      <c r="T42" s="16" t="str">
        <f aca="false">IF($A42="","",SUMIFS(Attendance!$AX$6:$AX$2405,Attendance!$B$6:$B$2405,$A42,Attendance!$A$6:$A$2405,"&gt;="&amp;DATE(LvYear,1,1),Attendance!$A$6:$A$2405,"&lt;="&amp;DATE(LvYear,12,31)))</f>
        <v/>
      </c>
      <c r="U42" s="16" t="str">
        <f aca="false">IF($A42="","",SUMIFS(Attendance!$AW$6:$AW$2405,Attendance!$B$6:$B$2405,$A42,Attendance!$A$6:$A$2405,"&gt;="&amp;DATE(LvYear,1,1),Attendance!$A$6:$A$2405,"&lt;="&amp;DATE(LvYear,12,31)))</f>
        <v/>
      </c>
      <c r="V42" s="16" t="str">
        <f aca="false">IF($A42="","",L42-R42)</f>
        <v/>
      </c>
      <c r="W42" s="16" t="str">
        <f aca="false">IF($A42="","",M42-S42)</f>
        <v/>
      </c>
      <c r="X42" s="16" t="str">
        <f aca="false">IF($A42="","",P42-T42)</f>
        <v/>
      </c>
      <c r="Y42" s="16" t="str">
        <f aca="false">IF($A42="","",Q42-U42)</f>
        <v/>
      </c>
      <c r="Z42" s="16" t="str">
        <f aca="false">IF($A42="","",V42+W42+X42)</f>
        <v/>
      </c>
      <c r="AA42" s="16" t="str">
        <f aca="false">IF($A42="","",O42+N(N42)-T42)</f>
        <v/>
      </c>
      <c r="AB42" s="8" t="str">
        <f aca="false">IF($A42="","","CL "&amp;V42&amp;" | SL "&amp;W42&amp;" | PL "&amp;X42&amp;" | TR "&amp;Y42)</f>
        <v/>
      </c>
      <c r="AC42" s="15" t="str">
        <f aca="false">IF($A42="","",IF(F42="Exited","EXITED",IF(AND(ISNUMBER(K42),K42=0),"NOT ELIGIBLE",IF(MIN(V42:X42)&lt;0,"OVER-USED",IF(Z42&lt;=Settings!$C$15,"LOW","OK")))))</f>
        <v/>
      </c>
      <c r="AD42" s="16" t="str">
        <f aca="false">IF(OR(AC42="OVER-USED",AC42="LOW"),COUNTIF(AC$6:AC42,"OVER-USED")+COUNTIF(AC$6:AC42,"LOW"),"")</f>
        <v/>
      </c>
    </row>
    <row r="43" customFormat="false" ht="15" hidden="false" customHeight="false" outlineLevel="0" collapsed="false">
      <c r="A43" s="8" t="str">
        <f aca="false">IF('Employee List'!B43="","",'Employee List'!B43)</f>
        <v/>
      </c>
      <c r="B43" s="8" t="str">
        <f aca="false">IF($A43="","",'Employee List'!C43)</f>
        <v/>
      </c>
      <c r="C43" s="8" t="str">
        <f aca="false">IF($A43="","",'Employee List'!E43&amp;"")</f>
        <v/>
      </c>
      <c r="D43" s="8" t="str">
        <f aca="false">IF($A43="","",'Employee List'!F43&amp;"")</f>
        <v/>
      </c>
      <c r="E43" s="8" t="str">
        <f aca="false">IF($A43="","",'Employee List'!G43&amp;"")</f>
        <v/>
      </c>
      <c r="F43" s="8" t="str">
        <f aca="false">IF($A43="","",'Employee List'!D43)</f>
        <v/>
      </c>
      <c r="G43" s="38" t="str">
        <f aca="false">IF($A43="","",IF('Employee List'!I43="","",'Employee List'!I43))</f>
        <v/>
      </c>
      <c r="H43" s="38" t="str">
        <f aca="false">IF(OR($A43="",G43=""),"",G43+Settings!$C$13)</f>
        <v/>
      </c>
      <c r="I43" s="38" t="str">
        <f aca="false">IF(H43="","",MAX(H43,DATE(LvYear,1,1)))</f>
        <v/>
      </c>
      <c r="J43" s="38" t="str">
        <f aca="false">IF($A43="","",IF('Employee List'!J43="",DATE(LvYear,12,31),MIN('Employee List'!J43,DATE(LvYear,12,31))))</f>
        <v/>
      </c>
      <c r="K43" s="39" t="str">
        <f aca="false">IF(OR(I43="",J43=""),"",MAX(0,J43-I43+1))</f>
        <v/>
      </c>
      <c r="L43" s="16" t="str">
        <f aca="false">IF($A43="","",IF(AND(ISNUMBER(K43),K43=0),0,Settings!$C$10))</f>
        <v/>
      </c>
      <c r="M43" s="16" t="str">
        <f aca="false">IF($A43="","",IF(AND(ISNUMBER(K43),K43=0),0,Settings!$C$11))</f>
        <v/>
      </c>
      <c r="N43" s="40"/>
      <c r="O43" s="16" t="str">
        <f aca="false">IF($A43="","",FLOOR(Settings!$C$12/365*N(K43),0.5))</f>
        <v/>
      </c>
      <c r="P43" s="16" t="str">
        <f aca="false">IF($A43="","",IF(I43="",N(N43),FLOOR(Settings!$C$12/365*MAX(0,MIN(LvAsOf,J43)-I43+1)+N(N43),0.5)))</f>
        <v/>
      </c>
      <c r="Q43" s="16" t="str">
        <f aca="false">IF($A43="","",Settings!$C$14)</f>
        <v/>
      </c>
      <c r="R43" s="16" t="str">
        <f aca="false">IF($A43="","",SUMIFS(Attendance!$AZ$6:$AZ$2405,Attendance!$B$6:$B$2405,$A43,Attendance!$A$6:$A$2405,"&gt;="&amp;DATE(LvYear,1,1),Attendance!$A$6:$A$2405,"&lt;="&amp;DATE(LvYear,12,31)))</f>
        <v/>
      </c>
      <c r="S43" s="16" t="str">
        <f aca="false">IF($A43="","",SUMIFS(Attendance!$AY$6:$AY$2405,Attendance!$B$6:$B$2405,$A43,Attendance!$A$6:$A$2405,"&gt;="&amp;DATE(LvYear,1,1),Attendance!$A$6:$A$2405,"&lt;="&amp;DATE(LvYear,12,31)))</f>
        <v/>
      </c>
      <c r="T43" s="16" t="str">
        <f aca="false">IF($A43="","",SUMIFS(Attendance!$AX$6:$AX$2405,Attendance!$B$6:$B$2405,$A43,Attendance!$A$6:$A$2405,"&gt;="&amp;DATE(LvYear,1,1),Attendance!$A$6:$A$2405,"&lt;="&amp;DATE(LvYear,12,31)))</f>
        <v/>
      </c>
      <c r="U43" s="16" t="str">
        <f aca="false">IF($A43="","",SUMIFS(Attendance!$AW$6:$AW$2405,Attendance!$B$6:$B$2405,$A43,Attendance!$A$6:$A$2405,"&gt;="&amp;DATE(LvYear,1,1),Attendance!$A$6:$A$2405,"&lt;="&amp;DATE(LvYear,12,31)))</f>
        <v/>
      </c>
      <c r="V43" s="16" t="str">
        <f aca="false">IF($A43="","",L43-R43)</f>
        <v/>
      </c>
      <c r="W43" s="16" t="str">
        <f aca="false">IF($A43="","",M43-S43)</f>
        <v/>
      </c>
      <c r="X43" s="16" t="str">
        <f aca="false">IF($A43="","",P43-T43)</f>
        <v/>
      </c>
      <c r="Y43" s="16" t="str">
        <f aca="false">IF($A43="","",Q43-U43)</f>
        <v/>
      </c>
      <c r="Z43" s="16" t="str">
        <f aca="false">IF($A43="","",V43+W43+X43)</f>
        <v/>
      </c>
      <c r="AA43" s="16" t="str">
        <f aca="false">IF($A43="","",O43+N(N43)-T43)</f>
        <v/>
      </c>
      <c r="AB43" s="8" t="str">
        <f aca="false">IF($A43="","","CL "&amp;V43&amp;" | SL "&amp;W43&amp;" | PL "&amp;X43&amp;" | TR "&amp;Y43)</f>
        <v/>
      </c>
      <c r="AC43" s="15" t="str">
        <f aca="false">IF($A43="","",IF(F43="Exited","EXITED",IF(AND(ISNUMBER(K43),K43=0),"NOT ELIGIBLE",IF(MIN(V43:X43)&lt;0,"OVER-USED",IF(Z43&lt;=Settings!$C$15,"LOW","OK")))))</f>
        <v/>
      </c>
      <c r="AD43" s="16" t="str">
        <f aca="false">IF(OR(AC43="OVER-USED",AC43="LOW"),COUNTIF(AC$6:AC43,"OVER-USED")+COUNTIF(AC$6:AC43,"LOW"),"")</f>
        <v/>
      </c>
    </row>
    <row r="44" customFormat="false" ht="15" hidden="false" customHeight="false" outlineLevel="0" collapsed="false">
      <c r="A44" s="8" t="str">
        <f aca="false">IF('Employee List'!B44="","",'Employee List'!B44)</f>
        <v/>
      </c>
      <c r="B44" s="8" t="str">
        <f aca="false">IF($A44="","",'Employee List'!C44)</f>
        <v/>
      </c>
      <c r="C44" s="8" t="str">
        <f aca="false">IF($A44="","",'Employee List'!E44&amp;"")</f>
        <v/>
      </c>
      <c r="D44" s="8" t="str">
        <f aca="false">IF($A44="","",'Employee List'!F44&amp;"")</f>
        <v/>
      </c>
      <c r="E44" s="8" t="str">
        <f aca="false">IF($A44="","",'Employee List'!G44&amp;"")</f>
        <v/>
      </c>
      <c r="F44" s="8" t="str">
        <f aca="false">IF($A44="","",'Employee List'!D44)</f>
        <v/>
      </c>
      <c r="G44" s="38" t="str">
        <f aca="false">IF($A44="","",IF('Employee List'!I44="","",'Employee List'!I44))</f>
        <v/>
      </c>
      <c r="H44" s="38" t="str">
        <f aca="false">IF(OR($A44="",G44=""),"",G44+Settings!$C$13)</f>
        <v/>
      </c>
      <c r="I44" s="38" t="str">
        <f aca="false">IF(H44="","",MAX(H44,DATE(LvYear,1,1)))</f>
        <v/>
      </c>
      <c r="J44" s="38" t="str">
        <f aca="false">IF($A44="","",IF('Employee List'!J44="",DATE(LvYear,12,31),MIN('Employee List'!J44,DATE(LvYear,12,31))))</f>
        <v/>
      </c>
      <c r="K44" s="39" t="str">
        <f aca="false">IF(OR(I44="",J44=""),"",MAX(0,J44-I44+1))</f>
        <v/>
      </c>
      <c r="L44" s="16" t="str">
        <f aca="false">IF($A44="","",IF(AND(ISNUMBER(K44),K44=0),0,Settings!$C$10))</f>
        <v/>
      </c>
      <c r="M44" s="16" t="str">
        <f aca="false">IF($A44="","",IF(AND(ISNUMBER(K44),K44=0),0,Settings!$C$11))</f>
        <v/>
      </c>
      <c r="N44" s="40"/>
      <c r="O44" s="16" t="str">
        <f aca="false">IF($A44="","",FLOOR(Settings!$C$12/365*N(K44),0.5))</f>
        <v/>
      </c>
      <c r="P44" s="16" t="str">
        <f aca="false">IF($A44="","",IF(I44="",N(N44),FLOOR(Settings!$C$12/365*MAX(0,MIN(LvAsOf,J44)-I44+1)+N(N44),0.5)))</f>
        <v/>
      </c>
      <c r="Q44" s="16" t="str">
        <f aca="false">IF($A44="","",Settings!$C$14)</f>
        <v/>
      </c>
      <c r="R44" s="16" t="str">
        <f aca="false">IF($A44="","",SUMIFS(Attendance!$AZ$6:$AZ$2405,Attendance!$B$6:$B$2405,$A44,Attendance!$A$6:$A$2405,"&gt;="&amp;DATE(LvYear,1,1),Attendance!$A$6:$A$2405,"&lt;="&amp;DATE(LvYear,12,31)))</f>
        <v/>
      </c>
      <c r="S44" s="16" t="str">
        <f aca="false">IF($A44="","",SUMIFS(Attendance!$AY$6:$AY$2405,Attendance!$B$6:$B$2405,$A44,Attendance!$A$6:$A$2405,"&gt;="&amp;DATE(LvYear,1,1),Attendance!$A$6:$A$2405,"&lt;="&amp;DATE(LvYear,12,31)))</f>
        <v/>
      </c>
      <c r="T44" s="16" t="str">
        <f aca="false">IF($A44="","",SUMIFS(Attendance!$AX$6:$AX$2405,Attendance!$B$6:$B$2405,$A44,Attendance!$A$6:$A$2405,"&gt;="&amp;DATE(LvYear,1,1),Attendance!$A$6:$A$2405,"&lt;="&amp;DATE(LvYear,12,31)))</f>
        <v/>
      </c>
      <c r="U44" s="16" t="str">
        <f aca="false">IF($A44="","",SUMIFS(Attendance!$AW$6:$AW$2405,Attendance!$B$6:$B$2405,$A44,Attendance!$A$6:$A$2405,"&gt;="&amp;DATE(LvYear,1,1),Attendance!$A$6:$A$2405,"&lt;="&amp;DATE(LvYear,12,31)))</f>
        <v/>
      </c>
      <c r="V44" s="16" t="str">
        <f aca="false">IF($A44="","",L44-R44)</f>
        <v/>
      </c>
      <c r="W44" s="16" t="str">
        <f aca="false">IF($A44="","",M44-S44)</f>
        <v/>
      </c>
      <c r="X44" s="16" t="str">
        <f aca="false">IF($A44="","",P44-T44)</f>
        <v/>
      </c>
      <c r="Y44" s="16" t="str">
        <f aca="false">IF($A44="","",Q44-U44)</f>
        <v/>
      </c>
      <c r="Z44" s="16" t="str">
        <f aca="false">IF($A44="","",V44+W44+X44)</f>
        <v/>
      </c>
      <c r="AA44" s="16" t="str">
        <f aca="false">IF($A44="","",O44+N(N44)-T44)</f>
        <v/>
      </c>
      <c r="AB44" s="8" t="str">
        <f aca="false">IF($A44="","","CL "&amp;V44&amp;" | SL "&amp;W44&amp;" | PL "&amp;X44&amp;" | TR "&amp;Y44)</f>
        <v/>
      </c>
      <c r="AC44" s="15" t="str">
        <f aca="false">IF($A44="","",IF(F44="Exited","EXITED",IF(AND(ISNUMBER(K44),K44=0),"NOT ELIGIBLE",IF(MIN(V44:X44)&lt;0,"OVER-USED",IF(Z44&lt;=Settings!$C$15,"LOW","OK")))))</f>
        <v/>
      </c>
      <c r="AD44" s="16" t="str">
        <f aca="false">IF(OR(AC44="OVER-USED",AC44="LOW"),COUNTIF(AC$6:AC44,"OVER-USED")+COUNTIF(AC$6:AC44,"LOW"),"")</f>
        <v/>
      </c>
    </row>
    <row r="45" customFormat="false" ht="15" hidden="false" customHeight="false" outlineLevel="0" collapsed="false">
      <c r="A45" s="8" t="str">
        <f aca="false">IF('Employee List'!B45="","",'Employee List'!B45)</f>
        <v/>
      </c>
      <c r="B45" s="8" t="str">
        <f aca="false">IF($A45="","",'Employee List'!C45)</f>
        <v/>
      </c>
      <c r="C45" s="8" t="str">
        <f aca="false">IF($A45="","",'Employee List'!E45&amp;"")</f>
        <v/>
      </c>
      <c r="D45" s="8" t="str">
        <f aca="false">IF($A45="","",'Employee List'!F45&amp;"")</f>
        <v/>
      </c>
      <c r="E45" s="8" t="str">
        <f aca="false">IF($A45="","",'Employee List'!G45&amp;"")</f>
        <v/>
      </c>
      <c r="F45" s="8" t="str">
        <f aca="false">IF($A45="","",'Employee List'!D45)</f>
        <v/>
      </c>
      <c r="G45" s="38" t="str">
        <f aca="false">IF($A45="","",IF('Employee List'!I45="","",'Employee List'!I45))</f>
        <v/>
      </c>
      <c r="H45" s="38" t="str">
        <f aca="false">IF(OR($A45="",G45=""),"",G45+Settings!$C$13)</f>
        <v/>
      </c>
      <c r="I45" s="38" t="str">
        <f aca="false">IF(H45="","",MAX(H45,DATE(LvYear,1,1)))</f>
        <v/>
      </c>
      <c r="J45" s="38" t="str">
        <f aca="false">IF($A45="","",IF('Employee List'!J45="",DATE(LvYear,12,31),MIN('Employee List'!J45,DATE(LvYear,12,31))))</f>
        <v/>
      </c>
      <c r="K45" s="39" t="str">
        <f aca="false">IF(OR(I45="",J45=""),"",MAX(0,J45-I45+1))</f>
        <v/>
      </c>
      <c r="L45" s="16" t="str">
        <f aca="false">IF($A45="","",IF(AND(ISNUMBER(K45),K45=0),0,Settings!$C$10))</f>
        <v/>
      </c>
      <c r="M45" s="16" t="str">
        <f aca="false">IF($A45="","",IF(AND(ISNUMBER(K45),K45=0),0,Settings!$C$11))</f>
        <v/>
      </c>
      <c r="N45" s="40"/>
      <c r="O45" s="16" t="str">
        <f aca="false">IF($A45="","",FLOOR(Settings!$C$12/365*N(K45),0.5))</f>
        <v/>
      </c>
      <c r="P45" s="16" t="str">
        <f aca="false">IF($A45="","",IF(I45="",N(N45),FLOOR(Settings!$C$12/365*MAX(0,MIN(LvAsOf,J45)-I45+1)+N(N45),0.5)))</f>
        <v/>
      </c>
      <c r="Q45" s="16" t="str">
        <f aca="false">IF($A45="","",Settings!$C$14)</f>
        <v/>
      </c>
      <c r="R45" s="16" t="str">
        <f aca="false">IF($A45="","",SUMIFS(Attendance!$AZ$6:$AZ$2405,Attendance!$B$6:$B$2405,$A45,Attendance!$A$6:$A$2405,"&gt;="&amp;DATE(LvYear,1,1),Attendance!$A$6:$A$2405,"&lt;="&amp;DATE(LvYear,12,31)))</f>
        <v/>
      </c>
      <c r="S45" s="16" t="str">
        <f aca="false">IF($A45="","",SUMIFS(Attendance!$AY$6:$AY$2405,Attendance!$B$6:$B$2405,$A45,Attendance!$A$6:$A$2405,"&gt;="&amp;DATE(LvYear,1,1),Attendance!$A$6:$A$2405,"&lt;="&amp;DATE(LvYear,12,31)))</f>
        <v/>
      </c>
      <c r="T45" s="16" t="str">
        <f aca="false">IF($A45="","",SUMIFS(Attendance!$AX$6:$AX$2405,Attendance!$B$6:$B$2405,$A45,Attendance!$A$6:$A$2405,"&gt;="&amp;DATE(LvYear,1,1),Attendance!$A$6:$A$2405,"&lt;="&amp;DATE(LvYear,12,31)))</f>
        <v/>
      </c>
      <c r="U45" s="16" t="str">
        <f aca="false">IF($A45="","",SUMIFS(Attendance!$AW$6:$AW$2405,Attendance!$B$6:$B$2405,$A45,Attendance!$A$6:$A$2405,"&gt;="&amp;DATE(LvYear,1,1),Attendance!$A$6:$A$2405,"&lt;="&amp;DATE(LvYear,12,31)))</f>
        <v/>
      </c>
      <c r="V45" s="16" t="str">
        <f aca="false">IF($A45="","",L45-R45)</f>
        <v/>
      </c>
      <c r="W45" s="16" t="str">
        <f aca="false">IF($A45="","",M45-S45)</f>
        <v/>
      </c>
      <c r="X45" s="16" t="str">
        <f aca="false">IF($A45="","",P45-T45)</f>
        <v/>
      </c>
      <c r="Y45" s="16" t="str">
        <f aca="false">IF($A45="","",Q45-U45)</f>
        <v/>
      </c>
      <c r="Z45" s="16" t="str">
        <f aca="false">IF($A45="","",V45+W45+X45)</f>
        <v/>
      </c>
      <c r="AA45" s="16" t="str">
        <f aca="false">IF($A45="","",O45+N(N45)-T45)</f>
        <v/>
      </c>
      <c r="AB45" s="8" t="str">
        <f aca="false">IF($A45="","","CL "&amp;V45&amp;" | SL "&amp;W45&amp;" | PL "&amp;X45&amp;" | TR "&amp;Y45)</f>
        <v/>
      </c>
      <c r="AC45" s="15" t="str">
        <f aca="false">IF($A45="","",IF(F45="Exited","EXITED",IF(AND(ISNUMBER(K45),K45=0),"NOT ELIGIBLE",IF(MIN(V45:X45)&lt;0,"OVER-USED",IF(Z45&lt;=Settings!$C$15,"LOW","OK")))))</f>
        <v/>
      </c>
      <c r="AD45" s="16" t="str">
        <f aca="false">IF(OR(AC45="OVER-USED",AC45="LOW"),COUNTIF(AC$6:AC45,"OVER-USED")+COUNTIF(AC$6:AC45,"LOW"),"")</f>
        <v/>
      </c>
    </row>
    <row r="46" customFormat="false" ht="15" hidden="false" customHeight="false" outlineLevel="0" collapsed="false">
      <c r="A46" s="8" t="str">
        <f aca="false">IF('Employee List'!B46="","",'Employee List'!B46)</f>
        <v/>
      </c>
      <c r="B46" s="8" t="str">
        <f aca="false">IF($A46="","",'Employee List'!C46)</f>
        <v/>
      </c>
      <c r="C46" s="8" t="str">
        <f aca="false">IF($A46="","",'Employee List'!E46&amp;"")</f>
        <v/>
      </c>
      <c r="D46" s="8" t="str">
        <f aca="false">IF($A46="","",'Employee List'!F46&amp;"")</f>
        <v/>
      </c>
      <c r="E46" s="8" t="str">
        <f aca="false">IF($A46="","",'Employee List'!G46&amp;"")</f>
        <v/>
      </c>
      <c r="F46" s="8" t="str">
        <f aca="false">IF($A46="","",'Employee List'!D46)</f>
        <v/>
      </c>
      <c r="G46" s="38" t="str">
        <f aca="false">IF($A46="","",IF('Employee List'!I46="","",'Employee List'!I46))</f>
        <v/>
      </c>
      <c r="H46" s="38" t="str">
        <f aca="false">IF(OR($A46="",G46=""),"",G46+Settings!$C$13)</f>
        <v/>
      </c>
      <c r="I46" s="38" t="str">
        <f aca="false">IF(H46="","",MAX(H46,DATE(LvYear,1,1)))</f>
        <v/>
      </c>
      <c r="J46" s="38" t="str">
        <f aca="false">IF($A46="","",IF('Employee List'!J46="",DATE(LvYear,12,31),MIN('Employee List'!J46,DATE(LvYear,12,31))))</f>
        <v/>
      </c>
      <c r="K46" s="39" t="str">
        <f aca="false">IF(OR(I46="",J46=""),"",MAX(0,J46-I46+1))</f>
        <v/>
      </c>
      <c r="L46" s="16" t="str">
        <f aca="false">IF($A46="","",IF(AND(ISNUMBER(K46),K46=0),0,Settings!$C$10))</f>
        <v/>
      </c>
      <c r="M46" s="16" t="str">
        <f aca="false">IF($A46="","",IF(AND(ISNUMBER(K46),K46=0),0,Settings!$C$11))</f>
        <v/>
      </c>
      <c r="N46" s="40"/>
      <c r="O46" s="16" t="str">
        <f aca="false">IF($A46="","",FLOOR(Settings!$C$12/365*N(K46),0.5))</f>
        <v/>
      </c>
      <c r="P46" s="16" t="str">
        <f aca="false">IF($A46="","",IF(I46="",N(N46),FLOOR(Settings!$C$12/365*MAX(0,MIN(LvAsOf,J46)-I46+1)+N(N46),0.5)))</f>
        <v/>
      </c>
      <c r="Q46" s="16" t="str">
        <f aca="false">IF($A46="","",Settings!$C$14)</f>
        <v/>
      </c>
      <c r="R46" s="16" t="str">
        <f aca="false">IF($A46="","",SUMIFS(Attendance!$AZ$6:$AZ$2405,Attendance!$B$6:$B$2405,$A46,Attendance!$A$6:$A$2405,"&gt;="&amp;DATE(LvYear,1,1),Attendance!$A$6:$A$2405,"&lt;="&amp;DATE(LvYear,12,31)))</f>
        <v/>
      </c>
      <c r="S46" s="16" t="str">
        <f aca="false">IF($A46="","",SUMIFS(Attendance!$AY$6:$AY$2405,Attendance!$B$6:$B$2405,$A46,Attendance!$A$6:$A$2405,"&gt;="&amp;DATE(LvYear,1,1),Attendance!$A$6:$A$2405,"&lt;="&amp;DATE(LvYear,12,31)))</f>
        <v/>
      </c>
      <c r="T46" s="16" t="str">
        <f aca="false">IF($A46="","",SUMIFS(Attendance!$AX$6:$AX$2405,Attendance!$B$6:$B$2405,$A46,Attendance!$A$6:$A$2405,"&gt;="&amp;DATE(LvYear,1,1),Attendance!$A$6:$A$2405,"&lt;="&amp;DATE(LvYear,12,31)))</f>
        <v/>
      </c>
      <c r="U46" s="16" t="str">
        <f aca="false">IF($A46="","",SUMIFS(Attendance!$AW$6:$AW$2405,Attendance!$B$6:$B$2405,$A46,Attendance!$A$6:$A$2405,"&gt;="&amp;DATE(LvYear,1,1),Attendance!$A$6:$A$2405,"&lt;="&amp;DATE(LvYear,12,31)))</f>
        <v/>
      </c>
      <c r="V46" s="16" t="str">
        <f aca="false">IF($A46="","",L46-R46)</f>
        <v/>
      </c>
      <c r="W46" s="16" t="str">
        <f aca="false">IF($A46="","",M46-S46)</f>
        <v/>
      </c>
      <c r="X46" s="16" t="str">
        <f aca="false">IF($A46="","",P46-T46)</f>
        <v/>
      </c>
      <c r="Y46" s="16" t="str">
        <f aca="false">IF($A46="","",Q46-U46)</f>
        <v/>
      </c>
      <c r="Z46" s="16" t="str">
        <f aca="false">IF($A46="","",V46+W46+X46)</f>
        <v/>
      </c>
      <c r="AA46" s="16" t="str">
        <f aca="false">IF($A46="","",O46+N(N46)-T46)</f>
        <v/>
      </c>
      <c r="AB46" s="8" t="str">
        <f aca="false">IF($A46="","","CL "&amp;V46&amp;" | SL "&amp;W46&amp;" | PL "&amp;X46&amp;" | TR "&amp;Y46)</f>
        <v/>
      </c>
      <c r="AC46" s="15" t="str">
        <f aca="false">IF($A46="","",IF(F46="Exited","EXITED",IF(AND(ISNUMBER(K46),K46=0),"NOT ELIGIBLE",IF(MIN(V46:X46)&lt;0,"OVER-USED",IF(Z46&lt;=Settings!$C$15,"LOW","OK")))))</f>
        <v/>
      </c>
      <c r="AD46" s="16" t="str">
        <f aca="false">IF(OR(AC46="OVER-USED",AC46="LOW"),COUNTIF(AC$6:AC46,"OVER-USED")+COUNTIF(AC$6:AC46,"LOW"),"")</f>
        <v/>
      </c>
    </row>
    <row r="47" customFormat="false" ht="15" hidden="false" customHeight="false" outlineLevel="0" collapsed="false">
      <c r="A47" s="8" t="str">
        <f aca="false">IF('Employee List'!B47="","",'Employee List'!B47)</f>
        <v/>
      </c>
      <c r="B47" s="8" t="str">
        <f aca="false">IF($A47="","",'Employee List'!C47)</f>
        <v/>
      </c>
      <c r="C47" s="8" t="str">
        <f aca="false">IF($A47="","",'Employee List'!E47&amp;"")</f>
        <v/>
      </c>
      <c r="D47" s="8" t="str">
        <f aca="false">IF($A47="","",'Employee List'!F47&amp;"")</f>
        <v/>
      </c>
      <c r="E47" s="8" t="str">
        <f aca="false">IF($A47="","",'Employee List'!G47&amp;"")</f>
        <v/>
      </c>
      <c r="F47" s="8" t="str">
        <f aca="false">IF($A47="","",'Employee List'!D47)</f>
        <v/>
      </c>
      <c r="G47" s="38" t="str">
        <f aca="false">IF($A47="","",IF('Employee List'!I47="","",'Employee List'!I47))</f>
        <v/>
      </c>
      <c r="H47" s="38" t="str">
        <f aca="false">IF(OR($A47="",G47=""),"",G47+Settings!$C$13)</f>
        <v/>
      </c>
      <c r="I47" s="38" t="str">
        <f aca="false">IF(H47="","",MAX(H47,DATE(LvYear,1,1)))</f>
        <v/>
      </c>
      <c r="J47" s="38" t="str">
        <f aca="false">IF($A47="","",IF('Employee List'!J47="",DATE(LvYear,12,31),MIN('Employee List'!J47,DATE(LvYear,12,31))))</f>
        <v/>
      </c>
      <c r="K47" s="39" t="str">
        <f aca="false">IF(OR(I47="",J47=""),"",MAX(0,J47-I47+1))</f>
        <v/>
      </c>
      <c r="L47" s="16" t="str">
        <f aca="false">IF($A47="","",IF(AND(ISNUMBER(K47),K47=0),0,Settings!$C$10))</f>
        <v/>
      </c>
      <c r="M47" s="16" t="str">
        <f aca="false">IF($A47="","",IF(AND(ISNUMBER(K47),K47=0),0,Settings!$C$11))</f>
        <v/>
      </c>
      <c r="N47" s="40"/>
      <c r="O47" s="16" t="str">
        <f aca="false">IF($A47="","",FLOOR(Settings!$C$12/365*N(K47),0.5))</f>
        <v/>
      </c>
      <c r="P47" s="16" t="str">
        <f aca="false">IF($A47="","",IF(I47="",N(N47),FLOOR(Settings!$C$12/365*MAX(0,MIN(LvAsOf,J47)-I47+1)+N(N47),0.5)))</f>
        <v/>
      </c>
      <c r="Q47" s="16" t="str">
        <f aca="false">IF($A47="","",Settings!$C$14)</f>
        <v/>
      </c>
      <c r="R47" s="16" t="str">
        <f aca="false">IF($A47="","",SUMIFS(Attendance!$AZ$6:$AZ$2405,Attendance!$B$6:$B$2405,$A47,Attendance!$A$6:$A$2405,"&gt;="&amp;DATE(LvYear,1,1),Attendance!$A$6:$A$2405,"&lt;="&amp;DATE(LvYear,12,31)))</f>
        <v/>
      </c>
      <c r="S47" s="16" t="str">
        <f aca="false">IF($A47="","",SUMIFS(Attendance!$AY$6:$AY$2405,Attendance!$B$6:$B$2405,$A47,Attendance!$A$6:$A$2405,"&gt;="&amp;DATE(LvYear,1,1),Attendance!$A$6:$A$2405,"&lt;="&amp;DATE(LvYear,12,31)))</f>
        <v/>
      </c>
      <c r="T47" s="16" t="str">
        <f aca="false">IF($A47="","",SUMIFS(Attendance!$AX$6:$AX$2405,Attendance!$B$6:$B$2405,$A47,Attendance!$A$6:$A$2405,"&gt;="&amp;DATE(LvYear,1,1),Attendance!$A$6:$A$2405,"&lt;="&amp;DATE(LvYear,12,31)))</f>
        <v/>
      </c>
      <c r="U47" s="16" t="str">
        <f aca="false">IF($A47="","",SUMIFS(Attendance!$AW$6:$AW$2405,Attendance!$B$6:$B$2405,$A47,Attendance!$A$6:$A$2405,"&gt;="&amp;DATE(LvYear,1,1),Attendance!$A$6:$A$2405,"&lt;="&amp;DATE(LvYear,12,31)))</f>
        <v/>
      </c>
      <c r="V47" s="16" t="str">
        <f aca="false">IF($A47="","",L47-R47)</f>
        <v/>
      </c>
      <c r="W47" s="16" t="str">
        <f aca="false">IF($A47="","",M47-S47)</f>
        <v/>
      </c>
      <c r="X47" s="16" t="str">
        <f aca="false">IF($A47="","",P47-T47)</f>
        <v/>
      </c>
      <c r="Y47" s="16" t="str">
        <f aca="false">IF($A47="","",Q47-U47)</f>
        <v/>
      </c>
      <c r="Z47" s="16" t="str">
        <f aca="false">IF($A47="","",V47+W47+X47)</f>
        <v/>
      </c>
      <c r="AA47" s="16" t="str">
        <f aca="false">IF($A47="","",O47+N(N47)-T47)</f>
        <v/>
      </c>
      <c r="AB47" s="8" t="str">
        <f aca="false">IF($A47="","","CL "&amp;V47&amp;" | SL "&amp;W47&amp;" | PL "&amp;X47&amp;" | TR "&amp;Y47)</f>
        <v/>
      </c>
      <c r="AC47" s="15" t="str">
        <f aca="false">IF($A47="","",IF(F47="Exited","EXITED",IF(AND(ISNUMBER(K47),K47=0),"NOT ELIGIBLE",IF(MIN(V47:X47)&lt;0,"OVER-USED",IF(Z47&lt;=Settings!$C$15,"LOW","OK")))))</f>
        <v/>
      </c>
      <c r="AD47" s="16" t="str">
        <f aca="false">IF(OR(AC47="OVER-USED",AC47="LOW"),COUNTIF(AC$6:AC47,"OVER-USED")+COUNTIF(AC$6:AC47,"LOW"),"")</f>
        <v/>
      </c>
    </row>
    <row r="48" customFormat="false" ht="15" hidden="false" customHeight="false" outlineLevel="0" collapsed="false">
      <c r="A48" s="8" t="str">
        <f aca="false">IF('Employee List'!B48="","",'Employee List'!B48)</f>
        <v/>
      </c>
      <c r="B48" s="8" t="str">
        <f aca="false">IF($A48="","",'Employee List'!C48)</f>
        <v/>
      </c>
      <c r="C48" s="8" t="str">
        <f aca="false">IF($A48="","",'Employee List'!E48&amp;"")</f>
        <v/>
      </c>
      <c r="D48" s="8" t="str">
        <f aca="false">IF($A48="","",'Employee List'!F48&amp;"")</f>
        <v/>
      </c>
      <c r="E48" s="8" t="str">
        <f aca="false">IF($A48="","",'Employee List'!G48&amp;"")</f>
        <v/>
      </c>
      <c r="F48" s="8" t="str">
        <f aca="false">IF($A48="","",'Employee List'!D48)</f>
        <v/>
      </c>
      <c r="G48" s="38" t="str">
        <f aca="false">IF($A48="","",IF('Employee List'!I48="","",'Employee List'!I48))</f>
        <v/>
      </c>
      <c r="H48" s="38" t="str">
        <f aca="false">IF(OR($A48="",G48=""),"",G48+Settings!$C$13)</f>
        <v/>
      </c>
      <c r="I48" s="38" t="str">
        <f aca="false">IF(H48="","",MAX(H48,DATE(LvYear,1,1)))</f>
        <v/>
      </c>
      <c r="J48" s="38" t="str">
        <f aca="false">IF($A48="","",IF('Employee List'!J48="",DATE(LvYear,12,31),MIN('Employee List'!J48,DATE(LvYear,12,31))))</f>
        <v/>
      </c>
      <c r="K48" s="39" t="str">
        <f aca="false">IF(OR(I48="",J48=""),"",MAX(0,J48-I48+1))</f>
        <v/>
      </c>
      <c r="L48" s="16" t="str">
        <f aca="false">IF($A48="","",IF(AND(ISNUMBER(K48),K48=0),0,Settings!$C$10))</f>
        <v/>
      </c>
      <c r="M48" s="16" t="str">
        <f aca="false">IF($A48="","",IF(AND(ISNUMBER(K48),K48=0),0,Settings!$C$11))</f>
        <v/>
      </c>
      <c r="N48" s="40"/>
      <c r="O48" s="16" t="str">
        <f aca="false">IF($A48="","",FLOOR(Settings!$C$12/365*N(K48),0.5))</f>
        <v/>
      </c>
      <c r="P48" s="16" t="str">
        <f aca="false">IF($A48="","",IF(I48="",N(N48),FLOOR(Settings!$C$12/365*MAX(0,MIN(LvAsOf,J48)-I48+1)+N(N48),0.5)))</f>
        <v/>
      </c>
      <c r="Q48" s="16" t="str">
        <f aca="false">IF($A48="","",Settings!$C$14)</f>
        <v/>
      </c>
      <c r="R48" s="16" t="str">
        <f aca="false">IF($A48="","",SUMIFS(Attendance!$AZ$6:$AZ$2405,Attendance!$B$6:$B$2405,$A48,Attendance!$A$6:$A$2405,"&gt;="&amp;DATE(LvYear,1,1),Attendance!$A$6:$A$2405,"&lt;="&amp;DATE(LvYear,12,31)))</f>
        <v/>
      </c>
      <c r="S48" s="16" t="str">
        <f aca="false">IF($A48="","",SUMIFS(Attendance!$AY$6:$AY$2405,Attendance!$B$6:$B$2405,$A48,Attendance!$A$6:$A$2405,"&gt;="&amp;DATE(LvYear,1,1),Attendance!$A$6:$A$2405,"&lt;="&amp;DATE(LvYear,12,31)))</f>
        <v/>
      </c>
      <c r="T48" s="16" t="str">
        <f aca="false">IF($A48="","",SUMIFS(Attendance!$AX$6:$AX$2405,Attendance!$B$6:$B$2405,$A48,Attendance!$A$6:$A$2405,"&gt;="&amp;DATE(LvYear,1,1),Attendance!$A$6:$A$2405,"&lt;="&amp;DATE(LvYear,12,31)))</f>
        <v/>
      </c>
      <c r="U48" s="16" t="str">
        <f aca="false">IF($A48="","",SUMIFS(Attendance!$AW$6:$AW$2405,Attendance!$B$6:$B$2405,$A48,Attendance!$A$6:$A$2405,"&gt;="&amp;DATE(LvYear,1,1),Attendance!$A$6:$A$2405,"&lt;="&amp;DATE(LvYear,12,31)))</f>
        <v/>
      </c>
      <c r="V48" s="16" t="str">
        <f aca="false">IF($A48="","",L48-R48)</f>
        <v/>
      </c>
      <c r="W48" s="16" t="str">
        <f aca="false">IF($A48="","",M48-S48)</f>
        <v/>
      </c>
      <c r="X48" s="16" t="str">
        <f aca="false">IF($A48="","",P48-T48)</f>
        <v/>
      </c>
      <c r="Y48" s="16" t="str">
        <f aca="false">IF($A48="","",Q48-U48)</f>
        <v/>
      </c>
      <c r="Z48" s="16" t="str">
        <f aca="false">IF($A48="","",V48+W48+X48)</f>
        <v/>
      </c>
      <c r="AA48" s="16" t="str">
        <f aca="false">IF($A48="","",O48+N(N48)-T48)</f>
        <v/>
      </c>
      <c r="AB48" s="8" t="str">
        <f aca="false">IF($A48="","","CL "&amp;V48&amp;" | SL "&amp;W48&amp;" | PL "&amp;X48&amp;" | TR "&amp;Y48)</f>
        <v/>
      </c>
      <c r="AC48" s="15" t="str">
        <f aca="false">IF($A48="","",IF(F48="Exited","EXITED",IF(AND(ISNUMBER(K48),K48=0),"NOT ELIGIBLE",IF(MIN(V48:X48)&lt;0,"OVER-USED",IF(Z48&lt;=Settings!$C$15,"LOW","OK")))))</f>
        <v/>
      </c>
      <c r="AD48" s="16" t="str">
        <f aca="false">IF(OR(AC48="OVER-USED",AC48="LOW"),COUNTIF(AC$6:AC48,"OVER-USED")+COUNTIF(AC$6:AC48,"LOW"),"")</f>
        <v/>
      </c>
    </row>
    <row r="49" customFormat="false" ht="15" hidden="false" customHeight="false" outlineLevel="0" collapsed="false">
      <c r="A49" s="8" t="str">
        <f aca="false">IF('Employee List'!B49="","",'Employee List'!B49)</f>
        <v/>
      </c>
      <c r="B49" s="8" t="str">
        <f aca="false">IF($A49="","",'Employee List'!C49)</f>
        <v/>
      </c>
      <c r="C49" s="8" t="str">
        <f aca="false">IF($A49="","",'Employee List'!E49&amp;"")</f>
        <v/>
      </c>
      <c r="D49" s="8" t="str">
        <f aca="false">IF($A49="","",'Employee List'!F49&amp;"")</f>
        <v/>
      </c>
      <c r="E49" s="8" t="str">
        <f aca="false">IF($A49="","",'Employee List'!G49&amp;"")</f>
        <v/>
      </c>
      <c r="F49" s="8" t="str">
        <f aca="false">IF($A49="","",'Employee List'!D49)</f>
        <v/>
      </c>
      <c r="G49" s="38" t="str">
        <f aca="false">IF($A49="","",IF('Employee List'!I49="","",'Employee List'!I49))</f>
        <v/>
      </c>
      <c r="H49" s="38" t="str">
        <f aca="false">IF(OR($A49="",G49=""),"",G49+Settings!$C$13)</f>
        <v/>
      </c>
      <c r="I49" s="38" t="str">
        <f aca="false">IF(H49="","",MAX(H49,DATE(LvYear,1,1)))</f>
        <v/>
      </c>
      <c r="J49" s="38" t="str">
        <f aca="false">IF($A49="","",IF('Employee List'!J49="",DATE(LvYear,12,31),MIN('Employee List'!J49,DATE(LvYear,12,31))))</f>
        <v/>
      </c>
      <c r="K49" s="39" t="str">
        <f aca="false">IF(OR(I49="",J49=""),"",MAX(0,J49-I49+1))</f>
        <v/>
      </c>
      <c r="L49" s="16" t="str">
        <f aca="false">IF($A49="","",IF(AND(ISNUMBER(K49),K49=0),0,Settings!$C$10))</f>
        <v/>
      </c>
      <c r="M49" s="16" t="str">
        <f aca="false">IF($A49="","",IF(AND(ISNUMBER(K49),K49=0),0,Settings!$C$11))</f>
        <v/>
      </c>
      <c r="N49" s="40"/>
      <c r="O49" s="16" t="str">
        <f aca="false">IF($A49="","",FLOOR(Settings!$C$12/365*N(K49),0.5))</f>
        <v/>
      </c>
      <c r="P49" s="16" t="str">
        <f aca="false">IF($A49="","",IF(I49="",N(N49),FLOOR(Settings!$C$12/365*MAX(0,MIN(LvAsOf,J49)-I49+1)+N(N49),0.5)))</f>
        <v/>
      </c>
      <c r="Q49" s="16" t="str">
        <f aca="false">IF($A49="","",Settings!$C$14)</f>
        <v/>
      </c>
      <c r="R49" s="16" t="str">
        <f aca="false">IF($A49="","",SUMIFS(Attendance!$AZ$6:$AZ$2405,Attendance!$B$6:$B$2405,$A49,Attendance!$A$6:$A$2405,"&gt;="&amp;DATE(LvYear,1,1),Attendance!$A$6:$A$2405,"&lt;="&amp;DATE(LvYear,12,31)))</f>
        <v/>
      </c>
      <c r="S49" s="16" t="str">
        <f aca="false">IF($A49="","",SUMIFS(Attendance!$AY$6:$AY$2405,Attendance!$B$6:$B$2405,$A49,Attendance!$A$6:$A$2405,"&gt;="&amp;DATE(LvYear,1,1),Attendance!$A$6:$A$2405,"&lt;="&amp;DATE(LvYear,12,31)))</f>
        <v/>
      </c>
      <c r="T49" s="16" t="str">
        <f aca="false">IF($A49="","",SUMIFS(Attendance!$AX$6:$AX$2405,Attendance!$B$6:$B$2405,$A49,Attendance!$A$6:$A$2405,"&gt;="&amp;DATE(LvYear,1,1),Attendance!$A$6:$A$2405,"&lt;="&amp;DATE(LvYear,12,31)))</f>
        <v/>
      </c>
      <c r="U49" s="16" t="str">
        <f aca="false">IF($A49="","",SUMIFS(Attendance!$AW$6:$AW$2405,Attendance!$B$6:$B$2405,$A49,Attendance!$A$6:$A$2405,"&gt;="&amp;DATE(LvYear,1,1),Attendance!$A$6:$A$2405,"&lt;="&amp;DATE(LvYear,12,31)))</f>
        <v/>
      </c>
      <c r="V49" s="16" t="str">
        <f aca="false">IF($A49="","",L49-R49)</f>
        <v/>
      </c>
      <c r="W49" s="16" t="str">
        <f aca="false">IF($A49="","",M49-S49)</f>
        <v/>
      </c>
      <c r="X49" s="16" t="str">
        <f aca="false">IF($A49="","",P49-T49)</f>
        <v/>
      </c>
      <c r="Y49" s="16" t="str">
        <f aca="false">IF($A49="","",Q49-U49)</f>
        <v/>
      </c>
      <c r="Z49" s="16" t="str">
        <f aca="false">IF($A49="","",V49+W49+X49)</f>
        <v/>
      </c>
      <c r="AA49" s="16" t="str">
        <f aca="false">IF($A49="","",O49+N(N49)-T49)</f>
        <v/>
      </c>
      <c r="AB49" s="8" t="str">
        <f aca="false">IF($A49="","","CL "&amp;V49&amp;" | SL "&amp;W49&amp;" | PL "&amp;X49&amp;" | TR "&amp;Y49)</f>
        <v/>
      </c>
      <c r="AC49" s="15" t="str">
        <f aca="false">IF($A49="","",IF(F49="Exited","EXITED",IF(AND(ISNUMBER(K49),K49=0),"NOT ELIGIBLE",IF(MIN(V49:X49)&lt;0,"OVER-USED",IF(Z49&lt;=Settings!$C$15,"LOW","OK")))))</f>
        <v/>
      </c>
      <c r="AD49" s="16" t="str">
        <f aca="false">IF(OR(AC49="OVER-USED",AC49="LOW"),COUNTIF(AC$6:AC49,"OVER-USED")+COUNTIF(AC$6:AC49,"LOW"),"")</f>
        <v/>
      </c>
    </row>
    <row r="50" customFormat="false" ht="15" hidden="false" customHeight="false" outlineLevel="0" collapsed="false">
      <c r="A50" s="8" t="str">
        <f aca="false">IF('Employee List'!B50="","",'Employee List'!B50)</f>
        <v/>
      </c>
      <c r="B50" s="8" t="str">
        <f aca="false">IF($A50="","",'Employee List'!C50)</f>
        <v/>
      </c>
      <c r="C50" s="8" t="str">
        <f aca="false">IF($A50="","",'Employee List'!E50&amp;"")</f>
        <v/>
      </c>
      <c r="D50" s="8" t="str">
        <f aca="false">IF($A50="","",'Employee List'!F50&amp;"")</f>
        <v/>
      </c>
      <c r="E50" s="8" t="str">
        <f aca="false">IF($A50="","",'Employee List'!G50&amp;"")</f>
        <v/>
      </c>
      <c r="F50" s="8" t="str">
        <f aca="false">IF($A50="","",'Employee List'!D50)</f>
        <v/>
      </c>
      <c r="G50" s="38" t="str">
        <f aca="false">IF($A50="","",IF('Employee List'!I50="","",'Employee List'!I50))</f>
        <v/>
      </c>
      <c r="H50" s="38" t="str">
        <f aca="false">IF(OR($A50="",G50=""),"",G50+Settings!$C$13)</f>
        <v/>
      </c>
      <c r="I50" s="38" t="str">
        <f aca="false">IF(H50="","",MAX(H50,DATE(LvYear,1,1)))</f>
        <v/>
      </c>
      <c r="J50" s="38" t="str">
        <f aca="false">IF($A50="","",IF('Employee List'!J50="",DATE(LvYear,12,31),MIN('Employee List'!J50,DATE(LvYear,12,31))))</f>
        <v/>
      </c>
      <c r="K50" s="39" t="str">
        <f aca="false">IF(OR(I50="",J50=""),"",MAX(0,J50-I50+1))</f>
        <v/>
      </c>
      <c r="L50" s="16" t="str">
        <f aca="false">IF($A50="","",IF(AND(ISNUMBER(K50),K50=0),0,Settings!$C$10))</f>
        <v/>
      </c>
      <c r="M50" s="16" t="str">
        <f aca="false">IF($A50="","",IF(AND(ISNUMBER(K50),K50=0),0,Settings!$C$11))</f>
        <v/>
      </c>
      <c r="N50" s="40"/>
      <c r="O50" s="16" t="str">
        <f aca="false">IF($A50="","",FLOOR(Settings!$C$12/365*N(K50),0.5))</f>
        <v/>
      </c>
      <c r="P50" s="16" t="str">
        <f aca="false">IF($A50="","",IF(I50="",N(N50),FLOOR(Settings!$C$12/365*MAX(0,MIN(LvAsOf,J50)-I50+1)+N(N50),0.5)))</f>
        <v/>
      </c>
      <c r="Q50" s="16" t="str">
        <f aca="false">IF($A50="","",Settings!$C$14)</f>
        <v/>
      </c>
      <c r="R50" s="16" t="str">
        <f aca="false">IF($A50="","",SUMIFS(Attendance!$AZ$6:$AZ$2405,Attendance!$B$6:$B$2405,$A50,Attendance!$A$6:$A$2405,"&gt;="&amp;DATE(LvYear,1,1),Attendance!$A$6:$A$2405,"&lt;="&amp;DATE(LvYear,12,31)))</f>
        <v/>
      </c>
      <c r="S50" s="16" t="str">
        <f aca="false">IF($A50="","",SUMIFS(Attendance!$AY$6:$AY$2405,Attendance!$B$6:$B$2405,$A50,Attendance!$A$6:$A$2405,"&gt;="&amp;DATE(LvYear,1,1),Attendance!$A$6:$A$2405,"&lt;="&amp;DATE(LvYear,12,31)))</f>
        <v/>
      </c>
      <c r="T50" s="16" t="str">
        <f aca="false">IF($A50="","",SUMIFS(Attendance!$AX$6:$AX$2405,Attendance!$B$6:$B$2405,$A50,Attendance!$A$6:$A$2405,"&gt;="&amp;DATE(LvYear,1,1),Attendance!$A$6:$A$2405,"&lt;="&amp;DATE(LvYear,12,31)))</f>
        <v/>
      </c>
      <c r="U50" s="16" t="str">
        <f aca="false">IF($A50="","",SUMIFS(Attendance!$AW$6:$AW$2405,Attendance!$B$6:$B$2405,$A50,Attendance!$A$6:$A$2405,"&gt;="&amp;DATE(LvYear,1,1),Attendance!$A$6:$A$2405,"&lt;="&amp;DATE(LvYear,12,31)))</f>
        <v/>
      </c>
      <c r="V50" s="16" t="str">
        <f aca="false">IF($A50="","",L50-R50)</f>
        <v/>
      </c>
      <c r="W50" s="16" t="str">
        <f aca="false">IF($A50="","",M50-S50)</f>
        <v/>
      </c>
      <c r="X50" s="16" t="str">
        <f aca="false">IF($A50="","",P50-T50)</f>
        <v/>
      </c>
      <c r="Y50" s="16" t="str">
        <f aca="false">IF($A50="","",Q50-U50)</f>
        <v/>
      </c>
      <c r="Z50" s="16" t="str">
        <f aca="false">IF($A50="","",V50+W50+X50)</f>
        <v/>
      </c>
      <c r="AA50" s="16" t="str">
        <f aca="false">IF($A50="","",O50+N(N50)-T50)</f>
        <v/>
      </c>
      <c r="AB50" s="8" t="str">
        <f aca="false">IF($A50="","","CL "&amp;V50&amp;" | SL "&amp;W50&amp;" | PL "&amp;X50&amp;" | TR "&amp;Y50)</f>
        <v/>
      </c>
      <c r="AC50" s="15" t="str">
        <f aca="false">IF($A50="","",IF(F50="Exited","EXITED",IF(AND(ISNUMBER(K50),K50=0),"NOT ELIGIBLE",IF(MIN(V50:X50)&lt;0,"OVER-USED",IF(Z50&lt;=Settings!$C$15,"LOW","OK")))))</f>
        <v/>
      </c>
      <c r="AD50" s="16" t="str">
        <f aca="false">IF(OR(AC50="OVER-USED",AC50="LOW"),COUNTIF(AC$6:AC50,"OVER-USED")+COUNTIF(AC$6:AC50,"LOW"),"")</f>
        <v/>
      </c>
    </row>
    <row r="51" customFormat="false" ht="15" hidden="false" customHeight="false" outlineLevel="0" collapsed="false">
      <c r="A51" s="8" t="str">
        <f aca="false">IF('Employee List'!B51="","",'Employee List'!B51)</f>
        <v/>
      </c>
      <c r="B51" s="8" t="str">
        <f aca="false">IF($A51="","",'Employee List'!C51)</f>
        <v/>
      </c>
      <c r="C51" s="8" t="str">
        <f aca="false">IF($A51="","",'Employee List'!E51&amp;"")</f>
        <v/>
      </c>
      <c r="D51" s="8" t="str">
        <f aca="false">IF($A51="","",'Employee List'!F51&amp;"")</f>
        <v/>
      </c>
      <c r="E51" s="8" t="str">
        <f aca="false">IF($A51="","",'Employee List'!G51&amp;"")</f>
        <v/>
      </c>
      <c r="F51" s="8" t="str">
        <f aca="false">IF($A51="","",'Employee List'!D51)</f>
        <v/>
      </c>
      <c r="G51" s="38" t="str">
        <f aca="false">IF($A51="","",IF('Employee List'!I51="","",'Employee List'!I51))</f>
        <v/>
      </c>
      <c r="H51" s="38" t="str">
        <f aca="false">IF(OR($A51="",G51=""),"",G51+Settings!$C$13)</f>
        <v/>
      </c>
      <c r="I51" s="38" t="str">
        <f aca="false">IF(H51="","",MAX(H51,DATE(LvYear,1,1)))</f>
        <v/>
      </c>
      <c r="J51" s="38" t="str">
        <f aca="false">IF($A51="","",IF('Employee List'!J51="",DATE(LvYear,12,31),MIN('Employee List'!J51,DATE(LvYear,12,31))))</f>
        <v/>
      </c>
      <c r="K51" s="39" t="str">
        <f aca="false">IF(OR(I51="",J51=""),"",MAX(0,J51-I51+1))</f>
        <v/>
      </c>
      <c r="L51" s="16" t="str">
        <f aca="false">IF($A51="","",IF(AND(ISNUMBER(K51),K51=0),0,Settings!$C$10))</f>
        <v/>
      </c>
      <c r="M51" s="16" t="str">
        <f aca="false">IF($A51="","",IF(AND(ISNUMBER(K51),K51=0),0,Settings!$C$11))</f>
        <v/>
      </c>
      <c r="N51" s="40"/>
      <c r="O51" s="16" t="str">
        <f aca="false">IF($A51="","",FLOOR(Settings!$C$12/365*N(K51),0.5))</f>
        <v/>
      </c>
      <c r="P51" s="16" t="str">
        <f aca="false">IF($A51="","",IF(I51="",N(N51),FLOOR(Settings!$C$12/365*MAX(0,MIN(LvAsOf,J51)-I51+1)+N(N51),0.5)))</f>
        <v/>
      </c>
      <c r="Q51" s="16" t="str">
        <f aca="false">IF($A51="","",Settings!$C$14)</f>
        <v/>
      </c>
      <c r="R51" s="16" t="str">
        <f aca="false">IF($A51="","",SUMIFS(Attendance!$AZ$6:$AZ$2405,Attendance!$B$6:$B$2405,$A51,Attendance!$A$6:$A$2405,"&gt;="&amp;DATE(LvYear,1,1),Attendance!$A$6:$A$2405,"&lt;="&amp;DATE(LvYear,12,31)))</f>
        <v/>
      </c>
      <c r="S51" s="16" t="str">
        <f aca="false">IF($A51="","",SUMIFS(Attendance!$AY$6:$AY$2405,Attendance!$B$6:$B$2405,$A51,Attendance!$A$6:$A$2405,"&gt;="&amp;DATE(LvYear,1,1),Attendance!$A$6:$A$2405,"&lt;="&amp;DATE(LvYear,12,31)))</f>
        <v/>
      </c>
      <c r="T51" s="16" t="str">
        <f aca="false">IF($A51="","",SUMIFS(Attendance!$AX$6:$AX$2405,Attendance!$B$6:$B$2405,$A51,Attendance!$A$6:$A$2405,"&gt;="&amp;DATE(LvYear,1,1),Attendance!$A$6:$A$2405,"&lt;="&amp;DATE(LvYear,12,31)))</f>
        <v/>
      </c>
      <c r="U51" s="16" t="str">
        <f aca="false">IF($A51="","",SUMIFS(Attendance!$AW$6:$AW$2405,Attendance!$B$6:$B$2405,$A51,Attendance!$A$6:$A$2405,"&gt;="&amp;DATE(LvYear,1,1),Attendance!$A$6:$A$2405,"&lt;="&amp;DATE(LvYear,12,31)))</f>
        <v/>
      </c>
      <c r="V51" s="16" t="str">
        <f aca="false">IF($A51="","",L51-R51)</f>
        <v/>
      </c>
      <c r="W51" s="16" t="str">
        <f aca="false">IF($A51="","",M51-S51)</f>
        <v/>
      </c>
      <c r="X51" s="16" t="str">
        <f aca="false">IF($A51="","",P51-T51)</f>
        <v/>
      </c>
      <c r="Y51" s="16" t="str">
        <f aca="false">IF($A51="","",Q51-U51)</f>
        <v/>
      </c>
      <c r="Z51" s="16" t="str">
        <f aca="false">IF($A51="","",V51+W51+X51)</f>
        <v/>
      </c>
      <c r="AA51" s="16" t="str">
        <f aca="false">IF($A51="","",O51+N(N51)-T51)</f>
        <v/>
      </c>
      <c r="AB51" s="8" t="str">
        <f aca="false">IF($A51="","","CL "&amp;V51&amp;" | SL "&amp;W51&amp;" | PL "&amp;X51&amp;" | TR "&amp;Y51)</f>
        <v/>
      </c>
      <c r="AC51" s="15" t="str">
        <f aca="false">IF($A51="","",IF(F51="Exited","EXITED",IF(AND(ISNUMBER(K51),K51=0),"NOT ELIGIBLE",IF(MIN(V51:X51)&lt;0,"OVER-USED",IF(Z51&lt;=Settings!$C$15,"LOW","OK")))))</f>
        <v/>
      </c>
      <c r="AD51" s="16" t="str">
        <f aca="false">IF(OR(AC51="OVER-USED",AC51="LOW"),COUNTIF(AC$6:AC51,"OVER-USED")+COUNTIF(AC$6:AC51,"LOW"),"")</f>
        <v/>
      </c>
    </row>
    <row r="52" customFormat="false" ht="15" hidden="false" customHeight="false" outlineLevel="0" collapsed="false">
      <c r="A52" s="8" t="str">
        <f aca="false">IF('Employee List'!B52="","",'Employee List'!B52)</f>
        <v/>
      </c>
      <c r="B52" s="8" t="str">
        <f aca="false">IF($A52="","",'Employee List'!C52)</f>
        <v/>
      </c>
      <c r="C52" s="8" t="str">
        <f aca="false">IF($A52="","",'Employee List'!E52&amp;"")</f>
        <v/>
      </c>
      <c r="D52" s="8" t="str">
        <f aca="false">IF($A52="","",'Employee List'!F52&amp;"")</f>
        <v/>
      </c>
      <c r="E52" s="8" t="str">
        <f aca="false">IF($A52="","",'Employee List'!G52&amp;"")</f>
        <v/>
      </c>
      <c r="F52" s="8" t="str">
        <f aca="false">IF($A52="","",'Employee List'!D52)</f>
        <v/>
      </c>
      <c r="G52" s="38" t="str">
        <f aca="false">IF($A52="","",IF('Employee List'!I52="","",'Employee List'!I52))</f>
        <v/>
      </c>
      <c r="H52" s="38" t="str">
        <f aca="false">IF(OR($A52="",G52=""),"",G52+Settings!$C$13)</f>
        <v/>
      </c>
      <c r="I52" s="38" t="str">
        <f aca="false">IF(H52="","",MAX(H52,DATE(LvYear,1,1)))</f>
        <v/>
      </c>
      <c r="J52" s="38" t="str">
        <f aca="false">IF($A52="","",IF('Employee List'!J52="",DATE(LvYear,12,31),MIN('Employee List'!J52,DATE(LvYear,12,31))))</f>
        <v/>
      </c>
      <c r="K52" s="39" t="str">
        <f aca="false">IF(OR(I52="",J52=""),"",MAX(0,J52-I52+1))</f>
        <v/>
      </c>
      <c r="L52" s="16" t="str">
        <f aca="false">IF($A52="","",IF(AND(ISNUMBER(K52),K52=0),0,Settings!$C$10))</f>
        <v/>
      </c>
      <c r="M52" s="16" t="str">
        <f aca="false">IF($A52="","",IF(AND(ISNUMBER(K52),K52=0),0,Settings!$C$11))</f>
        <v/>
      </c>
      <c r="N52" s="40"/>
      <c r="O52" s="16" t="str">
        <f aca="false">IF($A52="","",FLOOR(Settings!$C$12/365*N(K52),0.5))</f>
        <v/>
      </c>
      <c r="P52" s="16" t="str">
        <f aca="false">IF($A52="","",IF(I52="",N(N52),FLOOR(Settings!$C$12/365*MAX(0,MIN(LvAsOf,J52)-I52+1)+N(N52),0.5)))</f>
        <v/>
      </c>
      <c r="Q52" s="16" t="str">
        <f aca="false">IF($A52="","",Settings!$C$14)</f>
        <v/>
      </c>
      <c r="R52" s="16" t="str">
        <f aca="false">IF($A52="","",SUMIFS(Attendance!$AZ$6:$AZ$2405,Attendance!$B$6:$B$2405,$A52,Attendance!$A$6:$A$2405,"&gt;="&amp;DATE(LvYear,1,1),Attendance!$A$6:$A$2405,"&lt;="&amp;DATE(LvYear,12,31)))</f>
        <v/>
      </c>
      <c r="S52" s="16" t="str">
        <f aca="false">IF($A52="","",SUMIFS(Attendance!$AY$6:$AY$2405,Attendance!$B$6:$B$2405,$A52,Attendance!$A$6:$A$2405,"&gt;="&amp;DATE(LvYear,1,1),Attendance!$A$6:$A$2405,"&lt;="&amp;DATE(LvYear,12,31)))</f>
        <v/>
      </c>
      <c r="T52" s="16" t="str">
        <f aca="false">IF($A52="","",SUMIFS(Attendance!$AX$6:$AX$2405,Attendance!$B$6:$B$2405,$A52,Attendance!$A$6:$A$2405,"&gt;="&amp;DATE(LvYear,1,1),Attendance!$A$6:$A$2405,"&lt;="&amp;DATE(LvYear,12,31)))</f>
        <v/>
      </c>
      <c r="U52" s="16" t="str">
        <f aca="false">IF($A52="","",SUMIFS(Attendance!$AW$6:$AW$2405,Attendance!$B$6:$B$2405,$A52,Attendance!$A$6:$A$2405,"&gt;="&amp;DATE(LvYear,1,1),Attendance!$A$6:$A$2405,"&lt;="&amp;DATE(LvYear,12,31)))</f>
        <v/>
      </c>
      <c r="V52" s="16" t="str">
        <f aca="false">IF($A52="","",L52-R52)</f>
        <v/>
      </c>
      <c r="W52" s="16" t="str">
        <f aca="false">IF($A52="","",M52-S52)</f>
        <v/>
      </c>
      <c r="X52" s="16" t="str">
        <f aca="false">IF($A52="","",P52-T52)</f>
        <v/>
      </c>
      <c r="Y52" s="16" t="str">
        <f aca="false">IF($A52="","",Q52-U52)</f>
        <v/>
      </c>
      <c r="Z52" s="16" t="str">
        <f aca="false">IF($A52="","",V52+W52+X52)</f>
        <v/>
      </c>
      <c r="AA52" s="16" t="str">
        <f aca="false">IF($A52="","",O52+N(N52)-T52)</f>
        <v/>
      </c>
      <c r="AB52" s="8" t="str">
        <f aca="false">IF($A52="","","CL "&amp;V52&amp;" | SL "&amp;W52&amp;" | PL "&amp;X52&amp;" | TR "&amp;Y52)</f>
        <v/>
      </c>
      <c r="AC52" s="15" t="str">
        <f aca="false">IF($A52="","",IF(F52="Exited","EXITED",IF(AND(ISNUMBER(K52),K52=0),"NOT ELIGIBLE",IF(MIN(V52:X52)&lt;0,"OVER-USED",IF(Z52&lt;=Settings!$C$15,"LOW","OK")))))</f>
        <v/>
      </c>
      <c r="AD52" s="16" t="str">
        <f aca="false">IF(OR(AC52="OVER-USED",AC52="LOW"),COUNTIF(AC$6:AC52,"OVER-USED")+COUNTIF(AC$6:AC52,"LOW"),"")</f>
        <v/>
      </c>
    </row>
    <row r="53" customFormat="false" ht="15" hidden="false" customHeight="false" outlineLevel="0" collapsed="false">
      <c r="A53" s="8" t="str">
        <f aca="false">IF('Employee List'!B53="","",'Employee List'!B53)</f>
        <v/>
      </c>
      <c r="B53" s="8" t="str">
        <f aca="false">IF($A53="","",'Employee List'!C53)</f>
        <v/>
      </c>
      <c r="C53" s="8" t="str">
        <f aca="false">IF($A53="","",'Employee List'!E53&amp;"")</f>
        <v/>
      </c>
      <c r="D53" s="8" t="str">
        <f aca="false">IF($A53="","",'Employee List'!F53&amp;"")</f>
        <v/>
      </c>
      <c r="E53" s="8" t="str">
        <f aca="false">IF($A53="","",'Employee List'!G53&amp;"")</f>
        <v/>
      </c>
      <c r="F53" s="8" t="str">
        <f aca="false">IF($A53="","",'Employee List'!D53)</f>
        <v/>
      </c>
      <c r="G53" s="38" t="str">
        <f aca="false">IF($A53="","",IF('Employee List'!I53="","",'Employee List'!I53))</f>
        <v/>
      </c>
      <c r="H53" s="38" t="str">
        <f aca="false">IF(OR($A53="",G53=""),"",G53+Settings!$C$13)</f>
        <v/>
      </c>
      <c r="I53" s="38" t="str">
        <f aca="false">IF(H53="","",MAX(H53,DATE(LvYear,1,1)))</f>
        <v/>
      </c>
      <c r="J53" s="38" t="str">
        <f aca="false">IF($A53="","",IF('Employee List'!J53="",DATE(LvYear,12,31),MIN('Employee List'!J53,DATE(LvYear,12,31))))</f>
        <v/>
      </c>
      <c r="K53" s="39" t="str">
        <f aca="false">IF(OR(I53="",J53=""),"",MAX(0,J53-I53+1))</f>
        <v/>
      </c>
      <c r="L53" s="16" t="str">
        <f aca="false">IF($A53="","",IF(AND(ISNUMBER(K53),K53=0),0,Settings!$C$10))</f>
        <v/>
      </c>
      <c r="M53" s="16" t="str">
        <f aca="false">IF($A53="","",IF(AND(ISNUMBER(K53),K53=0),0,Settings!$C$11))</f>
        <v/>
      </c>
      <c r="N53" s="40"/>
      <c r="O53" s="16" t="str">
        <f aca="false">IF($A53="","",FLOOR(Settings!$C$12/365*N(K53),0.5))</f>
        <v/>
      </c>
      <c r="P53" s="16" t="str">
        <f aca="false">IF($A53="","",IF(I53="",N(N53),FLOOR(Settings!$C$12/365*MAX(0,MIN(LvAsOf,J53)-I53+1)+N(N53),0.5)))</f>
        <v/>
      </c>
      <c r="Q53" s="16" t="str">
        <f aca="false">IF($A53="","",Settings!$C$14)</f>
        <v/>
      </c>
      <c r="R53" s="16" t="str">
        <f aca="false">IF($A53="","",SUMIFS(Attendance!$AZ$6:$AZ$2405,Attendance!$B$6:$B$2405,$A53,Attendance!$A$6:$A$2405,"&gt;="&amp;DATE(LvYear,1,1),Attendance!$A$6:$A$2405,"&lt;="&amp;DATE(LvYear,12,31)))</f>
        <v/>
      </c>
      <c r="S53" s="16" t="str">
        <f aca="false">IF($A53="","",SUMIFS(Attendance!$AY$6:$AY$2405,Attendance!$B$6:$B$2405,$A53,Attendance!$A$6:$A$2405,"&gt;="&amp;DATE(LvYear,1,1),Attendance!$A$6:$A$2405,"&lt;="&amp;DATE(LvYear,12,31)))</f>
        <v/>
      </c>
      <c r="T53" s="16" t="str">
        <f aca="false">IF($A53="","",SUMIFS(Attendance!$AX$6:$AX$2405,Attendance!$B$6:$B$2405,$A53,Attendance!$A$6:$A$2405,"&gt;="&amp;DATE(LvYear,1,1),Attendance!$A$6:$A$2405,"&lt;="&amp;DATE(LvYear,12,31)))</f>
        <v/>
      </c>
      <c r="U53" s="16" t="str">
        <f aca="false">IF($A53="","",SUMIFS(Attendance!$AW$6:$AW$2405,Attendance!$B$6:$B$2405,$A53,Attendance!$A$6:$A$2405,"&gt;="&amp;DATE(LvYear,1,1),Attendance!$A$6:$A$2405,"&lt;="&amp;DATE(LvYear,12,31)))</f>
        <v/>
      </c>
      <c r="V53" s="16" t="str">
        <f aca="false">IF($A53="","",L53-R53)</f>
        <v/>
      </c>
      <c r="W53" s="16" t="str">
        <f aca="false">IF($A53="","",M53-S53)</f>
        <v/>
      </c>
      <c r="X53" s="16" t="str">
        <f aca="false">IF($A53="","",P53-T53)</f>
        <v/>
      </c>
      <c r="Y53" s="16" t="str">
        <f aca="false">IF($A53="","",Q53-U53)</f>
        <v/>
      </c>
      <c r="Z53" s="16" t="str">
        <f aca="false">IF($A53="","",V53+W53+X53)</f>
        <v/>
      </c>
      <c r="AA53" s="16" t="str">
        <f aca="false">IF($A53="","",O53+N(N53)-T53)</f>
        <v/>
      </c>
      <c r="AB53" s="8" t="str">
        <f aca="false">IF($A53="","","CL "&amp;V53&amp;" | SL "&amp;W53&amp;" | PL "&amp;X53&amp;" | TR "&amp;Y53)</f>
        <v/>
      </c>
      <c r="AC53" s="15" t="str">
        <f aca="false">IF($A53="","",IF(F53="Exited","EXITED",IF(AND(ISNUMBER(K53),K53=0),"NOT ELIGIBLE",IF(MIN(V53:X53)&lt;0,"OVER-USED",IF(Z53&lt;=Settings!$C$15,"LOW","OK")))))</f>
        <v/>
      </c>
      <c r="AD53" s="16" t="str">
        <f aca="false">IF(OR(AC53="OVER-USED",AC53="LOW"),COUNTIF(AC$6:AC53,"OVER-USED")+COUNTIF(AC$6:AC53,"LOW"),"")</f>
        <v/>
      </c>
    </row>
    <row r="54" customFormat="false" ht="15" hidden="false" customHeight="false" outlineLevel="0" collapsed="false">
      <c r="A54" s="8" t="str">
        <f aca="false">IF('Employee List'!B54="","",'Employee List'!B54)</f>
        <v/>
      </c>
      <c r="B54" s="8" t="str">
        <f aca="false">IF($A54="","",'Employee List'!C54)</f>
        <v/>
      </c>
      <c r="C54" s="8" t="str">
        <f aca="false">IF($A54="","",'Employee List'!E54&amp;"")</f>
        <v/>
      </c>
      <c r="D54" s="8" t="str">
        <f aca="false">IF($A54="","",'Employee List'!F54&amp;"")</f>
        <v/>
      </c>
      <c r="E54" s="8" t="str">
        <f aca="false">IF($A54="","",'Employee List'!G54&amp;"")</f>
        <v/>
      </c>
      <c r="F54" s="8" t="str">
        <f aca="false">IF($A54="","",'Employee List'!D54)</f>
        <v/>
      </c>
      <c r="G54" s="38" t="str">
        <f aca="false">IF($A54="","",IF('Employee List'!I54="","",'Employee List'!I54))</f>
        <v/>
      </c>
      <c r="H54" s="38" t="str">
        <f aca="false">IF(OR($A54="",G54=""),"",G54+Settings!$C$13)</f>
        <v/>
      </c>
      <c r="I54" s="38" t="str">
        <f aca="false">IF(H54="","",MAX(H54,DATE(LvYear,1,1)))</f>
        <v/>
      </c>
      <c r="J54" s="38" t="str">
        <f aca="false">IF($A54="","",IF('Employee List'!J54="",DATE(LvYear,12,31),MIN('Employee List'!J54,DATE(LvYear,12,31))))</f>
        <v/>
      </c>
      <c r="K54" s="39" t="str">
        <f aca="false">IF(OR(I54="",J54=""),"",MAX(0,J54-I54+1))</f>
        <v/>
      </c>
      <c r="L54" s="16" t="str">
        <f aca="false">IF($A54="","",IF(AND(ISNUMBER(K54),K54=0),0,Settings!$C$10))</f>
        <v/>
      </c>
      <c r="M54" s="16" t="str">
        <f aca="false">IF($A54="","",IF(AND(ISNUMBER(K54),K54=0),0,Settings!$C$11))</f>
        <v/>
      </c>
      <c r="N54" s="40"/>
      <c r="O54" s="16" t="str">
        <f aca="false">IF($A54="","",FLOOR(Settings!$C$12/365*N(K54),0.5))</f>
        <v/>
      </c>
      <c r="P54" s="16" t="str">
        <f aca="false">IF($A54="","",IF(I54="",N(N54),FLOOR(Settings!$C$12/365*MAX(0,MIN(LvAsOf,J54)-I54+1)+N(N54),0.5)))</f>
        <v/>
      </c>
      <c r="Q54" s="16" t="str">
        <f aca="false">IF($A54="","",Settings!$C$14)</f>
        <v/>
      </c>
      <c r="R54" s="16" t="str">
        <f aca="false">IF($A54="","",SUMIFS(Attendance!$AZ$6:$AZ$2405,Attendance!$B$6:$B$2405,$A54,Attendance!$A$6:$A$2405,"&gt;="&amp;DATE(LvYear,1,1),Attendance!$A$6:$A$2405,"&lt;="&amp;DATE(LvYear,12,31)))</f>
        <v/>
      </c>
      <c r="S54" s="16" t="str">
        <f aca="false">IF($A54="","",SUMIFS(Attendance!$AY$6:$AY$2405,Attendance!$B$6:$B$2405,$A54,Attendance!$A$6:$A$2405,"&gt;="&amp;DATE(LvYear,1,1),Attendance!$A$6:$A$2405,"&lt;="&amp;DATE(LvYear,12,31)))</f>
        <v/>
      </c>
      <c r="T54" s="16" t="str">
        <f aca="false">IF($A54="","",SUMIFS(Attendance!$AX$6:$AX$2405,Attendance!$B$6:$B$2405,$A54,Attendance!$A$6:$A$2405,"&gt;="&amp;DATE(LvYear,1,1),Attendance!$A$6:$A$2405,"&lt;="&amp;DATE(LvYear,12,31)))</f>
        <v/>
      </c>
      <c r="U54" s="16" t="str">
        <f aca="false">IF($A54="","",SUMIFS(Attendance!$AW$6:$AW$2405,Attendance!$B$6:$B$2405,$A54,Attendance!$A$6:$A$2405,"&gt;="&amp;DATE(LvYear,1,1),Attendance!$A$6:$A$2405,"&lt;="&amp;DATE(LvYear,12,31)))</f>
        <v/>
      </c>
      <c r="V54" s="16" t="str">
        <f aca="false">IF($A54="","",L54-R54)</f>
        <v/>
      </c>
      <c r="W54" s="16" t="str">
        <f aca="false">IF($A54="","",M54-S54)</f>
        <v/>
      </c>
      <c r="X54" s="16" t="str">
        <f aca="false">IF($A54="","",P54-T54)</f>
        <v/>
      </c>
      <c r="Y54" s="16" t="str">
        <f aca="false">IF($A54="","",Q54-U54)</f>
        <v/>
      </c>
      <c r="Z54" s="16" t="str">
        <f aca="false">IF($A54="","",V54+W54+X54)</f>
        <v/>
      </c>
      <c r="AA54" s="16" t="str">
        <f aca="false">IF($A54="","",O54+N(N54)-T54)</f>
        <v/>
      </c>
      <c r="AB54" s="8" t="str">
        <f aca="false">IF($A54="","","CL "&amp;V54&amp;" | SL "&amp;W54&amp;" | PL "&amp;X54&amp;" | TR "&amp;Y54)</f>
        <v/>
      </c>
      <c r="AC54" s="15" t="str">
        <f aca="false">IF($A54="","",IF(F54="Exited","EXITED",IF(AND(ISNUMBER(K54),K54=0),"NOT ELIGIBLE",IF(MIN(V54:X54)&lt;0,"OVER-USED",IF(Z54&lt;=Settings!$C$15,"LOW","OK")))))</f>
        <v/>
      </c>
      <c r="AD54" s="16" t="str">
        <f aca="false">IF(OR(AC54="OVER-USED",AC54="LOW"),COUNTIF(AC$6:AC54,"OVER-USED")+COUNTIF(AC$6:AC54,"LOW"),"")</f>
        <v/>
      </c>
    </row>
    <row r="55" customFormat="false" ht="15" hidden="false" customHeight="false" outlineLevel="0" collapsed="false">
      <c r="A55" s="8" t="str">
        <f aca="false">IF('Employee List'!B55="","",'Employee List'!B55)</f>
        <v/>
      </c>
      <c r="B55" s="8" t="str">
        <f aca="false">IF($A55="","",'Employee List'!C55)</f>
        <v/>
      </c>
      <c r="C55" s="8" t="str">
        <f aca="false">IF($A55="","",'Employee List'!E55&amp;"")</f>
        <v/>
      </c>
      <c r="D55" s="8" t="str">
        <f aca="false">IF($A55="","",'Employee List'!F55&amp;"")</f>
        <v/>
      </c>
      <c r="E55" s="8" t="str">
        <f aca="false">IF($A55="","",'Employee List'!G55&amp;"")</f>
        <v/>
      </c>
      <c r="F55" s="8" t="str">
        <f aca="false">IF($A55="","",'Employee List'!D55)</f>
        <v/>
      </c>
      <c r="G55" s="38" t="str">
        <f aca="false">IF($A55="","",IF('Employee List'!I55="","",'Employee List'!I55))</f>
        <v/>
      </c>
      <c r="H55" s="38" t="str">
        <f aca="false">IF(OR($A55="",G55=""),"",G55+Settings!$C$13)</f>
        <v/>
      </c>
      <c r="I55" s="38" t="str">
        <f aca="false">IF(H55="","",MAX(H55,DATE(LvYear,1,1)))</f>
        <v/>
      </c>
      <c r="J55" s="38" t="str">
        <f aca="false">IF($A55="","",IF('Employee List'!J55="",DATE(LvYear,12,31),MIN('Employee List'!J55,DATE(LvYear,12,31))))</f>
        <v/>
      </c>
      <c r="K55" s="39" t="str">
        <f aca="false">IF(OR(I55="",J55=""),"",MAX(0,J55-I55+1))</f>
        <v/>
      </c>
      <c r="L55" s="16" t="str">
        <f aca="false">IF($A55="","",IF(AND(ISNUMBER(K55),K55=0),0,Settings!$C$10))</f>
        <v/>
      </c>
      <c r="M55" s="16" t="str">
        <f aca="false">IF($A55="","",IF(AND(ISNUMBER(K55),K55=0),0,Settings!$C$11))</f>
        <v/>
      </c>
      <c r="N55" s="40"/>
      <c r="O55" s="16" t="str">
        <f aca="false">IF($A55="","",FLOOR(Settings!$C$12/365*N(K55),0.5))</f>
        <v/>
      </c>
      <c r="P55" s="16" t="str">
        <f aca="false">IF($A55="","",IF(I55="",N(N55),FLOOR(Settings!$C$12/365*MAX(0,MIN(LvAsOf,J55)-I55+1)+N(N55),0.5)))</f>
        <v/>
      </c>
      <c r="Q55" s="16" t="str">
        <f aca="false">IF($A55="","",Settings!$C$14)</f>
        <v/>
      </c>
      <c r="R55" s="16" t="str">
        <f aca="false">IF($A55="","",SUMIFS(Attendance!$AZ$6:$AZ$2405,Attendance!$B$6:$B$2405,$A55,Attendance!$A$6:$A$2405,"&gt;="&amp;DATE(LvYear,1,1),Attendance!$A$6:$A$2405,"&lt;="&amp;DATE(LvYear,12,31)))</f>
        <v/>
      </c>
      <c r="S55" s="16" t="str">
        <f aca="false">IF($A55="","",SUMIFS(Attendance!$AY$6:$AY$2405,Attendance!$B$6:$B$2405,$A55,Attendance!$A$6:$A$2405,"&gt;="&amp;DATE(LvYear,1,1),Attendance!$A$6:$A$2405,"&lt;="&amp;DATE(LvYear,12,31)))</f>
        <v/>
      </c>
      <c r="T55" s="16" t="str">
        <f aca="false">IF($A55="","",SUMIFS(Attendance!$AX$6:$AX$2405,Attendance!$B$6:$B$2405,$A55,Attendance!$A$6:$A$2405,"&gt;="&amp;DATE(LvYear,1,1),Attendance!$A$6:$A$2405,"&lt;="&amp;DATE(LvYear,12,31)))</f>
        <v/>
      </c>
      <c r="U55" s="16" t="str">
        <f aca="false">IF($A55="","",SUMIFS(Attendance!$AW$6:$AW$2405,Attendance!$B$6:$B$2405,$A55,Attendance!$A$6:$A$2405,"&gt;="&amp;DATE(LvYear,1,1),Attendance!$A$6:$A$2405,"&lt;="&amp;DATE(LvYear,12,31)))</f>
        <v/>
      </c>
      <c r="V55" s="16" t="str">
        <f aca="false">IF($A55="","",L55-R55)</f>
        <v/>
      </c>
      <c r="W55" s="16" t="str">
        <f aca="false">IF($A55="","",M55-S55)</f>
        <v/>
      </c>
      <c r="X55" s="16" t="str">
        <f aca="false">IF($A55="","",P55-T55)</f>
        <v/>
      </c>
      <c r="Y55" s="16" t="str">
        <f aca="false">IF($A55="","",Q55-U55)</f>
        <v/>
      </c>
      <c r="Z55" s="16" t="str">
        <f aca="false">IF($A55="","",V55+W55+X55)</f>
        <v/>
      </c>
      <c r="AA55" s="16" t="str">
        <f aca="false">IF($A55="","",O55+N(N55)-T55)</f>
        <v/>
      </c>
      <c r="AB55" s="8" t="str">
        <f aca="false">IF($A55="","","CL "&amp;V55&amp;" | SL "&amp;W55&amp;" | PL "&amp;X55&amp;" | TR "&amp;Y55)</f>
        <v/>
      </c>
      <c r="AC55" s="15" t="str">
        <f aca="false">IF($A55="","",IF(F55="Exited","EXITED",IF(AND(ISNUMBER(K55),K55=0),"NOT ELIGIBLE",IF(MIN(V55:X55)&lt;0,"OVER-USED",IF(Z55&lt;=Settings!$C$15,"LOW","OK")))))</f>
        <v/>
      </c>
      <c r="AD55" s="16" t="str">
        <f aca="false">IF(OR(AC55="OVER-USED",AC55="LOW"),COUNTIF(AC$6:AC55,"OVER-USED")+COUNTIF(AC$6:AC55,"LOW"),"")</f>
        <v/>
      </c>
    </row>
    <row r="56" customFormat="false" ht="15" hidden="false" customHeight="false" outlineLevel="0" collapsed="false">
      <c r="A56" s="8" t="str">
        <f aca="false">IF('Employee List'!B56="","",'Employee List'!B56)</f>
        <v/>
      </c>
      <c r="B56" s="8" t="str">
        <f aca="false">IF($A56="","",'Employee List'!C56)</f>
        <v/>
      </c>
      <c r="C56" s="8" t="str">
        <f aca="false">IF($A56="","",'Employee List'!E56&amp;"")</f>
        <v/>
      </c>
      <c r="D56" s="8" t="str">
        <f aca="false">IF($A56="","",'Employee List'!F56&amp;"")</f>
        <v/>
      </c>
      <c r="E56" s="8" t="str">
        <f aca="false">IF($A56="","",'Employee List'!G56&amp;"")</f>
        <v/>
      </c>
      <c r="F56" s="8" t="str">
        <f aca="false">IF($A56="","",'Employee List'!D56)</f>
        <v/>
      </c>
      <c r="G56" s="38" t="str">
        <f aca="false">IF($A56="","",IF('Employee List'!I56="","",'Employee List'!I56))</f>
        <v/>
      </c>
      <c r="H56" s="38" t="str">
        <f aca="false">IF(OR($A56="",G56=""),"",G56+Settings!$C$13)</f>
        <v/>
      </c>
      <c r="I56" s="38" t="str">
        <f aca="false">IF(H56="","",MAX(H56,DATE(LvYear,1,1)))</f>
        <v/>
      </c>
      <c r="J56" s="38" t="str">
        <f aca="false">IF($A56="","",IF('Employee List'!J56="",DATE(LvYear,12,31),MIN('Employee List'!J56,DATE(LvYear,12,31))))</f>
        <v/>
      </c>
      <c r="K56" s="39" t="str">
        <f aca="false">IF(OR(I56="",J56=""),"",MAX(0,J56-I56+1))</f>
        <v/>
      </c>
      <c r="L56" s="16" t="str">
        <f aca="false">IF($A56="","",IF(AND(ISNUMBER(K56),K56=0),0,Settings!$C$10))</f>
        <v/>
      </c>
      <c r="M56" s="16" t="str">
        <f aca="false">IF($A56="","",IF(AND(ISNUMBER(K56),K56=0),0,Settings!$C$11))</f>
        <v/>
      </c>
      <c r="N56" s="40"/>
      <c r="O56" s="16" t="str">
        <f aca="false">IF($A56="","",FLOOR(Settings!$C$12/365*N(K56),0.5))</f>
        <v/>
      </c>
      <c r="P56" s="16" t="str">
        <f aca="false">IF($A56="","",IF(I56="",N(N56),FLOOR(Settings!$C$12/365*MAX(0,MIN(LvAsOf,J56)-I56+1)+N(N56),0.5)))</f>
        <v/>
      </c>
      <c r="Q56" s="16" t="str">
        <f aca="false">IF($A56="","",Settings!$C$14)</f>
        <v/>
      </c>
      <c r="R56" s="16" t="str">
        <f aca="false">IF($A56="","",SUMIFS(Attendance!$AZ$6:$AZ$2405,Attendance!$B$6:$B$2405,$A56,Attendance!$A$6:$A$2405,"&gt;="&amp;DATE(LvYear,1,1),Attendance!$A$6:$A$2405,"&lt;="&amp;DATE(LvYear,12,31)))</f>
        <v/>
      </c>
      <c r="S56" s="16" t="str">
        <f aca="false">IF($A56="","",SUMIFS(Attendance!$AY$6:$AY$2405,Attendance!$B$6:$B$2405,$A56,Attendance!$A$6:$A$2405,"&gt;="&amp;DATE(LvYear,1,1),Attendance!$A$6:$A$2405,"&lt;="&amp;DATE(LvYear,12,31)))</f>
        <v/>
      </c>
      <c r="T56" s="16" t="str">
        <f aca="false">IF($A56="","",SUMIFS(Attendance!$AX$6:$AX$2405,Attendance!$B$6:$B$2405,$A56,Attendance!$A$6:$A$2405,"&gt;="&amp;DATE(LvYear,1,1),Attendance!$A$6:$A$2405,"&lt;="&amp;DATE(LvYear,12,31)))</f>
        <v/>
      </c>
      <c r="U56" s="16" t="str">
        <f aca="false">IF($A56="","",SUMIFS(Attendance!$AW$6:$AW$2405,Attendance!$B$6:$B$2405,$A56,Attendance!$A$6:$A$2405,"&gt;="&amp;DATE(LvYear,1,1),Attendance!$A$6:$A$2405,"&lt;="&amp;DATE(LvYear,12,31)))</f>
        <v/>
      </c>
      <c r="V56" s="16" t="str">
        <f aca="false">IF($A56="","",L56-R56)</f>
        <v/>
      </c>
      <c r="W56" s="16" t="str">
        <f aca="false">IF($A56="","",M56-S56)</f>
        <v/>
      </c>
      <c r="X56" s="16" t="str">
        <f aca="false">IF($A56="","",P56-T56)</f>
        <v/>
      </c>
      <c r="Y56" s="16" t="str">
        <f aca="false">IF($A56="","",Q56-U56)</f>
        <v/>
      </c>
      <c r="Z56" s="16" t="str">
        <f aca="false">IF($A56="","",V56+W56+X56)</f>
        <v/>
      </c>
      <c r="AA56" s="16" t="str">
        <f aca="false">IF($A56="","",O56+N(N56)-T56)</f>
        <v/>
      </c>
      <c r="AB56" s="8" t="str">
        <f aca="false">IF($A56="","","CL "&amp;V56&amp;" | SL "&amp;W56&amp;" | PL "&amp;X56&amp;" | TR "&amp;Y56)</f>
        <v/>
      </c>
      <c r="AC56" s="15" t="str">
        <f aca="false">IF($A56="","",IF(F56="Exited","EXITED",IF(AND(ISNUMBER(K56),K56=0),"NOT ELIGIBLE",IF(MIN(V56:X56)&lt;0,"OVER-USED",IF(Z56&lt;=Settings!$C$15,"LOW","OK")))))</f>
        <v/>
      </c>
      <c r="AD56" s="16" t="str">
        <f aca="false">IF(OR(AC56="OVER-USED",AC56="LOW"),COUNTIF(AC$6:AC56,"OVER-USED")+COUNTIF(AC$6:AC56,"LOW"),"")</f>
        <v/>
      </c>
    </row>
    <row r="57" customFormat="false" ht="15" hidden="false" customHeight="false" outlineLevel="0" collapsed="false">
      <c r="A57" s="8" t="str">
        <f aca="false">IF('Employee List'!B57="","",'Employee List'!B57)</f>
        <v/>
      </c>
      <c r="B57" s="8" t="str">
        <f aca="false">IF($A57="","",'Employee List'!C57)</f>
        <v/>
      </c>
      <c r="C57" s="8" t="str">
        <f aca="false">IF($A57="","",'Employee List'!E57&amp;"")</f>
        <v/>
      </c>
      <c r="D57" s="8" t="str">
        <f aca="false">IF($A57="","",'Employee List'!F57&amp;"")</f>
        <v/>
      </c>
      <c r="E57" s="8" t="str">
        <f aca="false">IF($A57="","",'Employee List'!G57&amp;"")</f>
        <v/>
      </c>
      <c r="F57" s="8" t="str">
        <f aca="false">IF($A57="","",'Employee List'!D57)</f>
        <v/>
      </c>
      <c r="G57" s="38" t="str">
        <f aca="false">IF($A57="","",IF('Employee List'!I57="","",'Employee List'!I57))</f>
        <v/>
      </c>
      <c r="H57" s="38" t="str">
        <f aca="false">IF(OR($A57="",G57=""),"",G57+Settings!$C$13)</f>
        <v/>
      </c>
      <c r="I57" s="38" t="str">
        <f aca="false">IF(H57="","",MAX(H57,DATE(LvYear,1,1)))</f>
        <v/>
      </c>
      <c r="J57" s="38" t="str">
        <f aca="false">IF($A57="","",IF('Employee List'!J57="",DATE(LvYear,12,31),MIN('Employee List'!J57,DATE(LvYear,12,31))))</f>
        <v/>
      </c>
      <c r="K57" s="39" t="str">
        <f aca="false">IF(OR(I57="",J57=""),"",MAX(0,J57-I57+1))</f>
        <v/>
      </c>
      <c r="L57" s="16" t="str">
        <f aca="false">IF($A57="","",IF(AND(ISNUMBER(K57),K57=0),0,Settings!$C$10))</f>
        <v/>
      </c>
      <c r="M57" s="16" t="str">
        <f aca="false">IF($A57="","",IF(AND(ISNUMBER(K57),K57=0),0,Settings!$C$11))</f>
        <v/>
      </c>
      <c r="N57" s="40"/>
      <c r="O57" s="16" t="str">
        <f aca="false">IF($A57="","",FLOOR(Settings!$C$12/365*N(K57),0.5))</f>
        <v/>
      </c>
      <c r="P57" s="16" t="str">
        <f aca="false">IF($A57="","",IF(I57="",N(N57),FLOOR(Settings!$C$12/365*MAX(0,MIN(LvAsOf,J57)-I57+1)+N(N57),0.5)))</f>
        <v/>
      </c>
      <c r="Q57" s="16" t="str">
        <f aca="false">IF($A57="","",Settings!$C$14)</f>
        <v/>
      </c>
      <c r="R57" s="16" t="str">
        <f aca="false">IF($A57="","",SUMIFS(Attendance!$AZ$6:$AZ$2405,Attendance!$B$6:$B$2405,$A57,Attendance!$A$6:$A$2405,"&gt;="&amp;DATE(LvYear,1,1),Attendance!$A$6:$A$2405,"&lt;="&amp;DATE(LvYear,12,31)))</f>
        <v/>
      </c>
      <c r="S57" s="16" t="str">
        <f aca="false">IF($A57="","",SUMIFS(Attendance!$AY$6:$AY$2405,Attendance!$B$6:$B$2405,$A57,Attendance!$A$6:$A$2405,"&gt;="&amp;DATE(LvYear,1,1),Attendance!$A$6:$A$2405,"&lt;="&amp;DATE(LvYear,12,31)))</f>
        <v/>
      </c>
      <c r="T57" s="16" t="str">
        <f aca="false">IF($A57="","",SUMIFS(Attendance!$AX$6:$AX$2405,Attendance!$B$6:$B$2405,$A57,Attendance!$A$6:$A$2405,"&gt;="&amp;DATE(LvYear,1,1),Attendance!$A$6:$A$2405,"&lt;="&amp;DATE(LvYear,12,31)))</f>
        <v/>
      </c>
      <c r="U57" s="16" t="str">
        <f aca="false">IF($A57="","",SUMIFS(Attendance!$AW$6:$AW$2405,Attendance!$B$6:$B$2405,$A57,Attendance!$A$6:$A$2405,"&gt;="&amp;DATE(LvYear,1,1),Attendance!$A$6:$A$2405,"&lt;="&amp;DATE(LvYear,12,31)))</f>
        <v/>
      </c>
      <c r="V57" s="16" t="str">
        <f aca="false">IF($A57="","",L57-R57)</f>
        <v/>
      </c>
      <c r="W57" s="16" t="str">
        <f aca="false">IF($A57="","",M57-S57)</f>
        <v/>
      </c>
      <c r="X57" s="16" t="str">
        <f aca="false">IF($A57="","",P57-T57)</f>
        <v/>
      </c>
      <c r="Y57" s="16" t="str">
        <f aca="false">IF($A57="","",Q57-U57)</f>
        <v/>
      </c>
      <c r="Z57" s="16" t="str">
        <f aca="false">IF($A57="","",V57+W57+X57)</f>
        <v/>
      </c>
      <c r="AA57" s="16" t="str">
        <f aca="false">IF($A57="","",O57+N(N57)-T57)</f>
        <v/>
      </c>
      <c r="AB57" s="8" t="str">
        <f aca="false">IF($A57="","","CL "&amp;V57&amp;" | SL "&amp;W57&amp;" | PL "&amp;X57&amp;" | TR "&amp;Y57)</f>
        <v/>
      </c>
      <c r="AC57" s="15" t="str">
        <f aca="false">IF($A57="","",IF(F57="Exited","EXITED",IF(AND(ISNUMBER(K57),K57=0),"NOT ELIGIBLE",IF(MIN(V57:X57)&lt;0,"OVER-USED",IF(Z57&lt;=Settings!$C$15,"LOW","OK")))))</f>
        <v/>
      </c>
      <c r="AD57" s="16" t="str">
        <f aca="false">IF(OR(AC57="OVER-USED",AC57="LOW"),COUNTIF(AC$6:AC57,"OVER-USED")+COUNTIF(AC$6:AC57,"LOW"),"")</f>
        <v/>
      </c>
    </row>
    <row r="58" customFormat="false" ht="15" hidden="false" customHeight="false" outlineLevel="0" collapsed="false">
      <c r="A58" s="8" t="str">
        <f aca="false">IF('Employee List'!B58="","",'Employee List'!B58)</f>
        <v/>
      </c>
      <c r="B58" s="8" t="str">
        <f aca="false">IF($A58="","",'Employee List'!C58)</f>
        <v/>
      </c>
      <c r="C58" s="8" t="str">
        <f aca="false">IF($A58="","",'Employee List'!E58&amp;"")</f>
        <v/>
      </c>
      <c r="D58" s="8" t="str">
        <f aca="false">IF($A58="","",'Employee List'!F58&amp;"")</f>
        <v/>
      </c>
      <c r="E58" s="8" t="str">
        <f aca="false">IF($A58="","",'Employee List'!G58&amp;"")</f>
        <v/>
      </c>
      <c r="F58" s="8" t="str">
        <f aca="false">IF($A58="","",'Employee List'!D58)</f>
        <v/>
      </c>
      <c r="G58" s="38" t="str">
        <f aca="false">IF($A58="","",IF('Employee List'!I58="","",'Employee List'!I58))</f>
        <v/>
      </c>
      <c r="H58" s="38" t="str">
        <f aca="false">IF(OR($A58="",G58=""),"",G58+Settings!$C$13)</f>
        <v/>
      </c>
      <c r="I58" s="38" t="str">
        <f aca="false">IF(H58="","",MAX(H58,DATE(LvYear,1,1)))</f>
        <v/>
      </c>
      <c r="J58" s="38" t="str">
        <f aca="false">IF($A58="","",IF('Employee List'!J58="",DATE(LvYear,12,31),MIN('Employee List'!J58,DATE(LvYear,12,31))))</f>
        <v/>
      </c>
      <c r="K58" s="39" t="str">
        <f aca="false">IF(OR(I58="",J58=""),"",MAX(0,J58-I58+1))</f>
        <v/>
      </c>
      <c r="L58" s="16" t="str">
        <f aca="false">IF($A58="","",IF(AND(ISNUMBER(K58),K58=0),0,Settings!$C$10))</f>
        <v/>
      </c>
      <c r="M58" s="16" t="str">
        <f aca="false">IF($A58="","",IF(AND(ISNUMBER(K58),K58=0),0,Settings!$C$11))</f>
        <v/>
      </c>
      <c r="N58" s="40"/>
      <c r="O58" s="16" t="str">
        <f aca="false">IF($A58="","",FLOOR(Settings!$C$12/365*N(K58),0.5))</f>
        <v/>
      </c>
      <c r="P58" s="16" t="str">
        <f aca="false">IF($A58="","",IF(I58="",N(N58),FLOOR(Settings!$C$12/365*MAX(0,MIN(LvAsOf,J58)-I58+1)+N(N58),0.5)))</f>
        <v/>
      </c>
      <c r="Q58" s="16" t="str">
        <f aca="false">IF($A58="","",Settings!$C$14)</f>
        <v/>
      </c>
      <c r="R58" s="16" t="str">
        <f aca="false">IF($A58="","",SUMIFS(Attendance!$AZ$6:$AZ$2405,Attendance!$B$6:$B$2405,$A58,Attendance!$A$6:$A$2405,"&gt;="&amp;DATE(LvYear,1,1),Attendance!$A$6:$A$2405,"&lt;="&amp;DATE(LvYear,12,31)))</f>
        <v/>
      </c>
      <c r="S58" s="16" t="str">
        <f aca="false">IF($A58="","",SUMIFS(Attendance!$AY$6:$AY$2405,Attendance!$B$6:$B$2405,$A58,Attendance!$A$6:$A$2405,"&gt;="&amp;DATE(LvYear,1,1),Attendance!$A$6:$A$2405,"&lt;="&amp;DATE(LvYear,12,31)))</f>
        <v/>
      </c>
      <c r="T58" s="16" t="str">
        <f aca="false">IF($A58="","",SUMIFS(Attendance!$AX$6:$AX$2405,Attendance!$B$6:$B$2405,$A58,Attendance!$A$6:$A$2405,"&gt;="&amp;DATE(LvYear,1,1),Attendance!$A$6:$A$2405,"&lt;="&amp;DATE(LvYear,12,31)))</f>
        <v/>
      </c>
      <c r="U58" s="16" t="str">
        <f aca="false">IF($A58="","",SUMIFS(Attendance!$AW$6:$AW$2405,Attendance!$B$6:$B$2405,$A58,Attendance!$A$6:$A$2405,"&gt;="&amp;DATE(LvYear,1,1),Attendance!$A$6:$A$2405,"&lt;="&amp;DATE(LvYear,12,31)))</f>
        <v/>
      </c>
      <c r="V58" s="16" t="str">
        <f aca="false">IF($A58="","",L58-R58)</f>
        <v/>
      </c>
      <c r="W58" s="16" t="str">
        <f aca="false">IF($A58="","",M58-S58)</f>
        <v/>
      </c>
      <c r="X58" s="16" t="str">
        <f aca="false">IF($A58="","",P58-T58)</f>
        <v/>
      </c>
      <c r="Y58" s="16" t="str">
        <f aca="false">IF($A58="","",Q58-U58)</f>
        <v/>
      </c>
      <c r="Z58" s="16" t="str">
        <f aca="false">IF($A58="","",V58+W58+X58)</f>
        <v/>
      </c>
      <c r="AA58" s="16" t="str">
        <f aca="false">IF($A58="","",O58+N(N58)-T58)</f>
        <v/>
      </c>
      <c r="AB58" s="8" t="str">
        <f aca="false">IF($A58="","","CL "&amp;V58&amp;" | SL "&amp;W58&amp;" | PL "&amp;X58&amp;" | TR "&amp;Y58)</f>
        <v/>
      </c>
      <c r="AC58" s="15" t="str">
        <f aca="false">IF($A58="","",IF(F58="Exited","EXITED",IF(AND(ISNUMBER(K58),K58=0),"NOT ELIGIBLE",IF(MIN(V58:X58)&lt;0,"OVER-USED",IF(Z58&lt;=Settings!$C$15,"LOW","OK")))))</f>
        <v/>
      </c>
      <c r="AD58" s="16" t="str">
        <f aca="false">IF(OR(AC58="OVER-USED",AC58="LOW"),COUNTIF(AC$6:AC58,"OVER-USED")+COUNTIF(AC$6:AC58,"LOW"),"")</f>
        <v/>
      </c>
    </row>
    <row r="59" customFormat="false" ht="15" hidden="false" customHeight="false" outlineLevel="0" collapsed="false">
      <c r="A59" s="8" t="str">
        <f aca="false">IF('Employee List'!B59="","",'Employee List'!B59)</f>
        <v/>
      </c>
      <c r="B59" s="8" t="str">
        <f aca="false">IF($A59="","",'Employee List'!C59)</f>
        <v/>
      </c>
      <c r="C59" s="8" t="str">
        <f aca="false">IF($A59="","",'Employee List'!E59&amp;"")</f>
        <v/>
      </c>
      <c r="D59" s="8" t="str">
        <f aca="false">IF($A59="","",'Employee List'!F59&amp;"")</f>
        <v/>
      </c>
      <c r="E59" s="8" t="str">
        <f aca="false">IF($A59="","",'Employee List'!G59&amp;"")</f>
        <v/>
      </c>
      <c r="F59" s="8" t="str">
        <f aca="false">IF($A59="","",'Employee List'!D59)</f>
        <v/>
      </c>
      <c r="G59" s="38" t="str">
        <f aca="false">IF($A59="","",IF('Employee List'!I59="","",'Employee List'!I59))</f>
        <v/>
      </c>
      <c r="H59" s="38" t="str">
        <f aca="false">IF(OR($A59="",G59=""),"",G59+Settings!$C$13)</f>
        <v/>
      </c>
      <c r="I59" s="38" t="str">
        <f aca="false">IF(H59="","",MAX(H59,DATE(LvYear,1,1)))</f>
        <v/>
      </c>
      <c r="J59" s="38" t="str">
        <f aca="false">IF($A59="","",IF('Employee List'!J59="",DATE(LvYear,12,31),MIN('Employee List'!J59,DATE(LvYear,12,31))))</f>
        <v/>
      </c>
      <c r="K59" s="39" t="str">
        <f aca="false">IF(OR(I59="",J59=""),"",MAX(0,J59-I59+1))</f>
        <v/>
      </c>
      <c r="L59" s="16" t="str">
        <f aca="false">IF($A59="","",IF(AND(ISNUMBER(K59),K59=0),0,Settings!$C$10))</f>
        <v/>
      </c>
      <c r="M59" s="16" t="str">
        <f aca="false">IF($A59="","",IF(AND(ISNUMBER(K59),K59=0),0,Settings!$C$11))</f>
        <v/>
      </c>
      <c r="N59" s="40"/>
      <c r="O59" s="16" t="str">
        <f aca="false">IF($A59="","",FLOOR(Settings!$C$12/365*N(K59),0.5))</f>
        <v/>
      </c>
      <c r="P59" s="16" t="str">
        <f aca="false">IF($A59="","",IF(I59="",N(N59),FLOOR(Settings!$C$12/365*MAX(0,MIN(LvAsOf,J59)-I59+1)+N(N59),0.5)))</f>
        <v/>
      </c>
      <c r="Q59" s="16" t="str">
        <f aca="false">IF($A59="","",Settings!$C$14)</f>
        <v/>
      </c>
      <c r="R59" s="16" t="str">
        <f aca="false">IF($A59="","",SUMIFS(Attendance!$AZ$6:$AZ$2405,Attendance!$B$6:$B$2405,$A59,Attendance!$A$6:$A$2405,"&gt;="&amp;DATE(LvYear,1,1),Attendance!$A$6:$A$2405,"&lt;="&amp;DATE(LvYear,12,31)))</f>
        <v/>
      </c>
      <c r="S59" s="16" t="str">
        <f aca="false">IF($A59="","",SUMIFS(Attendance!$AY$6:$AY$2405,Attendance!$B$6:$B$2405,$A59,Attendance!$A$6:$A$2405,"&gt;="&amp;DATE(LvYear,1,1),Attendance!$A$6:$A$2405,"&lt;="&amp;DATE(LvYear,12,31)))</f>
        <v/>
      </c>
      <c r="T59" s="16" t="str">
        <f aca="false">IF($A59="","",SUMIFS(Attendance!$AX$6:$AX$2405,Attendance!$B$6:$B$2405,$A59,Attendance!$A$6:$A$2405,"&gt;="&amp;DATE(LvYear,1,1),Attendance!$A$6:$A$2405,"&lt;="&amp;DATE(LvYear,12,31)))</f>
        <v/>
      </c>
      <c r="U59" s="16" t="str">
        <f aca="false">IF($A59="","",SUMIFS(Attendance!$AW$6:$AW$2405,Attendance!$B$6:$B$2405,$A59,Attendance!$A$6:$A$2405,"&gt;="&amp;DATE(LvYear,1,1),Attendance!$A$6:$A$2405,"&lt;="&amp;DATE(LvYear,12,31)))</f>
        <v/>
      </c>
      <c r="V59" s="16" t="str">
        <f aca="false">IF($A59="","",L59-R59)</f>
        <v/>
      </c>
      <c r="W59" s="16" t="str">
        <f aca="false">IF($A59="","",M59-S59)</f>
        <v/>
      </c>
      <c r="X59" s="16" t="str">
        <f aca="false">IF($A59="","",P59-T59)</f>
        <v/>
      </c>
      <c r="Y59" s="16" t="str">
        <f aca="false">IF($A59="","",Q59-U59)</f>
        <v/>
      </c>
      <c r="Z59" s="16" t="str">
        <f aca="false">IF($A59="","",V59+W59+X59)</f>
        <v/>
      </c>
      <c r="AA59" s="16" t="str">
        <f aca="false">IF($A59="","",O59+N(N59)-T59)</f>
        <v/>
      </c>
      <c r="AB59" s="8" t="str">
        <f aca="false">IF($A59="","","CL "&amp;V59&amp;" | SL "&amp;W59&amp;" | PL "&amp;X59&amp;" | TR "&amp;Y59)</f>
        <v/>
      </c>
      <c r="AC59" s="15" t="str">
        <f aca="false">IF($A59="","",IF(F59="Exited","EXITED",IF(AND(ISNUMBER(K59),K59=0),"NOT ELIGIBLE",IF(MIN(V59:X59)&lt;0,"OVER-USED",IF(Z59&lt;=Settings!$C$15,"LOW","OK")))))</f>
        <v/>
      </c>
      <c r="AD59" s="16" t="str">
        <f aca="false">IF(OR(AC59="OVER-USED",AC59="LOW"),COUNTIF(AC$6:AC59,"OVER-USED")+COUNTIF(AC$6:AC59,"LOW"),"")</f>
        <v/>
      </c>
    </row>
    <row r="60" customFormat="false" ht="15" hidden="false" customHeight="false" outlineLevel="0" collapsed="false">
      <c r="A60" s="8" t="str">
        <f aca="false">IF('Employee List'!B60="","",'Employee List'!B60)</f>
        <v/>
      </c>
      <c r="B60" s="8" t="str">
        <f aca="false">IF($A60="","",'Employee List'!C60)</f>
        <v/>
      </c>
      <c r="C60" s="8" t="str">
        <f aca="false">IF($A60="","",'Employee List'!E60&amp;"")</f>
        <v/>
      </c>
      <c r="D60" s="8" t="str">
        <f aca="false">IF($A60="","",'Employee List'!F60&amp;"")</f>
        <v/>
      </c>
      <c r="E60" s="8" t="str">
        <f aca="false">IF($A60="","",'Employee List'!G60&amp;"")</f>
        <v/>
      </c>
      <c r="F60" s="8" t="str">
        <f aca="false">IF($A60="","",'Employee List'!D60)</f>
        <v/>
      </c>
      <c r="G60" s="38" t="str">
        <f aca="false">IF($A60="","",IF('Employee List'!I60="","",'Employee List'!I60))</f>
        <v/>
      </c>
      <c r="H60" s="38" t="str">
        <f aca="false">IF(OR($A60="",G60=""),"",G60+Settings!$C$13)</f>
        <v/>
      </c>
      <c r="I60" s="38" t="str">
        <f aca="false">IF(H60="","",MAX(H60,DATE(LvYear,1,1)))</f>
        <v/>
      </c>
      <c r="J60" s="38" t="str">
        <f aca="false">IF($A60="","",IF('Employee List'!J60="",DATE(LvYear,12,31),MIN('Employee List'!J60,DATE(LvYear,12,31))))</f>
        <v/>
      </c>
      <c r="K60" s="39" t="str">
        <f aca="false">IF(OR(I60="",J60=""),"",MAX(0,J60-I60+1))</f>
        <v/>
      </c>
      <c r="L60" s="16" t="str">
        <f aca="false">IF($A60="","",IF(AND(ISNUMBER(K60),K60=0),0,Settings!$C$10))</f>
        <v/>
      </c>
      <c r="M60" s="16" t="str">
        <f aca="false">IF($A60="","",IF(AND(ISNUMBER(K60),K60=0),0,Settings!$C$11))</f>
        <v/>
      </c>
      <c r="N60" s="40"/>
      <c r="O60" s="16" t="str">
        <f aca="false">IF($A60="","",FLOOR(Settings!$C$12/365*N(K60),0.5))</f>
        <v/>
      </c>
      <c r="P60" s="16" t="str">
        <f aca="false">IF($A60="","",IF(I60="",N(N60),FLOOR(Settings!$C$12/365*MAX(0,MIN(LvAsOf,J60)-I60+1)+N(N60),0.5)))</f>
        <v/>
      </c>
      <c r="Q60" s="16" t="str">
        <f aca="false">IF($A60="","",Settings!$C$14)</f>
        <v/>
      </c>
      <c r="R60" s="16" t="str">
        <f aca="false">IF($A60="","",SUMIFS(Attendance!$AZ$6:$AZ$2405,Attendance!$B$6:$B$2405,$A60,Attendance!$A$6:$A$2405,"&gt;="&amp;DATE(LvYear,1,1),Attendance!$A$6:$A$2405,"&lt;="&amp;DATE(LvYear,12,31)))</f>
        <v/>
      </c>
      <c r="S60" s="16" t="str">
        <f aca="false">IF($A60="","",SUMIFS(Attendance!$AY$6:$AY$2405,Attendance!$B$6:$B$2405,$A60,Attendance!$A$6:$A$2405,"&gt;="&amp;DATE(LvYear,1,1),Attendance!$A$6:$A$2405,"&lt;="&amp;DATE(LvYear,12,31)))</f>
        <v/>
      </c>
      <c r="T60" s="16" t="str">
        <f aca="false">IF($A60="","",SUMIFS(Attendance!$AX$6:$AX$2405,Attendance!$B$6:$B$2405,$A60,Attendance!$A$6:$A$2405,"&gt;="&amp;DATE(LvYear,1,1),Attendance!$A$6:$A$2405,"&lt;="&amp;DATE(LvYear,12,31)))</f>
        <v/>
      </c>
      <c r="U60" s="16" t="str">
        <f aca="false">IF($A60="","",SUMIFS(Attendance!$AW$6:$AW$2405,Attendance!$B$6:$B$2405,$A60,Attendance!$A$6:$A$2405,"&gt;="&amp;DATE(LvYear,1,1),Attendance!$A$6:$A$2405,"&lt;="&amp;DATE(LvYear,12,31)))</f>
        <v/>
      </c>
      <c r="V60" s="16" t="str">
        <f aca="false">IF($A60="","",L60-R60)</f>
        <v/>
      </c>
      <c r="W60" s="16" t="str">
        <f aca="false">IF($A60="","",M60-S60)</f>
        <v/>
      </c>
      <c r="X60" s="16" t="str">
        <f aca="false">IF($A60="","",P60-T60)</f>
        <v/>
      </c>
      <c r="Y60" s="16" t="str">
        <f aca="false">IF($A60="","",Q60-U60)</f>
        <v/>
      </c>
      <c r="Z60" s="16" t="str">
        <f aca="false">IF($A60="","",V60+W60+X60)</f>
        <v/>
      </c>
      <c r="AA60" s="16" t="str">
        <f aca="false">IF($A60="","",O60+N(N60)-T60)</f>
        <v/>
      </c>
      <c r="AB60" s="8" t="str">
        <f aca="false">IF($A60="","","CL "&amp;V60&amp;" | SL "&amp;W60&amp;" | PL "&amp;X60&amp;" | TR "&amp;Y60)</f>
        <v/>
      </c>
      <c r="AC60" s="15" t="str">
        <f aca="false">IF($A60="","",IF(F60="Exited","EXITED",IF(AND(ISNUMBER(K60),K60=0),"NOT ELIGIBLE",IF(MIN(V60:X60)&lt;0,"OVER-USED",IF(Z60&lt;=Settings!$C$15,"LOW","OK")))))</f>
        <v/>
      </c>
      <c r="AD60" s="16" t="str">
        <f aca="false">IF(OR(AC60="OVER-USED",AC60="LOW"),COUNTIF(AC$6:AC60,"OVER-USED")+COUNTIF(AC$6:AC60,"LOW"),"")</f>
        <v/>
      </c>
    </row>
    <row r="61" customFormat="false" ht="15" hidden="false" customHeight="false" outlineLevel="0" collapsed="false">
      <c r="A61" s="8" t="str">
        <f aca="false">IF('Employee List'!B61="","",'Employee List'!B61)</f>
        <v/>
      </c>
      <c r="B61" s="8" t="str">
        <f aca="false">IF($A61="","",'Employee List'!C61)</f>
        <v/>
      </c>
      <c r="C61" s="8" t="str">
        <f aca="false">IF($A61="","",'Employee List'!E61&amp;"")</f>
        <v/>
      </c>
      <c r="D61" s="8" t="str">
        <f aca="false">IF($A61="","",'Employee List'!F61&amp;"")</f>
        <v/>
      </c>
      <c r="E61" s="8" t="str">
        <f aca="false">IF($A61="","",'Employee List'!G61&amp;"")</f>
        <v/>
      </c>
      <c r="F61" s="8" t="str">
        <f aca="false">IF($A61="","",'Employee List'!D61)</f>
        <v/>
      </c>
      <c r="G61" s="38" t="str">
        <f aca="false">IF($A61="","",IF('Employee List'!I61="","",'Employee List'!I61))</f>
        <v/>
      </c>
      <c r="H61" s="38" t="str">
        <f aca="false">IF(OR($A61="",G61=""),"",G61+Settings!$C$13)</f>
        <v/>
      </c>
      <c r="I61" s="38" t="str">
        <f aca="false">IF(H61="","",MAX(H61,DATE(LvYear,1,1)))</f>
        <v/>
      </c>
      <c r="J61" s="38" t="str">
        <f aca="false">IF($A61="","",IF('Employee List'!J61="",DATE(LvYear,12,31),MIN('Employee List'!J61,DATE(LvYear,12,31))))</f>
        <v/>
      </c>
      <c r="K61" s="39" t="str">
        <f aca="false">IF(OR(I61="",J61=""),"",MAX(0,J61-I61+1))</f>
        <v/>
      </c>
      <c r="L61" s="16" t="str">
        <f aca="false">IF($A61="","",IF(AND(ISNUMBER(K61),K61=0),0,Settings!$C$10))</f>
        <v/>
      </c>
      <c r="M61" s="16" t="str">
        <f aca="false">IF($A61="","",IF(AND(ISNUMBER(K61),K61=0),0,Settings!$C$11))</f>
        <v/>
      </c>
      <c r="N61" s="40"/>
      <c r="O61" s="16" t="str">
        <f aca="false">IF($A61="","",FLOOR(Settings!$C$12/365*N(K61),0.5))</f>
        <v/>
      </c>
      <c r="P61" s="16" t="str">
        <f aca="false">IF($A61="","",IF(I61="",N(N61),FLOOR(Settings!$C$12/365*MAX(0,MIN(LvAsOf,J61)-I61+1)+N(N61),0.5)))</f>
        <v/>
      </c>
      <c r="Q61" s="16" t="str">
        <f aca="false">IF($A61="","",Settings!$C$14)</f>
        <v/>
      </c>
      <c r="R61" s="16" t="str">
        <f aca="false">IF($A61="","",SUMIFS(Attendance!$AZ$6:$AZ$2405,Attendance!$B$6:$B$2405,$A61,Attendance!$A$6:$A$2405,"&gt;="&amp;DATE(LvYear,1,1),Attendance!$A$6:$A$2405,"&lt;="&amp;DATE(LvYear,12,31)))</f>
        <v/>
      </c>
      <c r="S61" s="16" t="str">
        <f aca="false">IF($A61="","",SUMIFS(Attendance!$AY$6:$AY$2405,Attendance!$B$6:$B$2405,$A61,Attendance!$A$6:$A$2405,"&gt;="&amp;DATE(LvYear,1,1),Attendance!$A$6:$A$2405,"&lt;="&amp;DATE(LvYear,12,31)))</f>
        <v/>
      </c>
      <c r="T61" s="16" t="str">
        <f aca="false">IF($A61="","",SUMIFS(Attendance!$AX$6:$AX$2405,Attendance!$B$6:$B$2405,$A61,Attendance!$A$6:$A$2405,"&gt;="&amp;DATE(LvYear,1,1),Attendance!$A$6:$A$2405,"&lt;="&amp;DATE(LvYear,12,31)))</f>
        <v/>
      </c>
      <c r="U61" s="16" t="str">
        <f aca="false">IF($A61="","",SUMIFS(Attendance!$AW$6:$AW$2405,Attendance!$B$6:$B$2405,$A61,Attendance!$A$6:$A$2405,"&gt;="&amp;DATE(LvYear,1,1),Attendance!$A$6:$A$2405,"&lt;="&amp;DATE(LvYear,12,31)))</f>
        <v/>
      </c>
      <c r="V61" s="16" t="str">
        <f aca="false">IF($A61="","",L61-R61)</f>
        <v/>
      </c>
      <c r="W61" s="16" t="str">
        <f aca="false">IF($A61="","",M61-S61)</f>
        <v/>
      </c>
      <c r="X61" s="16" t="str">
        <f aca="false">IF($A61="","",P61-T61)</f>
        <v/>
      </c>
      <c r="Y61" s="16" t="str">
        <f aca="false">IF($A61="","",Q61-U61)</f>
        <v/>
      </c>
      <c r="Z61" s="16" t="str">
        <f aca="false">IF($A61="","",V61+W61+X61)</f>
        <v/>
      </c>
      <c r="AA61" s="16" t="str">
        <f aca="false">IF($A61="","",O61+N(N61)-T61)</f>
        <v/>
      </c>
      <c r="AB61" s="8" t="str">
        <f aca="false">IF($A61="","","CL "&amp;V61&amp;" | SL "&amp;W61&amp;" | PL "&amp;X61&amp;" | TR "&amp;Y61)</f>
        <v/>
      </c>
      <c r="AC61" s="15" t="str">
        <f aca="false">IF($A61="","",IF(F61="Exited","EXITED",IF(AND(ISNUMBER(K61),K61=0),"NOT ELIGIBLE",IF(MIN(V61:X61)&lt;0,"OVER-USED",IF(Z61&lt;=Settings!$C$15,"LOW","OK")))))</f>
        <v/>
      </c>
      <c r="AD61" s="16" t="str">
        <f aca="false">IF(OR(AC61="OVER-USED",AC61="LOW"),COUNTIF(AC$6:AC61,"OVER-USED")+COUNTIF(AC$6:AC61,"LOW"),"")</f>
        <v/>
      </c>
    </row>
    <row r="62" customFormat="false" ht="15" hidden="false" customHeight="false" outlineLevel="0" collapsed="false">
      <c r="A62" s="8" t="str">
        <f aca="false">IF('Employee List'!B62="","",'Employee List'!B62)</f>
        <v/>
      </c>
      <c r="B62" s="8" t="str">
        <f aca="false">IF($A62="","",'Employee List'!C62)</f>
        <v/>
      </c>
      <c r="C62" s="8" t="str">
        <f aca="false">IF($A62="","",'Employee List'!E62&amp;"")</f>
        <v/>
      </c>
      <c r="D62" s="8" t="str">
        <f aca="false">IF($A62="","",'Employee List'!F62&amp;"")</f>
        <v/>
      </c>
      <c r="E62" s="8" t="str">
        <f aca="false">IF($A62="","",'Employee List'!G62&amp;"")</f>
        <v/>
      </c>
      <c r="F62" s="8" t="str">
        <f aca="false">IF($A62="","",'Employee List'!D62)</f>
        <v/>
      </c>
      <c r="G62" s="38" t="str">
        <f aca="false">IF($A62="","",IF('Employee List'!I62="","",'Employee List'!I62))</f>
        <v/>
      </c>
      <c r="H62" s="38" t="str">
        <f aca="false">IF(OR($A62="",G62=""),"",G62+Settings!$C$13)</f>
        <v/>
      </c>
      <c r="I62" s="38" t="str">
        <f aca="false">IF(H62="","",MAX(H62,DATE(LvYear,1,1)))</f>
        <v/>
      </c>
      <c r="J62" s="38" t="str">
        <f aca="false">IF($A62="","",IF('Employee List'!J62="",DATE(LvYear,12,31),MIN('Employee List'!J62,DATE(LvYear,12,31))))</f>
        <v/>
      </c>
      <c r="K62" s="39" t="str">
        <f aca="false">IF(OR(I62="",J62=""),"",MAX(0,J62-I62+1))</f>
        <v/>
      </c>
      <c r="L62" s="16" t="str">
        <f aca="false">IF($A62="","",IF(AND(ISNUMBER(K62),K62=0),0,Settings!$C$10))</f>
        <v/>
      </c>
      <c r="M62" s="16" t="str">
        <f aca="false">IF($A62="","",IF(AND(ISNUMBER(K62),K62=0),0,Settings!$C$11))</f>
        <v/>
      </c>
      <c r="N62" s="40"/>
      <c r="O62" s="16" t="str">
        <f aca="false">IF($A62="","",FLOOR(Settings!$C$12/365*N(K62),0.5))</f>
        <v/>
      </c>
      <c r="P62" s="16" t="str">
        <f aca="false">IF($A62="","",IF(I62="",N(N62),FLOOR(Settings!$C$12/365*MAX(0,MIN(LvAsOf,J62)-I62+1)+N(N62),0.5)))</f>
        <v/>
      </c>
      <c r="Q62" s="16" t="str">
        <f aca="false">IF($A62="","",Settings!$C$14)</f>
        <v/>
      </c>
      <c r="R62" s="16" t="str">
        <f aca="false">IF($A62="","",SUMIFS(Attendance!$AZ$6:$AZ$2405,Attendance!$B$6:$B$2405,$A62,Attendance!$A$6:$A$2405,"&gt;="&amp;DATE(LvYear,1,1),Attendance!$A$6:$A$2405,"&lt;="&amp;DATE(LvYear,12,31)))</f>
        <v/>
      </c>
      <c r="S62" s="16" t="str">
        <f aca="false">IF($A62="","",SUMIFS(Attendance!$AY$6:$AY$2405,Attendance!$B$6:$B$2405,$A62,Attendance!$A$6:$A$2405,"&gt;="&amp;DATE(LvYear,1,1),Attendance!$A$6:$A$2405,"&lt;="&amp;DATE(LvYear,12,31)))</f>
        <v/>
      </c>
      <c r="T62" s="16" t="str">
        <f aca="false">IF($A62="","",SUMIFS(Attendance!$AX$6:$AX$2405,Attendance!$B$6:$B$2405,$A62,Attendance!$A$6:$A$2405,"&gt;="&amp;DATE(LvYear,1,1),Attendance!$A$6:$A$2405,"&lt;="&amp;DATE(LvYear,12,31)))</f>
        <v/>
      </c>
      <c r="U62" s="16" t="str">
        <f aca="false">IF($A62="","",SUMIFS(Attendance!$AW$6:$AW$2405,Attendance!$B$6:$B$2405,$A62,Attendance!$A$6:$A$2405,"&gt;="&amp;DATE(LvYear,1,1),Attendance!$A$6:$A$2405,"&lt;="&amp;DATE(LvYear,12,31)))</f>
        <v/>
      </c>
      <c r="V62" s="16" t="str">
        <f aca="false">IF($A62="","",L62-R62)</f>
        <v/>
      </c>
      <c r="W62" s="16" t="str">
        <f aca="false">IF($A62="","",M62-S62)</f>
        <v/>
      </c>
      <c r="X62" s="16" t="str">
        <f aca="false">IF($A62="","",P62-T62)</f>
        <v/>
      </c>
      <c r="Y62" s="16" t="str">
        <f aca="false">IF($A62="","",Q62-U62)</f>
        <v/>
      </c>
      <c r="Z62" s="16" t="str">
        <f aca="false">IF($A62="","",V62+W62+X62)</f>
        <v/>
      </c>
      <c r="AA62" s="16" t="str">
        <f aca="false">IF($A62="","",O62+N(N62)-T62)</f>
        <v/>
      </c>
      <c r="AB62" s="8" t="str">
        <f aca="false">IF($A62="","","CL "&amp;V62&amp;" | SL "&amp;W62&amp;" | PL "&amp;X62&amp;" | TR "&amp;Y62)</f>
        <v/>
      </c>
      <c r="AC62" s="15" t="str">
        <f aca="false">IF($A62="","",IF(F62="Exited","EXITED",IF(AND(ISNUMBER(K62),K62=0),"NOT ELIGIBLE",IF(MIN(V62:X62)&lt;0,"OVER-USED",IF(Z62&lt;=Settings!$C$15,"LOW","OK")))))</f>
        <v/>
      </c>
      <c r="AD62" s="16" t="str">
        <f aca="false">IF(OR(AC62="OVER-USED",AC62="LOW"),COUNTIF(AC$6:AC62,"OVER-USED")+COUNTIF(AC$6:AC62,"LOW"),"")</f>
        <v/>
      </c>
    </row>
    <row r="63" customFormat="false" ht="15" hidden="false" customHeight="false" outlineLevel="0" collapsed="false">
      <c r="A63" s="8" t="str">
        <f aca="false">IF('Employee List'!B63="","",'Employee List'!B63)</f>
        <v/>
      </c>
      <c r="B63" s="8" t="str">
        <f aca="false">IF($A63="","",'Employee List'!C63)</f>
        <v/>
      </c>
      <c r="C63" s="8" t="str">
        <f aca="false">IF($A63="","",'Employee List'!E63&amp;"")</f>
        <v/>
      </c>
      <c r="D63" s="8" t="str">
        <f aca="false">IF($A63="","",'Employee List'!F63&amp;"")</f>
        <v/>
      </c>
      <c r="E63" s="8" t="str">
        <f aca="false">IF($A63="","",'Employee List'!G63&amp;"")</f>
        <v/>
      </c>
      <c r="F63" s="8" t="str">
        <f aca="false">IF($A63="","",'Employee List'!D63)</f>
        <v/>
      </c>
      <c r="G63" s="38" t="str">
        <f aca="false">IF($A63="","",IF('Employee List'!I63="","",'Employee List'!I63))</f>
        <v/>
      </c>
      <c r="H63" s="38" t="str">
        <f aca="false">IF(OR($A63="",G63=""),"",G63+Settings!$C$13)</f>
        <v/>
      </c>
      <c r="I63" s="38" t="str">
        <f aca="false">IF(H63="","",MAX(H63,DATE(LvYear,1,1)))</f>
        <v/>
      </c>
      <c r="J63" s="38" t="str">
        <f aca="false">IF($A63="","",IF('Employee List'!J63="",DATE(LvYear,12,31),MIN('Employee List'!J63,DATE(LvYear,12,31))))</f>
        <v/>
      </c>
      <c r="K63" s="39" t="str">
        <f aca="false">IF(OR(I63="",J63=""),"",MAX(0,J63-I63+1))</f>
        <v/>
      </c>
      <c r="L63" s="16" t="str">
        <f aca="false">IF($A63="","",IF(AND(ISNUMBER(K63),K63=0),0,Settings!$C$10))</f>
        <v/>
      </c>
      <c r="M63" s="16" t="str">
        <f aca="false">IF($A63="","",IF(AND(ISNUMBER(K63),K63=0),0,Settings!$C$11))</f>
        <v/>
      </c>
      <c r="N63" s="40"/>
      <c r="O63" s="16" t="str">
        <f aca="false">IF($A63="","",FLOOR(Settings!$C$12/365*N(K63),0.5))</f>
        <v/>
      </c>
      <c r="P63" s="16" t="str">
        <f aca="false">IF($A63="","",IF(I63="",N(N63),FLOOR(Settings!$C$12/365*MAX(0,MIN(LvAsOf,J63)-I63+1)+N(N63),0.5)))</f>
        <v/>
      </c>
      <c r="Q63" s="16" t="str">
        <f aca="false">IF($A63="","",Settings!$C$14)</f>
        <v/>
      </c>
      <c r="R63" s="16" t="str">
        <f aca="false">IF($A63="","",SUMIFS(Attendance!$AZ$6:$AZ$2405,Attendance!$B$6:$B$2405,$A63,Attendance!$A$6:$A$2405,"&gt;="&amp;DATE(LvYear,1,1),Attendance!$A$6:$A$2405,"&lt;="&amp;DATE(LvYear,12,31)))</f>
        <v/>
      </c>
      <c r="S63" s="16" t="str">
        <f aca="false">IF($A63="","",SUMIFS(Attendance!$AY$6:$AY$2405,Attendance!$B$6:$B$2405,$A63,Attendance!$A$6:$A$2405,"&gt;="&amp;DATE(LvYear,1,1),Attendance!$A$6:$A$2405,"&lt;="&amp;DATE(LvYear,12,31)))</f>
        <v/>
      </c>
      <c r="T63" s="16" t="str">
        <f aca="false">IF($A63="","",SUMIFS(Attendance!$AX$6:$AX$2405,Attendance!$B$6:$B$2405,$A63,Attendance!$A$6:$A$2405,"&gt;="&amp;DATE(LvYear,1,1),Attendance!$A$6:$A$2405,"&lt;="&amp;DATE(LvYear,12,31)))</f>
        <v/>
      </c>
      <c r="U63" s="16" t="str">
        <f aca="false">IF($A63="","",SUMIFS(Attendance!$AW$6:$AW$2405,Attendance!$B$6:$B$2405,$A63,Attendance!$A$6:$A$2405,"&gt;="&amp;DATE(LvYear,1,1),Attendance!$A$6:$A$2405,"&lt;="&amp;DATE(LvYear,12,31)))</f>
        <v/>
      </c>
      <c r="V63" s="16" t="str">
        <f aca="false">IF($A63="","",L63-R63)</f>
        <v/>
      </c>
      <c r="W63" s="16" t="str">
        <f aca="false">IF($A63="","",M63-S63)</f>
        <v/>
      </c>
      <c r="X63" s="16" t="str">
        <f aca="false">IF($A63="","",P63-T63)</f>
        <v/>
      </c>
      <c r="Y63" s="16" t="str">
        <f aca="false">IF($A63="","",Q63-U63)</f>
        <v/>
      </c>
      <c r="Z63" s="16" t="str">
        <f aca="false">IF($A63="","",V63+W63+X63)</f>
        <v/>
      </c>
      <c r="AA63" s="16" t="str">
        <f aca="false">IF($A63="","",O63+N(N63)-T63)</f>
        <v/>
      </c>
      <c r="AB63" s="8" t="str">
        <f aca="false">IF($A63="","","CL "&amp;V63&amp;" | SL "&amp;W63&amp;" | PL "&amp;X63&amp;" | TR "&amp;Y63)</f>
        <v/>
      </c>
      <c r="AC63" s="15" t="str">
        <f aca="false">IF($A63="","",IF(F63="Exited","EXITED",IF(AND(ISNUMBER(K63),K63=0),"NOT ELIGIBLE",IF(MIN(V63:X63)&lt;0,"OVER-USED",IF(Z63&lt;=Settings!$C$15,"LOW","OK")))))</f>
        <v/>
      </c>
      <c r="AD63" s="16" t="str">
        <f aca="false">IF(OR(AC63="OVER-USED",AC63="LOW"),COUNTIF(AC$6:AC63,"OVER-USED")+COUNTIF(AC$6:AC63,"LOW"),"")</f>
        <v/>
      </c>
    </row>
    <row r="64" customFormat="false" ht="15" hidden="false" customHeight="false" outlineLevel="0" collapsed="false">
      <c r="A64" s="8" t="str">
        <f aca="false">IF('Employee List'!B64="","",'Employee List'!B64)</f>
        <v/>
      </c>
      <c r="B64" s="8" t="str">
        <f aca="false">IF($A64="","",'Employee List'!C64)</f>
        <v/>
      </c>
      <c r="C64" s="8" t="str">
        <f aca="false">IF($A64="","",'Employee List'!E64&amp;"")</f>
        <v/>
      </c>
      <c r="D64" s="8" t="str">
        <f aca="false">IF($A64="","",'Employee List'!F64&amp;"")</f>
        <v/>
      </c>
      <c r="E64" s="8" t="str">
        <f aca="false">IF($A64="","",'Employee List'!G64&amp;"")</f>
        <v/>
      </c>
      <c r="F64" s="8" t="str">
        <f aca="false">IF($A64="","",'Employee List'!D64)</f>
        <v/>
      </c>
      <c r="G64" s="38" t="str">
        <f aca="false">IF($A64="","",IF('Employee List'!I64="","",'Employee List'!I64))</f>
        <v/>
      </c>
      <c r="H64" s="38" t="str">
        <f aca="false">IF(OR($A64="",G64=""),"",G64+Settings!$C$13)</f>
        <v/>
      </c>
      <c r="I64" s="38" t="str">
        <f aca="false">IF(H64="","",MAX(H64,DATE(LvYear,1,1)))</f>
        <v/>
      </c>
      <c r="J64" s="38" t="str">
        <f aca="false">IF($A64="","",IF('Employee List'!J64="",DATE(LvYear,12,31),MIN('Employee List'!J64,DATE(LvYear,12,31))))</f>
        <v/>
      </c>
      <c r="K64" s="39" t="str">
        <f aca="false">IF(OR(I64="",J64=""),"",MAX(0,J64-I64+1))</f>
        <v/>
      </c>
      <c r="L64" s="16" t="str">
        <f aca="false">IF($A64="","",IF(AND(ISNUMBER(K64),K64=0),0,Settings!$C$10))</f>
        <v/>
      </c>
      <c r="M64" s="16" t="str">
        <f aca="false">IF($A64="","",IF(AND(ISNUMBER(K64),K64=0),0,Settings!$C$11))</f>
        <v/>
      </c>
      <c r="N64" s="40"/>
      <c r="O64" s="16" t="str">
        <f aca="false">IF($A64="","",FLOOR(Settings!$C$12/365*N(K64),0.5))</f>
        <v/>
      </c>
      <c r="P64" s="16" t="str">
        <f aca="false">IF($A64="","",IF(I64="",N(N64),FLOOR(Settings!$C$12/365*MAX(0,MIN(LvAsOf,J64)-I64+1)+N(N64),0.5)))</f>
        <v/>
      </c>
      <c r="Q64" s="16" t="str">
        <f aca="false">IF($A64="","",Settings!$C$14)</f>
        <v/>
      </c>
      <c r="R64" s="16" t="str">
        <f aca="false">IF($A64="","",SUMIFS(Attendance!$AZ$6:$AZ$2405,Attendance!$B$6:$B$2405,$A64,Attendance!$A$6:$A$2405,"&gt;="&amp;DATE(LvYear,1,1),Attendance!$A$6:$A$2405,"&lt;="&amp;DATE(LvYear,12,31)))</f>
        <v/>
      </c>
      <c r="S64" s="16" t="str">
        <f aca="false">IF($A64="","",SUMIFS(Attendance!$AY$6:$AY$2405,Attendance!$B$6:$B$2405,$A64,Attendance!$A$6:$A$2405,"&gt;="&amp;DATE(LvYear,1,1),Attendance!$A$6:$A$2405,"&lt;="&amp;DATE(LvYear,12,31)))</f>
        <v/>
      </c>
      <c r="T64" s="16" t="str">
        <f aca="false">IF($A64="","",SUMIFS(Attendance!$AX$6:$AX$2405,Attendance!$B$6:$B$2405,$A64,Attendance!$A$6:$A$2405,"&gt;="&amp;DATE(LvYear,1,1),Attendance!$A$6:$A$2405,"&lt;="&amp;DATE(LvYear,12,31)))</f>
        <v/>
      </c>
      <c r="U64" s="16" t="str">
        <f aca="false">IF($A64="","",SUMIFS(Attendance!$AW$6:$AW$2405,Attendance!$B$6:$B$2405,$A64,Attendance!$A$6:$A$2405,"&gt;="&amp;DATE(LvYear,1,1),Attendance!$A$6:$A$2405,"&lt;="&amp;DATE(LvYear,12,31)))</f>
        <v/>
      </c>
      <c r="V64" s="16" t="str">
        <f aca="false">IF($A64="","",L64-R64)</f>
        <v/>
      </c>
      <c r="W64" s="16" t="str">
        <f aca="false">IF($A64="","",M64-S64)</f>
        <v/>
      </c>
      <c r="X64" s="16" t="str">
        <f aca="false">IF($A64="","",P64-T64)</f>
        <v/>
      </c>
      <c r="Y64" s="16" t="str">
        <f aca="false">IF($A64="","",Q64-U64)</f>
        <v/>
      </c>
      <c r="Z64" s="16" t="str">
        <f aca="false">IF($A64="","",V64+W64+X64)</f>
        <v/>
      </c>
      <c r="AA64" s="16" t="str">
        <f aca="false">IF($A64="","",O64+N(N64)-T64)</f>
        <v/>
      </c>
      <c r="AB64" s="8" t="str">
        <f aca="false">IF($A64="","","CL "&amp;V64&amp;" | SL "&amp;W64&amp;" | PL "&amp;X64&amp;" | TR "&amp;Y64)</f>
        <v/>
      </c>
      <c r="AC64" s="15" t="str">
        <f aca="false">IF($A64="","",IF(F64="Exited","EXITED",IF(AND(ISNUMBER(K64),K64=0),"NOT ELIGIBLE",IF(MIN(V64:X64)&lt;0,"OVER-USED",IF(Z64&lt;=Settings!$C$15,"LOW","OK")))))</f>
        <v/>
      </c>
      <c r="AD64" s="16" t="str">
        <f aca="false">IF(OR(AC64="OVER-USED",AC64="LOW"),COUNTIF(AC$6:AC64,"OVER-USED")+COUNTIF(AC$6:AC64,"LOW"),"")</f>
        <v/>
      </c>
    </row>
    <row r="65" customFormat="false" ht="15" hidden="false" customHeight="false" outlineLevel="0" collapsed="false">
      <c r="A65" s="8" t="str">
        <f aca="false">IF('Employee List'!B65="","",'Employee List'!B65)</f>
        <v/>
      </c>
      <c r="B65" s="8" t="str">
        <f aca="false">IF($A65="","",'Employee List'!C65)</f>
        <v/>
      </c>
      <c r="C65" s="8" t="str">
        <f aca="false">IF($A65="","",'Employee List'!E65&amp;"")</f>
        <v/>
      </c>
      <c r="D65" s="8" t="str">
        <f aca="false">IF($A65="","",'Employee List'!F65&amp;"")</f>
        <v/>
      </c>
      <c r="E65" s="8" t="str">
        <f aca="false">IF($A65="","",'Employee List'!G65&amp;"")</f>
        <v/>
      </c>
      <c r="F65" s="8" t="str">
        <f aca="false">IF($A65="","",'Employee List'!D65)</f>
        <v/>
      </c>
      <c r="G65" s="38" t="str">
        <f aca="false">IF($A65="","",IF('Employee List'!I65="","",'Employee List'!I65))</f>
        <v/>
      </c>
      <c r="H65" s="38" t="str">
        <f aca="false">IF(OR($A65="",G65=""),"",G65+Settings!$C$13)</f>
        <v/>
      </c>
      <c r="I65" s="38" t="str">
        <f aca="false">IF(H65="","",MAX(H65,DATE(LvYear,1,1)))</f>
        <v/>
      </c>
      <c r="J65" s="38" t="str">
        <f aca="false">IF($A65="","",IF('Employee List'!J65="",DATE(LvYear,12,31),MIN('Employee List'!J65,DATE(LvYear,12,31))))</f>
        <v/>
      </c>
      <c r="K65" s="39" t="str">
        <f aca="false">IF(OR(I65="",J65=""),"",MAX(0,J65-I65+1))</f>
        <v/>
      </c>
      <c r="L65" s="16" t="str">
        <f aca="false">IF($A65="","",IF(AND(ISNUMBER(K65),K65=0),0,Settings!$C$10))</f>
        <v/>
      </c>
      <c r="M65" s="16" t="str">
        <f aca="false">IF($A65="","",IF(AND(ISNUMBER(K65),K65=0),0,Settings!$C$11))</f>
        <v/>
      </c>
      <c r="N65" s="40"/>
      <c r="O65" s="16" t="str">
        <f aca="false">IF($A65="","",FLOOR(Settings!$C$12/365*N(K65),0.5))</f>
        <v/>
      </c>
      <c r="P65" s="16" t="str">
        <f aca="false">IF($A65="","",IF(I65="",N(N65),FLOOR(Settings!$C$12/365*MAX(0,MIN(LvAsOf,J65)-I65+1)+N(N65),0.5)))</f>
        <v/>
      </c>
      <c r="Q65" s="16" t="str">
        <f aca="false">IF($A65="","",Settings!$C$14)</f>
        <v/>
      </c>
      <c r="R65" s="16" t="str">
        <f aca="false">IF($A65="","",SUMIFS(Attendance!$AZ$6:$AZ$2405,Attendance!$B$6:$B$2405,$A65,Attendance!$A$6:$A$2405,"&gt;="&amp;DATE(LvYear,1,1),Attendance!$A$6:$A$2405,"&lt;="&amp;DATE(LvYear,12,31)))</f>
        <v/>
      </c>
      <c r="S65" s="16" t="str">
        <f aca="false">IF($A65="","",SUMIFS(Attendance!$AY$6:$AY$2405,Attendance!$B$6:$B$2405,$A65,Attendance!$A$6:$A$2405,"&gt;="&amp;DATE(LvYear,1,1),Attendance!$A$6:$A$2405,"&lt;="&amp;DATE(LvYear,12,31)))</f>
        <v/>
      </c>
      <c r="T65" s="16" t="str">
        <f aca="false">IF($A65="","",SUMIFS(Attendance!$AX$6:$AX$2405,Attendance!$B$6:$B$2405,$A65,Attendance!$A$6:$A$2405,"&gt;="&amp;DATE(LvYear,1,1),Attendance!$A$6:$A$2405,"&lt;="&amp;DATE(LvYear,12,31)))</f>
        <v/>
      </c>
      <c r="U65" s="16" t="str">
        <f aca="false">IF($A65="","",SUMIFS(Attendance!$AW$6:$AW$2405,Attendance!$B$6:$B$2405,$A65,Attendance!$A$6:$A$2405,"&gt;="&amp;DATE(LvYear,1,1),Attendance!$A$6:$A$2405,"&lt;="&amp;DATE(LvYear,12,31)))</f>
        <v/>
      </c>
      <c r="V65" s="16" t="str">
        <f aca="false">IF($A65="","",L65-R65)</f>
        <v/>
      </c>
      <c r="W65" s="16" t="str">
        <f aca="false">IF($A65="","",M65-S65)</f>
        <v/>
      </c>
      <c r="X65" s="16" t="str">
        <f aca="false">IF($A65="","",P65-T65)</f>
        <v/>
      </c>
      <c r="Y65" s="16" t="str">
        <f aca="false">IF($A65="","",Q65-U65)</f>
        <v/>
      </c>
      <c r="Z65" s="16" t="str">
        <f aca="false">IF($A65="","",V65+W65+X65)</f>
        <v/>
      </c>
      <c r="AA65" s="16" t="str">
        <f aca="false">IF($A65="","",O65+N(N65)-T65)</f>
        <v/>
      </c>
      <c r="AB65" s="8" t="str">
        <f aca="false">IF($A65="","","CL "&amp;V65&amp;" | SL "&amp;W65&amp;" | PL "&amp;X65&amp;" | TR "&amp;Y65)</f>
        <v/>
      </c>
      <c r="AC65" s="15" t="str">
        <f aca="false">IF($A65="","",IF(F65="Exited","EXITED",IF(AND(ISNUMBER(K65),K65=0),"NOT ELIGIBLE",IF(MIN(V65:X65)&lt;0,"OVER-USED",IF(Z65&lt;=Settings!$C$15,"LOW","OK")))))</f>
        <v/>
      </c>
      <c r="AD65" s="16" t="str">
        <f aca="false">IF(OR(AC65="OVER-USED",AC65="LOW"),COUNTIF(AC$6:AC65,"OVER-USED")+COUNTIF(AC$6:AC65,"LOW"),"")</f>
        <v/>
      </c>
    </row>
    <row r="66" customFormat="false" ht="15" hidden="false" customHeight="false" outlineLevel="0" collapsed="false">
      <c r="A66" s="8" t="str">
        <f aca="false">IF('Employee List'!B66="","",'Employee List'!B66)</f>
        <v/>
      </c>
      <c r="B66" s="8" t="str">
        <f aca="false">IF($A66="","",'Employee List'!C66)</f>
        <v/>
      </c>
      <c r="C66" s="8" t="str">
        <f aca="false">IF($A66="","",'Employee List'!E66&amp;"")</f>
        <v/>
      </c>
      <c r="D66" s="8" t="str">
        <f aca="false">IF($A66="","",'Employee List'!F66&amp;"")</f>
        <v/>
      </c>
      <c r="E66" s="8" t="str">
        <f aca="false">IF($A66="","",'Employee List'!G66&amp;"")</f>
        <v/>
      </c>
      <c r="F66" s="8" t="str">
        <f aca="false">IF($A66="","",'Employee List'!D66)</f>
        <v/>
      </c>
      <c r="G66" s="38" t="str">
        <f aca="false">IF($A66="","",IF('Employee List'!I66="","",'Employee List'!I66))</f>
        <v/>
      </c>
      <c r="H66" s="38" t="str">
        <f aca="false">IF(OR($A66="",G66=""),"",G66+Settings!$C$13)</f>
        <v/>
      </c>
      <c r="I66" s="38" t="str">
        <f aca="false">IF(H66="","",MAX(H66,DATE(LvYear,1,1)))</f>
        <v/>
      </c>
      <c r="J66" s="38" t="str">
        <f aca="false">IF($A66="","",IF('Employee List'!J66="",DATE(LvYear,12,31),MIN('Employee List'!J66,DATE(LvYear,12,31))))</f>
        <v/>
      </c>
      <c r="K66" s="39" t="str">
        <f aca="false">IF(OR(I66="",J66=""),"",MAX(0,J66-I66+1))</f>
        <v/>
      </c>
      <c r="L66" s="16" t="str">
        <f aca="false">IF($A66="","",IF(AND(ISNUMBER(K66),K66=0),0,Settings!$C$10))</f>
        <v/>
      </c>
      <c r="M66" s="16" t="str">
        <f aca="false">IF($A66="","",IF(AND(ISNUMBER(K66),K66=0),0,Settings!$C$11))</f>
        <v/>
      </c>
      <c r="N66" s="40"/>
      <c r="O66" s="16" t="str">
        <f aca="false">IF($A66="","",FLOOR(Settings!$C$12/365*N(K66),0.5))</f>
        <v/>
      </c>
      <c r="P66" s="16" t="str">
        <f aca="false">IF($A66="","",IF(I66="",N(N66),FLOOR(Settings!$C$12/365*MAX(0,MIN(LvAsOf,J66)-I66+1)+N(N66),0.5)))</f>
        <v/>
      </c>
      <c r="Q66" s="16" t="str">
        <f aca="false">IF($A66="","",Settings!$C$14)</f>
        <v/>
      </c>
      <c r="R66" s="16" t="str">
        <f aca="false">IF($A66="","",SUMIFS(Attendance!$AZ$6:$AZ$2405,Attendance!$B$6:$B$2405,$A66,Attendance!$A$6:$A$2405,"&gt;="&amp;DATE(LvYear,1,1),Attendance!$A$6:$A$2405,"&lt;="&amp;DATE(LvYear,12,31)))</f>
        <v/>
      </c>
      <c r="S66" s="16" t="str">
        <f aca="false">IF($A66="","",SUMIFS(Attendance!$AY$6:$AY$2405,Attendance!$B$6:$B$2405,$A66,Attendance!$A$6:$A$2405,"&gt;="&amp;DATE(LvYear,1,1),Attendance!$A$6:$A$2405,"&lt;="&amp;DATE(LvYear,12,31)))</f>
        <v/>
      </c>
      <c r="T66" s="16" t="str">
        <f aca="false">IF($A66="","",SUMIFS(Attendance!$AX$6:$AX$2405,Attendance!$B$6:$B$2405,$A66,Attendance!$A$6:$A$2405,"&gt;="&amp;DATE(LvYear,1,1),Attendance!$A$6:$A$2405,"&lt;="&amp;DATE(LvYear,12,31)))</f>
        <v/>
      </c>
      <c r="U66" s="16" t="str">
        <f aca="false">IF($A66="","",SUMIFS(Attendance!$AW$6:$AW$2405,Attendance!$B$6:$B$2405,$A66,Attendance!$A$6:$A$2405,"&gt;="&amp;DATE(LvYear,1,1),Attendance!$A$6:$A$2405,"&lt;="&amp;DATE(LvYear,12,31)))</f>
        <v/>
      </c>
      <c r="V66" s="16" t="str">
        <f aca="false">IF($A66="","",L66-R66)</f>
        <v/>
      </c>
      <c r="W66" s="16" t="str">
        <f aca="false">IF($A66="","",M66-S66)</f>
        <v/>
      </c>
      <c r="X66" s="16" t="str">
        <f aca="false">IF($A66="","",P66-T66)</f>
        <v/>
      </c>
      <c r="Y66" s="16" t="str">
        <f aca="false">IF($A66="","",Q66-U66)</f>
        <v/>
      </c>
      <c r="Z66" s="16" t="str">
        <f aca="false">IF($A66="","",V66+W66+X66)</f>
        <v/>
      </c>
      <c r="AA66" s="16" t="str">
        <f aca="false">IF($A66="","",O66+N(N66)-T66)</f>
        <v/>
      </c>
      <c r="AB66" s="8" t="str">
        <f aca="false">IF($A66="","","CL "&amp;V66&amp;" | SL "&amp;W66&amp;" | PL "&amp;X66&amp;" | TR "&amp;Y66)</f>
        <v/>
      </c>
      <c r="AC66" s="15" t="str">
        <f aca="false">IF($A66="","",IF(F66="Exited","EXITED",IF(AND(ISNUMBER(K66),K66=0),"NOT ELIGIBLE",IF(MIN(V66:X66)&lt;0,"OVER-USED",IF(Z66&lt;=Settings!$C$15,"LOW","OK")))))</f>
        <v/>
      </c>
      <c r="AD66" s="16" t="str">
        <f aca="false">IF(OR(AC66="OVER-USED",AC66="LOW"),COUNTIF(AC$6:AC66,"OVER-USED")+COUNTIF(AC$6:AC66,"LOW"),"")</f>
        <v/>
      </c>
    </row>
    <row r="67" customFormat="false" ht="15" hidden="false" customHeight="false" outlineLevel="0" collapsed="false">
      <c r="A67" s="8" t="str">
        <f aca="false">IF('Employee List'!B67="","",'Employee List'!B67)</f>
        <v/>
      </c>
      <c r="B67" s="8" t="str">
        <f aca="false">IF($A67="","",'Employee List'!C67)</f>
        <v/>
      </c>
      <c r="C67" s="8" t="str">
        <f aca="false">IF($A67="","",'Employee List'!E67&amp;"")</f>
        <v/>
      </c>
      <c r="D67" s="8" t="str">
        <f aca="false">IF($A67="","",'Employee List'!F67&amp;"")</f>
        <v/>
      </c>
      <c r="E67" s="8" t="str">
        <f aca="false">IF($A67="","",'Employee List'!G67&amp;"")</f>
        <v/>
      </c>
      <c r="F67" s="8" t="str">
        <f aca="false">IF($A67="","",'Employee List'!D67)</f>
        <v/>
      </c>
      <c r="G67" s="38" t="str">
        <f aca="false">IF($A67="","",IF('Employee List'!I67="","",'Employee List'!I67))</f>
        <v/>
      </c>
      <c r="H67" s="38" t="str">
        <f aca="false">IF(OR($A67="",G67=""),"",G67+Settings!$C$13)</f>
        <v/>
      </c>
      <c r="I67" s="38" t="str">
        <f aca="false">IF(H67="","",MAX(H67,DATE(LvYear,1,1)))</f>
        <v/>
      </c>
      <c r="J67" s="38" t="str">
        <f aca="false">IF($A67="","",IF('Employee List'!J67="",DATE(LvYear,12,31),MIN('Employee List'!J67,DATE(LvYear,12,31))))</f>
        <v/>
      </c>
      <c r="K67" s="39" t="str">
        <f aca="false">IF(OR(I67="",J67=""),"",MAX(0,J67-I67+1))</f>
        <v/>
      </c>
      <c r="L67" s="16" t="str">
        <f aca="false">IF($A67="","",IF(AND(ISNUMBER(K67),K67=0),0,Settings!$C$10))</f>
        <v/>
      </c>
      <c r="M67" s="16" t="str">
        <f aca="false">IF($A67="","",IF(AND(ISNUMBER(K67),K67=0),0,Settings!$C$11))</f>
        <v/>
      </c>
      <c r="N67" s="40"/>
      <c r="O67" s="16" t="str">
        <f aca="false">IF($A67="","",FLOOR(Settings!$C$12/365*N(K67),0.5))</f>
        <v/>
      </c>
      <c r="P67" s="16" t="str">
        <f aca="false">IF($A67="","",IF(I67="",N(N67),FLOOR(Settings!$C$12/365*MAX(0,MIN(LvAsOf,J67)-I67+1)+N(N67),0.5)))</f>
        <v/>
      </c>
      <c r="Q67" s="16" t="str">
        <f aca="false">IF($A67="","",Settings!$C$14)</f>
        <v/>
      </c>
      <c r="R67" s="16" t="str">
        <f aca="false">IF($A67="","",SUMIFS(Attendance!$AZ$6:$AZ$2405,Attendance!$B$6:$B$2405,$A67,Attendance!$A$6:$A$2405,"&gt;="&amp;DATE(LvYear,1,1),Attendance!$A$6:$A$2405,"&lt;="&amp;DATE(LvYear,12,31)))</f>
        <v/>
      </c>
      <c r="S67" s="16" t="str">
        <f aca="false">IF($A67="","",SUMIFS(Attendance!$AY$6:$AY$2405,Attendance!$B$6:$B$2405,$A67,Attendance!$A$6:$A$2405,"&gt;="&amp;DATE(LvYear,1,1),Attendance!$A$6:$A$2405,"&lt;="&amp;DATE(LvYear,12,31)))</f>
        <v/>
      </c>
      <c r="T67" s="16" t="str">
        <f aca="false">IF($A67="","",SUMIFS(Attendance!$AX$6:$AX$2405,Attendance!$B$6:$B$2405,$A67,Attendance!$A$6:$A$2405,"&gt;="&amp;DATE(LvYear,1,1),Attendance!$A$6:$A$2405,"&lt;="&amp;DATE(LvYear,12,31)))</f>
        <v/>
      </c>
      <c r="U67" s="16" t="str">
        <f aca="false">IF($A67="","",SUMIFS(Attendance!$AW$6:$AW$2405,Attendance!$B$6:$B$2405,$A67,Attendance!$A$6:$A$2405,"&gt;="&amp;DATE(LvYear,1,1),Attendance!$A$6:$A$2405,"&lt;="&amp;DATE(LvYear,12,31)))</f>
        <v/>
      </c>
      <c r="V67" s="16" t="str">
        <f aca="false">IF($A67="","",L67-R67)</f>
        <v/>
      </c>
      <c r="W67" s="16" t="str">
        <f aca="false">IF($A67="","",M67-S67)</f>
        <v/>
      </c>
      <c r="X67" s="16" t="str">
        <f aca="false">IF($A67="","",P67-T67)</f>
        <v/>
      </c>
      <c r="Y67" s="16" t="str">
        <f aca="false">IF($A67="","",Q67-U67)</f>
        <v/>
      </c>
      <c r="Z67" s="16" t="str">
        <f aca="false">IF($A67="","",V67+W67+X67)</f>
        <v/>
      </c>
      <c r="AA67" s="16" t="str">
        <f aca="false">IF($A67="","",O67+N(N67)-T67)</f>
        <v/>
      </c>
      <c r="AB67" s="8" t="str">
        <f aca="false">IF($A67="","","CL "&amp;V67&amp;" | SL "&amp;W67&amp;" | PL "&amp;X67&amp;" | TR "&amp;Y67)</f>
        <v/>
      </c>
      <c r="AC67" s="15" t="str">
        <f aca="false">IF($A67="","",IF(F67="Exited","EXITED",IF(AND(ISNUMBER(K67),K67=0),"NOT ELIGIBLE",IF(MIN(V67:X67)&lt;0,"OVER-USED",IF(Z67&lt;=Settings!$C$15,"LOW","OK")))))</f>
        <v/>
      </c>
      <c r="AD67" s="16" t="str">
        <f aca="false">IF(OR(AC67="OVER-USED",AC67="LOW"),COUNTIF(AC$6:AC67,"OVER-USED")+COUNTIF(AC$6:AC67,"LOW"),"")</f>
        <v/>
      </c>
    </row>
    <row r="68" customFormat="false" ht="15" hidden="false" customHeight="false" outlineLevel="0" collapsed="false">
      <c r="A68" s="8" t="str">
        <f aca="false">IF('Employee List'!B68="","",'Employee List'!B68)</f>
        <v/>
      </c>
      <c r="B68" s="8" t="str">
        <f aca="false">IF($A68="","",'Employee List'!C68)</f>
        <v/>
      </c>
      <c r="C68" s="8" t="str">
        <f aca="false">IF($A68="","",'Employee List'!E68&amp;"")</f>
        <v/>
      </c>
      <c r="D68" s="8" t="str">
        <f aca="false">IF($A68="","",'Employee List'!F68&amp;"")</f>
        <v/>
      </c>
      <c r="E68" s="8" t="str">
        <f aca="false">IF($A68="","",'Employee List'!G68&amp;"")</f>
        <v/>
      </c>
      <c r="F68" s="8" t="str">
        <f aca="false">IF($A68="","",'Employee List'!D68)</f>
        <v/>
      </c>
      <c r="G68" s="38" t="str">
        <f aca="false">IF($A68="","",IF('Employee List'!I68="","",'Employee List'!I68))</f>
        <v/>
      </c>
      <c r="H68" s="38" t="str">
        <f aca="false">IF(OR($A68="",G68=""),"",G68+Settings!$C$13)</f>
        <v/>
      </c>
      <c r="I68" s="38" t="str">
        <f aca="false">IF(H68="","",MAX(H68,DATE(LvYear,1,1)))</f>
        <v/>
      </c>
      <c r="J68" s="38" t="str">
        <f aca="false">IF($A68="","",IF('Employee List'!J68="",DATE(LvYear,12,31),MIN('Employee List'!J68,DATE(LvYear,12,31))))</f>
        <v/>
      </c>
      <c r="K68" s="39" t="str">
        <f aca="false">IF(OR(I68="",J68=""),"",MAX(0,J68-I68+1))</f>
        <v/>
      </c>
      <c r="L68" s="16" t="str">
        <f aca="false">IF($A68="","",IF(AND(ISNUMBER(K68),K68=0),0,Settings!$C$10))</f>
        <v/>
      </c>
      <c r="M68" s="16" t="str">
        <f aca="false">IF($A68="","",IF(AND(ISNUMBER(K68),K68=0),0,Settings!$C$11))</f>
        <v/>
      </c>
      <c r="N68" s="40"/>
      <c r="O68" s="16" t="str">
        <f aca="false">IF($A68="","",FLOOR(Settings!$C$12/365*N(K68),0.5))</f>
        <v/>
      </c>
      <c r="P68" s="16" t="str">
        <f aca="false">IF($A68="","",IF(I68="",N(N68),FLOOR(Settings!$C$12/365*MAX(0,MIN(LvAsOf,J68)-I68+1)+N(N68),0.5)))</f>
        <v/>
      </c>
      <c r="Q68" s="16" t="str">
        <f aca="false">IF($A68="","",Settings!$C$14)</f>
        <v/>
      </c>
      <c r="R68" s="16" t="str">
        <f aca="false">IF($A68="","",SUMIFS(Attendance!$AZ$6:$AZ$2405,Attendance!$B$6:$B$2405,$A68,Attendance!$A$6:$A$2405,"&gt;="&amp;DATE(LvYear,1,1),Attendance!$A$6:$A$2405,"&lt;="&amp;DATE(LvYear,12,31)))</f>
        <v/>
      </c>
      <c r="S68" s="16" t="str">
        <f aca="false">IF($A68="","",SUMIFS(Attendance!$AY$6:$AY$2405,Attendance!$B$6:$B$2405,$A68,Attendance!$A$6:$A$2405,"&gt;="&amp;DATE(LvYear,1,1),Attendance!$A$6:$A$2405,"&lt;="&amp;DATE(LvYear,12,31)))</f>
        <v/>
      </c>
      <c r="T68" s="16" t="str">
        <f aca="false">IF($A68="","",SUMIFS(Attendance!$AX$6:$AX$2405,Attendance!$B$6:$B$2405,$A68,Attendance!$A$6:$A$2405,"&gt;="&amp;DATE(LvYear,1,1),Attendance!$A$6:$A$2405,"&lt;="&amp;DATE(LvYear,12,31)))</f>
        <v/>
      </c>
      <c r="U68" s="16" t="str">
        <f aca="false">IF($A68="","",SUMIFS(Attendance!$AW$6:$AW$2405,Attendance!$B$6:$B$2405,$A68,Attendance!$A$6:$A$2405,"&gt;="&amp;DATE(LvYear,1,1),Attendance!$A$6:$A$2405,"&lt;="&amp;DATE(LvYear,12,31)))</f>
        <v/>
      </c>
      <c r="V68" s="16" t="str">
        <f aca="false">IF($A68="","",L68-R68)</f>
        <v/>
      </c>
      <c r="W68" s="16" t="str">
        <f aca="false">IF($A68="","",M68-S68)</f>
        <v/>
      </c>
      <c r="X68" s="16" t="str">
        <f aca="false">IF($A68="","",P68-T68)</f>
        <v/>
      </c>
      <c r="Y68" s="16" t="str">
        <f aca="false">IF($A68="","",Q68-U68)</f>
        <v/>
      </c>
      <c r="Z68" s="16" t="str">
        <f aca="false">IF($A68="","",V68+W68+X68)</f>
        <v/>
      </c>
      <c r="AA68" s="16" t="str">
        <f aca="false">IF($A68="","",O68+N(N68)-T68)</f>
        <v/>
      </c>
      <c r="AB68" s="8" t="str">
        <f aca="false">IF($A68="","","CL "&amp;V68&amp;" | SL "&amp;W68&amp;" | PL "&amp;X68&amp;" | TR "&amp;Y68)</f>
        <v/>
      </c>
      <c r="AC68" s="15" t="str">
        <f aca="false">IF($A68="","",IF(F68="Exited","EXITED",IF(AND(ISNUMBER(K68),K68=0),"NOT ELIGIBLE",IF(MIN(V68:X68)&lt;0,"OVER-USED",IF(Z68&lt;=Settings!$C$15,"LOW","OK")))))</f>
        <v/>
      </c>
      <c r="AD68" s="16" t="str">
        <f aca="false">IF(OR(AC68="OVER-USED",AC68="LOW"),COUNTIF(AC$6:AC68,"OVER-USED")+COUNTIF(AC$6:AC68,"LOW"),"")</f>
        <v/>
      </c>
    </row>
    <row r="69" customFormat="false" ht="15" hidden="false" customHeight="false" outlineLevel="0" collapsed="false">
      <c r="A69" s="8" t="str">
        <f aca="false">IF('Employee List'!B69="","",'Employee List'!B69)</f>
        <v/>
      </c>
      <c r="B69" s="8" t="str">
        <f aca="false">IF($A69="","",'Employee List'!C69)</f>
        <v/>
      </c>
      <c r="C69" s="8" t="str">
        <f aca="false">IF($A69="","",'Employee List'!E69&amp;"")</f>
        <v/>
      </c>
      <c r="D69" s="8" t="str">
        <f aca="false">IF($A69="","",'Employee List'!F69&amp;"")</f>
        <v/>
      </c>
      <c r="E69" s="8" t="str">
        <f aca="false">IF($A69="","",'Employee List'!G69&amp;"")</f>
        <v/>
      </c>
      <c r="F69" s="8" t="str">
        <f aca="false">IF($A69="","",'Employee List'!D69)</f>
        <v/>
      </c>
      <c r="G69" s="38" t="str">
        <f aca="false">IF($A69="","",IF('Employee List'!I69="","",'Employee List'!I69))</f>
        <v/>
      </c>
      <c r="H69" s="38" t="str">
        <f aca="false">IF(OR($A69="",G69=""),"",G69+Settings!$C$13)</f>
        <v/>
      </c>
      <c r="I69" s="38" t="str">
        <f aca="false">IF(H69="","",MAX(H69,DATE(LvYear,1,1)))</f>
        <v/>
      </c>
      <c r="J69" s="38" t="str">
        <f aca="false">IF($A69="","",IF('Employee List'!J69="",DATE(LvYear,12,31),MIN('Employee List'!J69,DATE(LvYear,12,31))))</f>
        <v/>
      </c>
      <c r="K69" s="39" t="str">
        <f aca="false">IF(OR(I69="",J69=""),"",MAX(0,J69-I69+1))</f>
        <v/>
      </c>
      <c r="L69" s="16" t="str">
        <f aca="false">IF($A69="","",IF(AND(ISNUMBER(K69),K69=0),0,Settings!$C$10))</f>
        <v/>
      </c>
      <c r="M69" s="16" t="str">
        <f aca="false">IF($A69="","",IF(AND(ISNUMBER(K69),K69=0),0,Settings!$C$11))</f>
        <v/>
      </c>
      <c r="N69" s="40"/>
      <c r="O69" s="16" t="str">
        <f aca="false">IF($A69="","",FLOOR(Settings!$C$12/365*N(K69),0.5))</f>
        <v/>
      </c>
      <c r="P69" s="16" t="str">
        <f aca="false">IF($A69="","",IF(I69="",N(N69),FLOOR(Settings!$C$12/365*MAX(0,MIN(LvAsOf,J69)-I69+1)+N(N69),0.5)))</f>
        <v/>
      </c>
      <c r="Q69" s="16" t="str">
        <f aca="false">IF($A69="","",Settings!$C$14)</f>
        <v/>
      </c>
      <c r="R69" s="16" t="str">
        <f aca="false">IF($A69="","",SUMIFS(Attendance!$AZ$6:$AZ$2405,Attendance!$B$6:$B$2405,$A69,Attendance!$A$6:$A$2405,"&gt;="&amp;DATE(LvYear,1,1),Attendance!$A$6:$A$2405,"&lt;="&amp;DATE(LvYear,12,31)))</f>
        <v/>
      </c>
      <c r="S69" s="16" t="str">
        <f aca="false">IF($A69="","",SUMIFS(Attendance!$AY$6:$AY$2405,Attendance!$B$6:$B$2405,$A69,Attendance!$A$6:$A$2405,"&gt;="&amp;DATE(LvYear,1,1),Attendance!$A$6:$A$2405,"&lt;="&amp;DATE(LvYear,12,31)))</f>
        <v/>
      </c>
      <c r="T69" s="16" t="str">
        <f aca="false">IF($A69="","",SUMIFS(Attendance!$AX$6:$AX$2405,Attendance!$B$6:$B$2405,$A69,Attendance!$A$6:$A$2405,"&gt;="&amp;DATE(LvYear,1,1),Attendance!$A$6:$A$2405,"&lt;="&amp;DATE(LvYear,12,31)))</f>
        <v/>
      </c>
      <c r="U69" s="16" t="str">
        <f aca="false">IF($A69="","",SUMIFS(Attendance!$AW$6:$AW$2405,Attendance!$B$6:$B$2405,$A69,Attendance!$A$6:$A$2405,"&gt;="&amp;DATE(LvYear,1,1),Attendance!$A$6:$A$2405,"&lt;="&amp;DATE(LvYear,12,31)))</f>
        <v/>
      </c>
      <c r="V69" s="16" t="str">
        <f aca="false">IF($A69="","",L69-R69)</f>
        <v/>
      </c>
      <c r="W69" s="16" t="str">
        <f aca="false">IF($A69="","",M69-S69)</f>
        <v/>
      </c>
      <c r="X69" s="16" t="str">
        <f aca="false">IF($A69="","",P69-T69)</f>
        <v/>
      </c>
      <c r="Y69" s="16" t="str">
        <f aca="false">IF($A69="","",Q69-U69)</f>
        <v/>
      </c>
      <c r="Z69" s="16" t="str">
        <f aca="false">IF($A69="","",V69+W69+X69)</f>
        <v/>
      </c>
      <c r="AA69" s="16" t="str">
        <f aca="false">IF($A69="","",O69+N(N69)-T69)</f>
        <v/>
      </c>
      <c r="AB69" s="8" t="str">
        <f aca="false">IF($A69="","","CL "&amp;V69&amp;" | SL "&amp;W69&amp;" | PL "&amp;X69&amp;" | TR "&amp;Y69)</f>
        <v/>
      </c>
      <c r="AC69" s="15" t="str">
        <f aca="false">IF($A69="","",IF(F69="Exited","EXITED",IF(AND(ISNUMBER(K69),K69=0),"NOT ELIGIBLE",IF(MIN(V69:X69)&lt;0,"OVER-USED",IF(Z69&lt;=Settings!$C$15,"LOW","OK")))))</f>
        <v/>
      </c>
      <c r="AD69" s="16" t="str">
        <f aca="false">IF(OR(AC69="OVER-USED",AC69="LOW"),COUNTIF(AC$6:AC69,"OVER-USED")+COUNTIF(AC$6:AC69,"LOW"),"")</f>
        <v/>
      </c>
    </row>
    <row r="70" customFormat="false" ht="15" hidden="false" customHeight="false" outlineLevel="0" collapsed="false">
      <c r="A70" s="8" t="str">
        <f aca="false">IF('Employee List'!B70="","",'Employee List'!B70)</f>
        <v/>
      </c>
      <c r="B70" s="8" t="str">
        <f aca="false">IF($A70="","",'Employee List'!C70)</f>
        <v/>
      </c>
      <c r="C70" s="8" t="str">
        <f aca="false">IF($A70="","",'Employee List'!E70&amp;"")</f>
        <v/>
      </c>
      <c r="D70" s="8" t="str">
        <f aca="false">IF($A70="","",'Employee List'!F70&amp;"")</f>
        <v/>
      </c>
      <c r="E70" s="8" t="str">
        <f aca="false">IF($A70="","",'Employee List'!G70&amp;"")</f>
        <v/>
      </c>
      <c r="F70" s="8" t="str">
        <f aca="false">IF($A70="","",'Employee List'!D70)</f>
        <v/>
      </c>
      <c r="G70" s="38" t="str">
        <f aca="false">IF($A70="","",IF('Employee List'!I70="","",'Employee List'!I70))</f>
        <v/>
      </c>
      <c r="H70" s="38" t="str">
        <f aca="false">IF(OR($A70="",G70=""),"",G70+Settings!$C$13)</f>
        <v/>
      </c>
      <c r="I70" s="38" t="str">
        <f aca="false">IF(H70="","",MAX(H70,DATE(LvYear,1,1)))</f>
        <v/>
      </c>
      <c r="J70" s="38" t="str">
        <f aca="false">IF($A70="","",IF('Employee List'!J70="",DATE(LvYear,12,31),MIN('Employee List'!J70,DATE(LvYear,12,31))))</f>
        <v/>
      </c>
      <c r="K70" s="39" t="str">
        <f aca="false">IF(OR(I70="",J70=""),"",MAX(0,J70-I70+1))</f>
        <v/>
      </c>
      <c r="L70" s="16" t="str">
        <f aca="false">IF($A70="","",IF(AND(ISNUMBER(K70),K70=0),0,Settings!$C$10))</f>
        <v/>
      </c>
      <c r="M70" s="16" t="str">
        <f aca="false">IF($A70="","",IF(AND(ISNUMBER(K70),K70=0),0,Settings!$C$11))</f>
        <v/>
      </c>
      <c r="N70" s="40"/>
      <c r="O70" s="16" t="str">
        <f aca="false">IF($A70="","",FLOOR(Settings!$C$12/365*N(K70),0.5))</f>
        <v/>
      </c>
      <c r="P70" s="16" t="str">
        <f aca="false">IF($A70="","",IF(I70="",N(N70),FLOOR(Settings!$C$12/365*MAX(0,MIN(LvAsOf,J70)-I70+1)+N(N70),0.5)))</f>
        <v/>
      </c>
      <c r="Q70" s="16" t="str">
        <f aca="false">IF($A70="","",Settings!$C$14)</f>
        <v/>
      </c>
      <c r="R70" s="16" t="str">
        <f aca="false">IF($A70="","",SUMIFS(Attendance!$AZ$6:$AZ$2405,Attendance!$B$6:$B$2405,$A70,Attendance!$A$6:$A$2405,"&gt;="&amp;DATE(LvYear,1,1),Attendance!$A$6:$A$2405,"&lt;="&amp;DATE(LvYear,12,31)))</f>
        <v/>
      </c>
      <c r="S70" s="16" t="str">
        <f aca="false">IF($A70="","",SUMIFS(Attendance!$AY$6:$AY$2405,Attendance!$B$6:$B$2405,$A70,Attendance!$A$6:$A$2405,"&gt;="&amp;DATE(LvYear,1,1),Attendance!$A$6:$A$2405,"&lt;="&amp;DATE(LvYear,12,31)))</f>
        <v/>
      </c>
      <c r="T70" s="16" t="str">
        <f aca="false">IF($A70="","",SUMIFS(Attendance!$AX$6:$AX$2405,Attendance!$B$6:$B$2405,$A70,Attendance!$A$6:$A$2405,"&gt;="&amp;DATE(LvYear,1,1),Attendance!$A$6:$A$2405,"&lt;="&amp;DATE(LvYear,12,31)))</f>
        <v/>
      </c>
      <c r="U70" s="16" t="str">
        <f aca="false">IF($A70="","",SUMIFS(Attendance!$AW$6:$AW$2405,Attendance!$B$6:$B$2405,$A70,Attendance!$A$6:$A$2405,"&gt;="&amp;DATE(LvYear,1,1),Attendance!$A$6:$A$2405,"&lt;="&amp;DATE(LvYear,12,31)))</f>
        <v/>
      </c>
      <c r="V70" s="16" t="str">
        <f aca="false">IF($A70="","",L70-R70)</f>
        <v/>
      </c>
      <c r="W70" s="16" t="str">
        <f aca="false">IF($A70="","",M70-S70)</f>
        <v/>
      </c>
      <c r="X70" s="16" t="str">
        <f aca="false">IF($A70="","",P70-T70)</f>
        <v/>
      </c>
      <c r="Y70" s="16" t="str">
        <f aca="false">IF($A70="","",Q70-U70)</f>
        <v/>
      </c>
      <c r="Z70" s="16" t="str">
        <f aca="false">IF($A70="","",V70+W70+X70)</f>
        <v/>
      </c>
      <c r="AA70" s="16" t="str">
        <f aca="false">IF($A70="","",O70+N(N70)-T70)</f>
        <v/>
      </c>
      <c r="AB70" s="8" t="str">
        <f aca="false">IF($A70="","","CL "&amp;V70&amp;" | SL "&amp;W70&amp;" | PL "&amp;X70&amp;" | TR "&amp;Y70)</f>
        <v/>
      </c>
      <c r="AC70" s="15" t="str">
        <f aca="false">IF($A70="","",IF(F70="Exited","EXITED",IF(AND(ISNUMBER(K70),K70=0),"NOT ELIGIBLE",IF(MIN(V70:X70)&lt;0,"OVER-USED",IF(Z70&lt;=Settings!$C$15,"LOW","OK")))))</f>
        <v/>
      </c>
      <c r="AD70" s="16" t="str">
        <f aca="false">IF(OR(AC70="OVER-USED",AC70="LOW"),COUNTIF(AC$6:AC70,"OVER-USED")+COUNTIF(AC$6:AC70,"LOW"),"")</f>
        <v/>
      </c>
    </row>
    <row r="71" customFormat="false" ht="15" hidden="false" customHeight="false" outlineLevel="0" collapsed="false">
      <c r="A71" s="8" t="str">
        <f aca="false">IF('Employee List'!B71="","",'Employee List'!B71)</f>
        <v/>
      </c>
      <c r="B71" s="8" t="str">
        <f aca="false">IF($A71="","",'Employee List'!C71)</f>
        <v/>
      </c>
      <c r="C71" s="8" t="str">
        <f aca="false">IF($A71="","",'Employee List'!E71&amp;"")</f>
        <v/>
      </c>
      <c r="D71" s="8" t="str">
        <f aca="false">IF($A71="","",'Employee List'!F71&amp;"")</f>
        <v/>
      </c>
      <c r="E71" s="8" t="str">
        <f aca="false">IF($A71="","",'Employee List'!G71&amp;"")</f>
        <v/>
      </c>
      <c r="F71" s="8" t="str">
        <f aca="false">IF($A71="","",'Employee List'!D71)</f>
        <v/>
      </c>
      <c r="G71" s="38" t="str">
        <f aca="false">IF($A71="","",IF('Employee List'!I71="","",'Employee List'!I71))</f>
        <v/>
      </c>
      <c r="H71" s="38" t="str">
        <f aca="false">IF(OR($A71="",G71=""),"",G71+Settings!$C$13)</f>
        <v/>
      </c>
      <c r="I71" s="38" t="str">
        <f aca="false">IF(H71="","",MAX(H71,DATE(LvYear,1,1)))</f>
        <v/>
      </c>
      <c r="J71" s="38" t="str">
        <f aca="false">IF($A71="","",IF('Employee List'!J71="",DATE(LvYear,12,31),MIN('Employee List'!J71,DATE(LvYear,12,31))))</f>
        <v/>
      </c>
      <c r="K71" s="39" t="str">
        <f aca="false">IF(OR(I71="",J71=""),"",MAX(0,J71-I71+1))</f>
        <v/>
      </c>
      <c r="L71" s="16" t="str">
        <f aca="false">IF($A71="","",IF(AND(ISNUMBER(K71),K71=0),0,Settings!$C$10))</f>
        <v/>
      </c>
      <c r="M71" s="16" t="str">
        <f aca="false">IF($A71="","",IF(AND(ISNUMBER(K71),K71=0),0,Settings!$C$11))</f>
        <v/>
      </c>
      <c r="N71" s="40"/>
      <c r="O71" s="16" t="str">
        <f aca="false">IF($A71="","",FLOOR(Settings!$C$12/365*N(K71),0.5))</f>
        <v/>
      </c>
      <c r="P71" s="16" t="str">
        <f aca="false">IF($A71="","",IF(I71="",N(N71),FLOOR(Settings!$C$12/365*MAX(0,MIN(LvAsOf,J71)-I71+1)+N(N71),0.5)))</f>
        <v/>
      </c>
      <c r="Q71" s="16" t="str">
        <f aca="false">IF($A71="","",Settings!$C$14)</f>
        <v/>
      </c>
      <c r="R71" s="16" t="str">
        <f aca="false">IF($A71="","",SUMIFS(Attendance!$AZ$6:$AZ$2405,Attendance!$B$6:$B$2405,$A71,Attendance!$A$6:$A$2405,"&gt;="&amp;DATE(LvYear,1,1),Attendance!$A$6:$A$2405,"&lt;="&amp;DATE(LvYear,12,31)))</f>
        <v/>
      </c>
      <c r="S71" s="16" t="str">
        <f aca="false">IF($A71="","",SUMIFS(Attendance!$AY$6:$AY$2405,Attendance!$B$6:$B$2405,$A71,Attendance!$A$6:$A$2405,"&gt;="&amp;DATE(LvYear,1,1),Attendance!$A$6:$A$2405,"&lt;="&amp;DATE(LvYear,12,31)))</f>
        <v/>
      </c>
      <c r="T71" s="16" t="str">
        <f aca="false">IF($A71="","",SUMIFS(Attendance!$AX$6:$AX$2405,Attendance!$B$6:$B$2405,$A71,Attendance!$A$6:$A$2405,"&gt;="&amp;DATE(LvYear,1,1),Attendance!$A$6:$A$2405,"&lt;="&amp;DATE(LvYear,12,31)))</f>
        <v/>
      </c>
      <c r="U71" s="16" t="str">
        <f aca="false">IF($A71="","",SUMIFS(Attendance!$AW$6:$AW$2405,Attendance!$B$6:$B$2405,$A71,Attendance!$A$6:$A$2405,"&gt;="&amp;DATE(LvYear,1,1),Attendance!$A$6:$A$2405,"&lt;="&amp;DATE(LvYear,12,31)))</f>
        <v/>
      </c>
      <c r="V71" s="16" t="str">
        <f aca="false">IF($A71="","",L71-R71)</f>
        <v/>
      </c>
      <c r="W71" s="16" t="str">
        <f aca="false">IF($A71="","",M71-S71)</f>
        <v/>
      </c>
      <c r="X71" s="16" t="str">
        <f aca="false">IF($A71="","",P71-T71)</f>
        <v/>
      </c>
      <c r="Y71" s="16" t="str">
        <f aca="false">IF($A71="","",Q71-U71)</f>
        <v/>
      </c>
      <c r="Z71" s="16" t="str">
        <f aca="false">IF($A71="","",V71+W71+X71)</f>
        <v/>
      </c>
      <c r="AA71" s="16" t="str">
        <f aca="false">IF($A71="","",O71+N(N71)-T71)</f>
        <v/>
      </c>
      <c r="AB71" s="8" t="str">
        <f aca="false">IF($A71="","","CL "&amp;V71&amp;" | SL "&amp;W71&amp;" | PL "&amp;X71&amp;" | TR "&amp;Y71)</f>
        <v/>
      </c>
      <c r="AC71" s="15" t="str">
        <f aca="false">IF($A71="","",IF(F71="Exited","EXITED",IF(AND(ISNUMBER(K71),K71=0),"NOT ELIGIBLE",IF(MIN(V71:X71)&lt;0,"OVER-USED",IF(Z71&lt;=Settings!$C$15,"LOW","OK")))))</f>
        <v/>
      </c>
      <c r="AD71" s="16" t="str">
        <f aca="false">IF(OR(AC71="OVER-USED",AC71="LOW"),COUNTIF(AC$6:AC71,"OVER-USED")+COUNTIF(AC$6:AC71,"LOW"),"")</f>
        <v/>
      </c>
    </row>
    <row r="72" customFormat="false" ht="15" hidden="false" customHeight="false" outlineLevel="0" collapsed="false">
      <c r="A72" s="8" t="str">
        <f aca="false">IF('Employee List'!B72="","",'Employee List'!B72)</f>
        <v/>
      </c>
      <c r="B72" s="8" t="str">
        <f aca="false">IF($A72="","",'Employee List'!C72)</f>
        <v/>
      </c>
      <c r="C72" s="8" t="str">
        <f aca="false">IF($A72="","",'Employee List'!E72&amp;"")</f>
        <v/>
      </c>
      <c r="D72" s="8" t="str">
        <f aca="false">IF($A72="","",'Employee List'!F72&amp;"")</f>
        <v/>
      </c>
      <c r="E72" s="8" t="str">
        <f aca="false">IF($A72="","",'Employee List'!G72&amp;"")</f>
        <v/>
      </c>
      <c r="F72" s="8" t="str">
        <f aca="false">IF($A72="","",'Employee List'!D72)</f>
        <v/>
      </c>
      <c r="G72" s="38" t="str">
        <f aca="false">IF($A72="","",IF('Employee List'!I72="","",'Employee List'!I72))</f>
        <v/>
      </c>
      <c r="H72" s="38" t="str">
        <f aca="false">IF(OR($A72="",G72=""),"",G72+Settings!$C$13)</f>
        <v/>
      </c>
      <c r="I72" s="38" t="str">
        <f aca="false">IF(H72="","",MAX(H72,DATE(LvYear,1,1)))</f>
        <v/>
      </c>
      <c r="J72" s="38" t="str">
        <f aca="false">IF($A72="","",IF('Employee List'!J72="",DATE(LvYear,12,31),MIN('Employee List'!J72,DATE(LvYear,12,31))))</f>
        <v/>
      </c>
      <c r="K72" s="39" t="str">
        <f aca="false">IF(OR(I72="",J72=""),"",MAX(0,J72-I72+1))</f>
        <v/>
      </c>
      <c r="L72" s="16" t="str">
        <f aca="false">IF($A72="","",IF(AND(ISNUMBER(K72),K72=0),0,Settings!$C$10))</f>
        <v/>
      </c>
      <c r="M72" s="16" t="str">
        <f aca="false">IF($A72="","",IF(AND(ISNUMBER(K72),K72=0),0,Settings!$C$11))</f>
        <v/>
      </c>
      <c r="N72" s="40"/>
      <c r="O72" s="16" t="str">
        <f aca="false">IF($A72="","",FLOOR(Settings!$C$12/365*N(K72),0.5))</f>
        <v/>
      </c>
      <c r="P72" s="16" t="str">
        <f aca="false">IF($A72="","",IF(I72="",N(N72),FLOOR(Settings!$C$12/365*MAX(0,MIN(LvAsOf,J72)-I72+1)+N(N72),0.5)))</f>
        <v/>
      </c>
      <c r="Q72" s="16" t="str">
        <f aca="false">IF($A72="","",Settings!$C$14)</f>
        <v/>
      </c>
      <c r="R72" s="16" t="str">
        <f aca="false">IF($A72="","",SUMIFS(Attendance!$AZ$6:$AZ$2405,Attendance!$B$6:$B$2405,$A72,Attendance!$A$6:$A$2405,"&gt;="&amp;DATE(LvYear,1,1),Attendance!$A$6:$A$2405,"&lt;="&amp;DATE(LvYear,12,31)))</f>
        <v/>
      </c>
      <c r="S72" s="16" t="str">
        <f aca="false">IF($A72="","",SUMIFS(Attendance!$AY$6:$AY$2405,Attendance!$B$6:$B$2405,$A72,Attendance!$A$6:$A$2405,"&gt;="&amp;DATE(LvYear,1,1),Attendance!$A$6:$A$2405,"&lt;="&amp;DATE(LvYear,12,31)))</f>
        <v/>
      </c>
      <c r="T72" s="16" t="str">
        <f aca="false">IF($A72="","",SUMIFS(Attendance!$AX$6:$AX$2405,Attendance!$B$6:$B$2405,$A72,Attendance!$A$6:$A$2405,"&gt;="&amp;DATE(LvYear,1,1),Attendance!$A$6:$A$2405,"&lt;="&amp;DATE(LvYear,12,31)))</f>
        <v/>
      </c>
      <c r="U72" s="16" t="str">
        <f aca="false">IF($A72="","",SUMIFS(Attendance!$AW$6:$AW$2405,Attendance!$B$6:$B$2405,$A72,Attendance!$A$6:$A$2405,"&gt;="&amp;DATE(LvYear,1,1),Attendance!$A$6:$A$2405,"&lt;="&amp;DATE(LvYear,12,31)))</f>
        <v/>
      </c>
      <c r="V72" s="16" t="str">
        <f aca="false">IF($A72="","",L72-R72)</f>
        <v/>
      </c>
      <c r="W72" s="16" t="str">
        <f aca="false">IF($A72="","",M72-S72)</f>
        <v/>
      </c>
      <c r="X72" s="16" t="str">
        <f aca="false">IF($A72="","",P72-T72)</f>
        <v/>
      </c>
      <c r="Y72" s="16" t="str">
        <f aca="false">IF($A72="","",Q72-U72)</f>
        <v/>
      </c>
      <c r="Z72" s="16" t="str">
        <f aca="false">IF($A72="","",V72+W72+X72)</f>
        <v/>
      </c>
      <c r="AA72" s="16" t="str">
        <f aca="false">IF($A72="","",O72+N(N72)-T72)</f>
        <v/>
      </c>
      <c r="AB72" s="8" t="str">
        <f aca="false">IF($A72="","","CL "&amp;V72&amp;" | SL "&amp;W72&amp;" | PL "&amp;X72&amp;" | TR "&amp;Y72)</f>
        <v/>
      </c>
      <c r="AC72" s="15" t="str">
        <f aca="false">IF($A72="","",IF(F72="Exited","EXITED",IF(AND(ISNUMBER(K72),K72=0),"NOT ELIGIBLE",IF(MIN(V72:X72)&lt;0,"OVER-USED",IF(Z72&lt;=Settings!$C$15,"LOW","OK")))))</f>
        <v/>
      </c>
      <c r="AD72" s="16" t="str">
        <f aca="false">IF(OR(AC72="OVER-USED",AC72="LOW"),COUNTIF(AC$6:AC72,"OVER-USED")+COUNTIF(AC$6:AC72,"LOW"),"")</f>
        <v/>
      </c>
    </row>
    <row r="73" customFormat="false" ht="15" hidden="false" customHeight="false" outlineLevel="0" collapsed="false">
      <c r="A73" s="8" t="str">
        <f aca="false">IF('Employee List'!B73="","",'Employee List'!B73)</f>
        <v/>
      </c>
      <c r="B73" s="8" t="str">
        <f aca="false">IF($A73="","",'Employee List'!C73)</f>
        <v/>
      </c>
      <c r="C73" s="8" t="str">
        <f aca="false">IF($A73="","",'Employee List'!E73&amp;"")</f>
        <v/>
      </c>
      <c r="D73" s="8" t="str">
        <f aca="false">IF($A73="","",'Employee List'!F73&amp;"")</f>
        <v/>
      </c>
      <c r="E73" s="8" t="str">
        <f aca="false">IF($A73="","",'Employee List'!G73&amp;"")</f>
        <v/>
      </c>
      <c r="F73" s="8" t="str">
        <f aca="false">IF($A73="","",'Employee List'!D73)</f>
        <v/>
      </c>
      <c r="G73" s="38" t="str">
        <f aca="false">IF($A73="","",IF('Employee List'!I73="","",'Employee List'!I73))</f>
        <v/>
      </c>
      <c r="H73" s="38" t="str">
        <f aca="false">IF(OR($A73="",G73=""),"",G73+Settings!$C$13)</f>
        <v/>
      </c>
      <c r="I73" s="38" t="str">
        <f aca="false">IF(H73="","",MAX(H73,DATE(LvYear,1,1)))</f>
        <v/>
      </c>
      <c r="J73" s="38" t="str">
        <f aca="false">IF($A73="","",IF('Employee List'!J73="",DATE(LvYear,12,31),MIN('Employee List'!J73,DATE(LvYear,12,31))))</f>
        <v/>
      </c>
      <c r="K73" s="39" t="str">
        <f aca="false">IF(OR(I73="",J73=""),"",MAX(0,J73-I73+1))</f>
        <v/>
      </c>
      <c r="L73" s="16" t="str">
        <f aca="false">IF($A73="","",IF(AND(ISNUMBER(K73),K73=0),0,Settings!$C$10))</f>
        <v/>
      </c>
      <c r="M73" s="16" t="str">
        <f aca="false">IF($A73="","",IF(AND(ISNUMBER(K73),K73=0),0,Settings!$C$11))</f>
        <v/>
      </c>
      <c r="N73" s="40"/>
      <c r="O73" s="16" t="str">
        <f aca="false">IF($A73="","",FLOOR(Settings!$C$12/365*N(K73),0.5))</f>
        <v/>
      </c>
      <c r="P73" s="16" t="str">
        <f aca="false">IF($A73="","",IF(I73="",N(N73),FLOOR(Settings!$C$12/365*MAX(0,MIN(LvAsOf,J73)-I73+1)+N(N73),0.5)))</f>
        <v/>
      </c>
      <c r="Q73" s="16" t="str">
        <f aca="false">IF($A73="","",Settings!$C$14)</f>
        <v/>
      </c>
      <c r="R73" s="16" t="str">
        <f aca="false">IF($A73="","",SUMIFS(Attendance!$AZ$6:$AZ$2405,Attendance!$B$6:$B$2405,$A73,Attendance!$A$6:$A$2405,"&gt;="&amp;DATE(LvYear,1,1),Attendance!$A$6:$A$2405,"&lt;="&amp;DATE(LvYear,12,31)))</f>
        <v/>
      </c>
      <c r="S73" s="16" t="str">
        <f aca="false">IF($A73="","",SUMIFS(Attendance!$AY$6:$AY$2405,Attendance!$B$6:$B$2405,$A73,Attendance!$A$6:$A$2405,"&gt;="&amp;DATE(LvYear,1,1),Attendance!$A$6:$A$2405,"&lt;="&amp;DATE(LvYear,12,31)))</f>
        <v/>
      </c>
      <c r="T73" s="16" t="str">
        <f aca="false">IF($A73="","",SUMIFS(Attendance!$AX$6:$AX$2405,Attendance!$B$6:$B$2405,$A73,Attendance!$A$6:$A$2405,"&gt;="&amp;DATE(LvYear,1,1),Attendance!$A$6:$A$2405,"&lt;="&amp;DATE(LvYear,12,31)))</f>
        <v/>
      </c>
      <c r="U73" s="16" t="str">
        <f aca="false">IF($A73="","",SUMIFS(Attendance!$AW$6:$AW$2405,Attendance!$B$6:$B$2405,$A73,Attendance!$A$6:$A$2405,"&gt;="&amp;DATE(LvYear,1,1),Attendance!$A$6:$A$2405,"&lt;="&amp;DATE(LvYear,12,31)))</f>
        <v/>
      </c>
      <c r="V73" s="16" t="str">
        <f aca="false">IF($A73="","",L73-R73)</f>
        <v/>
      </c>
      <c r="W73" s="16" t="str">
        <f aca="false">IF($A73="","",M73-S73)</f>
        <v/>
      </c>
      <c r="X73" s="16" t="str">
        <f aca="false">IF($A73="","",P73-T73)</f>
        <v/>
      </c>
      <c r="Y73" s="16" t="str">
        <f aca="false">IF($A73="","",Q73-U73)</f>
        <v/>
      </c>
      <c r="Z73" s="16" t="str">
        <f aca="false">IF($A73="","",V73+W73+X73)</f>
        <v/>
      </c>
      <c r="AA73" s="16" t="str">
        <f aca="false">IF($A73="","",O73+N(N73)-T73)</f>
        <v/>
      </c>
      <c r="AB73" s="8" t="str">
        <f aca="false">IF($A73="","","CL "&amp;V73&amp;" | SL "&amp;W73&amp;" | PL "&amp;X73&amp;" | TR "&amp;Y73)</f>
        <v/>
      </c>
      <c r="AC73" s="15" t="str">
        <f aca="false">IF($A73="","",IF(F73="Exited","EXITED",IF(AND(ISNUMBER(K73),K73=0),"NOT ELIGIBLE",IF(MIN(V73:X73)&lt;0,"OVER-USED",IF(Z73&lt;=Settings!$C$15,"LOW","OK")))))</f>
        <v/>
      </c>
      <c r="AD73" s="16" t="str">
        <f aca="false">IF(OR(AC73="OVER-USED",AC73="LOW"),COUNTIF(AC$6:AC73,"OVER-USED")+COUNTIF(AC$6:AC73,"LOW"),"")</f>
        <v/>
      </c>
    </row>
    <row r="74" customFormat="false" ht="15" hidden="false" customHeight="false" outlineLevel="0" collapsed="false">
      <c r="A74" s="8" t="str">
        <f aca="false">IF('Employee List'!B74="","",'Employee List'!B74)</f>
        <v/>
      </c>
      <c r="B74" s="8" t="str">
        <f aca="false">IF($A74="","",'Employee List'!C74)</f>
        <v/>
      </c>
      <c r="C74" s="8" t="str">
        <f aca="false">IF($A74="","",'Employee List'!E74&amp;"")</f>
        <v/>
      </c>
      <c r="D74" s="8" t="str">
        <f aca="false">IF($A74="","",'Employee List'!F74&amp;"")</f>
        <v/>
      </c>
      <c r="E74" s="8" t="str">
        <f aca="false">IF($A74="","",'Employee List'!G74&amp;"")</f>
        <v/>
      </c>
      <c r="F74" s="8" t="str">
        <f aca="false">IF($A74="","",'Employee List'!D74)</f>
        <v/>
      </c>
      <c r="G74" s="38" t="str">
        <f aca="false">IF($A74="","",IF('Employee List'!I74="","",'Employee List'!I74))</f>
        <v/>
      </c>
      <c r="H74" s="38" t="str">
        <f aca="false">IF(OR($A74="",G74=""),"",G74+Settings!$C$13)</f>
        <v/>
      </c>
      <c r="I74" s="38" t="str">
        <f aca="false">IF(H74="","",MAX(H74,DATE(LvYear,1,1)))</f>
        <v/>
      </c>
      <c r="J74" s="38" t="str">
        <f aca="false">IF($A74="","",IF('Employee List'!J74="",DATE(LvYear,12,31),MIN('Employee List'!J74,DATE(LvYear,12,31))))</f>
        <v/>
      </c>
      <c r="K74" s="39" t="str">
        <f aca="false">IF(OR(I74="",J74=""),"",MAX(0,J74-I74+1))</f>
        <v/>
      </c>
      <c r="L74" s="16" t="str">
        <f aca="false">IF($A74="","",IF(AND(ISNUMBER(K74),K74=0),0,Settings!$C$10))</f>
        <v/>
      </c>
      <c r="M74" s="16" t="str">
        <f aca="false">IF($A74="","",IF(AND(ISNUMBER(K74),K74=0),0,Settings!$C$11))</f>
        <v/>
      </c>
      <c r="N74" s="40"/>
      <c r="O74" s="16" t="str">
        <f aca="false">IF($A74="","",FLOOR(Settings!$C$12/365*N(K74),0.5))</f>
        <v/>
      </c>
      <c r="P74" s="16" t="str">
        <f aca="false">IF($A74="","",IF(I74="",N(N74),FLOOR(Settings!$C$12/365*MAX(0,MIN(LvAsOf,J74)-I74+1)+N(N74),0.5)))</f>
        <v/>
      </c>
      <c r="Q74" s="16" t="str">
        <f aca="false">IF($A74="","",Settings!$C$14)</f>
        <v/>
      </c>
      <c r="R74" s="16" t="str">
        <f aca="false">IF($A74="","",SUMIFS(Attendance!$AZ$6:$AZ$2405,Attendance!$B$6:$B$2405,$A74,Attendance!$A$6:$A$2405,"&gt;="&amp;DATE(LvYear,1,1),Attendance!$A$6:$A$2405,"&lt;="&amp;DATE(LvYear,12,31)))</f>
        <v/>
      </c>
      <c r="S74" s="16" t="str">
        <f aca="false">IF($A74="","",SUMIFS(Attendance!$AY$6:$AY$2405,Attendance!$B$6:$B$2405,$A74,Attendance!$A$6:$A$2405,"&gt;="&amp;DATE(LvYear,1,1),Attendance!$A$6:$A$2405,"&lt;="&amp;DATE(LvYear,12,31)))</f>
        <v/>
      </c>
      <c r="T74" s="16" t="str">
        <f aca="false">IF($A74="","",SUMIFS(Attendance!$AX$6:$AX$2405,Attendance!$B$6:$B$2405,$A74,Attendance!$A$6:$A$2405,"&gt;="&amp;DATE(LvYear,1,1),Attendance!$A$6:$A$2405,"&lt;="&amp;DATE(LvYear,12,31)))</f>
        <v/>
      </c>
      <c r="U74" s="16" t="str">
        <f aca="false">IF($A74="","",SUMIFS(Attendance!$AW$6:$AW$2405,Attendance!$B$6:$B$2405,$A74,Attendance!$A$6:$A$2405,"&gt;="&amp;DATE(LvYear,1,1),Attendance!$A$6:$A$2405,"&lt;="&amp;DATE(LvYear,12,31)))</f>
        <v/>
      </c>
      <c r="V74" s="16" t="str">
        <f aca="false">IF($A74="","",L74-R74)</f>
        <v/>
      </c>
      <c r="W74" s="16" t="str">
        <f aca="false">IF($A74="","",M74-S74)</f>
        <v/>
      </c>
      <c r="X74" s="16" t="str">
        <f aca="false">IF($A74="","",P74-T74)</f>
        <v/>
      </c>
      <c r="Y74" s="16" t="str">
        <f aca="false">IF($A74="","",Q74-U74)</f>
        <v/>
      </c>
      <c r="Z74" s="16" t="str">
        <f aca="false">IF($A74="","",V74+W74+X74)</f>
        <v/>
      </c>
      <c r="AA74" s="16" t="str">
        <f aca="false">IF($A74="","",O74+N(N74)-T74)</f>
        <v/>
      </c>
      <c r="AB74" s="8" t="str">
        <f aca="false">IF($A74="","","CL "&amp;V74&amp;" | SL "&amp;W74&amp;" | PL "&amp;X74&amp;" | TR "&amp;Y74)</f>
        <v/>
      </c>
      <c r="AC74" s="15" t="str">
        <f aca="false">IF($A74="","",IF(F74="Exited","EXITED",IF(AND(ISNUMBER(K74),K74=0),"NOT ELIGIBLE",IF(MIN(V74:X74)&lt;0,"OVER-USED",IF(Z74&lt;=Settings!$C$15,"LOW","OK")))))</f>
        <v/>
      </c>
      <c r="AD74" s="16" t="str">
        <f aca="false">IF(OR(AC74="OVER-USED",AC74="LOW"),COUNTIF(AC$6:AC74,"OVER-USED")+COUNTIF(AC$6:AC74,"LOW"),"")</f>
        <v/>
      </c>
    </row>
    <row r="75" customFormat="false" ht="15" hidden="false" customHeight="false" outlineLevel="0" collapsed="false">
      <c r="A75" s="8" t="str">
        <f aca="false">IF('Employee List'!B75="","",'Employee List'!B75)</f>
        <v/>
      </c>
      <c r="B75" s="8" t="str">
        <f aca="false">IF($A75="","",'Employee List'!C75)</f>
        <v/>
      </c>
      <c r="C75" s="8" t="str">
        <f aca="false">IF($A75="","",'Employee List'!E75&amp;"")</f>
        <v/>
      </c>
      <c r="D75" s="8" t="str">
        <f aca="false">IF($A75="","",'Employee List'!F75&amp;"")</f>
        <v/>
      </c>
      <c r="E75" s="8" t="str">
        <f aca="false">IF($A75="","",'Employee List'!G75&amp;"")</f>
        <v/>
      </c>
      <c r="F75" s="8" t="str">
        <f aca="false">IF($A75="","",'Employee List'!D75)</f>
        <v/>
      </c>
      <c r="G75" s="38" t="str">
        <f aca="false">IF($A75="","",IF('Employee List'!I75="","",'Employee List'!I75))</f>
        <v/>
      </c>
      <c r="H75" s="38" t="str">
        <f aca="false">IF(OR($A75="",G75=""),"",G75+Settings!$C$13)</f>
        <v/>
      </c>
      <c r="I75" s="38" t="str">
        <f aca="false">IF(H75="","",MAX(H75,DATE(LvYear,1,1)))</f>
        <v/>
      </c>
      <c r="J75" s="38" t="str">
        <f aca="false">IF($A75="","",IF('Employee List'!J75="",DATE(LvYear,12,31),MIN('Employee List'!J75,DATE(LvYear,12,31))))</f>
        <v/>
      </c>
      <c r="K75" s="39" t="str">
        <f aca="false">IF(OR(I75="",J75=""),"",MAX(0,J75-I75+1))</f>
        <v/>
      </c>
      <c r="L75" s="16" t="str">
        <f aca="false">IF($A75="","",IF(AND(ISNUMBER(K75),K75=0),0,Settings!$C$10))</f>
        <v/>
      </c>
      <c r="M75" s="16" t="str">
        <f aca="false">IF($A75="","",IF(AND(ISNUMBER(K75),K75=0),0,Settings!$C$11))</f>
        <v/>
      </c>
      <c r="N75" s="40"/>
      <c r="O75" s="16" t="str">
        <f aca="false">IF($A75="","",FLOOR(Settings!$C$12/365*N(K75),0.5))</f>
        <v/>
      </c>
      <c r="P75" s="16" t="str">
        <f aca="false">IF($A75="","",IF(I75="",N(N75),FLOOR(Settings!$C$12/365*MAX(0,MIN(LvAsOf,J75)-I75+1)+N(N75),0.5)))</f>
        <v/>
      </c>
      <c r="Q75" s="16" t="str">
        <f aca="false">IF($A75="","",Settings!$C$14)</f>
        <v/>
      </c>
      <c r="R75" s="16" t="str">
        <f aca="false">IF($A75="","",SUMIFS(Attendance!$AZ$6:$AZ$2405,Attendance!$B$6:$B$2405,$A75,Attendance!$A$6:$A$2405,"&gt;="&amp;DATE(LvYear,1,1),Attendance!$A$6:$A$2405,"&lt;="&amp;DATE(LvYear,12,31)))</f>
        <v/>
      </c>
      <c r="S75" s="16" t="str">
        <f aca="false">IF($A75="","",SUMIFS(Attendance!$AY$6:$AY$2405,Attendance!$B$6:$B$2405,$A75,Attendance!$A$6:$A$2405,"&gt;="&amp;DATE(LvYear,1,1),Attendance!$A$6:$A$2405,"&lt;="&amp;DATE(LvYear,12,31)))</f>
        <v/>
      </c>
      <c r="T75" s="16" t="str">
        <f aca="false">IF($A75="","",SUMIFS(Attendance!$AX$6:$AX$2405,Attendance!$B$6:$B$2405,$A75,Attendance!$A$6:$A$2405,"&gt;="&amp;DATE(LvYear,1,1),Attendance!$A$6:$A$2405,"&lt;="&amp;DATE(LvYear,12,31)))</f>
        <v/>
      </c>
      <c r="U75" s="16" t="str">
        <f aca="false">IF($A75="","",SUMIFS(Attendance!$AW$6:$AW$2405,Attendance!$B$6:$B$2405,$A75,Attendance!$A$6:$A$2405,"&gt;="&amp;DATE(LvYear,1,1),Attendance!$A$6:$A$2405,"&lt;="&amp;DATE(LvYear,12,31)))</f>
        <v/>
      </c>
      <c r="V75" s="16" t="str">
        <f aca="false">IF($A75="","",L75-R75)</f>
        <v/>
      </c>
      <c r="W75" s="16" t="str">
        <f aca="false">IF($A75="","",M75-S75)</f>
        <v/>
      </c>
      <c r="X75" s="16" t="str">
        <f aca="false">IF($A75="","",P75-T75)</f>
        <v/>
      </c>
      <c r="Y75" s="16" t="str">
        <f aca="false">IF($A75="","",Q75-U75)</f>
        <v/>
      </c>
      <c r="Z75" s="16" t="str">
        <f aca="false">IF($A75="","",V75+W75+X75)</f>
        <v/>
      </c>
      <c r="AA75" s="16" t="str">
        <f aca="false">IF($A75="","",O75+N(N75)-T75)</f>
        <v/>
      </c>
      <c r="AB75" s="8" t="str">
        <f aca="false">IF($A75="","","CL "&amp;V75&amp;" | SL "&amp;W75&amp;" | PL "&amp;X75&amp;" | TR "&amp;Y75)</f>
        <v/>
      </c>
      <c r="AC75" s="15" t="str">
        <f aca="false">IF($A75="","",IF(F75="Exited","EXITED",IF(AND(ISNUMBER(K75),K75=0),"NOT ELIGIBLE",IF(MIN(V75:X75)&lt;0,"OVER-USED",IF(Z75&lt;=Settings!$C$15,"LOW","OK")))))</f>
        <v/>
      </c>
      <c r="AD75" s="16" t="str">
        <f aca="false">IF(OR(AC75="OVER-USED",AC75="LOW"),COUNTIF(AC$6:AC75,"OVER-USED")+COUNTIF(AC$6:AC75,"LOW"),"")</f>
        <v/>
      </c>
    </row>
    <row r="76" customFormat="false" ht="15" hidden="false" customHeight="false" outlineLevel="0" collapsed="false">
      <c r="A76" s="8" t="str">
        <f aca="false">IF('Employee List'!B76="","",'Employee List'!B76)</f>
        <v/>
      </c>
      <c r="B76" s="8" t="str">
        <f aca="false">IF($A76="","",'Employee List'!C76)</f>
        <v/>
      </c>
      <c r="C76" s="8" t="str">
        <f aca="false">IF($A76="","",'Employee List'!E76&amp;"")</f>
        <v/>
      </c>
      <c r="D76" s="8" t="str">
        <f aca="false">IF($A76="","",'Employee List'!F76&amp;"")</f>
        <v/>
      </c>
      <c r="E76" s="8" t="str">
        <f aca="false">IF($A76="","",'Employee List'!G76&amp;"")</f>
        <v/>
      </c>
      <c r="F76" s="8" t="str">
        <f aca="false">IF($A76="","",'Employee List'!D76)</f>
        <v/>
      </c>
      <c r="G76" s="38" t="str">
        <f aca="false">IF($A76="","",IF('Employee List'!I76="","",'Employee List'!I76))</f>
        <v/>
      </c>
      <c r="H76" s="38" t="str">
        <f aca="false">IF(OR($A76="",G76=""),"",G76+Settings!$C$13)</f>
        <v/>
      </c>
      <c r="I76" s="38" t="str">
        <f aca="false">IF(H76="","",MAX(H76,DATE(LvYear,1,1)))</f>
        <v/>
      </c>
      <c r="J76" s="38" t="str">
        <f aca="false">IF($A76="","",IF('Employee List'!J76="",DATE(LvYear,12,31),MIN('Employee List'!J76,DATE(LvYear,12,31))))</f>
        <v/>
      </c>
      <c r="K76" s="39" t="str">
        <f aca="false">IF(OR(I76="",J76=""),"",MAX(0,J76-I76+1))</f>
        <v/>
      </c>
      <c r="L76" s="16" t="str">
        <f aca="false">IF($A76="","",IF(AND(ISNUMBER(K76),K76=0),0,Settings!$C$10))</f>
        <v/>
      </c>
      <c r="M76" s="16" t="str">
        <f aca="false">IF($A76="","",IF(AND(ISNUMBER(K76),K76=0),0,Settings!$C$11))</f>
        <v/>
      </c>
      <c r="N76" s="40"/>
      <c r="O76" s="16" t="str">
        <f aca="false">IF($A76="","",FLOOR(Settings!$C$12/365*N(K76),0.5))</f>
        <v/>
      </c>
      <c r="P76" s="16" t="str">
        <f aca="false">IF($A76="","",IF(I76="",N(N76),FLOOR(Settings!$C$12/365*MAX(0,MIN(LvAsOf,J76)-I76+1)+N(N76),0.5)))</f>
        <v/>
      </c>
      <c r="Q76" s="16" t="str">
        <f aca="false">IF($A76="","",Settings!$C$14)</f>
        <v/>
      </c>
      <c r="R76" s="16" t="str">
        <f aca="false">IF($A76="","",SUMIFS(Attendance!$AZ$6:$AZ$2405,Attendance!$B$6:$B$2405,$A76,Attendance!$A$6:$A$2405,"&gt;="&amp;DATE(LvYear,1,1),Attendance!$A$6:$A$2405,"&lt;="&amp;DATE(LvYear,12,31)))</f>
        <v/>
      </c>
      <c r="S76" s="16" t="str">
        <f aca="false">IF($A76="","",SUMIFS(Attendance!$AY$6:$AY$2405,Attendance!$B$6:$B$2405,$A76,Attendance!$A$6:$A$2405,"&gt;="&amp;DATE(LvYear,1,1),Attendance!$A$6:$A$2405,"&lt;="&amp;DATE(LvYear,12,31)))</f>
        <v/>
      </c>
      <c r="T76" s="16" t="str">
        <f aca="false">IF($A76="","",SUMIFS(Attendance!$AX$6:$AX$2405,Attendance!$B$6:$B$2405,$A76,Attendance!$A$6:$A$2405,"&gt;="&amp;DATE(LvYear,1,1),Attendance!$A$6:$A$2405,"&lt;="&amp;DATE(LvYear,12,31)))</f>
        <v/>
      </c>
      <c r="U76" s="16" t="str">
        <f aca="false">IF($A76="","",SUMIFS(Attendance!$AW$6:$AW$2405,Attendance!$B$6:$B$2405,$A76,Attendance!$A$6:$A$2405,"&gt;="&amp;DATE(LvYear,1,1),Attendance!$A$6:$A$2405,"&lt;="&amp;DATE(LvYear,12,31)))</f>
        <v/>
      </c>
      <c r="V76" s="16" t="str">
        <f aca="false">IF($A76="","",L76-R76)</f>
        <v/>
      </c>
      <c r="W76" s="16" t="str">
        <f aca="false">IF($A76="","",M76-S76)</f>
        <v/>
      </c>
      <c r="X76" s="16" t="str">
        <f aca="false">IF($A76="","",P76-T76)</f>
        <v/>
      </c>
      <c r="Y76" s="16" t="str">
        <f aca="false">IF($A76="","",Q76-U76)</f>
        <v/>
      </c>
      <c r="Z76" s="16" t="str">
        <f aca="false">IF($A76="","",V76+W76+X76)</f>
        <v/>
      </c>
      <c r="AA76" s="16" t="str">
        <f aca="false">IF($A76="","",O76+N(N76)-T76)</f>
        <v/>
      </c>
      <c r="AB76" s="8" t="str">
        <f aca="false">IF($A76="","","CL "&amp;V76&amp;" | SL "&amp;W76&amp;" | PL "&amp;X76&amp;" | TR "&amp;Y76)</f>
        <v/>
      </c>
      <c r="AC76" s="15" t="str">
        <f aca="false">IF($A76="","",IF(F76="Exited","EXITED",IF(AND(ISNUMBER(K76),K76=0),"NOT ELIGIBLE",IF(MIN(V76:X76)&lt;0,"OVER-USED",IF(Z76&lt;=Settings!$C$15,"LOW","OK")))))</f>
        <v/>
      </c>
      <c r="AD76" s="16" t="str">
        <f aca="false">IF(OR(AC76="OVER-USED",AC76="LOW"),COUNTIF(AC$6:AC76,"OVER-USED")+COUNTIF(AC$6:AC76,"LOW"),"")</f>
        <v/>
      </c>
    </row>
    <row r="77" customFormat="false" ht="15" hidden="false" customHeight="false" outlineLevel="0" collapsed="false">
      <c r="A77" s="8" t="str">
        <f aca="false">IF('Employee List'!B77="","",'Employee List'!B77)</f>
        <v/>
      </c>
      <c r="B77" s="8" t="str">
        <f aca="false">IF($A77="","",'Employee List'!C77)</f>
        <v/>
      </c>
      <c r="C77" s="8" t="str">
        <f aca="false">IF($A77="","",'Employee List'!E77&amp;"")</f>
        <v/>
      </c>
      <c r="D77" s="8" t="str">
        <f aca="false">IF($A77="","",'Employee List'!F77&amp;"")</f>
        <v/>
      </c>
      <c r="E77" s="8" t="str">
        <f aca="false">IF($A77="","",'Employee List'!G77&amp;"")</f>
        <v/>
      </c>
      <c r="F77" s="8" t="str">
        <f aca="false">IF($A77="","",'Employee List'!D77)</f>
        <v/>
      </c>
      <c r="G77" s="38" t="str">
        <f aca="false">IF($A77="","",IF('Employee List'!I77="","",'Employee List'!I77))</f>
        <v/>
      </c>
      <c r="H77" s="38" t="str">
        <f aca="false">IF(OR($A77="",G77=""),"",G77+Settings!$C$13)</f>
        <v/>
      </c>
      <c r="I77" s="38" t="str">
        <f aca="false">IF(H77="","",MAX(H77,DATE(LvYear,1,1)))</f>
        <v/>
      </c>
      <c r="J77" s="38" t="str">
        <f aca="false">IF($A77="","",IF('Employee List'!J77="",DATE(LvYear,12,31),MIN('Employee List'!J77,DATE(LvYear,12,31))))</f>
        <v/>
      </c>
      <c r="K77" s="39" t="str">
        <f aca="false">IF(OR(I77="",J77=""),"",MAX(0,J77-I77+1))</f>
        <v/>
      </c>
      <c r="L77" s="16" t="str">
        <f aca="false">IF($A77="","",IF(AND(ISNUMBER(K77),K77=0),0,Settings!$C$10))</f>
        <v/>
      </c>
      <c r="M77" s="16" t="str">
        <f aca="false">IF($A77="","",IF(AND(ISNUMBER(K77),K77=0),0,Settings!$C$11))</f>
        <v/>
      </c>
      <c r="N77" s="40"/>
      <c r="O77" s="16" t="str">
        <f aca="false">IF($A77="","",FLOOR(Settings!$C$12/365*N(K77),0.5))</f>
        <v/>
      </c>
      <c r="P77" s="16" t="str">
        <f aca="false">IF($A77="","",IF(I77="",N(N77),FLOOR(Settings!$C$12/365*MAX(0,MIN(LvAsOf,J77)-I77+1)+N(N77),0.5)))</f>
        <v/>
      </c>
      <c r="Q77" s="16" t="str">
        <f aca="false">IF($A77="","",Settings!$C$14)</f>
        <v/>
      </c>
      <c r="R77" s="16" t="str">
        <f aca="false">IF($A77="","",SUMIFS(Attendance!$AZ$6:$AZ$2405,Attendance!$B$6:$B$2405,$A77,Attendance!$A$6:$A$2405,"&gt;="&amp;DATE(LvYear,1,1),Attendance!$A$6:$A$2405,"&lt;="&amp;DATE(LvYear,12,31)))</f>
        <v/>
      </c>
      <c r="S77" s="16" t="str">
        <f aca="false">IF($A77="","",SUMIFS(Attendance!$AY$6:$AY$2405,Attendance!$B$6:$B$2405,$A77,Attendance!$A$6:$A$2405,"&gt;="&amp;DATE(LvYear,1,1),Attendance!$A$6:$A$2405,"&lt;="&amp;DATE(LvYear,12,31)))</f>
        <v/>
      </c>
      <c r="T77" s="16" t="str">
        <f aca="false">IF($A77="","",SUMIFS(Attendance!$AX$6:$AX$2405,Attendance!$B$6:$B$2405,$A77,Attendance!$A$6:$A$2405,"&gt;="&amp;DATE(LvYear,1,1),Attendance!$A$6:$A$2405,"&lt;="&amp;DATE(LvYear,12,31)))</f>
        <v/>
      </c>
      <c r="U77" s="16" t="str">
        <f aca="false">IF($A77="","",SUMIFS(Attendance!$AW$6:$AW$2405,Attendance!$B$6:$B$2405,$A77,Attendance!$A$6:$A$2405,"&gt;="&amp;DATE(LvYear,1,1),Attendance!$A$6:$A$2405,"&lt;="&amp;DATE(LvYear,12,31)))</f>
        <v/>
      </c>
      <c r="V77" s="16" t="str">
        <f aca="false">IF($A77="","",L77-R77)</f>
        <v/>
      </c>
      <c r="W77" s="16" t="str">
        <f aca="false">IF($A77="","",M77-S77)</f>
        <v/>
      </c>
      <c r="X77" s="16" t="str">
        <f aca="false">IF($A77="","",P77-T77)</f>
        <v/>
      </c>
      <c r="Y77" s="16" t="str">
        <f aca="false">IF($A77="","",Q77-U77)</f>
        <v/>
      </c>
      <c r="Z77" s="16" t="str">
        <f aca="false">IF($A77="","",V77+W77+X77)</f>
        <v/>
      </c>
      <c r="AA77" s="16" t="str">
        <f aca="false">IF($A77="","",O77+N(N77)-T77)</f>
        <v/>
      </c>
      <c r="AB77" s="8" t="str">
        <f aca="false">IF($A77="","","CL "&amp;V77&amp;" | SL "&amp;W77&amp;" | PL "&amp;X77&amp;" | TR "&amp;Y77)</f>
        <v/>
      </c>
      <c r="AC77" s="15" t="str">
        <f aca="false">IF($A77="","",IF(F77="Exited","EXITED",IF(AND(ISNUMBER(K77),K77=0),"NOT ELIGIBLE",IF(MIN(V77:X77)&lt;0,"OVER-USED",IF(Z77&lt;=Settings!$C$15,"LOW","OK")))))</f>
        <v/>
      </c>
      <c r="AD77" s="16" t="str">
        <f aca="false">IF(OR(AC77="OVER-USED",AC77="LOW"),COUNTIF(AC$6:AC77,"OVER-USED")+COUNTIF(AC$6:AC77,"LOW"),"")</f>
        <v/>
      </c>
    </row>
    <row r="78" customFormat="false" ht="15" hidden="false" customHeight="false" outlineLevel="0" collapsed="false">
      <c r="A78" s="8" t="str">
        <f aca="false">IF('Employee List'!B78="","",'Employee List'!B78)</f>
        <v/>
      </c>
      <c r="B78" s="8" t="str">
        <f aca="false">IF($A78="","",'Employee List'!C78)</f>
        <v/>
      </c>
      <c r="C78" s="8" t="str">
        <f aca="false">IF($A78="","",'Employee List'!E78&amp;"")</f>
        <v/>
      </c>
      <c r="D78" s="8" t="str">
        <f aca="false">IF($A78="","",'Employee List'!F78&amp;"")</f>
        <v/>
      </c>
      <c r="E78" s="8" t="str">
        <f aca="false">IF($A78="","",'Employee List'!G78&amp;"")</f>
        <v/>
      </c>
      <c r="F78" s="8" t="str">
        <f aca="false">IF($A78="","",'Employee List'!D78)</f>
        <v/>
      </c>
      <c r="G78" s="38" t="str">
        <f aca="false">IF($A78="","",IF('Employee List'!I78="","",'Employee List'!I78))</f>
        <v/>
      </c>
      <c r="H78" s="38" t="str">
        <f aca="false">IF(OR($A78="",G78=""),"",G78+Settings!$C$13)</f>
        <v/>
      </c>
      <c r="I78" s="38" t="str">
        <f aca="false">IF(H78="","",MAX(H78,DATE(LvYear,1,1)))</f>
        <v/>
      </c>
      <c r="J78" s="38" t="str">
        <f aca="false">IF($A78="","",IF('Employee List'!J78="",DATE(LvYear,12,31),MIN('Employee List'!J78,DATE(LvYear,12,31))))</f>
        <v/>
      </c>
      <c r="K78" s="39" t="str">
        <f aca="false">IF(OR(I78="",J78=""),"",MAX(0,J78-I78+1))</f>
        <v/>
      </c>
      <c r="L78" s="16" t="str">
        <f aca="false">IF($A78="","",IF(AND(ISNUMBER(K78),K78=0),0,Settings!$C$10))</f>
        <v/>
      </c>
      <c r="M78" s="16" t="str">
        <f aca="false">IF($A78="","",IF(AND(ISNUMBER(K78),K78=0),0,Settings!$C$11))</f>
        <v/>
      </c>
      <c r="N78" s="40"/>
      <c r="O78" s="16" t="str">
        <f aca="false">IF($A78="","",FLOOR(Settings!$C$12/365*N(K78),0.5))</f>
        <v/>
      </c>
      <c r="P78" s="16" t="str">
        <f aca="false">IF($A78="","",IF(I78="",N(N78),FLOOR(Settings!$C$12/365*MAX(0,MIN(LvAsOf,J78)-I78+1)+N(N78),0.5)))</f>
        <v/>
      </c>
      <c r="Q78" s="16" t="str">
        <f aca="false">IF($A78="","",Settings!$C$14)</f>
        <v/>
      </c>
      <c r="R78" s="16" t="str">
        <f aca="false">IF($A78="","",SUMIFS(Attendance!$AZ$6:$AZ$2405,Attendance!$B$6:$B$2405,$A78,Attendance!$A$6:$A$2405,"&gt;="&amp;DATE(LvYear,1,1),Attendance!$A$6:$A$2405,"&lt;="&amp;DATE(LvYear,12,31)))</f>
        <v/>
      </c>
      <c r="S78" s="16" t="str">
        <f aca="false">IF($A78="","",SUMIFS(Attendance!$AY$6:$AY$2405,Attendance!$B$6:$B$2405,$A78,Attendance!$A$6:$A$2405,"&gt;="&amp;DATE(LvYear,1,1),Attendance!$A$6:$A$2405,"&lt;="&amp;DATE(LvYear,12,31)))</f>
        <v/>
      </c>
      <c r="T78" s="16" t="str">
        <f aca="false">IF($A78="","",SUMIFS(Attendance!$AX$6:$AX$2405,Attendance!$B$6:$B$2405,$A78,Attendance!$A$6:$A$2405,"&gt;="&amp;DATE(LvYear,1,1),Attendance!$A$6:$A$2405,"&lt;="&amp;DATE(LvYear,12,31)))</f>
        <v/>
      </c>
      <c r="U78" s="16" t="str">
        <f aca="false">IF($A78="","",SUMIFS(Attendance!$AW$6:$AW$2405,Attendance!$B$6:$B$2405,$A78,Attendance!$A$6:$A$2405,"&gt;="&amp;DATE(LvYear,1,1),Attendance!$A$6:$A$2405,"&lt;="&amp;DATE(LvYear,12,31)))</f>
        <v/>
      </c>
      <c r="V78" s="16" t="str">
        <f aca="false">IF($A78="","",L78-R78)</f>
        <v/>
      </c>
      <c r="W78" s="16" t="str">
        <f aca="false">IF($A78="","",M78-S78)</f>
        <v/>
      </c>
      <c r="X78" s="16" t="str">
        <f aca="false">IF($A78="","",P78-T78)</f>
        <v/>
      </c>
      <c r="Y78" s="16" t="str">
        <f aca="false">IF($A78="","",Q78-U78)</f>
        <v/>
      </c>
      <c r="Z78" s="16" t="str">
        <f aca="false">IF($A78="","",V78+W78+X78)</f>
        <v/>
      </c>
      <c r="AA78" s="16" t="str">
        <f aca="false">IF($A78="","",O78+N(N78)-T78)</f>
        <v/>
      </c>
      <c r="AB78" s="8" t="str">
        <f aca="false">IF($A78="","","CL "&amp;V78&amp;" | SL "&amp;W78&amp;" | PL "&amp;X78&amp;" | TR "&amp;Y78)</f>
        <v/>
      </c>
      <c r="AC78" s="15" t="str">
        <f aca="false">IF($A78="","",IF(F78="Exited","EXITED",IF(AND(ISNUMBER(K78),K78=0),"NOT ELIGIBLE",IF(MIN(V78:X78)&lt;0,"OVER-USED",IF(Z78&lt;=Settings!$C$15,"LOW","OK")))))</f>
        <v/>
      </c>
      <c r="AD78" s="16" t="str">
        <f aca="false">IF(OR(AC78="OVER-USED",AC78="LOW"),COUNTIF(AC$6:AC78,"OVER-USED")+COUNTIF(AC$6:AC78,"LOW"),"")</f>
        <v/>
      </c>
    </row>
    <row r="79" customFormat="false" ht="15" hidden="false" customHeight="false" outlineLevel="0" collapsed="false">
      <c r="A79" s="8" t="str">
        <f aca="false">IF('Employee List'!B79="","",'Employee List'!B79)</f>
        <v/>
      </c>
      <c r="B79" s="8" t="str">
        <f aca="false">IF($A79="","",'Employee List'!C79)</f>
        <v/>
      </c>
      <c r="C79" s="8" t="str">
        <f aca="false">IF($A79="","",'Employee List'!E79&amp;"")</f>
        <v/>
      </c>
      <c r="D79" s="8" t="str">
        <f aca="false">IF($A79="","",'Employee List'!F79&amp;"")</f>
        <v/>
      </c>
      <c r="E79" s="8" t="str">
        <f aca="false">IF($A79="","",'Employee List'!G79&amp;"")</f>
        <v/>
      </c>
      <c r="F79" s="8" t="str">
        <f aca="false">IF($A79="","",'Employee List'!D79)</f>
        <v/>
      </c>
      <c r="G79" s="38" t="str">
        <f aca="false">IF($A79="","",IF('Employee List'!I79="","",'Employee List'!I79))</f>
        <v/>
      </c>
      <c r="H79" s="38" t="str">
        <f aca="false">IF(OR($A79="",G79=""),"",G79+Settings!$C$13)</f>
        <v/>
      </c>
      <c r="I79" s="38" t="str">
        <f aca="false">IF(H79="","",MAX(H79,DATE(LvYear,1,1)))</f>
        <v/>
      </c>
      <c r="J79" s="38" t="str">
        <f aca="false">IF($A79="","",IF('Employee List'!J79="",DATE(LvYear,12,31),MIN('Employee List'!J79,DATE(LvYear,12,31))))</f>
        <v/>
      </c>
      <c r="K79" s="39" t="str">
        <f aca="false">IF(OR(I79="",J79=""),"",MAX(0,J79-I79+1))</f>
        <v/>
      </c>
      <c r="L79" s="16" t="str">
        <f aca="false">IF($A79="","",IF(AND(ISNUMBER(K79),K79=0),0,Settings!$C$10))</f>
        <v/>
      </c>
      <c r="M79" s="16" t="str">
        <f aca="false">IF($A79="","",IF(AND(ISNUMBER(K79),K79=0),0,Settings!$C$11))</f>
        <v/>
      </c>
      <c r="N79" s="40"/>
      <c r="O79" s="16" t="str">
        <f aca="false">IF($A79="","",FLOOR(Settings!$C$12/365*N(K79),0.5))</f>
        <v/>
      </c>
      <c r="P79" s="16" t="str">
        <f aca="false">IF($A79="","",IF(I79="",N(N79),FLOOR(Settings!$C$12/365*MAX(0,MIN(LvAsOf,J79)-I79+1)+N(N79),0.5)))</f>
        <v/>
      </c>
      <c r="Q79" s="16" t="str">
        <f aca="false">IF($A79="","",Settings!$C$14)</f>
        <v/>
      </c>
      <c r="R79" s="16" t="str">
        <f aca="false">IF($A79="","",SUMIFS(Attendance!$AZ$6:$AZ$2405,Attendance!$B$6:$B$2405,$A79,Attendance!$A$6:$A$2405,"&gt;="&amp;DATE(LvYear,1,1),Attendance!$A$6:$A$2405,"&lt;="&amp;DATE(LvYear,12,31)))</f>
        <v/>
      </c>
      <c r="S79" s="16" t="str">
        <f aca="false">IF($A79="","",SUMIFS(Attendance!$AY$6:$AY$2405,Attendance!$B$6:$B$2405,$A79,Attendance!$A$6:$A$2405,"&gt;="&amp;DATE(LvYear,1,1),Attendance!$A$6:$A$2405,"&lt;="&amp;DATE(LvYear,12,31)))</f>
        <v/>
      </c>
      <c r="T79" s="16" t="str">
        <f aca="false">IF($A79="","",SUMIFS(Attendance!$AX$6:$AX$2405,Attendance!$B$6:$B$2405,$A79,Attendance!$A$6:$A$2405,"&gt;="&amp;DATE(LvYear,1,1),Attendance!$A$6:$A$2405,"&lt;="&amp;DATE(LvYear,12,31)))</f>
        <v/>
      </c>
      <c r="U79" s="16" t="str">
        <f aca="false">IF($A79="","",SUMIFS(Attendance!$AW$6:$AW$2405,Attendance!$B$6:$B$2405,$A79,Attendance!$A$6:$A$2405,"&gt;="&amp;DATE(LvYear,1,1),Attendance!$A$6:$A$2405,"&lt;="&amp;DATE(LvYear,12,31)))</f>
        <v/>
      </c>
      <c r="V79" s="16" t="str">
        <f aca="false">IF($A79="","",L79-R79)</f>
        <v/>
      </c>
      <c r="W79" s="16" t="str">
        <f aca="false">IF($A79="","",M79-S79)</f>
        <v/>
      </c>
      <c r="X79" s="16" t="str">
        <f aca="false">IF($A79="","",P79-T79)</f>
        <v/>
      </c>
      <c r="Y79" s="16" t="str">
        <f aca="false">IF($A79="","",Q79-U79)</f>
        <v/>
      </c>
      <c r="Z79" s="16" t="str">
        <f aca="false">IF($A79="","",V79+W79+X79)</f>
        <v/>
      </c>
      <c r="AA79" s="16" t="str">
        <f aca="false">IF($A79="","",O79+N(N79)-T79)</f>
        <v/>
      </c>
      <c r="AB79" s="8" t="str">
        <f aca="false">IF($A79="","","CL "&amp;V79&amp;" | SL "&amp;W79&amp;" | PL "&amp;X79&amp;" | TR "&amp;Y79)</f>
        <v/>
      </c>
      <c r="AC79" s="15" t="str">
        <f aca="false">IF($A79="","",IF(F79="Exited","EXITED",IF(AND(ISNUMBER(K79),K79=0),"NOT ELIGIBLE",IF(MIN(V79:X79)&lt;0,"OVER-USED",IF(Z79&lt;=Settings!$C$15,"LOW","OK")))))</f>
        <v/>
      </c>
      <c r="AD79" s="16" t="str">
        <f aca="false">IF(OR(AC79="OVER-USED",AC79="LOW"),COUNTIF(AC$6:AC79,"OVER-USED")+COUNTIF(AC$6:AC79,"LOW"),"")</f>
        <v/>
      </c>
    </row>
    <row r="80" customFormat="false" ht="15" hidden="false" customHeight="false" outlineLevel="0" collapsed="false">
      <c r="A80" s="8" t="str">
        <f aca="false">IF('Employee List'!B80="","",'Employee List'!B80)</f>
        <v/>
      </c>
      <c r="B80" s="8" t="str">
        <f aca="false">IF($A80="","",'Employee List'!C80)</f>
        <v/>
      </c>
      <c r="C80" s="8" t="str">
        <f aca="false">IF($A80="","",'Employee List'!E80&amp;"")</f>
        <v/>
      </c>
      <c r="D80" s="8" t="str">
        <f aca="false">IF($A80="","",'Employee List'!F80&amp;"")</f>
        <v/>
      </c>
      <c r="E80" s="8" t="str">
        <f aca="false">IF($A80="","",'Employee List'!G80&amp;"")</f>
        <v/>
      </c>
      <c r="F80" s="8" t="str">
        <f aca="false">IF($A80="","",'Employee List'!D80)</f>
        <v/>
      </c>
      <c r="G80" s="38" t="str">
        <f aca="false">IF($A80="","",IF('Employee List'!I80="","",'Employee List'!I80))</f>
        <v/>
      </c>
      <c r="H80" s="38" t="str">
        <f aca="false">IF(OR($A80="",G80=""),"",G80+Settings!$C$13)</f>
        <v/>
      </c>
      <c r="I80" s="38" t="str">
        <f aca="false">IF(H80="","",MAX(H80,DATE(LvYear,1,1)))</f>
        <v/>
      </c>
      <c r="J80" s="38" t="str">
        <f aca="false">IF($A80="","",IF('Employee List'!J80="",DATE(LvYear,12,31),MIN('Employee List'!J80,DATE(LvYear,12,31))))</f>
        <v/>
      </c>
      <c r="K80" s="39" t="str">
        <f aca="false">IF(OR(I80="",J80=""),"",MAX(0,J80-I80+1))</f>
        <v/>
      </c>
      <c r="L80" s="16" t="str">
        <f aca="false">IF($A80="","",IF(AND(ISNUMBER(K80),K80=0),0,Settings!$C$10))</f>
        <v/>
      </c>
      <c r="M80" s="16" t="str">
        <f aca="false">IF($A80="","",IF(AND(ISNUMBER(K80),K80=0),0,Settings!$C$11))</f>
        <v/>
      </c>
      <c r="N80" s="40"/>
      <c r="O80" s="16" t="str">
        <f aca="false">IF($A80="","",FLOOR(Settings!$C$12/365*N(K80),0.5))</f>
        <v/>
      </c>
      <c r="P80" s="16" t="str">
        <f aca="false">IF($A80="","",IF(I80="",N(N80),FLOOR(Settings!$C$12/365*MAX(0,MIN(LvAsOf,J80)-I80+1)+N(N80),0.5)))</f>
        <v/>
      </c>
      <c r="Q80" s="16" t="str">
        <f aca="false">IF($A80="","",Settings!$C$14)</f>
        <v/>
      </c>
      <c r="R80" s="16" t="str">
        <f aca="false">IF($A80="","",SUMIFS(Attendance!$AZ$6:$AZ$2405,Attendance!$B$6:$B$2405,$A80,Attendance!$A$6:$A$2405,"&gt;="&amp;DATE(LvYear,1,1),Attendance!$A$6:$A$2405,"&lt;="&amp;DATE(LvYear,12,31)))</f>
        <v/>
      </c>
      <c r="S80" s="16" t="str">
        <f aca="false">IF($A80="","",SUMIFS(Attendance!$AY$6:$AY$2405,Attendance!$B$6:$B$2405,$A80,Attendance!$A$6:$A$2405,"&gt;="&amp;DATE(LvYear,1,1),Attendance!$A$6:$A$2405,"&lt;="&amp;DATE(LvYear,12,31)))</f>
        <v/>
      </c>
      <c r="T80" s="16" t="str">
        <f aca="false">IF($A80="","",SUMIFS(Attendance!$AX$6:$AX$2405,Attendance!$B$6:$B$2405,$A80,Attendance!$A$6:$A$2405,"&gt;="&amp;DATE(LvYear,1,1),Attendance!$A$6:$A$2405,"&lt;="&amp;DATE(LvYear,12,31)))</f>
        <v/>
      </c>
      <c r="U80" s="16" t="str">
        <f aca="false">IF($A80="","",SUMIFS(Attendance!$AW$6:$AW$2405,Attendance!$B$6:$B$2405,$A80,Attendance!$A$6:$A$2405,"&gt;="&amp;DATE(LvYear,1,1),Attendance!$A$6:$A$2405,"&lt;="&amp;DATE(LvYear,12,31)))</f>
        <v/>
      </c>
      <c r="V80" s="16" t="str">
        <f aca="false">IF($A80="","",L80-R80)</f>
        <v/>
      </c>
      <c r="W80" s="16" t="str">
        <f aca="false">IF($A80="","",M80-S80)</f>
        <v/>
      </c>
      <c r="X80" s="16" t="str">
        <f aca="false">IF($A80="","",P80-T80)</f>
        <v/>
      </c>
      <c r="Y80" s="16" t="str">
        <f aca="false">IF($A80="","",Q80-U80)</f>
        <v/>
      </c>
      <c r="Z80" s="16" t="str">
        <f aca="false">IF($A80="","",V80+W80+X80)</f>
        <v/>
      </c>
      <c r="AA80" s="16" t="str">
        <f aca="false">IF($A80="","",O80+N(N80)-T80)</f>
        <v/>
      </c>
      <c r="AB80" s="8" t="str">
        <f aca="false">IF($A80="","","CL "&amp;V80&amp;" | SL "&amp;W80&amp;" | PL "&amp;X80&amp;" | TR "&amp;Y80)</f>
        <v/>
      </c>
      <c r="AC80" s="15" t="str">
        <f aca="false">IF($A80="","",IF(F80="Exited","EXITED",IF(AND(ISNUMBER(K80),K80=0),"NOT ELIGIBLE",IF(MIN(V80:X80)&lt;0,"OVER-USED",IF(Z80&lt;=Settings!$C$15,"LOW","OK")))))</f>
        <v/>
      </c>
      <c r="AD80" s="16" t="str">
        <f aca="false">IF(OR(AC80="OVER-USED",AC80="LOW"),COUNTIF(AC$6:AC80,"OVER-USED")+COUNTIF(AC$6:AC80,"LOW"),"")</f>
        <v/>
      </c>
    </row>
    <row r="81" customFormat="false" ht="15" hidden="false" customHeight="false" outlineLevel="0" collapsed="false">
      <c r="A81" s="8" t="str">
        <f aca="false">IF('Employee List'!B81="","",'Employee List'!B81)</f>
        <v/>
      </c>
      <c r="B81" s="8" t="str">
        <f aca="false">IF($A81="","",'Employee List'!C81)</f>
        <v/>
      </c>
      <c r="C81" s="8" t="str">
        <f aca="false">IF($A81="","",'Employee List'!E81&amp;"")</f>
        <v/>
      </c>
      <c r="D81" s="8" t="str">
        <f aca="false">IF($A81="","",'Employee List'!F81&amp;"")</f>
        <v/>
      </c>
      <c r="E81" s="8" t="str">
        <f aca="false">IF($A81="","",'Employee List'!G81&amp;"")</f>
        <v/>
      </c>
      <c r="F81" s="8" t="str">
        <f aca="false">IF($A81="","",'Employee List'!D81)</f>
        <v/>
      </c>
      <c r="G81" s="38" t="str">
        <f aca="false">IF($A81="","",IF('Employee List'!I81="","",'Employee List'!I81))</f>
        <v/>
      </c>
      <c r="H81" s="38" t="str">
        <f aca="false">IF(OR($A81="",G81=""),"",G81+Settings!$C$13)</f>
        <v/>
      </c>
      <c r="I81" s="38" t="str">
        <f aca="false">IF(H81="","",MAX(H81,DATE(LvYear,1,1)))</f>
        <v/>
      </c>
      <c r="J81" s="38" t="str">
        <f aca="false">IF($A81="","",IF('Employee List'!J81="",DATE(LvYear,12,31),MIN('Employee List'!J81,DATE(LvYear,12,31))))</f>
        <v/>
      </c>
      <c r="K81" s="39" t="str">
        <f aca="false">IF(OR(I81="",J81=""),"",MAX(0,J81-I81+1))</f>
        <v/>
      </c>
      <c r="L81" s="16" t="str">
        <f aca="false">IF($A81="","",IF(AND(ISNUMBER(K81),K81=0),0,Settings!$C$10))</f>
        <v/>
      </c>
      <c r="M81" s="16" t="str">
        <f aca="false">IF($A81="","",IF(AND(ISNUMBER(K81),K81=0),0,Settings!$C$11))</f>
        <v/>
      </c>
      <c r="N81" s="40"/>
      <c r="O81" s="16" t="str">
        <f aca="false">IF($A81="","",FLOOR(Settings!$C$12/365*N(K81),0.5))</f>
        <v/>
      </c>
      <c r="P81" s="16" t="str">
        <f aca="false">IF($A81="","",IF(I81="",N(N81),FLOOR(Settings!$C$12/365*MAX(0,MIN(LvAsOf,J81)-I81+1)+N(N81),0.5)))</f>
        <v/>
      </c>
      <c r="Q81" s="16" t="str">
        <f aca="false">IF($A81="","",Settings!$C$14)</f>
        <v/>
      </c>
      <c r="R81" s="16" t="str">
        <f aca="false">IF($A81="","",SUMIFS(Attendance!$AZ$6:$AZ$2405,Attendance!$B$6:$B$2405,$A81,Attendance!$A$6:$A$2405,"&gt;="&amp;DATE(LvYear,1,1),Attendance!$A$6:$A$2405,"&lt;="&amp;DATE(LvYear,12,31)))</f>
        <v/>
      </c>
      <c r="S81" s="16" t="str">
        <f aca="false">IF($A81="","",SUMIFS(Attendance!$AY$6:$AY$2405,Attendance!$B$6:$B$2405,$A81,Attendance!$A$6:$A$2405,"&gt;="&amp;DATE(LvYear,1,1),Attendance!$A$6:$A$2405,"&lt;="&amp;DATE(LvYear,12,31)))</f>
        <v/>
      </c>
      <c r="T81" s="16" t="str">
        <f aca="false">IF($A81="","",SUMIFS(Attendance!$AX$6:$AX$2405,Attendance!$B$6:$B$2405,$A81,Attendance!$A$6:$A$2405,"&gt;="&amp;DATE(LvYear,1,1),Attendance!$A$6:$A$2405,"&lt;="&amp;DATE(LvYear,12,31)))</f>
        <v/>
      </c>
      <c r="U81" s="16" t="str">
        <f aca="false">IF($A81="","",SUMIFS(Attendance!$AW$6:$AW$2405,Attendance!$B$6:$B$2405,$A81,Attendance!$A$6:$A$2405,"&gt;="&amp;DATE(LvYear,1,1),Attendance!$A$6:$A$2405,"&lt;="&amp;DATE(LvYear,12,31)))</f>
        <v/>
      </c>
      <c r="V81" s="16" t="str">
        <f aca="false">IF($A81="","",L81-R81)</f>
        <v/>
      </c>
      <c r="W81" s="16" t="str">
        <f aca="false">IF($A81="","",M81-S81)</f>
        <v/>
      </c>
      <c r="X81" s="16" t="str">
        <f aca="false">IF($A81="","",P81-T81)</f>
        <v/>
      </c>
      <c r="Y81" s="16" t="str">
        <f aca="false">IF($A81="","",Q81-U81)</f>
        <v/>
      </c>
      <c r="Z81" s="16" t="str">
        <f aca="false">IF($A81="","",V81+W81+X81)</f>
        <v/>
      </c>
      <c r="AA81" s="16" t="str">
        <f aca="false">IF($A81="","",O81+N(N81)-T81)</f>
        <v/>
      </c>
      <c r="AB81" s="8" t="str">
        <f aca="false">IF($A81="","","CL "&amp;V81&amp;" | SL "&amp;W81&amp;" | PL "&amp;X81&amp;" | TR "&amp;Y81)</f>
        <v/>
      </c>
      <c r="AC81" s="15" t="str">
        <f aca="false">IF($A81="","",IF(F81="Exited","EXITED",IF(AND(ISNUMBER(K81),K81=0),"NOT ELIGIBLE",IF(MIN(V81:X81)&lt;0,"OVER-USED",IF(Z81&lt;=Settings!$C$15,"LOW","OK")))))</f>
        <v/>
      </c>
      <c r="AD81" s="16" t="str">
        <f aca="false">IF(OR(AC81="OVER-USED",AC81="LOW"),COUNTIF(AC$6:AC81,"OVER-USED")+COUNTIF(AC$6:AC81,"LOW"),"")</f>
        <v/>
      </c>
    </row>
    <row r="82" customFormat="false" ht="15" hidden="false" customHeight="false" outlineLevel="0" collapsed="false">
      <c r="A82" s="8" t="str">
        <f aca="false">IF('Employee List'!B82="","",'Employee List'!B82)</f>
        <v/>
      </c>
      <c r="B82" s="8" t="str">
        <f aca="false">IF($A82="","",'Employee List'!C82)</f>
        <v/>
      </c>
      <c r="C82" s="8" t="str">
        <f aca="false">IF($A82="","",'Employee List'!E82&amp;"")</f>
        <v/>
      </c>
      <c r="D82" s="8" t="str">
        <f aca="false">IF($A82="","",'Employee List'!F82&amp;"")</f>
        <v/>
      </c>
      <c r="E82" s="8" t="str">
        <f aca="false">IF($A82="","",'Employee List'!G82&amp;"")</f>
        <v/>
      </c>
      <c r="F82" s="8" t="str">
        <f aca="false">IF($A82="","",'Employee List'!D82)</f>
        <v/>
      </c>
      <c r="G82" s="38" t="str">
        <f aca="false">IF($A82="","",IF('Employee List'!I82="","",'Employee List'!I82))</f>
        <v/>
      </c>
      <c r="H82" s="38" t="str">
        <f aca="false">IF(OR($A82="",G82=""),"",G82+Settings!$C$13)</f>
        <v/>
      </c>
      <c r="I82" s="38" t="str">
        <f aca="false">IF(H82="","",MAX(H82,DATE(LvYear,1,1)))</f>
        <v/>
      </c>
      <c r="J82" s="38" t="str">
        <f aca="false">IF($A82="","",IF('Employee List'!J82="",DATE(LvYear,12,31),MIN('Employee List'!J82,DATE(LvYear,12,31))))</f>
        <v/>
      </c>
      <c r="K82" s="39" t="str">
        <f aca="false">IF(OR(I82="",J82=""),"",MAX(0,J82-I82+1))</f>
        <v/>
      </c>
      <c r="L82" s="16" t="str">
        <f aca="false">IF($A82="","",IF(AND(ISNUMBER(K82),K82=0),0,Settings!$C$10))</f>
        <v/>
      </c>
      <c r="M82" s="16" t="str">
        <f aca="false">IF($A82="","",IF(AND(ISNUMBER(K82),K82=0),0,Settings!$C$11))</f>
        <v/>
      </c>
      <c r="N82" s="40"/>
      <c r="O82" s="16" t="str">
        <f aca="false">IF($A82="","",FLOOR(Settings!$C$12/365*N(K82),0.5))</f>
        <v/>
      </c>
      <c r="P82" s="16" t="str">
        <f aca="false">IF($A82="","",IF(I82="",N(N82),FLOOR(Settings!$C$12/365*MAX(0,MIN(LvAsOf,J82)-I82+1)+N(N82),0.5)))</f>
        <v/>
      </c>
      <c r="Q82" s="16" t="str">
        <f aca="false">IF($A82="","",Settings!$C$14)</f>
        <v/>
      </c>
      <c r="R82" s="16" t="str">
        <f aca="false">IF($A82="","",SUMIFS(Attendance!$AZ$6:$AZ$2405,Attendance!$B$6:$B$2405,$A82,Attendance!$A$6:$A$2405,"&gt;="&amp;DATE(LvYear,1,1),Attendance!$A$6:$A$2405,"&lt;="&amp;DATE(LvYear,12,31)))</f>
        <v/>
      </c>
      <c r="S82" s="16" t="str">
        <f aca="false">IF($A82="","",SUMIFS(Attendance!$AY$6:$AY$2405,Attendance!$B$6:$B$2405,$A82,Attendance!$A$6:$A$2405,"&gt;="&amp;DATE(LvYear,1,1),Attendance!$A$6:$A$2405,"&lt;="&amp;DATE(LvYear,12,31)))</f>
        <v/>
      </c>
      <c r="T82" s="16" t="str">
        <f aca="false">IF($A82="","",SUMIFS(Attendance!$AX$6:$AX$2405,Attendance!$B$6:$B$2405,$A82,Attendance!$A$6:$A$2405,"&gt;="&amp;DATE(LvYear,1,1),Attendance!$A$6:$A$2405,"&lt;="&amp;DATE(LvYear,12,31)))</f>
        <v/>
      </c>
      <c r="U82" s="16" t="str">
        <f aca="false">IF($A82="","",SUMIFS(Attendance!$AW$6:$AW$2405,Attendance!$B$6:$B$2405,$A82,Attendance!$A$6:$A$2405,"&gt;="&amp;DATE(LvYear,1,1),Attendance!$A$6:$A$2405,"&lt;="&amp;DATE(LvYear,12,31)))</f>
        <v/>
      </c>
      <c r="V82" s="16" t="str">
        <f aca="false">IF($A82="","",L82-R82)</f>
        <v/>
      </c>
      <c r="W82" s="16" t="str">
        <f aca="false">IF($A82="","",M82-S82)</f>
        <v/>
      </c>
      <c r="X82" s="16" t="str">
        <f aca="false">IF($A82="","",P82-T82)</f>
        <v/>
      </c>
      <c r="Y82" s="16" t="str">
        <f aca="false">IF($A82="","",Q82-U82)</f>
        <v/>
      </c>
      <c r="Z82" s="16" t="str">
        <f aca="false">IF($A82="","",V82+W82+X82)</f>
        <v/>
      </c>
      <c r="AA82" s="16" t="str">
        <f aca="false">IF($A82="","",O82+N(N82)-T82)</f>
        <v/>
      </c>
      <c r="AB82" s="8" t="str">
        <f aca="false">IF($A82="","","CL "&amp;V82&amp;" | SL "&amp;W82&amp;" | PL "&amp;X82&amp;" | TR "&amp;Y82)</f>
        <v/>
      </c>
      <c r="AC82" s="15" t="str">
        <f aca="false">IF($A82="","",IF(F82="Exited","EXITED",IF(AND(ISNUMBER(K82),K82=0),"NOT ELIGIBLE",IF(MIN(V82:X82)&lt;0,"OVER-USED",IF(Z82&lt;=Settings!$C$15,"LOW","OK")))))</f>
        <v/>
      </c>
      <c r="AD82" s="16" t="str">
        <f aca="false">IF(OR(AC82="OVER-USED",AC82="LOW"),COUNTIF(AC$6:AC82,"OVER-USED")+COUNTIF(AC$6:AC82,"LOW"),"")</f>
        <v/>
      </c>
    </row>
    <row r="83" customFormat="false" ht="15" hidden="false" customHeight="false" outlineLevel="0" collapsed="false">
      <c r="A83" s="8" t="str">
        <f aca="false">IF('Employee List'!B83="","",'Employee List'!B83)</f>
        <v/>
      </c>
      <c r="B83" s="8" t="str">
        <f aca="false">IF($A83="","",'Employee List'!C83)</f>
        <v/>
      </c>
      <c r="C83" s="8" t="str">
        <f aca="false">IF($A83="","",'Employee List'!E83&amp;"")</f>
        <v/>
      </c>
      <c r="D83" s="8" t="str">
        <f aca="false">IF($A83="","",'Employee List'!F83&amp;"")</f>
        <v/>
      </c>
      <c r="E83" s="8" t="str">
        <f aca="false">IF($A83="","",'Employee List'!G83&amp;"")</f>
        <v/>
      </c>
      <c r="F83" s="8" t="str">
        <f aca="false">IF($A83="","",'Employee List'!D83)</f>
        <v/>
      </c>
      <c r="G83" s="38" t="str">
        <f aca="false">IF($A83="","",IF('Employee List'!I83="","",'Employee List'!I83))</f>
        <v/>
      </c>
      <c r="H83" s="38" t="str">
        <f aca="false">IF(OR($A83="",G83=""),"",G83+Settings!$C$13)</f>
        <v/>
      </c>
      <c r="I83" s="38" t="str">
        <f aca="false">IF(H83="","",MAX(H83,DATE(LvYear,1,1)))</f>
        <v/>
      </c>
      <c r="J83" s="38" t="str">
        <f aca="false">IF($A83="","",IF('Employee List'!J83="",DATE(LvYear,12,31),MIN('Employee List'!J83,DATE(LvYear,12,31))))</f>
        <v/>
      </c>
      <c r="K83" s="39" t="str">
        <f aca="false">IF(OR(I83="",J83=""),"",MAX(0,J83-I83+1))</f>
        <v/>
      </c>
      <c r="L83" s="16" t="str">
        <f aca="false">IF($A83="","",IF(AND(ISNUMBER(K83),K83=0),0,Settings!$C$10))</f>
        <v/>
      </c>
      <c r="M83" s="16" t="str">
        <f aca="false">IF($A83="","",IF(AND(ISNUMBER(K83),K83=0),0,Settings!$C$11))</f>
        <v/>
      </c>
      <c r="N83" s="40"/>
      <c r="O83" s="16" t="str">
        <f aca="false">IF($A83="","",FLOOR(Settings!$C$12/365*N(K83),0.5))</f>
        <v/>
      </c>
      <c r="P83" s="16" t="str">
        <f aca="false">IF($A83="","",IF(I83="",N(N83),FLOOR(Settings!$C$12/365*MAX(0,MIN(LvAsOf,J83)-I83+1)+N(N83),0.5)))</f>
        <v/>
      </c>
      <c r="Q83" s="16" t="str">
        <f aca="false">IF($A83="","",Settings!$C$14)</f>
        <v/>
      </c>
      <c r="R83" s="16" t="str">
        <f aca="false">IF($A83="","",SUMIFS(Attendance!$AZ$6:$AZ$2405,Attendance!$B$6:$B$2405,$A83,Attendance!$A$6:$A$2405,"&gt;="&amp;DATE(LvYear,1,1),Attendance!$A$6:$A$2405,"&lt;="&amp;DATE(LvYear,12,31)))</f>
        <v/>
      </c>
      <c r="S83" s="16" t="str">
        <f aca="false">IF($A83="","",SUMIFS(Attendance!$AY$6:$AY$2405,Attendance!$B$6:$B$2405,$A83,Attendance!$A$6:$A$2405,"&gt;="&amp;DATE(LvYear,1,1),Attendance!$A$6:$A$2405,"&lt;="&amp;DATE(LvYear,12,31)))</f>
        <v/>
      </c>
      <c r="T83" s="16" t="str">
        <f aca="false">IF($A83="","",SUMIFS(Attendance!$AX$6:$AX$2405,Attendance!$B$6:$B$2405,$A83,Attendance!$A$6:$A$2405,"&gt;="&amp;DATE(LvYear,1,1),Attendance!$A$6:$A$2405,"&lt;="&amp;DATE(LvYear,12,31)))</f>
        <v/>
      </c>
      <c r="U83" s="16" t="str">
        <f aca="false">IF($A83="","",SUMIFS(Attendance!$AW$6:$AW$2405,Attendance!$B$6:$B$2405,$A83,Attendance!$A$6:$A$2405,"&gt;="&amp;DATE(LvYear,1,1),Attendance!$A$6:$A$2405,"&lt;="&amp;DATE(LvYear,12,31)))</f>
        <v/>
      </c>
      <c r="V83" s="16" t="str">
        <f aca="false">IF($A83="","",L83-R83)</f>
        <v/>
      </c>
      <c r="W83" s="16" t="str">
        <f aca="false">IF($A83="","",M83-S83)</f>
        <v/>
      </c>
      <c r="X83" s="16" t="str">
        <f aca="false">IF($A83="","",P83-T83)</f>
        <v/>
      </c>
      <c r="Y83" s="16" t="str">
        <f aca="false">IF($A83="","",Q83-U83)</f>
        <v/>
      </c>
      <c r="Z83" s="16" t="str">
        <f aca="false">IF($A83="","",V83+W83+X83)</f>
        <v/>
      </c>
      <c r="AA83" s="16" t="str">
        <f aca="false">IF($A83="","",O83+N(N83)-T83)</f>
        <v/>
      </c>
      <c r="AB83" s="8" t="str">
        <f aca="false">IF($A83="","","CL "&amp;V83&amp;" | SL "&amp;W83&amp;" | PL "&amp;X83&amp;" | TR "&amp;Y83)</f>
        <v/>
      </c>
      <c r="AC83" s="15" t="str">
        <f aca="false">IF($A83="","",IF(F83="Exited","EXITED",IF(AND(ISNUMBER(K83),K83=0),"NOT ELIGIBLE",IF(MIN(V83:X83)&lt;0,"OVER-USED",IF(Z83&lt;=Settings!$C$15,"LOW","OK")))))</f>
        <v/>
      </c>
      <c r="AD83" s="16" t="str">
        <f aca="false">IF(OR(AC83="OVER-USED",AC83="LOW"),COUNTIF(AC$6:AC83,"OVER-USED")+COUNTIF(AC$6:AC83,"LOW"),"")</f>
        <v/>
      </c>
    </row>
    <row r="84" customFormat="false" ht="15" hidden="false" customHeight="false" outlineLevel="0" collapsed="false">
      <c r="A84" s="8" t="str">
        <f aca="false">IF('Employee List'!B84="","",'Employee List'!B84)</f>
        <v/>
      </c>
      <c r="B84" s="8" t="str">
        <f aca="false">IF($A84="","",'Employee List'!C84)</f>
        <v/>
      </c>
      <c r="C84" s="8" t="str">
        <f aca="false">IF($A84="","",'Employee List'!E84&amp;"")</f>
        <v/>
      </c>
      <c r="D84" s="8" t="str">
        <f aca="false">IF($A84="","",'Employee List'!F84&amp;"")</f>
        <v/>
      </c>
      <c r="E84" s="8" t="str">
        <f aca="false">IF($A84="","",'Employee List'!G84&amp;"")</f>
        <v/>
      </c>
      <c r="F84" s="8" t="str">
        <f aca="false">IF($A84="","",'Employee List'!D84)</f>
        <v/>
      </c>
      <c r="G84" s="38" t="str">
        <f aca="false">IF($A84="","",IF('Employee List'!I84="","",'Employee List'!I84))</f>
        <v/>
      </c>
      <c r="H84" s="38" t="str">
        <f aca="false">IF(OR($A84="",G84=""),"",G84+Settings!$C$13)</f>
        <v/>
      </c>
      <c r="I84" s="38" t="str">
        <f aca="false">IF(H84="","",MAX(H84,DATE(LvYear,1,1)))</f>
        <v/>
      </c>
      <c r="J84" s="38" t="str">
        <f aca="false">IF($A84="","",IF('Employee List'!J84="",DATE(LvYear,12,31),MIN('Employee List'!J84,DATE(LvYear,12,31))))</f>
        <v/>
      </c>
      <c r="K84" s="39" t="str">
        <f aca="false">IF(OR(I84="",J84=""),"",MAX(0,J84-I84+1))</f>
        <v/>
      </c>
      <c r="L84" s="16" t="str">
        <f aca="false">IF($A84="","",IF(AND(ISNUMBER(K84),K84=0),0,Settings!$C$10))</f>
        <v/>
      </c>
      <c r="M84" s="16" t="str">
        <f aca="false">IF($A84="","",IF(AND(ISNUMBER(K84),K84=0),0,Settings!$C$11))</f>
        <v/>
      </c>
      <c r="N84" s="40"/>
      <c r="O84" s="16" t="str">
        <f aca="false">IF($A84="","",FLOOR(Settings!$C$12/365*N(K84),0.5))</f>
        <v/>
      </c>
      <c r="P84" s="16" t="str">
        <f aca="false">IF($A84="","",IF(I84="",N(N84),FLOOR(Settings!$C$12/365*MAX(0,MIN(LvAsOf,J84)-I84+1)+N(N84),0.5)))</f>
        <v/>
      </c>
      <c r="Q84" s="16" t="str">
        <f aca="false">IF($A84="","",Settings!$C$14)</f>
        <v/>
      </c>
      <c r="R84" s="16" t="str">
        <f aca="false">IF($A84="","",SUMIFS(Attendance!$AZ$6:$AZ$2405,Attendance!$B$6:$B$2405,$A84,Attendance!$A$6:$A$2405,"&gt;="&amp;DATE(LvYear,1,1),Attendance!$A$6:$A$2405,"&lt;="&amp;DATE(LvYear,12,31)))</f>
        <v/>
      </c>
      <c r="S84" s="16" t="str">
        <f aca="false">IF($A84="","",SUMIFS(Attendance!$AY$6:$AY$2405,Attendance!$B$6:$B$2405,$A84,Attendance!$A$6:$A$2405,"&gt;="&amp;DATE(LvYear,1,1),Attendance!$A$6:$A$2405,"&lt;="&amp;DATE(LvYear,12,31)))</f>
        <v/>
      </c>
      <c r="T84" s="16" t="str">
        <f aca="false">IF($A84="","",SUMIFS(Attendance!$AX$6:$AX$2405,Attendance!$B$6:$B$2405,$A84,Attendance!$A$6:$A$2405,"&gt;="&amp;DATE(LvYear,1,1),Attendance!$A$6:$A$2405,"&lt;="&amp;DATE(LvYear,12,31)))</f>
        <v/>
      </c>
      <c r="U84" s="16" t="str">
        <f aca="false">IF($A84="","",SUMIFS(Attendance!$AW$6:$AW$2405,Attendance!$B$6:$B$2405,$A84,Attendance!$A$6:$A$2405,"&gt;="&amp;DATE(LvYear,1,1),Attendance!$A$6:$A$2405,"&lt;="&amp;DATE(LvYear,12,31)))</f>
        <v/>
      </c>
      <c r="V84" s="16" t="str">
        <f aca="false">IF($A84="","",L84-R84)</f>
        <v/>
      </c>
      <c r="W84" s="16" t="str">
        <f aca="false">IF($A84="","",M84-S84)</f>
        <v/>
      </c>
      <c r="X84" s="16" t="str">
        <f aca="false">IF($A84="","",P84-T84)</f>
        <v/>
      </c>
      <c r="Y84" s="16" t="str">
        <f aca="false">IF($A84="","",Q84-U84)</f>
        <v/>
      </c>
      <c r="Z84" s="16" t="str">
        <f aca="false">IF($A84="","",V84+W84+X84)</f>
        <v/>
      </c>
      <c r="AA84" s="16" t="str">
        <f aca="false">IF($A84="","",O84+N(N84)-T84)</f>
        <v/>
      </c>
      <c r="AB84" s="8" t="str">
        <f aca="false">IF($A84="","","CL "&amp;V84&amp;" | SL "&amp;W84&amp;" | PL "&amp;X84&amp;" | TR "&amp;Y84)</f>
        <v/>
      </c>
      <c r="AC84" s="15" t="str">
        <f aca="false">IF($A84="","",IF(F84="Exited","EXITED",IF(AND(ISNUMBER(K84),K84=0),"NOT ELIGIBLE",IF(MIN(V84:X84)&lt;0,"OVER-USED",IF(Z84&lt;=Settings!$C$15,"LOW","OK")))))</f>
        <v/>
      </c>
      <c r="AD84" s="16" t="str">
        <f aca="false">IF(OR(AC84="OVER-USED",AC84="LOW"),COUNTIF(AC$6:AC84,"OVER-USED")+COUNTIF(AC$6:AC84,"LOW"),"")</f>
        <v/>
      </c>
    </row>
    <row r="85" customFormat="false" ht="15" hidden="false" customHeight="false" outlineLevel="0" collapsed="false">
      <c r="A85" s="8" t="str">
        <f aca="false">IF('Employee List'!B85="","",'Employee List'!B85)</f>
        <v/>
      </c>
      <c r="B85" s="8" t="str">
        <f aca="false">IF($A85="","",'Employee List'!C85)</f>
        <v/>
      </c>
      <c r="C85" s="8" t="str">
        <f aca="false">IF($A85="","",'Employee List'!E85&amp;"")</f>
        <v/>
      </c>
      <c r="D85" s="8" t="str">
        <f aca="false">IF($A85="","",'Employee List'!F85&amp;"")</f>
        <v/>
      </c>
      <c r="E85" s="8" t="str">
        <f aca="false">IF($A85="","",'Employee List'!G85&amp;"")</f>
        <v/>
      </c>
      <c r="F85" s="8" t="str">
        <f aca="false">IF($A85="","",'Employee List'!D85)</f>
        <v/>
      </c>
      <c r="G85" s="38" t="str">
        <f aca="false">IF($A85="","",IF('Employee List'!I85="","",'Employee List'!I85))</f>
        <v/>
      </c>
      <c r="H85" s="38" t="str">
        <f aca="false">IF(OR($A85="",G85=""),"",G85+Settings!$C$13)</f>
        <v/>
      </c>
      <c r="I85" s="38" t="str">
        <f aca="false">IF(H85="","",MAX(H85,DATE(LvYear,1,1)))</f>
        <v/>
      </c>
      <c r="J85" s="38" t="str">
        <f aca="false">IF($A85="","",IF('Employee List'!J85="",DATE(LvYear,12,31),MIN('Employee List'!J85,DATE(LvYear,12,31))))</f>
        <v/>
      </c>
      <c r="K85" s="39" t="str">
        <f aca="false">IF(OR(I85="",J85=""),"",MAX(0,J85-I85+1))</f>
        <v/>
      </c>
      <c r="L85" s="16" t="str">
        <f aca="false">IF($A85="","",IF(AND(ISNUMBER(K85),K85=0),0,Settings!$C$10))</f>
        <v/>
      </c>
      <c r="M85" s="16" t="str">
        <f aca="false">IF($A85="","",IF(AND(ISNUMBER(K85),K85=0),0,Settings!$C$11))</f>
        <v/>
      </c>
      <c r="N85" s="40"/>
      <c r="O85" s="16" t="str">
        <f aca="false">IF($A85="","",FLOOR(Settings!$C$12/365*N(K85),0.5))</f>
        <v/>
      </c>
      <c r="P85" s="16" t="str">
        <f aca="false">IF($A85="","",IF(I85="",N(N85),FLOOR(Settings!$C$12/365*MAX(0,MIN(LvAsOf,J85)-I85+1)+N(N85),0.5)))</f>
        <v/>
      </c>
      <c r="Q85" s="16" t="str">
        <f aca="false">IF($A85="","",Settings!$C$14)</f>
        <v/>
      </c>
      <c r="R85" s="16" t="str">
        <f aca="false">IF($A85="","",SUMIFS(Attendance!$AZ$6:$AZ$2405,Attendance!$B$6:$B$2405,$A85,Attendance!$A$6:$A$2405,"&gt;="&amp;DATE(LvYear,1,1),Attendance!$A$6:$A$2405,"&lt;="&amp;DATE(LvYear,12,31)))</f>
        <v/>
      </c>
      <c r="S85" s="16" t="str">
        <f aca="false">IF($A85="","",SUMIFS(Attendance!$AY$6:$AY$2405,Attendance!$B$6:$B$2405,$A85,Attendance!$A$6:$A$2405,"&gt;="&amp;DATE(LvYear,1,1),Attendance!$A$6:$A$2405,"&lt;="&amp;DATE(LvYear,12,31)))</f>
        <v/>
      </c>
      <c r="T85" s="16" t="str">
        <f aca="false">IF($A85="","",SUMIFS(Attendance!$AX$6:$AX$2405,Attendance!$B$6:$B$2405,$A85,Attendance!$A$6:$A$2405,"&gt;="&amp;DATE(LvYear,1,1),Attendance!$A$6:$A$2405,"&lt;="&amp;DATE(LvYear,12,31)))</f>
        <v/>
      </c>
      <c r="U85" s="16" t="str">
        <f aca="false">IF($A85="","",SUMIFS(Attendance!$AW$6:$AW$2405,Attendance!$B$6:$B$2405,$A85,Attendance!$A$6:$A$2405,"&gt;="&amp;DATE(LvYear,1,1),Attendance!$A$6:$A$2405,"&lt;="&amp;DATE(LvYear,12,31)))</f>
        <v/>
      </c>
      <c r="V85" s="16" t="str">
        <f aca="false">IF($A85="","",L85-R85)</f>
        <v/>
      </c>
      <c r="W85" s="16" t="str">
        <f aca="false">IF($A85="","",M85-S85)</f>
        <v/>
      </c>
      <c r="X85" s="16" t="str">
        <f aca="false">IF($A85="","",P85-T85)</f>
        <v/>
      </c>
      <c r="Y85" s="16" t="str">
        <f aca="false">IF($A85="","",Q85-U85)</f>
        <v/>
      </c>
      <c r="Z85" s="16" t="str">
        <f aca="false">IF($A85="","",V85+W85+X85)</f>
        <v/>
      </c>
      <c r="AA85" s="16" t="str">
        <f aca="false">IF($A85="","",O85+N(N85)-T85)</f>
        <v/>
      </c>
      <c r="AB85" s="8" t="str">
        <f aca="false">IF($A85="","","CL "&amp;V85&amp;" | SL "&amp;W85&amp;" | PL "&amp;X85&amp;" | TR "&amp;Y85)</f>
        <v/>
      </c>
      <c r="AC85" s="15" t="str">
        <f aca="false">IF($A85="","",IF(F85="Exited","EXITED",IF(AND(ISNUMBER(K85),K85=0),"NOT ELIGIBLE",IF(MIN(V85:X85)&lt;0,"OVER-USED",IF(Z85&lt;=Settings!$C$15,"LOW","OK")))))</f>
        <v/>
      </c>
      <c r="AD85" s="16" t="str">
        <f aca="false">IF(OR(AC85="OVER-USED",AC85="LOW"),COUNTIF(AC$6:AC85,"OVER-USED")+COUNTIF(AC$6:AC85,"LOW"),"")</f>
        <v/>
      </c>
    </row>
    <row r="86" customFormat="false" ht="15" hidden="false" customHeight="false" outlineLevel="0" collapsed="false">
      <c r="A86" s="8" t="str">
        <f aca="false">IF('Employee List'!B86="","",'Employee List'!B86)</f>
        <v/>
      </c>
      <c r="B86" s="8" t="str">
        <f aca="false">IF($A86="","",'Employee List'!C86)</f>
        <v/>
      </c>
      <c r="C86" s="8" t="str">
        <f aca="false">IF($A86="","",'Employee List'!E86&amp;"")</f>
        <v/>
      </c>
      <c r="D86" s="8" t="str">
        <f aca="false">IF($A86="","",'Employee List'!F86&amp;"")</f>
        <v/>
      </c>
      <c r="E86" s="8" t="str">
        <f aca="false">IF($A86="","",'Employee List'!G86&amp;"")</f>
        <v/>
      </c>
      <c r="F86" s="8" t="str">
        <f aca="false">IF($A86="","",'Employee List'!D86)</f>
        <v/>
      </c>
      <c r="G86" s="38" t="str">
        <f aca="false">IF($A86="","",IF('Employee List'!I86="","",'Employee List'!I86))</f>
        <v/>
      </c>
      <c r="H86" s="38" t="str">
        <f aca="false">IF(OR($A86="",G86=""),"",G86+Settings!$C$13)</f>
        <v/>
      </c>
      <c r="I86" s="38" t="str">
        <f aca="false">IF(H86="","",MAX(H86,DATE(LvYear,1,1)))</f>
        <v/>
      </c>
      <c r="J86" s="38" t="str">
        <f aca="false">IF($A86="","",IF('Employee List'!J86="",DATE(LvYear,12,31),MIN('Employee List'!J86,DATE(LvYear,12,31))))</f>
        <v/>
      </c>
      <c r="K86" s="39" t="str">
        <f aca="false">IF(OR(I86="",J86=""),"",MAX(0,J86-I86+1))</f>
        <v/>
      </c>
      <c r="L86" s="16" t="str">
        <f aca="false">IF($A86="","",IF(AND(ISNUMBER(K86),K86=0),0,Settings!$C$10))</f>
        <v/>
      </c>
      <c r="M86" s="16" t="str">
        <f aca="false">IF($A86="","",IF(AND(ISNUMBER(K86),K86=0),0,Settings!$C$11))</f>
        <v/>
      </c>
      <c r="N86" s="40"/>
      <c r="O86" s="16" t="str">
        <f aca="false">IF($A86="","",FLOOR(Settings!$C$12/365*N(K86),0.5))</f>
        <v/>
      </c>
      <c r="P86" s="16" t="str">
        <f aca="false">IF($A86="","",IF(I86="",N(N86),FLOOR(Settings!$C$12/365*MAX(0,MIN(LvAsOf,J86)-I86+1)+N(N86),0.5)))</f>
        <v/>
      </c>
      <c r="Q86" s="16" t="str">
        <f aca="false">IF($A86="","",Settings!$C$14)</f>
        <v/>
      </c>
      <c r="R86" s="16" t="str">
        <f aca="false">IF($A86="","",SUMIFS(Attendance!$AZ$6:$AZ$2405,Attendance!$B$6:$B$2405,$A86,Attendance!$A$6:$A$2405,"&gt;="&amp;DATE(LvYear,1,1),Attendance!$A$6:$A$2405,"&lt;="&amp;DATE(LvYear,12,31)))</f>
        <v/>
      </c>
      <c r="S86" s="16" t="str">
        <f aca="false">IF($A86="","",SUMIFS(Attendance!$AY$6:$AY$2405,Attendance!$B$6:$B$2405,$A86,Attendance!$A$6:$A$2405,"&gt;="&amp;DATE(LvYear,1,1),Attendance!$A$6:$A$2405,"&lt;="&amp;DATE(LvYear,12,31)))</f>
        <v/>
      </c>
      <c r="T86" s="16" t="str">
        <f aca="false">IF($A86="","",SUMIFS(Attendance!$AX$6:$AX$2405,Attendance!$B$6:$B$2405,$A86,Attendance!$A$6:$A$2405,"&gt;="&amp;DATE(LvYear,1,1),Attendance!$A$6:$A$2405,"&lt;="&amp;DATE(LvYear,12,31)))</f>
        <v/>
      </c>
      <c r="U86" s="16" t="str">
        <f aca="false">IF($A86="","",SUMIFS(Attendance!$AW$6:$AW$2405,Attendance!$B$6:$B$2405,$A86,Attendance!$A$6:$A$2405,"&gt;="&amp;DATE(LvYear,1,1),Attendance!$A$6:$A$2405,"&lt;="&amp;DATE(LvYear,12,31)))</f>
        <v/>
      </c>
      <c r="V86" s="16" t="str">
        <f aca="false">IF($A86="","",L86-R86)</f>
        <v/>
      </c>
      <c r="W86" s="16" t="str">
        <f aca="false">IF($A86="","",M86-S86)</f>
        <v/>
      </c>
      <c r="X86" s="16" t="str">
        <f aca="false">IF($A86="","",P86-T86)</f>
        <v/>
      </c>
      <c r="Y86" s="16" t="str">
        <f aca="false">IF($A86="","",Q86-U86)</f>
        <v/>
      </c>
      <c r="Z86" s="16" t="str">
        <f aca="false">IF($A86="","",V86+W86+X86)</f>
        <v/>
      </c>
      <c r="AA86" s="16" t="str">
        <f aca="false">IF($A86="","",O86+N(N86)-T86)</f>
        <v/>
      </c>
      <c r="AB86" s="8" t="str">
        <f aca="false">IF($A86="","","CL "&amp;V86&amp;" | SL "&amp;W86&amp;" | PL "&amp;X86&amp;" | TR "&amp;Y86)</f>
        <v/>
      </c>
      <c r="AC86" s="15" t="str">
        <f aca="false">IF($A86="","",IF(F86="Exited","EXITED",IF(AND(ISNUMBER(K86),K86=0),"NOT ELIGIBLE",IF(MIN(V86:X86)&lt;0,"OVER-USED",IF(Z86&lt;=Settings!$C$15,"LOW","OK")))))</f>
        <v/>
      </c>
      <c r="AD86" s="16" t="str">
        <f aca="false">IF(OR(AC86="OVER-USED",AC86="LOW"),COUNTIF(AC$6:AC86,"OVER-USED")+COUNTIF(AC$6:AC86,"LOW"),"")</f>
        <v/>
      </c>
    </row>
    <row r="87" customFormat="false" ht="15" hidden="false" customHeight="false" outlineLevel="0" collapsed="false">
      <c r="A87" s="8" t="str">
        <f aca="false">IF('Employee List'!B87="","",'Employee List'!B87)</f>
        <v/>
      </c>
      <c r="B87" s="8" t="str">
        <f aca="false">IF($A87="","",'Employee List'!C87)</f>
        <v/>
      </c>
      <c r="C87" s="8" t="str">
        <f aca="false">IF($A87="","",'Employee List'!E87&amp;"")</f>
        <v/>
      </c>
      <c r="D87" s="8" t="str">
        <f aca="false">IF($A87="","",'Employee List'!F87&amp;"")</f>
        <v/>
      </c>
      <c r="E87" s="8" t="str">
        <f aca="false">IF($A87="","",'Employee List'!G87&amp;"")</f>
        <v/>
      </c>
      <c r="F87" s="8" t="str">
        <f aca="false">IF($A87="","",'Employee List'!D87)</f>
        <v/>
      </c>
      <c r="G87" s="38" t="str">
        <f aca="false">IF($A87="","",IF('Employee List'!I87="","",'Employee List'!I87))</f>
        <v/>
      </c>
      <c r="H87" s="38" t="str">
        <f aca="false">IF(OR($A87="",G87=""),"",G87+Settings!$C$13)</f>
        <v/>
      </c>
      <c r="I87" s="38" t="str">
        <f aca="false">IF(H87="","",MAX(H87,DATE(LvYear,1,1)))</f>
        <v/>
      </c>
      <c r="J87" s="38" t="str">
        <f aca="false">IF($A87="","",IF('Employee List'!J87="",DATE(LvYear,12,31),MIN('Employee List'!J87,DATE(LvYear,12,31))))</f>
        <v/>
      </c>
      <c r="K87" s="39" t="str">
        <f aca="false">IF(OR(I87="",J87=""),"",MAX(0,J87-I87+1))</f>
        <v/>
      </c>
      <c r="L87" s="16" t="str">
        <f aca="false">IF($A87="","",IF(AND(ISNUMBER(K87),K87=0),0,Settings!$C$10))</f>
        <v/>
      </c>
      <c r="M87" s="16" t="str">
        <f aca="false">IF($A87="","",IF(AND(ISNUMBER(K87),K87=0),0,Settings!$C$11))</f>
        <v/>
      </c>
      <c r="N87" s="40"/>
      <c r="O87" s="16" t="str">
        <f aca="false">IF($A87="","",FLOOR(Settings!$C$12/365*N(K87),0.5))</f>
        <v/>
      </c>
      <c r="P87" s="16" t="str">
        <f aca="false">IF($A87="","",IF(I87="",N(N87),FLOOR(Settings!$C$12/365*MAX(0,MIN(LvAsOf,J87)-I87+1)+N(N87),0.5)))</f>
        <v/>
      </c>
      <c r="Q87" s="16" t="str">
        <f aca="false">IF($A87="","",Settings!$C$14)</f>
        <v/>
      </c>
      <c r="R87" s="16" t="str">
        <f aca="false">IF($A87="","",SUMIFS(Attendance!$AZ$6:$AZ$2405,Attendance!$B$6:$B$2405,$A87,Attendance!$A$6:$A$2405,"&gt;="&amp;DATE(LvYear,1,1),Attendance!$A$6:$A$2405,"&lt;="&amp;DATE(LvYear,12,31)))</f>
        <v/>
      </c>
      <c r="S87" s="16" t="str">
        <f aca="false">IF($A87="","",SUMIFS(Attendance!$AY$6:$AY$2405,Attendance!$B$6:$B$2405,$A87,Attendance!$A$6:$A$2405,"&gt;="&amp;DATE(LvYear,1,1),Attendance!$A$6:$A$2405,"&lt;="&amp;DATE(LvYear,12,31)))</f>
        <v/>
      </c>
      <c r="T87" s="16" t="str">
        <f aca="false">IF($A87="","",SUMIFS(Attendance!$AX$6:$AX$2405,Attendance!$B$6:$B$2405,$A87,Attendance!$A$6:$A$2405,"&gt;="&amp;DATE(LvYear,1,1),Attendance!$A$6:$A$2405,"&lt;="&amp;DATE(LvYear,12,31)))</f>
        <v/>
      </c>
      <c r="U87" s="16" t="str">
        <f aca="false">IF($A87="","",SUMIFS(Attendance!$AW$6:$AW$2405,Attendance!$B$6:$B$2405,$A87,Attendance!$A$6:$A$2405,"&gt;="&amp;DATE(LvYear,1,1),Attendance!$A$6:$A$2405,"&lt;="&amp;DATE(LvYear,12,31)))</f>
        <v/>
      </c>
      <c r="V87" s="16" t="str">
        <f aca="false">IF($A87="","",L87-R87)</f>
        <v/>
      </c>
      <c r="W87" s="16" t="str">
        <f aca="false">IF($A87="","",M87-S87)</f>
        <v/>
      </c>
      <c r="X87" s="16" t="str">
        <f aca="false">IF($A87="","",P87-T87)</f>
        <v/>
      </c>
      <c r="Y87" s="16" t="str">
        <f aca="false">IF($A87="","",Q87-U87)</f>
        <v/>
      </c>
      <c r="Z87" s="16" t="str">
        <f aca="false">IF($A87="","",V87+W87+X87)</f>
        <v/>
      </c>
      <c r="AA87" s="16" t="str">
        <f aca="false">IF($A87="","",O87+N(N87)-T87)</f>
        <v/>
      </c>
      <c r="AB87" s="8" t="str">
        <f aca="false">IF($A87="","","CL "&amp;V87&amp;" | SL "&amp;W87&amp;" | PL "&amp;X87&amp;" | TR "&amp;Y87)</f>
        <v/>
      </c>
      <c r="AC87" s="15" t="str">
        <f aca="false">IF($A87="","",IF(F87="Exited","EXITED",IF(AND(ISNUMBER(K87),K87=0),"NOT ELIGIBLE",IF(MIN(V87:X87)&lt;0,"OVER-USED",IF(Z87&lt;=Settings!$C$15,"LOW","OK")))))</f>
        <v/>
      </c>
      <c r="AD87" s="16" t="str">
        <f aca="false">IF(OR(AC87="OVER-USED",AC87="LOW"),COUNTIF(AC$6:AC87,"OVER-USED")+COUNTIF(AC$6:AC87,"LOW"),"")</f>
        <v/>
      </c>
    </row>
    <row r="88" customFormat="false" ht="15" hidden="false" customHeight="false" outlineLevel="0" collapsed="false">
      <c r="A88" s="8" t="str">
        <f aca="false">IF('Employee List'!B88="","",'Employee List'!B88)</f>
        <v/>
      </c>
      <c r="B88" s="8" t="str">
        <f aca="false">IF($A88="","",'Employee List'!C88)</f>
        <v/>
      </c>
      <c r="C88" s="8" t="str">
        <f aca="false">IF($A88="","",'Employee List'!E88&amp;"")</f>
        <v/>
      </c>
      <c r="D88" s="8" t="str">
        <f aca="false">IF($A88="","",'Employee List'!F88&amp;"")</f>
        <v/>
      </c>
      <c r="E88" s="8" t="str">
        <f aca="false">IF($A88="","",'Employee List'!G88&amp;"")</f>
        <v/>
      </c>
      <c r="F88" s="8" t="str">
        <f aca="false">IF($A88="","",'Employee List'!D88)</f>
        <v/>
      </c>
      <c r="G88" s="38" t="str">
        <f aca="false">IF($A88="","",IF('Employee List'!I88="","",'Employee List'!I88))</f>
        <v/>
      </c>
      <c r="H88" s="38" t="str">
        <f aca="false">IF(OR($A88="",G88=""),"",G88+Settings!$C$13)</f>
        <v/>
      </c>
      <c r="I88" s="38" t="str">
        <f aca="false">IF(H88="","",MAX(H88,DATE(LvYear,1,1)))</f>
        <v/>
      </c>
      <c r="J88" s="38" t="str">
        <f aca="false">IF($A88="","",IF('Employee List'!J88="",DATE(LvYear,12,31),MIN('Employee List'!J88,DATE(LvYear,12,31))))</f>
        <v/>
      </c>
      <c r="K88" s="39" t="str">
        <f aca="false">IF(OR(I88="",J88=""),"",MAX(0,J88-I88+1))</f>
        <v/>
      </c>
      <c r="L88" s="16" t="str">
        <f aca="false">IF($A88="","",IF(AND(ISNUMBER(K88),K88=0),0,Settings!$C$10))</f>
        <v/>
      </c>
      <c r="M88" s="16" t="str">
        <f aca="false">IF($A88="","",IF(AND(ISNUMBER(K88),K88=0),0,Settings!$C$11))</f>
        <v/>
      </c>
      <c r="N88" s="40"/>
      <c r="O88" s="16" t="str">
        <f aca="false">IF($A88="","",FLOOR(Settings!$C$12/365*N(K88),0.5))</f>
        <v/>
      </c>
      <c r="P88" s="16" t="str">
        <f aca="false">IF($A88="","",IF(I88="",N(N88),FLOOR(Settings!$C$12/365*MAX(0,MIN(LvAsOf,J88)-I88+1)+N(N88),0.5)))</f>
        <v/>
      </c>
      <c r="Q88" s="16" t="str">
        <f aca="false">IF($A88="","",Settings!$C$14)</f>
        <v/>
      </c>
      <c r="R88" s="16" t="str">
        <f aca="false">IF($A88="","",SUMIFS(Attendance!$AZ$6:$AZ$2405,Attendance!$B$6:$B$2405,$A88,Attendance!$A$6:$A$2405,"&gt;="&amp;DATE(LvYear,1,1),Attendance!$A$6:$A$2405,"&lt;="&amp;DATE(LvYear,12,31)))</f>
        <v/>
      </c>
      <c r="S88" s="16" t="str">
        <f aca="false">IF($A88="","",SUMIFS(Attendance!$AY$6:$AY$2405,Attendance!$B$6:$B$2405,$A88,Attendance!$A$6:$A$2405,"&gt;="&amp;DATE(LvYear,1,1),Attendance!$A$6:$A$2405,"&lt;="&amp;DATE(LvYear,12,31)))</f>
        <v/>
      </c>
      <c r="T88" s="16" t="str">
        <f aca="false">IF($A88="","",SUMIFS(Attendance!$AX$6:$AX$2405,Attendance!$B$6:$B$2405,$A88,Attendance!$A$6:$A$2405,"&gt;="&amp;DATE(LvYear,1,1),Attendance!$A$6:$A$2405,"&lt;="&amp;DATE(LvYear,12,31)))</f>
        <v/>
      </c>
      <c r="U88" s="16" t="str">
        <f aca="false">IF($A88="","",SUMIFS(Attendance!$AW$6:$AW$2405,Attendance!$B$6:$B$2405,$A88,Attendance!$A$6:$A$2405,"&gt;="&amp;DATE(LvYear,1,1),Attendance!$A$6:$A$2405,"&lt;="&amp;DATE(LvYear,12,31)))</f>
        <v/>
      </c>
      <c r="V88" s="16" t="str">
        <f aca="false">IF($A88="","",L88-R88)</f>
        <v/>
      </c>
      <c r="W88" s="16" t="str">
        <f aca="false">IF($A88="","",M88-S88)</f>
        <v/>
      </c>
      <c r="X88" s="16" t="str">
        <f aca="false">IF($A88="","",P88-T88)</f>
        <v/>
      </c>
      <c r="Y88" s="16" t="str">
        <f aca="false">IF($A88="","",Q88-U88)</f>
        <v/>
      </c>
      <c r="Z88" s="16" t="str">
        <f aca="false">IF($A88="","",V88+W88+X88)</f>
        <v/>
      </c>
      <c r="AA88" s="16" t="str">
        <f aca="false">IF($A88="","",O88+N(N88)-T88)</f>
        <v/>
      </c>
      <c r="AB88" s="8" t="str">
        <f aca="false">IF($A88="","","CL "&amp;V88&amp;" | SL "&amp;W88&amp;" | PL "&amp;X88&amp;" | TR "&amp;Y88)</f>
        <v/>
      </c>
      <c r="AC88" s="15" t="str">
        <f aca="false">IF($A88="","",IF(F88="Exited","EXITED",IF(AND(ISNUMBER(K88),K88=0),"NOT ELIGIBLE",IF(MIN(V88:X88)&lt;0,"OVER-USED",IF(Z88&lt;=Settings!$C$15,"LOW","OK")))))</f>
        <v/>
      </c>
      <c r="AD88" s="16" t="str">
        <f aca="false">IF(OR(AC88="OVER-USED",AC88="LOW"),COUNTIF(AC$6:AC88,"OVER-USED")+COUNTIF(AC$6:AC88,"LOW"),"")</f>
        <v/>
      </c>
    </row>
    <row r="89" customFormat="false" ht="15" hidden="false" customHeight="false" outlineLevel="0" collapsed="false">
      <c r="A89" s="8" t="str">
        <f aca="false">IF('Employee List'!B89="","",'Employee List'!B89)</f>
        <v/>
      </c>
      <c r="B89" s="8" t="str">
        <f aca="false">IF($A89="","",'Employee List'!C89)</f>
        <v/>
      </c>
      <c r="C89" s="8" t="str">
        <f aca="false">IF($A89="","",'Employee List'!E89&amp;"")</f>
        <v/>
      </c>
      <c r="D89" s="8" t="str">
        <f aca="false">IF($A89="","",'Employee List'!F89&amp;"")</f>
        <v/>
      </c>
      <c r="E89" s="8" t="str">
        <f aca="false">IF($A89="","",'Employee List'!G89&amp;"")</f>
        <v/>
      </c>
      <c r="F89" s="8" t="str">
        <f aca="false">IF($A89="","",'Employee List'!D89)</f>
        <v/>
      </c>
      <c r="G89" s="38" t="str">
        <f aca="false">IF($A89="","",IF('Employee List'!I89="","",'Employee List'!I89))</f>
        <v/>
      </c>
      <c r="H89" s="38" t="str">
        <f aca="false">IF(OR($A89="",G89=""),"",G89+Settings!$C$13)</f>
        <v/>
      </c>
      <c r="I89" s="38" t="str">
        <f aca="false">IF(H89="","",MAX(H89,DATE(LvYear,1,1)))</f>
        <v/>
      </c>
      <c r="J89" s="38" t="str">
        <f aca="false">IF($A89="","",IF('Employee List'!J89="",DATE(LvYear,12,31),MIN('Employee List'!J89,DATE(LvYear,12,31))))</f>
        <v/>
      </c>
      <c r="K89" s="39" t="str">
        <f aca="false">IF(OR(I89="",J89=""),"",MAX(0,J89-I89+1))</f>
        <v/>
      </c>
      <c r="L89" s="16" t="str">
        <f aca="false">IF($A89="","",IF(AND(ISNUMBER(K89),K89=0),0,Settings!$C$10))</f>
        <v/>
      </c>
      <c r="M89" s="16" t="str">
        <f aca="false">IF($A89="","",IF(AND(ISNUMBER(K89),K89=0),0,Settings!$C$11))</f>
        <v/>
      </c>
      <c r="N89" s="40"/>
      <c r="O89" s="16" t="str">
        <f aca="false">IF($A89="","",FLOOR(Settings!$C$12/365*N(K89),0.5))</f>
        <v/>
      </c>
      <c r="P89" s="16" t="str">
        <f aca="false">IF($A89="","",IF(I89="",N(N89),FLOOR(Settings!$C$12/365*MAX(0,MIN(LvAsOf,J89)-I89+1)+N(N89),0.5)))</f>
        <v/>
      </c>
      <c r="Q89" s="16" t="str">
        <f aca="false">IF($A89="","",Settings!$C$14)</f>
        <v/>
      </c>
      <c r="R89" s="16" t="str">
        <f aca="false">IF($A89="","",SUMIFS(Attendance!$AZ$6:$AZ$2405,Attendance!$B$6:$B$2405,$A89,Attendance!$A$6:$A$2405,"&gt;="&amp;DATE(LvYear,1,1),Attendance!$A$6:$A$2405,"&lt;="&amp;DATE(LvYear,12,31)))</f>
        <v/>
      </c>
      <c r="S89" s="16" t="str">
        <f aca="false">IF($A89="","",SUMIFS(Attendance!$AY$6:$AY$2405,Attendance!$B$6:$B$2405,$A89,Attendance!$A$6:$A$2405,"&gt;="&amp;DATE(LvYear,1,1),Attendance!$A$6:$A$2405,"&lt;="&amp;DATE(LvYear,12,31)))</f>
        <v/>
      </c>
      <c r="T89" s="16" t="str">
        <f aca="false">IF($A89="","",SUMIFS(Attendance!$AX$6:$AX$2405,Attendance!$B$6:$B$2405,$A89,Attendance!$A$6:$A$2405,"&gt;="&amp;DATE(LvYear,1,1),Attendance!$A$6:$A$2405,"&lt;="&amp;DATE(LvYear,12,31)))</f>
        <v/>
      </c>
      <c r="U89" s="16" t="str">
        <f aca="false">IF($A89="","",SUMIFS(Attendance!$AW$6:$AW$2405,Attendance!$B$6:$B$2405,$A89,Attendance!$A$6:$A$2405,"&gt;="&amp;DATE(LvYear,1,1),Attendance!$A$6:$A$2405,"&lt;="&amp;DATE(LvYear,12,31)))</f>
        <v/>
      </c>
      <c r="V89" s="16" t="str">
        <f aca="false">IF($A89="","",L89-R89)</f>
        <v/>
      </c>
      <c r="W89" s="16" t="str">
        <f aca="false">IF($A89="","",M89-S89)</f>
        <v/>
      </c>
      <c r="X89" s="16" t="str">
        <f aca="false">IF($A89="","",P89-T89)</f>
        <v/>
      </c>
      <c r="Y89" s="16" t="str">
        <f aca="false">IF($A89="","",Q89-U89)</f>
        <v/>
      </c>
      <c r="Z89" s="16" t="str">
        <f aca="false">IF($A89="","",V89+W89+X89)</f>
        <v/>
      </c>
      <c r="AA89" s="16" t="str">
        <f aca="false">IF($A89="","",O89+N(N89)-T89)</f>
        <v/>
      </c>
      <c r="AB89" s="8" t="str">
        <f aca="false">IF($A89="","","CL "&amp;V89&amp;" | SL "&amp;W89&amp;" | PL "&amp;X89&amp;" | TR "&amp;Y89)</f>
        <v/>
      </c>
      <c r="AC89" s="15" t="str">
        <f aca="false">IF($A89="","",IF(F89="Exited","EXITED",IF(AND(ISNUMBER(K89),K89=0),"NOT ELIGIBLE",IF(MIN(V89:X89)&lt;0,"OVER-USED",IF(Z89&lt;=Settings!$C$15,"LOW","OK")))))</f>
        <v/>
      </c>
      <c r="AD89" s="16" t="str">
        <f aca="false">IF(OR(AC89="OVER-USED",AC89="LOW"),COUNTIF(AC$6:AC89,"OVER-USED")+COUNTIF(AC$6:AC89,"LOW"),"")</f>
        <v/>
      </c>
    </row>
    <row r="90" customFormat="false" ht="15" hidden="false" customHeight="false" outlineLevel="0" collapsed="false">
      <c r="A90" s="8" t="str">
        <f aca="false">IF('Employee List'!B90="","",'Employee List'!B90)</f>
        <v/>
      </c>
      <c r="B90" s="8" t="str">
        <f aca="false">IF($A90="","",'Employee List'!C90)</f>
        <v/>
      </c>
      <c r="C90" s="8" t="str">
        <f aca="false">IF($A90="","",'Employee List'!E90&amp;"")</f>
        <v/>
      </c>
      <c r="D90" s="8" t="str">
        <f aca="false">IF($A90="","",'Employee List'!F90&amp;"")</f>
        <v/>
      </c>
      <c r="E90" s="8" t="str">
        <f aca="false">IF($A90="","",'Employee List'!G90&amp;"")</f>
        <v/>
      </c>
      <c r="F90" s="8" t="str">
        <f aca="false">IF($A90="","",'Employee List'!D90)</f>
        <v/>
      </c>
      <c r="G90" s="38" t="str">
        <f aca="false">IF($A90="","",IF('Employee List'!I90="","",'Employee List'!I90))</f>
        <v/>
      </c>
      <c r="H90" s="38" t="str">
        <f aca="false">IF(OR($A90="",G90=""),"",G90+Settings!$C$13)</f>
        <v/>
      </c>
      <c r="I90" s="38" t="str">
        <f aca="false">IF(H90="","",MAX(H90,DATE(LvYear,1,1)))</f>
        <v/>
      </c>
      <c r="J90" s="38" t="str">
        <f aca="false">IF($A90="","",IF('Employee List'!J90="",DATE(LvYear,12,31),MIN('Employee List'!J90,DATE(LvYear,12,31))))</f>
        <v/>
      </c>
      <c r="K90" s="39" t="str">
        <f aca="false">IF(OR(I90="",J90=""),"",MAX(0,J90-I90+1))</f>
        <v/>
      </c>
      <c r="L90" s="16" t="str">
        <f aca="false">IF($A90="","",IF(AND(ISNUMBER(K90),K90=0),0,Settings!$C$10))</f>
        <v/>
      </c>
      <c r="M90" s="16" t="str">
        <f aca="false">IF($A90="","",IF(AND(ISNUMBER(K90),K90=0),0,Settings!$C$11))</f>
        <v/>
      </c>
      <c r="N90" s="40"/>
      <c r="O90" s="16" t="str">
        <f aca="false">IF($A90="","",FLOOR(Settings!$C$12/365*N(K90),0.5))</f>
        <v/>
      </c>
      <c r="P90" s="16" t="str">
        <f aca="false">IF($A90="","",IF(I90="",N(N90),FLOOR(Settings!$C$12/365*MAX(0,MIN(LvAsOf,J90)-I90+1)+N(N90),0.5)))</f>
        <v/>
      </c>
      <c r="Q90" s="16" t="str">
        <f aca="false">IF($A90="","",Settings!$C$14)</f>
        <v/>
      </c>
      <c r="R90" s="16" t="str">
        <f aca="false">IF($A90="","",SUMIFS(Attendance!$AZ$6:$AZ$2405,Attendance!$B$6:$B$2405,$A90,Attendance!$A$6:$A$2405,"&gt;="&amp;DATE(LvYear,1,1),Attendance!$A$6:$A$2405,"&lt;="&amp;DATE(LvYear,12,31)))</f>
        <v/>
      </c>
      <c r="S90" s="16" t="str">
        <f aca="false">IF($A90="","",SUMIFS(Attendance!$AY$6:$AY$2405,Attendance!$B$6:$B$2405,$A90,Attendance!$A$6:$A$2405,"&gt;="&amp;DATE(LvYear,1,1),Attendance!$A$6:$A$2405,"&lt;="&amp;DATE(LvYear,12,31)))</f>
        <v/>
      </c>
      <c r="T90" s="16" t="str">
        <f aca="false">IF($A90="","",SUMIFS(Attendance!$AX$6:$AX$2405,Attendance!$B$6:$B$2405,$A90,Attendance!$A$6:$A$2405,"&gt;="&amp;DATE(LvYear,1,1),Attendance!$A$6:$A$2405,"&lt;="&amp;DATE(LvYear,12,31)))</f>
        <v/>
      </c>
      <c r="U90" s="16" t="str">
        <f aca="false">IF($A90="","",SUMIFS(Attendance!$AW$6:$AW$2405,Attendance!$B$6:$B$2405,$A90,Attendance!$A$6:$A$2405,"&gt;="&amp;DATE(LvYear,1,1),Attendance!$A$6:$A$2405,"&lt;="&amp;DATE(LvYear,12,31)))</f>
        <v/>
      </c>
      <c r="V90" s="16" t="str">
        <f aca="false">IF($A90="","",L90-R90)</f>
        <v/>
      </c>
      <c r="W90" s="16" t="str">
        <f aca="false">IF($A90="","",M90-S90)</f>
        <v/>
      </c>
      <c r="X90" s="16" t="str">
        <f aca="false">IF($A90="","",P90-T90)</f>
        <v/>
      </c>
      <c r="Y90" s="16" t="str">
        <f aca="false">IF($A90="","",Q90-U90)</f>
        <v/>
      </c>
      <c r="Z90" s="16" t="str">
        <f aca="false">IF($A90="","",V90+W90+X90)</f>
        <v/>
      </c>
      <c r="AA90" s="16" t="str">
        <f aca="false">IF($A90="","",O90+N(N90)-T90)</f>
        <v/>
      </c>
      <c r="AB90" s="8" t="str">
        <f aca="false">IF($A90="","","CL "&amp;V90&amp;" | SL "&amp;W90&amp;" | PL "&amp;X90&amp;" | TR "&amp;Y90)</f>
        <v/>
      </c>
      <c r="AC90" s="15" t="str">
        <f aca="false">IF($A90="","",IF(F90="Exited","EXITED",IF(AND(ISNUMBER(K90),K90=0),"NOT ELIGIBLE",IF(MIN(V90:X90)&lt;0,"OVER-USED",IF(Z90&lt;=Settings!$C$15,"LOW","OK")))))</f>
        <v/>
      </c>
      <c r="AD90" s="16" t="str">
        <f aca="false">IF(OR(AC90="OVER-USED",AC90="LOW"),COUNTIF(AC$6:AC90,"OVER-USED")+COUNTIF(AC$6:AC90,"LOW"),"")</f>
        <v/>
      </c>
    </row>
    <row r="91" customFormat="false" ht="15" hidden="false" customHeight="false" outlineLevel="0" collapsed="false">
      <c r="A91" s="8" t="str">
        <f aca="false">IF('Employee List'!B91="","",'Employee List'!B91)</f>
        <v/>
      </c>
      <c r="B91" s="8" t="str">
        <f aca="false">IF($A91="","",'Employee List'!C91)</f>
        <v/>
      </c>
      <c r="C91" s="8" t="str">
        <f aca="false">IF($A91="","",'Employee List'!E91&amp;"")</f>
        <v/>
      </c>
      <c r="D91" s="8" t="str">
        <f aca="false">IF($A91="","",'Employee List'!F91&amp;"")</f>
        <v/>
      </c>
      <c r="E91" s="8" t="str">
        <f aca="false">IF($A91="","",'Employee List'!G91&amp;"")</f>
        <v/>
      </c>
      <c r="F91" s="8" t="str">
        <f aca="false">IF($A91="","",'Employee List'!D91)</f>
        <v/>
      </c>
      <c r="G91" s="38" t="str">
        <f aca="false">IF($A91="","",IF('Employee List'!I91="","",'Employee List'!I91))</f>
        <v/>
      </c>
      <c r="H91" s="38" t="str">
        <f aca="false">IF(OR($A91="",G91=""),"",G91+Settings!$C$13)</f>
        <v/>
      </c>
      <c r="I91" s="38" t="str">
        <f aca="false">IF(H91="","",MAX(H91,DATE(LvYear,1,1)))</f>
        <v/>
      </c>
      <c r="J91" s="38" t="str">
        <f aca="false">IF($A91="","",IF('Employee List'!J91="",DATE(LvYear,12,31),MIN('Employee List'!J91,DATE(LvYear,12,31))))</f>
        <v/>
      </c>
      <c r="K91" s="39" t="str">
        <f aca="false">IF(OR(I91="",J91=""),"",MAX(0,J91-I91+1))</f>
        <v/>
      </c>
      <c r="L91" s="16" t="str">
        <f aca="false">IF($A91="","",IF(AND(ISNUMBER(K91),K91=0),0,Settings!$C$10))</f>
        <v/>
      </c>
      <c r="M91" s="16" t="str">
        <f aca="false">IF($A91="","",IF(AND(ISNUMBER(K91),K91=0),0,Settings!$C$11))</f>
        <v/>
      </c>
      <c r="N91" s="40"/>
      <c r="O91" s="16" t="str">
        <f aca="false">IF($A91="","",FLOOR(Settings!$C$12/365*N(K91),0.5))</f>
        <v/>
      </c>
      <c r="P91" s="16" t="str">
        <f aca="false">IF($A91="","",IF(I91="",N(N91),FLOOR(Settings!$C$12/365*MAX(0,MIN(LvAsOf,J91)-I91+1)+N(N91),0.5)))</f>
        <v/>
      </c>
      <c r="Q91" s="16" t="str">
        <f aca="false">IF($A91="","",Settings!$C$14)</f>
        <v/>
      </c>
      <c r="R91" s="16" t="str">
        <f aca="false">IF($A91="","",SUMIFS(Attendance!$AZ$6:$AZ$2405,Attendance!$B$6:$B$2405,$A91,Attendance!$A$6:$A$2405,"&gt;="&amp;DATE(LvYear,1,1),Attendance!$A$6:$A$2405,"&lt;="&amp;DATE(LvYear,12,31)))</f>
        <v/>
      </c>
      <c r="S91" s="16" t="str">
        <f aca="false">IF($A91="","",SUMIFS(Attendance!$AY$6:$AY$2405,Attendance!$B$6:$B$2405,$A91,Attendance!$A$6:$A$2405,"&gt;="&amp;DATE(LvYear,1,1),Attendance!$A$6:$A$2405,"&lt;="&amp;DATE(LvYear,12,31)))</f>
        <v/>
      </c>
      <c r="T91" s="16" t="str">
        <f aca="false">IF($A91="","",SUMIFS(Attendance!$AX$6:$AX$2405,Attendance!$B$6:$B$2405,$A91,Attendance!$A$6:$A$2405,"&gt;="&amp;DATE(LvYear,1,1),Attendance!$A$6:$A$2405,"&lt;="&amp;DATE(LvYear,12,31)))</f>
        <v/>
      </c>
      <c r="U91" s="16" t="str">
        <f aca="false">IF($A91="","",SUMIFS(Attendance!$AW$6:$AW$2405,Attendance!$B$6:$B$2405,$A91,Attendance!$A$6:$A$2405,"&gt;="&amp;DATE(LvYear,1,1),Attendance!$A$6:$A$2405,"&lt;="&amp;DATE(LvYear,12,31)))</f>
        <v/>
      </c>
      <c r="V91" s="16" t="str">
        <f aca="false">IF($A91="","",L91-R91)</f>
        <v/>
      </c>
      <c r="W91" s="16" t="str">
        <f aca="false">IF($A91="","",M91-S91)</f>
        <v/>
      </c>
      <c r="X91" s="16" t="str">
        <f aca="false">IF($A91="","",P91-T91)</f>
        <v/>
      </c>
      <c r="Y91" s="16" t="str">
        <f aca="false">IF($A91="","",Q91-U91)</f>
        <v/>
      </c>
      <c r="Z91" s="16" t="str">
        <f aca="false">IF($A91="","",V91+W91+X91)</f>
        <v/>
      </c>
      <c r="AA91" s="16" t="str">
        <f aca="false">IF($A91="","",O91+N(N91)-T91)</f>
        <v/>
      </c>
      <c r="AB91" s="8" t="str">
        <f aca="false">IF($A91="","","CL "&amp;V91&amp;" | SL "&amp;W91&amp;" | PL "&amp;X91&amp;" | TR "&amp;Y91)</f>
        <v/>
      </c>
      <c r="AC91" s="15" t="str">
        <f aca="false">IF($A91="","",IF(F91="Exited","EXITED",IF(AND(ISNUMBER(K91),K91=0),"NOT ELIGIBLE",IF(MIN(V91:X91)&lt;0,"OVER-USED",IF(Z91&lt;=Settings!$C$15,"LOW","OK")))))</f>
        <v/>
      </c>
      <c r="AD91" s="16" t="str">
        <f aca="false">IF(OR(AC91="OVER-USED",AC91="LOW"),COUNTIF(AC$6:AC91,"OVER-USED")+COUNTIF(AC$6:AC91,"LOW"),"")</f>
        <v/>
      </c>
    </row>
    <row r="92" customFormat="false" ht="15" hidden="false" customHeight="false" outlineLevel="0" collapsed="false">
      <c r="A92" s="8" t="str">
        <f aca="false">IF('Employee List'!B92="","",'Employee List'!B92)</f>
        <v/>
      </c>
      <c r="B92" s="8" t="str">
        <f aca="false">IF($A92="","",'Employee List'!C92)</f>
        <v/>
      </c>
      <c r="C92" s="8" t="str">
        <f aca="false">IF($A92="","",'Employee List'!E92&amp;"")</f>
        <v/>
      </c>
      <c r="D92" s="8" t="str">
        <f aca="false">IF($A92="","",'Employee List'!F92&amp;"")</f>
        <v/>
      </c>
      <c r="E92" s="8" t="str">
        <f aca="false">IF($A92="","",'Employee List'!G92&amp;"")</f>
        <v/>
      </c>
      <c r="F92" s="8" t="str">
        <f aca="false">IF($A92="","",'Employee List'!D92)</f>
        <v/>
      </c>
      <c r="G92" s="38" t="str">
        <f aca="false">IF($A92="","",IF('Employee List'!I92="","",'Employee List'!I92))</f>
        <v/>
      </c>
      <c r="H92" s="38" t="str">
        <f aca="false">IF(OR($A92="",G92=""),"",G92+Settings!$C$13)</f>
        <v/>
      </c>
      <c r="I92" s="38" t="str">
        <f aca="false">IF(H92="","",MAX(H92,DATE(LvYear,1,1)))</f>
        <v/>
      </c>
      <c r="J92" s="38" t="str">
        <f aca="false">IF($A92="","",IF('Employee List'!J92="",DATE(LvYear,12,31),MIN('Employee List'!J92,DATE(LvYear,12,31))))</f>
        <v/>
      </c>
      <c r="K92" s="39" t="str">
        <f aca="false">IF(OR(I92="",J92=""),"",MAX(0,J92-I92+1))</f>
        <v/>
      </c>
      <c r="L92" s="16" t="str">
        <f aca="false">IF($A92="","",IF(AND(ISNUMBER(K92),K92=0),0,Settings!$C$10))</f>
        <v/>
      </c>
      <c r="M92" s="16" t="str">
        <f aca="false">IF($A92="","",IF(AND(ISNUMBER(K92),K92=0),0,Settings!$C$11))</f>
        <v/>
      </c>
      <c r="N92" s="40"/>
      <c r="O92" s="16" t="str">
        <f aca="false">IF($A92="","",FLOOR(Settings!$C$12/365*N(K92),0.5))</f>
        <v/>
      </c>
      <c r="P92" s="16" t="str">
        <f aca="false">IF($A92="","",IF(I92="",N(N92),FLOOR(Settings!$C$12/365*MAX(0,MIN(LvAsOf,J92)-I92+1)+N(N92),0.5)))</f>
        <v/>
      </c>
      <c r="Q92" s="16" t="str">
        <f aca="false">IF($A92="","",Settings!$C$14)</f>
        <v/>
      </c>
      <c r="R92" s="16" t="str">
        <f aca="false">IF($A92="","",SUMIFS(Attendance!$AZ$6:$AZ$2405,Attendance!$B$6:$B$2405,$A92,Attendance!$A$6:$A$2405,"&gt;="&amp;DATE(LvYear,1,1),Attendance!$A$6:$A$2405,"&lt;="&amp;DATE(LvYear,12,31)))</f>
        <v/>
      </c>
      <c r="S92" s="16" t="str">
        <f aca="false">IF($A92="","",SUMIFS(Attendance!$AY$6:$AY$2405,Attendance!$B$6:$B$2405,$A92,Attendance!$A$6:$A$2405,"&gt;="&amp;DATE(LvYear,1,1),Attendance!$A$6:$A$2405,"&lt;="&amp;DATE(LvYear,12,31)))</f>
        <v/>
      </c>
      <c r="T92" s="16" t="str">
        <f aca="false">IF($A92="","",SUMIFS(Attendance!$AX$6:$AX$2405,Attendance!$B$6:$B$2405,$A92,Attendance!$A$6:$A$2405,"&gt;="&amp;DATE(LvYear,1,1),Attendance!$A$6:$A$2405,"&lt;="&amp;DATE(LvYear,12,31)))</f>
        <v/>
      </c>
      <c r="U92" s="16" t="str">
        <f aca="false">IF($A92="","",SUMIFS(Attendance!$AW$6:$AW$2405,Attendance!$B$6:$B$2405,$A92,Attendance!$A$6:$A$2405,"&gt;="&amp;DATE(LvYear,1,1),Attendance!$A$6:$A$2405,"&lt;="&amp;DATE(LvYear,12,31)))</f>
        <v/>
      </c>
      <c r="V92" s="16" t="str">
        <f aca="false">IF($A92="","",L92-R92)</f>
        <v/>
      </c>
      <c r="W92" s="16" t="str">
        <f aca="false">IF($A92="","",M92-S92)</f>
        <v/>
      </c>
      <c r="X92" s="16" t="str">
        <f aca="false">IF($A92="","",P92-T92)</f>
        <v/>
      </c>
      <c r="Y92" s="16" t="str">
        <f aca="false">IF($A92="","",Q92-U92)</f>
        <v/>
      </c>
      <c r="Z92" s="16" t="str">
        <f aca="false">IF($A92="","",V92+W92+X92)</f>
        <v/>
      </c>
      <c r="AA92" s="16" t="str">
        <f aca="false">IF($A92="","",O92+N(N92)-T92)</f>
        <v/>
      </c>
      <c r="AB92" s="8" t="str">
        <f aca="false">IF($A92="","","CL "&amp;V92&amp;" | SL "&amp;W92&amp;" | PL "&amp;X92&amp;" | TR "&amp;Y92)</f>
        <v/>
      </c>
      <c r="AC92" s="15" t="str">
        <f aca="false">IF($A92="","",IF(F92="Exited","EXITED",IF(AND(ISNUMBER(K92),K92=0),"NOT ELIGIBLE",IF(MIN(V92:X92)&lt;0,"OVER-USED",IF(Z92&lt;=Settings!$C$15,"LOW","OK")))))</f>
        <v/>
      </c>
      <c r="AD92" s="16" t="str">
        <f aca="false">IF(OR(AC92="OVER-USED",AC92="LOW"),COUNTIF(AC$6:AC92,"OVER-USED")+COUNTIF(AC$6:AC92,"LOW"),"")</f>
        <v/>
      </c>
    </row>
    <row r="93" customFormat="false" ht="15" hidden="false" customHeight="false" outlineLevel="0" collapsed="false">
      <c r="A93" s="8" t="str">
        <f aca="false">IF('Employee List'!B93="","",'Employee List'!B93)</f>
        <v/>
      </c>
      <c r="B93" s="8" t="str">
        <f aca="false">IF($A93="","",'Employee List'!C93)</f>
        <v/>
      </c>
      <c r="C93" s="8" t="str">
        <f aca="false">IF($A93="","",'Employee List'!E93&amp;"")</f>
        <v/>
      </c>
      <c r="D93" s="8" t="str">
        <f aca="false">IF($A93="","",'Employee List'!F93&amp;"")</f>
        <v/>
      </c>
      <c r="E93" s="8" t="str">
        <f aca="false">IF($A93="","",'Employee List'!G93&amp;"")</f>
        <v/>
      </c>
      <c r="F93" s="8" t="str">
        <f aca="false">IF($A93="","",'Employee List'!D93)</f>
        <v/>
      </c>
      <c r="G93" s="38" t="str">
        <f aca="false">IF($A93="","",IF('Employee List'!I93="","",'Employee List'!I93))</f>
        <v/>
      </c>
      <c r="H93" s="38" t="str">
        <f aca="false">IF(OR($A93="",G93=""),"",G93+Settings!$C$13)</f>
        <v/>
      </c>
      <c r="I93" s="38" t="str">
        <f aca="false">IF(H93="","",MAX(H93,DATE(LvYear,1,1)))</f>
        <v/>
      </c>
      <c r="J93" s="38" t="str">
        <f aca="false">IF($A93="","",IF('Employee List'!J93="",DATE(LvYear,12,31),MIN('Employee List'!J93,DATE(LvYear,12,31))))</f>
        <v/>
      </c>
      <c r="K93" s="39" t="str">
        <f aca="false">IF(OR(I93="",J93=""),"",MAX(0,J93-I93+1))</f>
        <v/>
      </c>
      <c r="L93" s="16" t="str">
        <f aca="false">IF($A93="","",IF(AND(ISNUMBER(K93),K93=0),0,Settings!$C$10))</f>
        <v/>
      </c>
      <c r="M93" s="16" t="str">
        <f aca="false">IF($A93="","",IF(AND(ISNUMBER(K93),K93=0),0,Settings!$C$11))</f>
        <v/>
      </c>
      <c r="N93" s="40"/>
      <c r="O93" s="16" t="str">
        <f aca="false">IF($A93="","",FLOOR(Settings!$C$12/365*N(K93),0.5))</f>
        <v/>
      </c>
      <c r="P93" s="16" t="str">
        <f aca="false">IF($A93="","",IF(I93="",N(N93),FLOOR(Settings!$C$12/365*MAX(0,MIN(LvAsOf,J93)-I93+1)+N(N93),0.5)))</f>
        <v/>
      </c>
      <c r="Q93" s="16" t="str">
        <f aca="false">IF($A93="","",Settings!$C$14)</f>
        <v/>
      </c>
      <c r="R93" s="16" t="str">
        <f aca="false">IF($A93="","",SUMIFS(Attendance!$AZ$6:$AZ$2405,Attendance!$B$6:$B$2405,$A93,Attendance!$A$6:$A$2405,"&gt;="&amp;DATE(LvYear,1,1),Attendance!$A$6:$A$2405,"&lt;="&amp;DATE(LvYear,12,31)))</f>
        <v/>
      </c>
      <c r="S93" s="16" t="str">
        <f aca="false">IF($A93="","",SUMIFS(Attendance!$AY$6:$AY$2405,Attendance!$B$6:$B$2405,$A93,Attendance!$A$6:$A$2405,"&gt;="&amp;DATE(LvYear,1,1),Attendance!$A$6:$A$2405,"&lt;="&amp;DATE(LvYear,12,31)))</f>
        <v/>
      </c>
      <c r="T93" s="16" t="str">
        <f aca="false">IF($A93="","",SUMIFS(Attendance!$AX$6:$AX$2405,Attendance!$B$6:$B$2405,$A93,Attendance!$A$6:$A$2405,"&gt;="&amp;DATE(LvYear,1,1),Attendance!$A$6:$A$2405,"&lt;="&amp;DATE(LvYear,12,31)))</f>
        <v/>
      </c>
      <c r="U93" s="16" t="str">
        <f aca="false">IF($A93="","",SUMIFS(Attendance!$AW$6:$AW$2405,Attendance!$B$6:$B$2405,$A93,Attendance!$A$6:$A$2405,"&gt;="&amp;DATE(LvYear,1,1),Attendance!$A$6:$A$2405,"&lt;="&amp;DATE(LvYear,12,31)))</f>
        <v/>
      </c>
      <c r="V93" s="16" t="str">
        <f aca="false">IF($A93="","",L93-R93)</f>
        <v/>
      </c>
      <c r="W93" s="16" t="str">
        <f aca="false">IF($A93="","",M93-S93)</f>
        <v/>
      </c>
      <c r="X93" s="16" t="str">
        <f aca="false">IF($A93="","",P93-T93)</f>
        <v/>
      </c>
      <c r="Y93" s="16" t="str">
        <f aca="false">IF($A93="","",Q93-U93)</f>
        <v/>
      </c>
      <c r="Z93" s="16" t="str">
        <f aca="false">IF($A93="","",V93+W93+X93)</f>
        <v/>
      </c>
      <c r="AA93" s="16" t="str">
        <f aca="false">IF($A93="","",O93+N(N93)-T93)</f>
        <v/>
      </c>
      <c r="AB93" s="8" t="str">
        <f aca="false">IF($A93="","","CL "&amp;V93&amp;" | SL "&amp;W93&amp;" | PL "&amp;X93&amp;" | TR "&amp;Y93)</f>
        <v/>
      </c>
      <c r="AC93" s="15" t="str">
        <f aca="false">IF($A93="","",IF(F93="Exited","EXITED",IF(AND(ISNUMBER(K93),K93=0),"NOT ELIGIBLE",IF(MIN(V93:X93)&lt;0,"OVER-USED",IF(Z93&lt;=Settings!$C$15,"LOW","OK")))))</f>
        <v/>
      </c>
      <c r="AD93" s="16" t="str">
        <f aca="false">IF(OR(AC93="OVER-USED",AC93="LOW"),COUNTIF(AC$6:AC93,"OVER-USED")+COUNTIF(AC$6:AC93,"LOW"),"")</f>
        <v/>
      </c>
    </row>
    <row r="94" customFormat="false" ht="15" hidden="false" customHeight="false" outlineLevel="0" collapsed="false">
      <c r="A94" s="8" t="str">
        <f aca="false">IF('Employee List'!B94="","",'Employee List'!B94)</f>
        <v/>
      </c>
      <c r="B94" s="8" t="str">
        <f aca="false">IF($A94="","",'Employee List'!C94)</f>
        <v/>
      </c>
      <c r="C94" s="8" t="str">
        <f aca="false">IF($A94="","",'Employee List'!E94&amp;"")</f>
        <v/>
      </c>
      <c r="D94" s="8" t="str">
        <f aca="false">IF($A94="","",'Employee List'!F94&amp;"")</f>
        <v/>
      </c>
      <c r="E94" s="8" t="str">
        <f aca="false">IF($A94="","",'Employee List'!G94&amp;"")</f>
        <v/>
      </c>
      <c r="F94" s="8" t="str">
        <f aca="false">IF($A94="","",'Employee List'!D94)</f>
        <v/>
      </c>
      <c r="G94" s="38" t="str">
        <f aca="false">IF($A94="","",IF('Employee List'!I94="","",'Employee List'!I94))</f>
        <v/>
      </c>
      <c r="H94" s="38" t="str">
        <f aca="false">IF(OR($A94="",G94=""),"",G94+Settings!$C$13)</f>
        <v/>
      </c>
      <c r="I94" s="38" t="str">
        <f aca="false">IF(H94="","",MAX(H94,DATE(LvYear,1,1)))</f>
        <v/>
      </c>
      <c r="J94" s="38" t="str">
        <f aca="false">IF($A94="","",IF('Employee List'!J94="",DATE(LvYear,12,31),MIN('Employee List'!J94,DATE(LvYear,12,31))))</f>
        <v/>
      </c>
      <c r="K94" s="39" t="str">
        <f aca="false">IF(OR(I94="",J94=""),"",MAX(0,J94-I94+1))</f>
        <v/>
      </c>
      <c r="L94" s="16" t="str">
        <f aca="false">IF($A94="","",IF(AND(ISNUMBER(K94),K94=0),0,Settings!$C$10))</f>
        <v/>
      </c>
      <c r="M94" s="16" t="str">
        <f aca="false">IF($A94="","",IF(AND(ISNUMBER(K94),K94=0),0,Settings!$C$11))</f>
        <v/>
      </c>
      <c r="N94" s="40"/>
      <c r="O94" s="16" t="str">
        <f aca="false">IF($A94="","",FLOOR(Settings!$C$12/365*N(K94),0.5))</f>
        <v/>
      </c>
      <c r="P94" s="16" t="str">
        <f aca="false">IF($A94="","",IF(I94="",N(N94),FLOOR(Settings!$C$12/365*MAX(0,MIN(LvAsOf,J94)-I94+1)+N(N94),0.5)))</f>
        <v/>
      </c>
      <c r="Q94" s="16" t="str">
        <f aca="false">IF($A94="","",Settings!$C$14)</f>
        <v/>
      </c>
      <c r="R94" s="16" t="str">
        <f aca="false">IF($A94="","",SUMIFS(Attendance!$AZ$6:$AZ$2405,Attendance!$B$6:$B$2405,$A94,Attendance!$A$6:$A$2405,"&gt;="&amp;DATE(LvYear,1,1),Attendance!$A$6:$A$2405,"&lt;="&amp;DATE(LvYear,12,31)))</f>
        <v/>
      </c>
      <c r="S94" s="16" t="str">
        <f aca="false">IF($A94="","",SUMIFS(Attendance!$AY$6:$AY$2405,Attendance!$B$6:$B$2405,$A94,Attendance!$A$6:$A$2405,"&gt;="&amp;DATE(LvYear,1,1),Attendance!$A$6:$A$2405,"&lt;="&amp;DATE(LvYear,12,31)))</f>
        <v/>
      </c>
      <c r="T94" s="16" t="str">
        <f aca="false">IF($A94="","",SUMIFS(Attendance!$AX$6:$AX$2405,Attendance!$B$6:$B$2405,$A94,Attendance!$A$6:$A$2405,"&gt;="&amp;DATE(LvYear,1,1),Attendance!$A$6:$A$2405,"&lt;="&amp;DATE(LvYear,12,31)))</f>
        <v/>
      </c>
      <c r="U94" s="16" t="str">
        <f aca="false">IF($A94="","",SUMIFS(Attendance!$AW$6:$AW$2405,Attendance!$B$6:$B$2405,$A94,Attendance!$A$6:$A$2405,"&gt;="&amp;DATE(LvYear,1,1),Attendance!$A$6:$A$2405,"&lt;="&amp;DATE(LvYear,12,31)))</f>
        <v/>
      </c>
      <c r="V94" s="16" t="str">
        <f aca="false">IF($A94="","",L94-R94)</f>
        <v/>
      </c>
      <c r="W94" s="16" t="str">
        <f aca="false">IF($A94="","",M94-S94)</f>
        <v/>
      </c>
      <c r="X94" s="16" t="str">
        <f aca="false">IF($A94="","",P94-T94)</f>
        <v/>
      </c>
      <c r="Y94" s="16" t="str">
        <f aca="false">IF($A94="","",Q94-U94)</f>
        <v/>
      </c>
      <c r="Z94" s="16" t="str">
        <f aca="false">IF($A94="","",V94+W94+X94)</f>
        <v/>
      </c>
      <c r="AA94" s="16" t="str">
        <f aca="false">IF($A94="","",O94+N(N94)-T94)</f>
        <v/>
      </c>
      <c r="AB94" s="8" t="str">
        <f aca="false">IF($A94="","","CL "&amp;V94&amp;" | SL "&amp;W94&amp;" | PL "&amp;X94&amp;" | TR "&amp;Y94)</f>
        <v/>
      </c>
      <c r="AC94" s="15" t="str">
        <f aca="false">IF($A94="","",IF(F94="Exited","EXITED",IF(AND(ISNUMBER(K94),K94=0),"NOT ELIGIBLE",IF(MIN(V94:X94)&lt;0,"OVER-USED",IF(Z94&lt;=Settings!$C$15,"LOW","OK")))))</f>
        <v/>
      </c>
      <c r="AD94" s="16" t="str">
        <f aca="false">IF(OR(AC94="OVER-USED",AC94="LOW"),COUNTIF(AC$6:AC94,"OVER-USED")+COUNTIF(AC$6:AC94,"LOW"),"")</f>
        <v/>
      </c>
    </row>
    <row r="95" customFormat="false" ht="15" hidden="false" customHeight="false" outlineLevel="0" collapsed="false">
      <c r="A95" s="8" t="str">
        <f aca="false">IF('Employee List'!B95="","",'Employee List'!B95)</f>
        <v/>
      </c>
      <c r="B95" s="8" t="str">
        <f aca="false">IF($A95="","",'Employee List'!C95)</f>
        <v/>
      </c>
      <c r="C95" s="8" t="str">
        <f aca="false">IF($A95="","",'Employee List'!E95&amp;"")</f>
        <v/>
      </c>
      <c r="D95" s="8" t="str">
        <f aca="false">IF($A95="","",'Employee List'!F95&amp;"")</f>
        <v/>
      </c>
      <c r="E95" s="8" t="str">
        <f aca="false">IF($A95="","",'Employee List'!G95&amp;"")</f>
        <v/>
      </c>
      <c r="F95" s="8" t="str">
        <f aca="false">IF($A95="","",'Employee List'!D95)</f>
        <v/>
      </c>
      <c r="G95" s="38" t="str">
        <f aca="false">IF($A95="","",IF('Employee List'!I95="","",'Employee List'!I95))</f>
        <v/>
      </c>
      <c r="H95" s="38" t="str">
        <f aca="false">IF(OR($A95="",G95=""),"",G95+Settings!$C$13)</f>
        <v/>
      </c>
      <c r="I95" s="38" t="str">
        <f aca="false">IF(H95="","",MAX(H95,DATE(LvYear,1,1)))</f>
        <v/>
      </c>
      <c r="J95" s="38" t="str">
        <f aca="false">IF($A95="","",IF('Employee List'!J95="",DATE(LvYear,12,31),MIN('Employee List'!J95,DATE(LvYear,12,31))))</f>
        <v/>
      </c>
      <c r="K95" s="39" t="str">
        <f aca="false">IF(OR(I95="",J95=""),"",MAX(0,J95-I95+1))</f>
        <v/>
      </c>
      <c r="L95" s="16" t="str">
        <f aca="false">IF($A95="","",IF(AND(ISNUMBER(K95),K95=0),0,Settings!$C$10))</f>
        <v/>
      </c>
      <c r="M95" s="16" t="str">
        <f aca="false">IF($A95="","",IF(AND(ISNUMBER(K95),K95=0),0,Settings!$C$11))</f>
        <v/>
      </c>
      <c r="N95" s="40"/>
      <c r="O95" s="16" t="str">
        <f aca="false">IF($A95="","",FLOOR(Settings!$C$12/365*N(K95),0.5))</f>
        <v/>
      </c>
      <c r="P95" s="16" t="str">
        <f aca="false">IF($A95="","",IF(I95="",N(N95),FLOOR(Settings!$C$12/365*MAX(0,MIN(LvAsOf,J95)-I95+1)+N(N95),0.5)))</f>
        <v/>
      </c>
      <c r="Q95" s="16" t="str">
        <f aca="false">IF($A95="","",Settings!$C$14)</f>
        <v/>
      </c>
      <c r="R95" s="16" t="str">
        <f aca="false">IF($A95="","",SUMIFS(Attendance!$AZ$6:$AZ$2405,Attendance!$B$6:$B$2405,$A95,Attendance!$A$6:$A$2405,"&gt;="&amp;DATE(LvYear,1,1),Attendance!$A$6:$A$2405,"&lt;="&amp;DATE(LvYear,12,31)))</f>
        <v/>
      </c>
      <c r="S95" s="16" t="str">
        <f aca="false">IF($A95="","",SUMIFS(Attendance!$AY$6:$AY$2405,Attendance!$B$6:$B$2405,$A95,Attendance!$A$6:$A$2405,"&gt;="&amp;DATE(LvYear,1,1),Attendance!$A$6:$A$2405,"&lt;="&amp;DATE(LvYear,12,31)))</f>
        <v/>
      </c>
      <c r="T95" s="16" t="str">
        <f aca="false">IF($A95="","",SUMIFS(Attendance!$AX$6:$AX$2405,Attendance!$B$6:$B$2405,$A95,Attendance!$A$6:$A$2405,"&gt;="&amp;DATE(LvYear,1,1),Attendance!$A$6:$A$2405,"&lt;="&amp;DATE(LvYear,12,31)))</f>
        <v/>
      </c>
      <c r="U95" s="16" t="str">
        <f aca="false">IF($A95="","",SUMIFS(Attendance!$AW$6:$AW$2405,Attendance!$B$6:$B$2405,$A95,Attendance!$A$6:$A$2405,"&gt;="&amp;DATE(LvYear,1,1),Attendance!$A$6:$A$2405,"&lt;="&amp;DATE(LvYear,12,31)))</f>
        <v/>
      </c>
      <c r="V95" s="16" t="str">
        <f aca="false">IF($A95="","",L95-R95)</f>
        <v/>
      </c>
      <c r="W95" s="16" t="str">
        <f aca="false">IF($A95="","",M95-S95)</f>
        <v/>
      </c>
      <c r="X95" s="16" t="str">
        <f aca="false">IF($A95="","",P95-T95)</f>
        <v/>
      </c>
      <c r="Y95" s="16" t="str">
        <f aca="false">IF($A95="","",Q95-U95)</f>
        <v/>
      </c>
      <c r="Z95" s="16" t="str">
        <f aca="false">IF($A95="","",V95+W95+X95)</f>
        <v/>
      </c>
      <c r="AA95" s="16" t="str">
        <f aca="false">IF($A95="","",O95+N(N95)-T95)</f>
        <v/>
      </c>
      <c r="AB95" s="8" t="str">
        <f aca="false">IF($A95="","","CL "&amp;V95&amp;" | SL "&amp;W95&amp;" | PL "&amp;X95&amp;" | TR "&amp;Y95)</f>
        <v/>
      </c>
      <c r="AC95" s="15" t="str">
        <f aca="false">IF($A95="","",IF(F95="Exited","EXITED",IF(AND(ISNUMBER(K95),K95=0),"NOT ELIGIBLE",IF(MIN(V95:X95)&lt;0,"OVER-USED",IF(Z95&lt;=Settings!$C$15,"LOW","OK")))))</f>
        <v/>
      </c>
      <c r="AD95" s="16" t="str">
        <f aca="false">IF(OR(AC95="OVER-USED",AC95="LOW"),COUNTIF(AC$6:AC95,"OVER-USED")+COUNTIF(AC$6:AC95,"LOW"),"")</f>
        <v/>
      </c>
    </row>
    <row r="96" customFormat="false" ht="15" hidden="false" customHeight="false" outlineLevel="0" collapsed="false">
      <c r="A96" s="8" t="str">
        <f aca="false">IF('Employee List'!B96="","",'Employee List'!B96)</f>
        <v/>
      </c>
      <c r="B96" s="8" t="str">
        <f aca="false">IF($A96="","",'Employee List'!C96)</f>
        <v/>
      </c>
      <c r="C96" s="8" t="str">
        <f aca="false">IF($A96="","",'Employee List'!E96&amp;"")</f>
        <v/>
      </c>
      <c r="D96" s="8" t="str">
        <f aca="false">IF($A96="","",'Employee List'!F96&amp;"")</f>
        <v/>
      </c>
      <c r="E96" s="8" t="str">
        <f aca="false">IF($A96="","",'Employee List'!G96&amp;"")</f>
        <v/>
      </c>
      <c r="F96" s="8" t="str">
        <f aca="false">IF($A96="","",'Employee List'!D96)</f>
        <v/>
      </c>
      <c r="G96" s="38" t="str">
        <f aca="false">IF($A96="","",IF('Employee List'!I96="","",'Employee List'!I96))</f>
        <v/>
      </c>
      <c r="H96" s="38" t="str">
        <f aca="false">IF(OR($A96="",G96=""),"",G96+Settings!$C$13)</f>
        <v/>
      </c>
      <c r="I96" s="38" t="str">
        <f aca="false">IF(H96="","",MAX(H96,DATE(LvYear,1,1)))</f>
        <v/>
      </c>
      <c r="J96" s="38" t="str">
        <f aca="false">IF($A96="","",IF('Employee List'!J96="",DATE(LvYear,12,31),MIN('Employee List'!J96,DATE(LvYear,12,31))))</f>
        <v/>
      </c>
      <c r="K96" s="39" t="str">
        <f aca="false">IF(OR(I96="",J96=""),"",MAX(0,J96-I96+1))</f>
        <v/>
      </c>
      <c r="L96" s="16" t="str">
        <f aca="false">IF($A96="","",IF(AND(ISNUMBER(K96),K96=0),0,Settings!$C$10))</f>
        <v/>
      </c>
      <c r="M96" s="16" t="str">
        <f aca="false">IF($A96="","",IF(AND(ISNUMBER(K96),K96=0),0,Settings!$C$11))</f>
        <v/>
      </c>
      <c r="N96" s="40"/>
      <c r="O96" s="16" t="str">
        <f aca="false">IF($A96="","",FLOOR(Settings!$C$12/365*N(K96),0.5))</f>
        <v/>
      </c>
      <c r="P96" s="16" t="str">
        <f aca="false">IF($A96="","",IF(I96="",N(N96),FLOOR(Settings!$C$12/365*MAX(0,MIN(LvAsOf,J96)-I96+1)+N(N96),0.5)))</f>
        <v/>
      </c>
      <c r="Q96" s="16" t="str">
        <f aca="false">IF($A96="","",Settings!$C$14)</f>
        <v/>
      </c>
      <c r="R96" s="16" t="str">
        <f aca="false">IF($A96="","",SUMIFS(Attendance!$AZ$6:$AZ$2405,Attendance!$B$6:$B$2405,$A96,Attendance!$A$6:$A$2405,"&gt;="&amp;DATE(LvYear,1,1),Attendance!$A$6:$A$2405,"&lt;="&amp;DATE(LvYear,12,31)))</f>
        <v/>
      </c>
      <c r="S96" s="16" t="str">
        <f aca="false">IF($A96="","",SUMIFS(Attendance!$AY$6:$AY$2405,Attendance!$B$6:$B$2405,$A96,Attendance!$A$6:$A$2405,"&gt;="&amp;DATE(LvYear,1,1),Attendance!$A$6:$A$2405,"&lt;="&amp;DATE(LvYear,12,31)))</f>
        <v/>
      </c>
      <c r="T96" s="16" t="str">
        <f aca="false">IF($A96="","",SUMIFS(Attendance!$AX$6:$AX$2405,Attendance!$B$6:$B$2405,$A96,Attendance!$A$6:$A$2405,"&gt;="&amp;DATE(LvYear,1,1),Attendance!$A$6:$A$2405,"&lt;="&amp;DATE(LvYear,12,31)))</f>
        <v/>
      </c>
      <c r="U96" s="16" t="str">
        <f aca="false">IF($A96="","",SUMIFS(Attendance!$AW$6:$AW$2405,Attendance!$B$6:$B$2405,$A96,Attendance!$A$6:$A$2405,"&gt;="&amp;DATE(LvYear,1,1),Attendance!$A$6:$A$2405,"&lt;="&amp;DATE(LvYear,12,31)))</f>
        <v/>
      </c>
      <c r="V96" s="16" t="str">
        <f aca="false">IF($A96="","",L96-R96)</f>
        <v/>
      </c>
      <c r="W96" s="16" t="str">
        <f aca="false">IF($A96="","",M96-S96)</f>
        <v/>
      </c>
      <c r="X96" s="16" t="str">
        <f aca="false">IF($A96="","",P96-T96)</f>
        <v/>
      </c>
      <c r="Y96" s="16" t="str">
        <f aca="false">IF($A96="","",Q96-U96)</f>
        <v/>
      </c>
      <c r="Z96" s="16" t="str">
        <f aca="false">IF($A96="","",V96+W96+X96)</f>
        <v/>
      </c>
      <c r="AA96" s="16" t="str">
        <f aca="false">IF($A96="","",O96+N(N96)-T96)</f>
        <v/>
      </c>
      <c r="AB96" s="8" t="str">
        <f aca="false">IF($A96="","","CL "&amp;V96&amp;" | SL "&amp;W96&amp;" | PL "&amp;X96&amp;" | TR "&amp;Y96)</f>
        <v/>
      </c>
      <c r="AC96" s="15" t="str">
        <f aca="false">IF($A96="","",IF(F96="Exited","EXITED",IF(AND(ISNUMBER(K96),K96=0),"NOT ELIGIBLE",IF(MIN(V96:X96)&lt;0,"OVER-USED",IF(Z96&lt;=Settings!$C$15,"LOW","OK")))))</f>
        <v/>
      </c>
      <c r="AD96" s="16" t="str">
        <f aca="false">IF(OR(AC96="OVER-USED",AC96="LOW"),COUNTIF(AC$6:AC96,"OVER-USED")+COUNTIF(AC$6:AC96,"LOW"),"")</f>
        <v/>
      </c>
    </row>
    <row r="97" customFormat="false" ht="15" hidden="false" customHeight="false" outlineLevel="0" collapsed="false">
      <c r="A97" s="8" t="str">
        <f aca="false">IF('Employee List'!B97="","",'Employee List'!B97)</f>
        <v/>
      </c>
      <c r="B97" s="8" t="str">
        <f aca="false">IF($A97="","",'Employee List'!C97)</f>
        <v/>
      </c>
      <c r="C97" s="8" t="str">
        <f aca="false">IF($A97="","",'Employee List'!E97&amp;"")</f>
        <v/>
      </c>
      <c r="D97" s="8" t="str">
        <f aca="false">IF($A97="","",'Employee List'!F97&amp;"")</f>
        <v/>
      </c>
      <c r="E97" s="8" t="str">
        <f aca="false">IF($A97="","",'Employee List'!G97&amp;"")</f>
        <v/>
      </c>
      <c r="F97" s="8" t="str">
        <f aca="false">IF($A97="","",'Employee List'!D97)</f>
        <v/>
      </c>
      <c r="G97" s="38" t="str">
        <f aca="false">IF($A97="","",IF('Employee List'!I97="","",'Employee List'!I97))</f>
        <v/>
      </c>
      <c r="H97" s="38" t="str">
        <f aca="false">IF(OR($A97="",G97=""),"",G97+Settings!$C$13)</f>
        <v/>
      </c>
      <c r="I97" s="38" t="str">
        <f aca="false">IF(H97="","",MAX(H97,DATE(LvYear,1,1)))</f>
        <v/>
      </c>
      <c r="J97" s="38" t="str">
        <f aca="false">IF($A97="","",IF('Employee List'!J97="",DATE(LvYear,12,31),MIN('Employee List'!J97,DATE(LvYear,12,31))))</f>
        <v/>
      </c>
      <c r="K97" s="39" t="str">
        <f aca="false">IF(OR(I97="",J97=""),"",MAX(0,J97-I97+1))</f>
        <v/>
      </c>
      <c r="L97" s="16" t="str">
        <f aca="false">IF($A97="","",IF(AND(ISNUMBER(K97),K97=0),0,Settings!$C$10))</f>
        <v/>
      </c>
      <c r="M97" s="16" t="str">
        <f aca="false">IF($A97="","",IF(AND(ISNUMBER(K97),K97=0),0,Settings!$C$11))</f>
        <v/>
      </c>
      <c r="N97" s="40"/>
      <c r="O97" s="16" t="str">
        <f aca="false">IF($A97="","",FLOOR(Settings!$C$12/365*N(K97),0.5))</f>
        <v/>
      </c>
      <c r="P97" s="16" t="str">
        <f aca="false">IF($A97="","",IF(I97="",N(N97),FLOOR(Settings!$C$12/365*MAX(0,MIN(LvAsOf,J97)-I97+1)+N(N97),0.5)))</f>
        <v/>
      </c>
      <c r="Q97" s="16" t="str">
        <f aca="false">IF($A97="","",Settings!$C$14)</f>
        <v/>
      </c>
      <c r="R97" s="16" t="str">
        <f aca="false">IF($A97="","",SUMIFS(Attendance!$AZ$6:$AZ$2405,Attendance!$B$6:$B$2405,$A97,Attendance!$A$6:$A$2405,"&gt;="&amp;DATE(LvYear,1,1),Attendance!$A$6:$A$2405,"&lt;="&amp;DATE(LvYear,12,31)))</f>
        <v/>
      </c>
      <c r="S97" s="16" t="str">
        <f aca="false">IF($A97="","",SUMIFS(Attendance!$AY$6:$AY$2405,Attendance!$B$6:$B$2405,$A97,Attendance!$A$6:$A$2405,"&gt;="&amp;DATE(LvYear,1,1),Attendance!$A$6:$A$2405,"&lt;="&amp;DATE(LvYear,12,31)))</f>
        <v/>
      </c>
      <c r="T97" s="16" t="str">
        <f aca="false">IF($A97="","",SUMIFS(Attendance!$AX$6:$AX$2405,Attendance!$B$6:$B$2405,$A97,Attendance!$A$6:$A$2405,"&gt;="&amp;DATE(LvYear,1,1),Attendance!$A$6:$A$2405,"&lt;="&amp;DATE(LvYear,12,31)))</f>
        <v/>
      </c>
      <c r="U97" s="16" t="str">
        <f aca="false">IF($A97="","",SUMIFS(Attendance!$AW$6:$AW$2405,Attendance!$B$6:$B$2405,$A97,Attendance!$A$6:$A$2405,"&gt;="&amp;DATE(LvYear,1,1),Attendance!$A$6:$A$2405,"&lt;="&amp;DATE(LvYear,12,31)))</f>
        <v/>
      </c>
      <c r="V97" s="16" t="str">
        <f aca="false">IF($A97="","",L97-R97)</f>
        <v/>
      </c>
      <c r="W97" s="16" t="str">
        <f aca="false">IF($A97="","",M97-S97)</f>
        <v/>
      </c>
      <c r="X97" s="16" t="str">
        <f aca="false">IF($A97="","",P97-T97)</f>
        <v/>
      </c>
      <c r="Y97" s="16" t="str">
        <f aca="false">IF($A97="","",Q97-U97)</f>
        <v/>
      </c>
      <c r="Z97" s="16" t="str">
        <f aca="false">IF($A97="","",V97+W97+X97)</f>
        <v/>
      </c>
      <c r="AA97" s="16" t="str">
        <f aca="false">IF($A97="","",O97+N(N97)-T97)</f>
        <v/>
      </c>
      <c r="AB97" s="8" t="str">
        <f aca="false">IF($A97="","","CL "&amp;V97&amp;" | SL "&amp;W97&amp;" | PL "&amp;X97&amp;" | TR "&amp;Y97)</f>
        <v/>
      </c>
      <c r="AC97" s="15" t="str">
        <f aca="false">IF($A97="","",IF(F97="Exited","EXITED",IF(AND(ISNUMBER(K97),K97=0),"NOT ELIGIBLE",IF(MIN(V97:X97)&lt;0,"OVER-USED",IF(Z97&lt;=Settings!$C$15,"LOW","OK")))))</f>
        <v/>
      </c>
      <c r="AD97" s="16" t="str">
        <f aca="false">IF(OR(AC97="OVER-USED",AC97="LOW"),COUNTIF(AC$6:AC97,"OVER-USED")+COUNTIF(AC$6:AC97,"LOW"),"")</f>
        <v/>
      </c>
    </row>
    <row r="98" customFormat="false" ht="15" hidden="false" customHeight="false" outlineLevel="0" collapsed="false">
      <c r="A98" s="8" t="str">
        <f aca="false">IF('Employee List'!B98="","",'Employee List'!B98)</f>
        <v/>
      </c>
      <c r="B98" s="8" t="str">
        <f aca="false">IF($A98="","",'Employee List'!C98)</f>
        <v/>
      </c>
      <c r="C98" s="8" t="str">
        <f aca="false">IF($A98="","",'Employee List'!E98&amp;"")</f>
        <v/>
      </c>
      <c r="D98" s="8" t="str">
        <f aca="false">IF($A98="","",'Employee List'!F98&amp;"")</f>
        <v/>
      </c>
      <c r="E98" s="8" t="str">
        <f aca="false">IF($A98="","",'Employee List'!G98&amp;"")</f>
        <v/>
      </c>
      <c r="F98" s="8" t="str">
        <f aca="false">IF($A98="","",'Employee List'!D98)</f>
        <v/>
      </c>
      <c r="G98" s="38" t="str">
        <f aca="false">IF($A98="","",IF('Employee List'!I98="","",'Employee List'!I98))</f>
        <v/>
      </c>
      <c r="H98" s="38" t="str">
        <f aca="false">IF(OR($A98="",G98=""),"",G98+Settings!$C$13)</f>
        <v/>
      </c>
      <c r="I98" s="38" t="str">
        <f aca="false">IF(H98="","",MAX(H98,DATE(LvYear,1,1)))</f>
        <v/>
      </c>
      <c r="J98" s="38" t="str">
        <f aca="false">IF($A98="","",IF('Employee List'!J98="",DATE(LvYear,12,31),MIN('Employee List'!J98,DATE(LvYear,12,31))))</f>
        <v/>
      </c>
      <c r="K98" s="39" t="str">
        <f aca="false">IF(OR(I98="",J98=""),"",MAX(0,J98-I98+1))</f>
        <v/>
      </c>
      <c r="L98" s="16" t="str">
        <f aca="false">IF($A98="","",IF(AND(ISNUMBER(K98),K98=0),0,Settings!$C$10))</f>
        <v/>
      </c>
      <c r="M98" s="16" t="str">
        <f aca="false">IF($A98="","",IF(AND(ISNUMBER(K98),K98=0),0,Settings!$C$11))</f>
        <v/>
      </c>
      <c r="N98" s="40"/>
      <c r="O98" s="16" t="str">
        <f aca="false">IF($A98="","",FLOOR(Settings!$C$12/365*N(K98),0.5))</f>
        <v/>
      </c>
      <c r="P98" s="16" t="str">
        <f aca="false">IF($A98="","",IF(I98="",N(N98),FLOOR(Settings!$C$12/365*MAX(0,MIN(LvAsOf,J98)-I98+1)+N(N98),0.5)))</f>
        <v/>
      </c>
      <c r="Q98" s="16" t="str">
        <f aca="false">IF($A98="","",Settings!$C$14)</f>
        <v/>
      </c>
      <c r="R98" s="16" t="str">
        <f aca="false">IF($A98="","",SUMIFS(Attendance!$AZ$6:$AZ$2405,Attendance!$B$6:$B$2405,$A98,Attendance!$A$6:$A$2405,"&gt;="&amp;DATE(LvYear,1,1),Attendance!$A$6:$A$2405,"&lt;="&amp;DATE(LvYear,12,31)))</f>
        <v/>
      </c>
      <c r="S98" s="16" t="str">
        <f aca="false">IF($A98="","",SUMIFS(Attendance!$AY$6:$AY$2405,Attendance!$B$6:$B$2405,$A98,Attendance!$A$6:$A$2405,"&gt;="&amp;DATE(LvYear,1,1),Attendance!$A$6:$A$2405,"&lt;="&amp;DATE(LvYear,12,31)))</f>
        <v/>
      </c>
      <c r="T98" s="16" t="str">
        <f aca="false">IF($A98="","",SUMIFS(Attendance!$AX$6:$AX$2405,Attendance!$B$6:$B$2405,$A98,Attendance!$A$6:$A$2405,"&gt;="&amp;DATE(LvYear,1,1),Attendance!$A$6:$A$2405,"&lt;="&amp;DATE(LvYear,12,31)))</f>
        <v/>
      </c>
      <c r="U98" s="16" t="str">
        <f aca="false">IF($A98="","",SUMIFS(Attendance!$AW$6:$AW$2405,Attendance!$B$6:$B$2405,$A98,Attendance!$A$6:$A$2405,"&gt;="&amp;DATE(LvYear,1,1),Attendance!$A$6:$A$2405,"&lt;="&amp;DATE(LvYear,12,31)))</f>
        <v/>
      </c>
      <c r="V98" s="16" t="str">
        <f aca="false">IF($A98="","",L98-R98)</f>
        <v/>
      </c>
      <c r="W98" s="16" t="str">
        <f aca="false">IF($A98="","",M98-S98)</f>
        <v/>
      </c>
      <c r="X98" s="16" t="str">
        <f aca="false">IF($A98="","",P98-T98)</f>
        <v/>
      </c>
      <c r="Y98" s="16" t="str">
        <f aca="false">IF($A98="","",Q98-U98)</f>
        <v/>
      </c>
      <c r="Z98" s="16" t="str">
        <f aca="false">IF($A98="","",V98+W98+X98)</f>
        <v/>
      </c>
      <c r="AA98" s="16" t="str">
        <f aca="false">IF($A98="","",O98+N(N98)-T98)</f>
        <v/>
      </c>
      <c r="AB98" s="8" t="str">
        <f aca="false">IF($A98="","","CL "&amp;V98&amp;" | SL "&amp;W98&amp;" | PL "&amp;X98&amp;" | TR "&amp;Y98)</f>
        <v/>
      </c>
      <c r="AC98" s="15" t="str">
        <f aca="false">IF($A98="","",IF(F98="Exited","EXITED",IF(AND(ISNUMBER(K98),K98=0),"NOT ELIGIBLE",IF(MIN(V98:X98)&lt;0,"OVER-USED",IF(Z98&lt;=Settings!$C$15,"LOW","OK")))))</f>
        <v/>
      </c>
      <c r="AD98" s="16" t="str">
        <f aca="false">IF(OR(AC98="OVER-USED",AC98="LOW"),COUNTIF(AC$6:AC98,"OVER-USED")+COUNTIF(AC$6:AC98,"LOW"),"")</f>
        <v/>
      </c>
    </row>
    <row r="99" customFormat="false" ht="15" hidden="false" customHeight="false" outlineLevel="0" collapsed="false">
      <c r="A99" s="8" t="str">
        <f aca="false">IF('Employee List'!B99="","",'Employee List'!B99)</f>
        <v/>
      </c>
      <c r="B99" s="8" t="str">
        <f aca="false">IF($A99="","",'Employee List'!C99)</f>
        <v/>
      </c>
      <c r="C99" s="8" t="str">
        <f aca="false">IF($A99="","",'Employee List'!E99&amp;"")</f>
        <v/>
      </c>
      <c r="D99" s="8" t="str">
        <f aca="false">IF($A99="","",'Employee List'!F99&amp;"")</f>
        <v/>
      </c>
      <c r="E99" s="8" t="str">
        <f aca="false">IF($A99="","",'Employee List'!G99&amp;"")</f>
        <v/>
      </c>
      <c r="F99" s="8" t="str">
        <f aca="false">IF($A99="","",'Employee List'!D99)</f>
        <v/>
      </c>
      <c r="G99" s="38" t="str">
        <f aca="false">IF($A99="","",IF('Employee List'!I99="","",'Employee List'!I99))</f>
        <v/>
      </c>
      <c r="H99" s="38" t="str">
        <f aca="false">IF(OR($A99="",G99=""),"",G99+Settings!$C$13)</f>
        <v/>
      </c>
      <c r="I99" s="38" t="str">
        <f aca="false">IF(H99="","",MAX(H99,DATE(LvYear,1,1)))</f>
        <v/>
      </c>
      <c r="J99" s="38" t="str">
        <f aca="false">IF($A99="","",IF('Employee List'!J99="",DATE(LvYear,12,31),MIN('Employee List'!J99,DATE(LvYear,12,31))))</f>
        <v/>
      </c>
      <c r="K99" s="39" t="str">
        <f aca="false">IF(OR(I99="",J99=""),"",MAX(0,J99-I99+1))</f>
        <v/>
      </c>
      <c r="L99" s="16" t="str">
        <f aca="false">IF($A99="","",IF(AND(ISNUMBER(K99),K99=0),0,Settings!$C$10))</f>
        <v/>
      </c>
      <c r="M99" s="16" t="str">
        <f aca="false">IF($A99="","",IF(AND(ISNUMBER(K99),K99=0),0,Settings!$C$11))</f>
        <v/>
      </c>
      <c r="N99" s="40"/>
      <c r="O99" s="16" t="str">
        <f aca="false">IF($A99="","",FLOOR(Settings!$C$12/365*N(K99),0.5))</f>
        <v/>
      </c>
      <c r="P99" s="16" t="str">
        <f aca="false">IF($A99="","",IF(I99="",N(N99),FLOOR(Settings!$C$12/365*MAX(0,MIN(LvAsOf,J99)-I99+1)+N(N99),0.5)))</f>
        <v/>
      </c>
      <c r="Q99" s="16" t="str">
        <f aca="false">IF($A99="","",Settings!$C$14)</f>
        <v/>
      </c>
      <c r="R99" s="16" t="str">
        <f aca="false">IF($A99="","",SUMIFS(Attendance!$AZ$6:$AZ$2405,Attendance!$B$6:$B$2405,$A99,Attendance!$A$6:$A$2405,"&gt;="&amp;DATE(LvYear,1,1),Attendance!$A$6:$A$2405,"&lt;="&amp;DATE(LvYear,12,31)))</f>
        <v/>
      </c>
      <c r="S99" s="16" t="str">
        <f aca="false">IF($A99="","",SUMIFS(Attendance!$AY$6:$AY$2405,Attendance!$B$6:$B$2405,$A99,Attendance!$A$6:$A$2405,"&gt;="&amp;DATE(LvYear,1,1),Attendance!$A$6:$A$2405,"&lt;="&amp;DATE(LvYear,12,31)))</f>
        <v/>
      </c>
      <c r="T99" s="16" t="str">
        <f aca="false">IF($A99="","",SUMIFS(Attendance!$AX$6:$AX$2405,Attendance!$B$6:$B$2405,$A99,Attendance!$A$6:$A$2405,"&gt;="&amp;DATE(LvYear,1,1),Attendance!$A$6:$A$2405,"&lt;="&amp;DATE(LvYear,12,31)))</f>
        <v/>
      </c>
      <c r="U99" s="16" t="str">
        <f aca="false">IF($A99="","",SUMIFS(Attendance!$AW$6:$AW$2405,Attendance!$B$6:$B$2405,$A99,Attendance!$A$6:$A$2405,"&gt;="&amp;DATE(LvYear,1,1),Attendance!$A$6:$A$2405,"&lt;="&amp;DATE(LvYear,12,31)))</f>
        <v/>
      </c>
      <c r="V99" s="16" t="str">
        <f aca="false">IF($A99="","",L99-R99)</f>
        <v/>
      </c>
      <c r="W99" s="16" t="str">
        <f aca="false">IF($A99="","",M99-S99)</f>
        <v/>
      </c>
      <c r="X99" s="16" t="str">
        <f aca="false">IF($A99="","",P99-T99)</f>
        <v/>
      </c>
      <c r="Y99" s="16" t="str">
        <f aca="false">IF($A99="","",Q99-U99)</f>
        <v/>
      </c>
      <c r="Z99" s="16" t="str">
        <f aca="false">IF($A99="","",V99+W99+X99)</f>
        <v/>
      </c>
      <c r="AA99" s="16" t="str">
        <f aca="false">IF($A99="","",O99+N(N99)-T99)</f>
        <v/>
      </c>
      <c r="AB99" s="8" t="str">
        <f aca="false">IF($A99="","","CL "&amp;V99&amp;" | SL "&amp;W99&amp;" | PL "&amp;X99&amp;" | TR "&amp;Y99)</f>
        <v/>
      </c>
      <c r="AC99" s="15" t="str">
        <f aca="false">IF($A99="","",IF(F99="Exited","EXITED",IF(AND(ISNUMBER(K99),K99=0),"NOT ELIGIBLE",IF(MIN(V99:X99)&lt;0,"OVER-USED",IF(Z99&lt;=Settings!$C$15,"LOW","OK")))))</f>
        <v/>
      </c>
      <c r="AD99" s="16" t="str">
        <f aca="false">IF(OR(AC99="OVER-USED",AC99="LOW"),COUNTIF(AC$6:AC99,"OVER-USED")+COUNTIF(AC$6:AC99,"LOW"),"")</f>
        <v/>
      </c>
    </row>
    <row r="100" customFormat="false" ht="15" hidden="false" customHeight="false" outlineLevel="0" collapsed="false">
      <c r="A100" s="8" t="str">
        <f aca="false">IF('Employee List'!B100="","",'Employee List'!B100)</f>
        <v/>
      </c>
      <c r="B100" s="8" t="str">
        <f aca="false">IF($A100="","",'Employee List'!C100)</f>
        <v/>
      </c>
      <c r="C100" s="8" t="str">
        <f aca="false">IF($A100="","",'Employee List'!E100&amp;"")</f>
        <v/>
      </c>
      <c r="D100" s="8" t="str">
        <f aca="false">IF($A100="","",'Employee List'!F100&amp;"")</f>
        <v/>
      </c>
      <c r="E100" s="8" t="str">
        <f aca="false">IF($A100="","",'Employee List'!G100&amp;"")</f>
        <v/>
      </c>
      <c r="F100" s="8" t="str">
        <f aca="false">IF($A100="","",'Employee List'!D100)</f>
        <v/>
      </c>
      <c r="G100" s="38" t="str">
        <f aca="false">IF($A100="","",IF('Employee List'!I100="","",'Employee List'!I100))</f>
        <v/>
      </c>
      <c r="H100" s="38" t="str">
        <f aca="false">IF(OR($A100="",G100=""),"",G100+Settings!$C$13)</f>
        <v/>
      </c>
      <c r="I100" s="38" t="str">
        <f aca="false">IF(H100="","",MAX(H100,DATE(LvYear,1,1)))</f>
        <v/>
      </c>
      <c r="J100" s="38" t="str">
        <f aca="false">IF($A100="","",IF('Employee List'!J100="",DATE(LvYear,12,31),MIN('Employee List'!J100,DATE(LvYear,12,31))))</f>
        <v/>
      </c>
      <c r="K100" s="39" t="str">
        <f aca="false">IF(OR(I100="",J100=""),"",MAX(0,J100-I100+1))</f>
        <v/>
      </c>
      <c r="L100" s="16" t="str">
        <f aca="false">IF($A100="","",IF(AND(ISNUMBER(K100),K100=0),0,Settings!$C$10))</f>
        <v/>
      </c>
      <c r="M100" s="16" t="str">
        <f aca="false">IF($A100="","",IF(AND(ISNUMBER(K100),K100=0),0,Settings!$C$11))</f>
        <v/>
      </c>
      <c r="N100" s="40"/>
      <c r="O100" s="16" t="str">
        <f aca="false">IF($A100="","",FLOOR(Settings!$C$12/365*N(K100),0.5))</f>
        <v/>
      </c>
      <c r="P100" s="16" t="str">
        <f aca="false">IF($A100="","",IF(I100="",N(N100),FLOOR(Settings!$C$12/365*MAX(0,MIN(LvAsOf,J100)-I100+1)+N(N100),0.5)))</f>
        <v/>
      </c>
      <c r="Q100" s="16" t="str">
        <f aca="false">IF($A100="","",Settings!$C$14)</f>
        <v/>
      </c>
      <c r="R100" s="16" t="str">
        <f aca="false">IF($A100="","",SUMIFS(Attendance!$AZ$6:$AZ$2405,Attendance!$B$6:$B$2405,$A100,Attendance!$A$6:$A$2405,"&gt;="&amp;DATE(LvYear,1,1),Attendance!$A$6:$A$2405,"&lt;="&amp;DATE(LvYear,12,31)))</f>
        <v/>
      </c>
      <c r="S100" s="16" t="str">
        <f aca="false">IF($A100="","",SUMIFS(Attendance!$AY$6:$AY$2405,Attendance!$B$6:$B$2405,$A100,Attendance!$A$6:$A$2405,"&gt;="&amp;DATE(LvYear,1,1),Attendance!$A$6:$A$2405,"&lt;="&amp;DATE(LvYear,12,31)))</f>
        <v/>
      </c>
      <c r="T100" s="16" t="str">
        <f aca="false">IF($A100="","",SUMIFS(Attendance!$AX$6:$AX$2405,Attendance!$B$6:$B$2405,$A100,Attendance!$A$6:$A$2405,"&gt;="&amp;DATE(LvYear,1,1),Attendance!$A$6:$A$2405,"&lt;="&amp;DATE(LvYear,12,31)))</f>
        <v/>
      </c>
      <c r="U100" s="16" t="str">
        <f aca="false">IF($A100="","",SUMIFS(Attendance!$AW$6:$AW$2405,Attendance!$B$6:$B$2405,$A100,Attendance!$A$6:$A$2405,"&gt;="&amp;DATE(LvYear,1,1),Attendance!$A$6:$A$2405,"&lt;="&amp;DATE(LvYear,12,31)))</f>
        <v/>
      </c>
      <c r="V100" s="16" t="str">
        <f aca="false">IF($A100="","",L100-R100)</f>
        <v/>
      </c>
      <c r="W100" s="16" t="str">
        <f aca="false">IF($A100="","",M100-S100)</f>
        <v/>
      </c>
      <c r="X100" s="16" t="str">
        <f aca="false">IF($A100="","",P100-T100)</f>
        <v/>
      </c>
      <c r="Y100" s="16" t="str">
        <f aca="false">IF($A100="","",Q100-U100)</f>
        <v/>
      </c>
      <c r="Z100" s="16" t="str">
        <f aca="false">IF($A100="","",V100+W100+X100)</f>
        <v/>
      </c>
      <c r="AA100" s="16" t="str">
        <f aca="false">IF($A100="","",O100+N(N100)-T100)</f>
        <v/>
      </c>
      <c r="AB100" s="8" t="str">
        <f aca="false">IF($A100="","","CL "&amp;V100&amp;" | SL "&amp;W100&amp;" | PL "&amp;X100&amp;" | TR "&amp;Y100)</f>
        <v/>
      </c>
      <c r="AC100" s="15" t="str">
        <f aca="false">IF($A100="","",IF(F100="Exited","EXITED",IF(AND(ISNUMBER(K100),K100=0),"NOT ELIGIBLE",IF(MIN(V100:X100)&lt;0,"OVER-USED",IF(Z100&lt;=Settings!$C$15,"LOW","OK")))))</f>
        <v/>
      </c>
      <c r="AD100" s="16" t="str">
        <f aca="false">IF(OR(AC100="OVER-USED",AC100="LOW"),COUNTIF(AC$6:AC100,"OVER-USED")+COUNTIF(AC$6:AC100,"LOW"),"")</f>
        <v/>
      </c>
    </row>
    <row r="101" customFormat="false" ht="15" hidden="false" customHeight="false" outlineLevel="0" collapsed="false">
      <c r="A101" s="8" t="str">
        <f aca="false">IF('Employee List'!B101="","",'Employee List'!B101)</f>
        <v/>
      </c>
      <c r="B101" s="8" t="str">
        <f aca="false">IF($A101="","",'Employee List'!C101)</f>
        <v/>
      </c>
      <c r="C101" s="8" t="str">
        <f aca="false">IF($A101="","",'Employee List'!E101&amp;"")</f>
        <v/>
      </c>
      <c r="D101" s="8" t="str">
        <f aca="false">IF($A101="","",'Employee List'!F101&amp;"")</f>
        <v/>
      </c>
      <c r="E101" s="8" t="str">
        <f aca="false">IF($A101="","",'Employee List'!G101&amp;"")</f>
        <v/>
      </c>
      <c r="F101" s="8" t="str">
        <f aca="false">IF($A101="","",'Employee List'!D101)</f>
        <v/>
      </c>
      <c r="G101" s="38" t="str">
        <f aca="false">IF($A101="","",IF('Employee List'!I101="","",'Employee List'!I101))</f>
        <v/>
      </c>
      <c r="H101" s="38" t="str">
        <f aca="false">IF(OR($A101="",G101=""),"",G101+Settings!$C$13)</f>
        <v/>
      </c>
      <c r="I101" s="38" t="str">
        <f aca="false">IF(H101="","",MAX(H101,DATE(LvYear,1,1)))</f>
        <v/>
      </c>
      <c r="J101" s="38" t="str">
        <f aca="false">IF($A101="","",IF('Employee List'!J101="",DATE(LvYear,12,31),MIN('Employee List'!J101,DATE(LvYear,12,31))))</f>
        <v/>
      </c>
      <c r="K101" s="39" t="str">
        <f aca="false">IF(OR(I101="",J101=""),"",MAX(0,J101-I101+1))</f>
        <v/>
      </c>
      <c r="L101" s="16" t="str">
        <f aca="false">IF($A101="","",IF(AND(ISNUMBER(K101),K101=0),0,Settings!$C$10))</f>
        <v/>
      </c>
      <c r="M101" s="16" t="str">
        <f aca="false">IF($A101="","",IF(AND(ISNUMBER(K101),K101=0),0,Settings!$C$11))</f>
        <v/>
      </c>
      <c r="N101" s="40"/>
      <c r="O101" s="16" t="str">
        <f aca="false">IF($A101="","",FLOOR(Settings!$C$12/365*N(K101),0.5))</f>
        <v/>
      </c>
      <c r="P101" s="16" t="str">
        <f aca="false">IF($A101="","",IF(I101="",N(N101),FLOOR(Settings!$C$12/365*MAX(0,MIN(LvAsOf,J101)-I101+1)+N(N101),0.5)))</f>
        <v/>
      </c>
      <c r="Q101" s="16" t="str">
        <f aca="false">IF($A101="","",Settings!$C$14)</f>
        <v/>
      </c>
      <c r="R101" s="16" t="str">
        <f aca="false">IF($A101="","",SUMIFS(Attendance!$AZ$6:$AZ$2405,Attendance!$B$6:$B$2405,$A101,Attendance!$A$6:$A$2405,"&gt;="&amp;DATE(LvYear,1,1),Attendance!$A$6:$A$2405,"&lt;="&amp;DATE(LvYear,12,31)))</f>
        <v/>
      </c>
      <c r="S101" s="16" t="str">
        <f aca="false">IF($A101="","",SUMIFS(Attendance!$AY$6:$AY$2405,Attendance!$B$6:$B$2405,$A101,Attendance!$A$6:$A$2405,"&gt;="&amp;DATE(LvYear,1,1),Attendance!$A$6:$A$2405,"&lt;="&amp;DATE(LvYear,12,31)))</f>
        <v/>
      </c>
      <c r="T101" s="16" t="str">
        <f aca="false">IF($A101="","",SUMIFS(Attendance!$AX$6:$AX$2405,Attendance!$B$6:$B$2405,$A101,Attendance!$A$6:$A$2405,"&gt;="&amp;DATE(LvYear,1,1),Attendance!$A$6:$A$2405,"&lt;="&amp;DATE(LvYear,12,31)))</f>
        <v/>
      </c>
      <c r="U101" s="16" t="str">
        <f aca="false">IF($A101="","",SUMIFS(Attendance!$AW$6:$AW$2405,Attendance!$B$6:$B$2405,$A101,Attendance!$A$6:$A$2405,"&gt;="&amp;DATE(LvYear,1,1),Attendance!$A$6:$A$2405,"&lt;="&amp;DATE(LvYear,12,31)))</f>
        <v/>
      </c>
      <c r="V101" s="16" t="str">
        <f aca="false">IF($A101="","",L101-R101)</f>
        <v/>
      </c>
      <c r="W101" s="16" t="str">
        <f aca="false">IF($A101="","",M101-S101)</f>
        <v/>
      </c>
      <c r="X101" s="16" t="str">
        <f aca="false">IF($A101="","",P101-T101)</f>
        <v/>
      </c>
      <c r="Y101" s="16" t="str">
        <f aca="false">IF($A101="","",Q101-U101)</f>
        <v/>
      </c>
      <c r="Z101" s="16" t="str">
        <f aca="false">IF($A101="","",V101+W101+X101)</f>
        <v/>
      </c>
      <c r="AA101" s="16" t="str">
        <f aca="false">IF($A101="","",O101+N(N101)-T101)</f>
        <v/>
      </c>
      <c r="AB101" s="8" t="str">
        <f aca="false">IF($A101="","","CL "&amp;V101&amp;" | SL "&amp;W101&amp;" | PL "&amp;X101&amp;" | TR "&amp;Y101)</f>
        <v/>
      </c>
      <c r="AC101" s="15" t="str">
        <f aca="false">IF($A101="","",IF(F101="Exited","EXITED",IF(AND(ISNUMBER(K101),K101=0),"NOT ELIGIBLE",IF(MIN(V101:X101)&lt;0,"OVER-USED",IF(Z101&lt;=Settings!$C$15,"LOW","OK")))))</f>
        <v/>
      </c>
      <c r="AD101" s="16" t="str">
        <f aca="false">IF(OR(AC101="OVER-USED",AC101="LOW"),COUNTIF(AC$6:AC101,"OVER-USED")+COUNTIF(AC$6:AC101,"LOW"),"")</f>
        <v/>
      </c>
    </row>
    <row r="102" customFormat="false" ht="15" hidden="false" customHeight="false" outlineLevel="0" collapsed="false">
      <c r="A102" s="8" t="str">
        <f aca="false">IF('Employee List'!B102="","",'Employee List'!B102)</f>
        <v/>
      </c>
      <c r="B102" s="8" t="str">
        <f aca="false">IF($A102="","",'Employee List'!C102)</f>
        <v/>
      </c>
      <c r="C102" s="8" t="str">
        <f aca="false">IF($A102="","",'Employee List'!E102&amp;"")</f>
        <v/>
      </c>
      <c r="D102" s="8" t="str">
        <f aca="false">IF($A102="","",'Employee List'!F102&amp;"")</f>
        <v/>
      </c>
      <c r="E102" s="8" t="str">
        <f aca="false">IF($A102="","",'Employee List'!G102&amp;"")</f>
        <v/>
      </c>
      <c r="F102" s="8" t="str">
        <f aca="false">IF($A102="","",'Employee List'!D102)</f>
        <v/>
      </c>
      <c r="G102" s="38" t="str">
        <f aca="false">IF($A102="","",IF('Employee List'!I102="","",'Employee List'!I102))</f>
        <v/>
      </c>
      <c r="H102" s="38" t="str">
        <f aca="false">IF(OR($A102="",G102=""),"",G102+Settings!$C$13)</f>
        <v/>
      </c>
      <c r="I102" s="38" t="str">
        <f aca="false">IF(H102="","",MAX(H102,DATE(LvYear,1,1)))</f>
        <v/>
      </c>
      <c r="J102" s="38" t="str">
        <f aca="false">IF($A102="","",IF('Employee List'!J102="",DATE(LvYear,12,31),MIN('Employee List'!J102,DATE(LvYear,12,31))))</f>
        <v/>
      </c>
      <c r="K102" s="39" t="str">
        <f aca="false">IF(OR(I102="",J102=""),"",MAX(0,J102-I102+1))</f>
        <v/>
      </c>
      <c r="L102" s="16" t="str">
        <f aca="false">IF($A102="","",IF(AND(ISNUMBER(K102),K102=0),0,Settings!$C$10))</f>
        <v/>
      </c>
      <c r="M102" s="16" t="str">
        <f aca="false">IF($A102="","",IF(AND(ISNUMBER(K102),K102=0),0,Settings!$C$11))</f>
        <v/>
      </c>
      <c r="N102" s="40"/>
      <c r="O102" s="16" t="str">
        <f aca="false">IF($A102="","",FLOOR(Settings!$C$12/365*N(K102),0.5))</f>
        <v/>
      </c>
      <c r="P102" s="16" t="str">
        <f aca="false">IF($A102="","",IF(I102="",N(N102),FLOOR(Settings!$C$12/365*MAX(0,MIN(LvAsOf,J102)-I102+1)+N(N102),0.5)))</f>
        <v/>
      </c>
      <c r="Q102" s="16" t="str">
        <f aca="false">IF($A102="","",Settings!$C$14)</f>
        <v/>
      </c>
      <c r="R102" s="16" t="str">
        <f aca="false">IF($A102="","",SUMIFS(Attendance!$AZ$6:$AZ$2405,Attendance!$B$6:$B$2405,$A102,Attendance!$A$6:$A$2405,"&gt;="&amp;DATE(LvYear,1,1),Attendance!$A$6:$A$2405,"&lt;="&amp;DATE(LvYear,12,31)))</f>
        <v/>
      </c>
      <c r="S102" s="16" t="str">
        <f aca="false">IF($A102="","",SUMIFS(Attendance!$AY$6:$AY$2405,Attendance!$B$6:$B$2405,$A102,Attendance!$A$6:$A$2405,"&gt;="&amp;DATE(LvYear,1,1),Attendance!$A$6:$A$2405,"&lt;="&amp;DATE(LvYear,12,31)))</f>
        <v/>
      </c>
      <c r="T102" s="16" t="str">
        <f aca="false">IF($A102="","",SUMIFS(Attendance!$AX$6:$AX$2405,Attendance!$B$6:$B$2405,$A102,Attendance!$A$6:$A$2405,"&gt;="&amp;DATE(LvYear,1,1),Attendance!$A$6:$A$2405,"&lt;="&amp;DATE(LvYear,12,31)))</f>
        <v/>
      </c>
      <c r="U102" s="16" t="str">
        <f aca="false">IF($A102="","",SUMIFS(Attendance!$AW$6:$AW$2405,Attendance!$B$6:$B$2405,$A102,Attendance!$A$6:$A$2405,"&gt;="&amp;DATE(LvYear,1,1),Attendance!$A$6:$A$2405,"&lt;="&amp;DATE(LvYear,12,31)))</f>
        <v/>
      </c>
      <c r="V102" s="16" t="str">
        <f aca="false">IF($A102="","",L102-R102)</f>
        <v/>
      </c>
      <c r="W102" s="16" t="str">
        <f aca="false">IF($A102="","",M102-S102)</f>
        <v/>
      </c>
      <c r="X102" s="16" t="str">
        <f aca="false">IF($A102="","",P102-T102)</f>
        <v/>
      </c>
      <c r="Y102" s="16" t="str">
        <f aca="false">IF($A102="","",Q102-U102)</f>
        <v/>
      </c>
      <c r="Z102" s="16" t="str">
        <f aca="false">IF($A102="","",V102+W102+X102)</f>
        <v/>
      </c>
      <c r="AA102" s="16" t="str">
        <f aca="false">IF($A102="","",O102+N(N102)-T102)</f>
        <v/>
      </c>
      <c r="AB102" s="8" t="str">
        <f aca="false">IF($A102="","","CL "&amp;V102&amp;" | SL "&amp;W102&amp;" | PL "&amp;X102&amp;" | TR "&amp;Y102)</f>
        <v/>
      </c>
      <c r="AC102" s="15" t="str">
        <f aca="false">IF($A102="","",IF(F102="Exited","EXITED",IF(AND(ISNUMBER(K102),K102=0),"NOT ELIGIBLE",IF(MIN(V102:X102)&lt;0,"OVER-USED",IF(Z102&lt;=Settings!$C$15,"LOW","OK")))))</f>
        <v/>
      </c>
      <c r="AD102" s="16" t="str">
        <f aca="false">IF(OR(AC102="OVER-USED",AC102="LOW"),COUNTIF(AC$6:AC102,"OVER-USED")+COUNTIF(AC$6:AC102,"LOW"),"")</f>
        <v/>
      </c>
    </row>
    <row r="103" customFormat="false" ht="15" hidden="false" customHeight="false" outlineLevel="0" collapsed="false">
      <c r="A103" s="8" t="str">
        <f aca="false">IF('Employee List'!B103="","",'Employee List'!B103)</f>
        <v/>
      </c>
      <c r="B103" s="8" t="str">
        <f aca="false">IF($A103="","",'Employee List'!C103)</f>
        <v/>
      </c>
      <c r="C103" s="8" t="str">
        <f aca="false">IF($A103="","",'Employee List'!E103&amp;"")</f>
        <v/>
      </c>
      <c r="D103" s="8" t="str">
        <f aca="false">IF($A103="","",'Employee List'!F103&amp;"")</f>
        <v/>
      </c>
      <c r="E103" s="8" t="str">
        <f aca="false">IF($A103="","",'Employee List'!G103&amp;"")</f>
        <v/>
      </c>
      <c r="F103" s="8" t="str">
        <f aca="false">IF($A103="","",'Employee List'!D103)</f>
        <v/>
      </c>
      <c r="G103" s="38" t="str">
        <f aca="false">IF($A103="","",IF('Employee List'!I103="","",'Employee List'!I103))</f>
        <v/>
      </c>
      <c r="H103" s="38" t="str">
        <f aca="false">IF(OR($A103="",G103=""),"",G103+Settings!$C$13)</f>
        <v/>
      </c>
      <c r="I103" s="38" t="str">
        <f aca="false">IF(H103="","",MAX(H103,DATE(LvYear,1,1)))</f>
        <v/>
      </c>
      <c r="J103" s="38" t="str">
        <f aca="false">IF($A103="","",IF('Employee List'!J103="",DATE(LvYear,12,31),MIN('Employee List'!J103,DATE(LvYear,12,31))))</f>
        <v/>
      </c>
      <c r="K103" s="39" t="str">
        <f aca="false">IF(OR(I103="",J103=""),"",MAX(0,J103-I103+1))</f>
        <v/>
      </c>
      <c r="L103" s="16" t="str">
        <f aca="false">IF($A103="","",IF(AND(ISNUMBER(K103),K103=0),0,Settings!$C$10))</f>
        <v/>
      </c>
      <c r="M103" s="16" t="str">
        <f aca="false">IF($A103="","",IF(AND(ISNUMBER(K103),K103=0),0,Settings!$C$11))</f>
        <v/>
      </c>
      <c r="N103" s="40"/>
      <c r="O103" s="16" t="str">
        <f aca="false">IF($A103="","",FLOOR(Settings!$C$12/365*N(K103),0.5))</f>
        <v/>
      </c>
      <c r="P103" s="16" t="str">
        <f aca="false">IF($A103="","",IF(I103="",N(N103),FLOOR(Settings!$C$12/365*MAX(0,MIN(LvAsOf,J103)-I103+1)+N(N103),0.5)))</f>
        <v/>
      </c>
      <c r="Q103" s="16" t="str">
        <f aca="false">IF($A103="","",Settings!$C$14)</f>
        <v/>
      </c>
      <c r="R103" s="16" t="str">
        <f aca="false">IF($A103="","",SUMIFS(Attendance!$AZ$6:$AZ$2405,Attendance!$B$6:$B$2405,$A103,Attendance!$A$6:$A$2405,"&gt;="&amp;DATE(LvYear,1,1),Attendance!$A$6:$A$2405,"&lt;="&amp;DATE(LvYear,12,31)))</f>
        <v/>
      </c>
      <c r="S103" s="16" t="str">
        <f aca="false">IF($A103="","",SUMIFS(Attendance!$AY$6:$AY$2405,Attendance!$B$6:$B$2405,$A103,Attendance!$A$6:$A$2405,"&gt;="&amp;DATE(LvYear,1,1),Attendance!$A$6:$A$2405,"&lt;="&amp;DATE(LvYear,12,31)))</f>
        <v/>
      </c>
      <c r="T103" s="16" t="str">
        <f aca="false">IF($A103="","",SUMIFS(Attendance!$AX$6:$AX$2405,Attendance!$B$6:$B$2405,$A103,Attendance!$A$6:$A$2405,"&gt;="&amp;DATE(LvYear,1,1),Attendance!$A$6:$A$2405,"&lt;="&amp;DATE(LvYear,12,31)))</f>
        <v/>
      </c>
      <c r="U103" s="16" t="str">
        <f aca="false">IF($A103="","",SUMIFS(Attendance!$AW$6:$AW$2405,Attendance!$B$6:$B$2405,$A103,Attendance!$A$6:$A$2405,"&gt;="&amp;DATE(LvYear,1,1),Attendance!$A$6:$A$2405,"&lt;="&amp;DATE(LvYear,12,31)))</f>
        <v/>
      </c>
      <c r="V103" s="16" t="str">
        <f aca="false">IF($A103="","",L103-R103)</f>
        <v/>
      </c>
      <c r="W103" s="16" t="str">
        <f aca="false">IF($A103="","",M103-S103)</f>
        <v/>
      </c>
      <c r="X103" s="16" t="str">
        <f aca="false">IF($A103="","",P103-T103)</f>
        <v/>
      </c>
      <c r="Y103" s="16" t="str">
        <f aca="false">IF($A103="","",Q103-U103)</f>
        <v/>
      </c>
      <c r="Z103" s="16" t="str">
        <f aca="false">IF($A103="","",V103+W103+X103)</f>
        <v/>
      </c>
      <c r="AA103" s="16" t="str">
        <f aca="false">IF($A103="","",O103+N(N103)-T103)</f>
        <v/>
      </c>
      <c r="AB103" s="8" t="str">
        <f aca="false">IF($A103="","","CL "&amp;V103&amp;" | SL "&amp;W103&amp;" | PL "&amp;X103&amp;" | TR "&amp;Y103)</f>
        <v/>
      </c>
      <c r="AC103" s="15" t="str">
        <f aca="false">IF($A103="","",IF(F103="Exited","EXITED",IF(AND(ISNUMBER(K103),K103=0),"NOT ELIGIBLE",IF(MIN(V103:X103)&lt;0,"OVER-USED",IF(Z103&lt;=Settings!$C$15,"LOW","OK")))))</f>
        <v/>
      </c>
      <c r="AD103" s="16" t="str">
        <f aca="false">IF(OR(AC103="OVER-USED",AC103="LOW"),COUNTIF(AC$6:AC103,"OVER-USED")+COUNTIF(AC$6:AC103,"LOW"),"")</f>
        <v/>
      </c>
    </row>
    <row r="104" customFormat="false" ht="15" hidden="false" customHeight="false" outlineLevel="0" collapsed="false">
      <c r="A104" s="8" t="str">
        <f aca="false">IF('Employee List'!B104="","",'Employee List'!B104)</f>
        <v/>
      </c>
      <c r="B104" s="8" t="str">
        <f aca="false">IF($A104="","",'Employee List'!C104)</f>
        <v/>
      </c>
      <c r="C104" s="8" t="str">
        <f aca="false">IF($A104="","",'Employee List'!E104&amp;"")</f>
        <v/>
      </c>
      <c r="D104" s="8" t="str">
        <f aca="false">IF($A104="","",'Employee List'!F104&amp;"")</f>
        <v/>
      </c>
      <c r="E104" s="8" t="str">
        <f aca="false">IF($A104="","",'Employee List'!G104&amp;"")</f>
        <v/>
      </c>
      <c r="F104" s="8" t="str">
        <f aca="false">IF($A104="","",'Employee List'!D104)</f>
        <v/>
      </c>
      <c r="G104" s="38" t="str">
        <f aca="false">IF($A104="","",IF('Employee List'!I104="","",'Employee List'!I104))</f>
        <v/>
      </c>
      <c r="H104" s="38" t="str">
        <f aca="false">IF(OR($A104="",G104=""),"",G104+Settings!$C$13)</f>
        <v/>
      </c>
      <c r="I104" s="38" t="str">
        <f aca="false">IF(H104="","",MAX(H104,DATE(LvYear,1,1)))</f>
        <v/>
      </c>
      <c r="J104" s="38" t="str">
        <f aca="false">IF($A104="","",IF('Employee List'!J104="",DATE(LvYear,12,31),MIN('Employee List'!J104,DATE(LvYear,12,31))))</f>
        <v/>
      </c>
      <c r="K104" s="39" t="str">
        <f aca="false">IF(OR(I104="",J104=""),"",MAX(0,J104-I104+1))</f>
        <v/>
      </c>
      <c r="L104" s="16" t="str">
        <f aca="false">IF($A104="","",IF(AND(ISNUMBER(K104),K104=0),0,Settings!$C$10))</f>
        <v/>
      </c>
      <c r="M104" s="16" t="str">
        <f aca="false">IF($A104="","",IF(AND(ISNUMBER(K104),K104=0),0,Settings!$C$11))</f>
        <v/>
      </c>
      <c r="N104" s="40"/>
      <c r="O104" s="16" t="str">
        <f aca="false">IF($A104="","",FLOOR(Settings!$C$12/365*N(K104),0.5))</f>
        <v/>
      </c>
      <c r="P104" s="16" t="str">
        <f aca="false">IF($A104="","",IF(I104="",N(N104),FLOOR(Settings!$C$12/365*MAX(0,MIN(LvAsOf,J104)-I104+1)+N(N104),0.5)))</f>
        <v/>
      </c>
      <c r="Q104" s="16" t="str">
        <f aca="false">IF($A104="","",Settings!$C$14)</f>
        <v/>
      </c>
      <c r="R104" s="16" t="str">
        <f aca="false">IF($A104="","",SUMIFS(Attendance!$AZ$6:$AZ$2405,Attendance!$B$6:$B$2405,$A104,Attendance!$A$6:$A$2405,"&gt;="&amp;DATE(LvYear,1,1),Attendance!$A$6:$A$2405,"&lt;="&amp;DATE(LvYear,12,31)))</f>
        <v/>
      </c>
      <c r="S104" s="16" t="str">
        <f aca="false">IF($A104="","",SUMIFS(Attendance!$AY$6:$AY$2405,Attendance!$B$6:$B$2405,$A104,Attendance!$A$6:$A$2405,"&gt;="&amp;DATE(LvYear,1,1),Attendance!$A$6:$A$2405,"&lt;="&amp;DATE(LvYear,12,31)))</f>
        <v/>
      </c>
      <c r="T104" s="16" t="str">
        <f aca="false">IF($A104="","",SUMIFS(Attendance!$AX$6:$AX$2405,Attendance!$B$6:$B$2405,$A104,Attendance!$A$6:$A$2405,"&gt;="&amp;DATE(LvYear,1,1),Attendance!$A$6:$A$2405,"&lt;="&amp;DATE(LvYear,12,31)))</f>
        <v/>
      </c>
      <c r="U104" s="16" t="str">
        <f aca="false">IF($A104="","",SUMIFS(Attendance!$AW$6:$AW$2405,Attendance!$B$6:$B$2405,$A104,Attendance!$A$6:$A$2405,"&gt;="&amp;DATE(LvYear,1,1),Attendance!$A$6:$A$2405,"&lt;="&amp;DATE(LvYear,12,31)))</f>
        <v/>
      </c>
      <c r="V104" s="16" t="str">
        <f aca="false">IF($A104="","",L104-R104)</f>
        <v/>
      </c>
      <c r="W104" s="16" t="str">
        <f aca="false">IF($A104="","",M104-S104)</f>
        <v/>
      </c>
      <c r="X104" s="16" t="str">
        <f aca="false">IF($A104="","",P104-T104)</f>
        <v/>
      </c>
      <c r="Y104" s="16" t="str">
        <f aca="false">IF($A104="","",Q104-U104)</f>
        <v/>
      </c>
      <c r="Z104" s="16" t="str">
        <f aca="false">IF($A104="","",V104+W104+X104)</f>
        <v/>
      </c>
      <c r="AA104" s="16" t="str">
        <f aca="false">IF($A104="","",O104+N(N104)-T104)</f>
        <v/>
      </c>
      <c r="AB104" s="8" t="str">
        <f aca="false">IF($A104="","","CL "&amp;V104&amp;" | SL "&amp;W104&amp;" | PL "&amp;X104&amp;" | TR "&amp;Y104)</f>
        <v/>
      </c>
      <c r="AC104" s="15" t="str">
        <f aca="false">IF($A104="","",IF(F104="Exited","EXITED",IF(AND(ISNUMBER(K104),K104=0),"NOT ELIGIBLE",IF(MIN(V104:X104)&lt;0,"OVER-USED",IF(Z104&lt;=Settings!$C$15,"LOW","OK")))))</f>
        <v/>
      </c>
      <c r="AD104" s="16" t="str">
        <f aca="false">IF(OR(AC104="OVER-USED",AC104="LOW"),COUNTIF(AC$6:AC104,"OVER-USED")+COUNTIF(AC$6:AC104,"LOW"),"")</f>
        <v/>
      </c>
    </row>
    <row r="105" customFormat="false" ht="15" hidden="false" customHeight="false" outlineLevel="0" collapsed="false">
      <c r="A105" s="8" t="str">
        <f aca="false">IF('Employee List'!B105="","",'Employee List'!B105)</f>
        <v/>
      </c>
      <c r="B105" s="8" t="str">
        <f aca="false">IF($A105="","",'Employee List'!C105)</f>
        <v/>
      </c>
      <c r="C105" s="8" t="str">
        <f aca="false">IF($A105="","",'Employee List'!E105&amp;"")</f>
        <v/>
      </c>
      <c r="D105" s="8" t="str">
        <f aca="false">IF($A105="","",'Employee List'!F105&amp;"")</f>
        <v/>
      </c>
      <c r="E105" s="8" t="str">
        <f aca="false">IF($A105="","",'Employee List'!G105&amp;"")</f>
        <v/>
      </c>
      <c r="F105" s="8" t="str">
        <f aca="false">IF($A105="","",'Employee List'!D105)</f>
        <v/>
      </c>
      <c r="G105" s="38" t="str">
        <f aca="false">IF($A105="","",IF('Employee List'!I105="","",'Employee List'!I105))</f>
        <v/>
      </c>
      <c r="H105" s="38" t="str">
        <f aca="false">IF(OR($A105="",G105=""),"",G105+Settings!$C$13)</f>
        <v/>
      </c>
      <c r="I105" s="38" t="str">
        <f aca="false">IF(H105="","",MAX(H105,DATE(LvYear,1,1)))</f>
        <v/>
      </c>
      <c r="J105" s="38" t="str">
        <f aca="false">IF($A105="","",IF('Employee List'!J105="",DATE(LvYear,12,31),MIN('Employee List'!J105,DATE(LvYear,12,31))))</f>
        <v/>
      </c>
      <c r="K105" s="39" t="str">
        <f aca="false">IF(OR(I105="",J105=""),"",MAX(0,J105-I105+1))</f>
        <v/>
      </c>
      <c r="L105" s="16" t="str">
        <f aca="false">IF($A105="","",IF(AND(ISNUMBER(K105),K105=0),0,Settings!$C$10))</f>
        <v/>
      </c>
      <c r="M105" s="16" t="str">
        <f aca="false">IF($A105="","",IF(AND(ISNUMBER(K105),K105=0),0,Settings!$C$11))</f>
        <v/>
      </c>
      <c r="N105" s="40"/>
      <c r="O105" s="16" t="str">
        <f aca="false">IF($A105="","",FLOOR(Settings!$C$12/365*N(K105),0.5))</f>
        <v/>
      </c>
      <c r="P105" s="16" t="str">
        <f aca="false">IF($A105="","",IF(I105="",N(N105),FLOOR(Settings!$C$12/365*MAX(0,MIN(LvAsOf,J105)-I105+1)+N(N105),0.5)))</f>
        <v/>
      </c>
      <c r="Q105" s="16" t="str">
        <f aca="false">IF($A105="","",Settings!$C$14)</f>
        <v/>
      </c>
      <c r="R105" s="16" t="str">
        <f aca="false">IF($A105="","",SUMIFS(Attendance!$AZ$6:$AZ$2405,Attendance!$B$6:$B$2405,$A105,Attendance!$A$6:$A$2405,"&gt;="&amp;DATE(LvYear,1,1),Attendance!$A$6:$A$2405,"&lt;="&amp;DATE(LvYear,12,31)))</f>
        <v/>
      </c>
      <c r="S105" s="16" t="str">
        <f aca="false">IF($A105="","",SUMIFS(Attendance!$AY$6:$AY$2405,Attendance!$B$6:$B$2405,$A105,Attendance!$A$6:$A$2405,"&gt;="&amp;DATE(LvYear,1,1),Attendance!$A$6:$A$2405,"&lt;="&amp;DATE(LvYear,12,31)))</f>
        <v/>
      </c>
      <c r="T105" s="16" t="str">
        <f aca="false">IF($A105="","",SUMIFS(Attendance!$AX$6:$AX$2405,Attendance!$B$6:$B$2405,$A105,Attendance!$A$6:$A$2405,"&gt;="&amp;DATE(LvYear,1,1),Attendance!$A$6:$A$2405,"&lt;="&amp;DATE(LvYear,12,31)))</f>
        <v/>
      </c>
      <c r="U105" s="16" t="str">
        <f aca="false">IF($A105="","",SUMIFS(Attendance!$AW$6:$AW$2405,Attendance!$B$6:$B$2405,$A105,Attendance!$A$6:$A$2405,"&gt;="&amp;DATE(LvYear,1,1),Attendance!$A$6:$A$2405,"&lt;="&amp;DATE(LvYear,12,31)))</f>
        <v/>
      </c>
      <c r="V105" s="16" t="str">
        <f aca="false">IF($A105="","",L105-R105)</f>
        <v/>
      </c>
      <c r="W105" s="16" t="str">
        <f aca="false">IF($A105="","",M105-S105)</f>
        <v/>
      </c>
      <c r="X105" s="16" t="str">
        <f aca="false">IF($A105="","",P105-T105)</f>
        <v/>
      </c>
      <c r="Y105" s="16" t="str">
        <f aca="false">IF($A105="","",Q105-U105)</f>
        <v/>
      </c>
      <c r="Z105" s="16" t="str">
        <f aca="false">IF($A105="","",V105+W105+X105)</f>
        <v/>
      </c>
      <c r="AA105" s="16" t="str">
        <f aca="false">IF($A105="","",O105+N(N105)-T105)</f>
        <v/>
      </c>
      <c r="AB105" s="8" t="str">
        <f aca="false">IF($A105="","","CL "&amp;V105&amp;" | SL "&amp;W105&amp;" | PL "&amp;X105&amp;" | TR "&amp;Y105)</f>
        <v/>
      </c>
      <c r="AC105" s="15" t="str">
        <f aca="false">IF($A105="","",IF(F105="Exited","EXITED",IF(AND(ISNUMBER(K105),K105=0),"NOT ELIGIBLE",IF(MIN(V105:X105)&lt;0,"OVER-USED",IF(Z105&lt;=Settings!$C$15,"LOW","OK")))))</f>
        <v/>
      </c>
      <c r="AD105" s="16" t="str">
        <f aca="false">IF(OR(AC105="OVER-USED",AC105="LOW"),COUNTIF(AC$6:AC105,"OVER-USED")+COUNTIF(AC$6:AC105,"LOW"),"")</f>
        <v/>
      </c>
    </row>
    <row r="106" customFormat="false" ht="15" hidden="false" customHeight="false" outlineLevel="0" collapsed="false">
      <c r="A106" s="8" t="str">
        <f aca="false">IF('Employee List'!B106="","",'Employee List'!B106)</f>
        <v/>
      </c>
      <c r="B106" s="8" t="str">
        <f aca="false">IF($A106="","",'Employee List'!C106)</f>
        <v/>
      </c>
      <c r="C106" s="8" t="str">
        <f aca="false">IF($A106="","",'Employee List'!E106&amp;"")</f>
        <v/>
      </c>
      <c r="D106" s="8" t="str">
        <f aca="false">IF($A106="","",'Employee List'!F106&amp;"")</f>
        <v/>
      </c>
      <c r="E106" s="8" t="str">
        <f aca="false">IF($A106="","",'Employee List'!G106&amp;"")</f>
        <v/>
      </c>
      <c r="F106" s="8" t="str">
        <f aca="false">IF($A106="","",'Employee List'!D106)</f>
        <v/>
      </c>
      <c r="G106" s="38" t="str">
        <f aca="false">IF($A106="","",IF('Employee List'!I106="","",'Employee List'!I106))</f>
        <v/>
      </c>
      <c r="H106" s="38" t="str">
        <f aca="false">IF(OR($A106="",G106=""),"",G106+Settings!$C$13)</f>
        <v/>
      </c>
      <c r="I106" s="38" t="str">
        <f aca="false">IF(H106="","",MAX(H106,DATE(LvYear,1,1)))</f>
        <v/>
      </c>
      <c r="J106" s="38" t="str">
        <f aca="false">IF($A106="","",IF('Employee List'!J106="",DATE(LvYear,12,31),MIN('Employee List'!J106,DATE(LvYear,12,31))))</f>
        <v/>
      </c>
      <c r="K106" s="39" t="str">
        <f aca="false">IF(OR(I106="",J106=""),"",MAX(0,J106-I106+1))</f>
        <v/>
      </c>
      <c r="L106" s="16" t="str">
        <f aca="false">IF($A106="","",IF(AND(ISNUMBER(K106),K106=0),0,Settings!$C$10))</f>
        <v/>
      </c>
      <c r="M106" s="16" t="str">
        <f aca="false">IF($A106="","",IF(AND(ISNUMBER(K106),K106=0),0,Settings!$C$11))</f>
        <v/>
      </c>
      <c r="N106" s="40"/>
      <c r="O106" s="16" t="str">
        <f aca="false">IF($A106="","",FLOOR(Settings!$C$12/365*N(K106),0.5))</f>
        <v/>
      </c>
      <c r="P106" s="16" t="str">
        <f aca="false">IF($A106="","",IF(I106="",N(N106),FLOOR(Settings!$C$12/365*MAX(0,MIN(LvAsOf,J106)-I106+1)+N(N106),0.5)))</f>
        <v/>
      </c>
      <c r="Q106" s="16" t="str">
        <f aca="false">IF($A106="","",Settings!$C$14)</f>
        <v/>
      </c>
      <c r="R106" s="16" t="str">
        <f aca="false">IF($A106="","",SUMIFS(Attendance!$AZ$6:$AZ$2405,Attendance!$B$6:$B$2405,$A106,Attendance!$A$6:$A$2405,"&gt;="&amp;DATE(LvYear,1,1),Attendance!$A$6:$A$2405,"&lt;="&amp;DATE(LvYear,12,31)))</f>
        <v/>
      </c>
      <c r="S106" s="16" t="str">
        <f aca="false">IF($A106="","",SUMIFS(Attendance!$AY$6:$AY$2405,Attendance!$B$6:$B$2405,$A106,Attendance!$A$6:$A$2405,"&gt;="&amp;DATE(LvYear,1,1),Attendance!$A$6:$A$2405,"&lt;="&amp;DATE(LvYear,12,31)))</f>
        <v/>
      </c>
      <c r="T106" s="16" t="str">
        <f aca="false">IF($A106="","",SUMIFS(Attendance!$AX$6:$AX$2405,Attendance!$B$6:$B$2405,$A106,Attendance!$A$6:$A$2405,"&gt;="&amp;DATE(LvYear,1,1),Attendance!$A$6:$A$2405,"&lt;="&amp;DATE(LvYear,12,31)))</f>
        <v/>
      </c>
      <c r="U106" s="16" t="str">
        <f aca="false">IF($A106="","",SUMIFS(Attendance!$AW$6:$AW$2405,Attendance!$B$6:$B$2405,$A106,Attendance!$A$6:$A$2405,"&gt;="&amp;DATE(LvYear,1,1),Attendance!$A$6:$A$2405,"&lt;="&amp;DATE(LvYear,12,31)))</f>
        <v/>
      </c>
      <c r="V106" s="16" t="str">
        <f aca="false">IF($A106="","",L106-R106)</f>
        <v/>
      </c>
      <c r="W106" s="16" t="str">
        <f aca="false">IF($A106="","",M106-S106)</f>
        <v/>
      </c>
      <c r="X106" s="16" t="str">
        <f aca="false">IF($A106="","",P106-T106)</f>
        <v/>
      </c>
      <c r="Y106" s="16" t="str">
        <f aca="false">IF($A106="","",Q106-U106)</f>
        <v/>
      </c>
      <c r="Z106" s="16" t="str">
        <f aca="false">IF($A106="","",V106+W106+X106)</f>
        <v/>
      </c>
      <c r="AA106" s="16" t="str">
        <f aca="false">IF($A106="","",O106+N(N106)-T106)</f>
        <v/>
      </c>
      <c r="AB106" s="8" t="str">
        <f aca="false">IF($A106="","","CL "&amp;V106&amp;" | SL "&amp;W106&amp;" | PL "&amp;X106&amp;" | TR "&amp;Y106)</f>
        <v/>
      </c>
      <c r="AC106" s="15" t="str">
        <f aca="false">IF($A106="","",IF(F106="Exited","EXITED",IF(AND(ISNUMBER(K106),K106=0),"NOT ELIGIBLE",IF(MIN(V106:X106)&lt;0,"OVER-USED",IF(Z106&lt;=Settings!$C$15,"LOW","OK")))))</f>
        <v/>
      </c>
      <c r="AD106" s="16" t="str">
        <f aca="false">IF(OR(AC106="OVER-USED",AC106="LOW"),COUNTIF(AC$6:AC106,"OVER-USED")+COUNTIF(AC$6:AC106,"LOW"),"")</f>
        <v/>
      </c>
    </row>
    <row r="107" customFormat="false" ht="15" hidden="false" customHeight="false" outlineLevel="0" collapsed="false">
      <c r="A107" s="8" t="str">
        <f aca="false">IF('Employee List'!B107="","",'Employee List'!B107)</f>
        <v/>
      </c>
      <c r="B107" s="8" t="str">
        <f aca="false">IF($A107="","",'Employee List'!C107)</f>
        <v/>
      </c>
      <c r="C107" s="8" t="str">
        <f aca="false">IF($A107="","",'Employee List'!E107&amp;"")</f>
        <v/>
      </c>
      <c r="D107" s="8" t="str">
        <f aca="false">IF($A107="","",'Employee List'!F107&amp;"")</f>
        <v/>
      </c>
      <c r="E107" s="8" t="str">
        <f aca="false">IF($A107="","",'Employee List'!G107&amp;"")</f>
        <v/>
      </c>
      <c r="F107" s="8" t="str">
        <f aca="false">IF($A107="","",'Employee List'!D107)</f>
        <v/>
      </c>
      <c r="G107" s="38" t="str">
        <f aca="false">IF($A107="","",IF('Employee List'!I107="","",'Employee List'!I107))</f>
        <v/>
      </c>
      <c r="H107" s="38" t="str">
        <f aca="false">IF(OR($A107="",G107=""),"",G107+Settings!$C$13)</f>
        <v/>
      </c>
      <c r="I107" s="38" t="str">
        <f aca="false">IF(H107="","",MAX(H107,DATE(LvYear,1,1)))</f>
        <v/>
      </c>
      <c r="J107" s="38" t="str">
        <f aca="false">IF($A107="","",IF('Employee List'!J107="",DATE(LvYear,12,31),MIN('Employee List'!J107,DATE(LvYear,12,31))))</f>
        <v/>
      </c>
      <c r="K107" s="39" t="str">
        <f aca="false">IF(OR(I107="",J107=""),"",MAX(0,J107-I107+1))</f>
        <v/>
      </c>
      <c r="L107" s="16" t="str">
        <f aca="false">IF($A107="","",IF(AND(ISNUMBER(K107),K107=0),0,Settings!$C$10))</f>
        <v/>
      </c>
      <c r="M107" s="16" t="str">
        <f aca="false">IF($A107="","",IF(AND(ISNUMBER(K107),K107=0),0,Settings!$C$11))</f>
        <v/>
      </c>
      <c r="N107" s="40"/>
      <c r="O107" s="16" t="str">
        <f aca="false">IF($A107="","",FLOOR(Settings!$C$12/365*N(K107),0.5))</f>
        <v/>
      </c>
      <c r="P107" s="16" t="str">
        <f aca="false">IF($A107="","",IF(I107="",N(N107),FLOOR(Settings!$C$12/365*MAX(0,MIN(LvAsOf,J107)-I107+1)+N(N107),0.5)))</f>
        <v/>
      </c>
      <c r="Q107" s="16" t="str">
        <f aca="false">IF($A107="","",Settings!$C$14)</f>
        <v/>
      </c>
      <c r="R107" s="16" t="str">
        <f aca="false">IF($A107="","",SUMIFS(Attendance!$AZ$6:$AZ$2405,Attendance!$B$6:$B$2405,$A107,Attendance!$A$6:$A$2405,"&gt;="&amp;DATE(LvYear,1,1),Attendance!$A$6:$A$2405,"&lt;="&amp;DATE(LvYear,12,31)))</f>
        <v/>
      </c>
      <c r="S107" s="16" t="str">
        <f aca="false">IF($A107="","",SUMIFS(Attendance!$AY$6:$AY$2405,Attendance!$B$6:$B$2405,$A107,Attendance!$A$6:$A$2405,"&gt;="&amp;DATE(LvYear,1,1),Attendance!$A$6:$A$2405,"&lt;="&amp;DATE(LvYear,12,31)))</f>
        <v/>
      </c>
      <c r="T107" s="16" t="str">
        <f aca="false">IF($A107="","",SUMIFS(Attendance!$AX$6:$AX$2405,Attendance!$B$6:$B$2405,$A107,Attendance!$A$6:$A$2405,"&gt;="&amp;DATE(LvYear,1,1),Attendance!$A$6:$A$2405,"&lt;="&amp;DATE(LvYear,12,31)))</f>
        <v/>
      </c>
      <c r="U107" s="16" t="str">
        <f aca="false">IF($A107="","",SUMIFS(Attendance!$AW$6:$AW$2405,Attendance!$B$6:$B$2405,$A107,Attendance!$A$6:$A$2405,"&gt;="&amp;DATE(LvYear,1,1),Attendance!$A$6:$A$2405,"&lt;="&amp;DATE(LvYear,12,31)))</f>
        <v/>
      </c>
      <c r="V107" s="16" t="str">
        <f aca="false">IF($A107="","",L107-R107)</f>
        <v/>
      </c>
      <c r="W107" s="16" t="str">
        <f aca="false">IF($A107="","",M107-S107)</f>
        <v/>
      </c>
      <c r="X107" s="16" t="str">
        <f aca="false">IF($A107="","",P107-T107)</f>
        <v/>
      </c>
      <c r="Y107" s="16" t="str">
        <f aca="false">IF($A107="","",Q107-U107)</f>
        <v/>
      </c>
      <c r="Z107" s="16" t="str">
        <f aca="false">IF($A107="","",V107+W107+X107)</f>
        <v/>
      </c>
      <c r="AA107" s="16" t="str">
        <f aca="false">IF($A107="","",O107+N(N107)-T107)</f>
        <v/>
      </c>
      <c r="AB107" s="8" t="str">
        <f aca="false">IF($A107="","","CL "&amp;V107&amp;" | SL "&amp;W107&amp;" | PL "&amp;X107&amp;" | TR "&amp;Y107)</f>
        <v/>
      </c>
      <c r="AC107" s="15" t="str">
        <f aca="false">IF($A107="","",IF(F107="Exited","EXITED",IF(AND(ISNUMBER(K107),K107=0),"NOT ELIGIBLE",IF(MIN(V107:X107)&lt;0,"OVER-USED",IF(Z107&lt;=Settings!$C$15,"LOW","OK")))))</f>
        <v/>
      </c>
      <c r="AD107" s="16" t="str">
        <f aca="false">IF(OR(AC107="OVER-USED",AC107="LOW"),COUNTIF(AC$6:AC107,"OVER-USED")+COUNTIF(AC$6:AC107,"LOW"),"")</f>
        <v/>
      </c>
    </row>
    <row r="108" customFormat="false" ht="15" hidden="false" customHeight="false" outlineLevel="0" collapsed="false">
      <c r="A108" s="8" t="str">
        <f aca="false">IF('Employee List'!B108="","",'Employee List'!B108)</f>
        <v/>
      </c>
      <c r="B108" s="8" t="str">
        <f aca="false">IF($A108="","",'Employee List'!C108)</f>
        <v/>
      </c>
      <c r="C108" s="8" t="str">
        <f aca="false">IF($A108="","",'Employee List'!E108&amp;"")</f>
        <v/>
      </c>
      <c r="D108" s="8" t="str">
        <f aca="false">IF($A108="","",'Employee List'!F108&amp;"")</f>
        <v/>
      </c>
      <c r="E108" s="8" t="str">
        <f aca="false">IF($A108="","",'Employee List'!G108&amp;"")</f>
        <v/>
      </c>
      <c r="F108" s="8" t="str">
        <f aca="false">IF($A108="","",'Employee List'!D108)</f>
        <v/>
      </c>
      <c r="G108" s="38" t="str">
        <f aca="false">IF($A108="","",IF('Employee List'!I108="","",'Employee List'!I108))</f>
        <v/>
      </c>
      <c r="H108" s="38" t="str">
        <f aca="false">IF(OR($A108="",G108=""),"",G108+Settings!$C$13)</f>
        <v/>
      </c>
      <c r="I108" s="38" t="str">
        <f aca="false">IF(H108="","",MAX(H108,DATE(LvYear,1,1)))</f>
        <v/>
      </c>
      <c r="J108" s="38" t="str">
        <f aca="false">IF($A108="","",IF('Employee List'!J108="",DATE(LvYear,12,31),MIN('Employee List'!J108,DATE(LvYear,12,31))))</f>
        <v/>
      </c>
      <c r="K108" s="39" t="str">
        <f aca="false">IF(OR(I108="",J108=""),"",MAX(0,J108-I108+1))</f>
        <v/>
      </c>
      <c r="L108" s="16" t="str">
        <f aca="false">IF($A108="","",IF(AND(ISNUMBER(K108),K108=0),0,Settings!$C$10))</f>
        <v/>
      </c>
      <c r="M108" s="16" t="str">
        <f aca="false">IF($A108="","",IF(AND(ISNUMBER(K108),K108=0),0,Settings!$C$11))</f>
        <v/>
      </c>
      <c r="N108" s="40"/>
      <c r="O108" s="16" t="str">
        <f aca="false">IF($A108="","",FLOOR(Settings!$C$12/365*N(K108),0.5))</f>
        <v/>
      </c>
      <c r="P108" s="16" t="str">
        <f aca="false">IF($A108="","",IF(I108="",N(N108),FLOOR(Settings!$C$12/365*MAX(0,MIN(LvAsOf,J108)-I108+1)+N(N108),0.5)))</f>
        <v/>
      </c>
      <c r="Q108" s="16" t="str">
        <f aca="false">IF($A108="","",Settings!$C$14)</f>
        <v/>
      </c>
      <c r="R108" s="16" t="str">
        <f aca="false">IF($A108="","",SUMIFS(Attendance!$AZ$6:$AZ$2405,Attendance!$B$6:$B$2405,$A108,Attendance!$A$6:$A$2405,"&gt;="&amp;DATE(LvYear,1,1),Attendance!$A$6:$A$2405,"&lt;="&amp;DATE(LvYear,12,31)))</f>
        <v/>
      </c>
      <c r="S108" s="16" t="str">
        <f aca="false">IF($A108="","",SUMIFS(Attendance!$AY$6:$AY$2405,Attendance!$B$6:$B$2405,$A108,Attendance!$A$6:$A$2405,"&gt;="&amp;DATE(LvYear,1,1),Attendance!$A$6:$A$2405,"&lt;="&amp;DATE(LvYear,12,31)))</f>
        <v/>
      </c>
      <c r="T108" s="16" t="str">
        <f aca="false">IF($A108="","",SUMIFS(Attendance!$AX$6:$AX$2405,Attendance!$B$6:$B$2405,$A108,Attendance!$A$6:$A$2405,"&gt;="&amp;DATE(LvYear,1,1),Attendance!$A$6:$A$2405,"&lt;="&amp;DATE(LvYear,12,31)))</f>
        <v/>
      </c>
      <c r="U108" s="16" t="str">
        <f aca="false">IF($A108="","",SUMIFS(Attendance!$AW$6:$AW$2405,Attendance!$B$6:$B$2405,$A108,Attendance!$A$6:$A$2405,"&gt;="&amp;DATE(LvYear,1,1),Attendance!$A$6:$A$2405,"&lt;="&amp;DATE(LvYear,12,31)))</f>
        <v/>
      </c>
      <c r="V108" s="16" t="str">
        <f aca="false">IF($A108="","",L108-R108)</f>
        <v/>
      </c>
      <c r="W108" s="16" t="str">
        <f aca="false">IF($A108="","",M108-S108)</f>
        <v/>
      </c>
      <c r="X108" s="16" t="str">
        <f aca="false">IF($A108="","",P108-T108)</f>
        <v/>
      </c>
      <c r="Y108" s="16" t="str">
        <f aca="false">IF($A108="","",Q108-U108)</f>
        <v/>
      </c>
      <c r="Z108" s="16" t="str">
        <f aca="false">IF($A108="","",V108+W108+X108)</f>
        <v/>
      </c>
      <c r="AA108" s="16" t="str">
        <f aca="false">IF($A108="","",O108+N(N108)-T108)</f>
        <v/>
      </c>
      <c r="AB108" s="8" t="str">
        <f aca="false">IF($A108="","","CL "&amp;V108&amp;" | SL "&amp;W108&amp;" | PL "&amp;X108&amp;" | TR "&amp;Y108)</f>
        <v/>
      </c>
      <c r="AC108" s="15" t="str">
        <f aca="false">IF($A108="","",IF(F108="Exited","EXITED",IF(AND(ISNUMBER(K108),K108=0),"NOT ELIGIBLE",IF(MIN(V108:X108)&lt;0,"OVER-USED",IF(Z108&lt;=Settings!$C$15,"LOW","OK")))))</f>
        <v/>
      </c>
      <c r="AD108" s="16" t="str">
        <f aca="false">IF(OR(AC108="OVER-USED",AC108="LOW"),COUNTIF(AC$6:AC108,"OVER-USED")+COUNTIF(AC$6:AC108,"LOW"),"")</f>
        <v/>
      </c>
    </row>
    <row r="109" customFormat="false" ht="15" hidden="false" customHeight="false" outlineLevel="0" collapsed="false">
      <c r="A109" s="8" t="str">
        <f aca="false">IF('Employee List'!B109="","",'Employee List'!B109)</f>
        <v/>
      </c>
      <c r="B109" s="8" t="str">
        <f aca="false">IF($A109="","",'Employee List'!C109)</f>
        <v/>
      </c>
      <c r="C109" s="8" t="str">
        <f aca="false">IF($A109="","",'Employee List'!E109&amp;"")</f>
        <v/>
      </c>
      <c r="D109" s="8" t="str">
        <f aca="false">IF($A109="","",'Employee List'!F109&amp;"")</f>
        <v/>
      </c>
      <c r="E109" s="8" t="str">
        <f aca="false">IF($A109="","",'Employee List'!G109&amp;"")</f>
        <v/>
      </c>
      <c r="F109" s="8" t="str">
        <f aca="false">IF($A109="","",'Employee List'!D109)</f>
        <v/>
      </c>
      <c r="G109" s="38" t="str">
        <f aca="false">IF($A109="","",IF('Employee List'!I109="","",'Employee List'!I109))</f>
        <v/>
      </c>
      <c r="H109" s="38" t="str">
        <f aca="false">IF(OR($A109="",G109=""),"",G109+Settings!$C$13)</f>
        <v/>
      </c>
      <c r="I109" s="38" t="str">
        <f aca="false">IF(H109="","",MAX(H109,DATE(LvYear,1,1)))</f>
        <v/>
      </c>
      <c r="J109" s="38" t="str">
        <f aca="false">IF($A109="","",IF('Employee List'!J109="",DATE(LvYear,12,31),MIN('Employee List'!J109,DATE(LvYear,12,31))))</f>
        <v/>
      </c>
      <c r="K109" s="39" t="str">
        <f aca="false">IF(OR(I109="",J109=""),"",MAX(0,J109-I109+1))</f>
        <v/>
      </c>
      <c r="L109" s="16" t="str">
        <f aca="false">IF($A109="","",IF(AND(ISNUMBER(K109),K109=0),0,Settings!$C$10))</f>
        <v/>
      </c>
      <c r="M109" s="16" t="str">
        <f aca="false">IF($A109="","",IF(AND(ISNUMBER(K109),K109=0),0,Settings!$C$11))</f>
        <v/>
      </c>
      <c r="N109" s="40"/>
      <c r="O109" s="16" t="str">
        <f aca="false">IF($A109="","",FLOOR(Settings!$C$12/365*N(K109),0.5))</f>
        <v/>
      </c>
      <c r="P109" s="16" t="str">
        <f aca="false">IF($A109="","",IF(I109="",N(N109),FLOOR(Settings!$C$12/365*MAX(0,MIN(LvAsOf,J109)-I109+1)+N(N109),0.5)))</f>
        <v/>
      </c>
      <c r="Q109" s="16" t="str">
        <f aca="false">IF($A109="","",Settings!$C$14)</f>
        <v/>
      </c>
      <c r="R109" s="16" t="str">
        <f aca="false">IF($A109="","",SUMIFS(Attendance!$AZ$6:$AZ$2405,Attendance!$B$6:$B$2405,$A109,Attendance!$A$6:$A$2405,"&gt;="&amp;DATE(LvYear,1,1),Attendance!$A$6:$A$2405,"&lt;="&amp;DATE(LvYear,12,31)))</f>
        <v/>
      </c>
      <c r="S109" s="16" t="str">
        <f aca="false">IF($A109="","",SUMIFS(Attendance!$AY$6:$AY$2405,Attendance!$B$6:$B$2405,$A109,Attendance!$A$6:$A$2405,"&gt;="&amp;DATE(LvYear,1,1),Attendance!$A$6:$A$2405,"&lt;="&amp;DATE(LvYear,12,31)))</f>
        <v/>
      </c>
      <c r="T109" s="16" t="str">
        <f aca="false">IF($A109="","",SUMIFS(Attendance!$AX$6:$AX$2405,Attendance!$B$6:$B$2405,$A109,Attendance!$A$6:$A$2405,"&gt;="&amp;DATE(LvYear,1,1),Attendance!$A$6:$A$2405,"&lt;="&amp;DATE(LvYear,12,31)))</f>
        <v/>
      </c>
      <c r="U109" s="16" t="str">
        <f aca="false">IF($A109="","",SUMIFS(Attendance!$AW$6:$AW$2405,Attendance!$B$6:$B$2405,$A109,Attendance!$A$6:$A$2405,"&gt;="&amp;DATE(LvYear,1,1),Attendance!$A$6:$A$2405,"&lt;="&amp;DATE(LvYear,12,31)))</f>
        <v/>
      </c>
      <c r="V109" s="16" t="str">
        <f aca="false">IF($A109="","",L109-R109)</f>
        <v/>
      </c>
      <c r="W109" s="16" t="str">
        <f aca="false">IF($A109="","",M109-S109)</f>
        <v/>
      </c>
      <c r="X109" s="16" t="str">
        <f aca="false">IF($A109="","",P109-T109)</f>
        <v/>
      </c>
      <c r="Y109" s="16" t="str">
        <f aca="false">IF($A109="","",Q109-U109)</f>
        <v/>
      </c>
      <c r="Z109" s="16" t="str">
        <f aca="false">IF($A109="","",V109+W109+X109)</f>
        <v/>
      </c>
      <c r="AA109" s="16" t="str">
        <f aca="false">IF($A109="","",O109+N(N109)-T109)</f>
        <v/>
      </c>
      <c r="AB109" s="8" t="str">
        <f aca="false">IF($A109="","","CL "&amp;V109&amp;" | SL "&amp;W109&amp;" | PL "&amp;X109&amp;" | TR "&amp;Y109)</f>
        <v/>
      </c>
      <c r="AC109" s="15" t="str">
        <f aca="false">IF($A109="","",IF(F109="Exited","EXITED",IF(AND(ISNUMBER(K109),K109=0),"NOT ELIGIBLE",IF(MIN(V109:X109)&lt;0,"OVER-USED",IF(Z109&lt;=Settings!$C$15,"LOW","OK")))))</f>
        <v/>
      </c>
      <c r="AD109" s="16" t="str">
        <f aca="false">IF(OR(AC109="OVER-USED",AC109="LOW"),COUNTIF(AC$6:AC109,"OVER-USED")+COUNTIF(AC$6:AC109,"LOW"),"")</f>
        <v/>
      </c>
    </row>
    <row r="110" customFormat="false" ht="15" hidden="false" customHeight="false" outlineLevel="0" collapsed="false">
      <c r="A110" s="8" t="str">
        <f aca="false">IF('Employee List'!B110="","",'Employee List'!B110)</f>
        <v/>
      </c>
      <c r="B110" s="8" t="str">
        <f aca="false">IF($A110="","",'Employee List'!C110)</f>
        <v/>
      </c>
      <c r="C110" s="8" t="str">
        <f aca="false">IF($A110="","",'Employee List'!E110&amp;"")</f>
        <v/>
      </c>
      <c r="D110" s="8" t="str">
        <f aca="false">IF($A110="","",'Employee List'!F110&amp;"")</f>
        <v/>
      </c>
      <c r="E110" s="8" t="str">
        <f aca="false">IF($A110="","",'Employee List'!G110&amp;"")</f>
        <v/>
      </c>
      <c r="F110" s="8" t="str">
        <f aca="false">IF($A110="","",'Employee List'!D110)</f>
        <v/>
      </c>
      <c r="G110" s="38" t="str">
        <f aca="false">IF($A110="","",IF('Employee List'!I110="","",'Employee List'!I110))</f>
        <v/>
      </c>
      <c r="H110" s="38" t="str">
        <f aca="false">IF(OR($A110="",G110=""),"",G110+Settings!$C$13)</f>
        <v/>
      </c>
      <c r="I110" s="38" t="str">
        <f aca="false">IF(H110="","",MAX(H110,DATE(LvYear,1,1)))</f>
        <v/>
      </c>
      <c r="J110" s="38" t="str">
        <f aca="false">IF($A110="","",IF('Employee List'!J110="",DATE(LvYear,12,31),MIN('Employee List'!J110,DATE(LvYear,12,31))))</f>
        <v/>
      </c>
      <c r="K110" s="39" t="str">
        <f aca="false">IF(OR(I110="",J110=""),"",MAX(0,J110-I110+1))</f>
        <v/>
      </c>
      <c r="L110" s="16" t="str">
        <f aca="false">IF($A110="","",IF(AND(ISNUMBER(K110),K110=0),0,Settings!$C$10))</f>
        <v/>
      </c>
      <c r="M110" s="16" t="str">
        <f aca="false">IF($A110="","",IF(AND(ISNUMBER(K110),K110=0),0,Settings!$C$11))</f>
        <v/>
      </c>
      <c r="N110" s="40"/>
      <c r="O110" s="16" t="str">
        <f aca="false">IF($A110="","",FLOOR(Settings!$C$12/365*N(K110),0.5))</f>
        <v/>
      </c>
      <c r="P110" s="16" t="str">
        <f aca="false">IF($A110="","",IF(I110="",N(N110),FLOOR(Settings!$C$12/365*MAX(0,MIN(LvAsOf,J110)-I110+1)+N(N110),0.5)))</f>
        <v/>
      </c>
      <c r="Q110" s="16" t="str">
        <f aca="false">IF($A110="","",Settings!$C$14)</f>
        <v/>
      </c>
      <c r="R110" s="16" t="str">
        <f aca="false">IF($A110="","",SUMIFS(Attendance!$AZ$6:$AZ$2405,Attendance!$B$6:$B$2405,$A110,Attendance!$A$6:$A$2405,"&gt;="&amp;DATE(LvYear,1,1),Attendance!$A$6:$A$2405,"&lt;="&amp;DATE(LvYear,12,31)))</f>
        <v/>
      </c>
      <c r="S110" s="16" t="str">
        <f aca="false">IF($A110="","",SUMIFS(Attendance!$AY$6:$AY$2405,Attendance!$B$6:$B$2405,$A110,Attendance!$A$6:$A$2405,"&gt;="&amp;DATE(LvYear,1,1),Attendance!$A$6:$A$2405,"&lt;="&amp;DATE(LvYear,12,31)))</f>
        <v/>
      </c>
      <c r="T110" s="16" t="str">
        <f aca="false">IF($A110="","",SUMIFS(Attendance!$AX$6:$AX$2405,Attendance!$B$6:$B$2405,$A110,Attendance!$A$6:$A$2405,"&gt;="&amp;DATE(LvYear,1,1),Attendance!$A$6:$A$2405,"&lt;="&amp;DATE(LvYear,12,31)))</f>
        <v/>
      </c>
      <c r="U110" s="16" t="str">
        <f aca="false">IF($A110="","",SUMIFS(Attendance!$AW$6:$AW$2405,Attendance!$B$6:$B$2405,$A110,Attendance!$A$6:$A$2405,"&gt;="&amp;DATE(LvYear,1,1),Attendance!$A$6:$A$2405,"&lt;="&amp;DATE(LvYear,12,31)))</f>
        <v/>
      </c>
      <c r="V110" s="16" t="str">
        <f aca="false">IF($A110="","",L110-R110)</f>
        <v/>
      </c>
      <c r="W110" s="16" t="str">
        <f aca="false">IF($A110="","",M110-S110)</f>
        <v/>
      </c>
      <c r="X110" s="16" t="str">
        <f aca="false">IF($A110="","",P110-T110)</f>
        <v/>
      </c>
      <c r="Y110" s="16" t="str">
        <f aca="false">IF($A110="","",Q110-U110)</f>
        <v/>
      </c>
      <c r="Z110" s="16" t="str">
        <f aca="false">IF($A110="","",V110+W110+X110)</f>
        <v/>
      </c>
      <c r="AA110" s="16" t="str">
        <f aca="false">IF($A110="","",O110+N(N110)-T110)</f>
        <v/>
      </c>
      <c r="AB110" s="8" t="str">
        <f aca="false">IF($A110="","","CL "&amp;V110&amp;" | SL "&amp;W110&amp;" | PL "&amp;X110&amp;" | TR "&amp;Y110)</f>
        <v/>
      </c>
      <c r="AC110" s="15" t="str">
        <f aca="false">IF($A110="","",IF(F110="Exited","EXITED",IF(AND(ISNUMBER(K110),K110=0),"NOT ELIGIBLE",IF(MIN(V110:X110)&lt;0,"OVER-USED",IF(Z110&lt;=Settings!$C$15,"LOW","OK")))))</f>
        <v/>
      </c>
      <c r="AD110" s="16" t="str">
        <f aca="false">IF(OR(AC110="OVER-USED",AC110="LOW"),COUNTIF(AC$6:AC110,"OVER-USED")+COUNTIF(AC$6:AC110,"LOW"),"")</f>
        <v/>
      </c>
    </row>
    <row r="111" customFormat="false" ht="15" hidden="false" customHeight="false" outlineLevel="0" collapsed="false">
      <c r="A111" s="8" t="str">
        <f aca="false">IF('Employee List'!B111="","",'Employee List'!B111)</f>
        <v/>
      </c>
      <c r="B111" s="8" t="str">
        <f aca="false">IF($A111="","",'Employee List'!C111)</f>
        <v/>
      </c>
      <c r="C111" s="8" t="str">
        <f aca="false">IF($A111="","",'Employee List'!E111&amp;"")</f>
        <v/>
      </c>
      <c r="D111" s="8" t="str">
        <f aca="false">IF($A111="","",'Employee List'!F111&amp;"")</f>
        <v/>
      </c>
      <c r="E111" s="8" t="str">
        <f aca="false">IF($A111="","",'Employee List'!G111&amp;"")</f>
        <v/>
      </c>
      <c r="F111" s="8" t="str">
        <f aca="false">IF($A111="","",'Employee List'!D111)</f>
        <v/>
      </c>
      <c r="G111" s="38" t="str">
        <f aca="false">IF($A111="","",IF('Employee List'!I111="","",'Employee List'!I111))</f>
        <v/>
      </c>
      <c r="H111" s="38" t="str">
        <f aca="false">IF(OR($A111="",G111=""),"",G111+Settings!$C$13)</f>
        <v/>
      </c>
      <c r="I111" s="38" t="str">
        <f aca="false">IF(H111="","",MAX(H111,DATE(LvYear,1,1)))</f>
        <v/>
      </c>
      <c r="J111" s="38" t="str">
        <f aca="false">IF($A111="","",IF('Employee List'!J111="",DATE(LvYear,12,31),MIN('Employee List'!J111,DATE(LvYear,12,31))))</f>
        <v/>
      </c>
      <c r="K111" s="39" t="str">
        <f aca="false">IF(OR(I111="",J111=""),"",MAX(0,J111-I111+1))</f>
        <v/>
      </c>
      <c r="L111" s="16" t="str">
        <f aca="false">IF($A111="","",IF(AND(ISNUMBER(K111),K111=0),0,Settings!$C$10))</f>
        <v/>
      </c>
      <c r="M111" s="16" t="str">
        <f aca="false">IF($A111="","",IF(AND(ISNUMBER(K111),K111=0),0,Settings!$C$11))</f>
        <v/>
      </c>
      <c r="N111" s="40"/>
      <c r="O111" s="16" t="str">
        <f aca="false">IF($A111="","",FLOOR(Settings!$C$12/365*N(K111),0.5))</f>
        <v/>
      </c>
      <c r="P111" s="16" t="str">
        <f aca="false">IF($A111="","",IF(I111="",N(N111),FLOOR(Settings!$C$12/365*MAX(0,MIN(LvAsOf,J111)-I111+1)+N(N111),0.5)))</f>
        <v/>
      </c>
      <c r="Q111" s="16" t="str">
        <f aca="false">IF($A111="","",Settings!$C$14)</f>
        <v/>
      </c>
      <c r="R111" s="16" t="str">
        <f aca="false">IF($A111="","",SUMIFS(Attendance!$AZ$6:$AZ$2405,Attendance!$B$6:$B$2405,$A111,Attendance!$A$6:$A$2405,"&gt;="&amp;DATE(LvYear,1,1),Attendance!$A$6:$A$2405,"&lt;="&amp;DATE(LvYear,12,31)))</f>
        <v/>
      </c>
      <c r="S111" s="16" t="str">
        <f aca="false">IF($A111="","",SUMIFS(Attendance!$AY$6:$AY$2405,Attendance!$B$6:$B$2405,$A111,Attendance!$A$6:$A$2405,"&gt;="&amp;DATE(LvYear,1,1),Attendance!$A$6:$A$2405,"&lt;="&amp;DATE(LvYear,12,31)))</f>
        <v/>
      </c>
      <c r="T111" s="16" t="str">
        <f aca="false">IF($A111="","",SUMIFS(Attendance!$AX$6:$AX$2405,Attendance!$B$6:$B$2405,$A111,Attendance!$A$6:$A$2405,"&gt;="&amp;DATE(LvYear,1,1),Attendance!$A$6:$A$2405,"&lt;="&amp;DATE(LvYear,12,31)))</f>
        <v/>
      </c>
      <c r="U111" s="16" t="str">
        <f aca="false">IF($A111="","",SUMIFS(Attendance!$AW$6:$AW$2405,Attendance!$B$6:$B$2405,$A111,Attendance!$A$6:$A$2405,"&gt;="&amp;DATE(LvYear,1,1),Attendance!$A$6:$A$2405,"&lt;="&amp;DATE(LvYear,12,31)))</f>
        <v/>
      </c>
      <c r="V111" s="16" t="str">
        <f aca="false">IF($A111="","",L111-R111)</f>
        <v/>
      </c>
      <c r="W111" s="16" t="str">
        <f aca="false">IF($A111="","",M111-S111)</f>
        <v/>
      </c>
      <c r="X111" s="16" t="str">
        <f aca="false">IF($A111="","",P111-T111)</f>
        <v/>
      </c>
      <c r="Y111" s="16" t="str">
        <f aca="false">IF($A111="","",Q111-U111)</f>
        <v/>
      </c>
      <c r="Z111" s="16" t="str">
        <f aca="false">IF($A111="","",V111+W111+X111)</f>
        <v/>
      </c>
      <c r="AA111" s="16" t="str">
        <f aca="false">IF($A111="","",O111+N(N111)-T111)</f>
        <v/>
      </c>
      <c r="AB111" s="8" t="str">
        <f aca="false">IF($A111="","","CL "&amp;V111&amp;" | SL "&amp;W111&amp;" | PL "&amp;X111&amp;" | TR "&amp;Y111)</f>
        <v/>
      </c>
      <c r="AC111" s="15" t="str">
        <f aca="false">IF($A111="","",IF(F111="Exited","EXITED",IF(AND(ISNUMBER(K111),K111=0),"NOT ELIGIBLE",IF(MIN(V111:X111)&lt;0,"OVER-USED",IF(Z111&lt;=Settings!$C$15,"LOW","OK")))))</f>
        <v/>
      </c>
      <c r="AD111" s="16" t="str">
        <f aca="false">IF(OR(AC111="OVER-USED",AC111="LOW"),COUNTIF(AC$6:AC111,"OVER-USED")+COUNTIF(AC$6:AC111,"LOW"),"")</f>
        <v/>
      </c>
    </row>
    <row r="112" customFormat="false" ht="15" hidden="false" customHeight="false" outlineLevel="0" collapsed="false">
      <c r="A112" s="8" t="str">
        <f aca="false">IF('Employee List'!B112="","",'Employee List'!B112)</f>
        <v/>
      </c>
      <c r="B112" s="8" t="str">
        <f aca="false">IF($A112="","",'Employee List'!C112)</f>
        <v/>
      </c>
      <c r="C112" s="8" t="str">
        <f aca="false">IF($A112="","",'Employee List'!E112&amp;"")</f>
        <v/>
      </c>
      <c r="D112" s="8" t="str">
        <f aca="false">IF($A112="","",'Employee List'!F112&amp;"")</f>
        <v/>
      </c>
      <c r="E112" s="8" t="str">
        <f aca="false">IF($A112="","",'Employee List'!G112&amp;"")</f>
        <v/>
      </c>
      <c r="F112" s="8" t="str">
        <f aca="false">IF($A112="","",'Employee List'!D112)</f>
        <v/>
      </c>
      <c r="G112" s="38" t="str">
        <f aca="false">IF($A112="","",IF('Employee List'!I112="","",'Employee List'!I112))</f>
        <v/>
      </c>
      <c r="H112" s="38" t="str">
        <f aca="false">IF(OR($A112="",G112=""),"",G112+Settings!$C$13)</f>
        <v/>
      </c>
      <c r="I112" s="38" t="str">
        <f aca="false">IF(H112="","",MAX(H112,DATE(LvYear,1,1)))</f>
        <v/>
      </c>
      <c r="J112" s="38" t="str">
        <f aca="false">IF($A112="","",IF('Employee List'!J112="",DATE(LvYear,12,31),MIN('Employee List'!J112,DATE(LvYear,12,31))))</f>
        <v/>
      </c>
      <c r="K112" s="39" t="str">
        <f aca="false">IF(OR(I112="",J112=""),"",MAX(0,J112-I112+1))</f>
        <v/>
      </c>
      <c r="L112" s="16" t="str">
        <f aca="false">IF($A112="","",IF(AND(ISNUMBER(K112),K112=0),0,Settings!$C$10))</f>
        <v/>
      </c>
      <c r="M112" s="16" t="str">
        <f aca="false">IF($A112="","",IF(AND(ISNUMBER(K112),K112=0),0,Settings!$C$11))</f>
        <v/>
      </c>
      <c r="N112" s="40"/>
      <c r="O112" s="16" t="str">
        <f aca="false">IF($A112="","",FLOOR(Settings!$C$12/365*N(K112),0.5))</f>
        <v/>
      </c>
      <c r="P112" s="16" t="str">
        <f aca="false">IF($A112="","",IF(I112="",N(N112),FLOOR(Settings!$C$12/365*MAX(0,MIN(LvAsOf,J112)-I112+1)+N(N112),0.5)))</f>
        <v/>
      </c>
      <c r="Q112" s="16" t="str">
        <f aca="false">IF($A112="","",Settings!$C$14)</f>
        <v/>
      </c>
      <c r="R112" s="16" t="str">
        <f aca="false">IF($A112="","",SUMIFS(Attendance!$AZ$6:$AZ$2405,Attendance!$B$6:$B$2405,$A112,Attendance!$A$6:$A$2405,"&gt;="&amp;DATE(LvYear,1,1),Attendance!$A$6:$A$2405,"&lt;="&amp;DATE(LvYear,12,31)))</f>
        <v/>
      </c>
      <c r="S112" s="16" t="str">
        <f aca="false">IF($A112="","",SUMIFS(Attendance!$AY$6:$AY$2405,Attendance!$B$6:$B$2405,$A112,Attendance!$A$6:$A$2405,"&gt;="&amp;DATE(LvYear,1,1),Attendance!$A$6:$A$2405,"&lt;="&amp;DATE(LvYear,12,31)))</f>
        <v/>
      </c>
      <c r="T112" s="16" t="str">
        <f aca="false">IF($A112="","",SUMIFS(Attendance!$AX$6:$AX$2405,Attendance!$B$6:$B$2405,$A112,Attendance!$A$6:$A$2405,"&gt;="&amp;DATE(LvYear,1,1),Attendance!$A$6:$A$2405,"&lt;="&amp;DATE(LvYear,12,31)))</f>
        <v/>
      </c>
      <c r="U112" s="16" t="str">
        <f aca="false">IF($A112="","",SUMIFS(Attendance!$AW$6:$AW$2405,Attendance!$B$6:$B$2405,$A112,Attendance!$A$6:$A$2405,"&gt;="&amp;DATE(LvYear,1,1),Attendance!$A$6:$A$2405,"&lt;="&amp;DATE(LvYear,12,31)))</f>
        <v/>
      </c>
      <c r="V112" s="16" t="str">
        <f aca="false">IF($A112="","",L112-R112)</f>
        <v/>
      </c>
      <c r="W112" s="16" t="str">
        <f aca="false">IF($A112="","",M112-S112)</f>
        <v/>
      </c>
      <c r="X112" s="16" t="str">
        <f aca="false">IF($A112="","",P112-T112)</f>
        <v/>
      </c>
      <c r="Y112" s="16" t="str">
        <f aca="false">IF($A112="","",Q112-U112)</f>
        <v/>
      </c>
      <c r="Z112" s="16" t="str">
        <f aca="false">IF($A112="","",V112+W112+X112)</f>
        <v/>
      </c>
      <c r="AA112" s="16" t="str">
        <f aca="false">IF($A112="","",O112+N(N112)-T112)</f>
        <v/>
      </c>
      <c r="AB112" s="8" t="str">
        <f aca="false">IF($A112="","","CL "&amp;V112&amp;" | SL "&amp;W112&amp;" | PL "&amp;X112&amp;" | TR "&amp;Y112)</f>
        <v/>
      </c>
      <c r="AC112" s="15" t="str">
        <f aca="false">IF($A112="","",IF(F112="Exited","EXITED",IF(AND(ISNUMBER(K112),K112=0),"NOT ELIGIBLE",IF(MIN(V112:X112)&lt;0,"OVER-USED",IF(Z112&lt;=Settings!$C$15,"LOW","OK")))))</f>
        <v/>
      </c>
      <c r="AD112" s="16" t="str">
        <f aca="false">IF(OR(AC112="OVER-USED",AC112="LOW"),COUNTIF(AC$6:AC112,"OVER-USED")+COUNTIF(AC$6:AC112,"LOW"),"")</f>
        <v/>
      </c>
    </row>
    <row r="113" customFormat="false" ht="15" hidden="false" customHeight="false" outlineLevel="0" collapsed="false">
      <c r="A113" s="8" t="str">
        <f aca="false">IF('Employee List'!B113="","",'Employee List'!B113)</f>
        <v/>
      </c>
      <c r="B113" s="8" t="str">
        <f aca="false">IF($A113="","",'Employee List'!C113)</f>
        <v/>
      </c>
      <c r="C113" s="8" t="str">
        <f aca="false">IF($A113="","",'Employee List'!E113&amp;"")</f>
        <v/>
      </c>
      <c r="D113" s="8" t="str">
        <f aca="false">IF($A113="","",'Employee List'!F113&amp;"")</f>
        <v/>
      </c>
      <c r="E113" s="8" t="str">
        <f aca="false">IF($A113="","",'Employee List'!G113&amp;"")</f>
        <v/>
      </c>
      <c r="F113" s="8" t="str">
        <f aca="false">IF($A113="","",'Employee List'!D113)</f>
        <v/>
      </c>
      <c r="G113" s="38" t="str">
        <f aca="false">IF($A113="","",IF('Employee List'!I113="","",'Employee List'!I113))</f>
        <v/>
      </c>
      <c r="H113" s="38" t="str">
        <f aca="false">IF(OR($A113="",G113=""),"",G113+Settings!$C$13)</f>
        <v/>
      </c>
      <c r="I113" s="38" t="str">
        <f aca="false">IF(H113="","",MAX(H113,DATE(LvYear,1,1)))</f>
        <v/>
      </c>
      <c r="J113" s="38" t="str">
        <f aca="false">IF($A113="","",IF('Employee List'!J113="",DATE(LvYear,12,31),MIN('Employee List'!J113,DATE(LvYear,12,31))))</f>
        <v/>
      </c>
      <c r="K113" s="39" t="str">
        <f aca="false">IF(OR(I113="",J113=""),"",MAX(0,J113-I113+1))</f>
        <v/>
      </c>
      <c r="L113" s="16" t="str">
        <f aca="false">IF($A113="","",IF(AND(ISNUMBER(K113),K113=0),0,Settings!$C$10))</f>
        <v/>
      </c>
      <c r="M113" s="16" t="str">
        <f aca="false">IF($A113="","",IF(AND(ISNUMBER(K113),K113=0),0,Settings!$C$11))</f>
        <v/>
      </c>
      <c r="N113" s="40"/>
      <c r="O113" s="16" t="str">
        <f aca="false">IF($A113="","",FLOOR(Settings!$C$12/365*N(K113),0.5))</f>
        <v/>
      </c>
      <c r="P113" s="16" t="str">
        <f aca="false">IF($A113="","",IF(I113="",N(N113),FLOOR(Settings!$C$12/365*MAX(0,MIN(LvAsOf,J113)-I113+1)+N(N113),0.5)))</f>
        <v/>
      </c>
      <c r="Q113" s="16" t="str">
        <f aca="false">IF($A113="","",Settings!$C$14)</f>
        <v/>
      </c>
      <c r="R113" s="16" t="str">
        <f aca="false">IF($A113="","",SUMIFS(Attendance!$AZ$6:$AZ$2405,Attendance!$B$6:$B$2405,$A113,Attendance!$A$6:$A$2405,"&gt;="&amp;DATE(LvYear,1,1),Attendance!$A$6:$A$2405,"&lt;="&amp;DATE(LvYear,12,31)))</f>
        <v/>
      </c>
      <c r="S113" s="16" t="str">
        <f aca="false">IF($A113="","",SUMIFS(Attendance!$AY$6:$AY$2405,Attendance!$B$6:$B$2405,$A113,Attendance!$A$6:$A$2405,"&gt;="&amp;DATE(LvYear,1,1),Attendance!$A$6:$A$2405,"&lt;="&amp;DATE(LvYear,12,31)))</f>
        <v/>
      </c>
      <c r="T113" s="16" t="str">
        <f aca="false">IF($A113="","",SUMIFS(Attendance!$AX$6:$AX$2405,Attendance!$B$6:$B$2405,$A113,Attendance!$A$6:$A$2405,"&gt;="&amp;DATE(LvYear,1,1),Attendance!$A$6:$A$2405,"&lt;="&amp;DATE(LvYear,12,31)))</f>
        <v/>
      </c>
      <c r="U113" s="16" t="str">
        <f aca="false">IF($A113="","",SUMIFS(Attendance!$AW$6:$AW$2405,Attendance!$B$6:$B$2405,$A113,Attendance!$A$6:$A$2405,"&gt;="&amp;DATE(LvYear,1,1),Attendance!$A$6:$A$2405,"&lt;="&amp;DATE(LvYear,12,31)))</f>
        <v/>
      </c>
      <c r="V113" s="16" t="str">
        <f aca="false">IF($A113="","",L113-R113)</f>
        <v/>
      </c>
      <c r="W113" s="16" t="str">
        <f aca="false">IF($A113="","",M113-S113)</f>
        <v/>
      </c>
      <c r="X113" s="16" t="str">
        <f aca="false">IF($A113="","",P113-T113)</f>
        <v/>
      </c>
      <c r="Y113" s="16" t="str">
        <f aca="false">IF($A113="","",Q113-U113)</f>
        <v/>
      </c>
      <c r="Z113" s="16" t="str">
        <f aca="false">IF($A113="","",V113+W113+X113)</f>
        <v/>
      </c>
      <c r="AA113" s="16" t="str">
        <f aca="false">IF($A113="","",O113+N(N113)-T113)</f>
        <v/>
      </c>
      <c r="AB113" s="8" t="str">
        <f aca="false">IF($A113="","","CL "&amp;V113&amp;" | SL "&amp;W113&amp;" | PL "&amp;X113&amp;" | TR "&amp;Y113)</f>
        <v/>
      </c>
      <c r="AC113" s="15" t="str">
        <f aca="false">IF($A113="","",IF(F113="Exited","EXITED",IF(AND(ISNUMBER(K113),K113=0),"NOT ELIGIBLE",IF(MIN(V113:X113)&lt;0,"OVER-USED",IF(Z113&lt;=Settings!$C$15,"LOW","OK")))))</f>
        <v/>
      </c>
      <c r="AD113" s="16" t="str">
        <f aca="false">IF(OR(AC113="OVER-USED",AC113="LOW"),COUNTIF(AC$6:AC113,"OVER-USED")+COUNTIF(AC$6:AC113,"LOW"),"")</f>
        <v/>
      </c>
    </row>
    <row r="114" customFormat="false" ht="15" hidden="false" customHeight="false" outlineLevel="0" collapsed="false">
      <c r="A114" s="8" t="str">
        <f aca="false">IF('Employee List'!B114="","",'Employee List'!B114)</f>
        <v/>
      </c>
      <c r="B114" s="8" t="str">
        <f aca="false">IF($A114="","",'Employee List'!C114)</f>
        <v/>
      </c>
      <c r="C114" s="8" t="str">
        <f aca="false">IF($A114="","",'Employee List'!E114&amp;"")</f>
        <v/>
      </c>
      <c r="D114" s="8" t="str">
        <f aca="false">IF($A114="","",'Employee List'!F114&amp;"")</f>
        <v/>
      </c>
      <c r="E114" s="8" t="str">
        <f aca="false">IF($A114="","",'Employee List'!G114&amp;"")</f>
        <v/>
      </c>
      <c r="F114" s="8" t="str">
        <f aca="false">IF($A114="","",'Employee List'!D114)</f>
        <v/>
      </c>
      <c r="G114" s="38" t="str">
        <f aca="false">IF($A114="","",IF('Employee List'!I114="","",'Employee List'!I114))</f>
        <v/>
      </c>
      <c r="H114" s="38" t="str">
        <f aca="false">IF(OR($A114="",G114=""),"",G114+Settings!$C$13)</f>
        <v/>
      </c>
      <c r="I114" s="38" t="str">
        <f aca="false">IF(H114="","",MAX(H114,DATE(LvYear,1,1)))</f>
        <v/>
      </c>
      <c r="J114" s="38" t="str">
        <f aca="false">IF($A114="","",IF('Employee List'!J114="",DATE(LvYear,12,31),MIN('Employee List'!J114,DATE(LvYear,12,31))))</f>
        <v/>
      </c>
      <c r="K114" s="39" t="str">
        <f aca="false">IF(OR(I114="",J114=""),"",MAX(0,J114-I114+1))</f>
        <v/>
      </c>
      <c r="L114" s="16" t="str">
        <f aca="false">IF($A114="","",IF(AND(ISNUMBER(K114),K114=0),0,Settings!$C$10))</f>
        <v/>
      </c>
      <c r="M114" s="16" t="str">
        <f aca="false">IF($A114="","",IF(AND(ISNUMBER(K114),K114=0),0,Settings!$C$11))</f>
        <v/>
      </c>
      <c r="N114" s="40"/>
      <c r="O114" s="16" t="str">
        <f aca="false">IF($A114="","",FLOOR(Settings!$C$12/365*N(K114),0.5))</f>
        <v/>
      </c>
      <c r="P114" s="16" t="str">
        <f aca="false">IF($A114="","",IF(I114="",N(N114),FLOOR(Settings!$C$12/365*MAX(0,MIN(LvAsOf,J114)-I114+1)+N(N114),0.5)))</f>
        <v/>
      </c>
      <c r="Q114" s="16" t="str">
        <f aca="false">IF($A114="","",Settings!$C$14)</f>
        <v/>
      </c>
      <c r="R114" s="16" t="str">
        <f aca="false">IF($A114="","",SUMIFS(Attendance!$AZ$6:$AZ$2405,Attendance!$B$6:$B$2405,$A114,Attendance!$A$6:$A$2405,"&gt;="&amp;DATE(LvYear,1,1),Attendance!$A$6:$A$2405,"&lt;="&amp;DATE(LvYear,12,31)))</f>
        <v/>
      </c>
      <c r="S114" s="16" t="str">
        <f aca="false">IF($A114="","",SUMIFS(Attendance!$AY$6:$AY$2405,Attendance!$B$6:$B$2405,$A114,Attendance!$A$6:$A$2405,"&gt;="&amp;DATE(LvYear,1,1),Attendance!$A$6:$A$2405,"&lt;="&amp;DATE(LvYear,12,31)))</f>
        <v/>
      </c>
      <c r="T114" s="16" t="str">
        <f aca="false">IF($A114="","",SUMIFS(Attendance!$AX$6:$AX$2405,Attendance!$B$6:$B$2405,$A114,Attendance!$A$6:$A$2405,"&gt;="&amp;DATE(LvYear,1,1),Attendance!$A$6:$A$2405,"&lt;="&amp;DATE(LvYear,12,31)))</f>
        <v/>
      </c>
      <c r="U114" s="16" t="str">
        <f aca="false">IF($A114="","",SUMIFS(Attendance!$AW$6:$AW$2405,Attendance!$B$6:$B$2405,$A114,Attendance!$A$6:$A$2405,"&gt;="&amp;DATE(LvYear,1,1),Attendance!$A$6:$A$2405,"&lt;="&amp;DATE(LvYear,12,31)))</f>
        <v/>
      </c>
      <c r="V114" s="16" t="str">
        <f aca="false">IF($A114="","",L114-R114)</f>
        <v/>
      </c>
      <c r="W114" s="16" t="str">
        <f aca="false">IF($A114="","",M114-S114)</f>
        <v/>
      </c>
      <c r="X114" s="16" t="str">
        <f aca="false">IF($A114="","",P114-T114)</f>
        <v/>
      </c>
      <c r="Y114" s="16" t="str">
        <f aca="false">IF($A114="","",Q114-U114)</f>
        <v/>
      </c>
      <c r="Z114" s="16" t="str">
        <f aca="false">IF($A114="","",V114+W114+X114)</f>
        <v/>
      </c>
      <c r="AA114" s="16" t="str">
        <f aca="false">IF($A114="","",O114+N(N114)-T114)</f>
        <v/>
      </c>
      <c r="AB114" s="8" t="str">
        <f aca="false">IF($A114="","","CL "&amp;V114&amp;" | SL "&amp;W114&amp;" | PL "&amp;X114&amp;" | TR "&amp;Y114)</f>
        <v/>
      </c>
      <c r="AC114" s="15" t="str">
        <f aca="false">IF($A114="","",IF(F114="Exited","EXITED",IF(AND(ISNUMBER(K114),K114=0),"NOT ELIGIBLE",IF(MIN(V114:X114)&lt;0,"OVER-USED",IF(Z114&lt;=Settings!$C$15,"LOW","OK")))))</f>
        <v/>
      </c>
      <c r="AD114" s="16" t="str">
        <f aca="false">IF(OR(AC114="OVER-USED",AC114="LOW"),COUNTIF(AC$6:AC114,"OVER-USED")+COUNTIF(AC$6:AC114,"LOW"),"")</f>
        <v/>
      </c>
    </row>
    <row r="115" customFormat="false" ht="15" hidden="false" customHeight="false" outlineLevel="0" collapsed="false">
      <c r="A115" s="8" t="str">
        <f aca="false">IF('Employee List'!B115="","",'Employee List'!B115)</f>
        <v/>
      </c>
      <c r="B115" s="8" t="str">
        <f aca="false">IF($A115="","",'Employee List'!C115)</f>
        <v/>
      </c>
      <c r="C115" s="8" t="str">
        <f aca="false">IF($A115="","",'Employee List'!E115&amp;"")</f>
        <v/>
      </c>
      <c r="D115" s="8" t="str">
        <f aca="false">IF($A115="","",'Employee List'!F115&amp;"")</f>
        <v/>
      </c>
      <c r="E115" s="8" t="str">
        <f aca="false">IF($A115="","",'Employee List'!G115&amp;"")</f>
        <v/>
      </c>
      <c r="F115" s="8" t="str">
        <f aca="false">IF($A115="","",'Employee List'!D115)</f>
        <v/>
      </c>
      <c r="G115" s="38" t="str">
        <f aca="false">IF($A115="","",IF('Employee List'!I115="","",'Employee List'!I115))</f>
        <v/>
      </c>
      <c r="H115" s="38" t="str">
        <f aca="false">IF(OR($A115="",G115=""),"",G115+Settings!$C$13)</f>
        <v/>
      </c>
      <c r="I115" s="38" t="str">
        <f aca="false">IF(H115="","",MAX(H115,DATE(LvYear,1,1)))</f>
        <v/>
      </c>
      <c r="J115" s="38" t="str">
        <f aca="false">IF($A115="","",IF('Employee List'!J115="",DATE(LvYear,12,31),MIN('Employee List'!J115,DATE(LvYear,12,31))))</f>
        <v/>
      </c>
      <c r="K115" s="39" t="str">
        <f aca="false">IF(OR(I115="",J115=""),"",MAX(0,J115-I115+1))</f>
        <v/>
      </c>
      <c r="L115" s="16" t="str">
        <f aca="false">IF($A115="","",IF(AND(ISNUMBER(K115),K115=0),0,Settings!$C$10))</f>
        <v/>
      </c>
      <c r="M115" s="16" t="str">
        <f aca="false">IF($A115="","",IF(AND(ISNUMBER(K115),K115=0),0,Settings!$C$11))</f>
        <v/>
      </c>
      <c r="N115" s="40"/>
      <c r="O115" s="16" t="str">
        <f aca="false">IF($A115="","",FLOOR(Settings!$C$12/365*N(K115),0.5))</f>
        <v/>
      </c>
      <c r="P115" s="16" t="str">
        <f aca="false">IF($A115="","",IF(I115="",N(N115),FLOOR(Settings!$C$12/365*MAX(0,MIN(LvAsOf,J115)-I115+1)+N(N115),0.5)))</f>
        <v/>
      </c>
      <c r="Q115" s="16" t="str">
        <f aca="false">IF($A115="","",Settings!$C$14)</f>
        <v/>
      </c>
      <c r="R115" s="16" t="str">
        <f aca="false">IF($A115="","",SUMIFS(Attendance!$AZ$6:$AZ$2405,Attendance!$B$6:$B$2405,$A115,Attendance!$A$6:$A$2405,"&gt;="&amp;DATE(LvYear,1,1),Attendance!$A$6:$A$2405,"&lt;="&amp;DATE(LvYear,12,31)))</f>
        <v/>
      </c>
      <c r="S115" s="16" t="str">
        <f aca="false">IF($A115="","",SUMIFS(Attendance!$AY$6:$AY$2405,Attendance!$B$6:$B$2405,$A115,Attendance!$A$6:$A$2405,"&gt;="&amp;DATE(LvYear,1,1),Attendance!$A$6:$A$2405,"&lt;="&amp;DATE(LvYear,12,31)))</f>
        <v/>
      </c>
      <c r="T115" s="16" t="str">
        <f aca="false">IF($A115="","",SUMIFS(Attendance!$AX$6:$AX$2405,Attendance!$B$6:$B$2405,$A115,Attendance!$A$6:$A$2405,"&gt;="&amp;DATE(LvYear,1,1),Attendance!$A$6:$A$2405,"&lt;="&amp;DATE(LvYear,12,31)))</f>
        <v/>
      </c>
      <c r="U115" s="16" t="str">
        <f aca="false">IF($A115="","",SUMIFS(Attendance!$AW$6:$AW$2405,Attendance!$B$6:$B$2405,$A115,Attendance!$A$6:$A$2405,"&gt;="&amp;DATE(LvYear,1,1),Attendance!$A$6:$A$2405,"&lt;="&amp;DATE(LvYear,12,31)))</f>
        <v/>
      </c>
      <c r="V115" s="16" t="str">
        <f aca="false">IF($A115="","",L115-R115)</f>
        <v/>
      </c>
      <c r="W115" s="16" t="str">
        <f aca="false">IF($A115="","",M115-S115)</f>
        <v/>
      </c>
      <c r="X115" s="16" t="str">
        <f aca="false">IF($A115="","",P115-T115)</f>
        <v/>
      </c>
      <c r="Y115" s="16" t="str">
        <f aca="false">IF($A115="","",Q115-U115)</f>
        <v/>
      </c>
      <c r="Z115" s="16" t="str">
        <f aca="false">IF($A115="","",V115+W115+X115)</f>
        <v/>
      </c>
      <c r="AA115" s="16" t="str">
        <f aca="false">IF($A115="","",O115+N(N115)-T115)</f>
        <v/>
      </c>
      <c r="AB115" s="8" t="str">
        <f aca="false">IF($A115="","","CL "&amp;V115&amp;" | SL "&amp;W115&amp;" | PL "&amp;X115&amp;" | TR "&amp;Y115)</f>
        <v/>
      </c>
      <c r="AC115" s="15" t="str">
        <f aca="false">IF($A115="","",IF(F115="Exited","EXITED",IF(AND(ISNUMBER(K115),K115=0),"NOT ELIGIBLE",IF(MIN(V115:X115)&lt;0,"OVER-USED",IF(Z115&lt;=Settings!$C$15,"LOW","OK")))))</f>
        <v/>
      </c>
      <c r="AD115" s="16" t="str">
        <f aca="false">IF(OR(AC115="OVER-USED",AC115="LOW"),COUNTIF(AC$6:AC115,"OVER-USED")+COUNTIF(AC$6:AC115,"LOW"),"")</f>
        <v/>
      </c>
    </row>
    <row r="116" customFormat="false" ht="15" hidden="false" customHeight="false" outlineLevel="0" collapsed="false">
      <c r="A116" s="8" t="str">
        <f aca="false">IF('Employee List'!B116="","",'Employee List'!B116)</f>
        <v/>
      </c>
      <c r="B116" s="8" t="str">
        <f aca="false">IF($A116="","",'Employee List'!C116)</f>
        <v/>
      </c>
      <c r="C116" s="8" t="str">
        <f aca="false">IF($A116="","",'Employee List'!E116&amp;"")</f>
        <v/>
      </c>
      <c r="D116" s="8" t="str">
        <f aca="false">IF($A116="","",'Employee List'!F116&amp;"")</f>
        <v/>
      </c>
      <c r="E116" s="8" t="str">
        <f aca="false">IF($A116="","",'Employee List'!G116&amp;"")</f>
        <v/>
      </c>
      <c r="F116" s="8" t="str">
        <f aca="false">IF($A116="","",'Employee List'!D116)</f>
        <v/>
      </c>
      <c r="G116" s="38" t="str">
        <f aca="false">IF($A116="","",IF('Employee List'!I116="","",'Employee List'!I116))</f>
        <v/>
      </c>
      <c r="H116" s="38" t="str">
        <f aca="false">IF(OR($A116="",G116=""),"",G116+Settings!$C$13)</f>
        <v/>
      </c>
      <c r="I116" s="38" t="str">
        <f aca="false">IF(H116="","",MAX(H116,DATE(LvYear,1,1)))</f>
        <v/>
      </c>
      <c r="J116" s="38" t="str">
        <f aca="false">IF($A116="","",IF('Employee List'!J116="",DATE(LvYear,12,31),MIN('Employee List'!J116,DATE(LvYear,12,31))))</f>
        <v/>
      </c>
      <c r="K116" s="39" t="str">
        <f aca="false">IF(OR(I116="",J116=""),"",MAX(0,J116-I116+1))</f>
        <v/>
      </c>
      <c r="L116" s="16" t="str">
        <f aca="false">IF($A116="","",IF(AND(ISNUMBER(K116),K116=0),0,Settings!$C$10))</f>
        <v/>
      </c>
      <c r="M116" s="16" t="str">
        <f aca="false">IF($A116="","",IF(AND(ISNUMBER(K116),K116=0),0,Settings!$C$11))</f>
        <v/>
      </c>
      <c r="N116" s="40"/>
      <c r="O116" s="16" t="str">
        <f aca="false">IF($A116="","",FLOOR(Settings!$C$12/365*N(K116),0.5))</f>
        <v/>
      </c>
      <c r="P116" s="16" t="str">
        <f aca="false">IF($A116="","",IF(I116="",N(N116),FLOOR(Settings!$C$12/365*MAX(0,MIN(LvAsOf,J116)-I116+1)+N(N116),0.5)))</f>
        <v/>
      </c>
      <c r="Q116" s="16" t="str">
        <f aca="false">IF($A116="","",Settings!$C$14)</f>
        <v/>
      </c>
      <c r="R116" s="16" t="str">
        <f aca="false">IF($A116="","",SUMIFS(Attendance!$AZ$6:$AZ$2405,Attendance!$B$6:$B$2405,$A116,Attendance!$A$6:$A$2405,"&gt;="&amp;DATE(LvYear,1,1),Attendance!$A$6:$A$2405,"&lt;="&amp;DATE(LvYear,12,31)))</f>
        <v/>
      </c>
      <c r="S116" s="16" t="str">
        <f aca="false">IF($A116="","",SUMIFS(Attendance!$AY$6:$AY$2405,Attendance!$B$6:$B$2405,$A116,Attendance!$A$6:$A$2405,"&gt;="&amp;DATE(LvYear,1,1),Attendance!$A$6:$A$2405,"&lt;="&amp;DATE(LvYear,12,31)))</f>
        <v/>
      </c>
      <c r="T116" s="16" t="str">
        <f aca="false">IF($A116="","",SUMIFS(Attendance!$AX$6:$AX$2405,Attendance!$B$6:$B$2405,$A116,Attendance!$A$6:$A$2405,"&gt;="&amp;DATE(LvYear,1,1),Attendance!$A$6:$A$2405,"&lt;="&amp;DATE(LvYear,12,31)))</f>
        <v/>
      </c>
      <c r="U116" s="16" t="str">
        <f aca="false">IF($A116="","",SUMIFS(Attendance!$AW$6:$AW$2405,Attendance!$B$6:$B$2405,$A116,Attendance!$A$6:$A$2405,"&gt;="&amp;DATE(LvYear,1,1),Attendance!$A$6:$A$2405,"&lt;="&amp;DATE(LvYear,12,31)))</f>
        <v/>
      </c>
      <c r="V116" s="16" t="str">
        <f aca="false">IF($A116="","",L116-R116)</f>
        <v/>
      </c>
      <c r="W116" s="16" t="str">
        <f aca="false">IF($A116="","",M116-S116)</f>
        <v/>
      </c>
      <c r="X116" s="16" t="str">
        <f aca="false">IF($A116="","",P116-T116)</f>
        <v/>
      </c>
      <c r="Y116" s="16" t="str">
        <f aca="false">IF($A116="","",Q116-U116)</f>
        <v/>
      </c>
      <c r="Z116" s="16" t="str">
        <f aca="false">IF($A116="","",V116+W116+X116)</f>
        <v/>
      </c>
      <c r="AA116" s="16" t="str">
        <f aca="false">IF($A116="","",O116+N(N116)-T116)</f>
        <v/>
      </c>
      <c r="AB116" s="8" t="str">
        <f aca="false">IF($A116="","","CL "&amp;V116&amp;" | SL "&amp;W116&amp;" | PL "&amp;X116&amp;" | TR "&amp;Y116)</f>
        <v/>
      </c>
      <c r="AC116" s="15" t="str">
        <f aca="false">IF($A116="","",IF(F116="Exited","EXITED",IF(AND(ISNUMBER(K116),K116=0),"NOT ELIGIBLE",IF(MIN(V116:X116)&lt;0,"OVER-USED",IF(Z116&lt;=Settings!$C$15,"LOW","OK")))))</f>
        <v/>
      </c>
      <c r="AD116" s="16" t="str">
        <f aca="false">IF(OR(AC116="OVER-USED",AC116="LOW"),COUNTIF(AC$6:AC116,"OVER-USED")+COUNTIF(AC$6:AC116,"LOW"),"")</f>
        <v/>
      </c>
    </row>
    <row r="117" customFormat="false" ht="15" hidden="false" customHeight="false" outlineLevel="0" collapsed="false">
      <c r="A117" s="8" t="str">
        <f aca="false">IF('Employee List'!B117="","",'Employee List'!B117)</f>
        <v/>
      </c>
      <c r="B117" s="8" t="str">
        <f aca="false">IF($A117="","",'Employee List'!C117)</f>
        <v/>
      </c>
      <c r="C117" s="8" t="str">
        <f aca="false">IF($A117="","",'Employee List'!E117&amp;"")</f>
        <v/>
      </c>
      <c r="D117" s="8" t="str">
        <f aca="false">IF($A117="","",'Employee List'!F117&amp;"")</f>
        <v/>
      </c>
      <c r="E117" s="8" t="str">
        <f aca="false">IF($A117="","",'Employee List'!G117&amp;"")</f>
        <v/>
      </c>
      <c r="F117" s="8" t="str">
        <f aca="false">IF($A117="","",'Employee List'!D117)</f>
        <v/>
      </c>
      <c r="G117" s="38" t="str">
        <f aca="false">IF($A117="","",IF('Employee List'!I117="","",'Employee List'!I117))</f>
        <v/>
      </c>
      <c r="H117" s="38" t="str">
        <f aca="false">IF(OR($A117="",G117=""),"",G117+Settings!$C$13)</f>
        <v/>
      </c>
      <c r="I117" s="38" t="str">
        <f aca="false">IF(H117="","",MAX(H117,DATE(LvYear,1,1)))</f>
        <v/>
      </c>
      <c r="J117" s="38" t="str">
        <f aca="false">IF($A117="","",IF('Employee List'!J117="",DATE(LvYear,12,31),MIN('Employee List'!J117,DATE(LvYear,12,31))))</f>
        <v/>
      </c>
      <c r="K117" s="39" t="str">
        <f aca="false">IF(OR(I117="",J117=""),"",MAX(0,J117-I117+1))</f>
        <v/>
      </c>
      <c r="L117" s="16" t="str">
        <f aca="false">IF($A117="","",IF(AND(ISNUMBER(K117),K117=0),0,Settings!$C$10))</f>
        <v/>
      </c>
      <c r="M117" s="16" t="str">
        <f aca="false">IF($A117="","",IF(AND(ISNUMBER(K117),K117=0),0,Settings!$C$11))</f>
        <v/>
      </c>
      <c r="N117" s="40"/>
      <c r="O117" s="16" t="str">
        <f aca="false">IF($A117="","",FLOOR(Settings!$C$12/365*N(K117),0.5))</f>
        <v/>
      </c>
      <c r="P117" s="16" t="str">
        <f aca="false">IF($A117="","",IF(I117="",N(N117),FLOOR(Settings!$C$12/365*MAX(0,MIN(LvAsOf,J117)-I117+1)+N(N117),0.5)))</f>
        <v/>
      </c>
      <c r="Q117" s="16" t="str">
        <f aca="false">IF($A117="","",Settings!$C$14)</f>
        <v/>
      </c>
      <c r="R117" s="16" t="str">
        <f aca="false">IF($A117="","",SUMIFS(Attendance!$AZ$6:$AZ$2405,Attendance!$B$6:$B$2405,$A117,Attendance!$A$6:$A$2405,"&gt;="&amp;DATE(LvYear,1,1),Attendance!$A$6:$A$2405,"&lt;="&amp;DATE(LvYear,12,31)))</f>
        <v/>
      </c>
      <c r="S117" s="16" t="str">
        <f aca="false">IF($A117="","",SUMIFS(Attendance!$AY$6:$AY$2405,Attendance!$B$6:$B$2405,$A117,Attendance!$A$6:$A$2405,"&gt;="&amp;DATE(LvYear,1,1),Attendance!$A$6:$A$2405,"&lt;="&amp;DATE(LvYear,12,31)))</f>
        <v/>
      </c>
      <c r="T117" s="16" t="str">
        <f aca="false">IF($A117="","",SUMIFS(Attendance!$AX$6:$AX$2405,Attendance!$B$6:$B$2405,$A117,Attendance!$A$6:$A$2405,"&gt;="&amp;DATE(LvYear,1,1),Attendance!$A$6:$A$2405,"&lt;="&amp;DATE(LvYear,12,31)))</f>
        <v/>
      </c>
      <c r="U117" s="16" t="str">
        <f aca="false">IF($A117="","",SUMIFS(Attendance!$AW$6:$AW$2405,Attendance!$B$6:$B$2405,$A117,Attendance!$A$6:$A$2405,"&gt;="&amp;DATE(LvYear,1,1),Attendance!$A$6:$A$2405,"&lt;="&amp;DATE(LvYear,12,31)))</f>
        <v/>
      </c>
      <c r="V117" s="16" t="str">
        <f aca="false">IF($A117="","",L117-R117)</f>
        <v/>
      </c>
      <c r="W117" s="16" t="str">
        <f aca="false">IF($A117="","",M117-S117)</f>
        <v/>
      </c>
      <c r="X117" s="16" t="str">
        <f aca="false">IF($A117="","",P117-T117)</f>
        <v/>
      </c>
      <c r="Y117" s="16" t="str">
        <f aca="false">IF($A117="","",Q117-U117)</f>
        <v/>
      </c>
      <c r="Z117" s="16" t="str">
        <f aca="false">IF($A117="","",V117+W117+X117)</f>
        <v/>
      </c>
      <c r="AA117" s="16" t="str">
        <f aca="false">IF($A117="","",O117+N(N117)-T117)</f>
        <v/>
      </c>
      <c r="AB117" s="8" t="str">
        <f aca="false">IF($A117="","","CL "&amp;V117&amp;" | SL "&amp;W117&amp;" | PL "&amp;X117&amp;" | TR "&amp;Y117)</f>
        <v/>
      </c>
      <c r="AC117" s="15" t="str">
        <f aca="false">IF($A117="","",IF(F117="Exited","EXITED",IF(AND(ISNUMBER(K117),K117=0),"NOT ELIGIBLE",IF(MIN(V117:X117)&lt;0,"OVER-USED",IF(Z117&lt;=Settings!$C$15,"LOW","OK")))))</f>
        <v/>
      </c>
      <c r="AD117" s="16" t="str">
        <f aca="false">IF(OR(AC117="OVER-USED",AC117="LOW"),COUNTIF(AC$6:AC117,"OVER-USED")+COUNTIF(AC$6:AC117,"LOW"),"")</f>
        <v/>
      </c>
    </row>
    <row r="118" customFormat="false" ht="15" hidden="false" customHeight="false" outlineLevel="0" collapsed="false">
      <c r="A118" s="8" t="str">
        <f aca="false">IF('Employee List'!B118="","",'Employee List'!B118)</f>
        <v/>
      </c>
      <c r="B118" s="8" t="str">
        <f aca="false">IF($A118="","",'Employee List'!C118)</f>
        <v/>
      </c>
      <c r="C118" s="8" t="str">
        <f aca="false">IF($A118="","",'Employee List'!E118&amp;"")</f>
        <v/>
      </c>
      <c r="D118" s="8" t="str">
        <f aca="false">IF($A118="","",'Employee List'!F118&amp;"")</f>
        <v/>
      </c>
      <c r="E118" s="8" t="str">
        <f aca="false">IF($A118="","",'Employee List'!G118&amp;"")</f>
        <v/>
      </c>
      <c r="F118" s="8" t="str">
        <f aca="false">IF($A118="","",'Employee List'!D118)</f>
        <v/>
      </c>
      <c r="G118" s="38" t="str">
        <f aca="false">IF($A118="","",IF('Employee List'!I118="","",'Employee List'!I118))</f>
        <v/>
      </c>
      <c r="H118" s="38" t="str">
        <f aca="false">IF(OR($A118="",G118=""),"",G118+Settings!$C$13)</f>
        <v/>
      </c>
      <c r="I118" s="38" t="str">
        <f aca="false">IF(H118="","",MAX(H118,DATE(LvYear,1,1)))</f>
        <v/>
      </c>
      <c r="J118" s="38" t="str">
        <f aca="false">IF($A118="","",IF('Employee List'!J118="",DATE(LvYear,12,31),MIN('Employee List'!J118,DATE(LvYear,12,31))))</f>
        <v/>
      </c>
      <c r="K118" s="39" t="str">
        <f aca="false">IF(OR(I118="",J118=""),"",MAX(0,J118-I118+1))</f>
        <v/>
      </c>
      <c r="L118" s="16" t="str">
        <f aca="false">IF($A118="","",IF(AND(ISNUMBER(K118),K118=0),0,Settings!$C$10))</f>
        <v/>
      </c>
      <c r="M118" s="16" t="str">
        <f aca="false">IF($A118="","",IF(AND(ISNUMBER(K118),K118=0),0,Settings!$C$11))</f>
        <v/>
      </c>
      <c r="N118" s="40"/>
      <c r="O118" s="16" t="str">
        <f aca="false">IF($A118="","",FLOOR(Settings!$C$12/365*N(K118),0.5))</f>
        <v/>
      </c>
      <c r="P118" s="16" t="str">
        <f aca="false">IF($A118="","",IF(I118="",N(N118),FLOOR(Settings!$C$12/365*MAX(0,MIN(LvAsOf,J118)-I118+1)+N(N118),0.5)))</f>
        <v/>
      </c>
      <c r="Q118" s="16" t="str">
        <f aca="false">IF($A118="","",Settings!$C$14)</f>
        <v/>
      </c>
      <c r="R118" s="16" t="str">
        <f aca="false">IF($A118="","",SUMIFS(Attendance!$AZ$6:$AZ$2405,Attendance!$B$6:$B$2405,$A118,Attendance!$A$6:$A$2405,"&gt;="&amp;DATE(LvYear,1,1),Attendance!$A$6:$A$2405,"&lt;="&amp;DATE(LvYear,12,31)))</f>
        <v/>
      </c>
      <c r="S118" s="16" t="str">
        <f aca="false">IF($A118="","",SUMIFS(Attendance!$AY$6:$AY$2405,Attendance!$B$6:$B$2405,$A118,Attendance!$A$6:$A$2405,"&gt;="&amp;DATE(LvYear,1,1),Attendance!$A$6:$A$2405,"&lt;="&amp;DATE(LvYear,12,31)))</f>
        <v/>
      </c>
      <c r="T118" s="16" t="str">
        <f aca="false">IF($A118="","",SUMIFS(Attendance!$AX$6:$AX$2405,Attendance!$B$6:$B$2405,$A118,Attendance!$A$6:$A$2405,"&gt;="&amp;DATE(LvYear,1,1),Attendance!$A$6:$A$2405,"&lt;="&amp;DATE(LvYear,12,31)))</f>
        <v/>
      </c>
      <c r="U118" s="16" t="str">
        <f aca="false">IF($A118="","",SUMIFS(Attendance!$AW$6:$AW$2405,Attendance!$B$6:$B$2405,$A118,Attendance!$A$6:$A$2405,"&gt;="&amp;DATE(LvYear,1,1),Attendance!$A$6:$A$2405,"&lt;="&amp;DATE(LvYear,12,31)))</f>
        <v/>
      </c>
      <c r="V118" s="16" t="str">
        <f aca="false">IF($A118="","",L118-R118)</f>
        <v/>
      </c>
      <c r="W118" s="16" t="str">
        <f aca="false">IF($A118="","",M118-S118)</f>
        <v/>
      </c>
      <c r="X118" s="16" t="str">
        <f aca="false">IF($A118="","",P118-T118)</f>
        <v/>
      </c>
      <c r="Y118" s="16" t="str">
        <f aca="false">IF($A118="","",Q118-U118)</f>
        <v/>
      </c>
      <c r="Z118" s="16" t="str">
        <f aca="false">IF($A118="","",V118+W118+X118)</f>
        <v/>
      </c>
      <c r="AA118" s="16" t="str">
        <f aca="false">IF($A118="","",O118+N(N118)-T118)</f>
        <v/>
      </c>
      <c r="AB118" s="8" t="str">
        <f aca="false">IF($A118="","","CL "&amp;V118&amp;" | SL "&amp;W118&amp;" | PL "&amp;X118&amp;" | TR "&amp;Y118)</f>
        <v/>
      </c>
      <c r="AC118" s="15" t="str">
        <f aca="false">IF($A118="","",IF(F118="Exited","EXITED",IF(AND(ISNUMBER(K118),K118=0),"NOT ELIGIBLE",IF(MIN(V118:X118)&lt;0,"OVER-USED",IF(Z118&lt;=Settings!$C$15,"LOW","OK")))))</f>
        <v/>
      </c>
      <c r="AD118" s="16" t="str">
        <f aca="false">IF(OR(AC118="OVER-USED",AC118="LOW"),COUNTIF(AC$6:AC118,"OVER-USED")+COUNTIF(AC$6:AC118,"LOW"),"")</f>
        <v/>
      </c>
    </row>
    <row r="119" customFormat="false" ht="15" hidden="false" customHeight="false" outlineLevel="0" collapsed="false">
      <c r="A119" s="8" t="str">
        <f aca="false">IF('Employee List'!B119="","",'Employee List'!B119)</f>
        <v/>
      </c>
      <c r="B119" s="8" t="str">
        <f aca="false">IF($A119="","",'Employee List'!C119)</f>
        <v/>
      </c>
      <c r="C119" s="8" t="str">
        <f aca="false">IF($A119="","",'Employee List'!E119&amp;"")</f>
        <v/>
      </c>
      <c r="D119" s="8" t="str">
        <f aca="false">IF($A119="","",'Employee List'!F119&amp;"")</f>
        <v/>
      </c>
      <c r="E119" s="8" t="str">
        <f aca="false">IF($A119="","",'Employee List'!G119&amp;"")</f>
        <v/>
      </c>
      <c r="F119" s="8" t="str">
        <f aca="false">IF($A119="","",'Employee List'!D119)</f>
        <v/>
      </c>
      <c r="G119" s="38" t="str">
        <f aca="false">IF($A119="","",IF('Employee List'!I119="","",'Employee List'!I119))</f>
        <v/>
      </c>
      <c r="H119" s="38" t="str">
        <f aca="false">IF(OR($A119="",G119=""),"",G119+Settings!$C$13)</f>
        <v/>
      </c>
      <c r="I119" s="38" t="str">
        <f aca="false">IF(H119="","",MAX(H119,DATE(LvYear,1,1)))</f>
        <v/>
      </c>
      <c r="J119" s="38" t="str">
        <f aca="false">IF($A119="","",IF('Employee List'!J119="",DATE(LvYear,12,31),MIN('Employee List'!J119,DATE(LvYear,12,31))))</f>
        <v/>
      </c>
      <c r="K119" s="39" t="str">
        <f aca="false">IF(OR(I119="",J119=""),"",MAX(0,J119-I119+1))</f>
        <v/>
      </c>
      <c r="L119" s="16" t="str">
        <f aca="false">IF($A119="","",IF(AND(ISNUMBER(K119),K119=0),0,Settings!$C$10))</f>
        <v/>
      </c>
      <c r="M119" s="16" t="str">
        <f aca="false">IF($A119="","",IF(AND(ISNUMBER(K119),K119=0),0,Settings!$C$11))</f>
        <v/>
      </c>
      <c r="N119" s="40"/>
      <c r="O119" s="16" t="str">
        <f aca="false">IF($A119="","",FLOOR(Settings!$C$12/365*N(K119),0.5))</f>
        <v/>
      </c>
      <c r="P119" s="16" t="str">
        <f aca="false">IF($A119="","",IF(I119="",N(N119),FLOOR(Settings!$C$12/365*MAX(0,MIN(LvAsOf,J119)-I119+1)+N(N119),0.5)))</f>
        <v/>
      </c>
      <c r="Q119" s="16" t="str">
        <f aca="false">IF($A119="","",Settings!$C$14)</f>
        <v/>
      </c>
      <c r="R119" s="16" t="str">
        <f aca="false">IF($A119="","",SUMIFS(Attendance!$AZ$6:$AZ$2405,Attendance!$B$6:$B$2405,$A119,Attendance!$A$6:$A$2405,"&gt;="&amp;DATE(LvYear,1,1),Attendance!$A$6:$A$2405,"&lt;="&amp;DATE(LvYear,12,31)))</f>
        <v/>
      </c>
      <c r="S119" s="16" t="str">
        <f aca="false">IF($A119="","",SUMIFS(Attendance!$AY$6:$AY$2405,Attendance!$B$6:$B$2405,$A119,Attendance!$A$6:$A$2405,"&gt;="&amp;DATE(LvYear,1,1),Attendance!$A$6:$A$2405,"&lt;="&amp;DATE(LvYear,12,31)))</f>
        <v/>
      </c>
      <c r="T119" s="16" t="str">
        <f aca="false">IF($A119="","",SUMIFS(Attendance!$AX$6:$AX$2405,Attendance!$B$6:$B$2405,$A119,Attendance!$A$6:$A$2405,"&gt;="&amp;DATE(LvYear,1,1),Attendance!$A$6:$A$2405,"&lt;="&amp;DATE(LvYear,12,31)))</f>
        <v/>
      </c>
      <c r="U119" s="16" t="str">
        <f aca="false">IF($A119="","",SUMIFS(Attendance!$AW$6:$AW$2405,Attendance!$B$6:$B$2405,$A119,Attendance!$A$6:$A$2405,"&gt;="&amp;DATE(LvYear,1,1),Attendance!$A$6:$A$2405,"&lt;="&amp;DATE(LvYear,12,31)))</f>
        <v/>
      </c>
      <c r="V119" s="16" t="str">
        <f aca="false">IF($A119="","",L119-R119)</f>
        <v/>
      </c>
      <c r="W119" s="16" t="str">
        <f aca="false">IF($A119="","",M119-S119)</f>
        <v/>
      </c>
      <c r="X119" s="16" t="str">
        <f aca="false">IF($A119="","",P119-T119)</f>
        <v/>
      </c>
      <c r="Y119" s="16" t="str">
        <f aca="false">IF($A119="","",Q119-U119)</f>
        <v/>
      </c>
      <c r="Z119" s="16" t="str">
        <f aca="false">IF($A119="","",V119+W119+X119)</f>
        <v/>
      </c>
      <c r="AA119" s="16" t="str">
        <f aca="false">IF($A119="","",O119+N(N119)-T119)</f>
        <v/>
      </c>
      <c r="AB119" s="8" t="str">
        <f aca="false">IF($A119="","","CL "&amp;V119&amp;" | SL "&amp;W119&amp;" | PL "&amp;X119&amp;" | TR "&amp;Y119)</f>
        <v/>
      </c>
      <c r="AC119" s="15" t="str">
        <f aca="false">IF($A119="","",IF(F119="Exited","EXITED",IF(AND(ISNUMBER(K119),K119=0),"NOT ELIGIBLE",IF(MIN(V119:X119)&lt;0,"OVER-USED",IF(Z119&lt;=Settings!$C$15,"LOW","OK")))))</f>
        <v/>
      </c>
      <c r="AD119" s="16" t="str">
        <f aca="false">IF(OR(AC119="OVER-USED",AC119="LOW"),COUNTIF(AC$6:AC119,"OVER-USED")+COUNTIF(AC$6:AC119,"LOW"),"")</f>
        <v/>
      </c>
    </row>
    <row r="120" customFormat="false" ht="15" hidden="false" customHeight="false" outlineLevel="0" collapsed="false">
      <c r="A120" s="8" t="str">
        <f aca="false">IF('Employee List'!B120="","",'Employee List'!B120)</f>
        <v/>
      </c>
      <c r="B120" s="8" t="str">
        <f aca="false">IF($A120="","",'Employee List'!C120)</f>
        <v/>
      </c>
      <c r="C120" s="8" t="str">
        <f aca="false">IF($A120="","",'Employee List'!E120&amp;"")</f>
        <v/>
      </c>
      <c r="D120" s="8" t="str">
        <f aca="false">IF($A120="","",'Employee List'!F120&amp;"")</f>
        <v/>
      </c>
      <c r="E120" s="8" t="str">
        <f aca="false">IF($A120="","",'Employee List'!G120&amp;"")</f>
        <v/>
      </c>
      <c r="F120" s="8" t="str">
        <f aca="false">IF($A120="","",'Employee List'!D120)</f>
        <v/>
      </c>
      <c r="G120" s="38" t="str">
        <f aca="false">IF($A120="","",IF('Employee List'!I120="","",'Employee List'!I120))</f>
        <v/>
      </c>
      <c r="H120" s="38" t="str">
        <f aca="false">IF(OR($A120="",G120=""),"",G120+Settings!$C$13)</f>
        <v/>
      </c>
      <c r="I120" s="38" t="str">
        <f aca="false">IF(H120="","",MAX(H120,DATE(LvYear,1,1)))</f>
        <v/>
      </c>
      <c r="J120" s="38" t="str">
        <f aca="false">IF($A120="","",IF('Employee List'!J120="",DATE(LvYear,12,31),MIN('Employee List'!J120,DATE(LvYear,12,31))))</f>
        <v/>
      </c>
      <c r="K120" s="39" t="str">
        <f aca="false">IF(OR(I120="",J120=""),"",MAX(0,J120-I120+1))</f>
        <v/>
      </c>
      <c r="L120" s="16" t="str">
        <f aca="false">IF($A120="","",IF(AND(ISNUMBER(K120),K120=0),0,Settings!$C$10))</f>
        <v/>
      </c>
      <c r="M120" s="16" t="str">
        <f aca="false">IF($A120="","",IF(AND(ISNUMBER(K120),K120=0),0,Settings!$C$11))</f>
        <v/>
      </c>
      <c r="N120" s="40"/>
      <c r="O120" s="16" t="str">
        <f aca="false">IF($A120="","",FLOOR(Settings!$C$12/365*N(K120),0.5))</f>
        <v/>
      </c>
      <c r="P120" s="16" t="str">
        <f aca="false">IF($A120="","",IF(I120="",N(N120),FLOOR(Settings!$C$12/365*MAX(0,MIN(LvAsOf,J120)-I120+1)+N(N120),0.5)))</f>
        <v/>
      </c>
      <c r="Q120" s="16" t="str">
        <f aca="false">IF($A120="","",Settings!$C$14)</f>
        <v/>
      </c>
      <c r="R120" s="16" t="str">
        <f aca="false">IF($A120="","",SUMIFS(Attendance!$AZ$6:$AZ$2405,Attendance!$B$6:$B$2405,$A120,Attendance!$A$6:$A$2405,"&gt;="&amp;DATE(LvYear,1,1),Attendance!$A$6:$A$2405,"&lt;="&amp;DATE(LvYear,12,31)))</f>
        <v/>
      </c>
      <c r="S120" s="16" t="str">
        <f aca="false">IF($A120="","",SUMIFS(Attendance!$AY$6:$AY$2405,Attendance!$B$6:$B$2405,$A120,Attendance!$A$6:$A$2405,"&gt;="&amp;DATE(LvYear,1,1),Attendance!$A$6:$A$2405,"&lt;="&amp;DATE(LvYear,12,31)))</f>
        <v/>
      </c>
      <c r="T120" s="16" t="str">
        <f aca="false">IF($A120="","",SUMIFS(Attendance!$AX$6:$AX$2405,Attendance!$B$6:$B$2405,$A120,Attendance!$A$6:$A$2405,"&gt;="&amp;DATE(LvYear,1,1),Attendance!$A$6:$A$2405,"&lt;="&amp;DATE(LvYear,12,31)))</f>
        <v/>
      </c>
      <c r="U120" s="16" t="str">
        <f aca="false">IF($A120="","",SUMIFS(Attendance!$AW$6:$AW$2405,Attendance!$B$6:$B$2405,$A120,Attendance!$A$6:$A$2405,"&gt;="&amp;DATE(LvYear,1,1),Attendance!$A$6:$A$2405,"&lt;="&amp;DATE(LvYear,12,31)))</f>
        <v/>
      </c>
      <c r="V120" s="16" t="str">
        <f aca="false">IF($A120="","",L120-R120)</f>
        <v/>
      </c>
      <c r="W120" s="16" t="str">
        <f aca="false">IF($A120="","",M120-S120)</f>
        <v/>
      </c>
      <c r="X120" s="16" t="str">
        <f aca="false">IF($A120="","",P120-T120)</f>
        <v/>
      </c>
      <c r="Y120" s="16" t="str">
        <f aca="false">IF($A120="","",Q120-U120)</f>
        <v/>
      </c>
      <c r="Z120" s="16" t="str">
        <f aca="false">IF($A120="","",V120+W120+X120)</f>
        <v/>
      </c>
      <c r="AA120" s="16" t="str">
        <f aca="false">IF($A120="","",O120+N(N120)-T120)</f>
        <v/>
      </c>
      <c r="AB120" s="8" t="str">
        <f aca="false">IF($A120="","","CL "&amp;V120&amp;" | SL "&amp;W120&amp;" | PL "&amp;X120&amp;" | TR "&amp;Y120)</f>
        <v/>
      </c>
      <c r="AC120" s="15" t="str">
        <f aca="false">IF($A120="","",IF(F120="Exited","EXITED",IF(AND(ISNUMBER(K120),K120=0),"NOT ELIGIBLE",IF(MIN(V120:X120)&lt;0,"OVER-USED",IF(Z120&lt;=Settings!$C$15,"LOW","OK")))))</f>
        <v/>
      </c>
      <c r="AD120" s="16" t="str">
        <f aca="false">IF(OR(AC120="OVER-USED",AC120="LOW"),COUNTIF(AC$6:AC120,"OVER-USED")+COUNTIF(AC$6:AC120,"LOW"),"")</f>
        <v/>
      </c>
    </row>
    <row r="121" customFormat="false" ht="15" hidden="false" customHeight="false" outlineLevel="0" collapsed="false">
      <c r="A121" s="8" t="str">
        <f aca="false">IF('Employee List'!B121="","",'Employee List'!B121)</f>
        <v/>
      </c>
      <c r="B121" s="8" t="str">
        <f aca="false">IF($A121="","",'Employee List'!C121)</f>
        <v/>
      </c>
      <c r="C121" s="8" t="str">
        <f aca="false">IF($A121="","",'Employee List'!E121&amp;"")</f>
        <v/>
      </c>
      <c r="D121" s="8" t="str">
        <f aca="false">IF($A121="","",'Employee List'!F121&amp;"")</f>
        <v/>
      </c>
      <c r="E121" s="8" t="str">
        <f aca="false">IF($A121="","",'Employee List'!G121&amp;"")</f>
        <v/>
      </c>
      <c r="F121" s="8" t="str">
        <f aca="false">IF($A121="","",'Employee List'!D121)</f>
        <v/>
      </c>
      <c r="G121" s="38" t="str">
        <f aca="false">IF($A121="","",IF('Employee List'!I121="","",'Employee List'!I121))</f>
        <v/>
      </c>
      <c r="H121" s="38" t="str">
        <f aca="false">IF(OR($A121="",G121=""),"",G121+Settings!$C$13)</f>
        <v/>
      </c>
      <c r="I121" s="38" t="str">
        <f aca="false">IF(H121="","",MAX(H121,DATE(LvYear,1,1)))</f>
        <v/>
      </c>
      <c r="J121" s="38" t="str">
        <f aca="false">IF($A121="","",IF('Employee List'!J121="",DATE(LvYear,12,31),MIN('Employee List'!J121,DATE(LvYear,12,31))))</f>
        <v/>
      </c>
      <c r="K121" s="39" t="str">
        <f aca="false">IF(OR(I121="",J121=""),"",MAX(0,J121-I121+1))</f>
        <v/>
      </c>
      <c r="L121" s="16" t="str">
        <f aca="false">IF($A121="","",IF(AND(ISNUMBER(K121),K121=0),0,Settings!$C$10))</f>
        <v/>
      </c>
      <c r="M121" s="16" t="str">
        <f aca="false">IF($A121="","",IF(AND(ISNUMBER(K121),K121=0),0,Settings!$C$11))</f>
        <v/>
      </c>
      <c r="N121" s="40"/>
      <c r="O121" s="16" t="str">
        <f aca="false">IF($A121="","",FLOOR(Settings!$C$12/365*N(K121),0.5))</f>
        <v/>
      </c>
      <c r="P121" s="16" t="str">
        <f aca="false">IF($A121="","",IF(I121="",N(N121),FLOOR(Settings!$C$12/365*MAX(0,MIN(LvAsOf,J121)-I121+1)+N(N121),0.5)))</f>
        <v/>
      </c>
      <c r="Q121" s="16" t="str">
        <f aca="false">IF($A121="","",Settings!$C$14)</f>
        <v/>
      </c>
      <c r="R121" s="16" t="str">
        <f aca="false">IF($A121="","",SUMIFS(Attendance!$AZ$6:$AZ$2405,Attendance!$B$6:$B$2405,$A121,Attendance!$A$6:$A$2405,"&gt;="&amp;DATE(LvYear,1,1),Attendance!$A$6:$A$2405,"&lt;="&amp;DATE(LvYear,12,31)))</f>
        <v/>
      </c>
      <c r="S121" s="16" t="str">
        <f aca="false">IF($A121="","",SUMIFS(Attendance!$AY$6:$AY$2405,Attendance!$B$6:$B$2405,$A121,Attendance!$A$6:$A$2405,"&gt;="&amp;DATE(LvYear,1,1),Attendance!$A$6:$A$2405,"&lt;="&amp;DATE(LvYear,12,31)))</f>
        <v/>
      </c>
      <c r="T121" s="16" t="str">
        <f aca="false">IF($A121="","",SUMIFS(Attendance!$AX$6:$AX$2405,Attendance!$B$6:$B$2405,$A121,Attendance!$A$6:$A$2405,"&gt;="&amp;DATE(LvYear,1,1),Attendance!$A$6:$A$2405,"&lt;="&amp;DATE(LvYear,12,31)))</f>
        <v/>
      </c>
      <c r="U121" s="16" t="str">
        <f aca="false">IF($A121="","",SUMIFS(Attendance!$AW$6:$AW$2405,Attendance!$B$6:$B$2405,$A121,Attendance!$A$6:$A$2405,"&gt;="&amp;DATE(LvYear,1,1),Attendance!$A$6:$A$2405,"&lt;="&amp;DATE(LvYear,12,31)))</f>
        <v/>
      </c>
      <c r="V121" s="16" t="str">
        <f aca="false">IF($A121="","",L121-R121)</f>
        <v/>
      </c>
      <c r="W121" s="16" t="str">
        <f aca="false">IF($A121="","",M121-S121)</f>
        <v/>
      </c>
      <c r="X121" s="16" t="str">
        <f aca="false">IF($A121="","",P121-T121)</f>
        <v/>
      </c>
      <c r="Y121" s="16" t="str">
        <f aca="false">IF($A121="","",Q121-U121)</f>
        <v/>
      </c>
      <c r="Z121" s="16" t="str">
        <f aca="false">IF($A121="","",V121+W121+X121)</f>
        <v/>
      </c>
      <c r="AA121" s="16" t="str">
        <f aca="false">IF($A121="","",O121+N(N121)-T121)</f>
        <v/>
      </c>
      <c r="AB121" s="8" t="str">
        <f aca="false">IF($A121="","","CL "&amp;V121&amp;" | SL "&amp;W121&amp;" | PL "&amp;X121&amp;" | TR "&amp;Y121)</f>
        <v/>
      </c>
      <c r="AC121" s="15" t="str">
        <f aca="false">IF($A121="","",IF(F121="Exited","EXITED",IF(AND(ISNUMBER(K121),K121=0),"NOT ELIGIBLE",IF(MIN(V121:X121)&lt;0,"OVER-USED",IF(Z121&lt;=Settings!$C$15,"LOW","OK")))))</f>
        <v/>
      </c>
      <c r="AD121" s="16" t="str">
        <f aca="false">IF(OR(AC121="OVER-USED",AC121="LOW"),COUNTIF(AC$6:AC121,"OVER-USED")+COUNTIF(AC$6:AC121,"LOW"),"")</f>
        <v/>
      </c>
    </row>
    <row r="122" customFormat="false" ht="15" hidden="false" customHeight="false" outlineLevel="0" collapsed="false">
      <c r="A122" s="8" t="str">
        <f aca="false">IF('Employee List'!B122="","",'Employee List'!B122)</f>
        <v/>
      </c>
      <c r="B122" s="8" t="str">
        <f aca="false">IF($A122="","",'Employee List'!C122)</f>
        <v/>
      </c>
      <c r="C122" s="8" t="str">
        <f aca="false">IF($A122="","",'Employee List'!E122&amp;"")</f>
        <v/>
      </c>
      <c r="D122" s="8" t="str">
        <f aca="false">IF($A122="","",'Employee List'!F122&amp;"")</f>
        <v/>
      </c>
      <c r="E122" s="8" t="str">
        <f aca="false">IF($A122="","",'Employee List'!G122&amp;"")</f>
        <v/>
      </c>
      <c r="F122" s="8" t="str">
        <f aca="false">IF($A122="","",'Employee List'!D122)</f>
        <v/>
      </c>
      <c r="G122" s="38" t="str">
        <f aca="false">IF($A122="","",IF('Employee List'!I122="","",'Employee List'!I122))</f>
        <v/>
      </c>
      <c r="H122" s="38" t="str">
        <f aca="false">IF(OR($A122="",G122=""),"",G122+Settings!$C$13)</f>
        <v/>
      </c>
      <c r="I122" s="38" t="str">
        <f aca="false">IF(H122="","",MAX(H122,DATE(LvYear,1,1)))</f>
        <v/>
      </c>
      <c r="J122" s="38" t="str">
        <f aca="false">IF($A122="","",IF('Employee List'!J122="",DATE(LvYear,12,31),MIN('Employee List'!J122,DATE(LvYear,12,31))))</f>
        <v/>
      </c>
      <c r="K122" s="39" t="str">
        <f aca="false">IF(OR(I122="",J122=""),"",MAX(0,J122-I122+1))</f>
        <v/>
      </c>
      <c r="L122" s="16" t="str">
        <f aca="false">IF($A122="","",IF(AND(ISNUMBER(K122),K122=0),0,Settings!$C$10))</f>
        <v/>
      </c>
      <c r="M122" s="16" t="str">
        <f aca="false">IF($A122="","",IF(AND(ISNUMBER(K122),K122=0),0,Settings!$C$11))</f>
        <v/>
      </c>
      <c r="N122" s="40"/>
      <c r="O122" s="16" t="str">
        <f aca="false">IF($A122="","",FLOOR(Settings!$C$12/365*N(K122),0.5))</f>
        <v/>
      </c>
      <c r="P122" s="16" t="str">
        <f aca="false">IF($A122="","",IF(I122="",N(N122),FLOOR(Settings!$C$12/365*MAX(0,MIN(LvAsOf,J122)-I122+1)+N(N122),0.5)))</f>
        <v/>
      </c>
      <c r="Q122" s="16" t="str">
        <f aca="false">IF($A122="","",Settings!$C$14)</f>
        <v/>
      </c>
      <c r="R122" s="16" t="str">
        <f aca="false">IF($A122="","",SUMIFS(Attendance!$AZ$6:$AZ$2405,Attendance!$B$6:$B$2405,$A122,Attendance!$A$6:$A$2405,"&gt;="&amp;DATE(LvYear,1,1),Attendance!$A$6:$A$2405,"&lt;="&amp;DATE(LvYear,12,31)))</f>
        <v/>
      </c>
      <c r="S122" s="16" t="str">
        <f aca="false">IF($A122="","",SUMIFS(Attendance!$AY$6:$AY$2405,Attendance!$B$6:$B$2405,$A122,Attendance!$A$6:$A$2405,"&gt;="&amp;DATE(LvYear,1,1),Attendance!$A$6:$A$2405,"&lt;="&amp;DATE(LvYear,12,31)))</f>
        <v/>
      </c>
      <c r="T122" s="16" t="str">
        <f aca="false">IF($A122="","",SUMIFS(Attendance!$AX$6:$AX$2405,Attendance!$B$6:$B$2405,$A122,Attendance!$A$6:$A$2405,"&gt;="&amp;DATE(LvYear,1,1),Attendance!$A$6:$A$2405,"&lt;="&amp;DATE(LvYear,12,31)))</f>
        <v/>
      </c>
      <c r="U122" s="16" t="str">
        <f aca="false">IF($A122="","",SUMIFS(Attendance!$AW$6:$AW$2405,Attendance!$B$6:$B$2405,$A122,Attendance!$A$6:$A$2405,"&gt;="&amp;DATE(LvYear,1,1),Attendance!$A$6:$A$2405,"&lt;="&amp;DATE(LvYear,12,31)))</f>
        <v/>
      </c>
      <c r="V122" s="16" t="str">
        <f aca="false">IF($A122="","",L122-R122)</f>
        <v/>
      </c>
      <c r="W122" s="16" t="str">
        <f aca="false">IF($A122="","",M122-S122)</f>
        <v/>
      </c>
      <c r="X122" s="16" t="str">
        <f aca="false">IF($A122="","",P122-T122)</f>
        <v/>
      </c>
      <c r="Y122" s="16" t="str">
        <f aca="false">IF($A122="","",Q122-U122)</f>
        <v/>
      </c>
      <c r="Z122" s="16" t="str">
        <f aca="false">IF($A122="","",V122+W122+X122)</f>
        <v/>
      </c>
      <c r="AA122" s="16" t="str">
        <f aca="false">IF($A122="","",O122+N(N122)-T122)</f>
        <v/>
      </c>
      <c r="AB122" s="8" t="str">
        <f aca="false">IF($A122="","","CL "&amp;V122&amp;" | SL "&amp;W122&amp;" | PL "&amp;X122&amp;" | TR "&amp;Y122)</f>
        <v/>
      </c>
      <c r="AC122" s="15" t="str">
        <f aca="false">IF($A122="","",IF(F122="Exited","EXITED",IF(AND(ISNUMBER(K122),K122=0),"NOT ELIGIBLE",IF(MIN(V122:X122)&lt;0,"OVER-USED",IF(Z122&lt;=Settings!$C$15,"LOW","OK")))))</f>
        <v/>
      </c>
      <c r="AD122" s="16" t="str">
        <f aca="false">IF(OR(AC122="OVER-USED",AC122="LOW"),COUNTIF(AC$6:AC122,"OVER-USED")+COUNTIF(AC$6:AC122,"LOW"),"")</f>
        <v/>
      </c>
    </row>
    <row r="123" customFormat="false" ht="15" hidden="false" customHeight="false" outlineLevel="0" collapsed="false">
      <c r="A123" s="8" t="str">
        <f aca="false">IF('Employee List'!B123="","",'Employee List'!B123)</f>
        <v/>
      </c>
      <c r="B123" s="8" t="str">
        <f aca="false">IF($A123="","",'Employee List'!C123)</f>
        <v/>
      </c>
      <c r="C123" s="8" t="str">
        <f aca="false">IF($A123="","",'Employee List'!E123&amp;"")</f>
        <v/>
      </c>
      <c r="D123" s="8" t="str">
        <f aca="false">IF($A123="","",'Employee List'!F123&amp;"")</f>
        <v/>
      </c>
      <c r="E123" s="8" t="str">
        <f aca="false">IF($A123="","",'Employee List'!G123&amp;"")</f>
        <v/>
      </c>
      <c r="F123" s="8" t="str">
        <f aca="false">IF($A123="","",'Employee List'!D123)</f>
        <v/>
      </c>
      <c r="G123" s="38" t="str">
        <f aca="false">IF($A123="","",IF('Employee List'!I123="","",'Employee List'!I123))</f>
        <v/>
      </c>
      <c r="H123" s="38" t="str">
        <f aca="false">IF(OR($A123="",G123=""),"",G123+Settings!$C$13)</f>
        <v/>
      </c>
      <c r="I123" s="38" t="str">
        <f aca="false">IF(H123="","",MAX(H123,DATE(LvYear,1,1)))</f>
        <v/>
      </c>
      <c r="J123" s="38" t="str">
        <f aca="false">IF($A123="","",IF('Employee List'!J123="",DATE(LvYear,12,31),MIN('Employee List'!J123,DATE(LvYear,12,31))))</f>
        <v/>
      </c>
      <c r="K123" s="39" t="str">
        <f aca="false">IF(OR(I123="",J123=""),"",MAX(0,J123-I123+1))</f>
        <v/>
      </c>
      <c r="L123" s="16" t="str">
        <f aca="false">IF($A123="","",IF(AND(ISNUMBER(K123),K123=0),0,Settings!$C$10))</f>
        <v/>
      </c>
      <c r="M123" s="16" t="str">
        <f aca="false">IF($A123="","",IF(AND(ISNUMBER(K123),K123=0),0,Settings!$C$11))</f>
        <v/>
      </c>
      <c r="N123" s="40"/>
      <c r="O123" s="16" t="str">
        <f aca="false">IF($A123="","",FLOOR(Settings!$C$12/365*N(K123),0.5))</f>
        <v/>
      </c>
      <c r="P123" s="16" t="str">
        <f aca="false">IF($A123="","",IF(I123="",N(N123),FLOOR(Settings!$C$12/365*MAX(0,MIN(LvAsOf,J123)-I123+1)+N(N123),0.5)))</f>
        <v/>
      </c>
      <c r="Q123" s="16" t="str">
        <f aca="false">IF($A123="","",Settings!$C$14)</f>
        <v/>
      </c>
      <c r="R123" s="16" t="str">
        <f aca="false">IF($A123="","",SUMIFS(Attendance!$AZ$6:$AZ$2405,Attendance!$B$6:$B$2405,$A123,Attendance!$A$6:$A$2405,"&gt;="&amp;DATE(LvYear,1,1),Attendance!$A$6:$A$2405,"&lt;="&amp;DATE(LvYear,12,31)))</f>
        <v/>
      </c>
      <c r="S123" s="16" t="str">
        <f aca="false">IF($A123="","",SUMIFS(Attendance!$AY$6:$AY$2405,Attendance!$B$6:$B$2405,$A123,Attendance!$A$6:$A$2405,"&gt;="&amp;DATE(LvYear,1,1),Attendance!$A$6:$A$2405,"&lt;="&amp;DATE(LvYear,12,31)))</f>
        <v/>
      </c>
      <c r="T123" s="16" t="str">
        <f aca="false">IF($A123="","",SUMIFS(Attendance!$AX$6:$AX$2405,Attendance!$B$6:$B$2405,$A123,Attendance!$A$6:$A$2405,"&gt;="&amp;DATE(LvYear,1,1),Attendance!$A$6:$A$2405,"&lt;="&amp;DATE(LvYear,12,31)))</f>
        <v/>
      </c>
      <c r="U123" s="16" t="str">
        <f aca="false">IF($A123="","",SUMIFS(Attendance!$AW$6:$AW$2405,Attendance!$B$6:$B$2405,$A123,Attendance!$A$6:$A$2405,"&gt;="&amp;DATE(LvYear,1,1),Attendance!$A$6:$A$2405,"&lt;="&amp;DATE(LvYear,12,31)))</f>
        <v/>
      </c>
      <c r="V123" s="16" t="str">
        <f aca="false">IF($A123="","",L123-R123)</f>
        <v/>
      </c>
      <c r="W123" s="16" t="str">
        <f aca="false">IF($A123="","",M123-S123)</f>
        <v/>
      </c>
      <c r="X123" s="16" t="str">
        <f aca="false">IF($A123="","",P123-T123)</f>
        <v/>
      </c>
      <c r="Y123" s="16" t="str">
        <f aca="false">IF($A123="","",Q123-U123)</f>
        <v/>
      </c>
      <c r="Z123" s="16" t="str">
        <f aca="false">IF($A123="","",V123+W123+X123)</f>
        <v/>
      </c>
      <c r="AA123" s="16" t="str">
        <f aca="false">IF($A123="","",O123+N(N123)-T123)</f>
        <v/>
      </c>
      <c r="AB123" s="8" t="str">
        <f aca="false">IF($A123="","","CL "&amp;V123&amp;" | SL "&amp;W123&amp;" | PL "&amp;X123&amp;" | TR "&amp;Y123)</f>
        <v/>
      </c>
      <c r="AC123" s="15" t="str">
        <f aca="false">IF($A123="","",IF(F123="Exited","EXITED",IF(AND(ISNUMBER(K123),K123=0),"NOT ELIGIBLE",IF(MIN(V123:X123)&lt;0,"OVER-USED",IF(Z123&lt;=Settings!$C$15,"LOW","OK")))))</f>
        <v/>
      </c>
      <c r="AD123" s="16" t="str">
        <f aca="false">IF(OR(AC123="OVER-USED",AC123="LOW"),COUNTIF(AC$6:AC123,"OVER-USED")+COUNTIF(AC$6:AC123,"LOW"),"")</f>
        <v/>
      </c>
    </row>
    <row r="124" customFormat="false" ht="15" hidden="false" customHeight="false" outlineLevel="0" collapsed="false">
      <c r="A124" s="8" t="str">
        <f aca="false">IF('Employee List'!B124="","",'Employee List'!B124)</f>
        <v/>
      </c>
      <c r="B124" s="8" t="str">
        <f aca="false">IF($A124="","",'Employee List'!C124)</f>
        <v/>
      </c>
      <c r="C124" s="8" t="str">
        <f aca="false">IF($A124="","",'Employee List'!E124&amp;"")</f>
        <v/>
      </c>
      <c r="D124" s="8" t="str">
        <f aca="false">IF($A124="","",'Employee List'!F124&amp;"")</f>
        <v/>
      </c>
      <c r="E124" s="8" t="str">
        <f aca="false">IF($A124="","",'Employee List'!G124&amp;"")</f>
        <v/>
      </c>
      <c r="F124" s="8" t="str">
        <f aca="false">IF($A124="","",'Employee List'!D124)</f>
        <v/>
      </c>
      <c r="G124" s="38" t="str">
        <f aca="false">IF($A124="","",IF('Employee List'!I124="","",'Employee List'!I124))</f>
        <v/>
      </c>
      <c r="H124" s="38" t="str">
        <f aca="false">IF(OR($A124="",G124=""),"",G124+Settings!$C$13)</f>
        <v/>
      </c>
      <c r="I124" s="38" t="str">
        <f aca="false">IF(H124="","",MAX(H124,DATE(LvYear,1,1)))</f>
        <v/>
      </c>
      <c r="J124" s="38" t="str">
        <f aca="false">IF($A124="","",IF('Employee List'!J124="",DATE(LvYear,12,31),MIN('Employee List'!J124,DATE(LvYear,12,31))))</f>
        <v/>
      </c>
      <c r="K124" s="39" t="str">
        <f aca="false">IF(OR(I124="",J124=""),"",MAX(0,J124-I124+1))</f>
        <v/>
      </c>
      <c r="L124" s="16" t="str">
        <f aca="false">IF($A124="","",IF(AND(ISNUMBER(K124),K124=0),0,Settings!$C$10))</f>
        <v/>
      </c>
      <c r="M124" s="16" t="str">
        <f aca="false">IF($A124="","",IF(AND(ISNUMBER(K124),K124=0),0,Settings!$C$11))</f>
        <v/>
      </c>
      <c r="N124" s="40"/>
      <c r="O124" s="16" t="str">
        <f aca="false">IF($A124="","",FLOOR(Settings!$C$12/365*N(K124),0.5))</f>
        <v/>
      </c>
      <c r="P124" s="16" t="str">
        <f aca="false">IF($A124="","",IF(I124="",N(N124),FLOOR(Settings!$C$12/365*MAX(0,MIN(LvAsOf,J124)-I124+1)+N(N124),0.5)))</f>
        <v/>
      </c>
      <c r="Q124" s="16" t="str">
        <f aca="false">IF($A124="","",Settings!$C$14)</f>
        <v/>
      </c>
      <c r="R124" s="16" t="str">
        <f aca="false">IF($A124="","",SUMIFS(Attendance!$AZ$6:$AZ$2405,Attendance!$B$6:$B$2405,$A124,Attendance!$A$6:$A$2405,"&gt;="&amp;DATE(LvYear,1,1),Attendance!$A$6:$A$2405,"&lt;="&amp;DATE(LvYear,12,31)))</f>
        <v/>
      </c>
      <c r="S124" s="16" t="str">
        <f aca="false">IF($A124="","",SUMIFS(Attendance!$AY$6:$AY$2405,Attendance!$B$6:$B$2405,$A124,Attendance!$A$6:$A$2405,"&gt;="&amp;DATE(LvYear,1,1),Attendance!$A$6:$A$2405,"&lt;="&amp;DATE(LvYear,12,31)))</f>
        <v/>
      </c>
      <c r="T124" s="16" t="str">
        <f aca="false">IF($A124="","",SUMIFS(Attendance!$AX$6:$AX$2405,Attendance!$B$6:$B$2405,$A124,Attendance!$A$6:$A$2405,"&gt;="&amp;DATE(LvYear,1,1),Attendance!$A$6:$A$2405,"&lt;="&amp;DATE(LvYear,12,31)))</f>
        <v/>
      </c>
      <c r="U124" s="16" t="str">
        <f aca="false">IF($A124="","",SUMIFS(Attendance!$AW$6:$AW$2405,Attendance!$B$6:$B$2405,$A124,Attendance!$A$6:$A$2405,"&gt;="&amp;DATE(LvYear,1,1),Attendance!$A$6:$A$2405,"&lt;="&amp;DATE(LvYear,12,31)))</f>
        <v/>
      </c>
      <c r="V124" s="16" t="str">
        <f aca="false">IF($A124="","",L124-R124)</f>
        <v/>
      </c>
      <c r="W124" s="16" t="str">
        <f aca="false">IF($A124="","",M124-S124)</f>
        <v/>
      </c>
      <c r="X124" s="16" t="str">
        <f aca="false">IF($A124="","",P124-T124)</f>
        <v/>
      </c>
      <c r="Y124" s="16" t="str">
        <f aca="false">IF($A124="","",Q124-U124)</f>
        <v/>
      </c>
      <c r="Z124" s="16" t="str">
        <f aca="false">IF($A124="","",V124+W124+X124)</f>
        <v/>
      </c>
      <c r="AA124" s="16" t="str">
        <f aca="false">IF($A124="","",O124+N(N124)-T124)</f>
        <v/>
      </c>
      <c r="AB124" s="8" t="str">
        <f aca="false">IF($A124="","","CL "&amp;V124&amp;" | SL "&amp;W124&amp;" | PL "&amp;X124&amp;" | TR "&amp;Y124)</f>
        <v/>
      </c>
      <c r="AC124" s="15" t="str">
        <f aca="false">IF($A124="","",IF(F124="Exited","EXITED",IF(AND(ISNUMBER(K124),K124=0),"NOT ELIGIBLE",IF(MIN(V124:X124)&lt;0,"OVER-USED",IF(Z124&lt;=Settings!$C$15,"LOW","OK")))))</f>
        <v/>
      </c>
      <c r="AD124" s="16" t="str">
        <f aca="false">IF(OR(AC124="OVER-USED",AC124="LOW"),COUNTIF(AC$6:AC124,"OVER-USED")+COUNTIF(AC$6:AC124,"LOW"),"")</f>
        <v/>
      </c>
    </row>
    <row r="125" customFormat="false" ht="15" hidden="false" customHeight="false" outlineLevel="0" collapsed="false">
      <c r="A125" s="8" t="str">
        <f aca="false">IF('Employee List'!B125="","",'Employee List'!B125)</f>
        <v/>
      </c>
      <c r="B125" s="8" t="str">
        <f aca="false">IF($A125="","",'Employee List'!C125)</f>
        <v/>
      </c>
      <c r="C125" s="8" t="str">
        <f aca="false">IF($A125="","",'Employee List'!E125&amp;"")</f>
        <v/>
      </c>
      <c r="D125" s="8" t="str">
        <f aca="false">IF($A125="","",'Employee List'!F125&amp;"")</f>
        <v/>
      </c>
      <c r="E125" s="8" t="str">
        <f aca="false">IF($A125="","",'Employee List'!G125&amp;"")</f>
        <v/>
      </c>
      <c r="F125" s="8" t="str">
        <f aca="false">IF($A125="","",'Employee List'!D125)</f>
        <v/>
      </c>
      <c r="G125" s="38" t="str">
        <f aca="false">IF($A125="","",IF('Employee List'!I125="","",'Employee List'!I125))</f>
        <v/>
      </c>
      <c r="H125" s="38" t="str">
        <f aca="false">IF(OR($A125="",G125=""),"",G125+Settings!$C$13)</f>
        <v/>
      </c>
      <c r="I125" s="38" t="str">
        <f aca="false">IF(H125="","",MAX(H125,DATE(LvYear,1,1)))</f>
        <v/>
      </c>
      <c r="J125" s="38" t="str">
        <f aca="false">IF($A125="","",IF('Employee List'!J125="",DATE(LvYear,12,31),MIN('Employee List'!J125,DATE(LvYear,12,31))))</f>
        <v/>
      </c>
      <c r="K125" s="39" t="str">
        <f aca="false">IF(OR(I125="",J125=""),"",MAX(0,J125-I125+1))</f>
        <v/>
      </c>
      <c r="L125" s="16" t="str">
        <f aca="false">IF($A125="","",IF(AND(ISNUMBER(K125),K125=0),0,Settings!$C$10))</f>
        <v/>
      </c>
      <c r="M125" s="16" t="str">
        <f aca="false">IF($A125="","",IF(AND(ISNUMBER(K125),K125=0),0,Settings!$C$11))</f>
        <v/>
      </c>
      <c r="N125" s="40"/>
      <c r="O125" s="16" t="str">
        <f aca="false">IF($A125="","",FLOOR(Settings!$C$12/365*N(K125),0.5))</f>
        <v/>
      </c>
      <c r="P125" s="16" t="str">
        <f aca="false">IF($A125="","",IF(I125="",N(N125),FLOOR(Settings!$C$12/365*MAX(0,MIN(LvAsOf,J125)-I125+1)+N(N125),0.5)))</f>
        <v/>
      </c>
      <c r="Q125" s="16" t="str">
        <f aca="false">IF($A125="","",Settings!$C$14)</f>
        <v/>
      </c>
      <c r="R125" s="16" t="str">
        <f aca="false">IF($A125="","",SUMIFS(Attendance!$AZ$6:$AZ$2405,Attendance!$B$6:$B$2405,$A125,Attendance!$A$6:$A$2405,"&gt;="&amp;DATE(LvYear,1,1),Attendance!$A$6:$A$2405,"&lt;="&amp;DATE(LvYear,12,31)))</f>
        <v/>
      </c>
      <c r="S125" s="16" t="str">
        <f aca="false">IF($A125="","",SUMIFS(Attendance!$AY$6:$AY$2405,Attendance!$B$6:$B$2405,$A125,Attendance!$A$6:$A$2405,"&gt;="&amp;DATE(LvYear,1,1),Attendance!$A$6:$A$2405,"&lt;="&amp;DATE(LvYear,12,31)))</f>
        <v/>
      </c>
      <c r="T125" s="16" t="str">
        <f aca="false">IF($A125="","",SUMIFS(Attendance!$AX$6:$AX$2405,Attendance!$B$6:$B$2405,$A125,Attendance!$A$6:$A$2405,"&gt;="&amp;DATE(LvYear,1,1),Attendance!$A$6:$A$2405,"&lt;="&amp;DATE(LvYear,12,31)))</f>
        <v/>
      </c>
      <c r="U125" s="16" t="str">
        <f aca="false">IF($A125="","",SUMIFS(Attendance!$AW$6:$AW$2405,Attendance!$B$6:$B$2405,$A125,Attendance!$A$6:$A$2405,"&gt;="&amp;DATE(LvYear,1,1),Attendance!$A$6:$A$2405,"&lt;="&amp;DATE(LvYear,12,31)))</f>
        <v/>
      </c>
      <c r="V125" s="16" t="str">
        <f aca="false">IF($A125="","",L125-R125)</f>
        <v/>
      </c>
      <c r="W125" s="16" t="str">
        <f aca="false">IF($A125="","",M125-S125)</f>
        <v/>
      </c>
      <c r="X125" s="16" t="str">
        <f aca="false">IF($A125="","",P125-T125)</f>
        <v/>
      </c>
      <c r="Y125" s="16" t="str">
        <f aca="false">IF($A125="","",Q125-U125)</f>
        <v/>
      </c>
      <c r="Z125" s="16" t="str">
        <f aca="false">IF($A125="","",V125+W125+X125)</f>
        <v/>
      </c>
      <c r="AA125" s="16" t="str">
        <f aca="false">IF($A125="","",O125+N(N125)-T125)</f>
        <v/>
      </c>
      <c r="AB125" s="8" t="str">
        <f aca="false">IF($A125="","","CL "&amp;V125&amp;" | SL "&amp;W125&amp;" | PL "&amp;X125&amp;" | TR "&amp;Y125)</f>
        <v/>
      </c>
      <c r="AC125" s="15" t="str">
        <f aca="false">IF($A125="","",IF(F125="Exited","EXITED",IF(AND(ISNUMBER(K125),K125=0),"NOT ELIGIBLE",IF(MIN(V125:X125)&lt;0,"OVER-USED",IF(Z125&lt;=Settings!$C$15,"LOW","OK")))))</f>
        <v/>
      </c>
      <c r="AD125" s="16" t="str">
        <f aca="false">IF(OR(AC125="OVER-USED",AC125="LOW"),COUNTIF(AC$6:AC125,"OVER-USED")+COUNTIF(AC$6:AC125,"LOW"),"")</f>
        <v/>
      </c>
    </row>
    <row r="126" customFormat="false" ht="15" hidden="false" customHeight="false" outlineLevel="0" collapsed="false">
      <c r="A126" s="8" t="str">
        <f aca="false">IF('Employee List'!B126="","",'Employee List'!B126)</f>
        <v/>
      </c>
      <c r="B126" s="8" t="str">
        <f aca="false">IF($A126="","",'Employee List'!C126)</f>
        <v/>
      </c>
      <c r="C126" s="8" t="str">
        <f aca="false">IF($A126="","",'Employee List'!E126&amp;"")</f>
        <v/>
      </c>
      <c r="D126" s="8" t="str">
        <f aca="false">IF($A126="","",'Employee List'!F126&amp;"")</f>
        <v/>
      </c>
      <c r="E126" s="8" t="str">
        <f aca="false">IF($A126="","",'Employee List'!G126&amp;"")</f>
        <v/>
      </c>
      <c r="F126" s="8" t="str">
        <f aca="false">IF($A126="","",'Employee List'!D126)</f>
        <v/>
      </c>
      <c r="G126" s="38" t="str">
        <f aca="false">IF($A126="","",IF('Employee List'!I126="","",'Employee List'!I126))</f>
        <v/>
      </c>
      <c r="H126" s="38" t="str">
        <f aca="false">IF(OR($A126="",G126=""),"",G126+Settings!$C$13)</f>
        <v/>
      </c>
      <c r="I126" s="38" t="str">
        <f aca="false">IF(H126="","",MAX(H126,DATE(LvYear,1,1)))</f>
        <v/>
      </c>
      <c r="J126" s="38" t="str">
        <f aca="false">IF($A126="","",IF('Employee List'!J126="",DATE(LvYear,12,31),MIN('Employee List'!J126,DATE(LvYear,12,31))))</f>
        <v/>
      </c>
      <c r="K126" s="39" t="str">
        <f aca="false">IF(OR(I126="",J126=""),"",MAX(0,J126-I126+1))</f>
        <v/>
      </c>
      <c r="L126" s="16" t="str">
        <f aca="false">IF($A126="","",IF(AND(ISNUMBER(K126),K126=0),0,Settings!$C$10))</f>
        <v/>
      </c>
      <c r="M126" s="16" t="str">
        <f aca="false">IF($A126="","",IF(AND(ISNUMBER(K126),K126=0),0,Settings!$C$11))</f>
        <v/>
      </c>
      <c r="N126" s="40"/>
      <c r="O126" s="16" t="str">
        <f aca="false">IF($A126="","",FLOOR(Settings!$C$12/365*N(K126),0.5))</f>
        <v/>
      </c>
      <c r="P126" s="16" t="str">
        <f aca="false">IF($A126="","",IF(I126="",N(N126),FLOOR(Settings!$C$12/365*MAX(0,MIN(LvAsOf,J126)-I126+1)+N(N126),0.5)))</f>
        <v/>
      </c>
      <c r="Q126" s="16" t="str">
        <f aca="false">IF($A126="","",Settings!$C$14)</f>
        <v/>
      </c>
      <c r="R126" s="16" t="str">
        <f aca="false">IF($A126="","",SUMIFS(Attendance!$AZ$6:$AZ$2405,Attendance!$B$6:$B$2405,$A126,Attendance!$A$6:$A$2405,"&gt;="&amp;DATE(LvYear,1,1),Attendance!$A$6:$A$2405,"&lt;="&amp;DATE(LvYear,12,31)))</f>
        <v/>
      </c>
      <c r="S126" s="16" t="str">
        <f aca="false">IF($A126="","",SUMIFS(Attendance!$AY$6:$AY$2405,Attendance!$B$6:$B$2405,$A126,Attendance!$A$6:$A$2405,"&gt;="&amp;DATE(LvYear,1,1),Attendance!$A$6:$A$2405,"&lt;="&amp;DATE(LvYear,12,31)))</f>
        <v/>
      </c>
      <c r="T126" s="16" t="str">
        <f aca="false">IF($A126="","",SUMIFS(Attendance!$AX$6:$AX$2405,Attendance!$B$6:$B$2405,$A126,Attendance!$A$6:$A$2405,"&gt;="&amp;DATE(LvYear,1,1),Attendance!$A$6:$A$2405,"&lt;="&amp;DATE(LvYear,12,31)))</f>
        <v/>
      </c>
      <c r="U126" s="16" t="str">
        <f aca="false">IF($A126="","",SUMIFS(Attendance!$AW$6:$AW$2405,Attendance!$B$6:$B$2405,$A126,Attendance!$A$6:$A$2405,"&gt;="&amp;DATE(LvYear,1,1),Attendance!$A$6:$A$2405,"&lt;="&amp;DATE(LvYear,12,31)))</f>
        <v/>
      </c>
      <c r="V126" s="16" t="str">
        <f aca="false">IF($A126="","",L126-R126)</f>
        <v/>
      </c>
      <c r="W126" s="16" t="str">
        <f aca="false">IF($A126="","",M126-S126)</f>
        <v/>
      </c>
      <c r="X126" s="16" t="str">
        <f aca="false">IF($A126="","",P126-T126)</f>
        <v/>
      </c>
      <c r="Y126" s="16" t="str">
        <f aca="false">IF($A126="","",Q126-U126)</f>
        <v/>
      </c>
      <c r="Z126" s="16" t="str">
        <f aca="false">IF($A126="","",V126+W126+X126)</f>
        <v/>
      </c>
      <c r="AA126" s="16" t="str">
        <f aca="false">IF($A126="","",O126+N(N126)-T126)</f>
        <v/>
      </c>
      <c r="AB126" s="8" t="str">
        <f aca="false">IF($A126="","","CL "&amp;V126&amp;" | SL "&amp;W126&amp;" | PL "&amp;X126&amp;" | TR "&amp;Y126)</f>
        <v/>
      </c>
      <c r="AC126" s="15" t="str">
        <f aca="false">IF($A126="","",IF(F126="Exited","EXITED",IF(AND(ISNUMBER(K126),K126=0),"NOT ELIGIBLE",IF(MIN(V126:X126)&lt;0,"OVER-USED",IF(Z126&lt;=Settings!$C$15,"LOW","OK")))))</f>
        <v/>
      </c>
      <c r="AD126" s="16" t="str">
        <f aca="false">IF(OR(AC126="OVER-USED",AC126="LOW"),COUNTIF(AC$6:AC126,"OVER-USED")+COUNTIF(AC$6:AC126,"LOW"),"")</f>
        <v/>
      </c>
    </row>
    <row r="127" customFormat="false" ht="15" hidden="false" customHeight="false" outlineLevel="0" collapsed="false">
      <c r="A127" s="8" t="str">
        <f aca="false">IF('Employee List'!B127="","",'Employee List'!B127)</f>
        <v/>
      </c>
      <c r="B127" s="8" t="str">
        <f aca="false">IF($A127="","",'Employee List'!C127)</f>
        <v/>
      </c>
      <c r="C127" s="8" t="str">
        <f aca="false">IF($A127="","",'Employee List'!E127&amp;"")</f>
        <v/>
      </c>
      <c r="D127" s="8" t="str">
        <f aca="false">IF($A127="","",'Employee List'!F127&amp;"")</f>
        <v/>
      </c>
      <c r="E127" s="8" t="str">
        <f aca="false">IF($A127="","",'Employee List'!G127&amp;"")</f>
        <v/>
      </c>
      <c r="F127" s="8" t="str">
        <f aca="false">IF($A127="","",'Employee List'!D127)</f>
        <v/>
      </c>
      <c r="G127" s="38" t="str">
        <f aca="false">IF($A127="","",IF('Employee List'!I127="","",'Employee List'!I127))</f>
        <v/>
      </c>
      <c r="H127" s="38" t="str">
        <f aca="false">IF(OR($A127="",G127=""),"",G127+Settings!$C$13)</f>
        <v/>
      </c>
      <c r="I127" s="38" t="str">
        <f aca="false">IF(H127="","",MAX(H127,DATE(LvYear,1,1)))</f>
        <v/>
      </c>
      <c r="J127" s="38" t="str">
        <f aca="false">IF($A127="","",IF('Employee List'!J127="",DATE(LvYear,12,31),MIN('Employee List'!J127,DATE(LvYear,12,31))))</f>
        <v/>
      </c>
      <c r="K127" s="39" t="str">
        <f aca="false">IF(OR(I127="",J127=""),"",MAX(0,J127-I127+1))</f>
        <v/>
      </c>
      <c r="L127" s="16" t="str">
        <f aca="false">IF($A127="","",IF(AND(ISNUMBER(K127),K127=0),0,Settings!$C$10))</f>
        <v/>
      </c>
      <c r="M127" s="16" t="str">
        <f aca="false">IF($A127="","",IF(AND(ISNUMBER(K127),K127=0),0,Settings!$C$11))</f>
        <v/>
      </c>
      <c r="N127" s="40"/>
      <c r="O127" s="16" t="str">
        <f aca="false">IF($A127="","",FLOOR(Settings!$C$12/365*N(K127),0.5))</f>
        <v/>
      </c>
      <c r="P127" s="16" t="str">
        <f aca="false">IF($A127="","",IF(I127="",N(N127),FLOOR(Settings!$C$12/365*MAX(0,MIN(LvAsOf,J127)-I127+1)+N(N127),0.5)))</f>
        <v/>
      </c>
      <c r="Q127" s="16" t="str">
        <f aca="false">IF($A127="","",Settings!$C$14)</f>
        <v/>
      </c>
      <c r="R127" s="16" t="str">
        <f aca="false">IF($A127="","",SUMIFS(Attendance!$AZ$6:$AZ$2405,Attendance!$B$6:$B$2405,$A127,Attendance!$A$6:$A$2405,"&gt;="&amp;DATE(LvYear,1,1),Attendance!$A$6:$A$2405,"&lt;="&amp;DATE(LvYear,12,31)))</f>
        <v/>
      </c>
      <c r="S127" s="16" t="str">
        <f aca="false">IF($A127="","",SUMIFS(Attendance!$AY$6:$AY$2405,Attendance!$B$6:$B$2405,$A127,Attendance!$A$6:$A$2405,"&gt;="&amp;DATE(LvYear,1,1),Attendance!$A$6:$A$2405,"&lt;="&amp;DATE(LvYear,12,31)))</f>
        <v/>
      </c>
      <c r="T127" s="16" t="str">
        <f aca="false">IF($A127="","",SUMIFS(Attendance!$AX$6:$AX$2405,Attendance!$B$6:$B$2405,$A127,Attendance!$A$6:$A$2405,"&gt;="&amp;DATE(LvYear,1,1),Attendance!$A$6:$A$2405,"&lt;="&amp;DATE(LvYear,12,31)))</f>
        <v/>
      </c>
      <c r="U127" s="16" t="str">
        <f aca="false">IF($A127="","",SUMIFS(Attendance!$AW$6:$AW$2405,Attendance!$B$6:$B$2405,$A127,Attendance!$A$6:$A$2405,"&gt;="&amp;DATE(LvYear,1,1),Attendance!$A$6:$A$2405,"&lt;="&amp;DATE(LvYear,12,31)))</f>
        <v/>
      </c>
      <c r="V127" s="16" t="str">
        <f aca="false">IF($A127="","",L127-R127)</f>
        <v/>
      </c>
      <c r="W127" s="16" t="str">
        <f aca="false">IF($A127="","",M127-S127)</f>
        <v/>
      </c>
      <c r="X127" s="16" t="str">
        <f aca="false">IF($A127="","",P127-T127)</f>
        <v/>
      </c>
      <c r="Y127" s="16" t="str">
        <f aca="false">IF($A127="","",Q127-U127)</f>
        <v/>
      </c>
      <c r="Z127" s="16" t="str">
        <f aca="false">IF($A127="","",V127+W127+X127)</f>
        <v/>
      </c>
      <c r="AA127" s="16" t="str">
        <f aca="false">IF($A127="","",O127+N(N127)-T127)</f>
        <v/>
      </c>
      <c r="AB127" s="8" t="str">
        <f aca="false">IF($A127="","","CL "&amp;V127&amp;" | SL "&amp;W127&amp;" | PL "&amp;X127&amp;" | TR "&amp;Y127)</f>
        <v/>
      </c>
      <c r="AC127" s="15" t="str">
        <f aca="false">IF($A127="","",IF(F127="Exited","EXITED",IF(AND(ISNUMBER(K127),K127=0),"NOT ELIGIBLE",IF(MIN(V127:X127)&lt;0,"OVER-USED",IF(Z127&lt;=Settings!$C$15,"LOW","OK")))))</f>
        <v/>
      </c>
      <c r="AD127" s="16" t="str">
        <f aca="false">IF(OR(AC127="OVER-USED",AC127="LOW"),COUNTIF(AC$6:AC127,"OVER-USED")+COUNTIF(AC$6:AC127,"LOW"),"")</f>
        <v/>
      </c>
    </row>
    <row r="128" customFormat="false" ht="15" hidden="false" customHeight="false" outlineLevel="0" collapsed="false">
      <c r="A128" s="8" t="str">
        <f aca="false">IF('Employee List'!B128="","",'Employee List'!B128)</f>
        <v/>
      </c>
      <c r="B128" s="8" t="str">
        <f aca="false">IF($A128="","",'Employee List'!C128)</f>
        <v/>
      </c>
      <c r="C128" s="8" t="str">
        <f aca="false">IF($A128="","",'Employee List'!E128&amp;"")</f>
        <v/>
      </c>
      <c r="D128" s="8" t="str">
        <f aca="false">IF($A128="","",'Employee List'!F128&amp;"")</f>
        <v/>
      </c>
      <c r="E128" s="8" t="str">
        <f aca="false">IF($A128="","",'Employee List'!G128&amp;"")</f>
        <v/>
      </c>
      <c r="F128" s="8" t="str">
        <f aca="false">IF($A128="","",'Employee List'!D128)</f>
        <v/>
      </c>
      <c r="G128" s="38" t="str">
        <f aca="false">IF($A128="","",IF('Employee List'!I128="","",'Employee List'!I128))</f>
        <v/>
      </c>
      <c r="H128" s="38" t="str">
        <f aca="false">IF(OR($A128="",G128=""),"",G128+Settings!$C$13)</f>
        <v/>
      </c>
      <c r="I128" s="38" t="str">
        <f aca="false">IF(H128="","",MAX(H128,DATE(LvYear,1,1)))</f>
        <v/>
      </c>
      <c r="J128" s="38" t="str">
        <f aca="false">IF($A128="","",IF('Employee List'!J128="",DATE(LvYear,12,31),MIN('Employee List'!J128,DATE(LvYear,12,31))))</f>
        <v/>
      </c>
      <c r="K128" s="39" t="str">
        <f aca="false">IF(OR(I128="",J128=""),"",MAX(0,J128-I128+1))</f>
        <v/>
      </c>
      <c r="L128" s="16" t="str">
        <f aca="false">IF($A128="","",IF(AND(ISNUMBER(K128),K128=0),0,Settings!$C$10))</f>
        <v/>
      </c>
      <c r="M128" s="16" t="str">
        <f aca="false">IF($A128="","",IF(AND(ISNUMBER(K128),K128=0),0,Settings!$C$11))</f>
        <v/>
      </c>
      <c r="N128" s="40"/>
      <c r="O128" s="16" t="str">
        <f aca="false">IF($A128="","",FLOOR(Settings!$C$12/365*N(K128),0.5))</f>
        <v/>
      </c>
      <c r="P128" s="16" t="str">
        <f aca="false">IF($A128="","",IF(I128="",N(N128),FLOOR(Settings!$C$12/365*MAX(0,MIN(LvAsOf,J128)-I128+1)+N(N128),0.5)))</f>
        <v/>
      </c>
      <c r="Q128" s="16" t="str">
        <f aca="false">IF($A128="","",Settings!$C$14)</f>
        <v/>
      </c>
      <c r="R128" s="16" t="str">
        <f aca="false">IF($A128="","",SUMIFS(Attendance!$AZ$6:$AZ$2405,Attendance!$B$6:$B$2405,$A128,Attendance!$A$6:$A$2405,"&gt;="&amp;DATE(LvYear,1,1),Attendance!$A$6:$A$2405,"&lt;="&amp;DATE(LvYear,12,31)))</f>
        <v/>
      </c>
      <c r="S128" s="16" t="str">
        <f aca="false">IF($A128="","",SUMIFS(Attendance!$AY$6:$AY$2405,Attendance!$B$6:$B$2405,$A128,Attendance!$A$6:$A$2405,"&gt;="&amp;DATE(LvYear,1,1),Attendance!$A$6:$A$2405,"&lt;="&amp;DATE(LvYear,12,31)))</f>
        <v/>
      </c>
      <c r="T128" s="16" t="str">
        <f aca="false">IF($A128="","",SUMIFS(Attendance!$AX$6:$AX$2405,Attendance!$B$6:$B$2405,$A128,Attendance!$A$6:$A$2405,"&gt;="&amp;DATE(LvYear,1,1),Attendance!$A$6:$A$2405,"&lt;="&amp;DATE(LvYear,12,31)))</f>
        <v/>
      </c>
      <c r="U128" s="16" t="str">
        <f aca="false">IF($A128="","",SUMIFS(Attendance!$AW$6:$AW$2405,Attendance!$B$6:$B$2405,$A128,Attendance!$A$6:$A$2405,"&gt;="&amp;DATE(LvYear,1,1),Attendance!$A$6:$A$2405,"&lt;="&amp;DATE(LvYear,12,31)))</f>
        <v/>
      </c>
      <c r="V128" s="16" t="str">
        <f aca="false">IF($A128="","",L128-R128)</f>
        <v/>
      </c>
      <c r="W128" s="16" t="str">
        <f aca="false">IF($A128="","",M128-S128)</f>
        <v/>
      </c>
      <c r="X128" s="16" t="str">
        <f aca="false">IF($A128="","",P128-T128)</f>
        <v/>
      </c>
      <c r="Y128" s="16" t="str">
        <f aca="false">IF($A128="","",Q128-U128)</f>
        <v/>
      </c>
      <c r="Z128" s="16" t="str">
        <f aca="false">IF($A128="","",V128+W128+X128)</f>
        <v/>
      </c>
      <c r="AA128" s="16" t="str">
        <f aca="false">IF($A128="","",O128+N(N128)-T128)</f>
        <v/>
      </c>
      <c r="AB128" s="8" t="str">
        <f aca="false">IF($A128="","","CL "&amp;V128&amp;" | SL "&amp;W128&amp;" | PL "&amp;X128&amp;" | TR "&amp;Y128)</f>
        <v/>
      </c>
      <c r="AC128" s="15" t="str">
        <f aca="false">IF($A128="","",IF(F128="Exited","EXITED",IF(AND(ISNUMBER(K128),K128=0),"NOT ELIGIBLE",IF(MIN(V128:X128)&lt;0,"OVER-USED",IF(Z128&lt;=Settings!$C$15,"LOW","OK")))))</f>
        <v/>
      </c>
      <c r="AD128" s="16" t="str">
        <f aca="false">IF(OR(AC128="OVER-USED",AC128="LOW"),COUNTIF(AC$6:AC128,"OVER-USED")+COUNTIF(AC$6:AC128,"LOW"),"")</f>
        <v/>
      </c>
    </row>
    <row r="129" customFormat="false" ht="15" hidden="false" customHeight="false" outlineLevel="0" collapsed="false">
      <c r="A129" s="8" t="str">
        <f aca="false">IF('Employee List'!B129="","",'Employee List'!B129)</f>
        <v/>
      </c>
      <c r="B129" s="8" t="str">
        <f aca="false">IF($A129="","",'Employee List'!C129)</f>
        <v/>
      </c>
      <c r="C129" s="8" t="str">
        <f aca="false">IF($A129="","",'Employee List'!E129&amp;"")</f>
        <v/>
      </c>
      <c r="D129" s="8" t="str">
        <f aca="false">IF($A129="","",'Employee List'!F129&amp;"")</f>
        <v/>
      </c>
      <c r="E129" s="8" t="str">
        <f aca="false">IF($A129="","",'Employee List'!G129&amp;"")</f>
        <v/>
      </c>
      <c r="F129" s="8" t="str">
        <f aca="false">IF($A129="","",'Employee List'!D129)</f>
        <v/>
      </c>
      <c r="G129" s="38" t="str">
        <f aca="false">IF($A129="","",IF('Employee List'!I129="","",'Employee List'!I129))</f>
        <v/>
      </c>
      <c r="H129" s="38" t="str">
        <f aca="false">IF(OR($A129="",G129=""),"",G129+Settings!$C$13)</f>
        <v/>
      </c>
      <c r="I129" s="38" t="str">
        <f aca="false">IF(H129="","",MAX(H129,DATE(LvYear,1,1)))</f>
        <v/>
      </c>
      <c r="J129" s="38" t="str">
        <f aca="false">IF($A129="","",IF('Employee List'!J129="",DATE(LvYear,12,31),MIN('Employee List'!J129,DATE(LvYear,12,31))))</f>
        <v/>
      </c>
      <c r="K129" s="39" t="str">
        <f aca="false">IF(OR(I129="",J129=""),"",MAX(0,J129-I129+1))</f>
        <v/>
      </c>
      <c r="L129" s="16" t="str">
        <f aca="false">IF($A129="","",IF(AND(ISNUMBER(K129),K129=0),0,Settings!$C$10))</f>
        <v/>
      </c>
      <c r="M129" s="16" t="str">
        <f aca="false">IF($A129="","",IF(AND(ISNUMBER(K129),K129=0),0,Settings!$C$11))</f>
        <v/>
      </c>
      <c r="N129" s="40"/>
      <c r="O129" s="16" t="str">
        <f aca="false">IF($A129="","",FLOOR(Settings!$C$12/365*N(K129),0.5))</f>
        <v/>
      </c>
      <c r="P129" s="16" t="str">
        <f aca="false">IF($A129="","",IF(I129="",N(N129),FLOOR(Settings!$C$12/365*MAX(0,MIN(LvAsOf,J129)-I129+1)+N(N129),0.5)))</f>
        <v/>
      </c>
      <c r="Q129" s="16" t="str">
        <f aca="false">IF($A129="","",Settings!$C$14)</f>
        <v/>
      </c>
      <c r="R129" s="16" t="str">
        <f aca="false">IF($A129="","",SUMIFS(Attendance!$AZ$6:$AZ$2405,Attendance!$B$6:$B$2405,$A129,Attendance!$A$6:$A$2405,"&gt;="&amp;DATE(LvYear,1,1),Attendance!$A$6:$A$2405,"&lt;="&amp;DATE(LvYear,12,31)))</f>
        <v/>
      </c>
      <c r="S129" s="16" t="str">
        <f aca="false">IF($A129="","",SUMIFS(Attendance!$AY$6:$AY$2405,Attendance!$B$6:$B$2405,$A129,Attendance!$A$6:$A$2405,"&gt;="&amp;DATE(LvYear,1,1),Attendance!$A$6:$A$2405,"&lt;="&amp;DATE(LvYear,12,31)))</f>
        <v/>
      </c>
      <c r="T129" s="16" t="str">
        <f aca="false">IF($A129="","",SUMIFS(Attendance!$AX$6:$AX$2405,Attendance!$B$6:$B$2405,$A129,Attendance!$A$6:$A$2405,"&gt;="&amp;DATE(LvYear,1,1),Attendance!$A$6:$A$2405,"&lt;="&amp;DATE(LvYear,12,31)))</f>
        <v/>
      </c>
      <c r="U129" s="16" t="str">
        <f aca="false">IF($A129="","",SUMIFS(Attendance!$AW$6:$AW$2405,Attendance!$B$6:$B$2405,$A129,Attendance!$A$6:$A$2405,"&gt;="&amp;DATE(LvYear,1,1),Attendance!$A$6:$A$2405,"&lt;="&amp;DATE(LvYear,12,31)))</f>
        <v/>
      </c>
      <c r="V129" s="16" t="str">
        <f aca="false">IF($A129="","",L129-R129)</f>
        <v/>
      </c>
      <c r="W129" s="16" t="str">
        <f aca="false">IF($A129="","",M129-S129)</f>
        <v/>
      </c>
      <c r="X129" s="16" t="str">
        <f aca="false">IF($A129="","",P129-T129)</f>
        <v/>
      </c>
      <c r="Y129" s="16" t="str">
        <f aca="false">IF($A129="","",Q129-U129)</f>
        <v/>
      </c>
      <c r="Z129" s="16" t="str">
        <f aca="false">IF($A129="","",V129+W129+X129)</f>
        <v/>
      </c>
      <c r="AA129" s="16" t="str">
        <f aca="false">IF($A129="","",O129+N(N129)-T129)</f>
        <v/>
      </c>
      <c r="AB129" s="8" t="str">
        <f aca="false">IF($A129="","","CL "&amp;V129&amp;" | SL "&amp;W129&amp;" | PL "&amp;X129&amp;" | TR "&amp;Y129)</f>
        <v/>
      </c>
      <c r="AC129" s="15" t="str">
        <f aca="false">IF($A129="","",IF(F129="Exited","EXITED",IF(AND(ISNUMBER(K129),K129=0),"NOT ELIGIBLE",IF(MIN(V129:X129)&lt;0,"OVER-USED",IF(Z129&lt;=Settings!$C$15,"LOW","OK")))))</f>
        <v/>
      </c>
      <c r="AD129" s="16" t="str">
        <f aca="false">IF(OR(AC129="OVER-USED",AC129="LOW"),COUNTIF(AC$6:AC129,"OVER-USED")+COUNTIF(AC$6:AC129,"LOW"),"")</f>
        <v/>
      </c>
    </row>
    <row r="130" customFormat="false" ht="15" hidden="false" customHeight="false" outlineLevel="0" collapsed="false">
      <c r="A130" s="8" t="str">
        <f aca="false">IF('Employee List'!B130="","",'Employee List'!B130)</f>
        <v/>
      </c>
      <c r="B130" s="8" t="str">
        <f aca="false">IF($A130="","",'Employee List'!C130)</f>
        <v/>
      </c>
      <c r="C130" s="8" t="str">
        <f aca="false">IF($A130="","",'Employee List'!E130&amp;"")</f>
        <v/>
      </c>
      <c r="D130" s="8" t="str">
        <f aca="false">IF($A130="","",'Employee List'!F130&amp;"")</f>
        <v/>
      </c>
      <c r="E130" s="8" t="str">
        <f aca="false">IF($A130="","",'Employee List'!G130&amp;"")</f>
        <v/>
      </c>
      <c r="F130" s="8" t="str">
        <f aca="false">IF($A130="","",'Employee List'!D130)</f>
        <v/>
      </c>
      <c r="G130" s="38" t="str">
        <f aca="false">IF($A130="","",IF('Employee List'!I130="","",'Employee List'!I130))</f>
        <v/>
      </c>
      <c r="H130" s="38" t="str">
        <f aca="false">IF(OR($A130="",G130=""),"",G130+Settings!$C$13)</f>
        <v/>
      </c>
      <c r="I130" s="38" t="str">
        <f aca="false">IF(H130="","",MAX(H130,DATE(LvYear,1,1)))</f>
        <v/>
      </c>
      <c r="J130" s="38" t="str">
        <f aca="false">IF($A130="","",IF('Employee List'!J130="",DATE(LvYear,12,31),MIN('Employee List'!J130,DATE(LvYear,12,31))))</f>
        <v/>
      </c>
      <c r="K130" s="39" t="str">
        <f aca="false">IF(OR(I130="",J130=""),"",MAX(0,J130-I130+1))</f>
        <v/>
      </c>
      <c r="L130" s="16" t="str">
        <f aca="false">IF($A130="","",IF(AND(ISNUMBER(K130),K130=0),0,Settings!$C$10))</f>
        <v/>
      </c>
      <c r="M130" s="16" t="str">
        <f aca="false">IF($A130="","",IF(AND(ISNUMBER(K130),K130=0),0,Settings!$C$11))</f>
        <v/>
      </c>
      <c r="N130" s="40"/>
      <c r="O130" s="16" t="str">
        <f aca="false">IF($A130="","",FLOOR(Settings!$C$12/365*N(K130),0.5))</f>
        <v/>
      </c>
      <c r="P130" s="16" t="str">
        <f aca="false">IF($A130="","",IF(I130="",N(N130),FLOOR(Settings!$C$12/365*MAX(0,MIN(LvAsOf,J130)-I130+1)+N(N130),0.5)))</f>
        <v/>
      </c>
      <c r="Q130" s="16" t="str">
        <f aca="false">IF($A130="","",Settings!$C$14)</f>
        <v/>
      </c>
      <c r="R130" s="16" t="str">
        <f aca="false">IF($A130="","",SUMIFS(Attendance!$AZ$6:$AZ$2405,Attendance!$B$6:$B$2405,$A130,Attendance!$A$6:$A$2405,"&gt;="&amp;DATE(LvYear,1,1),Attendance!$A$6:$A$2405,"&lt;="&amp;DATE(LvYear,12,31)))</f>
        <v/>
      </c>
      <c r="S130" s="16" t="str">
        <f aca="false">IF($A130="","",SUMIFS(Attendance!$AY$6:$AY$2405,Attendance!$B$6:$B$2405,$A130,Attendance!$A$6:$A$2405,"&gt;="&amp;DATE(LvYear,1,1),Attendance!$A$6:$A$2405,"&lt;="&amp;DATE(LvYear,12,31)))</f>
        <v/>
      </c>
      <c r="T130" s="16" t="str">
        <f aca="false">IF($A130="","",SUMIFS(Attendance!$AX$6:$AX$2405,Attendance!$B$6:$B$2405,$A130,Attendance!$A$6:$A$2405,"&gt;="&amp;DATE(LvYear,1,1),Attendance!$A$6:$A$2405,"&lt;="&amp;DATE(LvYear,12,31)))</f>
        <v/>
      </c>
      <c r="U130" s="16" t="str">
        <f aca="false">IF($A130="","",SUMIFS(Attendance!$AW$6:$AW$2405,Attendance!$B$6:$B$2405,$A130,Attendance!$A$6:$A$2405,"&gt;="&amp;DATE(LvYear,1,1),Attendance!$A$6:$A$2405,"&lt;="&amp;DATE(LvYear,12,31)))</f>
        <v/>
      </c>
      <c r="V130" s="16" t="str">
        <f aca="false">IF($A130="","",L130-R130)</f>
        <v/>
      </c>
      <c r="W130" s="16" t="str">
        <f aca="false">IF($A130="","",M130-S130)</f>
        <v/>
      </c>
      <c r="X130" s="16" t="str">
        <f aca="false">IF($A130="","",P130-T130)</f>
        <v/>
      </c>
      <c r="Y130" s="16" t="str">
        <f aca="false">IF($A130="","",Q130-U130)</f>
        <v/>
      </c>
      <c r="Z130" s="16" t="str">
        <f aca="false">IF($A130="","",V130+W130+X130)</f>
        <v/>
      </c>
      <c r="AA130" s="16" t="str">
        <f aca="false">IF($A130="","",O130+N(N130)-T130)</f>
        <v/>
      </c>
      <c r="AB130" s="8" t="str">
        <f aca="false">IF($A130="","","CL "&amp;V130&amp;" | SL "&amp;W130&amp;" | PL "&amp;X130&amp;" | TR "&amp;Y130)</f>
        <v/>
      </c>
      <c r="AC130" s="15" t="str">
        <f aca="false">IF($A130="","",IF(F130="Exited","EXITED",IF(AND(ISNUMBER(K130),K130=0),"NOT ELIGIBLE",IF(MIN(V130:X130)&lt;0,"OVER-USED",IF(Z130&lt;=Settings!$C$15,"LOW","OK")))))</f>
        <v/>
      </c>
      <c r="AD130" s="16" t="str">
        <f aca="false">IF(OR(AC130="OVER-USED",AC130="LOW"),COUNTIF(AC$6:AC130,"OVER-USED")+COUNTIF(AC$6:AC130,"LOW"),"")</f>
        <v/>
      </c>
    </row>
    <row r="131" customFormat="false" ht="15" hidden="false" customHeight="false" outlineLevel="0" collapsed="false">
      <c r="A131" s="8" t="str">
        <f aca="false">IF('Employee List'!B131="","",'Employee List'!B131)</f>
        <v/>
      </c>
      <c r="B131" s="8" t="str">
        <f aca="false">IF($A131="","",'Employee List'!C131)</f>
        <v/>
      </c>
      <c r="C131" s="8" t="str">
        <f aca="false">IF($A131="","",'Employee List'!E131&amp;"")</f>
        <v/>
      </c>
      <c r="D131" s="8" t="str">
        <f aca="false">IF($A131="","",'Employee List'!F131&amp;"")</f>
        <v/>
      </c>
      <c r="E131" s="8" t="str">
        <f aca="false">IF($A131="","",'Employee List'!G131&amp;"")</f>
        <v/>
      </c>
      <c r="F131" s="8" t="str">
        <f aca="false">IF($A131="","",'Employee List'!D131)</f>
        <v/>
      </c>
      <c r="G131" s="38" t="str">
        <f aca="false">IF($A131="","",IF('Employee List'!I131="","",'Employee List'!I131))</f>
        <v/>
      </c>
      <c r="H131" s="38" t="str">
        <f aca="false">IF(OR($A131="",G131=""),"",G131+Settings!$C$13)</f>
        <v/>
      </c>
      <c r="I131" s="38" t="str">
        <f aca="false">IF(H131="","",MAX(H131,DATE(LvYear,1,1)))</f>
        <v/>
      </c>
      <c r="J131" s="38" t="str">
        <f aca="false">IF($A131="","",IF('Employee List'!J131="",DATE(LvYear,12,31),MIN('Employee List'!J131,DATE(LvYear,12,31))))</f>
        <v/>
      </c>
      <c r="K131" s="39" t="str">
        <f aca="false">IF(OR(I131="",J131=""),"",MAX(0,J131-I131+1))</f>
        <v/>
      </c>
      <c r="L131" s="16" t="str">
        <f aca="false">IF($A131="","",IF(AND(ISNUMBER(K131),K131=0),0,Settings!$C$10))</f>
        <v/>
      </c>
      <c r="M131" s="16" t="str">
        <f aca="false">IF($A131="","",IF(AND(ISNUMBER(K131),K131=0),0,Settings!$C$11))</f>
        <v/>
      </c>
      <c r="N131" s="40"/>
      <c r="O131" s="16" t="str">
        <f aca="false">IF($A131="","",FLOOR(Settings!$C$12/365*N(K131),0.5))</f>
        <v/>
      </c>
      <c r="P131" s="16" t="str">
        <f aca="false">IF($A131="","",IF(I131="",N(N131),FLOOR(Settings!$C$12/365*MAX(0,MIN(LvAsOf,J131)-I131+1)+N(N131),0.5)))</f>
        <v/>
      </c>
      <c r="Q131" s="16" t="str">
        <f aca="false">IF($A131="","",Settings!$C$14)</f>
        <v/>
      </c>
      <c r="R131" s="16" t="str">
        <f aca="false">IF($A131="","",SUMIFS(Attendance!$AZ$6:$AZ$2405,Attendance!$B$6:$B$2405,$A131,Attendance!$A$6:$A$2405,"&gt;="&amp;DATE(LvYear,1,1),Attendance!$A$6:$A$2405,"&lt;="&amp;DATE(LvYear,12,31)))</f>
        <v/>
      </c>
      <c r="S131" s="16" t="str">
        <f aca="false">IF($A131="","",SUMIFS(Attendance!$AY$6:$AY$2405,Attendance!$B$6:$B$2405,$A131,Attendance!$A$6:$A$2405,"&gt;="&amp;DATE(LvYear,1,1),Attendance!$A$6:$A$2405,"&lt;="&amp;DATE(LvYear,12,31)))</f>
        <v/>
      </c>
      <c r="T131" s="16" t="str">
        <f aca="false">IF($A131="","",SUMIFS(Attendance!$AX$6:$AX$2405,Attendance!$B$6:$B$2405,$A131,Attendance!$A$6:$A$2405,"&gt;="&amp;DATE(LvYear,1,1),Attendance!$A$6:$A$2405,"&lt;="&amp;DATE(LvYear,12,31)))</f>
        <v/>
      </c>
      <c r="U131" s="16" t="str">
        <f aca="false">IF($A131="","",SUMIFS(Attendance!$AW$6:$AW$2405,Attendance!$B$6:$B$2405,$A131,Attendance!$A$6:$A$2405,"&gt;="&amp;DATE(LvYear,1,1),Attendance!$A$6:$A$2405,"&lt;="&amp;DATE(LvYear,12,31)))</f>
        <v/>
      </c>
      <c r="V131" s="16" t="str">
        <f aca="false">IF($A131="","",L131-R131)</f>
        <v/>
      </c>
      <c r="W131" s="16" t="str">
        <f aca="false">IF($A131="","",M131-S131)</f>
        <v/>
      </c>
      <c r="X131" s="16" t="str">
        <f aca="false">IF($A131="","",P131-T131)</f>
        <v/>
      </c>
      <c r="Y131" s="16" t="str">
        <f aca="false">IF($A131="","",Q131-U131)</f>
        <v/>
      </c>
      <c r="Z131" s="16" t="str">
        <f aca="false">IF($A131="","",V131+W131+X131)</f>
        <v/>
      </c>
      <c r="AA131" s="16" t="str">
        <f aca="false">IF($A131="","",O131+N(N131)-T131)</f>
        <v/>
      </c>
      <c r="AB131" s="8" t="str">
        <f aca="false">IF($A131="","","CL "&amp;V131&amp;" | SL "&amp;W131&amp;" | PL "&amp;X131&amp;" | TR "&amp;Y131)</f>
        <v/>
      </c>
      <c r="AC131" s="15" t="str">
        <f aca="false">IF($A131="","",IF(F131="Exited","EXITED",IF(AND(ISNUMBER(K131),K131=0),"NOT ELIGIBLE",IF(MIN(V131:X131)&lt;0,"OVER-USED",IF(Z131&lt;=Settings!$C$15,"LOW","OK")))))</f>
        <v/>
      </c>
      <c r="AD131" s="16" t="str">
        <f aca="false">IF(OR(AC131="OVER-USED",AC131="LOW"),COUNTIF(AC$6:AC131,"OVER-USED")+COUNTIF(AC$6:AC131,"LOW"),"")</f>
        <v/>
      </c>
    </row>
    <row r="132" customFormat="false" ht="15" hidden="false" customHeight="false" outlineLevel="0" collapsed="false">
      <c r="A132" s="8" t="str">
        <f aca="false">IF('Employee List'!B132="","",'Employee List'!B132)</f>
        <v/>
      </c>
      <c r="B132" s="8" t="str">
        <f aca="false">IF($A132="","",'Employee List'!C132)</f>
        <v/>
      </c>
      <c r="C132" s="8" t="str">
        <f aca="false">IF($A132="","",'Employee List'!E132&amp;"")</f>
        <v/>
      </c>
      <c r="D132" s="8" t="str">
        <f aca="false">IF($A132="","",'Employee List'!F132&amp;"")</f>
        <v/>
      </c>
      <c r="E132" s="8" t="str">
        <f aca="false">IF($A132="","",'Employee List'!G132&amp;"")</f>
        <v/>
      </c>
      <c r="F132" s="8" t="str">
        <f aca="false">IF($A132="","",'Employee List'!D132)</f>
        <v/>
      </c>
      <c r="G132" s="38" t="str">
        <f aca="false">IF($A132="","",IF('Employee List'!I132="","",'Employee List'!I132))</f>
        <v/>
      </c>
      <c r="H132" s="38" t="str">
        <f aca="false">IF(OR($A132="",G132=""),"",G132+Settings!$C$13)</f>
        <v/>
      </c>
      <c r="I132" s="38" t="str">
        <f aca="false">IF(H132="","",MAX(H132,DATE(LvYear,1,1)))</f>
        <v/>
      </c>
      <c r="J132" s="38" t="str">
        <f aca="false">IF($A132="","",IF('Employee List'!J132="",DATE(LvYear,12,31),MIN('Employee List'!J132,DATE(LvYear,12,31))))</f>
        <v/>
      </c>
      <c r="K132" s="39" t="str">
        <f aca="false">IF(OR(I132="",J132=""),"",MAX(0,J132-I132+1))</f>
        <v/>
      </c>
      <c r="L132" s="16" t="str">
        <f aca="false">IF($A132="","",IF(AND(ISNUMBER(K132),K132=0),0,Settings!$C$10))</f>
        <v/>
      </c>
      <c r="M132" s="16" t="str">
        <f aca="false">IF($A132="","",IF(AND(ISNUMBER(K132),K132=0),0,Settings!$C$11))</f>
        <v/>
      </c>
      <c r="N132" s="40"/>
      <c r="O132" s="16" t="str">
        <f aca="false">IF($A132="","",FLOOR(Settings!$C$12/365*N(K132),0.5))</f>
        <v/>
      </c>
      <c r="P132" s="16" t="str">
        <f aca="false">IF($A132="","",IF(I132="",N(N132),FLOOR(Settings!$C$12/365*MAX(0,MIN(LvAsOf,J132)-I132+1)+N(N132),0.5)))</f>
        <v/>
      </c>
      <c r="Q132" s="16" t="str">
        <f aca="false">IF($A132="","",Settings!$C$14)</f>
        <v/>
      </c>
      <c r="R132" s="16" t="str">
        <f aca="false">IF($A132="","",SUMIFS(Attendance!$AZ$6:$AZ$2405,Attendance!$B$6:$B$2405,$A132,Attendance!$A$6:$A$2405,"&gt;="&amp;DATE(LvYear,1,1),Attendance!$A$6:$A$2405,"&lt;="&amp;DATE(LvYear,12,31)))</f>
        <v/>
      </c>
      <c r="S132" s="16" t="str">
        <f aca="false">IF($A132="","",SUMIFS(Attendance!$AY$6:$AY$2405,Attendance!$B$6:$B$2405,$A132,Attendance!$A$6:$A$2405,"&gt;="&amp;DATE(LvYear,1,1),Attendance!$A$6:$A$2405,"&lt;="&amp;DATE(LvYear,12,31)))</f>
        <v/>
      </c>
      <c r="T132" s="16" t="str">
        <f aca="false">IF($A132="","",SUMIFS(Attendance!$AX$6:$AX$2405,Attendance!$B$6:$B$2405,$A132,Attendance!$A$6:$A$2405,"&gt;="&amp;DATE(LvYear,1,1),Attendance!$A$6:$A$2405,"&lt;="&amp;DATE(LvYear,12,31)))</f>
        <v/>
      </c>
      <c r="U132" s="16" t="str">
        <f aca="false">IF($A132="","",SUMIFS(Attendance!$AW$6:$AW$2405,Attendance!$B$6:$B$2405,$A132,Attendance!$A$6:$A$2405,"&gt;="&amp;DATE(LvYear,1,1),Attendance!$A$6:$A$2405,"&lt;="&amp;DATE(LvYear,12,31)))</f>
        <v/>
      </c>
      <c r="V132" s="16" t="str">
        <f aca="false">IF($A132="","",L132-R132)</f>
        <v/>
      </c>
      <c r="W132" s="16" t="str">
        <f aca="false">IF($A132="","",M132-S132)</f>
        <v/>
      </c>
      <c r="X132" s="16" t="str">
        <f aca="false">IF($A132="","",P132-T132)</f>
        <v/>
      </c>
      <c r="Y132" s="16" t="str">
        <f aca="false">IF($A132="","",Q132-U132)</f>
        <v/>
      </c>
      <c r="Z132" s="16" t="str">
        <f aca="false">IF($A132="","",V132+W132+X132)</f>
        <v/>
      </c>
      <c r="AA132" s="16" t="str">
        <f aca="false">IF($A132="","",O132+N(N132)-T132)</f>
        <v/>
      </c>
      <c r="AB132" s="8" t="str">
        <f aca="false">IF($A132="","","CL "&amp;V132&amp;" | SL "&amp;W132&amp;" | PL "&amp;X132&amp;" | TR "&amp;Y132)</f>
        <v/>
      </c>
      <c r="AC132" s="15" t="str">
        <f aca="false">IF($A132="","",IF(F132="Exited","EXITED",IF(AND(ISNUMBER(K132),K132=0),"NOT ELIGIBLE",IF(MIN(V132:X132)&lt;0,"OVER-USED",IF(Z132&lt;=Settings!$C$15,"LOW","OK")))))</f>
        <v/>
      </c>
      <c r="AD132" s="16" t="str">
        <f aca="false">IF(OR(AC132="OVER-USED",AC132="LOW"),COUNTIF(AC$6:AC132,"OVER-USED")+COUNTIF(AC$6:AC132,"LOW"),"")</f>
        <v/>
      </c>
    </row>
    <row r="133" customFormat="false" ht="15" hidden="false" customHeight="false" outlineLevel="0" collapsed="false">
      <c r="A133" s="8" t="str">
        <f aca="false">IF('Employee List'!B133="","",'Employee List'!B133)</f>
        <v/>
      </c>
      <c r="B133" s="8" t="str">
        <f aca="false">IF($A133="","",'Employee List'!C133)</f>
        <v/>
      </c>
      <c r="C133" s="8" t="str">
        <f aca="false">IF($A133="","",'Employee List'!E133&amp;"")</f>
        <v/>
      </c>
      <c r="D133" s="8" t="str">
        <f aca="false">IF($A133="","",'Employee List'!F133&amp;"")</f>
        <v/>
      </c>
      <c r="E133" s="8" t="str">
        <f aca="false">IF($A133="","",'Employee List'!G133&amp;"")</f>
        <v/>
      </c>
      <c r="F133" s="8" t="str">
        <f aca="false">IF($A133="","",'Employee List'!D133)</f>
        <v/>
      </c>
      <c r="G133" s="38" t="str">
        <f aca="false">IF($A133="","",IF('Employee List'!I133="","",'Employee List'!I133))</f>
        <v/>
      </c>
      <c r="H133" s="38" t="str">
        <f aca="false">IF(OR($A133="",G133=""),"",G133+Settings!$C$13)</f>
        <v/>
      </c>
      <c r="I133" s="38" t="str">
        <f aca="false">IF(H133="","",MAX(H133,DATE(LvYear,1,1)))</f>
        <v/>
      </c>
      <c r="J133" s="38" t="str">
        <f aca="false">IF($A133="","",IF('Employee List'!J133="",DATE(LvYear,12,31),MIN('Employee List'!J133,DATE(LvYear,12,31))))</f>
        <v/>
      </c>
      <c r="K133" s="39" t="str">
        <f aca="false">IF(OR(I133="",J133=""),"",MAX(0,J133-I133+1))</f>
        <v/>
      </c>
      <c r="L133" s="16" t="str">
        <f aca="false">IF($A133="","",IF(AND(ISNUMBER(K133),K133=0),0,Settings!$C$10))</f>
        <v/>
      </c>
      <c r="M133" s="16" t="str">
        <f aca="false">IF($A133="","",IF(AND(ISNUMBER(K133),K133=0),0,Settings!$C$11))</f>
        <v/>
      </c>
      <c r="N133" s="40"/>
      <c r="O133" s="16" t="str">
        <f aca="false">IF($A133="","",FLOOR(Settings!$C$12/365*N(K133),0.5))</f>
        <v/>
      </c>
      <c r="P133" s="16" t="str">
        <f aca="false">IF($A133="","",IF(I133="",N(N133),FLOOR(Settings!$C$12/365*MAX(0,MIN(LvAsOf,J133)-I133+1)+N(N133),0.5)))</f>
        <v/>
      </c>
      <c r="Q133" s="16" t="str">
        <f aca="false">IF($A133="","",Settings!$C$14)</f>
        <v/>
      </c>
      <c r="R133" s="16" t="str">
        <f aca="false">IF($A133="","",SUMIFS(Attendance!$AZ$6:$AZ$2405,Attendance!$B$6:$B$2405,$A133,Attendance!$A$6:$A$2405,"&gt;="&amp;DATE(LvYear,1,1),Attendance!$A$6:$A$2405,"&lt;="&amp;DATE(LvYear,12,31)))</f>
        <v/>
      </c>
      <c r="S133" s="16" t="str">
        <f aca="false">IF($A133="","",SUMIFS(Attendance!$AY$6:$AY$2405,Attendance!$B$6:$B$2405,$A133,Attendance!$A$6:$A$2405,"&gt;="&amp;DATE(LvYear,1,1),Attendance!$A$6:$A$2405,"&lt;="&amp;DATE(LvYear,12,31)))</f>
        <v/>
      </c>
      <c r="T133" s="16" t="str">
        <f aca="false">IF($A133="","",SUMIFS(Attendance!$AX$6:$AX$2405,Attendance!$B$6:$B$2405,$A133,Attendance!$A$6:$A$2405,"&gt;="&amp;DATE(LvYear,1,1),Attendance!$A$6:$A$2405,"&lt;="&amp;DATE(LvYear,12,31)))</f>
        <v/>
      </c>
      <c r="U133" s="16" t="str">
        <f aca="false">IF($A133="","",SUMIFS(Attendance!$AW$6:$AW$2405,Attendance!$B$6:$B$2405,$A133,Attendance!$A$6:$A$2405,"&gt;="&amp;DATE(LvYear,1,1),Attendance!$A$6:$A$2405,"&lt;="&amp;DATE(LvYear,12,31)))</f>
        <v/>
      </c>
      <c r="V133" s="16" t="str">
        <f aca="false">IF($A133="","",L133-R133)</f>
        <v/>
      </c>
      <c r="W133" s="16" t="str">
        <f aca="false">IF($A133="","",M133-S133)</f>
        <v/>
      </c>
      <c r="X133" s="16" t="str">
        <f aca="false">IF($A133="","",P133-T133)</f>
        <v/>
      </c>
      <c r="Y133" s="16" t="str">
        <f aca="false">IF($A133="","",Q133-U133)</f>
        <v/>
      </c>
      <c r="Z133" s="16" t="str">
        <f aca="false">IF($A133="","",V133+W133+X133)</f>
        <v/>
      </c>
      <c r="AA133" s="16" t="str">
        <f aca="false">IF($A133="","",O133+N(N133)-T133)</f>
        <v/>
      </c>
      <c r="AB133" s="8" t="str">
        <f aca="false">IF($A133="","","CL "&amp;V133&amp;" | SL "&amp;W133&amp;" | PL "&amp;X133&amp;" | TR "&amp;Y133)</f>
        <v/>
      </c>
      <c r="AC133" s="15" t="str">
        <f aca="false">IF($A133="","",IF(F133="Exited","EXITED",IF(AND(ISNUMBER(K133),K133=0),"NOT ELIGIBLE",IF(MIN(V133:X133)&lt;0,"OVER-USED",IF(Z133&lt;=Settings!$C$15,"LOW","OK")))))</f>
        <v/>
      </c>
      <c r="AD133" s="16" t="str">
        <f aca="false">IF(OR(AC133="OVER-USED",AC133="LOW"),COUNTIF(AC$6:AC133,"OVER-USED")+COUNTIF(AC$6:AC133,"LOW"),"")</f>
        <v/>
      </c>
    </row>
    <row r="134" customFormat="false" ht="15" hidden="false" customHeight="false" outlineLevel="0" collapsed="false">
      <c r="A134" s="8" t="str">
        <f aca="false">IF('Employee List'!B134="","",'Employee List'!B134)</f>
        <v/>
      </c>
      <c r="B134" s="8" t="str">
        <f aca="false">IF($A134="","",'Employee List'!C134)</f>
        <v/>
      </c>
      <c r="C134" s="8" t="str">
        <f aca="false">IF($A134="","",'Employee List'!E134&amp;"")</f>
        <v/>
      </c>
      <c r="D134" s="8" t="str">
        <f aca="false">IF($A134="","",'Employee List'!F134&amp;"")</f>
        <v/>
      </c>
      <c r="E134" s="8" t="str">
        <f aca="false">IF($A134="","",'Employee List'!G134&amp;"")</f>
        <v/>
      </c>
      <c r="F134" s="8" t="str">
        <f aca="false">IF($A134="","",'Employee List'!D134)</f>
        <v/>
      </c>
      <c r="G134" s="38" t="str">
        <f aca="false">IF($A134="","",IF('Employee List'!I134="","",'Employee List'!I134))</f>
        <v/>
      </c>
      <c r="H134" s="38" t="str">
        <f aca="false">IF(OR($A134="",G134=""),"",G134+Settings!$C$13)</f>
        <v/>
      </c>
      <c r="I134" s="38" t="str">
        <f aca="false">IF(H134="","",MAX(H134,DATE(LvYear,1,1)))</f>
        <v/>
      </c>
      <c r="J134" s="38" t="str">
        <f aca="false">IF($A134="","",IF('Employee List'!J134="",DATE(LvYear,12,31),MIN('Employee List'!J134,DATE(LvYear,12,31))))</f>
        <v/>
      </c>
      <c r="K134" s="39" t="str">
        <f aca="false">IF(OR(I134="",J134=""),"",MAX(0,J134-I134+1))</f>
        <v/>
      </c>
      <c r="L134" s="16" t="str">
        <f aca="false">IF($A134="","",IF(AND(ISNUMBER(K134),K134=0),0,Settings!$C$10))</f>
        <v/>
      </c>
      <c r="M134" s="16" t="str">
        <f aca="false">IF($A134="","",IF(AND(ISNUMBER(K134),K134=0),0,Settings!$C$11))</f>
        <v/>
      </c>
      <c r="N134" s="40"/>
      <c r="O134" s="16" t="str">
        <f aca="false">IF($A134="","",FLOOR(Settings!$C$12/365*N(K134),0.5))</f>
        <v/>
      </c>
      <c r="P134" s="16" t="str">
        <f aca="false">IF($A134="","",IF(I134="",N(N134),FLOOR(Settings!$C$12/365*MAX(0,MIN(LvAsOf,J134)-I134+1)+N(N134),0.5)))</f>
        <v/>
      </c>
      <c r="Q134" s="16" t="str">
        <f aca="false">IF($A134="","",Settings!$C$14)</f>
        <v/>
      </c>
      <c r="R134" s="16" t="str">
        <f aca="false">IF($A134="","",SUMIFS(Attendance!$AZ$6:$AZ$2405,Attendance!$B$6:$B$2405,$A134,Attendance!$A$6:$A$2405,"&gt;="&amp;DATE(LvYear,1,1),Attendance!$A$6:$A$2405,"&lt;="&amp;DATE(LvYear,12,31)))</f>
        <v/>
      </c>
      <c r="S134" s="16" t="str">
        <f aca="false">IF($A134="","",SUMIFS(Attendance!$AY$6:$AY$2405,Attendance!$B$6:$B$2405,$A134,Attendance!$A$6:$A$2405,"&gt;="&amp;DATE(LvYear,1,1),Attendance!$A$6:$A$2405,"&lt;="&amp;DATE(LvYear,12,31)))</f>
        <v/>
      </c>
      <c r="T134" s="16" t="str">
        <f aca="false">IF($A134="","",SUMIFS(Attendance!$AX$6:$AX$2405,Attendance!$B$6:$B$2405,$A134,Attendance!$A$6:$A$2405,"&gt;="&amp;DATE(LvYear,1,1),Attendance!$A$6:$A$2405,"&lt;="&amp;DATE(LvYear,12,31)))</f>
        <v/>
      </c>
      <c r="U134" s="16" t="str">
        <f aca="false">IF($A134="","",SUMIFS(Attendance!$AW$6:$AW$2405,Attendance!$B$6:$B$2405,$A134,Attendance!$A$6:$A$2405,"&gt;="&amp;DATE(LvYear,1,1),Attendance!$A$6:$A$2405,"&lt;="&amp;DATE(LvYear,12,31)))</f>
        <v/>
      </c>
      <c r="V134" s="16" t="str">
        <f aca="false">IF($A134="","",L134-R134)</f>
        <v/>
      </c>
      <c r="W134" s="16" t="str">
        <f aca="false">IF($A134="","",M134-S134)</f>
        <v/>
      </c>
      <c r="X134" s="16" t="str">
        <f aca="false">IF($A134="","",P134-T134)</f>
        <v/>
      </c>
      <c r="Y134" s="16" t="str">
        <f aca="false">IF($A134="","",Q134-U134)</f>
        <v/>
      </c>
      <c r="Z134" s="16" t="str">
        <f aca="false">IF($A134="","",V134+W134+X134)</f>
        <v/>
      </c>
      <c r="AA134" s="16" t="str">
        <f aca="false">IF($A134="","",O134+N(N134)-T134)</f>
        <v/>
      </c>
      <c r="AB134" s="8" t="str">
        <f aca="false">IF($A134="","","CL "&amp;V134&amp;" | SL "&amp;W134&amp;" | PL "&amp;X134&amp;" | TR "&amp;Y134)</f>
        <v/>
      </c>
      <c r="AC134" s="15" t="str">
        <f aca="false">IF($A134="","",IF(F134="Exited","EXITED",IF(AND(ISNUMBER(K134),K134=0),"NOT ELIGIBLE",IF(MIN(V134:X134)&lt;0,"OVER-USED",IF(Z134&lt;=Settings!$C$15,"LOW","OK")))))</f>
        <v/>
      </c>
      <c r="AD134" s="16" t="str">
        <f aca="false">IF(OR(AC134="OVER-USED",AC134="LOW"),COUNTIF(AC$6:AC134,"OVER-USED")+COUNTIF(AC$6:AC134,"LOW"),"")</f>
        <v/>
      </c>
    </row>
    <row r="135" customFormat="false" ht="15" hidden="false" customHeight="false" outlineLevel="0" collapsed="false">
      <c r="A135" s="8" t="str">
        <f aca="false">IF('Employee List'!B135="","",'Employee List'!B135)</f>
        <v/>
      </c>
      <c r="B135" s="8" t="str">
        <f aca="false">IF($A135="","",'Employee List'!C135)</f>
        <v/>
      </c>
      <c r="C135" s="8" t="str">
        <f aca="false">IF($A135="","",'Employee List'!E135&amp;"")</f>
        <v/>
      </c>
      <c r="D135" s="8" t="str">
        <f aca="false">IF($A135="","",'Employee List'!F135&amp;"")</f>
        <v/>
      </c>
      <c r="E135" s="8" t="str">
        <f aca="false">IF($A135="","",'Employee List'!G135&amp;"")</f>
        <v/>
      </c>
      <c r="F135" s="8" t="str">
        <f aca="false">IF($A135="","",'Employee List'!D135)</f>
        <v/>
      </c>
      <c r="G135" s="38" t="str">
        <f aca="false">IF($A135="","",IF('Employee List'!I135="","",'Employee List'!I135))</f>
        <v/>
      </c>
      <c r="H135" s="38" t="str">
        <f aca="false">IF(OR($A135="",G135=""),"",G135+Settings!$C$13)</f>
        <v/>
      </c>
      <c r="I135" s="38" t="str">
        <f aca="false">IF(H135="","",MAX(H135,DATE(LvYear,1,1)))</f>
        <v/>
      </c>
      <c r="J135" s="38" t="str">
        <f aca="false">IF($A135="","",IF('Employee List'!J135="",DATE(LvYear,12,31),MIN('Employee List'!J135,DATE(LvYear,12,31))))</f>
        <v/>
      </c>
      <c r="K135" s="39" t="str">
        <f aca="false">IF(OR(I135="",J135=""),"",MAX(0,J135-I135+1))</f>
        <v/>
      </c>
      <c r="L135" s="16" t="str">
        <f aca="false">IF($A135="","",IF(AND(ISNUMBER(K135),K135=0),0,Settings!$C$10))</f>
        <v/>
      </c>
      <c r="M135" s="16" t="str">
        <f aca="false">IF($A135="","",IF(AND(ISNUMBER(K135),K135=0),0,Settings!$C$11))</f>
        <v/>
      </c>
      <c r="N135" s="40"/>
      <c r="O135" s="16" t="str">
        <f aca="false">IF($A135="","",FLOOR(Settings!$C$12/365*N(K135),0.5))</f>
        <v/>
      </c>
      <c r="P135" s="16" t="str">
        <f aca="false">IF($A135="","",IF(I135="",N(N135),FLOOR(Settings!$C$12/365*MAX(0,MIN(LvAsOf,J135)-I135+1)+N(N135),0.5)))</f>
        <v/>
      </c>
      <c r="Q135" s="16" t="str">
        <f aca="false">IF($A135="","",Settings!$C$14)</f>
        <v/>
      </c>
      <c r="R135" s="16" t="str">
        <f aca="false">IF($A135="","",SUMIFS(Attendance!$AZ$6:$AZ$2405,Attendance!$B$6:$B$2405,$A135,Attendance!$A$6:$A$2405,"&gt;="&amp;DATE(LvYear,1,1),Attendance!$A$6:$A$2405,"&lt;="&amp;DATE(LvYear,12,31)))</f>
        <v/>
      </c>
      <c r="S135" s="16" t="str">
        <f aca="false">IF($A135="","",SUMIFS(Attendance!$AY$6:$AY$2405,Attendance!$B$6:$B$2405,$A135,Attendance!$A$6:$A$2405,"&gt;="&amp;DATE(LvYear,1,1),Attendance!$A$6:$A$2405,"&lt;="&amp;DATE(LvYear,12,31)))</f>
        <v/>
      </c>
      <c r="T135" s="16" t="str">
        <f aca="false">IF($A135="","",SUMIFS(Attendance!$AX$6:$AX$2405,Attendance!$B$6:$B$2405,$A135,Attendance!$A$6:$A$2405,"&gt;="&amp;DATE(LvYear,1,1),Attendance!$A$6:$A$2405,"&lt;="&amp;DATE(LvYear,12,31)))</f>
        <v/>
      </c>
      <c r="U135" s="16" t="str">
        <f aca="false">IF($A135="","",SUMIFS(Attendance!$AW$6:$AW$2405,Attendance!$B$6:$B$2405,$A135,Attendance!$A$6:$A$2405,"&gt;="&amp;DATE(LvYear,1,1),Attendance!$A$6:$A$2405,"&lt;="&amp;DATE(LvYear,12,31)))</f>
        <v/>
      </c>
      <c r="V135" s="16" t="str">
        <f aca="false">IF($A135="","",L135-R135)</f>
        <v/>
      </c>
      <c r="W135" s="16" t="str">
        <f aca="false">IF($A135="","",M135-S135)</f>
        <v/>
      </c>
      <c r="X135" s="16" t="str">
        <f aca="false">IF($A135="","",P135-T135)</f>
        <v/>
      </c>
      <c r="Y135" s="16" t="str">
        <f aca="false">IF($A135="","",Q135-U135)</f>
        <v/>
      </c>
      <c r="Z135" s="16" t="str">
        <f aca="false">IF($A135="","",V135+W135+X135)</f>
        <v/>
      </c>
      <c r="AA135" s="16" t="str">
        <f aca="false">IF($A135="","",O135+N(N135)-T135)</f>
        <v/>
      </c>
      <c r="AB135" s="8" t="str">
        <f aca="false">IF($A135="","","CL "&amp;V135&amp;" | SL "&amp;W135&amp;" | PL "&amp;X135&amp;" | TR "&amp;Y135)</f>
        <v/>
      </c>
      <c r="AC135" s="15" t="str">
        <f aca="false">IF($A135="","",IF(F135="Exited","EXITED",IF(AND(ISNUMBER(K135),K135=0),"NOT ELIGIBLE",IF(MIN(V135:X135)&lt;0,"OVER-USED",IF(Z135&lt;=Settings!$C$15,"LOW","OK")))))</f>
        <v/>
      </c>
      <c r="AD135" s="16" t="str">
        <f aca="false">IF(OR(AC135="OVER-USED",AC135="LOW"),COUNTIF(AC$6:AC135,"OVER-USED")+COUNTIF(AC$6:AC135,"LOW"),"")</f>
        <v/>
      </c>
    </row>
    <row r="136" customFormat="false" ht="15" hidden="false" customHeight="false" outlineLevel="0" collapsed="false">
      <c r="A136" s="8" t="str">
        <f aca="false">IF('Employee List'!B136="","",'Employee List'!B136)</f>
        <v/>
      </c>
      <c r="B136" s="8" t="str">
        <f aca="false">IF($A136="","",'Employee List'!C136)</f>
        <v/>
      </c>
      <c r="C136" s="8" t="str">
        <f aca="false">IF($A136="","",'Employee List'!E136&amp;"")</f>
        <v/>
      </c>
      <c r="D136" s="8" t="str">
        <f aca="false">IF($A136="","",'Employee List'!F136&amp;"")</f>
        <v/>
      </c>
      <c r="E136" s="8" t="str">
        <f aca="false">IF($A136="","",'Employee List'!G136&amp;"")</f>
        <v/>
      </c>
      <c r="F136" s="8" t="str">
        <f aca="false">IF($A136="","",'Employee List'!D136)</f>
        <v/>
      </c>
      <c r="G136" s="38" t="str">
        <f aca="false">IF($A136="","",IF('Employee List'!I136="","",'Employee List'!I136))</f>
        <v/>
      </c>
      <c r="H136" s="38" t="str">
        <f aca="false">IF(OR($A136="",G136=""),"",G136+Settings!$C$13)</f>
        <v/>
      </c>
      <c r="I136" s="38" t="str">
        <f aca="false">IF(H136="","",MAX(H136,DATE(LvYear,1,1)))</f>
        <v/>
      </c>
      <c r="J136" s="38" t="str">
        <f aca="false">IF($A136="","",IF('Employee List'!J136="",DATE(LvYear,12,31),MIN('Employee List'!J136,DATE(LvYear,12,31))))</f>
        <v/>
      </c>
      <c r="K136" s="39" t="str">
        <f aca="false">IF(OR(I136="",J136=""),"",MAX(0,J136-I136+1))</f>
        <v/>
      </c>
      <c r="L136" s="16" t="str">
        <f aca="false">IF($A136="","",IF(AND(ISNUMBER(K136),K136=0),0,Settings!$C$10))</f>
        <v/>
      </c>
      <c r="M136" s="16" t="str">
        <f aca="false">IF($A136="","",IF(AND(ISNUMBER(K136),K136=0),0,Settings!$C$11))</f>
        <v/>
      </c>
      <c r="N136" s="40"/>
      <c r="O136" s="16" t="str">
        <f aca="false">IF($A136="","",FLOOR(Settings!$C$12/365*N(K136),0.5))</f>
        <v/>
      </c>
      <c r="P136" s="16" t="str">
        <f aca="false">IF($A136="","",IF(I136="",N(N136),FLOOR(Settings!$C$12/365*MAX(0,MIN(LvAsOf,J136)-I136+1)+N(N136),0.5)))</f>
        <v/>
      </c>
      <c r="Q136" s="16" t="str">
        <f aca="false">IF($A136="","",Settings!$C$14)</f>
        <v/>
      </c>
      <c r="R136" s="16" t="str">
        <f aca="false">IF($A136="","",SUMIFS(Attendance!$AZ$6:$AZ$2405,Attendance!$B$6:$B$2405,$A136,Attendance!$A$6:$A$2405,"&gt;="&amp;DATE(LvYear,1,1),Attendance!$A$6:$A$2405,"&lt;="&amp;DATE(LvYear,12,31)))</f>
        <v/>
      </c>
      <c r="S136" s="16" t="str">
        <f aca="false">IF($A136="","",SUMIFS(Attendance!$AY$6:$AY$2405,Attendance!$B$6:$B$2405,$A136,Attendance!$A$6:$A$2405,"&gt;="&amp;DATE(LvYear,1,1),Attendance!$A$6:$A$2405,"&lt;="&amp;DATE(LvYear,12,31)))</f>
        <v/>
      </c>
      <c r="T136" s="16" t="str">
        <f aca="false">IF($A136="","",SUMIFS(Attendance!$AX$6:$AX$2405,Attendance!$B$6:$B$2405,$A136,Attendance!$A$6:$A$2405,"&gt;="&amp;DATE(LvYear,1,1),Attendance!$A$6:$A$2405,"&lt;="&amp;DATE(LvYear,12,31)))</f>
        <v/>
      </c>
      <c r="U136" s="16" t="str">
        <f aca="false">IF($A136="","",SUMIFS(Attendance!$AW$6:$AW$2405,Attendance!$B$6:$B$2405,$A136,Attendance!$A$6:$A$2405,"&gt;="&amp;DATE(LvYear,1,1),Attendance!$A$6:$A$2405,"&lt;="&amp;DATE(LvYear,12,31)))</f>
        <v/>
      </c>
      <c r="V136" s="16" t="str">
        <f aca="false">IF($A136="","",L136-R136)</f>
        <v/>
      </c>
      <c r="W136" s="16" t="str">
        <f aca="false">IF($A136="","",M136-S136)</f>
        <v/>
      </c>
      <c r="X136" s="16" t="str">
        <f aca="false">IF($A136="","",P136-T136)</f>
        <v/>
      </c>
      <c r="Y136" s="16" t="str">
        <f aca="false">IF($A136="","",Q136-U136)</f>
        <v/>
      </c>
      <c r="Z136" s="16" t="str">
        <f aca="false">IF($A136="","",V136+W136+X136)</f>
        <v/>
      </c>
      <c r="AA136" s="16" t="str">
        <f aca="false">IF($A136="","",O136+N(N136)-T136)</f>
        <v/>
      </c>
      <c r="AB136" s="8" t="str">
        <f aca="false">IF($A136="","","CL "&amp;V136&amp;" | SL "&amp;W136&amp;" | PL "&amp;X136&amp;" | TR "&amp;Y136)</f>
        <v/>
      </c>
      <c r="AC136" s="15" t="str">
        <f aca="false">IF($A136="","",IF(F136="Exited","EXITED",IF(AND(ISNUMBER(K136),K136=0),"NOT ELIGIBLE",IF(MIN(V136:X136)&lt;0,"OVER-USED",IF(Z136&lt;=Settings!$C$15,"LOW","OK")))))</f>
        <v/>
      </c>
      <c r="AD136" s="16" t="str">
        <f aca="false">IF(OR(AC136="OVER-USED",AC136="LOW"),COUNTIF(AC$6:AC136,"OVER-USED")+COUNTIF(AC$6:AC136,"LOW"),"")</f>
        <v/>
      </c>
    </row>
    <row r="137" customFormat="false" ht="15" hidden="false" customHeight="false" outlineLevel="0" collapsed="false">
      <c r="A137" s="8" t="str">
        <f aca="false">IF('Employee List'!B137="","",'Employee List'!B137)</f>
        <v/>
      </c>
      <c r="B137" s="8" t="str">
        <f aca="false">IF($A137="","",'Employee List'!C137)</f>
        <v/>
      </c>
      <c r="C137" s="8" t="str">
        <f aca="false">IF($A137="","",'Employee List'!E137&amp;"")</f>
        <v/>
      </c>
      <c r="D137" s="8" t="str">
        <f aca="false">IF($A137="","",'Employee List'!F137&amp;"")</f>
        <v/>
      </c>
      <c r="E137" s="8" t="str">
        <f aca="false">IF($A137="","",'Employee List'!G137&amp;"")</f>
        <v/>
      </c>
      <c r="F137" s="8" t="str">
        <f aca="false">IF($A137="","",'Employee List'!D137)</f>
        <v/>
      </c>
      <c r="G137" s="38" t="str">
        <f aca="false">IF($A137="","",IF('Employee List'!I137="","",'Employee List'!I137))</f>
        <v/>
      </c>
      <c r="H137" s="38" t="str">
        <f aca="false">IF(OR($A137="",G137=""),"",G137+Settings!$C$13)</f>
        <v/>
      </c>
      <c r="I137" s="38" t="str">
        <f aca="false">IF(H137="","",MAX(H137,DATE(LvYear,1,1)))</f>
        <v/>
      </c>
      <c r="J137" s="38" t="str">
        <f aca="false">IF($A137="","",IF('Employee List'!J137="",DATE(LvYear,12,31),MIN('Employee List'!J137,DATE(LvYear,12,31))))</f>
        <v/>
      </c>
      <c r="K137" s="39" t="str">
        <f aca="false">IF(OR(I137="",J137=""),"",MAX(0,J137-I137+1))</f>
        <v/>
      </c>
      <c r="L137" s="16" t="str">
        <f aca="false">IF($A137="","",IF(AND(ISNUMBER(K137),K137=0),0,Settings!$C$10))</f>
        <v/>
      </c>
      <c r="M137" s="16" t="str">
        <f aca="false">IF($A137="","",IF(AND(ISNUMBER(K137),K137=0),0,Settings!$C$11))</f>
        <v/>
      </c>
      <c r="N137" s="40"/>
      <c r="O137" s="16" t="str">
        <f aca="false">IF($A137="","",FLOOR(Settings!$C$12/365*N(K137),0.5))</f>
        <v/>
      </c>
      <c r="P137" s="16" t="str">
        <f aca="false">IF($A137="","",IF(I137="",N(N137),FLOOR(Settings!$C$12/365*MAX(0,MIN(LvAsOf,J137)-I137+1)+N(N137),0.5)))</f>
        <v/>
      </c>
      <c r="Q137" s="16" t="str">
        <f aca="false">IF($A137="","",Settings!$C$14)</f>
        <v/>
      </c>
      <c r="R137" s="16" t="str">
        <f aca="false">IF($A137="","",SUMIFS(Attendance!$AZ$6:$AZ$2405,Attendance!$B$6:$B$2405,$A137,Attendance!$A$6:$A$2405,"&gt;="&amp;DATE(LvYear,1,1),Attendance!$A$6:$A$2405,"&lt;="&amp;DATE(LvYear,12,31)))</f>
        <v/>
      </c>
      <c r="S137" s="16" t="str">
        <f aca="false">IF($A137="","",SUMIFS(Attendance!$AY$6:$AY$2405,Attendance!$B$6:$B$2405,$A137,Attendance!$A$6:$A$2405,"&gt;="&amp;DATE(LvYear,1,1),Attendance!$A$6:$A$2405,"&lt;="&amp;DATE(LvYear,12,31)))</f>
        <v/>
      </c>
      <c r="T137" s="16" t="str">
        <f aca="false">IF($A137="","",SUMIFS(Attendance!$AX$6:$AX$2405,Attendance!$B$6:$B$2405,$A137,Attendance!$A$6:$A$2405,"&gt;="&amp;DATE(LvYear,1,1),Attendance!$A$6:$A$2405,"&lt;="&amp;DATE(LvYear,12,31)))</f>
        <v/>
      </c>
      <c r="U137" s="16" t="str">
        <f aca="false">IF($A137="","",SUMIFS(Attendance!$AW$6:$AW$2405,Attendance!$B$6:$B$2405,$A137,Attendance!$A$6:$A$2405,"&gt;="&amp;DATE(LvYear,1,1),Attendance!$A$6:$A$2405,"&lt;="&amp;DATE(LvYear,12,31)))</f>
        <v/>
      </c>
      <c r="V137" s="16" t="str">
        <f aca="false">IF($A137="","",L137-R137)</f>
        <v/>
      </c>
      <c r="W137" s="16" t="str">
        <f aca="false">IF($A137="","",M137-S137)</f>
        <v/>
      </c>
      <c r="X137" s="16" t="str">
        <f aca="false">IF($A137="","",P137-T137)</f>
        <v/>
      </c>
      <c r="Y137" s="16" t="str">
        <f aca="false">IF($A137="","",Q137-U137)</f>
        <v/>
      </c>
      <c r="Z137" s="16" t="str">
        <f aca="false">IF($A137="","",V137+W137+X137)</f>
        <v/>
      </c>
      <c r="AA137" s="16" t="str">
        <f aca="false">IF($A137="","",O137+N(N137)-T137)</f>
        <v/>
      </c>
      <c r="AB137" s="8" t="str">
        <f aca="false">IF($A137="","","CL "&amp;V137&amp;" | SL "&amp;W137&amp;" | PL "&amp;X137&amp;" | TR "&amp;Y137)</f>
        <v/>
      </c>
      <c r="AC137" s="15" t="str">
        <f aca="false">IF($A137="","",IF(F137="Exited","EXITED",IF(AND(ISNUMBER(K137),K137=0),"NOT ELIGIBLE",IF(MIN(V137:X137)&lt;0,"OVER-USED",IF(Z137&lt;=Settings!$C$15,"LOW","OK")))))</f>
        <v/>
      </c>
      <c r="AD137" s="16" t="str">
        <f aca="false">IF(OR(AC137="OVER-USED",AC137="LOW"),COUNTIF(AC$6:AC137,"OVER-USED")+COUNTIF(AC$6:AC137,"LOW"),"")</f>
        <v/>
      </c>
    </row>
    <row r="138" customFormat="false" ht="15" hidden="false" customHeight="false" outlineLevel="0" collapsed="false">
      <c r="A138" s="8" t="str">
        <f aca="false">IF('Employee List'!B138="","",'Employee List'!B138)</f>
        <v/>
      </c>
      <c r="B138" s="8" t="str">
        <f aca="false">IF($A138="","",'Employee List'!C138)</f>
        <v/>
      </c>
      <c r="C138" s="8" t="str">
        <f aca="false">IF($A138="","",'Employee List'!E138&amp;"")</f>
        <v/>
      </c>
      <c r="D138" s="8" t="str">
        <f aca="false">IF($A138="","",'Employee List'!F138&amp;"")</f>
        <v/>
      </c>
      <c r="E138" s="8" t="str">
        <f aca="false">IF($A138="","",'Employee List'!G138&amp;"")</f>
        <v/>
      </c>
      <c r="F138" s="8" t="str">
        <f aca="false">IF($A138="","",'Employee List'!D138)</f>
        <v/>
      </c>
      <c r="G138" s="38" t="str">
        <f aca="false">IF($A138="","",IF('Employee List'!I138="","",'Employee List'!I138))</f>
        <v/>
      </c>
      <c r="H138" s="38" t="str">
        <f aca="false">IF(OR($A138="",G138=""),"",G138+Settings!$C$13)</f>
        <v/>
      </c>
      <c r="I138" s="38" t="str">
        <f aca="false">IF(H138="","",MAX(H138,DATE(LvYear,1,1)))</f>
        <v/>
      </c>
      <c r="J138" s="38" t="str">
        <f aca="false">IF($A138="","",IF('Employee List'!J138="",DATE(LvYear,12,31),MIN('Employee List'!J138,DATE(LvYear,12,31))))</f>
        <v/>
      </c>
      <c r="K138" s="39" t="str">
        <f aca="false">IF(OR(I138="",J138=""),"",MAX(0,J138-I138+1))</f>
        <v/>
      </c>
      <c r="L138" s="16" t="str">
        <f aca="false">IF($A138="","",IF(AND(ISNUMBER(K138),K138=0),0,Settings!$C$10))</f>
        <v/>
      </c>
      <c r="M138" s="16" t="str">
        <f aca="false">IF($A138="","",IF(AND(ISNUMBER(K138),K138=0),0,Settings!$C$11))</f>
        <v/>
      </c>
      <c r="N138" s="40"/>
      <c r="O138" s="16" t="str">
        <f aca="false">IF($A138="","",FLOOR(Settings!$C$12/365*N(K138),0.5))</f>
        <v/>
      </c>
      <c r="P138" s="16" t="str">
        <f aca="false">IF($A138="","",IF(I138="",N(N138),FLOOR(Settings!$C$12/365*MAX(0,MIN(LvAsOf,J138)-I138+1)+N(N138),0.5)))</f>
        <v/>
      </c>
      <c r="Q138" s="16" t="str">
        <f aca="false">IF($A138="","",Settings!$C$14)</f>
        <v/>
      </c>
      <c r="R138" s="16" t="str">
        <f aca="false">IF($A138="","",SUMIFS(Attendance!$AZ$6:$AZ$2405,Attendance!$B$6:$B$2405,$A138,Attendance!$A$6:$A$2405,"&gt;="&amp;DATE(LvYear,1,1),Attendance!$A$6:$A$2405,"&lt;="&amp;DATE(LvYear,12,31)))</f>
        <v/>
      </c>
      <c r="S138" s="16" t="str">
        <f aca="false">IF($A138="","",SUMIFS(Attendance!$AY$6:$AY$2405,Attendance!$B$6:$B$2405,$A138,Attendance!$A$6:$A$2405,"&gt;="&amp;DATE(LvYear,1,1),Attendance!$A$6:$A$2405,"&lt;="&amp;DATE(LvYear,12,31)))</f>
        <v/>
      </c>
      <c r="T138" s="16" t="str">
        <f aca="false">IF($A138="","",SUMIFS(Attendance!$AX$6:$AX$2405,Attendance!$B$6:$B$2405,$A138,Attendance!$A$6:$A$2405,"&gt;="&amp;DATE(LvYear,1,1),Attendance!$A$6:$A$2405,"&lt;="&amp;DATE(LvYear,12,31)))</f>
        <v/>
      </c>
      <c r="U138" s="16" t="str">
        <f aca="false">IF($A138="","",SUMIFS(Attendance!$AW$6:$AW$2405,Attendance!$B$6:$B$2405,$A138,Attendance!$A$6:$A$2405,"&gt;="&amp;DATE(LvYear,1,1),Attendance!$A$6:$A$2405,"&lt;="&amp;DATE(LvYear,12,31)))</f>
        <v/>
      </c>
      <c r="V138" s="16" t="str">
        <f aca="false">IF($A138="","",L138-R138)</f>
        <v/>
      </c>
      <c r="W138" s="16" t="str">
        <f aca="false">IF($A138="","",M138-S138)</f>
        <v/>
      </c>
      <c r="X138" s="16" t="str">
        <f aca="false">IF($A138="","",P138-T138)</f>
        <v/>
      </c>
      <c r="Y138" s="16" t="str">
        <f aca="false">IF($A138="","",Q138-U138)</f>
        <v/>
      </c>
      <c r="Z138" s="16" t="str">
        <f aca="false">IF($A138="","",V138+W138+X138)</f>
        <v/>
      </c>
      <c r="AA138" s="16" t="str">
        <f aca="false">IF($A138="","",O138+N(N138)-T138)</f>
        <v/>
      </c>
      <c r="AB138" s="8" t="str">
        <f aca="false">IF($A138="","","CL "&amp;V138&amp;" | SL "&amp;W138&amp;" | PL "&amp;X138&amp;" | TR "&amp;Y138)</f>
        <v/>
      </c>
      <c r="AC138" s="15" t="str">
        <f aca="false">IF($A138="","",IF(F138="Exited","EXITED",IF(AND(ISNUMBER(K138),K138=0),"NOT ELIGIBLE",IF(MIN(V138:X138)&lt;0,"OVER-USED",IF(Z138&lt;=Settings!$C$15,"LOW","OK")))))</f>
        <v/>
      </c>
      <c r="AD138" s="16" t="str">
        <f aca="false">IF(OR(AC138="OVER-USED",AC138="LOW"),COUNTIF(AC$6:AC138,"OVER-USED")+COUNTIF(AC$6:AC138,"LOW"),"")</f>
        <v/>
      </c>
    </row>
    <row r="139" customFormat="false" ht="15" hidden="false" customHeight="false" outlineLevel="0" collapsed="false">
      <c r="A139" s="8" t="str">
        <f aca="false">IF('Employee List'!B139="","",'Employee List'!B139)</f>
        <v/>
      </c>
      <c r="B139" s="8" t="str">
        <f aca="false">IF($A139="","",'Employee List'!C139)</f>
        <v/>
      </c>
      <c r="C139" s="8" t="str">
        <f aca="false">IF($A139="","",'Employee List'!E139&amp;"")</f>
        <v/>
      </c>
      <c r="D139" s="8" t="str">
        <f aca="false">IF($A139="","",'Employee List'!F139&amp;"")</f>
        <v/>
      </c>
      <c r="E139" s="8" t="str">
        <f aca="false">IF($A139="","",'Employee List'!G139&amp;"")</f>
        <v/>
      </c>
      <c r="F139" s="8" t="str">
        <f aca="false">IF($A139="","",'Employee List'!D139)</f>
        <v/>
      </c>
      <c r="G139" s="38" t="str">
        <f aca="false">IF($A139="","",IF('Employee List'!I139="","",'Employee List'!I139))</f>
        <v/>
      </c>
      <c r="H139" s="38" t="str">
        <f aca="false">IF(OR($A139="",G139=""),"",G139+Settings!$C$13)</f>
        <v/>
      </c>
      <c r="I139" s="38" t="str">
        <f aca="false">IF(H139="","",MAX(H139,DATE(LvYear,1,1)))</f>
        <v/>
      </c>
      <c r="J139" s="38" t="str">
        <f aca="false">IF($A139="","",IF('Employee List'!J139="",DATE(LvYear,12,31),MIN('Employee List'!J139,DATE(LvYear,12,31))))</f>
        <v/>
      </c>
      <c r="K139" s="39" t="str">
        <f aca="false">IF(OR(I139="",J139=""),"",MAX(0,J139-I139+1))</f>
        <v/>
      </c>
      <c r="L139" s="16" t="str">
        <f aca="false">IF($A139="","",IF(AND(ISNUMBER(K139),K139=0),0,Settings!$C$10))</f>
        <v/>
      </c>
      <c r="M139" s="16" t="str">
        <f aca="false">IF($A139="","",IF(AND(ISNUMBER(K139),K139=0),0,Settings!$C$11))</f>
        <v/>
      </c>
      <c r="N139" s="40"/>
      <c r="O139" s="16" t="str">
        <f aca="false">IF($A139="","",FLOOR(Settings!$C$12/365*N(K139),0.5))</f>
        <v/>
      </c>
      <c r="P139" s="16" t="str">
        <f aca="false">IF($A139="","",IF(I139="",N(N139),FLOOR(Settings!$C$12/365*MAX(0,MIN(LvAsOf,J139)-I139+1)+N(N139),0.5)))</f>
        <v/>
      </c>
      <c r="Q139" s="16" t="str">
        <f aca="false">IF($A139="","",Settings!$C$14)</f>
        <v/>
      </c>
      <c r="R139" s="16" t="str">
        <f aca="false">IF($A139="","",SUMIFS(Attendance!$AZ$6:$AZ$2405,Attendance!$B$6:$B$2405,$A139,Attendance!$A$6:$A$2405,"&gt;="&amp;DATE(LvYear,1,1),Attendance!$A$6:$A$2405,"&lt;="&amp;DATE(LvYear,12,31)))</f>
        <v/>
      </c>
      <c r="S139" s="16" t="str">
        <f aca="false">IF($A139="","",SUMIFS(Attendance!$AY$6:$AY$2405,Attendance!$B$6:$B$2405,$A139,Attendance!$A$6:$A$2405,"&gt;="&amp;DATE(LvYear,1,1),Attendance!$A$6:$A$2405,"&lt;="&amp;DATE(LvYear,12,31)))</f>
        <v/>
      </c>
      <c r="T139" s="16" t="str">
        <f aca="false">IF($A139="","",SUMIFS(Attendance!$AX$6:$AX$2405,Attendance!$B$6:$B$2405,$A139,Attendance!$A$6:$A$2405,"&gt;="&amp;DATE(LvYear,1,1),Attendance!$A$6:$A$2405,"&lt;="&amp;DATE(LvYear,12,31)))</f>
        <v/>
      </c>
      <c r="U139" s="16" t="str">
        <f aca="false">IF($A139="","",SUMIFS(Attendance!$AW$6:$AW$2405,Attendance!$B$6:$B$2405,$A139,Attendance!$A$6:$A$2405,"&gt;="&amp;DATE(LvYear,1,1),Attendance!$A$6:$A$2405,"&lt;="&amp;DATE(LvYear,12,31)))</f>
        <v/>
      </c>
      <c r="V139" s="16" t="str">
        <f aca="false">IF($A139="","",L139-R139)</f>
        <v/>
      </c>
      <c r="W139" s="16" t="str">
        <f aca="false">IF($A139="","",M139-S139)</f>
        <v/>
      </c>
      <c r="X139" s="16" t="str">
        <f aca="false">IF($A139="","",P139-T139)</f>
        <v/>
      </c>
      <c r="Y139" s="16" t="str">
        <f aca="false">IF($A139="","",Q139-U139)</f>
        <v/>
      </c>
      <c r="Z139" s="16" t="str">
        <f aca="false">IF($A139="","",V139+W139+X139)</f>
        <v/>
      </c>
      <c r="AA139" s="16" t="str">
        <f aca="false">IF($A139="","",O139+N(N139)-T139)</f>
        <v/>
      </c>
      <c r="AB139" s="8" t="str">
        <f aca="false">IF($A139="","","CL "&amp;V139&amp;" | SL "&amp;W139&amp;" | PL "&amp;X139&amp;" | TR "&amp;Y139)</f>
        <v/>
      </c>
      <c r="AC139" s="15" t="str">
        <f aca="false">IF($A139="","",IF(F139="Exited","EXITED",IF(AND(ISNUMBER(K139),K139=0),"NOT ELIGIBLE",IF(MIN(V139:X139)&lt;0,"OVER-USED",IF(Z139&lt;=Settings!$C$15,"LOW","OK")))))</f>
        <v/>
      </c>
      <c r="AD139" s="16" t="str">
        <f aca="false">IF(OR(AC139="OVER-USED",AC139="LOW"),COUNTIF(AC$6:AC139,"OVER-USED")+COUNTIF(AC$6:AC139,"LOW"),"")</f>
        <v/>
      </c>
    </row>
    <row r="140" customFormat="false" ht="15" hidden="false" customHeight="false" outlineLevel="0" collapsed="false">
      <c r="A140" s="8" t="str">
        <f aca="false">IF('Employee List'!B140="","",'Employee List'!B140)</f>
        <v/>
      </c>
      <c r="B140" s="8" t="str">
        <f aca="false">IF($A140="","",'Employee List'!C140)</f>
        <v/>
      </c>
      <c r="C140" s="8" t="str">
        <f aca="false">IF($A140="","",'Employee List'!E140&amp;"")</f>
        <v/>
      </c>
      <c r="D140" s="8" t="str">
        <f aca="false">IF($A140="","",'Employee List'!F140&amp;"")</f>
        <v/>
      </c>
      <c r="E140" s="8" t="str">
        <f aca="false">IF($A140="","",'Employee List'!G140&amp;"")</f>
        <v/>
      </c>
      <c r="F140" s="8" t="str">
        <f aca="false">IF($A140="","",'Employee List'!D140)</f>
        <v/>
      </c>
      <c r="G140" s="38" t="str">
        <f aca="false">IF($A140="","",IF('Employee List'!I140="","",'Employee List'!I140))</f>
        <v/>
      </c>
      <c r="H140" s="38" t="str">
        <f aca="false">IF(OR($A140="",G140=""),"",G140+Settings!$C$13)</f>
        <v/>
      </c>
      <c r="I140" s="38" t="str">
        <f aca="false">IF(H140="","",MAX(H140,DATE(LvYear,1,1)))</f>
        <v/>
      </c>
      <c r="J140" s="38" t="str">
        <f aca="false">IF($A140="","",IF('Employee List'!J140="",DATE(LvYear,12,31),MIN('Employee List'!J140,DATE(LvYear,12,31))))</f>
        <v/>
      </c>
      <c r="K140" s="39" t="str">
        <f aca="false">IF(OR(I140="",J140=""),"",MAX(0,J140-I140+1))</f>
        <v/>
      </c>
      <c r="L140" s="16" t="str">
        <f aca="false">IF($A140="","",IF(AND(ISNUMBER(K140),K140=0),0,Settings!$C$10))</f>
        <v/>
      </c>
      <c r="M140" s="16" t="str">
        <f aca="false">IF($A140="","",IF(AND(ISNUMBER(K140),K140=0),0,Settings!$C$11))</f>
        <v/>
      </c>
      <c r="N140" s="40"/>
      <c r="O140" s="16" t="str">
        <f aca="false">IF($A140="","",FLOOR(Settings!$C$12/365*N(K140),0.5))</f>
        <v/>
      </c>
      <c r="P140" s="16" t="str">
        <f aca="false">IF($A140="","",IF(I140="",N(N140),FLOOR(Settings!$C$12/365*MAX(0,MIN(LvAsOf,J140)-I140+1)+N(N140),0.5)))</f>
        <v/>
      </c>
      <c r="Q140" s="16" t="str">
        <f aca="false">IF($A140="","",Settings!$C$14)</f>
        <v/>
      </c>
      <c r="R140" s="16" t="str">
        <f aca="false">IF($A140="","",SUMIFS(Attendance!$AZ$6:$AZ$2405,Attendance!$B$6:$B$2405,$A140,Attendance!$A$6:$A$2405,"&gt;="&amp;DATE(LvYear,1,1),Attendance!$A$6:$A$2405,"&lt;="&amp;DATE(LvYear,12,31)))</f>
        <v/>
      </c>
      <c r="S140" s="16" t="str">
        <f aca="false">IF($A140="","",SUMIFS(Attendance!$AY$6:$AY$2405,Attendance!$B$6:$B$2405,$A140,Attendance!$A$6:$A$2405,"&gt;="&amp;DATE(LvYear,1,1),Attendance!$A$6:$A$2405,"&lt;="&amp;DATE(LvYear,12,31)))</f>
        <v/>
      </c>
      <c r="T140" s="16" t="str">
        <f aca="false">IF($A140="","",SUMIFS(Attendance!$AX$6:$AX$2405,Attendance!$B$6:$B$2405,$A140,Attendance!$A$6:$A$2405,"&gt;="&amp;DATE(LvYear,1,1),Attendance!$A$6:$A$2405,"&lt;="&amp;DATE(LvYear,12,31)))</f>
        <v/>
      </c>
      <c r="U140" s="16" t="str">
        <f aca="false">IF($A140="","",SUMIFS(Attendance!$AW$6:$AW$2405,Attendance!$B$6:$B$2405,$A140,Attendance!$A$6:$A$2405,"&gt;="&amp;DATE(LvYear,1,1),Attendance!$A$6:$A$2405,"&lt;="&amp;DATE(LvYear,12,31)))</f>
        <v/>
      </c>
      <c r="V140" s="16" t="str">
        <f aca="false">IF($A140="","",L140-R140)</f>
        <v/>
      </c>
      <c r="W140" s="16" t="str">
        <f aca="false">IF($A140="","",M140-S140)</f>
        <v/>
      </c>
      <c r="X140" s="16" t="str">
        <f aca="false">IF($A140="","",P140-T140)</f>
        <v/>
      </c>
      <c r="Y140" s="16" t="str">
        <f aca="false">IF($A140="","",Q140-U140)</f>
        <v/>
      </c>
      <c r="Z140" s="16" t="str">
        <f aca="false">IF($A140="","",V140+W140+X140)</f>
        <v/>
      </c>
      <c r="AA140" s="16" t="str">
        <f aca="false">IF($A140="","",O140+N(N140)-T140)</f>
        <v/>
      </c>
      <c r="AB140" s="8" t="str">
        <f aca="false">IF($A140="","","CL "&amp;V140&amp;" | SL "&amp;W140&amp;" | PL "&amp;X140&amp;" | TR "&amp;Y140)</f>
        <v/>
      </c>
      <c r="AC140" s="15" t="str">
        <f aca="false">IF($A140="","",IF(F140="Exited","EXITED",IF(AND(ISNUMBER(K140),K140=0),"NOT ELIGIBLE",IF(MIN(V140:X140)&lt;0,"OVER-USED",IF(Z140&lt;=Settings!$C$15,"LOW","OK")))))</f>
        <v/>
      </c>
      <c r="AD140" s="16" t="str">
        <f aca="false">IF(OR(AC140="OVER-USED",AC140="LOW"),COUNTIF(AC$6:AC140,"OVER-USED")+COUNTIF(AC$6:AC140,"LOW"),"")</f>
        <v/>
      </c>
    </row>
    <row r="141" customFormat="false" ht="15" hidden="false" customHeight="false" outlineLevel="0" collapsed="false">
      <c r="A141" s="8" t="str">
        <f aca="false">IF('Employee List'!B141="","",'Employee List'!B141)</f>
        <v/>
      </c>
      <c r="B141" s="8" t="str">
        <f aca="false">IF($A141="","",'Employee List'!C141)</f>
        <v/>
      </c>
      <c r="C141" s="8" t="str">
        <f aca="false">IF($A141="","",'Employee List'!E141&amp;"")</f>
        <v/>
      </c>
      <c r="D141" s="8" t="str">
        <f aca="false">IF($A141="","",'Employee List'!F141&amp;"")</f>
        <v/>
      </c>
      <c r="E141" s="8" t="str">
        <f aca="false">IF($A141="","",'Employee List'!G141&amp;"")</f>
        <v/>
      </c>
      <c r="F141" s="8" t="str">
        <f aca="false">IF($A141="","",'Employee List'!D141)</f>
        <v/>
      </c>
      <c r="G141" s="38" t="str">
        <f aca="false">IF($A141="","",IF('Employee List'!I141="","",'Employee List'!I141))</f>
        <v/>
      </c>
      <c r="H141" s="38" t="str">
        <f aca="false">IF(OR($A141="",G141=""),"",G141+Settings!$C$13)</f>
        <v/>
      </c>
      <c r="I141" s="38" t="str">
        <f aca="false">IF(H141="","",MAX(H141,DATE(LvYear,1,1)))</f>
        <v/>
      </c>
      <c r="J141" s="38" t="str">
        <f aca="false">IF($A141="","",IF('Employee List'!J141="",DATE(LvYear,12,31),MIN('Employee List'!J141,DATE(LvYear,12,31))))</f>
        <v/>
      </c>
      <c r="K141" s="39" t="str">
        <f aca="false">IF(OR(I141="",J141=""),"",MAX(0,J141-I141+1))</f>
        <v/>
      </c>
      <c r="L141" s="16" t="str">
        <f aca="false">IF($A141="","",IF(AND(ISNUMBER(K141),K141=0),0,Settings!$C$10))</f>
        <v/>
      </c>
      <c r="M141" s="16" t="str">
        <f aca="false">IF($A141="","",IF(AND(ISNUMBER(K141),K141=0),0,Settings!$C$11))</f>
        <v/>
      </c>
      <c r="N141" s="40"/>
      <c r="O141" s="16" t="str">
        <f aca="false">IF($A141="","",FLOOR(Settings!$C$12/365*N(K141),0.5))</f>
        <v/>
      </c>
      <c r="P141" s="16" t="str">
        <f aca="false">IF($A141="","",IF(I141="",N(N141),FLOOR(Settings!$C$12/365*MAX(0,MIN(LvAsOf,J141)-I141+1)+N(N141),0.5)))</f>
        <v/>
      </c>
      <c r="Q141" s="16" t="str">
        <f aca="false">IF($A141="","",Settings!$C$14)</f>
        <v/>
      </c>
      <c r="R141" s="16" t="str">
        <f aca="false">IF($A141="","",SUMIFS(Attendance!$AZ$6:$AZ$2405,Attendance!$B$6:$B$2405,$A141,Attendance!$A$6:$A$2405,"&gt;="&amp;DATE(LvYear,1,1),Attendance!$A$6:$A$2405,"&lt;="&amp;DATE(LvYear,12,31)))</f>
        <v/>
      </c>
      <c r="S141" s="16" t="str">
        <f aca="false">IF($A141="","",SUMIFS(Attendance!$AY$6:$AY$2405,Attendance!$B$6:$B$2405,$A141,Attendance!$A$6:$A$2405,"&gt;="&amp;DATE(LvYear,1,1),Attendance!$A$6:$A$2405,"&lt;="&amp;DATE(LvYear,12,31)))</f>
        <v/>
      </c>
      <c r="T141" s="16" t="str">
        <f aca="false">IF($A141="","",SUMIFS(Attendance!$AX$6:$AX$2405,Attendance!$B$6:$B$2405,$A141,Attendance!$A$6:$A$2405,"&gt;="&amp;DATE(LvYear,1,1),Attendance!$A$6:$A$2405,"&lt;="&amp;DATE(LvYear,12,31)))</f>
        <v/>
      </c>
      <c r="U141" s="16" t="str">
        <f aca="false">IF($A141="","",SUMIFS(Attendance!$AW$6:$AW$2405,Attendance!$B$6:$B$2405,$A141,Attendance!$A$6:$A$2405,"&gt;="&amp;DATE(LvYear,1,1),Attendance!$A$6:$A$2405,"&lt;="&amp;DATE(LvYear,12,31)))</f>
        <v/>
      </c>
      <c r="V141" s="16" t="str">
        <f aca="false">IF($A141="","",L141-R141)</f>
        <v/>
      </c>
      <c r="W141" s="16" t="str">
        <f aca="false">IF($A141="","",M141-S141)</f>
        <v/>
      </c>
      <c r="X141" s="16" t="str">
        <f aca="false">IF($A141="","",P141-T141)</f>
        <v/>
      </c>
      <c r="Y141" s="16" t="str">
        <f aca="false">IF($A141="","",Q141-U141)</f>
        <v/>
      </c>
      <c r="Z141" s="16" t="str">
        <f aca="false">IF($A141="","",V141+W141+X141)</f>
        <v/>
      </c>
      <c r="AA141" s="16" t="str">
        <f aca="false">IF($A141="","",O141+N(N141)-T141)</f>
        <v/>
      </c>
      <c r="AB141" s="8" t="str">
        <f aca="false">IF($A141="","","CL "&amp;V141&amp;" | SL "&amp;W141&amp;" | PL "&amp;X141&amp;" | TR "&amp;Y141)</f>
        <v/>
      </c>
      <c r="AC141" s="15" t="str">
        <f aca="false">IF($A141="","",IF(F141="Exited","EXITED",IF(AND(ISNUMBER(K141),K141=0),"NOT ELIGIBLE",IF(MIN(V141:X141)&lt;0,"OVER-USED",IF(Z141&lt;=Settings!$C$15,"LOW","OK")))))</f>
        <v/>
      </c>
      <c r="AD141" s="16" t="str">
        <f aca="false">IF(OR(AC141="OVER-USED",AC141="LOW"),COUNTIF(AC$6:AC141,"OVER-USED")+COUNTIF(AC$6:AC141,"LOW"),"")</f>
        <v/>
      </c>
    </row>
    <row r="142" customFormat="false" ht="15" hidden="false" customHeight="false" outlineLevel="0" collapsed="false">
      <c r="A142" s="8" t="str">
        <f aca="false">IF('Employee List'!B142="","",'Employee List'!B142)</f>
        <v/>
      </c>
      <c r="B142" s="8" t="str">
        <f aca="false">IF($A142="","",'Employee List'!C142)</f>
        <v/>
      </c>
      <c r="C142" s="8" t="str">
        <f aca="false">IF($A142="","",'Employee List'!E142&amp;"")</f>
        <v/>
      </c>
      <c r="D142" s="8" t="str">
        <f aca="false">IF($A142="","",'Employee List'!F142&amp;"")</f>
        <v/>
      </c>
      <c r="E142" s="8" t="str">
        <f aca="false">IF($A142="","",'Employee List'!G142&amp;"")</f>
        <v/>
      </c>
      <c r="F142" s="8" t="str">
        <f aca="false">IF($A142="","",'Employee List'!D142)</f>
        <v/>
      </c>
      <c r="G142" s="38" t="str">
        <f aca="false">IF($A142="","",IF('Employee List'!I142="","",'Employee List'!I142))</f>
        <v/>
      </c>
      <c r="H142" s="38" t="str">
        <f aca="false">IF(OR($A142="",G142=""),"",G142+Settings!$C$13)</f>
        <v/>
      </c>
      <c r="I142" s="38" t="str">
        <f aca="false">IF(H142="","",MAX(H142,DATE(LvYear,1,1)))</f>
        <v/>
      </c>
      <c r="J142" s="38" t="str">
        <f aca="false">IF($A142="","",IF('Employee List'!J142="",DATE(LvYear,12,31),MIN('Employee List'!J142,DATE(LvYear,12,31))))</f>
        <v/>
      </c>
      <c r="K142" s="39" t="str">
        <f aca="false">IF(OR(I142="",J142=""),"",MAX(0,J142-I142+1))</f>
        <v/>
      </c>
      <c r="L142" s="16" t="str">
        <f aca="false">IF($A142="","",IF(AND(ISNUMBER(K142),K142=0),0,Settings!$C$10))</f>
        <v/>
      </c>
      <c r="M142" s="16" t="str">
        <f aca="false">IF($A142="","",IF(AND(ISNUMBER(K142),K142=0),0,Settings!$C$11))</f>
        <v/>
      </c>
      <c r="N142" s="40"/>
      <c r="O142" s="16" t="str">
        <f aca="false">IF($A142="","",FLOOR(Settings!$C$12/365*N(K142),0.5))</f>
        <v/>
      </c>
      <c r="P142" s="16" t="str">
        <f aca="false">IF($A142="","",IF(I142="",N(N142),FLOOR(Settings!$C$12/365*MAX(0,MIN(LvAsOf,J142)-I142+1)+N(N142),0.5)))</f>
        <v/>
      </c>
      <c r="Q142" s="16" t="str">
        <f aca="false">IF($A142="","",Settings!$C$14)</f>
        <v/>
      </c>
      <c r="R142" s="16" t="str">
        <f aca="false">IF($A142="","",SUMIFS(Attendance!$AZ$6:$AZ$2405,Attendance!$B$6:$B$2405,$A142,Attendance!$A$6:$A$2405,"&gt;="&amp;DATE(LvYear,1,1),Attendance!$A$6:$A$2405,"&lt;="&amp;DATE(LvYear,12,31)))</f>
        <v/>
      </c>
      <c r="S142" s="16" t="str">
        <f aca="false">IF($A142="","",SUMIFS(Attendance!$AY$6:$AY$2405,Attendance!$B$6:$B$2405,$A142,Attendance!$A$6:$A$2405,"&gt;="&amp;DATE(LvYear,1,1),Attendance!$A$6:$A$2405,"&lt;="&amp;DATE(LvYear,12,31)))</f>
        <v/>
      </c>
      <c r="T142" s="16" t="str">
        <f aca="false">IF($A142="","",SUMIFS(Attendance!$AX$6:$AX$2405,Attendance!$B$6:$B$2405,$A142,Attendance!$A$6:$A$2405,"&gt;="&amp;DATE(LvYear,1,1),Attendance!$A$6:$A$2405,"&lt;="&amp;DATE(LvYear,12,31)))</f>
        <v/>
      </c>
      <c r="U142" s="16" t="str">
        <f aca="false">IF($A142="","",SUMIFS(Attendance!$AW$6:$AW$2405,Attendance!$B$6:$B$2405,$A142,Attendance!$A$6:$A$2405,"&gt;="&amp;DATE(LvYear,1,1),Attendance!$A$6:$A$2405,"&lt;="&amp;DATE(LvYear,12,31)))</f>
        <v/>
      </c>
      <c r="V142" s="16" t="str">
        <f aca="false">IF($A142="","",L142-R142)</f>
        <v/>
      </c>
      <c r="W142" s="16" t="str">
        <f aca="false">IF($A142="","",M142-S142)</f>
        <v/>
      </c>
      <c r="X142" s="16" t="str">
        <f aca="false">IF($A142="","",P142-T142)</f>
        <v/>
      </c>
      <c r="Y142" s="16" t="str">
        <f aca="false">IF($A142="","",Q142-U142)</f>
        <v/>
      </c>
      <c r="Z142" s="16" t="str">
        <f aca="false">IF($A142="","",V142+W142+X142)</f>
        <v/>
      </c>
      <c r="AA142" s="16" t="str">
        <f aca="false">IF($A142="","",O142+N(N142)-T142)</f>
        <v/>
      </c>
      <c r="AB142" s="8" t="str">
        <f aca="false">IF($A142="","","CL "&amp;V142&amp;" | SL "&amp;W142&amp;" | PL "&amp;X142&amp;" | TR "&amp;Y142)</f>
        <v/>
      </c>
      <c r="AC142" s="15" t="str">
        <f aca="false">IF($A142="","",IF(F142="Exited","EXITED",IF(AND(ISNUMBER(K142),K142=0),"NOT ELIGIBLE",IF(MIN(V142:X142)&lt;0,"OVER-USED",IF(Z142&lt;=Settings!$C$15,"LOW","OK")))))</f>
        <v/>
      </c>
      <c r="AD142" s="16" t="str">
        <f aca="false">IF(OR(AC142="OVER-USED",AC142="LOW"),COUNTIF(AC$6:AC142,"OVER-USED")+COUNTIF(AC$6:AC142,"LOW"),"")</f>
        <v/>
      </c>
    </row>
    <row r="143" customFormat="false" ht="15" hidden="false" customHeight="false" outlineLevel="0" collapsed="false">
      <c r="A143" s="8" t="str">
        <f aca="false">IF('Employee List'!B143="","",'Employee List'!B143)</f>
        <v/>
      </c>
      <c r="B143" s="8" t="str">
        <f aca="false">IF($A143="","",'Employee List'!C143)</f>
        <v/>
      </c>
      <c r="C143" s="8" t="str">
        <f aca="false">IF($A143="","",'Employee List'!E143&amp;"")</f>
        <v/>
      </c>
      <c r="D143" s="8" t="str">
        <f aca="false">IF($A143="","",'Employee List'!F143&amp;"")</f>
        <v/>
      </c>
      <c r="E143" s="8" t="str">
        <f aca="false">IF($A143="","",'Employee List'!G143&amp;"")</f>
        <v/>
      </c>
      <c r="F143" s="8" t="str">
        <f aca="false">IF($A143="","",'Employee List'!D143)</f>
        <v/>
      </c>
      <c r="G143" s="38" t="str">
        <f aca="false">IF($A143="","",IF('Employee List'!I143="","",'Employee List'!I143))</f>
        <v/>
      </c>
      <c r="H143" s="38" t="str">
        <f aca="false">IF(OR($A143="",G143=""),"",G143+Settings!$C$13)</f>
        <v/>
      </c>
      <c r="I143" s="38" t="str">
        <f aca="false">IF(H143="","",MAX(H143,DATE(LvYear,1,1)))</f>
        <v/>
      </c>
      <c r="J143" s="38" t="str">
        <f aca="false">IF($A143="","",IF('Employee List'!J143="",DATE(LvYear,12,31),MIN('Employee List'!J143,DATE(LvYear,12,31))))</f>
        <v/>
      </c>
      <c r="K143" s="39" t="str">
        <f aca="false">IF(OR(I143="",J143=""),"",MAX(0,J143-I143+1))</f>
        <v/>
      </c>
      <c r="L143" s="16" t="str">
        <f aca="false">IF($A143="","",IF(AND(ISNUMBER(K143),K143=0),0,Settings!$C$10))</f>
        <v/>
      </c>
      <c r="M143" s="16" t="str">
        <f aca="false">IF($A143="","",IF(AND(ISNUMBER(K143),K143=0),0,Settings!$C$11))</f>
        <v/>
      </c>
      <c r="N143" s="40"/>
      <c r="O143" s="16" t="str">
        <f aca="false">IF($A143="","",FLOOR(Settings!$C$12/365*N(K143),0.5))</f>
        <v/>
      </c>
      <c r="P143" s="16" t="str">
        <f aca="false">IF($A143="","",IF(I143="",N(N143),FLOOR(Settings!$C$12/365*MAX(0,MIN(LvAsOf,J143)-I143+1)+N(N143),0.5)))</f>
        <v/>
      </c>
      <c r="Q143" s="16" t="str">
        <f aca="false">IF($A143="","",Settings!$C$14)</f>
        <v/>
      </c>
      <c r="R143" s="16" t="str">
        <f aca="false">IF($A143="","",SUMIFS(Attendance!$AZ$6:$AZ$2405,Attendance!$B$6:$B$2405,$A143,Attendance!$A$6:$A$2405,"&gt;="&amp;DATE(LvYear,1,1),Attendance!$A$6:$A$2405,"&lt;="&amp;DATE(LvYear,12,31)))</f>
        <v/>
      </c>
      <c r="S143" s="16" t="str">
        <f aca="false">IF($A143="","",SUMIFS(Attendance!$AY$6:$AY$2405,Attendance!$B$6:$B$2405,$A143,Attendance!$A$6:$A$2405,"&gt;="&amp;DATE(LvYear,1,1),Attendance!$A$6:$A$2405,"&lt;="&amp;DATE(LvYear,12,31)))</f>
        <v/>
      </c>
      <c r="T143" s="16" t="str">
        <f aca="false">IF($A143="","",SUMIFS(Attendance!$AX$6:$AX$2405,Attendance!$B$6:$B$2405,$A143,Attendance!$A$6:$A$2405,"&gt;="&amp;DATE(LvYear,1,1),Attendance!$A$6:$A$2405,"&lt;="&amp;DATE(LvYear,12,31)))</f>
        <v/>
      </c>
      <c r="U143" s="16" t="str">
        <f aca="false">IF($A143="","",SUMIFS(Attendance!$AW$6:$AW$2405,Attendance!$B$6:$B$2405,$A143,Attendance!$A$6:$A$2405,"&gt;="&amp;DATE(LvYear,1,1),Attendance!$A$6:$A$2405,"&lt;="&amp;DATE(LvYear,12,31)))</f>
        <v/>
      </c>
      <c r="V143" s="16" t="str">
        <f aca="false">IF($A143="","",L143-R143)</f>
        <v/>
      </c>
      <c r="W143" s="16" t="str">
        <f aca="false">IF($A143="","",M143-S143)</f>
        <v/>
      </c>
      <c r="X143" s="16" t="str">
        <f aca="false">IF($A143="","",P143-T143)</f>
        <v/>
      </c>
      <c r="Y143" s="16" t="str">
        <f aca="false">IF($A143="","",Q143-U143)</f>
        <v/>
      </c>
      <c r="Z143" s="16" t="str">
        <f aca="false">IF($A143="","",V143+W143+X143)</f>
        <v/>
      </c>
      <c r="AA143" s="16" t="str">
        <f aca="false">IF($A143="","",O143+N(N143)-T143)</f>
        <v/>
      </c>
      <c r="AB143" s="8" t="str">
        <f aca="false">IF($A143="","","CL "&amp;V143&amp;" | SL "&amp;W143&amp;" | PL "&amp;X143&amp;" | TR "&amp;Y143)</f>
        <v/>
      </c>
      <c r="AC143" s="15" t="str">
        <f aca="false">IF($A143="","",IF(F143="Exited","EXITED",IF(AND(ISNUMBER(K143),K143=0),"NOT ELIGIBLE",IF(MIN(V143:X143)&lt;0,"OVER-USED",IF(Z143&lt;=Settings!$C$15,"LOW","OK")))))</f>
        <v/>
      </c>
      <c r="AD143" s="16" t="str">
        <f aca="false">IF(OR(AC143="OVER-USED",AC143="LOW"),COUNTIF(AC$6:AC143,"OVER-USED")+COUNTIF(AC$6:AC143,"LOW"),"")</f>
        <v/>
      </c>
    </row>
    <row r="144" customFormat="false" ht="15" hidden="false" customHeight="false" outlineLevel="0" collapsed="false">
      <c r="A144" s="8" t="str">
        <f aca="false">IF('Employee List'!B144="","",'Employee List'!B144)</f>
        <v/>
      </c>
      <c r="B144" s="8" t="str">
        <f aca="false">IF($A144="","",'Employee List'!C144)</f>
        <v/>
      </c>
      <c r="C144" s="8" t="str">
        <f aca="false">IF($A144="","",'Employee List'!E144&amp;"")</f>
        <v/>
      </c>
      <c r="D144" s="8" t="str">
        <f aca="false">IF($A144="","",'Employee List'!F144&amp;"")</f>
        <v/>
      </c>
      <c r="E144" s="8" t="str">
        <f aca="false">IF($A144="","",'Employee List'!G144&amp;"")</f>
        <v/>
      </c>
      <c r="F144" s="8" t="str">
        <f aca="false">IF($A144="","",'Employee List'!D144)</f>
        <v/>
      </c>
      <c r="G144" s="38" t="str">
        <f aca="false">IF($A144="","",IF('Employee List'!I144="","",'Employee List'!I144))</f>
        <v/>
      </c>
      <c r="H144" s="38" t="str">
        <f aca="false">IF(OR($A144="",G144=""),"",G144+Settings!$C$13)</f>
        <v/>
      </c>
      <c r="I144" s="38" t="str">
        <f aca="false">IF(H144="","",MAX(H144,DATE(LvYear,1,1)))</f>
        <v/>
      </c>
      <c r="J144" s="38" t="str">
        <f aca="false">IF($A144="","",IF('Employee List'!J144="",DATE(LvYear,12,31),MIN('Employee List'!J144,DATE(LvYear,12,31))))</f>
        <v/>
      </c>
      <c r="K144" s="39" t="str">
        <f aca="false">IF(OR(I144="",J144=""),"",MAX(0,J144-I144+1))</f>
        <v/>
      </c>
      <c r="L144" s="16" t="str">
        <f aca="false">IF($A144="","",IF(AND(ISNUMBER(K144),K144=0),0,Settings!$C$10))</f>
        <v/>
      </c>
      <c r="M144" s="16" t="str">
        <f aca="false">IF($A144="","",IF(AND(ISNUMBER(K144),K144=0),0,Settings!$C$11))</f>
        <v/>
      </c>
      <c r="N144" s="40"/>
      <c r="O144" s="16" t="str">
        <f aca="false">IF($A144="","",FLOOR(Settings!$C$12/365*N(K144),0.5))</f>
        <v/>
      </c>
      <c r="P144" s="16" t="str">
        <f aca="false">IF($A144="","",IF(I144="",N(N144),FLOOR(Settings!$C$12/365*MAX(0,MIN(LvAsOf,J144)-I144+1)+N(N144),0.5)))</f>
        <v/>
      </c>
      <c r="Q144" s="16" t="str">
        <f aca="false">IF($A144="","",Settings!$C$14)</f>
        <v/>
      </c>
      <c r="R144" s="16" t="str">
        <f aca="false">IF($A144="","",SUMIFS(Attendance!$AZ$6:$AZ$2405,Attendance!$B$6:$B$2405,$A144,Attendance!$A$6:$A$2405,"&gt;="&amp;DATE(LvYear,1,1),Attendance!$A$6:$A$2405,"&lt;="&amp;DATE(LvYear,12,31)))</f>
        <v/>
      </c>
      <c r="S144" s="16" t="str">
        <f aca="false">IF($A144="","",SUMIFS(Attendance!$AY$6:$AY$2405,Attendance!$B$6:$B$2405,$A144,Attendance!$A$6:$A$2405,"&gt;="&amp;DATE(LvYear,1,1),Attendance!$A$6:$A$2405,"&lt;="&amp;DATE(LvYear,12,31)))</f>
        <v/>
      </c>
      <c r="T144" s="16" t="str">
        <f aca="false">IF($A144="","",SUMIFS(Attendance!$AX$6:$AX$2405,Attendance!$B$6:$B$2405,$A144,Attendance!$A$6:$A$2405,"&gt;="&amp;DATE(LvYear,1,1),Attendance!$A$6:$A$2405,"&lt;="&amp;DATE(LvYear,12,31)))</f>
        <v/>
      </c>
      <c r="U144" s="16" t="str">
        <f aca="false">IF($A144="","",SUMIFS(Attendance!$AW$6:$AW$2405,Attendance!$B$6:$B$2405,$A144,Attendance!$A$6:$A$2405,"&gt;="&amp;DATE(LvYear,1,1),Attendance!$A$6:$A$2405,"&lt;="&amp;DATE(LvYear,12,31)))</f>
        <v/>
      </c>
      <c r="V144" s="16" t="str">
        <f aca="false">IF($A144="","",L144-R144)</f>
        <v/>
      </c>
      <c r="W144" s="16" t="str">
        <f aca="false">IF($A144="","",M144-S144)</f>
        <v/>
      </c>
      <c r="X144" s="16" t="str">
        <f aca="false">IF($A144="","",P144-T144)</f>
        <v/>
      </c>
      <c r="Y144" s="16" t="str">
        <f aca="false">IF($A144="","",Q144-U144)</f>
        <v/>
      </c>
      <c r="Z144" s="16" t="str">
        <f aca="false">IF($A144="","",V144+W144+X144)</f>
        <v/>
      </c>
      <c r="AA144" s="16" t="str">
        <f aca="false">IF($A144="","",O144+N(N144)-T144)</f>
        <v/>
      </c>
      <c r="AB144" s="8" t="str">
        <f aca="false">IF($A144="","","CL "&amp;V144&amp;" | SL "&amp;W144&amp;" | PL "&amp;X144&amp;" | TR "&amp;Y144)</f>
        <v/>
      </c>
      <c r="AC144" s="15" t="str">
        <f aca="false">IF($A144="","",IF(F144="Exited","EXITED",IF(AND(ISNUMBER(K144),K144=0),"NOT ELIGIBLE",IF(MIN(V144:X144)&lt;0,"OVER-USED",IF(Z144&lt;=Settings!$C$15,"LOW","OK")))))</f>
        <v/>
      </c>
      <c r="AD144" s="16" t="str">
        <f aca="false">IF(OR(AC144="OVER-USED",AC144="LOW"),COUNTIF(AC$6:AC144,"OVER-USED")+COUNTIF(AC$6:AC144,"LOW"),"")</f>
        <v/>
      </c>
    </row>
    <row r="145" customFormat="false" ht="15" hidden="false" customHeight="false" outlineLevel="0" collapsed="false">
      <c r="A145" s="8" t="str">
        <f aca="false">IF('Employee List'!B145="","",'Employee List'!B145)</f>
        <v/>
      </c>
      <c r="B145" s="8" t="str">
        <f aca="false">IF($A145="","",'Employee List'!C145)</f>
        <v/>
      </c>
      <c r="C145" s="8" t="str">
        <f aca="false">IF($A145="","",'Employee List'!E145&amp;"")</f>
        <v/>
      </c>
      <c r="D145" s="8" t="str">
        <f aca="false">IF($A145="","",'Employee List'!F145&amp;"")</f>
        <v/>
      </c>
      <c r="E145" s="8" t="str">
        <f aca="false">IF($A145="","",'Employee List'!G145&amp;"")</f>
        <v/>
      </c>
      <c r="F145" s="8" t="str">
        <f aca="false">IF($A145="","",'Employee List'!D145)</f>
        <v/>
      </c>
      <c r="G145" s="38" t="str">
        <f aca="false">IF($A145="","",IF('Employee List'!I145="","",'Employee List'!I145))</f>
        <v/>
      </c>
      <c r="H145" s="38" t="str">
        <f aca="false">IF(OR($A145="",G145=""),"",G145+Settings!$C$13)</f>
        <v/>
      </c>
      <c r="I145" s="38" t="str">
        <f aca="false">IF(H145="","",MAX(H145,DATE(LvYear,1,1)))</f>
        <v/>
      </c>
      <c r="J145" s="38" t="str">
        <f aca="false">IF($A145="","",IF('Employee List'!J145="",DATE(LvYear,12,31),MIN('Employee List'!J145,DATE(LvYear,12,31))))</f>
        <v/>
      </c>
      <c r="K145" s="39" t="str">
        <f aca="false">IF(OR(I145="",J145=""),"",MAX(0,J145-I145+1))</f>
        <v/>
      </c>
      <c r="L145" s="16" t="str">
        <f aca="false">IF($A145="","",IF(AND(ISNUMBER(K145),K145=0),0,Settings!$C$10))</f>
        <v/>
      </c>
      <c r="M145" s="16" t="str">
        <f aca="false">IF($A145="","",IF(AND(ISNUMBER(K145),K145=0),0,Settings!$C$11))</f>
        <v/>
      </c>
      <c r="N145" s="40"/>
      <c r="O145" s="16" t="str">
        <f aca="false">IF($A145="","",FLOOR(Settings!$C$12/365*N(K145),0.5))</f>
        <v/>
      </c>
      <c r="P145" s="16" t="str">
        <f aca="false">IF($A145="","",IF(I145="",N(N145),FLOOR(Settings!$C$12/365*MAX(0,MIN(LvAsOf,J145)-I145+1)+N(N145),0.5)))</f>
        <v/>
      </c>
      <c r="Q145" s="16" t="str">
        <f aca="false">IF($A145="","",Settings!$C$14)</f>
        <v/>
      </c>
      <c r="R145" s="16" t="str">
        <f aca="false">IF($A145="","",SUMIFS(Attendance!$AZ$6:$AZ$2405,Attendance!$B$6:$B$2405,$A145,Attendance!$A$6:$A$2405,"&gt;="&amp;DATE(LvYear,1,1),Attendance!$A$6:$A$2405,"&lt;="&amp;DATE(LvYear,12,31)))</f>
        <v/>
      </c>
      <c r="S145" s="16" t="str">
        <f aca="false">IF($A145="","",SUMIFS(Attendance!$AY$6:$AY$2405,Attendance!$B$6:$B$2405,$A145,Attendance!$A$6:$A$2405,"&gt;="&amp;DATE(LvYear,1,1),Attendance!$A$6:$A$2405,"&lt;="&amp;DATE(LvYear,12,31)))</f>
        <v/>
      </c>
      <c r="T145" s="16" t="str">
        <f aca="false">IF($A145="","",SUMIFS(Attendance!$AX$6:$AX$2405,Attendance!$B$6:$B$2405,$A145,Attendance!$A$6:$A$2405,"&gt;="&amp;DATE(LvYear,1,1),Attendance!$A$6:$A$2405,"&lt;="&amp;DATE(LvYear,12,31)))</f>
        <v/>
      </c>
      <c r="U145" s="16" t="str">
        <f aca="false">IF($A145="","",SUMIFS(Attendance!$AW$6:$AW$2405,Attendance!$B$6:$B$2405,$A145,Attendance!$A$6:$A$2405,"&gt;="&amp;DATE(LvYear,1,1),Attendance!$A$6:$A$2405,"&lt;="&amp;DATE(LvYear,12,31)))</f>
        <v/>
      </c>
      <c r="V145" s="16" t="str">
        <f aca="false">IF($A145="","",L145-R145)</f>
        <v/>
      </c>
      <c r="W145" s="16" t="str">
        <f aca="false">IF($A145="","",M145-S145)</f>
        <v/>
      </c>
      <c r="X145" s="16" t="str">
        <f aca="false">IF($A145="","",P145-T145)</f>
        <v/>
      </c>
      <c r="Y145" s="16" t="str">
        <f aca="false">IF($A145="","",Q145-U145)</f>
        <v/>
      </c>
      <c r="Z145" s="16" t="str">
        <f aca="false">IF($A145="","",V145+W145+X145)</f>
        <v/>
      </c>
      <c r="AA145" s="16" t="str">
        <f aca="false">IF($A145="","",O145+N(N145)-T145)</f>
        <v/>
      </c>
      <c r="AB145" s="8" t="str">
        <f aca="false">IF($A145="","","CL "&amp;V145&amp;" | SL "&amp;W145&amp;" | PL "&amp;X145&amp;" | TR "&amp;Y145)</f>
        <v/>
      </c>
      <c r="AC145" s="15" t="str">
        <f aca="false">IF($A145="","",IF(F145="Exited","EXITED",IF(AND(ISNUMBER(K145),K145=0),"NOT ELIGIBLE",IF(MIN(V145:X145)&lt;0,"OVER-USED",IF(Z145&lt;=Settings!$C$15,"LOW","OK")))))</f>
        <v/>
      </c>
      <c r="AD145" s="16" t="str">
        <f aca="false">IF(OR(AC145="OVER-USED",AC145="LOW"),COUNTIF(AC$6:AC145,"OVER-USED")+COUNTIF(AC$6:AC145,"LOW"),"")</f>
        <v/>
      </c>
    </row>
    <row r="146" customFormat="false" ht="15" hidden="false" customHeight="false" outlineLevel="0" collapsed="false">
      <c r="A146" s="8" t="str">
        <f aca="false">IF('Employee List'!B146="","",'Employee List'!B146)</f>
        <v/>
      </c>
      <c r="B146" s="8" t="str">
        <f aca="false">IF($A146="","",'Employee List'!C146)</f>
        <v/>
      </c>
      <c r="C146" s="8" t="str">
        <f aca="false">IF($A146="","",'Employee List'!E146&amp;"")</f>
        <v/>
      </c>
      <c r="D146" s="8" t="str">
        <f aca="false">IF($A146="","",'Employee List'!F146&amp;"")</f>
        <v/>
      </c>
      <c r="E146" s="8" t="str">
        <f aca="false">IF($A146="","",'Employee List'!G146&amp;"")</f>
        <v/>
      </c>
      <c r="F146" s="8" t="str">
        <f aca="false">IF($A146="","",'Employee List'!D146)</f>
        <v/>
      </c>
      <c r="G146" s="38" t="str">
        <f aca="false">IF($A146="","",IF('Employee List'!I146="","",'Employee List'!I146))</f>
        <v/>
      </c>
      <c r="H146" s="38" t="str">
        <f aca="false">IF(OR($A146="",G146=""),"",G146+Settings!$C$13)</f>
        <v/>
      </c>
      <c r="I146" s="38" t="str">
        <f aca="false">IF(H146="","",MAX(H146,DATE(LvYear,1,1)))</f>
        <v/>
      </c>
      <c r="J146" s="38" t="str">
        <f aca="false">IF($A146="","",IF('Employee List'!J146="",DATE(LvYear,12,31),MIN('Employee List'!J146,DATE(LvYear,12,31))))</f>
        <v/>
      </c>
      <c r="K146" s="39" t="str">
        <f aca="false">IF(OR(I146="",J146=""),"",MAX(0,J146-I146+1))</f>
        <v/>
      </c>
      <c r="L146" s="16" t="str">
        <f aca="false">IF($A146="","",IF(AND(ISNUMBER(K146),K146=0),0,Settings!$C$10))</f>
        <v/>
      </c>
      <c r="M146" s="16" t="str">
        <f aca="false">IF($A146="","",IF(AND(ISNUMBER(K146),K146=0),0,Settings!$C$11))</f>
        <v/>
      </c>
      <c r="N146" s="40"/>
      <c r="O146" s="16" t="str">
        <f aca="false">IF($A146="","",FLOOR(Settings!$C$12/365*N(K146),0.5))</f>
        <v/>
      </c>
      <c r="P146" s="16" t="str">
        <f aca="false">IF($A146="","",IF(I146="",N(N146),FLOOR(Settings!$C$12/365*MAX(0,MIN(LvAsOf,J146)-I146+1)+N(N146),0.5)))</f>
        <v/>
      </c>
      <c r="Q146" s="16" t="str">
        <f aca="false">IF($A146="","",Settings!$C$14)</f>
        <v/>
      </c>
      <c r="R146" s="16" t="str">
        <f aca="false">IF($A146="","",SUMIFS(Attendance!$AZ$6:$AZ$2405,Attendance!$B$6:$B$2405,$A146,Attendance!$A$6:$A$2405,"&gt;="&amp;DATE(LvYear,1,1),Attendance!$A$6:$A$2405,"&lt;="&amp;DATE(LvYear,12,31)))</f>
        <v/>
      </c>
      <c r="S146" s="16" t="str">
        <f aca="false">IF($A146="","",SUMIFS(Attendance!$AY$6:$AY$2405,Attendance!$B$6:$B$2405,$A146,Attendance!$A$6:$A$2405,"&gt;="&amp;DATE(LvYear,1,1),Attendance!$A$6:$A$2405,"&lt;="&amp;DATE(LvYear,12,31)))</f>
        <v/>
      </c>
      <c r="T146" s="16" t="str">
        <f aca="false">IF($A146="","",SUMIFS(Attendance!$AX$6:$AX$2405,Attendance!$B$6:$B$2405,$A146,Attendance!$A$6:$A$2405,"&gt;="&amp;DATE(LvYear,1,1),Attendance!$A$6:$A$2405,"&lt;="&amp;DATE(LvYear,12,31)))</f>
        <v/>
      </c>
      <c r="U146" s="16" t="str">
        <f aca="false">IF($A146="","",SUMIFS(Attendance!$AW$6:$AW$2405,Attendance!$B$6:$B$2405,$A146,Attendance!$A$6:$A$2405,"&gt;="&amp;DATE(LvYear,1,1),Attendance!$A$6:$A$2405,"&lt;="&amp;DATE(LvYear,12,31)))</f>
        <v/>
      </c>
      <c r="V146" s="16" t="str">
        <f aca="false">IF($A146="","",L146-R146)</f>
        <v/>
      </c>
      <c r="W146" s="16" t="str">
        <f aca="false">IF($A146="","",M146-S146)</f>
        <v/>
      </c>
      <c r="X146" s="16" t="str">
        <f aca="false">IF($A146="","",P146-T146)</f>
        <v/>
      </c>
      <c r="Y146" s="16" t="str">
        <f aca="false">IF($A146="","",Q146-U146)</f>
        <v/>
      </c>
      <c r="Z146" s="16" t="str">
        <f aca="false">IF($A146="","",V146+W146+X146)</f>
        <v/>
      </c>
      <c r="AA146" s="16" t="str">
        <f aca="false">IF($A146="","",O146+N(N146)-T146)</f>
        <v/>
      </c>
      <c r="AB146" s="8" t="str">
        <f aca="false">IF($A146="","","CL "&amp;V146&amp;" | SL "&amp;W146&amp;" | PL "&amp;X146&amp;" | TR "&amp;Y146)</f>
        <v/>
      </c>
      <c r="AC146" s="15" t="str">
        <f aca="false">IF($A146="","",IF(F146="Exited","EXITED",IF(AND(ISNUMBER(K146),K146=0),"NOT ELIGIBLE",IF(MIN(V146:X146)&lt;0,"OVER-USED",IF(Z146&lt;=Settings!$C$15,"LOW","OK")))))</f>
        <v/>
      </c>
      <c r="AD146" s="16" t="str">
        <f aca="false">IF(OR(AC146="OVER-USED",AC146="LOW"),COUNTIF(AC$6:AC146,"OVER-USED")+COUNTIF(AC$6:AC146,"LOW"),"")</f>
        <v/>
      </c>
    </row>
    <row r="147" customFormat="false" ht="15" hidden="false" customHeight="false" outlineLevel="0" collapsed="false">
      <c r="A147" s="8" t="str">
        <f aca="false">IF('Employee List'!B147="","",'Employee List'!B147)</f>
        <v/>
      </c>
      <c r="B147" s="8" t="str">
        <f aca="false">IF($A147="","",'Employee List'!C147)</f>
        <v/>
      </c>
      <c r="C147" s="8" t="str">
        <f aca="false">IF($A147="","",'Employee List'!E147&amp;"")</f>
        <v/>
      </c>
      <c r="D147" s="8" t="str">
        <f aca="false">IF($A147="","",'Employee List'!F147&amp;"")</f>
        <v/>
      </c>
      <c r="E147" s="8" t="str">
        <f aca="false">IF($A147="","",'Employee List'!G147&amp;"")</f>
        <v/>
      </c>
      <c r="F147" s="8" t="str">
        <f aca="false">IF($A147="","",'Employee List'!D147)</f>
        <v/>
      </c>
      <c r="G147" s="38" t="str">
        <f aca="false">IF($A147="","",IF('Employee List'!I147="","",'Employee List'!I147))</f>
        <v/>
      </c>
      <c r="H147" s="38" t="str">
        <f aca="false">IF(OR($A147="",G147=""),"",G147+Settings!$C$13)</f>
        <v/>
      </c>
      <c r="I147" s="38" t="str">
        <f aca="false">IF(H147="","",MAX(H147,DATE(LvYear,1,1)))</f>
        <v/>
      </c>
      <c r="J147" s="38" t="str">
        <f aca="false">IF($A147="","",IF('Employee List'!J147="",DATE(LvYear,12,31),MIN('Employee List'!J147,DATE(LvYear,12,31))))</f>
        <v/>
      </c>
      <c r="K147" s="39" t="str">
        <f aca="false">IF(OR(I147="",J147=""),"",MAX(0,J147-I147+1))</f>
        <v/>
      </c>
      <c r="L147" s="16" t="str">
        <f aca="false">IF($A147="","",IF(AND(ISNUMBER(K147),K147=0),0,Settings!$C$10))</f>
        <v/>
      </c>
      <c r="M147" s="16" t="str">
        <f aca="false">IF($A147="","",IF(AND(ISNUMBER(K147),K147=0),0,Settings!$C$11))</f>
        <v/>
      </c>
      <c r="N147" s="40"/>
      <c r="O147" s="16" t="str">
        <f aca="false">IF($A147="","",FLOOR(Settings!$C$12/365*N(K147),0.5))</f>
        <v/>
      </c>
      <c r="P147" s="16" t="str">
        <f aca="false">IF($A147="","",IF(I147="",N(N147),FLOOR(Settings!$C$12/365*MAX(0,MIN(LvAsOf,J147)-I147+1)+N(N147),0.5)))</f>
        <v/>
      </c>
      <c r="Q147" s="16" t="str">
        <f aca="false">IF($A147="","",Settings!$C$14)</f>
        <v/>
      </c>
      <c r="R147" s="16" t="str">
        <f aca="false">IF($A147="","",SUMIFS(Attendance!$AZ$6:$AZ$2405,Attendance!$B$6:$B$2405,$A147,Attendance!$A$6:$A$2405,"&gt;="&amp;DATE(LvYear,1,1),Attendance!$A$6:$A$2405,"&lt;="&amp;DATE(LvYear,12,31)))</f>
        <v/>
      </c>
      <c r="S147" s="16" t="str">
        <f aca="false">IF($A147="","",SUMIFS(Attendance!$AY$6:$AY$2405,Attendance!$B$6:$B$2405,$A147,Attendance!$A$6:$A$2405,"&gt;="&amp;DATE(LvYear,1,1),Attendance!$A$6:$A$2405,"&lt;="&amp;DATE(LvYear,12,31)))</f>
        <v/>
      </c>
      <c r="T147" s="16" t="str">
        <f aca="false">IF($A147="","",SUMIFS(Attendance!$AX$6:$AX$2405,Attendance!$B$6:$B$2405,$A147,Attendance!$A$6:$A$2405,"&gt;="&amp;DATE(LvYear,1,1),Attendance!$A$6:$A$2405,"&lt;="&amp;DATE(LvYear,12,31)))</f>
        <v/>
      </c>
      <c r="U147" s="16" t="str">
        <f aca="false">IF($A147="","",SUMIFS(Attendance!$AW$6:$AW$2405,Attendance!$B$6:$B$2405,$A147,Attendance!$A$6:$A$2405,"&gt;="&amp;DATE(LvYear,1,1),Attendance!$A$6:$A$2405,"&lt;="&amp;DATE(LvYear,12,31)))</f>
        <v/>
      </c>
      <c r="V147" s="16" t="str">
        <f aca="false">IF($A147="","",L147-R147)</f>
        <v/>
      </c>
      <c r="W147" s="16" t="str">
        <f aca="false">IF($A147="","",M147-S147)</f>
        <v/>
      </c>
      <c r="X147" s="16" t="str">
        <f aca="false">IF($A147="","",P147-T147)</f>
        <v/>
      </c>
      <c r="Y147" s="16" t="str">
        <f aca="false">IF($A147="","",Q147-U147)</f>
        <v/>
      </c>
      <c r="Z147" s="16" t="str">
        <f aca="false">IF($A147="","",V147+W147+X147)</f>
        <v/>
      </c>
      <c r="AA147" s="16" t="str">
        <f aca="false">IF($A147="","",O147+N(N147)-T147)</f>
        <v/>
      </c>
      <c r="AB147" s="8" t="str">
        <f aca="false">IF($A147="","","CL "&amp;V147&amp;" | SL "&amp;W147&amp;" | PL "&amp;X147&amp;" | TR "&amp;Y147)</f>
        <v/>
      </c>
      <c r="AC147" s="15" t="str">
        <f aca="false">IF($A147="","",IF(F147="Exited","EXITED",IF(AND(ISNUMBER(K147),K147=0),"NOT ELIGIBLE",IF(MIN(V147:X147)&lt;0,"OVER-USED",IF(Z147&lt;=Settings!$C$15,"LOW","OK")))))</f>
        <v/>
      </c>
      <c r="AD147" s="16" t="str">
        <f aca="false">IF(OR(AC147="OVER-USED",AC147="LOW"),COUNTIF(AC$6:AC147,"OVER-USED")+COUNTIF(AC$6:AC147,"LOW"),"")</f>
        <v/>
      </c>
    </row>
    <row r="148" customFormat="false" ht="15" hidden="false" customHeight="false" outlineLevel="0" collapsed="false">
      <c r="A148" s="8" t="str">
        <f aca="false">IF('Employee List'!B148="","",'Employee List'!B148)</f>
        <v/>
      </c>
      <c r="B148" s="8" t="str">
        <f aca="false">IF($A148="","",'Employee List'!C148)</f>
        <v/>
      </c>
      <c r="C148" s="8" t="str">
        <f aca="false">IF($A148="","",'Employee List'!E148&amp;"")</f>
        <v/>
      </c>
      <c r="D148" s="8" t="str">
        <f aca="false">IF($A148="","",'Employee List'!F148&amp;"")</f>
        <v/>
      </c>
      <c r="E148" s="8" t="str">
        <f aca="false">IF($A148="","",'Employee List'!G148&amp;"")</f>
        <v/>
      </c>
      <c r="F148" s="8" t="str">
        <f aca="false">IF($A148="","",'Employee List'!D148)</f>
        <v/>
      </c>
      <c r="G148" s="38" t="str">
        <f aca="false">IF($A148="","",IF('Employee List'!I148="","",'Employee List'!I148))</f>
        <v/>
      </c>
      <c r="H148" s="38" t="str">
        <f aca="false">IF(OR($A148="",G148=""),"",G148+Settings!$C$13)</f>
        <v/>
      </c>
      <c r="I148" s="38" t="str">
        <f aca="false">IF(H148="","",MAX(H148,DATE(LvYear,1,1)))</f>
        <v/>
      </c>
      <c r="J148" s="38" t="str">
        <f aca="false">IF($A148="","",IF('Employee List'!J148="",DATE(LvYear,12,31),MIN('Employee List'!J148,DATE(LvYear,12,31))))</f>
        <v/>
      </c>
      <c r="K148" s="39" t="str">
        <f aca="false">IF(OR(I148="",J148=""),"",MAX(0,J148-I148+1))</f>
        <v/>
      </c>
      <c r="L148" s="16" t="str">
        <f aca="false">IF($A148="","",IF(AND(ISNUMBER(K148),K148=0),0,Settings!$C$10))</f>
        <v/>
      </c>
      <c r="M148" s="16" t="str">
        <f aca="false">IF($A148="","",IF(AND(ISNUMBER(K148),K148=0),0,Settings!$C$11))</f>
        <v/>
      </c>
      <c r="N148" s="40"/>
      <c r="O148" s="16" t="str">
        <f aca="false">IF($A148="","",FLOOR(Settings!$C$12/365*N(K148),0.5))</f>
        <v/>
      </c>
      <c r="P148" s="16" t="str">
        <f aca="false">IF($A148="","",IF(I148="",N(N148),FLOOR(Settings!$C$12/365*MAX(0,MIN(LvAsOf,J148)-I148+1)+N(N148),0.5)))</f>
        <v/>
      </c>
      <c r="Q148" s="16" t="str">
        <f aca="false">IF($A148="","",Settings!$C$14)</f>
        <v/>
      </c>
      <c r="R148" s="16" t="str">
        <f aca="false">IF($A148="","",SUMIFS(Attendance!$AZ$6:$AZ$2405,Attendance!$B$6:$B$2405,$A148,Attendance!$A$6:$A$2405,"&gt;="&amp;DATE(LvYear,1,1),Attendance!$A$6:$A$2405,"&lt;="&amp;DATE(LvYear,12,31)))</f>
        <v/>
      </c>
      <c r="S148" s="16" t="str">
        <f aca="false">IF($A148="","",SUMIFS(Attendance!$AY$6:$AY$2405,Attendance!$B$6:$B$2405,$A148,Attendance!$A$6:$A$2405,"&gt;="&amp;DATE(LvYear,1,1),Attendance!$A$6:$A$2405,"&lt;="&amp;DATE(LvYear,12,31)))</f>
        <v/>
      </c>
      <c r="T148" s="16" t="str">
        <f aca="false">IF($A148="","",SUMIFS(Attendance!$AX$6:$AX$2405,Attendance!$B$6:$B$2405,$A148,Attendance!$A$6:$A$2405,"&gt;="&amp;DATE(LvYear,1,1),Attendance!$A$6:$A$2405,"&lt;="&amp;DATE(LvYear,12,31)))</f>
        <v/>
      </c>
      <c r="U148" s="16" t="str">
        <f aca="false">IF($A148="","",SUMIFS(Attendance!$AW$6:$AW$2405,Attendance!$B$6:$B$2405,$A148,Attendance!$A$6:$A$2405,"&gt;="&amp;DATE(LvYear,1,1),Attendance!$A$6:$A$2405,"&lt;="&amp;DATE(LvYear,12,31)))</f>
        <v/>
      </c>
      <c r="V148" s="16" t="str">
        <f aca="false">IF($A148="","",L148-R148)</f>
        <v/>
      </c>
      <c r="W148" s="16" t="str">
        <f aca="false">IF($A148="","",M148-S148)</f>
        <v/>
      </c>
      <c r="X148" s="16" t="str">
        <f aca="false">IF($A148="","",P148-T148)</f>
        <v/>
      </c>
      <c r="Y148" s="16" t="str">
        <f aca="false">IF($A148="","",Q148-U148)</f>
        <v/>
      </c>
      <c r="Z148" s="16" t="str">
        <f aca="false">IF($A148="","",V148+W148+X148)</f>
        <v/>
      </c>
      <c r="AA148" s="16" t="str">
        <f aca="false">IF($A148="","",O148+N(N148)-T148)</f>
        <v/>
      </c>
      <c r="AB148" s="8" t="str">
        <f aca="false">IF($A148="","","CL "&amp;V148&amp;" | SL "&amp;W148&amp;" | PL "&amp;X148&amp;" | TR "&amp;Y148)</f>
        <v/>
      </c>
      <c r="AC148" s="15" t="str">
        <f aca="false">IF($A148="","",IF(F148="Exited","EXITED",IF(AND(ISNUMBER(K148),K148=0),"NOT ELIGIBLE",IF(MIN(V148:X148)&lt;0,"OVER-USED",IF(Z148&lt;=Settings!$C$15,"LOW","OK")))))</f>
        <v/>
      </c>
      <c r="AD148" s="16" t="str">
        <f aca="false">IF(OR(AC148="OVER-USED",AC148="LOW"),COUNTIF(AC$6:AC148,"OVER-USED")+COUNTIF(AC$6:AC148,"LOW"),"")</f>
        <v/>
      </c>
    </row>
    <row r="149" customFormat="false" ht="15" hidden="false" customHeight="false" outlineLevel="0" collapsed="false">
      <c r="A149" s="8" t="str">
        <f aca="false">IF('Employee List'!B149="","",'Employee List'!B149)</f>
        <v/>
      </c>
      <c r="B149" s="8" t="str">
        <f aca="false">IF($A149="","",'Employee List'!C149)</f>
        <v/>
      </c>
      <c r="C149" s="8" t="str">
        <f aca="false">IF($A149="","",'Employee List'!E149&amp;"")</f>
        <v/>
      </c>
      <c r="D149" s="8" t="str">
        <f aca="false">IF($A149="","",'Employee List'!F149&amp;"")</f>
        <v/>
      </c>
      <c r="E149" s="8" t="str">
        <f aca="false">IF($A149="","",'Employee List'!G149&amp;"")</f>
        <v/>
      </c>
      <c r="F149" s="8" t="str">
        <f aca="false">IF($A149="","",'Employee List'!D149)</f>
        <v/>
      </c>
      <c r="G149" s="38" t="str">
        <f aca="false">IF($A149="","",IF('Employee List'!I149="","",'Employee List'!I149))</f>
        <v/>
      </c>
      <c r="H149" s="38" t="str">
        <f aca="false">IF(OR($A149="",G149=""),"",G149+Settings!$C$13)</f>
        <v/>
      </c>
      <c r="I149" s="38" t="str">
        <f aca="false">IF(H149="","",MAX(H149,DATE(LvYear,1,1)))</f>
        <v/>
      </c>
      <c r="J149" s="38" t="str">
        <f aca="false">IF($A149="","",IF('Employee List'!J149="",DATE(LvYear,12,31),MIN('Employee List'!J149,DATE(LvYear,12,31))))</f>
        <v/>
      </c>
      <c r="K149" s="39" t="str">
        <f aca="false">IF(OR(I149="",J149=""),"",MAX(0,J149-I149+1))</f>
        <v/>
      </c>
      <c r="L149" s="16" t="str">
        <f aca="false">IF($A149="","",IF(AND(ISNUMBER(K149),K149=0),0,Settings!$C$10))</f>
        <v/>
      </c>
      <c r="M149" s="16" t="str">
        <f aca="false">IF($A149="","",IF(AND(ISNUMBER(K149),K149=0),0,Settings!$C$11))</f>
        <v/>
      </c>
      <c r="N149" s="40"/>
      <c r="O149" s="16" t="str">
        <f aca="false">IF($A149="","",FLOOR(Settings!$C$12/365*N(K149),0.5))</f>
        <v/>
      </c>
      <c r="P149" s="16" t="str">
        <f aca="false">IF($A149="","",IF(I149="",N(N149),FLOOR(Settings!$C$12/365*MAX(0,MIN(LvAsOf,J149)-I149+1)+N(N149),0.5)))</f>
        <v/>
      </c>
      <c r="Q149" s="16" t="str">
        <f aca="false">IF($A149="","",Settings!$C$14)</f>
        <v/>
      </c>
      <c r="R149" s="16" t="str">
        <f aca="false">IF($A149="","",SUMIFS(Attendance!$AZ$6:$AZ$2405,Attendance!$B$6:$B$2405,$A149,Attendance!$A$6:$A$2405,"&gt;="&amp;DATE(LvYear,1,1),Attendance!$A$6:$A$2405,"&lt;="&amp;DATE(LvYear,12,31)))</f>
        <v/>
      </c>
      <c r="S149" s="16" t="str">
        <f aca="false">IF($A149="","",SUMIFS(Attendance!$AY$6:$AY$2405,Attendance!$B$6:$B$2405,$A149,Attendance!$A$6:$A$2405,"&gt;="&amp;DATE(LvYear,1,1),Attendance!$A$6:$A$2405,"&lt;="&amp;DATE(LvYear,12,31)))</f>
        <v/>
      </c>
      <c r="T149" s="16" t="str">
        <f aca="false">IF($A149="","",SUMIFS(Attendance!$AX$6:$AX$2405,Attendance!$B$6:$B$2405,$A149,Attendance!$A$6:$A$2405,"&gt;="&amp;DATE(LvYear,1,1),Attendance!$A$6:$A$2405,"&lt;="&amp;DATE(LvYear,12,31)))</f>
        <v/>
      </c>
      <c r="U149" s="16" t="str">
        <f aca="false">IF($A149="","",SUMIFS(Attendance!$AW$6:$AW$2405,Attendance!$B$6:$B$2405,$A149,Attendance!$A$6:$A$2405,"&gt;="&amp;DATE(LvYear,1,1),Attendance!$A$6:$A$2405,"&lt;="&amp;DATE(LvYear,12,31)))</f>
        <v/>
      </c>
      <c r="V149" s="16" t="str">
        <f aca="false">IF($A149="","",L149-R149)</f>
        <v/>
      </c>
      <c r="W149" s="16" t="str">
        <f aca="false">IF($A149="","",M149-S149)</f>
        <v/>
      </c>
      <c r="X149" s="16" t="str">
        <f aca="false">IF($A149="","",P149-T149)</f>
        <v/>
      </c>
      <c r="Y149" s="16" t="str">
        <f aca="false">IF($A149="","",Q149-U149)</f>
        <v/>
      </c>
      <c r="Z149" s="16" t="str">
        <f aca="false">IF($A149="","",V149+W149+X149)</f>
        <v/>
      </c>
      <c r="AA149" s="16" t="str">
        <f aca="false">IF($A149="","",O149+N(N149)-T149)</f>
        <v/>
      </c>
      <c r="AB149" s="8" t="str">
        <f aca="false">IF($A149="","","CL "&amp;V149&amp;" | SL "&amp;W149&amp;" | PL "&amp;X149&amp;" | TR "&amp;Y149)</f>
        <v/>
      </c>
      <c r="AC149" s="15" t="str">
        <f aca="false">IF($A149="","",IF(F149="Exited","EXITED",IF(AND(ISNUMBER(K149),K149=0),"NOT ELIGIBLE",IF(MIN(V149:X149)&lt;0,"OVER-USED",IF(Z149&lt;=Settings!$C$15,"LOW","OK")))))</f>
        <v/>
      </c>
      <c r="AD149" s="16" t="str">
        <f aca="false">IF(OR(AC149="OVER-USED",AC149="LOW"),COUNTIF(AC$6:AC149,"OVER-USED")+COUNTIF(AC$6:AC149,"LOW"),"")</f>
        <v/>
      </c>
    </row>
    <row r="150" customFormat="false" ht="15" hidden="false" customHeight="false" outlineLevel="0" collapsed="false">
      <c r="A150" s="8" t="str">
        <f aca="false">IF('Employee List'!B150="","",'Employee List'!B150)</f>
        <v/>
      </c>
      <c r="B150" s="8" t="str">
        <f aca="false">IF($A150="","",'Employee List'!C150)</f>
        <v/>
      </c>
      <c r="C150" s="8" t="str">
        <f aca="false">IF($A150="","",'Employee List'!E150&amp;"")</f>
        <v/>
      </c>
      <c r="D150" s="8" t="str">
        <f aca="false">IF($A150="","",'Employee List'!F150&amp;"")</f>
        <v/>
      </c>
      <c r="E150" s="8" t="str">
        <f aca="false">IF($A150="","",'Employee List'!G150&amp;"")</f>
        <v/>
      </c>
      <c r="F150" s="8" t="str">
        <f aca="false">IF($A150="","",'Employee List'!D150)</f>
        <v/>
      </c>
      <c r="G150" s="38" t="str">
        <f aca="false">IF($A150="","",IF('Employee List'!I150="","",'Employee List'!I150))</f>
        <v/>
      </c>
      <c r="H150" s="38" t="str">
        <f aca="false">IF(OR($A150="",G150=""),"",G150+Settings!$C$13)</f>
        <v/>
      </c>
      <c r="I150" s="38" t="str">
        <f aca="false">IF(H150="","",MAX(H150,DATE(LvYear,1,1)))</f>
        <v/>
      </c>
      <c r="J150" s="38" t="str">
        <f aca="false">IF($A150="","",IF('Employee List'!J150="",DATE(LvYear,12,31),MIN('Employee List'!J150,DATE(LvYear,12,31))))</f>
        <v/>
      </c>
      <c r="K150" s="39" t="str">
        <f aca="false">IF(OR(I150="",J150=""),"",MAX(0,J150-I150+1))</f>
        <v/>
      </c>
      <c r="L150" s="16" t="str">
        <f aca="false">IF($A150="","",IF(AND(ISNUMBER(K150),K150=0),0,Settings!$C$10))</f>
        <v/>
      </c>
      <c r="M150" s="16" t="str">
        <f aca="false">IF($A150="","",IF(AND(ISNUMBER(K150),K150=0),0,Settings!$C$11))</f>
        <v/>
      </c>
      <c r="N150" s="40"/>
      <c r="O150" s="16" t="str">
        <f aca="false">IF($A150="","",FLOOR(Settings!$C$12/365*N(K150),0.5))</f>
        <v/>
      </c>
      <c r="P150" s="16" t="str">
        <f aca="false">IF($A150="","",IF(I150="",N(N150),FLOOR(Settings!$C$12/365*MAX(0,MIN(LvAsOf,J150)-I150+1)+N(N150),0.5)))</f>
        <v/>
      </c>
      <c r="Q150" s="16" t="str">
        <f aca="false">IF($A150="","",Settings!$C$14)</f>
        <v/>
      </c>
      <c r="R150" s="16" t="str">
        <f aca="false">IF($A150="","",SUMIFS(Attendance!$AZ$6:$AZ$2405,Attendance!$B$6:$B$2405,$A150,Attendance!$A$6:$A$2405,"&gt;="&amp;DATE(LvYear,1,1),Attendance!$A$6:$A$2405,"&lt;="&amp;DATE(LvYear,12,31)))</f>
        <v/>
      </c>
      <c r="S150" s="16" t="str">
        <f aca="false">IF($A150="","",SUMIFS(Attendance!$AY$6:$AY$2405,Attendance!$B$6:$B$2405,$A150,Attendance!$A$6:$A$2405,"&gt;="&amp;DATE(LvYear,1,1),Attendance!$A$6:$A$2405,"&lt;="&amp;DATE(LvYear,12,31)))</f>
        <v/>
      </c>
      <c r="T150" s="16" t="str">
        <f aca="false">IF($A150="","",SUMIFS(Attendance!$AX$6:$AX$2405,Attendance!$B$6:$B$2405,$A150,Attendance!$A$6:$A$2405,"&gt;="&amp;DATE(LvYear,1,1),Attendance!$A$6:$A$2405,"&lt;="&amp;DATE(LvYear,12,31)))</f>
        <v/>
      </c>
      <c r="U150" s="16" t="str">
        <f aca="false">IF($A150="","",SUMIFS(Attendance!$AW$6:$AW$2405,Attendance!$B$6:$B$2405,$A150,Attendance!$A$6:$A$2405,"&gt;="&amp;DATE(LvYear,1,1),Attendance!$A$6:$A$2405,"&lt;="&amp;DATE(LvYear,12,31)))</f>
        <v/>
      </c>
      <c r="V150" s="16" t="str">
        <f aca="false">IF($A150="","",L150-R150)</f>
        <v/>
      </c>
      <c r="W150" s="16" t="str">
        <f aca="false">IF($A150="","",M150-S150)</f>
        <v/>
      </c>
      <c r="X150" s="16" t="str">
        <f aca="false">IF($A150="","",P150-T150)</f>
        <v/>
      </c>
      <c r="Y150" s="16" t="str">
        <f aca="false">IF($A150="","",Q150-U150)</f>
        <v/>
      </c>
      <c r="Z150" s="16" t="str">
        <f aca="false">IF($A150="","",V150+W150+X150)</f>
        <v/>
      </c>
      <c r="AA150" s="16" t="str">
        <f aca="false">IF($A150="","",O150+N(N150)-T150)</f>
        <v/>
      </c>
      <c r="AB150" s="8" t="str">
        <f aca="false">IF($A150="","","CL "&amp;V150&amp;" | SL "&amp;W150&amp;" | PL "&amp;X150&amp;" | TR "&amp;Y150)</f>
        <v/>
      </c>
      <c r="AC150" s="15" t="str">
        <f aca="false">IF($A150="","",IF(F150="Exited","EXITED",IF(AND(ISNUMBER(K150),K150=0),"NOT ELIGIBLE",IF(MIN(V150:X150)&lt;0,"OVER-USED",IF(Z150&lt;=Settings!$C$15,"LOW","OK")))))</f>
        <v/>
      </c>
      <c r="AD150" s="16" t="str">
        <f aca="false">IF(OR(AC150="OVER-USED",AC150="LOW"),COUNTIF(AC$6:AC150,"OVER-USED")+COUNTIF(AC$6:AC150,"LOW"),"")</f>
        <v/>
      </c>
    </row>
    <row r="151" customFormat="false" ht="15" hidden="false" customHeight="false" outlineLevel="0" collapsed="false">
      <c r="A151" s="8" t="str">
        <f aca="false">IF('Employee List'!B151="","",'Employee List'!B151)</f>
        <v/>
      </c>
      <c r="B151" s="8" t="str">
        <f aca="false">IF($A151="","",'Employee List'!C151)</f>
        <v/>
      </c>
      <c r="C151" s="8" t="str">
        <f aca="false">IF($A151="","",'Employee List'!E151&amp;"")</f>
        <v/>
      </c>
      <c r="D151" s="8" t="str">
        <f aca="false">IF($A151="","",'Employee List'!F151&amp;"")</f>
        <v/>
      </c>
      <c r="E151" s="8" t="str">
        <f aca="false">IF($A151="","",'Employee List'!G151&amp;"")</f>
        <v/>
      </c>
      <c r="F151" s="8" t="str">
        <f aca="false">IF($A151="","",'Employee List'!D151)</f>
        <v/>
      </c>
      <c r="G151" s="38" t="str">
        <f aca="false">IF($A151="","",IF('Employee List'!I151="","",'Employee List'!I151))</f>
        <v/>
      </c>
      <c r="H151" s="38" t="str">
        <f aca="false">IF(OR($A151="",G151=""),"",G151+Settings!$C$13)</f>
        <v/>
      </c>
      <c r="I151" s="38" t="str">
        <f aca="false">IF(H151="","",MAX(H151,DATE(LvYear,1,1)))</f>
        <v/>
      </c>
      <c r="J151" s="38" t="str">
        <f aca="false">IF($A151="","",IF('Employee List'!J151="",DATE(LvYear,12,31),MIN('Employee List'!J151,DATE(LvYear,12,31))))</f>
        <v/>
      </c>
      <c r="K151" s="39" t="str">
        <f aca="false">IF(OR(I151="",J151=""),"",MAX(0,J151-I151+1))</f>
        <v/>
      </c>
      <c r="L151" s="16" t="str">
        <f aca="false">IF($A151="","",IF(AND(ISNUMBER(K151),K151=0),0,Settings!$C$10))</f>
        <v/>
      </c>
      <c r="M151" s="16" t="str">
        <f aca="false">IF($A151="","",IF(AND(ISNUMBER(K151),K151=0),0,Settings!$C$11))</f>
        <v/>
      </c>
      <c r="N151" s="40"/>
      <c r="O151" s="16" t="str">
        <f aca="false">IF($A151="","",FLOOR(Settings!$C$12/365*N(K151),0.5))</f>
        <v/>
      </c>
      <c r="P151" s="16" t="str">
        <f aca="false">IF($A151="","",IF(I151="",N(N151),FLOOR(Settings!$C$12/365*MAX(0,MIN(LvAsOf,J151)-I151+1)+N(N151),0.5)))</f>
        <v/>
      </c>
      <c r="Q151" s="16" t="str">
        <f aca="false">IF($A151="","",Settings!$C$14)</f>
        <v/>
      </c>
      <c r="R151" s="16" t="str">
        <f aca="false">IF($A151="","",SUMIFS(Attendance!$AZ$6:$AZ$2405,Attendance!$B$6:$B$2405,$A151,Attendance!$A$6:$A$2405,"&gt;="&amp;DATE(LvYear,1,1),Attendance!$A$6:$A$2405,"&lt;="&amp;DATE(LvYear,12,31)))</f>
        <v/>
      </c>
      <c r="S151" s="16" t="str">
        <f aca="false">IF($A151="","",SUMIFS(Attendance!$AY$6:$AY$2405,Attendance!$B$6:$B$2405,$A151,Attendance!$A$6:$A$2405,"&gt;="&amp;DATE(LvYear,1,1),Attendance!$A$6:$A$2405,"&lt;="&amp;DATE(LvYear,12,31)))</f>
        <v/>
      </c>
      <c r="T151" s="16" t="str">
        <f aca="false">IF($A151="","",SUMIFS(Attendance!$AX$6:$AX$2405,Attendance!$B$6:$B$2405,$A151,Attendance!$A$6:$A$2405,"&gt;="&amp;DATE(LvYear,1,1),Attendance!$A$6:$A$2405,"&lt;="&amp;DATE(LvYear,12,31)))</f>
        <v/>
      </c>
      <c r="U151" s="16" t="str">
        <f aca="false">IF($A151="","",SUMIFS(Attendance!$AW$6:$AW$2405,Attendance!$B$6:$B$2405,$A151,Attendance!$A$6:$A$2405,"&gt;="&amp;DATE(LvYear,1,1),Attendance!$A$6:$A$2405,"&lt;="&amp;DATE(LvYear,12,31)))</f>
        <v/>
      </c>
      <c r="V151" s="16" t="str">
        <f aca="false">IF($A151="","",L151-R151)</f>
        <v/>
      </c>
      <c r="W151" s="16" t="str">
        <f aca="false">IF($A151="","",M151-S151)</f>
        <v/>
      </c>
      <c r="X151" s="16" t="str">
        <f aca="false">IF($A151="","",P151-T151)</f>
        <v/>
      </c>
      <c r="Y151" s="16" t="str">
        <f aca="false">IF($A151="","",Q151-U151)</f>
        <v/>
      </c>
      <c r="Z151" s="16" t="str">
        <f aca="false">IF($A151="","",V151+W151+X151)</f>
        <v/>
      </c>
      <c r="AA151" s="16" t="str">
        <f aca="false">IF($A151="","",O151+N(N151)-T151)</f>
        <v/>
      </c>
      <c r="AB151" s="8" t="str">
        <f aca="false">IF($A151="","","CL "&amp;V151&amp;" | SL "&amp;W151&amp;" | PL "&amp;X151&amp;" | TR "&amp;Y151)</f>
        <v/>
      </c>
      <c r="AC151" s="15" t="str">
        <f aca="false">IF($A151="","",IF(F151="Exited","EXITED",IF(AND(ISNUMBER(K151),K151=0),"NOT ELIGIBLE",IF(MIN(V151:X151)&lt;0,"OVER-USED",IF(Z151&lt;=Settings!$C$15,"LOW","OK")))))</f>
        <v/>
      </c>
      <c r="AD151" s="16" t="str">
        <f aca="false">IF(OR(AC151="OVER-USED",AC151="LOW"),COUNTIF(AC$6:AC151,"OVER-USED")+COUNTIF(AC$6:AC151,"LOW"),"")</f>
        <v/>
      </c>
    </row>
    <row r="152" customFormat="false" ht="15" hidden="false" customHeight="false" outlineLevel="0" collapsed="false">
      <c r="A152" s="8" t="str">
        <f aca="false">IF('Employee List'!B152="","",'Employee List'!B152)</f>
        <v/>
      </c>
      <c r="B152" s="8" t="str">
        <f aca="false">IF($A152="","",'Employee List'!C152)</f>
        <v/>
      </c>
      <c r="C152" s="8" t="str">
        <f aca="false">IF($A152="","",'Employee List'!E152&amp;"")</f>
        <v/>
      </c>
      <c r="D152" s="8" t="str">
        <f aca="false">IF($A152="","",'Employee List'!F152&amp;"")</f>
        <v/>
      </c>
      <c r="E152" s="8" t="str">
        <f aca="false">IF($A152="","",'Employee List'!G152&amp;"")</f>
        <v/>
      </c>
      <c r="F152" s="8" t="str">
        <f aca="false">IF($A152="","",'Employee List'!D152)</f>
        <v/>
      </c>
      <c r="G152" s="38" t="str">
        <f aca="false">IF($A152="","",IF('Employee List'!I152="","",'Employee List'!I152))</f>
        <v/>
      </c>
      <c r="H152" s="38" t="str">
        <f aca="false">IF(OR($A152="",G152=""),"",G152+Settings!$C$13)</f>
        <v/>
      </c>
      <c r="I152" s="38" t="str">
        <f aca="false">IF(H152="","",MAX(H152,DATE(LvYear,1,1)))</f>
        <v/>
      </c>
      <c r="J152" s="38" t="str">
        <f aca="false">IF($A152="","",IF('Employee List'!J152="",DATE(LvYear,12,31),MIN('Employee List'!J152,DATE(LvYear,12,31))))</f>
        <v/>
      </c>
      <c r="K152" s="39" t="str">
        <f aca="false">IF(OR(I152="",J152=""),"",MAX(0,J152-I152+1))</f>
        <v/>
      </c>
      <c r="L152" s="16" t="str">
        <f aca="false">IF($A152="","",IF(AND(ISNUMBER(K152),K152=0),0,Settings!$C$10))</f>
        <v/>
      </c>
      <c r="M152" s="16" t="str">
        <f aca="false">IF($A152="","",IF(AND(ISNUMBER(K152),K152=0),0,Settings!$C$11))</f>
        <v/>
      </c>
      <c r="N152" s="40"/>
      <c r="O152" s="16" t="str">
        <f aca="false">IF($A152="","",FLOOR(Settings!$C$12/365*N(K152),0.5))</f>
        <v/>
      </c>
      <c r="P152" s="16" t="str">
        <f aca="false">IF($A152="","",IF(I152="",N(N152),FLOOR(Settings!$C$12/365*MAX(0,MIN(LvAsOf,J152)-I152+1)+N(N152),0.5)))</f>
        <v/>
      </c>
      <c r="Q152" s="16" t="str">
        <f aca="false">IF($A152="","",Settings!$C$14)</f>
        <v/>
      </c>
      <c r="R152" s="16" t="str">
        <f aca="false">IF($A152="","",SUMIFS(Attendance!$AZ$6:$AZ$2405,Attendance!$B$6:$B$2405,$A152,Attendance!$A$6:$A$2405,"&gt;="&amp;DATE(LvYear,1,1),Attendance!$A$6:$A$2405,"&lt;="&amp;DATE(LvYear,12,31)))</f>
        <v/>
      </c>
      <c r="S152" s="16" t="str">
        <f aca="false">IF($A152="","",SUMIFS(Attendance!$AY$6:$AY$2405,Attendance!$B$6:$B$2405,$A152,Attendance!$A$6:$A$2405,"&gt;="&amp;DATE(LvYear,1,1),Attendance!$A$6:$A$2405,"&lt;="&amp;DATE(LvYear,12,31)))</f>
        <v/>
      </c>
      <c r="T152" s="16" t="str">
        <f aca="false">IF($A152="","",SUMIFS(Attendance!$AX$6:$AX$2405,Attendance!$B$6:$B$2405,$A152,Attendance!$A$6:$A$2405,"&gt;="&amp;DATE(LvYear,1,1),Attendance!$A$6:$A$2405,"&lt;="&amp;DATE(LvYear,12,31)))</f>
        <v/>
      </c>
      <c r="U152" s="16" t="str">
        <f aca="false">IF($A152="","",SUMIFS(Attendance!$AW$6:$AW$2405,Attendance!$B$6:$B$2405,$A152,Attendance!$A$6:$A$2405,"&gt;="&amp;DATE(LvYear,1,1),Attendance!$A$6:$A$2405,"&lt;="&amp;DATE(LvYear,12,31)))</f>
        <v/>
      </c>
      <c r="V152" s="16" t="str">
        <f aca="false">IF($A152="","",L152-R152)</f>
        <v/>
      </c>
      <c r="W152" s="16" t="str">
        <f aca="false">IF($A152="","",M152-S152)</f>
        <v/>
      </c>
      <c r="X152" s="16" t="str">
        <f aca="false">IF($A152="","",P152-T152)</f>
        <v/>
      </c>
      <c r="Y152" s="16" t="str">
        <f aca="false">IF($A152="","",Q152-U152)</f>
        <v/>
      </c>
      <c r="Z152" s="16" t="str">
        <f aca="false">IF($A152="","",V152+W152+X152)</f>
        <v/>
      </c>
      <c r="AA152" s="16" t="str">
        <f aca="false">IF($A152="","",O152+N(N152)-T152)</f>
        <v/>
      </c>
      <c r="AB152" s="8" t="str">
        <f aca="false">IF($A152="","","CL "&amp;V152&amp;" | SL "&amp;W152&amp;" | PL "&amp;X152&amp;" | TR "&amp;Y152)</f>
        <v/>
      </c>
      <c r="AC152" s="15" t="str">
        <f aca="false">IF($A152="","",IF(F152="Exited","EXITED",IF(AND(ISNUMBER(K152),K152=0),"NOT ELIGIBLE",IF(MIN(V152:X152)&lt;0,"OVER-USED",IF(Z152&lt;=Settings!$C$15,"LOW","OK")))))</f>
        <v/>
      </c>
      <c r="AD152" s="16" t="str">
        <f aca="false">IF(OR(AC152="OVER-USED",AC152="LOW"),COUNTIF(AC$6:AC152,"OVER-USED")+COUNTIF(AC$6:AC152,"LOW"),"")</f>
        <v/>
      </c>
    </row>
    <row r="153" customFormat="false" ht="15" hidden="false" customHeight="false" outlineLevel="0" collapsed="false">
      <c r="A153" s="8" t="str">
        <f aca="false">IF('Employee List'!B153="","",'Employee List'!B153)</f>
        <v/>
      </c>
      <c r="B153" s="8" t="str">
        <f aca="false">IF($A153="","",'Employee List'!C153)</f>
        <v/>
      </c>
      <c r="C153" s="8" t="str">
        <f aca="false">IF($A153="","",'Employee List'!E153&amp;"")</f>
        <v/>
      </c>
      <c r="D153" s="8" t="str">
        <f aca="false">IF($A153="","",'Employee List'!F153&amp;"")</f>
        <v/>
      </c>
      <c r="E153" s="8" t="str">
        <f aca="false">IF($A153="","",'Employee List'!G153&amp;"")</f>
        <v/>
      </c>
      <c r="F153" s="8" t="str">
        <f aca="false">IF($A153="","",'Employee List'!D153)</f>
        <v/>
      </c>
      <c r="G153" s="38" t="str">
        <f aca="false">IF($A153="","",IF('Employee List'!I153="","",'Employee List'!I153))</f>
        <v/>
      </c>
      <c r="H153" s="38" t="str">
        <f aca="false">IF(OR($A153="",G153=""),"",G153+Settings!$C$13)</f>
        <v/>
      </c>
      <c r="I153" s="38" t="str">
        <f aca="false">IF(H153="","",MAX(H153,DATE(LvYear,1,1)))</f>
        <v/>
      </c>
      <c r="J153" s="38" t="str">
        <f aca="false">IF($A153="","",IF('Employee List'!J153="",DATE(LvYear,12,31),MIN('Employee List'!J153,DATE(LvYear,12,31))))</f>
        <v/>
      </c>
      <c r="K153" s="39" t="str">
        <f aca="false">IF(OR(I153="",J153=""),"",MAX(0,J153-I153+1))</f>
        <v/>
      </c>
      <c r="L153" s="16" t="str">
        <f aca="false">IF($A153="","",IF(AND(ISNUMBER(K153),K153=0),0,Settings!$C$10))</f>
        <v/>
      </c>
      <c r="M153" s="16" t="str">
        <f aca="false">IF($A153="","",IF(AND(ISNUMBER(K153),K153=0),0,Settings!$C$11))</f>
        <v/>
      </c>
      <c r="N153" s="40"/>
      <c r="O153" s="16" t="str">
        <f aca="false">IF($A153="","",FLOOR(Settings!$C$12/365*N(K153),0.5))</f>
        <v/>
      </c>
      <c r="P153" s="16" t="str">
        <f aca="false">IF($A153="","",IF(I153="",N(N153),FLOOR(Settings!$C$12/365*MAX(0,MIN(LvAsOf,J153)-I153+1)+N(N153),0.5)))</f>
        <v/>
      </c>
      <c r="Q153" s="16" t="str">
        <f aca="false">IF($A153="","",Settings!$C$14)</f>
        <v/>
      </c>
      <c r="R153" s="16" t="str">
        <f aca="false">IF($A153="","",SUMIFS(Attendance!$AZ$6:$AZ$2405,Attendance!$B$6:$B$2405,$A153,Attendance!$A$6:$A$2405,"&gt;="&amp;DATE(LvYear,1,1),Attendance!$A$6:$A$2405,"&lt;="&amp;DATE(LvYear,12,31)))</f>
        <v/>
      </c>
      <c r="S153" s="16" t="str">
        <f aca="false">IF($A153="","",SUMIFS(Attendance!$AY$6:$AY$2405,Attendance!$B$6:$B$2405,$A153,Attendance!$A$6:$A$2405,"&gt;="&amp;DATE(LvYear,1,1),Attendance!$A$6:$A$2405,"&lt;="&amp;DATE(LvYear,12,31)))</f>
        <v/>
      </c>
      <c r="T153" s="16" t="str">
        <f aca="false">IF($A153="","",SUMIFS(Attendance!$AX$6:$AX$2405,Attendance!$B$6:$B$2405,$A153,Attendance!$A$6:$A$2405,"&gt;="&amp;DATE(LvYear,1,1),Attendance!$A$6:$A$2405,"&lt;="&amp;DATE(LvYear,12,31)))</f>
        <v/>
      </c>
      <c r="U153" s="16" t="str">
        <f aca="false">IF($A153="","",SUMIFS(Attendance!$AW$6:$AW$2405,Attendance!$B$6:$B$2405,$A153,Attendance!$A$6:$A$2405,"&gt;="&amp;DATE(LvYear,1,1),Attendance!$A$6:$A$2405,"&lt;="&amp;DATE(LvYear,12,31)))</f>
        <v/>
      </c>
      <c r="V153" s="16" t="str">
        <f aca="false">IF($A153="","",L153-R153)</f>
        <v/>
      </c>
      <c r="W153" s="16" t="str">
        <f aca="false">IF($A153="","",M153-S153)</f>
        <v/>
      </c>
      <c r="X153" s="16" t="str">
        <f aca="false">IF($A153="","",P153-T153)</f>
        <v/>
      </c>
      <c r="Y153" s="16" t="str">
        <f aca="false">IF($A153="","",Q153-U153)</f>
        <v/>
      </c>
      <c r="Z153" s="16" t="str">
        <f aca="false">IF($A153="","",V153+W153+X153)</f>
        <v/>
      </c>
      <c r="AA153" s="16" t="str">
        <f aca="false">IF($A153="","",O153+N(N153)-T153)</f>
        <v/>
      </c>
      <c r="AB153" s="8" t="str">
        <f aca="false">IF($A153="","","CL "&amp;V153&amp;" | SL "&amp;W153&amp;" | PL "&amp;X153&amp;" | TR "&amp;Y153)</f>
        <v/>
      </c>
      <c r="AC153" s="15" t="str">
        <f aca="false">IF($A153="","",IF(F153="Exited","EXITED",IF(AND(ISNUMBER(K153),K153=0),"NOT ELIGIBLE",IF(MIN(V153:X153)&lt;0,"OVER-USED",IF(Z153&lt;=Settings!$C$15,"LOW","OK")))))</f>
        <v/>
      </c>
      <c r="AD153" s="16" t="str">
        <f aca="false">IF(OR(AC153="OVER-USED",AC153="LOW"),COUNTIF(AC$6:AC153,"OVER-USED")+COUNTIF(AC$6:AC153,"LOW"),"")</f>
        <v/>
      </c>
    </row>
    <row r="154" customFormat="false" ht="15" hidden="false" customHeight="false" outlineLevel="0" collapsed="false">
      <c r="A154" s="8" t="str">
        <f aca="false">IF('Employee List'!B154="","",'Employee List'!B154)</f>
        <v/>
      </c>
      <c r="B154" s="8" t="str">
        <f aca="false">IF($A154="","",'Employee List'!C154)</f>
        <v/>
      </c>
      <c r="C154" s="8" t="str">
        <f aca="false">IF($A154="","",'Employee List'!E154&amp;"")</f>
        <v/>
      </c>
      <c r="D154" s="8" t="str">
        <f aca="false">IF($A154="","",'Employee List'!F154&amp;"")</f>
        <v/>
      </c>
      <c r="E154" s="8" t="str">
        <f aca="false">IF($A154="","",'Employee List'!G154&amp;"")</f>
        <v/>
      </c>
      <c r="F154" s="8" t="str">
        <f aca="false">IF($A154="","",'Employee List'!D154)</f>
        <v/>
      </c>
      <c r="G154" s="38" t="str">
        <f aca="false">IF($A154="","",IF('Employee List'!I154="","",'Employee List'!I154))</f>
        <v/>
      </c>
      <c r="H154" s="38" t="str">
        <f aca="false">IF(OR($A154="",G154=""),"",G154+Settings!$C$13)</f>
        <v/>
      </c>
      <c r="I154" s="38" t="str">
        <f aca="false">IF(H154="","",MAX(H154,DATE(LvYear,1,1)))</f>
        <v/>
      </c>
      <c r="J154" s="38" t="str">
        <f aca="false">IF($A154="","",IF('Employee List'!J154="",DATE(LvYear,12,31),MIN('Employee List'!J154,DATE(LvYear,12,31))))</f>
        <v/>
      </c>
      <c r="K154" s="39" t="str">
        <f aca="false">IF(OR(I154="",J154=""),"",MAX(0,J154-I154+1))</f>
        <v/>
      </c>
      <c r="L154" s="16" t="str">
        <f aca="false">IF($A154="","",IF(AND(ISNUMBER(K154),K154=0),0,Settings!$C$10))</f>
        <v/>
      </c>
      <c r="M154" s="16" t="str">
        <f aca="false">IF($A154="","",IF(AND(ISNUMBER(K154),K154=0),0,Settings!$C$11))</f>
        <v/>
      </c>
      <c r="N154" s="40"/>
      <c r="O154" s="16" t="str">
        <f aca="false">IF($A154="","",FLOOR(Settings!$C$12/365*N(K154),0.5))</f>
        <v/>
      </c>
      <c r="P154" s="16" t="str">
        <f aca="false">IF($A154="","",IF(I154="",N(N154),FLOOR(Settings!$C$12/365*MAX(0,MIN(LvAsOf,J154)-I154+1)+N(N154),0.5)))</f>
        <v/>
      </c>
      <c r="Q154" s="16" t="str">
        <f aca="false">IF($A154="","",Settings!$C$14)</f>
        <v/>
      </c>
      <c r="R154" s="16" t="str">
        <f aca="false">IF($A154="","",SUMIFS(Attendance!$AZ$6:$AZ$2405,Attendance!$B$6:$B$2405,$A154,Attendance!$A$6:$A$2405,"&gt;="&amp;DATE(LvYear,1,1),Attendance!$A$6:$A$2405,"&lt;="&amp;DATE(LvYear,12,31)))</f>
        <v/>
      </c>
      <c r="S154" s="16" t="str">
        <f aca="false">IF($A154="","",SUMIFS(Attendance!$AY$6:$AY$2405,Attendance!$B$6:$B$2405,$A154,Attendance!$A$6:$A$2405,"&gt;="&amp;DATE(LvYear,1,1),Attendance!$A$6:$A$2405,"&lt;="&amp;DATE(LvYear,12,31)))</f>
        <v/>
      </c>
      <c r="T154" s="16" t="str">
        <f aca="false">IF($A154="","",SUMIFS(Attendance!$AX$6:$AX$2405,Attendance!$B$6:$B$2405,$A154,Attendance!$A$6:$A$2405,"&gt;="&amp;DATE(LvYear,1,1),Attendance!$A$6:$A$2405,"&lt;="&amp;DATE(LvYear,12,31)))</f>
        <v/>
      </c>
      <c r="U154" s="16" t="str">
        <f aca="false">IF($A154="","",SUMIFS(Attendance!$AW$6:$AW$2405,Attendance!$B$6:$B$2405,$A154,Attendance!$A$6:$A$2405,"&gt;="&amp;DATE(LvYear,1,1),Attendance!$A$6:$A$2405,"&lt;="&amp;DATE(LvYear,12,31)))</f>
        <v/>
      </c>
      <c r="V154" s="16" t="str">
        <f aca="false">IF($A154="","",L154-R154)</f>
        <v/>
      </c>
      <c r="W154" s="16" t="str">
        <f aca="false">IF($A154="","",M154-S154)</f>
        <v/>
      </c>
      <c r="X154" s="16" t="str">
        <f aca="false">IF($A154="","",P154-T154)</f>
        <v/>
      </c>
      <c r="Y154" s="16" t="str">
        <f aca="false">IF($A154="","",Q154-U154)</f>
        <v/>
      </c>
      <c r="Z154" s="16" t="str">
        <f aca="false">IF($A154="","",V154+W154+X154)</f>
        <v/>
      </c>
      <c r="AA154" s="16" t="str">
        <f aca="false">IF($A154="","",O154+N(N154)-T154)</f>
        <v/>
      </c>
      <c r="AB154" s="8" t="str">
        <f aca="false">IF($A154="","","CL "&amp;V154&amp;" | SL "&amp;W154&amp;" | PL "&amp;X154&amp;" | TR "&amp;Y154)</f>
        <v/>
      </c>
      <c r="AC154" s="15" t="str">
        <f aca="false">IF($A154="","",IF(F154="Exited","EXITED",IF(AND(ISNUMBER(K154),K154=0),"NOT ELIGIBLE",IF(MIN(V154:X154)&lt;0,"OVER-USED",IF(Z154&lt;=Settings!$C$15,"LOW","OK")))))</f>
        <v/>
      </c>
      <c r="AD154" s="16" t="str">
        <f aca="false">IF(OR(AC154="OVER-USED",AC154="LOW"),COUNTIF(AC$6:AC154,"OVER-USED")+COUNTIF(AC$6:AC154,"LOW"),"")</f>
        <v/>
      </c>
    </row>
    <row r="155" customFormat="false" ht="15" hidden="false" customHeight="false" outlineLevel="0" collapsed="false">
      <c r="A155" s="8" t="str">
        <f aca="false">IF('Employee List'!B155="","",'Employee List'!B155)</f>
        <v/>
      </c>
      <c r="B155" s="8" t="str">
        <f aca="false">IF($A155="","",'Employee List'!C155)</f>
        <v/>
      </c>
      <c r="C155" s="8" t="str">
        <f aca="false">IF($A155="","",'Employee List'!E155&amp;"")</f>
        <v/>
      </c>
      <c r="D155" s="8" t="str">
        <f aca="false">IF($A155="","",'Employee List'!F155&amp;"")</f>
        <v/>
      </c>
      <c r="E155" s="8" t="str">
        <f aca="false">IF($A155="","",'Employee List'!G155&amp;"")</f>
        <v/>
      </c>
      <c r="F155" s="8" t="str">
        <f aca="false">IF($A155="","",'Employee List'!D155)</f>
        <v/>
      </c>
      <c r="G155" s="38" t="str">
        <f aca="false">IF($A155="","",IF('Employee List'!I155="","",'Employee List'!I155))</f>
        <v/>
      </c>
      <c r="H155" s="38" t="str">
        <f aca="false">IF(OR($A155="",G155=""),"",G155+Settings!$C$13)</f>
        <v/>
      </c>
      <c r="I155" s="38" t="str">
        <f aca="false">IF(H155="","",MAX(H155,DATE(LvYear,1,1)))</f>
        <v/>
      </c>
      <c r="J155" s="38" t="str">
        <f aca="false">IF($A155="","",IF('Employee List'!J155="",DATE(LvYear,12,31),MIN('Employee List'!J155,DATE(LvYear,12,31))))</f>
        <v/>
      </c>
      <c r="K155" s="39" t="str">
        <f aca="false">IF(OR(I155="",J155=""),"",MAX(0,J155-I155+1))</f>
        <v/>
      </c>
      <c r="L155" s="16" t="str">
        <f aca="false">IF($A155="","",IF(AND(ISNUMBER(K155),K155=0),0,Settings!$C$10))</f>
        <v/>
      </c>
      <c r="M155" s="16" t="str">
        <f aca="false">IF($A155="","",IF(AND(ISNUMBER(K155),K155=0),0,Settings!$C$11))</f>
        <v/>
      </c>
      <c r="N155" s="40"/>
      <c r="O155" s="16" t="str">
        <f aca="false">IF($A155="","",FLOOR(Settings!$C$12/365*N(K155),0.5))</f>
        <v/>
      </c>
      <c r="P155" s="16" t="str">
        <f aca="false">IF($A155="","",IF(I155="",N(N155),FLOOR(Settings!$C$12/365*MAX(0,MIN(LvAsOf,J155)-I155+1)+N(N155),0.5)))</f>
        <v/>
      </c>
      <c r="Q155" s="16" t="str">
        <f aca="false">IF($A155="","",Settings!$C$14)</f>
        <v/>
      </c>
      <c r="R155" s="16" t="str">
        <f aca="false">IF($A155="","",SUMIFS(Attendance!$AZ$6:$AZ$2405,Attendance!$B$6:$B$2405,$A155,Attendance!$A$6:$A$2405,"&gt;="&amp;DATE(LvYear,1,1),Attendance!$A$6:$A$2405,"&lt;="&amp;DATE(LvYear,12,31)))</f>
        <v/>
      </c>
      <c r="S155" s="16" t="str">
        <f aca="false">IF($A155="","",SUMIFS(Attendance!$AY$6:$AY$2405,Attendance!$B$6:$B$2405,$A155,Attendance!$A$6:$A$2405,"&gt;="&amp;DATE(LvYear,1,1),Attendance!$A$6:$A$2405,"&lt;="&amp;DATE(LvYear,12,31)))</f>
        <v/>
      </c>
      <c r="T155" s="16" t="str">
        <f aca="false">IF($A155="","",SUMIFS(Attendance!$AX$6:$AX$2405,Attendance!$B$6:$B$2405,$A155,Attendance!$A$6:$A$2405,"&gt;="&amp;DATE(LvYear,1,1),Attendance!$A$6:$A$2405,"&lt;="&amp;DATE(LvYear,12,31)))</f>
        <v/>
      </c>
      <c r="U155" s="16" t="str">
        <f aca="false">IF($A155="","",SUMIFS(Attendance!$AW$6:$AW$2405,Attendance!$B$6:$B$2405,$A155,Attendance!$A$6:$A$2405,"&gt;="&amp;DATE(LvYear,1,1),Attendance!$A$6:$A$2405,"&lt;="&amp;DATE(LvYear,12,31)))</f>
        <v/>
      </c>
      <c r="V155" s="16" t="str">
        <f aca="false">IF($A155="","",L155-R155)</f>
        <v/>
      </c>
      <c r="W155" s="16" t="str">
        <f aca="false">IF($A155="","",M155-S155)</f>
        <v/>
      </c>
      <c r="X155" s="16" t="str">
        <f aca="false">IF($A155="","",P155-T155)</f>
        <v/>
      </c>
      <c r="Y155" s="16" t="str">
        <f aca="false">IF($A155="","",Q155-U155)</f>
        <v/>
      </c>
      <c r="Z155" s="16" t="str">
        <f aca="false">IF($A155="","",V155+W155+X155)</f>
        <v/>
      </c>
      <c r="AA155" s="16" t="str">
        <f aca="false">IF($A155="","",O155+N(N155)-T155)</f>
        <v/>
      </c>
      <c r="AB155" s="8" t="str">
        <f aca="false">IF($A155="","","CL "&amp;V155&amp;" | SL "&amp;W155&amp;" | PL "&amp;X155&amp;" | TR "&amp;Y155)</f>
        <v/>
      </c>
      <c r="AC155" s="15" t="str">
        <f aca="false">IF($A155="","",IF(F155="Exited","EXITED",IF(AND(ISNUMBER(K155),K155=0),"NOT ELIGIBLE",IF(MIN(V155:X155)&lt;0,"OVER-USED",IF(Z155&lt;=Settings!$C$15,"LOW","OK")))))</f>
        <v/>
      </c>
      <c r="AD155" s="16" t="str">
        <f aca="false">IF(OR(AC155="OVER-USED",AC155="LOW"),COUNTIF(AC$6:AC155,"OVER-USED")+COUNTIF(AC$6:AC155,"LOW"),"")</f>
        <v/>
      </c>
    </row>
    <row r="156" customFormat="false" ht="15" hidden="false" customHeight="false" outlineLevel="0" collapsed="false">
      <c r="A156" s="8" t="str">
        <f aca="false">IF('Employee List'!B156="","",'Employee List'!B156)</f>
        <v/>
      </c>
      <c r="B156" s="8" t="str">
        <f aca="false">IF($A156="","",'Employee List'!C156)</f>
        <v/>
      </c>
      <c r="C156" s="8" t="str">
        <f aca="false">IF($A156="","",'Employee List'!E156&amp;"")</f>
        <v/>
      </c>
      <c r="D156" s="8" t="str">
        <f aca="false">IF($A156="","",'Employee List'!F156&amp;"")</f>
        <v/>
      </c>
      <c r="E156" s="8" t="str">
        <f aca="false">IF($A156="","",'Employee List'!G156&amp;"")</f>
        <v/>
      </c>
      <c r="F156" s="8" t="str">
        <f aca="false">IF($A156="","",'Employee List'!D156)</f>
        <v/>
      </c>
      <c r="G156" s="38" t="str">
        <f aca="false">IF($A156="","",IF('Employee List'!I156="","",'Employee List'!I156))</f>
        <v/>
      </c>
      <c r="H156" s="38" t="str">
        <f aca="false">IF(OR($A156="",G156=""),"",G156+Settings!$C$13)</f>
        <v/>
      </c>
      <c r="I156" s="38" t="str">
        <f aca="false">IF(H156="","",MAX(H156,DATE(LvYear,1,1)))</f>
        <v/>
      </c>
      <c r="J156" s="38" t="str">
        <f aca="false">IF($A156="","",IF('Employee List'!J156="",DATE(LvYear,12,31),MIN('Employee List'!J156,DATE(LvYear,12,31))))</f>
        <v/>
      </c>
      <c r="K156" s="39" t="str">
        <f aca="false">IF(OR(I156="",J156=""),"",MAX(0,J156-I156+1))</f>
        <v/>
      </c>
      <c r="L156" s="16" t="str">
        <f aca="false">IF($A156="","",IF(AND(ISNUMBER(K156),K156=0),0,Settings!$C$10))</f>
        <v/>
      </c>
      <c r="M156" s="16" t="str">
        <f aca="false">IF($A156="","",IF(AND(ISNUMBER(K156),K156=0),0,Settings!$C$11))</f>
        <v/>
      </c>
      <c r="N156" s="40"/>
      <c r="O156" s="16" t="str">
        <f aca="false">IF($A156="","",FLOOR(Settings!$C$12/365*N(K156),0.5))</f>
        <v/>
      </c>
      <c r="P156" s="16" t="str">
        <f aca="false">IF($A156="","",IF(I156="",N(N156),FLOOR(Settings!$C$12/365*MAX(0,MIN(LvAsOf,J156)-I156+1)+N(N156),0.5)))</f>
        <v/>
      </c>
      <c r="Q156" s="16" t="str">
        <f aca="false">IF($A156="","",Settings!$C$14)</f>
        <v/>
      </c>
      <c r="R156" s="16" t="str">
        <f aca="false">IF($A156="","",SUMIFS(Attendance!$AZ$6:$AZ$2405,Attendance!$B$6:$B$2405,$A156,Attendance!$A$6:$A$2405,"&gt;="&amp;DATE(LvYear,1,1),Attendance!$A$6:$A$2405,"&lt;="&amp;DATE(LvYear,12,31)))</f>
        <v/>
      </c>
      <c r="S156" s="16" t="str">
        <f aca="false">IF($A156="","",SUMIFS(Attendance!$AY$6:$AY$2405,Attendance!$B$6:$B$2405,$A156,Attendance!$A$6:$A$2405,"&gt;="&amp;DATE(LvYear,1,1),Attendance!$A$6:$A$2405,"&lt;="&amp;DATE(LvYear,12,31)))</f>
        <v/>
      </c>
      <c r="T156" s="16" t="str">
        <f aca="false">IF($A156="","",SUMIFS(Attendance!$AX$6:$AX$2405,Attendance!$B$6:$B$2405,$A156,Attendance!$A$6:$A$2405,"&gt;="&amp;DATE(LvYear,1,1),Attendance!$A$6:$A$2405,"&lt;="&amp;DATE(LvYear,12,31)))</f>
        <v/>
      </c>
      <c r="U156" s="16" t="str">
        <f aca="false">IF($A156="","",SUMIFS(Attendance!$AW$6:$AW$2405,Attendance!$B$6:$B$2405,$A156,Attendance!$A$6:$A$2405,"&gt;="&amp;DATE(LvYear,1,1),Attendance!$A$6:$A$2405,"&lt;="&amp;DATE(LvYear,12,31)))</f>
        <v/>
      </c>
      <c r="V156" s="16" t="str">
        <f aca="false">IF($A156="","",L156-R156)</f>
        <v/>
      </c>
      <c r="W156" s="16" t="str">
        <f aca="false">IF($A156="","",M156-S156)</f>
        <v/>
      </c>
      <c r="X156" s="16" t="str">
        <f aca="false">IF($A156="","",P156-T156)</f>
        <v/>
      </c>
      <c r="Y156" s="16" t="str">
        <f aca="false">IF($A156="","",Q156-U156)</f>
        <v/>
      </c>
      <c r="Z156" s="16" t="str">
        <f aca="false">IF($A156="","",V156+W156+X156)</f>
        <v/>
      </c>
      <c r="AA156" s="16" t="str">
        <f aca="false">IF($A156="","",O156+N(N156)-T156)</f>
        <v/>
      </c>
      <c r="AB156" s="8" t="str">
        <f aca="false">IF($A156="","","CL "&amp;V156&amp;" | SL "&amp;W156&amp;" | PL "&amp;X156&amp;" | TR "&amp;Y156)</f>
        <v/>
      </c>
      <c r="AC156" s="15" t="str">
        <f aca="false">IF($A156="","",IF(F156="Exited","EXITED",IF(AND(ISNUMBER(K156),K156=0),"NOT ELIGIBLE",IF(MIN(V156:X156)&lt;0,"OVER-USED",IF(Z156&lt;=Settings!$C$15,"LOW","OK")))))</f>
        <v/>
      </c>
      <c r="AD156" s="16" t="str">
        <f aca="false">IF(OR(AC156="OVER-USED",AC156="LOW"),COUNTIF(AC$6:AC156,"OVER-USED")+COUNTIF(AC$6:AC156,"LOW"),"")</f>
        <v/>
      </c>
    </row>
    <row r="157" customFormat="false" ht="15" hidden="false" customHeight="false" outlineLevel="0" collapsed="false">
      <c r="A157" s="8" t="str">
        <f aca="false">IF('Employee List'!B157="","",'Employee List'!B157)</f>
        <v/>
      </c>
      <c r="B157" s="8" t="str">
        <f aca="false">IF($A157="","",'Employee List'!C157)</f>
        <v/>
      </c>
      <c r="C157" s="8" t="str">
        <f aca="false">IF($A157="","",'Employee List'!E157&amp;"")</f>
        <v/>
      </c>
      <c r="D157" s="8" t="str">
        <f aca="false">IF($A157="","",'Employee List'!F157&amp;"")</f>
        <v/>
      </c>
      <c r="E157" s="8" t="str">
        <f aca="false">IF($A157="","",'Employee List'!G157&amp;"")</f>
        <v/>
      </c>
      <c r="F157" s="8" t="str">
        <f aca="false">IF($A157="","",'Employee List'!D157)</f>
        <v/>
      </c>
      <c r="G157" s="38" t="str">
        <f aca="false">IF($A157="","",IF('Employee List'!I157="","",'Employee List'!I157))</f>
        <v/>
      </c>
      <c r="H157" s="38" t="str">
        <f aca="false">IF(OR($A157="",G157=""),"",G157+Settings!$C$13)</f>
        <v/>
      </c>
      <c r="I157" s="38" t="str">
        <f aca="false">IF(H157="","",MAX(H157,DATE(LvYear,1,1)))</f>
        <v/>
      </c>
      <c r="J157" s="38" t="str">
        <f aca="false">IF($A157="","",IF('Employee List'!J157="",DATE(LvYear,12,31),MIN('Employee List'!J157,DATE(LvYear,12,31))))</f>
        <v/>
      </c>
      <c r="K157" s="39" t="str">
        <f aca="false">IF(OR(I157="",J157=""),"",MAX(0,J157-I157+1))</f>
        <v/>
      </c>
      <c r="L157" s="16" t="str">
        <f aca="false">IF($A157="","",IF(AND(ISNUMBER(K157),K157=0),0,Settings!$C$10))</f>
        <v/>
      </c>
      <c r="M157" s="16" t="str">
        <f aca="false">IF($A157="","",IF(AND(ISNUMBER(K157),K157=0),0,Settings!$C$11))</f>
        <v/>
      </c>
      <c r="N157" s="40"/>
      <c r="O157" s="16" t="str">
        <f aca="false">IF($A157="","",FLOOR(Settings!$C$12/365*N(K157),0.5))</f>
        <v/>
      </c>
      <c r="P157" s="16" t="str">
        <f aca="false">IF($A157="","",IF(I157="",N(N157),FLOOR(Settings!$C$12/365*MAX(0,MIN(LvAsOf,J157)-I157+1)+N(N157),0.5)))</f>
        <v/>
      </c>
      <c r="Q157" s="16" t="str">
        <f aca="false">IF($A157="","",Settings!$C$14)</f>
        <v/>
      </c>
      <c r="R157" s="16" t="str">
        <f aca="false">IF($A157="","",SUMIFS(Attendance!$AZ$6:$AZ$2405,Attendance!$B$6:$B$2405,$A157,Attendance!$A$6:$A$2405,"&gt;="&amp;DATE(LvYear,1,1),Attendance!$A$6:$A$2405,"&lt;="&amp;DATE(LvYear,12,31)))</f>
        <v/>
      </c>
      <c r="S157" s="16" t="str">
        <f aca="false">IF($A157="","",SUMIFS(Attendance!$AY$6:$AY$2405,Attendance!$B$6:$B$2405,$A157,Attendance!$A$6:$A$2405,"&gt;="&amp;DATE(LvYear,1,1),Attendance!$A$6:$A$2405,"&lt;="&amp;DATE(LvYear,12,31)))</f>
        <v/>
      </c>
      <c r="T157" s="16" t="str">
        <f aca="false">IF($A157="","",SUMIFS(Attendance!$AX$6:$AX$2405,Attendance!$B$6:$B$2405,$A157,Attendance!$A$6:$A$2405,"&gt;="&amp;DATE(LvYear,1,1),Attendance!$A$6:$A$2405,"&lt;="&amp;DATE(LvYear,12,31)))</f>
        <v/>
      </c>
      <c r="U157" s="16" t="str">
        <f aca="false">IF($A157="","",SUMIFS(Attendance!$AW$6:$AW$2405,Attendance!$B$6:$B$2405,$A157,Attendance!$A$6:$A$2405,"&gt;="&amp;DATE(LvYear,1,1),Attendance!$A$6:$A$2405,"&lt;="&amp;DATE(LvYear,12,31)))</f>
        <v/>
      </c>
      <c r="V157" s="16" t="str">
        <f aca="false">IF($A157="","",L157-R157)</f>
        <v/>
      </c>
      <c r="W157" s="16" t="str">
        <f aca="false">IF($A157="","",M157-S157)</f>
        <v/>
      </c>
      <c r="X157" s="16" t="str">
        <f aca="false">IF($A157="","",P157-T157)</f>
        <v/>
      </c>
      <c r="Y157" s="16" t="str">
        <f aca="false">IF($A157="","",Q157-U157)</f>
        <v/>
      </c>
      <c r="Z157" s="16" t="str">
        <f aca="false">IF($A157="","",V157+W157+X157)</f>
        <v/>
      </c>
      <c r="AA157" s="16" t="str">
        <f aca="false">IF($A157="","",O157+N(N157)-T157)</f>
        <v/>
      </c>
      <c r="AB157" s="8" t="str">
        <f aca="false">IF($A157="","","CL "&amp;V157&amp;" | SL "&amp;W157&amp;" | PL "&amp;X157&amp;" | TR "&amp;Y157)</f>
        <v/>
      </c>
      <c r="AC157" s="15" t="str">
        <f aca="false">IF($A157="","",IF(F157="Exited","EXITED",IF(AND(ISNUMBER(K157),K157=0),"NOT ELIGIBLE",IF(MIN(V157:X157)&lt;0,"OVER-USED",IF(Z157&lt;=Settings!$C$15,"LOW","OK")))))</f>
        <v/>
      </c>
      <c r="AD157" s="16" t="str">
        <f aca="false">IF(OR(AC157="OVER-USED",AC157="LOW"),COUNTIF(AC$6:AC157,"OVER-USED")+COUNTIF(AC$6:AC157,"LOW"),"")</f>
        <v/>
      </c>
    </row>
    <row r="158" customFormat="false" ht="15" hidden="false" customHeight="false" outlineLevel="0" collapsed="false">
      <c r="A158" s="8" t="str">
        <f aca="false">IF('Employee List'!B158="","",'Employee List'!B158)</f>
        <v/>
      </c>
      <c r="B158" s="8" t="str">
        <f aca="false">IF($A158="","",'Employee List'!C158)</f>
        <v/>
      </c>
      <c r="C158" s="8" t="str">
        <f aca="false">IF($A158="","",'Employee List'!E158&amp;"")</f>
        <v/>
      </c>
      <c r="D158" s="8" t="str">
        <f aca="false">IF($A158="","",'Employee List'!F158&amp;"")</f>
        <v/>
      </c>
      <c r="E158" s="8" t="str">
        <f aca="false">IF($A158="","",'Employee List'!G158&amp;"")</f>
        <v/>
      </c>
      <c r="F158" s="8" t="str">
        <f aca="false">IF($A158="","",'Employee List'!D158)</f>
        <v/>
      </c>
      <c r="G158" s="38" t="str">
        <f aca="false">IF($A158="","",IF('Employee List'!I158="","",'Employee List'!I158))</f>
        <v/>
      </c>
      <c r="H158" s="38" t="str">
        <f aca="false">IF(OR($A158="",G158=""),"",G158+Settings!$C$13)</f>
        <v/>
      </c>
      <c r="I158" s="38" t="str">
        <f aca="false">IF(H158="","",MAX(H158,DATE(LvYear,1,1)))</f>
        <v/>
      </c>
      <c r="J158" s="38" t="str">
        <f aca="false">IF($A158="","",IF('Employee List'!J158="",DATE(LvYear,12,31),MIN('Employee List'!J158,DATE(LvYear,12,31))))</f>
        <v/>
      </c>
      <c r="K158" s="39" t="str">
        <f aca="false">IF(OR(I158="",J158=""),"",MAX(0,J158-I158+1))</f>
        <v/>
      </c>
      <c r="L158" s="16" t="str">
        <f aca="false">IF($A158="","",IF(AND(ISNUMBER(K158),K158=0),0,Settings!$C$10))</f>
        <v/>
      </c>
      <c r="M158" s="16" t="str">
        <f aca="false">IF($A158="","",IF(AND(ISNUMBER(K158),K158=0),0,Settings!$C$11))</f>
        <v/>
      </c>
      <c r="N158" s="40"/>
      <c r="O158" s="16" t="str">
        <f aca="false">IF($A158="","",FLOOR(Settings!$C$12/365*N(K158),0.5))</f>
        <v/>
      </c>
      <c r="P158" s="16" t="str">
        <f aca="false">IF($A158="","",IF(I158="",N(N158),FLOOR(Settings!$C$12/365*MAX(0,MIN(LvAsOf,J158)-I158+1)+N(N158),0.5)))</f>
        <v/>
      </c>
      <c r="Q158" s="16" t="str">
        <f aca="false">IF($A158="","",Settings!$C$14)</f>
        <v/>
      </c>
      <c r="R158" s="16" t="str">
        <f aca="false">IF($A158="","",SUMIFS(Attendance!$AZ$6:$AZ$2405,Attendance!$B$6:$B$2405,$A158,Attendance!$A$6:$A$2405,"&gt;="&amp;DATE(LvYear,1,1),Attendance!$A$6:$A$2405,"&lt;="&amp;DATE(LvYear,12,31)))</f>
        <v/>
      </c>
      <c r="S158" s="16" t="str">
        <f aca="false">IF($A158="","",SUMIFS(Attendance!$AY$6:$AY$2405,Attendance!$B$6:$B$2405,$A158,Attendance!$A$6:$A$2405,"&gt;="&amp;DATE(LvYear,1,1),Attendance!$A$6:$A$2405,"&lt;="&amp;DATE(LvYear,12,31)))</f>
        <v/>
      </c>
      <c r="T158" s="16" t="str">
        <f aca="false">IF($A158="","",SUMIFS(Attendance!$AX$6:$AX$2405,Attendance!$B$6:$B$2405,$A158,Attendance!$A$6:$A$2405,"&gt;="&amp;DATE(LvYear,1,1),Attendance!$A$6:$A$2405,"&lt;="&amp;DATE(LvYear,12,31)))</f>
        <v/>
      </c>
      <c r="U158" s="16" t="str">
        <f aca="false">IF($A158="","",SUMIFS(Attendance!$AW$6:$AW$2405,Attendance!$B$6:$B$2405,$A158,Attendance!$A$6:$A$2405,"&gt;="&amp;DATE(LvYear,1,1),Attendance!$A$6:$A$2405,"&lt;="&amp;DATE(LvYear,12,31)))</f>
        <v/>
      </c>
      <c r="V158" s="16" t="str">
        <f aca="false">IF($A158="","",L158-R158)</f>
        <v/>
      </c>
      <c r="W158" s="16" t="str">
        <f aca="false">IF($A158="","",M158-S158)</f>
        <v/>
      </c>
      <c r="X158" s="16" t="str">
        <f aca="false">IF($A158="","",P158-T158)</f>
        <v/>
      </c>
      <c r="Y158" s="16" t="str">
        <f aca="false">IF($A158="","",Q158-U158)</f>
        <v/>
      </c>
      <c r="Z158" s="16" t="str">
        <f aca="false">IF($A158="","",V158+W158+X158)</f>
        <v/>
      </c>
      <c r="AA158" s="16" t="str">
        <f aca="false">IF($A158="","",O158+N(N158)-T158)</f>
        <v/>
      </c>
      <c r="AB158" s="8" t="str">
        <f aca="false">IF($A158="","","CL "&amp;V158&amp;" | SL "&amp;W158&amp;" | PL "&amp;X158&amp;" | TR "&amp;Y158)</f>
        <v/>
      </c>
      <c r="AC158" s="15" t="str">
        <f aca="false">IF($A158="","",IF(F158="Exited","EXITED",IF(AND(ISNUMBER(K158),K158=0),"NOT ELIGIBLE",IF(MIN(V158:X158)&lt;0,"OVER-USED",IF(Z158&lt;=Settings!$C$15,"LOW","OK")))))</f>
        <v/>
      </c>
      <c r="AD158" s="16" t="str">
        <f aca="false">IF(OR(AC158="OVER-USED",AC158="LOW"),COUNTIF(AC$6:AC158,"OVER-USED")+COUNTIF(AC$6:AC158,"LOW"),"")</f>
        <v/>
      </c>
    </row>
    <row r="159" customFormat="false" ht="15" hidden="false" customHeight="false" outlineLevel="0" collapsed="false">
      <c r="A159" s="8" t="str">
        <f aca="false">IF('Employee List'!B159="","",'Employee List'!B159)</f>
        <v/>
      </c>
      <c r="B159" s="8" t="str">
        <f aca="false">IF($A159="","",'Employee List'!C159)</f>
        <v/>
      </c>
      <c r="C159" s="8" t="str">
        <f aca="false">IF($A159="","",'Employee List'!E159&amp;"")</f>
        <v/>
      </c>
      <c r="D159" s="8" t="str">
        <f aca="false">IF($A159="","",'Employee List'!F159&amp;"")</f>
        <v/>
      </c>
      <c r="E159" s="8" t="str">
        <f aca="false">IF($A159="","",'Employee List'!G159&amp;"")</f>
        <v/>
      </c>
      <c r="F159" s="8" t="str">
        <f aca="false">IF($A159="","",'Employee List'!D159)</f>
        <v/>
      </c>
      <c r="G159" s="38" t="str">
        <f aca="false">IF($A159="","",IF('Employee List'!I159="","",'Employee List'!I159))</f>
        <v/>
      </c>
      <c r="H159" s="38" t="str">
        <f aca="false">IF(OR($A159="",G159=""),"",G159+Settings!$C$13)</f>
        <v/>
      </c>
      <c r="I159" s="38" t="str">
        <f aca="false">IF(H159="","",MAX(H159,DATE(LvYear,1,1)))</f>
        <v/>
      </c>
      <c r="J159" s="38" t="str">
        <f aca="false">IF($A159="","",IF('Employee List'!J159="",DATE(LvYear,12,31),MIN('Employee List'!J159,DATE(LvYear,12,31))))</f>
        <v/>
      </c>
      <c r="K159" s="39" t="str">
        <f aca="false">IF(OR(I159="",J159=""),"",MAX(0,J159-I159+1))</f>
        <v/>
      </c>
      <c r="L159" s="16" t="str">
        <f aca="false">IF($A159="","",IF(AND(ISNUMBER(K159),K159=0),0,Settings!$C$10))</f>
        <v/>
      </c>
      <c r="M159" s="16" t="str">
        <f aca="false">IF($A159="","",IF(AND(ISNUMBER(K159),K159=0),0,Settings!$C$11))</f>
        <v/>
      </c>
      <c r="N159" s="40"/>
      <c r="O159" s="16" t="str">
        <f aca="false">IF($A159="","",FLOOR(Settings!$C$12/365*N(K159),0.5))</f>
        <v/>
      </c>
      <c r="P159" s="16" t="str">
        <f aca="false">IF($A159="","",IF(I159="",N(N159),FLOOR(Settings!$C$12/365*MAX(0,MIN(LvAsOf,J159)-I159+1)+N(N159),0.5)))</f>
        <v/>
      </c>
      <c r="Q159" s="16" t="str">
        <f aca="false">IF($A159="","",Settings!$C$14)</f>
        <v/>
      </c>
      <c r="R159" s="16" t="str">
        <f aca="false">IF($A159="","",SUMIFS(Attendance!$AZ$6:$AZ$2405,Attendance!$B$6:$B$2405,$A159,Attendance!$A$6:$A$2405,"&gt;="&amp;DATE(LvYear,1,1),Attendance!$A$6:$A$2405,"&lt;="&amp;DATE(LvYear,12,31)))</f>
        <v/>
      </c>
      <c r="S159" s="16" t="str">
        <f aca="false">IF($A159="","",SUMIFS(Attendance!$AY$6:$AY$2405,Attendance!$B$6:$B$2405,$A159,Attendance!$A$6:$A$2405,"&gt;="&amp;DATE(LvYear,1,1),Attendance!$A$6:$A$2405,"&lt;="&amp;DATE(LvYear,12,31)))</f>
        <v/>
      </c>
      <c r="T159" s="16" t="str">
        <f aca="false">IF($A159="","",SUMIFS(Attendance!$AX$6:$AX$2405,Attendance!$B$6:$B$2405,$A159,Attendance!$A$6:$A$2405,"&gt;="&amp;DATE(LvYear,1,1),Attendance!$A$6:$A$2405,"&lt;="&amp;DATE(LvYear,12,31)))</f>
        <v/>
      </c>
      <c r="U159" s="16" t="str">
        <f aca="false">IF($A159="","",SUMIFS(Attendance!$AW$6:$AW$2405,Attendance!$B$6:$B$2405,$A159,Attendance!$A$6:$A$2405,"&gt;="&amp;DATE(LvYear,1,1),Attendance!$A$6:$A$2405,"&lt;="&amp;DATE(LvYear,12,31)))</f>
        <v/>
      </c>
      <c r="V159" s="16" t="str">
        <f aca="false">IF($A159="","",L159-R159)</f>
        <v/>
      </c>
      <c r="W159" s="16" t="str">
        <f aca="false">IF($A159="","",M159-S159)</f>
        <v/>
      </c>
      <c r="X159" s="16" t="str">
        <f aca="false">IF($A159="","",P159-T159)</f>
        <v/>
      </c>
      <c r="Y159" s="16" t="str">
        <f aca="false">IF($A159="","",Q159-U159)</f>
        <v/>
      </c>
      <c r="Z159" s="16" t="str">
        <f aca="false">IF($A159="","",V159+W159+X159)</f>
        <v/>
      </c>
      <c r="AA159" s="16" t="str">
        <f aca="false">IF($A159="","",O159+N(N159)-T159)</f>
        <v/>
      </c>
      <c r="AB159" s="8" t="str">
        <f aca="false">IF($A159="","","CL "&amp;V159&amp;" | SL "&amp;W159&amp;" | PL "&amp;X159&amp;" | TR "&amp;Y159)</f>
        <v/>
      </c>
      <c r="AC159" s="15" t="str">
        <f aca="false">IF($A159="","",IF(F159="Exited","EXITED",IF(AND(ISNUMBER(K159),K159=0),"NOT ELIGIBLE",IF(MIN(V159:X159)&lt;0,"OVER-USED",IF(Z159&lt;=Settings!$C$15,"LOW","OK")))))</f>
        <v/>
      </c>
      <c r="AD159" s="16" t="str">
        <f aca="false">IF(OR(AC159="OVER-USED",AC159="LOW"),COUNTIF(AC$6:AC159,"OVER-USED")+COUNTIF(AC$6:AC159,"LOW"),"")</f>
        <v/>
      </c>
    </row>
    <row r="160" customFormat="false" ht="15" hidden="false" customHeight="false" outlineLevel="0" collapsed="false">
      <c r="A160" s="8" t="str">
        <f aca="false">IF('Employee List'!B160="","",'Employee List'!B160)</f>
        <v/>
      </c>
      <c r="B160" s="8" t="str">
        <f aca="false">IF($A160="","",'Employee List'!C160)</f>
        <v/>
      </c>
      <c r="C160" s="8" t="str">
        <f aca="false">IF($A160="","",'Employee List'!E160&amp;"")</f>
        <v/>
      </c>
      <c r="D160" s="8" t="str">
        <f aca="false">IF($A160="","",'Employee List'!F160&amp;"")</f>
        <v/>
      </c>
      <c r="E160" s="8" t="str">
        <f aca="false">IF($A160="","",'Employee List'!G160&amp;"")</f>
        <v/>
      </c>
      <c r="F160" s="8" t="str">
        <f aca="false">IF($A160="","",'Employee List'!D160)</f>
        <v/>
      </c>
      <c r="G160" s="38" t="str">
        <f aca="false">IF($A160="","",IF('Employee List'!I160="","",'Employee List'!I160))</f>
        <v/>
      </c>
      <c r="H160" s="38" t="str">
        <f aca="false">IF(OR($A160="",G160=""),"",G160+Settings!$C$13)</f>
        <v/>
      </c>
      <c r="I160" s="38" t="str">
        <f aca="false">IF(H160="","",MAX(H160,DATE(LvYear,1,1)))</f>
        <v/>
      </c>
      <c r="J160" s="38" t="str">
        <f aca="false">IF($A160="","",IF('Employee List'!J160="",DATE(LvYear,12,31),MIN('Employee List'!J160,DATE(LvYear,12,31))))</f>
        <v/>
      </c>
      <c r="K160" s="39" t="str">
        <f aca="false">IF(OR(I160="",J160=""),"",MAX(0,J160-I160+1))</f>
        <v/>
      </c>
      <c r="L160" s="16" t="str">
        <f aca="false">IF($A160="","",IF(AND(ISNUMBER(K160),K160=0),0,Settings!$C$10))</f>
        <v/>
      </c>
      <c r="M160" s="16" t="str">
        <f aca="false">IF($A160="","",IF(AND(ISNUMBER(K160),K160=0),0,Settings!$C$11))</f>
        <v/>
      </c>
      <c r="N160" s="40"/>
      <c r="O160" s="16" t="str">
        <f aca="false">IF($A160="","",FLOOR(Settings!$C$12/365*N(K160),0.5))</f>
        <v/>
      </c>
      <c r="P160" s="16" t="str">
        <f aca="false">IF($A160="","",IF(I160="",N(N160),FLOOR(Settings!$C$12/365*MAX(0,MIN(LvAsOf,J160)-I160+1)+N(N160),0.5)))</f>
        <v/>
      </c>
      <c r="Q160" s="16" t="str">
        <f aca="false">IF($A160="","",Settings!$C$14)</f>
        <v/>
      </c>
      <c r="R160" s="16" t="str">
        <f aca="false">IF($A160="","",SUMIFS(Attendance!$AZ$6:$AZ$2405,Attendance!$B$6:$B$2405,$A160,Attendance!$A$6:$A$2405,"&gt;="&amp;DATE(LvYear,1,1),Attendance!$A$6:$A$2405,"&lt;="&amp;DATE(LvYear,12,31)))</f>
        <v/>
      </c>
      <c r="S160" s="16" t="str">
        <f aca="false">IF($A160="","",SUMIFS(Attendance!$AY$6:$AY$2405,Attendance!$B$6:$B$2405,$A160,Attendance!$A$6:$A$2405,"&gt;="&amp;DATE(LvYear,1,1),Attendance!$A$6:$A$2405,"&lt;="&amp;DATE(LvYear,12,31)))</f>
        <v/>
      </c>
      <c r="T160" s="16" t="str">
        <f aca="false">IF($A160="","",SUMIFS(Attendance!$AX$6:$AX$2405,Attendance!$B$6:$B$2405,$A160,Attendance!$A$6:$A$2405,"&gt;="&amp;DATE(LvYear,1,1),Attendance!$A$6:$A$2405,"&lt;="&amp;DATE(LvYear,12,31)))</f>
        <v/>
      </c>
      <c r="U160" s="16" t="str">
        <f aca="false">IF($A160="","",SUMIFS(Attendance!$AW$6:$AW$2405,Attendance!$B$6:$B$2405,$A160,Attendance!$A$6:$A$2405,"&gt;="&amp;DATE(LvYear,1,1),Attendance!$A$6:$A$2405,"&lt;="&amp;DATE(LvYear,12,31)))</f>
        <v/>
      </c>
      <c r="V160" s="16" t="str">
        <f aca="false">IF($A160="","",L160-R160)</f>
        <v/>
      </c>
      <c r="W160" s="16" t="str">
        <f aca="false">IF($A160="","",M160-S160)</f>
        <v/>
      </c>
      <c r="X160" s="16" t="str">
        <f aca="false">IF($A160="","",P160-T160)</f>
        <v/>
      </c>
      <c r="Y160" s="16" t="str">
        <f aca="false">IF($A160="","",Q160-U160)</f>
        <v/>
      </c>
      <c r="Z160" s="16" t="str">
        <f aca="false">IF($A160="","",V160+W160+X160)</f>
        <v/>
      </c>
      <c r="AA160" s="16" t="str">
        <f aca="false">IF($A160="","",O160+N(N160)-T160)</f>
        <v/>
      </c>
      <c r="AB160" s="8" t="str">
        <f aca="false">IF($A160="","","CL "&amp;V160&amp;" | SL "&amp;W160&amp;" | PL "&amp;X160&amp;" | TR "&amp;Y160)</f>
        <v/>
      </c>
      <c r="AC160" s="15" t="str">
        <f aca="false">IF($A160="","",IF(F160="Exited","EXITED",IF(AND(ISNUMBER(K160),K160=0),"NOT ELIGIBLE",IF(MIN(V160:X160)&lt;0,"OVER-USED",IF(Z160&lt;=Settings!$C$15,"LOW","OK")))))</f>
        <v/>
      </c>
      <c r="AD160" s="16" t="str">
        <f aca="false">IF(OR(AC160="OVER-USED",AC160="LOW"),COUNTIF(AC$6:AC160,"OVER-USED")+COUNTIF(AC$6:AC160,"LOW"),"")</f>
        <v/>
      </c>
    </row>
    <row r="161" customFormat="false" ht="15" hidden="false" customHeight="false" outlineLevel="0" collapsed="false">
      <c r="A161" s="8" t="str">
        <f aca="false">IF('Employee List'!B161="","",'Employee List'!B161)</f>
        <v/>
      </c>
      <c r="B161" s="8" t="str">
        <f aca="false">IF($A161="","",'Employee List'!C161)</f>
        <v/>
      </c>
      <c r="C161" s="8" t="str">
        <f aca="false">IF($A161="","",'Employee List'!E161&amp;"")</f>
        <v/>
      </c>
      <c r="D161" s="8" t="str">
        <f aca="false">IF($A161="","",'Employee List'!F161&amp;"")</f>
        <v/>
      </c>
      <c r="E161" s="8" t="str">
        <f aca="false">IF($A161="","",'Employee List'!G161&amp;"")</f>
        <v/>
      </c>
      <c r="F161" s="8" t="str">
        <f aca="false">IF($A161="","",'Employee List'!D161)</f>
        <v/>
      </c>
      <c r="G161" s="38" t="str">
        <f aca="false">IF($A161="","",IF('Employee List'!I161="","",'Employee List'!I161))</f>
        <v/>
      </c>
      <c r="H161" s="38" t="str">
        <f aca="false">IF(OR($A161="",G161=""),"",G161+Settings!$C$13)</f>
        <v/>
      </c>
      <c r="I161" s="38" t="str">
        <f aca="false">IF(H161="","",MAX(H161,DATE(LvYear,1,1)))</f>
        <v/>
      </c>
      <c r="J161" s="38" t="str">
        <f aca="false">IF($A161="","",IF('Employee List'!J161="",DATE(LvYear,12,31),MIN('Employee List'!J161,DATE(LvYear,12,31))))</f>
        <v/>
      </c>
      <c r="K161" s="39" t="str">
        <f aca="false">IF(OR(I161="",J161=""),"",MAX(0,J161-I161+1))</f>
        <v/>
      </c>
      <c r="L161" s="16" t="str">
        <f aca="false">IF($A161="","",IF(AND(ISNUMBER(K161),K161=0),0,Settings!$C$10))</f>
        <v/>
      </c>
      <c r="M161" s="16" t="str">
        <f aca="false">IF($A161="","",IF(AND(ISNUMBER(K161),K161=0),0,Settings!$C$11))</f>
        <v/>
      </c>
      <c r="N161" s="40"/>
      <c r="O161" s="16" t="str">
        <f aca="false">IF($A161="","",FLOOR(Settings!$C$12/365*N(K161),0.5))</f>
        <v/>
      </c>
      <c r="P161" s="16" t="str">
        <f aca="false">IF($A161="","",IF(I161="",N(N161),FLOOR(Settings!$C$12/365*MAX(0,MIN(LvAsOf,J161)-I161+1)+N(N161),0.5)))</f>
        <v/>
      </c>
      <c r="Q161" s="16" t="str">
        <f aca="false">IF($A161="","",Settings!$C$14)</f>
        <v/>
      </c>
      <c r="R161" s="16" t="str">
        <f aca="false">IF($A161="","",SUMIFS(Attendance!$AZ$6:$AZ$2405,Attendance!$B$6:$B$2405,$A161,Attendance!$A$6:$A$2405,"&gt;="&amp;DATE(LvYear,1,1),Attendance!$A$6:$A$2405,"&lt;="&amp;DATE(LvYear,12,31)))</f>
        <v/>
      </c>
      <c r="S161" s="16" t="str">
        <f aca="false">IF($A161="","",SUMIFS(Attendance!$AY$6:$AY$2405,Attendance!$B$6:$B$2405,$A161,Attendance!$A$6:$A$2405,"&gt;="&amp;DATE(LvYear,1,1),Attendance!$A$6:$A$2405,"&lt;="&amp;DATE(LvYear,12,31)))</f>
        <v/>
      </c>
      <c r="T161" s="16" t="str">
        <f aca="false">IF($A161="","",SUMIFS(Attendance!$AX$6:$AX$2405,Attendance!$B$6:$B$2405,$A161,Attendance!$A$6:$A$2405,"&gt;="&amp;DATE(LvYear,1,1),Attendance!$A$6:$A$2405,"&lt;="&amp;DATE(LvYear,12,31)))</f>
        <v/>
      </c>
      <c r="U161" s="16" t="str">
        <f aca="false">IF($A161="","",SUMIFS(Attendance!$AW$6:$AW$2405,Attendance!$B$6:$B$2405,$A161,Attendance!$A$6:$A$2405,"&gt;="&amp;DATE(LvYear,1,1),Attendance!$A$6:$A$2405,"&lt;="&amp;DATE(LvYear,12,31)))</f>
        <v/>
      </c>
      <c r="V161" s="16" t="str">
        <f aca="false">IF($A161="","",L161-R161)</f>
        <v/>
      </c>
      <c r="W161" s="16" t="str">
        <f aca="false">IF($A161="","",M161-S161)</f>
        <v/>
      </c>
      <c r="X161" s="16" t="str">
        <f aca="false">IF($A161="","",P161-T161)</f>
        <v/>
      </c>
      <c r="Y161" s="16" t="str">
        <f aca="false">IF($A161="","",Q161-U161)</f>
        <v/>
      </c>
      <c r="Z161" s="16" t="str">
        <f aca="false">IF($A161="","",V161+W161+X161)</f>
        <v/>
      </c>
      <c r="AA161" s="16" t="str">
        <f aca="false">IF($A161="","",O161+N(N161)-T161)</f>
        <v/>
      </c>
      <c r="AB161" s="8" t="str">
        <f aca="false">IF($A161="","","CL "&amp;V161&amp;" | SL "&amp;W161&amp;" | PL "&amp;X161&amp;" | TR "&amp;Y161)</f>
        <v/>
      </c>
      <c r="AC161" s="15" t="str">
        <f aca="false">IF($A161="","",IF(F161="Exited","EXITED",IF(AND(ISNUMBER(K161),K161=0),"NOT ELIGIBLE",IF(MIN(V161:X161)&lt;0,"OVER-USED",IF(Z161&lt;=Settings!$C$15,"LOW","OK")))))</f>
        <v/>
      </c>
      <c r="AD161" s="16" t="str">
        <f aca="false">IF(OR(AC161="OVER-USED",AC161="LOW"),COUNTIF(AC$6:AC161,"OVER-USED")+COUNTIF(AC$6:AC161,"LOW"),"")</f>
        <v/>
      </c>
    </row>
    <row r="162" customFormat="false" ht="15" hidden="false" customHeight="false" outlineLevel="0" collapsed="false">
      <c r="A162" s="8" t="str">
        <f aca="false">IF('Employee List'!B162="","",'Employee List'!B162)</f>
        <v/>
      </c>
      <c r="B162" s="8" t="str">
        <f aca="false">IF($A162="","",'Employee List'!C162)</f>
        <v/>
      </c>
      <c r="C162" s="8" t="str">
        <f aca="false">IF($A162="","",'Employee List'!E162&amp;"")</f>
        <v/>
      </c>
      <c r="D162" s="8" t="str">
        <f aca="false">IF($A162="","",'Employee List'!F162&amp;"")</f>
        <v/>
      </c>
      <c r="E162" s="8" t="str">
        <f aca="false">IF($A162="","",'Employee List'!G162&amp;"")</f>
        <v/>
      </c>
      <c r="F162" s="8" t="str">
        <f aca="false">IF($A162="","",'Employee List'!D162)</f>
        <v/>
      </c>
      <c r="G162" s="38" t="str">
        <f aca="false">IF($A162="","",IF('Employee List'!I162="","",'Employee List'!I162))</f>
        <v/>
      </c>
      <c r="H162" s="38" t="str">
        <f aca="false">IF(OR($A162="",G162=""),"",G162+Settings!$C$13)</f>
        <v/>
      </c>
      <c r="I162" s="38" t="str">
        <f aca="false">IF(H162="","",MAX(H162,DATE(LvYear,1,1)))</f>
        <v/>
      </c>
      <c r="J162" s="38" t="str">
        <f aca="false">IF($A162="","",IF('Employee List'!J162="",DATE(LvYear,12,31),MIN('Employee List'!J162,DATE(LvYear,12,31))))</f>
        <v/>
      </c>
      <c r="K162" s="39" t="str">
        <f aca="false">IF(OR(I162="",J162=""),"",MAX(0,J162-I162+1))</f>
        <v/>
      </c>
      <c r="L162" s="16" t="str">
        <f aca="false">IF($A162="","",IF(AND(ISNUMBER(K162),K162=0),0,Settings!$C$10))</f>
        <v/>
      </c>
      <c r="M162" s="16" t="str">
        <f aca="false">IF($A162="","",IF(AND(ISNUMBER(K162),K162=0),0,Settings!$C$11))</f>
        <v/>
      </c>
      <c r="N162" s="40"/>
      <c r="O162" s="16" t="str">
        <f aca="false">IF($A162="","",FLOOR(Settings!$C$12/365*N(K162),0.5))</f>
        <v/>
      </c>
      <c r="P162" s="16" t="str">
        <f aca="false">IF($A162="","",IF(I162="",N(N162),FLOOR(Settings!$C$12/365*MAX(0,MIN(LvAsOf,J162)-I162+1)+N(N162),0.5)))</f>
        <v/>
      </c>
      <c r="Q162" s="16" t="str">
        <f aca="false">IF($A162="","",Settings!$C$14)</f>
        <v/>
      </c>
      <c r="R162" s="16" t="str">
        <f aca="false">IF($A162="","",SUMIFS(Attendance!$AZ$6:$AZ$2405,Attendance!$B$6:$B$2405,$A162,Attendance!$A$6:$A$2405,"&gt;="&amp;DATE(LvYear,1,1),Attendance!$A$6:$A$2405,"&lt;="&amp;DATE(LvYear,12,31)))</f>
        <v/>
      </c>
      <c r="S162" s="16" t="str">
        <f aca="false">IF($A162="","",SUMIFS(Attendance!$AY$6:$AY$2405,Attendance!$B$6:$B$2405,$A162,Attendance!$A$6:$A$2405,"&gt;="&amp;DATE(LvYear,1,1),Attendance!$A$6:$A$2405,"&lt;="&amp;DATE(LvYear,12,31)))</f>
        <v/>
      </c>
      <c r="T162" s="16" t="str">
        <f aca="false">IF($A162="","",SUMIFS(Attendance!$AX$6:$AX$2405,Attendance!$B$6:$B$2405,$A162,Attendance!$A$6:$A$2405,"&gt;="&amp;DATE(LvYear,1,1),Attendance!$A$6:$A$2405,"&lt;="&amp;DATE(LvYear,12,31)))</f>
        <v/>
      </c>
      <c r="U162" s="16" t="str">
        <f aca="false">IF($A162="","",SUMIFS(Attendance!$AW$6:$AW$2405,Attendance!$B$6:$B$2405,$A162,Attendance!$A$6:$A$2405,"&gt;="&amp;DATE(LvYear,1,1),Attendance!$A$6:$A$2405,"&lt;="&amp;DATE(LvYear,12,31)))</f>
        <v/>
      </c>
      <c r="V162" s="16" t="str">
        <f aca="false">IF($A162="","",L162-R162)</f>
        <v/>
      </c>
      <c r="W162" s="16" t="str">
        <f aca="false">IF($A162="","",M162-S162)</f>
        <v/>
      </c>
      <c r="X162" s="16" t="str">
        <f aca="false">IF($A162="","",P162-T162)</f>
        <v/>
      </c>
      <c r="Y162" s="16" t="str">
        <f aca="false">IF($A162="","",Q162-U162)</f>
        <v/>
      </c>
      <c r="Z162" s="16" t="str">
        <f aca="false">IF($A162="","",V162+W162+X162)</f>
        <v/>
      </c>
      <c r="AA162" s="16" t="str">
        <f aca="false">IF($A162="","",O162+N(N162)-T162)</f>
        <v/>
      </c>
      <c r="AB162" s="8" t="str">
        <f aca="false">IF($A162="","","CL "&amp;V162&amp;" | SL "&amp;W162&amp;" | PL "&amp;X162&amp;" | TR "&amp;Y162)</f>
        <v/>
      </c>
      <c r="AC162" s="15" t="str">
        <f aca="false">IF($A162="","",IF(F162="Exited","EXITED",IF(AND(ISNUMBER(K162),K162=0),"NOT ELIGIBLE",IF(MIN(V162:X162)&lt;0,"OVER-USED",IF(Z162&lt;=Settings!$C$15,"LOW","OK")))))</f>
        <v/>
      </c>
      <c r="AD162" s="16" t="str">
        <f aca="false">IF(OR(AC162="OVER-USED",AC162="LOW"),COUNTIF(AC$6:AC162,"OVER-USED")+COUNTIF(AC$6:AC162,"LOW"),"")</f>
        <v/>
      </c>
    </row>
    <row r="163" customFormat="false" ht="15" hidden="false" customHeight="false" outlineLevel="0" collapsed="false">
      <c r="A163" s="8" t="str">
        <f aca="false">IF('Employee List'!B163="","",'Employee List'!B163)</f>
        <v/>
      </c>
      <c r="B163" s="8" t="str">
        <f aca="false">IF($A163="","",'Employee List'!C163)</f>
        <v/>
      </c>
      <c r="C163" s="8" t="str">
        <f aca="false">IF($A163="","",'Employee List'!E163&amp;"")</f>
        <v/>
      </c>
      <c r="D163" s="8" t="str">
        <f aca="false">IF($A163="","",'Employee List'!F163&amp;"")</f>
        <v/>
      </c>
      <c r="E163" s="8" t="str">
        <f aca="false">IF($A163="","",'Employee List'!G163&amp;"")</f>
        <v/>
      </c>
      <c r="F163" s="8" t="str">
        <f aca="false">IF($A163="","",'Employee List'!D163)</f>
        <v/>
      </c>
      <c r="G163" s="38" t="str">
        <f aca="false">IF($A163="","",IF('Employee List'!I163="","",'Employee List'!I163))</f>
        <v/>
      </c>
      <c r="H163" s="38" t="str">
        <f aca="false">IF(OR($A163="",G163=""),"",G163+Settings!$C$13)</f>
        <v/>
      </c>
      <c r="I163" s="38" t="str">
        <f aca="false">IF(H163="","",MAX(H163,DATE(LvYear,1,1)))</f>
        <v/>
      </c>
      <c r="J163" s="38" t="str">
        <f aca="false">IF($A163="","",IF('Employee List'!J163="",DATE(LvYear,12,31),MIN('Employee List'!J163,DATE(LvYear,12,31))))</f>
        <v/>
      </c>
      <c r="K163" s="39" t="str">
        <f aca="false">IF(OR(I163="",J163=""),"",MAX(0,J163-I163+1))</f>
        <v/>
      </c>
      <c r="L163" s="16" t="str">
        <f aca="false">IF($A163="","",IF(AND(ISNUMBER(K163),K163=0),0,Settings!$C$10))</f>
        <v/>
      </c>
      <c r="M163" s="16" t="str">
        <f aca="false">IF($A163="","",IF(AND(ISNUMBER(K163),K163=0),0,Settings!$C$11))</f>
        <v/>
      </c>
      <c r="N163" s="40"/>
      <c r="O163" s="16" t="str">
        <f aca="false">IF($A163="","",FLOOR(Settings!$C$12/365*N(K163),0.5))</f>
        <v/>
      </c>
      <c r="P163" s="16" t="str">
        <f aca="false">IF($A163="","",IF(I163="",N(N163),FLOOR(Settings!$C$12/365*MAX(0,MIN(LvAsOf,J163)-I163+1)+N(N163),0.5)))</f>
        <v/>
      </c>
      <c r="Q163" s="16" t="str">
        <f aca="false">IF($A163="","",Settings!$C$14)</f>
        <v/>
      </c>
      <c r="R163" s="16" t="str">
        <f aca="false">IF($A163="","",SUMIFS(Attendance!$AZ$6:$AZ$2405,Attendance!$B$6:$B$2405,$A163,Attendance!$A$6:$A$2405,"&gt;="&amp;DATE(LvYear,1,1),Attendance!$A$6:$A$2405,"&lt;="&amp;DATE(LvYear,12,31)))</f>
        <v/>
      </c>
      <c r="S163" s="16" t="str">
        <f aca="false">IF($A163="","",SUMIFS(Attendance!$AY$6:$AY$2405,Attendance!$B$6:$B$2405,$A163,Attendance!$A$6:$A$2405,"&gt;="&amp;DATE(LvYear,1,1),Attendance!$A$6:$A$2405,"&lt;="&amp;DATE(LvYear,12,31)))</f>
        <v/>
      </c>
      <c r="T163" s="16" t="str">
        <f aca="false">IF($A163="","",SUMIFS(Attendance!$AX$6:$AX$2405,Attendance!$B$6:$B$2405,$A163,Attendance!$A$6:$A$2405,"&gt;="&amp;DATE(LvYear,1,1),Attendance!$A$6:$A$2405,"&lt;="&amp;DATE(LvYear,12,31)))</f>
        <v/>
      </c>
      <c r="U163" s="16" t="str">
        <f aca="false">IF($A163="","",SUMIFS(Attendance!$AW$6:$AW$2405,Attendance!$B$6:$B$2405,$A163,Attendance!$A$6:$A$2405,"&gt;="&amp;DATE(LvYear,1,1),Attendance!$A$6:$A$2405,"&lt;="&amp;DATE(LvYear,12,31)))</f>
        <v/>
      </c>
      <c r="V163" s="16" t="str">
        <f aca="false">IF($A163="","",L163-R163)</f>
        <v/>
      </c>
      <c r="W163" s="16" t="str">
        <f aca="false">IF($A163="","",M163-S163)</f>
        <v/>
      </c>
      <c r="X163" s="16" t="str">
        <f aca="false">IF($A163="","",P163-T163)</f>
        <v/>
      </c>
      <c r="Y163" s="16" t="str">
        <f aca="false">IF($A163="","",Q163-U163)</f>
        <v/>
      </c>
      <c r="Z163" s="16" t="str">
        <f aca="false">IF($A163="","",V163+W163+X163)</f>
        <v/>
      </c>
      <c r="AA163" s="16" t="str">
        <f aca="false">IF($A163="","",O163+N(N163)-T163)</f>
        <v/>
      </c>
      <c r="AB163" s="8" t="str">
        <f aca="false">IF($A163="","","CL "&amp;V163&amp;" | SL "&amp;W163&amp;" | PL "&amp;X163&amp;" | TR "&amp;Y163)</f>
        <v/>
      </c>
      <c r="AC163" s="15" t="str">
        <f aca="false">IF($A163="","",IF(F163="Exited","EXITED",IF(AND(ISNUMBER(K163),K163=0),"NOT ELIGIBLE",IF(MIN(V163:X163)&lt;0,"OVER-USED",IF(Z163&lt;=Settings!$C$15,"LOW","OK")))))</f>
        <v/>
      </c>
      <c r="AD163" s="16" t="str">
        <f aca="false">IF(OR(AC163="OVER-USED",AC163="LOW"),COUNTIF(AC$6:AC163,"OVER-USED")+COUNTIF(AC$6:AC163,"LOW"),"")</f>
        <v/>
      </c>
    </row>
    <row r="164" customFormat="false" ht="15" hidden="false" customHeight="false" outlineLevel="0" collapsed="false">
      <c r="A164" s="8" t="str">
        <f aca="false">IF('Employee List'!B164="","",'Employee List'!B164)</f>
        <v/>
      </c>
      <c r="B164" s="8" t="str">
        <f aca="false">IF($A164="","",'Employee List'!C164)</f>
        <v/>
      </c>
      <c r="C164" s="8" t="str">
        <f aca="false">IF($A164="","",'Employee List'!E164&amp;"")</f>
        <v/>
      </c>
      <c r="D164" s="8" t="str">
        <f aca="false">IF($A164="","",'Employee List'!F164&amp;"")</f>
        <v/>
      </c>
      <c r="E164" s="8" t="str">
        <f aca="false">IF($A164="","",'Employee List'!G164&amp;"")</f>
        <v/>
      </c>
      <c r="F164" s="8" t="str">
        <f aca="false">IF($A164="","",'Employee List'!D164)</f>
        <v/>
      </c>
      <c r="G164" s="38" t="str">
        <f aca="false">IF($A164="","",IF('Employee List'!I164="","",'Employee List'!I164))</f>
        <v/>
      </c>
      <c r="H164" s="38" t="str">
        <f aca="false">IF(OR($A164="",G164=""),"",G164+Settings!$C$13)</f>
        <v/>
      </c>
      <c r="I164" s="38" t="str">
        <f aca="false">IF(H164="","",MAX(H164,DATE(LvYear,1,1)))</f>
        <v/>
      </c>
      <c r="J164" s="38" t="str">
        <f aca="false">IF($A164="","",IF('Employee List'!J164="",DATE(LvYear,12,31),MIN('Employee List'!J164,DATE(LvYear,12,31))))</f>
        <v/>
      </c>
      <c r="K164" s="39" t="str">
        <f aca="false">IF(OR(I164="",J164=""),"",MAX(0,J164-I164+1))</f>
        <v/>
      </c>
      <c r="L164" s="16" t="str">
        <f aca="false">IF($A164="","",IF(AND(ISNUMBER(K164),K164=0),0,Settings!$C$10))</f>
        <v/>
      </c>
      <c r="M164" s="16" t="str">
        <f aca="false">IF($A164="","",IF(AND(ISNUMBER(K164),K164=0),0,Settings!$C$11))</f>
        <v/>
      </c>
      <c r="N164" s="40"/>
      <c r="O164" s="16" t="str">
        <f aca="false">IF($A164="","",FLOOR(Settings!$C$12/365*N(K164),0.5))</f>
        <v/>
      </c>
      <c r="P164" s="16" t="str">
        <f aca="false">IF($A164="","",IF(I164="",N(N164),FLOOR(Settings!$C$12/365*MAX(0,MIN(LvAsOf,J164)-I164+1)+N(N164),0.5)))</f>
        <v/>
      </c>
      <c r="Q164" s="16" t="str">
        <f aca="false">IF($A164="","",Settings!$C$14)</f>
        <v/>
      </c>
      <c r="R164" s="16" t="str">
        <f aca="false">IF($A164="","",SUMIFS(Attendance!$AZ$6:$AZ$2405,Attendance!$B$6:$B$2405,$A164,Attendance!$A$6:$A$2405,"&gt;="&amp;DATE(LvYear,1,1),Attendance!$A$6:$A$2405,"&lt;="&amp;DATE(LvYear,12,31)))</f>
        <v/>
      </c>
      <c r="S164" s="16" t="str">
        <f aca="false">IF($A164="","",SUMIFS(Attendance!$AY$6:$AY$2405,Attendance!$B$6:$B$2405,$A164,Attendance!$A$6:$A$2405,"&gt;="&amp;DATE(LvYear,1,1),Attendance!$A$6:$A$2405,"&lt;="&amp;DATE(LvYear,12,31)))</f>
        <v/>
      </c>
      <c r="T164" s="16" t="str">
        <f aca="false">IF($A164="","",SUMIFS(Attendance!$AX$6:$AX$2405,Attendance!$B$6:$B$2405,$A164,Attendance!$A$6:$A$2405,"&gt;="&amp;DATE(LvYear,1,1),Attendance!$A$6:$A$2405,"&lt;="&amp;DATE(LvYear,12,31)))</f>
        <v/>
      </c>
      <c r="U164" s="16" t="str">
        <f aca="false">IF($A164="","",SUMIFS(Attendance!$AW$6:$AW$2405,Attendance!$B$6:$B$2405,$A164,Attendance!$A$6:$A$2405,"&gt;="&amp;DATE(LvYear,1,1),Attendance!$A$6:$A$2405,"&lt;="&amp;DATE(LvYear,12,31)))</f>
        <v/>
      </c>
      <c r="V164" s="16" t="str">
        <f aca="false">IF($A164="","",L164-R164)</f>
        <v/>
      </c>
      <c r="W164" s="16" t="str">
        <f aca="false">IF($A164="","",M164-S164)</f>
        <v/>
      </c>
      <c r="X164" s="16" t="str">
        <f aca="false">IF($A164="","",P164-T164)</f>
        <v/>
      </c>
      <c r="Y164" s="16" t="str">
        <f aca="false">IF($A164="","",Q164-U164)</f>
        <v/>
      </c>
      <c r="Z164" s="16" t="str">
        <f aca="false">IF($A164="","",V164+W164+X164)</f>
        <v/>
      </c>
      <c r="AA164" s="16" t="str">
        <f aca="false">IF($A164="","",O164+N(N164)-T164)</f>
        <v/>
      </c>
      <c r="AB164" s="8" t="str">
        <f aca="false">IF($A164="","","CL "&amp;V164&amp;" | SL "&amp;W164&amp;" | PL "&amp;X164&amp;" | TR "&amp;Y164)</f>
        <v/>
      </c>
      <c r="AC164" s="15" t="str">
        <f aca="false">IF($A164="","",IF(F164="Exited","EXITED",IF(AND(ISNUMBER(K164),K164=0),"NOT ELIGIBLE",IF(MIN(V164:X164)&lt;0,"OVER-USED",IF(Z164&lt;=Settings!$C$15,"LOW","OK")))))</f>
        <v/>
      </c>
      <c r="AD164" s="16" t="str">
        <f aca="false">IF(OR(AC164="OVER-USED",AC164="LOW"),COUNTIF(AC$6:AC164,"OVER-USED")+COUNTIF(AC$6:AC164,"LOW"),"")</f>
        <v/>
      </c>
    </row>
    <row r="165" customFormat="false" ht="15" hidden="false" customHeight="false" outlineLevel="0" collapsed="false">
      <c r="A165" s="8" t="str">
        <f aca="false">IF('Employee List'!B165="","",'Employee List'!B165)</f>
        <v/>
      </c>
      <c r="B165" s="8" t="str">
        <f aca="false">IF($A165="","",'Employee List'!C165)</f>
        <v/>
      </c>
      <c r="C165" s="8" t="str">
        <f aca="false">IF($A165="","",'Employee List'!E165&amp;"")</f>
        <v/>
      </c>
      <c r="D165" s="8" t="str">
        <f aca="false">IF($A165="","",'Employee List'!F165&amp;"")</f>
        <v/>
      </c>
      <c r="E165" s="8" t="str">
        <f aca="false">IF($A165="","",'Employee List'!G165&amp;"")</f>
        <v/>
      </c>
      <c r="F165" s="8" t="str">
        <f aca="false">IF($A165="","",'Employee List'!D165)</f>
        <v/>
      </c>
      <c r="G165" s="38" t="str">
        <f aca="false">IF($A165="","",IF('Employee List'!I165="","",'Employee List'!I165))</f>
        <v/>
      </c>
      <c r="H165" s="38" t="str">
        <f aca="false">IF(OR($A165="",G165=""),"",G165+Settings!$C$13)</f>
        <v/>
      </c>
      <c r="I165" s="38" t="str">
        <f aca="false">IF(H165="","",MAX(H165,DATE(LvYear,1,1)))</f>
        <v/>
      </c>
      <c r="J165" s="38" t="str">
        <f aca="false">IF($A165="","",IF('Employee List'!J165="",DATE(LvYear,12,31),MIN('Employee List'!J165,DATE(LvYear,12,31))))</f>
        <v/>
      </c>
      <c r="K165" s="39" t="str">
        <f aca="false">IF(OR(I165="",J165=""),"",MAX(0,J165-I165+1))</f>
        <v/>
      </c>
      <c r="L165" s="16" t="str">
        <f aca="false">IF($A165="","",IF(AND(ISNUMBER(K165),K165=0),0,Settings!$C$10))</f>
        <v/>
      </c>
      <c r="M165" s="16" t="str">
        <f aca="false">IF($A165="","",IF(AND(ISNUMBER(K165),K165=0),0,Settings!$C$11))</f>
        <v/>
      </c>
      <c r="N165" s="40"/>
      <c r="O165" s="16" t="str">
        <f aca="false">IF($A165="","",FLOOR(Settings!$C$12/365*N(K165),0.5))</f>
        <v/>
      </c>
      <c r="P165" s="16" t="str">
        <f aca="false">IF($A165="","",IF(I165="",N(N165),FLOOR(Settings!$C$12/365*MAX(0,MIN(LvAsOf,J165)-I165+1)+N(N165),0.5)))</f>
        <v/>
      </c>
      <c r="Q165" s="16" t="str">
        <f aca="false">IF($A165="","",Settings!$C$14)</f>
        <v/>
      </c>
      <c r="R165" s="16" t="str">
        <f aca="false">IF($A165="","",SUMIFS(Attendance!$AZ$6:$AZ$2405,Attendance!$B$6:$B$2405,$A165,Attendance!$A$6:$A$2405,"&gt;="&amp;DATE(LvYear,1,1),Attendance!$A$6:$A$2405,"&lt;="&amp;DATE(LvYear,12,31)))</f>
        <v/>
      </c>
      <c r="S165" s="16" t="str">
        <f aca="false">IF($A165="","",SUMIFS(Attendance!$AY$6:$AY$2405,Attendance!$B$6:$B$2405,$A165,Attendance!$A$6:$A$2405,"&gt;="&amp;DATE(LvYear,1,1),Attendance!$A$6:$A$2405,"&lt;="&amp;DATE(LvYear,12,31)))</f>
        <v/>
      </c>
      <c r="T165" s="16" t="str">
        <f aca="false">IF($A165="","",SUMIFS(Attendance!$AX$6:$AX$2405,Attendance!$B$6:$B$2405,$A165,Attendance!$A$6:$A$2405,"&gt;="&amp;DATE(LvYear,1,1),Attendance!$A$6:$A$2405,"&lt;="&amp;DATE(LvYear,12,31)))</f>
        <v/>
      </c>
      <c r="U165" s="16" t="str">
        <f aca="false">IF($A165="","",SUMIFS(Attendance!$AW$6:$AW$2405,Attendance!$B$6:$B$2405,$A165,Attendance!$A$6:$A$2405,"&gt;="&amp;DATE(LvYear,1,1),Attendance!$A$6:$A$2405,"&lt;="&amp;DATE(LvYear,12,31)))</f>
        <v/>
      </c>
      <c r="V165" s="16" t="str">
        <f aca="false">IF($A165="","",L165-R165)</f>
        <v/>
      </c>
      <c r="W165" s="16" t="str">
        <f aca="false">IF($A165="","",M165-S165)</f>
        <v/>
      </c>
      <c r="X165" s="16" t="str">
        <f aca="false">IF($A165="","",P165-T165)</f>
        <v/>
      </c>
      <c r="Y165" s="16" t="str">
        <f aca="false">IF($A165="","",Q165-U165)</f>
        <v/>
      </c>
      <c r="Z165" s="16" t="str">
        <f aca="false">IF($A165="","",V165+W165+X165)</f>
        <v/>
      </c>
      <c r="AA165" s="16" t="str">
        <f aca="false">IF($A165="","",O165+N(N165)-T165)</f>
        <v/>
      </c>
      <c r="AB165" s="8" t="str">
        <f aca="false">IF($A165="","","CL "&amp;V165&amp;" | SL "&amp;W165&amp;" | PL "&amp;X165&amp;" | TR "&amp;Y165)</f>
        <v/>
      </c>
      <c r="AC165" s="15" t="str">
        <f aca="false">IF($A165="","",IF(F165="Exited","EXITED",IF(AND(ISNUMBER(K165),K165=0),"NOT ELIGIBLE",IF(MIN(V165:X165)&lt;0,"OVER-USED",IF(Z165&lt;=Settings!$C$15,"LOW","OK")))))</f>
        <v/>
      </c>
      <c r="AD165" s="16" t="str">
        <f aca="false">IF(OR(AC165="OVER-USED",AC165="LOW"),COUNTIF(AC$6:AC165,"OVER-USED")+COUNTIF(AC$6:AC165,"LOW"),"")</f>
        <v/>
      </c>
    </row>
    <row r="166" customFormat="false" ht="15" hidden="false" customHeight="false" outlineLevel="0" collapsed="false">
      <c r="A166" s="8" t="str">
        <f aca="false">IF('Employee List'!B166="","",'Employee List'!B166)</f>
        <v/>
      </c>
      <c r="B166" s="8" t="str">
        <f aca="false">IF($A166="","",'Employee List'!C166)</f>
        <v/>
      </c>
      <c r="C166" s="8" t="str">
        <f aca="false">IF($A166="","",'Employee List'!E166&amp;"")</f>
        <v/>
      </c>
      <c r="D166" s="8" t="str">
        <f aca="false">IF($A166="","",'Employee List'!F166&amp;"")</f>
        <v/>
      </c>
      <c r="E166" s="8" t="str">
        <f aca="false">IF($A166="","",'Employee List'!G166&amp;"")</f>
        <v/>
      </c>
      <c r="F166" s="8" t="str">
        <f aca="false">IF($A166="","",'Employee List'!D166)</f>
        <v/>
      </c>
      <c r="G166" s="38" t="str">
        <f aca="false">IF($A166="","",IF('Employee List'!I166="","",'Employee List'!I166))</f>
        <v/>
      </c>
      <c r="H166" s="38" t="str">
        <f aca="false">IF(OR($A166="",G166=""),"",G166+Settings!$C$13)</f>
        <v/>
      </c>
      <c r="I166" s="38" t="str">
        <f aca="false">IF(H166="","",MAX(H166,DATE(LvYear,1,1)))</f>
        <v/>
      </c>
      <c r="J166" s="38" t="str">
        <f aca="false">IF($A166="","",IF('Employee List'!J166="",DATE(LvYear,12,31),MIN('Employee List'!J166,DATE(LvYear,12,31))))</f>
        <v/>
      </c>
      <c r="K166" s="39" t="str">
        <f aca="false">IF(OR(I166="",J166=""),"",MAX(0,J166-I166+1))</f>
        <v/>
      </c>
      <c r="L166" s="16" t="str">
        <f aca="false">IF($A166="","",IF(AND(ISNUMBER(K166),K166=0),0,Settings!$C$10))</f>
        <v/>
      </c>
      <c r="M166" s="16" t="str">
        <f aca="false">IF($A166="","",IF(AND(ISNUMBER(K166),K166=0),0,Settings!$C$11))</f>
        <v/>
      </c>
      <c r="N166" s="40"/>
      <c r="O166" s="16" t="str">
        <f aca="false">IF($A166="","",FLOOR(Settings!$C$12/365*N(K166),0.5))</f>
        <v/>
      </c>
      <c r="P166" s="16" t="str">
        <f aca="false">IF($A166="","",IF(I166="",N(N166),FLOOR(Settings!$C$12/365*MAX(0,MIN(LvAsOf,J166)-I166+1)+N(N166),0.5)))</f>
        <v/>
      </c>
      <c r="Q166" s="16" t="str">
        <f aca="false">IF($A166="","",Settings!$C$14)</f>
        <v/>
      </c>
      <c r="R166" s="16" t="str">
        <f aca="false">IF($A166="","",SUMIFS(Attendance!$AZ$6:$AZ$2405,Attendance!$B$6:$B$2405,$A166,Attendance!$A$6:$A$2405,"&gt;="&amp;DATE(LvYear,1,1),Attendance!$A$6:$A$2405,"&lt;="&amp;DATE(LvYear,12,31)))</f>
        <v/>
      </c>
      <c r="S166" s="16" t="str">
        <f aca="false">IF($A166="","",SUMIFS(Attendance!$AY$6:$AY$2405,Attendance!$B$6:$B$2405,$A166,Attendance!$A$6:$A$2405,"&gt;="&amp;DATE(LvYear,1,1),Attendance!$A$6:$A$2405,"&lt;="&amp;DATE(LvYear,12,31)))</f>
        <v/>
      </c>
      <c r="T166" s="16" t="str">
        <f aca="false">IF($A166="","",SUMIFS(Attendance!$AX$6:$AX$2405,Attendance!$B$6:$B$2405,$A166,Attendance!$A$6:$A$2405,"&gt;="&amp;DATE(LvYear,1,1),Attendance!$A$6:$A$2405,"&lt;="&amp;DATE(LvYear,12,31)))</f>
        <v/>
      </c>
      <c r="U166" s="16" t="str">
        <f aca="false">IF($A166="","",SUMIFS(Attendance!$AW$6:$AW$2405,Attendance!$B$6:$B$2405,$A166,Attendance!$A$6:$A$2405,"&gt;="&amp;DATE(LvYear,1,1),Attendance!$A$6:$A$2405,"&lt;="&amp;DATE(LvYear,12,31)))</f>
        <v/>
      </c>
      <c r="V166" s="16" t="str">
        <f aca="false">IF($A166="","",L166-R166)</f>
        <v/>
      </c>
      <c r="W166" s="16" t="str">
        <f aca="false">IF($A166="","",M166-S166)</f>
        <v/>
      </c>
      <c r="X166" s="16" t="str">
        <f aca="false">IF($A166="","",P166-T166)</f>
        <v/>
      </c>
      <c r="Y166" s="16" t="str">
        <f aca="false">IF($A166="","",Q166-U166)</f>
        <v/>
      </c>
      <c r="Z166" s="16" t="str">
        <f aca="false">IF($A166="","",V166+W166+X166)</f>
        <v/>
      </c>
      <c r="AA166" s="16" t="str">
        <f aca="false">IF($A166="","",O166+N(N166)-T166)</f>
        <v/>
      </c>
      <c r="AB166" s="8" t="str">
        <f aca="false">IF($A166="","","CL "&amp;V166&amp;" | SL "&amp;W166&amp;" | PL "&amp;X166&amp;" | TR "&amp;Y166)</f>
        <v/>
      </c>
      <c r="AC166" s="15" t="str">
        <f aca="false">IF($A166="","",IF(F166="Exited","EXITED",IF(AND(ISNUMBER(K166),K166=0),"NOT ELIGIBLE",IF(MIN(V166:X166)&lt;0,"OVER-USED",IF(Z166&lt;=Settings!$C$15,"LOW","OK")))))</f>
        <v/>
      </c>
      <c r="AD166" s="16" t="str">
        <f aca="false">IF(OR(AC166="OVER-USED",AC166="LOW"),COUNTIF(AC$6:AC166,"OVER-USED")+COUNTIF(AC$6:AC166,"LOW"),"")</f>
        <v/>
      </c>
    </row>
    <row r="167" customFormat="false" ht="15" hidden="false" customHeight="false" outlineLevel="0" collapsed="false">
      <c r="A167" s="8" t="str">
        <f aca="false">IF('Employee List'!B167="","",'Employee List'!B167)</f>
        <v/>
      </c>
      <c r="B167" s="8" t="str">
        <f aca="false">IF($A167="","",'Employee List'!C167)</f>
        <v/>
      </c>
      <c r="C167" s="8" t="str">
        <f aca="false">IF($A167="","",'Employee List'!E167&amp;"")</f>
        <v/>
      </c>
      <c r="D167" s="8" t="str">
        <f aca="false">IF($A167="","",'Employee List'!F167&amp;"")</f>
        <v/>
      </c>
      <c r="E167" s="8" t="str">
        <f aca="false">IF($A167="","",'Employee List'!G167&amp;"")</f>
        <v/>
      </c>
      <c r="F167" s="8" t="str">
        <f aca="false">IF($A167="","",'Employee List'!D167)</f>
        <v/>
      </c>
      <c r="G167" s="38" t="str">
        <f aca="false">IF($A167="","",IF('Employee List'!I167="","",'Employee List'!I167))</f>
        <v/>
      </c>
      <c r="H167" s="38" t="str">
        <f aca="false">IF(OR($A167="",G167=""),"",G167+Settings!$C$13)</f>
        <v/>
      </c>
      <c r="I167" s="38" t="str">
        <f aca="false">IF(H167="","",MAX(H167,DATE(LvYear,1,1)))</f>
        <v/>
      </c>
      <c r="J167" s="38" t="str">
        <f aca="false">IF($A167="","",IF('Employee List'!J167="",DATE(LvYear,12,31),MIN('Employee List'!J167,DATE(LvYear,12,31))))</f>
        <v/>
      </c>
      <c r="K167" s="39" t="str">
        <f aca="false">IF(OR(I167="",J167=""),"",MAX(0,J167-I167+1))</f>
        <v/>
      </c>
      <c r="L167" s="16" t="str">
        <f aca="false">IF($A167="","",IF(AND(ISNUMBER(K167),K167=0),0,Settings!$C$10))</f>
        <v/>
      </c>
      <c r="M167" s="16" t="str">
        <f aca="false">IF($A167="","",IF(AND(ISNUMBER(K167),K167=0),0,Settings!$C$11))</f>
        <v/>
      </c>
      <c r="N167" s="40"/>
      <c r="O167" s="16" t="str">
        <f aca="false">IF($A167="","",FLOOR(Settings!$C$12/365*N(K167),0.5))</f>
        <v/>
      </c>
      <c r="P167" s="16" t="str">
        <f aca="false">IF($A167="","",IF(I167="",N(N167),FLOOR(Settings!$C$12/365*MAX(0,MIN(LvAsOf,J167)-I167+1)+N(N167),0.5)))</f>
        <v/>
      </c>
      <c r="Q167" s="16" t="str">
        <f aca="false">IF($A167="","",Settings!$C$14)</f>
        <v/>
      </c>
      <c r="R167" s="16" t="str">
        <f aca="false">IF($A167="","",SUMIFS(Attendance!$AZ$6:$AZ$2405,Attendance!$B$6:$B$2405,$A167,Attendance!$A$6:$A$2405,"&gt;="&amp;DATE(LvYear,1,1),Attendance!$A$6:$A$2405,"&lt;="&amp;DATE(LvYear,12,31)))</f>
        <v/>
      </c>
      <c r="S167" s="16" t="str">
        <f aca="false">IF($A167="","",SUMIFS(Attendance!$AY$6:$AY$2405,Attendance!$B$6:$B$2405,$A167,Attendance!$A$6:$A$2405,"&gt;="&amp;DATE(LvYear,1,1),Attendance!$A$6:$A$2405,"&lt;="&amp;DATE(LvYear,12,31)))</f>
        <v/>
      </c>
      <c r="T167" s="16" t="str">
        <f aca="false">IF($A167="","",SUMIFS(Attendance!$AX$6:$AX$2405,Attendance!$B$6:$B$2405,$A167,Attendance!$A$6:$A$2405,"&gt;="&amp;DATE(LvYear,1,1),Attendance!$A$6:$A$2405,"&lt;="&amp;DATE(LvYear,12,31)))</f>
        <v/>
      </c>
      <c r="U167" s="16" t="str">
        <f aca="false">IF($A167="","",SUMIFS(Attendance!$AW$6:$AW$2405,Attendance!$B$6:$B$2405,$A167,Attendance!$A$6:$A$2405,"&gt;="&amp;DATE(LvYear,1,1),Attendance!$A$6:$A$2405,"&lt;="&amp;DATE(LvYear,12,31)))</f>
        <v/>
      </c>
      <c r="V167" s="16" t="str">
        <f aca="false">IF($A167="","",L167-R167)</f>
        <v/>
      </c>
      <c r="W167" s="16" t="str">
        <f aca="false">IF($A167="","",M167-S167)</f>
        <v/>
      </c>
      <c r="X167" s="16" t="str">
        <f aca="false">IF($A167="","",P167-T167)</f>
        <v/>
      </c>
      <c r="Y167" s="16" t="str">
        <f aca="false">IF($A167="","",Q167-U167)</f>
        <v/>
      </c>
      <c r="Z167" s="16" t="str">
        <f aca="false">IF($A167="","",V167+W167+X167)</f>
        <v/>
      </c>
      <c r="AA167" s="16" t="str">
        <f aca="false">IF($A167="","",O167+N(N167)-T167)</f>
        <v/>
      </c>
      <c r="AB167" s="8" t="str">
        <f aca="false">IF($A167="","","CL "&amp;V167&amp;" | SL "&amp;W167&amp;" | PL "&amp;X167&amp;" | TR "&amp;Y167)</f>
        <v/>
      </c>
      <c r="AC167" s="15" t="str">
        <f aca="false">IF($A167="","",IF(F167="Exited","EXITED",IF(AND(ISNUMBER(K167),K167=0),"NOT ELIGIBLE",IF(MIN(V167:X167)&lt;0,"OVER-USED",IF(Z167&lt;=Settings!$C$15,"LOW","OK")))))</f>
        <v/>
      </c>
      <c r="AD167" s="16" t="str">
        <f aca="false">IF(OR(AC167="OVER-USED",AC167="LOW"),COUNTIF(AC$6:AC167,"OVER-USED")+COUNTIF(AC$6:AC167,"LOW"),"")</f>
        <v/>
      </c>
    </row>
    <row r="168" customFormat="false" ht="15" hidden="false" customHeight="false" outlineLevel="0" collapsed="false">
      <c r="A168" s="8" t="str">
        <f aca="false">IF('Employee List'!B168="","",'Employee List'!B168)</f>
        <v/>
      </c>
      <c r="B168" s="8" t="str">
        <f aca="false">IF($A168="","",'Employee List'!C168)</f>
        <v/>
      </c>
      <c r="C168" s="8" t="str">
        <f aca="false">IF($A168="","",'Employee List'!E168&amp;"")</f>
        <v/>
      </c>
      <c r="D168" s="8" t="str">
        <f aca="false">IF($A168="","",'Employee List'!F168&amp;"")</f>
        <v/>
      </c>
      <c r="E168" s="8" t="str">
        <f aca="false">IF($A168="","",'Employee List'!G168&amp;"")</f>
        <v/>
      </c>
      <c r="F168" s="8" t="str">
        <f aca="false">IF($A168="","",'Employee List'!D168)</f>
        <v/>
      </c>
      <c r="G168" s="38" t="str">
        <f aca="false">IF($A168="","",IF('Employee List'!I168="","",'Employee List'!I168))</f>
        <v/>
      </c>
      <c r="H168" s="38" t="str">
        <f aca="false">IF(OR($A168="",G168=""),"",G168+Settings!$C$13)</f>
        <v/>
      </c>
      <c r="I168" s="38" t="str">
        <f aca="false">IF(H168="","",MAX(H168,DATE(LvYear,1,1)))</f>
        <v/>
      </c>
      <c r="J168" s="38" t="str">
        <f aca="false">IF($A168="","",IF('Employee List'!J168="",DATE(LvYear,12,31),MIN('Employee List'!J168,DATE(LvYear,12,31))))</f>
        <v/>
      </c>
      <c r="K168" s="39" t="str">
        <f aca="false">IF(OR(I168="",J168=""),"",MAX(0,J168-I168+1))</f>
        <v/>
      </c>
      <c r="L168" s="16" t="str">
        <f aca="false">IF($A168="","",IF(AND(ISNUMBER(K168),K168=0),0,Settings!$C$10))</f>
        <v/>
      </c>
      <c r="M168" s="16" t="str">
        <f aca="false">IF($A168="","",IF(AND(ISNUMBER(K168),K168=0),0,Settings!$C$11))</f>
        <v/>
      </c>
      <c r="N168" s="40"/>
      <c r="O168" s="16" t="str">
        <f aca="false">IF($A168="","",FLOOR(Settings!$C$12/365*N(K168),0.5))</f>
        <v/>
      </c>
      <c r="P168" s="16" t="str">
        <f aca="false">IF($A168="","",IF(I168="",N(N168),FLOOR(Settings!$C$12/365*MAX(0,MIN(LvAsOf,J168)-I168+1)+N(N168),0.5)))</f>
        <v/>
      </c>
      <c r="Q168" s="16" t="str">
        <f aca="false">IF($A168="","",Settings!$C$14)</f>
        <v/>
      </c>
      <c r="R168" s="16" t="str">
        <f aca="false">IF($A168="","",SUMIFS(Attendance!$AZ$6:$AZ$2405,Attendance!$B$6:$B$2405,$A168,Attendance!$A$6:$A$2405,"&gt;="&amp;DATE(LvYear,1,1),Attendance!$A$6:$A$2405,"&lt;="&amp;DATE(LvYear,12,31)))</f>
        <v/>
      </c>
      <c r="S168" s="16" t="str">
        <f aca="false">IF($A168="","",SUMIFS(Attendance!$AY$6:$AY$2405,Attendance!$B$6:$B$2405,$A168,Attendance!$A$6:$A$2405,"&gt;="&amp;DATE(LvYear,1,1),Attendance!$A$6:$A$2405,"&lt;="&amp;DATE(LvYear,12,31)))</f>
        <v/>
      </c>
      <c r="T168" s="16" t="str">
        <f aca="false">IF($A168="","",SUMIFS(Attendance!$AX$6:$AX$2405,Attendance!$B$6:$B$2405,$A168,Attendance!$A$6:$A$2405,"&gt;="&amp;DATE(LvYear,1,1),Attendance!$A$6:$A$2405,"&lt;="&amp;DATE(LvYear,12,31)))</f>
        <v/>
      </c>
      <c r="U168" s="16" t="str">
        <f aca="false">IF($A168="","",SUMIFS(Attendance!$AW$6:$AW$2405,Attendance!$B$6:$B$2405,$A168,Attendance!$A$6:$A$2405,"&gt;="&amp;DATE(LvYear,1,1),Attendance!$A$6:$A$2405,"&lt;="&amp;DATE(LvYear,12,31)))</f>
        <v/>
      </c>
      <c r="V168" s="16" t="str">
        <f aca="false">IF($A168="","",L168-R168)</f>
        <v/>
      </c>
      <c r="W168" s="16" t="str">
        <f aca="false">IF($A168="","",M168-S168)</f>
        <v/>
      </c>
      <c r="X168" s="16" t="str">
        <f aca="false">IF($A168="","",P168-T168)</f>
        <v/>
      </c>
      <c r="Y168" s="16" t="str">
        <f aca="false">IF($A168="","",Q168-U168)</f>
        <v/>
      </c>
      <c r="Z168" s="16" t="str">
        <f aca="false">IF($A168="","",V168+W168+X168)</f>
        <v/>
      </c>
      <c r="AA168" s="16" t="str">
        <f aca="false">IF($A168="","",O168+N(N168)-T168)</f>
        <v/>
      </c>
      <c r="AB168" s="8" t="str">
        <f aca="false">IF($A168="","","CL "&amp;V168&amp;" | SL "&amp;W168&amp;" | PL "&amp;X168&amp;" | TR "&amp;Y168)</f>
        <v/>
      </c>
      <c r="AC168" s="15" t="str">
        <f aca="false">IF($A168="","",IF(F168="Exited","EXITED",IF(AND(ISNUMBER(K168),K168=0),"NOT ELIGIBLE",IF(MIN(V168:X168)&lt;0,"OVER-USED",IF(Z168&lt;=Settings!$C$15,"LOW","OK")))))</f>
        <v/>
      </c>
      <c r="AD168" s="16" t="str">
        <f aca="false">IF(OR(AC168="OVER-USED",AC168="LOW"),COUNTIF(AC$6:AC168,"OVER-USED")+COUNTIF(AC$6:AC168,"LOW"),"")</f>
        <v/>
      </c>
    </row>
    <row r="169" customFormat="false" ht="15" hidden="false" customHeight="false" outlineLevel="0" collapsed="false">
      <c r="A169" s="8" t="str">
        <f aca="false">IF('Employee List'!B169="","",'Employee List'!B169)</f>
        <v/>
      </c>
      <c r="B169" s="8" t="str">
        <f aca="false">IF($A169="","",'Employee List'!C169)</f>
        <v/>
      </c>
      <c r="C169" s="8" t="str">
        <f aca="false">IF($A169="","",'Employee List'!E169&amp;"")</f>
        <v/>
      </c>
      <c r="D169" s="8" t="str">
        <f aca="false">IF($A169="","",'Employee List'!F169&amp;"")</f>
        <v/>
      </c>
      <c r="E169" s="8" t="str">
        <f aca="false">IF($A169="","",'Employee List'!G169&amp;"")</f>
        <v/>
      </c>
      <c r="F169" s="8" t="str">
        <f aca="false">IF($A169="","",'Employee List'!D169)</f>
        <v/>
      </c>
      <c r="G169" s="38" t="str">
        <f aca="false">IF($A169="","",IF('Employee List'!I169="","",'Employee List'!I169))</f>
        <v/>
      </c>
      <c r="H169" s="38" t="str">
        <f aca="false">IF(OR($A169="",G169=""),"",G169+Settings!$C$13)</f>
        <v/>
      </c>
      <c r="I169" s="38" t="str">
        <f aca="false">IF(H169="","",MAX(H169,DATE(LvYear,1,1)))</f>
        <v/>
      </c>
      <c r="J169" s="38" t="str">
        <f aca="false">IF($A169="","",IF('Employee List'!J169="",DATE(LvYear,12,31),MIN('Employee List'!J169,DATE(LvYear,12,31))))</f>
        <v/>
      </c>
      <c r="K169" s="39" t="str">
        <f aca="false">IF(OR(I169="",J169=""),"",MAX(0,J169-I169+1))</f>
        <v/>
      </c>
      <c r="L169" s="16" t="str">
        <f aca="false">IF($A169="","",IF(AND(ISNUMBER(K169),K169=0),0,Settings!$C$10))</f>
        <v/>
      </c>
      <c r="M169" s="16" t="str">
        <f aca="false">IF($A169="","",IF(AND(ISNUMBER(K169),K169=0),0,Settings!$C$11))</f>
        <v/>
      </c>
      <c r="N169" s="40"/>
      <c r="O169" s="16" t="str">
        <f aca="false">IF($A169="","",FLOOR(Settings!$C$12/365*N(K169),0.5))</f>
        <v/>
      </c>
      <c r="P169" s="16" t="str">
        <f aca="false">IF($A169="","",IF(I169="",N(N169),FLOOR(Settings!$C$12/365*MAX(0,MIN(LvAsOf,J169)-I169+1)+N(N169),0.5)))</f>
        <v/>
      </c>
      <c r="Q169" s="16" t="str">
        <f aca="false">IF($A169="","",Settings!$C$14)</f>
        <v/>
      </c>
      <c r="R169" s="16" t="str">
        <f aca="false">IF($A169="","",SUMIFS(Attendance!$AZ$6:$AZ$2405,Attendance!$B$6:$B$2405,$A169,Attendance!$A$6:$A$2405,"&gt;="&amp;DATE(LvYear,1,1),Attendance!$A$6:$A$2405,"&lt;="&amp;DATE(LvYear,12,31)))</f>
        <v/>
      </c>
      <c r="S169" s="16" t="str">
        <f aca="false">IF($A169="","",SUMIFS(Attendance!$AY$6:$AY$2405,Attendance!$B$6:$B$2405,$A169,Attendance!$A$6:$A$2405,"&gt;="&amp;DATE(LvYear,1,1),Attendance!$A$6:$A$2405,"&lt;="&amp;DATE(LvYear,12,31)))</f>
        <v/>
      </c>
      <c r="T169" s="16" t="str">
        <f aca="false">IF($A169="","",SUMIFS(Attendance!$AX$6:$AX$2405,Attendance!$B$6:$B$2405,$A169,Attendance!$A$6:$A$2405,"&gt;="&amp;DATE(LvYear,1,1),Attendance!$A$6:$A$2405,"&lt;="&amp;DATE(LvYear,12,31)))</f>
        <v/>
      </c>
      <c r="U169" s="16" t="str">
        <f aca="false">IF($A169="","",SUMIFS(Attendance!$AW$6:$AW$2405,Attendance!$B$6:$B$2405,$A169,Attendance!$A$6:$A$2405,"&gt;="&amp;DATE(LvYear,1,1),Attendance!$A$6:$A$2405,"&lt;="&amp;DATE(LvYear,12,31)))</f>
        <v/>
      </c>
      <c r="V169" s="16" t="str">
        <f aca="false">IF($A169="","",L169-R169)</f>
        <v/>
      </c>
      <c r="W169" s="16" t="str">
        <f aca="false">IF($A169="","",M169-S169)</f>
        <v/>
      </c>
      <c r="X169" s="16" t="str">
        <f aca="false">IF($A169="","",P169-T169)</f>
        <v/>
      </c>
      <c r="Y169" s="16" t="str">
        <f aca="false">IF($A169="","",Q169-U169)</f>
        <v/>
      </c>
      <c r="Z169" s="16" t="str">
        <f aca="false">IF($A169="","",V169+W169+X169)</f>
        <v/>
      </c>
      <c r="AA169" s="16" t="str">
        <f aca="false">IF($A169="","",O169+N(N169)-T169)</f>
        <v/>
      </c>
      <c r="AB169" s="8" t="str">
        <f aca="false">IF($A169="","","CL "&amp;V169&amp;" | SL "&amp;W169&amp;" | PL "&amp;X169&amp;" | TR "&amp;Y169)</f>
        <v/>
      </c>
      <c r="AC169" s="15" t="str">
        <f aca="false">IF($A169="","",IF(F169="Exited","EXITED",IF(AND(ISNUMBER(K169),K169=0),"NOT ELIGIBLE",IF(MIN(V169:X169)&lt;0,"OVER-USED",IF(Z169&lt;=Settings!$C$15,"LOW","OK")))))</f>
        <v/>
      </c>
      <c r="AD169" s="16" t="str">
        <f aca="false">IF(OR(AC169="OVER-USED",AC169="LOW"),COUNTIF(AC$6:AC169,"OVER-USED")+COUNTIF(AC$6:AC169,"LOW"),"")</f>
        <v/>
      </c>
    </row>
    <row r="170" customFormat="false" ht="15" hidden="false" customHeight="false" outlineLevel="0" collapsed="false">
      <c r="A170" s="8" t="str">
        <f aca="false">IF('Employee List'!B170="","",'Employee List'!B170)</f>
        <v/>
      </c>
      <c r="B170" s="8" t="str">
        <f aca="false">IF($A170="","",'Employee List'!C170)</f>
        <v/>
      </c>
      <c r="C170" s="8" t="str">
        <f aca="false">IF($A170="","",'Employee List'!E170&amp;"")</f>
        <v/>
      </c>
      <c r="D170" s="8" t="str">
        <f aca="false">IF($A170="","",'Employee List'!F170&amp;"")</f>
        <v/>
      </c>
      <c r="E170" s="8" t="str">
        <f aca="false">IF($A170="","",'Employee List'!G170&amp;"")</f>
        <v/>
      </c>
      <c r="F170" s="8" t="str">
        <f aca="false">IF($A170="","",'Employee List'!D170)</f>
        <v/>
      </c>
      <c r="G170" s="38" t="str">
        <f aca="false">IF($A170="","",IF('Employee List'!I170="","",'Employee List'!I170))</f>
        <v/>
      </c>
      <c r="H170" s="38" t="str">
        <f aca="false">IF(OR($A170="",G170=""),"",G170+Settings!$C$13)</f>
        <v/>
      </c>
      <c r="I170" s="38" t="str">
        <f aca="false">IF(H170="","",MAX(H170,DATE(LvYear,1,1)))</f>
        <v/>
      </c>
      <c r="J170" s="38" t="str">
        <f aca="false">IF($A170="","",IF('Employee List'!J170="",DATE(LvYear,12,31),MIN('Employee List'!J170,DATE(LvYear,12,31))))</f>
        <v/>
      </c>
      <c r="K170" s="39" t="str">
        <f aca="false">IF(OR(I170="",J170=""),"",MAX(0,J170-I170+1))</f>
        <v/>
      </c>
      <c r="L170" s="16" t="str">
        <f aca="false">IF($A170="","",IF(AND(ISNUMBER(K170),K170=0),0,Settings!$C$10))</f>
        <v/>
      </c>
      <c r="M170" s="16" t="str">
        <f aca="false">IF($A170="","",IF(AND(ISNUMBER(K170),K170=0),0,Settings!$C$11))</f>
        <v/>
      </c>
      <c r="N170" s="40"/>
      <c r="O170" s="16" t="str">
        <f aca="false">IF($A170="","",FLOOR(Settings!$C$12/365*N(K170),0.5))</f>
        <v/>
      </c>
      <c r="P170" s="16" t="str">
        <f aca="false">IF($A170="","",IF(I170="",N(N170),FLOOR(Settings!$C$12/365*MAX(0,MIN(LvAsOf,J170)-I170+1)+N(N170),0.5)))</f>
        <v/>
      </c>
      <c r="Q170" s="16" t="str">
        <f aca="false">IF($A170="","",Settings!$C$14)</f>
        <v/>
      </c>
      <c r="R170" s="16" t="str">
        <f aca="false">IF($A170="","",SUMIFS(Attendance!$AZ$6:$AZ$2405,Attendance!$B$6:$B$2405,$A170,Attendance!$A$6:$A$2405,"&gt;="&amp;DATE(LvYear,1,1),Attendance!$A$6:$A$2405,"&lt;="&amp;DATE(LvYear,12,31)))</f>
        <v/>
      </c>
      <c r="S170" s="16" t="str">
        <f aca="false">IF($A170="","",SUMIFS(Attendance!$AY$6:$AY$2405,Attendance!$B$6:$B$2405,$A170,Attendance!$A$6:$A$2405,"&gt;="&amp;DATE(LvYear,1,1),Attendance!$A$6:$A$2405,"&lt;="&amp;DATE(LvYear,12,31)))</f>
        <v/>
      </c>
      <c r="T170" s="16" t="str">
        <f aca="false">IF($A170="","",SUMIFS(Attendance!$AX$6:$AX$2405,Attendance!$B$6:$B$2405,$A170,Attendance!$A$6:$A$2405,"&gt;="&amp;DATE(LvYear,1,1),Attendance!$A$6:$A$2405,"&lt;="&amp;DATE(LvYear,12,31)))</f>
        <v/>
      </c>
      <c r="U170" s="16" t="str">
        <f aca="false">IF($A170="","",SUMIFS(Attendance!$AW$6:$AW$2405,Attendance!$B$6:$B$2405,$A170,Attendance!$A$6:$A$2405,"&gt;="&amp;DATE(LvYear,1,1),Attendance!$A$6:$A$2405,"&lt;="&amp;DATE(LvYear,12,31)))</f>
        <v/>
      </c>
      <c r="V170" s="16" t="str">
        <f aca="false">IF($A170="","",L170-R170)</f>
        <v/>
      </c>
      <c r="W170" s="16" t="str">
        <f aca="false">IF($A170="","",M170-S170)</f>
        <v/>
      </c>
      <c r="X170" s="16" t="str">
        <f aca="false">IF($A170="","",P170-T170)</f>
        <v/>
      </c>
      <c r="Y170" s="16" t="str">
        <f aca="false">IF($A170="","",Q170-U170)</f>
        <v/>
      </c>
      <c r="Z170" s="16" t="str">
        <f aca="false">IF($A170="","",V170+W170+X170)</f>
        <v/>
      </c>
      <c r="AA170" s="16" t="str">
        <f aca="false">IF($A170="","",O170+N(N170)-T170)</f>
        <v/>
      </c>
      <c r="AB170" s="8" t="str">
        <f aca="false">IF($A170="","","CL "&amp;V170&amp;" | SL "&amp;W170&amp;" | PL "&amp;X170&amp;" | TR "&amp;Y170)</f>
        <v/>
      </c>
      <c r="AC170" s="15" t="str">
        <f aca="false">IF($A170="","",IF(F170="Exited","EXITED",IF(AND(ISNUMBER(K170),K170=0),"NOT ELIGIBLE",IF(MIN(V170:X170)&lt;0,"OVER-USED",IF(Z170&lt;=Settings!$C$15,"LOW","OK")))))</f>
        <v/>
      </c>
      <c r="AD170" s="16" t="str">
        <f aca="false">IF(OR(AC170="OVER-USED",AC170="LOW"),COUNTIF(AC$6:AC170,"OVER-USED")+COUNTIF(AC$6:AC170,"LOW"),"")</f>
        <v/>
      </c>
    </row>
    <row r="171" customFormat="false" ht="15" hidden="false" customHeight="false" outlineLevel="0" collapsed="false">
      <c r="A171" s="8" t="str">
        <f aca="false">IF('Employee List'!B171="","",'Employee List'!B171)</f>
        <v/>
      </c>
      <c r="B171" s="8" t="str">
        <f aca="false">IF($A171="","",'Employee List'!C171)</f>
        <v/>
      </c>
      <c r="C171" s="8" t="str">
        <f aca="false">IF($A171="","",'Employee List'!E171&amp;"")</f>
        <v/>
      </c>
      <c r="D171" s="8" t="str">
        <f aca="false">IF($A171="","",'Employee List'!F171&amp;"")</f>
        <v/>
      </c>
      <c r="E171" s="8" t="str">
        <f aca="false">IF($A171="","",'Employee List'!G171&amp;"")</f>
        <v/>
      </c>
      <c r="F171" s="8" t="str">
        <f aca="false">IF($A171="","",'Employee List'!D171)</f>
        <v/>
      </c>
      <c r="G171" s="38" t="str">
        <f aca="false">IF($A171="","",IF('Employee List'!I171="","",'Employee List'!I171))</f>
        <v/>
      </c>
      <c r="H171" s="38" t="str">
        <f aca="false">IF(OR($A171="",G171=""),"",G171+Settings!$C$13)</f>
        <v/>
      </c>
      <c r="I171" s="38" t="str">
        <f aca="false">IF(H171="","",MAX(H171,DATE(LvYear,1,1)))</f>
        <v/>
      </c>
      <c r="J171" s="38" t="str">
        <f aca="false">IF($A171="","",IF('Employee List'!J171="",DATE(LvYear,12,31),MIN('Employee List'!J171,DATE(LvYear,12,31))))</f>
        <v/>
      </c>
      <c r="K171" s="39" t="str">
        <f aca="false">IF(OR(I171="",J171=""),"",MAX(0,J171-I171+1))</f>
        <v/>
      </c>
      <c r="L171" s="16" t="str">
        <f aca="false">IF($A171="","",IF(AND(ISNUMBER(K171),K171=0),0,Settings!$C$10))</f>
        <v/>
      </c>
      <c r="M171" s="16" t="str">
        <f aca="false">IF($A171="","",IF(AND(ISNUMBER(K171),K171=0),0,Settings!$C$11))</f>
        <v/>
      </c>
      <c r="N171" s="40"/>
      <c r="O171" s="16" t="str">
        <f aca="false">IF($A171="","",FLOOR(Settings!$C$12/365*N(K171),0.5))</f>
        <v/>
      </c>
      <c r="P171" s="16" t="str">
        <f aca="false">IF($A171="","",IF(I171="",N(N171),FLOOR(Settings!$C$12/365*MAX(0,MIN(LvAsOf,J171)-I171+1)+N(N171),0.5)))</f>
        <v/>
      </c>
      <c r="Q171" s="16" t="str">
        <f aca="false">IF($A171="","",Settings!$C$14)</f>
        <v/>
      </c>
      <c r="R171" s="16" t="str">
        <f aca="false">IF($A171="","",SUMIFS(Attendance!$AZ$6:$AZ$2405,Attendance!$B$6:$B$2405,$A171,Attendance!$A$6:$A$2405,"&gt;="&amp;DATE(LvYear,1,1),Attendance!$A$6:$A$2405,"&lt;="&amp;DATE(LvYear,12,31)))</f>
        <v/>
      </c>
      <c r="S171" s="16" t="str">
        <f aca="false">IF($A171="","",SUMIFS(Attendance!$AY$6:$AY$2405,Attendance!$B$6:$B$2405,$A171,Attendance!$A$6:$A$2405,"&gt;="&amp;DATE(LvYear,1,1),Attendance!$A$6:$A$2405,"&lt;="&amp;DATE(LvYear,12,31)))</f>
        <v/>
      </c>
      <c r="T171" s="16" t="str">
        <f aca="false">IF($A171="","",SUMIFS(Attendance!$AX$6:$AX$2405,Attendance!$B$6:$B$2405,$A171,Attendance!$A$6:$A$2405,"&gt;="&amp;DATE(LvYear,1,1),Attendance!$A$6:$A$2405,"&lt;="&amp;DATE(LvYear,12,31)))</f>
        <v/>
      </c>
      <c r="U171" s="16" t="str">
        <f aca="false">IF($A171="","",SUMIFS(Attendance!$AW$6:$AW$2405,Attendance!$B$6:$B$2405,$A171,Attendance!$A$6:$A$2405,"&gt;="&amp;DATE(LvYear,1,1),Attendance!$A$6:$A$2405,"&lt;="&amp;DATE(LvYear,12,31)))</f>
        <v/>
      </c>
      <c r="V171" s="16" t="str">
        <f aca="false">IF($A171="","",L171-R171)</f>
        <v/>
      </c>
      <c r="W171" s="16" t="str">
        <f aca="false">IF($A171="","",M171-S171)</f>
        <v/>
      </c>
      <c r="X171" s="16" t="str">
        <f aca="false">IF($A171="","",P171-T171)</f>
        <v/>
      </c>
      <c r="Y171" s="16" t="str">
        <f aca="false">IF($A171="","",Q171-U171)</f>
        <v/>
      </c>
      <c r="Z171" s="16" t="str">
        <f aca="false">IF($A171="","",V171+W171+X171)</f>
        <v/>
      </c>
      <c r="AA171" s="16" t="str">
        <f aca="false">IF($A171="","",O171+N(N171)-T171)</f>
        <v/>
      </c>
      <c r="AB171" s="8" t="str">
        <f aca="false">IF($A171="","","CL "&amp;V171&amp;" | SL "&amp;W171&amp;" | PL "&amp;X171&amp;" | TR "&amp;Y171)</f>
        <v/>
      </c>
      <c r="AC171" s="15" t="str">
        <f aca="false">IF($A171="","",IF(F171="Exited","EXITED",IF(AND(ISNUMBER(K171),K171=0),"NOT ELIGIBLE",IF(MIN(V171:X171)&lt;0,"OVER-USED",IF(Z171&lt;=Settings!$C$15,"LOW","OK")))))</f>
        <v/>
      </c>
      <c r="AD171" s="16" t="str">
        <f aca="false">IF(OR(AC171="OVER-USED",AC171="LOW"),COUNTIF(AC$6:AC171,"OVER-USED")+COUNTIF(AC$6:AC171,"LOW"),"")</f>
        <v/>
      </c>
    </row>
    <row r="172" customFormat="false" ht="15" hidden="false" customHeight="false" outlineLevel="0" collapsed="false">
      <c r="A172" s="8" t="str">
        <f aca="false">IF('Employee List'!B172="","",'Employee List'!B172)</f>
        <v/>
      </c>
      <c r="B172" s="8" t="str">
        <f aca="false">IF($A172="","",'Employee List'!C172)</f>
        <v/>
      </c>
      <c r="C172" s="8" t="str">
        <f aca="false">IF($A172="","",'Employee List'!E172&amp;"")</f>
        <v/>
      </c>
      <c r="D172" s="8" t="str">
        <f aca="false">IF($A172="","",'Employee List'!F172&amp;"")</f>
        <v/>
      </c>
      <c r="E172" s="8" t="str">
        <f aca="false">IF($A172="","",'Employee List'!G172&amp;"")</f>
        <v/>
      </c>
      <c r="F172" s="8" t="str">
        <f aca="false">IF($A172="","",'Employee List'!D172)</f>
        <v/>
      </c>
      <c r="G172" s="38" t="str">
        <f aca="false">IF($A172="","",IF('Employee List'!I172="","",'Employee List'!I172))</f>
        <v/>
      </c>
      <c r="H172" s="38" t="str">
        <f aca="false">IF(OR($A172="",G172=""),"",G172+Settings!$C$13)</f>
        <v/>
      </c>
      <c r="I172" s="38" t="str">
        <f aca="false">IF(H172="","",MAX(H172,DATE(LvYear,1,1)))</f>
        <v/>
      </c>
      <c r="J172" s="38" t="str">
        <f aca="false">IF($A172="","",IF('Employee List'!J172="",DATE(LvYear,12,31),MIN('Employee List'!J172,DATE(LvYear,12,31))))</f>
        <v/>
      </c>
      <c r="K172" s="39" t="str">
        <f aca="false">IF(OR(I172="",J172=""),"",MAX(0,J172-I172+1))</f>
        <v/>
      </c>
      <c r="L172" s="16" t="str">
        <f aca="false">IF($A172="","",IF(AND(ISNUMBER(K172),K172=0),0,Settings!$C$10))</f>
        <v/>
      </c>
      <c r="M172" s="16" t="str">
        <f aca="false">IF($A172="","",IF(AND(ISNUMBER(K172),K172=0),0,Settings!$C$11))</f>
        <v/>
      </c>
      <c r="N172" s="40"/>
      <c r="O172" s="16" t="str">
        <f aca="false">IF($A172="","",FLOOR(Settings!$C$12/365*N(K172),0.5))</f>
        <v/>
      </c>
      <c r="P172" s="16" t="str">
        <f aca="false">IF($A172="","",IF(I172="",N(N172),FLOOR(Settings!$C$12/365*MAX(0,MIN(LvAsOf,J172)-I172+1)+N(N172),0.5)))</f>
        <v/>
      </c>
      <c r="Q172" s="16" t="str">
        <f aca="false">IF($A172="","",Settings!$C$14)</f>
        <v/>
      </c>
      <c r="R172" s="16" t="str">
        <f aca="false">IF($A172="","",SUMIFS(Attendance!$AZ$6:$AZ$2405,Attendance!$B$6:$B$2405,$A172,Attendance!$A$6:$A$2405,"&gt;="&amp;DATE(LvYear,1,1),Attendance!$A$6:$A$2405,"&lt;="&amp;DATE(LvYear,12,31)))</f>
        <v/>
      </c>
      <c r="S172" s="16" t="str">
        <f aca="false">IF($A172="","",SUMIFS(Attendance!$AY$6:$AY$2405,Attendance!$B$6:$B$2405,$A172,Attendance!$A$6:$A$2405,"&gt;="&amp;DATE(LvYear,1,1),Attendance!$A$6:$A$2405,"&lt;="&amp;DATE(LvYear,12,31)))</f>
        <v/>
      </c>
      <c r="T172" s="16" t="str">
        <f aca="false">IF($A172="","",SUMIFS(Attendance!$AX$6:$AX$2405,Attendance!$B$6:$B$2405,$A172,Attendance!$A$6:$A$2405,"&gt;="&amp;DATE(LvYear,1,1),Attendance!$A$6:$A$2405,"&lt;="&amp;DATE(LvYear,12,31)))</f>
        <v/>
      </c>
      <c r="U172" s="16" t="str">
        <f aca="false">IF($A172="","",SUMIFS(Attendance!$AW$6:$AW$2405,Attendance!$B$6:$B$2405,$A172,Attendance!$A$6:$A$2405,"&gt;="&amp;DATE(LvYear,1,1),Attendance!$A$6:$A$2405,"&lt;="&amp;DATE(LvYear,12,31)))</f>
        <v/>
      </c>
      <c r="V172" s="16" t="str">
        <f aca="false">IF($A172="","",L172-R172)</f>
        <v/>
      </c>
      <c r="W172" s="16" t="str">
        <f aca="false">IF($A172="","",M172-S172)</f>
        <v/>
      </c>
      <c r="X172" s="16" t="str">
        <f aca="false">IF($A172="","",P172-T172)</f>
        <v/>
      </c>
      <c r="Y172" s="16" t="str">
        <f aca="false">IF($A172="","",Q172-U172)</f>
        <v/>
      </c>
      <c r="Z172" s="16" t="str">
        <f aca="false">IF($A172="","",V172+W172+X172)</f>
        <v/>
      </c>
      <c r="AA172" s="16" t="str">
        <f aca="false">IF($A172="","",O172+N(N172)-T172)</f>
        <v/>
      </c>
      <c r="AB172" s="8" t="str">
        <f aca="false">IF($A172="","","CL "&amp;V172&amp;" | SL "&amp;W172&amp;" | PL "&amp;X172&amp;" | TR "&amp;Y172)</f>
        <v/>
      </c>
      <c r="AC172" s="15" t="str">
        <f aca="false">IF($A172="","",IF(F172="Exited","EXITED",IF(AND(ISNUMBER(K172),K172=0),"NOT ELIGIBLE",IF(MIN(V172:X172)&lt;0,"OVER-USED",IF(Z172&lt;=Settings!$C$15,"LOW","OK")))))</f>
        <v/>
      </c>
      <c r="AD172" s="16" t="str">
        <f aca="false">IF(OR(AC172="OVER-USED",AC172="LOW"),COUNTIF(AC$6:AC172,"OVER-USED")+COUNTIF(AC$6:AC172,"LOW"),"")</f>
        <v/>
      </c>
    </row>
    <row r="173" customFormat="false" ht="15" hidden="false" customHeight="false" outlineLevel="0" collapsed="false">
      <c r="A173" s="8" t="str">
        <f aca="false">IF('Employee List'!B173="","",'Employee List'!B173)</f>
        <v/>
      </c>
      <c r="B173" s="8" t="str">
        <f aca="false">IF($A173="","",'Employee List'!C173)</f>
        <v/>
      </c>
      <c r="C173" s="8" t="str">
        <f aca="false">IF($A173="","",'Employee List'!E173&amp;"")</f>
        <v/>
      </c>
      <c r="D173" s="8" t="str">
        <f aca="false">IF($A173="","",'Employee List'!F173&amp;"")</f>
        <v/>
      </c>
      <c r="E173" s="8" t="str">
        <f aca="false">IF($A173="","",'Employee List'!G173&amp;"")</f>
        <v/>
      </c>
      <c r="F173" s="8" t="str">
        <f aca="false">IF($A173="","",'Employee List'!D173)</f>
        <v/>
      </c>
      <c r="G173" s="38" t="str">
        <f aca="false">IF($A173="","",IF('Employee List'!I173="","",'Employee List'!I173))</f>
        <v/>
      </c>
      <c r="H173" s="38" t="str">
        <f aca="false">IF(OR($A173="",G173=""),"",G173+Settings!$C$13)</f>
        <v/>
      </c>
      <c r="I173" s="38" t="str">
        <f aca="false">IF(H173="","",MAX(H173,DATE(LvYear,1,1)))</f>
        <v/>
      </c>
      <c r="J173" s="38" t="str">
        <f aca="false">IF($A173="","",IF('Employee List'!J173="",DATE(LvYear,12,31),MIN('Employee List'!J173,DATE(LvYear,12,31))))</f>
        <v/>
      </c>
      <c r="K173" s="39" t="str">
        <f aca="false">IF(OR(I173="",J173=""),"",MAX(0,J173-I173+1))</f>
        <v/>
      </c>
      <c r="L173" s="16" t="str">
        <f aca="false">IF($A173="","",IF(AND(ISNUMBER(K173),K173=0),0,Settings!$C$10))</f>
        <v/>
      </c>
      <c r="M173" s="16" t="str">
        <f aca="false">IF($A173="","",IF(AND(ISNUMBER(K173),K173=0),0,Settings!$C$11))</f>
        <v/>
      </c>
      <c r="N173" s="40"/>
      <c r="O173" s="16" t="str">
        <f aca="false">IF($A173="","",FLOOR(Settings!$C$12/365*N(K173),0.5))</f>
        <v/>
      </c>
      <c r="P173" s="16" t="str">
        <f aca="false">IF($A173="","",IF(I173="",N(N173),FLOOR(Settings!$C$12/365*MAX(0,MIN(LvAsOf,J173)-I173+1)+N(N173),0.5)))</f>
        <v/>
      </c>
      <c r="Q173" s="16" t="str">
        <f aca="false">IF($A173="","",Settings!$C$14)</f>
        <v/>
      </c>
      <c r="R173" s="16" t="str">
        <f aca="false">IF($A173="","",SUMIFS(Attendance!$AZ$6:$AZ$2405,Attendance!$B$6:$B$2405,$A173,Attendance!$A$6:$A$2405,"&gt;="&amp;DATE(LvYear,1,1),Attendance!$A$6:$A$2405,"&lt;="&amp;DATE(LvYear,12,31)))</f>
        <v/>
      </c>
      <c r="S173" s="16" t="str">
        <f aca="false">IF($A173="","",SUMIFS(Attendance!$AY$6:$AY$2405,Attendance!$B$6:$B$2405,$A173,Attendance!$A$6:$A$2405,"&gt;="&amp;DATE(LvYear,1,1),Attendance!$A$6:$A$2405,"&lt;="&amp;DATE(LvYear,12,31)))</f>
        <v/>
      </c>
      <c r="T173" s="16" t="str">
        <f aca="false">IF($A173="","",SUMIFS(Attendance!$AX$6:$AX$2405,Attendance!$B$6:$B$2405,$A173,Attendance!$A$6:$A$2405,"&gt;="&amp;DATE(LvYear,1,1),Attendance!$A$6:$A$2405,"&lt;="&amp;DATE(LvYear,12,31)))</f>
        <v/>
      </c>
      <c r="U173" s="16" t="str">
        <f aca="false">IF($A173="","",SUMIFS(Attendance!$AW$6:$AW$2405,Attendance!$B$6:$B$2405,$A173,Attendance!$A$6:$A$2405,"&gt;="&amp;DATE(LvYear,1,1),Attendance!$A$6:$A$2405,"&lt;="&amp;DATE(LvYear,12,31)))</f>
        <v/>
      </c>
      <c r="V173" s="16" t="str">
        <f aca="false">IF($A173="","",L173-R173)</f>
        <v/>
      </c>
      <c r="W173" s="16" t="str">
        <f aca="false">IF($A173="","",M173-S173)</f>
        <v/>
      </c>
      <c r="X173" s="16" t="str">
        <f aca="false">IF($A173="","",P173-T173)</f>
        <v/>
      </c>
      <c r="Y173" s="16" t="str">
        <f aca="false">IF($A173="","",Q173-U173)</f>
        <v/>
      </c>
      <c r="Z173" s="16" t="str">
        <f aca="false">IF($A173="","",V173+W173+X173)</f>
        <v/>
      </c>
      <c r="AA173" s="16" t="str">
        <f aca="false">IF($A173="","",O173+N(N173)-T173)</f>
        <v/>
      </c>
      <c r="AB173" s="8" t="str">
        <f aca="false">IF($A173="","","CL "&amp;V173&amp;" | SL "&amp;W173&amp;" | PL "&amp;X173&amp;" | TR "&amp;Y173)</f>
        <v/>
      </c>
      <c r="AC173" s="15" t="str">
        <f aca="false">IF($A173="","",IF(F173="Exited","EXITED",IF(AND(ISNUMBER(K173),K173=0),"NOT ELIGIBLE",IF(MIN(V173:X173)&lt;0,"OVER-USED",IF(Z173&lt;=Settings!$C$15,"LOW","OK")))))</f>
        <v/>
      </c>
      <c r="AD173" s="16" t="str">
        <f aca="false">IF(OR(AC173="OVER-USED",AC173="LOW"),COUNTIF(AC$6:AC173,"OVER-USED")+COUNTIF(AC$6:AC173,"LOW"),"")</f>
        <v/>
      </c>
    </row>
    <row r="174" customFormat="false" ht="15" hidden="false" customHeight="false" outlineLevel="0" collapsed="false">
      <c r="A174" s="8" t="str">
        <f aca="false">IF('Employee List'!B174="","",'Employee List'!B174)</f>
        <v/>
      </c>
      <c r="B174" s="8" t="str">
        <f aca="false">IF($A174="","",'Employee List'!C174)</f>
        <v/>
      </c>
      <c r="C174" s="8" t="str">
        <f aca="false">IF($A174="","",'Employee List'!E174&amp;"")</f>
        <v/>
      </c>
      <c r="D174" s="8" t="str">
        <f aca="false">IF($A174="","",'Employee List'!F174&amp;"")</f>
        <v/>
      </c>
      <c r="E174" s="8" t="str">
        <f aca="false">IF($A174="","",'Employee List'!G174&amp;"")</f>
        <v/>
      </c>
      <c r="F174" s="8" t="str">
        <f aca="false">IF($A174="","",'Employee List'!D174)</f>
        <v/>
      </c>
      <c r="G174" s="38" t="str">
        <f aca="false">IF($A174="","",IF('Employee List'!I174="","",'Employee List'!I174))</f>
        <v/>
      </c>
      <c r="H174" s="38" t="str">
        <f aca="false">IF(OR($A174="",G174=""),"",G174+Settings!$C$13)</f>
        <v/>
      </c>
      <c r="I174" s="38" t="str">
        <f aca="false">IF(H174="","",MAX(H174,DATE(LvYear,1,1)))</f>
        <v/>
      </c>
      <c r="J174" s="38" t="str">
        <f aca="false">IF($A174="","",IF('Employee List'!J174="",DATE(LvYear,12,31),MIN('Employee List'!J174,DATE(LvYear,12,31))))</f>
        <v/>
      </c>
      <c r="K174" s="39" t="str">
        <f aca="false">IF(OR(I174="",J174=""),"",MAX(0,J174-I174+1))</f>
        <v/>
      </c>
      <c r="L174" s="16" t="str">
        <f aca="false">IF($A174="","",IF(AND(ISNUMBER(K174),K174=0),0,Settings!$C$10))</f>
        <v/>
      </c>
      <c r="M174" s="16" t="str">
        <f aca="false">IF($A174="","",IF(AND(ISNUMBER(K174),K174=0),0,Settings!$C$11))</f>
        <v/>
      </c>
      <c r="N174" s="40"/>
      <c r="O174" s="16" t="str">
        <f aca="false">IF($A174="","",FLOOR(Settings!$C$12/365*N(K174),0.5))</f>
        <v/>
      </c>
      <c r="P174" s="16" t="str">
        <f aca="false">IF($A174="","",IF(I174="",N(N174),FLOOR(Settings!$C$12/365*MAX(0,MIN(LvAsOf,J174)-I174+1)+N(N174),0.5)))</f>
        <v/>
      </c>
      <c r="Q174" s="16" t="str">
        <f aca="false">IF($A174="","",Settings!$C$14)</f>
        <v/>
      </c>
      <c r="R174" s="16" t="str">
        <f aca="false">IF($A174="","",SUMIFS(Attendance!$AZ$6:$AZ$2405,Attendance!$B$6:$B$2405,$A174,Attendance!$A$6:$A$2405,"&gt;="&amp;DATE(LvYear,1,1),Attendance!$A$6:$A$2405,"&lt;="&amp;DATE(LvYear,12,31)))</f>
        <v/>
      </c>
      <c r="S174" s="16" t="str">
        <f aca="false">IF($A174="","",SUMIFS(Attendance!$AY$6:$AY$2405,Attendance!$B$6:$B$2405,$A174,Attendance!$A$6:$A$2405,"&gt;="&amp;DATE(LvYear,1,1),Attendance!$A$6:$A$2405,"&lt;="&amp;DATE(LvYear,12,31)))</f>
        <v/>
      </c>
      <c r="T174" s="16" t="str">
        <f aca="false">IF($A174="","",SUMIFS(Attendance!$AX$6:$AX$2405,Attendance!$B$6:$B$2405,$A174,Attendance!$A$6:$A$2405,"&gt;="&amp;DATE(LvYear,1,1),Attendance!$A$6:$A$2405,"&lt;="&amp;DATE(LvYear,12,31)))</f>
        <v/>
      </c>
      <c r="U174" s="16" t="str">
        <f aca="false">IF($A174="","",SUMIFS(Attendance!$AW$6:$AW$2405,Attendance!$B$6:$B$2405,$A174,Attendance!$A$6:$A$2405,"&gt;="&amp;DATE(LvYear,1,1),Attendance!$A$6:$A$2405,"&lt;="&amp;DATE(LvYear,12,31)))</f>
        <v/>
      </c>
      <c r="V174" s="16" t="str">
        <f aca="false">IF($A174="","",L174-R174)</f>
        <v/>
      </c>
      <c r="W174" s="16" t="str">
        <f aca="false">IF($A174="","",M174-S174)</f>
        <v/>
      </c>
      <c r="X174" s="16" t="str">
        <f aca="false">IF($A174="","",P174-T174)</f>
        <v/>
      </c>
      <c r="Y174" s="16" t="str">
        <f aca="false">IF($A174="","",Q174-U174)</f>
        <v/>
      </c>
      <c r="Z174" s="16" t="str">
        <f aca="false">IF($A174="","",V174+W174+X174)</f>
        <v/>
      </c>
      <c r="AA174" s="16" t="str">
        <f aca="false">IF($A174="","",O174+N(N174)-T174)</f>
        <v/>
      </c>
      <c r="AB174" s="8" t="str">
        <f aca="false">IF($A174="","","CL "&amp;V174&amp;" | SL "&amp;W174&amp;" | PL "&amp;X174&amp;" | TR "&amp;Y174)</f>
        <v/>
      </c>
      <c r="AC174" s="15" t="str">
        <f aca="false">IF($A174="","",IF(F174="Exited","EXITED",IF(AND(ISNUMBER(K174),K174=0),"NOT ELIGIBLE",IF(MIN(V174:X174)&lt;0,"OVER-USED",IF(Z174&lt;=Settings!$C$15,"LOW","OK")))))</f>
        <v/>
      </c>
      <c r="AD174" s="16" t="str">
        <f aca="false">IF(OR(AC174="OVER-USED",AC174="LOW"),COUNTIF(AC$6:AC174,"OVER-USED")+COUNTIF(AC$6:AC174,"LOW"),"")</f>
        <v/>
      </c>
    </row>
    <row r="175" customFormat="false" ht="15" hidden="false" customHeight="false" outlineLevel="0" collapsed="false">
      <c r="A175" s="8" t="str">
        <f aca="false">IF('Employee List'!B175="","",'Employee List'!B175)</f>
        <v/>
      </c>
      <c r="B175" s="8" t="str">
        <f aca="false">IF($A175="","",'Employee List'!C175)</f>
        <v/>
      </c>
      <c r="C175" s="8" t="str">
        <f aca="false">IF($A175="","",'Employee List'!E175&amp;"")</f>
        <v/>
      </c>
      <c r="D175" s="8" t="str">
        <f aca="false">IF($A175="","",'Employee List'!F175&amp;"")</f>
        <v/>
      </c>
      <c r="E175" s="8" t="str">
        <f aca="false">IF($A175="","",'Employee List'!G175&amp;"")</f>
        <v/>
      </c>
      <c r="F175" s="8" t="str">
        <f aca="false">IF($A175="","",'Employee List'!D175)</f>
        <v/>
      </c>
      <c r="G175" s="38" t="str">
        <f aca="false">IF($A175="","",IF('Employee List'!I175="","",'Employee List'!I175))</f>
        <v/>
      </c>
      <c r="H175" s="38" t="str">
        <f aca="false">IF(OR($A175="",G175=""),"",G175+Settings!$C$13)</f>
        <v/>
      </c>
      <c r="I175" s="38" t="str">
        <f aca="false">IF(H175="","",MAX(H175,DATE(LvYear,1,1)))</f>
        <v/>
      </c>
      <c r="J175" s="38" t="str">
        <f aca="false">IF($A175="","",IF('Employee List'!J175="",DATE(LvYear,12,31),MIN('Employee List'!J175,DATE(LvYear,12,31))))</f>
        <v/>
      </c>
      <c r="K175" s="39" t="str">
        <f aca="false">IF(OR(I175="",J175=""),"",MAX(0,J175-I175+1))</f>
        <v/>
      </c>
      <c r="L175" s="16" t="str">
        <f aca="false">IF($A175="","",IF(AND(ISNUMBER(K175),K175=0),0,Settings!$C$10))</f>
        <v/>
      </c>
      <c r="M175" s="16" t="str">
        <f aca="false">IF($A175="","",IF(AND(ISNUMBER(K175),K175=0),0,Settings!$C$11))</f>
        <v/>
      </c>
      <c r="N175" s="40"/>
      <c r="O175" s="16" t="str">
        <f aca="false">IF($A175="","",FLOOR(Settings!$C$12/365*N(K175),0.5))</f>
        <v/>
      </c>
      <c r="P175" s="16" t="str">
        <f aca="false">IF($A175="","",IF(I175="",N(N175),FLOOR(Settings!$C$12/365*MAX(0,MIN(LvAsOf,J175)-I175+1)+N(N175),0.5)))</f>
        <v/>
      </c>
      <c r="Q175" s="16" t="str">
        <f aca="false">IF($A175="","",Settings!$C$14)</f>
        <v/>
      </c>
      <c r="R175" s="16" t="str">
        <f aca="false">IF($A175="","",SUMIFS(Attendance!$AZ$6:$AZ$2405,Attendance!$B$6:$B$2405,$A175,Attendance!$A$6:$A$2405,"&gt;="&amp;DATE(LvYear,1,1),Attendance!$A$6:$A$2405,"&lt;="&amp;DATE(LvYear,12,31)))</f>
        <v/>
      </c>
      <c r="S175" s="16" t="str">
        <f aca="false">IF($A175="","",SUMIFS(Attendance!$AY$6:$AY$2405,Attendance!$B$6:$B$2405,$A175,Attendance!$A$6:$A$2405,"&gt;="&amp;DATE(LvYear,1,1),Attendance!$A$6:$A$2405,"&lt;="&amp;DATE(LvYear,12,31)))</f>
        <v/>
      </c>
      <c r="T175" s="16" t="str">
        <f aca="false">IF($A175="","",SUMIFS(Attendance!$AX$6:$AX$2405,Attendance!$B$6:$B$2405,$A175,Attendance!$A$6:$A$2405,"&gt;="&amp;DATE(LvYear,1,1),Attendance!$A$6:$A$2405,"&lt;="&amp;DATE(LvYear,12,31)))</f>
        <v/>
      </c>
      <c r="U175" s="16" t="str">
        <f aca="false">IF($A175="","",SUMIFS(Attendance!$AW$6:$AW$2405,Attendance!$B$6:$B$2405,$A175,Attendance!$A$6:$A$2405,"&gt;="&amp;DATE(LvYear,1,1),Attendance!$A$6:$A$2405,"&lt;="&amp;DATE(LvYear,12,31)))</f>
        <v/>
      </c>
      <c r="V175" s="16" t="str">
        <f aca="false">IF($A175="","",L175-R175)</f>
        <v/>
      </c>
      <c r="W175" s="16" t="str">
        <f aca="false">IF($A175="","",M175-S175)</f>
        <v/>
      </c>
      <c r="X175" s="16" t="str">
        <f aca="false">IF($A175="","",P175-T175)</f>
        <v/>
      </c>
      <c r="Y175" s="16" t="str">
        <f aca="false">IF($A175="","",Q175-U175)</f>
        <v/>
      </c>
      <c r="Z175" s="16" t="str">
        <f aca="false">IF($A175="","",V175+W175+X175)</f>
        <v/>
      </c>
      <c r="AA175" s="16" t="str">
        <f aca="false">IF($A175="","",O175+N(N175)-T175)</f>
        <v/>
      </c>
      <c r="AB175" s="8" t="str">
        <f aca="false">IF($A175="","","CL "&amp;V175&amp;" | SL "&amp;W175&amp;" | PL "&amp;X175&amp;" | TR "&amp;Y175)</f>
        <v/>
      </c>
      <c r="AC175" s="15" t="str">
        <f aca="false">IF($A175="","",IF(F175="Exited","EXITED",IF(AND(ISNUMBER(K175),K175=0),"NOT ELIGIBLE",IF(MIN(V175:X175)&lt;0,"OVER-USED",IF(Z175&lt;=Settings!$C$15,"LOW","OK")))))</f>
        <v/>
      </c>
      <c r="AD175" s="16" t="str">
        <f aca="false">IF(OR(AC175="OVER-USED",AC175="LOW"),COUNTIF(AC$6:AC175,"OVER-USED")+COUNTIF(AC$6:AC175,"LOW"),"")</f>
        <v/>
      </c>
    </row>
    <row r="176" customFormat="false" ht="15" hidden="false" customHeight="false" outlineLevel="0" collapsed="false">
      <c r="A176" s="8" t="str">
        <f aca="false">IF('Employee List'!B176="","",'Employee List'!B176)</f>
        <v/>
      </c>
      <c r="B176" s="8" t="str">
        <f aca="false">IF($A176="","",'Employee List'!C176)</f>
        <v/>
      </c>
      <c r="C176" s="8" t="str">
        <f aca="false">IF($A176="","",'Employee List'!E176&amp;"")</f>
        <v/>
      </c>
      <c r="D176" s="8" t="str">
        <f aca="false">IF($A176="","",'Employee List'!F176&amp;"")</f>
        <v/>
      </c>
      <c r="E176" s="8" t="str">
        <f aca="false">IF($A176="","",'Employee List'!G176&amp;"")</f>
        <v/>
      </c>
      <c r="F176" s="8" t="str">
        <f aca="false">IF($A176="","",'Employee List'!D176)</f>
        <v/>
      </c>
      <c r="G176" s="38" t="str">
        <f aca="false">IF($A176="","",IF('Employee List'!I176="","",'Employee List'!I176))</f>
        <v/>
      </c>
      <c r="H176" s="38" t="str">
        <f aca="false">IF(OR($A176="",G176=""),"",G176+Settings!$C$13)</f>
        <v/>
      </c>
      <c r="I176" s="38" t="str">
        <f aca="false">IF(H176="","",MAX(H176,DATE(LvYear,1,1)))</f>
        <v/>
      </c>
      <c r="J176" s="38" t="str">
        <f aca="false">IF($A176="","",IF('Employee List'!J176="",DATE(LvYear,12,31),MIN('Employee List'!J176,DATE(LvYear,12,31))))</f>
        <v/>
      </c>
      <c r="K176" s="39" t="str">
        <f aca="false">IF(OR(I176="",J176=""),"",MAX(0,J176-I176+1))</f>
        <v/>
      </c>
      <c r="L176" s="16" t="str">
        <f aca="false">IF($A176="","",IF(AND(ISNUMBER(K176),K176=0),0,Settings!$C$10))</f>
        <v/>
      </c>
      <c r="M176" s="16" t="str">
        <f aca="false">IF($A176="","",IF(AND(ISNUMBER(K176),K176=0),0,Settings!$C$11))</f>
        <v/>
      </c>
      <c r="N176" s="40"/>
      <c r="O176" s="16" t="str">
        <f aca="false">IF($A176="","",FLOOR(Settings!$C$12/365*N(K176),0.5))</f>
        <v/>
      </c>
      <c r="P176" s="16" t="str">
        <f aca="false">IF($A176="","",IF(I176="",N(N176),FLOOR(Settings!$C$12/365*MAX(0,MIN(LvAsOf,J176)-I176+1)+N(N176),0.5)))</f>
        <v/>
      </c>
      <c r="Q176" s="16" t="str">
        <f aca="false">IF($A176="","",Settings!$C$14)</f>
        <v/>
      </c>
      <c r="R176" s="16" t="str">
        <f aca="false">IF($A176="","",SUMIFS(Attendance!$AZ$6:$AZ$2405,Attendance!$B$6:$B$2405,$A176,Attendance!$A$6:$A$2405,"&gt;="&amp;DATE(LvYear,1,1),Attendance!$A$6:$A$2405,"&lt;="&amp;DATE(LvYear,12,31)))</f>
        <v/>
      </c>
      <c r="S176" s="16" t="str">
        <f aca="false">IF($A176="","",SUMIFS(Attendance!$AY$6:$AY$2405,Attendance!$B$6:$B$2405,$A176,Attendance!$A$6:$A$2405,"&gt;="&amp;DATE(LvYear,1,1),Attendance!$A$6:$A$2405,"&lt;="&amp;DATE(LvYear,12,31)))</f>
        <v/>
      </c>
      <c r="T176" s="16" t="str">
        <f aca="false">IF($A176="","",SUMIFS(Attendance!$AX$6:$AX$2405,Attendance!$B$6:$B$2405,$A176,Attendance!$A$6:$A$2405,"&gt;="&amp;DATE(LvYear,1,1),Attendance!$A$6:$A$2405,"&lt;="&amp;DATE(LvYear,12,31)))</f>
        <v/>
      </c>
      <c r="U176" s="16" t="str">
        <f aca="false">IF($A176="","",SUMIFS(Attendance!$AW$6:$AW$2405,Attendance!$B$6:$B$2405,$A176,Attendance!$A$6:$A$2405,"&gt;="&amp;DATE(LvYear,1,1),Attendance!$A$6:$A$2405,"&lt;="&amp;DATE(LvYear,12,31)))</f>
        <v/>
      </c>
      <c r="V176" s="16" t="str">
        <f aca="false">IF($A176="","",L176-R176)</f>
        <v/>
      </c>
      <c r="W176" s="16" t="str">
        <f aca="false">IF($A176="","",M176-S176)</f>
        <v/>
      </c>
      <c r="X176" s="16" t="str">
        <f aca="false">IF($A176="","",P176-T176)</f>
        <v/>
      </c>
      <c r="Y176" s="16" t="str">
        <f aca="false">IF($A176="","",Q176-U176)</f>
        <v/>
      </c>
      <c r="Z176" s="16" t="str">
        <f aca="false">IF($A176="","",V176+W176+X176)</f>
        <v/>
      </c>
      <c r="AA176" s="16" t="str">
        <f aca="false">IF($A176="","",O176+N(N176)-T176)</f>
        <v/>
      </c>
      <c r="AB176" s="8" t="str">
        <f aca="false">IF($A176="","","CL "&amp;V176&amp;" | SL "&amp;W176&amp;" | PL "&amp;X176&amp;" | TR "&amp;Y176)</f>
        <v/>
      </c>
      <c r="AC176" s="15" t="str">
        <f aca="false">IF($A176="","",IF(F176="Exited","EXITED",IF(AND(ISNUMBER(K176),K176=0),"NOT ELIGIBLE",IF(MIN(V176:X176)&lt;0,"OVER-USED",IF(Z176&lt;=Settings!$C$15,"LOW","OK")))))</f>
        <v/>
      </c>
      <c r="AD176" s="16" t="str">
        <f aca="false">IF(OR(AC176="OVER-USED",AC176="LOW"),COUNTIF(AC$6:AC176,"OVER-USED")+COUNTIF(AC$6:AC176,"LOW"),"")</f>
        <v/>
      </c>
    </row>
    <row r="177" customFormat="false" ht="15" hidden="false" customHeight="false" outlineLevel="0" collapsed="false">
      <c r="A177" s="8" t="str">
        <f aca="false">IF('Employee List'!B177="","",'Employee List'!B177)</f>
        <v/>
      </c>
      <c r="B177" s="8" t="str">
        <f aca="false">IF($A177="","",'Employee List'!C177)</f>
        <v/>
      </c>
      <c r="C177" s="8" t="str">
        <f aca="false">IF($A177="","",'Employee List'!E177&amp;"")</f>
        <v/>
      </c>
      <c r="D177" s="8" t="str">
        <f aca="false">IF($A177="","",'Employee List'!F177&amp;"")</f>
        <v/>
      </c>
      <c r="E177" s="8" t="str">
        <f aca="false">IF($A177="","",'Employee List'!G177&amp;"")</f>
        <v/>
      </c>
      <c r="F177" s="8" t="str">
        <f aca="false">IF($A177="","",'Employee List'!D177)</f>
        <v/>
      </c>
      <c r="G177" s="38" t="str">
        <f aca="false">IF($A177="","",IF('Employee List'!I177="","",'Employee List'!I177))</f>
        <v/>
      </c>
      <c r="H177" s="38" t="str">
        <f aca="false">IF(OR($A177="",G177=""),"",G177+Settings!$C$13)</f>
        <v/>
      </c>
      <c r="I177" s="38" t="str">
        <f aca="false">IF(H177="","",MAX(H177,DATE(LvYear,1,1)))</f>
        <v/>
      </c>
      <c r="J177" s="38" t="str">
        <f aca="false">IF($A177="","",IF('Employee List'!J177="",DATE(LvYear,12,31),MIN('Employee List'!J177,DATE(LvYear,12,31))))</f>
        <v/>
      </c>
      <c r="K177" s="39" t="str">
        <f aca="false">IF(OR(I177="",J177=""),"",MAX(0,J177-I177+1))</f>
        <v/>
      </c>
      <c r="L177" s="16" t="str">
        <f aca="false">IF($A177="","",IF(AND(ISNUMBER(K177),K177=0),0,Settings!$C$10))</f>
        <v/>
      </c>
      <c r="M177" s="16" t="str">
        <f aca="false">IF($A177="","",IF(AND(ISNUMBER(K177),K177=0),0,Settings!$C$11))</f>
        <v/>
      </c>
      <c r="N177" s="40"/>
      <c r="O177" s="16" t="str">
        <f aca="false">IF($A177="","",FLOOR(Settings!$C$12/365*N(K177),0.5))</f>
        <v/>
      </c>
      <c r="P177" s="16" t="str">
        <f aca="false">IF($A177="","",IF(I177="",N(N177),FLOOR(Settings!$C$12/365*MAX(0,MIN(LvAsOf,J177)-I177+1)+N(N177),0.5)))</f>
        <v/>
      </c>
      <c r="Q177" s="16" t="str">
        <f aca="false">IF($A177="","",Settings!$C$14)</f>
        <v/>
      </c>
      <c r="R177" s="16" t="str">
        <f aca="false">IF($A177="","",SUMIFS(Attendance!$AZ$6:$AZ$2405,Attendance!$B$6:$B$2405,$A177,Attendance!$A$6:$A$2405,"&gt;="&amp;DATE(LvYear,1,1),Attendance!$A$6:$A$2405,"&lt;="&amp;DATE(LvYear,12,31)))</f>
        <v/>
      </c>
      <c r="S177" s="16" t="str">
        <f aca="false">IF($A177="","",SUMIFS(Attendance!$AY$6:$AY$2405,Attendance!$B$6:$B$2405,$A177,Attendance!$A$6:$A$2405,"&gt;="&amp;DATE(LvYear,1,1),Attendance!$A$6:$A$2405,"&lt;="&amp;DATE(LvYear,12,31)))</f>
        <v/>
      </c>
      <c r="T177" s="16" t="str">
        <f aca="false">IF($A177="","",SUMIFS(Attendance!$AX$6:$AX$2405,Attendance!$B$6:$B$2405,$A177,Attendance!$A$6:$A$2405,"&gt;="&amp;DATE(LvYear,1,1),Attendance!$A$6:$A$2405,"&lt;="&amp;DATE(LvYear,12,31)))</f>
        <v/>
      </c>
      <c r="U177" s="16" t="str">
        <f aca="false">IF($A177="","",SUMIFS(Attendance!$AW$6:$AW$2405,Attendance!$B$6:$B$2405,$A177,Attendance!$A$6:$A$2405,"&gt;="&amp;DATE(LvYear,1,1),Attendance!$A$6:$A$2405,"&lt;="&amp;DATE(LvYear,12,31)))</f>
        <v/>
      </c>
      <c r="V177" s="16" t="str">
        <f aca="false">IF($A177="","",L177-R177)</f>
        <v/>
      </c>
      <c r="W177" s="16" t="str">
        <f aca="false">IF($A177="","",M177-S177)</f>
        <v/>
      </c>
      <c r="X177" s="16" t="str">
        <f aca="false">IF($A177="","",P177-T177)</f>
        <v/>
      </c>
      <c r="Y177" s="16" t="str">
        <f aca="false">IF($A177="","",Q177-U177)</f>
        <v/>
      </c>
      <c r="Z177" s="16" t="str">
        <f aca="false">IF($A177="","",V177+W177+X177)</f>
        <v/>
      </c>
      <c r="AA177" s="16" t="str">
        <f aca="false">IF($A177="","",O177+N(N177)-T177)</f>
        <v/>
      </c>
      <c r="AB177" s="8" t="str">
        <f aca="false">IF($A177="","","CL "&amp;V177&amp;" | SL "&amp;W177&amp;" | PL "&amp;X177&amp;" | TR "&amp;Y177)</f>
        <v/>
      </c>
      <c r="AC177" s="15" t="str">
        <f aca="false">IF($A177="","",IF(F177="Exited","EXITED",IF(AND(ISNUMBER(K177),K177=0),"NOT ELIGIBLE",IF(MIN(V177:X177)&lt;0,"OVER-USED",IF(Z177&lt;=Settings!$C$15,"LOW","OK")))))</f>
        <v/>
      </c>
      <c r="AD177" s="16" t="str">
        <f aca="false">IF(OR(AC177="OVER-USED",AC177="LOW"),COUNTIF(AC$6:AC177,"OVER-USED")+COUNTIF(AC$6:AC177,"LOW"),"")</f>
        <v/>
      </c>
    </row>
    <row r="178" customFormat="false" ht="15" hidden="false" customHeight="false" outlineLevel="0" collapsed="false">
      <c r="A178" s="8" t="str">
        <f aca="false">IF('Employee List'!B178="","",'Employee List'!B178)</f>
        <v/>
      </c>
      <c r="B178" s="8" t="str">
        <f aca="false">IF($A178="","",'Employee List'!C178)</f>
        <v/>
      </c>
      <c r="C178" s="8" t="str">
        <f aca="false">IF($A178="","",'Employee List'!E178&amp;"")</f>
        <v/>
      </c>
      <c r="D178" s="8" t="str">
        <f aca="false">IF($A178="","",'Employee List'!F178&amp;"")</f>
        <v/>
      </c>
      <c r="E178" s="8" t="str">
        <f aca="false">IF($A178="","",'Employee List'!G178&amp;"")</f>
        <v/>
      </c>
      <c r="F178" s="8" t="str">
        <f aca="false">IF($A178="","",'Employee List'!D178)</f>
        <v/>
      </c>
      <c r="G178" s="38" t="str">
        <f aca="false">IF($A178="","",IF('Employee List'!I178="","",'Employee List'!I178))</f>
        <v/>
      </c>
      <c r="H178" s="38" t="str">
        <f aca="false">IF(OR($A178="",G178=""),"",G178+Settings!$C$13)</f>
        <v/>
      </c>
      <c r="I178" s="38" t="str">
        <f aca="false">IF(H178="","",MAX(H178,DATE(LvYear,1,1)))</f>
        <v/>
      </c>
      <c r="J178" s="38" t="str">
        <f aca="false">IF($A178="","",IF('Employee List'!J178="",DATE(LvYear,12,31),MIN('Employee List'!J178,DATE(LvYear,12,31))))</f>
        <v/>
      </c>
      <c r="K178" s="39" t="str">
        <f aca="false">IF(OR(I178="",J178=""),"",MAX(0,J178-I178+1))</f>
        <v/>
      </c>
      <c r="L178" s="16" t="str">
        <f aca="false">IF($A178="","",IF(AND(ISNUMBER(K178),K178=0),0,Settings!$C$10))</f>
        <v/>
      </c>
      <c r="M178" s="16" t="str">
        <f aca="false">IF($A178="","",IF(AND(ISNUMBER(K178),K178=0),0,Settings!$C$11))</f>
        <v/>
      </c>
      <c r="N178" s="40"/>
      <c r="O178" s="16" t="str">
        <f aca="false">IF($A178="","",FLOOR(Settings!$C$12/365*N(K178),0.5))</f>
        <v/>
      </c>
      <c r="P178" s="16" t="str">
        <f aca="false">IF($A178="","",IF(I178="",N(N178),FLOOR(Settings!$C$12/365*MAX(0,MIN(LvAsOf,J178)-I178+1)+N(N178),0.5)))</f>
        <v/>
      </c>
      <c r="Q178" s="16" t="str">
        <f aca="false">IF($A178="","",Settings!$C$14)</f>
        <v/>
      </c>
      <c r="R178" s="16" t="str">
        <f aca="false">IF($A178="","",SUMIFS(Attendance!$AZ$6:$AZ$2405,Attendance!$B$6:$B$2405,$A178,Attendance!$A$6:$A$2405,"&gt;="&amp;DATE(LvYear,1,1),Attendance!$A$6:$A$2405,"&lt;="&amp;DATE(LvYear,12,31)))</f>
        <v/>
      </c>
      <c r="S178" s="16" t="str">
        <f aca="false">IF($A178="","",SUMIFS(Attendance!$AY$6:$AY$2405,Attendance!$B$6:$B$2405,$A178,Attendance!$A$6:$A$2405,"&gt;="&amp;DATE(LvYear,1,1),Attendance!$A$6:$A$2405,"&lt;="&amp;DATE(LvYear,12,31)))</f>
        <v/>
      </c>
      <c r="T178" s="16" t="str">
        <f aca="false">IF($A178="","",SUMIFS(Attendance!$AX$6:$AX$2405,Attendance!$B$6:$B$2405,$A178,Attendance!$A$6:$A$2405,"&gt;="&amp;DATE(LvYear,1,1),Attendance!$A$6:$A$2405,"&lt;="&amp;DATE(LvYear,12,31)))</f>
        <v/>
      </c>
      <c r="U178" s="16" t="str">
        <f aca="false">IF($A178="","",SUMIFS(Attendance!$AW$6:$AW$2405,Attendance!$B$6:$B$2405,$A178,Attendance!$A$6:$A$2405,"&gt;="&amp;DATE(LvYear,1,1),Attendance!$A$6:$A$2405,"&lt;="&amp;DATE(LvYear,12,31)))</f>
        <v/>
      </c>
      <c r="V178" s="16" t="str">
        <f aca="false">IF($A178="","",L178-R178)</f>
        <v/>
      </c>
      <c r="W178" s="16" t="str">
        <f aca="false">IF($A178="","",M178-S178)</f>
        <v/>
      </c>
      <c r="X178" s="16" t="str">
        <f aca="false">IF($A178="","",P178-T178)</f>
        <v/>
      </c>
      <c r="Y178" s="16" t="str">
        <f aca="false">IF($A178="","",Q178-U178)</f>
        <v/>
      </c>
      <c r="Z178" s="16" t="str">
        <f aca="false">IF($A178="","",V178+W178+X178)</f>
        <v/>
      </c>
      <c r="AA178" s="16" t="str">
        <f aca="false">IF($A178="","",O178+N(N178)-T178)</f>
        <v/>
      </c>
      <c r="AB178" s="8" t="str">
        <f aca="false">IF($A178="","","CL "&amp;V178&amp;" | SL "&amp;W178&amp;" | PL "&amp;X178&amp;" | TR "&amp;Y178)</f>
        <v/>
      </c>
      <c r="AC178" s="15" t="str">
        <f aca="false">IF($A178="","",IF(F178="Exited","EXITED",IF(AND(ISNUMBER(K178),K178=0),"NOT ELIGIBLE",IF(MIN(V178:X178)&lt;0,"OVER-USED",IF(Z178&lt;=Settings!$C$15,"LOW","OK")))))</f>
        <v/>
      </c>
      <c r="AD178" s="16" t="str">
        <f aca="false">IF(OR(AC178="OVER-USED",AC178="LOW"),COUNTIF(AC$6:AC178,"OVER-USED")+COUNTIF(AC$6:AC178,"LOW"),"")</f>
        <v/>
      </c>
    </row>
    <row r="179" customFormat="false" ht="15" hidden="false" customHeight="false" outlineLevel="0" collapsed="false">
      <c r="A179" s="8" t="str">
        <f aca="false">IF('Employee List'!B179="","",'Employee List'!B179)</f>
        <v/>
      </c>
      <c r="B179" s="8" t="str">
        <f aca="false">IF($A179="","",'Employee List'!C179)</f>
        <v/>
      </c>
      <c r="C179" s="8" t="str">
        <f aca="false">IF($A179="","",'Employee List'!E179&amp;"")</f>
        <v/>
      </c>
      <c r="D179" s="8" t="str">
        <f aca="false">IF($A179="","",'Employee List'!F179&amp;"")</f>
        <v/>
      </c>
      <c r="E179" s="8" t="str">
        <f aca="false">IF($A179="","",'Employee List'!G179&amp;"")</f>
        <v/>
      </c>
      <c r="F179" s="8" t="str">
        <f aca="false">IF($A179="","",'Employee List'!D179)</f>
        <v/>
      </c>
      <c r="G179" s="38" t="str">
        <f aca="false">IF($A179="","",IF('Employee List'!I179="","",'Employee List'!I179))</f>
        <v/>
      </c>
      <c r="H179" s="38" t="str">
        <f aca="false">IF(OR($A179="",G179=""),"",G179+Settings!$C$13)</f>
        <v/>
      </c>
      <c r="I179" s="38" t="str">
        <f aca="false">IF(H179="","",MAX(H179,DATE(LvYear,1,1)))</f>
        <v/>
      </c>
      <c r="J179" s="38" t="str">
        <f aca="false">IF($A179="","",IF('Employee List'!J179="",DATE(LvYear,12,31),MIN('Employee List'!J179,DATE(LvYear,12,31))))</f>
        <v/>
      </c>
      <c r="K179" s="39" t="str">
        <f aca="false">IF(OR(I179="",J179=""),"",MAX(0,J179-I179+1))</f>
        <v/>
      </c>
      <c r="L179" s="16" t="str">
        <f aca="false">IF($A179="","",IF(AND(ISNUMBER(K179),K179=0),0,Settings!$C$10))</f>
        <v/>
      </c>
      <c r="M179" s="16" t="str">
        <f aca="false">IF($A179="","",IF(AND(ISNUMBER(K179),K179=0),0,Settings!$C$11))</f>
        <v/>
      </c>
      <c r="N179" s="40"/>
      <c r="O179" s="16" t="str">
        <f aca="false">IF($A179="","",FLOOR(Settings!$C$12/365*N(K179),0.5))</f>
        <v/>
      </c>
      <c r="P179" s="16" t="str">
        <f aca="false">IF($A179="","",IF(I179="",N(N179),FLOOR(Settings!$C$12/365*MAX(0,MIN(LvAsOf,J179)-I179+1)+N(N179),0.5)))</f>
        <v/>
      </c>
      <c r="Q179" s="16" t="str">
        <f aca="false">IF($A179="","",Settings!$C$14)</f>
        <v/>
      </c>
      <c r="R179" s="16" t="str">
        <f aca="false">IF($A179="","",SUMIFS(Attendance!$AZ$6:$AZ$2405,Attendance!$B$6:$B$2405,$A179,Attendance!$A$6:$A$2405,"&gt;="&amp;DATE(LvYear,1,1),Attendance!$A$6:$A$2405,"&lt;="&amp;DATE(LvYear,12,31)))</f>
        <v/>
      </c>
      <c r="S179" s="16" t="str">
        <f aca="false">IF($A179="","",SUMIFS(Attendance!$AY$6:$AY$2405,Attendance!$B$6:$B$2405,$A179,Attendance!$A$6:$A$2405,"&gt;="&amp;DATE(LvYear,1,1),Attendance!$A$6:$A$2405,"&lt;="&amp;DATE(LvYear,12,31)))</f>
        <v/>
      </c>
      <c r="T179" s="16" t="str">
        <f aca="false">IF($A179="","",SUMIFS(Attendance!$AX$6:$AX$2405,Attendance!$B$6:$B$2405,$A179,Attendance!$A$6:$A$2405,"&gt;="&amp;DATE(LvYear,1,1),Attendance!$A$6:$A$2405,"&lt;="&amp;DATE(LvYear,12,31)))</f>
        <v/>
      </c>
      <c r="U179" s="16" t="str">
        <f aca="false">IF($A179="","",SUMIFS(Attendance!$AW$6:$AW$2405,Attendance!$B$6:$B$2405,$A179,Attendance!$A$6:$A$2405,"&gt;="&amp;DATE(LvYear,1,1),Attendance!$A$6:$A$2405,"&lt;="&amp;DATE(LvYear,12,31)))</f>
        <v/>
      </c>
      <c r="V179" s="16" t="str">
        <f aca="false">IF($A179="","",L179-R179)</f>
        <v/>
      </c>
      <c r="W179" s="16" t="str">
        <f aca="false">IF($A179="","",M179-S179)</f>
        <v/>
      </c>
      <c r="X179" s="16" t="str">
        <f aca="false">IF($A179="","",P179-T179)</f>
        <v/>
      </c>
      <c r="Y179" s="16" t="str">
        <f aca="false">IF($A179="","",Q179-U179)</f>
        <v/>
      </c>
      <c r="Z179" s="16" t="str">
        <f aca="false">IF($A179="","",V179+W179+X179)</f>
        <v/>
      </c>
      <c r="AA179" s="16" t="str">
        <f aca="false">IF($A179="","",O179+N(N179)-T179)</f>
        <v/>
      </c>
      <c r="AB179" s="8" t="str">
        <f aca="false">IF($A179="","","CL "&amp;V179&amp;" | SL "&amp;W179&amp;" | PL "&amp;X179&amp;" | TR "&amp;Y179)</f>
        <v/>
      </c>
      <c r="AC179" s="15" t="str">
        <f aca="false">IF($A179="","",IF(F179="Exited","EXITED",IF(AND(ISNUMBER(K179),K179=0),"NOT ELIGIBLE",IF(MIN(V179:X179)&lt;0,"OVER-USED",IF(Z179&lt;=Settings!$C$15,"LOW","OK")))))</f>
        <v/>
      </c>
      <c r="AD179" s="16" t="str">
        <f aca="false">IF(OR(AC179="OVER-USED",AC179="LOW"),COUNTIF(AC$6:AC179,"OVER-USED")+COUNTIF(AC$6:AC179,"LOW"),"")</f>
        <v/>
      </c>
    </row>
    <row r="180" customFormat="false" ht="15" hidden="false" customHeight="false" outlineLevel="0" collapsed="false">
      <c r="A180" s="8" t="str">
        <f aca="false">IF('Employee List'!B180="","",'Employee List'!B180)</f>
        <v/>
      </c>
      <c r="B180" s="8" t="str">
        <f aca="false">IF($A180="","",'Employee List'!C180)</f>
        <v/>
      </c>
      <c r="C180" s="8" t="str">
        <f aca="false">IF($A180="","",'Employee List'!E180&amp;"")</f>
        <v/>
      </c>
      <c r="D180" s="8" t="str">
        <f aca="false">IF($A180="","",'Employee List'!F180&amp;"")</f>
        <v/>
      </c>
      <c r="E180" s="8" t="str">
        <f aca="false">IF($A180="","",'Employee List'!G180&amp;"")</f>
        <v/>
      </c>
      <c r="F180" s="8" t="str">
        <f aca="false">IF($A180="","",'Employee List'!D180)</f>
        <v/>
      </c>
      <c r="G180" s="38" t="str">
        <f aca="false">IF($A180="","",IF('Employee List'!I180="","",'Employee List'!I180))</f>
        <v/>
      </c>
      <c r="H180" s="38" t="str">
        <f aca="false">IF(OR($A180="",G180=""),"",G180+Settings!$C$13)</f>
        <v/>
      </c>
      <c r="I180" s="38" t="str">
        <f aca="false">IF(H180="","",MAX(H180,DATE(LvYear,1,1)))</f>
        <v/>
      </c>
      <c r="J180" s="38" t="str">
        <f aca="false">IF($A180="","",IF('Employee List'!J180="",DATE(LvYear,12,31),MIN('Employee List'!J180,DATE(LvYear,12,31))))</f>
        <v/>
      </c>
      <c r="K180" s="39" t="str">
        <f aca="false">IF(OR(I180="",J180=""),"",MAX(0,J180-I180+1))</f>
        <v/>
      </c>
      <c r="L180" s="16" t="str">
        <f aca="false">IF($A180="","",IF(AND(ISNUMBER(K180),K180=0),0,Settings!$C$10))</f>
        <v/>
      </c>
      <c r="M180" s="16" t="str">
        <f aca="false">IF($A180="","",IF(AND(ISNUMBER(K180),K180=0),0,Settings!$C$11))</f>
        <v/>
      </c>
      <c r="N180" s="40"/>
      <c r="O180" s="16" t="str">
        <f aca="false">IF($A180="","",FLOOR(Settings!$C$12/365*N(K180),0.5))</f>
        <v/>
      </c>
      <c r="P180" s="16" t="str">
        <f aca="false">IF($A180="","",IF(I180="",N(N180),FLOOR(Settings!$C$12/365*MAX(0,MIN(LvAsOf,J180)-I180+1)+N(N180),0.5)))</f>
        <v/>
      </c>
      <c r="Q180" s="16" t="str">
        <f aca="false">IF($A180="","",Settings!$C$14)</f>
        <v/>
      </c>
      <c r="R180" s="16" t="str">
        <f aca="false">IF($A180="","",SUMIFS(Attendance!$AZ$6:$AZ$2405,Attendance!$B$6:$B$2405,$A180,Attendance!$A$6:$A$2405,"&gt;="&amp;DATE(LvYear,1,1),Attendance!$A$6:$A$2405,"&lt;="&amp;DATE(LvYear,12,31)))</f>
        <v/>
      </c>
      <c r="S180" s="16" t="str">
        <f aca="false">IF($A180="","",SUMIFS(Attendance!$AY$6:$AY$2405,Attendance!$B$6:$B$2405,$A180,Attendance!$A$6:$A$2405,"&gt;="&amp;DATE(LvYear,1,1),Attendance!$A$6:$A$2405,"&lt;="&amp;DATE(LvYear,12,31)))</f>
        <v/>
      </c>
      <c r="T180" s="16" t="str">
        <f aca="false">IF($A180="","",SUMIFS(Attendance!$AX$6:$AX$2405,Attendance!$B$6:$B$2405,$A180,Attendance!$A$6:$A$2405,"&gt;="&amp;DATE(LvYear,1,1),Attendance!$A$6:$A$2405,"&lt;="&amp;DATE(LvYear,12,31)))</f>
        <v/>
      </c>
      <c r="U180" s="16" t="str">
        <f aca="false">IF($A180="","",SUMIFS(Attendance!$AW$6:$AW$2405,Attendance!$B$6:$B$2405,$A180,Attendance!$A$6:$A$2405,"&gt;="&amp;DATE(LvYear,1,1),Attendance!$A$6:$A$2405,"&lt;="&amp;DATE(LvYear,12,31)))</f>
        <v/>
      </c>
      <c r="V180" s="16" t="str">
        <f aca="false">IF($A180="","",L180-R180)</f>
        <v/>
      </c>
      <c r="W180" s="16" t="str">
        <f aca="false">IF($A180="","",M180-S180)</f>
        <v/>
      </c>
      <c r="X180" s="16" t="str">
        <f aca="false">IF($A180="","",P180-T180)</f>
        <v/>
      </c>
      <c r="Y180" s="16" t="str">
        <f aca="false">IF($A180="","",Q180-U180)</f>
        <v/>
      </c>
      <c r="Z180" s="16" t="str">
        <f aca="false">IF($A180="","",V180+W180+X180)</f>
        <v/>
      </c>
      <c r="AA180" s="16" t="str">
        <f aca="false">IF($A180="","",O180+N(N180)-T180)</f>
        <v/>
      </c>
      <c r="AB180" s="8" t="str">
        <f aca="false">IF($A180="","","CL "&amp;V180&amp;" | SL "&amp;W180&amp;" | PL "&amp;X180&amp;" | TR "&amp;Y180)</f>
        <v/>
      </c>
      <c r="AC180" s="15" t="str">
        <f aca="false">IF($A180="","",IF(F180="Exited","EXITED",IF(AND(ISNUMBER(K180),K180=0),"NOT ELIGIBLE",IF(MIN(V180:X180)&lt;0,"OVER-USED",IF(Z180&lt;=Settings!$C$15,"LOW","OK")))))</f>
        <v/>
      </c>
      <c r="AD180" s="16" t="str">
        <f aca="false">IF(OR(AC180="OVER-USED",AC180="LOW"),COUNTIF(AC$6:AC180,"OVER-USED")+COUNTIF(AC$6:AC180,"LOW"),"")</f>
        <v/>
      </c>
    </row>
    <row r="181" customFormat="false" ht="15" hidden="false" customHeight="false" outlineLevel="0" collapsed="false">
      <c r="A181" s="8" t="str">
        <f aca="false">IF('Employee List'!B181="","",'Employee List'!B181)</f>
        <v/>
      </c>
      <c r="B181" s="8" t="str">
        <f aca="false">IF($A181="","",'Employee List'!C181)</f>
        <v/>
      </c>
      <c r="C181" s="8" t="str">
        <f aca="false">IF($A181="","",'Employee List'!E181&amp;"")</f>
        <v/>
      </c>
      <c r="D181" s="8" t="str">
        <f aca="false">IF($A181="","",'Employee List'!F181&amp;"")</f>
        <v/>
      </c>
      <c r="E181" s="8" t="str">
        <f aca="false">IF($A181="","",'Employee List'!G181&amp;"")</f>
        <v/>
      </c>
      <c r="F181" s="8" t="str">
        <f aca="false">IF($A181="","",'Employee List'!D181)</f>
        <v/>
      </c>
      <c r="G181" s="38" t="str">
        <f aca="false">IF($A181="","",IF('Employee List'!I181="","",'Employee List'!I181))</f>
        <v/>
      </c>
      <c r="H181" s="38" t="str">
        <f aca="false">IF(OR($A181="",G181=""),"",G181+Settings!$C$13)</f>
        <v/>
      </c>
      <c r="I181" s="38" t="str">
        <f aca="false">IF(H181="","",MAX(H181,DATE(LvYear,1,1)))</f>
        <v/>
      </c>
      <c r="J181" s="38" t="str">
        <f aca="false">IF($A181="","",IF('Employee List'!J181="",DATE(LvYear,12,31),MIN('Employee List'!J181,DATE(LvYear,12,31))))</f>
        <v/>
      </c>
      <c r="K181" s="39" t="str">
        <f aca="false">IF(OR(I181="",J181=""),"",MAX(0,J181-I181+1))</f>
        <v/>
      </c>
      <c r="L181" s="16" t="str">
        <f aca="false">IF($A181="","",IF(AND(ISNUMBER(K181),K181=0),0,Settings!$C$10))</f>
        <v/>
      </c>
      <c r="M181" s="16" t="str">
        <f aca="false">IF($A181="","",IF(AND(ISNUMBER(K181),K181=0),0,Settings!$C$11))</f>
        <v/>
      </c>
      <c r="N181" s="40"/>
      <c r="O181" s="16" t="str">
        <f aca="false">IF($A181="","",FLOOR(Settings!$C$12/365*N(K181),0.5))</f>
        <v/>
      </c>
      <c r="P181" s="16" t="str">
        <f aca="false">IF($A181="","",IF(I181="",N(N181),FLOOR(Settings!$C$12/365*MAX(0,MIN(LvAsOf,J181)-I181+1)+N(N181),0.5)))</f>
        <v/>
      </c>
      <c r="Q181" s="16" t="str">
        <f aca="false">IF($A181="","",Settings!$C$14)</f>
        <v/>
      </c>
      <c r="R181" s="16" t="str">
        <f aca="false">IF($A181="","",SUMIFS(Attendance!$AZ$6:$AZ$2405,Attendance!$B$6:$B$2405,$A181,Attendance!$A$6:$A$2405,"&gt;="&amp;DATE(LvYear,1,1),Attendance!$A$6:$A$2405,"&lt;="&amp;DATE(LvYear,12,31)))</f>
        <v/>
      </c>
      <c r="S181" s="16" t="str">
        <f aca="false">IF($A181="","",SUMIFS(Attendance!$AY$6:$AY$2405,Attendance!$B$6:$B$2405,$A181,Attendance!$A$6:$A$2405,"&gt;="&amp;DATE(LvYear,1,1),Attendance!$A$6:$A$2405,"&lt;="&amp;DATE(LvYear,12,31)))</f>
        <v/>
      </c>
      <c r="T181" s="16" t="str">
        <f aca="false">IF($A181="","",SUMIFS(Attendance!$AX$6:$AX$2405,Attendance!$B$6:$B$2405,$A181,Attendance!$A$6:$A$2405,"&gt;="&amp;DATE(LvYear,1,1),Attendance!$A$6:$A$2405,"&lt;="&amp;DATE(LvYear,12,31)))</f>
        <v/>
      </c>
      <c r="U181" s="16" t="str">
        <f aca="false">IF($A181="","",SUMIFS(Attendance!$AW$6:$AW$2405,Attendance!$B$6:$B$2405,$A181,Attendance!$A$6:$A$2405,"&gt;="&amp;DATE(LvYear,1,1),Attendance!$A$6:$A$2405,"&lt;="&amp;DATE(LvYear,12,31)))</f>
        <v/>
      </c>
      <c r="V181" s="16" t="str">
        <f aca="false">IF($A181="","",L181-R181)</f>
        <v/>
      </c>
      <c r="W181" s="16" t="str">
        <f aca="false">IF($A181="","",M181-S181)</f>
        <v/>
      </c>
      <c r="X181" s="16" t="str">
        <f aca="false">IF($A181="","",P181-T181)</f>
        <v/>
      </c>
      <c r="Y181" s="16" t="str">
        <f aca="false">IF($A181="","",Q181-U181)</f>
        <v/>
      </c>
      <c r="Z181" s="16" t="str">
        <f aca="false">IF($A181="","",V181+W181+X181)</f>
        <v/>
      </c>
      <c r="AA181" s="16" t="str">
        <f aca="false">IF($A181="","",O181+N(N181)-T181)</f>
        <v/>
      </c>
      <c r="AB181" s="8" t="str">
        <f aca="false">IF($A181="","","CL "&amp;V181&amp;" | SL "&amp;W181&amp;" | PL "&amp;X181&amp;" | TR "&amp;Y181)</f>
        <v/>
      </c>
      <c r="AC181" s="15" t="str">
        <f aca="false">IF($A181="","",IF(F181="Exited","EXITED",IF(AND(ISNUMBER(K181),K181=0),"NOT ELIGIBLE",IF(MIN(V181:X181)&lt;0,"OVER-USED",IF(Z181&lt;=Settings!$C$15,"LOW","OK")))))</f>
        <v/>
      </c>
      <c r="AD181" s="16" t="str">
        <f aca="false">IF(OR(AC181="OVER-USED",AC181="LOW"),COUNTIF(AC$6:AC181,"OVER-USED")+COUNTIF(AC$6:AC181,"LOW"),"")</f>
        <v/>
      </c>
    </row>
    <row r="182" customFormat="false" ht="15" hidden="false" customHeight="false" outlineLevel="0" collapsed="false">
      <c r="A182" s="8" t="str">
        <f aca="false">IF('Employee List'!B182="","",'Employee List'!B182)</f>
        <v/>
      </c>
      <c r="B182" s="8" t="str">
        <f aca="false">IF($A182="","",'Employee List'!C182)</f>
        <v/>
      </c>
      <c r="C182" s="8" t="str">
        <f aca="false">IF($A182="","",'Employee List'!E182&amp;"")</f>
        <v/>
      </c>
      <c r="D182" s="8" t="str">
        <f aca="false">IF($A182="","",'Employee List'!F182&amp;"")</f>
        <v/>
      </c>
      <c r="E182" s="8" t="str">
        <f aca="false">IF($A182="","",'Employee List'!G182&amp;"")</f>
        <v/>
      </c>
      <c r="F182" s="8" t="str">
        <f aca="false">IF($A182="","",'Employee List'!D182)</f>
        <v/>
      </c>
      <c r="G182" s="38" t="str">
        <f aca="false">IF($A182="","",IF('Employee List'!I182="","",'Employee List'!I182))</f>
        <v/>
      </c>
      <c r="H182" s="38" t="str">
        <f aca="false">IF(OR($A182="",G182=""),"",G182+Settings!$C$13)</f>
        <v/>
      </c>
      <c r="I182" s="38" t="str">
        <f aca="false">IF(H182="","",MAX(H182,DATE(LvYear,1,1)))</f>
        <v/>
      </c>
      <c r="J182" s="38" t="str">
        <f aca="false">IF($A182="","",IF('Employee List'!J182="",DATE(LvYear,12,31),MIN('Employee List'!J182,DATE(LvYear,12,31))))</f>
        <v/>
      </c>
      <c r="K182" s="39" t="str">
        <f aca="false">IF(OR(I182="",J182=""),"",MAX(0,J182-I182+1))</f>
        <v/>
      </c>
      <c r="L182" s="16" t="str">
        <f aca="false">IF($A182="","",IF(AND(ISNUMBER(K182),K182=0),0,Settings!$C$10))</f>
        <v/>
      </c>
      <c r="M182" s="16" t="str">
        <f aca="false">IF($A182="","",IF(AND(ISNUMBER(K182),K182=0),0,Settings!$C$11))</f>
        <v/>
      </c>
      <c r="N182" s="40"/>
      <c r="O182" s="16" t="str">
        <f aca="false">IF($A182="","",FLOOR(Settings!$C$12/365*N(K182),0.5))</f>
        <v/>
      </c>
      <c r="P182" s="16" t="str">
        <f aca="false">IF($A182="","",IF(I182="",N(N182),FLOOR(Settings!$C$12/365*MAX(0,MIN(LvAsOf,J182)-I182+1)+N(N182),0.5)))</f>
        <v/>
      </c>
      <c r="Q182" s="16" t="str">
        <f aca="false">IF($A182="","",Settings!$C$14)</f>
        <v/>
      </c>
      <c r="R182" s="16" t="str">
        <f aca="false">IF($A182="","",SUMIFS(Attendance!$AZ$6:$AZ$2405,Attendance!$B$6:$B$2405,$A182,Attendance!$A$6:$A$2405,"&gt;="&amp;DATE(LvYear,1,1),Attendance!$A$6:$A$2405,"&lt;="&amp;DATE(LvYear,12,31)))</f>
        <v/>
      </c>
      <c r="S182" s="16" t="str">
        <f aca="false">IF($A182="","",SUMIFS(Attendance!$AY$6:$AY$2405,Attendance!$B$6:$B$2405,$A182,Attendance!$A$6:$A$2405,"&gt;="&amp;DATE(LvYear,1,1),Attendance!$A$6:$A$2405,"&lt;="&amp;DATE(LvYear,12,31)))</f>
        <v/>
      </c>
      <c r="T182" s="16" t="str">
        <f aca="false">IF($A182="","",SUMIFS(Attendance!$AX$6:$AX$2405,Attendance!$B$6:$B$2405,$A182,Attendance!$A$6:$A$2405,"&gt;="&amp;DATE(LvYear,1,1),Attendance!$A$6:$A$2405,"&lt;="&amp;DATE(LvYear,12,31)))</f>
        <v/>
      </c>
      <c r="U182" s="16" t="str">
        <f aca="false">IF($A182="","",SUMIFS(Attendance!$AW$6:$AW$2405,Attendance!$B$6:$B$2405,$A182,Attendance!$A$6:$A$2405,"&gt;="&amp;DATE(LvYear,1,1),Attendance!$A$6:$A$2405,"&lt;="&amp;DATE(LvYear,12,31)))</f>
        <v/>
      </c>
      <c r="V182" s="16" t="str">
        <f aca="false">IF($A182="","",L182-R182)</f>
        <v/>
      </c>
      <c r="W182" s="16" t="str">
        <f aca="false">IF($A182="","",M182-S182)</f>
        <v/>
      </c>
      <c r="X182" s="16" t="str">
        <f aca="false">IF($A182="","",P182-T182)</f>
        <v/>
      </c>
      <c r="Y182" s="16" t="str">
        <f aca="false">IF($A182="","",Q182-U182)</f>
        <v/>
      </c>
      <c r="Z182" s="16" t="str">
        <f aca="false">IF($A182="","",V182+W182+X182)</f>
        <v/>
      </c>
      <c r="AA182" s="16" t="str">
        <f aca="false">IF($A182="","",O182+N(N182)-T182)</f>
        <v/>
      </c>
      <c r="AB182" s="8" t="str">
        <f aca="false">IF($A182="","","CL "&amp;V182&amp;" | SL "&amp;W182&amp;" | PL "&amp;X182&amp;" | TR "&amp;Y182)</f>
        <v/>
      </c>
      <c r="AC182" s="15" t="str">
        <f aca="false">IF($A182="","",IF(F182="Exited","EXITED",IF(AND(ISNUMBER(K182),K182=0),"NOT ELIGIBLE",IF(MIN(V182:X182)&lt;0,"OVER-USED",IF(Z182&lt;=Settings!$C$15,"LOW","OK")))))</f>
        <v/>
      </c>
      <c r="AD182" s="16" t="str">
        <f aca="false">IF(OR(AC182="OVER-USED",AC182="LOW"),COUNTIF(AC$6:AC182,"OVER-USED")+COUNTIF(AC$6:AC182,"LOW"),"")</f>
        <v/>
      </c>
    </row>
    <row r="183" customFormat="false" ht="15" hidden="false" customHeight="false" outlineLevel="0" collapsed="false">
      <c r="A183" s="8" t="str">
        <f aca="false">IF('Employee List'!B183="","",'Employee List'!B183)</f>
        <v/>
      </c>
      <c r="B183" s="8" t="str">
        <f aca="false">IF($A183="","",'Employee List'!C183)</f>
        <v/>
      </c>
      <c r="C183" s="8" t="str">
        <f aca="false">IF($A183="","",'Employee List'!E183&amp;"")</f>
        <v/>
      </c>
      <c r="D183" s="8" t="str">
        <f aca="false">IF($A183="","",'Employee List'!F183&amp;"")</f>
        <v/>
      </c>
      <c r="E183" s="8" t="str">
        <f aca="false">IF($A183="","",'Employee List'!G183&amp;"")</f>
        <v/>
      </c>
      <c r="F183" s="8" t="str">
        <f aca="false">IF($A183="","",'Employee List'!D183)</f>
        <v/>
      </c>
      <c r="G183" s="38" t="str">
        <f aca="false">IF($A183="","",IF('Employee List'!I183="","",'Employee List'!I183))</f>
        <v/>
      </c>
      <c r="H183" s="38" t="str">
        <f aca="false">IF(OR($A183="",G183=""),"",G183+Settings!$C$13)</f>
        <v/>
      </c>
      <c r="I183" s="38" t="str">
        <f aca="false">IF(H183="","",MAX(H183,DATE(LvYear,1,1)))</f>
        <v/>
      </c>
      <c r="J183" s="38" t="str">
        <f aca="false">IF($A183="","",IF('Employee List'!J183="",DATE(LvYear,12,31),MIN('Employee List'!J183,DATE(LvYear,12,31))))</f>
        <v/>
      </c>
      <c r="K183" s="39" t="str">
        <f aca="false">IF(OR(I183="",J183=""),"",MAX(0,J183-I183+1))</f>
        <v/>
      </c>
      <c r="L183" s="16" t="str">
        <f aca="false">IF($A183="","",IF(AND(ISNUMBER(K183),K183=0),0,Settings!$C$10))</f>
        <v/>
      </c>
      <c r="M183" s="16" t="str">
        <f aca="false">IF($A183="","",IF(AND(ISNUMBER(K183),K183=0),0,Settings!$C$11))</f>
        <v/>
      </c>
      <c r="N183" s="40"/>
      <c r="O183" s="16" t="str">
        <f aca="false">IF($A183="","",FLOOR(Settings!$C$12/365*N(K183),0.5))</f>
        <v/>
      </c>
      <c r="P183" s="16" t="str">
        <f aca="false">IF($A183="","",IF(I183="",N(N183),FLOOR(Settings!$C$12/365*MAX(0,MIN(LvAsOf,J183)-I183+1)+N(N183),0.5)))</f>
        <v/>
      </c>
      <c r="Q183" s="16" t="str">
        <f aca="false">IF($A183="","",Settings!$C$14)</f>
        <v/>
      </c>
      <c r="R183" s="16" t="str">
        <f aca="false">IF($A183="","",SUMIFS(Attendance!$AZ$6:$AZ$2405,Attendance!$B$6:$B$2405,$A183,Attendance!$A$6:$A$2405,"&gt;="&amp;DATE(LvYear,1,1),Attendance!$A$6:$A$2405,"&lt;="&amp;DATE(LvYear,12,31)))</f>
        <v/>
      </c>
      <c r="S183" s="16" t="str">
        <f aca="false">IF($A183="","",SUMIFS(Attendance!$AY$6:$AY$2405,Attendance!$B$6:$B$2405,$A183,Attendance!$A$6:$A$2405,"&gt;="&amp;DATE(LvYear,1,1),Attendance!$A$6:$A$2405,"&lt;="&amp;DATE(LvYear,12,31)))</f>
        <v/>
      </c>
      <c r="T183" s="16" t="str">
        <f aca="false">IF($A183="","",SUMIFS(Attendance!$AX$6:$AX$2405,Attendance!$B$6:$B$2405,$A183,Attendance!$A$6:$A$2405,"&gt;="&amp;DATE(LvYear,1,1),Attendance!$A$6:$A$2405,"&lt;="&amp;DATE(LvYear,12,31)))</f>
        <v/>
      </c>
      <c r="U183" s="16" t="str">
        <f aca="false">IF($A183="","",SUMIFS(Attendance!$AW$6:$AW$2405,Attendance!$B$6:$B$2405,$A183,Attendance!$A$6:$A$2405,"&gt;="&amp;DATE(LvYear,1,1),Attendance!$A$6:$A$2405,"&lt;="&amp;DATE(LvYear,12,31)))</f>
        <v/>
      </c>
      <c r="V183" s="16" t="str">
        <f aca="false">IF($A183="","",L183-R183)</f>
        <v/>
      </c>
      <c r="W183" s="16" t="str">
        <f aca="false">IF($A183="","",M183-S183)</f>
        <v/>
      </c>
      <c r="X183" s="16" t="str">
        <f aca="false">IF($A183="","",P183-T183)</f>
        <v/>
      </c>
      <c r="Y183" s="16" t="str">
        <f aca="false">IF($A183="","",Q183-U183)</f>
        <v/>
      </c>
      <c r="Z183" s="16" t="str">
        <f aca="false">IF($A183="","",V183+W183+X183)</f>
        <v/>
      </c>
      <c r="AA183" s="16" t="str">
        <f aca="false">IF($A183="","",O183+N(N183)-T183)</f>
        <v/>
      </c>
      <c r="AB183" s="8" t="str">
        <f aca="false">IF($A183="","","CL "&amp;V183&amp;" | SL "&amp;W183&amp;" | PL "&amp;X183&amp;" | TR "&amp;Y183)</f>
        <v/>
      </c>
      <c r="AC183" s="15" t="str">
        <f aca="false">IF($A183="","",IF(F183="Exited","EXITED",IF(AND(ISNUMBER(K183),K183=0),"NOT ELIGIBLE",IF(MIN(V183:X183)&lt;0,"OVER-USED",IF(Z183&lt;=Settings!$C$15,"LOW","OK")))))</f>
        <v/>
      </c>
      <c r="AD183" s="16" t="str">
        <f aca="false">IF(OR(AC183="OVER-USED",AC183="LOW"),COUNTIF(AC$6:AC183,"OVER-USED")+COUNTIF(AC$6:AC183,"LOW"),"")</f>
        <v/>
      </c>
    </row>
    <row r="184" customFormat="false" ht="15" hidden="false" customHeight="false" outlineLevel="0" collapsed="false">
      <c r="A184" s="8" t="str">
        <f aca="false">IF('Employee List'!B184="","",'Employee List'!B184)</f>
        <v/>
      </c>
      <c r="B184" s="8" t="str">
        <f aca="false">IF($A184="","",'Employee List'!C184)</f>
        <v/>
      </c>
      <c r="C184" s="8" t="str">
        <f aca="false">IF($A184="","",'Employee List'!E184&amp;"")</f>
        <v/>
      </c>
      <c r="D184" s="8" t="str">
        <f aca="false">IF($A184="","",'Employee List'!F184&amp;"")</f>
        <v/>
      </c>
      <c r="E184" s="8" t="str">
        <f aca="false">IF($A184="","",'Employee List'!G184&amp;"")</f>
        <v/>
      </c>
      <c r="F184" s="8" t="str">
        <f aca="false">IF($A184="","",'Employee List'!D184)</f>
        <v/>
      </c>
      <c r="G184" s="38" t="str">
        <f aca="false">IF($A184="","",IF('Employee List'!I184="","",'Employee List'!I184))</f>
        <v/>
      </c>
      <c r="H184" s="38" t="str">
        <f aca="false">IF(OR($A184="",G184=""),"",G184+Settings!$C$13)</f>
        <v/>
      </c>
      <c r="I184" s="38" t="str">
        <f aca="false">IF(H184="","",MAX(H184,DATE(LvYear,1,1)))</f>
        <v/>
      </c>
      <c r="J184" s="38" t="str">
        <f aca="false">IF($A184="","",IF('Employee List'!J184="",DATE(LvYear,12,31),MIN('Employee List'!J184,DATE(LvYear,12,31))))</f>
        <v/>
      </c>
      <c r="K184" s="39" t="str">
        <f aca="false">IF(OR(I184="",J184=""),"",MAX(0,J184-I184+1))</f>
        <v/>
      </c>
      <c r="L184" s="16" t="str">
        <f aca="false">IF($A184="","",IF(AND(ISNUMBER(K184),K184=0),0,Settings!$C$10))</f>
        <v/>
      </c>
      <c r="M184" s="16" t="str">
        <f aca="false">IF($A184="","",IF(AND(ISNUMBER(K184),K184=0),0,Settings!$C$11))</f>
        <v/>
      </c>
      <c r="N184" s="40"/>
      <c r="O184" s="16" t="str">
        <f aca="false">IF($A184="","",FLOOR(Settings!$C$12/365*N(K184),0.5))</f>
        <v/>
      </c>
      <c r="P184" s="16" t="str">
        <f aca="false">IF($A184="","",IF(I184="",N(N184),FLOOR(Settings!$C$12/365*MAX(0,MIN(LvAsOf,J184)-I184+1)+N(N184),0.5)))</f>
        <v/>
      </c>
      <c r="Q184" s="16" t="str">
        <f aca="false">IF($A184="","",Settings!$C$14)</f>
        <v/>
      </c>
      <c r="R184" s="16" t="str">
        <f aca="false">IF($A184="","",SUMIFS(Attendance!$AZ$6:$AZ$2405,Attendance!$B$6:$B$2405,$A184,Attendance!$A$6:$A$2405,"&gt;="&amp;DATE(LvYear,1,1),Attendance!$A$6:$A$2405,"&lt;="&amp;DATE(LvYear,12,31)))</f>
        <v/>
      </c>
      <c r="S184" s="16" t="str">
        <f aca="false">IF($A184="","",SUMIFS(Attendance!$AY$6:$AY$2405,Attendance!$B$6:$B$2405,$A184,Attendance!$A$6:$A$2405,"&gt;="&amp;DATE(LvYear,1,1),Attendance!$A$6:$A$2405,"&lt;="&amp;DATE(LvYear,12,31)))</f>
        <v/>
      </c>
      <c r="T184" s="16" t="str">
        <f aca="false">IF($A184="","",SUMIFS(Attendance!$AX$6:$AX$2405,Attendance!$B$6:$B$2405,$A184,Attendance!$A$6:$A$2405,"&gt;="&amp;DATE(LvYear,1,1),Attendance!$A$6:$A$2405,"&lt;="&amp;DATE(LvYear,12,31)))</f>
        <v/>
      </c>
      <c r="U184" s="16" t="str">
        <f aca="false">IF($A184="","",SUMIFS(Attendance!$AW$6:$AW$2405,Attendance!$B$6:$B$2405,$A184,Attendance!$A$6:$A$2405,"&gt;="&amp;DATE(LvYear,1,1),Attendance!$A$6:$A$2405,"&lt;="&amp;DATE(LvYear,12,31)))</f>
        <v/>
      </c>
      <c r="V184" s="16" t="str">
        <f aca="false">IF($A184="","",L184-R184)</f>
        <v/>
      </c>
      <c r="W184" s="16" t="str">
        <f aca="false">IF($A184="","",M184-S184)</f>
        <v/>
      </c>
      <c r="X184" s="16" t="str">
        <f aca="false">IF($A184="","",P184-T184)</f>
        <v/>
      </c>
      <c r="Y184" s="16" t="str">
        <f aca="false">IF($A184="","",Q184-U184)</f>
        <v/>
      </c>
      <c r="Z184" s="16" t="str">
        <f aca="false">IF($A184="","",V184+W184+X184)</f>
        <v/>
      </c>
      <c r="AA184" s="16" t="str">
        <f aca="false">IF($A184="","",O184+N(N184)-T184)</f>
        <v/>
      </c>
      <c r="AB184" s="8" t="str">
        <f aca="false">IF($A184="","","CL "&amp;V184&amp;" | SL "&amp;W184&amp;" | PL "&amp;X184&amp;" | TR "&amp;Y184)</f>
        <v/>
      </c>
      <c r="AC184" s="15" t="str">
        <f aca="false">IF($A184="","",IF(F184="Exited","EXITED",IF(AND(ISNUMBER(K184),K184=0),"NOT ELIGIBLE",IF(MIN(V184:X184)&lt;0,"OVER-USED",IF(Z184&lt;=Settings!$C$15,"LOW","OK")))))</f>
        <v/>
      </c>
      <c r="AD184" s="16" t="str">
        <f aca="false">IF(OR(AC184="OVER-USED",AC184="LOW"),COUNTIF(AC$6:AC184,"OVER-USED")+COUNTIF(AC$6:AC184,"LOW"),"")</f>
        <v/>
      </c>
    </row>
    <row r="185" customFormat="false" ht="15" hidden="false" customHeight="false" outlineLevel="0" collapsed="false">
      <c r="A185" s="8" t="str">
        <f aca="false">IF('Employee List'!B185="","",'Employee List'!B185)</f>
        <v/>
      </c>
      <c r="B185" s="8" t="str">
        <f aca="false">IF($A185="","",'Employee List'!C185)</f>
        <v/>
      </c>
      <c r="C185" s="8" t="str">
        <f aca="false">IF($A185="","",'Employee List'!E185&amp;"")</f>
        <v/>
      </c>
      <c r="D185" s="8" t="str">
        <f aca="false">IF($A185="","",'Employee List'!F185&amp;"")</f>
        <v/>
      </c>
      <c r="E185" s="8" t="str">
        <f aca="false">IF($A185="","",'Employee List'!G185&amp;"")</f>
        <v/>
      </c>
      <c r="F185" s="8" t="str">
        <f aca="false">IF($A185="","",'Employee List'!D185)</f>
        <v/>
      </c>
      <c r="G185" s="38" t="str">
        <f aca="false">IF($A185="","",IF('Employee List'!I185="","",'Employee List'!I185))</f>
        <v/>
      </c>
      <c r="H185" s="38" t="str">
        <f aca="false">IF(OR($A185="",G185=""),"",G185+Settings!$C$13)</f>
        <v/>
      </c>
      <c r="I185" s="38" t="str">
        <f aca="false">IF(H185="","",MAX(H185,DATE(LvYear,1,1)))</f>
        <v/>
      </c>
      <c r="J185" s="38" t="str">
        <f aca="false">IF($A185="","",IF('Employee List'!J185="",DATE(LvYear,12,31),MIN('Employee List'!J185,DATE(LvYear,12,31))))</f>
        <v/>
      </c>
      <c r="K185" s="39" t="str">
        <f aca="false">IF(OR(I185="",J185=""),"",MAX(0,J185-I185+1))</f>
        <v/>
      </c>
      <c r="L185" s="16" t="str">
        <f aca="false">IF($A185="","",IF(AND(ISNUMBER(K185),K185=0),0,Settings!$C$10))</f>
        <v/>
      </c>
      <c r="M185" s="16" t="str">
        <f aca="false">IF($A185="","",IF(AND(ISNUMBER(K185),K185=0),0,Settings!$C$11))</f>
        <v/>
      </c>
      <c r="N185" s="40"/>
      <c r="O185" s="16" t="str">
        <f aca="false">IF($A185="","",FLOOR(Settings!$C$12/365*N(K185),0.5))</f>
        <v/>
      </c>
      <c r="P185" s="16" t="str">
        <f aca="false">IF($A185="","",IF(I185="",N(N185),FLOOR(Settings!$C$12/365*MAX(0,MIN(LvAsOf,J185)-I185+1)+N(N185),0.5)))</f>
        <v/>
      </c>
      <c r="Q185" s="16" t="str">
        <f aca="false">IF($A185="","",Settings!$C$14)</f>
        <v/>
      </c>
      <c r="R185" s="16" t="str">
        <f aca="false">IF($A185="","",SUMIFS(Attendance!$AZ$6:$AZ$2405,Attendance!$B$6:$B$2405,$A185,Attendance!$A$6:$A$2405,"&gt;="&amp;DATE(LvYear,1,1),Attendance!$A$6:$A$2405,"&lt;="&amp;DATE(LvYear,12,31)))</f>
        <v/>
      </c>
      <c r="S185" s="16" t="str">
        <f aca="false">IF($A185="","",SUMIFS(Attendance!$AY$6:$AY$2405,Attendance!$B$6:$B$2405,$A185,Attendance!$A$6:$A$2405,"&gt;="&amp;DATE(LvYear,1,1),Attendance!$A$6:$A$2405,"&lt;="&amp;DATE(LvYear,12,31)))</f>
        <v/>
      </c>
      <c r="T185" s="16" t="str">
        <f aca="false">IF($A185="","",SUMIFS(Attendance!$AX$6:$AX$2405,Attendance!$B$6:$B$2405,$A185,Attendance!$A$6:$A$2405,"&gt;="&amp;DATE(LvYear,1,1),Attendance!$A$6:$A$2405,"&lt;="&amp;DATE(LvYear,12,31)))</f>
        <v/>
      </c>
      <c r="U185" s="16" t="str">
        <f aca="false">IF($A185="","",SUMIFS(Attendance!$AW$6:$AW$2405,Attendance!$B$6:$B$2405,$A185,Attendance!$A$6:$A$2405,"&gt;="&amp;DATE(LvYear,1,1),Attendance!$A$6:$A$2405,"&lt;="&amp;DATE(LvYear,12,31)))</f>
        <v/>
      </c>
      <c r="V185" s="16" t="str">
        <f aca="false">IF($A185="","",L185-R185)</f>
        <v/>
      </c>
      <c r="W185" s="16" t="str">
        <f aca="false">IF($A185="","",M185-S185)</f>
        <v/>
      </c>
      <c r="X185" s="16" t="str">
        <f aca="false">IF($A185="","",P185-T185)</f>
        <v/>
      </c>
      <c r="Y185" s="16" t="str">
        <f aca="false">IF($A185="","",Q185-U185)</f>
        <v/>
      </c>
      <c r="Z185" s="16" t="str">
        <f aca="false">IF($A185="","",V185+W185+X185)</f>
        <v/>
      </c>
      <c r="AA185" s="16" t="str">
        <f aca="false">IF($A185="","",O185+N(N185)-T185)</f>
        <v/>
      </c>
      <c r="AB185" s="8" t="str">
        <f aca="false">IF($A185="","","CL "&amp;V185&amp;" | SL "&amp;W185&amp;" | PL "&amp;X185&amp;" | TR "&amp;Y185)</f>
        <v/>
      </c>
      <c r="AC185" s="15" t="str">
        <f aca="false">IF($A185="","",IF(F185="Exited","EXITED",IF(AND(ISNUMBER(K185),K185=0),"NOT ELIGIBLE",IF(MIN(V185:X185)&lt;0,"OVER-USED",IF(Z185&lt;=Settings!$C$15,"LOW","OK")))))</f>
        <v/>
      </c>
      <c r="AD185" s="16" t="str">
        <f aca="false">IF(OR(AC185="OVER-USED",AC185="LOW"),COUNTIF(AC$6:AC185,"OVER-USED")+COUNTIF(AC$6:AC185,"LOW"),"")</f>
        <v/>
      </c>
    </row>
    <row r="186" customFormat="false" ht="15" hidden="false" customHeight="false" outlineLevel="0" collapsed="false">
      <c r="A186" s="8" t="str">
        <f aca="false">IF('Employee List'!B186="","",'Employee List'!B186)</f>
        <v/>
      </c>
      <c r="B186" s="8" t="str">
        <f aca="false">IF($A186="","",'Employee List'!C186)</f>
        <v/>
      </c>
      <c r="C186" s="8" t="str">
        <f aca="false">IF($A186="","",'Employee List'!E186&amp;"")</f>
        <v/>
      </c>
      <c r="D186" s="8" t="str">
        <f aca="false">IF($A186="","",'Employee List'!F186&amp;"")</f>
        <v/>
      </c>
      <c r="E186" s="8" t="str">
        <f aca="false">IF($A186="","",'Employee List'!G186&amp;"")</f>
        <v/>
      </c>
      <c r="F186" s="8" t="str">
        <f aca="false">IF($A186="","",'Employee List'!D186)</f>
        <v/>
      </c>
      <c r="G186" s="38" t="str">
        <f aca="false">IF($A186="","",IF('Employee List'!I186="","",'Employee List'!I186))</f>
        <v/>
      </c>
      <c r="H186" s="38" t="str">
        <f aca="false">IF(OR($A186="",G186=""),"",G186+Settings!$C$13)</f>
        <v/>
      </c>
      <c r="I186" s="38" t="str">
        <f aca="false">IF(H186="","",MAX(H186,DATE(LvYear,1,1)))</f>
        <v/>
      </c>
      <c r="J186" s="38" t="str">
        <f aca="false">IF($A186="","",IF('Employee List'!J186="",DATE(LvYear,12,31),MIN('Employee List'!J186,DATE(LvYear,12,31))))</f>
        <v/>
      </c>
      <c r="K186" s="39" t="str">
        <f aca="false">IF(OR(I186="",J186=""),"",MAX(0,J186-I186+1))</f>
        <v/>
      </c>
      <c r="L186" s="16" t="str">
        <f aca="false">IF($A186="","",IF(AND(ISNUMBER(K186),K186=0),0,Settings!$C$10))</f>
        <v/>
      </c>
      <c r="M186" s="16" t="str">
        <f aca="false">IF($A186="","",IF(AND(ISNUMBER(K186),K186=0),0,Settings!$C$11))</f>
        <v/>
      </c>
      <c r="N186" s="40"/>
      <c r="O186" s="16" t="str">
        <f aca="false">IF($A186="","",FLOOR(Settings!$C$12/365*N(K186),0.5))</f>
        <v/>
      </c>
      <c r="P186" s="16" t="str">
        <f aca="false">IF($A186="","",IF(I186="",N(N186),FLOOR(Settings!$C$12/365*MAX(0,MIN(LvAsOf,J186)-I186+1)+N(N186),0.5)))</f>
        <v/>
      </c>
      <c r="Q186" s="16" t="str">
        <f aca="false">IF($A186="","",Settings!$C$14)</f>
        <v/>
      </c>
      <c r="R186" s="16" t="str">
        <f aca="false">IF($A186="","",SUMIFS(Attendance!$AZ$6:$AZ$2405,Attendance!$B$6:$B$2405,$A186,Attendance!$A$6:$A$2405,"&gt;="&amp;DATE(LvYear,1,1),Attendance!$A$6:$A$2405,"&lt;="&amp;DATE(LvYear,12,31)))</f>
        <v/>
      </c>
      <c r="S186" s="16" t="str">
        <f aca="false">IF($A186="","",SUMIFS(Attendance!$AY$6:$AY$2405,Attendance!$B$6:$B$2405,$A186,Attendance!$A$6:$A$2405,"&gt;="&amp;DATE(LvYear,1,1),Attendance!$A$6:$A$2405,"&lt;="&amp;DATE(LvYear,12,31)))</f>
        <v/>
      </c>
      <c r="T186" s="16" t="str">
        <f aca="false">IF($A186="","",SUMIFS(Attendance!$AX$6:$AX$2405,Attendance!$B$6:$B$2405,$A186,Attendance!$A$6:$A$2405,"&gt;="&amp;DATE(LvYear,1,1),Attendance!$A$6:$A$2405,"&lt;="&amp;DATE(LvYear,12,31)))</f>
        <v/>
      </c>
      <c r="U186" s="16" t="str">
        <f aca="false">IF($A186="","",SUMIFS(Attendance!$AW$6:$AW$2405,Attendance!$B$6:$B$2405,$A186,Attendance!$A$6:$A$2405,"&gt;="&amp;DATE(LvYear,1,1),Attendance!$A$6:$A$2405,"&lt;="&amp;DATE(LvYear,12,31)))</f>
        <v/>
      </c>
      <c r="V186" s="16" t="str">
        <f aca="false">IF($A186="","",L186-R186)</f>
        <v/>
      </c>
      <c r="W186" s="16" t="str">
        <f aca="false">IF($A186="","",M186-S186)</f>
        <v/>
      </c>
      <c r="X186" s="16" t="str">
        <f aca="false">IF($A186="","",P186-T186)</f>
        <v/>
      </c>
      <c r="Y186" s="16" t="str">
        <f aca="false">IF($A186="","",Q186-U186)</f>
        <v/>
      </c>
      <c r="Z186" s="16" t="str">
        <f aca="false">IF($A186="","",V186+W186+X186)</f>
        <v/>
      </c>
      <c r="AA186" s="16" t="str">
        <f aca="false">IF($A186="","",O186+N(N186)-T186)</f>
        <v/>
      </c>
      <c r="AB186" s="8" t="str">
        <f aca="false">IF($A186="","","CL "&amp;V186&amp;" | SL "&amp;W186&amp;" | PL "&amp;X186&amp;" | TR "&amp;Y186)</f>
        <v/>
      </c>
      <c r="AC186" s="15" t="str">
        <f aca="false">IF($A186="","",IF(F186="Exited","EXITED",IF(AND(ISNUMBER(K186),K186=0),"NOT ELIGIBLE",IF(MIN(V186:X186)&lt;0,"OVER-USED",IF(Z186&lt;=Settings!$C$15,"LOW","OK")))))</f>
        <v/>
      </c>
      <c r="AD186" s="16" t="str">
        <f aca="false">IF(OR(AC186="OVER-USED",AC186="LOW"),COUNTIF(AC$6:AC186,"OVER-USED")+COUNTIF(AC$6:AC186,"LOW"),"")</f>
        <v/>
      </c>
    </row>
    <row r="187" customFormat="false" ht="15" hidden="false" customHeight="false" outlineLevel="0" collapsed="false">
      <c r="A187" s="8" t="str">
        <f aca="false">IF('Employee List'!B187="","",'Employee List'!B187)</f>
        <v/>
      </c>
      <c r="B187" s="8" t="str">
        <f aca="false">IF($A187="","",'Employee List'!C187)</f>
        <v/>
      </c>
      <c r="C187" s="8" t="str">
        <f aca="false">IF($A187="","",'Employee List'!E187&amp;"")</f>
        <v/>
      </c>
      <c r="D187" s="8" t="str">
        <f aca="false">IF($A187="","",'Employee List'!F187&amp;"")</f>
        <v/>
      </c>
      <c r="E187" s="8" t="str">
        <f aca="false">IF($A187="","",'Employee List'!G187&amp;"")</f>
        <v/>
      </c>
      <c r="F187" s="8" t="str">
        <f aca="false">IF($A187="","",'Employee List'!D187)</f>
        <v/>
      </c>
      <c r="G187" s="38" t="str">
        <f aca="false">IF($A187="","",IF('Employee List'!I187="","",'Employee List'!I187))</f>
        <v/>
      </c>
      <c r="H187" s="38" t="str">
        <f aca="false">IF(OR($A187="",G187=""),"",G187+Settings!$C$13)</f>
        <v/>
      </c>
      <c r="I187" s="38" t="str">
        <f aca="false">IF(H187="","",MAX(H187,DATE(LvYear,1,1)))</f>
        <v/>
      </c>
      <c r="J187" s="38" t="str">
        <f aca="false">IF($A187="","",IF('Employee List'!J187="",DATE(LvYear,12,31),MIN('Employee List'!J187,DATE(LvYear,12,31))))</f>
        <v/>
      </c>
      <c r="K187" s="39" t="str">
        <f aca="false">IF(OR(I187="",J187=""),"",MAX(0,J187-I187+1))</f>
        <v/>
      </c>
      <c r="L187" s="16" t="str">
        <f aca="false">IF($A187="","",IF(AND(ISNUMBER(K187),K187=0),0,Settings!$C$10))</f>
        <v/>
      </c>
      <c r="M187" s="16" t="str">
        <f aca="false">IF($A187="","",IF(AND(ISNUMBER(K187),K187=0),0,Settings!$C$11))</f>
        <v/>
      </c>
      <c r="N187" s="40"/>
      <c r="O187" s="16" t="str">
        <f aca="false">IF($A187="","",FLOOR(Settings!$C$12/365*N(K187),0.5))</f>
        <v/>
      </c>
      <c r="P187" s="16" t="str">
        <f aca="false">IF($A187="","",IF(I187="",N(N187),FLOOR(Settings!$C$12/365*MAX(0,MIN(LvAsOf,J187)-I187+1)+N(N187),0.5)))</f>
        <v/>
      </c>
      <c r="Q187" s="16" t="str">
        <f aca="false">IF($A187="","",Settings!$C$14)</f>
        <v/>
      </c>
      <c r="R187" s="16" t="str">
        <f aca="false">IF($A187="","",SUMIFS(Attendance!$AZ$6:$AZ$2405,Attendance!$B$6:$B$2405,$A187,Attendance!$A$6:$A$2405,"&gt;="&amp;DATE(LvYear,1,1),Attendance!$A$6:$A$2405,"&lt;="&amp;DATE(LvYear,12,31)))</f>
        <v/>
      </c>
      <c r="S187" s="16" t="str">
        <f aca="false">IF($A187="","",SUMIFS(Attendance!$AY$6:$AY$2405,Attendance!$B$6:$B$2405,$A187,Attendance!$A$6:$A$2405,"&gt;="&amp;DATE(LvYear,1,1),Attendance!$A$6:$A$2405,"&lt;="&amp;DATE(LvYear,12,31)))</f>
        <v/>
      </c>
      <c r="T187" s="16" t="str">
        <f aca="false">IF($A187="","",SUMIFS(Attendance!$AX$6:$AX$2405,Attendance!$B$6:$B$2405,$A187,Attendance!$A$6:$A$2405,"&gt;="&amp;DATE(LvYear,1,1),Attendance!$A$6:$A$2405,"&lt;="&amp;DATE(LvYear,12,31)))</f>
        <v/>
      </c>
      <c r="U187" s="16" t="str">
        <f aca="false">IF($A187="","",SUMIFS(Attendance!$AW$6:$AW$2405,Attendance!$B$6:$B$2405,$A187,Attendance!$A$6:$A$2405,"&gt;="&amp;DATE(LvYear,1,1),Attendance!$A$6:$A$2405,"&lt;="&amp;DATE(LvYear,12,31)))</f>
        <v/>
      </c>
      <c r="V187" s="16" t="str">
        <f aca="false">IF($A187="","",L187-R187)</f>
        <v/>
      </c>
      <c r="W187" s="16" t="str">
        <f aca="false">IF($A187="","",M187-S187)</f>
        <v/>
      </c>
      <c r="X187" s="16" t="str">
        <f aca="false">IF($A187="","",P187-T187)</f>
        <v/>
      </c>
      <c r="Y187" s="16" t="str">
        <f aca="false">IF($A187="","",Q187-U187)</f>
        <v/>
      </c>
      <c r="Z187" s="16" t="str">
        <f aca="false">IF($A187="","",V187+W187+X187)</f>
        <v/>
      </c>
      <c r="AA187" s="16" t="str">
        <f aca="false">IF($A187="","",O187+N(N187)-T187)</f>
        <v/>
      </c>
      <c r="AB187" s="8" t="str">
        <f aca="false">IF($A187="","","CL "&amp;V187&amp;" | SL "&amp;W187&amp;" | PL "&amp;X187&amp;" | TR "&amp;Y187)</f>
        <v/>
      </c>
      <c r="AC187" s="15" t="str">
        <f aca="false">IF($A187="","",IF(F187="Exited","EXITED",IF(AND(ISNUMBER(K187),K187=0),"NOT ELIGIBLE",IF(MIN(V187:X187)&lt;0,"OVER-USED",IF(Z187&lt;=Settings!$C$15,"LOW","OK")))))</f>
        <v/>
      </c>
      <c r="AD187" s="16" t="str">
        <f aca="false">IF(OR(AC187="OVER-USED",AC187="LOW"),COUNTIF(AC$6:AC187,"OVER-USED")+COUNTIF(AC$6:AC187,"LOW"),"")</f>
        <v/>
      </c>
    </row>
    <row r="188" customFormat="false" ht="15" hidden="false" customHeight="false" outlineLevel="0" collapsed="false">
      <c r="A188" s="8" t="str">
        <f aca="false">IF('Employee List'!B188="","",'Employee List'!B188)</f>
        <v/>
      </c>
      <c r="B188" s="8" t="str">
        <f aca="false">IF($A188="","",'Employee List'!C188)</f>
        <v/>
      </c>
      <c r="C188" s="8" t="str">
        <f aca="false">IF($A188="","",'Employee List'!E188&amp;"")</f>
        <v/>
      </c>
      <c r="D188" s="8" t="str">
        <f aca="false">IF($A188="","",'Employee List'!F188&amp;"")</f>
        <v/>
      </c>
      <c r="E188" s="8" t="str">
        <f aca="false">IF($A188="","",'Employee List'!G188&amp;"")</f>
        <v/>
      </c>
      <c r="F188" s="8" t="str">
        <f aca="false">IF($A188="","",'Employee List'!D188)</f>
        <v/>
      </c>
      <c r="G188" s="38" t="str">
        <f aca="false">IF($A188="","",IF('Employee List'!I188="","",'Employee List'!I188))</f>
        <v/>
      </c>
      <c r="H188" s="38" t="str">
        <f aca="false">IF(OR($A188="",G188=""),"",G188+Settings!$C$13)</f>
        <v/>
      </c>
      <c r="I188" s="38" t="str">
        <f aca="false">IF(H188="","",MAX(H188,DATE(LvYear,1,1)))</f>
        <v/>
      </c>
      <c r="J188" s="38" t="str">
        <f aca="false">IF($A188="","",IF('Employee List'!J188="",DATE(LvYear,12,31),MIN('Employee List'!J188,DATE(LvYear,12,31))))</f>
        <v/>
      </c>
      <c r="K188" s="39" t="str">
        <f aca="false">IF(OR(I188="",J188=""),"",MAX(0,J188-I188+1))</f>
        <v/>
      </c>
      <c r="L188" s="16" t="str">
        <f aca="false">IF($A188="","",IF(AND(ISNUMBER(K188),K188=0),0,Settings!$C$10))</f>
        <v/>
      </c>
      <c r="M188" s="16" t="str">
        <f aca="false">IF($A188="","",IF(AND(ISNUMBER(K188),K188=0),0,Settings!$C$11))</f>
        <v/>
      </c>
      <c r="N188" s="40"/>
      <c r="O188" s="16" t="str">
        <f aca="false">IF($A188="","",FLOOR(Settings!$C$12/365*N(K188),0.5))</f>
        <v/>
      </c>
      <c r="P188" s="16" t="str">
        <f aca="false">IF($A188="","",IF(I188="",N(N188),FLOOR(Settings!$C$12/365*MAX(0,MIN(LvAsOf,J188)-I188+1)+N(N188),0.5)))</f>
        <v/>
      </c>
      <c r="Q188" s="16" t="str">
        <f aca="false">IF($A188="","",Settings!$C$14)</f>
        <v/>
      </c>
      <c r="R188" s="16" t="str">
        <f aca="false">IF($A188="","",SUMIFS(Attendance!$AZ$6:$AZ$2405,Attendance!$B$6:$B$2405,$A188,Attendance!$A$6:$A$2405,"&gt;="&amp;DATE(LvYear,1,1),Attendance!$A$6:$A$2405,"&lt;="&amp;DATE(LvYear,12,31)))</f>
        <v/>
      </c>
      <c r="S188" s="16" t="str">
        <f aca="false">IF($A188="","",SUMIFS(Attendance!$AY$6:$AY$2405,Attendance!$B$6:$B$2405,$A188,Attendance!$A$6:$A$2405,"&gt;="&amp;DATE(LvYear,1,1),Attendance!$A$6:$A$2405,"&lt;="&amp;DATE(LvYear,12,31)))</f>
        <v/>
      </c>
      <c r="T188" s="16" t="str">
        <f aca="false">IF($A188="","",SUMIFS(Attendance!$AX$6:$AX$2405,Attendance!$B$6:$B$2405,$A188,Attendance!$A$6:$A$2405,"&gt;="&amp;DATE(LvYear,1,1),Attendance!$A$6:$A$2405,"&lt;="&amp;DATE(LvYear,12,31)))</f>
        <v/>
      </c>
      <c r="U188" s="16" t="str">
        <f aca="false">IF($A188="","",SUMIFS(Attendance!$AW$6:$AW$2405,Attendance!$B$6:$B$2405,$A188,Attendance!$A$6:$A$2405,"&gt;="&amp;DATE(LvYear,1,1),Attendance!$A$6:$A$2405,"&lt;="&amp;DATE(LvYear,12,31)))</f>
        <v/>
      </c>
      <c r="V188" s="16" t="str">
        <f aca="false">IF($A188="","",L188-R188)</f>
        <v/>
      </c>
      <c r="W188" s="16" t="str">
        <f aca="false">IF($A188="","",M188-S188)</f>
        <v/>
      </c>
      <c r="X188" s="16" t="str">
        <f aca="false">IF($A188="","",P188-T188)</f>
        <v/>
      </c>
      <c r="Y188" s="16" t="str">
        <f aca="false">IF($A188="","",Q188-U188)</f>
        <v/>
      </c>
      <c r="Z188" s="16" t="str">
        <f aca="false">IF($A188="","",V188+W188+X188)</f>
        <v/>
      </c>
      <c r="AA188" s="16" t="str">
        <f aca="false">IF($A188="","",O188+N(N188)-T188)</f>
        <v/>
      </c>
      <c r="AB188" s="8" t="str">
        <f aca="false">IF($A188="","","CL "&amp;V188&amp;" | SL "&amp;W188&amp;" | PL "&amp;X188&amp;" | TR "&amp;Y188)</f>
        <v/>
      </c>
      <c r="AC188" s="15" t="str">
        <f aca="false">IF($A188="","",IF(F188="Exited","EXITED",IF(AND(ISNUMBER(K188),K188=0),"NOT ELIGIBLE",IF(MIN(V188:X188)&lt;0,"OVER-USED",IF(Z188&lt;=Settings!$C$15,"LOW","OK")))))</f>
        <v/>
      </c>
      <c r="AD188" s="16" t="str">
        <f aca="false">IF(OR(AC188="OVER-USED",AC188="LOW"),COUNTIF(AC$6:AC188,"OVER-USED")+COUNTIF(AC$6:AC188,"LOW"),"")</f>
        <v/>
      </c>
    </row>
    <row r="189" customFormat="false" ht="15" hidden="false" customHeight="false" outlineLevel="0" collapsed="false">
      <c r="A189" s="8" t="str">
        <f aca="false">IF('Employee List'!B189="","",'Employee List'!B189)</f>
        <v/>
      </c>
      <c r="B189" s="8" t="str">
        <f aca="false">IF($A189="","",'Employee List'!C189)</f>
        <v/>
      </c>
      <c r="C189" s="8" t="str">
        <f aca="false">IF($A189="","",'Employee List'!E189&amp;"")</f>
        <v/>
      </c>
      <c r="D189" s="8" t="str">
        <f aca="false">IF($A189="","",'Employee List'!F189&amp;"")</f>
        <v/>
      </c>
      <c r="E189" s="8" t="str">
        <f aca="false">IF($A189="","",'Employee List'!G189&amp;"")</f>
        <v/>
      </c>
      <c r="F189" s="8" t="str">
        <f aca="false">IF($A189="","",'Employee List'!D189)</f>
        <v/>
      </c>
      <c r="G189" s="38" t="str">
        <f aca="false">IF($A189="","",IF('Employee List'!I189="","",'Employee List'!I189))</f>
        <v/>
      </c>
      <c r="H189" s="38" t="str">
        <f aca="false">IF(OR($A189="",G189=""),"",G189+Settings!$C$13)</f>
        <v/>
      </c>
      <c r="I189" s="38" t="str">
        <f aca="false">IF(H189="","",MAX(H189,DATE(LvYear,1,1)))</f>
        <v/>
      </c>
      <c r="J189" s="38" t="str">
        <f aca="false">IF($A189="","",IF('Employee List'!J189="",DATE(LvYear,12,31),MIN('Employee List'!J189,DATE(LvYear,12,31))))</f>
        <v/>
      </c>
      <c r="K189" s="39" t="str">
        <f aca="false">IF(OR(I189="",J189=""),"",MAX(0,J189-I189+1))</f>
        <v/>
      </c>
      <c r="L189" s="16" t="str">
        <f aca="false">IF($A189="","",IF(AND(ISNUMBER(K189),K189=0),0,Settings!$C$10))</f>
        <v/>
      </c>
      <c r="M189" s="16" t="str">
        <f aca="false">IF($A189="","",IF(AND(ISNUMBER(K189),K189=0),0,Settings!$C$11))</f>
        <v/>
      </c>
      <c r="N189" s="40"/>
      <c r="O189" s="16" t="str">
        <f aca="false">IF($A189="","",FLOOR(Settings!$C$12/365*N(K189),0.5))</f>
        <v/>
      </c>
      <c r="P189" s="16" t="str">
        <f aca="false">IF($A189="","",IF(I189="",N(N189),FLOOR(Settings!$C$12/365*MAX(0,MIN(LvAsOf,J189)-I189+1)+N(N189),0.5)))</f>
        <v/>
      </c>
      <c r="Q189" s="16" t="str">
        <f aca="false">IF($A189="","",Settings!$C$14)</f>
        <v/>
      </c>
      <c r="R189" s="16" t="str">
        <f aca="false">IF($A189="","",SUMIFS(Attendance!$AZ$6:$AZ$2405,Attendance!$B$6:$B$2405,$A189,Attendance!$A$6:$A$2405,"&gt;="&amp;DATE(LvYear,1,1),Attendance!$A$6:$A$2405,"&lt;="&amp;DATE(LvYear,12,31)))</f>
        <v/>
      </c>
      <c r="S189" s="16" t="str">
        <f aca="false">IF($A189="","",SUMIFS(Attendance!$AY$6:$AY$2405,Attendance!$B$6:$B$2405,$A189,Attendance!$A$6:$A$2405,"&gt;="&amp;DATE(LvYear,1,1),Attendance!$A$6:$A$2405,"&lt;="&amp;DATE(LvYear,12,31)))</f>
        <v/>
      </c>
      <c r="T189" s="16" t="str">
        <f aca="false">IF($A189="","",SUMIFS(Attendance!$AX$6:$AX$2405,Attendance!$B$6:$B$2405,$A189,Attendance!$A$6:$A$2405,"&gt;="&amp;DATE(LvYear,1,1),Attendance!$A$6:$A$2405,"&lt;="&amp;DATE(LvYear,12,31)))</f>
        <v/>
      </c>
      <c r="U189" s="16" t="str">
        <f aca="false">IF($A189="","",SUMIFS(Attendance!$AW$6:$AW$2405,Attendance!$B$6:$B$2405,$A189,Attendance!$A$6:$A$2405,"&gt;="&amp;DATE(LvYear,1,1),Attendance!$A$6:$A$2405,"&lt;="&amp;DATE(LvYear,12,31)))</f>
        <v/>
      </c>
      <c r="V189" s="16" t="str">
        <f aca="false">IF($A189="","",L189-R189)</f>
        <v/>
      </c>
      <c r="W189" s="16" t="str">
        <f aca="false">IF($A189="","",M189-S189)</f>
        <v/>
      </c>
      <c r="X189" s="16" t="str">
        <f aca="false">IF($A189="","",P189-T189)</f>
        <v/>
      </c>
      <c r="Y189" s="16" t="str">
        <f aca="false">IF($A189="","",Q189-U189)</f>
        <v/>
      </c>
      <c r="Z189" s="16" t="str">
        <f aca="false">IF($A189="","",V189+W189+X189)</f>
        <v/>
      </c>
      <c r="AA189" s="16" t="str">
        <f aca="false">IF($A189="","",O189+N(N189)-T189)</f>
        <v/>
      </c>
      <c r="AB189" s="8" t="str">
        <f aca="false">IF($A189="","","CL "&amp;V189&amp;" | SL "&amp;W189&amp;" | PL "&amp;X189&amp;" | TR "&amp;Y189)</f>
        <v/>
      </c>
      <c r="AC189" s="15" t="str">
        <f aca="false">IF($A189="","",IF(F189="Exited","EXITED",IF(AND(ISNUMBER(K189),K189=0),"NOT ELIGIBLE",IF(MIN(V189:X189)&lt;0,"OVER-USED",IF(Z189&lt;=Settings!$C$15,"LOW","OK")))))</f>
        <v/>
      </c>
      <c r="AD189" s="16" t="str">
        <f aca="false">IF(OR(AC189="OVER-USED",AC189="LOW"),COUNTIF(AC$6:AC189,"OVER-USED")+COUNTIF(AC$6:AC189,"LOW"),"")</f>
        <v/>
      </c>
    </row>
    <row r="190" customFormat="false" ht="15" hidden="false" customHeight="false" outlineLevel="0" collapsed="false">
      <c r="A190" s="8" t="str">
        <f aca="false">IF('Employee List'!B190="","",'Employee List'!B190)</f>
        <v/>
      </c>
      <c r="B190" s="8" t="str">
        <f aca="false">IF($A190="","",'Employee List'!C190)</f>
        <v/>
      </c>
      <c r="C190" s="8" t="str">
        <f aca="false">IF($A190="","",'Employee List'!E190&amp;"")</f>
        <v/>
      </c>
      <c r="D190" s="8" t="str">
        <f aca="false">IF($A190="","",'Employee List'!F190&amp;"")</f>
        <v/>
      </c>
      <c r="E190" s="8" t="str">
        <f aca="false">IF($A190="","",'Employee List'!G190&amp;"")</f>
        <v/>
      </c>
      <c r="F190" s="8" t="str">
        <f aca="false">IF($A190="","",'Employee List'!D190)</f>
        <v/>
      </c>
      <c r="G190" s="38" t="str">
        <f aca="false">IF($A190="","",IF('Employee List'!I190="","",'Employee List'!I190))</f>
        <v/>
      </c>
      <c r="H190" s="38" t="str">
        <f aca="false">IF(OR($A190="",G190=""),"",G190+Settings!$C$13)</f>
        <v/>
      </c>
      <c r="I190" s="38" t="str">
        <f aca="false">IF(H190="","",MAX(H190,DATE(LvYear,1,1)))</f>
        <v/>
      </c>
      <c r="J190" s="38" t="str">
        <f aca="false">IF($A190="","",IF('Employee List'!J190="",DATE(LvYear,12,31),MIN('Employee List'!J190,DATE(LvYear,12,31))))</f>
        <v/>
      </c>
      <c r="K190" s="39" t="str">
        <f aca="false">IF(OR(I190="",J190=""),"",MAX(0,J190-I190+1))</f>
        <v/>
      </c>
      <c r="L190" s="16" t="str">
        <f aca="false">IF($A190="","",IF(AND(ISNUMBER(K190),K190=0),0,Settings!$C$10))</f>
        <v/>
      </c>
      <c r="M190" s="16" t="str">
        <f aca="false">IF($A190="","",IF(AND(ISNUMBER(K190),K190=0),0,Settings!$C$11))</f>
        <v/>
      </c>
      <c r="N190" s="40"/>
      <c r="O190" s="16" t="str">
        <f aca="false">IF($A190="","",FLOOR(Settings!$C$12/365*N(K190),0.5))</f>
        <v/>
      </c>
      <c r="P190" s="16" t="str">
        <f aca="false">IF($A190="","",IF(I190="",N(N190),FLOOR(Settings!$C$12/365*MAX(0,MIN(LvAsOf,J190)-I190+1)+N(N190),0.5)))</f>
        <v/>
      </c>
      <c r="Q190" s="16" t="str">
        <f aca="false">IF($A190="","",Settings!$C$14)</f>
        <v/>
      </c>
      <c r="R190" s="16" t="str">
        <f aca="false">IF($A190="","",SUMIFS(Attendance!$AZ$6:$AZ$2405,Attendance!$B$6:$B$2405,$A190,Attendance!$A$6:$A$2405,"&gt;="&amp;DATE(LvYear,1,1),Attendance!$A$6:$A$2405,"&lt;="&amp;DATE(LvYear,12,31)))</f>
        <v/>
      </c>
      <c r="S190" s="16" t="str">
        <f aca="false">IF($A190="","",SUMIFS(Attendance!$AY$6:$AY$2405,Attendance!$B$6:$B$2405,$A190,Attendance!$A$6:$A$2405,"&gt;="&amp;DATE(LvYear,1,1),Attendance!$A$6:$A$2405,"&lt;="&amp;DATE(LvYear,12,31)))</f>
        <v/>
      </c>
      <c r="T190" s="16" t="str">
        <f aca="false">IF($A190="","",SUMIFS(Attendance!$AX$6:$AX$2405,Attendance!$B$6:$B$2405,$A190,Attendance!$A$6:$A$2405,"&gt;="&amp;DATE(LvYear,1,1),Attendance!$A$6:$A$2405,"&lt;="&amp;DATE(LvYear,12,31)))</f>
        <v/>
      </c>
      <c r="U190" s="16" t="str">
        <f aca="false">IF($A190="","",SUMIFS(Attendance!$AW$6:$AW$2405,Attendance!$B$6:$B$2405,$A190,Attendance!$A$6:$A$2405,"&gt;="&amp;DATE(LvYear,1,1),Attendance!$A$6:$A$2405,"&lt;="&amp;DATE(LvYear,12,31)))</f>
        <v/>
      </c>
      <c r="V190" s="16" t="str">
        <f aca="false">IF($A190="","",L190-R190)</f>
        <v/>
      </c>
      <c r="W190" s="16" t="str">
        <f aca="false">IF($A190="","",M190-S190)</f>
        <v/>
      </c>
      <c r="X190" s="16" t="str">
        <f aca="false">IF($A190="","",P190-T190)</f>
        <v/>
      </c>
      <c r="Y190" s="16" t="str">
        <f aca="false">IF($A190="","",Q190-U190)</f>
        <v/>
      </c>
      <c r="Z190" s="16" t="str">
        <f aca="false">IF($A190="","",V190+W190+X190)</f>
        <v/>
      </c>
      <c r="AA190" s="16" t="str">
        <f aca="false">IF($A190="","",O190+N(N190)-T190)</f>
        <v/>
      </c>
      <c r="AB190" s="8" t="str">
        <f aca="false">IF($A190="","","CL "&amp;V190&amp;" | SL "&amp;W190&amp;" | PL "&amp;X190&amp;" | TR "&amp;Y190)</f>
        <v/>
      </c>
      <c r="AC190" s="15" t="str">
        <f aca="false">IF($A190="","",IF(F190="Exited","EXITED",IF(AND(ISNUMBER(K190),K190=0),"NOT ELIGIBLE",IF(MIN(V190:X190)&lt;0,"OVER-USED",IF(Z190&lt;=Settings!$C$15,"LOW","OK")))))</f>
        <v/>
      </c>
      <c r="AD190" s="16" t="str">
        <f aca="false">IF(OR(AC190="OVER-USED",AC190="LOW"),COUNTIF(AC$6:AC190,"OVER-USED")+COUNTIF(AC$6:AC190,"LOW"),"")</f>
        <v/>
      </c>
    </row>
    <row r="191" customFormat="false" ht="15" hidden="false" customHeight="false" outlineLevel="0" collapsed="false">
      <c r="A191" s="8" t="str">
        <f aca="false">IF('Employee List'!B191="","",'Employee List'!B191)</f>
        <v/>
      </c>
      <c r="B191" s="8" t="str">
        <f aca="false">IF($A191="","",'Employee List'!C191)</f>
        <v/>
      </c>
      <c r="C191" s="8" t="str">
        <f aca="false">IF($A191="","",'Employee List'!E191&amp;"")</f>
        <v/>
      </c>
      <c r="D191" s="8" t="str">
        <f aca="false">IF($A191="","",'Employee List'!F191&amp;"")</f>
        <v/>
      </c>
      <c r="E191" s="8" t="str">
        <f aca="false">IF($A191="","",'Employee List'!G191&amp;"")</f>
        <v/>
      </c>
      <c r="F191" s="8" t="str">
        <f aca="false">IF($A191="","",'Employee List'!D191)</f>
        <v/>
      </c>
      <c r="G191" s="38" t="str">
        <f aca="false">IF($A191="","",IF('Employee List'!I191="","",'Employee List'!I191))</f>
        <v/>
      </c>
      <c r="H191" s="38" t="str">
        <f aca="false">IF(OR($A191="",G191=""),"",G191+Settings!$C$13)</f>
        <v/>
      </c>
      <c r="I191" s="38" t="str">
        <f aca="false">IF(H191="","",MAX(H191,DATE(LvYear,1,1)))</f>
        <v/>
      </c>
      <c r="J191" s="38" t="str">
        <f aca="false">IF($A191="","",IF('Employee List'!J191="",DATE(LvYear,12,31),MIN('Employee List'!J191,DATE(LvYear,12,31))))</f>
        <v/>
      </c>
      <c r="K191" s="39" t="str">
        <f aca="false">IF(OR(I191="",J191=""),"",MAX(0,J191-I191+1))</f>
        <v/>
      </c>
      <c r="L191" s="16" t="str">
        <f aca="false">IF($A191="","",IF(AND(ISNUMBER(K191),K191=0),0,Settings!$C$10))</f>
        <v/>
      </c>
      <c r="M191" s="16" t="str">
        <f aca="false">IF($A191="","",IF(AND(ISNUMBER(K191),K191=0),0,Settings!$C$11))</f>
        <v/>
      </c>
      <c r="N191" s="40"/>
      <c r="O191" s="16" t="str">
        <f aca="false">IF($A191="","",FLOOR(Settings!$C$12/365*N(K191),0.5))</f>
        <v/>
      </c>
      <c r="P191" s="16" t="str">
        <f aca="false">IF($A191="","",IF(I191="",N(N191),FLOOR(Settings!$C$12/365*MAX(0,MIN(LvAsOf,J191)-I191+1)+N(N191),0.5)))</f>
        <v/>
      </c>
      <c r="Q191" s="16" t="str">
        <f aca="false">IF($A191="","",Settings!$C$14)</f>
        <v/>
      </c>
      <c r="R191" s="16" t="str">
        <f aca="false">IF($A191="","",SUMIFS(Attendance!$AZ$6:$AZ$2405,Attendance!$B$6:$B$2405,$A191,Attendance!$A$6:$A$2405,"&gt;="&amp;DATE(LvYear,1,1),Attendance!$A$6:$A$2405,"&lt;="&amp;DATE(LvYear,12,31)))</f>
        <v/>
      </c>
      <c r="S191" s="16" t="str">
        <f aca="false">IF($A191="","",SUMIFS(Attendance!$AY$6:$AY$2405,Attendance!$B$6:$B$2405,$A191,Attendance!$A$6:$A$2405,"&gt;="&amp;DATE(LvYear,1,1),Attendance!$A$6:$A$2405,"&lt;="&amp;DATE(LvYear,12,31)))</f>
        <v/>
      </c>
      <c r="T191" s="16" t="str">
        <f aca="false">IF($A191="","",SUMIFS(Attendance!$AX$6:$AX$2405,Attendance!$B$6:$B$2405,$A191,Attendance!$A$6:$A$2405,"&gt;="&amp;DATE(LvYear,1,1),Attendance!$A$6:$A$2405,"&lt;="&amp;DATE(LvYear,12,31)))</f>
        <v/>
      </c>
      <c r="U191" s="16" t="str">
        <f aca="false">IF($A191="","",SUMIFS(Attendance!$AW$6:$AW$2405,Attendance!$B$6:$B$2405,$A191,Attendance!$A$6:$A$2405,"&gt;="&amp;DATE(LvYear,1,1),Attendance!$A$6:$A$2405,"&lt;="&amp;DATE(LvYear,12,31)))</f>
        <v/>
      </c>
      <c r="V191" s="16" t="str">
        <f aca="false">IF($A191="","",L191-R191)</f>
        <v/>
      </c>
      <c r="W191" s="16" t="str">
        <f aca="false">IF($A191="","",M191-S191)</f>
        <v/>
      </c>
      <c r="X191" s="16" t="str">
        <f aca="false">IF($A191="","",P191-T191)</f>
        <v/>
      </c>
      <c r="Y191" s="16" t="str">
        <f aca="false">IF($A191="","",Q191-U191)</f>
        <v/>
      </c>
      <c r="Z191" s="16" t="str">
        <f aca="false">IF($A191="","",V191+W191+X191)</f>
        <v/>
      </c>
      <c r="AA191" s="16" t="str">
        <f aca="false">IF($A191="","",O191+N(N191)-T191)</f>
        <v/>
      </c>
      <c r="AB191" s="8" t="str">
        <f aca="false">IF($A191="","","CL "&amp;V191&amp;" | SL "&amp;W191&amp;" | PL "&amp;X191&amp;" | TR "&amp;Y191)</f>
        <v/>
      </c>
      <c r="AC191" s="15" t="str">
        <f aca="false">IF($A191="","",IF(F191="Exited","EXITED",IF(AND(ISNUMBER(K191),K191=0),"NOT ELIGIBLE",IF(MIN(V191:X191)&lt;0,"OVER-USED",IF(Z191&lt;=Settings!$C$15,"LOW","OK")))))</f>
        <v/>
      </c>
      <c r="AD191" s="16" t="str">
        <f aca="false">IF(OR(AC191="OVER-USED",AC191="LOW"),COUNTIF(AC$6:AC191,"OVER-USED")+COUNTIF(AC$6:AC191,"LOW"),"")</f>
        <v/>
      </c>
    </row>
    <row r="192" customFormat="false" ht="15" hidden="false" customHeight="false" outlineLevel="0" collapsed="false">
      <c r="A192" s="8" t="str">
        <f aca="false">IF('Employee List'!B192="","",'Employee List'!B192)</f>
        <v/>
      </c>
      <c r="B192" s="8" t="str">
        <f aca="false">IF($A192="","",'Employee List'!C192)</f>
        <v/>
      </c>
      <c r="C192" s="8" t="str">
        <f aca="false">IF($A192="","",'Employee List'!E192&amp;"")</f>
        <v/>
      </c>
      <c r="D192" s="8" t="str">
        <f aca="false">IF($A192="","",'Employee List'!F192&amp;"")</f>
        <v/>
      </c>
      <c r="E192" s="8" t="str">
        <f aca="false">IF($A192="","",'Employee List'!G192&amp;"")</f>
        <v/>
      </c>
      <c r="F192" s="8" t="str">
        <f aca="false">IF($A192="","",'Employee List'!D192)</f>
        <v/>
      </c>
      <c r="G192" s="38" t="str">
        <f aca="false">IF($A192="","",IF('Employee List'!I192="","",'Employee List'!I192))</f>
        <v/>
      </c>
      <c r="H192" s="38" t="str">
        <f aca="false">IF(OR($A192="",G192=""),"",G192+Settings!$C$13)</f>
        <v/>
      </c>
      <c r="I192" s="38" t="str">
        <f aca="false">IF(H192="","",MAX(H192,DATE(LvYear,1,1)))</f>
        <v/>
      </c>
      <c r="J192" s="38" t="str">
        <f aca="false">IF($A192="","",IF('Employee List'!J192="",DATE(LvYear,12,31),MIN('Employee List'!J192,DATE(LvYear,12,31))))</f>
        <v/>
      </c>
      <c r="K192" s="39" t="str">
        <f aca="false">IF(OR(I192="",J192=""),"",MAX(0,J192-I192+1))</f>
        <v/>
      </c>
      <c r="L192" s="16" t="str">
        <f aca="false">IF($A192="","",IF(AND(ISNUMBER(K192),K192=0),0,Settings!$C$10))</f>
        <v/>
      </c>
      <c r="M192" s="16" t="str">
        <f aca="false">IF($A192="","",IF(AND(ISNUMBER(K192),K192=0),0,Settings!$C$11))</f>
        <v/>
      </c>
      <c r="N192" s="40"/>
      <c r="O192" s="16" t="str">
        <f aca="false">IF($A192="","",FLOOR(Settings!$C$12/365*N(K192),0.5))</f>
        <v/>
      </c>
      <c r="P192" s="16" t="str">
        <f aca="false">IF($A192="","",IF(I192="",N(N192),FLOOR(Settings!$C$12/365*MAX(0,MIN(LvAsOf,J192)-I192+1)+N(N192),0.5)))</f>
        <v/>
      </c>
      <c r="Q192" s="16" t="str">
        <f aca="false">IF($A192="","",Settings!$C$14)</f>
        <v/>
      </c>
      <c r="R192" s="16" t="str">
        <f aca="false">IF($A192="","",SUMIFS(Attendance!$AZ$6:$AZ$2405,Attendance!$B$6:$B$2405,$A192,Attendance!$A$6:$A$2405,"&gt;="&amp;DATE(LvYear,1,1),Attendance!$A$6:$A$2405,"&lt;="&amp;DATE(LvYear,12,31)))</f>
        <v/>
      </c>
      <c r="S192" s="16" t="str">
        <f aca="false">IF($A192="","",SUMIFS(Attendance!$AY$6:$AY$2405,Attendance!$B$6:$B$2405,$A192,Attendance!$A$6:$A$2405,"&gt;="&amp;DATE(LvYear,1,1),Attendance!$A$6:$A$2405,"&lt;="&amp;DATE(LvYear,12,31)))</f>
        <v/>
      </c>
      <c r="T192" s="16" t="str">
        <f aca="false">IF($A192="","",SUMIFS(Attendance!$AX$6:$AX$2405,Attendance!$B$6:$B$2405,$A192,Attendance!$A$6:$A$2405,"&gt;="&amp;DATE(LvYear,1,1),Attendance!$A$6:$A$2405,"&lt;="&amp;DATE(LvYear,12,31)))</f>
        <v/>
      </c>
      <c r="U192" s="16" t="str">
        <f aca="false">IF($A192="","",SUMIFS(Attendance!$AW$6:$AW$2405,Attendance!$B$6:$B$2405,$A192,Attendance!$A$6:$A$2405,"&gt;="&amp;DATE(LvYear,1,1),Attendance!$A$6:$A$2405,"&lt;="&amp;DATE(LvYear,12,31)))</f>
        <v/>
      </c>
      <c r="V192" s="16" t="str">
        <f aca="false">IF($A192="","",L192-R192)</f>
        <v/>
      </c>
      <c r="W192" s="16" t="str">
        <f aca="false">IF($A192="","",M192-S192)</f>
        <v/>
      </c>
      <c r="X192" s="16" t="str">
        <f aca="false">IF($A192="","",P192-T192)</f>
        <v/>
      </c>
      <c r="Y192" s="16" t="str">
        <f aca="false">IF($A192="","",Q192-U192)</f>
        <v/>
      </c>
      <c r="Z192" s="16" t="str">
        <f aca="false">IF($A192="","",V192+W192+X192)</f>
        <v/>
      </c>
      <c r="AA192" s="16" t="str">
        <f aca="false">IF($A192="","",O192+N(N192)-T192)</f>
        <v/>
      </c>
      <c r="AB192" s="8" t="str">
        <f aca="false">IF($A192="","","CL "&amp;V192&amp;" | SL "&amp;W192&amp;" | PL "&amp;X192&amp;" | TR "&amp;Y192)</f>
        <v/>
      </c>
      <c r="AC192" s="15" t="str">
        <f aca="false">IF($A192="","",IF(F192="Exited","EXITED",IF(AND(ISNUMBER(K192),K192=0),"NOT ELIGIBLE",IF(MIN(V192:X192)&lt;0,"OVER-USED",IF(Z192&lt;=Settings!$C$15,"LOW","OK")))))</f>
        <v/>
      </c>
      <c r="AD192" s="16" t="str">
        <f aca="false">IF(OR(AC192="OVER-USED",AC192="LOW"),COUNTIF(AC$6:AC192,"OVER-USED")+COUNTIF(AC$6:AC192,"LOW"),"")</f>
        <v/>
      </c>
    </row>
    <row r="193" customFormat="false" ht="15" hidden="false" customHeight="false" outlineLevel="0" collapsed="false">
      <c r="A193" s="8" t="str">
        <f aca="false">IF('Employee List'!B193="","",'Employee List'!B193)</f>
        <v/>
      </c>
      <c r="B193" s="8" t="str">
        <f aca="false">IF($A193="","",'Employee List'!C193)</f>
        <v/>
      </c>
      <c r="C193" s="8" t="str">
        <f aca="false">IF($A193="","",'Employee List'!E193&amp;"")</f>
        <v/>
      </c>
      <c r="D193" s="8" t="str">
        <f aca="false">IF($A193="","",'Employee List'!F193&amp;"")</f>
        <v/>
      </c>
      <c r="E193" s="8" t="str">
        <f aca="false">IF($A193="","",'Employee List'!G193&amp;"")</f>
        <v/>
      </c>
      <c r="F193" s="8" t="str">
        <f aca="false">IF($A193="","",'Employee List'!D193)</f>
        <v/>
      </c>
      <c r="G193" s="38" t="str">
        <f aca="false">IF($A193="","",IF('Employee List'!I193="","",'Employee List'!I193))</f>
        <v/>
      </c>
      <c r="H193" s="38" t="str">
        <f aca="false">IF(OR($A193="",G193=""),"",G193+Settings!$C$13)</f>
        <v/>
      </c>
      <c r="I193" s="38" t="str">
        <f aca="false">IF(H193="","",MAX(H193,DATE(LvYear,1,1)))</f>
        <v/>
      </c>
      <c r="J193" s="38" t="str">
        <f aca="false">IF($A193="","",IF('Employee List'!J193="",DATE(LvYear,12,31),MIN('Employee List'!J193,DATE(LvYear,12,31))))</f>
        <v/>
      </c>
      <c r="K193" s="39" t="str">
        <f aca="false">IF(OR(I193="",J193=""),"",MAX(0,J193-I193+1))</f>
        <v/>
      </c>
      <c r="L193" s="16" t="str">
        <f aca="false">IF($A193="","",IF(AND(ISNUMBER(K193),K193=0),0,Settings!$C$10))</f>
        <v/>
      </c>
      <c r="M193" s="16" t="str">
        <f aca="false">IF($A193="","",IF(AND(ISNUMBER(K193),K193=0),0,Settings!$C$11))</f>
        <v/>
      </c>
      <c r="N193" s="40"/>
      <c r="O193" s="16" t="str">
        <f aca="false">IF($A193="","",FLOOR(Settings!$C$12/365*N(K193),0.5))</f>
        <v/>
      </c>
      <c r="P193" s="16" t="str">
        <f aca="false">IF($A193="","",IF(I193="",N(N193),FLOOR(Settings!$C$12/365*MAX(0,MIN(LvAsOf,J193)-I193+1)+N(N193),0.5)))</f>
        <v/>
      </c>
      <c r="Q193" s="16" t="str">
        <f aca="false">IF($A193="","",Settings!$C$14)</f>
        <v/>
      </c>
      <c r="R193" s="16" t="str">
        <f aca="false">IF($A193="","",SUMIFS(Attendance!$AZ$6:$AZ$2405,Attendance!$B$6:$B$2405,$A193,Attendance!$A$6:$A$2405,"&gt;="&amp;DATE(LvYear,1,1),Attendance!$A$6:$A$2405,"&lt;="&amp;DATE(LvYear,12,31)))</f>
        <v/>
      </c>
      <c r="S193" s="16" t="str">
        <f aca="false">IF($A193="","",SUMIFS(Attendance!$AY$6:$AY$2405,Attendance!$B$6:$B$2405,$A193,Attendance!$A$6:$A$2405,"&gt;="&amp;DATE(LvYear,1,1),Attendance!$A$6:$A$2405,"&lt;="&amp;DATE(LvYear,12,31)))</f>
        <v/>
      </c>
      <c r="T193" s="16" t="str">
        <f aca="false">IF($A193="","",SUMIFS(Attendance!$AX$6:$AX$2405,Attendance!$B$6:$B$2405,$A193,Attendance!$A$6:$A$2405,"&gt;="&amp;DATE(LvYear,1,1),Attendance!$A$6:$A$2405,"&lt;="&amp;DATE(LvYear,12,31)))</f>
        <v/>
      </c>
      <c r="U193" s="16" t="str">
        <f aca="false">IF($A193="","",SUMIFS(Attendance!$AW$6:$AW$2405,Attendance!$B$6:$B$2405,$A193,Attendance!$A$6:$A$2405,"&gt;="&amp;DATE(LvYear,1,1),Attendance!$A$6:$A$2405,"&lt;="&amp;DATE(LvYear,12,31)))</f>
        <v/>
      </c>
      <c r="V193" s="16" t="str">
        <f aca="false">IF($A193="","",L193-R193)</f>
        <v/>
      </c>
      <c r="W193" s="16" t="str">
        <f aca="false">IF($A193="","",M193-S193)</f>
        <v/>
      </c>
      <c r="X193" s="16" t="str">
        <f aca="false">IF($A193="","",P193-T193)</f>
        <v/>
      </c>
      <c r="Y193" s="16" t="str">
        <f aca="false">IF($A193="","",Q193-U193)</f>
        <v/>
      </c>
      <c r="Z193" s="16" t="str">
        <f aca="false">IF($A193="","",V193+W193+X193)</f>
        <v/>
      </c>
      <c r="AA193" s="16" t="str">
        <f aca="false">IF($A193="","",O193+N(N193)-T193)</f>
        <v/>
      </c>
      <c r="AB193" s="8" t="str">
        <f aca="false">IF($A193="","","CL "&amp;V193&amp;" | SL "&amp;W193&amp;" | PL "&amp;X193&amp;" | TR "&amp;Y193)</f>
        <v/>
      </c>
      <c r="AC193" s="15" t="str">
        <f aca="false">IF($A193="","",IF(F193="Exited","EXITED",IF(AND(ISNUMBER(K193),K193=0),"NOT ELIGIBLE",IF(MIN(V193:X193)&lt;0,"OVER-USED",IF(Z193&lt;=Settings!$C$15,"LOW","OK")))))</f>
        <v/>
      </c>
      <c r="AD193" s="16" t="str">
        <f aca="false">IF(OR(AC193="OVER-USED",AC193="LOW"),COUNTIF(AC$6:AC193,"OVER-USED")+COUNTIF(AC$6:AC193,"LOW"),"")</f>
        <v/>
      </c>
    </row>
    <row r="194" customFormat="false" ht="15" hidden="false" customHeight="false" outlineLevel="0" collapsed="false">
      <c r="A194" s="8" t="str">
        <f aca="false">IF('Employee List'!B194="","",'Employee List'!B194)</f>
        <v/>
      </c>
      <c r="B194" s="8" t="str">
        <f aca="false">IF($A194="","",'Employee List'!C194)</f>
        <v/>
      </c>
      <c r="C194" s="8" t="str">
        <f aca="false">IF($A194="","",'Employee List'!E194&amp;"")</f>
        <v/>
      </c>
      <c r="D194" s="8" t="str">
        <f aca="false">IF($A194="","",'Employee List'!F194&amp;"")</f>
        <v/>
      </c>
      <c r="E194" s="8" t="str">
        <f aca="false">IF($A194="","",'Employee List'!G194&amp;"")</f>
        <v/>
      </c>
      <c r="F194" s="8" t="str">
        <f aca="false">IF($A194="","",'Employee List'!D194)</f>
        <v/>
      </c>
      <c r="G194" s="38" t="str">
        <f aca="false">IF($A194="","",IF('Employee List'!I194="","",'Employee List'!I194))</f>
        <v/>
      </c>
      <c r="H194" s="38" t="str">
        <f aca="false">IF(OR($A194="",G194=""),"",G194+Settings!$C$13)</f>
        <v/>
      </c>
      <c r="I194" s="38" t="str">
        <f aca="false">IF(H194="","",MAX(H194,DATE(LvYear,1,1)))</f>
        <v/>
      </c>
      <c r="J194" s="38" t="str">
        <f aca="false">IF($A194="","",IF('Employee List'!J194="",DATE(LvYear,12,31),MIN('Employee List'!J194,DATE(LvYear,12,31))))</f>
        <v/>
      </c>
      <c r="K194" s="39" t="str">
        <f aca="false">IF(OR(I194="",J194=""),"",MAX(0,J194-I194+1))</f>
        <v/>
      </c>
      <c r="L194" s="16" t="str">
        <f aca="false">IF($A194="","",IF(AND(ISNUMBER(K194),K194=0),0,Settings!$C$10))</f>
        <v/>
      </c>
      <c r="M194" s="16" t="str">
        <f aca="false">IF($A194="","",IF(AND(ISNUMBER(K194),K194=0),0,Settings!$C$11))</f>
        <v/>
      </c>
      <c r="N194" s="40"/>
      <c r="O194" s="16" t="str">
        <f aca="false">IF($A194="","",FLOOR(Settings!$C$12/365*N(K194),0.5))</f>
        <v/>
      </c>
      <c r="P194" s="16" t="str">
        <f aca="false">IF($A194="","",IF(I194="",N(N194),FLOOR(Settings!$C$12/365*MAX(0,MIN(LvAsOf,J194)-I194+1)+N(N194),0.5)))</f>
        <v/>
      </c>
      <c r="Q194" s="16" t="str">
        <f aca="false">IF($A194="","",Settings!$C$14)</f>
        <v/>
      </c>
      <c r="R194" s="16" t="str">
        <f aca="false">IF($A194="","",SUMIFS(Attendance!$AZ$6:$AZ$2405,Attendance!$B$6:$B$2405,$A194,Attendance!$A$6:$A$2405,"&gt;="&amp;DATE(LvYear,1,1),Attendance!$A$6:$A$2405,"&lt;="&amp;DATE(LvYear,12,31)))</f>
        <v/>
      </c>
      <c r="S194" s="16" t="str">
        <f aca="false">IF($A194="","",SUMIFS(Attendance!$AY$6:$AY$2405,Attendance!$B$6:$B$2405,$A194,Attendance!$A$6:$A$2405,"&gt;="&amp;DATE(LvYear,1,1),Attendance!$A$6:$A$2405,"&lt;="&amp;DATE(LvYear,12,31)))</f>
        <v/>
      </c>
      <c r="T194" s="16" t="str">
        <f aca="false">IF($A194="","",SUMIFS(Attendance!$AX$6:$AX$2405,Attendance!$B$6:$B$2405,$A194,Attendance!$A$6:$A$2405,"&gt;="&amp;DATE(LvYear,1,1),Attendance!$A$6:$A$2405,"&lt;="&amp;DATE(LvYear,12,31)))</f>
        <v/>
      </c>
      <c r="U194" s="16" t="str">
        <f aca="false">IF($A194="","",SUMIFS(Attendance!$AW$6:$AW$2405,Attendance!$B$6:$B$2405,$A194,Attendance!$A$6:$A$2405,"&gt;="&amp;DATE(LvYear,1,1),Attendance!$A$6:$A$2405,"&lt;="&amp;DATE(LvYear,12,31)))</f>
        <v/>
      </c>
      <c r="V194" s="16" t="str">
        <f aca="false">IF($A194="","",L194-R194)</f>
        <v/>
      </c>
      <c r="W194" s="16" t="str">
        <f aca="false">IF($A194="","",M194-S194)</f>
        <v/>
      </c>
      <c r="X194" s="16" t="str">
        <f aca="false">IF($A194="","",P194-T194)</f>
        <v/>
      </c>
      <c r="Y194" s="16" t="str">
        <f aca="false">IF($A194="","",Q194-U194)</f>
        <v/>
      </c>
      <c r="Z194" s="16" t="str">
        <f aca="false">IF($A194="","",V194+W194+X194)</f>
        <v/>
      </c>
      <c r="AA194" s="16" t="str">
        <f aca="false">IF($A194="","",O194+N(N194)-T194)</f>
        <v/>
      </c>
      <c r="AB194" s="8" t="str">
        <f aca="false">IF($A194="","","CL "&amp;V194&amp;" | SL "&amp;W194&amp;" | PL "&amp;X194&amp;" | TR "&amp;Y194)</f>
        <v/>
      </c>
      <c r="AC194" s="15" t="str">
        <f aca="false">IF($A194="","",IF(F194="Exited","EXITED",IF(AND(ISNUMBER(K194),K194=0),"NOT ELIGIBLE",IF(MIN(V194:X194)&lt;0,"OVER-USED",IF(Z194&lt;=Settings!$C$15,"LOW","OK")))))</f>
        <v/>
      </c>
      <c r="AD194" s="16" t="str">
        <f aca="false">IF(OR(AC194="OVER-USED",AC194="LOW"),COUNTIF(AC$6:AC194,"OVER-USED")+COUNTIF(AC$6:AC194,"LOW"),"")</f>
        <v/>
      </c>
    </row>
    <row r="195" customFormat="false" ht="15" hidden="false" customHeight="false" outlineLevel="0" collapsed="false">
      <c r="A195" s="8" t="str">
        <f aca="false">IF('Employee List'!B195="","",'Employee List'!B195)</f>
        <v/>
      </c>
      <c r="B195" s="8" t="str">
        <f aca="false">IF($A195="","",'Employee List'!C195)</f>
        <v/>
      </c>
      <c r="C195" s="8" t="str">
        <f aca="false">IF($A195="","",'Employee List'!E195&amp;"")</f>
        <v/>
      </c>
      <c r="D195" s="8" t="str">
        <f aca="false">IF($A195="","",'Employee List'!F195&amp;"")</f>
        <v/>
      </c>
      <c r="E195" s="8" t="str">
        <f aca="false">IF($A195="","",'Employee List'!G195&amp;"")</f>
        <v/>
      </c>
      <c r="F195" s="8" t="str">
        <f aca="false">IF($A195="","",'Employee List'!D195)</f>
        <v/>
      </c>
      <c r="G195" s="38" t="str">
        <f aca="false">IF($A195="","",IF('Employee List'!I195="","",'Employee List'!I195))</f>
        <v/>
      </c>
      <c r="H195" s="38" t="str">
        <f aca="false">IF(OR($A195="",G195=""),"",G195+Settings!$C$13)</f>
        <v/>
      </c>
      <c r="I195" s="38" t="str">
        <f aca="false">IF(H195="","",MAX(H195,DATE(LvYear,1,1)))</f>
        <v/>
      </c>
      <c r="J195" s="38" t="str">
        <f aca="false">IF($A195="","",IF('Employee List'!J195="",DATE(LvYear,12,31),MIN('Employee List'!J195,DATE(LvYear,12,31))))</f>
        <v/>
      </c>
      <c r="K195" s="39" t="str">
        <f aca="false">IF(OR(I195="",J195=""),"",MAX(0,J195-I195+1))</f>
        <v/>
      </c>
      <c r="L195" s="16" t="str">
        <f aca="false">IF($A195="","",IF(AND(ISNUMBER(K195),K195=0),0,Settings!$C$10))</f>
        <v/>
      </c>
      <c r="M195" s="16" t="str">
        <f aca="false">IF($A195="","",IF(AND(ISNUMBER(K195),K195=0),0,Settings!$C$11))</f>
        <v/>
      </c>
      <c r="N195" s="40"/>
      <c r="O195" s="16" t="str">
        <f aca="false">IF($A195="","",FLOOR(Settings!$C$12/365*N(K195),0.5))</f>
        <v/>
      </c>
      <c r="P195" s="16" t="str">
        <f aca="false">IF($A195="","",IF(I195="",N(N195),FLOOR(Settings!$C$12/365*MAX(0,MIN(LvAsOf,J195)-I195+1)+N(N195),0.5)))</f>
        <v/>
      </c>
      <c r="Q195" s="16" t="str">
        <f aca="false">IF($A195="","",Settings!$C$14)</f>
        <v/>
      </c>
      <c r="R195" s="16" t="str">
        <f aca="false">IF($A195="","",SUMIFS(Attendance!$AZ$6:$AZ$2405,Attendance!$B$6:$B$2405,$A195,Attendance!$A$6:$A$2405,"&gt;="&amp;DATE(LvYear,1,1),Attendance!$A$6:$A$2405,"&lt;="&amp;DATE(LvYear,12,31)))</f>
        <v/>
      </c>
      <c r="S195" s="16" t="str">
        <f aca="false">IF($A195="","",SUMIFS(Attendance!$AY$6:$AY$2405,Attendance!$B$6:$B$2405,$A195,Attendance!$A$6:$A$2405,"&gt;="&amp;DATE(LvYear,1,1),Attendance!$A$6:$A$2405,"&lt;="&amp;DATE(LvYear,12,31)))</f>
        <v/>
      </c>
      <c r="T195" s="16" t="str">
        <f aca="false">IF($A195="","",SUMIFS(Attendance!$AX$6:$AX$2405,Attendance!$B$6:$B$2405,$A195,Attendance!$A$6:$A$2405,"&gt;="&amp;DATE(LvYear,1,1),Attendance!$A$6:$A$2405,"&lt;="&amp;DATE(LvYear,12,31)))</f>
        <v/>
      </c>
      <c r="U195" s="16" t="str">
        <f aca="false">IF($A195="","",SUMIFS(Attendance!$AW$6:$AW$2405,Attendance!$B$6:$B$2405,$A195,Attendance!$A$6:$A$2405,"&gt;="&amp;DATE(LvYear,1,1),Attendance!$A$6:$A$2405,"&lt;="&amp;DATE(LvYear,12,31)))</f>
        <v/>
      </c>
      <c r="V195" s="16" t="str">
        <f aca="false">IF($A195="","",L195-R195)</f>
        <v/>
      </c>
      <c r="W195" s="16" t="str">
        <f aca="false">IF($A195="","",M195-S195)</f>
        <v/>
      </c>
      <c r="X195" s="16" t="str">
        <f aca="false">IF($A195="","",P195-T195)</f>
        <v/>
      </c>
      <c r="Y195" s="16" t="str">
        <f aca="false">IF($A195="","",Q195-U195)</f>
        <v/>
      </c>
      <c r="Z195" s="16" t="str">
        <f aca="false">IF($A195="","",V195+W195+X195)</f>
        <v/>
      </c>
      <c r="AA195" s="16" t="str">
        <f aca="false">IF($A195="","",O195+N(N195)-T195)</f>
        <v/>
      </c>
      <c r="AB195" s="8" t="str">
        <f aca="false">IF($A195="","","CL "&amp;V195&amp;" | SL "&amp;W195&amp;" | PL "&amp;X195&amp;" | TR "&amp;Y195)</f>
        <v/>
      </c>
      <c r="AC195" s="15" t="str">
        <f aca="false">IF($A195="","",IF(F195="Exited","EXITED",IF(AND(ISNUMBER(K195),K195=0),"NOT ELIGIBLE",IF(MIN(V195:X195)&lt;0,"OVER-USED",IF(Z195&lt;=Settings!$C$15,"LOW","OK")))))</f>
        <v/>
      </c>
      <c r="AD195" s="16" t="str">
        <f aca="false">IF(OR(AC195="OVER-USED",AC195="LOW"),COUNTIF(AC$6:AC195,"OVER-USED")+COUNTIF(AC$6:AC195,"LOW"),"")</f>
        <v/>
      </c>
    </row>
    <row r="196" customFormat="false" ht="15" hidden="false" customHeight="false" outlineLevel="0" collapsed="false">
      <c r="A196" s="8" t="str">
        <f aca="false">IF('Employee List'!B196="","",'Employee List'!B196)</f>
        <v/>
      </c>
      <c r="B196" s="8" t="str">
        <f aca="false">IF($A196="","",'Employee List'!C196)</f>
        <v/>
      </c>
      <c r="C196" s="8" t="str">
        <f aca="false">IF($A196="","",'Employee List'!E196&amp;"")</f>
        <v/>
      </c>
      <c r="D196" s="8" t="str">
        <f aca="false">IF($A196="","",'Employee List'!F196&amp;"")</f>
        <v/>
      </c>
      <c r="E196" s="8" t="str">
        <f aca="false">IF($A196="","",'Employee List'!G196&amp;"")</f>
        <v/>
      </c>
      <c r="F196" s="8" t="str">
        <f aca="false">IF($A196="","",'Employee List'!D196)</f>
        <v/>
      </c>
      <c r="G196" s="38" t="str">
        <f aca="false">IF($A196="","",IF('Employee List'!I196="","",'Employee List'!I196))</f>
        <v/>
      </c>
      <c r="H196" s="38" t="str">
        <f aca="false">IF(OR($A196="",G196=""),"",G196+Settings!$C$13)</f>
        <v/>
      </c>
      <c r="I196" s="38" t="str">
        <f aca="false">IF(H196="","",MAX(H196,DATE(LvYear,1,1)))</f>
        <v/>
      </c>
      <c r="J196" s="38" t="str">
        <f aca="false">IF($A196="","",IF('Employee List'!J196="",DATE(LvYear,12,31),MIN('Employee List'!J196,DATE(LvYear,12,31))))</f>
        <v/>
      </c>
      <c r="K196" s="39" t="str">
        <f aca="false">IF(OR(I196="",J196=""),"",MAX(0,J196-I196+1))</f>
        <v/>
      </c>
      <c r="L196" s="16" t="str">
        <f aca="false">IF($A196="","",IF(AND(ISNUMBER(K196),K196=0),0,Settings!$C$10))</f>
        <v/>
      </c>
      <c r="M196" s="16" t="str">
        <f aca="false">IF($A196="","",IF(AND(ISNUMBER(K196),K196=0),0,Settings!$C$11))</f>
        <v/>
      </c>
      <c r="N196" s="40"/>
      <c r="O196" s="16" t="str">
        <f aca="false">IF($A196="","",FLOOR(Settings!$C$12/365*N(K196),0.5))</f>
        <v/>
      </c>
      <c r="P196" s="16" t="str">
        <f aca="false">IF($A196="","",IF(I196="",N(N196),FLOOR(Settings!$C$12/365*MAX(0,MIN(LvAsOf,J196)-I196+1)+N(N196),0.5)))</f>
        <v/>
      </c>
      <c r="Q196" s="16" t="str">
        <f aca="false">IF($A196="","",Settings!$C$14)</f>
        <v/>
      </c>
      <c r="R196" s="16" t="str">
        <f aca="false">IF($A196="","",SUMIFS(Attendance!$AZ$6:$AZ$2405,Attendance!$B$6:$B$2405,$A196,Attendance!$A$6:$A$2405,"&gt;="&amp;DATE(LvYear,1,1),Attendance!$A$6:$A$2405,"&lt;="&amp;DATE(LvYear,12,31)))</f>
        <v/>
      </c>
      <c r="S196" s="16" t="str">
        <f aca="false">IF($A196="","",SUMIFS(Attendance!$AY$6:$AY$2405,Attendance!$B$6:$B$2405,$A196,Attendance!$A$6:$A$2405,"&gt;="&amp;DATE(LvYear,1,1),Attendance!$A$6:$A$2405,"&lt;="&amp;DATE(LvYear,12,31)))</f>
        <v/>
      </c>
      <c r="T196" s="16" t="str">
        <f aca="false">IF($A196="","",SUMIFS(Attendance!$AX$6:$AX$2405,Attendance!$B$6:$B$2405,$A196,Attendance!$A$6:$A$2405,"&gt;="&amp;DATE(LvYear,1,1),Attendance!$A$6:$A$2405,"&lt;="&amp;DATE(LvYear,12,31)))</f>
        <v/>
      </c>
      <c r="U196" s="16" t="str">
        <f aca="false">IF($A196="","",SUMIFS(Attendance!$AW$6:$AW$2405,Attendance!$B$6:$B$2405,$A196,Attendance!$A$6:$A$2405,"&gt;="&amp;DATE(LvYear,1,1),Attendance!$A$6:$A$2405,"&lt;="&amp;DATE(LvYear,12,31)))</f>
        <v/>
      </c>
      <c r="V196" s="16" t="str">
        <f aca="false">IF($A196="","",L196-R196)</f>
        <v/>
      </c>
      <c r="W196" s="16" t="str">
        <f aca="false">IF($A196="","",M196-S196)</f>
        <v/>
      </c>
      <c r="X196" s="16" t="str">
        <f aca="false">IF($A196="","",P196-T196)</f>
        <v/>
      </c>
      <c r="Y196" s="16" t="str">
        <f aca="false">IF($A196="","",Q196-U196)</f>
        <v/>
      </c>
      <c r="Z196" s="16" t="str">
        <f aca="false">IF($A196="","",V196+W196+X196)</f>
        <v/>
      </c>
      <c r="AA196" s="16" t="str">
        <f aca="false">IF($A196="","",O196+N(N196)-T196)</f>
        <v/>
      </c>
      <c r="AB196" s="8" t="str">
        <f aca="false">IF($A196="","","CL "&amp;V196&amp;" | SL "&amp;W196&amp;" | PL "&amp;X196&amp;" | TR "&amp;Y196)</f>
        <v/>
      </c>
      <c r="AC196" s="15" t="str">
        <f aca="false">IF($A196="","",IF(F196="Exited","EXITED",IF(AND(ISNUMBER(K196),K196=0),"NOT ELIGIBLE",IF(MIN(V196:X196)&lt;0,"OVER-USED",IF(Z196&lt;=Settings!$C$15,"LOW","OK")))))</f>
        <v/>
      </c>
      <c r="AD196" s="16" t="str">
        <f aca="false">IF(OR(AC196="OVER-USED",AC196="LOW"),COUNTIF(AC$6:AC196,"OVER-USED")+COUNTIF(AC$6:AC196,"LOW"),"")</f>
        <v/>
      </c>
    </row>
    <row r="197" customFormat="false" ht="15" hidden="false" customHeight="false" outlineLevel="0" collapsed="false">
      <c r="A197" s="8" t="str">
        <f aca="false">IF('Employee List'!B197="","",'Employee List'!B197)</f>
        <v/>
      </c>
      <c r="B197" s="8" t="str">
        <f aca="false">IF($A197="","",'Employee List'!C197)</f>
        <v/>
      </c>
      <c r="C197" s="8" t="str">
        <f aca="false">IF($A197="","",'Employee List'!E197&amp;"")</f>
        <v/>
      </c>
      <c r="D197" s="8" t="str">
        <f aca="false">IF($A197="","",'Employee List'!F197&amp;"")</f>
        <v/>
      </c>
      <c r="E197" s="8" t="str">
        <f aca="false">IF($A197="","",'Employee List'!G197&amp;"")</f>
        <v/>
      </c>
      <c r="F197" s="8" t="str">
        <f aca="false">IF($A197="","",'Employee List'!D197)</f>
        <v/>
      </c>
      <c r="G197" s="38" t="str">
        <f aca="false">IF($A197="","",IF('Employee List'!I197="","",'Employee List'!I197))</f>
        <v/>
      </c>
      <c r="H197" s="38" t="str">
        <f aca="false">IF(OR($A197="",G197=""),"",G197+Settings!$C$13)</f>
        <v/>
      </c>
      <c r="I197" s="38" t="str">
        <f aca="false">IF(H197="","",MAX(H197,DATE(LvYear,1,1)))</f>
        <v/>
      </c>
      <c r="J197" s="38" t="str">
        <f aca="false">IF($A197="","",IF('Employee List'!J197="",DATE(LvYear,12,31),MIN('Employee List'!J197,DATE(LvYear,12,31))))</f>
        <v/>
      </c>
      <c r="K197" s="39" t="str">
        <f aca="false">IF(OR(I197="",J197=""),"",MAX(0,J197-I197+1))</f>
        <v/>
      </c>
      <c r="L197" s="16" t="str">
        <f aca="false">IF($A197="","",IF(AND(ISNUMBER(K197),K197=0),0,Settings!$C$10))</f>
        <v/>
      </c>
      <c r="M197" s="16" t="str">
        <f aca="false">IF($A197="","",IF(AND(ISNUMBER(K197),K197=0),0,Settings!$C$11))</f>
        <v/>
      </c>
      <c r="N197" s="40"/>
      <c r="O197" s="16" t="str">
        <f aca="false">IF($A197="","",FLOOR(Settings!$C$12/365*N(K197),0.5))</f>
        <v/>
      </c>
      <c r="P197" s="16" t="str">
        <f aca="false">IF($A197="","",IF(I197="",N(N197),FLOOR(Settings!$C$12/365*MAX(0,MIN(LvAsOf,J197)-I197+1)+N(N197),0.5)))</f>
        <v/>
      </c>
      <c r="Q197" s="16" t="str">
        <f aca="false">IF($A197="","",Settings!$C$14)</f>
        <v/>
      </c>
      <c r="R197" s="16" t="str">
        <f aca="false">IF($A197="","",SUMIFS(Attendance!$AZ$6:$AZ$2405,Attendance!$B$6:$B$2405,$A197,Attendance!$A$6:$A$2405,"&gt;="&amp;DATE(LvYear,1,1),Attendance!$A$6:$A$2405,"&lt;="&amp;DATE(LvYear,12,31)))</f>
        <v/>
      </c>
      <c r="S197" s="16" t="str">
        <f aca="false">IF($A197="","",SUMIFS(Attendance!$AY$6:$AY$2405,Attendance!$B$6:$B$2405,$A197,Attendance!$A$6:$A$2405,"&gt;="&amp;DATE(LvYear,1,1),Attendance!$A$6:$A$2405,"&lt;="&amp;DATE(LvYear,12,31)))</f>
        <v/>
      </c>
      <c r="T197" s="16" t="str">
        <f aca="false">IF($A197="","",SUMIFS(Attendance!$AX$6:$AX$2405,Attendance!$B$6:$B$2405,$A197,Attendance!$A$6:$A$2405,"&gt;="&amp;DATE(LvYear,1,1),Attendance!$A$6:$A$2405,"&lt;="&amp;DATE(LvYear,12,31)))</f>
        <v/>
      </c>
      <c r="U197" s="16" t="str">
        <f aca="false">IF($A197="","",SUMIFS(Attendance!$AW$6:$AW$2405,Attendance!$B$6:$B$2405,$A197,Attendance!$A$6:$A$2405,"&gt;="&amp;DATE(LvYear,1,1),Attendance!$A$6:$A$2405,"&lt;="&amp;DATE(LvYear,12,31)))</f>
        <v/>
      </c>
      <c r="V197" s="16" t="str">
        <f aca="false">IF($A197="","",L197-R197)</f>
        <v/>
      </c>
      <c r="W197" s="16" t="str">
        <f aca="false">IF($A197="","",M197-S197)</f>
        <v/>
      </c>
      <c r="X197" s="16" t="str">
        <f aca="false">IF($A197="","",P197-T197)</f>
        <v/>
      </c>
      <c r="Y197" s="16" t="str">
        <f aca="false">IF($A197="","",Q197-U197)</f>
        <v/>
      </c>
      <c r="Z197" s="16" t="str">
        <f aca="false">IF($A197="","",V197+W197+X197)</f>
        <v/>
      </c>
      <c r="AA197" s="16" t="str">
        <f aca="false">IF($A197="","",O197+N(N197)-T197)</f>
        <v/>
      </c>
      <c r="AB197" s="8" t="str">
        <f aca="false">IF($A197="","","CL "&amp;V197&amp;" | SL "&amp;W197&amp;" | PL "&amp;X197&amp;" | TR "&amp;Y197)</f>
        <v/>
      </c>
      <c r="AC197" s="15" t="str">
        <f aca="false">IF($A197="","",IF(F197="Exited","EXITED",IF(AND(ISNUMBER(K197),K197=0),"NOT ELIGIBLE",IF(MIN(V197:X197)&lt;0,"OVER-USED",IF(Z197&lt;=Settings!$C$15,"LOW","OK")))))</f>
        <v/>
      </c>
      <c r="AD197" s="16" t="str">
        <f aca="false">IF(OR(AC197="OVER-USED",AC197="LOW"),COUNTIF(AC$6:AC197,"OVER-USED")+COUNTIF(AC$6:AC197,"LOW"),"")</f>
        <v/>
      </c>
    </row>
    <row r="198" customFormat="false" ht="15" hidden="false" customHeight="false" outlineLevel="0" collapsed="false">
      <c r="A198" s="8" t="str">
        <f aca="false">IF('Employee List'!B198="","",'Employee List'!B198)</f>
        <v/>
      </c>
      <c r="B198" s="8" t="str">
        <f aca="false">IF($A198="","",'Employee List'!C198)</f>
        <v/>
      </c>
      <c r="C198" s="8" t="str">
        <f aca="false">IF($A198="","",'Employee List'!E198&amp;"")</f>
        <v/>
      </c>
      <c r="D198" s="8" t="str">
        <f aca="false">IF($A198="","",'Employee List'!F198&amp;"")</f>
        <v/>
      </c>
      <c r="E198" s="8" t="str">
        <f aca="false">IF($A198="","",'Employee List'!G198&amp;"")</f>
        <v/>
      </c>
      <c r="F198" s="8" t="str">
        <f aca="false">IF($A198="","",'Employee List'!D198)</f>
        <v/>
      </c>
      <c r="G198" s="38" t="str">
        <f aca="false">IF($A198="","",IF('Employee List'!I198="","",'Employee List'!I198))</f>
        <v/>
      </c>
      <c r="H198" s="38" t="str">
        <f aca="false">IF(OR($A198="",G198=""),"",G198+Settings!$C$13)</f>
        <v/>
      </c>
      <c r="I198" s="38" t="str">
        <f aca="false">IF(H198="","",MAX(H198,DATE(LvYear,1,1)))</f>
        <v/>
      </c>
      <c r="J198" s="38" t="str">
        <f aca="false">IF($A198="","",IF('Employee List'!J198="",DATE(LvYear,12,31),MIN('Employee List'!J198,DATE(LvYear,12,31))))</f>
        <v/>
      </c>
      <c r="K198" s="39" t="str">
        <f aca="false">IF(OR(I198="",J198=""),"",MAX(0,J198-I198+1))</f>
        <v/>
      </c>
      <c r="L198" s="16" t="str">
        <f aca="false">IF($A198="","",IF(AND(ISNUMBER(K198),K198=0),0,Settings!$C$10))</f>
        <v/>
      </c>
      <c r="M198" s="16" t="str">
        <f aca="false">IF($A198="","",IF(AND(ISNUMBER(K198),K198=0),0,Settings!$C$11))</f>
        <v/>
      </c>
      <c r="N198" s="40"/>
      <c r="O198" s="16" t="str">
        <f aca="false">IF($A198="","",FLOOR(Settings!$C$12/365*N(K198),0.5))</f>
        <v/>
      </c>
      <c r="P198" s="16" t="str">
        <f aca="false">IF($A198="","",IF(I198="",N(N198),FLOOR(Settings!$C$12/365*MAX(0,MIN(LvAsOf,J198)-I198+1)+N(N198),0.5)))</f>
        <v/>
      </c>
      <c r="Q198" s="16" t="str">
        <f aca="false">IF($A198="","",Settings!$C$14)</f>
        <v/>
      </c>
      <c r="R198" s="16" t="str">
        <f aca="false">IF($A198="","",SUMIFS(Attendance!$AZ$6:$AZ$2405,Attendance!$B$6:$B$2405,$A198,Attendance!$A$6:$A$2405,"&gt;="&amp;DATE(LvYear,1,1),Attendance!$A$6:$A$2405,"&lt;="&amp;DATE(LvYear,12,31)))</f>
        <v/>
      </c>
      <c r="S198" s="16" t="str">
        <f aca="false">IF($A198="","",SUMIFS(Attendance!$AY$6:$AY$2405,Attendance!$B$6:$B$2405,$A198,Attendance!$A$6:$A$2405,"&gt;="&amp;DATE(LvYear,1,1),Attendance!$A$6:$A$2405,"&lt;="&amp;DATE(LvYear,12,31)))</f>
        <v/>
      </c>
      <c r="T198" s="16" t="str">
        <f aca="false">IF($A198="","",SUMIFS(Attendance!$AX$6:$AX$2405,Attendance!$B$6:$B$2405,$A198,Attendance!$A$6:$A$2405,"&gt;="&amp;DATE(LvYear,1,1),Attendance!$A$6:$A$2405,"&lt;="&amp;DATE(LvYear,12,31)))</f>
        <v/>
      </c>
      <c r="U198" s="16" t="str">
        <f aca="false">IF($A198="","",SUMIFS(Attendance!$AW$6:$AW$2405,Attendance!$B$6:$B$2405,$A198,Attendance!$A$6:$A$2405,"&gt;="&amp;DATE(LvYear,1,1),Attendance!$A$6:$A$2405,"&lt;="&amp;DATE(LvYear,12,31)))</f>
        <v/>
      </c>
      <c r="V198" s="16" t="str">
        <f aca="false">IF($A198="","",L198-R198)</f>
        <v/>
      </c>
      <c r="W198" s="16" t="str">
        <f aca="false">IF($A198="","",M198-S198)</f>
        <v/>
      </c>
      <c r="X198" s="16" t="str">
        <f aca="false">IF($A198="","",P198-T198)</f>
        <v/>
      </c>
      <c r="Y198" s="16" t="str">
        <f aca="false">IF($A198="","",Q198-U198)</f>
        <v/>
      </c>
      <c r="Z198" s="16" t="str">
        <f aca="false">IF($A198="","",V198+W198+X198)</f>
        <v/>
      </c>
      <c r="AA198" s="16" t="str">
        <f aca="false">IF($A198="","",O198+N(N198)-T198)</f>
        <v/>
      </c>
      <c r="AB198" s="8" t="str">
        <f aca="false">IF($A198="","","CL "&amp;V198&amp;" | SL "&amp;W198&amp;" | PL "&amp;X198&amp;" | TR "&amp;Y198)</f>
        <v/>
      </c>
      <c r="AC198" s="15" t="str">
        <f aca="false">IF($A198="","",IF(F198="Exited","EXITED",IF(AND(ISNUMBER(K198),K198=0),"NOT ELIGIBLE",IF(MIN(V198:X198)&lt;0,"OVER-USED",IF(Z198&lt;=Settings!$C$15,"LOW","OK")))))</f>
        <v/>
      </c>
      <c r="AD198" s="16" t="str">
        <f aca="false">IF(OR(AC198="OVER-USED",AC198="LOW"),COUNTIF(AC$6:AC198,"OVER-USED")+COUNTIF(AC$6:AC198,"LOW"),"")</f>
        <v/>
      </c>
    </row>
    <row r="199" customFormat="false" ht="15" hidden="false" customHeight="false" outlineLevel="0" collapsed="false">
      <c r="A199" s="8" t="str">
        <f aca="false">IF('Employee List'!B199="","",'Employee List'!B199)</f>
        <v/>
      </c>
      <c r="B199" s="8" t="str">
        <f aca="false">IF($A199="","",'Employee List'!C199)</f>
        <v/>
      </c>
      <c r="C199" s="8" t="str">
        <f aca="false">IF($A199="","",'Employee List'!E199&amp;"")</f>
        <v/>
      </c>
      <c r="D199" s="8" t="str">
        <f aca="false">IF($A199="","",'Employee List'!F199&amp;"")</f>
        <v/>
      </c>
      <c r="E199" s="8" t="str">
        <f aca="false">IF($A199="","",'Employee List'!G199&amp;"")</f>
        <v/>
      </c>
      <c r="F199" s="8" t="str">
        <f aca="false">IF($A199="","",'Employee List'!D199)</f>
        <v/>
      </c>
      <c r="G199" s="38" t="str">
        <f aca="false">IF($A199="","",IF('Employee List'!I199="","",'Employee List'!I199))</f>
        <v/>
      </c>
      <c r="H199" s="38" t="str">
        <f aca="false">IF(OR($A199="",G199=""),"",G199+Settings!$C$13)</f>
        <v/>
      </c>
      <c r="I199" s="38" t="str">
        <f aca="false">IF(H199="","",MAX(H199,DATE(LvYear,1,1)))</f>
        <v/>
      </c>
      <c r="J199" s="38" t="str">
        <f aca="false">IF($A199="","",IF('Employee List'!J199="",DATE(LvYear,12,31),MIN('Employee List'!J199,DATE(LvYear,12,31))))</f>
        <v/>
      </c>
      <c r="K199" s="39" t="str">
        <f aca="false">IF(OR(I199="",J199=""),"",MAX(0,J199-I199+1))</f>
        <v/>
      </c>
      <c r="L199" s="16" t="str">
        <f aca="false">IF($A199="","",IF(AND(ISNUMBER(K199),K199=0),0,Settings!$C$10))</f>
        <v/>
      </c>
      <c r="M199" s="16" t="str">
        <f aca="false">IF($A199="","",IF(AND(ISNUMBER(K199),K199=0),0,Settings!$C$11))</f>
        <v/>
      </c>
      <c r="N199" s="40"/>
      <c r="O199" s="16" t="str">
        <f aca="false">IF($A199="","",FLOOR(Settings!$C$12/365*N(K199),0.5))</f>
        <v/>
      </c>
      <c r="P199" s="16" t="str">
        <f aca="false">IF($A199="","",IF(I199="",N(N199),FLOOR(Settings!$C$12/365*MAX(0,MIN(LvAsOf,J199)-I199+1)+N(N199),0.5)))</f>
        <v/>
      </c>
      <c r="Q199" s="16" t="str">
        <f aca="false">IF($A199="","",Settings!$C$14)</f>
        <v/>
      </c>
      <c r="R199" s="16" t="str">
        <f aca="false">IF($A199="","",SUMIFS(Attendance!$AZ$6:$AZ$2405,Attendance!$B$6:$B$2405,$A199,Attendance!$A$6:$A$2405,"&gt;="&amp;DATE(LvYear,1,1),Attendance!$A$6:$A$2405,"&lt;="&amp;DATE(LvYear,12,31)))</f>
        <v/>
      </c>
      <c r="S199" s="16" t="str">
        <f aca="false">IF($A199="","",SUMIFS(Attendance!$AY$6:$AY$2405,Attendance!$B$6:$B$2405,$A199,Attendance!$A$6:$A$2405,"&gt;="&amp;DATE(LvYear,1,1),Attendance!$A$6:$A$2405,"&lt;="&amp;DATE(LvYear,12,31)))</f>
        <v/>
      </c>
      <c r="T199" s="16" t="str">
        <f aca="false">IF($A199="","",SUMIFS(Attendance!$AX$6:$AX$2405,Attendance!$B$6:$B$2405,$A199,Attendance!$A$6:$A$2405,"&gt;="&amp;DATE(LvYear,1,1),Attendance!$A$6:$A$2405,"&lt;="&amp;DATE(LvYear,12,31)))</f>
        <v/>
      </c>
      <c r="U199" s="16" t="str">
        <f aca="false">IF($A199="","",SUMIFS(Attendance!$AW$6:$AW$2405,Attendance!$B$6:$B$2405,$A199,Attendance!$A$6:$A$2405,"&gt;="&amp;DATE(LvYear,1,1),Attendance!$A$6:$A$2405,"&lt;="&amp;DATE(LvYear,12,31)))</f>
        <v/>
      </c>
      <c r="V199" s="16" t="str">
        <f aca="false">IF($A199="","",L199-R199)</f>
        <v/>
      </c>
      <c r="W199" s="16" t="str">
        <f aca="false">IF($A199="","",M199-S199)</f>
        <v/>
      </c>
      <c r="X199" s="16" t="str">
        <f aca="false">IF($A199="","",P199-T199)</f>
        <v/>
      </c>
      <c r="Y199" s="16" t="str">
        <f aca="false">IF($A199="","",Q199-U199)</f>
        <v/>
      </c>
      <c r="Z199" s="16" t="str">
        <f aca="false">IF($A199="","",V199+W199+X199)</f>
        <v/>
      </c>
      <c r="AA199" s="16" t="str">
        <f aca="false">IF($A199="","",O199+N(N199)-T199)</f>
        <v/>
      </c>
      <c r="AB199" s="8" t="str">
        <f aca="false">IF($A199="","","CL "&amp;V199&amp;" | SL "&amp;W199&amp;" | PL "&amp;X199&amp;" | TR "&amp;Y199)</f>
        <v/>
      </c>
      <c r="AC199" s="15" t="str">
        <f aca="false">IF($A199="","",IF(F199="Exited","EXITED",IF(AND(ISNUMBER(K199),K199=0),"NOT ELIGIBLE",IF(MIN(V199:X199)&lt;0,"OVER-USED",IF(Z199&lt;=Settings!$C$15,"LOW","OK")))))</f>
        <v/>
      </c>
      <c r="AD199" s="16" t="str">
        <f aca="false">IF(OR(AC199="OVER-USED",AC199="LOW"),COUNTIF(AC$6:AC199,"OVER-USED")+COUNTIF(AC$6:AC199,"LOW"),"")</f>
        <v/>
      </c>
    </row>
    <row r="200" customFormat="false" ht="15" hidden="false" customHeight="false" outlineLevel="0" collapsed="false">
      <c r="A200" s="8" t="str">
        <f aca="false">IF('Employee List'!B200="","",'Employee List'!B200)</f>
        <v/>
      </c>
      <c r="B200" s="8" t="str">
        <f aca="false">IF($A200="","",'Employee List'!C200)</f>
        <v/>
      </c>
      <c r="C200" s="8" t="str">
        <f aca="false">IF($A200="","",'Employee List'!E200&amp;"")</f>
        <v/>
      </c>
      <c r="D200" s="8" t="str">
        <f aca="false">IF($A200="","",'Employee List'!F200&amp;"")</f>
        <v/>
      </c>
      <c r="E200" s="8" t="str">
        <f aca="false">IF($A200="","",'Employee List'!G200&amp;"")</f>
        <v/>
      </c>
      <c r="F200" s="8" t="str">
        <f aca="false">IF($A200="","",'Employee List'!D200)</f>
        <v/>
      </c>
      <c r="G200" s="38" t="str">
        <f aca="false">IF($A200="","",IF('Employee List'!I200="","",'Employee List'!I200))</f>
        <v/>
      </c>
      <c r="H200" s="38" t="str">
        <f aca="false">IF(OR($A200="",G200=""),"",G200+Settings!$C$13)</f>
        <v/>
      </c>
      <c r="I200" s="38" t="str">
        <f aca="false">IF(H200="","",MAX(H200,DATE(LvYear,1,1)))</f>
        <v/>
      </c>
      <c r="J200" s="38" t="str">
        <f aca="false">IF($A200="","",IF('Employee List'!J200="",DATE(LvYear,12,31),MIN('Employee List'!J200,DATE(LvYear,12,31))))</f>
        <v/>
      </c>
      <c r="K200" s="39" t="str">
        <f aca="false">IF(OR(I200="",J200=""),"",MAX(0,J200-I200+1))</f>
        <v/>
      </c>
      <c r="L200" s="16" t="str">
        <f aca="false">IF($A200="","",IF(AND(ISNUMBER(K200),K200=0),0,Settings!$C$10))</f>
        <v/>
      </c>
      <c r="M200" s="16" t="str">
        <f aca="false">IF($A200="","",IF(AND(ISNUMBER(K200),K200=0),0,Settings!$C$11))</f>
        <v/>
      </c>
      <c r="N200" s="40"/>
      <c r="O200" s="16" t="str">
        <f aca="false">IF($A200="","",FLOOR(Settings!$C$12/365*N(K200),0.5))</f>
        <v/>
      </c>
      <c r="P200" s="16" t="str">
        <f aca="false">IF($A200="","",IF(I200="",N(N200),FLOOR(Settings!$C$12/365*MAX(0,MIN(LvAsOf,J200)-I200+1)+N(N200),0.5)))</f>
        <v/>
      </c>
      <c r="Q200" s="16" t="str">
        <f aca="false">IF($A200="","",Settings!$C$14)</f>
        <v/>
      </c>
      <c r="R200" s="16" t="str">
        <f aca="false">IF($A200="","",SUMIFS(Attendance!$AZ$6:$AZ$2405,Attendance!$B$6:$B$2405,$A200,Attendance!$A$6:$A$2405,"&gt;="&amp;DATE(LvYear,1,1),Attendance!$A$6:$A$2405,"&lt;="&amp;DATE(LvYear,12,31)))</f>
        <v/>
      </c>
      <c r="S200" s="16" t="str">
        <f aca="false">IF($A200="","",SUMIFS(Attendance!$AY$6:$AY$2405,Attendance!$B$6:$B$2405,$A200,Attendance!$A$6:$A$2405,"&gt;="&amp;DATE(LvYear,1,1),Attendance!$A$6:$A$2405,"&lt;="&amp;DATE(LvYear,12,31)))</f>
        <v/>
      </c>
      <c r="T200" s="16" t="str">
        <f aca="false">IF($A200="","",SUMIFS(Attendance!$AX$6:$AX$2405,Attendance!$B$6:$B$2405,$A200,Attendance!$A$6:$A$2405,"&gt;="&amp;DATE(LvYear,1,1),Attendance!$A$6:$A$2405,"&lt;="&amp;DATE(LvYear,12,31)))</f>
        <v/>
      </c>
      <c r="U200" s="16" t="str">
        <f aca="false">IF($A200="","",SUMIFS(Attendance!$AW$6:$AW$2405,Attendance!$B$6:$B$2405,$A200,Attendance!$A$6:$A$2405,"&gt;="&amp;DATE(LvYear,1,1),Attendance!$A$6:$A$2405,"&lt;="&amp;DATE(LvYear,12,31)))</f>
        <v/>
      </c>
      <c r="V200" s="16" t="str">
        <f aca="false">IF($A200="","",L200-R200)</f>
        <v/>
      </c>
      <c r="W200" s="16" t="str">
        <f aca="false">IF($A200="","",M200-S200)</f>
        <v/>
      </c>
      <c r="X200" s="16" t="str">
        <f aca="false">IF($A200="","",P200-T200)</f>
        <v/>
      </c>
      <c r="Y200" s="16" t="str">
        <f aca="false">IF($A200="","",Q200-U200)</f>
        <v/>
      </c>
      <c r="Z200" s="16" t="str">
        <f aca="false">IF($A200="","",V200+W200+X200)</f>
        <v/>
      </c>
      <c r="AA200" s="16" t="str">
        <f aca="false">IF($A200="","",O200+N(N200)-T200)</f>
        <v/>
      </c>
      <c r="AB200" s="8" t="str">
        <f aca="false">IF($A200="","","CL "&amp;V200&amp;" | SL "&amp;W200&amp;" | PL "&amp;X200&amp;" | TR "&amp;Y200)</f>
        <v/>
      </c>
      <c r="AC200" s="15" t="str">
        <f aca="false">IF($A200="","",IF(F200="Exited","EXITED",IF(AND(ISNUMBER(K200),K200=0),"NOT ELIGIBLE",IF(MIN(V200:X200)&lt;0,"OVER-USED",IF(Z200&lt;=Settings!$C$15,"LOW","OK")))))</f>
        <v/>
      </c>
      <c r="AD200" s="16" t="str">
        <f aca="false">IF(OR(AC200="OVER-USED",AC200="LOW"),COUNTIF(AC$6:AC200,"OVER-USED")+COUNTIF(AC$6:AC200,"LOW"),"")</f>
        <v/>
      </c>
    </row>
    <row r="201" customFormat="false" ht="15" hidden="false" customHeight="false" outlineLevel="0" collapsed="false">
      <c r="A201" s="8" t="str">
        <f aca="false">IF('Employee List'!B201="","",'Employee List'!B201)</f>
        <v/>
      </c>
      <c r="B201" s="8" t="str">
        <f aca="false">IF($A201="","",'Employee List'!C201)</f>
        <v/>
      </c>
      <c r="C201" s="8" t="str">
        <f aca="false">IF($A201="","",'Employee List'!E201&amp;"")</f>
        <v/>
      </c>
      <c r="D201" s="8" t="str">
        <f aca="false">IF($A201="","",'Employee List'!F201&amp;"")</f>
        <v/>
      </c>
      <c r="E201" s="8" t="str">
        <f aca="false">IF($A201="","",'Employee List'!G201&amp;"")</f>
        <v/>
      </c>
      <c r="F201" s="8" t="str">
        <f aca="false">IF($A201="","",'Employee List'!D201)</f>
        <v/>
      </c>
      <c r="G201" s="38" t="str">
        <f aca="false">IF($A201="","",IF('Employee List'!I201="","",'Employee List'!I201))</f>
        <v/>
      </c>
      <c r="H201" s="38" t="str">
        <f aca="false">IF(OR($A201="",G201=""),"",G201+Settings!$C$13)</f>
        <v/>
      </c>
      <c r="I201" s="38" t="str">
        <f aca="false">IF(H201="","",MAX(H201,DATE(LvYear,1,1)))</f>
        <v/>
      </c>
      <c r="J201" s="38" t="str">
        <f aca="false">IF($A201="","",IF('Employee List'!J201="",DATE(LvYear,12,31),MIN('Employee List'!J201,DATE(LvYear,12,31))))</f>
        <v/>
      </c>
      <c r="K201" s="39" t="str">
        <f aca="false">IF(OR(I201="",J201=""),"",MAX(0,J201-I201+1))</f>
        <v/>
      </c>
      <c r="L201" s="16" t="str">
        <f aca="false">IF($A201="","",IF(AND(ISNUMBER(K201),K201=0),0,Settings!$C$10))</f>
        <v/>
      </c>
      <c r="M201" s="16" t="str">
        <f aca="false">IF($A201="","",IF(AND(ISNUMBER(K201),K201=0),0,Settings!$C$11))</f>
        <v/>
      </c>
      <c r="N201" s="40"/>
      <c r="O201" s="16" t="str">
        <f aca="false">IF($A201="","",FLOOR(Settings!$C$12/365*N(K201),0.5))</f>
        <v/>
      </c>
      <c r="P201" s="16" t="str">
        <f aca="false">IF($A201="","",IF(I201="",N(N201),FLOOR(Settings!$C$12/365*MAX(0,MIN(LvAsOf,J201)-I201+1)+N(N201),0.5)))</f>
        <v/>
      </c>
      <c r="Q201" s="16" t="str">
        <f aca="false">IF($A201="","",Settings!$C$14)</f>
        <v/>
      </c>
      <c r="R201" s="16" t="str">
        <f aca="false">IF($A201="","",SUMIFS(Attendance!$AZ$6:$AZ$2405,Attendance!$B$6:$B$2405,$A201,Attendance!$A$6:$A$2405,"&gt;="&amp;DATE(LvYear,1,1),Attendance!$A$6:$A$2405,"&lt;="&amp;DATE(LvYear,12,31)))</f>
        <v/>
      </c>
      <c r="S201" s="16" t="str">
        <f aca="false">IF($A201="","",SUMIFS(Attendance!$AY$6:$AY$2405,Attendance!$B$6:$B$2405,$A201,Attendance!$A$6:$A$2405,"&gt;="&amp;DATE(LvYear,1,1),Attendance!$A$6:$A$2405,"&lt;="&amp;DATE(LvYear,12,31)))</f>
        <v/>
      </c>
      <c r="T201" s="16" t="str">
        <f aca="false">IF($A201="","",SUMIFS(Attendance!$AX$6:$AX$2405,Attendance!$B$6:$B$2405,$A201,Attendance!$A$6:$A$2405,"&gt;="&amp;DATE(LvYear,1,1),Attendance!$A$6:$A$2405,"&lt;="&amp;DATE(LvYear,12,31)))</f>
        <v/>
      </c>
      <c r="U201" s="16" t="str">
        <f aca="false">IF($A201="","",SUMIFS(Attendance!$AW$6:$AW$2405,Attendance!$B$6:$B$2405,$A201,Attendance!$A$6:$A$2405,"&gt;="&amp;DATE(LvYear,1,1),Attendance!$A$6:$A$2405,"&lt;="&amp;DATE(LvYear,12,31)))</f>
        <v/>
      </c>
      <c r="V201" s="16" t="str">
        <f aca="false">IF($A201="","",L201-R201)</f>
        <v/>
      </c>
      <c r="W201" s="16" t="str">
        <f aca="false">IF($A201="","",M201-S201)</f>
        <v/>
      </c>
      <c r="X201" s="16" t="str">
        <f aca="false">IF($A201="","",P201-T201)</f>
        <v/>
      </c>
      <c r="Y201" s="16" t="str">
        <f aca="false">IF($A201="","",Q201-U201)</f>
        <v/>
      </c>
      <c r="Z201" s="16" t="str">
        <f aca="false">IF($A201="","",V201+W201+X201)</f>
        <v/>
      </c>
      <c r="AA201" s="16" t="str">
        <f aca="false">IF($A201="","",O201+N(N201)-T201)</f>
        <v/>
      </c>
      <c r="AB201" s="8" t="str">
        <f aca="false">IF($A201="","","CL "&amp;V201&amp;" | SL "&amp;W201&amp;" | PL "&amp;X201&amp;" | TR "&amp;Y201)</f>
        <v/>
      </c>
      <c r="AC201" s="15" t="str">
        <f aca="false">IF($A201="","",IF(F201="Exited","EXITED",IF(AND(ISNUMBER(K201),K201=0),"NOT ELIGIBLE",IF(MIN(V201:X201)&lt;0,"OVER-USED",IF(Z201&lt;=Settings!$C$15,"LOW","OK")))))</f>
        <v/>
      </c>
      <c r="AD201" s="16" t="str">
        <f aca="false">IF(OR(AC201="OVER-USED",AC201="LOW"),COUNTIF(AC$6:AC201,"OVER-USED")+COUNTIF(AC$6:AC201,"LOW"),"")</f>
        <v/>
      </c>
    </row>
    <row r="202" customFormat="false" ht="15" hidden="false" customHeight="false" outlineLevel="0" collapsed="false">
      <c r="A202" s="8" t="str">
        <f aca="false">IF('Employee List'!B202="","",'Employee List'!B202)</f>
        <v/>
      </c>
      <c r="B202" s="8" t="str">
        <f aca="false">IF($A202="","",'Employee List'!C202)</f>
        <v/>
      </c>
      <c r="C202" s="8" t="str">
        <f aca="false">IF($A202="","",'Employee List'!E202&amp;"")</f>
        <v/>
      </c>
      <c r="D202" s="8" t="str">
        <f aca="false">IF($A202="","",'Employee List'!F202&amp;"")</f>
        <v/>
      </c>
      <c r="E202" s="8" t="str">
        <f aca="false">IF($A202="","",'Employee List'!G202&amp;"")</f>
        <v/>
      </c>
      <c r="F202" s="8" t="str">
        <f aca="false">IF($A202="","",'Employee List'!D202)</f>
        <v/>
      </c>
      <c r="G202" s="38" t="str">
        <f aca="false">IF($A202="","",IF('Employee List'!I202="","",'Employee List'!I202))</f>
        <v/>
      </c>
      <c r="H202" s="38" t="str">
        <f aca="false">IF(OR($A202="",G202=""),"",G202+Settings!$C$13)</f>
        <v/>
      </c>
      <c r="I202" s="38" t="str">
        <f aca="false">IF(H202="","",MAX(H202,DATE(LvYear,1,1)))</f>
        <v/>
      </c>
      <c r="J202" s="38" t="str">
        <f aca="false">IF($A202="","",IF('Employee List'!J202="",DATE(LvYear,12,31),MIN('Employee List'!J202,DATE(LvYear,12,31))))</f>
        <v/>
      </c>
      <c r="K202" s="39" t="str">
        <f aca="false">IF(OR(I202="",J202=""),"",MAX(0,J202-I202+1))</f>
        <v/>
      </c>
      <c r="L202" s="16" t="str">
        <f aca="false">IF($A202="","",IF(AND(ISNUMBER(K202),K202=0),0,Settings!$C$10))</f>
        <v/>
      </c>
      <c r="M202" s="16" t="str">
        <f aca="false">IF($A202="","",IF(AND(ISNUMBER(K202),K202=0),0,Settings!$C$11))</f>
        <v/>
      </c>
      <c r="N202" s="40"/>
      <c r="O202" s="16" t="str">
        <f aca="false">IF($A202="","",FLOOR(Settings!$C$12/365*N(K202),0.5))</f>
        <v/>
      </c>
      <c r="P202" s="16" t="str">
        <f aca="false">IF($A202="","",IF(I202="",N(N202),FLOOR(Settings!$C$12/365*MAX(0,MIN(LvAsOf,J202)-I202+1)+N(N202),0.5)))</f>
        <v/>
      </c>
      <c r="Q202" s="16" t="str">
        <f aca="false">IF($A202="","",Settings!$C$14)</f>
        <v/>
      </c>
      <c r="R202" s="16" t="str">
        <f aca="false">IF($A202="","",SUMIFS(Attendance!$AZ$6:$AZ$2405,Attendance!$B$6:$B$2405,$A202,Attendance!$A$6:$A$2405,"&gt;="&amp;DATE(LvYear,1,1),Attendance!$A$6:$A$2405,"&lt;="&amp;DATE(LvYear,12,31)))</f>
        <v/>
      </c>
      <c r="S202" s="16" t="str">
        <f aca="false">IF($A202="","",SUMIFS(Attendance!$AY$6:$AY$2405,Attendance!$B$6:$B$2405,$A202,Attendance!$A$6:$A$2405,"&gt;="&amp;DATE(LvYear,1,1),Attendance!$A$6:$A$2405,"&lt;="&amp;DATE(LvYear,12,31)))</f>
        <v/>
      </c>
      <c r="T202" s="16" t="str">
        <f aca="false">IF($A202="","",SUMIFS(Attendance!$AX$6:$AX$2405,Attendance!$B$6:$B$2405,$A202,Attendance!$A$6:$A$2405,"&gt;="&amp;DATE(LvYear,1,1),Attendance!$A$6:$A$2405,"&lt;="&amp;DATE(LvYear,12,31)))</f>
        <v/>
      </c>
      <c r="U202" s="16" t="str">
        <f aca="false">IF($A202="","",SUMIFS(Attendance!$AW$6:$AW$2405,Attendance!$B$6:$B$2405,$A202,Attendance!$A$6:$A$2405,"&gt;="&amp;DATE(LvYear,1,1),Attendance!$A$6:$A$2405,"&lt;="&amp;DATE(LvYear,12,31)))</f>
        <v/>
      </c>
      <c r="V202" s="16" t="str">
        <f aca="false">IF($A202="","",L202-R202)</f>
        <v/>
      </c>
      <c r="W202" s="16" t="str">
        <f aca="false">IF($A202="","",M202-S202)</f>
        <v/>
      </c>
      <c r="X202" s="16" t="str">
        <f aca="false">IF($A202="","",P202-T202)</f>
        <v/>
      </c>
      <c r="Y202" s="16" t="str">
        <f aca="false">IF($A202="","",Q202-U202)</f>
        <v/>
      </c>
      <c r="Z202" s="16" t="str">
        <f aca="false">IF($A202="","",V202+W202+X202)</f>
        <v/>
      </c>
      <c r="AA202" s="16" t="str">
        <f aca="false">IF($A202="","",O202+N(N202)-T202)</f>
        <v/>
      </c>
      <c r="AB202" s="8" t="str">
        <f aca="false">IF($A202="","","CL "&amp;V202&amp;" | SL "&amp;W202&amp;" | PL "&amp;X202&amp;" | TR "&amp;Y202)</f>
        <v/>
      </c>
      <c r="AC202" s="15" t="str">
        <f aca="false">IF($A202="","",IF(F202="Exited","EXITED",IF(AND(ISNUMBER(K202),K202=0),"NOT ELIGIBLE",IF(MIN(V202:X202)&lt;0,"OVER-USED",IF(Z202&lt;=Settings!$C$15,"LOW","OK")))))</f>
        <v/>
      </c>
      <c r="AD202" s="16" t="str">
        <f aca="false">IF(OR(AC202="OVER-USED",AC202="LOW"),COUNTIF(AC$6:AC202,"OVER-USED")+COUNTIF(AC$6:AC202,"LOW"),"")</f>
        <v/>
      </c>
    </row>
    <row r="203" customFormat="false" ht="15" hidden="false" customHeight="false" outlineLevel="0" collapsed="false">
      <c r="A203" s="8" t="str">
        <f aca="false">IF('Employee List'!B203="","",'Employee List'!B203)</f>
        <v/>
      </c>
      <c r="B203" s="8" t="str">
        <f aca="false">IF($A203="","",'Employee List'!C203)</f>
        <v/>
      </c>
      <c r="C203" s="8" t="str">
        <f aca="false">IF($A203="","",'Employee List'!E203&amp;"")</f>
        <v/>
      </c>
      <c r="D203" s="8" t="str">
        <f aca="false">IF($A203="","",'Employee List'!F203&amp;"")</f>
        <v/>
      </c>
      <c r="E203" s="8" t="str">
        <f aca="false">IF($A203="","",'Employee List'!G203&amp;"")</f>
        <v/>
      </c>
      <c r="F203" s="8" t="str">
        <f aca="false">IF($A203="","",'Employee List'!D203)</f>
        <v/>
      </c>
      <c r="G203" s="38" t="str">
        <f aca="false">IF($A203="","",IF('Employee List'!I203="","",'Employee List'!I203))</f>
        <v/>
      </c>
      <c r="H203" s="38" t="str">
        <f aca="false">IF(OR($A203="",G203=""),"",G203+Settings!$C$13)</f>
        <v/>
      </c>
      <c r="I203" s="38" t="str">
        <f aca="false">IF(H203="","",MAX(H203,DATE(LvYear,1,1)))</f>
        <v/>
      </c>
      <c r="J203" s="38" t="str">
        <f aca="false">IF($A203="","",IF('Employee List'!J203="",DATE(LvYear,12,31),MIN('Employee List'!J203,DATE(LvYear,12,31))))</f>
        <v/>
      </c>
      <c r="K203" s="39" t="str">
        <f aca="false">IF(OR(I203="",J203=""),"",MAX(0,J203-I203+1))</f>
        <v/>
      </c>
      <c r="L203" s="16" t="str">
        <f aca="false">IF($A203="","",IF(AND(ISNUMBER(K203),K203=0),0,Settings!$C$10))</f>
        <v/>
      </c>
      <c r="M203" s="16" t="str">
        <f aca="false">IF($A203="","",IF(AND(ISNUMBER(K203),K203=0),0,Settings!$C$11))</f>
        <v/>
      </c>
      <c r="N203" s="40"/>
      <c r="O203" s="16" t="str">
        <f aca="false">IF($A203="","",FLOOR(Settings!$C$12/365*N(K203),0.5))</f>
        <v/>
      </c>
      <c r="P203" s="16" t="str">
        <f aca="false">IF($A203="","",IF(I203="",N(N203),FLOOR(Settings!$C$12/365*MAX(0,MIN(LvAsOf,J203)-I203+1)+N(N203),0.5)))</f>
        <v/>
      </c>
      <c r="Q203" s="16" t="str">
        <f aca="false">IF($A203="","",Settings!$C$14)</f>
        <v/>
      </c>
      <c r="R203" s="16" t="str">
        <f aca="false">IF($A203="","",SUMIFS(Attendance!$AZ$6:$AZ$2405,Attendance!$B$6:$B$2405,$A203,Attendance!$A$6:$A$2405,"&gt;="&amp;DATE(LvYear,1,1),Attendance!$A$6:$A$2405,"&lt;="&amp;DATE(LvYear,12,31)))</f>
        <v/>
      </c>
      <c r="S203" s="16" t="str">
        <f aca="false">IF($A203="","",SUMIFS(Attendance!$AY$6:$AY$2405,Attendance!$B$6:$B$2405,$A203,Attendance!$A$6:$A$2405,"&gt;="&amp;DATE(LvYear,1,1),Attendance!$A$6:$A$2405,"&lt;="&amp;DATE(LvYear,12,31)))</f>
        <v/>
      </c>
      <c r="T203" s="16" t="str">
        <f aca="false">IF($A203="","",SUMIFS(Attendance!$AX$6:$AX$2405,Attendance!$B$6:$B$2405,$A203,Attendance!$A$6:$A$2405,"&gt;="&amp;DATE(LvYear,1,1),Attendance!$A$6:$A$2405,"&lt;="&amp;DATE(LvYear,12,31)))</f>
        <v/>
      </c>
      <c r="U203" s="16" t="str">
        <f aca="false">IF($A203="","",SUMIFS(Attendance!$AW$6:$AW$2405,Attendance!$B$6:$B$2405,$A203,Attendance!$A$6:$A$2405,"&gt;="&amp;DATE(LvYear,1,1),Attendance!$A$6:$A$2405,"&lt;="&amp;DATE(LvYear,12,31)))</f>
        <v/>
      </c>
      <c r="V203" s="16" t="str">
        <f aca="false">IF($A203="","",L203-R203)</f>
        <v/>
      </c>
      <c r="W203" s="16" t="str">
        <f aca="false">IF($A203="","",M203-S203)</f>
        <v/>
      </c>
      <c r="X203" s="16" t="str">
        <f aca="false">IF($A203="","",P203-T203)</f>
        <v/>
      </c>
      <c r="Y203" s="16" t="str">
        <f aca="false">IF($A203="","",Q203-U203)</f>
        <v/>
      </c>
      <c r="Z203" s="16" t="str">
        <f aca="false">IF($A203="","",V203+W203+X203)</f>
        <v/>
      </c>
      <c r="AA203" s="16" t="str">
        <f aca="false">IF($A203="","",O203+N(N203)-T203)</f>
        <v/>
      </c>
      <c r="AB203" s="8" t="str">
        <f aca="false">IF($A203="","","CL "&amp;V203&amp;" | SL "&amp;W203&amp;" | PL "&amp;X203&amp;" | TR "&amp;Y203)</f>
        <v/>
      </c>
      <c r="AC203" s="15" t="str">
        <f aca="false">IF($A203="","",IF(F203="Exited","EXITED",IF(AND(ISNUMBER(K203),K203=0),"NOT ELIGIBLE",IF(MIN(V203:X203)&lt;0,"OVER-USED",IF(Z203&lt;=Settings!$C$15,"LOW","OK")))))</f>
        <v/>
      </c>
      <c r="AD203" s="16" t="str">
        <f aca="false">IF(OR(AC203="OVER-USED",AC203="LOW"),COUNTIF(AC$6:AC203,"OVER-USED")+COUNTIF(AC$6:AC203,"LOW"),"")</f>
        <v/>
      </c>
    </row>
    <row r="204" customFormat="false" ht="15" hidden="false" customHeight="false" outlineLevel="0" collapsed="false">
      <c r="A204" s="8" t="str">
        <f aca="false">IF('Employee List'!B204="","",'Employee List'!B204)</f>
        <v/>
      </c>
      <c r="B204" s="8" t="str">
        <f aca="false">IF($A204="","",'Employee List'!C204)</f>
        <v/>
      </c>
      <c r="C204" s="8" t="str">
        <f aca="false">IF($A204="","",'Employee List'!E204&amp;"")</f>
        <v/>
      </c>
      <c r="D204" s="8" t="str">
        <f aca="false">IF($A204="","",'Employee List'!F204&amp;"")</f>
        <v/>
      </c>
      <c r="E204" s="8" t="str">
        <f aca="false">IF($A204="","",'Employee List'!G204&amp;"")</f>
        <v/>
      </c>
      <c r="F204" s="8" t="str">
        <f aca="false">IF($A204="","",'Employee List'!D204)</f>
        <v/>
      </c>
      <c r="G204" s="38" t="str">
        <f aca="false">IF($A204="","",IF('Employee List'!I204="","",'Employee List'!I204))</f>
        <v/>
      </c>
      <c r="H204" s="38" t="str">
        <f aca="false">IF(OR($A204="",G204=""),"",G204+Settings!$C$13)</f>
        <v/>
      </c>
      <c r="I204" s="38" t="str">
        <f aca="false">IF(H204="","",MAX(H204,DATE(LvYear,1,1)))</f>
        <v/>
      </c>
      <c r="J204" s="38" t="str">
        <f aca="false">IF($A204="","",IF('Employee List'!J204="",DATE(LvYear,12,31),MIN('Employee List'!J204,DATE(LvYear,12,31))))</f>
        <v/>
      </c>
      <c r="K204" s="39" t="str">
        <f aca="false">IF(OR(I204="",J204=""),"",MAX(0,J204-I204+1))</f>
        <v/>
      </c>
      <c r="L204" s="16" t="str">
        <f aca="false">IF($A204="","",IF(AND(ISNUMBER(K204),K204=0),0,Settings!$C$10))</f>
        <v/>
      </c>
      <c r="M204" s="16" t="str">
        <f aca="false">IF($A204="","",IF(AND(ISNUMBER(K204),K204=0),0,Settings!$C$11))</f>
        <v/>
      </c>
      <c r="N204" s="40"/>
      <c r="O204" s="16" t="str">
        <f aca="false">IF($A204="","",FLOOR(Settings!$C$12/365*N(K204),0.5))</f>
        <v/>
      </c>
      <c r="P204" s="16" t="str">
        <f aca="false">IF($A204="","",IF(I204="",N(N204),FLOOR(Settings!$C$12/365*MAX(0,MIN(LvAsOf,J204)-I204+1)+N(N204),0.5)))</f>
        <v/>
      </c>
      <c r="Q204" s="16" t="str">
        <f aca="false">IF($A204="","",Settings!$C$14)</f>
        <v/>
      </c>
      <c r="R204" s="16" t="str">
        <f aca="false">IF($A204="","",SUMIFS(Attendance!$AZ$6:$AZ$2405,Attendance!$B$6:$B$2405,$A204,Attendance!$A$6:$A$2405,"&gt;="&amp;DATE(LvYear,1,1),Attendance!$A$6:$A$2405,"&lt;="&amp;DATE(LvYear,12,31)))</f>
        <v/>
      </c>
      <c r="S204" s="16" t="str">
        <f aca="false">IF($A204="","",SUMIFS(Attendance!$AY$6:$AY$2405,Attendance!$B$6:$B$2405,$A204,Attendance!$A$6:$A$2405,"&gt;="&amp;DATE(LvYear,1,1),Attendance!$A$6:$A$2405,"&lt;="&amp;DATE(LvYear,12,31)))</f>
        <v/>
      </c>
      <c r="T204" s="16" t="str">
        <f aca="false">IF($A204="","",SUMIFS(Attendance!$AX$6:$AX$2405,Attendance!$B$6:$B$2405,$A204,Attendance!$A$6:$A$2405,"&gt;="&amp;DATE(LvYear,1,1),Attendance!$A$6:$A$2405,"&lt;="&amp;DATE(LvYear,12,31)))</f>
        <v/>
      </c>
      <c r="U204" s="16" t="str">
        <f aca="false">IF($A204="","",SUMIFS(Attendance!$AW$6:$AW$2405,Attendance!$B$6:$B$2405,$A204,Attendance!$A$6:$A$2405,"&gt;="&amp;DATE(LvYear,1,1),Attendance!$A$6:$A$2405,"&lt;="&amp;DATE(LvYear,12,31)))</f>
        <v/>
      </c>
      <c r="V204" s="16" t="str">
        <f aca="false">IF($A204="","",L204-R204)</f>
        <v/>
      </c>
      <c r="W204" s="16" t="str">
        <f aca="false">IF($A204="","",M204-S204)</f>
        <v/>
      </c>
      <c r="X204" s="16" t="str">
        <f aca="false">IF($A204="","",P204-T204)</f>
        <v/>
      </c>
      <c r="Y204" s="16" t="str">
        <f aca="false">IF($A204="","",Q204-U204)</f>
        <v/>
      </c>
      <c r="Z204" s="16" t="str">
        <f aca="false">IF($A204="","",V204+W204+X204)</f>
        <v/>
      </c>
      <c r="AA204" s="16" t="str">
        <f aca="false">IF($A204="","",O204+N(N204)-T204)</f>
        <v/>
      </c>
      <c r="AB204" s="8" t="str">
        <f aca="false">IF($A204="","","CL "&amp;V204&amp;" | SL "&amp;W204&amp;" | PL "&amp;X204&amp;" | TR "&amp;Y204)</f>
        <v/>
      </c>
      <c r="AC204" s="15" t="str">
        <f aca="false">IF($A204="","",IF(F204="Exited","EXITED",IF(AND(ISNUMBER(K204),K204=0),"NOT ELIGIBLE",IF(MIN(V204:X204)&lt;0,"OVER-USED",IF(Z204&lt;=Settings!$C$15,"LOW","OK")))))</f>
        <v/>
      </c>
      <c r="AD204" s="16" t="str">
        <f aca="false">IF(OR(AC204="OVER-USED",AC204="LOW"),COUNTIF(AC$6:AC204,"OVER-USED")+COUNTIF(AC$6:AC204,"LOW"),"")</f>
        <v/>
      </c>
    </row>
    <row r="205" customFormat="false" ht="15" hidden="false" customHeight="false" outlineLevel="0" collapsed="false">
      <c r="A205" s="8" t="str">
        <f aca="false">IF('Employee List'!B205="","",'Employee List'!B205)</f>
        <v/>
      </c>
      <c r="B205" s="8" t="str">
        <f aca="false">IF($A205="","",'Employee List'!C205)</f>
        <v/>
      </c>
      <c r="C205" s="8" t="str">
        <f aca="false">IF($A205="","",'Employee List'!E205&amp;"")</f>
        <v/>
      </c>
      <c r="D205" s="8" t="str">
        <f aca="false">IF($A205="","",'Employee List'!F205&amp;"")</f>
        <v/>
      </c>
      <c r="E205" s="8" t="str">
        <f aca="false">IF($A205="","",'Employee List'!G205&amp;"")</f>
        <v/>
      </c>
      <c r="F205" s="8" t="str">
        <f aca="false">IF($A205="","",'Employee List'!D205)</f>
        <v/>
      </c>
      <c r="G205" s="38" t="str">
        <f aca="false">IF($A205="","",IF('Employee List'!I205="","",'Employee List'!I205))</f>
        <v/>
      </c>
      <c r="H205" s="38" t="str">
        <f aca="false">IF(OR($A205="",G205=""),"",G205+Settings!$C$13)</f>
        <v/>
      </c>
      <c r="I205" s="38" t="str">
        <f aca="false">IF(H205="","",MAX(H205,DATE(LvYear,1,1)))</f>
        <v/>
      </c>
      <c r="J205" s="38" t="str">
        <f aca="false">IF($A205="","",IF('Employee List'!J205="",DATE(LvYear,12,31),MIN('Employee List'!J205,DATE(LvYear,12,31))))</f>
        <v/>
      </c>
      <c r="K205" s="39" t="str">
        <f aca="false">IF(OR(I205="",J205=""),"",MAX(0,J205-I205+1))</f>
        <v/>
      </c>
      <c r="L205" s="16" t="str">
        <f aca="false">IF($A205="","",IF(AND(ISNUMBER(K205),K205=0),0,Settings!$C$10))</f>
        <v/>
      </c>
      <c r="M205" s="16" t="str">
        <f aca="false">IF($A205="","",IF(AND(ISNUMBER(K205),K205=0),0,Settings!$C$11))</f>
        <v/>
      </c>
      <c r="N205" s="40"/>
      <c r="O205" s="16" t="str">
        <f aca="false">IF($A205="","",FLOOR(Settings!$C$12/365*N(K205),0.5))</f>
        <v/>
      </c>
      <c r="P205" s="16" t="str">
        <f aca="false">IF($A205="","",IF(I205="",N(N205),FLOOR(Settings!$C$12/365*MAX(0,MIN(LvAsOf,J205)-I205+1)+N(N205),0.5)))</f>
        <v/>
      </c>
      <c r="Q205" s="16" t="str">
        <f aca="false">IF($A205="","",Settings!$C$14)</f>
        <v/>
      </c>
      <c r="R205" s="16" t="str">
        <f aca="false">IF($A205="","",SUMIFS(Attendance!$AZ$6:$AZ$2405,Attendance!$B$6:$B$2405,$A205,Attendance!$A$6:$A$2405,"&gt;="&amp;DATE(LvYear,1,1),Attendance!$A$6:$A$2405,"&lt;="&amp;DATE(LvYear,12,31)))</f>
        <v/>
      </c>
      <c r="S205" s="16" t="str">
        <f aca="false">IF($A205="","",SUMIFS(Attendance!$AY$6:$AY$2405,Attendance!$B$6:$B$2405,$A205,Attendance!$A$6:$A$2405,"&gt;="&amp;DATE(LvYear,1,1),Attendance!$A$6:$A$2405,"&lt;="&amp;DATE(LvYear,12,31)))</f>
        <v/>
      </c>
      <c r="T205" s="16" t="str">
        <f aca="false">IF($A205="","",SUMIFS(Attendance!$AX$6:$AX$2405,Attendance!$B$6:$B$2405,$A205,Attendance!$A$6:$A$2405,"&gt;="&amp;DATE(LvYear,1,1),Attendance!$A$6:$A$2405,"&lt;="&amp;DATE(LvYear,12,31)))</f>
        <v/>
      </c>
      <c r="U205" s="16" t="str">
        <f aca="false">IF($A205="","",SUMIFS(Attendance!$AW$6:$AW$2405,Attendance!$B$6:$B$2405,$A205,Attendance!$A$6:$A$2405,"&gt;="&amp;DATE(LvYear,1,1),Attendance!$A$6:$A$2405,"&lt;="&amp;DATE(LvYear,12,31)))</f>
        <v/>
      </c>
      <c r="V205" s="16" t="str">
        <f aca="false">IF($A205="","",L205-R205)</f>
        <v/>
      </c>
      <c r="W205" s="16" t="str">
        <f aca="false">IF($A205="","",M205-S205)</f>
        <v/>
      </c>
      <c r="X205" s="16" t="str">
        <f aca="false">IF($A205="","",P205-T205)</f>
        <v/>
      </c>
      <c r="Y205" s="16" t="str">
        <f aca="false">IF($A205="","",Q205-U205)</f>
        <v/>
      </c>
      <c r="Z205" s="16" t="str">
        <f aca="false">IF($A205="","",V205+W205+X205)</f>
        <v/>
      </c>
      <c r="AA205" s="16" t="str">
        <f aca="false">IF($A205="","",O205+N(N205)-T205)</f>
        <v/>
      </c>
      <c r="AB205" s="8" t="str">
        <f aca="false">IF($A205="","","CL "&amp;V205&amp;" | SL "&amp;W205&amp;" | PL "&amp;X205&amp;" | TR "&amp;Y205)</f>
        <v/>
      </c>
      <c r="AC205" s="15" t="str">
        <f aca="false">IF($A205="","",IF(F205="Exited","EXITED",IF(AND(ISNUMBER(K205),K205=0),"NOT ELIGIBLE",IF(MIN(V205:X205)&lt;0,"OVER-USED",IF(Z205&lt;=Settings!$C$15,"LOW","OK")))))</f>
        <v/>
      </c>
      <c r="AD205" s="16" t="str">
        <f aca="false">IF(OR(AC205="OVER-USED",AC205="LOW"),COUNTIF(AC$6:AC205,"OVER-USED")+COUNTIF(AC$6:AC205,"LOW"),"")</f>
        <v/>
      </c>
    </row>
    <row r="206" customFormat="false" ht="15" hidden="false" customHeight="false" outlineLevel="0" collapsed="false">
      <c r="A206" s="8" t="str">
        <f aca="false">IF('Employee List'!B206="","",'Employee List'!B206)</f>
        <v/>
      </c>
      <c r="B206" s="8" t="str">
        <f aca="false">IF($A206="","",'Employee List'!C206)</f>
        <v/>
      </c>
      <c r="C206" s="8" t="str">
        <f aca="false">IF($A206="","",'Employee List'!E206&amp;"")</f>
        <v/>
      </c>
      <c r="D206" s="8" t="str">
        <f aca="false">IF($A206="","",'Employee List'!F206&amp;"")</f>
        <v/>
      </c>
      <c r="E206" s="8" t="str">
        <f aca="false">IF($A206="","",'Employee List'!G206&amp;"")</f>
        <v/>
      </c>
      <c r="F206" s="8" t="str">
        <f aca="false">IF($A206="","",'Employee List'!D206)</f>
        <v/>
      </c>
      <c r="G206" s="38" t="str">
        <f aca="false">IF($A206="","",IF('Employee List'!I206="","",'Employee List'!I206))</f>
        <v/>
      </c>
      <c r="H206" s="38" t="str">
        <f aca="false">IF(OR($A206="",G206=""),"",G206+Settings!$C$13)</f>
        <v/>
      </c>
      <c r="I206" s="38" t="str">
        <f aca="false">IF(H206="","",MAX(H206,DATE(LvYear,1,1)))</f>
        <v/>
      </c>
      <c r="J206" s="38" t="str">
        <f aca="false">IF($A206="","",IF('Employee List'!J206="",DATE(LvYear,12,31),MIN('Employee List'!J206,DATE(LvYear,12,31))))</f>
        <v/>
      </c>
      <c r="K206" s="39" t="str">
        <f aca="false">IF(OR(I206="",J206=""),"",MAX(0,J206-I206+1))</f>
        <v/>
      </c>
      <c r="L206" s="16" t="str">
        <f aca="false">IF($A206="","",IF(AND(ISNUMBER(K206),K206=0),0,Settings!$C$10))</f>
        <v/>
      </c>
      <c r="M206" s="16" t="str">
        <f aca="false">IF($A206="","",IF(AND(ISNUMBER(K206),K206=0),0,Settings!$C$11))</f>
        <v/>
      </c>
      <c r="N206" s="40"/>
      <c r="O206" s="16" t="str">
        <f aca="false">IF($A206="","",FLOOR(Settings!$C$12/365*N(K206),0.5))</f>
        <v/>
      </c>
      <c r="P206" s="16" t="str">
        <f aca="false">IF($A206="","",IF(I206="",N(N206),FLOOR(Settings!$C$12/365*MAX(0,MIN(LvAsOf,J206)-I206+1)+N(N206),0.5)))</f>
        <v/>
      </c>
      <c r="Q206" s="16" t="str">
        <f aca="false">IF($A206="","",Settings!$C$14)</f>
        <v/>
      </c>
      <c r="R206" s="16" t="str">
        <f aca="false">IF($A206="","",SUMIFS(Attendance!$AZ$6:$AZ$2405,Attendance!$B$6:$B$2405,$A206,Attendance!$A$6:$A$2405,"&gt;="&amp;DATE(LvYear,1,1),Attendance!$A$6:$A$2405,"&lt;="&amp;DATE(LvYear,12,31)))</f>
        <v/>
      </c>
      <c r="S206" s="16" t="str">
        <f aca="false">IF($A206="","",SUMIFS(Attendance!$AY$6:$AY$2405,Attendance!$B$6:$B$2405,$A206,Attendance!$A$6:$A$2405,"&gt;="&amp;DATE(LvYear,1,1),Attendance!$A$6:$A$2405,"&lt;="&amp;DATE(LvYear,12,31)))</f>
        <v/>
      </c>
      <c r="T206" s="16" t="str">
        <f aca="false">IF($A206="","",SUMIFS(Attendance!$AX$6:$AX$2405,Attendance!$B$6:$B$2405,$A206,Attendance!$A$6:$A$2405,"&gt;="&amp;DATE(LvYear,1,1),Attendance!$A$6:$A$2405,"&lt;="&amp;DATE(LvYear,12,31)))</f>
        <v/>
      </c>
      <c r="U206" s="16" t="str">
        <f aca="false">IF($A206="","",SUMIFS(Attendance!$AW$6:$AW$2405,Attendance!$B$6:$B$2405,$A206,Attendance!$A$6:$A$2405,"&gt;="&amp;DATE(LvYear,1,1),Attendance!$A$6:$A$2405,"&lt;="&amp;DATE(LvYear,12,31)))</f>
        <v/>
      </c>
      <c r="V206" s="16" t="str">
        <f aca="false">IF($A206="","",L206-R206)</f>
        <v/>
      </c>
      <c r="W206" s="16" t="str">
        <f aca="false">IF($A206="","",M206-S206)</f>
        <v/>
      </c>
      <c r="X206" s="16" t="str">
        <f aca="false">IF($A206="","",P206-T206)</f>
        <v/>
      </c>
      <c r="Y206" s="16" t="str">
        <f aca="false">IF($A206="","",Q206-U206)</f>
        <v/>
      </c>
      <c r="Z206" s="16" t="str">
        <f aca="false">IF($A206="","",V206+W206+X206)</f>
        <v/>
      </c>
      <c r="AA206" s="16" t="str">
        <f aca="false">IF($A206="","",O206+N(N206)-T206)</f>
        <v/>
      </c>
      <c r="AB206" s="8" t="str">
        <f aca="false">IF($A206="","","CL "&amp;V206&amp;" | SL "&amp;W206&amp;" | PL "&amp;X206&amp;" | TR "&amp;Y206)</f>
        <v/>
      </c>
      <c r="AC206" s="15" t="str">
        <f aca="false">IF($A206="","",IF(F206="Exited","EXITED",IF(AND(ISNUMBER(K206),K206=0),"NOT ELIGIBLE",IF(MIN(V206:X206)&lt;0,"OVER-USED",IF(Z206&lt;=Settings!$C$15,"LOW","OK")))))</f>
        <v/>
      </c>
      <c r="AD206" s="16" t="str">
        <f aca="false">IF(OR(AC206="OVER-USED",AC206="LOW"),COUNTIF(AC$6:AC206,"OVER-USED")+COUNTIF(AC$6:AC206,"LOW"),"")</f>
        <v/>
      </c>
    </row>
    <row r="207" customFormat="false" ht="15" hidden="false" customHeight="false" outlineLevel="0" collapsed="false">
      <c r="A207" s="8" t="str">
        <f aca="false">IF('Employee List'!B207="","",'Employee List'!B207)</f>
        <v/>
      </c>
      <c r="B207" s="8" t="str">
        <f aca="false">IF($A207="","",'Employee List'!C207)</f>
        <v/>
      </c>
      <c r="C207" s="8" t="str">
        <f aca="false">IF($A207="","",'Employee List'!E207&amp;"")</f>
        <v/>
      </c>
      <c r="D207" s="8" t="str">
        <f aca="false">IF($A207="","",'Employee List'!F207&amp;"")</f>
        <v/>
      </c>
      <c r="E207" s="8" t="str">
        <f aca="false">IF($A207="","",'Employee List'!G207&amp;"")</f>
        <v/>
      </c>
      <c r="F207" s="8" t="str">
        <f aca="false">IF($A207="","",'Employee List'!D207)</f>
        <v/>
      </c>
      <c r="G207" s="38" t="str">
        <f aca="false">IF($A207="","",IF('Employee List'!I207="","",'Employee List'!I207))</f>
        <v/>
      </c>
      <c r="H207" s="38" t="str">
        <f aca="false">IF(OR($A207="",G207=""),"",G207+Settings!$C$13)</f>
        <v/>
      </c>
      <c r="I207" s="38" t="str">
        <f aca="false">IF(H207="","",MAX(H207,DATE(LvYear,1,1)))</f>
        <v/>
      </c>
      <c r="J207" s="38" t="str">
        <f aca="false">IF($A207="","",IF('Employee List'!J207="",DATE(LvYear,12,31),MIN('Employee List'!J207,DATE(LvYear,12,31))))</f>
        <v/>
      </c>
      <c r="K207" s="39" t="str">
        <f aca="false">IF(OR(I207="",J207=""),"",MAX(0,J207-I207+1))</f>
        <v/>
      </c>
      <c r="L207" s="16" t="str">
        <f aca="false">IF($A207="","",IF(AND(ISNUMBER(K207),K207=0),0,Settings!$C$10))</f>
        <v/>
      </c>
      <c r="M207" s="16" t="str">
        <f aca="false">IF($A207="","",IF(AND(ISNUMBER(K207),K207=0),0,Settings!$C$11))</f>
        <v/>
      </c>
      <c r="N207" s="40"/>
      <c r="O207" s="16" t="str">
        <f aca="false">IF($A207="","",FLOOR(Settings!$C$12/365*N(K207),0.5))</f>
        <v/>
      </c>
      <c r="P207" s="16" t="str">
        <f aca="false">IF($A207="","",IF(I207="",N(N207),FLOOR(Settings!$C$12/365*MAX(0,MIN(LvAsOf,J207)-I207+1)+N(N207),0.5)))</f>
        <v/>
      </c>
      <c r="Q207" s="16" t="str">
        <f aca="false">IF($A207="","",Settings!$C$14)</f>
        <v/>
      </c>
      <c r="R207" s="16" t="str">
        <f aca="false">IF($A207="","",SUMIFS(Attendance!$AZ$6:$AZ$2405,Attendance!$B$6:$B$2405,$A207,Attendance!$A$6:$A$2405,"&gt;="&amp;DATE(LvYear,1,1),Attendance!$A$6:$A$2405,"&lt;="&amp;DATE(LvYear,12,31)))</f>
        <v/>
      </c>
      <c r="S207" s="16" t="str">
        <f aca="false">IF($A207="","",SUMIFS(Attendance!$AY$6:$AY$2405,Attendance!$B$6:$B$2405,$A207,Attendance!$A$6:$A$2405,"&gt;="&amp;DATE(LvYear,1,1),Attendance!$A$6:$A$2405,"&lt;="&amp;DATE(LvYear,12,31)))</f>
        <v/>
      </c>
      <c r="T207" s="16" t="str">
        <f aca="false">IF($A207="","",SUMIFS(Attendance!$AX$6:$AX$2405,Attendance!$B$6:$B$2405,$A207,Attendance!$A$6:$A$2405,"&gt;="&amp;DATE(LvYear,1,1),Attendance!$A$6:$A$2405,"&lt;="&amp;DATE(LvYear,12,31)))</f>
        <v/>
      </c>
      <c r="U207" s="16" t="str">
        <f aca="false">IF($A207="","",SUMIFS(Attendance!$AW$6:$AW$2405,Attendance!$B$6:$B$2405,$A207,Attendance!$A$6:$A$2405,"&gt;="&amp;DATE(LvYear,1,1),Attendance!$A$6:$A$2405,"&lt;="&amp;DATE(LvYear,12,31)))</f>
        <v/>
      </c>
      <c r="V207" s="16" t="str">
        <f aca="false">IF($A207="","",L207-R207)</f>
        <v/>
      </c>
      <c r="W207" s="16" t="str">
        <f aca="false">IF($A207="","",M207-S207)</f>
        <v/>
      </c>
      <c r="X207" s="16" t="str">
        <f aca="false">IF($A207="","",P207-T207)</f>
        <v/>
      </c>
      <c r="Y207" s="16" t="str">
        <f aca="false">IF($A207="","",Q207-U207)</f>
        <v/>
      </c>
      <c r="Z207" s="16" t="str">
        <f aca="false">IF($A207="","",V207+W207+X207)</f>
        <v/>
      </c>
      <c r="AA207" s="16" t="str">
        <f aca="false">IF($A207="","",O207+N(N207)-T207)</f>
        <v/>
      </c>
      <c r="AB207" s="8" t="str">
        <f aca="false">IF($A207="","","CL "&amp;V207&amp;" | SL "&amp;W207&amp;" | PL "&amp;X207&amp;" | TR "&amp;Y207)</f>
        <v/>
      </c>
      <c r="AC207" s="15" t="str">
        <f aca="false">IF($A207="","",IF(F207="Exited","EXITED",IF(AND(ISNUMBER(K207),K207=0),"NOT ELIGIBLE",IF(MIN(V207:X207)&lt;0,"OVER-USED",IF(Z207&lt;=Settings!$C$15,"LOW","OK")))))</f>
        <v/>
      </c>
      <c r="AD207" s="16" t="str">
        <f aca="false">IF(OR(AC207="OVER-USED",AC207="LOW"),COUNTIF(AC$6:AC207,"OVER-USED")+COUNTIF(AC$6:AC207,"LOW"),"")</f>
        <v/>
      </c>
    </row>
    <row r="208" customFormat="false" ht="15" hidden="false" customHeight="false" outlineLevel="0" collapsed="false">
      <c r="A208" s="8" t="str">
        <f aca="false">IF('Employee List'!B208="","",'Employee List'!B208)</f>
        <v/>
      </c>
      <c r="B208" s="8" t="str">
        <f aca="false">IF($A208="","",'Employee List'!C208)</f>
        <v/>
      </c>
      <c r="C208" s="8" t="str">
        <f aca="false">IF($A208="","",'Employee List'!E208&amp;"")</f>
        <v/>
      </c>
      <c r="D208" s="8" t="str">
        <f aca="false">IF($A208="","",'Employee List'!F208&amp;"")</f>
        <v/>
      </c>
      <c r="E208" s="8" t="str">
        <f aca="false">IF($A208="","",'Employee List'!G208&amp;"")</f>
        <v/>
      </c>
      <c r="F208" s="8" t="str">
        <f aca="false">IF($A208="","",'Employee List'!D208)</f>
        <v/>
      </c>
      <c r="G208" s="38" t="str">
        <f aca="false">IF($A208="","",IF('Employee List'!I208="","",'Employee List'!I208))</f>
        <v/>
      </c>
      <c r="H208" s="38" t="str">
        <f aca="false">IF(OR($A208="",G208=""),"",G208+Settings!$C$13)</f>
        <v/>
      </c>
      <c r="I208" s="38" t="str">
        <f aca="false">IF(H208="","",MAX(H208,DATE(LvYear,1,1)))</f>
        <v/>
      </c>
      <c r="J208" s="38" t="str">
        <f aca="false">IF($A208="","",IF('Employee List'!J208="",DATE(LvYear,12,31),MIN('Employee List'!J208,DATE(LvYear,12,31))))</f>
        <v/>
      </c>
      <c r="K208" s="39" t="str">
        <f aca="false">IF(OR(I208="",J208=""),"",MAX(0,J208-I208+1))</f>
        <v/>
      </c>
      <c r="L208" s="16" t="str">
        <f aca="false">IF($A208="","",IF(AND(ISNUMBER(K208),K208=0),0,Settings!$C$10))</f>
        <v/>
      </c>
      <c r="M208" s="16" t="str">
        <f aca="false">IF($A208="","",IF(AND(ISNUMBER(K208),K208=0),0,Settings!$C$11))</f>
        <v/>
      </c>
      <c r="N208" s="40"/>
      <c r="O208" s="16" t="str">
        <f aca="false">IF($A208="","",FLOOR(Settings!$C$12/365*N(K208),0.5))</f>
        <v/>
      </c>
      <c r="P208" s="16" t="str">
        <f aca="false">IF($A208="","",IF(I208="",N(N208),FLOOR(Settings!$C$12/365*MAX(0,MIN(LvAsOf,J208)-I208+1)+N(N208),0.5)))</f>
        <v/>
      </c>
      <c r="Q208" s="16" t="str">
        <f aca="false">IF($A208="","",Settings!$C$14)</f>
        <v/>
      </c>
      <c r="R208" s="16" t="str">
        <f aca="false">IF($A208="","",SUMIFS(Attendance!$AZ$6:$AZ$2405,Attendance!$B$6:$B$2405,$A208,Attendance!$A$6:$A$2405,"&gt;="&amp;DATE(LvYear,1,1),Attendance!$A$6:$A$2405,"&lt;="&amp;DATE(LvYear,12,31)))</f>
        <v/>
      </c>
      <c r="S208" s="16" t="str">
        <f aca="false">IF($A208="","",SUMIFS(Attendance!$AY$6:$AY$2405,Attendance!$B$6:$B$2405,$A208,Attendance!$A$6:$A$2405,"&gt;="&amp;DATE(LvYear,1,1),Attendance!$A$6:$A$2405,"&lt;="&amp;DATE(LvYear,12,31)))</f>
        <v/>
      </c>
      <c r="T208" s="16" t="str">
        <f aca="false">IF($A208="","",SUMIFS(Attendance!$AX$6:$AX$2405,Attendance!$B$6:$B$2405,$A208,Attendance!$A$6:$A$2405,"&gt;="&amp;DATE(LvYear,1,1),Attendance!$A$6:$A$2405,"&lt;="&amp;DATE(LvYear,12,31)))</f>
        <v/>
      </c>
      <c r="U208" s="16" t="str">
        <f aca="false">IF($A208="","",SUMIFS(Attendance!$AW$6:$AW$2405,Attendance!$B$6:$B$2405,$A208,Attendance!$A$6:$A$2405,"&gt;="&amp;DATE(LvYear,1,1),Attendance!$A$6:$A$2405,"&lt;="&amp;DATE(LvYear,12,31)))</f>
        <v/>
      </c>
      <c r="V208" s="16" t="str">
        <f aca="false">IF($A208="","",L208-R208)</f>
        <v/>
      </c>
      <c r="W208" s="16" t="str">
        <f aca="false">IF($A208="","",M208-S208)</f>
        <v/>
      </c>
      <c r="X208" s="16" t="str">
        <f aca="false">IF($A208="","",P208-T208)</f>
        <v/>
      </c>
      <c r="Y208" s="16" t="str">
        <f aca="false">IF($A208="","",Q208-U208)</f>
        <v/>
      </c>
      <c r="Z208" s="16" t="str">
        <f aca="false">IF($A208="","",V208+W208+X208)</f>
        <v/>
      </c>
      <c r="AA208" s="16" t="str">
        <f aca="false">IF($A208="","",O208+N(N208)-T208)</f>
        <v/>
      </c>
      <c r="AB208" s="8" t="str">
        <f aca="false">IF($A208="","","CL "&amp;V208&amp;" | SL "&amp;W208&amp;" | PL "&amp;X208&amp;" | TR "&amp;Y208)</f>
        <v/>
      </c>
      <c r="AC208" s="15" t="str">
        <f aca="false">IF($A208="","",IF(F208="Exited","EXITED",IF(AND(ISNUMBER(K208),K208=0),"NOT ELIGIBLE",IF(MIN(V208:X208)&lt;0,"OVER-USED",IF(Z208&lt;=Settings!$C$15,"LOW","OK")))))</f>
        <v/>
      </c>
      <c r="AD208" s="16" t="str">
        <f aca="false">IF(OR(AC208="OVER-USED",AC208="LOW"),COUNTIF(AC$6:AC208,"OVER-USED")+COUNTIF(AC$6:AC208,"LOW"),"")</f>
        <v/>
      </c>
    </row>
    <row r="209" customFormat="false" ht="15" hidden="false" customHeight="false" outlineLevel="0" collapsed="false">
      <c r="A209" s="8" t="str">
        <f aca="false">IF('Employee List'!B209="","",'Employee List'!B209)</f>
        <v/>
      </c>
      <c r="B209" s="8" t="str">
        <f aca="false">IF($A209="","",'Employee List'!C209)</f>
        <v/>
      </c>
      <c r="C209" s="8" t="str">
        <f aca="false">IF($A209="","",'Employee List'!E209&amp;"")</f>
        <v/>
      </c>
      <c r="D209" s="8" t="str">
        <f aca="false">IF($A209="","",'Employee List'!F209&amp;"")</f>
        <v/>
      </c>
      <c r="E209" s="8" t="str">
        <f aca="false">IF($A209="","",'Employee List'!G209&amp;"")</f>
        <v/>
      </c>
      <c r="F209" s="8" t="str">
        <f aca="false">IF($A209="","",'Employee List'!D209)</f>
        <v/>
      </c>
      <c r="G209" s="38" t="str">
        <f aca="false">IF($A209="","",IF('Employee List'!I209="","",'Employee List'!I209))</f>
        <v/>
      </c>
      <c r="H209" s="38" t="str">
        <f aca="false">IF(OR($A209="",G209=""),"",G209+Settings!$C$13)</f>
        <v/>
      </c>
      <c r="I209" s="38" t="str">
        <f aca="false">IF(H209="","",MAX(H209,DATE(LvYear,1,1)))</f>
        <v/>
      </c>
      <c r="J209" s="38" t="str">
        <f aca="false">IF($A209="","",IF('Employee List'!J209="",DATE(LvYear,12,31),MIN('Employee List'!J209,DATE(LvYear,12,31))))</f>
        <v/>
      </c>
      <c r="K209" s="39" t="str">
        <f aca="false">IF(OR(I209="",J209=""),"",MAX(0,J209-I209+1))</f>
        <v/>
      </c>
      <c r="L209" s="16" t="str">
        <f aca="false">IF($A209="","",IF(AND(ISNUMBER(K209),K209=0),0,Settings!$C$10))</f>
        <v/>
      </c>
      <c r="M209" s="16" t="str">
        <f aca="false">IF($A209="","",IF(AND(ISNUMBER(K209),K209=0),0,Settings!$C$11))</f>
        <v/>
      </c>
      <c r="N209" s="40"/>
      <c r="O209" s="16" t="str">
        <f aca="false">IF($A209="","",FLOOR(Settings!$C$12/365*N(K209),0.5))</f>
        <v/>
      </c>
      <c r="P209" s="16" t="str">
        <f aca="false">IF($A209="","",IF(I209="",N(N209),FLOOR(Settings!$C$12/365*MAX(0,MIN(LvAsOf,J209)-I209+1)+N(N209),0.5)))</f>
        <v/>
      </c>
      <c r="Q209" s="16" t="str">
        <f aca="false">IF($A209="","",Settings!$C$14)</f>
        <v/>
      </c>
      <c r="R209" s="16" t="str">
        <f aca="false">IF($A209="","",SUMIFS(Attendance!$AZ$6:$AZ$2405,Attendance!$B$6:$B$2405,$A209,Attendance!$A$6:$A$2405,"&gt;="&amp;DATE(LvYear,1,1),Attendance!$A$6:$A$2405,"&lt;="&amp;DATE(LvYear,12,31)))</f>
        <v/>
      </c>
      <c r="S209" s="16" t="str">
        <f aca="false">IF($A209="","",SUMIFS(Attendance!$AY$6:$AY$2405,Attendance!$B$6:$B$2405,$A209,Attendance!$A$6:$A$2405,"&gt;="&amp;DATE(LvYear,1,1),Attendance!$A$6:$A$2405,"&lt;="&amp;DATE(LvYear,12,31)))</f>
        <v/>
      </c>
      <c r="T209" s="16" t="str">
        <f aca="false">IF($A209="","",SUMIFS(Attendance!$AX$6:$AX$2405,Attendance!$B$6:$B$2405,$A209,Attendance!$A$6:$A$2405,"&gt;="&amp;DATE(LvYear,1,1),Attendance!$A$6:$A$2405,"&lt;="&amp;DATE(LvYear,12,31)))</f>
        <v/>
      </c>
      <c r="U209" s="16" t="str">
        <f aca="false">IF($A209="","",SUMIFS(Attendance!$AW$6:$AW$2405,Attendance!$B$6:$B$2405,$A209,Attendance!$A$6:$A$2405,"&gt;="&amp;DATE(LvYear,1,1),Attendance!$A$6:$A$2405,"&lt;="&amp;DATE(LvYear,12,31)))</f>
        <v/>
      </c>
      <c r="V209" s="16" t="str">
        <f aca="false">IF($A209="","",L209-R209)</f>
        <v/>
      </c>
      <c r="W209" s="16" t="str">
        <f aca="false">IF($A209="","",M209-S209)</f>
        <v/>
      </c>
      <c r="X209" s="16" t="str">
        <f aca="false">IF($A209="","",P209-T209)</f>
        <v/>
      </c>
      <c r="Y209" s="16" t="str">
        <f aca="false">IF($A209="","",Q209-U209)</f>
        <v/>
      </c>
      <c r="Z209" s="16" t="str">
        <f aca="false">IF($A209="","",V209+W209+X209)</f>
        <v/>
      </c>
      <c r="AA209" s="16" t="str">
        <f aca="false">IF($A209="","",O209+N(N209)-T209)</f>
        <v/>
      </c>
      <c r="AB209" s="8" t="str">
        <f aca="false">IF($A209="","","CL "&amp;V209&amp;" | SL "&amp;W209&amp;" | PL "&amp;X209&amp;" | TR "&amp;Y209)</f>
        <v/>
      </c>
      <c r="AC209" s="15" t="str">
        <f aca="false">IF($A209="","",IF(F209="Exited","EXITED",IF(AND(ISNUMBER(K209),K209=0),"NOT ELIGIBLE",IF(MIN(V209:X209)&lt;0,"OVER-USED",IF(Z209&lt;=Settings!$C$15,"LOW","OK")))))</f>
        <v/>
      </c>
      <c r="AD209" s="16" t="str">
        <f aca="false">IF(OR(AC209="OVER-USED",AC209="LOW"),COUNTIF(AC$6:AC209,"OVER-USED")+COUNTIF(AC$6:AC209,"LOW"),"")</f>
        <v/>
      </c>
    </row>
    <row r="210" customFormat="false" ht="15" hidden="false" customHeight="false" outlineLevel="0" collapsed="false">
      <c r="A210" s="8" t="str">
        <f aca="false">IF('Employee List'!B210="","",'Employee List'!B210)</f>
        <v/>
      </c>
      <c r="B210" s="8" t="str">
        <f aca="false">IF($A210="","",'Employee List'!C210)</f>
        <v/>
      </c>
      <c r="C210" s="8" t="str">
        <f aca="false">IF($A210="","",'Employee List'!E210&amp;"")</f>
        <v/>
      </c>
      <c r="D210" s="8" t="str">
        <f aca="false">IF($A210="","",'Employee List'!F210&amp;"")</f>
        <v/>
      </c>
      <c r="E210" s="8" t="str">
        <f aca="false">IF($A210="","",'Employee List'!G210&amp;"")</f>
        <v/>
      </c>
      <c r="F210" s="8" t="str">
        <f aca="false">IF($A210="","",'Employee List'!D210)</f>
        <v/>
      </c>
      <c r="G210" s="38" t="str">
        <f aca="false">IF($A210="","",IF('Employee List'!I210="","",'Employee List'!I210))</f>
        <v/>
      </c>
      <c r="H210" s="38" t="str">
        <f aca="false">IF(OR($A210="",G210=""),"",G210+Settings!$C$13)</f>
        <v/>
      </c>
      <c r="I210" s="38" t="str">
        <f aca="false">IF(H210="","",MAX(H210,DATE(LvYear,1,1)))</f>
        <v/>
      </c>
      <c r="J210" s="38" t="str">
        <f aca="false">IF($A210="","",IF('Employee List'!J210="",DATE(LvYear,12,31),MIN('Employee List'!J210,DATE(LvYear,12,31))))</f>
        <v/>
      </c>
      <c r="K210" s="39" t="str">
        <f aca="false">IF(OR(I210="",J210=""),"",MAX(0,J210-I210+1))</f>
        <v/>
      </c>
      <c r="L210" s="16" t="str">
        <f aca="false">IF($A210="","",IF(AND(ISNUMBER(K210),K210=0),0,Settings!$C$10))</f>
        <v/>
      </c>
      <c r="M210" s="16" t="str">
        <f aca="false">IF($A210="","",IF(AND(ISNUMBER(K210),K210=0),0,Settings!$C$11))</f>
        <v/>
      </c>
      <c r="N210" s="40"/>
      <c r="O210" s="16" t="str">
        <f aca="false">IF($A210="","",FLOOR(Settings!$C$12/365*N(K210),0.5))</f>
        <v/>
      </c>
      <c r="P210" s="16" t="str">
        <f aca="false">IF($A210="","",IF(I210="",N(N210),FLOOR(Settings!$C$12/365*MAX(0,MIN(LvAsOf,J210)-I210+1)+N(N210),0.5)))</f>
        <v/>
      </c>
      <c r="Q210" s="16" t="str">
        <f aca="false">IF($A210="","",Settings!$C$14)</f>
        <v/>
      </c>
      <c r="R210" s="16" t="str">
        <f aca="false">IF($A210="","",SUMIFS(Attendance!$AZ$6:$AZ$2405,Attendance!$B$6:$B$2405,$A210,Attendance!$A$6:$A$2405,"&gt;="&amp;DATE(LvYear,1,1),Attendance!$A$6:$A$2405,"&lt;="&amp;DATE(LvYear,12,31)))</f>
        <v/>
      </c>
      <c r="S210" s="16" t="str">
        <f aca="false">IF($A210="","",SUMIFS(Attendance!$AY$6:$AY$2405,Attendance!$B$6:$B$2405,$A210,Attendance!$A$6:$A$2405,"&gt;="&amp;DATE(LvYear,1,1),Attendance!$A$6:$A$2405,"&lt;="&amp;DATE(LvYear,12,31)))</f>
        <v/>
      </c>
      <c r="T210" s="16" t="str">
        <f aca="false">IF($A210="","",SUMIFS(Attendance!$AX$6:$AX$2405,Attendance!$B$6:$B$2405,$A210,Attendance!$A$6:$A$2405,"&gt;="&amp;DATE(LvYear,1,1),Attendance!$A$6:$A$2405,"&lt;="&amp;DATE(LvYear,12,31)))</f>
        <v/>
      </c>
      <c r="U210" s="16" t="str">
        <f aca="false">IF($A210="","",SUMIFS(Attendance!$AW$6:$AW$2405,Attendance!$B$6:$B$2405,$A210,Attendance!$A$6:$A$2405,"&gt;="&amp;DATE(LvYear,1,1),Attendance!$A$6:$A$2405,"&lt;="&amp;DATE(LvYear,12,31)))</f>
        <v/>
      </c>
      <c r="V210" s="16" t="str">
        <f aca="false">IF($A210="","",L210-R210)</f>
        <v/>
      </c>
      <c r="W210" s="16" t="str">
        <f aca="false">IF($A210="","",M210-S210)</f>
        <v/>
      </c>
      <c r="X210" s="16" t="str">
        <f aca="false">IF($A210="","",P210-T210)</f>
        <v/>
      </c>
      <c r="Y210" s="16" t="str">
        <f aca="false">IF($A210="","",Q210-U210)</f>
        <v/>
      </c>
      <c r="Z210" s="16" t="str">
        <f aca="false">IF($A210="","",V210+W210+X210)</f>
        <v/>
      </c>
      <c r="AA210" s="16" t="str">
        <f aca="false">IF($A210="","",O210+N(N210)-T210)</f>
        <v/>
      </c>
      <c r="AB210" s="8" t="str">
        <f aca="false">IF($A210="","","CL "&amp;V210&amp;" | SL "&amp;W210&amp;" | PL "&amp;X210&amp;" | TR "&amp;Y210)</f>
        <v/>
      </c>
      <c r="AC210" s="15" t="str">
        <f aca="false">IF($A210="","",IF(F210="Exited","EXITED",IF(AND(ISNUMBER(K210),K210=0),"NOT ELIGIBLE",IF(MIN(V210:X210)&lt;0,"OVER-USED",IF(Z210&lt;=Settings!$C$15,"LOW","OK")))))</f>
        <v/>
      </c>
      <c r="AD210" s="16" t="str">
        <f aca="false">IF(OR(AC210="OVER-USED",AC210="LOW"),COUNTIF(AC$6:AC210,"OVER-USED")+COUNTIF(AC$6:AC210,"LOW"),"")</f>
        <v/>
      </c>
    </row>
    <row r="211" customFormat="false" ht="15" hidden="false" customHeight="false" outlineLevel="0" collapsed="false">
      <c r="A211" s="8" t="str">
        <f aca="false">IF('Employee List'!B211="","",'Employee List'!B211)</f>
        <v/>
      </c>
      <c r="B211" s="8" t="str">
        <f aca="false">IF($A211="","",'Employee List'!C211)</f>
        <v/>
      </c>
      <c r="C211" s="8" t="str">
        <f aca="false">IF($A211="","",'Employee List'!E211&amp;"")</f>
        <v/>
      </c>
      <c r="D211" s="8" t="str">
        <f aca="false">IF($A211="","",'Employee List'!F211&amp;"")</f>
        <v/>
      </c>
      <c r="E211" s="8" t="str">
        <f aca="false">IF($A211="","",'Employee List'!G211&amp;"")</f>
        <v/>
      </c>
      <c r="F211" s="8" t="str">
        <f aca="false">IF($A211="","",'Employee List'!D211)</f>
        <v/>
      </c>
      <c r="G211" s="38" t="str">
        <f aca="false">IF($A211="","",IF('Employee List'!I211="","",'Employee List'!I211))</f>
        <v/>
      </c>
      <c r="H211" s="38" t="str">
        <f aca="false">IF(OR($A211="",G211=""),"",G211+Settings!$C$13)</f>
        <v/>
      </c>
      <c r="I211" s="38" t="str">
        <f aca="false">IF(H211="","",MAX(H211,DATE(LvYear,1,1)))</f>
        <v/>
      </c>
      <c r="J211" s="38" t="str">
        <f aca="false">IF($A211="","",IF('Employee List'!J211="",DATE(LvYear,12,31),MIN('Employee List'!J211,DATE(LvYear,12,31))))</f>
        <v/>
      </c>
      <c r="K211" s="39" t="str">
        <f aca="false">IF(OR(I211="",J211=""),"",MAX(0,J211-I211+1))</f>
        <v/>
      </c>
      <c r="L211" s="16" t="str">
        <f aca="false">IF($A211="","",IF(AND(ISNUMBER(K211),K211=0),0,Settings!$C$10))</f>
        <v/>
      </c>
      <c r="M211" s="16" t="str">
        <f aca="false">IF($A211="","",IF(AND(ISNUMBER(K211),K211=0),0,Settings!$C$11))</f>
        <v/>
      </c>
      <c r="N211" s="40"/>
      <c r="O211" s="16" t="str">
        <f aca="false">IF($A211="","",FLOOR(Settings!$C$12/365*N(K211),0.5))</f>
        <v/>
      </c>
      <c r="P211" s="16" t="str">
        <f aca="false">IF($A211="","",IF(I211="",N(N211),FLOOR(Settings!$C$12/365*MAX(0,MIN(LvAsOf,J211)-I211+1)+N(N211),0.5)))</f>
        <v/>
      </c>
      <c r="Q211" s="16" t="str">
        <f aca="false">IF($A211="","",Settings!$C$14)</f>
        <v/>
      </c>
      <c r="R211" s="16" t="str">
        <f aca="false">IF($A211="","",SUMIFS(Attendance!$AZ$6:$AZ$2405,Attendance!$B$6:$B$2405,$A211,Attendance!$A$6:$A$2405,"&gt;="&amp;DATE(LvYear,1,1),Attendance!$A$6:$A$2405,"&lt;="&amp;DATE(LvYear,12,31)))</f>
        <v/>
      </c>
      <c r="S211" s="16" t="str">
        <f aca="false">IF($A211="","",SUMIFS(Attendance!$AY$6:$AY$2405,Attendance!$B$6:$B$2405,$A211,Attendance!$A$6:$A$2405,"&gt;="&amp;DATE(LvYear,1,1),Attendance!$A$6:$A$2405,"&lt;="&amp;DATE(LvYear,12,31)))</f>
        <v/>
      </c>
      <c r="T211" s="16" t="str">
        <f aca="false">IF($A211="","",SUMIFS(Attendance!$AX$6:$AX$2405,Attendance!$B$6:$B$2405,$A211,Attendance!$A$6:$A$2405,"&gt;="&amp;DATE(LvYear,1,1),Attendance!$A$6:$A$2405,"&lt;="&amp;DATE(LvYear,12,31)))</f>
        <v/>
      </c>
      <c r="U211" s="16" t="str">
        <f aca="false">IF($A211="","",SUMIFS(Attendance!$AW$6:$AW$2405,Attendance!$B$6:$B$2405,$A211,Attendance!$A$6:$A$2405,"&gt;="&amp;DATE(LvYear,1,1),Attendance!$A$6:$A$2405,"&lt;="&amp;DATE(LvYear,12,31)))</f>
        <v/>
      </c>
      <c r="V211" s="16" t="str">
        <f aca="false">IF($A211="","",L211-R211)</f>
        <v/>
      </c>
      <c r="W211" s="16" t="str">
        <f aca="false">IF($A211="","",M211-S211)</f>
        <v/>
      </c>
      <c r="X211" s="16" t="str">
        <f aca="false">IF($A211="","",P211-T211)</f>
        <v/>
      </c>
      <c r="Y211" s="16" t="str">
        <f aca="false">IF($A211="","",Q211-U211)</f>
        <v/>
      </c>
      <c r="Z211" s="16" t="str">
        <f aca="false">IF($A211="","",V211+W211+X211)</f>
        <v/>
      </c>
      <c r="AA211" s="16" t="str">
        <f aca="false">IF($A211="","",O211+N(N211)-T211)</f>
        <v/>
      </c>
      <c r="AB211" s="8" t="str">
        <f aca="false">IF($A211="","","CL "&amp;V211&amp;" | SL "&amp;W211&amp;" | PL "&amp;X211&amp;" | TR "&amp;Y211)</f>
        <v/>
      </c>
      <c r="AC211" s="15" t="str">
        <f aca="false">IF($A211="","",IF(F211="Exited","EXITED",IF(AND(ISNUMBER(K211),K211=0),"NOT ELIGIBLE",IF(MIN(V211:X211)&lt;0,"OVER-USED",IF(Z211&lt;=Settings!$C$15,"LOW","OK")))))</f>
        <v/>
      </c>
      <c r="AD211" s="16" t="str">
        <f aca="false">IF(OR(AC211="OVER-USED",AC211="LOW"),COUNTIF(AC$6:AC211,"OVER-USED")+COUNTIF(AC$6:AC211,"LOW"),"")</f>
        <v/>
      </c>
    </row>
    <row r="212" customFormat="false" ht="15" hidden="false" customHeight="false" outlineLevel="0" collapsed="false">
      <c r="A212" s="8" t="str">
        <f aca="false">IF('Employee List'!B212="","",'Employee List'!B212)</f>
        <v/>
      </c>
      <c r="B212" s="8" t="str">
        <f aca="false">IF($A212="","",'Employee List'!C212)</f>
        <v/>
      </c>
      <c r="C212" s="8" t="str">
        <f aca="false">IF($A212="","",'Employee List'!E212&amp;"")</f>
        <v/>
      </c>
      <c r="D212" s="8" t="str">
        <f aca="false">IF($A212="","",'Employee List'!F212&amp;"")</f>
        <v/>
      </c>
      <c r="E212" s="8" t="str">
        <f aca="false">IF($A212="","",'Employee List'!G212&amp;"")</f>
        <v/>
      </c>
      <c r="F212" s="8" t="str">
        <f aca="false">IF($A212="","",'Employee List'!D212)</f>
        <v/>
      </c>
      <c r="G212" s="38" t="str">
        <f aca="false">IF($A212="","",IF('Employee List'!I212="","",'Employee List'!I212))</f>
        <v/>
      </c>
      <c r="H212" s="38" t="str">
        <f aca="false">IF(OR($A212="",G212=""),"",G212+Settings!$C$13)</f>
        <v/>
      </c>
      <c r="I212" s="38" t="str">
        <f aca="false">IF(H212="","",MAX(H212,DATE(LvYear,1,1)))</f>
        <v/>
      </c>
      <c r="J212" s="38" t="str">
        <f aca="false">IF($A212="","",IF('Employee List'!J212="",DATE(LvYear,12,31),MIN('Employee List'!J212,DATE(LvYear,12,31))))</f>
        <v/>
      </c>
      <c r="K212" s="39" t="str">
        <f aca="false">IF(OR(I212="",J212=""),"",MAX(0,J212-I212+1))</f>
        <v/>
      </c>
      <c r="L212" s="16" t="str">
        <f aca="false">IF($A212="","",IF(AND(ISNUMBER(K212),K212=0),0,Settings!$C$10))</f>
        <v/>
      </c>
      <c r="M212" s="16" t="str">
        <f aca="false">IF($A212="","",IF(AND(ISNUMBER(K212),K212=0),0,Settings!$C$11))</f>
        <v/>
      </c>
      <c r="N212" s="40"/>
      <c r="O212" s="16" t="str">
        <f aca="false">IF($A212="","",FLOOR(Settings!$C$12/365*N(K212),0.5))</f>
        <v/>
      </c>
      <c r="P212" s="16" t="str">
        <f aca="false">IF($A212="","",IF(I212="",N(N212),FLOOR(Settings!$C$12/365*MAX(0,MIN(LvAsOf,J212)-I212+1)+N(N212),0.5)))</f>
        <v/>
      </c>
      <c r="Q212" s="16" t="str">
        <f aca="false">IF($A212="","",Settings!$C$14)</f>
        <v/>
      </c>
      <c r="R212" s="16" t="str">
        <f aca="false">IF($A212="","",SUMIFS(Attendance!$AZ$6:$AZ$2405,Attendance!$B$6:$B$2405,$A212,Attendance!$A$6:$A$2405,"&gt;="&amp;DATE(LvYear,1,1),Attendance!$A$6:$A$2405,"&lt;="&amp;DATE(LvYear,12,31)))</f>
        <v/>
      </c>
      <c r="S212" s="16" t="str">
        <f aca="false">IF($A212="","",SUMIFS(Attendance!$AY$6:$AY$2405,Attendance!$B$6:$B$2405,$A212,Attendance!$A$6:$A$2405,"&gt;="&amp;DATE(LvYear,1,1),Attendance!$A$6:$A$2405,"&lt;="&amp;DATE(LvYear,12,31)))</f>
        <v/>
      </c>
      <c r="T212" s="16" t="str">
        <f aca="false">IF($A212="","",SUMIFS(Attendance!$AX$6:$AX$2405,Attendance!$B$6:$B$2405,$A212,Attendance!$A$6:$A$2405,"&gt;="&amp;DATE(LvYear,1,1),Attendance!$A$6:$A$2405,"&lt;="&amp;DATE(LvYear,12,31)))</f>
        <v/>
      </c>
      <c r="U212" s="16" t="str">
        <f aca="false">IF($A212="","",SUMIFS(Attendance!$AW$6:$AW$2405,Attendance!$B$6:$B$2405,$A212,Attendance!$A$6:$A$2405,"&gt;="&amp;DATE(LvYear,1,1),Attendance!$A$6:$A$2405,"&lt;="&amp;DATE(LvYear,12,31)))</f>
        <v/>
      </c>
      <c r="V212" s="16" t="str">
        <f aca="false">IF($A212="","",L212-R212)</f>
        <v/>
      </c>
      <c r="W212" s="16" t="str">
        <f aca="false">IF($A212="","",M212-S212)</f>
        <v/>
      </c>
      <c r="X212" s="16" t="str">
        <f aca="false">IF($A212="","",P212-T212)</f>
        <v/>
      </c>
      <c r="Y212" s="16" t="str">
        <f aca="false">IF($A212="","",Q212-U212)</f>
        <v/>
      </c>
      <c r="Z212" s="16" t="str">
        <f aca="false">IF($A212="","",V212+W212+X212)</f>
        <v/>
      </c>
      <c r="AA212" s="16" t="str">
        <f aca="false">IF($A212="","",O212+N(N212)-T212)</f>
        <v/>
      </c>
      <c r="AB212" s="8" t="str">
        <f aca="false">IF($A212="","","CL "&amp;V212&amp;" | SL "&amp;W212&amp;" | PL "&amp;X212&amp;" | TR "&amp;Y212)</f>
        <v/>
      </c>
      <c r="AC212" s="15" t="str">
        <f aca="false">IF($A212="","",IF(F212="Exited","EXITED",IF(AND(ISNUMBER(K212),K212=0),"NOT ELIGIBLE",IF(MIN(V212:X212)&lt;0,"OVER-USED",IF(Z212&lt;=Settings!$C$15,"LOW","OK")))))</f>
        <v/>
      </c>
      <c r="AD212" s="16" t="str">
        <f aca="false">IF(OR(AC212="OVER-USED",AC212="LOW"),COUNTIF(AC$6:AC212,"OVER-USED")+COUNTIF(AC$6:AC212,"LOW"),"")</f>
        <v/>
      </c>
    </row>
    <row r="213" customFormat="false" ht="15" hidden="false" customHeight="false" outlineLevel="0" collapsed="false">
      <c r="A213" s="8" t="str">
        <f aca="false">IF('Employee List'!B213="","",'Employee List'!B213)</f>
        <v/>
      </c>
      <c r="B213" s="8" t="str">
        <f aca="false">IF($A213="","",'Employee List'!C213)</f>
        <v/>
      </c>
      <c r="C213" s="8" t="str">
        <f aca="false">IF($A213="","",'Employee List'!E213&amp;"")</f>
        <v/>
      </c>
      <c r="D213" s="8" t="str">
        <f aca="false">IF($A213="","",'Employee List'!F213&amp;"")</f>
        <v/>
      </c>
      <c r="E213" s="8" t="str">
        <f aca="false">IF($A213="","",'Employee List'!G213&amp;"")</f>
        <v/>
      </c>
      <c r="F213" s="8" t="str">
        <f aca="false">IF($A213="","",'Employee List'!D213)</f>
        <v/>
      </c>
      <c r="G213" s="38" t="str">
        <f aca="false">IF($A213="","",IF('Employee List'!I213="","",'Employee List'!I213))</f>
        <v/>
      </c>
      <c r="H213" s="38" t="str">
        <f aca="false">IF(OR($A213="",G213=""),"",G213+Settings!$C$13)</f>
        <v/>
      </c>
      <c r="I213" s="38" t="str">
        <f aca="false">IF(H213="","",MAX(H213,DATE(LvYear,1,1)))</f>
        <v/>
      </c>
      <c r="J213" s="38" t="str">
        <f aca="false">IF($A213="","",IF('Employee List'!J213="",DATE(LvYear,12,31),MIN('Employee List'!J213,DATE(LvYear,12,31))))</f>
        <v/>
      </c>
      <c r="K213" s="39" t="str">
        <f aca="false">IF(OR(I213="",J213=""),"",MAX(0,J213-I213+1))</f>
        <v/>
      </c>
      <c r="L213" s="16" t="str">
        <f aca="false">IF($A213="","",IF(AND(ISNUMBER(K213),K213=0),0,Settings!$C$10))</f>
        <v/>
      </c>
      <c r="M213" s="16" t="str">
        <f aca="false">IF($A213="","",IF(AND(ISNUMBER(K213),K213=0),0,Settings!$C$11))</f>
        <v/>
      </c>
      <c r="N213" s="40"/>
      <c r="O213" s="16" t="str">
        <f aca="false">IF($A213="","",FLOOR(Settings!$C$12/365*N(K213),0.5))</f>
        <v/>
      </c>
      <c r="P213" s="16" t="str">
        <f aca="false">IF($A213="","",IF(I213="",N(N213),FLOOR(Settings!$C$12/365*MAX(0,MIN(LvAsOf,J213)-I213+1)+N(N213),0.5)))</f>
        <v/>
      </c>
      <c r="Q213" s="16" t="str">
        <f aca="false">IF($A213="","",Settings!$C$14)</f>
        <v/>
      </c>
      <c r="R213" s="16" t="str">
        <f aca="false">IF($A213="","",SUMIFS(Attendance!$AZ$6:$AZ$2405,Attendance!$B$6:$B$2405,$A213,Attendance!$A$6:$A$2405,"&gt;="&amp;DATE(LvYear,1,1),Attendance!$A$6:$A$2405,"&lt;="&amp;DATE(LvYear,12,31)))</f>
        <v/>
      </c>
      <c r="S213" s="16" t="str">
        <f aca="false">IF($A213="","",SUMIFS(Attendance!$AY$6:$AY$2405,Attendance!$B$6:$B$2405,$A213,Attendance!$A$6:$A$2405,"&gt;="&amp;DATE(LvYear,1,1),Attendance!$A$6:$A$2405,"&lt;="&amp;DATE(LvYear,12,31)))</f>
        <v/>
      </c>
      <c r="T213" s="16" t="str">
        <f aca="false">IF($A213="","",SUMIFS(Attendance!$AX$6:$AX$2405,Attendance!$B$6:$B$2405,$A213,Attendance!$A$6:$A$2405,"&gt;="&amp;DATE(LvYear,1,1),Attendance!$A$6:$A$2405,"&lt;="&amp;DATE(LvYear,12,31)))</f>
        <v/>
      </c>
      <c r="U213" s="16" t="str">
        <f aca="false">IF($A213="","",SUMIFS(Attendance!$AW$6:$AW$2405,Attendance!$B$6:$B$2405,$A213,Attendance!$A$6:$A$2405,"&gt;="&amp;DATE(LvYear,1,1),Attendance!$A$6:$A$2405,"&lt;="&amp;DATE(LvYear,12,31)))</f>
        <v/>
      </c>
      <c r="V213" s="16" t="str">
        <f aca="false">IF($A213="","",L213-R213)</f>
        <v/>
      </c>
      <c r="W213" s="16" t="str">
        <f aca="false">IF($A213="","",M213-S213)</f>
        <v/>
      </c>
      <c r="X213" s="16" t="str">
        <f aca="false">IF($A213="","",P213-T213)</f>
        <v/>
      </c>
      <c r="Y213" s="16" t="str">
        <f aca="false">IF($A213="","",Q213-U213)</f>
        <v/>
      </c>
      <c r="Z213" s="16" t="str">
        <f aca="false">IF($A213="","",V213+W213+X213)</f>
        <v/>
      </c>
      <c r="AA213" s="16" t="str">
        <f aca="false">IF($A213="","",O213+N(N213)-T213)</f>
        <v/>
      </c>
      <c r="AB213" s="8" t="str">
        <f aca="false">IF($A213="","","CL "&amp;V213&amp;" | SL "&amp;W213&amp;" | PL "&amp;X213&amp;" | TR "&amp;Y213)</f>
        <v/>
      </c>
      <c r="AC213" s="15" t="str">
        <f aca="false">IF($A213="","",IF(F213="Exited","EXITED",IF(AND(ISNUMBER(K213),K213=0),"NOT ELIGIBLE",IF(MIN(V213:X213)&lt;0,"OVER-USED",IF(Z213&lt;=Settings!$C$15,"LOW","OK")))))</f>
        <v/>
      </c>
      <c r="AD213" s="16" t="str">
        <f aca="false">IF(OR(AC213="OVER-USED",AC213="LOW"),COUNTIF(AC$6:AC213,"OVER-USED")+COUNTIF(AC$6:AC213,"LOW"),"")</f>
        <v/>
      </c>
    </row>
    <row r="214" customFormat="false" ht="15" hidden="false" customHeight="false" outlineLevel="0" collapsed="false">
      <c r="A214" s="8" t="str">
        <f aca="false">IF('Employee List'!B214="","",'Employee List'!B214)</f>
        <v/>
      </c>
      <c r="B214" s="8" t="str">
        <f aca="false">IF($A214="","",'Employee List'!C214)</f>
        <v/>
      </c>
      <c r="C214" s="8" t="str">
        <f aca="false">IF($A214="","",'Employee List'!E214&amp;"")</f>
        <v/>
      </c>
      <c r="D214" s="8" t="str">
        <f aca="false">IF($A214="","",'Employee List'!F214&amp;"")</f>
        <v/>
      </c>
      <c r="E214" s="8" t="str">
        <f aca="false">IF($A214="","",'Employee List'!G214&amp;"")</f>
        <v/>
      </c>
      <c r="F214" s="8" t="str">
        <f aca="false">IF($A214="","",'Employee List'!D214)</f>
        <v/>
      </c>
      <c r="G214" s="38" t="str">
        <f aca="false">IF($A214="","",IF('Employee List'!I214="","",'Employee List'!I214))</f>
        <v/>
      </c>
      <c r="H214" s="38" t="str">
        <f aca="false">IF(OR($A214="",G214=""),"",G214+Settings!$C$13)</f>
        <v/>
      </c>
      <c r="I214" s="38" t="str">
        <f aca="false">IF(H214="","",MAX(H214,DATE(LvYear,1,1)))</f>
        <v/>
      </c>
      <c r="J214" s="38" t="str">
        <f aca="false">IF($A214="","",IF('Employee List'!J214="",DATE(LvYear,12,31),MIN('Employee List'!J214,DATE(LvYear,12,31))))</f>
        <v/>
      </c>
      <c r="K214" s="39" t="str">
        <f aca="false">IF(OR(I214="",J214=""),"",MAX(0,J214-I214+1))</f>
        <v/>
      </c>
      <c r="L214" s="16" t="str">
        <f aca="false">IF($A214="","",IF(AND(ISNUMBER(K214),K214=0),0,Settings!$C$10))</f>
        <v/>
      </c>
      <c r="M214" s="16" t="str">
        <f aca="false">IF($A214="","",IF(AND(ISNUMBER(K214),K214=0),0,Settings!$C$11))</f>
        <v/>
      </c>
      <c r="N214" s="40"/>
      <c r="O214" s="16" t="str">
        <f aca="false">IF($A214="","",FLOOR(Settings!$C$12/365*N(K214),0.5))</f>
        <v/>
      </c>
      <c r="P214" s="16" t="str">
        <f aca="false">IF($A214="","",IF(I214="",N(N214),FLOOR(Settings!$C$12/365*MAX(0,MIN(LvAsOf,J214)-I214+1)+N(N214),0.5)))</f>
        <v/>
      </c>
      <c r="Q214" s="16" t="str">
        <f aca="false">IF($A214="","",Settings!$C$14)</f>
        <v/>
      </c>
      <c r="R214" s="16" t="str">
        <f aca="false">IF($A214="","",SUMIFS(Attendance!$AZ$6:$AZ$2405,Attendance!$B$6:$B$2405,$A214,Attendance!$A$6:$A$2405,"&gt;="&amp;DATE(LvYear,1,1),Attendance!$A$6:$A$2405,"&lt;="&amp;DATE(LvYear,12,31)))</f>
        <v/>
      </c>
      <c r="S214" s="16" t="str">
        <f aca="false">IF($A214="","",SUMIFS(Attendance!$AY$6:$AY$2405,Attendance!$B$6:$B$2405,$A214,Attendance!$A$6:$A$2405,"&gt;="&amp;DATE(LvYear,1,1),Attendance!$A$6:$A$2405,"&lt;="&amp;DATE(LvYear,12,31)))</f>
        <v/>
      </c>
      <c r="T214" s="16" t="str">
        <f aca="false">IF($A214="","",SUMIFS(Attendance!$AX$6:$AX$2405,Attendance!$B$6:$B$2405,$A214,Attendance!$A$6:$A$2405,"&gt;="&amp;DATE(LvYear,1,1),Attendance!$A$6:$A$2405,"&lt;="&amp;DATE(LvYear,12,31)))</f>
        <v/>
      </c>
      <c r="U214" s="16" t="str">
        <f aca="false">IF($A214="","",SUMIFS(Attendance!$AW$6:$AW$2405,Attendance!$B$6:$B$2405,$A214,Attendance!$A$6:$A$2405,"&gt;="&amp;DATE(LvYear,1,1),Attendance!$A$6:$A$2405,"&lt;="&amp;DATE(LvYear,12,31)))</f>
        <v/>
      </c>
      <c r="V214" s="16" t="str">
        <f aca="false">IF($A214="","",L214-R214)</f>
        <v/>
      </c>
      <c r="W214" s="16" t="str">
        <f aca="false">IF($A214="","",M214-S214)</f>
        <v/>
      </c>
      <c r="X214" s="16" t="str">
        <f aca="false">IF($A214="","",P214-T214)</f>
        <v/>
      </c>
      <c r="Y214" s="16" t="str">
        <f aca="false">IF($A214="","",Q214-U214)</f>
        <v/>
      </c>
      <c r="Z214" s="16" t="str">
        <f aca="false">IF($A214="","",V214+W214+X214)</f>
        <v/>
      </c>
      <c r="AA214" s="16" t="str">
        <f aca="false">IF($A214="","",O214+N(N214)-T214)</f>
        <v/>
      </c>
      <c r="AB214" s="8" t="str">
        <f aca="false">IF($A214="","","CL "&amp;V214&amp;" | SL "&amp;W214&amp;" | PL "&amp;X214&amp;" | TR "&amp;Y214)</f>
        <v/>
      </c>
      <c r="AC214" s="15" t="str">
        <f aca="false">IF($A214="","",IF(F214="Exited","EXITED",IF(AND(ISNUMBER(K214),K214=0),"NOT ELIGIBLE",IF(MIN(V214:X214)&lt;0,"OVER-USED",IF(Z214&lt;=Settings!$C$15,"LOW","OK")))))</f>
        <v/>
      </c>
      <c r="AD214" s="16" t="str">
        <f aca="false">IF(OR(AC214="OVER-USED",AC214="LOW"),COUNTIF(AC$6:AC214,"OVER-USED")+COUNTIF(AC$6:AC214,"LOW"),"")</f>
        <v/>
      </c>
    </row>
    <row r="215" customFormat="false" ht="15" hidden="false" customHeight="false" outlineLevel="0" collapsed="false">
      <c r="A215" s="8" t="str">
        <f aca="false">IF('Employee List'!B215="","",'Employee List'!B215)</f>
        <v/>
      </c>
      <c r="B215" s="8" t="str">
        <f aca="false">IF($A215="","",'Employee List'!C215)</f>
        <v/>
      </c>
      <c r="C215" s="8" t="str">
        <f aca="false">IF($A215="","",'Employee List'!E215&amp;"")</f>
        <v/>
      </c>
      <c r="D215" s="8" t="str">
        <f aca="false">IF($A215="","",'Employee List'!F215&amp;"")</f>
        <v/>
      </c>
      <c r="E215" s="8" t="str">
        <f aca="false">IF($A215="","",'Employee List'!G215&amp;"")</f>
        <v/>
      </c>
      <c r="F215" s="8" t="str">
        <f aca="false">IF($A215="","",'Employee List'!D215)</f>
        <v/>
      </c>
      <c r="G215" s="38" t="str">
        <f aca="false">IF($A215="","",IF('Employee List'!I215="","",'Employee List'!I215))</f>
        <v/>
      </c>
      <c r="H215" s="38" t="str">
        <f aca="false">IF(OR($A215="",G215=""),"",G215+Settings!$C$13)</f>
        <v/>
      </c>
      <c r="I215" s="38" t="str">
        <f aca="false">IF(H215="","",MAX(H215,DATE(LvYear,1,1)))</f>
        <v/>
      </c>
      <c r="J215" s="38" t="str">
        <f aca="false">IF($A215="","",IF('Employee List'!J215="",DATE(LvYear,12,31),MIN('Employee List'!J215,DATE(LvYear,12,31))))</f>
        <v/>
      </c>
      <c r="K215" s="39" t="str">
        <f aca="false">IF(OR(I215="",J215=""),"",MAX(0,J215-I215+1))</f>
        <v/>
      </c>
      <c r="L215" s="16" t="str">
        <f aca="false">IF($A215="","",IF(AND(ISNUMBER(K215),K215=0),0,Settings!$C$10))</f>
        <v/>
      </c>
      <c r="M215" s="16" t="str">
        <f aca="false">IF($A215="","",IF(AND(ISNUMBER(K215),K215=0),0,Settings!$C$11))</f>
        <v/>
      </c>
      <c r="N215" s="40"/>
      <c r="O215" s="16" t="str">
        <f aca="false">IF($A215="","",FLOOR(Settings!$C$12/365*N(K215),0.5))</f>
        <v/>
      </c>
      <c r="P215" s="16" t="str">
        <f aca="false">IF($A215="","",IF(I215="",N(N215),FLOOR(Settings!$C$12/365*MAX(0,MIN(LvAsOf,J215)-I215+1)+N(N215),0.5)))</f>
        <v/>
      </c>
      <c r="Q215" s="16" t="str">
        <f aca="false">IF($A215="","",Settings!$C$14)</f>
        <v/>
      </c>
      <c r="R215" s="16" t="str">
        <f aca="false">IF($A215="","",SUMIFS(Attendance!$AZ$6:$AZ$2405,Attendance!$B$6:$B$2405,$A215,Attendance!$A$6:$A$2405,"&gt;="&amp;DATE(LvYear,1,1),Attendance!$A$6:$A$2405,"&lt;="&amp;DATE(LvYear,12,31)))</f>
        <v/>
      </c>
      <c r="S215" s="16" t="str">
        <f aca="false">IF($A215="","",SUMIFS(Attendance!$AY$6:$AY$2405,Attendance!$B$6:$B$2405,$A215,Attendance!$A$6:$A$2405,"&gt;="&amp;DATE(LvYear,1,1),Attendance!$A$6:$A$2405,"&lt;="&amp;DATE(LvYear,12,31)))</f>
        <v/>
      </c>
      <c r="T215" s="16" t="str">
        <f aca="false">IF($A215="","",SUMIFS(Attendance!$AX$6:$AX$2405,Attendance!$B$6:$B$2405,$A215,Attendance!$A$6:$A$2405,"&gt;="&amp;DATE(LvYear,1,1),Attendance!$A$6:$A$2405,"&lt;="&amp;DATE(LvYear,12,31)))</f>
        <v/>
      </c>
      <c r="U215" s="16" t="str">
        <f aca="false">IF($A215="","",SUMIFS(Attendance!$AW$6:$AW$2405,Attendance!$B$6:$B$2405,$A215,Attendance!$A$6:$A$2405,"&gt;="&amp;DATE(LvYear,1,1),Attendance!$A$6:$A$2405,"&lt;="&amp;DATE(LvYear,12,31)))</f>
        <v/>
      </c>
      <c r="V215" s="16" t="str">
        <f aca="false">IF($A215="","",L215-R215)</f>
        <v/>
      </c>
      <c r="W215" s="16" t="str">
        <f aca="false">IF($A215="","",M215-S215)</f>
        <v/>
      </c>
      <c r="X215" s="16" t="str">
        <f aca="false">IF($A215="","",P215-T215)</f>
        <v/>
      </c>
      <c r="Y215" s="16" t="str">
        <f aca="false">IF($A215="","",Q215-U215)</f>
        <v/>
      </c>
      <c r="Z215" s="16" t="str">
        <f aca="false">IF($A215="","",V215+W215+X215)</f>
        <v/>
      </c>
      <c r="AA215" s="16" t="str">
        <f aca="false">IF($A215="","",O215+N(N215)-T215)</f>
        <v/>
      </c>
      <c r="AB215" s="8" t="str">
        <f aca="false">IF($A215="","","CL "&amp;V215&amp;" | SL "&amp;W215&amp;" | PL "&amp;X215&amp;" | TR "&amp;Y215)</f>
        <v/>
      </c>
      <c r="AC215" s="15" t="str">
        <f aca="false">IF($A215="","",IF(F215="Exited","EXITED",IF(AND(ISNUMBER(K215),K215=0),"NOT ELIGIBLE",IF(MIN(V215:X215)&lt;0,"OVER-USED",IF(Z215&lt;=Settings!$C$15,"LOW","OK")))))</f>
        <v/>
      </c>
      <c r="AD215" s="16" t="str">
        <f aca="false">IF(OR(AC215="OVER-USED",AC215="LOW"),COUNTIF(AC$6:AC215,"OVER-USED")+COUNTIF(AC$6:AC215,"LOW"),"")</f>
        <v/>
      </c>
    </row>
    <row r="216" customFormat="false" ht="15" hidden="false" customHeight="false" outlineLevel="0" collapsed="false">
      <c r="A216" s="8" t="str">
        <f aca="false">IF('Employee List'!B216="","",'Employee List'!B216)</f>
        <v/>
      </c>
      <c r="B216" s="8" t="str">
        <f aca="false">IF($A216="","",'Employee List'!C216)</f>
        <v/>
      </c>
      <c r="C216" s="8" t="str">
        <f aca="false">IF($A216="","",'Employee List'!E216&amp;"")</f>
        <v/>
      </c>
      <c r="D216" s="8" t="str">
        <f aca="false">IF($A216="","",'Employee List'!F216&amp;"")</f>
        <v/>
      </c>
      <c r="E216" s="8" t="str">
        <f aca="false">IF($A216="","",'Employee List'!G216&amp;"")</f>
        <v/>
      </c>
      <c r="F216" s="8" t="str">
        <f aca="false">IF($A216="","",'Employee List'!D216)</f>
        <v/>
      </c>
      <c r="G216" s="38" t="str">
        <f aca="false">IF($A216="","",IF('Employee List'!I216="","",'Employee List'!I216))</f>
        <v/>
      </c>
      <c r="H216" s="38" t="str">
        <f aca="false">IF(OR($A216="",G216=""),"",G216+Settings!$C$13)</f>
        <v/>
      </c>
      <c r="I216" s="38" t="str">
        <f aca="false">IF(H216="","",MAX(H216,DATE(LvYear,1,1)))</f>
        <v/>
      </c>
      <c r="J216" s="38" t="str">
        <f aca="false">IF($A216="","",IF('Employee List'!J216="",DATE(LvYear,12,31),MIN('Employee List'!J216,DATE(LvYear,12,31))))</f>
        <v/>
      </c>
      <c r="K216" s="39" t="str">
        <f aca="false">IF(OR(I216="",J216=""),"",MAX(0,J216-I216+1))</f>
        <v/>
      </c>
      <c r="L216" s="16" t="str">
        <f aca="false">IF($A216="","",IF(AND(ISNUMBER(K216),K216=0),0,Settings!$C$10))</f>
        <v/>
      </c>
      <c r="M216" s="16" t="str">
        <f aca="false">IF($A216="","",IF(AND(ISNUMBER(K216),K216=0),0,Settings!$C$11))</f>
        <v/>
      </c>
      <c r="N216" s="40"/>
      <c r="O216" s="16" t="str">
        <f aca="false">IF($A216="","",FLOOR(Settings!$C$12/365*N(K216),0.5))</f>
        <v/>
      </c>
      <c r="P216" s="16" t="str">
        <f aca="false">IF($A216="","",IF(I216="",N(N216),FLOOR(Settings!$C$12/365*MAX(0,MIN(LvAsOf,J216)-I216+1)+N(N216),0.5)))</f>
        <v/>
      </c>
      <c r="Q216" s="16" t="str">
        <f aca="false">IF($A216="","",Settings!$C$14)</f>
        <v/>
      </c>
      <c r="R216" s="16" t="str">
        <f aca="false">IF($A216="","",SUMIFS(Attendance!$AZ$6:$AZ$2405,Attendance!$B$6:$B$2405,$A216,Attendance!$A$6:$A$2405,"&gt;="&amp;DATE(LvYear,1,1),Attendance!$A$6:$A$2405,"&lt;="&amp;DATE(LvYear,12,31)))</f>
        <v/>
      </c>
      <c r="S216" s="16" t="str">
        <f aca="false">IF($A216="","",SUMIFS(Attendance!$AY$6:$AY$2405,Attendance!$B$6:$B$2405,$A216,Attendance!$A$6:$A$2405,"&gt;="&amp;DATE(LvYear,1,1),Attendance!$A$6:$A$2405,"&lt;="&amp;DATE(LvYear,12,31)))</f>
        <v/>
      </c>
      <c r="T216" s="16" t="str">
        <f aca="false">IF($A216="","",SUMIFS(Attendance!$AX$6:$AX$2405,Attendance!$B$6:$B$2405,$A216,Attendance!$A$6:$A$2405,"&gt;="&amp;DATE(LvYear,1,1),Attendance!$A$6:$A$2405,"&lt;="&amp;DATE(LvYear,12,31)))</f>
        <v/>
      </c>
      <c r="U216" s="16" t="str">
        <f aca="false">IF($A216="","",SUMIFS(Attendance!$AW$6:$AW$2405,Attendance!$B$6:$B$2405,$A216,Attendance!$A$6:$A$2405,"&gt;="&amp;DATE(LvYear,1,1),Attendance!$A$6:$A$2405,"&lt;="&amp;DATE(LvYear,12,31)))</f>
        <v/>
      </c>
      <c r="V216" s="16" t="str">
        <f aca="false">IF($A216="","",L216-R216)</f>
        <v/>
      </c>
      <c r="W216" s="16" t="str">
        <f aca="false">IF($A216="","",M216-S216)</f>
        <v/>
      </c>
      <c r="X216" s="16" t="str">
        <f aca="false">IF($A216="","",P216-T216)</f>
        <v/>
      </c>
      <c r="Y216" s="16" t="str">
        <f aca="false">IF($A216="","",Q216-U216)</f>
        <v/>
      </c>
      <c r="Z216" s="16" t="str">
        <f aca="false">IF($A216="","",V216+W216+X216)</f>
        <v/>
      </c>
      <c r="AA216" s="16" t="str">
        <f aca="false">IF($A216="","",O216+N(N216)-T216)</f>
        <v/>
      </c>
      <c r="AB216" s="8" t="str">
        <f aca="false">IF($A216="","","CL "&amp;V216&amp;" | SL "&amp;W216&amp;" | PL "&amp;X216&amp;" | TR "&amp;Y216)</f>
        <v/>
      </c>
      <c r="AC216" s="15" t="str">
        <f aca="false">IF($A216="","",IF(F216="Exited","EXITED",IF(AND(ISNUMBER(K216),K216=0),"NOT ELIGIBLE",IF(MIN(V216:X216)&lt;0,"OVER-USED",IF(Z216&lt;=Settings!$C$15,"LOW","OK")))))</f>
        <v/>
      </c>
      <c r="AD216" s="16" t="str">
        <f aca="false">IF(OR(AC216="OVER-USED",AC216="LOW"),COUNTIF(AC$6:AC216,"OVER-USED")+COUNTIF(AC$6:AC216,"LOW"),"")</f>
        <v/>
      </c>
    </row>
    <row r="217" customFormat="false" ht="15" hidden="false" customHeight="false" outlineLevel="0" collapsed="false">
      <c r="A217" s="8" t="str">
        <f aca="false">IF('Employee List'!B217="","",'Employee List'!B217)</f>
        <v/>
      </c>
      <c r="B217" s="8" t="str">
        <f aca="false">IF($A217="","",'Employee List'!C217)</f>
        <v/>
      </c>
      <c r="C217" s="8" t="str">
        <f aca="false">IF($A217="","",'Employee List'!E217&amp;"")</f>
        <v/>
      </c>
      <c r="D217" s="8" t="str">
        <f aca="false">IF($A217="","",'Employee List'!F217&amp;"")</f>
        <v/>
      </c>
      <c r="E217" s="8" t="str">
        <f aca="false">IF($A217="","",'Employee List'!G217&amp;"")</f>
        <v/>
      </c>
      <c r="F217" s="8" t="str">
        <f aca="false">IF($A217="","",'Employee List'!D217)</f>
        <v/>
      </c>
      <c r="G217" s="38" t="str">
        <f aca="false">IF($A217="","",IF('Employee List'!I217="","",'Employee List'!I217))</f>
        <v/>
      </c>
      <c r="H217" s="38" t="str">
        <f aca="false">IF(OR($A217="",G217=""),"",G217+Settings!$C$13)</f>
        <v/>
      </c>
      <c r="I217" s="38" t="str">
        <f aca="false">IF(H217="","",MAX(H217,DATE(LvYear,1,1)))</f>
        <v/>
      </c>
      <c r="J217" s="38" t="str">
        <f aca="false">IF($A217="","",IF('Employee List'!J217="",DATE(LvYear,12,31),MIN('Employee List'!J217,DATE(LvYear,12,31))))</f>
        <v/>
      </c>
      <c r="K217" s="39" t="str">
        <f aca="false">IF(OR(I217="",J217=""),"",MAX(0,J217-I217+1))</f>
        <v/>
      </c>
      <c r="L217" s="16" t="str">
        <f aca="false">IF($A217="","",IF(AND(ISNUMBER(K217),K217=0),0,Settings!$C$10))</f>
        <v/>
      </c>
      <c r="M217" s="16" t="str">
        <f aca="false">IF($A217="","",IF(AND(ISNUMBER(K217),K217=0),0,Settings!$C$11))</f>
        <v/>
      </c>
      <c r="N217" s="40"/>
      <c r="O217" s="16" t="str">
        <f aca="false">IF($A217="","",FLOOR(Settings!$C$12/365*N(K217),0.5))</f>
        <v/>
      </c>
      <c r="P217" s="16" t="str">
        <f aca="false">IF($A217="","",IF(I217="",N(N217),FLOOR(Settings!$C$12/365*MAX(0,MIN(LvAsOf,J217)-I217+1)+N(N217),0.5)))</f>
        <v/>
      </c>
      <c r="Q217" s="16" t="str">
        <f aca="false">IF($A217="","",Settings!$C$14)</f>
        <v/>
      </c>
      <c r="R217" s="16" t="str">
        <f aca="false">IF($A217="","",SUMIFS(Attendance!$AZ$6:$AZ$2405,Attendance!$B$6:$B$2405,$A217,Attendance!$A$6:$A$2405,"&gt;="&amp;DATE(LvYear,1,1),Attendance!$A$6:$A$2405,"&lt;="&amp;DATE(LvYear,12,31)))</f>
        <v/>
      </c>
      <c r="S217" s="16" t="str">
        <f aca="false">IF($A217="","",SUMIFS(Attendance!$AY$6:$AY$2405,Attendance!$B$6:$B$2405,$A217,Attendance!$A$6:$A$2405,"&gt;="&amp;DATE(LvYear,1,1),Attendance!$A$6:$A$2405,"&lt;="&amp;DATE(LvYear,12,31)))</f>
        <v/>
      </c>
      <c r="T217" s="16" t="str">
        <f aca="false">IF($A217="","",SUMIFS(Attendance!$AX$6:$AX$2405,Attendance!$B$6:$B$2405,$A217,Attendance!$A$6:$A$2405,"&gt;="&amp;DATE(LvYear,1,1),Attendance!$A$6:$A$2405,"&lt;="&amp;DATE(LvYear,12,31)))</f>
        <v/>
      </c>
      <c r="U217" s="16" t="str">
        <f aca="false">IF($A217="","",SUMIFS(Attendance!$AW$6:$AW$2405,Attendance!$B$6:$B$2405,$A217,Attendance!$A$6:$A$2405,"&gt;="&amp;DATE(LvYear,1,1),Attendance!$A$6:$A$2405,"&lt;="&amp;DATE(LvYear,12,31)))</f>
        <v/>
      </c>
      <c r="V217" s="16" t="str">
        <f aca="false">IF($A217="","",L217-R217)</f>
        <v/>
      </c>
      <c r="W217" s="16" t="str">
        <f aca="false">IF($A217="","",M217-S217)</f>
        <v/>
      </c>
      <c r="X217" s="16" t="str">
        <f aca="false">IF($A217="","",P217-T217)</f>
        <v/>
      </c>
      <c r="Y217" s="16" t="str">
        <f aca="false">IF($A217="","",Q217-U217)</f>
        <v/>
      </c>
      <c r="Z217" s="16" t="str">
        <f aca="false">IF($A217="","",V217+W217+X217)</f>
        <v/>
      </c>
      <c r="AA217" s="16" t="str">
        <f aca="false">IF($A217="","",O217+N(N217)-T217)</f>
        <v/>
      </c>
      <c r="AB217" s="8" t="str">
        <f aca="false">IF($A217="","","CL "&amp;V217&amp;" | SL "&amp;W217&amp;" | PL "&amp;X217&amp;" | TR "&amp;Y217)</f>
        <v/>
      </c>
      <c r="AC217" s="15" t="str">
        <f aca="false">IF($A217="","",IF(F217="Exited","EXITED",IF(AND(ISNUMBER(K217),K217=0),"NOT ELIGIBLE",IF(MIN(V217:X217)&lt;0,"OVER-USED",IF(Z217&lt;=Settings!$C$15,"LOW","OK")))))</f>
        <v/>
      </c>
      <c r="AD217" s="16" t="str">
        <f aca="false">IF(OR(AC217="OVER-USED",AC217="LOW"),COUNTIF(AC$6:AC217,"OVER-USED")+COUNTIF(AC$6:AC217,"LOW"),"")</f>
        <v/>
      </c>
    </row>
    <row r="218" customFormat="false" ht="15" hidden="false" customHeight="false" outlineLevel="0" collapsed="false">
      <c r="A218" s="8" t="str">
        <f aca="false">IF('Employee List'!B218="","",'Employee List'!B218)</f>
        <v/>
      </c>
      <c r="B218" s="8" t="str">
        <f aca="false">IF($A218="","",'Employee List'!C218)</f>
        <v/>
      </c>
      <c r="C218" s="8" t="str">
        <f aca="false">IF($A218="","",'Employee List'!E218&amp;"")</f>
        <v/>
      </c>
      <c r="D218" s="8" t="str">
        <f aca="false">IF($A218="","",'Employee List'!F218&amp;"")</f>
        <v/>
      </c>
      <c r="E218" s="8" t="str">
        <f aca="false">IF($A218="","",'Employee List'!G218&amp;"")</f>
        <v/>
      </c>
      <c r="F218" s="8" t="str">
        <f aca="false">IF($A218="","",'Employee List'!D218)</f>
        <v/>
      </c>
      <c r="G218" s="38" t="str">
        <f aca="false">IF($A218="","",IF('Employee List'!I218="","",'Employee List'!I218))</f>
        <v/>
      </c>
      <c r="H218" s="38" t="str">
        <f aca="false">IF(OR($A218="",G218=""),"",G218+Settings!$C$13)</f>
        <v/>
      </c>
      <c r="I218" s="38" t="str">
        <f aca="false">IF(H218="","",MAX(H218,DATE(LvYear,1,1)))</f>
        <v/>
      </c>
      <c r="J218" s="38" t="str">
        <f aca="false">IF($A218="","",IF('Employee List'!J218="",DATE(LvYear,12,31),MIN('Employee List'!J218,DATE(LvYear,12,31))))</f>
        <v/>
      </c>
      <c r="K218" s="39" t="str">
        <f aca="false">IF(OR(I218="",J218=""),"",MAX(0,J218-I218+1))</f>
        <v/>
      </c>
      <c r="L218" s="16" t="str">
        <f aca="false">IF($A218="","",IF(AND(ISNUMBER(K218),K218=0),0,Settings!$C$10))</f>
        <v/>
      </c>
      <c r="M218" s="16" t="str">
        <f aca="false">IF($A218="","",IF(AND(ISNUMBER(K218),K218=0),0,Settings!$C$11))</f>
        <v/>
      </c>
      <c r="N218" s="40"/>
      <c r="O218" s="16" t="str">
        <f aca="false">IF($A218="","",FLOOR(Settings!$C$12/365*N(K218),0.5))</f>
        <v/>
      </c>
      <c r="P218" s="16" t="str">
        <f aca="false">IF($A218="","",IF(I218="",N(N218),FLOOR(Settings!$C$12/365*MAX(0,MIN(LvAsOf,J218)-I218+1)+N(N218),0.5)))</f>
        <v/>
      </c>
      <c r="Q218" s="16" t="str">
        <f aca="false">IF($A218="","",Settings!$C$14)</f>
        <v/>
      </c>
      <c r="R218" s="16" t="str">
        <f aca="false">IF($A218="","",SUMIFS(Attendance!$AZ$6:$AZ$2405,Attendance!$B$6:$B$2405,$A218,Attendance!$A$6:$A$2405,"&gt;="&amp;DATE(LvYear,1,1),Attendance!$A$6:$A$2405,"&lt;="&amp;DATE(LvYear,12,31)))</f>
        <v/>
      </c>
      <c r="S218" s="16" t="str">
        <f aca="false">IF($A218="","",SUMIFS(Attendance!$AY$6:$AY$2405,Attendance!$B$6:$B$2405,$A218,Attendance!$A$6:$A$2405,"&gt;="&amp;DATE(LvYear,1,1),Attendance!$A$6:$A$2405,"&lt;="&amp;DATE(LvYear,12,31)))</f>
        <v/>
      </c>
      <c r="T218" s="16" t="str">
        <f aca="false">IF($A218="","",SUMIFS(Attendance!$AX$6:$AX$2405,Attendance!$B$6:$B$2405,$A218,Attendance!$A$6:$A$2405,"&gt;="&amp;DATE(LvYear,1,1),Attendance!$A$6:$A$2405,"&lt;="&amp;DATE(LvYear,12,31)))</f>
        <v/>
      </c>
      <c r="U218" s="16" t="str">
        <f aca="false">IF($A218="","",SUMIFS(Attendance!$AW$6:$AW$2405,Attendance!$B$6:$B$2405,$A218,Attendance!$A$6:$A$2405,"&gt;="&amp;DATE(LvYear,1,1),Attendance!$A$6:$A$2405,"&lt;="&amp;DATE(LvYear,12,31)))</f>
        <v/>
      </c>
      <c r="V218" s="16" t="str">
        <f aca="false">IF($A218="","",L218-R218)</f>
        <v/>
      </c>
      <c r="W218" s="16" t="str">
        <f aca="false">IF($A218="","",M218-S218)</f>
        <v/>
      </c>
      <c r="X218" s="16" t="str">
        <f aca="false">IF($A218="","",P218-T218)</f>
        <v/>
      </c>
      <c r="Y218" s="16" t="str">
        <f aca="false">IF($A218="","",Q218-U218)</f>
        <v/>
      </c>
      <c r="Z218" s="16" t="str">
        <f aca="false">IF($A218="","",V218+W218+X218)</f>
        <v/>
      </c>
      <c r="AA218" s="16" t="str">
        <f aca="false">IF($A218="","",O218+N(N218)-T218)</f>
        <v/>
      </c>
      <c r="AB218" s="8" t="str">
        <f aca="false">IF($A218="","","CL "&amp;V218&amp;" | SL "&amp;W218&amp;" | PL "&amp;X218&amp;" | TR "&amp;Y218)</f>
        <v/>
      </c>
      <c r="AC218" s="15" t="str">
        <f aca="false">IF($A218="","",IF(F218="Exited","EXITED",IF(AND(ISNUMBER(K218),K218=0),"NOT ELIGIBLE",IF(MIN(V218:X218)&lt;0,"OVER-USED",IF(Z218&lt;=Settings!$C$15,"LOW","OK")))))</f>
        <v/>
      </c>
      <c r="AD218" s="16" t="str">
        <f aca="false">IF(OR(AC218="OVER-USED",AC218="LOW"),COUNTIF(AC$6:AC218,"OVER-USED")+COUNTIF(AC$6:AC218,"LOW"),"")</f>
        <v/>
      </c>
    </row>
    <row r="219" customFormat="false" ht="15" hidden="false" customHeight="false" outlineLevel="0" collapsed="false">
      <c r="A219" s="8" t="str">
        <f aca="false">IF('Employee List'!B219="","",'Employee List'!B219)</f>
        <v/>
      </c>
      <c r="B219" s="8" t="str">
        <f aca="false">IF($A219="","",'Employee List'!C219)</f>
        <v/>
      </c>
      <c r="C219" s="8" t="str">
        <f aca="false">IF($A219="","",'Employee List'!E219&amp;"")</f>
        <v/>
      </c>
      <c r="D219" s="8" t="str">
        <f aca="false">IF($A219="","",'Employee List'!F219&amp;"")</f>
        <v/>
      </c>
      <c r="E219" s="8" t="str">
        <f aca="false">IF($A219="","",'Employee List'!G219&amp;"")</f>
        <v/>
      </c>
      <c r="F219" s="8" t="str">
        <f aca="false">IF($A219="","",'Employee List'!D219)</f>
        <v/>
      </c>
      <c r="G219" s="38" t="str">
        <f aca="false">IF($A219="","",IF('Employee List'!I219="","",'Employee List'!I219))</f>
        <v/>
      </c>
      <c r="H219" s="38" t="str">
        <f aca="false">IF(OR($A219="",G219=""),"",G219+Settings!$C$13)</f>
        <v/>
      </c>
      <c r="I219" s="38" t="str">
        <f aca="false">IF(H219="","",MAX(H219,DATE(LvYear,1,1)))</f>
        <v/>
      </c>
      <c r="J219" s="38" t="str">
        <f aca="false">IF($A219="","",IF('Employee List'!J219="",DATE(LvYear,12,31),MIN('Employee List'!J219,DATE(LvYear,12,31))))</f>
        <v/>
      </c>
      <c r="K219" s="39" t="str">
        <f aca="false">IF(OR(I219="",J219=""),"",MAX(0,J219-I219+1))</f>
        <v/>
      </c>
      <c r="L219" s="16" t="str">
        <f aca="false">IF($A219="","",IF(AND(ISNUMBER(K219),K219=0),0,Settings!$C$10))</f>
        <v/>
      </c>
      <c r="M219" s="16" t="str">
        <f aca="false">IF($A219="","",IF(AND(ISNUMBER(K219),K219=0),0,Settings!$C$11))</f>
        <v/>
      </c>
      <c r="N219" s="40"/>
      <c r="O219" s="16" t="str">
        <f aca="false">IF($A219="","",FLOOR(Settings!$C$12/365*N(K219),0.5))</f>
        <v/>
      </c>
      <c r="P219" s="16" t="str">
        <f aca="false">IF($A219="","",IF(I219="",N(N219),FLOOR(Settings!$C$12/365*MAX(0,MIN(LvAsOf,J219)-I219+1)+N(N219),0.5)))</f>
        <v/>
      </c>
      <c r="Q219" s="16" t="str">
        <f aca="false">IF($A219="","",Settings!$C$14)</f>
        <v/>
      </c>
      <c r="R219" s="16" t="str">
        <f aca="false">IF($A219="","",SUMIFS(Attendance!$AZ$6:$AZ$2405,Attendance!$B$6:$B$2405,$A219,Attendance!$A$6:$A$2405,"&gt;="&amp;DATE(LvYear,1,1),Attendance!$A$6:$A$2405,"&lt;="&amp;DATE(LvYear,12,31)))</f>
        <v/>
      </c>
      <c r="S219" s="16" t="str">
        <f aca="false">IF($A219="","",SUMIFS(Attendance!$AY$6:$AY$2405,Attendance!$B$6:$B$2405,$A219,Attendance!$A$6:$A$2405,"&gt;="&amp;DATE(LvYear,1,1),Attendance!$A$6:$A$2405,"&lt;="&amp;DATE(LvYear,12,31)))</f>
        <v/>
      </c>
      <c r="T219" s="16" t="str">
        <f aca="false">IF($A219="","",SUMIFS(Attendance!$AX$6:$AX$2405,Attendance!$B$6:$B$2405,$A219,Attendance!$A$6:$A$2405,"&gt;="&amp;DATE(LvYear,1,1),Attendance!$A$6:$A$2405,"&lt;="&amp;DATE(LvYear,12,31)))</f>
        <v/>
      </c>
      <c r="U219" s="16" t="str">
        <f aca="false">IF($A219="","",SUMIFS(Attendance!$AW$6:$AW$2405,Attendance!$B$6:$B$2405,$A219,Attendance!$A$6:$A$2405,"&gt;="&amp;DATE(LvYear,1,1),Attendance!$A$6:$A$2405,"&lt;="&amp;DATE(LvYear,12,31)))</f>
        <v/>
      </c>
      <c r="V219" s="16" t="str">
        <f aca="false">IF($A219="","",L219-R219)</f>
        <v/>
      </c>
      <c r="W219" s="16" t="str">
        <f aca="false">IF($A219="","",M219-S219)</f>
        <v/>
      </c>
      <c r="X219" s="16" t="str">
        <f aca="false">IF($A219="","",P219-T219)</f>
        <v/>
      </c>
      <c r="Y219" s="16" t="str">
        <f aca="false">IF($A219="","",Q219-U219)</f>
        <v/>
      </c>
      <c r="Z219" s="16" t="str">
        <f aca="false">IF($A219="","",V219+W219+X219)</f>
        <v/>
      </c>
      <c r="AA219" s="16" t="str">
        <f aca="false">IF($A219="","",O219+N(N219)-T219)</f>
        <v/>
      </c>
      <c r="AB219" s="8" t="str">
        <f aca="false">IF($A219="","","CL "&amp;V219&amp;" | SL "&amp;W219&amp;" | PL "&amp;X219&amp;" | TR "&amp;Y219)</f>
        <v/>
      </c>
      <c r="AC219" s="15" t="str">
        <f aca="false">IF($A219="","",IF(F219="Exited","EXITED",IF(AND(ISNUMBER(K219),K219=0),"NOT ELIGIBLE",IF(MIN(V219:X219)&lt;0,"OVER-USED",IF(Z219&lt;=Settings!$C$15,"LOW","OK")))))</f>
        <v/>
      </c>
      <c r="AD219" s="16" t="str">
        <f aca="false">IF(OR(AC219="OVER-USED",AC219="LOW"),COUNTIF(AC$6:AC219,"OVER-USED")+COUNTIF(AC$6:AC219,"LOW"),"")</f>
        <v/>
      </c>
    </row>
    <row r="220" customFormat="false" ht="15" hidden="false" customHeight="false" outlineLevel="0" collapsed="false">
      <c r="A220" s="8" t="str">
        <f aca="false">IF('Employee List'!B220="","",'Employee List'!B220)</f>
        <v/>
      </c>
      <c r="B220" s="8" t="str">
        <f aca="false">IF($A220="","",'Employee List'!C220)</f>
        <v/>
      </c>
      <c r="C220" s="8" t="str">
        <f aca="false">IF($A220="","",'Employee List'!E220&amp;"")</f>
        <v/>
      </c>
      <c r="D220" s="8" t="str">
        <f aca="false">IF($A220="","",'Employee List'!F220&amp;"")</f>
        <v/>
      </c>
      <c r="E220" s="8" t="str">
        <f aca="false">IF($A220="","",'Employee List'!G220&amp;"")</f>
        <v/>
      </c>
      <c r="F220" s="8" t="str">
        <f aca="false">IF($A220="","",'Employee List'!D220)</f>
        <v/>
      </c>
      <c r="G220" s="38" t="str">
        <f aca="false">IF($A220="","",IF('Employee List'!I220="","",'Employee List'!I220))</f>
        <v/>
      </c>
      <c r="H220" s="38" t="str">
        <f aca="false">IF(OR($A220="",G220=""),"",G220+Settings!$C$13)</f>
        <v/>
      </c>
      <c r="I220" s="38" t="str">
        <f aca="false">IF(H220="","",MAX(H220,DATE(LvYear,1,1)))</f>
        <v/>
      </c>
      <c r="J220" s="38" t="str">
        <f aca="false">IF($A220="","",IF('Employee List'!J220="",DATE(LvYear,12,31),MIN('Employee List'!J220,DATE(LvYear,12,31))))</f>
        <v/>
      </c>
      <c r="K220" s="39" t="str">
        <f aca="false">IF(OR(I220="",J220=""),"",MAX(0,J220-I220+1))</f>
        <v/>
      </c>
      <c r="L220" s="16" t="str">
        <f aca="false">IF($A220="","",IF(AND(ISNUMBER(K220),K220=0),0,Settings!$C$10))</f>
        <v/>
      </c>
      <c r="M220" s="16" t="str">
        <f aca="false">IF($A220="","",IF(AND(ISNUMBER(K220),K220=0),0,Settings!$C$11))</f>
        <v/>
      </c>
      <c r="N220" s="40"/>
      <c r="O220" s="16" t="str">
        <f aca="false">IF($A220="","",FLOOR(Settings!$C$12/365*N(K220),0.5))</f>
        <v/>
      </c>
      <c r="P220" s="16" t="str">
        <f aca="false">IF($A220="","",IF(I220="",N(N220),FLOOR(Settings!$C$12/365*MAX(0,MIN(LvAsOf,J220)-I220+1)+N(N220),0.5)))</f>
        <v/>
      </c>
      <c r="Q220" s="16" t="str">
        <f aca="false">IF($A220="","",Settings!$C$14)</f>
        <v/>
      </c>
      <c r="R220" s="16" t="str">
        <f aca="false">IF($A220="","",SUMIFS(Attendance!$AZ$6:$AZ$2405,Attendance!$B$6:$B$2405,$A220,Attendance!$A$6:$A$2405,"&gt;="&amp;DATE(LvYear,1,1),Attendance!$A$6:$A$2405,"&lt;="&amp;DATE(LvYear,12,31)))</f>
        <v/>
      </c>
      <c r="S220" s="16" t="str">
        <f aca="false">IF($A220="","",SUMIFS(Attendance!$AY$6:$AY$2405,Attendance!$B$6:$B$2405,$A220,Attendance!$A$6:$A$2405,"&gt;="&amp;DATE(LvYear,1,1),Attendance!$A$6:$A$2405,"&lt;="&amp;DATE(LvYear,12,31)))</f>
        <v/>
      </c>
      <c r="T220" s="16" t="str">
        <f aca="false">IF($A220="","",SUMIFS(Attendance!$AX$6:$AX$2405,Attendance!$B$6:$B$2405,$A220,Attendance!$A$6:$A$2405,"&gt;="&amp;DATE(LvYear,1,1),Attendance!$A$6:$A$2405,"&lt;="&amp;DATE(LvYear,12,31)))</f>
        <v/>
      </c>
      <c r="U220" s="16" t="str">
        <f aca="false">IF($A220="","",SUMIFS(Attendance!$AW$6:$AW$2405,Attendance!$B$6:$B$2405,$A220,Attendance!$A$6:$A$2405,"&gt;="&amp;DATE(LvYear,1,1),Attendance!$A$6:$A$2405,"&lt;="&amp;DATE(LvYear,12,31)))</f>
        <v/>
      </c>
      <c r="V220" s="16" t="str">
        <f aca="false">IF($A220="","",L220-R220)</f>
        <v/>
      </c>
      <c r="W220" s="16" t="str">
        <f aca="false">IF($A220="","",M220-S220)</f>
        <v/>
      </c>
      <c r="X220" s="16" t="str">
        <f aca="false">IF($A220="","",P220-T220)</f>
        <v/>
      </c>
      <c r="Y220" s="16" t="str">
        <f aca="false">IF($A220="","",Q220-U220)</f>
        <v/>
      </c>
      <c r="Z220" s="16" t="str">
        <f aca="false">IF($A220="","",V220+W220+X220)</f>
        <v/>
      </c>
      <c r="AA220" s="16" t="str">
        <f aca="false">IF($A220="","",O220+N(N220)-T220)</f>
        <v/>
      </c>
      <c r="AB220" s="8" t="str">
        <f aca="false">IF($A220="","","CL "&amp;V220&amp;" | SL "&amp;W220&amp;" | PL "&amp;X220&amp;" | TR "&amp;Y220)</f>
        <v/>
      </c>
      <c r="AC220" s="15" t="str">
        <f aca="false">IF($A220="","",IF(F220="Exited","EXITED",IF(AND(ISNUMBER(K220),K220=0),"NOT ELIGIBLE",IF(MIN(V220:X220)&lt;0,"OVER-USED",IF(Z220&lt;=Settings!$C$15,"LOW","OK")))))</f>
        <v/>
      </c>
      <c r="AD220" s="16" t="str">
        <f aca="false">IF(OR(AC220="OVER-USED",AC220="LOW"),COUNTIF(AC$6:AC220,"OVER-USED")+COUNTIF(AC$6:AC220,"LOW"),"")</f>
        <v/>
      </c>
    </row>
    <row r="221" customFormat="false" ht="15" hidden="false" customHeight="false" outlineLevel="0" collapsed="false">
      <c r="A221" s="8" t="str">
        <f aca="false">IF('Employee List'!B221="","",'Employee List'!B221)</f>
        <v/>
      </c>
      <c r="B221" s="8" t="str">
        <f aca="false">IF($A221="","",'Employee List'!C221)</f>
        <v/>
      </c>
      <c r="C221" s="8" t="str">
        <f aca="false">IF($A221="","",'Employee List'!E221&amp;"")</f>
        <v/>
      </c>
      <c r="D221" s="8" t="str">
        <f aca="false">IF($A221="","",'Employee List'!F221&amp;"")</f>
        <v/>
      </c>
      <c r="E221" s="8" t="str">
        <f aca="false">IF($A221="","",'Employee List'!G221&amp;"")</f>
        <v/>
      </c>
      <c r="F221" s="8" t="str">
        <f aca="false">IF($A221="","",'Employee List'!D221)</f>
        <v/>
      </c>
      <c r="G221" s="38" t="str">
        <f aca="false">IF($A221="","",IF('Employee List'!I221="","",'Employee List'!I221))</f>
        <v/>
      </c>
      <c r="H221" s="38" t="str">
        <f aca="false">IF(OR($A221="",G221=""),"",G221+Settings!$C$13)</f>
        <v/>
      </c>
      <c r="I221" s="38" t="str">
        <f aca="false">IF(H221="","",MAX(H221,DATE(LvYear,1,1)))</f>
        <v/>
      </c>
      <c r="J221" s="38" t="str">
        <f aca="false">IF($A221="","",IF('Employee List'!J221="",DATE(LvYear,12,31),MIN('Employee List'!J221,DATE(LvYear,12,31))))</f>
        <v/>
      </c>
      <c r="K221" s="39" t="str">
        <f aca="false">IF(OR(I221="",J221=""),"",MAX(0,J221-I221+1))</f>
        <v/>
      </c>
      <c r="L221" s="16" t="str">
        <f aca="false">IF($A221="","",IF(AND(ISNUMBER(K221),K221=0),0,Settings!$C$10))</f>
        <v/>
      </c>
      <c r="M221" s="16" t="str">
        <f aca="false">IF($A221="","",IF(AND(ISNUMBER(K221),K221=0),0,Settings!$C$11))</f>
        <v/>
      </c>
      <c r="N221" s="40"/>
      <c r="O221" s="16" t="str">
        <f aca="false">IF($A221="","",FLOOR(Settings!$C$12/365*N(K221),0.5))</f>
        <v/>
      </c>
      <c r="P221" s="16" t="str">
        <f aca="false">IF($A221="","",IF(I221="",N(N221),FLOOR(Settings!$C$12/365*MAX(0,MIN(LvAsOf,J221)-I221+1)+N(N221),0.5)))</f>
        <v/>
      </c>
      <c r="Q221" s="16" t="str">
        <f aca="false">IF($A221="","",Settings!$C$14)</f>
        <v/>
      </c>
      <c r="R221" s="16" t="str">
        <f aca="false">IF($A221="","",SUMIFS(Attendance!$AZ$6:$AZ$2405,Attendance!$B$6:$B$2405,$A221,Attendance!$A$6:$A$2405,"&gt;="&amp;DATE(LvYear,1,1),Attendance!$A$6:$A$2405,"&lt;="&amp;DATE(LvYear,12,31)))</f>
        <v/>
      </c>
      <c r="S221" s="16" t="str">
        <f aca="false">IF($A221="","",SUMIFS(Attendance!$AY$6:$AY$2405,Attendance!$B$6:$B$2405,$A221,Attendance!$A$6:$A$2405,"&gt;="&amp;DATE(LvYear,1,1),Attendance!$A$6:$A$2405,"&lt;="&amp;DATE(LvYear,12,31)))</f>
        <v/>
      </c>
      <c r="T221" s="16" t="str">
        <f aca="false">IF($A221="","",SUMIFS(Attendance!$AX$6:$AX$2405,Attendance!$B$6:$B$2405,$A221,Attendance!$A$6:$A$2405,"&gt;="&amp;DATE(LvYear,1,1),Attendance!$A$6:$A$2405,"&lt;="&amp;DATE(LvYear,12,31)))</f>
        <v/>
      </c>
      <c r="U221" s="16" t="str">
        <f aca="false">IF($A221="","",SUMIFS(Attendance!$AW$6:$AW$2405,Attendance!$B$6:$B$2405,$A221,Attendance!$A$6:$A$2405,"&gt;="&amp;DATE(LvYear,1,1),Attendance!$A$6:$A$2405,"&lt;="&amp;DATE(LvYear,12,31)))</f>
        <v/>
      </c>
      <c r="V221" s="16" t="str">
        <f aca="false">IF($A221="","",L221-R221)</f>
        <v/>
      </c>
      <c r="W221" s="16" t="str">
        <f aca="false">IF($A221="","",M221-S221)</f>
        <v/>
      </c>
      <c r="X221" s="16" t="str">
        <f aca="false">IF($A221="","",P221-T221)</f>
        <v/>
      </c>
      <c r="Y221" s="16" t="str">
        <f aca="false">IF($A221="","",Q221-U221)</f>
        <v/>
      </c>
      <c r="Z221" s="16" t="str">
        <f aca="false">IF($A221="","",V221+W221+X221)</f>
        <v/>
      </c>
      <c r="AA221" s="16" t="str">
        <f aca="false">IF($A221="","",O221+N(N221)-T221)</f>
        <v/>
      </c>
      <c r="AB221" s="8" t="str">
        <f aca="false">IF($A221="","","CL "&amp;V221&amp;" | SL "&amp;W221&amp;" | PL "&amp;X221&amp;" | TR "&amp;Y221)</f>
        <v/>
      </c>
      <c r="AC221" s="15" t="str">
        <f aca="false">IF($A221="","",IF(F221="Exited","EXITED",IF(AND(ISNUMBER(K221),K221=0),"NOT ELIGIBLE",IF(MIN(V221:X221)&lt;0,"OVER-USED",IF(Z221&lt;=Settings!$C$15,"LOW","OK")))))</f>
        <v/>
      </c>
      <c r="AD221" s="16" t="str">
        <f aca="false">IF(OR(AC221="OVER-USED",AC221="LOW"),COUNTIF(AC$6:AC221,"OVER-USED")+COUNTIF(AC$6:AC221,"LOW"),"")</f>
        <v/>
      </c>
    </row>
    <row r="222" customFormat="false" ht="15" hidden="false" customHeight="false" outlineLevel="0" collapsed="false">
      <c r="A222" s="8" t="str">
        <f aca="false">IF('Employee List'!B222="","",'Employee List'!B222)</f>
        <v/>
      </c>
      <c r="B222" s="8" t="str">
        <f aca="false">IF($A222="","",'Employee List'!C222)</f>
        <v/>
      </c>
      <c r="C222" s="8" t="str">
        <f aca="false">IF($A222="","",'Employee List'!E222&amp;"")</f>
        <v/>
      </c>
      <c r="D222" s="8" t="str">
        <f aca="false">IF($A222="","",'Employee List'!F222&amp;"")</f>
        <v/>
      </c>
      <c r="E222" s="8" t="str">
        <f aca="false">IF($A222="","",'Employee List'!G222&amp;"")</f>
        <v/>
      </c>
      <c r="F222" s="8" t="str">
        <f aca="false">IF($A222="","",'Employee List'!D222)</f>
        <v/>
      </c>
      <c r="G222" s="38" t="str">
        <f aca="false">IF($A222="","",IF('Employee List'!I222="","",'Employee List'!I222))</f>
        <v/>
      </c>
      <c r="H222" s="38" t="str">
        <f aca="false">IF(OR($A222="",G222=""),"",G222+Settings!$C$13)</f>
        <v/>
      </c>
      <c r="I222" s="38" t="str">
        <f aca="false">IF(H222="","",MAX(H222,DATE(LvYear,1,1)))</f>
        <v/>
      </c>
      <c r="J222" s="38" t="str">
        <f aca="false">IF($A222="","",IF('Employee List'!J222="",DATE(LvYear,12,31),MIN('Employee List'!J222,DATE(LvYear,12,31))))</f>
        <v/>
      </c>
      <c r="K222" s="39" t="str">
        <f aca="false">IF(OR(I222="",J222=""),"",MAX(0,J222-I222+1))</f>
        <v/>
      </c>
      <c r="L222" s="16" t="str">
        <f aca="false">IF($A222="","",IF(AND(ISNUMBER(K222),K222=0),0,Settings!$C$10))</f>
        <v/>
      </c>
      <c r="M222" s="16" t="str">
        <f aca="false">IF($A222="","",IF(AND(ISNUMBER(K222),K222=0),0,Settings!$C$11))</f>
        <v/>
      </c>
      <c r="N222" s="40"/>
      <c r="O222" s="16" t="str">
        <f aca="false">IF($A222="","",FLOOR(Settings!$C$12/365*N(K222),0.5))</f>
        <v/>
      </c>
      <c r="P222" s="16" t="str">
        <f aca="false">IF($A222="","",IF(I222="",N(N222),FLOOR(Settings!$C$12/365*MAX(0,MIN(LvAsOf,J222)-I222+1)+N(N222),0.5)))</f>
        <v/>
      </c>
      <c r="Q222" s="16" t="str">
        <f aca="false">IF($A222="","",Settings!$C$14)</f>
        <v/>
      </c>
      <c r="R222" s="16" t="str">
        <f aca="false">IF($A222="","",SUMIFS(Attendance!$AZ$6:$AZ$2405,Attendance!$B$6:$B$2405,$A222,Attendance!$A$6:$A$2405,"&gt;="&amp;DATE(LvYear,1,1),Attendance!$A$6:$A$2405,"&lt;="&amp;DATE(LvYear,12,31)))</f>
        <v/>
      </c>
      <c r="S222" s="16" t="str">
        <f aca="false">IF($A222="","",SUMIFS(Attendance!$AY$6:$AY$2405,Attendance!$B$6:$B$2405,$A222,Attendance!$A$6:$A$2405,"&gt;="&amp;DATE(LvYear,1,1),Attendance!$A$6:$A$2405,"&lt;="&amp;DATE(LvYear,12,31)))</f>
        <v/>
      </c>
      <c r="T222" s="16" t="str">
        <f aca="false">IF($A222="","",SUMIFS(Attendance!$AX$6:$AX$2405,Attendance!$B$6:$B$2405,$A222,Attendance!$A$6:$A$2405,"&gt;="&amp;DATE(LvYear,1,1),Attendance!$A$6:$A$2405,"&lt;="&amp;DATE(LvYear,12,31)))</f>
        <v/>
      </c>
      <c r="U222" s="16" t="str">
        <f aca="false">IF($A222="","",SUMIFS(Attendance!$AW$6:$AW$2405,Attendance!$B$6:$B$2405,$A222,Attendance!$A$6:$A$2405,"&gt;="&amp;DATE(LvYear,1,1),Attendance!$A$6:$A$2405,"&lt;="&amp;DATE(LvYear,12,31)))</f>
        <v/>
      </c>
      <c r="V222" s="16" t="str">
        <f aca="false">IF($A222="","",L222-R222)</f>
        <v/>
      </c>
      <c r="W222" s="16" t="str">
        <f aca="false">IF($A222="","",M222-S222)</f>
        <v/>
      </c>
      <c r="X222" s="16" t="str">
        <f aca="false">IF($A222="","",P222-T222)</f>
        <v/>
      </c>
      <c r="Y222" s="16" t="str">
        <f aca="false">IF($A222="","",Q222-U222)</f>
        <v/>
      </c>
      <c r="Z222" s="16" t="str">
        <f aca="false">IF($A222="","",V222+W222+X222)</f>
        <v/>
      </c>
      <c r="AA222" s="16" t="str">
        <f aca="false">IF($A222="","",O222+N(N222)-T222)</f>
        <v/>
      </c>
      <c r="AB222" s="8" t="str">
        <f aca="false">IF($A222="","","CL "&amp;V222&amp;" | SL "&amp;W222&amp;" | PL "&amp;X222&amp;" | TR "&amp;Y222)</f>
        <v/>
      </c>
      <c r="AC222" s="15" t="str">
        <f aca="false">IF($A222="","",IF(F222="Exited","EXITED",IF(AND(ISNUMBER(K222),K222=0),"NOT ELIGIBLE",IF(MIN(V222:X222)&lt;0,"OVER-USED",IF(Z222&lt;=Settings!$C$15,"LOW","OK")))))</f>
        <v/>
      </c>
      <c r="AD222" s="16" t="str">
        <f aca="false">IF(OR(AC222="OVER-USED",AC222="LOW"),COUNTIF(AC$6:AC222,"OVER-USED")+COUNTIF(AC$6:AC222,"LOW"),"")</f>
        <v/>
      </c>
    </row>
    <row r="223" customFormat="false" ht="15" hidden="false" customHeight="false" outlineLevel="0" collapsed="false">
      <c r="A223" s="8" t="str">
        <f aca="false">IF('Employee List'!B223="","",'Employee List'!B223)</f>
        <v/>
      </c>
      <c r="B223" s="8" t="str">
        <f aca="false">IF($A223="","",'Employee List'!C223)</f>
        <v/>
      </c>
      <c r="C223" s="8" t="str">
        <f aca="false">IF($A223="","",'Employee List'!E223&amp;"")</f>
        <v/>
      </c>
      <c r="D223" s="8" t="str">
        <f aca="false">IF($A223="","",'Employee List'!F223&amp;"")</f>
        <v/>
      </c>
      <c r="E223" s="8" t="str">
        <f aca="false">IF($A223="","",'Employee List'!G223&amp;"")</f>
        <v/>
      </c>
      <c r="F223" s="8" t="str">
        <f aca="false">IF($A223="","",'Employee List'!D223)</f>
        <v/>
      </c>
      <c r="G223" s="38" t="str">
        <f aca="false">IF($A223="","",IF('Employee List'!I223="","",'Employee List'!I223))</f>
        <v/>
      </c>
      <c r="H223" s="38" t="str">
        <f aca="false">IF(OR($A223="",G223=""),"",G223+Settings!$C$13)</f>
        <v/>
      </c>
      <c r="I223" s="38" t="str">
        <f aca="false">IF(H223="","",MAX(H223,DATE(LvYear,1,1)))</f>
        <v/>
      </c>
      <c r="J223" s="38" t="str">
        <f aca="false">IF($A223="","",IF('Employee List'!J223="",DATE(LvYear,12,31),MIN('Employee List'!J223,DATE(LvYear,12,31))))</f>
        <v/>
      </c>
      <c r="K223" s="39" t="str">
        <f aca="false">IF(OR(I223="",J223=""),"",MAX(0,J223-I223+1))</f>
        <v/>
      </c>
      <c r="L223" s="16" t="str">
        <f aca="false">IF($A223="","",IF(AND(ISNUMBER(K223),K223=0),0,Settings!$C$10))</f>
        <v/>
      </c>
      <c r="M223" s="16" t="str">
        <f aca="false">IF($A223="","",IF(AND(ISNUMBER(K223),K223=0),0,Settings!$C$11))</f>
        <v/>
      </c>
      <c r="N223" s="40"/>
      <c r="O223" s="16" t="str">
        <f aca="false">IF($A223="","",FLOOR(Settings!$C$12/365*N(K223),0.5))</f>
        <v/>
      </c>
      <c r="P223" s="16" t="str">
        <f aca="false">IF($A223="","",IF(I223="",N(N223),FLOOR(Settings!$C$12/365*MAX(0,MIN(LvAsOf,J223)-I223+1)+N(N223),0.5)))</f>
        <v/>
      </c>
      <c r="Q223" s="16" t="str">
        <f aca="false">IF($A223="","",Settings!$C$14)</f>
        <v/>
      </c>
      <c r="R223" s="16" t="str">
        <f aca="false">IF($A223="","",SUMIFS(Attendance!$AZ$6:$AZ$2405,Attendance!$B$6:$B$2405,$A223,Attendance!$A$6:$A$2405,"&gt;="&amp;DATE(LvYear,1,1),Attendance!$A$6:$A$2405,"&lt;="&amp;DATE(LvYear,12,31)))</f>
        <v/>
      </c>
      <c r="S223" s="16" t="str">
        <f aca="false">IF($A223="","",SUMIFS(Attendance!$AY$6:$AY$2405,Attendance!$B$6:$B$2405,$A223,Attendance!$A$6:$A$2405,"&gt;="&amp;DATE(LvYear,1,1),Attendance!$A$6:$A$2405,"&lt;="&amp;DATE(LvYear,12,31)))</f>
        <v/>
      </c>
      <c r="T223" s="16" t="str">
        <f aca="false">IF($A223="","",SUMIFS(Attendance!$AX$6:$AX$2405,Attendance!$B$6:$B$2405,$A223,Attendance!$A$6:$A$2405,"&gt;="&amp;DATE(LvYear,1,1),Attendance!$A$6:$A$2405,"&lt;="&amp;DATE(LvYear,12,31)))</f>
        <v/>
      </c>
      <c r="U223" s="16" t="str">
        <f aca="false">IF($A223="","",SUMIFS(Attendance!$AW$6:$AW$2405,Attendance!$B$6:$B$2405,$A223,Attendance!$A$6:$A$2405,"&gt;="&amp;DATE(LvYear,1,1),Attendance!$A$6:$A$2405,"&lt;="&amp;DATE(LvYear,12,31)))</f>
        <v/>
      </c>
      <c r="V223" s="16" t="str">
        <f aca="false">IF($A223="","",L223-R223)</f>
        <v/>
      </c>
      <c r="W223" s="16" t="str">
        <f aca="false">IF($A223="","",M223-S223)</f>
        <v/>
      </c>
      <c r="X223" s="16" t="str">
        <f aca="false">IF($A223="","",P223-T223)</f>
        <v/>
      </c>
      <c r="Y223" s="16" t="str">
        <f aca="false">IF($A223="","",Q223-U223)</f>
        <v/>
      </c>
      <c r="Z223" s="16" t="str">
        <f aca="false">IF($A223="","",V223+W223+X223)</f>
        <v/>
      </c>
      <c r="AA223" s="16" t="str">
        <f aca="false">IF($A223="","",O223+N(N223)-T223)</f>
        <v/>
      </c>
      <c r="AB223" s="8" t="str">
        <f aca="false">IF($A223="","","CL "&amp;V223&amp;" | SL "&amp;W223&amp;" | PL "&amp;X223&amp;" | TR "&amp;Y223)</f>
        <v/>
      </c>
      <c r="AC223" s="15" t="str">
        <f aca="false">IF($A223="","",IF(F223="Exited","EXITED",IF(AND(ISNUMBER(K223),K223=0),"NOT ELIGIBLE",IF(MIN(V223:X223)&lt;0,"OVER-USED",IF(Z223&lt;=Settings!$C$15,"LOW","OK")))))</f>
        <v/>
      </c>
      <c r="AD223" s="16" t="str">
        <f aca="false">IF(OR(AC223="OVER-USED",AC223="LOW"),COUNTIF(AC$6:AC223,"OVER-USED")+COUNTIF(AC$6:AC223,"LOW"),"")</f>
        <v/>
      </c>
    </row>
    <row r="224" customFormat="false" ht="15" hidden="false" customHeight="false" outlineLevel="0" collapsed="false">
      <c r="A224" s="8" t="str">
        <f aca="false">IF('Employee List'!B224="","",'Employee List'!B224)</f>
        <v/>
      </c>
      <c r="B224" s="8" t="str">
        <f aca="false">IF($A224="","",'Employee List'!C224)</f>
        <v/>
      </c>
      <c r="C224" s="8" t="str">
        <f aca="false">IF($A224="","",'Employee List'!E224&amp;"")</f>
        <v/>
      </c>
      <c r="D224" s="8" t="str">
        <f aca="false">IF($A224="","",'Employee List'!F224&amp;"")</f>
        <v/>
      </c>
      <c r="E224" s="8" t="str">
        <f aca="false">IF($A224="","",'Employee List'!G224&amp;"")</f>
        <v/>
      </c>
      <c r="F224" s="8" t="str">
        <f aca="false">IF($A224="","",'Employee List'!D224)</f>
        <v/>
      </c>
      <c r="G224" s="38" t="str">
        <f aca="false">IF($A224="","",IF('Employee List'!I224="","",'Employee List'!I224))</f>
        <v/>
      </c>
      <c r="H224" s="38" t="str">
        <f aca="false">IF(OR($A224="",G224=""),"",G224+Settings!$C$13)</f>
        <v/>
      </c>
      <c r="I224" s="38" t="str">
        <f aca="false">IF(H224="","",MAX(H224,DATE(LvYear,1,1)))</f>
        <v/>
      </c>
      <c r="J224" s="38" t="str">
        <f aca="false">IF($A224="","",IF('Employee List'!J224="",DATE(LvYear,12,31),MIN('Employee List'!J224,DATE(LvYear,12,31))))</f>
        <v/>
      </c>
      <c r="K224" s="39" t="str">
        <f aca="false">IF(OR(I224="",J224=""),"",MAX(0,J224-I224+1))</f>
        <v/>
      </c>
      <c r="L224" s="16" t="str">
        <f aca="false">IF($A224="","",IF(AND(ISNUMBER(K224),K224=0),0,Settings!$C$10))</f>
        <v/>
      </c>
      <c r="M224" s="16" t="str">
        <f aca="false">IF($A224="","",IF(AND(ISNUMBER(K224),K224=0),0,Settings!$C$11))</f>
        <v/>
      </c>
      <c r="N224" s="40"/>
      <c r="O224" s="16" t="str">
        <f aca="false">IF($A224="","",FLOOR(Settings!$C$12/365*N(K224),0.5))</f>
        <v/>
      </c>
      <c r="P224" s="16" t="str">
        <f aca="false">IF($A224="","",IF(I224="",N(N224),FLOOR(Settings!$C$12/365*MAX(0,MIN(LvAsOf,J224)-I224+1)+N(N224),0.5)))</f>
        <v/>
      </c>
      <c r="Q224" s="16" t="str">
        <f aca="false">IF($A224="","",Settings!$C$14)</f>
        <v/>
      </c>
      <c r="R224" s="16" t="str">
        <f aca="false">IF($A224="","",SUMIFS(Attendance!$AZ$6:$AZ$2405,Attendance!$B$6:$B$2405,$A224,Attendance!$A$6:$A$2405,"&gt;="&amp;DATE(LvYear,1,1),Attendance!$A$6:$A$2405,"&lt;="&amp;DATE(LvYear,12,31)))</f>
        <v/>
      </c>
      <c r="S224" s="16" t="str">
        <f aca="false">IF($A224="","",SUMIFS(Attendance!$AY$6:$AY$2405,Attendance!$B$6:$B$2405,$A224,Attendance!$A$6:$A$2405,"&gt;="&amp;DATE(LvYear,1,1),Attendance!$A$6:$A$2405,"&lt;="&amp;DATE(LvYear,12,31)))</f>
        <v/>
      </c>
      <c r="T224" s="16" t="str">
        <f aca="false">IF($A224="","",SUMIFS(Attendance!$AX$6:$AX$2405,Attendance!$B$6:$B$2405,$A224,Attendance!$A$6:$A$2405,"&gt;="&amp;DATE(LvYear,1,1),Attendance!$A$6:$A$2405,"&lt;="&amp;DATE(LvYear,12,31)))</f>
        <v/>
      </c>
      <c r="U224" s="16" t="str">
        <f aca="false">IF($A224="","",SUMIFS(Attendance!$AW$6:$AW$2405,Attendance!$B$6:$B$2405,$A224,Attendance!$A$6:$A$2405,"&gt;="&amp;DATE(LvYear,1,1),Attendance!$A$6:$A$2405,"&lt;="&amp;DATE(LvYear,12,31)))</f>
        <v/>
      </c>
      <c r="V224" s="16" t="str">
        <f aca="false">IF($A224="","",L224-R224)</f>
        <v/>
      </c>
      <c r="W224" s="16" t="str">
        <f aca="false">IF($A224="","",M224-S224)</f>
        <v/>
      </c>
      <c r="X224" s="16" t="str">
        <f aca="false">IF($A224="","",P224-T224)</f>
        <v/>
      </c>
      <c r="Y224" s="16" t="str">
        <f aca="false">IF($A224="","",Q224-U224)</f>
        <v/>
      </c>
      <c r="Z224" s="16" t="str">
        <f aca="false">IF($A224="","",V224+W224+X224)</f>
        <v/>
      </c>
      <c r="AA224" s="16" t="str">
        <f aca="false">IF($A224="","",O224+N(N224)-T224)</f>
        <v/>
      </c>
      <c r="AB224" s="8" t="str">
        <f aca="false">IF($A224="","","CL "&amp;V224&amp;" | SL "&amp;W224&amp;" | PL "&amp;X224&amp;" | TR "&amp;Y224)</f>
        <v/>
      </c>
      <c r="AC224" s="15" t="str">
        <f aca="false">IF($A224="","",IF(F224="Exited","EXITED",IF(AND(ISNUMBER(K224),K224=0),"NOT ELIGIBLE",IF(MIN(V224:X224)&lt;0,"OVER-USED",IF(Z224&lt;=Settings!$C$15,"LOW","OK")))))</f>
        <v/>
      </c>
      <c r="AD224" s="16" t="str">
        <f aca="false">IF(OR(AC224="OVER-USED",AC224="LOW"),COUNTIF(AC$6:AC224,"OVER-USED")+COUNTIF(AC$6:AC224,"LOW"),"")</f>
        <v/>
      </c>
    </row>
    <row r="225" customFormat="false" ht="15" hidden="false" customHeight="false" outlineLevel="0" collapsed="false">
      <c r="A225" s="8" t="str">
        <f aca="false">IF('Employee List'!B225="","",'Employee List'!B225)</f>
        <v/>
      </c>
      <c r="B225" s="8" t="str">
        <f aca="false">IF($A225="","",'Employee List'!C225)</f>
        <v/>
      </c>
      <c r="C225" s="8" t="str">
        <f aca="false">IF($A225="","",'Employee List'!E225&amp;"")</f>
        <v/>
      </c>
      <c r="D225" s="8" t="str">
        <f aca="false">IF($A225="","",'Employee List'!F225&amp;"")</f>
        <v/>
      </c>
      <c r="E225" s="8" t="str">
        <f aca="false">IF($A225="","",'Employee List'!G225&amp;"")</f>
        <v/>
      </c>
      <c r="F225" s="8" t="str">
        <f aca="false">IF($A225="","",'Employee List'!D225)</f>
        <v/>
      </c>
      <c r="G225" s="38" t="str">
        <f aca="false">IF($A225="","",IF('Employee List'!I225="","",'Employee List'!I225))</f>
        <v/>
      </c>
      <c r="H225" s="38" t="str">
        <f aca="false">IF(OR($A225="",G225=""),"",G225+Settings!$C$13)</f>
        <v/>
      </c>
      <c r="I225" s="38" t="str">
        <f aca="false">IF(H225="","",MAX(H225,DATE(LvYear,1,1)))</f>
        <v/>
      </c>
      <c r="J225" s="38" t="str">
        <f aca="false">IF($A225="","",IF('Employee List'!J225="",DATE(LvYear,12,31),MIN('Employee List'!J225,DATE(LvYear,12,31))))</f>
        <v/>
      </c>
      <c r="K225" s="39" t="str">
        <f aca="false">IF(OR(I225="",J225=""),"",MAX(0,J225-I225+1))</f>
        <v/>
      </c>
      <c r="L225" s="16" t="str">
        <f aca="false">IF($A225="","",IF(AND(ISNUMBER(K225),K225=0),0,Settings!$C$10))</f>
        <v/>
      </c>
      <c r="M225" s="16" t="str">
        <f aca="false">IF($A225="","",IF(AND(ISNUMBER(K225),K225=0),0,Settings!$C$11))</f>
        <v/>
      </c>
      <c r="N225" s="40"/>
      <c r="O225" s="16" t="str">
        <f aca="false">IF($A225="","",FLOOR(Settings!$C$12/365*N(K225),0.5))</f>
        <v/>
      </c>
      <c r="P225" s="16" t="str">
        <f aca="false">IF($A225="","",IF(I225="",N(N225),FLOOR(Settings!$C$12/365*MAX(0,MIN(LvAsOf,J225)-I225+1)+N(N225),0.5)))</f>
        <v/>
      </c>
      <c r="Q225" s="16" t="str">
        <f aca="false">IF($A225="","",Settings!$C$14)</f>
        <v/>
      </c>
      <c r="R225" s="16" t="str">
        <f aca="false">IF($A225="","",SUMIFS(Attendance!$AZ$6:$AZ$2405,Attendance!$B$6:$B$2405,$A225,Attendance!$A$6:$A$2405,"&gt;="&amp;DATE(LvYear,1,1),Attendance!$A$6:$A$2405,"&lt;="&amp;DATE(LvYear,12,31)))</f>
        <v/>
      </c>
      <c r="S225" s="16" t="str">
        <f aca="false">IF($A225="","",SUMIFS(Attendance!$AY$6:$AY$2405,Attendance!$B$6:$B$2405,$A225,Attendance!$A$6:$A$2405,"&gt;="&amp;DATE(LvYear,1,1),Attendance!$A$6:$A$2405,"&lt;="&amp;DATE(LvYear,12,31)))</f>
        <v/>
      </c>
      <c r="T225" s="16" t="str">
        <f aca="false">IF($A225="","",SUMIFS(Attendance!$AX$6:$AX$2405,Attendance!$B$6:$B$2405,$A225,Attendance!$A$6:$A$2405,"&gt;="&amp;DATE(LvYear,1,1),Attendance!$A$6:$A$2405,"&lt;="&amp;DATE(LvYear,12,31)))</f>
        <v/>
      </c>
      <c r="U225" s="16" t="str">
        <f aca="false">IF($A225="","",SUMIFS(Attendance!$AW$6:$AW$2405,Attendance!$B$6:$B$2405,$A225,Attendance!$A$6:$A$2405,"&gt;="&amp;DATE(LvYear,1,1),Attendance!$A$6:$A$2405,"&lt;="&amp;DATE(LvYear,12,31)))</f>
        <v/>
      </c>
      <c r="V225" s="16" t="str">
        <f aca="false">IF($A225="","",L225-R225)</f>
        <v/>
      </c>
      <c r="W225" s="16" t="str">
        <f aca="false">IF($A225="","",M225-S225)</f>
        <v/>
      </c>
      <c r="X225" s="16" t="str">
        <f aca="false">IF($A225="","",P225-T225)</f>
        <v/>
      </c>
      <c r="Y225" s="16" t="str">
        <f aca="false">IF($A225="","",Q225-U225)</f>
        <v/>
      </c>
      <c r="Z225" s="16" t="str">
        <f aca="false">IF($A225="","",V225+W225+X225)</f>
        <v/>
      </c>
      <c r="AA225" s="16" t="str">
        <f aca="false">IF($A225="","",O225+N(N225)-T225)</f>
        <v/>
      </c>
      <c r="AB225" s="8" t="str">
        <f aca="false">IF($A225="","","CL "&amp;V225&amp;" | SL "&amp;W225&amp;" | PL "&amp;X225&amp;" | TR "&amp;Y225)</f>
        <v/>
      </c>
      <c r="AC225" s="15" t="str">
        <f aca="false">IF($A225="","",IF(F225="Exited","EXITED",IF(AND(ISNUMBER(K225),K225=0),"NOT ELIGIBLE",IF(MIN(V225:X225)&lt;0,"OVER-USED",IF(Z225&lt;=Settings!$C$15,"LOW","OK")))))</f>
        <v/>
      </c>
      <c r="AD225" s="16" t="str">
        <f aca="false">IF(OR(AC225="OVER-USED",AC225="LOW"),COUNTIF(AC$6:AC225,"OVER-USED")+COUNTIF(AC$6:AC225,"LOW"),"")</f>
        <v/>
      </c>
    </row>
    <row r="226" customFormat="false" ht="15" hidden="false" customHeight="false" outlineLevel="0" collapsed="false">
      <c r="A226" s="8" t="str">
        <f aca="false">IF('Employee List'!B226="","",'Employee List'!B226)</f>
        <v/>
      </c>
      <c r="B226" s="8" t="str">
        <f aca="false">IF($A226="","",'Employee List'!C226)</f>
        <v/>
      </c>
      <c r="C226" s="8" t="str">
        <f aca="false">IF($A226="","",'Employee List'!E226&amp;"")</f>
        <v/>
      </c>
      <c r="D226" s="8" t="str">
        <f aca="false">IF($A226="","",'Employee List'!F226&amp;"")</f>
        <v/>
      </c>
      <c r="E226" s="8" t="str">
        <f aca="false">IF($A226="","",'Employee List'!G226&amp;"")</f>
        <v/>
      </c>
      <c r="F226" s="8" t="str">
        <f aca="false">IF($A226="","",'Employee List'!D226)</f>
        <v/>
      </c>
      <c r="G226" s="38" t="str">
        <f aca="false">IF($A226="","",IF('Employee List'!I226="","",'Employee List'!I226))</f>
        <v/>
      </c>
      <c r="H226" s="38" t="str">
        <f aca="false">IF(OR($A226="",G226=""),"",G226+Settings!$C$13)</f>
        <v/>
      </c>
      <c r="I226" s="38" t="str">
        <f aca="false">IF(H226="","",MAX(H226,DATE(LvYear,1,1)))</f>
        <v/>
      </c>
      <c r="J226" s="38" t="str">
        <f aca="false">IF($A226="","",IF('Employee List'!J226="",DATE(LvYear,12,31),MIN('Employee List'!J226,DATE(LvYear,12,31))))</f>
        <v/>
      </c>
      <c r="K226" s="39" t="str">
        <f aca="false">IF(OR(I226="",J226=""),"",MAX(0,J226-I226+1))</f>
        <v/>
      </c>
      <c r="L226" s="16" t="str">
        <f aca="false">IF($A226="","",IF(AND(ISNUMBER(K226),K226=0),0,Settings!$C$10))</f>
        <v/>
      </c>
      <c r="M226" s="16" t="str">
        <f aca="false">IF($A226="","",IF(AND(ISNUMBER(K226),K226=0),0,Settings!$C$11))</f>
        <v/>
      </c>
      <c r="N226" s="40"/>
      <c r="O226" s="16" t="str">
        <f aca="false">IF($A226="","",FLOOR(Settings!$C$12/365*N(K226),0.5))</f>
        <v/>
      </c>
      <c r="P226" s="16" t="str">
        <f aca="false">IF($A226="","",IF(I226="",N(N226),FLOOR(Settings!$C$12/365*MAX(0,MIN(LvAsOf,J226)-I226+1)+N(N226),0.5)))</f>
        <v/>
      </c>
      <c r="Q226" s="16" t="str">
        <f aca="false">IF($A226="","",Settings!$C$14)</f>
        <v/>
      </c>
      <c r="R226" s="16" t="str">
        <f aca="false">IF($A226="","",SUMIFS(Attendance!$AZ$6:$AZ$2405,Attendance!$B$6:$B$2405,$A226,Attendance!$A$6:$A$2405,"&gt;="&amp;DATE(LvYear,1,1),Attendance!$A$6:$A$2405,"&lt;="&amp;DATE(LvYear,12,31)))</f>
        <v/>
      </c>
      <c r="S226" s="16" t="str">
        <f aca="false">IF($A226="","",SUMIFS(Attendance!$AY$6:$AY$2405,Attendance!$B$6:$B$2405,$A226,Attendance!$A$6:$A$2405,"&gt;="&amp;DATE(LvYear,1,1),Attendance!$A$6:$A$2405,"&lt;="&amp;DATE(LvYear,12,31)))</f>
        <v/>
      </c>
      <c r="T226" s="16" t="str">
        <f aca="false">IF($A226="","",SUMIFS(Attendance!$AX$6:$AX$2405,Attendance!$B$6:$B$2405,$A226,Attendance!$A$6:$A$2405,"&gt;="&amp;DATE(LvYear,1,1),Attendance!$A$6:$A$2405,"&lt;="&amp;DATE(LvYear,12,31)))</f>
        <v/>
      </c>
      <c r="U226" s="16" t="str">
        <f aca="false">IF($A226="","",SUMIFS(Attendance!$AW$6:$AW$2405,Attendance!$B$6:$B$2405,$A226,Attendance!$A$6:$A$2405,"&gt;="&amp;DATE(LvYear,1,1),Attendance!$A$6:$A$2405,"&lt;="&amp;DATE(LvYear,12,31)))</f>
        <v/>
      </c>
      <c r="V226" s="16" t="str">
        <f aca="false">IF($A226="","",L226-R226)</f>
        <v/>
      </c>
      <c r="W226" s="16" t="str">
        <f aca="false">IF($A226="","",M226-S226)</f>
        <v/>
      </c>
      <c r="X226" s="16" t="str">
        <f aca="false">IF($A226="","",P226-T226)</f>
        <v/>
      </c>
      <c r="Y226" s="16" t="str">
        <f aca="false">IF($A226="","",Q226-U226)</f>
        <v/>
      </c>
      <c r="Z226" s="16" t="str">
        <f aca="false">IF($A226="","",V226+W226+X226)</f>
        <v/>
      </c>
      <c r="AA226" s="16" t="str">
        <f aca="false">IF($A226="","",O226+N(N226)-T226)</f>
        <v/>
      </c>
      <c r="AB226" s="8" t="str">
        <f aca="false">IF($A226="","","CL "&amp;V226&amp;" | SL "&amp;W226&amp;" | PL "&amp;X226&amp;" | TR "&amp;Y226)</f>
        <v/>
      </c>
      <c r="AC226" s="15" t="str">
        <f aca="false">IF($A226="","",IF(F226="Exited","EXITED",IF(AND(ISNUMBER(K226),K226=0),"NOT ELIGIBLE",IF(MIN(V226:X226)&lt;0,"OVER-USED",IF(Z226&lt;=Settings!$C$15,"LOW","OK")))))</f>
        <v/>
      </c>
      <c r="AD226" s="16" t="str">
        <f aca="false">IF(OR(AC226="OVER-USED",AC226="LOW"),COUNTIF(AC$6:AC226,"OVER-USED")+COUNTIF(AC$6:AC226,"LOW"),"")</f>
        <v/>
      </c>
    </row>
    <row r="227" customFormat="false" ht="15" hidden="false" customHeight="false" outlineLevel="0" collapsed="false">
      <c r="A227" s="8" t="str">
        <f aca="false">IF('Employee List'!B227="","",'Employee List'!B227)</f>
        <v/>
      </c>
      <c r="B227" s="8" t="str">
        <f aca="false">IF($A227="","",'Employee List'!C227)</f>
        <v/>
      </c>
      <c r="C227" s="8" t="str">
        <f aca="false">IF($A227="","",'Employee List'!E227&amp;"")</f>
        <v/>
      </c>
      <c r="D227" s="8" t="str">
        <f aca="false">IF($A227="","",'Employee List'!F227&amp;"")</f>
        <v/>
      </c>
      <c r="E227" s="8" t="str">
        <f aca="false">IF($A227="","",'Employee List'!G227&amp;"")</f>
        <v/>
      </c>
      <c r="F227" s="8" t="str">
        <f aca="false">IF($A227="","",'Employee List'!D227)</f>
        <v/>
      </c>
      <c r="G227" s="38" t="str">
        <f aca="false">IF($A227="","",IF('Employee List'!I227="","",'Employee List'!I227))</f>
        <v/>
      </c>
      <c r="H227" s="38" t="str">
        <f aca="false">IF(OR($A227="",G227=""),"",G227+Settings!$C$13)</f>
        <v/>
      </c>
      <c r="I227" s="38" t="str">
        <f aca="false">IF(H227="","",MAX(H227,DATE(LvYear,1,1)))</f>
        <v/>
      </c>
      <c r="J227" s="38" t="str">
        <f aca="false">IF($A227="","",IF('Employee List'!J227="",DATE(LvYear,12,31),MIN('Employee List'!J227,DATE(LvYear,12,31))))</f>
        <v/>
      </c>
      <c r="K227" s="39" t="str">
        <f aca="false">IF(OR(I227="",J227=""),"",MAX(0,J227-I227+1))</f>
        <v/>
      </c>
      <c r="L227" s="16" t="str">
        <f aca="false">IF($A227="","",IF(AND(ISNUMBER(K227),K227=0),0,Settings!$C$10))</f>
        <v/>
      </c>
      <c r="M227" s="16" t="str">
        <f aca="false">IF($A227="","",IF(AND(ISNUMBER(K227),K227=0),0,Settings!$C$11))</f>
        <v/>
      </c>
      <c r="N227" s="40"/>
      <c r="O227" s="16" t="str">
        <f aca="false">IF($A227="","",FLOOR(Settings!$C$12/365*N(K227),0.5))</f>
        <v/>
      </c>
      <c r="P227" s="16" t="str">
        <f aca="false">IF($A227="","",IF(I227="",N(N227),FLOOR(Settings!$C$12/365*MAX(0,MIN(LvAsOf,J227)-I227+1)+N(N227),0.5)))</f>
        <v/>
      </c>
      <c r="Q227" s="16" t="str">
        <f aca="false">IF($A227="","",Settings!$C$14)</f>
        <v/>
      </c>
      <c r="R227" s="16" t="str">
        <f aca="false">IF($A227="","",SUMIFS(Attendance!$AZ$6:$AZ$2405,Attendance!$B$6:$B$2405,$A227,Attendance!$A$6:$A$2405,"&gt;="&amp;DATE(LvYear,1,1),Attendance!$A$6:$A$2405,"&lt;="&amp;DATE(LvYear,12,31)))</f>
        <v/>
      </c>
      <c r="S227" s="16" t="str">
        <f aca="false">IF($A227="","",SUMIFS(Attendance!$AY$6:$AY$2405,Attendance!$B$6:$B$2405,$A227,Attendance!$A$6:$A$2405,"&gt;="&amp;DATE(LvYear,1,1),Attendance!$A$6:$A$2405,"&lt;="&amp;DATE(LvYear,12,31)))</f>
        <v/>
      </c>
      <c r="T227" s="16" t="str">
        <f aca="false">IF($A227="","",SUMIFS(Attendance!$AX$6:$AX$2405,Attendance!$B$6:$B$2405,$A227,Attendance!$A$6:$A$2405,"&gt;="&amp;DATE(LvYear,1,1),Attendance!$A$6:$A$2405,"&lt;="&amp;DATE(LvYear,12,31)))</f>
        <v/>
      </c>
      <c r="U227" s="16" t="str">
        <f aca="false">IF($A227="","",SUMIFS(Attendance!$AW$6:$AW$2405,Attendance!$B$6:$B$2405,$A227,Attendance!$A$6:$A$2405,"&gt;="&amp;DATE(LvYear,1,1),Attendance!$A$6:$A$2405,"&lt;="&amp;DATE(LvYear,12,31)))</f>
        <v/>
      </c>
      <c r="V227" s="16" t="str">
        <f aca="false">IF($A227="","",L227-R227)</f>
        <v/>
      </c>
      <c r="W227" s="16" t="str">
        <f aca="false">IF($A227="","",M227-S227)</f>
        <v/>
      </c>
      <c r="X227" s="16" t="str">
        <f aca="false">IF($A227="","",P227-T227)</f>
        <v/>
      </c>
      <c r="Y227" s="16" t="str">
        <f aca="false">IF($A227="","",Q227-U227)</f>
        <v/>
      </c>
      <c r="Z227" s="16" t="str">
        <f aca="false">IF($A227="","",V227+W227+X227)</f>
        <v/>
      </c>
      <c r="AA227" s="16" t="str">
        <f aca="false">IF($A227="","",O227+N(N227)-T227)</f>
        <v/>
      </c>
      <c r="AB227" s="8" t="str">
        <f aca="false">IF($A227="","","CL "&amp;V227&amp;" | SL "&amp;W227&amp;" | PL "&amp;X227&amp;" | TR "&amp;Y227)</f>
        <v/>
      </c>
      <c r="AC227" s="15" t="str">
        <f aca="false">IF($A227="","",IF(F227="Exited","EXITED",IF(AND(ISNUMBER(K227),K227=0),"NOT ELIGIBLE",IF(MIN(V227:X227)&lt;0,"OVER-USED",IF(Z227&lt;=Settings!$C$15,"LOW","OK")))))</f>
        <v/>
      </c>
      <c r="AD227" s="16" t="str">
        <f aca="false">IF(OR(AC227="OVER-USED",AC227="LOW"),COUNTIF(AC$6:AC227,"OVER-USED")+COUNTIF(AC$6:AC227,"LOW"),"")</f>
        <v/>
      </c>
    </row>
    <row r="228" customFormat="false" ht="15" hidden="false" customHeight="false" outlineLevel="0" collapsed="false">
      <c r="A228" s="8" t="str">
        <f aca="false">IF('Employee List'!B228="","",'Employee List'!B228)</f>
        <v/>
      </c>
      <c r="B228" s="8" t="str">
        <f aca="false">IF($A228="","",'Employee List'!C228)</f>
        <v/>
      </c>
      <c r="C228" s="8" t="str">
        <f aca="false">IF($A228="","",'Employee List'!E228&amp;"")</f>
        <v/>
      </c>
      <c r="D228" s="8" t="str">
        <f aca="false">IF($A228="","",'Employee List'!F228&amp;"")</f>
        <v/>
      </c>
      <c r="E228" s="8" t="str">
        <f aca="false">IF($A228="","",'Employee List'!G228&amp;"")</f>
        <v/>
      </c>
      <c r="F228" s="8" t="str">
        <f aca="false">IF($A228="","",'Employee List'!D228)</f>
        <v/>
      </c>
      <c r="G228" s="38" t="str">
        <f aca="false">IF($A228="","",IF('Employee List'!I228="","",'Employee List'!I228))</f>
        <v/>
      </c>
      <c r="H228" s="38" t="str">
        <f aca="false">IF(OR($A228="",G228=""),"",G228+Settings!$C$13)</f>
        <v/>
      </c>
      <c r="I228" s="38" t="str">
        <f aca="false">IF(H228="","",MAX(H228,DATE(LvYear,1,1)))</f>
        <v/>
      </c>
      <c r="J228" s="38" t="str">
        <f aca="false">IF($A228="","",IF('Employee List'!J228="",DATE(LvYear,12,31),MIN('Employee List'!J228,DATE(LvYear,12,31))))</f>
        <v/>
      </c>
      <c r="K228" s="39" t="str">
        <f aca="false">IF(OR(I228="",J228=""),"",MAX(0,J228-I228+1))</f>
        <v/>
      </c>
      <c r="L228" s="16" t="str">
        <f aca="false">IF($A228="","",IF(AND(ISNUMBER(K228),K228=0),0,Settings!$C$10))</f>
        <v/>
      </c>
      <c r="M228" s="16" t="str">
        <f aca="false">IF($A228="","",IF(AND(ISNUMBER(K228),K228=0),0,Settings!$C$11))</f>
        <v/>
      </c>
      <c r="N228" s="40"/>
      <c r="O228" s="16" t="str">
        <f aca="false">IF($A228="","",FLOOR(Settings!$C$12/365*N(K228),0.5))</f>
        <v/>
      </c>
      <c r="P228" s="16" t="str">
        <f aca="false">IF($A228="","",IF(I228="",N(N228),FLOOR(Settings!$C$12/365*MAX(0,MIN(LvAsOf,J228)-I228+1)+N(N228),0.5)))</f>
        <v/>
      </c>
      <c r="Q228" s="16" t="str">
        <f aca="false">IF($A228="","",Settings!$C$14)</f>
        <v/>
      </c>
      <c r="R228" s="16" t="str">
        <f aca="false">IF($A228="","",SUMIFS(Attendance!$AZ$6:$AZ$2405,Attendance!$B$6:$B$2405,$A228,Attendance!$A$6:$A$2405,"&gt;="&amp;DATE(LvYear,1,1),Attendance!$A$6:$A$2405,"&lt;="&amp;DATE(LvYear,12,31)))</f>
        <v/>
      </c>
      <c r="S228" s="16" t="str">
        <f aca="false">IF($A228="","",SUMIFS(Attendance!$AY$6:$AY$2405,Attendance!$B$6:$B$2405,$A228,Attendance!$A$6:$A$2405,"&gt;="&amp;DATE(LvYear,1,1),Attendance!$A$6:$A$2405,"&lt;="&amp;DATE(LvYear,12,31)))</f>
        <v/>
      </c>
      <c r="T228" s="16" t="str">
        <f aca="false">IF($A228="","",SUMIFS(Attendance!$AX$6:$AX$2405,Attendance!$B$6:$B$2405,$A228,Attendance!$A$6:$A$2405,"&gt;="&amp;DATE(LvYear,1,1),Attendance!$A$6:$A$2405,"&lt;="&amp;DATE(LvYear,12,31)))</f>
        <v/>
      </c>
      <c r="U228" s="16" t="str">
        <f aca="false">IF($A228="","",SUMIFS(Attendance!$AW$6:$AW$2405,Attendance!$B$6:$B$2405,$A228,Attendance!$A$6:$A$2405,"&gt;="&amp;DATE(LvYear,1,1),Attendance!$A$6:$A$2405,"&lt;="&amp;DATE(LvYear,12,31)))</f>
        <v/>
      </c>
      <c r="V228" s="16" t="str">
        <f aca="false">IF($A228="","",L228-R228)</f>
        <v/>
      </c>
      <c r="W228" s="16" t="str">
        <f aca="false">IF($A228="","",M228-S228)</f>
        <v/>
      </c>
      <c r="X228" s="16" t="str">
        <f aca="false">IF($A228="","",P228-T228)</f>
        <v/>
      </c>
      <c r="Y228" s="16" t="str">
        <f aca="false">IF($A228="","",Q228-U228)</f>
        <v/>
      </c>
      <c r="Z228" s="16" t="str">
        <f aca="false">IF($A228="","",V228+W228+X228)</f>
        <v/>
      </c>
      <c r="AA228" s="16" t="str">
        <f aca="false">IF($A228="","",O228+N(N228)-T228)</f>
        <v/>
      </c>
      <c r="AB228" s="8" t="str">
        <f aca="false">IF($A228="","","CL "&amp;V228&amp;" | SL "&amp;W228&amp;" | PL "&amp;X228&amp;" | TR "&amp;Y228)</f>
        <v/>
      </c>
      <c r="AC228" s="15" t="str">
        <f aca="false">IF($A228="","",IF(F228="Exited","EXITED",IF(AND(ISNUMBER(K228),K228=0),"NOT ELIGIBLE",IF(MIN(V228:X228)&lt;0,"OVER-USED",IF(Z228&lt;=Settings!$C$15,"LOW","OK")))))</f>
        <v/>
      </c>
      <c r="AD228" s="16" t="str">
        <f aca="false">IF(OR(AC228="OVER-USED",AC228="LOW"),COUNTIF(AC$6:AC228,"OVER-USED")+COUNTIF(AC$6:AC228,"LOW"),"")</f>
        <v/>
      </c>
    </row>
    <row r="229" customFormat="false" ht="15" hidden="false" customHeight="false" outlineLevel="0" collapsed="false">
      <c r="A229" s="8" t="str">
        <f aca="false">IF('Employee List'!B229="","",'Employee List'!B229)</f>
        <v/>
      </c>
      <c r="B229" s="8" t="str">
        <f aca="false">IF($A229="","",'Employee List'!C229)</f>
        <v/>
      </c>
      <c r="C229" s="8" t="str">
        <f aca="false">IF($A229="","",'Employee List'!E229&amp;"")</f>
        <v/>
      </c>
      <c r="D229" s="8" t="str">
        <f aca="false">IF($A229="","",'Employee List'!F229&amp;"")</f>
        <v/>
      </c>
      <c r="E229" s="8" t="str">
        <f aca="false">IF($A229="","",'Employee List'!G229&amp;"")</f>
        <v/>
      </c>
      <c r="F229" s="8" t="str">
        <f aca="false">IF($A229="","",'Employee List'!D229)</f>
        <v/>
      </c>
      <c r="G229" s="38" t="str">
        <f aca="false">IF($A229="","",IF('Employee List'!I229="","",'Employee List'!I229))</f>
        <v/>
      </c>
      <c r="H229" s="38" t="str">
        <f aca="false">IF(OR($A229="",G229=""),"",G229+Settings!$C$13)</f>
        <v/>
      </c>
      <c r="I229" s="38" t="str">
        <f aca="false">IF(H229="","",MAX(H229,DATE(LvYear,1,1)))</f>
        <v/>
      </c>
      <c r="J229" s="38" t="str">
        <f aca="false">IF($A229="","",IF('Employee List'!J229="",DATE(LvYear,12,31),MIN('Employee List'!J229,DATE(LvYear,12,31))))</f>
        <v/>
      </c>
      <c r="K229" s="39" t="str">
        <f aca="false">IF(OR(I229="",J229=""),"",MAX(0,J229-I229+1))</f>
        <v/>
      </c>
      <c r="L229" s="16" t="str">
        <f aca="false">IF($A229="","",IF(AND(ISNUMBER(K229),K229=0),0,Settings!$C$10))</f>
        <v/>
      </c>
      <c r="M229" s="16" t="str">
        <f aca="false">IF($A229="","",IF(AND(ISNUMBER(K229),K229=0),0,Settings!$C$11))</f>
        <v/>
      </c>
      <c r="N229" s="40"/>
      <c r="O229" s="16" t="str">
        <f aca="false">IF($A229="","",FLOOR(Settings!$C$12/365*N(K229),0.5))</f>
        <v/>
      </c>
      <c r="P229" s="16" t="str">
        <f aca="false">IF($A229="","",IF(I229="",N(N229),FLOOR(Settings!$C$12/365*MAX(0,MIN(LvAsOf,J229)-I229+1)+N(N229),0.5)))</f>
        <v/>
      </c>
      <c r="Q229" s="16" t="str">
        <f aca="false">IF($A229="","",Settings!$C$14)</f>
        <v/>
      </c>
      <c r="R229" s="16" t="str">
        <f aca="false">IF($A229="","",SUMIFS(Attendance!$AZ$6:$AZ$2405,Attendance!$B$6:$B$2405,$A229,Attendance!$A$6:$A$2405,"&gt;="&amp;DATE(LvYear,1,1),Attendance!$A$6:$A$2405,"&lt;="&amp;DATE(LvYear,12,31)))</f>
        <v/>
      </c>
      <c r="S229" s="16" t="str">
        <f aca="false">IF($A229="","",SUMIFS(Attendance!$AY$6:$AY$2405,Attendance!$B$6:$B$2405,$A229,Attendance!$A$6:$A$2405,"&gt;="&amp;DATE(LvYear,1,1),Attendance!$A$6:$A$2405,"&lt;="&amp;DATE(LvYear,12,31)))</f>
        <v/>
      </c>
      <c r="T229" s="16" t="str">
        <f aca="false">IF($A229="","",SUMIFS(Attendance!$AX$6:$AX$2405,Attendance!$B$6:$B$2405,$A229,Attendance!$A$6:$A$2405,"&gt;="&amp;DATE(LvYear,1,1),Attendance!$A$6:$A$2405,"&lt;="&amp;DATE(LvYear,12,31)))</f>
        <v/>
      </c>
      <c r="U229" s="16" t="str">
        <f aca="false">IF($A229="","",SUMIFS(Attendance!$AW$6:$AW$2405,Attendance!$B$6:$B$2405,$A229,Attendance!$A$6:$A$2405,"&gt;="&amp;DATE(LvYear,1,1),Attendance!$A$6:$A$2405,"&lt;="&amp;DATE(LvYear,12,31)))</f>
        <v/>
      </c>
      <c r="V229" s="16" t="str">
        <f aca="false">IF($A229="","",L229-R229)</f>
        <v/>
      </c>
      <c r="W229" s="16" t="str">
        <f aca="false">IF($A229="","",M229-S229)</f>
        <v/>
      </c>
      <c r="X229" s="16" t="str">
        <f aca="false">IF($A229="","",P229-T229)</f>
        <v/>
      </c>
      <c r="Y229" s="16" t="str">
        <f aca="false">IF($A229="","",Q229-U229)</f>
        <v/>
      </c>
      <c r="Z229" s="16" t="str">
        <f aca="false">IF($A229="","",V229+W229+X229)</f>
        <v/>
      </c>
      <c r="AA229" s="16" t="str">
        <f aca="false">IF($A229="","",O229+N(N229)-T229)</f>
        <v/>
      </c>
      <c r="AB229" s="8" t="str">
        <f aca="false">IF($A229="","","CL "&amp;V229&amp;" | SL "&amp;W229&amp;" | PL "&amp;X229&amp;" | TR "&amp;Y229)</f>
        <v/>
      </c>
      <c r="AC229" s="15" t="str">
        <f aca="false">IF($A229="","",IF(F229="Exited","EXITED",IF(AND(ISNUMBER(K229),K229=0),"NOT ELIGIBLE",IF(MIN(V229:X229)&lt;0,"OVER-USED",IF(Z229&lt;=Settings!$C$15,"LOW","OK")))))</f>
        <v/>
      </c>
      <c r="AD229" s="16" t="str">
        <f aca="false">IF(OR(AC229="OVER-USED",AC229="LOW"),COUNTIF(AC$6:AC229,"OVER-USED")+COUNTIF(AC$6:AC229,"LOW"),"")</f>
        <v/>
      </c>
    </row>
    <row r="230" customFormat="false" ht="15" hidden="false" customHeight="false" outlineLevel="0" collapsed="false">
      <c r="A230" s="8" t="str">
        <f aca="false">IF('Employee List'!B230="","",'Employee List'!B230)</f>
        <v/>
      </c>
      <c r="B230" s="8" t="str">
        <f aca="false">IF($A230="","",'Employee List'!C230)</f>
        <v/>
      </c>
      <c r="C230" s="8" t="str">
        <f aca="false">IF($A230="","",'Employee List'!E230&amp;"")</f>
        <v/>
      </c>
      <c r="D230" s="8" t="str">
        <f aca="false">IF($A230="","",'Employee List'!F230&amp;"")</f>
        <v/>
      </c>
      <c r="E230" s="8" t="str">
        <f aca="false">IF($A230="","",'Employee List'!G230&amp;"")</f>
        <v/>
      </c>
      <c r="F230" s="8" t="str">
        <f aca="false">IF($A230="","",'Employee List'!D230)</f>
        <v/>
      </c>
      <c r="G230" s="38" t="str">
        <f aca="false">IF($A230="","",IF('Employee List'!I230="","",'Employee List'!I230))</f>
        <v/>
      </c>
      <c r="H230" s="38" t="str">
        <f aca="false">IF(OR($A230="",G230=""),"",G230+Settings!$C$13)</f>
        <v/>
      </c>
      <c r="I230" s="38" t="str">
        <f aca="false">IF(H230="","",MAX(H230,DATE(LvYear,1,1)))</f>
        <v/>
      </c>
      <c r="J230" s="38" t="str">
        <f aca="false">IF($A230="","",IF('Employee List'!J230="",DATE(LvYear,12,31),MIN('Employee List'!J230,DATE(LvYear,12,31))))</f>
        <v/>
      </c>
      <c r="K230" s="39" t="str">
        <f aca="false">IF(OR(I230="",J230=""),"",MAX(0,J230-I230+1))</f>
        <v/>
      </c>
      <c r="L230" s="16" t="str">
        <f aca="false">IF($A230="","",IF(AND(ISNUMBER(K230),K230=0),0,Settings!$C$10))</f>
        <v/>
      </c>
      <c r="M230" s="16" t="str">
        <f aca="false">IF($A230="","",IF(AND(ISNUMBER(K230),K230=0),0,Settings!$C$11))</f>
        <v/>
      </c>
      <c r="N230" s="40"/>
      <c r="O230" s="16" t="str">
        <f aca="false">IF($A230="","",FLOOR(Settings!$C$12/365*N(K230),0.5))</f>
        <v/>
      </c>
      <c r="P230" s="16" t="str">
        <f aca="false">IF($A230="","",IF(I230="",N(N230),FLOOR(Settings!$C$12/365*MAX(0,MIN(LvAsOf,J230)-I230+1)+N(N230),0.5)))</f>
        <v/>
      </c>
      <c r="Q230" s="16" t="str">
        <f aca="false">IF($A230="","",Settings!$C$14)</f>
        <v/>
      </c>
      <c r="R230" s="16" t="str">
        <f aca="false">IF($A230="","",SUMIFS(Attendance!$AZ$6:$AZ$2405,Attendance!$B$6:$B$2405,$A230,Attendance!$A$6:$A$2405,"&gt;="&amp;DATE(LvYear,1,1),Attendance!$A$6:$A$2405,"&lt;="&amp;DATE(LvYear,12,31)))</f>
        <v/>
      </c>
      <c r="S230" s="16" t="str">
        <f aca="false">IF($A230="","",SUMIFS(Attendance!$AY$6:$AY$2405,Attendance!$B$6:$B$2405,$A230,Attendance!$A$6:$A$2405,"&gt;="&amp;DATE(LvYear,1,1),Attendance!$A$6:$A$2405,"&lt;="&amp;DATE(LvYear,12,31)))</f>
        <v/>
      </c>
      <c r="T230" s="16" t="str">
        <f aca="false">IF($A230="","",SUMIFS(Attendance!$AX$6:$AX$2405,Attendance!$B$6:$B$2405,$A230,Attendance!$A$6:$A$2405,"&gt;="&amp;DATE(LvYear,1,1),Attendance!$A$6:$A$2405,"&lt;="&amp;DATE(LvYear,12,31)))</f>
        <v/>
      </c>
      <c r="U230" s="16" t="str">
        <f aca="false">IF($A230="","",SUMIFS(Attendance!$AW$6:$AW$2405,Attendance!$B$6:$B$2405,$A230,Attendance!$A$6:$A$2405,"&gt;="&amp;DATE(LvYear,1,1),Attendance!$A$6:$A$2405,"&lt;="&amp;DATE(LvYear,12,31)))</f>
        <v/>
      </c>
      <c r="V230" s="16" t="str">
        <f aca="false">IF($A230="","",L230-R230)</f>
        <v/>
      </c>
      <c r="W230" s="16" t="str">
        <f aca="false">IF($A230="","",M230-S230)</f>
        <v/>
      </c>
      <c r="X230" s="16" t="str">
        <f aca="false">IF($A230="","",P230-T230)</f>
        <v/>
      </c>
      <c r="Y230" s="16" t="str">
        <f aca="false">IF($A230="","",Q230-U230)</f>
        <v/>
      </c>
      <c r="Z230" s="16" t="str">
        <f aca="false">IF($A230="","",V230+W230+X230)</f>
        <v/>
      </c>
      <c r="AA230" s="16" t="str">
        <f aca="false">IF($A230="","",O230+N(N230)-T230)</f>
        <v/>
      </c>
      <c r="AB230" s="8" t="str">
        <f aca="false">IF($A230="","","CL "&amp;V230&amp;" | SL "&amp;W230&amp;" | PL "&amp;X230&amp;" | TR "&amp;Y230)</f>
        <v/>
      </c>
      <c r="AC230" s="15" t="str">
        <f aca="false">IF($A230="","",IF(F230="Exited","EXITED",IF(AND(ISNUMBER(K230),K230=0),"NOT ELIGIBLE",IF(MIN(V230:X230)&lt;0,"OVER-USED",IF(Z230&lt;=Settings!$C$15,"LOW","OK")))))</f>
        <v/>
      </c>
      <c r="AD230" s="16" t="str">
        <f aca="false">IF(OR(AC230="OVER-USED",AC230="LOW"),COUNTIF(AC$6:AC230,"OVER-USED")+COUNTIF(AC$6:AC230,"LOW"),"")</f>
        <v/>
      </c>
    </row>
    <row r="231" customFormat="false" ht="15" hidden="false" customHeight="false" outlineLevel="0" collapsed="false">
      <c r="A231" s="8" t="str">
        <f aca="false">IF('Employee List'!B231="","",'Employee List'!B231)</f>
        <v/>
      </c>
      <c r="B231" s="8" t="str">
        <f aca="false">IF($A231="","",'Employee List'!C231)</f>
        <v/>
      </c>
      <c r="C231" s="8" t="str">
        <f aca="false">IF($A231="","",'Employee List'!E231&amp;"")</f>
        <v/>
      </c>
      <c r="D231" s="8" t="str">
        <f aca="false">IF($A231="","",'Employee List'!F231&amp;"")</f>
        <v/>
      </c>
      <c r="E231" s="8" t="str">
        <f aca="false">IF($A231="","",'Employee List'!G231&amp;"")</f>
        <v/>
      </c>
      <c r="F231" s="8" t="str">
        <f aca="false">IF($A231="","",'Employee List'!D231)</f>
        <v/>
      </c>
      <c r="G231" s="38" t="str">
        <f aca="false">IF($A231="","",IF('Employee List'!I231="","",'Employee List'!I231))</f>
        <v/>
      </c>
      <c r="H231" s="38" t="str">
        <f aca="false">IF(OR($A231="",G231=""),"",G231+Settings!$C$13)</f>
        <v/>
      </c>
      <c r="I231" s="38" t="str">
        <f aca="false">IF(H231="","",MAX(H231,DATE(LvYear,1,1)))</f>
        <v/>
      </c>
      <c r="J231" s="38" t="str">
        <f aca="false">IF($A231="","",IF('Employee List'!J231="",DATE(LvYear,12,31),MIN('Employee List'!J231,DATE(LvYear,12,31))))</f>
        <v/>
      </c>
      <c r="K231" s="39" t="str">
        <f aca="false">IF(OR(I231="",J231=""),"",MAX(0,J231-I231+1))</f>
        <v/>
      </c>
      <c r="L231" s="16" t="str">
        <f aca="false">IF($A231="","",IF(AND(ISNUMBER(K231),K231=0),0,Settings!$C$10))</f>
        <v/>
      </c>
      <c r="M231" s="16" t="str">
        <f aca="false">IF($A231="","",IF(AND(ISNUMBER(K231),K231=0),0,Settings!$C$11))</f>
        <v/>
      </c>
      <c r="N231" s="40"/>
      <c r="O231" s="16" t="str">
        <f aca="false">IF($A231="","",FLOOR(Settings!$C$12/365*N(K231),0.5))</f>
        <v/>
      </c>
      <c r="P231" s="16" t="str">
        <f aca="false">IF($A231="","",IF(I231="",N(N231),FLOOR(Settings!$C$12/365*MAX(0,MIN(LvAsOf,J231)-I231+1)+N(N231),0.5)))</f>
        <v/>
      </c>
      <c r="Q231" s="16" t="str">
        <f aca="false">IF($A231="","",Settings!$C$14)</f>
        <v/>
      </c>
      <c r="R231" s="16" t="str">
        <f aca="false">IF($A231="","",SUMIFS(Attendance!$AZ$6:$AZ$2405,Attendance!$B$6:$B$2405,$A231,Attendance!$A$6:$A$2405,"&gt;="&amp;DATE(LvYear,1,1),Attendance!$A$6:$A$2405,"&lt;="&amp;DATE(LvYear,12,31)))</f>
        <v/>
      </c>
      <c r="S231" s="16" t="str">
        <f aca="false">IF($A231="","",SUMIFS(Attendance!$AY$6:$AY$2405,Attendance!$B$6:$B$2405,$A231,Attendance!$A$6:$A$2405,"&gt;="&amp;DATE(LvYear,1,1),Attendance!$A$6:$A$2405,"&lt;="&amp;DATE(LvYear,12,31)))</f>
        <v/>
      </c>
      <c r="T231" s="16" t="str">
        <f aca="false">IF($A231="","",SUMIFS(Attendance!$AX$6:$AX$2405,Attendance!$B$6:$B$2405,$A231,Attendance!$A$6:$A$2405,"&gt;="&amp;DATE(LvYear,1,1),Attendance!$A$6:$A$2405,"&lt;="&amp;DATE(LvYear,12,31)))</f>
        <v/>
      </c>
      <c r="U231" s="16" t="str">
        <f aca="false">IF($A231="","",SUMIFS(Attendance!$AW$6:$AW$2405,Attendance!$B$6:$B$2405,$A231,Attendance!$A$6:$A$2405,"&gt;="&amp;DATE(LvYear,1,1),Attendance!$A$6:$A$2405,"&lt;="&amp;DATE(LvYear,12,31)))</f>
        <v/>
      </c>
      <c r="V231" s="16" t="str">
        <f aca="false">IF($A231="","",L231-R231)</f>
        <v/>
      </c>
      <c r="W231" s="16" t="str">
        <f aca="false">IF($A231="","",M231-S231)</f>
        <v/>
      </c>
      <c r="X231" s="16" t="str">
        <f aca="false">IF($A231="","",P231-T231)</f>
        <v/>
      </c>
      <c r="Y231" s="16" t="str">
        <f aca="false">IF($A231="","",Q231-U231)</f>
        <v/>
      </c>
      <c r="Z231" s="16" t="str">
        <f aca="false">IF($A231="","",V231+W231+X231)</f>
        <v/>
      </c>
      <c r="AA231" s="16" t="str">
        <f aca="false">IF($A231="","",O231+N(N231)-T231)</f>
        <v/>
      </c>
      <c r="AB231" s="8" t="str">
        <f aca="false">IF($A231="","","CL "&amp;V231&amp;" | SL "&amp;W231&amp;" | PL "&amp;X231&amp;" | TR "&amp;Y231)</f>
        <v/>
      </c>
      <c r="AC231" s="15" t="str">
        <f aca="false">IF($A231="","",IF(F231="Exited","EXITED",IF(AND(ISNUMBER(K231),K231=0),"NOT ELIGIBLE",IF(MIN(V231:X231)&lt;0,"OVER-USED",IF(Z231&lt;=Settings!$C$15,"LOW","OK")))))</f>
        <v/>
      </c>
      <c r="AD231" s="16" t="str">
        <f aca="false">IF(OR(AC231="OVER-USED",AC231="LOW"),COUNTIF(AC$6:AC231,"OVER-USED")+COUNTIF(AC$6:AC231,"LOW"),"")</f>
        <v/>
      </c>
    </row>
    <row r="232" customFormat="false" ht="15" hidden="false" customHeight="false" outlineLevel="0" collapsed="false">
      <c r="A232" s="8" t="str">
        <f aca="false">IF('Employee List'!B232="","",'Employee List'!B232)</f>
        <v/>
      </c>
      <c r="B232" s="8" t="str">
        <f aca="false">IF($A232="","",'Employee List'!C232)</f>
        <v/>
      </c>
      <c r="C232" s="8" t="str">
        <f aca="false">IF($A232="","",'Employee List'!E232&amp;"")</f>
        <v/>
      </c>
      <c r="D232" s="8" t="str">
        <f aca="false">IF($A232="","",'Employee List'!F232&amp;"")</f>
        <v/>
      </c>
      <c r="E232" s="8" t="str">
        <f aca="false">IF($A232="","",'Employee List'!G232&amp;"")</f>
        <v/>
      </c>
      <c r="F232" s="8" t="str">
        <f aca="false">IF($A232="","",'Employee List'!D232)</f>
        <v/>
      </c>
      <c r="G232" s="38" t="str">
        <f aca="false">IF($A232="","",IF('Employee List'!I232="","",'Employee List'!I232))</f>
        <v/>
      </c>
      <c r="H232" s="38" t="str">
        <f aca="false">IF(OR($A232="",G232=""),"",G232+Settings!$C$13)</f>
        <v/>
      </c>
      <c r="I232" s="38" t="str">
        <f aca="false">IF(H232="","",MAX(H232,DATE(LvYear,1,1)))</f>
        <v/>
      </c>
      <c r="J232" s="38" t="str">
        <f aca="false">IF($A232="","",IF('Employee List'!J232="",DATE(LvYear,12,31),MIN('Employee List'!J232,DATE(LvYear,12,31))))</f>
        <v/>
      </c>
      <c r="K232" s="39" t="str">
        <f aca="false">IF(OR(I232="",J232=""),"",MAX(0,J232-I232+1))</f>
        <v/>
      </c>
      <c r="L232" s="16" t="str">
        <f aca="false">IF($A232="","",IF(AND(ISNUMBER(K232),K232=0),0,Settings!$C$10))</f>
        <v/>
      </c>
      <c r="M232" s="16" t="str">
        <f aca="false">IF($A232="","",IF(AND(ISNUMBER(K232),K232=0),0,Settings!$C$11))</f>
        <v/>
      </c>
      <c r="N232" s="40"/>
      <c r="O232" s="16" t="str">
        <f aca="false">IF($A232="","",FLOOR(Settings!$C$12/365*N(K232),0.5))</f>
        <v/>
      </c>
      <c r="P232" s="16" t="str">
        <f aca="false">IF($A232="","",IF(I232="",N(N232),FLOOR(Settings!$C$12/365*MAX(0,MIN(LvAsOf,J232)-I232+1)+N(N232),0.5)))</f>
        <v/>
      </c>
      <c r="Q232" s="16" t="str">
        <f aca="false">IF($A232="","",Settings!$C$14)</f>
        <v/>
      </c>
      <c r="R232" s="16" t="str">
        <f aca="false">IF($A232="","",SUMIFS(Attendance!$AZ$6:$AZ$2405,Attendance!$B$6:$B$2405,$A232,Attendance!$A$6:$A$2405,"&gt;="&amp;DATE(LvYear,1,1),Attendance!$A$6:$A$2405,"&lt;="&amp;DATE(LvYear,12,31)))</f>
        <v/>
      </c>
      <c r="S232" s="16" t="str">
        <f aca="false">IF($A232="","",SUMIFS(Attendance!$AY$6:$AY$2405,Attendance!$B$6:$B$2405,$A232,Attendance!$A$6:$A$2405,"&gt;="&amp;DATE(LvYear,1,1),Attendance!$A$6:$A$2405,"&lt;="&amp;DATE(LvYear,12,31)))</f>
        <v/>
      </c>
      <c r="T232" s="16" t="str">
        <f aca="false">IF($A232="","",SUMIFS(Attendance!$AX$6:$AX$2405,Attendance!$B$6:$B$2405,$A232,Attendance!$A$6:$A$2405,"&gt;="&amp;DATE(LvYear,1,1),Attendance!$A$6:$A$2405,"&lt;="&amp;DATE(LvYear,12,31)))</f>
        <v/>
      </c>
      <c r="U232" s="16" t="str">
        <f aca="false">IF($A232="","",SUMIFS(Attendance!$AW$6:$AW$2405,Attendance!$B$6:$B$2405,$A232,Attendance!$A$6:$A$2405,"&gt;="&amp;DATE(LvYear,1,1),Attendance!$A$6:$A$2405,"&lt;="&amp;DATE(LvYear,12,31)))</f>
        <v/>
      </c>
      <c r="V232" s="16" t="str">
        <f aca="false">IF($A232="","",L232-R232)</f>
        <v/>
      </c>
      <c r="W232" s="16" t="str">
        <f aca="false">IF($A232="","",M232-S232)</f>
        <v/>
      </c>
      <c r="X232" s="16" t="str">
        <f aca="false">IF($A232="","",P232-T232)</f>
        <v/>
      </c>
      <c r="Y232" s="16" t="str">
        <f aca="false">IF($A232="","",Q232-U232)</f>
        <v/>
      </c>
      <c r="Z232" s="16" t="str">
        <f aca="false">IF($A232="","",V232+W232+X232)</f>
        <v/>
      </c>
      <c r="AA232" s="16" t="str">
        <f aca="false">IF($A232="","",O232+N(N232)-T232)</f>
        <v/>
      </c>
      <c r="AB232" s="8" t="str">
        <f aca="false">IF($A232="","","CL "&amp;V232&amp;" | SL "&amp;W232&amp;" | PL "&amp;X232&amp;" | TR "&amp;Y232)</f>
        <v/>
      </c>
      <c r="AC232" s="15" t="str">
        <f aca="false">IF($A232="","",IF(F232="Exited","EXITED",IF(AND(ISNUMBER(K232),K232=0),"NOT ELIGIBLE",IF(MIN(V232:X232)&lt;0,"OVER-USED",IF(Z232&lt;=Settings!$C$15,"LOW","OK")))))</f>
        <v/>
      </c>
      <c r="AD232" s="16" t="str">
        <f aca="false">IF(OR(AC232="OVER-USED",AC232="LOW"),COUNTIF(AC$6:AC232,"OVER-USED")+COUNTIF(AC$6:AC232,"LOW"),"")</f>
        <v/>
      </c>
    </row>
    <row r="233" customFormat="false" ht="15" hidden="false" customHeight="false" outlineLevel="0" collapsed="false">
      <c r="A233" s="8" t="str">
        <f aca="false">IF('Employee List'!B233="","",'Employee List'!B233)</f>
        <v/>
      </c>
      <c r="B233" s="8" t="str">
        <f aca="false">IF($A233="","",'Employee List'!C233)</f>
        <v/>
      </c>
      <c r="C233" s="8" t="str">
        <f aca="false">IF($A233="","",'Employee List'!E233&amp;"")</f>
        <v/>
      </c>
      <c r="D233" s="8" t="str">
        <f aca="false">IF($A233="","",'Employee List'!F233&amp;"")</f>
        <v/>
      </c>
      <c r="E233" s="8" t="str">
        <f aca="false">IF($A233="","",'Employee List'!G233&amp;"")</f>
        <v/>
      </c>
      <c r="F233" s="8" t="str">
        <f aca="false">IF($A233="","",'Employee List'!D233)</f>
        <v/>
      </c>
      <c r="G233" s="38" t="str">
        <f aca="false">IF($A233="","",IF('Employee List'!I233="","",'Employee List'!I233))</f>
        <v/>
      </c>
      <c r="H233" s="38" t="str">
        <f aca="false">IF(OR($A233="",G233=""),"",G233+Settings!$C$13)</f>
        <v/>
      </c>
      <c r="I233" s="38" t="str">
        <f aca="false">IF(H233="","",MAX(H233,DATE(LvYear,1,1)))</f>
        <v/>
      </c>
      <c r="J233" s="38" t="str">
        <f aca="false">IF($A233="","",IF('Employee List'!J233="",DATE(LvYear,12,31),MIN('Employee List'!J233,DATE(LvYear,12,31))))</f>
        <v/>
      </c>
      <c r="K233" s="39" t="str">
        <f aca="false">IF(OR(I233="",J233=""),"",MAX(0,J233-I233+1))</f>
        <v/>
      </c>
      <c r="L233" s="16" t="str">
        <f aca="false">IF($A233="","",IF(AND(ISNUMBER(K233),K233=0),0,Settings!$C$10))</f>
        <v/>
      </c>
      <c r="M233" s="16" t="str">
        <f aca="false">IF($A233="","",IF(AND(ISNUMBER(K233),K233=0),0,Settings!$C$11))</f>
        <v/>
      </c>
      <c r="N233" s="40"/>
      <c r="O233" s="16" t="str">
        <f aca="false">IF($A233="","",FLOOR(Settings!$C$12/365*N(K233),0.5))</f>
        <v/>
      </c>
      <c r="P233" s="16" t="str">
        <f aca="false">IF($A233="","",IF(I233="",N(N233),FLOOR(Settings!$C$12/365*MAX(0,MIN(LvAsOf,J233)-I233+1)+N(N233),0.5)))</f>
        <v/>
      </c>
      <c r="Q233" s="16" t="str">
        <f aca="false">IF($A233="","",Settings!$C$14)</f>
        <v/>
      </c>
      <c r="R233" s="16" t="str">
        <f aca="false">IF($A233="","",SUMIFS(Attendance!$AZ$6:$AZ$2405,Attendance!$B$6:$B$2405,$A233,Attendance!$A$6:$A$2405,"&gt;="&amp;DATE(LvYear,1,1),Attendance!$A$6:$A$2405,"&lt;="&amp;DATE(LvYear,12,31)))</f>
        <v/>
      </c>
      <c r="S233" s="16" t="str">
        <f aca="false">IF($A233="","",SUMIFS(Attendance!$AY$6:$AY$2405,Attendance!$B$6:$B$2405,$A233,Attendance!$A$6:$A$2405,"&gt;="&amp;DATE(LvYear,1,1),Attendance!$A$6:$A$2405,"&lt;="&amp;DATE(LvYear,12,31)))</f>
        <v/>
      </c>
      <c r="T233" s="16" t="str">
        <f aca="false">IF($A233="","",SUMIFS(Attendance!$AX$6:$AX$2405,Attendance!$B$6:$B$2405,$A233,Attendance!$A$6:$A$2405,"&gt;="&amp;DATE(LvYear,1,1),Attendance!$A$6:$A$2405,"&lt;="&amp;DATE(LvYear,12,31)))</f>
        <v/>
      </c>
      <c r="U233" s="16" t="str">
        <f aca="false">IF($A233="","",SUMIFS(Attendance!$AW$6:$AW$2405,Attendance!$B$6:$B$2405,$A233,Attendance!$A$6:$A$2405,"&gt;="&amp;DATE(LvYear,1,1),Attendance!$A$6:$A$2405,"&lt;="&amp;DATE(LvYear,12,31)))</f>
        <v/>
      </c>
      <c r="V233" s="16" t="str">
        <f aca="false">IF($A233="","",L233-R233)</f>
        <v/>
      </c>
      <c r="W233" s="16" t="str">
        <f aca="false">IF($A233="","",M233-S233)</f>
        <v/>
      </c>
      <c r="X233" s="16" t="str">
        <f aca="false">IF($A233="","",P233-T233)</f>
        <v/>
      </c>
      <c r="Y233" s="16" t="str">
        <f aca="false">IF($A233="","",Q233-U233)</f>
        <v/>
      </c>
      <c r="Z233" s="16" t="str">
        <f aca="false">IF($A233="","",V233+W233+X233)</f>
        <v/>
      </c>
      <c r="AA233" s="16" t="str">
        <f aca="false">IF($A233="","",O233+N(N233)-T233)</f>
        <v/>
      </c>
      <c r="AB233" s="8" t="str">
        <f aca="false">IF($A233="","","CL "&amp;V233&amp;" | SL "&amp;W233&amp;" | PL "&amp;X233&amp;" | TR "&amp;Y233)</f>
        <v/>
      </c>
      <c r="AC233" s="15" t="str">
        <f aca="false">IF($A233="","",IF(F233="Exited","EXITED",IF(AND(ISNUMBER(K233),K233=0),"NOT ELIGIBLE",IF(MIN(V233:X233)&lt;0,"OVER-USED",IF(Z233&lt;=Settings!$C$15,"LOW","OK")))))</f>
        <v/>
      </c>
      <c r="AD233" s="16" t="str">
        <f aca="false">IF(OR(AC233="OVER-USED",AC233="LOW"),COUNTIF(AC$6:AC233,"OVER-USED")+COUNTIF(AC$6:AC233,"LOW"),"")</f>
        <v/>
      </c>
    </row>
    <row r="234" customFormat="false" ht="15" hidden="false" customHeight="false" outlineLevel="0" collapsed="false">
      <c r="A234" s="8" t="str">
        <f aca="false">IF('Employee List'!B234="","",'Employee List'!B234)</f>
        <v/>
      </c>
      <c r="B234" s="8" t="str">
        <f aca="false">IF($A234="","",'Employee List'!C234)</f>
        <v/>
      </c>
      <c r="C234" s="8" t="str">
        <f aca="false">IF($A234="","",'Employee List'!E234&amp;"")</f>
        <v/>
      </c>
      <c r="D234" s="8" t="str">
        <f aca="false">IF($A234="","",'Employee List'!F234&amp;"")</f>
        <v/>
      </c>
      <c r="E234" s="8" t="str">
        <f aca="false">IF($A234="","",'Employee List'!G234&amp;"")</f>
        <v/>
      </c>
      <c r="F234" s="8" t="str">
        <f aca="false">IF($A234="","",'Employee List'!D234)</f>
        <v/>
      </c>
      <c r="G234" s="38" t="str">
        <f aca="false">IF($A234="","",IF('Employee List'!I234="","",'Employee List'!I234))</f>
        <v/>
      </c>
      <c r="H234" s="38" t="str">
        <f aca="false">IF(OR($A234="",G234=""),"",G234+Settings!$C$13)</f>
        <v/>
      </c>
      <c r="I234" s="38" t="str">
        <f aca="false">IF(H234="","",MAX(H234,DATE(LvYear,1,1)))</f>
        <v/>
      </c>
      <c r="J234" s="38" t="str">
        <f aca="false">IF($A234="","",IF('Employee List'!J234="",DATE(LvYear,12,31),MIN('Employee List'!J234,DATE(LvYear,12,31))))</f>
        <v/>
      </c>
      <c r="K234" s="39" t="str">
        <f aca="false">IF(OR(I234="",J234=""),"",MAX(0,J234-I234+1))</f>
        <v/>
      </c>
      <c r="L234" s="16" t="str">
        <f aca="false">IF($A234="","",IF(AND(ISNUMBER(K234),K234=0),0,Settings!$C$10))</f>
        <v/>
      </c>
      <c r="M234" s="16" t="str">
        <f aca="false">IF($A234="","",IF(AND(ISNUMBER(K234),K234=0),0,Settings!$C$11))</f>
        <v/>
      </c>
      <c r="N234" s="40"/>
      <c r="O234" s="16" t="str">
        <f aca="false">IF($A234="","",FLOOR(Settings!$C$12/365*N(K234),0.5))</f>
        <v/>
      </c>
      <c r="P234" s="16" t="str">
        <f aca="false">IF($A234="","",IF(I234="",N(N234),FLOOR(Settings!$C$12/365*MAX(0,MIN(LvAsOf,J234)-I234+1)+N(N234),0.5)))</f>
        <v/>
      </c>
      <c r="Q234" s="16" t="str">
        <f aca="false">IF($A234="","",Settings!$C$14)</f>
        <v/>
      </c>
      <c r="R234" s="16" t="str">
        <f aca="false">IF($A234="","",SUMIFS(Attendance!$AZ$6:$AZ$2405,Attendance!$B$6:$B$2405,$A234,Attendance!$A$6:$A$2405,"&gt;="&amp;DATE(LvYear,1,1),Attendance!$A$6:$A$2405,"&lt;="&amp;DATE(LvYear,12,31)))</f>
        <v/>
      </c>
      <c r="S234" s="16" t="str">
        <f aca="false">IF($A234="","",SUMIFS(Attendance!$AY$6:$AY$2405,Attendance!$B$6:$B$2405,$A234,Attendance!$A$6:$A$2405,"&gt;="&amp;DATE(LvYear,1,1),Attendance!$A$6:$A$2405,"&lt;="&amp;DATE(LvYear,12,31)))</f>
        <v/>
      </c>
      <c r="T234" s="16" t="str">
        <f aca="false">IF($A234="","",SUMIFS(Attendance!$AX$6:$AX$2405,Attendance!$B$6:$B$2405,$A234,Attendance!$A$6:$A$2405,"&gt;="&amp;DATE(LvYear,1,1),Attendance!$A$6:$A$2405,"&lt;="&amp;DATE(LvYear,12,31)))</f>
        <v/>
      </c>
      <c r="U234" s="16" t="str">
        <f aca="false">IF($A234="","",SUMIFS(Attendance!$AW$6:$AW$2405,Attendance!$B$6:$B$2405,$A234,Attendance!$A$6:$A$2405,"&gt;="&amp;DATE(LvYear,1,1),Attendance!$A$6:$A$2405,"&lt;="&amp;DATE(LvYear,12,31)))</f>
        <v/>
      </c>
      <c r="V234" s="16" t="str">
        <f aca="false">IF($A234="","",L234-R234)</f>
        <v/>
      </c>
      <c r="W234" s="16" t="str">
        <f aca="false">IF($A234="","",M234-S234)</f>
        <v/>
      </c>
      <c r="X234" s="16" t="str">
        <f aca="false">IF($A234="","",P234-T234)</f>
        <v/>
      </c>
      <c r="Y234" s="16" t="str">
        <f aca="false">IF($A234="","",Q234-U234)</f>
        <v/>
      </c>
      <c r="Z234" s="16" t="str">
        <f aca="false">IF($A234="","",V234+W234+X234)</f>
        <v/>
      </c>
      <c r="AA234" s="16" t="str">
        <f aca="false">IF($A234="","",O234+N(N234)-T234)</f>
        <v/>
      </c>
      <c r="AB234" s="8" t="str">
        <f aca="false">IF($A234="","","CL "&amp;V234&amp;" | SL "&amp;W234&amp;" | PL "&amp;X234&amp;" | TR "&amp;Y234)</f>
        <v/>
      </c>
      <c r="AC234" s="15" t="str">
        <f aca="false">IF($A234="","",IF(F234="Exited","EXITED",IF(AND(ISNUMBER(K234),K234=0),"NOT ELIGIBLE",IF(MIN(V234:X234)&lt;0,"OVER-USED",IF(Z234&lt;=Settings!$C$15,"LOW","OK")))))</f>
        <v/>
      </c>
      <c r="AD234" s="16" t="str">
        <f aca="false">IF(OR(AC234="OVER-USED",AC234="LOW"),COUNTIF(AC$6:AC234,"OVER-USED")+COUNTIF(AC$6:AC234,"LOW"),"")</f>
        <v/>
      </c>
    </row>
    <row r="235" customFormat="false" ht="15" hidden="false" customHeight="false" outlineLevel="0" collapsed="false">
      <c r="A235" s="8" t="str">
        <f aca="false">IF('Employee List'!B235="","",'Employee List'!B235)</f>
        <v/>
      </c>
      <c r="B235" s="8" t="str">
        <f aca="false">IF($A235="","",'Employee List'!C235)</f>
        <v/>
      </c>
      <c r="C235" s="8" t="str">
        <f aca="false">IF($A235="","",'Employee List'!E235&amp;"")</f>
        <v/>
      </c>
      <c r="D235" s="8" t="str">
        <f aca="false">IF($A235="","",'Employee List'!F235&amp;"")</f>
        <v/>
      </c>
      <c r="E235" s="8" t="str">
        <f aca="false">IF($A235="","",'Employee List'!G235&amp;"")</f>
        <v/>
      </c>
      <c r="F235" s="8" t="str">
        <f aca="false">IF($A235="","",'Employee List'!D235)</f>
        <v/>
      </c>
      <c r="G235" s="38" t="str">
        <f aca="false">IF($A235="","",IF('Employee List'!I235="","",'Employee List'!I235))</f>
        <v/>
      </c>
      <c r="H235" s="38" t="str">
        <f aca="false">IF(OR($A235="",G235=""),"",G235+Settings!$C$13)</f>
        <v/>
      </c>
      <c r="I235" s="38" t="str">
        <f aca="false">IF(H235="","",MAX(H235,DATE(LvYear,1,1)))</f>
        <v/>
      </c>
      <c r="J235" s="38" t="str">
        <f aca="false">IF($A235="","",IF('Employee List'!J235="",DATE(LvYear,12,31),MIN('Employee List'!J235,DATE(LvYear,12,31))))</f>
        <v/>
      </c>
      <c r="K235" s="39" t="str">
        <f aca="false">IF(OR(I235="",J235=""),"",MAX(0,J235-I235+1))</f>
        <v/>
      </c>
      <c r="L235" s="16" t="str">
        <f aca="false">IF($A235="","",IF(AND(ISNUMBER(K235),K235=0),0,Settings!$C$10))</f>
        <v/>
      </c>
      <c r="M235" s="16" t="str">
        <f aca="false">IF($A235="","",IF(AND(ISNUMBER(K235),K235=0),0,Settings!$C$11))</f>
        <v/>
      </c>
      <c r="N235" s="40"/>
      <c r="O235" s="16" t="str">
        <f aca="false">IF($A235="","",FLOOR(Settings!$C$12/365*N(K235),0.5))</f>
        <v/>
      </c>
      <c r="P235" s="16" t="str">
        <f aca="false">IF($A235="","",IF(I235="",N(N235),FLOOR(Settings!$C$12/365*MAX(0,MIN(LvAsOf,J235)-I235+1)+N(N235),0.5)))</f>
        <v/>
      </c>
      <c r="Q235" s="16" t="str">
        <f aca="false">IF($A235="","",Settings!$C$14)</f>
        <v/>
      </c>
      <c r="R235" s="16" t="str">
        <f aca="false">IF($A235="","",SUMIFS(Attendance!$AZ$6:$AZ$2405,Attendance!$B$6:$B$2405,$A235,Attendance!$A$6:$A$2405,"&gt;="&amp;DATE(LvYear,1,1),Attendance!$A$6:$A$2405,"&lt;="&amp;DATE(LvYear,12,31)))</f>
        <v/>
      </c>
      <c r="S235" s="16" t="str">
        <f aca="false">IF($A235="","",SUMIFS(Attendance!$AY$6:$AY$2405,Attendance!$B$6:$B$2405,$A235,Attendance!$A$6:$A$2405,"&gt;="&amp;DATE(LvYear,1,1),Attendance!$A$6:$A$2405,"&lt;="&amp;DATE(LvYear,12,31)))</f>
        <v/>
      </c>
      <c r="T235" s="16" t="str">
        <f aca="false">IF($A235="","",SUMIFS(Attendance!$AX$6:$AX$2405,Attendance!$B$6:$B$2405,$A235,Attendance!$A$6:$A$2405,"&gt;="&amp;DATE(LvYear,1,1),Attendance!$A$6:$A$2405,"&lt;="&amp;DATE(LvYear,12,31)))</f>
        <v/>
      </c>
      <c r="U235" s="16" t="str">
        <f aca="false">IF($A235="","",SUMIFS(Attendance!$AW$6:$AW$2405,Attendance!$B$6:$B$2405,$A235,Attendance!$A$6:$A$2405,"&gt;="&amp;DATE(LvYear,1,1),Attendance!$A$6:$A$2405,"&lt;="&amp;DATE(LvYear,12,31)))</f>
        <v/>
      </c>
      <c r="V235" s="16" t="str">
        <f aca="false">IF($A235="","",L235-R235)</f>
        <v/>
      </c>
      <c r="W235" s="16" t="str">
        <f aca="false">IF($A235="","",M235-S235)</f>
        <v/>
      </c>
      <c r="X235" s="16" t="str">
        <f aca="false">IF($A235="","",P235-T235)</f>
        <v/>
      </c>
      <c r="Y235" s="16" t="str">
        <f aca="false">IF($A235="","",Q235-U235)</f>
        <v/>
      </c>
      <c r="Z235" s="16" t="str">
        <f aca="false">IF($A235="","",V235+W235+X235)</f>
        <v/>
      </c>
      <c r="AA235" s="16" t="str">
        <f aca="false">IF($A235="","",O235+N(N235)-T235)</f>
        <v/>
      </c>
      <c r="AB235" s="8" t="str">
        <f aca="false">IF($A235="","","CL "&amp;V235&amp;" | SL "&amp;W235&amp;" | PL "&amp;X235&amp;" | TR "&amp;Y235)</f>
        <v/>
      </c>
      <c r="AC235" s="15" t="str">
        <f aca="false">IF($A235="","",IF(F235="Exited","EXITED",IF(AND(ISNUMBER(K235),K235=0),"NOT ELIGIBLE",IF(MIN(V235:X235)&lt;0,"OVER-USED",IF(Z235&lt;=Settings!$C$15,"LOW","OK")))))</f>
        <v/>
      </c>
      <c r="AD235" s="16" t="str">
        <f aca="false">IF(OR(AC235="OVER-USED",AC235="LOW"),COUNTIF(AC$6:AC235,"OVER-USED")+COUNTIF(AC$6:AC235,"LOW"),"")</f>
        <v/>
      </c>
    </row>
    <row r="236" customFormat="false" ht="15" hidden="false" customHeight="false" outlineLevel="0" collapsed="false">
      <c r="A236" s="8" t="str">
        <f aca="false">IF('Employee List'!B236="","",'Employee List'!B236)</f>
        <v/>
      </c>
      <c r="B236" s="8" t="str">
        <f aca="false">IF($A236="","",'Employee List'!C236)</f>
        <v/>
      </c>
      <c r="C236" s="8" t="str">
        <f aca="false">IF($A236="","",'Employee List'!E236&amp;"")</f>
        <v/>
      </c>
      <c r="D236" s="8" t="str">
        <f aca="false">IF($A236="","",'Employee List'!F236&amp;"")</f>
        <v/>
      </c>
      <c r="E236" s="8" t="str">
        <f aca="false">IF($A236="","",'Employee List'!G236&amp;"")</f>
        <v/>
      </c>
      <c r="F236" s="8" t="str">
        <f aca="false">IF($A236="","",'Employee List'!D236)</f>
        <v/>
      </c>
      <c r="G236" s="38" t="str">
        <f aca="false">IF($A236="","",IF('Employee List'!I236="","",'Employee List'!I236))</f>
        <v/>
      </c>
      <c r="H236" s="38" t="str">
        <f aca="false">IF(OR($A236="",G236=""),"",G236+Settings!$C$13)</f>
        <v/>
      </c>
      <c r="I236" s="38" t="str">
        <f aca="false">IF(H236="","",MAX(H236,DATE(LvYear,1,1)))</f>
        <v/>
      </c>
      <c r="J236" s="38" t="str">
        <f aca="false">IF($A236="","",IF('Employee List'!J236="",DATE(LvYear,12,31),MIN('Employee List'!J236,DATE(LvYear,12,31))))</f>
        <v/>
      </c>
      <c r="K236" s="39" t="str">
        <f aca="false">IF(OR(I236="",J236=""),"",MAX(0,J236-I236+1))</f>
        <v/>
      </c>
      <c r="L236" s="16" t="str">
        <f aca="false">IF($A236="","",IF(AND(ISNUMBER(K236),K236=0),0,Settings!$C$10))</f>
        <v/>
      </c>
      <c r="M236" s="16" t="str">
        <f aca="false">IF($A236="","",IF(AND(ISNUMBER(K236),K236=0),0,Settings!$C$11))</f>
        <v/>
      </c>
      <c r="N236" s="40"/>
      <c r="O236" s="16" t="str">
        <f aca="false">IF($A236="","",FLOOR(Settings!$C$12/365*N(K236),0.5))</f>
        <v/>
      </c>
      <c r="P236" s="16" t="str">
        <f aca="false">IF($A236="","",IF(I236="",N(N236),FLOOR(Settings!$C$12/365*MAX(0,MIN(LvAsOf,J236)-I236+1)+N(N236),0.5)))</f>
        <v/>
      </c>
      <c r="Q236" s="16" t="str">
        <f aca="false">IF($A236="","",Settings!$C$14)</f>
        <v/>
      </c>
      <c r="R236" s="16" t="str">
        <f aca="false">IF($A236="","",SUMIFS(Attendance!$AZ$6:$AZ$2405,Attendance!$B$6:$B$2405,$A236,Attendance!$A$6:$A$2405,"&gt;="&amp;DATE(LvYear,1,1),Attendance!$A$6:$A$2405,"&lt;="&amp;DATE(LvYear,12,31)))</f>
        <v/>
      </c>
      <c r="S236" s="16" t="str">
        <f aca="false">IF($A236="","",SUMIFS(Attendance!$AY$6:$AY$2405,Attendance!$B$6:$B$2405,$A236,Attendance!$A$6:$A$2405,"&gt;="&amp;DATE(LvYear,1,1),Attendance!$A$6:$A$2405,"&lt;="&amp;DATE(LvYear,12,31)))</f>
        <v/>
      </c>
      <c r="T236" s="16" t="str">
        <f aca="false">IF($A236="","",SUMIFS(Attendance!$AX$6:$AX$2405,Attendance!$B$6:$B$2405,$A236,Attendance!$A$6:$A$2405,"&gt;="&amp;DATE(LvYear,1,1),Attendance!$A$6:$A$2405,"&lt;="&amp;DATE(LvYear,12,31)))</f>
        <v/>
      </c>
      <c r="U236" s="16" t="str">
        <f aca="false">IF($A236="","",SUMIFS(Attendance!$AW$6:$AW$2405,Attendance!$B$6:$B$2405,$A236,Attendance!$A$6:$A$2405,"&gt;="&amp;DATE(LvYear,1,1),Attendance!$A$6:$A$2405,"&lt;="&amp;DATE(LvYear,12,31)))</f>
        <v/>
      </c>
      <c r="V236" s="16" t="str">
        <f aca="false">IF($A236="","",L236-R236)</f>
        <v/>
      </c>
      <c r="W236" s="16" t="str">
        <f aca="false">IF($A236="","",M236-S236)</f>
        <v/>
      </c>
      <c r="X236" s="16" t="str">
        <f aca="false">IF($A236="","",P236-T236)</f>
        <v/>
      </c>
      <c r="Y236" s="16" t="str">
        <f aca="false">IF($A236="","",Q236-U236)</f>
        <v/>
      </c>
      <c r="Z236" s="16" t="str">
        <f aca="false">IF($A236="","",V236+W236+X236)</f>
        <v/>
      </c>
      <c r="AA236" s="16" t="str">
        <f aca="false">IF($A236="","",O236+N(N236)-T236)</f>
        <v/>
      </c>
      <c r="AB236" s="8" t="str">
        <f aca="false">IF($A236="","","CL "&amp;V236&amp;" | SL "&amp;W236&amp;" | PL "&amp;X236&amp;" | TR "&amp;Y236)</f>
        <v/>
      </c>
      <c r="AC236" s="15" t="str">
        <f aca="false">IF($A236="","",IF(F236="Exited","EXITED",IF(AND(ISNUMBER(K236),K236=0),"NOT ELIGIBLE",IF(MIN(V236:X236)&lt;0,"OVER-USED",IF(Z236&lt;=Settings!$C$15,"LOW","OK")))))</f>
        <v/>
      </c>
      <c r="AD236" s="16" t="str">
        <f aca="false">IF(OR(AC236="OVER-USED",AC236="LOW"),COUNTIF(AC$6:AC236,"OVER-USED")+COUNTIF(AC$6:AC236,"LOW"),"")</f>
        <v/>
      </c>
    </row>
    <row r="237" customFormat="false" ht="15" hidden="false" customHeight="false" outlineLevel="0" collapsed="false">
      <c r="A237" s="8" t="str">
        <f aca="false">IF('Employee List'!B237="","",'Employee List'!B237)</f>
        <v/>
      </c>
      <c r="B237" s="8" t="str">
        <f aca="false">IF($A237="","",'Employee List'!C237)</f>
        <v/>
      </c>
      <c r="C237" s="8" t="str">
        <f aca="false">IF($A237="","",'Employee List'!E237&amp;"")</f>
        <v/>
      </c>
      <c r="D237" s="8" t="str">
        <f aca="false">IF($A237="","",'Employee List'!F237&amp;"")</f>
        <v/>
      </c>
      <c r="E237" s="8" t="str">
        <f aca="false">IF($A237="","",'Employee List'!G237&amp;"")</f>
        <v/>
      </c>
      <c r="F237" s="8" t="str">
        <f aca="false">IF($A237="","",'Employee List'!D237)</f>
        <v/>
      </c>
      <c r="G237" s="38" t="str">
        <f aca="false">IF($A237="","",IF('Employee List'!I237="","",'Employee List'!I237))</f>
        <v/>
      </c>
      <c r="H237" s="38" t="str">
        <f aca="false">IF(OR($A237="",G237=""),"",G237+Settings!$C$13)</f>
        <v/>
      </c>
      <c r="I237" s="38" t="str">
        <f aca="false">IF(H237="","",MAX(H237,DATE(LvYear,1,1)))</f>
        <v/>
      </c>
      <c r="J237" s="38" t="str">
        <f aca="false">IF($A237="","",IF('Employee List'!J237="",DATE(LvYear,12,31),MIN('Employee List'!J237,DATE(LvYear,12,31))))</f>
        <v/>
      </c>
      <c r="K237" s="39" t="str">
        <f aca="false">IF(OR(I237="",J237=""),"",MAX(0,J237-I237+1))</f>
        <v/>
      </c>
      <c r="L237" s="16" t="str">
        <f aca="false">IF($A237="","",IF(AND(ISNUMBER(K237),K237=0),0,Settings!$C$10))</f>
        <v/>
      </c>
      <c r="M237" s="16" t="str">
        <f aca="false">IF($A237="","",IF(AND(ISNUMBER(K237),K237=0),0,Settings!$C$11))</f>
        <v/>
      </c>
      <c r="N237" s="40"/>
      <c r="O237" s="16" t="str">
        <f aca="false">IF($A237="","",FLOOR(Settings!$C$12/365*N(K237),0.5))</f>
        <v/>
      </c>
      <c r="P237" s="16" t="str">
        <f aca="false">IF($A237="","",IF(I237="",N(N237),FLOOR(Settings!$C$12/365*MAX(0,MIN(LvAsOf,J237)-I237+1)+N(N237),0.5)))</f>
        <v/>
      </c>
      <c r="Q237" s="16" t="str">
        <f aca="false">IF($A237="","",Settings!$C$14)</f>
        <v/>
      </c>
      <c r="R237" s="16" t="str">
        <f aca="false">IF($A237="","",SUMIFS(Attendance!$AZ$6:$AZ$2405,Attendance!$B$6:$B$2405,$A237,Attendance!$A$6:$A$2405,"&gt;="&amp;DATE(LvYear,1,1),Attendance!$A$6:$A$2405,"&lt;="&amp;DATE(LvYear,12,31)))</f>
        <v/>
      </c>
      <c r="S237" s="16" t="str">
        <f aca="false">IF($A237="","",SUMIFS(Attendance!$AY$6:$AY$2405,Attendance!$B$6:$B$2405,$A237,Attendance!$A$6:$A$2405,"&gt;="&amp;DATE(LvYear,1,1),Attendance!$A$6:$A$2405,"&lt;="&amp;DATE(LvYear,12,31)))</f>
        <v/>
      </c>
      <c r="T237" s="16" t="str">
        <f aca="false">IF($A237="","",SUMIFS(Attendance!$AX$6:$AX$2405,Attendance!$B$6:$B$2405,$A237,Attendance!$A$6:$A$2405,"&gt;="&amp;DATE(LvYear,1,1),Attendance!$A$6:$A$2405,"&lt;="&amp;DATE(LvYear,12,31)))</f>
        <v/>
      </c>
      <c r="U237" s="16" t="str">
        <f aca="false">IF($A237="","",SUMIFS(Attendance!$AW$6:$AW$2405,Attendance!$B$6:$B$2405,$A237,Attendance!$A$6:$A$2405,"&gt;="&amp;DATE(LvYear,1,1),Attendance!$A$6:$A$2405,"&lt;="&amp;DATE(LvYear,12,31)))</f>
        <v/>
      </c>
      <c r="V237" s="16" t="str">
        <f aca="false">IF($A237="","",L237-R237)</f>
        <v/>
      </c>
      <c r="W237" s="16" t="str">
        <f aca="false">IF($A237="","",M237-S237)</f>
        <v/>
      </c>
      <c r="X237" s="16" t="str">
        <f aca="false">IF($A237="","",P237-T237)</f>
        <v/>
      </c>
      <c r="Y237" s="16" t="str">
        <f aca="false">IF($A237="","",Q237-U237)</f>
        <v/>
      </c>
      <c r="Z237" s="16" t="str">
        <f aca="false">IF($A237="","",V237+W237+X237)</f>
        <v/>
      </c>
      <c r="AA237" s="16" t="str">
        <f aca="false">IF($A237="","",O237+N(N237)-T237)</f>
        <v/>
      </c>
      <c r="AB237" s="8" t="str">
        <f aca="false">IF($A237="","","CL "&amp;V237&amp;" | SL "&amp;W237&amp;" | PL "&amp;X237&amp;" | TR "&amp;Y237)</f>
        <v/>
      </c>
      <c r="AC237" s="15" t="str">
        <f aca="false">IF($A237="","",IF(F237="Exited","EXITED",IF(AND(ISNUMBER(K237),K237=0),"NOT ELIGIBLE",IF(MIN(V237:X237)&lt;0,"OVER-USED",IF(Z237&lt;=Settings!$C$15,"LOW","OK")))))</f>
        <v/>
      </c>
      <c r="AD237" s="16" t="str">
        <f aca="false">IF(OR(AC237="OVER-USED",AC237="LOW"),COUNTIF(AC$6:AC237,"OVER-USED")+COUNTIF(AC$6:AC237,"LOW"),"")</f>
        <v/>
      </c>
    </row>
    <row r="238" customFormat="false" ht="15" hidden="false" customHeight="false" outlineLevel="0" collapsed="false">
      <c r="A238" s="8" t="str">
        <f aca="false">IF('Employee List'!B238="","",'Employee List'!B238)</f>
        <v/>
      </c>
      <c r="B238" s="8" t="str">
        <f aca="false">IF($A238="","",'Employee List'!C238)</f>
        <v/>
      </c>
      <c r="C238" s="8" t="str">
        <f aca="false">IF($A238="","",'Employee List'!E238&amp;"")</f>
        <v/>
      </c>
      <c r="D238" s="8" t="str">
        <f aca="false">IF($A238="","",'Employee List'!F238&amp;"")</f>
        <v/>
      </c>
      <c r="E238" s="8" t="str">
        <f aca="false">IF($A238="","",'Employee List'!G238&amp;"")</f>
        <v/>
      </c>
      <c r="F238" s="8" t="str">
        <f aca="false">IF($A238="","",'Employee List'!D238)</f>
        <v/>
      </c>
      <c r="G238" s="38" t="str">
        <f aca="false">IF($A238="","",IF('Employee List'!I238="","",'Employee List'!I238))</f>
        <v/>
      </c>
      <c r="H238" s="38" t="str">
        <f aca="false">IF(OR($A238="",G238=""),"",G238+Settings!$C$13)</f>
        <v/>
      </c>
      <c r="I238" s="38" t="str">
        <f aca="false">IF(H238="","",MAX(H238,DATE(LvYear,1,1)))</f>
        <v/>
      </c>
      <c r="J238" s="38" t="str">
        <f aca="false">IF($A238="","",IF('Employee List'!J238="",DATE(LvYear,12,31),MIN('Employee List'!J238,DATE(LvYear,12,31))))</f>
        <v/>
      </c>
      <c r="K238" s="39" t="str">
        <f aca="false">IF(OR(I238="",J238=""),"",MAX(0,J238-I238+1))</f>
        <v/>
      </c>
      <c r="L238" s="16" t="str">
        <f aca="false">IF($A238="","",IF(AND(ISNUMBER(K238),K238=0),0,Settings!$C$10))</f>
        <v/>
      </c>
      <c r="M238" s="16" t="str">
        <f aca="false">IF($A238="","",IF(AND(ISNUMBER(K238),K238=0),0,Settings!$C$11))</f>
        <v/>
      </c>
      <c r="N238" s="40"/>
      <c r="O238" s="16" t="str">
        <f aca="false">IF($A238="","",FLOOR(Settings!$C$12/365*N(K238),0.5))</f>
        <v/>
      </c>
      <c r="P238" s="16" t="str">
        <f aca="false">IF($A238="","",IF(I238="",N(N238),FLOOR(Settings!$C$12/365*MAX(0,MIN(LvAsOf,J238)-I238+1)+N(N238),0.5)))</f>
        <v/>
      </c>
      <c r="Q238" s="16" t="str">
        <f aca="false">IF($A238="","",Settings!$C$14)</f>
        <v/>
      </c>
      <c r="R238" s="16" t="str">
        <f aca="false">IF($A238="","",SUMIFS(Attendance!$AZ$6:$AZ$2405,Attendance!$B$6:$B$2405,$A238,Attendance!$A$6:$A$2405,"&gt;="&amp;DATE(LvYear,1,1),Attendance!$A$6:$A$2405,"&lt;="&amp;DATE(LvYear,12,31)))</f>
        <v/>
      </c>
      <c r="S238" s="16" t="str">
        <f aca="false">IF($A238="","",SUMIFS(Attendance!$AY$6:$AY$2405,Attendance!$B$6:$B$2405,$A238,Attendance!$A$6:$A$2405,"&gt;="&amp;DATE(LvYear,1,1),Attendance!$A$6:$A$2405,"&lt;="&amp;DATE(LvYear,12,31)))</f>
        <v/>
      </c>
      <c r="T238" s="16" t="str">
        <f aca="false">IF($A238="","",SUMIFS(Attendance!$AX$6:$AX$2405,Attendance!$B$6:$B$2405,$A238,Attendance!$A$6:$A$2405,"&gt;="&amp;DATE(LvYear,1,1),Attendance!$A$6:$A$2405,"&lt;="&amp;DATE(LvYear,12,31)))</f>
        <v/>
      </c>
      <c r="U238" s="16" t="str">
        <f aca="false">IF($A238="","",SUMIFS(Attendance!$AW$6:$AW$2405,Attendance!$B$6:$B$2405,$A238,Attendance!$A$6:$A$2405,"&gt;="&amp;DATE(LvYear,1,1),Attendance!$A$6:$A$2405,"&lt;="&amp;DATE(LvYear,12,31)))</f>
        <v/>
      </c>
      <c r="V238" s="16" t="str">
        <f aca="false">IF($A238="","",L238-R238)</f>
        <v/>
      </c>
      <c r="W238" s="16" t="str">
        <f aca="false">IF($A238="","",M238-S238)</f>
        <v/>
      </c>
      <c r="X238" s="16" t="str">
        <f aca="false">IF($A238="","",P238-T238)</f>
        <v/>
      </c>
      <c r="Y238" s="16" t="str">
        <f aca="false">IF($A238="","",Q238-U238)</f>
        <v/>
      </c>
      <c r="Z238" s="16" t="str">
        <f aca="false">IF($A238="","",V238+W238+X238)</f>
        <v/>
      </c>
      <c r="AA238" s="16" t="str">
        <f aca="false">IF($A238="","",O238+N(N238)-T238)</f>
        <v/>
      </c>
      <c r="AB238" s="8" t="str">
        <f aca="false">IF($A238="","","CL "&amp;V238&amp;" | SL "&amp;W238&amp;" | PL "&amp;X238&amp;" | TR "&amp;Y238)</f>
        <v/>
      </c>
      <c r="AC238" s="15" t="str">
        <f aca="false">IF($A238="","",IF(F238="Exited","EXITED",IF(AND(ISNUMBER(K238),K238=0),"NOT ELIGIBLE",IF(MIN(V238:X238)&lt;0,"OVER-USED",IF(Z238&lt;=Settings!$C$15,"LOW","OK")))))</f>
        <v/>
      </c>
      <c r="AD238" s="16" t="str">
        <f aca="false">IF(OR(AC238="OVER-USED",AC238="LOW"),COUNTIF(AC$6:AC238,"OVER-USED")+COUNTIF(AC$6:AC238,"LOW"),"")</f>
        <v/>
      </c>
    </row>
    <row r="239" customFormat="false" ht="15" hidden="false" customHeight="false" outlineLevel="0" collapsed="false">
      <c r="A239" s="8" t="str">
        <f aca="false">IF('Employee List'!B239="","",'Employee List'!B239)</f>
        <v/>
      </c>
      <c r="B239" s="8" t="str">
        <f aca="false">IF($A239="","",'Employee List'!C239)</f>
        <v/>
      </c>
      <c r="C239" s="8" t="str">
        <f aca="false">IF($A239="","",'Employee List'!E239&amp;"")</f>
        <v/>
      </c>
      <c r="D239" s="8" t="str">
        <f aca="false">IF($A239="","",'Employee List'!F239&amp;"")</f>
        <v/>
      </c>
      <c r="E239" s="8" t="str">
        <f aca="false">IF($A239="","",'Employee List'!G239&amp;"")</f>
        <v/>
      </c>
      <c r="F239" s="8" t="str">
        <f aca="false">IF($A239="","",'Employee List'!D239)</f>
        <v/>
      </c>
      <c r="G239" s="38" t="str">
        <f aca="false">IF($A239="","",IF('Employee List'!I239="","",'Employee List'!I239))</f>
        <v/>
      </c>
      <c r="H239" s="38" t="str">
        <f aca="false">IF(OR($A239="",G239=""),"",G239+Settings!$C$13)</f>
        <v/>
      </c>
      <c r="I239" s="38" t="str">
        <f aca="false">IF(H239="","",MAX(H239,DATE(LvYear,1,1)))</f>
        <v/>
      </c>
      <c r="J239" s="38" t="str">
        <f aca="false">IF($A239="","",IF('Employee List'!J239="",DATE(LvYear,12,31),MIN('Employee List'!J239,DATE(LvYear,12,31))))</f>
        <v/>
      </c>
      <c r="K239" s="39" t="str">
        <f aca="false">IF(OR(I239="",J239=""),"",MAX(0,J239-I239+1))</f>
        <v/>
      </c>
      <c r="L239" s="16" t="str">
        <f aca="false">IF($A239="","",IF(AND(ISNUMBER(K239),K239=0),0,Settings!$C$10))</f>
        <v/>
      </c>
      <c r="M239" s="16" t="str">
        <f aca="false">IF($A239="","",IF(AND(ISNUMBER(K239),K239=0),0,Settings!$C$11))</f>
        <v/>
      </c>
      <c r="N239" s="40"/>
      <c r="O239" s="16" t="str">
        <f aca="false">IF($A239="","",FLOOR(Settings!$C$12/365*N(K239),0.5))</f>
        <v/>
      </c>
      <c r="P239" s="16" t="str">
        <f aca="false">IF($A239="","",IF(I239="",N(N239),FLOOR(Settings!$C$12/365*MAX(0,MIN(LvAsOf,J239)-I239+1)+N(N239),0.5)))</f>
        <v/>
      </c>
      <c r="Q239" s="16" t="str">
        <f aca="false">IF($A239="","",Settings!$C$14)</f>
        <v/>
      </c>
      <c r="R239" s="16" t="str">
        <f aca="false">IF($A239="","",SUMIFS(Attendance!$AZ$6:$AZ$2405,Attendance!$B$6:$B$2405,$A239,Attendance!$A$6:$A$2405,"&gt;="&amp;DATE(LvYear,1,1),Attendance!$A$6:$A$2405,"&lt;="&amp;DATE(LvYear,12,31)))</f>
        <v/>
      </c>
      <c r="S239" s="16" t="str">
        <f aca="false">IF($A239="","",SUMIFS(Attendance!$AY$6:$AY$2405,Attendance!$B$6:$B$2405,$A239,Attendance!$A$6:$A$2405,"&gt;="&amp;DATE(LvYear,1,1),Attendance!$A$6:$A$2405,"&lt;="&amp;DATE(LvYear,12,31)))</f>
        <v/>
      </c>
      <c r="T239" s="16" t="str">
        <f aca="false">IF($A239="","",SUMIFS(Attendance!$AX$6:$AX$2405,Attendance!$B$6:$B$2405,$A239,Attendance!$A$6:$A$2405,"&gt;="&amp;DATE(LvYear,1,1),Attendance!$A$6:$A$2405,"&lt;="&amp;DATE(LvYear,12,31)))</f>
        <v/>
      </c>
      <c r="U239" s="16" t="str">
        <f aca="false">IF($A239="","",SUMIFS(Attendance!$AW$6:$AW$2405,Attendance!$B$6:$B$2405,$A239,Attendance!$A$6:$A$2405,"&gt;="&amp;DATE(LvYear,1,1),Attendance!$A$6:$A$2405,"&lt;="&amp;DATE(LvYear,12,31)))</f>
        <v/>
      </c>
      <c r="V239" s="16" t="str">
        <f aca="false">IF($A239="","",L239-R239)</f>
        <v/>
      </c>
      <c r="W239" s="16" t="str">
        <f aca="false">IF($A239="","",M239-S239)</f>
        <v/>
      </c>
      <c r="X239" s="16" t="str">
        <f aca="false">IF($A239="","",P239-T239)</f>
        <v/>
      </c>
      <c r="Y239" s="16" t="str">
        <f aca="false">IF($A239="","",Q239-U239)</f>
        <v/>
      </c>
      <c r="Z239" s="16" t="str">
        <f aca="false">IF($A239="","",V239+W239+X239)</f>
        <v/>
      </c>
      <c r="AA239" s="16" t="str">
        <f aca="false">IF($A239="","",O239+N(N239)-T239)</f>
        <v/>
      </c>
      <c r="AB239" s="8" t="str">
        <f aca="false">IF($A239="","","CL "&amp;V239&amp;" | SL "&amp;W239&amp;" | PL "&amp;X239&amp;" | TR "&amp;Y239)</f>
        <v/>
      </c>
      <c r="AC239" s="15" t="str">
        <f aca="false">IF($A239="","",IF(F239="Exited","EXITED",IF(AND(ISNUMBER(K239),K239=0),"NOT ELIGIBLE",IF(MIN(V239:X239)&lt;0,"OVER-USED",IF(Z239&lt;=Settings!$C$15,"LOW","OK")))))</f>
        <v/>
      </c>
      <c r="AD239" s="16" t="str">
        <f aca="false">IF(OR(AC239="OVER-USED",AC239="LOW"),COUNTIF(AC$6:AC239,"OVER-USED")+COUNTIF(AC$6:AC239,"LOW"),"")</f>
        <v/>
      </c>
    </row>
    <row r="240" customFormat="false" ht="15" hidden="false" customHeight="false" outlineLevel="0" collapsed="false">
      <c r="A240" s="8" t="str">
        <f aca="false">IF('Employee List'!B240="","",'Employee List'!B240)</f>
        <v/>
      </c>
      <c r="B240" s="8" t="str">
        <f aca="false">IF($A240="","",'Employee List'!C240)</f>
        <v/>
      </c>
      <c r="C240" s="8" t="str">
        <f aca="false">IF($A240="","",'Employee List'!E240&amp;"")</f>
        <v/>
      </c>
      <c r="D240" s="8" t="str">
        <f aca="false">IF($A240="","",'Employee List'!F240&amp;"")</f>
        <v/>
      </c>
      <c r="E240" s="8" t="str">
        <f aca="false">IF($A240="","",'Employee List'!G240&amp;"")</f>
        <v/>
      </c>
      <c r="F240" s="8" t="str">
        <f aca="false">IF($A240="","",'Employee List'!D240)</f>
        <v/>
      </c>
      <c r="G240" s="38" t="str">
        <f aca="false">IF($A240="","",IF('Employee List'!I240="","",'Employee List'!I240))</f>
        <v/>
      </c>
      <c r="H240" s="38" t="str">
        <f aca="false">IF(OR($A240="",G240=""),"",G240+Settings!$C$13)</f>
        <v/>
      </c>
      <c r="I240" s="38" t="str">
        <f aca="false">IF(H240="","",MAX(H240,DATE(LvYear,1,1)))</f>
        <v/>
      </c>
      <c r="J240" s="38" t="str">
        <f aca="false">IF($A240="","",IF('Employee List'!J240="",DATE(LvYear,12,31),MIN('Employee List'!J240,DATE(LvYear,12,31))))</f>
        <v/>
      </c>
      <c r="K240" s="39" t="str">
        <f aca="false">IF(OR(I240="",J240=""),"",MAX(0,J240-I240+1))</f>
        <v/>
      </c>
      <c r="L240" s="16" t="str">
        <f aca="false">IF($A240="","",IF(AND(ISNUMBER(K240),K240=0),0,Settings!$C$10))</f>
        <v/>
      </c>
      <c r="M240" s="16" t="str">
        <f aca="false">IF($A240="","",IF(AND(ISNUMBER(K240),K240=0),0,Settings!$C$11))</f>
        <v/>
      </c>
      <c r="N240" s="40"/>
      <c r="O240" s="16" t="str">
        <f aca="false">IF($A240="","",FLOOR(Settings!$C$12/365*N(K240),0.5))</f>
        <v/>
      </c>
      <c r="P240" s="16" t="str">
        <f aca="false">IF($A240="","",IF(I240="",N(N240),FLOOR(Settings!$C$12/365*MAX(0,MIN(LvAsOf,J240)-I240+1)+N(N240),0.5)))</f>
        <v/>
      </c>
      <c r="Q240" s="16" t="str">
        <f aca="false">IF($A240="","",Settings!$C$14)</f>
        <v/>
      </c>
      <c r="R240" s="16" t="str">
        <f aca="false">IF($A240="","",SUMIFS(Attendance!$AZ$6:$AZ$2405,Attendance!$B$6:$B$2405,$A240,Attendance!$A$6:$A$2405,"&gt;="&amp;DATE(LvYear,1,1),Attendance!$A$6:$A$2405,"&lt;="&amp;DATE(LvYear,12,31)))</f>
        <v/>
      </c>
      <c r="S240" s="16" t="str">
        <f aca="false">IF($A240="","",SUMIFS(Attendance!$AY$6:$AY$2405,Attendance!$B$6:$B$2405,$A240,Attendance!$A$6:$A$2405,"&gt;="&amp;DATE(LvYear,1,1),Attendance!$A$6:$A$2405,"&lt;="&amp;DATE(LvYear,12,31)))</f>
        <v/>
      </c>
      <c r="T240" s="16" t="str">
        <f aca="false">IF($A240="","",SUMIFS(Attendance!$AX$6:$AX$2405,Attendance!$B$6:$B$2405,$A240,Attendance!$A$6:$A$2405,"&gt;="&amp;DATE(LvYear,1,1),Attendance!$A$6:$A$2405,"&lt;="&amp;DATE(LvYear,12,31)))</f>
        <v/>
      </c>
      <c r="U240" s="16" t="str">
        <f aca="false">IF($A240="","",SUMIFS(Attendance!$AW$6:$AW$2405,Attendance!$B$6:$B$2405,$A240,Attendance!$A$6:$A$2405,"&gt;="&amp;DATE(LvYear,1,1),Attendance!$A$6:$A$2405,"&lt;="&amp;DATE(LvYear,12,31)))</f>
        <v/>
      </c>
      <c r="V240" s="16" t="str">
        <f aca="false">IF($A240="","",L240-R240)</f>
        <v/>
      </c>
      <c r="W240" s="16" t="str">
        <f aca="false">IF($A240="","",M240-S240)</f>
        <v/>
      </c>
      <c r="X240" s="16" t="str">
        <f aca="false">IF($A240="","",P240-T240)</f>
        <v/>
      </c>
      <c r="Y240" s="16" t="str">
        <f aca="false">IF($A240="","",Q240-U240)</f>
        <v/>
      </c>
      <c r="Z240" s="16" t="str">
        <f aca="false">IF($A240="","",V240+W240+X240)</f>
        <v/>
      </c>
      <c r="AA240" s="16" t="str">
        <f aca="false">IF($A240="","",O240+N(N240)-T240)</f>
        <v/>
      </c>
      <c r="AB240" s="8" t="str">
        <f aca="false">IF($A240="","","CL "&amp;V240&amp;" | SL "&amp;W240&amp;" | PL "&amp;X240&amp;" | TR "&amp;Y240)</f>
        <v/>
      </c>
      <c r="AC240" s="15" t="str">
        <f aca="false">IF($A240="","",IF(F240="Exited","EXITED",IF(AND(ISNUMBER(K240),K240=0),"NOT ELIGIBLE",IF(MIN(V240:X240)&lt;0,"OVER-USED",IF(Z240&lt;=Settings!$C$15,"LOW","OK")))))</f>
        <v/>
      </c>
      <c r="AD240" s="16" t="str">
        <f aca="false">IF(OR(AC240="OVER-USED",AC240="LOW"),COUNTIF(AC$6:AC240,"OVER-USED")+COUNTIF(AC$6:AC240,"LOW"),"")</f>
        <v/>
      </c>
    </row>
    <row r="241" customFormat="false" ht="15" hidden="false" customHeight="false" outlineLevel="0" collapsed="false">
      <c r="A241" s="8" t="str">
        <f aca="false">IF('Employee List'!B241="","",'Employee List'!B241)</f>
        <v/>
      </c>
      <c r="B241" s="8" t="str">
        <f aca="false">IF($A241="","",'Employee List'!C241)</f>
        <v/>
      </c>
      <c r="C241" s="8" t="str">
        <f aca="false">IF($A241="","",'Employee List'!E241&amp;"")</f>
        <v/>
      </c>
      <c r="D241" s="8" t="str">
        <f aca="false">IF($A241="","",'Employee List'!F241&amp;"")</f>
        <v/>
      </c>
      <c r="E241" s="8" t="str">
        <f aca="false">IF($A241="","",'Employee List'!G241&amp;"")</f>
        <v/>
      </c>
      <c r="F241" s="8" t="str">
        <f aca="false">IF($A241="","",'Employee List'!D241)</f>
        <v/>
      </c>
      <c r="G241" s="38" t="str">
        <f aca="false">IF($A241="","",IF('Employee List'!I241="","",'Employee List'!I241))</f>
        <v/>
      </c>
      <c r="H241" s="38" t="str">
        <f aca="false">IF(OR($A241="",G241=""),"",G241+Settings!$C$13)</f>
        <v/>
      </c>
      <c r="I241" s="38" t="str">
        <f aca="false">IF(H241="","",MAX(H241,DATE(LvYear,1,1)))</f>
        <v/>
      </c>
      <c r="J241" s="38" t="str">
        <f aca="false">IF($A241="","",IF('Employee List'!J241="",DATE(LvYear,12,31),MIN('Employee List'!J241,DATE(LvYear,12,31))))</f>
        <v/>
      </c>
      <c r="K241" s="39" t="str">
        <f aca="false">IF(OR(I241="",J241=""),"",MAX(0,J241-I241+1))</f>
        <v/>
      </c>
      <c r="L241" s="16" t="str">
        <f aca="false">IF($A241="","",IF(AND(ISNUMBER(K241),K241=0),0,Settings!$C$10))</f>
        <v/>
      </c>
      <c r="M241" s="16" t="str">
        <f aca="false">IF($A241="","",IF(AND(ISNUMBER(K241),K241=0),0,Settings!$C$11))</f>
        <v/>
      </c>
      <c r="N241" s="40"/>
      <c r="O241" s="16" t="str">
        <f aca="false">IF($A241="","",FLOOR(Settings!$C$12/365*N(K241),0.5))</f>
        <v/>
      </c>
      <c r="P241" s="16" t="str">
        <f aca="false">IF($A241="","",IF(I241="",N(N241),FLOOR(Settings!$C$12/365*MAX(0,MIN(LvAsOf,J241)-I241+1)+N(N241),0.5)))</f>
        <v/>
      </c>
      <c r="Q241" s="16" t="str">
        <f aca="false">IF($A241="","",Settings!$C$14)</f>
        <v/>
      </c>
      <c r="R241" s="16" t="str">
        <f aca="false">IF($A241="","",SUMIFS(Attendance!$AZ$6:$AZ$2405,Attendance!$B$6:$B$2405,$A241,Attendance!$A$6:$A$2405,"&gt;="&amp;DATE(LvYear,1,1),Attendance!$A$6:$A$2405,"&lt;="&amp;DATE(LvYear,12,31)))</f>
        <v/>
      </c>
      <c r="S241" s="16" t="str">
        <f aca="false">IF($A241="","",SUMIFS(Attendance!$AY$6:$AY$2405,Attendance!$B$6:$B$2405,$A241,Attendance!$A$6:$A$2405,"&gt;="&amp;DATE(LvYear,1,1),Attendance!$A$6:$A$2405,"&lt;="&amp;DATE(LvYear,12,31)))</f>
        <v/>
      </c>
      <c r="T241" s="16" t="str">
        <f aca="false">IF($A241="","",SUMIFS(Attendance!$AX$6:$AX$2405,Attendance!$B$6:$B$2405,$A241,Attendance!$A$6:$A$2405,"&gt;="&amp;DATE(LvYear,1,1),Attendance!$A$6:$A$2405,"&lt;="&amp;DATE(LvYear,12,31)))</f>
        <v/>
      </c>
      <c r="U241" s="16" t="str">
        <f aca="false">IF($A241="","",SUMIFS(Attendance!$AW$6:$AW$2405,Attendance!$B$6:$B$2405,$A241,Attendance!$A$6:$A$2405,"&gt;="&amp;DATE(LvYear,1,1),Attendance!$A$6:$A$2405,"&lt;="&amp;DATE(LvYear,12,31)))</f>
        <v/>
      </c>
      <c r="V241" s="16" t="str">
        <f aca="false">IF($A241="","",L241-R241)</f>
        <v/>
      </c>
      <c r="W241" s="16" t="str">
        <f aca="false">IF($A241="","",M241-S241)</f>
        <v/>
      </c>
      <c r="X241" s="16" t="str">
        <f aca="false">IF($A241="","",P241-T241)</f>
        <v/>
      </c>
      <c r="Y241" s="16" t="str">
        <f aca="false">IF($A241="","",Q241-U241)</f>
        <v/>
      </c>
      <c r="Z241" s="16" t="str">
        <f aca="false">IF($A241="","",V241+W241+X241)</f>
        <v/>
      </c>
      <c r="AA241" s="16" t="str">
        <f aca="false">IF($A241="","",O241+N(N241)-T241)</f>
        <v/>
      </c>
      <c r="AB241" s="8" t="str">
        <f aca="false">IF($A241="","","CL "&amp;V241&amp;" | SL "&amp;W241&amp;" | PL "&amp;X241&amp;" | TR "&amp;Y241)</f>
        <v/>
      </c>
      <c r="AC241" s="15" t="str">
        <f aca="false">IF($A241="","",IF(F241="Exited","EXITED",IF(AND(ISNUMBER(K241),K241=0),"NOT ELIGIBLE",IF(MIN(V241:X241)&lt;0,"OVER-USED",IF(Z241&lt;=Settings!$C$15,"LOW","OK")))))</f>
        <v/>
      </c>
      <c r="AD241" s="16" t="str">
        <f aca="false">IF(OR(AC241="OVER-USED",AC241="LOW"),COUNTIF(AC$6:AC241,"OVER-USED")+COUNTIF(AC$6:AC241,"LOW"),"")</f>
        <v/>
      </c>
    </row>
    <row r="242" customFormat="false" ht="15" hidden="false" customHeight="false" outlineLevel="0" collapsed="false">
      <c r="A242" s="8" t="str">
        <f aca="false">IF('Employee List'!B242="","",'Employee List'!B242)</f>
        <v/>
      </c>
      <c r="B242" s="8" t="str">
        <f aca="false">IF($A242="","",'Employee List'!C242)</f>
        <v/>
      </c>
      <c r="C242" s="8" t="str">
        <f aca="false">IF($A242="","",'Employee List'!E242&amp;"")</f>
        <v/>
      </c>
      <c r="D242" s="8" t="str">
        <f aca="false">IF($A242="","",'Employee List'!F242&amp;"")</f>
        <v/>
      </c>
      <c r="E242" s="8" t="str">
        <f aca="false">IF($A242="","",'Employee List'!G242&amp;"")</f>
        <v/>
      </c>
      <c r="F242" s="8" t="str">
        <f aca="false">IF($A242="","",'Employee List'!D242)</f>
        <v/>
      </c>
      <c r="G242" s="38" t="str">
        <f aca="false">IF($A242="","",IF('Employee List'!I242="","",'Employee List'!I242))</f>
        <v/>
      </c>
      <c r="H242" s="38" t="str">
        <f aca="false">IF(OR($A242="",G242=""),"",G242+Settings!$C$13)</f>
        <v/>
      </c>
      <c r="I242" s="38" t="str">
        <f aca="false">IF(H242="","",MAX(H242,DATE(LvYear,1,1)))</f>
        <v/>
      </c>
      <c r="J242" s="38" t="str">
        <f aca="false">IF($A242="","",IF('Employee List'!J242="",DATE(LvYear,12,31),MIN('Employee List'!J242,DATE(LvYear,12,31))))</f>
        <v/>
      </c>
      <c r="K242" s="39" t="str">
        <f aca="false">IF(OR(I242="",J242=""),"",MAX(0,J242-I242+1))</f>
        <v/>
      </c>
      <c r="L242" s="16" t="str">
        <f aca="false">IF($A242="","",IF(AND(ISNUMBER(K242),K242=0),0,Settings!$C$10))</f>
        <v/>
      </c>
      <c r="M242" s="16" t="str">
        <f aca="false">IF($A242="","",IF(AND(ISNUMBER(K242),K242=0),0,Settings!$C$11))</f>
        <v/>
      </c>
      <c r="N242" s="40"/>
      <c r="O242" s="16" t="str">
        <f aca="false">IF($A242="","",FLOOR(Settings!$C$12/365*N(K242),0.5))</f>
        <v/>
      </c>
      <c r="P242" s="16" t="str">
        <f aca="false">IF($A242="","",IF(I242="",N(N242),FLOOR(Settings!$C$12/365*MAX(0,MIN(LvAsOf,J242)-I242+1)+N(N242),0.5)))</f>
        <v/>
      </c>
      <c r="Q242" s="16" t="str">
        <f aca="false">IF($A242="","",Settings!$C$14)</f>
        <v/>
      </c>
      <c r="R242" s="16" t="str">
        <f aca="false">IF($A242="","",SUMIFS(Attendance!$AZ$6:$AZ$2405,Attendance!$B$6:$B$2405,$A242,Attendance!$A$6:$A$2405,"&gt;="&amp;DATE(LvYear,1,1),Attendance!$A$6:$A$2405,"&lt;="&amp;DATE(LvYear,12,31)))</f>
        <v/>
      </c>
      <c r="S242" s="16" t="str">
        <f aca="false">IF($A242="","",SUMIFS(Attendance!$AY$6:$AY$2405,Attendance!$B$6:$B$2405,$A242,Attendance!$A$6:$A$2405,"&gt;="&amp;DATE(LvYear,1,1),Attendance!$A$6:$A$2405,"&lt;="&amp;DATE(LvYear,12,31)))</f>
        <v/>
      </c>
      <c r="T242" s="16" t="str">
        <f aca="false">IF($A242="","",SUMIFS(Attendance!$AX$6:$AX$2405,Attendance!$B$6:$B$2405,$A242,Attendance!$A$6:$A$2405,"&gt;="&amp;DATE(LvYear,1,1),Attendance!$A$6:$A$2405,"&lt;="&amp;DATE(LvYear,12,31)))</f>
        <v/>
      </c>
      <c r="U242" s="16" t="str">
        <f aca="false">IF($A242="","",SUMIFS(Attendance!$AW$6:$AW$2405,Attendance!$B$6:$B$2405,$A242,Attendance!$A$6:$A$2405,"&gt;="&amp;DATE(LvYear,1,1),Attendance!$A$6:$A$2405,"&lt;="&amp;DATE(LvYear,12,31)))</f>
        <v/>
      </c>
      <c r="V242" s="16" t="str">
        <f aca="false">IF($A242="","",L242-R242)</f>
        <v/>
      </c>
      <c r="W242" s="16" t="str">
        <f aca="false">IF($A242="","",M242-S242)</f>
        <v/>
      </c>
      <c r="X242" s="16" t="str">
        <f aca="false">IF($A242="","",P242-T242)</f>
        <v/>
      </c>
      <c r="Y242" s="16" t="str">
        <f aca="false">IF($A242="","",Q242-U242)</f>
        <v/>
      </c>
      <c r="Z242" s="16" t="str">
        <f aca="false">IF($A242="","",V242+W242+X242)</f>
        <v/>
      </c>
      <c r="AA242" s="16" t="str">
        <f aca="false">IF($A242="","",O242+N(N242)-T242)</f>
        <v/>
      </c>
      <c r="AB242" s="8" t="str">
        <f aca="false">IF($A242="","","CL "&amp;V242&amp;" | SL "&amp;W242&amp;" | PL "&amp;X242&amp;" | TR "&amp;Y242)</f>
        <v/>
      </c>
      <c r="AC242" s="15" t="str">
        <f aca="false">IF($A242="","",IF(F242="Exited","EXITED",IF(AND(ISNUMBER(K242),K242=0),"NOT ELIGIBLE",IF(MIN(V242:X242)&lt;0,"OVER-USED",IF(Z242&lt;=Settings!$C$15,"LOW","OK")))))</f>
        <v/>
      </c>
      <c r="AD242" s="16" t="str">
        <f aca="false">IF(OR(AC242="OVER-USED",AC242="LOW"),COUNTIF(AC$6:AC242,"OVER-USED")+COUNTIF(AC$6:AC242,"LOW"),"")</f>
        <v/>
      </c>
    </row>
    <row r="243" customFormat="false" ht="15" hidden="false" customHeight="false" outlineLevel="0" collapsed="false">
      <c r="A243" s="8" t="str">
        <f aca="false">IF('Employee List'!B243="","",'Employee List'!B243)</f>
        <v/>
      </c>
      <c r="B243" s="8" t="str">
        <f aca="false">IF($A243="","",'Employee List'!C243)</f>
        <v/>
      </c>
      <c r="C243" s="8" t="str">
        <f aca="false">IF($A243="","",'Employee List'!E243&amp;"")</f>
        <v/>
      </c>
      <c r="D243" s="8" t="str">
        <f aca="false">IF($A243="","",'Employee List'!F243&amp;"")</f>
        <v/>
      </c>
      <c r="E243" s="8" t="str">
        <f aca="false">IF($A243="","",'Employee List'!G243&amp;"")</f>
        <v/>
      </c>
      <c r="F243" s="8" t="str">
        <f aca="false">IF($A243="","",'Employee List'!D243)</f>
        <v/>
      </c>
      <c r="G243" s="38" t="str">
        <f aca="false">IF($A243="","",IF('Employee List'!I243="","",'Employee List'!I243))</f>
        <v/>
      </c>
      <c r="H243" s="38" t="str">
        <f aca="false">IF(OR($A243="",G243=""),"",G243+Settings!$C$13)</f>
        <v/>
      </c>
      <c r="I243" s="38" t="str">
        <f aca="false">IF(H243="","",MAX(H243,DATE(LvYear,1,1)))</f>
        <v/>
      </c>
      <c r="J243" s="38" t="str">
        <f aca="false">IF($A243="","",IF('Employee List'!J243="",DATE(LvYear,12,31),MIN('Employee List'!J243,DATE(LvYear,12,31))))</f>
        <v/>
      </c>
      <c r="K243" s="39" t="str">
        <f aca="false">IF(OR(I243="",J243=""),"",MAX(0,J243-I243+1))</f>
        <v/>
      </c>
      <c r="L243" s="16" t="str">
        <f aca="false">IF($A243="","",IF(AND(ISNUMBER(K243),K243=0),0,Settings!$C$10))</f>
        <v/>
      </c>
      <c r="M243" s="16" t="str">
        <f aca="false">IF($A243="","",IF(AND(ISNUMBER(K243),K243=0),0,Settings!$C$11))</f>
        <v/>
      </c>
      <c r="N243" s="40"/>
      <c r="O243" s="16" t="str">
        <f aca="false">IF($A243="","",FLOOR(Settings!$C$12/365*N(K243),0.5))</f>
        <v/>
      </c>
      <c r="P243" s="16" t="str">
        <f aca="false">IF($A243="","",IF(I243="",N(N243),FLOOR(Settings!$C$12/365*MAX(0,MIN(LvAsOf,J243)-I243+1)+N(N243),0.5)))</f>
        <v/>
      </c>
      <c r="Q243" s="16" t="str">
        <f aca="false">IF($A243="","",Settings!$C$14)</f>
        <v/>
      </c>
      <c r="R243" s="16" t="str">
        <f aca="false">IF($A243="","",SUMIFS(Attendance!$AZ$6:$AZ$2405,Attendance!$B$6:$B$2405,$A243,Attendance!$A$6:$A$2405,"&gt;="&amp;DATE(LvYear,1,1),Attendance!$A$6:$A$2405,"&lt;="&amp;DATE(LvYear,12,31)))</f>
        <v/>
      </c>
      <c r="S243" s="16" t="str">
        <f aca="false">IF($A243="","",SUMIFS(Attendance!$AY$6:$AY$2405,Attendance!$B$6:$B$2405,$A243,Attendance!$A$6:$A$2405,"&gt;="&amp;DATE(LvYear,1,1),Attendance!$A$6:$A$2405,"&lt;="&amp;DATE(LvYear,12,31)))</f>
        <v/>
      </c>
      <c r="T243" s="16" t="str">
        <f aca="false">IF($A243="","",SUMIFS(Attendance!$AX$6:$AX$2405,Attendance!$B$6:$B$2405,$A243,Attendance!$A$6:$A$2405,"&gt;="&amp;DATE(LvYear,1,1),Attendance!$A$6:$A$2405,"&lt;="&amp;DATE(LvYear,12,31)))</f>
        <v/>
      </c>
      <c r="U243" s="16" t="str">
        <f aca="false">IF($A243="","",SUMIFS(Attendance!$AW$6:$AW$2405,Attendance!$B$6:$B$2405,$A243,Attendance!$A$6:$A$2405,"&gt;="&amp;DATE(LvYear,1,1),Attendance!$A$6:$A$2405,"&lt;="&amp;DATE(LvYear,12,31)))</f>
        <v/>
      </c>
      <c r="V243" s="16" t="str">
        <f aca="false">IF($A243="","",L243-R243)</f>
        <v/>
      </c>
      <c r="W243" s="16" t="str">
        <f aca="false">IF($A243="","",M243-S243)</f>
        <v/>
      </c>
      <c r="X243" s="16" t="str">
        <f aca="false">IF($A243="","",P243-T243)</f>
        <v/>
      </c>
      <c r="Y243" s="16" t="str">
        <f aca="false">IF($A243="","",Q243-U243)</f>
        <v/>
      </c>
      <c r="Z243" s="16" t="str">
        <f aca="false">IF($A243="","",V243+W243+X243)</f>
        <v/>
      </c>
      <c r="AA243" s="16" t="str">
        <f aca="false">IF($A243="","",O243+N(N243)-T243)</f>
        <v/>
      </c>
      <c r="AB243" s="8" t="str">
        <f aca="false">IF($A243="","","CL "&amp;V243&amp;" | SL "&amp;W243&amp;" | PL "&amp;X243&amp;" | TR "&amp;Y243)</f>
        <v/>
      </c>
      <c r="AC243" s="15" t="str">
        <f aca="false">IF($A243="","",IF(F243="Exited","EXITED",IF(AND(ISNUMBER(K243),K243=0),"NOT ELIGIBLE",IF(MIN(V243:X243)&lt;0,"OVER-USED",IF(Z243&lt;=Settings!$C$15,"LOW","OK")))))</f>
        <v/>
      </c>
      <c r="AD243" s="16" t="str">
        <f aca="false">IF(OR(AC243="OVER-USED",AC243="LOW"),COUNTIF(AC$6:AC243,"OVER-USED")+COUNTIF(AC$6:AC243,"LOW"),"")</f>
        <v/>
      </c>
    </row>
    <row r="244" customFormat="false" ht="15" hidden="false" customHeight="false" outlineLevel="0" collapsed="false">
      <c r="A244" s="8" t="str">
        <f aca="false">IF('Employee List'!B244="","",'Employee List'!B244)</f>
        <v/>
      </c>
      <c r="B244" s="8" t="str">
        <f aca="false">IF($A244="","",'Employee List'!C244)</f>
        <v/>
      </c>
      <c r="C244" s="8" t="str">
        <f aca="false">IF($A244="","",'Employee List'!E244&amp;"")</f>
        <v/>
      </c>
      <c r="D244" s="8" t="str">
        <f aca="false">IF($A244="","",'Employee List'!F244&amp;"")</f>
        <v/>
      </c>
      <c r="E244" s="8" t="str">
        <f aca="false">IF($A244="","",'Employee List'!G244&amp;"")</f>
        <v/>
      </c>
      <c r="F244" s="8" t="str">
        <f aca="false">IF($A244="","",'Employee List'!D244)</f>
        <v/>
      </c>
      <c r="G244" s="38" t="str">
        <f aca="false">IF($A244="","",IF('Employee List'!I244="","",'Employee List'!I244))</f>
        <v/>
      </c>
      <c r="H244" s="38" t="str">
        <f aca="false">IF(OR($A244="",G244=""),"",G244+Settings!$C$13)</f>
        <v/>
      </c>
      <c r="I244" s="38" t="str">
        <f aca="false">IF(H244="","",MAX(H244,DATE(LvYear,1,1)))</f>
        <v/>
      </c>
      <c r="J244" s="38" t="str">
        <f aca="false">IF($A244="","",IF('Employee List'!J244="",DATE(LvYear,12,31),MIN('Employee List'!J244,DATE(LvYear,12,31))))</f>
        <v/>
      </c>
      <c r="K244" s="39" t="str">
        <f aca="false">IF(OR(I244="",J244=""),"",MAX(0,J244-I244+1))</f>
        <v/>
      </c>
      <c r="L244" s="16" t="str">
        <f aca="false">IF($A244="","",IF(AND(ISNUMBER(K244),K244=0),0,Settings!$C$10))</f>
        <v/>
      </c>
      <c r="M244" s="16" t="str">
        <f aca="false">IF($A244="","",IF(AND(ISNUMBER(K244),K244=0),0,Settings!$C$11))</f>
        <v/>
      </c>
      <c r="N244" s="40"/>
      <c r="O244" s="16" t="str">
        <f aca="false">IF($A244="","",FLOOR(Settings!$C$12/365*N(K244),0.5))</f>
        <v/>
      </c>
      <c r="P244" s="16" t="str">
        <f aca="false">IF($A244="","",IF(I244="",N(N244),FLOOR(Settings!$C$12/365*MAX(0,MIN(LvAsOf,J244)-I244+1)+N(N244),0.5)))</f>
        <v/>
      </c>
      <c r="Q244" s="16" t="str">
        <f aca="false">IF($A244="","",Settings!$C$14)</f>
        <v/>
      </c>
      <c r="R244" s="16" t="str">
        <f aca="false">IF($A244="","",SUMIFS(Attendance!$AZ$6:$AZ$2405,Attendance!$B$6:$B$2405,$A244,Attendance!$A$6:$A$2405,"&gt;="&amp;DATE(LvYear,1,1),Attendance!$A$6:$A$2405,"&lt;="&amp;DATE(LvYear,12,31)))</f>
        <v/>
      </c>
      <c r="S244" s="16" t="str">
        <f aca="false">IF($A244="","",SUMIFS(Attendance!$AY$6:$AY$2405,Attendance!$B$6:$B$2405,$A244,Attendance!$A$6:$A$2405,"&gt;="&amp;DATE(LvYear,1,1),Attendance!$A$6:$A$2405,"&lt;="&amp;DATE(LvYear,12,31)))</f>
        <v/>
      </c>
      <c r="T244" s="16" t="str">
        <f aca="false">IF($A244="","",SUMIFS(Attendance!$AX$6:$AX$2405,Attendance!$B$6:$B$2405,$A244,Attendance!$A$6:$A$2405,"&gt;="&amp;DATE(LvYear,1,1),Attendance!$A$6:$A$2405,"&lt;="&amp;DATE(LvYear,12,31)))</f>
        <v/>
      </c>
      <c r="U244" s="16" t="str">
        <f aca="false">IF($A244="","",SUMIFS(Attendance!$AW$6:$AW$2405,Attendance!$B$6:$B$2405,$A244,Attendance!$A$6:$A$2405,"&gt;="&amp;DATE(LvYear,1,1),Attendance!$A$6:$A$2405,"&lt;="&amp;DATE(LvYear,12,31)))</f>
        <v/>
      </c>
      <c r="V244" s="16" t="str">
        <f aca="false">IF($A244="","",L244-R244)</f>
        <v/>
      </c>
      <c r="W244" s="16" t="str">
        <f aca="false">IF($A244="","",M244-S244)</f>
        <v/>
      </c>
      <c r="X244" s="16" t="str">
        <f aca="false">IF($A244="","",P244-T244)</f>
        <v/>
      </c>
      <c r="Y244" s="16" t="str">
        <f aca="false">IF($A244="","",Q244-U244)</f>
        <v/>
      </c>
      <c r="Z244" s="16" t="str">
        <f aca="false">IF($A244="","",V244+W244+X244)</f>
        <v/>
      </c>
      <c r="AA244" s="16" t="str">
        <f aca="false">IF($A244="","",O244+N(N244)-T244)</f>
        <v/>
      </c>
      <c r="AB244" s="8" t="str">
        <f aca="false">IF($A244="","","CL "&amp;V244&amp;" | SL "&amp;W244&amp;" | PL "&amp;X244&amp;" | TR "&amp;Y244)</f>
        <v/>
      </c>
      <c r="AC244" s="15" t="str">
        <f aca="false">IF($A244="","",IF(F244="Exited","EXITED",IF(AND(ISNUMBER(K244),K244=0),"NOT ELIGIBLE",IF(MIN(V244:X244)&lt;0,"OVER-USED",IF(Z244&lt;=Settings!$C$15,"LOW","OK")))))</f>
        <v/>
      </c>
      <c r="AD244" s="16" t="str">
        <f aca="false">IF(OR(AC244="OVER-USED",AC244="LOW"),COUNTIF(AC$6:AC244,"OVER-USED")+COUNTIF(AC$6:AC244,"LOW"),"")</f>
        <v/>
      </c>
    </row>
    <row r="245" customFormat="false" ht="15" hidden="false" customHeight="false" outlineLevel="0" collapsed="false">
      <c r="A245" s="8" t="str">
        <f aca="false">IF('Employee List'!B245="","",'Employee List'!B245)</f>
        <v/>
      </c>
      <c r="B245" s="8" t="str">
        <f aca="false">IF($A245="","",'Employee List'!C245)</f>
        <v/>
      </c>
      <c r="C245" s="8" t="str">
        <f aca="false">IF($A245="","",'Employee List'!E245&amp;"")</f>
        <v/>
      </c>
      <c r="D245" s="8" t="str">
        <f aca="false">IF($A245="","",'Employee List'!F245&amp;"")</f>
        <v/>
      </c>
      <c r="E245" s="8" t="str">
        <f aca="false">IF($A245="","",'Employee List'!G245&amp;"")</f>
        <v/>
      </c>
      <c r="F245" s="8" t="str">
        <f aca="false">IF($A245="","",'Employee List'!D245)</f>
        <v/>
      </c>
      <c r="G245" s="38" t="str">
        <f aca="false">IF($A245="","",IF('Employee List'!I245="","",'Employee List'!I245))</f>
        <v/>
      </c>
      <c r="H245" s="38" t="str">
        <f aca="false">IF(OR($A245="",G245=""),"",G245+Settings!$C$13)</f>
        <v/>
      </c>
      <c r="I245" s="38" t="str">
        <f aca="false">IF(H245="","",MAX(H245,DATE(LvYear,1,1)))</f>
        <v/>
      </c>
      <c r="J245" s="38" t="str">
        <f aca="false">IF($A245="","",IF('Employee List'!J245="",DATE(LvYear,12,31),MIN('Employee List'!J245,DATE(LvYear,12,31))))</f>
        <v/>
      </c>
      <c r="K245" s="39" t="str">
        <f aca="false">IF(OR(I245="",J245=""),"",MAX(0,J245-I245+1))</f>
        <v/>
      </c>
      <c r="L245" s="16" t="str">
        <f aca="false">IF($A245="","",IF(AND(ISNUMBER(K245),K245=0),0,Settings!$C$10))</f>
        <v/>
      </c>
      <c r="M245" s="16" t="str">
        <f aca="false">IF($A245="","",IF(AND(ISNUMBER(K245),K245=0),0,Settings!$C$11))</f>
        <v/>
      </c>
      <c r="N245" s="40"/>
      <c r="O245" s="16" t="str">
        <f aca="false">IF($A245="","",FLOOR(Settings!$C$12/365*N(K245),0.5))</f>
        <v/>
      </c>
      <c r="P245" s="16" t="str">
        <f aca="false">IF($A245="","",IF(I245="",N(N245),FLOOR(Settings!$C$12/365*MAX(0,MIN(LvAsOf,J245)-I245+1)+N(N245),0.5)))</f>
        <v/>
      </c>
      <c r="Q245" s="16" t="str">
        <f aca="false">IF($A245="","",Settings!$C$14)</f>
        <v/>
      </c>
      <c r="R245" s="16" t="str">
        <f aca="false">IF($A245="","",SUMIFS(Attendance!$AZ$6:$AZ$2405,Attendance!$B$6:$B$2405,$A245,Attendance!$A$6:$A$2405,"&gt;="&amp;DATE(LvYear,1,1),Attendance!$A$6:$A$2405,"&lt;="&amp;DATE(LvYear,12,31)))</f>
        <v/>
      </c>
      <c r="S245" s="16" t="str">
        <f aca="false">IF($A245="","",SUMIFS(Attendance!$AY$6:$AY$2405,Attendance!$B$6:$B$2405,$A245,Attendance!$A$6:$A$2405,"&gt;="&amp;DATE(LvYear,1,1),Attendance!$A$6:$A$2405,"&lt;="&amp;DATE(LvYear,12,31)))</f>
        <v/>
      </c>
      <c r="T245" s="16" t="str">
        <f aca="false">IF($A245="","",SUMIFS(Attendance!$AX$6:$AX$2405,Attendance!$B$6:$B$2405,$A245,Attendance!$A$6:$A$2405,"&gt;="&amp;DATE(LvYear,1,1),Attendance!$A$6:$A$2405,"&lt;="&amp;DATE(LvYear,12,31)))</f>
        <v/>
      </c>
      <c r="U245" s="16" t="str">
        <f aca="false">IF($A245="","",SUMIFS(Attendance!$AW$6:$AW$2405,Attendance!$B$6:$B$2405,$A245,Attendance!$A$6:$A$2405,"&gt;="&amp;DATE(LvYear,1,1),Attendance!$A$6:$A$2405,"&lt;="&amp;DATE(LvYear,12,31)))</f>
        <v/>
      </c>
      <c r="V245" s="16" t="str">
        <f aca="false">IF($A245="","",L245-R245)</f>
        <v/>
      </c>
      <c r="W245" s="16" t="str">
        <f aca="false">IF($A245="","",M245-S245)</f>
        <v/>
      </c>
      <c r="X245" s="16" t="str">
        <f aca="false">IF($A245="","",P245-T245)</f>
        <v/>
      </c>
      <c r="Y245" s="16" t="str">
        <f aca="false">IF($A245="","",Q245-U245)</f>
        <v/>
      </c>
      <c r="Z245" s="16" t="str">
        <f aca="false">IF($A245="","",V245+W245+X245)</f>
        <v/>
      </c>
      <c r="AA245" s="16" t="str">
        <f aca="false">IF($A245="","",O245+N(N245)-T245)</f>
        <v/>
      </c>
      <c r="AB245" s="8" t="str">
        <f aca="false">IF($A245="","","CL "&amp;V245&amp;" | SL "&amp;W245&amp;" | PL "&amp;X245&amp;" | TR "&amp;Y245)</f>
        <v/>
      </c>
      <c r="AC245" s="15" t="str">
        <f aca="false">IF($A245="","",IF(F245="Exited","EXITED",IF(AND(ISNUMBER(K245),K245=0),"NOT ELIGIBLE",IF(MIN(V245:X245)&lt;0,"OVER-USED",IF(Z245&lt;=Settings!$C$15,"LOW","OK")))))</f>
        <v/>
      </c>
      <c r="AD245" s="16" t="str">
        <f aca="false">IF(OR(AC245="OVER-USED",AC245="LOW"),COUNTIF(AC$6:AC245,"OVER-USED")+COUNTIF(AC$6:AC245,"LOW"),"")</f>
        <v/>
      </c>
    </row>
    <row r="246" customFormat="false" ht="15" hidden="false" customHeight="false" outlineLevel="0" collapsed="false">
      <c r="A246" s="8" t="str">
        <f aca="false">IF('Employee List'!B246="","",'Employee List'!B246)</f>
        <v/>
      </c>
      <c r="B246" s="8" t="str">
        <f aca="false">IF($A246="","",'Employee List'!C246)</f>
        <v/>
      </c>
      <c r="C246" s="8" t="str">
        <f aca="false">IF($A246="","",'Employee List'!E246&amp;"")</f>
        <v/>
      </c>
      <c r="D246" s="8" t="str">
        <f aca="false">IF($A246="","",'Employee List'!F246&amp;"")</f>
        <v/>
      </c>
      <c r="E246" s="8" t="str">
        <f aca="false">IF($A246="","",'Employee List'!G246&amp;"")</f>
        <v/>
      </c>
      <c r="F246" s="8" t="str">
        <f aca="false">IF($A246="","",'Employee List'!D246)</f>
        <v/>
      </c>
      <c r="G246" s="38" t="str">
        <f aca="false">IF($A246="","",IF('Employee List'!I246="","",'Employee List'!I246))</f>
        <v/>
      </c>
      <c r="H246" s="38" t="str">
        <f aca="false">IF(OR($A246="",G246=""),"",G246+Settings!$C$13)</f>
        <v/>
      </c>
      <c r="I246" s="38" t="str">
        <f aca="false">IF(H246="","",MAX(H246,DATE(LvYear,1,1)))</f>
        <v/>
      </c>
      <c r="J246" s="38" t="str">
        <f aca="false">IF($A246="","",IF('Employee List'!J246="",DATE(LvYear,12,31),MIN('Employee List'!J246,DATE(LvYear,12,31))))</f>
        <v/>
      </c>
      <c r="K246" s="39" t="str">
        <f aca="false">IF(OR(I246="",J246=""),"",MAX(0,J246-I246+1))</f>
        <v/>
      </c>
      <c r="L246" s="16" t="str">
        <f aca="false">IF($A246="","",IF(AND(ISNUMBER(K246),K246=0),0,Settings!$C$10))</f>
        <v/>
      </c>
      <c r="M246" s="16" t="str">
        <f aca="false">IF($A246="","",IF(AND(ISNUMBER(K246),K246=0),0,Settings!$C$11))</f>
        <v/>
      </c>
      <c r="N246" s="40"/>
      <c r="O246" s="16" t="str">
        <f aca="false">IF($A246="","",FLOOR(Settings!$C$12/365*N(K246),0.5))</f>
        <v/>
      </c>
      <c r="P246" s="16" t="str">
        <f aca="false">IF($A246="","",IF(I246="",N(N246),FLOOR(Settings!$C$12/365*MAX(0,MIN(LvAsOf,J246)-I246+1)+N(N246),0.5)))</f>
        <v/>
      </c>
      <c r="Q246" s="16" t="str">
        <f aca="false">IF($A246="","",Settings!$C$14)</f>
        <v/>
      </c>
      <c r="R246" s="16" t="str">
        <f aca="false">IF($A246="","",SUMIFS(Attendance!$AZ$6:$AZ$2405,Attendance!$B$6:$B$2405,$A246,Attendance!$A$6:$A$2405,"&gt;="&amp;DATE(LvYear,1,1),Attendance!$A$6:$A$2405,"&lt;="&amp;DATE(LvYear,12,31)))</f>
        <v/>
      </c>
      <c r="S246" s="16" t="str">
        <f aca="false">IF($A246="","",SUMIFS(Attendance!$AY$6:$AY$2405,Attendance!$B$6:$B$2405,$A246,Attendance!$A$6:$A$2405,"&gt;="&amp;DATE(LvYear,1,1),Attendance!$A$6:$A$2405,"&lt;="&amp;DATE(LvYear,12,31)))</f>
        <v/>
      </c>
      <c r="T246" s="16" t="str">
        <f aca="false">IF($A246="","",SUMIFS(Attendance!$AX$6:$AX$2405,Attendance!$B$6:$B$2405,$A246,Attendance!$A$6:$A$2405,"&gt;="&amp;DATE(LvYear,1,1),Attendance!$A$6:$A$2405,"&lt;="&amp;DATE(LvYear,12,31)))</f>
        <v/>
      </c>
      <c r="U246" s="16" t="str">
        <f aca="false">IF($A246="","",SUMIFS(Attendance!$AW$6:$AW$2405,Attendance!$B$6:$B$2405,$A246,Attendance!$A$6:$A$2405,"&gt;="&amp;DATE(LvYear,1,1),Attendance!$A$6:$A$2405,"&lt;="&amp;DATE(LvYear,12,31)))</f>
        <v/>
      </c>
      <c r="V246" s="16" t="str">
        <f aca="false">IF($A246="","",L246-R246)</f>
        <v/>
      </c>
      <c r="W246" s="16" t="str">
        <f aca="false">IF($A246="","",M246-S246)</f>
        <v/>
      </c>
      <c r="X246" s="16" t="str">
        <f aca="false">IF($A246="","",P246-T246)</f>
        <v/>
      </c>
      <c r="Y246" s="16" t="str">
        <f aca="false">IF($A246="","",Q246-U246)</f>
        <v/>
      </c>
      <c r="Z246" s="16" t="str">
        <f aca="false">IF($A246="","",V246+W246+X246)</f>
        <v/>
      </c>
      <c r="AA246" s="16" t="str">
        <f aca="false">IF($A246="","",O246+N(N246)-T246)</f>
        <v/>
      </c>
      <c r="AB246" s="8" t="str">
        <f aca="false">IF($A246="","","CL "&amp;V246&amp;" | SL "&amp;W246&amp;" | PL "&amp;X246&amp;" | TR "&amp;Y246)</f>
        <v/>
      </c>
      <c r="AC246" s="15" t="str">
        <f aca="false">IF($A246="","",IF(F246="Exited","EXITED",IF(AND(ISNUMBER(K246),K246=0),"NOT ELIGIBLE",IF(MIN(V246:X246)&lt;0,"OVER-USED",IF(Z246&lt;=Settings!$C$15,"LOW","OK")))))</f>
        <v/>
      </c>
      <c r="AD246" s="16" t="str">
        <f aca="false">IF(OR(AC246="OVER-USED",AC246="LOW"),COUNTIF(AC$6:AC246,"OVER-USED")+COUNTIF(AC$6:AC246,"LOW"),"")</f>
        <v/>
      </c>
    </row>
    <row r="247" customFormat="false" ht="15" hidden="false" customHeight="false" outlineLevel="0" collapsed="false">
      <c r="A247" s="8" t="str">
        <f aca="false">IF('Employee List'!B247="","",'Employee List'!B247)</f>
        <v/>
      </c>
      <c r="B247" s="8" t="str">
        <f aca="false">IF($A247="","",'Employee List'!C247)</f>
        <v/>
      </c>
      <c r="C247" s="8" t="str">
        <f aca="false">IF($A247="","",'Employee List'!E247&amp;"")</f>
        <v/>
      </c>
      <c r="D247" s="8" t="str">
        <f aca="false">IF($A247="","",'Employee List'!F247&amp;"")</f>
        <v/>
      </c>
      <c r="E247" s="8" t="str">
        <f aca="false">IF($A247="","",'Employee List'!G247&amp;"")</f>
        <v/>
      </c>
      <c r="F247" s="8" t="str">
        <f aca="false">IF($A247="","",'Employee List'!D247)</f>
        <v/>
      </c>
      <c r="G247" s="38" t="str">
        <f aca="false">IF($A247="","",IF('Employee List'!I247="","",'Employee List'!I247))</f>
        <v/>
      </c>
      <c r="H247" s="38" t="str">
        <f aca="false">IF(OR($A247="",G247=""),"",G247+Settings!$C$13)</f>
        <v/>
      </c>
      <c r="I247" s="38" t="str">
        <f aca="false">IF(H247="","",MAX(H247,DATE(LvYear,1,1)))</f>
        <v/>
      </c>
      <c r="J247" s="38" t="str">
        <f aca="false">IF($A247="","",IF('Employee List'!J247="",DATE(LvYear,12,31),MIN('Employee List'!J247,DATE(LvYear,12,31))))</f>
        <v/>
      </c>
      <c r="K247" s="39" t="str">
        <f aca="false">IF(OR(I247="",J247=""),"",MAX(0,J247-I247+1))</f>
        <v/>
      </c>
      <c r="L247" s="16" t="str">
        <f aca="false">IF($A247="","",IF(AND(ISNUMBER(K247),K247=0),0,Settings!$C$10))</f>
        <v/>
      </c>
      <c r="M247" s="16" t="str">
        <f aca="false">IF($A247="","",IF(AND(ISNUMBER(K247),K247=0),0,Settings!$C$11))</f>
        <v/>
      </c>
      <c r="N247" s="40"/>
      <c r="O247" s="16" t="str">
        <f aca="false">IF($A247="","",FLOOR(Settings!$C$12/365*N(K247),0.5))</f>
        <v/>
      </c>
      <c r="P247" s="16" t="str">
        <f aca="false">IF($A247="","",IF(I247="",N(N247),FLOOR(Settings!$C$12/365*MAX(0,MIN(LvAsOf,J247)-I247+1)+N(N247),0.5)))</f>
        <v/>
      </c>
      <c r="Q247" s="16" t="str">
        <f aca="false">IF($A247="","",Settings!$C$14)</f>
        <v/>
      </c>
      <c r="R247" s="16" t="str">
        <f aca="false">IF($A247="","",SUMIFS(Attendance!$AZ$6:$AZ$2405,Attendance!$B$6:$B$2405,$A247,Attendance!$A$6:$A$2405,"&gt;="&amp;DATE(LvYear,1,1),Attendance!$A$6:$A$2405,"&lt;="&amp;DATE(LvYear,12,31)))</f>
        <v/>
      </c>
      <c r="S247" s="16" t="str">
        <f aca="false">IF($A247="","",SUMIFS(Attendance!$AY$6:$AY$2405,Attendance!$B$6:$B$2405,$A247,Attendance!$A$6:$A$2405,"&gt;="&amp;DATE(LvYear,1,1),Attendance!$A$6:$A$2405,"&lt;="&amp;DATE(LvYear,12,31)))</f>
        <v/>
      </c>
      <c r="T247" s="16" t="str">
        <f aca="false">IF($A247="","",SUMIFS(Attendance!$AX$6:$AX$2405,Attendance!$B$6:$B$2405,$A247,Attendance!$A$6:$A$2405,"&gt;="&amp;DATE(LvYear,1,1),Attendance!$A$6:$A$2405,"&lt;="&amp;DATE(LvYear,12,31)))</f>
        <v/>
      </c>
      <c r="U247" s="16" t="str">
        <f aca="false">IF($A247="","",SUMIFS(Attendance!$AW$6:$AW$2405,Attendance!$B$6:$B$2405,$A247,Attendance!$A$6:$A$2405,"&gt;="&amp;DATE(LvYear,1,1),Attendance!$A$6:$A$2405,"&lt;="&amp;DATE(LvYear,12,31)))</f>
        <v/>
      </c>
      <c r="V247" s="16" t="str">
        <f aca="false">IF($A247="","",L247-R247)</f>
        <v/>
      </c>
      <c r="W247" s="16" t="str">
        <f aca="false">IF($A247="","",M247-S247)</f>
        <v/>
      </c>
      <c r="X247" s="16" t="str">
        <f aca="false">IF($A247="","",P247-T247)</f>
        <v/>
      </c>
      <c r="Y247" s="16" t="str">
        <f aca="false">IF($A247="","",Q247-U247)</f>
        <v/>
      </c>
      <c r="Z247" s="16" t="str">
        <f aca="false">IF($A247="","",V247+W247+X247)</f>
        <v/>
      </c>
      <c r="AA247" s="16" t="str">
        <f aca="false">IF($A247="","",O247+N(N247)-T247)</f>
        <v/>
      </c>
      <c r="AB247" s="8" t="str">
        <f aca="false">IF($A247="","","CL "&amp;V247&amp;" | SL "&amp;W247&amp;" | PL "&amp;X247&amp;" | TR "&amp;Y247)</f>
        <v/>
      </c>
      <c r="AC247" s="15" t="str">
        <f aca="false">IF($A247="","",IF(F247="Exited","EXITED",IF(AND(ISNUMBER(K247),K247=0),"NOT ELIGIBLE",IF(MIN(V247:X247)&lt;0,"OVER-USED",IF(Z247&lt;=Settings!$C$15,"LOW","OK")))))</f>
        <v/>
      </c>
      <c r="AD247" s="16" t="str">
        <f aca="false">IF(OR(AC247="OVER-USED",AC247="LOW"),COUNTIF(AC$6:AC247,"OVER-USED")+COUNTIF(AC$6:AC247,"LOW"),"")</f>
        <v/>
      </c>
    </row>
    <row r="248" customFormat="false" ht="15" hidden="false" customHeight="false" outlineLevel="0" collapsed="false">
      <c r="A248" s="8" t="str">
        <f aca="false">IF('Employee List'!B248="","",'Employee List'!B248)</f>
        <v/>
      </c>
      <c r="B248" s="8" t="str">
        <f aca="false">IF($A248="","",'Employee List'!C248)</f>
        <v/>
      </c>
      <c r="C248" s="8" t="str">
        <f aca="false">IF($A248="","",'Employee List'!E248&amp;"")</f>
        <v/>
      </c>
      <c r="D248" s="8" t="str">
        <f aca="false">IF($A248="","",'Employee List'!F248&amp;"")</f>
        <v/>
      </c>
      <c r="E248" s="8" t="str">
        <f aca="false">IF($A248="","",'Employee List'!G248&amp;"")</f>
        <v/>
      </c>
      <c r="F248" s="8" t="str">
        <f aca="false">IF($A248="","",'Employee List'!D248)</f>
        <v/>
      </c>
      <c r="G248" s="38" t="str">
        <f aca="false">IF($A248="","",IF('Employee List'!I248="","",'Employee List'!I248))</f>
        <v/>
      </c>
      <c r="H248" s="38" t="str">
        <f aca="false">IF(OR($A248="",G248=""),"",G248+Settings!$C$13)</f>
        <v/>
      </c>
      <c r="I248" s="38" t="str">
        <f aca="false">IF(H248="","",MAX(H248,DATE(LvYear,1,1)))</f>
        <v/>
      </c>
      <c r="J248" s="38" t="str">
        <f aca="false">IF($A248="","",IF('Employee List'!J248="",DATE(LvYear,12,31),MIN('Employee List'!J248,DATE(LvYear,12,31))))</f>
        <v/>
      </c>
      <c r="K248" s="39" t="str">
        <f aca="false">IF(OR(I248="",J248=""),"",MAX(0,J248-I248+1))</f>
        <v/>
      </c>
      <c r="L248" s="16" t="str">
        <f aca="false">IF($A248="","",IF(AND(ISNUMBER(K248),K248=0),0,Settings!$C$10))</f>
        <v/>
      </c>
      <c r="M248" s="16" t="str">
        <f aca="false">IF($A248="","",IF(AND(ISNUMBER(K248),K248=0),0,Settings!$C$11))</f>
        <v/>
      </c>
      <c r="N248" s="40"/>
      <c r="O248" s="16" t="str">
        <f aca="false">IF($A248="","",FLOOR(Settings!$C$12/365*N(K248),0.5))</f>
        <v/>
      </c>
      <c r="P248" s="16" t="str">
        <f aca="false">IF($A248="","",IF(I248="",N(N248),FLOOR(Settings!$C$12/365*MAX(0,MIN(LvAsOf,J248)-I248+1)+N(N248),0.5)))</f>
        <v/>
      </c>
      <c r="Q248" s="16" t="str">
        <f aca="false">IF($A248="","",Settings!$C$14)</f>
        <v/>
      </c>
      <c r="R248" s="16" t="str">
        <f aca="false">IF($A248="","",SUMIFS(Attendance!$AZ$6:$AZ$2405,Attendance!$B$6:$B$2405,$A248,Attendance!$A$6:$A$2405,"&gt;="&amp;DATE(LvYear,1,1),Attendance!$A$6:$A$2405,"&lt;="&amp;DATE(LvYear,12,31)))</f>
        <v/>
      </c>
      <c r="S248" s="16" t="str">
        <f aca="false">IF($A248="","",SUMIFS(Attendance!$AY$6:$AY$2405,Attendance!$B$6:$B$2405,$A248,Attendance!$A$6:$A$2405,"&gt;="&amp;DATE(LvYear,1,1),Attendance!$A$6:$A$2405,"&lt;="&amp;DATE(LvYear,12,31)))</f>
        <v/>
      </c>
      <c r="T248" s="16" t="str">
        <f aca="false">IF($A248="","",SUMIFS(Attendance!$AX$6:$AX$2405,Attendance!$B$6:$B$2405,$A248,Attendance!$A$6:$A$2405,"&gt;="&amp;DATE(LvYear,1,1),Attendance!$A$6:$A$2405,"&lt;="&amp;DATE(LvYear,12,31)))</f>
        <v/>
      </c>
      <c r="U248" s="16" t="str">
        <f aca="false">IF($A248="","",SUMIFS(Attendance!$AW$6:$AW$2405,Attendance!$B$6:$B$2405,$A248,Attendance!$A$6:$A$2405,"&gt;="&amp;DATE(LvYear,1,1),Attendance!$A$6:$A$2405,"&lt;="&amp;DATE(LvYear,12,31)))</f>
        <v/>
      </c>
      <c r="V248" s="16" t="str">
        <f aca="false">IF($A248="","",L248-R248)</f>
        <v/>
      </c>
      <c r="W248" s="16" t="str">
        <f aca="false">IF($A248="","",M248-S248)</f>
        <v/>
      </c>
      <c r="X248" s="16" t="str">
        <f aca="false">IF($A248="","",P248-T248)</f>
        <v/>
      </c>
      <c r="Y248" s="16" t="str">
        <f aca="false">IF($A248="","",Q248-U248)</f>
        <v/>
      </c>
      <c r="Z248" s="16" t="str">
        <f aca="false">IF($A248="","",V248+W248+X248)</f>
        <v/>
      </c>
      <c r="AA248" s="16" t="str">
        <f aca="false">IF($A248="","",O248+N(N248)-T248)</f>
        <v/>
      </c>
      <c r="AB248" s="8" t="str">
        <f aca="false">IF($A248="","","CL "&amp;V248&amp;" | SL "&amp;W248&amp;" | PL "&amp;X248&amp;" | TR "&amp;Y248)</f>
        <v/>
      </c>
      <c r="AC248" s="15" t="str">
        <f aca="false">IF($A248="","",IF(F248="Exited","EXITED",IF(AND(ISNUMBER(K248),K248=0),"NOT ELIGIBLE",IF(MIN(V248:X248)&lt;0,"OVER-USED",IF(Z248&lt;=Settings!$C$15,"LOW","OK")))))</f>
        <v/>
      </c>
      <c r="AD248" s="16" t="str">
        <f aca="false">IF(OR(AC248="OVER-USED",AC248="LOW"),COUNTIF(AC$6:AC248,"OVER-USED")+COUNTIF(AC$6:AC248,"LOW"),"")</f>
        <v/>
      </c>
    </row>
    <row r="249" customFormat="false" ht="15" hidden="false" customHeight="false" outlineLevel="0" collapsed="false">
      <c r="A249" s="8" t="str">
        <f aca="false">IF('Employee List'!B249="","",'Employee List'!B249)</f>
        <v/>
      </c>
      <c r="B249" s="8" t="str">
        <f aca="false">IF($A249="","",'Employee List'!C249)</f>
        <v/>
      </c>
      <c r="C249" s="8" t="str">
        <f aca="false">IF($A249="","",'Employee List'!E249&amp;"")</f>
        <v/>
      </c>
      <c r="D249" s="8" t="str">
        <f aca="false">IF($A249="","",'Employee List'!F249&amp;"")</f>
        <v/>
      </c>
      <c r="E249" s="8" t="str">
        <f aca="false">IF($A249="","",'Employee List'!G249&amp;"")</f>
        <v/>
      </c>
      <c r="F249" s="8" t="str">
        <f aca="false">IF($A249="","",'Employee List'!D249)</f>
        <v/>
      </c>
      <c r="G249" s="38" t="str">
        <f aca="false">IF($A249="","",IF('Employee List'!I249="","",'Employee List'!I249))</f>
        <v/>
      </c>
      <c r="H249" s="38" t="str">
        <f aca="false">IF(OR($A249="",G249=""),"",G249+Settings!$C$13)</f>
        <v/>
      </c>
      <c r="I249" s="38" t="str">
        <f aca="false">IF(H249="","",MAX(H249,DATE(LvYear,1,1)))</f>
        <v/>
      </c>
      <c r="J249" s="38" t="str">
        <f aca="false">IF($A249="","",IF('Employee List'!J249="",DATE(LvYear,12,31),MIN('Employee List'!J249,DATE(LvYear,12,31))))</f>
        <v/>
      </c>
      <c r="K249" s="39" t="str">
        <f aca="false">IF(OR(I249="",J249=""),"",MAX(0,J249-I249+1))</f>
        <v/>
      </c>
      <c r="L249" s="16" t="str">
        <f aca="false">IF($A249="","",IF(AND(ISNUMBER(K249),K249=0),0,Settings!$C$10))</f>
        <v/>
      </c>
      <c r="M249" s="16" t="str">
        <f aca="false">IF($A249="","",IF(AND(ISNUMBER(K249),K249=0),0,Settings!$C$11))</f>
        <v/>
      </c>
      <c r="N249" s="40"/>
      <c r="O249" s="16" t="str">
        <f aca="false">IF($A249="","",FLOOR(Settings!$C$12/365*N(K249),0.5))</f>
        <v/>
      </c>
      <c r="P249" s="16" t="str">
        <f aca="false">IF($A249="","",IF(I249="",N(N249),FLOOR(Settings!$C$12/365*MAX(0,MIN(LvAsOf,J249)-I249+1)+N(N249),0.5)))</f>
        <v/>
      </c>
      <c r="Q249" s="16" t="str">
        <f aca="false">IF($A249="","",Settings!$C$14)</f>
        <v/>
      </c>
      <c r="R249" s="16" t="str">
        <f aca="false">IF($A249="","",SUMIFS(Attendance!$AZ$6:$AZ$2405,Attendance!$B$6:$B$2405,$A249,Attendance!$A$6:$A$2405,"&gt;="&amp;DATE(LvYear,1,1),Attendance!$A$6:$A$2405,"&lt;="&amp;DATE(LvYear,12,31)))</f>
        <v/>
      </c>
      <c r="S249" s="16" t="str">
        <f aca="false">IF($A249="","",SUMIFS(Attendance!$AY$6:$AY$2405,Attendance!$B$6:$B$2405,$A249,Attendance!$A$6:$A$2405,"&gt;="&amp;DATE(LvYear,1,1),Attendance!$A$6:$A$2405,"&lt;="&amp;DATE(LvYear,12,31)))</f>
        <v/>
      </c>
      <c r="T249" s="16" t="str">
        <f aca="false">IF($A249="","",SUMIFS(Attendance!$AX$6:$AX$2405,Attendance!$B$6:$B$2405,$A249,Attendance!$A$6:$A$2405,"&gt;="&amp;DATE(LvYear,1,1),Attendance!$A$6:$A$2405,"&lt;="&amp;DATE(LvYear,12,31)))</f>
        <v/>
      </c>
      <c r="U249" s="16" t="str">
        <f aca="false">IF($A249="","",SUMIFS(Attendance!$AW$6:$AW$2405,Attendance!$B$6:$B$2405,$A249,Attendance!$A$6:$A$2405,"&gt;="&amp;DATE(LvYear,1,1),Attendance!$A$6:$A$2405,"&lt;="&amp;DATE(LvYear,12,31)))</f>
        <v/>
      </c>
      <c r="V249" s="16" t="str">
        <f aca="false">IF($A249="","",L249-R249)</f>
        <v/>
      </c>
      <c r="W249" s="16" t="str">
        <f aca="false">IF($A249="","",M249-S249)</f>
        <v/>
      </c>
      <c r="X249" s="16" t="str">
        <f aca="false">IF($A249="","",P249-T249)</f>
        <v/>
      </c>
      <c r="Y249" s="16" t="str">
        <f aca="false">IF($A249="","",Q249-U249)</f>
        <v/>
      </c>
      <c r="Z249" s="16" t="str">
        <f aca="false">IF($A249="","",V249+W249+X249)</f>
        <v/>
      </c>
      <c r="AA249" s="16" t="str">
        <f aca="false">IF($A249="","",O249+N(N249)-T249)</f>
        <v/>
      </c>
      <c r="AB249" s="8" t="str">
        <f aca="false">IF($A249="","","CL "&amp;V249&amp;" | SL "&amp;W249&amp;" | PL "&amp;X249&amp;" | TR "&amp;Y249)</f>
        <v/>
      </c>
      <c r="AC249" s="15" t="str">
        <f aca="false">IF($A249="","",IF(F249="Exited","EXITED",IF(AND(ISNUMBER(K249),K249=0),"NOT ELIGIBLE",IF(MIN(V249:X249)&lt;0,"OVER-USED",IF(Z249&lt;=Settings!$C$15,"LOW","OK")))))</f>
        <v/>
      </c>
      <c r="AD249" s="16" t="str">
        <f aca="false">IF(OR(AC249="OVER-USED",AC249="LOW"),COUNTIF(AC$6:AC249,"OVER-USED")+COUNTIF(AC$6:AC249,"LOW"),"")</f>
        <v/>
      </c>
    </row>
    <row r="250" customFormat="false" ht="15" hidden="false" customHeight="false" outlineLevel="0" collapsed="false">
      <c r="A250" s="8" t="str">
        <f aca="false">IF('Employee List'!B250="","",'Employee List'!B250)</f>
        <v/>
      </c>
      <c r="B250" s="8" t="str">
        <f aca="false">IF($A250="","",'Employee List'!C250)</f>
        <v/>
      </c>
      <c r="C250" s="8" t="str">
        <f aca="false">IF($A250="","",'Employee List'!E250&amp;"")</f>
        <v/>
      </c>
      <c r="D250" s="8" t="str">
        <f aca="false">IF($A250="","",'Employee List'!F250&amp;"")</f>
        <v/>
      </c>
      <c r="E250" s="8" t="str">
        <f aca="false">IF($A250="","",'Employee List'!G250&amp;"")</f>
        <v/>
      </c>
      <c r="F250" s="8" t="str">
        <f aca="false">IF($A250="","",'Employee List'!D250)</f>
        <v/>
      </c>
      <c r="G250" s="38" t="str">
        <f aca="false">IF($A250="","",IF('Employee List'!I250="","",'Employee List'!I250))</f>
        <v/>
      </c>
      <c r="H250" s="38" t="str">
        <f aca="false">IF(OR($A250="",G250=""),"",G250+Settings!$C$13)</f>
        <v/>
      </c>
      <c r="I250" s="38" t="str">
        <f aca="false">IF(H250="","",MAX(H250,DATE(LvYear,1,1)))</f>
        <v/>
      </c>
      <c r="J250" s="38" t="str">
        <f aca="false">IF($A250="","",IF('Employee List'!J250="",DATE(LvYear,12,31),MIN('Employee List'!J250,DATE(LvYear,12,31))))</f>
        <v/>
      </c>
      <c r="K250" s="39" t="str">
        <f aca="false">IF(OR(I250="",J250=""),"",MAX(0,J250-I250+1))</f>
        <v/>
      </c>
      <c r="L250" s="16" t="str">
        <f aca="false">IF($A250="","",IF(AND(ISNUMBER(K250),K250=0),0,Settings!$C$10))</f>
        <v/>
      </c>
      <c r="M250" s="16" t="str">
        <f aca="false">IF($A250="","",IF(AND(ISNUMBER(K250),K250=0),0,Settings!$C$11))</f>
        <v/>
      </c>
      <c r="N250" s="40"/>
      <c r="O250" s="16" t="str">
        <f aca="false">IF($A250="","",FLOOR(Settings!$C$12/365*N(K250),0.5))</f>
        <v/>
      </c>
      <c r="P250" s="16" t="str">
        <f aca="false">IF($A250="","",IF(I250="",N(N250),FLOOR(Settings!$C$12/365*MAX(0,MIN(LvAsOf,J250)-I250+1)+N(N250),0.5)))</f>
        <v/>
      </c>
      <c r="Q250" s="16" t="str">
        <f aca="false">IF($A250="","",Settings!$C$14)</f>
        <v/>
      </c>
      <c r="R250" s="16" t="str">
        <f aca="false">IF($A250="","",SUMIFS(Attendance!$AZ$6:$AZ$2405,Attendance!$B$6:$B$2405,$A250,Attendance!$A$6:$A$2405,"&gt;="&amp;DATE(LvYear,1,1),Attendance!$A$6:$A$2405,"&lt;="&amp;DATE(LvYear,12,31)))</f>
        <v/>
      </c>
      <c r="S250" s="16" t="str">
        <f aca="false">IF($A250="","",SUMIFS(Attendance!$AY$6:$AY$2405,Attendance!$B$6:$B$2405,$A250,Attendance!$A$6:$A$2405,"&gt;="&amp;DATE(LvYear,1,1),Attendance!$A$6:$A$2405,"&lt;="&amp;DATE(LvYear,12,31)))</f>
        <v/>
      </c>
      <c r="T250" s="16" t="str">
        <f aca="false">IF($A250="","",SUMIFS(Attendance!$AX$6:$AX$2405,Attendance!$B$6:$B$2405,$A250,Attendance!$A$6:$A$2405,"&gt;="&amp;DATE(LvYear,1,1),Attendance!$A$6:$A$2405,"&lt;="&amp;DATE(LvYear,12,31)))</f>
        <v/>
      </c>
      <c r="U250" s="16" t="str">
        <f aca="false">IF($A250="","",SUMIFS(Attendance!$AW$6:$AW$2405,Attendance!$B$6:$B$2405,$A250,Attendance!$A$6:$A$2405,"&gt;="&amp;DATE(LvYear,1,1),Attendance!$A$6:$A$2405,"&lt;="&amp;DATE(LvYear,12,31)))</f>
        <v/>
      </c>
      <c r="V250" s="16" t="str">
        <f aca="false">IF($A250="","",L250-R250)</f>
        <v/>
      </c>
      <c r="W250" s="16" t="str">
        <f aca="false">IF($A250="","",M250-S250)</f>
        <v/>
      </c>
      <c r="X250" s="16" t="str">
        <f aca="false">IF($A250="","",P250-T250)</f>
        <v/>
      </c>
      <c r="Y250" s="16" t="str">
        <f aca="false">IF($A250="","",Q250-U250)</f>
        <v/>
      </c>
      <c r="Z250" s="16" t="str">
        <f aca="false">IF($A250="","",V250+W250+X250)</f>
        <v/>
      </c>
      <c r="AA250" s="16" t="str">
        <f aca="false">IF($A250="","",O250+N(N250)-T250)</f>
        <v/>
      </c>
      <c r="AB250" s="8" t="str">
        <f aca="false">IF($A250="","","CL "&amp;V250&amp;" | SL "&amp;W250&amp;" | PL "&amp;X250&amp;" | TR "&amp;Y250)</f>
        <v/>
      </c>
      <c r="AC250" s="15" t="str">
        <f aca="false">IF($A250="","",IF(F250="Exited","EXITED",IF(AND(ISNUMBER(K250),K250=0),"NOT ELIGIBLE",IF(MIN(V250:X250)&lt;0,"OVER-USED",IF(Z250&lt;=Settings!$C$15,"LOW","OK")))))</f>
        <v/>
      </c>
      <c r="AD250" s="16" t="str">
        <f aca="false">IF(OR(AC250="OVER-USED",AC250="LOW"),COUNTIF(AC$6:AC250,"OVER-USED")+COUNTIF(AC$6:AC250,"LOW"),"")</f>
        <v/>
      </c>
    </row>
    <row r="251" customFormat="false" ht="15" hidden="false" customHeight="false" outlineLevel="0" collapsed="false">
      <c r="A251" s="8" t="str">
        <f aca="false">IF('Employee List'!B251="","",'Employee List'!B251)</f>
        <v/>
      </c>
      <c r="B251" s="8" t="str">
        <f aca="false">IF($A251="","",'Employee List'!C251)</f>
        <v/>
      </c>
      <c r="C251" s="8" t="str">
        <f aca="false">IF($A251="","",'Employee List'!E251&amp;"")</f>
        <v/>
      </c>
      <c r="D251" s="8" t="str">
        <f aca="false">IF($A251="","",'Employee List'!F251&amp;"")</f>
        <v/>
      </c>
      <c r="E251" s="8" t="str">
        <f aca="false">IF($A251="","",'Employee List'!G251&amp;"")</f>
        <v/>
      </c>
      <c r="F251" s="8" t="str">
        <f aca="false">IF($A251="","",'Employee List'!D251)</f>
        <v/>
      </c>
      <c r="G251" s="38" t="str">
        <f aca="false">IF($A251="","",IF('Employee List'!I251="","",'Employee List'!I251))</f>
        <v/>
      </c>
      <c r="H251" s="38" t="str">
        <f aca="false">IF(OR($A251="",G251=""),"",G251+Settings!$C$13)</f>
        <v/>
      </c>
      <c r="I251" s="38" t="str">
        <f aca="false">IF(H251="","",MAX(H251,DATE(LvYear,1,1)))</f>
        <v/>
      </c>
      <c r="J251" s="38" t="str">
        <f aca="false">IF($A251="","",IF('Employee List'!J251="",DATE(LvYear,12,31),MIN('Employee List'!J251,DATE(LvYear,12,31))))</f>
        <v/>
      </c>
      <c r="K251" s="39" t="str">
        <f aca="false">IF(OR(I251="",J251=""),"",MAX(0,J251-I251+1))</f>
        <v/>
      </c>
      <c r="L251" s="16" t="str">
        <f aca="false">IF($A251="","",IF(AND(ISNUMBER(K251),K251=0),0,Settings!$C$10))</f>
        <v/>
      </c>
      <c r="M251" s="16" t="str">
        <f aca="false">IF($A251="","",IF(AND(ISNUMBER(K251),K251=0),0,Settings!$C$11))</f>
        <v/>
      </c>
      <c r="N251" s="40"/>
      <c r="O251" s="16" t="str">
        <f aca="false">IF($A251="","",FLOOR(Settings!$C$12/365*N(K251),0.5))</f>
        <v/>
      </c>
      <c r="P251" s="16" t="str">
        <f aca="false">IF($A251="","",IF(I251="",N(N251),FLOOR(Settings!$C$12/365*MAX(0,MIN(LvAsOf,J251)-I251+1)+N(N251),0.5)))</f>
        <v/>
      </c>
      <c r="Q251" s="16" t="str">
        <f aca="false">IF($A251="","",Settings!$C$14)</f>
        <v/>
      </c>
      <c r="R251" s="16" t="str">
        <f aca="false">IF($A251="","",SUMIFS(Attendance!$AZ$6:$AZ$2405,Attendance!$B$6:$B$2405,$A251,Attendance!$A$6:$A$2405,"&gt;="&amp;DATE(LvYear,1,1),Attendance!$A$6:$A$2405,"&lt;="&amp;DATE(LvYear,12,31)))</f>
        <v/>
      </c>
      <c r="S251" s="16" t="str">
        <f aca="false">IF($A251="","",SUMIFS(Attendance!$AY$6:$AY$2405,Attendance!$B$6:$B$2405,$A251,Attendance!$A$6:$A$2405,"&gt;="&amp;DATE(LvYear,1,1),Attendance!$A$6:$A$2405,"&lt;="&amp;DATE(LvYear,12,31)))</f>
        <v/>
      </c>
      <c r="T251" s="16" t="str">
        <f aca="false">IF($A251="","",SUMIFS(Attendance!$AX$6:$AX$2405,Attendance!$B$6:$B$2405,$A251,Attendance!$A$6:$A$2405,"&gt;="&amp;DATE(LvYear,1,1),Attendance!$A$6:$A$2405,"&lt;="&amp;DATE(LvYear,12,31)))</f>
        <v/>
      </c>
      <c r="U251" s="16" t="str">
        <f aca="false">IF($A251="","",SUMIFS(Attendance!$AW$6:$AW$2405,Attendance!$B$6:$B$2405,$A251,Attendance!$A$6:$A$2405,"&gt;="&amp;DATE(LvYear,1,1),Attendance!$A$6:$A$2405,"&lt;="&amp;DATE(LvYear,12,31)))</f>
        <v/>
      </c>
      <c r="V251" s="16" t="str">
        <f aca="false">IF($A251="","",L251-R251)</f>
        <v/>
      </c>
      <c r="W251" s="16" t="str">
        <f aca="false">IF($A251="","",M251-S251)</f>
        <v/>
      </c>
      <c r="X251" s="16" t="str">
        <f aca="false">IF($A251="","",P251-T251)</f>
        <v/>
      </c>
      <c r="Y251" s="16" t="str">
        <f aca="false">IF($A251="","",Q251-U251)</f>
        <v/>
      </c>
      <c r="Z251" s="16" t="str">
        <f aca="false">IF($A251="","",V251+W251+X251)</f>
        <v/>
      </c>
      <c r="AA251" s="16" t="str">
        <f aca="false">IF($A251="","",O251+N(N251)-T251)</f>
        <v/>
      </c>
      <c r="AB251" s="8" t="str">
        <f aca="false">IF($A251="","","CL "&amp;V251&amp;" | SL "&amp;W251&amp;" | PL "&amp;X251&amp;" | TR "&amp;Y251)</f>
        <v/>
      </c>
      <c r="AC251" s="15" t="str">
        <f aca="false">IF($A251="","",IF(F251="Exited","EXITED",IF(AND(ISNUMBER(K251),K251=0),"NOT ELIGIBLE",IF(MIN(V251:X251)&lt;0,"OVER-USED",IF(Z251&lt;=Settings!$C$15,"LOW","OK")))))</f>
        <v/>
      </c>
      <c r="AD251" s="16" t="str">
        <f aca="false">IF(OR(AC251="OVER-USED",AC251="LOW"),COUNTIF(AC$6:AC251,"OVER-USED")+COUNTIF(AC$6:AC251,"LOW"),"")</f>
        <v/>
      </c>
    </row>
    <row r="252" customFormat="false" ht="15" hidden="false" customHeight="false" outlineLevel="0" collapsed="false">
      <c r="A252" s="8" t="str">
        <f aca="false">IF('Employee List'!B252="","",'Employee List'!B252)</f>
        <v/>
      </c>
      <c r="B252" s="8" t="str">
        <f aca="false">IF($A252="","",'Employee List'!C252)</f>
        <v/>
      </c>
      <c r="C252" s="8" t="str">
        <f aca="false">IF($A252="","",'Employee List'!E252&amp;"")</f>
        <v/>
      </c>
      <c r="D252" s="8" t="str">
        <f aca="false">IF($A252="","",'Employee List'!F252&amp;"")</f>
        <v/>
      </c>
      <c r="E252" s="8" t="str">
        <f aca="false">IF($A252="","",'Employee List'!G252&amp;"")</f>
        <v/>
      </c>
      <c r="F252" s="8" t="str">
        <f aca="false">IF($A252="","",'Employee List'!D252)</f>
        <v/>
      </c>
      <c r="G252" s="38" t="str">
        <f aca="false">IF($A252="","",IF('Employee List'!I252="","",'Employee List'!I252))</f>
        <v/>
      </c>
      <c r="H252" s="38" t="str">
        <f aca="false">IF(OR($A252="",G252=""),"",G252+Settings!$C$13)</f>
        <v/>
      </c>
      <c r="I252" s="38" t="str">
        <f aca="false">IF(H252="","",MAX(H252,DATE(LvYear,1,1)))</f>
        <v/>
      </c>
      <c r="J252" s="38" t="str">
        <f aca="false">IF($A252="","",IF('Employee List'!J252="",DATE(LvYear,12,31),MIN('Employee List'!J252,DATE(LvYear,12,31))))</f>
        <v/>
      </c>
      <c r="K252" s="39" t="str">
        <f aca="false">IF(OR(I252="",J252=""),"",MAX(0,J252-I252+1))</f>
        <v/>
      </c>
      <c r="L252" s="16" t="str">
        <f aca="false">IF($A252="","",IF(AND(ISNUMBER(K252),K252=0),0,Settings!$C$10))</f>
        <v/>
      </c>
      <c r="M252" s="16" t="str">
        <f aca="false">IF($A252="","",IF(AND(ISNUMBER(K252),K252=0),0,Settings!$C$11))</f>
        <v/>
      </c>
      <c r="N252" s="40"/>
      <c r="O252" s="16" t="str">
        <f aca="false">IF($A252="","",FLOOR(Settings!$C$12/365*N(K252),0.5))</f>
        <v/>
      </c>
      <c r="P252" s="16" t="str">
        <f aca="false">IF($A252="","",IF(I252="",N(N252),FLOOR(Settings!$C$12/365*MAX(0,MIN(LvAsOf,J252)-I252+1)+N(N252),0.5)))</f>
        <v/>
      </c>
      <c r="Q252" s="16" t="str">
        <f aca="false">IF($A252="","",Settings!$C$14)</f>
        <v/>
      </c>
      <c r="R252" s="16" t="str">
        <f aca="false">IF($A252="","",SUMIFS(Attendance!$AZ$6:$AZ$2405,Attendance!$B$6:$B$2405,$A252,Attendance!$A$6:$A$2405,"&gt;="&amp;DATE(LvYear,1,1),Attendance!$A$6:$A$2405,"&lt;="&amp;DATE(LvYear,12,31)))</f>
        <v/>
      </c>
      <c r="S252" s="16" t="str">
        <f aca="false">IF($A252="","",SUMIFS(Attendance!$AY$6:$AY$2405,Attendance!$B$6:$B$2405,$A252,Attendance!$A$6:$A$2405,"&gt;="&amp;DATE(LvYear,1,1),Attendance!$A$6:$A$2405,"&lt;="&amp;DATE(LvYear,12,31)))</f>
        <v/>
      </c>
      <c r="T252" s="16" t="str">
        <f aca="false">IF($A252="","",SUMIFS(Attendance!$AX$6:$AX$2405,Attendance!$B$6:$B$2405,$A252,Attendance!$A$6:$A$2405,"&gt;="&amp;DATE(LvYear,1,1),Attendance!$A$6:$A$2405,"&lt;="&amp;DATE(LvYear,12,31)))</f>
        <v/>
      </c>
      <c r="U252" s="16" t="str">
        <f aca="false">IF($A252="","",SUMIFS(Attendance!$AW$6:$AW$2405,Attendance!$B$6:$B$2405,$A252,Attendance!$A$6:$A$2405,"&gt;="&amp;DATE(LvYear,1,1),Attendance!$A$6:$A$2405,"&lt;="&amp;DATE(LvYear,12,31)))</f>
        <v/>
      </c>
      <c r="V252" s="16" t="str">
        <f aca="false">IF($A252="","",L252-R252)</f>
        <v/>
      </c>
      <c r="W252" s="16" t="str">
        <f aca="false">IF($A252="","",M252-S252)</f>
        <v/>
      </c>
      <c r="X252" s="16" t="str">
        <f aca="false">IF($A252="","",P252-T252)</f>
        <v/>
      </c>
      <c r="Y252" s="16" t="str">
        <f aca="false">IF($A252="","",Q252-U252)</f>
        <v/>
      </c>
      <c r="Z252" s="16" t="str">
        <f aca="false">IF($A252="","",V252+W252+X252)</f>
        <v/>
      </c>
      <c r="AA252" s="16" t="str">
        <f aca="false">IF($A252="","",O252+N(N252)-T252)</f>
        <v/>
      </c>
      <c r="AB252" s="8" t="str">
        <f aca="false">IF($A252="","","CL "&amp;V252&amp;" | SL "&amp;W252&amp;" | PL "&amp;X252&amp;" | TR "&amp;Y252)</f>
        <v/>
      </c>
      <c r="AC252" s="15" t="str">
        <f aca="false">IF($A252="","",IF(F252="Exited","EXITED",IF(AND(ISNUMBER(K252),K252=0),"NOT ELIGIBLE",IF(MIN(V252:X252)&lt;0,"OVER-USED",IF(Z252&lt;=Settings!$C$15,"LOW","OK")))))</f>
        <v/>
      </c>
      <c r="AD252" s="16" t="str">
        <f aca="false">IF(OR(AC252="OVER-USED",AC252="LOW"),COUNTIF(AC$6:AC252,"OVER-USED")+COUNTIF(AC$6:AC252,"LOW"),"")</f>
        <v/>
      </c>
    </row>
    <row r="253" customFormat="false" ht="15" hidden="false" customHeight="false" outlineLevel="0" collapsed="false">
      <c r="A253" s="8" t="str">
        <f aca="false">IF('Employee List'!B253="","",'Employee List'!B253)</f>
        <v/>
      </c>
      <c r="B253" s="8" t="str">
        <f aca="false">IF($A253="","",'Employee List'!C253)</f>
        <v/>
      </c>
      <c r="C253" s="8" t="str">
        <f aca="false">IF($A253="","",'Employee List'!E253&amp;"")</f>
        <v/>
      </c>
      <c r="D253" s="8" t="str">
        <f aca="false">IF($A253="","",'Employee List'!F253&amp;"")</f>
        <v/>
      </c>
      <c r="E253" s="8" t="str">
        <f aca="false">IF($A253="","",'Employee List'!G253&amp;"")</f>
        <v/>
      </c>
      <c r="F253" s="8" t="str">
        <f aca="false">IF($A253="","",'Employee List'!D253)</f>
        <v/>
      </c>
      <c r="G253" s="38" t="str">
        <f aca="false">IF($A253="","",IF('Employee List'!I253="","",'Employee List'!I253))</f>
        <v/>
      </c>
      <c r="H253" s="38" t="str">
        <f aca="false">IF(OR($A253="",G253=""),"",G253+Settings!$C$13)</f>
        <v/>
      </c>
      <c r="I253" s="38" t="str">
        <f aca="false">IF(H253="","",MAX(H253,DATE(LvYear,1,1)))</f>
        <v/>
      </c>
      <c r="J253" s="38" t="str">
        <f aca="false">IF($A253="","",IF('Employee List'!J253="",DATE(LvYear,12,31),MIN('Employee List'!J253,DATE(LvYear,12,31))))</f>
        <v/>
      </c>
      <c r="K253" s="39" t="str">
        <f aca="false">IF(OR(I253="",J253=""),"",MAX(0,J253-I253+1))</f>
        <v/>
      </c>
      <c r="L253" s="16" t="str">
        <f aca="false">IF($A253="","",IF(AND(ISNUMBER(K253),K253=0),0,Settings!$C$10))</f>
        <v/>
      </c>
      <c r="M253" s="16" t="str">
        <f aca="false">IF($A253="","",IF(AND(ISNUMBER(K253),K253=0),0,Settings!$C$11))</f>
        <v/>
      </c>
      <c r="N253" s="40"/>
      <c r="O253" s="16" t="str">
        <f aca="false">IF($A253="","",FLOOR(Settings!$C$12/365*N(K253),0.5))</f>
        <v/>
      </c>
      <c r="P253" s="16" t="str">
        <f aca="false">IF($A253="","",IF(I253="",N(N253),FLOOR(Settings!$C$12/365*MAX(0,MIN(LvAsOf,J253)-I253+1)+N(N253),0.5)))</f>
        <v/>
      </c>
      <c r="Q253" s="16" t="str">
        <f aca="false">IF($A253="","",Settings!$C$14)</f>
        <v/>
      </c>
      <c r="R253" s="16" t="str">
        <f aca="false">IF($A253="","",SUMIFS(Attendance!$AZ$6:$AZ$2405,Attendance!$B$6:$B$2405,$A253,Attendance!$A$6:$A$2405,"&gt;="&amp;DATE(LvYear,1,1),Attendance!$A$6:$A$2405,"&lt;="&amp;DATE(LvYear,12,31)))</f>
        <v/>
      </c>
      <c r="S253" s="16" t="str">
        <f aca="false">IF($A253="","",SUMIFS(Attendance!$AY$6:$AY$2405,Attendance!$B$6:$B$2405,$A253,Attendance!$A$6:$A$2405,"&gt;="&amp;DATE(LvYear,1,1),Attendance!$A$6:$A$2405,"&lt;="&amp;DATE(LvYear,12,31)))</f>
        <v/>
      </c>
      <c r="T253" s="16" t="str">
        <f aca="false">IF($A253="","",SUMIFS(Attendance!$AX$6:$AX$2405,Attendance!$B$6:$B$2405,$A253,Attendance!$A$6:$A$2405,"&gt;="&amp;DATE(LvYear,1,1),Attendance!$A$6:$A$2405,"&lt;="&amp;DATE(LvYear,12,31)))</f>
        <v/>
      </c>
      <c r="U253" s="16" t="str">
        <f aca="false">IF($A253="","",SUMIFS(Attendance!$AW$6:$AW$2405,Attendance!$B$6:$B$2405,$A253,Attendance!$A$6:$A$2405,"&gt;="&amp;DATE(LvYear,1,1),Attendance!$A$6:$A$2405,"&lt;="&amp;DATE(LvYear,12,31)))</f>
        <v/>
      </c>
      <c r="V253" s="16" t="str">
        <f aca="false">IF($A253="","",L253-R253)</f>
        <v/>
      </c>
      <c r="W253" s="16" t="str">
        <f aca="false">IF($A253="","",M253-S253)</f>
        <v/>
      </c>
      <c r="X253" s="16" t="str">
        <f aca="false">IF($A253="","",P253-T253)</f>
        <v/>
      </c>
      <c r="Y253" s="16" t="str">
        <f aca="false">IF($A253="","",Q253-U253)</f>
        <v/>
      </c>
      <c r="Z253" s="16" t="str">
        <f aca="false">IF($A253="","",V253+W253+X253)</f>
        <v/>
      </c>
      <c r="AA253" s="16" t="str">
        <f aca="false">IF($A253="","",O253+N(N253)-T253)</f>
        <v/>
      </c>
      <c r="AB253" s="8" t="str">
        <f aca="false">IF($A253="","","CL "&amp;V253&amp;" | SL "&amp;W253&amp;" | PL "&amp;X253&amp;" | TR "&amp;Y253)</f>
        <v/>
      </c>
      <c r="AC253" s="15" t="str">
        <f aca="false">IF($A253="","",IF(F253="Exited","EXITED",IF(AND(ISNUMBER(K253),K253=0),"NOT ELIGIBLE",IF(MIN(V253:X253)&lt;0,"OVER-USED",IF(Z253&lt;=Settings!$C$15,"LOW","OK")))))</f>
        <v/>
      </c>
      <c r="AD253" s="16" t="str">
        <f aca="false">IF(OR(AC253="OVER-USED",AC253="LOW"),COUNTIF(AC$6:AC253,"OVER-USED")+COUNTIF(AC$6:AC253,"LOW"),"")</f>
        <v/>
      </c>
    </row>
    <row r="254" customFormat="false" ht="15" hidden="false" customHeight="false" outlineLevel="0" collapsed="false">
      <c r="A254" s="8" t="str">
        <f aca="false">IF('Employee List'!B254="","",'Employee List'!B254)</f>
        <v/>
      </c>
      <c r="B254" s="8" t="str">
        <f aca="false">IF($A254="","",'Employee List'!C254)</f>
        <v/>
      </c>
      <c r="C254" s="8" t="str">
        <f aca="false">IF($A254="","",'Employee List'!E254&amp;"")</f>
        <v/>
      </c>
      <c r="D254" s="8" t="str">
        <f aca="false">IF($A254="","",'Employee List'!F254&amp;"")</f>
        <v/>
      </c>
      <c r="E254" s="8" t="str">
        <f aca="false">IF($A254="","",'Employee List'!G254&amp;"")</f>
        <v/>
      </c>
      <c r="F254" s="8" t="str">
        <f aca="false">IF($A254="","",'Employee List'!D254)</f>
        <v/>
      </c>
      <c r="G254" s="38" t="str">
        <f aca="false">IF($A254="","",IF('Employee List'!I254="","",'Employee List'!I254))</f>
        <v/>
      </c>
      <c r="H254" s="38" t="str">
        <f aca="false">IF(OR($A254="",G254=""),"",G254+Settings!$C$13)</f>
        <v/>
      </c>
      <c r="I254" s="38" t="str">
        <f aca="false">IF(H254="","",MAX(H254,DATE(LvYear,1,1)))</f>
        <v/>
      </c>
      <c r="J254" s="38" t="str">
        <f aca="false">IF($A254="","",IF('Employee List'!J254="",DATE(LvYear,12,31),MIN('Employee List'!J254,DATE(LvYear,12,31))))</f>
        <v/>
      </c>
      <c r="K254" s="39" t="str">
        <f aca="false">IF(OR(I254="",J254=""),"",MAX(0,J254-I254+1))</f>
        <v/>
      </c>
      <c r="L254" s="16" t="str">
        <f aca="false">IF($A254="","",IF(AND(ISNUMBER(K254),K254=0),0,Settings!$C$10))</f>
        <v/>
      </c>
      <c r="M254" s="16" t="str">
        <f aca="false">IF($A254="","",IF(AND(ISNUMBER(K254),K254=0),0,Settings!$C$11))</f>
        <v/>
      </c>
      <c r="N254" s="40"/>
      <c r="O254" s="16" t="str">
        <f aca="false">IF($A254="","",FLOOR(Settings!$C$12/365*N(K254),0.5))</f>
        <v/>
      </c>
      <c r="P254" s="16" t="str">
        <f aca="false">IF($A254="","",IF(I254="",N(N254),FLOOR(Settings!$C$12/365*MAX(0,MIN(LvAsOf,J254)-I254+1)+N(N254),0.5)))</f>
        <v/>
      </c>
      <c r="Q254" s="16" t="str">
        <f aca="false">IF($A254="","",Settings!$C$14)</f>
        <v/>
      </c>
      <c r="R254" s="16" t="str">
        <f aca="false">IF($A254="","",SUMIFS(Attendance!$AZ$6:$AZ$2405,Attendance!$B$6:$B$2405,$A254,Attendance!$A$6:$A$2405,"&gt;="&amp;DATE(LvYear,1,1),Attendance!$A$6:$A$2405,"&lt;="&amp;DATE(LvYear,12,31)))</f>
        <v/>
      </c>
      <c r="S254" s="16" t="str">
        <f aca="false">IF($A254="","",SUMIFS(Attendance!$AY$6:$AY$2405,Attendance!$B$6:$B$2405,$A254,Attendance!$A$6:$A$2405,"&gt;="&amp;DATE(LvYear,1,1),Attendance!$A$6:$A$2405,"&lt;="&amp;DATE(LvYear,12,31)))</f>
        <v/>
      </c>
      <c r="T254" s="16" t="str">
        <f aca="false">IF($A254="","",SUMIFS(Attendance!$AX$6:$AX$2405,Attendance!$B$6:$B$2405,$A254,Attendance!$A$6:$A$2405,"&gt;="&amp;DATE(LvYear,1,1),Attendance!$A$6:$A$2405,"&lt;="&amp;DATE(LvYear,12,31)))</f>
        <v/>
      </c>
      <c r="U254" s="16" t="str">
        <f aca="false">IF($A254="","",SUMIFS(Attendance!$AW$6:$AW$2405,Attendance!$B$6:$B$2405,$A254,Attendance!$A$6:$A$2405,"&gt;="&amp;DATE(LvYear,1,1),Attendance!$A$6:$A$2405,"&lt;="&amp;DATE(LvYear,12,31)))</f>
        <v/>
      </c>
      <c r="V254" s="16" t="str">
        <f aca="false">IF($A254="","",L254-R254)</f>
        <v/>
      </c>
      <c r="W254" s="16" t="str">
        <f aca="false">IF($A254="","",M254-S254)</f>
        <v/>
      </c>
      <c r="X254" s="16" t="str">
        <f aca="false">IF($A254="","",P254-T254)</f>
        <v/>
      </c>
      <c r="Y254" s="16" t="str">
        <f aca="false">IF($A254="","",Q254-U254)</f>
        <v/>
      </c>
      <c r="Z254" s="16" t="str">
        <f aca="false">IF($A254="","",V254+W254+X254)</f>
        <v/>
      </c>
      <c r="AA254" s="16" t="str">
        <f aca="false">IF($A254="","",O254+N(N254)-T254)</f>
        <v/>
      </c>
      <c r="AB254" s="8" t="str">
        <f aca="false">IF($A254="","","CL "&amp;V254&amp;" | SL "&amp;W254&amp;" | PL "&amp;X254&amp;" | TR "&amp;Y254)</f>
        <v/>
      </c>
      <c r="AC254" s="15" t="str">
        <f aca="false">IF($A254="","",IF(F254="Exited","EXITED",IF(AND(ISNUMBER(K254),K254=0),"NOT ELIGIBLE",IF(MIN(V254:X254)&lt;0,"OVER-USED",IF(Z254&lt;=Settings!$C$15,"LOW","OK")))))</f>
        <v/>
      </c>
      <c r="AD254" s="16" t="str">
        <f aca="false">IF(OR(AC254="OVER-USED",AC254="LOW"),COUNTIF(AC$6:AC254,"OVER-USED")+COUNTIF(AC$6:AC254,"LOW"),"")</f>
        <v/>
      </c>
    </row>
    <row r="255" customFormat="false" ht="15" hidden="false" customHeight="false" outlineLevel="0" collapsed="false">
      <c r="A255" s="8" t="str">
        <f aca="false">IF('Employee List'!B255="","",'Employee List'!B255)</f>
        <v/>
      </c>
      <c r="B255" s="8" t="str">
        <f aca="false">IF($A255="","",'Employee List'!C255)</f>
        <v/>
      </c>
      <c r="C255" s="8" t="str">
        <f aca="false">IF($A255="","",'Employee List'!E255&amp;"")</f>
        <v/>
      </c>
      <c r="D255" s="8" t="str">
        <f aca="false">IF($A255="","",'Employee List'!F255&amp;"")</f>
        <v/>
      </c>
      <c r="E255" s="8" t="str">
        <f aca="false">IF($A255="","",'Employee List'!G255&amp;"")</f>
        <v/>
      </c>
      <c r="F255" s="8" t="str">
        <f aca="false">IF($A255="","",'Employee List'!D255)</f>
        <v/>
      </c>
      <c r="G255" s="38" t="str">
        <f aca="false">IF($A255="","",IF('Employee List'!I255="","",'Employee List'!I255))</f>
        <v/>
      </c>
      <c r="H255" s="38" t="str">
        <f aca="false">IF(OR($A255="",G255=""),"",G255+Settings!$C$13)</f>
        <v/>
      </c>
      <c r="I255" s="38" t="str">
        <f aca="false">IF(H255="","",MAX(H255,DATE(LvYear,1,1)))</f>
        <v/>
      </c>
      <c r="J255" s="38" t="str">
        <f aca="false">IF($A255="","",IF('Employee List'!J255="",DATE(LvYear,12,31),MIN('Employee List'!J255,DATE(LvYear,12,31))))</f>
        <v/>
      </c>
      <c r="K255" s="39" t="str">
        <f aca="false">IF(OR(I255="",J255=""),"",MAX(0,J255-I255+1))</f>
        <v/>
      </c>
      <c r="L255" s="16" t="str">
        <f aca="false">IF($A255="","",IF(AND(ISNUMBER(K255),K255=0),0,Settings!$C$10))</f>
        <v/>
      </c>
      <c r="M255" s="16" t="str">
        <f aca="false">IF($A255="","",IF(AND(ISNUMBER(K255),K255=0),0,Settings!$C$11))</f>
        <v/>
      </c>
      <c r="N255" s="40"/>
      <c r="O255" s="16" t="str">
        <f aca="false">IF($A255="","",FLOOR(Settings!$C$12/365*N(K255),0.5))</f>
        <v/>
      </c>
      <c r="P255" s="16" t="str">
        <f aca="false">IF($A255="","",IF(I255="",N(N255),FLOOR(Settings!$C$12/365*MAX(0,MIN(LvAsOf,J255)-I255+1)+N(N255),0.5)))</f>
        <v/>
      </c>
      <c r="Q255" s="16" t="str">
        <f aca="false">IF($A255="","",Settings!$C$14)</f>
        <v/>
      </c>
      <c r="R255" s="16" t="str">
        <f aca="false">IF($A255="","",SUMIFS(Attendance!$AZ$6:$AZ$2405,Attendance!$B$6:$B$2405,$A255,Attendance!$A$6:$A$2405,"&gt;="&amp;DATE(LvYear,1,1),Attendance!$A$6:$A$2405,"&lt;="&amp;DATE(LvYear,12,31)))</f>
        <v/>
      </c>
      <c r="S255" s="16" t="str">
        <f aca="false">IF($A255="","",SUMIFS(Attendance!$AY$6:$AY$2405,Attendance!$B$6:$B$2405,$A255,Attendance!$A$6:$A$2405,"&gt;="&amp;DATE(LvYear,1,1),Attendance!$A$6:$A$2405,"&lt;="&amp;DATE(LvYear,12,31)))</f>
        <v/>
      </c>
      <c r="T255" s="16" t="str">
        <f aca="false">IF($A255="","",SUMIFS(Attendance!$AX$6:$AX$2405,Attendance!$B$6:$B$2405,$A255,Attendance!$A$6:$A$2405,"&gt;="&amp;DATE(LvYear,1,1),Attendance!$A$6:$A$2405,"&lt;="&amp;DATE(LvYear,12,31)))</f>
        <v/>
      </c>
      <c r="U255" s="16" t="str">
        <f aca="false">IF($A255="","",SUMIFS(Attendance!$AW$6:$AW$2405,Attendance!$B$6:$B$2405,$A255,Attendance!$A$6:$A$2405,"&gt;="&amp;DATE(LvYear,1,1),Attendance!$A$6:$A$2405,"&lt;="&amp;DATE(LvYear,12,31)))</f>
        <v/>
      </c>
      <c r="V255" s="16" t="str">
        <f aca="false">IF($A255="","",L255-R255)</f>
        <v/>
      </c>
      <c r="W255" s="16" t="str">
        <f aca="false">IF($A255="","",M255-S255)</f>
        <v/>
      </c>
      <c r="X255" s="16" t="str">
        <f aca="false">IF($A255="","",P255-T255)</f>
        <v/>
      </c>
      <c r="Y255" s="16" t="str">
        <f aca="false">IF($A255="","",Q255-U255)</f>
        <v/>
      </c>
      <c r="Z255" s="16" t="str">
        <f aca="false">IF($A255="","",V255+W255+X255)</f>
        <v/>
      </c>
      <c r="AA255" s="16" t="str">
        <f aca="false">IF($A255="","",O255+N(N255)-T255)</f>
        <v/>
      </c>
      <c r="AB255" s="8" t="str">
        <f aca="false">IF($A255="","","CL "&amp;V255&amp;" | SL "&amp;W255&amp;" | PL "&amp;X255&amp;" | TR "&amp;Y255)</f>
        <v/>
      </c>
      <c r="AC255" s="15" t="str">
        <f aca="false">IF($A255="","",IF(F255="Exited","EXITED",IF(AND(ISNUMBER(K255),K255=0),"NOT ELIGIBLE",IF(MIN(V255:X255)&lt;0,"OVER-USED",IF(Z255&lt;=Settings!$C$15,"LOW","OK")))))</f>
        <v/>
      </c>
      <c r="AD255" s="16" t="str">
        <f aca="false">IF(OR(AC255="OVER-USED",AC255="LOW"),COUNTIF(AC$6:AC255,"OVER-USED")+COUNTIF(AC$6:AC255,"LOW"),"")</f>
        <v/>
      </c>
    </row>
    <row r="256" customFormat="false" ht="15" hidden="false" customHeight="false" outlineLevel="0" collapsed="false">
      <c r="A256" s="8" t="str">
        <f aca="false">IF('Employee List'!B256="","",'Employee List'!B256)</f>
        <v/>
      </c>
      <c r="B256" s="8" t="str">
        <f aca="false">IF($A256="","",'Employee List'!C256)</f>
        <v/>
      </c>
      <c r="C256" s="8" t="str">
        <f aca="false">IF($A256="","",'Employee List'!E256&amp;"")</f>
        <v/>
      </c>
      <c r="D256" s="8" t="str">
        <f aca="false">IF($A256="","",'Employee List'!F256&amp;"")</f>
        <v/>
      </c>
      <c r="E256" s="8" t="str">
        <f aca="false">IF($A256="","",'Employee List'!G256&amp;"")</f>
        <v/>
      </c>
      <c r="F256" s="8" t="str">
        <f aca="false">IF($A256="","",'Employee List'!D256)</f>
        <v/>
      </c>
      <c r="G256" s="38" t="str">
        <f aca="false">IF($A256="","",IF('Employee List'!I256="","",'Employee List'!I256))</f>
        <v/>
      </c>
      <c r="H256" s="38" t="str">
        <f aca="false">IF(OR($A256="",G256=""),"",G256+Settings!$C$13)</f>
        <v/>
      </c>
      <c r="I256" s="38" t="str">
        <f aca="false">IF(H256="","",MAX(H256,DATE(LvYear,1,1)))</f>
        <v/>
      </c>
      <c r="J256" s="38" t="str">
        <f aca="false">IF($A256="","",IF('Employee List'!J256="",DATE(LvYear,12,31),MIN('Employee List'!J256,DATE(LvYear,12,31))))</f>
        <v/>
      </c>
      <c r="K256" s="39" t="str">
        <f aca="false">IF(OR(I256="",J256=""),"",MAX(0,J256-I256+1))</f>
        <v/>
      </c>
      <c r="L256" s="16" t="str">
        <f aca="false">IF($A256="","",IF(AND(ISNUMBER(K256),K256=0),0,Settings!$C$10))</f>
        <v/>
      </c>
      <c r="M256" s="16" t="str">
        <f aca="false">IF($A256="","",IF(AND(ISNUMBER(K256),K256=0),0,Settings!$C$11))</f>
        <v/>
      </c>
      <c r="N256" s="40"/>
      <c r="O256" s="16" t="str">
        <f aca="false">IF($A256="","",FLOOR(Settings!$C$12/365*N(K256),0.5))</f>
        <v/>
      </c>
      <c r="P256" s="16" t="str">
        <f aca="false">IF($A256="","",IF(I256="",N(N256),FLOOR(Settings!$C$12/365*MAX(0,MIN(LvAsOf,J256)-I256+1)+N(N256),0.5)))</f>
        <v/>
      </c>
      <c r="Q256" s="16" t="str">
        <f aca="false">IF($A256="","",Settings!$C$14)</f>
        <v/>
      </c>
      <c r="R256" s="16" t="str">
        <f aca="false">IF($A256="","",SUMIFS(Attendance!$AZ$6:$AZ$2405,Attendance!$B$6:$B$2405,$A256,Attendance!$A$6:$A$2405,"&gt;="&amp;DATE(LvYear,1,1),Attendance!$A$6:$A$2405,"&lt;="&amp;DATE(LvYear,12,31)))</f>
        <v/>
      </c>
      <c r="S256" s="16" t="str">
        <f aca="false">IF($A256="","",SUMIFS(Attendance!$AY$6:$AY$2405,Attendance!$B$6:$B$2405,$A256,Attendance!$A$6:$A$2405,"&gt;="&amp;DATE(LvYear,1,1),Attendance!$A$6:$A$2405,"&lt;="&amp;DATE(LvYear,12,31)))</f>
        <v/>
      </c>
      <c r="T256" s="16" t="str">
        <f aca="false">IF($A256="","",SUMIFS(Attendance!$AX$6:$AX$2405,Attendance!$B$6:$B$2405,$A256,Attendance!$A$6:$A$2405,"&gt;="&amp;DATE(LvYear,1,1),Attendance!$A$6:$A$2405,"&lt;="&amp;DATE(LvYear,12,31)))</f>
        <v/>
      </c>
      <c r="U256" s="16" t="str">
        <f aca="false">IF($A256="","",SUMIFS(Attendance!$AW$6:$AW$2405,Attendance!$B$6:$B$2405,$A256,Attendance!$A$6:$A$2405,"&gt;="&amp;DATE(LvYear,1,1),Attendance!$A$6:$A$2405,"&lt;="&amp;DATE(LvYear,12,31)))</f>
        <v/>
      </c>
      <c r="V256" s="16" t="str">
        <f aca="false">IF($A256="","",L256-R256)</f>
        <v/>
      </c>
      <c r="W256" s="16" t="str">
        <f aca="false">IF($A256="","",M256-S256)</f>
        <v/>
      </c>
      <c r="X256" s="16" t="str">
        <f aca="false">IF($A256="","",P256-T256)</f>
        <v/>
      </c>
      <c r="Y256" s="16" t="str">
        <f aca="false">IF($A256="","",Q256-U256)</f>
        <v/>
      </c>
      <c r="Z256" s="16" t="str">
        <f aca="false">IF($A256="","",V256+W256+X256)</f>
        <v/>
      </c>
      <c r="AA256" s="16" t="str">
        <f aca="false">IF($A256="","",O256+N(N256)-T256)</f>
        <v/>
      </c>
      <c r="AB256" s="8" t="str">
        <f aca="false">IF($A256="","","CL "&amp;V256&amp;" | SL "&amp;W256&amp;" | PL "&amp;X256&amp;" | TR "&amp;Y256)</f>
        <v/>
      </c>
      <c r="AC256" s="15" t="str">
        <f aca="false">IF($A256="","",IF(F256="Exited","EXITED",IF(AND(ISNUMBER(K256),K256=0),"NOT ELIGIBLE",IF(MIN(V256:X256)&lt;0,"OVER-USED",IF(Z256&lt;=Settings!$C$15,"LOW","OK")))))</f>
        <v/>
      </c>
      <c r="AD256" s="16" t="str">
        <f aca="false">IF(OR(AC256="OVER-USED",AC256="LOW"),COUNTIF(AC$6:AC256,"OVER-USED")+COUNTIF(AC$6:AC256,"LOW"),"")</f>
        <v/>
      </c>
    </row>
    <row r="257" customFormat="false" ht="15" hidden="false" customHeight="false" outlineLevel="0" collapsed="false">
      <c r="A257" s="8" t="str">
        <f aca="false">IF('Employee List'!B257="","",'Employee List'!B257)</f>
        <v/>
      </c>
      <c r="B257" s="8" t="str">
        <f aca="false">IF($A257="","",'Employee List'!C257)</f>
        <v/>
      </c>
      <c r="C257" s="8" t="str">
        <f aca="false">IF($A257="","",'Employee List'!E257&amp;"")</f>
        <v/>
      </c>
      <c r="D257" s="8" t="str">
        <f aca="false">IF($A257="","",'Employee List'!F257&amp;"")</f>
        <v/>
      </c>
      <c r="E257" s="8" t="str">
        <f aca="false">IF($A257="","",'Employee List'!G257&amp;"")</f>
        <v/>
      </c>
      <c r="F257" s="8" t="str">
        <f aca="false">IF($A257="","",'Employee List'!D257)</f>
        <v/>
      </c>
      <c r="G257" s="38" t="str">
        <f aca="false">IF($A257="","",IF('Employee List'!I257="","",'Employee List'!I257))</f>
        <v/>
      </c>
      <c r="H257" s="38" t="str">
        <f aca="false">IF(OR($A257="",G257=""),"",G257+Settings!$C$13)</f>
        <v/>
      </c>
      <c r="I257" s="38" t="str">
        <f aca="false">IF(H257="","",MAX(H257,DATE(LvYear,1,1)))</f>
        <v/>
      </c>
      <c r="J257" s="38" t="str">
        <f aca="false">IF($A257="","",IF('Employee List'!J257="",DATE(LvYear,12,31),MIN('Employee List'!J257,DATE(LvYear,12,31))))</f>
        <v/>
      </c>
      <c r="K257" s="39" t="str">
        <f aca="false">IF(OR(I257="",J257=""),"",MAX(0,J257-I257+1))</f>
        <v/>
      </c>
      <c r="L257" s="16" t="str">
        <f aca="false">IF($A257="","",IF(AND(ISNUMBER(K257),K257=0),0,Settings!$C$10))</f>
        <v/>
      </c>
      <c r="M257" s="16" t="str">
        <f aca="false">IF($A257="","",IF(AND(ISNUMBER(K257),K257=0),0,Settings!$C$11))</f>
        <v/>
      </c>
      <c r="N257" s="40"/>
      <c r="O257" s="16" t="str">
        <f aca="false">IF($A257="","",FLOOR(Settings!$C$12/365*N(K257),0.5))</f>
        <v/>
      </c>
      <c r="P257" s="16" t="str">
        <f aca="false">IF($A257="","",IF(I257="",N(N257),FLOOR(Settings!$C$12/365*MAX(0,MIN(LvAsOf,J257)-I257+1)+N(N257),0.5)))</f>
        <v/>
      </c>
      <c r="Q257" s="16" t="str">
        <f aca="false">IF($A257="","",Settings!$C$14)</f>
        <v/>
      </c>
      <c r="R257" s="16" t="str">
        <f aca="false">IF($A257="","",SUMIFS(Attendance!$AZ$6:$AZ$2405,Attendance!$B$6:$B$2405,$A257,Attendance!$A$6:$A$2405,"&gt;="&amp;DATE(LvYear,1,1),Attendance!$A$6:$A$2405,"&lt;="&amp;DATE(LvYear,12,31)))</f>
        <v/>
      </c>
      <c r="S257" s="16" t="str">
        <f aca="false">IF($A257="","",SUMIFS(Attendance!$AY$6:$AY$2405,Attendance!$B$6:$B$2405,$A257,Attendance!$A$6:$A$2405,"&gt;="&amp;DATE(LvYear,1,1),Attendance!$A$6:$A$2405,"&lt;="&amp;DATE(LvYear,12,31)))</f>
        <v/>
      </c>
      <c r="T257" s="16" t="str">
        <f aca="false">IF($A257="","",SUMIFS(Attendance!$AX$6:$AX$2405,Attendance!$B$6:$B$2405,$A257,Attendance!$A$6:$A$2405,"&gt;="&amp;DATE(LvYear,1,1),Attendance!$A$6:$A$2405,"&lt;="&amp;DATE(LvYear,12,31)))</f>
        <v/>
      </c>
      <c r="U257" s="16" t="str">
        <f aca="false">IF($A257="","",SUMIFS(Attendance!$AW$6:$AW$2405,Attendance!$B$6:$B$2405,$A257,Attendance!$A$6:$A$2405,"&gt;="&amp;DATE(LvYear,1,1),Attendance!$A$6:$A$2405,"&lt;="&amp;DATE(LvYear,12,31)))</f>
        <v/>
      </c>
      <c r="V257" s="16" t="str">
        <f aca="false">IF($A257="","",L257-R257)</f>
        <v/>
      </c>
      <c r="W257" s="16" t="str">
        <f aca="false">IF($A257="","",M257-S257)</f>
        <v/>
      </c>
      <c r="X257" s="16" t="str">
        <f aca="false">IF($A257="","",P257-T257)</f>
        <v/>
      </c>
      <c r="Y257" s="16" t="str">
        <f aca="false">IF($A257="","",Q257-U257)</f>
        <v/>
      </c>
      <c r="Z257" s="16" t="str">
        <f aca="false">IF($A257="","",V257+W257+X257)</f>
        <v/>
      </c>
      <c r="AA257" s="16" t="str">
        <f aca="false">IF($A257="","",O257+N(N257)-T257)</f>
        <v/>
      </c>
      <c r="AB257" s="8" t="str">
        <f aca="false">IF($A257="","","CL "&amp;V257&amp;" | SL "&amp;W257&amp;" | PL "&amp;X257&amp;" | TR "&amp;Y257)</f>
        <v/>
      </c>
      <c r="AC257" s="15" t="str">
        <f aca="false">IF($A257="","",IF(F257="Exited","EXITED",IF(AND(ISNUMBER(K257),K257=0),"NOT ELIGIBLE",IF(MIN(V257:X257)&lt;0,"OVER-USED",IF(Z257&lt;=Settings!$C$15,"LOW","OK")))))</f>
        <v/>
      </c>
      <c r="AD257" s="16" t="str">
        <f aca="false">IF(OR(AC257="OVER-USED",AC257="LOW"),COUNTIF(AC$6:AC257,"OVER-USED")+COUNTIF(AC$6:AC257,"LOW"),"")</f>
        <v/>
      </c>
    </row>
    <row r="258" customFormat="false" ht="15" hidden="false" customHeight="false" outlineLevel="0" collapsed="false">
      <c r="A258" s="8" t="str">
        <f aca="false">IF('Employee List'!B258="","",'Employee List'!B258)</f>
        <v/>
      </c>
      <c r="B258" s="8" t="str">
        <f aca="false">IF($A258="","",'Employee List'!C258)</f>
        <v/>
      </c>
      <c r="C258" s="8" t="str">
        <f aca="false">IF($A258="","",'Employee List'!E258&amp;"")</f>
        <v/>
      </c>
      <c r="D258" s="8" t="str">
        <f aca="false">IF($A258="","",'Employee List'!F258&amp;"")</f>
        <v/>
      </c>
      <c r="E258" s="8" t="str">
        <f aca="false">IF($A258="","",'Employee List'!G258&amp;"")</f>
        <v/>
      </c>
      <c r="F258" s="8" t="str">
        <f aca="false">IF($A258="","",'Employee List'!D258)</f>
        <v/>
      </c>
      <c r="G258" s="38" t="str">
        <f aca="false">IF($A258="","",IF('Employee List'!I258="","",'Employee List'!I258))</f>
        <v/>
      </c>
      <c r="H258" s="38" t="str">
        <f aca="false">IF(OR($A258="",G258=""),"",G258+Settings!$C$13)</f>
        <v/>
      </c>
      <c r="I258" s="38" t="str">
        <f aca="false">IF(H258="","",MAX(H258,DATE(LvYear,1,1)))</f>
        <v/>
      </c>
      <c r="J258" s="38" t="str">
        <f aca="false">IF($A258="","",IF('Employee List'!J258="",DATE(LvYear,12,31),MIN('Employee List'!J258,DATE(LvYear,12,31))))</f>
        <v/>
      </c>
      <c r="K258" s="39" t="str">
        <f aca="false">IF(OR(I258="",J258=""),"",MAX(0,J258-I258+1))</f>
        <v/>
      </c>
      <c r="L258" s="16" t="str">
        <f aca="false">IF($A258="","",IF(AND(ISNUMBER(K258),K258=0),0,Settings!$C$10))</f>
        <v/>
      </c>
      <c r="M258" s="16" t="str">
        <f aca="false">IF($A258="","",IF(AND(ISNUMBER(K258),K258=0),0,Settings!$C$11))</f>
        <v/>
      </c>
      <c r="N258" s="40"/>
      <c r="O258" s="16" t="str">
        <f aca="false">IF($A258="","",FLOOR(Settings!$C$12/365*N(K258),0.5))</f>
        <v/>
      </c>
      <c r="P258" s="16" t="str">
        <f aca="false">IF($A258="","",IF(I258="",N(N258),FLOOR(Settings!$C$12/365*MAX(0,MIN(LvAsOf,J258)-I258+1)+N(N258),0.5)))</f>
        <v/>
      </c>
      <c r="Q258" s="16" t="str">
        <f aca="false">IF($A258="","",Settings!$C$14)</f>
        <v/>
      </c>
      <c r="R258" s="16" t="str">
        <f aca="false">IF($A258="","",SUMIFS(Attendance!$AZ$6:$AZ$2405,Attendance!$B$6:$B$2405,$A258,Attendance!$A$6:$A$2405,"&gt;="&amp;DATE(LvYear,1,1),Attendance!$A$6:$A$2405,"&lt;="&amp;DATE(LvYear,12,31)))</f>
        <v/>
      </c>
      <c r="S258" s="16" t="str">
        <f aca="false">IF($A258="","",SUMIFS(Attendance!$AY$6:$AY$2405,Attendance!$B$6:$B$2405,$A258,Attendance!$A$6:$A$2405,"&gt;="&amp;DATE(LvYear,1,1),Attendance!$A$6:$A$2405,"&lt;="&amp;DATE(LvYear,12,31)))</f>
        <v/>
      </c>
      <c r="T258" s="16" t="str">
        <f aca="false">IF($A258="","",SUMIFS(Attendance!$AX$6:$AX$2405,Attendance!$B$6:$B$2405,$A258,Attendance!$A$6:$A$2405,"&gt;="&amp;DATE(LvYear,1,1),Attendance!$A$6:$A$2405,"&lt;="&amp;DATE(LvYear,12,31)))</f>
        <v/>
      </c>
      <c r="U258" s="16" t="str">
        <f aca="false">IF($A258="","",SUMIFS(Attendance!$AW$6:$AW$2405,Attendance!$B$6:$B$2405,$A258,Attendance!$A$6:$A$2405,"&gt;="&amp;DATE(LvYear,1,1),Attendance!$A$6:$A$2405,"&lt;="&amp;DATE(LvYear,12,31)))</f>
        <v/>
      </c>
      <c r="V258" s="16" t="str">
        <f aca="false">IF($A258="","",L258-R258)</f>
        <v/>
      </c>
      <c r="W258" s="16" t="str">
        <f aca="false">IF($A258="","",M258-S258)</f>
        <v/>
      </c>
      <c r="X258" s="16" t="str">
        <f aca="false">IF($A258="","",P258-T258)</f>
        <v/>
      </c>
      <c r="Y258" s="16" t="str">
        <f aca="false">IF($A258="","",Q258-U258)</f>
        <v/>
      </c>
      <c r="Z258" s="16" t="str">
        <f aca="false">IF($A258="","",V258+W258+X258)</f>
        <v/>
      </c>
      <c r="AA258" s="16" t="str">
        <f aca="false">IF($A258="","",O258+N(N258)-T258)</f>
        <v/>
      </c>
      <c r="AB258" s="8" t="str">
        <f aca="false">IF($A258="","","CL "&amp;V258&amp;" | SL "&amp;W258&amp;" | PL "&amp;X258&amp;" | TR "&amp;Y258)</f>
        <v/>
      </c>
      <c r="AC258" s="15" t="str">
        <f aca="false">IF($A258="","",IF(F258="Exited","EXITED",IF(AND(ISNUMBER(K258),K258=0),"NOT ELIGIBLE",IF(MIN(V258:X258)&lt;0,"OVER-USED",IF(Z258&lt;=Settings!$C$15,"LOW","OK")))))</f>
        <v/>
      </c>
      <c r="AD258" s="16" t="str">
        <f aca="false">IF(OR(AC258="OVER-USED",AC258="LOW"),COUNTIF(AC$6:AC258,"OVER-USED")+COUNTIF(AC$6:AC258,"LOW"),"")</f>
        <v/>
      </c>
    </row>
    <row r="259" customFormat="false" ht="15" hidden="false" customHeight="false" outlineLevel="0" collapsed="false">
      <c r="A259" s="8" t="str">
        <f aca="false">IF('Employee List'!B259="","",'Employee List'!B259)</f>
        <v/>
      </c>
      <c r="B259" s="8" t="str">
        <f aca="false">IF($A259="","",'Employee List'!C259)</f>
        <v/>
      </c>
      <c r="C259" s="8" t="str">
        <f aca="false">IF($A259="","",'Employee List'!E259&amp;"")</f>
        <v/>
      </c>
      <c r="D259" s="8" t="str">
        <f aca="false">IF($A259="","",'Employee List'!F259&amp;"")</f>
        <v/>
      </c>
      <c r="E259" s="8" t="str">
        <f aca="false">IF($A259="","",'Employee List'!G259&amp;"")</f>
        <v/>
      </c>
      <c r="F259" s="8" t="str">
        <f aca="false">IF($A259="","",'Employee List'!D259)</f>
        <v/>
      </c>
      <c r="G259" s="38" t="str">
        <f aca="false">IF($A259="","",IF('Employee List'!I259="","",'Employee List'!I259))</f>
        <v/>
      </c>
      <c r="H259" s="38" t="str">
        <f aca="false">IF(OR($A259="",G259=""),"",G259+Settings!$C$13)</f>
        <v/>
      </c>
      <c r="I259" s="38" t="str">
        <f aca="false">IF(H259="","",MAX(H259,DATE(LvYear,1,1)))</f>
        <v/>
      </c>
      <c r="J259" s="38" t="str">
        <f aca="false">IF($A259="","",IF('Employee List'!J259="",DATE(LvYear,12,31),MIN('Employee List'!J259,DATE(LvYear,12,31))))</f>
        <v/>
      </c>
      <c r="K259" s="39" t="str">
        <f aca="false">IF(OR(I259="",J259=""),"",MAX(0,J259-I259+1))</f>
        <v/>
      </c>
      <c r="L259" s="16" t="str">
        <f aca="false">IF($A259="","",IF(AND(ISNUMBER(K259),K259=0),0,Settings!$C$10))</f>
        <v/>
      </c>
      <c r="M259" s="16" t="str">
        <f aca="false">IF($A259="","",IF(AND(ISNUMBER(K259),K259=0),0,Settings!$C$11))</f>
        <v/>
      </c>
      <c r="N259" s="40"/>
      <c r="O259" s="16" t="str">
        <f aca="false">IF($A259="","",FLOOR(Settings!$C$12/365*N(K259),0.5))</f>
        <v/>
      </c>
      <c r="P259" s="16" t="str">
        <f aca="false">IF($A259="","",IF(I259="",N(N259),FLOOR(Settings!$C$12/365*MAX(0,MIN(LvAsOf,J259)-I259+1)+N(N259),0.5)))</f>
        <v/>
      </c>
      <c r="Q259" s="16" t="str">
        <f aca="false">IF($A259="","",Settings!$C$14)</f>
        <v/>
      </c>
      <c r="R259" s="16" t="str">
        <f aca="false">IF($A259="","",SUMIFS(Attendance!$AZ$6:$AZ$2405,Attendance!$B$6:$B$2405,$A259,Attendance!$A$6:$A$2405,"&gt;="&amp;DATE(LvYear,1,1),Attendance!$A$6:$A$2405,"&lt;="&amp;DATE(LvYear,12,31)))</f>
        <v/>
      </c>
      <c r="S259" s="16" t="str">
        <f aca="false">IF($A259="","",SUMIFS(Attendance!$AY$6:$AY$2405,Attendance!$B$6:$B$2405,$A259,Attendance!$A$6:$A$2405,"&gt;="&amp;DATE(LvYear,1,1),Attendance!$A$6:$A$2405,"&lt;="&amp;DATE(LvYear,12,31)))</f>
        <v/>
      </c>
      <c r="T259" s="16" t="str">
        <f aca="false">IF($A259="","",SUMIFS(Attendance!$AX$6:$AX$2405,Attendance!$B$6:$B$2405,$A259,Attendance!$A$6:$A$2405,"&gt;="&amp;DATE(LvYear,1,1),Attendance!$A$6:$A$2405,"&lt;="&amp;DATE(LvYear,12,31)))</f>
        <v/>
      </c>
      <c r="U259" s="16" t="str">
        <f aca="false">IF($A259="","",SUMIFS(Attendance!$AW$6:$AW$2405,Attendance!$B$6:$B$2405,$A259,Attendance!$A$6:$A$2405,"&gt;="&amp;DATE(LvYear,1,1),Attendance!$A$6:$A$2405,"&lt;="&amp;DATE(LvYear,12,31)))</f>
        <v/>
      </c>
      <c r="V259" s="16" t="str">
        <f aca="false">IF($A259="","",L259-R259)</f>
        <v/>
      </c>
      <c r="W259" s="16" t="str">
        <f aca="false">IF($A259="","",M259-S259)</f>
        <v/>
      </c>
      <c r="X259" s="16" t="str">
        <f aca="false">IF($A259="","",P259-T259)</f>
        <v/>
      </c>
      <c r="Y259" s="16" t="str">
        <f aca="false">IF($A259="","",Q259-U259)</f>
        <v/>
      </c>
      <c r="Z259" s="16" t="str">
        <f aca="false">IF($A259="","",V259+W259+X259)</f>
        <v/>
      </c>
      <c r="AA259" s="16" t="str">
        <f aca="false">IF($A259="","",O259+N(N259)-T259)</f>
        <v/>
      </c>
      <c r="AB259" s="8" t="str">
        <f aca="false">IF($A259="","","CL "&amp;V259&amp;" | SL "&amp;W259&amp;" | PL "&amp;X259&amp;" | TR "&amp;Y259)</f>
        <v/>
      </c>
      <c r="AC259" s="15" t="str">
        <f aca="false">IF($A259="","",IF(F259="Exited","EXITED",IF(AND(ISNUMBER(K259),K259=0),"NOT ELIGIBLE",IF(MIN(V259:X259)&lt;0,"OVER-USED",IF(Z259&lt;=Settings!$C$15,"LOW","OK")))))</f>
        <v/>
      </c>
      <c r="AD259" s="16" t="str">
        <f aca="false">IF(OR(AC259="OVER-USED",AC259="LOW"),COUNTIF(AC$6:AC259,"OVER-USED")+COUNTIF(AC$6:AC259,"LOW"),"")</f>
        <v/>
      </c>
    </row>
    <row r="260" customFormat="false" ht="15" hidden="false" customHeight="false" outlineLevel="0" collapsed="false">
      <c r="A260" s="8" t="str">
        <f aca="false">IF('Employee List'!B260="","",'Employee List'!B260)</f>
        <v/>
      </c>
      <c r="B260" s="8" t="str">
        <f aca="false">IF($A260="","",'Employee List'!C260)</f>
        <v/>
      </c>
      <c r="C260" s="8" t="str">
        <f aca="false">IF($A260="","",'Employee List'!E260&amp;"")</f>
        <v/>
      </c>
      <c r="D260" s="8" t="str">
        <f aca="false">IF($A260="","",'Employee List'!F260&amp;"")</f>
        <v/>
      </c>
      <c r="E260" s="8" t="str">
        <f aca="false">IF($A260="","",'Employee List'!G260&amp;"")</f>
        <v/>
      </c>
      <c r="F260" s="8" t="str">
        <f aca="false">IF($A260="","",'Employee List'!D260)</f>
        <v/>
      </c>
      <c r="G260" s="38" t="str">
        <f aca="false">IF($A260="","",IF('Employee List'!I260="","",'Employee List'!I260))</f>
        <v/>
      </c>
      <c r="H260" s="38" t="str">
        <f aca="false">IF(OR($A260="",G260=""),"",G260+Settings!$C$13)</f>
        <v/>
      </c>
      <c r="I260" s="38" t="str">
        <f aca="false">IF(H260="","",MAX(H260,DATE(LvYear,1,1)))</f>
        <v/>
      </c>
      <c r="J260" s="38" t="str">
        <f aca="false">IF($A260="","",IF('Employee List'!J260="",DATE(LvYear,12,31),MIN('Employee List'!J260,DATE(LvYear,12,31))))</f>
        <v/>
      </c>
      <c r="K260" s="39" t="str">
        <f aca="false">IF(OR(I260="",J260=""),"",MAX(0,J260-I260+1))</f>
        <v/>
      </c>
      <c r="L260" s="16" t="str">
        <f aca="false">IF($A260="","",IF(AND(ISNUMBER(K260),K260=0),0,Settings!$C$10))</f>
        <v/>
      </c>
      <c r="M260" s="16" t="str">
        <f aca="false">IF($A260="","",IF(AND(ISNUMBER(K260),K260=0),0,Settings!$C$11))</f>
        <v/>
      </c>
      <c r="N260" s="40"/>
      <c r="O260" s="16" t="str">
        <f aca="false">IF($A260="","",FLOOR(Settings!$C$12/365*N(K260),0.5))</f>
        <v/>
      </c>
      <c r="P260" s="16" t="str">
        <f aca="false">IF($A260="","",IF(I260="",N(N260),FLOOR(Settings!$C$12/365*MAX(0,MIN(LvAsOf,J260)-I260+1)+N(N260),0.5)))</f>
        <v/>
      </c>
      <c r="Q260" s="16" t="str">
        <f aca="false">IF($A260="","",Settings!$C$14)</f>
        <v/>
      </c>
      <c r="R260" s="16" t="str">
        <f aca="false">IF($A260="","",SUMIFS(Attendance!$AZ$6:$AZ$2405,Attendance!$B$6:$B$2405,$A260,Attendance!$A$6:$A$2405,"&gt;="&amp;DATE(LvYear,1,1),Attendance!$A$6:$A$2405,"&lt;="&amp;DATE(LvYear,12,31)))</f>
        <v/>
      </c>
      <c r="S260" s="16" t="str">
        <f aca="false">IF($A260="","",SUMIFS(Attendance!$AY$6:$AY$2405,Attendance!$B$6:$B$2405,$A260,Attendance!$A$6:$A$2405,"&gt;="&amp;DATE(LvYear,1,1),Attendance!$A$6:$A$2405,"&lt;="&amp;DATE(LvYear,12,31)))</f>
        <v/>
      </c>
      <c r="T260" s="16" t="str">
        <f aca="false">IF($A260="","",SUMIFS(Attendance!$AX$6:$AX$2405,Attendance!$B$6:$B$2405,$A260,Attendance!$A$6:$A$2405,"&gt;="&amp;DATE(LvYear,1,1),Attendance!$A$6:$A$2405,"&lt;="&amp;DATE(LvYear,12,31)))</f>
        <v/>
      </c>
      <c r="U260" s="16" t="str">
        <f aca="false">IF($A260="","",SUMIFS(Attendance!$AW$6:$AW$2405,Attendance!$B$6:$B$2405,$A260,Attendance!$A$6:$A$2405,"&gt;="&amp;DATE(LvYear,1,1),Attendance!$A$6:$A$2405,"&lt;="&amp;DATE(LvYear,12,31)))</f>
        <v/>
      </c>
      <c r="V260" s="16" t="str">
        <f aca="false">IF($A260="","",L260-R260)</f>
        <v/>
      </c>
      <c r="W260" s="16" t="str">
        <f aca="false">IF($A260="","",M260-S260)</f>
        <v/>
      </c>
      <c r="X260" s="16" t="str">
        <f aca="false">IF($A260="","",P260-T260)</f>
        <v/>
      </c>
      <c r="Y260" s="16" t="str">
        <f aca="false">IF($A260="","",Q260-U260)</f>
        <v/>
      </c>
      <c r="Z260" s="16" t="str">
        <f aca="false">IF($A260="","",V260+W260+X260)</f>
        <v/>
      </c>
      <c r="AA260" s="16" t="str">
        <f aca="false">IF($A260="","",O260+N(N260)-T260)</f>
        <v/>
      </c>
      <c r="AB260" s="8" t="str">
        <f aca="false">IF($A260="","","CL "&amp;V260&amp;" | SL "&amp;W260&amp;" | PL "&amp;X260&amp;" | TR "&amp;Y260)</f>
        <v/>
      </c>
      <c r="AC260" s="15" t="str">
        <f aca="false">IF($A260="","",IF(F260="Exited","EXITED",IF(AND(ISNUMBER(K260),K260=0),"NOT ELIGIBLE",IF(MIN(V260:X260)&lt;0,"OVER-USED",IF(Z260&lt;=Settings!$C$15,"LOW","OK")))))</f>
        <v/>
      </c>
      <c r="AD260" s="16" t="str">
        <f aca="false">IF(OR(AC260="OVER-USED",AC260="LOW"),COUNTIF(AC$6:AC260,"OVER-USED")+COUNTIF(AC$6:AC260,"LOW"),"")</f>
        <v/>
      </c>
    </row>
    <row r="261" customFormat="false" ht="15" hidden="false" customHeight="false" outlineLevel="0" collapsed="false">
      <c r="A261" s="8" t="str">
        <f aca="false">IF('Employee List'!B261="","",'Employee List'!B261)</f>
        <v/>
      </c>
      <c r="B261" s="8" t="str">
        <f aca="false">IF($A261="","",'Employee List'!C261)</f>
        <v/>
      </c>
      <c r="C261" s="8" t="str">
        <f aca="false">IF($A261="","",'Employee List'!E261&amp;"")</f>
        <v/>
      </c>
      <c r="D261" s="8" t="str">
        <f aca="false">IF($A261="","",'Employee List'!F261&amp;"")</f>
        <v/>
      </c>
      <c r="E261" s="8" t="str">
        <f aca="false">IF($A261="","",'Employee List'!G261&amp;"")</f>
        <v/>
      </c>
      <c r="F261" s="8" t="str">
        <f aca="false">IF($A261="","",'Employee List'!D261)</f>
        <v/>
      </c>
      <c r="G261" s="38" t="str">
        <f aca="false">IF($A261="","",IF('Employee List'!I261="","",'Employee List'!I261))</f>
        <v/>
      </c>
      <c r="H261" s="38" t="str">
        <f aca="false">IF(OR($A261="",G261=""),"",G261+Settings!$C$13)</f>
        <v/>
      </c>
      <c r="I261" s="38" t="str">
        <f aca="false">IF(H261="","",MAX(H261,DATE(LvYear,1,1)))</f>
        <v/>
      </c>
      <c r="J261" s="38" t="str">
        <f aca="false">IF($A261="","",IF('Employee List'!J261="",DATE(LvYear,12,31),MIN('Employee List'!J261,DATE(LvYear,12,31))))</f>
        <v/>
      </c>
      <c r="K261" s="39" t="str">
        <f aca="false">IF(OR(I261="",J261=""),"",MAX(0,J261-I261+1))</f>
        <v/>
      </c>
      <c r="L261" s="16" t="str">
        <f aca="false">IF($A261="","",IF(AND(ISNUMBER(K261),K261=0),0,Settings!$C$10))</f>
        <v/>
      </c>
      <c r="M261" s="16" t="str">
        <f aca="false">IF($A261="","",IF(AND(ISNUMBER(K261),K261=0),0,Settings!$C$11))</f>
        <v/>
      </c>
      <c r="N261" s="40"/>
      <c r="O261" s="16" t="str">
        <f aca="false">IF($A261="","",FLOOR(Settings!$C$12/365*N(K261),0.5))</f>
        <v/>
      </c>
      <c r="P261" s="16" t="str">
        <f aca="false">IF($A261="","",IF(I261="",N(N261),FLOOR(Settings!$C$12/365*MAX(0,MIN(LvAsOf,J261)-I261+1)+N(N261),0.5)))</f>
        <v/>
      </c>
      <c r="Q261" s="16" t="str">
        <f aca="false">IF($A261="","",Settings!$C$14)</f>
        <v/>
      </c>
      <c r="R261" s="16" t="str">
        <f aca="false">IF($A261="","",SUMIFS(Attendance!$AZ$6:$AZ$2405,Attendance!$B$6:$B$2405,$A261,Attendance!$A$6:$A$2405,"&gt;="&amp;DATE(LvYear,1,1),Attendance!$A$6:$A$2405,"&lt;="&amp;DATE(LvYear,12,31)))</f>
        <v/>
      </c>
      <c r="S261" s="16" t="str">
        <f aca="false">IF($A261="","",SUMIFS(Attendance!$AY$6:$AY$2405,Attendance!$B$6:$B$2405,$A261,Attendance!$A$6:$A$2405,"&gt;="&amp;DATE(LvYear,1,1),Attendance!$A$6:$A$2405,"&lt;="&amp;DATE(LvYear,12,31)))</f>
        <v/>
      </c>
      <c r="T261" s="16" t="str">
        <f aca="false">IF($A261="","",SUMIFS(Attendance!$AX$6:$AX$2405,Attendance!$B$6:$B$2405,$A261,Attendance!$A$6:$A$2405,"&gt;="&amp;DATE(LvYear,1,1),Attendance!$A$6:$A$2405,"&lt;="&amp;DATE(LvYear,12,31)))</f>
        <v/>
      </c>
      <c r="U261" s="16" t="str">
        <f aca="false">IF($A261="","",SUMIFS(Attendance!$AW$6:$AW$2405,Attendance!$B$6:$B$2405,$A261,Attendance!$A$6:$A$2405,"&gt;="&amp;DATE(LvYear,1,1),Attendance!$A$6:$A$2405,"&lt;="&amp;DATE(LvYear,12,31)))</f>
        <v/>
      </c>
      <c r="V261" s="16" t="str">
        <f aca="false">IF($A261="","",L261-R261)</f>
        <v/>
      </c>
      <c r="W261" s="16" t="str">
        <f aca="false">IF($A261="","",M261-S261)</f>
        <v/>
      </c>
      <c r="X261" s="16" t="str">
        <f aca="false">IF($A261="","",P261-T261)</f>
        <v/>
      </c>
      <c r="Y261" s="16" t="str">
        <f aca="false">IF($A261="","",Q261-U261)</f>
        <v/>
      </c>
      <c r="Z261" s="16" t="str">
        <f aca="false">IF($A261="","",V261+W261+X261)</f>
        <v/>
      </c>
      <c r="AA261" s="16" t="str">
        <f aca="false">IF($A261="","",O261+N(N261)-T261)</f>
        <v/>
      </c>
      <c r="AB261" s="8" t="str">
        <f aca="false">IF($A261="","","CL "&amp;V261&amp;" | SL "&amp;W261&amp;" | PL "&amp;X261&amp;" | TR "&amp;Y261)</f>
        <v/>
      </c>
      <c r="AC261" s="15" t="str">
        <f aca="false">IF($A261="","",IF(F261="Exited","EXITED",IF(AND(ISNUMBER(K261),K261=0),"NOT ELIGIBLE",IF(MIN(V261:X261)&lt;0,"OVER-USED",IF(Z261&lt;=Settings!$C$15,"LOW","OK")))))</f>
        <v/>
      </c>
      <c r="AD261" s="16" t="str">
        <f aca="false">IF(OR(AC261="OVER-USED",AC261="LOW"),COUNTIF(AC$6:AC261,"OVER-USED")+COUNTIF(AC$6:AC261,"LOW"),"")</f>
        <v/>
      </c>
    </row>
    <row r="262" customFormat="false" ht="15" hidden="false" customHeight="false" outlineLevel="0" collapsed="false">
      <c r="A262" s="8" t="str">
        <f aca="false">IF('Employee List'!B262="","",'Employee List'!B262)</f>
        <v/>
      </c>
      <c r="B262" s="8" t="str">
        <f aca="false">IF($A262="","",'Employee List'!C262)</f>
        <v/>
      </c>
      <c r="C262" s="8" t="str">
        <f aca="false">IF($A262="","",'Employee List'!E262&amp;"")</f>
        <v/>
      </c>
      <c r="D262" s="8" t="str">
        <f aca="false">IF($A262="","",'Employee List'!F262&amp;"")</f>
        <v/>
      </c>
      <c r="E262" s="8" t="str">
        <f aca="false">IF($A262="","",'Employee List'!G262&amp;"")</f>
        <v/>
      </c>
      <c r="F262" s="8" t="str">
        <f aca="false">IF($A262="","",'Employee List'!D262)</f>
        <v/>
      </c>
      <c r="G262" s="38" t="str">
        <f aca="false">IF($A262="","",IF('Employee List'!I262="","",'Employee List'!I262))</f>
        <v/>
      </c>
      <c r="H262" s="38" t="str">
        <f aca="false">IF(OR($A262="",G262=""),"",G262+Settings!$C$13)</f>
        <v/>
      </c>
      <c r="I262" s="38" t="str">
        <f aca="false">IF(H262="","",MAX(H262,DATE(LvYear,1,1)))</f>
        <v/>
      </c>
      <c r="J262" s="38" t="str">
        <f aca="false">IF($A262="","",IF('Employee List'!J262="",DATE(LvYear,12,31),MIN('Employee List'!J262,DATE(LvYear,12,31))))</f>
        <v/>
      </c>
      <c r="K262" s="39" t="str">
        <f aca="false">IF(OR(I262="",J262=""),"",MAX(0,J262-I262+1))</f>
        <v/>
      </c>
      <c r="L262" s="16" t="str">
        <f aca="false">IF($A262="","",IF(AND(ISNUMBER(K262),K262=0),0,Settings!$C$10))</f>
        <v/>
      </c>
      <c r="M262" s="16" t="str">
        <f aca="false">IF($A262="","",IF(AND(ISNUMBER(K262),K262=0),0,Settings!$C$11))</f>
        <v/>
      </c>
      <c r="N262" s="40"/>
      <c r="O262" s="16" t="str">
        <f aca="false">IF($A262="","",FLOOR(Settings!$C$12/365*N(K262),0.5))</f>
        <v/>
      </c>
      <c r="P262" s="16" t="str">
        <f aca="false">IF($A262="","",IF(I262="",N(N262),FLOOR(Settings!$C$12/365*MAX(0,MIN(LvAsOf,J262)-I262+1)+N(N262),0.5)))</f>
        <v/>
      </c>
      <c r="Q262" s="16" t="str">
        <f aca="false">IF($A262="","",Settings!$C$14)</f>
        <v/>
      </c>
      <c r="R262" s="16" t="str">
        <f aca="false">IF($A262="","",SUMIFS(Attendance!$AZ$6:$AZ$2405,Attendance!$B$6:$B$2405,$A262,Attendance!$A$6:$A$2405,"&gt;="&amp;DATE(LvYear,1,1),Attendance!$A$6:$A$2405,"&lt;="&amp;DATE(LvYear,12,31)))</f>
        <v/>
      </c>
      <c r="S262" s="16" t="str">
        <f aca="false">IF($A262="","",SUMIFS(Attendance!$AY$6:$AY$2405,Attendance!$B$6:$B$2405,$A262,Attendance!$A$6:$A$2405,"&gt;="&amp;DATE(LvYear,1,1),Attendance!$A$6:$A$2405,"&lt;="&amp;DATE(LvYear,12,31)))</f>
        <v/>
      </c>
      <c r="T262" s="16" t="str">
        <f aca="false">IF($A262="","",SUMIFS(Attendance!$AX$6:$AX$2405,Attendance!$B$6:$B$2405,$A262,Attendance!$A$6:$A$2405,"&gt;="&amp;DATE(LvYear,1,1),Attendance!$A$6:$A$2405,"&lt;="&amp;DATE(LvYear,12,31)))</f>
        <v/>
      </c>
      <c r="U262" s="16" t="str">
        <f aca="false">IF($A262="","",SUMIFS(Attendance!$AW$6:$AW$2405,Attendance!$B$6:$B$2405,$A262,Attendance!$A$6:$A$2405,"&gt;="&amp;DATE(LvYear,1,1),Attendance!$A$6:$A$2405,"&lt;="&amp;DATE(LvYear,12,31)))</f>
        <v/>
      </c>
      <c r="V262" s="16" t="str">
        <f aca="false">IF($A262="","",L262-R262)</f>
        <v/>
      </c>
      <c r="W262" s="16" t="str">
        <f aca="false">IF($A262="","",M262-S262)</f>
        <v/>
      </c>
      <c r="X262" s="16" t="str">
        <f aca="false">IF($A262="","",P262-T262)</f>
        <v/>
      </c>
      <c r="Y262" s="16" t="str">
        <f aca="false">IF($A262="","",Q262-U262)</f>
        <v/>
      </c>
      <c r="Z262" s="16" t="str">
        <f aca="false">IF($A262="","",V262+W262+X262)</f>
        <v/>
      </c>
      <c r="AA262" s="16" t="str">
        <f aca="false">IF($A262="","",O262+N(N262)-T262)</f>
        <v/>
      </c>
      <c r="AB262" s="8" t="str">
        <f aca="false">IF($A262="","","CL "&amp;V262&amp;" | SL "&amp;W262&amp;" | PL "&amp;X262&amp;" | TR "&amp;Y262)</f>
        <v/>
      </c>
      <c r="AC262" s="15" t="str">
        <f aca="false">IF($A262="","",IF(F262="Exited","EXITED",IF(AND(ISNUMBER(K262),K262=0),"NOT ELIGIBLE",IF(MIN(V262:X262)&lt;0,"OVER-USED",IF(Z262&lt;=Settings!$C$15,"LOW","OK")))))</f>
        <v/>
      </c>
      <c r="AD262" s="16" t="str">
        <f aca="false">IF(OR(AC262="OVER-USED",AC262="LOW"),COUNTIF(AC$6:AC262,"OVER-USED")+COUNTIF(AC$6:AC262,"LOW"),"")</f>
        <v/>
      </c>
    </row>
    <row r="263" customFormat="false" ht="15" hidden="false" customHeight="false" outlineLevel="0" collapsed="false">
      <c r="A263" s="8" t="str">
        <f aca="false">IF('Employee List'!B263="","",'Employee List'!B263)</f>
        <v/>
      </c>
      <c r="B263" s="8" t="str">
        <f aca="false">IF($A263="","",'Employee List'!C263)</f>
        <v/>
      </c>
      <c r="C263" s="8" t="str">
        <f aca="false">IF($A263="","",'Employee List'!E263&amp;"")</f>
        <v/>
      </c>
      <c r="D263" s="8" t="str">
        <f aca="false">IF($A263="","",'Employee List'!F263&amp;"")</f>
        <v/>
      </c>
      <c r="E263" s="8" t="str">
        <f aca="false">IF($A263="","",'Employee List'!G263&amp;"")</f>
        <v/>
      </c>
      <c r="F263" s="8" t="str">
        <f aca="false">IF($A263="","",'Employee List'!D263)</f>
        <v/>
      </c>
      <c r="G263" s="38" t="str">
        <f aca="false">IF($A263="","",IF('Employee List'!I263="","",'Employee List'!I263))</f>
        <v/>
      </c>
      <c r="H263" s="38" t="str">
        <f aca="false">IF(OR($A263="",G263=""),"",G263+Settings!$C$13)</f>
        <v/>
      </c>
      <c r="I263" s="38" t="str">
        <f aca="false">IF(H263="","",MAX(H263,DATE(LvYear,1,1)))</f>
        <v/>
      </c>
      <c r="J263" s="38" t="str">
        <f aca="false">IF($A263="","",IF('Employee List'!J263="",DATE(LvYear,12,31),MIN('Employee List'!J263,DATE(LvYear,12,31))))</f>
        <v/>
      </c>
      <c r="K263" s="39" t="str">
        <f aca="false">IF(OR(I263="",J263=""),"",MAX(0,J263-I263+1))</f>
        <v/>
      </c>
      <c r="L263" s="16" t="str">
        <f aca="false">IF($A263="","",IF(AND(ISNUMBER(K263),K263=0),0,Settings!$C$10))</f>
        <v/>
      </c>
      <c r="M263" s="16" t="str">
        <f aca="false">IF($A263="","",IF(AND(ISNUMBER(K263),K263=0),0,Settings!$C$11))</f>
        <v/>
      </c>
      <c r="N263" s="40"/>
      <c r="O263" s="16" t="str">
        <f aca="false">IF($A263="","",FLOOR(Settings!$C$12/365*N(K263),0.5))</f>
        <v/>
      </c>
      <c r="P263" s="16" t="str">
        <f aca="false">IF($A263="","",IF(I263="",N(N263),FLOOR(Settings!$C$12/365*MAX(0,MIN(LvAsOf,J263)-I263+1)+N(N263),0.5)))</f>
        <v/>
      </c>
      <c r="Q263" s="16" t="str">
        <f aca="false">IF($A263="","",Settings!$C$14)</f>
        <v/>
      </c>
      <c r="R263" s="16" t="str">
        <f aca="false">IF($A263="","",SUMIFS(Attendance!$AZ$6:$AZ$2405,Attendance!$B$6:$B$2405,$A263,Attendance!$A$6:$A$2405,"&gt;="&amp;DATE(LvYear,1,1),Attendance!$A$6:$A$2405,"&lt;="&amp;DATE(LvYear,12,31)))</f>
        <v/>
      </c>
      <c r="S263" s="16" t="str">
        <f aca="false">IF($A263="","",SUMIFS(Attendance!$AY$6:$AY$2405,Attendance!$B$6:$B$2405,$A263,Attendance!$A$6:$A$2405,"&gt;="&amp;DATE(LvYear,1,1),Attendance!$A$6:$A$2405,"&lt;="&amp;DATE(LvYear,12,31)))</f>
        <v/>
      </c>
      <c r="T263" s="16" t="str">
        <f aca="false">IF($A263="","",SUMIFS(Attendance!$AX$6:$AX$2405,Attendance!$B$6:$B$2405,$A263,Attendance!$A$6:$A$2405,"&gt;="&amp;DATE(LvYear,1,1),Attendance!$A$6:$A$2405,"&lt;="&amp;DATE(LvYear,12,31)))</f>
        <v/>
      </c>
      <c r="U263" s="16" t="str">
        <f aca="false">IF($A263="","",SUMIFS(Attendance!$AW$6:$AW$2405,Attendance!$B$6:$B$2405,$A263,Attendance!$A$6:$A$2405,"&gt;="&amp;DATE(LvYear,1,1),Attendance!$A$6:$A$2405,"&lt;="&amp;DATE(LvYear,12,31)))</f>
        <v/>
      </c>
      <c r="V263" s="16" t="str">
        <f aca="false">IF($A263="","",L263-R263)</f>
        <v/>
      </c>
      <c r="W263" s="16" t="str">
        <f aca="false">IF($A263="","",M263-S263)</f>
        <v/>
      </c>
      <c r="X263" s="16" t="str">
        <f aca="false">IF($A263="","",P263-T263)</f>
        <v/>
      </c>
      <c r="Y263" s="16" t="str">
        <f aca="false">IF($A263="","",Q263-U263)</f>
        <v/>
      </c>
      <c r="Z263" s="16" t="str">
        <f aca="false">IF($A263="","",V263+W263+X263)</f>
        <v/>
      </c>
      <c r="AA263" s="16" t="str">
        <f aca="false">IF($A263="","",O263+N(N263)-T263)</f>
        <v/>
      </c>
      <c r="AB263" s="8" t="str">
        <f aca="false">IF($A263="","","CL "&amp;V263&amp;" | SL "&amp;W263&amp;" | PL "&amp;X263&amp;" | TR "&amp;Y263)</f>
        <v/>
      </c>
      <c r="AC263" s="15" t="str">
        <f aca="false">IF($A263="","",IF(F263="Exited","EXITED",IF(AND(ISNUMBER(K263),K263=0),"NOT ELIGIBLE",IF(MIN(V263:X263)&lt;0,"OVER-USED",IF(Z263&lt;=Settings!$C$15,"LOW","OK")))))</f>
        <v/>
      </c>
      <c r="AD263" s="16" t="str">
        <f aca="false">IF(OR(AC263="OVER-USED",AC263="LOW"),COUNTIF(AC$6:AC263,"OVER-USED")+COUNTIF(AC$6:AC263,"LOW"),"")</f>
        <v/>
      </c>
    </row>
    <row r="264" customFormat="false" ht="15" hidden="false" customHeight="false" outlineLevel="0" collapsed="false">
      <c r="A264" s="8" t="str">
        <f aca="false">IF('Employee List'!B264="","",'Employee List'!B264)</f>
        <v/>
      </c>
      <c r="B264" s="8" t="str">
        <f aca="false">IF($A264="","",'Employee List'!C264)</f>
        <v/>
      </c>
      <c r="C264" s="8" t="str">
        <f aca="false">IF($A264="","",'Employee List'!E264&amp;"")</f>
        <v/>
      </c>
      <c r="D264" s="8" t="str">
        <f aca="false">IF($A264="","",'Employee List'!F264&amp;"")</f>
        <v/>
      </c>
      <c r="E264" s="8" t="str">
        <f aca="false">IF($A264="","",'Employee List'!G264&amp;"")</f>
        <v/>
      </c>
      <c r="F264" s="8" t="str">
        <f aca="false">IF($A264="","",'Employee List'!D264)</f>
        <v/>
      </c>
      <c r="G264" s="38" t="str">
        <f aca="false">IF($A264="","",IF('Employee List'!I264="","",'Employee List'!I264))</f>
        <v/>
      </c>
      <c r="H264" s="38" t="str">
        <f aca="false">IF(OR($A264="",G264=""),"",G264+Settings!$C$13)</f>
        <v/>
      </c>
      <c r="I264" s="38" t="str">
        <f aca="false">IF(H264="","",MAX(H264,DATE(LvYear,1,1)))</f>
        <v/>
      </c>
      <c r="J264" s="38" t="str">
        <f aca="false">IF($A264="","",IF('Employee List'!J264="",DATE(LvYear,12,31),MIN('Employee List'!J264,DATE(LvYear,12,31))))</f>
        <v/>
      </c>
      <c r="K264" s="39" t="str">
        <f aca="false">IF(OR(I264="",J264=""),"",MAX(0,J264-I264+1))</f>
        <v/>
      </c>
      <c r="L264" s="16" t="str">
        <f aca="false">IF($A264="","",IF(AND(ISNUMBER(K264),K264=0),0,Settings!$C$10))</f>
        <v/>
      </c>
      <c r="M264" s="16" t="str">
        <f aca="false">IF($A264="","",IF(AND(ISNUMBER(K264),K264=0),0,Settings!$C$11))</f>
        <v/>
      </c>
      <c r="N264" s="40"/>
      <c r="O264" s="16" t="str">
        <f aca="false">IF($A264="","",FLOOR(Settings!$C$12/365*N(K264),0.5))</f>
        <v/>
      </c>
      <c r="P264" s="16" t="str">
        <f aca="false">IF($A264="","",IF(I264="",N(N264),FLOOR(Settings!$C$12/365*MAX(0,MIN(LvAsOf,J264)-I264+1)+N(N264),0.5)))</f>
        <v/>
      </c>
      <c r="Q264" s="16" t="str">
        <f aca="false">IF($A264="","",Settings!$C$14)</f>
        <v/>
      </c>
      <c r="R264" s="16" t="str">
        <f aca="false">IF($A264="","",SUMIFS(Attendance!$AZ$6:$AZ$2405,Attendance!$B$6:$B$2405,$A264,Attendance!$A$6:$A$2405,"&gt;="&amp;DATE(LvYear,1,1),Attendance!$A$6:$A$2405,"&lt;="&amp;DATE(LvYear,12,31)))</f>
        <v/>
      </c>
      <c r="S264" s="16" t="str">
        <f aca="false">IF($A264="","",SUMIFS(Attendance!$AY$6:$AY$2405,Attendance!$B$6:$B$2405,$A264,Attendance!$A$6:$A$2405,"&gt;="&amp;DATE(LvYear,1,1),Attendance!$A$6:$A$2405,"&lt;="&amp;DATE(LvYear,12,31)))</f>
        <v/>
      </c>
      <c r="T264" s="16" t="str">
        <f aca="false">IF($A264="","",SUMIFS(Attendance!$AX$6:$AX$2405,Attendance!$B$6:$B$2405,$A264,Attendance!$A$6:$A$2405,"&gt;="&amp;DATE(LvYear,1,1),Attendance!$A$6:$A$2405,"&lt;="&amp;DATE(LvYear,12,31)))</f>
        <v/>
      </c>
      <c r="U264" s="16" t="str">
        <f aca="false">IF($A264="","",SUMIFS(Attendance!$AW$6:$AW$2405,Attendance!$B$6:$B$2405,$A264,Attendance!$A$6:$A$2405,"&gt;="&amp;DATE(LvYear,1,1),Attendance!$A$6:$A$2405,"&lt;="&amp;DATE(LvYear,12,31)))</f>
        <v/>
      </c>
      <c r="V264" s="16" t="str">
        <f aca="false">IF($A264="","",L264-R264)</f>
        <v/>
      </c>
      <c r="W264" s="16" t="str">
        <f aca="false">IF($A264="","",M264-S264)</f>
        <v/>
      </c>
      <c r="X264" s="16" t="str">
        <f aca="false">IF($A264="","",P264-T264)</f>
        <v/>
      </c>
      <c r="Y264" s="16" t="str">
        <f aca="false">IF($A264="","",Q264-U264)</f>
        <v/>
      </c>
      <c r="Z264" s="16" t="str">
        <f aca="false">IF($A264="","",V264+W264+X264)</f>
        <v/>
      </c>
      <c r="AA264" s="16" t="str">
        <f aca="false">IF($A264="","",O264+N(N264)-T264)</f>
        <v/>
      </c>
      <c r="AB264" s="8" t="str">
        <f aca="false">IF($A264="","","CL "&amp;V264&amp;" | SL "&amp;W264&amp;" | PL "&amp;X264&amp;" | TR "&amp;Y264)</f>
        <v/>
      </c>
      <c r="AC264" s="15" t="str">
        <f aca="false">IF($A264="","",IF(F264="Exited","EXITED",IF(AND(ISNUMBER(K264),K264=0),"NOT ELIGIBLE",IF(MIN(V264:X264)&lt;0,"OVER-USED",IF(Z264&lt;=Settings!$C$15,"LOW","OK")))))</f>
        <v/>
      </c>
      <c r="AD264" s="16" t="str">
        <f aca="false">IF(OR(AC264="OVER-USED",AC264="LOW"),COUNTIF(AC$6:AC264,"OVER-USED")+COUNTIF(AC$6:AC264,"LOW"),"")</f>
        <v/>
      </c>
    </row>
    <row r="265" customFormat="false" ht="15" hidden="false" customHeight="false" outlineLevel="0" collapsed="false">
      <c r="A265" s="8" t="str">
        <f aca="false">IF('Employee List'!B265="","",'Employee List'!B265)</f>
        <v/>
      </c>
      <c r="B265" s="8" t="str">
        <f aca="false">IF($A265="","",'Employee List'!C265)</f>
        <v/>
      </c>
      <c r="C265" s="8" t="str">
        <f aca="false">IF($A265="","",'Employee List'!E265&amp;"")</f>
        <v/>
      </c>
      <c r="D265" s="8" t="str">
        <f aca="false">IF($A265="","",'Employee List'!F265&amp;"")</f>
        <v/>
      </c>
      <c r="E265" s="8" t="str">
        <f aca="false">IF($A265="","",'Employee List'!G265&amp;"")</f>
        <v/>
      </c>
      <c r="F265" s="8" t="str">
        <f aca="false">IF($A265="","",'Employee List'!D265)</f>
        <v/>
      </c>
      <c r="G265" s="38" t="str">
        <f aca="false">IF($A265="","",IF('Employee List'!I265="","",'Employee List'!I265))</f>
        <v/>
      </c>
      <c r="H265" s="38" t="str">
        <f aca="false">IF(OR($A265="",G265=""),"",G265+Settings!$C$13)</f>
        <v/>
      </c>
      <c r="I265" s="38" t="str">
        <f aca="false">IF(H265="","",MAX(H265,DATE(LvYear,1,1)))</f>
        <v/>
      </c>
      <c r="J265" s="38" t="str">
        <f aca="false">IF($A265="","",IF('Employee List'!J265="",DATE(LvYear,12,31),MIN('Employee List'!J265,DATE(LvYear,12,31))))</f>
        <v/>
      </c>
      <c r="K265" s="39" t="str">
        <f aca="false">IF(OR(I265="",J265=""),"",MAX(0,J265-I265+1))</f>
        <v/>
      </c>
      <c r="L265" s="16" t="str">
        <f aca="false">IF($A265="","",IF(AND(ISNUMBER(K265),K265=0),0,Settings!$C$10))</f>
        <v/>
      </c>
      <c r="M265" s="16" t="str">
        <f aca="false">IF($A265="","",IF(AND(ISNUMBER(K265),K265=0),0,Settings!$C$11))</f>
        <v/>
      </c>
      <c r="N265" s="40"/>
      <c r="O265" s="16" t="str">
        <f aca="false">IF($A265="","",FLOOR(Settings!$C$12/365*N(K265),0.5))</f>
        <v/>
      </c>
      <c r="P265" s="16" t="str">
        <f aca="false">IF($A265="","",IF(I265="",N(N265),FLOOR(Settings!$C$12/365*MAX(0,MIN(LvAsOf,J265)-I265+1)+N(N265),0.5)))</f>
        <v/>
      </c>
      <c r="Q265" s="16" t="str">
        <f aca="false">IF($A265="","",Settings!$C$14)</f>
        <v/>
      </c>
      <c r="R265" s="16" t="str">
        <f aca="false">IF($A265="","",SUMIFS(Attendance!$AZ$6:$AZ$2405,Attendance!$B$6:$B$2405,$A265,Attendance!$A$6:$A$2405,"&gt;="&amp;DATE(LvYear,1,1),Attendance!$A$6:$A$2405,"&lt;="&amp;DATE(LvYear,12,31)))</f>
        <v/>
      </c>
      <c r="S265" s="16" t="str">
        <f aca="false">IF($A265="","",SUMIFS(Attendance!$AY$6:$AY$2405,Attendance!$B$6:$B$2405,$A265,Attendance!$A$6:$A$2405,"&gt;="&amp;DATE(LvYear,1,1),Attendance!$A$6:$A$2405,"&lt;="&amp;DATE(LvYear,12,31)))</f>
        <v/>
      </c>
      <c r="T265" s="16" t="str">
        <f aca="false">IF($A265="","",SUMIFS(Attendance!$AX$6:$AX$2405,Attendance!$B$6:$B$2405,$A265,Attendance!$A$6:$A$2405,"&gt;="&amp;DATE(LvYear,1,1),Attendance!$A$6:$A$2405,"&lt;="&amp;DATE(LvYear,12,31)))</f>
        <v/>
      </c>
      <c r="U265" s="16" t="str">
        <f aca="false">IF($A265="","",SUMIFS(Attendance!$AW$6:$AW$2405,Attendance!$B$6:$B$2405,$A265,Attendance!$A$6:$A$2405,"&gt;="&amp;DATE(LvYear,1,1),Attendance!$A$6:$A$2405,"&lt;="&amp;DATE(LvYear,12,31)))</f>
        <v/>
      </c>
      <c r="V265" s="16" t="str">
        <f aca="false">IF($A265="","",L265-R265)</f>
        <v/>
      </c>
      <c r="W265" s="16" t="str">
        <f aca="false">IF($A265="","",M265-S265)</f>
        <v/>
      </c>
      <c r="X265" s="16" t="str">
        <f aca="false">IF($A265="","",P265-T265)</f>
        <v/>
      </c>
      <c r="Y265" s="16" t="str">
        <f aca="false">IF($A265="","",Q265-U265)</f>
        <v/>
      </c>
      <c r="Z265" s="16" t="str">
        <f aca="false">IF($A265="","",V265+W265+X265)</f>
        <v/>
      </c>
      <c r="AA265" s="16" t="str">
        <f aca="false">IF($A265="","",O265+N(N265)-T265)</f>
        <v/>
      </c>
      <c r="AB265" s="8" t="str">
        <f aca="false">IF($A265="","","CL "&amp;V265&amp;" | SL "&amp;W265&amp;" | PL "&amp;X265&amp;" | TR "&amp;Y265)</f>
        <v/>
      </c>
      <c r="AC265" s="15" t="str">
        <f aca="false">IF($A265="","",IF(F265="Exited","EXITED",IF(AND(ISNUMBER(K265),K265=0),"NOT ELIGIBLE",IF(MIN(V265:X265)&lt;0,"OVER-USED",IF(Z265&lt;=Settings!$C$15,"LOW","OK")))))</f>
        <v/>
      </c>
      <c r="AD265" s="16" t="str">
        <f aca="false">IF(OR(AC265="OVER-USED",AC265="LOW"),COUNTIF(AC$6:AC265,"OVER-USED")+COUNTIF(AC$6:AC265,"LOW"),"")</f>
        <v/>
      </c>
    </row>
    <row r="266" customFormat="false" ht="15" hidden="false" customHeight="false" outlineLevel="0" collapsed="false">
      <c r="A266" s="8" t="str">
        <f aca="false">IF('Employee List'!B266="","",'Employee List'!B266)</f>
        <v/>
      </c>
      <c r="B266" s="8" t="str">
        <f aca="false">IF($A266="","",'Employee List'!C266)</f>
        <v/>
      </c>
      <c r="C266" s="8" t="str">
        <f aca="false">IF($A266="","",'Employee List'!E266&amp;"")</f>
        <v/>
      </c>
      <c r="D266" s="8" t="str">
        <f aca="false">IF($A266="","",'Employee List'!F266&amp;"")</f>
        <v/>
      </c>
      <c r="E266" s="8" t="str">
        <f aca="false">IF($A266="","",'Employee List'!G266&amp;"")</f>
        <v/>
      </c>
      <c r="F266" s="8" t="str">
        <f aca="false">IF($A266="","",'Employee List'!D266)</f>
        <v/>
      </c>
      <c r="G266" s="38" t="str">
        <f aca="false">IF($A266="","",IF('Employee List'!I266="","",'Employee List'!I266))</f>
        <v/>
      </c>
      <c r="H266" s="38" t="str">
        <f aca="false">IF(OR($A266="",G266=""),"",G266+Settings!$C$13)</f>
        <v/>
      </c>
      <c r="I266" s="38" t="str">
        <f aca="false">IF(H266="","",MAX(H266,DATE(LvYear,1,1)))</f>
        <v/>
      </c>
      <c r="J266" s="38" t="str">
        <f aca="false">IF($A266="","",IF('Employee List'!J266="",DATE(LvYear,12,31),MIN('Employee List'!J266,DATE(LvYear,12,31))))</f>
        <v/>
      </c>
      <c r="K266" s="39" t="str">
        <f aca="false">IF(OR(I266="",J266=""),"",MAX(0,J266-I266+1))</f>
        <v/>
      </c>
      <c r="L266" s="16" t="str">
        <f aca="false">IF($A266="","",IF(AND(ISNUMBER(K266),K266=0),0,Settings!$C$10))</f>
        <v/>
      </c>
      <c r="M266" s="16" t="str">
        <f aca="false">IF($A266="","",IF(AND(ISNUMBER(K266),K266=0),0,Settings!$C$11))</f>
        <v/>
      </c>
      <c r="N266" s="40"/>
      <c r="O266" s="16" t="str">
        <f aca="false">IF($A266="","",FLOOR(Settings!$C$12/365*N(K266),0.5))</f>
        <v/>
      </c>
      <c r="P266" s="16" t="str">
        <f aca="false">IF($A266="","",IF(I266="",N(N266),FLOOR(Settings!$C$12/365*MAX(0,MIN(LvAsOf,J266)-I266+1)+N(N266),0.5)))</f>
        <v/>
      </c>
      <c r="Q266" s="16" t="str">
        <f aca="false">IF($A266="","",Settings!$C$14)</f>
        <v/>
      </c>
      <c r="R266" s="16" t="str">
        <f aca="false">IF($A266="","",SUMIFS(Attendance!$AZ$6:$AZ$2405,Attendance!$B$6:$B$2405,$A266,Attendance!$A$6:$A$2405,"&gt;="&amp;DATE(LvYear,1,1),Attendance!$A$6:$A$2405,"&lt;="&amp;DATE(LvYear,12,31)))</f>
        <v/>
      </c>
      <c r="S266" s="16" t="str">
        <f aca="false">IF($A266="","",SUMIFS(Attendance!$AY$6:$AY$2405,Attendance!$B$6:$B$2405,$A266,Attendance!$A$6:$A$2405,"&gt;="&amp;DATE(LvYear,1,1),Attendance!$A$6:$A$2405,"&lt;="&amp;DATE(LvYear,12,31)))</f>
        <v/>
      </c>
      <c r="T266" s="16" t="str">
        <f aca="false">IF($A266="","",SUMIFS(Attendance!$AX$6:$AX$2405,Attendance!$B$6:$B$2405,$A266,Attendance!$A$6:$A$2405,"&gt;="&amp;DATE(LvYear,1,1),Attendance!$A$6:$A$2405,"&lt;="&amp;DATE(LvYear,12,31)))</f>
        <v/>
      </c>
      <c r="U266" s="16" t="str">
        <f aca="false">IF($A266="","",SUMIFS(Attendance!$AW$6:$AW$2405,Attendance!$B$6:$B$2405,$A266,Attendance!$A$6:$A$2405,"&gt;="&amp;DATE(LvYear,1,1),Attendance!$A$6:$A$2405,"&lt;="&amp;DATE(LvYear,12,31)))</f>
        <v/>
      </c>
      <c r="V266" s="16" t="str">
        <f aca="false">IF($A266="","",L266-R266)</f>
        <v/>
      </c>
      <c r="W266" s="16" t="str">
        <f aca="false">IF($A266="","",M266-S266)</f>
        <v/>
      </c>
      <c r="X266" s="16" t="str">
        <f aca="false">IF($A266="","",P266-T266)</f>
        <v/>
      </c>
      <c r="Y266" s="16" t="str">
        <f aca="false">IF($A266="","",Q266-U266)</f>
        <v/>
      </c>
      <c r="Z266" s="16" t="str">
        <f aca="false">IF($A266="","",V266+W266+X266)</f>
        <v/>
      </c>
      <c r="AA266" s="16" t="str">
        <f aca="false">IF($A266="","",O266+N(N266)-T266)</f>
        <v/>
      </c>
      <c r="AB266" s="8" t="str">
        <f aca="false">IF($A266="","","CL "&amp;V266&amp;" | SL "&amp;W266&amp;" | PL "&amp;X266&amp;" | TR "&amp;Y266)</f>
        <v/>
      </c>
      <c r="AC266" s="15" t="str">
        <f aca="false">IF($A266="","",IF(F266="Exited","EXITED",IF(AND(ISNUMBER(K266),K266=0),"NOT ELIGIBLE",IF(MIN(V266:X266)&lt;0,"OVER-USED",IF(Z266&lt;=Settings!$C$15,"LOW","OK")))))</f>
        <v/>
      </c>
      <c r="AD266" s="16" t="str">
        <f aca="false">IF(OR(AC266="OVER-USED",AC266="LOW"),COUNTIF(AC$6:AC266,"OVER-USED")+COUNTIF(AC$6:AC266,"LOW"),"")</f>
        <v/>
      </c>
    </row>
    <row r="267" customFormat="false" ht="15" hidden="false" customHeight="false" outlineLevel="0" collapsed="false">
      <c r="A267" s="8" t="str">
        <f aca="false">IF('Employee List'!B267="","",'Employee List'!B267)</f>
        <v/>
      </c>
      <c r="B267" s="8" t="str">
        <f aca="false">IF($A267="","",'Employee List'!C267)</f>
        <v/>
      </c>
      <c r="C267" s="8" t="str">
        <f aca="false">IF($A267="","",'Employee List'!E267&amp;"")</f>
        <v/>
      </c>
      <c r="D267" s="8" t="str">
        <f aca="false">IF($A267="","",'Employee List'!F267&amp;"")</f>
        <v/>
      </c>
      <c r="E267" s="8" t="str">
        <f aca="false">IF($A267="","",'Employee List'!G267&amp;"")</f>
        <v/>
      </c>
      <c r="F267" s="8" t="str">
        <f aca="false">IF($A267="","",'Employee List'!D267)</f>
        <v/>
      </c>
      <c r="G267" s="38" t="str">
        <f aca="false">IF($A267="","",IF('Employee List'!I267="","",'Employee List'!I267))</f>
        <v/>
      </c>
      <c r="H267" s="38" t="str">
        <f aca="false">IF(OR($A267="",G267=""),"",G267+Settings!$C$13)</f>
        <v/>
      </c>
      <c r="I267" s="38" t="str">
        <f aca="false">IF(H267="","",MAX(H267,DATE(LvYear,1,1)))</f>
        <v/>
      </c>
      <c r="J267" s="38" t="str">
        <f aca="false">IF($A267="","",IF('Employee List'!J267="",DATE(LvYear,12,31),MIN('Employee List'!J267,DATE(LvYear,12,31))))</f>
        <v/>
      </c>
      <c r="K267" s="39" t="str">
        <f aca="false">IF(OR(I267="",J267=""),"",MAX(0,J267-I267+1))</f>
        <v/>
      </c>
      <c r="L267" s="16" t="str">
        <f aca="false">IF($A267="","",IF(AND(ISNUMBER(K267),K267=0),0,Settings!$C$10))</f>
        <v/>
      </c>
      <c r="M267" s="16" t="str">
        <f aca="false">IF($A267="","",IF(AND(ISNUMBER(K267),K267=0),0,Settings!$C$11))</f>
        <v/>
      </c>
      <c r="N267" s="40"/>
      <c r="O267" s="16" t="str">
        <f aca="false">IF($A267="","",FLOOR(Settings!$C$12/365*N(K267),0.5))</f>
        <v/>
      </c>
      <c r="P267" s="16" t="str">
        <f aca="false">IF($A267="","",IF(I267="",N(N267),FLOOR(Settings!$C$12/365*MAX(0,MIN(LvAsOf,J267)-I267+1)+N(N267),0.5)))</f>
        <v/>
      </c>
      <c r="Q267" s="16" t="str">
        <f aca="false">IF($A267="","",Settings!$C$14)</f>
        <v/>
      </c>
      <c r="R267" s="16" t="str">
        <f aca="false">IF($A267="","",SUMIFS(Attendance!$AZ$6:$AZ$2405,Attendance!$B$6:$B$2405,$A267,Attendance!$A$6:$A$2405,"&gt;="&amp;DATE(LvYear,1,1),Attendance!$A$6:$A$2405,"&lt;="&amp;DATE(LvYear,12,31)))</f>
        <v/>
      </c>
      <c r="S267" s="16" t="str">
        <f aca="false">IF($A267="","",SUMIFS(Attendance!$AY$6:$AY$2405,Attendance!$B$6:$B$2405,$A267,Attendance!$A$6:$A$2405,"&gt;="&amp;DATE(LvYear,1,1),Attendance!$A$6:$A$2405,"&lt;="&amp;DATE(LvYear,12,31)))</f>
        <v/>
      </c>
      <c r="T267" s="16" t="str">
        <f aca="false">IF($A267="","",SUMIFS(Attendance!$AX$6:$AX$2405,Attendance!$B$6:$B$2405,$A267,Attendance!$A$6:$A$2405,"&gt;="&amp;DATE(LvYear,1,1),Attendance!$A$6:$A$2405,"&lt;="&amp;DATE(LvYear,12,31)))</f>
        <v/>
      </c>
      <c r="U267" s="16" t="str">
        <f aca="false">IF($A267="","",SUMIFS(Attendance!$AW$6:$AW$2405,Attendance!$B$6:$B$2405,$A267,Attendance!$A$6:$A$2405,"&gt;="&amp;DATE(LvYear,1,1),Attendance!$A$6:$A$2405,"&lt;="&amp;DATE(LvYear,12,31)))</f>
        <v/>
      </c>
      <c r="V267" s="16" t="str">
        <f aca="false">IF($A267="","",L267-R267)</f>
        <v/>
      </c>
      <c r="W267" s="16" t="str">
        <f aca="false">IF($A267="","",M267-S267)</f>
        <v/>
      </c>
      <c r="X267" s="16" t="str">
        <f aca="false">IF($A267="","",P267-T267)</f>
        <v/>
      </c>
      <c r="Y267" s="16" t="str">
        <f aca="false">IF($A267="","",Q267-U267)</f>
        <v/>
      </c>
      <c r="Z267" s="16" t="str">
        <f aca="false">IF($A267="","",V267+W267+X267)</f>
        <v/>
      </c>
      <c r="AA267" s="16" t="str">
        <f aca="false">IF($A267="","",O267+N(N267)-T267)</f>
        <v/>
      </c>
      <c r="AB267" s="8" t="str">
        <f aca="false">IF($A267="","","CL "&amp;V267&amp;" | SL "&amp;W267&amp;" | PL "&amp;X267&amp;" | TR "&amp;Y267)</f>
        <v/>
      </c>
      <c r="AC267" s="15" t="str">
        <f aca="false">IF($A267="","",IF(F267="Exited","EXITED",IF(AND(ISNUMBER(K267),K267=0),"NOT ELIGIBLE",IF(MIN(V267:X267)&lt;0,"OVER-USED",IF(Z267&lt;=Settings!$C$15,"LOW","OK")))))</f>
        <v/>
      </c>
      <c r="AD267" s="16" t="str">
        <f aca="false">IF(OR(AC267="OVER-USED",AC267="LOW"),COUNTIF(AC$6:AC267,"OVER-USED")+COUNTIF(AC$6:AC267,"LOW"),"")</f>
        <v/>
      </c>
    </row>
    <row r="268" customFormat="false" ht="15" hidden="false" customHeight="false" outlineLevel="0" collapsed="false">
      <c r="A268" s="8" t="str">
        <f aca="false">IF('Employee List'!B268="","",'Employee List'!B268)</f>
        <v/>
      </c>
      <c r="B268" s="8" t="str">
        <f aca="false">IF($A268="","",'Employee List'!C268)</f>
        <v/>
      </c>
      <c r="C268" s="8" t="str">
        <f aca="false">IF($A268="","",'Employee List'!E268&amp;"")</f>
        <v/>
      </c>
      <c r="D268" s="8" t="str">
        <f aca="false">IF($A268="","",'Employee List'!F268&amp;"")</f>
        <v/>
      </c>
      <c r="E268" s="8" t="str">
        <f aca="false">IF($A268="","",'Employee List'!G268&amp;"")</f>
        <v/>
      </c>
      <c r="F268" s="8" t="str">
        <f aca="false">IF($A268="","",'Employee List'!D268)</f>
        <v/>
      </c>
      <c r="G268" s="38" t="str">
        <f aca="false">IF($A268="","",IF('Employee List'!I268="","",'Employee List'!I268))</f>
        <v/>
      </c>
      <c r="H268" s="38" t="str">
        <f aca="false">IF(OR($A268="",G268=""),"",G268+Settings!$C$13)</f>
        <v/>
      </c>
      <c r="I268" s="38" t="str">
        <f aca="false">IF(H268="","",MAX(H268,DATE(LvYear,1,1)))</f>
        <v/>
      </c>
      <c r="J268" s="38" t="str">
        <f aca="false">IF($A268="","",IF('Employee List'!J268="",DATE(LvYear,12,31),MIN('Employee List'!J268,DATE(LvYear,12,31))))</f>
        <v/>
      </c>
      <c r="K268" s="39" t="str">
        <f aca="false">IF(OR(I268="",J268=""),"",MAX(0,J268-I268+1))</f>
        <v/>
      </c>
      <c r="L268" s="16" t="str">
        <f aca="false">IF($A268="","",IF(AND(ISNUMBER(K268),K268=0),0,Settings!$C$10))</f>
        <v/>
      </c>
      <c r="M268" s="16" t="str">
        <f aca="false">IF($A268="","",IF(AND(ISNUMBER(K268),K268=0),0,Settings!$C$11))</f>
        <v/>
      </c>
      <c r="N268" s="40"/>
      <c r="O268" s="16" t="str">
        <f aca="false">IF($A268="","",FLOOR(Settings!$C$12/365*N(K268),0.5))</f>
        <v/>
      </c>
      <c r="P268" s="16" t="str">
        <f aca="false">IF($A268="","",IF(I268="",N(N268),FLOOR(Settings!$C$12/365*MAX(0,MIN(LvAsOf,J268)-I268+1)+N(N268),0.5)))</f>
        <v/>
      </c>
      <c r="Q268" s="16" t="str">
        <f aca="false">IF($A268="","",Settings!$C$14)</f>
        <v/>
      </c>
      <c r="R268" s="16" t="str">
        <f aca="false">IF($A268="","",SUMIFS(Attendance!$AZ$6:$AZ$2405,Attendance!$B$6:$B$2405,$A268,Attendance!$A$6:$A$2405,"&gt;="&amp;DATE(LvYear,1,1),Attendance!$A$6:$A$2405,"&lt;="&amp;DATE(LvYear,12,31)))</f>
        <v/>
      </c>
      <c r="S268" s="16" t="str">
        <f aca="false">IF($A268="","",SUMIFS(Attendance!$AY$6:$AY$2405,Attendance!$B$6:$B$2405,$A268,Attendance!$A$6:$A$2405,"&gt;="&amp;DATE(LvYear,1,1),Attendance!$A$6:$A$2405,"&lt;="&amp;DATE(LvYear,12,31)))</f>
        <v/>
      </c>
      <c r="T268" s="16" t="str">
        <f aca="false">IF($A268="","",SUMIFS(Attendance!$AX$6:$AX$2405,Attendance!$B$6:$B$2405,$A268,Attendance!$A$6:$A$2405,"&gt;="&amp;DATE(LvYear,1,1),Attendance!$A$6:$A$2405,"&lt;="&amp;DATE(LvYear,12,31)))</f>
        <v/>
      </c>
      <c r="U268" s="16" t="str">
        <f aca="false">IF($A268="","",SUMIFS(Attendance!$AW$6:$AW$2405,Attendance!$B$6:$B$2405,$A268,Attendance!$A$6:$A$2405,"&gt;="&amp;DATE(LvYear,1,1),Attendance!$A$6:$A$2405,"&lt;="&amp;DATE(LvYear,12,31)))</f>
        <v/>
      </c>
      <c r="V268" s="16" t="str">
        <f aca="false">IF($A268="","",L268-R268)</f>
        <v/>
      </c>
      <c r="W268" s="16" t="str">
        <f aca="false">IF($A268="","",M268-S268)</f>
        <v/>
      </c>
      <c r="X268" s="16" t="str">
        <f aca="false">IF($A268="","",P268-T268)</f>
        <v/>
      </c>
      <c r="Y268" s="16" t="str">
        <f aca="false">IF($A268="","",Q268-U268)</f>
        <v/>
      </c>
      <c r="Z268" s="16" t="str">
        <f aca="false">IF($A268="","",V268+W268+X268)</f>
        <v/>
      </c>
      <c r="AA268" s="16" t="str">
        <f aca="false">IF($A268="","",O268+N(N268)-T268)</f>
        <v/>
      </c>
      <c r="AB268" s="8" t="str">
        <f aca="false">IF($A268="","","CL "&amp;V268&amp;" | SL "&amp;W268&amp;" | PL "&amp;X268&amp;" | TR "&amp;Y268)</f>
        <v/>
      </c>
      <c r="AC268" s="15" t="str">
        <f aca="false">IF($A268="","",IF(F268="Exited","EXITED",IF(AND(ISNUMBER(K268),K268=0),"NOT ELIGIBLE",IF(MIN(V268:X268)&lt;0,"OVER-USED",IF(Z268&lt;=Settings!$C$15,"LOW","OK")))))</f>
        <v/>
      </c>
      <c r="AD268" s="16" t="str">
        <f aca="false">IF(OR(AC268="OVER-USED",AC268="LOW"),COUNTIF(AC$6:AC268,"OVER-USED")+COUNTIF(AC$6:AC268,"LOW"),"")</f>
        <v/>
      </c>
    </row>
    <row r="269" customFormat="false" ht="15" hidden="false" customHeight="false" outlineLevel="0" collapsed="false">
      <c r="A269" s="8" t="str">
        <f aca="false">IF('Employee List'!B269="","",'Employee List'!B269)</f>
        <v/>
      </c>
      <c r="B269" s="8" t="str">
        <f aca="false">IF($A269="","",'Employee List'!C269)</f>
        <v/>
      </c>
      <c r="C269" s="8" t="str">
        <f aca="false">IF($A269="","",'Employee List'!E269&amp;"")</f>
        <v/>
      </c>
      <c r="D269" s="8" t="str">
        <f aca="false">IF($A269="","",'Employee List'!F269&amp;"")</f>
        <v/>
      </c>
      <c r="E269" s="8" t="str">
        <f aca="false">IF($A269="","",'Employee List'!G269&amp;"")</f>
        <v/>
      </c>
      <c r="F269" s="8" t="str">
        <f aca="false">IF($A269="","",'Employee List'!D269)</f>
        <v/>
      </c>
      <c r="G269" s="38" t="str">
        <f aca="false">IF($A269="","",IF('Employee List'!I269="","",'Employee List'!I269))</f>
        <v/>
      </c>
      <c r="H269" s="38" t="str">
        <f aca="false">IF(OR($A269="",G269=""),"",G269+Settings!$C$13)</f>
        <v/>
      </c>
      <c r="I269" s="38" t="str">
        <f aca="false">IF(H269="","",MAX(H269,DATE(LvYear,1,1)))</f>
        <v/>
      </c>
      <c r="J269" s="38" t="str">
        <f aca="false">IF($A269="","",IF('Employee List'!J269="",DATE(LvYear,12,31),MIN('Employee List'!J269,DATE(LvYear,12,31))))</f>
        <v/>
      </c>
      <c r="K269" s="39" t="str">
        <f aca="false">IF(OR(I269="",J269=""),"",MAX(0,J269-I269+1))</f>
        <v/>
      </c>
      <c r="L269" s="16" t="str">
        <f aca="false">IF($A269="","",IF(AND(ISNUMBER(K269),K269=0),0,Settings!$C$10))</f>
        <v/>
      </c>
      <c r="M269" s="16" t="str">
        <f aca="false">IF($A269="","",IF(AND(ISNUMBER(K269),K269=0),0,Settings!$C$11))</f>
        <v/>
      </c>
      <c r="N269" s="40"/>
      <c r="O269" s="16" t="str">
        <f aca="false">IF($A269="","",FLOOR(Settings!$C$12/365*N(K269),0.5))</f>
        <v/>
      </c>
      <c r="P269" s="16" t="str">
        <f aca="false">IF($A269="","",IF(I269="",N(N269),FLOOR(Settings!$C$12/365*MAX(0,MIN(LvAsOf,J269)-I269+1)+N(N269),0.5)))</f>
        <v/>
      </c>
      <c r="Q269" s="16" t="str">
        <f aca="false">IF($A269="","",Settings!$C$14)</f>
        <v/>
      </c>
      <c r="R269" s="16" t="str">
        <f aca="false">IF($A269="","",SUMIFS(Attendance!$AZ$6:$AZ$2405,Attendance!$B$6:$B$2405,$A269,Attendance!$A$6:$A$2405,"&gt;="&amp;DATE(LvYear,1,1),Attendance!$A$6:$A$2405,"&lt;="&amp;DATE(LvYear,12,31)))</f>
        <v/>
      </c>
      <c r="S269" s="16" t="str">
        <f aca="false">IF($A269="","",SUMIFS(Attendance!$AY$6:$AY$2405,Attendance!$B$6:$B$2405,$A269,Attendance!$A$6:$A$2405,"&gt;="&amp;DATE(LvYear,1,1),Attendance!$A$6:$A$2405,"&lt;="&amp;DATE(LvYear,12,31)))</f>
        <v/>
      </c>
      <c r="T269" s="16" t="str">
        <f aca="false">IF($A269="","",SUMIFS(Attendance!$AX$6:$AX$2405,Attendance!$B$6:$B$2405,$A269,Attendance!$A$6:$A$2405,"&gt;="&amp;DATE(LvYear,1,1),Attendance!$A$6:$A$2405,"&lt;="&amp;DATE(LvYear,12,31)))</f>
        <v/>
      </c>
      <c r="U269" s="16" t="str">
        <f aca="false">IF($A269="","",SUMIFS(Attendance!$AW$6:$AW$2405,Attendance!$B$6:$B$2405,$A269,Attendance!$A$6:$A$2405,"&gt;="&amp;DATE(LvYear,1,1),Attendance!$A$6:$A$2405,"&lt;="&amp;DATE(LvYear,12,31)))</f>
        <v/>
      </c>
      <c r="V269" s="16" t="str">
        <f aca="false">IF($A269="","",L269-R269)</f>
        <v/>
      </c>
      <c r="W269" s="16" t="str">
        <f aca="false">IF($A269="","",M269-S269)</f>
        <v/>
      </c>
      <c r="X269" s="16" t="str">
        <f aca="false">IF($A269="","",P269-T269)</f>
        <v/>
      </c>
      <c r="Y269" s="16" t="str">
        <f aca="false">IF($A269="","",Q269-U269)</f>
        <v/>
      </c>
      <c r="Z269" s="16" t="str">
        <f aca="false">IF($A269="","",V269+W269+X269)</f>
        <v/>
      </c>
      <c r="AA269" s="16" t="str">
        <f aca="false">IF($A269="","",O269+N(N269)-T269)</f>
        <v/>
      </c>
      <c r="AB269" s="8" t="str">
        <f aca="false">IF($A269="","","CL "&amp;V269&amp;" | SL "&amp;W269&amp;" | PL "&amp;X269&amp;" | TR "&amp;Y269)</f>
        <v/>
      </c>
      <c r="AC269" s="15" t="str">
        <f aca="false">IF($A269="","",IF(F269="Exited","EXITED",IF(AND(ISNUMBER(K269),K269=0),"NOT ELIGIBLE",IF(MIN(V269:X269)&lt;0,"OVER-USED",IF(Z269&lt;=Settings!$C$15,"LOW","OK")))))</f>
        <v/>
      </c>
      <c r="AD269" s="16" t="str">
        <f aca="false">IF(OR(AC269="OVER-USED",AC269="LOW"),COUNTIF(AC$6:AC269,"OVER-USED")+COUNTIF(AC$6:AC269,"LOW"),"")</f>
        <v/>
      </c>
    </row>
    <row r="270" customFormat="false" ht="15" hidden="false" customHeight="false" outlineLevel="0" collapsed="false">
      <c r="A270" s="8" t="str">
        <f aca="false">IF('Employee List'!B270="","",'Employee List'!B270)</f>
        <v/>
      </c>
      <c r="B270" s="8" t="str">
        <f aca="false">IF($A270="","",'Employee List'!C270)</f>
        <v/>
      </c>
      <c r="C270" s="8" t="str">
        <f aca="false">IF($A270="","",'Employee List'!E270&amp;"")</f>
        <v/>
      </c>
      <c r="D270" s="8" t="str">
        <f aca="false">IF($A270="","",'Employee List'!F270&amp;"")</f>
        <v/>
      </c>
      <c r="E270" s="8" t="str">
        <f aca="false">IF($A270="","",'Employee List'!G270&amp;"")</f>
        <v/>
      </c>
      <c r="F270" s="8" t="str">
        <f aca="false">IF($A270="","",'Employee List'!D270)</f>
        <v/>
      </c>
      <c r="G270" s="38" t="str">
        <f aca="false">IF($A270="","",IF('Employee List'!I270="","",'Employee List'!I270))</f>
        <v/>
      </c>
      <c r="H270" s="38" t="str">
        <f aca="false">IF(OR($A270="",G270=""),"",G270+Settings!$C$13)</f>
        <v/>
      </c>
      <c r="I270" s="38" t="str">
        <f aca="false">IF(H270="","",MAX(H270,DATE(LvYear,1,1)))</f>
        <v/>
      </c>
      <c r="J270" s="38" t="str">
        <f aca="false">IF($A270="","",IF('Employee List'!J270="",DATE(LvYear,12,31),MIN('Employee List'!J270,DATE(LvYear,12,31))))</f>
        <v/>
      </c>
      <c r="K270" s="39" t="str">
        <f aca="false">IF(OR(I270="",J270=""),"",MAX(0,J270-I270+1))</f>
        <v/>
      </c>
      <c r="L270" s="16" t="str">
        <f aca="false">IF($A270="","",IF(AND(ISNUMBER(K270),K270=0),0,Settings!$C$10))</f>
        <v/>
      </c>
      <c r="M270" s="16" t="str">
        <f aca="false">IF($A270="","",IF(AND(ISNUMBER(K270),K270=0),0,Settings!$C$11))</f>
        <v/>
      </c>
      <c r="N270" s="40"/>
      <c r="O270" s="16" t="str">
        <f aca="false">IF($A270="","",FLOOR(Settings!$C$12/365*N(K270),0.5))</f>
        <v/>
      </c>
      <c r="P270" s="16" t="str">
        <f aca="false">IF($A270="","",IF(I270="",N(N270),FLOOR(Settings!$C$12/365*MAX(0,MIN(LvAsOf,J270)-I270+1)+N(N270),0.5)))</f>
        <v/>
      </c>
      <c r="Q270" s="16" t="str">
        <f aca="false">IF($A270="","",Settings!$C$14)</f>
        <v/>
      </c>
      <c r="R270" s="16" t="str">
        <f aca="false">IF($A270="","",SUMIFS(Attendance!$AZ$6:$AZ$2405,Attendance!$B$6:$B$2405,$A270,Attendance!$A$6:$A$2405,"&gt;="&amp;DATE(LvYear,1,1),Attendance!$A$6:$A$2405,"&lt;="&amp;DATE(LvYear,12,31)))</f>
        <v/>
      </c>
      <c r="S270" s="16" t="str">
        <f aca="false">IF($A270="","",SUMIFS(Attendance!$AY$6:$AY$2405,Attendance!$B$6:$B$2405,$A270,Attendance!$A$6:$A$2405,"&gt;="&amp;DATE(LvYear,1,1),Attendance!$A$6:$A$2405,"&lt;="&amp;DATE(LvYear,12,31)))</f>
        <v/>
      </c>
      <c r="T270" s="16" t="str">
        <f aca="false">IF($A270="","",SUMIFS(Attendance!$AX$6:$AX$2405,Attendance!$B$6:$B$2405,$A270,Attendance!$A$6:$A$2405,"&gt;="&amp;DATE(LvYear,1,1),Attendance!$A$6:$A$2405,"&lt;="&amp;DATE(LvYear,12,31)))</f>
        <v/>
      </c>
      <c r="U270" s="16" t="str">
        <f aca="false">IF($A270="","",SUMIFS(Attendance!$AW$6:$AW$2405,Attendance!$B$6:$B$2405,$A270,Attendance!$A$6:$A$2405,"&gt;="&amp;DATE(LvYear,1,1),Attendance!$A$6:$A$2405,"&lt;="&amp;DATE(LvYear,12,31)))</f>
        <v/>
      </c>
      <c r="V270" s="16" t="str">
        <f aca="false">IF($A270="","",L270-R270)</f>
        <v/>
      </c>
      <c r="W270" s="16" t="str">
        <f aca="false">IF($A270="","",M270-S270)</f>
        <v/>
      </c>
      <c r="X270" s="16" t="str">
        <f aca="false">IF($A270="","",P270-T270)</f>
        <v/>
      </c>
      <c r="Y270" s="16" t="str">
        <f aca="false">IF($A270="","",Q270-U270)</f>
        <v/>
      </c>
      <c r="Z270" s="16" t="str">
        <f aca="false">IF($A270="","",V270+W270+X270)</f>
        <v/>
      </c>
      <c r="AA270" s="16" t="str">
        <f aca="false">IF($A270="","",O270+N(N270)-T270)</f>
        <v/>
      </c>
      <c r="AB270" s="8" t="str">
        <f aca="false">IF($A270="","","CL "&amp;V270&amp;" | SL "&amp;W270&amp;" | PL "&amp;X270&amp;" | TR "&amp;Y270)</f>
        <v/>
      </c>
      <c r="AC270" s="15" t="str">
        <f aca="false">IF($A270="","",IF(F270="Exited","EXITED",IF(AND(ISNUMBER(K270),K270=0),"NOT ELIGIBLE",IF(MIN(V270:X270)&lt;0,"OVER-USED",IF(Z270&lt;=Settings!$C$15,"LOW","OK")))))</f>
        <v/>
      </c>
      <c r="AD270" s="16" t="str">
        <f aca="false">IF(OR(AC270="OVER-USED",AC270="LOW"),COUNTIF(AC$6:AC270,"OVER-USED")+COUNTIF(AC$6:AC270,"LOW"),"")</f>
        <v/>
      </c>
    </row>
    <row r="271" customFormat="false" ht="15" hidden="false" customHeight="false" outlineLevel="0" collapsed="false">
      <c r="A271" s="8" t="str">
        <f aca="false">IF('Employee List'!B271="","",'Employee List'!B271)</f>
        <v/>
      </c>
      <c r="B271" s="8" t="str">
        <f aca="false">IF($A271="","",'Employee List'!C271)</f>
        <v/>
      </c>
      <c r="C271" s="8" t="str">
        <f aca="false">IF($A271="","",'Employee List'!E271&amp;"")</f>
        <v/>
      </c>
      <c r="D271" s="8" t="str">
        <f aca="false">IF($A271="","",'Employee List'!F271&amp;"")</f>
        <v/>
      </c>
      <c r="E271" s="8" t="str">
        <f aca="false">IF($A271="","",'Employee List'!G271&amp;"")</f>
        <v/>
      </c>
      <c r="F271" s="8" t="str">
        <f aca="false">IF($A271="","",'Employee List'!D271)</f>
        <v/>
      </c>
      <c r="G271" s="38" t="str">
        <f aca="false">IF($A271="","",IF('Employee List'!I271="","",'Employee List'!I271))</f>
        <v/>
      </c>
      <c r="H271" s="38" t="str">
        <f aca="false">IF(OR($A271="",G271=""),"",G271+Settings!$C$13)</f>
        <v/>
      </c>
      <c r="I271" s="38" t="str">
        <f aca="false">IF(H271="","",MAX(H271,DATE(LvYear,1,1)))</f>
        <v/>
      </c>
      <c r="J271" s="38" t="str">
        <f aca="false">IF($A271="","",IF('Employee List'!J271="",DATE(LvYear,12,31),MIN('Employee List'!J271,DATE(LvYear,12,31))))</f>
        <v/>
      </c>
      <c r="K271" s="39" t="str">
        <f aca="false">IF(OR(I271="",J271=""),"",MAX(0,J271-I271+1))</f>
        <v/>
      </c>
      <c r="L271" s="16" t="str">
        <f aca="false">IF($A271="","",IF(AND(ISNUMBER(K271),K271=0),0,Settings!$C$10))</f>
        <v/>
      </c>
      <c r="M271" s="16" t="str">
        <f aca="false">IF($A271="","",IF(AND(ISNUMBER(K271),K271=0),0,Settings!$C$11))</f>
        <v/>
      </c>
      <c r="N271" s="40"/>
      <c r="O271" s="16" t="str">
        <f aca="false">IF($A271="","",FLOOR(Settings!$C$12/365*N(K271),0.5))</f>
        <v/>
      </c>
      <c r="P271" s="16" t="str">
        <f aca="false">IF($A271="","",IF(I271="",N(N271),FLOOR(Settings!$C$12/365*MAX(0,MIN(LvAsOf,J271)-I271+1)+N(N271),0.5)))</f>
        <v/>
      </c>
      <c r="Q271" s="16" t="str">
        <f aca="false">IF($A271="","",Settings!$C$14)</f>
        <v/>
      </c>
      <c r="R271" s="16" t="str">
        <f aca="false">IF($A271="","",SUMIFS(Attendance!$AZ$6:$AZ$2405,Attendance!$B$6:$B$2405,$A271,Attendance!$A$6:$A$2405,"&gt;="&amp;DATE(LvYear,1,1),Attendance!$A$6:$A$2405,"&lt;="&amp;DATE(LvYear,12,31)))</f>
        <v/>
      </c>
      <c r="S271" s="16" t="str">
        <f aca="false">IF($A271="","",SUMIFS(Attendance!$AY$6:$AY$2405,Attendance!$B$6:$B$2405,$A271,Attendance!$A$6:$A$2405,"&gt;="&amp;DATE(LvYear,1,1),Attendance!$A$6:$A$2405,"&lt;="&amp;DATE(LvYear,12,31)))</f>
        <v/>
      </c>
      <c r="T271" s="16" t="str">
        <f aca="false">IF($A271="","",SUMIFS(Attendance!$AX$6:$AX$2405,Attendance!$B$6:$B$2405,$A271,Attendance!$A$6:$A$2405,"&gt;="&amp;DATE(LvYear,1,1),Attendance!$A$6:$A$2405,"&lt;="&amp;DATE(LvYear,12,31)))</f>
        <v/>
      </c>
      <c r="U271" s="16" t="str">
        <f aca="false">IF($A271="","",SUMIFS(Attendance!$AW$6:$AW$2405,Attendance!$B$6:$B$2405,$A271,Attendance!$A$6:$A$2405,"&gt;="&amp;DATE(LvYear,1,1),Attendance!$A$6:$A$2405,"&lt;="&amp;DATE(LvYear,12,31)))</f>
        <v/>
      </c>
      <c r="V271" s="16" t="str">
        <f aca="false">IF($A271="","",L271-R271)</f>
        <v/>
      </c>
      <c r="W271" s="16" t="str">
        <f aca="false">IF($A271="","",M271-S271)</f>
        <v/>
      </c>
      <c r="X271" s="16" t="str">
        <f aca="false">IF($A271="","",P271-T271)</f>
        <v/>
      </c>
      <c r="Y271" s="16" t="str">
        <f aca="false">IF($A271="","",Q271-U271)</f>
        <v/>
      </c>
      <c r="Z271" s="16" t="str">
        <f aca="false">IF($A271="","",V271+W271+X271)</f>
        <v/>
      </c>
      <c r="AA271" s="16" t="str">
        <f aca="false">IF($A271="","",O271+N(N271)-T271)</f>
        <v/>
      </c>
      <c r="AB271" s="8" t="str">
        <f aca="false">IF($A271="","","CL "&amp;V271&amp;" | SL "&amp;W271&amp;" | PL "&amp;X271&amp;" | TR "&amp;Y271)</f>
        <v/>
      </c>
      <c r="AC271" s="15" t="str">
        <f aca="false">IF($A271="","",IF(F271="Exited","EXITED",IF(AND(ISNUMBER(K271),K271=0),"NOT ELIGIBLE",IF(MIN(V271:X271)&lt;0,"OVER-USED",IF(Z271&lt;=Settings!$C$15,"LOW","OK")))))</f>
        <v/>
      </c>
      <c r="AD271" s="16" t="str">
        <f aca="false">IF(OR(AC271="OVER-USED",AC271="LOW"),COUNTIF(AC$6:AC271,"OVER-USED")+COUNTIF(AC$6:AC271,"LOW"),"")</f>
        <v/>
      </c>
    </row>
    <row r="272" customFormat="false" ht="15" hidden="false" customHeight="false" outlineLevel="0" collapsed="false">
      <c r="A272" s="8" t="str">
        <f aca="false">IF('Employee List'!B272="","",'Employee List'!B272)</f>
        <v/>
      </c>
      <c r="B272" s="8" t="str">
        <f aca="false">IF($A272="","",'Employee List'!C272)</f>
        <v/>
      </c>
      <c r="C272" s="8" t="str">
        <f aca="false">IF($A272="","",'Employee List'!E272&amp;"")</f>
        <v/>
      </c>
      <c r="D272" s="8" t="str">
        <f aca="false">IF($A272="","",'Employee List'!F272&amp;"")</f>
        <v/>
      </c>
      <c r="E272" s="8" t="str">
        <f aca="false">IF($A272="","",'Employee List'!G272&amp;"")</f>
        <v/>
      </c>
      <c r="F272" s="8" t="str">
        <f aca="false">IF($A272="","",'Employee List'!D272)</f>
        <v/>
      </c>
      <c r="G272" s="38" t="str">
        <f aca="false">IF($A272="","",IF('Employee List'!I272="","",'Employee List'!I272))</f>
        <v/>
      </c>
      <c r="H272" s="38" t="str">
        <f aca="false">IF(OR($A272="",G272=""),"",G272+Settings!$C$13)</f>
        <v/>
      </c>
      <c r="I272" s="38" t="str">
        <f aca="false">IF(H272="","",MAX(H272,DATE(LvYear,1,1)))</f>
        <v/>
      </c>
      <c r="J272" s="38" t="str">
        <f aca="false">IF($A272="","",IF('Employee List'!J272="",DATE(LvYear,12,31),MIN('Employee List'!J272,DATE(LvYear,12,31))))</f>
        <v/>
      </c>
      <c r="K272" s="39" t="str">
        <f aca="false">IF(OR(I272="",J272=""),"",MAX(0,J272-I272+1))</f>
        <v/>
      </c>
      <c r="L272" s="16" t="str">
        <f aca="false">IF($A272="","",IF(AND(ISNUMBER(K272),K272=0),0,Settings!$C$10))</f>
        <v/>
      </c>
      <c r="M272" s="16" t="str">
        <f aca="false">IF($A272="","",IF(AND(ISNUMBER(K272),K272=0),0,Settings!$C$11))</f>
        <v/>
      </c>
      <c r="N272" s="40"/>
      <c r="O272" s="16" t="str">
        <f aca="false">IF($A272="","",FLOOR(Settings!$C$12/365*N(K272),0.5))</f>
        <v/>
      </c>
      <c r="P272" s="16" t="str">
        <f aca="false">IF($A272="","",IF(I272="",N(N272),FLOOR(Settings!$C$12/365*MAX(0,MIN(LvAsOf,J272)-I272+1)+N(N272),0.5)))</f>
        <v/>
      </c>
      <c r="Q272" s="16" t="str">
        <f aca="false">IF($A272="","",Settings!$C$14)</f>
        <v/>
      </c>
      <c r="R272" s="16" t="str">
        <f aca="false">IF($A272="","",SUMIFS(Attendance!$AZ$6:$AZ$2405,Attendance!$B$6:$B$2405,$A272,Attendance!$A$6:$A$2405,"&gt;="&amp;DATE(LvYear,1,1),Attendance!$A$6:$A$2405,"&lt;="&amp;DATE(LvYear,12,31)))</f>
        <v/>
      </c>
      <c r="S272" s="16" t="str">
        <f aca="false">IF($A272="","",SUMIFS(Attendance!$AY$6:$AY$2405,Attendance!$B$6:$B$2405,$A272,Attendance!$A$6:$A$2405,"&gt;="&amp;DATE(LvYear,1,1),Attendance!$A$6:$A$2405,"&lt;="&amp;DATE(LvYear,12,31)))</f>
        <v/>
      </c>
      <c r="T272" s="16" t="str">
        <f aca="false">IF($A272="","",SUMIFS(Attendance!$AX$6:$AX$2405,Attendance!$B$6:$B$2405,$A272,Attendance!$A$6:$A$2405,"&gt;="&amp;DATE(LvYear,1,1),Attendance!$A$6:$A$2405,"&lt;="&amp;DATE(LvYear,12,31)))</f>
        <v/>
      </c>
      <c r="U272" s="16" t="str">
        <f aca="false">IF($A272="","",SUMIFS(Attendance!$AW$6:$AW$2405,Attendance!$B$6:$B$2405,$A272,Attendance!$A$6:$A$2405,"&gt;="&amp;DATE(LvYear,1,1),Attendance!$A$6:$A$2405,"&lt;="&amp;DATE(LvYear,12,31)))</f>
        <v/>
      </c>
      <c r="V272" s="16" t="str">
        <f aca="false">IF($A272="","",L272-R272)</f>
        <v/>
      </c>
      <c r="W272" s="16" t="str">
        <f aca="false">IF($A272="","",M272-S272)</f>
        <v/>
      </c>
      <c r="X272" s="16" t="str">
        <f aca="false">IF($A272="","",P272-T272)</f>
        <v/>
      </c>
      <c r="Y272" s="16" t="str">
        <f aca="false">IF($A272="","",Q272-U272)</f>
        <v/>
      </c>
      <c r="Z272" s="16" t="str">
        <f aca="false">IF($A272="","",V272+W272+X272)</f>
        <v/>
      </c>
      <c r="AA272" s="16" t="str">
        <f aca="false">IF($A272="","",O272+N(N272)-T272)</f>
        <v/>
      </c>
      <c r="AB272" s="8" t="str">
        <f aca="false">IF($A272="","","CL "&amp;V272&amp;" | SL "&amp;W272&amp;" | PL "&amp;X272&amp;" | TR "&amp;Y272)</f>
        <v/>
      </c>
      <c r="AC272" s="15" t="str">
        <f aca="false">IF($A272="","",IF(F272="Exited","EXITED",IF(AND(ISNUMBER(K272),K272=0),"NOT ELIGIBLE",IF(MIN(V272:X272)&lt;0,"OVER-USED",IF(Z272&lt;=Settings!$C$15,"LOW","OK")))))</f>
        <v/>
      </c>
      <c r="AD272" s="16" t="str">
        <f aca="false">IF(OR(AC272="OVER-USED",AC272="LOW"),COUNTIF(AC$6:AC272,"OVER-USED")+COUNTIF(AC$6:AC272,"LOW"),"")</f>
        <v/>
      </c>
    </row>
    <row r="273" customFormat="false" ht="15" hidden="false" customHeight="false" outlineLevel="0" collapsed="false">
      <c r="A273" s="8" t="str">
        <f aca="false">IF('Employee List'!B273="","",'Employee List'!B273)</f>
        <v/>
      </c>
      <c r="B273" s="8" t="str">
        <f aca="false">IF($A273="","",'Employee List'!C273)</f>
        <v/>
      </c>
      <c r="C273" s="8" t="str">
        <f aca="false">IF($A273="","",'Employee List'!E273&amp;"")</f>
        <v/>
      </c>
      <c r="D273" s="8" t="str">
        <f aca="false">IF($A273="","",'Employee List'!F273&amp;"")</f>
        <v/>
      </c>
      <c r="E273" s="8" t="str">
        <f aca="false">IF($A273="","",'Employee List'!G273&amp;"")</f>
        <v/>
      </c>
      <c r="F273" s="8" t="str">
        <f aca="false">IF($A273="","",'Employee List'!D273)</f>
        <v/>
      </c>
      <c r="G273" s="38" t="str">
        <f aca="false">IF($A273="","",IF('Employee List'!I273="","",'Employee List'!I273))</f>
        <v/>
      </c>
      <c r="H273" s="38" t="str">
        <f aca="false">IF(OR($A273="",G273=""),"",G273+Settings!$C$13)</f>
        <v/>
      </c>
      <c r="I273" s="38" t="str">
        <f aca="false">IF(H273="","",MAX(H273,DATE(LvYear,1,1)))</f>
        <v/>
      </c>
      <c r="J273" s="38" t="str">
        <f aca="false">IF($A273="","",IF('Employee List'!J273="",DATE(LvYear,12,31),MIN('Employee List'!J273,DATE(LvYear,12,31))))</f>
        <v/>
      </c>
      <c r="K273" s="39" t="str">
        <f aca="false">IF(OR(I273="",J273=""),"",MAX(0,J273-I273+1))</f>
        <v/>
      </c>
      <c r="L273" s="16" t="str">
        <f aca="false">IF($A273="","",IF(AND(ISNUMBER(K273),K273=0),0,Settings!$C$10))</f>
        <v/>
      </c>
      <c r="M273" s="16" t="str">
        <f aca="false">IF($A273="","",IF(AND(ISNUMBER(K273),K273=0),0,Settings!$C$11))</f>
        <v/>
      </c>
      <c r="N273" s="40"/>
      <c r="O273" s="16" t="str">
        <f aca="false">IF($A273="","",FLOOR(Settings!$C$12/365*N(K273),0.5))</f>
        <v/>
      </c>
      <c r="P273" s="16" t="str">
        <f aca="false">IF($A273="","",IF(I273="",N(N273),FLOOR(Settings!$C$12/365*MAX(0,MIN(LvAsOf,J273)-I273+1)+N(N273),0.5)))</f>
        <v/>
      </c>
      <c r="Q273" s="16" t="str">
        <f aca="false">IF($A273="","",Settings!$C$14)</f>
        <v/>
      </c>
      <c r="R273" s="16" t="str">
        <f aca="false">IF($A273="","",SUMIFS(Attendance!$AZ$6:$AZ$2405,Attendance!$B$6:$B$2405,$A273,Attendance!$A$6:$A$2405,"&gt;="&amp;DATE(LvYear,1,1),Attendance!$A$6:$A$2405,"&lt;="&amp;DATE(LvYear,12,31)))</f>
        <v/>
      </c>
      <c r="S273" s="16" t="str">
        <f aca="false">IF($A273="","",SUMIFS(Attendance!$AY$6:$AY$2405,Attendance!$B$6:$B$2405,$A273,Attendance!$A$6:$A$2405,"&gt;="&amp;DATE(LvYear,1,1),Attendance!$A$6:$A$2405,"&lt;="&amp;DATE(LvYear,12,31)))</f>
        <v/>
      </c>
      <c r="T273" s="16" t="str">
        <f aca="false">IF($A273="","",SUMIFS(Attendance!$AX$6:$AX$2405,Attendance!$B$6:$B$2405,$A273,Attendance!$A$6:$A$2405,"&gt;="&amp;DATE(LvYear,1,1),Attendance!$A$6:$A$2405,"&lt;="&amp;DATE(LvYear,12,31)))</f>
        <v/>
      </c>
      <c r="U273" s="16" t="str">
        <f aca="false">IF($A273="","",SUMIFS(Attendance!$AW$6:$AW$2405,Attendance!$B$6:$B$2405,$A273,Attendance!$A$6:$A$2405,"&gt;="&amp;DATE(LvYear,1,1),Attendance!$A$6:$A$2405,"&lt;="&amp;DATE(LvYear,12,31)))</f>
        <v/>
      </c>
      <c r="V273" s="16" t="str">
        <f aca="false">IF($A273="","",L273-R273)</f>
        <v/>
      </c>
      <c r="W273" s="16" t="str">
        <f aca="false">IF($A273="","",M273-S273)</f>
        <v/>
      </c>
      <c r="X273" s="16" t="str">
        <f aca="false">IF($A273="","",P273-T273)</f>
        <v/>
      </c>
      <c r="Y273" s="16" t="str">
        <f aca="false">IF($A273="","",Q273-U273)</f>
        <v/>
      </c>
      <c r="Z273" s="16" t="str">
        <f aca="false">IF($A273="","",V273+W273+X273)</f>
        <v/>
      </c>
      <c r="AA273" s="16" t="str">
        <f aca="false">IF($A273="","",O273+N(N273)-T273)</f>
        <v/>
      </c>
      <c r="AB273" s="8" t="str">
        <f aca="false">IF($A273="","","CL "&amp;V273&amp;" | SL "&amp;W273&amp;" | PL "&amp;X273&amp;" | TR "&amp;Y273)</f>
        <v/>
      </c>
      <c r="AC273" s="15" t="str">
        <f aca="false">IF($A273="","",IF(F273="Exited","EXITED",IF(AND(ISNUMBER(K273),K273=0),"NOT ELIGIBLE",IF(MIN(V273:X273)&lt;0,"OVER-USED",IF(Z273&lt;=Settings!$C$15,"LOW","OK")))))</f>
        <v/>
      </c>
      <c r="AD273" s="16" t="str">
        <f aca="false">IF(OR(AC273="OVER-USED",AC273="LOW"),COUNTIF(AC$6:AC273,"OVER-USED")+COUNTIF(AC$6:AC273,"LOW"),"")</f>
        <v/>
      </c>
    </row>
    <row r="274" customFormat="false" ht="15" hidden="false" customHeight="false" outlineLevel="0" collapsed="false">
      <c r="A274" s="8" t="str">
        <f aca="false">IF('Employee List'!B274="","",'Employee List'!B274)</f>
        <v/>
      </c>
      <c r="B274" s="8" t="str">
        <f aca="false">IF($A274="","",'Employee List'!C274)</f>
        <v/>
      </c>
      <c r="C274" s="8" t="str">
        <f aca="false">IF($A274="","",'Employee List'!E274&amp;"")</f>
        <v/>
      </c>
      <c r="D274" s="8" t="str">
        <f aca="false">IF($A274="","",'Employee List'!F274&amp;"")</f>
        <v/>
      </c>
      <c r="E274" s="8" t="str">
        <f aca="false">IF($A274="","",'Employee List'!G274&amp;"")</f>
        <v/>
      </c>
      <c r="F274" s="8" t="str">
        <f aca="false">IF($A274="","",'Employee List'!D274)</f>
        <v/>
      </c>
      <c r="G274" s="38" t="str">
        <f aca="false">IF($A274="","",IF('Employee List'!I274="","",'Employee List'!I274))</f>
        <v/>
      </c>
      <c r="H274" s="38" t="str">
        <f aca="false">IF(OR($A274="",G274=""),"",G274+Settings!$C$13)</f>
        <v/>
      </c>
      <c r="I274" s="38" t="str">
        <f aca="false">IF(H274="","",MAX(H274,DATE(LvYear,1,1)))</f>
        <v/>
      </c>
      <c r="J274" s="38" t="str">
        <f aca="false">IF($A274="","",IF('Employee List'!J274="",DATE(LvYear,12,31),MIN('Employee List'!J274,DATE(LvYear,12,31))))</f>
        <v/>
      </c>
      <c r="K274" s="39" t="str">
        <f aca="false">IF(OR(I274="",J274=""),"",MAX(0,J274-I274+1))</f>
        <v/>
      </c>
      <c r="L274" s="16" t="str">
        <f aca="false">IF($A274="","",IF(AND(ISNUMBER(K274),K274=0),0,Settings!$C$10))</f>
        <v/>
      </c>
      <c r="M274" s="16" t="str">
        <f aca="false">IF($A274="","",IF(AND(ISNUMBER(K274),K274=0),0,Settings!$C$11))</f>
        <v/>
      </c>
      <c r="N274" s="40"/>
      <c r="O274" s="16" t="str">
        <f aca="false">IF($A274="","",FLOOR(Settings!$C$12/365*N(K274),0.5))</f>
        <v/>
      </c>
      <c r="P274" s="16" t="str">
        <f aca="false">IF($A274="","",IF(I274="",N(N274),FLOOR(Settings!$C$12/365*MAX(0,MIN(LvAsOf,J274)-I274+1)+N(N274),0.5)))</f>
        <v/>
      </c>
      <c r="Q274" s="16" t="str">
        <f aca="false">IF($A274="","",Settings!$C$14)</f>
        <v/>
      </c>
      <c r="R274" s="16" t="str">
        <f aca="false">IF($A274="","",SUMIFS(Attendance!$AZ$6:$AZ$2405,Attendance!$B$6:$B$2405,$A274,Attendance!$A$6:$A$2405,"&gt;="&amp;DATE(LvYear,1,1),Attendance!$A$6:$A$2405,"&lt;="&amp;DATE(LvYear,12,31)))</f>
        <v/>
      </c>
      <c r="S274" s="16" t="str">
        <f aca="false">IF($A274="","",SUMIFS(Attendance!$AY$6:$AY$2405,Attendance!$B$6:$B$2405,$A274,Attendance!$A$6:$A$2405,"&gt;="&amp;DATE(LvYear,1,1),Attendance!$A$6:$A$2405,"&lt;="&amp;DATE(LvYear,12,31)))</f>
        <v/>
      </c>
      <c r="T274" s="16" t="str">
        <f aca="false">IF($A274="","",SUMIFS(Attendance!$AX$6:$AX$2405,Attendance!$B$6:$B$2405,$A274,Attendance!$A$6:$A$2405,"&gt;="&amp;DATE(LvYear,1,1),Attendance!$A$6:$A$2405,"&lt;="&amp;DATE(LvYear,12,31)))</f>
        <v/>
      </c>
      <c r="U274" s="16" t="str">
        <f aca="false">IF($A274="","",SUMIFS(Attendance!$AW$6:$AW$2405,Attendance!$B$6:$B$2405,$A274,Attendance!$A$6:$A$2405,"&gt;="&amp;DATE(LvYear,1,1),Attendance!$A$6:$A$2405,"&lt;="&amp;DATE(LvYear,12,31)))</f>
        <v/>
      </c>
      <c r="V274" s="16" t="str">
        <f aca="false">IF($A274="","",L274-R274)</f>
        <v/>
      </c>
      <c r="W274" s="16" t="str">
        <f aca="false">IF($A274="","",M274-S274)</f>
        <v/>
      </c>
      <c r="X274" s="16" t="str">
        <f aca="false">IF($A274="","",P274-T274)</f>
        <v/>
      </c>
      <c r="Y274" s="16" t="str">
        <f aca="false">IF($A274="","",Q274-U274)</f>
        <v/>
      </c>
      <c r="Z274" s="16" t="str">
        <f aca="false">IF($A274="","",V274+W274+X274)</f>
        <v/>
      </c>
      <c r="AA274" s="16" t="str">
        <f aca="false">IF($A274="","",O274+N(N274)-T274)</f>
        <v/>
      </c>
      <c r="AB274" s="8" t="str">
        <f aca="false">IF($A274="","","CL "&amp;V274&amp;" | SL "&amp;W274&amp;" | PL "&amp;X274&amp;" | TR "&amp;Y274)</f>
        <v/>
      </c>
      <c r="AC274" s="15" t="str">
        <f aca="false">IF($A274="","",IF(F274="Exited","EXITED",IF(AND(ISNUMBER(K274),K274=0),"NOT ELIGIBLE",IF(MIN(V274:X274)&lt;0,"OVER-USED",IF(Z274&lt;=Settings!$C$15,"LOW","OK")))))</f>
        <v/>
      </c>
      <c r="AD274" s="16" t="str">
        <f aca="false">IF(OR(AC274="OVER-USED",AC274="LOW"),COUNTIF(AC$6:AC274,"OVER-USED")+COUNTIF(AC$6:AC274,"LOW"),"")</f>
        <v/>
      </c>
    </row>
    <row r="275" customFormat="false" ht="15" hidden="false" customHeight="false" outlineLevel="0" collapsed="false">
      <c r="A275" s="8" t="str">
        <f aca="false">IF('Employee List'!B275="","",'Employee List'!B275)</f>
        <v/>
      </c>
      <c r="B275" s="8" t="str">
        <f aca="false">IF($A275="","",'Employee List'!C275)</f>
        <v/>
      </c>
      <c r="C275" s="8" t="str">
        <f aca="false">IF($A275="","",'Employee List'!E275&amp;"")</f>
        <v/>
      </c>
      <c r="D275" s="8" t="str">
        <f aca="false">IF($A275="","",'Employee List'!F275&amp;"")</f>
        <v/>
      </c>
      <c r="E275" s="8" t="str">
        <f aca="false">IF($A275="","",'Employee List'!G275&amp;"")</f>
        <v/>
      </c>
      <c r="F275" s="8" t="str">
        <f aca="false">IF($A275="","",'Employee List'!D275)</f>
        <v/>
      </c>
      <c r="G275" s="38" t="str">
        <f aca="false">IF($A275="","",IF('Employee List'!I275="","",'Employee List'!I275))</f>
        <v/>
      </c>
      <c r="H275" s="38" t="str">
        <f aca="false">IF(OR($A275="",G275=""),"",G275+Settings!$C$13)</f>
        <v/>
      </c>
      <c r="I275" s="38" t="str">
        <f aca="false">IF(H275="","",MAX(H275,DATE(LvYear,1,1)))</f>
        <v/>
      </c>
      <c r="J275" s="38" t="str">
        <f aca="false">IF($A275="","",IF('Employee List'!J275="",DATE(LvYear,12,31),MIN('Employee List'!J275,DATE(LvYear,12,31))))</f>
        <v/>
      </c>
      <c r="K275" s="39" t="str">
        <f aca="false">IF(OR(I275="",J275=""),"",MAX(0,J275-I275+1))</f>
        <v/>
      </c>
      <c r="L275" s="16" t="str">
        <f aca="false">IF($A275="","",IF(AND(ISNUMBER(K275),K275=0),0,Settings!$C$10))</f>
        <v/>
      </c>
      <c r="M275" s="16" t="str">
        <f aca="false">IF($A275="","",IF(AND(ISNUMBER(K275),K275=0),0,Settings!$C$11))</f>
        <v/>
      </c>
      <c r="N275" s="40"/>
      <c r="O275" s="16" t="str">
        <f aca="false">IF($A275="","",FLOOR(Settings!$C$12/365*N(K275),0.5))</f>
        <v/>
      </c>
      <c r="P275" s="16" t="str">
        <f aca="false">IF($A275="","",IF(I275="",N(N275),FLOOR(Settings!$C$12/365*MAX(0,MIN(LvAsOf,J275)-I275+1)+N(N275),0.5)))</f>
        <v/>
      </c>
      <c r="Q275" s="16" t="str">
        <f aca="false">IF($A275="","",Settings!$C$14)</f>
        <v/>
      </c>
      <c r="R275" s="16" t="str">
        <f aca="false">IF($A275="","",SUMIFS(Attendance!$AZ$6:$AZ$2405,Attendance!$B$6:$B$2405,$A275,Attendance!$A$6:$A$2405,"&gt;="&amp;DATE(LvYear,1,1),Attendance!$A$6:$A$2405,"&lt;="&amp;DATE(LvYear,12,31)))</f>
        <v/>
      </c>
      <c r="S275" s="16" t="str">
        <f aca="false">IF($A275="","",SUMIFS(Attendance!$AY$6:$AY$2405,Attendance!$B$6:$B$2405,$A275,Attendance!$A$6:$A$2405,"&gt;="&amp;DATE(LvYear,1,1),Attendance!$A$6:$A$2405,"&lt;="&amp;DATE(LvYear,12,31)))</f>
        <v/>
      </c>
      <c r="T275" s="16" t="str">
        <f aca="false">IF($A275="","",SUMIFS(Attendance!$AX$6:$AX$2405,Attendance!$B$6:$B$2405,$A275,Attendance!$A$6:$A$2405,"&gt;="&amp;DATE(LvYear,1,1),Attendance!$A$6:$A$2405,"&lt;="&amp;DATE(LvYear,12,31)))</f>
        <v/>
      </c>
      <c r="U275" s="16" t="str">
        <f aca="false">IF($A275="","",SUMIFS(Attendance!$AW$6:$AW$2405,Attendance!$B$6:$B$2405,$A275,Attendance!$A$6:$A$2405,"&gt;="&amp;DATE(LvYear,1,1),Attendance!$A$6:$A$2405,"&lt;="&amp;DATE(LvYear,12,31)))</f>
        <v/>
      </c>
      <c r="V275" s="16" t="str">
        <f aca="false">IF($A275="","",L275-R275)</f>
        <v/>
      </c>
      <c r="W275" s="16" t="str">
        <f aca="false">IF($A275="","",M275-S275)</f>
        <v/>
      </c>
      <c r="X275" s="16" t="str">
        <f aca="false">IF($A275="","",P275-T275)</f>
        <v/>
      </c>
      <c r="Y275" s="16" t="str">
        <f aca="false">IF($A275="","",Q275-U275)</f>
        <v/>
      </c>
      <c r="Z275" s="16" t="str">
        <f aca="false">IF($A275="","",V275+W275+X275)</f>
        <v/>
      </c>
      <c r="AA275" s="16" t="str">
        <f aca="false">IF($A275="","",O275+N(N275)-T275)</f>
        <v/>
      </c>
      <c r="AB275" s="8" t="str">
        <f aca="false">IF($A275="","","CL "&amp;V275&amp;" | SL "&amp;W275&amp;" | PL "&amp;X275&amp;" | TR "&amp;Y275)</f>
        <v/>
      </c>
      <c r="AC275" s="15" t="str">
        <f aca="false">IF($A275="","",IF(F275="Exited","EXITED",IF(AND(ISNUMBER(K275),K275=0),"NOT ELIGIBLE",IF(MIN(V275:X275)&lt;0,"OVER-USED",IF(Z275&lt;=Settings!$C$15,"LOW","OK")))))</f>
        <v/>
      </c>
      <c r="AD275" s="16" t="str">
        <f aca="false">IF(OR(AC275="OVER-USED",AC275="LOW"),COUNTIF(AC$6:AC275,"OVER-USED")+COUNTIF(AC$6:AC275,"LOW"),"")</f>
        <v/>
      </c>
    </row>
    <row r="276" customFormat="false" ht="15" hidden="false" customHeight="false" outlineLevel="0" collapsed="false">
      <c r="A276" s="8" t="str">
        <f aca="false">IF('Employee List'!B276="","",'Employee List'!B276)</f>
        <v/>
      </c>
      <c r="B276" s="8" t="str">
        <f aca="false">IF($A276="","",'Employee List'!C276)</f>
        <v/>
      </c>
      <c r="C276" s="8" t="str">
        <f aca="false">IF($A276="","",'Employee List'!E276&amp;"")</f>
        <v/>
      </c>
      <c r="D276" s="8" t="str">
        <f aca="false">IF($A276="","",'Employee List'!F276&amp;"")</f>
        <v/>
      </c>
      <c r="E276" s="8" t="str">
        <f aca="false">IF($A276="","",'Employee List'!G276&amp;"")</f>
        <v/>
      </c>
      <c r="F276" s="8" t="str">
        <f aca="false">IF($A276="","",'Employee List'!D276)</f>
        <v/>
      </c>
      <c r="G276" s="38" t="str">
        <f aca="false">IF($A276="","",IF('Employee List'!I276="","",'Employee List'!I276))</f>
        <v/>
      </c>
      <c r="H276" s="38" t="str">
        <f aca="false">IF(OR($A276="",G276=""),"",G276+Settings!$C$13)</f>
        <v/>
      </c>
      <c r="I276" s="38" t="str">
        <f aca="false">IF(H276="","",MAX(H276,DATE(LvYear,1,1)))</f>
        <v/>
      </c>
      <c r="J276" s="38" t="str">
        <f aca="false">IF($A276="","",IF('Employee List'!J276="",DATE(LvYear,12,31),MIN('Employee List'!J276,DATE(LvYear,12,31))))</f>
        <v/>
      </c>
      <c r="K276" s="39" t="str">
        <f aca="false">IF(OR(I276="",J276=""),"",MAX(0,J276-I276+1))</f>
        <v/>
      </c>
      <c r="L276" s="16" t="str">
        <f aca="false">IF($A276="","",IF(AND(ISNUMBER(K276),K276=0),0,Settings!$C$10))</f>
        <v/>
      </c>
      <c r="M276" s="16" t="str">
        <f aca="false">IF($A276="","",IF(AND(ISNUMBER(K276),K276=0),0,Settings!$C$11))</f>
        <v/>
      </c>
      <c r="N276" s="40"/>
      <c r="O276" s="16" t="str">
        <f aca="false">IF($A276="","",FLOOR(Settings!$C$12/365*N(K276),0.5))</f>
        <v/>
      </c>
      <c r="P276" s="16" t="str">
        <f aca="false">IF($A276="","",IF(I276="",N(N276),FLOOR(Settings!$C$12/365*MAX(0,MIN(LvAsOf,J276)-I276+1)+N(N276),0.5)))</f>
        <v/>
      </c>
      <c r="Q276" s="16" t="str">
        <f aca="false">IF($A276="","",Settings!$C$14)</f>
        <v/>
      </c>
      <c r="R276" s="16" t="str">
        <f aca="false">IF($A276="","",SUMIFS(Attendance!$AZ$6:$AZ$2405,Attendance!$B$6:$B$2405,$A276,Attendance!$A$6:$A$2405,"&gt;="&amp;DATE(LvYear,1,1),Attendance!$A$6:$A$2405,"&lt;="&amp;DATE(LvYear,12,31)))</f>
        <v/>
      </c>
      <c r="S276" s="16" t="str">
        <f aca="false">IF($A276="","",SUMIFS(Attendance!$AY$6:$AY$2405,Attendance!$B$6:$B$2405,$A276,Attendance!$A$6:$A$2405,"&gt;="&amp;DATE(LvYear,1,1),Attendance!$A$6:$A$2405,"&lt;="&amp;DATE(LvYear,12,31)))</f>
        <v/>
      </c>
      <c r="T276" s="16" t="str">
        <f aca="false">IF($A276="","",SUMIFS(Attendance!$AX$6:$AX$2405,Attendance!$B$6:$B$2405,$A276,Attendance!$A$6:$A$2405,"&gt;="&amp;DATE(LvYear,1,1),Attendance!$A$6:$A$2405,"&lt;="&amp;DATE(LvYear,12,31)))</f>
        <v/>
      </c>
      <c r="U276" s="16" t="str">
        <f aca="false">IF($A276="","",SUMIFS(Attendance!$AW$6:$AW$2405,Attendance!$B$6:$B$2405,$A276,Attendance!$A$6:$A$2405,"&gt;="&amp;DATE(LvYear,1,1),Attendance!$A$6:$A$2405,"&lt;="&amp;DATE(LvYear,12,31)))</f>
        <v/>
      </c>
      <c r="V276" s="16" t="str">
        <f aca="false">IF($A276="","",L276-R276)</f>
        <v/>
      </c>
      <c r="W276" s="16" t="str">
        <f aca="false">IF($A276="","",M276-S276)</f>
        <v/>
      </c>
      <c r="X276" s="16" t="str">
        <f aca="false">IF($A276="","",P276-T276)</f>
        <v/>
      </c>
      <c r="Y276" s="16" t="str">
        <f aca="false">IF($A276="","",Q276-U276)</f>
        <v/>
      </c>
      <c r="Z276" s="16" t="str">
        <f aca="false">IF($A276="","",V276+W276+X276)</f>
        <v/>
      </c>
      <c r="AA276" s="16" t="str">
        <f aca="false">IF($A276="","",O276+N(N276)-T276)</f>
        <v/>
      </c>
      <c r="AB276" s="8" t="str">
        <f aca="false">IF($A276="","","CL "&amp;V276&amp;" | SL "&amp;W276&amp;" | PL "&amp;X276&amp;" | TR "&amp;Y276)</f>
        <v/>
      </c>
      <c r="AC276" s="15" t="str">
        <f aca="false">IF($A276="","",IF(F276="Exited","EXITED",IF(AND(ISNUMBER(K276),K276=0),"NOT ELIGIBLE",IF(MIN(V276:X276)&lt;0,"OVER-USED",IF(Z276&lt;=Settings!$C$15,"LOW","OK")))))</f>
        <v/>
      </c>
      <c r="AD276" s="16" t="str">
        <f aca="false">IF(OR(AC276="OVER-USED",AC276="LOW"),COUNTIF(AC$6:AC276,"OVER-USED")+COUNTIF(AC$6:AC276,"LOW"),"")</f>
        <v/>
      </c>
    </row>
    <row r="277" customFormat="false" ht="15" hidden="false" customHeight="false" outlineLevel="0" collapsed="false">
      <c r="A277" s="8" t="str">
        <f aca="false">IF('Employee List'!B277="","",'Employee List'!B277)</f>
        <v/>
      </c>
      <c r="B277" s="8" t="str">
        <f aca="false">IF($A277="","",'Employee List'!C277)</f>
        <v/>
      </c>
      <c r="C277" s="8" t="str">
        <f aca="false">IF($A277="","",'Employee List'!E277&amp;"")</f>
        <v/>
      </c>
      <c r="D277" s="8" t="str">
        <f aca="false">IF($A277="","",'Employee List'!F277&amp;"")</f>
        <v/>
      </c>
      <c r="E277" s="8" t="str">
        <f aca="false">IF($A277="","",'Employee List'!G277&amp;"")</f>
        <v/>
      </c>
      <c r="F277" s="8" t="str">
        <f aca="false">IF($A277="","",'Employee List'!D277)</f>
        <v/>
      </c>
      <c r="G277" s="38" t="str">
        <f aca="false">IF($A277="","",IF('Employee List'!I277="","",'Employee List'!I277))</f>
        <v/>
      </c>
      <c r="H277" s="38" t="str">
        <f aca="false">IF(OR($A277="",G277=""),"",G277+Settings!$C$13)</f>
        <v/>
      </c>
      <c r="I277" s="38" t="str">
        <f aca="false">IF(H277="","",MAX(H277,DATE(LvYear,1,1)))</f>
        <v/>
      </c>
      <c r="J277" s="38" t="str">
        <f aca="false">IF($A277="","",IF('Employee List'!J277="",DATE(LvYear,12,31),MIN('Employee List'!J277,DATE(LvYear,12,31))))</f>
        <v/>
      </c>
      <c r="K277" s="39" t="str">
        <f aca="false">IF(OR(I277="",J277=""),"",MAX(0,J277-I277+1))</f>
        <v/>
      </c>
      <c r="L277" s="16" t="str">
        <f aca="false">IF($A277="","",IF(AND(ISNUMBER(K277),K277=0),0,Settings!$C$10))</f>
        <v/>
      </c>
      <c r="M277" s="16" t="str">
        <f aca="false">IF($A277="","",IF(AND(ISNUMBER(K277),K277=0),0,Settings!$C$11))</f>
        <v/>
      </c>
      <c r="N277" s="40"/>
      <c r="O277" s="16" t="str">
        <f aca="false">IF($A277="","",FLOOR(Settings!$C$12/365*N(K277),0.5))</f>
        <v/>
      </c>
      <c r="P277" s="16" t="str">
        <f aca="false">IF($A277="","",IF(I277="",N(N277),FLOOR(Settings!$C$12/365*MAX(0,MIN(LvAsOf,J277)-I277+1)+N(N277),0.5)))</f>
        <v/>
      </c>
      <c r="Q277" s="16" t="str">
        <f aca="false">IF($A277="","",Settings!$C$14)</f>
        <v/>
      </c>
      <c r="R277" s="16" t="str">
        <f aca="false">IF($A277="","",SUMIFS(Attendance!$AZ$6:$AZ$2405,Attendance!$B$6:$B$2405,$A277,Attendance!$A$6:$A$2405,"&gt;="&amp;DATE(LvYear,1,1),Attendance!$A$6:$A$2405,"&lt;="&amp;DATE(LvYear,12,31)))</f>
        <v/>
      </c>
      <c r="S277" s="16" t="str">
        <f aca="false">IF($A277="","",SUMIFS(Attendance!$AY$6:$AY$2405,Attendance!$B$6:$B$2405,$A277,Attendance!$A$6:$A$2405,"&gt;="&amp;DATE(LvYear,1,1),Attendance!$A$6:$A$2405,"&lt;="&amp;DATE(LvYear,12,31)))</f>
        <v/>
      </c>
      <c r="T277" s="16" t="str">
        <f aca="false">IF($A277="","",SUMIFS(Attendance!$AX$6:$AX$2405,Attendance!$B$6:$B$2405,$A277,Attendance!$A$6:$A$2405,"&gt;="&amp;DATE(LvYear,1,1),Attendance!$A$6:$A$2405,"&lt;="&amp;DATE(LvYear,12,31)))</f>
        <v/>
      </c>
      <c r="U277" s="16" t="str">
        <f aca="false">IF($A277="","",SUMIFS(Attendance!$AW$6:$AW$2405,Attendance!$B$6:$B$2405,$A277,Attendance!$A$6:$A$2405,"&gt;="&amp;DATE(LvYear,1,1),Attendance!$A$6:$A$2405,"&lt;="&amp;DATE(LvYear,12,31)))</f>
        <v/>
      </c>
      <c r="V277" s="16" t="str">
        <f aca="false">IF($A277="","",L277-R277)</f>
        <v/>
      </c>
      <c r="W277" s="16" t="str">
        <f aca="false">IF($A277="","",M277-S277)</f>
        <v/>
      </c>
      <c r="X277" s="16" t="str">
        <f aca="false">IF($A277="","",P277-T277)</f>
        <v/>
      </c>
      <c r="Y277" s="16" t="str">
        <f aca="false">IF($A277="","",Q277-U277)</f>
        <v/>
      </c>
      <c r="Z277" s="16" t="str">
        <f aca="false">IF($A277="","",V277+W277+X277)</f>
        <v/>
      </c>
      <c r="AA277" s="16" t="str">
        <f aca="false">IF($A277="","",O277+N(N277)-T277)</f>
        <v/>
      </c>
      <c r="AB277" s="8" t="str">
        <f aca="false">IF($A277="","","CL "&amp;V277&amp;" | SL "&amp;W277&amp;" | PL "&amp;X277&amp;" | TR "&amp;Y277)</f>
        <v/>
      </c>
      <c r="AC277" s="15" t="str">
        <f aca="false">IF($A277="","",IF(F277="Exited","EXITED",IF(AND(ISNUMBER(K277),K277=0),"NOT ELIGIBLE",IF(MIN(V277:X277)&lt;0,"OVER-USED",IF(Z277&lt;=Settings!$C$15,"LOW","OK")))))</f>
        <v/>
      </c>
      <c r="AD277" s="16" t="str">
        <f aca="false">IF(OR(AC277="OVER-USED",AC277="LOW"),COUNTIF(AC$6:AC277,"OVER-USED")+COUNTIF(AC$6:AC277,"LOW"),"")</f>
        <v/>
      </c>
    </row>
    <row r="278" customFormat="false" ht="15" hidden="false" customHeight="false" outlineLevel="0" collapsed="false">
      <c r="A278" s="8" t="str">
        <f aca="false">IF('Employee List'!B278="","",'Employee List'!B278)</f>
        <v/>
      </c>
      <c r="B278" s="8" t="str">
        <f aca="false">IF($A278="","",'Employee List'!C278)</f>
        <v/>
      </c>
      <c r="C278" s="8" t="str">
        <f aca="false">IF($A278="","",'Employee List'!E278&amp;"")</f>
        <v/>
      </c>
      <c r="D278" s="8" t="str">
        <f aca="false">IF($A278="","",'Employee List'!F278&amp;"")</f>
        <v/>
      </c>
      <c r="E278" s="8" t="str">
        <f aca="false">IF($A278="","",'Employee List'!G278&amp;"")</f>
        <v/>
      </c>
      <c r="F278" s="8" t="str">
        <f aca="false">IF($A278="","",'Employee List'!D278)</f>
        <v/>
      </c>
      <c r="G278" s="38" t="str">
        <f aca="false">IF($A278="","",IF('Employee List'!I278="","",'Employee List'!I278))</f>
        <v/>
      </c>
      <c r="H278" s="38" t="str">
        <f aca="false">IF(OR($A278="",G278=""),"",G278+Settings!$C$13)</f>
        <v/>
      </c>
      <c r="I278" s="38" t="str">
        <f aca="false">IF(H278="","",MAX(H278,DATE(LvYear,1,1)))</f>
        <v/>
      </c>
      <c r="J278" s="38" t="str">
        <f aca="false">IF($A278="","",IF('Employee List'!J278="",DATE(LvYear,12,31),MIN('Employee List'!J278,DATE(LvYear,12,31))))</f>
        <v/>
      </c>
      <c r="K278" s="39" t="str">
        <f aca="false">IF(OR(I278="",J278=""),"",MAX(0,J278-I278+1))</f>
        <v/>
      </c>
      <c r="L278" s="16" t="str">
        <f aca="false">IF($A278="","",IF(AND(ISNUMBER(K278),K278=0),0,Settings!$C$10))</f>
        <v/>
      </c>
      <c r="M278" s="16" t="str">
        <f aca="false">IF($A278="","",IF(AND(ISNUMBER(K278),K278=0),0,Settings!$C$11))</f>
        <v/>
      </c>
      <c r="N278" s="40"/>
      <c r="O278" s="16" t="str">
        <f aca="false">IF($A278="","",FLOOR(Settings!$C$12/365*N(K278),0.5))</f>
        <v/>
      </c>
      <c r="P278" s="16" t="str">
        <f aca="false">IF($A278="","",IF(I278="",N(N278),FLOOR(Settings!$C$12/365*MAX(0,MIN(LvAsOf,J278)-I278+1)+N(N278),0.5)))</f>
        <v/>
      </c>
      <c r="Q278" s="16" t="str">
        <f aca="false">IF($A278="","",Settings!$C$14)</f>
        <v/>
      </c>
      <c r="R278" s="16" t="str">
        <f aca="false">IF($A278="","",SUMIFS(Attendance!$AZ$6:$AZ$2405,Attendance!$B$6:$B$2405,$A278,Attendance!$A$6:$A$2405,"&gt;="&amp;DATE(LvYear,1,1),Attendance!$A$6:$A$2405,"&lt;="&amp;DATE(LvYear,12,31)))</f>
        <v/>
      </c>
      <c r="S278" s="16" t="str">
        <f aca="false">IF($A278="","",SUMIFS(Attendance!$AY$6:$AY$2405,Attendance!$B$6:$B$2405,$A278,Attendance!$A$6:$A$2405,"&gt;="&amp;DATE(LvYear,1,1),Attendance!$A$6:$A$2405,"&lt;="&amp;DATE(LvYear,12,31)))</f>
        <v/>
      </c>
      <c r="T278" s="16" t="str">
        <f aca="false">IF($A278="","",SUMIFS(Attendance!$AX$6:$AX$2405,Attendance!$B$6:$B$2405,$A278,Attendance!$A$6:$A$2405,"&gt;="&amp;DATE(LvYear,1,1),Attendance!$A$6:$A$2405,"&lt;="&amp;DATE(LvYear,12,31)))</f>
        <v/>
      </c>
      <c r="U278" s="16" t="str">
        <f aca="false">IF($A278="","",SUMIFS(Attendance!$AW$6:$AW$2405,Attendance!$B$6:$B$2405,$A278,Attendance!$A$6:$A$2405,"&gt;="&amp;DATE(LvYear,1,1),Attendance!$A$6:$A$2405,"&lt;="&amp;DATE(LvYear,12,31)))</f>
        <v/>
      </c>
      <c r="V278" s="16" t="str">
        <f aca="false">IF($A278="","",L278-R278)</f>
        <v/>
      </c>
      <c r="W278" s="16" t="str">
        <f aca="false">IF($A278="","",M278-S278)</f>
        <v/>
      </c>
      <c r="X278" s="16" t="str">
        <f aca="false">IF($A278="","",P278-T278)</f>
        <v/>
      </c>
      <c r="Y278" s="16" t="str">
        <f aca="false">IF($A278="","",Q278-U278)</f>
        <v/>
      </c>
      <c r="Z278" s="16" t="str">
        <f aca="false">IF($A278="","",V278+W278+X278)</f>
        <v/>
      </c>
      <c r="AA278" s="16" t="str">
        <f aca="false">IF($A278="","",O278+N(N278)-T278)</f>
        <v/>
      </c>
      <c r="AB278" s="8" t="str">
        <f aca="false">IF($A278="","","CL "&amp;V278&amp;" | SL "&amp;W278&amp;" | PL "&amp;X278&amp;" | TR "&amp;Y278)</f>
        <v/>
      </c>
      <c r="AC278" s="15" t="str">
        <f aca="false">IF($A278="","",IF(F278="Exited","EXITED",IF(AND(ISNUMBER(K278),K278=0),"NOT ELIGIBLE",IF(MIN(V278:X278)&lt;0,"OVER-USED",IF(Z278&lt;=Settings!$C$15,"LOW","OK")))))</f>
        <v/>
      </c>
      <c r="AD278" s="16" t="str">
        <f aca="false">IF(OR(AC278="OVER-USED",AC278="LOW"),COUNTIF(AC$6:AC278,"OVER-USED")+COUNTIF(AC$6:AC278,"LOW"),"")</f>
        <v/>
      </c>
    </row>
    <row r="279" customFormat="false" ht="15" hidden="false" customHeight="false" outlineLevel="0" collapsed="false">
      <c r="A279" s="8" t="str">
        <f aca="false">IF('Employee List'!B279="","",'Employee List'!B279)</f>
        <v/>
      </c>
      <c r="B279" s="8" t="str">
        <f aca="false">IF($A279="","",'Employee List'!C279)</f>
        <v/>
      </c>
      <c r="C279" s="8" t="str">
        <f aca="false">IF($A279="","",'Employee List'!E279&amp;"")</f>
        <v/>
      </c>
      <c r="D279" s="8" t="str">
        <f aca="false">IF($A279="","",'Employee List'!F279&amp;"")</f>
        <v/>
      </c>
      <c r="E279" s="8" t="str">
        <f aca="false">IF($A279="","",'Employee List'!G279&amp;"")</f>
        <v/>
      </c>
      <c r="F279" s="8" t="str">
        <f aca="false">IF($A279="","",'Employee List'!D279)</f>
        <v/>
      </c>
      <c r="G279" s="38" t="str">
        <f aca="false">IF($A279="","",IF('Employee List'!I279="","",'Employee List'!I279))</f>
        <v/>
      </c>
      <c r="H279" s="38" t="str">
        <f aca="false">IF(OR($A279="",G279=""),"",G279+Settings!$C$13)</f>
        <v/>
      </c>
      <c r="I279" s="38" t="str">
        <f aca="false">IF(H279="","",MAX(H279,DATE(LvYear,1,1)))</f>
        <v/>
      </c>
      <c r="J279" s="38" t="str">
        <f aca="false">IF($A279="","",IF('Employee List'!J279="",DATE(LvYear,12,31),MIN('Employee List'!J279,DATE(LvYear,12,31))))</f>
        <v/>
      </c>
      <c r="K279" s="39" t="str">
        <f aca="false">IF(OR(I279="",J279=""),"",MAX(0,J279-I279+1))</f>
        <v/>
      </c>
      <c r="L279" s="16" t="str">
        <f aca="false">IF($A279="","",IF(AND(ISNUMBER(K279),K279=0),0,Settings!$C$10))</f>
        <v/>
      </c>
      <c r="M279" s="16" t="str">
        <f aca="false">IF($A279="","",IF(AND(ISNUMBER(K279),K279=0),0,Settings!$C$11))</f>
        <v/>
      </c>
      <c r="N279" s="40"/>
      <c r="O279" s="16" t="str">
        <f aca="false">IF($A279="","",FLOOR(Settings!$C$12/365*N(K279),0.5))</f>
        <v/>
      </c>
      <c r="P279" s="16" t="str">
        <f aca="false">IF($A279="","",IF(I279="",N(N279),FLOOR(Settings!$C$12/365*MAX(0,MIN(LvAsOf,J279)-I279+1)+N(N279),0.5)))</f>
        <v/>
      </c>
      <c r="Q279" s="16" t="str">
        <f aca="false">IF($A279="","",Settings!$C$14)</f>
        <v/>
      </c>
      <c r="R279" s="16" t="str">
        <f aca="false">IF($A279="","",SUMIFS(Attendance!$AZ$6:$AZ$2405,Attendance!$B$6:$B$2405,$A279,Attendance!$A$6:$A$2405,"&gt;="&amp;DATE(LvYear,1,1),Attendance!$A$6:$A$2405,"&lt;="&amp;DATE(LvYear,12,31)))</f>
        <v/>
      </c>
      <c r="S279" s="16" t="str">
        <f aca="false">IF($A279="","",SUMIFS(Attendance!$AY$6:$AY$2405,Attendance!$B$6:$B$2405,$A279,Attendance!$A$6:$A$2405,"&gt;="&amp;DATE(LvYear,1,1),Attendance!$A$6:$A$2405,"&lt;="&amp;DATE(LvYear,12,31)))</f>
        <v/>
      </c>
      <c r="T279" s="16" t="str">
        <f aca="false">IF($A279="","",SUMIFS(Attendance!$AX$6:$AX$2405,Attendance!$B$6:$B$2405,$A279,Attendance!$A$6:$A$2405,"&gt;="&amp;DATE(LvYear,1,1),Attendance!$A$6:$A$2405,"&lt;="&amp;DATE(LvYear,12,31)))</f>
        <v/>
      </c>
      <c r="U279" s="16" t="str">
        <f aca="false">IF($A279="","",SUMIFS(Attendance!$AW$6:$AW$2405,Attendance!$B$6:$B$2405,$A279,Attendance!$A$6:$A$2405,"&gt;="&amp;DATE(LvYear,1,1),Attendance!$A$6:$A$2405,"&lt;="&amp;DATE(LvYear,12,31)))</f>
        <v/>
      </c>
      <c r="V279" s="16" t="str">
        <f aca="false">IF($A279="","",L279-R279)</f>
        <v/>
      </c>
      <c r="W279" s="16" t="str">
        <f aca="false">IF($A279="","",M279-S279)</f>
        <v/>
      </c>
      <c r="X279" s="16" t="str">
        <f aca="false">IF($A279="","",P279-T279)</f>
        <v/>
      </c>
      <c r="Y279" s="16" t="str">
        <f aca="false">IF($A279="","",Q279-U279)</f>
        <v/>
      </c>
      <c r="Z279" s="16" t="str">
        <f aca="false">IF($A279="","",V279+W279+X279)</f>
        <v/>
      </c>
      <c r="AA279" s="16" t="str">
        <f aca="false">IF($A279="","",O279+N(N279)-T279)</f>
        <v/>
      </c>
      <c r="AB279" s="8" t="str">
        <f aca="false">IF($A279="","","CL "&amp;V279&amp;" | SL "&amp;W279&amp;" | PL "&amp;X279&amp;" | TR "&amp;Y279)</f>
        <v/>
      </c>
      <c r="AC279" s="15" t="str">
        <f aca="false">IF($A279="","",IF(F279="Exited","EXITED",IF(AND(ISNUMBER(K279),K279=0),"NOT ELIGIBLE",IF(MIN(V279:X279)&lt;0,"OVER-USED",IF(Z279&lt;=Settings!$C$15,"LOW","OK")))))</f>
        <v/>
      </c>
      <c r="AD279" s="16" t="str">
        <f aca="false">IF(OR(AC279="OVER-USED",AC279="LOW"),COUNTIF(AC$6:AC279,"OVER-USED")+COUNTIF(AC$6:AC279,"LOW"),"")</f>
        <v/>
      </c>
    </row>
    <row r="280" customFormat="false" ht="15" hidden="false" customHeight="false" outlineLevel="0" collapsed="false">
      <c r="A280" s="8" t="str">
        <f aca="false">IF('Employee List'!B280="","",'Employee List'!B280)</f>
        <v/>
      </c>
      <c r="B280" s="8" t="str">
        <f aca="false">IF($A280="","",'Employee List'!C280)</f>
        <v/>
      </c>
      <c r="C280" s="8" t="str">
        <f aca="false">IF($A280="","",'Employee List'!E280&amp;"")</f>
        <v/>
      </c>
      <c r="D280" s="8" t="str">
        <f aca="false">IF($A280="","",'Employee List'!F280&amp;"")</f>
        <v/>
      </c>
      <c r="E280" s="8" t="str">
        <f aca="false">IF($A280="","",'Employee List'!G280&amp;"")</f>
        <v/>
      </c>
      <c r="F280" s="8" t="str">
        <f aca="false">IF($A280="","",'Employee List'!D280)</f>
        <v/>
      </c>
      <c r="G280" s="38" t="str">
        <f aca="false">IF($A280="","",IF('Employee List'!I280="","",'Employee List'!I280))</f>
        <v/>
      </c>
      <c r="H280" s="38" t="str">
        <f aca="false">IF(OR($A280="",G280=""),"",G280+Settings!$C$13)</f>
        <v/>
      </c>
      <c r="I280" s="38" t="str">
        <f aca="false">IF(H280="","",MAX(H280,DATE(LvYear,1,1)))</f>
        <v/>
      </c>
      <c r="J280" s="38" t="str">
        <f aca="false">IF($A280="","",IF('Employee List'!J280="",DATE(LvYear,12,31),MIN('Employee List'!J280,DATE(LvYear,12,31))))</f>
        <v/>
      </c>
      <c r="K280" s="39" t="str">
        <f aca="false">IF(OR(I280="",J280=""),"",MAX(0,J280-I280+1))</f>
        <v/>
      </c>
      <c r="L280" s="16" t="str">
        <f aca="false">IF($A280="","",IF(AND(ISNUMBER(K280),K280=0),0,Settings!$C$10))</f>
        <v/>
      </c>
      <c r="M280" s="16" t="str">
        <f aca="false">IF($A280="","",IF(AND(ISNUMBER(K280),K280=0),0,Settings!$C$11))</f>
        <v/>
      </c>
      <c r="N280" s="40"/>
      <c r="O280" s="16" t="str">
        <f aca="false">IF($A280="","",FLOOR(Settings!$C$12/365*N(K280),0.5))</f>
        <v/>
      </c>
      <c r="P280" s="16" t="str">
        <f aca="false">IF($A280="","",IF(I280="",N(N280),FLOOR(Settings!$C$12/365*MAX(0,MIN(LvAsOf,J280)-I280+1)+N(N280),0.5)))</f>
        <v/>
      </c>
      <c r="Q280" s="16" t="str">
        <f aca="false">IF($A280="","",Settings!$C$14)</f>
        <v/>
      </c>
      <c r="R280" s="16" t="str">
        <f aca="false">IF($A280="","",SUMIFS(Attendance!$AZ$6:$AZ$2405,Attendance!$B$6:$B$2405,$A280,Attendance!$A$6:$A$2405,"&gt;="&amp;DATE(LvYear,1,1),Attendance!$A$6:$A$2405,"&lt;="&amp;DATE(LvYear,12,31)))</f>
        <v/>
      </c>
      <c r="S280" s="16" t="str">
        <f aca="false">IF($A280="","",SUMIFS(Attendance!$AY$6:$AY$2405,Attendance!$B$6:$B$2405,$A280,Attendance!$A$6:$A$2405,"&gt;="&amp;DATE(LvYear,1,1),Attendance!$A$6:$A$2405,"&lt;="&amp;DATE(LvYear,12,31)))</f>
        <v/>
      </c>
      <c r="T280" s="16" t="str">
        <f aca="false">IF($A280="","",SUMIFS(Attendance!$AX$6:$AX$2405,Attendance!$B$6:$B$2405,$A280,Attendance!$A$6:$A$2405,"&gt;="&amp;DATE(LvYear,1,1),Attendance!$A$6:$A$2405,"&lt;="&amp;DATE(LvYear,12,31)))</f>
        <v/>
      </c>
      <c r="U280" s="16" t="str">
        <f aca="false">IF($A280="","",SUMIFS(Attendance!$AW$6:$AW$2405,Attendance!$B$6:$B$2405,$A280,Attendance!$A$6:$A$2405,"&gt;="&amp;DATE(LvYear,1,1),Attendance!$A$6:$A$2405,"&lt;="&amp;DATE(LvYear,12,31)))</f>
        <v/>
      </c>
      <c r="V280" s="16" t="str">
        <f aca="false">IF($A280="","",L280-R280)</f>
        <v/>
      </c>
      <c r="W280" s="16" t="str">
        <f aca="false">IF($A280="","",M280-S280)</f>
        <v/>
      </c>
      <c r="X280" s="16" t="str">
        <f aca="false">IF($A280="","",P280-T280)</f>
        <v/>
      </c>
      <c r="Y280" s="16" t="str">
        <f aca="false">IF($A280="","",Q280-U280)</f>
        <v/>
      </c>
      <c r="Z280" s="16" t="str">
        <f aca="false">IF($A280="","",V280+W280+X280)</f>
        <v/>
      </c>
      <c r="AA280" s="16" t="str">
        <f aca="false">IF($A280="","",O280+N(N280)-T280)</f>
        <v/>
      </c>
      <c r="AB280" s="8" t="str">
        <f aca="false">IF($A280="","","CL "&amp;V280&amp;" | SL "&amp;W280&amp;" | PL "&amp;X280&amp;" | TR "&amp;Y280)</f>
        <v/>
      </c>
      <c r="AC280" s="15" t="str">
        <f aca="false">IF($A280="","",IF(F280="Exited","EXITED",IF(AND(ISNUMBER(K280),K280=0),"NOT ELIGIBLE",IF(MIN(V280:X280)&lt;0,"OVER-USED",IF(Z280&lt;=Settings!$C$15,"LOW","OK")))))</f>
        <v/>
      </c>
      <c r="AD280" s="16" t="str">
        <f aca="false">IF(OR(AC280="OVER-USED",AC280="LOW"),COUNTIF(AC$6:AC280,"OVER-USED")+COUNTIF(AC$6:AC280,"LOW"),"")</f>
        <v/>
      </c>
    </row>
    <row r="281" customFormat="false" ht="15" hidden="false" customHeight="false" outlineLevel="0" collapsed="false">
      <c r="A281" s="8" t="str">
        <f aca="false">IF('Employee List'!B281="","",'Employee List'!B281)</f>
        <v/>
      </c>
      <c r="B281" s="8" t="str">
        <f aca="false">IF($A281="","",'Employee List'!C281)</f>
        <v/>
      </c>
      <c r="C281" s="8" t="str">
        <f aca="false">IF($A281="","",'Employee List'!E281&amp;"")</f>
        <v/>
      </c>
      <c r="D281" s="8" t="str">
        <f aca="false">IF($A281="","",'Employee List'!F281&amp;"")</f>
        <v/>
      </c>
      <c r="E281" s="8" t="str">
        <f aca="false">IF($A281="","",'Employee List'!G281&amp;"")</f>
        <v/>
      </c>
      <c r="F281" s="8" t="str">
        <f aca="false">IF($A281="","",'Employee List'!D281)</f>
        <v/>
      </c>
      <c r="G281" s="38" t="str">
        <f aca="false">IF($A281="","",IF('Employee List'!I281="","",'Employee List'!I281))</f>
        <v/>
      </c>
      <c r="H281" s="38" t="str">
        <f aca="false">IF(OR($A281="",G281=""),"",G281+Settings!$C$13)</f>
        <v/>
      </c>
      <c r="I281" s="38" t="str">
        <f aca="false">IF(H281="","",MAX(H281,DATE(LvYear,1,1)))</f>
        <v/>
      </c>
      <c r="J281" s="38" t="str">
        <f aca="false">IF($A281="","",IF('Employee List'!J281="",DATE(LvYear,12,31),MIN('Employee List'!J281,DATE(LvYear,12,31))))</f>
        <v/>
      </c>
      <c r="K281" s="39" t="str">
        <f aca="false">IF(OR(I281="",J281=""),"",MAX(0,J281-I281+1))</f>
        <v/>
      </c>
      <c r="L281" s="16" t="str">
        <f aca="false">IF($A281="","",IF(AND(ISNUMBER(K281),K281=0),0,Settings!$C$10))</f>
        <v/>
      </c>
      <c r="M281" s="16" t="str">
        <f aca="false">IF($A281="","",IF(AND(ISNUMBER(K281),K281=0),0,Settings!$C$11))</f>
        <v/>
      </c>
      <c r="N281" s="40"/>
      <c r="O281" s="16" t="str">
        <f aca="false">IF($A281="","",FLOOR(Settings!$C$12/365*N(K281),0.5))</f>
        <v/>
      </c>
      <c r="P281" s="16" t="str">
        <f aca="false">IF($A281="","",IF(I281="",N(N281),FLOOR(Settings!$C$12/365*MAX(0,MIN(LvAsOf,J281)-I281+1)+N(N281),0.5)))</f>
        <v/>
      </c>
      <c r="Q281" s="16" t="str">
        <f aca="false">IF($A281="","",Settings!$C$14)</f>
        <v/>
      </c>
      <c r="R281" s="16" t="str">
        <f aca="false">IF($A281="","",SUMIFS(Attendance!$AZ$6:$AZ$2405,Attendance!$B$6:$B$2405,$A281,Attendance!$A$6:$A$2405,"&gt;="&amp;DATE(LvYear,1,1),Attendance!$A$6:$A$2405,"&lt;="&amp;DATE(LvYear,12,31)))</f>
        <v/>
      </c>
      <c r="S281" s="16" t="str">
        <f aca="false">IF($A281="","",SUMIFS(Attendance!$AY$6:$AY$2405,Attendance!$B$6:$B$2405,$A281,Attendance!$A$6:$A$2405,"&gt;="&amp;DATE(LvYear,1,1),Attendance!$A$6:$A$2405,"&lt;="&amp;DATE(LvYear,12,31)))</f>
        <v/>
      </c>
      <c r="T281" s="16" t="str">
        <f aca="false">IF($A281="","",SUMIFS(Attendance!$AX$6:$AX$2405,Attendance!$B$6:$B$2405,$A281,Attendance!$A$6:$A$2405,"&gt;="&amp;DATE(LvYear,1,1),Attendance!$A$6:$A$2405,"&lt;="&amp;DATE(LvYear,12,31)))</f>
        <v/>
      </c>
      <c r="U281" s="16" t="str">
        <f aca="false">IF($A281="","",SUMIFS(Attendance!$AW$6:$AW$2405,Attendance!$B$6:$B$2405,$A281,Attendance!$A$6:$A$2405,"&gt;="&amp;DATE(LvYear,1,1),Attendance!$A$6:$A$2405,"&lt;="&amp;DATE(LvYear,12,31)))</f>
        <v/>
      </c>
      <c r="V281" s="16" t="str">
        <f aca="false">IF($A281="","",L281-R281)</f>
        <v/>
      </c>
      <c r="W281" s="16" t="str">
        <f aca="false">IF($A281="","",M281-S281)</f>
        <v/>
      </c>
      <c r="X281" s="16" t="str">
        <f aca="false">IF($A281="","",P281-T281)</f>
        <v/>
      </c>
      <c r="Y281" s="16" t="str">
        <f aca="false">IF($A281="","",Q281-U281)</f>
        <v/>
      </c>
      <c r="Z281" s="16" t="str">
        <f aca="false">IF($A281="","",V281+W281+X281)</f>
        <v/>
      </c>
      <c r="AA281" s="16" t="str">
        <f aca="false">IF($A281="","",O281+N(N281)-T281)</f>
        <v/>
      </c>
      <c r="AB281" s="8" t="str">
        <f aca="false">IF($A281="","","CL "&amp;V281&amp;" | SL "&amp;W281&amp;" | PL "&amp;X281&amp;" | TR "&amp;Y281)</f>
        <v/>
      </c>
      <c r="AC281" s="15" t="str">
        <f aca="false">IF($A281="","",IF(F281="Exited","EXITED",IF(AND(ISNUMBER(K281),K281=0),"NOT ELIGIBLE",IF(MIN(V281:X281)&lt;0,"OVER-USED",IF(Z281&lt;=Settings!$C$15,"LOW","OK")))))</f>
        <v/>
      </c>
      <c r="AD281" s="16" t="str">
        <f aca="false">IF(OR(AC281="OVER-USED",AC281="LOW"),COUNTIF(AC$6:AC281,"OVER-USED")+COUNTIF(AC$6:AC281,"LOW"),"")</f>
        <v/>
      </c>
    </row>
    <row r="282" customFormat="false" ht="15" hidden="false" customHeight="false" outlineLevel="0" collapsed="false">
      <c r="A282" s="8" t="str">
        <f aca="false">IF('Employee List'!B282="","",'Employee List'!B282)</f>
        <v/>
      </c>
      <c r="B282" s="8" t="str">
        <f aca="false">IF($A282="","",'Employee List'!C282)</f>
        <v/>
      </c>
      <c r="C282" s="8" t="str">
        <f aca="false">IF($A282="","",'Employee List'!E282&amp;"")</f>
        <v/>
      </c>
      <c r="D282" s="8" t="str">
        <f aca="false">IF($A282="","",'Employee List'!F282&amp;"")</f>
        <v/>
      </c>
      <c r="E282" s="8" t="str">
        <f aca="false">IF($A282="","",'Employee List'!G282&amp;"")</f>
        <v/>
      </c>
      <c r="F282" s="8" t="str">
        <f aca="false">IF($A282="","",'Employee List'!D282)</f>
        <v/>
      </c>
      <c r="G282" s="38" t="str">
        <f aca="false">IF($A282="","",IF('Employee List'!I282="","",'Employee List'!I282))</f>
        <v/>
      </c>
      <c r="H282" s="38" t="str">
        <f aca="false">IF(OR($A282="",G282=""),"",G282+Settings!$C$13)</f>
        <v/>
      </c>
      <c r="I282" s="38" t="str">
        <f aca="false">IF(H282="","",MAX(H282,DATE(LvYear,1,1)))</f>
        <v/>
      </c>
      <c r="J282" s="38" t="str">
        <f aca="false">IF($A282="","",IF('Employee List'!J282="",DATE(LvYear,12,31),MIN('Employee List'!J282,DATE(LvYear,12,31))))</f>
        <v/>
      </c>
      <c r="K282" s="39" t="str">
        <f aca="false">IF(OR(I282="",J282=""),"",MAX(0,J282-I282+1))</f>
        <v/>
      </c>
      <c r="L282" s="16" t="str">
        <f aca="false">IF($A282="","",IF(AND(ISNUMBER(K282),K282=0),0,Settings!$C$10))</f>
        <v/>
      </c>
      <c r="M282" s="16" t="str">
        <f aca="false">IF($A282="","",IF(AND(ISNUMBER(K282),K282=0),0,Settings!$C$11))</f>
        <v/>
      </c>
      <c r="N282" s="40"/>
      <c r="O282" s="16" t="str">
        <f aca="false">IF($A282="","",FLOOR(Settings!$C$12/365*N(K282),0.5))</f>
        <v/>
      </c>
      <c r="P282" s="16" t="str">
        <f aca="false">IF($A282="","",IF(I282="",N(N282),FLOOR(Settings!$C$12/365*MAX(0,MIN(LvAsOf,J282)-I282+1)+N(N282),0.5)))</f>
        <v/>
      </c>
      <c r="Q282" s="16" t="str">
        <f aca="false">IF($A282="","",Settings!$C$14)</f>
        <v/>
      </c>
      <c r="R282" s="16" t="str">
        <f aca="false">IF($A282="","",SUMIFS(Attendance!$AZ$6:$AZ$2405,Attendance!$B$6:$B$2405,$A282,Attendance!$A$6:$A$2405,"&gt;="&amp;DATE(LvYear,1,1),Attendance!$A$6:$A$2405,"&lt;="&amp;DATE(LvYear,12,31)))</f>
        <v/>
      </c>
      <c r="S282" s="16" t="str">
        <f aca="false">IF($A282="","",SUMIFS(Attendance!$AY$6:$AY$2405,Attendance!$B$6:$B$2405,$A282,Attendance!$A$6:$A$2405,"&gt;="&amp;DATE(LvYear,1,1),Attendance!$A$6:$A$2405,"&lt;="&amp;DATE(LvYear,12,31)))</f>
        <v/>
      </c>
      <c r="T282" s="16" t="str">
        <f aca="false">IF($A282="","",SUMIFS(Attendance!$AX$6:$AX$2405,Attendance!$B$6:$B$2405,$A282,Attendance!$A$6:$A$2405,"&gt;="&amp;DATE(LvYear,1,1),Attendance!$A$6:$A$2405,"&lt;="&amp;DATE(LvYear,12,31)))</f>
        <v/>
      </c>
      <c r="U282" s="16" t="str">
        <f aca="false">IF($A282="","",SUMIFS(Attendance!$AW$6:$AW$2405,Attendance!$B$6:$B$2405,$A282,Attendance!$A$6:$A$2405,"&gt;="&amp;DATE(LvYear,1,1),Attendance!$A$6:$A$2405,"&lt;="&amp;DATE(LvYear,12,31)))</f>
        <v/>
      </c>
      <c r="V282" s="16" t="str">
        <f aca="false">IF($A282="","",L282-R282)</f>
        <v/>
      </c>
      <c r="W282" s="16" t="str">
        <f aca="false">IF($A282="","",M282-S282)</f>
        <v/>
      </c>
      <c r="X282" s="16" t="str">
        <f aca="false">IF($A282="","",P282-T282)</f>
        <v/>
      </c>
      <c r="Y282" s="16" t="str">
        <f aca="false">IF($A282="","",Q282-U282)</f>
        <v/>
      </c>
      <c r="Z282" s="16" t="str">
        <f aca="false">IF($A282="","",V282+W282+X282)</f>
        <v/>
      </c>
      <c r="AA282" s="16" t="str">
        <f aca="false">IF($A282="","",O282+N(N282)-T282)</f>
        <v/>
      </c>
      <c r="AB282" s="8" t="str">
        <f aca="false">IF($A282="","","CL "&amp;V282&amp;" | SL "&amp;W282&amp;" | PL "&amp;X282&amp;" | TR "&amp;Y282)</f>
        <v/>
      </c>
      <c r="AC282" s="15" t="str">
        <f aca="false">IF($A282="","",IF(F282="Exited","EXITED",IF(AND(ISNUMBER(K282),K282=0),"NOT ELIGIBLE",IF(MIN(V282:X282)&lt;0,"OVER-USED",IF(Z282&lt;=Settings!$C$15,"LOW","OK")))))</f>
        <v/>
      </c>
      <c r="AD282" s="16" t="str">
        <f aca="false">IF(OR(AC282="OVER-USED",AC282="LOW"),COUNTIF(AC$6:AC282,"OVER-USED")+COUNTIF(AC$6:AC282,"LOW"),"")</f>
        <v/>
      </c>
    </row>
    <row r="283" customFormat="false" ht="15" hidden="false" customHeight="false" outlineLevel="0" collapsed="false">
      <c r="A283" s="8" t="str">
        <f aca="false">IF('Employee List'!B283="","",'Employee List'!B283)</f>
        <v/>
      </c>
      <c r="B283" s="8" t="str">
        <f aca="false">IF($A283="","",'Employee List'!C283)</f>
        <v/>
      </c>
      <c r="C283" s="8" t="str">
        <f aca="false">IF($A283="","",'Employee List'!E283&amp;"")</f>
        <v/>
      </c>
      <c r="D283" s="8" t="str">
        <f aca="false">IF($A283="","",'Employee List'!F283&amp;"")</f>
        <v/>
      </c>
      <c r="E283" s="8" t="str">
        <f aca="false">IF($A283="","",'Employee List'!G283&amp;"")</f>
        <v/>
      </c>
      <c r="F283" s="8" t="str">
        <f aca="false">IF($A283="","",'Employee List'!D283)</f>
        <v/>
      </c>
      <c r="G283" s="38" t="str">
        <f aca="false">IF($A283="","",IF('Employee List'!I283="","",'Employee List'!I283))</f>
        <v/>
      </c>
      <c r="H283" s="38" t="str">
        <f aca="false">IF(OR($A283="",G283=""),"",G283+Settings!$C$13)</f>
        <v/>
      </c>
      <c r="I283" s="38" t="str">
        <f aca="false">IF(H283="","",MAX(H283,DATE(LvYear,1,1)))</f>
        <v/>
      </c>
      <c r="J283" s="38" t="str">
        <f aca="false">IF($A283="","",IF('Employee List'!J283="",DATE(LvYear,12,31),MIN('Employee List'!J283,DATE(LvYear,12,31))))</f>
        <v/>
      </c>
      <c r="K283" s="39" t="str">
        <f aca="false">IF(OR(I283="",J283=""),"",MAX(0,J283-I283+1))</f>
        <v/>
      </c>
      <c r="L283" s="16" t="str">
        <f aca="false">IF($A283="","",IF(AND(ISNUMBER(K283),K283=0),0,Settings!$C$10))</f>
        <v/>
      </c>
      <c r="M283" s="16" t="str">
        <f aca="false">IF($A283="","",IF(AND(ISNUMBER(K283),K283=0),0,Settings!$C$11))</f>
        <v/>
      </c>
      <c r="N283" s="40"/>
      <c r="O283" s="16" t="str">
        <f aca="false">IF($A283="","",FLOOR(Settings!$C$12/365*N(K283),0.5))</f>
        <v/>
      </c>
      <c r="P283" s="16" t="str">
        <f aca="false">IF($A283="","",IF(I283="",N(N283),FLOOR(Settings!$C$12/365*MAX(0,MIN(LvAsOf,J283)-I283+1)+N(N283),0.5)))</f>
        <v/>
      </c>
      <c r="Q283" s="16" t="str">
        <f aca="false">IF($A283="","",Settings!$C$14)</f>
        <v/>
      </c>
      <c r="R283" s="16" t="str">
        <f aca="false">IF($A283="","",SUMIFS(Attendance!$AZ$6:$AZ$2405,Attendance!$B$6:$B$2405,$A283,Attendance!$A$6:$A$2405,"&gt;="&amp;DATE(LvYear,1,1),Attendance!$A$6:$A$2405,"&lt;="&amp;DATE(LvYear,12,31)))</f>
        <v/>
      </c>
      <c r="S283" s="16" t="str">
        <f aca="false">IF($A283="","",SUMIFS(Attendance!$AY$6:$AY$2405,Attendance!$B$6:$B$2405,$A283,Attendance!$A$6:$A$2405,"&gt;="&amp;DATE(LvYear,1,1),Attendance!$A$6:$A$2405,"&lt;="&amp;DATE(LvYear,12,31)))</f>
        <v/>
      </c>
      <c r="T283" s="16" t="str">
        <f aca="false">IF($A283="","",SUMIFS(Attendance!$AX$6:$AX$2405,Attendance!$B$6:$B$2405,$A283,Attendance!$A$6:$A$2405,"&gt;="&amp;DATE(LvYear,1,1),Attendance!$A$6:$A$2405,"&lt;="&amp;DATE(LvYear,12,31)))</f>
        <v/>
      </c>
      <c r="U283" s="16" t="str">
        <f aca="false">IF($A283="","",SUMIFS(Attendance!$AW$6:$AW$2405,Attendance!$B$6:$B$2405,$A283,Attendance!$A$6:$A$2405,"&gt;="&amp;DATE(LvYear,1,1),Attendance!$A$6:$A$2405,"&lt;="&amp;DATE(LvYear,12,31)))</f>
        <v/>
      </c>
      <c r="V283" s="16" t="str">
        <f aca="false">IF($A283="","",L283-R283)</f>
        <v/>
      </c>
      <c r="W283" s="16" t="str">
        <f aca="false">IF($A283="","",M283-S283)</f>
        <v/>
      </c>
      <c r="X283" s="16" t="str">
        <f aca="false">IF($A283="","",P283-T283)</f>
        <v/>
      </c>
      <c r="Y283" s="16" t="str">
        <f aca="false">IF($A283="","",Q283-U283)</f>
        <v/>
      </c>
      <c r="Z283" s="16" t="str">
        <f aca="false">IF($A283="","",V283+W283+X283)</f>
        <v/>
      </c>
      <c r="AA283" s="16" t="str">
        <f aca="false">IF($A283="","",O283+N(N283)-T283)</f>
        <v/>
      </c>
      <c r="AB283" s="8" t="str">
        <f aca="false">IF($A283="","","CL "&amp;V283&amp;" | SL "&amp;W283&amp;" | PL "&amp;X283&amp;" | TR "&amp;Y283)</f>
        <v/>
      </c>
      <c r="AC283" s="15" t="str">
        <f aca="false">IF($A283="","",IF(F283="Exited","EXITED",IF(AND(ISNUMBER(K283),K283=0),"NOT ELIGIBLE",IF(MIN(V283:X283)&lt;0,"OVER-USED",IF(Z283&lt;=Settings!$C$15,"LOW","OK")))))</f>
        <v/>
      </c>
      <c r="AD283" s="16" t="str">
        <f aca="false">IF(OR(AC283="OVER-USED",AC283="LOW"),COUNTIF(AC$6:AC283,"OVER-USED")+COUNTIF(AC$6:AC283,"LOW"),"")</f>
        <v/>
      </c>
    </row>
    <row r="284" customFormat="false" ht="15" hidden="false" customHeight="false" outlineLevel="0" collapsed="false">
      <c r="A284" s="8" t="str">
        <f aca="false">IF('Employee List'!B284="","",'Employee List'!B284)</f>
        <v/>
      </c>
      <c r="B284" s="8" t="str">
        <f aca="false">IF($A284="","",'Employee List'!C284)</f>
        <v/>
      </c>
      <c r="C284" s="8" t="str">
        <f aca="false">IF($A284="","",'Employee List'!E284&amp;"")</f>
        <v/>
      </c>
      <c r="D284" s="8" t="str">
        <f aca="false">IF($A284="","",'Employee List'!F284&amp;"")</f>
        <v/>
      </c>
      <c r="E284" s="8" t="str">
        <f aca="false">IF($A284="","",'Employee List'!G284&amp;"")</f>
        <v/>
      </c>
      <c r="F284" s="8" t="str">
        <f aca="false">IF($A284="","",'Employee List'!D284)</f>
        <v/>
      </c>
      <c r="G284" s="38" t="str">
        <f aca="false">IF($A284="","",IF('Employee List'!I284="","",'Employee List'!I284))</f>
        <v/>
      </c>
      <c r="H284" s="38" t="str">
        <f aca="false">IF(OR($A284="",G284=""),"",G284+Settings!$C$13)</f>
        <v/>
      </c>
      <c r="I284" s="38" t="str">
        <f aca="false">IF(H284="","",MAX(H284,DATE(LvYear,1,1)))</f>
        <v/>
      </c>
      <c r="J284" s="38" t="str">
        <f aca="false">IF($A284="","",IF('Employee List'!J284="",DATE(LvYear,12,31),MIN('Employee List'!J284,DATE(LvYear,12,31))))</f>
        <v/>
      </c>
      <c r="K284" s="39" t="str">
        <f aca="false">IF(OR(I284="",J284=""),"",MAX(0,J284-I284+1))</f>
        <v/>
      </c>
      <c r="L284" s="16" t="str">
        <f aca="false">IF($A284="","",IF(AND(ISNUMBER(K284),K284=0),0,Settings!$C$10))</f>
        <v/>
      </c>
      <c r="M284" s="16" t="str">
        <f aca="false">IF($A284="","",IF(AND(ISNUMBER(K284),K284=0),0,Settings!$C$11))</f>
        <v/>
      </c>
      <c r="N284" s="40"/>
      <c r="O284" s="16" t="str">
        <f aca="false">IF($A284="","",FLOOR(Settings!$C$12/365*N(K284),0.5))</f>
        <v/>
      </c>
      <c r="P284" s="16" t="str">
        <f aca="false">IF($A284="","",IF(I284="",N(N284),FLOOR(Settings!$C$12/365*MAX(0,MIN(LvAsOf,J284)-I284+1)+N(N284),0.5)))</f>
        <v/>
      </c>
      <c r="Q284" s="16" t="str">
        <f aca="false">IF($A284="","",Settings!$C$14)</f>
        <v/>
      </c>
      <c r="R284" s="16" t="str">
        <f aca="false">IF($A284="","",SUMIFS(Attendance!$AZ$6:$AZ$2405,Attendance!$B$6:$B$2405,$A284,Attendance!$A$6:$A$2405,"&gt;="&amp;DATE(LvYear,1,1),Attendance!$A$6:$A$2405,"&lt;="&amp;DATE(LvYear,12,31)))</f>
        <v/>
      </c>
      <c r="S284" s="16" t="str">
        <f aca="false">IF($A284="","",SUMIFS(Attendance!$AY$6:$AY$2405,Attendance!$B$6:$B$2405,$A284,Attendance!$A$6:$A$2405,"&gt;="&amp;DATE(LvYear,1,1),Attendance!$A$6:$A$2405,"&lt;="&amp;DATE(LvYear,12,31)))</f>
        <v/>
      </c>
      <c r="T284" s="16" t="str">
        <f aca="false">IF($A284="","",SUMIFS(Attendance!$AX$6:$AX$2405,Attendance!$B$6:$B$2405,$A284,Attendance!$A$6:$A$2405,"&gt;="&amp;DATE(LvYear,1,1),Attendance!$A$6:$A$2405,"&lt;="&amp;DATE(LvYear,12,31)))</f>
        <v/>
      </c>
      <c r="U284" s="16" t="str">
        <f aca="false">IF($A284="","",SUMIFS(Attendance!$AW$6:$AW$2405,Attendance!$B$6:$B$2405,$A284,Attendance!$A$6:$A$2405,"&gt;="&amp;DATE(LvYear,1,1),Attendance!$A$6:$A$2405,"&lt;="&amp;DATE(LvYear,12,31)))</f>
        <v/>
      </c>
      <c r="V284" s="16" t="str">
        <f aca="false">IF($A284="","",L284-R284)</f>
        <v/>
      </c>
      <c r="W284" s="16" t="str">
        <f aca="false">IF($A284="","",M284-S284)</f>
        <v/>
      </c>
      <c r="X284" s="16" t="str">
        <f aca="false">IF($A284="","",P284-T284)</f>
        <v/>
      </c>
      <c r="Y284" s="16" t="str">
        <f aca="false">IF($A284="","",Q284-U284)</f>
        <v/>
      </c>
      <c r="Z284" s="16" t="str">
        <f aca="false">IF($A284="","",V284+W284+X284)</f>
        <v/>
      </c>
      <c r="AA284" s="16" t="str">
        <f aca="false">IF($A284="","",O284+N(N284)-T284)</f>
        <v/>
      </c>
      <c r="AB284" s="8" t="str">
        <f aca="false">IF($A284="","","CL "&amp;V284&amp;" | SL "&amp;W284&amp;" | PL "&amp;X284&amp;" | TR "&amp;Y284)</f>
        <v/>
      </c>
      <c r="AC284" s="15" t="str">
        <f aca="false">IF($A284="","",IF(F284="Exited","EXITED",IF(AND(ISNUMBER(K284),K284=0),"NOT ELIGIBLE",IF(MIN(V284:X284)&lt;0,"OVER-USED",IF(Z284&lt;=Settings!$C$15,"LOW","OK")))))</f>
        <v/>
      </c>
      <c r="AD284" s="16" t="str">
        <f aca="false">IF(OR(AC284="OVER-USED",AC284="LOW"),COUNTIF(AC$6:AC284,"OVER-USED")+COUNTIF(AC$6:AC284,"LOW"),"")</f>
        <v/>
      </c>
    </row>
    <row r="285" customFormat="false" ht="15" hidden="false" customHeight="false" outlineLevel="0" collapsed="false">
      <c r="A285" s="8" t="str">
        <f aca="false">IF('Employee List'!B285="","",'Employee List'!B285)</f>
        <v/>
      </c>
      <c r="B285" s="8" t="str">
        <f aca="false">IF($A285="","",'Employee List'!C285)</f>
        <v/>
      </c>
      <c r="C285" s="8" t="str">
        <f aca="false">IF($A285="","",'Employee List'!E285&amp;"")</f>
        <v/>
      </c>
      <c r="D285" s="8" t="str">
        <f aca="false">IF($A285="","",'Employee List'!F285&amp;"")</f>
        <v/>
      </c>
      <c r="E285" s="8" t="str">
        <f aca="false">IF($A285="","",'Employee List'!G285&amp;"")</f>
        <v/>
      </c>
      <c r="F285" s="8" t="str">
        <f aca="false">IF($A285="","",'Employee List'!D285)</f>
        <v/>
      </c>
      <c r="G285" s="38" t="str">
        <f aca="false">IF($A285="","",IF('Employee List'!I285="","",'Employee List'!I285))</f>
        <v/>
      </c>
      <c r="H285" s="38" t="str">
        <f aca="false">IF(OR($A285="",G285=""),"",G285+Settings!$C$13)</f>
        <v/>
      </c>
      <c r="I285" s="38" t="str">
        <f aca="false">IF(H285="","",MAX(H285,DATE(LvYear,1,1)))</f>
        <v/>
      </c>
      <c r="J285" s="38" t="str">
        <f aca="false">IF($A285="","",IF('Employee List'!J285="",DATE(LvYear,12,31),MIN('Employee List'!J285,DATE(LvYear,12,31))))</f>
        <v/>
      </c>
      <c r="K285" s="39" t="str">
        <f aca="false">IF(OR(I285="",J285=""),"",MAX(0,J285-I285+1))</f>
        <v/>
      </c>
      <c r="L285" s="16" t="str">
        <f aca="false">IF($A285="","",IF(AND(ISNUMBER(K285),K285=0),0,Settings!$C$10))</f>
        <v/>
      </c>
      <c r="M285" s="16" t="str">
        <f aca="false">IF($A285="","",IF(AND(ISNUMBER(K285),K285=0),0,Settings!$C$11))</f>
        <v/>
      </c>
      <c r="N285" s="40"/>
      <c r="O285" s="16" t="str">
        <f aca="false">IF($A285="","",FLOOR(Settings!$C$12/365*N(K285),0.5))</f>
        <v/>
      </c>
      <c r="P285" s="16" t="str">
        <f aca="false">IF($A285="","",IF(I285="",N(N285),FLOOR(Settings!$C$12/365*MAX(0,MIN(LvAsOf,J285)-I285+1)+N(N285),0.5)))</f>
        <v/>
      </c>
      <c r="Q285" s="16" t="str">
        <f aca="false">IF($A285="","",Settings!$C$14)</f>
        <v/>
      </c>
      <c r="R285" s="16" t="str">
        <f aca="false">IF($A285="","",SUMIFS(Attendance!$AZ$6:$AZ$2405,Attendance!$B$6:$B$2405,$A285,Attendance!$A$6:$A$2405,"&gt;="&amp;DATE(LvYear,1,1),Attendance!$A$6:$A$2405,"&lt;="&amp;DATE(LvYear,12,31)))</f>
        <v/>
      </c>
      <c r="S285" s="16" t="str">
        <f aca="false">IF($A285="","",SUMIFS(Attendance!$AY$6:$AY$2405,Attendance!$B$6:$B$2405,$A285,Attendance!$A$6:$A$2405,"&gt;="&amp;DATE(LvYear,1,1),Attendance!$A$6:$A$2405,"&lt;="&amp;DATE(LvYear,12,31)))</f>
        <v/>
      </c>
      <c r="T285" s="16" t="str">
        <f aca="false">IF($A285="","",SUMIFS(Attendance!$AX$6:$AX$2405,Attendance!$B$6:$B$2405,$A285,Attendance!$A$6:$A$2405,"&gt;="&amp;DATE(LvYear,1,1),Attendance!$A$6:$A$2405,"&lt;="&amp;DATE(LvYear,12,31)))</f>
        <v/>
      </c>
      <c r="U285" s="16" t="str">
        <f aca="false">IF($A285="","",SUMIFS(Attendance!$AW$6:$AW$2405,Attendance!$B$6:$B$2405,$A285,Attendance!$A$6:$A$2405,"&gt;="&amp;DATE(LvYear,1,1),Attendance!$A$6:$A$2405,"&lt;="&amp;DATE(LvYear,12,31)))</f>
        <v/>
      </c>
      <c r="V285" s="16" t="str">
        <f aca="false">IF($A285="","",L285-R285)</f>
        <v/>
      </c>
      <c r="W285" s="16" t="str">
        <f aca="false">IF($A285="","",M285-S285)</f>
        <v/>
      </c>
      <c r="X285" s="16" t="str">
        <f aca="false">IF($A285="","",P285-T285)</f>
        <v/>
      </c>
      <c r="Y285" s="16" t="str">
        <f aca="false">IF($A285="","",Q285-U285)</f>
        <v/>
      </c>
      <c r="Z285" s="16" t="str">
        <f aca="false">IF($A285="","",V285+W285+X285)</f>
        <v/>
      </c>
      <c r="AA285" s="16" t="str">
        <f aca="false">IF($A285="","",O285+N(N285)-T285)</f>
        <v/>
      </c>
      <c r="AB285" s="8" t="str">
        <f aca="false">IF($A285="","","CL "&amp;V285&amp;" | SL "&amp;W285&amp;" | PL "&amp;X285&amp;" | TR "&amp;Y285)</f>
        <v/>
      </c>
      <c r="AC285" s="15" t="str">
        <f aca="false">IF($A285="","",IF(F285="Exited","EXITED",IF(AND(ISNUMBER(K285),K285=0),"NOT ELIGIBLE",IF(MIN(V285:X285)&lt;0,"OVER-USED",IF(Z285&lt;=Settings!$C$15,"LOW","OK")))))</f>
        <v/>
      </c>
      <c r="AD285" s="16" t="str">
        <f aca="false">IF(OR(AC285="OVER-USED",AC285="LOW"),COUNTIF(AC$6:AC285,"OVER-USED")+COUNTIF(AC$6:AC285,"LOW"),"")</f>
        <v/>
      </c>
    </row>
    <row r="286" customFormat="false" ht="15" hidden="false" customHeight="false" outlineLevel="0" collapsed="false">
      <c r="A286" s="8" t="str">
        <f aca="false">IF('Employee List'!B286="","",'Employee List'!B286)</f>
        <v/>
      </c>
      <c r="B286" s="8" t="str">
        <f aca="false">IF($A286="","",'Employee List'!C286)</f>
        <v/>
      </c>
      <c r="C286" s="8" t="str">
        <f aca="false">IF($A286="","",'Employee List'!E286&amp;"")</f>
        <v/>
      </c>
      <c r="D286" s="8" t="str">
        <f aca="false">IF($A286="","",'Employee List'!F286&amp;"")</f>
        <v/>
      </c>
      <c r="E286" s="8" t="str">
        <f aca="false">IF($A286="","",'Employee List'!G286&amp;"")</f>
        <v/>
      </c>
      <c r="F286" s="8" t="str">
        <f aca="false">IF($A286="","",'Employee List'!D286)</f>
        <v/>
      </c>
      <c r="G286" s="38" t="str">
        <f aca="false">IF($A286="","",IF('Employee List'!I286="","",'Employee List'!I286))</f>
        <v/>
      </c>
      <c r="H286" s="38" t="str">
        <f aca="false">IF(OR($A286="",G286=""),"",G286+Settings!$C$13)</f>
        <v/>
      </c>
      <c r="I286" s="38" t="str">
        <f aca="false">IF(H286="","",MAX(H286,DATE(LvYear,1,1)))</f>
        <v/>
      </c>
      <c r="J286" s="38" t="str">
        <f aca="false">IF($A286="","",IF('Employee List'!J286="",DATE(LvYear,12,31),MIN('Employee List'!J286,DATE(LvYear,12,31))))</f>
        <v/>
      </c>
      <c r="K286" s="39" t="str">
        <f aca="false">IF(OR(I286="",J286=""),"",MAX(0,J286-I286+1))</f>
        <v/>
      </c>
      <c r="L286" s="16" t="str">
        <f aca="false">IF($A286="","",IF(AND(ISNUMBER(K286),K286=0),0,Settings!$C$10))</f>
        <v/>
      </c>
      <c r="M286" s="16" t="str">
        <f aca="false">IF($A286="","",IF(AND(ISNUMBER(K286),K286=0),0,Settings!$C$11))</f>
        <v/>
      </c>
      <c r="N286" s="40"/>
      <c r="O286" s="16" t="str">
        <f aca="false">IF($A286="","",FLOOR(Settings!$C$12/365*N(K286),0.5))</f>
        <v/>
      </c>
      <c r="P286" s="16" t="str">
        <f aca="false">IF($A286="","",IF(I286="",N(N286),FLOOR(Settings!$C$12/365*MAX(0,MIN(LvAsOf,J286)-I286+1)+N(N286),0.5)))</f>
        <v/>
      </c>
      <c r="Q286" s="16" t="str">
        <f aca="false">IF($A286="","",Settings!$C$14)</f>
        <v/>
      </c>
      <c r="R286" s="16" t="str">
        <f aca="false">IF($A286="","",SUMIFS(Attendance!$AZ$6:$AZ$2405,Attendance!$B$6:$B$2405,$A286,Attendance!$A$6:$A$2405,"&gt;="&amp;DATE(LvYear,1,1),Attendance!$A$6:$A$2405,"&lt;="&amp;DATE(LvYear,12,31)))</f>
        <v/>
      </c>
      <c r="S286" s="16" t="str">
        <f aca="false">IF($A286="","",SUMIFS(Attendance!$AY$6:$AY$2405,Attendance!$B$6:$B$2405,$A286,Attendance!$A$6:$A$2405,"&gt;="&amp;DATE(LvYear,1,1),Attendance!$A$6:$A$2405,"&lt;="&amp;DATE(LvYear,12,31)))</f>
        <v/>
      </c>
      <c r="T286" s="16" t="str">
        <f aca="false">IF($A286="","",SUMIFS(Attendance!$AX$6:$AX$2405,Attendance!$B$6:$B$2405,$A286,Attendance!$A$6:$A$2405,"&gt;="&amp;DATE(LvYear,1,1),Attendance!$A$6:$A$2405,"&lt;="&amp;DATE(LvYear,12,31)))</f>
        <v/>
      </c>
      <c r="U286" s="16" t="str">
        <f aca="false">IF($A286="","",SUMIFS(Attendance!$AW$6:$AW$2405,Attendance!$B$6:$B$2405,$A286,Attendance!$A$6:$A$2405,"&gt;="&amp;DATE(LvYear,1,1),Attendance!$A$6:$A$2405,"&lt;="&amp;DATE(LvYear,12,31)))</f>
        <v/>
      </c>
      <c r="V286" s="16" t="str">
        <f aca="false">IF($A286="","",L286-R286)</f>
        <v/>
      </c>
      <c r="W286" s="16" t="str">
        <f aca="false">IF($A286="","",M286-S286)</f>
        <v/>
      </c>
      <c r="X286" s="16" t="str">
        <f aca="false">IF($A286="","",P286-T286)</f>
        <v/>
      </c>
      <c r="Y286" s="16" t="str">
        <f aca="false">IF($A286="","",Q286-U286)</f>
        <v/>
      </c>
      <c r="Z286" s="16" t="str">
        <f aca="false">IF($A286="","",V286+W286+X286)</f>
        <v/>
      </c>
      <c r="AA286" s="16" t="str">
        <f aca="false">IF($A286="","",O286+N(N286)-T286)</f>
        <v/>
      </c>
      <c r="AB286" s="8" t="str">
        <f aca="false">IF($A286="","","CL "&amp;V286&amp;" | SL "&amp;W286&amp;" | PL "&amp;X286&amp;" | TR "&amp;Y286)</f>
        <v/>
      </c>
      <c r="AC286" s="15" t="str">
        <f aca="false">IF($A286="","",IF(F286="Exited","EXITED",IF(AND(ISNUMBER(K286),K286=0),"NOT ELIGIBLE",IF(MIN(V286:X286)&lt;0,"OVER-USED",IF(Z286&lt;=Settings!$C$15,"LOW","OK")))))</f>
        <v/>
      </c>
      <c r="AD286" s="16" t="str">
        <f aca="false">IF(OR(AC286="OVER-USED",AC286="LOW"),COUNTIF(AC$6:AC286,"OVER-USED")+COUNTIF(AC$6:AC286,"LOW"),"")</f>
        <v/>
      </c>
    </row>
    <row r="287" customFormat="false" ht="15" hidden="false" customHeight="false" outlineLevel="0" collapsed="false">
      <c r="A287" s="8" t="str">
        <f aca="false">IF('Employee List'!B287="","",'Employee List'!B287)</f>
        <v/>
      </c>
      <c r="B287" s="8" t="str">
        <f aca="false">IF($A287="","",'Employee List'!C287)</f>
        <v/>
      </c>
      <c r="C287" s="8" t="str">
        <f aca="false">IF($A287="","",'Employee List'!E287&amp;"")</f>
        <v/>
      </c>
      <c r="D287" s="8" t="str">
        <f aca="false">IF($A287="","",'Employee List'!F287&amp;"")</f>
        <v/>
      </c>
      <c r="E287" s="8" t="str">
        <f aca="false">IF($A287="","",'Employee List'!G287&amp;"")</f>
        <v/>
      </c>
      <c r="F287" s="8" t="str">
        <f aca="false">IF($A287="","",'Employee List'!D287)</f>
        <v/>
      </c>
      <c r="G287" s="38" t="str">
        <f aca="false">IF($A287="","",IF('Employee List'!I287="","",'Employee List'!I287))</f>
        <v/>
      </c>
      <c r="H287" s="38" t="str">
        <f aca="false">IF(OR($A287="",G287=""),"",G287+Settings!$C$13)</f>
        <v/>
      </c>
      <c r="I287" s="38" t="str">
        <f aca="false">IF(H287="","",MAX(H287,DATE(LvYear,1,1)))</f>
        <v/>
      </c>
      <c r="J287" s="38" t="str">
        <f aca="false">IF($A287="","",IF('Employee List'!J287="",DATE(LvYear,12,31),MIN('Employee List'!J287,DATE(LvYear,12,31))))</f>
        <v/>
      </c>
      <c r="K287" s="39" t="str">
        <f aca="false">IF(OR(I287="",J287=""),"",MAX(0,J287-I287+1))</f>
        <v/>
      </c>
      <c r="L287" s="16" t="str">
        <f aca="false">IF($A287="","",IF(AND(ISNUMBER(K287),K287=0),0,Settings!$C$10))</f>
        <v/>
      </c>
      <c r="M287" s="16" t="str">
        <f aca="false">IF($A287="","",IF(AND(ISNUMBER(K287),K287=0),0,Settings!$C$11))</f>
        <v/>
      </c>
      <c r="N287" s="40"/>
      <c r="O287" s="16" t="str">
        <f aca="false">IF($A287="","",FLOOR(Settings!$C$12/365*N(K287),0.5))</f>
        <v/>
      </c>
      <c r="P287" s="16" t="str">
        <f aca="false">IF($A287="","",IF(I287="",N(N287),FLOOR(Settings!$C$12/365*MAX(0,MIN(LvAsOf,J287)-I287+1)+N(N287),0.5)))</f>
        <v/>
      </c>
      <c r="Q287" s="16" t="str">
        <f aca="false">IF($A287="","",Settings!$C$14)</f>
        <v/>
      </c>
      <c r="R287" s="16" t="str">
        <f aca="false">IF($A287="","",SUMIFS(Attendance!$AZ$6:$AZ$2405,Attendance!$B$6:$B$2405,$A287,Attendance!$A$6:$A$2405,"&gt;="&amp;DATE(LvYear,1,1),Attendance!$A$6:$A$2405,"&lt;="&amp;DATE(LvYear,12,31)))</f>
        <v/>
      </c>
      <c r="S287" s="16" t="str">
        <f aca="false">IF($A287="","",SUMIFS(Attendance!$AY$6:$AY$2405,Attendance!$B$6:$B$2405,$A287,Attendance!$A$6:$A$2405,"&gt;="&amp;DATE(LvYear,1,1),Attendance!$A$6:$A$2405,"&lt;="&amp;DATE(LvYear,12,31)))</f>
        <v/>
      </c>
      <c r="T287" s="16" t="str">
        <f aca="false">IF($A287="","",SUMIFS(Attendance!$AX$6:$AX$2405,Attendance!$B$6:$B$2405,$A287,Attendance!$A$6:$A$2405,"&gt;="&amp;DATE(LvYear,1,1),Attendance!$A$6:$A$2405,"&lt;="&amp;DATE(LvYear,12,31)))</f>
        <v/>
      </c>
      <c r="U287" s="16" t="str">
        <f aca="false">IF($A287="","",SUMIFS(Attendance!$AW$6:$AW$2405,Attendance!$B$6:$B$2405,$A287,Attendance!$A$6:$A$2405,"&gt;="&amp;DATE(LvYear,1,1),Attendance!$A$6:$A$2405,"&lt;="&amp;DATE(LvYear,12,31)))</f>
        <v/>
      </c>
      <c r="V287" s="16" t="str">
        <f aca="false">IF($A287="","",L287-R287)</f>
        <v/>
      </c>
      <c r="W287" s="16" t="str">
        <f aca="false">IF($A287="","",M287-S287)</f>
        <v/>
      </c>
      <c r="X287" s="16" t="str">
        <f aca="false">IF($A287="","",P287-T287)</f>
        <v/>
      </c>
      <c r="Y287" s="16" t="str">
        <f aca="false">IF($A287="","",Q287-U287)</f>
        <v/>
      </c>
      <c r="Z287" s="16" t="str">
        <f aca="false">IF($A287="","",V287+W287+X287)</f>
        <v/>
      </c>
      <c r="AA287" s="16" t="str">
        <f aca="false">IF($A287="","",O287+N(N287)-T287)</f>
        <v/>
      </c>
      <c r="AB287" s="8" t="str">
        <f aca="false">IF($A287="","","CL "&amp;V287&amp;" | SL "&amp;W287&amp;" | PL "&amp;X287&amp;" | TR "&amp;Y287)</f>
        <v/>
      </c>
      <c r="AC287" s="15" t="str">
        <f aca="false">IF($A287="","",IF(F287="Exited","EXITED",IF(AND(ISNUMBER(K287),K287=0),"NOT ELIGIBLE",IF(MIN(V287:X287)&lt;0,"OVER-USED",IF(Z287&lt;=Settings!$C$15,"LOW","OK")))))</f>
        <v/>
      </c>
      <c r="AD287" s="16" t="str">
        <f aca="false">IF(OR(AC287="OVER-USED",AC287="LOW"),COUNTIF(AC$6:AC287,"OVER-USED")+COUNTIF(AC$6:AC287,"LOW"),"")</f>
        <v/>
      </c>
    </row>
    <row r="288" customFormat="false" ht="15" hidden="false" customHeight="false" outlineLevel="0" collapsed="false">
      <c r="A288" s="8" t="str">
        <f aca="false">IF('Employee List'!B288="","",'Employee List'!B288)</f>
        <v/>
      </c>
      <c r="B288" s="8" t="str">
        <f aca="false">IF($A288="","",'Employee List'!C288)</f>
        <v/>
      </c>
      <c r="C288" s="8" t="str">
        <f aca="false">IF($A288="","",'Employee List'!E288&amp;"")</f>
        <v/>
      </c>
      <c r="D288" s="8" t="str">
        <f aca="false">IF($A288="","",'Employee List'!F288&amp;"")</f>
        <v/>
      </c>
      <c r="E288" s="8" t="str">
        <f aca="false">IF($A288="","",'Employee List'!G288&amp;"")</f>
        <v/>
      </c>
      <c r="F288" s="8" t="str">
        <f aca="false">IF($A288="","",'Employee List'!D288)</f>
        <v/>
      </c>
      <c r="G288" s="38" t="str">
        <f aca="false">IF($A288="","",IF('Employee List'!I288="","",'Employee List'!I288))</f>
        <v/>
      </c>
      <c r="H288" s="38" t="str">
        <f aca="false">IF(OR($A288="",G288=""),"",G288+Settings!$C$13)</f>
        <v/>
      </c>
      <c r="I288" s="38" t="str">
        <f aca="false">IF(H288="","",MAX(H288,DATE(LvYear,1,1)))</f>
        <v/>
      </c>
      <c r="J288" s="38" t="str">
        <f aca="false">IF($A288="","",IF('Employee List'!J288="",DATE(LvYear,12,31),MIN('Employee List'!J288,DATE(LvYear,12,31))))</f>
        <v/>
      </c>
      <c r="K288" s="39" t="str">
        <f aca="false">IF(OR(I288="",J288=""),"",MAX(0,J288-I288+1))</f>
        <v/>
      </c>
      <c r="L288" s="16" t="str">
        <f aca="false">IF($A288="","",IF(AND(ISNUMBER(K288),K288=0),0,Settings!$C$10))</f>
        <v/>
      </c>
      <c r="M288" s="16" t="str">
        <f aca="false">IF($A288="","",IF(AND(ISNUMBER(K288),K288=0),0,Settings!$C$11))</f>
        <v/>
      </c>
      <c r="N288" s="40"/>
      <c r="O288" s="16" t="str">
        <f aca="false">IF($A288="","",FLOOR(Settings!$C$12/365*N(K288),0.5))</f>
        <v/>
      </c>
      <c r="P288" s="16" t="str">
        <f aca="false">IF($A288="","",IF(I288="",N(N288),FLOOR(Settings!$C$12/365*MAX(0,MIN(LvAsOf,J288)-I288+1)+N(N288),0.5)))</f>
        <v/>
      </c>
      <c r="Q288" s="16" t="str">
        <f aca="false">IF($A288="","",Settings!$C$14)</f>
        <v/>
      </c>
      <c r="R288" s="16" t="str">
        <f aca="false">IF($A288="","",SUMIFS(Attendance!$AZ$6:$AZ$2405,Attendance!$B$6:$B$2405,$A288,Attendance!$A$6:$A$2405,"&gt;="&amp;DATE(LvYear,1,1),Attendance!$A$6:$A$2405,"&lt;="&amp;DATE(LvYear,12,31)))</f>
        <v/>
      </c>
      <c r="S288" s="16" t="str">
        <f aca="false">IF($A288="","",SUMIFS(Attendance!$AY$6:$AY$2405,Attendance!$B$6:$B$2405,$A288,Attendance!$A$6:$A$2405,"&gt;="&amp;DATE(LvYear,1,1),Attendance!$A$6:$A$2405,"&lt;="&amp;DATE(LvYear,12,31)))</f>
        <v/>
      </c>
      <c r="T288" s="16" t="str">
        <f aca="false">IF($A288="","",SUMIFS(Attendance!$AX$6:$AX$2405,Attendance!$B$6:$B$2405,$A288,Attendance!$A$6:$A$2405,"&gt;="&amp;DATE(LvYear,1,1),Attendance!$A$6:$A$2405,"&lt;="&amp;DATE(LvYear,12,31)))</f>
        <v/>
      </c>
      <c r="U288" s="16" t="str">
        <f aca="false">IF($A288="","",SUMIFS(Attendance!$AW$6:$AW$2405,Attendance!$B$6:$B$2405,$A288,Attendance!$A$6:$A$2405,"&gt;="&amp;DATE(LvYear,1,1),Attendance!$A$6:$A$2405,"&lt;="&amp;DATE(LvYear,12,31)))</f>
        <v/>
      </c>
      <c r="V288" s="16" t="str">
        <f aca="false">IF($A288="","",L288-R288)</f>
        <v/>
      </c>
      <c r="W288" s="16" t="str">
        <f aca="false">IF($A288="","",M288-S288)</f>
        <v/>
      </c>
      <c r="X288" s="16" t="str">
        <f aca="false">IF($A288="","",P288-T288)</f>
        <v/>
      </c>
      <c r="Y288" s="16" t="str">
        <f aca="false">IF($A288="","",Q288-U288)</f>
        <v/>
      </c>
      <c r="Z288" s="16" t="str">
        <f aca="false">IF($A288="","",V288+W288+X288)</f>
        <v/>
      </c>
      <c r="AA288" s="16" t="str">
        <f aca="false">IF($A288="","",O288+N(N288)-T288)</f>
        <v/>
      </c>
      <c r="AB288" s="8" t="str">
        <f aca="false">IF($A288="","","CL "&amp;V288&amp;" | SL "&amp;W288&amp;" | PL "&amp;X288&amp;" | TR "&amp;Y288)</f>
        <v/>
      </c>
      <c r="AC288" s="15" t="str">
        <f aca="false">IF($A288="","",IF(F288="Exited","EXITED",IF(AND(ISNUMBER(K288),K288=0),"NOT ELIGIBLE",IF(MIN(V288:X288)&lt;0,"OVER-USED",IF(Z288&lt;=Settings!$C$15,"LOW","OK")))))</f>
        <v/>
      </c>
      <c r="AD288" s="16" t="str">
        <f aca="false">IF(OR(AC288="OVER-USED",AC288="LOW"),COUNTIF(AC$6:AC288,"OVER-USED")+COUNTIF(AC$6:AC288,"LOW"),"")</f>
        <v/>
      </c>
    </row>
    <row r="289" customFormat="false" ht="15" hidden="false" customHeight="false" outlineLevel="0" collapsed="false">
      <c r="A289" s="8" t="str">
        <f aca="false">IF('Employee List'!B289="","",'Employee List'!B289)</f>
        <v/>
      </c>
      <c r="B289" s="8" t="str">
        <f aca="false">IF($A289="","",'Employee List'!C289)</f>
        <v/>
      </c>
      <c r="C289" s="8" t="str">
        <f aca="false">IF($A289="","",'Employee List'!E289&amp;"")</f>
        <v/>
      </c>
      <c r="D289" s="8" t="str">
        <f aca="false">IF($A289="","",'Employee List'!F289&amp;"")</f>
        <v/>
      </c>
      <c r="E289" s="8" t="str">
        <f aca="false">IF($A289="","",'Employee List'!G289&amp;"")</f>
        <v/>
      </c>
      <c r="F289" s="8" t="str">
        <f aca="false">IF($A289="","",'Employee List'!D289)</f>
        <v/>
      </c>
      <c r="G289" s="38" t="str">
        <f aca="false">IF($A289="","",IF('Employee List'!I289="","",'Employee List'!I289))</f>
        <v/>
      </c>
      <c r="H289" s="38" t="str">
        <f aca="false">IF(OR($A289="",G289=""),"",G289+Settings!$C$13)</f>
        <v/>
      </c>
      <c r="I289" s="38" t="str">
        <f aca="false">IF(H289="","",MAX(H289,DATE(LvYear,1,1)))</f>
        <v/>
      </c>
      <c r="J289" s="38" t="str">
        <f aca="false">IF($A289="","",IF('Employee List'!J289="",DATE(LvYear,12,31),MIN('Employee List'!J289,DATE(LvYear,12,31))))</f>
        <v/>
      </c>
      <c r="K289" s="39" t="str">
        <f aca="false">IF(OR(I289="",J289=""),"",MAX(0,J289-I289+1))</f>
        <v/>
      </c>
      <c r="L289" s="16" t="str">
        <f aca="false">IF($A289="","",IF(AND(ISNUMBER(K289),K289=0),0,Settings!$C$10))</f>
        <v/>
      </c>
      <c r="M289" s="16" t="str">
        <f aca="false">IF($A289="","",IF(AND(ISNUMBER(K289),K289=0),0,Settings!$C$11))</f>
        <v/>
      </c>
      <c r="N289" s="40"/>
      <c r="O289" s="16" t="str">
        <f aca="false">IF($A289="","",FLOOR(Settings!$C$12/365*N(K289),0.5))</f>
        <v/>
      </c>
      <c r="P289" s="16" t="str">
        <f aca="false">IF($A289="","",IF(I289="",N(N289),FLOOR(Settings!$C$12/365*MAX(0,MIN(LvAsOf,J289)-I289+1)+N(N289),0.5)))</f>
        <v/>
      </c>
      <c r="Q289" s="16" t="str">
        <f aca="false">IF($A289="","",Settings!$C$14)</f>
        <v/>
      </c>
      <c r="R289" s="16" t="str">
        <f aca="false">IF($A289="","",SUMIFS(Attendance!$AZ$6:$AZ$2405,Attendance!$B$6:$B$2405,$A289,Attendance!$A$6:$A$2405,"&gt;="&amp;DATE(LvYear,1,1),Attendance!$A$6:$A$2405,"&lt;="&amp;DATE(LvYear,12,31)))</f>
        <v/>
      </c>
      <c r="S289" s="16" t="str">
        <f aca="false">IF($A289="","",SUMIFS(Attendance!$AY$6:$AY$2405,Attendance!$B$6:$B$2405,$A289,Attendance!$A$6:$A$2405,"&gt;="&amp;DATE(LvYear,1,1),Attendance!$A$6:$A$2405,"&lt;="&amp;DATE(LvYear,12,31)))</f>
        <v/>
      </c>
      <c r="T289" s="16" t="str">
        <f aca="false">IF($A289="","",SUMIFS(Attendance!$AX$6:$AX$2405,Attendance!$B$6:$B$2405,$A289,Attendance!$A$6:$A$2405,"&gt;="&amp;DATE(LvYear,1,1),Attendance!$A$6:$A$2405,"&lt;="&amp;DATE(LvYear,12,31)))</f>
        <v/>
      </c>
      <c r="U289" s="16" t="str">
        <f aca="false">IF($A289="","",SUMIFS(Attendance!$AW$6:$AW$2405,Attendance!$B$6:$B$2405,$A289,Attendance!$A$6:$A$2405,"&gt;="&amp;DATE(LvYear,1,1),Attendance!$A$6:$A$2405,"&lt;="&amp;DATE(LvYear,12,31)))</f>
        <v/>
      </c>
      <c r="V289" s="16" t="str">
        <f aca="false">IF($A289="","",L289-R289)</f>
        <v/>
      </c>
      <c r="W289" s="16" t="str">
        <f aca="false">IF($A289="","",M289-S289)</f>
        <v/>
      </c>
      <c r="X289" s="16" t="str">
        <f aca="false">IF($A289="","",P289-T289)</f>
        <v/>
      </c>
      <c r="Y289" s="16" t="str">
        <f aca="false">IF($A289="","",Q289-U289)</f>
        <v/>
      </c>
      <c r="Z289" s="16" t="str">
        <f aca="false">IF($A289="","",V289+W289+X289)</f>
        <v/>
      </c>
      <c r="AA289" s="16" t="str">
        <f aca="false">IF($A289="","",O289+N(N289)-T289)</f>
        <v/>
      </c>
      <c r="AB289" s="8" t="str">
        <f aca="false">IF($A289="","","CL "&amp;V289&amp;" | SL "&amp;W289&amp;" | PL "&amp;X289&amp;" | TR "&amp;Y289)</f>
        <v/>
      </c>
      <c r="AC289" s="15" t="str">
        <f aca="false">IF($A289="","",IF(F289="Exited","EXITED",IF(AND(ISNUMBER(K289),K289=0),"NOT ELIGIBLE",IF(MIN(V289:X289)&lt;0,"OVER-USED",IF(Z289&lt;=Settings!$C$15,"LOW","OK")))))</f>
        <v/>
      </c>
      <c r="AD289" s="16" t="str">
        <f aca="false">IF(OR(AC289="OVER-USED",AC289="LOW"),COUNTIF(AC$6:AC289,"OVER-USED")+COUNTIF(AC$6:AC289,"LOW"),"")</f>
        <v/>
      </c>
    </row>
    <row r="290" customFormat="false" ht="15" hidden="false" customHeight="false" outlineLevel="0" collapsed="false">
      <c r="A290" s="8" t="str">
        <f aca="false">IF('Employee List'!B290="","",'Employee List'!B290)</f>
        <v/>
      </c>
      <c r="B290" s="8" t="str">
        <f aca="false">IF($A290="","",'Employee List'!C290)</f>
        <v/>
      </c>
      <c r="C290" s="8" t="str">
        <f aca="false">IF($A290="","",'Employee List'!E290&amp;"")</f>
        <v/>
      </c>
      <c r="D290" s="8" t="str">
        <f aca="false">IF($A290="","",'Employee List'!F290&amp;"")</f>
        <v/>
      </c>
      <c r="E290" s="8" t="str">
        <f aca="false">IF($A290="","",'Employee List'!G290&amp;"")</f>
        <v/>
      </c>
      <c r="F290" s="8" t="str">
        <f aca="false">IF($A290="","",'Employee List'!D290)</f>
        <v/>
      </c>
      <c r="G290" s="38" t="str">
        <f aca="false">IF($A290="","",IF('Employee List'!I290="","",'Employee List'!I290))</f>
        <v/>
      </c>
      <c r="H290" s="38" t="str">
        <f aca="false">IF(OR($A290="",G290=""),"",G290+Settings!$C$13)</f>
        <v/>
      </c>
      <c r="I290" s="38" t="str">
        <f aca="false">IF(H290="","",MAX(H290,DATE(LvYear,1,1)))</f>
        <v/>
      </c>
      <c r="J290" s="38" t="str">
        <f aca="false">IF($A290="","",IF('Employee List'!J290="",DATE(LvYear,12,31),MIN('Employee List'!J290,DATE(LvYear,12,31))))</f>
        <v/>
      </c>
      <c r="K290" s="39" t="str">
        <f aca="false">IF(OR(I290="",J290=""),"",MAX(0,J290-I290+1))</f>
        <v/>
      </c>
      <c r="L290" s="16" t="str">
        <f aca="false">IF($A290="","",IF(AND(ISNUMBER(K290),K290=0),0,Settings!$C$10))</f>
        <v/>
      </c>
      <c r="M290" s="16" t="str">
        <f aca="false">IF($A290="","",IF(AND(ISNUMBER(K290),K290=0),0,Settings!$C$11))</f>
        <v/>
      </c>
      <c r="N290" s="40"/>
      <c r="O290" s="16" t="str">
        <f aca="false">IF($A290="","",FLOOR(Settings!$C$12/365*N(K290),0.5))</f>
        <v/>
      </c>
      <c r="P290" s="16" t="str">
        <f aca="false">IF($A290="","",IF(I290="",N(N290),FLOOR(Settings!$C$12/365*MAX(0,MIN(LvAsOf,J290)-I290+1)+N(N290),0.5)))</f>
        <v/>
      </c>
      <c r="Q290" s="16" t="str">
        <f aca="false">IF($A290="","",Settings!$C$14)</f>
        <v/>
      </c>
      <c r="R290" s="16" t="str">
        <f aca="false">IF($A290="","",SUMIFS(Attendance!$AZ$6:$AZ$2405,Attendance!$B$6:$B$2405,$A290,Attendance!$A$6:$A$2405,"&gt;="&amp;DATE(LvYear,1,1),Attendance!$A$6:$A$2405,"&lt;="&amp;DATE(LvYear,12,31)))</f>
        <v/>
      </c>
      <c r="S290" s="16" t="str">
        <f aca="false">IF($A290="","",SUMIFS(Attendance!$AY$6:$AY$2405,Attendance!$B$6:$B$2405,$A290,Attendance!$A$6:$A$2405,"&gt;="&amp;DATE(LvYear,1,1),Attendance!$A$6:$A$2405,"&lt;="&amp;DATE(LvYear,12,31)))</f>
        <v/>
      </c>
      <c r="T290" s="16" t="str">
        <f aca="false">IF($A290="","",SUMIFS(Attendance!$AX$6:$AX$2405,Attendance!$B$6:$B$2405,$A290,Attendance!$A$6:$A$2405,"&gt;="&amp;DATE(LvYear,1,1),Attendance!$A$6:$A$2405,"&lt;="&amp;DATE(LvYear,12,31)))</f>
        <v/>
      </c>
      <c r="U290" s="16" t="str">
        <f aca="false">IF($A290="","",SUMIFS(Attendance!$AW$6:$AW$2405,Attendance!$B$6:$B$2405,$A290,Attendance!$A$6:$A$2405,"&gt;="&amp;DATE(LvYear,1,1),Attendance!$A$6:$A$2405,"&lt;="&amp;DATE(LvYear,12,31)))</f>
        <v/>
      </c>
      <c r="V290" s="16" t="str">
        <f aca="false">IF($A290="","",L290-R290)</f>
        <v/>
      </c>
      <c r="W290" s="16" t="str">
        <f aca="false">IF($A290="","",M290-S290)</f>
        <v/>
      </c>
      <c r="X290" s="16" t="str">
        <f aca="false">IF($A290="","",P290-T290)</f>
        <v/>
      </c>
      <c r="Y290" s="16" t="str">
        <f aca="false">IF($A290="","",Q290-U290)</f>
        <v/>
      </c>
      <c r="Z290" s="16" t="str">
        <f aca="false">IF($A290="","",V290+W290+X290)</f>
        <v/>
      </c>
      <c r="AA290" s="16" t="str">
        <f aca="false">IF($A290="","",O290+N(N290)-T290)</f>
        <v/>
      </c>
      <c r="AB290" s="8" t="str">
        <f aca="false">IF($A290="","","CL "&amp;V290&amp;" | SL "&amp;W290&amp;" | PL "&amp;X290&amp;" | TR "&amp;Y290)</f>
        <v/>
      </c>
      <c r="AC290" s="15" t="str">
        <f aca="false">IF($A290="","",IF(F290="Exited","EXITED",IF(AND(ISNUMBER(K290),K290=0),"NOT ELIGIBLE",IF(MIN(V290:X290)&lt;0,"OVER-USED",IF(Z290&lt;=Settings!$C$15,"LOW","OK")))))</f>
        <v/>
      </c>
      <c r="AD290" s="16" t="str">
        <f aca="false">IF(OR(AC290="OVER-USED",AC290="LOW"),COUNTIF(AC$6:AC290,"OVER-USED")+COUNTIF(AC$6:AC290,"LOW"),"")</f>
        <v/>
      </c>
    </row>
    <row r="291" customFormat="false" ht="15" hidden="false" customHeight="false" outlineLevel="0" collapsed="false">
      <c r="A291" s="8" t="str">
        <f aca="false">IF('Employee List'!B291="","",'Employee List'!B291)</f>
        <v/>
      </c>
      <c r="B291" s="8" t="str">
        <f aca="false">IF($A291="","",'Employee List'!C291)</f>
        <v/>
      </c>
      <c r="C291" s="8" t="str">
        <f aca="false">IF($A291="","",'Employee List'!E291&amp;"")</f>
        <v/>
      </c>
      <c r="D291" s="8" t="str">
        <f aca="false">IF($A291="","",'Employee List'!F291&amp;"")</f>
        <v/>
      </c>
      <c r="E291" s="8" t="str">
        <f aca="false">IF($A291="","",'Employee List'!G291&amp;"")</f>
        <v/>
      </c>
      <c r="F291" s="8" t="str">
        <f aca="false">IF($A291="","",'Employee List'!D291)</f>
        <v/>
      </c>
      <c r="G291" s="38" t="str">
        <f aca="false">IF($A291="","",IF('Employee List'!I291="","",'Employee List'!I291))</f>
        <v/>
      </c>
      <c r="H291" s="38" t="str">
        <f aca="false">IF(OR($A291="",G291=""),"",G291+Settings!$C$13)</f>
        <v/>
      </c>
      <c r="I291" s="38" t="str">
        <f aca="false">IF(H291="","",MAX(H291,DATE(LvYear,1,1)))</f>
        <v/>
      </c>
      <c r="J291" s="38" t="str">
        <f aca="false">IF($A291="","",IF('Employee List'!J291="",DATE(LvYear,12,31),MIN('Employee List'!J291,DATE(LvYear,12,31))))</f>
        <v/>
      </c>
      <c r="K291" s="39" t="str">
        <f aca="false">IF(OR(I291="",J291=""),"",MAX(0,J291-I291+1))</f>
        <v/>
      </c>
      <c r="L291" s="16" t="str">
        <f aca="false">IF($A291="","",IF(AND(ISNUMBER(K291),K291=0),0,Settings!$C$10))</f>
        <v/>
      </c>
      <c r="M291" s="16" t="str">
        <f aca="false">IF($A291="","",IF(AND(ISNUMBER(K291),K291=0),0,Settings!$C$11))</f>
        <v/>
      </c>
      <c r="N291" s="40"/>
      <c r="O291" s="16" t="str">
        <f aca="false">IF($A291="","",FLOOR(Settings!$C$12/365*N(K291),0.5))</f>
        <v/>
      </c>
      <c r="P291" s="16" t="str">
        <f aca="false">IF($A291="","",IF(I291="",N(N291),FLOOR(Settings!$C$12/365*MAX(0,MIN(LvAsOf,J291)-I291+1)+N(N291),0.5)))</f>
        <v/>
      </c>
      <c r="Q291" s="16" t="str">
        <f aca="false">IF($A291="","",Settings!$C$14)</f>
        <v/>
      </c>
      <c r="R291" s="16" t="str">
        <f aca="false">IF($A291="","",SUMIFS(Attendance!$AZ$6:$AZ$2405,Attendance!$B$6:$B$2405,$A291,Attendance!$A$6:$A$2405,"&gt;="&amp;DATE(LvYear,1,1),Attendance!$A$6:$A$2405,"&lt;="&amp;DATE(LvYear,12,31)))</f>
        <v/>
      </c>
      <c r="S291" s="16" t="str">
        <f aca="false">IF($A291="","",SUMIFS(Attendance!$AY$6:$AY$2405,Attendance!$B$6:$B$2405,$A291,Attendance!$A$6:$A$2405,"&gt;="&amp;DATE(LvYear,1,1),Attendance!$A$6:$A$2405,"&lt;="&amp;DATE(LvYear,12,31)))</f>
        <v/>
      </c>
      <c r="T291" s="16" t="str">
        <f aca="false">IF($A291="","",SUMIFS(Attendance!$AX$6:$AX$2405,Attendance!$B$6:$B$2405,$A291,Attendance!$A$6:$A$2405,"&gt;="&amp;DATE(LvYear,1,1),Attendance!$A$6:$A$2405,"&lt;="&amp;DATE(LvYear,12,31)))</f>
        <v/>
      </c>
      <c r="U291" s="16" t="str">
        <f aca="false">IF($A291="","",SUMIFS(Attendance!$AW$6:$AW$2405,Attendance!$B$6:$B$2405,$A291,Attendance!$A$6:$A$2405,"&gt;="&amp;DATE(LvYear,1,1),Attendance!$A$6:$A$2405,"&lt;="&amp;DATE(LvYear,12,31)))</f>
        <v/>
      </c>
      <c r="V291" s="16" t="str">
        <f aca="false">IF($A291="","",L291-R291)</f>
        <v/>
      </c>
      <c r="W291" s="16" t="str">
        <f aca="false">IF($A291="","",M291-S291)</f>
        <v/>
      </c>
      <c r="X291" s="16" t="str">
        <f aca="false">IF($A291="","",P291-T291)</f>
        <v/>
      </c>
      <c r="Y291" s="16" t="str">
        <f aca="false">IF($A291="","",Q291-U291)</f>
        <v/>
      </c>
      <c r="Z291" s="16" t="str">
        <f aca="false">IF($A291="","",V291+W291+X291)</f>
        <v/>
      </c>
      <c r="AA291" s="16" t="str">
        <f aca="false">IF($A291="","",O291+N(N291)-T291)</f>
        <v/>
      </c>
      <c r="AB291" s="8" t="str">
        <f aca="false">IF($A291="","","CL "&amp;V291&amp;" | SL "&amp;W291&amp;" | PL "&amp;X291&amp;" | TR "&amp;Y291)</f>
        <v/>
      </c>
      <c r="AC291" s="15" t="str">
        <f aca="false">IF($A291="","",IF(F291="Exited","EXITED",IF(AND(ISNUMBER(K291),K291=0),"NOT ELIGIBLE",IF(MIN(V291:X291)&lt;0,"OVER-USED",IF(Z291&lt;=Settings!$C$15,"LOW","OK")))))</f>
        <v/>
      </c>
      <c r="AD291" s="16" t="str">
        <f aca="false">IF(OR(AC291="OVER-USED",AC291="LOW"),COUNTIF(AC$6:AC291,"OVER-USED")+COUNTIF(AC$6:AC291,"LOW"),"")</f>
        <v/>
      </c>
    </row>
    <row r="292" customFormat="false" ht="15" hidden="false" customHeight="false" outlineLevel="0" collapsed="false">
      <c r="A292" s="8" t="str">
        <f aca="false">IF('Employee List'!B292="","",'Employee List'!B292)</f>
        <v/>
      </c>
      <c r="B292" s="8" t="str">
        <f aca="false">IF($A292="","",'Employee List'!C292)</f>
        <v/>
      </c>
      <c r="C292" s="8" t="str">
        <f aca="false">IF($A292="","",'Employee List'!E292&amp;"")</f>
        <v/>
      </c>
      <c r="D292" s="8" t="str">
        <f aca="false">IF($A292="","",'Employee List'!F292&amp;"")</f>
        <v/>
      </c>
      <c r="E292" s="8" t="str">
        <f aca="false">IF($A292="","",'Employee List'!G292&amp;"")</f>
        <v/>
      </c>
      <c r="F292" s="8" t="str">
        <f aca="false">IF($A292="","",'Employee List'!D292)</f>
        <v/>
      </c>
      <c r="G292" s="38" t="str">
        <f aca="false">IF($A292="","",IF('Employee List'!I292="","",'Employee List'!I292))</f>
        <v/>
      </c>
      <c r="H292" s="38" t="str">
        <f aca="false">IF(OR($A292="",G292=""),"",G292+Settings!$C$13)</f>
        <v/>
      </c>
      <c r="I292" s="38" t="str">
        <f aca="false">IF(H292="","",MAX(H292,DATE(LvYear,1,1)))</f>
        <v/>
      </c>
      <c r="J292" s="38" t="str">
        <f aca="false">IF($A292="","",IF('Employee List'!J292="",DATE(LvYear,12,31),MIN('Employee List'!J292,DATE(LvYear,12,31))))</f>
        <v/>
      </c>
      <c r="K292" s="39" t="str">
        <f aca="false">IF(OR(I292="",J292=""),"",MAX(0,J292-I292+1))</f>
        <v/>
      </c>
      <c r="L292" s="16" t="str">
        <f aca="false">IF($A292="","",IF(AND(ISNUMBER(K292),K292=0),0,Settings!$C$10))</f>
        <v/>
      </c>
      <c r="M292" s="16" t="str">
        <f aca="false">IF($A292="","",IF(AND(ISNUMBER(K292),K292=0),0,Settings!$C$11))</f>
        <v/>
      </c>
      <c r="N292" s="40"/>
      <c r="O292" s="16" t="str">
        <f aca="false">IF($A292="","",FLOOR(Settings!$C$12/365*N(K292),0.5))</f>
        <v/>
      </c>
      <c r="P292" s="16" t="str">
        <f aca="false">IF($A292="","",IF(I292="",N(N292),FLOOR(Settings!$C$12/365*MAX(0,MIN(LvAsOf,J292)-I292+1)+N(N292),0.5)))</f>
        <v/>
      </c>
      <c r="Q292" s="16" t="str">
        <f aca="false">IF($A292="","",Settings!$C$14)</f>
        <v/>
      </c>
      <c r="R292" s="16" t="str">
        <f aca="false">IF($A292="","",SUMIFS(Attendance!$AZ$6:$AZ$2405,Attendance!$B$6:$B$2405,$A292,Attendance!$A$6:$A$2405,"&gt;="&amp;DATE(LvYear,1,1),Attendance!$A$6:$A$2405,"&lt;="&amp;DATE(LvYear,12,31)))</f>
        <v/>
      </c>
      <c r="S292" s="16" t="str">
        <f aca="false">IF($A292="","",SUMIFS(Attendance!$AY$6:$AY$2405,Attendance!$B$6:$B$2405,$A292,Attendance!$A$6:$A$2405,"&gt;="&amp;DATE(LvYear,1,1),Attendance!$A$6:$A$2405,"&lt;="&amp;DATE(LvYear,12,31)))</f>
        <v/>
      </c>
      <c r="T292" s="16" t="str">
        <f aca="false">IF($A292="","",SUMIFS(Attendance!$AX$6:$AX$2405,Attendance!$B$6:$B$2405,$A292,Attendance!$A$6:$A$2405,"&gt;="&amp;DATE(LvYear,1,1),Attendance!$A$6:$A$2405,"&lt;="&amp;DATE(LvYear,12,31)))</f>
        <v/>
      </c>
      <c r="U292" s="16" t="str">
        <f aca="false">IF($A292="","",SUMIFS(Attendance!$AW$6:$AW$2405,Attendance!$B$6:$B$2405,$A292,Attendance!$A$6:$A$2405,"&gt;="&amp;DATE(LvYear,1,1),Attendance!$A$6:$A$2405,"&lt;="&amp;DATE(LvYear,12,31)))</f>
        <v/>
      </c>
      <c r="V292" s="16" t="str">
        <f aca="false">IF($A292="","",L292-R292)</f>
        <v/>
      </c>
      <c r="W292" s="16" t="str">
        <f aca="false">IF($A292="","",M292-S292)</f>
        <v/>
      </c>
      <c r="X292" s="16" t="str">
        <f aca="false">IF($A292="","",P292-T292)</f>
        <v/>
      </c>
      <c r="Y292" s="16" t="str">
        <f aca="false">IF($A292="","",Q292-U292)</f>
        <v/>
      </c>
      <c r="Z292" s="16" t="str">
        <f aca="false">IF($A292="","",V292+W292+X292)</f>
        <v/>
      </c>
      <c r="AA292" s="16" t="str">
        <f aca="false">IF($A292="","",O292+N(N292)-T292)</f>
        <v/>
      </c>
      <c r="AB292" s="8" t="str">
        <f aca="false">IF($A292="","","CL "&amp;V292&amp;" | SL "&amp;W292&amp;" | PL "&amp;X292&amp;" | TR "&amp;Y292)</f>
        <v/>
      </c>
      <c r="AC292" s="15" t="str">
        <f aca="false">IF($A292="","",IF(F292="Exited","EXITED",IF(AND(ISNUMBER(K292),K292=0),"NOT ELIGIBLE",IF(MIN(V292:X292)&lt;0,"OVER-USED",IF(Z292&lt;=Settings!$C$15,"LOW","OK")))))</f>
        <v/>
      </c>
      <c r="AD292" s="16" t="str">
        <f aca="false">IF(OR(AC292="OVER-USED",AC292="LOW"),COUNTIF(AC$6:AC292,"OVER-USED")+COUNTIF(AC$6:AC292,"LOW"),"")</f>
        <v/>
      </c>
    </row>
    <row r="293" customFormat="false" ht="15" hidden="false" customHeight="false" outlineLevel="0" collapsed="false">
      <c r="A293" s="8" t="str">
        <f aca="false">IF('Employee List'!B293="","",'Employee List'!B293)</f>
        <v/>
      </c>
      <c r="B293" s="8" t="str">
        <f aca="false">IF($A293="","",'Employee List'!C293)</f>
        <v/>
      </c>
      <c r="C293" s="8" t="str">
        <f aca="false">IF($A293="","",'Employee List'!E293&amp;"")</f>
        <v/>
      </c>
      <c r="D293" s="8" t="str">
        <f aca="false">IF($A293="","",'Employee List'!F293&amp;"")</f>
        <v/>
      </c>
      <c r="E293" s="8" t="str">
        <f aca="false">IF($A293="","",'Employee List'!G293&amp;"")</f>
        <v/>
      </c>
      <c r="F293" s="8" t="str">
        <f aca="false">IF($A293="","",'Employee List'!D293)</f>
        <v/>
      </c>
      <c r="G293" s="38" t="str">
        <f aca="false">IF($A293="","",IF('Employee List'!I293="","",'Employee List'!I293))</f>
        <v/>
      </c>
      <c r="H293" s="38" t="str">
        <f aca="false">IF(OR($A293="",G293=""),"",G293+Settings!$C$13)</f>
        <v/>
      </c>
      <c r="I293" s="38" t="str">
        <f aca="false">IF(H293="","",MAX(H293,DATE(LvYear,1,1)))</f>
        <v/>
      </c>
      <c r="J293" s="38" t="str">
        <f aca="false">IF($A293="","",IF('Employee List'!J293="",DATE(LvYear,12,31),MIN('Employee List'!J293,DATE(LvYear,12,31))))</f>
        <v/>
      </c>
      <c r="K293" s="39" t="str">
        <f aca="false">IF(OR(I293="",J293=""),"",MAX(0,J293-I293+1))</f>
        <v/>
      </c>
      <c r="L293" s="16" t="str">
        <f aca="false">IF($A293="","",IF(AND(ISNUMBER(K293),K293=0),0,Settings!$C$10))</f>
        <v/>
      </c>
      <c r="M293" s="16" t="str">
        <f aca="false">IF($A293="","",IF(AND(ISNUMBER(K293),K293=0),0,Settings!$C$11))</f>
        <v/>
      </c>
      <c r="N293" s="40"/>
      <c r="O293" s="16" t="str">
        <f aca="false">IF($A293="","",FLOOR(Settings!$C$12/365*N(K293),0.5))</f>
        <v/>
      </c>
      <c r="P293" s="16" t="str">
        <f aca="false">IF($A293="","",IF(I293="",N(N293),FLOOR(Settings!$C$12/365*MAX(0,MIN(LvAsOf,J293)-I293+1)+N(N293),0.5)))</f>
        <v/>
      </c>
      <c r="Q293" s="16" t="str">
        <f aca="false">IF($A293="","",Settings!$C$14)</f>
        <v/>
      </c>
      <c r="R293" s="16" t="str">
        <f aca="false">IF($A293="","",SUMIFS(Attendance!$AZ$6:$AZ$2405,Attendance!$B$6:$B$2405,$A293,Attendance!$A$6:$A$2405,"&gt;="&amp;DATE(LvYear,1,1),Attendance!$A$6:$A$2405,"&lt;="&amp;DATE(LvYear,12,31)))</f>
        <v/>
      </c>
      <c r="S293" s="16" t="str">
        <f aca="false">IF($A293="","",SUMIFS(Attendance!$AY$6:$AY$2405,Attendance!$B$6:$B$2405,$A293,Attendance!$A$6:$A$2405,"&gt;="&amp;DATE(LvYear,1,1),Attendance!$A$6:$A$2405,"&lt;="&amp;DATE(LvYear,12,31)))</f>
        <v/>
      </c>
      <c r="T293" s="16" t="str">
        <f aca="false">IF($A293="","",SUMIFS(Attendance!$AX$6:$AX$2405,Attendance!$B$6:$B$2405,$A293,Attendance!$A$6:$A$2405,"&gt;="&amp;DATE(LvYear,1,1),Attendance!$A$6:$A$2405,"&lt;="&amp;DATE(LvYear,12,31)))</f>
        <v/>
      </c>
      <c r="U293" s="16" t="str">
        <f aca="false">IF($A293="","",SUMIFS(Attendance!$AW$6:$AW$2405,Attendance!$B$6:$B$2405,$A293,Attendance!$A$6:$A$2405,"&gt;="&amp;DATE(LvYear,1,1),Attendance!$A$6:$A$2405,"&lt;="&amp;DATE(LvYear,12,31)))</f>
        <v/>
      </c>
      <c r="V293" s="16" t="str">
        <f aca="false">IF($A293="","",L293-R293)</f>
        <v/>
      </c>
      <c r="W293" s="16" t="str">
        <f aca="false">IF($A293="","",M293-S293)</f>
        <v/>
      </c>
      <c r="X293" s="16" t="str">
        <f aca="false">IF($A293="","",P293-T293)</f>
        <v/>
      </c>
      <c r="Y293" s="16" t="str">
        <f aca="false">IF($A293="","",Q293-U293)</f>
        <v/>
      </c>
      <c r="Z293" s="16" t="str">
        <f aca="false">IF($A293="","",V293+W293+X293)</f>
        <v/>
      </c>
      <c r="AA293" s="16" t="str">
        <f aca="false">IF($A293="","",O293+N(N293)-T293)</f>
        <v/>
      </c>
      <c r="AB293" s="8" t="str">
        <f aca="false">IF($A293="","","CL "&amp;V293&amp;" | SL "&amp;W293&amp;" | PL "&amp;X293&amp;" | TR "&amp;Y293)</f>
        <v/>
      </c>
      <c r="AC293" s="15" t="str">
        <f aca="false">IF($A293="","",IF(F293="Exited","EXITED",IF(AND(ISNUMBER(K293),K293=0),"NOT ELIGIBLE",IF(MIN(V293:X293)&lt;0,"OVER-USED",IF(Z293&lt;=Settings!$C$15,"LOW","OK")))))</f>
        <v/>
      </c>
      <c r="AD293" s="16" t="str">
        <f aca="false">IF(OR(AC293="OVER-USED",AC293="LOW"),COUNTIF(AC$6:AC293,"OVER-USED")+COUNTIF(AC$6:AC293,"LOW"),"")</f>
        <v/>
      </c>
    </row>
    <row r="294" customFormat="false" ht="15" hidden="false" customHeight="false" outlineLevel="0" collapsed="false">
      <c r="A294" s="8" t="str">
        <f aca="false">IF('Employee List'!B294="","",'Employee List'!B294)</f>
        <v/>
      </c>
      <c r="B294" s="8" t="str">
        <f aca="false">IF($A294="","",'Employee List'!C294)</f>
        <v/>
      </c>
      <c r="C294" s="8" t="str">
        <f aca="false">IF($A294="","",'Employee List'!E294&amp;"")</f>
        <v/>
      </c>
      <c r="D294" s="8" t="str">
        <f aca="false">IF($A294="","",'Employee List'!F294&amp;"")</f>
        <v/>
      </c>
      <c r="E294" s="8" t="str">
        <f aca="false">IF($A294="","",'Employee List'!G294&amp;"")</f>
        <v/>
      </c>
      <c r="F294" s="8" t="str">
        <f aca="false">IF($A294="","",'Employee List'!D294)</f>
        <v/>
      </c>
      <c r="G294" s="38" t="str">
        <f aca="false">IF($A294="","",IF('Employee List'!I294="","",'Employee List'!I294))</f>
        <v/>
      </c>
      <c r="H294" s="38" t="str">
        <f aca="false">IF(OR($A294="",G294=""),"",G294+Settings!$C$13)</f>
        <v/>
      </c>
      <c r="I294" s="38" t="str">
        <f aca="false">IF(H294="","",MAX(H294,DATE(LvYear,1,1)))</f>
        <v/>
      </c>
      <c r="J294" s="38" t="str">
        <f aca="false">IF($A294="","",IF('Employee List'!J294="",DATE(LvYear,12,31),MIN('Employee List'!J294,DATE(LvYear,12,31))))</f>
        <v/>
      </c>
      <c r="K294" s="39" t="str">
        <f aca="false">IF(OR(I294="",J294=""),"",MAX(0,J294-I294+1))</f>
        <v/>
      </c>
      <c r="L294" s="16" t="str">
        <f aca="false">IF($A294="","",IF(AND(ISNUMBER(K294),K294=0),0,Settings!$C$10))</f>
        <v/>
      </c>
      <c r="M294" s="16" t="str">
        <f aca="false">IF($A294="","",IF(AND(ISNUMBER(K294),K294=0),0,Settings!$C$11))</f>
        <v/>
      </c>
      <c r="N294" s="40"/>
      <c r="O294" s="16" t="str">
        <f aca="false">IF($A294="","",FLOOR(Settings!$C$12/365*N(K294),0.5))</f>
        <v/>
      </c>
      <c r="P294" s="16" t="str">
        <f aca="false">IF($A294="","",IF(I294="",N(N294),FLOOR(Settings!$C$12/365*MAX(0,MIN(LvAsOf,J294)-I294+1)+N(N294),0.5)))</f>
        <v/>
      </c>
      <c r="Q294" s="16" t="str">
        <f aca="false">IF($A294="","",Settings!$C$14)</f>
        <v/>
      </c>
      <c r="R294" s="16" t="str">
        <f aca="false">IF($A294="","",SUMIFS(Attendance!$AZ$6:$AZ$2405,Attendance!$B$6:$B$2405,$A294,Attendance!$A$6:$A$2405,"&gt;="&amp;DATE(LvYear,1,1),Attendance!$A$6:$A$2405,"&lt;="&amp;DATE(LvYear,12,31)))</f>
        <v/>
      </c>
      <c r="S294" s="16" t="str">
        <f aca="false">IF($A294="","",SUMIFS(Attendance!$AY$6:$AY$2405,Attendance!$B$6:$B$2405,$A294,Attendance!$A$6:$A$2405,"&gt;="&amp;DATE(LvYear,1,1),Attendance!$A$6:$A$2405,"&lt;="&amp;DATE(LvYear,12,31)))</f>
        <v/>
      </c>
      <c r="T294" s="16" t="str">
        <f aca="false">IF($A294="","",SUMIFS(Attendance!$AX$6:$AX$2405,Attendance!$B$6:$B$2405,$A294,Attendance!$A$6:$A$2405,"&gt;="&amp;DATE(LvYear,1,1),Attendance!$A$6:$A$2405,"&lt;="&amp;DATE(LvYear,12,31)))</f>
        <v/>
      </c>
      <c r="U294" s="16" t="str">
        <f aca="false">IF($A294="","",SUMIFS(Attendance!$AW$6:$AW$2405,Attendance!$B$6:$B$2405,$A294,Attendance!$A$6:$A$2405,"&gt;="&amp;DATE(LvYear,1,1),Attendance!$A$6:$A$2405,"&lt;="&amp;DATE(LvYear,12,31)))</f>
        <v/>
      </c>
      <c r="V294" s="16" t="str">
        <f aca="false">IF($A294="","",L294-R294)</f>
        <v/>
      </c>
      <c r="W294" s="16" t="str">
        <f aca="false">IF($A294="","",M294-S294)</f>
        <v/>
      </c>
      <c r="X294" s="16" t="str">
        <f aca="false">IF($A294="","",P294-T294)</f>
        <v/>
      </c>
      <c r="Y294" s="16" t="str">
        <f aca="false">IF($A294="","",Q294-U294)</f>
        <v/>
      </c>
      <c r="Z294" s="16" t="str">
        <f aca="false">IF($A294="","",V294+W294+X294)</f>
        <v/>
      </c>
      <c r="AA294" s="16" t="str">
        <f aca="false">IF($A294="","",O294+N(N294)-T294)</f>
        <v/>
      </c>
      <c r="AB294" s="8" t="str">
        <f aca="false">IF($A294="","","CL "&amp;V294&amp;" | SL "&amp;W294&amp;" | PL "&amp;X294&amp;" | TR "&amp;Y294)</f>
        <v/>
      </c>
      <c r="AC294" s="15" t="str">
        <f aca="false">IF($A294="","",IF(F294="Exited","EXITED",IF(AND(ISNUMBER(K294),K294=0),"NOT ELIGIBLE",IF(MIN(V294:X294)&lt;0,"OVER-USED",IF(Z294&lt;=Settings!$C$15,"LOW","OK")))))</f>
        <v/>
      </c>
      <c r="AD294" s="16" t="str">
        <f aca="false">IF(OR(AC294="OVER-USED",AC294="LOW"),COUNTIF(AC$6:AC294,"OVER-USED")+COUNTIF(AC$6:AC294,"LOW"),"")</f>
        <v/>
      </c>
    </row>
    <row r="295" customFormat="false" ht="15" hidden="false" customHeight="false" outlineLevel="0" collapsed="false">
      <c r="A295" s="8" t="str">
        <f aca="false">IF('Employee List'!B295="","",'Employee List'!B295)</f>
        <v/>
      </c>
      <c r="B295" s="8" t="str">
        <f aca="false">IF($A295="","",'Employee List'!C295)</f>
        <v/>
      </c>
      <c r="C295" s="8" t="str">
        <f aca="false">IF($A295="","",'Employee List'!E295&amp;"")</f>
        <v/>
      </c>
      <c r="D295" s="8" t="str">
        <f aca="false">IF($A295="","",'Employee List'!F295&amp;"")</f>
        <v/>
      </c>
      <c r="E295" s="8" t="str">
        <f aca="false">IF($A295="","",'Employee List'!G295&amp;"")</f>
        <v/>
      </c>
      <c r="F295" s="8" t="str">
        <f aca="false">IF($A295="","",'Employee List'!D295)</f>
        <v/>
      </c>
      <c r="G295" s="38" t="str">
        <f aca="false">IF($A295="","",IF('Employee List'!I295="","",'Employee List'!I295))</f>
        <v/>
      </c>
      <c r="H295" s="38" t="str">
        <f aca="false">IF(OR($A295="",G295=""),"",G295+Settings!$C$13)</f>
        <v/>
      </c>
      <c r="I295" s="38" t="str">
        <f aca="false">IF(H295="","",MAX(H295,DATE(LvYear,1,1)))</f>
        <v/>
      </c>
      <c r="J295" s="38" t="str">
        <f aca="false">IF($A295="","",IF('Employee List'!J295="",DATE(LvYear,12,31),MIN('Employee List'!J295,DATE(LvYear,12,31))))</f>
        <v/>
      </c>
      <c r="K295" s="39" t="str">
        <f aca="false">IF(OR(I295="",J295=""),"",MAX(0,J295-I295+1))</f>
        <v/>
      </c>
      <c r="L295" s="16" t="str">
        <f aca="false">IF($A295="","",IF(AND(ISNUMBER(K295),K295=0),0,Settings!$C$10))</f>
        <v/>
      </c>
      <c r="M295" s="16" t="str">
        <f aca="false">IF($A295="","",IF(AND(ISNUMBER(K295),K295=0),0,Settings!$C$11))</f>
        <v/>
      </c>
      <c r="N295" s="40"/>
      <c r="O295" s="16" t="str">
        <f aca="false">IF($A295="","",FLOOR(Settings!$C$12/365*N(K295),0.5))</f>
        <v/>
      </c>
      <c r="P295" s="16" t="str">
        <f aca="false">IF($A295="","",IF(I295="",N(N295),FLOOR(Settings!$C$12/365*MAX(0,MIN(LvAsOf,J295)-I295+1)+N(N295),0.5)))</f>
        <v/>
      </c>
      <c r="Q295" s="16" t="str">
        <f aca="false">IF($A295="","",Settings!$C$14)</f>
        <v/>
      </c>
      <c r="R295" s="16" t="str">
        <f aca="false">IF($A295="","",SUMIFS(Attendance!$AZ$6:$AZ$2405,Attendance!$B$6:$B$2405,$A295,Attendance!$A$6:$A$2405,"&gt;="&amp;DATE(LvYear,1,1),Attendance!$A$6:$A$2405,"&lt;="&amp;DATE(LvYear,12,31)))</f>
        <v/>
      </c>
      <c r="S295" s="16" t="str">
        <f aca="false">IF($A295="","",SUMIFS(Attendance!$AY$6:$AY$2405,Attendance!$B$6:$B$2405,$A295,Attendance!$A$6:$A$2405,"&gt;="&amp;DATE(LvYear,1,1),Attendance!$A$6:$A$2405,"&lt;="&amp;DATE(LvYear,12,31)))</f>
        <v/>
      </c>
      <c r="T295" s="16" t="str">
        <f aca="false">IF($A295="","",SUMIFS(Attendance!$AX$6:$AX$2405,Attendance!$B$6:$B$2405,$A295,Attendance!$A$6:$A$2405,"&gt;="&amp;DATE(LvYear,1,1),Attendance!$A$6:$A$2405,"&lt;="&amp;DATE(LvYear,12,31)))</f>
        <v/>
      </c>
      <c r="U295" s="16" t="str">
        <f aca="false">IF($A295="","",SUMIFS(Attendance!$AW$6:$AW$2405,Attendance!$B$6:$B$2405,$A295,Attendance!$A$6:$A$2405,"&gt;="&amp;DATE(LvYear,1,1),Attendance!$A$6:$A$2405,"&lt;="&amp;DATE(LvYear,12,31)))</f>
        <v/>
      </c>
      <c r="V295" s="16" t="str">
        <f aca="false">IF($A295="","",L295-R295)</f>
        <v/>
      </c>
      <c r="W295" s="16" t="str">
        <f aca="false">IF($A295="","",M295-S295)</f>
        <v/>
      </c>
      <c r="X295" s="16" t="str">
        <f aca="false">IF($A295="","",P295-T295)</f>
        <v/>
      </c>
      <c r="Y295" s="16" t="str">
        <f aca="false">IF($A295="","",Q295-U295)</f>
        <v/>
      </c>
      <c r="Z295" s="16" t="str">
        <f aca="false">IF($A295="","",V295+W295+X295)</f>
        <v/>
      </c>
      <c r="AA295" s="16" t="str">
        <f aca="false">IF($A295="","",O295+N(N295)-T295)</f>
        <v/>
      </c>
      <c r="AB295" s="8" t="str">
        <f aca="false">IF($A295="","","CL "&amp;V295&amp;" | SL "&amp;W295&amp;" | PL "&amp;X295&amp;" | TR "&amp;Y295)</f>
        <v/>
      </c>
      <c r="AC295" s="15" t="str">
        <f aca="false">IF($A295="","",IF(F295="Exited","EXITED",IF(AND(ISNUMBER(K295),K295=0),"NOT ELIGIBLE",IF(MIN(V295:X295)&lt;0,"OVER-USED",IF(Z295&lt;=Settings!$C$15,"LOW","OK")))))</f>
        <v/>
      </c>
      <c r="AD295" s="16" t="str">
        <f aca="false">IF(OR(AC295="OVER-USED",AC295="LOW"),COUNTIF(AC$6:AC295,"OVER-USED")+COUNTIF(AC$6:AC295,"LOW"),"")</f>
        <v/>
      </c>
    </row>
    <row r="296" customFormat="false" ht="15" hidden="false" customHeight="false" outlineLevel="0" collapsed="false">
      <c r="A296" s="8" t="str">
        <f aca="false">IF('Employee List'!B296="","",'Employee List'!B296)</f>
        <v/>
      </c>
      <c r="B296" s="8" t="str">
        <f aca="false">IF($A296="","",'Employee List'!C296)</f>
        <v/>
      </c>
      <c r="C296" s="8" t="str">
        <f aca="false">IF($A296="","",'Employee List'!E296&amp;"")</f>
        <v/>
      </c>
      <c r="D296" s="8" t="str">
        <f aca="false">IF($A296="","",'Employee List'!F296&amp;"")</f>
        <v/>
      </c>
      <c r="E296" s="8" t="str">
        <f aca="false">IF($A296="","",'Employee List'!G296&amp;"")</f>
        <v/>
      </c>
      <c r="F296" s="8" t="str">
        <f aca="false">IF($A296="","",'Employee List'!D296)</f>
        <v/>
      </c>
      <c r="G296" s="38" t="str">
        <f aca="false">IF($A296="","",IF('Employee List'!I296="","",'Employee List'!I296))</f>
        <v/>
      </c>
      <c r="H296" s="38" t="str">
        <f aca="false">IF(OR($A296="",G296=""),"",G296+Settings!$C$13)</f>
        <v/>
      </c>
      <c r="I296" s="38" t="str">
        <f aca="false">IF(H296="","",MAX(H296,DATE(LvYear,1,1)))</f>
        <v/>
      </c>
      <c r="J296" s="38" t="str">
        <f aca="false">IF($A296="","",IF('Employee List'!J296="",DATE(LvYear,12,31),MIN('Employee List'!J296,DATE(LvYear,12,31))))</f>
        <v/>
      </c>
      <c r="K296" s="39" t="str">
        <f aca="false">IF(OR(I296="",J296=""),"",MAX(0,J296-I296+1))</f>
        <v/>
      </c>
      <c r="L296" s="16" t="str">
        <f aca="false">IF($A296="","",IF(AND(ISNUMBER(K296),K296=0),0,Settings!$C$10))</f>
        <v/>
      </c>
      <c r="M296" s="16" t="str">
        <f aca="false">IF($A296="","",IF(AND(ISNUMBER(K296),K296=0),0,Settings!$C$11))</f>
        <v/>
      </c>
      <c r="N296" s="40"/>
      <c r="O296" s="16" t="str">
        <f aca="false">IF($A296="","",FLOOR(Settings!$C$12/365*N(K296),0.5))</f>
        <v/>
      </c>
      <c r="P296" s="16" t="str">
        <f aca="false">IF($A296="","",IF(I296="",N(N296),FLOOR(Settings!$C$12/365*MAX(0,MIN(LvAsOf,J296)-I296+1)+N(N296),0.5)))</f>
        <v/>
      </c>
      <c r="Q296" s="16" t="str">
        <f aca="false">IF($A296="","",Settings!$C$14)</f>
        <v/>
      </c>
      <c r="R296" s="16" t="str">
        <f aca="false">IF($A296="","",SUMIFS(Attendance!$AZ$6:$AZ$2405,Attendance!$B$6:$B$2405,$A296,Attendance!$A$6:$A$2405,"&gt;="&amp;DATE(LvYear,1,1),Attendance!$A$6:$A$2405,"&lt;="&amp;DATE(LvYear,12,31)))</f>
        <v/>
      </c>
      <c r="S296" s="16" t="str">
        <f aca="false">IF($A296="","",SUMIFS(Attendance!$AY$6:$AY$2405,Attendance!$B$6:$B$2405,$A296,Attendance!$A$6:$A$2405,"&gt;="&amp;DATE(LvYear,1,1),Attendance!$A$6:$A$2405,"&lt;="&amp;DATE(LvYear,12,31)))</f>
        <v/>
      </c>
      <c r="T296" s="16" t="str">
        <f aca="false">IF($A296="","",SUMIFS(Attendance!$AX$6:$AX$2405,Attendance!$B$6:$B$2405,$A296,Attendance!$A$6:$A$2405,"&gt;="&amp;DATE(LvYear,1,1),Attendance!$A$6:$A$2405,"&lt;="&amp;DATE(LvYear,12,31)))</f>
        <v/>
      </c>
      <c r="U296" s="16" t="str">
        <f aca="false">IF($A296="","",SUMIFS(Attendance!$AW$6:$AW$2405,Attendance!$B$6:$B$2405,$A296,Attendance!$A$6:$A$2405,"&gt;="&amp;DATE(LvYear,1,1),Attendance!$A$6:$A$2405,"&lt;="&amp;DATE(LvYear,12,31)))</f>
        <v/>
      </c>
      <c r="V296" s="16" t="str">
        <f aca="false">IF($A296="","",L296-R296)</f>
        <v/>
      </c>
      <c r="W296" s="16" t="str">
        <f aca="false">IF($A296="","",M296-S296)</f>
        <v/>
      </c>
      <c r="X296" s="16" t="str">
        <f aca="false">IF($A296="","",P296-T296)</f>
        <v/>
      </c>
      <c r="Y296" s="16" t="str">
        <f aca="false">IF($A296="","",Q296-U296)</f>
        <v/>
      </c>
      <c r="Z296" s="16" t="str">
        <f aca="false">IF($A296="","",V296+W296+X296)</f>
        <v/>
      </c>
      <c r="AA296" s="16" t="str">
        <f aca="false">IF($A296="","",O296+N(N296)-T296)</f>
        <v/>
      </c>
      <c r="AB296" s="8" t="str">
        <f aca="false">IF($A296="","","CL "&amp;V296&amp;" | SL "&amp;W296&amp;" | PL "&amp;X296&amp;" | TR "&amp;Y296)</f>
        <v/>
      </c>
      <c r="AC296" s="15" t="str">
        <f aca="false">IF($A296="","",IF(F296="Exited","EXITED",IF(AND(ISNUMBER(K296),K296=0),"NOT ELIGIBLE",IF(MIN(V296:X296)&lt;0,"OVER-USED",IF(Z296&lt;=Settings!$C$15,"LOW","OK")))))</f>
        <v/>
      </c>
      <c r="AD296" s="16" t="str">
        <f aca="false">IF(OR(AC296="OVER-USED",AC296="LOW"),COUNTIF(AC$6:AC296,"OVER-USED")+COUNTIF(AC$6:AC296,"LOW"),"")</f>
        <v/>
      </c>
    </row>
    <row r="297" customFormat="false" ht="15" hidden="false" customHeight="false" outlineLevel="0" collapsed="false">
      <c r="A297" s="8" t="str">
        <f aca="false">IF('Employee List'!B297="","",'Employee List'!B297)</f>
        <v/>
      </c>
      <c r="B297" s="8" t="str">
        <f aca="false">IF($A297="","",'Employee List'!C297)</f>
        <v/>
      </c>
      <c r="C297" s="8" t="str">
        <f aca="false">IF($A297="","",'Employee List'!E297&amp;"")</f>
        <v/>
      </c>
      <c r="D297" s="8" t="str">
        <f aca="false">IF($A297="","",'Employee List'!F297&amp;"")</f>
        <v/>
      </c>
      <c r="E297" s="8" t="str">
        <f aca="false">IF($A297="","",'Employee List'!G297&amp;"")</f>
        <v/>
      </c>
      <c r="F297" s="8" t="str">
        <f aca="false">IF($A297="","",'Employee List'!D297)</f>
        <v/>
      </c>
      <c r="G297" s="38" t="str">
        <f aca="false">IF($A297="","",IF('Employee List'!I297="","",'Employee List'!I297))</f>
        <v/>
      </c>
      <c r="H297" s="38" t="str">
        <f aca="false">IF(OR($A297="",G297=""),"",G297+Settings!$C$13)</f>
        <v/>
      </c>
      <c r="I297" s="38" t="str">
        <f aca="false">IF(H297="","",MAX(H297,DATE(LvYear,1,1)))</f>
        <v/>
      </c>
      <c r="J297" s="38" t="str">
        <f aca="false">IF($A297="","",IF('Employee List'!J297="",DATE(LvYear,12,31),MIN('Employee List'!J297,DATE(LvYear,12,31))))</f>
        <v/>
      </c>
      <c r="K297" s="39" t="str">
        <f aca="false">IF(OR(I297="",J297=""),"",MAX(0,J297-I297+1))</f>
        <v/>
      </c>
      <c r="L297" s="16" t="str">
        <f aca="false">IF($A297="","",IF(AND(ISNUMBER(K297),K297=0),0,Settings!$C$10))</f>
        <v/>
      </c>
      <c r="M297" s="16" t="str">
        <f aca="false">IF($A297="","",IF(AND(ISNUMBER(K297),K297=0),0,Settings!$C$11))</f>
        <v/>
      </c>
      <c r="N297" s="40"/>
      <c r="O297" s="16" t="str">
        <f aca="false">IF($A297="","",FLOOR(Settings!$C$12/365*N(K297),0.5))</f>
        <v/>
      </c>
      <c r="P297" s="16" t="str">
        <f aca="false">IF($A297="","",IF(I297="",N(N297),FLOOR(Settings!$C$12/365*MAX(0,MIN(LvAsOf,J297)-I297+1)+N(N297),0.5)))</f>
        <v/>
      </c>
      <c r="Q297" s="16" t="str">
        <f aca="false">IF($A297="","",Settings!$C$14)</f>
        <v/>
      </c>
      <c r="R297" s="16" t="str">
        <f aca="false">IF($A297="","",SUMIFS(Attendance!$AZ$6:$AZ$2405,Attendance!$B$6:$B$2405,$A297,Attendance!$A$6:$A$2405,"&gt;="&amp;DATE(LvYear,1,1),Attendance!$A$6:$A$2405,"&lt;="&amp;DATE(LvYear,12,31)))</f>
        <v/>
      </c>
      <c r="S297" s="16" t="str">
        <f aca="false">IF($A297="","",SUMIFS(Attendance!$AY$6:$AY$2405,Attendance!$B$6:$B$2405,$A297,Attendance!$A$6:$A$2405,"&gt;="&amp;DATE(LvYear,1,1),Attendance!$A$6:$A$2405,"&lt;="&amp;DATE(LvYear,12,31)))</f>
        <v/>
      </c>
      <c r="T297" s="16" t="str">
        <f aca="false">IF($A297="","",SUMIFS(Attendance!$AX$6:$AX$2405,Attendance!$B$6:$B$2405,$A297,Attendance!$A$6:$A$2405,"&gt;="&amp;DATE(LvYear,1,1),Attendance!$A$6:$A$2405,"&lt;="&amp;DATE(LvYear,12,31)))</f>
        <v/>
      </c>
      <c r="U297" s="16" t="str">
        <f aca="false">IF($A297="","",SUMIFS(Attendance!$AW$6:$AW$2405,Attendance!$B$6:$B$2405,$A297,Attendance!$A$6:$A$2405,"&gt;="&amp;DATE(LvYear,1,1),Attendance!$A$6:$A$2405,"&lt;="&amp;DATE(LvYear,12,31)))</f>
        <v/>
      </c>
      <c r="V297" s="16" t="str">
        <f aca="false">IF($A297="","",L297-R297)</f>
        <v/>
      </c>
      <c r="W297" s="16" t="str">
        <f aca="false">IF($A297="","",M297-S297)</f>
        <v/>
      </c>
      <c r="X297" s="16" t="str">
        <f aca="false">IF($A297="","",P297-T297)</f>
        <v/>
      </c>
      <c r="Y297" s="16" t="str">
        <f aca="false">IF($A297="","",Q297-U297)</f>
        <v/>
      </c>
      <c r="Z297" s="16" t="str">
        <f aca="false">IF($A297="","",V297+W297+X297)</f>
        <v/>
      </c>
      <c r="AA297" s="16" t="str">
        <f aca="false">IF($A297="","",O297+N(N297)-T297)</f>
        <v/>
      </c>
      <c r="AB297" s="8" t="str">
        <f aca="false">IF($A297="","","CL "&amp;V297&amp;" | SL "&amp;W297&amp;" | PL "&amp;X297&amp;" | TR "&amp;Y297)</f>
        <v/>
      </c>
      <c r="AC297" s="15" t="str">
        <f aca="false">IF($A297="","",IF(F297="Exited","EXITED",IF(AND(ISNUMBER(K297),K297=0),"NOT ELIGIBLE",IF(MIN(V297:X297)&lt;0,"OVER-USED",IF(Z297&lt;=Settings!$C$15,"LOW","OK")))))</f>
        <v/>
      </c>
      <c r="AD297" s="16" t="str">
        <f aca="false">IF(OR(AC297="OVER-USED",AC297="LOW"),COUNTIF(AC$6:AC297,"OVER-USED")+COUNTIF(AC$6:AC297,"LOW"),"")</f>
        <v/>
      </c>
    </row>
    <row r="298" customFormat="false" ht="15" hidden="false" customHeight="false" outlineLevel="0" collapsed="false">
      <c r="A298" s="8" t="str">
        <f aca="false">IF('Employee List'!B298="","",'Employee List'!B298)</f>
        <v/>
      </c>
      <c r="B298" s="8" t="str">
        <f aca="false">IF($A298="","",'Employee List'!C298)</f>
        <v/>
      </c>
      <c r="C298" s="8" t="str">
        <f aca="false">IF($A298="","",'Employee List'!E298&amp;"")</f>
        <v/>
      </c>
      <c r="D298" s="8" t="str">
        <f aca="false">IF($A298="","",'Employee List'!F298&amp;"")</f>
        <v/>
      </c>
      <c r="E298" s="8" t="str">
        <f aca="false">IF($A298="","",'Employee List'!G298&amp;"")</f>
        <v/>
      </c>
      <c r="F298" s="8" t="str">
        <f aca="false">IF($A298="","",'Employee List'!D298)</f>
        <v/>
      </c>
      <c r="G298" s="38" t="str">
        <f aca="false">IF($A298="","",IF('Employee List'!I298="","",'Employee List'!I298))</f>
        <v/>
      </c>
      <c r="H298" s="38" t="str">
        <f aca="false">IF(OR($A298="",G298=""),"",G298+Settings!$C$13)</f>
        <v/>
      </c>
      <c r="I298" s="38" t="str">
        <f aca="false">IF(H298="","",MAX(H298,DATE(LvYear,1,1)))</f>
        <v/>
      </c>
      <c r="J298" s="38" t="str">
        <f aca="false">IF($A298="","",IF('Employee List'!J298="",DATE(LvYear,12,31),MIN('Employee List'!J298,DATE(LvYear,12,31))))</f>
        <v/>
      </c>
      <c r="K298" s="39" t="str">
        <f aca="false">IF(OR(I298="",J298=""),"",MAX(0,J298-I298+1))</f>
        <v/>
      </c>
      <c r="L298" s="16" t="str">
        <f aca="false">IF($A298="","",IF(AND(ISNUMBER(K298),K298=0),0,Settings!$C$10))</f>
        <v/>
      </c>
      <c r="M298" s="16" t="str">
        <f aca="false">IF($A298="","",IF(AND(ISNUMBER(K298),K298=0),0,Settings!$C$11))</f>
        <v/>
      </c>
      <c r="N298" s="40"/>
      <c r="O298" s="16" t="str">
        <f aca="false">IF($A298="","",FLOOR(Settings!$C$12/365*N(K298),0.5))</f>
        <v/>
      </c>
      <c r="P298" s="16" t="str">
        <f aca="false">IF($A298="","",IF(I298="",N(N298),FLOOR(Settings!$C$12/365*MAX(0,MIN(LvAsOf,J298)-I298+1)+N(N298),0.5)))</f>
        <v/>
      </c>
      <c r="Q298" s="16" t="str">
        <f aca="false">IF($A298="","",Settings!$C$14)</f>
        <v/>
      </c>
      <c r="R298" s="16" t="str">
        <f aca="false">IF($A298="","",SUMIFS(Attendance!$AZ$6:$AZ$2405,Attendance!$B$6:$B$2405,$A298,Attendance!$A$6:$A$2405,"&gt;="&amp;DATE(LvYear,1,1),Attendance!$A$6:$A$2405,"&lt;="&amp;DATE(LvYear,12,31)))</f>
        <v/>
      </c>
      <c r="S298" s="16" t="str">
        <f aca="false">IF($A298="","",SUMIFS(Attendance!$AY$6:$AY$2405,Attendance!$B$6:$B$2405,$A298,Attendance!$A$6:$A$2405,"&gt;="&amp;DATE(LvYear,1,1),Attendance!$A$6:$A$2405,"&lt;="&amp;DATE(LvYear,12,31)))</f>
        <v/>
      </c>
      <c r="T298" s="16" t="str">
        <f aca="false">IF($A298="","",SUMIFS(Attendance!$AX$6:$AX$2405,Attendance!$B$6:$B$2405,$A298,Attendance!$A$6:$A$2405,"&gt;="&amp;DATE(LvYear,1,1),Attendance!$A$6:$A$2405,"&lt;="&amp;DATE(LvYear,12,31)))</f>
        <v/>
      </c>
      <c r="U298" s="16" t="str">
        <f aca="false">IF($A298="","",SUMIFS(Attendance!$AW$6:$AW$2405,Attendance!$B$6:$B$2405,$A298,Attendance!$A$6:$A$2405,"&gt;="&amp;DATE(LvYear,1,1),Attendance!$A$6:$A$2405,"&lt;="&amp;DATE(LvYear,12,31)))</f>
        <v/>
      </c>
      <c r="V298" s="16" t="str">
        <f aca="false">IF($A298="","",L298-R298)</f>
        <v/>
      </c>
      <c r="W298" s="16" t="str">
        <f aca="false">IF($A298="","",M298-S298)</f>
        <v/>
      </c>
      <c r="X298" s="16" t="str">
        <f aca="false">IF($A298="","",P298-T298)</f>
        <v/>
      </c>
      <c r="Y298" s="16" t="str">
        <f aca="false">IF($A298="","",Q298-U298)</f>
        <v/>
      </c>
      <c r="Z298" s="16" t="str">
        <f aca="false">IF($A298="","",V298+W298+X298)</f>
        <v/>
      </c>
      <c r="AA298" s="16" t="str">
        <f aca="false">IF($A298="","",O298+N(N298)-T298)</f>
        <v/>
      </c>
      <c r="AB298" s="8" t="str">
        <f aca="false">IF($A298="","","CL "&amp;V298&amp;" | SL "&amp;W298&amp;" | PL "&amp;X298&amp;" | TR "&amp;Y298)</f>
        <v/>
      </c>
      <c r="AC298" s="15" t="str">
        <f aca="false">IF($A298="","",IF(F298="Exited","EXITED",IF(AND(ISNUMBER(K298),K298=0),"NOT ELIGIBLE",IF(MIN(V298:X298)&lt;0,"OVER-USED",IF(Z298&lt;=Settings!$C$15,"LOW","OK")))))</f>
        <v/>
      </c>
      <c r="AD298" s="16" t="str">
        <f aca="false">IF(OR(AC298="OVER-USED",AC298="LOW"),COUNTIF(AC$6:AC298,"OVER-USED")+COUNTIF(AC$6:AC298,"LOW"),"")</f>
        <v/>
      </c>
    </row>
    <row r="299" customFormat="false" ht="15" hidden="false" customHeight="false" outlineLevel="0" collapsed="false">
      <c r="A299" s="8" t="str">
        <f aca="false">IF('Employee List'!B299="","",'Employee List'!B299)</f>
        <v/>
      </c>
      <c r="B299" s="8" t="str">
        <f aca="false">IF($A299="","",'Employee List'!C299)</f>
        <v/>
      </c>
      <c r="C299" s="8" t="str">
        <f aca="false">IF($A299="","",'Employee List'!E299&amp;"")</f>
        <v/>
      </c>
      <c r="D299" s="8" t="str">
        <f aca="false">IF($A299="","",'Employee List'!F299&amp;"")</f>
        <v/>
      </c>
      <c r="E299" s="8" t="str">
        <f aca="false">IF($A299="","",'Employee List'!G299&amp;"")</f>
        <v/>
      </c>
      <c r="F299" s="8" t="str">
        <f aca="false">IF($A299="","",'Employee List'!D299)</f>
        <v/>
      </c>
      <c r="G299" s="38" t="str">
        <f aca="false">IF($A299="","",IF('Employee List'!I299="","",'Employee List'!I299))</f>
        <v/>
      </c>
      <c r="H299" s="38" t="str">
        <f aca="false">IF(OR($A299="",G299=""),"",G299+Settings!$C$13)</f>
        <v/>
      </c>
      <c r="I299" s="38" t="str">
        <f aca="false">IF(H299="","",MAX(H299,DATE(LvYear,1,1)))</f>
        <v/>
      </c>
      <c r="J299" s="38" t="str">
        <f aca="false">IF($A299="","",IF('Employee List'!J299="",DATE(LvYear,12,31),MIN('Employee List'!J299,DATE(LvYear,12,31))))</f>
        <v/>
      </c>
      <c r="K299" s="39" t="str">
        <f aca="false">IF(OR(I299="",J299=""),"",MAX(0,J299-I299+1))</f>
        <v/>
      </c>
      <c r="L299" s="16" t="str">
        <f aca="false">IF($A299="","",IF(AND(ISNUMBER(K299),K299=0),0,Settings!$C$10))</f>
        <v/>
      </c>
      <c r="M299" s="16" t="str">
        <f aca="false">IF($A299="","",IF(AND(ISNUMBER(K299),K299=0),0,Settings!$C$11))</f>
        <v/>
      </c>
      <c r="N299" s="40"/>
      <c r="O299" s="16" t="str">
        <f aca="false">IF($A299="","",FLOOR(Settings!$C$12/365*N(K299),0.5))</f>
        <v/>
      </c>
      <c r="P299" s="16" t="str">
        <f aca="false">IF($A299="","",IF(I299="",N(N299),FLOOR(Settings!$C$12/365*MAX(0,MIN(LvAsOf,J299)-I299+1)+N(N299),0.5)))</f>
        <v/>
      </c>
      <c r="Q299" s="16" t="str">
        <f aca="false">IF($A299="","",Settings!$C$14)</f>
        <v/>
      </c>
      <c r="R299" s="16" t="str">
        <f aca="false">IF($A299="","",SUMIFS(Attendance!$AZ$6:$AZ$2405,Attendance!$B$6:$B$2405,$A299,Attendance!$A$6:$A$2405,"&gt;="&amp;DATE(LvYear,1,1),Attendance!$A$6:$A$2405,"&lt;="&amp;DATE(LvYear,12,31)))</f>
        <v/>
      </c>
      <c r="S299" s="16" t="str">
        <f aca="false">IF($A299="","",SUMIFS(Attendance!$AY$6:$AY$2405,Attendance!$B$6:$B$2405,$A299,Attendance!$A$6:$A$2405,"&gt;="&amp;DATE(LvYear,1,1),Attendance!$A$6:$A$2405,"&lt;="&amp;DATE(LvYear,12,31)))</f>
        <v/>
      </c>
      <c r="T299" s="16" t="str">
        <f aca="false">IF($A299="","",SUMIFS(Attendance!$AX$6:$AX$2405,Attendance!$B$6:$B$2405,$A299,Attendance!$A$6:$A$2405,"&gt;="&amp;DATE(LvYear,1,1),Attendance!$A$6:$A$2405,"&lt;="&amp;DATE(LvYear,12,31)))</f>
        <v/>
      </c>
      <c r="U299" s="16" t="str">
        <f aca="false">IF($A299="","",SUMIFS(Attendance!$AW$6:$AW$2405,Attendance!$B$6:$B$2405,$A299,Attendance!$A$6:$A$2405,"&gt;="&amp;DATE(LvYear,1,1),Attendance!$A$6:$A$2405,"&lt;="&amp;DATE(LvYear,12,31)))</f>
        <v/>
      </c>
      <c r="V299" s="16" t="str">
        <f aca="false">IF($A299="","",L299-R299)</f>
        <v/>
      </c>
      <c r="W299" s="16" t="str">
        <f aca="false">IF($A299="","",M299-S299)</f>
        <v/>
      </c>
      <c r="X299" s="16" t="str">
        <f aca="false">IF($A299="","",P299-T299)</f>
        <v/>
      </c>
      <c r="Y299" s="16" t="str">
        <f aca="false">IF($A299="","",Q299-U299)</f>
        <v/>
      </c>
      <c r="Z299" s="16" t="str">
        <f aca="false">IF($A299="","",V299+W299+X299)</f>
        <v/>
      </c>
      <c r="AA299" s="16" t="str">
        <f aca="false">IF($A299="","",O299+N(N299)-T299)</f>
        <v/>
      </c>
      <c r="AB299" s="8" t="str">
        <f aca="false">IF($A299="","","CL "&amp;V299&amp;" | SL "&amp;W299&amp;" | PL "&amp;X299&amp;" | TR "&amp;Y299)</f>
        <v/>
      </c>
      <c r="AC299" s="15" t="str">
        <f aca="false">IF($A299="","",IF(F299="Exited","EXITED",IF(AND(ISNUMBER(K299),K299=0),"NOT ELIGIBLE",IF(MIN(V299:X299)&lt;0,"OVER-USED",IF(Z299&lt;=Settings!$C$15,"LOW","OK")))))</f>
        <v/>
      </c>
      <c r="AD299" s="16" t="str">
        <f aca="false">IF(OR(AC299="OVER-USED",AC299="LOW"),COUNTIF(AC$6:AC299,"OVER-USED")+COUNTIF(AC$6:AC299,"LOW"),"")</f>
        <v/>
      </c>
    </row>
    <row r="300" customFormat="false" ht="15" hidden="false" customHeight="false" outlineLevel="0" collapsed="false">
      <c r="A300" s="8" t="str">
        <f aca="false">IF('Employee List'!B300="","",'Employee List'!B300)</f>
        <v/>
      </c>
      <c r="B300" s="8" t="str">
        <f aca="false">IF($A300="","",'Employee List'!C300)</f>
        <v/>
      </c>
      <c r="C300" s="8" t="str">
        <f aca="false">IF($A300="","",'Employee List'!E300&amp;"")</f>
        <v/>
      </c>
      <c r="D300" s="8" t="str">
        <f aca="false">IF($A300="","",'Employee List'!F300&amp;"")</f>
        <v/>
      </c>
      <c r="E300" s="8" t="str">
        <f aca="false">IF($A300="","",'Employee List'!G300&amp;"")</f>
        <v/>
      </c>
      <c r="F300" s="8" t="str">
        <f aca="false">IF($A300="","",'Employee List'!D300)</f>
        <v/>
      </c>
      <c r="G300" s="38" t="str">
        <f aca="false">IF($A300="","",IF('Employee List'!I300="","",'Employee List'!I300))</f>
        <v/>
      </c>
      <c r="H300" s="38" t="str">
        <f aca="false">IF(OR($A300="",G300=""),"",G300+Settings!$C$13)</f>
        <v/>
      </c>
      <c r="I300" s="38" t="str">
        <f aca="false">IF(H300="","",MAX(H300,DATE(LvYear,1,1)))</f>
        <v/>
      </c>
      <c r="J300" s="38" t="str">
        <f aca="false">IF($A300="","",IF('Employee List'!J300="",DATE(LvYear,12,31),MIN('Employee List'!J300,DATE(LvYear,12,31))))</f>
        <v/>
      </c>
      <c r="K300" s="39" t="str">
        <f aca="false">IF(OR(I300="",J300=""),"",MAX(0,J300-I300+1))</f>
        <v/>
      </c>
      <c r="L300" s="16" t="str">
        <f aca="false">IF($A300="","",IF(AND(ISNUMBER(K300),K300=0),0,Settings!$C$10))</f>
        <v/>
      </c>
      <c r="M300" s="16" t="str">
        <f aca="false">IF($A300="","",IF(AND(ISNUMBER(K300),K300=0),0,Settings!$C$11))</f>
        <v/>
      </c>
      <c r="N300" s="40"/>
      <c r="O300" s="16" t="str">
        <f aca="false">IF($A300="","",FLOOR(Settings!$C$12/365*N(K300),0.5))</f>
        <v/>
      </c>
      <c r="P300" s="16" t="str">
        <f aca="false">IF($A300="","",IF(I300="",N(N300),FLOOR(Settings!$C$12/365*MAX(0,MIN(LvAsOf,J300)-I300+1)+N(N300),0.5)))</f>
        <v/>
      </c>
      <c r="Q300" s="16" t="str">
        <f aca="false">IF($A300="","",Settings!$C$14)</f>
        <v/>
      </c>
      <c r="R300" s="16" t="str">
        <f aca="false">IF($A300="","",SUMIFS(Attendance!$AZ$6:$AZ$2405,Attendance!$B$6:$B$2405,$A300,Attendance!$A$6:$A$2405,"&gt;="&amp;DATE(LvYear,1,1),Attendance!$A$6:$A$2405,"&lt;="&amp;DATE(LvYear,12,31)))</f>
        <v/>
      </c>
      <c r="S300" s="16" t="str">
        <f aca="false">IF($A300="","",SUMIFS(Attendance!$AY$6:$AY$2405,Attendance!$B$6:$B$2405,$A300,Attendance!$A$6:$A$2405,"&gt;="&amp;DATE(LvYear,1,1),Attendance!$A$6:$A$2405,"&lt;="&amp;DATE(LvYear,12,31)))</f>
        <v/>
      </c>
      <c r="T300" s="16" t="str">
        <f aca="false">IF($A300="","",SUMIFS(Attendance!$AX$6:$AX$2405,Attendance!$B$6:$B$2405,$A300,Attendance!$A$6:$A$2405,"&gt;="&amp;DATE(LvYear,1,1),Attendance!$A$6:$A$2405,"&lt;="&amp;DATE(LvYear,12,31)))</f>
        <v/>
      </c>
      <c r="U300" s="16" t="str">
        <f aca="false">IF($A300="","",SUMIFS(Attendance!$AW$6:$AW$2405,Attendance!$B$6:$B$2405,$A300,Attendance!$A$6:$A$2405,"&gt;="&amp;DATE(LvYear,1,1),Attendance!$A$6:$A$2405,"&lt;="&amp;DATE(LvYear,12,31)))</f>
        <v/>
      </c>
      <c r="V300" s="16" t="str">
        <f aca="false">IF($A300="","",L300-R300)</f>
        <v/>
      </c>
      <c r="W300" s="16" t="str">
        <f aca="false">IF($A300="","",M300-S300)</f>
        <v/>
      </c>
      <c r="X300" s="16" t="str">
        <f aca="false">IF($A300="","",P300-T300)</f>
        <v/>
      </c>
      <c r="Y300" s="16" t="str">
        <f aca="false">IF($A300="","",Q300-U300)</f>
        <v/>
      </c>
      <c r="Z300" s="16" t="str">
        <f aca="false">IF($A300="","",V300+W300+X300)</f>
        <v/>
      </c>
      <c r="AA300" s="16" t="str">
        <f aca="false">IF($A300="","",O300+N(N300)-T300)</f>
        <v/>
      </c>
      <c r="AB300" s="8" t="str">
        <f aca="false">IF($A300="","","CL "&amp;V300&amp;" | SL "&amp;W300&amp;" | PL "&amp;X300&amp;" | TR "&amp;Y300)</f>
        <v/>
      </c>
      <c r="AC300" s="15" t="str">
        <f aca="false">IF($A300="","",IF(F300="Exited","EXITED",IF(AND(ISNUMBER(K300),K300=0),"NOT ELIGIBLE",IF(MIN(V300:X300)&lt;0,"OVER-USED",IF(Z300&lt;=Settings!$C$15,"LOW","OK")))))</f>
        <v/>
      </c>
      <c r="AD300" s="16" t="str">
        <f aca="false">IF(OR(AC300="OVER-USED",AC300="LOW"),COUNTIF(AC$6:AC300,"OVER-USED")+COUNTIF(AC$6:AC300,"LOW"),"")</f>
        <v/>
      </c>
    </row>
    <row r="301" customFormat="false" ht="15" hidden="false" customHeight="false" outlineLevel="0" collapsed="false">
      <c r="A301" s="8" t="str">
        <f aca="false">IF('Employee List'!B301="","",'Employee List'!B301)</f>
        <v/>
      </c>
      <c r="B301" s="8" t="str">
        <f aca="false">IF($A301="","",'Employee List'!C301)</f>
        <v/>
      </c>
      <c r="C301" s="8" t="str">
        <f aca="false">IF($A301="","",'Employee List'!E301&amp;"")</f>
        <v/>
      </c>
      <c r="D301" s="8" t="str">
        <f aca="false">IF($A301="","",'Employee List'!F301&amp;"")</f>
        <v/>
      </c>
      <c r="E301" s="8" t="str">
        <f aca="false">IF($A301="","",'Employee List'!G301&amp;"")</f>
        <v/>
      </c>
      <c r="F301" s="8" t="str">
        <f aca="false">IF($A301="","",'Employee List'!D301)</f>
        <v/>
      </c>
      <c r="G301" s="38" t="str">
        <f aca="false">IF($A301="","",IF('Employee List'!I301="","",'Employee List'!I301))</f>
        <v/>
      </c>
      <c r="H301" s="38" t="str">
        <f aca="false">IF(OR($A301="",G301=""),"",G301+Settings!$C$13)</f>
        <v/>
      </c>
      <c r="I301" s="38" t="str">
        <f aca="false">IF(H301="","",MAX(H301,DATE(LvYear,1,1)))</f>
        <v/>
      </c>
      <c r="J301" s="38" t="str">
        <f aca="false">IF($A301="","",IF('Employee List'!J301="",DATE(LvYear,12,31),MIN('Employee List'!J301,DATE(LvYear,12,31))))</f>
        <v/>
      </c>
      <c r="K301" s="39" t="str">
        <f aca="false">IF(OR(I301="",J301=""),"",MAX(0,J301-I301+1))</f>
        <v/>
      </c>
      <c r="L301" s="16" t="str">
        <f aca="false">IF($A301="","",IF(AND(ISNUMBER(K301),K301=0),0,Settings!$C$10))</f>
        <v/>
      </c>
      <c r="M301" s="16" t="str">
        <f aca="false">IF($A301="","",IF(AND(ISNUMBER(K301),K301=0),0,Settings!$C$11))</f>
        <v/>
      </c>
      <c r="N301" s="40"/>
      <c r="O301" s="16" t="str">
        <f aca="false">IF($A301="","",FLOOR(Settings!$C$12/365*N(K301),0.5))</f>
        <v/>
      </c>
      <c r="P301" s="16" t="str">
        <f aca="false">IF($A301="","",IF(I301="",N(N301),FLOOR(Settings!$C$12/365*MAX(0,MIN(LvAsOf,J301)-I301+1)+N(N301),0.5)))</f>
        <v/>
      </c>
      <c r="Q301" s="16" t="str">
        <f aca="false">IF($A301="","",Settings!$C$14)</f>
        <v/>
      </c>
      <c r="R301" s="16" t="str">
        <f aca="false">IF($A301="","",SUMIFS(Attendance!$AZ$6:$AZ$2405,Attendance!$B$6:$B$2405,$A301,Attendance!$A$6:$A$2405,"&gt;="&amp;DATE(LvYear,1,1),Attendance!$A$6:$A$2405,"&lt;="&amp;DATE(LvYear,12,31)))</f>
        <v/>
      </c>
      <c r="S301" s="16" t="str">
        <f aca="false">IF($A301="","",SUMIFS(Attendance!$AY$6:$AY$2405,Attendance!$B$6:$B$2405,$A301,Attendance!$A$6:$A$2405,"&gt;="&amp;DATE(LvYear,1,1),Attendance!$A$6:$A$2405,"&lt;="&amp;DATE(LvYear,12,31)))</f>
        <v/>
      </c>
      <c r="T301" s="16" t="str">
        <f aca="false">IF($A301="","",SUMIFS(Attendance!$AX$6:$AX$2405,Attendance!$B$6:$B$2405,$A301,Attendance!$A$6:$A$2405,"&gt;="&amp;DATE(LvYear,1,1),Attendance!$A$6:$A$2405,"&lt;="&amp;DATE(LvYear,12,31)))</f>
        <v/>
      </c>
      <c r="U301" s="16" t="str">
        <f aca="false">IF($A301="","",SUMIFS(Attendance!$AW$6:$AW$2405,Attendance!$B$6:$B$2405,$A301,Attendance!$A$6:$A$2405,"&gt;="&amp;DATE(LvYear,1,1),Attendance!$A$6:$A$2405,"&lt;="&amp;DATE(LvYear,12,31)))</f>
        <v/>
      </c>
      <c r="V301" s="16" t="str">
        <f aca="false">IF($A301="","",L301-R301)</f>
        <v/>
      </c>
      <c r="W301" s="16" t="str">
        <f aca="false">IF($A301="","",M301-S301)</f>
        <v/>
      </c>
      <c r="X301" s="16" t="str">
        <f aca="false">IF($A301="","",P301-T301)</f>
        <v/>
      </c>
      <c r="Y301" s="16" t="str">
        <f aca="false">IF($A301="","",Q301-U301)</f>
        <v/>
      </c>
      <c r="Z301" s="16" t="str">
        <f aca="false">IF($A301="","",V301+W301+X301)</f>
        <v/>
      </c>
      <c r="AA301" s="16" t="str">
        <f aca="false">IF($A301="","",O301+N(N301)-T301)</f>
        <v/>
      </c>
      <c r="AB301" s="8" t="str">
        <f aca="false">IF($A301="","","CL "&amp;V301&amp;" | SL "&amp;W301&amp;" | PL "&amp;X301&amp;" | TR "&amp;Y301)</f>
        <v/>
      </c>
      <c r="AC301" s="15" t="str">
        <f aca="false">IF($A301="","",IF(F301="Exited","EXITED",IF(AND(ISNUMBER(K301),K301=0),"NOT ELIGIBLE",IF(MIN(V301:X301)&lt;0,"OVER-USED",IF(Z301&lt;=Settings!$C$15,"LOW","OK")))))</f>
        <v/>
      </c>
      <c r="AD301" s="16" t="str">
        <f aca="false">IF(OR(AC301="OVER-USED",AC301="LOW"),COUNTIF(AC$6:AC301,"OVER-USED")+COUNTIF(AC$6:AC301,"LOW"),"")</f>
        <v/>
      </c>
    </row>
    <row r="302" customFormat="false" ht="15" hidden="false" customHeight="false" outlineLevel="0" collapsed="false">
      <c r="A302" s="8" t="str">
        <f aca="false">IF('Employee List'!B302="","",'Employee List'!B302)</f>
        <v/>
      </c>
      <c r="B302" s="8" t="str">
        <f aca="false">IF($A302="","",'Employee List'!C302)</f>
        <v/>
      </c>
      <c r="C302" s="8" t="str">
        <f aca="false">IF($A302="","",'Employee List'!E302&amp;"")</f>
        <v/>
      </c>
      <c r="D302" s="8" t="str">
        <f aca="false">IF($A302="","",'Employee List'!F302&amp;"")</f>
        <v/>
      </c>
      <c r="E302" s="8" t="str">
        <f aca="false">IF($A302="","",'Employee List'!G302&amp;"")</f>
        <v/>
      </c>
      <c r="F302" s="8" t="str">
        <f aca="false">IF($A302="","",'Employee List'!D302)</f>
        <v/>
      </c>
      <c r="G302" s="38" t="str">
        <f aca="false">IF($A302="","",IF('Employee List'!I302="","",'Employee List'!I302))</f>
        <v/>
      </c>
      <c r="H302" s="38" t="str">
        <f aca="false">IF(OR($A302="",G302=""),"",G302+Settings!$C$13)</f>
        <v/>
      </c>
      <c r="I302" s="38" t="str">
        <f aca="false">IF(H302="","",MAX(H302,DATE(LvYear,1,1)))</f>
        <v/>
      </c>
      <c r="J302" s="38" t="str">
        <f aca="false">IF($A302="","",IF('Employee List'!J302="",DATE(LvYear,12,31),MIN('Employee List'!J302,DATE(LvYear,12,31))))</f>
        <v/>
      </c>
      <c r="K302" s="39" t="str">
        <f aca="false">IF(OR(I302="",J302=""),"",MAX(0,J302-I302+1))</f>
        <v/>
      </c>
      <c r="L302" s="16" t="str">
        <f aca="false">IF($A302="","",IF(AND(ISNUMBER(K302),K302=0),0,Settings!$C$10))</f>
        <v/>
      </c>
      <c r="M302" s="16" t="str">
        <f aca="false">IF($A302="","",IF(AND(ISNUMBER(K302),K302=0),0,Settings!$C$11))</f>
        <v/>
      </c>
      <c r="N302" s="40"/>
      <c r="O302" s="16" t="str">
        <f aca="false">IF($A302="","",FLOOR(Settings!$C$12/365*N(K302),0.5))</f>
        <v/>
      </c>
      <c r="P302" s="16" t="str">
        <f aca="false">IF($A302="","",IF(I302="",N(N302),FLOOR(Settings!$C$12/365*MAX(0,MIN(LvAsOf,J302)-I302+1)+N(N302),0.5)))</f>
        <v/>
      </c>
      <c r="Q302" s="16" t="str">
        <f aca="false">IF($A302="","",Settings!$C$14)</f>
        <v/>
      </c>
      <c r="R302" s="16" t="str">
        <f aca="false">IF($A302="","",SUMIFS(Attendance!$AZ$6:$AZ$2405,Attendance!$B$6:$B$2405,$A302,Attendance!$A$6:$A$2405,"&gt;="&amp;DATE(LvYear,1,1),Attendance!$A$6:$A$2405,"&lt;="&amp;DATE(LvYear,12,31)))</f>
        <v/>
      </c>
      <c r="S302" s="16" t="str">
        <f aca="false">IF($A302="","",SUMIFS(Attendance!$AY$6:$AY$2405,Attendance!$B$6:$B$2405,$A302,Attendance!$A$6:$A$2405,"&gt;="&amp;DATE(LvYear,1,1),Attendance!$A$6:$A$2405,"&lt;="&amp;DATE(LvYear,12,31)))</f>
        <v/>
      </c>
      <c r="T302" s="16" t="str">
        <f aca="false">IF($A302="","",SUMIFS(Attendance!$AX$6:$AX$2405,Attendance!$B$6:$B$2405,$A302,Attendance!$A$6:$A$2405,"&gt;="&amp;DATE(LvYear,1,1),Attendance!$A$6:$A$2405,"&lt;="&amp;DATE(LvYear,12,31)))</f>
        <v/>
      </c>
      <c r="U302" s="16" t="str">
        <f aca="false">IF($A302="","",SUMIFS(Attendance!$AW$6:$AW$2405,Attendance!$B$6:$B$2405,$A302,Attendance!$A$6:$A$2405,"&gt;="&amp;DATE(LvYear,1,1),Attendance!$A$6:$A$2405,"&lt;="&amp;DATE(LvYear,12,31)))</f>
        <v/>
      </c>
      <c r="V302" s="16" t="str">
        <f aca="false">IF($A302="","",L302-R302)</f>
        <v/>
      </c>
      <c r="W302" s="16" t="str">
        <f aca="false">IF($A302="","",M302-S302)</f>
        <v/>
      </c>
      <c r="X302" s="16" t="str">
        <f aca="false">IF($A302="","",P302-T302)</f>
        <v/>
      </c>
      <c r="Y302" s="16" t="str">
        <f aca="false">IF($A302="","",Q302-U302)</f>
        <v/>
      </c>
      <c r="Z302" s="16" t="str">
        <f aca="false">IF($A302="","",V302+W302+X302)</f>
        <v/>
      </c>
      <c r="AA302" s="16" t="str">
        <f aca="false">IF($A302="","",O302+N(N302)-T302)</f>
        <v/>
      </c>
      <c r="AB302" s="8" t="str">
        <f aca="false">IF($A302="","","CL "&amp;V302&amp;" | SL "&amp;W302&amp;" | PL "&amp;X302&amp;" | TR "&amp;Y302)</f>
        <v/>
      </c>
      <c r="AC302" s="15" t="str">
        <f aca="false">IF($A302="","",IF(F302="Exited","EXITED",IF(AND(ISNUMBER(K302),K302=0),"NOT ELIGIBLE",IF(MIN(V302:X302)&lt;0,"OVER-USED",IF(Z302&lt;=Settings!$C$15,"LOW","OK")))))</f>
        <v/>
      </c>
      <c r="AD302" s="16" t="str">
        <f aca="false">IF(OR(AC302="OVER-USED",AC302="LOW"),COUNTIF(AC$6:AC302,"OVER-USED")+COUNTIF(AC$6:AC302,"LOW"),"")</f>
        <v/>
      </c>
    </row>
    <row r="303" customFormat="false" ht="15" hidden="false" customHeight="false" outlineLevel="0" collapsed="false">
      <c r="A303" s="8" t="str">
        <f aca="false">IF('Employee List'!B303="","",'Employee List'!B303)</f>
        <v/>
      </c>
      <c r="B303" s="8" t="str">
        <f aca="false">IF($A303="","",'Employee List'!C303)</f>
        <v/>
      </c>
      <c r="C303" s="8" t="str">
        <f aca="false">IF($A303="","",'Employee List'!E303&amp;"")</f>
        <v/>
      </c>
      <c r="D303" s="8" t="str">
        <f aca="false">IF($A303="","",'Employee List'!F303&amp;"")</f>
        <v/>
      </c>
      <c r="E303" s="8" t="str">
        <f aca="false">IF($A303="","",'Employee List'!G303&amp;"")</f>
        <v/>
      </c>
      <c r="F303" s="8" t="str">
        <f aca="false">IF($A303="","",'Employee List'!D303)</f>
        <v/>
      </c>
      <c r="G303" s="38" t="str">
        <f aca="false">IF($A303="","",IF('Employee List'!I303="","",'Employee List'!I303))</f>
        <v/>
      </c>
      <c r="H303" s="38" t="str">
        <f aca="false">IF(OR($A303="",G303=""),"",G303+Settings!$C$13)</f>
        <v/>
      </c>
      <c r="I303" s="38" t="str">
        <f aca="false">IF(H303="","",MAX(H303,DATE(LvYear,1,1)))</f>
        <v/>
      </c>
      <c r="J303" s="38" t="str">
        <f aca="false">IF($A303="","",IF('Employee List'!J303="",DATE(LvYear,12,31),MIN('Employee List'!J303,DATE(LvYear,12,31))))</f>
        <v/>
      </c>
      <c r="K303" s="39" t="str">
        <f aca="false">IF(OR(I303="",J303=""),"",MAX(0,J303-I303+1))</f>
        <v/>
      </c>
      <c r="L303" s="16" t="str">
        <f aca="false">IF($A303="","",IF(AND(ISNUMBER(K303),K303=0),0,Settings!$C$10))</f>
        <v/>
      </c>
      <c r="M303" s="16" t="str">
        <f aca="false">IF($A303="","",IF(AND(ISNUMBER(K303),K303=0),0,Settings!$C$11))</f>
        <v/>
      </c>
      <c r="N303" s="40"/>
      <c r="O303" s="16" t="str">
        <f aca="false">IF($A303="","",FLOOR(Settings!$C$12/365*N(K303),0.5))</f>
        <v/>
      </c>
      <c r="P303" s="16" t="str">
        <f aca="false">IF($A303="","",IF(I303="",N(N303),FLOOR(Settings!$C$12/365*MAX(0,MIN(LvAsOf,J303)-I303+1)+N(N303),0.5)))</f>
        <v/>
      </c>
      <c r="Q303" s="16" t="str">
        <f aca="false">IF($A303="","",Settings!$C$14)</f>
        <v/>
      </c>
      <c r="R303" s="16" t="str">
        <f aca="false">IF($A303="","",SUMIFS(Attendance!$AZ$6:$AZ$2405,Attendance!$B$6:$B$2405,$A303,Attendance!$A$6:$A$2405,"&gt;="&amp;DATE(LvYear,1,1),Attendance!$A$6:$A$2405,"&lt;="&amp;DATE(LvYear,12,31)))</f>
        <v/>
      </c>
      <c r="S303" s="16" t="str">
        <f aca="false">IF($A303="","",SUMIFS(Attendance!$AY$6:$AY$2405,Attendance!$B$6:$B$2405,$A303,Attendance!$A$6:$A$2405,"&gt;="&amp;DATE(LvYear,1,1),Attendance!$A$6:$A$2405,"&lt;="&amp;DATE(LvYear,12,31)))</f>
        <v/>
      </c>
      <c r="T303" s="16" t="str">
        <f aca="false">IF($A303="","",SUMIFS(Attendance!$AX$6:$AX$2405,Attendance!$B$6:$B$2405,$A303,Attendance!$A$6:$A$2405,"&gt;="&amp;DATE(LvYear,1,1),Attendance!$A$6:$A$2405,"&lt;="&amp;DATE(LvYear,12,31)))</f>
        <v/>
      </c>
      <c r="U303" s="16" t="str">
        <f aca="false">IF($A303="","",SUMIFS(Attendance!$AW$6:$AW$2405,Attendance!$B$6:$B$2405,$A303,Attendance!$A$6:$A$2405,"&gt;="&amp;DATE(LvYear,1,1),Attendance!$A$6:$A$2405,"&lt;="&amp;DATE(LvYear,12,31)))</f>
        <v/>
      </c>
      <c r="V303" s="16" t="str">
        <f aca="false">IF($A303="","",L303-R303)</f>
        <v/>
      </c>
      <c r="W303" s="16" t="str">
        <f aca="false">IF($A303="","",M303-S303)</f>
        <v/>
      </c>
      <c r="X303" s="16" t="str">
        <f aca="false">IF($A303="","",P303-T303)</f>
        <v/>
      </c>
      <c r="Y303" s="16" t="str">
        <f aca="false">IF($A303="","",Q303-U303)</f>
        <v/>
      </c>
      <c r="Z303" s="16" t="str">
        <f aca="false">IF($A303="","",V303+W303+X303)</f>
        <v/>
      </c>
      <c r="AA303" s="16" t="str">
        <f aca="false">IF($A303="","",O303+N(N303)-T303)</f>
        <v/>
      </c>
      <c r="AB303" s="8" t="str">
        <f aca="false">IF($A303="","","CL "&amp;V303&amp;" | SL "&amp;W303&amp;" | PL "&amp;X303&amp;" | TR "&amp;Y303)</f>
        <v/>
      </c>
      <c r="AC303" s="15" t="str">
        <f aca="false">IF($A303="","",IF(F303="Exited","EXITED",IF(AND(ISNUMBER(K303),K303=0),"NOT ELIGIBLE",IF(MIN(V303:X303)&lt;0,"OVER-USED",IF(Z303&lt;=Settings!$C$15,"LOW","OK")))))</f>
        <v/>
      </c>
      <c r="AD303" s="16" t="str">
        <f aca="false">IF(OR(AC303="OVER-USED",AC303="LOW"),COUNTIF(AC$6:AC303,"OVER-USED")+COUNTIF(AC$6:AC303,"LOW"),"")</f>
        <v/>
      </c>
    </row>
    <row r="304" customFormat="false" ht="15" hidden="false" customHeight="false" outlineLevel="0" collapsed="false">
      <c r="A304" s="8" t="str">
        <f aca="false">IF('Employee List'!B304="","",'Employee List'!B304)</f>
        <v/>
      </c>
      <c r="B304" s="8" t="str">
        <f aca="false">IF($A304="","",'Employee List'!C304)</f>
        <v/>
      </c>
      <c r="C304" s="8" t="str">
        <f aca="false">IF($A304="","",'Employee List'!E304&amp;"")</f>
        <v/>
      </c>
      <c r="D304" s="8" t="str">
        <f aca="false">IF($A304="","",'Employee List'!F304&amp;"")</f>
        <v/>
      </c>
      <c r="E304" s="8" t="str">
        <f aca="false">IF($A304="","",'Employee List'!G304&amp;"")</f>
        <v/>
      </c>
      <c r="F304" s="8" t="str">
        <f aca="false">IF($A304="","",'Employee List'!D304)</f>
        <v/>
      </c>
      <c r="G304" s="38" t="str">
        <f aca="false">IF($A304="","",IF('Employee List'!I304="","",'Employee List'!I304))</f>
        <v/>
      </c>
      <c r="H304" s="38" t="str">
        <f aca="false">IF(OR($A304="",G304=""),"",G304+Settings!$C$13)</f>
        <v/>
      </c>
      <c r="I304" s="38" t="str">
        <f aca="false">IF(H304="","",MAX(H304,DATE(LvYear,1,1)))</f>
        <v/>
      </c>
      <c r="J304" s="38" t="str">
        <f aca="false">IF($A304="","",IF('Employee List'!J304="",DATE(LvYear,12,31),MIN('Employee List'!J304,DATE(LvYear,12,31))))</f>
        <v/>
      </c>
      <c r="K304" s="39" t="str">
        <f aca="false">IF(OR(I304="",J304=""),"",MAX(0,J304-I304+1))</f>
        <v/>
      </c>
      <c r="L304" s="16" t="str">
        <f aca="false">IF($A304="","",IF(AND(ISNUMBER(K304),K304=0),0,Settings!$C$10))</f>
        <v/>
      </c>
      <c r="M304" s="16" t="str">
        <f aca="false">IF($A304="","",IF(AND(ISNUMBER(K304),K304=0),0,Settings!$C$11))</f>
        <v/>
      </c>
      <c r="N304" s="40"/>
      <c r="O304" s="16" t="str">
        <f aca="false">IF($A304="","",FLOOR(Settings!$C$12/365*N(K304),0.5))</f>
        <v/>
      </c>
      <c r="P304" s="16" t="str">
        <f aca="false">IF($A304="","",IF(I304="",N(N304),FLOOR(Settings!$C$12/365*MAX(0,MIN(LvAsOf,J304)-I304+1)+N(N304),0.5)))</f>
        <v/>
      </c>
      <c r="Q304" s="16" t="str">
        <f aca="false">IF($A304="","",Settings!$C$14)</f>
        <v/>
      </c>
      <c r="R304" s="16" t="str">
        <f aca="false">IF($A304="","",SUMIFS(Attendance!$AZ$6:$AZ$2405,Attendance!$B$6:$B$2405,$A304,Attendance!$A$6:$A$2405,"&gt;="&amp;DATE(LvYear,1,1),Attendance!$A$6:$A$2405,"&lt;="&amp;DATE(LvYear,12,31)))</f>
        <v/>
      </c>
      <c r="S304" s="16" t="str">
        <f aca="false">IF($A304="","",SUMIFS(Attendance!$AY$6:$AY$2405,Attendance!$B$6:$B$2405,$A304,Attendance!$A$6:$A$2405,"&gt;="&amp;DATE(LvYear,1,1),Attendance!$A$6:$A$2405,"&lt;="&amp;DATE(LvYear,12,31)))</f>
        <v/>
      </c>
      <c r="T304" s="16" t="str">
        <f aca="false">IF($A304="","",SUMIFS(Attendance!$AX$6:$AX$2405,Attendance!$B$6:$B$2405,$A304,Attendance!$A$6:$A$2405,"&gt;="&amp;DATE(LvYear,1,1),Attendance!$A$6:$A$2405,"&lt;="&amp;DATE(LvYear,12,31)))</f>
        <v/>
      </c>
      <c r="U304" s="16" t="str">
        <f aca="false">IF($A304="","",SUMIFS(Attendance!$AW$6:$AW$2405,Attendance!$B$6:$B$2405,$A304,Attendance!$A$6:$A$2405,"&gt;="&amp;DATE(LvYear,1,1),Attendance!$A$6:$A$2405,"&lt;="&amp;DATE(LvYear,12,31)))</f>
        <v/>
      </c>
      <c r="V304" s="16" t="str">
        <f aca="false">IF($A304="","",L304-R304)</f>
        <v/>
      </c>
      <c r="W304" s="16" t="str">
        <f aca="false">IF($A304="","",M304-S304)</f>
        <v/>
      </c>
      <c r="X304" s="16" t="str">
        <f aca="false">IF($A304="","",P304-T304)</f>
        <v/>
      </c>
      <c r="Y304" s="16" t="str">
        <f aca="false">IF($A304="","",Q304-U304)</f>
        <v/>
      </c>
      <c r="Z304" s="16" t="str">
        <f aca="false">IF($A304="","",V304+W304+X304)</f>
        <v/>
      </c>
      <c r="AA304" s="16" t="str">
        <f aca="false">IF($A304="","",O304+N(N304)-T304)</f>
        <v/>
      </c>
      <c r="AB304" s="8" t="str">
        <f aca="false">IF($A304="","","CL "&amp;V304&amp;" | SL "&amp;W304&amp;" | PL "&amp;X304&amp;" | TR "&amp;Y304)</f>
        <v/>
      </c>
      <c r="AC304" s="15" t="str">
        <f aca="false">IF($A304="","",IF(F304="Exited","EXITED",IF(AND(ISNUMBER(K304),K304=0),"NOT ELIGIBLE",IF(MIN(V304:X304)&lt;0,"OVER-USED",IF(Z304&lt;=Settings!$C$15,"LOW","OK")))))</f>
        <v/>
      </c>
      <c r="AD304" s="16" t="str">
        <f aca="false">IF(OR(AC304="OVER-USED",AC304="LOW"),COUNTIF(AC$6:AC304,"OVER-USED")+COUNTIF(AC$6:AC304,"LOW"),"")</f>
        <v/>
      </c>
    </row>
    <row r="305" customFormat="false" ht="15" hidden="false" customHeight="false" outlineLevel="0" collapsed="false">
      <c r="A305" s="8" t="str">
        <f aca="false">IF('Employee List'!B305="","",'Employee List'!B305)</f>
        <v/>
      </c>
      <c r="B305" s="8" t="str">
        <f aca="false">IF($A305="","",'Employee List'!C305)</f>
        <v/>
      </c>
      <c r="C305" s="8" t="str">
        <f aca="false">IF($A305="","",'Employee List'!E305&amp;"")</f>
        <v/>
      </c>
      <c r="D305" s="8" t="str">
        <f aca="false">IF($A305="","",'Employee List'!F305&amp;"")</f>
        <v/>
      </c>
      <c r="E305" s="8" t="str">
        <f aca="false">IF($A305="","",'Employee List'!G305&amp;"")</f>
        <v/>
      </c>
      <c r="F305" s="8" t="str">
        <f aca="false">IF($A305="","",'Employee List'!D305)</f>
        <v/>
      </c>
      <c r="G305" s="38" t="str">
        <f aca="false">IF($A305="","",IF('Employee List'!I305="","",'Employee List'!I305))</f>
        <v/>
      </c>
      <c r="H305" s="38" t="str">
        <f aca="false">IF(OR($A305="",G305=""),"",G305+Settings!$C$13)</f>
        <v/>
      </c>
      <c r="I305" s="38" t="str">
        <f aca="false">IF(H305="","",MAX(H305,DATE(LvYear,1,1)))</f>
        <v/>
      </c>
      <c r="J305" s="38" t="str">
        <f aca="false">IF($A305="","",IF('Employee List'!J305="",DATE(LvYear,12,31),MIN('Employee List'!J305,DATE(LvYear,12,31))))</f>
        <v/>
      </c>
      <c r="K305" s="39" t="str">
        <f aca="false">IF(OR(I305="",J305=""),"",MAX(0,J305-I305+1))</f>
        <v/>
      </c>
      <c r="L305" s="16" t="str">
        <f aca="false">IF($A305="","",IF(AND(ISNUMBER(K305),K305=0),0,Settings!$C$10))</f>
        <v/>
      </c>
      <c r="M305" s="16" t="str">
        <f aca="false">IF($A305="","",IF(AND(ISNUMBER(K305),K305=0),0,Settings!$C$11))</f>
        <v/>
      </c>
      <c r="N305" s="40"/>
      <c r="O305" s="16" t="str">
        <f aca="false">IF($A305="","",FLOOR(Settings!$C$12/365*N(K305),0.5))</f>
        <v/>
      </c>
      <c r="P305" s="16" t="str">
        <f aca="false">IF($A305="","",IF(I305="",N(N305),FLOOR(Settings!$C$12/365*MAX(0,MIN(LvAsOf,J305)-I305+1)+N(N305),0.5)))</f>
        <v/>
      </c>
      <c r="Q305" s="16" t="str">
        <f aca="false">IF($A305="","",Settings!$C$14)</f>
        <v/>
      </c>
      <c r="R305" s="16" t="str">
        <f aca="false">IF($A305="","",SUMIFS(Attendance!$AZ$6:$AZ$2405,Attendance!$B$6:$B$2405,$A305,Attendance!$A$6:$A$2405,"&gt;="&amp;DATE(LvYear,1,1),Attendance!$A$6:$A$2405,"&lt;="&amp;DATE(LvYear,12,31)))</f>
        <v/>
      </c>
      <c r="S305" s="16" t="str">
        <f aca="false">IF($A305="","",SUMIFS(Attendance!$AY$6:$AY$2405,Attendance!$B$6:$B$2405,$A305,Attendance!$A$6:$A$2405,"&gt;="&amp;DATE(LvYear,1,1),Attendance!$A$6:$A$2405,"&lt;="&amp;DATE(LvYear,12,31)))</f>
        <v/>
      </c>
      <c r="T305" s="16" t="str">
        <f aca="false">IF($A305="","",SUMIFS(Attendance!$AX$6:$AX$2405,Attendance!$B$6:$B$2405,$A305,Attendance!$A$6:$A$2405,"&gt;="&amp;DATE(LvYear,1,1),Attendance!$A$6:$A$2405,"&lt;="&amp;DATE(LvYear,12,31)))</f>
        <v/>
      </c>
      <c r="U305" s="16" t="str">
        <f aca="false">IF($A305="","",SUMIFS(Attendance!$AW$6:$AW$2405,Attendance!$B$6:$B$2405,$A305,Attendance!$A$6:$A$2405,"&gt;="&amp;DATE(LvYear,1,1),Attendance!$A$6:$A$2405,"&lt;="&amp;DATE(LvYear,12,31)))</f>
        <v/>
      </c>
      <c r="V305" s="16" t="str">
        <f aca="false">IF($A305="","",L305-R305)</f>
        <v/>
      </c>
      <c r="W305" s="16" t="str">
        <f aca="false">IF($A305="","",M305-S305)</f>
        <v/>
      </c>
      <c r="X305" s="16" t="str">
        <f aca="false">IF($A305="","",P305-T305)</f>
        <v/>
      </c>
      <c r="Y305" s="16" t="str">
        <f aca="false">IF($A305="","",Q305-U305)</f>
        <v/>
      </c>
      <c r="Z305" s="16" t="str">
        <f aca="false">IF($A305="","",V305+W305+X305)</f>
        <v/>
      </c>
      <c r="AA305" s="16" t="str">
        <f aca="false">IF($A305="","",O305+N(N305)-T305)</f>
        <v/>
      </c>
      <c r="AB305" s="8" t="str">
        <f aca="false">IF($A305="","","CL "&amp;V305&amp;" | SL "&amp;W305&amp;" | PL "&amp;X305&amp;" | TR "&amp;Y305)</f>
        <v/>
      </c>
      <c r="AC305" s="15" t="str">
        <f aca="false">IF($A305="","",IF(F305="Exited","EXITED",IF(AND(ISNUMBER(K305),K305=0),"NOT ELIGIBLE",IF(MIN(V305:X305)&lt;0,"OVER-USED",IF(Z305&lt;=Settings!$C$15,"LOW","OK")))))</f>
        <v/>
      </c>
      <c r="AD305" s="16" t="str">
        <f aca="false">IF(OR(AC305="OVER-USED",AC305="LOW"),COUNTIF(AC$6:AC305,"OVER-USED")+COUNTIF(AC$6:AC305,"LOW"),"")</f>
        <v/>
      </c>
    </row>
    <row r="306" customFormat="false" ht="15" hidden="false" customHeight="false" outlineLevel="0" collapsed="false">
      <c r="A306" s="8" t="str">
        <f aca="false">IF('Employee List'!B306="","",'Employee List'!B306)</f>
        <v/>
      </c>
      <c r="B306" s="8" t="str">
        <f aca="false">IF($A306="","",'Employee List'!C306)</f>
        <v/>
      </c>
      <c r="C306" s="8" t="str">
        <f aca="false">IF($A306="","",'Employee List'!E306&amp;"")</f>
        <v/>
      </c>
      <c r="D306" s="8" t="str">
        <f aca="false">IF($A306="","",'Employee List'!F306&amp;"")</f>
        <v/>
      </c>
      <c r="E306" s="8" t="str">
        <f aca="false">IF($A306="","",'Employee List'!G306&amp;"")</f>
        <v/>
      </c>
      <c r="F306" s="8" t="str">
        <f aca="false">IF($A306="","",'Employee List'!D306)</f>
        <v/>
      </c>
      <c r="G306" s="38" t="str">
        <f aca="false">IF($A306="","",IF('Employee List'!I306="","",'Employee List'!I306))</f>
        <v/>
      </c>
      <c r="H306" s="38" t="str">
        <f aca="false">IF(OR($A306="",G306=""),"",G306+Settings!$C$13)</f>
        <v/>
      </c>
      <c r="I306" s="38" t="str">
        <f aca="false">IF(H306="","",MAX(H306,DATE(LvYear,1,1)))</f>
        <v/>
      </c>
      <c r="J306" s="38" t="str">
        <f aca="false">IF($A306="","",IF('Employee List'!J306="",DATE(LvYear,12,31),MIN('Employee List'!J306,DATE(LvYear,12,31))))</f>
        <v/>
      </c>
      <c r="K306" s="39" t="str">
        <f aca="false">IF(OR(I306="",J306=""),"",MAX(0,J306-I306+1))</f>
        <v/>
      </c>
      <c r="L306" s="16" t="str">
        <f aca="false">IF($A306="","",IF(AND(ISNUMBER(K306),K306=0),0,Settings!$C$10))</f>
        <v/>
      </c>
      <c r="M306" s="16" t="str">
        <f aca="false">IF($A306="","",IF(AND(ISNUMBER(K306),K306=0),0,Settings!$C$11))</f>
        <v/>
      </c>
      <c r="N306" s="40"/>
      <c r="O306" s="16" t="str">
        <f aca="false">IF($A306="","",FLOOR(Settings!$C$12/365*N(K306),0.5))</f>
        <v/>
      </c>
      <c r="P306" s="16" t="str">
        <f aca="false">IF($A306="","",IF(I306="",N(N306),FLOOR(Settings!$C$12/365*MAX(0,MIN(LvAsOf,J306)-I306+1)+N(N306),0.5)))</f>
        <v/>
      </c>
      <c r="Q306" s="16" t="str">
        <f aca="false">IF($A306="","",Settings!$C$14)</f>
        <v/>
      </c>
      <c r="R306" s="16" t="str">
        <f aca="false">IF($A306="","",SUMIFS(Attendance!$AZ$6:$AZ$2405,Attendance!$B$6:$B$2405,$A306,Attendance!$A$6:$A$2405,"&gt;="&amp;DATE(LvYear,1,1),Attendance!$A$6:$A$2405,"&lt;="&amp;DATE(LvYear,12,31)))</f>
        <v/>
      </c>
      <c r="S306" s="16" t="str">
        <f aca="false">IF($A306="","",SUMIFS(Attendance!$AY$6:$AY$2405,Attendance!$B$6:$B$2405,$A306,Attendance!$A$6:$A$2405,"&gt;="&amp;DATE(LvYear,1,1),Attendance!$A$6:$A$2405,"&lt;="&amp;DATE(LvYear,12,31)))</f>
        <v/>
      </c>
      <c r="T306" s="16" t="str">
        <f aca="false">IF($A306="","",SUMIFS(Attendance!$AX$6:$AX$2405,Attendance!$B$6:$B$2405,$A306,Attendance!$A$6:$A$2405,"&gt;="&amp;DATE(LvYear,1,1),Attendance!$A$6:$A$2405,"&lt;="&amp;DATE(LvYear,12,31)))</f>
        <v/>
      </c>
      <c r="U306" s="16" t="str">
        <f aca="false">IF($A306="","",SUMIFS(Attendance!$AW$6:$AW$2405,Attendance!$B$6:$B$2405,$A306,Attendance!$A$6:$A$2405,"&gt;="&amp;DATE(LvYear,1,1),Attendance!$A$6:$A$2405,"&lt;="&amp;DATE(LvYear,12,31)))</f>
        <v/>
      </c>
      <c r="V306" s="16" t="str">
        <f aca="false">IF($A306="","",L306-R306)</f>
        <v/>
      </c>
      <c r="W306" s="16" t="str">
        <f aca="false">IF($A306="","",M306-S306)</f>
        <v/>
      </c>
      <c r="X306" s="16" t="str">
        <f aca="false">IF($A306="","",P306-T306)</f>
        <v/>
      </c>
      <c r="Y306" s="16" t="str">
        <f aca="false">IF($A306="","",Q306-U306)</f>
        <v/>
      </c>
      <c r="Z306" s="16" t="str">
        <f aca="false">IF($A306="","",V306+W306+X306)</f>
        <v/>
      </c>
      <c r="AA306" s="16" t="str">
        <f aca="false">IF($A306="","",O306+N(N306)-T306)</f>
        <v/>
      </c>
      <c r="AB306" s="8" t="str">
        <f aca="false">IF($A306="","","CL "&amp;V306&amp;" | SL "&amp;W306&amp;" | PL "&amp;X306&amp;" | TR "&amp;Y306)</f>
        <v/>
      </c>
      <c r="AC306" s="15" t="str">
        <f aca="false">IF($A306="","",IF(F306="Exited","EXITED",IF(AND(ISNUMBER(K306),K306=0),"NOT ELIGIBLE",IF(MIN(V306:X306)&lt;0,"OVER-USED",IF(Z306&lt;=Settings!$C$15,"LOW","OK")))))</f>
        <v/>
      </c>
      <c r="AD306" s="16" t="str">
        <f aca="false">IF(OR(AC306="OVER-USED",AC306="LOW"),COUNTIF(AC$6:AC306,"OVER-USED")+COUNTIF(AC$6:AC306,"LOW"),"")</f>
        <v/>
      </c>
    </row>
    <row r="307" customFormat="false" ht="15" hidden="false" customHeight="false" outlineLevel="0" collapsed="false">
      <c r="A307" s="8" t="str">
        <f aca="false">IF('Employee List'!B307="","",'Employee List'!B307)</f>
        <v/>
      </c>
      <c r="B307" s="8" t="str">
        <f aca="false">IF($A307="","",'Employee List'!C307)</f>
        <v/>
      </c>
      <c r="C307" s="8" t="str">
        <f aca="false">IF($A307="","",'Employee List'!E307&amp;"")</f>
        <v/>
      </c>
      <c r="D307" s="8" t="str">
        <f aca="false">IF($A307="","",'Employee List'!F307&amp;"")</f>
        <v/>
      </c>
      <c r="E307" s="8" t="str">
        <f aca="false">IF($A307="","",'Employee List'!G307&amp;"")</f>
        <v/>
      </c>
      <c r="F307" s="8" t="str">
        <f aca="false">IF($A307="","",'Employee List'!D307)</f>
        <v/>
      </c>
      <c r="G307" s="38" t="str">
        <f aca="false">IF($A307="","",IF('Employee List'!I307="","",'Employee List'!I307))</f>
        <v/>
      </c>
      <c r="H307" s="38" t="str">
        <f aca="false">IF(OR($A307="",G307=""),"",G307+Settings!$C$13)</f>
        <v/>
      </c>
      <c r="I307" s="38" t="str">
        <f aca="false">IF(H307="","",MAX(H307,DATE(LvYear,1,1)))</f>
        <v/>
      </c>
      <c r="J307" s="38" t="str">
        <f aca="false">IF($A307="","",IF('Employee List'!J307="",DATE(LvYear,12,31),MIN('Employee List'!J307,DATE(LvYear,12,31))))</f>
        <v/>
      </c>
      <c r="K307" s="39" t="str">
        <f aca="false">IF(OR(I307="",J307=""),"",MAX(0,J307-I307+1))</f>
        <v/>
      </c>
      <c r="L307" s="16" t="str">
        <f aca="false">IF($A307="","",IF(AND(ISNUMBER(K307),K307=0),0,Settings!$C$10))</f>
        <v/>
      </c>
      <c r="M307" s="16" t="str">
        <f aca="false">IF($A307="","",IF(AND(ISNUMBER(K307),K307=0),0,Settings!$C$11))</f>
        <v/>
      </c>
      <c r="N307" s="40"/>
      <c r="O307" s="16" t="str">
        <f aca="false">IF($A307="","",FLOOR(Settings!$C$12/365*N(K307),0.5))</f>
        <v/>
      </c>
      <c r="P307" s="16" t="str">
        <f aca="false">IF($A307="","",IF(I307="",N(N307),FLOOR(Settings!$C$12/365*MAX(0,MIN(LvAsOf,J307)-I307+1)+N(N307),0.5)))</f>
        <v/>
      </c>
      <c r="Q307" s="16" t="str">
        <f aca="false">IF($A307="","",Settings!$C$14)</f>
        <v/>
      </c>
      <c r="R307" s="16" t="str">
        <f aca="false">IF($A307="","",SUMIFS(Attendance!$AZ$6:$AZ$2405,Attendance!$B$6:$B$2405,$A307,Attendance!$A$6:$A$2405,"&gt;="&amp;DATE(LvYear,1,1),Attendance!$A$6:$A$2405,"&lt;="&amp;DATE(LvYear,12,31)))</f>
        <v/>
      </c>
      <c r="S307" s="16" t="str">
        <f aca="false">IF($A307="","",SUMIFS(Attendance!$AY$6:$AY$2405,Attendance!$B$6:$B$2405,$A307,Attendance!$A$6:$A$2405,"&gt;="&amp;DATE(LvYear,1,1),Attendance!$A$6:$A$2405,"&lt;="&amp;DATE(LvYear,12,31)))</f>
        <v/>
      </c>
      <c r="T307" s="16" t="str">
        <f aca="false">IF($A307="","",SUMIFS(Attendance!$AX$6:$AX$2405,Attendance!$B$6:$B$2405,$A307,Attendance!$A$6:$A$2405,"&gt;="&amp;DATE(LvYear,1,1),Attendance!$A$6:$A$2405,"&lt;="&amp;DATE(LvYear,12,31)))</f>
        <v/>
      </c>
      <c r="U307" s="16" t="str">
        <f aca="false">IF($A307="","",SUMIFS(Attendance!$AW$6:$AW$2405,Attendance!$B$6:$B$2405,$A307,Attendance!$A$6:$A$2405,"&gt;="&amp;DATE(LvYear,1,1),Attendance!$A$6:$A$2405,"&lt;="&amp;DATE(LvYear,12,31)))</f>
        <v/>
      </c>
      <c r="V307" s="16" t="str">
        <f aca="false">IF($A307="","",L307-R307)</f>
        <v/>
      </c>
      <c r="W307" s="16" t="str">
        <f aca="false">IF($A307="","",M307-S307)</f>
        <v/>
      </c>
      <c r="X307" s="16" t="str">
        <f aca="false">IF($A307="","",P307-T307)</f>
        <v/>
      </c>
      <c r="Y307" s="16" t="str">
        <f aca="false">IF($A307="","",Q307-U307)</f>
        <v/>
      </c>
      <c r="Z307" s="16" t="str">
        <f aca="false">IF($A307="","",V307+W307+X307)</f>
        <v/>
      </c>
      <c r="AA307" s="16" t="str">
        <f aca="false">IF($A307="","",O307+N(N307)-T307)</f>
        <v/>
      </c>
      <c r="AB307" s="8" t="str">
        <f aca="false">IF($A307="","","CL "&amp;V307&amp;" | SL "&amp;W307&amp;" | PL "&amp;X307&amp;" | TR "&amp;Y307)</f>
        <v/>
      </c>
      <c r="AC307" s="15" t="str">
        <f aca="false">IF($A307="","",IF(F307="Exited","EXITED",IF(AND(ISNUMBER(K307),K307=0),"NOT ELIGIBLE",IF(MIN(V307:X307)&lt;0,"OVER-USED",IF(Z307&lt;=Settings!$C$15,"LOW","OK")))))</f>
        <v/>
      </c>
      <c r="AD307" s="16" t="str">
        <f aca="false">IF(OR(AC307="OVER-USED",AC307="LOW"),COUNTIF(AC$6:AC307,"OVER-USED")+COUNTIF(AC$6:AC307,"LOW"),"")</f>
        <v/>
      </c>
    </row>
    <row r="308" customFormat="false" ht="15" hidden="false" customHeight="false" outlineLevel="0" collapsed="false">
      <c r="A308" s="8" t="str">
        <f aca="false">IF('Employee List'!B308="","",'Employee List'!B308)</f>
        <v/>
      </c>
      <c r="B308" s="8" t="str">
        <f aca="false">IF($A308="","",'Employee List'!C308)</f>
        <v/>
      </c>
      <c r="C308" s="8" t="str">
        <f aca="false">IF($A308="","",'Employee List'!E308&amp;"")</f>
        <v/>
      </c>
      <c r="D308" s="8" t="str">
        <f aca="false">IF($A308="","",'Employee List'!F308&amp;"")</f>
        <v/>
      </c>
      <c r="E308" s="8" t="str">
        <f aca="false">IF($A308="","",'Employee List'!G308&amp;"")</f>
        <v/>
      </c>
      <c r="F308" s="8" t="str">
        <f aca="false">IF($A308="","",'Employee List'!D308)</f>
        <v/>
      </c>
      <c r="G308" s="38" t="str">
        <f aca="false">IF($A308="","",IF('Employee List'!I308="","",'Employee List'!I308))</f>
        <v/>
      </c>
      <c r="H308" s="38" t="str">
        <f aca="false">IF(OR($A308="",G308=""),"",G308+Settings!$C$13)</f>
        <v/>
      </c>
      <c r="I308" s="38" t="str">
        <f aca="false">IF(H308="","",MAX(H308,DATE(LvYear,1,1)))</f>
        <v/>
      </c>
      <c r="J308" s="38" t="str">
        <f aca="false">IF($A308="","",IF('Employee List'!J308="",DATE(LvYear,12,31),MIN('Employee List'!J308,DATE(LvYear,12,31))))</f>
        <v/>
      </c>
      <c r="K308" s="39" t="str">
        <f aca="false">IF(OR(I308="",J308=""),"",MAX(0,J308-I308+1))</f>
        <v/>
      </c>
      <c r="L308" s="16" t="str">
        <f aca="false">IF($A308="","",IF(AND(ISNUMBER(K308),K308=0),0,Settings!$C$10))</f>
        <v/>
      </c>
      <c r="M308" s="16" t="str">
        <f aca="false">IF($A308="","",IF(AND(ISNUMBER(K308),K308=0),0,Settings!$C$11))</f>
        <v/>
      </c>
      <c r="N308" s="40"/>
      <c r="O308" s="16" t="str">
        <f aca="false">IF($A308="","",FLOOR(Settings!$C$12/365*N(K308),0.5))</f>
        <v/>
      </c>
      <c r="P308" s="16" t="str">
        <f aca="false">IF($A308="","",IF(I308="",N(N308),FLOOR(Settings!$C$12/365*MAX(0,MIN(LvAsOf,J308)-I308+1)+N(N308),0.5)))</f>
        <v/>
      </c>
      <c r="Q308" s="16" t="str">
        <f aca="false">IF($A308="","",Settings!$C$14)</f>
        <v/>
      </c>
      <c r="R308" s="16" t="str">
        <f aca="false">IF($A308="","",SUMIFS(Attendance!$AZ$6:$AZ$2405,Attendance!$B$6:$B$2405,$A308,Attendance!$A$6:$A$2405,"&gt;="&amp;DATE(LvYear,1,1),Attendance!$A$6:$A$2405,"&lt;="&amp;DATE(LvYear,12,31)))</f>
        <v/>
      </c>
      <c r="S308" s="16" t="str">
        <f aca="false">IF($A308="","",SUMIFS(Attendance!$AY$6:$AY$2405,Attendance!$B$6:$B$2405,$A308,Attendance!$A$6:$A$2405,"&gt;="&amp;DATE(LvYear,1,1),Attendance!$A$6:$A$2405,"&lt;="&amp;DATE(LvYear,12,31)))</f>
        <v/>
      </c>
      <c r="T308" s="16" t="str">
        <f aca="false">IF($A308="","",SUMIFS(Attendance!$AX$6:$AX$2405,Attendance!$B$6:$B$2405,$A308,Attendance!$A$6:$A$2405,"&gt;="&amp;DATE(LvYear,1,1),Attendance!$A$6:$A$2405,"&lt;="&amp;DATE(LvYear,12,31)))</f>
        <v/>
      </c>
      <c r="U308" s="16" t="str">
        <f aca="false">IF($A308="","",SUMIFS(Attendance!$AW$6:$AW$2405,Attendance!$B$6:$B$2405,$A308,Attendance!$A$6:$A$2405,"&gt;="&amp;DATE(LvYear,1,1),Attendance!$A$6:$A$2405,"&lt;="&amp;DATE(LvYear,12,31)))</f>
        <v/>
      </c>
      <c r="V308" s="16" t="str">
        <f aca="false">IF($A308="","",L308-R308)</f>
        <v/>
      </c>
      <c r="W308" s="16" t="str">
        <f aca="false">IF($A308="","",M308-S308)</f>
        <v/>
      </c>
      <c r="X308" s="16" t="str">
        <f aca="false">IF($A308="","",P308-T308)</f>
        <v/>
      </c>
      <c r="Y308" s="16" t="str">
        <f aca="false">IF($A308="","",Q308-U308)</f>
        <v/>
      </c>
      <c r="Z308" s="16" t="str">
        <f aca="false">IF($A308="","",V308+W308+X308)</f>
        <v/>
      </c>
      <c r="AA308" s="16" t="str">
        <f aca="false">IF($A308="","",O308+N(N308)-T308)</f>
        <v/>
      </c>
      <c r="AB308" s="8" t="str">
        <f aca="false">IF($A308="","","CL "&amp;V308&amp;" | SL "&amp;W308&amp;" | PL "&amp;X308&amp;" | TR "&amp;Y308)</f>
        <v/>
      </c>
      <c r="AC308" s="15" t="str">
        <f aca="false">IF($A308="","",IF(F308="Exited","EXITED",IF(AND(ISNUMBER(K308),K308=0),"NOT ELIGIBLE",IF(MIN(V308:X308)&lt;0,"OVER-USED",IF(Z308&lt;=Settings!$C$15,"LOW","OK")))))</f>
        <v/>
      </c>
      <c r="AD308" s="16" t="str">
        <f aca="false">IF(OR(AC308="OVER-USED",AC308="LOW"),COUNTIF(AC$6:AC308,"OVER-USED")+COUNTIF(AC$6:AC308,"LOW"),"")</f>
        <v/>
      </c>
    </row>
    <row r="309" customFormat="false" ht="15" hidden="false" customHeight="false" outlineLevel="0" collapsed="false">
      <c r="A309" s="8" t="str">
        <f aca="false">IF('Employee List'!B309="","",'Employee List'!B309)</f>
        <v/>
      </c>
      <c r="B309" s="8" t="str">
        <f aca="false">IF($A309="","",'Employee List'!C309)</f>
        <v/>
      </c>
      <c r="C309" s="8" t="str">
        <f aca="false">IF($A309="","",'Employee List'!E309&amp;"")</f>
        <v/>
      </c>
      <c r="D309" s="8" t="str">
        <f aca="false">IF($A309="","",'Employee List'!F309&amp;"")</f>
        <v/>
      </c>
      <c r="E309" s="8" t="str">
        <f aca="false">IF($A309="","",'Employee List'!G309&amp;"")</f>
        <v/>
      </c>
      <c r="F309" s="8" t="str">
        <f aca="false">IF($A309="","",'Employee List'!D309)</f>
        <v/>
      </c>
      <c r="G309" s="38" t="str">
        <f aca="false">IF($A309="","",IF('Employee List'!I309="","",'Employee List'!I309))</f>
        <v/>
      </c>
      <c r="H309" s="38" t="str">
        <f aca="false">IF(OR($A309="",G309=""),"",G309+Settings!$C$13)</f>
        <v/>
      </c>
      <c r="I309" s="38" t="str">
        <f aca="false">IF(H309="","",MAX(H309,DATE(LvYear,1,1)))</f>
        <v/>
      </c>
      <c r="J309" s="38" t="str">
        <f aca="false">IF($A309="","",IF('Employee List'!J309="",DATE(LvYear,12,31),MIN('Employee List'!J309,DATE(LvYear,12,31))))</f>
        <v/>
      </c>
      <c r="K309" s="39" t="str">
        <f aca="false">IF(OR(I309="",J309=""),"",MAX(0,J309-I309+1))</f>
        <v/>
      </c>
      <c r="L309" s="16" t="str">
        <f aca="false">IF($A309="","",IF(AND(ISNUMBER(K309),K309=0),0,Settings!$C$10))</f>
        <v/>
      </c>
      <c r="M309" s="16" t="str">
        <f aca="false">IF($A309="","",IF(AND(ISNUMBER(K309),K309=0),0,Settings!$C$11))</f>
        <v/>
      </c>
      <c r="N309" s="40"/>
      <c r="O309" s="16" t="str">
        <f aca="false">IF($A309="","",FLOOR(Settings!$C$12/365*N(K309),0.5))</f>
        <v/>
      </c>
      <c r="P309" s="16" t="str">
        <f aca="false">IF($A309="","",IF(I309="",N(N309),FLOOR(Settings!$C$12/365*MAX(0,MIN(LvAsOf,J309)-I309+1)+N(N309),0.5)))</f>
        <v/>
      </c>
      <c r="Q309" s="16" t="str">
        <f aca="false">IF($A309="","",Settings!$C$14)</f>
        <v/>
      </c>
      <c r="R309" s="16" t="str">
        <f aca="false">IF($A309="","",SUMIFS(Attendance!$AZ$6:$AZ$2405,Attendance!$B$6:$B$2405,$A309,Attendance!$A$6:$A$2405,"&gt;="&amp;DATE(LvYear,1,1),Attendance!$A$6:$A$2405,"&lt;="&amp;DATE(LvYear,12,31)))</f>
        <v/>
      </c>
      <c r="S309" s="16" t="str">
        <f aca="false">IF($A309="","",SUMIFS(Attendance!$AY$6:$AY$2405,Attendance!$B$6:$B$2405,$A309,Attendance!$A$6:$A$2405,"&gt;="&amp;DATE(LvYear,1,1),Attendance!$A$6:$A$2405,"&lt;="&amp;DATE(LvYear,12,31)))</f>
        <v/>
      </c>
      <c r="T309" s="16" t="str">
        <f aca="false">IF($A309="","",SUMIFS(Attendance!$AX$6:$AX$2405,Attendance!$B$6:$B$2405,$A309,Attendance!$A$6:$A$2405,"&gt;="&amp;DATE(LvYear,1,1),Attendance!$A$6:$A$2405,"&lt;="&amp;DATE(LvYear,12,31)))</f>
        <v/>
      </c>
      <c r="U309" s="16" t="str">
        <f aca="false">IF($A309="","",SUMIFS(Attendance!$AW$6:$AW$2405,Attendance!$B$6:$B$2405,$A309,Attendance!$A$6:$A$2405,"&gt;="&amp;DATE(LvYear,1,1),Attendance!$A$6:$A$2405,"&lt;="&amp;DATE(LvYear,12,31)))</f>
        <v/>
      </c>
      <c r="V309" s="16" t="str">
        <f aca="false">IF($A309="","",L309-R309)</f>
        <v/>
      </c>
      <c r="W309" s="16" t="str">
        <f aca="false">IF($A309="","",M309-S309)</f>
        <v/>
      </c>
      <c r="X309" s="16" t="str">
        <f aca="false">IF($A309="","",P309-T309)</f>
        <v/>
      </c>
      <c r="Y309" s="16" t="str">
        <f aca="false">IF($A309="","",Q309-U309)</f>
        <v/>
      </c>
      <c r="Z309" s="16" t="str">
        <f aca="false">IF($A309="","",V309+W309+X309)</f>
        <v/>
      </c>
      <c r="AA309" s="16" t="str">
        <f aca="false">IF($A309="","",O309+N(N309)-T309)</f>
        <v/>
      </c>
      <c r="AB309" s="8" t="str">
        <f aca="false">IF($A309="","","CL "&amp;V309&amp;" | SL "&amp;W309&amp;" | PL "&amp;X309&amp;" | TR "&amp;Y309)</f>
        <v/>
      </c>
      <c r="AC309" s="15" t="str">
        <f aca="false">IF($A309="","",IF(F309="Exited","EXITED",IF(AND(ISNUMBER(K309),K309=0),"NOT ELIGIBLE",IF(MIN(V309:X309)&lt;0,"OVER-USED",IF(Z309&lt;=Settings!$C$15,"LOW","OK")))))</f>
        <v/>
      </c>
      <c r="AD309" s="16" t="str">
        <f aca="false">IF(OR(AC309="OVER-USED",AC309="LOW"),COUNTIF(AC$6:AC309,"OVER-USED")+COUNTIF(AC$6:AC309,"LOW"),"")</f>
        <v/>
      </c>
    </row>
    <row r="310" customFormat="false" ht="15" hidden="false" customHeight="false" outlineLevel="0" collapsed="false">
      <c r="A310" s="8" t="str">
        <f aca="false">IF('Employee List'!B310="","",'Employee List'!B310)</f>
        <v/>
      </c>
      <c r="B310" s="8" t="str">
        <f aca="false">IF($A310="","",'Employee List'!C310)</f>
        <v/>
      </c>
      <c r="C310" s="8" t="str">
        <f aca="false">IF($A310="","",'Employee List'!E310&amp;"")</f>
        <v/>
      </c>
      <c r="D310" s="8" t="str">
        <f aca="false">IF($A310="","",'Employee List'!F310&amp;"")</f>
        <v/>
      </c>
      <c r="E310" s="8" t="str">
        <f aca="false">IF($A310="","",'Employee List'!G310&amp;"")</f>
        <v/>
      </c>
      <c r="F310" s="8" t="str">
        <f aca="false">IF($A310="","",'Employee List'!D310)</f>
        <v/>
      </c>
      <c r="G310" s="38" t="str">
        <f aca="false">IF($A310="","",IF('Employee List'!I310="","",'Employee List'!I310))</f>
        <v/>
      </c>
      <c r="H310" s="38" t="str">
        <f aca="false">IF(OR($A310="",G310=""),"",G310+Settings!$C$13)</f>
        <v/>
      </c>
      <c r="I310" s="38" t="str">
        <f aca="false">IF(H310="","",MAX(H310,DATE(LvYear,1,1)))</f>
        <v/>
      </c>
      <c r="J310" s="38" t="str">
        <f aca="false">IF($A310="","",IF('Employee List'!J310="",DATE(LvYear,12,31),MIN('Employee List'!J310,DATE(LvYear,12,31))))</f>
        <v/>
      </c>
      <c r="K310" s="39" t="str">
        <f aca="false">IF(OR(I310="",J310=""),"",MAX(0,J310-I310+1))</f>
        <v/>
      </c>
      <c r="L310" s="16" t="str">
        <f aca="false">IF($A310="","",IF(AND(ISNUMBER(K310),K310=0),0,Settings!$C$10))</f>
        <v/>
      </c>
      <c r="M310" s="16" t="str">
        <f aca="false">IF($A310="","",IF(AND(ISNUMBER(K310),K310=0),0,Settings!$C$11))</f>
        <v/>
      </c>
      <c r="N310" s="40"/>
      <c r="O310" s="16" t="str">
        <f aca="false">IF($A310="","",FLOOR(Settings!$C$12/365*N(K310),0.5))</f>
        <v/>
      </c>
      <c r="P310" s="16" t="str">
        <f aca="false">IF($A310="","",IF(I310="",N(N310),FLOOR(Settings!$C$12/365*MAX(0,MIN(LvAsOf,J310)-I310+1)+N(N310),0.5)))</f>
        <v/>
      </c>
      <c r="Q310" s="16" t="str">
        <f aca="false">IF($A310="","",Settings!$C$14)</f>
        <v/>
      </c>
      <c r="R310" s="16" t="str">
        <f aca="false">IF($A310="","",SUMIFS(Attendance!$AZ$6:$AZ$2405,Attendance!$B$6:$B$2405,$A310,Attendance!$A$6:$A$2405,"&gt;="&amp;DATE(LvYear,1,1),Attendance!$A$6:$A$2405,"&lt;="&amp;DATE(LvYear,12,31)))</f>
        <v/>
      </c>
      <c r="S310" s="16" t="str">
        <f aca="false">IF($A310="","",SUMIFS(Attendance!$AY$6:$AY$2405,Attendance!$B$6:$B$2405,$A310,Attendance!$A$6:$A$2405,"&gt;="&amp;DATE(LvYear,1,1),Attendance!$A$6:$A$2405,"&lt;="&amp;DATE(LvYear,12,31)))</f>
        <v/>
      </c>
      <c r="T310" s="16" t="str">
        <f aca="false">IF($A310="","",SUMIFS(Attendance!$AX$6:$AX$2405,Attendance!$B$6:$B$2405,$A310,Attendance!$A$6:$A$2405,"&gt;="&amp;DATE(LvYear,1,1),Attendance!$A$6:$A$2405,"&lt;="&amp;DATE(LvYear,12,31)))</f>
        <v/>
      </c>
      <c r="U310" s="16" t="str">
        <f aca="false">IF($A310="","",SUMIFS(Attendance!$AW$6:$AW$2405,Attendance!$B$6:$B$2405,$A310,Attendance!$A$6:$A$2405,"&gt;="&amp;DATE(LvYear,1,1),Attendance!$A$6:$A$2405,"&lt;="&amp;DATE(LvYear,12,31)))</f>
        <v/>
      </c>
      <c r="V310" s="16" t="str">
        <f aca="false">IF($A310="","",L310-R310)</f>
        <v/>
      </c>
      <c r="W310" s="16" t="str">
        <f aca="false">IF($A310="","",M310-S310)</f>
        <v/>
      </c>
      <c r="X310" s="16" t="str">
        <f aca="false">IF($A310="","",P310-T310)</f>
        <v/>
      </c>
      <c r="Y310" s="16" t="str">
        <f aca="false">IF($A310="","",Q310-U310)</f>
        <v/>
      </c>
      <c r="Z310" s="16" t="str">
        <f aca="false">IF($A310="","",V310+W310+X310)</f>
        <v/>
      </c>
      <c r="AA310" s="16" t="str">
        <f aca="false">IF($A310="","",O310+N(N310)-T310)</f>
        <v/>
      </c>
      <c r="AB310" s="8" t="str">
        <f aca="false">IF($A310="","","CL "&amp;V310&amp;" | SL "&amp;W310&amp;" | PL "&amp;X310&amp;" | TR "&amp;Y310)</f>
        <v/>
      </c>
      <c r="AC310" s="15" t="str">
        <f aca="false">IF($A310="","",IF(F310="Exited","EXITED",IF(AND(ISNUMBER(K310),K310=0),"NOT ELIGIBLE",IF(MIN(V310:X310)&lt;0,"OVER-USED",IF(Z310&lt;=Settings!$C$15,"LOW","OK")))))</f>
        <v/>
      </c>
      <c r="AD310" s="16" t="str">
        <f aca="false">IF(OR(AC310="OVER-USED",AC310="LOW"),COUNTIF(AC$6:AC310,"OVER-USED")+COUNTIF(AC$6:AC310,"LOW"),"")</f>
        <v/>
      </c>
    </row>
    <row r="311" customFormat="false" ht="15" hidden="false" customHeight="false" outlineLevel="0" collapsed="false">
      <c r="A311" s="8" t="str">
        <f aca="false">IF('Employee List'!B311="","",'Employee List'!B311)</f>
        <v/>
      </c>
      <c r="B311" s="8" t="str">
        <f aca="false">IF($A311="","",'Employee List'!C311)</f>
        <v/>
      </c>
      <c r="C311" s="8" t="str">
        <f aca="false">IF($A311="","",'Employee List'!E311&amp;"")</f>
        <v/>
      </c>
      <c r="D311" s="8" t="str">
        <f aca="false">IF($A311="","",'Employee List'!F311&amp;"")</f>
        <v/>
      </c>
      <c r="E311" s="8" t="str">
        <f aca="false">IF($A311="","",'Employee List'!G311&amp;"")</f>
        <v/>
      </c>
      <c r="F311" s="8" t="str">
        <f aca="false">IF($A311="","",'Employee List'!D311)</f>
        <v/>
      </c>
      <c r="G311" s="38" t="str">
        <f aca="false">IF($A311="","",IF('Employee List'!I311="","",'Employee List'!I311))</f>
        <v/>
      </c>
      <c r="H311" s="38" t="str">
        <f aca="false">IF(OR($A311="",G311=""),"",G311+Settings!$C$13)</f>
        <v/>
      </c>
      <c r="I311" s="38" t="str">
        <f aca="false">IF(H311="","",MAX(H311,DATE(LvYear,1,1)))</f>
        <v/>
      </c>
      <c r="J311" s="38" t="str">
        <f aca="false">IF($A311="","",IF('Employee List'!J311="",DATE(LvYear,12,31),MIN('Employee List'!J311,DATE(LvYear,12,31))))</f>
        <v/>
      </c>
      <c r="K311" s="39" t="str">
        <f aca="false">IF(OR(I311="",J311=""),"",MAX(0,J311-I311+1))</f>
        <v/>
      </c>
      <c r="L311" s="16" t="str">
        <f aca="false">IF($A311="","",IF(AND(ISNUMBER(K311),K311=0),0,Settings!$C$10))</f>
        <v/>
      </c>
      <c r="M311" s="16" t="str">
        <f aca="false">IF($A311="","",IF(AND(ISNUMBER(K311),K311=0),0,Settings!$C$11))</f>
        <v/>
      </c>
      <c r="N311" s="40"/>
      <c r="O311" s="16" t="str">
        <f aca="false">IF($A311="","",FLOOR(Settings!$C$12/365*N(K311),0.5))</f>
        <v/>
      </c>
      <c r="P311" s="16" t="str">
        <f aca="false">IF($A311="","",IF(I311="",N(N311),FLOOR(Settings!$C$12/365*MAX(0,MIN(LvAsOf,J311)-I311+1)+N(N311),0.5)))</f>
        <v/>
      </c>
      <c r="Q311" s="16" t="str">
        <f aca="false">IF($A311="","",Settings!$C$14)</f>
        <v/>
      </c>
      <c r="R311" s="16" t="str">
        <f aca="false">IF($A311="","",SUMIFS(Attendance!$AZ$6:$AZ$2405,Attendance!$B$6:$B$2405,$A311,Attendance!$A$6:$A$2405,"&gt;="&amp;DATE(LvYear,1,1),Attendance!$A$6:$A$2405,"&lt;="&amp;DATE(LvYear,12,31)))</f>
        <v/>
      </c>
      <c r="S311" s="16" t="str">
        <f aca="false">IF($A311="","",SUMIFS(Attendance!$AY$6:$AY$2405,Attendance!$B$6:$B$2405,$A311,Attendance!$A$6:$A$2405,"&gt;="&amp;DATE(LvYear,1,1),Attendance!$A$6:$A$2405,"&lt;="&amp;DATE(LvYear,12,31)))</f>
        <v/>
      </c>
      <c r="T311" s="16" t="str">
        <f aca="false">IF($A311="","",SUMIFS(Attendance!$AX$6:$AX$2405,Attendance!$B$6:$B$2405,$A311,Attendance!$A$6:$A$2405,"&gt;="&amp;DATE(LvYear,1,1),Attendance!$A$6:$A$2405,"&lt;="&amp;DATE(LvYear,12,31)))</f>
        <v/>
      </c>
      <c r="U311" s="16" t="str">
        <f aca="false">IF($A311="","",SUMIFS(Attendance!$AW$6:$AW$2405,Attendance!$B$6:$B$2405,$A311,Attendance!$A$6:$A$2405,"&gt;="&amp;DATE(LvYear,1,1),Attendance!$A$6:$A$2405,"&lt;="&amp;DATE(LvYear,12,31)))</f>
        <v/>
      </c>
      <c r="V311" s="16" t="str">
        <f aca="false">IF($A311="","",L311-R311)</f>
        <v/>
      </c>
      <c r="W311" s="16" t="str">
        <f aca="false">IF($A311="","",M311-S311)</f>
        <v/>
      </c>
      <c r="X311" s="16" t="str">
        <f aca="false">IF($A311="","",P311-T311)</f>
        <v/>
      </c>
      <c r="Y311" s="16" t="str">
        <f aca="false">IF($A311="","",Q311-U311)</f>
        <v/>
      </c>
      <c r="Z311" s="16" t="str">
        <f aca="false">IF($A311="","",V311+W311+X311)</f>
        <v/>
      </c>
      <c r="AA311" s="16" t="str">
        <f aca="false">IF($A311="","",O311+N(N311)-T311)</f>
        <v/>
      </c>
      <c r="AB311" s="8" t="str">
        <f aca="false">IF($A311="","","CL "&amp;V311&amp;" | SL "&amp;W311&amp;" | PL "&amp;X311&amp;" | TR "&amp;Y311)</f>
        <v/>
      </c>
      <c r="AC311" s="15" t="str">
        <f aca="false">IF($A311="","",IF(F311="Exited","EXITED",IF(AND(ISNUMBER(K311),K311=0),"NOT ELIGIBLE",IF(MIN(V311:X311)&lt;0,"OVER-USED",IF(Z311&lt;=Settings!$C$15,"LOW","OK")))))</f>
        <v/>
      </c>
      <c r="AD311" s="16" t="str">
        <f aca="false">IF(OR(AC311="OVER-USED",AC311="LOW"),COUNTIF(AC$6:AC311,"OVER-USED")+COUNTIF(AC$6:AC311,"LOW"),"")</f>
        <v/>
      </c>
    </row>
    <row r="312" customFormat="false" ht="15" hidden="false" customHeight="false" outlineLevel="0" collapsed="false">
      <c r="A312" s="8" t="str">
        <f aca="false">IF('Employee List'!B312="","",'Employee List'!B312)</f>
        <v/>
      </c>
      <c r="B312" s="8" t="str">
        <f aca="false">IF($A312="","",'Employee List'!C312)</f>
        <v/>
      </c>
      <c r="C312" s="8" t="str">
        <f aca="false">IF($A312="","",'Employee List'!E312&amp;"")</f>
        <v/>
      </c>
      <c r="D312" s="8" t="str">
        <f aca="false">IF($A312="","",'Employee List'!F312&amp;"")</f>
        <v/>
      </c>
      <c r="E312" s="8" t="str">
        <f aca="false">IF($A312="","",'Employee List'!G312&amp;"")</f>
        <v/>
      </c>
      <c r="F312" s="8" t="str">
        <f aca="false">IF($A312="","",'Employee List'!D312)</f>
        <v/>
      </c>
      <c r="G312" s="38" t="str">
        <f aca="false">IF($A312="","",IF('Employee List'!I312="","",'Employee List'!I312))</f>
        <v/>
      </c>
      <c r="H312" s="38" t="str">
        <f aca="false">IF(OR($A312="",G312=""),"",G312+Settings!$C$13)</f>
        <v/>
      </c>
      <c r="I312" s="38" t="str">
        <f aca="false">IF(H312="","",MAX(H312,DATE(LvYear,1,1)))</f>
        <v/>
      </c>
      <c r="J312" s="38" t="str">
        <f aca="false">IF($A312="","",IF('Employee List'!J312="",DATE(LvYear,12,31),MIN('Employee List'!J312,DATE(LvYear,12,31))))</f>
        <v/>
      </c>
      <c r="K312" s="39" t="str">
        <f aca="false">IF(OR(I312="",J312=""),"",MAX(0,J312-I312+1))</f>
        <v/>
      </c>
      <c r="L312" s="16" t="str">
        <f aca="false">IF($A312="","",IF(AND(ISNUMBER(K312),K312=0),0,Settings!$C$10))</f>
        <v/>
      </c>
      <c r="M312" s="16" t="str">
        <f aca="false">IF($A312="","",IF(AND(ISNUMBER(K312),K312=0),0,Settings!$C$11))</f>
        <v/>
      </c>
      <c r="N312" s="40"/>
      <c r="O312" s="16" t="str">
        <f aca="false">IF($A312="","",FLOOR(Settings!$C$12/365*N(K312),0.5))</f>
        <v/>
      </c>
      <c r="P312" s="16" t="str">
        <f aca="false">IF($A312="","",IF(I312="",N(N312),FLOOR(Settings!$C$12/365*MAX(0,MIN(LvAsOf,J312)-I312+1)+N(N312),0.5)))</f>
        <v/>
      </c>
      <c r="Q312" s="16" t="str">
        <f aca="false">IF($A312="","",Settings!$C$14)</f>
        <v/>
      </c>
      <c r="R312" s="16" t="str">
        <f aca="false">IF($A312="","",SUMIFS(Attendance!$AZ$6:$AZ$2405,Attendance!$B$6:$B$2405,$A312,Attendance!$A$6:$A$2405,"&gt;="&amp;DATE(LvYear,1,1),Attendance!$A$6:$A$2405,"&lt;="&amp;DATE(LvYear,12,31)))</f>
        <v/>
      </c>
      <c r="S312" s="16" t="str">
        <f aca="false">IF($A312="","",SUMIFS(Attendance!$AY$6:$AY$2405,Attendance!$B$6:$B$2405,$A312,Attendance!$A$6:$A$2405,"&gt;="&amp;DATE(LvYear,1,1),Attendance!$A$6:$A$2405,"&lt;="&amp;DATE(LvYear,12,31)))</f>
        <v/>
      </c>
      <c r="T312" s="16" t="str">
        <f aca="false">IF($A312="","",SUMIFS(Attendance!$AX$6:$AX$2405,Attendance!$B$6:$B$2405,$A312,Attendance!$A$6:$A$2405,"&gt;="&amp;DATE(LvYear,1,1),Attendance!$A$6:$A$2405,"&lt;="&amp;DATE(LvYear,12,31)))</f>
        <v/>
      </c>
      <c r="U312" s="16" t="str">
        <f aca="false">IF($A312="","",SUMIFS(Attendance!$AW$6:$AW$2405,Attendance!$B$6:$B$2405,$A312,Attendance!$A$6:$A$2405,"&gt;="&amp;DATE(LvYear,1,1),Attendance!$A$6:$A$2405,"&lt;="&amp;DATE(LvYear,12,31)))</f>
        <v/>
      </c>
      <c r="V312" s="16" t="str">
        <f aca="false">IF($A312="","",L312-R312)</f>
        <v/>
      </c>
      <c r="W312" s="16" t="str">
        <f aca="false">IF($A312="","",M312-S312)</f>
        <v/>
      </c>
      <c r="X312" s="16" t="str">
        <f aca="false">IF($A312="","",P312-T312)</f>
        <v/>
      </c>
      <c r="Y312" s="16" t="str">
        <f aca="false">IF($A312="","",Q312-U312)</f>
        <v/>
      </c>
      <c r="Z312" s="16" t="str">
        <f aca="false">IF($A312="","",V312+W312+X312)</f>
        <v/>
      </c>
      <c r="AA312" s="16" t="str">
        <f aca="false">IF($A312="","",O312+N(N312)-T312)</f>
        <v/>
      </c>
      <c r="AB312" s="8" t="str">
        <f aca="false">IF($A312="","","CL "&amp;V312&amp;" | SL "&amp;W312&amp;" | PL "&amp;X312&amp;" | TR "&amp;Y312)</f>
        <v/>
      </c>
      <c r="AC312" s="15" t="str">
        <f aca="false">IF($A312="","",IF(F312="Exited","EXITED",IF(AND(ISNUMBER(K312),K312=0),"NOT ELIGIBLE",IF(MIN(V312:X312)&lt;0,"OVER-USED",IF(Z312&lt;=Settings!$C$15,"LOW","OK")))))</f>
        <v/>
      </c>
      <c r="AD312" s="16" t="str">
        <f aca="false">IF(OR(AC312="OVER-USED",AC312="LOW"),COUNTIF(AC$6:AC312,"OVER-USED")+COUNTIF(AC$6:AC312,"LOW"),"")</f>
        <v/>
      </c>
    </row>
    <row r="313" customFormat="false" ht="15" hidden="false" customHeight="false" outlineLevel="0" collapsed="false">
      <c r="A313" s="8" t="str">
        <f aca="false">IF('Employee List'!B313="","",'Employee List'!B313)</f>
        <v/>
      </c>
      <c r="B313" s="8" t="str">
        <f aca="false">IF($A313="","",'Employee List'!C313)</f>
        <v/>
      </c>
      <c r="C313" s="8" t="str">
        <f aca="false">IF($A313="","",'Employee List'!E313&amp;"")</f>
        <v/>
      </c>
      <c r="D313" s="8" t="str">
        <f aca="false">IF($A313="","",'Employee List'!F313&amp;"")</f>
        <v/>
      </c>
      <c r="E313" s="8" t="str">
        <f aca="false">IF($A313="","",'Employee List'!G313&amp;"")</f>
        <v/>
      </c>
      <c r="F313" s="8" t="str">
        <f aca="false">IF($A313="","",'Employee List'!D313)</f>
        <v/>
      </c>
      <c r="G313" s="38" t="str">
        <f aca="false">IF($A313="","",IF('Employee List'!I313="","",'Employee List'!I313))</f>
        <v/>
      </c>
      <c r="H313" s="38" t="str">
        <f aca="false">IF(OR($A313="",G313=""),"",G313+Settings!$C$13)</f>
        <v/>
      </c>
      <c r="I313" s="38" t="str">
        <f aca="false">IF(H313="","",MAX(H313,DATE(LvYear,1,1)))</f>
        <v/>
      </c>
      <c r="J313" s="38" t="str">
        <f aca="false">IF($A313="","",IF('Employee List'!J313="",DATE(LvYear,12,31),MIN('Employee List'!J313,DATE(LvYear,12,31))))</f>
        <v/>
      </c>
      <c r="K313" s="39" t="str">
        <f aca="false">IF(OR(I313="",J313=""),"",MAX(0,J313-I313+1))</f>
        <v/>
      </c>
      <c r="L313" s="16" t="str">
        <f aca="false">IF($A313="","",IF(AND(ISNUMBER(K313),K313=0),0,Settings!$C$10))</f>
        <v/>
      </c>
      <c r="M313" s="16" t="str">
        <f aca="false">IF($A313="","",IF(AND(ISNUMBER(K313),K313=0),0,Settings!$C$11))</f>
        <v/>
      </c>
      <c r="N313" s="40"/>
      <c r="O313" s="16" t="str">
        <f aca="false">IF($A313="","",FLOOR(Settings!$C$12/365*N(K313),0.5))</f>
        <v/>
      </c>
      <c r="P313" s="16" t="str">
        <f aca="false">IF($A313="","",IF(I313="",N(N313),FLOOR(Settings!$C$12/365*MAX(0,MIN(LvAsOf,J313)-I313+1)+N(N313),0.5)))</f>
        <v/>
      </c>
      <c r="Q313" s="16" t="str">
        <f aca="false">IF($A313="","",Settings!$C$14)</f>
        <v/>
      </c>
      <c r="R313" s="16" t="str">
        <f aca="false">IF($A313="","",SUMIFS(Attendance!$AZ$6:$AZ$2405,Attendance!$B$6:$B$2405,$A313,Attendance!$A$6:$A$2405,"&gt;="&amp;DATE(LvYear,1,1),Attendance!$A$6:$A$2405,"&lt;="&amp;DATE(LvYear,12,31)))</f>
        <v/>
      </c>
      <c r="S313" s="16" t="str">
        <f aca="false">IF($A313="","",SUMIFS(Attendance!$AY$6:$AY$2405,Attendance!$B$6:$B$2405,$A313,Attendance!$A$6:$A$2405,"&gt;="&amp;DATE(LvYear,1,1),Attendance!$A$6:$A$2405,"&lt;="&amp;DATE(LvYear,12,31)))</f>
        <v/>
      </c>
      <c r="T313" s="16" t="str">
        <f aca="false">IF($A313="","",SUMIFS(Attendance!$AX$6:$AX$2405,Attendance!$B$6:$B$2405,$A313,Attendance!$A$6:$A$2405,"&gt;="&amp;DATE(LvYear,1,1),Attendance!$A$6:$A$2405,"&lt;="&amp;DATE(LvYear,12,31)))</f>
        <v/>
      </c>
      <c r="U313" s="16" t="str">
        <f aca="false">IF($A313="","",SUMIFS(Attendance!$AW$6:$AW$2405,Attendance!$B$6:$B$2405,$A313,Attendance!$A$6:$A$2405,"&gt;="&amp;DATE(LvYear,1,1),Attendance!$A$6:$A$2405,"&lt;="&amp;DATE(LvYear,12,31)))</f>
        <v/>
      </c>
      <c r="V313" s="16" t="str">
        <f aca="false">IF($A313="","",L313-R313)</f>
        <v/>
      </c>
      <c r="W313" s="16" t="str">
        <f aca="false">IF($A313="","",M313-S313)</f>
        <v/>
      </c>
      <c r="X313" s="16" t="str">
        <f aca="false">IF($A313="","",P313-T313)</f>
        <v/>
      </c>
      <c r="Y313" s="16" t="str">
        <f aca="false">IF($A313="","",Q313-U313)</f>
        <v/>
      </c>
      <c r="Z313" s="16" t="str">
        <f aca="false">IF($A313="","",V313+W313+X313)</f>
        <v/>
      </c>
      <c r="AA313" s="16" t="str">
        <f aca="false">IF($A313="","",O313+N(N313)-T313)</f>
        <v/>
      </c>
      <c r="AB313" s="8" t="str">
        <f aca="false">IF($A313="","","CL "&amp;V313&amp;" | SL "&amp;W313&amp;" | PL "&amp;X313&amp;" | TR "&amp;Y313)</f>
        <v/>
      </c>
      <c r="AC313" s="15" t="str">
        <f aca="false">IF($A313="","",IF(F313="Exited","EXITED",IF(AND(ISNUMBER(K313),K313=0),"NOT ELIGIBLE",IF(MIN(V313:X313)&lt;0,"OVER-USED",IF(Z313&lt;=Settings!$C$15,"LOW","OK")))))</f>
        <v/>
      </c>
      <c r="AD313" s="16" t="str">
        <f aca="false">IF(OR(AC313="OVER-USED",AC313="LOW"),COUNTIF(AC$6:AC313,"OVER-USED")+COUNTIF(AC$6:AC313,"LOW"),"")</f>
        <v/>
      </c>
    </row>
    <row r="314" customFormat="false" ht="15" hidden="false" customHeight="false" outlineLevel="0" collapsed="false">
      <c r="A314" s="8" t="str">
        <f aca="false">IF('Employee List'!B314="","",'Employee List'!B314)</f>
        <v/>
      </c>
      <c r="B314" s="8" t="str">
        <f aca="false">IF($A314="","",'Employee List'!C314)</f>
        <v/>
      </c>
      <c r="C314" s="8" t="str">
        <f aca="false">IF($A314="","",'Employee List'!E314&amp;"")</f>
        <v/>
      </c>
      <c r="D314" s="8" t="str">
        <f aca="false">IF($A314="","",'Employee List'!F314&amp;"")</f>
        <v/>
      </c>
      <c r="E314" s="8" t="str">
        <f aca="false">IF($A314="","",'Employee List'!G314&amp;"")</f>
        <v/>
      </c>
      <c r="F314" s="8" t="str">
        <f aca="false">IF($A314="","",'Employee List'!D314)</f>
        <v/>
      </c>
      <c r="G314" s="38" t="str">
        <f aca="false">IF($A314="","",IF('Employee List'!I314="","",'Employee List'!I314))</f>
        <v/>
      </c>
      <c r="H314" s="38" t="str">
        <f aca="false">IF(OR($A314="",G314=""),"",G314+Settings!$C$13)</f>
        <v/>
      </c>
      <c r="I314" s="38" t="str">
        <f aca="false">IF(H314="","",MAX(H314,DATE(LvYear,1,1)))</f>
        <v/>
      </c>
      <c r="J314" s="38" t="str">
        <f aca="false">IF($A314="","",IF('Employee List'!J314="",DATE(LvYear,12,31),MIN('Employee List'!J314,DATE(LvYear,12,31))))</f>
        <v/>
      </c>
      <c r="K314" s="39" t="str">
        <f aca="false">IF(OR(I314="",J314=""),"",MAX(0,J314-I314+1))</f>
        <v/>
      </c>
      <c r="L314" s="16" t="str">
        <f aca="false">IF($A314="","",IF(AND(ISNUMBER(K314),K314=0),0,Settings!$C$10))</f>
        <v/>
      </c>
      <c r="M314" s="16" t="str">
        <f aca="false">IF($A314="","",IF(AND(ISNUMBER(K314),K314=0),0,Settings!$C$11))</f>
        <v/>
      </c>
      <c r="N314" s="40"/>
      <c r="O314" s="16" t="str">
        <f aca="false">IF($A314="","",FLOOR(Settings!$C$12/365*N(K314),0.5))</f>
        <v/>
      </c>
      <c r="P314" s="16" t="str">
        <f aca="false">IF($A314="","",IF(I314="",N(N314),FLOOR(Settings!$C$12/365*MAX(0,MIN(LvAsOf,J314)-I314+1)+N(N314),0.5)))</f>
        <v/>
      </c>
      <c r="Q314" s="16" t="str">
        <f aca="false">IF($A314="","",Settings!$C$14)</f>
        <v/>
      </c>
      <c r="R314" s="16" t="str">
        <f aca="false">IF($A314="","",SUMIFS(Attendance!$AZ$6:$AZ$2405,Attendance!$B$6:$B$2405,$A314,Attendance!$A$6:$A$2405,"&gt;="&amp;DATE(LvYear,1,1),Attendance!$A$6:$A$2405,"&lt;="&amp;DATE(LvYear,12,31)))</f>
        <v/>
      </c>
      <c r="S314" s="16" t="str">
        <f aca="false">IF($A314="","",SUMIFS(Attendance!$AY$6:$AY$2405,Attendance!$B$6:$B$2405,$A314,Attendance!$A$6:$A$2405,"&gt;="&amp;DATE(LvYear,1,1),Attendance!$A$6:$A$2405,"&lt;="&amp;DATE(LvYear,12,31)))</f>
        <v/>
      </c>
      <c r="T314" s="16" t="str">
        <f aca="false">IF($A314="","",SUMIFS(Attendance!$AX$6:$AX$2405,Attendance!$B$6:$B$2405,$A314,Attendance!$A$6:$A$2405,"&gt;="&amp;DATE(LvYear,1,1),Attendance!$A$6:$A$2405,"&lt;="&amp;DATE(LvYear,12,31)))</f>
        <v/>
      </c>
      <c r="U314" s="16" t="str">
        <f aca="false">IF($A314="","",SUMIFS(Attendance!$AW$6:$AW$2405,Attendance!$B$6:$B$2405,$A314,Attendance!$A$6:$A$2405,"&gt;="&amp;DATE(LvYear,1,1),Attendance!$A$6:$A$2405,"&lt;="&amp;DATE(LvYear,12,31)))</f>
        <v/>
      </c>
      <c r="V314" s="16" t="str">
        <f aca="false">IF($A314="","",L314-R314)</f>
        <v/>
      </c>
      <c r="W314" s="16" t="str">
        <f aca="false">IF($A314="","",M314-S314)</f>
        <v/>
      </c>
      <c r="X314" s="16" t="str">
        <f aca="false">IF($A314="","",P314-T314)</f>
        <v/>
      </c>
      <c r="Y314" s="16" t="str">
        <f aca="false">IF($A314="","",Q314-U314)</f>
        <v/>
      </c>
      <c r="Z314" s="16" t="str">
        <f aca="false">IF($A314="","",V314+W314+X314)</f>
        <v/>
      </c>
      <c r="AA314" s="16" t="str">
        <f aca="false">IF($A314="","",O314+N(N314)-T314)</f>
        <v/>
      </c>
      <c r="AB314" s="8" t="str">
        <f aca="false">IF($A314="","","CL "&amp;V314&amp;" | SL "&amp;W314&amp;" | PL "&amp;X314&amp;" | TR "&amp;Y314)</f>
        <v/>
      </c>
      <c r="AC314" s="15" t="str">
        <f aca="false">IF($A314="","",IF(F314="Exited","EXITED",IF(AND(ISNUMBER(K314),K314=0),"NOT ELIGIBLE",IF(MIN(V314:X314)&lt;0,"OVER-USED",IF(Z314&lt;=Settings!$C$15,"LOW","OK")))))</f>
        <v/>
      </c>
      <c r="AD314" s="16" t="str">
        <f aca="false">IF(OR(AC314="OVER-USED",AC314="LOW"),COUNTIF(AC$6:AC314,"OVER-USED")+COUNTIF(AC$6:AC314,"LOW"),"")</f>
        <v/>
      </c>
    </row>
    <row r="315" customFormat="false" ht="15" hidden="false" customHeight="false" outlineLevel="0" collapsed="false">
      <c r="A315" s="8" t="str">
        <f aca="false">IF('Employee List'!B315="","",'Employee List'!B315)</f>
        <v/>
      </c>
      <c r="B315" s="8" t="str">
        <f aca="false">IF($A315="","",'Employee List'!C315)</f>
        <v/>
      </c>
      <c r="C315" s="8" t="str">
        <f aca="false">IF($A315="","",'Employee List'!E315&amp;"")</f>
        <v/>
      </c>
      <c r="D315" s="8" t="str">
        <f aca="false">IF($A315="","",'Employee List'!F315&amp;"")</f>
        <v/>
      </c>
      <c r="E315" s="8" t="str">
        <f aca="false">IF($A315="","",'Employee List'!G315&amp;"")</f>
        <v/>
      </c>
      <c r="F315" s="8" t="str">
        <f aca="false">IF($A315="","",'Employee List'!D315)</f>
        <v/>
      </c>
      <c r="G315" s="38" t="str">
        <f aca="false">IF($A315="","",IF('Employee List'!I315="","",'Employee List'!I315))</f>
        <v/>
      </c>
      <c r="H315" s="38" t="str">
        <f aca="false">IF(OR($A315="",G315=""),"",G315+Settings!$C$13)</f>
        <v/>
      </c>
      <c r="I315" s="38" t="str">
        <f aca="false">IF(H315="","",MAX(H315,DATE(LvYear,1,1)))</f>
        <v/>
      </c>
      <c r="J315" s="38" t="str">
        <f aca="false">IF($A315="","",IF('Employee List'!J315="",DATE(LvYear,12,31),MIN('Employee List'!J315,DATE(LvYear,12,31))))</f>
        <v/>
      </c>
      <c r="K315" s="39" t="str">
        <f aca="false">IF(OR(I315="",J315=""),"",MAX(0,J315-I315+1))</f>
        <v/>
      </c>
      <c r="L315" s="16" t="str">
        <f aca="false">IF($A315="","",IF(AND(ISNUMBER(K315),K315=0),0,Settings!$C$10))</f>
        <v/>
      </c>
      <c r="M315" s="16" t="str">
        <f aca="false">IF($A315="","",IF(AND(ISNUMBER(K315),K315=0),0,Settings!$C$11))</f>
        <v/>
      </c>
      <c r="N315" s="40"/>
      <c r="O315" s="16" t="str">
        <f aca="false">IF($A315="","",FLOOR(Settings!$C$12/365*N(K315),0.5))</f>
        <v/>
      </c>
      <c r="P315" s="16" t="str">
        <f aca="false">IF($A315="","",IF(I315="",N(N315),FLOOR(Settings!$C$12/365*MAX(0,MIN(LvAsOf,J315)-I315+1)+N(N315),0.5)))</f>
        <v/>
      </c>
      <c r="Q315" s="16" t="str">
        <f aca="false">IF($A315="","",Settings!$C$14)</f>
        <v/>
      </c>
      <c r="R315" s="16" t="str">
        <f aca="false">IF($A315="","",SUMIFS(Attendance!$AZ$6:$AZ$2405,Attendance!$B$6:$B$2405,$A315,Attendance!$A$6:$A$2405,"&gt;="&amp;DATE(LvYear,1,1),Attendance!$A$6:$A$2405,"&lt;="&amp;DATE(LvYear,12,31)))</f>
        <v/>
      </c>
      <c r="S315" s="16" t="str">
        <f aca="false">IF($A315="","",SUMIFS(Attendance!$AY$6:$AY$2405,Attendance!$B$6:$B$2405,$A315,Attendance!$A$6:$A$2405,"&gt;="&amp;DATE(LvYear,1,1),Attendance!$A$6:$A$2405,"&lt;="&amp;DATE(LvYear,12,31)))</f>
        <v/>
      </c>
      <c r="T315" s="16" t="str">
        <f aca="false">IF($A315="","",SUMIFS(Attendance!$AX$6:$AX$2405,Attendance!$B$6:$B$2405,$A315,Attendance!$A$6:$A$2405,"&gt;="&amp;DATE(LvYear,1,1),Attendance!$A$6:$A$2405,"&lt;="&amp;DATE(LvYear,12,31)))</f>
        <v/>
      </c>
      <c r="U315" s="16" t="str">
        <f aca="false">IF($A315="","",SUMIFS(Attendance!$AW$6:$AW$2405,Attendance!$B$6:$B$2405,$A315,Attendance!$A$6:$A$2405,"&gt;="&amp;DATE(LvYear,1,1),Attendance!$A$6:$A$2405,"&lt;="&amp;DATE(LvYear,12,31)))</f>
        <v/>
      </c>
      <c r="V315" s="16" t="str">
        <f aca="false">IF($A315="","",L315-R315)</f>
        <v/>
      </c>
      <c r="W315" s="16" t="str">
        <f aca="false">IF($A315="","",M315-S315)</f>
        <v/>
      </c>
      <c r="X315" s="16" t="str">
        <f aca="false">IF($A315="","",P315-T315)</f>
        <v/>
      </c>
      <c r="Y315" s="16" t="str">
        <f aca="false">IF($A315="","",Q315-U315)</f>
        <v/>
      </c>
      <c r="Z315" s="16" t="str">
        <f aca="false">IF($A315="","",V315+W315+X315)</f>
        <v/>
      </c>
      <c r="AA315" s="16" t="str">
        <f aca="false">IF($A315="","",O315+N(N315)-T315)</f>
        <v/>
      </c>
      <c r="AB315" s="8" t="str">
        <f aca="false">IF($A315="","","CL "&amp;V315&amp;" | SL "&amp;W315&amp;" | PL "&amp;X315&amp;" | TR "&amp;Y315)</f>
        <v/>
      </c>
      <c r="AC315" s="15" t="str">
        <f aca="false">IF($A315="","",IF(F315="Exited","EXITED",IF(AND(ISNUMBER(K315),K315=0),"NOT ELIGIBLE",IF(MIN(V315:X315)&lt;0,"OVER-USED",IF(Z315&lt;=Settings!$C$15,"LOW","OK")))))</f>
        <v/>
      </c>
      <c r="AD315" s="16" t="str">
        <f aca="false">IF(OR(AC315="OVER-USED",AC315="LOW"),COUNTIF(AC$6:AC315,"OVER-USED")+COUNTIF(AC$6:AC315,"LOW"),"")</f>
        <v/>
      </c>
    </row>
    <row r="316" customFormat="false" ht="15" hidden="false" customHeight="false" outlineLevel="0" collapsed="false">
      <c r="A316" s="8" t="str">
        <f aca="false">IF('Employee List'!B316="","",'Employee List'!B316)</f>
        <v/>
      </c>
      <c r="B316" s="8" t="str">
        <f aca="false">IF($A316="","",'Employee List'!C316)</f>
        <v/>
      </c>
      <c r="C316" s="8" t="str">
        <f aca="false">IF($A316="","",'Employee List'!E316&amp;"")</f>
        <v/>
      </c>
      <c r="D316" s="8" t="str">
        <f aca="false">IF($A316="","",'Employee List'!F316&amp;"")</f>
        <v/>
      </c>
      <c r="E316" s="8" t="str">
        <f aca="false">IF($A316="","",'Employee List'!G316&amp;"")</f>
        <v/>
      </c>
      <c r="F316" s="8" t="str">
        <f aca="false">IF($A316="","",'Employee List'!D316)</f>
        <v/>
      </c>
      <c r="G316" s="38" t="str">
        <f aca="false">IF($A316="","",IF('Employee List'!I316="","",'Employee List'!I316))</f>
        <v/>
      </c>
      <c r="H316" s="38" t="str">
        <f aca="false">IF(OR($A316="",G316=""),"",G316+Settings!$C$13)</f>
        <v/>
      </c>
      <c r="I316" s="38" t="str">
        <f aca="false">IF(H316="","",MAX(H316,DATE(LvYear,1,1)))</f>
        <v/>
      </c>
      <c r="J316" s="38" t="str">
        <f aca="false">IF($A316="","",IF('Employee List'!J316="",DATE(LvYear,12,31),MIN('Employee List'!J316,DATE(LvYear,12,31))))</f>
        <v/>
      </c>
      <c r="K316" s="39" t="str">
        <f aca="false">IF(OR(I316="",J316=""),"",MAX(0,J316-I316+1))</f>
        <v/>
      </c>
      <c r="L316" s="16" t="str">
        <f aca="false">IF($A316="","",IF(AND(ISNUMBER(K316),K316=0),0,Settings!$C$10))</f>
        <v/>
      </c>
      <c r="M316" s="16" t="str">
        <f aca="false">IF($A316="","",IF(AND(ISNUMBER(K316),K316=0),0,Settings!$C$11))</f>
        <v/>
      </c>
      <c r="N316" s="40"/>
      <c r="O316" s="16" t="str">
        <f aca="false">IF($A316="","",FLOOR(Settings!$C$12/365*N(K316),0.5))</f>
        <v/>
      </c>
      <c r="P316" s="16" t="str">
        <f aca="false">IF($A316="","",IF(I316="",N(N316),FLOOR(Settings!$C$12/365*MAX(0,MIN(LvAsOf,J316)-I316+1)+N(N316),0.5)))</f>
        <v/>
      </c>
      <c r="Q316" s="16" t="str">
        <f aca="false">IF($A316="","",Settings!$C$14)</f>
        <v/>
      </c>
      <c r="R316" s="16" t="str">
        <f aca="false">IF($A316="","",SUMIFS(Attendance!$AZ$6:$AZ$2405,Attendance!$B$6:$B$2405,$A316,Attendance!$A$6:$A$2405,"&gt;="&amp;DATE(LvYear,1,1),Attendance!$A$6:$A$2405,"&lt;="&amp;DATE(LvYear,12,31)))</f>
        <v/>
      </c>
      <c r="S316" s="16" t="str">
        <f aca="false">IF($A316="","",SUMIFS(Attendance!$AY$6:$AY$2405,Attendance!$B$6:$B$2405,$A316,Attendance!$A$6:$A$2405,"&gt;="&amp;DATE(LvYear,1,1),Attendance!$A$6:$A$2405,"&lt;="&amp;DATE(LvYear,12,31)))</f>
        <v/>
      </c>
      <c r="T316" s="16" t="str">
        <f aca="false">IF($A316="","",SUMIFS(Attendance!$AX$6:$AX$2405,Attendance!$B$6:$B$2405,$A316,Attendance!$A$6:$A$2405,"&gt;="&amp;DATE(LvYear,1,1),Attendance!$A$6:$A$2405,"&lt;="&amp;DATE(LvYear,12,31)))</f>
        <v/>
      </c>
      <c r="U316" s="16" t="str">
        <f aca="false">IF($A316="","",SUMIFS(Attendance!$AW$6:$AW$2405,Attendance!$B$6:$B$2405,$A316,Attendance!$A$6:$A$2405,"&gt;="&amp;DATE(LvYear,1,1),Attendance!$A$6:$A$2405,"&lt;="&amp;DATE(LvYear,12,31)))</f>
        <v/>
      </c>
      <c r="V316" s="16" t="str">
        <f aca="false">IF($A316="","",L316-R316)</f>
        <v/>
      </c>
      <c r="W316" s="16" t="str">
        <f aca="false">IF($A316="","",M316-S316)</f>
        <v/>
      </c>
      <c r="X316" s="16" t="str">
        <f aca="false">IF($A316="","",P316-T316)</f>
        <v/>
      </c>
      <c r="Y316" s="16" t="str">
        <f aca="false">IF($A316="","",Q316-U316)</f>
        <v/>
      </c>
      <c r="Z316" s="16" t="str">
        <f aca="false">IF($A316="","",V316+W316+X316)</f>
        <v/>
      </c>
      <c r="AA316" s="16" t="str">
        <f aca="false">IF($A316="","",O316+N(N316)-T316)</f>
        <v/>
      </c>
      <c r="AB316" s="8" t="str">
        <f aca="false">IF($A316="","","CL "&amp;V316&amp;" | SL "&amp;W316&amp;" | PL "&amp;X316&amp;" | TR "&amp;Y316)</f>
        <v/>
      </c>
      <c r="AC316" s="15" t="str">
        <f aca="false">IF($A316="","",IF(F316="Exited","EXITED",IF(AND(ISNUMBER(K316),K316=0),"NOT ELIGIBLE",IF(MIN(V316:X316)&lt;0,"OVER-USED",IF(Z316&lt;=Settings!$C$15,"LOW","OK")))))</f>
        <v/>
      </c>
      <c r="AD316" s="16" t="str">
        <f aca="false">IF(OR(AC316="OVER-USED",AC316="LOW"),COUNTIF(AC$6:AC316,"OVER-USED")+COUNTIF(AC$6:AC316,"LOW"),"")</f>
        <v/>
      </c>
    </row>
    <row r="317" customFormat="false" ht="15" hidden="false" customHeight="false" outlineLevel="0" collapsed="false">
      <c r="A317" s="8" t="str">
        <f aca="false">IF('Employee List'!B317="","",'Employee List'!B317)</f>
        <v/>
      </c>
      <c r="B317" s="8" t="str">
        <f aca="false">IF($A317="","",'Employee List'!C317)</f>
        <v/>
      </c>
      <c r="C317" s="8" t="str">
        <f aca="false">IF($A317="","",'Employee List'!E317&amp;"")</f>
        <v/>
      </c>
      <c r="D317" s="8" t="str">
        <f aca="false">IF($A317="","",'Employee List'!F317&amp;"")</f>
        <v/>
      </c>
      <c r="E317" s="8" t="str">
        <f aca="false">IF($A317="","",'Employee List'!G317&amp;"")</f>
        <v/>
      </c>
      <c r="F317" s="8" t="str">
        <f aca="false">IF($A317="","",'Employee List'!D317)</f>
        <v/>
      </c>
      <c r="G317" s="38" t="str">
        <f aca="false">IF($A317="","",IF('Employee List'!I317="","",'Employee List'!I317))</f>
        <v/>
      </c>
      <c r="H317" s="38" t="str">
        <f aca="false">IF(OR($A317="",G317=""),"",G317+Settings!$C$13)</f>
        <v/>
      </c>
      <c r="I317" s="38" t="str">
        <f aca="false">IF(H317="","",MAX(H317,DATE(LvYear,1,1)))</f>
        <v/>
      </c>
      <c r="J317" s="38" t="str">
        <f aca="false">IF($A317="","",IF('Employee List'!J317="",DATE(LvYear,12,31),MIN('Employee List'!J317,DATE(LvYear,12,31))))</f>
        <v/>
      </c>
      <c r="K317" s="39" t="str">
        <f aca="false">IF(OR(I317="",J317=""),"",MAX(0,J317-I317+1))</f>
        <v/>
      </c>
      <c r="L317" s="16" t="str">
        <f aca="false">IF($A317="","",IF(AND(ISNUMBER(K317),K317=0),0,Settings!$C$10))</f>
        <v/>
      </c>
      <c r="M317" s="16" t="str">
        <f aca="false">IF($A317="","",IF(AND(ISNUMBER(K317),K317=0),0,Settings!$C$11))</f>
        <v/>
      </c>
      <c r="N317" s="40"/>
      <c r="O317" s="16" t="str">
        <f aca="false">IF($A317="","",FLOOR(Settings!$C$12/365*N(K317),0.5))</f>
        <v/>
      </c>
      <c r="P317" s="16" t="str">
        <f aca="false">IF($A317="","",IF(I317="",N(N317),FLOOR(Settings!$C$12/365*MAX(0,MIN(LvAsOf,J317)-I317+1)+N(N317),0.5)))</f>
        <v/>
      </c>
      <c r="Q317" s="16" t="str">
        <f aca="false">IF($A317="","",Settings!$C$14)</f>
        <v/>
      </c>
      <c r="R317" s="16" t="str">
        <f aca="false">IF($A317="","",SUMIFS(Attendance!$AZ$6:$AZ$2405,Attendance!$B$6:$B$2405,$A317,Attendance!$A$6:$A$2405,"&gt;="&amp;DATE(LvYear,1,1),Attendance!$A$6:$A$2405,"&lt;="&amp;DATE(LvYear,12,31)))</f>
        <v/>
      </c>
      <c r="S317" s="16" t="str">
        <f aca="false">IF($A317="","",SUMIFS(Attendance!$AY$6:$AY$2405,Attendance!$B$6:$B$2405,$A317,Attendance!$A$6:$A$2405,"&gt;="&amp;DATE(LvYear,1,1),Attendance!$A$6:$A$2405,"&lt;="&amp;DATE(LvYear,12,31)))</f>
        <v/>
      </c>
      <c r="T317" s="16" t="str">
        <f aca="false">IF($A317="","",SUMIFS(Attendance!$AX$6:$AX$2405,Attendance!$B$6:$B$2405,$A317,Attendance!$A$6:$A$2405,"&gt;="&amp;DATE(LvYear,1,1),Attendance!$A$6:$A$2405,"&lt;="&amp;DATE(LvYear,12,31)))</f>
        <v/>
      </c>
      <c r="U317" s="16" t="str">
        <f aca="false">IF($A317="","",SUMIFS(Attendance!$AW$6:$AW$2405,Attendance!$B$6:$B$2405,$A317,Attendance!$A$6:$A$2405,"&gt;="&amp;DATE(LvYear,1,1),Attendance!$A$6:$A$2405,"&lt;="&amp;DATE(LvYear,12,31)))</f>
        <v/>
      </c>
      <c r="V317" s="16" t="str">
        <f aca="false">IF($A317="","",L317-R317)</f>
        <v/>
      </c>
      <c r="W317" s="16" t="str">
        <f aca="false">IF($A317="","",M317-S317)</f>
        <v/>
      </c>
      <c r="X317" s="16" t="str">
        <f aca="false">IF($A317="","",P317-T317)</f>
        <v/>
      </c>
      <c r="Y317" s="16" t="str">
        <f aca="false">IF($A317="","",Q317-U317)</f>
        <v/>
      </c>
      <c r="Z317" s="16" t="str">
        <f aca="false">IF($A317="","",V317+W317+X317)</f>
        <v/>
      </c>
      <c r="AA317" s="16" t="str">
        <f aca="false">IF($A317="","",O317+N(N317)-T317)</f>
        <v/>
      </c>
      <c r="AB317" s="8" t="str">
        <f aca="false">IF($A317="","","CL "&amp;V317&amp;" | SL "&amp;W317&amp;" | PL "&amp;X317&amp;" | TR "&amp;Y317)</f>
        <v/>
      </c>
      <c r="AC317" s="15" t="str">
        <f aca="false">IF($A317="","",IF(F317="Exited","EXITED",IF(AND(ISNUMBER(K317),K317=0),"NOT ELIGIBLE",IF(MIN(V317:X317)&lt;0,"OVER-USED",IF(Z317&lt;=Settings!$C$15,"LOW","OK")))))</f>
        <v/>
      </c>
      <c r="AD317" s="16" t="str">
        <f aca="false">IF(OR(AC317="OVER-USED",AC317="LOW"),COUNTIF(AC$6:AC317,"OVER-USED")+COUNTIF(AC$6:AC317,"LOW"),"")</f>
        <v/>
      </c>
    </row>
    <row r="318" customFormat="false" ht="15" hidden="false" customHeight="false" outlineLevel="0" collapsed="false">
      <c r="A318" s="8" t="str">
        <f aca="false">IF('Employee List'!B318="","",'Employee List'!B318)</f>
        <v/>
      </c>
      <c r="B318" s="8" t="str">
        <f aca="false">IF($A318="","",'Employee List'!C318)</f>
        <v/>
      </c>
      <c r="C318" s="8" t="str">
        <f aca="false">IF($A318="","",'Employee List'!E318&amp;"")</f>
        <v/>
      </c>
      <c r="D318" s="8" t="str">
        <f aca="false">IF($A318="","",'Employee List'!F318&amp;"")</f>
        <v/>
      </c>
      <c r="E318" s="8" t="str">
        <f aca="false">IF($A318="","",'Employee List'!G318&amp;"")</f>
        <v/>
      </c>
      <c r="F318" s="8" t="str">
        <f aca="false">IF($A318="","",'Employee List'!D318)</f>
        <v/>
      </c>
      <c r="G318" s="38" t="str">
        <f aca="false">IF($A318="","",IF('Employee List'!I318="","",'Employee List'!I318))</f>
        <v/>
      </c>
      <c r="H318" s="38" t="str">
        <f aca="false">IF(OR($A318="",G318=""),"",G318+Settings!$C$13)</f>
        <v/>
      </c>
      <c r="I318" s="38" t="str">
        <f aca="false">IF(H318="","",MAX(H318,DATE(LvYear,1,1)))</f>
        <v/>
      </c>
      <c r="J318" s="38" t="str">
        <f aca="false">IF($A318="","",IF('Employee List'!J318="",DATE(LvYear,12,31),MIN('Employee List'!J318,DATE(LvYear,12,31))))</f>
        <v/>
      </c>
      <c r="K318" s="39" t="str">
        <f aca="false">IF(OR(I318="",J318=""),"",MAX(0,J318-I318+1))</f>
        <v/>
      </c>
      <c r="L318" s="16" t="str">
        <f aca="false">IF($A318="","",IF(AND(ISNUMBER(K318),K318=0),0,Settings!$C$10))</f>
        <v/>
      </c>
      <c r="M318" s="16" t="str">
        <f aca="false">IF($A318="","",IF(AND(ISNUMBER(K318),K318=0),0,Settings!$C$11))</f>
        <v/>
      </c>
      <c r="N318" s="40"/>
      <c r="O318" s="16" t="str">
        <f aca="false">IF($A318="","",FLOOR(Settings!$C$12/365*N(K318),0.5))</f>
        <v/>
      </c>
      <c r="P318" s="16" t="str">
        <f aca="false">IF($A318="","",IF(I318="",N(N318),FLOOR(Settings!$C$12/365*MAX(0,MIN(LvAsOf,J318)-I318+1)+N(N318),0.5)))</f>
        <v/>
      </c>
      <c r="Q318" s="16" t="str">
        <f aca="false">IF($A318="","",Settings!$C$14)</f>
        <v/>
      </c>
      <c r="R318" s="16" t="str">
        <f aca="false">IF($A318="","",SUMIFS(Attendance!$AZ$6:$AZ$2405,Attendance!$B$6:$B$2405,$A318,Attendance!$A$6:$A$2405,"&gt;="&amp;DATE(LvYear,1,1),Attendance!$A$6:$A$2405,"&lt;="&amp;DATE(LvYear,12,31)))</f>
        <v/>
      </c>
      <c r="S318" s="16" t="str">
        <f aca="false">IF($A318="","",SUMIFS(Attendance!$AY$6:$AY$2405,Attendance!$B$6:$B$2405,$A318,Attendance!$A$6:$A$2405,"&gt;="&amp;DATE(LvYear,1,1),Attendance!$A$6:$A$2405,"&lt;="&amp;DATE(LvYear,12,31)))</f>
        <v/>
      </c>
      <c r="T318" s="16" t="str">
        <f aca="false">IF($A318="","",SUMIFS(Attendance!$AX$6:$AX$2405,Attendance!$B$6:$B$2405,$A318,Attendance!$A$6:$A$2405,"&gt;="&amp;DATE(LvYear,1,1),Attendance!$A$6:$A$2405,"&lt;="&amp;DATE(LvYear,12,31)))</f>
        <v/>
      </c>
      <c r="U318" s="16" t="str">
        <f aca="false">IF($A318="","",SUMIFS(Attendance!$AW$6:$AW$2405,Attendance!$B$6:$B$2405,$A318,Attendance!$A$6:$A$2405,"&gt;="&amp;DATE(LvYear,1,1),Attendance!$A$6:$A$2405,"&lt;="&amp;DATE(LvYear,12,31)))</f>
        <v/>
      </c>
      <c r="V318" s="16" t="str">
        <f aca="false">IF($A318="","",L318-R318)</f>
        <v/>
      </c>
      <c r="W318" s="16" t="str">
        <f aca="false">IF($A318="","",M318-S318)</f>
        <v/>
      </c>
      <c r="X318" s="16" t="str">
        <f aca="false">IF($A318="","",P318-T318)</f>
        <v/>
      </c>
      <c r="Y318" s="16" t="str">
        <f aca="false">IF($A318="","",Q318-U318)</f>
        <v/>
      </c>
      <c r="Z318" s="16" t="str">
        <f aca="false">IF($A318="","",V318+W318+X318)</f>
        <v/>
      </c>
      <c r="AA318" s="16" t="str">
        <f aca="false">IF($A318="","",O318+N(N318)-T318)</f>
        <v/>
      </c>
      <c r="AB318" s="8" t="str">
        <f aca="false">IF($A318="","","CL "&amp;V318&amp;" | SL "&amp;W318&amp;" | PL "&amp;X318&amp;" | TR "&amp;Y318)</f>
        <v/>
      </c>
      <c r="AC318" s="15" t="str">
        <f aca="false">IF($A318="","",IF(F318="Exited","EXITED",IF(AND(ISNUMBER(K318),K318=0),"NOT ELIGIBLE",IF(MIN(V318:X318)&lt;0,"OVER-USED",IF(Z318&lt;=Settings!$C$15,"LOW","OK")))))</f>
        <v/>
      </c>
      <c r="AD318" s="16" t="str">
        <f aca="false">IF(OR(AC318="OVER-USED",AC318="LOW"),COUNTIF(AC$6:AC318,"OVER-USED")+COUNTIF(AC$6:AC318,"LOW"),"")</f>
        <v/>
      </c>
    </row>
    <row r="319" customFormat="false" ht="15" hidden="false" customHeight="false" outlineLevel="0" collapsed="false">
      <c r="A319" s="8" t="str">
        <f aca="false">IF('Employee List'!B319="","",'Employee List'!B319)</f>
        <v/>
      </c>
      <c r="B319" s="8" t="str">
        <f aca="false">IF($A319="","",'Employee List'!C319)</f>
        <v/>
      </c>
      <c r="C319" s="8" t="str">
        <f aca="false">IF($A319="","",'Employee List'!E319&amp;"")</f>
        <v/>
      </c>
      <c r="D319" s="8" t="str">
        <f aca="false">IF($A319="","",'Employee List'!F319&amp;"")</f>
        <v/>
      </c>
      <c r="E319" s="8" t="str">
        <f aca="false">IF($A319="","",'Employee List'!G319&amp;"")</f>
        <v/>
      </c>
      <c r="F319" s="8" t="str">
        <f aca="false">IF($A319="","",'Employee List'!D319)</f>
        <v/>
      </c>
      <c r="G319" s="38" t="str">
        <f aca="false">IF($A319="","",IF('Employee List'!I319="","",'Employee List'!I319))</f>
        <v/>
      </c>
      <c r="H319" s="38" t="str">
        <f aca="false">IF(OR($A319="",G319=""),"",G319+Settings!$C$13)</f>
        <v/>
      </c>
      <c r="I319" s="38" t="str">
        <f aca="false">IF(H319="","",MAX(H319,DATE(LvYear,1,1)))</f>
        <v/>
      </c>
      <c r="J319" s="38" t="str">
        <f aca="false">IF($A319="","",IF('Employee List'!J319="",DATE(LvYear,12,31),MIN('Employee List'!J319,DATE(LvYear,12,31))))</f>
        <v/>
      </c>
      <c r="K319" s="39" t="str">
        <f aca="false">IF(OR(I319="",J319=""),"",MAX(0,J319-I319+1))</f>
        <v/>
      </c>
      <c r="L319" s="16" t="str">
        <f aca="false">IF($A319="","",IF(AND(ISNUMBER(K319),K319=0),0,Settings!$C$10))</f>
        <v/>
      </c>
      <c r="M319" s="16" t="str">
        <f aca="false">IF($A319="","",IF(AND(ISNUMBER(K319),K319=0),0,Settings!$C$11))</f>
        <v/>
      </c>
      <c r="N319" s="40"/>
      <c r="O319" s="16" t="str">
        <f aca="false">IF($A319="","",FLOOR(Settings!$C$12/365*N(K319),0.5))</f>
        <v/>
      </c>
      <c r="P319" s="16" t="str">
        <f aca="false">IF($A319="","",IF(I319="",N(N319),FLOOR(Settings!$C$12/365*MAX(0,MIN(LvAsOf,J319)-I319+1)+N(N319),0.5)))</f>
        <v/>
      </c>
      <c r="Q319" s="16" t="str">
        <f aca="false">IF($A319="","",Settings!$C$14)</f>
        <v/>
      </c>
      <c r="R319" s="16" t="str">
        <f aca="false">IF($A319="","",SUMIFS(Attendance!$AZ$6:$AZ$2405,Attendance!$B$6:$B$2405,$A319,Attendance!$A$6:$A$2405,"&gt;="&amp;DATE(LvYear,1,1),Attendance!$A$6:$A$2405,"&lt;="&amp;DATE(LvYear,12,31)))</f>
        <v/>
      </c>
      <c r="S319" s="16" t="str">
        <f aca="false">IF($A319="","",SUMIFS(Attendance!$AY$6:$AY$2405,Attendance!$B$6:$B$2405,$A319,Attendance!$A$6:$A$2405,"&gt;="&amp;DATE(LvYear,1,1),Attendance!$A$6:$A$2405,"&lt;="&amp;DATE(LvYear,12,31)))</f>
        <v/>
      </c>
      <c r="T319" s="16" t="str">
        <f aca="false">IF($A319="","",SUMIFS(Attendance!$AX$6:$AX$2405,Attendance!$B$6:$B$2405,$A319,Attendance!$A$6:$A$2405,"&gt;="&amp;DATE(LvYear,1,1),Attendance!$A$6:$A$2405,"&lt;="&amp;DATE(LvYear,12,31)))</f>
        <v/>
      </c>
      <c r="U319" s="16" t="str">
        <f aca="false">IF($A319="","",SUMIFS(Attendance!$AW$6:$AW$2405,Attendance!$B$6:$B$2405,$A319,Attendance!$A$6:$A$2405,"&gt;="&amp;DATE(LvYear,1,1),Attendance!$A$6:$A$2405,"&lt;="&amp;DATE(LvYear,12,31)))</f>
        <v/>
      </c>
      <c r="V319" s="16" t="str">
        <f aca="false">IF($A319="","",L319-R319)</f>
        <v/>
      </c>
      <c r="W319" s="16" t="str">
        <f aca="false">IF($A319="","",M319-S319)</f>
        <v/>
      </c>
      <c r="X319" s="16" t="str">
        <f aca="false">IF($A319="","",P319-T319)</f>
        <v/>
      </c>
      <c r="Y319" s="16" t="str">
        <f aca="false">IF($A319="","",Q319-U319)</f>
        <v/>
      </c>
      <c r="Z319" s="16" t="str">
        <f aca="false">IF($A319="","",V319+W319+X319)</f>
        <v/>
      </c>
      <c r="AA319" s="16" t="str">
        <f aca="false">IF($A319="","",O319+N(N319)-T319)</f>
        <v/>
      </c>
      <c r="AB319" s="8" t="str">
        <f aca="false">IF($A319="","","CL "&amp;V319&amp;" | SL "&amp;W319&amp;" | PL "&amp;X319&amp;" | TR "&amp;Y319)</f>
        <v/>
      </c>
      <c r="AC319" s="15" t="str">
        <f aca="false">IF($A319="","",IF(F319="Exited","EXITED",IF(AND(ISNUMBER(K319),K319=0),"NOT ELIGIBLE",IF(MIN(V319:X319)&lt;0,"OVER-USED",IF(Z319&lt;=Settings!$C$15,"LOW","OK")))))</f>
        <v/>
      </c>
      <c r="AD319" s="16" t="str">
        <f aca="false">IF(OR(AC319="OVER-USED",AC319="LOW"),COUNTIF(AC$6:AC319,"OVER-USED")+COUNTIF(AC$6:AC319,"LOW"),"")</f>
        <v/>
      </c>
    </row>
    <row r="320" customFormat="false" ht="15" hidden="false" customHeight="false" outlineLevel="0" collapsed="false">
      <c r="A320" s="8" t="str">
        <f aca="false">IF('Employee List'!B320="","",'Employee List'!B320)</f>
        <v/>
      </c>
      <c r="B320" s="8" t="str">
        <f aca="false">IF($A320="","",'Employee List'!C320)</f>
        <v/>
      </c>
      <c r="C320" s="8" t="str">
        <f aca="false">IF($A320="","",'Employee List'!E320&amp;"")</f>
        <v/>
      </c>
      <c r="D320" s="8" t="str">
        <f aca="false">IF($A320="","",'Employee List'!F320&amp;"")</f>
        <v/>
      </c>
      <c r="E320" s="8" t="str">
        <f aca="false">IF($A320="","",'Employee List'!G320&amp;"")</f>
        <v/>
      </c>
      <c r="F320" s="8" t="str">
        <f aca="false">IF($A320="","",'Employee List'!D320)</f>
        <v/>
      </c>
      <c r="G320" s="38" t="str">
        <f aca="false">IF($A320="","",IF('Employee List'!I320="","",'Employee List'!I320))</f>
        <v/>
      </c>
      <c r="H320" s="38" t="str">
        <f aca="false">IF(OR($A320="",G320=""),"",G320+Settings!$C$13)</f>
        <v/>
      </c>
      <c r="I320" s="38" t="str">
        <f aca="false">IF(H320="","",MAX(H320,DATE(LvYear,1,1)))</f>
        <v/>
      </c>
      <c r="J320" s="38" t="str">
        <f aca="false">IF($A320="","",IF('Employee List'!J320="",DATE(LvYear,12,31),MIN('Employee List'!J320,DATE(LvYear,12,31))))</f>
        <v/>
      </c>
      <c r="K320" s="39" t="str">
        <f aca="false">IF(OR(I320="",J320=""),"",MAX(0,J320-I320+1))</f>
        <v/>
      </c>
      <c r="L320" s="16" t="str">
        <f aca="false">IF($A320="","",IF(AND(ISNUMBER(K320),K320=0),0,Settings!$C$10))</f>
        <v/>
      </c>
      <c r="M320" s="16" t="str">
        <f aca="false">IF($A320="","",IF(AND(ISNUMBER(K320),K320=0),0,Settings!$C$11))</f>
        <v/>
      </c>
      <c r="N320" s="40"/>
      <c r="O320" s="16" t="str">
        <f aca="false">IF($A320="","",FLOOR(Settings!$C$12/365*N(K320),0.5))</f>
        <v/>
      </c>
      <c r="P320" s="16" t="str">
        <f aca="false">IF($A320="","",IF(I320="",N(N320),FLOOR(Settings!$C$12/365*MAX(0,MIN(LvAsOf,J320)-I320+1)+N(N320),0.5)))</f>
        <v/>
      </c>
      <c r="Q320" s="16" t="str">
        <f aca="false">IF($A320="","",Settings!$C$14)</f>
        <v/>
      </c>
      <c r="R320" s="16" t="str">
        <f aca="false">IF($A320="","",SUMIFS(Attendance!$AZ$6:$AZ$2405,Attendance!$B$6:$B$2405,$A320,Attendance!$A$6:$A$2405,"&gt;="&amp;DATE(LvYear,1,1),Attendance!$A$6:$A$2405,"&lt;="&amp;DATE(LvYear,12,31)))</f>
        <v/>
      </c>
      <c r="S320" s="16" t="str">
        <f aca="false">IF($A320="","",SUMIFS(Attendance!$AY$6:$AY$2405,Attendance!$B$6:$B$2405,$A320,Attendance!$A$6:$A$2405,"&gt;="&amp;DATE(LvYear,1,1),Attendance!$A$6:$A$2405,"&lt;="&amp;DATE(LvYear,12,31)))</f>
        <v/>
      </c>
      <c r="T320" s="16" t="str">
        <f aca="false">IF($A320="","",SUMIFS(Attendance!$AX$6:$AX$2405,Attendance!$B$6:$B$2405,$A320,Attendance!$A$6:$A$2405,"&gt;="&amp;DATE(LvYear,1,1),Attendance!$A$6:$A$2405,"&lt;="&amp;DATE(LvYear,12,31)))</f>
        <v/>
      </c>
      <c r="U320" s="16" t="str">
        <f aca="false">IF($A320="","",SUMIFS(Attendance!$AW$6:$AW$2405,Attendance!$B$6:$B$2405,$A320,Attendance!$A$6:$A$2405,"&gt;="&amp;DATE(LvYear,1,1),Attendance!$A$6:$A$2405,"&lt;="&amp;DATE(LvYear,12,31)))</f>
        <v/>
      </c>
      <c r="V320" s="16" t="str">
        <f aca="false">IF($A320="","",L320-R320)</f>
        <v/>
      </c>
      <c r="W320" s="16" t="str">
        <f aca="false">IF($A320="","",M320-S320)</f>
        <v/>
      </c>
      <c r="X320" s="16" t="str">
        <f aca="false">IF($A320="","",P320-T320)</f>
        <v/>
      </c>
      <c r="Y320" s="16" t="str">
        <f aca="false">IF($A320="","",Q320-U320)</f>
        <v/>
      </c>
      <c r="Z320" s="16" t="str">
        <f aca="false">IF($A320="","",V320+W320+X320)</f>
        <v/>
      </c>
      <c r="AA320" s="16" t="str">
        <f aca="false">IF($A320="","",O320+N(N320)-T320)</f>
        <v/>
      </c>
      <c r="AB320" s="8" t="str">
        <f aca="false">IF($A320="","","CL "&amp;V320&amp;" | SL "&amp;W320&amp;" | PL "&amp;X320&amp;" | TR "&amp;Y320)</f>
        <v/>
      </c>
      <c r="AC320" s="15" t="str">
        <f aca="false">IF($A320="","",IF(F320="Exited","EXITED",IF(AND(ISNUMBER(K320),K320=0),"NOT ELIGIBLE",IF(MIN(V320:X320)&lt;0,"OVER-USED",IF(Z320&lt;=Settings!$C$15,"LOW","OK")))))</f>
        <v/>
      </c>
      <c r="AD320" s="16" t="str">
        <f aca="false">IF(OR(AC320="OVER-USED",AC320="LOW"),COUNTIF(AC$6:AC320,"OVER-USED")+COUNTIF(AC$6:AC320,"LOW"),"")</f>
        <v/>
      </c>
    </row>
    <row r="321" customFormat="false" ht="15" hidden="false" customHeight="false" outlineLevel="0" collapsed="false">
      <c r="A321" s="8" t="str">
        <f aca="false">IF('Employee List'!B321="","",'Employee List'!B321)</f>
        <v/>
      </c>
      <c r="B321" s="8" t="str">
        <f aca="false">IF($A321="","",'Employee List'!C321)</f>
        <v/>
      </c>
      <c r="C321" s="8" t="str">
        <f aca="false">IF($A321="","",'Employee List'!E321&amp;"")</f>
        <v/>
      </c>
      <c r="D321" s="8" t="str">
        <f aca="false">IF($A321="","",'Employee List'!F321&amp;"")</f>
        <v/>
      </c>
      <c r="E321" s="8" t="str">
        <f aca="false">IF($A321="","",'Employee List'!G321&amp;"")</f>
        <v/>
      </c>
      <c r="F321" s="8" t="str">
        <f aca="false">IF($A321="","",'Employee List'!D321)</f>
        <v/>
      </c>
      <c r="G321" s="38" t="str">
        <f aca="false">IF($A321="","",IF('Employee List'!I321="","",'Employee List'!I321))</f>
        <v/>
      </c>
      <c r="H321" s="38" t="str">
        <f aca="false">IF(OR($A321="",G321=""),"",G321+Settings!$C$13)</f>
        <v/>
      </c>
      <c r="I321" s="38" t="str">
        <f aca="false">IF(H321="","",MAX(H321,DATE(LvYear,1,1)))</f>
        <v/>
      </c>
      <c r="J321" s="38" t="str">
        <f aca="false">IF($A321="","",IF('Employee List'!J321="",DATE(LvYear,12,31),MIN('Employee List'!J321,DATE(LvYear,12,31))))</f>
        <v/>
      </c>
      <c r="K321" s="39" t="str">
        <f aca="false">IF(OR(I321="",J321=""),"",MAX(0,J321-I321+1))</f>
        <v/>
      </c>
      <c r="L321" s="16" t="str">
        <f aca="false">IF($A321="","",IF(AND(ISNUMBER(K321),K321=0),0,Settings!$C$10))</f>
        <v/>
      </c>
      <c r="M321" s="16" t="str">
        <f aca="false">IF($A321="","",IF(AND(ISNUMBER(K321),K321=0),0,Settings!$C$11))</f>
        <v/>
      </c>
      <c r="N321" s="40"/>
      <c r="O321" s="16" t="str">
        <f aca="false">IF($A321="","",FLOOR(Settings!$C$12/365*N(K321),0.5))</f>
        <v/>
      </c>
      <c r="P321" s="16" t="str">
        <f aca="false">IF($A321="","",IF(I321="",N(N321),FLOOR(Settings!$C$12/365*MAX(0,MIN(LvAsOf,J321)-I321+1)+N(N321),0.5)))</f>
        <v/>
      </c>
      <c r="Q321" s="16" t="str">
        <f aca="false">IF($A321="","",Settings!$C$14)</f>
        <v/>
      </c>
      <c r="R321" s="16" t="str">
        <f aca="false">IF($A321="","",SUMIFS(Attendance!$AZ$6:$AZ$2405,Attendance!$B$6:$B$2405,$A321,Attendance!$A$6:$A$2405,"&gt;="&amp;DATE(LvYear,1,1),Attendance!$A$6:$A$2405,"&lt;="&amp;DATE(LvYear,12,31)))</f>
        <v/>
      </c>
      <c r="S321" s="16" t="str">
        <f aca="false">IF($A321="","",SUMIFS(Attendance!$AY$6:$AY$2405,Attendance!$B$6:$B$2405,$A321,Attendance!$A$6:$A$2405,"&gt;="&amp;DATE(LvYear,1,1),Attendance!$A$6:$A$2405,"&lt;="&amp;DATE(LvYear,12,31)))</f>
        <v/>
      </c>
      <c r="T321" s="16" t="str">
        <f aca="false">IF($A321="","",SUMIFS(Attendance!$AX$6:$AX$2405,Attendance!$B$6:$B$2405,$A321,Attendance!$A$6:$A$2405,"&gt;="&amp;DATE(LvYear,1,1),Attendance!$A$6:$A$2405,"&lt;="&amp;DATE(LvYear,12,31)))</f>
        <v/>
      </c>
      <c r="U321" s="16" t="str">
        <f aca="false">IF($A321="","",SUMIFS(Attendance!$AW$6:$AW$2405,Attendance!$B$6:$B$2405,$A321,Attendance!$A$6:$A$2405,"&gt;="&amp;DATE(LvYear,1,1),Attendance!$A$6:$A$2405,"&lt;="&amp;DATE(LvYear,12,31)))</f>
        <v/>
      </c>
      <c r="V321" s="16" t="str">
        <f aca="false">IF($A321="","",L321-R321)</f>
        <v/>
      </c>
      <c r="W321" s="16" t="str">
        <f aca="false">IF($A321="","",M321-S321)</f>
        <v/>
      </c>
      <c r="X321" s="16" t="str">
        <f aca="false">IF($A321="","",P321-T321)</f>
        <v/>
      </c>
      <c r="Y321" s="16" t="str">
        <f aca="false">IF($A321="","",Q321-U321)</f>
        <v/>
      </c>
      <c r="Z321" s="16" t="str">
        <f aca="false">IF($A321="","",V321+W321+X321)</f>
        <v/>
      </c>
      <c r="AA321" s="16" t="str">
        <f aca="false">IF($A321="","",O321+N(N321)-T321)</f>
        <v/>
      </c>
      <c r="AB321" s="8" t="str">
        <f aca="false">IF($A321="","","CL "&amp;V321&amp;" | SL "&amp;W321&amp;" | PL "&amp;X321&amp;" | TR "&amp;Y321)</f>
        <v/>
      </c>
      <c r="AC321" s="15" t="str">
        <f aca="false">IF($A321="","",IF(F321="Exited","EXITED",IF(AND(ISNUMBER(K321),K321=0),"NOT ELIGIBLE",IF(MIN(V321:X321)&lt;0,"OVER-USED",IF(Z321&lt;=Settings!$C$15,"LOW","OK")))))</f>
        <v/>
      </c>
      <c r="AD321" s="16" t="str">
        <f aca="false">IF(OR(AC321="OVER-USED",AC321="LOW"),COUNTIF(AC$6:AC321,"OVER-USED")+COUNTIF(AC$6:AC321,"LOW"),"")</f>
        <v/>
      </c>
    </row>
    <row r="322" customFormat="false" ht="15" hidden="false" customHeight="false" outlineLevel="0" collapsed="false">
      <c r="A322" s="8" t="str">
        <f aca="false">IF('Employee List'!B322="","",'Employee List'!B322)</f>
        <v/>
      </c>
      <c r="B322" s="8" t="str">
        <f aca="false">IF($A322="","",'Employee List'!C322)</f>
        <v/>
      </c>
      <c r="C322" s="8" t="str">
        <f aca="false">IF($A322="","",'Employee List'!E322&amp;"")</f>
        <v/>
      </c>
      <c r="D322" s="8" t="str">
        <f aca="false">IF($A322="","",'Employee List'!F322&amp;"")</f>
        <v/>
      </c>
      <c r="E322" s="8" t="str">
        <f aca="false">IF($A322="","",'Employee List'!G322&amp;"")</f>
        <v/>
      </c>
      <c r="F322" s="8" t="str">
        <f aca="false">IF($A322="","",'Employee List'!D322)</f>
        <v/>
      </c>
      <c r="G322" s="38" t="str">
        <f aca="false">IF($A322="","",IF('Employee List'!I322="","",'Employee List'!I322))</f>
        <v/>
      </c>
      <c r="H322" s="38" t="str">
        <f aca="false">IF(OR($A322="",G322=""),"",G322+Settings!$C$13)</f>
        <v/>
      </c>
      <c r="I322" s="38" t="str">
        <f aca="false">IF(H322="","",MAX(H322,DATE(LvYear,1,1)))</f>
        <v/>
      </c>
      <c r="J322" s="38" t="str">
        <f aca="false">IF($A322="","",IF('Employee List'!J322="",DATE(LvYear,12,31),MIN('Employee List'!J322,DATE(LvYear,12,31))))</f>
        <v/>
      </c>
      <c r="K322" s="39" t="str">
        <f aca="false">IF(OR(I322="",J322=""),"",MAX(0,J322-I322+1))</f>
        <v/>
      </c>
      <c r="L322" s="16" t="str">
        <f aca="false">IF($A322="","",IF(AND(ISNUMBER(K322),K322=0),0,Settings!$C$10))</f>
        <v/>
      </c>
      <c r="M322" s="16" t="str">
        <f aca="false">IF($A322="","",IF(AND(ISNUMBER(K322),K322=0),0,Settings!$C$11))</f>
        <v/>
      </c>
      <c r="N322" s="40"/>
      <c r="O322" s="16" t="str">
        <f aca="false">IF($A322="","",FLOOR(Settings!$C$12/365*N(K322),0.5))</f>
        <v/>
      </c>
      <c r="P322" s="16" t="str">
        <f aca="false">IF($A322="","",IF(I322="",N(N322),FLOOR(Settings!$C$12/365*MAX(0,MIN(LvAsOf,J322)-I322+1)+N(N322),0.5)))</f>
        <v/>
      </c>
      <c r="Q322" s="16" t="str">
        <f aca="false">IF($A322="","",Settings!$C$14)</f>
        <v/>
      </c>
      <c r="R322" s="16" t="str">
        <f aca="false">IF($A322="","",SUMIFS(Attendance!$AZ$6:$AZ$2405,Attendance!$B$6:$B$2405,$A322,Attendance!$A$6:$A$2405,"&gt;="&amp;DATE(LvYear,1,1),Attendance!$A$6:$A$2405,"&lt;="&amp;DATE(LvYear,12,31)))</f>
        <v/>
      </c>
      <c r="S322" s="16" t="str">
        <f aca="false">IF($A322="","",SUMIFS(Attendance!$AY$6:$AY$2405,Attendance!$B$6:$B$2405,$A322,Attendance!$A$6:$A$2405,"&gt;="&amp;DATE(LvYear,1,1),Attendance!$A$6:$A$2405,"&lt;="&amp;DATE(LvYear,12,31)))</f>
        <v/>
      </c>
      <c r="T322" s="16" t="str">
        <f aca="false">IF($A322="","",SUMIFS(Attendance!$AX$6:$AX$2405,Attendance!$B$6:$B$2405,$A322,Attendance!$A$6:$A$2405,"&gt;="&amp;DATE(LvYear,1,1),Attendance!$A$6:$A$2405,"&lt;="&amp;DATE(LvYear,12,31)))</f>
        <v/>
      </c>
      <c r="U322" s="16" t="str">
        <f aca="false">IF($A322="","",SUMIFS(Attendance!$AW$6:$AW$2405,Attendance!$B$6:$B$2405,$A322,Attendance!$A$6:$A$2405,"&gt;="&amp;DATE(LvYear,1,1),Attendance!$A$6:$A$2405,"&lt;="&amp;DATE(LvYear,12,31)))</f>
        <v/>
      </c>
      <c r="V322" s="16" t="str">
        <f aca="false">IF($A322="","",L322-R322)</f>
        <v/>
      </c>
      <c r="W322" s="16" t="str">
        <f aca="false">IF($A322="","",M322-S322)</f>
        <v/>
      </c>
      <c r="X322" s="16" t="str">
        <f aca="false">IF($A322="","",P322-T322)</f>
        <v/>
      </c>
      <c r="Y322" s="16" t="str">
        <f aca="false">IF($A322="","",Q322-U322)</f>
        <v/>
      </c>
      <c r="Z322" s="16" t="str">
        <f aca="false">IF($A322="","",V322+W322+X322)</f>
        <v/>
      </c>
      <c r="AA322" s="16" t="str">
        <f aca="false">IF($A322="","",O322+N(N322)-T322)</f>
        <v/>
      </c>
      <c r="AB322" s="8" t="str">
        <f aca="false">IF($A322="","","CL "&amp;V322&amp;" | SL "&amp;W322&amp;" | PL "&amp;X322&amp;" | TR "&amp;Y322)</f>
        <v/>
      </c>
      <c r="AC322" s="15" t="str">
        <f aca="false">IF($A322="","",IF(F322="Exited","EXITED",IF(AND(ISNUMBER(K322),K322=0),"NOT ELIGIBLE",IF(MIN(V322:X322)&lt;0,"OVER-USED",IF(Z322&lt;=Settings!$C$15,"LOW","OK")))))</f>
        <v/>
      </c>
      <c r="AD322" s="16" t="str">
        <f aca="false">IF(OR(AC322="OVER-USED",AC322="LOW"),COUNTIF(AC$6:AC322,"OVER-USED")+COUNTIF(AC$6:AC322,"LOW"),"")</f>
        <v/>
      </c>
    </row>
    <row r="323" customFormat="false" ht="15" hidden="false" customHeight="false" outlineLevel="0" collapsed="false">
      <c r="A323" s="8" t="str">
        <f aca="false">IF('Employee List'!B323="","",'Employee List'!B323)</f>
        <v/>
      </c>
      <c r="B323" s="8" t="str">
        <f aca="false">IF($A323="","",'Employee List'!C323)</f>
        <v/>
      </c>
      <c r="C323" s="8" t="str">
        <f aca="false">IF($A323="","",'Employee List'!E323&amp;"")</f>
        <v/>
      </c>
      <c r="D323" s="8" t="str">
        <f aca="false">IF($A323="","",'Employee List'!F323&amp;"")</f>
        <v/>
      </c>
      <c r="E323" s="8" t="str">
        <f aca="false">IF($A323="","",'Employee List'!G323&amp;"")</f>
        <v/>
      </c>
      <c r="F323" s="8" t="str">
        <f aca="false">IF($A323="","",'Employee List'!D323)</f>
        <v/>
      </c>
      <c r="G323" s="38" t="str">
        <f aca="false">IF($A323="","",IF('Employee List'!I323="","",'Employee List'!I323))</f>
        <v/>
      </c>
      <c r="H323" s="38" t="str">
        <f aca="false">IF(OR($A323="",G323=""),"",G323+Settings!$C$13)</f>
        <v/>
      </c>
      <c r="I323" s="38" t="str">
        <f aca="false">IF(H323="","",MAX(H323,DATE(LvYear,1,1)))</f>
        <v/>
      </c>
      <c r="J323" s="38" t="str">
        <f aca="false">IF($A323="","",IF('Employee List'!J323="",DATE(LvYear,12,31),MIN('Employee List'!J323,DATE(LvYear,12,31))))</f>
        <v/>
      </c>
      <c r="K323" s="39" t="str">
        <f aca="false">IF(OR(I323="",J323=""),"",MAX(0,J323-I323+1))</f>
        <v/>
      </c>
      <c r="L323" s="16" t="str">
        <f aca="false">IF($A323="","",IF(AND(ISNUMBER(K323),K323=0),0,Settings!$C$10))</f>
        <v/>
      </c>
      <c r="M323" s="16" t="str">
        <f aca="false">IF($A323="","",IF(AND(ISNUMBER(K323),K323=0),0,Settings!$C$11))</f>
        <v/>
      </c>
      <c r="N323" s="40"/>
      <c r="O323" s="16" t="str">
        <f aca="false">IF($A323="","",FLOOR(Settings!$C$12/365*N(K323),0.5))</f>
        <v/>
      </c>
      <c r="P323" s="16" t="str">
        <f aca="false">IF($A323="","",IF(I323="",N(N323),FLOOR(Settings!$C$12/365*MAX(0,MIN(LvAsOf,J323)-I323+1)+N(N323),0.5)))</f>
        <v/>
      </c>
      <c r="Q323" s="16" t="str">
        <f aca="false">IF($A323="","",Settings!$C$14)</f>
        <v/>
      </c>
      <c r="R323" s="16" t="str">
        <f aca="false">IF($A323="","",SUMIFS(Attendance!$AZ$6:$AZ$2405,Attendance!$B$6:$B$2405,$A323,Attendance!$A$6:$A$2405,"&gt;="&amp;DATE(LvYear,1,1),Attendance!$A$6:$A$2405,"&lt;="&amp;DATE(LvYear,12,31)))</f>
        <v/>
      </c>
      <c r="S323" s="16" t="str">
        <f aca="false">IF($A323="","",SUMIFS(Attendance!$AY$6:$AY$2405,Attendance!$B$6:$B$2405,$A323,Attendance!$A$6:$A$2405,"&gt;="&amp;DATE(LvYear,1,1),Attendance!$A$6:$A$2405,"&lt;="&amp;DATE(LvYear,12,31)))</f>
        <v/>
      </c>
      <c r="T323" s="16" t="str">
        <f aca="false">IF($A323="","",SUMIFS(Attendance!$AX$6:$AX$2405,Attendance!$B$6:$B$2405,$A323,Attendance!$A$6:$A$2405,"&gt;="&amp;DATE(LvYear,1,1),Attendance!$A$6:$A$2405,"&lt;="&amp;DATE(LvYear,12,31)))</f>
        <v/>
      </c>
      <c r="U323" s="16" t="str">
        <f aca="false">IF($A323="","",SUMIFS(Attendance!$AW$6:$AW$2405,Attendance!$B$6:$B$2405,$A323,Attendance!$A$6:$A$2405,"&gt;="&amp;DATE(LvYear,1,1),Attendance!$A$6:$A$2405,"&lt;="&amp;DATE(LvYear,12,31)))</f>
        <v/>
      </c>
      <c r="V323" s="16" t="str">
        <f aca="false">IF($A323="","",L323-R323)</f>
        <v/>
      </c>
      <c r="W323" s="16" t="str">
        <f aca="false">IF($A323="","",M323-S323)</f>
        <v/>
      </c>
      <c r="X323" s="16" t="str">
        <f aca="false">IF($A323="","",P323-T323)</f>
        <v/>
      </c>
      <c r="Y323" s="16" t="str">
        <f aca="false">IF($A323="","",Q323-U323)</f>
        <v/>
      </c>
      <c r="Z323" s="16" t="str">
        <f aca="false">IF($A323="","",V323+W323+X323)</f>
        <v/>
      </c>
      <c r="AA323" s="16" t="str">
        <f aca="false">IF($A323="","",O323+N(N323)-T323)</f>
        <v/>
      </c>
      <c r="AB323" s="8" t="str">
        <f aca="false">IF($A323="","","CL "&amp;V323&amp;" | SL "&amp;W323&amp;" | PL "&amp;X323&amp;" | TR "&amp;Y323)</f>
        <v/>
      </c>
      <c r="AC323" s="15" t="str">
        <f aca="false">IF($A323="","",IF(F323="Exited","EXITED",IF(AND(ISNUMBER(K323),K323=0),"NOT ELIGIBLE",IF(MIN(V323:X323)&lt;0,"OVER-USED",IF(Z323&lt;=Settings!$C$15,"LOW","OK")))))</f>
        <v/>
      </c>
      <c r="AD323" s="16" t="str">
        <f aca="false">IF(OR(AC323="OVER-USED",AC323="LOW"),COUNTIF(AC$6:AC323,"OVER-USED")+COUNTIF(AC$6:AC323,"LOW"),"")</f>
        <v/>
      </c>
    </row>
    <row r="324" customFormat="false" ht="15" hidden="false" customHeight="false" outlineLevel="0" collapsed="false">
      <c r="A324" s="8" t="str">
        <f aca="false">IF('Employee List'!B324="","",'Employee List'!B324)</f>
        <v/>
      </c>
      <c r="B324" s="8" t="str">
        <f aca="false">IF($A324="","",'Employee List'!C324)</f>
        <v/>
      </c>
      <c r="C324" s="8" t="str">
        <f aca="false">IF($A324="","",'Employee List'!E324&amp;"")</f>
        <v/>
      </c>
      <c r="D324" s="8" t="str">
        <f aca="false">IF($A324="","",'Employee List'!F324&amp;"")</f>
        <v/>
      </c>
      <c r="E324" s="8" t="str">
        <f aca="false">IF($A324="","",'Employee List'!G324&amp;"")</f>
        <v/>
      </c>
      <c r="F324" s="8" t="str">
        <f aca="false">IF($A324="","",'Employee List'!D324)</f>
        <v/>
      </c>
      <c r="G324" s="38" t="str">
        <f aca="false">IF($A324="","",IF('Employee List'!I324="","",'Employee List'!I324))</f>
        <v/>
      </c>
      <c r="H324" s="38" t="str">
        <f aca="false">IF(OR($A324="",G324=""),"",G324+Settings!$C$13)</f>
        <v/>
      </c>
      <c r="I324" s="38" t="str">
        <f aca="false">IF(H324="","",MAX(H324,DATE(LvYear,1,1)))</f>
        <v/>
      </c>
      <c r="J324" s="38" t="str">
        <f aca="false">IF($A324="","",IF('Employee List'!J324="",DATE(LvYear,12,31),MIN('Employee List'!J324,DATE(LvYear,12,31))))</f>
        <v/>
      </c>
      <c r="K324" s="39" t="str">
        <f aca="false">IF(OR(I324="",J324=""),"",MAX(0,J324-I324+1))</f>
        <v/>
      </c>
      <c r="L324" s="16" t="str">
        <f aca="false">IF($A324="","",IF(AND(ISNUMBER(K324),K324=0),0,Settings!$C$10))</f>
        <v/>
      </c>
      <c r="M324" s="16" t="str">
        <f aca="false">IF($A324="","",IF(AND(ISNUMBER(K324),K324=0),0,Settings!$C$11))</f>
        <v/>
      </c>
      <c r="N324" s="40"/>
      <c r="O324" s="16" t="str">
        <f aca="false">IF($A324="","",FLOOR(Settings!$C$12/365*N(K324),0.5))</f>
        <v/>
      </c>
      <c r="P324" s="16" t="str">
        <f aca="false">IF($A324="","",IF(I324="",N(N324),FLOOR(Settings!$C$12/365*MAX(0,MIN(LvAsOf,J324)-I324+1)+N(N324),0.5)))</f>
        <v/>
      </c>
      <c r="Q324" s="16" t="str">
        <f aca="false">IF($A324="","",Settings!$C$14)</f>
        <v/>
      </c>
      <c r="R324" s="16" t="str">
        <f aca="false">IF($A324="","",SUMIFS(Attendance!$AZ$6:$AZ$2405,Attendance!$B$6:$B$2405,$A324,Attendance!$A$6:$A$2405,"&gt;="&amp;DATE(LvYear,1,1),Attendance!$A$6:$A$2405,"&lt;="&amp;DATE(LvYear,12,31)))</f>
        <v/>
      </c>
      <c r="S324" s="16" t="str">
        <f aca="false">IF($A324="","",SUMIFS(Attendance!$AY$6:$AY$2405,Attendance!$B$6:$B$2405,$A324,Attendance!$A$6:$A$2405,"&gt;="&amp;DATE(LvYear,1,1),Attendance!$A$6:$A$2405,"&lt;="&amp;DATE(LvYear,12,31)))</f>
        <v/>
      </c>
      <c r="T324" s="16" t="str">
        <f aca="false">IF($A324="","",SUMIFS(Attendance!$AX$6:$AX$2405,Attendance!$B$6:$B$2405,$A324,Attendance!$A$6:$A$2405,"&gt;="&amp;DATE(LvYear,1,1),Attendance!$A$6:$A$2405,"&lt;="&amp;DATE(LvYear,12,31)))</f>
        <v/>
      </c>
      <c r="U324" s="16" t="str">
        <f aca="false">IF($A324="","",SUMIFS(Attendance!$AW$6:$AW$2405,Attendance!$B$6:$B$2405,$A324,Attendance!$A$6:$A$2405,"&gt;="&amp;DATE(LvYear,1,1),Attendance!$A$6:$A$2405,"&lt;="&amp;DATE(LvYear,12,31)))</f>
        <v/>
      </c>
      <c r="V324" s="16" t="str">
        <f aca="false">IF($A324="","",L324-R324)</f>
        <v/>
      </c>
      <c r="W324" s="16" t="str">
        <f aca="false">IF($A324="","",M324-S324)</f>
        <v/>
      </c>
      <c r="X324" s="16" t="str">
        <f aca="false">IF($A324="","",P324-T324)</f>
        <v/>
      </c>
      <c r="Y324" s="16" t="str">
        <f aca="false">IF($A324="","",Q324-U324)</f>
        <v/>
      </c>
      <c r="Z324" s="16" t="str">
        <f aca="false">IF($A324="","",V324+W324+X324)</f>
        <v/>
      </c>
      <c r="AA324" s="16" t="str">
        <f aca="false">IF($A324="","",O324+N(N324)-T324)</f>
        <v/>
      </c>
      <c r="AB324" s="8" t="str">
        <f aca="false">IF($A324="","","CL "&amp;V324&amp;" | SL "&amp;W324&amp;" | PL "&amp;X324&amp;" | TR "&amp;Y324)</f>
        <v/>
      </c>
      <c r="AC324" s="15" t="str">
        <f aca="false">IF($A324="","",IF(F324="Exited","EXITED",IF(AND(ISNUMBER(K324),K324=0),"NOT ELIGIBLE",IF(MIN(V324:X324)&lt;0,"OVER-USED",IF(Z324&lt;=Settings!$C$15,"LOW","OK")))))</f>
        <v/>
      </c>
      <c r="AD324" s="16" t="str">
        <f aca="false">IF(OR(AC324="OVER-USED",AC324="LOW"),COUNTIF(AC$6:AC324,"OVER-USED")+COUNTIF(AC$6:AC324,"LOW"),"")</f>
        <v/>
      </c>
    </row>
    <row r="325" customFormat="false" ht="15" hidden="false" customHeight="false" outlineLevel="0" collapsed="false">
      <c r="A325" s="8" t="str">
        <f aca="false">IF('Employee List'!B325="","",'Employee List'!B325)</f>
        <v/>
      </c>
      <c r="B325" s="8" t="str">
        <f aca="false">IF($A325="","",'Employee List'!C325)</f>
        <v/>
      </c>
      <c r="C325" s="8" t="str">
        <f aca="false">IF($A325="","",'Employee List'!E325&amp;"")</f>
        <v/>
      </c>
      <c r="D325" s="8" t="str">
        <f aca="false">IF($A325="","",'Employee List'!F325&amp;"")</f>
        <v/>
      </c>
      <c r="E325" s="8" t="str">
        <f aca="false">IF($A325="","",'Employee List'!G325&amp;"")</f>
        <v/>
      </c>
      <c r="F325" s="8" t="str">
        <f aca="false">IF($A325="","",'Employee List'!D325)</f>
        <v/>
      </c>
      <c r="G325" s="38" t="str">
        <f aca="false">IF($A325="","",IF('Employee List'!I325="","",'Employee List'!I325))</f>
        <v/>
      </c>
      <c r="H325" s="38" t="str">
        <f aca="false">IF(OR($A325="",G325=""),"",G325+Settings!$C$13)</f>
        <v/>
      </c>
      <c r="I325" s="38" t="str">
        <f aca="false">IF(H325="","",MAX(H325,DATE(LvYear,1,1)))</f>
        <v/>
      </c>
      <c r="J325" s="38" t="str">
        <f aca="false">IF($A325="","",IF('Employee List'!J325="",DATE(LvYear,12,31),MIN('Employee List'!J325,DATE(LvYear,12,31))))</f>
        <v/>
      </c>
      <c r="K325" s="39" t="str">
        <f aca="false">IF(OR(I325="",J325=""),"",MAX(0,J325-I325+1))</f>
        <v/>
      </c>
      <c r="L325" s="16" t="str">
        <f aca="false">IF($A325="","",IF(AND(ISNUMBER(K325),K325=0),0,Settings!$C$10))</f>
        <v/>
      </c>
      <c r="M325" s="16" t="str">
        <f aca="false">IF($A325="","",IF(AND(ISNUMBER(K325),K325=0),0,Settings!$C$11))</f>
        <v/>
      </c>
      <c r="N325" s="40"/>
      <c r="O325" s="16" t="str">
        <f aca="false">IF($A325="","",FLOOR(Settings!$C$12/365*N(K325),0.5))</f>
        <v/>
      </c>
      <c r="P325" s="16" t="str">
        <f aca="false">IF($A325="","",IF(I325="",N(N325),FLOOR(Settings!$C$12/365*MAX(0,MIN(LvAsOf,J325)-I325+1)+N(N325),0.5)))</f>
        <v/>
      </c>
      <c r="Q325" s="16" t="str">
        <f aca="false">IF($A325="","",Settings!$C$14)</f>
        <v/>
      </c>
      <c r="R325" s="16" t="str">
        <f aca="false">IF($A325="","",SUMIFS(Attendance!$AZ$6:$AZ$2405,Attendance!$B$6:$B$2405,$A325,Attendance!$A$6:$A$2405,"&gt;="&amp;DATE(LvYear,1,1),Attendance!$A$6:$A$2405,"&lt;="&amp;DATE(LvYear,12,31)))</f>
        <v/>
      </c>
      <c r="S325" s="16" t="str">
        <f aca="false">IF($A325="","",SUMIFS(Attendance!$AY$6:$AY$2405,Attendance!$B$6:$B$2405,$A325,Attendance!$A$6:$A$2405,"&gt;="&amp;DATE(LvYear,1,1),Attendance!$A$6:$A$2405,"&lt;="&amp;DATE(LvYear,12,31)))</f>
        <v/>
      </c>
      <c r="T325" s="16" t="str">
        <f aca="false">IF($A325="","",SUMIFS(Attendance!$AX$6:$AX$2405,Attendance!$B$6:$B$2405,$A325,Attendance!$A$6:$A$2405,"&gt;="&amp;DATE(LvYear,1,1),Attendance!$A$6:$A$2405,"&lt;="&amp;DATE(LvYear,12,31)))</f>
        <v/>
      </c>
      <c r="U325" s="16" t="str">
        <f aca="false">IF($A325="","",SUMIFS(Attendance!$AW$6:$AW$2405,Attendance!$B$6:$B$2405,$A325,Attendance!$A$6:$A$2405,"&gt;="&amp;DATE(LvYear,1,1),Attendance!$A$6:$A$2405,"&lt;="&amp;DATE(LvYear,12,31)))</f>
        <v/>
      </c>
      <c r="V325" s="16" t="str">
        <f aca="false">IF($A325="","",L325-R325)</f>
        <v/>
      </c>
      <c r="W325" s="16" t="str">
        <f aca="false">IF($A325="","",M325-S325)</f>
        <v/>
      </c>
      <c r="X325" s="16" t="str">
        <f aca="false">IF($A325="","",P325-T325)</f>
        <v/>
      </c>
      <c r="Y325" s="16" t="str">
        <f aca="false">IF($A325="","",Q325-U325)</f>
        <v/>
      </c>
      <c r="Z325" s="16" t="str">
        <f aca="false">IF($A325="","",V325+W325+X325)</f>
        <v/>
      </c>
      <c r="AA325" s="16" t="str">
        <f aca="false">IF($A325="","",O325+N(N325)-T325)</f>
        <v/>
      </c>
      <c r="AB325" s="8" t="str">
        <f aca="false">IF($A325="","","CL "&amp;V325&amp;" | SL "&amp;W325&amp;" | PL "&amp;X325&amp;" | TR "&amp;Y325)</f>
        <v/>
      </c>
      <c r="AC325" s="15" t="str">
        <f aca="false">IF($A325="","",IF(F325="Exited","EXITED",IF(AND(ISNUMBER(K325),K325=0),"NOT ELIGIBLE",IF(MIN(V325:X325)&lt;0,"OVER-USED",IF(Z325&lt;=Settings!$C$15,"LOW","OK")))))</f>
        <v/>
      </c>
      <c r="AD325" s="16" t="str">
        <f aca="false">IF(OR(AC325="OVER-USED",AC325="LOW"),COUNTIF(AC$6:AC325,"OVER-USED")+COUNTIF(AC$6:AC325,"LOW"),"")</f>
        <v/>
      </c>
    </row>
    <row r="326" customFormat="false" ht="15" hidden="false" customHeight="false" outlineLevel="0" collapsed="false">
      <c r="A326" s="8" t="str">
        <f aca="false">IF('Employee List'!B326="","",'Employee List'!B326)</f>
        <v/>
      </c>
      <c r="B326" s="8" t="str">
        <f aca="false">IF($A326="","",'Employee List'!C326)</f>
        <v/>
      </c>
      <c r="C326" s="8" t="str">
        <f aca="false">IF($A326="","",'Employee List'!E326&amp;"")</f>
        <v/>
      </c>
      <c r="D326" s="8" t="str">
        <f aca="false">IF($A326="","",'Employee List'!F326&amp;"")</f>
        <v/>
      </c>
      <c r="E326" s="8" t="str">
        <f aca="false">IF($A326="","",'Employee List'!G326&amp;"")</f>
        <v/>
      </c>
      <c r="F326" s="8" t="str">
        <f aca="false">IF($A326="","",'Employee List'!D326)</f>
        <v/>
      </c>
      <c r="G326" s="38" t="str">
        <f aca="false">IF($A326="","",IF('Employee List'!I326="","",'Employee List'!I326))</f>
        <v/>
      </c>
      <c r="H326" s="38" t="str">
        <f aca="false">IF(OR($A326="",G326=""),"",G326+Settings!$C$13)</f>
        <v/>
      </c>
      <c r="I326" s="38" t="str">
        <f aca="false">IF(H326="","",MAX(H326,DATE(LvYear,1,1)))</f>
        <v/>
      </c>
      <c r="J326" s="38" t="str">
        <f aca="false">IF($A326="","",IF('Employee List'!J326="",DATE(LvYear,12,31),MIN('Employee List'!J326,DATE(LvYear,12,31))))</f>
        <v/>
      </c>
      <c r="K326" s="39" t="str">
        <f aca="false">IF(OR(I326="",J326=""),"",MAX(0,J326-I326+1))</f>
        <v/>
      </c>
      <c r="L326" s="16" t="str">
        <f aca="false">IF($A326="","",IF(AND(ISNUMBER(K326),K326=0),0,Settings!$C$10))</f>
        <v/>
      </c>
      <c r="M326" s="16" t="str">
        <f aca="false">IF($A326="","",IF(AND(ISNUMBER(K326),K326=0),0,Settings!$C$11))</f>
        <v/>
      </c>
      <c r="N326" s="40"/>
      <c r="O326" s="16" t="str">
        <f aca="false">IF($A326="","",FLOOR(Settings!$C$12/365*N(K326),0.5))</f>
        <v/>
      </c>
      <c r="P326" s="16" t="str">
        <f aca="false">IF($A326="","",IF(I326="",N(N326),FLOOR(Settings!$C$12/365*MAX(0,MIN(LvAsOf,J326)-I326+1)+N(N326),0.5)))</f>
        <v/>
      </c>
      <c r="Q326" s="16" t="str">
        <f aca="false">IF($A326="","",Settings!$C$14)</f>
        <v/>
      </c>
      <c r="R326" s="16" t="str">
        <f aca="false">IF($A326="","",SUMIFS(Attendance!$AZ$6:$AZ$2405,Attendance!$B$6:$B$2405,$A326,Attendance!$A$6:$A$2405,"&gt;="&amp;DATE(LvYear,1,1),Attendance!$A$6:$A$2405,"&lt;="&amp;DATE(LvYear,12,31)))</f>
        <v/>
      </c>
      <c r="S326" s="16" t="str">
        <f aca="false">IF($A326="","",SUMIFS(Attendance!$AY$6:$AY$2405,Attendance!$B$6:$B$2405,$A326,Attendance!$A$6:$A$2405,"&gt;="&amp;DATE(LvYear,1,1),Attendance!$A$6:$A$2405,"&lt;="&amp;DATE(LvYear,12,31)))</f>
        <v/>
      </c>
      <c r="T326" s="16" t="str">
        <f aca="false">IF($A326="","",SUMIFS(Attendance!$AX$6:$AX$2405,Attendance!$B$6:$B$2405,$A326,Attendance!$A$6:$A$2405,"&gt;="&amp;DATE(LvYear,1,1),Attendance!$A$6:$A$2405,"&lt;="&amp;DATE(LvYear,12,31)))</f>
        <v/>
      </c>
      <c r="U326" s="16" t="str">
        <f aca="false">IF($A326="","",SUMIFS(Attendance!$AW$6:$AW$2405,Attendance!$B$6:$B$2405,$A326,Attendance!$A$6:$A$2405,"&gt;="&amp;DATE(LvYear,1,1),Attendance!$A$6:$A$2405,"&lt;="&amp;DATE(LvYear,12,31)))</f>
        <v/>
      </c>
      <c r="V326" s="16" t="str">
        <f aca="false">IF($A326="","",L326-R326)</f>
        <v/>
      </c>
      <c r="W326" s="16" t="str">
        <f aca="false">IF($A326="","",M326-S326)</f>
        <v/>
      </c>
      <c r="X326" s="16" t="str">
        <f aca="false">IF($A326="","",P326-T326)</f>
        <v/>
      </c>
      <c r="Y326" s="16" t="str">
        <f aca="false">IF($A326="","",Q326-U326)</f>
        <v/>
      </c>
      <c r="Z326" s="16" t="str">
        <f aca="false">IF($A326="","",V326+W326+X326)</f>
        <v/>
      </c>
      <c r="AA326" s="16" t="str">
        <f aca="false">IF($A326="","",O326+N(N326)-T326)</f>
        <v/>
      </c>
      <c r="AB326" s="8" t="str">
        <f aca="false">IF($A326="","","CL "&amp;V326&amp;" | SL "&amp;W326&amp;" | PL "&amp;X326&amp;" | TR "&amp;Y326)</f>
        <v/>
      </c>
      <c r="AC326" s="15" t="str">
        <f aca="false">IF($A326="","",IF(F326="Exited","EXITED",IF(AND(ISNUMBER(K326),K326=0),"NOT ELIGIBLE",IF(MIN(V326:X326)&lt;0,"OVER-USED",IF(Z326&lt;=Settings!$C$15,"LOW","OK")))))</f>
        <v/>
      </c>
      <c r="AD326" s="16" t="str">
        <f aca="false">IF(OR(AC326="OVER-USED",AC326="LOW"),COUNTIF(AC$6:AC326,"OVER-USED")+COUNTIF(AC$6:AC326,"LOW"),"")</f>
        <v/>
      </c>
    </row>
    <row r="327" customFormat="false" ht="15" hidden="false" customHeight="false" outlineLevel="0" collapsed="false">
      <c r="A327" s="8" t="str">
        <f aca="false">IF('Employee List'!B327="","",'Employee List'!B327)</f>
        <v/>
      </c>
      <c r="B327" s="8" t="str">
        <f aca="false">IF($A327="","",'Employee List'!C327)</f>
        <v/>
      </c>
      <c r="C327" s="8" t="str">
        <f aca="false">IF($A327="","",'Employee List'!E327&amp;"")</f>
        <v/>
      </c>
      <c r="D327" s="8" t="str">
        <f aca="false">IF($A327="","",'Employee List'!F327&amp;"")</f>
        <v/>
      </c>
      <c r="E327" s="8" t="str">
        <f aca="false">IF($A327="","",'Employee List'!G327&amp;"")</f>
        <v/>
      </c>
      <c r="F327" s="8" t="str">
        <f aca="false">IF($A327="","",'Employee List'!D327)</f>
        <v/>
      </c>
      <c r="G327" s="38" t="str">
        <f aca="false">IF($A327="","",IF('Employee List'!I327="","",'Employee List'!I327))</f>
        <v/>
      </c>
      <c r="H327" s="38" t="str">
        <f aca="false">IF(OR($A327="",G327=""),"",G327+Settings!$C$13)</f>
        <v/>
      </c>
      <c r="I327" s="38" t="str">
        <f aca="false">IF(H327="","",MAX(H327,DATE(LvYear,1,1)))</f>
        <v/>
      </c>
      <c r="J327" s="38" t="str">
        <f aca="false">IF($A327="","",IF('Employee List'!J327="",DATE(LvYear,12,31),MIN('Employee List'!J327,DATE(LvYear,12,31))))</f>
        <v/>
      </c>
      <c r="K327" s="39" t="str">
        <f aca="false">IF(OR(I327="",J327=""),"",MAX(0,J327-I327+1))</f>
        <v/>
      </c>
      <c r="L327" s="16" t="str">
        <f aca="false">IF($A327="","",IF(AND(ISNUMBER(K327),K327=0),0,Settings!$C$10))</f>
        <v/>
      </c>
      <c r="M327" s="16" t="str">
        <f aca="false">IF($A327="","",IF(AND(ISNUMBER(K327),K327=0),0,Settings!$C$11))</f>
        <v/>
      </c>
      <c r="N327" s="40"/>
      <c r="O327" s="16" t="str">
        <f aca="false">IF($A327="","",FLOOR(Settings!$C$12/365*N(K327),0.5))</f>
        <v/>
      </c>
      <c r="P327" s="16" t="str">
        <f aca="false">IF($A327="","",IF(I327="",N(N327),FLOOR(Settings!$C$12/365*MAX(0,MIN(LvAsOf,J327)-I327+1)+N(N327),0.5)))</f>
        <v/>
      </c>
      <c r="Q327" s="16" t="str">
        <f aca="false">IF($A327="","",Settings!$C$14)</f>
        <v/>
      </c>
      <c r="R327" s="16" t="str">
        <f aca="false">IF($A327="","",SUMIFS(Attendance!$AZ$6:$AZ$2405,Attendance!$B$6:$B$2405,$A327,Attendance!$A$6:$A$2405,"&gt;="&amp;DATE(LvYear,1,1),Attendance!$A$6:$A$2405,"&lt;="&amp;DATE(LvYear,12,31)))</f>
        <v/>
      </c>
      <c r="S327" s="16" t="str">
        <f aca="false">IF($A327="","",SUMIFS(Attendance!$AY$6:$AY$2405,Attendance!$B$6:$B$2405,$A327,Attendance!$A$6:$A$2405,"&gt;="&amp;DATE(LvYear,1,1),Attendance!$A$6:$A$2405,"&lt;="&amp;DATE(LvYear,12,31)))</f>
        <v/>
      </c>
      <c r="T327" s="16" t="str">
        <f aca="false">IF($A327="","",SUMIFS(Attendance!$AX$6:$AX$2405,Attendance!$B$6:$B$2405,$A327,Attendance!$A$6:$A$2405,"&gt;="&amp;DATE(LvYear,1,1),Attendance!$A$6:$A$2405,"&lt;="&amp;DATE(LvYear,12,31)))</f>
        <v/>
      </c>
      <c r="U327" s="16" t="str">
        <f aca="false">IF($A327="","",SUMIFS(Attendance!$AW$6:$AW$2405,Attendance!$B$6:$B$2405,$A327,Attendance!$A$6:$A$2405,"&gt;="&amp;DATE(LvYear,1,1),Attendance!$A$6:$A$2405,"&lt;="&amp;DATE(LvYear,12,31)))</f>
        <v/>
      </c>
      <c r="V327" s="16" t="str">
        <f aca="false">IF($A327="","",L327-R327)</f>
        <v/>
      </c>
      <c r="W327" s="16" t="str">
        <f aca="false">IF($A327="","",M327-S327)</f>
        <v/>
      </c>
      <c r="X327" s="16" t="str">
        <f aca="false">IF($A327="","",P327-T327)</f>
        <v/>
      </c>
      <c r="Y327" s="16" t="str">
        <f aca="false">IF($A327="","",Q327-U327)</f>
        <v/>
      </c>
      <c r="Z327" s="16" t="str">
        <f aca="false">IF($A327="","",V327+W327+X327)</f>
        <v/>
      </c>
      <c r="AA327" s="16" t="str">
        <f aca="false">IF($A327="","",O327+N(N327)-T327)</f>
        <v/>
      </c>
      <c r="AB327" s="8" t="str">
        <f aca="false">IF($A327="","","CL "&amp;V327&amp;" | SL "&amp;W327&amp;" | PL "&amp;X327&amp;" | TR "&amp;Y327)</f>
        <v/>
      </c>
      <c r="AC327" s="15" t="str">
        <f aca="false">IF($A327="","",IF(F327="Exited","EXITED",IF(AND(ISNUMBER(K327),K327=0),"NOT ELIGIBLE",IF(MIN(V327:X327)&lt;0,"OVER-USED",IF(Z327&lt;=Settings!$C$15,"LOW","OK")))))</f>
        <v/>
      </c>
      <c r="AD327" s="16" t="str">
        <f aca="false">IF(OR(AC327="OVER-USED",AC327="LOW"),COUNTIF(AC$6:AC327,"OVER-USED")+COUNTIF(AC$6:AC327,"LOW"),"")</f>
        <v/>
      </c>
    </row>
    <row r="328" customFormat="false" ht="15" hidden="false" customHeight="false" outlineLevel="0" collapsed="false">
      <c r="A328" s="8" t="str">
        <f aca="false">IF('Employee List'!B328="","",'Employee List'!B328)</f>
        <v/>
      </c>
      <c r="B328" s="8" t="str">
        <f aca="false">IF($A328="","",'Employee List'!C328)</f>
        <v/>
      </c>
      <c r="C328" s="8" t="str">
        <f aca="false">IF($A328="","",'Employee List'!E328&amp;"")</f>
        <v/>
      </c>
      <c r="D328" s="8" t="str">
        <f aca="false">IF($A328="","",'Employee List'!F328&amp;"")</f>
        <v/>
      </c>
      <c r="E328" s="8" t="str">
        <f aca="false">IF($A328="","",'Employee List'!G328&amp;"")</f>
        <v/>
      </c>
      <c r="F328" s="8" t="str">
        <f aca="false">IF($A328="","",'Employee List'!D328)</f>
        <v/>
      </c>
      <c r="G328" s="38" t="str">
        <f aca="false">IF($A328="","",IF('Employee List'!I328="","",'Employee List'!I328))</f>
        <v/>
      </c>
      <c r="H328" s="38" t="str">
        <f aca="false">IF(OR($A328="",G328=""),"",G328+Settings!$C$13)</f>
        <v/>
      </c>
      <c r="I328" s="38" t="str">
        <f aca="false">IF(H328="","",MAX(H328,DATE(LvYear,1,1)))</f>
        <v/>
      </c>
      <c r="J328" s="38" t="str">
        <f aca="false">IF($A328="","",IF('Employee List'!J328="",DATE(LvYear,12,31),MIN('Employee List'!J328,DATE(LvYear,12,31))))</f>
        <v/>
      </c>
      <c r="K328" s="39" t="str">
        <f aca="false">IF(OR(I328="",J328=""),"",MAX(0,J328-I328+1))</f>
        <v/>
      </c>
      <c r="L328" s="16" t="str">
        <f aca="false">IF($A328="","",IF(AND(ISNUMBER(K328),K328=0),0,Settings!$C$10))</f>
        <v/>
      </c>
      <c r="M328" s="16" t="str">
        <f aca="false">IF($A328="","",IF(AND(ISNUMBER(K328),K328=0),0,Settings!$C$11))</f>
        <v/>
      </c>
      <c r="N328" s="40"/>
      <c r="O328" s="16" t="str">
        <f aca="false">IF($A328="","",FLOOR(Settings!$C$12/365*N(K328),0.5))</f>
        <v/>
      </c>
      <c r="P328" s="16" t="str">
        <f aca="false">IF($A328="","",IF(I328="",N(N328),FLOOR(Settings!$C$12/365*MAX(0,MIN(LvAsOf,J328)-I328+1)+N(N328),0.5)))</f>
        <v/>
      </c>
      <c r="Q328" s="16" t="str">
        <f aca="false">IF($A328="","",Settings!$C$14)</f>
        <v/>
      </c>
      <c r="R328" s="16" t="str">
        <f aca="false">IF($A328="","",SUMIFS(Attendance!$AZ$6:$AZ$2405,Attendance!$B$6:$B$2405,$A328,Attendance!$A$6:$A$2405,"&gt;="&amp;DATE(LvYear,1,1),Attendance!$A$6:$A$2405,"&lt;="&amp;DATE(LvYear,12,31)))</f>
        <v/>
      </c>
      <c r="S328" s="16" t="str">
        <f aca="false">IF($A328="","",SUMIFS(Attendance!$AY$6:$AY$2405,Attendance!$B$6:$B$2405,$A328,Attendance!$A$6:$A$2405,"&gt;="&amp;DATE(LvYear,1,1),Attendance!$A$6:$A$2405,"&lt;="&amp;DATE(LvYear,12,31)))</f>
        <v/>
      </c>
      <c r="T328" s="16" t="str">
        <f aca="false">IF($A328="","",SUMIFS(Attendance!$AX$6:$AX$2405,Attendance!$B$6:$B$2405,$A328,Attendance!$A$6:$A$2405,"&gt;="&amp;DATE(LvYear,1,1),Attendance!$A$6:$A$2405,"&lt;="&amp;DATE(LvYear,12,31)))</f>
        <v/>
      </c>
      <c r="U328" s="16" t="str">
        <f aca="false">IF($A328="","",SUMIFS(Attendance!$AW$6:$AW$2405,Attendance!$B$6:$B$2405,$A328,Attendance!$A$6:$A$2405,"&gt;="&amp;DATE(LvYear,1,1),Attendance!$A$6:$A$2405,"&lt;="&amp;DATE(LvYear,12,31)))</f>
        <v/>
      </c>
      <c r="V328" s="16" t="str">
        <f aca="false">IF($A328="","",L328-R328)</f>
        <v/>
      </c>
      <c r="W328" s="16" t="str">
        <f aca="false">IF($A328="","",M328-S328)</f>
        <v/>
      </c>
      <c r="X328" s="16" t="str">
        <f aca="false">IF($A328="","",P328-T328)</f>
        <v/>
      </c>
      <c r="Y328" s="16" t="str">
        <f aca="false">IF($A328="","",Q328-U328)</f>
        <v/>
      </c>
      <c r="Z328" s="16" t="str">
        <f aca="false">IF($A328="","",V328+W328+X328)</f>
        <v/>
      </c>
      <c r="AA328" s="16" t="str">
        <f aca="false">IF($A328="","",O328+N(N328)-T328)</f>
        <v/>
      </c>
      <c r="AB328" s="8" t="str">
        <f aca="false">IF($A328="","","CL "&amp;V328&amp;" | SL "&amp;W328&amp;" | PL "&amp;X328&amp;" | TR "&amp;Y328)</f>
        <v/>
      </c>
      <c r="AC328" s="15" t="str">
        <f aca="false">IF($A328="","",IF(F328="Exited","EXITED",IF(AND(ISNUMBER(K328),K328=0),"NOT ELIGIBLE",IF(MIN(V328:X328)&lt;0,"OVER-USED",IF(Z328&lt;=Settings!$C$15,"LOW","OK")))))</f>
        <v/>
      </c>
      <c r="AD328" s="16" t="str">
        <f aca="false">IF(OR(AC328="OVER-USED",AC328="LOW"),COUNTIF(AC$6:AC328,"OVER-USED")+COUNTIF(AC$6:AC328,"LOW"),"")</f>
        <v/>
      </c>
    </row>
    <row r="329" customFormat="false" ht="15" hidden="false" customHeight="false" outlineLevel="0" collapsed="false">
      <c r="A329" s="8" t="str">
        <f aca="false">IF('Employee List'!B329="","",'Employee List'!B329)</f>
        <v/>
      </c>
      <c r="B329" s="8" t="str">
        <f aca="false">IF($A329="","",'Employee List'!C329)</f>
        <v/>
      </c>
      <c r="C329" s="8" t="str">
        <f aca="false">IF($A329="","",'Employee List'!E329&amp;"")</f>
        <v/>
      </c>
      <c r="D329" s="8" t="str">
        <f aca="false">IF($A329="","",'Employee List'!F329&amp;"")</f>
        <v/>
      </c>
      <c r="E329" s="8" t="str">
        <f aca="false">IF($A329="","",'Employee List'!G329&amp;"")</f>
        <v/>
      </c>
      <c r="F329" s="8" t="str">
        <f aca="false">IF($A329="","",'Employee List'!D329)</f>
        <v/>
      </c>
      <c r="G329" s="38" t="str">
        <f aca="false">IF($A329="","",IF('Employee List'!I329="","",'Employee List'!I329))</f>
        <v/>
      </c>
      <c r="H329" s="38" t="str">
        <f aca="false">IF(OR($A329="",G329=""),"",G329+Settings!$C$13)</f>
        <v/>
      </c>
      <c r="I329" s="38" t="str">
        <f aca="false">IF(H329="","",MAX(H329,DATE(LvYear,1,1)))</f>
        <v/>
      </c>
      <c r="J329" s="38" t="str">
        <f aca="false">IF($A329="","",IF('Employee List'!J329="",DATE(LvYear,12,31),MIN('Employee List'!J329,DATE(LvYear,12,31))))</f>
        <v/>
      </c>
      <c r="K329" s="39" t="str">
        <f aca="false">IF(OR(I329="",J329=""),"",MAX(0,J329-I329+1))</f>
        <v/>
      </c>
      <c r="L329" s="16" t="str">
        <f aca="false">IF($A329="","",IF(AND(ISNUMBER(K329),K329=0),0,Settings!$C$10))</f>
        <v/>
      </c>
      <c r="M329" s="16" t="str">
        <f aca="false">IF($A329="","",IF(AND(ISNUMBER(K329),K329=0),0,Settings!$C$11))</f>
        <v/>
      </c>
      <c r="N329" s="40"/>
      <c r="O329" s="16" t="str">
        <f aca="false">IF($A329="","",FLOOR(Settings!$C$12/365*N(K329),0.5))</f>
        <v/>
      </c>
      <c r="P329" s="16" t="str">
        <f aca="false">IF($A329="","",IF(I329="",N(N329),FLOOR(Settings!$C$12/365*MAX(0,MIN(LvAsOf,J329)-I329+1)+N(N329),0.5)))</f>
        <v/>
      </c>
      <c r="Q329" s="16" t="str">
        <f aca="false">IF($A329="","",Settings!$C$14)</f>
        <v/>
      </c>
      <c r="R329" s="16" t="str">
        <f aca="false">IF($A329="","",SUMIFS(Attendance!$AZ$6:$AZ$2405,Attendance!$B$6:$B$2405,$A329,Attendance!$A$6:$A$2405,"&gt;="&amp;DATE(LvYear,1,1),Attendance!$A$6:$A$2405,"&lt;="&amp;DATE(LvYear,12,31)))</f>
        <v/>
      </c>
      <c r="S329" s="16" t="str">
        <f aca="false">IF($A329="","",SUMIFS(Attendance!$AY$6:$AY$2405,Attendance!$B$6:$B$2405,$A329,Attendance!$A$6:$A$2405,"&gt;="&amp;DATE(LvYear,1,1),Attendance!$A$6:$A$2405,"&lt;="&amp;DATE(LvYear,12,31)))</f>
        <v/>
      </c>
      <c r="T329" s="16" t="str">
        <f aca="false">IF($A329="","",SUMIFS(Attendance!$AX$6:$AX$2405,Attendance!$B$6:$B$2405,$A329,Attendance!$A$6:$A$2405,"&gt;="&amp;DATE(LvYear,1,1),Attendance!$A$6:$A$2405,"&lt;="&amp;DATE(LvYear,12,31)))</f>
        <v/>
      </c>
      <c r="U329" s="16" t="str">
        <f aca="false">IF($A329="","",SUMIFS(Attendance!$AW$6:$AW$2405,Attendance!$B$6:$B$2405,$A329,Attendance!$A$6:$A$2405,"&gt;="&amp;DATE(LvYear,1,1),Attendance!$A$6:$A$2405,"&lt;="&amp;DATE(LvYear,12,31)))</f>
        <v/>
      </c>
      <c r="V329" s="16" t="str">
        <f aca="false">IF($A329="","",L329-R329)</f>
        <v/>
      </c>
      <c r="W329" s="16" t="str">
        <f aca="false">IF($A329="","",M329-S329)</f>
        <v/>
      </c>
      <c r="X329" s="16" t="str">
        <f aca="false">IF($A329="","",P329-T329)</f>
        <v/>
      </c>
      <c r="Y329" s="16" t="str">
        <f aca="false">IF($A329="","",Q329-U329)</f>
        <v/>
      </c>
      <c r="Z329" s="16" t="str">
        <f aca="false">IF($A329="","",V329+W329+X329)</f>
        <v/>
      </c>
      <c r="AA329" s="16" t="str">
        <f aca="false">IF($A329="","",O329+N(N329)-T329)</f>
        <v/>
      </c>
      <c r="AB329" s="8" t="str">
        <f aca="false">IF($A329="","","CL "&amp;V329&amp;" | SL "&amp;W329&amp;" | PL "&amp;X329&amp;" | TR "&amp;Y329)</f>
        <v/>
      </c>
      <c r="AC329" s="15" t="str">
        <f aca="false">IF($A329="","",IF(F329="Exited","EXITED",IF(AND(ISNUMBER(K329),K329=0),"NOT ELIGIBLE",IF(MIN(V329:X329)&lt;0,"OVER-USED",IF(Z329&lt;=Settings!$C$15,"LOW","OK")))))</f>
        <v/>
      </c>
      <c r="AD329" s="16" t="str">
        <f aca="false">IF(OR(AC329="OVER-USED",AC329="LOW"),COUNTIF(AC$6:AC329,"OVER-USED")+COUNTIF(AC$6:AC329,"LOW"),"")</f>
        <v/>
      </c>
    </row>
    <row r="330" customFormat="false" ht="15" hidden="false" customHeight="false" outlineLevel="0" collapsed="false">
      <c r="A330" s="8" t="str">
        <f aca="false">IF('Employee List'!B330="","",'Employee List'!B330)</f>
        <v/>
      </c>
      <c r="B330" s="8" t="str">
        <f aca="false">IF($A330="","",'Employee List'!C330)</f>
        <v/>
      </c>
      <c r="C330" s="8" t="str">
        <f aca="false">IF($A330="","",'Employee List'!E330&amp;"")</f>
        <v/>
      </c>
      <c r="D330" s="8" t="str">
        <f aca="false">IF($A330="","",'Employee List'!F330&amp;"")</f>
        <v/>
      </c>
      <c r="E330" s="8" t="str">
        <f aca="false">IF($A330="","",'Employee List'!G330&amp;"")</f>
        <v/>
      </c>
      <c r="F330" s="8" t="str">
        <f aca="false">IF($A330="","",'Employee List'!D330)</f>
        <v/>
      </c>
      <c r="G330" s="38" t="str">
        <f aca="false">IF($A330="","",IF('Employee List'!I330="","",'Employee List'!I330))</f>
        <v/>
      </c>
      <c r="H330" s="38" t="str">
        <f aca="false">IF(OR($A330="",G330=""),"",G330+Settings!$C$13)</f>
        <v/>
      </c>
      <c r="I330" s="38" t="str">
        <f aca="false">IF(H330="","",MAX(H330,DATE(LvYear,1,1)))</f>
        <v/>
      </c>
      <c r="J330" s="38" t="str">
        <f aca="false">IF($A330="","",IF('Employee List'!J330="",DATE(LvYear,12,31),MIN('Employee List'!J330,DATE(LvYear,12,31))))</f>
        <v/>
      </c>
      <c r="K330" s="39" t="str">
        <f aca="false">IF(OR(I330="",J330=""),"",MAX(0,J330-I330+1))</f>
        <v/>
      </c>
      <c r="L330" s="16" t="str">
        <f aca="false">IF($A330="","",IF(AND(ISNUMBER(K330),K330=0),0,Settings!$C$10))</f>
        <v/>
      </c>
      <c r="M330" s="16" t="str">
        <f aca="false">IF($A330="","",IF(AND(ISNUMBER(K330),K330=0),0,Settings!$C$11))</f>
        <v/>
      </c>
      <c r="N330" s="40"/>
      <c r="O330" s="16" t="str">
        <f aca="false">IF($A330="","",FLOOR(Settings!$C$12/365*N(K330),0.5))</f>
        <v/>
      </c>
      <c r="P330" s="16" t="str">
        <f aca="false">IF($A330="","",IF(I330="",N(N330),FLOOR(Settings!$C$12/365*MAX(0,MIN(LvAsOf,J330)-I330+1)+N(N330),0.5)))</f>
        <v/>
      </c>
      <c r="Q330" s="16" t="str">
        <f aca="false">IF($A330="","",Settings!$C$14)</f>
        <v/>
      </c>
      <c r="R330" s="16" t="str">
        <f aca="false">IF($A330="","",SUMIFS(Attendance!$AZ$6:$AZ$2405,Attendance!$B$6:$B$2405,$A330,Attendance!$A$6:$A$2405,"&gt;="&amp;DATE(LvYear,1,1),Attendance!$A$6:$A$2405,"&lt;="&amp;DATE(LvYear,12,31)))</f>
        <v/>
      </c>
      <c r="S330" s="16" t="str">
        <f aca="false">IF($A330="","",SUMIFS(Attendance!$AY$6:$AY$2405,Attendance!$B$6:$B$2405,$A330,Attendance!$A$6:$A$2405,"&gt;="&amp;DATE(LvYear,1,1),Attendance!$A$6:$A$2405,"&lt;="&amp;DATE(LvYear,12,31)))</f>
        <v/>
      </c>
      <c r="T330" s="16" t="str">
        <f aca="false">IF($A330="","",SUMIFS(Attendance!$AX$6:$AX$2405,Attendance!$B$6:$B$2405,$A330,Attendance!$A$6:$A$2405,"&gt;="&amp;DATE(LvYear,1,1),Attendance!$A$6:$A$2405,"&lt;="&amp;DATE(LvYear,12,31)))</f>
        <v/>
      </c>
      <c r="U330" s="16" t="str">
        <f aca="false">IF($A330="","",SUMIFS(Attendance!$AW$6:$AW$2405,Attendance!$B$6:$B$2405,$A330,Attendance!$A$6:$A$2405,"&gt;="&amp;DATE(LvYear,1,1),Attendance!$A$6:$A$2405,"&lt;="&amp;DATE(LvYear,12,31)))</f>
        <v/>
      </c>
      <c r="V330" s="16" t="str">
        <f aca="false">IF($A330="","",L330-R330)</f>
        <v/>
      </c>
      <c r="W330" s="16" t="str">
        <f aca="false">IF($A330="","",M330-S330)</f>
        <v/>
      </c>
      <c r="X330" s="16" t="str">
        <f aca="false">IF($A330="","",P330-T330)</f>
        <v/>
      </c>
      <c r="Y330" s="16" t="str">
        <f aca="false">IF($A330="","",Q330-U330)</f>
        <v/>
      </c>
      <c r="Z330" s="16" t="str">
        <f aca="false">IF($A330="","",V330+W330+X330)</f>
        <v/>
      </c>
      <c r="AA330" s="16" t="str">
        <f aca="false">IF($A330="","",O330+N(N330)-T330)</f>
        <v/>
      </c>
      <c r="AB330" s="8" t="str">
        <f aca="false">IF($A330="","","CL "&amp;V330&amp;" | SL "&amp;W330&amp;" | PL "&amp;X330&amp;" | TR "&amp;Y330)</f>
        <v/>
      </c>
      <c r="AC330" s="15" t="str">
        <f aca="false">IF($A330="","",IF(F330="Exited","EXITED",IF(AND(ISNUMBER(K330),K330=0),"NOT ELIGIBLE",IF(MIN(V330:X330)&lt;0,"OVER-USED",IF(Z330&lt;=Settings!$C$15,"LOW","OK")))))</f>
        <v/>
      </c>
      <c r="AD330" s="16" t="str">
        <f aca="false">IF(OR(AC330="OVER-USED",AC330="LOW"),COUNTIF(AC$6:AC330,"OVER-USED")+COUNTIF(AC$6:AC330,"LOW"),"")</f>
        <v/>
      </c>
    </row>
    <row r="331" customFormat="false" ht="15" hidden="false" customHeight="false" outlineLevel="0" collapsed="false">
      <c r="A331" s="8" t="str">
        <f aca="false">IF('Employee List'!B331="","",'Employee List'!B331)</f>
        <v/>
      </c>
      <c r="B331" s="8" t="str">
        <f aca="false">IF($A331="","",'Employee List'!C331)</f>
        <v/>
      </c>
      <c r="C331" s="8" t="str">
        <f aca="false">IF($A331="","",'Employee List'!E331&amp;"")</f>
        <v/>
      </c>
      <c r="D331" s="8" t="str">
        <f aca="false">IF($A331="","",'Employee List'!F331&amp;"")</f>
        <v/>
      </c>
      <c r="E331" s="8" t="str">
        <f aca="false">IF($A331="","",'Employee List'!G331&amp;"")</f>
        <v/>
      </c>
      <c r="F331" s="8" t="str">
        <f aca="false">IF($A331="","",'Employee List'!D331)</f>
        <v/>
      </c>
      <c r="G331" s="38" t="str">
        <f aca="false">IF($A331="","",IF('Employee List'!I331="","",'Employee List'!I331))</f>
        <v/>
      </c>
      <c r="H331" s="38" t="str">
        <f aca="false">IF(OR($A331="",G331=""),"",G331+Settings!$C$13)</f>
        <v/>
      </c>
      <c r="I331" s="38" t="str">
        <f aca="false">IF(H331="","",MAX(H331,DATE(LvYear,1,1)))</f>
        <v/>
      </c>
      <c r="J331" s="38" t="str">
        <f aca="false">IF($A331="","",IF('Employee List'!J331="",DATE(LvYear,12,31),MIN('Employee List'!J331,DATE(LvYear,12,31))))</f>
        <v/>
      </c>
      <c r="K331" s="39" t="str">
        <f aca="false">IF(OR(I331="",J331=""),"",MAX(0,J331-I331+1))</f>
        <v/>
      </c>
      <c r="L331" s="16" t="str">
        <f aca="false">IF($A331="","",IF(AND(ISNUMBER(K331),K331=0),0,Settings!$C$10))</f>
        <v/>
      </c>
      <c r="M331" s="16" t="str">
        <f aca="false">IF($A331="","",IF(AND(ISNUMBER(K331),K331=0),0,Settings!$C$11))</f>
        <v/>
      </c>
      <c r="N331" s="40"/>
      <c r="O331" s="16" t="str">
        <f aca="false">IF($A331="","",FLOOR(Settings!$C$12/365*N(K331),0.5))</f>
        <v/>
      </c>
      <c r="P331" s="16" t="str">
        <f aca="false">IF($A331="","",IF(I331="",N(N331),FLOOR(Settings!$C$12/365*MAX(0,MIN(LvAsOf,J331)-I331+1)+N(N331),0.5)))</f>
        <v/>
      </c>
      <c r="Q331" s="16" t="str">
        <f aca="false">IF($A331="","",Settings!$C$14)</f>
        <v/>
      </c>
      <c r="R331" s="16" t="str">
        <f aca="false">IF($A331="","",SUMIFS(Attendance!$AZ$6:$AZ$2405,Attendance!$B$6:$B$2405,$A331,Attendance!$A$6:$A$2405,"&gt;="&amp;DATE(LvYear,1,1),Attendance!$A$6:$A$2405,"&lt;="&amp;DATE(LvYear,12,31)))</f>
        <v/>
      </c>
      <c r="S331" s="16" t="str">
        <f aca="false">IF($A331="","",SUMIFS(Attendance!$AY$6:$AY$2405,Attendance!$B$6:$B$2405,$A331,Attendance!$A$6:$A$2405,"&gt;="&amp;DATE(LvYear,1,1),Attendance!$A$6:$A$2405,"&lt;="&amp;DATE(LvYear,12,31)))</f>
        <v/>
      </c>
      <c r="T331" s="16" t="str">
        <f aca="false">IF($A331="","",SUMIFS(Attendance!$AX$6:$AX$2405,Attendance!$B$6:$B$2405,$A331,Attendance!$A$6:$A$2405,"&gt;="&amp;DATE(LvYear,1,1),Attendance!$A$6:$A$2405,"&lt;="&amp;DATE(LvYear,12,31)))</f>
        <v/>
      </c>
      <c r="U331" s="16" t="str">
        <f aca="false">IF($A331="","",SUMIFS(Attendance!$AW$6:$AW$2405,Attendance!$B$6:$B$2405,$A331,Attendance!$A$6:$A$2405,"&gt;="&amp;DATE(LvYear,1,1),Attendance!$A$6:$A$2405,"&lt;="&amp;DATE(LvYear,12,31)))</f>
        <v/>
      </c>
      <c r="V331" s="16" t="str">
        <f aca="false">IF($A331="","",L331-R331)</f>
        <v/>
      </c>
      <c r="W331" s="16" t="str">
        <f aca="false">IF($A331="","",M331-S331)</f>
        <v/>
      </c>
      <c r="X331" s="16" t="str">
        <f aca="false">IF($A331="","",P331-T331)</f>
        <v/>
      </c>
      <c r="Y331" s="16" t="str">
        <f aca="false">IF($A331="","",Q331-U331)</f>
        <v/>
      </c>
      <c r="Z331" s="16" t="str">
        <f aca="false">IF($A331="","",V331+W331+X331)</f>
        <v/>
      </c>
      <c r="AA331" s="16" t="str">
        <f aca="false">IF($A331="","",O331+N(N331)-T331)</f>
        <v/>
      </c>
      <c r="AB331" s="8" t="str">
        <f aca="false">IF($A331="","","CL "&amp;V331&amp;" | SL "&amp;W331&amp;" | PL "&amp;X331&amp;" | TR "&amp;Y331)</f>
        <v/>
      </c>
      <c r="AC331" s="15" t="str">
        <f aca="false">IF($A331="","",IF(F331="Exited","EXITED",IF(AND(ISNUMBER(K331),K331=0),"NOT ELIGIBLE",IF(MIN(V331:X331)&lt;0,"OVER-USED",IF(Z331&lt;=Settings!$C$15,"LOW","OK")))))</f>
        <v/>
      </c>
      <c r="AD331" s="16" t="str">
        <f aca="false">IF(OR(AC331="OVER-USED",AC331="LOW"),COUNTIF(AC$6:AC331,"OVER-USED")+COUNTIF(AC$6:AC331,"LOW"),"")</f>
        <v/>
      </c>
    </row>
    <row r="332" customFormat="false" ht="15" hidden="false" customHeight="false" outlineLevel="0" collapsed="false">
      <c r="A332" s="8" t="str">
        <f aca="false">IF('Employee List'!B332="","",'Employee List'!B332)</f>
        <v/>
      </c>
      <c r="B332" s="8" t="str">
        <f aca="false">IF($A332="","",'Employee List'!C332)</f>
        <v/>
      </c>
      <c r="C332" s="8" t="str">
        <f aca="false">IF($A332="","",'Employee List'!E332&amp;"")</f>
        <v/>
      </c>
      <c r="D332" s="8" t="str">
        <f aca="false">IF($A332="","",'Employee List'!F332&amp;"")</f>
        <v/>
      </c>
      <c r="E332" s="8" t="str">
        <f aca="false">IF($A332="","",'Employee List'!G332&amp;"")</f>
        <v/>
      </c>
      <c r="F332" s="8" t="str">
        <f aca="false">IF($A332="","",'Employee List'!D332)</f>
        <v/>
      </c>
      <c r="G332" s="38" t="str">
        <f aca="false">IF($A332="","",IF('Employee List'!I332="","",'Employee List'!I332))</f>
        <v/>
      </c>
      <c r="H332" s="38" t="str">
        <f aca="false">IF(OR($A332="",G332=""),"",G332+Settings!$C$13)</f>
        <v/>
      </c>
      <c r="I332" s="38" t="str">
        <f aca="false">IF(H332="","",MAX(H332,DATE(LvYear,1,1)))</f>
        <v/>
      </c>
      <c r="J332" s="38" t="str">
        <f aca="false">IF($A332="","",IF('Employee List'!J332="",DATE(LvYear,12,31),MIN('Employee List'!J332,DATE(LvYear,12,31))))</f>
        <v/>
      </c>
      <c r="K332" s="39" t="str">
        <f aca="false">IF(OR(I332="",J332=""),"",MAX(0,J332-I332+1))</f>
        <v/>
      </c>
      <c r="L332" s="16" t="str">
        <f aca="false">IF($A332="","",IF(AND(ISNUMBER(K332),K332=0),0,Settings!$C$10))</f>
        <v/>
      </c>
      <c r="M332" s="16" t="str">
        <f aca="false">IF($A332="","",IF(AND(ISNUMBER(K332),K332=0),0,Settings!$C$11))</f>
        <v/>
      </c>
      <c r="N332" s="40"/>
      <c r="O332" s="16" t="str">
        <f aca="false">IF($A332="","",FLOOR(Settings!$C$12/365*N(K332),0.5))</f>
        <v/>
      </c>
      <c r="P332" s="16" t="str">
        <f aca="false">IF($A332="","",IF(I332="",N(N332),FLOOR(Settings!$C$12/365*MAX(0,MIN(LvAsOf,J332)-I332+1)+N(N332),0.5)))</f>
        <v/>
      </c>
      <c r="Q332" s="16" t="str">
        <f aca="false">IF($A332="","",Settings!$C$14)</f>
        <v/>
      </c>
      <c r="R332" s="16" t="str">
        <f aca="false">IF($A332="","",SUMIFS(Attendance!$AZ$6:$AZ$2405,Attendance!$B$6:$B$2405,$A332,Attendance!$A$6:$A$2405,"&gt;="&amp;DATE(LvYear,1,1),Attendance!$A$6:$A$2405,"&lt;="&amp;DATE(LvYear,12,31)))</f>
        <v/>
      </c>
      <c r="S332" s="16" t="str">
        <f aca="false">IF($A332="","",SUMIFS(Attendance!$AY$6:$AY$2405,Attendance!$B$6:$B$2405,$A332,Attendance!$A$6:$A$2405,"&gt;="&amp;DATE(LvYear,1,1),Attendance!$A$6:$A$2405,"&lt;="&amp;DATE(LvYear,12,31)))</f>
        <v/>
      </c>
      <c r="T332" s="16" t="str">
        <f aca="false">IF($A332="","",SUMIFS(Attendance!$AX$6:$AX$2405,Attendance!$B$6:$B$2405,$A332,Attendance!$A$6:$A$2405,"&gt;="&amp;DATE(LvYear,1,1),Attendance!$A$6:$A$2405,"&lt;="&amp;DATE(LvYear,12,31)))</f>
        <v/>
      </c>
      <c r="U332" s="16" t="str">
        <f aca="false">IF($A332="","",SUMIFS(Attendance!$AW$6:$AW$2405,Attendance!$B$6:$B$2405,$A332,Attendance!$A$6:$A$2405,"&gt;="&amp;DATE(LvYear,1,1),Attendance!$A$6:$A$2405,"&lt;="&amp;DATE(LvYear,12,31)))</f>
        <v/>
      </c>
      <c r="V332" s="16" t="str">
        <f aca="false">IF($A332="","",L332-R332)</f>
        <v/>
      </c>
      <c r="W332" s="16" t="str">
        <f aca="false">IF($A332="","",M332-S332)</f>
        <v/>
      </c>
      <c r="X332" s="16" t="str">
        <f aca="false">IF($A332="","",P332-T332)</f>
        <v/>
      </c>
      <c r="Y332" s="16" t="str">
        <f aca="false">IF($A332="","",Q332-U332)</f>
        <v/>
      </c>
      <c r="Z332" s="16" t="str">
        <f aca="false">IF($A332="","",V332+W332+X332)</f>
        <v/>
      </c>
      <c r="AA332" s="16" t="str">
        <f aca="false">IF($A332="","",O332+N(N332)-T332)</f>
        <v/>
      </c>
      <c r="AB332" s="8" t="str">
        <f aca="false">IF($A332="","","CL "&amp;V332&amp;" | SL "&amp;W332&amp;" | PL "&amp;X332&amp;" | TR "&amp;Y332)</f>
        <v/>
      </c>
      <c r="AC332" s="15" t="str">
        <f aca="false">IF($A332="","",IF(F332="Exited","EXITED",IF(AND(ISNUMBER(K332),K332=0),"NOT ELIGIBLE",IF(MIN(V332:X332)&lt;0,"OVER-USED",IF(Z332&lt;=Settings!$C$15,"LOW","OK")))))</f>
        <v/>
      </c>
      <c r="AD332" s="16" t="str">
        <f aca="false">IF(OR(AC332="OVER-USED",AC332="LOW"),COUNTIF(AC$6:AC332,"OVER-USED")+COUNTIF(AC$6:AC332,"LOW"),"")</f>
        <v/>
      </c>
    </row>
    <row r="333" customFormat="false" ht="15" hidden="false" customHeight="false" outlineLevel="0" collapsed="false">
      <c r="A333" s="8" t="str">
        <f aca="false">IF('Employee List'!B333="","",'Employee List'!B333)</f>
        <v/>
      </c>
      <c r="B333" s="8" t="str">
        <f aca="false">IF($A333="","",'Employee List'!C333)</f>
        <v/>
      </c>
      <c r="C333" s="8" t="str">
        <f aca="false">IF($A333="","",'Employee List'!E333&amp;"")</f>
        <v/>
      </c>
      <c r="D333" s="8" t="str">
        <f aca="false">IF($A333="","",'Employee List'!F333&amp;"")</f>
        <v/>
      </c>
      <c r="E333" s="8" t="str">
        <f aca="false">IF($A333="","",'Employee List'!G333&amp;"")</f>
        <v/>
      </c>
      <c r="F333" s="8" t="str">
        <f aca="false">IF($A333="","",'Employee List'!D333)</f>
        <v/>
      </c>
      <c r="G333" s="38" t="str">
        <f aca="false">IF($A333="","",IF('Employee List'!I333="","",'Employee List'!I333))</f>
        <v/>
      </c>
      <c r="H333" s="38" t="str">
        <f aca="false">IF(OR($A333="",G333=""),"",G333+Settings!$C$13)</f>
        <v/>
      </c>
      <c r="I333" s="38" t="str">
        <f aca="false">IF(H333="","",MAX(H333,DATE(LvYear,1,1)))</f>
        <v/>
      </c>
      <c r="J333" s="38" t="str">
        <f aca="false">IF($A333="","",IF('Employee List'!J333="",DATE(LvYear,12,31),MIN('Employee List'!J333,DATE(LvYear,12,31))))</f>
        <v/>
      </c>
      <c r="K333" s="39" t="str">
        <f aca="false">IF(OR(I333="",J333=""),"",MAX(0,J333-I333+1))</f>
        <v/>
      </c>
      <c r="L333" s="16" t="str">
        <f aca="false">IF($A333="","",IF(AND(ISNUMBER(K333),K333=0),0,Settings!$C$10))</f>
        <v/>
      </c>
      <c r="M333" s="16" t="str">
        <f aca="false">IF($A333="","",IF(AND(ISNUMBER(K333),K333=0),0,Settings!$C$11))</f>
        <v/>
      </c>
      <c r="N333" s="40"/>
      <c r="O333" s="16" t="str">
        <f aca="false">IF($A333="","",FLOOR(Settings!$C$12/365*N(K333),0.5))</f>
        <v/>
      </c>
      <c r="P333" s="16" t="str">
        <f aca="false">IF($A333="","",IF(I333="",N(N333),FLOOR(Settings!$C$12/365*MAX(0,MIN(LvAsOf,J333)-I333+1)+N(N333),0.5)))</f>
        <v/>
      </c>
      <c r="Q333" s="16" t="str">
        <f aca="false">IF($A333="","",Settings!$C$14)</f>
        <v/>
      </c>
      <c r="R333" s="16" t="str">
        <f aca="false">IF($A333="","",SUMIFS(Attendance!$AZ$6:$AZ$2405,Attendance!$B$6:$B$2405,$A333,Attendance!$A$6:$A$2405,"&gt;="&amp;DATE(LvYear,1,1),Attendance!$A$6:$A$2405,"&lt;="&amp;DATE(LvYear,12,31)))</f>
        <v/>
      </c>
      <c r="S333" s="16" t="str">
        <f aca="false">IF($A333="","",SUMIFS(Attendance!$AY$6:$AY$2405,Attendance!$B$6:$B$2405,$A333,Attendance!$A$6:$A$2405,"&gt;="&amp;DATE(LvYear,1,1),Attendance!$A$6:$A$2405,"&lt;="&amp;DATE(LvYear,12,31)))</f>
        <v/>
      </c>
      <c r="T333" s="16" t="str">
        <f aca="false">IF($A333="","",SUMIFS(Attendance!$AX$6:$AX$2405,Attendance!$B$6:$B$2405,$A333,Attendance!$A$6:$A$2405,"&gt;="&amp;DATE(LvYear,1,1),Attendance!$A$6:$A$2405,"&lt;="&amp;DATE(LvYear,12,31)))</f>
        <v/>
      </c>
      <c r="U333" s="16" t="str">
        <f aca="false">IF($A333="","",SUMIFS(Attendance!$AW$6:$AW$2405,Attendance!$B$6:$B$2405,$A333,Attendance!$A$6:$A$2405,"&gt;="&amp;DATE(LvYear,1,1),Attendance!$A$6:$A$2405,"&lt;="&amp;DATE(LvYear,12,31)))</f>
        <v/>
      </c>
      <c r="V333" s="16" t="str">
        <f aca="false">IF($A333="","",L333-R333)</f>
        <v/>
      </c>
      <c r="W333" s="16" t="str">
        <f aca="false">IF($A333="","",M333-S333)</f>
        <v/>
      </c>
      <c r="X333" s="16" t="str">
        <f aca="false">IF($A333="","",P333-T333)</f>
        <v/>
      </c>
      <c r="Y333" s="16" t="str">
        <f aca="false">IF($A333="","",Q333-U333)</f>
        <v/>
      </c>
      <c r="Z333" s="16" t="str">
        <f aca="false">IF($A333="","",V333+W333+X333)</f>
        <v/>
      </c>
      <c r="AA333" s="16" t="str">
        <f aca="false">IF($A333="","",O333+N(N333)-T333)</f>
        <v/>
      </c>
      <c r="AB333" s="8" t="str">
        <f aca="false">IF($A333="","","CL "&amp;V333&amp;" | SL "&amp;W333&amp;" | PL "&amp;X333&amp;" | TR "&amp;Y333)</f>
        <v/>
      </c>
      <c r="AC333" s="15" t="str">
        <f aca="false">IF($A333="","",IF(F333="Exited","EXITED",IF(AND(ISNUMBER(K333),K333=0),"NOT ELIGIBLE",IF(MIN(V333:X333)&lt;0,"OVER-USED",IF(Z333&lt;=Settings!$C$15,"LOW","OK")))))</f>
        <v/>
      </c>
      <c r="AD333" s="16" t="str">
        <f aca="false">IF(OR(AC333="OVER-USED",AC333="LOW"),COUNTIF(AC$6:AC333,"OVER-USED")+COUNTIF(AC$6:AC333,"LOW"),"")</f>
        <v/>
      </c>
    </row>
    <row r="334" customFormat="false" ht="15" hidden="false" customHeight="false" outlineLevel="0" collapsed="false">
      <c r="A334" s="8" t="str">
        <f aca="false">IF('Employee List'!B334="","",'Employee List'!B334)</f>
        <v/>
      </c>
      <c r="B334" s="8" t="str">
        <f aca="false">IF($A334="","",'Employee List'!C334)</f>
        <v/>
      </c>
      <c r="C334" s="8" t="str">
        <f aca="false">IF($A334="","",'Employee List'!E334&amp;"")</f>
        <v/>
      </c>
      <c r="D334" s="8" t="str">
        <f aca="false">IF($A334="","",'Employee List'!F334&amp;"")</f>
        <v/>
      </c>
      <c r="E334" s="8" t="str">
        <f aca="false">IF($A334="","",'Employee List'!G334&amp;"")</f>
        <v/>
      </c>
      <c r="F334" s="8" t="str">
        <f aca="false">IF($A334="","",'Employee List'!D334)</f>
        <v/>
      </c>
      <c r="G334" s="38" t="str">
        <f aca="false">IF($A334="","",IF('Employee List'!I334="","",'Employee List'!I334))</f>
        <v/>
      </c>
      <c r="H334" s="38" t="str">
        <f aca="false">IF(OR($A334="",G334=""),"",G334+Settings!$C$13)</f>
        <v/>
      </c>
      <c r="I334" s="38" t="str">
        <f aca="false">IF(H334="","",MAX(H334,DATE(LvYear,1,1)))</f>
        <v/>
      </c>
      <c r="J334" s="38" t="str">
        <f aca="false">IF($A334="","",IF('Employee List'!J334="",DATE(LvYear,12,31),MIN('Employee List'!J334,DATE(LvYear,12,31))))</f>
        <v/>
      </c>
      <c r="K334" s="39" t="str">
        <f aca="false">IF(OR(I334="",J334=""),"",MAX(0,J334-I334+1))</f>
        <v/>
      </c>
      <c r="L334" s="16" t="str">
        <f aca="false">IF($A334="","",IF(AND(ISNUMBER(K334),K334=0),0,Settings!$C$10))</f>
        <v/>
      </c>
      <c r="M334" s="16" t="str">
        <f aca="false">IF($A334="","",IF(AND(ISNUMBER(K334),K334=0),0,Settings!$C$11))</f>
        <v/>
      </c>
      <c r="N334" s="40"/>
      <c r="O334" s="16" t="str">
        <f aca="false">IF($A334="","",FLOOR(Settings!$C$12/365*N(K334),0.5))</f>
        <v/>
      </c>
      <c r="P334" s="16" t="str">
        <f aca="false">IF($A334="","",IF(I334="",N(N334),FLOOR(Settings!$C$12/365*MAX(0,MIN(LvAsOf,J334)-I334+1)+N(N334),0.5)))</f>
        <v/>
      </c>
      <c r="Q334" s="16" t="str">
        <f aca="false">IF($A334="","",Settings!$C$14)</f>
        <v/>
      </c>
      <c r="R334" s="16" t="str">
        <f aca="false">IF($A334="","",SUMIFS(Attendance!$AZ$6:$AZ$2405,Attendance!$B$6:$B$2405,$A334,Attendance!$A$6:$A$2405,"&gt;="&amp;DATE(LvYear,1,1),Attendance!$A$6:$A$2405,"&lt;="&amp;DATE(LvYear,12,31)))</f>
        <v/>
      </c>
      <c r="S334" s="16" t="str">
        <f aca="false">IF($A334="","",SUMIFS(Attendance!$AY$6:$AY$2405,Attendance!$B$6:$B$2405,$A334,Attendance!$A$6:$A$2405,"&gt;="&amp;DATE(LvYear,1,1),Attendance!$A$6:$A$2405,"&lt;="&amp;DATE(LvYear,12,31)))</f>
        <v/>
      </c>
      <c r="T334" s="16" t="str">
        <f aca="false">IF($A334="","",SUMIFS(Attendance!$AX$6:$AX$2405,Attendance!$B$6:$B$2405,$A334,Attendance!$A$6:$A$2405,"&gt;="&amp;DATE(LvYear,1,1),Attendance!$A$6:$A$2405,"&lt;="&amp;DATE(LvYear,12,31)))</f>
        <v/>
      </c>
      <c r="U334" s="16" t="str">
        <f aca="false">IF($A334="","",SUMIFS(Attendance!$AW$6:$AW$2405,Attendance!$B$6:$B$2405,$A334,Attendance!$A$6:$A$2405,"&gt;="&amp;DATE(LvYear,1,1),Attendance!$A$6:$A$2405,"&lt;="&amp;DATE(LvYear,12,31)))</f>
        <v/>
      </c>
      <c r="V334" s="16" t="str">
        <f aca="false">IF($A334="","",L334-R334)</f>
        <v/>
      </c>
      <c r="W334" s="16" t="str">
        <f aca="false">IF($A334="","",M334-S334)</f>
        <v/>
      </c>
      <c r="X334" s="16" t="str">
        <f aca="false">IF($A334="","",P334-T334)</f>
        <v/>
      </c>
      <c r="Y334" s="16" t="str">
        <f aca="false">IF($A334="","",Q334-U334)</f>
        <v/>
      </c>
      <c r="Z334" s="16" t="str">
        <f aca="false">IF($A334="","",V334+W334+X334)</f>
        <v/>
      </c>
      <c r="AA334" s="16" t="str">
        <f aca="false">IF($A334="","",O334+N(N334)-T334)</f>
        <v/>
      </c>
      <c r="AB334" s="8" t="str">
        <f aca="false">IF($A334="","","CL "&amp;V334&amp;" | SL "&amp;W334&amp;" | PL "&amp;X334&amp;" | TR "&amp;Y334)</f>
        <v/>
      </c>
      <c r="AC334" s="15" t="str">
        <f aca="false">IF($A334="","",IF(F334="Exited","EXITED",IF(AND(ISNUMBER(K334),K334=0),"NOT ELIGIBLE",IF(MIN(V334:X334)&lt;0,"OVER-USED",IF(Z334&lt;=Settings!$C$15,"LOW","OK")))))</f>
        <v/>
      </c>
      <c r="AD334" s="16" t="str">
        <f aca="false">IF(OR(AC334="OVER-USED",AC334="LOW"),COUNTIF(AC$6:AC334,"OVER-USED")+COUNTIF(AC$6:AC334,"LOW"),"")</f>
        <v/>
      </c>
    </row>
    <row r="335" customFormat="false" ht="15" hidden="false" customHeight="false" outlineLevel="0" collapsed="false">
      <c r="A335" s="8" t="str">
        <f aca="false">IF('Employee List'!B335="","",'Employee List'!B335)</f>
        <v/>
      </c>
      <c r="B335" s="8" t="str">
        <f aca="false">IF($A335="","",'Employee List'!C335)</f>
        <v/>
      </c>
      <c r="C335" s="8" t="str">
        <f aca="false">IF($A335="","",'Employee List'!E335&amp;"")</f>
        <v/>
      </c>
      <c r="D335" s="8" t="str">
        <f aca="false">IF($A335="","",'Employee List'!F335&amp;"")</f>
        <v/>
      </c>
      <c r="E335" s="8" t="str">
        <f aca="false">IF($A335="","",'Employee List'!G335&amp;"")</f>
        <v/>
      </c>
      <c r="F335" s="8" t="str">
        <f aca="false">IF($A335="","",'Employee List'!D335)</f>
        <v/>
      </c>
      <c r="G335" s="38" t="str">
        <f aca="false">IF($A335="","",IF('Employee List'!I335="","",'Employee List'!I335))</f>
        <v/>
      </c>
      <c r="H335" s="38" t="str">
        <f aca="false">IF(OR($A335="",G335=""),"",G335+Settings!$C$13)</f>
        <v/>
      </c>
      <c r="I335" s="38" t="str">
        <f aca="false">IF(H335="","",MAX(H335,DATE(LvYear,1,1)))</f>
        <v/>
      </c>
      <c r="J335" s="38" t="str">
        <f aca="false">IF($A335="","",IF('Employee List'!J335="",DATE(LvYear,12,31),MIN('Employee List'!J335,DATE(LvYear,12,31))))</f>
        <v/>
      </c>
      <c r="K335" s="39" t="str">
        <f aca="false">IF(OR(I335="",J335=""),"",MAX(0,J335-I335+1))</f>
        <v/>
      </c>
      <c r="L335" s="16" t="str">
        <f aca="false">IF($A335="","",IF(AND(ISNUMBER(K335),K335=0),0,Settings!$C$10))</f>
        <v/>
      </c>
      <c r="M335" s="16" t="str">
        <f aca="false">IF($A335="","",IF(AND(ISNUMBER(K335),K335=0),0,Settings!$C$11))</f>
        <v/>
      </c>
      <c r="N335" s="40"/>
      <c r="O335" s="16" t="str">
        <f aca="false">IF($A335="","",FLOOR(Settings!$C$12/365*N(K335),0.5))</f>
        <v/>
      </c>
      <c r="P335" s="16" t="str">
        <f aca="false">IF($A335="","",IF(I335="",N(N335),FLOOR(Settings!$C$12/365*MAX(0,MIN(LvAsOf,J335)-I335+1)+N(N335),0.5)))</f>
        <v/>
      </c>
      <c r="Q335" s="16" t="str">
        <f aca="false">IF($A335="","",Settings!$C$14)</f>
        <v/>
      </c>
      <c r="R335" s="16" t="str">
        <f aca="false">IF($A335="","",SUMIFS(Attendance!$AZ$6:$AZ$2405,Attendance!$B$6:$B$2405,$A335,Attendance!$A$6:$A$2405,"&gt;="&amp;DATE(LvYear,1,1),Attendance!$A$6:$A$2405,"&lt;="&amp;DATE(LvYear,12,31)))</f>
        <v/>
      </c>
      <c r="S335" s="16" t="str">
        <f aca="false">IF($A335="","",SUMIFS(Attendance!$AY$6:$AY$2405,Attendance!$B$6:$B$2405,$A335,Attendance!$A$6:$A$2405,"&gt;="&amp;DATE(LvYear,1,1),Attendance!$A$6:$A$2405,"&lt;="&amp;DATE(LvYear,12,31)))</f>
        <v/>
      </c>
      <c r="T335" s="16" t="str">
        <f aca="false">IF($A335="","",SUMIFS(Attendance!$AX$6:$AX$2405,Attendance!$B$6:$B$2405,$A335,Attendance!$A$6:$A$2405,"&gt;="&amp;DATE(LvYear,1,1),Attendance!$A$6:$A$2405,"&lt;="&amp;DATE(LvYear,12,31)))</f>
        <v/>
      </c>
      <c r="U335" s="16" t="str">
        <f aca="false">IF($A335="","",SUMIFS(Attendance!$AW$6:$AW$2405,Attendance!$B$6:$B$2405,$A335,Attendance!$A$6:$A$2405,"&gt;="&amp;DATE(LvYear,1,1),Attendance!$A$6:$A$2405,"&lt;="&amp;DATE(LvYear,12,31)))</f>
        <v/>
      </c>
      <c r="V335" s="16" t="str">
        <f aca="false">IF($A335="","",L335-R335)</f>
        <v/>
      </c>
      <c r="W335" s="16" t="str">
        <f aca="false">IF($A335="","",M335-S335)</f>
        <v/>
      </c>
      <c r="X335" s="16" t="str">
        <f aca="false">IF($A335="","",P335-T335)</f>
        <v/>
      </c>
      <c r="Y335" s="16" t="str">
        <f aca="false">IF($A335="","",Q335-U335)</f>
        <v/>
      </c>
      <c r="Z335" s="16" t="str">
        <f aca="false">IF($A335="","",V335+W335+X335)</f>
        <v/>
      </c>
      <c r="AA335" s="16" t="str">
        <f aca="false">IF($A335="","",O335+N(N335)-T335)</f>
        <v/>
      </c>
      <c r="AB335" s="8" t="str">
        <f aca="false">IF($A335="","","CL "&amp;V335&amp;" | SL "&amp;W335&amp;" | PL "&amp;X335&amp;" | TR "&amp;Y335)</f>
        <v/>
      </c>
      <c r="AC335" s="15" t="str">
        <f aca="false">IF($A335="","",IF(F335="Exited","EXITED",IF(AND(ISNUMBER(K335),K335=0),"NOT ELIGIBLE",IF(MIN(V335:X335)&lt;0,"OVER-USED",IF(Z335&lt;=Settings!$C$15,"LOW","OK")))))</f>
        <v/>
      </c>
      <c r="AD335" s="16" t="str">
        <f aca="false">IF(OR(AC335="OVER-USED",AC335="LOW"),COUNTIF(AC$6:AC335,"OVER-USED")+COUNTIF(AC$6:AC335,"LOW"),"")</f>
        <v/>
      </c>
    </row>
    <row r="336" customFormat="false" ht="15" hidden="false" customHeight="false" outlineLevel="0" collapsed="false">
      <c r="A336" s="8" t="str">
        <f aca="false">IF('Employee List'!B336="","",'Employee List'!B336)</f>
        <v/>
      </c>
      <c r="B336" s="8" t="str">
        <f aca="false">IF($A336="","",'Employee List'!C336)</f>
        <v/>
      </c>
      <c r="C336" s="8" t="str">
        <f aca="false">IF($A336="","",'Employee List'!E336&amp;"")</f>
        <v/>
      </c>
      <c r="D336" s="8" t="str">
        <f aca="false">IF($A336="","",'Employee List'!F336&amp;"")</f>
        <v/>
      </c>
      <c r="E336" s="8" t="str">
        <f aca="false">IF($A336="","",'Employee List'!G336&amp;"")</f>
        <v/>
      </c>
      <c r="F336" s="8" t="str">
        <f aca="false">IF($A336="","",'Employee List'!D336)</f>
        <v/>
      </c>
      <c r="G336" s="38" t="str">
        <f aca="false">IF($A336="","",IF('Employee List'!I336="","",'Employee List'!I336))</f>
        <v/>
      </c>
      <c r="H336" s="38" t="str">
        <f aca="false">IF(OR($A336="",G336=""),"",G336+Settings!$C$13)</f>
        <v/>
      </c>
      <c r="I336" s="38" t="str">
        <f aca="false">IF(H336="","",MAX(H336,DATE(LvYear,1,1)))</f>
        <v/>
      </c>
      <c r="J336" s="38" t="str">
        <f aca="false">IF($A336="","",IF('Employee List'!J336="",DATE(LvYear,12,31),MIN('Employee List'!J336,DATE(LvYear,12,31))))</f>
        <v/>
      </c>
      <c r="K336" s="39" t="str">
        <f aca="false">IF(OR(I336="",J336=""),"",MAX(0,J336-I336+1))</f>
        <v/>
      </c>
      <c r="L336" s="16" t="str">
        <f aca="false">IF($A336="","",IF(AND(ISNUMBER(K336),K336=0),0,Settings!$C$10))</f>
        <v/>
      </c>
      <c r="M336" s="16" t="str">
        <f aca="false">IF($A336="","",IF(AND(ISNUMBER(K336),K336=0),0,Settings!$C$11))</f>
        <v/>
      </c>
      <c r="N336" s="40"/>
      <c r="O336" s="16" t="str">
        <f aca="false">IF($A336="","",FLOOR(Settings!$C$12/365*N(K336),0.5))</f>
        <v/>
      </c>
      <c r="P336" s="16" t="str">
        <f aca="false">IF($A336="","",IF(I336="",N(N336),FLOOR(Settings!$C$12/365*MAX(0,MIN(LvAsOf,J336)-I336+1)+N(N336),0.5)))</f>
        <v/>
      </c>
      <c r="Q336" s="16" t="str">
        <f aca="false">IF($A336="","",Settings!$C$14)</f>
        <v/>
      </c>
      <c r="R336" s="16" t="str">
        <f aca="false">IF($A336="","",SUMIFS(Attendance!$AZ$6:$AZ$2405,Attendance!$B$6:$B$2405,$A336,Attendance!$A$6:$A$2405,"&gt;="&amp;DATE(LvYear,1,1),Attendance!$A$6:$A$2405,"&lt;="&amp;DATE(LvYear,12,31)))</f>
        <v/>
      </c>
      <c r="S336" s="16" t="str">
        <f aca="false">IF($A336="","",SUMIFS(Attendance!$AY$6:$AY$2405,Attendance!$B$6:$B$2405,$A336,Attendance!$A$6:$A$2405,"&gt;="&amp;DATE(LvYear,1,1),Attendance!$A$6:$A$2405,"&lt;="&amp;DATE(LvYear,12,31)))</f>
        <v/>
      </c>
      <c r="T336" s="16" t="str">
        <f aca="false">IF($A336="","",SUMIFS(Attendance!$AX$6:$AX$2405,Attendance!$B$6:$B$2405,$A336,Attendance!$A$6:$A$2405,"&gt;="&amp;DATE(LvYear,1,1),Attendance!$A$6:$A$2405,"&lt;="&amp;DATE(LvYear,12,31)))</f>
        <v/>
      </c>
      <c r="U336" s="16" t="str">
        <f aca="false">IF($A336="","",SUMIFS(Attendance!$AW$6:$AW$2405,Attendance!$B$6:$B$2405,$A336,Attendance!$A$6:$A$2405,"&gt;="&amp;DATE(LvYear,1,1),Attendance!$A$6:$A$2405,"&lt;="&amp;DATE(LvYear,12,31)))</f>
        <v/>
      </c>
      <c r="V336" s="16" t="str">
        <f aca="false">IF($A336="","",L336-R336)</f>
        <v/>
      </c>
      <c r="W336" s="16" t="str">
        <f aca="false">IF($A336="","",M336-S336)</f>
        <v/>
      </c>
      <c r="X336" s="16" t="str">
        <f aca="false">IF($A336="","",P336-T336)</f>
        <v/>
      </c>
      <c r="Y336" s="16" t="str">
        <f aca="false">IF($A336="","",Q336-U336)</f>
        <v/>
      </c>
      <c r="Z336" s="16" t="str">
        <f aca="false">IF($A336="","",V336+W336+X336)</f>
        <v/>
      </c>
      <c r="AA336" s="16" t="str">
        <f aca="false">IF($A336="","",O336+N(N336)-T336)</f>
        <v/>
      </c>
      <c r="AB336" s="8" t="str">
        <f aca="false">IF($A336="","","CL "&amp;V336&amp;" | SL "&amp;W336&amp;" | PL "&amp;X336&amp;" | TR "&amp;Y336)</f>
        <v/>
      </c>
      <c r="AC336" s="15" t="str">
        <f aca="false">IF($A336="","",IF(F336="Exited","EXITED",IF(AND(ISNUMBER(K336),K336=0),"NOT ELIGIBLE",IF(MIN(V336:X336)&lt;0,"OVER-USED",IF(Z336&lt;=Settings!$C$15,"LOW","OK")))))</f>
        <v/>
      </c>
      <c r="AD336" s="16" t="str">
        <f aca="false">IF(OR(AC336="OVER-USED",AC336="LOW"),COUNTIF(AC$6:AC336,"OVER-USED")+COUNTIF(AC$6:AC336,"LOW"),"")</f>
        <v/>
      </c>
    </row>
    <row r="337" customFormat="false" ht="15" hidden="false" customHeight="false" outlineLevel="0" collapsed="false">
      <c r="A337" s="8" t="str">
        <f aca="false">IF('Employee List'!B337="","",'Employee List'!B337)</f>
        <v/>
      </c>
      <c r="B337" s="8" t="str">
        <f aca="false">IF($A337="","",'Employee List'!C337)</f>
        <v/>
      </c>
      <c r="C337" s="8" t="str">
        <f aca="false">IF($A337="","",'Employee List'!E337&amp;"")</f>
        <v/>
      </c>
      <c r="D337" s="8" t="str">
        <f aca="false">IF($A337="","",'Employee List'!F337&amp;"")</f>
        <v/>
      </c>
      <c r="E337" s="8" t="str">
        <f aca="false">IF($A337="","",'Employee List'!G337&amp;"")</f>
        <v/>
      </c>
      <c r="F337" s="8" t="str">
        <f aca="false">IF($A337="","",'Employee List'!D337)</f>
        <v/>
      </c>
      <c r="G337" s="38" t="str">
        <f aca="false">IF($A337="","",IF('Employee List'!I337="","",'Employee List'!I337))</f>
        <v/>
      </c>
      <c r="H337" s="38" t="str">
        <f aca="false">IF(OR($A337="",G337=""),"",G337+Settings!$C$13)</f>
        <v/>
      </c>
      <c r="I337" s="38" t="str">
        <f aca="false">IF(H337="","",MAX(H337,DATE(LvYear,1,1)))</f>
        <v/>
      </c>
      <c r="J337" s="38" t="str">
        <f aca="false">IF($A337="","",IF('Employee List'!J337="",DATE(LvYear,12,31),MIN('Employee List'!J337,DATE(LvYear,12,31))))</f>
        <v/>
      </c>
      <c r="K337" s="39" t="str">
        <f aca="false">IF(OR(I337="",J337=""),"",MAX(0,J337-I337+1))</f>
        <v/>
      </c>
      <c r="L337" s="16" t="str">
        <f aca="false">IF($A337="","",IF(AND(ISNUMBER(K337),K337=0),0,Settings!$C$10))</f>
        <v/>
      </c>
      <c r="M337" s="16" t="str">
        <f aca="false">IF($A337="","",IF(AND(ISNUMBER(K337),K337=0),0,Settings!$C$11))</f>
        <v/>
      </c>
      <c r="N337" s="40"/>
      <c r="O337" s="16" t="str">
        <f aca="false">IF($A337="","",FLOOR(Settings!$C$12/365*N(K337),0.5))</f>
        <v/>
      </c>
      <c r="P337" s="16" t="str">
        <f aca="false">IF($A337="","",IF(I337="",N(N337),FLOOR(Settings!$C$12/365*MAX(0,MIN(LvAsOf,J337)-I337+1)+N(N337),0.5)))</f>
        <v/>
      </c>
      <c r="Q337" s="16" t="str">
        <f aca="false">IF($A337="","",Settings!$C$14)</f>
        <v/>
      </c>
      <c r="R337" s="16" t="str">
        <f aca="false">IF($A337="","",SUMIFS(Attendance!$AZ$6:$AZ$2405,Attendance!$B$6:$B$2405,$A337,Attendance!$A$6:$A$2405,"&gt;="&amp;DATE(LvYear,1,1),Attendance!$A$6:$A$2405,"&lt;="&amp;DATE(LvYear,12,31)))</f>
        <v/>
      </c>
      <c r="S337" s="16" t="str">
        <f aca="false">IF($A337="","",SUMIFS(Attendance!$AY$6:$AY$2405,Attendance!$B$6:$B$2405,$A337,Attendance!$A$6:$A$2405,"&gt;="&amp;DATE(LvYear,1,1),Attendance!$A$6:$A$2405,"&lt;="&amp;DATE(LvYear,12,31)))</f>
        <v/>
      </c>
      <c r="T337" s="16" t="str">
        <f aca="false">IF($A337="","",SUMIFS(Attendance!$AX$6:$AX$2405,Attendance!$B$6:$B$2405,$A337,Attendance!$A$6:$A$2405,"&gt;="&amp;DATE(LvYear,1,1),Attendance!$A$6:$A$2405,"&lt;="&amp;DATE(LvYear,12,31)))</f>
        <v/>
      </c>
      <c r="U337" s="16" t="str">
        <f aca="false">IF($A337="","",SUMIFS(Attendance!$AW$6:$AW$2405,Attendance!$B$6:$B$2405,$A337,Attendance!$A$6:$A$2405,"&gt;="&amp;DATE(LvYear,1,1),Attendance!$A$6:$A$2405,"&lt;="&amp;DATE(LvYear,12,31)))</f>
        <v/>
      </c>
      <c r="V337" s="16" t="str">
        <f aca="false">IF($A337="","",L337-R337)</f>
        <v/>
      </c>
      <c r="W337" s="16" t="str">
        <f aca="false">IF($A337="","",M337-S337)</f>
        <v/>
      </c>
      <c r="X337" s="16" t="str">
        <f aca="false">IF($A337="","",P337-T337)</f>
        <v/>
      </c>
      <c r="Y337" s="16" t="str">
        <f aca="false">IF($A337="","",Q337-U337)</f>
        <v/>
      </c>
      <c r="Z337" s="16" t="str">
        <f aca="false">IF($A337="","",V337+W337+X337)</f>
        <v/>
      </c>
      <c r="AA337" s="16" t="str">
        <f aca="false">IF($A337="","",O337+N(N337)-T337)</f>
        <v/>
      </c>
      <c r="AB337" s="8" t="str">
        <f aca="false">IF($A337="","","CL "&amp;V337&amp;" | SL "&amp;W337&amp;" | PL "&amp;X337&amp;" | TR "&amp;Y337)</f>
        <v/>
      </c>
      <c r="AC337" s="15" t="str">
        <f aca="false">IF($A337="","",IF(F337="Exited","EXITED",IF(AND(ISNUMBER(K337),K337=0),"NOT ELIGIBLE",IF(MIN(V337:X337)&lt;0,"OVER-USED",IF(Z337&lt;=Settings!$C$15,"LOW","OK")))))</f>
        <v/>
      </c>
      <c r="AD337" s="16" t="str">
        <f aca="false">IF(OR(AC337="OVER-USED",AC337="LOW"),COUNTIF(AC$6:AC337,"OVER-USED")+COUNTIF(AC$6:AC337,"LOW"),"")</f>
        <v/>
      </c>
    </row>
    <row r="338" customFormat="false" ht="15" hidden="false" customHeight="false" outlineLevel="0" collapsed="false">
      <c r="A338" s="8" t="str">
        <f aca="false">IF('Employee List'!B338="","",'Employee List'!B338)</f>
        <v/>
      </c>
      <c r="B338" s="8" t="str">
        <f aca="false">IF($A338="","",'Employee List'!C338)</f>
        <v/>
      </c>
      <c r="C338" s="8" t="str">
        <f aca="false">IF($A338="","",'Employee List'!E338&amp;"")</f>
        <v/>
      </c>
      <c r="D338" s="8" t="str">
        <f aca="false">IF($A338="","",'Employee List'!F338&amp;"")</f>
        <v/>
      </c>
      <c r="E338" s="8" t="str">
        <f aca="false">IF($A338="","",'Employee List'!G338&amp;"")</f>
        <v/>
      </c>
      <c r="F338" s="8" t="str">
        <f aca="false">IF($A338="","",'Employee List'!D338)</f>
        <v/>
      </c>
      <c r="G338" s="38" t="str">
        <f aca="false">IF($A338="","",IF('Employee List'!I338="","",'Employee List'!I338))</f>
        <v/>
      </c>
      <c r="H338" s="38" t="str">
        <f aca="false">IF(OR($A338="",G338=""),"",G338+Settings!$C$13)</f>
        <v/>
      </c>
      <c r="I338" s="38" t="str">
        <f aca="false">IF(H338="","",MAX(H338,DATE(LvYear,1,1)))</f>
        <v/>
      </c>
      <c r="J338" s="38" t="str">
        <f aca="false">IF($A338="","",IF('Employee List'!J338="",DATE(LvYear,12,31),MIN('Employee List'!J338,DATE(LvYear,12,31))))</f>
        <v/>
      </c>
      <c r="K338" s="39" t="str">
        <f aca="false">IF(OR(I338="",J338=""),"",MAX(0,J338-I338+1))</f>
        <v/>
      </c>
      <c r="L338" s="16" t="str">
        <f aca="false">IF($A338="","",IF(AND(ISNUMBER(K338),K338=0),0,Settings!$C$10))</f>
        <v/>
      </c>
      <c r="M338" s="16" t="str">
        <f aca="false">IF($A338="","",IF(AND(ISNUMBER(K338),K338=0),0,Settings!$C$11))</f>
        <v/>
      </c>
      <c r="N338" s="40"/>
      <c r="O338" s="16" t="str">
        <f aca="false">IF($A338="","",FLOOR(Settings!$C$12/365*N(K338),0.5))</f>
        <v/>
      </c>
      <c r="P338" s="16" t="str">
        <f aca="false">IF($A338="","",IF(I338="",N(N338),FLOOR(Settings!$C$12/365*MAX(0,MIN(LvAsOf,J338)-I338+1)+N(N338),0.5)))</f>
        <v/>
      </c>
      <c r="Q338" s="16" t="str">
        <f aca="false">IF($A338="","",Settings!$C$14)</f>
        <v/>
      </c>
      <c r="R338" s="16" t="str">
        <f aca="false">IF($A338="","",SUMIFS(Attendance!$AZ$6:$AZ$2405,Attendance!$B$6:$B$2405,$A338,Attendance!$A$6:$A$2405,"&gt;="&amp;DATE(LvYear,1,1),Attendance!$A$6:$A$2405,"&lt;="&amp;DATE(LvYear,12,31)))</f>
        <v/>
      </c>
      <c r="S338" s="16" t="str">
        <f aca="false">IF($A338="","",SUMIFS(Attendance!$AY$6:$AY$2405,Attendance!$B$6:$B$2405,$A338,Attendance!$A$6:$A$2405,"&gt;="&amp;DATE(LvYear,1,1),Attendance!$A$6:$A$2405,"&lt;="&amp;DATE(LvYear,12,31)))</f>
        <v/>
      </c>
      <c r="T338" s="16" t="str">
        <f aca="false">IF($A338="","",SUMIFS(Attendance!$AX$6:$AX$2405,Attendance!$B$6:$B$2405,$A338,Attendance!$A$6:$A$2405,"&gt;="&amp;DATE(LvYear,1,1),Attendance!$A$6:$A$2405,"&lt;="&amp;DATE(LvYear,12,31)))</f>
        <v/>
      </c>
      <c r="U338" s="16" t="str">
        <f aca="false">IF($A338="","",SUMIFS(Attendance!$AW$6:$AW$2405,Attendance!$B$6:$B$2405,$A338,Attendance!$A$6:$A$2405,"&gt;="&amp;DATE(LvYear,1,1),Attendance!$A$6:$A$2405,"&lt;="&amp;DATE(LvYear,12,31)))</f>
        <v/>
      </c>
      <c r="V338" s="16" t="str">
        <f aca="false">IF($A338="","",L338-R338)</f>
        <v/>
      </c>
      <c r="W338" s="16" t="str">
        <f aca="false">IF($A338="","",M338-S338)</f>
        <v/>
      </c>
      <c r="X338" s="16" t="str">
        <f aca="false">IF($A338="","",P338-T338)</f>
        <v/>
      </c>
      <c r="Y338" s="16" t="str">
        <f aca="false">IF($A338="","",Q338-U338)</f>
        <v/>
      </c>
      <c r="Z338" s="16" t="str">
        <f aca="false">IF($A338="","",V338+W338+X338)</f>
        <v/>
      </c>
      <c r="AA338" s="16" t="str">
        <f aca="false">IF($A338="","",O338+N(N338)-T338)</f>
        <v/>
      </c>
      <c r="AB338" s="8" t="str">
        <f aca="false">IF($A338="","","CL "&amp;V338&amp;" | SL "&amp;W338&amp;" | PL "&amp;X338&amp;" | TR "&amp;Y338)</f>
        <v/>
      </c>
      <c r="AC338" s="15" t="str">
        <f aca="false">IF($A338="","",IF(F338="Exited","EXITED",IF(AND(ISNUMBER(K338),K338=0),"NOT ELIGIBLE",IF(MIN(V338:X338)&lt;0,"OVER-USED",IF(Z338&lt;=Settings!$C$15,"LOW","OK")))))</f>
        <v/>
      </c>
      <c r="AD338" s="16" t="str">
        <f aca="false">IF(OR(AC338="OVER-USED",AC338="LOW"),COUNTIF(AC$6:AC338,"OVER-USED")+COUNTIF(AC$6:AC338,"LOW"),"")</f>
        <v/>
      </c>
    </row>
    <row r="339" customFormat="false" ht="15" hidden="false" customHeight="false" outlineLevel="0" collapsed="false">
      <c r="A339" s="8" t="str">
        <f aca="false">IF('Employee List'!B339="","",'Employee List'!B339)</f>
        <v/>
      </c>
      <c r="B339" s="8" t="str">
        <f aca="false">IF($A339="","",'Employee List'!C339)</f>
        <v/>
      </c>
      <c r="C339" s="8" t="str">
        <f aca="false">IF($A339="","",'Employee List'!E339&amp;"")</f>
        <v/>
      </c>
      <c r="D339" s="8" t="str">
        <f aca="false">IF($A339="","",'Employee List'!F339&amp;"")</f>
        <v/>
      </c>
      <c r="E339" s="8" t="str">
        <f aca="false">IF($A339="","",'Employee List'!G339&amp;"")</f>
        <v/>
      </c>
      <c r="F339" s="8" t="str">
        <f aca="false">IF($A339="","",'Employee List'!D339)</f>
        <v/>
      </c>
      <c r="G339" s="38" t="str">
        <f aca="false">IF($A339="","",IF('Employee List'!I339="","",'Employee List'!I339))</f>
        <v/>
      </c>
      <c r="H339" s="38" t="str">
        <f aca="false">IF(OR($A339="",G339=""),"",G339+Settings!$C$13)</f>
        <v/>
      </c>
      <c r="I339" s="38" t="str">
        <f aca="false">IF(H339="","",MAX(H339,DATE(LvYear,1,1)))</f>
        <v/>
      </c>
      <c r="J339" s="38" t="str">
        <f aca="false">IF($A339="","",IF('Employee List'!J339="",DATE(LvYear,12,31),MIN('Employee List'!J339,DATE(LvYear,12,31))))</f>
        <v/>
      </c>
      <c r="K339" s="39" t="str">
        <f aca="false">IF(OR(I339="",J339=""),"",MAX(0,J339-I339+1))</f>
        <v/>
      </c>
      <c r="L339" s="16" t="str">
        <f aca="false">IF($A339="","",IF(AND(ISNUMBER(K339),K339=0),0,Settings!$C$10))</f>
        <v/>
      </c>
      <c r="M339" s="16" t="str">
        <f aca="false">IF($A339="","",IF(AND(ISNUMBER(K339),K339=0),0,Settings!$C$11))</f>
        <v/>
      </c>
      <c r="N339" s="40"/>
      <c r="O339" s="16" t="str">
        <f aca="false">IF($A339="","",FLOOR(Settings!$C$12/365*N(K339),0.5))</f>
        <v/>
      </c>
      <c r="P339" s="16" t="str">
        <f aca="false">IF($A339="","",IF(I339="",N(N339),FLOOR(Settings!$C$12/365*MAX(0,MIN(LvAsOf,J339)-I339+1)+N(N339),0.5)))</f>
        <v/>
      </c>
      <c r="Q339" s="16" t="str">
        <f aca="false">IF($A339="","",Settings!$C$14)</f>
        <v/>
      </c>
      <c r="R339" s="16" t="str">
        <f aca="false">IF($A339="","",SUMIFS(Attendance!$AZ$6:$AZ$2405,Attendance!$B$6:$B$2405,$A339,Attendance!$A$6:$A$2405,"&gt;="&amp;DATE(LvYear,1,1),Attendance!$A$6:$A$2405,"&lt;="&amp;DATE(LvYear,12,31)))</f>
        <v/>
      </c>
      <c r="S339" s="16" t="str">
        <f aca="false">IF($A339="","",SUMIFS(Attendance!$AY$6:$AY$2405,Attendance!$B$6:$B$2405,$A339,Attendance!$A$6:$A$2405,"&gt;="&amp;DATE(LvYear,1,1),Attendance!$A$6:$A$2405,"&lt;="&amp;DATE(LvYear,12,31)))</f>
        <v/>
      </c>
      <c r="T339" s="16" t="str">
        <f aca="false">IF($A339="","",SUMIFS(Attendance!$AX$6:$AX$2405,Attendance!$B$6:$B$2405,$A339,Attendance!$A$6:$A$2405,"&gt;="&amp;DATE(LvYear,1,1),Attendance!$A$6:$A$2405,"&lt;="&amp;DATE(LvYear,12,31)))</f>
        <v/>
      </c>
      <c r="U339" s="16" t="str">
        <f aca="false">IF($A339="","",SUMIFS(Attendance!$AW$6:$AW$2405,Attendance!$B$6:$B$2405,$A339,Attendance!$A$6:$A$2405,"&gt;="&amp;DATE(LvYear,1,1),Attendance!$A$6:$A$2405,"&lt;="&amp;DATE(LvYear,12,31)))</f>
        <v/>
      </c>
      <c r="V339" s="16" t="str">
        <f aca="false">IF($A339="","",L339-R339)</f>
        <v/>
      </c>
      <c r="W339" s="16" t="str">
        <f aca="false">IF($A339="","",M339-S339)</f>
        <v/>
      </c>
      <c r="X339" s="16" t="str">
        <f aca="false">IF($A339="","",P339-T339)</f>
        <v/>
      </c>
      <c r="Y339" s="16" t="str">
        <f aca="false">IF($A339="","",Q339-U339)</f>
        <v/>
      </c>
      <c r="Z339" s="16" t="str">
        <f aca="false">IF($A339="","",V339+W339+X339)</f>
        <v/>
      </c>
      <c r="AA339" s="16" t="str">
        <f aca="false">IF($A339="","",O339+N(N339)-T339)</f>
        <v/>
      </c>
      <c r="AB339" s="8" t="str">
        <f aca="false">IF($A339="","","CL "&amp;V339&amp;" | SL "&amp;W339&amp;" | PL "&amp;X339&amp;" | TR "&amp;Y339)</f>
        <v/>
      </c>
      <c r="AC339" s="15" t="str">
        <f aca="false">IF($A339="","",IF(F339="Exited","EXITED",IF(AND(ISNUMBER(K339),K339=0),"NOT ELIGIBLE",IF(MIN(V339:X339)&lt;0,"OVER-USED",IF(Z339&lt;=Settings!$C$15,"LOW","OK")))))</f>
        <v/>
      </c>
      <c r="AD339" s="16" t="str">
        <f aca="false">IF(OR(AC339="OVER-USED",AC339="LOW"),COUNTIF(AC$6:AC339,"OVER-USED")+COUNTIF(AC$6:AC339,"LOW"),"")</f>
        <v/>
      </c>
    </row>
    <row r="340" customFormat="false" ht="15" hidden="false" customHeight="false" outlineLevel="0" collapsed="false">
      <c r="A340" s="8" t="str">
        <f aca="false">IF('Employee List'!B340="","",'Employee List'!B340)</f>
        <v/>
      </c>
      <c r="B340" s="8" t="str">
        <f aca="false">IF($A340="","",'Employee List'!C340)</f>
        <v/>
      </c>
      <c r="C340" s="8" t="str">
        <f aca="false">IF($A340="","",'Employee List'!E340&amp;"")</f>
        <v/>
      </c>
      <c r="D340" s="8" t="str">
        <f aca="false">IF($A340="","",'Employee List'!F340&amp;"")</f>
        <v/>
      </c>
      <c r="E340" s="8" t="str">
        <f aca="false">IF($A340="","",'Employee List'!G340&amp;"")</f>
        <v/>
      </c>
      <c r="F340" s="8" t="str">
        <f aca="false">IF($A340="","",'Employee List'!D340)</f>
        <v/>
      </c>
      <c r="G340" s="38" t="str">
        <f aca="false">IF($A340="","",IF('Employee List'!I340="","",'Employee List'!I340))</f>
        <v/>
      </c>
      <c r="H340" s="38" t="str">
        <f aca="false">IF(OR($A340="",G340=""),"",G340+Settings!$C$13)</f>
        <v/>
      </c>
      <c r="I340" s="38" t="str">
        <f aca="false">IF(H340="","",MAX(H340,DATE(LvYear,1,1)))</f>
        <v/>
      </c>
      <c r="J340" s="38" t="str">
        <f aca="false">IF($A340="","",IF('Employee List'!J340="",DATE(LvYear,12,31),MIN('Employee List'!J340,DATE(LvYear,12,31))))</f>
        <v/>
      </c>
      <c r="K340" s="39" t="str">
        <f aca="false">IF(OR(I340="",J340=""),"",MAX(0,J340-I340+1))</f>
        <v/>
      </c>
      <c r="L340" s="16" t="str">
        <f aca="false">IF($A340="","",IF(AND(ISNUMBER(K340),K340=0),0,Settings!$C$10))</f>
        <v/>
      </c>
      <c r="M340" s="16" t="str">
        <f aca="false">IF($A340="","",IF(AND(ISNUMBER(K340),K340=0),0,Settings!$C$11))</f>
        <v/>
      </c>
      <c r="N340" s="40"/>
      <c r="O340" s="16" t="str">
        <f aca="false">IF($A340="","",FLOOR(Settings!$C$12/365*N(K340),0.5))</f>
        <v/>
      </c>
      <c r="P340" s="16" t="str">
        <f aca="false">IF($A340="","",IF(I340="",N(N340),FLOOR(Settings!$C$12/365*MAX(0,MIN(LvAsOf,J340)-I340+1)+N(N340),0.5)))</f>
        <v/>
      </c>
      <c r="Q340" s="16" t="str">
        <f aca="false">IF($A340="","",Settings!$C$14)</f>
        <v/>
      </c>
      <c r="R340" s="16" t="str">
        <f aca="false">IF($A340="","",SUMIFS(Attendance!$AZ$6:$AZ$2405,Attendance!$B$6:$B$2405,$A340,Attendance!$A$6:$A$2405,"&gt;="&amp;DATE(LvYear,1,1),Attendance!$A$6:$A$2405,"&lt;="&amp;DATE(LvYear,12,31)))</f>
        <v/>
      </c>
      <c r="S340" s="16" t="str">
        <f aca="false">IF($A340="","",SUMIFS(Attendance!$AY$6:$AY$2405,Attendance!$B$6:$B$2405,$A340,Attendance!$A$6:$A$2405,"&gt;="&amp;DATE(LvYear,1,1),Attendance!$A$6:$A$2405,"&lt;="&amp;DATE(LvYear,12,31)))</f>
        <v/>
      </c>
      <c r="T340" s="16" t="str">
        <f aca="false">IF($A340="","",SUMIFS(Attendance!$AX$6:$AX$2405,Attendance!$B$6:$B$2405,$A340,Attendance!$A$6:$A$2405,"&gt;="&amp;DATE(LvYear,1,1),Attendance!$A$6:$A$2405,"&lt;="&amp;DATE(LvYear,12,31)))</f>
        <v/>
      </c>
      <c r="U340" s="16" t="str">
        <f aca="false">IF($A340="","",SUMIFS(Attendance!$AW$6:$AW$2405,Attendance!$B$6:$B$2405,$A340,Attendance!$A$6:$A$2405,"&gt;="&amp;DATE(LvYear,1,1),Attendance!$A$6:$A$2405,"&lt;="&amp;DATE(LvYear,12,31)))</f>
        <v/>
      </c>
      <c r="V340" s="16" t="str">
        <f aca="false">IF($A340="","",L340-R340)</f>
        <v/>
      </c>
      <c r="W340" s="16" t="str">
        <f aca="false">IF($A340="","",M340-S340)</f>
        <v/>
      </c>
      <c r="X340" s="16" t="str">
        <f aca="false">IF($A340="","",P340-T340)</f>
        <v/>
      </c>
      <c r="Y340" s="16" t="str">
        <f aca="false">IF($A340="","",Q340-U340)</f>
        <v/>
      </c>
      <c r="Z340" s="16" t="str">
        <f aca="false">IF($A340="","",V340+W340+X340)</f>
        <v/>
      </c>
      <c r="AA340" s="16" t="str">
        <f aca="false">IF($A340="","",O340+N(N340)-T340)</f>
        <v/>
      </c>
      <c r="AB340" s="8" t="str">
        <f aca="false">IF($A340="","","CL "&amp;V340&amp;" | SL "&amp;W340&amp;" | PL "&amp;X340&amp;" | TR "&amp;Y340)</f>
        <v/>
      </c>
      <c r="AC340" s="15" t="str">
        <f aca="false">IF($A340="","",IF(F340="Exited","EXITED",IF(AND(ISNUMBER(K340),K340=0),"NOT ELIGIBLE",IF(MIN(V340:X340)&lt;0,"OVER-USED",IF(Z340&lt;=Settings!$C$15,"LOW","OK")))))</f>
        <v/>
      </c>
      <c r="AD340" s="16" t="str">
        <f aca="false">IF(OR(AC340="OVER-USED",AC340="LOW"),COUNTIF(AC$6:AC340,"OVER-USED")+COUNTIF(AC$6:AC340,"LOW"),"")</f>
        <v/>
      </c>
    </row>
    <row r="341" customFormat="false" ht="15" hidden="false" customHeight="false" outlineLevel="0" collapsed="false">
      <c r="A341" s="8" t="str">
        <f aca="false">IF('Employee List'!B341="","",'Employee List'!B341)</f>
        <v/>
      </c>
      <c r="B341" s="8" t="str">
        <f aca="false">IF($A341="","",'Employee List'!C341)</f>
        <v/>
      </c>
      <c r="C341" s="8" t="str">
        <f aca="false">IF($A341="","",'Employee List'!E341&amp;"")</f>
        <v/>
      </c>
      <c r="D341" s="8" t="str">
        <f aca="false">IF($A341="","",'Employee List'!F341&amp;"")</f>
        <v/>
      </c>
      <c r="E341" s="8" t="str">
        <f aca="false">IF($A341="","",'Employee List'!G341&amp;"")</f>
        <v/>
      </c>
      <c r="F341" s="8" t="str">
        <f aca="false">IF($A341="","",'Employee List'!D341)</f>
        <v/>
      </c>
      <c r="G341" s="38" t="str">
        <f aca="false">IF($A341="","",IF('Employee List'!I341="","",'Employee List'!I341))</f>
        <v/>
      </c>
      <c r="H341" s="38" t="str">
        <f aca="false">IF(OR($A341="",G341=""),"",G341+Settings!$C$13)</f>
        <v/>
      </c>
      <c r="I341" s="38" t="str">
        <f aca="false">IF(H341="","",MAX(H341,DATE(LvYear,1,1)))</f>
        <v/>
      </c>
      <c r="J341" s="38" t="str">
        <f aca="false">IF($A341="","",IF('Employee List'!J341="",DATE(LvYear,12,31),MIN('Employee List'!J341,DATE(LvYear,12,31))))</f>
        <v/>
      </c>
      <c r="K341" s="39" t="str">
        <f aca="false">IF(OR(I341="",J341=""),"",MAX(0,J341-I341+1))</f>
        <v/>
      </c>
      <c r="L341" s="16" t="str">
        <f aca="false">IF($A341="","",IF(AND(ISNUMBER(K341),K341=0),0,Settings!$C$10))</f>
        <v/>
      </c>
      <c r="M341" s="16" t="str">
        <f aca="false">IF($A341="","",IF(AND(ISNUMBER(K341),K341=0),0,Settings!$C$11))</f>
        <v/>
      </c>
      <c r="N341" s="40"/>
      <c r="O341" s="16" t="str">
        <f aca="false">IF($A341="","",FLOOR(Settings!$C$12/365*N(K341),0.5))</f>
        <v/>
      </c>
      <c r="P341" s="16" t="str">
        <f aca="false">IF($A341="","",IF(I341="",N(N341),FLOOR(Settings!$C$12/365*MAX(0,MIN(LvAsOf,J341)-I341+1)+N(N341),0.5)))</f>
        <v/>
      </c>
      <c r="Q341" s="16" t="str">
        <f aca="false">IF($A341="","",Settings!$C$14)</f>
        <v/>
      </c>
      <c r="R341" s="16" t="str">
        <f aca="false">IF($A341="","",SUMIFS(Attendance!$AZ$6:$AZ$2405,Attendance!$B$6:$B$2405,$A341,Attendance!$A$6:$A$2405,"&gt;="&amp;DATE(LvYear,1,1),Attendance!$A$6:$A$2405,"&lt;="&amp;DATE(LvYear,12,31)))</f>
        <v/>
      </c>
      <c r="S341" s="16" t="str">
        <f aca="false">IF($A341="","",SUMIFS(Attendance!$AY$6:$AY$2405,Attendance!$B$6:$B$2405,$A341,Attendance!$A$6:$A$2405,"&gt;="&amp;DATE(LvYear,1,1),Attendance!$A$6:$A$2405,"&lt;="&amp;DATE(LvYear,12,31)))</f>
        <v/>
      </c>
      <c r="T341" s="16" t="str">
        <f aca="false">IF($A341="","",SUMIFS(Attendance!$AX$6:$AX$2405,Attendance!$B$6:$B$2405,$A341,Attendance!$A$6:$A$2405,"&gt;="&amp;DATE(LvYear,1,1),Attendance!$A$6:$A$2405,"&lt;="&amp;DATE(LvYear,12,31)))</f>
        <v/>
      </c>
      <c r="U341" s="16" t="str">
        <f aca="false">IF($A341="","",SUMIFS(Attendance!$AW$6:$AW$2405,Attendance!$B$6:$B$2405,$A341,Attendance!$A$6:$A$2405,"&gt;="&amp;DATE(LvYear,1,1),Attendance!$A$6:$A$2405,"&lt;="&amp;DATE(LvYear,12,31)))</f>
        <v/>
      </c>
      <c r="V341" s="16" t="str">
        <f aca="false">IF($A341="","",L341-R341)</f>
        <v/>
      </c>
      <c r="W341" s="16" t="str">
        <f aca="false">IF($A341="","",M341-S341)</f>
        <v/>
      </c>
      <c r="X341" s="16" t="str">
        <f aca="false">IF($A341="","",P341-T341)</f>
        <v/>
      </c>
      <c r="Y341" s="16" t="str">
        <f aca="false">IF($A341="","",Q341-U341)</f>
        <v/>
      </c>
      <c r="Z341" s="16" t="str">
        <f aca="false">IF($A341="","",V341+W341+X341)</f>
        <v/>
      </c>
      <c r="AA341" s="16" t="str">
        <f aca="false">IF($A341="","",O341+N(N341)-T341)</f>
        <v/>
      </c>
      <c r="AB341" s="8" t="str">
        <f aca="false">IF($A341="","","CL "&amp;V341&amp;" | SL "&amp;W341&amp;" | PL "&amp;X341&amp;" | TR "&amp;Y341)</f>
        <v/>
      </c>
      <c r="AC341" s="15" t="str">
        <f aca="false">IF($A341="","",IF(F341="Exited","EXITED",IF(AND(ISNUMBER(K341),K341=0),"NOT ELIGIBLE",IF(MIN(V341:X341)&lt;0,"OVER-USED",IF(Z341&lt;=Settings!$C$15,"LOW","OK")))))</f>
        <v/>
      </c>
      <c r="AD341" s="16" t="str">
        <f aca="false">IF(OR(AC341="OVER-USED",AC341="LOW"),COUNTIF(AC$6:AC341,"OVER-USED")+COUNTIF(AC$6:AC341,"LOW"),"")</f>
        <v/>
      </c>
    </row>
    <row r="342" customFormat="false" ht="15" hidden="false" customHeight="false" outlineLevel="0" collapsed="false">
      <c r="A342" s="8" t="str">
        <f aca="false">IF('Employee List'!B342="","",'Employee List'!B342)</f>
        <v/>
      </c>
      <c r="B342" s="8" t="str">
        <f aca="false">IF($A342="","",'Employee List'!C342)</f>
        <v/>
      </c>
      <c r="C342" s="8" t="str">
        <f aca="false">IF($A342="","",'Employee List'!E342&amp;"")</f>
        <v/>
      </c>
      <c r="D342" s="8" t="str">
        <f aca="false">IF($A342="","",'Employee List'!F342&amp;"")</f>
        <v/>
      </c>
      <c r="E342" s="8" t="str">
        <f aca="false">IF($A342="","",'Employee List'!G342&amp;"")</f>
        <v/>
      </c>
      <c r="F342" s="8" t="str">
        <f aca="false">IF($A342="","",'Employee List'!D342)</f>
        <v/>
      </c>
      <c r="G342" s="38" t="str">
        <f aca="false">IF($A342="","",IF('Employee List'!I342="","",'Employee List'!I342))</f>
        <v/>
      </c>
      <c r="H342" s="38" t="str">
        <f aca="false">IF(OR($A342="",G342=""),"",G342+Settings!$C$13)</f>
        <v/>
      </c>
      <c r="I342" s="38" t="str">
        <f aca="false">IF(H342="","",MAX(H342,DATE(LvYear,1,1)))</f>
        <v/>
      </c>
      <c r="J342" s="38" t="str">
        <f aca="false">IF($A342="","",IF('Employee List'!J342="",DATE(LvYear,12,31),MIN('Employee List'!J342,DATE(LvYear,12,31))))</f>
        <v/>
      </c>
      <c r="K342" s="39" t="str">
        <f aca="false">IF(OR(I342="",J342=""),"",MAX(0,J342-I342+1))</f>
        <v/>
      </c>
      <c r="L342" s="16" t="str">
        <f aca="false">IF($A342="","",IF(AND(ISNUMBER(K342),K342=0),0,Settings!$C$10))</f>
        <v/>
      </c>
      <c r="M342" s="16" t="str">
        <f aca="false">IF($A342="","",IF(AND(ISNUMBER(K342),K342=0),0,Settings!$C$11))</f>
        <v/>
      </c>
      <c r="N342" s="40"/>
      <c r="O342" s="16" t="str">
        <f aca="false">IF($A342="","",FLOOR(Settings!$C$12/365*N(K342),0.5))</f>
        <v/>
      </c>
      <c r="P342" s="16" t="str">
        <f aca="false">IF($A342="","",IF(I342="",N(N342),FLOOR(Settings!$C$12/365*MAX(0,MIN(LvAsOf,J342)-I342+1)+N(N342),0.5)))</f>
        <v/>
      </c>
      <c r="Q342" s="16" t="str">
        <f aca="false">IF($A342="","",Settings!$C$14)</f>
        <v/>
      </c>
      <c r="R342" s="16" t="str">
        <f aca="false">IF($A342="","",SUMIFS(Attendance!$AZ$6:$AZ$2405,Attendance!$B$6:$B$2405,$A342,Attendance!$A$6:$A$2405,"&gt;="&amp;DATE(LvYear,1,1),Attendance!$A$6:$A$2405,"&lt;="&amp;DATE(LvYear,12,31)))</f>
        <v/>
      </c>
      <c r="S342" s="16" t="str">
        <f aca="false">IF($A342="","",SUMIFS(Attendance!$AY$6:$AY$2405,Attendance!$B$6:$B$2405,$A342,Attendance!$A$6:$A$2405,"&gt;="&amp;DATE(LvYear,1,1),Attendance!$A$6:$A$2405,"&lt;="&amp;DATE(LvYear,12,31)))</f>
        <v/>
      </c>
      <c r="T342" s="16" t="str">
        <f aca="false">IF($A342="","",SUMIFS(Attendance!$AX$6:$AX$2405,Attendance!$B$6:$B$2405,$A342,Attendance!$A$6:$A$2405,"&gt;="&amp;DATE(LvYear,1,1),Attendance!$A$6:$A$2405,"&lt;="&amp;DATE(LvYear,12,31)))</f>
        <v/>
      </c>
      <c r="U342" s="16" t="str">
        <f aca="false">IF($A342="","",SUMIFS(Attendance!$AW$6:$AW$2405,Attendance!$B$6:$B$2405,$A342,Attendance!$A$6:$A$2405,"&gt;="&amp;DATE(LvYear,1,1),Attendance!$A$6:$A$2405,"&lt;="&amp;DATE(LvYear,12,31)))</f>
        <v/>
      </c>
      <c r="V342" s="16" t="str">
        <f aca="false">IF($A342="","",L342-R342)</f>
        <v/>
      </c>
      <c r="W342" s="16" t="str">
        <f aca="false">IF($A342="","",M342-S342)</f>
        <v/>
      </c>
      <c r="X342" s="16" t="str">
        <f aca="false">IF($A342="","",P342-T342)</f>
        <v/>
      </c>
      <c r="Y342" s="16" t="str">
        <f aca="false">IF($A342="","",Q342-U342)</f>
        <v/>
      </c>
      <c r="Z342" s="16" t="str">
        <f aca="false">IF($A342="","",V342+W342+X342)</f>
        <v/>
      </c>
      <c r="AA342" s="16" t="str">
        <f aca="false">IF($A342="","",O342+N(N342)-T342)</f>
        <v/>
      </c>
      <c r="AB342" s="8" t="str">
        <f aca="false">IF($A342="","","CL "&amp;V342&amp;" | SL "&amp;W342&amp;" | PL "&amp;X342&amp;" | TR "&amp;Y342)</f>
        <v/>
      </c>
      <c r="AC342" s="15" t="str">
        <f aca="false">IF($A342="","",IF(F342="Exited","EXITED",IF(AND(ISNUMBER(K342),K342=0),"NOT ELIGIBLE",IF(MIN(V342:X342)&lt;0,"OVER-USED",IF(Z342&lt;=Settings!$C$15,"LOW","OK")))))</f>
        <v/>
      </c>
      <c r="AD342" s="16" t="str">
        <f aca="false">IF(OR(AC342="OVER-USED",AC342="LOW"),COUNTIF(AC$6:AC342,"OVER-USED")+COUNTIF(AC$6:AC342,"LOW"),"")</f>
        <v/>
      </c>
    </row>
    <row r="343" customFormat="false" ht="15" hidden="false" customHeight="false" outlineLevel="0" collapsed="false">
      <c r="A343" s="8" t="str">
        <f aca="false">IF('Employee List'!B343="","",'Employee List'!B343)</f>
        <v/>
      </c>
      <c r="B343" s="8" t="str">
        <f aca="false">IF($A343="","",'Employee List'!C343)</f>
        <v/>
      </c>
      <c r="C343" s="8" t="str">
        <f aca="false">IF($A343="","",'Employee List'!E343&amp;"")</f>
        <v/>
      </c>
      <c r="D343" s="8" t="str">
        <f aca="false">IF($A343="","",'Employee List'!F343&amp;"")</f>
        <v/>
      </c>
      <c r="E343" s="8" t="str">
        <f aca="false">IF($A343="","",'Employee List'!G343&amp;"")</f>
        <v/>
      </c>
      <c r="F343" s="8" t="str">
        <f aca="false">IF($A343="","",'Employee List'!D343)</f>
        <v/>
      </c>
      <c r="G343" s="38" t="str">
        <f aca="false">IF($A343="","",IF('Employee List'!I343="","",'Employee List'!I343))</f>
        <v/>
      </c>
      <c r="H343" s="38" t="str">
        <f aca="false">IF(OR($A343="",G343=""),"",G343+Settings!$C$13)</f>
        <v/>
      </c>
      <c r="I343" s="38" t="str">
        <f aca="false">IF(H343="","",MAX(H343,DATE(LvYear,1,1)))</f>
        <v/>
      </c>
      <c r="J343" s="38" t="str">
        <f aca="false">IF($A343="","",IF('Employee List'!J343="",DATE(LvYear,12,31),MIN('Employee List'!J343,DATE(LvYear,12,31))))</f>
        <v/>
      </c>
      <c r="K343" s="39" t="str">
        <f aca="false">IF(OR(I343="",J343=""),"",MAX(0,J343-I343+1))</f>
        <v/>
      </c>
      <c r="L343" s="16" t="str">
        <f aca="false">IF($A343="","",IF(AND(ISNUMBER(K343),K343=0),0,Settings!$C$10))</f>
        <v/>
      </c>
      <c r="M343" s="16" t="str">
        <f aca="false">IF($A343="","",IF(AND(ISNUMBER(K343),K343=0),0,Settings!$C$11))</f>
        <v/>
      </c>
      <c r="N343" s="40"/>
      <c r="O343" s="16" t="str">
        <f aca="false">IF($A343="","",FLOOR(Settings!$C$12/365*N(K343),0.5))</f>
        <v/>
      </c>
      <c r="P343" s="16" t="str">
        <f aca="false">IF($A343="","",IF(I343="",N(N343),FLOOR(Settings!$C$12/365*MAX(0,MIN(LvAsOf,J343)-I343+1)+N(N343),0.5)))</f>
        <v/>
      </c>
      <c r="Q343" s="16" t="str">
        <f aca="false">IF($A343="","",Settings!$C$14)</f>
        <v/>
      </c>
      <c r="R343" s="16" t="str">
        <f aca="false">IF($A343="","",SUMIFS(Attendance!$AZ$6:$AZ$2405,Attendance!$B$6:$B$2405,$A343,Attendance!$A$6:$A$2405,"&gt;="&amp;DATE(LvYear,1,1),Attendance!$A$6:$A$2405,"&lt;="&amp;DATE(LvYear,12,31)))</f>
        <v/>
      </c>
      <c r="S343" s="16" t="str">
        <f aca="false">IF($A343="","",SUMIFS(Attendance!$AY$6:$AY$2405,Attendance!$B$6:$B$2405,$A343,Attendance!$A$6:$A$2405,"&gt;="&amp;DATE(LvYear,1,1),Attendance!$A$6:$A$2405,"&lt;="&amp;DATE(LvYear,12,31)))</f>
        <v/>
      </c>
      <c r="T343" s="16" t="str">
        <f aca="false">IF($A343="","",SUMIFS(Attendance!$AX$6:$AX$2405,Attendance!$B$6:$B$2405,$A343,Attendance!$A$6:$A$2405,"&gt;="&amp;DATE(LvYear,1,1),Attendance!$A$6:$A$2405,"&lt;="&amp;DATE(LvYear,12,31)))</f>
        <v/>
      </c>
      <c r="U343" s="16" t="str">
        <f aca="false">IF($A343="","",SUMIFS(Attendance!$AW$6:$AW$2405,Attendance!$B$6:$B$2405,$A343,Attendance!$A$6:$A$2405,"&gt;="&amp;DATE(LvYear,1,1),Attendance!$A$6:$A$2405,"&lt;="&amp;DATE(LvYear,12,31)))</f>
        <v/>
      </c>
      <c r="V343" s="16" t="str">
        <f aca="false">IF($A343="","",L343-R343)</f>
        <v/>
      </c>
      <c r="W343" s="16" t="str">
        <f aca="false">IF($A343="","",M343-S343)</f>
        <v/>
      </c>
      <c r="X343" s="16" t="str">
        <f aca="false">IF($A343="","",P343-T343)</f>
        <v/>
      </c>
      <c r="Y343" s="16" t="str">
        <f aca="false">IF($A343="","",Q343-U343)</f>
        <v/>
      </c>
      <c r="Z343" s="16" t="str">
        <f aca="false">IF($A343="","",V343+W343+X343)</f>
        <v/>
      </c>
      <c r="AA343" s="16" t="str">
        <f aca="false">IF($A343="","",O343+N(N343)-T343)</f>
        <v/>
      </c>
      <c r="AB343" s="8" t="str">
        <f aca="false">IF($A343="","","CL "&amp;V343&amp;" | SL "&amp;W343&amp;" | PL "&amp;X343&amp;" | TR "&amp;Y343)</f>
        <v/>
      </c>
      <c r="AC343" s="15" t="str">
        <f aca="false">IF($A343="","",IF(F343="Exited","EXITED",IF(AND(ISNUMBER(K343),K343=0),"NOT ELIGIBLE",IF(MIN(V343:X343)&lt;0,"OVER-USED",IF(Z343&lt;=Settings!$C$15,"LOW","OK")))))</f>
        <v/>
      </c>
      <c r="AD343" s="16" t="str">
        <f aca="false">IF(OR(AC343="OVER-USED",AC343="LOW"),COUNTIF(AC$6:AC343,"OVER-USED")+COUNTIF(AC$6:AC343,"LOW"),"")</f>
        <v/>
      </c>
    </row>
    <row r="344" customFormat="false" ht="15" hidden="false" customHeight="false" outlineLevel="0" collapsed="false">
      <c r="A344" s="8" t="str">
        <f aca="false">IF('Employee List'!B344="","",'Employee List'!B344)</f>
        <v/>
      </c>
      <c r="B344" s="8" t="str">
        <f aca="false">IF($A344="","",'Employee List'!C344)</f>
        <v/>
      </c>
      <c r="C344" s="8" t="str">
        <f aca="false">IF($A344="","",'Employee List'!E344&amp;"")</f>
        <v/>
      </c>
      <c r="D344" s="8" t="str">
        <f aca="false">IF($A344="","",'Employee List'!F344&amp;"")</f>
        <v/>
      </c>
      <c r="E344" s="8" t="str">
        <f aca="false">IF($A344="","",'Employee List'!G344&amp;"")</f>
        <v/>
      </c>
      <c r="F344" s="8" t="str">
        <f aca="false">IF($A344="","",'Employee List'!D344)</f>
        <v/>
      </c>
      <c r="G344" s="38" t="str">
        <f aca="false">IF($A344="","",IF('Employee List'!I344="","",'Employee List'!I344))</f>
        <v/>
      </c>
      <c r="H344" s="38" t="str">
        <f aca="false">IF(OR($A344="",G344=""),"",G344+Settings!$C$13)</f>
        <v/>
      </c>
      <c r="I344" s="38" t="str">
        <f aca="false">IF(H344="","",MAX(H344,DATE(LvYear,1,1)))</f>
        <v/>
      </c>
      <c r="J344" s="38" t="str">
        <f aca="false">IF($A344="","",IF('Employee List'!J344="",DATE(LvYear,12,31),MIN('Employee List'!J344,DATE(LvYear,12,31))))</f>
        <v/>
      </c>
      <c r="K344" s="39" t="str">
        <f aca="false">IF(OR(I344="",J344=""),"",MAX(0,J344-I344+1))</f>
        <v/>
      </c>
      <c r="L344" s="16" t="str">
        <f aca="false">IF($A344="","",IF(AND(ISNUMBER(K344),K344=0),0,Settings!$C$10))</f>
        <v/>
      </c>
      <c r="M344" s="16" t="str">
        <f aca="false">IF($A344="","",IF(AND(ISNUMBER(K344),K344=0),0,Settings!$C$11))</f>
        <v/>
      </c>
      <c r="N344" s="40"/>
      <c r="O344" s="16" t="str">
        <f aca="false">IF($A344="","",FLOOR(Settings!$C$12/365*N(K344),0.5))</f>
        <v/>
      </c>
      <c r="P344" s="16" t="str">
        <f aca="false">IF($A344="","",IF(I344="",N(N344),FLOOR(Settings!$C$12/365*MAX(0,MIN(LvAsOf,J344)-I344+1)+N(N344),0.5)))</f>
        <v/>
      </c>
      <c r="Q344" s="16" t="str">
        <f aca="false">IF($A344="","",Settings!$C$14)</f>
        <v/>
      </c>
      <c r="R344" s="16" t="str">
        <f aca="false">IF($A344="","",SUMIFS(Attendance!$AZ$6:$AZ$2405,Attendance!$B$6:$B$2405,$A344,Attendance!$A$6:$A$2405,"&gt;="&amp;DATE(LvYear,1,1),Attendance!$A$6:$A$2405,"&lt;="&amp;DATE(LvYear,12,31)))</f>
        <v/>
      </c>
      <c r="S344" s="16" t="str">
        <f aca="false">IF($A344="","",SUMIFS(Attendance!$AY$6:$AY$2405,Attendance!$B$6:$B$2405,$A344,Attendance!$A$6:$A$2405,"&gt;="&amp;DATE(LvYear,1,1),Attendance!$A$6:$A$2405,"&lt;="&amp;DATE(LvYear,12,31)))</f>
        <v/>
      </c>
      <c r="T344" s="16" t="str">
        <f aca="false">IF($A344="","",SUMIFS(Attendance!$AX$6:$AX$2405,Attendance!$B$6:$B$2405,$A344,Attendance!$A$6:$A$2405,"&gt;="&amp;DATE(LvYear,1,1),Attendance!$A$6:$A$2405,"&lt;="&amp;DATE(LvYear,12,31)))</f>
        <v/>
      </c>
      <c r="U344" s="16" t="str">
        <f aca="false">IF($A344="","",SUMIFS(Attendance!$AW$6:$AW$2405,Attendance!$B$6:$B$2405,$A344,Attendance!$A$6:$A$2405,"&gt;="&amp;DATE(LvYear,1,1),Attendance!$A$6:$A$2405,"&lt;="&amp;DATE(LvYear,12,31)))</f>
        <v/>
      </c>
      <c r="V344" s="16" t="str">
        <f aca="false">IF($A344="","",L344-R344)</f>
        <v/>
      </c>
      <c r="W344" s="16" t="str">
        <f aca="false">IF($A344="","",M344-S344)</f>
        <v/>
      </c>
      <c r="X344" s="16" t="str">
        <f aca="false">IF($A344="","",P344-T344)</f>
        <v/>
      </c>
      <c r="Y344" s="16" t="str">
        <f aca="false">IF($A344="","",Q344-U344)</f>
        <v/>
      </c>
      <c r="Z344" s="16" t="str">
        <f aca="false">IF($A344="","",V344+W344+X344)</f>
        <v/>
      </c>
      <c r="AA344" s="16" t="str">
        <f aca="false">IF($A344="","",O344+N(N344)-T344)</f>
        <v/>
      </c>
      <c r="AB344" s="8" t="str">
        <f aca="false">IF($A344="","","CL "&amp;V344&amp;" | SL "&amp;W344&amp;" | PL "&amp;X344&amp;" | TR "&amp;Y344)</f>
        <v/>
      </c>
      <c r="AC344" s="15" t="str">
        <f aca="false">IF($A344="","",IF(F344="Exited","EXITED",IF(AND(ISNUMBER(K344),K344=0),"NOT ELIGIBLE",IF(MIN(V344:X344)&lt;0,"OVER-USED",IF(Z344&lt;=Settings!$C$15,"LOW","OK")))))</f>
        <v/>
      </c>
      <c r="AD344" s="16" t="str">
        <f aca="false">IF(OR(AC344="OVER-USED",AC344="LOW"),COUNTIF(AC$6:AC344,"OVER-USED")+COUNTIF(AC$6:AC344,"LOW"),"")</f>
        <v/>
      </c>
    </row>
    <row r="345" customFormat="false" ht="15" hidden="false" customHeight="false" outlineLevel="0" collapsed="false">
      <c r="A345" s="8" t="str">
        <f aca="false">IF('Employee List'!B345="","",'Employee List'!B345)</f>
        <v/>
      </c>
      <c r="B345" s="8" t="str">
        <f aca="false">IF($A345="","",'Employee List'!C345)</f>
        <v/>
      </c>
      <c r="C345" s="8" t="str">
        <f aca="false">IF($A345="","",'Employee List'!E345&amp;"")</f>
        <v/>
      </c>
      <c r="D345" s="8" t="str">
        <f aca="false">IF($A345="","",'Employee List'!F345&amp;"")</f>
        <v/>
      </c>
      <c r="E345" s="8" t="str">
        <f aca="false">IF($A345="","",'Employee List'!G345&amp;"")</f>
        <v/>
      </c>
      <c r="F345" s="8" t="str">
        <f aca="false">IF($A345="","",'Employee List'!D345)</f>
        <v/>
      </c>
      <c r="G345" s="38" t="str">
        <f aca="false">IF($A345="","",IF('Employee List'!I345="","",'Employee List'!I345))</f>
        <v/>
      </c>
      <c r="H345" s="38" t="str">
        <f aca="false">IF(OR($A345="",G345=""),"",G345+Settings!$C$13)</f>
        <v/>
      </c>
      <c r="I345" s="38" t="str">
        <f aca="false">IF(H345="","",MAX(H345,DATE(LvYear,1,1)))</f>
        <v/>
      </c>
      <c r="J345" s="38" t="str">
        <f aca="false">IF($A345="","",IF('Employee List'!J345="",DATE(LvYear,12,31),MIN('Employee List'!J345,DATE(LvYear,12,31))))</f>
        <v/>
      </c>
      <c r="K345" s="39" t="str">
        <f aca="false">IF(OR(I345="",J345=""),"",MAX(0,J345-I345+1))</f>
        <v/>
      </c>
      <c r="L345" s="16" t="str">
        <f aca="false">IF($A345="","",IF(AND(ISNUMBER(K345),K345=0),0,Settings!$C$10))</f>
        <v/>
      </c>
      <c r="M345" s="16" t="str">
        <f aca="false">IF($A345="","",IF(AND(ISNUMBER(K345),K345=0),0,Settings!$C$11))</f>
        <v/>
      </c>
      <c r="N345" s="40"/>
      <c r="O345" s="16" t="str">
        <f aca="false">IF($A345="","",FLOOR(Settings!$C$12/365*N(K345),0.5))</f>
        <v/>
      </c>
      <c r="P345" s="16" t="str">
        <f aca="false">IF($A345="","",IF(I345="",N(N345),FLOOR(Settings!$C$12/365*MAX(0,MIN(LvAsOf,J345)-I345+1)+N(N345),0.5)))</f>
        <v/>
      </c>
      <c r="Q345" s="16" t="str">
        <f aca="false">IF($A345="","",Settings!$C$14)</f>
        <v/>
      </c>
      <c r="R345" s="16" t="str">
        <f aca="false">IF($A345="","",SUMIFS(Attendance!$AZ$6:$AZ$2405,Attendance!$B$6:$B$2405,$A345,Attendance!$A$6:$A$2405,"&gt;="&amp;DATE(LvYear,1,1),Attendance!$A$6:$A$2405,"&lt;="&amp;DATE(LvYear,12,31)))</f>
        <v/>
      </c>
      <c r="S345" s="16" t="str">
        <f aca="false">IF($A345="","",SUMIFS(Attendance!$AY$6:$AY$2405,Attendance!$B$6:$B$2405,$A345,Attendance!$A$6:$A$2405,"&gt;="&amp;DATE(LvYear,1,1),Attendance!$A$6:$A$2405,"&lt;="&amp;DATE(LvYear,12,31)))</f>
        <v/>
      </c>
      <c r="T345" s="16" t="str">
        <f aca="false">IF($A345="","",SUMIFS(Attendance!$AX$6:$AX$2405,Attendance!$B$6:$B$2405,$A345,Attendance!$A$6:$A$2405,"&gt;="&amp;DATE(LvYear,1,1),Attendance!$A$6:$A$2405,"&lt;="&amp;DATE(LvYear,12,31)))</f>
        <v/>
      </c>
      <c r="U345" s="16" t="str">
        <f aca="false">IF($A345="","",SUMIFS(Attendance!$AW$6:$AW$2405,Attendance!$B$6:$B$2405,$A345,Attendance!$A$6:$A$2405,"&gt;="&amp;DATE(LvYear,1,1),Attendance!$A$6:$A$2405,"&lt;="&amp;DATE(LvYear,12,31)))</f>
        <v/>
      </c>
      <c r="V345" s="16" t="str">
        <f aca="false">IF($A345="","",L345-R345)</f>
        <v/>
      </c>
      <c r="W345" s="16" t="str">
        <f aca="false">IF($A345="","",M345-S345)</f>
        <v/>
      </c>
      <c r="X345" s="16" t="str">
        <f aca="false">IF($A345="","",P345-T345)</f>
        <v/>
      </c>
      <c r="Y345" s="16" t="str">
        <f aca="false">IF($A345="","",Q345-U345)</f>
        <v/>
      </c>
      <c r="Z345" s="16" t="str">
        <f aca="false">IF($A345="","",V345+W345+X345)</f>
        <v/>
      </c>
      <c r="AA345" s="16" t="str">
        <f aca="false">IF($A345="","",O345+N(N345)-T345)</f>
        <v/>
      </c>
      <c r="AB345" s="8" t="str">
        <f aca="false">IF($A345="","","CL "&amp;V345&amp;" | SL "&amp;W345&amp;" | PL "&amp;X345&amp;" | TR "&amp;Y345)</f>
        <v/>
      </c>
      <c r="AC345" s="15" t="str">
        <f aca="false">IF($A345="","",IF(F345="Exited","EXITED",IF(AND(ISNUMBER(K345),K345=0),"NOT ELIGIBLE",IF(MIN(V345:X345)&lt;0,"OVER-USED",IF(Z345&lt;=Settings!$C$15,"LOW","OK")))))</f>
        <v/>
      </c>
      <c r="AD345" s="16" t="str">
        <f aca="false">IF(OR(AC345="OVER-USED",AC345="LOW"),COUNTIF(AC$6:AC345,"OVER-USED")+COUNTIF(AC$6:AC345,"LOW"),"")</f>
        <v/>
      </c>
    </row>
    <row r="346" customFormat="false" ht="15" hidden="false" customHeight="false" outlineLevel="0" collapsed="false">
      <c r="A346" s="8" t="str">
        <f aca="false">IF('Employee List'!B346="","",'Employee List'!B346)</f>
        <v/>
      </c>
      <c r="B346" s="8" t="str">
        <f aca="false">IF($A346="","",'Employee List'!C346)</f>
        <v/>
      </c>
      <c r="C346" s="8" t="str">
        <f aca="false">IF($A346="","",'Employee List'!E346&amp;"")</f>
        <v/>
      </c>
      <c r="D346" s="8" t="str">
        <f aca="false">IF($A346="","",'Employee List'!F346&amp;"")</f>
        <v/>
      </c>
      <c r="E346" s="8" t="str">
        <f aca="false">IF($A346="","",'Employee List'!G346&amp;"")</f>
        <v/>
      </c>
      <c r="F346" s="8" t="str">
        <f aca="false">IF($A346="","",'Employee List'!D346)</f>
        <v/>
      </c>
      <c r="G346" s="38" t="str">
        <f aca="false">IF($A346="","",IF('Employee List'!I346="","",'Employee List'!I346))</f>
        <v/>
      </c>
      <c r="H346" s="38" t="str">
        <f aca="false">IF(OR($A346="",G346=""),"",G346+Settings!$C$13)</f>
        <v/>
      </c>
      <c r="I346" s="38" t="str">
        <f aca="false">IF(H346="","",MAX(H346,DATE(LvYear,1,1)))</f>
        <v/>
      </c>
      <c r="J346" s="38" t="str">
        <f aca="false">IF($A346="","",IF('Employee List'!J346="",DATE(LvYear,12,31),MIN('Employee List'!J346,DATE(LvYear,12,31))))</f>
        <v/>
      </c>
      <c r="K346" s="39" t="str">
        <f aca="false">IF(OR(I346="",J346=""),"",MAX(0,J346-I346+1))</f>
        <v/>
      </c>
      <c r="L346" s="16" t="str">
        <f aca="false">IF($A346="","",IF(AND(ISNUMBER(K346),K346=0),0,Settings!$C$10))</f>
        <v/>
      </c>
      <c r="M346" s="16" t="str">
        <f aca="false">IF($A346="","",IF(AND(ISNUMBER(K346),K346=0),0,Settings!$C$11))</f>
        <v/>
      </c>
      <c r="N346" s="40"/>
      <c r="O346" s="16" t="str">
        <f aca="false">IF($A346="","",FLOOR(Settings!$C$12/365*N(K346),0.5))</f>
        <v/>
      </c>
      <c r="P346" s="16" t="str">
        <f aca="false">IF($A346="","",IF(I346="",N(N346),FLOOR(Settings!$C$12/365*MAX(0,MIN(LvAsOf,J346)-I346+1)+N(N346),0.5)))</f>
        <v/>
      </c>
      <c r="Q346" s="16" t="str">
        <f aca="false">IF($A346="","",Settings!$C$14)</f>
        <v/>
      </c>
      <c r="R346" s="16" t="str">
        <f aca="false">IF($A346="","",SUMIFS(Attendance!$AZ$6:$AZ$2405,Attendance!$B$6:$B$2405,$A346,Attendance!$A$6:$A$2405,"&gt;="&amp;DATE(LvYear,1,1),Attendance!$A$6:$A$2405,"&lt;="&amp;DATE(LvYear,12,31)))</f>
        <v/>
      </c>
      <c r="S346" s="16" t="str">
        <f aca="false">IF($A346="","",SUMIFS(Attendance!$AY$6:$AY$2405,Attendance!$B$6:$B$2405,$A346,Attendance!$A$6:$A$2405,"&gt;="&amp;DATE(LvYear,1,1),Attendance!$A$6:$A$2405,"&lt;="&amp;DATE(LvYear,12,31)))</f>
        <v/>
      </c>
      <c r="T346" s="16" t="str">
        <f aca="false">IF($A346="","",SUMIFS(Attendance!$AX$6:$AX$2405,Attendance!$B$6:$B$2405,$A346,Attendance!$A$6:$A$2405,"&gt;="&amp;DATE(LvYear,1,1),Attendance!$A$6:$A$2405,"&lt;="&amp;DATE(LvYear,12,31)))</f>
        <v/>
      </c>
      <c r="U346" s="16" t="str">
        <f aca="false">IF($A346="","",SUMIFS(Attendance!$AW$6:$AW$2405,Attendance!$B$6:$B$2405,$A346,Attendance!$A$6:$A$2405,"&gt;="&amp;DATE(LvYear,1,1),Attendance!$A$6:$A$2405,"&lt;="&amp;DATE(LvYear,12,31)))</f>
        <v/>
      </c>
      <c r="V346" s="16" t="str">
        <f aca="false">IF($A346="","",L346-R346)</f>
        <v/>
      </c>
      <c r="W346" s="16" t="str">
        <f aca="false">IF($A346="","",M346-S346)</f>
        <v/>
      </c>
      <c r="X346" s="16" t="str">
        <f aca="false">IF($A346="","",P346-T346)</f>
        <v/>
      </c>
      <c r="Y346" s="16" t="str">
        <f aca="false">IF($A346="","",Q346-U346)</f>
        <v/>
      </c>
      <c r="Z346" s="16" t="str">
        <f aca="false">IF($A346="","",V346+W346+X346)</f>
        <v/>
      </c>
      <c r="AA346" s="16" t="str">
        <f aca="false">IF($A346="","",O346+N(N346)-T346)</f>
        <v/>
      </c>
      <c r="AB346" s="8" t="str">
        <f aca="false">IF($A346="","","CL "&amp;V346&amp;" | SL "&amp;W346&amp;" | PL "&amp;X346&amp;" | TR "&amp;Y346)</f>
        <v/>
      </c>
      <c r="AC346" s="15" t="str">
        <f aca="false">IF($A346="","",IF(F346="Exited","EXITED",IF(AND(ISNUMBER(K346),K346=0),"NOT ELIGIBLE",IF(MIN(V346:X346)&lt;0,"OVER-USED",IF(Z346&lt;=Settings!$C$15,"LOW","OK")))))</f>
        <v/>
      </c>
      <c r="AD346" s="16" t="str">
        <f aca="false">IF(OR(AC346="OVER-USED",AC346="LOW"),COUNTIF(AC$6:AC346,"OVER-USED")+COUNTIF(AC$6:AC346,"LOW"),"")</f>
        <v/>
      </c>
    </row>
    <row r="347" customFormat="false" ht="15" hidden="false" customHeight="false" outlineLevel="0" collapsed="false">
      <c r="A347" s="8" t="str">
        <f aca="false">IF('Employee List'!B347="","",'Employee List'!B347)</f>
        <v/>
      </c>
      <c r="B347" s="8" t="str">
        <f aca="false">IF($A347="","",'Employee List'!C347)</f>
        <v/>
      </c>
      <c r="C347" s="8" t="str">
        <f aca="false">IF($A347="","",'Employee List'!E347&amp;"")</f>
        <v/>
      </c>
      <c r="D347" s="8" t="str">
        <f aca="false">IF($A347="","",'Employee List'!F347&amp;"")</f>
        <v/>
      </c>
      <c r="E347" s="8" t="str">
        <f aca="false">IF($A347="","",'Employee List'!G347&amp;"")</f>
        <v/>
      </c>
      <c r="F347" s="8" t="str">
        <f aca="false">IF($A347="","",'Employee List'!D347)</f>
        <v/>
      </c>
      <c r="G347" s="38" t="str">
        <f aca="false">IF($A347="","",IF('Employee List'!I347="","",'Employee List'!I347))</f>
        <v/>
      </c>
      <c r="H347" s="38" t="str">
        <f aca="false">IF(OR($A347="",G347=""),"",G347+Settings!$C$13)</f>
        <v/>
      </c>
      <c r="I347" s="38" t="str">
        <f aca="false">IF(H347="","",MAX(H347,DATE(LvYear,1,1)))</f>
        <v/>
      </c>
      <c r="J347" s="38" t="str">
        <f aca="false">IF($A347="","",IF('Employee List'!J347="",DATE(LvYear,12,31),MIN('Employee List'!J347,DATE(LvYear,12,31))))</f>
        <v/>
      </c>
      <c r="K347" s="39" t="str">
        <f aca="false">IF(OR(I347="",J347=""),"",MAX(0,J347-I347+1))</f>
        <v/>
      </c>
      <c r="L347" s="16" t="str">
        <f aca="false">IF($A347="","",IF(AND(ISNUMBER(K347),K347=0),0,Settings!$C$10))</f>
        <v/>
      </c>
      <c r="M347" s="16" t="str">
        <f aca="false">IF($A347="","",IF(AND(ISNUMBER(K347),K347=0),0,Settings!$C$11))</f>
        <v/>
      </c>
      <c r="N347" s="40"/>
      <c r="O347" s="16" t="str">
        <f aca="false">IF($A347="","",FLOOR(Settings!$C$12/365*N(K347),0.5))</f>
        <v/>
      </c>
      <c r="P347" s="16" t="str">
        <f aca="false">IF($A347="","",IF(I347="",N(N347),FLOOR(Settings!$C$12/365*MAX(0,MIN(LvAsOf,J347)-I347+1)+N(N347),0.5)))</f>
        <v/>
      </c>
      <c r="Q347" s="16" t="str">
        <f aca="false">IF($A347="","",Settings!$C$14)</f>
        <v/>
      </c>
      <c r="R347" s="16" t="str">
        <f aca="false">IF($A347="","",SUMIFS(Attendance!$AZ$6:$AZ$2405,Attendance!$B$6:$B$2405,$A347,Attendance!$A$6:$A$2405,"&gt;="&amp;DATE(LvYear,1,1),Attendance!$A$6:$A$2405,"&lt;="&amp;DATE(LvYear,12,31)))</f>
        <v/>
      </c>
      <c r="S347" s="16" t="str">
        <f aca="false">IF($A347="","",SUMIFS(Attendance!$AY$6:$AY$2405,Attendance!$B$6:$B$2405,$A347,Attendance!$A$6:$A$2405,"&gt;="&amp;DATE(LvYear,1,1),Attendance!$A$6:$A$2405,"&lt;="&amp;DATE(LvYear,12,31)))</f>
        <v/>
      </c>
      <c r="T347" s="16" t="str">
        <f aca="false">IF($A347="","",SUMIFS(Attendance!$AX$6:$AX$2405,Attendance!$B$6:$B$2405,$A347,Attendance!$A$6:$A$2405,"&gt;="&amp;DATE(LvYear,1,1),Attendance!$A$6:$A$2405,"&lt;="&amp;DATE(LvYear,12,31)))</f>
        <v/>
      </c>
      <c r="U347" s="16" t="str">
        <f aca="false">IF($A347="","",SUMIFS(Attendance!$AW$6:$AW$2405,Attendance!$B$6:$B$2405,$A347,Attendance!$A$6:$A$2405,"&gt;="&amp;DATE(LvYear,1,1),Attendance!$A$6:$A$2405,"&lt;="&amp;DATE(LvYear,12,31)))</f>
        <v/>
      </c>
      <c r="V347" s="16" t="str">
        <f aca="false">IF($A347="","",L347-R347)</f>
        <v/>
      </c>
      <c r="W347" s="16" t="str">
        <f aca="false">IF($A347="","",M347-S347)</f>
        <v/>
      </c>
      <c r="X347" s="16" t="str">
        <f aca="false">IF($A347="","",P347-T347)</f>
        <v/>
      </c>
      <c r="Y347" s="16" t="str">
        <f aca="false">IF($A347="","",Q347-U347)</f>
        <v/>
      </c>
      <c r="Z347" s="16" t="str">
        <f aca="false">IF($A347="","",V347+W347+X347)</f>
        <v/>
      </c>
      <c r="AA347" s="16" t="str">
        <f aca="false">IF($A347="","",O347+N(N347)-T347)</f>
        <v/>
      </c>
      <c r="AB347" s="8" t="str">
        <f aca="false">IF($A347="","","CL "&amp;V347&amp;" | SL "&amp;W347&amp;" | PL "&amp;X347&amp;" | TR "&amp;Y347)</f>
        <v/>
      </c>
      <c r="AC347" s="15" t="str">
        <f aca="false">IF($A347="","",IF(F347="Exited","EXITED",IF(AND(ISNUMBER(K347),K347=0),"NOT ELIGIBLE",IF(MIN(V347:X347)&lt;0,"OVER-USED",IF(Z347&lt;=Settings!$C$15,"LOW","OK")))))</f>
        <v/>
      </c>
      <c r="AD347" s="16" t="str">
        <f aca="false">IF(OR(AC347="OVER-USED",AC347="LOW"),COUNTIF(AC$6:AC347,"OVER-USED")+COUNTIF(AC$6:AC347,"LOW"),"")</f>
        <v/>
      </c>
    </row>
    <row r="348" customFormat="false" ht="15" hidden="false" customHeight="false" outlineLevel="0" collapsed="false">
      <c r="A348" s="8" t="str">
        <f aca="false">IF('Employee List'!B348="","",'Employee List'!B348)</f>
        <v/>
      </c>
      <c r="B348" s="8" t="str">
        <f aca="false">IF($A348="","",'Employee List'!C348)</f>
        <v/>
      </c>
      <c r="C348" s="8" t="str">
        <f aca="false">IF($A348="","",'Employee List'!E348&amp;"")</f>
        <v/>
      </c>
      <c r="D348" s="8" t="str">
        <f aca="false">IF($A348="","",'Employee List'!F348&amp;"")</f>
        <v/>
      </c>
      <c r="E348" s="8" t="str">
        <f aca="false">IF($A348="","",'Employee List'!G348&amp;"")</f>
        <v/>
      </c>
      <c r="F348" s="8" t="str">
        <f aca="false">IF($A348="","",'Employee List'!D348)</f>
        <v/>
      </c>
      <c r="G348" s="38" t="str">
        <f aca="false">IF($A348="","",IF('Employee List'!I348="","",'Employee List'!I348))</f>
        <v/>
      </c>
      <c r="H348" s="38" t="str">
        <f aca="false">IF(OR($A348="",G348=""),"",G348+Settings!$C$13)</f>
        <v/>
      </c>
      <c r="I348" s="38" t="str">
        <f aca="false">IF(H348="","",MAX(H348,DATE(LvYear,1,1)))</f>
        <v/>
      </c>
      <c r="J348" s="38" t="str">
        <f aca="false">IF($A348="","",IF('Employee List'!J348="",DATE(LvYear,12,31),MIN('Employee List'!J348,DATE(LvYear,12,31))))</f>
        <v/>
      </c>
      <c r="K348" s="39" t="str">
        <f aca="false">IF(OR(I348="",J348=""),"",MAX(0,J348-I348+1))</f>
        <v/>
      </c>
      <c r="L348" s="16" t="str">
        <f aca="false">IF($A348="","",IF(AND(ISNUMBER(K348),K348=0),0,Settings!$C$10))</f>
        <v/>
      </c>
      <c r="M348" s="16" t="str">
        <f aca="false">IF($A348="","",IF(AND(ISNUMBER(K348),K348=0),0,Settings!$C$11))</f>
        <v/>
      </c>
      <c r="N348" s="40"/>
      <c r="O348" s="16" t="str">
        <f aca="false">IF($A348="","",FLOOR(Settings!$C$12/365*N(K348),0.5))</f>
        <v/>
      </c>
      <c r="P348" s="16" t="str">
        <f aca="false">IF($A348="","",IF(I348="",N(N348),FLOOR(Settings!$C$12/365*MAX(0,MIN(LvAsOf,J348)-I348+1)+N(N348),0.5)))</f>
        <v/>
      </c>
      <c r="Q348" s="16" t="str">
        <f aca="false">IF($A348="","",Settings!$C$14)</f>
        <v/>
      </c>
      <c r="R348" s="16" t="str">
        <f aca="false">IF($A348="","",SUMIFS(Attendance!$AZ$6:$AZ$2405,Attendance!$B$6:$B$2405,$A348,Attendance!$A$6:$A$2405,"&gt;="&amp;DATE(LvYear,1,1),Attendance!$A$6:$A$2405,"&lt;="&amp;DATE(LvYear,12,31)))</f>
        <v/>
      </c>
      <c r="S348" s="16" t="str">
        <f aca="false">IF($A348="","",SUMIFS(Attendance!$AY$6:$AY$2405,Attendance!$B$6:$B$2405,$A348,Attendance!$A$6:$A$2405,"&gt;="&amp;DATE(LvYear,1,1),Attendance!$A$6:$A$2405,"&lt;="&amp;DATE(LvYear,12,31)))</f>
        <v/>
      </c>
      <c r="T348" s="16" t="str">
        <f aca="false">IF($A348="","",SUMIFS(Attendance!$AX$6:$AX$2405,Attendance!$B$6:$B$2405,$A348,Attendance!$A$6:$A$2405,"&gt;="&amp;DATE(LvYear,1,1),Attendance!$A$6:$A$2405,"&lt;="&amp;DATE(LvYear,12,31)))</f>
        <v/>
      </c>
      <c r="U348" s="16" t="str">
        <f aca="false">IF($A348="","",SUMIFS(Attendance!$AW$6:$AW$2405,Attendance!$B$6:$B$2405,$A348,Attendance!$A$6:$A$2405,"&gt;="&amp;DATE(LvYear,1,1),Attendance!$A$6:$A$2405,"&lt;="&amp;DATE(LvYear,12,31)))</f>
        <v/>
      </c>
      <c r="V348" s="16" t="str">
        <f aca="false">IF($A348="","",L348-R348)</f>
        <v/>
      </c>
      <c r="W348" s="16" t="str">
        <f aca="false">IF($A348="","",M348-S348)</f>
        <v/>
      </c>
      <c r="X348" s="16" t="str">
        <f aca="false">IF($A348="","",P348-T348)</f>
        <v/>
      </c>
      <c r="Y348" s="16" t="str">
        <f aca="false">IF($A348="","",Q348-U348)</f>
        <v/>
      </c>
      <c r="Z348" s="16" t="str">
        <f aca="false">IF($A348="","",V348+W348+X348)</f>
        <v/>
      </c>
      <c r="AA348" s="16" t="str">
        <f aca="false">IF($A348="","",O348+N(N348)-T348)</f>
        <v/>
      </c>
      <c r="AB348" s="8" t="str">
        <f aca="false">IF($A348="","","CL "&amp;V348&amp;" | SL "&amp;W348&amp;" | PL "&amp;X348&amp;" | TR "&amp;Y348)</f>
        <v/>
      </c>
      <c r="AC348" s="15" t="str">
        <f aca="false">IF($A348="","",IF(F348="Exited","EXITED",IF(AND(ISNUMBER(K348),K348=0),"NOT ELIGIBLE",IF(MIN(V348:X348)&lt;0,"OVER-USED",IF(Z348&lt;=Settings!$C$15,"LOW","OK")))))</f>
        <v/>
      </c>
      <c r="AD348" s="16" t="str">
        <f aca="false">IF(OR(AC348="OVER-USED",AC348="LOW"),COUNTIF(AC$6:AC348,"OVER-USED")+COUNTIF(AC$6:AC348,"LOW"),"")</f>
        <v/>
      </c>
    </row>
    <row r="349" customFormat="false" ht="15" hidden="false" customHeight="false" outlineLevel="0" collapsed="false">
      <c r="A349" s="8" t="str">
        <f aca="false">IF('Employee List'!B349="","",'Employee List'!B349)</f>
        <v/>
      </c>
      <c r="B349" s="8" t="str">
        <f aca="false">IF($A349="","",'Employee List'!C349)</f>
        <v/>
      </c>
      <c r="C349" s="8" t="str">
        <f aca="false">IF($A349="","",'Employee List'!E349&amp;"")</f>
        <v/>
      </c>
      <c r="D349" s="8" t="str">
        <f aca="false">IF($A349="","",'Employee List'!F349&amp;"")</f>
        <v/>
      </c>
      <c r="E349" s="8" t="str">
        <f aca="false">IF($A349="","",'Employee List'!G349&amp;"")</f>
        <v/>
      </c>
      <c r="F349" s="8" t="str">
        <f aca="false">IF($A349="","",'Employee List'!D349)</f>
        <v/>
      </c>
      <c r="G349" s="38" t="str">
        <f aca="false">IF($A349="","",IF('Employee List'!I349="","",'Employee List'!I349))</f>
        <v/>
      </c>
      <c r="H349" s="38" t="str">
        <f aca="false">IF(OR($A349="",G349=""),"",G349+Settings!$C$13)</f>
        <v/>
      </c>
      <c r="I349" s="38" t="str">
        <f aca="false">IF(H349="","",MAX(H349,DATE(LvYear,1,1)))</f>
        <v/>
      </c>
      <c r="J349" s="38" t="str">
        <f aca="false">IF($A349="","",IF('Employee List'!J349="",DATE(LvYear,12,31),MIN('Employee List'!J349,DATE(LvYear,12,31))))</f>
        <v/>
      </c>
      <c r="K349" s="39" t="str">
        <f aca="false">IF(OR(I349="",J349=""),"",MAX(0,J349-I349+1))</f>
        <v/>
      </c>
      <c r="L349" s="16" t="str">
        <f aca="false">IF($A349="","",IF(AND(ISNUMBER(K349),K349=0),0,Settings!$C$10))</f>
        <v/>
      </c>
      <c r="M349" s="16" t="str">
        <f aca="false">IF($A349="","",IF(AND(ISNUMBER(K349),K349=0),0,Settings!$C$11))</f>
        <v/>
      </c>
      <c r="N349" s="40"/>
      <c r="O349" s="16" t="str">
        <f aca="false">IF($A349="","",FLOOR(Settings!$C$12/365*N(K349),0.5))</f>
        <v/>
      </c>
      <c r="P349" s="16" t="str">
        <f aca="false">IF($A349="","",IF(I349="",N(N349),FLOOR(Settings!$C$12/365*MAX(0,MIN(LvAsOf,J349)-I349+1)+N(N349),0.5)))</f>
        <v/>
      </c>
      <c r="Q349" s="16" t="str">
        <f aca="false">IF($A349="","",Settings!$C$14)</f>
        <v/>
      </c>
      <c r="R349" s="16" t="str">
        <f aca="false">IF($A349="","",SUMIFS(Attendance!$AZ$6:$AZ$2405,Attendance!$B$6:$B$2405,$A349,Attendance!$A$6:$A$2405,"&gt;="&amp;DATE(LvYear,1,1),Attendance!$A$6:$A$2405,"&lt;="&amp;DATE(LvYear,12,31)))</f>
        <v/>
      </c>
      <c r="S349" s="16" t="str">
        <f aca="false">IF($A349="","",SUMIFS(Attendance!$AY$6:$AY$2405,Attendance!$B$6:$B$2405,$A349,Attendance!$A$6:$A$2405,"&gt;="&amp;DATE(LvYear,1,1),Attendance!$A$6:$A$2405,"&lt;="&amp;DATE(LvYear,12,31)))</f>
        <v/>
      </c>
      <c r="T349" s="16" t="str">
        <f aca="false">IF($A349="","",SUMIFS(Attendance!$AX$6:$AX$2405,Attendance!$B$6:$B$2405,$A349,Attendance!$A$6:$A$2405,"&gt;="&amp;DATE(LvYear,1,1),Attendance!$A$6:$A$2405,"&lt;="&amp;DATE(LvYear,12,31)))</f>
        <v/>
      </c>
      <c r="U349" s="16" t="str">
        <f aca="false">IF($A349="","",SUMIFS(Attendance!$AW$6:$AW$2405,Attendance!$B$6:$B$2405,$A349,Attendance!$A$6:$A$2405,"&gt;="&amp;DATE(LvYear,1,1),Attendance!$A$6:$A$2405,"&lt;="&amp;DATE(LvYear,12,31)))</f>
        <v/>
      </c>
      <c r="V349" s="16" t="str">
        <f aca="false">IF($A349="","",L349-R349)</f>
        <v/>
      </c>
      <c r="W349" s="16" t="str">
        <f aca="false">IF($A349="","",M349-S349)</f>
        <v/>
      </c>
      <c r="X349" s="16" t="str">
        <f aca="false">IF($A349="","",P349-T349)</f>
        <v/>
      </c>
      <c r="Y349" s="16" t="str">
        <f aca="false">IF($A349="","",Q349-U349)</f>
        <v/>
      </c>
      <c r="Z349" s="16" t="str">
        <f aca="false">IF($A349="","",V349+W349+X349)</f>
        <v/>
      </c>
      <c r="AA349" s="16" t="str">
        <f aca="false">IF($A349="","",O349+N(N349)-T349)</f>
        <v/>
      </c>
      <c r="AB349" s="8" t="str">
        <f aca="false">IF($A349="","","CL "&amp;V349&amp;" | SL "&amp;W349&amp;" | PL "&amp;X349&amp;" | TR "&amp;Y349)</f>
        <v/>
      </c>
      <c r="AC349" s="15" t="str">
        <f aca="false">IF($A349="","",IF(F349="Exited","EXITED",IF(AND(ISNUMBER(K349),K349=0),"NOT ELIGIBLE",IF(MIN(V349:X349)&lt;0,"OVER-USED",IF(Z349&lt;=Settings!$C$15,"LOW","OK")))))</f>
        <v/>
      </c>
      <c r="AD349" s="16" t="str">
        <f aca="false">IF(OR(AC349="OVER-USED",AC349="LOW"),COUNTIF(AC$6:AC349,"OVER-USED")+COUNTIF(AC$6:AC349,"LOW"),"")</f>
        <v/>
      </c>
    </row>
    <row r="350" customFormat="false" ht="15" hidden="false" customHeight="false" outlineLevel="0" collapsed="false">
      <c r="A350" s="8" t="str">
        <f aca="false">IF('Employee List'!B350="","",'Employee List'!B350)</f>
        <v/>
      </c>
      <c r="B350" s="8" t="str">
        <f aca="false">IF($A350="","",'Employee List'!C350)</f>
        <v/>
      </c>
      <c r="C350" s="8" t="str">
        <f aca="false">IF($A350="","",'Employee List'!E350&amp;"")</f>
        <v/>
      </c>
      <c r="D350" s="8" t="str">
        <f aca="false">IF($A350="","",'Employee List'!F350&amp;"")</f>
        <v/>
      </c>
      <c r="E350" s="8" t="str">
        <f aca="false">IF($A350="","",'Employee List'!G350&amp;"")</f>
        <v/>
      </c>
      <c r="F350" s="8" t="str">
        <f aca="false">IF($A350="","",'Employee List'!D350)</f>
        <v/>
      </c>
      <c r="G350" s="38" t="str">
        <f aca="false">IF($A350="","",IF('Employee List'!I350="","",'Employee List'!I350))</f>
        <v/>
      </c>
      <c r="H350" s="38" t="str">
        <f aca="false">IF(OR($A350="",G350=""),"",G350+Settings!$C$13)</f>
        <v/>
      </c>
      <c r="I350" s="38" t="str">
        <f aca="false">IF(H350="","",MAX(H350,DATE(LvYear,1,1)))</f>
        <v/>
      </c>
      <c r="J350" s="38" t="str">
        <f aca="false">IF($A350="","",IF('Employee List'!J350="",DATE(LvYear,12,31),MIN('Employee List'!J350,DATE(LvYear,12,31))))</f>
        <v/>
      </c>
      <c r="K350" s="39" t="str">
        <f aca="false">IF(OR(I350="",J350=""),"",MAX(0,J350-I350+1))</f>
        <v/>
      </c>
      <c r="L350" s="16" t="str">
        <f aca="false">IF($A350="","",IF(AND(ISNUMBER(K350),K350=0),0,Settings!$C$10))</f>
        <v/>
      </c>
      <c r="M350" s="16" t="str">
        <f aca="false">IF($A350="","",IF(AND(ISNUMBER(K350),K350=0),0,Settings!$C$11))</f>
        <v/>
      </c>
      <c r="N350" s="40"/>
      <c r="O350" s="16" t="str">
        <f aca="false">IF($A350="","",FLOOR(Settings!$C$12/365*N(K350),0.5))</f>
        <v/>
      </c>
      <c r="P350" s="16" t="str">
        <f aca="false">IF($A350="","",IF(I350="",N(N350),FLOOR(Settings!$C$12/365*MAX(0,MIN(LvAsOf,J350)-I350+1)+N(N350),0.5)))</f>
        <v/>
      </c>
      <c r="Q350" s="16" t="str">
        <f aca="false">IF($A350="","",Settings!$C$14)</f>
        <v/>
      </c>
      <c r="R350" s="16" t="str">
        <f aca="false">IF($A350="","",SUMIFS(Attendance!$AZ$6:$AZ$2405,Attendance!$B$6:$B$2405,$A350,Attendance!$A$6:$A$2405,"&gt;="&amp;DATE(LvYear,1,1),Attendance!$A$6:$A$2405,"&lt;="&amp;DATE(LvYear,12,31)))</f>
        <v/>
      </c>
      <c r="S350" s="16" t="str">
        <f aca="false">IF($A350="","",SUMIFS(Attendance!$AY$6:$AY$2405,Attendance!$B$6:$B$2405,$A350,Attendance!$A$6:$A$2405,"&gt;="&amp;DATE(LvYear,1,1),Attendance!$A$6:$A$2405,"&lt;="&amp;DATE(LvYear,12,31)))</f>
        <v/>
      </c>
      <c r="T350" s="16" t="str">
        <f aca="false">IF($A350="","",SUMIFS(Attendance!$AX$6:$AX$2405,Attendance!$B$6:$B$2405,$A350,Attendance!$A$6:$A$2405,"&gt;="&amp;DATE(LvYear,1,1),Attendance!$A$6:$A$2405,"&lt;="&amp;DATE(LvYear,12,31)))</f>
        <v/>
      </c>
      <c r="U350" s="16" t="str">
        <f aca="false">IF($A350="","",SUMIFS(Attendance!$AW$6:$AW$2405,Attendance!$B$6:$B$2405,$A350,Attendance!$A$6:$A$2405,"&gt;="&amp;DATE(LvYear,1,1),Attendance!$A$6:$A$2405,"&lt;="&amp;DATE(LvYear,12,31)))</f>
        <v/>
      </c>
      <c r="V350" s="16" t="str">
        <f aca="false">IF($A350="","",L350-R350)</f>
        <v/>
      </c>
      <c r="W350" s="16" t="str">
        <f aca="false">IF($A350="","",M350-S350)</f>
        <v/>
      </c>
      <c r="X350" s="16" t="str">
        <f aca="false">IF($A350="","",P350-T350)</f>
        <v/>
      </c>
      <c r="Y350" s="16" t="str">
        <f aca="false">IF($A350="","",Q350-U350)</f>
        <v/>
      </c>
      <c r="Z350" s="16" t="str">
        <f aca="false">IF($A350="","",V350+W350+X350)</f>
        <v/>
      </c>
      <c r="AA350" s="16" t="str">
        <f aca="false">IF($A350="","",O350+N(N350)-T350)</f>
        <v/>
      </c>
      <c r="AB350" s="8" t="str">
        <f aca="false">IF($A350="","","CL "&amp;V350&amp;" | SL "&amp;W350&amp;" | PL "&amp;X350&amp;" | TR "&amp;Y350)</f>
        <v/>
      </c>
      <c r="AC350" s="15" t="str">
        <f aca="false">IF($A350="","",IF(F350="Exited","EXITED",IF(AND(ISNUMBER(K350),K350=0),"NOT ELIGIBLE",IF(MIN(V350:X350)&lt;0,"OVER-USED",IF(Z350&lt;=Settings!$C$15,"LOW","OK")))))</f>
        <v/>
      </c>
      <c r="AD350" s="16" t="str">
        <f aca="false">IF(OR(AC350="OVER-USED",AC350="LOW"),COUNTIF(AC$6:AC350,"OVER-USED")+COUNTIF(AC$6:AC350,"LOW"),"")</f>
        <v/>
      </c>
    </row>
    <row r="351" customFormat="false" ht="15" hidden="false" customHeight="false" outlineLevel="0" collapsed="false">
      <c r="A351" s="8" t="str">
        <f aca="false">IF('Employee List'!B351="","",'Employee List'!B351)</f>
        <v/>
      </c>
      <c r="B351" s="8" t="str">
        <f aca="false">IF($A351="","",'Employee List'!C351)</f>
        <v/>
      </c>
      <c r="C351" s="8" t="str">
        <f aca="false">IF($A351="","",'Employee List'!E351&amp;"")</f>
        <v/>
      </c>
      <c r="D351" s="8" t="str">
        <f aca="false">IF($A351="","",'Employee List'!F351&amp;"")</f>
        <v/>
      </c>
      <c r="E351" s="8" t="str">
        <f aca="false">IF($A351="","",'Employee List'!G351&amp;"")</f>
        <v/>
      </c>
      <c r="F351" s="8" t="str">
        <f aca="false">IF($A351="","",'Employee List'!D351)</f>
        <v/>
      </c>
      <c r="G351" s="38" t="str">
        <f aca="false">IF($A351="","",IF('Employee List'!I351="","",'Employee List'!I351))</f>
        <v/>
      </c>
      <c r="H351" s="38" t="str">
        <f aca="false">IF(OR($A351="",G351=""),"",G351+Settings!$C$13)</f>
        <v/>
      </c>
      <c r="I351" s="38" t="str">
        <f aca="false">IF(H351="","",MAX(H351,DATE(LvYear,1,1)))</f>
        <v/>
      </c>
      <c r="J351" s="38" t="str">
        <f aca="false">IF($A351="","",IF('Employee List'!J351="",DATE(LvYear,12,31),MIN('Employee List'!J351,DATE(LvYear,12,31))))</f>
        <v/>
      </c>
      <c r="K351" s="39" t="str">
        <f aca="false">IF(OR(I351="",J351=""),"",MAX(0,J351-I351+1))</f>
        <v/>
      </c>
      <c r="L351" s="16" t="str">
        <f aca="false">IF($A351="","",IF(AND(ISNUMBER(K351),K351=0),0,Settings!$C$10))</f>
        <v/>
      </c>
      <c r="M351" s="16" t="str">
        <f aca="false">IF($A351="","",IF(AND(ISNUMBER(K351),K351=0),0,Settings!$C$11))</f>
        <v/>
      </c>
      <c r="N351" s="40"/>
      <c r="O351" s="16" t="str">
        <f aca="false">IF($A351="","",FLOOR(Settings!$C$12/365*N(K351),0.5))</f>
        <v/>
      </c>
      <c r="P351" s="16" t="str">
        <f aca="false">IF($A351="","",IF(I351="",N(N351),FLOOR(Settings!$C$12/365*MAX(0,MIN(LvAsOf,J351)-I351+1)+N(N351),0.5)))</f>
        <v/>
      </c>
      <c r="Q351" s="16" t="str">
        <f aca="false">IF($A351="","",Settings!$C$14)</f>
        <v/>
      </c>
      <c r="R351" s="16" t="str">
        <f aca="false">IF($A351="","",SUMIFS(Attendance!$AZ$6:$AZ$2405,Attendance!$B$6:$B$2405,$A351,Attendance!$A$6:$A$2405,"&gt;="&amp;DATE(LvYear,1,1),Attendance!$A$6:$A$2405,"&lt;="&amp;DATE(LvYear,12,31)))</f>
        <v/>
      </c>
      <c r="S351" s="16" t="str">
        <f aca="false">IF($A351="","",SUMIFS(Attendance!$AY$6:$AY$2405,Attendance!$B$6:$B$2405,$A351,Attendance!$A$6:$A$2405,"&gt;="&amp;DATE(LvYear,1,1),Attendance!$A$6:$A$2405,"&lt;="&amp;DATE(LvYear,12,31)))</f>
        <v/>
      </c>
      <c r="T351" s="16" t="str">
        <f aca="false">IF($A351="","",SUMIFS(Attendance!$AX$6:$AX$2405,Attendance!$B$6:$B$2405,$A351,Attendance!$A$6:$A$2405,"&gt;="&amp;DATE(LvYear,1,1),Attendance!$A$6:$A$2405,"&lt;="&amp;DATE(LvYear,12,31)))</f>
        <v/>
      </c>
      <c r="U351" s="16" t="str">
        <f aca="false">IF($A351="","",SUMIFS(Attendance!$AW$6:$AW$2405,Attendance!$B$6:$B$2405,$A351,Attendance!$A$6:$A$2405,"&gt;="&amp;DATE(LvYear,1,1),Attendance!$A$6:$A$2405,"&lt;="&amp;DATE(LvYear,12,31)))</f>
        <v/>
      </c>
      <c r="V351" s="16" t="str">
        <f aca="false">IF($A351="","",L351-R351)</f>
        <v/>
      </c>
      <c r="W351" s="16" t="str">
        <f aca="false">IF($A351="","",M351-S351)</f>
        <v/>
      </c>
      <c r="X351" s="16" t="str">
        <f aca="false">IF($A351="","",P351-T351)</f>
        <v/>
      </c>
      <c r="Y351" s="16" t="str">
        <f aca="false">IF($A351="","",Q351-U351)</f>
        <v/>
      </c>
      <c r="Z351" s="16" t="str">
        <f aca="false">IF($A351="","",V351+W351+X351)</f>
        <v/>
      </c>
      <c r="AA351" s="16" t="str">
        <f aca="false">IF($A351="","",O351+N(N351)-T351)</f>
        <v/>
      </c>
      <c r="AB351" s="8" t="str">
        <f aca="false">IF($A351="","","CL "&amp;V351&amp;" | SL "&amp;W351&amp;" | PL "&amp;X351&amp;" | TR "&amp;Y351)</f>
        <v/>
      </c>
      <c r="AC351" s="15" t="str">
        <f aca="false">IF($A351="","",IF(F351="Exited","EXITED",IF(AND(ISNUMBER(K351),K351=0),"NOT ELIGIBLE",IF(MIN(V351:X351)&lt;0,"OVER-USED",IF(Z351&lt;=Settings!$C$15,"LOW","OK")))))</f>
        <v/>
      </c>
      <c r="AD351" s="16" t="str">
        <f aca="false">IF(OR(AC351="OVER-USED",AC351="LOW"),COUNTIF(AC$6:AC351,"OVER-USED")+COUNTIF(AC$6:AC351,"LOW"),"")</f>
        <v/>
      </c>
    </row>
    <row r="352" customFormat="false" ht="15" hidden="false" customHeight="false" outlineLevel="0" collapsed="false">
      <c r="A352" s="8" t="str">
        <f aca="false">IF('Employee List'!B352="","",'Employee List'!B352)</f>
        <v/>
      </c>
      <c r="B352" s="8" t="str">
        <f aca="false">IF($A352="","",'Employee List'!C352)</f>
        <v/>
      </c>
      <c r="C352" s="8" t="str">
        <f aca="false">IF($A352="","",'Employee List'!E352&amp;"")</f>
        <v/>
      </c>
      <c r="D352" s="8" t="str">
        <f aca="false">IF($A352="","",'Employee List'!F352&amp;"")</f>
        <v/>
      </c>
      <c r="E352" s="8" t="str">
        <f aca="false">IF($A352="","",'Employee List'!G352&amp;"")</f>
        <v/>
      </c>
      <c r="F352" s="8" t="str">
        <f aca="false">IF($A352="","",'Employee List'!D352)</f>
        <v/>
      </c>
      <c r="G352" s="38" t="str">
        <f aca="false">IF($A352="","",IF('Employee List'!I352="","",'Employee List'!I352))</f>
        <v/>
      </c>
      <c r="H352" s="38" t="str">
        <f aca="false">IF(OR($A352="",G352=""),"",G352+Settings!$C$13)</f>
        <v/>
      </c>
      <c r="I352" s="38" t="str">
        <f aca="false">IF(H352="","",MAX(H352,DATE(LvYear,1,1)))</f>
        <v/>
      </c>
      <c r="J352" s="38" t="str">
        <f aca="false">IF($A352="","",IF('Employee List'!J352="",DATE(LvYear,12,31),MIN('Employee List'!J352,DATE(LvYear,12,31))))</f>
        <v/>
      </c>
      <c r="K352" s="39" t="str">
        <f aca="false">IF(OR(I352="",J352=""),"",MAX(0,J352-I352+1))</f>
        <v/>
      </c>
      <c r="L352" s="16" t="str">
        <f aca="false">IF($A352="","",IF(AND(ISNUMBER(K352),K352=0),0,Settings!$C$10))</f>
        <v/>
      </c>
      <c r="M352" s="16" t="str">
        <f aca="false">IF($A352="","",IF(AND(ISNUMBER(K352),K352=0),0,Settings!$C$11))</f>
        <v/>
      </c>
      <c r="N352" s="40"/>
      <c r="O352" s="16" t="str">
        <f aca="false">IF($A352="","",FLOOR(Settings!$C$12/365*N(K352),0.5))</f>
        <v/>
      </c>
      <c r="P352" s="16" t="str">
        <f aca="false">IF($A352="","",IF(I352="",N(N352),FLOOR(Settings!$C$12/365*MAX(0,MIN(LvAsOf,J352)-I352+1)+N(N352),0.5)))</f>
        <v/>
      </c>
      <c r="Q352" s="16" t="str">
        <f aca="false">IF($A352="","",Settings!$C$14)</f>
        <v/>
      </c>
      <c r="R352" s="16" t="str">
        <f aca="false">IF($A352="","",SUMIFS(Attendance!$AZ$6:$AZ$2405,Attendance!$B$6:$B$2405,$A352,Attendance!$A$6:$A$2405,"&gt;="&amp;DATE(LvYear,1,1),Attendance!$A$6:$A$2405,"&lt;="&amp;DATE(LvYear,12,31)))</f>
        <v/>
      </c>
      <c r="S352" s="16" t="str">
        <f aca="false">IF($A352="","",SUMIFS(Attendance!$AY$6:$AY$2405,Attendance!$B$6:$B$2405,$A352,Attendance!$A$6:$A$2405,"&gt;="&amp;DATE(LvYear,1,1),Attendance!$A$6:$A$2405,"&lt;="&amp;DATE(LvYear,12,31)))</f>
        <v/>
      </c>
      <c r="T352" s="16" t="str">
        <f aca="false">IF($A352="","",SUMIFS(Attendance!$AX$6:$AX$2405,Attendance!$B$6:$B$2405,$A352,Attendance!$A$6:$A$2405,"&gt;="&amp;DATE(LvYear,1,1),Attendance!$A$6:$A$2405,"&lt;="&amp;DATE(LvYear,12,31)))</f>
        <v/>
      </c>
      <c r="U352" s="16" t="str">
        <f aca="false">IF($A352="","",SUMIFS(Attendance!$AW$6:$AW$2405,Attendance!$B$6:$B$2405,$A352,Attendance!$A$6:$A$2405,"&gt;="&amp;DATE(LvYear,1,1),Attendance!$A$6:$A$2405,"&lt;="&amp;DATE(LvYear,12,31)))</f>
        <v/>
      </c>
      <c r="V352" s="16" t="str">
        <f aca="false">IF($A352="","",L352-R352)</f>
        <v/>
      </c>
      <c r="W352" s="16" t="str">
        <f aca="false">IF($A352="","",M352-S352)</f>
        <v/>
      </c>
      <c r="X352" s="16" t="str">
        <f aca="false">IF($A352="","",P352-T352)</f>
        <v/>
      </c>
      <c r="Y352" s="16" t="str">
        <f aca="false">IF($A352="","",Q352-U352)</f>
        <v/>
      </c>
      <c r="Z352" s="16" t="str">
        <f aca="false">IF($A352="","",V352+W352+X352)</f>
        <v/>
      </c>
      <c r="AA352" s="16" t="str">
        <f aca="false">IF($A352="","",O352+N(N352)-T352)</f>
        <v/>
      </c>
      <c r="AB352" s="8" t="str">
        <f aca="false">IF($A352="","","CL "&amp;V352&amp;" | SL "&amp;W352&amp;" | PL "&amp;X352&amp;" | TR "&amp;Y352)</f>
        <v/>
      </c>
      <c r="AC352" s="15" t="str">
        <f aca="false">IF($A352="","",IF(F352="Exited","EXITED",IF(AND(ISNUMBER(K352),K352=0),"NOT ELIGIBLE",IF(MIN(V352:X352)&lt;0,"OVER-USED",IF(Z352&lt;=Settings!$C$15,"LOW","OK")))))</f>
        <v/>
      </c>
      <c r="AD352" s="16" t="str">
        <f aca="false">IF(OR(AC352="OVER-USED",AC352="LOW"),COUNTIF(AC$6:AC352,"OVER-USED")+COUNTIF(AC$6:AC352,"LOW"),"")</f>
        <v/>
      </c>
    </row>
    <row r="353" customFormat="false" ht="15" hidden="false" customHeight="false" outlineLevel="0" collapsed="false">
      <c r="A353" s="8" t="str">
        <f aca="false">IF('Employee List'!B353="","",'Employee List'!B353)</f>
        <v/>
      </c>
      <c r="B353" s="8" t="str">
        <f aca="false">IF($A353="","",'Employee List'!C353)</f>
        <v/>
      </c>
      <c r="C353" s="8" t="str">
        <f aca="false">IF($A353="","",'Employee List'!E353&amp;"")</f>
        <v/>
      </c>
      <c r="D353" s="8" t="str">
        <f aca="false">IF($A353="","",'Employee List'!F353&amp;"")</f>
        <v/>
      </c>
      <c r="E353" s="8" t="str">
        <f aca="false">IF($A353="","",'Employee List'!G353&amp;"")</f>
        <v/>
      </c>
      <c r="F353" s="8" t="str">
        <f aca="false">IF($A353="","",'Employee List'!D353)</f>
        <v/>
      </c>
      <c r="G353" s="38" t="str">
        <f aca="false">IF($A353="","",IF('Employee List'!I353="","",'Employee List'!I353))</f>
        <v/>
      </c>
      <c r="H353" s="38" t="str">
        <f aca="false">IF(OR($A353="",G353=""),"",G353+Settings!$C$13)</f>
        <v/>
      </c>
      <c r="I353" s="38" t="str">
        <f aca="false">IF(H353="","",MAX(H353,DATE(LvYear,1,1)))</f>
        <v/>
      </c>
      <c r="J353" s="38" t="str">
        <f aca="false">IF($A353="","",IF('Employee List'!J353="",DATE(LvYear,12,31),MIN('Employee List'!J353,DATE(LvYear,12,31))))</f>
        <v/>
      </c>
      <c r="K353" s="39" t="str">
        <f aca="false">IF(OR(I353="",J353=""),"",MAX(0,J353-I353+1))</f>
        <v/>
      </c>
      <c r="L353" s="16" t="str">
        <f aca="false">IF($A353="","",IF(AND(ISNUMBER(K353),K353=0),0,Settings!$C$10))</f>
        <v/>
      </c>
      <c r="M353" s="16" t="str">
        <f aca="false">IF($A353="","",IF(AND(ISNUMBER(K353),K353=0),0,Settings!$C$11))</f>
        <v/>
      </c>
      <c r="N353" s="40"/>
      <c r="O353" s="16" t="str">
        <f aca="false">IF($A353="","",FLOOR(Settings!$C$12/365*N(K353),0.5))</f>
        <v/>
      </c>
      <c r="P353" s="16" t="str">
        <f aca="false">IF($A353="","",IF(I353="",N(N353),FLOOR(Settings!$C$12/365*MAX(0,MIN(LvAsOf,J353)-I353+1)+N(N353),0.5)))</f>
        <v/>
      </c>
      <c r="Q353" s="16" t="str">
        <f aca="false">IF($A353="","",Settings!$C$14)</f>
        <v/>
      </c>
      <c r="R353" s="16" t="str">
        <f aca="false">IF($A353="","",SUMIFS(Attendance!$AZ$6:$AZ$2405,Attendance!$B$6:$B$2405,$A353,Attendance!$A$6:$A$2405,"&gt;="&amp;DATE(LvYear,1,1),Attendance!$A$6:$A$2405,"&lt;="&amp;DATE(LvYear,12,31)))</f>
        <v/>
      </c>
      <c r="S353" s="16" t="str">
        <f aca="false">IF($A353="","",SUMIFS(Attendance!$AY$6:$AY$2405,Attendance!$B$6:$B$2405,$A353,Attendance!$A$6:$A$2405,"&gt;="&amp;DATE(LvYear,1,1),Attendance!$A$6:$A$2405,"&lt;="&amp;DATE(LvYear,12,31)))</f>
        <v/>
      </c>
      <c r="T353" s="16" t="str">
        <f aca="false">IF($A353="","",SUMIFS(Attendance!$AX$6:$AX$2405,Attendance!$B$6:$B$2405,$A353,Attendance!$A$6:$A$2405,"&gt;="&amp;DATE(LvYear,1,1),Attendance!$A$6:$A$2405,"&lt;="&amp;DATE(LvYear,12,31)))</f>
        <v/>
      </c>
      <c r="U353" s="16" t="str">
        <f aca="false">IF($A353="","",SUMIFS(Attendance!$AW$6:$AW$2405,Attendance!$B$6:$B$2405,$A353,Attendance!$A$6:$A$2405,"&gt;="&amp;DATE(LvYear,1,1),Attendance!$A$6:$A$2405,"&lt;="&amp;DATE(LvYear,12,31)))</f>
        <v/>
      </c>
      <c r="V353" s="16" t="str">
        <f aca="false">IF($A353="","",L353-R353)</f>
        <v/>
      </c>
      <c r="W353" s="16" t="str">
        <f aca="false">IF($A353="","",M353-S353)</f>
        <v/>
      </c>
      <c r="X353" s="16" t="str">
        <f aca="false">IF($A353="","",P353-T353)</f>
        <v/>
      </c>
      <c r="Y353" s="16" t="str">
        <f aca="false">IF($A353="","",Q353-U353)</f>
        <v/>
      </c>
      <c r="Z353" s="16" t="str">
        <f aca="false">IF($A353="","",V353+W353+X353)</f>
        <v/>
      </c>
      <c r="AA353" s="16" t="str">
        <f aca="false">IF($A353="","",O353+N(N353)-T353)</f>
        <v/>
      </c>
      <c r="AB353" s="8" t="str">
        <f aca="false">IF($A353="","","CL "&amp;V353&amp;" | SL "&amp;W353&amp;" | PL "&amp;X353&amp;" | TR "&amp;Y353)</f>
        <v/>
      </c>
      <c r="AC353" s="15" t="str">
        <f aca="false">IF($A353="","",IF(F353="Exited","EXITED",IF(AND(ISNUMBER(K353),K353=0),"NOT ELIGIBLE",IF(MIN(V353:X353)&lt;0,"OVER-USED",IF(Z353&lt;=Settings!$C$15,"LOW","OK")))))</f>
        <v/>
      </c>
      <c r="AD353" s="16" t="str">
        <f aca="false">IF(OR(AC353="OVER-USED",AC353="LOW"),COUNTIF(AC$6:AC353,"OVER-USED")+COUNTIF(AC$6:AC353,"LOW"),"")</f>
        <v/>
      </c>
    </row>
    <row r="354" customFormat="false" ht="15" hidden="false" customHeight="false" outlineLevel="0" collapsed="false">
      <c r="A354" s="8" t="str">
        <f aca="false">IF('Employee List'!B354="","",'Employee List'!B354)</f>
        <v/>
      </c>
      <c r="B354" s="8" t="str">
        <f aca="false">IF($A354="","",'Employee List'!C354)</f>
        <v/>
      </c>
      <c r="C354" s="8" t="str">
        <f aca="false">IF($A354="","",'Employee List'!E354&amp;"")</f>
        <v/>
      </c>
      <c r="D354" s="8" t="str">
        <f aca="false">IF($A354="","",'Employee List'!F354&amp;"")</f>
        <v/>
      </c>
      <c r="E354" s="8" t="str">
        <f aca="false">IF($A354="","",'Employee List'!G354&amp;"")</f>
        <v/>
      </c>
      <c r="F354" s="8" t="str">
        <f aca="false">IF($A354="","",'Employee List'!D354)</f>
        <v/>
      </c>
      <c r="G354" s="38" t="str">
        <f aca="false">IF($A354="","",IF('Employee List'!I354="","",'Employee List'!I354))</f>
        <v/>
      </c>
      <c r="H354" s="38" t="str">
        <f aca="false">IF(OR($A354="",G354=""),"",G354+Settings!$C$13)</f>
        <v/>
      </c>
      <c r="I354" s="38" t="str">
        <f aca="false">IF(H354="","",MAX(H354,DATE(LvYear,1,1)))</f>
        <v/>
      </c>
      <c r="J354" s="38" t="str">
        <f aca="false">IF($A354="","",IF('Employee List'!J354="",DATE(LvYear,12,31),MIN('Employee List'!J354,DATE(LvYear,12,31))))</f>
        <v/>
      </c>
      <c r="K354" s="39" t="str">
        <f aca="false">IF(OR(I354="",J354=""),"",MAX(0,J354-I354+1))</f>
        <v/>
      </c>
      <c r="L354" s="16" t="str">
        <f aca="false">IF($A354="","",IF(AND(ISNUMBER(K354),K354=0),0,Settings!$C$10))</f>
        <v/>
      </c>
      <c r="M354" s="16" t="str">
        <f aca="false">IF($A354="","",IF(AND(ISNUMBER(K354),K354=0),0,Settings!$C$11))</f>
        <v/>
      </c>
      <c r="N354" s="40"/>
      <c r="O354" s="16" t="str">
        <f aca="false">IF($A354="","",FLOOR(Settings!$C$12/365*N(K354),0.5))</f>
        <v/>
      </c>
      <c r="P354" s="16" t="str">
        <f aca="false">IF($A354="","",IF(I354="",N(N354),FLOOR(Settings!$C$12/365*MAX(0,MIN(LvAsOf,J354)-I354+1)+N(N354),0.5)))</f>
        <v/>
      </c>
      <c r="Q354" s="16" t="str">
        <f aca="false">IF($A354="","",Settings!$C$14)</f>
        <v/>
      </c>
      <c r="R354" s="16" t="str">
        <f aca="false">IF($A354="","",SUMIFS(Attendance!$AZ$6:$AZ$2405,Attendance!$B$6:$B$2405,$A354,Attendance!$A$6:$A$2405,"&gt;="&amp;DATE(LvYear,1,1),Attendance!$A$6:$A$2405,"&lt;="&amp;DATE(LvYear,12,31)))</f>
        <v/>
      </c>
      <c r="S354" s="16" t="str">
        <f aca="false">IF($A354="","",SUMIFS(Attendance!$AY$6:$AY$2405,Attendance!$B$6:$B$2405,$A354,Attendance!$A$6:$A$2405,"&gt;="&amp;DATE(LvYear,1,1),Attendance!$A$6:$A$2405,"&lt;="&amp;DATE(LvYear,12,31)))</f>
        <v/>
      </c>
      <c r="T354" s="16" t="str">
        <f aca="false">IF($A354="","",SUMIFS(Attendance!$AX$6:$AX$2405,Attendance!$B$6:$B$2405,$A354,Attendance!$A$6:$A$2405,"&gt;="&amp;DATE(LvYear,1,1),Attendance!$A$6:$A$2405,"&lt;="&amp;DATE(LvYear,12,31)))</f>
        <v/>
      </c>
      <c r="U354" s="16" t="str">
        <f aca="false">IF($A354="","",SUMIFS(Attendance!$AW$6:$AW$2405,Attendance!$B$6:$B$2405,$A354,Attendance!$A$6:$A$2405,"&gt;="&amp;DATE(LvYear,1,1),Attendance!$A$6:$A$2405,"&lt;="&amp;DATE(LvYear,12,31)))</f>
        <v/>
      </c>
      <c r="V354" s="16" t="str">
        <f aca="false">IF($A354="","",L354-R354)</f>
        <v/>
      </c>
      <c r="W354" s="16" t="str">
        <f aca="false">IF($A354="","",M354-S354)</f>
        <v/>
      </c>
      <c r="X354" s="16" t="str">
        <f aca="false">IF($A354="","",P354-T354)</f>
        <v/>
      </c>
      <c r="Y354" s="16" t="str">
        <f aca="false">IF($A354="","",Q354-U354)</f>
        <v/>
      </c>
      <c r="Z354" s="16" t="str">
        <f aca="false">IF($A354="","",V354+W354+X354)</f>
        <v/>
      </c>
      <c r="AA354" s="16" t="str">
        <f aca="false">IF($A354="","",O354+N(N354)-T354)</f>
        <v/>
      </c>
      <c r="AB354" s="8" t="str">
        <f aca="false">IF($A354="","","CL "&amp;V354&amp;" | SL "&amp;W354&amp;" | PL "&amp;X354&amp;" | TR "&amp;Y354)</f>
        <v/>
      </c>
      <c r="AC354" s="15" t="str">
        <f aca="false">IF($A354="","",IF(F354="Exited","EXITED",IF(AND(ISNUMBER(K354),K354=0),"NOT ELIGIBLE",IF(MIN(V354:X354)&lt;0,"OVER-USED",IF(Z354&lt;=Settings!$C$15,"LOW","OK")))))</f>
        <v/>
      </c>
      <c r="AD354" s="16" t="str">
        <f aca="false">IF(OR(AC354="OVER-USED",AC354="LOW"),COUNTIF(AC$6:AC354,"OVER-USED")+COUNTIF(AC$6:AC354,"LOW"),"")</f>
        <v/>
      </c>
    </row>
    <row r="355" customFormat="false" ht="15" hidden="false" customHeight="false" outlineLevel="0" collapsed="false">
      <c r="A355" s="8" t="str">
        <f aca="false">IF('Employee List'!B355="","",'Employee List'!B355)</f>
        <v/>
      </c>
      <c r="B355" s="8" t="str">
        <f aca="false">IF($A355="","",'Employee List'!C355)</f>
        <v/>
      </c>
      <c r="C355" s="8" t="str">
        <f aca="false">IF($A355="","",'Employee List'!E355&amp;"")</f>
        <v/>
      </c>
      <c r="D355" s="8" t="str">
        <f aca="false">IF($A355="","",'Employee List'!F355&amp;"")</f>
        <v/>
      </c>
      <c r="E355" s="8" t="str">
        <f aca="false">IF($A355="","",'Employee List'!G355&amp;"")</f>
        <v/>
      </c>
      <c r="F355" s="8" t="str">
        <f aca="false">IF($A355="","",'Employee List'!D355)</f>
        <v/>
      </c>
      <c r="G355" s="38" t="str">
        <f aca="false">IF($A355="","",IF('Employee List'!I355="","",'Employee List'!I355))</f>
        <v/>
      </c>
      <c r="H355" s="38" t="str">
        <f aca="false">IF(OR($A355="",G355=""),"",G355+Settings!$C$13)</f>
        <v/>
      </c>
      <c r="I355" s="38" t="str">
        <f aca="false">IF(H355="","",MAX(H355,DATE(LvYear,1,1)))</f>
        <v/>
      </c>
      <c r="J355" s="38" t="str">
        <f aca="false">IF($A355="","",IF('Employee List'!J355="",DATE(LvYear,12,31),MIN('Employee List'!J355,DATE(LvYear,12,31))))</f>
        <v/>
      </c>
      <c r="K355" s="39" t="str">
        <f aca="false">IF(OR(I355="",J355=""),"",MAX(0,J355-I355+1))</f>
        <v/>
      </c>
      <c r="L355" s="16" t="str">
        <f aca="false">IF($A355="","",IF(AND(ISNUMBER(K355),K355=0),0,Settings!$C$10))</f>
        <v/>
      </c>
      <c r="M355" s="16" t="str">
        <f aca="false">IF($A355="","",IF(AND(ISNUMBER(K355),K355=0),0,Settings!$C$11))</f>
        <v/>
      </c>
      <c r="N355" s="40"/>
      <c r="O355" s="16" t="str">
        <f aca="false">IF($A355="","",FLOOR(Settings!$C$12/365*N(K355),0.5))</f>
        <v/>
      </c>
      <c r="P355" s="16" t="str">
        <f aca="false">IF($A355="","",IF(I355="",N(N355),FLOOR(Settings!$C$12/365*MAX(0,MIN(LvAsOf,J355)-I355+1)+N(N355),0.5)))</f>
        <v/>
      </c>
      <c r="Q355" s="16" t="str">
        <f aca="false">IF($A355="","",Settings!$C$14)</f>
        <v/>
      </c>
      <c r="R355" s="16" t="str">
        <f aca="false">IF($A355="","",SUMIFS(Attendance!$AZ$6:$AZ$2405,Attendance!$B$6:$B$2405,$A355,Attendance!$A$6:$A$2405,"&gt;="&amp;DATE(LvYear,1,1),Attendance!$A$6:$A$2405,"&lt;="&amp;DATE(LvYear,12,31)))</f>
        <v/>
      </c>
      <c r="S355" s="16" t="str">
        <f aca="false">IF($A355="","",SUMIFS(Attendance!$AY$6:$AY$2405,Attendance!$B$6:$B$2405,$A355,Attendance!$A$6:$A$2405,"&gt;="&amp;DATE(LvYear,1,1),Attendance!$A$6:$A$2405,"&lt;="&amp;DATE(LvYear,12,31)))</f>
        <v/>
      </c>
      <c r="T355" s="16" t="str">
        <f aca="false">IF($A355="","",SUMIFS(Attendance!$AX$6:$AX$2405,Attendance!$B$6:$B$2405,$A355,Attendance!$A$6:$A$2405,"&gt;="&amp;DATE(LvYear,1,1),Attendance!$A$6:$A$2405,"&lt;="&amp;DATE(LvYear,12,31)))</f>
        <v/>
      </c>
      <c r="U355" s="16" t="str">
        <f aca="false">IF($A355="","",SUMIFS(Attendance!$AW$6:$AW$2405,Attendance!$B$6:$B$2405,$A355,Attendance!$A$6:$A$2405,"&gt;="&amp;DATE(LvYear,1,1),Attendance!$A$6:$A$2405,"&lt;="&amp;DATE(LvYear,12,31)))</f>
        <v/>
      </c>
      <c r="V355" s="16" t="str">
        <f aca="false">IF($A355="","",L355-R355)</f>
        <v/>
      </c>
      <c r="W355" s="16" t="str">
        <f aca="false">IF($A355="","",M355-S355)</f>
        <v/>
      </c>
      <c r="X355" s="16" t="str">
        <f aca="false">IF($A355="","",P355-T355)</f>
        <v/>
      </c>
      <c r="Y355" s="16" t="str">
        <f aca="false">IF($A355="","",Q355-U355)</f>
        <v/>
      </c>
      <c r="Z355" s="16" t="str">
        <f aca="false">IF($A355="","",V355+W355+X355)</f>
        <v/>
      </c>
      <c r="AA355" s="16" t="str">
        <f aca="false">IF($A355="","",O355+N(N355)-T355)</f>
        <v/>
      </c>
      <c r="AB355" s="8" t="str">
        <f aca="false">IF($A355="","","CL "&amp;V355&amp;" | SL "&amp;W355&amp;" | PL "&amp;X355&amp;" | TR "&amp;Y355)</f>
        <v/>
      </c>
      <c r="AC355" s="15" t="str">
        <f aca="false">IF($A355="","",IF(F355="Exited","EXITED",IF(AND(ISNUMBER(K355),K355=0),"NOT ELIGIBLE",IF(MIN(V355:X355)&lt;0,"OVER-USED",IF(Z355&lt;=Settings!$C$15,"LOW","OK")))))</f>
        <v/>
      </c>
      <c r="AD355" s="16" t="str">
        <f aca="false">IF(OR(AC355="OVER-USED",AC355="LOW"),COUNTIF(AC$6:AC355,"OVER-USED")+COUNTIF(AC$6:AC355,"LOW"),"")</f>
        <v/>
      </c>
    </row>
    <row r="356" customFormat="false" ht="15" hidden="false" customHeight="false" outlineLevel="0" collapsed="false">
      <c r="A356" s="8" t="str">
        <f aca="false">IF('Employee List'!B356="","",'Employee List'!B356)</f>
        <v/>
      </c>
      <c r="B356" s="8" t="str">
        <f aca="false">IF($A356="","",'Employee List'!C356)</f>
        <v/>
      </c>
      <c r="C356" s="8" t="str">
        <f aca="false">IF($A356="","",'Employee List'!E356&amp;"")</f>
        <v/>
      </c>
      <c r="D356" s="8" t="str">
        <f aca="false">IF($A356="","",'Employee List'!F356&amp;"")</f>
        <v/>
      </c>
      <c r="E356" s="8" t="str">
        <f aca="false">IF($A356="","",'Employee List'!G356&amp;"")</f>
        <v/>
      </c>
      <c r="F356" s="8" t="str">
        <f aca="false">IF($A356="","",'Employee List'!D356)</f>
        <v/>
      </c>
      <c r="G356" s="38" t="str">
        <f aca="false">IF($A356="","",IF('Employee List'!I356="","",'Employee List'!I356))</f>
        <v/>
      </c>
      <c r="H356" s="38" t="str">
        <f aca="false">IF(OR($A356="",G356=""),"",G356+Settings!$C$13)</f>
        <v/>
      </c>
      <c r="I356" s="38" t="str">
        <f aca="false">IF(H356="","",MAX(H356,DATE(LvYear,1,1)))</f>
        <v/>
      </c>
      <c r="J356" s="38" t="str">
        <f aca="false">IF($A356="","",IF('Employee List'!J356="",DATE(LvYear,12,31),MIN('Employee List'!J356,DATE(LvYear,12,31))))</f>
        <v/>
      </c>
      <c r="K356" s="39" t="str">
        <f aca="false">IF(OR(I356="",J356=""),"",MAX(0,J356-I356+1))</f>
        <v/>
      </c>
      <c r="L356" s="16" t="str">
        <f aca="false">IF($A356="","",IF(AND(ISNUMBER(K356),K356=0),0,Settings!$C$10))</f>
        <v/>
      </c>
      <c r="M356" s="16" t="str">
        <f aca="false">IF($A356="","",IF(AND(ISNUMBER(K356),K356=0),0,Settings!$C$11))</f>
        <v/>
      </c>
      <c r="N356" s="40"/>
      <c r="O356" s="16" t="str">
        <f aca="false">IF($A356="","",FLOOR(Settings!$C$12/365*N(K356),0.5))</f>
        <v/>
      </c>
      <c r="P356" s="16" t="str">
        <f aca="false">IF($A356="","",IF(I356="",N(N356),FLOOR(Settings!$C$12/365*MAX(0,MIN(LvAsOf,J356)-I356+1)+N(N356),0.5)))</f>
        <v/>
      </c>
      <c r="Q356" s="16" t="str">
        <f aca="false">IF($A356="","",Settings!$C$14)</f>
        <v/>
      </c>
      <c r="R356" s="16" t="str">
        <f aca="false">IF($A356="","",SUMIFS(Attendance!$AZ$6:$AZ$2405,Attendance!$B$6:$B$2405,$A356,Attendance!$A$6:$A$2405,"&gt;="&amp;DATE(LvYear,1,1),Attendance!$A$6:$A$2405,"&lt;="&amp;DATE(LvYear,12,31)))</f>
        <v/>
      </c>
      <c r="S356" s="16" t="str">
        <f aca="false">IF($A356="","",SUMIFS(Attendance!$AY$6:$AY$2405,Attendance!$B$6:$B$2405,$A356,Attendance!$A$6:$A$2405,"&gt;="&amp;DATE(LvYear,1,1),Attendance!$A$6:$A$2405,"&lt;="&amp;DATE(LvYear,12,31)))</f>
        <v/>
      </c>
      <c r="T356" s="16" t="str">
        <f aca="false">IF($A356="","",SUMIFS(Attendance!$AX$6:$AX$2405,Attendance!$B$6:$B$2405,$A356,Attendance!$A$6:$A$2405,"&gt;="&amp;DATE(LvYear,1,1),Attendance!$A$6:$A$2405,"&lt;="&amp;DATE(LvYear,12,31)))</f>
        <v/>
      </c>
      <c r="U356" s="16" t="str">
        <f aca="false">IF($A356="","",SUMIFS(Attendance!$AW$6:$AW$2405,Attendance!$B$6:$B$2405,$A356,Attendance!$A$6:$A$2405,"&gt;="&amp;DATE(LvYear,1,1),Attendance!$A$6:$A$2405,"&lt;="&amp;DATE(LvYear,12,31)))</f>
        <v/>
      </c>
      <c r="V356" s="16" t="str">
        <f aca="false">IF($A356="","",L356-R356)</f>
        <v/>
      </c>
      <c r="W356" s="16" t="str">
        <f aca="false">IF($A356="","",M356-S356)</f>
        <v/>
      </c>
      <c r="X356" s="16" t="str">
        <f aca="false">IF($A356="","",P356-T356)</f>
        <v/>
      </c>
      <c r="Y356" s="16" t="str">
        <f aca="false">IF($A356="","",Q356-U356)</f>
        <v/>
      </c>
      <c r="Z356" s="16" t="str">
        <f aca="false">IF($A356="","",V356+W356+X356)</f>
        <v/>
      </c>
      <c r="AA356" s="16" t="str">
        <f aca="false">IF($A356="","",O356+N(N356)-T356)</f>
        <v/>
      </c>
      <c r="AB356" s="8" t="str">
        <f aca="false">IF($A356="","","CL "&amp;V356&amp;" | SL "&amp;W356&amp;" | PL "&amp;X356&amp;" | TR "&amp;Y356)</f>
        <v/>
      </c>
      <c r="AC356" s="15" t="str">
        <f aca="false">IF($A356="","",IF(F356="Exited","EXITED",IF(AND(ISNUMBER(K356),K356=0),"NOT ELIGIBLE",IF(MIN(V356:X356)&lt;0,"OVER-USED",IF(Z356&lt;=Settings!$C$15,"LOW","OK")))))</f>
        <v/>
      </c>
      <c r="AD356" s="16" t="str">
        <f aca="false">IF(OR(AC356="OVER-USED",AC356="LOW"),COUNTIF(AC$6:AC356,"OVER-USED")+COUNTIF(AC$6:AC356,"LOW"),"")</f>
        <v/>
      </c>
    </row>
    <row r="357" customFormat="false" ht="15" hidden="false" customHeight="false" outlineLevel="0" collapsed="false">
      <c r="A357" s="8" t="str">
        <f aca="false">IF('Employee List'!B357="","",'Employee List'!B357)</f>
        <v/>
      </c>
      <c r="B357" s="8" t="str">
        <f aca="false">IF($A357="","",'Employee List'!C357)</f>
        <v/>
      </c>
      <c r="C357" s="8" t="str">
        <f aca="false">IF($A357="","",'Employee List'!E357&amp;"")</f>
        <v/>
      </c>
      <c r="D357" s="8" t="str">
        <f aca="false">IF($A357="","",'Employee List'!F357&amp;"")</f>
        <v/>
      </c>
      <c r="E357" s="8" t="str">
        <f aca="false">IF($A357="","",'Employee List'!G357&amp;"")</f>
        <v/>
      </c>
      <c r="F357" s="8" t="str">
        <f aca="false">IF($A357="","",'Employee List'!D357)</f>
        <v/>
      </c>
      <c r="G357" s="38" t="str">
        <f aca="false">IF($A357="","",IF('Employee List'!I357="","",'Employee List'!I357))</f>
        <v/>
      </c>
      <c r="H357" s="38" t="str">
        <f aca="false">IF(OR($A357="",G357=""),"",G357+Settings!$C$13)</f>
        <v/>
      </c>
      <c r="I357" s="38" t="str">
        <f aca="false">IF(H357="","",MAX(H357,DATE(LvYear,1,1)))</f>
        <v/>
      </c>
      <c r="J357" s="38" t="str">
        <f aca="false">IF($A357="","",IF('Employee List'!J357="",DATE(LvYear,12,31),MIN('Employee List'!J357,DATE(LvYear,12,31))))</f>
        <v/>
      </c>
      <c r="K357" s="39" t="str">
        <f aca="false">IF(OR(I357="",J357=""),"",MAX(0,J357-I357+1))</f>
        <v/>
      </c>
      <c r="L357" s="16" t="str">
        <f aca="false">IF($A357="","",IF(AND(ISNUMBER(K357),K357=0),0,Settings!$C$10))</f>
        <v/>
      </c>
      <c r="M357" s="16" t="str">
        <f aca="false">IF($A357="","",IF(AND(ISNUMBER(K357),K357=0),0,Settings!$C$11))</f>
        <v/>
      </c>
      <c r="N357" s="40"/>
      <c r="O357" s="16" t="str">
        <f aca="false">IF($A357="","",FLOOR(Settings!$C$12/365*N(K357),0.5))</f>
        <v/>
      </c>
      <c r="P357" s="16" t="str">
        <f aca="false">IF($A357="","",IF(I357="",N(N357),FLOOR(Settings!$C$12/365*MAX(0,MIN(LvAsOf,J357)-I357+1)+N(N357),0.5)))</f>
        <v/>
      </c>
      <c r="Q357" s="16" t="str">
        <f aca="false">IF($A357="","",Settings!$C$14)</f>
        <v/>
      </c>
      <c r="R357" s="16" t="str">
        <f aca="false">IF($A357="","",SUMIFS(Attendance!$AZ$6:$AZ$2405,Attendance!$B$6:$B$2405,$A357,Attendance!$A$6:$A$2405,"&gt;="&amp;DATE(LvYear,1,1),Attendance!$A$6:$A$2405,"&lt;="&amp;DATE(LvYear,12,31)))</f>
        <v/>
      </c>
      <c r="S357" s="16" t="str">
        <f aca="false">IF($A357="","",SUMIFS(Attendance!$AY$6:$AY$2405,Attendance!$B$6:$B$2405,$A357,Attendance!$A$6:$A$2405,"&gt;="&amp;DATE(LvYear,1,1),Attendance!$A$6:$A$2405,"&lt;="&amp;DATE(LvYear,12,31)))</f>
        <v/>
      </c>
      <c r="T357" s="16" t="str">
        <f aca="false">IF($A357="","",SUMIFS(Attendance!$AX$6:$AX$2405,Attendance!$B$6:$B$2405,$A357,Attendance!$A$6:$A$2405,"&gt;="&amp;DATE(LvYear,1,1),Attendance!$A$6:$A$2405,"&lt;="&amp;DATE(LvYear,12,31)))</f>
        <v/>
      </c>
      <c r="U357" s="16" t="str">
        <f aca="false">IF($A357="","",SUMIFS(Attendance!$AW$6:$AW$2405,Attendance!$B$6:$B$2405,$A357,Attendance!$A$6:$A$2405,"&gt;="&amp;DATE(LvYear,1,1),Attendance!$A$6:$A$2405,"&lt;="&amp;DATE(LvYear,12,31)))</f>
        <v/>
      </c>
      <c r="V357" s="16" t="str">
        <f aca="false">IF($A357="","",L357-R357)</f>
        <v/>
      </c>
      <c r="W357" s="16" t="str">
        <f aca="false">IF($A357="","",M357-S357)</f>
        <v/>
      </c>
      <c r="X357" s="16" t="str">
        <f aca="false">IF($A357="","",P357-T357)</f>
        <v/>
      </c>
      <c r="Y357" s="16" t="str">
        <f aca="false">IF($A357="","",Q357-U357)</f>
        <v/>
      </c>
      <c r="Z357" s="16" t="str">
        <f aca="false">IF($A357="","",V357+W357+X357)</f>
        <v/>
      </c>
      <c r="AA357" s="16" t="str">
        <f aca="false">IF($A357="","",O357+N(N357)-T357)</f>
        <v/>
      </c>
      <c r="AB357" s="8" t="str">
        <f aca="false">IF($A357="","","CL "&amp;V357&amp;" | SL "&amp;W357&amp;" | PL "&amp;X357&amp;" | TR "&amp;Y357)</f>
        <v/>
      </c>
      <c r="AC357" s="15" t="str">
        <f aca="false">IF($A357="","",IF(F357="Exited","EXITED",IF(AND(ISNUMBER(K357),K357=0),"NOT ELIGIBLE",IF(MIN(V357:X357)&lt;0,"OVER-USED",IF(Z357&lt;=Settings!$C$15,"LOW","OK")))))</f>
        <v/>
      </c>
      <c r="AD357" s="16" t="str">
        <f aca="false">IF(OR(AC357="OVER-USED",AC357="LOW"),COUNTIF(AC$6:AC357,"OVER-USED")+COUNTIF(AC$6:AC357,"LOW"),"")</f>
        <v/>
      </c>
    </row>
    <row r="358" customFormat="false" ht="15" hidden="false" customHeight="false" outlineLevel="0" collapsed="false">
      <c r="A358" s="8" t="str">
        <f aca="false">IF('Employee List'!B358="","",'Employee List'!B358)</f>
        <v/>
      </c>
      <c r="B358" s="8" t="str">
        <f aca="false">IF($A358="","",'Employee List'!C358)</f>
        <v/>
      </c>
      <c r="C358" s="8" t="str">
        <f aca="false">IF($A358="","",'Employee List'!E358&amp;"")</f>
        <v/>
      </c>
      <c r="D358" s="8" t="str">
        <f aca="false">IF($A358="","",'Employee List'!F358&amp;"")</f>
        <v/>
      </c>
      <c r="E358" s="8" t="str">
        <f aca="false">IF($A358="","",'Employee List'!G358&amp;"")</f>
        <v/>
      </c>
      <c r="F358" s="8" t="str">
        <f aca="false">IF($A358="","",'Employee List'!D358)</f>
        <v/>
      </c>
      <c r="G358" s="38" t="str">
        <f aca="false">IF($A358="","",IF('Employee List'!I358="","",'Employee List'!I358))</f>
        <v/>
      </c>
      <c r="H358" s="38" t="str">
        <f aca="false">IF(OR($A358="",G358=""),"",G358+Settings!$C$13)</f>
        <v/>
      </c>
      <c r="I358" s="38" t="str">
        <f aca="false">IF(H358="","",MAX(H358,DATE(LvYear,1,1)))</f>
        <v/>
      </c>
      <c r="J358" s="38" t="str">
        <f aca="false">IF($A358="","",IF('Employee List'!J358="",DATE(LvYear,12,31),MIN('Employee List'!J358,DATE(LvYear,12,31))))</f>
        <v/>
      </c>
      <c r="K358" s="39" t="str">
        <f aca="false">IF(OR(I358="",J358=""),"",MAX(0,J358-I358+1))</f>
        <v/>
      </c>
      <c r="L358" s="16" t="str">
        <f aca="false">IF($A358="","",IF(AND(ISNUMBER(K358),K358=0),0,Settings!$C$10))</f>
        <v/>
      </c>
      <c r="M358" s="16" t="str">
        <f aca="false">IF($A358="","",IF(AND(ISNUMBER(K358),K358=0),0,Settings!$C$11))</f>
        <v/>
      </c>
      <c r="N358" s="40"/>
      <c r="O358" s="16" t="str">
        <f aca="false">IF($A358="","",FLOOR(Settings!$C$12/365*N(K358),0.5))</f>
        <v/>
      </c>
      <c r="P358" s="16" t="str">
        <f aca="false">IF($A358="","",IF(I358="",N(N358),FLOOR(Settings!$C$12/365*MAX(0,MIN(LvAsOf,J358)-I358+1)+N(N358),0.5)))</f>
        <v/>
      </c>
      <c r="Q358" s="16" t="str">
        <f aca="false">IF($A358="","",Settings!$C$14)</f>
        <v/>
      </c>
      <c r="R358" s="16" t="str">
        <f aca="false">IF($A358="","",SUMIFS(Attendance!$AZ$6:$AZ$2405,Attendance!$B$6:$B$2405,$A358,Attendance!$A$6:$A$2405,"&gt;="&amp;DATE(LvYear,1,1),Attendance!$A$6:$A$2405,"&lt;="&amp;DATE(LvYear,12,31)))</f>
        <v/>
      </c>
      <c r="S358" s="16" t="str">
        <f aca="false">IF($A358="","",SUMIFS(Attendance!$AY$6:$AY$2405,Attendance!$B$6:$B$2405,$A358,Attendance!$A$6:$A$2405,"&gt;="&amp;DATE(LvYear,1,1),Attendance!$A$6:$A$2405,"&lt;="&amp;DATE(LvYear,12,31)))</f>
        <v/>
      </c>
      <c r="T358" s="16" t="str">
        <f aca="false">IF($A358="","",SUMIFS(Attendance!$AX$6:$AX$2405,Attendance!$B$6:$B$2405,$A358,Attendance!$A$6:$A$2405,"&gt;="&amp;DATE(LvYear,1,1),Attendance!$A$6:$A$2405,"&lt;="&amp;DATE(LvYear,12,31)))</f>
        <v/>
      </c>
      <c r="U358" s="16" t="str">
        <f aca="false">IF($A358="","",SUMIFS(Attendance!$AW$6:$AW$2405,Attendance!$B$6:$B$2405,$A358,Attendance!$A$6:$A$2405,"&gt;="&amp;DATE(LvYear,1,1),Attendance!$A$6:$A$2405,"&lt;="&amp;DATE(LvYear,12,31)))</f>
        <v/>
      </c>
      <c r="V358" s="16" t="str">
        <f aca="false">IF($A358="","",L358-R358)</f>
        <v/>
      </c>
      <c r="W358" s="16" t="str">
        <f aca="false">IF($A358="","",M358-S358)</f>
        <v/>
      </c>
      <c r="X358" s="16" t="str">
        <f aca="false">IF($A358="","",P358-T358)</f>
        <v/>
      </c>
      <c r="Y358" s="16" t="str">
        <f aca="false">IF($A358="","",Q358-U358)</f>
        <v/>
      </c>
      <c r="Z358" s="16" t="str">
        <f aca="false">IF($A358="","",V358+W358+X358)</f>
        <v/>
      </c>
      <c r="AA358" s="16" t="str">
        <f aca="false">IF($A358="","",O358+N(N358)-T358)</f>
        <v/>
      </c>
      <c r="AB358" s="8" t="str">
        <f aca="false">IF($A358="","","CL "&amp;V358&amp;" | SL "&amp;W358&amp;" | PL "&amp;X358&amp;" | TR "&amp;Y358)</f>
        <v/>
      </c>
      <c r="AC358" s="15" t="str">
        <f aca="false">IF($A358="","",IF(F358="Exited","EXITED",IF(AND(ISNUMBER(K358),K358=0),"NOT ELIGIBLE",IF(MIN(V358:X358)&lt;0,"OVER-USED",IF(Z358&lt;=Settings!$C$15,"LOW","OK")))))</f>
        <v/>
      </c>
      <c r="AD358" s="16" t="str">
        <f aca="false">IF(OR(AC358="OVER-USED",AC358="LOW"),COUNTIF(AC$6:AC358,"OVER-USED")+COUNTIF(AC$6:AC358,"LOW"),"")</f>
        <v/>
      </c>
    </row>
    <row r="359" customFormat="false" ht="15" hidden="false" customHeight="false" outlineLevel="0" collapsed="false">
      <c r="A359" s="8" t="str">
        <f aca="false">IF('Employee List'!B359="","",'Employee List'!B359)</f>
        <v/>
      </c>
      <c r="B359" s="8" t="str">
        <f aca="false">IF($A359="","",'Employee List'!C359)</f>
        <v/>
      </c>
      <c r="C359" s="8" t="str">
        <f aca="false">IF($A359="","",'Employee List'!E359&amp;"")</f>
        <v/>
      </c>
      <c r="D359" s="8" t="str">
        <f aca="false">IF($A359="","",'Employee List'!F359&amp;"")</f>
        <v/>
      </c>
      <c r="E359" s="8" t="str">
        <f aca="false">IF($A359="","",'Employee List'!G359&amp;"")</f>
        <v/>
      </c>
      <c r="F359" s="8" t="str">
        <f aca="false">IF($A359="","",'Employee List'!D359)</f>
        <v/>
      </c>
      <c r="G359" s="38" t="str">
        <f aca="false">IF($A359="","",IF('Employee List'!I359="","",'Employee List'!I359))</f>
        <v/>
      </c>
      <c r="H359" s="38" t="str">
        <f aca="false">IF(OR($A359="",G359=""),"",G359+Settings!$C$13)</f>
        <v/>
      </c>
      <c r="I359" s="38" t="str">
        <f aca="false">IF(H359="","",MAX(H359,DATE(LvYear,1,1)))</f>
        <v/>
      </c>
      <c r="J359" s="38" t="str">
        <f aca="false">IF($A359="","",IF('Employee List'!J359="",DATE(LvYear,12,31),MIN('Employee List'!J359,DATE(LvYear,12,31))))</f>
        <v/>
      </c>
      <c r="K359" s="39" t="str">
        <f aca="false">IF(OR(I359="",J359=""),"",MAX(0,J359-I359+1))</f>
        <v/>
      </c>
      <c r="L359" s="16" t="str">
        <f aca="false">IF($A359="","",IF(AND(ISNUMBER(K359),K359=0),0,Settings!$C$10))</f>
        <v/>
      </c>
      <c r="M359" s="16" t="str">
        <f aca="false">IF($A359="","",IF(AND(ISNUMBER(K359),K359=0),0,Settings!$C$11))</f>
        <v/>
      </c>
      <c r="N359" s="40"/>
      <c r="O359" s="16" t="str">
        <f aca="false">IF($A359="","",FLOOR(Settings!$C$12/365*N(K359),0.5))</f>
        <v/>
      </c>
      <c r="P359" s="16" t="str">
        <f aca="false">IF($A359="","",IF(I359="",N(N359),FLOOR(Settings!$C$12/365*MAX(0,MIN(LvAsOf,J359)-I359+1)+N(N359),0.5)))</f>
        <v/>
      </c>
      <c r="Q359" s="16" t="str">
        <f aca="false">IF($A359="","",Settings!$C$14)</f>
        <v/>
      </c>
      <c r="R359" s="16" t="str">
        <f aca="false">IF($A359="","",SUMIFS(Attendance!$AZ$6:$AZ$2405,Attendance!$B$6:$B$2405,$A359,Attendance!$A$6:$A$2405,"&gt;="&amp;DATE(LvYear,1,1),Attendance!$A$6:$A$2405,"&lt;="&amp;DATE(LvYear,12,31)))</f>
        <v/>
      </c>
      <c r="S359" s="16" t="str">
        <f aca="false">IF($A359="","",SUMIFS(Attendance!$AY$6:$AY$2405,Attendance!$B$6:$B$2405,$A359,Attendance!$A$6:$A$2405,"&gt;="&amp;DATE(LvYear,1,1),Attendance!$A$6:$A$2405,"&lt;="&amp;DATE(LvYear,12,31)))</f>
        <v/>
      </c>
      <c r="T359" s="16" t="str">
        <f aca="false">IF($A359="","",SUMIFS(Attendance!$AX$6:$AX$2405,Attendance!$B$6:$B$2405,$A359,Attendance!$A$6:$A$2405,"&gt;="&amp;DATE(LvYear,1,1),Attendance!$A$6:$A$2405,"&lt;="&amp;DATE(LvYear,12,31)))</f>
        <v/>
      </c>
      <c r="U359" s="16" t="str">
        <f aca="false">IF($A359="","",SUMIFS(Attendance!$AW$6:$AW$2405,Attendance!$B$6:$B$2405,$A359,Attendance!$A$6:$A$2405,"&gt;="&amp;DATE(LvYear,1,1),Attendance!$A$6:$A$2405,"&lt;="&amp;DATE(LvYear,12,31)))</f>
        <v/>
      </c>
      <c r="V359" s="16" t="str">
        <f aca="false">IF($A359="","",L359-R359)</f>
        <v/>
      </c>
      <c r="W359" s="16" t="str">
        <f aca="false">IF($A359="","",M359-S359)</f>
        <v/>
      </c>
      <c r="X359" s="16" t="str">
        <f aca="false">IF($A359="","",P359-T359)</f>
        <v/>
      </c>
      <c r="Y359" s="16" t="str">
        <f aca="false">IF($A359="","",Q359-U359)</f>
        <v/>
      </c>
      <c r="Z359" s="16" t="str">
        <f aca="false">IF($A359="","",V359+W359+X359)</f>
        <v/>
      </c>
      <c r="AA359" s="16" t="str">
        <f aca="false">IF($A359="","",O359+N(N359)-T359)</f>
        <v/>
      </c>
      <c r="AB359" s="8" t="str">
        <f aca="false">IF($A359="","","CL "&amp;V359&amp;" | SL "&amp;W359&amp;" | PL "&amp;X359&amp;" | TR "&amp;Y359)</f>
        <v/>
      </c>
      <c r="AC359" s="15" t="str">
        <f aca="false">IF($A359="","",IF(F359="Exited","EXITED",IF(AND(ISNUMBER(K359),K359=0),"NOT ELIGIBLE",IF(MIN(V359:X359)&lt;0,"OVER-USED",IF(Z359&lt;=Settings!$C$15,"LOW","OK")))))</f>
        <v/>
      </c>
      <c r="AD359" s="16" t="str">
        <f aca="false">IF(OR(AC359="OVER-USED",AC359="LOW"),COUNTIF(AC$6:AC359,"OVER-USED")+COUNTIF(AC$6:AC359,"LOW"),"")</f>
        <v/>
      </c>
    </row>
    <row r="360" customFormat="false" ht="15" hidden="false" customHeight="false" outlineLevel="0" collapsed="false">
      <c r="A360" s="8" t="str">
        <f aca="false">IF('Employee List'!B360="","",'Employee List'!B360)</f>
        <v/>
      </c>
      <c r="B360" s="8" t="str">
        <f aca="false">IF($A360="","",'Employee List'!C360)</f>
        <v/>
      </c>
      <c r="C360" s="8" t="str">
        <f aca="false">IF($A360="","",'Employee List'!E360&amp;"")</f>
        <v/>
      </c>
      <c r="D360" s="8" t="str">
        <f aca="false">IF($A360="","",'Employee List'!F360&amp;"")</f>
        <v/>
      </c>
      <c r="E360" s="8" t="str">
        <f aca="false">IF($A360="","",'Employee List'!G360&amp;"")</f>
        <v/>
      </c>
      <c r="F360" s="8" t="str">
        <f aca="false">IF($A360="","",'Employee List'!D360)</f>
        <v/>
      </c>
      <c r="G360" s="38" t="str">
        <f aca="false">IF($A360="","",IF('Employee List'!I360="","",'Employee List'!I360))</f>
        <v/>
      </c>
      <c r="H360" s="38" t="str">
        <f aca="false">IF(OR($A360="",G360=""),"",G360+Settings!$C$13)</f>
        <v/>
      </c>
      <c r="I360" s="38" t="str">
        <f aca="false">IF(H360="","",MAX(H360,DATE(LvYear,1,1)))</f>
        <v/>
      </c>
      <c r="J360" s="38" t="str">
        <f aca="false">IF($A360="","",IF('Employee List'!J360="",DATE(LvYear,12,31),MIN('Employee List'!J360,DATE(LvYear,12,31))))</f>
        <v/>
      </c>
      <c r="K360" s="39" t="str">
        <f aca="false">IF(OR(I360="",J360=""),"",MAX(0,J360-I360+1))</f>
        <v/>
      </c>
      <c r="L360" s="16" t="str">
        <f aca="false">IF($A360="","",IF(AND(ISNUMBER(K360),K360=0),0,Settings!$C$10))</f>
        <v/>
      </c>
      <c r="M360" s="16" t="str">
        <f aca="false">IF($A360="","",IF(AND(ISNUMBER(K360),K360=0),0,Settings!$C$11))</f>
        <v/>
      </c>
      <c r="N360" s="40"/>
      <c r="O360" s="16" t="str">
        <f aca="false">IF($A360="","",FLOOR(Settings!$C$12/365*N(K360),0.5))</f>
        <v/>
      </c>
      <c r="P360" s="16" t="str">
        <f aca="false">IF($A360="","",IF(I360="",N(N360),FLOOR(Settings!$C$12/365*MAX(0,MIN(LvAsOf,J360)-I360+1)+N(N360),0.5)))</f>
        <v/>
      </c>
      <c r="Q360" s="16" t="str">
        <f aca="false">IF($A360="","",Settings!$C$14)</f>
        <v/>
      </c>
      <c r="R360" s="16" t="str">
        <f aca="false">IF($A360="","",SUMIFS(Attendance!$AZ$6:$AZ$2405,Attendance!$B$6:$B$2405,$A360,Attendance!$A$6:$A$2405,"&gt;="&amp;DATE(LvYear,1,1),Attendance!$A$6:$A$2405,"&lt;="&amp;DATE(LvYear,12,31)))</f>
        <v/>
      </c>
      <c r="S360" s="16" t="str">
        <f aca="false">IF($A360="","",SUMIFS(Attendance!$AY$6:$AY$2405,Attendance!$B$6:$B$2405,$A360,Attendance!$A$6:$A$2405,"&gt;="&amp;DATE(LvYear,1,1),Attendance!$A$6:$A$2405,"&lt;="&amp;DATE(LvYear,12,31)))</f>
        <v/>
      </c>
      <c r="T360" s="16" t="str">
        <f aca="false">IF($A360="","",SUMIFS(Attendance!$AX$6:$AX$2405,Attendance!$B$6:$B$2405,$A360,Attendance!$A$6:$A$2405,"&gt;="&amp;DATE(LvYear,1,1),Attendance!$A$6:$A$2405,"&lt;="&amp;DATE(LvYear,12,31)))</f>
        <v/>
      </c>
      <c r="U360" s="16" t="str">
        <f aca="false">IF($A360="","",SUMIFS(Attendance!$AW$6:$AW$2405,Attendance!$B$6:$B$2405,$A360,Attendance!$A$6:$A$2405,"&gt;="&amp;DATE(LvYear,1,1),Attendance!$A$6:$A$2405,"&lt;="&amp;DATE(LvYear,12,31)))</f>
        <v/>
      </c>
      <c r="V360" s="16" t="str">
        <f aca="false">IF($A360="","",L360-R360)</f>
        <v/>
      </c>
      <c r="W360" s="16" t="str">
        <f aca="false">IF($A360="","",M360-S360)</f>
        <v/>
      </c>
      <c r="X360" s="16" t="str">
        <f aca="false">IF($A360="","",P360-T360)</f>
        <v/>
      </c>
      <c r="Y360" s="16" t="str">
        <f aca="false">IF($A360="","",Q360-U360)</f>
        <v/>
      </c>
      <c r="Z360" s="16" t="str">
        <f aca="false">IF($A360="","",V360+W360+X360)</f>
        <v/>
      </c>
      <c r="AA360" s="16" t="str">
        <f aca="false">IF($A360="","",O360+N(N360)-T360)</f>
        <v/>
      </c>
      <c r="AB360" s="8" t="str">
        <f aca="false">IF($A360="","","CL "&amp;V360&amp;" | SL "&amp;W360&amp;" | PL "&amp;X360&amp;" | TR "&amp;Y360)</f>
        <v/>
      </c>
      <c r="AC360" s="15" t="str">
        <f aca="false">IF($A360="","",IF(F360="Exited","EXITED",IF(AND(ISNUMBER(K360),K360=0),"NOT ELIGIBLE",IF(MIN(V360:X360)&lt;0,"OVER-USED",IF(Z360&lt;=Settings!$C$15,"LOW","OK")))))</f>
        <v/>
      </c>
      <c r="AD360" s="16" t="str">
        <f aca="false">IF(OR(AC360="OVER-USED",AC360="LOW"),COUNTIF(AC$6:AC360,"OVER-USED")+COUNTIF(AC$6:AC360,"LOW"),"")</f>
        <v/>
      </c>
    </row>
    <row r="361" customFormat="false" ht="15" hidden="false" customHeight="false" outlineLevel="0" collapsed="false">
      <c r="A361" s="8" t="str">
        <f aca="false">IF('Employee List'!B361="","",'Employee List'!B361)</f>
        <v/>
      </c>
      <c r="B361" s="8" t="str">
        <f aca="false">IF($A361="","",'Employee List'!C361)</f>
        <v/>
      </c>
      <c r="C361" s="8" t="str">
        <f aca="false">IF($A361="","",'Employee List'!E361&amp;"")</f>
        <v/>
      </c>
      <c r="D361" s="8" t="str">
        <f aca="false">IF($A361="","",'Employee List'!F361&amp;"")</f>
        <v/>
      </c>
      <c r="E361" s="8" t="str">
        <f aca="false">IF($A361="","",'Employee List'!G361&amp;"")</f>
        <v/>
      </c>
      <c r="F361" s="8" t="str">
        <f aca="false">IF($A361="","",'Employee List'!D361)</f>
        <v/>
      </c>
      <c r="G361" s="38" t="str">
        <f aca="false">IF($A361="","",IF('Employee List'!I361="","",'Employee List'!I361))</f>
        <v/>
      </c>
      <c r="H361" s="38" t="str">
        <f aca="false">IF(OR($A361="",G361=""),"",G361+Settings!$C$13)</f>
        <v/>
      </c>
      <c r="I361" s="38" t="str">
        <f aca="false">IF(H361="","",MAX(H361,DATE(LvYear,1,1)))</f>
        <v/>
      </c>
      <c r="J361" s="38" t="str">
        <f aca="false">IF($A361="","",IF('Employee List'!J361="",DATE(LvYear,12,31),MIN('Employee List'!J361,DATE(LvYear,12,31))))</f>
        <v/>
      </c>
      <c r="K361" s="39" t="str">
        <f aca="false">IF(OR(I361="",J361=""),"",MAX(0,J361-I361+1))</f>
        <v/>
      </c>
      <c r="L361" s="16" t="str">
        <f aca="false">IF($A361="","",IF(AND(ISNUMBER(K361),K361=0),0,Settings!$C$10))</f>
        <v/>
      </c>
      <c r="M361" s="16" t="str">
        <f aca="false">IF($A361="","",IF(AND(ISNUMBER(K361),K361=0),0,Settings!$C$11))</f>
        <v/>
      </c>
      <c r="N361" s="40"/>
      <c r="O361" s="16" t="str">
        <f aca="false">IF($A361="","",FLOOR(Settings!$C$12/365*N(K361),0.5))</f>
        <v/>
      </c>
      <c r="P361" s="16" t="str">
        <f aca="false">IF($A361="","",IF(I361="",N(N361),FLOOR(Settings!$C$12/365*MAX(0,MIN(LvAsOf,J361)-I361+1)+N(N361),0.5)))</f>
        <v/>
      </c>
      <c r="Q361" s="16" t="str">
        <f aca="false">IF($A361="","",Settings!$C$14)</f>
        <v/>
      </c>
      <c r="R361" s="16" t="str">
        <f aca="false">IF($A361="","",SUMIFS(Attendance!$AZ$6:$AZ$2405,Attendance!$B$6:$B$2405,$A361,Attendance!$A$6:$A$2405,"&gt;="&amp;DATE(LvYear,1,1),Attendance!$A$6:$A$2405,"&lt;="&amp;DATE(LvYear,12,31)))</f>
        <v/>
      </c>
      <c r="S361" s="16" t="str">
        <f aca="false">IF($A361="","",SUMIFS(Attendance!$AY$6:$AY$2405,Attendance!$B$6:$B$2405,$A361,Attendance!$A$6:$A$2405,"&gt;="&amp;DATE(LvYear,1,1),Attendance!$A$6:$A$2405,"&lt;="&amp;DATE(LvYear,12,31)))</f>
        <v/>
      </c>
      <c r="T361" s="16" t="str">
        <f aca="false">IF($A361="","",SUMIFS(Attendance!$AX$6:$AX$2405,Attendance!$B$6:$B$2405,$A361,Attendance!$A$6:$A$2405,"&gt;="&amp;DATE(LvYear,1,1),Attendance!$A$6:$A$2405,"&lt;="&amp;DATE(LvYear,12,31)))</f>
        <v/>
      </c>
      <c r="U361" s="16" t="str">
        <f aca="false">IF($A361="","",SUMIFS(Attendance!$AW$6:$AW$2405,Attendance!$B$6:$B$2405,$A361,Attendance!$A$6:$A$2405,"&gt;="&amp;DATE(LvYear,1,1),Attendance!$A$6:$A$2405,"&lt;="&amp;DATE(LvYear,12,31)))</f>
        <v/>
      </c>
      <c r="V361" s="16" t="str">
        <f aca="false">IF($A361="","",L361-R361)</f>
        <v/>
      </c>
      <c r="W361" s="16" t="str">
        <f aca="false">IF($A361="","",M361-S361)</f>
        <v/>
      </c>
      <c r="X361" s="16" t="str">
        <f aca="false">IF($A361="","",P361-T361)</f>
        <v/>
      </c>
      <c r="Y361" s="16" t="str">
        <f aca="false">IF($A361="","",Q361-U361)</f>
        <v/>
      </c>
      <c r="Z361" s="16" t="str">
        <f aca="false">IF($A361="","",V361+W361+X361)</f>
        <v/>
      </c>
      <c r="AA361" s="16" t="str">
        <f aca="false">IF($A361="","",O361+N(N361)-T361)</f>
        <v/>
      </c>
      <c r="AB361" s="8" t="str">
        <f aca="false">IF($A361="","","CL "&amp;V361&amp;" | SL "&amp;W361&amp;" | PL "&amp;X361&amp;" | TR "&amp;Y361)</f>
        <v/>
      </c>
      <c r="AC361" s="15" t="str">
        <f aca="false">IF($A361="","",IF(F361="Exited","EXITED",IF(AND(ISNUMBER(K361),K361=0),"NOT ELIGIBLE",IF(MIN(V361:X361)&lt;0,"OVER-USED",IF(Z361&lt;=Settings!$C$15,"LOW","OK")))))</f>
        <v/>
      </c>
      <c r="AD361" s="16" t="str">
        <f aca="false">IF(OR(AC361="OVER-USED",AC361="LOW"),COUNTIF(AC$6:AC361,"OVER-USED")+COUNTIF(AC$6:AC361,"LOW"),"")</f>
        <v/>
      </c>
    </row>
    <row r="362" customFormat="false" ht="15" hidden="false" customHeight="false" outlineLevel="0" collapsed="false">
      <c r="A362" s="8" t="str">
        <f aca="false">IF('Employee List'!B362="","",'Employee List'!B362)</f>
        <v/>
      </c>
      <c r="B362" s="8" t="str">
        <f aca="false">IF($A362="","",'Employee List'!C362)</f>
        <v/>
      </c>
      <c r="C362" s="8" t="str">
        <f aca="false">IF($A362="","",'Employee List'!E362&amp;"")</f>
        <v/>
      </c>
      <c r="D362" s="8" t="str">
        <f aca="false">IF($A362="","",'Employee List'!F362&amp;"")</f>
        <v/>
      </c>
      <c r="E362" s="8" t="str">
        <f aca="false">IF($A362="","",'Employee List'!G362&amp;"")</f>
        <v/>
      </c>
      <c r="F362" s="8" t="str">
        <f aca="false">IF($A362="","",'Employee List'!D362)</f>
        <v/>
      </c>
      <c r="G362" s="38" t="str">
        <f aca="false">IF($A362="","",IF('Employee List'!I362="","",'Employee List'!I362))</f>
        <v/>
      </c>
      <c r="H362" s="38" t="str">
        <f aca="false">IF(OR($A362="",G362=""),"",G362+Settings!$C$13)</f>
        <v/>
      </c>
      <c r="I362" s="38" t="str">
        <f aca="false">IF(H362="","",MAX(H362,DATE(LvYear,1,1)))</f>
        <v/>
      </c>
      <c r="J362" s="38" t="str">
        <f aca="false">IF($A362="","",IF('Employee List'!J362="",DATE(LvYear,12,31),MIN('Employee List'!J362,DATE(LvYear,12,31))))</f>
        <v/>
      </c>
      <c r="K362" s="39" t="str">
        <f aca="false">IF(OR(I362="",J362=""),"",MAX(0,J362-I362+1))</f>
        <v/>
      </c>
      <c r="L362" s="16" t="str">
        <f aca="false">IF($A362="","",IF(AND(ISNUMBER(K362),K362=0),0,Settings!$C$10))</f>
        <v/>
      </c>
      <c r="M362" s="16" t="str">
        <f aca="false">IF($A362="","",IF(AND(ISNUMBER(K362),K362=0),0,Settings!$C$11))</f>
        <v/>
      </c>
      <c r="N362" s="40"/>
      <c r="O362" s="16" t="str">
        <f aca="false">IF($A362="","",FLOOR(Settings!$C$12/365*N(K362),0.5))</f>
        <v/>
      </c>
      <c r="P362" s="16" t="str">
        <f aca="false">IF($A362="","",IF(I362="",N(N362),FLOOR(Settings!$C$12/365*MAX(0,MIN(LvAsOf,J362)-I362+1)+N(N362),0.5)))</f>
        <v/>
      </c>
      <c r="Q362" s="16" t="str">
        <f aca="false">IF($A362="","",Settings!$C$14)</f>
        <v/>
      </c>
      <c r="R362" s="16" t="str">
        <f aca="false">IF($A362="","",SUMIFS(Attendance!$AZ$6:$AZ$2405,Attendance!$B$6:$B$2405,$A362,Attendance!$A$6:$A$2405,"&gt;="&amp;DATE(LvYear,1,1),Attendance!$A$6:$A$2405,"&lt;="&amp;DATE(LvYear,12,31)))</f>
        <v/>
      </c>
      <c r="S362" s="16" t="str">
        <f aca="false">IF($A362="","",SUMIFS(Attendance!$AY$6:$AY$2405,Attendance!$B$6:$B$2405,$A362,Attendance!$A$6:$A$2405,"&gt;="&amp;DATE(LvYear,1,1),Attendance!$A$6:$A$2405,"&lt;="&amp;DATE(LvYear,12,31)))</f>
        <v/>
      </c>
      <c r="T362" s="16" t="str">
        <f aca="false">IF($A362="","",SUMIFS(Attendance!$AX$6:$AX$2405,Attendance!$B$6:$B$2405,$A362,Attendance!$A$6:$A$2405,"&gt;="&amp;DATE(LvYear,1,1),Attendance!$A$6:$A$2405,"&lt;="&amp;DATE(LvYear,12,31)))</f>
        <v/>
      </c>
      <c r="U362" s="16" t="str">
        <f aca="false">IF($A362="","",SUMIFS(Attendance!$AW$6:$AW$2405,Attendance!$B$6:$B$2405,$A362,Attendance!$A$6:$A$2405,"&gt;="&amp;DATE(LvYear,1,1),Attendance!$A$6:$A$2405,"&lt;="&amp;DATE(LvYear,12,31)))</f>
        <v/>
      </c>
      <c r="V362" s="16" t="str">
        <f aca="false">IF($A362="","",L362-R362)</f>
        <v/>
      </c>
      <c r="W362" s="16" t="str">
        <f aca="false">IF($A362="","",M362-S362)</f>
        <v/>
      </c>
      <c r="X362" s="16" t="str">
        <f aca="false">IF($A362="","",P362-T362)</f>
        <v/>
      </c>
      <c r="Y362" s="16" t="str">
        <f aca="false">IF($A362="","",Q362-U362)</f>
        <v/>
      </c>
      <c r="Z362" s="16" t="str">
        <f aca="false">IF($A362="","",V362+W362+X362)</f>
        <v/>
      </c>
      <c r="AA362" s="16" t="str">
        <f aca="false">IF($A362="","",O362+N(N362)-T362)</f>
        <v/>
      </c>
      <c r="AB362" s="8" t="str">
        <f aca="false">IF($A362="","","CL "&amp;V362&amp;" | SL "&amp;W362&amp;" | PL "&amp;X362&amp;" | TR "&amp;Y362)</f>
        <v/>
      </c>
      <c r="AC362" s="15" t="str">
        <f aca="false">IF($A362="","",IF(F362="Exited","EXITED",IF(AND(ISNUMBER(K362),K362=0),"NOT ELIGIBLE",IF(MIN(V362:X362)&lt;0,"OVER-USED",IF(Z362&lt;=Settings!$C$15,"LOW","OK")))))</f>
        <v/>
      </c>
      <c r="AD362" s="16" t="str">
        <f aca="false">IF(OR(AC362="OVER-USED",AC362="LOW"),COUNTIF(AC$6:AC362,"OVER-USED")+COUNTIF(AC$6:AC362,"LOW"),"")</f>
        <v/>
      </c>
    </row>
    <row r="363" customFormat="false" ht="15" hidden="false" customHeight="false" outlineLevel="0" collapsed="false">
      <c r="A363" s="8" t="str">
        <f aca="false">IF('Employee List'!B363="","",'Employee List'!B363)</f>
        <v/>
      </c>
      <c r="B363" s="8" t="str">
        <f aca="false">IF($A363="","",'Employee List'!C363)</f>
        <v/>
      </c>
      <c r="C363" s="8" t="str">
        <f aca="false">IF($A363="","",'Employee List'!E363&amp;"")</f>
        <v/>
      </c>
      <c r="D363" s="8" t="str">
        <f aca="false">IF($A363="","",'Employee List'!F363&amp;"")</f>
        <v/>
      </c>
      <c r="E363" s="8" t="str">
        <f aca="false">IF($A363="","",'Employee List'!G363&amp;"")</f>
        <v/>
      </c>
      <c r="F363" s="8" t="str">
        <f aca="false">IF($A363="","",'Employee List'!D363)</f>
        <v/>
      </c>
      <c r="G363" s="38" t="str">
        <f aca="false">IF($A363="","",IF('Employee List'!I363="","",'Employee List'!I363))</f>
        <v/>
      </c>
      <c r="H363" s="38" t="str">
        <f aca="false">IF(OR($A363="",G363=""),"",G363+Settings!$C$13)</f>
        <v/>
      </c>
      <c r="I363" s="38" t="str">
        <f aca="false">IF(H363="","",MAX(H363,DATE(LvYear,1,1)))</f>
        <v/>
      </c>
      <c r="J363" s="38" t="str">
        <f aca="false">IF($A363="","",IF('Employee List'!J363="",DATE(LvYear,12,31),MIN('Employee List'!J363,DATE(LvYear,12,31))))</f>
        <v/>
      </c>
      <c r="K363" s="39" t="str">
        <f aca="false">IF(OR(I363="",J363=""),"",MAX(0,J363-I363+1))</f>
        <v/>
      </c>
      <c r="L363" s="16" t="str">
        <f aca="false">IF($A363="","",IF(AND(ISNUMBER(K363),K363=0),0,Settings!$C$10))</f>
        <v/>
      </c>
      <c r="M363" s="16" t="str">
        <f aca="false">IF($A363="","",IF(AND(ISNUMBER(K363),K363=0),0,Settings!$C$11))</f>
        <v/>
      </c>
      <c r="N363" s="40"/>
      <c r="O363" s="16" t="str">
        <f aca="false">IF($A363="","",FLOOR(Settings!$C$12/365*N(K363),0.5))</f>
        <v/>
      </c>
      <c r="P363" s="16" t="str">
        <f aca="false">IF($A363="","",IF(I363="",N(N363),FLOOR(Settings!$C$12/365*MAX(0,MIN(LvAsOf,J363)-I363+1)+N(N363),0.5)))</f>
        <v/>
      </c>
      <c r="Q363" s="16" t="str">
        <f aca="false">IF($A363="","",Settings!$C$14)</f>
        <v/>
      </c>
      <c r="R363" s="16" t="str">
        <f aca="false">IF($A363="","",SUMIFS(Attendance!$AZ$6:$AZ$2405,Attendance!$B$6:$B$2405,$A363,Attendance!$A$6:$A$2405,"&gt;="&amp;DATE(LvYear,1,1),Attendance!$A$6:$A$2405,"&lt;="&amp;DATE(LvYear,12,31)))</f>
        <v/>
      </c>
      <c r="S363" s="16" t="str">
        <f aca="false">IF($A363="","",SUMIFS(Attendance!$AY$6:$AY$2405,Attendance!$B$6:$B$2405,$A363,Attendance!$A$6:$A$2405,"&gt;="&amp;DATE(LvYear,1,1),Attendance!$A$6:$A$2405,"&lt;="&amp;DATE(LvYear,12,31)))</f>
        <v/>
      </c>
      <c r="T363" s="16" t="str">
        <f aca="false">IF($A363="","",SUMIFS(Attendance!$AX$6:$AX$2405,Attendance!$B$6:$B$2405,$A363,Attendance!$A$6:$A$2405,"&gt;="&amp;DATE(LvYear,1,1),Attendance!$A$6:$A$2405,"&lt;="&amp;DATE(LvYear,12,31)))</f>
        <v/>
      </c>
      <c r="U363" s="16" t="str">
        <f aca="false">IF($A363="","",SUMIFS(Attendance!$AW$6:$AW$2405,Attendance!$B$6:$B$2405,$A363,Attendance!$A$6:$A$2405,"&gt;="&amp;DATE(LvYear,1,1),Attendance!$A$6:$A$2405,"&lt;="&amp;DATE(LvYear,12,31)))</f>
        <v/>
      </c>
      <c r="V363" s="16" t="str">
        <f aca="false">IF($A363="","",L363-R363)</f>
        <v/>
      </c>
      <c r="W363" s="16" t="str">
        <f aca="false">IF($A363="","",M363-S363)</f>
        <v/>
      </c>
      <c r="X363" s="16" t="str">
        <f aca="false">IF($A363="","",P363-T363)</f>
        <v/>
      </c>
      <c r="Y363" s="16" t="str">
        <f aca="false">IF($A363="","",Q363-U363)</f>
        <v/>
      </c>
      <c r="Z363" s="16" t="str">
        <f aca="false">IF($A363="","",V363+W363+X363)</f>
        <v/>
      </c>
      <c r="AA363" s="16" t="str">
        <f aca="false">IF($A363="","",O363+N(N363)-T363)</f>
        <v/>
      </c>
      <c r="AB363" s="8" t="str">
        <f aca="false">IF($A363="","","CL "&amp;V363&amp;" | SL "&amp;W363&amp;" | PL "&amp;X363&amp;" | TR "&amp;Y363)</f>
        <v/>
      </c>
      <c r="AC363" s="15" t="str">
        <f aca="false">IF($A363="","",IF(F363="Exited","EXITED",IF(AND(ISNUMBER(K363),K363=0),"NOT ELIGIBLE",IF(MIN(V363:X363)&lt;0,"OVER-USED",IF(Z363&lt;=Settings!$C$15,"LOW","OK")))))</f>
        <v/>
      </c>
      <c r="AD363" s="16" t="str">
        <f aca="false">IF(OR(AC363="OVER-USED",AC363="LOW"),COUNTIF(AC$6:AC363,"OVER-USED")+COUNTIF(AC$6:AC363,"LOW"),"")</f>
        <v/>
      </c>
    </row>
    <row r="364" customFormat="false" ht="15" hidden="false" customHeight="false" outlineLevel="0" collapsed="false">
      <c r="A364" s="8" t="str">
        <f aca="false">IF('Employee List'!B364="","",'Employee List'!B364)</f>
        <v/>
      </c>
      <c r="B364" s="8" t="str">
        <f aca="false">IF($A364="","",'Employee List'!C364)</f>
        <v/>
      </c>
      <c r="C364" s="8" t="str">
        <f aca="false">IF($A364="","",'Employee List'!E364&amp;"")</f>
        <v/>
      </c>
      <c r="D364" s="8" t="str">
        <f aca="false">IF($A364="","",'Employee List'!F364&amp;"")</f>
        <v/>
      </c>
      <c r="E364" s="8" t="str">
        <f aca="false">IF($A364="","",'Employee List'!G364&amp;"")</f>
        <v/>
      </c>
      <c r="F364" s="8" t="str">
        <f aca="false">IF($A364="","",'Employee List'!D364)</f>
        <v/>
      </c>
      <c r="G364" s="38" t="str">
        <f aca="false">IF($A364="","",IF('Employee List'!I364="","",'Employee List'!I364))</f>
        <v/>
      </c>
      <c r="H364" s="38" t="str">
        <f aca="false">IF(OR($A364="",G364=""),"",G364+Settings!$C$13)</f>
        <v/>
      </c>
      <c r="I364" s="38" t="str">
        <f aca="false">IF(H364="","",MAX(H364,DATE(LvYear,1,1)))</f>
        <v/>
      </c>
      <c r="J364" s="38" t="str">
        <f aca="false">IF($A364="","",IF('Employee List'!J364="",DATE(LvYear,12,31),MIN('Employee List'!J364,DATE(LvYear,12,31))))</f>
        <v/>
      </c>
      <c r="K364" s="39" t="str">
        <f aca="false">IF(OR(I364="",J364=""),"",MAX(0,J364-I364+1))</f>
        <v/>
      </c>
      <c r="L364" s="16" t="str">
        <f aca="false">IF($A364="","",IF(AND(ISNUMBER(K364),K364=0),0,Settings!$C$10))</f>
        <v/>
      </c>
      <c r="M364" s="16" t="str">
        <f aca="false">IF($A364="","",IF(AND(ISNUMBER(K364),K364=0),0,Settings!$C$11))</f>
        <v/>
      </c>
      <c r="N364" s="40"/>
      <c r="O364" s="16" t="str">
        <f aca="false">IF($A364="","",FLOOR(Settings!$C$12/365*N(K364),0.5))</f>
        <v/>
      </c>
      <c r="P364" s="16" t="str">
        <f aca="false">IF($A364="","",IF(I364="",N(N364),FLOOR(Settings!$C$12/365*MAX(0,MIN(LvAsOf,J364)-I364+1)+N(N364),0.5)))</f>
        <v/>
      </c>
      <c r="Q364" s="16" t="str">
        <f aca="false">IF($A364="","",Settings!$C$14)</f>
        <v/>
      </c>
      <c r="R364" s="16" t="str">
        <f aca="false">IF($A364="","",SUMIFS(Attendance!$AZ$6:$AZ$2405,Attendance!$B$6:$B$2405,$A364,Attendance!$A$6:$A$2405,"&gt;="&amp;DATE(LvYear,1,1),Attendance!$A$6:$A$2405,"&lt;="&amp;DATE(LvYear,12,31)))</f>
        <v/>
      </c>
      <c r="S364" s="16" t="str">
        <f aca="false">IF($A364="","",SUMIFS(Attendance!$AY$6:$AY$2405,Attendance!$B$6:$B$2405,$A364,Attendance!$A$6:$A$2405,"&gt;="&amp;DATE(LvYear,1,1),Attendance!$A$6:$A$2405,"&lt;="&amp;DATE(LvYear,12,31)))</f>
        <v/>
      </c>
      <c r="T364" s="16" t="str">
        <f aca="false">IF($A364="","",SUMIFS(Attendance!$AX$6:$AX$2405,Attendance!$B$6:$B$2405,$A364,Attendance!$A$6:$A$2405,"&gt;="&amp;DATE(LvYear,1,1),Attendance!$A$6:$A$2405,"&lt;="&amp;DATE(LvYear,12,31)))</f>
        <v/>
      </c>
      <c r="U364" s="16" t="str">
        <f aca="false">IF($A364="","",SUMIFS(Attendance!$AW$6:$AW$2405,Attendance!$B$6:$B$2405,$A364,Attendance!$A$6:$A$2405,"&gt;="&amp;DATE(LvYear,1,1),Attendance!$A$6:$A$2405,"&lt;="&amp;DATE(LvYear,12,31)))</f>
        <v/>
      </c>
      <c r="V364" s="16" t="str">
        <f aca="false">IF($A364="","",L364-R364)</f>
        <v/>
      </c>
      <c r="W364" s="16" t="str">
        <f aca="false">IF($A364="","",M364-S364)</f>
        <v/>
      </c>
      <c r="X364" s="16" t="str">
        <f aca="false">IF($A364="","",P364-T364)</f>
        <v/>
      </c>
      <c r="Y364" s="16" t="str">
        <f aca="false">IF($A364="","",Q364-U364)</f>
        <v/>
      </c>
      <c r="Z364" s="16" t="str">
        <f aca="false">IF($A364="","",V364+W364+X364)</f>
        <v/>
      </c>
      <c r="AA364" s="16" t="str">
        <f aca="false">IF($A364="","",O364+N(N364)-T364)</f>
        <v/>
      </c>
      <c r="AB364" s="8" t="str">
        <f aca="false">IF($A364="","","CL "&amp;V364&amp;" | SL "&amp;W364&amp;" | PL "&amp;X364&amp;" | TR "&amp;Y364)</f>
        <v/>
      </c>
      <c r="AC364" s="15" t="str">
        <f aca="false">IF($A364="","",IF(F364="Exited","EXITED",IF(AND(ISNUMBER(K364),K364=0),"NOT ELIGIBLE",IF(MIN(V364:X364)&lt;0,"OVER-USED",IF(Z364&lt;=Settings!$C$15,"LOW","OK")))))</f>
        <v/>
      </c>
      <c r="AD364" s="16" t="str">
        <f aca="false">IF(OR(AC364="OVER-USED",AC364="LOW"),COUNTIF(AC$6:AC364,"OVER-USED")+COUNTIF(AC$6:AC364,"LOW"),"")</f>
        <v/>
      </c>
    </row>
    <row r="365" customFormat="false" ht="15" hidden="false" customHeight="false" outlineLevel="0" collapsed="false">
      <c r="A365" s="8" t="str">
        <f aca="false">IF('Employee List'!B365="","",'Employee List'!B365)</f>
        <v/>
      </c>
      <c r="B365" s="8" t="str">
        <f aca="false">IF($A365="","",'Employee List'!C365)</f>
        <v/>
      </c>
      <c r="C365" s="8" t="str">
        <f aca="false">IF($A365="","",'Employee List'!E365&amp;"")</f>
        <v/>
      </c>
      <c r="D365" s="8" t="str">
        <f aca="false">IF($A365="","",'Employee List'!F365&amp;"")</f>
        <v/>
      </c>
      <c r="E365" s="8" t="str">
        <f aca="false">IF($A365="","",'Employee List'!G365&amp;"")</f>
        <v/>
      </c>
      <c r="F365" s="8" t="str">
        <f aca="false">IF($A365="","",'Employee List'!D365)</f>
        <v/>
      </c>
      <c r="G365" s="38" t="str">
        <f aca="false">IF($A365="","",IF('Employee List'!I365="","",'Employee List'!I365))</f>
        <v/>
      </c>
      <c r="H365" s="38" t="str">
        <f aca="false">IF(OR($A365="",G365=""),"",G365+Settings!$C$13)</f>
        <v/>
      </c>
      <c r="I365" s="38" t="str">
        <f aca="false">IF(H365="","",MAX(H365,DATE(LvYear,1,1)))</f>
        <v/>
      </c>
      <c r="J365" s="38" t="str">
        <f aca="false">IF($A365="","",IF('Employee List'!J365="",DATE(LvYear,12,31),MIN('Employee List'!J365,DATE(LvYear,12,31))))</f>
        <v/>
      </c>
      <c r="K365" s="39" t="str">
        <f aca="false">IF(OR(I365="",J365=""),"",MAX(0,J365-I365+1))</f>
        <v/>
      </c>
      <c r="L365" s="16" t="str">
        <f aca="false">IF($A365="","",IF(AND(ISNUMBER(K365),K365=0),0,Settings!$C$10))</f>
        <v/>
      </c>
      <c r="M365" s="16" t="str">
        <f aca="false">IF($A365="","",IF(AND(ISNUMBER(K365),K365=0),0,Settings!$C$11))</f>
        <v/>
      </c>
      <c r="N365" s="40"/>
      <c r="O365" s="16" t="str">
        <f aca="false">IF($A365="","",FLOOR(Settings!$C$12/365*N(K365),0.5))</f>
        <v/>
      </c>
      <c r="P365" s="16" t="str">
        <f aca="false">IF($A365="","",IF(I365="",N(N365),FLOOR(Settings!$C$12/365*MAX(0,MIN(LvAsOf,J365)-I365+1)+N(N365),0.5)))</f>
        <v/>
      </c>
      <c r="Q365" s="16" t="str">
        <f aca="false">IF($A365="","",Settings!$C$14)</f>
        <v/>
      </c>
      <c r="R365" s="16" t="str">
        <f aca="false">IF($A365="","",SUMIFS(Attendance!$AZ$6:$AZ$2405,Attendance!$B$6:$B$2405,$A365,Attendance!$A$6:$A$2405,"&gt;="&amp;DATE(LvYear,1,1),Attendance!$A$6:$A$2405,"&lt;="&amp;DATE(LvYear,12,31)))</f>
        <v/>
      </c>
      <c r="S365" s="16" t="str">
        <f aca="false">IF($A365="","",SUMIFS(Attendance!$AY$6:$AY$2405,Attendance!$B$6:$B$2405,$A365,Attendance!$A$6:$A$2405,"&gt;="&amp;DATE(LvYear,1,1),Attendance!$A$6:$A$2405,"&lt;="&amp;DATE(LvYear,12,31)))</f>
        <v/>
      </c>
      <c r="T365" s="16" t="str">
        <f aca="false">IF($A365="","",SUMIFS(Attendance!$AX$6:$AX$2405,Attendance!$B$6:$B$2405,$A365,Attendance!$A$6:$A$2405,"&gt;="&amp;DATE(LvYear,1,1),Attendance!$A$6:$A$2405,"&lt;="&amp;DATE(LvYear,12,31)))</f>
        <v/>
      </c>
      <c r="U365" s="16" t="str">
        <f aca="false">IF($A365="","",SUMIFS(Attendance!$AW$6:$AW$2405,Attendance!$B$6:$B$2405,$A365,Attendance!$A$6:$A$2405,"&gt;="&amp;DATE(LvYear,1,1),Attendance!$A$6:$A$2405,"&lt;="&amp;DATE(LvYear,12,31)))</f>
        <v/>
      </c>
      <c r="V365" s="16" t="str">
        <f aca="false">IF($A365="","",L365-R365)</f>
        <v/>
      </c>
      <c r="W365" s="16" t="str">
        <f aca="false">IF($A365="","",M365-S365)</f>
        <v/>
      </c>
      <c r="X365" s="16" t="str">
        <f aca="false">IF($A365="","",P365-T365)</f>
        <v/>
      </c>
      <c r="Y365" s="16" t="str">
        <f aca="false">IF($A365="","",Q365-U365)</f>
        <v/>
      </c>
      <c r="Z365" s="16" t="str">
        <f aca="false">IF($A365="","",V365+W365+X365)</f>
        <v/>
      </c>
      <c r="AA365" s="16" t="str">
        <f aca="false">IF($A365="","",O365+N(N365)-T365)</f>
        <v/>
      </c>
      <c r="AB365" s="8" t="str">
        <f aca="false">IF($A365="","","CL "&amp;V365&amp;" | SL "&amp;W365&amp;" | PL "&amp;X365&amp;" | TR "&amp;Y365)</f>
        <v/>
      </c>
      <c r="AC365" s="15" t="str">
        <f aca="false">IF($A365="","",IF(F365="Exited","EXITED",IF(AND(ISNUMBER(K365),K365=0),"NOT ELIGIBLE",IF(MIN(V365:X365)&lt;0,"OVER-USED",IF(Z365&lt;=Settings!$C$15,"LOW","OK")))))</f>
        <v/>
      </c>
      <c r="AD365" s="16" t="str">
        <f aca="false">IF(OR(AC365="OVER-USED",AC365="LOW"),COUNTIF(AC$6:AC365,"OVER-USED")+COUNTIF(AC$6:AC365,"LOW"),"")</f>
        <v/>
      </c>
    </row>
    <row r="366" customFormat="false" ht="15" hidden="false" customHeight="false" outlineLevel="0" collapsed="false">
      <c r="A366" s="8" t="str">
        <f aca="false">IF('Employee List'!B366="","",'Employee List'!B366)</f>
        <v/>
      </c>
      <c r="B366" s="8" t="str">
        <f aca="false">IF($A366="","",'Employee List'!C366)</f>
        <v/>
      </c>
      <c r="C366" s="8" t="str">
        <f aca="false">IF($A366="","",'Employee List'!E366&amp;"")</f>
        <v/>
      </c>
      <c r="D366" s="8" t="str">
        <f aca="false">IF($A366="","",'Employee List'!F366&amp;"")</f>
        <v/>
      </c>
      <c r="E366" s="8" t="str">
        <f aca="false">IF($A366="","",'Employee List'!G366&amp;"")</f>
        <v/>
      </c>
      <c r="F366" s="8" t="str">
        <f aca="false">IF($A366="","",'Employee List'!D366)</f>
        <v/>
      </c>
      <c r="G366" s="38" t="str">
        <f aca="false">IF($A366="","",IF('Employee List'!I366="","",'Employee List'!I366))</f>
        <v/>
      </c>
      <c r="H366" s="38" t="str">
        <f aca="false">IF(OR($A366="",G366=""),"",G366+Settings!$C$13)</f>
        <v/>
      </c>
      <c r="I366" s="38" t="str">
        <f aca="false">IF(H366="","",MAX(H366,DATE(LvYear,1,1)))</f>
        <v/>
      </c>
      <c r="J366" s="38" t="str">
        <f aca="false">IF($A366="","",IF('Employee List'!J366="",DATE(LvYear,12,31),MIN('Employee List'!J366,DATE(LvYear,12,31))))</f>
        <v/>
      </c>
      <c r="K366" s="39" t="str">
        <f aca="false">IF(OR(I366="",J366=""),"",MAX(0,J366-I366+1))</f>
        <v/>
      </c>
      <c r="L366" s="16" t="str">
        <f aca="false">IF($A366="","",IF(AND(ISNUMBER(K366),K366=0),0,Settings!$C$10))</f>
        <v/>
      </c>
      <c r="M366" s="16" t="str">
        <f aca="false">IF($A366="","",IF(AND(ISNUMBER(K366),K366=0),0,Settings!$C$11))</f>
        <v/>
      </c>
      <c r="N366" s="40"/>
      <c r="O366" s="16" t="str">
        <f aca="false">IF($A366="","",FLOOR(Settings!$C$12/365*N(K366),0.5))</f>
        <v/>
      </c>
      <c r="P366" s="16" t="str">
        <f aca="false">IF($A366="","",IF(I366="",N(N366),FLOOR(Settings!$C$12/365*MAX(0,MIN(LvAsOf,J366)-I366+1)+N(N366),0.5)))</f>
        <v/>
      </c>
      <c r="Q366" s="16" t="str">
        <f aca="false">IF($A366="","",Settings!$C$14)</f>
        <v/>
      </c>
      <c r="R366" s="16" t="str">
        <f aca="false">IF($A366="","",SUMIFS(Attendance!$AZ$6:$AZ$2405,Attendance!$B$6:$B$2405,$A366,Attendance!$A$6:$A$2405,"&gt;="&amp;DATE(LvYear,1,1),Attendance!$A$6:$A$2405,"&lt;="&amp;DATE(LvYear,12,31)))</f>
        <v/>
      </c>
      <c r="S366" s="16" t="str">
        <f aca="false">IF($A366="","",SUMIFS(Attendance!$AY$6:$AY$2405,Attendance!$B$6:$B$2405,$A366,Attendance!$A$6:$A$2405,"&gt;="&amp;DATE(LvYear,1,1),Attendance!$A$6:$A$2405,"&lt;="&amp;DATE(LvYear,12,31)))</f>
        <v/>
      </c>
      <c r="T366" s="16" t="str">
        <f aca="false">IF($A366="","",SUMIFS(Attendance!$AX$6:$AX$2405,Attendance!$B$6:$B$2405,$A366,Attendance!$A$6:$A$2405,"&gt;="&amp;DATE(LvYear,1,1),Attendance!$A$6:$A$2405,"&lt;="&amp;DATE(LvYear,12,31)))</f>
        <v/>
      </c>
      <c r="U366" s="16" t="str">
        <f aca="false">IF($A366="","",SUMIFS(Attendance!$AW$6:$AW$2405,Attendance!$B$6:$B$2405,$A366,Attendance!$A$6:$A$2405,"&gt;="&amp;DATE(LvYear,1,1),Attendance!$A$6:$A$2405,"&lt;="&amp;DATE(LvYear,12,31)))</f>
        <v/>
      </c>
      <c r="V366" s="16" t="str">
        <f aca="false">IF($A366="","",L366-R366)</f>
        <v/>
      </c>
      <c r="W366" s="16" t="str">
        <f aca="false">IF($A366="","",M366-S366)</f>
        <v/>
      </c>
      <c r="X366" s="16" t="str">
        <f aca="false">IF($A366="","",P366-T366)</f>
        <v/>
      </c>
      <c r="Y366" s="16" t="str">
        <f aca="false">IF($A366="","",Q366-U366)</f>
        <v/>
      </c>
      <c r="Z366" s="16" t="str">
        <f aca="false">IF($A366="","",V366+W366+X366)</f>
        <v/>
      </c>
      <c r="AA366" s="16" t="str">
        <f aca="false">IF($A366="","",O366+N(N366)-T366)</f>
        <v/>
      </c>
      <c r="AB366" s="8" t="str">
        <f aca="false">IF($A366="","","CL "&amp;V366&amp;" | SL "&amp;W366&amp;" | PL "&amp;X366&amp;" | TR "&amp;Y366)</f>
        <v/>
      </c>
      <c r="AC366" s="15" t="str">
        <f aca="false">IF($A366="","",IF(F366="Exited","EXITED",IF(AND(ISNUMBER(K366),K366=0),"NOT ELIGIBLE",IF(MIN(V366:X366)&lt;0,"OVER-USED",IF(Z366&lt;=Settings!$C$15,"LOW","OK")))))</f>
        <v/>
      </c>
      <c r="AD366" s="16" t="str">
        <f aca="false">IF(OR(AC366="OVER-USED",AC366="LOW"),COUNTIF(AC$6:AC366,"OVER-USED")+COUNTIF(AC$6:AC366,"LOW"),"")</f>
        <v/>
      </c>
    </row>
    <row r="367" customFormat="false" ht="15" hidden="false" customHeight="false" outlineLevel="0" collapsed="false">
      <c r="A367" s="8" t="str">
        <f aca="false">IF('Employee List'!B367="","",'Employee List'!B367)</f>
        <v/>
      </c>
      <c r="B367" s="8" t="str">
        <f aca="false">IF($A367="","",'Employee List'!C367)</f>
        <v/>
      </c>
      <c r="C367" s="8" t="str">
        <f aca="false">IF($A367="","",'Employee List'!E367&amp;"")</f>
        <v/>
      </c>
      <c r="D367" s="8" t="str">
        <f aca="false">IF($A367="","",'Employee List'!F367&amp;"")</f>
        <v/>
      </c>
      <c r="E367" s="8" t="str">
        <f aca="false">IF($A367="","",'Employee List'!G367&amp;"")</f>
        <v/>
      </c>
      <c r="F367" s="8" t="str">
        <f aca="false">IF($A367="","",'Employee List'!D367)</f>
        <v/>
      </c>
      <c r="G367" s="38" t="str">
        <f aca="false">IF($A367="","",IF('Employee List'!I367="","",'Employee List'!I367))</f>
        <v/>
      </c>
      <c r="H367" s="38" t="str">
        <f aca="false">IF(OR($A367="",G367=""),"",G367+Settings!$C$13)</f>
        <v/>
      </c>
      <c r="I367" s="38" t="str">
        <f aca="false">IF(H367="","",MAX(H367,DATE(LvYear,1,1)))</f>
        <v/>
      </c>
      <c r="J367" s="38" t="str">
        <f aca="false">IF($A367="","",IF('Employee List'!J367="",DATE(LvYear,12,31),MIN('Employee List'!J367,DATE(LvYear,12,31))))</f>
        <v/>
      </c>
      <c r="K367" s="39" t="str">
        <f aca="false">IF(OR(I367="",J367=""),"",MAX(0,J367-I367+1))</f>
        <v/>
      </c>
      <c r="L367" s="16" t="str">
        <f aca="false">IF($A367="","",IF(AND(ISNUMBER(K367),K367=0),0,Settings!$C$10))</f>
        <v/>
      </c>
      <c r="M367" s="16" t="str">
        <f aca="false">IF($A367="","",IF(AND(ISNUMBER(K367),K367=0),0,Settings!$C$11))</f>
        <v/>
      </c>
      <c r="N367" s="40"/>
      <c r="O367" s="16" t="str">
        <f aca="false">IF($A367="","",FLOOR(Settings!$C$12/365*N(K367),0.5))</f>
        <v/>
      </c>
      <c r="P367" s="16" t="str">
        <f aca="false">IF($A367="","",IF(I367="",N(N367),FLOOR(Settings!$C$12/365*MAX(0,MIN(LvAsOf,J367)-I367+1)+N(N367),0.5)))</f>
        <v/>
      </c>
      <c r="Q367" s="16" t="str">
        <f aca="false">IF($A367="","",Settings!$C$14)</f>
        <v/>
      </c>
      <c r="R367" s="16" t="str">
        <f aca="false">IF($A367="","",SUMIFS(Attendance!$AZ$6:$AZ$2405,Attendance!$B$6:$B$2405,$A367,Attendance!$A$6:$A$2405,"&gt;="&amp;DATE(LvYear,1,1),Attendance!$A$6:$A$2405,"&lt;="&amp;DATE(LvYear,12,31)))</f>
        <v/>
      </c>
      <c r="S367" s="16" t="str">
        <f aca="false">IF($A367="","",SUMIFS(Attendance!$AY$6:$AY$2405,Attendance!$B$6:$B$2405,$A367,Attendance!$A$6:$A$2405,"&gt;="&amp;DATE(LvYear,1,1),Attendance!$A$6:$A$2405,"&lt;="&amp;DATE(LvYear,12,31)))</f>
        <v/>
      </c>
      <c r="T367" s="16" t="str">
        <f aca="false">IF($A367="","",SUMIFS(Attendance!$AX$6:$AX$2405,Attendance!$B$6:$B$2405,$A367,Attendance!$A$6:$A$2405,"&gt;="&amp;DATE(LvYear,1,1),Attendance!$A$6:$A$2405,"&lt;="&amp;DATE(LvYear,12,31)))</f>
        <v/>
      </c>
      <c r="U367" s="16" t="str">
        <f aca="false">IF($A367="","",SUMIFS(Attendance!$AW$6:$AW$2405,Attendance!$B$6:$B$2405,$A367,Attendance!$A$6:$A$2405,"&gt;="&amp;DATE(LvYear,1,1),Attendance!$A$6:$A$2405,"&lt;="&amp;DATE(LvYear,12,31)))</f>
        <v/>
      </c>
      <c r="V367" s="16" t="str">
        <f aca="false">IF($A367="","",L367-R367)</f>
        <v/>
      </c>
      <c r="W367" s="16" t="str">
        <f aca="false">IF($A367="","",M367-S367)</f>
        <v/>
      </c>
      <c r="X367" s="16" t="str">
        <f aca="false">IF($A367="","",P367-T367)</f>
        <v/>
      </c>
      <c r="Y367" s="16" t="str">
        <f aca="false">IF($A367="","",Q367-U367)</f>
        <v/>
      </c>
      <c r="Z367" s="16" t="str">
        <f aca="false">IF($A367="","",V367+W367+X367)</f>
        <v/>
      </c>
      <c r="AA367" s="16" t="str">
        <f aca="false">IF($A367="","",O367+N(N367)-T367)</f>
        <v/>
      </c>
      <c r="AB367" s="8" t="str">
        <f aca="false">IF($A367="","","CL "&amp;V367&amp;" | SL "&amp;W367&amp;" | PL "&amp;X367&amp;" | TR "&amp;Y367)</f>
        <v/>
      </c>
      <c r="AC367" s="15" t="str">
        <f aca="false">IF($A367="","",IF(F367="Exited","EXITED",IF(AND(ISNUMBER(K367),K367=0),"NOT ELIGIBLE",IF(MIN(V367:X367)&lt;0,"OVER-USED",IF(Z367&lt;=Settings!$C$15,"LOW","OK")))))</f>
        <v/>
      </c>
      <c r="AD367" s="16" t="str">
        <f aca="false">IF(OR(AC367="OVER-USED",AC367="LOW"),COUNTIF(AC$6:AC367,"OVER-USED")+COUNTIF(AC$6:AC367,"LOW"),"")</f>
        <v/>
      </c>
    </row>
    <row r="368" customFormat="false" ht="15" hidden="false" customHeight="false" outlineLevel="0" collapsed="false">
      <c r="A368" s="8" t="str">
        <f aca="false">IF('Employee List'!B368="","",'Employee List'!B368)</f>
        <v/>
      </c>
      <c r="B368" s="8" t="str">
        <f aca="false">IF($A368="","",'Employee List'!C368)</f>
        <v/>
      </c>
      <c r="C368" s="8" t="str">
        <f aca="false">IF($A368="","",'Employee List'!E368&amp;"")</f>
        <v/>
      </c>
      <c r="D368" s="8" t="str">
        <f aca="false">IF($A368="","",'Employee List'!F368&amp;"")</f>
        <v/>
      </c>
      <c r="E368" s="8" t="str">
        <f aca="false">IF($A368="","",'Employee List'!G368&amp;"")</f>
        <v/>
      </c>
      <c r="F368" s="8" t="str">
        <f aca="false">IF($A368="","",'Employee List'!D368)</f>
        <v/>
      </c>
      <c r="G368" s="38" t="str">
        <f aca="false">IF($A368="","",IF('Employee List'!I368="","",'Employee List'!I368))</f>
        <v/>
      </c>
      <c r="H368" s="38" t="str">
        <f aca="false">IF(OR($A368="",G368=""),"",G368+Settings!$C$13)</f>
        <v/>
      </c>
      <c r="I368" s="38" t="str">
        <f aca="false">IF(H368="","",MAX(H368,DATE(LvYear,1,1)))</f>
        <v/>
      </c>
      <c r="J368" s="38" t="str">
        <f aca="false">IF($A368="","",IF('Employee List'!J368="",DATE(LvYear,12,31),MIN('Employee List'!J368,DATE(LvYear,12,31))))</f>
        <v/>
      </c>
      <c r="K368" s="39" t="str">
        <f aca="false">IF(OR(I368="",J368=""),"",MAX(0,J368-I368+1))</f>
        <v/>
      </c>
      <c r="L368" s="16" t="str">
        <f aca="false">IF($A368="","",IF(AND(ISNUMBER(K368),K368=0),0,Settings!$C$10))</f>
        <v/>
      </c>
      <c r="M368" s="16" t="str">
        <f aca="false">IF($A368="","",IF(AND(ISNUMBER(K368),K368=0),0,Settings!$C$11))</f>
        <v/>
      </c>
      <c r="N368" s="40"/>
      <c r="O368" s="16" t="str">
        <f aca="false">IF($A368="","",FLOOR(Settings!$C$12/365*N(K368),0.5))</f>
        <v/>
      </c>
      <c r="P368" s="16" t="str">
        <f aca="false">IF($A368="","",IF(I368="",N(N368),FLOOR(Settings!$C$12/365*MAX(0,MIN(LvAsOf,J368)-I368+1)+N(N368),0.5)))</f>
        <v/>
      </c>
      <c r="Q368" s="16" t="str">
        <f aca="false">IF($A368="","",Settings!$C$14)</f>
        <v/>
      </c>
      <c r="R368" s="16" t="str">
        <f aca="false">IF($A368="","",SUMIFS(Attendance!$AZ$6:$AZ$2405,Attendance!$B$6:$B$2405,$A368,Attendance!$A$6:$A$2405,"&gt;="&amp;DATE(LvYear,1,1),Attendance!$A$6:$A$2405,"&lt;="&amp;DATE(LvYear,12,31)))</f>
        <v/>
      </c>
      <c r="S368" s="16" t="str">
        <f aca="false">IF($A368="","",SUMIFS(Attendance!$AY$6:$AY$2405,Attendance!$B$6:$B$2405,$A368,Attendance!$A$6:$A$2405,"&gt;="&amp;DATE(LvYear,1,1),Attendance!$A$6:$A$2405,"&lt;="&amp;DATE(LvYear,12,31)))</f>
        <v/>
      </c>
      <c r="T368" s="16" t="str">
        <f aca="false">IF($A368="","",SUMIFS(Attendance!$AX$6:$AX$2405,Attendance!$B$6:$B$2405,$A368,Attendance!$A$6:$A$2405,"&gt;="&amp;DATE(LvYear,1,1),Attendance!$A$6:$A$2405,"&lt;="&amp;DATE(LvYear,12,31)))</f>
        <v/>
      </c>
      <c r="U368" s="16" t="str">
        <f aca="false">IF($A368="","",SUMIFS(Attendance!$AW$6:$AW$2405,Attendance!$B$6:$B$2405,$A368,Attendance!$A$6:$A$2405,"&gt;="&amp;DATE(LvYear,1,1),Attendance!$A$6:$A$2405,"&lt;="&amp;DATE(LvYear,12,31)))</f>
        <v/>
      </c>
      <c r="V368" s="16" t="str">
        <f aca="false">IF($A368="","",L368-R368)</f>
        <v/>
      </c>
      <c r="W368" s="16" t="str">
        <f aca="false">IF($A368="","",M368-S368)</f>
        <v/>
      </c>
      <c r="X368" s="16" t="str">
        <f aca="false">IF($A368="","",P368-T368)</f>
        <v/>
      </c>
      <c r="Y368" s="16" t="str">
        <f aca="false">IF($A368="","",Q368-U368)</f>
        <v/>
      </c>
      <c r="Z368" s="16" t="str">
        <f aca="false">IF($A368="","",V368+W368+X368)</f>
        <v/>
      </c>
      <c r="AA368" s="16" t="str">
        <f aca="false">IF($A368="","",O368+N(N368)-T368)</f>
        <v/>
      </c>
      <c r="AB368" s="8" t="str">
        <f aca="false">IF($A368="","","CL "&amp;V368&amp;" | SL "&amp;W368&amp;" | PL "&amp;X368&amp;" | TR "&amp;Y368)</f>
        <v/>
      </c>
      <c r="AC368" s="15" t="str">
        <f aca="false">IF($A368="","",IF(F368="Exited","EXITED",IF(AND(ISNUMBER(K368),K368=0),"NOT ELIGIBLE",IF(MIN(V368:X368)&lt;0,"OVER-USED",IF(Z368&lt;=Settings!$C$15,"LOW","OK")))))</f>
        <v/>
      </c>
      <c r="AD368" s="16" t="str">
        <f aca="false">IF(OR(AC368="OVER-USED",AC368="LOW"),COUNTIF(AC$6:AC368,"OVER-USED")+COUNTIF(AC$6:AC368,"LOW"),"")</f>
        <v/>
      </c>
    </row>
    <row r="369" customFormat="false" ht="15" hidden="false" customHeight="false" outlineLevel="0" collapsed="false">
      <c r="A369" s="8" t="str">
        <f aca="false">IF('Employee List'!B369="","",'Employee List'!B369)</f>
        <v/>
      </c>
      <c r="B369" s="8" t="str">
        <f aca="false">IF($A369="","",'Employee List'!C369)</f>
        <v/>
      </c>
      <c r="C369" s="8" t="str">
        <f aca="false">IF($A369="","",'Employee List'!E369&amp;"")</f>
        <v/>
      </c>
      <c r="D369" s="8" t="str">
        <f aca="false">IF($A369="","",'Employee List'!F369&amp;"")</f>
        <v/>
      </c>
      <c r="E369" s="8" t="str">
        <f aca="false">IF($A369="","",'Employee List'!G369&amp;"")</f>
        <v/>
      </c>
      <c r="F369" s="8" t="str">
        <f aca="false">IF($A369="","",'Employee List'!D369)</f>
        <v/>
      </c>
      <c r="G369" s="38" t="str">
        <f aca="false">IF($A369="","",IF('Employee List'!I369="","",'Employee List'!I369))</f>
        <v/>
      </c>
      <c r="H369" s="38" t="str">
        <f aca="false">IF(OR($A369="",G369=""),"",G369+Settings!$C$13)</f>
        <v/>
      </c>
      <c r="I369" s="38" t="str">
        <f aca="false">IF(H369="","",MAX(H369,DATE(LvYear,1,1)))</f>
        <v/>
      </c>
      <c r="J369" s="38" t="str">
        <f aca="false">IF($A369="","",IF('Employee List'!J369="",DATE(LvYear,12,31),MIN('Employee List'!J369,DATE(LvYear,12,31))))</f>
        <v/>
      </c>
      <c r="K369" s="39" t="str">
        <f aca="false">IF(OR(I369="",J369=""),"",MAX(0,J369-I369+1))</f>
        <v/>
      </c>
      <c r="L369" s="16" t="str">
        <f aca="false">IF($A369="","",IF(AND(ISNUMBER(K369),K369=0),0,Settings!$C$10))</f>
        <v/>
      </c>
      <c r="M369" s="16" t="str">
        <f aca="false">IF($A369="","",IF(AND(ISNUMBER(K369),K369=0),0,Settings!$C$11))</f>
        <v/>
      </c>
      <c r="N369" s="40"/>
      <c r="O369" s="16" t="str">
        <f aca="false">IF($A369="","",FLOOR(Settings!$C$12/365*N(K369),0.5))</f>
        <v/>
      </c>
      <c r="P369" s="16" t="str">
        <f aca="false">IF($A369="","",IF(I369="",N(N369),FLOOR(Settings!$C$12/365*MAX(0,MIN(LvAsOf,J369)-I369+1)+N(N369),0.5)))</f>
        <v/>
      </c>
      <c r="Q369" s="16" t="str">
        <f aca="false">IF($A369="","",Settings!$C$14)</f>
        <v/>
      </c>
      <c r="R369" s="16" t="str">
        <f aca="false">IF($A369="","",SUMIFS(Attendance!$AZ$6:$AZ$2405,Attendance!$B$6:$B$2405,$A369,Attendance!$A$6:$A$2405,"&gt;="&amp;DATE(LvYear,1,1),Attendance!$A$6:$A$2405,"&lt;="&amp;DATE(LvYear,12,31)))</f>
        <v/>
      </c>
      <c r="S369" s="16" t="str">
        <f aca="false">IF($A369="","",SUMIFS(Attendance!$AY$6:$AY$2405,Attendance!$B$6:$B$2405,$A369,Attendance!$A$6:$A$2405,"&gt;="&amp;DATE(LvYear,1,1),Attendance!$A$6:$A$2405,"&lt;="&amp;DATE(LvYear,12,31)))</f>
        <v/>
      </c>
      <c r="T369" s="16" t="str">
        <f aca="false">IF($A369="","",SUMIFS(Attendance!$AX$6:$AX$2405,Attendance!$B$6:$B$2405,$A369,Attendance!$A$6:$A$2405,"&gt;="&amp;DATE(LvYear,1,1),Attendance!$A$6:$A$2405,"&lt;="&amp;DATE(LvYear,12,31)))</f>
        <v/>
      </c>
      <c r="U369" s="16" t="str">
        <f aca="false">IF($A369="","",SUMIFS(Attendance!$AW$6:$AW$2405,Attendance!$B$6:$B$2405,$A369,Attendance!$A$6:$A$2405,"&gt;="&amp;DATE(LvYear,1,1),Attendance!$A$6:$A$2405,"&lt;="&amp;DATE(LvYear,12,31)))</f>
        <v/>
      </c>
      <c r="V369" s="16" t="str">
        <f aca="false">IF($A369="","",L369-R369)</f>
        <v/>
      </c>
      <c r="W369" s="16" t="str">
        <f aca="false">IF($A369="","",M369-S369)</f>
        <v/>
      </c>
      <c r="X369" s="16" t="str">
        <f aca="false">IF($A369="","",P369-T369)</f>
        <v/>
      </c>
      <c r="Y369" s="16" t="str">
        <f aca="false">IF($A369="","",Q369-U369)</f>
        <v/>
      </c>
      <c r="Z369" s="16" t="str">
        <f aca="false">IF($A369="","",V369+W369+X369)</f>
        <v/>
      </c>
      <c r="AA369" s="16" t="str">
        <f aca="false">IF($A369="","",O369+N(N369)-T369)</f>
        <v/>
      </c>
      <c r="AB369" s="8" t="str">
        <f aca="false">IF($A369="","","CL "&amp;V369&amp;" | SL "&amp;W369&amp;" | PL "&amp;X369&amp;" | TR "&amp;Y369)</f>
        <v/>
      </c>
      <c r="AC369" s="15" t="str">
        <f aca="false">IF($A369="","",IF(F369="Exited","EXITED",IF(AND(ISNUMBER(K369),K369=0),"NOT ELIGIBLE",IF(MIN(V369:X369)&lt;0,"OVER-USED",IF(Z369&lt;=Settings!$C$15,"LOW","OK")))))</f>
        <v/>
      </c>
      <c r="AD369" s="16" t="str">
        <f aca="false">IF(OR(AC369="OVER-USED",AC369="LOW"),COUNTIF(AC$6:AC369,"OVER-USED")+COUNTIF(AC$6:AC369,"LOW"),"")</f>
        <v/>
      </c>
    </row>
    <row r="370" customFormat="false" ht="15" hidden="false" customHeight="false" outlineLevel="0" collapsed="false">
      <c r="A370" s="8" t="str">
        <f aca="false">IF('Employee List'!B370="","",'Employee List'!B370)</f>
        <v/>
      </c>
      <c r="B370" s="8" t="str">
        <f aca="false">IF($A370="","",'Employee List'!C370)</f>
        <v/>
      </c>
      <c r="C370" s="8" t="str">
        <f aca="false">IF($A370="","",'Employee List'!E370&amp;"")</f>
        <v/>
      </c>
      <c r="D370" s="8" t="str">
        <f aca="false">IF($A370="","",'Employee List'!F370&amp;"")</f>
        <v/>
      </c>
      <c r="E370" s="8" t="str">
        <f aca="false">IF($A370="","",'Employee List'!G370&amp;"")</f>
        <v/>
      </c>
      <c r="F370" s="8" t="str">
        <f aca="false">IF($A370="","",'Employee List'!D370)</f>
        <v/>
      </c>
      <c r="G370" s="38" t="str">
        <f aca="false">IF($A370="","",IF('Employee List'!I370="","",'Employee List'!I370))</f>
        <v/>
      </c>
      <c r="H370" s="38" t="str">
        <f aca="false">IF(OR($A370="",G370=""),"",G370+Settings!$C$13)</f>
        <v/>
      </c>
      <c r="I370" s="38" t="str">
        <f aca="false">IF(H370="","",MAX(H370,DATE(LvYear,1,1)))</f>
        <v/>
      </c>
      <c r="J370" s="38" t="str">
        <f aca="false">IF($A370="","",IF('Employee List'!J370="",DATE(LvYear,12,31),MIN('Employee List'!J370,DATE(LvYear,12,31))))</f>
        <v/>
      </c>
      <c r="K370" s="39" t="str">
        <f aca="false">IF(OR(I370="",J370=""),"",MAX(0,J370-I370+1))</f>
        <v/>
      </c>
      <c r="L370" s="16" t="str">
        <f aca="false">IF($A370="","",IF(AND(ISNUMBER(K370),K370=0),0,Settings!$C$10))</f>
        <v/>
      </c>
      <c r="M370" s="16" t="str">
        <f aca="false">IF($A370="","",IF(AND(ISNUMBER(K370),K370=0),0,Settings!$C$11))</f>
        <v/>
      </c>
      <c r="N370" s="40"/>
      <c r="O370" s="16" t="str">
        <f aca="false">IF($A370="","",FLOOR(Settings!$C$12/365*N(K370),0.5))</f>
        <v/>
      </c>
      <c r="P370" s="16" t="str">
        <f aca="false">IF($A370="","",IF(I370="",N(N370),FLOOR(Settings!$C$12/365*MAX(0,MIN(LvAsOf,J370)-I370+1)+N(N370),0.5)))</f>
        <v/>
      </c>
      <c r="Q370" s="16" t="str">
        <f aca="false">IF($A370="","",Settings!$C$14)</f>
        <v/>
      </c>
      <c r="R370" s="16" t="str">
        <f aca="false">IF($A370="","",SUMIFS(Attendance!$AZ$6:$AZ$2405,Attendance!$B$6:$B$2405,$A370,Attendance!$A$6:$A$2405,"&gt;="&amp;DATE(LvYear,1,1),Attendance!$A$6:$A$2405,"&lt;="&amp;DATE(LvYear,12,31)))</f>
        <v/>
      </c>
      <c r="S370" s="16" t="str">
        <f aca="false">IF($A370="","",SUMIFS(Attendance!$AY$6:$AY$2405,Attendance!$B$6:$B$2405,$A370,Attendance!$A$6:$A$2405,"&gt;="&amp;DATE(LvYear,1,1),Attendance!$A$6:$A$2405,"&lt;="&amp;DATE(LvYear,12,31)))</f>
        <v/>
      </c>
      <c r="T370" s="16" t="str">
        <f aca="false">IF($A370="","",SUMIFS(Attendance!$AX$6:$AX$2405,Attendance!$B$6:$B$2405,$A370,Attendance!$A$6:$A$2405,"&gt;="&amp;DATE(LvYear,1,1),Attendance!$A$6:$A$2405,"&lt;="&amp;DATE(LvYear,12,31)))</f>
        <v/>
      </c>
      <c r="U370" s="16" t="str">
        <f aca="false">IF($A370="","",SUMIFS(Attendance!$AW$6:$AW$2405,Attendance!$B$6:$B$2405,$A370,Attendance!$A$6:$A$2405,"&gt;="&amp;DATE(LvYear,1,1),Attendance!$A$6:$A$2405,"&lt;="&amp;DATE(LvYear,12,31)))</f>
        <v/>
      </c>
      <c r="V370" s="16" t="str">
        <f aca="false">IF($A370="","",L370-R370)</f>
        <v/>
      </c>
      <c r="W370" s="16" t="str">
        <f aca="false">IF($A370="","",M370-S370)</f>
        <v/>
      </c>
      <c r="X370" s="16" t="str">
        <f aca="false">IF($A370="","",P370-T370)</f>
        <v/>
      </c>
      <c r="Y370" s="16" t="str">
        <f aca="false">IF($A370="","",Q370-U370)</f>
        <v/>
      </c>
      <c r="Z370" s="16" t="str">
        <f aca="false">IF($A370="","",V370+W370+X370)</f>
        <v/>
      </c>
      <c r="AA370" s="16" t="str">
        <f aca="false">IF($A370="","",O370+N(N370)-T370)</f>
        <v/>
      </c>
      <c r="AB370" s="8" t="str">
        <f aca="false">IF($A370="","","CL "&amp;V370&amp;" | SL "&amp;W370&amp;" | PL "&amp;X370&amp;" | TR "&amp;Y370)</f>
        <v/>
      </c>
      <c r="AC370" s="15" t="str">
        <f aca="false">IF($A370="","",IF(F370="Exited","EXITED",IF(AND(ISNUMBER(K370),K370=0),"NOT ELIGIBLE",IF(MIN(V370:X370)&lt;0,"OVER-USED",IF(Z370&lt;=Settings!$C$15,"LOW","OK")))))</f>
        <v/>
      </c>
      <c r="AD370" s="16" t="str">
        <f aca="false">IF(OR(AC370="OVER-USED",AC370="LOW"),COUNTIF(AC$6:AC370,"OVER-USED")+COUNTIF(AC$6:AC370,"LOW"),"")</f>
        <v/>
      </c>
    </row>
    <row r="371" customFormat="false" ht="15" hidden="false" customHeight="false" outlineLevel="0" collapsed="false">
      <c r="A371" s="8" t="str">
        <f aca="false">IF('Employee List'!B371="","",'Employee List'!B371)</f>
        <v/>
      </c>
      <c r="B371" s="8" t="str">
        <f aca="false">IF($A371="","",'Employee List'!C371)</f>
        <v/>
      </c>
      <c r="C371" s="8" t="str">
        <f aca="false">IF($A371="","",'Employee List'!E371&amp;"")</f>
        <v/>
      </c>
      <c r="D371" s="8" t="str">
        <f aca="false">IF($A371="","",'Employee List'!F371&amp;"")</f>
        <v/>
      </c>
      <c r="E371" s="8" t="str">
        <f aca="false">IF($A371="","",'Employee List'!G371&amp;"")</f>
        <v/>
      </c>
      <c r="F371" s="8" t="str">
        <f aca="false">IF($A371="","",'Employee List'!D371)</f>
        <v/>
      </c>
      <c r="G371" s="38" t="str">
        <f aca="false">IF($A371="","",IF('Employee List'!I371="","",'Employee List'!I371))</f>
        <v/>
      </c>
      <c r="H371" s="38" t="str">
        <f aca="false">IF(OR($A371="",G371=""),"",G371+Settings!$C$13)</f>
        <v/>
      </c>
      <c r="I371" s="38" t="str">
        <f aca="false">IF(H371="","",MAX(H371,DATE(LvYear,1,1)))</f>
        <v/>
      </c>
      <c r="J371" s="38" t="str">
        <f aca="false">IF($A371="","",IF('Employee List'!J371="",DATE(LvYear,12,31),MIN('Employee List'!J371,DATE(LvYear,12,31))))</f>
        <v/>
      </c>
      <c r="K371" s="39" t="str">
        <f aca="false">IF(OR(I371="",J371=""),"",MAX(0,J371-I371+1))</f>
        <v/>
      </c>
      <c r="L371" s="16" t="str">
        <f aca="false">IF($A371="","",IF(AND(ISNUMBER(K371),K371=0),0,Settings!$C$10))</f>
        <v/>
      </c>
      <c r="M371" s="16" t="str">
        <f aca="false">IF($A371="","",IF(AND(ISNUMBER(K371),K371=0),0,Settings!$C$11))</f>
        <v/>
      </c>
      <c r="N371" s="40"/>
      <c r="O371" s="16" t="str">
        <f aca="false">IF($A371="","",FLOOR(Settings!$C$12/365*N(K371),0.5))</f>
        <v/>
      </c>
      <c r="P371" s="16" t="str">
        <f aca="false">IF($A371="","",IF(I371="",N(N371),FLOOR(Settings!$C$12/365*MAX(0,MIN(LvAsOf,J371)-I371+1)+N(N371),0.5)))</f>
        <v/>
      </c>
      <c r="Q371" s="16" t="str">
        <f aca="false">IF($A371="","",Settings!$C$14)</f>
        <v/>
      </c>
      <c r="R371" s="16" t="str">
        <f aca="false">IF($A371="","",SUMIFS(Attendance!$AZ$6:$AZ$2405,Attendance!$B$6:$B$2405,$A371,Attendance!$A$6:$A$2405,"&gt;="&amp;DATE(LvYear,1,1),Attendance!$A$6:$A$2405,"&lt;="&amp;DATE(LvYear,12,31)))</f>
        <v/>
      </c>
      <c r="S371" s="16" t="str">
        <f aca="false">IF($A371="","",SUMIFS(Attendance!$AY$6:$AY$2405,Attendance!$B$6:$B$2405,$A371,Attendance!$A$6:$A$2405,"&gt;="&amp;DATE(LvYear,1,1),Attendance!$A$6:$A$2405,"&lt;="&amp;DATE(LvYear,12,31)))</f>
        <v/>
      </c>
      <c r="T371" s="16" t="str">
        <f aca="false">IF($A371="","",SUMIFS(Attendance!$AX$6:$AX$2405,Attendance!$B$6:$B$2405,$A371,Attendance!$A$6:$A$2405,"&gt;="&amp;DATE(LvYear,1,1),Attendance!$A$6:$A$2405,"&lt;="&amp;DATE(LvYear,12,31)))</f>
        <v/>
      </c>
      <c r="U371" s="16" t="str">
        <f aca="false">IF($A371="","",SUMIFS(Attendance!$AW$6:$AW$2405,Attendance!$B$6:$B$2405,$A371,Attendance!$A$6:$A$2405,"&gt;="&amp;DATE(LvYear,1,1),Attendance!$A$6:$A$2405,"&lt;="&amp;DATE(LvYear,12,31)))</f>
        <v/>
      </c>
      <c r="V371" s="16" t="str">
        <f aca="false">IF($A371="","",L371-R371)</f>
        <v/>
      </c>
      <c r="W371" s="16" t="str">
        <f aca="false">IF($A371="","",M371-S371)</f>
        <v/>
      </c>
      <c r="X371" s="16" t="str">
        <f aca="false">IF($A371="","",P371-T371)</f>
        <v/>
      </c>
      <c r="Y371" s="16" t="str">
        <f aca="false">IF($A371="","",Q371-U371)</f>
        <v/>
      </c>
      <c r="Z371" s="16" t="str">
        <f aca="false">IF($A371="","",V371+W371+X371)</f>
        <v/>
      </c>
      <c r="AA371" s="16" t="str">
        <f aca="false">IF($A371="","",O371+N(N371)-T371)</f>
        <v/>
      </c>
      <c r="AB371" s="8" t="str">
        <f aca="false">IF($A371="","","CL "&amp;V371&amp;" | SL "&amp;W371&amp;" | PL "&amp;X371&amp;" | TR "&amp;Y371)</f>
        <v/>
      </c>
      <c r="AC371" s="15" t="str">
        <f aca="false">IF($A371="","",IF(F371="Exited","EXITED",IF(AND(ISNUMBER(K371),K371=0),"NOT ELIGIBLE",IF(MIN(V371:X371)&lt;0,"OVER-USED",IF(Z371&lt;=Settings!$C$15,"LOW","OK")))))</f>
        <v/>
      </c>
      <c r="AD371" s="16" t="str">
        <f aca="false">IF(OR(AC371="OVER-USED",AC371="LOW"),COUNTIF(AC$6:AC371,"OVER-USED")+COUNTIF(AC$6:AC371,"LOW"),"")</f>
        <v/>
      </c>
    </row>
    <row r="372" customFormat="false" ht="15" hidden="false" customHeight="false" outlineLevel="0" collapsed="false">
      <c r="A372" s="8" t="str">
        <f aca="false">IF('Employee List'!B372="","",'Employee List'!B372)</f>
        <v/>
      </c>
      <c r="B372" s="8" t="str">
        <f aca="false">IF($A372="","",'Employee List'!C372)</f>
        <v/>
      </c>
      <c r="C372" s="8" t="str">
        <f aca="false">IF($A372="","",'Employee List'!E372&amp;"")</f>
        <v/>
      </c>
      <c r="D372" s="8" t="str">
        <f aca="false">IF($A372="","",'Employee List'!F372&amp;"")</f>
        <v/>
      </c>
      <c r="E372" s="8" t="str">
        <f aca="false">IF($A372="","",'Employee List'!G372&amp;"")</f>
        <v/>
      </c>
      <c r="F372" s="8" t="str">
        <f aca="false">IF($A372="","",'Employee List'!D372)</f>
        <v/>
      </c>
      <c r="G372" s="38" t="str">
        <f aca="false">IF($A372="","",IF('Employee List'!I372="","",'Employee List'!I372))</f>
        <v/>
      </c>
      <c r="H372" s="38" t="str">
        <f aca="false">IF(OR($A372="",G372=""),"",G372+Settings!$C$13)</f>
        <v/>
      </c>
      <c r="I372" s="38" t="str">
        <f aca="false">IF(H372="","",MAX(H372,DATE(LvYear,1,1)))</f>
        <v/>
      </c>
      <c r="J372" s="38" t="str">
        <f aca="false">IF($A372="","",IF('Employee List'!J372="",DATE(LvYear,12,31),MIN('Employee List'!J372,DATE(LvYear,12,31))))</f>
        <v/>
      </c>
      <c r="K372" s="39" t="str">
        <f aca="false">IF(OR(I372="",J372=""),"",MAX(0,J372-I372+1))</f>
        <v/>
      </c>
      <c r="L372" s="16" t="str">
        <f aca="false">IF($A372="","",IF(AND(ISNUMBER(K372),K372=0),0,Settings!$C$10))</f>
        <v/>
      </c>
      <c r="M372" s="16" t="str">
        <f aca="false">IF($A372="","",IF(AND(ISNUMBER(K372),K372=0),0,Settings!$C$11))</f>
        <v/>
      </c>
      <c r="N372" s="40"/>
      <c r="O372" s="16" t="str">
        <f aca="false">IF($A372="","",FLOOR(Settings!$C$12/365*N(K372),0.5))</f>
        <v/>
      </c>
      <c r="P372" s="16" t="str">
        <f aca="false">IF($A372="","",IF(I372="",N(N372),FLOOR(Settings!$C$12/365*MAX(0,MIN(LvAsOf,J372)-I372+1)+N(N372),0.5)))</f>
        <v/>
      </c>
      <c r="Q372" s="16" t="str">
        <f aca="false">IF($A372="","",Settings!$C$14)</f>
        <v/>
      </c>
      <c r="R372" s="16" t="str">
        <f aca="false">IF($A372="","",SUMIFS(Attendance!$AZ$6:$AZ$2405,Attendance!$B$6:$B$2405,$A372,Attendance!$A$6:$A$2405,"&gt;="&amp;DATE(LvYear,1,1),Attendance!$A$6:$A$2405,"&lt;="&amp;DATE(LvYear,12,31)))</f>
        <v/>
      </c>
      <c r="S372" s="16" t="str">
        <f aca="false">IF($A372="","",SUMIFS(Attendance!$AY$6:$AY$2405,Attendance!$B$6:$B$2405,$A372,Attendance!$A$6:$A$2405,"&gt;="&amp;DATE(LvYear,1,1),Attendance!$A$6:$A$2405,"&lt;="&amp;DATE(LvYear,12,31)))</f>
        <v/>
      </c>
      <c r="T372" s="16" t="str">
        <f aca="false">IF($A372="","",SUMIFS(Attendance!$AX$6:$AX$2405,Attendance!$B$6:$B$2405,$A372,Attendance!$A$6:$A$2405,"&gt;="&amp;DATE(LvYear,1,1),Attendance!$A$6:$A$2405,"&lt;="&amp;DATE(LvYear,12,31)))</f>
        <v/>
      </c>
      <c r="U372" s="16" t="str">
        <f aca="false">IF($A372="","",SUMIFS(Attendance!$AW$6:$AW$2405,Attendance!$B$6:$B$2405,$A372,Attendance!$A$6:$A$2405,"&gt;="&amp;DATE(LvYear,1,1),Attendance!$A$6:$A$2405,"&lt;="&amp;DATE(LvYear,12,31)))</f>
        <v/>
      </c>
      <c r="V372" s="16" t="str">
        <f aca="false">IF($A372="","",L372-R372)</f>
        <v/>
      </c>
      <c r="W372" s="16" t="str">
        <f aca="false">IF($A372="","",M372-S372)</f>
        <v/>
      </c>
      <c r="X372" s="16" t="str">
        <f aca="false">IF($A372="","",P372-T372)</f>
        <v/>
      </c>
      <c r="Y372" s="16" t="str">
        <f aca="false">IF($A372="","",Q372-U372)</f>
        <v/>
      </c>
      <c r="Z372" s="16" t="str">
        <f aca="false">IF($A372="","",V372+W372+X372)</f>
        <v/>
      </c>
      <c r="AA372" s="16" t="str">
        <f aca="false">IF($A372="","",O372+N(N372)-T372)</f>
        <v/>
      </c>
      <c r="AB372" s="8" t="str">
        <f aca="false">IF($A372="","","CL "&amp;V372&amp;" | SL "&amp;W372&amp;" | PL "&amp;X372&amp;" | TR "&amp;Y372)</f>
        <v/>
      </c>
      <c r="AC372" s="15" t="str">
        <f aca="false">IF($A372="","",IF(F372="Exited","EXITED",IF(AND(ISNUMBER(K372),K372=0),"NOT ELIGIBLE",IF(MIN(V372:X372)&lt;0,"OVER-USED",IF(Z372&lt;=Settings!$C$15,"LOW","OK")))))</f>
        <v/>
      </c>
      <c r="AD372" s="16" t="str">
        <f aca="false">IF(OR(AC372="OVER-USED",AC372="LOW"),COUNTIF(AC$6:AC372,"OVER-USED")+COUNTIF(AC$6:AC372,"LOW"),"")</f>
        <v/>
      </c>
    </row>
    <row r="373" customFormat="false" ht="15" hidden="false" customHeight="false" outlineLevel="0" collapsed="false">
      <c r="A373" s="8" t="str">
        <f aca="false">IF('Employee List'!B373="","",'Employee List'!B373)</f>
        <v/>
      </c>
      <c r="B373" s="8" t="str">
        <f aca="false">IF($A373="","",'Employee List'!C373)</f>
        <v/>
      </c>
      <c r="C373" s="8" t="str">
        <f aca="false">IF($A373="","",'Employee List'!E373&amp;"")</f>
        <v/>
      </c>
      <c r="D373" s="8" t="str">
        <f aca="false">IF($A373="","",'Employee List'!F373&amp;"")</f>
        <v/>
      </c>
      <c r="E373" s="8" t="str">
        <f aca="false">IF($A373="","",'Employee List'!G373&amp;"")</f>
        <v/>
      </c>
      <c r="F373" s="8" t="str">
        <f aca="false">IF($A373="","",'Employee List'!D373)</f>
        <v/>
      </c>
      <c r="G373" s="38" t="str">
        <f aca="false">IF($A373="","",IF('Employee List'!I373="","",'Employee List'!I373))</f>
        <v/>
      </c>
      <c r="H373" s="38" t="str">
        <f aca="false">IF(OR($A373="",G373=""),"",G373+Settings!$C$13)</f>
        <v/>
      </c>
      <c r="I373" s="38" t="str">
        <f aca="false">IF(H373="","",MAX(H373,DATE(LvYear,1,1)))</f>
        <v/>
      </c>
      <c r="J373" s="38" t="str">
        <f aca="false">IF($A373="","",IF('Employee List'!J373="",DATE(LvYear,12,31),MIN('Employee List'!J373,DATE(LvYear,12,31))))</f>
        <v/>
      </c>
      <c r="K373" s="39" t="str">
        <f aca="false">IF(OR(I373="",J373=""),"",MAX(0,J373-I373+1))</f>
        <v/>
      </c>
      <c r="L373" s="16" t="str">
        <f aca="false">IF($A373="","",IF(AND(ISNUMBER(K373),K373=0),0,Settings!$C$10))</f>
        <v/>
      </c>
      <c r="M373" s="16" t="str">
        <f aca="false">IF($A373="","",IF(AND(ISNUMBER(K373),K373=0),0,Settings!$C$11))</f>
        <v/>
      </c>
      <c r="N373" s="40"/>
      <c r="O373" s="16" t="str">
        <f aca="false">IF($A373="","",FLOOR(Settings!$C$12/365*N(K373),0.5))</f>
        <v/>
      </c>
      <c r="P373" s="16" t="str">
        <f aca="false">IF($A373="","",IF(I373="",N(N373),FLOOR(Settings!$C$12/365*MAX(0,MIN(LvAsOf,J373)-I373+1)+N(N373),0.5)))</f>
        <v/>
      </c>
      <c r="Q373" s="16" t="str">
        <f aca="false">IF($A373="","",Settings!$C$14)</f>
        <v/>
      </c>
      <c r="R373" s="16" t="str">
        <f aca="false">IF($A373="","",SUMIFS(Attendance!$AZ$6:$AZ$2405,Attendance!$B$6:$B$2405,$A373,Attendance!$A$6:$A$2405,"&gt;="&amp;DATE(LvYear,1,1),Attendance!$A$6:$A$2405,"&lt;="&amp;DATE(LvYear,12,31)))</f>
        <v/>
      </c>
      <c r="S373" s="16" t="str">
        <f aca="false">IF($A373="","",SUMIFS(Attendance!$AY$6:$AY$2405,Attendance!$B$6:$B$2405,$A373,Attendance!$A$6:$A$2405,"&gt;="&amp;DATE(LvYear,1,1),Attendance!$A$6:$A$2405,"&lt;="&amp;DATE(LvYear,12,31)))</f>
        <v/>
      </c>
      <c r="T373" s="16" t="str">
        <f aca="false">IF($A373="","",SUMIFS(Attendance!$AX$6:$AX$2405,Attendance!$B$6:$B$2405,$A373,Attendance!$A$6:$A$2405,"&gt;="&amp;DATE(LvYear,1,1),Attendance!$A$6:$A$2405,"&lt;="&amp;DATE(LvYear,12,31)))</f>
        <v/>
      </c>
      <c r="U373" s="16" t="str">
        <f aca="false">IF($A373="","",SUMIFS(Attendance!$AW$6:$AW$2405,Attendance!$B$6:$B$2405,$A373,Attendance!$A$6:$A$2405,"&gt;="&amp;DATE(LvYear,1,1),Attendance!$A$6:$A$2405,"&lt;="&amp;DATE(LvYear,12,31)))</f>
        <v/>
      </c>
      <c r="V373" s="16" t="str">
        <f aca="false">IF($A373="","",L373-R373)</f>
        <v/>
      </c>
      <c r="W373" s="16" t="str">
        <f aca="false">IF($A373="","",M373-S373)</f>
        <v/>
      </c>
      <c r="X373" s="16" t="str">
        <f aca="false">IF($A373="","",P373-T373)</f>
        <v/>
      </c>
      <c r="Y373" s="16" t="str">
        <f aca="false">IF($A373="","",Q373-U373)</f>
        <v/>
      </c>
      <c r="Z373" s="16" t="str">
        <f aca="false">IF($A373="","",V373+W373+X373)</f>
        <v/>
      </c>
      <c r="AA373" s="16" t="str">
        <f aca="false">IF($A373="","",O373+N(N373)-T373)</f>
        <v/>
      </c>
      <c r="AB373" s="8" t="str">
        <f aca="false">IF($A373="","","CL "&amp;V373&amp;" | SL "&amp;W373&amp;" | PL "&amp;X373&amp;" | TR "&amp;Y373)</f>
        <v/>
      </c>
      <c r="AC373" s="15" t="str">
        <f aca="false">IF($A373="","",IF(F373="Exited","EXITED",IF(AND(ISNUMBER(K373),K373=0),"NOT ELIGIBLE",IF(MIN(V373:X373)&lt;0,"OVER-USED",IF(Z373&lt;=Settings!$C$15,"LOW","OK")))))</f>
        <v/>
      </c>
      <c r="AD373" s="16" t="str">
        <f aca="false">IF(OR(AC373="OVER-USED",AC373="LOW"),COUNTIF(AC$6:AC373,"OVER-USED")+COUNTIF(AC$6:AC373,"LOW"),"")</f>
        <v/>
      </c>
    </row>
    <row r="374" customFormat="false" ht="15" hidden="false" customHeight="false" outlineLevel="0" collapsed="false">
      <c r="A374" s="8" t="str">
        <f aca="false">IF('Employee List'!B374="","",'Employee List'!B374)</f>
        <v/>
      </c>
      <c r="B374" s="8" t="str">
        <f aca="false">IF($A374="","",'Employee List'!C374)</f>
        <v/>
      </c>
      <c r="C374" s="8" t="str">
        <f aca="false">IF($A374="","",'Employee List'!E374&amp;"")</f>
        <v/>
      </c>
      <c r="D374" s="8" t="str">
        <f aca="false">IF($A374="","",'Employee List'!F374&amp;"")</f>
        <v/>
      </c>
      <c r="E374" s="8" t="str">
        <f aca="false">IF($A374="","",'Employee List'!G374&amp;"")</f>
        <v/>
      </c>
      <c r="F374" s="8" t="str">
        <f aca="false">IF($A374="","",'Employee List'!D374)</f>
        <v/>
      </c>
      <c r="G374" s="38" t="str">
        <f aca="false">IF($A374="","",IF('Employee List'!I374="","",'Employee List'!I374))</f>
        <v/>
      </c>
      <c r="H374" s="38" t="str">
        <f aca="false">IF(OR($A374="",G374=""),"",G374+Settings!$C$13)</f>
        <v/>
      </c>
      <c r="I374" s="38" t="str">
        <f aca="false">IF(H374="","",MAX(H374,DATE(LvYear,1,1)))</f>
        <v/>
      </c>
      <c r="J374" s="38" t="str">
        <f aca="false">IF($A374="","",IF('Employee List'!J374="",DATE(LvYear,12,31),MIN('Employee List'!J374,DATE(LvYear,12,31))))</f>
        <v/>
      </c>
      <c r="K374" s="39" t="str">
        <f aca="false">IF(OR(I374="",J374=""),"",MAX(0,J374-I374+1))</f>
        <v/>
      </c>
      <c r="L374" s="16" t="str">
        <f aca="false">IF($A374="","",IF(AND(ISNUMBER(K374),K374=0),0,Settings!$C$10))</f>
        <v/>
      </c>
      <c r="M374" s="16" t="str">
        <f aca="false">IF($A374="","",IF(AND(ISNUMBER(K374),K374=0),0,Settings!$C$11))</f>
        <v/>
      </c>
      <c r="N374" s="40"/>
      <c r="O374" s="16" t="str">
        <f aca="false">IF($A374="","",FLOOR(Settings!$C$12/365*N(K374),0.5))</f>
        <v/>
      </c>
      <c r="P374" s="16" t="str">
        <f aca="false">IF($A374="","",IF(I374="",N(N374),FLOOR(Settings!$C$12/365*MAX(0,MIN(LvAsOf,J374)-I374+1)+N(N374),0.5)))</f>
        <v/>
      </c>
      <c r="Q374" s="16" t="str">
        <f aca="false">IF($A374="","",Settings!$C$14)</f>
        <v/>
      </c>
      <c r="R374" s="16" t="str">
        <f aca="false">IF($A374="","",SUMIFS(Attendance!$AZ$6:$AZ$2405,Attendance!$B$6:$B$2405,$A374,Attendance!$A$6:$A$2405,"&gt;="&amp;DATE(LvYear,1,1),Attendance!$A$6:$A$2405,"&lt;="&amp;DATE(LvYear,12,31)))</f>
        <v/>
      </c>
      <c r="S374" s="16" t="str">
        <f aca="false">IF($A374="","",SUMIFS(Attendance!$AY$6:$AY$2405,Attendance!$B$6:$B$2405,$A374,Attendance!$A$6:$A$2405,"&gt;="&amp;DATE(LvYear,1,1),Attendance!$A$6:$A$2405,"&lt;="&amp;DATE(LvYear,12,31)))</f>
        <v/>
      </c>
      <c r="T374" s="16" t="str">
        <f aca="false">IF($A374="","",SUMIFS(Attendance!$AX$6:$AX$2405,Attendance!$B$6:$B$2405,$A374,Attendance!$A$6:$A$2405,"&gt;="&amp;DATE(LvYear,1,1),Attendance!$A$6:$A$2405,"&lt;="&amp;DATE(LvYear,12,31)))</f>
        <v/>
      </c>
      <c r="U374" s="16" t="str">
        <f aca="false">IF($A374="","",SUMIFS(Attendance!$AW$6:$AW$2405,Attendance!$B$6:$B$2405,$A374,Attendance!$A$6:$A$2405,"&gt;="&amp;DATE(LvYear,1,1),Attendance!$A$6:$A$2405,"&lt;="&amp;DATE(LvYear,12,31)))</f>
        <v/>
      </c>
      <c r="V374" s="16" t="str">
        <f aca="false">IF($A374="","",L374-R374)</f>
        <v/>
      </c>
      <c r="W374" s="16" t="str">
        <f aca="false">IF($A374="","",M374-S374)</f>
        <v/>
      </c>
      <c r="X374" s="16" t="str">
        <f aca="false">IF($A374="","",P374-T374)</f>
        <v/>
      </c>
      <c r="Y374" s="16" t="str">
        <f aca="false">IF($A374="","",Q374-U374)</f>
        <v/>
      </c>
      <c r="Z374" s="16" t="str">
        <f aca="false">IF($A374="","",V374+W374+X374)</f>
        <v/>
      </c>
      <c r="AA374" s="16" t="str">
        <f aca="false">IF($A374="","",O374+N(N374)-T374)</f>
        <v/>
      </c>
      <c r="AB374" s="8" t="str">
        <f aca="false">IF($A374="","","CL "&amp;V374&amp;" | SL "&amp;W374&amp;" | PL "&amp;X374&amp;" | TR "&amp;Y374)</f>
        <v/>
      </c>
      <c r="AC374" s="15" t="str">
        <f aca="false">IF($A374="","",IF(F374="Exited","EXITED",IF(AND(ISNUMBER(K374),K374=0),"NOT ELIGIBLE",IF(MIN(V374:X374)&lt;0,"OVER-USED",IF(Z374&lt;=Settings!$C$15,"LOW","OK")))))</f>
        <v/>
      </c>
      <c r="AD374" s="16" t="str">
        <f aca="false">IF(OR(AC374="OVER-USED",AC374="LOW"),COUNTIF(AC$6:AC374,"OVER-USED")+COUNTIF(AC$6:AC374,"LOW"),"")</f>
        <v/>
      </c>
    </row>
    <row r="375" customFormat="false" ht="15" hidden="false" customHeight="false" outlineLevel="0" collapsed="false">
      <c r="A375" s="8" t="str">
        <f aca="false">IF('Employee List'!B375="","",'Employee List'!B375)</f>
        <v/>
      </c>
      <c r="B375" s="8" t="str">
        <f aca="false">IF($A375="","",'Employee List'!C375)</f>
        <v/>
      </c>
      <c r="C375" s="8" t="str">
        <f aca="false">IF($A375="","",'Employee List'!E375&amp;"")</f>
        <v/>
      </c>
      <c r="D375" s="8" t="str">
        <f aca="false">IF($A375="","",'Employee List'!F375&amp;"")</f>
        <v/>
      </c>
      <c r="E375" s="8" t="str">
        <f aca="false">IF($A375="","",'Employee List'!G375&amp;"")</f>
        <v/>
      </c>
      <c r="F375" s="8" t="str">
        <f aca="false">IF($A375="","",'Employee List'!D375)</f>
        <v/>
      </c>
      <c r="G375" s="38" t="str">
        <f aca="false">IF($A375="","",IF('Employee List'!I375="","",'Employee List'!I375))</f>
        <v/>
      </c>
      <c r="H375" s="38" t="str">
        <f aca="false">IF(OR($A375="",G375=""),"",G375+Settings!$C$13)</f>
        <v/>
      </c>
      <c r="I375" s="38" t="str">
        <f aca="false">IF(H375="","",MAX(H375,DATE(LvYear,1,1)))</f>
        <v/>
      </c>
      <c r="J375" s="38" t="str">
        <f aca="false">IF($A375="","",IF('Employee List'!J375="",DATE(LvYear,12,31),MIN('Employee List'!J375,DATE(LvYear,12,31))))</f>
        <v/>
      </c>
      <c r="K375" s="39" t="str">
        <f aca="false">IF(OR(I375="",J375=""),"",MAX(0,J375-I375+1))</f>
        <v/>
      </c>
      <c r="L375" s="16" t="str">
        <f aca="false">IF($A375="","",IF(AND(ISNUMBER(K375),K375=0),0,Settings!$C$10))</f>
        <v/>
      </c>
      <c r="M375" s="16" t="str">
        <f aca="false">IF($A375="","",IF(AND(ISNUMBER(K375),K375=0),0,Settings!$C$11))</f>
        <v/>
      </c>
      <c r="N375" s="40"/>
      <c r="O375" s="16" t="str">
        <f aca="false">IF($A375="","",FLOOR(Settings!$C$12/365*N(K375),0.5))</f>
        <v/>
      </c>
      <c r="P375" s="16" t="str">
        <f aca="false">IF($A375="","",IF(I375="",N(N375),FLOOR(Settings!$C$12/365*MAX(0,MIN(LvAsOf,J375)-I375+1)+N(N375),0.5)))</f>
        <v/>
      </c>
      <c r="Q375" s="16" t="str">
        <f aca="false">IF($A375="","",Settings!$C$14)</f>
        <v/>
      </c>
      <c r="R375" s="16" t="str">
        <f aca="false">IF($A375="","",SUMIFS(Attendance!$AZ$6:$AZ$2405,Attendance!$B$6:$B$2405,$A375,Attendance!$A$6:$A$2405,"&gt;="&amp;DATE(LvYear,1,1),Attendance!$A$6:$A$2405,"&lt;="&amp;DATE(LvYear,12,31)))</f>
        <v/>
      </c>
      <c r="S375" s="16" t="str">
        <f aca="false">IF($A375="","",SUMIFS(Attendance!$AY$6:$AY$2405,Attendance!$B$6:$B$2405,$A375,Attendance!$A$6:$A$2405,"&gt;="&amp;DATE(LvYear,1,1),Attendance!$A$6:$A$2405,"&lt;="&amp;DATE(LvYear,12,31)))</f>
        <v/>
      </c>
      <c r="T375" s="16" t="str">
        <f aca="false">IF($A375="","",SUMIFS(Attendance!$AX$6:$AX$2405,Attendance!$B$6:$B$2405,$A375,Attendance!$A$6:$A$2405,"&gt;="&amp;DATE(LvYear,1,1),Attendance!$A$6:$A$2405,"&lt;="&amp;DATE(LvYear,12,31)))</f>
        <v/>
      </c>
      <c r="U375" s="16" t="str">
        <f aca="false">IF($A375="","",SUMIFS(Attendance!$AW$6:$AW$2405,Attendance!$B$6:$B$2405,$A375,Attendance!$A$6:$A$2405,"&gt;="&amp;DATE(LvYear,1,1),Attendance!$A$6:$A$2405,"&lt;="&amp;DATE(LvYear,12,31)))</f>
        <v/>
      </c>
      <c r="V375" s="16" t="str">
        <f aca="false">IF($A375="","",L375-R375)</f>
        <v/>
      </c>
      <c r="W375" s="16" t="str">
        <f aca="false">IF($A375="","",M375-S375)</f>
        <v/>
      </c>
      <c r="X375" s="16" t="str">
        <f aca="false">IF($A375="","",P375-T375)</f>
        <v/>
      </c>
      <c r="Y375" s="16" t="str">
        <f aca="false">IF($A375="","",Q375-U375)</f>
        <v/>
      </c>
      <c r="Z375" s="16" t="str">
        <f aca="false">IF($A375="","",V375+W375+X375)</f>
        <v/>
      </c>
      <c r="AA375" s="16" t="str">
        <f aca="false">IF($A375="","",O375+N(N375)-T375)</f>
        <v/>
      </c>
      <c r="AB375" s="8" t="str">
        <f aca="false">IF($A375="","","CL "&amp;V375&amp;" | SL "&amp;W375&amp;" | PL "&amp;X375&amp;" | TR "&amp;Y375)</f>
        <v/>
      </c>
      <c r="AC375" s="15" t="str">
        <f aca="false">IF($A375="","",IF(F375="Exited","EXITED",IF(AND(ISNUMBER(K375),K375=0),"NOT ELIGIBLE",IF(MIN(V375:X375)&lt;0,"OVER-USED",IF(Z375&lt;=Settings!$C$15,"LOW","OK")))))</f>
        <v/>
      </c>
      <c r="AD375" s="16" t="str">
        <f aca="false">IF(OR(AC375="OVER-USED",AC375="LOW"),COUNTIF(AC$6:AC375,"OVER-USED")+COUNTIF(AC$6:AC375,"LOW"),"")</f>
        <v/>
      </c>
    </row>
    <row r="376" customFormat="false" ht="15" hidden="false" customHeight="false" outlineLevel="0" collapsed="false">
      <c r="A376" s="8" t="str">
        <f aca="false">IF('Employee List'!B376="","",'Employee List'!B376)</f>
        <v/>
      </c>
      <c r="B376" s="8" t="str">
        <f aca="false">IF($A376="","",'Employee List'!C376)</f>
        <v/>
      </c>
      <c r="C376" s="8" t="str">
        <f aca="false">IF($A376="","",'Employee List'!E376&amp;"")</f>
        <v/>
      </c>
      <c r="D376" s="8" t="str">
        <f aca="false">IF($A376="","",'Employee List'!F376&amp;"")</f>
        <v/>
      </c>
      <c r="E376" s="8" t="str">
        <f aca="false">IF($A376="","",'Employee List'!G376&amp;"")</f>
        <v/>
      </c>
      <c r="F376" s="8" t="str">
        <f aca="false">IF($A376="","",'Employee List'!D376)</f>
        <v/>
      </c>
      <c r="G376" s="38" t="str">
        <f aca="false">IF($A376="","",IF('Employee List'!I376="","",'Employee List'!I376))</f>
        <v/>
      </c>
      <c r="H376" s="38" t="str">
        <f aca="false">IF(OR($A376="",G376=""),"",G376+Settings!$C$13)</f>
        <v/>
      </c>
      <c r="I376" s="38" t="str">
        <f aca="false">IF(H376="","",MAX(H376,DATE(LvYear,1,1)))</f>
        <v/>
      </c>
      <c r="J376" s="38" t="str">
        <f aca="false">IF($A376="","",IF('Employee List'!J376="",DATE(LvYear,12,31),MIN('Employee List'!J376,DATE(LvYear,12,31))))</f>
        <v/>
      </c>
      <c r="K376" s="39" t="str">
        <f aca="false">IF(OR(I376="",J376=""),"",MAX(0,J376-I376+1))</f>
        <v/>
      </c>
      <c r="L376" s="16" t="str">
        <f aca="false">IF($A376="","",IF(AND(ISNUMBER(K376),K376=0),0,Settings!$C$10))</f>
        <v/>
      </c>
      <c r="M376" s="16" t="str">
        <f aca="false">IF($A376="","",IF(AND(ISNUMBER(K376),K376=0),0,Settings!$C$11))</f>
        <v/>
      </c>
      <c r="N376" s="40"/>
      <c r="O376" s="16" t="str">
        <f aca="false">IF($A376="","",FLOOR(Settings!$C$12/365*N(K376),0.5))</f>
        <v/>
      </c>
      <c r="P376" s="16" t="str">
        <f aca="false">IF($A376="","",IF(I376="",N(N376),FLOOR(Settings!$C$12/365*MAX(0,MIN(LvAsOf,J376)-I376+1)+N(N376),0.5)))</f>
        <v/>
      </c>
      <c r="Q376" s="16" t="str">
        <f aca="false">IF($A376="","",Settings!$C$14)</f>
        <v/>
      </c>
      <c r="R376" s="16" t="str">
        <f aca="false">IF($A376="","",SUMIFS(Attendance!$AZ$6:$AZ$2405,Attendance!$B$6:$B$2405,$A376,Attendance!$A$6:$A$2405,"&gt;="&amp;DATE(LvYear,1,1),Attendance!$A$6:$A$2405,"&lt;="&amp;DATE(LvYear,12,31)))</f>
        <v/>
      </c>
      <c r="S376" s="16" t="str">
        <f aca="false">IF($A376="","",SUMIFS(Attendance!$AY$6:$AY$2405,Attendance!$B$6:$B$2405,$A376,Attendance!$A$6:$A$2405,"&gt;="&amp;DATE(LvYear,1,1),Attendance!$A$6:$A$2405,"&lt;="&amp;DATE(LvYear,12,31)))</f>
        <v/>
      </c>
      <c r="T376" s="16" t="str">
        <f aca="false">IF($A376="","",SUMIFS(Attendance!$AX$6:$AX$2405,Attendance!$B$6:$B$2405,$A376,Attendance!$A$6:$A$2405,"&gt;="&amp;DATE(LvYear,1,1),Attendance!$A$6:$A$2405,"&lt;="&amp;DATE(LvYear,12,31)))</f>
        <v/>
      </c>
      <c r="U376" s="16" t="str">
        <f aca="false">IF($A376="","",SUMIFS(Attendance!$AW$6:$AW$2405,Attendance!$B$6:$B$2405,$A376,Attendance!$A$6:$A$2405,"&gt;="&amp;DATE(LvYear,1,1),Attendance!$A$6:$A$2405,"&lt;="&amp;DATE(LvYear,12,31)))</f>
        <v/>
      </c>
      <c r="V376" s="16" t="str">
        <f aca="false">IF($A376="","",L376-R376)</f>
        <v/>
      </c>
      <c r="W376" s="16" t="str">
        <f aca="false">IF($A376="","",M376-S376)</f>
        <v/>
      </c>
      <c r="X376" s="16" t="str">
        <f aca="false">IF($A376="","",P376-T376)</f>
        <v/>
      </c>
      <c r="Y376" s="16" t="str">
        <f aca="false">IF($A376="","",Q376-U376)</f>
        <v/>
      </c>
      <c r="Z376" s="16" t="str">
        <f aca="false">IF($A376="","",V376+W376+X376)</f>
        <v/>
      </c>
      <c r="AA376" s="16" t="str">
        <f aca="false">IF($A376="","",O376+N(N376)-T376)</f>
        <v/>
      </c>
      <c r="AB376" s="8" t="str">
        <f aca="false">IF($A376="","","CL "&amp;V376&amp;" | SL "&amp;W376&amp;" | PL "&amp;X376&amp;" | TR "&amp;Y376)</f>
        <v/>
      </c>
      <c r="AC376" s="15" t="str">
        <f aca="false">IF($A376="","",IF(F376="Exited","EXITED",IF(AND(ISNUMBER(K376),K376=0),"NOT ELIGIBLE",IF(MIN(V376:X376)&lt;0,"OVER-USED",IF(Z376&lt;=Settings!$C$15,"LOW","OK")))))</f>
        <v/>
      </c>
      <c r="AD376" s="16" t="str">
        <f aca="false">IF(OR(AC376="OVER-USED",AC376="LOW"),COUNTIF(AC$6:AC376,"OVER-USED")+COUNTIF(AC$6:AC376,"LOW"),"")</f>
        <v/>
      </c>
    </row>
    <row r="377" customFormat="false" ht="15" hidden="false" customHeight="false" outlineLevel="0" collapsed="false">
      <c r="A377" s="8" t="str">
        <f aca="false">IF('Employee List'!B377="","",'Employee List'!B377)</f>
        <v/>
      </c>
      <c r="B377" s="8" t="str">
        <f aca="false">IF($A377="","",'Employee List'!C377)</f>
        <v/>
      </c>
      <c r="C377" s="8" t="str">
        <f aca="false">IF($A377="","",'Employee List'!E377&amp;"")</f>
        <v/>
      </c>
      <c r="D377" s="8" t="str">
        <f aca="false">IF($A377="","",'Employee List'!F377&amp;"")</f>
        <v/>
      </c>
      <c r="E377" s="8" t="str">
        <f aca="false">IF($A377="","",'Employee List'!G377&amp;"")</f>
        <v/>
      </c>
      <c r="F377" s="8" t="str">
        <f aca="false">IF($A377="","",'Employee List'!D377)</f>
        <v/>
      </c>
      <c r="G377" s="38" t="str">
        <f aca="false">IF($A377="","",IF('Employee List'!I377="","",'Employee List'!I377))</f>
        <v/>
      </c>
      <c r="H377" s="38" t="str">
        <f aca="false">IF(OR($A377="",G377=""),"",G377+Settings!$C$13)</f>
        <v/>
      </c>
      <c r="I377" s="38" t="str">
        <f aca="false">IF(H377="","",MAX(H377,DATE(LvYear,1,1)))</f>
        <v/>
      </c>
      <c r="J377" s="38" t="str">
        <f aca="false">IF($A377="","",IF('Employee List'!J377="",DATE(LvYear,12,31),MIN('Employee List'!J377,DATE(LvYear,12,31))))</f>
        <v/>
      </c>
      <c r="K377" s="39" t="str">
        <f aca="false">IF(OR(I377="",J377=""),"",MAX(0,J377-I377+1))</f>
        <v/>
      </c>
      <c r="L377" s="16" t="str">
        <f aca="false">IF($A377="","",IF(AND(ISNUMBER(K377),K377=0),0,Settings!$C$10))</f>
        <v/>
      </c>
      <c r="M377" s="16" t="str">
        <f aca="false">IF($A377="","",IF(AND(ISNUMBER(K377),K377=0),0,Settings!$C$11))</f>
        <v/>
      </c>
      <c r="N377" s="40"/>
      <c r="O377" s="16" t="str">
        <f aca="false">IF($A377="","",FLOOR(Settings!$C$12/365*N(K377),0.5))</f>
        <v/>
      </c>
      <c r="P377" s="16" t="str">
        <f aca="false">IF($A377="","",IF(I377="",N(N377),FLOOR(Settings!$C$12/365*MAX(0,MIN(LvAsOf,J377)-I377+1)+N(N377),0.5)))</f>
        <v/>
      </c>
      <c r="Q377" s="16" t="str">
        <f aca="false">IF($A377="","",Settings!$C$14)</f>
        <v/>
      </c>
      <c r="R377" s="16" t="str">
        <f aca="false">IF($A377="","",SUMIFS(Attendance!$AZ$6:$AZ$2405,Attendance!$B$6:$B$2405,$A377,Attendance!$A$6:$A$2405,"&gt;="&amp;DATE(LvYear,1,1),Attendance!$A$6:$A$2405,"&lt;="&amp;DATE(LvYear,12,31)))</f>
        <v/>
      </c>
      <c r="S377" s="16" t="str">
        <f aca="false">IF($A377="","",SUMIFS(Attendance!$AY$6:$AY$2405,Attendance!$B$6:$B$2405,$A377,Attendance!$A$6:$A$2405,"&gt;="&amp;DATE(LvYear,1,1),Attendance!$A$6:$A$2405,"&lt;="&amp;DATE(LvYear,12,31)))</f>
        <v/>
      </c>
      <c r="T377" s="16" t="str">
        <f aca="false">IF($A377="","",SUMIFS(Attendance!$AX$6:$AX$2405,Attendance!$B$6:$B$2405,$A377,Attendance!$A$6:$A$2405,"&gt;="&amp;DATE(LvYear,1,1),Attendance!$A$6:$A$2405,"&lt;="&amp;DATE(LvYear,12,31)))</f>
        <v/>
      </c>
      <c r="U377" s="16" t="str">
        <f aca="false">IF($A377="","",SUMIFS(Attendance!$AW$6:$AW$2405,Attendance!$B$6:$B$2405,$A377,Attendance!$A$6:$A$2405,"&gt;="&amp;DATE(LvYear,1,1),Attendance!$A$6:$A$2405,"&lt;="&amp;DATE(LvYear,12,31)))</f>
        <v/>
      </c>
      <c r="V377" s="16" t="str">
        <f aca="false">IF($A377="","",L377-R377)</f>
        <v/>
      </c>
      <c r="W377" s="16" t="str">
        <f aca="false">IF($A377="","",M377-S377)</f>
        <v/>
      </c>
      <c r="X377" s="16" t="str">
        <f aca="false">IF($A377="","",P377-T377)</f>
        <v/>
      </c>
      <c r="Y377" s="16" t="str">
        <f aca="false">IF($A377="","",Q377-U377)</f>
        <v/>
      </c>
      <c r="Z377" s="16" t="str">
        <f aca="false">IF($A377="","",V377+W377+X377)</f>
        <v/>
      </c>
      <c r="AA377" s="16" t="str">
        <f aca="false">IF($A377="","",O377+N(N377)-T377)</f>
        <v/>
      </c>
      <c r="AB377" s="8" t="str">
        <f aca="false">IF($A377="","","CL "&amp;V377&amp;" | SL "&amp;W377&amp;" | PL "&amp;X377&amp;" | TR "&amp;Y377)</f>
        <v/>
      </c>
      <c r="AC377" s="15" t="str">
        <f aca="false">IF($A377="","",IF(F377="Exited","EXITED",IF(AND(ISNUMBER(K377),K377=0),"NOT ELIGIBLE",IF(MIN(V377:X377)&lt;0,"OVER-USED",IF(Z377&lt;=Settings!$C$15,"LOW","OK")))))</f>
        <v/>
      </c>
      <c r="AD377" s="16" t="str">
        <f aca="false">IF(OR(AC377="OVER-USED",AC377="LOW"),COUNTIF(AC$6:AC377,"OVER-USED")+COUNTIF(AC$6:AC377,"LOW"),"")</f>
        <v/>
      </c>
    </row>
    <row r="378" customFormat="false" ht="15" hidden="false" customHeight="false" outlineLevel="0" collapsed="false">
      <c r="A378" s="8" t="str">
        <f aca="false">IF('Employee List'!B378="","",'Employee List'!B378)</f>
        <v/>
      </c>
      <c r="B378" s="8" t="str">
        <f aca="false">IF($A378="","",'Employee List'!C378)</f>
        <v/>
      </c>
      <c r="C378" s="8" t="str">
        <f aca="false">IF($A378="","",'Employee List'!E378&amp;"")</f>
        <v/>
      </c>
      <c r="D378" s="8" t="str">
        <f aca="false">IF($A378="","",'Employee List'!F378&amp;"")</f>
        <v/>
      </c>
      <c r="E378" s="8" t="str">
        <f aca="false">IF($A378="","",'Employee List'!G378&amp;"")</f>
        <v/>
      </c>
      <c r="F378" s="8" t="str">
        <f aca="false">IF($A378="","",'Employee List'!D378)</f>
        <v/>
      </c>
      <c r="G378" s="38" t="str">
        <f aca="false">IF($A378="","",IF('Employee List'!I378="","",'Employee List'!I378))</f>
        <v/>
      </c>
      <c r="H378" s="38" t="str">
        <f aca="false">IF(OR($A378="",G378=""),"",G378+Settings!$C$13)</f>
        <v/>
      </c>
      <c r="I378" s="38" t="str">
        <f aca="false">IF(H378="","",MAX(H378,DATE(LvYear,1,1)))</f>
        <v/>
      </c>
      <c r="J378" s="38" t="str">
        <f aca="false">IF($A378="","",IF('Employee List'!J378="",DATE(LvYear,12,31),MIN('Employee List'!J378,DATE(LvYear,12,31))))</f>
        <v/>
      </c>
      <c r="K378" s="39" t="str">
        <f aca="false">IF(OR(I378="",J378=""),"",MAX(0,J378-I378+1))</f>
        <v/>
      </c>
      <c r="L378" s="16" t="str">
        <f aca="false">IF($A378="","",IF(AND(ISNUMBER(K378),K378=0),0,Settings!$C$10))</f>
        <v/>
      </c>
      <c r="M378" s="16" t="str">
        <f aca="false">IF($A378="","",IF(AND(ISNUMBER(K378),K378=0),0,Settings!$C$11))</f>
        <v/>
      </c>
      <c r="N378" s="40"/>
      <c r="O378" s="16" t="str">
        <f aca="false">IF($A378="","",FLOOR(Settings!$C$12/365*N(K378),0.5))</f>
        <v/>
      </c>
      <c r="P378" s="16" t="str">
        <f aca="false">IF($A378="","",IF(I378="",N(N378),FLOOR(Settings!$C$12/365*MAX(0,MIN(LvAsOf,J378)-I378+1)+N(N378),0.5)))</f>
        <v/>
      </c>
      <c r="Q378" s="16" t="str">
        <f aca="false">IF($A378="","",Settings!$C$14)</f>
        <v/>
      </c>
      <c r="R378" s="16" t="str">
        <f aca="false">IF($A378="","",SUMIFS(Attendance!$AZ$6:$AZ$2405,Attendance!$B$6:$B$2405,$A378,Attendance!$A$6:$A$2405,"&gt;="&amp;DATE(LvYear,1,1),Attendance!$A$6:$A$2405,"&lt;="&amp;DATE(LvYear,12,31)))</f>
        <v/>
      </c>
      <c r="S378" s="16" t="str">
        <f aca="false">IF($A378="","",SUMIFS(Attendance!$AY$6:$AY$2405,Attendance!$B$6:$B$2405,$A378,Attendance!$A$6:$A$2405,"&gt;="&amp;DATE(LvYear,1,1),Attendance!$A$6:$A$2405,"&lt;="&amp;DATE(LvYear,12,31)))</f>
        <v/>
      </c>
      <c r="T378" s="16" t="str">
        <f aca="false">IF($A378="","",SUMIFS(Attendance!$AX$6:$AX$2405,Attendance!$B$6:$B$2405,$A378,Attendance!$A$6:$A$2405,"&gt;="&amp;DATE(LvYear,1,1),Attendance!$A$6:$A$2405,"&lt;="&amp;DATE(LvYear,12,31)))</f>
        <v/>
      </c>
      <c r="U378" s="16" t="str">
        <f aca="false">IF($A378="","",SUMIFS(Attendance!$AW$6:$AW$2405,Attendance!$B$6:$B$2405,$A378,Attendance!$A$6:$A$2405,"&gt;="&amp;DATE(LvYear,1,1),Attendance!$A$6:$A$2405,"&lt;="&amp;DATE(LvYear,12,31)))</f>
        <v/>
      </c>
      <c r="V378" s="16" t="str">
        <f aca="false">IF($A378="","",L378-R378)</f>
        <v/>
      </c>
      <c r="W378" s="16" t="str">
        <f aca="false">IF($A378="","",M378-S378)</f>
        <v/>
      </c>
      <c r="X378" s="16" t="str">
        <f aca="false">IF($A378="","",P378-T378)</f>
        <v/>
      </c>
      <c r="Y378" s="16" t="str">
        <f aca="false">IF($A378="","",Q378-U378)</f>
        <v/>
      </c>
      <c r="Z378" s="16" t="str">
        <f aca="false">IF($A378="","",V378+W378+X378)</f>
        <v/>
      </c>
      <c r="AA378" s="16" t="str">
        <f aca="false">IF($A378="","",O378+N(N378)-T378)</f>
        <v/>
      </c>
      <c r="AB378" s="8" t="str">
        <f aca="false">IF($A378="","","CL "&amp;V378&amp;" | SL "&amp;W378&amp;" | PL "&amp;X378&amp;" | TR "&amp;Y378)</f>
        <v/>
      </c>
      <c r="AC378" s="15" t="str">
        <f aca="false">IF($A378="","",IF(F378="Exited","EXITED",IF(AND(ISNUMBER(K378),K378=0),"NOT ELIGIBLE",IF(MIN(V378:X378)&lt;0,"OVER-USED",IF(Z378&lt;=Settings!$C$15,"LOW","OK")))))</f>
        <v/>
      </c>
      <c r="AD378" s="16" t="str">
        <f aca="false">IF(OR(AC378="OVER-USED",AC378="LOW"),COUNTIF(AC$6:AC378,"OVER-USED")+COUNTIF(AC$6:AC378,"LOW"),"")</f>
        <v/>
      </c>
    </row>
    <row r="379" customFormat="false" ht="15" hidden="false" customHeight="false" outlineLevel="0" collapsed="false">
      <c r="A379" s="8" t="str">
        <f aca="false">IF('Employee List'!B379="","",'Employee List'!B379)</f>
        <v/>
      </c>
      <c r="B379" s="8" t="str">
        <f aca="false">IF($A379="","",'Employee List'!C379)</f>
        <v/>
      </c>
      <c r="C379" s="8" t="str">
        <f aca="false">IF($A379="","",'Employee List'!E379&amp;"")</f>
        <v/>
      </c>
      <c r="D379" s="8" t="str">
        <f aca="false">IF($A379="","",'Employee List'!F379&amp;"")</f>
        <v/>
      </c>
      <c r="E379" s="8" t="str">
        <f aca="false">IF($A379="","",'Employee List'!G379&amp;"")</f>
        <v/>
      </c>
      <c r="F379" s="8" t="str">
        <f aca="false">IF($A379="","",'Employee List'!D379)</f>
        <v/>
      </c>
      <c r="G379" s="38" t="str">
        <f aca="false">IF($A379="","",IF('Employee List'!I379="","",'Employee List'!I379))</f>
        <v/>
      </c>
      <c r="H379" s="38" t="str">
        <f aca="false">IF(OR($A379="",G379=""),"",G379+Settings!$C$13)</f>
        <v/>
      </c>
      <c r="I379" s="38" t="str">
        <f aca="false">IF(H379="","",MAX(H379,DATE(LvYear,1,1)))</f>
        <v/>
      </c>
      <c r="J379" s="38" t="str">
        <f aca="false">IF($A379="","",IF('Employee List'!J379="",DATE(LvYear,12,31),MIN('Employee List'!J379,DATE(LvYear,12,31))))</f>
        <v/>
      </c>
      <c r="K379" s="39" t="str">
        <f aca="false">IF(OR(I379="",J379=""),"",MAX(0,J379-I379+1))</f>
        <v/>
      </c>
      <c r="L379" s="16" t="str">
        <f aca="false">IF($A379="","",IF(AND(ISNUMBER(K379),K379=0),0,Settings!$C$10))</f>
        <v/>
      </c>
      <c r="M379" s="16" t="str">
        <f aca="false">IF($A379="","",IF(AND(ISNUMBER(K379),K379=0),0,Settings!$C$11))</f>
        <v/>
      </c>
      <c r="N379" s="40"/>
      <c r="O379" s="16" t="str">
        <f aca="false">IF($A379="","",FLOOR(Settings!$C$12/365*N(K379),0.5))</f>
        <v/>
      </c>
      <c r="P379" s="16" t="str">
        <f aca="false">IF($A379="","",IF(I379="",N(N379),FLOOR(Settings!$C$12/365*MAX(0,MIN(LvAsOf,J379)-I379+1)+N(N379),0.5)))</f>
        <v/>
      </c>
      <c r="Q379" s="16" t="str">
        <f aca="false">IF($A379="","",Settings!$C$14)</f>
        <v/>
      </c>
      <c r="R379" s="16" t="str">
        <f aca="false">IF($A379="","",SUMIFS(Attendance!$AZ$6:$AZ$2405,Attendance!$B$6:$B$2405,$A379,Attendance!$A$6:$A$2405,"&gt;="&amp;DATE(LvYear,1,1),Attendance!$A$6:$A$2405,"&lt;="&amp;DATE(LvYear,12,31)))</f>
        <v/>
      </c>
      <c r="S379" s="16" t="str">
        <f aca="false">IF($A379="","",SUMIFS(Attendance!$AY$6:$AY$2405,Attendance!$B$6:$B$2405,$A379,Attendance!$A$6:$A$2405,"&gt;="&amp;DATE(LvYear,1,1),Attendance!$A$6:$A$2405,"&lt;="&amp;DATE(LvYear,12,31)))</f>
        <v/>
      </c>
      <c r="T379" s="16" t="str">
        <f aca="false">IF($A379="","",SUMIFS(Attendance!$AX$6:$AX$2405,Attendance!$B$6:$B$2405,$A379,Attendance!$A$6:$A$2405,"&gt;="&amp;DATE(LvYear,1,1),Attendance!$A$6:$A$2405,"&lt;="&amp;DATE(LvYear,12,31)))</f>
        <v/>
      </c>
      <c r="U379" s="16" t="str">
        <f aca="false">IF($A379="","",SUMIFS(Attendance!$AW$6:$AW$2405,Attendance!$B$6:$B$2405,$A379,Attendance!$A$6:$A$2405,"&gt;="&amp;DATE(LvYear,1,1),Attendance!$A$6:$A$2405,"&lt;="&amp;DATE(LvYear,12,31)))</f>
        <v/>
      </c>
      <c r="V379" s="16" t="str">
        <f aca="false">IF($A379="","",L379-R379)</f>
        <v/>
      </c>
      <c r="W379" s="16" t="str">
        <f aca="false">IF($A379="","",M379-S379)</f>
        <v/>
      </c>
      <c r="X379" s="16" t="str">
        <f aca="false">IF($A379="","",P379-T379)</f>
        <v/>
      </c>
      <c r="Y379" s="16" t="str">
        <f aca="false">IF($A379="","",Q379-U379)</f>
        <v/>
      </c>
      <c r="Z379" s="16" t="str">
        <f aca="false">IF($A379="","",V379+W379+X379)</f>
        <v/>
      </c>
      <c r="AA379" s="16" t="str">
        <f aca="false">IF($A379="","",O379+N(N379)-T379)</f>
        <v/>
      </c>
      <c r="AB379" s="8" t="str">
        <f aca="false">IF($A379="","","CL "&amp;V379&amp;" | SL "&amp;W379&amp;" | PL "&amp;X379&amp;" | TR "&amp;Y379)</f>
        <v/>
      </c>
      <c r="AC379" s="15" t="str">
        <f aca="false">IF($A379="","",IF(F379="Exited","EXITED",IF(AND(ISNUMBER(K379),K379=0),"NOT ELIGIBLE",IF(MIN(V379:X379)&lt;0,"OVER-USED",IF(Z379&lt;=Settings!$C$15,"LOW","OK")))))</f>
        <v/>
      </c>
      <c r="AD379" s="16" t="str">
        <f aca="false">IF(OR(AC379="OVER-USED",AC379="LOW"),COUNTIF(AC$6:AC379,"OVER-USED")+COUNTIF(AC$6:AC379,"LOW"),"")</f>
        <v/>
      </c>
    </row>
    <row r="380" customFormat="false" ht="15" hidden="false" customHeight="false" outlineLevel="0" collapsed="false">
      <c r="A380" s="8" t="str">
        <f aca="false">IF('Employee List'!B380="","",'Employee List'!B380)</f>
        <v/>
      </c>
      <c r="B380" s="8" t="str">
        <f aca="false">IF($A380="","",'Employee List'!C380)</f>
        <v/>
      </c>
      <c r="C380" s="8" t="str">
        <f aca="false">IF($A380="","",'Employee List'!E380&amp;"")</f>
        <v/>
      </c>
      <c r="D380" s="8" t="str">
        <f aca="false">IF($A380="","",'Employee List'!F380&amp;"")</f>
        <v/>
      </c>
      <c r="E380" s="8" t="str">
        <f aca="false">IF($A380="","",'Employee List'!G380&amp;"")</f>
        <v/>
      </c>
      <c r="F380" s="8" t="str">
        <f aca="false">IF($A380="","",'Employee List'!D380)</f>
        <v/>
      </c>
      <c r="G380" s="38" t="str">
        <f aca="false">IF($A380="","",IF('Employee List'!I380="","",'Employee List'!I380))</f>
        <v/>
      </c>
      <c r="H380" s="38" t="str">
        <f aca="false">IF(OR($A380="",G380=""),"",G380+Settings!$C$13)</f>
        <v/>
      </c>
      <c r="I380" s="38" t="str">
        <f aca="false">IF(H380="","",MAX(H380,DATE(LvYear,1,1)))</f>
        <v/>
      </c>
      <c r="J380" s="38" t="str">
        <f aca="false">IF($A380="","",IF('Employee List'!J380="",DATE(LvYear,12,31),MIN('Employee List'!J380,DATE(LvYear,12,31))))</f>
        <v/>
      </c>
      <c r="K380" s="39" t="str">
        <f aca="false">IF(OR(I380="",J380=""),"",MAX(0,J380-I380+1))</f>
        <v/>
      </c>
      <c r="L380" s="16" t="str">
        <f aca="false">IF($A380="","",IF(AND(ISNUMBER(K380),K380=0),0,Settings!$C$10))</f>
        <v/>
      </c>
      <c r="M380" s="16" t="str">
        <f aca="false">IF($A380="","",IF(AND(ISNUMBER(K380),K380=0),0,Settings!$C$11))</f>
        <v/>
      </c>
      <c r="N380" s="40"/>
      <c r="O380" s="16" t="str">
        <f aca="false">IF($A380="","",FLOOR(Settings!$C$12/365*N(K380),0.5))</f>
        <v/>
      </c>
      <c r="P380" s="16" t="str">
        <f aca="false">IF($A380="","",IF(I380="",N(N380),FLOOR(Settings!$C$12/365*MAX(0,MIN(LvAsOf,J380)-I380+1)+N(N380),0.5)))</f>
        <v/>
      </c>
      <c r="Q380" s="16" t="str">
        <f aca="false">IF($A380="","",Settings!$C$14)</f>
        <v/>
      </c>
      <c r="R380" s="16" t="str">
        <f aca="false">IF($A380="","",SUMIFS(Attendance!$AZ$6:$AZ$2405,Attendance!$B$6:$B$2405,$A380,Attendance!$A$6:$A$2405,"&gt;="&amp;DATE(LvYear,1,1),Attendance!$A$6:$A$2405,"&lt;="&amp;DATE(LvYear,12,31)))</f>
        <v/>
      </c>
      <c r="S380" s="16" t="str">
        <f aca="false">IF($A380="","",SUMIFS(Attendance!$AY$6:$AY$2405,Attendance!$B$6:$B$2405,$A380,Attendance!$A$6:$A$2405,"&gt;="&amp;DATE(LvYear,1,1),Attendance!$A$6:$A$2405,"&lt;="&amp;DATE(LvYear,12,31)))</f>
        <v/>
      </c>
      <c r="T380" s="16" t="str">
        <f aca="false">IF($A380="","",SUMIFS(Attendance!$AX$6:$AX$2405,Attendance!$B$6:$B$2405,$A380,Attendance!$A$6:$A$2405,"&gt;="&amp;DATE(LvYear,1,1),Attendance!$A$6:$A$2405,"&lt;="&amp;DATE(LvYear,12,31)))</f>
        <v/>
      </c>
      <c r="U380" s="16" t="str">
        <f aca="false">IF($A380="","",SUMIFS(Attendance!$AW$6:$AW$2405,Attendance!$B$6:$B$2405,$A380,Attendance!$A$6:$A$2405,"&gt;="&amp;DATE(LvYear,1,1),Attendance!$A$6:$A$2405,"&lt;="&amp;DATE(LvYear,12,31)))</f>
        <v/>
      </c>
      <c r="V380" s="16" t="str">
        <f aca="false">IF($A380="","",L380-R380)</f>
        <v/>
      </c>
      <c r="W380" s="16" t="str">
        <f aca="false">IF($A380="","",M380-S380)</f>
        <v/>
      </c>
      <c r="X380" s="16" t="str">
        <f aca="false">IF($A380="","",P380-T380)</f>
        <v/>
      </c>
      <c r="Y380" s="16" t="str">
        <f aca="false">IF($A380="","",Q380-U380)</f>
        <v/>
      </c>
      <c r="Z380" s="16" t="str">
        <f aca="false">IF($A380="","",V380+W380+X380)</f>
        <v/>
      </c>
      <c r="AA380" s="16" t="str">
        <f aca="false">IF($A380="","",O380+N(N380)-T380)</f>
        <v/>
      </c>
      <c r="AB380" s="8" t="str">
        <f aca="false">IF($A380="","","CL "&amp;V380&amp;" | SL "&amp;W380&amp;" | PL "&amp;X380&amp;" | TR "&amp;Y380)</f>
        <v/>
      </c>
      <c r="AC380" s="15" t="str">
        <f aca="false">IF($A380="","",IF(F380="Exited","EXITED",IF(AND(ISNUMBER(K380),K380=0),"NOT ELIGIBLE",IF(MIN(V380:X380)&lt;0,"OVER-USED",IF(Z380&lt;=Settings!$C$15,"LOW","OK")))))</f>
        <v/>
      </c>
      <c r="AD380" s="16" t="str">
        <f aca="false">IF(OR(AC380="OVER-USED",AC380="LOW"),COUNTIF(AC$6:AC380,"OVER-USED")+COUNTIF(AC$6:AC380,"LOW"),"")</f>
        <v/>
      </c>
    </row>
    <row r="381" customFormat="false" ht="15" hidden="false" customHeight="false" outlineLevel="0" collapsed="false">
      <c r="A381" s="8" t="str">
        <f aca="false">IF('Employee List'!B381="","",'Employee List'!B381)</f>
        <v/>
      </c>
      <c r="B381" s="8" t="str">
        <f aca="false">IF($A381="","",'Employee List'!C381)</f>
        <v/>
      </c>
      <c r="C381" s="8" t="str">
        <f aca="false">IF($A381="","",'Employee List'!E381&amp;"")</f>
        <v/>
      </c>
      <c r="D381" s="8" t="str">
        <f aca="false">IF($A381="","",'Employee List'!F381&amp;"")</f>
        <v/>
      </c>
      <c r="E381" s="8" t="str">
        <f aca="false">IF($A381="","",'Employee List'!G381&amp;"")</f>
        <v/>
      </c>
      <c r="F381" s="8" t="str">
        <f aca="false">IF($A381="","",'Employee List'!D381)</f>
        <v/>
      </c>
      <c r="G381" s="38" t="str">
        <f aca="false">IF($A381="","",IF('Employee List'!I381="","",'Employee List'!I381))</f>
        <v/>
      </c>
      <c r="H381" s="38" t="str">
        <f aca="false">IF(OR($A381="",G381=""),"",G381+Settings!$C$13)</f>
        <v/>
      </c>
      <c r="I381" s="38" t="str">
        <f aca="false">IF(H381="","",MAX(H381,DATE(LvYear,1,1)))</f>
        <v/>
      </c>
      <c r="J381" s="38" t="str">
        <f aca="false">IF($A381="","",IF('Employee List'!J381="",DATE(LvYear,12,31),MIN('Employee List'!J381,DATE(LvYear,12,31))))</f>
        <v/>
      </c>
      <c r="K381" s="39" t="str">
        <f aca="false">IF(OR(I381="",J381=""),"",MAX(0,J381-I381+1))</f>
        <v/>
      </c>
      <c r="L381" s="16" t="str">
        <f aca="false">IF($A381="","",IF(AND(ISNUMBER(K381),K381=0),0,Settings!$C$10))</f>
        <v/>
      </c>
      <c r="M381" s="16" t="str">
        <f aca="false">IF($A381="","",IF(AND(ISNUMBER(K381),K381=0),0,Settings!$C$11))</f>
        <v/>
      </c>
      <c r="N381" s="40"/>
      <c r="O381" s="16" t="str">
        <f aca="false">IF($A381="","",FLOOR(Settings!$C$12/365*N(K381),0.5))</f>
        <v/>
      </c>
      <c r="P381" s="16" t="str">
        <f aca="false">IF($A381="","",IF(I381="",N(N381),FLOOR(Settings!$C$12/365*MAX(0,MIN(LvAsOf,J381)-I381+1)+N(N381),0.5)))</f>
        <v/>
      </c>
      <c r="Q381" s="16" t="str">
        <f aca="false">IF($A381="","",Settings!$C$14)</f>
        <v/>
      </c>
      <c r="R381" s="16" t="str">
        <f aca="false">IF($A381="","",SUMIFS(Attendance!$AZ$6:$AZ$2405,Attendance!$B$6:$B$2405,$A381,Attendance!$A$6:$A$2405,"&gt;="&amp;DATE(LvYear,1,1),Attendance!$A$6:$A$2405,"&lt;="&amp;DATE(LvYear,12,31)))</f>
        <v/>
      </c>
      <c r="S381" s="16" t="str">
        <f aca="false">IF($A381="","",SUMIFS(Attendance!$AY$6:$AY$2405,Attendance!$B$6:$B$2405,$A381,Attendance!$A$6:$A$2405,"&gt;="&amp;DATE(LvYear,1,1),Attendance!$A$6:$A$2405,"&lt;="&amp;DATE(LvYear,12,31)))</f>
        <v/>
      </c>
      <c r="T381" s="16" t="str">
        <f aca="false">IF($A381="","",SUMIFS(Attendance!$AX$6:$AX$2405,Attendance!$B$6:$B$2405,$A381,Attendance!$A$6:$A$2405,"&gt;="&amp;DATE(LvYear,1,1),Attendance!$A$6:$A$2405,"&lt;="&amp;DATE(LvYear,12,31)))</f>
        <v/>
      </c>
      <c r="U381" s="16" t="str">
        <f aca="false">IF($A381="","",SUMIFS(Attendance!$AW$6:$AW$2405,Attendance!$B$6:$B$2405,$A381,Attendance!$A$6:$A$2405,"&gt;="&amp;DATE(LvYear,1,1),Attendance!$A$6:$A$2405,"&lt;="&amp;DATE(LvYear,12,31)))</f>
        <v/>
      </c>
      <c r="V381" s="16" t="str">
        <f aca="false">IF($A381="","",L381-R381)</f>
        <v/>
      </c>
      <c r="W381" s="16" t="str">
        <f aca="false">IF($A381="","",M381-S381)</f>
        <v/>
      </c>
      <c r="X381" s="16" t="str">
        <f aca="false">IF($A381="","",P381-T381)</f>
        <v/>
      </c>
      <c r="Y381" s="16" t="str">
        <f aca="false">IF($A381="","",Q381-U381)</f>
        <v/>
      </c>
      <c r="Z381" s="16" t="str">
        <f aca="false">IF($A381="","",V381+W381+X381)</f>
        <v/>
      </c>
      <c r="AA381" s="16" t="str">
        <f aca="false">IF($A381="","",O381+N(N381)-T381)</f>
        <v/>
      </c>
      <c r="AB381" s="8" t="str">
        <f aca="false">IF($A381="","","CL "&amp;V381&amp;" | SL "&amp;W381&amp;" | PL "&amp;X381&amp;" | TR "&amp;Y381)</f>
        <v/>
      </c>
      <c r="AC381" s="15" t="str">
        <f aca="false">IF($A381="","",IF(F381="Exited","EXITED",IF(AND(ISNUMBER(K381),K381=0),"NOT ELIGIBLE",IF(MIN(V381:X381)&lt;0,"OVER-USED",IF(Z381&lt;=Settings!$C$15,"LOW","OK")))))</f>
        <v/>
      </c>
      <c r="AD381" s="16" t="str">
        <f aca="false">IF(OR(AC381="OVER-USED",AC381="LOW"),COUNTIF(AC$6:AC381,"OVER-USED")+COUNTIF(AC$6:AC381,"LOW"),"")</f>
        <v/>
      </c>
    </row>
    <row r="382" customFormat="false" ht="15" hidden="false" customHeight="false" outlineLevel="0" collapsed="false">
      <c r="A382" s="8" t="str">
        <f aca="false">IF('Employee List'!B382="","",'Employee List'!B382)</f>
        <v/>
      </c>
      <c r="B382" s="8" t="str">
        <f aca="false">IF($A382="","",'Employee List'!C382)</f>
        <v/>
      </c>
      <c r="C382" s="8" t="str">
        <f aca="false">IF($A382="","",'Employee List'!E382&amp;"")</f>
        <v/>
      </c>
      <c r="D382" s="8" t="str">
        <f aca="false">IF($A382="","",'Employee List'!F382&amp;"")</f>
        <v/>
      </c>
      <c r="E382" s="8" t="str">
        <f aca="false">IF($A382="","",'Employee List'!G382&amp;"")</f>
        <v/>
      </c>
      <c r="F382" s="8" t="str">
        <f aca="false">IF($A382="","",'Employee List'!D382)</f>
        <v/>
      </c>
      <c r="G382" s="38" t="str">
        <f aca="false">IF($A382="","",IF('Employee List'!I382="","",'Employee List'!I382))</f>
        <v/>
      </c>
      <c r="H382" s="38" t="str">
        <f aca="false">IF(OR($A382="",G382=""),"",G382+Settings!$C$13)</f>
        <v/>
      </c>
      <c r="I382" s="38" t="str">
        <f aca="false">IF(H382="","",MAX(H382,DATE(LvYear,1,1)))</f>
        <v/>
      </c>
      <c r="J382" s="38" t="str">
        <f aca="false">IF($A382="","",IF('Employee List'!J382="",DATE(LvYear,12,31),MIN('Employee List'!J382,DATE(LvYear,12,31))))</f>
        <v/>
      </c>
      <c r="K382" s="39" t="str">
        <f aca="false">IF(OR(I382="",J382=""),"",MAX(0,J382-I382+1))</f>
        <v/>
      </c>
      <c r="L382" s="16" t="str">
        <f aca="false">IF($A382="","",IF(AND(ISNUMBER(K382),K382=0),0,Settings!$C$10))</f>
        <v/>
      </c>
      <c r="M382" s="16" t="str">
        <f aca="false">IF($A382="","",IF(AND(ISNUMBER(K382),K382=0),0,Settings!$C$11))</f>
        <v/>
      </c>
      <c r="N382" s="40"/>
      <c r="O382" s="16" t="str">
        <f aca="false">IF($A382="","",FLOOR(Settings!$C$12/365*N(K382),0.5))</f>
        <v/>
      </c>
      <c r="P382" s="16" t="str">
        <f aca="false">IF($A382="","",IF(I382="",N(N382),FLOOR(Settings!$C$12/365*MAX(0,MIN(LvAsOf,J382)-I382+1)+N(N382),0.5)))</f>
        <v/>
      </c>
      <c r="Q382" s="16" t="str">
        <f aca="false">IF($A382="","",Settings!$C$14)</f>
        <v/>
      </c>
      <c r="R382" s="16" t="str">
        <f aca="false">IF($A382="","",SUMIFS(Attendance!$AZ$6:$AZ$2405,Attendance!$B$6:$B$2405,$A382,Attendance!$A$6:$A$2405,"&gt;="&amp;DATE(LvYear,1,1),Attendance!$A$6:$A$2405,"&lt;="&amp;DATE(LvYear,12,31)))</f>
        <v/>
      </c>
      <c r="S382" s="16" t="str">
        <f aca="false">IF($A382="","",SUMIFS(Attendance!$AY$6:$AY$2405,Attendance!$B$6:$B$2405,$A382,Attendance!$A$6:$A$2405,"&gt;="&amp;DATE(LvYear,1,1),Attendance!$A$6:$A$2405,"&lt;="&amp;DATE(LvYear,12,31)))</f>
        <v/>
      </c>
      <c r="T382" s="16" t="str">
        <f aca="false">IF($A382="","",SUMIFS(Attendance!$AX$6:$AX$2405,Attendance!$B$6:$B$2405,$A382,Attendance!$A$6:$A$2405,"&gt;="&amp;DATE(LvYear,1,1),Attendance!$A$6:$A$2405,"&lt;="&amp;DATE(LvYear,12,31)))</f>
        <v/>
      </c>
      <c r="U382" s="16" t="str">
        <f aca="false">IF($A382="","",SUMIFS(Attendance!$AW$6:$AW$2405,Attendance!$B$6:$B$2405,$A382,Attendance!$A$6:$A$2405,"&gt;="&amp;DATE(LvYear,1,1),Attendance!$A$6:$A$2405,"&lt;="&amp;DATE(LvYear,12,31)))</f>
        <v/>
      </c>
      <c r="V382" s="16" t="str">
        <f aca="false">IF($A382="","",L382-R382)</f>
        <v/>
      </c>
      <c r="W382" s="16" t="str">
        <f aca="false">IF($A382="","",M382-S382)</f>
        <v/>
      </c>
      <c r="X382" s="16" t="str">
        <f aca="false">IF($A382="","",P382-T382)</f>
        <v/>
      </c>
      <c r="Y382" s="16" t="str">
        <f aca="false">IF($A382="","",Q382-U382)</f>
        <v/>
      </c>
      <c r="Z382" s="16" t="str">
        <f aca="false">IF($A382="","",V382+W382+X382)</f>
        <v/>
      </c>
      <c r="AA382" s="16" t="str">
        <f aca="false">IF($A382="","",O382+N(N382)-T382)</f>
        <v/>
      </c>
      <c r="AB382" s="8" t="str">
        <f aca="false">IF($A382="","","CL "&amp;V382&amp;" | SL "&amp;W382&amp;" | PL "&amp;X382&amp;" | TR "&amp;Y382)</f>
        <v/>
      </c>
      <c r="AC382" s="15" t="str">
        <f aca="false">IF($A382="","",IF(F382="Exited","EXITED",IF(AND(ISNUMBER(K382),K382=0),"NOT ELIGIBLE",IF(MIN(V382:X382)&lt;0,"OVER-USED",IF(Z382&lt;=Settings!$C$15,"LOW","OK")))))</f>
        <v/>
      </c>
      <c r="AD382" s="16" t="str">
        <f aca="false">IF(OR(AC382="OVER-USED",AC382="LOW"),COUNTIF(AC$6:AC382,"OVER-USED")+COUNTIF(AC$6:AC382,"LOW"),"")</f>
        <v/>
      </c>
    </row>
    <row r="383" customFormat="false" ht="15" hidden="false" customHeight="false" outlineLevel="0" collapsed="false">
      <c r="A383" s="8" t="str">
        <f aca="false">IF('Employee List'!B383="","",'Employee List'!B383)</f>
        <v/>
      </c>
      <c r="B383" s="8" t="str">
        <f aca="false">IF($A383="","",'Employee List'!C383)</f>
        <v/>
      </c>
      <c r="C383" s="8" t="str">
        <f aca="false">IF($A383="","",'Employee List'!E383&amp;"")</f>
        <v/>
      </c>
      <c r="D383" s="8" t="str">
        <f aca="false">IF($A383="","",'Employee List'!F383&amp;"")</f>
        <v/>
      </c>
      <c r="E383" s="8" t="str">
        <f aca="false">IF($A383="","",'Employee List'!G383&amp;"")</f>
        <v/>
      </c>
      <c r="F383" s="8" t="str">
        <f aca="false">IF($A383="","",'Employee List'!D383)</f>
        <v/>
      </c>
      <c r="G383" s="38" t="str">
        <f aca="false">IF($A383="","",IF('Employee List'!I383="","",'Employee List'!I383))</f>
        <v/>
      </c>
      <c r="H383" s="38" t="str">
        <f aca="false">IF(OR($A383="",G383=""),"",G383+Settings!$C$13)</f>
        <v/>
      </c>
      <c r="I383" s="38" t="str">
        <f aca="false">IF(H383="","",MAX(H383,DATE(LvYear,1,1)))</f>
        <v/>
      </c>
      <c r="J383" s="38" t="str">
        <f aca="false">IF($A383="","",IF('Employee List'!J383="",DATE(LvYear,12,31),MIN('Employee List'!J383,DATE(LvYear,12,31))))</f>
        <v/>
      </c>
      <c r="K383" s="39" t="str">
        <f aca="false">IF(OR(I383="",J383=""),"",MAX(0,J383-I383+1))</f>
        <v/>
      </c>
      <c r="L383" s="16" t="str">
        <f aca="false">IF($A383="","",IF(AND(ISNUMBER(K383),K383=0),0,Settings!$C$10))</f>
        <v/>
      </c>
      <c r="M383" s="16" t="str">
        <f aca="false">IF($A383="","",IF(AND(ISNUMBER(K383),K383=0),0,Settings!$C$11))</f>
        <v/>
      </c>
      <c r="N383" s="40"/>
      <c r="O383" s="16" t="str">
        <f aca="false">IF($A383="","",FLOOR(Settings!$C$12/365*N(K383),0.5))</f>
        <v/>
      </c>
      <c r="P383" s="16" t="str">
        <f aca="false">IF($A383="","",IF(I383="",N(N383),FLOOR(Settings!$C$12/365*MAX(0,MIN(LvAsOf,J383)-I383+1)+N(N383),0.5)))</f>
        <v/>
      </c>
      <c r="Q383" s="16" t="str">
        <f aca="false">IF($A383="","",Settings!$C$14)</f>
        <v/>
      </c>
      <c r="R383" s="16" t="str">
        <f aca="false">IF($A383="","",SUMIFS(Attendance!$AZ$6:$AZ$2405,Attendance!$B$6:$B$2405,$A383,Attendance!$A$6:$A$2405,"&gt;="&amp;DATE(LvYear,1,1),Attendance!$A$6:$A$2405,"&lt;="&amp;DATE(LvYear,12,31)))</f>
        <v/>
      </c>
      <c r="S383" s="16" t="str">
        <f aca="false">IF($A383="","",SUMIFS(Attendance!$AY$6:$AY$2405,Attendance!$B$6:$B$2405,$A383,Attendance!$A$6:$A$2405,"&gt;="&amp;DATE(LvYear,1,1),Attendance!$A$6:$A$2405,"&lt;="&amp;DATE(LvYear,12,31)))</f>
        <v/>
      </c>
      <c r="T383" s="16" t="str">
        <f aca="false">IF($A383="","",SUMIFS(Attendance!$AX$6:$AX$2405,Attendance!$B$6:$B$2405,$A383,Attendance!$A$6:$A$2405,"&gt;="&amp;DATE(LvYear,1,1),Attendance!$A$6:$A$2405,"&lt;="&amp;DATE(LvYear,12,31)))</f>
        <v/>
      </c>
      <c r="U383" s="16" t="str">
        <f aca="false">IF($A383="","",SUMIFS(Attendance!$AW$6:$AW$2405,Attendance!$B$6:$B$2405,$A383,Attendance!$A$6:$A$2405,"&gt;="&amp;DATE(LvYear,1,1),Attendance!$A$6:$A$2405,"&lt;="&amp;DATE(LvYear,12,31)))</f>
        <v/>
      </c>
      <c r="V383" s="16" t="str">
        <f aca="false">IF($A383="","",L383-R383)</f>
        <v/>
      </c>
      <c r="W383" s="16" t="str">
        <f aca="false">IF($A383="","",M383-S383)</f>
        <v/>
      </c>
      <c r="X383" s="16" t="str">
        <f aca="false">IF($A383="","",P383-T383)</f>
        <v/>
      </c>
      <c r="Y383" s="16" t="str">
        <f aca="false">IF($A383="","",Q383-U383)</f>
        <v/>
      </c>
      <c r="Z383" s="16" t="str">
        <f aca="false">IF($A383="","",V383+W383+X383)</f>
        <v/>
      </c>
      <c r="AA383" s="16" t="str">
        <f aca="false">IF($A383="","",O383+N(N383)-T383)</f>
        <v/>
      </c>
      <c r="AB383" s="8" t="str">
        <f aca="false">IF($A383="","","CL "&amp;V383&amp;" | SL "&amp;W383&amp;" | PL "&amp;X383&amp;" | TR "&amp;Y383)</f>
        <v/>
      </c>
      <c r="AC383" s="15" t="str">
        <f aca="false">IF($A383="","",IF(F383="Exited","EXITED",IF(AND(ISNUMBER(K383),K383=0),"NOT ELIGIBLE",IF(MIN(V383:X383)&lt;0,"OVER-USED",IF(Z383&lt;=Settings!$C$15,"LOW","OK")))))</f>
        <v/>
      </c>
      <c r="AD383" s="16" t="str">
        <f aca="false">IF(OR(AC383="OVER-USED",AC383="LOW"),COUNTIF(AC$6:AC383,"OVER-USED")+COUNTIF(AC$6:AC383,"LOW"),"")</f>
        <v/>
      </c>
    </row>
    <row r="384" customFormat="false" ht="15" hidden="false" customHeight="false" outlineLevel="0" collapsed="false">
      <c r="A384" s="8" t="str">
        <f aca="false">IF('Employee List'!B384="","",'Employee List'!B384)</f>
        <v/>
      </c>
      <c r="B384" s="8" t="str">
        <f aca="false">IF($A384="","",'Employee List'!C384)</f>
        <v/>
      </c>
      <c r="C384" s="8" t="str">
        <f aca="false">IF($A384="","",'Employee List'!E384&amp;"")</f>
        <v/>
      </c>
      <c r="D384" s="8" t="str">
        <f aca="false">IF($A384="","",'Employee List'!F384&amp;"")</f>
        <v/>
      </c>
      <c r="E384" s="8" t="str">
        <f aca="false">IF($A384="","",'Employee List'!G384&amp;"")</f>
        <v/>
      </c>
      <c r="F384" s="8" t="str">
        <f aca="false">IF($A384="","",'Employee List'!D384)</f>
        <v/>
      </c>
      <c r="G384" s="38" t="str">
        <f aca="false">IF($A384="","",IF('Employee List'!I384="","",'Employee List'!I384))</f>
        <v/>
      </c>
      <c r="H384" s="38" t="str">
        <f aca="false">IF(OR($A384="",G384=""),"",G384+Settings!$C$13)</f>
        <v/>
      </c>
      <c r="I384" s="38" t="str">
        <f aca="false">IF(H384="","",MAX(H384,DATE(LvYear,1,1)))</f>
        <v/>
      </c>
      <c r="J384" s="38" t="str">
        <f aca="false">IF($A384="","",IF('Employee List'!J384="",DATE(LvYear,12,31),MIN('Employee List'!J384,DATE(LvYear,12,31))))</f>
        <v/>
      </c>
      <c r="K384" s="39" t="str">
        <f aca="false">IF(OR(I384="",J384=""),"",MAX(0,J384-I384+1))</f>
        <v/>
      </c>
      <c r="L384" s="16" t="str">
        <f aca="false">IF($A384="","",IF(AND(ISNUMBER(K384),K384=0),0,Settings!$C$10))</f>
        <v/>
      </c>
      <c r="M384" s="16" t="str">
        <f aca="false">IF($A384="","",IF(AND(ISNUMBER(K384),K384=0),0,Settings!$C$11))</f>
        <v/>
      </c>
      <c r="N384" s="40"/>
      <c r="O384" s="16" t="str">
        <f aca="false">IF($A384="","",FLOOR(Settings!$C$12/365*N(K384),0.5))</f>
        <v/>
      </c>
      <c r="P384" s="16" t="str">
        <f aca="false">IF($A384="","",IF(I384="",N(N384),FLOOR(Settings!$C$12/365*MAX(0,MIN(LvAsOf,J384)-I384+1)+N(N384),0.5)))</f>
        <v/>
      </c>
      <c r="Q384" s="16" t="str">
        <f aca="false">IF($A384="","",Settings!$C$14)</f>
        <v/>
      </c>
      <c r="R384" s="16" t="str">
        <f aca="false">IF($A384="","",SUMIFS(Attendance!$AZ$6:$AZ$2405,Attendance!$B$6:$B$2405,$A384,Attendance!$A$6:$A$2405,"&gt;="&amp;DATE(LvYear,1,1),Attendance!$A$6:$A$2405,"&lt;="&amp;DATE(LvYear,12,31)))</f>
        <v/>
      </c>
      <c r="S384" s="16" t="str">
        <f aca="false">IF($A384="","",SUMIFS(Attendance!$AY$6:$AY$2405,Attendance!$B$6:$B$2405,$A384,Attendance!$A$6:$A$2405,"&gt;="&amp;DATE(LvYear,1,1),Attendance!$A$6:$A$2405,"&lt;="&amp;DATE(LvYear,12,31)))</f>
        <v/>
      </c>
      <c r="T384" s="16" t="str">
        <f aca="false">IF($A384="","",SUMIFS(Attendance!$AX$6:$AX$2405,Attendance!$B$6:$B$2405,$A384,Attendance!$A$6:$A$2405,"&gt;="&amp;DATE(LvYear,1,1),Attendance!$A$6:$A$2405,"&lt;="&amp;DATE(LvYear,12,31)))</f>
        <v/>
      </c>
      <c r="U384" s="16" t="str">
        <f aca="false">IF($A384="","",SUMIFS(Attendance!$AW$6:$AW$2405,Attendance!$B$6:$B$2405,$A384,Attendance!$A$6:$A$2405,"&gt;="&amp;DATE(LvYear,1,1),Attendance!$A$6:$A$2405,"&lt;="&amp;DATE(LvYear,12,31)))</f>
        <v/>
      </c>
      <c r="V384" s="16" t="str">
        <f aca="false">IF($A384="","",L384-R384)</f>
        <v/>
      </c>
      <c r="W384" s="16" t="str">
        <f aca="false">IF($A384="","",M384-S384)</f>
        <v/>
      </c>
      <c r="X384" s="16" t="str">
        <f aca="false">IF($A384="","",P384-T384)</f>
        <v/>
      </c>
      <c r="Y384" s="16" t="str">
        <f aca="false">IF($A384="","",Q384-U384)</f>
        <v/>
      </c>
      <c r="Z384" s="16" t="str">
        <f aca="false">IF($A384="","",V384+W384+X384)</f>
        <v/>
      </c>
      <c r="AA384" s="16" t="str">
        <f aca="false">IF($A384="","",O384+N(N384)-T384)</f>
        <v/>
      </c>
      <c r="AB384" s="8" t="str">
        <f aca="false">IF($A384="","","CL "&amp;V384&amp;" | SL "&amp;W384&amp;" | PL "&amp;X384&amp;" | TR "&amp;Y384)</f>
        <v/>
      </c>
      <c r="AC384" s="15" t="str">
        <f aca="false">IF($A384="","",IF(F384="Exited","EXITED",IF(AND(ISNUMBER(K384),K384=0),"NOT ELIGIBLE",IF(MIN(V384:X384)&lt;0,"OVER-USED",IF(Z384&lt;=Settings!$C$15,"LOW","OK")))))</f>
        <v/>
      </c>
      <c r="AD384" s="16" t="str">
        <f aca="false">IF(OR(AC384="OVER-USED",AC384="LOW"),COUNTIF(AC$6:AC384,"OVER-USED")+COUNTIF(AC$6:AC384,"LOW"),"")</f>
        <v/>
      </c>
    </row>
    <row r="385" customFormat="false" ht="15" hidden="false" customHeight="false" outlineLevel="0" collapsed="false">
      <c r="A385" s="8" t="str">
        <f aca="false">IF('Employee List'!B385="","",'Employee List'!B385)</f>
        <v/>
      </c>
      <c r="B385" s="8" t="str">
        <f aca="false">IF($A385="","",'Employee List'!C385)</f>
        <v/>
      </c>
      <c r="C385" s="8" t="str">
        <f aca="false">IF($A385="","",'Employee List'!E385&amp;"")</f>
        <v/>
      </c>
      <c r="D385" s="8" t="str">
        <f aca="false">IF($A385="","",'Employee List'!F385&amp;"")</f>
        <v/>
      </c>
      <c r="E385" s="8" t="str">
        <f aca="false">IF($A385="","",'Employee List'!G385&amp;"")</f>
        <v/>
      </c>
      <c r="F385" s="8" t="str">
        <f aca="false">IF($A385="","",'Employee List'!D385)</f>
        <v/>
      </c>
      <c r="G385" s="38" t="str">
        <f aca="false">IF($A385="","",IF('Employee List'!I385="","",'Employee List'!I385))</f>
        <v/>
      </c>
      <c r="H385" s="38" t="str">
        <f aca="false">IF(OR($A385="",G385=""),"",G385+Settings!$C$13)</f>
        <v/>
      </c>
      <c r="I385" s="38" t="str">
        <f aca="false">IF(H385="","",MAX(H385,DATE(LvYear,1,1)))</f>
        <v/>
      </c>
      <c r="J385" s="38" t="str">
        <f aca="false">IF($A385="","",IF('Employee List'!J385="",DATE(LvYear,12,31),MIN('Employee List'!J385,DATE(LvYear,12,31))))</f>
        <v/>
      </c>
      <c r="K385" s="39" t="str">
        <f aca="false">IF(OR(I385="",J385=""),"",MAX(0,J385-I385+1))</f>
        <v/>
      </c>
      <c r="L385" s="16" t="str">
        <f aca="false">IF($A385="","",IF(AND(ISNUMBER(K385),K385=0),0,Settings!$C$10))</f>
        <v/>
      </c>
      <c r="M385" s="16" t="str">
        <f aca="false">IF($A385="","",IF(AND(ISNUMBER(K385),K385=0),0,Settings!$C$11))</f>
        <v/>
      </c>
      <c r="N385" s="40"/>
      <c r="O385" s="16" t="str">
        <f aca="false">IF($A385="","",FLOOR(Settings!$C$12/365*N(K385),0.5))</f>
        <v/>
      </c>
      <c r="P385" s="16" t="str">
        <f aca="false">IF($A385="","",IF(I385="",N(N385),FLOOR(Settings!$C$12/365*MAX(0,MIN(LvAsOf,J385)-I385+1)+N(N385),0.5)))</f>
        <v/>
      </c>
      <c r="Q385" s="16" t="str">
        <f aca="false">IF($A385="","",Settings!$C$14)</f>
        <v/>
      </c>
      <c r="R385" s="16" t="str">
        <f aca="false">IF($A385="","",SUMIFS(Attendance!$AZ$6:$AZ$2405,Attendance!$B$6:$B$2405,$A385,Attendance!$A$6:$A$2405,"&gt;="&amp;DATE(LvYear,1,1),Attendance!$A$6:$A$2405,"&lt;="&amp;DATE(LvYear,12,31)))</f>
        <v/>
      </c>
      <c r="S385" s="16" t="str">
        <f aca="false">IF($A385="","",SUMIFS(Attendance!$AY$6:$AY$2405,Attendance!$B$6:$B$2405,$A385,Attendance!$A$6:$A$2405,"&gt;="&amp;DATE(LvYear,1,1),Attendance!$A$6:$A$2405,"&lt;="&amp;DATE(LvYear,12,31)))</f>
        <v/>
      </c>
      <c r="T385" s="16" t="str">
        <f aca="false">IF($A385="","",SUMIFS(Attendance!$AX$6:$AX$2405,Attendance!$B$6:$B$2405,$A385,Attendance!$A$6:$A$2405,"&gt;="&amp;DATE(LvYear,1,1),Attendance!$A$6:$A$2405,"&lt;="&amp;DATE(LvYear,12,31)))</f>
        <v/>
      </c>
      <c r="U385" s="16" t="str">
        <f aca="false">IF($A385="","",SUMIFS(Attendance!$AW$6:$AW$2405,Attendance!$B$6:$B$2405,$A385,Attendance!$A$6:$A$2405,"&gt;="&amp;DATE(LvYear,1,1),Attendance!$A$6:$A$2405,"&lt;="&amp;DATE(LvYear,12,31)))</f>
        <v/>
      </c>
      <c r="V385" s="16" t="str">
        <f aca="false">IF($A385="","",L385-R385)</f>
        <v/>
      </c>
      <c r="W385" s="16" t="str">
        <f aca="false">IF($A385="","",M385-S385)</f>
        <v/>
      </c>
      <c r="X385" s="16" t="str">
        <f aca="false">IF($A385="","",P385-T385)</f>
        <v/>
      </c>
      <c r="Y385" s="16" t="str">
        <f aca="false">IF($A385="","",Q385-U385)</f>
        <v/>
      </c>
      <c r="Z385" s="16" t="str">
        <f aca="false">IF($A385="","",V385+W385+X385)</f>
        <v/>
      </c>
      <c r="AA385" s="16" t="str">
        <f aca="false">IF($A385="","",O385+N(N385)-T385)</f>
        <v/>
      </c>
      <c r="AB385" s="8" t="str">
        <f aca="false">IF($A385="","","CL "&amp;V385&amp;" | SL "&amp;W385&amp;" | PL "&amp;X385&amp;" | TR "&amp;Y385)</f>
        <v/>
      </c>
      <c r="AC385" s="15" t="str">
        <f aca="false">IF($A385="","",IF(F385="Exited","EXITED",IF(AND(ISNUMBER(K385),K385=0),"NOT ELIGIBLE",IF(MIN(V385:X385)&lt;0,"OVER-USED",IF(Z385&lt;=Settings!$C$15,"LOW","OK")))))</f>
        <v/>
      </c>
      <c r="AD385" s="16" t="str">
        <f aca="false">IF(OR(AC385="OVER-USED",AC385="LOW"),COUNTIF(AC$6:AC385,"OVER-USED")+COUNTIF(AC$6:AC385,"LOW"),"")</f>
        <v/>
      </c>
    </row>
    <row r="386" customFormat="false" ht="15" hidden="false" customHeight="false" outlineLevel="0" collapsed="false">
      <c r="A386" s="8" t="str">
        <f aca="false">IF('Employee List'!B386="","",'Employee List'!B386)</f>
        <v/>
      </c>
      <c r="B386" s="8" t="str">
        <f aca="false">IF($A386="","",'Employee List'!C386)</f>
        <v/>
      </c>
      <c r="C386" s="8" t="str">
        <f aca="false">IF($A386="","",'Employee List'!E386&amp;"")</f>
        <v/>
      </c>
      <c r="D386" s="8" t="str">
        <f aca="false">IF($A386="","",'Employee List'!F386&amp;"")</f>
        <v/>
      </c>
      <c r="E386" s="8" t="str">
        <f aca="false">IF($A386="","",'Employee List'!G386&amp;"")</f>
        <v/>
      </c>
      <c r="F386" s="8" t="str">
        <f aca="false">IF($A386="","",'Employee List'!D386)</f>
        <v/>
      </c>
      <c r="G386" s="38" t="str">
        <f aca="false">IF($A386="","",IF('Employee List'!I386="","",'Employee List'!I386))</f>
        <v/>
      </c>
      <c r="H386" s="38" t="str">
        <f aca="false">IF(OR($A386="",G386=""),"",G386+Settings!$C$13)</f>
        <v/>
      </c>
      <c r="I386" s="38" t="str">
        <f aca="false">IF(H386="","",MAX(H386,DATE(LvYear,1,1)))</f>
        <v/>
      </c>
      <c r="J386" s="38" t="str">
        <f aca="false">IF($A386="","",IF('Employee List'!J386="",DATE(LvYear,12,31),MIN('Employee List'!J386,DATE(LvYear,12,31))))</f>
        <v/>
      </c>
      <c r="K386" s="39" t="str">
        <f aca="false">IF(OR(I386="",J386=""),"",MAX(0,J386-I386+1))</f>
        <v/>
      </c>
      <c r="L386" s="16" t="str">
        <f aca="false">IF($A386="","",IF(AND(ISNUMBER(K386),K386=0),0,Settings!$C$10))</f>
        <v/>
      </c>
      <c r="M386" s="16" t="str">
        <f aca="false">IF($A386="","",IF(AND(ISNUMBER(K386),K386=0),0,Settings!$C$11))</f>
        <v/>
      </c>
      <c r="N386" s="40"/>
      <c r="O386" s="16" t="str">
        <f aca="false">IF($A386="","",FLOOR(Settings!$C$12/365*N(K386),0.5))</f>
        <v/>
      </c>
      <c r="P386" s="16" t="str">
        <f aca="false">IF($A386="","",IF(I386="",N(N386),FLOOR(Settings!$C$12/365*MAX(0,MIN(LvAsOf,J386)-I386+1)+N(N386),0.5)))</f>
        <v/>
      </c>
      <c r="Q386" s="16" t="str">
        <f aca="false">IF($A386="","",Settings!$C$14)</f>
        <v/>
      </c>
      <c r="R386" s="16" t="str">
        <f aca="false">IF($A386="","",SUMIFS(Attendance!$AZ$6:$AZ$2405,Attendance!$B$6:$B$2405,$A386,Attendance!$A$6:$A$2405,"&gt;="&amp;DATE(LvYear,1,1),Attendance!$A$6:$A$2405,"&lt;="&amp;DATE(LvYear,12,31)))</f>
        <v/>
      </c>
      <c r="S386" s="16" t="str">
        <f aca="false">IF($A386="","",SUMIFS(Attendance!$AY$6:$AY$2405,Attendance!$B$6:$B$2405,$A386,Attendance!$A$6:$A$2405,"&gt;="&amp;DATE(LvYear,1,1),Attendance!$A$6:$A$2405,"&lt;="&amp;DATE(LvYear,12,31)))</f>
        <v/>
      </c>
      <c r="T386" s="16" t="str">
        <f aca="false">IF($A386="","",SUMIFS(Attendance!$AX$6:$AX$2405,Attendance!$B$6:$B$2405,$A386,Attendance!$A$6:$A$2405,"&gt;="&amp;DATE(LvYear,1,1),Attendance!$A$6:$A$2405,"&lt;="&amp;DATE(LvYear,12,31)))</f>
        <v/>
      </c>
      <c r="U386" s="16" t="str">
        <f aca="false">IF($A386="","",SUMIFS(Attendance!$AW$6:$AW$2405,Attendance!$B$6:$B$2405,$A386,Attendance!$A$6:$A$2405,"&gt;="&amp;DATE(LvYear,1,1),Attendance!$A$6:$A$2405,"&lt;="&amp;DATE(LvYear,12,31)))</f>
        <v/>
      </c>
      <c r="V386" s="16" t="str">
        <f aca="false">IF($A386="","",L386-R386)</f>
        <v/>
      </c>
      <c r="W386" s="16" t="str">
        <f aca="false">IF($A386="","",M386-S386)</f>
        <v/>
      </c>
      <c r="X386" s="16" t="str">
        <f aca="false">IF($A386="","",P386-T386)</f>
        <v/>
      </c>
      <c r="Y386" s="16" t="str">
        <f aca="false">IF($A386="","",Q386-U386)</f>
        <v/>
      </c>
      <c r="Z386" s="16" t="str">
        <f aca="false">IF($A386="","",V386+W386+X386)</f>
        <v/>
      </c>
      <c r="AA386" s="16" t="str">
        <f aca="false">IF($A386="","",O386+N(N386)-T386)</f>
        <v/>
      </c>
      <c r="AB386" s="8" t="str">
        <f aca="false">IF($A386="","","CL "&amp;V386&amp;" | SL "&amp;W386&amp;" | PL "&amp;X386&amp;" | TR "&amp;Y386)</f>
        <v/>
      </c>
      <c r="AC386" s="15" t="str">
        <f aca="false">IF($A386="","",IF(F386="Exited","EXITED",IF(AND(ISNUMBER(K386),K386=0),"NOT ELIGIBLE",IF(MIN(V386:X386)&lt;0,"OVER-USED",IF(Z386&lt;=Settings!$C$15,"LOW","OK")))))</f>
        <v/>
      </c>
      <c r="AD386" s="16" t="str">
        <f aca="false">IF(OR(AC386="OVER-USED",AC386="LOW"),COUNTIF(AC$6:AC386,"OVER-USED")+COUNTIF(AC$6:AC386,"LOW"),"")</f>
        <v/>
      </c>
    </row>
    <row r="387" customFormat="false" ht="15" hidden="false" customHeight="false" outlineLevel="0" collapsed="false">
      <c r="A387" s="8" t="str">
        <f aca="false">IF('Employee List'!B387="","",'Employee List'!B387)</f>
        <v/>
      </c>
      <c r="B387" s="8" t="str">
        <f aca="false">IF($A387="","",'Employee List'!C387)</f>
        <v/>
      </c>
      <c r="C387" s="8" t="str">
        <f aca="false">IF($A387="","",'Employee List'!E387&amp;"")</f>
        <v/>
      </c>
      <c r="D387" s="8" t="str">
        <f aca="false">IF($A387="","",'Employee List'!F387&amp;"")</f>
        <v/>
      </c>
      <c r="E387" s="8" t="str">
        <f aca="false">IF($A387="","",'Employee List'!G387&amp;"")</f>
        <v/>
      </c>
      <c r="F387" s="8" t="str">
        <f aca="false">IF($A387="","",'Employee List'!D387)</f>
        <v/>
      </c>
      <c r="G387" s="38" t="str">
        <f aca="false">IF($A387="","",IF('Employee List'!I387="","",'Employee List'!I387))</f>
        <v/>
      </c>
      <c r="H387" s="38" t="str">
        <f aca="false">IF(OR($A387="",G387=""),"",G387+Settings!$C$13)</f>
        <v/>
      </c>
      <c r="I387" s="38" t="str">
        <f aca="false">IF(H387="","",MAX(H387,DATE(LvYear,1,1)))</f>
        <v/>
      </c>
      <c r="J387" s="38" t="str">
        <f aca="false">IF($A387="","",IF('Employee List'!J387="",DATE(LvYear,12,31),MIN('Employee List'!J387,DATE(LvYear,12,31))))</f>
        <v/>
      </c>
      <c r="K387" s="39" t="str">
        <f aca="false">IF(OR(I387="",J387=""),"",MAX(0,J387-I387+1))</f>
        <v/>
      </c>
      <c r="L387" s="16" t="str">
        <f aca="false">IF($A387="","",IF(AND(ISNUMBER(K387),K387=0),0,Settings!$C$10))</f>
        <v/>
      </c>
      <c r="M387" s="16" t="str">
        <f aca="false">IF($A387="","",IF(AND(ISNUMBER(K387),K387=0),0,Settings!$C$11))</f>
        <v/>
      </c>
      <c r="N387" s="40"/>
      <c r="O387" s="16" t="str">
        <f aca="false">IF($A387="","",FLOOR(Settings!$C$12/365*N(K387),0.5))</f>
        <v/>
      </c>
      <c r="P387" s="16" t="str">
        <f aca="false">IF($A387="","",IF(I387="",N(N387),FLOOR(Settings!$C$12/365*MAX(0,MIN(LvAsOf,J387)-I387+1)+N(N387),0.5)))</f>
        <v/>
      </c>
      <c r="Q387" s="16" t="str">
        <f aca="false">IF($A387="","",Settings!$C$14)</f>
        <v/>
      </c>
      <c r="R387" s="16" t="str">
        <f aca="false">IF($A387="","",SUMIFS(Attendance!$AZ$6:$AZ$2405,Attendance!$B$6:$B$2405,$A387,Attendance!$A$6:$A$2405,"&gt;="&amp;DATE(LvYear,1,1),Attendance!$A$6:$A$2405,"&lt;="&amp;DATE(LvYear,12,31)))</f>
        <v/>
      </c>
      <c r="S387" s="16" t="str">
        <f aca="false">IF($A387="","",SUMIFS(Attendance!$AY$6:$AY$2405,Attendance!$B$6:$B$2405,$A387,Attendance!$A$6:$A$2405,"&gt;="&amp;DATE(LvYear,1,1),Attendance!$A$6:$A$2405,"&lt;="&amp;DATE(LvYear,12,31)))</f>
        <v/>
      </c>
      <c r="T387" s="16" t="str">
        <f aca="false">IF($A387="","",SUMIFS(Attendance!$AX$6:$AX$2405,Attendance!$B$6:$B$2405,$A387,Attendance!$A$6:$A$2405,"&gt;="&amp;DATE(LvYear,1,1),Attendance!$A$6:$A$2405,"&lt;="&amp;DATE(LvYear,12,31)))</f>
        <v/>
      </c>
      <c r="U387" s="16" t="str">
        <f aca="false">IF($A387="","",SUMIFS(Attendance!$AW$6:$AW$2405,Attendance!$B$6:$B$2405,$A387,Attendance!$A$6:$A$2405,"&gt;="&amp;DATE(LvYear,1,1),Attendance!$A$6:$A$2405,"&lt;="&amp;DATE(LvYear,12,31)))</f>
        <v/>
      </c>
      <c r="V387" s="16" t="str">
        <f aca="false">IF($A387="","",L387-R387)</f>
        <v/>
      </c>
      <c r="W387" s="16" t="str">
        <f aca="false">IF($A387="","",M387-S387)</f>
        <v/>
      </c>
      <c r="X387" s="16" t="str">
        <f aca="false">IF($A387="","",P387-T387)</f>
        <v/>
      </c>
      <c r="Y387" s="16" t="str">
        <f aca="false">IF($A387="","",Q387-U387)</f>
        <v/>
      </c>
      <c r="Z387" s="16" t="str">
        <f aca="false">IF($A387="","",V387+W387+X387)</f>
        <v/>
      </c>
      <c r="AA387" s="16" t="str">
        <f aca="false">IF($A387="","",O387+N(N387)-T387)</f>
        <v/>
      </c>
      <c r="AB387" s="8" t="str">
        <f aca="false">IF($A387="","","CL "&amp;V387&amp;" | SL "&amp;W387&amp;" | PL "&amp;X387&amp;" | TR "&amp;Y387)</f>
        <v/>
      </c>
      <c r="AC387" s="15" t="str">
        <f aca="false">IF($A387="","",IF(F387="Exited","EXITED",IF(AND(ISNUMBER(K387),K387=0),"NOT ELIGIBLE",IF(MIN(V387:X387)&lt;0,"OVER-USED",IF(Z387&lt;=Settings!$C$15,"LOW","OK")))))</f>
        <v/>
      </c>
      <c r="AD387" s="16" t="str">
        <f aca="false">IF(OR(AC387="OVER-USED",AC387="LOW"),COUNTIF(AC$6:AC387,"OVER-USED")+COUNTIF(AC$6:AC387,"LOW"),"")</f>
        <v/>
      </c>
    </row>
    <row r="388" customFormat="false" ht="15" hidden="false" customHeight="false" outlineLevel="0" collapsed="false">
      <c r="A388" s="8" t="str">
        <f aca="false">IF('Employee List'!B388="","",'Employee List'!B388)</f>
        <v/>
      </c>
      <c r="B388" s="8" t="str">
        <f aca="false">IF($A388="","",'Employee List'!C388)</f>
        <v/>
      </c>
      <c r="C388" s="8" t="str">
        <f aca="false">IF($A388="","",'Employee List'!E388&amp;"")</f>
        <v/>
      </c>
      <c r="D388" s="8" t="str">
        <f aca="false">IF($A388="","",'Employee List'!F388&amp;"")</f>
        <v/>
      </c>
      <c r="E388" s="8" t="str">
        <f aca="false">IF($A388="","",'Employee List'!G388&amp;"")</f>
        <v/>
      </c>
      <c r="F388" s="8" t="str">
        <f aca="false">IF($A388="","",'Employee List'!D388)</f>
        <v/>
      </c>
      <c r="G388" s="38" t="str">
        <f aca="false">IF($A388="","",IF('Employee List'!I388="","",'Employee List'!I388))</f>
        <v/>
      </c>
      <c r="H388" s="38" t="str">
        <f aca="false">IF(OR($A388="",G388=""),"",G388+Settings!$C$13)</f>
        <v/>
      </c>
      <c r="I388" s="38" t="str">
        <f aca="false">IF(H388="","",MAX(H388,DATE(LvYear,1,1)))</f>
        <v/>
      </c>
      <c r="J388" s="38" t="str">
        <f aca="false">IF($A388="","",IF('Employee List'!J388="",DATE(LvYear,12,31),MIN('Employee List'!J388,DATE(LvYear,12,31))))</f>
        <v/>
      </c>
      <c r="K388" s="39" t="str">
        <f aca="false">IF(OR(I388="",J388=""),"",MAX(0,J388-I388+1))</f>
        <v/>
      </c>
      <c r="L388" s="16" t="str">
        <f aca="false">IF($A388="","",IF(AND(ISNUMBER(K388),K388=0),0,Settings!$C$10))</f>
        <v/>
      </c>
      <c r="M388" s="16" t="str">
        <f aca="false">IF($A388="","",IF(AND(ISNUMBER(K388),K388=0),0,Settings!$C$11))</f>
        <v/>
      </c>
      <c r="N388" s="40"/>
      <c r="O388" s="16" t="str">
        <f aca="false">IF($A388="","",FLOOR(Settings!$C$12/365*N(K388),0.5))</f>
        <v/>
      </c>
      <c r="P388" s="16" t="str">
        <f aca="false">IF($A388="","",IF(I388="",N(N388),FLOOR(Settings!$C$12/365*MAX(0,MIN(LvAsOf,J388)-I388+1)+N(N388),0.5)))</f>
        <v/>
      </c>
      <c r="Q388" s="16" t="str">
        <f aca="false">IF($A388="","",Settings!$C$14)</f>
        <v/>
      </c>
      <c r="R388" s="16" t="str">
        <f aca="false">IF($A388="","",SUMIFS(Attendance!$AZ$6:$AZ$2405,Attendance!$B$6:$B$2405,$A388,Attendance!$A$6:$A$2405,"&gt;="&amp;DATE(LvYear,1,1),Attendance!$A$6:$A$2405,"&lt;="&amp;DATE(LvYear,12,31)))</f>
        <v/>
      </c>
      <c r="S388" s="16" t="str">
        <f aca="false">IF($A388="","",SUMIFS(Attendance!$AY$6:$AY$2405,Attendance!$B$6:$B$2405,$A388,Attendance!$A$6:$A$2405,"&gt;="&amp;DATE(LvYear,1,1),Attendance!$A$6:$A$2405,"&lt;="&amp;DATE(LvYear,12,31)))</f>
        <v/>
      </c>
      <c r="T388" s="16" t="str">
        <f aca="false">IF($A388="","",SUMIFS(Attendance!$AX$6:$AX$2405,Attendance!$B$6:$B$2405,$A388,Attendance!$A$6:$A$2405,"&gt;="&amp;DATE(LvYear,1,1),Attendance!$A$6:$A$2405,"&lt;="&amp;DATE(LvYear,12,31)))</f>
        <v/>
      </c>
      <c r="U388" s="16" t="str">
        <f aca="false">IF($A388="","",SUMIFS(Attendance!$AW$6:$AW$2405,Attendance!$B$6:$B$2405,$A388,Attendance!$A$6:$A$2405,"&gt;="&amp;DATE(LvYear,1,1),Attendance!$A$6:$A$2405,"&lt;="&amp;DATE(LvYear,12,31)))</f>
        <v/>
      </c>
      <c r="V388" s="16" t="str">
        <f aca="false">IF($A388="","",L388-R388)</f>
        <v/>
      </c>
      <c r="W388" s="16" t="str">
        <f aca="false">IF($A388="","",M388-S388)</f>
        <v/>
      </c>
      <c r="X388" s="16" t="str">
        <f aca="false">IF($A388="","",P388-T388)</f>
        <v/>
      </c>
      <c r="Y388" s="16" t="str">
        <f aca="false">IF($A388="","",Q388-U388)</f>
        <v/>
      </c>
      <c r="Z388" s="16" t="str">
        <f aca="false">IF($A388="","",V388+W388+X388)</f>
        <v/>
      </c>
      <c r="AA388" s="16" t="str">
        <f aca="false">IF($A388="","",O388+N(N388)-T388)</f>
        <v/>
      </c>
      <c r="AB388" s="8" t="str">
        <f aca="false">IF($A388="","","CL "&amp;V388&amp;" | SL "&amp;W388&amp;" | PL "&amp;X388&amp;" | TR "&amp;Y388)</f>
        <v/>
      </c>
      <c r="AC388" s="15" t="str">
        <f aca="false">IF($A388="","",IF(F388="Exited","EXITED",IF(AND(ISNUMBER(K388),K388=0),"NOT ELIGIBLE",IF(MIN(V388:X388)&lt;0,"OVER-USED",IF(Z388&lt;=Settings!$C$15,"LOW","OK")))))</f>
        <v/>
      </c>
      <c r="AD388" s="16" t="str">
        <f aca="false">IF(OR(AC388="OVER-USED",AC388="LOW"),COUNTIF(AC$6:AC388,"OVER-USED")+COUNTIF(AC$6:AC388,"LOW"),"")</f>
        <v/>
      </c>
    </row>
    <row r="389" customFormat="false" ht="15" hidden="false" customHeight="false" outlineLevel="0" collapsed="false">
      <c r="A389" s="8" t="str">
        <f aca="false">IF('Employee List'!B389="","",'Employee List'!B389)</f>
        <v/>
      </c>
      <c r="B389" s="8" t="str">
        <f aca="false">IF($A389="","",'Employee List'!C389)</f>
        <v/>
      </c>
      <c r="C389" s="8" t="str">
        <f aca="false">IF($A389="","",'Employee List'!E389&amp;"")</f>
        <v/>
      </c>
      <c r="D389" s="8" t="str">
        <f aca="false">IF($A389="","",'Employee List'!F389&amp;"")</f>
        <v/>
      </c>
      <c r="E389" s="8" t="str">
        <f aca="false">IF($A389="","",'Employee List'!G389&amp;"")</f>
        <v/>
      </c>
      <c r="F389" s="8" t="str">
        <f aca="false">IF($A389="","",'Employee List'!D389)</f>
        <v/>
      </c>
      <c r="G389" s="38" t="str">
        <f aca="false">IF($A389="","",IF('Employee List'!I389="","",'Employee List'!I389))</f>
        <v/>
      </c>
      <c r="H389" s="38" t="str">
        <f aca="false">IF(OR($A389="",G389=""),"",G389+Settings!$C$13)</f>
        <v/>
      </c>
      <c r="I389" s="38" t="str">
        <f aca="false">IF(H389="","",MAX(H389,DATE(LvYear,1,1)))</f>
        <v/>
      </c>
      <c r="J389" s="38" t="str">
        <f aca="false">IF($A389="","",IF('Employee List'!J389="",DATE(LvYear,12,31),MIN('Employee List'!J389,DATE(LvYear,12,31))))</f>
        <v/>
      </c>
      <c r="K389" s="39" t="str">
        <f aca="false">IF(OR(I389="",J389=""),"",MAX(0,J389-I389+1))</f>
        <v/>
      </c>
      <c r="L389" s="16" t="str">
        <f aca="false">IF($A389="","",IF(AND(ISNUMBER(K389),K389=0),0,Settings!$C$10))</f>
        <v/>
      </c>
      <c r="M389" s="16" t="str">
        <f aca="false">IF($A389="","",IF(AND(ISNUMBER(K389),K389=0),0,Settings!$C$11))</f>
        <v/>
      </c>
      <c r="N389" s="40"/>
      <c r="O389" s="16" t="str">
        <f aca="false">IF($A389="","",FLOOR(Settings!$C$12/365*N(K389),0.5))</f>
        <v/>
      </c>
      <c r="P389" s="16" t="str">
        <f aca="false">IF($A389="","",IF(I389="",N(N389),FLOOR(Settings!$C$12/365*MAX(0,MIN(LvAsOf,J389)-I389+1)+N(N389),0.5)))</f>
        <v/>
      </c>
      <c r="Q389" s="16" t="str">
        <f aca="false">IF($A389="","",Settings!$C$14)</f>
        <v/>
      </c>
      <c r="R389" s="16" t="str">
        <f aca="false">IF($A389="","",SUMIFS(Attendance!$AZ$6:$AZ$2405,Attendance!$B$6:$B$2405,$A389,Attendance!$A$6:$A$2405,"&gt;="&amp;DATE(LvYear,1,1),Attendance!$A$6:$A$2405,"&lt;="&amp;DATE(LvYear,12,31)))</f>
        <v/>
      </c>
      <c r="S389" s="16" t="str">
        <f aca="false">IF($A389="","",SUMIFS(Attendance!$AY$6:$AY$2405,Attendance!$B$6:$B$2405,$A389,Attendance!$A$6:$A$2405,"&gt;="&amp;DATE(LvYear,1,1),Attendance!$A$6:$A$2405,"&lt;="&amp;DATE(LvYear,12,31)))</f>
        <v/>
      </c>
      <c r="T389" s="16" t="str">
        <f aca="false">IF($A389="","",SUMIFS(Attendance!$AX$6:$AX$2405,Attendance!$B$6:$B$2405,$A389,Attendance!$A$6:$A$2405,"&gt;="&amp;DATE(LvYear,1,1),Attendance!$A$6:$A$2405,"&lt;="&amp;DATE(LvYear,12,31)))</f>
        <v/>
      </c>
      <c r="U389" s="16" t="str">
        <f aca="false">IF($A389="","",SUMIFS(Attendance!$AW$6:$AW$2405,Attendance!$B$6:$B$2405,$A389,Attendance!$A$6:$A$2405,"&gt;="&amp;DATE(LvYear,1,1),Attendance!$A$6:$A$2405,"&lt;="&amp;DATE(LvYear,12,31)))</f>
        <v/>
      </c>
      <c r="V389" s="16" t="str">
        <f aca="false">IF($A389="","",L389-R389)</f>
        <v/>
      </c>
      <c r="W389" s="16" t="str">
        <f aca="false">IF($A389="","",M389-S389)</f>
        <v/>
      </c>
      <c r="X389" s="16" t="str">
        <f aca="false">IF($A389="","",P389-T389)</f>
        <v/>
      </c>
      <c r="Y389" s="16" t="str">
        <f aca="false">IF($A389="","",Q389-U389)</f>
        <v/>
      </c>
      <c r="Z389" s="16" t="str">
        <f aca="false">IF($A389="","",V389+W389+X389)</f>
        <v/>
      </c>
      <c r="AA389" s="16" t="str">
        <f aca="false">IF($A389="","",O389+N(N389)-T389)</f>
        <v/>
      </c>
      <c r="AB389" s="8" t="str">
        <f aca="false">IF($A389="","","CL "&amp;V389&amp;" | SL "&amp;W389&amp;" | PL "&amp;X389&amp;" | TR "&amp;Y389)</f>
        <v/>
      </c>
      <c r="AC389" s="15" t="str">
        <f aca="false">IF($A389="","",IF(F389="Exited","EXITED",IF(AND(ISNUMBER(K389),K389=0),"NOT ELIGIBLE",IF(MIN(V389:X389)&lt;0,"OVER-USED",IF(Z389&lt;=Settings!$C$15,"LOW","OK")))))</f>
        <v/>
      </c>
      <c r="AD389" s="16" t="str">
        <f aca="false">IF(OR(AC389="OVER-USED",AC389="LOW"),COUNTIF(AC$6:AC389,"OVER-USED")+COUNTIF(AC$6:AC389,"LOW"),"")</f>
        <v/>
      </c>
    </row>
    <row r="390" customFormat="false" ht="15" hidden="false" customHeight="false" outlineLevel="0" collapsed="false">
      <c r="A390" s="8" t="str">
        <f aca="false">IF('Employee List'!B390="","",'Employee List'!B390)</f>
        <v/>
      </c>
      <c r="B390" s="8" t="str">
        <f aca="false">IF($A390="","",'Employee List'!C390)</f>
        <v/>
      </c>
      <c r="C390" s="8" t="str">
        <f aca="false">IF($A390="","",'Employee List'!E390&amp;"")</f>
        <v/>
      </c>
      <c r="D390" s="8" t="str">
        <f aca="false">IF($A390="","",'Employee List'!F390&amp;"")</f>
        <v/>
      </c>
      <c r="E390" s="8" t="str">
        <f aca="false">IF($A390="","",'Employee List'!G390&amp;"")</f>
        <v/>
      </c>
      <c r="F390" s="8" t="str">
        <f aca="false">IF($A390="","",'Employee List'!D390)</f>
        <v/>
      </c>
      <c r="G390" s="38" t="str">
        <f aca="false">IF($A390="","",IF('Employee List'!I390="","",'Employee List'!I390))</f>
        <v/>
      </c>
      <c r="H390" s="38" t="str">
        <f aca="false">IF(OR($A390="",G390=""),"",G390+Settings!$C$13)</f>
        <v/>
      </c>
      <c r="I390" s="38" t="str">
        <f aca="false">IF(H390="","",MAX(H390,DATE(LvYear,1,1)))</f>
        <v/>
      </c>
      <c r="J390" s="38" t="str">
        <f aca="false">IF($A390="","",IF('Employee List'!J390="",DATE(LvYear,12,31),MIN('Employee List'!J390,DATE(LvYear,12,31))))</f>
        <v/>
      </c>
      <c r="K390" s="39" t="str">
        <f aca="false">IF(OR(I390="",J390=""),"",MAX(0,J390-I390+1))</f>
        <v/>
      </c>
      <c r="L390" s="16" t="str">
        <f aca="false">IF($A390="","",IF(AND(ISNUMBER(K390),K390=0),0,Settings!$C$10))</f>
        <v/>
      </c>
      <c r="M390" s="16" t="str">
        <f aca="false">IF($A390="","",IF(AND(ISNUMBER(K390),K390=0),0,Settings!$C$11))</f>
        <v/>
      </c>
      <c r="N390" s="40"/>
      <c r="O390" s="16" t="str">
        <f aca="false">IF($A390="","",FLOOR(Settings!$C$12/365*N(K390),0.5))</f>
        <v/>
      </c>
      <c r="P390" s="16" t="str">
        <f aca="false">IF($A390="","",IF(I390="",N(N390),FLOOR(Settings!$C$12/365*MAX(0,MIN(LvAsOf,J390)-I390+1)+N(N390),0.5)))</f>
        <v/>
      </c>
      <c r="Q390" s="16" t="str">
        <f aca="false">IF($A390="","",Settings!$C$14)</f>
        <v/>
      </c>
      <c r="R390" s="16" t="str">
        <f aca="false">IF($A390="","",SUMIFS(Attendance!$AZ$6:$AZ$2405,Attendance!$B$6:$B$2405,$A390,Attendance!$A$6:$A$2405,"&gt;="&amp;DATE(LvYear,1,1),Attendance!$A$6:$A$2405,"&lt;="&amp;DATE(LvYear,12,31)))</f>
        <v/>
      </c>
      <c r="S390" s="16" t="str">
        <f aca="false">IF($A390="","",SUMIFS(Attendance!$AY$6:$AY$2405,Attendance!$B$6:$B$2405,$A390,Attendance!$A$6:$A$2405,"&gt;="&amp;DATE(LvYear,1,1),Attendance!$A$6:$A$2405,"&lt;="&amp;DATE(LvYear,12,31)))</f>
        <v/>
      </c>
      <c r="T390" s="16" t="str">
        <f aca="false">IF($A390="","",SUMIFS(Attendance!$AX$6:$AX$2405,Attendance!$B$6:$B$2405,$A390,Attendance!$A$6:$A$2405,"&gt;="&amp;DATE(LvYear,1,1),Attendance!$A$6:$A$2405,"&lt;="&amp;DATE(LvYear,12,31)))</f>
        <v/>
      </c>
      <c r="U390" s="16" t="str">
        <f aca="false">IF($A390="","",SUMIFS(Attendance!$AW$6:$AW$2405,Attendance!$B$6:$B$2405,$A390,Attendance!$A$6:$A$2405,"&gt;="&amp;DATE(LvYear,1,1),Attendance!$A$6:$A$2405,"&lt;="&amp;DATE(LvYear,12,31)))</f>
        <v/>
      </c>
      <c r="V390" s="16" t="str">
        <f aca="false">IF($A390="","",L390-R390)</f>
        <v/>
      </c>
      <c r="W390" s="16" t="str">
        <f aca="false">IF($A390="","",M390-S390)</f>
        <v/>
      </c>
      <c r="X390" s="16" t="str">
        <f aca="false">IF($A390="","",P390-T390)</f>
        <v/>
      </c>
      <c r="Y390" s="16" t="str">
        <f aca="false">IF($A390="","",Q390-U390)</f>
        <v/>
      </c>
      <c r="Z390" s="16" t="str">
        <f aca="false">IF($A390="","",V390+W390+X390)</f>
        <v/>
      </c>
      <c r="AA390" s="16" t="str">
        <f aca="false">IF($A390="","",O390+N(N390)-T390)</f>
        <v/>
      </c>
      <c r="AB390" s="8" t="str">
        <f aca="false">IF($A390="","","CL "&amp;V390&amp;" | SL "&amp;W390&amp;" | PL "&amp;X390&amp;" | TR "&amp;Y390)</f>
        <v/>
      </c>
      <c r="AC390" s="15" t="str">
        <f aca="false">IF($A390="","",IF(F390="Exited","EXITED",IF(AND(ISNUMBER(K390),K390=0),"NOT ELIGIBLE",IF(MIN(V390:X390)&lt;0,"OVER-USED",IF(Z390&lt;=Settings!$C$15,"LOW","OK")))))</f>
        <v/>
      </c>
      <c r="AD390" s="16" t="str">
        <f aca="false">IF(OR(AC390="OVER-USED",AC390="LOW"),COUNTIF(AC$6:AC390,"OVER-USED")+COUNTIF(AC$6:AC390,"LOW"),"")</f>
        <v/>
      </c>
    </row>
    <row r="391" customFormat="false" ht="15" hidden="false" customHeight="false" outlineLevel="0" collapsed="false">
      <c r="A391" s="8" t="str">
        <f aca="false">IF('Employee List'!B391="","",'Employee List'!B391)</f>
        <v/>
      </c>
      <c r="B391" s="8" t="str">
        <f aca="false">IF($A391="","",'Employee List'!C391)</f>
        <v/>
      </c>
      <c r="C391" s="8" t="str">
        <f aca="false">IF($A391="","",'Employee List'!E391&amp;"")</f>
        <v/>
      </c>
      <c r="D391" s="8" t="str">
        <f aca="false">IF($A391="","",'Employee List'!F391&amp;"")</f>
        <v/>
      </c>
      <c r="E391" s="8" t="str">
        <f aca="false">IF($A391="","",'Employee List'!G391&amp;"")</f>
        <v/>
      </c>
      <c r="F391" s="8" t="str">
        <f aca="false">IF($A391="","",'Employee List'!D391)</f>
        <v/>
      </c>
      <c r="G391" s="38" t="str">
        <f aca="false">IF($A391="","",IF('Employee List'!I391="","",'Employee List'!I391))</f>
        <v/>
      </c>
      <c r="H391" s="38" t="str">
        <f aca="false">IF(OR($A391="",G391=""),"",G391+Settings!$C$13)</f>
        <v/>
      </c>
      <c r="I391" s="38" t="str">
        <f aca="false">IF(H391="","",MAX(H391,DATE(LvYear,1,1)))</f>
        <v/>
      </c>
      <c r="J391" s="38" t="str">
        <f aca="false">IF($A391="","",IF('Employee List'!J391="",DATE(LvYear,12,31),MIN('Employee List'!J391,DATE(LvYear,12,31))))</f>
        <v/>
      </c>
      <c r="K391" s="39" t="str">
        <f aca="false">IF(OR(I391="",J391=""),"",MAX(0,J391-I391+1))</f>
        <v/>
      </c>
      <c r="L391" s="16" t="str">
        <f aca="false">IF($A391="","",IF(AND(ISNUMBER(K391),K391=0),0,Settings!$C$10))</f>
        <v/>
      </c>
      <c r="M391" s="16" t="str">
        <f aca="false">IF($A391="","",IF(AND(ISNUMBER(K391),K391=0),0,Settings!$C$11))</f>
        <v/>
      </c>
      <c r="N391" s="40"/>
      <c r="O391" s="16" t="str">
        <f aca="false">IF($A391="","",FLOOR(Settings!$C$12/365*N(K391),0.5))</f>
        <v/>
      </c>
      <c r="P391" s="16" t="str">
        <f aca="false">IF($A391="","",IF(I391="",N(N391),FLOOR(Settings!$C$12/365*MAX(0,MIN(LvAsOf,J391)-I391+1)+N(N391),0.5)))</f>
        <v/>
      </c>
      <c r="Q391" s="16" t="str">
        <f aca="false">IF($A391="","",Settings!$C$14)</f>
        <v/>
      </c>
      <c r="R391" s="16" t="str">
        <f aca="false">IF($A391="","",SUMIFS(Attendance!$AZ$6:$AZ$2405,Attendance!$B$6:$B$2405,$A391,Attendance!$A$6:$A$2405,"&gt;="&amp;DATE(LvYear,1,1),Attendance!$A$6:$A$2405,"&lt;="&amp;DATE(LvYear,12,31)))</f>
        <v/>
      </c>
      <c r="S391" s="16" t="str">
        <f aca="false">IF($A391="","",SUMIFS(Attendance!$AY$6:$AY$2405,Attendance!$B$6:$B$2405,$A391,Attendance!$A$6:$A$2405,"&gt;="&amp;DATE(LvYear,1,1),Attendance!$A$6:$A$2405,"&lt;="&amp;DATE(LvYear,12,31)))</f>
        <v/>
      </c>
      <c r="T391" s="16" t="str">
        <f aca="false">IF($A391="","",SUMIFS(Attendance!$AX$6:$AX$2405,Attendance!$B$6:$B$2405,$A391,Attendance!$A$6:$A$2405,"&gt;="&amp;DATE(LvYear,1,1),Attendance!$A$6:$A$2405,"&lt;="&amp;DATE(LvYear,12,31)))</f>
        <v/>
      </c>
      <c r="U391" s="16" t="str">
        <f aca="false">IF($A391="","",SUMIFS(Attendance!$AW$6:$AW$2405,Attendance!$B$6:$B$2405,$A391,Attendance!$A$6:$A$2405,"&gt;="&amp;DATE(LvYear,1,1),Attendance!$A$6:$A$2405,"&lt;="&amp;DATE(LvYear,12,31)))</f>
        <v/>
      </c>
      <c r="V391" s="16" t="str">
        <f aca="false">IF($A391="","",L391-R391)</f>
        <v/>
      </c>
      <c r="W391" s="16" t="str">
        <f aca="false">IF($A391="","",M391-S391)</f>
        <v/>
      </c>
      <c r="X391" s="16" t="str">
        <f aca="false">IF($A391="","",P391-T391)</f>
        <v/>
      </c>
      <c r="Y391" s="16" t="str">
        <f aca="false">IF($A391="","",Q391-U391)</f>
        <v/>
      </c>
      <c r="Z391" s="16" t="str">
        <f aca="false">IF($A391="","",V391+W391+X391)</f>
        <v/>
      </c>
      <c r="AA391" s="16" t="str">
        <f aca="false">IF($A391="","",O391+N(N391)-T391)</f>
        <v/>
      </c>
      <c r="AB391" s="8" t="str">
        <f aca="false">IF($A391="","","CL "&amp;V391&amp;" | SL "&amp;W391&amp;" | PL "&amp;X391&amp;" | TR "&amp;Y391)</f>
        <v/>
      </c>
      <c r="AC391" s="15" t="str">
        <f aca="false">IF($A391="","",IF(F391="Exited","EXITED",IF(AND(ISNUMBER(K391),K391=0),"NOT ELIGIBLE",IF(MIN(V391:X391)&lt;0,"OVER-USED",IF(Z391&lt;=Settings!$C$15,"LOW","OK")))))</f>
        <v/>
      </c>
      <c r="AD391" s="16" t="str">
        <f aca="false">IF(OR(AC391="OVER-USED",AC391="LOW"),COUNTIF(AC$6:AC391,"OVER-USED")+COUNTIF(AC$6:AC391,"LOW"),"")</f>
        <v/>
      </c>
    </row>
    <row r="392" customFormat="false" ht="15" hidden="false" customHeight="false" outlineLevel="0" collapsed="false">
      <c r="A392" s="8" t="str">
        <f aca="false">IF('Employee List'!B392="","",'Employee List'!B392)</f>
        <v/>
      </c>
      <c r="B392" s="8" t="str">
        <f aca="false">IF($A392="","",'Employee List'!C392)</f>
        <v/>
      </c>
      <c r="C392" s="8" t="str">
        <f aca="false">IF($A392="","",'Employee List'!E392&amp;"")</f>
        <v/>
      </c>
      <c r="D392" s="8" t="str">
        <f aca="false">IF($A392="","",'Employee List'!F392&amp;"")</f>
        <v/>
      </c>
      <c r="E392" s="8" t="str">
        <f aca="false">IF($A392="","",'Employee List'!G392&amp;"")</f>
        <v/>
      </c>
      <c r="F392" s="8" t="str">
        <f aca="false">IF($A392="","",'Employee List'!D392)</f>
        <v/>
      </c>
      <c r="G392" s="38" t="str">
        <f aca="false">IF($A392="","",IF('Employee List'!I392="","",'Employee List'!I392))</f>
        <v/>
      </c>
      <c r="H392" s="38" t="str">
        <f aca="false">IF(OR($A392="",G392=""),"",G392+Settings!$C$13)</f>
        <v/>
      </c>
      <c r="I392" s="38" t="str">
        <f aca="false">IF(H392="","",MAX(H392,DATE(LvYear,1,1)))</f>
        <v/>
      </c>
      <c r="J392" s="38" t="str">
        <f aca="false">IF($A392="","",IF('Employee List'!J392="",DATE(LvYear,12,31),MIN('Employee List'!J392,DATE(LvYear,12,31))))</f>
        <v/>
      </c>
      <c r="K392" s="39" t="str">
        <f aca="false">IF(OR(I392="",J392=""),"",MAX(0,J392-I392+1))</f>
        <v/>
      </c>
      <c r="L392" s="16" t="str">
        <f aca="false">IF($A392="","",IF(AND(ISNUMBER(K392),K392=0),0,Settings!$C$10))</f>
        <v/>
      </c>
      <c r="M392" s="16" t="str">
        <f aca="false">IF($A392="","",IF(AND(ISNUMBER(K392),K392=0),0,Settings!$C$11))</f>
        <v/>
      </c>
      <c r="N392" s="40"/>
      <c r="O392" s="16" t="str">
        <f aca="false">IF($A392="","",FLOOR(Settings!$C$12/365*N(K392),0.5))</f>
        <v/>
      </c>
      <c r="P392" s="16" t="str">
        <f aca="false">IF($A392="","",IF(I392="",N(N392),FLOOR(Settings!$C$12/365*MAX(0,MIN(LvAsOf,J392)-I392+1)+N(N392),0.5)))</f>
        <v/>
      </c>
      <c r="Q392" s="16" t="str">
        <f aca="false">IF($A392="","",Settings!$C$14)</f>
        <v/>
      </c>
      <c r="R392" s="16" t="str">
        <f aca="false">IF($A392="","",SUMIFS(Attendance!$AZ$6:$AZ$2405,Attendance!$B$6:$B$2405,$A392,Attendance!$A$6:$A$2405,"&gt;="&amp;DATE(LvYear,1,1),Attendance!$A$6:$A$2405,"&lt;="&amp;DATE(LvYear,12,31)))</f>
        <v/>
      </c>
      <c r="S392" s="16" t="str">
        <f aca="false">IF($A392="","",SUMIFS(Attendance!$AY$6:$AY$2405,Attendance!$B$6:$B$2405,$A392,Attendance!$A$6:$A$2405,"&gt;="&amp;DATE(LvYear,1,1),Attendance!$A$6:$A$2405,"&lt;="&amp;DATE(LvYear,12,31)))</f>
        <v/>
      </c>
      <c r="T392" s="16" t="str">
        <f aca="false">IF($A392="","",SUMIFS(Attendance!$AX$6:$AX$2405,Attendance!$B$6:$B$2405,$A392,Attendance!$A$6:$A$2405,"&gt;="&amp;DATE(LvYear,1,1),Attendance!$A$6:$A$2405,"&lt;="&amp;DATE(LvYear,12,31)))</f>
        <v/>
      </c>
      <c r="U392" s="16" t="str">
        <f aca="false">IF($A392="","",SUMIFS(Attendance!$AW$6:$AW$2405,Attendance!$B$6:$B$2405,$A392,Attendance!$A$6:$A$2405,"&gt;="&amp;DATE(LvYear,1,1),Attendance!$A$6:$A$2405,"&lt;="&amp;DATE(LvYear,12,31)))</f>
        <v/>
      </c>
      <c r="V392" s="16" t="str">
        <f aca="false">IF($A392="","",L392-R392)</f>
        <v/>
      </c>
      <c r="W392" s="16" t="str">
        <f aca="false">IF($A392="","",M392-S392)</f>
        <v/>
      </c>
      <c r="X392" s="16" t="str">
        <f aca="false">IF($A392="","",P392-T392)</f>
        <v/>
      </c>
      <c r="Y392" s="16" t="str">
        <f aca="false">IF($A392="","",Q392-U392)</f>
        <v/>
      </c>
      <c r="Z392" s="16" t="str">
        <f aca="false">IF($A392="","",V392+W392+X392)</f>
        <v/>
      </c>
      <c r="AA392" s="16" t="str">
        <f aca="false">IF($A392="","",O392+N(N392)-T392)</f>
        <v/>
      </c>
      <c r="AB392" s="8" t="str">
        <f aca="false">IF($A392="","","CL "&amp;V392&amp;" | SL "&amp;W392&amp;" | PL "&amp;X392&amp;" | TR "&amp;Y392)</f>
        <v/>
      </c>
      <c r="AC392" s="15" t="str">
        <f aca="false">IF($A392="","",IF(F392="Exited","EXITED",IF(AND(ISNUMBER(K392),K392=0),"NOT ELIGIBLE",IF(MIN(V392:X392)&lt;0,"OVER-USED",IF(Z392&lt;=Settings!$C$15,"LOW","OK")))))</f>
        <v/>
      </c>
      <c r="AD392" s="16" t="str">
        <f aca="false">IF(OR(AC392="OVER-USED",AC392="LOW"),COUNTIF(AC$6:AC392,"OVER-USED")+COUNTIF(AC$6:AC392,"LOW"),"")</f>
        <v/>
      </c>
    </row>
    <row r="393" customFormat="false" ht="15" hidden="false" customHeight="false" outlineLevel="0" collapsed="false">
      <c r="A393" s="8" t="str">
        <f aca="false">IF('Employee List'!B393="","",'Employee List'!B393)</f>
        <v/>
      </c>
      <c r="B393" s="8" t="str">
        <f aca="false">IF($A393="","",'Employee List'!C393)</f>
        <v/>
      </c>
      <c r="C393" s="8" t="str">
        <f aca="false">IF($A393="","",'Employee List'!E393&amp;"")</f>
        <v/>
      </c>
      <c r="D393" s="8" t="str">
        <f aca="false">IF($A393="","",'Employee List'!F393&amp;"")</f>
        <v/>
      </c>
      <c r="E393" s="8" t="str">
        <f aca="false">IF($A393="","",'Employee List'!G393&amp;"")</f>
        <v/>
      </c>
      <c r="F393" s="8" t="str">
        <f aca="false">IF($A393="","",'Employee List'!D393)</f>
        <v/>
      </c>
      <c r="G393" s="38" t="str">
        <f aca="false">IF($A393="","",IF('Employee List'!I393="","",'Employee List'!I393))</f>
        <v/>
      </c>
      <c r="H393" s="38" t="str">
        <f aca="false">IF(OR($A393="",G393=""),"",G393+Settings!$C$13)</f>
        <v/>
      </c>
      <c r="I393" s="38" t="str">
        <f aca="false">IF(H393="","",MAX(H393,DATE(LvYear,1,1)))</f>
        <v/>
      </c>
      <c r="J393" s="38" t="str">
        <f aca="false">IF($A393="","",IF('Employee List'!J393="",DATE(LvYear,12,31),MIN('Employee List'!J393,DATE(LvYear,12,31))))</f>
        <v/>
      </c>
      <c r="K393" s="39" t="str">
        <f aca="false">IF(OR(I393="",J393=""),"",MAX(0,J393-I393+1))</f>
        <v/>
      </c>
      <c r="L393" s="16" t="str">
        <f aca="false">IF($A393="","",IF(AND(ISNUMBER(K393),K393=0),0,Settings!$C$10))</f>
        <v/>
      </c>
      <c r="M393" s="16" t="str">
        <f aca="false">IF($A393="","",IF(AND(ISNUMBER(K393),K393=0),0,Settings!$C$11))</f>
        <v/>
      </c>
      <c r="N393" s="40"/>
      <c r="O393" s="16" t="str">
        <f aca="false">IF($A393="","",FLOOR(Settings!$C$12/365*N(K393),0.5))</f>
        <v/>
      </c>
      <c r="P393" s="16" t="str">
        <f aca="false">IF($A393="","",IF(I393="",N(N393),FLOOR(Settings!$C$12/365*MAX(0,MIN(LvAsOf,J393)-I393+1)+N(N393),0.5)))</f>
        <v/>
      </c>
      <c r="Q393" s="16" t="str">
        <f aca="false">IF($A393="","",Settings!$C$14)</f>
        <v/>
      </c>
      <c r="R393" s="16" t="str">
        <f aca="false">IF($A393="","",SUMIFS(Attendance!$AZ$6:$AZ$2405,Attendance!$B$6:$B$2405,$A393,Attendance!$A$6:$A$2405,"&gt;="&amp;DATE(LvYear,1,1),Attendance!$A$6:$A$2405,"&lt;="&amp;DATE(LvYear,12,31)))</f>
        <v/>
      </c>
      <c r="S393" s="16" t="str">
        <f aca="false">IF($A393="","",SUMIFS(Attendance!$AY$6:$AY$2405,Attendance!$B$6:$B$2405,$A393,Attendance!$A$6:$A$2405,"&gt;="&amp;DATE(LvYear,1,1),Attendance!$A$6:$A$2405,"&lt;="&amp;DATE(LvYear,12,31)))</f>
        <v/>
      </c>
      <c r="T393" s="16" t="str">
        <f aca="false">IF($A393="","",SUMIFS(Attendance!$AX$6:$AX$2405,Attendance!$B$6:$B$2405,$A393,Attendance!$A$6:$A$2405,"&gt;="&amp;DATE(LvYear,1,1),Attendance!$A$6:$A$2405,"&lt;="&amp;DATE(LvYear,12,31)))</f>
        <v/>
      </c>
      <c r="U393" s="16" t="str">
        <f aca="false">IF($A393="","",SUMIFS(Attendance!$AW$6:$AW$2405,Attendance!$B$6:$B$2405,$A393,Attendance!$A$6:$A$2405,"&gt;="&amp;DATE(LvYear,1,1),Attendance!$A$6:$A$2405,"&lt;="&amp;DATE(LvYear,12,31)))</f>
        <v/>
      </c>
      <c r="V393" s="16" t="str">
        <f aca="false">IF($A393="","",L393-R393)</f>
        <v/>
      </c>
      <c r="W393" s="16" t="str">
        <f aca="false">IF($A393="","",M393-S393)</f>
        <v/>
      </c>
      <c r="X393" s="16" t="str">
        <f aca="false">IF($A393="","",P393-T393)</f>
        <v/>
      </c>
      <c r="Y393" s="16" t="str">
        <f aca="false">IF($A393="","",Q393-U393)</f>
        <v/>
      </c>
      <c r="Z393" s="16" t="str">
        <f aca="false">IF($A393="","",V393+W393+X393)</f>
        <v/>
      </c>
      <c r="AA393" s="16" t="str">
        <f aca="false">IF($A393="","",O393+N(N393)-T393)</f>
        <v/>
      </c>
      <c r="AB393" s="8" t="str">
        <f aca="false">IF($A393="","","CL "&amp;V393&amp;" | SL "&amp;W393&amp;" | PL "&amp;X393&amp;" | TR "&amp;Y393)</f>
        <v/>
      </c>
      <c r="AC393" s="15" t="str">
        <f aca="false">IF($A393="","",IF(F393="Exited","EXITED",IF(AND(ISNUMBER(K393),K393=0),"NOT ELIGIBLE",IF(MIN(V393:X393)&lt;0,"OVER-USED",IF(Z393&lt;=Settings!$C$15,"LOW","OK")))))</f>
        <v/>
      </c>
      <c r="AD393" s="16" t="str">
        <f aca="false">IF(OR(AC393="OVER-USED",AC393="LOW"),COUNTIF(AC$6:AC393,"OVER-USED")+COUNTIF(AC$6:AC393,"LOW"),"")</f>
        <v/>
      </c>
    </row>
    <row r="394" customFormat="false" ht="15" hidden="false" customHeight="false" outlineLevel="0" collapsed="false">
      <c r="A394" s="8" t="str">
        <f aca="false">IF('Employee List'!B394="","",'Employee List'!B394)</f>
        <v/>
      </c>
      <c r="B394" s="8" t="str">
        <f aca="false">IF($A394="","",'Employee List'!C394)</f>
        <v/>
      </c>
      <c r="C394" s="8" t="str">
        <f aca="false">IF($A394="","",'Employee List'!E394&amp;"")</f>
        <v/>
      </c>
      <c r="D394" s="8" t="str">
        <f aca="false">IF($A394="","",'Employee List'!F394&amp;"")</f>
        <v/>
      </c>
      <c r="E394" s="8" t="str">
        <f aca="false">IF($A394="","",'Employee List'!G394&amp;"")</f>
        <v/>
      </c>
      <c r="F394" s="8" t="str">
        <f aca="false">IF($A394="","",'Employee List'!D394)</f>
        <v/>
      </c>
      <c r="G394" s="38" t="str">
        <f aca="false">IF($A394="","",IF('Employee List'!I394="","",'Employee List'!I394))</f>
        <v/>
      </c>
      <c r="H394" s="38" t="str">
        <f aca="false">IF(OR($A394="",G394=""),"",G394+Settings!$C$13)</f>
        <v/>
      </c>
      <c r="I394" s="38" t="str">
        <f aca="false">IF(H394="","",MAX(H394,DATE(LvYear,1,1)))</f>
        <v/>
      </c>
      <c r="J394" s="38" t="str">
        <f aca="false">IF($A394="","",IF('Employee List'!J394="",DATE(LvYear,12,31),MIN('Employee List'!J394,DATE(LvYear,12,31))))</f>
        <v/>
      </c>
      <c r="K394" s="39" t="str">
        <f aca="false">IF(OR(I394="",J394=""),"",MAX(0,J394-I394+1))</f>
        <v/>
      </c>
      <c r="L394" s="16" t="str">
        <f aca="false">IF($A394="","",IF(AND(ISNUMBER(K394),K394=0),0,Settings!$C$10))</f>
        <v/>
      </c>
      <c r="M394" s="16" t="str">
        <f aca="false">IF($A394="","",IF(AND(ISNUMBER(K394),K394=0),0,Settings!$C$11))</f>
        <v/>
      </c>
      <c r="N394" s="40"/>
      <c r="O394" s="16" t="str">
        <f aca="false">IF($A394="","",FLOOR(Settings!$C$12/365*N(K394),0.5))</f>
        <v/>
      </c>
      <c r="P394" s="16" t="str">
        <f aca="false">IF($A394="","",IF(I394="",N(N394),FLOOR(Settings!$C$12/365*MAX(0,MIN(LvAsOf,J394)-I394+1)+N(N394),0.5)))</f>
        <v/>
      </c>
      <c r="Q394" s="16" t="str">
        <f aca="false">IF($A394="","",Settings!$C$14)</f>
        <v/>
      </c>
      <c r="R394" s="16" t="str">
        <f aca="false">IF($A394="","",SUMIFS(Attendance!$AZ$6:$AZ$2405,Attendance!$B$6:$B$2405,$A394,Attendance!$A$6:$A$2405,"&gt;="&amp;DATE(LvYear,1,1),Attendance!$A$6:$A$2405,"&lt;="&amp;DATE(LvYear,12,31)))</f>
        <v/>
      </c>
      <c r="S394" s="16" t="str">
        <f aca="false">IF($A394="","",SUMIFS(Attendance!$AY$6:$AY$2405,Attendance!$B$6:$B$2405,$A394,Attendance!$A$6:$A$2405,"&gt;="&amp;DATE(LvYear,1,1),Attendance!$A$6:$A$2405,"&lt;="&amp;DATE(LvYear,12,31)))</f>
        <v/>
      </c>
      <c r="T394" s="16" t="str">
        <f aca="false">IF($A394="","",SUMIFS(Attendance!$AX$6:$AX$2405,Attendance!$B$6:$B$2405,$A394,Attendance!$A$6:$A$2405,"&gt;="&amp;DATE(LvYear,1,1),Attendance!$A$6:$A$2405,"&lt;="&amp;DATE(LvYear,12,31)))</f>
        <v/>
      </c>
      <c r="U394" s="16" t="str">
        <f aca="false">IF($A394="","",SUMIFS(Attendance!$AW$6:$AW$2405,Attendance!$B$6:$B$2405,$A394,Attendance!$A$6:$A$2405,"&gt;="&amp;DATE(LvYear,1,1),Attendance!$A$6:$A$2405,"&lt;="&amp;DATE(LvYear,12,31)))</f>
        <v/>
      </c>
      <c r="V394" s="16" t="str">
        <f aca="false">IF($A394="","",L394-R394)</f>
        <v/>
      </c>
      <c r="W394" s="16" t="str">
        <f aca="false">IF($A394="","",M394-S394)</f>
        <v/>
      </c>
      <c r="X394" s="16" t="str">
        <f aca="false">IF($A394="","",P394-T394)</f>
        <v/>
      </c>
      <c r="Y394" s="16" t="str">
        <f aca="false">IF($A394="","",Q394-U394)</f>
        <v/>
      </c>
      <c r="Z394" s="16" t="str">
        <f aca="false">IF($A394="","",V394+W394+X394)</f>
        <v/>
      </c>
      <c r="AA394" s="16" t="str">
        <f aca="false">IF($A394="","",O394+N(N394)-T394)</f>
        <v/>
      </c>
      <c r="AB394" s="8" t="str">
        <f aca="false">IF($A394="","","CL "&amp;V394&amp;" | SL "&amp;W394&amp;" | PL "&amp;X394&amp;" | TR "&amp;Y394)</f>
        <v/>
      </c>
      <c r="AC394" s="15" t="str">
        <f aca="false">IF($A394="","",IF(F394="Exited","EXITED",IF(AND(ISNUMBER(K394),K394=0),"NOT ELIGIBLE",IF(MIN(V394:X394)&lt;0,"OVER-USED",IF(Z394&lt;=Settings!$C$15,"LOW","OK")))))</f>
        <v/>
      </c>
      <c r="AD394" s="16" t="str">
        <f aca="false">IF(OR(AC394="OVER-USED",AC394="LOW"),COUNTIF(AC$6:AC394,"OVER-USED")+COUNTIF(AC$6:AC394,"LOW"),"")</f>
        <v/>
      </c>
    </row>
    <row r="395" customFormat="false" ht="15" hidden="false" customHeight="false" outlineLevel="0" collapsed="false">
      <c r="A395" s="8" t="str">
        <f aca="false">IF('Employee List'!B395="","",'Employee List'!B395)</f>
        <v/>
      </c>
      <c r="B395" s="8" t="str">
        <f aca="false">IF($A395="","",'Employee List'!C395)</f>
        <v/>
      </c>
      <c r="C395" s="8" t="str">
        <f aca="false">IF($A395="","",'Employee List'!E395&amp;"")</f>
        <v/>
      </c>
      <c r="D395" s="8" t="str">
        <f aca="false">IF($A395="","",'Employee List'!F395&amp;"")</f>
        <v/>
      </c>
      <c r="E395" s="8" t="str">
        <f aca="false">IF($A395="","",'Employee List'!G395&amp;"")</f>
        <v/>
      </c>
      <c r="F395" s="8" t="str">
        <f aca="false">IF($A395="","",'Employee List'!D395)</f>
        <v/>
      </c>
      <c r="G395" s="38" t="str">
        <f aca="false">IF($A395="","",IF('Employee List'!I395="","",'Employee List'!I395))</f>
        <v/>
      </c>
      <c r="H395" s="38" t="str">
        <f aca="false">IF(OR($A395="",G395=""),"",G395+Settings!$C$13)</f>
        <v/>
      </c>
      <c r="I395" s="38" t="str">
        <f aca="false">IF(H395="","",MAX(H395,DATE(LvYear,1,1)))</f>
        <v/>
      </c>
      <c r="J395" s="38" t="str">
        <f aca="false">IF($A395="","",IF('Employee List'!J395="",DATE(LvYear,12,31),MIN('Employee List'!J395,DATE(LvYear,12,31))))</f>
        <v/>
      </c>
      <c r="K395" s="39" t="str">
        <f aca="false">IF(OR(I395="",J395=""),"",MAX(0,J395-I395+1))</f>
        <v/>
      </c>
      <c r="L395" s="16" t="str">
        <f aca="false">IF($A395="","",IF(AND(ISNUMBER(K395),K395=0),0,Settings!$C$10))</f>
        <v/>
      </c>
      <c r="M395" s="16" t="str">
        <f aca="false">IF($A395="","",IF(AND(ISNUMBER(K395),K395=0),0,Settings!$C$11))</f>
        <v/>
      </c>
      <c r="N395" s="40"/>
      <c r="O395" s="16" t="str">
        <f aca="false">IF($A395="","",FLOOR(Settings!$C$12/365*N(K395),0.5))</f>
        <v/>
      </c>
      <c r="P395" s="16" t="str">
        <f aca="false">IF($A395="","",IF(I395="",N(N395),FLOOR(Settings!$C$12/365*MAX(0,MIN(LvAsOf,J395)-I395+1)+N(N395),0.5)))</f>
        <v/>
      </c>
      <c r="Q395" s="16" t="str">
        <f aca="false">IF($A395="","",Settings!$C$14)</f>
        <v/>
      </c>
      <c r="R395" s="16" t="str">
        <f aca="false">IF($A395="","",SUMIFS(Attendance!$AZ$6:$AZ$2405,Attendance!$B$6:$B$2405,$A395,Attendance!$A$6:$A$2405,"&gt;="&amp;DATE(LvYear,1,1),Attendance!$A$6:$A$2405,"&lt;="&amp;DATE(LvYear,12,31)))</f>
        <v/>
      </c>
      <c r="S395" s="16" t="str">
        <f aca="false">IF($A395="","",SUMIFS(Attendance!$AY$6:$AY$2405,Attendance!$B$6:$B$2405,$A395,Attendance!$A$6:$A$2405,"&gt;="&amp;DATE(LvYear,1,1),Attendance!$A$6:$A$2405,"&lt;="&amp;DATE(LvYear,12,31)))</f>
        <v/>
      </c>
      <c r="T395" s="16" t="str">
        <f aca="false">IF($A395="","",SUMIFS(Attendance!$AX$6:$AX$2405,Attendance!$B$6:$B$2405,$A395,Attendance!$A$6:$A$2405,"&gt;="&amp;DATE(LvYear,1,1),Attendance!$A$6:$A$2405,"&lt;="&amp;DATE(LvYear,12,31)))</f>
        <v/>
      </c>
      <c r="U395" s="16" t="str">
        <f aca="false">IF($A395="","",SUMIFS(Attendance!$AW$6:$AW$2405,Attendance!$B$6:$B$2405,$A395,Attendance!$A$6:$A$2405,"&gt;="&amp;DATE(LvYear,1,1),Attendance!$A$6:$A$2405,"&lt;="&amp;DATE(LvYear,12,31)))</f>
        <v/>
      </c>
      <c r="V395" s="16" t="str">
        <f aca="false">IF($A395="","",L395-R395)</f>
        <v/>
      </c>
      <c r="W395" s="16" t="str">
        <f aca="false">IF($A395="","",M395-S395)</f>
        <v/>
      </c>
      <c r="X395" s="16" t="str">
        <f aca="false">IF($A395="","",P395-T395)</f>
        <v/>
      </c>
      <c r="Y395" s="16" t="str">
        <f aca="false">IF($A395="","",Q395-U395)</f>
        <v/>
      </c>
      <c r="Z395" s="16" t="str">
        <f aca="false">IF($A395="","",V395+W395+X395)</f>
        <v/>
      </c>
      <c r="AA395" s="16" t="str">
        <f aca="false">IF($A395="","",O395+N(N395)-T395)</f>
        <v/>
      </c>
      <c r="AB395" s="8" t="str">
        <f aca="false">IF($A395="","","CL "&amp;V395&amp;" | SL "&amp;W395&amp;" | PL "&amp;X395&amp;" | TR "&amp;Y395)</f>
        <v/>
      </c>
      <c r="AC395" s="15" t="str">
        <f aca="false">IF($A395="","",IF(F395="Exited","EXITED",IF(AND(ISNUMBER(K395),K395=0),"NOT ELIGIBLE",IF(MIN(V395:X395)&lt;0,"OVER-USED",IF(Z395&lt;=Settings!$C$15,"LOW","OK")))))</f>
        <v/>
      </c>
      <c r="AD395" s="16" t="str">
        <f aca="false">IF(OR(AC395="OVER-USED",AC395="LOW"),COUNTIF(AC$6:AC395,"OVER-USED")+COUNTIF(AC$6:AC395,"LOW"),"")</f>
        <v/>
      </c>
    </row>
    <row r="396" customFormat="false" ht="15" hidden="false" customHeight="false" outlineLevel="0" collapsed="false">
      <c r="A396" s="8" t="str">
        <f aca="false">IF('Employee List'!B396="","",'Employee List'!B396)</f>
        <v/>
      </c>
      <c r="B396" s="8" t="str">
        <f aca="false">IF($A396="","",'Employee List'!C396)</f>
        <v/>
      </c>
      <c r="C396" s="8" t="str">
        <f aca="false">IF($A396="","",'Employee List'!E396&amp;"")</f>
        <v/>
      </c>
      <c r="D396" s="8" t="str">
        <f aca="false">IF($A396="","",'Employee List'!F396&amp;"")</f>
        <v/>
      </c>
      <c r="E396" s="8" t="str">
        <f aca="false">IF($A396="","",'Employee List'!G396&amp;"")</f>
        <v/>
      </c>
      <c r="F396" s="8" t="str">
        <f aca="false">IF($A396="","",'Employee List'!D396)</f>
        <v/>
      </c>
      <c r="G396" s="38" t="str">
        <f aca="false">IF($A396="","",IF('Employee List'!I396="","",'Employee List'!I396))</f>
        <v/>
      </c>
      <c r="H396" s="38" t="str">
        <f aca="false">IF(OR($A396="",G396=""),"",G396+Settings!$C$13)</f>
        <v/>
      </c>
      <c r="I396" s="38" t="str">
        <f aca="false">IF(H396="","",MAX(H396,DATE(LvYear,1,1)))</f>
        <v/>
      </c>
      <c r="J396" s="38" t="str">
        <f aca="false">IF($A396="","",IF('Employee List'!J396="",DATE(LvYear,12,31),MIN('Employee List'!J396,DATE(LvYear,12,31))))</f>
        <v/>
      </c>
      <c r="K396" s="39" t="str">
        <f aca="false">IF(OR(I396="",J396=""),"",MAX(0,J396-I396+1))</f>
        <v/>
      </c>
      <c r="L396" s="16" t="str">
        <f aca="false">IF($A396="","",IF(AND(ISNUMBER(K396),K396=0),0,Settings!$C$10))</f>
        <v/>
      </c>
      <c r="M396" s="16" t="str">
        <f aca="false">IF($A396="","",IF(AND(ISNUMBER(K396),K396=0),0,Settings!$C$11))</f>
        <v/>
      </c>
      <c r="N396" s="40"/>
      <c r="O396" s="16" t="str">
        <f aca="false">IF($A396="","",FLOOR(Settings!$C$12/365*N(K396),0.5))</f>
        <v/>
      </c>
      <c r="P396" s="16" t="str">
        <f aca="false">IF($A396="","",IF(I396="",N(N396),FLOOR(Settings!$C$12/365*MAX(0,MIN(LvAsOf,J396)-I396+1)+N(N396),0.5)))</f>
        <v/>
      </c>
      <c r="Q396" s="16" t="str">
        <f aca="false">IF($A396="","",Settings!$C$14)</f>
        <v/>
      </c>
      <c r="R396" s="16" t="str">
        <f aca="false">IF($A396="","",SUMIFS(Attendance!$AZ$6:$AZ$2405,Attendance!$B$6:$B$2405,$A396,Attendance!$A$6:$A$2405,"&gt;="&amp;DATE(LvYear,1,1),Attendance!$A$6:$A$2405,"&lt;="&amp;DATE(LvYear,12,31)))</f>
        <v/>
      </c>
      <c r="S396" s="16" t="str">
        <f aca="false">IF($A396="","",SUMIFS(Attendance!$AY$6:$AY$2405,Attendance!$B$6:$B$2405,$A396,Attendance!$A$6:$A$2405,"&gt;="&amp;DATE(LvYear,1,1),Attendance!$A$6:$A$2405,"&lt;="&amp;DATE(LvYear,12,31)))</f>
        <v/>
      </c>
      <c r="T396" s="16" t="str">
        <f aca="false">IF($A396="","",SUMIFS(Attendance!$AX$6:$AX$2405,Attendance!$B$6:$B$2405,$A396,Attendance!$A$6:$A$2405,"&gt;="&amp;DATE(LvYear,1,1),Attendance!$A$6:$A$2405,"&lt;="&amp;DATE(LvYear,12,31)))</f>
        <v/>
      </c>
      <c r="U396" s="16" t="str">
        <f aca="false">IF($A396="","",SUMIFS(Attendance!$AW$6:$AW$2405,Attendance!$B$6:$B$2405,$A396,Attendance!$A$6:$A$2405,"&gt;="&amp;DATE(LvYear,1,1),Attendance!$A$6:$A$2405,"&lt;="&amp;DATE(LvYear,12,31)))</f>
        <v/>
      </c>
      <c r="V396" s="16" t="str">
        <f aca="false">IF($A396="","",L396-R396)</f>
        <v/>
      </c>
      <c r="W396" s="16" t="str">
        <f aca="false">IF($A396="","",M396-S396)</f>
        <v/>
      </c>
      <c r="X396" s="16" t="str">
        <f aca="false">IF($A396="","",P396-T396)</f>
        <v/>
      </c>
      <c r="Y396" s="16" t="str">
        <f aca="false">IF($A396="","",Q396-U396)</f>
        <v/>
      </c>
      <c r="Z396" s="16" t="str">
        <f aca="false">IF($A396="","",V396+W396+X396)</f>
        <v/>
      </c>
      <c r="AA396" s="16" t="str">
        <f aca="false">IF($A396="","",O396+N(N396)-T396)</f>
        <v/>
      </c>
      <c r="AB396" s="8" t="str">
        <f aca="false">IF($A396="","","CL "&amp;V396&amp;" | SL "&amp;W396&amp;" | PL "&amp;X396&amp;" | TR "&amp;Y396)</f>
        <v/>
      </c>
      <c r="AC396" s="15" t="str">
        <f aca="false">IF($A396="","",IF(F396="Exited","EXITED",IF(AND(ISNUMBER(K396),K396=0),"NOT ELIGIBLE",IF(MIN(V396:X396)&lt;0,"OVER-USED",IF(Z396&lt;=Settings!$C$15,"LOW","OK")))))</f>
        <v/>
      </c>
      <c r="AD396" s="16" t="str">
        <f aca="false">IF(OR(AC396="OVER-USED",AC396="LOW"),COUNTIF(AC$6:AC396,"OVER-USED")+COUNTIF(AC$6:AC396,"LOW"),"")</f>
        <v/>
      </c>
    </row>
    <row r="397" customFormat="false" ht="15" hidden="false" customHeight="false" outlineLevel="0" collapsed="false">
      <c r="A397" s="8" t="str">
        <f aca="false">IF('Employee List'!B397="","",'Employee List'!B397)</f>
        <v/>
      </c>
      <c r="B397" s="8" t="str">
        <f aca="false">IF($A397="","",'Employee List'!C397)</f>
        <v/>
      </c>
      <c r="C397" s="8" t="str">
        <f aca="false">IF($A397="","",'Employee List'!E397&amp;"")</f>
        <v/>
      </c>
      <c r="D397" s="8" t="str">
        <f aca="false">IF($A397="","",'Employee List'!F397&amp;"")</f>
        <v/>
      </c>
      <c r="E397" s="8" t="str">
        <f aca="false">IF($A397="","",'Employee List'!G397&amp;"")</f>
        <v/>
      </c>
      <c r="F397" s="8" t="str">
        <f aca="false">IF($A397="","",'Employee List'!D397)</f>
        <v/>
      </c>
      <c r="G397" s="38" t="str">
        <f aca="false">IF($A397="","",IF('Employee List'!I397="","",'Employee List'!I397))</f>
        <v/>
      </c>
      <c r="H397" s="38" t="str">
        <f aca="false">IF(OR($A397="",G397=""),"",G397+Settings!$C$13)</f>
        <v/>
      </c>
      <c r="I397" s="38" t="str">
        <f aca="false">IF(H397="","",MAX(H397,DATE(LvYear,1,1)))</f>
        <v/>
      </c>
      <c r="J397" s="38" t="str">
        <f aca="false">IF($A397="","",IF('Employee List'!J397="",DATE(LvYear,12,31),MIN('Employee List'!J397,DATE(LvYear,12,31))))</f>
        <v/>
      </c>
      <c r="K397" s="39" t="str">
        <f aca="false">IF(OR(I397="",J397=""),"",MAX(0,J397-I397+1))</f>
        <v/>
      </c>
      <c r="L397" s="16" t="str">
        <f aca="false">IF($A397="","",IF(AND(ISNUMBER(K397),K397=0),0,Settings!$C$10))</f>
        <v/>
      </c>
      <c r="M397" s="16" t="str">
        <f aca="false">IF($A397="","",IF(AND(ISNUMBER(K397),K397=0),0,Settings!$C$11))</f>
        <v/>
      </c>
      <c r="N397" s="40"/>
      <c r="O397" s="16" t="str">
        <f aca="false">IF($A397="","",FLOOR(Settings!$C$12/365*N(K397),0.5))</f>
        <v/>
      </c>
      <c r="P397" s="16" t="str">
        <f aca="false">IF($A397="","",IF(I397="",N(N397),FLOOR(Settings!$C$12/365*MAX(0,MIN(LvAsOf,J397)-I397+1)+N(N397),0.5)))</f>
        <v/>
      </c>
      <c r="Q397" s="16" t="str">
        <f aca="false">IF($A397="","",Settings!$C$14)</f>
        <v/>
      </c>
      <c r="R397" s="16" t="str">
        <f aca="false">IF($A397="","",SUMIFS(Attendance!$AZ$6:$AZ$2405,Attendance!$B$6:$B$2405,$A397,Attendance!$A$6:$A$2405,"&gt;="&amp;DATE(LvYear,1,1),Attendance!$A$6:$A$2405,"&lt;="&amp;DATE(LvYear,12,31)))</f>
        <v/>
      </c>
      <c r="S397" s="16" t="str">
        <f aca="false">IF($A397="","",SUMIFS(Attendance!$AY$6:$AY$2405,Attendance!$B$6:$B$2405,$A397,Attendance!$A$6:$A$2405,"&gt;="&amp;DATE(LvYear,1,1),Attendance!$A$6:$A$2405,"&lt;="&amp;DATE(LvYear,12,31)))</f>
        <v/>
      </c>
      <c r="T397" s="16" t="str">
        <f aca="false">IF($A397="","",SUMIFS(Attendance!$AX$6:$AX$2405,Attendance!$B$6:$B$2405,$A397,Attendance!$A$6:$A$2405,"&gt;="&amp;DATE(LvYear,1,1),Attendance!$A$6:$A$2405,"&lt;="&amp;DATE(LvYear,12,31)))</f>
        <v/>
      </c>
      <c r="U397" s="16" t="str">
        <f aca="false">IF($A397="","",SUMIFS(Attendance!$AW$6:$AW$2405,Attendance!$B$6:$B$2405,$A397,Attendance!$A$6:$A$2405,"&gt;="&amp;DATE(LvYear,1,1),Attendance!$A$6:$A$2405,"&lt;="&amp;DATE(LvYear,12,31)))</f>
        <v/>
      </c>
      <c r="V397" s="16" t="str">
        <f aca="false">IF($A397="","",L397-R397)</f>
        <v/>
      </c>
      <c r="W397" s="16" t="str">
        <f aca="false">IF($A397="","",M397-S397)</f>
        <v/>
      </c>
      <c r="X397" s="16" t="str">
        <f aca="false">IF($A397="","",P397-T397)</f>
        <v/>
      </c>
      <c r="Y397" s="16" t="str">
        <f aca="false">IF($A397="","",Q397-U397)</f>
        <v/>
      </c>
      <c r="Z397" s="16" t="str">
        <f aca="false">IF($A397="","",V397+W397+X397)</f>
        <v/>
      </c>
      <c r="AA397" s="16" t="str">
        <f aca="false">IF($A397="","",O397+N(N397)-T397)</f>
        <v/>
      </c>
      <c r="AB397" s="8" t="str">
        <f aca="false">IF($A397="","","CL "&amp;V397&amp;" | SL "&amp;W397&amp;" | PL "&amp;X397&amp;" | TR "&amp;Y397)</f>
        <v/>
      </c>
      <c r="AC397" s="15" t="str">
        <f aca="false">IF($A397="","",IF(F397="Exited","EXITED",IF(AND(ISNUMBER(K397),K397=0),"NOT ELIGIBLE",IF(MIN(V397:X397)&lt;0,"OVER-USED",IF(Z397&lt;=Settings!$C$15,"LOW","OK")))))</f>
        <v/>
      </c>
      <c r="AD397" s="16" t="str">
        <f aca="false">IF(OR(AC397="OVER-USED",AC397="LOW"),COUNTIF(AC$6:AC397,"OVER-USED")+COUNTIF(AC$6:AC397,"LOW"),"")</f>
        <v/>
      </c>
    </row>
    <row r="398" customFormat="false" ht="15" hidden="false" customHeight="false" outlineLevel="0" collapsed="false">
      <c r="A398" s="8" t="str">
        <f aca="false">IF('Employee List'!B398="","",'Employee List'!B398)</f>
        <v/>
      </c>
      <c r="B398" s="8" t="str">
        <f aca="false">IF($A398="","",'Employee List'!C398)</f>
        <v/>
      </c>
      <c r="C398" s="8" t="str">
        <f aca="false">IF($A398="","",'Employee List'!E398&amp;"")</f>
        <v/>
      </c>
      <c r="D398" s="8" t="str">
        <f aca="false">IF($A398="","",'Employee List'!F398&amp;"")</f>
        <v/>
      </c>
      <c r="E398" s="8" t="str">
        <f aca="false">IF($A398="","",'Employee List'!G398&amp;"")</f>
        <v/>
      </c>
      <c r="F398" s="8" t="str">
        <f aca="false">IF($A398="","",'Employee List'!D398)</f>
        <v/>
      </c>
      <c r="G398" s="38" t="str">
        <f aca="false">IF($A398="","",IF('Employee List'!I398="","",'Employee List'!I398))</f>
        <v/>
      </c>
      <c r="H398" s="38" t="str">
        <f aca="false">IF(OR($A398="",G398=""),"",G398+Settings!$C$13)</f>
        <v/>
      </c>
      <c r="I398" s="38" t="str">
        <f aca="false">IF(H398="","",MAX(H398,DATE(LvYear,1,1)))</f>
        <v/>
      </c>
      <c r="J398" s="38" t="str">
        <f aca="false">IF($A398="","",IF('Employee List'!J398="",DATE(LvYear,12,31),MIN('Employee List'!J398,DATE(LvYear,12,31))))</f>
        <v/>
      </c>
      <c r="K398" s="39" t="str">
        <f aca="false">IF(OR(I398="",J398=""),"",MAX(0,J398-I398+1))</f>
        <v/>
      </c>
      <c r="L398" s="16" t="str">
        <f aca="false">IF($A398="","",IF(AND(ISNUMBER(K398),K398=0),0,Settings!$C$10))</f>
        <v/>
      </c>
      <c r="M398" s="16" t="str">
        <f aca="false">IF($A398="","",IF(AND(ISNUMBER(K398),K398=0),0,Settings!$C$11))</f>
        <v/>
      </c>
      <c r="N398" s="40"/>
      <c r="O398" s="16" t="str">
        <f aca="false">IF($A398="","",FLOOR(Settings!$C$12/365*N(K398),0.5))</f>
        <v/>
      </c>
      <c r="P398" s="16" t="str">
        <f aca="false">IF($A398="","",IF(I398="",N(N398),FLOOR(Settings!$C$12/365*MAX(0,MIN(LvAsOf,J398)-I398+1)+N(N398),0.5)))</f>
        <v/>
      </c>
      <c r="Q398" s="16" t="str">
        <f aca="false">IF($A398="","",Settings!$C$14)</f>
        <v/>
      </c>
      <c r="R398" s="16" t="str">
        <f aca="false">IF($A398="","",SUMIFS(Attendance!$AZ$6:$AZ$2405,Attendance!$B$6:$B$2405,$A398,Attendance!$A$6:$A$2405,"&gt;="&amp;DATE(LvYear,1,1),Attendance!$A$6:$A$2405,"&lt;="&amp;DATE(LvYear,12,31)))</f>
        <v/>
      </c>
      <c r="S398" s="16" t="str">
        <f aca="false">IF($A398="","",SUMIFS(Attendance!$AY$6:$AY$2405,Attendance!$B$6:$B$2405,$A398,Attendance!$A$6:$A$2405,"&gt;="&amp;DATE(LvYear,1,1),Attendance!$A$6:$A$2405,"&lt;="&amp;DATE(LvYear,12,31)))</f>
        <v/>
      </c>
      <c r="T398" s="16" t="str">
        <f aca="false">IF($A398="","",SUMIFS(Attendance!$AX$6:$AX$2405,Attendance!$B$6:$B$2405,$A398,Attendance!$A$6:$A$2405,"&gt;="&amp;DATE(LvYear,1,1),Attendance!$A$6:$A$2405,"&lt;="&amp;DATE(LvYear,12,31)))</f>
        <v/>
      </c>
      <c r="U398" s="16" t="str">
        <f aca="false">IF($A398="","",SUMIFS(Attendance!$AW$6:$AW$2405,Attendance!$B$6:$B$2405,$A398,Attendance!$A$6:$A$2405,"&gt;="&amp;DATE(LvYear,1,1),Attendance!$A$6:$A$2405,"&lt;="&amp;DATE(LvYear,12,31)))</f>
        <v/>
      </c>
      <c r="V398" s="16" t="str">
        <f aca="false">IF($A398="","",L398-R398)</f>
        <v/>
      </c>
      <c r="W398" s="16" t="str">
        <f aca="false">IF($A398="","",M398-S398)</f>
        <v/>
      </c>
      <c r="X398" s="16" t="str">
        <f aca="false">IF($A398="","",P398-T398)</f>
        <v/>
      </c>
      <c r="Y398" s="16" t="str">
        <f aca="false">IF($A398="","",Q398-U398)</f>
        <v/>
      </c>
      <c r="Z398" s="16" t="str">
        <f aca="false">IF($A398="","",V398+W398+X398)</f>
        <v/>
      </c>
      <c r="AA398" s="16" t="str">
        <f aca="false">IF($A398="","",O398+N(N398)-T398)</f>
        <v/>
      </c>
      <c r="AB398" s="8" t="str">
        <f aca="false">IF($A398="","","CL "&amp;V398&amp;" | SL "&amp;W398&amp;" | PL "&amp;X398&amp;" | TR "&amp;Y398)</f>
        <v/>
      </c>
      <c r="AC398" s="15" t="str">
        <f aca="false">IF($A398="","",IF(F398="Exited","EXITED",IF(AND(ISNUMBER(K398),K398=0),"NOT ELIGIBLE",IF(MIN(V398:X398)&lt;0,"OVER-USED",IF(Z398&lt;=Settings!$C$15,"LOW","OK")))))</f>
        <v/>
      </c>
      <c r="AD398" s="16" t="str">
        <f aca="false">IF(OR(AC398="OVER-USED",AC398="LOW"),COUNTIF(AC$6:AC398,"OVER-USED")+COUNTIF(AC$6:AC398,"LOW"),"")</f>
        <v/>
      </c>
    </row>
    <row r="399" customFormat="false" ht="15" hidden="false" customHeight="false" outlineLevel="0" collapsed="false">
      <c r="A399" s="8" t="str">
        <f aca="false">IF('Employee List'!B399="","",'Employee List'!B399)</f>
        <v/>
      </c>
      <c r="B399" s="8" t="str">
        <f aca="false">IF($A399="","",'Employee List'!C399)</f>
        <v/>
      </c>
      <c r="C399" s="8" t="str">
        <f aca="false">IF($A399="","",'Employee List'!E399&amp;"")</f>
        <v/>
      </c>
      <c r="D399" s="8" t="str">
        <f aca="false">IF($A399="","",'Employee List'!F399&amp;"")</f>
        <v/>
      </c>
      <c r="E399" s="8" t="str">
        <f aca="false">IF($A399="","",'Employee List'!G399&amp;"")</f>
        <v/>
      </c>
      <c r="F399" s="8" t="str">
        <f aca="false">IF($A399="","",'Employee List'!D399)</f>
        <v/>
      </c>
      <c r="G399" s="38" t="str">
        <f aca="false">IF($A399="","",IF('Employee List'!I399="","",'Employee List'!I399))</f>
        <v/>
      </c>
      <c r="H399" s="38" t="str">
        <f aca="false">IF(OR($A399="",G399=""),"",G399+Settings!$C$13)</f>
        <v/>
      </c>
      <c r="I399" s="38" t="str">
        <f aca="false">IF(H399="","",MAX(H399,DATE(LvYear,1,1)))</f>
        <v/>
      </c>
      <c r="J399" s="38" t="str">
        <f aca="false">IF($A399="","",IF('Employee List'!J399="",DATE(LvYear,12,31),MIN('Employee List'!J399,DATE(LvYear,12,31))))</f>
        <v/>
      </c>
      <c r="K399" s="39" t="str">
        <f aca="false">IF(OR(I399="",J399=""),"",MAX(0,J399-I399+1))</f>
        <v/>
      </c>
      <c r="L399" s="16" t="str">
        <f aca="false">IF($A399="","",IF(AND(ISNUMBER(K399),K399=0),0,Settings!$C$10))</f>
        <v/>
      </c>
      <c r="M399" s="16" t="str">
        <f aca="false">IF($A399="","",IF(AND(ISNUMBER(K399),K399=0),0,Settings!$C$11))</f>
        <v/>
      </c>
      <c r="N399" s="40"/>
      <c r="O399" s="16" t="str">
        <f aca="false">IF($A399="","",FLOOR(Settings!$C$12/365*N(K399),0.5))</f>
        <v/>
      </c>
      <c r="P399" s="16" t="str">
        <f aca="false">IF($A399="","",IF(I399="",N(N399),FLOOR(Settings!$C$12/365*MAX(0,MIN(LvAsOf,J399)-I399+1)+N(N399),0.5)))</f>
        <v/>
      </c>
      <c r="Q399" s="16" t="str">
        <f aca="false">IF($A399="","",Settings!$C$14)</f>
        <v/>
      </c>
      <c r="R399" s="16" t="str">
        <f aca="false">IF($A399="","",SUMIFS(Attendance!$AZ$6:$AZ$2405,Attendance!$B$6:$B$2405,$A399,Attendance!$A$6:$A$2405,"&gt;="&amp;DATE(LvYear,1,1),Attendance!$A$6:$A$2405,"&lt;="&amp;DATE(LvYear,12,31)))</f>
        <v/>
      </c>
      <c r="S399" s="16" t="str">
        <f aca="false">IF($A399="","",SUMIFS(Attendance!$AY$6:$AY$2405,Attendance!$B$6:$B$2405,$A399,Attendance!$A$6:$A$2405,"&gt;="&amp;DATE(LvYear,1,1),Attendance!$A$6:$A$2405,"&lt;="&amp;DATE(LvYear,12,31)))</f>
        <v/>
      </c>
      <c r="T399" s="16" t="str">
        <f aca="false">IF($A399="","",SUMIFS(Attendance!$AX$6:$AX$2405,Attendance!$B$6:$B$2405,$A399,Attendance!$A$6:$A$2405,"&gt;="&amp;DATE(LvYear,1,1),Attendance!$A$6:$A$2405,"&lt;="&amp;DATE(LvYear,12,31)))</f>
        <v/>
      </c>
      <c r="U399" s="16" t="str">
        <f aca="false">IF($A399="","",SUMIFS(Attendance!$AW$6:$AW$2405,Attendance!$B$6:$B$2405,$A399,Attendance!$A$6:$A$2405,"&gt;="&amp;DATE(LvYear,1,1),Attendance!$A$6:$A$2405,"&lt;="&amp;DATE(LvYear,12,31)))</f>
        <v/>
      </c>
      <c r="V399" s="16" t="str">
        <f aca="false">IF($A399="","",L399-R399)</f>
        <v/>
      </c>
      <c r="W399" s="16" t="str">
        <f aca="false">IF($A399="","",M399-S399)</f>
        <v/>
      </c>
      <c r="X399" s="16" t="str">
        <f aca="false">IF($A399="","",P399-T399)</f>
        <v/>
      </c>
      <c r="Y399" s="16" t="str">
        <f aca="false">IF($A399="","",Q399-U399)</f>
        <v/>
      </c>
      <c r="Z399" s="16" t="str">
        <f aca="false">IF($A399="","",V399+W399+X399)</f>
        <v/>
      </c>
      <c r="AA399" s="16" t="str">
        <f aca="false">IF($A399="","",O399+N(N399)-T399)</f>
        <v/>
      </c>
      <c r="AB399" s="8" t="str">
        <f aca="false">IF($A399="","","CL "&amp;V399&amp;" | SL "&amp;W399&amp;" | PL "&amp;X399&amp;" | TR "&amp;Y399)</f>
        <v/>
      </c>
      <c r="AC399" s="15" t="str">
        <f aca="false">IF($A399="","",IF(F399="Exited","EXITED",IF(AND(ISNUMBER(K399),K399=0),"NOT ELIGIBLE",IF(MIN(V399:X399)&lt;0,"OVER-USED",IF(Z399&lt;=Settings!$C$15,"LOW","OK")))))</f>
        <v/>
      </c>
      <c r="AD399" s="16" t="str">
        <f aca="false">IF(OR(AC399="OVER-USED",AC399="LOW"),COUNTIF(AC$6:AC399,"OVER-USED")+COUNTIF(AC$6:AC399,"LOW"),"")</f>
        <v/>
      </c>
    </row>
    <row r="400" customFormat="false" ht="15" hidden="false" customHeight="false" outlineLevel="0" collapsed="false">
      <c r="A400" s="8" t="str">
        <f aca="false">IF('Employee List'!B400="","",'Employee List'!B400)</f>
        <v/>
      </c>
      <c r="B400" s="8" t="str">
        <f aca="false">IF($A400="","",'Employee List'!C400)</f>
        <v/>
      </c>
      <c r="C400" s="8" t="str">
        <f aca="false">IF($A400="","",'Employee List'!E400&amp;"")</f>
        <v/>
      </c>
      <c r="D400" s="8" t="str">
        <f aca="false">IF($A400="","",'Employee List'!F400&amp;"")</f>
        <v/>
      </c>
      <c r="E400" s="8" t="str">
        <f aca="false">IF($A400="","",'Employee List'!G400&amp;"")</f>
        <v/>
      </c>
      <c r="F400" s="8" t="str">
        <f aca="false">IF($A400="","",'Employee List'!D400)</f>
        <v/>
      </c>
      <c r="G400" s="38" t="str">
        <f aca="false">IF($A400="","",IF('Employee List'!I400="","",'Employee List'!I400))</f>
        <v/>
      </c>
      <c r="H400" s="38" t="str">
        <f aca="false">IF(OR($A400="",G400=""),"",G400+Settings!$C$13)</f>
        <v/>
      </c>
      <c r="I400" s="38" t="str">
        <f aca="false">IF(H400="","",MAX(H400,DATE(LvYear,1,1)))</f>
        <v/>
      </c>
      <c r="J400" s="38" t="str">
        <f aca="false">IF($A400="","",IF('Employee List'!J400="",DATE(LvYear,12,31),MIN('Employee List'!J400,DATE(LvYear,12,31))))</f>
        <v/>
      </c>
      <c r="K400" s="39" t="str">
        <f aca="false">IF(OR(I400="",J400=""),"",MAX(0,J400-I400+1))</f>
        <v/>
      </c>
      <c r="L400" s="16" t="str">
        <f aca="false">IF($A400="","",IF(AND(ISNUMBER(K400),K400=0),0,Settings!$C$10))</f>
        <v/>
      </c>
      <c r="M400" s="16" t="str">
        <f aca="false">IF($A400="","",IF(AND(ISNUMBER(K400),K400=0),0,Settings!$C$11))</f>
        <v/>
      </c>
      <c r="N400" s="40"/>
      <c r="O400" s="16" t="str">
        <f aca="false">IF($A400="","",FLOOR(Settings!$C$12/365*N(K400),0.5))</f>
        <v/>
      </c>
      <c r="P400" s="16" t="str">
        <f aca="false">IF($A400="","",IF(I400="",N(N400),FLOOR(Settings!$C$12/365*MAX(0,MIN(LvAsOf,J400)-I400+1)+N(N400),0.5)))</f>
        <v/>
      </c>
      <c r="Q400" s="16" t="str">
        <f aca="false">IF($A400="","",Settings!$C$14)</f>
        <v/>
      </c>
      <c r="R400" s="16" t="str">
        <f aca="false">IF($A400="","",SUMIFS(Attendance!$AZ$6:$AZ$2405,Attendance!$B$6:$B$2405,$A400,Attendance!$A$6:$A$2405,"&gt;="&amp;DATE(LvYear,1,1),Attendance!$A$6:$A$2405,"&lt;="&amp;DATE(LvYear,12,31)))</f>
        <v/>
      </c>
      <c r="S400" s="16" t="str">
        <f aca="false">IF($A400="","",SUMIFS(Attendance!$AY$6:$AY$2405,Attendance!$B$6:$B$2405,$A400,Attendance!$A$6:$A$2405,"&gt;="&amp;DATE(LvYear,1,1),Attendance!$A$6:$A$2405,"&lt;="&amp;DATE(LvYear,12,31)))</f>
        <v/>
      </c>
      <c r="T400" s="16" t="str">
        <f aca="false">IF($A400="","",SUMIFS(Attendance!$AX$6:$AX$2405,Attendance!$B$6:$B$2405,$A400,Attendance!$A$6:$A$2405,"&gt;="&amp;DATE(LvYear,1,1),Attendance!$A$6:$A$2405,"&lt;="&amp;DATE(LvYear,12,31)))</f>
        <v/>
      </c>
      <c r="U400" s="16" t="str">
        <f aca="false">IF($A400="","",SUMIFS(Attendance!$AW$6:$AW$2405,Attendance!$B$6:$B$2405,$A400,Attendance!$A$6:$A$2405,"&gt;="&amp;DATE(LvYear,1,1),Attendance!$A$6:$A$2405,"&lt;="&amp;DATE(LvYear,12,31)))</f>
        <v/>
      </c>
      <c r="V400" s="16" t="str">
        <f aca="false">IF($A400="","",L400-R400)</f>
        <v/>
      </c>
      <c r="W400" s="16" t="str">
        <f aca="false">IF($A400="","",M400-S400)</f>
        <v/>
      </c>
      <c r="X400" s="16" t="str">
        <f aca="false">IF($A400="","",P400-T400)</f>
        <v/>
      </c>
      <c r="Y400" s="16" t="str">
        <f aca="false">IF($A400="","",Q400-U400)</f>
        <v/>
      </c>
      <c r="Z400" s="16" t="str">
        <f aca="false">IF($A400="","",V400+W400+X400)</f>
        <v/>
      </c>
      <c r="AA400" s="16" t="str">
        <f aca="false">IF($A400="","",O400+N(N400)-T400)</f>
        <v/>
      </c>
      <c r="AB400" s="8" t="str">
        <f aca="false">IF($A400="","","CL "&amp;V400&amp;" | SL "&amp;W400&amp;" | PL "&amp;X400&amp;" | TR "&amp;Y400)</f>
        <v/>
      </c>
      <c r="AC400" s="15" t="str">
        <f aca="false">IF($A400="","",IF(F400="Exited","EXITED",IF(AND(ISNUMBER(K400),K400=0),"NOT ELIGIBLE",IF(MIN(V400:X400)&lt;0,"OVER-USED",IF(Z400&lt;=Settings!$C$15,"LOW","OK")))))</f>
        <v/>
      </c>
      <c r="AD400" s="16" t="str">
        <f aca="false">IF(OR(AC400="OVER-USED",AC400="LOW"),COUNTIF(AC$6:AC400,"OVER-USED")+COUNTIF(AC$6:AC400,"LOW"),"")</f>
        <v/>
      </c>
    </row>
    <row r="401" customFormat="false" ht="15" hidden="false" customHeight="false" outlineLevel="0" collapsed="false">
      <c r="A401" s="8" t="str">
        <f aca="false">IF('Employee List'!B401="","",'Employee List'!B401)</f>
        <v/>
      </c>
      <c r="B401" s="8" t="str">
        <f aca="false">IF($A401="","",'Employee List'!C401)</f>
        <v/>
      </c>
      <c r="C401" s="8" t="str">
        <f aca="false">IF($A401="","",'Employee List'!E401&amp;"")</f>
        <v/>
      </c>
      <c r="D401" s="8" t="str">
        <f aca="false">IF($A401="","",'Employee List'!F401&amp;"")</f>
        <v/>
      </c>
      <c r="E401" s="8" t="str">
        <f aca="false">IF($A401="","",'Employee List'!G401&amp;"")</f>
        <v/>
      </c>
      <c r="F401" s="8" t="str">
        <f aca="false">IF($A401="","",'Employee List'!D401)</f>
        <v/>
      </c>
      <c r="G401" s="38" t="str">
        <f aca="false">IF($A401="","",IF('Employee List'!I401="","",'Employee List'!I401))</f>
        <v/>
      </c>
      <c r="H401" s="38" t="str">
        <f aca="false">IF(OR($A401="",G401=""),"",G401+Settings!$C$13)</f>
        <v/>
      </c>
      <c r="I401" s="38" t="str">
        <f aca="false">IF(H401="","",MAX(H401,DATE(LvYear,1,1)))</f>
        <v/>
      </c>
      <c r="J401" s="38" t="str">
        <f aca="false">IF($A401="","",IF('Employee List'!J401="",DATE(LvYear,12,31),MIN('Employee List'!J401,DATE(LvYear,12,31))))</f>
        <v/>
      </c>
      <c r="K401" s="39" t="str">
        <f aca="false">IF(OR(I401="",J401=""),"",MAX(0,J401-I401+1))</f>
        <v/>
      </c>
      <c r="L401" s="16" t="str">
        <f aca="false">IF($A401="","",IF(AND(ISNUMBER(K401),K401=0),0,Settings!$C$10))</f>
        <v/>
      </c>
      <c r="M401" s="16" t="str">
        <f aca="false">IF($A401="","",IF(AND(ISNUMBER(K401),K401=0),0,Settings!$C$11))</f>
        <v/>
      </c>
      <c r="N401" s="40"/>
      <c r="O401" s="16" t="str">
        <f aca="false">IF($A401="","",FLOOR(Settings!$C$12/365*N(K401),0.5))</f>
        <v/>
      </c>
      <c r="P401" s="16" t="str">
        <f aca="false">IF($A401="","",IF(I401="",N(N401),FLOOR(Settings!$C$12/365*MAX(0,MIN(LvAsOf,J401)-I401+1)+N(N401),0.5)))</f>
        <v/>
      </c>
      <c r="Q401" s="16" t="str">
        <f aca="false">IF($A401="","",Settings!$C$14)</f>
        <v/>
      </c>
      <c r="R401" s="16" t="str">
        <f aca="false">IF($A401="","",SUMIFS(Attendance!$AZ$6:$AZ$2405,Attendance!$B$6:$B$2405,$A401,Attendance!$A$6:$A$2405,"&gt;="&amp;DATE(LvYear,1,1),Attendance!$A$6:$A$2405,"&lt;="&amp;DATE(LvYear,12,31)))</f>
        <v/>
      </c>
      <c r="S401" s="16" t="str">
        <f aca="false">IF($A401="","",SUMIFS(Attendance!$AY$6:$AY$2405,Attendance!$B$6:$B$2405,$A401,Attendance!$A$6:$A$2405,"&gt;="&amp;DATE(LvYear,1,1),Attendance!$A$6:$A$2405,"&lt;="&amp;DATE(LvYear,12,31)))</f>
        <v/>
      </c>
      <c r="T401" s="16" t="str">
        <f aca="false">IF($A401="","",SUMIFS(Attendance!$AX$6:$AX$2405,Attendance!$B$6:$B$2405,$A401,Attendance!$A$6:$A$2405,"&gt;="&amp;DATE(LvYear,1,1),Attendance!$A$6:$A$2405,"&lt;="&amp;DATE(LvYear,12,31)))</f>
        <v/>
      </c>
      <c r="U401" s="16" t="str">
        <f aca="false">IF($A401="","",SUMIFS(Attendance!$AW$6:$AW$2405,Attendance!$B$6:$B$2405,$A401,Attendance!$A$6:$A$2405,"&gt;="&amp;DATE(LvYear,1,1),Attendance!$A$6:$A$2405,"&lt;="&amp;DATE(LvYear,12,31)))</f>
        <v/>
      </c>
      <c r="V401" s="16" t="str">
        <f aca="false">IF($A401="","",L401-R401)</f>
        <v/>
      </c>
      <c r="W401" s="16" t="str">
        <f aca="false">IF($A401="","",M401-S401)</f>
        <v/>
      </c>
      <c r="X401" s="16" t="str">
        <f aca="false">IF($A401="","",P401-T401)</f>
        <v/>
      </c>
      <c r="Y401" s="16" t="str">
        <f aca="false">IF($A401="","",Q401-U401)</f>
        <v/>
      </c>
      <c r="Z401" s="16" t="str">
        <f aca="false">IF($A401="","",V401+W401+X401)</f>
        <v/>
      </c>
      <c r="AA401" s="16" t="str">
        <f aca="false">IF($A401="","",O401+N(N401)-T401)</f>
        <v/>
      </c>
      <c r="AB401" s="8" t="str">
        <f aca="false">IF($A401="","","CL "&amp;V401&amp;" | SL "&amp;W401&amp;" | PL "&amp;X401&amp;" | TR "&amp;Y401)</f>
        <v/>
      </c>
      <c r="AC401" s="15" t="str">
        <f aca="false">IF($A401="","",IF(F401="Exited","EXITED",IF(AND(ISNUMBER(K401),K401=0),"NOT ELIGIBLE",IF(MIN(V401:X401)&lt;0,"OVER-USED",IF(Z401&lt;=Settings!$C$15,"LOW","OK")))))</f>
        <v/>
      </c>
      <c r="AD401" s="16" t="str">
        <f aca="false">IF(OR(AC401="OVER-USED",AC401="LOW"),COUNTIF(AC$6:AC401,"OVER-USED")+COUNTIF(AC$6:AC401,"LOW"),"")</f>
        <v/>
      </c>
    </row>
    <row r="402" customFormat="false" ht="15" hidden="false" customHeight="false" outlineLevel="0" collapsed="false">
      <c r="A402" s="8" t="str">
        <f aca="false">IF('Employee List'!B402="","",'Employee List'!B402)</f>
        <v/>
      </c>
      <c r="B402" s="8" t="str">
        <f aca="false">IF($A402="","",'Employee List'!C402)</f>
        <v/>
      </c>
      <c r="C402" s="8" t="str">
        <f aca="false">IF($A402="","",'Employee List'!E402&amp;"")</f>
        <v/>
      </c>
      <c r="D402" s="8" t="str">
        <f aca="false">IF($A402="","",'Employee List'!F402&amp;"")</f>
        <v/>
      </c>
      <c r="E402" s="8" t="str">
        <f aca="false">IF($A402="","",'Employee List'!G402&amp;"")</f>
        <v/>
      </c>
      <c r="F402" s="8" t="str">
        <f aca="false">IF($A402="","",'Employee List'!D402)</f>
        <v/>
      </c>
      <c r="G402" s="38" t="str">
        <f aca="false">IF($A402="","",IF('Employee List'!I402="","",'Employee List'!I402))</f>
        <v/>
      </c>
      <c r="H402" s="38" t="str">
        <f aca="false">IF(OR($A402="",G402=""),"",G402+Settings!$C$13)</f>
        <v/>
      </c>
      <c r="I402" s="38" t="str">
        <f aca="false">IF(H402="","",MAX(H402,DATE(LvYear,1,1)))</f>
        <v/>
      </c>
      <c r="J402" s="38" t="str">
        <f aca="false">IF($A402="","",IF('Employee List'!J402="",DATE(LvYear,12,31),MIN('Employee List'!J402,DATE(LvYear,12,31))))</f>
        <v/>
      </c>
      <c r="K402" s="39" t="str">
        <f aca="false">IF(OR(I402="",J402=""),"",MAX(0,J402-I402+1))</f>
        <v/>
      </c>
      <c r="L402" s="16" t="str">
        <f aca="false">IF($A402="","",IF(AND(ISNUMBER(K402),K402=0),0,Settings!$C$10))</f>
        <v/>
      </c>
      <c r="M402" s="16" t="str">
        <f aca="false">IF($A402="","",IF(AND(ISNUMBER(K402),K402=0),0,Settings!$C$11))</f>
        <v/>
      </c>
      <c r="N402" s="40"/>
      <c r="O402" s="16" t="str">
        <f aca="false">IF($A402="","",FLOOR(Settings!$C$12/365*N(K402),0.5))</f>
        <v/>
      </c>
      <c r="P402" s="16" t="str">
        <f aca="false">IF($A402="","",IF(I402="",N(N402),FLOOR(Settings!$C$12/365*MAX(0,MIN(LvAsOf,J402)-I402+1)+N(N402),0.5)))</f>
        <v/>
      </c>
      <c r="Q402" s="16" t="str">
        <f aca="false">IF($A402="","",Settings!$C$14)</f>
        <v/>
      </c>
      <c r="R402" s="16" t="str">
        <f aca="false">IF($A402="","",SUMIFS(Attendance!$AZ$6:$AZ$2405,Attendance!$B$6:$B$2405,$A402,Attendance!$A$6:$A$2405,"&gt;="&amp;DATE(LvYear,1,1),Attendance!$A$6:$A$2405,"&lt;="&amp;DATE(LvYear,12,31)))</f>
        <v/>
      </c>
      <c r="S402" s="16" t="str">
        <f aca="false">IF($A402="","",SUMIFS(Attendance!$AY$6:$AY$2405,Attendance!$B$6:$B$2405,$A402,Attendance!$A$6:$A$2405,"&gt;="&amp;DATE(LvYear,1,1),Attendance!$A$6:$A$2405,"&lt;="&amp;DATE(LvYear,12,31)))</f>
        <v/>
      </c>
      <c r="T402" s="16" t="str">
        <f aca="false">IF($A402="","",SUMIFS(Attendance!$AX$6:$AX$2405,Attendance!$B$6:$B$2405,$A402,Attendance!$A$6:$A$2405,"&gt;="&amp;DATE(LvYear,1,1),Attendance!$A$6:$A$2405,"&lt;="&amp;DATE(LvYear,12,31)))</f>
        <v/>
      </c>
      <c r="U402" s="16" t="str">
        <f aca="false">IF($A402="","",SUMIFS(Attendance!$AW$6:$AW$2405,Attendance!$B$6:$B$2405,$A402,Attendance!$A$6:$A$2405,"&gt;="&amp;DATE(LvYear,1,1),Attendance!$A$6:$A$2405,"&lt;="&amp;DATE(LvYear,12,31)))</f>
        <v/>
      </c>
      <c r="V402" s="16" t="str">
        <f aca="false">IF($A402="","",L402-R402)</f>
        <v/>
      </c>
      <c r="W402" s="16" t="str">
        <f aca="false">IF($A402="","",M402-S402)</f>
        <v/>
      </c>
      <c r="X402" s="16" t="str">
        <f aca="false">IF($A402="","",P402-T402)</f>
        <v/>
      </c>
      <c r="Y402" s="16" t="str">
        <f aca="false">IF($A402="","",Q402-U402)</f>
        <v/>
      </c>
      <c r="Z402" s="16" t="str">
        <f aca="false">IF($A402="","",V402+W402+X402)</f>
        <v/>
      </c>
      <c r="AA402" s="16" t="str">
        <f aca="false">IF($A402="","",O402+N(N402)-T402)</f>
        <v/>
      </c>
      <c r="AB402" s="8" t="str">
        <f aca="false">IF($A402="","","CL "&amp;V402&amp;" | SL "&amp;W402&amp;" | PL "&amp;X402&amp;" | TR "&amp;Y402)</f>
        <v/>
      </c>
      <c r="AC402" s="15" t="str">
        <f aca="false">IF($A402="","",IF(F402="Exited","EXITED",IF(AND(ISNUMBER(K402),K402=0),"NOT ELIGIBLE",IF(MIN(V402:X402)&lt;0,"OVER-USED",IF(Z402&lt;=Settings!$C$15,"LOW","OK")))))</f>
        <v/>
      </c>
      <c r="AD402" s="16" t="str">
        <f aca="false">IF(OR(AC402="OVER-USED",AC402="LOW"),COUNTIF(AC$6:AC402,"OVER-USED")+COUNTIF(AC$6:AC402,"LOW"),"")</f>
        <v/>
      </c>
    </row>
    <row r="403" customFormat="false" ht="15" hidden="false" customHeight="false" outlineLevel="0" collapsed="false">
      <c r="A403" s="8" t="str">
        <f aca="false">IF('Employee List'!B403="","",'Employee List'!B403)</f>
        <v/>
      </c>
      <c r="B403" s="8" t="str">
        <f aca="false">IF($A403="","",'Employee List'!C403)</f>
        <v/>
      </c>
      <c r="C403" s="8" t="str">
        <f aca="false">IF($A403="","",'Employee List'!E403&amp;"")</f>
        <v/>
      </c>
      <c r="D403" s="8" t="str">
        <f aca="false">IF($A403="","",'Employee List'!F403&amp;"")</f>
        <v/>
      </c>
      <c r="E403" s="8" t="str">
        <f aca="false">IF($A403="","",'Employee List'!G403&amp;"")</f>
        <v/>
      </c>
      <c r="F403" s="8" t="str">
        <f aca="false">IF($A403="","",'Employee List'!D403)</f>
        <v/>
      </c>
      <c r="G403" s="38" t="str">
        <f aca="false">IF($A403="","",IF('Employee List'!I403="","",'Employee List'!I403))</f>
        <v/>
      </c>
      <c r="H403" s="38" t="str">
        <f aca="false">IF(OR($A403="",G403=""),"",G403+Settings!$C$13)</f>
        <v/>
      </c>
      <c r="I403" s="38" t="str">
        <f aca="false">IF(H403="","",MAX(H403,DATE(LvYear,1,1)))</f>
        <v/>
      </c>
      <c r="J403" s="38" t="str">
        <f aca="false">IF($A403="","",IF('Employee List'!J403="",DATE(LvYear,12,31),MIN('Employee List'!J403,DATE(LvYear,12,31))))</f>
        <v/>
      </c>
      <c r="K403" s="39" t="str">
        <f aca="false">IF(OR(I403="",J403=""),"",MAX(0,J403-I403+1))</f>
        <v/>
      </c>
      <c r="L403" s="16" t="str">
        <f aca="false">IF($A403="","",IF(AND(ISNUMBER(K403),K403=0),0,Settings!$C$10))</f>
        <v/>
      </c>
      <c r="M403" s="16" t="str">
        <f aca="false">IF($A403="","",IF(AND(ISNUMBER(K403),K403=0),0,Settings!$C$11))</f>
        <v/>
      </c>
      <c r="N403" s="40"/>
      <c r="O403" s="16" t="str">
        <f aca="false">IF($A403="","",FLOOR(Settings!$C$12/365*N(K403),0.5))</f>
        <v/>
      </c>
      <c r="P403" s="16" t="str">
        <f aca="false">IF($A403="","",IF(I403="",N(N403),FLOOR(Settings!$C$12/365*MAX(0,MIN(LvAsOf,J403)-I403+1)+N(N403),0.5)))</f>
        <v/>
      </c>
      <c r="Q403" s="16" t="str">
        <f aca="false">IF($A403="","",Settings!$C$14)</f>
        <v/>
      </c>
      <c r="R403" s="16" t="str">
        <f aca="false">IF($A403="","",SUMIFS(Attendance!$AZ$6:$AZ$2405,Attendance!$B$6:$B$2405,$A403,Attendance!$A$6:$A$2405,"&gt;="&amp;DATE(LvYear,1,1),Attendance!$A$6:$A$2405,"&lt;="&amp;DATE(LvYear,12,31)))</f>
        <v/>
      </c>
      <c r="S403" s="16" t="str">
        <f aca="false">IF($A403="","",SUMIFS(Attendance!$AY$6:$AY$2405,Attendance!$B$6:$B$2405,$A403,Attendance!$A$6:$A$2405,"&gt;="&amp;DATE(LvYear,1,1),Attendance!$A$6:$A$2405,"&lt;="&amp;DATE(LvYear,12,31)))</f>
        <v/>
      </c>
      <c r="T403" s="16" t="str">
        <f aca="false">IF($A403="","",SUMIFS(Attendance!$AX$6:$AX$2405,Attendance!$B$6:$B$2405,$A403,Attendance!$A$6:$A$2405,"&gt;="&amp;DATE(LvYear,1,1),Attendance!$A$6:$A$2405,"&lt;="&amp;DATE(LvYear,12,31)))</f>
        <v/>
      </c>
      <c r="U403" s="16" t="str">
        <f aca="false">IF($A403="","",SUMIFS(Attendance!$AW$6:$AW$2405,Attendance!$B$6:$B$2405,$A403,Attendance!$A$6:$A$2405,"&gt;="&amp;DATE(LvYear,1,1),Attendance!$A$6:$A$2405,"&lt;="&amp;DATE(LvYear,12,31)))</f>
        <v/>
      </c>
      <c r="V403" s="16" t="str">
        <f aca="false">IF($A403="","",L403-R403)</f>
        <v/>
      </c>
      <c r="W403" s="16" t="str">
        <f aca="false">IF($A403="","",M403-S403)</f>
        <v/>
      </c>
      <c r="X403" s="16" t="str">
        <f aca="false">IF($A403="","",P403-T403)</f>
        <v/>
      </c>
      <c r="Y403" s="16" t="str">
        <f aca="false">IF($A403="","",Q403-U403)</f>
        <v/>
      </c>
      <c r="Z403" s="16" t="str">
        <f aca="false">IF($A403="","",V403+W403+X403)</f>
        <v/>
      </c>
      <c r="AA403" s="16" t="str">
        <f aca="false">IF($A403="","",O403+N(N403)-T403)</f>
        <v/>
      </c>
      <c r="AB403" s="8" t="str">
        <f aca="false">IF($A403="","","CL "&amp;V403&amp;" | SL "&amp;W403&amp;" | PL "&amp;X403&amp;" | TR "&amp;Y403)</f>
        <v/>
      </c>
      <c r="AC403" s="15" t="str">
        <f aca="false">IF($A403="","",IF(F403="Exited","EXITED",IF(AND(ISNUMBER(K403),K403=0),"NOT ELIGIBLE",IF(MIN(V403:X403)&lt;0,"OVER-USED",IF(Z403&lt;=Settings!$C$15,"LOW","OK")))))</f>
        <v/>
      </c>
      <c r="AD403" s="16" t="str">
        <f aca="false">IF(OR(AC403="OVER-USED",AC403="LOW"),COUNTIF(AC$6:AC403,"OVER-USED")+COUNTIF(AC$6:AC403,"LOW"),"")</f>
        <v/>
      </c>
    </row>
    <row r="404" customFormat="false" ht="15" hidden="false" customHeight="false" outlineLevel="0" collapsed="false">
      <c r="A404" s="8" t="str">
        <f aca="false">IF('Employee List'!B404="","",'Employee List'!B404)</f>
        <v/>
      </c>
      <c r="B404" s="8" t="str">
        <f aca="false">IF($A404="","",'Employee List'!C404)</f>
        <v/>
      </c>
      <c r="C404" s="8" t="str">
        <f aca="false">IF($A404="","",'Employee List'!E404&amp;"")</f>
        <v/>
      </c>
      <c r="D404" s="8" t="str">
        <f aca="false">IF($A404="","",'Employee List'!F404&amp;"")</f>
        <v/>
      </c>
      <c r="E404" s="8" t="str">
        <f aca="false">IF($A404="","",'Employee List'!G404&amp;"")</f>
        <v/>
      </c>
      <c r="F404" s="8" t="str">
        <f aca="false">IF($A404="","",'Employee List'!D404)</f>
        <v/>
      </c>
      <c r="G404" s="38" t="str">
        <f aca="false">IF($A404="","",IF('Employee List'!I404="","",'Employee List'!I404))</f>
        <v/>
      </c>
      <c r="H404" s="38" t="str">
        <f aca="false">IF(OR($A404="",G404=""),"",G404+Settings!$C$13)</f>
        <v/>
      </c>
      <c r="I404" s="38" t="str">
        <f aca="false">IF(H404="","",MAX(H404,DATE(LvYear,1,1)))</f>
        <v/>
      </c>
      <c r="J404" s="38" t="str">
        <f aca="false">IF($A404="","",IF('Employee List'!J404="",DATE(LvYear,12,31),MIN('Employee List'!J404,DATE(LvYear,12,31))))</f>
        <v/>
      </c>
      <c r="K404" s="39" t="str">
        <f aca="false">IF(OR(I404="",J404=""),"",MAX(0,J404-I404+1))</f>
        <v/>
      </c>
      <c r="L404" s="16" t="str">
        <f aca="false">IF($A404="","",IF(AND(ISNUMBER(K404),K404=0),0,Settings!$C$10))</f>
        <v/>
      </c>
      <c r="M404" s="16" t="str">
        <f aca="false">IF($A404="","",IF(AND(ISNUMBER(K404),K404=0),0,Settings!$C$11))</f>
        <v/>
      </c>
      <c r="N404" s="40"/>
      <c r="O404" s="16" t="str">
        <f aca="false">IF($A404="","",FLOOR(Settings!$C$12/365*N(K404),0.5))</f>
        <v/>
      </c>
      <c r="P404" s="16" t="str">
        <f aca="false">IF($A404="","",IF(I404="",N(N404),FLOOR(Settings!$C$12/365*MAX(0,MIN(LvAsOf,J404)-I404+1)+N(N404),0.5)))</f>
        <v/>
      </c>
      <c r="Q404" s="16" t="str">
        <f aca="false">IF($A404="","",Settings!$C$14)</f>
        <v/>
      </c>
      <c r="R404" s="16" t="str">
        <f aca="false">IF($A404="","",SUMIFS(Attendance!$AZ$6:$AZ$2405,Attendance!$B$6:$B$2405,$A404,Attendance!$A$6:$A$2405,"&gt;="&amp;DATE(LvYear,1,1),Attendance!$A$6:$A$2405,"&lt;="&amp;DATE(LvYear,12,31)))</f>
        <v/>
      </c>
      <c r="S404" s="16" t="str">
        <f aca="false">IF($A404="","",SUMIFS(Attendance!$AY$6:$AY$2405,Attendance!$B$6:$B$2405,$A404,Attendance!$A$6:$A$2405,"&gt;="&amp;DATE(LvYear,1,1),Attendance!$A$6:$A$2405,"&lt;="&amp;DATE(LvYear,12,31)))</f>
        <v/>
      </c>
      <c r="T404" s="16" t="str">
        <f aca="false">IF($A404="","",SUMIFS(Attendance!$AX$6:$AX$2405,Attendance!$B$6:$B$2405,$A404,Attendance!$A$6:$A$2405,"&gt;="&amp;DATE(LvYear,1,1),Attendance!$A$6:$A$2405,"&lt;="&amp;DATE(LvYear,12,31)))</f>
        <v/>
      </c>
      <c r="U404" s="16" t="str">
        <f aca="false">IF($A404="","",SUMIFS(Attendance!$AW$6:$AW$2405,Attendance!$B$6:$B$2405,$A404,Attendance!$A$6:$A$2405,"&gt;="&amp;DATE(LvYear,1,1),Attendance!$A$6:$A$2405,"&lt;="&amp;DATE(LvYear,12,31)))</f>
        <v/>
      </c>
      <c r="V404" s="16" t="str">
        <f aca="false">IF($A404="","",L404-R404)</f>
        <v/>
      </c>
      <c r="W404" s="16" t="str">
        <f aca="false">IF($A404="","",M404-S404)</f>
        <v/>
      </c>
      <c r="X404" s="16" t="str">
        <f aca="false">IF($A404="","",P404-T404)</f>
        <v/>
      </c>
      <c r="Y404" s="16" t="str">
        <f aca="false">IF($A404="","",Q404-U404)</f>
        <v/>
      </c>
      <c r="Z404" s="16" t="str">
        <f aca="false">IF($A404="","",V404+W404+X404)</f>
        <v/>
      </c>
      <c r="AA404" s="16" t="str">
        <f aca="false">IF($A404="","",O404+N(N404)-T404)</f>
        <v/>
      </c>
      <c r="AB404" s="8" t="str">
        <f aca="false">IF($A404="","","CL "&amp;V404&amp;" | SL "&amp;W404&amp;" | PL "&amp;X404&amp;" | TR "&amp;Y404)</f>
        <v/>
      </c>
      <c r="AC404" s="15" t="str">
        <f aca="false">IF($A404="","",IF(F404="Exited","EXITED",IF(AND(ISNUMBER(K404),K404=0),"NOT ELIGIBLE",IF(MIN(V404:X404)&lt;0,"OVER-USED",IF(Z404&lt;=Settings!$C$15,"LOW","OK")))))</f>
        <v/>
      </c>
      <c r="AD404" s="16" t="str">
        <f aca="false">IF(OR(AC404="OVER-USED",AC404="LOW"),COUNTIF(AC$6:AC404,"OVER-USED")+COUNTIF(AC$6:AC404,"LOW"),"")</f>
        <v/>
      </c>
    </row>
    <row r="405" customFormat="false" ht="15" hidden="false" customHeight="false" outlineLevel="0" collapsed="false">
      <c r="A405" s="8" t="str">
        <f aca="false">IF('Employee List'!B405="","",'Employee List'!B405)</f>
        <v/>
      </c>
      <c r="B405" s="8" t="str">
        <f aca="false">IF($A405="","",'Employee List'!C405)</f>
        <v/>
      </c>
      <c r="C405" s="8" t="str">
        <f aca="false">IF($A405="","",'Employee List'!E405&amp;"")</f>
        <v/>
      </c>
      <c r="D405" s="8" t="str">
        <f aca="false">IF($A405="","",'Employee List'!F405&amp;"")</f>
        <v/>
      </c>
      <c r="E405" s="8" t="str">
        <f aca="false">IF($A405="","",'Employee List'!G405&amp;"")</f>
        <v/>
      </c>
      <c r="F405" s="8" t="str">
        <f aca="false">IF($A405="","",'Employee List'!D405)</f>
        <v/>
      </c>
      <c r="G405" s="38" t="str">
        <f aca="false">IF($A405="","",IF('Employee List'!I405="","",'Employee List'!I405))</f>
        <v/>
      </c>
      <c r="H405" s="38" t="str">
        <f aca="false">IF(OR($A405="",G405=""),"",G405+Settings!$C$13)</f>
        <v/>
      </c>
      <c r="I405" s="38" t="str">
        <f aca="false">IF(H405="","",MAX(H405,DATE(LvYear,1,1)))</f>
        <v/>
      </c>
      <c r="J405" s="38" t="str">
        <f aca="false">IF($A405="","",IF('Employee List'!J405="",DATE(LvYear,12,31),MIN('Employee List'!J405,DATE(LvYear,12,31))))</f>
        <v/>
      </c>
      <c r="K405" s="39" t="str">
        <f aca="false">IF(OR(I405="",J405=""),"",MAX(0,J405-I405+1))</f>
        <v/>
      </c>
      <c r="L405" s="16" t="str">
        <f aca="false">IF($A405="","",IF(AND(ISNUMBER(K405),K405=0),0,Settings!$C$10))</f>
        <v/>
      </c>
      <c r="M405" s="16" t="str">
        <f aca="false">IF($A405="","",IF(AND(ISNUMBER(K405),K405=0),0,Settings!$C$11))</f>
        <v/>
      </c>
      <c r="N405" s="40"/>
      <c r="O405" s="16" t="str">
        <f aca="false">IF($A405="","",FLOOR(Settings!$C$12/365*N(K405),0.5))</f>
        <v/>
      </c>
      <c r="P405" s="16" t="str">
        <f aca="false">IF($A405="","",IF(I405="",N(N405),FLOOR(Settings!$C$12/365*MAX(0,MIN(LvAsOf,J405)-I405+1)+N(N405),0.5)))</f>
        <v/>
      </c>
      <c r="Q405" s="16" t="str">
        <f aca="false">IF($A405="","",Settings!$C$14)</f>
        <v/>
      </c>
      <c r="R405" s="16" t="str">
        <f aca="false">IF($A405="","",SUMIFS(Attendance!$AZ$6:$AZ$2405,Attendance!$B$6:$B$2405,$A405,Attendance!$A$6:$A$2405,"&gt;="&amp;DATE(LvYear,1,1),Attendance!$A$6:$A$2405,"&lt;="&amp;DATE(LvYear,12,31)))</f>
        <v/>
      </c>
      <c r="S405" s="16" t="str">
        <f aca="false">IF($A405="","",SUMIFS(Attendance!$AY$6:$AY$2405,Attendance!$B$6:$B$2405,$A405,Attendance!$A$6:$A$2405,"&gt;="&amp;DATE(LvYear,1,1),Attendance!$A$6:$A$2405,"&lt;="&amp;DATE(LvYear,12,31)))</f>
        <v/>
      </c>
      <c r="T405" s="16" t="str">
        <f aca="false">IF($A405="","",SUMIFS(Attendance!$AX$6:$AX$2405,Attendance!$B$6:$B$2405,$A405,Attendance!$A$6:$A$2405,"&gt;="&amp;DATE(LvYear,1,1),Attendance!$A$6:$A$2405,"&lt;="&amp;DATE(LvYear,12,31)))</f>
        <v/>
      </c>
      <c r="U405" s="16" t="str">
        <f aca="false">IF($A405="","",SUMIFS(Attendance!$AW$6:$AW$2405,Attendance!$B$6:$B$2405,$A405,Attendance!$A$6:$A$2405,"&gt;="&amp;DATE(LvYear,1,1),Attendance!$A$6:$A$2405,"&lt;="&amp;DATE(LvYear,12,31)))</f>
        <v/>
      </c>
      <c r="V405" s="16" t="str">
        <f aca="false">IF($A405="","",L405-R405)</f>
        <v/>
      </c>
      <c r="W405" s="16" t="str">
        <f aca="false">IF($A405="","",M405-S405)</f>
        <v/>
      </c>
      <c r="X405" s="16" t="str">
        <f aca="false">IF($A405="","",P405-T405)</f>
        <v/>
      </c>
      <c r="Y405" s="16" t="str">
        <f aca="false">IF($A405="","",Q405-U405)</f>
        <v/>
      </c>
      <c r="Z405" s="16" t="str">
        <f aca="false">IF($A405="","",V405+W405+X405)</f>
        <v/>
      </c>
      <c r="AA405" s="16" t="str">
        <f aca="false">IF($A405="","",O405+N(N405)-T405)</f>
        <v/>
      </c>
      <c r="AB405" s="8" t="str">
        <f aca="false">IF($A405="","","CL "&amp;V405&amp;" | SL "&amp;W405&amp;" | PL "&amp;X405&amp;" | TR "&amp;Y405)</f>
        <v/>
      </c>
      <c r="AC405" s="15" t="str">
        <f aca="false">IF($A405="","",IF(F405="Exited","EXITED",IF(AND(ISNUMBER(K405),K405=0),"NOT ELIGIBLE",IF(MIN(V405:X405)&lt;0,"OVER-USED",IF(Z405&lt;=Settings!$C$15,"LOW","OK")))))</f>
        <v/>
      </c>
      <c r="AD405" s="16" t="str">
        <f aca="false">IF(OR(AC405="OVER-USED",AC405="LOW"),COUNTIF(AC$6:AC405,"OVER-USED")+COUNTIF(AC$6:AC405,"LOW"),"")</f>
        <v/>
      </c>
    </row>
    <row r="406" customFormat="false" ht="15" hidden="false" customHeight="false" outlineLevel="0" collapsed="false">
      <c r="A406" s="8" t="str">
        <f aca="false">IF('Employee List'!B406="","",'Employee List'!B406)</f>
        <v/>
      </c>
      <c r="B406" s="8" t="str">
        <f aca="false">IF($A406="","",'Employee List'!C406)</f>
        <v/>
      </c>
      <c r="C406" s="8" t="str">
        <f aca="false">IF($A406="","",'Employee List'!E406&amp;"")</f>
        <v/>
      </c>
      <c r="D406" s="8" t="str">
        <f aca="false">IF($A406="","",'Employee List'!F406&amp;"")</f>
        <v/>
      </c>
      <c r="E406" s="8" t="str">
        <f aca="false">IF($A406="","",'Employee List'!G406&amp;"")</f>
        <v/>
      </c>
      <c r="F406" s="8" t="str">
        <f aca="false">IF($A406="","",'Employee List'!D406)</f>
        <v/>
      </c>
      <c r="G406" s="38" t="str">
        <f aca="false">IF($A406="","",IF('Employee List'!I406="","",'Employee List'!I406))</f>
        <v/>
      </c>
      <c r="H406" s="38" t="str">
        <f aca="false">IF(OR($A406="",G406=""),"",G406+Settings!$C$13)</f>
        <v/>
      </c>
      <c r="I406" s="38" t="str">
        <f aca="false">IF(H406="","",MAX(H406,DATE(LvYear,1,1)))</f>
        <v/>
      </c>
      <c r="J406" s="38" t="str">
        <f aca="false">IF($A406="","",IF('Employee List'!J406="",DATE(LvYear,12,31),MIN('Employee List'!J406,DATE(LvYear,12,31))))</f>
        <v/>
      </c>
      <c r="K406" s="39" t="str">
        <f aca="false">IF(OR(I406="",J406=""),"",MAX(0,J406-I406+1))</f>
        <v/>
      </c>
      <c r="L406" s="16" t="str">
        <f aca="false">IF($A406="","",IF(AND(ISNUMBER(K406),K406=0),0,Settings!$C$10))</f>
        <v/>
      </c>
      <c r="M406" s="16" t="str">
        <f aca="false">IF($A406="","",IF(AND(ISNUMBER(K406),K406=0),0,Settings!$C$11))</f>
        <v/>
      </c>
      <c r="N406" s="40"/>
      <c r="O406" s="16" t="str">
        <f aca="false">IF($A406="","",FLOOR(Settings!$C$12/365*N(K406),0.5))</f>
        <v/>
      </c>
      <c r="P406" s="16" t="str">
        <f aca="false">IF($A406="","",IF(I406="",N(N406),FLOOR(Settings!$C$12/365*MAX(0,MIN(LvAsOf,J406)-I406+1)+N(N406),0.5)))</f>
        <v/>
      </c>
      <c r="Q406" s="16" t="str">
        <f aca="false">IF($A406="","",Settings!$C$14)</f>
        <v/>
      </c>
      <c r="R406" s="16" t="str">
        <f aca="false">IF($A406="","",SUMIFS(Attendance!$AZ$6:$AZ$2405,Attendance!$B$6:$B$2405,$A406,Attendance!$A$6:$A$2405,"&gt;="&amp;DATE(LvYear,1,1),Attendance!$A$6:$A$2405,"&lt;="&amp;DATE(LvYear,12,31)))</f>
        <v/>
      </c>
      <c r="S406" s="16" t="str">
        <f aca="false">IF($A406="","",SUMIFS(Attendance!$AY$6:$AY$2405,Attendance!$B$6:$B$2405,$A406,Attendance!$A$6:$A$2405,"&gt;="&amp;DATE(LvYear,1,1),Attendance!$A$6:$A$2405,"&lt;="&amp;DATE(LvYear,12,31)))</f>
        <v/>
      </c>
      <c r="T406" s="16" t="str">
        <f aca="false">IF($A406="","",SUMIFS(Attendance!$AX$6:$AX$2405,Attendance!$B$6:$B$2405,$A406,Attendance!$A$6:$A$2405,"&gt;="&amp;DATE(LvYear,1,1),Attendance!$A$6:$A$2405,"&lt;="&amp;DATE(LvYear,12,31)))</f>
        <v/>
      </c>
      <c r="U406" s="16" t="str">
        <f aca="false">IF($A406="","",SUMIFS(Attendance!$AW$6:$AW$2405,Attendance!$B$6:$B$2405,$A406,Attendance!$A$6:$A$2405,"&gt;="&amp;DATE(LvYear,1,1),Attendance!$A$6:$A$2405,"&lt;="&amp;DATE(LvYear,12,31)))</f>
        <v/>
      </c>
      <c r="V406" s="16" t="str">
        <f aca="false">IF($A406="","",L406-R406)</f>
        <v/>
      </c>
      <c r="W406" s="16" t="str">
        <f aca="false">IF($A406="","",M406-S406)</f>
        <v/>
      </c>
      <c r="X406" s="16" t="str">
        <f aca="false">IF($A406="","",P406-T406)</f>
        <v/>
      </c>
      <c r="Y406" s="16" t="str">
        <f aca="false">IF($A406="","",Q406-U406)</f>
        <v/>
      </c>
      <c r="Z406" s="16" t="str">
        <f aca="false">IF($A406="","",V406+W406+X406)</f>
        <v/>
      </c>
      <c r="AA406" s="16" t="str">
        <f aca="false">IF($A406="","",O406+N(N406)-T406)</f>
        <v/>
      </c>
      <c r="AB406" s="8" t="str">
        <f aca="false">IF($A406="","","CL "&amp;V406&amp;" | SL "&amp;W406&amp;" | PL "&amp;X406&amp;" | TR "&amp;Y406)</f>
        <v/>
      </c>
      <c r="AC406" s="15" t="str">
        <f aca="false">IF($A406="","",IF(F406="Exited","EXITED",IF(AND(ISNUMBER(K406),K406=0),"NOT ELIGIBLE",IF(MIN(V406:X406)&lt;0,"OVER-USED",IF(Z406&lt;=Settings!$C$15,"LOW","OK")))))</f>
        <v/>
      </c>
      <c r="AD406" s="16" t="str">
        <f aca="false">IF(OR(AC406="OVER-USED",AC406="LOW"),COUNTIF(AC$6:AC406,"OVER-USED")+COUNTIF(AC$6:AC406,"LOW"),"")</f>
        <v/>
      </c>
    </row>
    <row r="407" customFormat="false" ht="15" hidden="false" customHeight="false" outlineLevel="0" collapsed="false">
      <c r="A407" s="8" t="str">
        <f aca="false">IF('Employee List'!B407="","",'Employee List'!B407)</f>
        <v/>
      </c>
      <c r="B407" s="8" t="str">
        <f aca="false">IF($A407="","",'Employee List'!C407)</f>
        <v/>
      </c>
      <c r="C407" s="8" t="str">
        <f aca="false">IF($A407="","",'Employee List'!E407&amp;"")</f>
        <v/>
      </c>
      <c r="D407" s="8" t="str">
        <f aca="false">IF($A407="","",'Employee List'!F407&amp;"")</f>
        <v/>
      </c>
      <c r="E407" s="8" t="str">
        <f aca="false">IF($A407="","",'Employee List'!G407&amp;"")</f>
        <v/>
      </c>
      <c r="F407" s="8" t="str">
        <f aca="false">IF($A407="","",'Employee List'!D407)</f>
        <v/>
      </c>
      <c r="G407" s="38" t="str">
        <f aca="false">IF($A407="","",IF('Employee List'!I407="","",'Employee List'!I407))</f>
        <v/>
      </c>
      <c r="H407" s="38" t="str">
        <f aca="false">IF(OR($A407="",G407=""),"",G407+Settings!$C$13)</f>
        <v/>
      </c>
      <c r="I407" s="38" t="str">
        <f aca="false">IF(H407="","",MAX(H407,DATE(LvYear,1,1)))</f>
        <v/>
      </c>
      <c r="J407" s="38" t="str">
        <f aca="false">IF($A407="","",IF('Employee List'!J407="",DATE(LvYear,12,31),MIN('Employee List'!J407,DATE(LvYear,12,31))))</f>
        <v/>
      </c>
      <c r="K407" s="39" t="str">
        <f aca="false">IF(OR(I407="",J407=""),"",MAX(0,J407-I407+1))</f>
        <v/>
      </c>
      <c r="L407" s="16" t="str">
        <f aca="false">IF($A407="","",IF(AND(ISNUMBER(K407),K407=0),0,Settings!$C$10))</f>
        <v/>
      </c>
      <c r="M407" s="16" t="str">
        <f aca="false">IF($A407="","",IF(AND(ISNUMBER(K407),K407=0),0,Settings!$C$11))</f>
        <v/>
      </c>
      <c r="N407" s="40"/>
      <c r="O407" s="16" t="str">
        <f aca="false">IF($A407="","",FLOOR(Settings!$C$12/365*N(K407),0.5))</f>
        <v/>
      </c>
      <c r="P407" s="16" t="str">
        <f aca="false">IF($A407="","",IF(I407="",N(N407),FLOOR(Settings!$C$12/365*MAX(0,MIN(LvAsOf,J407)-I407+1)+N(N407),0.5)))</f>
        <v/>
      </c>
      <c r="Q407" s="16" t="str">
        <f aca="false">IF($A407="","",Settings!$C$14)</f>
        <v/>
      </c>
      <c r="R407" s="16" t="str">
        <f aca="false">IF($A407="","",SUMIFS(Attendance!$AZ$6:$AZ$2405,Attendance!$B$6:$B$2405,$A407,Attendance!$A$6:$A$2405,"&gt;="&amp;DATE(LvYear,1,1),Attendance!$A$6:$A$2405,"&lt;="&amp;DATE(LvYear,12,31)))</f>
        <v/>
      </c>
      <c r="S407" s="16" t="str">
        <f aca="false">IF($A407="","",SUMIFS(Attendance!$AY$6:$AY$2405,Attendance!$B$6:$B$2405,$A407,Attendance!$A$6:$A$2405,"&gt;="&amp;DATE(LvYear,1,1),Attendance!$A$6:$A$2405,"&lt;="&amp;DATE(LvYear,12,31)))</f>
        <v/>
      </c>
      <c r="T407" s="16" t="str">
        <f aca="false">IF($A407="","",SUMIFS(Attendance!$AX$6:$AX$2405,Attendance!$B$6:$B$2405,$A407,Attendance!$A$6:$A$2405,"&gt;="&amp;DATE(LvYear,1,1),Attendance!$A$6:$A$2405,"&lt;="&amp;DATE(LvYear,12,31)))</f>
        <v/>
      </c>
      <c r="U407" s="16" t="str">
        <f aca="false">IF($A407="","",SUMIFS(Attendance!$AW$6:$AW$2405,Attendance!$B$6:$B$2405,$A407,Attendance!$A$6:$A$2405,"&gt;="&amp;DATE(LvYear,1,1),Attendance!$A$6:$A$2405,"&lt;="&amp;DATE(LvYear,12,31)))</f>
        <v/>
      </c>
      <c r="V407" s="16" t="str">
        <f aca="false">IF($A407="","",L407-R407)</f>
        <v/>
      </c>
      <c r="W407" s="16" t="str">
        <f aca="false">IF($A407="","",M407-S407)</f>
        <v/>
      </c>
      <c r="X407" s="16" t="str">
        <f aca="false">IF($A407="","",P407-T407)</f>
        <v/>
      </c>
      <c r="Y407" s="16" t="str">
        <f aca="false">IF($A407="","",Q407-U407)</f>
        <v/>
      </c>
      <c r="Z407" s="16" t="str">
        <f aca="false">IF($A407="","",V407+W407+X407)</f>
        <v/>
      </c>
      <c r="AA407" s="16" t="str">
        <f aca="false">IF($A407="","",O407+N(N407)-T407)</f>
        <v/>
      </c>
      <c r="AB407" s="8" t="str">
        <f aca="false">IF($A407="","","CL "&amp;V407&amp;" | SL "&amp;W407&amp;" | PL "&amp;X407&amp;" | TR "&amp;Y407)</f>
        <v/>
      </c>
      <c r="AC407" s="15" t="str">
        <f aca="false">IF($A407="","",IF(F407="Exited","EXITED",IF(AND(ISNUMBER(K407),K407=0),"NOT ELIGIBLE",IF(MIN(V407:X407)&lt;0,"OVER-USED",IF(Z407&lt;=Settings!$C$15,"LOW","OK")))))</f>
        <v/>
      </c>
      <c r="AD407" s="16" t="str">
        <f aca="false">IF(OR(AC407="OVER-USED",AC407="LOW"),COUNTIF(AC$6:AC407,"OVER-USED")+COUNTIF(AC$6:AC407,"LOW"),"")</f>
        <v/>
      </c>
    </row>
    <row r="408" customFormat="false" ht="15" hidden="false" customHeight="false" outlineLevel="0" collapsed="false">
      <c r="A408" s="8" t="str">
        <f aca="false">IF('Employee List'!B408="","",'Employee List'!B408)</f>
        <v/>
      </c>
      <c r="B408" s="8" t="str">
        <f aca="false">IF($A408="","",'Employee List'!C408)</f>
        <v/>
      </c>
      <c r="C408" s="8" t="str">
        <f aca="false">IF($A408="","",'Employee List'!E408&amp;"")</f>
        <v/>
      </c>
      <c r="D408" s="8" t="str">
        <f aca="false">IF($A408="","",'Employee List'!F408&amp;"")</f>
        <v/>
      </c>
      <c r="E408" s="8" t="str">
        <f aca="false">IF($A408="","",'Employee List'!G408&amp;"")</f>
        <v/>
      </c>
      <c r="F408" s="8" t="str">
        <f aca="false">IF($A408="","",'Employee List'!D408)</f>
        <v/>
      </c>
      <c r="G408" s="38" t="str">
        <f aca="false">IF($A408="","",IF('Employee List'!I408="","",'Employee List'!I408))</f>
        <v/>
      </c>
      <c r="H408" s="38" t="str">
        <f aca="false">IF(OR($A408="",G408=""),"",G408+Settings!$C$13)</f>
        <v/>
      </c>
      <c r="I408" s="38" t="str">
        <f aca="false">IF(H408="","",MAX(H408,DATE(LvYear,1,1)))</f>
        <v/>
      </c>
      <c r="J408" s="38" t="str">
        <f aca="false">IF($A408="","",IF('Employee List'!J408="",DATE(LvYear,12,31),MIN('Employee List'!J408,DATE(LvYear,12,31))))</f>
        <v/>
      </c>
      <c r="K408" s="39" t="str">
        <f aca="false">IF(OR(I408="",J408=""),"",MAX(0,J408-I408+1))</f>
        <v/>
      </c>
      <c r="L408" s="16" t="str">
        <f aca="false">IF($A408="","",IF(AND(ISNUMBER(K408),K408=0),0,Settings!$C$10))</f>
        <v/>
      </c>
      <c r="M408" s="16" t="str">
        <f aca="false">IF($A408="","",IF(AND(ISNUMBER(K408),K408=0),0,Settings!$C$11))</f>
        <v/>
      </c>
      <c r="N408" s="40"/>
      <c r="O408" s="16" t="str">
        <f aca="false">IF($A408="","",FLOOR(Settings!$C$12/365*N(K408),0.5))</f>
        <v/>
      </c>
      <c r="P408" s="16" t="str">
        <f aca="false">IF($A408="","",IF(I408="",N(N408),FLOOR(Settings!$C$12/365*MAX(0,MIN(LvAsOf,J408)-I408+1)+N(N408),0.5)))</f>
        <v/>
      </c>
      <c r="Q408" s="16" t="str">
        <f aca="false">IF($A408="","",Settings!$C$14)</f>
        <v/>
      </c>
      <c r="R408" s="16" t="str">
        <f aca="false">IF($A408="","",SUMIFS(Attendance!$AZ$6:$AZ$2405,Attendance!$B$6:$B$2405,$A408,Attendance!$A$6:$A$2405,"&gt;="&amp;DATE(LvYear,1,1),Attendance!$A$6:$A$2405,"&lt;="&amp;DATE(LvYear,12,31)))</f>
        <v/>
      </c>
      <c r="S408" s="16" t="str">
        <f aca="false">IF($A408="","",SUMIFS(Attendance!$AY$6:$AY$2405,Attendance!$B$6:$B$2405,$A408,Attendance!$A$6:$A$2405,"&gt;="&amp;DATE(LvYear,1,1),Attendance!$A$6:$A$2405,"&lt;="&amp;DATE(LvYear,12,31)))</f>
        <v/>
      </c>
      <c r="T408" s="16" t="str">
        <f aca="false">IF($A408="","",SUMIFS(Attendance!$AX$6:$AX$2405,Attendance!$B$6:$B$2405,$A408,Attendance!$A$6:$A$2405,"&gt;="&amp;DATE(LvYear,1,1),Attendance!$A$6:$A$2405,"&lt;="&amp;DATE(LvYear,12,31)))</f>
        <v/>
      </c>
      <c r="U408" s="16" t="str">
        <f aca="false">IF($A408="","",SUMIFS(Attendance!$AW$6:$AW$2405,Attendance!$B$6:$B$2405,$A408,Attendance!$A$6:$A$2405,"&gt;="&amp;DATE(LvYear,1,1),Attendance!$A$6:$A$2405,"&lt;="&amp;DATE(LvYear,12,31)))</f>
        <v/>
      </c>
      <c r="V408" s="16" t="str">
        <f aca="false">IF($A408="","",L408-R408)</f>
        <v/>
      </c>
      <c r="W408" s="16" t="str">
        <f aca="false">IF($A408="","",M408-S408)</f>
        <v/>
      </c>
      <c r="X408" s="16" t="str">
        <f aca="false">IF($A408="","",P408-T408)</f>
        <v/>
      </c>
      <c r="Y408" s="16" t="str">
        <f aca="false">IF($A408="","",Q408-U408)</f>
        <v/>
      </c>
      <c r="Z408" s="16" t="str">
        <f aca="false">IF($A408="","",V408+W408+X408)</f>
        <v/>
      </c>
      <c r="AA408" s="16" t="str">
        <f aca="false">IF($A408="","",O408+N(N408)-T408)</f>
        <v/>
      </c>
      <c r="AB408" s="8" t="str">
        <f aca="false">IF($A408="","","CL "&amp;V408&amp;" | SL "&amp;W408&amp;" | PL "&amp;X408&amp;" | TR "&amp;Y408)</f>
        <v/>
      </c>
      <c r="AC408" s="15" t="str">
        <f aca="false">IF($A408="","",IF(F408="Exited","EXITED",IF(AND(ISNUMBER(K408),K408=0),"NOT ELIGIBLE",IF(MIN(V408:X408)&lt;0,"OVER-USED",IF(Z408&lt;=Settings!$C$15,"LOW","OK")))))</f>
        <v/>
      </c>
      <c r="AD408" s="16" t="str">
        <f aca="false">IF(OR(AC408="OVER-USED",AC408="LOW"),COUNTIF(AC$6:AC408,"OVER-USED")+COUNTIF(AC$6:AC408,"LOW"),"")</f>
        <v/>
      </c>
    </row>
    <row r="409" customFormat="false" ht="15" hidden="false" customHeight="false" outlineLevel="0" collapsed="false">
      <c r="A409" s="8" t="str">
        <f aca="false">IF('Employee List'!B409="","",'Employee List'!B409)</f>
        <v/>
      </c>
      <c r="B409" s="8" t="str">
        <f aca="false">IF($A409="","",'Employee List'!C409)</f>
        <v/>
      </c>
      <c r="C409" s="8" t="str">
        <f aca="false">IF($A409="","",'Employee List'!E409&amp;"")</f>
        <v/>
      </c>
      <c r="D409" s="8" t="str">
        <f aca="false">IF($A409="","",'Employee List'!F409&amp;"")</f>
        <v/>
      </c>
      <c r="E409" s="8" t="str">
        <f aca="false">IF($A409="","",'Employee List'!G409&amp;"")</f>
        <v/>
      </c>
      <c r="F409" s="8" t="str">
        <f aca="false">IF($A409="","",'Employee List'!D409)</f>
        <v/>
      </c>
      <c r="G409" s="38" t="str">
        <f aca="false">IF($A409="","",IF('Employee List'!I409="","",'Employee List'!I409))</f>
        <v/>
      </c>
      <c r="H409" s="38" t="str">
        <f aca="false">IF(OR($A409="",G409=""),"",G409+Settings!$C$13)</f>
        <v/>
      </c>
      <c r="I409" s="38" t="str">
        <f aca="false">IF(H409="","",MAX(H409,DATE(LvYear,1,1)))</f>
        <v/>
      </c>
      <c r="J409" s="38" t="str">
        <f aca="false">IF($A409="","",IF('Employee List'!J409="",DATE(LvYear,12,31),MIN('Employee List'!J409,DATE(LvYear,12,31))))</f>
        <v/>
      </c>
      <c r="K409" s="39" t="str">
        <f aca="false">IF(OR(I409="",J409=""),"",MAX(0,J409-I409+1))</f>
        <v/>
      </c>
      <c r="L409" s="16" t="str">
        <f aca="false">IF($A409="","",IF(AND(ISNUMBER(K409),K409=0),0,Settings!$C$10))</f>
        <v/>
      </c>
      <c r="M409" s="16" t="str">
        <f aca="false">IF($A409="","",IF(AND(ISNUMBER(K409),K409=0),0,Settings!$C$11))</f>
        <v/>
      </c>
      <c r="N409" s="40"/>
      <c r="O409" s="16" t="str">
        <f aca="false">IF($A409="","",FLOOR(Settings!$C$12/365*N(K409),0.5))</f>
        <v/>
      </c>
      <c r="P409" s="16" t="str">
        <f aca="false">IF($A409="","",IF(I409="",N(N409),FLOOR(Settings!$C$12/365*MAX(0,MIN(LvAsOf,J409)-I409+1)+N(N409),0.5)))</f>
        <v/>
      </c>
      <c r="Q409" s="16" t="str">
        <f aca="false">IF($A409="","",Settings!$C$14)</f>
        <v/>
      </c>
      <c r="R409" s="16" t="str">
        <f aca="false">IF($A409="","",SUMIFS(Attendance!$AZ$6:$AZ$2405,Attendance!$B$6:$B$2405,$A409,Attendance!$A$6:$A$2405,"&gt;="&amp;DATE(LvYear,1,1),Attendance!$A$6:$A$2405,"&lt;="&amp;DATE(LvYear,12,31)))</f>
        <v/>
      </c>
      <c r="S409" s="16" t="str">
        <f aca="false">IF($A409="","",SUMIFS(Attendance!$AY$6:$AY$2405,Attendance!$B$6:$B$2405,$A409,Attendance!$A$6:$A$2405,"&gt;="&amp;DATE(LvYear,1,1),Attendance!$A$6:$A$2405,"&lt;="&amp;DATE(LvYear,12,31)))</f>
        <v/>
      </c>
      <c r="T409" s="16" t="str">
        <f aca="false">IF($A409="","",SUMIFS(Attendance!$AX$6:$AX$2405,Attendance!$B$6:$B$2405,$A409,Attendance!$A$6:$A$2405,"&gt;="&amp;DATE(LvYear,1,1),Attendance!$A$6:$A$2405,"&lt;="&amp;DATE(LvYear,12,31)))</f>
        <v/>
      </c>
      <c r="U409" s="16" t="str">
        <f aca="false">IF($A409="","",SUMIFS(Attendance!$AW$6:$AW$2405,Attendance!$B$6:$B$2405,$A409,Attendance!$A$6:$A$2405,"&gt;="&amp;DATE(LvYear,1,1),Attendance!$A$6:$A$2405,"&lt;="&amp;DATE(LvYear,12,31)))</f>
        <v/>
      </c>
      <c r="V409" s="16" t="str">
        <f aca="false">IF($A409="","",L409-R409)</f>
        <v/>
      </c>
      <c r="W409" s="16" t="str">
        <f aca="false">IF($A409="","",M409-S409)</f>
        <v/>
      </c>
      <c r="X409" s="16" t="str">
        <f aca="false">IF($A409="","",P409-T409)</f>
        <v/>
      </c>
      <c r="Y409" s="16" t="str">
        <f aca="false">IF($A409="","",Q409-U409)</f>
        <v/>
      </c>
      <c r="Z409" s="16" t="str">
        <f aca="false">IF($A409="","",V409+W409+X409)</f>
        <v/>
      </c>
      <c r="AA409" s="16" t="str">
        <f aca="false">IF($A409="","",O409+N(N409)-T409)</f>
        <v/>
      </c>
      <c r="AB409" s="8" t="str">
        <f aca="false">IF($A409="","","CL "&amp;V409&amp;" | SL "&amp;W409&amp;" | PL "&amp;X409&amp;" | TR "&amp;Y409)</f>
        <v/>
      </c>
      <c r="AC409" s="15" t="str">
        <f aca="false">IF($A409="","",IF(F409="Exited","EXITED",IF(AND(ISNUMBER(K409),K409=0),"NOT ELIGIBLE",IF(MIN(V409:X409)&lt;0,"OVER-USED",IF(Z409&lt;=Settings!$C$15,"LOW","OK")))))</f>
        <v/>
      </c>
      <c r="AD409" s="16" t="str">
        <f aca="false">IF(OR(AC409="OVER-USED",AC409="LOW"),COUNTIF(AC$6:AC409,"OVER-USED")+COUNTIF(AC$6:AC409,"LOW"),"")</f>
        <v/>
      </c>
    </row>
    <row r="410" customFormat="false" ht="15" hidden="false" customHeight="false" outlineLevel="0" collapsed="false">
      <c r="A410" s="8" t="str">
        <f aca="false">IF('Employee List'!B410="","",'Employee List'!B410)</f>
        <v/>
      </c>
      <c r="B410" s="8" t="str">
        <f aca="false">IF($A410="","",'Employee List'!C410)</f>
        <v/>
      </c>
      <c r="C410" s="8" t="str">
        <f aca="false">IF($A410="","",'Employee List'!E410&amp;"")</f>
        <v/>
      </c>
      <c r="D410" s="8" t="str">
        <f aca="false">IF($A410="","",'Employee List'!F410&amp;"")</f>
        <v/>
      </c>
      <c r="E410" s="8" t="str">
        <f aca="false">IF($A410="","",'Employee List'!G410&amp;"")</f>
        <v/>
      </c>
      <c r="F410" s="8" t="str">
        <f aca="false">IF($A410="","",'Employee List'!D410)</f>
        <v/>
      </c>
      <c r="G410" s="38" t="str">
        <f aca="false">IF($A410="","",IF('Employee List'!I410="","",'Employee List'!I410))</f>
        <v/>
      </c>
      <c r="H410" s="38" t="str">
        <f aca="false">IF(OR($A410="",G410=""),"",G410+Settings!$C$13)</f>
        <v/>
      </c>
      <c r="I410" s="38" t="str">
        <f aca="false">IF(H410="","",MAX(H410,DATE(LvYear,1,1)))</f>
        <v/>
      </c>
      <c r="J410" s="38" t="str">
        <f aca="false">IF($A410="","",IF('Employee List'!J410="",DATE(LvYear,12,31),MIN('Employee List'!J410,DATE(LvYear,12,31))))</f>
        <v/>
      </c>
      <c r="K410" s="39" t="str">
        <f aca="false">IF(OR(I410="",J410=""),"",MAX(0,J410-I410+1))</f>
        <v/>
      </c>
      <c r="L410" s="16" t="str">
        <f aca="false">IF($A410="","",IF(AND(ISNUMBER(K410),K410=0),0,Settings!$C$10))</f>
        <v/>
      </c>
      <c r="M410" s="16" t="str">
        <f aca="false">IF($A410="","",IF(AND(ISNUMBER(K410),K410=0),0,Settings!$C$11))</f>
        <v/>
      </c>
      <c r="N410" s="40"/>
      <c r="O410" s="16" t="str">
        <f aca="false">IF($A410="","",FLOOR(Settings!$C$12/365*N(K410),0.5))</f>
        <v/>
      </c>
      <c r="P410" s="16" t="str">
        <f aca="false">IF($A410="","",IF(I410="",N(N410),FLOOR(Settings!$C$12/365*MAX(0,MIN(LvAsOf,J410)-I410+1)+N(N410),0.5)))</f>
        <v/>
      </c>
      <c r="Q410" s="16" t="str">
        <f aca="false">IF($A410="","",Settings!$C$14)</f>
        <v/>
      </c>
      <c r="R410" s="16" t="str">
        <f aca="false">IF($A410="","",SUMIFS(Attendance!$AZ$6:$AZ$2405,Attendance!$B$6:$B$2405,$A410,Attendance!$A$6:$A$2405,"&gt;="&amp;DATE(LvYear,1,1),Attendance!$A$6:$A$2405,"&lt;="&amp;DATE(LvYear,12,31)))</f>
        <v/>
      </c>
      <c r="S410" s="16" t="str">
        <f aca="false">IF($A410="","",SUMIFS(Attendance!$AY$6:$AY$2405,Attendance!$B$6:$B$2405,$A410,Attendance!$A$6:$A$2405,"&gt;="&amp;DATE(LvYear,1,1),Attendance!$A$6:$A$2405,"&lt;="&amp;DATE(LvYear,12,31)))</f>
        <v/>
      </c>
      <c r="T410" s="16" t="str">
        <f aca="false">IF($A410="","",SUMIFS(Attendance!$AX$6:$AX$2405,Attendance!$B$6:$B$2405,$A410,Attendance!$A$6:$A$2405,"&gt;="&amp;DATE(LvYear,1,1),Attendance!$A$6:$A$2405,"&lt;="&amp;DATE(LvYear,12,31)))</f>
        <v/>
      </c>
      <c r="U410" s="16" t="str">
        <f aca="false">IF($A410="","",SUMIFS(Attendance!$AW$6:$AW$2405,Attendance!$B$6:$B$2405,$A410,Attendance!$A$6:$A$2405,"&gt;="&amp;DATE(LvYear,1,1),Attendance!$A$6:$A$2405,"&lt;="&amp;DATE(LvYear,12,31)))</f>
        <v/>
      </c>
      <c r="V410" s="16" t="str">
        <f aca="false">IF($A410="","",L410-R410)</f>
        <v/>
      </c>
      <c r="W410" s="16" t="str">
        <f aca="false">IF($A410="","",M410-S410)</f>
        <v/>
      </c>
      <c r="X410" s="16" t="str">
        <f aca="false">IF($A410="","",P410-T410)</f>
        <v/>
      </c>
      <c r="Y410" s="16" t="str">
        <f aca="false">IF($A410="","",Q410-U410)</f>
        <v/>
      </c>
      <c r="Z410" s="16" t="str">
        <f aca="false">IF($A410="","",V410+W410+X410)</f>
        <v/>
      </c>
      <c r="AA410" s="16" t="str">
        <f aca="false">IF($A410="","",O410+N(N410)-T410)</f>
        <v/>
      </c>
      <c r="AB410" s="8" t="str">
        <f aca="false">IF($A410="","","CL "&amp;V410&amp;" | SL "&amp;W410&amp;" | PL "&amp;X410&amp;" | TR "&amp;Y410)</f>
        <v/>
      </c>
      <c r="AC410" s="15" t="str">
        <f aca="false">IF($A410="","",IF(F410="Exited","EXITED",IF(AND(ISNUMBER(K410),K410=0),"NOT ELIGIBLE",IF(MIN(V410:X410)&lt;0,"OVER-USED",IF(Z410&lt;=Settings!$C$15,"LOW","OK")))))</f>
        <v/>
      </c>
      <c r="AD410" s="16" t="str">
        <f aca="false">IF(OR(AC410="OVER-USED",AC410="LOW"),COUNTIF(AC$6:AC410,"OVER-USED")+COUNTIF(AC$6:AC410,"LOW"),"")</f>
        <v/>
      </c>
    </row>
    <row r="411" customFormat="false" ht="15" hidden="false" customHeight="false" outlineLevel="0" collapsed="false">
      <c r="A411" s="8" t="str">
        <f aca="false">IF('Employee List'!B411="","",'Employee List'!B411)</f>
        <v/>
      </c>
      <c r="B411" s="8" t="str">
        <f aca="false">IF($A411="","",'Employee List'!C411)</f>
        <v/>
      </c>
      <c r="C411" s="8" t="str">
        <f aca="false">IF($A411="","",'Employee List'!E411&amp;"")</f>
        <v/>
      </c>
      <c r="D411" s="8" t="str">
        <f aca="false">IF($A411="","",'Employee List'!F411&amp;"")</f>
        <v/>
      </c>
      <c r="E411" s="8" t="str">
        <f aca="false">IF($A411="","",'Employee List'!G411&amp;"")</f>
        <v/>
      </c>
      <c r="F411" s="8" t="str">
        <f aca="false">IF($A411="","",'Employee List'!D411)</f>
        <v/>
      </c>
      <c r="G411" s="38" t="str">
        <f aca="false">IF($A411="","",IF('Employee List'!I411="","",'Employee List'!I411))</f>
        <v/>
      </c>
      <c r="H411" s="38" t="str">
        <f aca="false">IF(OR($A411="",G411=""),"",G411+Settings!$C$13)</f>
        <v/>
      </c>
      <c r="I411" s="38" t="str">
        <f aca="false">IF(H411="","",MAX(H411,DATE(LvYear,1,1)))</f>
        <v/>
      </c>
      <c r="J411" s="38" t="str">
        <f aca="false">IF($A411="","",IF('Employee List'!J411="",DATE(LvYear,12,31),MIN('Employee List'!J411,DATE(LvYear,12,31))))</f>
        <v/>
      </c>
      <c r="K411" s="39" t="str">
        <f aca="false">IF(OR(I411="",J411=""),"",MAX(0,J411-I411+1))</f>
        <v/>
      </c>
      <c r="L411" s="16" t="str">
        <f aca="false">IF($A411="","",IF(AND(ISNUMBER(K411),K411=0),0,Settings!$C$10))</f>
        <v/>
      </c>
      <c r="M411" s="16" t="str">
        <f aca="false">IF($A411="","",IF(AND(ISNUMBER(K411),K411=0),0,Settings!$C$11))</f>
        <v/>
      </c>
      <c r="N411" s="40"/>
      <c r="O411" s="16" t="str">
        <f aca="false">IF($A411="","",FLOOR(Settings!$C$12/365*N(K411),0.5))</f>
        <v/>
      </c>
      <c r="P411" s="16" t="str">
        <f aca="false">IF($A411="","",IF(I411="",N(N411),FLOOR(Settings!$C$12/365*MAX(0,MIN(LvAsOf,J411)-I411+1)+N(N411),0.5)))</f>
        <v/>
      </c>
      <c r="Q411" s="16" t="str">
        <f aca="false">IF($A411="","",Settings!$C$14)</f>
        <v/>
      </c>
      <c r="R411" s="16" t="str">
        <f aca="false">IF($A411="","",SUMIFS(Attendance!$AZ$6:$AZ$2405,Attendance!$B$6:$B$2405,$A411,Attendance!$A$6:$A$2405,"&gt;="&amp;DATE(LvYear,1,1),Attendance!$A$6:$A$2405,"&lt;="&amp;DATE(LvYear,12,31)))</f>
        <v/>
      </c>
      <c r="S411" s="16" t="str">
        <f aca="false">IF($A411="","",SUMIFS(Attendance!$AY$6:$AY$2405,Attendance!$B$6:$B$2405,$A411,Attendance!$A$6:$A$2405,"&gt;="&amp;DATE(LvYear,1,1),Attendance!$A$6:$A$2405,"&lt;="&amp;DATE(LvYear,12,31)))</f>
        <v/>
      </c>
      <c r="T411" s="16" t="str">
        <f aca="false">IF($A411="","",SUMIFS(Attendance!$AX$6:$AX$2405,Attendance!$B$6:$B$2405,$A411,Attendance!$A$6:$A$2405,"&gt;="&amp;DATE(LvYear,1,1),Attendance!$A$6:$A$2405,"&lt;="&amp;DATE(LvYear,12,31)))</f>
        <v/>
      </c>
      <c r="U411" s="16" t="str">
        <f aca="false">IF($A411="","",SUMIFS(Attendance!$AW$6:$AW$2405,Attendance!$B$6:$B$2405,$A411,Attendance!$A$6:$A$2405,"&gt;="&amp;DATE(LvYear,1,1),Attendance!$A$6:$A$2405,"&lt;="&amp;DATE(LvYear,12,31)))</f>
        <v/>
      </c>
      <c r="V411" s="16" t="str">
        <f aca="false">IF($A411="","",L411-R411)</f>
        <v/>
      </c>
      <c r="W411" s="16" t="str">
        <f aca="false">IF($A411="","",M411-S411)</f>
        <v/>
      </c>
      <c r="X411" s="16" t="str">
        <f aca="false">IF($A411="","",P411-T411)</f>
        <v/>
      </c>
      <c r="Y411" s="16" t="str">
        <f aca="false">IF($A411="","",Q411-U411)</f>
        <v/>
      </c>
      <c r="Z411" s="16" t="str">
        <f aca="false">IF($A411="","",V411+W411+X411)</f>
        <v/>
      </c>
      <c r="AA411" s="16" t="str">
        <f aca="false">IF($A411="","",O411+N(N411)-T411)</f>
        <v/>
      </c>
      <c r="AB411" s="8" t="str">
        <f aca="false">IF($A411="","","CL "&amp;V411&amp;" | SL "&amp;W411&amp;" | PL "&amp;X411&amp;" | TR "&amp;Y411)</f>
        <v/>
      </c>
      <c r="AC411" s="15" t="str">
        <f aca="false">IF($A411="","",IF(F411="Exited","EXITED",IF(AND(ISNUMBER(K411),K411=0),"NOT ELIGIBLE",IF(MIN(V411:X411)&lt;0,"OVER-USED",IF(Z411&lt;=Settings!$C$15,"LOW","OK")))))</f>
        <v/>
      </c>
      <c r="AD411" s="16" t="str">
        <f aca="false">IF(OR(AC411="OVER-USED",AC411="LOW"),COUNTIF(AC$6:AC411,"OVER-USED")+COUNTIF(AC$6:AC411,"LOW"),"")</f>
        <v/>
      </c>
    </row>
    <row r="412" customFormat="false" ht="15" hidden="false" customHeight="false" outlineLevel="0" collapsed="false">
      <c r="A412" s="8" t="str">
        <f aca="false">IF('Employee List'!B412="","",'Employee List'!B412)</f>
        <v/>
      </c>
      <c r="B412" s="8" t="str">
        <f aca="false">IF($A412="","",'Employee List'!C412)</f>
        <v/>
      </c>
      <c r="C412" s="8" t="str">
        <f aca="false">IF($A412="","",'Employee List'!E412&amp;"")</f>
        <v/>
      </c>
      <c r="D412" s="8" t="str">
        <f aca="false">IF($A412="","",'Employee List'!F412&amp;"")</f>
        <v/>
      </c>
      <c r="E412" s="8" t="str">
        <f aca="false">IF($A412="","",'Employee List'!G412&amp;"")</f>
        <v/>
      </c>
      <c r="F412" s="8" t="str">
        <f aca="false">IF($A412="","",'Employee List'!D412)</f>
        <v/>
      </c>
      <c r="G412" s="38" t="str">
        <f aca="false">IF($A412="","",IF('Employee List'!I412="","",'Employee List'!I412))</f>
        <v/>
      </c>
      <c r="H412" s="38" t="str">
        <f aca="false">IF(OR($A412="",G412=""),"",G412+Settings!$C$13)</f>
        <v/>
      </c>
      <c r="I412" s="38" t="str">
        <f aca="false">IF(H412="","",MAX(H412,DATE(LvYear,1,1)))</f>
        <v/>
      </c>
      <c r="J412" s="38" t="str">
        <f aca="false">IF($A412="","",IF('Employee List'!J412="",DATE(LvYear,12,31),MIN('Employee List'!J412,DATE(LvYear,12,31))))</f>
        <v/>
      </c>
      <c r="K412" s="39" t="str">
        <f aca="false">IF(OR(I412="",J412=""),"",MAX(0,J412-I412+1))</f>
        <v/>
      </c>
      <c r="L412" s="16" t="str">
        <f aca="false">IF($A412="","",IF(AND(ISNUMBER(K412),K412=0),0,Settings!$C$10))</f>
        <v/>
      </c>
      <c r="M412" s="16" t="str">
        <f aca="false">IF($A412="","",IF(AND(ISNUMBER(K412),K412=0),0,Settings!$C$11))</f>
        <v/>
      </c>
      <c r="N412" s="40"/>
      <c r="O412" s="16" t="str">
        <f aca="false">IF($A412="","",FLOOR(Settings!$C$12/365*N(K412),0.5))</f>
        <v/>
      </c>
      <c r="P412" s="16" t="str">
        <f aca="false">IF($A412="","",IF(I412="",N(N412),FLOOR(Settings!$C$12/365*MAX(0,MIN(LvAsOf,J412)-I412+1)+N(N412),0.5)))</f>
        <v/>
      </c>
      <c r="Q412" s="16" t="str">
        <f aca="false">IF($A412="","",Settings!$C$14)</f>
        <v/>
      </c>
      <c r="R412" s="16" t="str">
        <f aca="false">IF($A412="","",SUMIFS(Attendance!$AZ$6:$AZ$2405,Attendance!$B$6:$B$2405,$A412,Attendance!$A$6:$A$2405,"&gt;="&amp;DATE(LvYear,1,1),Attendance!$A$6:$A$2405,"&lt;="&amp;DATE(LvYear,12,31)))</f>
        <v/>
      </c>
      <c r="S412" s="16" t="str">
        <f aca="false">IF($A412="","",SUMIFS(Attendance!$AY$6:$AY$2405,Attendance!$B$6:$B$2405,$A412,Attendance!$A$6:$A$2405,"&gt;="&amp;DATE(LvYear,1,1),Attendance!$A$6:$A$2405,"&lt;="&amp;DATE(LvYear,12,31)))</f>
        <v/>
      </c>
      <c r="T412" s="16" t="str">
        <f aca="false">IF($A412="","",SUMIFS(Attendance!$AX$6:$AX$2405,Attendance!$B$6:$B$2405,$A412,Attendance!$A$6:$A$2405,"&gt;="&amp;DATE(LvYear,1,1),Attendance!$A$6:$A$2405,"&lt;="&amp;DATE(LvYear,12,31)))</f>
        <v/>
      </c>
      <c r="U412" s="16" t="str">
        <f aca="false">IF($A412="","",SUMIFS(Attendance!$AW$6:$AW$2405,Attendance!$B$6:$B$2405,$A412,Attendance!$A$6:$A$2405,"&gt;="&amp;DATE(LvYear,1,1),Attendance!$A$6:$A$2405,"&lt;="&amp;DATE(LvYear,12,31)))</f>
        <v/>
      </c>
      <c r="V412" s="16" t="str">
        <f aca="false">IF($A412="","",L412-R412)</f>
        <v/>
      </c>
      <c r="W412" s="16" t="str">
        <f aca="false">IF($A412="","",M412-S412)</f>
        <v/>
      </c>
      <c r="X412" s="16" t="str">
        <f aca="false">IF($A412="","",P412-T412)</f>
        <v/>
      </c>
      <c r="Y412" s="16" t="str">
        <f aca="false">IF($A412="","",Q412-U412)</f>
        <v/>
      </c>
      <c r="Z412" s="16" t="str">
        <f aca="false">IF($A412="","",V412+W412+X412)</f>
        <v/>
      </c>
      <c r="AA412" s="16" t="str">
        <f aca="false">IF($A412="","",O412+N(N412)-T412)</f>
        <v/>
      </c>
      <c r="AB412" s="8" t="str">
        <f aca="false">IF($A412="","","CL "&amp;V412&amp;" | SL "&amp;W412&amp;" | PL "&amp;X412&amp;" | TR "&amp;Y412)</f>
        <v/>
      </c>
      <c r="AC412" s="15" t="str">
        <f aca="false">IF($A412="","",IF(F412="Exited","EXITED",IF(AND(ISNUMBER(K412),K412=0),"NOT ELIGIBLE",IF(MIN(V412:X412)&lt;0,"OVER-USED",IF(Z412&lt;=Settings!$C$15,"LOW","OK")))))</f>
        <v/>
      </c>
      <c r="AD412" s="16" t="str">
        <f aca="false">IF(OR(AC412="OVER-USED",AC412="LOW"),COUNTIF(AC$6:AC412,"OVER-USED")+COUNTIF(AC$6:AC412,"LOW"),"")</f>
        <v/>
      </c>
    </row>
    <row r="413" customFormat="false" ht="15" hidden="false" customHeight="false" outlineLevel="0" collapsed="false">
      <c r="A413" s="8" t="str">
        <f aca="false">IF('Employee List'!B413="","",'Employee List'!B413)</f>
        <v/>
      </c>
      <c r="B413" s="8" t="str">
        <f aca="false">IF($A413="","",'Employee List'!C413)</f>
        <v/>
      </c>
      <c r="C413" s="8" t="str">
        <f aca="false">IF($A413="","",'Employee List'!E413&amp;"")</f>
        <v/>
      </c>
      <c r="D413" s="8" t="str">
        <f aca="false">IF($A413="","",'Employee List'!F413&amp;"")</f>
        <v/>
      </c>
      <c r="E413" s="8" t="str">
        <f aca="false">IF($A413="","",'Employee List'!G413&amp;"")</f>
        <v/>
      </c>
      <c r="F413" s="8" t="str">
        <f aca="false">IF($A413="","",'Employee List'!D413)</f>
        <v/>
      </c>
      <c r="G413" s="38" t="str">
        <f aca="false">IF($A413="","",IF('Employee List'!I413="","",'Employee List'!I413))</f>
        <v/>
      </c>
      <c r="H413" s="38" t="str">
        <f aca="false">IF(OR($A413="",G413=""),"",G413+Settings!$C$13)</f>
        <v/>
      </c>
      <c r="I413" s="38" t="str">
        <f aca="false">IF(H413="","",MAX(H413,DATE(LvYear,1,1)))</f>
        <v/>
      </c>
      <c r="J413" s="38" t="str">
        <f aca="false">IF($A413="","",IF('Employee List'!J413="",DATE(LvYear,12,31),MIN('Employee List'!J413,DATE(LvYear,12,31))))</f>
        <v/>
      </c>
      <c r="K413" s="39" t="str">
        <f aca="false">IF(OR(I413="",J413=""),"",MAX(0,J413-I413+1))</f>
        <v/>
      </c>
      <c r="L413" s="16" t="str">
        <f aca="false">IF($A413="","",IF(AND(ISNUMBER(K413),K413=0),0,Settings!$C$10))</f>
        <v/>
      </c>
      <c r="M413" s="16" t="str">
        <f aca="false">IF($A413="","",IF(AND(ISNUMBER(K413),K413=0),0,Settings!$C$11))</f>
        <v/>
      </c>
      <c r="N413" s="40"/>
      <c r="O413" s="16" t="str">
        <f aca="false">IF($A413="","",FLOOR(Settings!$C$12/365*N(K413),0.5))</f>
        <v/>
      </c>
      <c r="P413" s="16" t="str">
        <f aca="false">IF($A413="","",IF(I413="",N(N413),FLOOR(Settings!$C$12/365*MAX(0,MIN(LvAsOf,J413)-I413+1)+N(N413),0.5)))</f>
        <v/>
      </c>
      <c r="Q413" s="16" t="str">
        <f aca="false">IF($A413="","",Settings!$C$14)</f>
        <v/>
      </c>
      <c r="R413" s="16" t="str">
        <f aca="false">IF($A413="","",SUMIFS(Attendance!$AZ$6:$AZ$2405,Attendance!$B$6:$B$2405,$A413,Attendance!$A$6:$A$2405,"&gt;="&amp;DATE(LvYear,1,1),Attendance!$A$6:$A$2405,"&lt;="&amp;DATE(LvYear,12,31)))</f>
        <v/>
      </c>
      <c r="S413" s="16" t="str">
        <f aca="false">IF($A413="","",SUMIFS(Attendance!$AY$6:$AY$2405,Attendance!$B$6:$B$2405,$A413,Attendance!$A$6:$A$2405,"&gt;="&amp;DATE(LvYear,1,1),Attendance!$A$6:$A$2405,"&lt;="&amp;DATE(LvYear,12,31)))</f>
        <v/>
      </c>
      <c r="T413" s="16" t="str">
        <f aca="false">IF($A413="","",SUMIFS(Attendance!$AX$6:$AX$2405,Attendance!$B$6:$B$2405,$A413,Attendance!$A$6:$A$2405,"&gt;="&amp;DATE(LvYear,1,1),Attendance!$A$6:$A$2405,"&lt;="&amp;DATE(LvYear,12,31)))</f>
        <v/>
      </c>
      <c r="U413" s="16" t="str">
        <f aca="false">IF($A413="","",SUMIFS(Attendance!$AW$6:$AW$2405,Attendance!$B$6:$B$2405,$A413,Attendance!$A$6:$A$2405,"&gt;="&amp;DATE(LvYear,1,1),Attendance!$A$6:$A$2405,"&lt;="&amp;DATE(LvYear,12,31)))</f>
        <v/>
      </c>
      <c r="V413" s="16" t="str">
        <f aca="false">IF($A413="","",L413-R413)</f>
        <v/>
      </c>
      <c r="W413" s="16" t="str">
        <f aca="false">IF($A413="","",M413-S413)</f>
        <v/>
      </c>
      <c r="X413" s="16" t="str">
        <f aca="false">IF($A413="","",P413-T413)</f>
        <v/>
      </c>
      <c r="Y413" s="16" t="str">
        <f aca="false">IF($A413="","",Q413-U413)</f>
        <v/>
      </c>
      <c r="Z413" s="16" t="str">
        <f aca="false">IF($A413="","",V413+W413+X413)</f>
        <v/>
      </c>
      <c r="AA413" s="16" t="str">
        <f aca="false">IF($A413="","",O413+N(N413)-T413)</f>
        <v/>
      </c>
      <c r="AB413" s="8" t="str">
        <f aca="false">IF($A413="","","CL "&amp;V413&amp;" | SL "&amp;W413&amp;" | PL "&amp;X413&amp;" | TR "&amp;Y413)</f>
        <v/>
      </c>
      <c r="AC413" s="15" t="str">
        <f aca="false">IF($A413="","",IF(F413="Exited","EXITED",IF(AND(ISNUMBER(K413),K413=0),"NOT ELIGIBLE",IF(MIN(V413:X413)&lt;0,"OVER-USED",IF(Z413&lt;=Settings!$C$15,"LOW","OK")))))</f>
        <v/>
      </c>
      <c r="AD413" s="16" t="str">
        <f aca="false">IF(OR(AC413="OVER-USED",AC413="LOW"),COUNTIF(AC$6:AC413,"OVER-USED")+COUNTIF(AC$6:AC413,"LOW"),"")</f>
        <v/>
      </c>
    </row>
    <row r="414" customFormat="false" ht="15" hidden="false" customHeight="false" outlineLevel="0" collapsed="false">
      <c r="A414" s="8" t="str">
        <f aca="false">IF('Employee List'!B414="","",'Employee List'!B414)</f>
        <v/>
      </c>
      <c r="B414" s="8" t="str">
        <f aca="false">IF($A414="","",'Employee List'!C414)</f>
        <v/>
      </c>
      <c r="C414" s="8" t="str">
        <f aca="false">IF($A414="","",'Employee List'!E414&amp;"")</f>
        <v/>
      </c>
      <c r="D414" s="8" t="str">
        <f aca="false">IF($A414="","",'Employee List'!F414&amp;"")</f>
        <v/>
      </c>
      <c r="E414" s="8" t="str">
        <f aca="false">IF($A414="","",'Employee List'!G414&amp;"")</f>
        <v/>
      </c>
      <c r="F414" s="8" t="str">
        <f aca="false">IF($A414="","",'Employee List'!D414)</f>
        <v/>
      </c>
      <c r="G414" s="38" t="str">
        <f aca="false">IF($A414="","",IF('Employee List'!I414="","",'Employee List'!I414))</f>
        <v/>
      </c>
      <c r="H414" s="38" t="str">
        <f aca="false">IF(OR($A414="",G414=""),"",G414+Settings!$C$13)</f>
        <v/>
      </c>
      <c r="I414" s="38" t="str">
        <f aca="false">IF(H414="","",MAX(H414,DATE(LvYear,1,1)))</f>
        <v/>
      </c>
      <c r="J414" s="38" t="str">
        <f aca="false">IF($A414="","",IF('Employee List'!J414="",DATE(LvYear,12,31),MIN('Employee List'!J414,DATE(LvYear,12,31))))</f>
        <v/>
      </c>
      <c r="K414" s="39" t="str">
        <f aca="false">IF(OR(I414="",J414=""),"",MAX(0,J414-I414+1))</f>
        <v/>
      </c>
      <c r="L414" s="16" t="str">
        <f aca="false">IF($A414="","",IF(AND(ISNUMBER(K414),K414=0),0,Settings!$C$10))</f>
        <v/>
      </c>
      <c r="M414" s="16" t="str">
        <f aca="false">IF($A414="","",IF(AND(ISNUMBER(K414),K414=0),0,Settings!$C$11))</f>
        <v/>
      </c>
      <c r="N414" s="40"/>
      <c r="O414" s="16" t="str">
        <f aca="false">IF($A414="","",FLOOR(Settings!$C$12/365*N(K414),0.5))</f>
        <v/>
      </c>
      <c r="P414" s="16" t="str">
        <f aca="false">IF($A414="","",IF(I414="",N(N414),FLOOR(Settings!$C$12/365*MAX(0,MIN(LvAsOf,J414)-I414+1)+N(N414),0.5)))</f>
        <v/>
      </c>
      <c r="Q414" s="16" t="str">
        <f aca="false">IF($A414="","",Settings!$C$14)</f>
        <v/>
      </c>
      <c r="R414" s="16" t="str">
        <f aca="false">IF($A414="","",SUMIFS(Attendance!$AZ$6:$AZ$2405,Attendance!$B$6:$B$2405,$A414,Attendance!$A$6:$A$2405,"&gt;="&amp;DATE(LvYear,1,1),Attendance!$A$6:$A$2405,"&lt;="&amp;DATE(LvYear,12,31)))</f>
        <v/>
      </c>
      <c r="S414" s="16" t="str">
        <f aca="false">IF($A414="","",SUMIFS(Attendance!$AY$6:$AY$2405,Attendance!$B$6:$B$2405,$A414,Attendance!$A$6:$A$2405,"&gt;="&amp;DATE(LvYear,1,1),Attendance!$A$6:$A$2405,"&lt;="&amp;DATE(LvYear,12,31)))</f>
        <v/>
      </c>
      <c r="T414" s="16" t="str">
        <f aca="false">IF($A414="","",SUMIFS(Attendance!$AX$6:$AX$2405,Attendance!$B$6:$B$2405,$A414,Attendance!$A$6:$A$2405,"&gt;="&amp;DATE(LvYear,1,1),Attendance!$A$6:$A$2405,"&lt;="&amp;DATE(LvYear,12,31)))</f>
        <v/>
      </c>
      <c r="U414" s="16" t="str">
        <f aca="false">IF($A414="","",SUMIFS(Attendance!$AW$6:$AW$2405,Attendance!$B$6:$B$2405,$A414,Attendance!$A$6:$A$2405,"&gt;="&amp;DATE(LvYear,1,1),Attendance!$A$6:$A$2405,"&lt;="&amp;DATE(LvYear,12,31)))</f>
        <v/>
      </c>
      <c r="V414" s="16" t="str">
        <f aca="false">IF($A414="","",L414-R414)</f>
        <v/>
      </c>
      <c r="W414" s="16" t="str">
        <f aca="false">IF($A414="","",M414-S414)</f>
        <v/>
      </c>
      <c r="X414" s="16" t="str">
        <f aca="false">IF($A414="","",P414-T414)</f>
        <v/>
      </c>
      <c r="Y414" s="16" t="str">
        <f aca="false">IF($A414="","",Q414-U414)</f>
        <v/>
      </c>
      <c r="Z414" s="16" t="str">
        <f aca="false">IF($A414="","",V414+W414+X414)</f>
        <v/>
      </c>
      <c r="AA414" s="16" t="str">
        <f aca="false">IF($A414="","",O414+N(N414)-T414)</f>
        <v/>
      </c>
      <c r="AB414" s="8" t="str">
        <f aca="false">IF($A414="","","CL "&amp;V414&amp;" | SL "&amp;W414&amp;" | PL "&amp;X414&amp;" | TR "&amp;Y414)</f>
        <v/>
      </c>
      <c r="AC414" s="15" t="str">
        <f aca="false">IF($A414="","",IF(F414="Exited","EXITED",IF(AND(ISNUMBER(K414),K414=0),"NOT ELIGIBLE",IF(MIN(V414:X414)&lt;0,"OVER-USED",IF(Z414&lt;=Settings!$C$15,"LOW","OK")))))</f>
        <v/>
      </c>
      <c r="AD414" s="16" t="str">
        <f aca="false">IF(OR(AC414="OVER-USED",AC414="LOW"),COUNTIF(AC$6:AC414,"OVER-USED")+COUNTIF(AC$6:AC414,"LOW"),"")</f>
        <v/>
      </c>
    </row>
    <row r="415" customFormat="false" ht="15" hidden="false" customHeight="false" outlineLevel="0" collapsed="false">
      <c r="A415" s="8" t="str">
        <f aca="false">IF('Employee List'!B415="","",'Employee List'!B415)</f>
        <v/>
      </c>
      <c r="B415" s="8" t="str">
        <f aca="false">IF($A415="","",'Employee List'!C415)</f>
        <v/>
      </c>
      <c r="C415" s="8" t="str">
        <f aca="false">IF($A415="","",'Employee List'!E415&amp;"")</f>
        <v/>
      </c>
      <c r="D415" s="8" t="str">
        <f aca="false">IF($A415="","",'Employee List'!F415&amp;"")</f>
        <v/>
      </c>
      <c r="E415" s="8" t="str">
        <f aca="false">IF($A415="","",'Employee List'!G415&amp;"")</f>
        <v/>
      </c>
      <c r="F415" s="8" t="str">
        <f aca="false">IF($A415="","",'Employee List'!D415)</f>
        <v/>
      </c>
      <c r="G415" s="38" t="str">
        <f aca="false">IF($A415="","",IF('Employee List'!I415="","",'Employee List'!I415))</f>
        <v/>
      </c>
      <c r="H415" s="38" t="str">
        <f aca="false">IF(OR($A415="",G415=""),"",G415+Settings!$C$13)</f>
        <v/>
      </c>
      <c r="I415" s="38" t="str">
        <f aca="false">IF(H415="","",MAX(H415,DATE(LvYear,1,1)))</f>
        <v/>
      </c>
      <c r="J415" s="38" t="str">
        <f aca="false">IF($A415="","",IF('Employee List'!J415="",DATE(LvYear,12,31),MIN('Employee List'!J415,DATE(LvYear,12,31))))</f>
        <v/>
      </c>
      <c r="K415" s="39" t="str">
        <f aca="false">IF(OR(I415="",J415=""),"",MAX(0,J415-I415+1))</f>
        <v/>
      </c>
      <c r="L415" s="16" t="str">
        <f aca="false">IF($A415="","",IF(AND(ISNUMBER(K415),K415=0),0,Settings!$C$10))</f>
        <v/>
      </c>
      <c r="M415" s="16" t="str">
        <f aca="false">IF($A415="","",IF(AND(ISNUMBER(K415),K415=0),0,Settings!$C$11))</f>
        <v/>
      </c>
      <c r="N415" s="40"/>
      <c r="O415" s="16" t="str">
        <f aca="false">IF($A415="","",FLOOR(Settings!$C$12/365*N(K415),0.5))</f>
        <v/>
      </c>
      <c r="P415" s="16" t="str">
        <f aca="false">IF($A415="","",IF(I415="",N(N415),FLOOR(Settings!$C$12/365*MAX(0,MIN(LvAsOf,J415)-I415+1)+N(N415),0.5)))</f>
        <v/>
      </c>
      <c r="Q415" s="16" t="str">
        <f aca="false">IF($A415="","",Settings!$C$14)</f>
        <v/>
      </c>
      <c r="R415" s="16" t="str">
        <f aca="false">IF($A415="","",SUMIFS(Attendance!$AZ$6:$AZ$2405,Attendance!$B$6:$B$2405,$A415,Attendance!$A$6:$A$2405,"&gt;="&amp;DATE(LvYear,1,1),Attendance!$A$6:$A$2405,"&lt;="&amp;DATE(LvYear,12,31)))</f>
        <v/>
      </c>
      <c r="S415" s="16" t="str">
        <f aca="false">IF($A415="","",SUMIFS(Attendance!$AY$6:$AY$2405,Attendance!$B$6:$B$2405,$A415,Attendance!$A$6:$A$2405,"&gt;="&amp;DATE(LvYear,1,1),Attendance!$A$6:$A$2405,"&lt;="&amp;DATE(LvYear,12,31)))</f>
        <v/>
      </c>
      <c r="T415" s="16" t="str">
        <f aca="false">IF($A415="","",SUMIFS(Attendance!$AX$6:$AX$2405,Attendance!$B$6:$B$2405,$A415,Attendance!$A$6:$A$2405,"&gt;="&amp;DATE(LvYear,1,1),Attendance!$A$6:$A$2405,"&lt;="&amp;DATE(LvYear,12,31)))</f>
        <v/>
      </c>
      <c r="U415" s="16" t="str">
        <f aca="false">IF($A415="","",SUMIFS(Attendance!$AW$6:$AW$2405,Attendance!$B$6:$B$2405,$A415,Attendance!$A$6:$A$2405,"&gt;="&amp;DATE(LvYear,1,1),Attendance!$A$6:$A$2405,"&lt;="&amp;DATE(LvYear,12,31)))</f>
        <v/>
      </c>
      <c r="V415" s="16" t="str">
        <f aca="false">IF($A415="","",L415-R415)</f>
        <v/>
      </c>
      <c r="W415" s="16" t="str">
        <f aca="false">IF($A415="","",M415-S415)</f>
        <v/>
      </c>
      <c r="X415" s="16" t="str">
        <f aca="false">IF($A415="","",P415-T415)</f>
        <v/>
      </c>
      <c r="Y415" s="16" t="str">
        <f aca="false">IF($A415="","",Q415-U415)</f>
        <v/>
      </c>
      <c r="Z415" s="16" t="str">
        <f aca="false">IF($A415="","",V415+W415+X415)</f>
        <v/>
      </c>
      <c r="AA415" s="16" t="str">
        <f aca="false">IF($A415="","",O415+N(N415)-T415)</f>
        <v/>
      </c>
      <c r="AB415" s="8" t="str">
        <f aca="false">IF($A415="","","CL "&amp;V415&amp;" | SL "&amp;W415&amp;" | PL "&amp;X415&amp;" | TR "&amp;Y415)</f>
        <v/>
      </c>
      <c r="AC415" s="15" t="str">
        <f aca="false">IF($A415="","",IF(F415="Exited","EXITED",IF(AND(ISNUMBER(K415),K415=0),"NOT ELIGIBLE",IF(MIN(V415:X415)&lt;0,"OVER-USED",IF(Z415&lt;=Settings!$C$15,"LOW","OK")))))</f>
        <v/>
      </c>
      <c r="AD415" s="16" t="str">
        <f aca="false">IF(OR(AC415="OVER-USED",AC415="LOW"),COUNTIF(AC$6:AC415,"OVER-USED")+COUNTIF(AC$6:AC415,"LOW"),"")</f>
        <v/>
      </c>
    </row>
    <row r="416" customFormat="false" ht="15" hidden="false" customHeight="false" outlineLevel="0" collapsed="false">
      <c r="A416" s="8" t="str">
        <f aca="false">IF('Employee List'!B416="","",'Employee List'!B416)</f>
        <v/>
      </c>
      <c r="B416" s="8" t="str">
        <f aca="false">IF($A416="","",'Employee List'!C416)</f>
        <v/>
      </c>
      <c r="C416" s="8" t="str">
        <f aca="false">IF($A416="","",'Employee List'!E416&amp;"")</f>
        <v/>
      </c>
      <c r="D416" s="8" t="str">
        <f aca="false">IF($A416="","",'Employee List'!F416&amp;"")</f>
        <v/>
      </c>
      <c r="E416" s="8" t="str">
        <f aca="false">IF($A416="","",'Employee List'!G416&amp;"")</f>
        <v/>
      </c>
      <c r="F416" s="8" t="str">
        <f aca="false">IF($A416="","",'Employee List'!D416)</f>
        <v/>
      </c>
      <c r="G416" s="38" t="str">
        <f aca="false">IF($A416="","",IF('Employee List'!I416="","",'Employee List'!I416))</f>
        <v/>
      </c>
      <c r="H416" s="38" t="str">
        <f aca="false">IF(OR($A416="",G416=""),"",G416+Settings!$C$13)</f>
        <v/>
      </c>
      <c r="I416" s="38" t="str">
        <f aca="false">IF(H416="","",MAX(H416,DATE(LvYear,1,1)))</f>
        <v/>
      </c>
      <c r="J416" s="38" t="str">
        <f aca="false">IF($A416="","",IF('Employee List'!J416="",DATE(LvYear,12,31),MIN('Employee List'!J416,DATE(LvYear,12,31))))</f>
        <v/>
      </c>
      <c r="K416" s="39" t="str">
        <f aca="false">IF(OR(I416="",J416=""),"",MAX(0,J416-I416+1))</f>
        <v/>
      </c>
      <c r="L416" s="16" t="str">
        <f aca="false">IF($A416="","",IF(AND(ISNUMBER(K416),K416=0),0,Settings!$C$10))</f>
        <v/>
      </c>
      <c r="M416" s="16" t="str">
        <f aca="false">IF($A416="","",IF(AND(ISNUMBER(K416),K416=0),0,Settings!$C$11))</f>
        <v/>
      </c>
      <c r="N416" s="40"/>
      <c r="O416" s="16" t="str">
        <f aca="false">IF($A416="","",FLOOR(Settings!$C$12/365*N(K416),0.5))</f>
        <v/>
      </c>
      <c r="P416" s="16" t="str">
        <f aca="false">IF($A416="","",IF(I416="",N(N416),FLOOR(Settings!$C$12/365*MAX(0,MIN(LvAsOf,J416)-I416+1)+N(N416),0.5)))</f>
        <v/>
      </c>
      <c r="Q416" s="16" t="str">
        <f aca="false">IF($A416="","",Settings!$C$14)</f>
        <v/>
      </c>
      <c r="R416" s="16" t="str">
        <f aca="false">IF($A416="","",SUMIFS(Attendance!$AZ$6:$AZ$2405,Attendance!$B$6:$B$2405,$A416,Attendance!$A$6:$A$2405,"&gt;="&amp;DATE(LvYear,1,1),Attendance!$A$6:$A$2405,"&lt;="&amp;DATE(LvYear,12,31)))</f>
        <v/>
      </c>
      <c r="S416" s="16" t="str">
        <f aca="false">IF($A416="","",SUMIFS(Attendance!$AY$6:$AY$2405,Attendance!$B$6:$B$2405,$A416,Attendance!$A$6:$A$2405,"&gt;="&amp;DATE(LvYear,1,1),Attendance!$A$6:$A$2405,"&lt;="&amp;DATE(LvYear,12,31)))</f>
        <v/>
      </c>
      <c r="T416" s="16" t="str">
        <f aca="false">IF($A416="","",SUMIFS(Attendance!$AX$6:$AX$2405,Attendance!$B$6:$B$2405,$A416,Attendance!$A$6:$A$2405,"&gt;="&amp;DATE(LvYear,1,1),Attendance!$A$6:$A$2405,"&lt;="&amp;DATE(LvYear,12,31)))</f>
        <v/>
      </c>
      <c r="U416" s="16" t="str">
        <f aca="false">IF($A416="","",SUMIFS(Attendance!$AW$6:$AW$2405,Attendance!$B$6:$B$2405,$A416,Attendance!$A$6:$A$2405,"&gt;="&amp;DATE(LvYear,1,1),Attendance!$A$6:$A$2405,"&lt;="&amp;DATE(LvYear,12,31)))</f>
        <v/>
      </c>
      <c r="V416" s="16" t="str">
        <f aca="false">IF($A416="","",L416-R416)</f>
        <v/>
      </c>
      <c r="W416" s="16" t="str">
        <f aca="false">IF($A416="","",M416-S416)</f>
        <v/>
      </c>
      <c r="X416" s="16" t="str">
        <f aca="false">IF($A416="","",P416-T416)</f>
        <v/>
      </c>
      <c r="Y416" s="16" t="str">
        <f aca="false">IF($A416="","",Q416-U416)</f>
        <v/>
      </c>
      <c r="Z416" s="16" t="str">
        <f aca="false">IF($A416="","",V416+W416+X416)</f>
        <v/>
      </c>
      <c r="AA416" s="16" t="str">
        <f aca="false">IF($A416="","",O416+N(N416)-T416)</f>
        <v/>
      </c>
      <c r="AB416" s="8" t="str">
        <f aca="false">IF($A416="","","CL "&amp;V416&amp;" | SL "&amp;W416&amp;" | PL "&amp;X416&amp;" | TR "&amp;Y416)</f>
        <v/>
      </c>
      <c r="AC416" s="15" t="str">
        <f aca="false">IF($A416="","",IF(F416="Exited","EXITED",IF(AND(ISNUMBER(K416),K416=0),"NOT ELIGIBLE",IF(MIN(V416:X416)&lt;0,"OVER-USED",IF(Z416&lt;=Settings!$C$15,"LOW","OK")))))</f>
        <v/>
      </c>
      <c r="AD416" s="16" t="str">
        <f aca="false">IF(OR(AC416="OVER-USED",AC416="LOW"),COUNTIF(AC$6:AC416,"OVER-USED")+COUNTIF(AC$6:AC416,"LOW"),"")</f>
        <v/>
      </c>
    </row>
    <row r="417" customFormat="false" ht="15" hidden="false" customHeight="false" outlineLevel="0" collapsed="false">
      <c r="A417" s="8" t="str">
        <f aca="false">IF('Employee List'!B417="","",'Employee List'!B417)</f>
        <v/>
      </c>
      <c r="B417" s="8" t="str">
        <f aca="false">IF($A417="","",'Employee List'!C417)</f>
        <v/>
      </c>
      <c r="C417" s="8" t="str">
        <f aca="false">IF($A417="","",'Employee List'!E417&amp;"")</f>
        <v/>
      </c>
      <c r="D417" s="8" t="str">
        <f aca="false">IF($A417="","",'Employee List'!F417&amp;"")</f>
        <v/>
      </c>
      <c r="E417" s="8" t="str">
        <f aca="false">IF($A417="","",'Employee List'!G417&amp;"")</f>
        <v/>
      </c>
      <c r="F417" s="8" t="str">
        <f aca="false">IF($A417="","",'Employee List'!D417)</f>
        <v/>
      </c>
      <c r="G417" s="38" t="str">
        <f aca="false">IF($A417="","",IF('Employee List'!I417="","",'Employee List'!I417))</f>
        <v/>
      </c>
      <c r="H417" s="38" t="str">
        <f aca="false">IF(OR($A417="",G417=""),"",G417+Settings!$C$13)</f>
        <v/>
      </c>
      <c r="I417" s="38" t="str">
        <f aca="false">IF(H417="","",MAX(H417,DATE(LvYear,1,1)))</f>
        <v/>
      </c>
      <c r="J417" s="38" t="str">
        <f aca="false">IF($A417="","",IF('Employee List'!J417="",DATE(LvYear,12,31),MIN('Employee List'!J417,DATE(LvYear,12,31))))</f>
        <v/>
      </c>
      <c r="K417" s="39" t="str">
        <f aca="false">IF(OR(I417="",J417=""),"",MAX(0,J417-I417+1))</f>
        <v/>
      </c>
      <c r="L417" s="16" t="str">
        <f aca="false">IF($A417="","",IF(AND(ISNUMBER(K417),K417=0),0,Settings!$C$10))</f>
        <v/>
      </c>
      <c r="M417" s="16" t="str">
        <f aca="false">IF($A417="","",IF(AND(ISNUMBER(K417),K417=0),0,Settings!$C$11))</f>
        <v/>
      </c>
      <c r="N417" s="40"/>
      <c r="O417" s="16" t="str">
        <f aca="false">IF($A417="","",FLOOR(Settings!$C$12/365*N(K417),0.5))</f>
        <v/>
      </c>
      <c r="P417" s="16" t="str">
        <f aca="false">IF($A417="","",IF(I417="",N(N417),FLOOR(Settings!$C$12/365*MAX(0,MIN(LvAsOf,J417)-I417+1)+N(N417),0.5)))</f>
        <v/>
      </c>
      <c r="Q417" s="16" t="str">
        <f aca="false">IF($A417="","",Settings!$C$14)</f>
        <v/>
      </c>
      <c r="R417" s="16" t="str">
        <f aca="false">IF($A417="","",SUMIFS(Attendance!$AZ$6:$AZ$2405,Attendance!$B$6:$B$2405,$A417,Attendance!$A$6:$A$2405,"&gt;="&amp;DATE(LvYear,1,1),Attendance!$A$6:$A$2405,"&lt;="&amp;DATE(LvYear,12,31)))</f>
        <v/>
      </c>
      <c r="S417" s="16" t="str">
        <f aca="false">IF($A417="","",SUMIFS(Attendance!$AY$6:$AY$2405,Attendance!$B$6:$B$2405,$A417,Attendance!$A$6:$A$2405,"&gt;="&amp;DATE(LvYear,1,1),Attendance!$A$6:$A$2405,"&lt;="&amp;DATE(LvYear,12,31)))</f>
        <v/>
      </c>
      <c r="T417" s="16" t="str">
        <f aca="false">IF($A417="","",SUMIFS(Attendance!$AX$6:$AX$2405,Attendance!$B$6:$B$2405,$A417,Attendance!$A$6:$A$2405,"&gt;="&amp;DATE(LvYear,1,1),Attendance!$A$6:$A$2405,"&lt;="&amp;DATE(LvYear,12,31)))</f>
        <v/>
      </c>
      <c r="U417" s="16" t="str">
        <f aca="false">IF($A417="","",SUMIFS(Attendance!$AW$6:$AW$2405,Attendance!$B$6:$B$2405,$A417,Attendance!$A$6:$A$2405,"&gt;="&amp;DATE(LvYear,1,1),Attendance!$A$6:$A$2405,"&lt;="&amp;DATE(LvYear,12,31)))</f>
        <v/>
      </c>
      <c r="V417" s="16" t="str">
        <f aca="false">IF($A417="","",L417-R417)</f>
        <v/>
      </c>
      <c r="W417" s="16" t="str">
        <f aca="false">IF($A417="","",M417-S417)</f>
        <v/>
      </c>
      <c r="X417" s="16" t="str">
        <f aca="false">IF($A417="","",P417-T417)</f>
        <v/>
      </c>
      <c r="Y417" s="16" t="str">
        <f aca="false">IF($A417="","",Q417-U417)</f>
        <v/>
      </c>
      <c r="Z417" s="16" t="str">
        <f aca="false">IF($A417="","",V417+W417+X417)</f>
        <v/>
      </c>
      <c r="AA417" s="16" t="str">
        <f aca="false">IF($A417="","",O417+N(N417)-T417)</f>
        <v/>
      </c>
      <c r="AB417" s="8" t="str">
        <f aca="false">IF($A417="","","CL "&amp;V417&amp;" | SL "&amp;W417&amp;" | PL "&amp;X417&amp;" | TR "&amp;Y417)</f>
        <v/>
      </c>
      <c r="AC417" s="15" t="str">
        <f aca="false">IF($A417="","",IF(F417="Exited","EXITED",IF(AND(ISNUMBER(K417),K417=0),"NOT ELIGIBLE",IF(MIN(V417:X417)&lt;0,"OVER-USED",IF(Z417&lt;=Settings!$C$15,"LOW","OK")))))</f>
        <v/>
      </c>
      <c r="AD417" s="16" t="str">
        <f aca="false">IF(OR(AC417="OVER-USED",AC417="LOW"),COUNTIF(AC$6:AC417,"OVER-USED")+COUNTIF(AC$6:AC417,"LOW"),"")</f>
        <v/>
      </c>
    </row>
    <row r="418" customFormat="false" ht="15" hidden="false" customHeight="false" outlineLevel="0" collapsed="false">
      <c r="A418" s="8" t="str">
        <f aca="false">IF('Employee List'!B418="","",'Employee List'!B418)</f>
        <v/>
      </c>
      <c r="B418" s="8" t="str">
        <f aca="false">IF($A418="","",'Employee List'!C418)</f>
        <v/>
      </c>
      <c r="C418" s="8" t="str">
        <f aca="false">IF($A418="","",'Employee List'!E418&amp;"")</f>
        <v/>
      </c>
      <c r="D418" s="8" t="str">
        <f aca="false">IF($A418="","",'Employee List'!F418&amp;"")</f>
        <v/>
      </c>
      <c r="E418" s="8" t="str">
        <f aca="false">IF($A418="","",'Employee List'!G418&amp;"")</f>
        <v/>
      </c>
      <c r="F418" s="8" t="str">
        <f aca="false">IF($A418="","",'Employee List'!D418)</f>
        <v/>
      </c>
      <c r="G418" s="38" t="str">
        <f aca="false">IF($A418="","",IF('Employee List'!I418="","",'Employee List'!I418))</f>
        <v/>
      </c>
      <c r="H418" s="38" t="str">
        <f aca="false">IF(OR($A418="",G418=""),"",G418+Settings!$C$13)</f>
        <v/>
      </c>
      <c r="I418" s="38" t="str">
        <f aca="false">IF(H418="","",MAX(H418,DATE(LvYear,1,1)))</f>
        <v/>
      </c>
      <c r="J418" s="38" t="str">
        <f aca="false">IF($A418="","",IF('Employee List'!J418="",DATE(LvYear,12,31),MIN('Employee List'!J418,DATE(LvYear,12,31))))</f>
        <v/>
      </c>
      <c r="K418" s="39" t="str">
        <f aca="false">IF(OR(I418="",J418=""),"",MAX(0,J418-I418+1))</f>
        <v/>
      </c>
      <c r="L418" s="16" t="str">
        <f aca="false">IF($A418="","",IF(AND(ISNUMBER(K418),K418=0),0,Settings!$C$10))</f>
        <v/>
      </c>
      <c r="M418" s="16" t="str">
        <f aca="false">IF($A418="","",IF(AND(ISNUMBER(K418),K418=0),0,Settings!$C$11))</f>
        <v/>
      </c>
      <c r="N418" s="40"/>
      <c r="O418" s="16" t="str">
        <f aca="false">IF($A418="","",FLOOR(Settings!$C$12/365*N(K418),0.5))</f>
        <v/>
      </c>
      <c r="P418" s="16" t="str">
        <f aca="false">IF($A418="","",IF(I418="",N(N418),FLOOR(Settings!$C$12/365*MAX(0,MIN(LvAsOf,J418)-I418+1)+N(N418),0.5)))</f>
        <v/>
      </c>
      <c r="Q418" s="16" t="str">
        <f aca="false">IF($A418="","",Settings!$C$14)</f>
        <v/>
      </c>
      <c r="R418" s="16" t="str">
        <f aca="false">IF($A418="","",SUMIFS(Attendance!$AZ$6:$AZ$2405,Attendance!$B$6:$B$2405,$A418,Attendance!$A$6:$A$2405,"&gt;="&amp;DATE(LvYear,1,1),Attendance!$A$6:$A$2405,"&lt;="&amp;DATE(LvYear,12,31)))</f>
        <v/>
      </c>
      <c r="S418" s="16" t="str">
        <f aca="false">IF($A418="","",SUMIFS(Attendance!$AY$6:$AY$2405,Attendance!$B$6:$B$2405,$A418,Attendance!$A$6:$A$2405,"&gt;="&amp;DATE(LvYear,1,1),Attendance!$A$6:$A$2405,"&lt;="&amp;DATE(LvYear,12,31)))</f>
        <v/>
      </c>
      <c r="T418" s="16" t="str">
        <f aca="false">IF($A418="","",SUMIFS(Attendance!$AX$6:$AX$2405,Attendance!$B$6:$B$2405,$A418,Attendance!$A$6:$A$2405,"&gt;="&amp;DATE(LvYear,1,1),Attendance!$A$6:$A$2405,"&lt;="&amp;DATE(LvYear,12,31)))</f>
        <v/>
      </c>
      <c r="U418" s="16" t="str">
        <f aca="false">IF($A418="","",SUMIFS(Attendance!$AW$6:$AW$2405,Attendance!$B$6:$B$2405,$A418,Attendance!$A$6:$A$2405,"&gt;="&amp;DATE(LvYear,1,1),Attendance!$A$6:$A$2405,"&lt;="&amp;DATE(LvYear,12,31)))</f>
        <v/>
      </c>
      <c r="V418" s="16" t="str">
        <f aca="false">IF($A418="","",L418-R418)</f>
        <v/>
      </c>
      <c r="W418" s="16" t="str">
        <f aca="false">IF($A418="","",M418-S418)</f>
        <v/>
      </c>
      <c r="X418" s="16" t="str">
        <f aca="false">IF($A418="","",P418-T418)</f>
        <v/>
      </c>
      <c r="Y418" s="16" t="str">
        <f aca="false">IF($A418="","",Q418-U418)</f>
        <v/>
      </c>
      <c r="Z418" s="16" t="str">
        <f aca="false">IF($A418="","",V418+W418+X418)</f>
        <v/>
      </c>
      <c r="AA418" s="16" t="str">
        <f aca="false">IF($A418="","",O418+N(N418)-T418)</f>
        <v/>
      </c>
      <c r="AB418" s="8" t="str">
        <f aca="false">IF($A418="","","CL "&amp;V418&amp;" | SL "&amp;W418&amp;" | PL "&amp;X418&amp;" | TR "&amp;Y418)</f>
        <v/>
      </c>
      <c r="AC418" s="15" t="str">
        <f aca="false">IF($A418="","",IF(F418="Exited","EXITED",IF(AND(ISNUMBER(K418),K418=0),"NOT ELIGIBLE",IF(MIN(V418:X418)&lt;0,"OVER-USED",IF(Z418&lt;=Settings!$C$15,"LOW","OK")))))</f>
        <v/>
      </c>
      <c r="AD418" s="16" t="str">
        <f aca="false">IF(OR(AC418="OVER-USED",AC418="LOW"),COUNTIF(AC$6:AC418,"OVER-USED")+COUNTIF(AC$6:AC418,"LOW"),"")</f>
        <v/>
      </c>
    </row>
    <row r="419" customFormat="false" ht="15" hidden="false" customHeight="false" outlineLevel="0" collapsed="false">
      <c r="A419" s="8" t="str">
        <f aca="false">IF('Employee List'!B419="","",'Employee List'!B419)</f>
        <v/>
      </c>
      <c r="B419" s="8" t="str">
        <f aca="false">IF($A419="","",'Employee List'!C419)</f>
        <v/>
      </c>
      <c r="C419" s="8" t="str">
        <f aca="false">IF($A419="","",'Employee List'!E419&amp;"")</f>
        <v/>
      </c>
      <c r="D419" s="8" t="str">
        <f aca="false">IF($A419="","",'Employee List'!F419&amp;"")</f>
        <v/>
      </c>
      <c r="E419" s="8" t="str">
        <f aca="false">IF($A419="","",'Employee List'!G419&amp;"")</f>
        <v/>
      </c>
      <c r="F419" s="8" t="str">
        <f aca="false">IF($A419="","",'Employee List'!D419)</f>
        <v/>
      </c>
      <c r="G419" s="38" t="str">
        <f aca="false">IF($A419="","",IF('Employee List'!I419="","",'Employee List'!I419))</f>
        <v/>
      </c>
      <c r="H419" s="38" t="str">
        <f aca="false">IF(OR($A419="",G419=""),"",G419+Settings!$C$13)</f>
        <v/>
      </c>
      <c r="I419" s="38" t="str">
        <f aca="false">IF(H419="","",MAX(H419,DATE(LvYear,1,1)))</f>
        <v/>
      </c>
      <c r="J419" s="38" t="str">
        <f aca="false">IF($A419="","",IF('Employee List'!J419="",DATE(LvYear,12,31),MIN('Employee List'!J419,DATE(LvYear,12,31))))</f>
        <v/>
      </c>
      <c r="K419" s="39" t="str">
        <f aca="false">IF(OR(I419="",J419=""),"",MAX(0,J419-I419+1))</f>
        <v/>
      </c>
      <c r="L419" s="16" t="str">
        <f aca="false">IF($A419="","",IF(AND(ISNUMBER(K419),K419=0),0,Settings!$C$10))</f>
        <v/>
      </c>
      <c r="M419" s="16" t="str">
        <f aca="false">IF($A419="","",IF(AND(ISNUMBER(K419),K419=0),0,Settings!$C$11))</f>
        <v/>
      </c>
      <c r="N419" s="40"/>
      <c r="O419" s="16" t="str">
        <f aca="false">IF($A419="","",FLOOR(Settings!$C$12/365*N(K419),0.5))</f>
        <v/>
      </c>
      <c r="P419" s="16" t="str">
        <f aca="false">IF($A419="","",IF(I419="",N(N419),FLOOR(Settings!$C$12/365*MAX(0,MIN(LvAsOf,J419)-I419+1)+N(N419),0.5)))</f>
        <v/>
      </c>
      <c r="Q419" s="16" t="str">
        <f aca="false">IF($A419="","",Settings!$C$14)</f>
        <v/>
      </c>
      <c r="R419" s="16" t="str">
        <f aca="false">IF($A419="","",SUMIFS(Attendance!$AZ$6:$AZ$2405,Attendance!$B$6:$B$2405,$A419,Attendance!$A$6:$A$2405,"&gt;="&amp;DATE(LvYear,1,1),Attendance!$A$6:$A$2405,"&lt;="&amp;DATE(LvYear,12,31)))</f>
        <v/>
      </c>
      <c r="S419" s="16" t="str">
        <f aca="false">IF($A419="","",SUMIFS(Attendance!$AY$6:$AY$2405,Attendance!$B$6:$B$2405,$A419,Attendance!$A$6:$A$2405,"&gt;="&amp;DATE(LvYear,1,1),Attendance!$A$6:$A$2405,"&lt;="&amp;DATE(LvYear,12,31)))</f>
        <v/>
      </c>
      <c r="T419" s="16" t="str">
        <f aca="false">IF($A419="","",SUMIFS(Attendance!$AX$6:$AX$2405,Attendance!$B$6:$B$2405,$A419,Attendance!$A$6:$A$2405,"&gt;="&amp;DATE(LvYear,1,1),Attendance!$A$6:$A$2405,"&lt;="&amp;DATE(LvYear,12,31)))</f>
        <v/>
      </c>
      <c r="U419" s="16" t="str">
        <f aca="false">IF($A419="","",SUMIFS(Attendance!$AW$6:$AW$2405,Attendance!$B$6:$B$2405,$A419,Attendance!$A$6:$A$2405,"&gt;="&amp;DATE(LvYear,1,1),Attendance!$A$6:$A$2405,"&lt;="&amp;DATE(LvYear,12,31)))</f>
        <v/>
      </c>
      <c r="V419" s="16" t="str">
        <f aca="false">IF($A419="","",L419-R419)</f>
        <v/>
      </c>
      <c r="W419" s="16" t="str">
        <f aca="false">IF($A419="","",M419-S419)</f>
        <v/>
      </c>
      <c r="X419" s="16" t="str">
        <f aca="false">IF($A419="","",P419-T419)</f>
        <v/>
      </c>
      <c r="Y419" s="16" t="str">
        <f aca="false">IF($A419="","",Q419-U419)</f>
        <v/>
      </c>
      <c r="Z419" s="16" t="str">
        <f aca="false">IF($A419="","",V419+W419+X419)</f>
        <v/>
      </c>
      <c r="AA419" s="16" t="str">
        <f aca="false">IF($A419="","",O419+N(N419)-T419)</f>
        <v/>
      </c>
      <c r="AB419" s="8" t="str">
        <f aca="false">IF($A419="","","CL "&amp;V419&amp;" | SL "&amp;W419&amp;" | PL "&amp;X419&amp;" | TR "&amp;Y419)</f>
        <v/>
      </c>
      <c r="AC419" s="15" t="str">
        <f aca="false">IF($A419="","",IF(F419="Exited","EXITED",IF(AND(ISNUMBER(K419),K419=0),"NOT ELIGIBLE",IF(MIN(V419:X419)&lt;0,"OVER-USED",IF(Z419&lt;=Settings!$C$15,"LOW","OK")))))</f>
        <v/>
      </c>
      <c r="AD419" s="16" t="str">
        <f aca="false">IF(OR(AC419="OVER-USED",AC419="LOW"),COUNTIF(AC$6:AC419,"OVER-USED")+COUNTIF(AC$6:AC419,"LOW"),"")</f>
        <v/>
      </c>
    </row>
    <row r="420" customFormat="false" ht="15" hidden="false" customHeight="false" outlineLevel="0" collapsed="false">
      <c r="A420" s="8" t="str">
        <f aca="false">IF('Employee List'!B420="","",'Employee List'!B420)</f>
        <v/>
      </c>
      <c r="B420" s="8" t="str">
        <f aca="false">IF($A420="","",'Employee List'!C420)</f>
        <v/>
      </c>
      <c r="C420" s="8" t="str">
        <f aca="false">IF($A420="","",'Employee List'!E420&amp;"")</f>
        <v/>
      </c>
      <c r="D420" s="8" t="str">
        <f aca="false">IF($A420="","",'Employee List'!F420&amp;"")</f>
        <v/>
      </c>
      <c r="E420" s="8" t="str">
        <f aca="false">IF($A420="","",'Employee List'!G420&amp;"")</f>
        <v/>
      </c>
      <c r="F420" s="8" t="str">
        <f aca="false">IF($A420="","",'Employee List'!D420)</f>
        <v/>
      </c>
      <c r="G420" s="38" t="str">
        <f aca="false">IF($A420="","",IF('Employee List'!I420="","",'Employee List'!I420))</f>
        <v/>
      </c>
      <c r="H420" s="38" t="str">
        <f aca="false">IF(OR($A420="",G420=""),"",G420+Settings!$C$13)</f>
        <v/>
      </c>
      <c r="I420" s="38" t="str">
        <f aca="false">IF(H420="","",MAX(H420,DATE(LvYear,1,1)))</f>
        <v/>
      </c>
      <c r="J420" s="38" t="str">
        <f aca="false">IF($A420="","",IF('Employee List'!J420="",DATE(LvYear,12,31),MIN('Employee List'!J420,DATE(LvYear,12,31))))</f>
        <v/>
      </c>
      <c r="K420" s="39" t="str">
        <f aca="false">IF(OR(I420="",J420=""),"",MAX(0,J420-I420+1))</f>
        <v/>
      </c>
      <c r="L420" s="16" t="str">
        <f aca="false">IF($A420="","",IF(AND(ISNUMBER(K420),K420=0),0,Settings!$C$10))</f>
        <v/>
      </c>
      <c r="M420" s="16" t="str">
        <f aca="false">IF($A420="","",IF(AND(ISNUMBER(K420),K420=0),0,Settings!$C$11))</f>
        <v/>
      </c>
      <c r="N420" s="40"/>
      <c r="O420" s="16" t="str">
        <f aca="false">IF($A420="","",FLOOR(Settings!$C$12/365*N(K420),0.5))</f>
        <v/>
      </c>
      <c r="P420" s="16" t="str">
        <f aca="false">IF($A420="","",IF(I420="",N(N420),FLOOR(Settings!$C$12/365*MAX(0,MIN(LvAsOf,J420)-I420+1)+N(N420),0.5)))</f>
        <v/>
      </c>
      <c r="Q420" s="16" t="str">
        <f aca="false">IF($A420="","",Settings!$C$14)</f>
        <v/>
      </c>
      <c r="R420" s="16" t="str">
        <f aca="false">IF($A420="","",SUMIFS(Attendance!$AZ$6:$AZ$2405,Attendance!$B$6:$B$2405,$A420,Attendance!$A$6:$A$2405,"&gt;="&amp;DATE(LvYear,1,1),Attendance!$A$6:$A$2405,"&lt;="&amp;DATE(LvYear,12,31)))</f>
        <v/>
      </c>
      <c r="S420" s="16" t="str">
        <f aca="false">IF($A420="","",SUMIFS(Attendance!$AY$6:$AY$2405,Attendance!$B$6:$B$2405,$A420,Attendance!$A$6:$A$2405,"&gt;="&amp;DATE(LvYear,1,1),Attendance!$A$6:$A$2405,"&lt;="&amp;DATE(LvYear,12,31)))</f>
        <v/>
      </c>
      <c r="T420" s="16" t="str">
        <f aca="false">IF($A420="","",SUMIFS(Attendance!$AX$6:$AX$2405,Attendance!$B$6:$B$2405,$A420,Attendance!$A$6:$A$2405,"&gt;="&amp;DATE(LvYear,1,1),Attendance!$A$6:$A$2405,"&lt;="&amp;DATE(LvYear,12,31)))</f>
        <v/>
      </c>
      <c r="U420" s="16" t="str">
        <f aca="false">IF($A420="","",SUMIFS(Attendance!$AW$6:$AW$2405,Attendance!$B$6:$B$2405,$A420,Attendance!$A$6:$A$2405,"&gt;="&amp;DATE(LvYear,1,1),Attendance!$A$6:$A$2405,"&lt;="&amp;DATE(LvYear,12,31)))</f>
        <v/>
      </c>
      <c r="V420" s="16" t="str">
        <f aca="false">IF($A420="","",L420-R420)</f>
        <v/>
      </c>
      <c r="W420" s="16" t="str">
        <f aca="false">IF($A420="","",M420-S420)</f>
        <v/>
      </c>
      <c r="X420" s="16" t="str">
        <f aca="false">IF($A420="","",P420-T420)</f>
        <v/>
      </c>
      <c r="Y420" s="16" t="str">
        <f aca="false">IF($A420="","",Q420-U420)</f>
        <v/>
      </c>
      <c r="Z420" s="16" t="str">
        <f aca="false">IF($A420="","",V420+W420+X420)</f>
        <v/>
      </c>
      <c r="AA420" s="16" t="str">
        <f aca="false">IF($A420="","",O420+N(N420)-T420)</f>
        <v/>
      </c>
      <c r="AB420" s="8" t="str">
        <f aca="false">IF($A420="","","CL "&amp;V420&amp;" | SL "&amp;W420&amp;" | PL "&amp;X420&amp;" | TR "&amp;Y420)</f>
        <v/>
      </c>
      <c r="AC420" s="15" t="str">
        <f aca="false">IF($A420="","",IF(F420="Exited","EXITED",IF(AND(ISNUMBER(K420),K420=0),"NOT ELIGIBLE",IF(MIN(V420:X420)&lt;0,"OVER-USED",IF(Z420&lt;=Settings!$C$15,"LOW","OK")))))</f>
        <v/>
      </c>
      <c r="AD420" s="16" t="str">
        <f aca="false">IF(OR(AC420="OVER-USED",AC420="LOW"),COUNTIF(AC$6:AC420,"OVER-USED")+COUNTIF(AC$6:AC420,"LOW"),"")</f>
        <v/>
      </c>
    </row>
    <row r="421" customFormat="false" ht="15" hidden="false" customHeight="false" outlineLevel="0" collapsed="false">
      <c r="A421" s="8" t="str">
        <f aca="false">IF('Employee List'!B421="","",'Employee List'!B421)</f>
        <v/>
      </c>
      <c r="B421" s="8" t="str">
        <f aca="false">IF($A421="","",'Employee List'!C421)</f>
        <v/>
      </c>
      <c r="C421" s="8" t="str">
        <f aca="false">IF($A421="","",'Employee List'!E421&amp;"")</f>
        <v/>
      </c>
      <c r="D421" s="8" t="str">
        <f aca="false">IF($A421="","",'Employee List'!F421&amp;"")</f>
        <v/>
      </c>
      <c r="E421" s="8" t="str">
        <f aca="false">IF($A421="","",'Employee List'!G421&amp;"")</f>
        <v/>
      </c>
      <c r="F421" s="8" t="str">
        <f aca="false">IF($A421="","",'Employee List'!D421)</f>
        <v/>
      </c>
      <c r="G421" s="38" t="str">
        <f aca="false">IF($A421="","",IF('Employee List'!I421="","",'Employee List'!I421))</f>
        <v/>
      </c>
      <c r="H421" s="38" t="str">
        <f aca="false">IF(OR($A421="",G421=""),"",G421+Settings!$C$13)</f>
        <v/>
      </c>
      <c r="I421" s="38" t="str">
        <f aca="false">IF(H421="","",MAX(H421,DATE(LvYear,1,1)))</f>
        <v/>
      </c>
      <c r="J421" s="38" t="str">
        <f aca="false">IF($A421="","",IF('Employee List'!J421="",DATE(LvYear,12,31),MIN('Employee List'!J421,DATE(LvYear,12,31))))</f>
        <v/>
      </c>
      <c r="K421" s="39" t="str">
        <f aca="false">IF(OR(I421="",J421=""),"",MAX(0,J421-I421+1))</f>
        <v/>
      </c>
      <c r="L421" s="16" t="str">
        <f aca="false">IF($A421="","",IF(AND(ISNUMBER(K421),K421=0),0,Settings!$C$10))</f>
        <v/>
      </c>
      <c r="M421" s="16" t="str">
        <f aca="false">IF($A421="","",IF(AND(ISNUMBER(K421),K421=0),0,Settings!$C$11))</f>
        <v/>
      </c>
      <c r="N421" s="40"/>
      <c r="O421" s="16" t="str">
        <f aca="false">IF($A421="","",FLOOR(Settings!$C$12/365*N(K421),0.5))</f>
        <v/>
      </c>
      <c r="P421" s="16" t="str">
        <f aca="false">IF($A421="","",IF(I421="",N(N421),FLOOR(Settings!$C$12/365*MAX(0,MIN(LvAsOf,J421)-I421+1)+N(N421),0.5)))</f>
        <v/>
      </c>
      <c r="Q421" s="16" t="str">
        <f aca="false">IF($A421="","",Settings!$C$14)</f>
        <v/>
      </c>
      <c r="R421" s="16" t="str">
        <f aca="false">IF($A421="","",SUMIFS(Attendance!$AZ$6:$AZ$2405,Attendance!$B$6:$B$2405,$A421,Attendance!$A$6:$A$2405,"&gt;="&amp;DATE(LvYear,1,1),Attendance!$A$6:$A$2405,"&lt;="&amp;DATE(LvYear,12,31)))</f>
        <v/>
      </c>
      <c r="S421" s="16" t="str">
        <f aca="false">IF($A421="","",SUMIFS(Attendance!$AY$6:$AY$2405,Attendance!$B$6:$B$2405,$A421,Attendance!$A$6:$A$2405,"&gt;="&amp;DATE(LvYear,1,1),Attendance!$A$6:$A$2405,"&lt;="&amp;DATE(LvYear,12,31)))</f>
        <v/>
      </c>
      <c r="T421" s="16" t="str">
        <f aca="false">IF($A421="","",SUMIFS(Attendance!$AX$6:$AX$2405,Attendance!$B$6:$B$2405,$A421,Attendance!$A$6:$A$2405,"&gt;="&amp;DATE(LvYear,1,1),Attendance!$A$6:$A$2405,"&lt;="&amp;DATE(LvYear,12,31)))</f>
        <v/>
      </c>
      <c r="U421" s="16" t="str">
        <f aca="false">IF($A421="","",SUMIFS(Attendance!$AW$6:$AW$2405,Attendance!$B$6:$B$2405,$A421,Attendance!$A$6:$A$2405,"&gt;="&amp;DATE(LvYear,1,1),Attendance!$A$6:$A$2405,"&lt;="&amp;DATE(LvYear,12,31)))</f>
        <v/>
      </c>
      <c r="V421" s="16" t="str">
        <f aca="false">IF($A421="","",L421-R421)</f>
        <v/>
      </c>
      <c r="W421" s="16" t="str">
        <f aca="false">IF($A421="","",M421-S421)</f>
        <v/>
      </c>
      <c r="X421" s="16" t="str">
        <f aca="false">IF($A421="","",P421-T421)</f>
        <v/>
      </c>
      <c r="Y421" s="16" t="str">
        <f aca="false">IF($A421="","",Q421-U421)</f>
        <v/>
      </c>
      <c r="Z421" s="16" t="str">
        <f aca="false">IF($A421="","",V421+W421+X421)</f>
        <v/>
      </c>
      <c r="AA421" s="16" t="str">
        <f aca="false">IF($A421="","",O421+N(N421)-T421)</f>
        <v/>
      </c>
      <c r="AB421" s="8" t="str">
        <f aca="false">IF($A421="","","CL "&amp;V421&amp;" | SL "&amp;W421&amp;" | PL "&amp;X421&amp;" | TR "&amp;Y421)</f>
        <v/>
      </c>
      <c r="AC421" s="15" t="str">
        <f aca="false">IF($A421="","",IF(F421="Exited","EXITED",IF(AND(ISNUMBER(K421),K421=0),"NOT ELIGIBLE",IF(MIN(V421:X421)&lt;0,"OVER-USED",IF(Z421&lt;=Settings!$C$15,"LOW","OK")))))</f>
        <v/>
      </c>
      <c r="AD421" s="16" t="str">
        <f aca="false">IF(OR(AC421="OVER-USED",AC421="LOW"),COUNTIF(AC$6:AC421,"OVER-USED")+COUNTIF(AC$6:AC421,"LOW"),"")</f>
        <v/>
      </c>
    </row>
    <row r="422" customFormat="false" ht="15" hidden="false" customHeight="false" outlineLevel="0" collapsed="false">
      <c r="A422" s="8" t="str">
        <f aca="false">IF('Employee List'!B422="","",'Employee List'!B422)</f>
        <v/>
      </c>
      <c r="B422" s="8" t="str">
        <f aca="false">IF($A422="","",'Employee List'!C422)</f>
        <v/>
      </c>
      <c r="C422" s="8" t="str">
        <f aca="false">IF($A422="","",'Employee List'!E422&amp;"")</f>
        <v/>
      </c>
      <c r="D422" s="8" t="str">
        <f aca="false">IF($A422="","",'Employee List'!F422&amp;"")</f>
        <v/>
      </c>
      <c r="E422" s="8" t="str">
        <f aca="false">IF($A422="","",'Employee List'!G422&amp;"")</f>
        <v/>
      </c>
      <c r="F422" s="8" t="str">
        <f aca="false">IF($A422="","",'Employee List'!D422)</f>
        <v/>
      </c>
      <c r="G422" s="38" t="str">
        <f aca="false">IF($A422="","",IF('Employee List'!I422="","",'Employee List'!I422))</f>
        <v/>
      </c>
      <c r="H422" s="38" t="str">
        <f aca="false">IF(OR($A422="",G422=""),"",G422+Settings!$C$13)</f>
        <v/>
      </c>
      <c r="I422" s="38" t="str">
        <f aca="false">IF(H422="","",MAX(H422,DATE(LvYear,1,1)))</f>
        <v/>
      </c>
      <c r="J422" s="38" t="str">
        <f aca="false">IF($A422="","",IF('Employee List'!J422="",DATE(LvYear,12,31),MIN('Employee List'!J422,DATE(LvYear,12,31))))</f>
        <v/>
      </c>
      <c r="K422" s="39" t="str">
        <f aca="false">IF(OR(I422="",J422=""),"",MAX(0,J422-I422+1))</f>
        <v/>
      </c>
      <c r="L422" s="16" t="str">
        <f aca="false">IF($A422="","",IF(AND(ISNUMBER(K422),K422=0),0,Settings!$C$10))</f>
        <v/>
      </c>
      <c r="M422" s="16" t="str">
        <f aca="false">IF($A422="","",IF(AND(ISNUMBER(K422),K422=0),0,Settings!$C$11))</f>
        <v/>
      </c>
      <c r="N422" s="40"/>
      <c r="O422" s="16" t="str">
        <f aca="false">IF($A422="","",FLOOR(Settings!$C$12/365*N(K422),0.5))</f>
        <v/>
      </c>
      <c r="P422" s="16" t="str">
        <f aca="false">IF($A422="","",IF(I422="",N(N422),FLOOR(Settings!$C$12/365*MAX(0,MIN(LvAsOf,J422)-I422+1)+N(N422),0.5)))</f>
        <v/>
      </c>
      <c r="Q422" s="16" t="str">
        <f aca="false">IF($A422="","",Settings!$C$14)</f>
        <v/>
      </c>
      <c r="R422" s="16" t="str">
        <f aca="false">IF($A422="","",SUMIFS(Attendance!$AZ$6:$AZ$2405,Attendance!$B$6:$B$2405,$A422,Attendance!$A$6:$A$2405,"&gt;="&amp;DATE(LvYear,1,1),Attendance!$A$6:$A$2405,"&lt;="&amp;DATE(LvYear,12,31)))</f>
        <v/>
      </c>
      <c r="S422" s="16" t="str">
        <f aca="false">IF($A422="","",SUMIFS(Attendance!$AY$6:$AY$2405,Attendance!$B$6:$B$2405,$A422,Attendance!$A$6:$A$2405,"&gt;="&amp;DATE(LvYear,1,1),Attendance!$A$6:$A$2405,"&lt;="&amp;DATE(LvYear,12,31)))</f>
        <v/>
      </c>
      <c r="T422" s="16" t="str">
        <f aca="false">IF($A422="","",SUMIFS(Attendance!$AX$6:$AX$2405,Attendance!$B$6:$B$2405,$A422,Attendance!$A$6:$A$2405,"&gt;="&amp;DATE(LvYear,1,1),Attendance!$A$6:$A$2405,"&lt;="&amp;DATE(LvYear,12,31)))</f>
        <v/>
      </c>
      <c r="U422" s="16" t="str">
        <f aca="false">IF($A422="","",SUMIFS(Attendance!$AW$6:$AW$2405,Attendance!$B$6:$B$2405,$A422,Attendance!$A$6:$A$2405,"&gt;="&amp;DATE(LvYear,1,1),Attendance!$A$6:$A$2405,"&lt;="&amp;DATE(LvYear,12,31)))</f>
        <v/>
      </c>
      <c r="V422" s="16" t="str">
        <f aca="false">IF($A422="","",L422-R422)</f>
        <v/>
      </c>
      <c r="W422" s="16" t="str">
        <f aca="false">IF($A422="","",M422-S422)</f>
        <v/>
      </c>
      <c r="X422" s="16" t="str">
        <f aca="false">IF($A422="","",P422-T422)</f>
        <v/>
      </c>
      <c r="Y422" s="16" t="str">
        <f aca="false">IF($A422="","",Q422-U422)</f>
        <v/>
      </c>
      <c r="Z422" s="16" t="str">
        <f aca="false">IF($A422="","",V422+W422+X422)</f>
        <v/>
      </c>
      <c r="AA422" s="16" t="str">
        <f aca="false">IF($A422="","",O422+N(N422)-T422)</f>
        <v/>
      </c>
      <c r="AB422" s="8" t="str">
        <f aca="false">IF($A422="","","CL "&amp;V422&amp;" | SL "&amp;W422&amp;" | PL "&amp;X422&amp;" | TR "&amp;Y422)</f>
        <v/>
      </c>
      <c r="AC422" s="15" t="str">
        <f aca="false">IF($A422="","",IF(F422="Exited","EXITED",IF(AND(ISNUMBER(K422),K422=0),"NOT ELIGIBLE",IF(MIN(V422:X422)&lt;0,"OVER-USED",IF(Z422&lt;=Settings!$C$15,"LOW","OK")))))</f>
        <v/>
      </c>
      <c r="AD422" s="16" t="str">
        <f aca="false">IF(OR(AC422="OVER-USED",AC422="LOW"),COUNTIF(AC$6:AC422,"OVER-USED")+COUNTIF(AC$6:AC422,"LOW"),"")</f>
        <v/>
      </c>
    </row>
    <row r="423" customFormat="false" ht="15" hidden="false" customHeight="false" outlineLevel="0" collapsed="false">
      <c r="A423" s="8" t="str">
        <f aca="false">IF('Employee List'!B423="","",'Employee List'!B423)</f>
        <v/>
      </c>
      <c r="B423" s="8" t="str">
        <f aca="false">IF($A423="","",'Employee List'!C423)</f>
        <v/>
      </c>
      <c r="C423" s="8" t="str">
        <f aca="false">IF($A423="","",'Employee List'!E423&amp;"")</f>
        <v/>
      </c>
      <c r="D423" s="8" t="str">
        <f aca="false">IF($A423="","",'Employee List'!F423&amp;"")</f>
        <v/>
      </c>
      <c r="E423" s="8" t="str">
        <f aca="false">IF($A423="","",'Employee List'!G423&amp;"")</f>
        <v/>
      </c>
      <c r="F423" s="8" t="str">
        <f aca="false">IF($A423="","",'Employee List'!D423)</f>
        <v/>
      </c>
      <c r="G423" s="38" t="str">
        <f aca="false">IF($A423="","",IF('Employee List'!I423="","",'Employee List'!I423))</f>
        <v/>
      </c>
      <c r="H423" s="38" t="str">
        <f aca="false">IF(OR($A423="",G423=""),"",G423+Settings!$C$13)</f>
        <v/>
      </c>
      <c r="I423" s="38" t="str">
        <f aca="false">IF(H423="","",MAX(H423,DATE(LvYear,1,1)))</f>
        <v/>
      </c>
      <c r="J423" s="38" t="str">
        <f aca="false">IF($A423="","",IF('Employee List'!J423="",DATE(LvYear,12,31),MIN('Employee List'!J423,DATE(LvYear,12,31))))</f>
        <v/>
      </c>
      <c r="K423" s="39" t="str">
        <f aca="false">IF(OR(I423="",J423=""),"",MAX(0,J423-I423+1))</f>
        <v/>
      </c>
      <c r="L423" s="16" t="str">
        <f aca="false">IF($A423="","",IF(AND(ISNUMBER(K423),K423=0),0,Settings!$C$10))</f>
        <v/>
      </c>
      <c r="M423" s="16" t="str">
        <f aca="false">IF($A423="","",IF(AND(ISNUMBER(K423),K423=0),0,Settings!$C$11))</f>
        <v/>
      </c>
      <c r="N423" s="40"/>
      <c r="O423" s="16" t="str">
        <f aca="false">IF($A423="","",FLOOR(Settings!$C$12/365*N(K423),0.5))</f>
        <v/>
      </c>
      <c r="P423" s="16" t="str">
        <f aca="false">IF($A423="","",IF(I423="",N(N423),FLOOR(Settings!$C$12/365*MAX(0,MIN(LvAsOf,J423)-I423+1)+N(N423),0.5)))</f>
        <v/>
      </c>
      <c r="Q423" s="16" t="str">
        <f aca="false">IF($A423="","",Settings!$C$14)</f>
        <v/>
      </c>
      <c r="R423" s="16" t="str">
        <f aca="false">IF($A423="","",SUMIFS(Attendance!$AZ$6:$AZ$2405,Attendance!$B$6:$B$2405,$A423,Attendance!$A$6:$A$2405,"&gt;="&amp;DATE(LvYear,1,1),Attendance!$A$6:$A$2405,"&lt;="&amp;DATE(LvYear,12,31)))</f>
        <v/>
      </c>
      <c r="S423" s="16" t="str">
        <f aca="false">IF($A423="","",SUMIFS(Attendance!$AY$6:$AY$2405,Attendance!$B$6:$B$2405,$A423,Attendance!$A$6:$A$2405,"&gt;="&amp;DATE(LvYear,1,1),Attendance!$A$6:$A$2405,"&lt;="&amp;DATE(LvYear,12,31)))</f>
        <v/>
      </c>
      <c r="T423" s="16" t="str">
        <f aca="false">IF($A423="","",SUMIFS(Attendance!$AX$6:$AX$2405,Attendance!$B$6:$B$2405,$A423,Attendance!$A$6:$A$2405,"&gt;="&amp;DATE(LvYear,1,1),Attendance!$A$6:$A$2405,"&lt;="&amp;DATE(LvYear,12,31)))</f>
        <v/>
      </c>
      <c r="U423" s="16" t="str">
        <f aca="false">IF($A423="","",SUMIFS(Attendance!$AW$6:$AW$2405,Attendance!$B$6:$B$2405,$A423,Attendance!$A$6:$A$2405,"&gt;="&amp;DATE(LvYear,1,1),Attendance!$A$6:$A$2405,"&lt;="&amp;DATE(LvYear,12,31)))</f>
        <v/>
      </c>
      <c r="V423" s="16" t="str">
        <f aca="false">IF($A423="","",L423-R423)</f>
        <v/>
      </c>
      <c r="W423" s="16" t="str">
        <f aca="false">IF($A423="","",M423-S423)</f>
        <v/>
      </c>
      <c r="X423" s="16" t="str">
        <f aca="false">IF($A423="","",P423-T423)</f>
        <v/>
      </c>
      <c r="Y423" s="16" t="str">
        <f aca="false">IF($A423="","",Q423-U423)</f>
        <v/>
      </c>
      <c r="Z423" s="16" t="str">
        <f aca="false">IF($A423="","",V423+W423+X423)</f>
        <v/>
      </c>
      <c r="AA423" s="16" t="str">
        <f aca="false">IF($A423="","",O423+N(N423)-T423)</f>
        <v/>
      </c>
      <c r="AB423" s="8" t="str">
        <f aca="false">IF($A423="","","CL "&amp;V423&amp;" | SL "&amp;W423&amp;" | PL "&amp;X423&amp;" | TR "&amp;Y423)</f>
        <v/>
      </c>
      <c r="AC423" s="15" t="str">
        <f aca="false">IF($A423="","",IF(F423="Exited","EXITED",IF(AND(ISNUMBER(K423),K423=0),"NOT ELIGIBLE",IF(MIN(V423:X423)&lt;0,"OVER-USED",IF(Z423&lt;=Settings!$C$15,"LOW","OK")))))</f>
        <v/>
      </c>
      <c r="AD423" s="16" t="str">
        <f aca="false">IF(OR(AC423="OVER-USED",AC423="LOW"),COUNTIF(AC$6:AC423,"OVER-USED")+COUNTIF(AC$6:AC423,"LOW"),"")</f>
        <v/>
      </c>
    </row>
    <row r="424" customFormat="false" ht="15" hidden="false" customHeight="false" outlineLevel="0" collapsed="false">
      <c r="A424" s="8" t="str">
        <f aca="false">IF('Employee List'!B424="","",'Employee List'!B424)</f>
        <v/>
      </c>
      <c r="B424" s="8" t="str">
        <f aca="false">IF($A424="","",'Employee List'!C424)</f>
        <v/>
      </c>
      <c r="C424" s="8" t="str">
        <f aca="false">IF($A424="","",'Employee List'!E424&amp;"")</f>
        <v/>
      </c>
      <c r="D424" s="8" t="str">
        <f aca="false">IF($A424="","",'Employee List'!F424&amp;"")</f>
        <v/>
      </c>
      <c r="E424" s="8" t="str">
        <f aca="false">IF($A424="","",'Employee List'!G424&amp;"")</f>
        <v/>
      </c>
      <c r="F424" s="8" t="str">
        <f aca="false">IF($A424="","",'Employee List'!D424)</f>
        <v/>
      </c>
      <c r="G424" s="38" t="str">
        <f aca="false">IF($A424="","",IF('Employee List'!I424="","",'Employee List'!I424))</f>
        <v/>
      </c>
      <c r="H424" s="38" t="str">
        <f aca="false">IF(OR($A424="",G424=""),"",G424+Settings!$C$13)</f>
        <v/>
      </c>
      <c r="I424" s="38" t="str">
        <f aca="false">IF(H424="","",MAX(H424,DATE(LvYear,1,1)))</f>
        <v/>
      </c>
      <c r="J424" s="38" t="str">
        <f aca="false">IF($A424="","",IF('Employee List'!J424="",DATE(LvYear,12,31),MIN('Employee List'!J424,DATE(LvYear,12,31))))</f>
        <v/>
      </c>
      <c r="K424" s="39" t="str">
        <f aca="false">IF(OR(I424="",J424=""),"",MAX(0,J424-I424+1))</f>
        <v/>
      </c>
      <c r="L424" s="16" t="str">
        <f aca="false">IF($A424="","",IF(AND(ISNUMBER(K424),K424=0),0,Settings!$C$10))</f>
        <v/>
      </c>
      <c r="M424" s="16" t="str">
        <f aca="false">IF($A424="","",IF(AND(ISNUMBER(K424),K424=0),0,Settings!$C$11))</f>
        <v/>
      </c>
      <c r="N424" s="40"/>
      <c r="O424" s="16" t="str">
        <f aca="false">IF($A424="","",FLOOR(Settings!$C$12/365*N(K424),0.5))</f>
        <v/>
      </c>
      <c r="P424" s="16" t="str">
        <f aca="false">IF($A424="","",IF(I424="",N(N424),FLOOR(Settings!$C$12/365*MAX(0,MIN(LvAsOf,J424)-I424+1)+N(N424),0.5)))</f>
        <v/>
      </c>
      <c r="Q424" s="16" t="str">
        <f aca="false">IF($A424="","",Settings!$C$14)</f>
        <v/>
      </c>
      <c r="R424" s="16" t="str">
        <f aca="false">IF($A424="","",SUMIFS(Attendance!$AZ$6:$AZ$2405,Attendance!$B$6:$B$2405,$A424,Attendance!$A$6:$A$2405,"&gt;="&amp;DATE(LvYear,1,1),Attendance!$A$6:$A$2405,"&lt;="&amp;DATE(LvYear,12,31)))</f>
        <v/>
      </c>
      <c r="S424" s="16" t="str">
        <f aca="false">IF($A424="","",SUMIFS(Attendance!$AY$6:$AY$2405,Attendance!$B$6:$B$2405,$A424,Attendance!$A$6:$A$2405,"&gt;="&amp;DATE(LvYear,1,1),Attendance!$A$6:$A$2405,"&lt;="&amp;DATE(LvYear,12,31)))</f>
        <v/>
      </c>
      <c r="T424" s="16" t="str">
        <f aca="false">IF($A424="","",SUMIFS(Attendance!$AX$6:$AX$2405,Attendance!$B$6:$B$2405,$A424,Attendance!$A$6:$A$2405,"&gt;="&amp;DATE(LvYear,1,1),Attendance!$A$6:$A$2405,"&lt;="&amp;DATE(LvYear,12,31)))</f>
        <v/>
      </c>
      <c r="U424" s="16" t="str">
        <f aca="false">IF($A424="","",SUMIFS(Attendance!$AW$6:$AW$2405,Attendance!$B$6:$B$2405,$A424,Attendance!$A$6:$A$2405,"&gt;="&amp;DATE(LvYear,1,1),Attendance!$A$6:$A$2405,"&lt;="&amp;DATE(LvYear,12,31)))</f>
        <v/>
      </c>
      <c r="V424" s="16" t="str">
        <f aca="false">IF($A424="","",L424-R424)</f>
        <v/>
      </c>
      <c r="W424" s="16" t="str">
        <f aca="false">IF($A424="","",M424-S424)</f>
        <v/>
      </c>
      <c r="X424" s="16" t="str">
        <f aca="false">IF($A424="","",P424-T424)</f>
        <v/>
      </c>
      <c r="Y424" s="16" t="str">
        <f aca="false">IF($A424="","",Q424-U424)</f>
        <v/>
      </c>
      <c r="Z424" s="16" t="str">
        <f aca="false">IF($A424="","",V424+W424+X424)</f>
        <v/>
      </c>
      <c r="AA424" s="16" t="str">
        <f aca="false">IF($A424="","",O424+N(N424)-T424)</f>
        <v/>
      </c>
      <c r="AB424" s="8" t="str">
        <f aca="false">IF($A424="","","CL "&amp;V424&amp;" | SL "&amp;W424&amp;" | PL "&amp;X424&amp;" | TR "&amp;Y424)</f>
        <v/>
      </c>
      <c r="AC424" s="15" t="str">
        <f aca="false">IF($A424="","",IF(F424="Exited","EXITED",IF(AND(ISNUMBER(K424),K424=0),"NOT ELIGIBLE",IF(MIN(V424:X424)&lt;0,"OVER-USED",IF(Z424&lt;=Settings!$C$15,"LOW","OK")))))</f>
        <v/>
      </c>
      <c r="AD424" s="16" t="str">
        <f aca="false">IF(OR(AC424="OVER-USED",AC424="LOW"),COUNTIF(AC$6:AC424,"OVER-USED")+COUNTIF(AC$6:AC424,"LOW"),"")</f>
        <v/>
      </c>
    </row>
    <row r="425" customFormat="false" ht="15" hidden="false" customHeight="false" outlineLevel="0" collapsed="false">
      <c r="A425" s="8" t="str">
        <f aca="false">IF('Employee List'!B425="","",'Employee List'!B425)</f>
        <v/>
      </c>
      <c r="B425" s="8" t="str">
        <f aca="false">IF($A425="","",'Employee List'!C425)</f>
        <v/>
      </c>
      <c r="C425" s="8" t="str">
        <f aca="false">IF($A425="","",'Employee List'!E425&amp;"")</f>
        <v/>
      </c>
      <c r="D425" s="8" t="str">
        <f aca="false">IF($A425="","",'Employee List'!F425&amp;"")</f>
        <v/>
      </c>
      <c r="E425" s="8" t="str">
        <f aca="false">IF($A425="","",'Employee List'!G425&amp;"")</f>
        <v/>
      </c>
      <c r="F425" s="8" t="str">
        <f aca="false">IF($A425="","",'Employee List'!D425)</f>
        <v/>
      </c>
      <c r="G425" s="38" t="str">
        <f aca="false">IF($A425="","",IF('Employee List'!I425="","",'Employee List'!I425))</f>
        <v/>
      </c>
      <c r="H425" s="38" t="str">
        <f aca="false">IF(OR($A425="",G425=""),"",G425+Settings!$C$13)</f>
        <v/>
      </c>
      <c r="I425" s="38" t="str">
        <f aca="false">IF(H425="","",MAX(H425,DATE(LvYear,1,1)))</f>
        <v/>
      </c>
      <c r="J425" s="38" t="str">
        <f aca="false">IF($A425="","",IF('Employee List'!J425="",DATE(LvYear,12,31),MIN('Employee List'!J425,DATE(LvYear,12,31))))</f>
        <v/>
      </c>
      <c r="K425" s="39" t="str">
        <f aca="false">IF(OR(I425="",J425=""),"",MAX(0,J425-I425+1))</f>
        <v/>
      </c>
      <c r="L425" s="16" t="str">
        <f aca="false">IF($A425="","",IF(AND(ISNUMBER(K425),K425=0),0,Settings!$C$10))</f>
        <v/>
      </c>
      <c r="M425" s="16" t="str">
        <f aca="false">IF($A425="","",IF(AND(ISNUMBER(K425),K425=0),0,Settings!$C$11))</f>
        <v/>
      </c>
      <c r="N425" s="40"/>
      <c r="O425" s="16" t="str">
        <f aca="false">IF($A425="","",FLOOR(Settings!$C$12/365*N(K425),0.5))</f>
        <v/>
      </c>
      <c r="P425" s="16" t="str">
        <f aca="false">IF($A425="","",IF(I425="",N(N425),FLOOR(Settings!$C$12/365*MAX(0,MIN(LvAsOf,J425)-I425+1)+N(N425),0.5)))</f>
        <v/>
      </c>
      <c r="Q425" s="16" t="str">
        <f aca="false">IF($A425="","",Settings!$C$14)</f>
        <v/>
      </c>
      <c r="R425" s="16" t="str">
        <f aca="false">IF($A425="","",SUMIFS(Attendance!$AZ$6:$AZ$2405,Attendance!$B$6:$B$2405,$A425,Attendance!$A$6:$A$2405,"&gt;="&amp;DATE(LvYear,1,1),Attendance!$A$6:$A$2405,"&lt;="&amp;DATE(LvYear,12,31)))</f>
        <v/>
      </c>
      <c r="S425" s="16" t="str">
        <f aca="false">IF($A425="","",SUMIFS(Attendance!$AY$6:$AY$2405,Attendance!$B$6:$B$2405,$A425,Attendance!$A$6:$A$2405,"&gt;="&amp;DATE(LvYear,1,1),Attendance!$A$6:$A$2405,"&lt;="&amp;DATE(LvYear,12,31)))</f>
        <v/>
      </c>
      <c r="T425" s="16" t="str">
        <f aca="false">IF($A425="","",SUMIFS(Attendance!$AX$6:$AX$2405,Attendance!$B$6:$B$2405,$A425,Attendance!$A$6:$A$2405,"&gt;="&amp;DATE(LvYear,1,1),Attendance!$A$6:$A$2405,"&lt;="&amp;DATE(LvYear,12,31)))</f>
        <v/>
      </c>
      <c r="U425" s="16" t="str">
        <f aca="false">IF($A425="","",SUMIFS(Attendance!$AW$6:$AW$2405,Attendance!$B$6:$B$2405,$A425,Attendance!$A$6:$A$2405,"&gt;="&amp;DATE(LvYear,1,1),Attendance!$A$6:$A$2405,"&lt;="&amp;DATE(LvYear,12,31)))</f>
        <v/>
      </c>
      <c r="V425" s="16" t="str">
        <f aca="false">IF($A425="","",L425-R425)</f>
        <v/>
      </c>
      <c r="W425" s="16" t="str">
        <f aca="false">IF($A425="","",M425-S425)</f>
        <v/>
      </c>
      <c r="X425" s="16" t="str">
        <f aca="false">IF($A425="","",P425-T425)</f>
        <v/>
      </c>
      <c r="Y425" s="16" t="str">
        <f aca="false">IF($A425="","",Q425-U425)</f>
        <v/>
      </c>
      <c r="Z425" s="16" t="str">
        <f aca="false">IF($A425="","",V425+W425+X425)</f>
        <v/>
      </c>
      <c r="AA425" s="16" t="str">
        <f aca="false">IF($A425="","",O425+N(N425)-T425)</f>
        <v/>
      </c>
      <c r="AB425" s="8" t="str">
        <f aca="false">IF($A425="","","CL "&amp;V425&amp;" | SL "&amp;W425&amp;" | PL "&amp;X425&amp;" | TR "&amp;Y425)</f>
        <v/>
      </c>
      <c r="AC425" s="15" t="str">
        <f aca="false">IF($A425="","",IF(F425="Exited","EXITED",IF(AND(ISNUMBER(K425),K425=0),"NOT ELIGIBLE",IF(MIN(V425:X425)&lt;0,"OVER-USED",IF(Z425&lt;=Settings!$C$15,"LOW","OK")))))</f>
        <v/>
      </c>
      <c r="AD425" s="16" t="str">
        <f aca="false">IF(OR(AC425="OVER-USED",AC425="LOW"),COUNTIF(AC$6:AC425,"OVER-USED")+COUNTIF(AC$6:AC425,"LOW"),"")</f>
        <v/>
      </c>
    </row>
    <row r="426" customFormat="false" ht="15" hidden="false" customHeight="false" outlineLevel="0" collapsed="false">
      <c r="A426" s="8" t="str">
        <f aca="false">IF('Employee List'!B426="","",'Employee List'!B426)</f>
        <v/>
      </c>
      <c r="B426" s="8" t="str">
        <f aca="false">IF($A426="","",'Employee List'!C426)</f>
        <v/>
      </c>
      <c r="C426" s="8" t="str">
        <f aca="false">IF($A426="","",'Employee List'!E426&amp;"")</f>
        <v/>
      </c>
      <c r="D426" s="8" t="str">
        <f aca="false">IF($A426="","",'Employee List'!F426&amp;"")</f>
        <v/>
      </c>
      <c r="E426" s="8" t="str">
        <f aca="false">IF($A426="","",'Employee List'!G426&amp;"")</f>
        <v/>
      </c>
      <c r="F426" s="8" t="str">
        <f aca="false">IF($A426="","",'Employee List'!D426)</f>
        <v/>
      </c>
      <c r="G426" s="38" t="str">
        <f aca="false">IF($A426="","",IF('Employee List'!I426="","",'Employee List'!I426))</f>
        <v/>
      </c>
      <c r="H426" s="38" t="str">
        <f aca="false">IF(OR($A426="",G426=""),"",G426+Settings!$C$13)</f>
        <v/>
      </c>
      <c r="I426" s="38" t="str">
        <f aca="false">IF(H426="","",MAX(H426,DATE(LvYear,1,1)))</f>
        <v/>
      </c>
      <c r="J426" s="38" t="str">
        <f aca="false">IF($A426="","",IF('Employee List'!J426="",DATE(LvYear,12,31),MIN('Employee List'!J426,DATE(LvYear,12,31))))</f>
        <v/>
      </c>
      <c r="K426" s="39" t="str">
        <f aca="false">IF(OR(I426="",J426=""),"",MAX(0,J426-I426+1))</f>
        <v/>
      </c>
      <c r="L426" s="16" t="str">
        <f aca="false">IF($A426="","",IF(AND(ISNUMBER(K426),K426=0),0,Settings!$C$10))</f>
        <v/>
      </c>
      <c r="M426" s="16" t="str">
        <f aca="false">IF($A426="","",IF(AND(ISNUMBER(K426),K426=0),0,Settings!$C$11))</f>
        <v/>
      </c>
      <c r="N426" s="40"/>
      <c r="O426" s="16" t="str">
        <f aca="false">IF($A426="","",FLOOR(Settings!$C$12/365*N(K426),0.5))</f>
        <v/>
      </c>
      <c r="P426" s="16" t="str">
        <f aca="false">IF($A426="","",IF(I426="",N(N426),FLOOR(Settings!$C$12/365*MAX(0,MIN(LvAsOf,J426)-I426+1)+N(N426),0.5)))</f>
        <v/>
      </c>
      <c r="Q426" s="16" t="str">
        <f aca="false">IF($A426="","",Settings!$C$14)</f>
        <v/>
      </c>
      <c r="R426" s="16" t="str">
        <f aca="false">IF($A426="","",SUMIFS(Attendance!$AZ$6:$AZ$2405,Attendance!$B$6:$B$2405,$A426,Attendance!$A$6:$A$2405,"&gt;="&amp;DATE(LvYear,1,1),Attendance!$A$6:$A$2405,"&lt;="&amp;DATE(LvYear,12,31)))</f>
        <v/>
      </c>
      <c r="S426" s="16" t="str">
        <f aca="false">IF($A426="","",SUMIFS(Attendance!$AY$6:$AY$2405,Attendance!$B$6:$B$2405,$A426,Attendance!$A$6:$A$2405,"&gt;="&amp;DATE(LvYear,1,1),Attendance!$A$6:$A$2405,"&lt;="&amp;DATE(LvYear,12,31)))</f>
        <v/>
      </c>
      <c r="T426" s="16" t="str">
        <f aca="false">IF($A426="","",SUMIFS(Attendance!$AX$6:$AX$2405,Attendance!$B$6:$B$2405,$A426,Attendance!$A$6:$A$2405,"&gt;="&amp;DATE(LvYear,1,1),Attendance!$A$6:$A$2405,"&lt;="&amp;DATE(LvYear,12,31)))</f>
        <v/>
      </c>
      <c r="U426" s="16" t="str">
        <f aca="false">IF($A426="","",SUMIFS(Attendance!$AW$6:$AW$2405,Attendance!$B$6:$B$2405,$A426,Attendance!$A$6:$A$2405,"&gt;="&amp;DATE(LvYear,1,1),Attendance!$A$6:$A$2405,"&lt;="&amp;DATE(LvYear,12,31)))</f>
        <v/>
      </c>
      <c r="V426" s="16" t="str">
        <f aca="false">IF($A426="","",L426-R426)</f>
        <v/>
      </c>
      <c r="W426" s="16" t="str">
        <f aca="false">IF($A426="","",M426-S426)</f>
        <v/>
      </c>
      <c r="X426" s="16" t="str">
        <f aca="false">IF($A426="","",P426-T426)</f>
        <v/>
      </c>
      <c r="Y426" s="16" t="str">
        <f aca="false">IF($A426="","",Q426-U426)</f>
        <v/>
      </c>
      <c r="Z426" s="16" t="str">
        <f aca="false">IF($A426="","",V426+W426+X426)</f>
        <v/>
      </c>
      <c r="AA426" s="16" t="str">
        <f aca="false">IF($A426="","",O426+N(N426)-T426)</f>
        <v/>
      </c>
      <c r="AB426" s="8" t="str">
        <f aca="false">IF($A426="","","CL "&amp;V426&amp;" | SL "&amp;W426&amp;" | PL "&amp;X426&amp;" | TR "&amp;Y426)</f>
        <v/>
      </c>
      <c r="AC426" s="15" t="str">
        <f aca="false">IF($A426="","",IF(F426="Exited","EXITED",IF(AND(ISNUMBER(K426),K426=0),"NOT ELIGIBLE",IF(MIN(V426:X426)&lt;0,"OVER-USED",IF(Z426&lt;=Settings!$C$15,"LOW","OK")))))</f>
        <v/>
      </c>
      <c r="AD426" s="16" t="str">
        <f aca="false">IF(OR(AC426="OVER-USED",AC426="LOW"),COUNTIF(AC$6:AC426,"OVER-USED")+COUNTIF(AC$6:AC426,"LOW"),"")</f>
        <v/>
      </c>
    </row>
    <row r="427" customFormat="false" ht="15" hidden="false" customHeight="false" outlineLevel="0" collapsed="false">
      <c r="A427" s="8" t="str">
        <f aca="false">IF('Employee List'!B427="","",'Employee List'!B427)</f>
        <v/>
      </c>
      <c r="B427" s="8" t="str">
        <f aca="false">IF($A427="","",'Employee List'!C427)</f>
        <v/>
      </c>
      <c r="C427" s="8" t="str">
        <f aca="false">IF($A427="","",'Employee List'!E427&amp;"")</f>
        <v/>
      </c>
      <c r="D427" s="8" t="str">
        <f aca="false">IF($A427="","",'Employee List'!F427&amp;"")</f>
        <v/>
      </c>
      <c r="E427" s="8" t="str">
        <f aca="false">IF($A427="","",'Employee List'!G427&amp;"")</f>
        <v/>
      </c>
      <c r="F427" s="8" t="str">
        <f aca="false">IF($A427="","",'Employee List'!D427)</f>
        <v/>
      </c>
      <c r="G427" s="38" t="str">
        <f aca="false">IF($A427="","",IF('Employee List'!I427="","",'Employee List'!I427))</f>
        <v/>
      </c>
      <c r="H427" s="38" t="str">
        <f aca="false">IF(OR($A427="",G427=""),"",G427+Settings!$C$13)</f>
        <v/>
      </c>
      <c r="I427" s="38" t="str">
        <f aca="false">IF(H427="","",MAX(H427,DATE(LvYear,1,1)))</f>
        <v/>
      </c>
      <c r="J427" s="38" t="str">
        <f aca="false">IF($A427="","",IF('Employee List'!J427="",DATE(LvYear,12,31),MIN('Employee List'!J427,DATE(LvYear,12,31))))</f>
        <v/>
      </c>
      <c r="K427" s="39" t="str">
        <f aca="false">IF(OR(I427="",J427=""),"",MAX(0,J427-I427+1))</f>
        <v/>
      </c>
      <c r="L427" s="16" t="str">
        <f aca="false">IF($A427="","",IF(AND(ISNUMBER(K427),K427=0),0,Settings!$C$10))</f>
        <v/>
      </c>
      <c r="M427" s="16" t="str">
        <f aca="false">IF($A427="","",IF(AND(ISNUMBER(K427),K427=0),0,Settings!$C$11))</f>
        <v/>
      </c>
      <c r="N427" s="40"/>
      <c r="O427" s="16" t="str">
        <f aca="false">IF($A427="","",FLOOR(Settings!$C$12/365*N(K427),0.5))</f>
        <v/>
      </c>
      <c r="P427" s="16" t="str">
        <f aca="false">IF($A427="","",IF(I427="",N(N427),FLOOR(Settings!$C$12/365*MAX(0,MIN(LvAsOf,J427)-I427+1)+N(N427),0.5)))</f>
        <v/>
      </c>
      <c r="Q427" s="16" t="str">
        <f aca="false">IF($A427="","",Settings!$C$14)</f>
        <v/>
      </c>
      <c r="R427" s="16" t="str">
        <f aca="false">IF($A427="","",SUMIFS(Attendance!$AZ$6:$AZ$2405,Attendance!$B$6:$B$2405,$A427,Attendance!$A$6:$A$2405,"&gt;="&amp;DATE(LvYear,1,1),Attendance!$A$6:$A$2405,"&lt;="&amp;DATE(LvYear,12,31)))</f>
        <v/>
      </c>
      <c r="S427" s="16" t="str">
        <f aca="false">IF($A427="","",SUMIFS(Attendance!$AY$6:$AY$2405,Attendance!$B$6:$B$2405,$A427,Attendance!$A$6:$A$2405,"&gt;="&amp;DATE(LvYear,1,1),Attendance!$A$6:$A$2405,"&lt;="&amp;DATE(LvYear,12,31)))</f>
        <v/>
      </c>
      <c r="T427" s="16" t="str">
        <f aca="false">IF($A427="","",SUMIFS(Attendance!$AX$6:$AX$2405,Attendance!$B$6:$B$2405,$A427,Attendance!$A$6:$A$2405,"&gt;="&amp;DATE(LvYear,1,1),Attendance!$A$6:$A$2405,"&lt;="&amp;DATE(LvYear,12,31)))</f>
        <v/>
      </c>
      <c r="U427" s="16" t="str">
        <f aca="false">IF($A427="","",SUMIFS(Attendance!$AW$6:$AW$2405,Attendance!$B$6:$B$2405,$A427,Attendance!$A$6:$A$2405,"&gt;="&amp;DATE(LvYear,1,1),Attendance!$A$6:$A$2405,"&lt;="&amp;DATE(LvYear,12,31)))</f>
        <v/>
      </c>
      <c r="V427" s="16" t="str">
        <f aca="false">IF($A427="","",L427-R427)</f>
        <v/>
      </c>
      <c r="W427" s="16" t="str">
        <f aca="false">IF($A427="","",M427-S427)</f>
        <v/>
      </c>
      <c r="X427" s="16" t="str">
        <f aca="false">IF($A427="","",P427-T427)</f>
        <v/>
      </c>
      <c r="Y427" s="16" t="str">
        <f aca="false">IF($A427="","",Q427-U427)</f>
        <v/>
      </c>
      <c r="Z427" s="16" t="str">
        <f aca="false">IF($A427="","",V427+W427+X427)</f>
        <v/>
      </c>
      <c r="AA427" s="16" t="str">
        <f aca="false">IF($A427="","",O427+N(N427)-T427)</f>
        <v/>
      </c>
      <c r="AB427" s="8" t="str">
        <f aca="false">IF($A427="","","CL "&amp;V427&amp;" | SL "&amp;W427&amp;" | PL "&amp;X427&amp;" | TR "&amp;Y427)</f>
        <v/>
      </c>
      <c r="AC427" s="15" t="str">
        <f aca="false">IF($A427="","",IF(F427="Exited","EXITED",IF(AND(ISNUMBER(K427),K427=0),"NOT ELIGIBLE",IF(MIN(V427:X427)&lt;0,"OVER-USED",IF(Z427&lt;=Settings!$C$15,"LOW","OK")))))</f>
        <v/>
      </c>
      <c r="AD427" s="16" t="str">
        <f aca="false">IF(OR(AC427="OVER-USED",AC427="LOW"),COUNTIF(AC$6:AC427,"OVER-USED")+COUNTIF(AC$6:AC427,"LOW"),"")</f>
        <v/>
      </c>
    </row>
    <row r="428" customFormat="false" ht="15" hidden="false" customHeight="false" outlineLevel="0" collapsed="false">
      <c r="A428" s="8" t="str">
        <f aca="false">IF('Employee List'!B428="","",'Employee List'!B428)</f>
        <v/>
      </c>
      <c r="B428" s="8" t="str">
        <f aca="false">IF($A428="","",'Employee List'!C428)</f>
        <v/>
      </c>
      <c r="C428" s="8" t="str">
        <f aca="false">IF($A428="","",'Employee List'!E428&amp;"")</f>
        <v/>
      </c>
      <c r="D428" s="8" t="str">
        <f aca="false">IF($A428="","",'Employee List'!F428&amp;"")</f>
        <v/>
      </c>
      <c r="E428" s="8" t="str">
        <f aca="false">IF($A428="","",'Employee List'!G428&amp;"")</f>
        <v/>
      </c>
      <c r="F428" s="8" t="str">
        <f aca="false">IF($A428="","",'Employee List'!D428)</f>
        <v/>
      </c>
      <c r="G428" s="38" t="str">
        <f aca="false">IF($A428="","",IF('Employee List'!I428="","",'Employee List'!I428))</f>
        <v/>
      </c>
      <c r="H428" s="38" t="str">
        <f aca="false">IF(OR($A428="",G428=""),"",G428+Settings!$C$13)</f>
        <v/>
      </c>
      <c r="I428" s="38" t="str">
        <f aca="false">IF(H428="","",MAX(H428,DATE(LvYear,1,1)))</f>
        <v/>
      </c>
      <c r="J428" s="38" t="str">
        <f aca="false">IF($A428="","",IF('Employee List'!J428="",DATE(LvYear,12,31),MIN('Employee List'!J428,DATE(LvYear,12,31))))</f>
        <v/>
      </c>
      <c r="K428" s="39" t="str">
        <f aca="false">IF(OR(I428="",J428=""),"",MAX(0,J428-I428+1))</f>
        <v/>
      </c>
      <c r="L428" s="16" t="str">
        <f aca="false">IF($A428="","",IF(AND(ISNUMBER(K428),K428=0),0,Settings!$C$10))</f>
        <v/>
      </c>
      <c r="M428" s="16" t="str">
        <f aca="false">IF($A428="","",IF(AND(ISNUMBER(K428),K428=0),0,Settings!$C$11))</f>
        <v/>
      </c>
      <c r="N428" s="40"/>
      <c r="O428" s="16" t="str">
        <f aca="false">IF($A428="","",FLOOR(Settings!$C$12/365*N(K428),0.5))</f>
        <v/>
      </c>
      <c r="P428" s="16" t="str">
        <f aca="false">IF($A428="","",IF(I428="",N(N428),FLOOR(Settings!$C$12/365*MAX(0,MIN(LvAsOf,J428)-I428+1)+N(N428),0.5)))</f>
        <v/>
      </c>
      <c r="Q428" s="16" t="str">
        <f aca="false">IF($A428="","",Settings!$C$14)</f>
        <v/>
      </c>
      <c r="R428" s="16" t="str">
        <f aca="false">IF($A428="","",SUMIFS(Attendance!$AZ$6:$AZ$2405,Attendance!$B$6:$B$2405,$A428,Attendance!$A$6:$A$2405,"&gt;="&amp;DATE(LvYear,1,1),Attendance!$A$6:$A$2405,"&lt;="&amp;DATE(LvYear,12,31)))</f>
        <v/>
      </c>
      <c r="S428" s="16" t="str">
        <f aca="false">IF($A428="","",SUMIFS(Attendance!$AY$6:$AY$2405,Attendance!$B$6:$B$2405,$A428,Attendance!$A$6:$A$2405,"&gt;="&amp;DATE(LvYear,1,1),Attendance!$A$6:$A$2405,"&lt;="&amp;DATE(LvYear,12,31)))</f>
        <v/>
      </c>
      <c r="T428" s="16" t="str">
        <f aca="false">IF($A428="","",SUMIFS(Attendance!$AX$6:$AX$2405,Attendance!$B$6:$B$2405,$A428,Attendance!$A$6:$A$2405,"&gt;="&amp;DATE(LvYear,1,1),Attendance!$A$6:$A$2405,"&lt;="&amp;DATE(LvYear,12,31)))</f>
        <v/>
      </c>
      <c r="U428" s="16" t="str">
        <f aca="false">IF($A428="","",SUMIFS(Attendance!$AW$6:$AW$2405,Attendance!$B$6:$B$2405,$A428,Attendance!$A$6:$A$2405,"&gt;="&amp;DATE(LvYear,1,1),Attendance!$A$6:$A$2405,"&lt;="&amp;DATE(LvYear,12,31)))</f>
        <v/>
      </c>
      <c r="V428" s="16" t="str">
        <f aca="false">IF($A428="","",L428-R428)</f>
        <v/>
      </c>
      <c r="W428" s="16" t="str">
        <f aca="false">IF($A428="","",M428-S428)</f>
        <v/>
      </c>
      <c r="X428" s="16" t="str">
        <f aca="false">IF($A428="","",P428-T428)</f>
        <v/>
      </c>
      <c r="Y428" s="16" t="str">
        <f aca="false">IF($A428="","",Q428-U428)</f>
        <v/>
      </c>
      <c r="Z428" s="16" t="str">
        <f aca="false">IF($A428="","",V428+W428+X428)</f>
        <v/>
      </c>
      <c r="AA428" s="16" t="str">
        <f aca="false">IF($A428="","",O428+N(N428)-T428)</f>
        <v/>
      </c>
      <c r="AB428" s="8" t="str">
        <f aca="false">IF($A428="","","CL "&amp;V428&amp;" | SL "&amp;W428&amp;" | PL "&amp;X428&amp;" | TR "&amp;Y428)</f>
        <v/>
      </c>
      <c r="AC428" s="15" t="str">
        <f aca="false">IF($A428="","",IF(F428="Exited","EXITED",IF(AND(ISNUMBER(K428),K428=0),"NOT ELIGIBLE",IF(MIN(V428:X428)&lt;0,"OVER-USED",IF(Z428&lt;=Settings!$C$15,"LOW","OK")))))</f>
        <v/>
      </c>
      <c r="AD428" s="16" t="str">
        <f aca="false">IF(OR(AC428="OVER-USED",AC428="LOW"),COUNTIF(AC$6:AC428,"OVER-USED")+COUNTIF(AC$6:AC428,"LOW"),"")</f>
        <v/>
      </c>
    </row>
    <row r="429" customFormat="false" ht="15" hidden="false" customHeight="false" outlineLevel="0" collapsed="false">
      <c r="A429" s="8" t="str">
        <f aca="false">IF('Employee List'!B429="","",'Employee List'!B429)</f>
        <v/>
      </c>
      <c r="B429" s="8" t="str">
        <f aca="false">IF($A429="","",'Employee List'!C429)</f>
        <v/>
      </c>
      <c r="C429" s="8" t="str">
        <f aca="false">IF($A429="","",'Employee List'!E429&amp;"")</f>
        <v/>
      </c>
      <c r="D429" s="8" t="str">
        <f aca="false">IF($A429="","",'Employee List'!F429&amp;"")</f>
        <v/>
      </c>
      <c r="E429" s="8" t="str">
        <f aca="false">IF($A429="","",'Employee List'!G429&amp;"")</f>
        <v/>
      </c>
      <c r="F429" s="8" t="str">
        <f aca="false">IF($A429="","",'Employee List'!D429)</f>
        <v/>
      </c>
      <c r="G429" s="38" t="str">
        <f aca="false">IF($A429="","",IF('Employee List'!I429="","",'Employee List'!I429))</f>
        <v/>
      </c>
      <c r="H429" s="38" t="str">
        <f aca="false">IF(OR($A429="",G429=""),"",G429+Settings!$C$13)</f>
        <v/>
      </c>
      <c r="I429" s="38" t="str">
        <f aca="false">IF(H429="","",MAX(H429,DATE(LvYear,1,1)))</f>
        <v/>
      </c>
      <c r="J429" s="38" t="str">
        <f aca="false">IF($A429="","",IF('Employee List'!J429="",DATE(LvYear,12,31),MIN('Employee List'!J429,DATE(LvYear,12,31))))</f>
        <v/>
      </c>
      <c r="K429" s="39" t="str">
        <f aca="false">IF(OR(I429="",J429=""),"",MAX(0,J429-I429+1))</f>
        <v/>
      </c>
      <c r="L429" s="16" t="str">
        <f aca="false">IF($A429="","",IF(AND(ISNUMBER(K429),K429=0),0,Settings!$C$10))</f>
        <v/>
      </c>
      <c r="M429" s="16" t="str">
        <f aca="false">IF($A429="","",IF(AND(ISNUMBER(K429),K429=0),0,Settings!$C$11))</f>
        <v/>
      </c>
      <c r="N429" s="40"/>
      <c r="O429" s="16" t="str">
        <f aca="false">IF($A429="","",FLOOR(Settings!$C$12/365*N(K429),0.5))</f>
        <v/>
      </c>
      <c r="P429" s="16" t="str">
        <f aca="false">IF($A429="","",IF(I429="",N(N429),FLOOR(Settings!$C$12/365*MAX(0,MIN(LvAsOf,J429)-I429+1)+N(N429),0.5)))</f>
        <v/>
      </c>
      <c r="Q429" s="16" t="str">
        <f aca="false">IF($A429="","",Settings!$C$14)</f>
        <v/>
      </c>
      <c r="R429" s="16" t="str">
        <f aca="false">IF($A429="","",SUMIFS(Attendance!$AZ$6:$AZ$2405,Attendance!$B$6:$B$2405,$A429,Attendance!$A$6:$A$2405,"&gt;="&amp;DATE(LvYear,1,1),Attendance!$A$6:$A$2405,"&lt;="&amp;DATE(LvYear,12,31)))</f>
        <v/>
      </c>
      <c r="S429" s="16" t="str">
        <f aca="false">IF($A429="","",SUMIFS(Attendance!$AY$6:$AY$2405,Attendance!$B$6:$B$2405,$A429,Attendance!$A$6:$A$2405,"&gt;="&amp;DATE(LvYear,1,1),Attendance!$A$6:$A$2405,"&lt;="&amp;DATE(LvYear,12,31)))</f>
        <v/>
      </c>
      <c r="T429" s="16" t="str">
        <f aca="false">IF($A429="","",SUMIFS(Attendance!$AX$6:$AX$2405,Attendance!$B$6:$B$2405,$A429,Attendance!$A$6:$A$2405,"&gt;="&amp;DATE(LvYear,1,1),Attendance!$A$6:$A$2405,"&lt;="&amp;DATE(LvYear,12,31)))</f>
        <v/>
      </c>
      <c r="U429" s="16" t="str">
        <f aca="false">IF($A429="","",SUMIFS(Attendance!$AW$6:$AW$2405,Attendance!$B$6:$B$2405,$A429,Attendance!$A$6:$A$2405,"&gt;="&amp;DATE(LvYear,1,1),Attendance!$A$6:$A$2405,"&lt;="&amp;DATE(LvYear,12,31)))</f>
        <v/>
      </c>
      <c r="V429" s="16" t="str">
        <f aca="false">IF($A429="","",L429-R429)</f>
        <v/>
      </c>
      <c r="W429" s="16" t="str">
        <f aca="false">IF($A429="","",M429-S429)</f>
        <v/>
      </c>
      <c r="X429" s="16" t="str">
        <f aca="false">IF($A429="","",P429-T429)</f>
        <v/>
      </c>
      <c r="Y429" s="16" t="str">
        <f aca="false">IF($A429="","",Q429-U429)</f>
        <v/>
      </c>
      <c r="Z429" s="16" t="str">
        <f aca="false">IF($A429="","",V429+W429+X429)</f>
        <v/>
      </c>
      <c r="AA429" s="16" t="str">
        <f aca="false">IF($A429="","",O429+N(N429)-T429)</f>
        <v/>
      </c>
      <c r="AB429" s="8" t="str">
        <f aca="false">IF($A429="","","CL "&amp;V429&amp;" | SL "&amp;W429&amp;" | PL "&amp;X429&amp;" | TR "&amp;Y429)</f>
        <v/>
      </c>
      <c r="AC429" s="15" t="str">
        <f aca="false">IF($A429="","",IF(F429="Exited","EXITED",IF(AND(ISNUMBER(K429),K429=0),"NOT ELIGIBLE",IF(MIN(V429:X429)&lt;0,"OVER-USED",IF(Z429&lt;=Settings!$C$15,"LOW","OK")))))</f>
        <v/>
      </c>
      <c r="AD429" s="16" t="str">
        <f aca="false">IF(OR(AC429="OVER-USED",AC429="LOW"),COUNTIF(AC$6:AC429,"OVER-USED")+COUNTIF(AC$6:AC429,"LOW"),"")</f>
        <v/>
      </c>
    </row>
    <row r="430" customFormat="false" ht="15" hidden="false" customHeight="false" outlineLevel="0" collapsed="false">
      <c r="A430" s="8" t="str">
        <f aca="false">IF('Employee List'!B430="","",'Employee List'!B430)</f>
        <v/>
      </c>
      <c r="B430" s="8" t="str">
        <f aca="false">IF($A430="","",'Employee List'!C430)</f>
        <v/>
      </c>
      <c r="C430" s="8" t="str">
        <f aca="false">IF($A430="","",'Employee List'!E430&amp;"")</f>
        <v/>
      </c>
      <c r="D430" s="8" t="str">
        <f aca="false">IF($A430="","",'Employee List'!F430&amp;"")</f>
        <v/>
      </c>
      <c r="E430" s="8" t="str">
        <f aca="false">IF($A430="","",'Employee List'!G430&amp;"")</f>
        <v/>
      </c>
      <c r="F430" s="8" t="str">
        <f aca="false">IF($A430="","",'Employee List'!D430)</f>
        <v/>
      </c>
      <c r="G430" s="38" t="str">
        <f aca="false">IF($A430="","",IF('Employee List'!I430="","",'Employee List'!I430))</f>
        <v/>
      </c>
      <c r="H430" s="38" t="str">
        <f aca="false">IF(OR($A430="",G430=""),"",G430+Settings!$C$13)</f>
        <v/>
      </c>
      <c r="I430" s="38" t="str">
        <f aca="false">IF(H430="","",MAX(H430,DATE(LvYear,1,1)))</f>
        <v/>
      </c>
      <c r="J430" s="38" t="str">
        <f aca="false">IF($A430="","",IF('Employee List'!J430="",DATE(LvYear,12,31),MIN('Employee List'!J430,DATE(LvYear,12,31))))</f>
        <v/>
      </c>
      <c r="K430" s="39" t="str">
        <f aca="false">IF(OR(I430="",J430=""),"",MAX(0,J430-I430+1))</f>
        <v/>
      </c>
      <c r="L430" s="16" t="str">
        <f aca="false">IF($A430="","",IF(AND(ISNUMBER(K430),K430=0),0,Settings!$C$10))</f>
        <v/>
      </c>
      <c r="M430" s="16" t="str">
        <f aca="false">IF($A430="","",IF(AND(ISNUMBER(K430),K430=0),0,Settings!$C$11))</f>
        <v/>
      </c>
      <c r="N430" s="40"/>
      <c r="O430" s="16" t="str">
        <f aca="false">IF($A430="","",FLOOR(Settings!$C$12/365*N(K430),0.5))</f>
        <v/>
      </c>
      <c r="P430" s="16" t="str">
        <f aca="false">IF($A430="","",IF(I430="",N(N430),FLOOR(Settings!$C$12/365*MAX(0,MIN(LvAsOf,J430)-I430+1)+N(N430),0.5)))</f>
        <v/>
      </c>
      <c r="Q430" s="16" t="str">
        <f aca="false">IF($A430="","",Settings!$C$14)</f>
        <v/>
      </c>
      <c r="R430" s="16" t="str">
        <f aca="false">IF($A430="","",SUMIFS(Attendance!$AZ$6:$AZ$2405,Attendance!$B$6:$B$2405,$A430,Attendance!$A$6:$A$2405,"&gt;="&amp;DATE(LvYear,1,1),Attendance!$A$6:$A$2405,"&lt;="&amp;DATE(LvYear,12,31)))</f>
        <v/>
      </c>
      <c r="S430" s="16" t="str">
        <f aca="false">IF($A430="","",SUMIFS(Attendance!$AY$6:$AY$2405,Attendance!$B$6:$B$2405,$A430,Attendance!$A$6:$A$2405,"&gt;="&amp;DATE(LvYear,1,1),Attendance!$A$6:$A$2405,"&lt;="&amp;DATE(LvYear,12,31)))</f>
        <v/>
      </c>
      <c r="T430" s="16" t="str">
        <f aca="false">IF($A430="","",SUMIFS(Attendance!$AX$6:$AX$2405,Attendance!$B$6:$B$2405,$A430,Attendance!$A$6:$A$2405,"&gt;="&amp;DATE(LvYear,1,1),Attendance!$A$6:$A$2405,"&lt;="&amp;DATE(LvYear,12,31)))</f>
        <v/>
      </c>
      <c r="U430" s="16" t="str">
        <f aca="false">IF($A430="","",SUMIFS(Attendance!$AW$6:$AW$2405,Attendance!$B$6:$B$2405,$A430,Attendance!$A$6:$A$2405,"&gt;="&amp;DATE(LvYear,1,1),Attendance!$A$6:$A$2405,"&lt;="&amp;DATE(LvYear,12,31)))</f>
        <v/>
      </c>
      <c r="V430" s="16" t="str">
        <f aca="false">IF($A430="","",L430-R430)</f>
        <v/>
      </c>
      <c r="W430" s="16" t="str">
        <f aca="false">IF($A430="","",M430-S430)</f>
        <v/>
      </c>
      <c r="X430" s="16" t="str">
        <f aca="false">IF($A430="","",P430-T430)</f>
        <v/>
      </c>
      <c r="Y430" s="16" t="str">
        <f aca="false">IF($A430="","",Q430-U430)</f>
        <v/>
      </c>
      <c r="Z430" s="16" t="str">
        <f aca="false">IF($A430="","",V430+W430+X430)</f>
        <v/>
      </c>
      <c r="AA430" s="16" t="str">
        <f aca="false">IF($A430="","",O430+N(N430)-T430)</f>
        <v/>
      </c>
      <c r="AB430" s="8" t="str">
        <f aca="false">IF($A430="","","CL "&amp;V430&amp;" | SL "&amp;W430&amp;" | PL "&amp;X430&amp;" | TR "&amp;Y430)</f>
        <v/>
      </c>
      <c r="AC430" s="15" t="str">
        <f aca="false">IF($A430="","",IF(F430="Exited","EXITED",IF(AND(ISNUMBER(K430),K430=0),"NOT ELIGIBLE",IF(MIN(V430:X430)&lt;0,"OVER-USED",IF(Z430&lt;=Settings!$C$15,"LOW","OK")))))</f>
        <v/>
      </c>
      <c r="AD430" s="16" t="str">
        <f aca="false">IF(OR(AC430="OVER-USED",AC430="LOW"),COUNTIF(AC$6:AC430,"OVER-USED")+COUNTIF(AC$6:AC430,"LOW"),"")</f>
        <v/>
      </c>
    </row>
    <row r="431" customFormat="false" ht="15" hidden="false" customHeight="false" outlineLevel="0" collapsed="false">
      <c r="A431" s="8" t="str">
        <f aca="false">IF('Employee List'!B431="","",'Employee List'!B431)</f>
        <v/>
      </c>
      <c r="B431" s="8" t="str">
        <f aca="false">IF($A431="","",'Employee List'!C431)</f>
        <v/>
      </c>
      <c r="C431" s="8" t="str">
        <f aca="false">IF($A431="","",'Employee List'!E431&amp;"")</f>
        <v/>
      </c>
      <c r="D431" s="8" t="str">
        <f aca="false">IF($A431="","",'Employee List'!F431&amp;"")</f>
        <v/>
      </c>
      <c r="E431" s="8" t="str">
        <f aca="false">IF($A431="","",'Employee List'!G431&amp;"")</f>
        <v/>
      </c>
      <c r="F431" s="8" t="str">
        <f aca="false">IF($A431="","",'Employee List'!D431)</f>
        <v/>
      </c>
      <c r="G431" s="38" t="str">
        <f aca="false">IF($A431="","",IF('Employee List'!I431="","",'Employee List'!I431))</f>
        <v/>
      </c>
      <c r="H431" s="38" t="str">
        <f aca="false">IF(OR($A431="",G431=""),"",G431+Settings!$C$13)</f>
        <v/>
      </c>
      <c r="I431" s="38" t="str">
        <f aca="false">IF(H431="","",MAX(H431,DATE(LvYear,1,1)))</f>
        <v/>
      </c>
      <c r="J431" s="38" t="str">
        <f aca="false">IF($A431="","",IF('Employee List'!J431="",DATE(LvYear,12,31),MIN('Employee List'!J431,DATE(LvYear,12,31))))</f>
        <v/>
      </c>
      <c r="K431" s="39" t="str">
        <f aca="false">IF(OR(I431="",J431=""),"",MAX(0,J431-I431+1))</f>
        <v/>
      </c>
      <c r="L431" s="16" t="str">
        <f aca="false">IF($A431="","",IF(AND(ISNUMBER(K431),K431=0),0,Settings!$C$10))</f>
        <v/>
      </c>
      <c r="M431" s="16" t="str">
        <f aca="false">IF($A431="","",IF(AND(ISNUMBER(K431),K431=0),0,Settings!$C$11))</f>
        <v/>
      </c>
      <c r="N431" s="40"/>
      <c r="O431" s="16" t="str">
        <f aca="false">IF($A431="","",FLOOR(Settings!$C$12/365*N(K431),0.5))</f>
        <v/>
      </c>
      <c r="P431" s="16" t="str">
        <f aca="false">IF($A431="","",IF(I431="",N(N431),FLOOR(Settings!$C$12/365*MAX(0,MIN(LvAsOf,J431)-I431+1)+N(N431),0.5)))</f>
        <v/>
      </c>
      <c r="Q431" s="16" t="str">
        <f aca="false">IF($A431="","",Settings!$C$14)</f>
        <v/>
      </c>
      <c r="R431" s="16" t="str">
        <f aca="false">IF($A431="","",SUMIFS(Attendance!$AZ$6:$AZ$2405,Attendance!$B$6:$B$2405,$A431,Attendance!$A$6:$A$2405,"&gt;="&amp;DATE(LvYear,1,1),Attendance!$A$6:$A$2405,"&lt;="&amp;DATE(LvYear,12,31)))</f>
        <v/>
      </c>
      <c r="S431" s="16" t="str">
        <f aca="false">IF($A431="","",SUMIFS(Attendance!$AY$6:$AY$2405,Attendance!$B$6:$B$2405,$A431,Attendance!$A$6:$A$2405,"&gt;="&amp;DATE(LvYear,1,1),Attendance!$A$6:$A$2405,"&lt;="&amp;DATE(LvYear,12,31)))</f>
        <v/>
      </c>
      <c r="T431" s="16" t="str">
        <f aca="false">IF($A431="","",SUMIFS(Attendance!$AX$6:$AX$2405,Attendance!$B$6:$B$2405,$A431,Attendance!$A$6:$A$2405,"&gt;="&amp;DATE(LvYear,1,1),Attendance!$A$6:$A$2405,"&lt;="&amp;DATE(LvYear,12,31)))</f>
        <v/>
      </c>
      <c r="U431" s="16" t="str">
        <f aca="false">IF($A431="","",SUMIFS(Attendance!$AW$6:$AW$2405,Attendance!$B$6:$B$2405,$A431,Attendance!$A$6:$A$2405,"&gt;="&amp;DATE(LvYear,1,1),Attendance!$A$6:$A$2405,"&lt;="&amp;DATE(LvYear,12,31)))</f>
        <v/>
      </c>
      <c r="V431" s="16" t="str">
        <f aca="false">IF($A431="","",L431-R431)</f>
        <v/>
      </c>
      <c r="W431" s="16" t="str">
        <f aca="false">IF($A431="","",M431-S431)</f>
        <v/>
      </c>
      <c r="X431" s="16" t="str">
        <f aca="false">IF($A431="","",P431-T431)</f>
        <v/>
      </c>
      <c r="Y431" s="16" t="str">
        <f aca="false">IF($A431="","",Q431-U431)</f>
        <v/>
      </c>
      <c r="Z431" s="16" t="str">
        <f aca="false">IF($A431="","",V431+W431+X431)</f>
        <v/>
      </c>
      <c r="AA431" s="16" t="str">
        <f aca="false">IF($A431="","",O431+N(N431)-T431)</f>
        <v/>
      </c>
      <c r="AB431" s="8" t="str">
        <f aca="false">IF($A431="","","CL "&amp;V431&amp;" | SL "&amp;W431&amp;" | PL "&amp;X431&amp;" | TR "&amp;Y431)</f>
        <v/>
      </c>
      <c r="AC431" s="15" t="str">
        <f aca="false">IF($A431="","",IF(F431="Exited","EXITED",IF(AND(ISNUMBER(K431),K431=0),"NOT ELIGIBLE",IF(MIN(V431:X431)&lt;0,"OVER-USED",IF(Z431&lt;=Settings!$C$15,"LOW","OK")))))</f>
        <v/>
      </c>
      <c r="AD431" s="16" t="str">
        <f aca="false">IF(OR(AC431="OVER-USED",AC431="LOW"),COUNTIF(AC$6:AC431,"OVER-USED")+COUNTIF(AC$6:AC431,"LOW"),"")</f>
        <v/>
      </c>
    </row>
    <row r="432" customFormat="false" ht="15" hidden="false" customHeight="false" outlineLevel="0" collapsed="false">
      <c r="A432" s="8" t="str">
        <f aca="false">IF('Employee List'!B432="","",'Employee List'!B432)</f>
        <v/>
      </c>
      <c r="B432" s="8" t="str">
        <f aca="false">IF($A432="","",'Employee List'!C432)</f>
        <v/>
      </c>
      <c r="C432" s="8" t="str">
        <f aca="false">IF($A432="","",'Employee List'!E432&amp;"")</f>
        <v/>
      </c>
      <c r="D432" s="8" t="str">
        <f aca="false">IF($A432="","",'Employee List'!F432&amp;"")</f>
        <v/>
      </c>
      <c r="E432" s="8" t="str">
        <f aca="false">IF($A432="","",'Employee List'!G432&amp;"")</f>
        <v/>
      </c>
      <c r="F432" s="8" t="str">
        <f aca="false">IF($A432="","",'Employee List'!D432)</f>
        <v/>
      </c>
      <c r="G432" s="38" t="str">
        <f aca="false">IF($A432="","",IF('Employee List'!I432="","",'Employee List'!I432))</f>
        <v/>
      </c>
      <c r="H432" s="38" t="str">
        <f aca="false">IF(OR($A432="",G432=""),"",G432+Settings!$C$13)</f>
        <v/>
      </c>
      <c r="I432" s="38" t="str">
        <f aca="false">IF(H432="","",MAX(H432,DATE(LvYear,1,1)))</f>
        <v/>
      </c>
      <c r="J432" s="38" t="str">
        <f aca="false">IF($A432="","",IF('Employee List'!J432="",DATE(LvYear,12,31),MIN('Employee List'!J432,DATE(LvYear,12,31))))</f>
        <v/>
      </c>
      <c r="K432" s="39" t="str">
        <f aca="false">IF(OR(I432="",J432=""),"",MAX(0,J432-I432+1))</f>
        <v/>
      </c>
      <c r="L432" s="16" t="str">
        <f aca="false">IF($A432="","",IF(AND(ISNUMBER(K432),K432=0),0,Settings!$C$10))</f>
        <v/>
      </c>
      <c r="M432" s="16" t="str">
        <f aca="false">IF($A432="","",IF(AND(ISNUMBER(K432),K432=0),0,Settings!$C$11))</f>
        <v/>
      </c>
      <c r="N432" s="40"/>
      <c r="O432" s="16" t="str">
        <f aca="false">IF($A432="","",FLOOR(Settings!$C$12/365*N(K432),0.5))</f>
        <v/>
      </c>
      <c r="P432" s="16" t="str">
        <f aca="false">IF($A432="","",IF(I432="",N(N432),FLOOR(Settings!$C$12/365*MAX(0,MIN(LvAsOf,J432)-I432+1)+N(N432),0.5)))</f>
        <v/>
      </c>
      <c r="Q432" s="16" t="str">
        <f aca="false">IF($A432="","",Settings!$C$14)</f>
        <v/>
      </c>
      <c r="R432" s="16" t="str">
        <f aca="false">IF($A432="","",SUMIFS(Attendance!$AZ$6:$AZ$2405,Attendance!$B$6:$B$2405,$A432,Attendance!$A$6:$A$2405,"&gt;="&amp;DATE(LvYear,1,1),Attendance!$A$6:$A$2405,"&lt;="&amp;DATE(LvYear,12,31)))</f>
        <v/>
      </c>
      <c r="S432" s="16" t="str">
        <f aca="false">IF($A432="","",SUMIFS(Attendance!$AY$6:$AY$2405,Attendance!$B$6:$B$2405,$A432,Attendance!$A$6:$A$2405,"&gt;="&amp;DATE(LvYear,1,1),Attendance!$A$6:$A$2405,"&lt;="&amp;DATE(LvYear,12,31)))</f>
        <v/>
      </c>
      <c r="T432" s="16" t="str">
        <f aca="false">IF($A432="","",SUMIFS(Attendance!$AX$6:$AX$2405,Attendance!$B$6:$B$2405,$A432,Attendance!$A$6:$A$2405,"&gt;="&amp;DATE(LvYear,1,1),Attendance!$A$6:$A$2405,"&lt;="&amp;DATE(LvYear,12,31)))</f>
        <v/>
      </c>
      <c r="U432" s="16" t="str">
        <f aca="false">IF($A432="","",SUMIFS(Attendance!$AW$6:$AW$2405,Attendance!$B$6:$B$2405,$A432,Attendance!$A$6:$A$2405,"&gt;="&amp;DATE(LvYear,1,1),Attendance!$A$6:$A$2405,"&lt;="&amp;DATE(LvYear,12,31)))</f>
        <v/>
      </c>
      <c r="V432" s="16" t="str">
        <f aca="false">IF($A432="","",L432-R432)</f>
        <v/>
      </c>
      <c r="W432" s="16" t="str">
        <f aca="false">IF($A432="","",M432-S432)</f>
        <v/>
      </c>
      <c r="X432" s="16" t="str">
        <f aca="false">IF($A432="","",P432-T432)</f>
        <v/>
      </c>
      <c r="Y432" s="16" t="str">
        <f aca="false">IF($A432="","",Q432-U432)</f>
        <v/>
      </c>
      <c r="Z432" s="16" t="str">
        <f aca="false">IF($A432="","",V432+W432+X432)</f>
        <v/>
      </c>
      <c r="AA432" s="16" t="str">
        <f aca="false">IF($A432="","",O432+N(N432)-T432)</f>
        <v/>
      </c>
      <c r="AB432" s="8" t="str">
        <f aca="false">IF($A432="","","CL "&amp;V432&amp;" | SL "&amp;W432&amp;" | PL "&amp;X432&amp;" | TR "&amp;Y432)</f>
        <v/>
      </c>
      <c r="AC432" s="15" t="str">
        <f aca="false">IF($A432="","",IF(F432="Exited","EXITED",IF(AND(ISNUMBER(K432),K432=0),"NOT ELIGIBLE",IF(MIN(V432:X432)&lt;0,"OVER-USED",IF(Z432&lt;=Settings!$C$15,"LOW","OK")))))</f>
        <v/>
      </c>
      <c r="AD432" s="16" t="str">
        <f aca="false">IF(OR(AC432="OVER-USED",AC432="LOW"),COUNTIF(AC$6:AC432,"OVER-USED")+COUNTIF(AC$6:AC432,"LOW"),"")</f>
        <v/>
      </c>
    </row>
    <row r="433" customFormat="false" ht="15" hidden="false" customHeight="false" outlineLevel="0" collapsed="false">
      <c r="A433" s="8" t="str">
        <f aca="false">IF('Employee List'!B433="","",'Employee List'!B433)</f>
        <v/>
      </c>
      <c r="B433" s="8" t="str">
        <f aca="false">IF($A433="","",'Employee List'!C433)</f>
        <v/>
      </c>
      <c r="C433" s="8" t="str">
        <f aca="false">IF($A433="","",'Employee List'!E433&amp;"")</f>
        <v/>
      </c>
      <c r="D433" s="8" t="str">
        <f aca="false">IF($A433="","",'Employee List'!F433&amp;"")</f>
        <v/>
      </c>
      <c r="E433" s="8" t="str">
        <f aca="false">IF($A433="","",'Employee List'!G433&amp;"")</f>
        <v/>
      </c>
      <c r="F433" s="8" t="str">
        <f aca="false">IF($A433="","",'Employee List'!D433)</f>
        <v/>
      </c>
      <c r="G433" s="38" t="str">
        <f aca="false">IF($A433="","",IF('Employee List'!I433="","",'Employee List'!I433))</f>
        <v/>
      </c>
      <c r="H433" s="38" t="str">
        <f aca="false">IF(OR($A433="",G433=""),"",G433+Settings!$C$13)</f>
        <v/>
      </c>
      <c r="I433" s="38" t="str">
        <f aca="false">IF(H433="","",MAX(H433,DATE(LvYear,1,1)))</f>
        <v/>
      </c>
      <c r="J433" s="38" t="str">
        <f aca="false">IF($A433="","",IF('Employee List'!J433="",DATE(LvYear,12,31),MIN('Employee List'!J433,DATE(LvYear,12,31))))</f>
        <v/>
      </c>
      <c r="K433" s="39" t="str">
        <f aca="false">IF(OR(I433="",J433=""),"",MAX(0,J433-I433+1))</f>
        <v/>
      </c>
      <c r="L433" s="16" t="str">
        <f aca="false">IF($A433="","",IF(AND(ISNUMBER(K433),K433=0),0,Settings!$C$10))</f>
        <v/>
      </c>
      <c r="M433" s="16" t="str">
        <f aca="false">IF($A433="","",IF(AND(ISNUMBER(K433),K433=0),0,Settings!$C$11))</f>
        <v/>
      </c>
      <c r="N433" s="40"/>
      <c r="O433" s="16" t="str">
        <f aca="false">IF($A433="","",FLOOR(Settings!$C$12/365*N(K433),0.5))</f>
        <v/>
      </c>
      <c r="P433" s="16" t="str">
        <f aca="false">IF($A433="","",IF(I433="",N(N433),FLOOR(Settings!$C$12/365*MAX(0,MIN(LvAsOf,J433)-I433+1)+N(N433),0.5)))</f>
        <v/>
      </c>
      <c r="Q433" s="16" t="str">
        <f aca="false">IF($A433="","",Settings!$C$14)</f>
        <v/>
      </c>
      <c r="R433" s="16" t="str">
        <f aca="false">IF($A433="","",SUMIFS(Attendance!$AZ$6:$AZ$2405,Attendance!$B$6:$B$2405,$A433,Attendance!$A$6:$A$2405,"&gt;="&amp;DATE(LvYear,1,1),Attendance!$A$6:$A$2405,"&lt;="&amp;DATE(LvYear,12,31)))</f>
        <v/>
      </c>
      <c r="S433" s="16" t="str">
        <f aca="false">IF($A433="","",SUMIFS(Attendance!$AY$6:$AY$2405,Attendance!$B$6:$B$2405,$A433,Attendance!$A$6:$A$2405,"&gt;="&amp;DATE(LvYear,1,1),Attendance!$A$6:$A$2405,"&lt;="&amp;DATE(LvYear,12,31)))</f>
        <v/>
      </c>
      <c r="T433" s="16" t="str">
        <f aca="false">IF($A433="","",SUMIFS(Attendance!$AX$6:$AX$2405,Attendance!$B$6:$B$2405,$A433,Attendance!$A$6:$A$2405,"&gt;="&amp;DATE(LvYear,1,1),Attendance!$A$6:$A$2405,"&lt;="&amp;DATE(LvYear,12,31)))</f>
        <v/>
      </c>
      <c r="U433" s="16" t="str">
        <f aca="false">IF($A433="","",SUMIFS(Attendance!$AW$6:$AW$2405,Attendance!$B$6:$B$2405,$A433,Attendance!$A$6:$A$2405,"&gt;="&amp;DATE(LvYear,1,1),Attendance!$A$6:$A$2405,"&lt;="&amp;DATE(LvYear,12,31)))</f>
        <v/>
      </c>
      <c r="V433" s="16" t="str">
        <f aca="false">IF($A433="","",L433-R433)</f>
        <v/>
      </c>
      <c r="W433" s="16" t="str">
        <f aca="false">IF($A433="","",M433-S433)</f>
        <v/>
      </c>
      <c r="X433" s="16" t="str">
        <f aca="false">IF($A433="","",P433-T433)</f>
        <v/>
      </c>
      <c r="Y433" s="16" t="str">
        <f aca="false">IF($A433="","",Q433-U433)</f>
        <v/>
      </c>
      <c r="Z433" s="16" t="str">
        <f aca="false">IF($A433="","",V433+W433+X433)</f>
        <v/>
      </c>
      <c r="AA433" s="16" t="str">
        <f aca="false">IF($A433="","",O433+N(N433)-T433)</f>
        <v/>
      </c>
      <c r="AB433" s="8" t="str">
        <f aca="false">IF($A433="","","CL "&amp;V433&amp;" | SL "&amp;W433&amp;" | PL "&amp;X433&amp;" | TR "&amp;Y433)</f>
        <v/>
      </c>
      <c r="AC433" s="15" t="str">
        <f aca="false">IF($A433="","",IF(F433="Exited","EXITED",IF(AND(ISNUMBER(K433),K433=0),"NOT ELIGIBLE",IF(MIN(V433:X433)&lt;0,"OVER-USED",IF(Z433&lt;=Settings!$C$15,"LOW","OK")))))</f>
        <v/>
      </c>
      <c r="AD433" s="16" t="str">
        <f aca="false">IF(OR(AC433="OVER-USED",AC433="LOW"),COUNTIF(AC$6:AC433,"OVER-USED")+COUNTIF(AC$6:AC433,"LOW"),"")</f>
        <v/>
      </c>
    </row>
    <row r="434" customFormat="false" ht="15" hidden="false" customHeight="false" outlineLevel="0" collapsed="false">
      <c r="A434" s="8" t="str">
        <f aca="false">IF('Employee List'!B434="","",'Employee List'!B434)</f>
        <v/>
      </c>
      <c r="B434" s="8" t="str">
        <f aca="false">IF($A434="","",'Employee List'!C434)</f>
        <v/>
      </c>
      <c r="C434" s="8" t="str">
        <f aca="false">IF($A434="","",'Employee List'!E434&amp;"")</f>
        <v/>
      </c>
      <c r="D434" s="8" t="str">
        <f aca="false">IF($A434="","",'Employee List'!F434&amp;"")</f>
        <v/>
      </c>
      <c r="E434" s="8" t="str">
        <f aca="false">IF($A434="","",'Employee List'!G434&amp;"")</f>
        <v/>
      </c>
      <c r="F434" s="8" t="str">
        <f aca="false">IF($A434="","",'Employee List'!D434)</f>
        <v/>
      </c>
      <c r="G434" s="38" t="str">
        <f aca="false">IF($A434="","",IF('Employee List'!I434="","",'Employee List'!I434))</f>
        <v/>
      </c>
      <c r="H434" s="38" t="str">
        <f aca="false">IF(OR($A434="",G434=""),"",G434+Settings!$C$13)</f>
        <v/>
      </c>
      <c r="I434" s="38" t="str">
        <f aca="false">IF(H434="","",MAX(H434,DATE(LvYear,1,1)))</f>
        <v/>
      </c>
      <c r="J434" s="38" t="str">
        <f aca="false">IF($A434="","",IF('Employee List'!J434="",DATE(LvYear,12,31),MIN('Employee List'!J434,DATE(LvYear,12,31))))</f>
        <v/>
      </c>
      <c r="K434" s="39" t="str">
        <f aca="false">IF(OR(I434="",J434=""),"",MAX(0,J434-I434+1))</f>
        <v/>
      </c>
      <c r="L434" s="16" t="str">
        <f aca="false">IF($A434="","",IF(AND(ISNUMBER(K434),K434=0),0,Settings!$C$10))</f>
        <v/>
      </c>
      <c r="M434" s="16" t="str">
        <f aca="false">IF($A434="","",IF(AND(ISNUMBER(K434),K434=0),0,Settings!$C$11))</f>
        <v/>
      </c>
      <c r="N434" s="40"/>
      <c r="O434" s="16" t="str">
        <f aca="false">IF($A434="","",FLOOR(Settings!$C$12/365*N(K434),0.5))</f>
        <v/>
      </c>
      <c r="P434" s="16" t="str">
        <f aca="false">IF($A434="","",IF(I434="",N(N434),FLOOR(Settings!$C$12/365*MAX(0,MIN(LvAsOf,J434)-I434+1)+N(N434),0.5)))</f>
        <v/>
      </c>
      <c r="Q434" s="16" t="str">
        <f aca="false">IF($A434="","",Settings!$C$14)</f>
        <v/>
      </c>
      <c r="R434" s="16" t="str">
        <f aca="false">IF($A434="","",SUMIFS(Attendance!$AZ$6:$AZ$2405,Attendance!$B$6:$B$2405,$A434,Attendance!$A$6:$A$2405,"&gt;="&amp;DATE(LvYear,1,1),Attendance!$A$6:$A$2405,"&lt;="&amp;DATE(LvYear,12,31)))</f>
        <v/>
      </c>
      <c r="S434" s="16" t="str">
        <f aca="false">IF($A434="","",SUMIFS(Attendance!$AY$6:$AY$2405,Attendance!$B$6:$B$2405,$A434,Attendance!$A$6:$A$2405,"&gt;="&amp;DATE(LvYear,1,1),Attendance!$A$6:$A$2405,"&lt;="&amp;DATE(LvYear,12,31)))</f>
        <v/>
      </c>
      <c r="T434" s="16" t="str">
        <f aca="false">IF($A434="","",SUMIFS(Attendance!$AX$6:$AX$2405,Attendance!$B$6:$B$2405,$A434,Attendance!$A$6:$A$2405,"&gt;="&amp;DATE(LvYear,1,1),Attendance!$A$6:$A$2405,"&lt;="&amp;DATE(LvYear,12,31)))</f>
        <v/>
      </c>
      <c r="U434" s="16" t="str">
        <f aca="false">IF($A434="","",SUMIFS(Attendance!$AW$6:$AW$2405,Attendance!$B$6:$B$2405,$A434,Attendance!$A$6:$A$2405,"&gt;="&amp;DATE(LvYear,1,1),Attendance!$A$6:$A$2405,"&lt;="&amp;DATE(LvYear,12,31)))</f>
        <v/>
      </c>
      <c r="V434" s="16" t="str">
        <f aca="false">IF($A434="","",L434-R434)</f>
        <v/>
      </c>
      <c r="W434" s="16" t="str">
        <f aca="false">IF($A434="","",M434-S434)</f>
        <v/>
      </c>
      <c r="X434" s="16" t="str">
        <f aca="false">IF($A434="","",P434-T434)</f>
        <v/>
      </c>
      <c r="Y434" s="16" t="str">
        <f aca="false">IF($A434="","",Q434-U434)</f>
        <v/>
      </c>
      <c r="Z434" s="16" t="str">
        <f aca="false">IF($A434="","",V434+W434+X434)</f>
        <v/>
      </c>
      <c r="AA434" s="16" t="str">
        <f aca="false">IF($A434="","",O434+N(N434)-T434)</f>
        <v/>
      </c>
      <c r="AB434" s="8" t="str">
        <f aca="false">IF($A434="","","CL "&amp;V434&amp;" | SL "&amp;W434&amp;" | PL "&amp;X434&amp;" | TR "&amp;Y434)</f>
        <v/>
      </c>
      <c r="AC434" s="15" t="str">
        <f aca="false">IF($A434="","",IF(F434="Exited","EXITED",IF(AND(ISNUMBER(K434),K434=0),"NOT ELIGIBLE",IF(MIN(V434:X434)&lt;0,"OVER-USED",IF(Z434&lt;=Settings!$C$15,"LOW","OK")))))</f>
        <v/>
      </c>
      <c r="AD434" s="16" t="str">
        <f aca="false">IF(OR(AC434="OVER-USED",AC434="LOW"),COUNTIF(AC$6:AC434,"OVER-USED")+COUNTIF(AC$6:AC434,"LOW"),"")</f>
        <v/>
      </c>
    </row>
    <row r="435" customFormat="false" ht="15" hidden="false" customHeight="false" outlineLevel="0" collapsed="false">
      <c r="A435" s="8" t="str">
        <f aca="false">IF('Employee List'!B435="","",'Employee List'!B435)</f>
        <v/>
      </c>
      <c r="B435" s="8" t="str">
        <f aca="false">IF($A435="","",'Employee List'!C435)</f>
        <v/>
      </c>
      <c r="C435" s="8" t="str">
        <f aca="false">IF($A435="","",'Employee List'!E435&amp;"")</f>
        <v/>
      </c>
      <c r="D435" s="8" t="str">
        <f aca="false">IF($A435="","",'Employee List'!F435&amp;"")</f>
        <v/>
      </c>
      <c r="E435" s="8" t="str">
        <f aca="false">IF($A435="","",'Employee List'!G435&amp;"")</f>
        <v/>
      </c>
      <c r="F435" s="8" t="str">
        <f aca="false">IF($A435="","",'Employee List'!D435)</f>
        <v/>
      </c>
      <c r="G435" s="38" t="str">
        <f aca="false">IF($A435="","",IF('Employee List'!I435="","",'Employee List'!I435))</f>
        <v/>
      </c>
      <c r="H435" s="38" t="str">
        <f aca="false">IF(OR($A435="",G435=""),"",G435+Settings!$C$13)</f>
        <v/>
      </c>
      <c r="I435" s="38" t="str">
        <f aca="false">IF(H435="","",MAX(H435,DATE(LvYear,1,1)))</f>
        <v/>
      </c>
      <c r="J435" s="38" t="str">
        <f aca="false">IF($A435="","",IF('Employee List'!J435="",DATE(LvYear,12,31),MIN('Employee List'!J435,DATE(LvYear,12,31))))</f>
        <v/>
      </c>
      <c r="K435" s="39" t="str">
        <f aca="false">IF(OR(I435="",J435=""),"",MAX(0,J435-I435+1))</f>
        <v/>
      </c>
      <c r="L435" s="16" t="str">
        <f aca="false">IF($A435="","",IF(AND(ISNUMBER(K435),K435=0),0,Settings!$C$10))</f>
        <v/>
      </c>
      <c r="M435" s="16" t="str">
        <f aca="false">IF($A435="","",IF(AND(ISNUMBER(K435),K435=0),0,Settings!$C$11))</f>
        <v/>
      </c>
      <c r="N435" s="40"/>
      <c r="O435" s="16" t="str">
        <f aca="false">IF($A435="","",FLOOR(Settings!$C$12/365*N(K435),0.5))</f>
        <v/>
      </c>
      <c r="P435" s="16" t="str">
        <f aca="false">IF($A435="","",IF(I435="",N(N435),FLOOR(Settings!$C$12/365*MAX(0,MIN(LvAsOf,J435)-I435+1)+N(N435),0.5)))</f>
        <v/>
      </c>
      <c r="Q435" s="16" t="str">
        <f aca="false">IF($A435="","",Settings!$C$14)</f>
        <v/>
      </c>
      <c r="R435" s="16" t="str">
        <f aca="false">IF($A435="","",SUMIFS(Attendance!$AZ$6:$AZ$2405,Attendance!$B$6:$B$2405,$A435,Attendance!$A$6:$A$2405,"&gt;="&amp;DATE(LvYear,1,1),Attendance!$A$6:$A$2405,"&lt;="&amp;DATE(LvYear,12,31)))</f>
        <v/>
      </c>
      <c r="S435" s="16" t="str">
        <f aca="false">IF($A435="","",SUMIFS(Attendance!$AY$6:$AY$2405,Attendance!$B$6:$B$2405,$A435,Attendance!$A$6:$A$2405,"&gt;="&amp;DATE(LvYear,1,1),Attendance!$A$6:$A$2405,"&lt;="&amp;DATE(LvYear,12,31)))</f>
        <v/>
      </c>
      <c r="T435" s="16" t="str">
        <f aca="false">IF($A435="","",SUMIFS(Attendance!$AX$6:$AX$2405,Attendance!$B$6:$B$2405,$A435,Attendance!$A$6:$A$2405,"&gt;="&amp;DATE(LvYear,1,1),Attendance!$A$6:$A$2405,"&lt;="&amp;DATE(LvYear,12,31)))</f>
        <v/>
      </c>
      <c r="U435" s="16" t="str">
        <f aca="false">IF($A435="","",SUMIFS(Attendance!$AW$6:$AW$2405,Attendance!$B$6:$B$2405,$A435,Attendance!$A$6:$A$2405,"&gt;="&amp;DATE(LvYear,1,1),Attendance!$A$6:$A$2405,"&lt;="&amp;DATE(LvYear,12,31)))</f>
        <v/>
      </c>
      <c r="V435" s="16" t="str">
        <f aca="false">IF($A435="","",L435-R435)</f>
        <v/>
      </c>
      <c r="W435" s="16" t="str">
        <f aca="false">IF($A435="","",M435-S435)</f>
        <v/>
      </c>
      <c r="X435" s="16" t="str">
        <f aca="false">IF($A435="","",P435-T435)</f>
        <v/>
      </c>
      <c r="Y435" s="16" t="str">
        <f aca="false">IF($A435="","",Q435-U435)</f>
        <v/>
      </c>
      <c r="Z435" s="16" t="str">
        <f aca="false">IF($A435="","",V435+W435+X435)</f>
        <v/>
      </c>
      <c r="AA435" s="16" t="str">
        <f aca="false">IF($A435="","",O435+N(N435)-T435)</f>
        <v/>
      </c>
      <c r="AB435" s="8" t="str">
        <f aca="false">IF($A435="","","CL "&amp;V435&amp;" | SL "&amp;W435&amp;" | PL "&amp;X435&amp;" | TR "&amp;Y435)</f>
        <v/>
      </c>
      <c r="AC435" s="15" t="str">
        <f aca="false">IF($A435="","",IF(F435="Exited","EXITED",IF(AND(ISNUMBER(K435),K435=0),"NOT ELIGIBLE",IF(MIN(V435:X435)&lt;0,"OVER-USED",IF(Z435&lt;=Settings!$C$15,"LOW","OK")))))</f>
        <v/>
      </c>
      <c r="AD435" s="16" t="str">
        <f aca="false">IF(OR(AC435="OVER-USED",AC435="LOW"),COUNTIF(AC$6:AC435,"OVER-USED")+COUNTIF(AC$6:AC435,"LOW"),"")</f>
        <v/>
      </c>
    </row>
    <row r="436" customFormat="false" ht="15" hidden="false" customHeight="false" outlineLevel="0" collapsed="false">
      <c r="A436" s="8" t="str">
        <f aca="false">IF('Employee List'!B436="","",'Employee List'!B436)</f>
        <v/>
      </c>
      <c r="B436" s="8" t="str">
        <f aca="false">IF($A436="","",'Employee List'!C436)</f>
        <v/>
      </c>
      <c r="C436" s="8" t="str">
        <f aca="false">IF($A436="","",'Employee List'!E436&amp;"")</f>
        <v/>
      </c>
      <c r="D436" s="8" t="str">
        <f aca="false">IF($A436="","",'Employee List'!F436&amp;"")</f>
        <v/>
      </c>
      <c r="E436" s="8" t="str">
        <f aca="false">IF($A436="","",'Employee List'!G436&amp;"")</f>
        <v/>
      </c>
      <c r="F436" s="8" t="str">
        <f aca="false">IF($A436="","",'Employee List'!D436)</f>
        <v/>
      </c>
      <c r="G436" s="38" t="str">
        <f aca="false">IF($A436="","",IF('Employee List'!I436="","",'Employee List'!I436))</f>
        <v/>
      </c>
      <c r="H436" s="38" t="str">
        <f aca="false">IF(OR($A436="",G436=""),"",G436+Settings!$C$13)</f>
        <v/>
      </c>
      <c r="I436" s="38" t="str">
        <f aca="false">IF(H436="","",MAX(H436,DATE(LvYear,1,1)))</f>
        <v/>
      </c>
      <c r="J436" s="38" t="str">
        <f aca="false">IF($A436="","",IF('Employee List'!J436="",DATE(LvYear,12,31),MIN('Employee List'!J436,DATE(LvYear,12,31))))</f>
        <v/>
      </c>
      <c r="K436" s="39" t="str">
        <f aca="false">IF(OR(I436="",J436=""),"",MAX(0,J436-I436+1))</f>
        <v/>
      </c>
      <c r="L436" s="16" t="str">
        <f aca="false">IF($A436="","",IF(AND(ISNUMBER(K436),K436=0),0,Settings!$C$10))</f>
        <v/>
      </c>
      <c r="M436" s="16" t="str">
        <f aca="false">IF($A436="","",IF(AND(ISNUMBER(K436),K436=0),0,Settings!$C$11))</f>
        <v/>
      </c>
      <c r="N436" s="40"/>
      <c r="O436" s="16" t="str">
        <f aca="false">IF($A436="","",FLOOR(Settings!$C$12/365*N(K436),0.5))</f>
        <v/>
      </c>
      <c r="P436" s="16" t="str">
        <f aca="false">IF($A436="","",IF(I436="",N(N436),FLOOR(Settings!$C$12/365*MAX(0,MIN(LvAsOf,J436)-I436+1)+N(N436),0.5)))</f>
        <v/>
      </c>
      <c r="Q436" s="16" t="str">
        <f aca="false">IF($A436="","",Settings!$C$14)</f>
        <v/>
      </c>
      <c r="R436" s="16" t="str">
        <f aca="false">IF($A436="","",SUMIFS(Attendance!$AZ$6:$AZ$2405,Attendance!$B$6:$B$2405,$A436,Attendance!$A$6:$A$2405,"&gt;="&amp;DATE(LvYear,1,1),Attendance!$A$6:$A$2405,"&lt;="&amp;DATE(LvYear,12,31)))</f>
        <v/>
      </c>
      <c r="S436" s="16" t="str">
        <f aca="false">IF($A436="","",SUMIFS(Attendance!$AY$6:$AY$2405,Attendance!$B$6:$B$2405,$A436,Attendance!$A$6:$A$2405,"&gt;="&amp;DATE(LvYear,1,1),Attendance!$A$6:$A$2405,"&lt;="&amp;DATE(LvYear,12,31)))</f>
        <v/>
      </c>
      <c r="T436" s="16" t="str">
        <f aca="false">IF($A436="","",SUMIFS(Attendance!$AX$6:$AX$2405,Attendance!$B$6:$B$2405,$A436,Attendance!$A$6:$A$2405,"&gt;="&amp;DATE(LvYear,1,1),Attendance!$A$6:$A$2405,"&lt;="&amp;DATE(LvYear,12,31)))</f>
        <v/>
      </c>
      <c r="U436" s="16" t="str">
        <f aca="false">IF($A436="","",SUMIFS(Attendance!$AW$6:$AW$2405,Attendance!$B$6:$B$2405,$A436,Attendance!$A$6:$A$2405,"&gt;="&amp;DATE(LvYear,1,1),Attendance!$A$6:$A$2405,"&lt;="&amp;DATE(LvYear,12,31)))</f>
        <v/>
      </c>
      <c r="V436" s="16" t="str">
        <f aca="false">IF($A436="","",L436-R436)</f>
        <v/>
      </c>
      <c r="W436" s="16" t="str">
        <f aca="false">IF($A436="","",M436-S436)</f>
        <v/>
      </c>
      <c r="X436" s="16" t="str">
        <f aca="false">IF($A436="","",P436-T436)</f>
        <v/>
      </c>
      <c r="Y436" s="16" t="str">
        <f aca="false">IF($A436="","",Q436-U436)</f>
        <v/>
      </c>
      <c r="Z436" s="16" t="str">
        <f aca="false">IF($A436="","",V436+W436+X436)</f>
        <v/>
      </c>
      <c r="AA436" s="16" t="str">
        <f aca="false">IF($A436="","",O436+N(N436)-T436)</f>
        <v/>
      </c>
      <c r="AB436" s="8" t="str">
        <f aca="false">IF($A436="","","CL "&amp;V436&amp;" | SL "&amp;W436&amp;" | PL "&amp;X436&amp;" | TR "&amp;Y436)</f>
        <v/>
      </c>
      <c r="AC436" s="15" t="str">
        <f aca="false">IF($A436="","",IF(F436="Exited","EXITED",IF(AND(ISNUMBER(K436),K436=0),"NOT ELIGIBLE",IF(MIN(V436:X436)&lt;0,"OVER-USED",IF(Z436&lt;=Settings!$C$15,"LOW","OK")))))</f>
        <v/>
      </c>
      <c r="AD436" s="16" t="str">
        <f aca="false">IF(OR(AC436="OVER-USED",AC436="LOW"),COUNTIF(AC$6:AC436,"OVER-USED")+COUNTIF(AC$6:AC436,"LOW"),"")</f>
        <v/>
      </c>
    </row>
    <row r="437" customFormat="false" ht="15" hidden="false" customHeight="false" outlineLevel="0" collapsed="false">
      <c r="A437" s="8" t="str">
        <f aca="false">IF('Employee List'!B437="","",'Employee List'!B437)</f>
        <v/>
      </c>
      <c r="B437" s="8" t="str">
        <f aca="false">IF($A437="","",'Employee List'!C437)</f>
        <v/>
      </c>
      <c r="C437" s="8" t="str">
        <f aca="false">IF($A437="","",'Employee List'!E437&amp;"")</f>
        <v/>
      </c>
      <c r="D437" s="8" t="str">
        <f aca="false">IF($A437="","",'Employee List'!F437&amp;"")</f>
        <v/>
      </c>
      <c r="E437" s="8" t="str">
        <f aca="false">IF($A437="","",'Employee List'!G437&amp;"")</f>
        <v/>
      </c>
      <c r="F437" s="8" t="str">
        <f aca="false">IF($A437="","",'Employee List'!D437)</f>
        <v/>
      </c>
      <c r="G437" s="38" t="str">
        <f aca="false">IF($A437="","",IF('Employee List'!I437="","",'Employee List'!I437))</f>
        <v/>
      </c>
      <c r="H437" s="38" t="str">
        <f aca="false">IF(OR($A437="",G437=""),"",G437+Settings!$C$13)</f>
        <v/>
      </c>
      <c r="I437" s="38" t="str">
        <f aca="false">IF(H437="","",MAX(H437,DATE(LvYear,1,1)))</f>
        <v/>
      </c>
      <c r="J437" s="38" t="str">
        <f aca="false">IF($A437="","",IF('Employee List'!J437="",DATE(LvYear,12,31),MIN('Employee List'!J437,DATE(LvYear,12,31))))</f>
        <v/>
      </c>
      <c r="K437" s="39" t="str">
        <f aca="false">IF(OR(I437="",J437=""),"",MAX(0,J437-I437+1))</f>
        <v/>
      </c>
      <c r="L437" s="16" t="str">
        <f aca="false">IF($A437="","",IF(AND(ISNUMBER(K437),K437=0),0,Settings!$C$10))</f>
        <v/>
      </c>
      <c r="M437" s="16" t="str">
        <f aca="false">IF($A437="","",IF(AND(ISNUMBER(K437),K437=0),0,Settings!$C$11))</f>
        <v/>
      </c>
      <c r="N437" s="40"/>
      <c r="O437" s="16" t="str">
        <f aca="false">IF($A437="","",FLOOR(Settings!$C$12/365*N(K437),0.5))</f>
        <v/>
      </c>
      <c r="P437" s="16" t="str">
        <f aca="false">IF($A437="","",IF(I437="",N(N437),FLOOR(Settings!$C$12/365*MAX(0,MIN(LvAsOf,J437)-I437+1)+N(N437),0.5)))</f>
        <v/>
      </c>
      <c r="Q437" s="16" t="str">
        <f aca="false">IF($A437="","",Settings!$C$14)</f>
        <v/>
      </c>
      <c r="R437" s="16" t="str">
        <f aca="false">IF($A437="","",SUMIFS(Attendance!$AZ$6:$AZ$2405,Attendance!$B$6:$B$2405,$A437,Attendance!$A$6:$A$2405,"&gt;="&amp;DATE(LvYear,1,1),Attendance!$A$6:$A$2405,"&lt;="&amp;DATE(LvYear,12,31)))</f>
        <v/>
      </c>
      <c r="S437" s="16" t="str">
        <f aca="false">IF($A437="","",SUMIFS(Attendance!$AY$6:$AY$2405,Attendance!$B$6:$B$2405,$A437,Attendance!$A$6:$A$2405,"&gt;="&amp;DATE(LvYear,1,1),Attendance!$A$6:$A$2405,"&lt;="&amp;DATE(LvYear,12,31)))</f>
        <v/>
      </c>
      <c r="T437" s="16" t="str">
        <f aca="false">IF($A437="","",SUMIFS(Attendance!$AX$6:$AX$2405,Attendance!$B$6:$B$2405,$A437,Attendance!$A$6:$A$2405,"&gt;="&amp;DATE(LvYear,1,1),Attendance!$A$6:$A$2405,"&lt;="&amp;DATE(LvYear,12,31)))</f>
        <v/>
      </c>
      <c r="U437" s="16" t="str">
        <f aca="false">IF($A437="","",SUMIFS(Attendance!$AW$6:$AW$2405,Attendance!$B$6:$B$2405,$A437,Attendance!$A$6:$A$2405,"&gt;="&amp;DATE(LvYear,1,1),Attendance!$A$6:$A$2405,"&lt;="&amp;DATE(LvYear,12,31)))</f>
        <v/>
      </c>
      <c r="V437" s="16" t="str">
        <f aca="false">IF($A437="","",L437-R437)</f>
        <v/>
      </c>
      <c r="W437" s="16" t="str">
        <f aca="false">IF($A437="","",M437-S437)</f>
        <v/>
      </c>
      <c r="X437" s="16" t="str">
        <f aca="false">IF($A437="","",P437-T437)</f>
        <v/>
      </c>
      <c r="Y437" s="16" t="str">
        <f aca="false">IF($A437="","",Q437-U437)</f>
        <v/>
      </c>
      <c r="Z437" s="16" t="str">
        <f aca="false">IF($A437="","",V437+W437+X437)</f>
        <v/>
      </c>
      <c r="AA437" s="16" t="str">
        <f aca="false">IF($A437="","",O437+N(N437)-T437)</f>
        <v/>
      </c>
      <c r="AB437" s="8" t="str">
        <f aca="false">IF($A437="","","CL "&amp;V437&amp;" | SL "&amp;W437&amp;" | PL "&amp;X437&amp;" | TR "&amp;Y437)</f>
        <v/>
      </c>
      <c r="AC437" s="15" t="str">
        <f aca="false">IF($A437="","",IF(F437="Exited","EXITED",IF(AND(ISNUMBER(K437),K437=0),"NOT ELIGIBLE",IF(MIN(V437:X437)&lt;0,"OVER-USED",IF(Z437&lt;=Settings!$C$15,"LOW","OK")))))</f>
        <v/>
      </c>
      <c r="AD437" s="16" t="str">
        <f aca="false">IF(OR(AC437="OVER-USED",AC437="LOW"),COUNTIF(AC$6:AC437,"OVER-USED")+COUNTIF(AC$6:AC437,"LOW"),"")</f>
        <v/>
      </c>
    </row>
    <row r="438" customFormat="false" ht="15" hidden="false" customHeight="false" outlineLevel="0" collapsed="false">
      <c r="A438" s="8" t="str">
        <f aca="false">IF('Employee List'!B438="","",'Employee List'!B438)</f>
        <v/>
      </c>
      <c r="B438" s="8" t="str">
        <f aca="false">IF($A438="","",'Employee List'!C438)</f>
        <v/>
      </c>
      <c r="C438" s="8" t="str">
        <f aca="false">IF($A438="","",'Employee List'!E438&amp;"")</f>
        <v/>
      </c>
      <c r="D438" s="8" t="str">
        <f aca="false">IF($A438="","",'Employee List'!F438&amp;"")</f>
        <v/>
      </c>
      <c r="E438" s="8" t="str">
        <f aca="false">IF($A438="","",'Employee List'!G438&amp;"")</f>
        <v/>
      </c>
      <c r="F438" s="8" t="str">
        <f aca="false">IF($A438="","",'Employee List'!D438)</f>
        <v/>
      </c>
      <c r="G438" s="38" t="str">
        <f aca="false">IF($A438="","",IF('Employee List'!I438="","",'Employee List'!I438))</f>
        <v/>
      </c>
      <c r="H438" s="38" t="str">
        <f aca="false">IF(OR($A438="",G438=""),"",G438+Settings!$C$13)</f>
        <v/>
      </c>
      <c r="I438" s="38" t="str">
        <f aca="false">IF(H438="","",MAX(H438,DATE(LvYear,1,1)))</f>
        <v/>
      </c>
      <c r="J438" s="38" t="str">
        <f aca="false">IF($A438="","",IF('Employee List'!J438="",DATE(LvYear,12,31),MIN('Employee List'!J438,DATE(LvYear,12,31))))</f>
        <v/>
      </c>
      <c r="K438" s="39" t="str">
        <f aca="false">IF(OR(I438="",J438=""),"",MAX(0,J438-I438+1))</f>
        <v/>
      </c>
      <c r="L438" s="16" t="str">
        <f aca="false">IF($A438="","",IF(AND(ISNUMBER(K438),K438=0),0,Settings!$C$10))</f>
        <v/>
      </c>
      <c r="M438" s="16" t="str">
        <f aca="false">IF($A438="","",IF(AND(ISNUMBER(K438),K438=0),0,Settings!$C$11))</f>
        <v/>
      </c>
      <c r="N438" s="40"/>
      <c r="O438" s="16" t="str">
        <f aca="false">IF($A438="","",FLOOR(Settings!$C$12/365*N(K438),0.5))</f>
        <v/>
      </c>
      <c r="P438" s="16" t="str">
        <f aca="false">IF($A438="","",IF(I438="",N(N438),FLOOR(Settings!$C$12/365*MAX(0,MIN(LvAsOf,J438)-I438+1)+N(N438),0.5)))</f>
        <v/>
      </c>
      <c r="Q438" s="16" t="str">
        <f aca="false">IF($A438="","",Settings!$C$14)</f>
        <v/>
      </c>
      <c r="R438" s="16" t="str">
        <f aca="false">IF($A438="","",SUMIFS(Attendance!$AZ$6:$AZ$2405,Attendance!$B$6:$B$2405,$A438,Attendance!$A$6:$A$2405,"&gt;="&amp;DATE(LvYear,1,1),Attendance!$A$6:$A$2405,"&lt;="&amp;DATE(LvYear,12,31)))</f>
        <v/>
      </c>
      <c r="S438" s="16" t="str">
        <f aca="false">IF($A438="","",SUMIFS(Attendance!$AY$6:$AY$2405,Attendance!$B$6:$B$2405,$A438,Attendance!$A$6:$A$2405,"&gt;="&amp;DATE(LvYear,1,1),Attendance!$A$6:$A$2405,"&lt;="&amp;DATE(LvYear,12,31)))</f>
        <v/>
      </c>
      <c r="T438" s="16" t="str">
        <f aca="false">IF($A438="","",SUMIFS(Attendance!$AX$6:$AX$2405,Attendance!$B$6:$B$2405,$A438,Attendance!$A$6:$A$2405,"&gt;="&amp;DATE(LvYear,1,1),Attendance!$A$6:$A$2405,"&lt;="&amp;DATE(LvYear,12,31)))</f>
        <v/>
      </c>
      <c r="U438" s="16" t="str">
        <f aca="false">IF($A438="","",SUMIFS(Attendance!$AW$6:$AW$2405,Attendance!$B$6:$B$2405,$A438,Attendance!$A$6:$A$2405,"&gt;="&amp;DATE(LvYear,1,1),Attendance!$A$6:$A$2405,"&lt;="&amp;DATE(LvYear,12,31)))</f>
        <v/>
      </c>
      <c r="V438" s="16" t="str">
        <f aca="false">IF($A438="","",L438-R438)</f>
        <v/>
      </c>
      <c r="W438" s="16" t="str">
        <f aca="false">IF($A438="","",M438-S438)</f>
        <v/>
      </c>
      <c r="X438" s="16" t="str">
        <f aca="false">IF($A438="","",P438-T438)</f>
        <v/>
      </c>
      <c r="Y438" s="16" t="str">
        <f aca="false">IF($A438="","",Q438-U438)</f>
        <v/>
      </c>
      <c r="Z438" s="16" t="str">
        <f aca="false">IF($A438="","",V438+W438+X438)</f>
        <v/>
      </c>
      <c r="AA438" s="16" t="str">
        <f aca="false">IF($A438="","",O438+N(N438)-T438)</f>
        <v/>
      </c>
      <c r="AB438" s="8" t="str">
        <f aca="false">IF($A438="","","CL "&amp;V438&amp;" | SL "&amp;W438&amp;" | PL "&amp;X438&amp;" | TR "&amp;Y438)</f>
        <v/>
      </c>
      <c r="AC438" s="15" t="str">
        <f aca="false">IF($A438="","",IF(F438="Exited","EXITED",IF(AND(ISNUMBER(K438),K438=0),"NOT ELIGIBLE",IF(MIN(V438:X438)&lt;0,"OVER-USED",IF(Z438&lt;=Settings!$C$15,"LOW","OK")))))</f>
        <v/>
      </c>
      <c r="AD438" s="16" t="str">
        <f aca="false">IF(OR(AC438="OVER-USED",AC438="LOW"),COUNTIF(AC$6:AC438,"OVER-USED")+COUNTIF(AC$6:AC438,"LOW"),"")</f>
        <v/>
      </c>
    </row>
    <row r="439" customFormat="false" ht="15" hidden="false" customHeight="false" outlineLevel="0" collapsed="false">
      <c r="A439" s="8" t="str">
        <f aca="false">IF('Employee List'!B439="","",'Employee List'!B439)</f>
        <v/>
      </c>
      <c r="B439" s="8" t="str">
        <f aca="false">IF($A439="","",'Employee List'!C439)</f>
        <v/>
      </c>
      <c r="C439" s="8" t="str">
        <f aca="false">IF($A439="","",'Employee List'!E439&amp;"")</f>
        <v/>
      </c>
      <c r="D439" s="8" t="str">
        <f aca="false">IF($A439="","",'Employee List'!F439&amp;"")</f>
        <v/>
      </c>
      <c r="E439" s="8" t="str">
        <f aca="false">IF($A439="","",'Employee List'!G439&amp;"")</f>
        <v/>
      </c>
      <c r="F439" s="8" t="str">
        <f aca="false">IF($A439="","",'Employee List'!D439)</f>
        <v/>
      </c>
      <c r="G439" s="38" t="str">
        <f aca="false">IF($A439="","",IF('Employee List'!I439="","",'Employee List'!I439))</f>
        <v/>
      </c>
      <c r="H439" s="38" t="str">
        <f aca="false">IF(OR($A439="",G439=""),"",G439+Settings!$C$13)</f>
        <v/>
      </c>
      <c r="I439" s="38" t="str">
        <f aca="false">IF(H439="","",MAX(H439,DATE(LvYear,1,1)))</f>
        <v/>
      </c>
      <c r="J439" s="38" t="str">
        <f aca="false">IF($A439="","",IF('Employee List'!J439="",DATE(LvYear,12,31),MIN('Employee List'!J439,DATE(LvYear,12,31))))</f>
        <v/>
      </c>
      <c r="K439" s="39" t="str">
        <f aca="false">IF(OR(I439="",J439=""),"",MAX(0,J439-I439+1))</f>
        <v/>
      </c>
      <c r="L439" s="16" t="str">
        <f aca="false">IF($A439="","",IF(AND(ISNUMBER(K439),K439=0),0,Settings!$C$10))</f>
        <v/>
      </c>
      <c r="M439" s="16" t="str">
        <f aca="false">IF($A439="","",IF(AND(ISNUMBER(K439),K439=0),0,Settings!$C$11))</f>
        <v/>
      </c>
      <c r="N439" s="40"/>
      <c r="O439" s="16" t="str">
        <f aca="false">IF($A439="","",FLOOR(Settings!$C$12/365*N(K439),0.5))</f>
        <v/>
      </c>
      <c r="P439" s="16" t="str">
        <f aca="false">IF($A439="","",IF(I439="",N(N439),FLOOR(Settings!$C$12/365*MAX(0,MIN(LvAsOf,J439)-I439+1)+N(N439),0.5)))</f>
        <v/>
      </c>
      <c r="Q439" s="16" t="str">
        <f aca="false">IF($A439="","",Settings!$C$14)</f>
        <v/>
      </c>
      <c r="R439" s="16" t="str">
        <f aca="false">IF($A439="","",SUMIFS(Attendance!$AZ$6:$AZ$2405,Attendance!$B$6:$B$2405,$A439,Attendance!$A$6:$A$2405,"&gt;="&amp;DATE(LvYear,1,1),Attendance!$A$6:$A$2405,"&lt;="&amp;DATE(LvYear,12,31)))</f>
        <v/>
      </c>
      <c r="S439" s="16" t="str">
        <f aca="false">IF($A439="","",SUMIFS(Attendance!$AY$6:$AY$2405,Attendance!$B$6:$B$2405,$A439,Attendance!$A$6:$A$2405,"&gt;="&amp;DATE(LvYear,1,1),Attendance!$A$6:$A$2405,"&lt;="&amp;DATE(LvYear,12,31)))</f>
        <v/>
      </c>
      <c r="T439" s="16" t="str">
        <f aca="false">IF($A439="","",SUMIFS(Attendance!$AX$6:$AX$2405,Attendance!$B$6:$B$2405,$A439,Attendance!$A$6:$A$2405,"&gt;="&amp;DATE(LvYear,1,1),Attendance!$A$6:$A$2405,"&lt;="&amp;DATE(LvYear,12,31)))</f>
        <v/>
      </c>
      <c r="U439" s="16" t="str">
        <f aca="false">IF($A439="","",SUMIFS(Attendance!$AW$6:$AW$2405,Attendance!$B$6:$B$2405,$A439,Attendance!$A$6:$A$2405,"&gt;="&amp;DATE(LvYear,1,1),Attendance!$A$6:$A$2405,"&lt;="&amp;DATE(LvYear,12,31)))</f>
        <v/>
      </c>
      <c r="V439" s="16" t="str">
        <f aca="false">IF($A439="","",L439-R439)</f>
        <v/>
      </c>
      <c r="W439" s="16" t="str">
        <f aca="false">IF($A439="","",M439-S439)</f>
        <v/>
      </c>
      <c r="X439" s="16" t="str">
        <f aca="false">IF($A439="","",P439-T439)</f>
        <v/>
      </c>
      <c r="Y439" s="16" t="str">
        <f aca="false">IF($A439="","",Q439-U439)</f>
        <v/>
      </c>
      <c r="Z439" s="16" t="str">
        <f aca="false">IF($A439="","",V439+W439+X439)</f>
        <v/>
      </c>
      <c r="AA439" s="16" t="str">
        <f aca="false">IF($A439="","",O439+N(N439)-T439)</f>
        <v/>
      </c>
      <c r="AB439" s="8" t="str">
        <f aca="false">IF($A439="","","CL "&amp;V439&amp;" | SL "&amp;W439&amp;" | PL "&amp;X439&amp;" | TR "&amp;Y439)</f>
        <v/>
      </c>
      <c r="AC439" s="15" t="str">
        <f aca="false">IF($A439="","",IF(F439="Exited","EXITED",IF(AND(ISNUMBER(K439),K439=0),"NOT ELIGIBLE",IF(MIN(V439:X439)&lt;0,"OVER-USED",IF(Z439&lt;=Settings!$C$15,"LOW","OK")))))</f>
        <v/>
      </c>
      <c r="AD439" s="16" t="str">
        <f aca="false">IF(OR(AC439="OVER-USED",AC439="LOW"),COUNTIF(AC$6:AC439,"OVER-USED")+COUNTIF(AC$6:AC439,"LOW"),"")</f>
        <v/>
      </c>
    </row>
    <row r="440" customFormat="false" ht="15" hidden="false" customHeight="false" outlineLevel="0" collapsed="false">
      <c r="A440" s="8" t="str">
        <f aca="false">IF('Employee List'!B440="","",'Employee List'!B440)</f>
        <v/>
      </c>
      <c r="B440" s="8" t="str">
        <f aca="false">IF($A440="","",'Employee List'!C440)</f>
        <v/>
      </c>
      <c r="C440" s="8" t="str">
        <f aca="false">IF($A440="","",'Employee List'!E440&amp;"")</f>
        <v/>
      </c>
      <c r="D440" s="8" t="str">
        <f aca="false">IF($A440="","",'Employee List'!F440&amp;"")</f>
        <v/>
      </c>
      <c r="E440" s="8" t="str">
        <f aca="false">IF($A440="","",'Employee List'!G440&amp;"")</f>
        <v/>
      </c>
      <c r="F440" s="8" t="str">
        <f aca="false">IF($A440="","",'Employee List'!D440)</f>
        <v/>
      </c>
      <c r="G440" s="38" t="str">
        <f aca="false">IF($A440="","",IF('Employee List'!I440="","",'Employee List'!I440))</f>
        <v/>
      </c>
      <c r="H440" s="38" t="str">
        <f aca="false">IF(OR($A440="",G440=""),"",G440+Settings!$C$13)</f>
        <v/>
      </c>
      <c r="I440" s="38" t="str">
        <f aca="false">IF(H440="","",MAX(H440,DATE(LvYear,1,1)))</f>
        <v/>
      </c>
      <c r="J440" s="38" t="str">
        <f aca="false">IF($A440="","",IF('Employee List'!J440="",DATE(LvYear,12,31),MIN('Employee List'!J440,DATE(LvYear,12,31))))</f>
        <v/>
      </c>
      <c r="K440" s="39" t="str">
        <f aca="false">IF(OR(I440="",J440=""),"",MAX(0,J440-I440+1))</f>
        <v/>
      </c>
      <c r="L440" s="16" t="str">
        <f aca="false">IF($A440="","",IF(AND(ISNUMBER(K440),K440=0),0,Settings!$C$10))</f>
        <v/>
      </c>
      <c r="M440" s="16" t="str">
        <f aca="false">IF($A440="","",IF(AND(ISNUMBER(K440),K440=0),0,Settings!$C$11))</f>
        <v/>
      </c>
      <c r="N440" s="40"/>
      <c r="O440" s="16" t="str">
        <f aca="false">IF($A440="","",FLOOR(Settings!$C$12/365*N(K440),0.5))</f>
        <v/>
      </c>
      <c r="P440" s="16" t="str">
        <f aca="false">IF($A440="","",IF(I440="",N(N440),FLOOR(Settings!$C$12/365*MAX(0,MIN(LvAsOf,J440)-I440+1)+N(N440),0.5)))</f>
        <v/>
      </c>
      <c r="Q440" s="16" t="str">
        <f aca="false">IF($A440="","",Settings!$C$14)</f>
        <v/>
      </c>
      <c r="R440" s="16" t="str">
        <f aca="false">IF($A440="","",SUMIFS(Attendance!$AZ$6:$AZ$2405,Attendance!$B$6:$B$2405,$A440,Attendance!$A$6:$A$2405,"&gt;="&amp;DATE(LvYear,1,1),Attendance!$A$6:$A$2405,"&lt;="&amp;DATE(LvYear,12,31)))</f>
        <v/>
      </c>
      <c r="S440" s="16" t="str">
        <f aca="false">IF($A440="","",SUMIFS(Attendance!$AY$6:$AY$2405,Attendance!$B$6:$B$2405,$A440,Attendance!$A$6:$A$2405,"&gt;="&amp;DATE(LvYear,1,1),Attendance!$A$6:$A$2405,"&lt;="&amp;DATE(LvYear,12,31)))</f>
        <v/>
      </c>
      <c r="T440" s="16" t="str">
        <f aca="false">IF($A440="","",SUMIFS(Attendance!$AX$6:$AX$2405,Attendance!$B$6:$B$2405,$A440,Attendance!$A$6:$A$2405,"&gt;="&amp;DATE(LvYear,1,1),Attendance!$A$6:$A$2405,"&lt;="&amp;DATE(LvYear,12,31)))</f>
        <v/>
      </c>
      <c r="U440" s="16" t="str">
        <f aca="false">IF($A440="","",SUMIFS(Attendance!$AW$6:$AW$2405,Attendance!$B$6:$B$2405,$A440,Attendance!$A$6:$A$2405,"&gt;="&amp;DATE(LvYear,1,1),Attendance!$A$6:$A$2405,"&lt;="&amp;DATE(LvYear,12,31)))</f>
        <v/>
      </c>
      <c r="V440" s="16" t="str">
        <f aca="false">IF($A440="","",L440-R440)</f>
        <v/>
      </c>
      <c r="W440" s="16" t="str">
        <f aca="false">IF($A440="","",M440-S440)</f>
        <v/>
      </c>
      <c r="X440" s="16" t="str">
        <f aca="false">IF($A440="","",P440-T440)</f>
        <v/>
      </c>
      <c r="Y440" s="16" t="str">
        <f aca="false">IF($A440="","",Q440-U440)</f>
        <v/>
      </c>
      <c r="Z440" s="16" t="str">
        <f aca="false">IF($A440="","",V440+W440+X440)</f>
        <v/>
      </c>
      <c r="AA440" s="16" t="str">
        <f aca="false">IF($A440="","",O440+N(N440)-T440)</f>
        <v/>
      </c>
      <c r="AB440" s="8" t="str">
        <f aca="false">IF($A440="","","CL "&amp;V440&amp;" | SL "&amp;W440&amp;" | PL "&amp;X440&amp;" | TR "&amp;Y440)</f>
        <v/>
      </c>
      <c r="AC440" s="15" t="str">
        <f aca="false">IF($A440="","",IF(F440="Exited","EXITED",IF(AND(ISNUMBER(K440),K440=0),"NOT ELIGIBLE",IF(MIN(V440:X440)&lt;0,"OVER-USED",IF(Z440&lt;=Settings!$C$15,"LOW","OK")))))</f>
        <v/>
      </c>
      <c r="AD440" s="16" t="str">
        <f aca="false">IF(OR(AC440="OVER-USED",AC440="LOW"),COUNTIF(AC$6:AC440,"OVER-USED")+COUNTIF(AC$6:AC440,"LOW"),"")</f>
        <v/>
      </c>
    </row>
    <row r="441" customFormat="false" ht="15" hidden="false" customHeight="false" outlineLevel="0" collapsed="false">
      <c r="A441" s="8" t="str">
        <f aca="false">IF('Employee List'!B441="","",'Employee List'!B441)</f>
        <v/>
      </c>
      <c r="B441" s="8" t="str">
        <f aca="false">IF($A441="","",'Employee List'!C441)</f>
        <v/>
      </c>
      <c r="C441" s="8" t="str">
        <f aca="false">IF($A441="","",'Employee List'!E441&amp;"")</f>
        <v/>
      </c>
      <c r="D441" s="8" t="str">
        <f aca="false">IF($A441="","",'Employee List'!F441&amp;"")</f>
        <v/>
      </c>
      <c r="E441" s="8" t="str">
        <f aca="false">IF($A441="","",'Employee List'!G441&amp;"")</f>
        <v/>
      </c>
      <c r="F441" s="8" t="str">
        <f aca="false">IF($A441="","",'Employee List'!D441)</f>
        <v/>
      </c>
      <c r="G441" s="38" t="str">
        <f aca="false">IF($A441="","",IF('Employee List'!I441="","",'Employee List'!I441))</f>
        <v/>
      </c>
      <c r="H441" s="38" t="str">
        <f aca="false">IF(OR($A441="",G441=""),"",G441+Settings!$C$13)</f>
        <v/>
      </c>
      <c r="I441" s="38" t="str">
        <f aca="false">IF(H441="","",MAX(H441,DATE(LvYear,1,1)))</f>
        <v/>
      </c>
      <c r="J441" s="38" t="str">
        <f aca="false">IF($A441="","",IF('Employee List'!J441="",DATE(LvYear,12,31),MIN('Employee List'!J441,DATE(LvYear,12,31))))</f>
        <v/>
      </c>
      <c r="K441" s="39" t="str">
        <f aca="false">IF(OR(I441="",J441=""),"",MAX(0,J441-I441+1))</f>
        <v/>
      </c>
      <c r="L441" s="16" t="str">
        <f aca="false">IF($A441="","",IF(AND(ISNUMBER(K441),K441=0),0,Settings!$C$10))</f>
        <v/>
      </c>
      <c r="M441" s="16" t="str">
        <f aca="false">IF($A441="","",IF(AND(ISNUMBER(K441),K441=0),0,Settings!$C$11))</f>
        <v/>
      </c>
      <c r="N441" s="40"/>
      <c r="O441" s="16" t="str">
        <f aca="false">IF($A441="","",FLOOR(Settings!$C$12/365*N(K441),0.5))</f>
        <v/>
      </c>
      <c r="P441" s="16" t="str">
        <f aca="false">IF($A441="","",IF(I441="",N(N441),FLOOR(Settings!$C$12/365*MAX(0,MIN(LvAsOf,J441)-I441+1)+N(N441),0.5)))</f>
        <v/>
      </c>
      <c r="Q441" s="16" t="str">
        <f aca="false">IF($A441="","",Settings!$C$14)</f>
        <v/>
      </c>
      <c r="R441" s="16" t="str">
        <f aca="false">IF($A441="","",SUMIFS(Attendance!$AZ$6:$AZ$2405,Attendance!$B$6:$B$2405,$A441,Attendance!$A$6:$A$2405,"&gt;="&amp;DATE(LvYear,1,1),Attendance!$A$6:$A$2405,"&lt;="&amp;DATE(LvYear,12,31)))</f>
        <v/>
      </c>
      <c r="S441" s="16" t="str">
        <f aca="false">IF($A441="","",SUMIFS(Attendance!$AY$6:$AY$2405,Attendance!$B$6:$B$2405,$A441,Attendance!$A$6:$A$2405,"&gt;="&amp;DATE(LvYear,1,1),Attendance!$A$6:$A$2405,"&lt;="&amp;DATE(LvYear,12,31)))</f>
        <v/>
      </c>
      <c r="T441" s="16" t="str">
        <f aca="false">IF($A441="","",SUMIFS(Attendance!$AX$6:$AX$2405,Attendance!$B$6:$B$2405,$A441,Attendance!$A$6:$A$2405,"&gt;="&amp;DATE(LvYear,1,1),Attendance!$A$6:$A$2405,"&lt;="&amp;DATE(LvYear,12,31)))</f>
        <v/>
      </c>
      <c r="U441" s="16" t="str">
        <f aca="false">IF($A441="","",SUMIFS(Attendance!$AW$6:$AW$2405,Attendance!$B$6:$B$2405,$A441,Attendance!$A$6:$A$2405,"&gt;="&amp;DATE(LvYear,1,1),Attendance!$A$6:$A$2405,"&lt;="&amp;DATE(LvYear,12,31)))</f>
        <v/>
      </c>
      <c r="V441" s="16" t="str">
        <f aca="false">IF($A441="","",L441-R441)</f>
        <v/>
      </c>
      <c r="W441" s="16" t="str">
        <f aca="false">IF($A441="","",M441-S441)</f>
        <v/>
      </c>
      <c r="X441" s="16" t="str">
        <f aca="false">IF($A441="","",P441-T441)</f>
        <v/>
      </c>
      <c r="Y441" s="16" t="str">
        <f aca="false">IF($A441="","",Q441-U441)</f>
        <v/>
      </c>
      <c r="Z441" s="16" t="str">
        <f aca="false">IF($A441="","",V441+W441+X441)</f>
        <v/>
      </c>
      <c r="AA441" s="16" t="str">
        <f aca="false">IF($A441="","",O441+N(N441)-T441)</f>
        <v/>
      </c>
      <c r="AB441" s="8" t="str">
        <f aca="false">IF($A441="","","CL "&amp;V441&amp;" | SL "&amp;W441&amp;" | PL "&amp;X441&amp;" | TR "&amp;Y441)</f>
        <v/>
      </c>
      <c r="AC441" s="15" t="str">
        <f aca="false">IF($A441="","",IF(F441="Exited","EXITED",IF(AND(ISNUMBER(K441),K441=0),"NOT ELIGIBLE",IF(MIN(V441:X441)&lt;0,"OVER-USED",IF(Z441&lt;=Settings!$C$15,"LOW","OK")))))</f>
        <v/>
      </c>
      <c r="AD441" s="16" t="str">
        <f aca="false">IF(OR(AC441="OVER-USED",AC441="LOW"),COUNTIF(AC$6:AC441,"OVER-USED")+COUNTIF(AC$6:AC441,"LOW"),"")</f>
        <v/>
      </c>
    </row>
    <row r="442" customFormat="false" ht="15" hidden="false" customHeight="false" outlineLevel="0" collapsed="false">
      <c r="A442" s="8" t="str">
        <f aca="false">IF('Employee List'!B442="","",'Employee List'!B442)</f>
        <v/>
      </c>
      <c r="B442" s="8" t="str">
        <f aca="false">IF($A442="","",'Employee List'!C442)</f>
        <v/>
      </c>
      <c r="C442" s="8" t="str">
        <f aca="false">IF($A442="","",'Employee List'!E442&amp;"")</f>
        <v/>
      </c>
      <c r="D442" s="8" t="str">
        <f aca="false">IF($A442="","",'Employee List'!F442&amp;"")</f>
        <v/>
      </c>
      <c r="E442" s="8" t="str">
        <f aca="false">IF($A442="","",'Employee List'!G442&amp;"")</f>
        <v/>
      </c>
      <c r="F442" s="8" t="str">
        <f aca="false">IF($A442="","",'Employee List'!D442)</f>
        <v/>
      </c>
      <c r="G442" s="38" t="str">
        <f aca="false">IF($A442="","",IF('Employee List'!I442="","",'Employee List'!I442))</f>
        <v/>
      </c>
      <c r="H442" s="38" t="str">
        <f aca="false">IF(OR($A442="",G442=""),"",G442+Settings!$C$13)</f>
        <v/>
      </c>
      <c r="I442" s="38" t="str">
        <f aca="false">IF(H442="","",MAX(H442,DATE(LvYear,1,1)))</f>
        <v/>
      </c>
      <c r="J442" s="38" t="str">
        <f aca="false">IF($A442="","",IF('Employee List'!J442="",DATE(LvYear,12,31),MIN('Employee List'!J442,DATE(LvYear,12,31))))</f>
        <v/>
      </c>
      <c r="K442" s="39" t="str">
        <f aca="false">IF(OR(I442="",J442=""),"",MAX(0,J442-I442+1))</f>
        <v/>
      </c>
      <c r="L442" s="16" t="str">
        <f aca="false">IF($A442="","",IF(AND(ISNUMBER(K442),K442=0),0,Settings!$C$10))</f>
        <v/>
      </c>
      <c r="M442" s="16" t="str">
        <f aca="false">IF($A442="","",IF(AND(ISNUMBER(K442),K442=0),0,Settings!$C$11))</f>
        <v/>
      </c>
      <c r="N442" s="40"/>
      <c r="O442" s="16" t="str">
        <f aca="false">IF($A442="","",FLOOR(Settings!$C$12/365*N(K442),0.5))</f>
        <v/>
      </c>
      <c r="P442" s="16" t="str">
        <f aca="false">IF($A442="","",IF(I442="",N(N442),FLOOR(Settings!$C$12/365*MAX(0,MIN(LvAsOf,J442)-I442+1)+N(N442),0.5)))</f>
        <v/>
      </c>
      <c r="Q442" s="16" t="str">
        <f aca="false">IF($A442="","",Settings!$C$14)</f>
        <v/>
      </c>
      <c r="R442" s="16" t="str">
        <f aca="false">IF($A442="","",SUMIFS(Attendance!$AZ$6:$AZ$2405,Attendance!$B$6:$B$2405,$A442,Attendance!$A$6:$A$2405,"&gt;="&amp;DATE(LvYear,1,1),Attendance!$A$6:$A$2405,"&lt;="&amp;DATE(LvYear,12,31)))</f>
        <v/>
      </c>
      <c r="S442" s="16" t="str">
        <f aca="false">IF($A442="","",SUMIFS(Attendance!$AY$6:$AY$2405,Attendance!$B$6:$B$2405,$A442,Attendance!$A$6:$A$2405,"&gt;="&amp;DATE(LvYear,1,1),Attendance!$A$6:$A$2405,"&lt;="&amp;DATE(LvYear,12,31)))</f>
        <v/>
      </c>
      <c r="T442" s="16" t="str">
        <f aca="false">IF($A442="","",SUMIFS(Attendance!$AX$6:$AX$2405,Attendance!$B$6:$B$2405,$A442,Attendance!$A$6:$A$2405,"&gt;="&amp;DATE(LvYear,1,1),Attendance!$A$6:$A$2405,"&lt;="&amp;DATE(LvYear,12,31)))</f>
        <v/>
      </c>
      <c r="U442" s="16" t="str">
        <f aca="false">IF($A442="","",SUMIFS(Attendance!$AW$6:$AW$2405,Attendance!$B$6:$B$2405,$A442,Attendance!$A$6:$A$2405,"&gt;="&amp;DATE(LvYear,1,1),Attendance!$A$6:$A$2405,"&lt;="&amp;DATE(LvYear,12,31)))</f>
        <v/>
      </c>
      <c r="V442" s="16" t="str">
        <f aca="false">IF($A442="","",L442-R442)</f>
        <v/>
      </c>
      <c r="W442" s="16" t="str">
        <f aca="false">IF($A442="","",M442-S442)</f>
        <v/>
      </c>
      <c r="X442" s="16" t="str">
        <f aca="false">IF($A442="","",P442-T442)</f>
        <v/>
      </c>
      <c r="Y442" s="16" t="str">
        <f aca="false">IF($A442="","",Q442-U442)</f>
        <v/>
      </c>
      <c r="Z442" s="16" t="str">
        <f aca="false">IF($A442="","",V442+W442+X442)</f>
        <v/>
      </c>
      <c r="AA442" s="16" t="str">
        <f aca="false">IF($A442="","",O442+N(N442)-T442)</f>
        <v/>
      </c>
      <c r="AB442" s="8" t="str">
        <f aca="false">IF($A442="","","CL "&amp;V442&amp;" | SL "&amp;W442&amp;" | PL "&amp;X442&amp;" | TR "&amp;Y442)</f>
        <v/>
      </c>
      <c r="AC442" s="15" t="str">
        <f aca="false">IF($A442="","",IF(F442="Exited","EXITED",IF(AND(ISNUMBER(K442),K442=0),"NOT ELIGIBLE",IF(MIN(V442:X442)&lt;0,"OVER-USED",IF(Z442&lt;=Settings!$C$15,"LOW","OK")))))</f>
        <v/>
      </c>
      <c r="AD442" s="16" t="str">
        <f aca="false">IF(OR(AC442="OVER-USED",AC442="LOW"),COUNTIF(AC$6:AC442,"OVER-USED")+COUNTIF(AC$6:AC442,"LOW"),"")</f>
        <v/>
      </c>
    </row>
    <row r="443" customFormat="false" ht="15" hidden="false" customHeight="false" outlineLevel="0" collapsed="false">
      <c r="A443" s="8" t="str">
        <f aca="false">IF('Employee List'!B443="","",'Employee List'!B443)</f>
        <v/>
      </c>
      <c r="B443" s="8" t="str">
        <f aca="false">IF($A443="","",'Employee List'!C443)</f>
        <v/>
      </c>
      <c r="C443" s="8" t="str">
        <f aca="false">IF($A443="","",'Employee List'!E443&amp;"")</f>
        <v/>
      </c>
      <c r="D443" s="8" t="str">
        <f aca="false">IF($A443="","",'Employee List'!F443&amp;"")</f>
        <v/>
      </c>
      <c r="E443" s="8" t="str">
        <f aca="false">IF($A443="","",'Employee List'!G443&amp;"")</f>
        <v/>
      </c>
      <c r="F443" s="8" t="str">
        <f aca="false">IF($A443="","",'Employee List'!D443)</f>
        <v/>
      </c>
      <c r="G443" s="38" t="str">
        <f aca="false">IF($A443="","",IF('Employee List'!I443="","",'Employee List'!I443))</f>
        <v/>
      </c>
      <c r="H443" s="38" t="str">
        <f aca="false">IF(OR($A443="",G443=""),"",G443+Settings!$C$13)</f>
        <v/>
      </c>
      <c r="I443" s="38" t="str">
        <f aca="false">IF(H443="","",MAX(H443,DATE(LvYear,1,1)))</f>
        <v/>
      </c>
      <c r="J443" s="38" t="str">
        <f aca="false">IF($A443="","",IF('Employee List'!J443="",DATE(LvYear,12,31),MIN('Employee List'!J443,DATE(LvYear,12,31))))</f>
        <v/>
      </c>
      <c r="K443" s="39" t="str">
        <f aca="false">IF(OR(I443="",J443=""),"",MAX(0,J443-I443+1))</f>
        <v/>
      </c>
      <c r="L443" s="16" t="str">
        <f aca="false">IF($A443="","",IF(AND(ISNUMBER(K443),K443=0),0,Settings!$C$10))</f>
        <v/>
      </c>
      <c r="M443" s="16" t="str">
        <f aca="false">IF($A443="","",IF(AND(ISNUMBER(K443),K443=0),0,Settings!$C$11))</f>
        <v/>
      </c>
      <c r="N443" s="40"/>
      <c r="O443" s="16" t="str">
        <f aca="false">IF($A443="","",FLOOR(Settings!$C$12/365*N(K443),0.5))</f>
        <v/>
      </c>
      <c r="P443" s="16" t="str">
        <f aca="false">IF($A443="","",IF(I443="",N(N443),FLOOR(Settings!$C$12/365*MAX(0,MIN(LvAsOf,J443)-I443+1)+N(N443),0.5)))</f>
        <v/>
      </c>
      <c r="Q443" s="16" t="str">
        <f aca="false">IF($A443="","",Settings!$C$14)</f>
        <v/>
      </c>
      <c r="R443" s="16" t="str">
        <f aca="false">IF($A443="","",SUMIFS(Attendance!$AZ$6:$AZ$2405,Attendance!$B$6:$B$2405,$A443,Attendance!$A$6:$A$2405,"&gt;="&amp;DATE(LvYear,1,1),Attendance!$A$6:$A$2405,"&lt;="&amp;DATE(LvYear,12,31)))</f>
        <v/>
      </c>
      <c r="S443" s="16" t="str">
        <f aca="false">IF($A443="","",SUMIFS(Attendance!$AY$6:$AY$2405,Attendance!$B$6:$B$2405,$A443,Attendance!$A$6:$A$2405,"&gt;="&amp;DATE(LvYear,1,1),Attendance!$A$6:$A$2405,"&lt;="&amp;DATE(LvYear,12,31)))</f>
        <v/>
      </c>
      <c r="T443" s="16" t="str">
        <f aca="false">IF($A443="","",SUMIFS(Attendance!$AX$6:$AX$2405,Attendance!$B$6:$B$2405,$A443,Attendance!$A$6:$A$2405,"&gt;="&amp;DATE(LvYear,1,1),Attendance!$A$6:$A$2405,"&lt;="&amp;DATE(LvYear,12,31)))</f>
        <v/>
      </c>
      <c r="U443" s="16" t="str">
        <f aca="false">IF($A443="","",SUMIFS(Attendance!$AW$6:$AW$2405,Attendance!$B$6:$B$2405,$A443,Attendance!$A$6:$A$2405,"&gt;="&amp;DATE(LvYear,1,1),Attendance!$A$6:$A$2405,"&lt;="&amp;DATE(LvYear,12,31)))</f>
        <v/>
      </c>
      <c r="V443" s="16" t="str">
        <f aca="false">IF($A443="","",L443-R443)</f>
        <v/>
      </c>
      <c r="W443" s="16" t="str">
        <f aca="false">IF($A443="","",M443-S443)</f>
        <v/>
      </c>
      <c r="X443" s="16" t="str">
        <f aca="false">IF($A443="","",P443-T443)</f>
        <v/>
      </c>
      <c r="Y443" s="16" t="str">
        <f aca="false">IF($A443="","",Q443-U443)</f>
        <v/>
      </c>
      <c r="Z443" s="16" t="str">
        <f aca="false">IF($A443="","",V443+W443+X443)</f>
        <v/>
      </c>
      <c r="AA443" s="16" t="str">
        <f aca="false">IF($A443="","",O443+N(N443)-T443)</f>
        <v/>
      </c>
      <c r="AB443" s="8" t="str">
        <f aca="false">IF($A443="","","CL "&amp;V443&amp;" | SL "&amp;W443&amp;" | PL "&amp;X443&amp;" | TR "&amp;Y443)</f>
        <v/>
      </c>
      <c r="AC443" s="15" t="str">
        <f aca="false">IF($A443="","",IF(F443="Exited","EXITED",IF(AND(ISNUMBER(K443),K443=0),"NOT ELIGIBLE",IF(MIN(V443:X443)&lt;0,"OVER-USED",IF(Z443&lt;=Settings!$C$15,"LOW","OK")))))</f>
        <v/>
      </c>
      <c r="AD443" s="16" t="str">
        <f aca="false">IF(OR(AC443="OVER-USED",AC443="LOW"),COUNTIF(AC$6:AC443,"OVER-USED")+COUNTIF(AC$6:AC443,"LOW"),"")</f>
        <v/>
      </c>
    </row>
    <row r="444" customFormat="false" ht="15" hidden="false" customHeight="false" outlineLevel="0" collapsed="false">
      <c r="A444" s="8" t="str">
        <f aca="false">IF('Employee List'!B444="","",'Employee List'!B444)</f>
        <v/>
      </c>
      <c r="B444" s="8" t="str">
        <f aca="false">IF($A444="","",'Employee List'!C444)</f>
        <v/>
      </c>
      <c r="C444" s="8" t="str">
        <f aca="false">IF($A444="","",'Employee List'!E444&amp;"")</f>
        <v/>
      </c>
      <c r="D444" s="8" t="str">
        <f aca="false">IF($A444="","",'Employee List'!F444&amp;"")</f>
        <v/>
      </c>
      <c r="E444" s="8" t="str">
        <f aca="false">IF($A444="","",'Employee List'!G444&amp;"")</f>
        <v/>
      </c>
      <c r="F444" s="8" t="str">
        <f aca="false">IF($A444="","",'Employee List'!D444)</f>
        <v/>
      </c>
      <c r="G444" s="38" t="str">
        <f aca="false">IF($A444="","",IF('Employee List'!I444="","",'Employee List'!I444))</f>
        <v/>
      </c>
      <c r="H444" s="38" t="str">
        <f aca="false">IF(OR($A444="",G444=""),"",G444+Settings!$C$13)</f>
        <v/>
      </c>
      <c r="I444" s="38" t="str">
        <f aca="false">IF(H444="","",MAX(H444,DATE(LvYear,1,1)))</f>
        <v/>
      </c>
      <c r="J444" s="38" t="str">
        <f aca="false">IF($A444="","",IF('Employee List'!J444="",DATE(LvYear,12,31),MIN('Employee List'!J444,DATE(LvYear,12,31))))</f>
        <v/>
      </c>
      <c r="K444" s="39" t="str">
        <f aca="false">IF(OR(I444="",J444=""),"",MAX(0,J444-I444+1))</f>
        <v/>
      </c>
      <c r="L444" s="16" t="str">
        <f aca="false">IF($A444="","",IF(AND(ISNUMBER(K444),K444=0),0,Settings!$C$10))</f>
        <v/>
      </c>
      <c r="M444" s="16" t="str">
        <f aca="false">IF($A444="","",IF(AND(ISNUMBER(K444),K444=0),0,Settings!$C$11))</f>
        <v/>
      </c>
      <c r="N444" s="40"/>
      <c r="O444" s="16" t="str">
        <f aca="false">IF($A444="","",FLOOR(Settings!$C$12/365*N(K444),0.5))</f>
        <v/>
      </c>
      <c r="P444" s="16" t="str">
        <f aca="false">IF($A444="","",IF(I444="",N(N444),FLOOR(Settings!$C$12/365*MAX(0,MIN(LvAsOf,J444)-I444+1)+N(N444),0.5)))</f>
        <v/>
      </c>
      <c r="Q444" s="16" t="str">
        <f aca="false">IF($A444="","",Settings!$C$14)</f>
        <v/>
      </c>
      <c r="R444" s="16" t="str">
        <f aca="false">IF($A444="","",SUMIFS(Attendance!$AZ$6:$AZ$2405,Attendance!$B$6:$B$2405,$A444,Attendance!$A$6:$A$2405,"&gt;="&amp;DATE(LvYear,1,1),Attendance!$A$6:$A$2405,"&lt;="&amp;DATE(LvYear,12,31)))</f>
        <v/>
      </c>
      <c r="S444" s="16" t="str">
        <f aca="false">IF($A444="","",SUMIFS(Attendance!$AY$6:$AY$2405,Attendance!$B$6:$B$2405,$A444,Attendance!$A$6:$A$2405,"&gt;="&amp;DATE(LvYear,1,1),Attendance!$A$6:$A$2405,"&lt;="&amp;DATE(LvYear,12,31)))</f>
        <v/>
      </c>
      <c r="T444" s="16" t="str">
        <f aca="false">IF($A444="","",SUMIFS(Attendance!$AX$6:$AX$2405,Attendance!$B$6:$B$2405,$A444,Attendance!$A$6:$A$2405,"&gt;="&amp;DATE(LvYear,1,1),Attendance!$A$6:$A$2405,"&lt;="&amp;DATE(LvYear,12,31)))</f>
        <v/>
      </c>
      <c r="U444" s="16" t="str">
        <f aca="false">IF($A444="","",SUMIFS(Attendance!$AW$6:$AW$2405,Attendance!$B$6:$B$2405,$A444,Attendance!$A$6:$A$2405,"&gt;="&amp;DATE(LvYear,1,1),Attendance!$A$6:$A$2405,"&lt;="&amp;DATE(LvYear,12,31)))</f>
        <v/>
      </c>
      <c r="V444" s="16" t="str">
        <f aca="false">IF($A444="","",L444-R444)</f>
        <v/>
      </c>
      <c r="W444" s="16" t="str">
        <f aca="false">IF($A444="","",M444-S444)</f>
        <v/>
      </c>
      <c r="X444" s="16" t="str">
        <f aca="false">IF($A444="","",P444-T444)</f>
        <v/>
      </c>
      <c r="Y444" s="16" t="str">
        <f aca="false">IF($A444="","",Q444-U444)</f>
        <v/>
      </c>
      <c r="Z444" s="16" t="str">
        <f aca="false">IF($A444="","",V444+W444+X444)</f>
        <v/>
      </c>
      <c r="AA444" s="16" t="str">
        <f aca="false">IF($A444="","",O444+N(N444)-T444)</f>
        <v/>
      </c>
      <c r="AB444" s="8" t="str">
        <f aca="false">IF($A444="","","CL "&amp;V444&amp;" | SL "&amp;W444&amp;" | PL "&amp;X444&amp;" | TR "&amp;Y444)</f>
        <v/>
      </c>
      <c r="AC444" s="15" t="str">
        <f aca="false">IF($A444="","",IF(F444="Exited","EXITED",IF(AND(ISNUMBER(K444),K444=0),"NOT ELIGIBLE",IF(MIN(V444:X444)&lt;0,"OVER-USED",IF(Z444&lt;=Settings!$C$15,"LOW","OK")))))</f>
        <v/>
      </c>
      <c r="AD444" s="16" t="str">
        <f aca="false">IF(OR(AC444="OVER-USED",AC444="LOW"),COUNTIF(AC$6:AC444,"OVER-USED")+COUNTIF(AC$6:AC444,"LOW"),"")</f>
        <v/>
      </c>
    </row>
    <row r="445" customFormat="false" ht="15" hidden="false" customHeight="false" outlineLevel="0" collapsed="false">
      <c r="A445" s="8" t="str">
        <f aca="false">IF('Employee List'!B445="","",'Employee List'!B445)</f>
        <v/>
      </c>
      <c r="B445" s="8" t="str">
        <f aca="false">IF($A445="","",'Employee List'!C445)</f>
        <v/>
      </c>
      <c r="C445" s="8" t="str">
        <f aca="false">IF($A445="","",'Employee List'!E445&amp;"")</f>
        <v/>
      </c>
      <c r="D445" s="8" t="str">
        <f aca="false">IF($A445="","",'Employee List'!F445&amp;"")</f>
        <v/>
      </c>
      <c r="E445" s="8" t="str">
        <f aca="false">IF($A445="","",'Employee List'!G445&amp;"")</f>
        <v/>
      </c>
      <c r="F445" s="8" t="str">
        <f aca="false">IF($A445="","",'Employee List'!D445)</f>
        <v/>
      </c>
      <c r="G445" s="38" t="str">
        <f aca="false">IF($A445="","",IF('Employee List'!I445="","",'Employee List'!I445))</f>
        <v/>
      </c>
      <c r="H445" s="38" t="str">
        <f aca="false">IF(OR($A445="",G445=""),"",G445+Settings!$C$13)</f>
        <v/>
      </c>
      <c r="I445" s="38" t="str">
        <f aca="false">IF(H445="","",MAX(H445,DATE(LvYear,1,1)))</f>
        <v/>
      </c>
      <c r="J445" s="38" t="str">
        <f aca="false">IF($A445="","",IF('Employee List'!J445="",DATE(LvYear,12,31),MIN('Employee List'!J445,DATE(LvYear,12,31))))</f>
        <v/>
      </c>
      <c r="K445" s="39" t="str">
        <f aca="false">IF(OR(I445="",J445=""),"",MAX(0,J445-I445+1))</f>
        <v/>
      </c>
      <c r="L445" s="16" t="str">
        <f aca="false">IF($A445="","",IF(AND(ISNUMBER(K445),K445=0),0,Settings!$C$10))</f>
        <v/>
      </c>
      <c r="M445" s="16" t="str">
        <f aca="false">IF($A445="","",IF(AND(ISNUMBER(K445),K445=0),0,Settings!$C$11))</f>
        <v/>
      </c>
      <c r="N445" s="40"/>
      <c r="O445" s="16" t="str">
        <f aca="false">IF($A445="","",FLOOR(Settings!$C$12/365*N(K445),0.5))</f>
        <v/>
      </c>
      <c r="P445" s="16" t="str">
        <f aca="false">IF($A445="","",IF(I445="",N(N445),FLOOR(Settings!$C$12/365*MAX(0,MIN(LvAsOf,J445)-I445+1)+N(N445),0.5)))</f>
        <v/>
      </c>
      <c r="Q445" s="16" t="str">
        <f aca="false">IF($A445="","",Settings!$C$14)</f>
        <v/>
      </c>
      <c r="R445" s="16" t="str">
        <f aca="false">IF($A445="","",SUMIFS(Attendance!$AZ$6:$AZ$2405,Attendance!$B$6:$B$2405,$A445,Attendance!$A$6:$A$2405,"&gt;="&amp;DATE(LvYear,1,1),Attendance!$A$6:$A$2405,"&lt;="&amp;DATE(LvYear,12,31)))</f>
        <v/>
      </c>
      <c r="S445" s="16" t="str">
        <f aca="false">IF($A445="","",SUMIFS(Attendance!$AY$6:$AY$2405,Attendance!$B$6:$B$2405,$A445,Attendance!$A$6:$A$2405,"&gt;="&amp;DATE(LvYear,1,1),Attendance!$A$6:$A$2405,"&lt;="&amp;DATE(LvYear,12,31)))</f>
        <v/>
      </c>
      <c r="T445" s="16" t="str">
        <f aca="false">IF($A445="","",SUMIFS(Attendance!$AX$6:$AX$2405,Attendance!$B$6:$B$2405,$A445,Attendance!$A$6:$A$2405,"&gt;="&amp;DATE(LvYear,1,1),Attendance!$A$6:$A$2405,"&lt;="&amp;DATE(LvYear,12,31)))</f>
        <v/>
      </c>
      <c r="U445" s="16" t="str">
        <f aca="false">IF($A445="","",SUMIFS(Attendance!$AW$6:$AW$2405,Attendance!$B$6:$B$2405,$A445,Attendance!$A$6:$A$2405,"&gt;="&amp;DATE(LvYear,1,1),Attendance!$A$6:$A$2405,"&lt;="&amp;DATE(LvYear,12,31)))</f>
        <v/>
      </c>
      <c r="V445" s="16" t="str">
        <f aca="false">IF($A445="","",L445-R445)</f>
        <v/>
      </c>
      <c r="W445" s="16" t="str">
        <f aca="false">IF($A445="","",M445-S445)</f>
        <v/>
      </c>
      <c r="X445" s="16" t="str">
        <f aca="false">IF($A445="","",P445-T445)</f>
        <v/>
      </c>
      <c r="Y445" s="16" t="str">
        <f aca="false">IF($A445="","",Q445-U445)</f>
        <v/>
      </c>
      <c r="Z445" s="16" t="str">
        <f aca="false">IF($A445="","",V445+W445+X445)</f>
        <v/>
      </c>
      <c r="AA445" s="16" t="str">
        <f aca="false">IF($A445="","",O445+N(N445)-T445)</f>
        <v/>
      </c>
      <c r="AB445" s="8" t="str">
        <f aca="false">IF($A445="","","CL "&amp;V445&amp;" | SL "&amp;W445&amp;" | PL "&amp;X445&amp;" | TR "&amp;Y445)</f>
        <v/>
      </c>
      <c r="AC445" s="15" t="str">
        <f aca="false">IF($A445="","",IF(F445="Exited","EXITED",IF(AND(ISNUMBER(K445),K445=0),"NOT ELIGIBLE",IF(MIN(V445:X445)&lt;0,"OVER-USED",IF(Z445&lt;=Settings!$C$15,"LOW","OK")))))</f>
        <v/>
      </c>
      <c r="AD445" s="16" t="str">
        <f aca="false">IF(OR(AC445="OVER-USED",AC445="LOW"),COUNTIF(AC$6:AC445,"OVER-USED")+COUNTIF(AC$6:AC445,"LOW"),"")</f>
        <v/>
      </c>
    </row>
    <row r="446" customFormat="false" ht="15" hidden="false" customHeight="false" outlineLevel="0" collapsed="false">
      <c r="A446" s="8" t="str">
        <f aca="false">IF('Employee List'!B446="","",'Employee List'!B446)</f>
        <v/>
      </c>
      <c r="B446" s="8" t="str">
        <f aca="false">IF($A446="","",'Employee List'!C446)</f>
        <v/>
      </c>
      <c r="C446" s="8" t="str">
        <f aca="false">IF($A446="","",'Employee List'!E446&amp;"")</f>
        <v/>
      </c>
      <c r="D446" s="8" t="str">
        <f aca="false">IF($A446="","",'Employee List'!F446&amp;"")</f>
        <v/>
      </c>
      <c r="E446" s="8" t="str">
        <f aca="false">IF($A446="","",'Employee List'!G446&amp;"")</f>
        <v/>
      </c>
      <c r="F446" s="8" t="str">
        <f aca="false">IF($A446="","",'Employee List'!D446)</f>
        <v/>
      </c>
      <c r="G446" s="38" t="str">
        <f aca="false">IF($A446="","",IF('Employee List'!I446="","",'Employee List'!I446))</f>
        <v/>
      </c>
      <c r="H446" s="38" t="str">
        <f aca="false">IF(OR($A446="",G446=""),"",G446+Settings!$C$13)</f>
        <v/>
      </c>
      <c r="I446" s="38" t="str">
        <f aca="false">IF(H446="","",MAX(H446,DATE(LvYear,1,1)))</f>
        <v/>
      </c>
      <c r="J446" s="38" t="str">
        <f aca="false">IF($A446="","",IF('Employee List'!J446="",DATE(LvYear,12,31),MIN('Employee List'!J446,DATE(LvYear,12,31))))</f>
        <v/>
      </c>
      <c r="K446" s="39" t="str">
        <f aca="false">IF(OR(I446="",J446=""),"",MAX(0,J446-I446+1))</f>
        <v/>
      </c>
      <c r="L446" s="16" t="str">
        <f aca="false">IF($A446="","",IF(AND(ISNUMBER(K446),K446=0),0,Settings!$C$10))</f>
        <v/>
      </c>
      <c r="M446" s="16" t="str">
        <f aca="false">IF($A446="","",IF(AND(ISNUMBER(K446),K446=0),0,Settings!$C$11))</f>
        <v/>
      </c>
      <c r="N446" s="40"/>
      <c r="O446" s="16" t="str">
        <f aca="false">IF($A446="","",FLOOR(Settings!$C$12/365*N(K446),0.5))</f>
        <v/>
      </c>
      <c r="P446" s="16" t="str">
        <f aca="false">IF($A446="","",IF(I446="",N(N446),FLOOR(Settings!$C$12/365*MAX(0,MIN(LvAsOf,J446)-I446+1)+N(N446),0.5)))</f>
        <v/>
      </c>
      <c r="Q446" s="16" t="str">
        <f aca="false">IF($A446="","",Settings!$C$14)</f>
        <v/>
      </c>
      <c r="R446" s="16" t="str">
        <f aca="false">IF($A446="","",SUMIFS(Attendance!$AZ$6:$AZ$2405,Attendance!$B$6:$B$2405,$A446,Attendance!$A$6:$A$2405,"&gt;="&amp;DATE(LvYear,1,1),Attendance!$A$6:$A$2405,"&lt;="&amp;DATE(LvYear,12,31)))</f>
        <v/>
      </c>
      <c r="S446" s="16" t="str">
        <f aca="false">IF($A446="","",SUMIFS(Attendance!$AY$6:$AY$2405,Attendance!$B$6:$B$2405,$A446,Attendance!$A$6:$A$2405,"&gt;="&amp;DATE(LvYear,1,1),Attendance!$A$6:$A$2405,"&lt;="&amp;DATE(LvYear,12,31)))</f>
        <v/>
      </c>
      <c r="T446" s="16" t="str">
        <f aca="false">IF($A446="","",SUMIFS(Attendance!$AX$6:$AX$2405,Attendance!$B$6:$B$2405,$A446,Attendance!$A$6:$A$2405,"&gt;="&amp;DATE(LvYear,1,1),Attendance!$A$6:$A$2405,"&lt;="&amp;DATE(LvYear,12,31)))</f>
        <v/>
      </c>
      <c r="U446" s="16" t="str">
        <f aca="false">IF($A446="","",SUMIFS(Attendance!$AW$6:$AW$2405,Attendance!$B$6:$B$2405,$A446,Attendance!$A$6:$A$2405,"&gt;="&amp;DATE(LvYear,1,1),Attendance!$A$6:$A$2405,"&lt;="&amp;DATE(LvYear,12,31)))</f>
        <v/>
      </c>
      <c r="V446" s="16" t="str">
        <f aca="false">IF($A446="","",L446-R446)</f>
        <v/>
      </c>
      <c r="W446" s="16" t="str">
        <f aca="false">IF($A446="","",M446-S446)</f>
        <v/>
      </c>
      <c r="X446" s="16" t="str">
        <f aca="false">IF($A446="","",P446-T446)</f>
        <v/>
      </c>
      <c r="Y446" s="16" t="str">
        <f aca="false">IF($A446="","",Q446-U446)</f>
        <v/>
      </c>
      <c r="Z446" s="16" t="str">
        <f aca="false">IF($A446="","",V446+W446+X446)</f>
        <v/>
      </c>
      <c r="AA446" s="16" t="str">
        <f aca="false">IF($A446="","",O446+N(N446)-T446)</f>
        <v/>
      </c>
      <c r="AB446" s="8" t="str">
        <f aca="false">IF($A446="","","CL "&amp;V446&amp;" | SL "&amp;W446&amp;" | PL "&amp;X446&amp;" | TR "&amp;Y446)</f>
        <v/>
      </c>
      <c r="AC446" s="15" t="str">
        <f aca="false">IF($A446="","",IF(F446="Exited","EXITED",IF(AND(ISNUMBER(K446),K446=0),"NOT ELIGIBLE",IF(MIN(V446:X446)&lt;0,"OVER-USED",IF(Z446&lt;=Settings!$C$15,"LOW","OK")))))</f>
        <v/>
      </c>
      <c r="AD446" s="16" t="str">
        <f aca="false">IF(OR(AC446="OVER-USED",AC446="LOW"),COUNTIF(AC$6:AC446,"OVER-USED")+COUNTIF(AC$6:AC446,"LOW"),"")</f>
        <v/>
      </c>
    </row>
    <row r="447" customFormat="false" ht="15" hidden="false" customHeight="false" outlineLevel="0" collapsed="false">
      <c r="A447" s="8" t="str">
        <f aca="false">IF('Employee List'!B447="","",'Employee List'!B447)</f>
        <v/>
      </c>
      <c r="B447" s="8" t="str">
        <f aca="false">IF($A447="","",'Employee List'!C447)</f>
        <v/>
      </c>
      <c r="C447" s="8" t="str">
        <f aca="false">IF($A447="","",'Employee List'!E447&amp;"")</f>
        <v/>
      </c>
      <c r="D447" s="8" t="str">
        <f aca="false">IF($A447="","",'Employee List'!F447&amp;"")</f>
        <v/>
      </c>
      <c r="E447" s="8" t="str">
        <f aca="false">IF($A447="","",'Employee List'!G447&amp;"")</f>
        <v/>
      </c>
      <c r="F447" s="8" t="str">
        <f aca="false">IF($A447="","",'Employee List'!D447)</f>
        <v/>
      </c>
      <c r="G447" s="38" t="str">
        <f aca="false">IF($A447="","",IF('Employee List'!I447="","",'Employee List'!I447))</f>
        <v/>
      </c>
      <c r="H447" s="38" t="str">
        <f aca="false">IF(OR($A447="",G447=""),"",G447+Settings!$C$13)</f>
        <v/>
      </c>
      <c r="I447" s="38" t="str">
        <f aca="false">IF(H447="","",MAX(H447,DATE(LvYear,1,1)))</f>
        <v/>
      </c>
      <c r="J447" s="38" t="str">
        <f aca="false">IF($A447="","",IF('Employee List'!J447="",DATE(LvYear,12,31),MIN('Employee List'!J447,DATE(LvYear,12,31))))</f>
        <v/>
      </c>
      <c r="K447" s="39" t="str">
        <f aca="false">IF(OR(I447="",J447=""),"",MAX(0,J447-I447+1))</f>
        <v/>
      </c>
      <c r="L447" s="16" t="str">
        <f aca="false">IF($A447="","",IF(AND(ISNUMBER(K447),K447=0),0,Settings!$C$10))</f>
        <v/>
      </c>
      <c r="M447" s="16" t="str">
        <f aca="false">IF($A447="","",IF(AND(ISNUMBER(K447),K447=0),0,Settings!$C$11))</f>
        <v/>
      </c>
      <c r="N447" s="40"/>
      <c r="O447" s="16" t="str">
        <f aca="false">IF($A447="","",FLOOR(Settings!$C$12/365*N(K447),0.5))</f>
        <v/>
      </c>
      <c r="P447" s="16" t="str">
        <f aca="false">IF($A447="","",IF(I447="",N(N447),FLOOR(Settings!$C$12/365*MAX(0,MIN(LvAsOf,J447)-I447+1)+N(N447),0.5)))</f>
        <v/>
      </c>
      <c r="Q447" s="16" t="str">
        <f aca="false">IF($A447="","",Settings!$C$14)</f>
        <v/>
      </c>
      <c r="R447" s="16" t="str">
        <f aca="false">IF($A447="","",SUMIFS(Attendance!$AZ$6:$AZ$2405,Attendance!$B$6:$B$2405,$A447,Attendance!$A$6:$A$2405,"&gt;="&amp;DATE(LvYear,1,1),Attendance!$A$6:$A$2405,"&lt;="&amp;DATE(LvYear,12,31)))</f>
        <v/>
      </c>
      <c r="S447" s="16" t="str">
        <f aca="false">IF($A447="","",SUMIFS(Attendance!$AY$6:$AY$2405,Attendance!$B$6:$B$2405,$A447,Attendance!$A$6:$A$2405,"&gt;="&amp;DATE(LvYear,1,1),Attendance!$A$6:$A$2405,"&lt;="&amp;DATE(LvYear,12,31)))</f>
        <v/>
      </c>
      <c r="T447" s="16" t="str">
        <f aca="false">IF($A447="","",SUMIFS(Attendance!$AX$6:$AX$2405,Attendance!$B$6:$B$2405,$A447,Attendance!$A$6:$A$2405,"&gt;="&amp;DATE(LvYear,1,1),Attendance!$A$6:$A$2405,"&lt;="&amp;DATE(LvYear,12,31)))</f>
        <v/>
      </c>
      <c r="U447" s="16" t="str">
        <f aca="false">IF($A447="","",SUMIFS(Attendance!$AW$6:$AW$2405,Attendance!$B$6:$B$2405,$A447,Attendance!$A$6:$A$2405,"&gt;="&amp;DATE(LvYear,1,1),Attendance!$A$6:$A$2405,"&lt;="&amp;DATE(LvYear,12,31)))</f>
        <v/>
      </c>
      <c r="V447" s="16" t="str">
        <f aca="false">IF($A447="","",L447-R447)</f>
        <v/>
      </c>
      <c r="W447" s="16" t="str">
        <f aca="false">IF($A447="","",M447-S447)</f>
        <v/>
      </c>
      <c r="X447" s="16" t="str">
        <f aca="false">IF($A447="","",P447-T447)</f>
        <v/>
      </c>
      <c r="Y447" s="16" t="str">
        <f aca="false">IF($A447="","",Q447-U447)</f>
        <v/>
      </c>
      <c r="Z447" s="16" t="str">
        <f aca="false">IF($A447="","",V447+W447+X447)</f>
        <v/>
      </c>
      <c r="AA447" s="16" t="str">
        <f aca="false">IF($A447="","",O447+N(N447)-T447)</f>
        <v/>
      </c>
      <c r="AB447" s="8" t="str">
        <f aca="false">IF($A447="","","CL "&amp;V447&amp;" | SL "&amp;W447&amp;" | PL "&amp;X447&amp;" | TR "&amp;Y447)</f>
        <v/>
      </c>
      <c r="AC447" s="15" t="str">
        <f aca="false">IF($A447="","",IF(F447="Exited","EXITED",IF(AND(ISNUMBER(K447),K447=0),"NOT ELIGIBLE",IF(MIN(V447:X447)&lt;0,"OVER-USED",IF(Z447&lt;=Settings!$C$15,"LOW","OK")))))</f>
        <v/>
      </c>
      <c r="AD447" s="16" t="str">
        <f aca="false">IF(OR(AC447="OVER-USED",AC447="LOW"),COUNTIF(AC$6:AC447,"OVER-USED")+COUNTIF(AC$6:AC447,"LOW"),"")</f>
        <v/>
      </c>
    </row>
    <row r="448" customFormat="false" ht="15" hidden="false" customHeight="false" outlineLevel="0" collapsed="false">
      <c r="A448" s="8" t="str">
        <f aca="false">IF('Employee List'!B448="","",'Employee List'!B448)</f>
        <v/>
      </c>
      <c r="B448" s="8" t="str">
        <f aca="false">IF($A448="","",'Employee List'!C448)</f>
        <v/>
      </c>
      <c r="C448" s="8" t="str">
        <f aca="false">IF($A448="","",'Employee List'!E448&amp;"")</f>
        <v/>
      </c>
      <c r="D448" s="8" t="str">
        <f aca="false">IF($A448="","",'Employee List'!F448&amp;"")</f>
        <v/>
      </c>
      <c r="E448" s="8" t="str">
        <f aca="false">IF($A448="","",'Employee List'!G448&amp;"")</f>
        <v/>
      </c>
      <c r="F448" s="8" t="str">
        <f aca="false">IF($A448="","",'Employee List'!D448)</f>
        <v/>
      </c>
      <c r="G448" s="38" t="str">
        <f aca="false">IF($A448="","",IF('Employee List'!I448="","",'Employee List'!I448))</f>
        <v/>
      </c>
      <c r="H448" s="38" t="str">
        <f aca="false">IF(OR($A448="",G448=""),"",G448+Settings!$C$13)</f>
        <v/>
      </c>
      <c r="I448" s="38" t="str">
        <f aca="false">IF(H448="","",MAX(H448,DATE(LvYear,1,1)))</f>
        <v/>
      </c>
      <c r="J448" s="38" t="str">
        <f aca="false">IF($A448="","",IF('Employee List'!J448="",DATE(LvYear,12,31),MIN('Employee List'!J448,DATE(LvYear,12,31))))</f>
        <v/>
      </c>
      <c r="K448" s="39" t="str">
        <f aca="false">IF(OR(I448="",J448=""),"",MAX(0,J448-I448+1))</f>
        <v/>
      </c>
      <c r="L448" s="16" t="str">
        <f aca="false">IF($A448="","",IF(AND(ISNUMBER(K448),K448=0),0,Settings!$C$10))</f>
        <v/>
      </c>
      <c r="M448" s="16" t="str">
        <f aca="false">IF($A448="","",IF(AND(ISNUMBER(K448),K448=0),0,Settings!$C$11))</f>
        <v/>
      </c>
      <c r="N448" s="40"/>
      <c r="O448" s="16" t="str">
        <f aca="false">IF($A448="","",FLOOR(Settings!$C$12/365*N(K448),0.5))</f>
        <v/>
      </c>
      <c r="P448" s="16" t="str">
        <f aca="false">IF($A448="","",IF(I448="",N(N448),FLOOR(Settings!$C$12/365*MAX(0,MIN(LvAsOf,J448)-I448+1)+N(N448),0.5)))</f>
        <v/>
      </c>
      <c r="Q448" s="16" t="str">
        <f aca="false">IF($A448="","",Settings!$C$14)</f>
        <v/>
      </c>
      <c r="R448" s="16" t="str">
        <f aca="false">IF($A448="","",SUMIFS(Attendance!$AZ$6:$AZ$2405,Attendance!$B$6:$B$2405,$A448,Attendance!$A$6:$A$2405,"&gt;="&amp;DATE(LvYear,1,1),Attendance!$A$6:$A$2405,"&lt;="&amp;DATE(LvYear,12,31)))</f>
        <v/>
      </c>
      <c r="S448" s="16" t="str">
        <f aca="false">IF($A448="","",SUMIFS(Attendance!$AY$6:$AY$2405,Attendance!$B$6:$B$2405,$A448,Attendance!$A$6:$A$2405,"&gt;="&amp;DATE(LvYear,1,1),Attendance!$A$6:$A$2405,"&lt;="&amp;DATE(LvYear,12,31)))</f>
        <v/>
      </c>
      <c r="T448" s="16" t="str">
        <f aca="false">IF($A448="","",SUMIFS(Attendance!$AX$6:$AX$2405,Attendance!$B$6:$B$2405,$A448,Attendance!$A$6:$A$2405,"&gt;="&amp;DATE(LvYear,1,1),Attendance!$A$6:$A$2405,"&lt;="&amp;DATE(LvYear,12,31)))</f>
        <v/>
      </c>
      <c r="U448" s="16" t="str">
        <f aca="false">IF($A448="","",SUMIFS(Attendance!$AW$6:$AW$2405,Attendance!$B$6:$B$2405,$A448,Attendance!$A$6:$A$2405,"&gt;="&amp;DATE(LvYear,1,1),Attendance!$A$6:$A$2405,"&lt;="&amp;DATE(LvYear,12,31)))</f>
        <v/>
      </c>
      <c r="V448" s="16" t="str">
        <f aca="false">IF($A448="","",L448-R448)</f>
        <v/>
      </c>
      <c r="W448" s="16" t="str">
        <f aca="false">IF($A448="","",M448-S448)</f>
        <v/>
      </c>
      <c r="X448" s="16" t="str">
        <f aca="false">IF($A448="","",P448-T448)</f>
        <v/>
      </c>
      <c r="Y448" s="16" t="str">
        <f aca="false">IF($A448="","",Q448-U448)</f>
        <v/>
      </c>
      <c r="Z448" s="16" t="str">
        <f aca="false">IF($A448="","",V448+W448+X448)</f>
        <v/>
      </c>
      <c r="AA448" s="16" t="str">
        <f aca="false">IF($A448="","",O448+N(N448)-T448)</f>
        <v/>
      </c>
      <c r="AB448" s="8" t="str">
        <f aca="false">IF($A448="","","CL "&amp;V448&amp;" | SL "&amp;W448&amp;" | PL "&amp;X448&amp;" | TR "&amp;Y448)</f>
        <v/>
      </c>
      <c r="AC448" s="15" t="str">
        <f aca="false">IF($A448="","",IF(F448="Exited","EXITED",IF(AND(ISNUMBER(K448),K448=0),"NOT ELIGIBLE",IF(MIN(V448:X448)&lt;0,"OVER-USED",IF(Z448&lt;=Settings!$C$15,"LOW","OK")))))</f>
        <v/>
      </c>
      <c r="AD448" s="16" t="str">
        <f aca="false">IF(OR(AC448="OVER-USED",AC448="LOW"),COUNTIF(AC$6:AC448,"OVER-USED")+COUNTIF(AC$6:AC448,"LOW"),"")</f>
        <v/>
      </c>
    </row>
    <row r="449" customFormat="false" ht="15" hidden="false" customHeight="false" outlineLevel="0" collapsed="false">
      <c r="A449" s="8" t="str">
        <f aca="false">IF('Employee List'!B449="","",'Employee List'!B449)</f>
        <v/>
      </c>
      <c r="B449" s="8" t="str">
        <f aca="false">IF($A449="","",'Employee List'!C449)</f>
        <v/>
      </c>
      <c r="C449" s="8" t="str">
        <f aca="false">IF($A449="","",'Employee List'!E449&amp;"")</f>
        <v/>
      </c>
      <c r="D449" s="8" t="str">
        <f aca="false">IF($A449="","",'Employee List'!F449&amp;"")</f>
        <v/>
      </c>
      <c r="E449" s="8" t="str">
        <f aca="false">IF($A449="","",'Employee List'!G449&amp;"")</f>
        <v/>
      </c>
      <c r="F449" s="8" t="str">
        <f aca="false">IF($A449="","",'Employee List'!D449)</f>
        <v/>
      </c>
      <c r="G449" s="38" t="str">
        <f aca="false">IF($A449="","",IF('Employee List'!I449="","",'Employee List'!I449))</f>
        <v/>
      </c>
      <c r="H449" s="38" t="str">
        <f aca="false">IF(OR($A449="",G449=""),"",G449+Settings!$C$13)</f>
        <v/>
      </c>
      <c r="I449" s="38" t="str">
        <f aca="false">IF(H449="","",MAX(H449,DATE(LvYear,1,1)))</f>
        <v/>
      </c>
      <c r="J449" s="38" t="str">
        <f aca="false">IF($A449="","",IF('Employee List'!J449="",DATE(LvYear,12,31),MIN('Employee List'!J449,DATE(LvYear,12,31))))</f>
        <v/>
      </c>
      <c r="K449" s="39" t="str">
        <f aca="false">IF(OR(I449="",J449=""),"",MAX(0,J449-I449+1))</f>
        <v/>
      </c>
      <c r="L449" s="16" t="str">
        <f aca="false">IF($A449="","",IF(AND(ISNUMBER(K449),K449=0),0,Settings!$C$10))</f>
        <v/>
      </c>
      <c r="M449" s="16" t="str">
        <f aca="false">IF($A449="","",IF(AND(ISNUMBER(K449),K449=0),0,Settings!$C$11))</f>
        <v/>
      </c>
      <c r="N449" s="40"/>
      <c r="O449" s="16" t="str">
        <f aca="false">IF($A449="","",FLOOR(Settings!$C$12/365*N(K449),0.5))</f>
        <v/>
      </c>
      <c r="P449" s="16" t="str">
        <f aca="false">IF($A449="","",IF(I449="",N(N449),FLOOR(Settings!$C$12/365*MAX(0,MIN(LvAsOf,J449)-I449+1)+N(N449),0.5)))</f>
        <v/>
      </c>
      <c r="Q449" s="16" t="str">
        <f aca="false">IF($A449="","",Settings!$C$14)</f>
        <v/>
      </c>
      <c r="R449" s="16" t="str">
        <f aca="false">IF($A449="","",SUMIFS(Attendance!$AZ$6:$AZ$2405,Attendance!$B$6:$B$2405,$A449,Attendance!$A$6:$A$2405,"&gt;="&amp;DATE(LvYear,1,1),Attendance!$A$6:$A$2405,"&lt;="&amp;DATE(LvYear,12,31)))</f>
        <v/>
      </c>
      <c r="S449" s="16" t="str">
        <f aca="false">IF($A449="","",SUMIFS(Attendance!$AY$6:$AY$2405,Attendance!$B$6:$B$2405,$A449,Attendance!$A$6:$A$2405,"&gt;="&amp;DATE(LvYear,1,1),Attendance!$A$6:$A$2405,"&lt;="&amp;DATE(LvYear,12,31)))</f>
        <v/>
      </c>
      <c r="T449" s="16" t="str">
        <f aca="false">IF($A449="","",SUMIFS(Attendance!$AX$6:$AX$2405,Attendance!$B$6:$B$2405,$A449,Attendance!$A$6:$A$2405,"&gt;="&amp;DATE(LvYear,1,1),Attendance!$A$6:$A$2405,"&lt;="&amp;DATE(LvYear,12,31)))</f>
        <v/>
      </c>
      <c r="U449" s="16" t="str">
        <f aca="false">IF($A449="","",SUMIFS(Attendance!$AW$6:$AW$2405,Attendance!$B$6:$B$2405,$A449,Attendance!$A$6:$A$2405,"&gt;="&amp;DATE(LvYear,1,1),Attendance!$A$6:$A$2405,"&lt;="&amp;DATE(LvYear,12,31)))</f>
        <v/>
      </c>
      <c r="V449" s="16" t="str">
        <f aca="false">IF($A449="","",L449-R449)</f>
        <v/>
      </c>
      <c r="W449" s="16" t="str">
        <f aca="false">IF($A449="","",M449-S449)</f>
        <v/>
      </c>
      <c r="X449" s="16" t="str">
        <f aca="false">IF($A449="","",P449-T449)</f>
        <v/>
      </c>
      <c r="Y449" s="16" t="str">
        <f aca="false">IF($A449="","",Q449-U449)</f>
        <v/>
      </c>
      <c r="Z449" s="16" t="str">
        <f aca="false">IF($A449="","",V449+W449+X449)</f>
        <v/>
      </c>
      <c r="AA449" s="16" t="str">
        <f aca="false">IF($A449="","",O449+N(N449)-T449)</f>
        <v/>
      </c>
      <c r="AB449" s="8" t="str">
        <f aca="false">IF($A449="","","CL "&amp;V449&amp;" | SL "&amp;W449&amp;" | PL "&amp;X449&amp;" | TR "&amp;Y449)</f>
        <v/>
      </c>
      <c r="AC449" s="15" t="str">
        <f aca="false">IF($A449="","",IF(F449="Exited","EXITED",IF(AND(ISNUMBER(K449),K449=0),"NOT ELIGIBLE",IF(MIN(V449:X449)&lt;0,"OVER-USED",IF(Z449&lt;=Settings!$C$15,"LOW","OK")))))</f>
        <v/>
      </c>
      <c r="AD449" s="16" t="str">
        <f aca="false">IF(OR(AC449="OVER-USED",AC449="LOW"),COUNTIF(AC$6:AC449,"OVER-USED")+COUNTIF(AC$6:AC449,"LOW"),"")</f>
        <v/>
      </c>
    </row>
    <row r="450" customFormat="false" ht="15" hidden="false" customHeight="false" outlineLevel="0" collapsed="false">
      <c r="A450" s="8" t="str">
        <f aca="false">IF('Employee List'!B450="","",'Employee List'!B450)</f>
        <v/>
      </c>
      <c r="B450" s="8" t="str">
        <f aca="false">IF($A450="","",'Employee List'!C450)</f>
        <v/>
      </c>
      <c r="C450" s="8" t="str">
        <f aca="false">IF($A450="","",'Employee List'!E450&amp;"")</f>
        <v/>
      </c>
      <c r="D450" s="8" t="str">
        <f aca="false">IF($A450="","",'Employee List'!F450&amp;"")</f>
        <v/>
      </c>
      <c r="E450" s="8" t="str">
        <f aca="false">IF($A450="","",'Employee List'!G450&amp;"")</f>
        <v/>
      </c>
      <c r="F450" s="8" t="str">
        <f aca="false">IF($A450="","",'Employee List'!D450)</f>
        <v/>
      </c>
      <c r="G450" s="38" t="str">
        <f aca="false">IF($A450="","",IF('Employee List'!I450="","",'Employee List'!I450))</f>
        <v/>
      </c>
      <c r="H450" s="38" t="str">
        <f aca="false">IF(OR($A450="",G450=""),"",G450+Settings!$C$13)</f>
        <v/>
      </c>
      <c r="I450" s="38" t="str">
        <f aca="false">IF(H450="","",MAX(H450,DATE(LvYear,1,1)))</f>
        <v/>
      </c>
      <c r="J450" s="38" t="str">
        <f aca="false">IF($A450="","",IF('Employee List'!J450="",DATE(LvYear,12,31),MIN('Employee List'!J450,DATE(LvYear,12,31))))</f>
        <v/>
      </c>
      <c r="K450" s="39" t="str">
        <f aca="false">IF(OR(I450="",J450=""),"",MAX(0,J450-I450+1))</f>
        <v/>
      </c>
      <c r="L450" s="16" t="str">
        <f aca="false">IF($A450="","",IF(AND(ISNUMBER(K450),K450=0),0,Settings!$C$10))</f>
        <v/>
      </c>
      <c r="M450" s="16" t="str">
        <f aca="false">IF($A450="","",IF(AND(ISNUMBER(K450),K450=0),0,Settings!$C$11))</f>
        <v/>
      </c>
      <c r="N450" s="40"/>
      <c r="O450" s="16" t="str">
        <f aca="false">IF($A450="","",FLOOR(Settings!$C$12/365*N(K450),0.5))</f>
        <v/>
      </c>
      <c r="P450" s="16" t="str">
        <f aca="false">IF($A450="","",IF(I450="",N(N450),FLOOR(Settings!$C$12/365*MAX(0,MIN(LvAsOf,J450)-I450+1)+N(N450),0.5)))</f>
        <v/>
      </c>
      <c r="Q450" s="16" t="str">
        <f aca="false">IF($A450="","",Settings!$C$14)</f>
        <v/>
      </c>
      <c r="R450" s="16" t="str">
        <f aca="false">IF($A450="","",SUMIFS(Attendance!$AZ$6:$AZ$2405,Attendance!$B$6:$B$2405,$A450,Attendance!$A$6:$A$2405,"&gt;="&amp;DATE(LvYear,1,1),Attendance!$A$6:$A$2405,"&lt;="&amp;DATE(LvYear,12,31)))</f>
        <v/>
      </c>
      <c r="S450" s="16" t="str">
        <f aca="false">IF($A450="","",SUMIFS(Attendance!$AY$6:$AY$2405,Attendance!$B$6:$B$2405,$A450,Attendance!$A$6:$A$2405,"&gt;="&amp;DATE(LvYear,1,1),Attendance!$A$6:$A$2405,"&lt;="&amp;DATE(LvYear,12,31)))</f>
        <v/>
      </c>
      <c r="T450" s="16" t="str">
        <f aca="false">IF($A450="","",SUMIFS(Attendance!$AX$6:$AX$2405,Attendance!$B$6:$B$2405,$A450,Attendance!$A$6:$A$2405,"&gt;="&amp;DATE(LvYear,1,1),Attendance!$A$6:$A$2405,"&lt;="&amp;DATE(LvYear,12,31)))</f>
        <v/>
      </c>
      <c r="U450" s="16" t="str">
        <f aca="false">IF($A450="","",SUMIFS(Attendance!$AW$6:$AW$2405,Attendance!$B$6:$B$2405,$A450,Attendance!$A$6:$A$2405,"&gt;="&amp;DATE(LvYear,1,1),Attendance!$A$6:$A$2405,"&lt;="&amp;DATE(LvYear,12,31)))</f>
        <v/>
      </c>
      <c r="V450" s="16" t="str">
        <f aca="false">IF($A450="","",L450-R450)</f>
        <v/>
      </c>
      <c r="W450" s="16" t="str">
        <f aca="false">IF($A450="","",M450-S450)</f>
        <v/>
      </c>
      <c r="X450" s="16" t="str">
        <f aca="false">IF($A450="","",P450-T450)</f>
        <v/>
      </c>
      <c r="Y450" s="16" t="str">
        <f aca="false">IF($A450="","",Q450-U450)</f>
        <v/>
      </c>
      <c r="Z450" s="16" t="str">
        <f aca="false">IF($A450="","",V450+W450+X450)</f>
        <v/>
      </c>
      <c r="AA450" s="16" t="str">
        <f aca="false">IF($A450="","",O450+N(N450)-T450)</f>
        <v/>
      </c>
      <c r="AB450" s="8" t="str">
        <f aca="false">IF($A450="","","CL "&amp;V450&amp;" | SL "&amp;W450&amp;" | PL "&amp;X450&amp;" | TR "&amp;Y450)</f>
        <v/>
      </c>
      <c r="AC450" s="15" t="str">
        <f aca="false">IF($A450="","",IF(F450="Exited","EXITED",IF(AND(ISNUMBER(K450),K450=0),"NOT ELIGIBLE",IF(MIN(V450:X450)&lt;0,"OVER-USED",IF(Z450&lt;=Settings!$C$15,"LOW","OK")))))</f>
        <v/>
      </c>
      <c r="AD450" s="16" t="str">
        <f aca="false">IF(OR(AC450="OVER-USED",AC450="LOW"),COUNTIF(AC$6:AC450,"OVER-USED")+COUNTIF(AC$6:AC450,"LOW"),"")</f>
        <v/>
      </c>
    </row>
    <row r="451" customFormat="false" ht="15" hidden="false" customHeight="false" outlineLevel="0" collapsed="false">
      <c r="A451" s="8" t="str">
        <f aca="false">IF('Employee List'!B451="","",'Employee List'!B451)</f>
        <v/>
      </c>
      <c r="B451" s="8" t="str">
        <f aca="false">IF($A451="","",'Employee List'!C451)</f>
        <v/>
      </c>
      <c r="C451" s="8" t="str">
        <f aca="false">IF($A451="","",'Employee List'!E451&amp;"")</f>
        <v/>
      </c>
      <c r="D451" s="8" t="str">
        <f aca="false">IF($A451="","",'Employee List'!F451&amp;"")</f>
        <v/>
      </c>
      <c r="E451" s="8" t="str">
        <f aca="false">IF($A451="","",'Employee List'!G451&amp;"")</f>
        <v/>
      </c>
      <c r="F451" s="8" t="str">
        <f aca="false">IF($A451="","",'Employee List'!D451)</f>
        <v/>
      </c>
      <c r="G451" s="38" t="str">
        <f aca="false">IF($A451="","",IF('Employee List'!I451="","",'Employee List'!I451))</f>
        <v/>
      </c>
      <c r="H451" s="38" t="str">
        <f aca="false">IF(OR($A451="",G451=""),"",G451+Settings!$C$13)</f>
        <v/>
      </c>
      <c r="I451" s="38" t="str">
        <f aca="false">IF(H451="","",MAX(H451,DATE(LvYear,1,1)))</f>
        <v/>
      </c>
      <c r="J451" s="38" t="str">
        <f aca="false">IF($A451="","",IF('Employee List'!J451="",DATE(LvYear,12,31),MIN('Employee List'!J451,DATE(LvYear,12,31))))</f>
        <v/>
      </c>
      <c r="K451" s="39" t="str">
        <f aca="false">IF(OR(I451="",J451=""),"",MAX(0,J451-I451+1))</f>
        <v/>
      </c>
      <c r="L451" s="16" t="str">
        <f aca="false">IF($A451="","",IF(AND(ISNUMBER(K451),K451=0),0,Settings!$C$10))</f>
        <v/>
      </c>
      <c r="M451" s="16" t="str">
        <f aca="false">IF($A451="","",IF(AND(ISNUMBER(K451),K451=0),0,Settings!$C$11))</f>
        <v/>
      </c>
      <c r="N451" s="40"/>
      <c r="O451" s="16" t="str">
        <f aca="false">IF($A451="","",FLOOR(Settings!$C$12/365*N(K451),0.5))</f>
        <v/>
      </c>
      <c r="P451" s="16" t="str">
        <f aca="false">IF($A451="","",IF(I451="",N(N451),FLOOR(Settings!$C$12/365*MAX(0,MIN(LvAsOf,J451)-I451+1)+N(N451),0.5)))</f>
        <v/>
      </c>
      <c r="Q451" s="16" t="str">
        <f aca="false">IF($A451="","",Settings!$C$14)</f>
        <v/>
      </c>
      <c r="R451" s="16" t="str">
        <f aca="false">IF($A451="","",SUMIFS(Attendance!$AZ$6:$AZ$2405,Attendance!$B$6:$B$2405,$A451,Attendance!$A$6:$A$2405,"&gt;="&amp;DATE(LvYear,1,1),Attendance!$A$6:$A$2405,"&lt;="&amp;DATE(LvYear,12,31)))</f>
        <v/>
      </c>
      <c r="S451" s="16" t="str">
        <f aca="false">IF($A451="","",SUMIFS(Attendance!$AY$6:$AY$2405,Attendance!$B$6:$B$2405,$A451,Attendance!$A$6:$A$2405,"&gt;="&amp;DATE(LvYear,1,1),Attendance!$A$6:$A$2405,"&lt;="&amp;DATE(LvYear,12,31)))</f>
        <v/>
      </c>
      <c r="T451" s="16" t="str">
        <f aca="false">IF($A451="","",SUMIFS(Attendance!$AX$6:$AX$2405,Attendance!$B$6:$B$2405,$A451,Attendance!$A$6:$A$2405,"&gt;="&amp;DATE(LvYear,1,1),Attendance!$A$6:$A$2405,"&lt;="&amp;DATE(LvYear,12,31)))</f>
        <v/>
      </c>
      <c r="U451" s="16" t="str">
        <f aca="false">IF($A451="","",SUMIFS(Attendance!$AW$6:$AW$2405,Attendance!$B$6:$B$2405,$A451,Attendance!$A$6:$A$2405,"&gt;="&amp;DATE(LvYear,1,1),Attendance!$A$6:$A$2405,"&lt;="&amp;DATE(LvYear,12,31)))</f>
        <v/>
      </c>
      <c r="V451" s="16" t="str">
        <f aca="false">IF($A451="","",L451-R451)</f>
        <v/>
      </c>
      <c r="W451" s="16" t="str">
        <f aca="false">IF($A451="","",M451-S451)</f>
        <v/>
      </c>
      <c r="X451" s="16" t="str">
        <f aca="false">IF($A451="","",P451-T451)</f>
        <v/>
      </c>
      <c r="Y451" s="16" t="str">
        <f aca="false">IF($A451="","",Q451-U451)</f>
        <v/>
      </c>
      <c r="Z451" s="16" t="str">
        <f aca="false">IF($A451="","",V451+W451+X451)</f>
        <v/>
      </c>
      <c r="AA451" s="16" t="str">
        <f aca="false">IF($A451="","",O451+N(N451)-T451)</f>
        <v/>
      </c>
      <c r="AB451" s="8" t="str">
        <f aca="false">IF($A451="","","CL "&amp;V451&amp;" | SL "&amp;W451&amp;" | PL "&amp;X451&amp;" | TR "&amp;Y451)</f>
        <v/>
      </c>
      <c r="AC451" s="15" t="str">
        <f aca="false">IF($A451="","",IF(F451="Exited","EXITED",IF(AND(ISNUMBER(K451),K451=0),"NOT ELIGIBLE",IF(MIN(V451:X451)&lt;0,"OVER-USED",IF(Z451&lt;=Settings!$C$15,"LOW","OK")))))</f>
        <v/>
      </c>
      <c r="AD451" s="16" t="str">
        <f aca="false">IF(OR(AC451="OVER-USED",AC451="LOW"),COUNTIF(AC$6:AC451,"OVER-USED")+COUNTIF(AC$6:AC451,"LOW"),"")</f>
        <v/>
      </c>
    </row>
    <row r="452" customFormat="false" ht="15" hidden="false" customHeight="false" outlineLevel="0" collapsed="false">
      <c r="A452" s="8" t="str">
        <f aca="false">IF('Employee List'!B452="","",'Employee List'!B452)</f>
        <v/>
      </c>
      <c r="B452" s="8" t="str">
        <f aca="false">IF($A452="","",'Employee List'!C452)</f>
        <v/>
      </c>
      <c r="C452" s="8" t="str">
        <f aca="false">IF($A452="","",'Employee List'!E452&amp;"")</f>
        <v/>
      </c>
      <c r="D452" s="8" t="str">
        <f aca="false">IF($A452="","",'Employee List'!F452&amp;"")</f>
        <v/>
      </c>
      <c r="E452" s="8" t="str">
        <f aca="false">IF($A452="","",'Employee List'!G452&amp;"")</f>
        <v/>
      </c>
      <c r="F452" s="8" t="str">
        <f aca="false">IF($A452="","",'Employee List'!D452)</f>
        <v/>
      </c>
      <c r="G452" s="38" t="str">
        <f aca="false">IF($A452="","",IF('Employee List'!I452="","",'Employee List'!I452))</f>
        <v/>
      </c>
      <c r="H452" s="38" t="str">
        <f aca="false">IF(OR($A452="",G452=""),"",G452+Settings!$C$13)</f>
        <v/>
      </c>
      <c r="I452" s="38" t="str">
        <f aca="false">IF(H452="","",MAX(H452,DATE(LvYear,1,1)))</f>
        <v/>
      </c>
      <c r="J452" s="38" t="str">
        <f aca="false">IF($A452="","",IF('Employee List'!J452="",DATE(LvYear,12,31),MIN('Employee List'!J452,DATE(LvYear,12,31))))</f>
        <v/>
      </c>
      <c r="K452" s="39" t="str">
        <f aca="false">IF(OR(I452="",J452=""),"",MAX(0,J452-I452+1))</f>
        <v/>
      </c>
      <c r="L452" s="16" t="str">
        <f aca="false">IF($A452="","",IF(AND(ISNUMBER(K452),K452=0),0,Settings!$C$10))</f>
        <v/>
      </c>
      <c r="M452" s="16" t="str">
        <f aca="false">IF($A452="","",IF(AND(ISNUMBER(K452),K452=0),0,Settings!$C$11))</f>
        <v/>
      </c>
      <c r="N452" s="40"/>
      <c r="O452" s="16" t="str">
        <f aca="false">IF($A452="","",FLOOR(Settings!$C$12/365*N(K452),0.5))</f>
        <v/>
      </c>
      <c r="P452" s="16" t="str">
        <f aca="false">IF($A452="","",IF(I452="",N(N452),FLOOR(Settings!$C$12/365*MAX(0,MIN(LvAsOf,J452)-I452+1)+N(N452),0.5)))</f>
        <v/>
      </c>
      <c r="Q452" s="16" t="str">
        <f aca="false">IF($A452="","",Settings!$C$14)</f>
        <v/>
      </c>
      <c r="R452" s="16" t="str">
        <f aca="false">IF($A452="","",SUMIFS(Attendance!$AZ$6:$AZ$2405,Attendance!$B$6:$B$2405,$A452,Attendance!$A$6:$A$2405,"&gt;="&amp;DATE(LvYear,1,1),Attendance!$A$6:$A$2405,"&lt;="&amp;DATE(LvYear,12,31)))</f>
        <v/>
      </c>
      <c r="S452" s="16" t="str">
        <f aca="false">IF($A452="","",SUMIFS(Attendance!$AY$6:$AY$2405,Attendance!$B$6:$B$2405,$A452,Attendance!$A$6:$A$2405,"&gt;="&amp;DATE(LvYear,1,1),Attendance!$A$6:$A$2405,"&lt;="&amp;DATE(LvYear,12,31)))</f>
        <v/>
      </c>
      <c r="T452" s="16" t="str">
        <f aca="false">IF($A452="","",SUMIFS(Attendance!$AX$6:$AX$2405,Attendance!$B$6:$B$2405,$A452,Attendance!$A$6:$A$2405,"&gt;="&amp;DATE(LvYear,1,1),Attendance!$A$6:$A$2405,"&lt;="&amp;DATE(LvYear,12,31)))</f>
        <v/>
      </c>
      <c r="U452" s="16" t="str">
        <f aca="false">IF($A452="","",SUMIFS(Attendance!$AW$6:$AW$2405,Attendance!$B$6:$B$2405,$A452,Attendance!$A$6:$A$2405,"&gt;="&amp;DATE(LvYear,1,1),Attendance!$A$6:$A$2405,"&lt;="&amp;DATE(LvYear,12,31)))</f>
        <v/>
      </c>
      <c r="V452" s="16" t="str">
        <f aca="false">IF($A452="","",L452-R452)</f>
        <v/>
      </c>
      <c r="W452" s="16" t="str">
        <f aca="false">IF($A452="","",M452-S452)</f>
        <v/>
      </c>
      <c r="X452" s="16" t="str">
        <f aca="false">IF($A452="","",P452-T452)</f>
        <v/>
      </c>
      <c r="Y452" s="16" t="str">
        <f aca="false">IF($A452="","",Q452-U452)</f>
        <v/>
      </c>
      <c r="Z452" s="16" t="str">
        <f aca="false">IF($A452="","",V452+W452+X452)</f>
        <v/>
      </c>
      <c r="AA452" s="16" t="str">
        <f aca="false">IF($A452="","",O452+N(N452)-T452)</f>
        <v/>
      </c>
      <c r="AB452" s="8" t="str">
        <f aca="false">IF($A452="","","CL "&amp;V452&amp;" | SL "&amp;W452&amp;" | PL "&amp;X452&amp;" | TR "&amp;Y452)</f>
        <v/>
      </c>
      <c r="AC452" s="15" t="str">
        <f aca="false">IF($A452="","",IF(F452="Exited","EXITED",IF(AND(ISNUMBER(K452),K452=0),"NOT ELIGIBLE",IF(MIN(V452:X452)&lt;0,"OVER-USED",IF(Z452&lt;=Settings!$C$15,"LOW","OK")))))</f>
        <v/>
      </c>
      <c r="AD452" s="16" t="str">
        <f aca="false">IF(OR(AC452="OVER-USED",AC452="LOW"),COUNTIF(AC$6:AC452,"OVER-USED")+COUNTIF(AC$6:AC452,"LOW"),"")</f>
        <v/>
      </c>
    </row>
    <row r="453" customFormat="false" ht="15" hidden="false" customHeight="false" outlineLevel="0" collapsed="false">
      <c r="A453" s="8" t="str">
        <f aca="false">IF('Employee List'!B453="","",'Employee List'!B453)</f>
        <v/>
      </c>
      <c r="B453" s="8" t="str">
        <f aca="false">IF($A453="","",'Employee List'!C453)</f>
        <v/>
      </c>
      <c r="C453" s="8" t="str">
        <f aca="false">IF($A453="","",'Employee List'!E453&amp;"")</f>
        <v/>
      </c>
      <c r="D453" s="8" t="str">
        <f aca="false">IF($A453="","",'Employee List'!F453&amp;"")</f>
        <v/>
      </c>
      <c r="E453" s="8" t="str">
        <f aca="false">IF($A453="","",'Employee List'!G453&amp;"")</f>
        <v/>
      </c>
      <c r="F453" s="8" t="str">
        <f aca="false">IF($A453="","",'Employee List'!D453)</f>
        <v/>
      </c>
      <c r="G453" s="38" t="str">
        <f aca="false">IF($A453="","",IF('Employee List'!I453="","",'Employee List'!I453))</f>
        <v/>
      </c>
      <c r="H453" s="38" t="str">
        <f aca="false">IF(OR($A453="",G453=""),"",G453+Settings!$C$13)</f>
        <v/>
      </c>
      <c r="I453" s="38" t="str">
        <f aca="false">IF(H453="","",MAX(H453,DATE(LvYear,1,1)))</f>
        <v/>
      </c>
      <c r="J453" s="38" t="str">
        <f aca="false">IF($A453="","",IF('Employee List'!J453="",DATE(LvYear,12,31),MIN('Employee List'!J453,DATE(LvYear,12,31))))</f>
        <v/>
      </c>
      <c r="K453" s="39" t="str">
        <f aca="false">IF(OR(I453="",J453=""),"",MAX(0,J453-I453+1))</f>
        <v/>
      </c>
      <c r="L453" s="16" t="str">
        <f aca="false">IF($A453="","",IF(AND(ISNUMBER(K453),K453=0),0,Settings!$C$10))</f>
        <v/>
      </c>
      <c r="M453" s="16" t="str">
        <f aca="false">IF($A453="","",IF(AND(ISNUMBER(K453),K453=0),0,Settings!$C$11))</f>
        <v/>
      </c>
      <c r="N453" s="40"/>
      <c r="O453" s="16" t="str">
        <f aca="false">IF($A453="","",FLOOR(Settings!$C$12/365*N(K453),0.5))</f>
        <v/>
      </c>
      <c r="P453" s="16" t="str">
        <f aca="false">IF($A453="","",IF(I453="",N(N453),FLOOR(Settings!$C$12/365*MAX(0,MIN(LvAsOf,J453)-I453+1)+N(N453),0.5)))</f>
        <v/>
      </c>
      <c r="Q453" s="16" t="str">
        <f aca="false">IF($A453="","",Settings!$C$14)</f>
        <v/>
      </c>
      <c r="R453" s="16" t="str">
        <f aca="false">IF($A453="","",SUMIFS(Attendance!$AZ$6:$AZ$2405,Attendance!$B$6:$B$2405,$A453,Attendance!$A$6:$A$2405,"&gt;="&amp;DATE(LvYear,1,1),Attendance!$A$6:$A$2405,"&lt;="&amp;DATE(LvYear,12,31)))</f>
        <v/>
      </c>
      <c r="S453" s="16" t="str">
        <f aca="false">IF($A453="","",SUMIFS(Attendance!$AY$6:$AY$2405,Attendance!$B$6:$B$2405,$A453,Attendance!$A$6:$A$2405,"&gt;="&amp;DATE(LvYear,1,1),Attendance!$A$6:$A$2405,"&lt;="&amp;DATE(LvYear,12,31)))</f>
        <v/>
      </c>
      <c r="T453" s="16" t="str">
        <f aca="false">IF($A453="","",SUMIFS(Attendance!$AX$6:$AX$2405,Attendance!$B$6:$B$2405,$A453,Attendance!$A$6:$A$2405,"&gt;="&amp;DATE(LvYear,1,1),Attendance!$A$6:$A$2405,"&lt;="&amp;DATE(LvYear,12,31)))</f>
        <v/>
      </c>
      <c r="U453" s="16" t="str">
        <f aca="false">IF($A453="","",SUMIFS(Attendance!$AW$6:$AW$2405,Attendance!$B$6:$B$2405,$A453,Attendance!$A$6:$A$2405,"&gt;="&amp;DATE(LvYear,1,1),Attendance!$A$6:$A$2405,"&lt;="&amp;DATE(LvYear,12,31)))</f>
        <v/>
      </c>
      <c r="V453" s="16" t="str">
        <f aca="false">IF($A453="","",L453-R453)</f>
        <v/>
      </c>
      <c r="W453" s="16" t="str">
        <f aca="false">IF($A453="","",M453-S453)</f>
        <v/>
      </c>
      <c r="X453" s="16" t="str">
        <f aca="false">IF($A453="","",P453-T453)</f>
        <v/>
      </c>
      <c r="Y453" s="16" t="str">
        <f aca="false">IF($A453="","",Q453-U453)</f>
        <v/>
      </c>
      <c r="Z453" s="16" t="str">
        <f aca="false">IF($A453="","",V453+W453+X453)</f>
        <v/>
      </c>
      <c r="AA453" s="16" t="str">
        <f aca="false">IF($A453="","",O453+N(N453)-T453)</f>
        <v/>
      </c>
      <c r="AB453" s="8" t="str">
        <f aca="false">IF($A453="","","CL "&amp;V453&amp;" | SL "&amp;W453&amp;" | PL "&amp;X453&amp;" | TR "&amp;Y453)</f>
        <v/>
      </c>
      <c r="AC453" s="15" t="str">
        <f aca="false">IF($A453="","",IF(F453="Exited","EXITED",IF(AND(ISNUMBER(K453),K453=0),"NOT ELIGIBLE",IF(MIN(V453:X453)&lt;0,"OVER-USED",IF(Z453&lt;=Settings!$C$15,"LOW","OK")))))</f>
        <v/>
      </c>
      <c r="AD453" s="16" t="str">
        <f aca="false">IF(OR(AC453="OVER-USED",AC453="LOW"),COUNTIF(AC$6:AC453,"OVER-USED")+COUNTIF(AC$6:AC453,"LOW"),"")</f>
        <v/>
      </c>
    </row>
    <row r="454" customFormat="false" ht="15" hidden="false" customHeight="false" outlineLevel="0" collapsed="false">
      <c r="A454" s="8" t="str">
        <f aca="false">IF('Employee List'!B454="","",'Employee List'!B454)</f>
        <v/>
      </c>
      <c r="B454" s="8" t="str">
        <f aca="false">IF($A454="","",'Employee List'!C454)</f>
        <v/>
      </c>
      <c r="C454" s="8" t="str">
        <f aca="false">IF($A454="","",'Employee List'!E454&amp;"")</f>
        <v/>
      </c>
      <c r="D454" s="8" t="str">
        <f aca="false">IF($A454="","",'Employee List'!F454&amp;"")</f>
        <v/>
      </c>
      <c r="E454" s="8" t="str">
        <f aca="false">IF($A454="","",'Employee List'!G454&amp;"")</f>
        <v/>
      </c>
      <c r="F454" s="8" t="str">
        <f aca="false">IF($A454="","",'Employee List'!D454)</f>
        <v/>
      </c>
      <c r="G454" s="38" t="str">
        <f aca="false">IF($A454="","",IF('Employee List'!I454="","",'Employee List'!I454))</f>
        <v/>
      </c>
      <c r="H454" s="38" t="str">
        <f aca="false">IF(OR($A454="",G454=""),"",G454+Settings!$C$13)</f>
        <v/>
      </c>
      <c r="I454" s="38" t="str">
        <f aca="false">IF(H454="","",MAX(H454,DATE(LvYear,1,1)))</f>
        <v/>
      </c>
      <c r="J454" s="38" t="str">
        <f aca="false">IF($A454="","",IF('Employee List'!J454="",DATE(LvYear,12,31),MIN('Employee List'!J454,DATE(LvYear,12,31))))</f>
        <v/>
      </c>
      <c r="K454" s="39" t="str">
        <f aca="false">IF(OR(I454="",J454=""),"",MAX(0,J454-I454+1))</f>
        <v/>
      </c>
      <c r="L454" s="16" t="str">
        <f aca="false">IF($A454="","",IF(AND(ISNUMBER(K454),K454=0),0,Settings!$C$10))</f>
        <v/>
      </c>
      <c r="M454" s="16" t="str">
        <f aca="false">IF($A454="","",IF(AND(ISNUMBER(K454),K454=0),0,Settings!$C$11))</f>
        <v/>
      </c>
      <c r="N454" s="40"/>
      <c r="O454" s="16" t="str">
        <f aca="false">IF($A454="","",FLOOR(Settings!$C$12/365*N(K454),0.5))</f>
        <v/>
      </c>
      <c r="P454" s="16" t="str">
        <f aca="false">IF($A454="","",IF(I454="",N(N454),FLOOR(Settings!$C$12/365*MAX(0,MIN(LvAsOf,J454)-I454+1)+N(N454),0.5)))</f>
        <v/>
      </c>
      <c r="Q454" s="16" t="str">
        <f aca="false">IF($A454="","",Settings!$C$14)</f>
        <v/>
      </c>
      <c r="R454" s="16" t="str">
        <f aca="false">IF($A454="","",SUMIFS(Attendance!$AZ$6:$AZ$2405,Attendance!$B$6:$B$2405,$A454,Attendance!$A$6:$A$2405,"&gt;="&amp;DATE(LvYear,1,1),Attendance!$A$6:$A$2405,"&lt;="&amp;DATE(LvYear,12,31)))</f>
        <v/>
      </c>
      <c r="S454" s="16" t="str">
        <f aca="false">IF($A454="","",SUMIFS(Attendance!$AY$6:$AY$2405,Attendance!$B$6:$B$2405,$A454,Attendance!$A$6:$A$2405,"&gt;="&amp;DATE(LvYear,1,1),Attendance!$A$6:$A$2405,"&lt;="&amp;DATE(LvYear,12,31)))</f>
        <v/>
      </c>
      <c r="T454" s="16" t="str">
        <f aca="false">IF($A454="","",SUMIFS(Attendance!$AX$6:$AX$2405,Attendance!$B$6:$B$2405,$A454,Attendance!$A$6:$A$2405,"&gt;="&amp;DATE(LvYear,1,1),Attendance!$A$6:$A$2405,"&lt;="&amp;DATE(LvYear,12,31)))</f>
        <v/>
      </c>
      <c r="U454" s="16" t="str">
        <f aca="false">IF($A454="","",SUMIFS(Attendance!$AW$6:$AW$2405,Attendance!$B$6:$B$2405,$A454,Attendance!$A$6:$A$2405,"&gt;="&amp;DATE(LvYear,1,1),Attendance!$A$6:$A$2405,"&lt;="&amp;DATE(LvYear,12,31)))</f>
        <v/>
      </c>
      <c r="V454" s="16" t="str">
        <f aca="false">IF($A454="","",L454-R454)</f>
        <v/>
      </c>
      <c r="W454" s="16" t="str">
        <f aca="false">IF($A454="","",M454-S454)</f>
        <v/>
      </c>
      <c r="X454" s="16" t="str">
        <f aca="false">IF($A454="","",P454-T454)</f>
        <v/>
      </c>
      <c r="Y454" s="16" t="str">
        <f aca="false">IF($A454="","",Q454-U454)</f>
        <v/>
      </c>
      <c r="Z454" s="16" t="str">
        <f aca="false">IF($A454="","",V454+W454+X454)</f>
        <v/>
      </c>
      <c r="AA454" s="16" t="str">
        <f aca="false">IF($A454="","",O454+N(N454)-T454)</f>
        <v/>
      </c>
      <c r="AB454" s="8" t="str">
        <f aca="false">IF($A454="","","CL "&amp;V454&amp;" | SL "&amp;W454&amp;" | PL "&amp;X454&amp;" | TR "&amp;Y454)</f>
        <v/>
      </c>
      <c r="AC454" s="15" t="str">
        <f aca="false">IF($A454="","",IF(F454="Exited","EXITED",IF(AND(ISNUMBER(K454),K454=0),"NOT ELIGIBLE",IF(MIN(V454:X454)&lt;0,"OVER-USED",IF(Z454&lt;=Settings!$C$15,"LOW","OK")))))</f>
        <v/>
      </c>
      <c r="AD454" s="16" t="str">
        <f aca="false">IF(OR(AC454="OVER-USED",AC454="LOW"),COUNTIF(AC$6:AC454,"OVER-USED")+COUNTIF(AC$6:AC454,"LOW"),"")</f>
        <v/>
      </c>
    </row>
    <row r="455" customFormat="false" ht="15" hidden="false" customHeight="false" outlineLevel="0" collapsed="false">
      <c r="A455" s="8" t="str">
        <f aca="false">IF('Employee List'!B455="","",'Employee List'!B455)</f>
        <v/>
      </c>
      <c r="B455" s="8" t="str">
        <f aca="false">IF($A455="","",'Employee List'!C455)</f>
        <v/>
      </c>
      <c r="C455" s="8" t="str">
        <f aca="false">IF($A455="","",'Employee List'!E455&amp;"")</f>
        <v/>
      </c>
      <c r="D455" s="8" t="str">
        <f aca="false">IF($A455="","",'Employee List'!F455&amp;"")</f>
        <v/>
      </c>
      <c r="E455" s="8" t="str">
        <f aca="false">IF($A455="","",'Employee List'!G455&amp;"")</f>
        <v/>
      </c>
      <c r="F455" s="8" t="str">
        <f aca="false">IF($A455="","",'Employee List'!D455)</f>
        <v/>
      </c>
      <c r="G455" s="38" t="str">
        <f aca="false">IF($A455="","",IF('Employee List'!I455="","",'Employee List'!I455))</f>
        <v/>
      </c>
      <c r="H455" s="38" t="str">
        <f aca="false">IF(OR($A455="",G455=""),"",G455+Settings!$C$13)</f>
        <v/>
      </c>
      <c r="I455" s="38" t="str">
        <f aca="false">IF(H455="","",MAX(H455,DATE(LvYear,1,1)))</f>
        <v/>
      </c>
      <c r="J455" s="38" t="str">
        <f aca="false">IF($A455="","",IF('Employee List'!J455="",DATE(LvYear,12,31),MIN('Employee List'!J455,DATE(LvYear,12,31))))</f>
        <v/>
      </c>
      <c r="K455" s="39" t="str">
        <f aca="false">IF(OR(I455="",J455=""),"",MAX(0,J455-I455+1))</f>
        <v/>
      </c>
      <c r="L455" s="16" t="str">
        <f aca="false">IF($A455="","",IF(AND(ISNUMBER(K455),K455=0),0,Settings!$C$10))</f>
        <v/>
      </c>
      <c r="M455" s="16" t="str">
        <f aca="false">IF($A455="","",IF(AND(ISNUMBER(K455),K455=0),0,Settings!$C$11))</f>
        <v/>
      </c>
      <c r="N455" s="40"/>
      <c r="O455" s="16" t="str">
        <f aca="false">IF($A455="","",FLOOR(Settings!$C$12/365*N(K455),0.5))</f>
        <v/>
      </c>
      <c r="P455" s="16" t="str">
        <f aca="false">IF($A455="","",IF(I455="",N(N455),FLOOR(Settings!$C$12/365*MAX(0,MIN(LvAsOf,J455)-I455+1)+N(N455),0.5)))</f>
        <v/>
      </c>
      <c r="Q455" s="16" t="str">
        <f aca="false">IF($A455="","",Settings!$C$14)</f>
        <v/>
      </c>
      <c r="R455" s="16" t="str">
        <f aca="false">IF($A455="","",SUMIFS(Attendance!$AZ$6:$AZ$2405,Attendance!$B$6:$B$2405,$A455,Attendance!$A$6:$A$2405,"&gt;="&amp;DATE(LvYear,1,1),Attendance!$A$6:$A$2405,"&lt;="&amp;DATE(LvYear,12,31)))</f>
        <v/>
      </c>
      <c r="S455" s="16" t="str">
        <f aca="false">IF($A455="","",SUMIFS(Attendance!$AY$6:$AY$2405,Attendance!$B$6:$B$2405,$A455,Attendance!$A$6:$A$2405,"&gt;="&amp;DATE(LvYear,1,1),Attendance!$A$6:$A$2405,"&lt;="&amp;DATE(LvYear,12,31)))</f>
        <v/>
      </c>
      <c r="T455" s="16" t="str">
        <f aca="false">IF($A455="","",SUMIFS(Attendance!$AX$6:$AX$2405,Attendance!$B$6:$B$2405,$A455,Attendance!$A$6:$A$2405,"&gt;="&amp;DATE(LvYear,1,1),Attendance!$A$6:$A$2405,"&lt;="&amp;DATE(LvYear,12,31)))</f>
        <v/>
      </c>
      <c r="U455" s="16" t="str">
        <f aca="false">IF($A455="","",SUMIFS(Attendance!$AW$6:$AW$2405,Attendance!$B$6:$B$2405,$A455,Attendance!$A$6:$A$2405,"&gt;="&amp;DATE(LvYear,1,1),Attendance!$A$6:$A$2405,"&lt;="&amp;DATE(LvYear,12,31)))</f>
        <v/>
      </c>
      <c r="V455" s="16" t="str">
        <f aca="false">IF($A455="","",L455-R455)</f>
        <v/>
      </c>
      <c r="W455" s="16" t="str">
        <f aca="false">IF($A455="","",M455-S455)</f>
        <v/>
      </c>
      <c r="X455" s="16" t="str">
        <f aca="false">IF($A455="","",P455-T455)</f>
        <v/>
      </c>
      <c r="Y455" s="16" t="str">
        <f aca="false">IF($A455="","",Q455-U455)</f>
        <v/>
      </c>
      <c r="Z455" s="16" t="str">
        <f aca="false">IF($A455="","",V455+W455+X455)</f>
        <v/>
      </c>
      <c r="AA455" s="16" t="str">
        <f aca="false">IF($A455="","",O455+N(N455)-T455)</f>
        <v/>
      </c>
      <c r="AB455" s="8" t="str">
        <f aca="false">IF($A455="","","CL "&amp;V455&amp;" | SL "&amp;W455&amp;" | PL "&amp;X455&amp;" | TR "&amp;Y455)</f>
        <v/>
      </c>
      <c r="AC455" s="15" t="str">
        <f aca="false">IF($A455="","",IF(F455="Exited","EXITED",IF(AND(ISNUMBER(K455),K455=0),"NOT ELIGIBLE",IF(MIN(V455:X455)&lt;0,"OVER-USED",IF(Z455&lt;=Settings!$C$15,"LOW","OK")))))</f>
        <v/>
      </c>
      <c r="AD455" s="16" t="str">
        <f aca="false">IF(OR(AC455="OVER-USED",AC455="LOW"),COUNTIF(AC$6:AC455,"OVER-USED")+COUNTIF(AC$6:AC455,"LOW"),"")</f>
        <v/>
      </c>
    </row>
    <row r="456" customFormat="false" ht="15" hidden="false" customHeight="false" outlineLevel="0" collapsed="false">
      <c r="A456" s="8" t="str">
        <f aca="false">IF('Employee List'!B456="","",'Employee List'!B456)</f>
        <v/>
      </c>
      <c r="B456" s="8" t="str">
        <f aca="false">IF($A456="","",'Employee List'!C456)</f>
        <v/>
      </c>
      <c r="C456" s="8" t="str">
        <f aca="false">IF($A456="","",'Employee List'!E456&amp;"")</f>
        <v/>
      </c>
      <c r="D456" s="8" t="str">
        <f aca="false">IF($A456="","",'Employee List'!F456&amp;"")</f>
        <v/>
      </c>
      <c r="E456" s="8" t="str">
        <f aca="false">IF($A456="","",'Employee List'!G456&amp;"")</f>
        <v/>
      </c>
      <c r="F456" s="8" t="str">
        <f aca="false">IF($A456="","",'Employee List'!D456)</f>
        <v/>
      </c>
      <c r="G456" s="38" t="str">
        <f aca="false">IF($A456="","",IF('Employee List'!I456="","",'Employee List'!I456))</f>
        <v/>
      </c>
      <c r="H456" s="38" t="str">
        <f aca="false">IF(OR($A456="",G456=""),"",G456+Settings!$C$13)</f>
        <v/>
      </c>
      <c r="I456" s="38" t="str">
        <f aca="false">IF(H456="","",MAX(H456,DATE(LvYear,1,1)))</f>
        <v/>
      </c>
      <c r="J456" s="38" t="str">
        <f aca="false">IF($A456="","",IF('Employee List'!J456="",DATE(LvYear,12,31),MIN('Employee List'!J456,DATE(LvYear,12,31))))</f>
        <v/>
      </c>
      <c r="K456" s="39" t="str">
        <f aca="false">IF(OR(I456="",J456=""),"",MAX(0,J456-I456+1))</f>
        <v/>
      </c>
      <c r="L456" s="16" t="str">
        <f aca="false">IF($A456="","",IF(AND(ISNUMBER(K456),K456=0),0,Settings!$C$10))</f>
        <v/>
      </c>
      <c r="M456" s="16" t="str">
        <f aca="false">IF($A456="","",IF(AND(ISNUMBER(K456),K456=0),0,Settings!$C$11))</f>
        <v/>
      </c>
      <c r="N456" s="40"/>
      <c r="O456" s="16" t="str">
        <f aca="false">IF($A456="","",FLOOR(Settings!$C$12/365*N(K456),0.5))</f>
        <v/>
      </c>
      <c r="P456" s="16" t="str">
        <f aca="false">IF($A456="","",IF(I456="",N(N456),FLOOR(Settings!$C$12/365*MAX(0,MIN(LvAsOf,J456)-I456+1)+N(N456),0.5)))</f>
        <v/>
      </c>
      <c r="Q456" s="16" t="str">
        <f aca="false">IF($A456="","",Settings!$C$14)</f>
        <v/>
      </c>
      <c r="R456" s="16" t="str">
        <f aca="false">IF($A456="","",SUMIFS(Attendance!$AZ$6:$AZ$2405,Attendance!$B$6:$B$2405,$A456,Attendance!$A$6:$A$2405,"&gt;="&amp;DATE(LvYear,1,1),Attendance!$A$6:$A$2405,"&lt;="&amp;DATE(LvYear,12,31)))</f>
        <v/>
      </c>
      <c r="S456" s="16" t="str">
        <f aca="false">IF($A456="","",SUMIFS(Attendance!$AY$6:$AY$2405,Attendance!$B$6:$B$2405,$A456,Attendance!$A$6:$A$2405,"&gt;="&amp;DATE(LvYear,1,1),Attendance!$A$6:$A$2405,"&lt;="&amp;DATE(LvYear,12,31)))</f>
        <v/>
      </c>
      <c r="T456" s="16" t="str">
        <f aca="false">IF($A456="","",SUMIFS(Attendance!$AX$6:$AX$2405,Attendance!$B$6:$B$2405,$A456,Attendance!$A$6:$A$2405,"&gt;="&amp;DATE(LvYear,1,1),Attendance!$A$6:$A$2405,"&lt;="&amp;DATE(LvYear,12,31)))</f>
        <v/>
      </c>
      <c r="U456" s="16" t="str">
        <f aca="false">IF($A456="","",SUMIFS(Attendance!$AW$6:$AW$2405,Attendance!$B$6:$B$2405,$A456,Attendance!$A$6:$A$2405,"&gt;="&amp;DATE(LvYear,1,1),Attendance!$A$6:$A$2405,"&lt;="&amp;DATE(LvYear,12,31)))</f>
        <v/>
      </c>
      <c r="V456" s="16" t="str">
        <f aca="false">IF($A456="","",L456-R456)</f>
        <v/>
      </c>
      <c r="W456" s="16" t="str">
        <f aca="false">IF($A456="","",M456-S456)</f>
        <v/>
      </c>
      <c r="X456" s="16" t="str">
        <f aca="false">IF($A456="","",P456-T456)</f>
        <v/>
      </c>
      <c r="Y456" s="16" t="str">
        <f aca="false">IF($A456="","",Q456-U456)</f>
        <v/>
      </c>
      <c r="Z456" s="16" t="str">
        <f aca="false">IF($A456="","",V456+W456+X456)</f>
        <v/>
      </c>
      <c r="AA456" s="16" t="str">
        <f aca="false">IF($A456="","",O456+N(N456)-T456)</f>
        <v/>
      </c>
      <c r="AB456" s="8" t="str">
        <f aca="false">IF($A456="","","CL "&amp;V456&amp;" | SL "&amp;W456&amp;" | PL "&amp;X456&amp;" | TR "&amp;Y456)</f>
        <v/>
      </c>
      <c r="AC456" s="15" t="str">
        <f aca="false">IF($A456="","",IF(F456="Exited","EXITED",IF(AND(ISNUMBER(K456),K456=0),"NOT ELIGIBLE",IF(MIN(V456:X456)&lt;0,"OVER-USED",IF(Z456&lt;=Settings!$C$15,"LOW","OK")))))</f>
        <v/>
      </c>
      <c r="AD456" s="16" t="str">
        <f aca="false">IF(OR(AC456="OVER-USED",AC456="LOW"),COUNTIF(AC$6:AC456,"OVER-USED")+COUNTIF(AC$6:AC456,"LOW"),"")</f>
        <v/>
      </c>
    </row>
    <row r="457" customFormat="false" ht="15" hidden="false" customHeight="false" outlineLevel="0" collapsed="false">
      <c r="A457" s="8" t="str">
        <f aca="false">IF('Employee List'!B457="","",'Employee List'!B457)</f>
        <v/>
      </c>
      <c r="B457" s="8" t="str">
        <f aca="false">IF($A457="","",'Employee List'!C457)</f>
        <v/>
      </c>
      <c r="C457" s="8" t="str">
        <f aca="false">IF($A457="","",'Employee List'!E457&amp;"")</f>
        <v/>
      </c>
      <c r="D457" s="8" t="str">
        <f aca="false">IF($A457="","",'Employee List'!F457&amp;"")</f>
        <v/>
      </c>
      <c r="E457" s="8" t="str">
        <f aca="false">IF($A457="","",'Employee List'!G457&amp;"")</f>
        <v/>
      </c>
      <c r="F457" s="8" t="str">
        <f aca="false">IF($A457="","",'Employee List'!D457)</f>
        <v/>
      </c>
      <c r="G457" s="38" t="str">
        <f aca="false">IF($A457="","",IF('Employee List'!I457="","",'Employee List'!I457))</f>
        <v/>
      </c>
      <c r="H457" s="38" t="str">
        <f aca="false">IF(OR($A457="",G457=""),"",G457+Settings!$C$13)</f>
        <v/>
      </c>
      <c r="I457" s="38" t="str">
        <f aca="false">IF(H457="","",MAX(H457,DATE(LvYear,1,1)))</f>
        <v/>
      </c>
      <c r="J457" s="38" t="str">
        <f aca="false">IF($A457="","",IF('Employee List'!J457="",DATE(LvYear,12,31),MIN('Employee List'!J457,DATE(LvYear,12,31))))</f>
        <v/>
      </c>
      <c r="K457" s="39" t="str">
        <f aca="false">IF(OR(I457="",J457=""),"",MAX(0,J457-I457+1))</f>
        <v/>
      </c>
      <c r="L457" s="16" t="str">
        <f aca="false">IF($A457="","",IF(AND(ISNUMBER(K457),K457=0),0,Settings!$C$10))</f>
        <v/>
      </c>
      <c r="M457" s="16" t="str">
        <f aca="false">IF($A457="","",IF(AND(ISNUMBER(K457),K457=0),0,Settings!$C$11))</f>
        <v/>
      </c>
      <c r="N457" s="40"/>
      <c r="O457" s="16" t="str">
        <f aca="false">IF($A457="","",FLOOR(Settings!$C$12/365*N(K457),0.5))</f>
        <v/>
      </c>
      <c r="P457" s="16" t="str">
        <f aca="false">IF($A457="","",IF(I457="",N(N457),FLOOR(Settings!$C$12/365*MAX(0,MIN(LvAsOf,J457)-I457+1)+N(N457),0.5)))</f>
        <v/>
      </c>
      <c r="Q457" s="16" t="str">
        <f aca="false">IF($A457="","",Settings!$C$14)</f>
        <v/>
      </c>
      <c r="R457" s="16" t="str">
        <f aca="false">IF($A457="","",SUMIFS(Attendance!$AZ$6:$AZ$2405,Attendance!$B$6:$B$2405,$A457,Attendance!$A$6:$A$2405,"&gt;="&amp;DATE(LvYear,1,1),Attendance!$A$6:$A$2405,"&lt;="&amp;DATE(LvYear,12,31)))</f>
        <v/>
      </c>
      <c r="S457" s="16" t="str">
        <f aca="false">IF($A457="","",SUMIFS(Attendance!$AY$6:$AY$2405,Attendance!$B$6:$B$2405,$A457,Attendance!$A$6:$A$2405,"&gt;="&amp;DATE(LvYear,1,1),Attendance!$A$6:$A$2405,"&lt;="&amp;DATE(LvYear,12,31)))</f>
        <v/>
      </c>
      <c r="T457" s="16" t="str">
        <f aca="false">IF($A457="","",SUMIFS(Attendance!$AX$6:$AX$2405,Attendance!$B$6:$B$2405,$A457,Attendance!$A$6:$A$2405,"&gt;="&amp;DATE(LvYear,1,1),Attendance!$A$6:$A$2405,"&lt;="&amp;DATE(LvYear,12,31)))</f>
        <v/>
      </c>
      <c r="U457" s="16" t="str">
        <f aca="false">IF($A457="","",SUMIFS(Attendance!$AW$6:$AW$2405,Attendance!$B$6:$B$2405,$A457,Attendance!$A$6:$A$2405,"&gt;="&amp;DATE(LvYear,1,1),Attendance!$A$6:$A$2405,"&lt;="&amp;DATE(LvYear,12,31)))</f>
        <v/>
      </c>
      <c r="V457" s="16" t="str">
        <f aca="false">IF($A457="","",L457-R457)</f>
        <v/>
      </c>
      <c r="W457" s="16" t="str">
        <f aca="false">IF($A457="","",M457-S457)</f>
        <v/>
      </c>
      <c r="X457" s="16" t="str">
        <f aca="false">IF($A457="","",P457-T457)</f>
        <v/>
      </c>
      <c r="Y457" s="16" t="str">
        <f aca="false">IF($A457="","",Q457-U457)</f>
        <v/>
      </c>
      <c r="Z457" s="16" t="str">
        <f aca="false">IF($A457="","",V457+W457+X457)</f>
        <v/>
      </c>
      <c r="AA457" s="16" t="str">
        <f aca="false">IF($A457="","",O457+N(N457)-T457)</f>
        <v/>
      </c>
      <c r="AB457" s="8" t="str">
        <f aca="false">IF($A457="","","CL "&amp;V457&amp;" | SL "&amp;W457&amp;" | PL "&amp;X457&amp;" | TR "&amp;Y457)</f>
        <v/>
      </c>
      <c r="AC457" s="15" t="str">
        <f aca="false">IF($A457="","",IF(F457="Exited","EXITED",IF(AND(ISNUMBER(K457),K457=0),"NOT ELIGIBLE",IF(MIN(V457:X457)&lt;0,"OVER-USED",IF(Z457&lt;=Settings!$C$15,"LOW","OK")))))</f>
        <v/>
      </c>
      <c r="AD457" s="16" t="str">
        <f aca="false">IF(OR(AC457="OVER-USED",AC457="LOW"),COUNTIF(AC$6:AC457,"OVER-USED")+COUNTIF(AC$6:AC457,"LOW"),"")</f>
        <v/>
      </c>
    </row>
    <row r="458" customFormat="false" ht="15" hidden="false" customHeight="false" outlineLevel="0" collapsed="false">
      <c r="A458" s="8" t="str">
        <f aca="false">IF('Employee List'!B458="","",'Employee List'!B458)</f>
        <v/>
      </c>
      <c r="B458" s="8" t="str">
        <f aca="false">IF($A458="","",'Employee List'!C458)</f>
        <v/>
      </c>
      <c r="C458" s="8" t="str">
        <f aca="false">IF($A458="","",'Employee List'!E458&amp;"")</f>
        <v/>
      </c>
      <c r="D458" s="8" t="str">
        <f aca="false">IF($A458="","",'Employee List'!F458&amp;"")</f>
        <v/>
      </c>
      <c r="E458" s="8" t="str">
        <f aca="false">IF($A458="","",'Employee List'!G458&amp;"")</f>
        <v/>
      </c>
      <c r="F458" s="8" t="str">
        <f aca="false">IF($A458="","",'Employee List'!D458)</f>
        <v/>
      </c>
      <c r="G458" s="38" t="str">
        <f aca="false">IF($A458="","",IF('Employee List'!I458="","",'Employee List'!I458))</f>
        <v/>
      </c>
      <c r="H458" s="38" t="str">
        <f aca="false">IF(OR($A458="",G458=""),"",G458+Settings!$C$13)</f>
        <v/>
      </c>
      <c r="I458" s="38" t="str">
        <f aca="false">IF(H458="","",MAX(H458,DATE(LvYear,1,1)))</f>
        <v/>
      </c>
      <c r="J458" s="38" t="str">
        <f aca="false">IF($A458="","",IF('Employee List'!J458="",DATE(LvYear,12,31),MIN('Employee List'!J458,DATE(LvYear,12,31))))</f>
        <v/>
      </c>
      <c r="K458" s="39" t="str">
        <f aca="false">IF(OR(I458="",J458=""),"",MAX(0,J458-I458+1))</f>
        <v/>
      </c>
      <c r="L458" s="16" t="str">
        <f aca="false">IF($A458="","",IF(AND(ISNUMBER(K458),K458=0),0,Settings!$C$10))</f>
        <v/>
      </c>
      <c r="M458" s="16" t="str">
        <f aca="false">IF($A458="","",IF(AND(ISNUMBER(K458),K458=0),0,Settings!$C$11))</f>
        <v/>
      </c>
      <c r="N458" s="40"/>
      <c r="O458" s="16" t="str">
        <f aca="false">IF($A458="","",FLOOR(Settings!$C$12/365*N(K458),0.5))</f>
        <v/>
      </c>
      <c r="P458" s="16" t="str">
        <f aca="false">IF($A458="","",IF(I458="",N(N458),FLOOR(Settings!$C$12/365*MAX(0,MIN(LvAsOf,J458)-I458+1)+N(N458),0.5)))</f>
        <v/>
      </c>
      <c r="Q458" s="16" t="str">
        <f aca="false">IF($A458="","",Settings!$C$14)</f>
        <v/>
      </c>
      <c r="R458" s="16" t="str">
        <f aca="false">IF($A458="","",SUMIFS(Attendance!$AZ$6:$AZ$2405,Attendance!$B$6:$B$2405,$A458,Attendance!$A$6:$A$2405,"&gt;="&amp;DATE(LvYear,1,1),Attendance!$A$6:$A$2405,"&lt;="&amp;DATE(LvYear,12,31)))</f>
        <v/>
      </c>
      <c r="S458" s="16" t="str">
        <f aca="false">IF($A458="","",SUMIFS(Attendance!$AY$6:$AY$2405,Attendance!$B$6:$B$2405,$A458,Attendance!$A$6:$A$2405,"&gt;="&amp;DATE(LvYear,1,1),Attendance!$A$6:$A$2405,"&lt;="&amp;DATE(LvYear,12,31)))</f>
        <v/>
      </c>
      <c r="T458" s="16" t="str">
        <f aca="false">IF($A458="","",SUMIFS(Attendance!$AX$6:$AX$2405,Attendance!$B$6:$B$2405,$A458,Attendance!$A$6:$A$2405,"&gt;="&amp;DATE(LvYear,1,1),Attendance!$A$6:$A$2405,"&lt;="&amp;DATE(LvYear,12,31)))</f>
        <v/>
      </c>
      <c r="U458" s="16" t="str">
        <f aca="false">IF($A458="","",SUMIFS(Attendance!$AW$6:$AW$2405,Attendance!$B$6:$B$2405,$A458,Attendance!$A$6:$A$2405,"&gt;="&amp;DATE(LvYear,1,1),Attendance!$A$6:$A$2405,"&lt;="&amp;DATE(LvYear,12,31)))</f>
        <v/>
      </c>
      <c r="V458" s="16" t="str">
        <f aca="false">IF($A458="","",L458-R458)</f>
        <v/>
      </c>
      <c r="W458" s="16" t="str">
        <f aca="false">IF($A458="","",M458-S458)</f>
        <v/>
      </c>
      <c r="X458" s="16" t="str">
        <f aca="false">IF($A458="","",P458-T458)</f>
        <v/>
      </c>
      <c r="Y458" s="16" t="str">
        <f aca="false">IF($A458="","",Q458-U458)</f>
        <v/>
      </c>
      <c r="Z458" s="16" t="str">
        <f aca="false">IF($A458="","",V458+W458+X458)</f>
        <v/>
      </c>
      <c r="AA458" s="16" t="str">
        <f aca="false">IF($A458="","",O458+N(N458)-T458)</f>
        <v/>
      </c>
      <c r="AB458" s="8" t="str">
        <f aca="false">IF($A458="","","CL "&amp;V458&amp;" | SL "&amp;W458&amp;" | PL "&amp;X458&amp;" | TR "&amp;Y458)</f>
        <v/>
      </c>
      <c r="AC458" s="15" t="str">
        <f aca="false">IF($A458="","",IF(F458="Exited","EXITED",IF(AND(ISNUMBER(K458),K458=0),"NOT ELIGIBLE",IF(MIN(V458:X458)&lt;0,"OVER-USED",IF(Z458&lt;=Settings!$C$15,"LOW","OK")))))</f>
        <v/>
      </c>
      <c r="AD458" s="16" t="str">
        <f aca="false">IF(OR(AC458="OVER-USED",AC458="LOW"),COUNTIF(AC$6:AC458,"OVER-USED")+COUNTIF(AC$6:AC458,"LOW"),"")</f>
        <v/>
      </c>
    </row>
    <row r="459" customFormat="false" ht="15" hidden="false" customHeight="false" outlineLevel="0" collapsed="false">
      <c r="A459" s="8" t="str">
        <f aca="false">IF('Employee List'!B459="","",'Employee List'!B459)</f>
        <v/>
      </c>
      <c r="B459" s="8" t="str">
        <f aca="false">IF($A459="","",'Employee List'!C459)</f>
        <v/>
      </c>
      <c r="C459" s="8" t="str">
        <f aca="false">IF($A459="","",'Employee List'!E459&amp;"")</f>
        <v/>
      </c>
      <c r="D459" s="8" t="str">
        <f aca="false">IF($A459="","",'Employee List'!F459&amp;"")</f>
        <v/>
      </c>
      <c r="E459" s="8" t="str">
        <f aca="false">IF($A459="","",'Employee List'!G459&amp;"")</f>
        <v/>
      </c>
      <c r="F459" s="8" t="str">
        <f aca="false">IF($A459="","",'Employee List'!D459)</f>
        <v/>
      </c>
      <c r="G459" s="38" t="str">
        <f aca="false">IF($A459="","",IF('Employee List'!I459="","",'Employee List'!I459))</f>
        <v/>
      </c>
      <c r="H459" s="38" t="str">
        <f aca="false">IF(OR($A459="",G459=""),"",G459+Settings!$C$13)</f>
        <v/>
      </c>
      <c r="I459" s="38" t="str">
        <f aca="false">IF(H459="","",MAX(H459,DATE(LvYear,1,1)))</f>
        <v/>
      </c>
      <c r="J459" s="38" t="str">
        <f aca="false">IF($A459="","",IF('Employee List'!J459="",DATE(LvYear,12,31),MIN('Employee List'!J459,DATE(LvYear,12,31))))</f>
        <v/>
      </c>
      <c r="K459" s="39" t="str">
        <f aca="false">IF(OR(I459="",J459=""),"",MAX(0,J459-I459+1))</f>
        <v/>
      </c>
      <c r="L459" s="16" t="str">
        <f aca="false">IF($A459="","",IF(AND(ISNUMBER(K459),K459=0),0,Settings!$C$10))</f>
        <v/>
      </c>
      <c r="M459" s="16" t="str">
        <f aca="false">IF($A459="","",IF(AND(ISNUMBER(K459),K459=0),0,Settings!$C$11))</f>
        <v/>
      </c>
      <c r="N459" s="40"/>
      <c r="O459" s="16" t="str">
        <f aca="false">IF($A459="","",FLOOR(Settings!$C$12/365*N(K459),0.5))</f>
        <v/>
      </c>
      <c r="P459" s="16" t="str">
        <f aca="false">IF($A459="","",IF(I459="",N(N459),FLOOR(Settings!$C$12/365*MAX(0,MIN(LvAsOf,J459)-I459+1)+N(N459),0.5)))</f>
        <v/>
      </c>
      <c r="Q459" s="16" t="str">
        <f aca="false">IF($A459="","",Settings!$C$14)</f>
        <v/>
      </c>
      <c r="R459" s="16" t="str">
        <f aca="false">IF($A459="","",SUMIFS(Attendance!$AZ$6:$AZ$2405,Attendance!$B$6:$B$2405,$A459,Attendance!$A$6:$A$2405,"&gt;="&amp;DATE(LvYear,1,1),Attendance!$A$6:$A$2405,"&lt;="&amp;DATE(LvYear,12,31)))</f>
        <v/>
      </c>
      <c r="S459" s="16" t="str">
        <f aca="false">IF($A459="","",SUMIFS(Attendance!$AY$6:$AY$2405,Attendance!$B$6:$B$2405,$A459,Attendance!$A$6:$A$2405,"&gt;="&amp;DATE(LvYear,1,1),Attendance!$A$6:$A$2405,"&lt;="&amp;DATE(LvYear,12,31)))</f>
        <v/>
      </c>
      <c r="T459" s="16" t="str">
        <f aca="false">IF($A459="","",SUMIFS(Attendance!$AX$6:$AX$2405,Attendance!$B$6:$B$2405,$A459,Attendance!$A$6:$A$2405,"&gt;="&amp;DATE(LvYear,1,1),Attendance!$A$6:$A$2405,"&lt;="&amp;DATE(LvYear,12,31)))</f>
        <v/>
      </c>
      <c r="U459" s="16" t="str">
        <f aca="false">IF($A459="","",SUMIFS(Attendance!$AW$6:$AW$2405,Attendance!$B$6:$B$2405,$A459,Attendance!$A$6:$A$2405,"&gt;="&amp;DATE(LvYear,1,1),Attendance!$A$6:$A$2405,"&lt;="&amp;DATE(LvYear,12,31)))</f>
        <v/>
      </c>
      <c r="V459" s="16" t="str">
        <f aca="false">IF($A459="","",L459-R459)</f>
        <v/>
      </c>
      <c r="W459" s="16" t="str">
        <f aca="false">IF($A459="","",M459-S459)</f>
        <v/>
      </c>
      <c r="X459" s="16" t="str">
        <f aca="false">IF($A459="","",P459-T459)</f>
        <v/>
      </c>
      <c r="Y459" s="16" t="str">
        <f aca="false">IF($A459="","",Q459-U459)</f>
        <v/>
      </c>
      <c r="Z459" s="16" t="str">
        <f aca="false">IF($A459="","",V459+W459+X459)</f>
        <v/>
      </c>
      <c r="AA459" s="16" t="str">
        <f aca="false">IF($A459="","",O459+N(N459)-T459)</f>
        <v/>
      </c>
      <c r="AB459" s="8" t="str">
        <f aca="false">IF($A459="","","CL "&amp;V459&amp;" | SL "&amp;W459&amp;" | PL "&amp;X459&amp;" | TR "&amp;Y459)</f>
        <v/>
      </c>
      <c r="AC459" s="15" t="str">
        <f aca="false">IF($A459="","",IF(F459="Exited","EXITED",IF(AND(ISNUMBER(K459),K459=0),"NOT ELIGIBLE",IF(MIN(V459:X459)&lt;0,"OVER-USED",IF(Z459&lt;=Settings!$C$15,"LOW","OK")))))</f>
        <v/>
      </c>
      <c r="AD459" s="16" t="str">
        <f aca="false">IF(OR(AC459="OVER-USED",AC459="LOW"),COUNTIF(AC$6:AC459,"OVER-USED")+COUNTIF(AC$6:AC459,"LOW"),"")</f>
        <v/>
      </c>
    </row>
    <row r="460" customFormat="false" ht="15" hidden="false" customHeight="false" outlineLevel="0" collapsed="false">
      <c r="A460" s="8" t="str">
        <f aca="false">IF('Employee List'!B460="","",'Employee List'!B460)</f>
        <v/>
      </c>
      <c r="B460" s="8" t="str">
        <f aca="false">IF($A460="","",'Employee List'!C460)</f>
        <v/>
      </c>
      <c r="C460" s="8" t="str">
        <f aca="false">IF($A460="","",'Employee List'!E460&amp;"")</f>
        <v/>
      </c>
      <c r="D460" s="8" t="str">
        <f aca="false">IF($A460="","",'Employee List'!F460&amp;"")</f>
        <v/>
      </c>
      <c r="E460" s="8" t="str">
        <f aca="false">IF($A460="","",'Employee List'!G460&amp;"")</f>
        <v/>
      </c>
      <c r="F460" s="8" t="str">
        <f aca="false">IF($A460="","",'Employee List'!D460)</f>
        <v/>
      </c>
      <c r="G460" s="38" t="str">
        <f aca="false">IF($A460="","",IF('Employee List'!I460="","",'Employee List'!I460))</f>
        <v/>
      </c>
      <c r="H460" s="38" t="str">
        <f aca="false">IF(OR($A460="",G460=""),"",G460+Settings!$C$13)</f>
        <v/>
      </c>
      <c r="I460" s="38" t="str">
        <f aca="false">IF(H460="","",MAX(H460,DATE(LvYear,1,1)))</f>
        <v/>
      </c>
      <c r="J460" s="38" t="str">
        <f aca="false">IF($A460="","",IF('Employee List'!J460="",DATE(LvYear,12,31),MIN('Employee List'!J460,DATE(LvYear,12,31))))</f>
        <v/>
      </c>
      <c r="K460" s="39" t="str">
        <f aca="false">IF(OR(I460="",J460=""),"",MAX(0,J460-I460+1))</f>
        <v/>
      </c>
      <c r="L460" s="16" t="str">
        <f aca="false">IF($A460="","",IF(AND(ISNUMBER(K460),K460=0),0,Settings!$C$10))</f>
        <v/>
      </c>
      <c r="M460" s="16" t="str">
        <f aca="false">IF($A460="","",IF(AND(ISNUMBER(K460),K460=0),0,Settings!$C$11))</f>
        <v/>
      </c>
      <c r="N460" s="40"/>
      <c r="O460" s="16" t="str">
        <f aca="false">IF($A460="","",FLOOR(Settings!$C$12/365*N(K460),0.5))</f>
        <v/>
      </c>
      <c r="P460" s="16" t="str">
        <f aca="false">IF($A460="","",IF(I460="",N(N460),FLOOR(Settings!$C$12/365*MAX(0,MIN(LvAsOf,J460)-I460+1)+N(N460),0.5)))</f>
        <v/>
      </c>
      <c r="Q460" s="16" t="str">
        <f aca="false">IF($A460="","",Settings!$C$14)</f>
        <v/>
      </c>
      <c r="R460" s="16" t="str">
        <f aca="false">IF($A460="","",SUMIFS(Attendance!$AZ$6:$AZ$2405,Attendance!$B$6:$B$2405,$A460,Attendance!$A$6:$A$2405,"&gt;="&amp;DATE(LvYear,1,1),Attendance!$A$6:$A$2405,"&lt;="&amp;DATE(LvYear,12,31)))</f>
        <v/>
      </c>
      <c r="S460" s="16" t="str">
        <f aca="false">IF($A460="","",SUMIFS(Attendance!$AY$6:$AY$2405,Attendance!$B$6:$B$2405,$A460,Attendance!$A$6:$A$2405,"&gt;="&amp;DATE(LvYear,1,1),Attendance!$A$6:$A$2405,"&lt;="&amp;DATE(LvYear,12,31)))</f>
        <v/>
      </c>
      <c r="T460" s="16" t="str">
        <f aca="false">IF($A460="","",SUMIFS(Attendance!$AX$6:$AX$2405,Attendance!$B$6:$B$2405,$A460,Attendance!$A$6:$A$2405,"&gt;="&amp;DATE(LvYear,1,1),Attendance!$A$6:$A$2405,"&lt;="&amp;DATE(LvYear,12,31)))</f>
        <v/>
      </c>
      <c r="U460" s="16" t="str">
        <f aca="false">IF($A460="","",SUMIFS(Attendance!$AW$6:$AW$2405,Attendance!$B$6:$B$2405,$A460,Attendance!$A$6:$A$2405,"&gt;="&amp;DATE(LvYear,1,1),Attendance!$A$6:$A$2405,"&lt;="&amp;DATE(LvYear,12,31)))</f>
        <v/>
      </c>
      <c r="V460" s="16" t="str">
        <f aca="false">IF($A460="","",L460-R460)</f>
        <v/>
      </c>
      <c r="W460" s="16" t="str">
        <f aca="false">IF($A460="","",M460-S460)</f>
        <v/>
      </c>
      <c r="X460" s="16" t="str">
        <f aca="false">IF($A460="","",P460-T460)</f>
        <v/>
      </c>
      <c r="Y460" s="16" t="str">
        <f aca="false">IF($A460="","",Q460-U460)</f>
        <v/>
      </c>
      <c r="Z460" s="16" t="str">
        <f aca="false">IF($A460="","",V460+W460+X460)</f>
        <v/>
      </c>
      <c r="AA460" s="16" t="str">
        <f aca="false">IF($A460="","",O460+N(N460)-T460)</f>
        <v/>
      </c>
      <c r="AB460" s="8" t="str">
        <f aca="false">IF($A460="","","CL "&amp;V460&amp;" | SL "&amp;W460&amp;" | PL "&amp;X460&amp;" | TR "&amp;Y460)</f>
        <v/>
      </c>
      <c r="AC460" s="15" t="str">
        <f aca="false">IF($A460="","",IF(F460="Exited","EXITED",IF(AND(ISNUMBER(K460),K460=0),"NOT ELIGIBLE",IF(MIN(V460:X460)&lt;0,"OVER-USED",IF(Z460&lt;=Settings!$C$15,"LOW","OK")))))</f>
        <v/>
      </c>
      <c r="AD460" s="16" t="str">
        <f aca="false">IF(OR(AC460="OVER-USED",AC460="LOW"),COUNTIF(AC$6:AC460,"OVER-USED")+COUNTIF(AC$6:AC460,"LOW"),"")</f>
        <v/>
      </c>
    </row>
    <row r="461" customFormat="false" ht="15" hidden="false" customHeight="false" outlineLevel="0" collapsed="false">
      <c r="A461" s="8" t="str">
        <f aca="false">IF('Employee List'!B461="","",'Employee List'!B461)</f>
        <v/>
      </c>
      <c r="B461" s="8" t="str">
        <f aca="false">IF($A461="","",'Employee List'!C461)</f>
        <v/>
      </c>
      <c r="C461" s="8" t="str">
        <f aca="false">IF($A461="","",'Employee List'!E461&amp;"")</f>
        <v/>
      </c>
      <c r="D461" s="8" t="str">
        <f aca="false">IF($A461="","",'Employee List'!F461&amp;"")</f>
        <v/>
      </c>
      <c r="E461" s="8" t="str">
        <f aca="false">IF($A461="","",'Employee List'!G461&amp;"")</f>
        <v/>
      </c>
      <c r="F461" s="8" t="str">
        <f aca="false">IF($A461="","",'Employee List'!D461)</f>
        <v/>
      </c>
      <c r="G461" s="38" t="str">
        <f aca="false">IF($A461="","",IF('Employee List'!I461="","",'Employee List'!I461))</f>
        <v/>
      </c>
      <c r="H461" s="38" t="str">
        <f aca="false">IF(OR($A461="",G461=""),"",G461+Settings!$C$13)</f>
        <v/>
      </c>
      <c r="I461" s="38" t="str">
        <f aca="false">IF(H461="","",MAX(H461,DATE(LvYear,1,1)))</f>
        <v/>
      </c>
      <c r="J461" s="38" t="str">
        <f aca="false">IF($A461="","",IF('Employee List'!J461="",DATE(LvYear,12,31),MIN('Employee List'!J461,DATE(LvYear,12,31))))</f>
        <v/>
      </c>
      <c r="K461" s="39" t="str">
        <f aca="false">IF(OR(I461="",J461=""),"",MAX(0,J461-I461+1))</f>
        <v/>
      </c>
      <c r="L461" s="16" t="str">
        <f aca="false">IF($A461="","",IF(AND(ISNUMBER(K461),K461=0),0,Settings!$C$10))</f>
        <v/>
      </c>
      <c r="M461" s="16" t="str">
        <f aca="false">IF($A461="","",IF(AND(ISNUMBER(K461),K461=0),0,Settings!$C$11))</f>
        <v/>
      </c>
      <c r="N461" s="40"/>
      <c r="O461" s="16" t="str">
        <f aca="false">IF($A461="","",FLOOR(Settings!$C$12/365*N(K461),0.5))</f>
        <v/>
      </c>
      <c r="P461" s="16" t="str">
        <f aca="false">IF($A461="","",IF(I461="",N(N461),FLOOR(Settings!$C$12/365*MAX(0,MIN(LvAsOf,J461)-I461+1)+N(N461),0.5)))</f>
        <v/>
      </c>
      <c r="Q461" s="16" t="str">
        <f aca="false">IF($A461="","",Settings!$C$14)</f>
        <v/>
      </c>
      <c r="R461" s="16" t="str">
        <f aca="false">IF($A461="","",SUMIFS(Attendance!$AZ$6:$AZ$2405,Attendance!$B$6:$B$2405,$A461,Attendance!$A$6:$A$2405,"&gt;="&amp;DATE(LvYear,1,1),Attendance!$A$6:$A$2405,"&lt;="&amp;DATE(LvYear,12,31)))</f>
        <v/>
      </c>
      <c r="S461" s="16" t="str">
        <f aca="false">IF($A461="","",SUMIFS(Attendance!$AY$6:$AY$2405,Attendance!$B$6:$B$2405,$A461,Attendance!$A$6:$A$2405,"&gt;="&amp;DATE(LvYear,1,1),Attendance!$A$6:$A$2405,"&lt;="&amp;DATE(LvYear,12,31)))</f>
        <v/>
      </c>
      <c r="T461" s="16" t="str">
        <f aca="false">IF($A461="","",SUMIFS(Attendance!$AX$6:$AX$2405,Attendance!$B$6:$B$2405,$A461,Attendance!$A$6:$A$2405,"&gt;="&amp;DATE(LvYear,1,1),Attendance!$A$6:$A$2405,"&lt;="&amp;DATE(LvYear,12,31)))</f>
        <v/>
      </c>
      <c r="U461" s="16" t="str">
        <f aca="false">IF($A461="","",SUMIFS(Attendance!$AW$6:$AW$2405,Attendance!$B$6:$B$2405,$A461,Attendance!$A$6:$A$2405,"&gt;="&amp;DATE(LvYear,1,1),Attendance!$A$6:$A$2405,"&lt;="&amp;DATE(LvYear,12,31)))</f>
        <v/>
      </c>
      <c r="V461" s="16" t="str">
        <f aca="false">IF($A461="","",L461-R461)</f>
        <v/>
      </c>
      <c r="W461" s="16" t="str">
        <f aca="false">IF($A461="","",M461-S461)</f>
        <v/>
      </c>
      <c r="X461" s="16" t="str">
        <f aca="false">IF($A461="","",P461-T461)</f>
        <v/>
      </c>
      <c r="Y461" s="16" t="str">
        <f aca="false">IF($A461="","",Q461-U461)</f>
        <v/>
      </c>
      <c r="Z461" s="16" t="str">
        <f aca="false">IF($A461="","",V461+W461+X461)</f>
        <v/>
      </c>
      <c r="AA461" s="16" t="str">
        <f aca="false">IF($A461="","",O461+N(N461)-T461)</f>
        <v/>
      </c>
      <c r="AB461" s="8" t="str">
        <f aca="false">IF($A461="","","CL "&amp;V461&amp;" | SL "&amp;W461&amp;" | PL "&amp;X461&amp;" | TR "&amp;Y461)</f>
        <v/>
      </c>
      <c r="AC461" s="15" t="str">
        <f aca="false">IF($A461="","",IF(F461="Exited","EXITED",IF(AND(ISNUMBER(K461),K461=0),"NOT ELIGIBLE",IF(MIN(V461:X461)&lt;0,"OVER-USED",IF(Z461&lt;=Settings!$C$15,"LOW","OK")))))</f>
        <v/>
      </c>
      <c r="AD461" s="16" t="str">
        <f aca="false">IF(OR(AC461="OVER-USED",AC461="LOW"),COUNTIF(AC$6:AC461,"OVER-USED")+COUNTIF(AC$6:AC461,"LOW"),"")</f>
        <v/>
      </c>
    </row>
    <row r="462" customFormat="false" ht="15" hidden="false" customHeight="false" outlineLevel="0" collapsed="false">
      <c r="A462" s="8" t="str">
        <f aca="false">IF('Employee List'!B462="","",'Employee List'!B462)</f>
        <v/>
      </c>
      <c r="B462" s="8" t="str">
        <f aca="false">IF($A462="","",'Employee List'!C462)</f>
        <v/>
      </c>
      <c r="C462" s="8" t="str">
        <f aca="false">IF($A462="","",'Employee List'!E462&amp;"")</f>
        <v/>
      </c>
      <c r="D462" s="8" t="str">
        <f aca="false">IF($A462="","",'Employee List'!F462&amp;"")</f>
        <v/>
      </c>
      <c r="E462" s="8" t="str">
        <f aca="false">IF($A462="","",'Employee List'!G462&amp;"")</f>
        <v/>
      </c>
      <c r="F462" s="8" t="str">
        <f aca="false">IF($A462="","",'Employee List'!D462)</f>
        <v/>
      </c>
      <c r="G462" s="38" t="str">
        <f aca="false">IF($A462="","",IF('Employee List'!I462="","",'Employee List'!I462))</f>
        <v/>
      </c>
      <c r="H462" s="38" t="str">
        <f aca="false">IF(OR($A462="",G462=""),"",G462+Settings!$C$13)</f>
        <v/>
      </c>
      <c r="I462" s="38" t="str">
        <f aca="false">IF(H462="","",MAX(H462,DATE(LvYear,1,1)))</f>
        <v/>
      </c>
      <c r="J462" s="38" t="str">
        <f aca="false">IF($A462="","",IF('Employee List'!J462="",DATE(LvYear,12,31),MIN('Employee List'!J462,DATE(LvYear,12,31))))</f>
        <v/>
      </c>
      <c r="K462" s="39" t="str">
        <f aca="false">IF(OR(I462="",J462=""),"",MAX(0,J462-I462+1))</f>
        <v/>
      </c>
      <c r="L462" s="16" t="str">
        <f aca="false">IF($A462="","",IF(AND(ISNUMBER(K462),K462=0),0,Settings!$C$10))</f>
        <v/>
      </c>
      <c r="M462" s="16" t="str">
        <f aca="false">IF($A462="","",IF(AND(ISNUMBER(K462),K462=0),0,Settings!$C$11))</f>
        <v/>
      </c>
      <c r="N462" s="40"/>
      <c r="O462" s="16" t="str">
        <f aca="false">IF($A462="","",FLOOR(Settings!$C$12/365*N(K462),0.5))</f>
        <v/>
      </c>
      <c r="P462" s="16" t="str">
        <f aca="false">IF($A462="","",IF(I462="",N(N462),FLOOR(Settings!$C$12/365*MAX(0,MIN(LvAsOf,J462)-I462+1)+N(N462),0.5)))</f>
        <v/>
      </c>
      <c r="Q462" s="16" t="str">
        <f aca="false">IF($A462="","",Settings!$C$14)</f>
        <v/>
      </c>
      <c r="R462" s="16" t="str">
        <f aca="false">IF($A462="","",SUMIFS(Attendance!$AZ$6:$AZ$2405,Attendance!$B$6:$B$2405,$A462,Attendance!$A$6:$A$2405,"&gt;="&amp;DATE(LvYear,1,1),Attendance!$A$6:$A$2405,"&lt;="&amp;DATE(LvYear,12,31)))</f>
        <v/>
      </c>
      <c r="S462" s="16" t="str">
        <f aca="false">IF($A462="","",SUMIFS(Attendance!$AY$6:$AY$2405,Attendance!$B$6:$B$2405,$A462,Attendance!$A$6:$A$2405,"&gt;="&amp;DATE(LvYear,1,1),Attendance!$A$6:$A$2405,"&lt;="&amp;DATE(LvYear,12,31)))</f>
        <v/>
      </c>
      <c r="T462" s="16" t="str">
        <f aca="false">IF($A462="","",SUMIFS(Attendance!$AX$6:$AX$2405,Attendance!$B$6:$B$2405,$A462,Attendance!$A$6:$A$2405,"&gt;="&amp;DATE(LvYear,1,1),Attendance!$A$6:$A$2405,"&lt;="&amp;DATE(LvYear,12,31)))</f>
        <v/>
      </c>
      <c r="U462" s="16" t="str">
        <f aca="false">IF($A462="","",SUMIFS(Attendance!$AW$6:$AW$2405,Attendance!$B$6:$B$2405,$A462,Attendance!$A$6:$A$2405,"&gt;="&amp;DATE(LvYear,1,1),Attendance!$A$6:$A$2405,"&lt;="&amp;DATE(LvYear,12,31)))</f>
        <v/>
      </c>
      <c r="V462" s="16" t="str">
        <f aca="false">IF($A462="","",L462-R462)</f>
        <v/>
      </c>
      <c r="W462" s="16" t="str">
        <f aca="false">IF($A462="","",M462-S462)</f>
        <v/>
      </c>
      <c r="X462" s="16" t="str">
        <f aca="false">IF($A462="","",P462-T462)</f>
        <v/>
      </c>
      <c r="Y462" s="16" t="str">
        <f aca="false">IF($A462="","",Q462-U462)</f>
        <v/>
      </c>
      <c r="Z462" s="16" t="str">
        <f aca="false">IF($A462="","",V462+W462+X462)</f>
        <v/>
      </c>
      <c r="AA462" s="16" t="str">
        <f aca="false">IF($A462="","",O462+N(N462)-T462)</f>
        <v/>
      </c>
      <c r="AB462" s="8" t="str">
        <f aca="false">IF($A462="","","CL "&amp;V462&amp;" | SL "&amp;W462&amp;" | PL "&amp;X462&amp;" | TR "&amp;Y462)</f>
        <v/>
      </c>
      <c r="AC462" s="15" t="str">
        <f aca="false">IF($A462="","",IF(F462="Exited","EXITED",IF(AND(ISNUMBER(K462),K462=0),"NOT ELIGIBLE",IF(MIN(V462:X462)&lt;0,"OVER-USED",IF(Z462&lt;=Settings!$C$15,"LOW","OK")))))</f>
        <v/>
      </c>
      <c r="AD462" s="16" t="str">
        <f aca="false">IF(OR(AC462="OVER-USED",AC462="LOW"),COUNTIF(AC$6:AC462,"OVER-USED")+COUNTIF(AC$6:AC462,"LOW"),"")</f>
        <v/>
      </c>
    </row>
    <row r="463" customFormat="false" ht="15" hidden="false" customHeight="false" outlineLevel="0" collapsed="false">
      <c r="A463" s="8" t="str">
        <f aca="false">IF('Employee List'!B463="","",'Employee List'!B463)</f>
        <v/>
      </c>
      <c r="B463" s="8" t="str">
        <f aca="false">IF($A463="","",'Employee List'!C463)</f>
        <v/>
      </c>
      <c r="C463" s="8" t="str">
        <f aca="false">IF($A463="","",'Employee List'!E463&amp;"")</f>
        <v/>
      </c>
      <c r="D463" s="8" t="str">
        <f aca="false">IF($A463="","",'Employee List'!F463&amp;"")</f>
        <v/>
      </c>
      <c r="E463" s="8" t="str">
        <f aca="false">IF($A463="","",'Employee List'!G463&amp;"")</f>
        <v/>
      </c>
      <c r="F463" s="8" t="str">
        <f aca="false">IF($A463="","",'Employee List'!D463)</f>
        <v/>
      </c>
      <c r="G463" s="38" t="str">
        <f aca="false">IF($A463="","",IF('Employee List'!I463="","",'Employee List'!I463))</f>
        <v/>
      </c>
      <c r="H463" s="38" t="str">
        <f aca="false">IF(OR($A463="",G463=""),"",G463+Settings!$C$13)</f>
        <v/>
      </c>
      <c r="I463" s="38" t="str">
        <f aca="false">IF(H463="","",MAX(H463,DATE(LvYear,1,1)))</f>
        <v/>
      </c>
      <c r="J463" s="38" t="str">
        <f aca="false">IF($A463="","",IF('Employee List'!J463="",DATE(LvYear,12,31),MIN('Employee List'!J463,DATE(LvYear,12,31))))</f>
        <v/>
      </c>
      <c r="K463" s="39" t="str">
        <f aca="false">IF(OR(I463="",J463=""),"",MAX(0,J463-I463+1))</f>
        <v/>
      </c>
      <c r="L463" s="16" t="str">
        <f aca="false">IF($A463="","",IF(AND(ISNUMBER(K463),K463=0),0,Settings!$C$10))</f>
        <v/>
      </c>
      <c r="M463" s="16" t="str">
        <f aca="false">IF($A463="","",IF(AND(ISNUMBER(K463),K463=0),0,Settings!$C$11))</f>
        <v/>
      </c>
      <c r="N463" s="40"/>
      <c r="O463" s="16" t="str">
        <f aca="false">IF($A463="","",FLOOR(Settings!$C$12/365*N(K463),0.5))</f>
        <v/>
      </c>
      <c r="P463" s="16" t="str">
        <f aca="false">IF($A463="","",IF(I463="",N(N463),FLOOR(Settings!$C$12/365*MAX(0,MIN(LvAsOf,J463)-I463+1)+N(N463),0.5)))</f>
        <v/>
      </c>
      <c r="Q463" s="16" t="str">
        <f aca="false">IF($A463="","",Settings!$C$14)</f>
        <v/>
      </c>
      <c r="R463" s="16" t="str">
        <f aca="false">IF($A463="","",SUMIFS(Attendance!$AZ$6:$AZ$2405,Attendance!$B$6:$B$2405,$A463,Attendance!$A$6:$A$2405,"&gt;="&amp;DATE(LvYear,1,1),Attendance!$A$6:$A$2405,"&lt;="&amp;DATE(LvYear,12,31)))</f>
        <v/>
      </c>
      <c r="S463" s="16" t="str">
        <f aca="false">IF($A463="","",SUMIFS(Attendance!$AY$6:$AY$2405,Attendance!$B$6:$B$2405,$A463,Attendance!$A$6:$A$2405,"&gt;="&amp;DATE(LvYear,1,1),Attendance!$A$6:$A$2405,"&lt;="&amp;DATE(LvYear,12,31)))</f>
        <v/>
      </c>
      <c r="T463" s="16" t="str">
        <f aca="false">IF($A463="","",SUMIFS(Attendance!$AX$6:$AX$2405,Attendance!$B$6:$B$2405,$A463,Attendance!$A$6:$A$2405,"&gt;="&amp;DATE(LvYear,1,1),Attendance!$A$6:$A$2405,"&lt;="&amp;DATE(LvYear,12,31)))</f>
        <v/>
      </c>
      <c r="U463" s="16" t="str">
        <f aca="false">IF($A463="","",SUMIFS(Attendance!$AW$6:$AW$2405,Attendance!$B$6:$B$2405,$A463,Attendance!$A$6:$A$2405,"&gt;="&amp;DATE(LvYear,1,1),Attendance!$A$6:$A$2405,"&lt;="&amp;DATE(LvYear,12,31)))</f>
        <v/>
      </c>
      <c r="V463" s="16" t="str">
        <f aca="false">IF($A463="","",L463-R463)</f>
        <v/>
      </c>
      <c r="W463" s="16" t="str">
        <f aca="false">IF($A463="","",M463-S463)</f>
        <v/>
      </c>
      <c r="X463" s="16" t="str">
        <f aca="false">IF($A463="","",P463-T463)</f>
        <v/>
      </c>
      <c r="Y463" s="16" t="str">
        <f aca="false">IF($A463="","",Q463-U463)</f>
        <v/>
      </c>
      <c r="Z463" s="16" t="str">
        <f aca="false">IF($A463="","",V463+W463+X463)</f>
        <v/>
      </c>
      <c r="AA463" s="16" t="str">
        <f aca="false">IF($A463="","",O463+N(N463)-T463)</f>
        <v/>
      </c>
      <c r="AB463" s="8" t="str">
        <f aca="false">IF($A463="","","CL "&amp;V463&amp;" | SL "&amp;W463&amp;" | PL "&amp;X463&amp;" | TR "&amp;Y463)</f>
        <v/>
      </c>
      <c r="AC463" s="15" t="str">
        <f aca="false">IF($A463="","",IF(F463="Exited","EXITED",IF(AND(ISNUMBER(K463),K463=0),"NOT ELIGIBLE",IF(MIN(V463:X463)&lt;0,"OVER-USED",IF(Z463&lt;=Settings!$C$15,"LOW","OK")))))</f>
        <v/>
      </c>
      <c r="AD463" s="16" t="str">
        <f aca="false">IF(OR(AC463="OVER-USED",AC463="LOW"),COUNTIF(AC$6:AC463,"OVER-USED")+COUNTIF(AC$6:AC463,"LOW"),"")</f>
        <v/>
      </c>
    </row>
    <row r="464" customFormat="false" ht="15" hidden="false" customHeight="false" outlineLevel="0" collapsed="false">
      <c r="A464" s="8" t="str">
        <f aca="false">IF('Employee List'!B464="","",'Employee List'!B464)</f>
        <v/>
      </c>
      <c r="B464" s="8" t="str">
        <f aca="false">IF($A464="","",'Employee List'!C464)</f>
        <v/>
      </c>
      <c r="C464" s="8" t="str">
        <f aca="false">IF($A464="","",'Employee List'!E464&amp;"")</f>
        <v/>
      </c>
      <c r="D464" s="8" t="str">
        <f aca="false">IF($A464="","",'Employee List'!F464&amp;"")</f>
        <v/>
      </c>
      <c r="E464" s="8" t="str">
        <f aca="false">IF($A464="","",'Employee List'!G464&amp;"")</f>
        <v/>
      </c>
      <c r="F464" s="8" t="str">
        <f aca="false">IF($A464="","",'Employee List'!D464)</f>
        <v/>
      </c>
      <c r="G464" s="38" t="str">
        <f aca="false">IF($A464="","",IF('Employee List'!I464="","",'Employee List'!I464))</f>
        <v/>
      </c>
      <c r="H464" s="38" t="str">
        <f aca="false">IF(OR($A464="",G464=""),"",G464+Settings!$C$13)</f>
        <v/>
      </c>
      <c r="I464" s="38" t="str">
        <f aca="false">IF(H464="","",MAX(H464,DATE(LvYear,1,1)))</f>
        <v/>
      </c>
      <c r="J464" s="38" t="str">
        <f aca="false">IF($A464="","",IF('Employee List'!J464="",DATE(LvYear,12,31),MIN('Employee List'!J464,DATE(LvYear,12,31))))</f>
        <v/>
      </c>
      <c r="K464" s="39" t="str">
        <f aca="false">IF(OR(I464="",J464=""),"",MAX(0,J464-I464+1))</f>
        <v/>
      </c>
      <c r="L464" s="16" t="str">
        <f aca="false">IF($A464="","",IF(AND(ISNUMBER(K464),K464=0),0,Settings!$C$10))</f>
        <v/>
      </c>
      <c r="M464" s="16" t="str">
        <f aca="false">IF($A464="","",IF(AND(ISNUMBER(K464),K464=0),0,Settings!$C$11))</f>
        <v/>
      </c>
      <c r="N464" s="40"/>
      <c r="O464" s="16" t="str">
        <f aca="false">IF($A464="","",FLOOR(Settings!$C$12/365*N(K464),0.5))</f>
        <v/>
      </c>
      <c r="P464" s="16" t="str">
        <f aca="false">IF($A464="","",IF(I464="",N(N464),FLOOR(Settings!$C$12/365*MAX(0,MIN(LvAsOf,J464)-I464+1)+N(N464),0.5)))</f>
        <v/>
      </c>
      <c r="Q464" s="16" t="str">
        <f aca="false">IF($A464="","",Settings!$C$14)</f>
        <v/>
      </c>
      <c r="R464" s="16" t="str">
        <f aca="false">IF($A464="","",SUMIFS(Attendance!$AZ$6:$AZ$2405,Attendance!$B$6:$B$2405,$A464,Attendance!$A$6:$A$2405,"&gt;="&amp;DATE(LvYear,1,1),Attendance!$A$6:$A$2405,"&lt;="&amp;DATE(LvYear,12,31)))</f>
        <v/>
      </c>
      <c r="S464" s="16" t="str">
        <f aca="false">IF($A464="","",SUMIFS(Attendance!$AY$6:$AY$2405,Attendance!$B$6:$B$2405,$A464,Attendance!$A$6:$A$2405,"&gt;="&amp;DATE(LvYear,1,1),Attendance!$A$6:$A$2405,"&lt;="&amp;DATE(LvYear,12,31)))</f>
        <v/>
      </c>
      <c r="T464" s="16" t="str">
        <f aca="false">IF($A464="","",SUMIFS(Attendance!$AX$6:$AX$2405,Attendance!$B$6:$B$2405,$A464,Attendance!$A$6:$A$2405,"&gt;="&amp;DATE(LvYear,1,1),Attendance!$A$6:$A$2405,"&lt;="&amp;DATE(LvYear,12,31)))</f>
        <v/>
      </c>
      <c r="U464" s="16" t="str">
        <f aca="false">IF($A464="","",SUMIFS(Attendance!$AW$6:$AW$2405,Attendance!$B$6:$B$2405,$A464,Attendance!$A$6:$A$2405,"&gt;="&amp;DATE(LvYear,1,1),Attendance!$A$6:$A$2405,"&lt;="&amp;DATE(LvYear,12,31)))</f>
        <v/>
      </c>
      <c r="V464" s="16" t="str">
        <f aca="false">IF($A464="","",L464-R464)</f>
        <v/>
      </c>
      <c r="W464" s="16" t="str">
        <f aca="false">IF($A464="","",M464-S464)</f>
        <v/>
      </c>
      <c r="X464" s="16" t="str">
        <f aca="false">IF($A464="","",P464-T464)</f>
        <v/>
      </c>
      <c r="Y464" s="16" t="str">
        <f aca="false">IF($A464="","",Q464-U464)</f>
        <v/>
      </c>
      <c r="Z464" s="16" t="str">
        <f aca="false">IF($A464="","",V464+W464+X464)</f>
        <v/>
      </c>
      <c r="AA464" s="16" t="str">
        <f aca="false">IF($A464="","",O464+N(N464)-T464)</f>
        <v/>
      </c>
      <c r="AB464" s="8" t="str">
        <f aca="false">IF($A464="","","CL "&amp;V464&amp;" | SL "&amp;W464&amp;" | PL "&amp;X464&amp;" | TR "&amp;Y464)</f>
        <v/>
      </c>
      <c r="AC464" s="15" t="str">
        <f aca="false">IF($A464="","",IF(F464="Exited","EXITED",IF(AND(ISNUMBER(K464),K464=0),"NOT ELIGIBLE",IF(MIN(V464:X464)&lt;0,"OVER-USED",IF(Z464&lt;=Settings!$C$15,"LOW","OK")))))</f>
        <v/>
      </c>
      <c r="AD464" s="16" t="str">
        <f aca="false">IF(OR(AC464="OVER-USED",AC464="LOW"),COUNTIF(AC$6:AC464,"OVER-USED")+COUNTIF(AC$6:AC464,"LOW"),"")</f>
        <v/>
      </c>
    </row>
    <row r="465" customFormat="false" ht="15" hidden="false" customHeight="false" outlineLevel="0" collapsed="false">
      <c r="A465" s="8" t="str">
        <f aca="false">IF('Employee List'!B465="","",'Employee List'!B465)</f>
        <v/>
      </c>
      <c r="B465" s="8" t="str">
        <f aca="false">IF($A465="","",'Employee List'!C465)</f>
        <v/>
      </c>
      <c r="C465" s="8" t="str">
        <f aca="false">IF($A465="","",'Employee List'!E465&amp;"")</f>
        <v/>
      </c>
      <c r="D465" s="8" t="str">
        <f aca="false">IF($A465="","",'Employee List'!F465&amp;"")</f>
        <v/>
      </c>
      <c r="E465" s="8" t="str">
        <f aca="false">IF($A465="","",'Employee List'!G465&amp;"")</f>
        <v/>
      </c>
      <c r="F465" s="8" t="str">
        <f aca="false">IF($A465="","",'Employee List'!D465)</f>
        <v/>
      </c>
      <c r="G465" s="38" t="str">
        <f aca="false">IF($A465="","",IF('Employee List'!I465="","",'Employee List'!I465))</f>
        <v/>
      </c>
      <c r="H465" s="38" t="str">
        <f aca="false">IF(OR($A465="",G465=""),"",G465+Settings!$C$13)</f>
        <v/>
      </c>
      <c r="I465" s="38" t="str">
        <f aca="false">IF(H465="","",MAX(H465,DATE(LvYear,1,1)))</f>
        <v/>
      </c>
      <c r="J465" s="38" t="str">
        <f aca="false">IF($A465="","",IF('Employee List'!J465="",DATE(LvYear,12,31),MIN('Employee List'!J465,DATE(LvYear,12,31))))</f>
        <v/>
      </c>
      <c r="K465" s="39" t="str">
        <f aca="false">IF(OR(I465="",J465=""),"",MAX(0,J465-I465+1))</f>
        <v/>
      </c>
      <c r="L465" s="16" t="str">
        <f aca="false">IF($A465="","",IF(AND(ISNUMBER(K465),K465=0),0,Settings!$C$10))</f>
        <v/>
      </c>
      <c r="M465" s="16" t="str">
        <f aca="false">IF($A465="","",IF(AND(ISNUMBER(K465),K465=0),0,Settings!$C$11))</f>
        <v/>
      </c>
      <c r="N465" s="40"/>
      <c r="O465" s="16" t="str">
        <f aca="false">IF($A465="","",FLOOR(Settings!$C$12/365*N(K465),0.5))</f>
        <v/>
      </c>
      <c r="P465" s="16" t="str">
        <f aca="false">IF($A465="","",IF(I465="",N(N465),FLOOR(Settings!$C$12/365*MAX(0,MIN(LvAsOf,J465)-I465+1)+N(N465),0.5)))</f>
        <v/>
      </c>
      <c r="Q465" s="16" t="str">
        <f aca="false">IF($A465="","",Settings!$C$14)</f>
        <v/>
      </c>
      <c r="R465" s="16" t="str">
        <f aca="false">IF($A465="","",SUMIFS(Attendance!$AZ$6:$AZ$2405,Attendance!$B$6:$B$2405,$A465,Attendance!$A$6:$A$2405,"&gt;="&amp;DATE(LvYear,1,1),Attendance!$A$6:$A$2405,"&lt;="&amp;DATE(LvYear,12,31)))</f>
        <v/>
      </c>
      <c r="S465" s="16" t="str">
        <f aca="false">IF($A465="","",SUMIFS(Attendance!$AY$6:$AY$2405,Attendance!$B$6:$B$2405,$A465,Attendance!$A$6:$A$2405,"&gt;="&amp;DATE(LvYear,1,1),Attendance!$A$6:$A$2405,"&lt;="&amp;DATE(LvYear,12,31)))</f>
        <v/>
      </c>
      <c r="T465" s="16" t="str">
        <f aca="false">IF($A465="","",SUMIFS(Attendance!$AX$6:$AX$2405,Attendance!$B$6:$B$2405,$A465,Attendance!$A$6:$A$2405,"&gt;="&amp;DATE(LvYear,1,1),Attendance!$A$6:$A$2405,"&lt;="&amp;DATE(LvYear,12,31)))</f>
        <v/>
      </c>
      <c r="U465" s="16" t="str">
        <f aca="false">IF($A465="","",SUMIFS(Attendance!$AW$6:$AW$2405,Attendance!$B$6:$B$2405,$A465,Attendance!$A$6:$A$2405,"&gt;="&amp;DATE(LvYear,1,1),Attendance!$A$6:$A$2405,"&lt;="&amp;DATE(LvYear,12,31)))</f>
        <v/>
      </c>
      <c r="V465" s="16" t="str">
        <f aca="false">IF($A465="","",L465-R465)</f>
        <v/>
      </c>
      <c r="W465" s="16" t="str">
        <f aca="false">IF($A465="","",M465-S465)</f>
        <v/>
      </c>
      <c r="X465" s="16" t="str">
        <f aca="false">IF($A465="","",P465-T465)</f>
        <v/>
      </c>
      <c r="Y465" s="16" t="str">
        <f aca="false">IF($A465="","",Q465-U465)</f>
        <v/>
      </c>
      <c r="Z465" s="16" t="str">
        <f aca="false">IF($A465="","",V465+W465+X465)</f>
        <v/>
      </c>
      <c r="AA465" s="16" t="str">
        <f aca="false">IF($A465="","",O465+N(N465)-T465)</f>
        <v/>
      </c>
      <c r="AB465" s="8" t="str">
        <f aca="false">IF($A465="","","CL "&amp;V465&amp;" | SL "&amp;W465&amp;" | PL "&amp;X465&amp;" | TR "&amp;Y465)</f>
        <v/>
      </c>
      <c r="AC465" s="15" t="str">
        <f aca="false">IF($A465="","",IF(F465="Exited","EXITED",IF(AND(ISNUMBER(K465),K465=0),"NOT ELIGIBLE",IF(MIN(V465:X465)&lt;0,"OVER-USED",IF(Z465&lt;=Settings!$C$15,"LOW","OK")))))</f>
        <v/>
      </c>
      <c r="AD465" s="16" t="str">
        <f aca="false">IF(OR(AC465="OVER-USED",AC465="LOW"),COUNTIF(AC$6:AC465,"OVER-USED")+COUNTIF(AC$6:AC465,"LOW"),"")</f>
        <v/>
      </c>
    </row>
    <row r="466" customFormat="false" ht="15" hidden="false" customHeight="false" outlineLevel="0" collapsed="false">
      <c r="A466" s="8" t="str">
        <f aca="false">IF('Employee List'!B466="","",'Employee List'!B466)</f>
        <v/>
      </c>
      <c r="B466" s="8" t="str">
        <f aca="false">IF($A466="","",'Employee List'!C466)</f>
        <v/>
      </c>
      <c r="C466" s="8" t="str">
        <f aca="false">IF($A466="","",'Employee List'!E466&amp;"")</f>
        <v/>
      </c>
      <c r="D466" s="8" t="str">
        <f aca="false">IF($A466="","",'Employee List'!F466&amp;"")</f>
        <v/>
      </c>
      <c r="E466" s="8" t="str">
        <f aca="false">IF($A466="","",'Employee List'!G466&amp;"")</f>
        <v/>
      </c>
      <c r="F466" s="8" t="str">
        <f aca="false">IF($A466="","",'Employee List'!D466)</f>
        <v/>
      </c>
      <c r="G466" s="38" t="str">
        <f aca="false">IF($A466="","",IF('Employee List'!I466="","",'Employee List'!I466))</f>
        <v/>
      </c>
      <c r="H466" s="38" t="str">
        <f aca="false">IF(OR($A466="",G466=""),"",G466+Settings!$C$13)</f>
        <v/>
      </c>
      <c r="I466" s="38" t="str">
        <f aca="false">IF(H466="","",MAX(H466,DATE(LvYear,1,1)))</f>
        <v/>
      </c>
      <c r="J466" s="38" t="str">
        <f aca="false">IF($A466="","",IF('Employee List'!J466="",DATE(LvYear,12,31),MIN('Employee List'!J466,DATE(LvYear,12,31))))</f>
        <v/>
      </c>
      <c r="K466" s="39" t="str">
        <f aca="false">IF(OR(I466="",J466=""),"",MAX(0,J466-I466+1))</f>
        <v/>
      </c>
      <c r="L466" s="16" t="str">
        <f aca="false">IF($A466="","",IF(AND(ISNUMBER(K466),K466=0),0,Settings!$C$10))</f>
        <v/>
      </c>
      <c r="M466" s="16" t="str">
        <f aca="false">IF($A466="","",IF(AND(ISNUMBER(K466),K466=0),0,Settings!$C$11))</f>
        <v/>
      </c>
      <c r="N466" s="40"/>
      <c r="O466" s="16" t="str">
        <f aca="false">IF($A466="","",FLOOR(Settings!$C$12/365*N(K466),0.5))</f>
        <v/>
      </c>
      <c r="P466" s="16" t="str">
        <f aca="false">IF($A466="","",IF(I466="",N(N466),FLOOR(Settings!$C$12/365*MAX(0,MIN(LvAsOf,J466)-I466+1)+N(N466),0.5)))</f>
        <v/>
      </c>
      <c r="Q466" s="16" t="str">
        <f aca="false">IF($A466="","",Settings!$C$14)</f>
        <v/>
      </c>
      <c r="R466" s="16" t="str">
        <f aca="false">IF($A466="","",SUMIFS(Attendance!$AZ$6:$AZ$2405,Attendance!$B$6:$B$2405,$A466,Attendance!$A$6:$A$2405,"&gt;="&amp;DATE(LvYear,1,1),Attendance!$A$6:$A$2405,"&lt;="&amp;DATE(LvYear,12,31)))</f>
        <v/>
      </c>
      <c r="S466" s="16" t="str">
        <f aca="false">IF($A466="","",SUMIFS(Attendance!$AY$6:$AY$2405,Attendance!$B$6:$B$2405,$A466,Attendance!$A$6:$A$2405,"&gt;="&amp;DATE(LvYear,1,1),Attendance!$A$6:$A$2405,"&lt;="&amp;DATE(LvYear,12,31)))</f>
        <v/>
      </c>
      <c r="T466" s="16" t="str">
        <f aca="false">IF($A466="","",SUMIFS(Attendance!$AX$6:$AX$2405,Attendance!$B$6:$B$2405,$A466,Attendance!$A$6:$A$2405,"&gt;="&amp;DATE(LvYear,1,1),Attendance!$A$6:$A$2405,"&lt;="&amp;DATE(LvYear,12,31)))</f>
        <v/>
      </c>
      <c r="U466" s="16" t="str">
        <f aca="false">IF($A466="","",SUMIFS(Attendance!$AW$6:$AW$2405,Attendance!$B$6:$B$2405,$A466,Attendance!$A$6:$A$2405,"&gt;="&amp;DATE(LvYear,1,1),Attendance!$A$6:$A$2405,"&lt;="&amp;DATE(LvYear,12,31)))</f>
        <v/>
      </c>
      <c r="V466" s="16" t="str">
        <f aca="false">IF($A466="","",L466-R466)</f>
        <v/>
      </c>
      <c r="W466" s="16" t="str">
        <f aca="false">IF($A466="","",M466-S466)</f>
        <v/>
      </c>
      <c r="X466" s="16" t="str">
        <f aca="false">IF($A466="","",P466-T466)</f>
        <v/>
      </c>
      <c r="Y466" s="16" t="str">
        <f aca="false">IF($A466="","",Q466-U466)</f>
        <v/>
      </c>
      <c r="Z466" s="16" t="str">
        <f aca="false">IF($A466="","",V466+W466+X466)</f>
        <v/>
      </c>
      <c r="AA466" s="16" t="str">
        <f aca="false">IF($A466="","",O466+N(N466)-T466)</f>
        <v/>
      </c>
      <c r="AB466" s="8" t="str">
        <f aca="false">IF($A466="","","CL "&amp;V466&amp;" | SL "&amp;W466&amp;" | PL "&amp;X466&amp;" | TR "&amp;Y466)</f>
        <v/>
      </c>
      <c r="AC466" s="15" t="str">
        <f aca="false">IF($A466="","",IF(F466="Exited","EXITED",IF(AND(ISNUMBER(K466),K466=0),"NOT ELIGIBLE",IF(MIN(V466:X466)&lt;0,"OVER-USED",IF(Z466&lt;=Settings!$C$15,"LOW","OK")))))</f>
        <v/>
      </c>
      <c r="AD466" s="16" t="str">
        <f aca="false">IF(OR(AC466="OVER-USED",AC466="LOW"),COUNTIF(AC$6:AC466,"OVER-USED")+COUNTIF(AC$6:AC466,"LOW"),"")</f>
        <v/>
      </c>
    </row>
    <row r="467" customFormat="false" ht="15" hidden="false" customHeight="false" outlineLevel="0" collapsed="false">
      <c r="A467" s="8" t="str">
        <f aca="false">IF('Employee List'!B467="","",'Employee List'!B467)</f>
        <v/>
      </c>
      <c r="B467" s="8" t="str">
        <f aca="false">IF($A467="","",'Employee List'!C467)</f>
        <v/>
      </c>
      <c r="C467" s="8" t="str">
        <f aca="false">IF($A467="","",'Employee List'!E467&amp;"")</f>
        <v/>
      </c>
      <c r="D467" s="8" t="str">
        <f aca="false">IF($A467="","",'Employee List'!F467&amp;"")</f>
        <v/>
      </c>
      <c r="E467" s="8" t="str">
        <f aca="false">IF($A467="","",'Employee List'!G467&amp;"")</f>
        <v/>
      </c>
      <c r="F467" s="8" t="str">
        <f aca="false">IF($A467="","",'Employee List'!D467)</f>
        <v/>
      </c>
      <c r="G467" s="38" t="str">
        <f aca="false">IF($A467="","",IF('Employee List'!I467="","",'Employee List'!I467))</f>
        <v/>
      </c>
      <c r="H467" s="38" t="str">
        <f aca="false">IF(OR($A467="",G467=""),"",G467+Settings!$C$13)</f>
        <v/>
      </c>
      <c r="I467" s="38" t="str">
        <f aca="false">IF(H467="","",MAX(H467,DATE(LvYear,1,1)))</f>
        <v/>
      </c>
      <c r="J467" s="38" t="str">
        <f aca="false">IF($A467="","",IF('Employee List'!J467="",DATE(LvYear,12,31),MIN('Employee List'!J467,DATE(LvYear,12,31))))</f>
        <v/>
      </c>
      <c r="K467" s="39" t="str">
        <f aca="false">IF(OR(I467="",J467=""),"",MAX(0,J467-I467+1))</f>
        <v/>
      </c>
      <c r="L467" s="16" t="str">
        <f aca="false">IF($A467="","",IF(AND(ISNUMBER(K467),K467=0),0,Settings!$C$10))</f>
        <v/>
      </c>
      <c r="M467" s="16" t="str">
        <f aca="false">IF($A467="","",IF(AND(ISNUMBER(K467),K467=0),0,Settings!$C$11))</f>
        <v/>
      </c>
      <c r="N467" s="40"/>
      <c r="O467" s="16" t="str">
        <f aca="false">IF($A467="","",FLOOR(Settings!$C$12/365*N(K467),0.5))</f>
        <v/>
      </c>
      <c r="P467" s="16" t="str">
        <f aca="false">IF($A467="","",IF(I467="",N(N467),FLOOR(Settings!$C$12/365*MAX(0,MIN(LvAsOf,J467)-I467+1)+N(N467),0.5)))</f>
        <v/>
      </c>
      <c r="Q467" s="16" t="str">
        <f aca="false">IF($A467="","",Settings!$C$14)</f>
        <v/>
      </c>
      <c r="R467" s="16" t="str">
        <f aca="false">IF($A467="","",SUMIFS(Attendance!$AZ$6:$AZ$2405,Attendance!$B$6:$B$2405,$A467,Attendance!$A$6:$A$2405,"&gt;="&amp;DATE(LvYear,1,1),Attendance!$A$6:$A$2405,"&lt;="&amp;DATE(LvYear,12,31)))</f>
        <v/>
      </c>
      <c r="S467" s="16" t="str">
        <f aca="false">IF($A467="","",SUMIFS(Attendance!$AY$6:$AY$2405,Attendance!$B$6:$B$2405,$A467,Attendance!$A$6:$A$2405,"&gt;="&amp;DATE(LvYear,1,1),Attendance!$A$6:$A$2405,"&lt;="&amp;DATE(LvYear,12,31)))</f>
        <v/>
      </c>
      <c r="T467" s="16" t="str">
        <f aca="false">IF($A467="","",SUMIFS(Attendance!$AX$6:$AX$2405,Attendance!$B$6:$B$2405,$A467,Attendance!$A$6:$A$2405,"&gt;="&amp;DATE(LvYear,1,1),Attendance!$A$6:$A$2405,"&lt;="&amp;DATE(LvYear,12,31)))</f>
        <v/>
      </c>
      <c r="U467" s="16" t="str">
        <f aca="false">IF($A467="","",SUMIFS(Attendance!$AW$6:$AW$2405,Attendance!$B$6:$B$2405,$A467,Attendance!$A$6:$A$2405,"&gt;="&amp;DATE(LvYear,1,1),Attendance!$A$6:$A$2405,"&lt;="&amp;DATE(LvYear,12,31)))</f>
        <v/>
      </c>
      <c r="V467" s="16" t="str">
        <f aca="false">IF($A467="","",L467-R467)</f>
        <v/>
      </c>
      <c r="W467" s="16" t="str">
        <f aca="false">IF($A467="","",M467-S467)</f>
        <v/>
      </c>
      <c r="X467" s="16" t="str">
        <f aca="false">IF($A467="","",P467-T467)</f>
        <v/>
      </c>
      <c r="Y467" s="16" t="str">
        <f aca="false">IF($A467="","",Q467-U467)</f>
        <v/>
      </c>
      <c r="Z467" s="16" t="str">
        <f aca="false">IF($A467="","",V467+W467+X467)</f>
        <v/>
      </c>
      <c r="AA467" s="16" t="str">
        <f aca="false">IF($A467="","",O467+N(N467)-T467)</f>
        <v/>
      </c>
      <c r="AB467" s="8" t="str">
        <f aca="false">IF($A467="","","CL "&amp;V467&amp;" | SL "&amp;W467&amp;" | PL "&amp;X467&amp;" | TR "&amp;Y467)</f>
        <v/>
      </c>
      <c r="AC467" s="15" t="str">
        <f aca="false">IF($A467="","",IF(F467="Exited","EXITED",IF(AND(ISNUMBER(K467),K467=0),"NOT ELIGIBLE",IF(MIN(V467:X467)&lt;0,"OVER-USED",IF(Z467&lt;=Settings!$C$15,"LOW","OK")))))</f>
        <v/>
      </c>
      <c r="AD467" s="16" t="str">
        <f aca="false">IF(OR(AC467="OVER-USED",AC467="LOW"),COUNTIF(AC$6:AC467,"OVER-USED")+COUNTIF(AC$6:AC467,"LOW"),"")</f>
        <v/>
      </c>
    </row>
    <row r="468" customFormat="false" ht="15" hidden="false" customHeight="false" outlineLevel="0" collapsed="false">
      <c r="A468" s="8" t="str">
        <f aca="false">IF('Employee List'!B468="","",'Employee List'!B468)</f>
        <v/>
      </c>
      <c r="B468" s="8" t="str">
        <f aca="false">IF($A468="","",'Employee List'!C468)</f>
        <v/>
      </c>
      <c r="C468" s="8" t="str">
        <f aca="false">IF($A468="","",'Employee List'!E468&amp;"")</f>
        <v/>
      </c>
      <c r="D468" s="8" t="str">
        <f aca="false">IF($A468="","",'Employee List'!F468&amp;"")</f>
        <v/>
      </c>
      <c r="E468" s="8" t="str">
        <f aca="false">IF($A468="","",'Employee List'!G468&amp;"")</f>
        <v/>
      </c>
      <c r="F468" s="8" t="str">
        <f aca="false">IF($A468="","",'Employee List'!D468)</f>
        <v/>
      </c>
      <c r="G468" s="38" t="str">
        <f aca="false">IF($A468="","",IF('Employee List'!I468="","",'Employee List'!I468))</f>
        <v/>
      </c>
      <c r="H468" s="38" t="str">
        <f aca="false">IF(OR($A468="",G468=""),"",G468+Settings!$C$13)</f>
        <v/>
      </c>
      <c r="I468" s="38" t="str">
        <f aca="false">IF(H468="","",MAX(H468,DATE(LvYear,1,1)))</f>
        <v/>
      </c>
      <c r="J468" s="38" t="str">
        <f aca="false">IF($A468="","",IF('Employee List'!J468="",DATE(LvYear,12,31),MIN('Employee List'!J468,DATE(LvYear,12,31))))</f>
        <v/>
      </c>
      <c r="K468" s="39" t="str">
        <f aca="false">IF(OR(I468="",J468=""),"",MAX(0,J468-I468+1))</f>
        <v/>
      </c>
      <c r="L468" s="16" t="str">
        <f aca="false">IF($A468="","",IF(AND(ISNUMBER(K468),K468=0),0,Settings!$C$10))</f>
        <v/>
      </c>
      <c r="M468" s="16" t="str">
        <f aca="false">IF($A468="","",IF(AND(ISNUMBER(K468),K468=0),0,Settings!$C$11))</f>
        <v/>
      </c>
      <c r="N468" s="40"/>
      <c r="O468" s="16" t="str">
        <f aca="false">IF($A468="","",FLOOR(Settings!$C$12/365*N(K468),0.5))</f>
        <v/>
      </c>
      <c r="P468" s="16" t="str">
        <f aca="false">IF($A468="","",IF(I468="",N(N468),FLOOR(Settings!$C$12/365*MAX(0,MIN(LvAsOf,J468)-I468+1)+N(N468),0.5)))</f>
        <v/>
      </c>
      <c r="Q468" s="16" t="str">
        <f aca="false">IF($A468="","",Settings!$C$14)</f>
        <v/>
      </c>
      <c r="R468" s="16" t="str">
        <f aca="false">IF($A468="","",SUMIFS(Attendance!$AZ$6:$AZ$2405,Attendance!$B$6:$B$2405,$A468,Attendance!$A$6:$A$2405,"&gt;="&amp;DATE(LvYear,1,1),Attendance!$A$6:$A$2405,"&lt;="&amp;DATE(LvYear,12,31)))</f>
        <v/>
      </c>
      <c r="S468" s="16" t="str">
        <f aca="false">IF($A468="","",SUMIFS(Attendance!$AY$6:$AY$2405,Attendance!$B$6:$B$2405,$A468,Attendance!$A$6:$A$2405,"&gt;="&amp;DATE(LvYear,1,1),Attendance!$A$6:$A$2405,"&lt;="&amp;DATE(LvYear,12,31)))</f>
        <v/>
      </c>
      <c r="T468" s="16" t="str">
        <f aca="false">IF($A468="","",SUMIFS(Attendance!$AX$6:$AX$2405,Attendance!$B$6:$B$2405,$A468,Attendance!$A$6:$A$2405,"&gt;="&amp;DATE(LvYear,1,1),Attendance!$A$6:$A$2405,"&lt;="&amp;DATE(LvYear,12,31)))</f>
        <v/>
      </c>
      <c r="U468" s="16" t="str">
        <f aca="false">IF($A468="","",SUMIFS(Attendance!$AW$6:$AW$2405,Attendance!$B$6:$B$2405,$A468,Attendance!$A$6:$A$2405,"&gt;="&amp;DATE(LvYear,1,1),Attendance!$A$6:$A$2405,"&lt;="&amp;DATE(LvYear,12,31)))</f>
        <v/>
      </c>
      <c r="V468" s="16" t="str">
        <f aca="false">IF($A468="","",L468-R468)</f>
        <v/>
      </c>
      <c r="W468" s="16" t="str">
        <f aca="false">IF($A468="","",M468-S468)</f>
        <v/>
      </c>
      <c r="X468" s="16" t="str">
        <f aca="false">IF($A468="","",P468-T468)</f>
        <v/>
      </c>
      <c r="Y468" s="16" t="str">
        <f aca="false">IF($A468="","",Q468-U468)</f>
        <v/>
      </c>
      <c r="Z468" s="16" t="str">
        <f aca="false">IF($A468="","",V468+W468+X468)</f>
        <v/>
      </c>
      <c r="AA468" s="16" t="str">
        <f aca="false">IF($A468="","",O468+N(N468)-T468)</f>
        <v/>
      </c>
      <c r="AB468" s="8" t="str">
        <f aca="false">IF($A468="","","CL "&amp;V468&amp;" | SL "&amp;W468&amp;" | PL "&amp;X468&amp;" | TR "&amp;Y468)</f>
        <v/>
      </c>
      <c r="AC468" s="15" t="str">
        <f aca="false">IF($A468="","",IF(F468="Exited","EXITED",IF(AND(ISNUMBER(K468),K468=0),"NOT ELIGIBLE",IF(MIN(V468:X468)&lt;0,"OVER-USED",IF(Z468&lt;=Settings!$C$15,"LOW","OK")))))</f>
        <v/>
      </c>
      <c r="AD468" s="16" t="str">
        <f aca="false">IF(OR(AC468="OVER-USED",AC468="LOW"),COUNTIF(AC$6:AC468,"OVER-USED")+COUNTIF(AC$6:AC468,"LOW"),"")</f>
        <v/>
      </c>
    </row>
    <row r="469" customFormat="false" ht="15" hidden="false" customHeight="false" outlineLevel="0" collapsed="false">
      <c r="A469" s="8" t="str">
        <f aca="false">IF('Employee List'!B469="","",'Employee List'!B469)</f>
        <v/>
      </c>
      <c r="B469" s="8" t="str">
        <f aca="false">IF($A469="","",'Employee List'!C469)</f>
        <v/>
      </c>
      <c r="C469" s="8" t="str">
        <f aca="false">IF($A469="","",'Employee List'!E469&amp;"")</f>
        <v/>
      </c>
      <c r="D469" s="8" t="str">
        <f aca="false">IF($A469="","",'Employee List'!F469&amp;"")</f>
        <v/>
      </c>
      <c r="E469" s="8" t="str">
        <f aca="false">IF($A469="","",'Employee List'!G469&amp;"")</f>
        <v/>
      </c>
      <c r="F469" s="8" t="str">
        <f aca="false">IF($A469="","",'Employee List'!D469)</f>
        <v/>
      </c>
      <c r="G469" s="38" t="str">
        <f aca="false">IF($A469="","",IF('Employee List'!I469="","",'Employee List'!I469))</f>
        <v/>
      </c>
      <c r="H469" s="38" t="str">
        <f aca="false">IF(OR($A469="",G469=""),"",G469+Settings!$C$13)</f>
        <v/>
      </c>
      <c r="I469" s="38" t="str">
        <f aca="false">IF(H469="","",MAX(H469,DATE(LvYear,1,1)))</f>
        <v/>
      </c>
      <c r="J469" s="38" t="str">
        <f aca="false">IF($A469="","",IF('Employee List'!J469="",DATE(LvYear,12,31),MIN('Employee List'!J469,DATE(LvYear,12,31))))</f>
        <v/>
      </c>
      <c r="K469" s="39" t="str">
        <f aca="false">IF(OR(I469="",J469=""),"",MAX(0,J469-I469+1))</f>
        <v/>
      </c>
      <c r="L469" s="16" t="str">
        <f aca="false">IF($A469="","",IF(AND(ISNUMBER(K469),K469=0),0,Settings!$C$10))</f>
        <v/>
      </c>
      <c r="M469" s="16" t="str">
        <f aca="false">IF($A469="","",IF(AND(ISNUMBER(K469),K469=0),0,Settings!$C$11))</f>
        <v/>
      </c>
      <c r="N469" s="40"/>
      <c r="O469" s="16" t="str">
        <f aca="false">IF($A469="","",FLOOR(Settings!$C$12/365*N(K469),0.5))</f>
        <v/>
      </c>
      <c r="P469" s="16" t="str">
        <f aca="false">IF($A469="","",IF(I469="",N(N469),FLOOR(Settings!$C$12/365*MAX(0,MIN(LvAsOf,J469)-I469+1)+N(N469),0.5)))</f>
        <v/>
      </c>
      <c r="Q469" s="16" t="str">
        <f aca="false">IF($A469="","",Settings!$C$14)</f>
        <v/>
      </c>
      <c r="R469" s="16" t="str">
        <f aca="false">IF($A469="","",SUMIFS(Attendance!$AZ$6:$AZ$2405,Attendance!$B$6:$B$2405,$A469,Attendance!$A$6:$A$2405,"&gt;="&amp;DATE(LvYear,1,1),Attendance!$A$6:$A$2405,"&lt;="&amp;DATE(LvYear,12,31)))</f>
        <v/>
      </c>
      <c r="S469" s="16" t="str">
        <f aca="false">IF($A469="","",SUMIFS(Attendance!$AY$6:$AY$2405,Attendance!$B$6:$B$2405,$A469,Attendance!$A$6:$A$2405,"&gt;="&amp;DATE(LvYear,1,1),Attendance!$A$6:$A$2405,"&lt;="&amp;DATE(LvYear,12,31)))</f>
        <v/>
      </c>
      <c r="T469" s="16" t="str">
        <f aca="false">IF($A469="","",SUMIFS(Attendance!$AX$6:$AX$2405,Attendance!$B$6:$B$2405,$A469,Attendance!$A$6:$A$2405,"&gt;="&amp;DATE(LvYear,1,1),Attendance!$A$6:$A$2405,"&lt;="&amp;DATE(LvYear,12,31)))</f>
        <v/>
      </c>
      <c r="U469" s="16" t="str">
        <f aca="false">IF($A469="","",SUMIFS(Attendance!$AW$6:$AW$2405,Attendance!$B$6:$B$2405,$A469,Attendance!$A$6:$A$2405,"&gt;="&amp;DATE(LvYear,1,1),Attendance!$A$6:$A$2405,"&lt;="&amp;DATE(LvYear,12,31)))</f>
        <v/>
      </c>
      <c r="V469" s="16" t="str">
        <f aca="false">IF($A469="","",L469-R469)</f>
        <v/>
      </c>
      <c r="W469" s="16" t="str">
        <f aca="false">IF($A469="","",M469-S469)</f>
        <v/>
      </c>
      <c r="X469" s="16" t="str">
        <f aca="false">IF($A469="","",P469-T469)</f>
        <v/>
      </c>
      <c r="Y469" s="16" t="str">
        <f aca="false">IF($A469="","",Q469-U469)</f>
        <v/>
      </c>
      <c r="Z469" s="16" t="str">
        <f aca="false">IF($A469="","",V469+W469+X469)</f>
        <v/>
      </c>
      <c r="AA469" s="16" t="str">
        <f aca="false">IF($A469="","",O469+N(N469)-T469)</f>
        <v/>
      </c>
      <c r="AB469" s="8" t="str">
        <f aca="false">IF($A469="","","CL "&amp;V469&amp;" | SL "&amp;W469&amp;" | PL "&amp;X469&amp;" | TR "&amp;Y469)</f>
        <v/>
      </c>
      <c r="AC469" s="15" t="str">
        <f aca="false">IF($A469="","",IF(F469="Exited","EXITED",IF(AND(ISNUMBER(K469),K469=0),"NOT ELIGIBLE",IF(MIN(V469:X469)&lt;0,"OVER-USED",IF(Z469&lt;=Settings!$C$15,"LOW","OK")))))</f>
        <v/>
      </c>
      <c r="AD469" s="16" t="str">
        <f aca="false">IF(OR(AC469="OVER-USED",AC469="LOW"),COUNTIF(AC$6:AC469,"OVER-USED")+COUNTIF(AC$6:AC469,"LOW"),"")</f>
        <v/>
      </c>
    </row>
    <row r="470" customFormat="false" ht="15" hidden="false" customHeight="false" outlineLevel="0" collapsed="false">
      <c r="A470" s="8" t="str">
        <f aca="false">IF('Employee List'!B470="","",'Employee List'!B470)</f>
        <v/>
      </c>
      <c r="B470" s="8" t="str">
        <f aca="false">IF($A470="","",'Employee List'!C470)</f>
        <v/>
      </c>
      <c r="C470" s="8" t="str">
        <f aca="false">IF($A470="","",'Employee List'!E470&amp;"")</f>
        <v/>
      </c>
      <c r="D470" s="8" t="str">
        <f aca="false">IF($A470="","",'Employee List'!F470&amp;"")</f>
        <v/>
      </c>
      <c r="E470" s="8" t="str">
        <f aca="false">IF($A470="","",'Employee List'!G470&amp;"")</f>
        <v/>
      </c>
      <c r="F470" s="8" t="str">
        <f aca="false">IF($A470="","",'Employee List'!D470)</f>
        <v/>
      </c>
      <c r="G470" s="38" t="str">
        <f aca="false">IF($A470="","",IF('Employee List'!I470="","",'Employee List'!I470))</f>
        <v/>
      </c>
      <c r="H470" s="38" t="str">
        <f aca="false">IF(OR($A470="",G470=""),"",G470+Settings!$C$13)</f>
        <v/>
      </c>
      <c r="I470" s="38" t="str">
        <f aca="false">IF(H470="","",MAX(H470,DATE(LvYear,1,1)))</f>
        <v/>
      </c>
      <c r="J470" s="38" t="str">
        <f aca="false">IF($A470="","",IF('Employee List'!J470="",DATE(LvYear,12,31),MIN('Employee List'!J470,DATE(LvYear,12,31))))</f>
        <v/>
      </c>
      <c r="K470" s="39" t="str">
        <f aca="false">IF(OR(I470="",J470=""),"",MAX(0,J470-I470+1))</f>
        <v/>
      </c>
      <c r="L470" s="16" t="str">
        <f aca="false">IF($A470="","",IF(AND(ISNUMBER(K470),K470=0),0,Settings!$C$10))</f>
        <v/>
      </c>
      <c r="M470" s="16" t="str">
        <f aca="false">IF($A470="","",IF(AND(ISNUMBER(K470),K470=0),0,Settings!$C$11))</f>
        <v/>
      </c>
      <c r="N470" s="40"/>
      <c r="O470" s="16" t="str">
        <f aca="false">IF($A470="","",FLOOR(Settings!$C$12/365*N(K470),0.5))</f>
        <v/>
      </c>
      <c r="P470" s="16" t="str">
        <f aca="false">IF($A470="","",IF(I470="",N(N470),FLOOR(Settings!$C$12/365*MAX(0,MIN(LvAsOf,J470)-I470+1)+N(N470),0.5)))</f>
        <v/>
      </c>
      <c r="Q470" s="16" t="str">
        <f aca="false">IF($A470="","",Settings!$C$14)</f>
        <v/>
      </c>
      <c r="R470" s="16" t="str">
        <f aca="false">IF($A470="","",SUMIFS(Attendance!$AZ$6:$AZ$2405,Attendance!$B$6:$B$2405,$A470,Attendance!$A$6:$A$2405,"&gt;="&amp;DATE(LvYear,1,1),Attendance!$A$6:$A$2405,"&lt;="&amp;DATE(LvYear,12,31)))</f>
        <v/>
      </c>
      <c r="S470" s="16" t="str">
        <f aca="false">IF($A470="","",SUMIFS(Attendance!$AY$6:$AY$2405,Attendance!$B$6:$B$2405,$A470,Attendance!$A$6:$A$2405,"&gt;="&amp;DATE(LvYear,1,1),Attendance!$A$6:$A$2405,"&lt;="&amp;DATE(LvYear,12,31)))</f>
        <v/>
      </c>
      <c r="T470" s="16" t="str">
        <f aca="false">IF($A470="","",SUMIFS(Attendance!$AX$6:$AX$2405,Attendance!$B$6:$B$2405,$A470,Attendance!$A$6:$A$2405,"&gt;="&amp;DATE(LvYear,1,1),Attendance!$A$6:$A$2405,"&lt;="&amp;DATE(LvYear,12,31)))</f>
        <v/>
      </c>
      <c r="U470" s="16" t="str">
        <f aca="false">IF($A470="","",SUMIFS(Attendance!$AW$6:$AW$2405,Attendance!$B$6:$B$2405,$A470,Attendance!$A$6:$A$2405,"&gt;="&amp;DATE(LvYear,1,1),Attendance!$A$6:$A$2405,"&lt;="&amp;DATE(LvYear,12,31)))</f>
        <v/>
      </c>
      <c r="V470" s="16" t="str">
        <f aca="false">IF($A470="","",L470-R470)</f>
        <v/>
      </c>
      <c r="W470" s="16" t="str">
        <f aca="false">IF($A470="","",M470-S470)</f>
        <v/>
      </c>
      <c r="X470" s="16" t="str">
        <f aca="false">IF($A470="","",P470-T470)</f>
        <v/>
      </c>
      <c r="Y470" s="16" t="str">
        <f aca="false">IF($A470="","",Q470-U470)</f>
        <v/>
      </c>
      <c r="Z470" s="16" t="str">
        <f aca="false">IF($A470="","",V470+W470+X470)</f>
        <v/>
      </c>
      <c r="AA470" s="16" t="str">
        <f aca="false">IF($A470="","",O470+N(N470)-T470)</f>
        <v/>
      </c>
      <c r="AB470" s="8" t="str">
        <f aca="false">IF($A470="","","CL "&amp;V470&amp;" | SL "&amp;W470&amp;" | PL "&amp;X470&amp;" | TR "&amp;Y470)</f>
        <v/>
      </c>
      <c r="AC470" s="15" t="str">
        <f aca="false">IF($A470="","",IF(F470="Exited","EXITED",IF(AND(ISNUMBER(K470),K470=0),"NOT ELIGIBLE",IF(MIN(V470:X470)&lt;0,"OVER-USED",IF(Z470&lt;=Settings!$C$15,"LOW","OK")))))</f>
        <v/>
      </c>
      <c r="AD470" s="16" t="str">
        <f aca="false">IF(OR(AC470="OVER-USED",AC470="LOW"),COUNTIF(AC$6:AC470,"OVER-USED")+COUNTIF(AC$6:AC470,"LOW"),"")</f>
        <v/>
      </c>
    </row>
    <row r="471" customFormat="false" ht="15" hidden="false" customHeight="false" outlineLevel="0" collapsed="false">
      <c r="A471" s="8" t="str">
        <f aca="false">IF('Employee List'!B471="","",'Employee List'!B471)</f>
        <v/>
      </c>
      <c r="B471" s="8" t="str">
        <f aca="false">IF($A471="","",'Employee List'!C471)</f>
        <v/>
      </c>
      <c r="C471" s="8" t="str">
        <f aca="false">IF($A471="","",'Employee List'!E471&amp;"")</f>
        <v/>
      </c>
      <c r="D471" s="8" t="str">
        <f aca="false">IF($A471="","",'Employee List'!F471&amp;"")</f>
        <v/>
      </c>
      <c r="E471" s="8" t="str">
        <f aca="false">IF($A471="","",'Employee List'!G471&amp;"")</f>
        <v/>
      </c>
      <c r="F471" s="8" t="str">
        <f aca="false">IF($A471="","",'Employee List'!D471)</f>
        <v/>
      </c>
      <c r="G471" s="38" t="str">
        <f aca="false">IF($A471="","",IF('Employee List'!I471="","",'Employee List'!I471))</f>
        <v/>
      </c>
      <c r="H471" s="38" t="str">
        <f aca="false">IF(OR($A471="",G471=""),"",G471+Settings!$C$13)</f>
        <v/>
      </c>
      <c r="I471" s="38" t="str">
        <f aca="false">IF(H471="","",MAX(H471,DATE(LvYear,1,1)))</f>
        <v/>
      </c>
      <c r="J471" s="38" t="str">
        <f aca="false">IF($A471="","",IF('Employee List'!J471="",DATE(LvYear,12,31),MIN('Employee List'!J471,DATE(LvYear,12,31))))</f>
        <v/>
      </c>
      <c r="K471" s="39" t="str">
        <f aca="false">IF(OR(I471="",J471=""),"",MAX(0,J471-I471+1))</f>
        <v/>
      </c>
      <c r="L471" s="16" t="str">
        <f aca="false">IF($A471="","",IF(AND(ISNUMBER(K471),K471=0),0,Settings!$C$10))</f>
        <v/>
      </c>
      <c r="M471" s="16" t="str">
        <f aca="false">IF($A471="","",IF(AND(ISNUMBER(K471),K471=0),0,Settings!$C$11))</f>
        <v/>
      </c>
      <c r="N471" s="40"/>
      <c r="O471" s="16" t="str">
        <f aca="false">IF($A471="","",FLOOR(Settings!$C$12/365*N(K471),0.5))</f>
        <v/>
      </c>
      <c r="P471" s="16" t="str">
        <f aca="false">IF($A471="","",IF(I471="",N(N471),FLOOR(Settings!$C$12/365*MAX(0,MIN(LvAsOf,J471)-I471+1)+N(N471),0.5)))</f>
        <v/>
      </c>
      <c r="Q471" s="16" t="str">
        <f aca="false">IF($A471="","",Settings!$C$14)</f>
        <v/>
      </c>
      <c r="R471" s="16" t="str">
        <f aca="false">IF($A471="","",SUMIFS(Attendance!$AZ$6:$AZ$2405,Attendance!$B$6:$B$2405,$A471,Attendance!$A$6:$A$2405,"&gt;="&amp;DATE(LvYear,1,1),Attendance!$A$6:$A$2405,"&lt;="&amp;DATE(LvYear,12,31)))</f>
        <v/>
      </c>
      <c r="S471" s="16" t="str">
        <f aca="false">IF($A471="","",SUMIFS(Attendance!$AY$6:$AY$2405,Attendance!$B$6:$B$2405,$A471,Attendance!$A$6:$A$2405,"&gt;="&amp;DATE(LvYear,1,1),Attendance!$A$6:$A$2405,"&lt;="&amp;DATE(LvYear,12,31)))</f>
        <v/>
      </c>
      <c r="T471" s="16" t="str">
        <f aca="false">IF($A471="","",SUMIFS(Attendance!$AX$6:$AX$2405,Attendance!$B$6:$B$2405,$A471,Attendance!$A$6:$A$2405,"&gt;="&amp;DATE(LvYear,1,1),Attendance!$A$6:$A$2405,"&lt;="&amp;DATE(LvYear,12,31)))</f>
        <v/>
      </c>
      <c r="U471" s="16" t="str">
        <f aca="false">IF($A471="","",SUMIFS(Attendance!$AW$6:$AW$2405,Attendance!$B$6:$B$2405,$A471,Attendance!$A$6:$A$2405,"&gt;="&amp;DATE(LvYear,1,1),Attendance!$A$6:$A$2405,"&lt;="&amp;DATE(LvYear,12,31)))</f>
        <v/>
      </c>
      <c r="V471" s="16" t="str">
        <f aca="false">IF($A471="","",L471-R471)</f>
        <v/>
      </c>
      <c r="W471" s="16" t="str">
        <f aca="false">IF($A471="","",M471-S471)</f>
        <v/>
      </c>
      <c r="X471" s="16" t="str">
        <f aca="false">IF($A471="","",P471-T471)</f>
        <v/>
      </c>
      <c r="Y471" s="16" t="str">
        <f aca="false">IF($A471="","",Q471-U471)</f>
        <v/>
      </c>
      <c r="Z471" s="16" t="str">
        <f aca="false">IF($A471="","",V471+W471+X471)</f>
        <v/>
      </c>
      <c r="AA471" s="16" t="str">
        <f aca="false">IF($A471="","",O471+N(N471)-T471)</f>
        <v/>
      </c>
      <c r="AB471" s="8" t="str">
        <f aca="false">IF($A471="","","CL "&amp;V471&amp;" | SL "&amp;W471&amp;" | PL "&amp;X471&amp;" | TR "&amp;Y471)</f>
        <v/>
      </c>
      <c r="AC471" s="15" t="str">
        <f aca="false">IF($A471="","",IF(F471="Exited","EXITED",IF(AND(ISNUMBER(K471),K471=0),"NOT ELIGIBLE",IF(MIN(V471:X471)&lt;0,"OVER-USED",IF(Z471&lt;=Settings!$C$15,"LOW","OK")))))</f>
        <v/>
      </c>
      <c r="AD471" s="16" t="str">
        <f aca="false">IF(OR(AC471="OVER-USED",AC471="LOW"),COUNTIF(AC$6:AC471,"OVER-USED")+COUNTIF(AC$6:AC471,"LOW"),"")</f>
        <v/>
      </c>
    </row>
    <row r="472" customFormat="false" ht="15" hidden="false" customHeight="false" outlineLevel="0" collapsed="false">
      <c r="A472" s="8" t="str">
        <f aca="false">IF('Employee List'!B472="","",'Employee List'!B472)</f>
        <v/>
      </c>
      <c r="B472" s="8" t="str">
        <f aca="false">IF($A472="","",'Employee List'!C472)</f>
        <v/>
      </c>
      <c r="C472" s="8" t="str">
        <f aca="false">IF($A472="","",'Employee List'!E472&amp;"")</f>
        <v/>
      </c>
      <c r="D472" s="8" t="str">
        <f aca="false">IF($A472="","",'Employee List'!F472&amp;"")</f>
        <v/>
      </c>
      <c r="E472" s="8" t="str">
        <f aca="false">IF($A472="","",'Employee List'!G472&amp;"")</f>
        <v/>
      </c>
      <c r="F472" s="8" t="str">
        <f aca="false">IF($A472="","",'Employee List'!D472)</f>
        <v/>
      </c>
      <c r="G472" s="38" t="str">
        <f aca="false">IF($A472="","",IF('Employee List'!I472="","",'Employee List'!I472))</f>
        <v/>
      </c>
      <c r="H472" s="38" t="str">
        <f aca="false">IF(OR($A472="",G472=""),"",G472+Settings!$C$13)</f>
        <v/>
      </c>
      <c r="I472" s="38" t="str">
        <f aca="false">IF(H472="","",MAX(H472,DATE(LvYear,1,1)))</f>
        <v/>
      </c>
      <c r="J472" s="38" t="str">
        <f aca="false">IF($A472="","",IF('Employee List'!J472="",DATE(LvYear,12,31),MIN('Employee List'!J472,DATE(LvYear,12,31))))</f>
        <v/>
      </c>
      <c r="K472" s="39" t="str">
        <f aca="false">IF(OR(I472="",J472=""),"",MAX(0,J472-I472+1))</f>
        <v/>
      </c>
      <c r="L472" s="16" t="str">
        <f aca="false">IF($A472="","",IF(AND(ISNUMBER(K472),K472=0),0,Settings!$C$10))</f>
        <v/>
      </c>
      <c r="M472" s="16" t="str">
        <f aca="false">IF($A472="","",IF(AND(ISNUMBER(K472),K472=0),0,Settings!$C$11))</f>
        <v/>
      </c>
      <c r="N472" s="40"/>
      <c r="O472" s="16" t="str">
        <f aca="false">IF($A472="","",FLOOR(Settings!$C$12/365*N(K472),0.5))</f>
        <v/>
      </c>
      <c r="P472" s="16" t="str">
        <f aca="false">IF($A472="","",IF(I472="",N(N472),FLOOR(Settings!$C$12/365*MAX(0,MIN(LvAsOf,J472)-I472+1)+N(N472),0.5)))</f>
        <v/>
      </c>
      <c r="Q472" s="16" t="str">
        <f aca="false">IF($A472="","",Settings!$C$14)</f>
        <v/>
      </c>
      <c r="R472" s="16" t="str">
        <f aca="false">IF($A472="","",SUMIFS(Attendance!$AZ$6:$AZ$2405,Attendance!$B$6:$B$2405,$A472,Attendance!$A$6:$A$2405,"&gt;="&amp;DATE(LvYear,1,1),Attendance!$A$6:$A$2405,"&lt;="&amp;DATE(LvYear,12,31)))</f>
        <v/>
      </c>
      <c r="S472" s="16" t="str">
        <f aca="false">IF($A472="","",SUMIFS(Attendance!$AY$6:$AY$2405,Attendance!$B$6:$B$2405,$A472,Attendance!$A$6:$A$2405,"&gt;="&amp;DATE(LvYear,1,1),Attendance!$A$6:$A$2405,"&lt;="&amp;DATE(LvYear,12,31)))</f>
        <v/>
      </c>
      <c r="T472" s="16" t="str">
        <f aca="false">IF($A472="","",SUMIFS(Attendance!$AX$6:$AX$2405,Attendance!$B$6:$B$2405,$A472,Attendance!$A$6:$A$2405,"&gt;="&amp;DATE(LvYear,1,1),Attendance!$A$6:$A$2405,"&lt;="&amp;DATE(LvYear,12,31)))</f>
        <v/>
      </c>
      <c r="U472" s="16" t="str">
        <f aca="false">IF($A472="","",SUMIFS(Attendance!$AW$6:$AW$2405,Attendance!$B$6:$B$2405,$A472,Attendance!$A$6:$A$2405,"&gt;="&amp;DATE(LvYear,1,1),Attendance!$A$6:$A$2405,"&lt;="&amp;DATE(LvYear,12,31)))</f>
        <v/>
      </c>
      <c r="V472" s="16" t="str">
        <f aca="false">IF($A472="","",L472-R472)</f>
        <v/>
      </c>
      <c r="W472" s="16" t="str">
        <f aca="false">IF($A472="","",M472-S472)</f>
        <v/>
      </c>
      <c r="X472" s="16" t="str">
        <f aca="false">IF($A472="","",P472-T472)</f>
        <v/>
      </c>
      <c r="Y472" s="16" t="str">
        <f aca="false">IF($A472="","",Q472-U472)</f>
        <v/>
      </c>
      <c r="Z472" s="16" t="str">
        <f aca="false">IF($A472="","",V472+W472+X472)</f>
        <v/>
      </c>
      <c r="AA472" s="16" t="str">
        <f aca="false">IF($A472="","",O472+N(N472)-T472)</f>
        <v/>
      </c>
      <c r="AB472" s="8" t="str">
        <f aca="false">IF($A472="","","CL "&amp;V472&amp;" | SL "&amp;W472&amp;" | PL "&amp;X472&amp;" | TR "&amp;Y472)</f>
        <v/>
      </c>
      <c r="AC472" s="15" t="str">
        <f aca="false">IF($A472="","",IF(F472="Exited","EXITED",IF(AND(ISNUMBER(K472),K472=0),"NOT ELIGIBLE",IF(MIN(V472:X472)&lt;0,"OVER-USED",IF(Z472&lt;=Settings!$C$15,"LOW","OK")))))</f>
        <v/>
      </c>
      <c r="AD472" s="16" t="str">
        <f aca="false">IF(OR(AC472="OVER-USED",AC472="LOW"),COUNTIF(AC$6:AC472,"OVER-USED")+COUNTIF(AC$6:AC472,"LOW"),"")</f>
        <v/>
      </c>
    </row>
    <row r="473" customFormat="false" ht="15" hidden="false" customHeight="false" outlineLevel="0" collapsed="false">
      <c r="A473" s="8" t="str">
        <f aca="false">IF('Employee List'!B473="","",'Employee List'!B473)</f>
        <v/>
      </c>
      <c r="B473" s="8" t="str">
        <f aca="false">IF($A473="","",'Employee List'!C473)</f>
        <v/>
      </c>
      <c r="C473" s="8" t="str">
        <f aca="false">IF($A473="","",'Employee List'!E473&amp;"")</f>
        <v/>
      </c>
      <c r="D473" s="8" t="str">
        <f aca="false">IF($A473="","",'Employee List'!F473&amp;"")</f>
        <v/>
      </c>
      <c r="E473" s="8" t="str">
        <f aca="false">IF($A473="","",'Employee List'!G473&amp;"")</f>
        <v/>
      </c>
      <c r="F473" s="8" t="str">
        <f aca="false">IF($A473="","",'Employee List'!D473)</f>
        <v/>
      </c>
      <c r="G473" s="38" t="str">
        <f aca="false">IF($A473="","",IF('Employee List'!I473="","",'Employee List'!I473))</f>
        <v/>
      </c>
      <c r="H473" s="38" t="str">
        <f aca="false">IF(OR($A473="",G473=""),"",G473+Settings!$C$13)</f>
        <v/>
      </c>
      <c r="I473" s="38" t="str">
        <f aca="false">IF(H473="","",MAX(H473,DATE(LvYear,1,1)))</f>
        <v/>
      </c>
      <c r="J473" s="38" t="str">
        <f aca="false">IF($A473="","",IF('Employee List'!J473="",DATE(LvYear,12,31),MIN('Employee List'!J473,DATE(LvYear,12,31))))</f>
        <v/>
      </c>
      <c r="K473" s="39" t="str">
        <f aca="false">IF(OR(I473="",J473=""),"",MAX(0,J473-I473+1))</f>
        <v/>
      </c>
      <c r="L473" s="16" t="str">
        <f aca="false">IF($A473="","",IF(AND(ISNUMBER(K473),K473=0),0,Settings!$C$10))</f>
        <v/>
      </c>
      <c r="M473" s="16" t="str">
        <f aca="false">IF($A473="","",IF(AND(ISNUMBER(K473),K473=0),0,Settings!$C$11))</f>
        <v/>
      </c>
      <c r="N473" s="40"/>
      <c r="O473" s="16" t="str">
        <f aca="false">IF($A473="","",FLOOR(Settings!$C$12/365*N(K473),0.5))</f>
        <v/>
      </c>
      <c r="P473" s="16" t="str">
        <f aca="false">IF($A473="","",IF(I473="",N(N473),FLOOR(Settings!$C$12/365*MAX(0,MIN(LvAsOf,J473)-I473+1)+N(N473),0.5)))</f>
        <v/>
      </c>
      <c r="Q473" s="16" t="str">
        <f aca="false">IF($A473="","",Settings!$C$14)</f>
        <v/>
      </c>
      <c r="R473" s="16" t="str">
        <f aca="false">IF($A473="","",SUMIFS(Attendance!$AZ$6:$AZ$2405,Attendance!$B$6:$B$2405,$A473,Attendance!$A$6:$A$2405,"&gt;="&amp;DATE(LvYear,1,1),Attendance!$A$6:$A$2405,"&lt;="&amp;DATE(LvYear,12,31)))</f>
        <v/>
      </c>
      <c r="S473" s="16" t="str">
        <f aca="false">IF($A473="","",SUMIFS(Attendance!$AY$6:$AY$2405,Attendance!$B$6:$B$2405,$A473,Attendance!$A$6:$A$2405,"&gt;="&amp;DATE(LvYear,1,1),Attendance!$A$6:$A$2405,"&lt;="&amp;DATE(LvYear,12,31)))</f>
        <v/>
      </c>
      <c r="T473" s="16" t="str">
        <f aca="false">IF($A473="","",SUMIFS(Attendance!$AX$6:$AX$2405,Attendance!$B$6:$B$2405,$A473,Attendance!$A$6:$A$2405,"&gt;="&amp;DATE(LvYear,1,1),Attendance!$A$6:$A$2405,"&lt;="&amp;DATE(LvYear,12,31)))</f>
        <v/>
      </c>
      <c r="U473" s="16" t="str">
        <f aca="false">IF($A473="","",SUMIFS(Attendance!$AW$6:$AW$2405,Attendance!$B$6:$B$2405,$A473,Attendance!$A$6:$A$2405,"&gt;="&amp;DATE(LvYear,1,1),Attendance!$A$6:$A$2405,"&lt;="&amp;DATE(LvYear,12,31)))</f>
        <v/>
      </c>
      <c r="V473" s="16" t="str">
        <f aca="false">IF($A473="","",L473-R473)</f>
        <v/>
      </c>
      <c r="W473" s="16" t="str">
        <f aca="false">IF($A473="","",M473-S473)</f>
        <v/>
      </c>
      <c r="X473" s="16" t="str">
        <f aca="false">IF($A473="","",P473-T473)</f>
        <v/>
      </c>
      <c r="Y473" s="16" t="str">
        <f aca="false">IF($A473="","",Q473-U473)</f>
        <v/>
      </c>
      <c r="Z473" s="16" t="str">
        <f aca="false">IF($A473="","",V473+W473+X473)</f>
        <v/>
      </c>
      <c r="AA473" s="16" t="str">
        <f aca="false">IF($A473="","",O473+N(N473)-T473)</f>
        <v/>
      </c>
      <c r="AB473" s="8" t="str">
        <f aca="false">IF($A473="","","CL "&amp;V473&amp;" | SL "&amp;W473&amp;" | PL "&amp;X473&amp;" | TR "&amp;Y473)</f>
        <v/>
      </c>
      <c r="AC473" s="15" t="str">
        <f aca="false">IF($A473="","",IF(F473="Exited","EXITED",IF(AND(ISNUMBER(K473),K473=0),"NOT ELIGIBLE",IF(MIN(V473:X473)&lt;0,"OVER-USED",IF(Z473&lt;=Settings!$C$15,"LOW","OK")))))</f>
        <v/>
      </c>
      <c r="AD473" s="16" t="str">
        <f aca="false">IF(OR(AC473="OVER-USED",AC473="LOW"),COUNTIF(AC$6:AC473,"OVER-USED")+COUNTIF(AC$6:AC473,"LOW"),"")</f>
        <v/>
      </c>
    </row>
    <row r="474" customFormat="false" ht="15" hidden="false" customHeight="false" outlineLevel="0" collapsed="false">
      <c r="A474" s="8" t="str">
        <f aca="false">IF('Employee List'!B474="","",'Employee List'!B474)</f>
        <v/>
      </c>
      <c r="B474" s="8" t="str">
        <f aca="false">IF($A474="","",'Employee List'!C474)</f>
        <v/>
      </c>
      <c r="C474" s="8" t="str">
        <f aca="false">IF($A474="","",'Employee List'!E474&amp;"")</f>
        <v/>
      </c>
      <c r="D474" s="8" t="str">
        <f aca="false">IF($A474="","",'Employee List'!F474&amp;"")</f>
        <v/>
      </c>
      <c r="E474" s="8" t="str">
        <f aca="false">IF($A474="","",'Employee List'!G474&amp;"")</f>
        <v/>
      </c>
      <c r="F474" s="8" t="str">
        <f aca="false">IF($A474="","",'Employee List'!D474)</f>
        <v/>
      </c>
      <c r="G474" s="38" t="str">
        <f aca="false">IF($A474="","",IF('Employee List'!I474="","",'Employee List'!I474))</f>
        <v/>
      </c>
      <c r="H474" s="38" t="str">
        <f aca="false">IF(OR($A474="",G474=""),"",G474+Settings!$C$13)</f>
        <v/>
      </c>
      <c r="I474" s="38" t="str">
        <f aca="false">IF(H474="","",MAX(H474,DATE(LvYear,1,1)))</f>
        <v/>
      </c>
      <c r="J474" s="38" t="str">
        <f aca="false">IF($A474="","",IF('Employee List'!J474="",DATE(LvYear,12,31),MIN('Employee List'!J474,DATE(LvYear,12,31))))</f>
        <v/>
      </c>
      <c r="K474" s="39" t="str">
        <f aca="false">IF(OR(I474="",J474=""),"",MAX(0,J474-I474+1))</f>
        <v/>
      </c>
      <c r="L474" s="16" t="str">
        <f aca="false">IF($A474="","",IF(AND(ISNUMBER(K474),K474=0),0,Settings!$C$10))</f>
        <v/>
      </c>
      <c r="M474" s="16" t="str">
        <f aca="false">IF($A474="","",IF(AND(ISNUMBER(K474),K474=0),0,Settings!$C$11))</f>
        <v/>
      </c>
      <c r="N474" s="40"/>
      <c r="O474" s="16" t="str">
        <f aca="false">IF($A474="","",FLOOR(Settings!$C$12/365*N(K474),0.5))</f>
        <v/>
      </c>
      <c r="P474" s="16" t="str">
        <f aca="false">IF($A474="","",IF(I474="",N(N474),FLOOR(Settings!$C$12/365*MAX(0,MIN(LvAsOf,J474)-I474+1)+N(N474),0.5)))</f>
        <v/>
      </c>
      <c r="Q474" s="16" t="str">
        <f aca="false">IF($A474="","",Settings!$C$14)</f>
        <v/>
      </c>
      <c r="R474" s="16" t="str">
        <f aca="false">IF($A474="","",SUMIFS(Attendance!$AZ$6:$AZ$2405,Attendance!$B$6:$B$2405,$A474,Attendance!$A$6:$A$2405,"&gt;="&amp;DATE(LvYear,1,1),Attendance!$A$6:$A$2405,"&lt;="&amp;DATE(LvYear,12,31)))</f>
        <v/>
      </c>
      <c r="S474" s="16" t="str">
        <f aca="false">IF($A474="","",SUMIFS(Attendance!$AY$6:$AY$2405,Attendance!$B$6:$B$2405,$A474,Attendance!$A$6:$A$2405,"&gt;="&amp;DATE(LvYear,1,1),Attendance!$A$6:$A$2405,"&lt;="&amp;DATE(LvYear,12,31)))</f>
        <v/>
      </c>
      <c r="T474" s="16" t="str">
        <f aca="false">IF($A474="","",SUMIFS(Attendance!$AX$6:$AX$2405,Attendance!$B$6:$B$2405,$A474,Attendance!$A$6:$A$2405,"&gt;="&amp;DATE(LvYear,1,1),Attendance!$A$6:$A$2405,"&lt;="&amp;DATE(LvYear,12,31)))</f>
        <v/>
      </c>
      <c r="U474" s="16" t="str">
        <f aca="false">IF($A474="","",SUMIFS(Attendance!$AW$6:$AW$2405,Attendance!$B$6:$B$2405,$A474,Attendance!$A$6:$A$2405,"&gt;="&amp;DATE(LvYear,1,1),Attendance!$A$6:$A$2405,"&lt;="&amp;DATE(LvYear,12,31)))</f>
        <v/>
      </c>
      <c r="V474" s="16" t="str">
        <f aca="false">IF($A474="","",L474-R474)</f>
        <v/>
      </c>
      <c r="W474" s="16" t="str">
        <f aca="false">IF($A474="","",M474-S474)</f>
        <v/>
      </c>
      <c r="X474" s="16" t="str">
        <f aca="false">IF($A474="","",P474-T474)</f>
        <v/>
      </c>
      <c r="Y474" s="16" t="str">
        <f aca="false">IF($A474="","",Q474-U474)</f>
        <v/>
      </c>
      <c r="Z474" s="16" t="str">
        <f aca="false">IF($A474="","",V474+W474+X474)</f>
        <v/>
      </c>
      <c r="AA474" s="16" t="str">
        <f aca="false">IF($A474="","",O474+N(N474)-T474)</f>
        <v/>
      </c>
      <c r="AB474" s="8" t="str">
        <f aca="false">IF($A474="","","CL "&amp;V474&amp;" | SL "&amp;W474&amp;" | PL "&amp;X474&amp;" | TR "&amp;Y474)</f>
        <v/>
      </c>
      <c r="AC474" s="15" t="str">
        <f aca="false">IF($A474="","",IF(F474="Exited","EXITED",IF(AND(ISNUMBER(K474),K474=0),"NOT ELIGIBLE",IF(MIN(V474:X474)&lt;0,"OVER-USED",IF(Z474&lt;=Settings!$C$15,"LOW","OK")))))</f>
        <v/>
      </c>
      <c r="AD474" s="16" t="str">
        <f aca="false">IF(OR(AC474="OVER-USED",AC474="LOW"),COUNTIF(AC$6:AC474,"OVER-USED")+COUNTIF(AC$6:AC474,"LOW"),"")</f>
        <v/>
      </c>
    </row>
    <row r="475" customFormat="false" ht="15" hidden="false" customHeight="false" outlineLevel="0" collapsed="false">
      <c r="A475" s="8" t="str">
        <f aca="false">IF('Employee List'!B475="","",'Employee List'!B475)</f>
        <v/>
      </c>
      <c r="B475" s="8" t="str">
        <f aca="false">IF($A475="","",'Employee List'!C475)</f>
        <v/>
      </c>
      <c r="C475" s="8" t="str">
        <f aca="false">IF($A475="","",'Employee List'!E475&amp;"")</f>
        <v/>
      </c>
      <c r="D475" s="8" t="str">
        <f aca="false">IF($A475="","",'Employee List'!F475&amp;"")</f>
        <v/>
      </c>
      <c r="E475" s="8" t="str">
        <f aca="false">IF($A475="","",'Employee List'!G475&amp;"")</f>
        <v/>
      </c>
      <c r="F475" s="8" t="str">
        <f aca="false">IF($A475="","",'Employee List'!D475)</f>
        <v/>
      </c>
      <c r="G475" s="38" t="str">
        <f aca="false">IF($A475="","",IF('Employee List'!I475="","",'Employee List'!I475))</f>
        <v/>
      </c>
      <c r="H475" s="38" t="str">
        <f aca="false">IF(OR($A475="",G475=""),"",G475+Settings!$C$13)</f>
        <v/>
      </c>
      <c r="I475" s="38" t="str">
        <f aca="false">IF(H475="","",MAX(H475,DATE(LvYear,1,1)))</f>
        <v/>
      </c>
      <c r="J475" s="38" t="str">
        <f aca="false">IF($A475="","",IF('Employee List'!J475="",DATE(LvYear,12,31),MIN('Employee List'!J475,DATE(LvYear,12,31))))</f>
        <v/>
      </c>
      <c r="K475" s="39" t="str">
        <f aca="false">IF(OR(I475="",J475=""),"",MAX(0,J475-I475+1))</f>
        <v/>
      </c>
      <c r="L475" s="16" t="str">
        <f aca="false">IF($A475="","",IF(AND(ISNUMBER(K475),K475=0),0,Settings!$C$10))</f>
        <v/>
      </c>
      <c r="M475" s="16" t="str">
        <f aca="false">IF($A475="","",IF(AND(ISNUMBER(K475),K475=0),0,Settings!$C$11))</f>
        <v/>
      </c>
      <c r="N475" s="40"/>
      <c r="O475" s="16" t="str">
        <f aca="false">IF($A475="","",FLOOR(Settings!$C$12/365*N(K475),0.5))</f>
        <v/>
      </c>
      <c r="P475" s="16" t="str">
        <f aca="false">IF($A475="","",IF(I475="",N(N475),FLOOR(Settings!$C$12/365*MAX(0,MIN(LvAsOf,J475)-I475+1)+N(N475),0.5)))</f>
        <v/>
      </c>
      <c r="Q475" s="16" t="str">
        <f aca="false">IF($A475="","",Settings!$C$14)</f>
        <v/>
      </c>
      <c r="R475" s="16" t="str">
        <f aca="false">IF($A475="","",SUMIFS(Attendance!$AZ$6:$AZ$2405,Attendance!$B$6:$B$2405,$A475,Attendance!$A$6:$A$2405,"&gt;="&amp;DATE(LvYear,1,1),Attendance!$A$6:$A$2405,"&lt;="&amp;DATE(LvYear,12,31)))</f>
        <v/>
      </c>
      <c r="S475" s="16" t="str">
        <f aca="false">IF($A475="","",SUMIFS(Attendance!$AY$6:$AY$2405,Attendance!$B$6:$B$2405,$A475,Attendance!$A$6:$A$2405,"&gt;="&amp;DATE(LvYear,1,1),Attendance!$A$6:$A$2405,"&lt;="&amp;DATE(LvYear,12,31)))</f>
        <v/>
      </c>
      <c r="T475" s="16" t="str">
        <f aca="false">IF($A475="","",SUMIFS(Attendance!$AX$6:$AX$2405,Attendance!$B$6:$B$2405,$A475,Attendance!$A$6:$A$2405,"&gt;="&amp;DATE(LvYear,1,1),Attendance!$A$6:$A$2405,"&lt;="&amp;DATE(LvYear,12,31)))</f>
        <v/>
      </c>
      <c r="U475" s="16" t="str">
        <f aca="false">IF($A475="","",SUMIFS(Attendance!$AW$6:$AW$2405,Attendance!$B$6:$B$2405,$A475,Attendance!$A$6:$A$2405,"&gt;="&amp;DATE(LvYear,1,1),Attendance!$A$6:$A$2405,"&lt;="&amp;DATE(LvYear,12,31)))</f>
        <v/>
      </c>
      <c r="V475" s="16" t="str">
        <f aca="false">IF($A475="","",L475-R475)</f>
        <v/>
      </c>
      <c r="W475" s="16" t="str">
        <f aca="false">IF($A475="","",M475-S475)</f>
        <v/>
      </c>
      <c r="X475" s="16" t="str">
        <f aca="false">IF($A475="","",P475-T475)</f>
        <v/>
      </c>
      <c r="Y475" s="16" t="str">
        <f aca="false">IF($A475="","",Q475-U475)</f>
        <v/>
      </c>
      <c r="Z475" s="16" t="str">
        <f aca="false">IF($A475="","",V475+W475+X475)</f>
        <v/>
      </c>
      <c r="AA475" s="16" t="str">
        <f aca="false">IF($A475="","",O475+N(N475)-T475)</f>
        <v/>
      </c>
      <c r="AB475" s="8" t="str">
        <f aca="false">IF($A475="","","CL "&amp;V475&amp;" | SL "&amp;W475&amp;" | PL "&amp;X475&amp;" | TR "&amp;Y475)</f>
        <v/>
      </c>
      <c r="AC475" s="15" t="str">
        <f aca="false">IF($A475="","",IF(F475="Exited","EXITED",IF(AND(ISNUMBER(K475),K475=0),"NOT ELIGIBLE",IF(MIN(V475:X475)&lt;0,"OVER-USED",IF(Z475&lt;=Settings!$C$15,"LOW","OK")))))</f>
        <v/>
      </c>
      <c r="AD475" s="16" t="str">
        <f aca="false">IF(OR(AC475="OVER-USED",AC475="LOW"),COUNTIF(AC$6:AC475,"OVER-USED")+COUNTIF(AC$6:AC475,"LOW"),"")</f>
        <v/>
      </c>
    </row>
    <row r="476" customFormat="false" ht="15" hidden="false" customHeight="false" outlineLevel="0" collapsed="false">
      <c r="A476" s="8" t="str">
        <f aca="false">IF('Employee List'!B476="","",'Employee List'!B476)</f>
        <v/>
      </c>
      <c r="B476" s="8" t="str">
        <f aca="false">IF($A476="","",'Employee List'!C476)</f>
        <v/>
      </c>
      <c r="C476" s="8" t="str">
        <f aca="false">IF($A476="","",'Employee List'!E476&amp;"")</f>
        <v/>
      </c>
      <c r="D476" s="8" t="str">
        <f aca="false">IF($A476="","",'Employee List'!F476&amp;"")</f>
        <v/>
      </c>
      <c r="E476" s="8" t="str">
        <f aca="false">IF($A476="","",'Employee List'!G476&amp;"")</f>
        <v/>
      </c>
      <c r="F476" s="8" t="str">
        <f aca="false">IF($A476="","",'Employee List'!D476)</f>
        <v/>
      </c>
      <c r="G476" s="38" t="str">
        <f aca="false">IF($A476="","",IF('Employee List'!I476="","",'Employee List'!I476))</f>
        <v/>
      </c>
      <c r="H476" s="38" t="str">
        <f aca="false">IF(OR($A476="",G476=""),"",G476+Settings!$C$13)</f>
        <v/>
      </c>
      <c r="I476" s="38" t="str">
        <f aca="false">IF(H476="","",MAX(H476,DATE(LvYear,1,1)))</f>
        <v/>
      </c>
      <c r="J476" s="38" t="str">
        <f aca="false">IF($A476="","",IF('Employee List'!J476="",DATE(LvYear,12,31),MIN('Employee List'!J476,DATE(LvYear,12,31))))</f>
        <v/>
      </c>
      <c r="K476" s="39" t="str">
        <f aca="false">IF(OR(I476="",J476=""),"",MAX(0,J476-I476+1))</f>
        <v/>
      </c>
      <c r="L476" s="16" t="str">
        <f aca="false">IF($A476="","",IF(AND(ISNUMBER(K476),K476=0),0,Settings!$C$10))</f>
        <v/>
      </c>
      <c r="M476" s="16" t="str">
        <f aca="false">IF($A476="","",IF(AND(ISNUMBER(K476),K476=0),0,Settings!$C$11))</f>
        <v/>
      </c>
      <c r="N476" s="40"/>
      <c r="O476" s="16" t="str">
        <f aca="false">IF($A476="","",FLOOR(Settings!$C$12/365*N(K476),0.5))</f>
        <v/>
      </c>
      <c r="P476" s="16" t="str">
        <f aca="false">IF($A476="","",IF(I476="",N(N476),FLOOR(Settings!$C$12/365*MAX(0,MIN(LvAsOf,J476)-I476+1)+N(N476),0.5)))</f>
        <v/>
      </c>
      <c r="Q476" s="16" t="str">
        <f aca="false">IF($A476="","",Settings!$C$14)</f>
        <v/>
      </c>
      <c r="R476" s="16" t="str">
        <f aca="false">IF($A476="","",SUMIFS(Attendance!$AZ$6:$AZ$2405,Attendance!$B$6:$B$2405,$A476,Attendance!$A$6:$A$2405,"&gt;="&amp;DATE(LvYear,1,1),Attendance!$A$6:$A$2405,"&lt;="&amp;DATE(LvYear,12,31)))</f>
        <v/>
      </c>
      <c r="S476" s="16" t="str">
        <f aca="false">IF($A476="","",SUMIFS(Attendance!$AY$6:$AY$2405,Attendance!$B$6:$B$2405,$A476,Attendance!$A$6:$A$2405,"&gt;="&amp;DATE(LvYear,1,1),Attendance!$A$6:$A$2405,"&lt;="&amp;DATE(LvYear,12,31)))</f>
        <v/>
      </c>
      <c r="T476" s="16" t="str">
        <f aca="false">IF($A476="","",SUMIFS(Attendance!$AX$6:$AX$2405,Attendance!$B$6:$B$2405,$A476,Attendance!$A$6:$A$2405,"&gt;="&amp;DATE(LvYear,1,1),Attendance!$A$6:$A$2405,"&lt;="&amp;DATE(LvYear,12,31)))</f>
        <v/>
      </c>
      <c r="U476" s="16" t="str">
        <f aca="false">IF($A476="","",SUMIFS(Attendance!$AW$6:$AW$2405,Attendance!$B$6:$B$2405,$A476,Attendance!$A$6:$A$2405,"&gt;="&amp;DATE(LvYear,1,1),Attendance!$A$6:$A$2405,"&lt;="&amp;DATE(LvYear,12,31)))</f>
        <v/>
      </c>
      <c r="V476" s="16" t="str">
        <f aca="false">IF($A476="","",L476-R476)</f>
        <v/>
      </c>
      <c r="W476" s="16" t="str">
        <f aca="false">IF($A476="","",M476-S476)</f>
        <v/>
      </c>
      <c r="X476" s="16" t="str">
        <f aca="false">IF($A476="","",P476-T476)</f>
        <v/>
      </c>
      <c r="Y476" s="16" t="str">
        <f aca="false">IF($A476="","",Q476-U476)</f>
        <v/>
      </c>
      <c r="Z476" s="16" t="str">
        <f aca="false">IF($A476="","",V476+W476+X476)</f>
        <v/>
      </c>
      <c r="AA476" s="16" t="str">
        <f aca="false">IF($A476="","",O476+N(N476)-T476)</f>
        <v/>
      </c>
      <c r="AB476" s="8" t="str">
        <f aca="false">IF($A476="","","CL "&amp;V476&amp;" | SL "&amp;W476&amp;" | PL "&amp;X476&amp;" | TR "&amp;Y476)</f>
        <v/>
      </c>
      <c r="AC476" s="15" t="str">
        <f aca="false">IF($A476="","",IF(F476="Exited","EXITED",IF(AND(ISNUMBER(K476),K476=0),"NOT ELIGIBLE",IF(MIN(V476:X476)&lt;0,"OVER-USED",IF(Z476&lt;=Settings!$C$15,"LOW","OK")))))</f>
        <v/>
      </c>
      <c r="AD476" s="16" t="str">
        <f aca="false">IF(OR(AC476="OVER-USED",AC476="LOW"),COUNTIF(AC$6:AC476,"OVER-USED")+COUNTIF(AC$6:AC476,"LOW"),"")</f>
        <v/>
      </c>
    </row>
    <row r="477" customFormat="false" ht="15" hidden="false" customHeight="false" outlineLevel="0" collapsed="false">
      <c r="A477" s="8" t="str">
        <f aca="false">IF('Employee List'!B477="","",'Employee List'!B477)</f>
        <v/>
      </c>
      <c r="B477" s="8" t="str">
        <f aca="false">IF($A477="","",'Employee List'!C477)</f>
        <v/>
      </c>
      <c r="C477" s="8" t="str">
        <f aca="false">IF($A477="","",'Employee List'!E477&amp;"")</f>
        <v/>
      </c>
      <c r="D477" s="8" t="str">
        <f aca="false">IF($A477="","",'Employee List'!F477&amp;"")</f>
        <v/>
      </c>
      <c r="E477" s="8" t="str">
        <f aca="false">IF($A477="","",'Employee List'!G477&amp;"")</f>
        <v/>
      </c>
      <c r="F477" s="8" t="str">
        <f aca="false">IF($A477="","",'Employee List'!D477)</f>
        <v/>
      </c>
      <c r="G477" s="38" t="str">
        <f aca="false">IF($A477="","",IF('Employee List'!I477="","",'Employee List'!I477))</f>
        <v/>
      </c>
      <c r="H477" s="38" t="str">
        <f aca="false">IF(OR($A477="",G477=""),"",G477+Settings!$C$13)</f>
        <v/>
      </c>
      <c r="I477" s="38" t="str">
        <f aca="false">IF(H477="","",MAX(H477,DATE(LvYear,1,1)))</f>
        <v/>
      </c>
      <c r="J477" s="38" t="str">
        <f aca="false">IF($A477="","",IF('Employee List'!J477="",DATE(LvYear,12,31),MIN('Employee List'!J477,DATE(LvYear,12,31))))</f>
        <v/>
      </c>
      <c r="K477" s="39" t="str">
        <f aca="false">IF(OR(I477="",J477=""),"",MAX(0,J477-I477+1))</f>
        <v/>
      </c>
      <c r="L477" s="16" t="str">
        <f aca="false">IF($A477="","",IF(AND(ISNUMBER(K477),K477=0),0,Settings!$C$10))</f>
        <v/>
      </c>
      <c r="M477" s="16" t="str">
        <f aca="false">IF($A477="","",IF(AND(ISNUMBER(K477),K477=0),0,Settings!$C$11))</f>
        <v/>
      </c>
      <c r="N477" s="40"/>
      <c r="O477" s="16" t="str">
        <f aca="false">IF($A477="","",FLOOR(Settings!$C$12/365*N(K477),0.5))</f>
        <v/>
      </c>
      <c r="P477" s="16" t="str">
        <f aca="false">IF($A477="","",IF(I477="",N(N477),FLOOR(Settings!$C$12/365*MAX(0,MIN(LvAsOf,J477)-I477+1)+N(N477),0.5)))</f>
        <v/>
      </c>
      <c r="Q477" s="16" t="str">
        <f aca="false">IF($A477="","",Settings!$C$14)</f>
        <v/>
      </c>
      <c r="R477" s="16" t="str">
        <f aca="false">IF($A477="","",SUMIFS(Attendance!$AZ$6:$AZ$2405,Attendance!$B$6:$B$2405,$A477,Attendance!$A$6:$A$2405,"&gt;="&amp;DATE(LvYear,1,1),Attendance!$A$6:$A$2405,"&lt;="&amp;DATE(LvYear,12,31)))</f>
        <v/>
      </c>
      <c r="S477" s="16" t="str">
        <f aca="false">IF($A477="","",SUMIFS(Attendance!$AY$6:$AY$2405,Attendance!$B$6:$B$2405,$A477,Attendance!$A$6:$A$2405,"&gt;="&amp;DATE(LvYear,1,1),Attendance!$A$6:$A$2405,"&lt;="&amp;DATE(LvYear,12,31)))</f>
        <v/>
      </c>
      <c r="T477" s="16" t="str">
        <f aca="false">IF($A477="","",SUMIFS(Attendance!$AX$6:$AX$2405,Attendance!$B$6:$B$2405,$A477,Attendance!$A$6:$A$2405,"&gt;="&amp;DATE(LvYear,1,1),Attendance!$A$6:$A$2405,"&lt;="&amp;DATE(LvYear,12,31)))</f>
        <v/>
      </c>
      <c r="U477" s="16" t="str">
        <f aca="false">IF($A477="","",SUMIFS(Attendance!$AW$6:$AW$2405,Attendance!$B$6:$B$2405,$A477,Attendance!$A$6:$A$2405,"&gt;="&amp;DATE(LvYear,1,1),Attendance!$A$6:$A$2405,"&lt;="&amp;DATE(LvYear,12,31)))</f>
        <v/>
      </c>
      <c r="V477" s="16" t="str">
        <f aca="false">IF($A477="","",L477-R477)</f>
        <v/>
      </c>
      <c r="W477" s="16" t="str">
        <f aca="false">IF($A477="","",M477-S477)</f>
        <v/>
      </c>
      <c r="X477" s="16" t="str">
        <f aca="false">IF($A477="","",P477-T477)</f>
        <v/>
      </c>
      <c r="Y477" s="16" t="str">
        <f aca="false">IF($A477="","",Q477-U477)</f>
        <v/>
      </c>
      <c r="Z477" s="16" t="str">
        <f aca="false">IF($A477="","",V477+W477+X477)</f>
        <v/>
      </c>
      <c r="AA477" s="16" t="str">
        <f aca="false">IF($A477="","",O477+N(N477)-T477)</f>
        <v/>
      </c>
      <c r="AB477" s="8" t="str">
        <f aca="false">IF($A477="","","CL "&amp;V477&amp;" | SL "&amp;W477&amp;" | PL "&amp;X477&amp;" | TR "&amp;Y477)</f>
        <v/>
      </c>
      <c r="AC477" s="15" t="str">
        <f aca="false">IF($A477="","",IF(F477="Exited","EXITED",IF(AND(ISNUMBER(K477),K477=0),"NOT ELIGIBLE",IF(MIN(V477:X477)&lt;0,"OVER-USED",IF(Z477&lt;=Settings!$C$15,"LOW","OK")))))</f>
        <v/>
      </c>
      <c r="AD477" s="16" t="str">
        <f aca="false">IF(OR(AC477="OVER-USED",AC477="LOW"),COUNTIF(AC$6:AC477,"OVER-USED")+COUNTIF(AC$6:AC477,"LOW"),"")</f>
        <v/>
      </c>
    </row>
    <row r="478" customFormat="false" ht="15" hidden="false" customHeight="false" outlineLevel="0" collapsed="false">
      <c r="A478" s="8" t="str">
        <f aca="false">IF('Employee List'!B478="","",'Employee List'!B478)</f>
        <v/>
      </c>
      <c r="B478" s="8" t="str">
        <f aca="false">IF($A478="","",'Employee List'!C478)</f>
        <v/>
      </c>
      <c r="C478" s="8" t="str">
        <f aca="false">IF($A478="","",'Employee List'!E478&amp;"")</f>
        <v/>
      </c>
      <c r="D478" s="8" t="str">
        <f aca="false">IF($A478="","",'Employee List'!F478&amp;"")</f>
        <v/>
      </c>
      <c r="E478" s="8" t="str">
        <f aca="false">IF($A478="","",'Employee List'!G478&amp;"")</f>
        <v/>
      </c>
      <c r="F478" s="8" t="str">
        <f aca="false">IF($A478="","",'Employee List'!D478)</f>
        <v/>
      </c>
      <c r="G478" s="38" t="str">
        <f aca="false">IF($A478="","",IF('Employee List'!I478="","",'Employee List'!I478))</f>
        <v/>
      </c>
      <c r="H478" s="38" t="str">
        <f aca="false">IF(OR($A478="",G478=""),"",G478+Settings!$C$13)</f>
        <v/>
      </c>
      <c r="I478" s="38" t="str">
        <f aca="false">IF(H478="","",MAX(H478,DATE(LvYear,1,1)))</f>
        <v/>
      </c>
      <c r="J478" s="38" t="str">
        <f aca="false">IF($A478="","",IF('Employee List'!J478="",DATE(LvYear,12,31),MIN('Employee List'!J478,DATE(LvYear,12,31))))</f>
        <v/>
      </c>
      <c r="K478" s="39" t="str">
        <f aca="false">IF(OR(I478="",J478=""),"",MAX(0,J478-I478+1))</f>
        <v/>
      </c>
      <c r="L478" s="16" t="str">
        <f aca="false">IF($A478="","",IF(AND(ISNUMBER(K478),K478=0),0,Settings!$C$10))</f>
        <v/>
      </c>
      <c r="M478" s="16" t="str">
        <f aca="false">IF($A478="","",IF(AND(ISNUMBER(K478),K478=0),0,Settings!$C$11))</f>
        <v/>
      </c>
      <c r="N478" s="40"/>
      <c r="O478" s="16" t="str">
        <f aca="false">IF($A478="","",FLOOR(Settings!$C$12/365*N(K478),0.5))</f>
        <v/>
      </c>
      <c r="P478" s="16" t="str">
        <f aca="false">IF($A478="","",IF(I478="",N(N478),FLOOR(Settings!$C$12/365*MAX(0,MIN(LvAsOf,J478)-I478+1)+N(N478),0.5)))</f>
        <v/>
      </c>
      <c r="Q478" s="16" t="str">
        <f aca="false">IF($A478="","",Settings!$C$14)</f>
        <v/>
      </c>
      <c r="R478" s="16" t="str">
        <f aca="false">IF($A478="","",SUMIFS(Attendance!$AZ$6:$AZ$2405,Attendance!$B$6:$B$2405,$A478,Attendance!$A$6:$A$2405,"&gt;="&amp;DATE(LvYear,1,1),Attendance!$A$6:$A$2405,"&lt;="&amp;DATE(LvYear,12,31)))</f>
        <v/>
      </c>
      <c r="S478" s="16" t="str">
        <f aca="false">IF($A478="","",SUMIFS(Attendance!$AY$6:$AY$2405,Attendance!$B$6:$B$2405,$A478,Attendance!$A$6:$A$2405,"&gt;="&amp;DATE(LvYear,1,1),Attendance!$A$6:$A$2405,"&lt;="&amp;DATE(LvYear,12,31)))</f>
        <v/>
      </c>
      <c r="T478" s="16" t="str">
        <f aca="false">IF($A478="","",SUMIFS(Attendance!$AX$6:$AX$2405,Attendance!$B$6:$B$2405,$A478,Attendance!$A$6:$A$2405,"&gt;="&amp;DATE(LvYear,1,1),Attendance!$A$6:$A$2405,"&lt;="&amp;DATE(LvYear,12,31)))</f>
        <v/>
      </c>
      <c r="U478" s="16" t="str">
        <f aca="false">IF($A478="","",SUMIFS(Attendance!$AW$6:$AW$2405,Attendance!$B$6:$B$2405,$A478,Attendance!$A$6:$A$2405,"&gt;="&amp;DATE(LvYear,1,1),Attendance!$A$6:$A$2405,"&lt;="&amp;DATE(LvYear,12,31)))</f>
        <v/>
      </c>
      <c r="V478" s="16" t="str">
        <f aca="false">IF($A478="","",L478-R478)</f>
        <v/>
      </c>
      <c r="W478" s="16" t="str">
        <f aca="false">IF($A478="","",M478-S478)</f>
        <v/>
      </c>
      <c r="X478" s="16" t="str">
        <f aca="false">IF($A478="","",P478-T478)</f>
        <v/>
      </c>
      <c r="Y478" s="16" t="str">
        <f aca="false">IF($A478="","",Q478-U478)</f>
        <v/>
      </c>
      <c r="Z478" s="16" t="str">
        <f aca="false">IF($A478="","",V478+W478+X478)</f>
        <v/>
      </c>
      <c r="AA478" s="16" t="str">
        <f aca="false">IF($A478="","",O478+N(N478)-T478)</f>
        <v/>
      </c>
      <c r="AB478" s="8" t="str">
        <f aca="false">IF($A478="","","CL "&amp;V478&amp;" | SL "&amp;W478&amp;" | PL "&amp;X478&amp;" | TR "&amp;Y478)</f>
        <v/>
      </c>
      <c r="AC478" s="15" t="str">
        <f aca="false">IF($A478="","",IF(F478="Exited","EXITED",IF(AND(ISNUMBER(K478),K478=0),"NOT ELIGIBLE",IF(MIN(V478:X478)&lt;0,"OVER-USED",IF(Z478&lt;=Settings!$C$15,"LOW","OK")))))</f>
        <v/>
      </c>
      <c r="AD478" s="16" t="str">
        <f aca="false">IF(OR(AC478="OVER-USED",AC478="LOW"),COUNTIF(AC$6:AC478,"OVER-USED")+COUNTIF(AC$6:AC478,"LOW"),"")</f>
        <v/>
      </c>
    </row>
    <row r="479" customFormat="false" ht="15" hidden="false" customHeight="false" outlineLevel="0" collapsed="false">
      <c r="A479" s="8" t="str">
        <f aca="false">IF('Employee List'!B479="","",'Employee List'!B479)</f>
        <v/>
      </c>
      <c r="B479" s="8" t="str">
        <f aca="false">IF($A479="","",'Employee List'!C479)</f>
        <v/>
      </c>
      <c r="C479" s="8" t="str">
        <f aca="false">IF($A479="","",'Employee List'!E479&amp;"")</f>
        <v/>
      </c>
      <c r="D479" s="8" t="str">
        <f aca="false">IF($A479="","",'Employee List'!F479&amp;"")</f>
        <v/>
      </c>
      <c r="E479" s="8" t="str">
        <f aca="false">IF($A479="","",'Employee List'!G479&amp;"")</f>
        <v/>
      </c>
      <c r="F479" s="8" t="str">
        <f aca="false">IF($A479="","",'Employee List'!D479)</f>
        <v/>
      </c>
      <c r="G479" s="38" t="str">
        <f aca="false">IF($A479="","",IF('Employee List'!I479="","",'Employee List'!I479))</f>
        <v/>
      </c>
      <c r="H479" s="38" t="str">
        <f aca="false">IF(OR($A479="",G479=""),"",G479+Settings!$C$13)</f>
        <v/>
      </c>
      <c r="I479" s="38" t="str">
        <f aca="false">IF(H479="","",MAX(H479,DATE(LvYear,1,1)))</f>
        <v/>
      </c>
      <c r="J479" s="38" t="str">
        <f aca="false">IF($A479="","",IF('Employee List'!J479="",DATE(LvYear,12,31),MIN('Employee List'!J479,DATE(LvYear,12,31))))</f>
        <v/>
      </c>
      <c r="K479" s="39" t="str">
        <f aca="false">IF(OR(I479="",J479=""),"",MAX(0,J479-I479+1))</f>
        <v/>
      </c>
      <c r="L479" s="16" t="str">
        <f aca="false">IF($A479="","",IF(AND(ISNUMBER(K479),K479=0),0,Settings!$C$10))</f>
        <v/>
      </c>
      <c r="M479" s="16" t="str">
        <f aca="false">IF($A479="","",IF(AND(ISNUMBER(K479),K479=0),0,Settings!$C$11))</f>
        <v/>
      </c>
      <c r="N479" s="40"/>
      <c r="O479" s="16" t="str">
        <f aca="false">IF($A479="","",FLOOR(Settings!$C$12/365*N(K479),0.5))</f>
        <v/>
      </c>
      <c r="P479" s="16" t="str">
        <f aca="false">IF($A479="","",IF(I479="",N(N479),FLOOR(Settings!$C$12/365*MAX(0,MIN(LvAsOf,J479)-I479+1)+N(N479),0.5)))</f>
        <v/>
      </c>
      <c r="Q479" s="16" t="str">
        <f aca="false">IF($A479="","",Settings!$C$14)</f>
        <v/>
      </c>
      <c r="R479" s="16" t="str">
        <f aca="false">IF($A479="","",SUMIFS(Attendance!$AZ$6:$AZ$2405,Attendance!$B$6:$B$2405,$A479,Attendance!$A$6:$A$2405,"&gt;="&amp;DATE(LvYear,1,1),Attendance!$A$6:$A$2405,"&lt;="&amp;DATE(LvYear,12,31)))</f>
        <v/>
      </c>
      <c r="S479" s="16" t="str">
        <f aca="false">IF($A479="","",SUMIFS(Attendance!$AY$6:$AY$2405,Attendance!$B$6:$B$2405,$A479,Attendance!$A$6:$A$2405,"&gt;="&amp;DATE(LvYear,1,1),Attendance!$A$6:$A$2405,"&lt;="&amp;DATE(LvYear,12,31)))</f>
        <v/>
      </c>
      <c r="T479" s="16" t="str">
        <f aca="false">IF($A479="","",SUMIFS(Attendance!$AX$6:$AX$2405,Attendance!$B$6:$B$2405,$A479,Attendance!$A$6:$A$2405,"&gt;="&amp;DATE(LvYear,1,1),Attendance!$A$6:$A$2405,"&lt;="&amp;DATE(LvYear,12,31)))</f>
        <v/>
      </c>
      <c r="U479" s="16" t="str">
        <f aca="false">IF($A479="","",SUMIFS(Attendance!$AW$6:$AW$2405,Attendance!$B$6:$B$2405,$A479,Attendance!$A$6:$A$2405,"&gt;="&amp;DATE(LvYear,1,1),Attendance!$A$6:$A$2405,"&lt;="&amp;DATE(LvYear,12,31)))</f>
        <v/>
      </c>
      <c r="V479" s="16" t="str">
        <f aca="false">IF($A479="","",L479-R479)</f>
        <v/>
      </c>
      <c r="W479" s="16" t="str">
        <f aca="false">IF($A479="","",M479-S479)</f>
        <v/>
      </c>
      <c r="X479" s="16" t="str">
        <f aca="false">IF($A479="","",P479-T479)</f>
        <v/>
      </c>
      <c r="Y479" s="16" t="str">
        <f aca="false">IF($A479="","",Q479-U479)</f>
        <v/>
      </c>
      <c r="Z479" s="16" t="str">
        <f aca="false">IF($A479="","",V479+W479+X479)</f>
        <v/>
      </c>
      <c r="AA479" s="16" t="str">
        <f aca="false">IF($A479="","",O479+N(N479)-T479)</f>
        <v/>
      </c>
      <c r="AB479" s="8" t="str">
        <f aca="false">IF($A479="","","CL "&amp;V479&amp;" | SL "&amp;W479&amp;" | PL "&amp;X479&amp;" | TR "&amp;Y479)</f>
        <v/>
      </c>
      <c r="AC479" s="15" t="str">
        <f aca="false">IF($A479="","",IF(F479="Exited","EXITED",IF(AND(ISNUMBER(K479),K479=0),"NOT ELIGIBLE",IF(MIN(V479:X479)&lt;0,"OVER-USED",IF(Z479&lt;=Settings!$C$15,"LOW","OK")))))</f>
        <v/>
      </c>
      <c r="AD479" s="16" t="str">
        <f aca="false">IF(OR(AC479="OVER-USED",AC479="LOW"),COUNTIF(AC$6:AC479,"OVER-USED")+COUNTIF(AC$6:AC479,"LOW"),"")</f>
        <v/>
      </c>
    </row>
    <row r="480" customFormat="false" ht="15" hidden="false" customHeight="false" outlineLevel="0" collapsed="false">
      <c r="A480" s="8" t="str">
        <f aca="false">IF('Employee List'!B480="","",'Employee List'!B480)</f>
        <v/>
      </c>
      <c r="B480" s="8" t="str">
        <f aca="false">IF($A480="","",'Employee List'!C480)</f>
        <v/>
      </c>
      <c r="C480" s="8" t="str">
        <f aca="false">IF($A480="","",'Employee List'!E480&amp;"")</f>
        <v/>
      </c>
      <c r="D480" s="8" t="str">
        <f aca="false">IF($A480="","",'Employee List'!F480&amp;"")</f>
        <v/>
      </c>
      <c r="E480" s="8" t="str">
        <f aca="false">IF($A480="","",'Employee List'!G480&amp;"")</f>
        <v/>
      </c>
      <c r="F480" s="8" t="str">
        <f aca="false">IF($A480="","",'Employee List'!D480)</f>
        <v/>
      </c>
      <c r="G480" s="38" t="str">
        <f aca="false">IF($A480="","",IF('Employee List'!I480="","",'Employee List'!I480))</f>
        <v/>
      </c>
      <c r="H480" s="38" t="str">
        <f aca="false">IF(OR($A480="",G480=""),"",G480+Settings!$C$13)</f>
        <v/>
      </c>
      <c r="I480" s="38" t="str">
        <f aca="false">IF(H480="","",MAX(H480,DATE(LvYear,1,1)))</f>
        <v/>
      </c>
      <c r="J480" s="38" t="str">
        <f aca="false">IF($A480="","",IF('Employee List'!J480="",DATE(LvYear,12,31),MIN('Employee List'!J480,DATE(LvYear,12,31))))</f>
        <v/>
      </c>
      <c r="K480" s="39" t="str">
        <f aca="false">IF(OR(I480="",J480=""),"",MAX(0,J480-I480+1))</f>
        <v/>
      </c>
      <c r="L480" s="16" t="str">
        <f aca="false">IF($A480="","",IF(AND(ISNUMBER(K480),K480=0),0,Settings!$C$10))</f>
        <v/>
      </c>
      <c r="M480" s="16" t="str">
        <f aca="false">IF($A480="","",IF(AND(ISNUMBER(K480),K480=0),0,Settings!$C$11))</f>
        <v/>
      </c>
      <c r="N480" s="40"/>
      <c r="O480" s="16" t="str">
        <f aca="false">IF($A480="","",FLOOR(Settings!$C$12/365*N(K480),0.5))</f>
        <v/>
      </c>
      <c r="P480" s="16" t="str">
        <f aca="false">IF($A480="","",IF(I480="",N(N480),FLOOR(Settings!$C$12/365*MAX(0,MIN(LvAsOf,J480)-I480+1)+N(N480),0.5)))</f>
        <v/>
      </c>
      <c r="Q480" s="16" t="str">
        <f aca="false">IF($A480="","",Settings!$C$14)</f>
        <v/>
      </c>
      <c r="R480" s="16" t="str">
        <f aca="false">IF($A480="","",SUMIFS(Attendance!$AZ$6:$AZ$2405,Attendance!$B$6:$B$2405,$A480,Attendance!$A$6:$A$2405,"&gt;="&amp;DATE(LvYear,1,1),Attendance!$A$6:$A$2405,"&lt;="&amp;DATE(LvYear,12,31)))</f>
        <v/>
      </c>
      <c r="S480" s="16" t="str">
        <f aca="false">IF($A480="","",SUMIFS(Attendance!$AY$6:$AY$2405,Attendance!$B$6:$B$2405,$A480,Attendance!$A$6:$A$2405,"&gt;="&amp;DATE(LvYear,1,1),Attendance!$A$6:$A$2405,"&lt;="&amp;DATE(LvYear,12,31)))</f>
        <v/>
      </c>
      <c r="T480" s="16" t="str">
        <f aca="false">IF($A480="","",SUMIFS(Attendance!$AX$6:$AX$2405,Attendance!$B$6:$B$2405,$A480,Attendance!$A$6:$A$2405,"&gt;="&amp;DATE(LvYear,1,1),Attendance!$A$6:$A$2405,"&lt;="&amp;DATE(LvYear,12,31)))</f>
        <v/>
      </c>
      <c r="U480" s="16" t="str">
        <f aca="false">IF($A480="","",SUMIFS(Attendance!$AW$6:$AW$2405,Attendance!$B$6:$B$2405,$A480,Attendance!$A$6:$A$2405,"&gt;="&amp;DATE(LvYear,1,1),Attendance!$A$6:$A$2405,"&lt;="&amp;DATE(LvYear,12,31)))</f>
        <v/>
      </c>
      <c r="V480" s="16" t="str">
        <f aca="false">IF($A480="","",L480-R480)</f>
        <v/>
      </c>
      <c r="W480" s="16" t="str">
        <f aca="false">IF($A480="","",M480-S480)</f>
        <v/>
      </c>
      <c r="X480" s="16" t="str">
        <f aca="false">IF($A480="","",P480-T480)</f>
        <v/>
      </c>
      <c r="Y480" s="16" t="str">
        <f aca="false">IF($A480="","",Q480-U480)</f>
        <v/>
      </c>
      <c r="Z480" s="16" t="str">
        <f aca="false">IF($A480="","",V480+W480+X480)</f>
        <v/>
      </c>
      <c r="AA480" s="16" t="str">
        <f aca="false">IF($A480="","",O480+N(N480)-T480)</f>
        <v/>
      </c>
      <c r="AB480" s="8" t="str">
        <f aca="false">IF($A480="","","CL "&amp;V480&amp;" | SL "&amp;W480&amp;" | PL "&amp;X480&amp;" | TR "&amp;Y480)</f>
        <v/>
      </c>
      <c r="AC480" s="15" t="str">
        <f aca="false">IF($A480="","",IF(F480="Exited","EXITED",IF(AND(ISNUMBER(K480),K480=0),"NOT ELIGIBLE",IF(MIN(V480:X480)&lt;0,"OVER-USED",IF(Z480&lt;=Settings!$C$15,"LOW","OK")))))</f>
        <v/>
      </c>
      <c r="AD480" s="16" t="str">
        <f aca="false">IF(OR(AC480="OVER-USED",AC480="LOW"),COUNTIF(AC$6:AC480,"OVER-USED")+COUNTIF(AC$6:AC480,"LOW"),"")</f>
        <v/>
      </c>
    </row>
    <row r="481" customFormat="false" ht="15" hidden="false" customHeight="false" outlineLevel="0" collapsed="false">
      <c r="A481" s="8" t="str">
        <f aca="false">IF('Employee List'!B481="","",'Employee List'!B481)</f>
        <v/>
      </c>
      <c r="B481" s="8" t="str">
        <f aca="false">IF($A481="","",'Employee List'!C481)</f>
        <v/>
      </c>
      <c r="C481" s="8" t="str">
        <f aca="false">IF($A481="","",'Employee List'!E481&amp;"")</f>
        <v/>
      </c>
      <c r="D481" s="8" t="str">
        <f aca="false">IF($A481="","",'Employee List'!F481&amp;"")</f>
        <v/>
      </c>
      <c r="E481" s="8" t="str">
        <f aca="false">IF($A481="","",'Employee List'!G481&amp;"")</f>
        <v/>
      </c>
      <c r="F481" s="8" t="str">
        <f aca="false">IF($A481="","",'Employee List'!D481)</f>
        <v/>
      </c>
      <c r="G481" s="38" t="str">
        <f aca="false">IF($A481="","",IF('Employee List'!I481="","",'Employee List'!I481))</f>
        <v/>
      </c>
      <c r="H481" s="38" t="str">
        <f aca="false">IF(OR($A481="",G481=""),"",G481+Settings!$C$13)</f>
        <v/>
      </c>
      <c r="I481" s="38" t="str">
        <f aca="false">IF(H481="","",MAX(H481,DATE(LvYear,1,1)))</f>
        <v/>
      </c>
      <c r="J481" s="38" t="str">
        <f aca="false">IF($A481="","",IF('Employee List'!J481="",DATE(LvYear,12,31),MIN('Employee List'!J481,DATE(LvYear,12,31))))</f>
        <v/>
      </c>
      <c r="K481" s="39" t="str">
        <f aca="false">IF(OR(I481="",J481=""),"",MAX(0,J481-I481+1))</f>
        <v/>
      </c>
      <c r="L481" s="16" t="str">
        <f aca="false">IF($A481="","",IF(AND(ISNUMBER(K481),K481=0),0,Settings!$C$10))</f>
        <v/>
      </c>
      <c r="M481" s="16" t="str">
        <f aca="false">IF($A481="","",IF(AND(ISNUMBER(K481),K481=0),0,Settings!$C$11))</f>
        <v/>
      </c>
      <c r="N481" s="40"/>
      <c r="O481" s="16" t="str">
        <f aca="false">IF($A481="","",FLOOR(Settings!$C$12/365*N(K481),0.5))</f>
        <v/>
      </c>
      <c r="P481" s="16" t="str">
        <f aca="false">IF($A481="","",IF(I481="",N(N481),FLOOR(Settings!$C$12/365*MAX(0,MIN(LvAsOf,J481)-I481+1)+N(N481),0.5)))</f>
        <v/>
      </c>
      <c r="Q481" s="16" t="str">
        <f aca="false">IF($A481="","",Settings!$C$14)</f>
        <v/>
      </c>
      <c r="R481" s="16" t="str">
        <f aca="false">IF($A481="","",SUMIFS(Attendance!$AZ$6:$AZ$2405,Attendance!$B$6:$B$2405,$A481,Attendance!$A$6:$A$2405,"&gt;="&amp;DATE(LvYear,1,1),Attendance!$A$6:$A$2405,"&lt;="&amp;DATE(LvYear,12,31)))</f>
        <v/>
      </c>
      <c r="S481" s="16" t="str">
        <f aca="false">IF($A481="","",SUMIFS(Attendance!$AY$6:$AY$2405,Attendance!$B$6:$B$2405,$A481,Attendance!$A$6:$A$2405,"&gt;="&amp;DATE(LvYear,1,1),Attendance!$A$6:$A$2405,"&lt;="&amp;DATE(LvYear,12,31)))</f>
        <v/>
      </c>
      <c r="T481" s="16" t="str">
        <f aca="false">IF($A481="","",SUMIFS(Attendance!$AX$6:$AX$2405,Attendance!$B$6:$B$2405,$A481,Attendance!$A$6:$A$2405,"&gt;="&amp;DATE(LvYear,1,1),Attendance!$A$6:$A$2405,"&lt;="&amp;DATE(LvYear,12,31)))</f>
        <v/>
      </c>
      <c r="U481" s="16" t="str">
        <f aca="false">IF($A481="","",SUMIFS(Attendance!$AW$6:$AW$2405,Attendance!$B$6:$B$2405,$A481,Attendance!$A$6:$A$2405,"&gt;="&amp;DATE(LvYear,1,1),Attendance!$A$6:$A$2405,"&lt;="&amp;DATE(LvYear,12,31)))</f>
        <v/>
      </c>
      <c r="V481" s="16" t="str">
        <f aca="false">IF($A481="","",L481-R481)</f>
        <v/>
      </c>
      <c r="W481" s="16" t="str">
        <f aca="false">IF($A481="","",M481-S481)</f>
        <v/>
      </c>
      <c r="X481" s="16" t="str">
        <f aca="false">IF($A481="","",P481-T481)</f>
        <v/>
      </c>
      <c r="Y481" s="16" t="str">
        <f aca="false">IF($A481="","",Q481-U481)</f>
        <v/>
      </c>
      <c r="Z481" s="16" t="str">
        <f aca="false">IF($A481="","",V481+W481+X481)</f>
        <v/>
      </c>
      <c r="AA481" s="16" t="str">
        <f aca="false">IF($A481="","",O481+N(N481)-T481)</f>
        <v/>
      </c>
      <c r="AB481" s="8" t="str">
        <f aca="false">IF($A481="","","CL "&amp;V481&amp;" | SL "&amp;W481&amp;" | PL "&amp;X481&amp;" | TR "&amp;Y481)</f>
        <v/>
      </c>
      <c r="AC481" s="15" t="str">
        <f aca="false">IF($A481="","",IF(F481="Exited","EXITED",IF(AND(ISNUMBER(K481),K481=0),"NOT ELIGIBLE",IF(MIN(V481:X481)&lt;0,"OVER-USED",IF(Z481&lt;=Settings!$C$15,"LOW","OK")))))</f>
        <v/>
      </c>
      <c r="AD481" s="16" t="str">
        <f aca="false">IF(OR(AC481="OVER-USED",AC481="LOW"),COUNTIF(AC$6:AC481,"OVER-USED")+COUNTIF(AC$6:AC481,"LOW"),"")</f>
        <v/>
      </c>
    </row>
    <row r="482" customFormat="false" ht="15" hidden="false" customHeight="false" outlineLevel="0" collapsed="false">
      <c r="A482" s="8" t="str">
        <f aca="false">IF('Employee List'!B482="","",'Employee List'!B482)</f>
        <v/>
      </c>
      <c r="B482" s="8" t="str">
        <f aca="false">IF($A482="","",'Employee List'!C482)</f>
        <v/>
      </c>
      <c r="C482" s="8" t="str">
        <f aca="false">IF($A482="","",'Employee List'!E482&amp;"")</f>
        <v/>
      </c>
      <c r="D482" s="8" t="str">
        <f aca="false">IF($A482="","",'Employee List'!F482&amp;"")</f>
        <v/>
      </c>
      <c r="E482" s="8" t="str">
        <f aca="false">IF($A482="","",'Employee List'!G482&amp;"")</f>
        <v/>
      </c>
      <c r="F482" s="8" t="str">
        <f aca="false">IF($A482="","",'Employee List'!D482)</f>
        <v/>
      </c>
      <c r="G482" s="38" t="str">
        <f aca="false">IF($A482="","",IF('Employee List'!I482="","",'Employee List'!I482))</f>
        <v/>
      </c>
      <c r="H482" s="38" t="str">
        <f aca="false">IF(OR($A482="",G482=""),"",G482+Settings!$C$13)</f>
        <v/>
      </c>
      <c r="I482" s="38" t="str">
        <f aca="false">IF(H482="","",MAX(H482,DATE(LvYear,1,1)))</f>
        <v/>
      </c>
      <c r="J482" s="38" t="str">
        <f aca="false">IF($A482="","",IF('Employee List'!J482="",DATE(LvYear,12,31),MIN('Employee List'!J482,DATE(LvYear,12,31))))</f>
        <v/>
      </c>
      <c r="K482" s="39" t="str">
        <f aca="false">IF(OR(I482="",J482=""),"",MAX(0,J482-I482+1))</f>
        <v/>
      </c>
      <c r="L482" s="16" t="str">
        <f aca="false">IF($A482="","",IF(AND(ISNUMBER(K482),K482=0),0,Settings!$C$10))</f>
        <v/>
      </c>
      <c r="M482" s="16" t="str">
        <f aca="false">IF($A482="","",IF(AND(ISNUMBER(K482),K482=0),0,Settings!$C$11))</f>
        <v/>
      </c>
      <c r="N482" s="40"/>
      <c r="O482" s="16" t="str">
        <f aca="false">IF($A482="","",FLOOR(Settings!$C$12/365*N(K482),0.5))</f>
        <v/>
      </c>
      <c r="P482" s="16" t="str">
        <f aca="false">IF($A482="","",IF(I482="",N(N482),FLOOR(Settings!$C$12/365*MAX(0,MIN(LvAsOf,J482)-I482+1)+N(N482),0.5)))</f>
        <v/>
      </c>
      <c r="Q482" s="16" t="str">
        <f aca="false">IF($A482="","",Settings!$C$14)</f>
        <v/>
      </c>
      <c r="R482" s="16" t="str">
        <f aca="false">IF($A482="","",SUMIFS(Attendance!$AZ$6:$AZ$2405,Attendance!$B$6:$B$2405,$A482,Attendance!$A$6:$A$2405,"&gt;="&amp;DATE(LvYear,1,1),Attendance!$A$6:$A$2405,"&lt;="&amp;DATE(LvYear,12,31)))</f>
        <v/>
      </c>
      <c r="S482" s="16" t="str">
        <f aca="false">IF($A482="","",SUMIFS(Attendance!$AY$6:$AY$2405,Attendance!$B$6:$B$2405,$A482,Attendance!$A$6:$A$2405,"&gt;="&amp;DATE(LvYear,1,1),Attendance!$A$6:$A$2405,"&lt;="&amp;DATE(LvYear,12,31)))</f>
        <v/>
      </c>
      <c r="T482" s="16" t="str">
        <f aca="false">IF($A482="","",SUMIFS(Attendance!$AX$6:$AX$2405,Attendance!$B$6:$B$2405,$A482,Attendance!$A$6:$A$2405,"&gt;="&amp;DATE(LvYear,1,1),Attendance!$A$6:$A$2405,"&lt;="&amp;DATE(LvYear,12,31)))</f>
        <v/>
      </c>
      <c r="U482" s="16" t="str">
        <f aca="false">IF($A482="","",SUMIFS(Attendance!$AW$6:$AW$2405,Attendance!$B$6:$B$2405,$A482,Attendance!$A$6:$A$2405,"&gt;="&amp;DATE(LvYear,1,1),Attendance!$A$6:$A$2405,"&lt;="&amp;DATE(LvYear,12,31)))</f>
        <v/>
      </c>
      <c r="V482" s="16" t="str">
        <f aca="false">IF($A482="","",L482-R482)</f>
        <v/>
      </c>
      <c r="W482" s="16" t="str">
        <f aca="false">IF($A482="","",M482-S482)</f>
        <v/>
      </c>
      <c r="X482" s="16" t="str">
        <f aca="false">IF($A482="","",P482-T482)</f>
        <v/>
      </c>
      <c r="Y482" s="16" t="str">
        <f aca="false">IF($A482="","",Q482-U482)</f>
        <v/>
      </c>
      <c r="Z482" s="16" t="str">
        <f aca="false">IF($A482="","",V482+W482+X482)</f>
        <v/>
      </c>
      <c r="AA482" s="16" t="str">
        <f aca="false">IF($A482="","",O482+N(N482)-T482)</f>
        <v/>
      </c>
      <c r="AB482" s="8" t="str">
        <f aca="false">IF($A482="","","CL "&amp;V482&amp;" | SL "&amp;W482&amp;" | PL "&amp;X482&amp;" | TR "&amp;Y482)</f>
        <v/>
      </c>
      <c r="AC482" s="15" t="str">
        <f aca="false">IF($A482="","",IF(F482="Exited","EXITED",IF(AND(ISNUMBER(K482),K482=0),"NOT ELIGIBLE",IF(MIN(V482:X482)&lt;0,"OVER-USED",IF(Z482&lt;=Settings!$C$15,"LOW","OK")))))</f>
        <v/>
      </c>
      <c r="AD482" s="16" t="str">
        <f aca="false">IF(OR(AC482="OVER-USED",AC482="LOW"),COUNTIF(AC$6:AC482,"OVER-USED")+COUNTIF(AC$6:AC482,"LOW"),"")</f>
        <v/>
      </c>
    </row>
    <row r="483" customFormat="false" ht="15" hidden="false" customHeight="false" outlineLevel="0" collapsed="false">
      <c r="A483" s="8" t="str">
        <f aca="false">IF('Employee List'!B483="","",'Employee List'!B483)</f>
        <v/>
      </c>
      <c r="B483" s="8" t="str">
        <f aca="false">IF($A483="","",'Employee List'!C483)</f>
        <v/>
      </c>
      <c r="C483" s="8" t="str">
        <f aca="false">IF($A483="","",'Employee List'!E483&amp;"")</f>
        <v/>
      </c>
      <c r="D483" s="8" t="str">
        <f aca="false">IF($A483="","",'Employee List'!F483&amp;"")</f>
        <v/>
      </c>
      <c r="E483" s="8" t="str">
        <f aca="false">IF($A483="","",'Employee List'!G483&amp;"")</f>
        <v/>
      </c>
      <c r="F483" s="8" t="str">
        <f aca="false">IF($A483="","",'Employee List'!D483)</f>
        <v/>
      </c>
      <c r="G483" s="38" t="str">
        <f aca="false">IF($A483="","",IF('Employee List'!I483="","",'Employee List'!I483))</f>
        <v/>
      </c>
      <c r="H483" s="38" t="str">
        <f aca="false">IF(OR($A483="",G483=""),"",G483+Settings!$C$13)</f>
        <v/>
      </c>
      <c r="I483" s="38" t="str">
        <f aca="false">IF(H483="","",MAX(H483,DATE(LvYear,1,1)))</f>
        <v/>
      </c>
      <c r="J483" s="38" t="str">
        <f aca="false">IF($A483="","",IF('Employee List'!J483="",DATE(LvYear,12,31),MIN('Employee List'!J483,DATE(LvYear,12,31))))</f>
        <v/>
      </c>
      <c r="K483" s="39" t="str">
        <f aca="false">IF(OR(I483="",J483=""),"",MAX(0,J483-I483+1))</f>
        <v/>
      </c>
      <c r="L483" s="16" t="str">
        <f aca="false">IF($A483="","",IF(AND(ISNUMBER(K483),K483=0),0,Settings!$C$10))</f>
        <v/>
      </c>
      <c r="M483" s="16" t="str">
        <f aca="false">IF($A483="","",IF(AND(ISNUMBER(K483),K483=0),0,Settings!$C$11))</f>
        <v/>
      </c>
      <c r="N483" s="40"/>
      <c r="O483" s="16" t="str">
        <f aca="false">IF($A483="","",FLOOR(Settings!$C$12/365*N(K483),0.5))</f>
        <v/>
      </c>
      <c r="P483" s="16" t="str">
        <f aca="false">IF($A483="","",IF(I483="",N(N483),FLOOR(Settings!$C$12/365*MAX(0,MIN(LvAsOf,J483)-I483+1)+N(N483),0.5)))</f>
        <v/>
      </c>
      <c r="Q483" s="16" t="str">
        <f aca="false">IF($A483="","",Settings!$C$14)</f>
        <v/>
      </c>
      <c r="R483" s="16" t="str">
        <f aca="false">IF($A483="","",SUMIFS(Attendance!$AZ$6:$AZ$2405,Attendance!$B$6:$B$2405,$A483,Attendance!$A$6:$A$2405,"&gt;="&amp;DATE(LvYear,1,1),Attendance!$A$6:$A$2405,"&lt;="&amp;DATE(LvYear,12,31)))</f>
        <v/>
      </c>
      <c r="S483" s="16" t="str">
        <f aca="false">IF($A483="","",SUMIFS(Attendance!$AY$6:$AY$2405,Attendance!$B$6:$B$2405,$A483,Attendance!$A$6:$A$2405,"&gt;="&amp;DATE(LvYear,1,1),Attendance!$A$6:$A$2405,"&lt;="&amp;DATE(LvYear,12,31)))</f>
        <v/>
      </c>
      <c r="T483" s="16" t="str">
        <f aca="false">IF($A483="","",SUMIFS(Attendance!$AX$6:$AX$2405,Attendance!$B$6:$B$2405,$A483,Attendance!$A$6:$A$2405,"&gt;="&amp;DATE(LvYear,1,1),Attendance!$A$6:$A$2405,"&lt;="&amp;DATE(LvYear,12,31)))</f>
        <v/>
      </c>
      <c r="U483" s="16" t="str">
        <f aca="false">IF($A483="","",SUMIFS(Attendance!$AW$6:$AW$2405,Attendance!$B$6:$B$2405,$A483,Attendance!$A$6:$A$2405,"&gt;="&amp;DATE(LvYear,1,1),Attendance!$A$6:$A$2405,"&lt;="&amp;DATE(LvYear,12,31)))</f>
        <v/>
      </c>
      <c r="V483" s="16" t="str">
        <f aca="false">IF($A483="","",L483-R483)</f>
        <v/>
      </c>
      <c r="W483" s="16" t="str">
        <f aca="false">IF($A483="","",M483-S483)</f>
        <v/>
      </c>
      <c r="X483" s="16" t="str">
        <f aca="false">IF($A483="","",P483-T483)</f>
        <v/>
      </c>
      <c r="Y483" s="16" t="str">
        <f aca="false">IF($A483="","",Q483-U483)</f>
        <v/>
      </c>
      <c r="Z483" s="16" t="str">
        <f aca="false">IF($A483="","",V483+W483+X483)</f>
        <v/>
      </c>
      <c r="AA483" s="16" t="str">
        <f aca="false">IF($A483="","",O483+N(N483)-T483)</f>
        <v/>
      </c>
      <c r="AB483" s="8" t="str">
        <f aca="false">IF($A483="","","CL "&amp;V483&amp;" | SL "&amp;W483&amp;" | PL "&amp;X483&amp;" | TR "&amp;Y483)</f>
        <v/>
      </c>
      <c r="AC483" s="15" t="str">
        <f aca="false">IF($A483="","",IF(F483="Exited","EXITED",IF(AND(ISNUMBER(K483),K483=0),"NOT ELIGIBLE",IF(MIN(V483:X483)&lt;0,"OVER-USED",IF(Z483&lt;=Settings!$C$15,"LOW","OK")))))</f>
        <v/>
      </c>
      <c r="AD483" s="16" t="str">
        <f aca="false">IF(OR(AC483="OVER-USED",AC483="LOW"),COUNTIF(AC$6:AC483,"OVER-USED")+COUNTIF(AC$6:AC483,"LOW"),"")</f>
        <v/>
      </c>
    </row>
    <row r="484" customFormat="false" ht="15" hidden="false" customHeight="false" outlineLevel="0" collapsed="false">
      <c r="A484" s="8" t="str">
        <f aca="false">IF('Employee List'!B484="","",'Employee List'!B484)</f>
        <v/>
      </c>
      <c r="B484" s="8" t="str">
        <f aca="false">IF($A484="","",'Employee List'!C484)</f>
        <v/>
      </c>
      <c r="C484" s="8" t="str">
        <f aca="false">IF($A484="","",'Employee List'!E484&amp;"")</f>
        <v/>
      </c>
      <c r="D484" s="8" t="str">
        <f aca="false">IF($A484="","",'Employee List'!F484&amp;"")</f>
        <v/>
      </c>
      <c r="E484" s="8" t="str">
        <f aca="false">IF($A484="","",'Employee List'!G484&amp;"")</f>
        <v/>
      </c>
      <c r="F484" s="8" t="str">
        <f aca="false">IF($A484="","",'Employee List'!D484)</f>
        <v/>
      </c>
      <c r="G484" s="38" t="str">
        <f aca="false">IF($A484="","",IF('Employee List'!I484="","",'Employee List'!I484))</f>
        <v/>
      </c>
      <c r="H484" s="38" t="str">
        <f aca="false">IF(OR($A484="",G484=""),"",G484+Settings!$C$13)</f>
        <v/>
      </c>
      <c r="I484" s="38" t="str">
        <f aca="false">IF(H484="","",MAX(H484,DATE(LvYear,1,1)))</f>
        <v/>
      </c>
      <c r="J484" s="38" t="str">
        <f aca="false">IF($A484="","",IF('Employee List'!J484="",DATE(LvYear,12,31),MIN('Employee List'!J484,DATE(LvYear,12,31))))</f>
        <v/>
      </c>
      <c r="K484" s="39" t="str">
        <f aca="false">IF(OR(I484="",J484=""),"",MAX(0,J484-I484+1))</f>
        <v/>
      </c>
      <c r="L484" s="16" t="str">
        <f aca="false">IF($A484="","",IF(AND(ISNUMBER(K484),K484=0),0,Settings!$C$10))</f>
        <v/>
      </c>
      <c r="M484" s="16" t="str">
        <f aca="false">IF($A484="","",IF(AND(ISNUMBER(K484),K484=0),0,Settings!$C$11))</f>
        <v/>
      </c>
      <c r="N484" s="40"/>
      <c r="O484" s="16" t="str">
        <f aca="false">IF($A484="","",FLOOR(Settings!$C$12/365*N(K484),0.5))</f>
        <v/>
      </c>
      <c r="P484" s="16" t="str">
        <f aca="false">IF($A484="","",IF(I484="",N(N484),FLOOR(Settings!$C$12/365*MAX(0,MIN(LvAsOf,J484)-I484+1)+N(N484),0.5)))</f>
        <v/>
      </c>
      <c r="Q484" s="16" t="str">
        <f aca="false">IF($A484="","",Settings!$C$14)</f>
        <v/>
      </c>
      <c r="R484" s="16" t="str">
        <f aca="false">IF($A484="","",SUMIFS(Attendance!$AZ$6:$AZ$2405,Attendance!$B$6:$B$2405,$A484,Attendance!$A$6:$A$2405,"&gt;="&amp;DATE(LvYear,1,1),Attendance!$A$6:$A$2405,"&lt;="&amp;DATE(LvYear,12,31)))</f>
        <v/>
      </c>
      <c r="S484" s="16" t="str">
        <f aca="false">IF($A484="","",SUMIFS(Attendance!$AY$6:$AY$2405,Attendance!$B$6:$B$2405,$A484,Attendance!$A$6:$A$2405,"&gt;="&amp;DATE(LvYear,1,1),Attendance!$A$6:$A$2405,"&lt;="&amp;DATE(LvYear,12,31)))</f>
        <v/>
      </c>
      <c r="T484" s="16" t="str">
        <f aca="false">IF($A484="","",SUMIFS(Attendance!$AX$6:$AX$2405,Attendance!$B$6:$B$2405,$A484,Attendance!$A$6:$A$2405,"&gt;="&amp;DATE(LvYear,1,1),Attendance!$A$6:$A$2405,"&lt;="&amp;DATE(LvYear,12,31)))</f>
        <v/>
      </c>
      <c r="U484" s="16" t="str">
        <f aca="false">IF($A484="","",SUMIFS(Attendance!$AW$6:$AW$2405,Attendance!$B$6:$B$2405,$A484,Attendance!$A$6:$A$2405,"&gt;="&amp;DATE(LvYear,1,1),Attendance!$A$6:$A$2405,"&lt;="&amp;DATE(LvYear,12,31)))</f>
        <v/>
      </c>
      <c r="V484" s="16" t="str">
        <f aca="false">IF($A484="","",L484-R484)</f>
        <v/>
      </c>
      <c r="W484" s="16" t="str">
        <f aca="false">IF($A484="","",M484-S484)</f>
        <v/>
      </c>
      <c r="X484" s="16" t="str">
        <f aca="false">IF($A484="","",P484-T484)</f>
        <v/>
      </c>
      <c r="Y484" s="16" t="str">
        <f aca="false">IF($A484="","",Q484-U484)</f>
        <v/>
      </c>
      <c r="Z484" s="16" t="str">
        <f aca="false">IF($A484="","",V484+W484+X484)</f>
        <v/>
      </c>
      <c r="AA484" s="16" t="str">
        <f aca="false">IF($A484="","",O484+N(N484)-T484)</f>
        <v/>
      </c>
      <c r="AB484" s="8" t="str">
        <f aca="false">IF($A484="","","CL "&amp;V484&amp;" | SL "&amp;W484&amp;" | PL "&amp;X484&amp;" | TR "&amp;Y484)</f>
        <v/>
      </c>
      <c r="AC484" s="15" t="str">
        <f aca="false">IF($A484="","",IF(F484="Exited","EXITED",IF(AND(ISNUMBER(K484),K484=0),"NOT ELIGIBLE",IF(MIN(V484:X484)&lt;0,"OVER-USED",IF(Z484&lt;=Settings!$C$15,"LOW","OK")))))</f>
        <v/>
      </c>
      <c r="AD484" s="16" t="str">
        <f aca="false">IF(OR(AC484="OVER-USED",AC484="LOW"),COUNTIF(AC$6:AC484,"OVER-USED")+COUNTIF(AC$6:AC484,"LOW"),"")</f>
        <v/>
      </c>
    </row>
    <row r="485" customFormat="false" ht="15" hidden="false" customHeight="false" outlineLevel="0" collapsed="false">
      <c r="A485" s="8" t="str">
        <f aca="false">IF('Employee List'!B485="","",'Employee List'!B485)</f>
        <v/>
      </c>
      <c r="B485" s="8" t="str">
        <f aca="false">IF($A485="","",'Employee List'!C485)</f>
        <v/>
      </c>
      <c r="C485" s="8" t="str">
        <f aca="false">IF($A485="","",'Employee List'!E485&amp;"")</f>
        <v/>
      </c>
      <c r="D485" s="8" t="str">
        <f aca="false">IF($A485="","",'Employee List'!F485&amp;"")</f>
        <v/>
      </c>
      <c r="E485" s="8" t="str">
        <f aca="false">IF($A485="","",'Employee List'!G485&amp;"")</f>
        <v/>
      </c>
      <c r="F485" s="8" t="str">
        <f aca="false">IF($A485="","",'Employee List'!D485)</f>
        <v/>
      </c>
      <c r="G485" s="38" t="str">
        <f aca="false">IF($A485="","",IF('Employee List'!I485="","",'Employee List'!I485))</f>
        <v/>
      </c>
      <c r="H485" s="38" t="str">
        <f aca="false">IF(OR($A485="",G485=""),"",G485+Settings!$C$13)</f>
        <v/>
      </c>
      <c r="I485" s="38" t="str">
        <f aca="false">IF(H485="","",MAX(H485,DATE(LvYear,1,1)))</f>
        <v/>
      </c>
      <c r="J485" s="38" t="str">
        <f aca="false">IF($A485="","",IF('Employee List'!J485="",DATE(LvYear,12,31),MIN('Employee List'!J485,DATE(LvYear,12,31))))</f>
        <v/>
      </c>
      <c r="K485" s="39" t="str">
        <f aca="false">IF(OR(I485="",J485=""),"",MAX(0,J485-I485+1))</f>
        <v/>
      </c>
      <c r="L485" s="16" t="str">
        <f aca="false">IF($A485="","",IF(AND(ISNUMBER(K485),K485=0),0,Settings!$C$10))</f>
        <v/>
      </c>
      <c r="M485" s="16" t="str">
        <f aca="false">IF($A485="","",IF(AND(ISNUMBER(K485),K485=0),0,Settings!$C$11))</f>
        <v/>
      </c>
      <c r="N485" s="40"/>
      <c r="O485" s="16" t="str">
        <f aca="false">IF($A485="","",FLOOR(Settings!$C$12/365*N(K485),0.5))</f>
        <v/>
      </c>
      <c r="P485" s="16" t="str">
        <f aca="false">IF($A485="","",IF(I485="",N(N485),FLOOR(Settings!$C$12/365*MAX(0,MIN(LvAsOf,J485)-I485+1)+N(N485),0.5)))</f>
        <v/>
      </c>
      <c r="Q485" s="16" t="str">
        <f aca="false">IF($A485="","",Settings!$C$14)</f>
        <v/>
      </c>
      <c r="R485" s="16" t="str">
        <f aca="false">IF($A485="","",SUMIFS(Attendance!$AZ$6:$AZ$2405,Attendance!$B$6:$B$2405,$A485,Attendance!$A$6:$A$2405,"&gt;="&amp;DATE(LvYear,1,1),Attendance!$A$6:$A$2405,"&lt;="&amp;DATE(LvYear,12,31)))</f>
        <v/>
      </c>
      <c r="S485" s="16" t="str">
        <f aca="false">IF($A485="","",SUMIFS(Attendance!$AY$6:$AY$2405,Attendance!$B$6:$B$2405,$A485,Attendance!$A$6:$A$2405,"&gt;="&amp;DATE(LvYear,1,1),Attendance!$A$6:$A$2405,"&lt;="&amp;DATE(LvYear,12,31)))</f>
        <v/>
      </c>
      <c r="T485" s="16" t="str">
        <f aca="false">IF($A485="","",SUMIFS(Attendance!$AX$6:$AX$2405,Attendance!$B$6:$B$2405,$A485,Attendance!$A$6:$A$2405,"&gt;="&amp;DATE(LvYear,1,1),Attendance!$A$6:$A$2405,"&lt;="&amp;DATE(LvYear,12,31)))</f>
        <v/>
      </c>
      <c r="U485" s="16" t="str">
        <f aca="false">IF($A485="","",SUMIFS(Attendance!$AW$6:$AW$2405,Attendance!$B$6:$B$2405,$A485,Attendance!$A$6:$A$2405,"&gt;="&amp;DATE(LvYear,1,1),Attendance!$A$6:$A$2405,"&lt;="&amp;DATE(LvYear,12,31)))</f>
        <v/>
      </c>
      <c r="V485" s="16" t="str">
        <f aca="false">IF($A485="","",L485-R485)</f>
        <v/>
      </c>
      <c r="W485" s="16" t="str">
        <f aca="false">IF($A485="","",M485-S485)</f>
        <v/>
      </c>
      <c r="X485" s="16" t="str">
        <f aca="false">IF($A485="","",P485-T485)</f>
        <v/>
      </c>
      <c r="Y485" s="16" t="str">
        <f aca="false">IF($A485="","",Q485-U485)</f>
        <v/>
      </c>
      <c r="Z485" s="16" t="str">
        <f aca="false">IF($A485="","",V485+W485+X485)</f>
        <v/>
      </c>
      <c r="AA485" s="16" t="str">
        <f aca="false">IF($A485="","",O485+N(N485)-T485)</f>
        <v/>
      </c>
      <c r="AB485" s="8" t="str">
        <f aca="false">IF($A485="","","CL "&amp;V485&amp;" | SL "&amp;W485&amp;" | PL "&amp;X485&amp;" | TR "&amp;Y485)</f>
        <v/>
      </c>
      <c r="AC485" s="15" t="str">
        <f aca="false">IF($A485="","",IF(F485="Exited","EXITED",IF(AND(ISNUMBER(K485),K485=0),"NOT ELIGIBLE",IF(MIN(V485:X485)&lt;0,"OVER-USED",IF(Z485&lt;=Settings!$C$15,"LOW","OK")))))</f>
        <v/>
      </c>
      <c r="AD485" s="16" t="str">
        <f aca="false">IF(OR(AC485="OVER-USED",AC485="LOW"),COUNTIF(AC$6:AC485,"OVER-USED")+COUNTIF(AC$6:AC485,"LOW"),"")</f>
        <v/>
      </c>
    </row>
    <row r="486" customFormat="false" ht="15" hidden="false" customHeight="false" outlineLevel="0" collapsed="false">
      <c r="A486" s="8" t="str">
        <f aca="false">IF('Employee List'!B486="","",'Employee List'!B486)</f>
        <v/>
      </c>
      <c r="B486" s="8" t="str">
        <f aca="false">IF($A486="","",'Employee List'!C486)</f>
        <v/>
      </c>
      <c r="C486" s="8" t="str">
        <f aca="false">IF($A486="","",'Employee List'!E486&amp;"")</f>
        <v/>
      </c>
      <c r="D486" s="8" t="str">
        <f aca="false">IF($A486="","",'Employee List'!F486&amp;"")</f>
        <v/>
      </c>
      <c r="E486" s="8" t="str">
        <f aca="false">IF($A486="","",'Employee List'!G486&amp;"")</f>
        <v/>
      </c>
      <c r="F486" s="8" t="str">
        <f aca="false">IF($A486="","",'Employee List'!D486)</f>
        <v/>
      </c>
      <c r="G486" s="38" t="str">
        <f aca="false">IF($A486="","",IF('Employee List'!I486="","",'Employee List'!I486))</f>
        <v/>
      </c>
      <c r="H486" s="38" t="str">
        <f aca="false">IF(OR($A486="",G486=""),"",G486+Settings!$C$13)</f>
        <v/>
      </c>
      <c r="I486" s="38" t="str">
        <f aca="false">IF(H486="","",MAX(H486,DATE(LvYear,1,1)))</f>
        <v/>
      </c>
      <c r="J486" s="38" t="str">
        <f aca="false">IF($A486="","",IF('Employee List'!J486="",DATE(LvYear,12,31),MIN('Employee List'!J486,DATE(LvYear,12,31))))</f>
        <v/>
      </c>
      <c r="K486" s="39" t="str">
        <f aca="false">IF(OR(I486="",J486=""),"",MAX(0,J486-I486+1))</f>
        <v/>
      </c>
      <c r="L486" s="16" t="str">
        <f aca="false">IF($A486="","",IF(AND(ISNUMBER(K486),K486=0),0,Settings!$C$10))</f>
        <v/>
      </c>
      <c r="M486" s="16" t="str">
        <f aca="false">IF($A486="","",IF(AND(ISNUMBER(K486),K486=0),0,Settings!$C$11))</f>
        <v/>
      </c>
      <c r="N486" s="40"/>
      <c r="O486" s="16" t="str">
        <f aca="false">IF($A486="","",FLOOR(Settings!$C$12/365*N(K486),0.5))</f>
        <v/>
      </c>
      <c r="P486" s="16" t="str">
        <f aca="false">IF($A486="","",IF(I486="",N(N486),FLOOR(Settings!$C$12/365*MAX(0,MIN(LvAsOf,J486)-I486+1)+N(N486),0.5)))</f>
        <v/>
      </c>
      <c r="Q486" s="16" t="str">
        <f aca="false">IF($A486="","",Settings!$C$14)</f>
        <v/>
      </c>
      <c r="R486" s="16" t="str">
        <f aca="false">IF($A486="","",SUMIFS(Attendance!$AZ$6:$AZ$2405,Attendance!$B$6:$B$2405,$A486,Attendance!$A$6:$A$2405,"&gt;="&amp;DATE(LvYear,1,1),Attendance!$A$6:$A$2405,"&lt;="&amp;DATE(LvYear,12,31)))</f>
        <v/>
      </c>
      <c r="S486" s="16" t="str">
        <f aca="false">IF($A486="","",SUMIFS(Attendance!$AY$6:$AY$2405,Attendance!$B$6:$B$2405,$A486,Attendance!$A$6:$A$2405,"&gt;="&amp;DATE(LvYear,1,1),Attendance!$A$6:$A$2405,"&lt;="&amp;DATE(LvYear,12,31)))</f>
        <v/>
      </c>
      <c r="T486" s="16" t="str">
        <f aca="false">IF($A486="","",SUMIFS(Attendance!$AX$6:$AX$2405,Attendance!$B$6:$B$2405,$A486,Attendance!$A$6:$A$2405,"&gt;="&amp;DATE(LvYear,1,1),Attendance!$A$6:$A$2405,"&lt;="&amp;DATE(LvYear,12,31)))</f>
        <v/>
      </c>
      <c r="U486" s="16" t="str">
        <f aca="false">IF($A486="","",SUMIFS(Attendance!$AW$6:$AW$2405,Attendance!$B$6:$B$2405,$A486,Attendance!$A$6:$A$2405,"&gt;="&amp;DATE(LvYear,1,1),Attendance!$A$6:$A$2405,"&lt;="&amp;DATE(LvYear,12,31)))</f>
        <v/>
      </c>
      <c r="V486" s="16" t="str">
        <f aca="false">IF($A486="","",L486-R486)</f>
        <v/>
      </c>
      <c r="W486" s="16" t="str">
        <f aca="false">IF($A486="","",M486-S486)</f>
        <v/>
      </c>
      <c r="X486" s="16" t="str">
        <f aca="false">IF($A486="","",P486-T486)</f>
        <v/>
      </c>
      <c r="Y486" s="16" t="str">
        <f aca="false">IF($A486="","",Q486-U486)</f>
        <v/>
      </c>
      <c r="Z486" s="16" t="str">
        <f aca="false">IF($A486="","",V486+W486+X486)</f>
        <v/>
      </c>
      <c r="AA486" s="16" t="str">
        <f aca="false">IF($A486="","",O486+N(N486)-T486)</f>
        <v/>
      </c>
      <c r="AB486" s="8" t="str">
        <f aca="false">IF($A486="","","CL "&amp;V486&amp;" | SL "&amp;W486&amp;" | PL "&amp;X486&amp;" | TR "&amp;Y486)</f>
        <v/>
      </c>
      <c r="AC486" s="15" t="str">
        <f aca="false">IF($A486="","",IF(F486="Exited","EXITED",IF(AND(ISNUMBER(K486),K486=0),"NOT ELIGIBLE",IF(MIN(V486:X486)&lt;0,"OVER-USED",IF(Z486&lt;=Settings!$C$15,"LOW","OK")))))</f>
        <v/>
      </c>
      <c r="AD486" s="16" t="str">
        <f aca="false">IF(OR(AC486="OVER-USED",AC486="LOW"),COUNTIF(AC$6:AC486,"OVER-USED")+COUNTIF(AC$6:AC486,"LOW"),"")</f>
        <v/>
      </c>
    </row>
    <row r="487" customFormat="false" ht="15" hidden="false" customHeight="false" outlineLevel="0" collapsed="false">
      <c r="A487" s="8" t="str">
        <f aca="false">IF('Employee List'!B487="","",'Employee List'!B487)</f>
        <v/>
      </c>
      <c r="B487" s="8" t="str">
        <f aca="false">IF($A487="","",'Employee List'!C487)</f>
        <v/>
      </c>
      <c r="C487" s="8" t="str">
        <f aca="false">IF($A487="","",'Employee List'!E487&amp;"")</f>
        <v/>
      </c>
      <c r="D487" s="8" t="str">
        <f aca="false">IF($A487="","",'Employee List'!F487&amp;"")</f>
        <v/>
      </c>
      <c r="E487" s="8" t="str">
        <f aca="false">IF($A487="","",'Employee List'!G487&amp;"")</f>
        <v/>
      </c>
      <c r="F487" s="8" t="str">
        <f aca="false">IF($A487="","",'Employee List'!D487)</f>
        <v/>
      </c>
      <c r="G487" s="38" t="str">
        <f aca="false">IF($A487="","",IF('Employee List'!I487="","",'Employee List'!I487))</f>
        <v/>
      </c>
      <c r="H487" s="38" t="str">
        <f aca="false">IF(OR($A487="",G487=""),"",G487+Settings!$C$13)</f>
        <v/>
      </c>
      <c r="I487" s="38" t="str">
        <f aca="false">IF(H487="","",MAX(H487,DATE(LvYear,1,1)))</f>
        <v/>
      </c>
      <c r="J487" s="38" t="str">
        <f aca="false">IF($A487="","",IF('Employee List'!J487="",DATE(LvYear,12,31),MIN('Employee List'!J487,DATE(LvYear,12,31))))</f>
        <v/>
      </c>
      <c r="K487" s="39" t="str">
        <f aca="false">IF(OR(I487="",J487=""),"",MAX(0,J487-I487+1))</f>
        <v/>
      </c>
      <c r="L487" s="16" t="str">
        <f aca="false">IF($A487="","",IF(AND(ISNUMBER(K487),K487=0),0,Settings!$C$10))</f>
        <v/>
      </c>
      <c r="M487" s="16" t="str">
        <f aca="false">IF($A487="","",IF(AND(ISNUMBER(K487),K487=0),0,Settings!$C$11))</f>
        <v/>
      </c>
      <c r="N487" s="40"/>
      <c r="O487" s="16" t="str">
        <f aca="false">IF($A487="","",FLOOR(Settings!$C$12/365*N(K487),0.5))</f>
        <v/>
      </c>
      <c r="P487" s="16" t="str">
        <f aca="false">IF($A487="","",IF(I487="",N(N487),FLOOR(Settings!$C$12/365*MAX(0,MIN(LvAsOf,J487)-I487+1)+N(N487),0.5)))</f>
        <v/>
      </c>
      <c r="Q487" s="16" t="str">
        <f aca="false">IF($A487="","",Settings!$C$14)</f>
        <v/>
      </c>
      <c r="R487" s="16" t="str">
        <f aca="false">IF($A487="","",SUMIFS(Attendance!$AZ$6:$AZ$2405,Attendance!$B$6:$B$2405,$A487,Attendance!$A$6:$A$2405,"&gt;="&amp;DATE(LvYear,1,1),Attendance!$A$6:$A$2405,"&lt;="&amp;DATE(LvYear,12,31)))</f>
        <v/>
      </c>
      <c r="S487" s="16" t="str">
        <f aca="false">IF($A487="","",SUMIFS(Attendance!$AY$6:$AY$2405,Attendance!$B$6:$B$2405,$A487,Attendance!$A$6:$A$2405,"&gt;="&amp;DATE(LvYear,1,1),Attendance!$A$6:$A$2405,"&lt;="&amp;DATE(LvYear,12,31)))</f>
        <v/>
      </c>
      <c r="T487" s="16" t="str">
        <f aca="false">IF($A487="","",SUMIFS(Attendance!$AX$6:$AX$2405,Attendance!$B$6:$B$2405,$A487,Attendance!$A$6:$A$2405,"&gt;="&amp;DATE(LvYear,1,1),Attendance!$A$6:$A$2405,"&lt;="&amp;DATE(LvYear,12,31)))</f>
        <v/>
      </c>
      <c r="U487" s="16" t="str">
        <f aca="false">IF($A487="","",SUMIFS(Attendance!$AW$6:$AW$2405,Attendance!$B$6:$B$2405,$A487,Attendance!$A$6:$A$2405,"&gt;="&amp;DATE(LvYear,1,1),Attendance!$A$6:$A$2405,"&lt;="&amp;DATE(LvYear,12,31)))</f>
        <v/>
      </c>
      <c r="V487" s="16" t="str">
        <f aca="false">IF($A487="","",L487-R487)</f>
        <v/>
      </c>
      <c r="W487" s="16" t="str">
        <f aca="false">IF($A487="","",M487-S487)</f>
        <v/>
      </c>
      <c r="X487" s="16" t="str">
        <f aca="false">IF($A487="","",P487-T487)</f>
        <v/>
      </c>
      <c r="Y487" s="16" t="str">
        <f aca="false">IF($A487="","",Q487-U487)</f>
        <v/>
      </c>
      <c r="Z487" s="16" t="str">
        <f aca="false">IF($A487="","",V487+W487+X487)</f>
        <v/>
      </c>
      <c r="AA487" s="16" t="str">
        <f aca="false">IF($A487="","",O487+N(N487)-T487)</f>
        <v/>
      </c>
      <c r="AB487" s="8" t="str">
        <f aca="false">IF($A487="","","CL "&amp;V487&amp;" | SL "&amp;W487&amp;" | PL "&amp;X487&amp;" | TR "&amp;Y487)</f>
        <v/>
      </c>
      <c r="AC487" s="15" t="str">
        <f aca="false">IF($A487="","",IF(F487="Exited","EXITED",IF(AND(ISNUMBER(K487),K487=0),"NOT ELIGIBLE",IF(MIN(V487:X487)&lt;0,"OVER-USED",IF(Z487&lt;=Settings!$C$15,"LOW","OK")))))</f>
        <v/>
      </c>
      <c r="AD487" s="16" t="str">
        <f aca="false">IF(OR(AC487="OVER-USED",AC487="LOW"),COUNTIF(AC$6:AC487,"OVER-USED")+COUNTIF(AC$6:AC487,"LOW"),"")</f>
        <v/>
      </c>
    </row>
    <row r="488" customFormat="false" ht="15" hidden="false" customHeight="false" outlineLevel="0" collapsed="false">
      <c r="A488" s="8" t="str">
        <f aca="false">IF('Employee List'!B488="","",'Employee List'!B488)</f>
        <v/>
      </c>
      <c r="B488" s="8" t="str">
        <f aca="false">IF($A488="","",'Employee List'!C488)</f>
        <v/>
      </c>
      <c r="C488" s="8" t="str">
        <f aca="false">IF($A488="","",'Employee List'!E488&amp;"")</f>
        <v/>
      </c>
      <c r="D488" s="8" t="str">
        <f aca="false">IF($A488="","",'Employee List'!F488&amp;"")</f>
        <v/>
      </c>
      <c r="E488" s="8" t="str">
        <f aca="false">IF($A488="","",'Employee List'!G488&amp;"")</f>
        <v/>
      </c>
      <c r="F488" s="8" t="str">
        <f aca="false">IF($A488="","",'Employee List'!D488)</f>
        <v/>
      </c>
      <c r="G488" s="38" t="str">
        <f aca="false">IF($A488="","",IF('Employee List'!I488="","",'Employee List'!I488))</f>
        <v/>
      </c>
      <c r="H488" s="38" t="str">
        <f aca="false">IF(OR($A488="",G488=""),"",G488+Settings!$C$13)</f>
        <v/>
      </c>
      <c r="I488" s="38" t="str">
        <f aca="false">IF(H488="","",MAX(H488,DATE(LvYear,1,1)))</f>
        <v/>
      </c>
      <c r="J488" s="38" t="str">
        <f aca="false">IF($A488="","",IF('Employee List'!J488="",DATE(LvYear,12,31),MIN('Employee List'!J488,DATE(LvYear,12,31))))</f>
        <v/>
      </c>
      <c r="K488" s="39" t="str">
        <f aca="false">IF(OR(I488="",J488=""),"",MAX(0,J488-I488+1))</f>
        <v/>
      </c>
      <c r="L488" s="16" t="str">
        <f aca="false">IF($A488="","",IF(AND(ISNUMBER(K488),K488=0),0,Settings!$C$10))</f>
        <v/>
      </c>
      <c r="M488" s="16" t="str">
        <f aca="false">IF($A488="","",IF(AND(ISNUMBER(K488),K488=0),0,Settings!$C$11))</f>
        <v/>
      </c>
      <c r="N488" s="40"/>
      <c r="O488" s="16" t="str">
        <f aca="false">IF($A488="","",FLOOR(Settings!$C$12/365*N(K488),0.5))</f>
        <v/>
      </c>
      <c r="P488" s="16" t="str">
        <f aca="false">IF($A488="","",IF(I488="",N(N488),FLOOR(Settings!$C$12/365*MAX(0,MIN(LvAsOf,J488)-I488+1)+N(N488),0.5)))</f>
        <v/>
      </c>
      <c r="Q488" s="16" t="str">
        <f aca="false">IF($A488="","",Settings!$C$14)</f>
        <v/>
      </c>
      <c r="R488" s="16" t="str">
        <f aca="false">IF($A488="","",SUMIFS(Attendance!$AZ$6:$AZ$2405,Attendance!$B$6:$B$2405,$A488,Attendance!$A$6:$A$2405,"&gt;="&amp;DATE(LvYear,1,1),Attendance!$A$6:$A$2405,"&lt;="&amp;DATE(LvYear,12,31)))</f>
        <v/>
      </c>
      <c r="S488" s="16" t="str">
        <f aca="false">IF($A488="","",SUMIFS(Attendance!$AY$6:$AY$2405,Attendance!$B$6:$B$2405,$A488,Attendance!$A$6:$A$2405,"&gt;="&amp;DATE(LvYear,1,1),Attendance!$A$6:$A$2405,"&lt;="&amp;DATE(LvYear,12,31)))</f>
        <v/>
      </c>
      <c r="T488" s="16" t="str">
        <f aca="false">IF($A488="","",SUMIFS(Attendance!$AX$6:$AX$2405,Attendance!$B$6:$B$2405,$A488,Attendance!$A$6:$A$2405,"&gt;="&amp;DATE(LvYear,1,1),Attendance!$A$6:$A$2405,"&lt;="&amp;DATE(LvYear,12,31)))</f>
        <v/>
      </c>
      <c r="U488" s="16" t="str">
        <f aca="false">IF($A488="","",SUMIFS(Attendance!$AW$6:$AW$2405,Attendance!$B$6:$B$2405,$A488,Attendance!$A$6:$A$2405,"&gt;="&amp;DATE(LvYear,1,1),Attendance!$A$6:$A$2405,"&lt;="&amp;DATE(LvYear,12,31)))</f>
        <v/>
      </c>
      <c r="V488" s="16" t="str">
        <f aca="false">IF($A488="","",L488-R488)</f>
        <v/>
      </c>
      <c r="W488" s="16" t="str">
        <f aca="false">IF($A488="","",M488-S488)</f>
        <v/>
      </c>
      <c r="X488" s="16" t="str">
        <f aca="false">IF($A488="","",P488-T488)</f>
        <v/>
      </c>
      <c r="Y488" s="16" t="str">
        <f aca="false">IF($A488="","",Q488-U488)</f>
        <v/>
      </c>
      <c r="Z488" s="16" t="str">
        <f aca="false">IF($A488="","",V488+W488+X488)</f>
        <v/>
      </c>
      <c r="AA488" s="16" t="str">
        <f aca="false">IF($A488="","",O488+N(N488)-T488)</f>
        <v/>
      </c>
      <c r="AB488" s="8" t="str">
        <f aca="false">IF($A488="","","CL "&amp;V488&amp;" | SL "&amp;W488&amp;" | PL "&amp;X488&amp;" | TR "&amp;Y488)</f>
        <v/>
      </c>
      <c r="AC488" s="15" t="str">
        <f aca="false">IF($A488="","",IF(F488="Exited","EXITED",IF(AND(ISNUMBER(K488),K488=0),"NOT ELIGIBLE",IF(MIN(V488:X488)&lt;0,"OVER-USED",IF(Z488&lt;=Settings!$C$15,"LOW","OK")))))</f>
        <v/>
      </c>
      <c r="AD488" s="16" t="str">
        <f aca="false">IF(OR(AC488="OVER-USED",AC488="LOW"),COUNTIF(AC$6:AC488,"OVER-USED")+COUNTIF(AC$6:AC488,"LOW"),"")</f>
        <v/>
      </c>
    </row>
    <row r="489" customFormat="false" ht="15" hidden="false" customHeight="false" outlineLevel="0" collapsed="false">
      <c r="A489" s="8" t="str">
        <f aca="false">IF('Employee List'!B489="","",'Employee List'!B489)</f>
        <v/>
      </c>
      <c r="B489" s="8" t="str">
        <f aca="false">IF($A489="","",'Employee List'!C489)</f>
        <v/>
      </c>
      <c r="C489" s="8" t="str">
        <f aca="false">IF($A489="","",'Employee List'!E489&amp;"")</f>
        <v/>
      </c>
      <c r="D489" s="8" t="str">
        <f aca="false">IF($A489="","",'Employee List'!F489&amp;"")</f>
        <v/>
      </c>
      <c r="E489" s="8" t="str">
        <f aca="false">IF($A489="","",'Employee List'!G489&amp;"")</f>
        <v/>
      </c>
      <c r="F489" s="8" t="str">
        <f aca="false">IF($A489="","",'Employee List'!D489)</f>
        <v/>
      </c>
      <c r="G489" s="38" t="str">
        <f aca="false">IF($A489="","",IF('Employee List'!I489="","",'Employee List'!I489))</f>
        <v/>
      </c>
      <c r="H489" s="38" t="str">
        <f aca="false">IF(OR($A489="",G489=""),"",G489+Settings!$C$13)</f>
        <v/>
      </c>
      <c r="I489" s="38" t="str">
        <f aca="false">IF(H489="","",MAX(H489,DATE(LvYear,1,1)))</f>
        <v/>
      </c>
      <c r="J489" s="38" t="str">
        <f aca="false">IF($A489="","",IF('Employee List'!J489="",DATE(LvYear,12,31),MIN('Employee List'!J489,DATE(LvYear,12,31))))</f>
        <v/>
      </c>
      <c r="K489" s="39" t="str">
        <f aca="false">IF(OR(I489="",J489=""),"",MAX(0,J489-I489+1))</f>
        <v/>
      </c>
      <c r="L489" s="16" t="str">
        <f aca="false">IF($A489="","",IF(AND(ISNUMBER(K489),K489=0),0,Settings!$C$10))</f>
        <v/>
      </c>
      <c r="M489" s="16" t="str">
        <f aca="false">IF($A489="","",IF(AND(ISNUMBER(K489),K489=0),0,Settings!$C$11))</f>
        <v/>
      </c>
      <c r="N489" s="40"/>
      <c r="O489" s="16" t="str">
        <f aca="false">IF($A489="","",FLOOR(Settings!$C$12/365*N(K489),0.5))</f>
        <v/>
      </c>
      <c r="P489" s="16" t="str">
        <f aca="false">IF($A489="","",IF(I489="",N(N489),FLOOR(Settings!$C$12/365*MAX(0,MIN(LvAsOf,J489)-I489+1)+N(N489),0.5)))</f>
        <v/>
      </c>
      <c r="Q489" s="16" t="str">
        <f aca="false">IF($A489="","",Settings!$C$14)</f>
        <v/>
      </c>
      <c r="R489" s="16" t="str">
        <f aca="false">IF($A489="","",SUMIFS(Attendance!$AZ$6:$AZ$2405,Attendance!$B$6:$B$2405,$A489,Attendance!$A$6:$A$2405,"&gt;="&amp;DATE(LvYear,1,1),Attendance!$A$6:$A$2405,"&lt;="&amp;DATE(LvYear,12,31)))</f>
        <v/>
      </c>
      <c r="S489" s="16" t="str">
        <f aca="false">IF($A489="","",SUMIFS(Attendance!$AY$6:$AY$2405,Attendance!$B$6:$B$2405,$A489,Attendance!$A$6:$A$2405,"&gt;="&amp;DATE(LvYear,1,1),Attendance!$A$6:$A$2405,"&lt;="&amp;DATE(LvYear,12,31)))</f>
        <v/>
      </c>
      <c r="T489" s="16" t="str">
        <f aca="false">IF($A489="","",SUMIFS(Attendance!$AX$6:$AX$2405,Attendance!$B$6:$B$2405,$A489,Attendance!$A$6:$A$2405,"&gt;="&amp;DATE(LvYear,1,1),Attendance!$A$6:$A$2405,"&lt;="&amp;DATE(LvYear,12,31)))</f>
        <v/>
      </c>
      <c r="U489" s="16" t="str">
        <f aca="false">IF($A489="","",SUMIFS(Attendance!$AW$6:$AW$2405,Attendance!$B$6:$B$2405,$A489,Attendance!$A$6:$A$2405,"&gt;="&amp;DATE(LvYear,1,1),Attendance!$A$6:$A$2405,"&lt;="&amp;DATE(LvYear,12,31)))</f>
        <v/>
      </c>
      <c r="V489" s="16" t="str">
        <f aca="false">IF($A489="","",L489-R489)</f>
        <v/>
      </c>
      <c r="W489" s="16" t="str">
        <f aca="false">IF($A489="","",M489-S489)</f>
        <v/>
      </c>
      <c r="X489" s="16" t="str">
        <f aca="false">IF($A489="","",P489-T489)</f>
        <v/>
      </c>
      <c r="Y489" s="16" t="str">
        <f aca="false">IF($A489="","",Q489-U489)</f>
        <v/>
      </c>
      <c r="Z489" s="16" t="str">
        <f aca="false">IF($A489="","",V489+W489+X489)</f>
        <v/>
      </c>
      <c r="AA489" s="16" t="str">
        <f aca="false">IF($A489="","",O489+N(N489)-T489)</f>
        <v/>
      </c>
      <c r="AB489" s="8" t="str">
        <f aca="false">IF($A489="","","CL "&amp;V489&amp;" | SL "&amp;W489&amp;" | PL "&amp;X489&amp;" | TR "&amp;Y489)</f>
        <v/>
      </c>
      <c r="AC489" s="15" t="str">
        <f aca="false">IF($A489="","",IF(F489="Exited","EXITED",IF(AND(ISNUMBER(K489),K489=0),"NOT ELIGIBLE",IF(MIN(V489:X489)&lt;0,"OVER-USED",IF(Z489&lt;=Settings!$C$15,"LOW","OK")))))</f>
        <v/>
      </c>
      <c r="AD489" s="16" t="str">
        <f aca="false">IF(OR(AC489="OVER-USED",AC489="LOW"),COUNTIF(AC$6:AC489,"OVER-USED")+COUNTIF(AC$6:AC489,"LOW"),"")</f>
        <v/>
      </c>
    </row>
    <row r="490" customFormat="false" ht="15" hidden="false" customHeight="false" outlineLevel="0" collapsed="false">
      <c r="A490" s="8" t="str">
        <f aca="false">IF('Employee List'!B490="","",'Employee List'!B490)</f>
        <v/>
      </c>
      <c r="B490" s="8" t="str">
        <f aca="false">IF($A490="","",'Employee List'!C490)</f>
        <v/>
      </c>
      <c r="C490" s="8" t="str">
        <f aca="false">IF($A490="","",'Employee List'!E490&amp;"")</f>
        <v/>
      </c>
      <c r="D490" s="8" t="str">
        <f aca="false">IF($A490="","",'Employee List'!F490&amp;"")</f>
        <v/>
      </c>
      <c r="E490" s="8" t="str">
        <f aca="false">IF($A490="","",'Employee List'!G490&amp;"")</f>
        <v/>
      </c>
      <c r="F490" s="8" t="str">
        <f aca="false">IF($A490="","",'Employee List'!D490)</f>
        <v/>
      </c>
      <c r="G490" s="38" t="str">
        <f aca="false">IF($A490="","",IF('Employee List'!I490="","",'Employee List'!I490))</f>
        <v/>
      </c>
      <c r="H490" s="38" t="str">
        <f aca="false">IF(OR($A490="",G490=""),"",G490+Settings!$C$13)</f>
        <v/>
      </c>
      <c r="I490" s="38" t="str">
        <f aca="false">IF(H490="","",MAX(H490,DATE(LvYear,1,1)))</f>
        <v/>
      </c>
      <c r="J490" s="38" t="str">
        <f aca="false">IF($A490="","",IF('Employee List'!J490="",DATE(LvYear,12,31),MIN('Employee List'!J490,DATE(LvYear,12,31))))</f>
        <v/>
      </c>
      <c r="K490" s="39" t="str">
        <f aca="false">IF(OR(I490="",J490=""),"",MAX(0,J490-I490+1))</f>
        <v/>
      </c>
      <c r="L490" s="16" t="str">
        <f aca="false">IF($A490="","",IF(AND(ISNUMBER(K490),K490=0),0,Settings!$C$10))</f>
        <v/>
      </c>
      <c r="M490" s="16" t="str">
        <f aca="false">IF($A490="","",IF(AND(ISNUMBER(K490),K490=0),0,Settings!$C$11))</f>
        <v/>
      </c>
      <c r="N490" s="40"/>
      <c r="O490" s="16" t="str">
        <f aca="false">IF($A490="","",FLOOR(Settings!$C$12/365*N(K490),0.5))</f>
        <v/>
      </c>
      <c r="P490" s="16" t="str">
        <f aca="false">IF($A490="","",IF(I490="",N(N490),FLOOR(Settings!$C$12/365*MAX(0,MIN(LvAsOf,J490)-I490+1)+N(N490),0.5)))</f>
        <v/>
      </c>
      <c r="Q490" s="16" t="str">
        <f aca="false">IF($A490="","",Settings!$C$14)</f>
        <v/>
      </c>
      <c r="R490" s="16" t="str">
        <f aca="false">IF($A490="","",SUMIFS(Attendance!$AZ$6:$AZ$2405,Attendance!$B$6:$B$2405,$A490,Attendance!$A$6:$A$2405,"&gt;="&amp;DATE(LvYear,1,1),Attendance!$A$6:$A$2405,"&lt;="&amp;DATE(LvYear,12,31)))</f>
        <v/>
      </c>
      <c r="S490" s="16" t="str">
        <f aca="false">IF($A490="","",SUMIFS(Attendance!$AY$6:$AY$2405,Attendance!$B$6:$B$2405,$A490,Attendance!$A$6:$A$2405,"&gt;="&amp;DATE(LvYear,1,1),Attendance!$A$6:$A$2405,"&lt;="&amp;DATE(LvYear,12,31)))</f>
        <v/>
      </c>
      <c r="T490" s="16" t="str">
        <f aca="false">IF($A490="","",SUMIFS(Attendance!$AX$6:$AX$2405,Attendance!$B$6:$B$2405,$A490,Attendance!$A$6:$A$2405,"&gt;="&amp;DATE(LvYear,1,1),Attendance!$A$6:$A$2405,"&lt;="&amp;DATE(LvYear,12,31)))</f>
        <v/>
      </c>
      <c r="U490" s="16" t="str">
        <f aca="false">IF($A490="","",SUMIFS(Attendance!$AW$6:$AW$2405,Attendance!$B$6:$B$2405,$A490,Attendance!$A$6:$A$2405,"&gt;="&amp;DATE(LvYear,1,1),Attendance!$A$6:$A$2405,"&lt;="&amp;DATE(LvYear,12,31)))</f>
        <v/>
      </c>
      <c r="V490" s="16" t="str">
        <f aca="false">IF($A490="","",L490-R490)</f>
        <v/>
      </c>
      <c r="W490" s="16" t="str">
        <f aca="false">IF($A490="","",M490-S490)</f>
        <v/>
      </c>
      <c r="X490" s="16" t="str">
        <f aca="false">IF($A490="","",P490-T490)</f>
        <v/>
      </c>
      <c r="Y490" s="16" t="str">
        <f aca="false">IF($A490="","",Q490-U490)</f>
        <v/>
      </c>
      <c r="Z490" s="16" t="str">
        <f aca="false">IF($A490="","",V490+W490+X490)</f>
        <v/>
      </c>
      <c r="AA490" s="16" t="str">
        <f aca="false">IF($A490="","",O490+N(N490)-T490)</f>
        <v/>
      </c>
      <c r="AB490" s="8" t="str">
        <f aca="false">IF($A490="","","CL "&amp;V490&amp;" | SL "&amp;W490&amp;" | PL "&amp;X490&amp;" | TR "&amp;Y490)</f>
        <v/>
      </c>
      <c r="AC490" s="15" t="str">
        <f aca="false">IF($A490="","",IF(F490="Exited","EXITED",IF(AND(ISNUMBER(K490),K490=0),"NOT ELIGIBLE",IF(MIN(V490:X490)&lt;0,"OVER-USED",IF(Z490&lt;=Settings!$C$15,"LOW","OK")))))</f>
        <v/>
      </c>
      <c r="AD490" s="16" t="str">
        <f aca="false">IF(OR(AC490="OVER-USED",AC490="LOW"),COUNTIF(AC$6:AC490,"OVER-USED")+COUNTIF(AC$6:AC490,"LOW"),"")</f>
        <v/>
      </c>
    </row>
    <row r="491" customFormat="false" ht="15" hidden="false" customHeight="false" outlineLevel="0" collapsed="false">
      <c r="A491" s="8" t="str">
        <f aca="false">IF('Employee List'!B491="","",'Employee List'!B491)</f>
        <v/>
      </c>
      <c r="B491" s="8" t="str">
        <f aca="false">IF($A491="","",'Employee List'!C491)</f>
        <v/>
      </c>
      <c r="C491" s="8" t="str">
        <f aca="false">IF($A491="","",'Employee List'!E491&amp;"")</f>
        <v/>
      </c>
      <c r="D491" s="8" t="str">
        <f aca="false">IF($A491="","",'Employee List'!F491&amp;"")</f>
        <v/>
      </c>
      <c r="E491" s="8" t="str">
        <f aca="false">IF($A491="","",'Employee List'!G491&amp;"")</f>
        <v/>
      </c>
      <c r="F491" s="8" t="str">
        <f aca="false">IF($A491="","",'Employee List'!D491)</f>
        <v/>
      </c>
      <c r="G491" s="38" t="str">
        <f aca="false">IF($A491="","",IF('Employee List'!I491="","",'Employee List'!I491))</f>
        <v/>
      </c>
      <c r="H491" s="38" t="str">
        <f aca="false">IF(OR($A491="",G491=""),"",G491+Settings!$C$13)</f>
        <v/>
      </c>
      <c r="I491" s="38" t="str">
        <f aca="false">IF(H491="","",MAX(H491,DATE(LvYear,1,1)))</f>
        <v/>
      </c>
      <c r="J491" s="38" t="str">
        <f aca="false">IF($A491="","",IF('Employee List'!J491="",DATE(LvYear,12,31),MIN('Employee List'!J491,DATE(LvYear,12,31))))</f>
        <v/>
      </c>
      <c r="K491" s="39" t="str">
        <f aca="false">IF(OR(I491="",J491=""),"",MAX(0,J491-I491+1))</f>
        <v/>
      </c>
      <c r="L491" s="16" t="str">
        <f aca="false">IF($A491="","",IF(AND(ISNUMBER(K491),K491=0),0,Settings!$C$10))</f>
        <v/>
      </c>
      <c r="M491" s="16" t="str">
        <f aca="false">IF($A491="","",IF(AND(ISNUMBER(K491),K491=0),0,Settings!$C$11))</f>
        <v/>
      </c>
      <c r="N491" s="40"/>
      <c r="O491" s="16" t="str">
        <f aca="false">IF($A491="","",FLOOR(Settings!$C$12/365*N(K491),0.5))</f>
        <v/>
      </c>
      <c r="P491" s="16" t="str">
        <f aca="false">IF($A491="","",IF(I491="",N(N491),FLOOR(Settings!$C$12/365*MAX(0,MIN(LvAsOf,J491)-I491+1)+N(N491),0.5)))</f>
        <v/>
      </c>
      <c r="Q491" s="16" t="str">
        <f aca="false">IF($A491="","",Settings!$C$14)</f>
        <v/>
      </c>
      <c r="R491" s="16" t="str">
        <f aca="false">IF($A491="","",SUMIFS(Attendance!$AZ$6:$AZ$2405,Attendance!$B$6:$B$2405,$A491,Attendance!$A$6:$A$2405,"&gt;="&amp;DATE(LvYear,1,1),Attendance!$A$6:$A$2405,"&lt;="&amp;DATE(LvYear,12,31)))</f>
        <v/>
      </c>
      <c r="S491" s="16" t="str">
        <f aca="false">IF($A491="","",SUMIFS(Attendance!$AY$6:$AY$2405,Attendance!$B$6:$B$2405,$A491,Attendance!$A$6:$A$2405,"&gt;="&amp;DATE(LvYear,1,1),Attendance!$A$6:$A$2405,"&lt;="&amp;DATE(LvYear,12,31)))</f>
        <v/>
      </c>
      <c r="T491" s="16" t="str">
        <f aca="false">IF($A491="","",SUMIFS(Attendance!$AX$6:$AX$2405,Attendance!$B$6:$B$2405,$A491,Attendance!$A$6:$A$2405,"&gt;="&amp;DATE(LvYear,1,1),Attendance!$A$6:$A$2405,"&lt;="&amp;DATE(LvYear,12,31)))</f>
        <v/>
      </c>
      <c r="U491" s="16" t="str">
        <f aca="false">IF($A491="","",SUMIFS(Attendance!$AW$6:$AW$2405,Attendance!$B$6:$B$2405,$A491,Attendance!$A$6:$A$2405,"&gt;="&amp;DATE(LvYear,1,1),Attendance!$A$6:$A$2405,"&lt;="&amp;DATE(LvYear,12,31)))</f>
        <v/>
      </c>
      <c r="V491" s="16" t="str">
        <f aca="false">IF($A491="","",L491-R491)</f>
        <v/>
      </c>
      <c r="W491" s="16" t="str">
        <f aca="false">IF($A491="","",M491-S491)</f>
        <v/>
      </c>
      <c r="X491" s="16" t="str">
        <f aca="false">IF($A491="","",P491-T491)</f>
        <v/>
      </c>
      <c r="Y491" s="16" t="str">
        <f aca="false">IF($A491="","",Q491-U491)</f>
        <v/>
      </c>
      <c r="Z491" s="16" t="str">
        <f aca="false">IF($A491="","",V491+W491+X491)</f>
        <v/>
      </c>
      <c r="AA491" s="16" t="str">
        <f aca="false">IF($A491="","",O491+N(N491)-T491)</f>
        <v/>
      </c>
      <c r="AB491" s="8" t="str">
        <f aca="false">IF($A491="","","CL "&amp;V491&amp;" | SL "&amp;W491&amp;" | PL "&amp;X491&amp;" | TR "&amp;Y491)</f>
        <v/>
      </c>
      <c r="AC491" s="15" t="str">
        <f aca="false">IF($A491="","",IF(F491="Exited","EXITED",IF(AND(ISNUMBER(K491),K491=0),"NOT ELIGIBLE",IF(MIN(V491:X491)&lt;0,"OVER-USED",IF(Z491&lt;=Settings!$C$15,"LOW","OK")))))</f>
        <v/>
      </c>
      <c r="AD491" s="16" t="str">
        <f aca="false">IF(OR(AC491="OVER-USED",AC491="LOW"),COUNTIF(AC$6:AC491,"OVER-USED")+COUNTIF(AC$6:AC491,"LOW"),"")</f>
        <v/>
      </c>
    </row>
    <row r="492" customFormat="false" ht="15" hidden="false" customHeight="false" outlineLevel="0" collapsed="false">
      <c r="A492" s="8" t="str">
        <f aca="false">IF('Employee List'!B492="","",'Employee List'!B492)</f>
        <v/>
      </c>
      <c r="B492" s="8" t="str">
        <f aca="false">IF($A492="","",'Employee List'!C492)</f>
        <v/>
      </c>
      <c r="C492" s="8" t="str">
        <f aca="false">IF($A492="","",'Employee List'!E492&amp;"")</f>
        <v/>
      </c>
      <c r="D492" s="8" t="str">
        <f aca="false">IF($A492="","",'Employee List'!F492&amp;"")</f>
        <v/>
      </c>
      <c r="E492" s="8" t="str">
        <f aca="false">IF($A492="","",'Employee List'!G492&amp;"")</f>
        <v/>
      </c>
      <c r="F492" s="8" t="str">
        <f aca="false">IF($A492="","",'Employee List'!D492)</f>
        <v/>
      </c>
      <c r="G492" s="38" t="str">
        <f aca="false">IF($A492="","",IF('Employee List'!I492="","",'Employee List'!I492))</f>
        <v/>
      </c>
      <c r="H492" s="38" t="str">
        <f aca="false">IF(OR($A492="",G492=""),"",G492+Settings!$C$13)</f>
        <v/>
      </c>
      <c r="I492" s="38" t="str">
        <f aca="false">IF(H492="","",MAX(H492,DATE(LvYear,1,1)))</f>
        <v/>
      </c>
      <c r="J492" s="38" t="str">
        <f aca="false">IF($A492="","",IF('Employee List'!J492="",DATE(LvYear,12,31),MIN('Employee List'!J492,DATE(LvYear,12,31))))</f>
        <v/>
      </c>
      <c r="K492" s="39" t="str">
        <f aca="false">IF(OR(I492="",J492=""),"",MAX(0,J492-I492+1))</f>
        <v/>
      </c>
      <c r="L492" s="16" t="str">
        <f aca="false">IF($A492="","",IF(AND(ISNUMBER(K492),K492=0),0,Settings!$C$10))</f>
        <v/>
      </c>
      <c r="M492" s="16" t="str">
        <f aca="false">IF($A492="","",IF(AND(ISNUMBER(K492),K492=0),0,Settings!$C$11))</f>
        <v/>
      </c>
      <c r="N492" s="40"/>
      <c r="O492" s="16" t="str">
        <f aca="false">IF($A492="","",FLOOR(Settings!$C$12/365*N(K492),0.5))</f>
        <v/>
      </c>
      <c r="P492" s="16" t="str">
        <f aca="false">IF($A492="","",IF(I492="",N(N492),FLOOR(Settings!$C$12/365*MAX(0,MIN(LvAsOf,J492)-I492+1)+N(N492),0.5)))</f>
        <v/>
      </c>
      <c r="Q492" s="16" t="str">
        <f aca="false">IF($A492="","",Settings!$C$14)</f>
        <v/>
      </c>
      <c r="R492" s="16" t="str">
        <f aca="false">IF($A492="","",SUMIFS(Attendance!$AZ$6:$AZ$2405,Attendance!$B$6:$B$2405,$A492,Attendance!$A$6:$A$2405,"&gt;="&amp;DATE(LvYear,1,1),Attendance!$A$6:$A$2405,"&lt;="&amp;DATE(LvYear,12,31)))</f>
        <v/>
      </c>
      <c r="S492" s="16" t="str">
        <f aca="false">IF($A492="","",SUMIFS(Attendance!$AY$6:$AY$2405,Attendance!$B$6:$B$2405,$A492,Attendance!$A$6:$A$2405,"&gt;="&amp;DATE(LvYear,1,1),Attendance!$A$6:$A$2405,"&lt;="&amp;DATE(LvYear,12,31)))</f>
        <v/>
      </c>
      <c r="T492" s="16" t="str">
        <f aca="false">IF($A492="","",SUMIFS(Attendance!$AX$6:$AX$2405,Attendance!$B$6:$B$2405,$A492,Attendance!$A$6:$A$2405,"&gt;="&amp;DATE(LvYear,1,1),Attendance!$A$6:$A$2405,"&lt;="&amp;DATE(LvYear,12,31)))</f>
        <v/>
      </c>
      <c r="U492" s="16" t="str">
        <f aca="false">IF($A492="","",SUMIFS(Attendance!$AW$6:$AW$2405,Attendance!$B$6:$B$2405,$A492,Attendance!$A$6:$A$2405,"&gt;="&amp;DATE(LvYear,1,1),Attendance!$A$6:$A$2405,"&lt;="&amp;DATE(LvYear,12,31)))</f>
        <v/>
      </c>
      <c r="V492" s="16" t="str">
        <f aca="false">IF($A492="","",L492-R492)</f>
        <v/>
      </c>
      <c r="W492" s="16" t="str">
        <f aca="false">IF($A492="","",M492-S492)</f>
        <v/>
      </c>
      <c r="X492" s="16" t="str">
        <f aca="false">IF($A492="","",P492-T492)</f>
        <v/>
      </c>
      <c r="Y492" s="16" t="str">
        <f aca="false">IF($A492="","",Q492-U492)</f>
        <v/>
      </c>
      <c r="Z492" s="16" t="str">
        <f aca="false">IF($A492="","",V492+W492+X492)</f>
        <v/>
      </c>
      <c r="AA492" s="16" t="str">
        <f aca="false">IF($A492="","",O492+N(N492)-T492)</f>
        <v/>
      </c>
      <c r="AB492" s="8" t="str">
        <f aca="false">IF($A492="","","CL "&amp;V492&amp;" | SL "&amp;W492&amp;" | PL "&amp;X492&amp;" | TR "&amp;Y492)</f>
        <v/>
      </c>
      <c r="AC492" s="15" t="str">
        <f aca="false">IF($A492="","",IF(F492="Exited","EXITED",IF(AND(ISNUMBER(K492),K492=0),"NOT ELIGIBLE",IF(MIN(V492:X492)&lt;0,"OVER-USED",IF(Z492&lt;=Settings!$C$15,"LOW","OK")))))</f>
        <v/>
      </c>
      <c r="AD492" s="16" t="str">
        <f aca="false">IF(OR(AC492="OVER-USED",AC492="LOW"),COUNTIF(AC$6:AC492,"OVER-USED")+COUNTIF(AC$6:AC492,"LOW"),"")</f>
        <v/>
      </c>
    </row>
    <row r="493" customFormat="false" ht="15" hidden="false" customHeight="false" outlineLevel="0" collapsed="false">
      <c r="A493" s="8" t="str">
        <f aca="false">IF('Employee List'!B493="","",'Employee List'!B493)</f>
        <v/>
      </c>
      <c r="B493" s="8" t="str">
        <f aca="false">IF($A493="","",'Employee List'!C493)</f>
        <v/>
      </c>
      <c r="C493" s="8" t="str">
        <f aca="false">IF($A493="","",'Employee List'!E493&amp;"")</f>
        <v/>
      </c>
      <c r="D493" s="8" t="str">
        <f aca="false">IF($A493="","",'Employee List'!F493&amp;"")</f>
        <v/>
      </c>
      <c r="E493" s="8" t="str">
        <f aca="false">IF($A493="","",'Employee List'!G493&amp;"")</f>
        <v/>
      </c>
      <c r="F493" s="8" t="str">
        <f aca="false">IF($A493="","",'Employee List'!D493)</f>
        <v/>
      </c>
      <c r="G493" s="38" t="str">
        <f aca="false">IF($A493="","",IF('Employee List'!I493="","",'Employee List'!I493))</f>
        <v/>
      </c>
      <c r="H493" s="38" t="str">
        <f aca="false">IF(OR($A493="",G493=""),"",G493+Settings!$C$13)</f>
        <v/>
      </c>
      <c r="I493" s="38" t="str">
        <f aca="false">IF(H493="","",MAX(H493,DATE(LvYear,1,1)))</f>
        <v/>
      </c>
      <c r="J493" s="38" t="str">
        <f aca="false">IF($A493="","",IF('Employee List'!J493="",DATE(LvYear,12,31),MIN('Employee List'!J493,DATE(LvYear,12,31))))</f>
        <v/>
      </c>
      <c r="K493" s="39" t="str">
        <f aca="false">IF(OR(I493="",J493=""),"",MAX(0,J493-I493+1))</f>
        <v/>
      </c>
      <c r="L493" s="16" t="str">
        <f aca="false">IF($A493="","",IF(AND(ISNUMBER(K493),K493=0),0,Settings!$C$10))</f>
        <v/>
      </c>
      <c r="M493" s="16" t="str">
        <f aca="false">IF($A493="","",IF(AND(ISNUMBER(K493),K493=0),0,Settings!$C$11))</f>
        <v/>
      </c>
      <c r="N493" s="40"/>
      <c r="O493" s="16" t="str">
        <f aca="false">IF($A493="","",FLOOR(Settings!$C$12/365*N(K493),0.5))</f>
        <v/>
      </c>
      <c r="P493" s="16" t="str">
        <f aca="false">IF($A493="","",IF(I493="",N(N493),FLOOR(Settings!$C$12/365*MAX(0,MIN(LvAsOf,J493)-I493+1)+N(N493),0.5)))</f>
        <v/>
      </c>
      <c r="Q493" s="16" t="str">
        <f aca="false">IF($A493="","",Settings!$C$14)</f>
        <v/>
      </c>
      <c r="R493" s="16" t="str">
        <f aca="false">IF($A493="","",SUMIFS(Attendance!$AZ$6:$AZ$2405,Attendance!$B$6:$B$2405,$A493,Attendance!$A$6:$A$2405,"&gt;="&amp;DATE(LvYear,1,1),Attendance!$A$6:$A$2405,"&lt;="&amp;DATE(LvYear,12,31)))</f>
        <v/>
      </c>
      <c r="S493" s="16" t="str">
        <f aca="false">IF($A493="","",SUMIFS(Attendance!$AY$6:$AY$2405,Attendance!$B$6:$B$2405,$A493,Attendance!$A$6:$A$2405,"&gt;="&amp;DATE(LvYear,1,1),Attendance!$A$6:$A$2405,"&lt;="&amp;DATE(LvYear,12,31)))</f>
        <v/>
      </c>
      <c r="T493" s="16" t="str">
        <f aca="false">IF($A493="","",SUMIFS(Attendance!$AX$6:$AX$2405,Attendance!$B$6:$B$2405,$A493,Attendance!$A$6:$A$2405,"&gt;="&amp;DATE(LvYear,1,1),Attendance!$A$6:$A$2405,"&lt;="&amp;DATE(LvYear,12,31)))</f>
        <v/>
      </c>
      <c r="U493" s="16" t="str">
        <f aca="false">IF($A493="","",SUMIFS(Attendance!$AW$6:$AW$2405,Attendance!$B$6:$B$2405,$A493,Attendance!$A$6:$A$2405,"&gt;="&amp;DATE(LvYear,1,1),Attendance!$A$6:$A$2405,"&lt;="&amp;DATE(LvYear,12,31)))</f>
        <v/>
      </c>
      <c r="V493" s="16" t="str">
        <f aca="false">IF($A493="","",L493-R493)</f>
        <v/>
      </c>
      <c r="W493" s="16" t="str">
        <f aca="false">IF($A493="","",M493-S493)</f>
        <v/>
      </c>
      <c r="X493" s="16" t="str">
        <f aca="false">IF($A493="","",P493-T493)</f>
        <v/>
      </c>
      <c r="Y493" s="16" t="str">
        <f aca="false">IF($A493="","",Q493-U493)</f>
        <v/>
      </c>
      <c r="Z493" s="16" t="str">
        <f aca="false">IF($A493="","",V493+W493+X493)</f>
        <v/>
      </c>
      <c r="AA493" s="16" t="str">
        <f aca="false">IF($A493="","",O493+N(N493)-T493)</f>
        <v/>
      </c>
      <c r="AB493" s="8" t="str">
        <f aca="false">IF($A493="","","CL "&amp;V493&amp;" | SL "&amp;W493&amp;" | PL "&amp;X493&amp;" | TR "&amp;Y493)</f>
        <v/>
      </c>
      <c r="AC493" s="15" t="str">
        <f aca="false">IF($A493="","",IF(F493="Exited","EXITED",IF(AND(ISNUMBER(K493),K493=0),"NOT ELIGIBLE",IF(MIN(V493:X493)&lt;0,"OVER-USED",IF(Z493&lt;=Settings!$C$15,"LOW","OK")))))</f>
        <v/>
      </c>
      <c r="AD493" s="16" t="str">
        <f aca="false">IF(OR(AC493="OVER-USED",AC493="LOW"),COUNTIF(AC$6:AC493,"OVER-USED")+COUNTIF(AC$6:AC493,"LOW"),"")</f>
        <v/>
      </c>
    </row>
    <row r="494" customFormat="false" ht="15" hidden="false" customHeight="false" outlineLevel="0" collapsed="false">
      <c r="A494" s="8" t="str">
        <f aca="false">IF('Employee List'!B494="","",'Employee List'!B494)</f>
        <v/>
      </c>
      <c r="B494" s="8" t="str">
        <f aca="false">IF($A494="","",'Employee List'!C494)</f>
        <v/>
      </c>
      <c r="C494" s="8" t="str">
        <f aca="false">IF($A494="","",'Employee List'!E494&amp;"")</f>
        <v/>
      </c>
      <c r="D494" s="8" t="str">
        <f aca="false">IF($A494="","",'Employee List'!F494&amp;"")</f>
        <v/>
      </c>
      <c r="E494" s="8" t="str">
        <f aca="false">IF($A494="","",'Employee List'!G494&amp;"")</f>
        <v/>
      </c>
      <c r="F494" s="8" t="str">
        <f aca="false">IF($A494="","",'Employee List'!D494)</f>
        <v/>
      </c>
      <c r="G494" s="38" t="str">
        <f aca="false">IF($A494="","",IF('Employee List'!I494="","",'Employee List'!I494))</f>
        <v/>
      </c>
      <c r="H494" s="38" t="str">
        <f aca="false">IF(OR($A494="",G494=""),"",G494+Settings!$C$13)</f>
        <v/>
      </c>
      <c r="I494" s="38" t="str">
        <f aca="false">IF(H494="","",MAX(H494,DATE(LvYear,1,1)))</f>
        <v/>
      </c>
      <c r="J494" s="38" t="str">
        <f aca="false">IF($A494="","",IF('Employee List'!J494="",DATE(LvYear,12,31),MIN('Employee List'!J494,DATE(LvYear,12,31))))</f>
        <v/>
      </c>
      <c r="K494" s="39" t="str">
        <f aca="false">IF(OR(I494="",J494=""),"",MAX(0,J494-I494+1))</f>
        <v/>
      </c>
      <c r="L494" s="16" t="str">
        <f aca="false">IF($A494="","",IF(AND(ISNUMBER(K494),K494=0),0,Settings!$C$10))</f>
        <v/>
      </c>
      <c r="M494" s="16" t="str">
        <f aca="false">IF($A494="","",IF(AND(ISNUMBER(K494),K494=0),0,Settings!$C$11))</f>
        <v/>
      </c>
      <c r="N494" s="40"/>
      <c r="O494" s="16" t="str">
        <f aca="false">IF($A494="","",FLOOR(Settings!$C$12/365*N(K494),0.5))</f>
        <v/>
      </c>
      <c r="P494" s="16" t="str">
        <f aca="false">IF($A494="","",IF(I494="",N(N494),FLOOR(Settings!$C$12/365*MAX(0,MIN(LvAsOf,J494)-I494+1)+N(N494),0.5)))</f>
        <v/>
      </c>
      <c r="Q494" s="16" t="str">
        <f aca="false">IF($A494="","",Settings!$C$14)</f>
        <v/>
      </c>
      <c r="R494" s="16" t="str">
        <f aca="false">IF($A494="","",SUMIFS(Attendance!$AZ$6:$AZ$2405,Attendance!$B$6:$B$2405,$A494,Attendance!$A$6:$A$2405,"&gt;="&amp;DATE(LvYear,1,1),Attendance!$A$6:$A$2405,"&lt;="&amp;DATE(LvYear,12,31)))</f>
        <v/>
      </c>
      <c r="S494" s="16" t="str">
        <f aca="false">IF($A494="","",SUMIFS(Attendance!$AY$6:$AY$2405,Attendance!$B$6:$B$2405,$A494,Attendance!$A$6:$A$2405,"&gt;="&amp;DATE(LvYear,1,1),Attendance!$A$6:$A$2405,"&lt;="&amp;DATE(LvYear,12,31)))</f>
        <v/>
      </c>
      <c r="T494" s="16" t="str">
        <f aca="false">IF($A494="","",SUMIFS(Attendance!$AX$6:$AX$2405,Attendance!$B$6:$B$2405,$A494,Attendance!$A$6:$A$2405,"&gt;="&amp;DATE(LvYear,1,1),Attendance!$A$6:$A$2405,"&lt;="&amp;DATE(LvYear,12,31)))</f>
        <v/>
      </c>
      <c r="U494" s="16" t="str">
        <f aca="false">IF($A494="","",SUMIFS(Attendance!$AW$6:$AW$2405,Attendance!$B$6:$B$2405,$A494,Attendance!$A$6:$A$2405,"&gt;="&amp;DATE(LvYear,1,1),Attendance!$A$6:$A$2405,"&lt;="&amp;DATE(LvYear,12,31)))</f>
        <v/>
      </c>
      <c r="V494" s="16" t="str">
        <f aca="false">IF($A494="","",L494-R494)</f>
        <v/>
      </c>
      <c r="W494" s="16" t="str">
        <f aca="false">IF($A494="","",M494-S494)</f>
        <v/>
      </c>
      <c r="X494" s="16" t="str">
        <f aca="false">IF($A494="","",P494-T494)</f>
        <v/>
      </c>
      <c r="Y494" s="16" t="str">
        <f aca="false">IF($A494="","",Q494-U494)</f>
        <v/>
      </c>
      <c r="Z494" s="16" t="str">
        <f aca="false">IF($A494="","",V494+W494+X494)</f>
        <v/>
      </c>
      <c r="AA494" s="16" t="str">
        <f aca="false">IF($A494="","",O494+N(N494)-T494)</f>
        <v/>
      </c>
      <c r="AB494" s="8" t="str">
        <f aca="false">IF($A494="","","CL "&amp;V494&amp;" | SL "&amp;W494&amp;" | PL "&amp;X494&amp;" | TR "&amp;Y494)</f>
        <v/>
      </c>
      <c r="AC494" s="15" t="str">
        <f aca="false">IF($A494="","",IF(F494="Exited","EXITED",IF(AND(ISNUMBER(K494),K494=0),"NOT ELIGIBLE",IF(MIN(V494:X494)&lt;0,"OVER-USED",IF(Z494&lt;=Settings!$C$15,"LOW","OK")))))</f>
        <v/>
      </c>
      <c r="AD494" s="16" t="str">
        <f aca="false">IF(OR(AC494="OVER-USED",AC494="LOW"),COUNTIF(AC$6:AC494,"OVER-USED")+COUNTIF(AC$6:AC494,"LOW"),"")</f>
        <v/>
      </c>
    </row>
    <row r="495" customFormat="false" ht="15" hidden="false" customHeight="false" outlineLevel="0" collapsed="false">
      <c r="A495" s="8" t="str">
        <f aca="false">IF('Employee List'!B495="","",'Employee List'!B495)</f>
        <v/>
      </c>
      <c r="B495" s="8" t="str">
        <f aca="false">IF($A495="","",'Employee List'!C495)</f>
        <v/>
      </c>
      <c r="C495" s="8" t="str">
        <f aca="false">IF($A495="","",'Employee List'!E495&amp;"")</f>
        <v/>
      </c>
      <c r="D495" s="8" t="str">
        <f aca="false">IF($A495="","",'Employee List'!F495&amp;"")</f>
        <v/>
      </c>
      <c r="E495" s="8" t="str">
        <f aca="false">IF($A495="","",'Employee List'!G495&amp;"")</f>
        <v/>
      </c>
      <c r="F495" s="8" t="str">
        <f aca="false">IF($A495="","",'Employee List'!D495)</f>
        <v/>
      </c>
      <c r="G495" s="38" t="str">
        <f aca="false">IF($A495="","",IF('Employee List'!I495="","",'Employee List'!I495))</f>
        <v/>
      </c>
      <c r="H495" s="38" t="str">
        <f aca="false">IF(OR($A495="",G495=""),"",G495+Settings!$C$13)</f>
        <v/>
      </c>
      <c r="I495" s="38" t="str">
        <f aca="false">IF(H495="","",MAX(H495,DATE(LvYear,1,1)))</f>
        <v/>
      </c>
      <c r="J495" s="38" t="str">
        <f aca="false">IF($A495="","",IF('Employee List'!J495="",DATE(LvYear,12,31),MIN('Employee List'!J495,DATE(LvYear,12,31))))</f>
        <v/>
      </c>
      <c r="K495" s="39" t="str">
        <f aca="false">IF(OR(I495="",J495=""),"",MAX(0,J495-I495+1))</f>
        <v/>
      </c>
      <c r="L495" s="16" t="str">
        <f aca="false">IF($A495="","",IF(AND(ISNUMBER(K495),K495=0),0,Settings!$C$10))</f>
        <v/>
      </c>
      <c r="M495" s="16" t="str">
        <f aca="false">IF($A495="","",IF(AND(ISNUMBER(K495),K495=0),0,Settings!$C$11))</f>
        <v/>
      </c>
      <c r="N495" s="40"/>
      <c r="O495" s="16" t="str">
        <f aca="false">IF($A495="","",FLOOR(Settings!$C$12/365*N(K495),0.5))</f>
        <v/>
      </c>
      <c r="P495" s="16" t="str">
        <f aca="false">IF($A495="","",IF(I495="",N(N495),FLOOR(Settings!$C$12/365*MAX(0,MIN(LvAsOf,J495)-I495+1)+N(N495),0.5)))</f>
        <v/>
      </c>
      <c r="Q495" s="16" t="str">
        <f aca="false">IF($A495="","",Settings!$C$14)</f>
        <v/>
      </c>
      <c r="R495" s="16" t="str">
        <f aca="false">IF($A495="","",SUMIFS(Attendance!$AZ$6:$AZ$2405,Attendance!$B$6:$B$2405,$A495,Attendance!$A$6:$A$2405,"&gt;="&amp;DATE(LvYear,1,1),Attendance!$A$6:$A$2405,"&lt;="&amp;DATE(LvYear,12,31)))</f>
        <v/>
      </c>
      <c r="S495" s="16" t="str">
        <f aca="false">IF($A495="","",SUMIFS(Attendance!$AY$6:$AY$2405,Attendance!$B$6:$B$2405,$A495,Attendance!$A$6:$A$2405,"&gt;="&amp;DATE(LvYear,1,1),Attendance!$A$6:$A$2405,"&lt;="&amp;DATE(LvYear,12,31)))</f>
        <v/>
      </c>
      <c r="T495" s="16" t="str">
        <f aca="false">IF($A495="","",SUMIFS(Attendance!$AX$6:$AX$2405,Attendance!$B$6:$B$2405,$A495,Attendance!$A$6:$A$2405,"&gt;="&amp;DATE(LvYear,1,1),Attendance!$A$6:$A$2405,"&lt;="&amp;DATE(LvYear,12,31)))</f>
        <v/>
      </c>
      <c r="U495" s="16" t="str">
        <f aca="false">IF($A495="","",SUMIFS(Attendance!$AW$6:$AW$2405,Attendance!$B$6:$B$2405,$A495,Attendance!$A$6:$A$2405,"&gt;="&amp;DATE(LvYear,1,1),Attendance!$A$6:$A$2405,"&lt;="&amp;DATE(LvYear,12,31)))</f>
        <v/>
      </c>
      <c r="V495" s="16" t="str">
        <f aca="false">IF($A495="","",L495-R495)</f>
        <v/>
      </c>
      <c r="W495" s="16" t="str">
        <f aca="false">IF($A495="","",M495-S495)</f>
        <v/>
      </c>
      <c r="X495" s="16" t="str">
        <f aca="false">IF($A495="","",P495-T495)</f>
        <v/>
      </c>
      <c r="Y495" s="16" t="str">
        <f aca="false">IF($A495="","",Q495-U495)</f>
        <v/>
      </c>
      <c r="Z495" s="16" t="str">
        <f aca="false">IF($A495="","",V495+W495+X495)</f>
        <v/>
      </c>
      <c r="AA495" s="16" t="str">
        <f aca="false">IF($A495="","",O495+N(N495)-T495)</f>
        <v/>
      </c>
      <c r="AB495" s="8" t="str">
        <f aca="false">IF($A495="","","CL "&amp;V495&amp;" | SL "&amp;W495&amp;" | PL "&amp;X495&amp;" | TR "&amp;Y495)</f>
        <v/>
      </c>
      <c r="AC495" s="15" t="str">
        <f aca="false">IF($A495="","",IF(F495="Exited","EXITED",IF(AND(ISNUMBER(K495),K495=0),"NOT ELIGIBLE",IF(MIN(V495:X495)&lt;0,"OVER-USED",IF(Z495&lt;=Settings!$C$15,"LOW","OK")))))</f>
        <v/>
      </c>
      <c r="AD495" s="16" t="str">
        <f aca="false">IF(OR(AC495="OVER-USED",AC495="LOW"),COUNTIF(AC$6:AC495,"OVER-USED")+COUNTIF(AC$6:AC495,"LOW"),"")</f>
        <v/>
      </c>
    </row>
    <row r="496" customFormat="false" ht="15" hidden="false" customHeight="false" outlineLevel="0" collapsed="false">
      <c r="A496" s="8" t="str">
        <f aca="false">IF('Employee List'!B496="","",'Employee List'!B496)</f>
        <v/>
      </c>
      <c r="B496" s="8" t="str">
        <f aca="false">IF($A496="","",'Employee List'!C496)</f>
        <v/>
      </c>
      <c r="C496" s="8" t="str">
        <f aca="false">IF($A496="","",'Employee List'!E496&amp;"")</f>
        <v/>
      </c>
      <c r="D496" s="8" t="str">
        <f aca="false">IF($A496="","",'Employee List'!F496&amp;"")</f>
        <v/>
      </c>
      <c r="E496" s="8" t="str">
        <f aca="false">IF($A496="","",'Employee List'!G496&amp;"")</f>
        <v/>
      </c>
      <c r="F496" s="8" t="str">
        <f aca="false">IF($A496="","",'Employee List'!D496)</f>
        <v/>
      </c>
      <c r="G496" s="38" t="str">
        <f aca="false">IF($A496="","",IF('Employee List'!I496="","",'Employee List'!I496))</f>
        <v/>
      </c>
      <c r="H496" s="38" t="str">
        <f aca="false">IF(OR($A496="",G496=""),"",G496+Settings!$C$13)</f>
        <v/>
      </c>
      <c r="I496" s="38" t="str">
        <f aca="false">IF(H496="","",MAX(H496,DATE(LvYear,1,1)))</f>
        <v/>
      </c>
      <c r="J496" s="38" t="str">
        <f aca="false">IF($A496="","",IF('Employee List'!J496="",DATE(LvYear,12,31),MIN('Employee List'!J496,DATE(LvYear,12,31))))</f>
        <v/>
      </c>
      <c r="K496" s="39" t="str">
        <f aca="false">IF(OR(I496="",J496=""),"",MAX(0,J496-I496+1))</f>
        <v/>
      </c>
      <c r="L496" s="16" t="str">
        <f aca="false">IF($A496="","",IF(AND(ISNUMBER(K496),K496=0),0,Settings!$C$10))</f>
        <v/>
      </c>
      <c r="M496" s="16" t="str">
        <f aca="false">IF($A496="","",IF(AND(ISNUMBER(K496),K496=0),0,Settings!$C$11))</f>
        <v/>
      </c>
      <c r="N496" s="40"/>
      <c r="O496" s="16" t="str">
        <f aca="false">IF($A496="","",FLOOR(Settings!$C$12/365*N(K496),0.5))</f>
        <v/>
      </c>
      <c r="P496" s="16" t="str">
        <f aca="false">IF($A496="","",IF(I496="",N(N496),FLOOR(Settings!$C$12/365*MAX(0,MIN(LvAsOf,J496)-I496+1)+N(N496),0.5)))</f>
        <v/>
      </c>
      <c r="Q496" s="16" t="str">
        <f aca="false">IF($A496="","",Settings!$C$14)</f>
        <v/>
      </c>
      <c r="R496" s="16" t="str">
        <f aca="false">IF($A496="","",SUMIFS(Attendance!$AZ$6:$AZ$2405,Attendance!$B$6:$B$2405,$A496,Attendance!$A$6:$A$2405,"&gt;="&amp;DATE(LvYear,1,1),Attendance!$A$6:$A$2405,"&lt;="&amp;DATE(LvYear,12,31)))</f>
        <v/>
      </c>
      <c r="S496" s="16" t="str">
        <f aca="false">IF($A496="","",SUMIFS(Attendance!$AY$6:$AY$2405,Attendance!$B$6:$B$2405,$A496,Attendance!$A$6:$A$2405,"&gt;="&amp;DATE(LvYear,1,1),Attendance!$A$6:$A$2405,"&lt;="&amp;DATE(LvYear,12,31)))</f>
        <v/>
      </c>
      <c r="T496" s="16" t="str">
        <f aca="false">IF($A496="","",SUMIFS(Attendance!$AX$6:$AX$2405,Attendance!$B$6:$B$2405,$A496,Attendance!$A$6:$A$2405,"&gt;="&amp;DATE(LvYear,1,1),Attendance!$A$6:$A$2405,"&lt;="&amp;DATE(LvYear,12,31)))</f>
        <v/>
      </c>
      <c r="U496" s="16" t="str">
        <f aca="false">IF($A496="","",SUMIFS(Attendance!$AW$6:$AW$2405,Attendance!$B$6:$B$2405,$A496,Attendance!$A$6:$A$2405,"&gt;="&amp;DATE(LvYear,1,1),Attendance!$A$6:$A$2405,"&lt;="&amp;DATE(LvYear,12,31)))</f>
        <v/>
      </c>
      <c r="V496" s="16" t="str">
        <f aca="false">IF($A496="","",L496-R496)</f>
        <v/>
      </c>
      <c r="W496" s="16" t="str">
        <f aca="false">IF($A496="","",M496-S496)</f>
        <v/>
      </c>
      <c r="X496" s="16" t="str">
        <f aca="false">IF($A496="","",P496-T496)</f>
        <v/>
      </c>
      <c r="Y496" s="16" t="str">
        <f aca="false">IF($A496="","",Q496-U496)</f>
        <v/>
      </c>
      <c r="Z496" s="16" t="str">
        <f aca="false">IF($A496="","",V496+W496+X496)</f>
        <v/>
      </c>
      <c r="AA496" s="16" t="str">
        <f aca="false">IF($A496="","",O496+N(N496)-T496)</f>
        <v/>
      </c>
      <c r="AB496" s="8" t="str">
        <f aca="false">IF($A496="","","CL "&amp;V496&amp;" | SL "&amp;W496&amp;" | PL "&amp;X496&amp;" | TR "&amp;Y496)</f>
        <v/>
      </c>
      <c r="AC496" s="15" t="str">
        <f aca="false">IF($A496="","",IF(F496="Exited","EXITED",IF(AND(ISNUMBER(K496),K496=0),"NOT ELIGIBLE",IF(MIN(V496:X496)&lt;0,"OVER-USED",IF(Z496&lt;=Settings!$C$15,"LOW","OK")))))</f>
        <v/>
      </c>
      <c r="AD496" s="16" t="str">
        <f aca="false">IF(OR(AC496="OVER-USED",AC496="LOW"),COUNTIF(AC$6:AC496,"OVER-USED")+COUNTIF(AC$6:AC496,"LOW"),"")</f>
        <v/>
      </c>
    </row>
    <row r="497" customFormat="false" ht="15" hidden="false" customHeight="false" outlineLevel="0" collapsed="false">
      <c r="A497" s="8" t="str">
        <f aca="false">IF('Employee List'!B497="","",'Employee List'!B497)</f>
        <v/>
      </c>
      <c r="B497" s="8" t="str">
        <f aca="false">IF($A497="","",'Employee List'!C497)</f>
        <v/>
      </c>
      <c r="C497" s="8" t="str">
        <f aca="false">IF($A497="","",'Employee List'!E497&amp;"")</f>
        <v/>
      </c>
      <c r="D497" s="8" t="str">
        <f aca="false">IF($A497="","",'Employee List'!F497&amp;"")</f>
        <v/>
      </c>
      <c r="E497" s="8" t="str">
        <f aca="false">IF($A497="","",'Employee List'!G497&amp;"")</f>
        <v/>
      </c>
      <c r="F497" s="8" t="str">
        <f aca="false">IF($A497="","",'Employee List'!D497)</f>
        <v/>
      </c>
      <c r="G497" s="38" t="str">
        <f aca="false">IF($A497="","",IF('Employee List'!I497="","",'Employee List'!I497))</f>
        <v/>
      </c>
      <c r="H497" s="38" t="str">
        <f aca="false">IF(OR($A497="",G497=""),"",G497+Settings!$C$13)</f>
        <v/>
      </c>
      <c r="I497" s="38" t="str">
        <f aca="false">IF(H497="","",MAX(H497,DATE(LvYear,1,1)))</f>
        <v/>
      </c>
      <c r="J497" s="38" t="str">
        <f aca="false">IF($A497="","",IF('Employee List'!J497="",DATE(LvYear,12,31),MIN('Employee List'!J497,DATE(LvYear,12,31))))</f>
        <v/>
      </c>
      <c r="K497" s="39" t="str">
        <f aca="false">IF(OR(I497="",J497=""),"",MAX(0,J497-I497+1))</f>
        <v/>
      </c>
      <c r="L497" s="16" t="str">
        <f aca="false">IF($A497="","",IF(AND(ISNUMBER(K497),K497=0),0,Settings!$C$10))</f>
        <v/>
      </c>
      <c r="M497" s="16" t="str">
        <f aca="false">IF($A497="","",IF(AND(ISNUMBER(K497),K497=0),0,Settings!$C$11))</f>
        <v/>
      </c>
      <c r="N497" s="40"/>
      <c r="O497" s="16" t="str">
        <f aca="false">IF($A497="","",FLOOR(Settings!$C$12/365*N(K497),0.5))</f>
        <v/>
      </c>
      <c r="P497" s="16" t="str">
        <f aca="false">IF($A497="","",IF(I497="",N(N497),FLOOR(Settings!$C$12/365*MAX(0,MIN(LvAsOf,J497)-I497+1)+N(N497),0.5)))</f>
        <v/>
      </c>
      <c r="Q497" s="16" t="str">
        <f aca="false">IF($A497="","",Settings!$C$14)</f>
        <v/>
      </c>
      <c r="R497" s="16" t="str">
        <f aca="false">IF($A497="","",SUMIFS(Attendance!$AZ$6:$AZ$2405,Attendance!$B$6:$B$2405,$A497,Attendance!$A$6:$A$2405,"&gt;="&amp;DATE(LvYear,1,1),Attendance!$A$6:$A$2405,"&lt;="&amp;DATE(LvYear,12,31)))</f>
        <v/>
      </c>
      <c r="S497" s="16" t="str">
        <f aca="false">IF($A497="","",SUMIFS(Attendance!$AY$6:$AY$2405,Attendance!$B$6:$B$2405,$A497,Attendance!$A$6:$A$2405,"&gt;="&amp;DATE(LvYear,1,1),Attendance!$A$6:$A$2405,"&lt;="&amp;DATE(LvYear,12,31)))</f>
        <v/>
      </c>
      <c r="T497" s="16" t="str">
        <f aca="false">IF($A497="","",SUMIFS(Attendance!$AX$6:$AX$2405,Attendance!$B$6:$B$2405,$A497,Attendance!$A$6:$A$2405,"&gt;="&amp;DATE(LvYear,1,1),Attendance!$A$6:$A$2405,"&lt;="&amp;DATE(LvYear,12,31)))</f>
        <v/>
      </c>
      <c r="U497" s="16" t="str">
        <f aca="false">IF($A497="","",SUMIFS(Attendance!$AW$6:$AW$2405,Attendance!$B$6:$B$2405,$A497,Attendance!$A$6:$A$2405,"&gt;="&amp;DATE(LvYear,1,1),Attendance!$A$6:$A$2405,"&lt;="&amp;DATE(LvYear,12,31)))</f>
        <v/>
      </c>
      <c r="V497" s="16" t="str">
        <f aca="false">IF($A497="","",L497-R497)</f>
        <v/>
      </c>
      <c r="W497" s="16" t="str">
        <f aca="false">IF($A497="","",M497-S497)</f>
        <v/>
      </c>
      <c r="X497" s="16" t="str">
        <f aca="false">IF($A497="","",P497-T497)</f>
        <v/>
      </c>
      <c r="Y497" s="16" t="str">
        <f aca="false">IF($A497="","",Q497-U497)</f>
        <v/>
      </c>
      <c r="Z497" s="16" t="str">
        <f aca="false">IF($A497="","",V497+W497+X497)</f>
        <v/>
      </c>
      <c r="AA497" s="16" t="str">
        <f aca="false">IF($A497="","",O497+N(N497)-T497)</f>
        <v/>
      </c>
      <c r="AB497" s="8" t="str">
        <f aca="false">IF($A497="","","CL "&amp;V497&amp;" | SL "&amp;W497&amp;" | PL "&amp;X497&amp;" | TR "&amp;Y497)</f>
        <v/>
      </c>
      <c r="AC497" s="15" t="str">
        <f aca="false">IF($A497="","",IF(F497="Exited","EXITED",IF(AND(ISNUMBER(K497),K497=0),"NOT ELIGIBLE",IF(MIN(V497:X497)&lt;0,"OVER-USED",IF(Z497&lt;=Settings!$C$15,"LOW","OK")))))</f>
        <v/>
      </c>
      <c r="AD497" s="16" t="str">
        <f aca="false">IF(OR(AC497="OVER-USED",AC497="LOW"),COUNTIF(AC$6:AC497,"OVER-USED")+COUNTIF(AC$6:AC497,"LOW"),"")</f>
        <v/>
      </c>
    </row>
    <row r="498" customFormat="false" ht="15" hidden="false" customHeight="false" outlineLevel="0" collapsed="false">
      <c r="A498" s="8" t="str">
        <f aca="false">IF('Employee List'!B498="","",'Employee List'!B498)</f>
        <v/>
      </c>
      <c r="B498" s="8" t="str">
        <f aca="false">IF($A498="","",'Employee List'!C498)</f>
        <v/>
      </c>
      <c r="C498" s="8" t="str">
        <f aca="false">IF($A498="","",'Employee List'!E498&amp;"")</f>
        <v/>
      </c>
      <c r="D498" s="8" t="str">
        <f aca="false">IF($A498="","",'Employee List'!F498&amp;"")</f>
        <v/>
      </c>
      <c r="E498" s="8" t="str">
        <f aca="false">IF($A498="","",'Employee List'!G498&amp;"")</f>
        <v/>
      </c>
      <c r="F498" s="8" t="str">
        <f aca="false">IF($A498="","",'Employee List'!D498)</f>
        <v/>
      </c>
      <c r="G498" s="38" t="str">
        <f aca="false">IF($A498="","",IF('Employee List'!I498="","",'Employee List'!I498))</f>
        <v/>
      </c>
      <c r="H498" s="38" t="str">
        <f aca="false">IF(OR($A498="",G498=""),"",G498+Settings!$C$13)</f>
        <v/>
      </c>
      <c r="I498" s="38" t="str">
        <f aca="false">IF(H498="","",MAX(H498,DATE(LvYear,1,1)))</f>
        <v/>
      </c>
      <c r="J498" s="38" t="str">
        <f aca="false">IF($A498="","",IF('Employee List'!J498="",DATE(LvYear,12,31),MIN('Employee List'!J498,DATE(LvYear,12,31))))</f>
        <v/>
      </c>
      <c r="K498" s="39" t="str">
        <f aca="false">IF(OR(I498="",J498=""),"",MAX(0,J498-I498+1))</f>
        <v/>
      </c>
      <c r="L498" s="16" t="str">
        <f aca="false">IF($A498="","",IF(AND(ISNUMBER(K498),K498=0),0,Settings!$C$10))</f>
        <v/>
      </c>
      <c r="M498" s="16" t="str">
        <f aca="false">IF($A498="","",IF(AND(ISNUMBER(K498),K498=0),0,Settings!$C$11))</f>
        <v/>
      </c>
      <c r="N498" s="40"/>
      <c r="O498" s="16" t="str">
        <f aca="false">IF($A498="","",FLOOR(Settings!$C$12/365*N(K498),0.5))</f>
        <v/>
      </c>
      <c r="P498" s="16" t="str">
        <f aca="false">IF($A498="","",IF(I498="",N(N498),FLOOR(Settings!$C$12/365*MAX(0,MIN(LvAsOf,J498)-I498+1)+N(N498),0.5)))</f>
        <v/>
      </c>
      <c r="Q498" s="16" t="str">
        <f aca="false">IF($A498="","",Settings!$C$14)</f>
        <v/>
      </c>
      <c r="R498" s="16" t="str">
        <f aca="false">IF($A498="","",SUMIFS(Attendance!$AZ$6:$AZ$2405,Attendance!$B$6:$B$2405,$A498,Attendance!$A$6:$A$2405,"&gt;="&amp;DATE(LvYear,1,1),Attendance!$A$6:$A$2405,"&lt;="&amp;DATE(LvYear,12,31)))</f>
        <v/>
      </c>
      <c r="S498" s="16" t="str">
        <f aca="false">IF($A498="","",SUMIFS(Attendance!$AY$6:$AY$2405,Attendance!$B$6:$B$2405,$A498,Attendance!$A$6:$A$2405,"&gt;="&amp;DATE(LvYear,1,1),Attendance!$A$6:$A$2405,"&lt;="&amp;DATE(LvYear,12,31)))</f>
        <v/>
      </c>
      <c r="T498" s="16" t="str">
        <f aca="false">IF($A498="","",SUMIFS(Attendance!$AX$6:$AX$2405,Attendance!$B$6:$B$2405,$A498,Attendance!$A$6:$A$2405,"&gt;="&amp;DATE(LvYear,1,1),Attendance!$A$6:$A$2405,"&lt;="&amp;DATE(LvYear,12,31)))</f>
        <v/>
      </c>
      <c r="U498" s="16" t="str">
        <f aca="false">IF($A498="","",SUMIFS(Attendance!$AW$6:$AW$2405,Attendance!$B$6:$B$2405,$A498,Attendance!$A$6:$A$2405,"&gt;="&amp;DATE(LvYear,1,1),Attendance!$A$6:$A$2405,"&lt;="&amp;DATE(LvYear,12,31)))</f>
        <v/>
      </c>
      <c r="V498" s="16" t="str">
        <f aca="false">IF($A498="","",L498-R498)</f>
        <v/>
      </c>
      <c r="W498" s="16" t="str">
        <f aca="false">IF($A498="","",M498-S498)</f>
        <v/>
      </c>
      <c r="X498" s="16" t="str">
        <f aca="false">IF($A498="","",P498-T498)</f>
        <v/>
      </c>
      <c r="Y498" s="16" t="str">
        <f aca="false">IF($A498="","",Q498-U498)</f>
        <v/>
      </c>
      <c r="Z498" s="16" t="str">
        <f aca="false">IF($A498="","",V498+W498+X498)</f>
        <v/>
      </c>
      <c r="AA498" s="16" t="str">
        <f aca="false">IF($A498="","",O498+N(N498)-T498)</f>
        <v/>
      </c>
      <c r="AB498" s="8" t="str">
        <f aca="false">IF($A498="","","CL "&amp;V498&amp;" | SL "&amp;W498&amp;" | PL "&amp;X498&amp;" | TR "&amp;Y498)</f>
        <v/>
      </c>
      <c r="AC498" s="15" t="str">
        <f aca="false">IF($A498="","",IF(F498="Exited","EXITED",IF(AND(ISNUMBER(K498),K498=0),"NOT ELIGIBLE",IF(MIN(V498:X498)&lt;0,"OVER-USED",IF(Z498&lt;=Settings!$C$15,"LOW","OK")))))</f>
        <v/>
      </c>
      <c r="AD498" s="16" t="str">
        <f aca="false">IF(OR(AC498="OVER-USED",AC498="LOW"),COUNTIF(AC$6:AC498,"OVER-USED")+COUNTIF(AC$6:AC498,"LOW"),"")</f>
        <v/>
      </c>
    </row>
    <row r="499" customFormat="false" ht="15" hidden="false" customHeight="false" outlineLevel="0" collapsed="false">
      <c r="A499" s="8" t="str">
        <f aca="false">IF('Employee List'!B499="","",'Employee List'!B499)</f>
        <v/>
      </c>
      <c r="B499" s="8" t="str">
        <f aca="false">IF($A499="","",'Employee List'!C499)</f>
        <v/>
      </c>
      <c r="C499" s="8" t="str">
        <f aca="false">IF($A499="","",'Employee List'!E499&amp;"")</f>
        <v/>
      </c>
      <c r="D499" s="8" t="str">
        <f aca="false">IF($A499="","",'Employee List'!F499&amp;"")</f>
        <v/>
      </c>
      <c r="E499" s="8" t="str">
        <f aca="false">IF($A499="","",'Employee List'!G499&amp;"")</f>
        <v/>
      </c>
      <c r="F499" s="8" t="str">
        <f aca="false">IF($A499="","",'Employee List'!D499)</f>
        <v/>
      </c>
      <c r="G499" s="38" t="str">
        <f aca="false">IF($A499="","",IF('Employee List'!I499="","",'Employee List'!I499))</f>
        <v/>
      </c>
      <c r="H499" s="38" t="str">
        <f aca="false">IF(OR($A499="",G499=""),"",G499+Settings!$C$13)</f>
        <v/>
      </c>
      <c r="I499" s="38" t="str">
        <f aca="false">IF(H499="","",MAX(H499,DATE(LvYear,1,1)))</f>
        <v/>
      </c>
      <c r="J499" s="38" t="str">
        <f aca="false">IF($A499="","",IF('Employee List'!J499="",DATE(LvYear,12,31),MIN('Employee List'!J499,DATE(LvYear,12,31))))</f>
        <v/>
      </c>
      <c r="K499" s="39" t="str">
        <f aca="false">IF(OR(I499="",J499=""),"",MAX(0,J499-I499+1))</f>
        <v/>
      </c>
      <c r="L499" s="16" t="str">
        <f aca="false">IF($A499="","",IF(AND(ISNUMBER(K499),K499=0),0,Settings!$C$10))</f>
        <v/>
      </c>
      <c r="M499" s="16" t="str">
        <f aca="false">IF($A499="","",IF(AND(ISNUMBER(K499),K499=0),0,Settings!$C$11))</f>
        <v/>
      </c>
      <c r="N499" s="40"/>
      <c r="O499" s="16" t="str">
        <f aca="false">IF($A499="","",FLOOR(Settings!$C$12/365*N(K499),0.5))</f>
        <v/>
      </c>
      <c r="P499" s="16" t="str">
        <f aca="false">IF($A499="","",IF(I499="",N(N499),FLOOR(Settings!$C$12/365*MAX(0,MIN(LvAsOf,J499)-I499+1)+N(N499),0.5)))</f>
        <v/>
      </c>
      <c r="Q499" s="16" t="str">
        <f aca="false">IF($A499="","",Settings!$C$14)</f>
        <v/>
      </c>
      <c r="R499" s="16" t="str">
        <f aca="false">IF($A499="","",SUMIFS(Attendance!$AZ$6:$AZ$2405,Attendance!$B$6:$B$2405,$A499,Attendance!$A$6:$A$2405,"&gt;="&amp;DATE(LvYear,1,1),Attendance!$A$6:$A$2405,"&lt;="&amp;DATE(LvYear,12,31)))</f>
        <v/>
      </c>
      <c r="S499" s="16" t="str">
        <f aca="false">IF($A499="","",SUMIFS(Attendance!$AY$6:$AY$2405,Attendance!$B$6:$B$2405,$A499,Attendance!$A$6:$A$2405,"&gt;="&amp;DATE(LvYear,1,1),Attendance!$A$6:$A$2405,"&lt;="&amp;DATE(LvYear,12,31)))</f>
        <v/>
      </c>
      <c r="T499" s="16" t="str">
        <f aca="false">IF($A499="","",SUMIFS(Attendance!$AX$6:$AX$2405,Attendance!$B$6:$B$2405,$A499,Attendance!$A$6:$A$2405,"&gt;="&amp;DATE(LvYear,1,1),Attendance!$A$6:$A$2405,"&lt;="&amp;DATE(LvYear,12,31)))</f>
        <v/>
      </c>
      <c r="U499" s="16" t="str">
        <f aca="false">IF($A499="","",SUMIFS(Attendance!$AW$6:$AW$2405,Attendance!$B$6:$B$2405,$A499,Attendance!$A$6:$A$2405,"&gt;="&amp;DATE(LvYear,1,1),Attendance!$A$6:$A$2405,"&lt;="&amp;DATE(LvYear,12,31)))</f>
        <v/>
      </c>
      <c r="V499" s="16" t="str">
        <f aca="false">IF($A499="","",L499-R499)</f>
        <v/>
      </c>
      <c r="W499" s="16" t="str">
        <f aca="false">IF($A499="","",M499-S499)</f>
        <v/>
      </c>
      <c r="X499" s="16" t="str">
        <f aca="false">IF($A499="","",P499-T499)</f>
        <v/>
      </c>
      <c r="Y499" s="16" t="str">
        <f aca="false">IF($A499="","",Q499-U499)</f>
        <v/>
      </c>
      <c r="Z499" s="16" t="str">
        <f aca="false">IF($A499="","",V499+W499+X499)</f>
        <v/>
      </c>
      <c r="AA499" s="16" t="str">
        <f aca="false">IF($A499="","",O499+N(N499)-T499)</f>
        <v/>
      </c>
      <c r="AB499" s="8" t="str">
        <f aca="false">IF($A499="","","CL "&amp;V499&amp;" | SL "&amp;W499&amp;" | PL "&amp;X499&amp;" | TR "&amp;Y499)</f>
        <v/>
      </c>
      <c r="AC499" s="15" t="str">
        <f aca="false">IF($A499="","",IF(F499="Exited","EXITED",IF(AND(ISNUMBER(K499),K499=0),"NOT ELIGIBLE",IF(MIN(V499:X499)&lt;0,"OVER-USED",IF(Z499&lt;=Settings!$C$15,"LOW","OK")))))</f>
        <v/>
      </c>
      <c r="AD499" s="16" t="str">
        <f aca="false">IF(OR(AC499="OVER-USED",AC499="LOW"),COUNTIF(AC$6:AC499,"OVER-USED")+COUNTIF(AC$6:AC499,"LOW"),"")</f>
        <v/>
      </c>
    </row>
    <row r="500" customFormat="false" ht="15" hidden="false" customHeight="false" outlineLevel="0" collapsed="false">
      <c r="A500" s="8" t="str">
        <f aca="false">IF('Employee List'!B500="","",'Employee List'!B500)</f>
        <v/>
      </c>
      <c r="B500" s="8" t="str">
        <f aca="false">IF($A500="","",'Employee List'!C500)</f>
        <v/>
      </c>
      <c r="C500" s="8" t="str">
        <f aca="false">IF($A500="","",'Employee List'!E500&amp;"")</f>
        <v/>
      </c>
      <c r="D500" s="8" t="str">
        <f aca="false">IF($A500="","",'Employee List'!F500&amp;"")</f>
        <v/>
      </c>
      <c r="E500" s="8" t="str">
        <f aca="false">IF($A500="","",'Employee List'!G500&amp;"")</f>
        <v/>
      </c>
      <c r="F500" s="8" t="str">
        <f aca="false">IF($A500="","",'Employee List'!D500)</f>
        <v/>
      </c>
      <c r="G500" s="38" t="str">
        <f aca="false">IF($A500="","",IF('Employee List'!I500="","",'Employee List'!I500))</f>
        <v/>
      </c>
      <c r="H500" s="38" t="str">
        <f aca="false">IF(OR($A500="",G500=""),"",G500+Settings!$C$13)</f>
        <v/>
      </c>
      <c r="I500" s="38" t="str">
        <f aca="false">IF(H500="","",MAX(H500,DATE(LvYear,1,1)))</f>
        <v/>
      </c>
      <c r="J500" s="38" t="str">
        <f aca="false">IF($A500="","",IF('Employee List'!J500="",DATE(LvYear,12,31),MIN('Employee List'!J500,DATE(LvYear,12,31))))</f>
        <v/>
      </c>
      <c r="K500" s="39" t="str">
        <f aca="false">IF(OR(I500="",J500=""),"",MAX(0,J500-I500+1))</f>
        <v/>
      </c>
      <c r="L500" s="16" t="str">
        <f aca="false">IF($A500="","",IF(AND(ISNUMBER(K500),K500=0),0,Settings!$C$10))</f>
        <v/>
      </c>
      <c r="M500" s="16" t="str">
        <f aca="false">IF($A500="","",IF(AND(ISNUMBER(K500),K500=0),0,Settings!$C$11))</f>
        <v/>
      </c>
      <c r="N500" s="40"/>
      <c r="O500" s="16" t="str">
        <f aca="false">IF($A500="","",FLOOR(Settings!$C$12/365*N(K500),0.5))</f>
        <v/>
      </c>
      <c r="P500" s="16" t="str">
        <f aca="false">IF($A500="","",IF(I500="",N(N500),FLOOR(Settings!$C$12/365*MAX(0,MIN(LvAsOf,J500)-I500+1)+N(N500),0.5)))</f>
        <v/>
      </c>
      <c r="Q500" s="16" t="str">
        <f aca="false">IF($A500="","",Settings!$C$14)</f>
        <v/>
      </c>
      <c r="R500" s="16" t="str">
        <f aca="false">IF($A500="","",SUMIFS(Attendance!$AZ$6:$AZ$2405,Attendance!$B$6:$B$2405,$A500,Attendance!$A$6:$A$2405,"&gt;="&amp;DATE(LvYear,1,1),Attendance!$A$6:$A$2405,"&lt;="&amp;DATE(LvYear,12,31)))</f>
        <v/>
      </c>
      <c r="S500" s="16" t="str">
        <f aca="false">IF($A500="","",SUMIFS(Attendance!$AY$6:$AY$2405,Attendance!$B$6:$B$2405,$A500,Attendance!$A$6:$A$2405,"&gt;="&amp;DATE(LvYear,1,1),Attendance!$A$6:$A$2405,"&lt;="&amp;DATE(LvYear,12,31)))</f>
        <v/>
      </c>
      <c r="T500" s="16" t="str">
        <f aca="false">IF($A500="","",SUMIFS(Attendance!$AX$6:$AX$2405,Attendance!$B$6:$B$2405,$A500,Attendance!$A$6:$A$2405,"&gt;="&amp;DATE(LvYear,1,1),Attendance!$A$6:$A$2405,"&lt;="&amp;DATE(LvYear,12,31)))</f>
        <v/>
      </c>
      <c r="U500" s="16" t="str">
        <f aca="false">IF($A500="","",SUMIFS(Attendance!$AW$6:$AW$2405,Attendance!$B$6:$B$2405,$A500,Attendance!$A$6:$A$2405,"&gt;="&amp;DATE(LvYear,1,1),Attendance!$A$6:$A$2405,"&lt;="&amp;DATE(LvYear,12,31)))</f>
        <v/>
      </c>
      <c r="V500" s="16" t="str">
        <f aca="false">IF($A500="","",L500-R500)</f>
        <v/>
      </c>
      <c r="W500" s="16" t="str">
        <f aca="false">IF($A500="","",M500-S500)</f>
        <v/>
      </c>
      <c r="X500" s="16" t="str">
        <f aca="false">IF($A500="","",P500-T500)</f>
        <v/>
      </c>
      <c r="Y500" s="16" t="str">
        <f aca="false">IF($A500="","",Q500-U500)</f>
        <v/>
      </c>
      <c r="Z500" s="16" t="str">
        <f aca="false">IF($A500="","",V500+W500+X500)</f>
        <v/>
      </c>
      <c r="AA500" s="16" t="str">
        <f aca="false">IF($A500="","",O500+N(N500)-T500)</f>
        <v/>
      </c>
      <c r="AB500" s="8" t="str">
        <f aca="false">IF($A500="","","CL "&amp;V500&amp;" | SL "&amp;W500&amp;" | PL "&amp;X500&amp;" | TR "&amp;Y500)</f>
        <v/>
      </c>
      <c r="AC500" s="15" t="str">
        <f aca="false">IF($A500="","",IF(F500="Exited","EXITED",IF(AND(ISNUMBER(K500),K500=0),"NOT ELIGIBLE",IF(MIN(V500:X500)&lt;0,"OVER-USED",IF(Z500&lt;=Settings!$C$15,"LOW","OK")))))</f>
        <v/>
      </c>
      <c r="AD500" s="16" t="str">
        <f aca="false">IF(OR(AC500="OVER-USED",AC500="LOW"),COUNTIF(AC$6:AC500,"OVER-USED")+COUNTIF(AC$6:AC500,"LOW"),"")</f>
        <v/>
      </c>
    </row>
    <row r="501" customFormat="false" ht="15" hidden="false" customHeight="false" outlineLevel="0" collapsed="false">
      <c r="A501" s="8" t="str">
        <f aca="false">IF('Employee List'!B501="","",'Employee List'!B501)</f>
        <v/>
      </c>
      <c r="B501" s="8" t="str">
        <f aca="false">IF($A501="","",'Employee List'!C501)</f>
        <v/>
      </c>
      <c r="C501" s="8" t="str">
        <f aca="false">IF($A501="","",'Employee List'!E501&amp;"")</f>
        <v/>
      </c>
      <c r="D501" s="8" t="str">
        <f aca="false">IF($A501="","",'Employee List'!F501&amp;"")</f>
        <v/>
      </c>
      <c r="E501" s="8" t="str">
        <f aca="false">IF($A501="","",'Employee List'!G501&amp;"")</f>
        <v/>
      </c>
      <c r="F501" s="8" t="str">
        <f aca="false">IF($A501="","",'Employee List'!D501)</f>
        <v/>
      </c>
      <c r="G501" s="38" t="str">
        <f aca="false">IF($A501="","",IF('Employee List'!I501="","",'Employee List'!I501))</f>
        <v/>
      </c>
      <c r="H501" s="38" t="str">
        <f aca="false">IF(OR($A501="",G501=""),"",G501+Settings!$C$13)</f>
        <v/>
      </c>
      <c r="I501" s="38" t="str">
        <f aca="false">IF(H501="","",MAX(H501,DATE(LvYear,1,1)))</f>
        <v/>
      </c>
      <c r="J501" s="38" t="str">
        <f aca="false">IF($A501="","",IF('Employee List'!J501="",DATE(LvYear,12,31),MIN('Employee List'!J501,DATE(LvYear,12,31))))</f>
        <v/>
      </c>
      <c r="K501" s="39" t="str">
        <f aca="false">IF(OR(I501="",J501=""),"",MAX(0,J501-I501+1))</f>
        <v/>
      </c>
      <c r="L501" s="16" t="str">
        <f aca="false">IF($A501="","",IF(AND(ISNUMBER(K501),K501=0),0,Settings!$C$10))</f>
        <v/>
      </c>
      <c r="M501" s="16" t="str">
        <f aca="false">IF($A501="","",IF(AND(ISNUMBER(K501),K501=0),0,Settings!$C$11))</f>
        <v/>
      </c>
      <c r="N501" s="40"/>
      <c r="O501" s="16" t="str">
        <f aca="false">IF($A501="","",FLOOR(Settings!$C$12/365*N(K501),0.5))</f>
        <v/>
      </c>
      <c r="P501" s="16" t="str">
        <f aca="false">IF($A501="","",IF(I501="",N(N501),FLOOR(Settings!$C$12/365*MAX(0,MIN(LvAsOf,J501)-I501+1)+N(N501),0.5)))</f>
        <v/>
      </c>
      <c r="Q501" s="16" t="str">
        <f aca="false">IF($A501="","",Settings!$C$14)</f>
        <v/>
      </c>
      <c r="R501" s="16" t="str">
        <f aca="false">IF($A501="","",SUMIFS(Attendance!$AZ$6:$AZ$2405,Attendance!$B$6:$B$2405,$A501,Attendance!$A$6:$A$2405,"&gt;="&amp;DATE(LvYear,1,1),Attendance!$A$6:$A$2405,"&lt;="&amp;DATE(LvYear,12,31)))</f>
        <v/>
      </c>
      <c r="S501" s="16" t="str">
        <f aca="false">IF($A501="","",SUMIFS(Attendance!$AY$6:$AY$2405,Attendance!$B$6:$B$2405,$A501,Attendance!$A$6:$A$2405,"&gt;="&amp;DATE(LvYear,1,1),Attendance!$A$6:$A$2405,"&lt;="&amp;DATE(LvYear,12,31)))</f>
        <v/>
      </c>
      <c r="T501" s="16" t="str">
        <f aca="false">IF($A501="","",SUMIFS(Attendance!$AX$6:$AX$2405,Attendance!$B$6:$B$2405,$A501,Attendance!$A$6:$A$2405,"&gt;="&amp;DATE(LvYear,1,1),Attendance!$A$6:$A$2405,"&lt;="&amp;DATE(LvYear,12,31)))</f>
        <v/>
      </c>
      <c r="U501" s="16" t="str">
        <f aca="false">IF($A501="","",SUMIFS(Attendance!$AW$6:$AW$2405,Attendance!$B$6:$B$2405,$A501,Attendance!$A$6:$A$2405,"&gt;="&amp;DATE(LvYear,1,1),Attendance!$A$6:$A$2405,"&lt;="&amp;DATE(LvYear,12,31)))</f>
        <v/>
      </c>
      <c r="V501" s="16" t="str">
        <f aca="false">IF($A501="","",L501-R501)</f>
        <v/>
      </c>
      <c r="W501" s="16" t="str">
        <f aca="false">IF($A501="","",M501-S501)</f>
        <v/>
      </c>
      <c r="X501" s="16" t="str">
        <f aca="false">IF($A501="","",P501-T501)</f>
        <v/>
      </c>
      <c r="Y501" s="16" t="str">
        <f aca="false">IF($A501="","",Q501-U501)</f>
        <v/>
      </c>
      <c r="Z501" s="16" t="str">
        <f aca="false">IF($A501="","",V501+W501+X501)</f>
        <v/>
      </c>
      <c r="AA501" s="16" t="str">
        <f aca="false">IF($A501="","",O501+N(N501)-T501)</f>
        <v/>
      </c>
      <c r="AB501" s="8" t="str">
        <f aca="false">IF($A501="","","CL "&amp;V501&amp;" | SL "&amp;W501&amp;" | PL "&amp;X501&amp;" | TR "&amp;Y501)</f>
        <v/>
      </c>
      <c r="AC501" s="15" t="str">
        <f aca="false">IF($A501="","",IF(F501="Exited","EXITED",IF(AND(ISNUMBER(K501),K501=0),"NOT ELIGIBLE",IF(MIN(V501:X501)&lt;0,"OVER-USED",IF(Z501&lt;=Settings!$C$15,"LOW","OK")))))</f>
        <v/>
      </c>
      <c r="AD501" s="16" t="str">
        <f aca="false">IF(OR(AC501="OVER-USED",AC501="LOW"),COUNTIF(AC$6:AC501,"OVER-USED")+COUNTIF(AC$6:AC501,"LOW"),"")</f>
        <v/>
      </c>
    </row>
    <row r="502" customFormat="false" ht="15" hidden="false" customHeight="false" outlineLevel="0" collapsed="false">
      <c r="A502" s="8" t="str">
        <f aca="false">IF('Employee List'!B502="","",'Employee List'!B502)</f>
        <v/>
      </c>
      <c r="B502" s="8" t="str">
        <f aca="false">IF($A502="","",'Employee List'!C502)</f>
        <v/>
      </c>
      <c r="C502" s="8" t="str">
        <f aca="false">IF($A502="","",'Employee List'!E502&amp;"")</f>
        <v/>
      </c>
      <c r="D502" s="8" t="str">
        <f aca="false">IF($A502="","",'Employee List'!F502&amp;"")</f>
        <v/>
      </c>
      <c r="E502" s="8" t="str">
        <f aca="false">IF($A502="","",'Employee List'!G502&amp;"")</f>
        <v/>
      </c>
      <c r="F502" s="8" t="str">
        <f aca="false">IF($A502="","",'Employee List'!D502)</f>
        <v/>
      </c>
      <c r="G502" s="38" t="str">
        <f aca="false">IF($A502="","",IF('Employee List'!I502="","",'Employee List'!I502))</f>
        <v/>
      </c>
      <c r="H502" s="38" t="str">
        <f aca="false">IF(OR($A502="",G502=""),"",G502+Settings!$C$13)</f>
        <v/>
      </c>
      <c r="I502" s="38" t="str">
        <f aca="false">IF(H502="","",MAX(H502,DATE(LvYear,1,1)))</f>
        <v/>
      </c>
      <c r="J502" s="38" t="str">
        <f aca="false">IF($A502="","",IF('Employee List'!J502="",DATE(LvYear,12,31),MIN('Employee List'!J502,DATE(LvYear,12,31))))</f>
        <v/>
      </c>
      <c r="K502" s="39" t="str">
        <f aca="false">IF(OR(I502="",J502=""),"",MAX(0,J502-I502+1))</f>
        <v/>
      </c>
      <c r="L502" s="16" t="str">
        <f aca="false">IF($A502="","",IF(AND(ISNUMBER(K502),K502=0),0,Settings!$C$10))</f>
        <v/>
      </c>
      <c r="M502" s="16" t="str">
        <f aca="false">IF($A502="","",IF(AND(ISNUMBER(K502),K502=0),0,Settings!$C$11))</f>
        <v/>
      </c>
      <c r="N502" s="40"/>
      <c r="O502" s="16" t="str">
        <f aca="false">IF($A502="","",FLOOR(Settings!$C$12/365*N(K502),0.5))</f>
        <v/>
      </c>
      <c r="P502" s="16" t="str">
        <f aca="false">IF($A502="","",IF(I502="",N(N502),FLOOR(Settings!$C$12/365*MAX(0,MIN(LvAsOf,J502)-I502+1)+N(N502),0.5)))</f>
        <v/>
      </c>
      <c r="Q502" s="16" t="str">
        <f aca="false">IF($A502="","",Settings!$C$14)</f>
        <v/>
      </c>
      <c r="R502" s="16" t="str">
        <f aca="false">IF($A502="","",SUMIFS(Attendance!$AZ$6:$AZ$2405,Attendance!$B$6:$B$2405,$A502,Attendance!$A$6:$A$2405,"&gt;="&amp;DATE(LvYear,1,1),Attendance!$A$6:$A$2405,"&lt;="&amp;DATE(LvYear,12,31)))</f>
        <v/>
      </c>
      <c r="S502" s="16" t="str">
        <f aca="false">IF($A502="","",SUMIFS(Attendance!$AY$6:$AY$2405,Attendance!$B$6:$B$2405,$A502,Attendance!$A$6:$A$2405,"&gt;="&amp;DATE(LvYear,1,1),Attendance!$A$6:$A$2405,"&lt;="&amp;DATE(LvYear,12,31)))</f>
        <v/>
      </c>
      <c r="T502" s="16" t="str">
        <f aca="false">IF($A502="","",SUMIFS(Attendance!$AX$6:$AX$2405,Attendance!$B$6:$B$2405,$A502,Attendance!$A$6:$A$2405,"&gt;="&amp;DATE(LvYear,1,1),Attendance!$A$6:$A$2405,"&lt;="&amp;DATE(LvYear,12,31)))</f>
        <v/>
      </c>
      <c r="U502" s="16" t="str">
        <f aca="false">IF($A502="","",SUMIFS(Attendance!$AW$6:$AW$2405,Attendance!$B$6:$B$2405,$A502,Attendance!$A$6:$A$2405,"&gt;="&amp;DATE(LvYear,1,1),Attendance!$A$6:$A$2405,"&lt;="&amp;DATE(LvYear,12,31)))</f>
        <v/>
      </c>
      <c r="V502" s="16" t="str">
        <f aca="false">IF($A502="","",L502-R502)</f>
        <v/>
      </c>
      <c r="W502" s="16" t="str">
        <f aca="false">IF($A502="","",M502-S502)</f>
        <v/>
      </c>
      <c r="X502" s="16" t="str">
        <f aca="false">IF($A502="","",P502-T502)</f>
        <v/>
      </c>
      <c r="Y502" s="16" t="str">
        <f aca="false">IF($A502="","",Q502-U502)</f>
        <v/>
      </c>
      <c r="Z502" s="16" t="str">
        <f aca="false">IF($A502="","",V502+W502+X502)</f>
        <v/>
      </c>
      <c r="AA502" s="16" t="str">
        <f aca="false">IF($A502="","",O502+N(N502)-T502)</f>
        <v/>
      </c>
      <c r="AB502" s="8" t="str">
        <f aca="false">IF($A502="","","CL "&amp;V502&amp;" | SL "&amp;W502&amp;" | PL "&amp;X502&amp;" | TR "&amp;Y502)</f>
        <v/>
      </c>
      <c r="AC502" s="15" t="str">
        <f aca="false">IF($A502="","",IF(F502="Exited","EXITED",IF(AND(ISNUMBER(K502),K502=0),"NOT ELIGIBLE",IF(MIN(V502:X502)&lt;0,"OVER-USED",IF(Z502&lt;=Settings!$C$15,"LOW","OK")))))</f>
        <v/>
      </c>
      <c r="AD502" s="16" t="str">
        <f aca="false">IF(OR(AC502="OVER-USED",AC502="LOW"),COUNTIF(AC$6:AC502,"OVER-USED")+COUNTIF(AC$6:AC502,"LOW"),"")</f>
        <v/>
      </c>
    </row>
    <row r="503" customFormat="false" ht="15" hidden="false" customHeight="false" outlineLevel="0" collapsed="false">
      <c r="A503" s="8" t="str">
        <f aca="false">IF('Employee List'!B503="","",'Employee List'!B503)</f>
        <v/>
      </c>
      <c r="B503" s="8" t="str">
        <f aca="false">IF($A503="","",'Employee List'!C503)</f>
        <v/>
      </c>
      <c r="C503" s="8" t="str">
        <f aca="false">IF($A503="","",'Employee List'!E503&amp;"")</f>
        <v/>
      </c>
      <c r="D503" s="8" t="str">
        <f aca="false">IF($A503="","",'Employee List'!F503&amp;"")</f>
        <v/>
      </c>
      <c r="E503" s="8" t="str">
        <f aca="false">IF($A503="","",'Employee List'!G503&amp;"")</f>
        <v/>
      </c>
      <c r="F503" s="8" t="str">
        <f aca="false">IF($A503="","",'Employee List'!D503)</f>
        <v/>
      </c>
      <c r="G503" s="38" t="str">
        <f aca="false">IF($A503="","",IF('Employee List'!I503="","",'Employee List'!I503))</f>
        <v/>
      </c>
      <c r="H503" s="38" t="str">
        <f aca="false">IF(OR($A503="",G503=""),"",G503+Settings!$C$13)</f>
        <v/>
      </c>
      <c r="I503" s="38" t="str">
        <f aca="false">IF(H503="","",MAX(H503,DATE(LvYear,1,1)))</f>
        <v/>
      </c>
      <c r="J503" s="38" t="str">
        <f aca="false">IF($A503="","",IF('Employee List'!J503="",DATE(LvYear,12,31),MIN('Employee List'!J503,DATE(LvYear,12,31))))</f>
        <v/>
      </c>
      <c r="K503" s="39" t="str">
        <f aca="false">IF(OR(I503="",J503=""),"",MAX(0,J503-I503+1))</f>
        <v/>
      </c>
      <c r="L503" s="16" t="str">
        <f aca="false">IF($A503="","",IF(AND(ISNUMBER(K503),K503=0),0,Settings!$C$10))</f>
        <v/>
      </c>
      <c r="M503" s="16" t="str">
        <f aca="false">IF($A503="","",IF(AND(ISNUMBER(K503),K503=0),0,Settings!$C$11))</f>
        <v/>
      </c>
      <c r="N503" s="40"/>
      <c r="O503" s="16" t="str">
        <f aca="false">IF($A503="","",FLOOR(Settings!$C$12/365*N(K503),0.5))</f>
        <v/>
      </c>
      <c r="P503" s="16" t="str">
        <f aca="false">IF($A503="","",IF(I503="",N(N503),FLOOR(Settings!$C$12/365*MAX(0,MIN(LvAsOf,J503)-I503+1)+N(N503),0.5)))</f>
        <v/>
      </c>
      <c r="Q503" s="16" t="str">
        <f aca="false">IF($A503="","",Settings!$C$14)</f>
        <v/>
      </c>
      <c r="R503" s="16" t="str">
        <f aca="false">IF($A503="","",SUMIFS(Attendance!$AZ$6:$AZ$2405,Attendance!$B$6:$B$2405,$A503,Attendance!$A$6:$A$2405,"&gt;="&amp;DATE(LvYear,1,1),Attendance!$A$6:$A$2405,"&lt;="&amp;DATE(LvYear,12,31)))</f>
        <v/>
      </c>
      <c r="S503" s="16" t="str">
        <f aca="false">IF($A503="","",SUMIFS(Attendance!$AY$6:$AY$2405,Attendance!$B$6:$B$2405,$A503,Attendance!$A$6:$A$2405,"&gt;="&amp;DATE(LvYear,1,1),Attendance!$A$6:$A$2405,"&lt;="&amp;DATE(LvYear,12,31)))</f>
        <v/>
      </c>
      <c r="T503" s="16" t="str">
        <f aca="false">IF($A503="","",SUMIFS(Attendance!$AX$6:$AX$2405,Attendance!$B$6:$B$2405,$A503,Attendance!$A$6:$A$2405,"&gt;="&amp;DATE(LvYear,1,1),Attendance!$A$6:$A$2405,"&lt;="&amp;DATE(LvYear,12,31)))</f>
        <v/>
      </c>
      <c r="U503" s="16" t="str">
        <f aca="false">IF($A503="","",SUMIFS(Attendance!$AW$6:$AW$2405,Attendance!$B$6:$B$2405,$A503,Attendance!$A$6:$A$2405,"&gt;="&amp;DATE(LvYear,1,1),Attendance!$A$6:$A$2405,"&lt;="&amp;DATE(LvYear,12,31)))</f>
        <v/>
      </c>
      <c r="V503" s="16" t="str">
        <f aca="false">IF($A503="","",L503-R503)</f>
        <v/>
      </c>
      <c r="W503" s="16" t="str">
        <f aca="false">IF($A503="","",M503-S503)</f>
        <v/>
      </c>
      <c r="X503" s="16" t="str">
        <f aca="false">IF($A503="","",P503-T503)</f>
        <v/>
      </c>
      <c r="Y503" s="16" t="str">
        <f aca="false">IF($A503="","",Q503-U503)</f>
        <v/>
      </c>
      <c r="Z503" s="16" t="str">
        <f aca="false">IF($A503="","",V503+W503+X503)</f>
        <v/>
      </c>
      <c r="AA503" s="16" t="str">
        <f aca="false">IF($A503="","",O503+N(N503)-T503)</f>
        <v/>
      </c>
      <c r="AB503" s="8" t="str">
        <f aca="false">IF($A503="","","CL "&amp;V503&amp;" | SL "&amp;W503&amp;" | PL "&amp;X503&amp;" | TR "&amp;Y503)</f>
        <v/>
      </c>
      <c r="AC503" s="15" t="str">
        <f aca="false">IF($A503="","",IF(F503="Exited","EXITED",IF(AND(ISNUMBER(K503),K503=0),"NOT ELIGIBLE",IF(MIN(V503:X503)&lt;0,"OVER-USED",IF(Z503&lt;=Settings!$C$15,"LOW","OK")))))</f>
        <v/>
      </c>
      <c r="AD503" s="16" t="str">
        <f aca="false">IF(OR(AC503="OVER-USED",AC503="LOW"),COUNTIF(AC$6:AC503,"OVER-USED")+COUNTIF(AC$6:AC503,"LOW"),"")</f>
        <v/>
      </c>
    </row>
    <row r="504" customFormat="false" ht="15" hidden="false" customHeight="false" outlineLevel="0" collapsed="false">
      <c r="A504" s="8" t="str">
        <f aca="false">IF('Employee List'!B504="","",'Employee List'!B504)</f>
        <v/>
      </c>
      <c r="B504" s="8" t="str">
        <f aca="false">IF($A504="","",'Employee List'!C504)</f>
        <v/>
      </c>
      <c r="C504" s="8" t="str">
        <f aca="false">IF($A504="","",'Employee List'!E504&amp;"")</f>
        <v/>
      </c>
      <c r="D504" s="8" t="str">
        <f aca="false">IF($A504="","",'Employee List'!F504&amp;"")</f>
        <v/>
      </c>
      <c r="E504" s="8" t="str">
        <f aca="false">IF($A504="","",'Employee List'!G504&amp;"")</f>
        <v/>
      </c>
      <c r="F504" s="8" t="str">
        <f aca="false">IF($A504="","",'Employee List'!D504)</f>
        <v/>
      </c>
      <c r="G504" s="38" t="str">
        <f aca="false">IF($A504="","",IF('Employee List'!I504="","",'Employee List'!I504))</f>
        <v/>
      </c>
      <c r="H504" s="38" t="str">
        <f aca="false">IF(OR($A504="",G504=""),"",G504+Settings!$C$13)</f>
        <v/>
      </c>
      <c r="I504" s="38" t="str">
        <f aca="false">IF(H504="","",MAX(H504,DATE(LvYear,1,1)))</f>
        <v/>
      </c>
      <c r="J504" s="38" t="str">
        <f aca="false">IF($A504="","",IF('Employee List'!J504="",DATE(LvYear,12,31),MIN('Employee List'!J504,DATE(LvYear,12,31))))</f>
        <v/>
      </c>
      <c r="K504" s="39" t="str">
        <f aca="false">IF(OR(I504="",J504=""),"",MAX(0,J504-I504+1))</f>
        <v/>
      </c>
      <c r="L504" s="16" t="str">
        <f aca="false">IF($A504="","",IF(AND(ISNUMBER(K504),K504=0),0,Settings!$C$10))</f>
        <v/>
      </c>
      <c r="M504" s="16" t="str">
        <f aca="false">IF($A504="","",IF(AND(ISNUMBER(K504),K504=0),0,Settings!$C$11))</f>
        <v/>
      </c>
      <c r="N504" s="40"/>
      <c r="O504" s="16" t="str">
        <f aca="false">IF($A504="","",FLOOR(Settings!$C$12/365*N(K504),0.5))</f>
        <v/>
      </c>
      <c r="P504" s="16" t="str">
        <f aca="false">IF($A504="","",IF(I504="",N(N504),FLOOR(Settings!$C$12/365*MAX(0,MIN(LvAsOf,J504)-I504+1)+N(N504),0.5)))</f>
        <v/>
      </c>
      <c r="Q504" s="16" t="str">
        <f aca="false">IF($A504="","",Settings!$C$14)</f>
        <v/>
      </c>
      <c r="R504" s="16" t="str">
        <f aca="false">IF($A504="","",SUMIFS(Attendance!$AZ$6:$AZ$2405,Attendance!$B$6:$B$2405,$A504,Attendance!$A$6:$A$2405,"&gt;="&amp;DATE(LvYear,1,1),Attendance!$A$6:$A$2405,"&lt;="&amp;DATE(LvYear,12,31)))</f>
        <v/>
      </c>
      <c r="S504" s="16" t="str">
        <f aca="false">IF($A504="","",SUMIFS(Attendance!$AY$6:$AY$2405,Attendance!$B$6:$B$2405,$A504,Attendance!$A$6:$A$2405,"&gt;="&amp;DATE(LvYear,1,1),Attendance!$A$6:$A$2405,"&lt;="&amp;DATE(LvYear,12,31)))</f>
        <v/>
      </c>
      <c r="T504" s="16" t="str">
        <f aca="false">IF($A504="","",SUMIFS(Attendance!$AX$6:$AX$2405,Attendance!$B$6:$B$2405,$A504,Attendance!$A$6:$A$2405,"&gt;="&amp;DATE(LvYear,1,1),Attendance!$A$6:$A$2405,"&lt;="&amp;DATE(LvYear,12,31)))</f>
        <v/>
      </c>
      <c r="U504" s="16" t="str">
        <f aca="false">IF($A504="","",SUMIFS(Attendance!$AW$6:$AW$2405,Attendance!$B$6:$B$2405,$A504,Attendance!$A$6:$A$2405,"&gt;="&amp;DATE(LvYear,1,1),Attendance!$A$6:$A$2405,"&lt;="&amp;DATE(LvYear,12,31)))</f>
        <v/>
      </c>
      <c r="V504" s="16" t="str">
        <f aca="false">IF($A504="","",L504-R504)</f>
        <v/>
      </c>
      <c r="W504" s="16" t="str">
        <f aca="false">IF($A504="","",M504-S504)</f>
        <v/>
      </c>
      <c r="X504" s="16" t="str">
        <f aca="false">IF($A504="","",P504-T504)</f>
        <v/>
      </c>
      <c r="Y504" s="16" t="str">
        <f aca="false">IF($A504="","",Q504-U504)</f>
        <v/>
      </c>
      <c r="Z504" s="16" t="str">
        <f aca="false">IF($A504="","",V504+W504+X504)</f>
        <v/>
      </c>
      <c r="AA504" s="16" t="str">
        <f aca="false">IF($A504="","",O504+N(N504)-T504)</f>
        <v/>
      </c>
      <c r="AB504" s="8" t="str">
        <f aca="false">IF($A504="","","CL "&amp;V504&amp;" | SL "&amp;W504&amp;" | PL "&amp;X504&amp;" | TR "&amp;Y504)</f>
        <v/>
      </c>
      <c r="AC504" s="15" t="str">
        <f aca="false">IF($A504="","",IF(F504="Exited","EXITED",IF(AND(ISNUMBER(K504),K504=0),"NOT ELIGIBLE",IF(MIN(V504:X504)&lt;0,"OVER-USED",IF(Z504&lt;=Settings!$C$15,"LOW","OK")))))</f>
        <v/>
      </c>
      <c r="AD504" s="16" t="str">
        <f aca="false">IF(OR(AC504="OVER-USED",AC504="LOW"),COUNTIF(AC$6:AC504,"OVER-USED")+COUNTIF(AC$6:AC504,"LOW"),"")</f>
        <v/>
      </c>
    </row>
    <row r="505" customFormat="false" ht="15" hidden="false" customHeight="false" outlineLevel="0" collapsed="false">
      <c r="A505" s="8" t="str">
        <f aca="false">IF('Employee List'!B505="","",'Employee List'!B505)</f>
        <v/>
      </c>
      <c r="B505" s="8" t="str">
        <f aca="false">IF($A505="","",'Employee List'!C505)</f>
        <v/>
      </c>
      <c r="C505" s="8" t="str">
        <f aca="false">IF($A505="","",'Employee List'!E505&amp;"")</f>
        <v/>
      </c>
      <c r="D505" s="8" t="str">
        <f aca="false">IF($A505="","",'Employee List'!F505&amp;"")</f>
        <v/>
      </c>
      <c r="E505" s="8" t="str">
        <f aca="false">IF($A505="","",'Employee List'!G505&amp;"")</f>
        <v/>
      </c>
      <c r="F505" s="8" t="str">
        <f aca="false">IF($A505="","",'Employee List'!D505)</f>
        <v/>
      </c>
      <c r="G505" s="38" t="str">
        <f aca="false">IF($A505="","",IF('Employee List'!I505="","",'Employee List'!I505))</f>
        <v/>
      </c>
      <c r="H505" s="38" t="str">
        <f aca="false">IF(OR($A505="",G505=""),"",G505+Settings!$C$13)</f>
        <v/>
      </c>
      <c r="I505" s="38" t="str">
        <f aca="false">IF(H505="","",MAX(H505,DATE(LvYear,1,1)))</f>
        <v/>
      </c>
      <c r="J505" s="38" t="str">
        <f aca="false">IF($A505="","",IF('Employee List'!J505="",DATE(LvYear,12,31),MIN('Employee List'!J505,DATE(LvYear,12,31))))</f>
        <v/>
      </c>
      <c r="K505" s="39" t="str">
        <f aca="false">IF(OR(I505="",J505=""),"",MAX(0,J505-I505+1))</f>
        <v/>
      </c>
      <c r="L505" s="16" t="str">
        <f aca="false">IF($A505="","",IF(AND(ISNUMBER(K505),K505=0),0,Settings!$C$10))</f>
        <v/>
      </c>
      <c r="M505" s="16" t="str">
        <f aca="false">IF($A505="","",IF(AND(ISNUMBER(K505),K505=0),0,Settings!$C$11))</f>
        <v/>
      </c>
      <c r="N505" s="40"/>
      <c r="O505" s="16" t="str">
        <f aca="false">IF($A505="","",FLOOR(Settings!$C$12/365*N(K505),0.5))</f>
        <v/>
      </c>
      <c r="P505" s="16" t="str">
        <f aca="false">IF($A505="","",IF(I505="",N(N505),FLOOR(Settings!$C$12/365*MAX(0,MIN(LvAsOf,J505)-I505+1)+N(N505),0.5)))</f>
        <v/>
      </c>
      <c r="Q505" s="16" t="str">
        <f aca="false">IF($A505="","",Settings!$C$14)</f>
        <v/>
      </c>
      <c r="R505" s="16" t="str">
        <f aca="false">IF($A505="","",SUMIFS(Attendance!$AZ$6:$AZ$2405,Attendance!$B$6:$B$2405,$A505,Attendance!$A$6:$A$2405,"&gt;="&amp;DATE(LvYear,1,1),Attendance!$A$6:$A$2405,"&lt;="&amp;DATE(LvYear,12,31)))</f>
        <v/>
      </c>
      <c r="S505" s="16" t="str">
        <f aca="false">IF($A505="","",SUMIFS(Attendance!$AY$6:$AY$2405,Attendance!$B$6:$B$2405,$A505,Attendance!$A$6:$A$2405,"&gt;="&amp;DATE(LvYear,1,1),Attendance!$A$6:$A$2405,"&lt;="&amp;DATE(LvYear,12,31)))</f>
        <v/>
      </c>
      <c r="T505" s="16" t="str">
        <f aca="false">IF($A505="","",SUMIFS(Attendance!$AX$6:$AX$2405,Attendance!$B$6:$B$2405,$A505,Attendance!$A$6:$A$2405,"&gt;="&amp;DATE(LvYear,1,1),Attendance!$A$6:$A$2405,"&lt;="&amp;DATE(LvYear,12,31)))</f>
        <v/>
      </c>
      <c r="U505" s="16" t="str">
        <f aca="false">IF($A505="","",SUMIFS(Attendance!$AW$6:$AW$2405,Attendance!$B$6:$B$2405,$A505,Attendance!$A$6:$A$2405,"&gt;="&amp;DATE(LvYear,1,1),Attendance!$A$6:$A$2405,"&lt;="&amp;DATE(LvYear,12,31)))</f>
        <v/>
      </c>
      <c r="V505" s="16" t="str">
        <f aca="false">IF($A505="","",L505-R505)</f>
        <v/>
      </c>
      <c r="W505" s="16" t="str">
        <f aca="false">IF($A505="","",M505-S505)</f>
        <v/>
      </c>
      <c r="X505" s="16" t="str">
        <f aca="false">IF($A505="","",P505-T505)</f>
        <v/>
      </c>
      <c r="Y505" s="16" t="str">
        <f aca="false">IF($A505="","",Q505-U505)</f>
        <v/>
      </c>
      <c r="Z505" s="16" t="str">
        <f aca="false">IF($A505="","",V505+W505+X505)</f>
        <v/>
      </c>
      <c r="AA505" s="16" t="str">
        <f aca="false">IF($A505="","",O505+N(N505)-T505)</f>
        <v/>
      </c>
      <c r="AB505" s="8" t="str">
        <f aca="false">IF($A505="","","CL "&amp;V505&amp;" | SL "&amp;W505&amp;" | PL "&amp;X505&amp;" | TR "&amp;Y505)</f>
        <v/>
      </c>
      <c r="AC505" s="15" t="str">
        <f aca="false">IF($A505="","",IF(F505="Exited","EXITED",IF(AND(ISNUMBER(K505),K505=0),"NOT ELIGIBLE",IF(MIN(V505:X505)&lt;0,"OVER-USED",IF(Z505&lt;=Settings!$C$15,"LOW","OK")))))</f>
        <v/>
      </c>
      <c r="AD505" s="16" t="str">
        <f aca="false">IF(OR(AC505="OVER-USED",AC505="LOW"),COUNTIF(AC$6:AC505,"OVER-USED")+COUNTIF(AC$6:AC505,"LOW"),"")</f>
        <v/>
      </c>
    </row>
  </sheetData>
  <autoFilter ref="A5:AD505"/>
  <conditionalFormatting sqref="AC6:AC505">
    <cfRule type="cellIs" priority="2" operator="equal" aboveAverage="0" equalAverage="0" bottom="0" percent="0" rank="0" text="" dxfId="0">
      <formula>"OVER-USED"</formula>
    </cfRule>
    <cfRule type="cellIs" priority="3" operator="equal" aboveAverage="0" equalAverage="0" bottom="0" percent="0" rank="0" text="" dxfId="1">
      <formula>"LOW"</formula>
    </cfRule>
    <cfRule type="cellIs" priority="4" operator="equal" aboveAverage="0" equalAverage="0" bottom="0" percent="0" rank="0" text="" dxfId="9">
      <formula>"OK"</formula>
    </cfRule>
    <cfRule type="cellIs" priority="5" operator="equal" aboveAverage="0" equalAverage="0" bottom="0" percent="0" rank="0" text="" dxfId="21">
      <formula>"EXITED"</formula>
    </cfRule>
    <cfRule type="cellIs" priority="6" operator="equal" aboveAverage="0" equalAverage="0" bottom="0" percent="0" rank="0" text="" dxfId="22">
      <formula>"NOT ELIGIBLE"</formula>
    </cfRule>
  </conditionalFormatting>
  <conditionalFormatting sqref="V6:Z505">
    <cfRule type="expression" priority="7" aboveAverage="0" equalAverage="0" bottom="0" percent="0" rank="0" text="" dxfId="0">
      <formula>AND(ISNUMBER(V6),V6&lt;0)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B1:D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2"/>
    <col collapsed="false" customWidth="true" hidden="false" outlineLevel="0" max="4" min="4" style="0" width="78"/>
    <col collapsed="false" customWidth="true" hidden="false" outlineLevel="0" max="5" min="5" style="0" width="2"/>
  </cols>
  <sheetData>
    <row r="1" customFormat="false" ht="19.7" hidden="false" customHeight="false" outlineLevel="0" collapsed="false">
      <c r="B1" s="26" t="s">
        <v>154</v>
      </c>
    </row>
    <row r="2" customFormat="false" ht="15" hidden="false" customHeight="false" outlineLevel="0" collapsed="false">
      <c r="B2" s="20" t="s">
        <v>155</v>
      </c>
    </row>
    <row r="4" customFormat="false" ht="15" hidden="false" customHeight="false" outlineLevel="0" collapsed="false">
      <c r="B4" s="14" t="s">
        <v>156</v>
      </c>
      <c r="C4" s="14" t="s">
        <v>157</v>
      </c>
      <c r="D4" s="14" t="s">
        <v>158</v>
      </c>
    </row>
    <row r="5" customFormat="false" ht="15" hidden="false" customHeight="false" outlineLevel="0" collapsed="false">
      <c r="B5" s="41" t="s">
        <v>159</v>
      </c>
      <c r="C5" s="42" t="s">
        <v>160</v>
      </c>
      <c r="D5" s="43" t="s">
        <v>161</v>
      </c>
    </row>
    <row r="6" customFormat="false" ht="15" hidden="false" customHeight="false" outlineLevel="0" collapsed="false">
      <c r="B6" s="41" t="s">
        <v>162</v>
      </c>
      <c r="C6" s="44" t="n">
        <f aca="true">TODAY()</f>
        <v>46322</v>
      </c>
      <c r="D6" s="43" t="s">
        <v>163</v>
      </c>
    </row>
    <row r="7" customFormat="false" ht="22.35" hidden="false" customHeight="false" outlineLevel="0" collapsed="false">
      <c r="B7" s="41" t="s">
        <v>164</v>
      </c>
      <c r="C7" s="45" t="n">
        <f aca="false">YEAR(C6)</f>
        <v>2026</v>
      </c>
      <c r="D7" s="43" t="s">
        <v>165</v>
      </c>
    </row>
    <row r="8" customFormat="false" ht="15" hidden="true" customHeight="false" outlineLevel="0" collapsed="false">
      <c r="B8" s="41" t="s">
        <v>166</v>
      </c>
      <c r="C8" s="46" t="str">
        <f aca="false">IF(MONTH(C6)&gt;=4,YEAR(C6),YEAR(C6)-1)&amp;"-"&amp;RIGHT(IF(MONTH(C6)&gt;=4,YEAR(C6),YEAR(C6)-1)+1,2)</f>
        <v>2026-27</v>
      </c>
      <c r="D8" s="43" t="s">
        <v>167</v>
      </c>
    </row>
    <row r="9" customFormat="false" ht="15" hidden="false" customHeight="false" outlineLevel="0" collapsed="false">
      <c r="B9" s="41" t="s">
        <v>168</v>
      </c>
      <c r="C9" s="47" t="n">
        <f aca="false">MIN(C6,DATE(C7,12,31))</f>
        <v>46322</v>
      </c>
      <c r="D9" s="43" t="s">
        <v>169</v>
      </c>
    </row>
    <row r="10" customFormat="false" ht="15" hidden="false" customHeight="false" outlineLevel="0" collapsed="false">
      <c r="B10" s="41" t="s">
        <v>170</v>
      </c>
      <c r="C10" s="40" t="n">
        <v>7</v>
      </c>
      <c r="D10" s="43" t="s">
        <v>171</v>
      </c>
    </row>
    <row r="11" customFormat="false" ht="15" hidden="false" customHeight="false" outlineLevel="0" collapsed="false">
      <c r="B11" s="41" t="s">
        <v>172</v>
      </c>
      <c r="C11" s="40" t="n">
        <v>7</v>
      </c>
      <c r="D11" s="43" t="s">
        <v>171</v>
      </c>
    </row>
    <row r="12" customFormat="false" ht="15" hidden="false" customHeight="false" outlineLevel="0" collapsed="false">
      <c r="B12" s="41" t="s">
        <v>173</v>
      </c>
      <c r="C12" s="40" t="n">
        <v>18</v>
      </c>
      <c r="D12" s="43" t="s">
        <v>174</v>
      </c>
    </row>
    <row r="13" customFormat="false" ht="15" hidden="false" customHeight="false" outlineLevel="0" collapsed="false">
      <c r="B13" s="41" t="s">
        <v>175</v>
      </c>
      <c r="C13" s="45" t="n">
        <v>90</v>
      </c>
      <c r="D13" s="43" t="s">
        <v>176</v>
      </c>
    </row>
    <row r="14" customFormat="false" ht="15" hidden="false" customHeight="false" outlineLevel="0" collapsed="false">
      <c r="B14" s="41" t="s">
        <v>177</v>
      </c>
      <c r="C14" s="45" t="n">
        <v>0</v>
      </c>
      <c r="D14" s="43" t="s">
        <v>178</v>
      </c>
    </row>
    <row r="15" customFormat="false" ht="23.85" hidden="false" customHeight="false" outlineLevel="0" collapsed="false">
      <c r="B15" s="41" t="s">
        <v>179</v>
      </c>
      <c r="C15" s="40" t="n">
        <v>3</v>
      </c>
      <c r="D15" s="43" t="s">
        <v>180</v>
      </c>
    </row>
    <row r="16" customFormat="false" ht="15" hidden="false" customHeight="false" outlineLevel="0" collapsed="false">
      <c r="B16" s="41" t="s">
        <v>181</v>
      </c>
      <c r="C16" s="45" t="n">
        <v>3</v>
      </c>
      <c r="D16" s="43" t="s">
        <v>171</v>
      </c>
    </row>
    <row r="17" customFormat="false" ht="15" hidden="false" customHeight="false" outlineLevel="0" collapsed="false">
      <c r="B17" s="41" t="s">
        <v>182</v>
      </c>
      <c r="C17" s="40" t="n">
        <v>0.5</v>
      </c>
      <c r="D17" s="43" t="s">
        <v>171</v>
      </c>
    </row>
    <row r="18" customFormat="false" ht="15" hidden="true" customHeight="false" outlineLevel="0" collapsed="false">
      <c r="B18" s="41" t="s">
        <v>183</v>
      </c>
      <c r="C18" s="45" t="n">
        <v>30</v>
      </c>
      <c r="D18" s="43" t="s">
        <v>184</v>
      </c>
    </row>
    <row r="21" customFormat="false" ht="15" hidden="false" customHeight="false" outlineLevel="0" collapsed="false">
      <c r="B21" s="21" t="s">
        <v>185</v>
      </c>
    </row>
    <row r="22" customFormat="false" ht="15" hidden="false" customHeight="false" outlineLevel="0" collapsed="false">
      <c r="B22" s="14" t="s">
        <v>90</v>
      </c>
      <c r="C22" s="14" t="s">
        <v>186</v>
      </c>
      <c r="D22" s="14" t="s">
        <v>187</v>
      </c>
    </row>
    <row r="23" customFormat="false" ht="15" hidden="false" customHeight="false" outlineLevel="0" collapsed="false">
      <c r="B23" s="48" t="s">
        <v>188</v>
      </c>
      <c r="C23" s="8" t="s">
        <v>189</v>
      </c>
      <c r="D23" s="41" t="s">
        <v>190</v>
      </c>
    </row>
    <row r="24" customFormat="false" ht="15" hidden="false" customHeight="false" outlineLevel="0" collapsed="false">
      <c r="B24" s="48" t="s">
        <v>191</v>
      </c>
      <c r="C24" s="8" t="s">
        <v>192</v>
      </c>
      <c r="D24" s="41" t="s">
        <v>193</v>
      </c>
    </row>
    <row r="25" customFormat="false" ht="15" hidden="false" customHeight="false" outlineLevel="0" collapsed="false">
      <c r="B25" s="48" t="s">
        <v>194</v>
      </c>
      <c r="C25" s="8" t="s">
        <v>195</v>
      </c>
      <c r="D25" s="41" t="s">
        <v>196</v>
      </c>
    </row>
    <row r="26" customFormat="false" ht="15" hidden="false" customHeight="false" outlineLevel="0" collapsed="false">
      <c r="B26" s="48" t="s">
        <v>197</v>
      </c>
      <c r="C26" s="8" t="s">
        <v>198</v>
      </c>
      <c r="D26" s="41" t="s">
        <v>199</v>
      </c>
    </row>
    <row r="27" customFormat="false" ht="15" hidden="false" customHeight="false" outlineLevel="0" collapsed="false">
      <c r="B27" s="48" t="s">
        <v>94</v>
      </c>
      <c r="C27" s="8" t="s">
        <v>200</v>
      </c>
      <c r="D27" s="41" t="s">
        <v>201</v>
      </c>
    </row>
    <row r="28" customFormat="false" ht="15" hidden="false" customHeight="false" outlineLevel="0" collapsed="false">
      <c r="B28" s="48" t="s">
        <v>202</v>
      </c>
      <c r="C28" s="8" t="s">
        <v>203</v>
      </c>
      <c r="D28" s="41" t="s">
        <v>204</v>
      </c>
    </row>
    <row r="29" customFormat="false" ht="15" hidden="false" customHeight="false" outlineLevel="0" collapsed="false">
      <c r="B29" s="48" t="s">
        <v>92</v>
      </c>
      <c r="C29" s="8" t="s">
        <v>205</v>
      </c>
      <c r="D29" s="41" t="s">
        <v>206</v>
      </c>
    </row>
    <row r="30" customFormat="false" ht="15" hidden="false" customHeight="false" outlineLevel="0" collapsed="false">
      <c r="B30" s="48" t="s">
        <v>207</v>
      </c>
      <c r="C30" s="8" t="s">
        <v>208</v>
      </c>
      <c r="D30" s="41" t="s">
        <v>209</v>
      </c>
    </row>
    <row r="31" customFormat="false" ht="15" hidden="false" customHeight="false" outlineLevel="0" collapsed="false">
      <c r="B31" s="48" t="s">
        <v>93</v>
      </c>
      <c r="C31" s="8" t="s">
        <v>210</v>
      </c>
      <c r="D31" s="41" t="s">
        <v>211</v>
      </c>
    </row>
    <row r="32" customFormat="false" ht="15" hidden="false" customHeight="false" outlineLevel="0" collapsed="false">
      <c r="B32" s="48" t="s">
        <v>212</v>
      </c>
      <c r="C32" s="8" t="s">
        <v>213</v>
      </c>
      <c r="D32" s="41" t="s">
        <v>190</v>
      </c>
    </row>
    <row r="33" customFormat="false" ht="15" hidden="false" customHeight="false" outlineLevel="0" collapsed="false">
      <c r="B33" s="48" t="s">
        <v>214</v>
      </c>
      <c r="C33" s="8" t="s">
        <v>215</v>
      </c>
      <c r="D33" s="41" t="s">
        <v>190</v>
      </c>
    </row>
    <row r="34" customFormat="false" ht="15" hidden="false" customHeight="false" outlineLevel="0" collapsed="false">
      <c r="B34" s="48" t="s">
        <v>216</v>
      </c>
      <c r="C34" s="8" t="s">
        <v>217</v>
      </c>
      <c r="D34" s="41" t="s">
        <v>190</v>
      </c>
    </row>
    <row r="35" customFormat="false" ht="15" hidden="false" customHeight="false" outlineLevel="0" collapsed="false">
      <c r="B35" s="48" t="s">
        <v>218</v>
      </c>
      <c r="C35" s="8" t="s">
        <v>219</v>
      </c>
      <c r="D35" s="41" t="s">
        <v>220</v>
      </c>
    </row>
    <row r="37" customFormat="false" ht="15" hidden="false" customHeight="false" outlineLevel="0" collapsed="false">
      <c r="B37" s="20"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C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4"/>
  </cols>
  <sheetData>
    <row r="1" customFormat="false" ht="19.7" hidden="false" customHeight="false" outlineLevel="0" collapsed="false">
      <c r="A1" s="26" t="s">
        <v>222</v>
      </c>
    </row>
    <row r="2" customFormat="false" ht="15" hidden="false" customHeight="false" outlineLevel="0" collapsed="false">
      <c r="A2" s="20" t="s">
        <v>223</v>
      </c>
    </row>
    <row r="4" customFormat="false" ht="15" hidden="false" customHeight="false" outlineLevel="0" collapsed="false">
      <c r="A4" s="14" t="s">
        <v>70</v>
      </c>
      <c r="B4" s="14" t="s">
        <v>77</v>
      </c>
      <c r="C4" s="14" t="s">
        <v>106</v>
      </c>
    </row>
    <row r="5" customFormat="false" ht="15" hidden="false" customHeight="false" outlineLevel="0" collapsed="false">
      <c r="A5" s="9" t="s">
        <v>224</v>
      </c>
      <c r="B5" s="9" t="s">
        <v>225</v>
      </c>
      <c r="C5" s="9" t="s">
        <v>226</v>
      </c>
    </row>
    <row r="6" customFormat="false" ht="15" hidden="false" customHeight="false" outlineLevel="0" collapsed="false">
      <c r="A6" s="9" t="s">
        <v>227</v>
      </c>
      <c r="B6" s="9" t="s">
        <v>228</v>
      </c>
      <c r="C6" s="9" t="s">
        <v>229</v>
      </c>
    </row>
    <row r="7" customFormat="false" ht="15" hidden="false" customHeight="false" outlineLevel="0" collapsed="false">
      <c r="A7" s="9" t="s">
        <v>230</v>
      </c>
      <c r="B7" s="9"/>
      <c r="C7" s="9" t="s">
        <v>231</v>
      </c>
    </row>
    <row r="8" customFormat="false" ht="15" hidden="false" customHeight="false" outlineLevel="0" collapsed="false">
      <c r="A8" s="9" t="s">
        <v>232</v>
      </c>
      <c r="B8" s="9"/>
      <c r="C8" s="9" t="s">
        <v>233</v>
      </c>
    </row>
    <row r="9" customFormat="false" ht="15" hidden="false" customHeight="false" outlineLevel="0" collapsed="false">
      <c r="A9" s="9" t="s">
        <v>234</v>
      </c>
      <c r="B9" s="9"/>
      <c r="C9" s="9" t="s">
        <v>235</v>
      </c>
    </row>
    <row r="10" customFormat="false" ht="15" hidden="false" customHeight="false" outlineLevel="0" collapsed="false">
      <c r="A10" s="9" t="s">
        <v>236</v>
      </c>
      <c r="B10" s="9"/>
      <c r="C10" s="9"/>
    </row>
    <row r="11" customFormat="false" ht="15" hidden="false" customHeight="false" outlineLevel="0" collapsed="false">
      <c r="A11" s="9" t="s">
        <v>237</v>
      </c>
      <c r="B11" s="9"/>
      <c r="C11" s="9"/>
    </row>
    <row r="12" customFormat="false" ht="15" hidden="false" customHeight="false" outlineLevel="0" collapsed="false">
      <c r="A12" s="9" t="s">
        <v>238</v>
      </c>
      <c r="B12" s="9"/>
      <c r="C12" s="9"/>
    </row>
    <row r="13" customFormat="false" ht="15" hidden="false" customHeight="false" outlineLevel="0" collapsed="false">
      <c r="A13" s="9"/>
      <c r="B13" s="9"/>
      <c r="C13" s="9"/>
    </row>
    <row r="14" customFormat="false" ht="15" hidden="false" customHeight="false" outlineLevel="0" collapsed="false">
      <c r="A14" s="9"/>
      <c r="B14" s="9"/>
      <c r="C14" s="9"/>
    </row>
    <row r="15" customFormat="false" ht="15" hidden="false" customHeight="false" outlineLevel="0" collapsed="false">
      <c r="A15" s="9"/>
      <c r="C15" s="9"/>
    </row>
    <row r="16" customFormat="false" ht="15" hidden="false" customHeight="false" outlineLevel="0" collapsed="false">
      <c r="A16" s="9"/>
      <c r="C16" s="9"/>
    </row>
    <row r="17" customFormat="false" ht="15" hidden="false" customHeight="false" outlineLevel="0" collapsed="false">
      <c r="C17" s="9"/>
    </row>
    <row r="18" customFormat="false" ht="15" hidden="false" customHeight="false" outlineLevel="0" collapsed="false">
      <c r="C18" s="9"/>
    </row>
    <row r="19" customFormat="false" ht="15" hidden="false" customHeight="false" outlineLevel="0" collapsed="false">
      <c r="C19" s="9"/>
    </row>
    <row r="20" customFormat="false" ht="15" hidden="false" customHeight="false" outlineLevel="0" collapsed="false">
      <c r="C20" s="9"/>
    </row>
    <row r="21" customFormat="false" ht="15" hidden="false" customHeight="false" outlineLevel="0" collapsed="false">
      <c r="C21" s="9"/>
    </row>
    <row r="22" customFormat="false" ht="15" hidden="false" customHeight="false" outlineLevel="0" collapsed="false">
      <c r="C22" s="9"/>
    </row>
    <row r="23" customFormat="false" ht="15" hidden="false" customHeight="false" outlineLevel="0" collapsed="false">
      <c r="C23" s="9"/>
    </row>
    <row r="24" customFormat="false" ht="15" hidden="false" customHeight="false" outlineLevel="0" collapsed="false">
      <c r="C24" s="9"/>
    </row>
    <row r="25" customFormat="false" ht="15" hidden="false" customHeight="false" outlineLevel="0" collapsed="false">
      <c r="C25" s="9"/>
    </row>
    <row r="26" customFormat="false" ht="15" hidden="false" customHeight="false" outlineLevel="0" collapsed="false">
      <c r="C26" s="9"/>
    </row>
    <row r="27" customFormat="false" ht="15" hidden="false" customHeight="false" outlineLevel="0" collapsed="false">
      <c r="C27" s="9"/>
    </row>
    <row r="28" customFormat="false" ht="15" hidden="false" customHeight="false" outlineLevel="0" collapsed="false">
      <c r="C28" s="9"/>
    </row>
    <row r="29" customFormat="false" ht="15" hidden="false" customHeight="false" outlineLevel="0" collapsed="false">
      <c r="C29" s="9"/>
    </row>
    <row r="30" customFormat="false" ht="15" hidden="false" customHeight="false" outlineLevel="0" collapsed="false">
      <c r="C30" s="9"/>
    </row>
    <row r="31" customFormat="false" ht="15" hidden="false" customHeight="false" outlineLevel="0" collapsed="false">
      <c r="C31" s="9"/>
    </row>
    <row r="32" customFormat="false" ht="15" hidden="false" customHeight="false" outlineLevel="0" collapsed="false">
      <c r="C32" s="9"/>
    </row>
    <row r="33" customFormat="false" ht="15" hidden="false" customHeight="false" outlineLevel="0" collapsed="false">
      <c r="C33" s="9"/>
    </row>
    <row r="34" customFormat="false" ht="15" hidden="false" customHeight="false" outlineLevel="0" collapsed="false">
      <c r="C34" s="9"/>
    </row>
    <row r="35" customFormat="false" ht="15" hidden="false" customHeight="false" outlineLevel="0" collapsed="false">
      <c r="C35" s="9"/>
    </row>
    <row r="36" customFormat="false" ht="15" hidden="false" customHeight="false" outlineLevel="0" collapsed="false">
      <c r="C36" s="9"/>
    </row>
    <row r="37" customFormat="false" ht="15" hidden="false" customHeight="false" outlineLevel="0" collapsed="false">
      <c r="C37" s="9"/>
    </row>
    <row r="38" customFormat="false" ht="15" hidden="false" customHeight="false" outlineLevel="0" collapsed="false">
      <c r="C38" s="9"/>
    </row>
    <row r="39" customFormat="false" ht="15" hidden="false" customHeight="false" outlineLevel="0" collapsed="false">
      <c r="C39" s="9"/>
    </row>
    <row r="40" customFormat="false" ht="15" hidden="false" customHeight="false" outlineLevel="0" collapsed="false">
      <c r="C40" s="9"/>
    </row>
    <row r="41" customFormat="false" ht="15" hidden="false" customHeight="false" outlineLevel="0" collapsed="false">
      <c r="C41" s="9"/>
    </row>
    <row r="42" customFormat="false" ht="15" hidden="false" customHeight="false" outlineLevel="0" collapsed="false">
      <c r="C42" s="9"/>
    </row>
    <row r="43" customFormat="false" ht="15" hidden="false" customHeight="false" outlineLevel="0" collapsed="false">
      <c r="C43" s="9"/>
    </row>
    <row r="44" customFormat="false" ht="15" hidden="false" customHeight="false" outlineLevel="0" collapsed="false">
      <c r="C44"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2026-10-27T11:47:21Z</dcterms:created>
  <dc:creator>openpyxl</dc:creator>
  <dc:description/>
  <dc:language>en-US</dc:language>
  <cp:lastModifiedBy/>
  <dcterms:modified xsi:type="dcterms:W3CDTF">2026-10-27T11:47:33Z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